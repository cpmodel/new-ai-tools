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TInputs" sheetId="3" state="visible" r:id="rId3"/>
    <sheet xmlns:r="http://schemas.openxmlformats.org/officeDocument/2006/relationships" name="Mitigation" sheetId="4" state="visible" r:id="rId4"/>
    <sheet xmlns:r="http://schemas.openxmlformats.org/officeDocument/2006/relationships" name="Inputs" sheetId="5" state="visible" r:id="rId5"/>
    <sheet xmlns:r="http://schemas.openxmlformats.org/officeDocument/2006/relationships" name="Variables" sheetId="6" state="visible" r:id="rId6"/>
    <sheet xmlns:r="http://schemas.openxmlformats.org/officeDocument/2006/relationships" name="Mapping" sheetId="7" state="visible" r:id="rId7"/>
    <sheet xmlns:r="http://schemas.openxmlformats.org/officeDocument/2006/relationships" name="DATA-&gt;" sheetId="8" state="visible" r:id="rId8"/>
    <sheet xmlns:r="http://schemas.openxmlformats.org/officeDocument/2006/relationships" name="Countries" sheetId="9" state="visible" r:id="rId9"/>
    <sheet xmlns:r="http://schemas.openxmlformats.org/officeDocument/2006/relationships" name="Elasticities" sheetId="10" state="visible" r:id="rId10"/>
    <sheet xmlns:r="http://schemas.openxmlformats.org/officeDocument/2006/relationships" name="Prices_dom" sheetId="11" state="visible" r:id="rId11"/>
    <sheet xmlns:r="http://schemas.openxmlformats.org/officeDocument/2006/relationships" name="EnergyCons" sheetId="12" state="visible" r:id="rId12"/>
    <sheet xmlns:r="http://schemas.openxmlformats.org/officeDocument/2006/relationships" name="WEO" sheetId="13" state="visible" r:id="rId13"/>
    <sheet xmlns:r="http://schemas.openxmlformats.org/officeDocument/2006/relationships" name="EF_GHG" sheetId="14" state="visible" r:id="rId14"/>
  </sheets>
  <definedNames>
    <definedName name="PRETAX" comment="Pre-tax price: previous year x (1 + growth)">_xlfn.LAMBDA(_xlpm.prev,_xlpm.growth,_xlpm.prev*(1+_xlpm.growth))</definedName>
    <definedName name="TAX" comment="Tax ($/GJ): base tax + total new policy (new carbon tax + new excise tax)">_xlfn.LAMBDA(_xlpm.base_tax,_xlpm.new_policy,_xlpm.base_tax+_xlpm.new_policy)</definedName>
    <definedName name="POSTTAX" comment="After-tax price: pre-tax price + tax">_xlfn.LAMBDA(_xlpm.pre_tax_p,_xlpm.tax_p,_xlpm.pre_tax_p+_xlpm.tax_p)</definedName>
    <definedName name="FUELUSE" comment="Fuel use, CPAT documentation 3.3.3, shadow price on the efficiency margin (no Covid factor)">_xlfn.LAMBDA(_xlpm.f_prev,_xlpm.p_now,_xlpm.p_prev,_xlpm.shp_now,_xlpm.shp_prev,_xlpm.gdp_g,_xlpm.eps_y,_xlpm.eps_u,_xlpm.eps_f,_xlpm.alpha,_xlpm.f_prev*(1/(1+_xlpm.alpha))^(1+_xlpm.eps_u)*(1+_xlpm.gdp_g)^_xlpm.eps_y*(_xlpm.p_now/_xlpm.p_prev)^_xlpm.eps_u*((_xlpm.p_now+_xlpm.shp_now)/(_xlpm.p_prev+_xlpm.shp_prev))^(_xlpm.eps_f*(1+_xlpm.eps_u)))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9"/>
    </font>
    <font>
      <name val="Arial"/>
      <b val="1"/>
      <sz val="9"/>
    </font>
    <font>
      <b val="1"/>
      <color rgb="00FFFFFF"/>
    </font>
    <font>
      <b val="1"/>
    </font>
    <font>
      <name val="Arial"/>
      <b val="1"/>
      <color rgb="00C00000"/>
      <sz val="9"/>
    </font>
    <font>
      <name val="Arial"/>
      <b val="1"/>
      <color rgb="00FFFFFF"/>
      <sz val="9"/>
    </font>
    <font>
      <name val="Arial"/>
      <b val="1"/>
      <i val="1"/>
      <sz val="9"/>
    </font>
    <font>
      <name val="Arial"/>
      <i val="1"/>
      <sz val="9"/>
    </font>
    <font>
      <name val="Arial"/>
      <color rgb="009C0006"/>
      <sz val="9"/>
    </font>
  </fonts>
  <fills count="13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BF1DE"/>
        <bgColor rgb="00EBF1DE"/>
      </patternFill>
    </fill>
    <fill>
      <patternFill patternType="solid">
        <fgColor rgb="0000B050"/>
      </patternFill>
    </fill>
    <fill>
      <patternFill patternType="solid">
        <fgColor rgb="0092D050"/>
      </patternFill>
    </fill>
    <fill>
      <patternFill patternType="solid">
        <fgColor rgb="00F2F2F2"/>
      </patternFill>
    </fill>
    <fill>
      <patternFill patternType="solid">
        <fgColor rgb="0092D050"/>
        <bgColor rgb="0092D050"/>
      </patternFill>
    </fill>
    <fill>
      <patternFill patternType="solid">
        <fgColor rgb="00DCE6F1"/>
        <bgColor rgb="00DCE6F1"/>
      </patternFill>
    </fill>
    <fill>
      <patternFill patternType="solid">
        <fgColor rgb="00DDD9C4"/>
        <bgColor rgb="00DDD9C4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1" fontId="3" fillId="3" borderId="0" pivotButton="0" quotePrefix="0" xfId="0"/>
    <xf numFmtId="1" fontId="3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wrapText="1"/>
    </xf>
    <xf numFmtId="0" fontId="0" fillId="6" borderId="0" pivotButton="0" quotePrefix="0" xfId="0"/>
    <xf numFmtId="0" fontId="6" fillId="3" borderId="0" pivotButton="0" quotePrefix="0" xfId="0"/>
    <xf numFmtId="0" fontId="7" fillId="7" borderId="0" pivotButton="0" quotePrefix="0" xfId="0"/>
    <xf numFmtId="0" fontId="0" fillId="7" borderId="0" pivotButton="0" quotePrefix="0" xfId="0"/>
    <xf numFmtId="1" fontId="3" fillId="9" borderId="0" pivotButton="0" quotePrefix="0" xfId="0"/>
    <xf numFmtId="1" fontId="2" fillId="9" borderId="0" pivotButton="0" quotePrefix="0" xfId="0"/>
    <xf numFmtId="1" fontId="2" fillId="0" borderId="0" pivotButton="0" quotePrefix="0" xfId="0"/>
    <xf numFmtId="0" fontId="2" fillId="8" borderId="0" pivotButton="0" quotePrefix="0" xfId="0"/>
    <xf numFmtId="164" fontId="2" fillId="9" borderId="0" pivotButton="0" quotePrefix="0" xfId="0"/>
    <xf numFmtId="164" fontId="2" fillId="0" borderId="0" pivotButton="0" quotePrefix="0" xfId="0"/>
    <xf numFmtId="0" fontId="3" fillId="8" borderId="0" pivotButton="0" quotePrefix="0" xfId="0"/>
    <xf numFmtId="2" fontId="3" fillId="9" borderId="0" pivotButton="0" quotePrefix="0" xfId="0"/>
    <xf numFmtId="2" fontId="3" fillId="0" borderId="0" pivotButton="0" quotePrefix="0" xfId="0"/>
    <xf numFmtId="0" fontId="8" fillId="0" borderId="0" pivotButton="0" quotePrefix="0" xfId="0"/>
    <xf numFmtId="2" fontId="2" fillId="9" borderId="0" pivotButton="0" quotePrefix="0" xfId="0"/>
    <xf numFmtId="2" fontId="2" fillId="0" borderId="0" pivotButton="0" quotePrefix="0" xfId="0"/>
    <xf numFmtId="2" fontId="2" fillId="3" borderId="0" pivotButton="0" quotePrefix="0" xfId="0"/>
    <xf numFmtId="0" fontId="9" fillId="0" borderId="0" pivotButton="0" quotePrefix="0" xfId="0"/>
    <xf numFmtId="167" fontId="3" fillId="9" borderId="0" pivotButton="0" quotePrefix="0" xfId="0"/>
    <xf numFmtId="167" fontId="3" fillId="0" borderId="0" pivotButton="0" quotePrefix="0" xfId="0"/>
    <xf numFmtId="165" fontId="2" fillId="0" borderId="0" pivotButton="0" quotePrefix="0" xfId="0"/>
    <xf numFmtId="0" fontId="2" fillId="10" borderId="0" pivotButton="0" quotePrefix="0" xfId="0"/>
    <xf numFmtId="165" fontId="2" fillId="9" borderId="0" pivotButton="0" quotePrefix="0" xfId="0"/>
    <xf numFmtId="165" fontId="10" fillId="11" borderId="0" pivotButton="0" quotePrefix="0" xfId="0"/>
    <xf numFmtId="167" fontId="2" fillId="9" borderId="0" pivotButton="0" quotePrefix="0" xfId="0"/>
    <xf numFmtId="167" fontId="2" fillId="0" borderId="0" pivotButton="0" quotePrefix="0" xfId="0"/>
    <xf numFmtId="167" fontId="10" fillId="11" borderId="0" pivotButton="0" quotePrefix="0" xfId="0"/>
    <xf numFmtId="165" fontId="2" fillId="12" borderId="0" pivotButton="0" quotePrefix="0" xfId="0"/>
    <xf numFmtId="10" fontId="2" fillId="9" borderId="0" pivotButton="0" quotePrefix="0" xfId="0"/>
    <xf numFmtId="10" fontId="2" fillId="0" borderId="0" pivotButton="0" quotePrefix="0" xfId="0"/>
    <xf numFmtId="0" fontId="3" fillId="3" borderId="0" applyAlignment="1" pivotButton="0" quotePrefix="0" xfId="0">
      <alignment vertical="top" wrapText="1"/>
    </xf>
    <xf numFmtId="164" fontId="2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2">
      <c r="A2" s="1" t="inlineStr">
        <is>
          <t>CPAT mitigation module - copy-pasteable prototype v0.8</t>
        </is>
      </c>
      <c r="B2" s="2" t="n"/>
      <c r="C2" s="2" t="n"/>
    </row>
    <row r="4">
      <c r="A4" s="3" t="inlineStr">
        <is>
          <t>Purpose</t>
        </is>
      </c>
      <c r="B4" s="4" t="inlineStr">
        <is>
          <t>Auditable, copy-pasteable replacement of the CPAT mitigation price -&gt; fuel-use chain. Each variable has one formula across all subsectors, fuels and years, and a whole scenario group copies to a new scenario and keeps working.</t>
        </is>
      </c>
    </row>
    <row r="5">
      <c r="A5" s="3" t="inlineStr">
        <is>
          <t>Status</t>
        </is>
      </c>
      <c r="B5" s="4" t="inlineStr">
        <is>
          <t>v0.8 prototype: policies (carbon tax, fuel price reform, feebate shadow price) and price -&gt; fuel use for transport, buildings, industry and other energy use. Power, emissions, revenue and ETS not yet.</t>
        </is>
      </c>
    </row>
    <row r="6">
      <c r="A6" s="3" t="inlineStr">
        <is>
          <t>Layout (as legacy CPAT)</t>
        </is>
      </c>
      <c r="B6" s="4" t="inlineStr">
        <is>
          <t>Sections: 1. Policies (row 9), 3. Power sector (row 146, placeholder), 5. Transport (row 149), 6. Buildings (row 444), 7. Industrial (row 666), 8. Other energy use (row 1253), 11. Results - energy consumption (row 1329). Numbers follow the legacy Mitigation sheet.</t>
        </is>
      </c>
    </row>
    <row r="7">
      <c r="A7" s="3" t="inlineStr">
        <is>
          <t>Nesting</t>
        </is>
      </c>
      <c r="B7" s="4" t="inlineStr">
        <is>
          <t>Across: scenario (outer) &gt; year (inner). Down: sector section &gt; subsector &gt; variable &gt; fuel. Each subsector: a heading line (its total fuel use), then sp, ctxnew, ntx, nce, tax, atp, shp, ener, each over the 8 fuels with one blank row (73 rows per subsector).</t>
        </is>
      </c>
    </row>
    <row r="8">
      <c r="A8" s="3" t="inlineStr">
        <is>
          <t>Variables</t>
        </is>
      </c>
      <c r="B8" s="4" t="inlineStr">
        <is>
          <t>sp pre-tax price; ctxnew new carbon tax = carbon price x EF x fuel coverage x sector coverage; ntx new excise = fuel price reform path / GJ per unit; nce total new policy = ctxnew + ntx; tax = base tax + nce; atp after-tax price = sp + tax; shp shadow price = sector shadow price x EF x share impacting efficiency; ener fuel use (CPAT eq. 3.3.3): the usage term uses atp, the efficiency term (atp + shp), as legacy CPAT.</t>
        </is>
      </c>
    </row>
    <row r="9">
      <c r="A9" s="3" t="inlineStr">
        <is>
          <t>Roll-up</t>
        </is>
      </c>
      <c r="B9" s="4" t="inlineStr">
        <is>
          <t>Sector sections show their total and the subsector heading lines; click + on a heading to see its variables (outline level 2). Section 1 shows the carbon price; its inputs and paths are rolled up. Buttons 1 / 2 / 3 at the top left set all levels.</t>
        </is>
      </c>
    </row>
    <row r="10">
      <c r="A10" s="3" t="inlineStr">
        <is>
          <t>Section 1 (policies)</t>
        </is>
      </c>
      <c r="B10" s="4" t="inlineStr">
        <is>
          <t>Each input row reads MTInputs by its row number (column D, hidden) and the scenario number (row 5). Paths: carbon price as legacy (0 before CPIntro, linear to CPLevelTarget by CPOutro, linear continuation if Linear*); fuel price reform and feebates: 0 before the start year, linear from the starting to the final/target value, continuing linearly afterwards (one default). Shadow prices: by sector ($/tCO2) = feebate path (later + non-auctioned ETS, regulations); share impacting efficiency = feebate coverage x adjustment (1.0).</t>
        </is>
      </c>
    </row>
    <row r="11">
      <c r="A11" s="3" t="inlineStr">
        <is>
          <t>Data step vs formulas</t>
        </is>
      </c>
      <c r="B11" s="4" t="inlineStr">
        <is>
          <t>Lookups happen in Inputs (one row per fuel|subsector), in Mitigation D:G (hidden; labels per variable in Variables G:J), the base-year column and the Section-1 input rows. Calculation cells contain no searching lookups; ctxnew, ntx and shp pick a Section-1 row by position with INDEX(range, position).</t>
        </is>
      </c>
    </row>
    <row r="12">
      <c r="A12" s="3" t="inlineStr">
        <is>
          <t>LAMBDA column</t>
        </is>
      </c>
      <c r="B12" s="4" t="inlineStr">
        <is>
          <t>2035 (orange) calls named LAMBDAs for sp, tax, atp and ener; drag it back over the row to use them everywhere, or drag 2034 forward. PRETAX(prev, growth) = prev*(1+growth); TAX(base_tax, new_policy) = base_tax+new_policy; POSTTAX(pre_tax_p, tax_p) = pre_tax_p+tax_p; FUELUSE(f_prev, p_now, p_prev, shp_now, shp_prev, gdp_g, eps_y, eps_u, eps_f, alpha) = f_prev*(1/(1+alpha))^(1+eps_u)*(1+gdp_g)^eps_y*(p_now/p_prev)^eps_u*((p_now+shp_now)/(p_prev+shp_prev))^(eps_f*(1+eps_u)).</t>
        </is>
      </c>
    </row>
    <row r="13">
      <c r="A13" s="3" t="inlineStr">
        <is>
          <t>Codes</t>
        </is>
      </c>
      <c r="B13" s="4" t="inlineStr">
        <is>
          <t>Code column before each scenario group: country.mit.&lt;variable&gt;.&lt;subsector&gt;.&lt;fuel&gt;.&lt;suffix&gt;.&lt;scenario&gt; (e.g. egy.mit.ener.rod.gso.e.1). Scenario number at the top (row 5).</t>
        </is>
      </c>
    </row>
    <row r="14">
      <c r="A14" s="3" t="inlineStr">
        <is>
          <t>Add a scenario</t>
        </is>
      </c>
      <c r="B14" s="4" t="inlineStr">
        <is>
          <t>MTInputs: copy the last scenario column one column right (its number updates) and edit its inputs. Mitigation: copy columns Z:AN and paste at AO; numbers, names, codes and all policy paths follow.</t>
        </is>
      </c>
    </row>
    <row r="15">
      <c r="A15" s="3" t="inlineStr">
        <is>
          <t>Example</t>
        </is>
      </c>
      <c r="B15" s="4" t="inlineStr">
        <is>
          <t>Road (heading row 151): sp rows 152-159, ener rows 215-222.</t>
        </is>
      </c>
    </row>
    <row r="16">
      <c r="A16" s="3" t="inlineStr">
        <is>
          <t>Colours</t>
        </is>
      </c>
      <c r="B16" s="4" t="inlineStr">
        <is>
          <t>Green bands with white text = sections; green = input; tan = base year; light blue = codes; grey = unused parameter slot; orange = LAMBDA column; yellow = check.</t>
        </is>
      </c>
    </row>
    <row r="17">
      <c r="A17" s="3" t="inlineStr">
        <is>
          <t>Data</t>
        </is>
      </c>
      <c r="B17" s="4" t="inlineStr">
        <is>
          <t>Countries, Elasticities, Prices_dom, EnergyCons, WEO, EF_GHG; Mapping; Variables; MTInputs. Built by build_v0_8.py; checked by check_v0_8.py.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9"/>
  <sheetViews>
    <sheetView workbookViewId="0">
      <selection activeCell="A1" sqref="A1"/>
    </sheetView>
  </sheetViews>
  <sheetFormatPr baseColWidth="8" defaultRowHeight="15"/>
  <cols>
    <col width="34" customWidth="1" min="2" max="2"/>
    <col width="14" customWidth="1" min="3" max="3"/>
    <col width="100" customWidth="1" min="4" max="4"/>
    <col width="26" customWidth="1" min="5" max="5"/>
  </cols>
  <sheetData>
    <row r="2">
      <c r="A2" s="1" t="inlineStr">
        <is>
          <t>Settings</t>
        </is>
      </c>
      <c r="B2" s="2" t="n"/>
      <c r="C2" s="2" t="n"/>
      <c r="D2" s="2" t="n"/>
      <c r="E2" s="2" t="n"/>
      <c r="F2" s="2" t="n"/>
    </row>
    <row r="4">
      <c r="B4" s="5" t="inlineStr">
        <is>
          <t>Country code</t>
        </is>
      </c>
      <c r="C4" s="6" t="inlineStr">
        <is>
          <t>EGY</t>
        </is>
      </c>
    </row>
    <row r="5">
      <c r="B5" s="5" t="inlineStr">
        <is>
          <t>Country name</t>
        </is>
      </c>
      <c r="C5" s="5">
        <f>INDEX(Countries!$B$4:$B$1000,MATCH($C$4,Countries!$A$4:$A$1000,0))</f>
        <v/>
      </c>
    </row>
    <row r="6">
      <c r="B6" s="5" t="inlineStr">
        <is>
          <t>Income group (selects elasticities)</t>
        </is>
      </c>
      <c r="C6" s="5">
        <f>INDEX(Countries!$D$4:$D$1000,MATCH($C$4,Countries!$A$4:$A$1000,0))</f>
        <v/>
      </c>
    </row>
    <row r="7">
      <c r="B7" s="5" t="inlineStr">
        <is>
          <t>Base year</t>
        </is>
      </c>
      <c r="C7" s="6" t="n">
        <v>2022</v>
      </c>
    </row>
    <row r="10">
      <c r="B10" s="7" t="inlineStr">
        <is>
          <t>Version log</t>
        </is>
      </c>
    </row>
    <row r="11">
      <c r="B11" s="8" t="inlineStr">
        <is>
          <t>Version</t>
        </is>
      </c>
      <c r="C11" s="8" t="inlineStr">
        <is>
          <t>Date</t>
        </is>
      </c>
      <c r="D11" s="8" t="inlineStr">
        <is>
          <t>Description</t>
        </is>
      </c>
      <c r="E11" s="8" t="inlineStr">
        <is>
          <t>Max abs regression diff</t>
        </is>
      </c>
    </row>
    <row r="12">
      <c r="B12" s="5" t="inlineStr">
        <is>
          <t>0.1</t>
        </is>
      </c>
      <c r="C12" s="5" t="inlineStr">
        <is>
          <t>2026-10-08</t>
        </is>
      </c>
      <c r="D12" s="5" t="inlineStr">
        <is>
          <t>First build: design 2 price -&gt; fuel-use prototype, Egypt base data, 2 scenarios.</t>
        </is>
      </c>
      <c r="E12" s="5" t="inlineStr">
        <is>
          <t>n/a (first version)</t>
        </is>
      </c>
    </row>
    <row r="13">
      <c r="B13" s="5" t="inlineStr">
        <is>
          <t>0.2</t>
        </is>
      </c>
      <c r="C13" s="5" t="inlineStr">
        <is>
          <t>2026-10-08</t>
        </is>
      </c>
      <c r="D13" s="5" t="inlineStr">
        <is>
          <t>Inputs sheet by fuel|subsector (lookups separated from formulas); 4 hidden parameter columns D:G, global parameters; base year 2022 in column L; named LAMBDAs in 2035.</t>
        </is>
      </c>
      <c r="E13" s="5" t="inlineStr">
        <is>
          <t>0 (vs v0.1)</t>
        </is>
      </c>
    </row>
    <row r="14">
      <c r="B14" s="5" t="inlineStr">
        <is>
          <t>0.3</t>
        </is>
      </c>
      <c r="C14" s="5" t="inlineStr">
        <is>
          <t>2026-10-08</t>
        </is>
      </c>
      <c r="D14" s="5" t="inlineStr">
        <is>
          <t>Variable codes in column A; labels from Variables; code column per scenario with full CPAT codes (auto-numbered).</t>
        </is>
      </c>
      <c r="E14" s="5" t="inlineStr">
        <is>
          <t>0 (vs v0.2)</t>
        </is>
      </c>
    </row>
    <row r="15">
      <c r="B15" s="5" t="inlineStr">
        <is>
          <t>0.4</t>
        </is>
      </c>
      <c r="C15" s="5" t="inlineStr">
        <is>
          <t>2026-10-08</t>
        </is>
      </c>
      <c r="D15" s="5" t="inlineStr">
        <is>
          <t>Row outline: blocks roll up.</t>
        </is>
      </c>
      <c r="E15" s="5" t="inlineStr">
        <is>
          <t>0 (vs v0.3)</t>
        </is>
      </c>
    </row>
    <row r="16">
      <c r="B16" s="5" t="inlineStr">
        <is>
          <t>0.5</t>
        </is>
      </c>
      <c r="C16" s="5" t="inlineStr">
        <is>
          <t>2026-10-08</t>
        </is>
      </c>
      <c r="D16" s="5" t="inlineStr">
        <is>
          <t>White band text; summary lines under bands.</t>
        </is>
      </c>
      <c r="E16" s="5" t="inlineStr">
        <is>
          <t>0 (vs v0.4)</t>
        </is>
      </c>
    </row>
    <row r="17">
      <c r="B17" s="5" t="inlineStr">
        <is>
          <t>0.6</t>
        </is>
      </c>
      <c r="C17" s="5" t="inlineStr">
        <is>
          <t>2026-10-08</t>
        </is>
      </c>
      <c r="D17" s="5" t="inlineStr">
        <is>
          <t>MTInputs sheet per scenario; carbon price from MTInputs.</t>
        </is>
      </c>
      <c r="E17" s="5" t="inlineStr">
        <is>
          <t>0 (vs v0.5)</t>
        </is>
      </c>
    </row>
    <row r="18">
      <c r="B18" s="5" t="inlineStr">
        <is>
          <t>0.7</t>
        </is>
      </c>
      <c r="C18" s="5" t="inlineStr">
        <is>
          <t>2026-10-08</t>
        </is>
      </c>
      <c r="D18" s="5" t="inlineStr">
        <is>
          <t>Legacy CPAT section layout (1 Policies, 3 Power, 5-8 sectors, 11 Results; subsector &gt; variable &gt; fuel); policy wedges: new carbon tax with MTInputs coverage, new excise (fuel price reform), total new policy; feebate shadow price (not yet used).</t>
        </is>
      </c>
      <c r="E18" s="5" t="inlineStr">
        <is>
          <t>0 (common codes vs v0.6)</t>
        </is>
      </c>
    </row>
    <row r="19">
      <c r="B19" s="5" t="inlineStr">
        <is>
          <t>0.8</t>
        </is>
      </c>
      <c r="C19" s="5" t="inlineStr">
        <is>
          <t>2026-10-08</t>
        </is>
      </c>
      <c r="D19" s="5" t="inlineStr">
        <is>
          <t>Shadow price on the efficiency margin of fuel use; shadow prices by sector and share impacting efficiency in section 1; all policy paths continue linearly; biomass carbon-tax coverage TRUE.</t>
        </is>
      </c>
      <c r="E19" s="5" t="inlineStr">
        <is>
          <t>0 (common codes vs v0.7, no feebate)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5" customWidth="1" min="2" max="2"/>
    <col width="16" customWidth="1" min="3" max="3"/>
    <col hidden="1" width="13" customWidth="1" min="4" max="4"/>
    <col hidden="1" width="13" customWidth="1" min="5" max="5"/>
    <col width="22" customWidth="1" min="6" max="6"/>
    <col width="22" customWidth="1" min="7" max="7"/>
    <col width="22" customWidth="1" min="8" max="8"/>
    <col width="3" customWidth="1" min="9" max="9"/>
    <col width="16" customWidth="1" min="10" max="10"/>
    <col width="16" customWidth="1" min="11" max="11"/>
  </cols>
  <sheetData>
    <row r="1">
      <c r="A1" s="9" t="n"/>
      <c r="B1" s="10" t="inlineStr">
        <is>
          <t>MTInputs template - row structure copied exactly from legacy CPAT MTInputs</t>
        </is>
      </c>
      <c r="C1" s="9" t="n"/>
      <c r="D1" s="9" t="n"/>
      <c r="E1" s="9" t="n"/>
      <c r="F1" s="9" t="n"/>
      <c r="G1" s="9" t="n"/>
      <c r="H1" s="9" t="n"/>
    </row>
    <row r="2">
      <c r="A2" s="11" t="n"/>
      <c r="B2" s="11" t="inlineStr">
        <is>
          <t>Do not insert/delete rows. Columns D:E are hidden placeholders (MT values, Dashboard values).</t>
        </is>
      </c>
      <c r="C2" s="11" t="n"/>
      <c r="D2" s="11" t="n"/>
      <c r="E2" s="11" t="n"/>
      <c r="F2" s="11" t="n"/>
      <c r="G2" s="11" t="n"/>
      <c r="H2" s="11" t="n"/>
    </row>
    <row r="3">
      <c r="A3" s="11" t="n"/>
      <c r="B3" s="11" t="inlineStr">
        <is>
          <t>Rows must match legacy exactly. Green (EBF1DE) = used by module; grey (F2F2F2) = unused. See NORMS.md section 4.</t>
        </is>
      </c>
      <c r="C3" s="11" t="n"/>
      <c r="D3" s="11" t="n"/>
      <c r="E3" s="11" t="n"/>
      <c r="F3" s="11" t="n"/>
      <c r="G3" s="11" t="n"/>
      <c r="H3" s="11" t="n"/>
      <c r="J3" s="7" t="inlineStr">
        <is>
          <t>Scenario columns (Used for calculation): number in row 5, name in row 6. Red = changed from the template value. Copy the last column one to the right to add a scenario.</t>
        </is>
      </c>
    </row>
    <row r="4"/>
    <row r="5">
      <c r="C5" t="b">
        <v>0</v>
      </c>
      <c r="D5" t="inlineStr">
        <is>
          <t>&lt;-- Should normally  be "FALSE"!</t>
        </is>
      </c>
      <c r="J5" s="12" t="n">
        <v>1</v>
      </c>
      <c r="K5" s="13">
        <f>J5+1</f>
        <v/>
      </c>
    </row>
    <row r="6">
      <c r="D6" t="n">
        <v>6</v>
      </c>
      <c r="J6" s="8" t="inlineStr">
        <is>
          <t>Baseline (no carbon price)</t>
        </is>
      </c>
      <c r="K6" s="8" t="inlineStr">
        <is>
          <t>Carbon price $20/tCO2 from 2027</t>
        </is>
      </c>
    </row>
    <row r="7">
      <c r="B7" s="14" t="inlineStr">
        <is>
          <t>Parameters</t>
        </is>
      </c>
      <c r="C7" s="14" t="inlineStr">
        <is>
          <t>unit</t>
        </is>
      </c>
      <c r="D7" s="14" t="inlineStr">
        <is>
          <t>MT values</t>
        </is>
      </c>
      <c r="E7" s="14" t="inlineStr">
        <is>
          <t>"Dashboard" values</t>
        </is>
      </c>
      <c r="F7" s="14" t="inlineStr">
        <is>
          <t>Used for calculation</t>
        </is>
      </c>
      <c r="G7" s="14" t="inlineStr">
        <is>
          <t>Defaults</t>
        </is>
      </c>
      <c r="H7" s="14" t="inlineStr">
        <is>
          <t>NameOfParameter</t>
        </is>
      </c>
      <c r="J7" s="15" t="inlineStr">
        <is>
          <t>Used for calculation</t>
        </is>
      </c>
      <c r="K7" s="15" t="inlineStr">
        <is>
          <t>Used for calculation</t>
        </is>
      </c>
    </row>
    <row r="8">
      <c r="B8" s="16" t="inlineStr">
        <is>
          <t>Country</t>
        </is>
      </c>
      <c r="C8" s="16" t="n"/>
      <c r="D8" s="16" t="n"/>
      <c r="E8" s="16" t="n"/>
      <c r="F8" s="16" t="inlineStr">
        <is>
          <t>Egypt</t>
        </is>
      </c>
      <c r="G8" s="16" t="inlineStr">
        <is>
          <t>Egypt</t>
        </is>
      </c>
      <c r="H8" s="16" t="inlineStr">
        <is>
          <t>Countryname</t>
        </is>
      </c>
      <c r="J8" s="6" t="inlineStr">
        <is>
          <t>Egypt</t>
        </is>
      </c>
      <c r="K8" s="6" t="inlineStr">
        <is>
          <t>Egypt</t>
        </is>
      </c>
    </row>
    <row r="9">
      <c r="B9" s="14" t="inlineStr">
        <is>
          <t>Scenario identification</t>
        </is>
      </c>
    </row>
    <row r="10">
      <c r="B10" s="16" t="inlineStr">
        <is>
          <t>Scenario ID</t>
        </is>
      </c>
      <c r="C10" s="16" t="inlineStr">
        <is>
          <t>#</t>
        </is>
      </c>
      <c r="D10" s="16" t="n"/>
      <c r="E10" s="16" t="n"/>
      <c r="F10" s="16" t="inlineStr">
        <is>
          <t>N/A</t>
        </is>
      </c>
      <c r="G10" s="16" t="inlineStr">
        <is>
          <t>N/A</t>
        </is>
      </c>
      <c r="H10" s="16" t="inlineStr">
        <is>
          <t>MSTScenarioID</t>
        </is>
      </c>
      <c r="J10" s="6">
        <f>J$5</f>
        <v/>
      </c>
      <c r="K10" s="6">
        <f>K$5</f>
        <v/>
      </c>
    </row>
    <row r="11">
      <c r="B11" s="16" t="inlineStr">
        <is>
          <t>Scenario status</t>
        </is>
      </c>
      <c r="C11" s="16" t="inlineStr">
        <is>
          <t>switch</t>
        </is>
      </c>
      <c r="D11" s="16" t="n"/>
      <c r="E11" s="16" t="n"/>
      <c r="F11" s="16" t="inlineStr">
        <is>
          <t>N/A</t>
        </is>
      </c>
      <c r="G11" s="16" t="inlineStr">
        <is>
          <t>N/A</t>
        </is>
      </c>
      <c r="H11" s="16" t="n"/>
      <c r="J11" s="6" t="inlineStr">
        <is>
          <t>N/A</t>
        </is>
      </c>
      <c r="K11" s="6" t="inlineStr">
        <is>
          <t>N/A</t>
        </is>
      </c>
    </row>
    <row r="12">
      <c r="B12" s="16" t="inlineStr">
        <is>
          <t>Scenario name</t>
        </is>
      </c>
      <c r="C12" s="16" t="inlineStr">
        <is>
          <t>name</t>
        </is>
      </c>
      <c r="D12" s="16" t="n"/>
      <c r="E12" s="16" t="n"/>
      <c r="F12" s="16" t="inlineStr">
        <is>
          <t>N/A</t>
        </is>
      </c>
      <c r="G12" s="16" t="inlineStr">
        <is>
          <t>N/A</t>
        </is>
      </c>
      <c r="H12" s="16" t="n"/>
      <c r="J12" s="6">
        <f>J$6</f>
        <v/>
      </c>
      <c r="K12" s="6">
        <f>K$6</f>
        <v/>
      </c>
    </row>
    <row r="13">
      <c r="B13" s="16" t="inlineStr">
        <is>
          <t>Chosen policy</t>
        </is>
      </c>
      <c r="C13" s="16" t="inlineStr">
        <is>
          <t>switch</t>
        </is>
      </c>
      <c r="D13" s="16" t="n"/>
      <c r="E13" s="16" t="n"/>
      <c r="F13" s="16" t="inlineStr">
        <is>
          <t xml:space="preserve"> - Carbon tax</t>
        </is>
      </c>
      <c r="G13" s="16" t="inlineStr">
        <is>
          <t xml:space="preserve"> - Carbon tax</t>
        </is>
      </c>
      <c r="H13" s="16" t="inlineStr">
        <is>
          <t>ScenarioSelected</t>
        </is>
      </c>
      <c r="J13" s="6" t="inlineStr">
        <is>
          <t xml:space="preserve"> - Carbon tax</t>
        </is>
      </c>
      <c r="K13" s="6" t="inlineStr">
        <is>
          <t xml:space="preserve"> - Carbon tax</t>
        </is>
      </c>
    </row>
    <row r="14">
      <c r="B14" s="16" t="inlineStr">
        <is>
          <t>Scenario status for macro</t>
        </is>
      </c>
      <c r="C14" s="16" t="inlineStr">
        <is>
          <t>#</t>
        </is>
      </c>
      <c r="D14" s="16" t="n"/>
      <c r="E14" s="16" t="n"/>
      <c r="F14" s="16" t="inlineStr">
        <is>
          <t>N/A</t>
        </is>
      </c>
      <c r="G14" s="16" t="inlineStr">
        <is>
          <t>N/A</t>
        </is>
      </c>
      <c r="H14" s="16" t="n"/>
      <c r="J14" s="6" t="inlineStr">
        <is>
          <t>N/A</t>
        </is>
      </c>
      <c r="K14" s="6" t="inlineStr">
        <is>
          <t>N/A</t>
        </is>
      </c>
    </row>
    <row r="15">
      <c r="B15" s="16" t="inlineStr">
        <is>
          <t>Scenario parameters override?</t>
        </is>
      </c>
      <c r="C15" s="16" t="inlineStr">
        <is>
          <t>#</t>
        </is>
      </c>
      <c r="D15" s="16" t="n"/>
      <c r="E15" s="16" t="n"/>
      <c r="F15" s="16" t="inlineStr">
        <is>
          <t>N/A</t>
        </is>
      </c>
      <c r="G15" s="16" t="inlineStr">
        <is>
          <t>N/A</t>
        </is>
      </c>
      <c r="H15" s="16" t="n"/>
      <c r="J15" s="6" t="inlineStr">
        <is>
          <t>N/A</t>
        </is>
      </c>
      <c r="K15" s="6" t="inlineStr">
        <is>
          <t>N/A</t>
        </is>
      </c>
    </row>
    <row r="16">
      <c r="B16" s="16" t="inlineStr">
        <is>
          <t>CPAT-side parameters override?</t>
        </is>
      </c>
      <c r="C16" s="16" t="inlineStr">
        <is>
          <t>switch</t>
        </is>
      </c>
      <c r="D16" s="16" t="n"/>
      <c r="E16" s="16" t="n"/>
      <c r="F16" s="16" t="inlineStr">
        <is>
          <t>Manual*</t>
        </is>
      </c>
      <c r="G16" s="16" t="inlineStr">
        <is>
          <t>Manual*</t>
        </is>
      </c>
      <c r="H16" s="16" t="inlineStr">
        <is>
          <t>CPATDefaultsOrUserDefined</t>
        </is>
      </c>
      <c r="J16" s="6" t="inlineStr">
        <is>
          <t>Manual*</t>
        </is>
      </c>
      <c r="K16" s="6" t="inlineStr">
        <is>
          <t>Manual*</t>
        </is>
      </c>
    </row>
    <row r="17">
      <c r="B17" s="14" t="inlineStr">
        <is>
          <t>Carbon pricing: main inputs</t>
        </is>
      </c>
    </row>
    <row r="18">
      <c r="A18" t="inlineStr">
        <is>
          <t>X</t>
        </is>
      </c>
      <c r="B18" s="16" t="inlineStr">
        <is>
          <t>Carbon pricing start year</t>
        </is>
      </c>
      <c r="C18" s="16" t="inlineStr">
        <is>
          <t>year</t>
        </is>
      </c>
      <c r="D18" s="16" t="n"/>
      <c r="E18" s="16" t="n"/>
      <c r="F18" s="16" t="n">
        <v>2026</v>
      </c>
      <c r="G18" s="16" t="n">
        <v>2027</v>
      </c>
      <c r="H18" s="16" t="inlineStr">
        <is>
          <t>CPIntro</t>
        </is>
      </c>
      <c r="J18" s="17" t="n">
        <v>2027</v>
      </c>
      <c r="K18" s="17" t="n">
        <v>2027</v>
      </c>
    </row>
    <row r="19">
      <c r="A19" t="inlineStr">
        <is>
          <t>X</t>
        </is>
      </c>
      <c r="B19" s="16" t="inlineStr">
        <is>
          <t>Starting carbon price</t>
        </is>
      </c>
      <c r="C19" s="16" t="inlineStr">
        <is>
          <t>nom. USD/tCO2</t>
        </is>
      </c>
      <c r="D19" s="16" t="n"/>
      <c r="E19" s="16" t="n"/>
      <c r="F19" s="16" t="n">
        <v>0</v>
      </c>
      <c r="G19" s="16" t="n">
        <v>20</v>
      </c>
      <c r="H19" s="16" t="inlineStr">
        <is>
          <t>CPLevelStart</t>
        </is>
      </c>
      <c r="J19" s="17" t="n">
        <v>0</v>
      </c>
      <c r="K19" s="17" t="n">
        <v>20</v>
      </c>
    </row>
    <row r="20">
      <c r="B20" s="16" t="inlineStr">
        <is>
          <t>Target level of carbon price</t>
        </is>
      </c>
      <c r="C20" s="16" t="inlineStr">
        <is>
          <t>nom. USD/tCO2</t>
        </is>
      </c>
      <c r="D20" s="16" t="n"/>
      <c r="E20" s="16" t="n"/>
      <c r="F20" s="16" t="n">
        <v>50</v>
      </c>
      <c r="G20" s="16" t="n">
        <v>50</v>
      </c>
      <c r="H20" s="16" t="inlineStr">
        <is>
          <t>CPLevelTarget</t>
        </is>
      </c>
      <c r="J20" s="17" t="n">
        <v>0</v>
      </c>
      <c r="K20" s="17" t="n">
        <v>20</v>
      </c>
    </row>
    <row r="21">
      <c r="A21" t="inlineStr">
        <is>
          <t>X</t>
        </is>
      </c>
      <c r="B21" s="16" t="inlineStr">
        <is>
          <t>Year to reach target level</t>
        </is>
      </c>
      <c r="C21" s="16" t="inlineStr">
        <is>
          <t>year</t>
        </is>
      </c>
      <c r="D21" s="16" t="n"/>
      <c r="E21" s="16" t="n"/>
      <c r="F21" s="16" t="n">
        <v>2030</v>
      </c>
      <c r="G21" s="16" t="n">
        <v>2035</v>
      </c>
      <c r="H21" s="16" t="inlineStr">
        <is>
          <t>CPOutro</t>
        </is>
      </c>
      <c r="J21" s="17" t="n">
        <v>2030</v>
      </c>
      <c r="K21" s="17" t="n">
        <v>2030</v>
      </c>
    </row>
    <row r="22">
      <c r="B22" s="14" t="inlineStr">
        <is>
          <t>Carbon pricing: fuel coverage</t>
        </is>
      </c>
    </row>
    <row r="23">
      <c r="B23" s="16" t="inlineStr">
        <is>
          <t>Apply tax to coal?</t>
        </is>
      </c>
      <c r="C23" s="16" t="inlineStr">
        <is>
          <t>switch</t>
        </is>
      </c>
      <c r="D23" s="16" t="n"/>
      <c r="E23" s="16" t="n"/>
      <c r="F23" s="16" t="b">
        <v>1</v>
      </c>
      <c r="G23" s="16" t="b">
        <v>1</v>
      </c>
      <c r="H23" s="16" t="inlineStr">
        <is>
          <t>MCovCoa</t>
        </is>
      </c>
      <c r="J23" s="6" t="b">
        <v>1</v>
      </c>
      <c r="K23" s="6" t="b">
        <v>1</v>
      </c>
    </row>
    <row r="24">
      <c r="B24" s="16" t="inlineStr">
        <is>
          <t>Apply tax to natural gas?</t>
        </is>
      </c>
      <c r="C24" s="16" t="inlineStr">
        <is>
          <t>switch</t>
        </is>
      </c>
      <c r="D24" s="16" t="n"/>
      <c r="E24" s="16" t="n"/>
      <c r="F24" s="16" t="b">
        <v>1</v>
      </c>
      <c r="G24" s="16" t="b">
        <v>1</v>
      </c>
      <c r="H24" s="16" t="inlineStr">
        <is>
          <t>MCovNga</t>
        </is>
      </c>
      <c r="J24" s="6" t="b">
        <v>1</v>
      </c>
      <c r="K24" s="6" t="b">
        <v>1</v>
      </c>
    </row>
    <row r="25">
      <c r="B25" s="16" t="inlineStr">
        <is>
          <t>Apply tax to gasoline?</t>
        </is>
      </c>
      <c r="C25" s="16" t="inlineStr">
        <is>
          <t>switch</t>
        </is>
      </c>
      <c r="D25" s="16" t="n"/>
      <c r="E25" s="16" t="n"/>
      <c r="F25" s="16" t="b">
        <v>1</v>
      </c>
      <c r="G25" s="16" t="b">
        <v>1</v>
      </c>
      <c r="H25" s="16" t="inlineStr">
        <is>
          <t>MCovGso</t>
        </is>
      </c>
      <c r="J25" s="6" t="b">
        <v>1</v>
      </c>
      <c r="K25" s="6" t="b">
        <v>1</v>
      </c>
    </row>
    <row r="26">
      <c r="B26" s="16" t="inlineStr">
        <is>
          <t>Apply tax to diesel?</t>
        </is>
      </c>
      <c r="C26" s="16" t="inlineStr">
        <is>
          <t>switch</t>
        </is>
      </c>
      <c r="D26" s="16" t="n"/>
      <c r="E26" s="16" t="n"/>
      <c r="F26" s="16" t="b">
        <v>1</v>
      </c>
      <c r="G26" s="16" t="b">
        <v>1</v>
      </c>
      <c r="H26" s="16" t="inlineStr">
        <is>
          <t>MCovDie</t>
        </is>
      </c>
      <c r="J26" s="6" t="b">
        <v>1</v>
      </c>
      <c r="K26" s="6" t="b">
        <v>1</v>
      </c>
    </row>
    <row r="27">
      <c r="B27" s="16" t="inlineStr">
        <is>
          <t>Apply tax to LPG?</t>
        </is>
      </c>
      <c r="C27" s="16" t="inlineStr">
        <is>
          <t>switch</t>
        </is>
      </c>
      <c r="D27" s="16" t="n"/>
      <c r="E27" s="16" t="n"/>
      <c r="F27" s="16" t="b">
        <v>1</v>
      </c>
      <c r="G27" s="16" t="b">
        <v>1</v>
      </c>
      <c r="H27" s="16" t="inlineStr">
        <is>
          <t>MCovLpg</t>
        </is>
      </c>
      <c r="J27" s="6" t="b">
        <v>1</v>
      </c>
      <c r="K27" s="6" t="b">
        <v>1</v>
      </c>
    </row>
    <row r="28">
      <c r="B28" s="16" t="inlineStr">
        <is>
          <t>Apply tax to kerosene?</t>
        </is>
      </c>
      <c r="C28" s="16" t="inlineStr">
        <is>
          <t>switch</t>
        </is>
      </c>
      <c r="D28" s="16" t="n"/>
      <c r="E28" s="16" t="n"/>
      <c r="F28" s="16" t="b">
        <v>1</v>
      </c>
      <c r="G28" s="16" t="b">
        <v>1</v>
      </c>
      <c r="H28" s="16" t="inlineStr">
        <is>
          <t>MCovKer</t>
        </is>
      </c>
      <c r="J28" s="6" t="b">
        <v>1</v>
      </c>
      <c r="K28" s="6" t="b">
        <v>1</v>
      </c>
    </row>
    <row r="29">
      <c r="B29" s="16" t="inlineStr">
        <is>
          <t>Apply tax to non-road oil products?</t>
        </is>
      </c>
      <c r="C29" s="16" t="inlineStr">
        <is>
          <t>switch</t>
        </is>
      </c>
      <c r="D29" s="16" t="n"/>
      <c r="E29" s="16" t="n"/>
      <c r="F29" s="16" t="b">
        <v>1</v>
      </c>
      <c r="G29" s="16" t="b">
        <v>1</v>
      </c>
      <c r="H29" s="16" t="inlineStr">
        <is>
          <t>MCovOop</t>
        </is>
      </c>
      <c r="J29" s="6" t="b">
        <v>1</v>
      </c>
      <c r="K29" s="6" t="b">
        <v>1</v>
      </c>
    </row>
    <row r="30">
      <c r="B30" s="14" t="inlineStr">
        <is>
          <t>Carbon pricing: sector coverage</t>
        </is>
      </c>
    </row>
    <row r="31">
      <c r="B31" s="16" t="inlineStr">
        <is>
          <t>Apply tax to power sector?</t>
        </is>
      </c>
      <c r="C31" s="16" t="inlineStr">
        <is>
          <t>switch</t>
        </is>
      </c>
      <c r="D31" s="16" t="n"/>
      <c r="E31" s="16" t="n"/>
      <c r="F31" s="16" t="b">
        <v>1</v>
      </c>
      <c r="G31" s="16" t="b">
        <v>1</v>
      </c>
      <c r="H31" s="16" t="inlineStr">
        <is>
          <t>MCovPow</t>
        </is>
      </c>
      <c r="J31" s="6" t="b">
        <v>1</v>
      </c>
      <c r="K31" s="6" t="b">
        <v>1</v>
      </c>
    </row>
    <row r="32">
      <c r="B32" s="16" t="inlineStr">
        <is>
          <t>Apply tax to road transportation?</t>
        </is>
      </c>
      <c r="C32" s="16" t="inlineStr">
        <is>
          <t>switch</t>
        </is>
      </c>
      <c r="D32" s="16" t="n"/>
      <c r="E32" s="16" t="n"/>
      <c r="F32" s="16" t="b">
        <v>1</v>
      </c>
      <c r="G32" s="16" t="b">
        <v>1</v>
      </c>
      <c r="H32" s="16" t="inlineStr">
        <is>
          <t>MCovRod</t>
        </is>
      </c>
      <c r="J32" s="6" t="b">
        <v>1</v>
      </c>
      <c r="K32" s="6" t="b">
        <v>1</v>
      </c>
    </row>
    <row r="33">
      <c r="B33" s="16" t="inlineStr">
        <is>
          <t>Apply tax to rail transportation?</t>
        </is>
      </c>
      <c r="C33" s="16" t="inlineStr">
        <is>
          <t>switch</t>
        </is>
      </c>
      <c r="D33" s="16" t="n"/>
      <c r="E33" s="16" t="n"/>
      <c r="F33" s="16" t="b">
        <v>1</v>
      </c>
      <c r="G33" s="16" t="b">
        <v>1</v>
      </c>
      <c r="H33" s="16" t="inlineStr">
        <is>
          <t>MCovRal</t>
        </is>
      </c>
      <c r="J33" s="6" t="b">
        <v>1</v>
      </c>
      <c r="K33" s="6" t="b">
        <v>1</v>
      </c>
    </row>
    <row r="34">
      <c r="B34" s="16" t="inlineStr">
        <is>
          <t>Apply tax to domestic aviation?</t>
        </is>
      </c>
      <c r="C34" s="16" t="inlineStr">
        <is>
          <t>switch</t>
        </is>
      </c>
      <c r="D34" s="16" t="n"/>
      <c r="E34" s="16" t="n"/>
      <c r="F34" s="16" t="b">
        <v>1</v>
      </c>
      <c r="G34" s="16" t="b">
        <v>1</v>
      </c>
      <c r="H34" s="16" t="inlineStr">
        <is>
          <t>MCovAvi</t>
        </is>
      </c>
      <c r="J34" s="6" t="b">
        <v>1</v>
      </c>
      <c r="K34" s="6" t="b">
        <v>1</v>
      </c>
    </row>
    <row r="35">
      <c r="B35" s="16" t="inlineStr">
        <is>
          <t>Apply tax to domestic shipping?</t>
        </is>
      </c>
      <c r="C35" s="16" t="inlineStr">
        <is>
          <t>switch</t>
        </is>
      </c>
      <c r="D35" s="16" t="n"/>
      <c r="E35" s="16" t="n"/>
      <c r="F35" s="16" t="b">
        <v>1</v>
      </c>
      <c r="G35" s="16" t="b">
        <v>1</v>
      </c>
      <c r="H35" s="16" t="inlineStr">
        <is>
          <t>MCovNav</t>
        </is>
      </c>
      <c r="J35" s="6" t="b">
        <v>1</v>
      </c>
      <c r="K35" s="6" t="b">
        <v>1</v>
      </c>
    </row>
    <row r="36">
      <c r="B36" s="16" t="inlineStr">
        <is>
          <t>Apply tax to residential sector?</t>
        </is>
      </c>
      <c r="C36" s="16" t="inlineStr">
        <is>
          <t>switch</t>
        </is>
      </c>
      <c r="D36" s="16" t="n"/>
      <c r="E36" s="16" t="n"/>
      <c r="F36" s="16" t="b">
        <v>1</v>
      </c>
      <c r="G36" s="16" t="b">
        <v>1</v>
      </c>
      <c r="H36" s="16" t="inlineStr">
        <is>
          <t>MCovRes</t>
        </is>
      </c>
      <c r="J36" s="6" t="b">
        <v>1</v>
      </c>
      <c r="K36" s="6" t="b">
        <v>1</v>
      </c>
    </row>
    <row r="37">
      <c r="B37" s="16" t="inlineStr">
        <is>
          <t>Apply tax to food &amp; forestry?</t>
        </is>
      </c>
      <c r="C37" s="16" t="inlineStr">
        <is>
          <t>switch</t>
        </is>
      </c>
      <c r="D37" s="16" t="n"/>
      <c r="E37" s="16" t="n"/>
      <c r="F37" s="16" t="b">
        <v>1</v>
      </c>
      <c r="G37" s="16" t="b">
        <v>1</v>
      </c>
      <c r="H37" s="16" t="inlineStr">
        <is>
          <t>MCovFoo</t>
        </is>
      </c>
      <c r="J37" s="6" t="b">
        <v>1</v>
      </c>
      <c r="K37" s="6" t="b">
        <v>1</v>
      </c>
    </row>
    <row r="38">
      <c r="B38" s="16" t="inlineStr">
        <is>
          <t>Apply tax to services (private / public)?</t>
        </is>
      </c>
      <c r="C38" s="16" t="inlineStr">
        <is>
          <t>switch</t>
        </is>
      </c>
      <c r="D38" s="16" t="n"/>
      <c r="E38" s="16" t="n"/>
      <c r="F38" s="16" t="b">
        <v>1</v>
      </c>
      <c r="G38" s="16" t="b">
        <v>1</v>
      </c>
      <c r="H38" s="16" t="inlineStr">
        <is>
          <t>MCovSrv</t>
        </is>
      </c>
      <c r="J38" s="6" t="b">
        <v>1</v>
      </c>
      <c r="K38" s="6" t="b">
        <v>1</v>
      </c>
    </row>
    <row r="39">
      <c r="B39" s="16" t="inlineStr">
        <is>
          <t>Apply tax to mining &amp; chemicals?</t>
        </is>
      </c>
      <c r="C39" s="16" t="inlineStr">
        <is>
          <t>switch</t>
        </is>
      </c>
      <c r="D39" s="16" t="n"/>
      <c r="E39" s="16" t="n"/>
      <c r="F39" s="16" t="b">
        <v>1</v>
      </c>
      <c r="G39" s="16" t="b">
        <v>1</v>
      </c>
      <c r="H39" s="16" t="inlineStr">
        <is>
          <t>MCovMch</t>
        </is>
      </c>
      <c r="J39" s="6" t="b">
        <v>1</v>
      </c>
      <c r="K39" s="6" t="b">
        <v>1</v>
      </c>
    </row>
    <row r="40">
      <c r="B40" s="16" t="inlineStr">
        <is>
          <t>Apply tax to iron and steel?</t>
        </is>
      </c>
      <c r="C40" s="16" t="inlineStr">
        <is>
          <t>switch</t>
        </is>
      </c>
      <c r="D40" s="16" t="n"/>
      <c r="E40" s="16" t="n"/>
      <c r="F40" s="16" t="b">
        <v>1</v>
      </c>
      <c r="G40" s="16" t="b">
        <v>1</v>
      </c>
      <c r="H40" s="16" t="inlineStr">
        <is>
          <t>MCovIrn</t>
        </is>
      </c>
      <c r="J40" s="6" t="b">
        <v>1</v>
      </c>
      <c r="K40" s="6" t="b">
        <v>1</v>
      </c>
    </row>
    <row r="41">
      <c r="B41" s="16" t="inlineStr">
        <is>
          <t>Apply tax to non-ferrous metals?</t>
        </is>
      </c>
      <c r="C41" s="16" t="inlineStr">
        <is>
          <t>switch</t>
        </is>
      </c>
      <c r="D41" s="16" t="n"/>
      <c r="E41" s="16" t="n"/>
      <c r="F41" s="16" t="b">
        <v>1</v>
      </c>
      <c r="G41" s="16" t="b">
        <v>1</v>
      </c>
      <c r="H41" s="16" t="inlineStr">
        <is>
          <t>MCovNfm</t>
        </is>
      </c>
      <c r="J41" s="6" t="b">
        <v>1</v>
      </c>
      <c r="K41" s="6" t="b">
        <v>1</v>
      </c>
    </row>
    <row r="42">
      <c r="B42" s="16" t="inlineStr">
        <is>
          <t>Apply tax to machinery?</t>
        </is>
      </c>
      <c r="C42" s="16" t="inlineStr">
        <is>
          <t>switch</t>
        </is>
      </c>
      <c r="D42" s="16" t="n"/>
      <c r="E42" s="16" t="n"/>
      <c r="F42" s="16" t="b">
        <v>1</v>
      </c>
      <c r="G42" s="16" t="b">
        <v>1</v>
      </c>
      <c r="H42" s="16" t="inlineStr">
        <is>
          <t>MCovMac</t>
        </is>
      </c>
      <c r="J42" s="6" t="b">
        <v>1</v>
      </c>
      <c r="K42" s="6" t="b">
        <v>1</v>
      </c>
    </row>
    <row r="43">
      <c r="B43" s="16" t="inlineStr">
        <is>
          <t>Apply tax to cement?</t>
        </is>
      </c>
      <c r="C43" s="16" t="inlineStr">
        <is>
          <t>switch</t>
        </is>
      </c>
      <c r="D43" s="16" t="n"/>
      <c r="E43" s="16" t="n"/>
      <c r="F43" s="16" t="b">
        <v>1</v>
      </c>
      <c r="G43" s="16" t="b">
        <v>1</v>
      </c>
      <c r="H43" s="16" t="inlineStr">
        <is>
          <t>MCovCem</t>
        </is>
      </c>
      <c r="J43" s="6" t="b">
        <v>1</v>
      </c>
      <c r="K43" s="6" t="b">
        <v>1</v>
      </c>
    </row>
    <row r="44">
      <c r="B44" s="16" t="inlineStr">
        <is>
          <t>Apply tax to other manucfacturing?</t>
        </is>
      </c>
      <c r="C44" s="16" t="inlineStr">
        <is>
          <t>switch</t>
        </is>
      </c>
      <c r="D44" s="16" t="n"/>
      <c r="E44" s="16" t="n"/>
      <c r="F44" s="16" t="b">
        <v>1</v>
      </c>
      <c r="G44" s="16" t="b">
        <v>1</v>
      </c>
      <c r="H44" s="16" t="inlineStr">
        <is>
          <t>MCovOmn</t>
        </is>
      </c>
      <c r="J44" s="6" t="b">
        <v>1</v>
      </c>
      <c r="K44" s="6" t="b">
        <v>1</v>
      </c>
    </row>
    <row r="45">
      <c r="B45" s="16" t="inlineStr">
        <is>
          <t>Apply tax to construction?</t>
        </is>
      </c>
      <c r="C45" s="16" t="inlineStr">
        <is>
          <t>switch</t>
        </is>
      </c>
      <c r="D45" s="16" t="n"/>
      <c r="E45" s="16" t="n"/>
      <c r="F45" s="16" t="b">
        <v>1</v>
      </c>
      <c r="G45" s="16" t="b">
        <v>1</v>
      </c>
      <c r="H45" s="16" t="inlineStr">
        <is>
          <t>MCovCst</t>
        </is>
      </c>
      <c r="J45" s="6" t="b">
        <v>1</v>
      </c>
      <c r="K45" s="6" t="b">
        <v>1</v>
      </c>
    </row>
    <row r="46">
      <c r="B46" s="16" t="inlineStr">
        <is>
          <t>Apply tax to fuel transformation?</t>
        </is>
      </c>
      <c r="C46" s="16" t="inlineStr">
        <is>
          <t>switch</t>
        </is>
      </c>
      <c r="D46" s="16" t="n"/>
      <c r="E46" s="16" t="n"/>
      <c r="F46" s="16" t="b">
        <v>1</v>
      </c>
      <c r="G46" s="16" t="b">
        <v>1</v>
      </c>
      <c r="H46" s="16" t="inlineStr">
        <is>
          <t>MCovFtr</t>
        </is>
      </c>
      <c r="J46" s="6" t="b">
        <v>1</v>
      </c>
      <c r="K46" s="6" t="b">
        <v>1</v>
      </c>
    </row>
    <row r="47">
      <c r="B47" s="16" t="inlineStr">
        <is>
          <t>Apply tax to other energy use?</t>
        </is>
      </c>
      <c r="C47" s="16" t="inlineStr">
        <is>
          <t>switch</t>
        </is>
      </c>
      <c r="D47" s="16" t="n"/>
      <c r="E47" s="16" t="n"/>
      <c r="F47" s="16" t="b">
        <v>1</v>
      </c>
      <c r="G47" s="16" t="b">
        <v>1</v>
      </c>
      <c r="H47" s="16" t="inlineStr">
        <is>
          <t>MCovOen</t>
        </is>
      </c>
      <c r="J47" s="17" t="b">
        <v>0</v>
      </c>
      <c r="K47" s="17" t="b">
        <v>0</v>
      </c>
    </row>
    <row r="48">
      <c r="B48" s="14" t="inlineStr">
        <is>
          <t>Exemptions phaseout</t>
        </is>
      </c>
    </row>
    <row r="49">
      <c r="B49" s="16" t="inlineStr">
        <is>
          <t>Apply exemption phaseout?</t>
        </is>
      </c>
      <c r="C49" s="16" t="inlineStr">
        <is>
          <t>switch</t>
        </is>
      </c>
      <c r="D49" s="16" t="n"/>
      <c r="E49" s="16" t="n"/>
      <c r="F49" s="16" t="b">
        <v>0</v>
      </c>
      <c r="G49" s="16" t="b">
        <v>0</v>
      </c>
      <c r="H49" s="16" t="inlineStr">
        <is>
          <t>ExemptPhaseout</t>
        </is>
      </c>
      <c r="J49" s="6" t="b">
        <v>0</v>
      </c>
      <c r="K49" s="6" t="b">
        <v>0</v>
      </c>
    </row>
    <row r="50">
      <c r="B50" s="16" t="inlineStr">
        <is>
          <t>Year to start exemption phaseout (if applicable)</t>
        </is>
      </c>
      <c r="C50" s="16" t="inlineStr">
        <is>
          <t>year</t>
        </is>
      </c>
      <c r="D50" s="16" t="n"/>
      <c r="E50" s="16" t="n"/>
      <c r="F50" s="16" t="n">
        <v>2027</v>
      </c>
      <c r="G50" s="16" t="n">
        <v>2027</v>
      </c>
      <c r="H50" s="16" t="inlineStr">
        <is>
          <t>YearPha</t>
        </is>
      </c>
      <c r="J50" s="6" t="n">
        <v>2027</v>
      </c>
      <c r="K50" s="6" t="n">
        <v>2027</v>
      </c>
    </row>
    <row r="51">
      <c r="B51" s="16" t="inlineStr">
        <is>
          <t>Period to reach full exemption phaseout (if applicable)</t>
        </is>
      </c>
      <c r="C51" s="16" t="inlineStr">
        <is>
          <t>year</t>
        </is>
      </c>
      <c r="D51" s="16" t="n"/>
      <c r="E51" s="16" t="n"/>
      <c r="F51" s="16" t="n">
        <v>5</v>
      </c>
      <c r="G51" s="16" t="n">
        <v>5</v>
      </c>
      <c r="H51" s="16" t="inlineStr">
        <is>
          <t>ExemptPhaseoutPeriod</t>
        </is>
      </c>
      <c r="J51" s="6" t="n">
        <v>5</v>
      </c>
      <c r="K51" s="6" t="n">
        <v>5</v>
      </c>
    </row>
    <row r="52">
      <c r="B52" s="14" t="inlineStr">
        <is>
          <t>Feebates: Starting and End Date</t>
        </is>
      </c>
    </row>
    <row r="53">
      <c r="B53" s="16" t="inlineStr">
        <is>
          <t>Start date</t>
        </is>
      </c>
      <c r="C53" s="16" t="n"/>
      <c r="D53" s="16" t="n"/>
      <c r="E53" s="16" t="n"/>
      <c r="F53" s="16" t="n">
        <v>2027</v>
      </c>
      <c r="G53" s="16" t="n">
        <v>2027</v>
      </c>
      <c r="H53" s="16" t="inlineStr">
        <is>
          <t>D_FeebateIntro</t>
        </is>
      </c>
      <c r="J53" s="6" t="n">
        <v>2027</v>
      </c>
      <c r="K53" s="6" t="n">
        <v>2027</v>
      </c>
    </row>
    <row r="54">
      <c r="B54" s="16" t="inlineStr">
        <is>
          <t>Target date</t>
        </is>
      </c>
      <c r="C54" s="16" t="n"/>
      <c r="D54" s="16" t="n"/>
      <c r="E54" s="16" t="n"/>
      <c r="F54" s="16" t="n">
        <v>2035</v>
      </c>
      <c r="G54" s="16" t="n">
        <v>2035</v>
      </c>
      <c r="H54" s="16" t="inlineStr">
        <is>
          <t>D_FeebateOutro</t>
        </is>
      </c>
      <c r="J54" s="6" t="n">
        <v>2035</v>
      </c>
      <c r="K54" s="6" t="n">
        <v>2035</v>
      </c>
    </row>
    <row r="55">
      <c r="B55" s="14" t="inlineStr">
        <is>
          <t>Feebates: Feebate starting rate</t>
        </is>
      </c>
    </row>
    <row r="56">
      <c r="B56" s="16" t="inlineStr">
        <is>
          <t>Power sector</t>
        </is>
      </c>
      <c r="C56" s="16" t="inlineStr">
        <is>
          <t>USD/tCO2</t>
        </is>
      </c>
      <c r="D56" s="16" t="n"/>
      <c r="E56" s="16" t="n"/>
      <c r="F56" s="16" t="n">
        <v>0</v>
      </c>
      <c r="G56" s="16" t="n">
        <v>0</v>
      </c>
      <c r="H56" s="16" t="inlineStr">
        <is>
          <t>D_Feb_Level_Start_Pow</t>
        </is>
      </c>
      <c r="J56" s="6" t="n">
        <v>0</v>
      </c>
      <c r="K56" s="6" t="n">
        <v>0</v>
      </c>
    </row>
    <row r="57">
      <c r="B57" s="16" t="inlineStr">
        <is>
          <t>Transport</t>
        </is>
      </c>
      <c r="C57" s="16" t="inlineStr">
        <is>
          <t>USD/tCO2</t>
        </is>
      </c>
      <c r="D57" s="16" t="n"/>
      <c r="E57" s="16" t="n"/>
      <c r="F57" s="16" t="n">
        <v>0</v>
      </c>
      <c r="G57" s="16" t="n">
        <v>0</v>
      </c>
      <c r="H57" s="16" t="inlineStr">
        <is>
          <t>D_Feb_Level_Start_Trans</t>
        </is>
      </c>
      <c r="J57" s="6" t="n">
        <v>0</v>
      </c>
      <c r="K57" s="6" t="n">
        <v>0</v>
      </c>
    </row>
    <row r="58">
      <c r="B58" s="16" t="inlineStr">
        <is>
          <t>Residential</t>
        </is>
      </c>
      <c r="C58" s="16" t="inlineStr">
        <is>
          <t>USD/tCO2</t>
        </is>
      </c>
      <c r="D58" s="16" t="n"/>
      <c r="E58" s="16" t="n"/>
      <c r="F58" s="16" t="n">
        <v>0</v>
      </c>
      <c r="G58" s="16" t="n">
        <v>0</v>
      </c>
      <c r="H58" s="16" t="inlineStr">
        <is>
          <t>D_Feb_Level_Start_Res</t>
        </is>
      </c>
      <c r="J58" s="6" t="n">
        <v>0</v>
      </c>
      <c r="K58" s="6" t="n">
        <v>0</v>
      </c>
    </row>
    <row r="59">
      <c r="B59" s="16" t="inlineStr">
        <is>
          <t>Industry</t>
        </is>
      </c>
      <c r="C59" s="16" t="inlineStr">
        <is>
          <t>USD/tCO2</t>
        </is>
      </c>
      <c r="D59" s="16" t="n"/>
      <c r="E59" s="16" t="n"/>
      <c r="F59" s="16" t="n">
        <v>0</v>
      </c>
      <c r="G59" s="16" t="n">
        <v>0</v>
      </c>
      <c r="H59" s="16" t="inlineStr">
        <is>
          <t>D_Feb_Level_Start_Ind</t>
        </is>
      </c>
      <c r="J59" s="6" t="n">
        <v>0</v>
      </c>
      <c r="K59" s="6" t="n">
        <v>0</v>
      </c>
    </row>
    <row r="60">
      <c r="B60" s="14" t="inlineStr">
        <is>
          <t>Feebates: Feebate target rate</t>
        </is>
      </c>
    </row>
    <row r="61">
      <c r="B61" s="16" t="inlineStr">
        <is>
          <t>Power sector</t>
        </is>
      </c>
      <c r="C61" s="16" t="inlineStr">
        <is>
          <t>USD/tCO2</t>
        </is>
      </c>
      <c r="D61" s="16" t="n"/>
      <c r="E61" s="16" t="n"/>
      <c r="F61" s="16" t="n">
        <v>0</v>
      </c>
      <c r="G61" s="16" t="n">
        <v>0</v>
      </c>
      <c r="H61" s="16" t="inlineStr">
        <is>
          <t>D_Feb_Level_Target_Pow</t>
        </is>
      </c>
      <c r="J61" s="6" t="n">
        <v>0</v>
      </c>
      <c r="K61" s="6" t="n">
        <v>0</v>
      </c>
    </row>
    <row r="62">
      <c r="B62" s="16" t="inlineStr">
        <is>
          <t>Transport</t>
        </is>
      </c>
      <c r="C62" s="16" t="inlineStr">
        <is>
          <t>USD/tCO2</t>
        </is>
      </c>
      <c r="D62" s="16" t="n"/>
      <c r="E62" s="16" t="n"/>
      <c r="F62" s="16" t="n">
        <v>0</v>
      </c>
      <c r="G62" s="16" t="n">
        <v>0</v>
      </c>
      <c r="H62" s="16" t="inlineStr">
        <is>
          <t>D_Feb_Level_Target_Trans</t>
        </is>
      </c>
      <c r="J62" s="6" t="n">
        <v>0</v>
      </c>
      <c r="K62" s="6" t="n">
        <v>0</v>
      </c>
    </row>
    <row r="63">
      <c r="B63" s="16" t="inlineStr">
        <is>
          <t>Residential</t>
        </is>
      </c>
      <c r="C63" s="16" t="inlineStr">
        <is>
          <t>USD/tCO2</t>
        </is>
      </c>
      <c r="D63" s="16" t="n"/>
      <c r="E63" s="16" t="n"/>
      <c r="F63" s="16" t="n">
        <v>0</v>
      </c>
      <c r="G63" s="16" t="n">
        <v>0</v>
      </c>
      <c r="H63" s="16" t="inlineStr">
        <is>
          <t>D_Feb_Level_Target_Res</t>
        </is>
      </c>
      <c r="J63" s="6" t="n">
        <v>0</v>
      </c>
      <c r="K63" s="6" t="n">
        <v>0</v>
      </c>
    </row>
    <row r="64">
      <c r="B64" s="16" t="inlineStr">
        <is>
          <t>Industry</t>
        </is>
      </c>
      <c r="C64" s="16" t="inlineStr">
        <is>
          <t>USD/tCO2</t>
        </is>
      </c>
      <c r="D64" s="16" t="n"/>
      <c r="E64" s="16" t="n"/>
      <c r="F64" s="16" t="n">
        <v>0</v>
      </c>
      <c r="G64" s="16" t="n">
        <v>0</v>
      </c>
      <c r="H64" s="16" t="inlineStr">
        <is>
          <t>D_Feb_Level_Target_Ind</t>
        </is>
      </c>
      <c r="J64" s="6" t="n">
        <v>0</v>
      </c>
      <c r="K64" s="6" t="n">
        <v>0</v>
      </c>
    </row>
    <row r="65">
      <c r="B65" s="14" t="inlineStr">
        <is>
          <t>Feebates sector coverage</t>
        </is>
      </c>
    </row>
    <row r="66">
      <c r="B66" s="16" t="inlineStr">
        <is>
          <t>Apply tax to power sector?</t>
        </is>
      </c>
      <c r="C66" s="16" t="inlineStr">
        <is>
          <t>switch</t>
        </is>
      </c>
      <c r="D66" s="16" t="n"/>
      <c r="E66" s="16" t="n"/>
      <c r="F66" s="16" t="b">
        <v>0</v>
      </c>
      <c r="G66" s="16" t="b">
        <v>1</v>
      </c>
      <c r="H66" s="16" t="n"/>
      <c r="J66" s="6" t="b">
        <v>0</v>
      </c>
      <c r="K66" s="6" t="b">
        <v>0</v>
      </c>
    </row>
    <row r="67">
      <c r="B67" s="16" t="inlineStr">
        <is>
          <t>Apply tax to road transportation?</t>
        </is>
      </c>
      <c r="C67" s="16" t="n"/>
      <c r="D67" s="16" t="n"/>
      <c r="E67" s="16" t="n"/>
      <c r="F67" s="16" t="b">
        <v>0</v>
      </c>
      <c r="G67" s="16" t="b">
        <v>0</v>
      </c>
      <c r="H67" s="16" t="n"/>
      <c r="J67" s="6" t="b">
        <v>0</v>
      </c>
      <c r="K67" s="6" t="b">
        <v>0</v>
      </c>
    </row>
    <row r="68">
      <c r="B68" s="16" t="inlineStr">
        <is>
          <t>Apply tax to rail transportation?</t>
        </is>
      </c>
      <c r="C68" s="16" t="n"/>
      <c r="D68" s="16" t="n"/>
      <c r="E68" s="16" t="n"/>
      <c r="F68" s="16" t="b">
        <v>0</v>
      </c>
      <c r="G68" s="16" t="b">
        <v>0</v>
      </c>
      <c r="H68" s="16" t="n"/>
      <c r="J68" s="6" t="b">
        <v>0</v>
      </c>
      <c r="K68" s="6" t="b">
        <v>0</v>
      </c>
    </row>
    <row r="69">
      <c r="B69" s="16" t="inlineStr">
        <is>
          <t>Apply tax to domestic aviation?</t>
        </is>
      </c>
      <c r="C69" s="16" t="n"/>
      <c r="D69" s="16" t="n"/>
      <c r="E69" s="16" t="n"/>
      <c r="F69" s="16" t="b">
        <v>0</v>
      </c>
      <c r="G69" s="16" t="b">
        <v>0</v>
      </c>
      <c r="H69" s="16" t="n"/>
      <c r="J69" s="6" t="b">
        <v>0</v>
      </c>
      <c r="K69" s="6" t="b">
        <v>0</v>
      </c>
    </row>
    <row r="70">
      <c r="B70" s="16" t="inlineStr">
        <is>
          <t>Apply tax to domestic shipping?</t>
        </is>
      </c>
      <c r="C70" s="16" t="n"/>
      <c r="D70" s="16" t="n"/>
      <c r="E70" s="16" t="n"/>
      <c r="F70" s="16" t="b">
        <v>0</v>
      </c>
      <c r="G70" s="16" t="b">
        <v>0</v>
      </c>
      <c r="H70" s="16" t="n"/>
      <c r="J70" s="6" t="b">
        <v>0</v>
      </c>
      <c r="K70" s="6" t="b">
        <v>0</v>
      </c>
    </row>
    <row r="71">
      <c r="B71" s="16" t="inlineStr">
        <is>
          <t>Apply tax to residential sector?</t>
        </is>
      </c>
      <c r="C71" s="16" t="inlineStr">
        <is>
          <t>switch</t>
        </is>
      </c>
      <c r="D71" s="16" t="n"/>
      <c r="E71" s="16" t="n"/>
      <c r="F71" s="16" t="b">
        <v>0</v>
      </c>
      <c r="G71" s="16" t="b">
        <v>1</v>
      </c>
      <c r="H71" s="16" t="n"/>
      <c r="J71" s="6" t="b">
        <v>0</v>
      </c>
      <c r="K71" s="6" t="b">
        <v>0</v>
      </c>
    </row>
    <row r="72">
      <c r="B72" s="16" t="inlineStr">
        <is>
          <t>Apply tax to food &amp; forestry?</t>
        </is>
      </c>
      <c r="C72" s="16" t="n"/>
      <c r="D72" s="16" t="n"/>
      <c r="E72" s="16" t="n"/>
      <c r="F72" s="16" t="b">
        <v>0</v>
      </c>
      <c r="G72" s="16" t="b">
        <v>1</v>
      </c>
      <c r="H72" s="16" t="n"/>
      <c r="J72" s="6" t="b">
        <v>0</v>
      </c>
      <c r="K72" s="6" t="b">
        <v>0</v>
      </c>
    </row>
    <row r="73">
      <c r="B73" s="16" t="inlineStr">
        <is>
          <t>Apply tax to services (private / public)?</t>
        </is>
      </c>
      <c r="C73" s="16" t="n"/>
      <c r="D73" s="16" t="n"/>
      <c r="E73" s="16" t="n"/>
      <c r="F73" s="16" t="b">
        <v>0</v>
      </c>
      <c r="G73" s="16" t="b">
        <v>1</v>
      </c>
      <c r="H73" s="16" t="n"/>
      <c r="J73" s="6" t="b">
        <v>0</v>
      </c>
      <c r="K73" s="6" t="b">
        <v>0</v>
      </c>
    </row>
    <row r="74">
      <c r="B74" s="16" t="inlineStr">
        <is>
          <t>Apply tax to mining &amp; chemicals?</t>
        </is>
      </c>
      <c r="C74" s="16" t="n"/>
      <c r="D74" s="16" t="n"/>
      <c r="E74" s="16" t="n"/>
      <c r="F74" s="16" t="b">
        <v>1</v>
      </c>
      <c r="G74" s="16" t="b">
        <v>1</v>
      </c>
      <c r="H74" s="16" t="n"/>
      <c r="J74" s="6" t="b">
        <v>1</v>
      </c>
      <c r="K74" s="6" t="b">
        <v>1</v>
      </c>
    </row>
    <row r="75">
      <c r="B75" s="16" t="inlineStr">
        <is>
          <t>Apply tax to iron and steel?</t>
        </is>
      </c>
      <c r="C75" s="16" t="n"/>
      <c r="D75" s="16" t="n"/>
      <c r="E75" s="16" t="n"/>
      <c r="F75" s="16" t="b">
        <v>0</v>
      </c>
      <c r="G75" s="16" t="b">
        <v>1</v>
      </c>
      <c r="H75" s="16" t="n"/>
      <c r="J75" s="6" t="b">
        <v>0</v>
      </c>
      <c r="K75" s="6" t="b">
        <v>0</v>
      </c>
    </row>
    <row r="76">
      <c r="B76" s="16" t="inlineStr">
        <is>
          <t>Apply tax to non-ferrous metals?</t>
        </is>
      </c>
      <c r="C76" s="16" t="n"/>
      <c r="D76" s="16" t="n"/>
      <c r="E76" s="16" t="n"/>
      <c r="F76" s="16" t="b">
        <v>1</v>
      </c>
      <c r="G76" s="16" t="b">
        <v>1</v>
      </c>
      <c r="H76" s="16" t="n"/>
      <c r="J76" s="6" t="b">
        <v>1</v>
      </c>
      <c r="K76" s="6" t="b">
        <v>1</v>
      </c>
    </row>
    <row r="77">
      <c r="B77" s="16" t="inlineStr">
        <is>
          <t>Apply tax to machinery?</t>
        </is>
      </c>
      <c r="C77" s="16" t="n"/>
      <c r="D77" s="16" t="n"/>
      <c r="E77" s="16" t="n"/>
      <c r="F77" s="16" t="b">
        <v>1</v>
      </c>
      <c r="G77" s="16" t="b">
        <v>1</v>
      </c>
      <c r="H77" s="16" t="n"/>
      <c r="J77" s="6" t="b">
        <v>1</v>
      </c>
      <c r="K77" s="6" t="b">
        <v>1</v>
      </c>
    </row>
    <row r="78">
      <c r="B78" s="16" t="inlineStr">
        <is>
          <t>Apply tax to cement?</t>
        </is>
      </c>
      <c r="C78" s="16" t="n"/>
      <c r="D78" s="16" t="n"/>
      <c r="E78" s="16" t="n"/>
      <c r="F78" s="16" t="b">
        <v>1</v>
      </c>
      <c r="G78" s="16" t="b">
        <v>1</v>
      </c>
      <c r="H78" s="16" t="n"/>
      <c r="J78" s="6" t="b">
        <v>1</v>
      </c>
      <c r="K78" s="6" t="b">
        <v>1</v>
      </c>
    </row>
    <row r="79">
      <c r="B79" s="16" t="inlineStr">
        <is>
          <t>Apply tax to other manucfacturing?</t>
        </is>
      </c>
      <c r="C79" s="16" t="n"/>
      <c r="D79" s="16" t="n"/>
      <c r="E79" s="16" t="n"/>
      <c r="F79" s="16" t="b">
        <v>1</v>
      </c>
      <c r="G79" s="16" t="b">
        <v>1</v>
      </c>
      <c r="H79" s="16" t="n"/>
      <c r="J79" s="6" t="b">
        <v>1</v>
      </c>
      <c r="K79" s="6" t="b">
        <v>1</v>
      </c>
    </row>
    <row r="80">
      <c r="B80" s="16" t="inlineStr">
        <is>
          <t>Apply tax to construction?</t>
        </is>
      </c>
      <c r="C80" s="16" t="n"/>
      <c r="D80" s="16" t="n"/>
      <c r="E80" s="16" t="n"/>
      <c r="F80" s="16" t="b">
        <v>1</v>
      </c>
      <c r="G80" s="16" t="b">
        <v>1</v>
      </c>
      <c r="H80" s="16" t="n"/>
      <c r="J80" s="6" t="b">
        <v>1</v>
      </c>
      <c r="K80" s="6" t="b">
        <v>1</v>
      </c>
    </row>
    <row r="81">
      <c r="B81" s="16" t="inlineStr">
        <is>
          <t>Apply tax to fuel transformation?</t>
        </is>
      </c>
      <c r="C81" s="16" t="n"/>
      <c r="D81" s="16" t="n"/>
      <c r="E81" s="16" t="n"/>
      <c r="F81" s="16" t="b">
        <v>1</v>
      </c>
      <c r="G81" s="16" t="b">
        <v>1</v>
      </c>
      <c r="H81" s="16" t="n"/>
      <c r="J81" s="6" t="b">
        <v>1</v>
      </c>
      <c r="K81" s="6" t="b">
        <v>1</v>
      </c>
    </row>
    <row r="82">
      <c r="B82" s="16" t="inlineStr">
        <is>
          <t>Apply tax to other energy use?</t>
        </is>
      </c>
      <c r="C82" s="16" t="n"/>
      <c r="D82" s="16" t="n"/>
      <c r="E82" s="16" t="n"/>
      <c r="F82" s="16" t="b">
        <v>1</v>
      </c>
      <c r="G82" s="16" t="b">
        <v>1</v>
      </c>
      <c r="H82" s="16" t="n"/>
      <c r="J82" s="6" t="b">
        <v>1</v>
      </c>
      <c r="K82" s="6" t="b">
        <v>1</v>
      </c>
    </row>
    <row r="83">
      <c r="B83" s="14" t="inlineStr">
        <is>
          <t>ETS Main Characteristics</t>
        </is>
      </c>
    </row>
    <row r="84">
      <c r="B84" s="16" t="inlineStr">
        <is>
          <t>Apply new ETS?</t>
        </is>
      </c>
      <c r="C84" s="16" t="n"/>
      <c r="D84" s="16" t="n"/>
      <c r="E84" s="16" t="n"/>
      <c r="F84" s="16" t="inlineStr">
        <is>
          <t>No</t>
        </is>
      </c>
      <c r="G84" s="16" t="inlineStr">
        <is>
          <t>No</t>
        </is>
      </c>
      <c r="H84" s="16" t="inlineStr">
        <is>
          <t>D_NewETS</t>
        </is>
      </c>
      <c r="J84" s="6" t="inlineStr">
        <is>
          <t>No</t>
        </is>
      </c>
      <c r="K84" s="6" t="inlineStr">
        <is>
          <t>No</t>
        </is>
      </c>
    </row>
    <row r="85">
      <c r="B85" s="16" t="inlineStr">
        <is>
          <t>Change Relative to Baseline in Start Year</t>
        </is>
      </c>
      <c r="C85" s="16" t="n"/>
      <c r="D85" s="16" t="n"/>
      <c r="E85" s="16" t="n"/>
      <c r="F85" s="16" t="n">
        <v>0</v>
      </c>
      <c r="G85" s="16" t="n">
        <v>0</v>
      </c>
      <c r="H85" s="16" t="inlineStr">
        <is>
          <t>D_ETSChangeRelStart</t>
        </is>
      </c>
      <c r="J85" s="6" t="n">
        <v>0</v>
      </c>
      <c r="K85" s="6" t="n">
        <v>0</v>
      </c>
    </row>
    <row r="86">
      <c r="B86" s="16" t="inlineStr">
        <is>
          <t>Change Relative to Baseline in Target Year</t>
        </is>
      </c>
      <c r="C86" s="16" t="n"/>
      <c r="D86" s="16" t="n"/>
      <c r="E86" s="16" t="n"/>
      <c r="F86" s="16" t="n">
        <v>0</v>
      </c>
      <c r="G86" s="16" t="n">
        <v>0</v>
      </c>
      <c r="H86" s="16" t="inlineStr">
        <is>
          <t>D_ETSChangeRelTarget</t>
        </is>
      </c>
      <c r="J86" s="6" t="n">
        <v>0</v>
      </c>
      <c r="K86" s="6" t="n">
        <v>0</v>
      </c>
    </row>
    <row r="87">
      <c r="B87" s="16" t="inlineStr">
        <is>
          <t>Cap continuation after target year?</t>
        </is>
      </c>
      <c r="C87" s="16" t="n"/>
      <c r="D87" s="16" t="n"/>
      <c r="E87" s="16" t="n"/>
      <c r="F87" s="16" t="inlineStr">
        <is>
          <t>Constant</t>
        </is>
      </c>
      <c r="G87" s="16" t="inlineStr">
        <is>
          <t>KeepRelativeCapConstant</t>
        </is>
      </c>
      <c r="H87" s="16" t="inlineStr">
        <is>
          <t>D_ETSCapCont</t>
        </is>
      </c>
      <c r="J87" s="6" t="inlineStr">
        <is>
          <t>Constant</t>
        </is>
      </c>
      <c r="K87" s="6" t="inlineStr">
        <is>
          <t>Constant</t>
        </is>
      </c>
    </row>
    <row r="88">
      <c r="B88" s="16" t="inlineStr">
        <is>
          <t>ETS Start Year</t>
        </is>
      </c>
      <c r="C88" s="16" t="n"/>
      <c r="D88" s="16" t="n"/>
      <c r="E88" s="16" t="n"/>
      <c r="F88" s="16" t="n">
        <v>2027</v>
      </c>
      <c r="G88" s="16" t="n">
        <v>2026</v>
      </c>
      <c r="H88" s="16" t="inlineStr">
        <is>
          <t>D_ETSIntro</t>
        </is>
      </c>
      <c r="J88" s="6" t="n">
        <v>2027</v>
      </c>
      <c r="K88" s="6" t="n">
        <v>2027</v>
      </c>
    </row>
    <row r="89">
      <c r="B89" s="16" t="inlineStr">
        <is>
          <t>ETS Target Year</t>
        </is>
      </c>
      <c r="C89" s="16" t="n"/>
      <c r="D89" s="16" t="n"/>
      <c r="E89" s="16" t="n"/>
      <c r="F89" s="16" t="n">
        <v>2035</v>
      </c>
      <c r="G89" s="16" t="n">
        <v>2035</v>
      </c>
      <c r="H89" s="16" t="inlineStr">
        <is>
          <t>D_ETSOutro</t>
        </is>
      </c>
      <c r="J89" s="6" t="n">
        <v>2035</v>
      </c>
      <c r="K89" s="6" t="n">
        <v>2035</v>
      </c>
    </row>
    <row r="90">
      <c r="B90" s="16" t="inlineStr">
        <is>
          <t>Proportion Auctioned in Starting Year</t>
        </is>
      </c>
      <c r="C90" s="16" t="n"/>
      <c r="D90" s="16" t="n"/>
      <c r="E90" s="16" t="n"/>
      <c r="F90" s="16" t="n">
        <v>0</v>
      </c>
      <c r="G90" s="16" t="n">
        <v>0</v>
      </c>
      <c r="H90" s="16" t="inlineStr">
        <is>
          <t>D_ETSAuctStart</t>
        </is>
      </c>
      <c r="J90" s="6" t="n">
        <v>0</v>
      </c>
      <c r="K90" s="6" t="n">
        <v>0</v>
      </c>
    </row>
    <row r="91">
      <c r="B91" s="16" t="inlineStr">
        <is>
          <t>Proportion Auctioned in Target Year</t>
        </is>
      </c>
      <c r="C91" s="16" t="n"/>
      <c r="D91" s="16" t="n"/>
      <c r="E91" s="16" t="n"/>
      <c r="F91" s="16" t="n">
        <v>0</v>
      </c>
      <c r="G91" s="16" t="n">
        <v>1</v>
      </c>
      <c r="H91" s="16" t="inlineStr">
        <is>
          <t>D_ETSAuctTarget</t>
        </is>
      </c>
      <c r="J91" s="6" t="n">
        <v>0</v>
      </c>
      <c r="K91" s="6" t="n">
        <v>0</v>
      </c>
    </row>
    <row r="92">
      <c r="B92" s="16" t="inlineStr">
        <is>
          <t>Auction proportion continuation after target year?</t>
        </is>
      </c>
      <c r="C92" s="16" t="n"/>
      <c r="D92" s="16" t="n"/>
      <c r="E92" s="16" t="n"/>
      <c r="F92" s="16" t="inlineStr">
        <is>
          <t>Constant</t>
        </is>
      </c>
      <c r="G92" s="16" t="inlineStr">
        <is>
          <t>Constant</t>
        </is>
      </c>
      <c r="H92" s="16" t="inlineStr">
        <is>
          <t>D_ETSAuctCont</t>
        </is>
      </c>
      <c r="J92" s="6" t="inlineStr">
        <is>
          <t>Constant</t>
        </is>
      </c>
      <c r="K92" s="6" t="inlineStr">
        <is>
          <t>Constant</t>
        </is>
      </c>
    </row>
    <row r="93">
      <c r="B93" s="16" t="inlineStr">
        <is>
          <t>Override ETS price</t>
        </is>
      </c>
      <c r="C93" s="16" t="n"/>
      <c r="D93" s="16" t="n"/>
      <c r="E93" s="16" t="n"/>
      <c r="F93" s="16" t="inlineStr">
        <is>
          <t>No</t>
        </is>
      </c>
      <c r="G93" s="16" t="inlineStr">
        <is>
          <t>No</t>
        </is>
      </c>
      <c r="H93" s="16" t="inlineStr">
        <is>
          <t>D_ETSPriceOverride</t>
        </is>
      </c>
      <c r="J93" s="6" t="inlineStr">
        <is>
          <t>No</t>
        </is>
      </c>
      <c r="K93" s="6" t="inlineStr">
        <is>
          <t>No</t>
        </is>
      </c>
    </row>
    <row r="94">
      <c r="B94" s="14" t="inlineStr">
        <is>
          <t>ETS: modelling assumptions</t>
        </is>
      </c>
    </row>
    <row r="95">
      <c r="B95" s="16" t="inlineStr">
        <is>
          <t>ETS Volatility</t>
        </is>
      </c>
      <c r="C95" s="16" t="n"/>
      <c r="D95" s="16" t="n"/>
      <c r="E95" s="16" t="n"/>
      <c r="F95" s="16" t="inlineStr">
        <is>
          <t>Medium*</t>
        </is>
      </c>
      <c r="G95" s="16" t="inlineStr">
        <is>
          <t>Medium*</t>
        </is>
      </c>
      <c r="H95" s="16" t="inlineStr">
        <is>
          <t>D_ETSVolatility</t>
        </is>
      </c>
      <c r="J95" s="6" t="inlineStr">
        <is>
          <t>Medium*</t>
        </is>
      </c>
      <c r="K95" s="6" t="inlineStr">
        <is>
          <t>Medium*</t>
        </is>
      </c>
    </row>
    <row r="96">
      <c r="B96" s="16" t="inlineStr">
        <is>
          <t>Impact of Volatility on Abatement Costs</t>
        </is>
      </c>
      <c r="C96" s="16" t="n"/>
      <c r="D96" s="16" t="n"/>
      <c r="E96" s="16" t="n"/>
      <c r="F96" s="16" t="inlineStr">
        <is>
          <t>Medium*</t>
        </is>
      </c>
      <c r="G96" s="16" t="inlineStr">
        <is>
          <t>Medium*</t>
        </is>
      </c>
      <c r="H96" s="16" t="inlineStr">
        <is>
          <t>D_ETSVolImpact</t>
        </is>
      </c>
      <c r="J96" s="6" t="inlineStr">
        <is>
          <t>Medium*</t>
        </is>
      </c>
      <c r="K96" s="6" t="inlineStr">
        <is>
          <t>Medium*</t>
        </is>
      </c>
    </row>
    <row r="97">
      <c r="B97" s="16" t="inlineStr">
        <is>
          <t>Carbon Tax Policy Risk</t>
        </is>
      </c>
      <c r="C97" s="16" t="n"/>
      <c r="D97" s="16" t="n"/>
      <c r="E97" s="16" t="n"/>
      <c r="F97" s="16" t="n">
        <v>0.2</v>
      </c>
      <c r="G97" s="16" t="n">
        <v>0.2</v>
      </c>
      <c r="H97" s="16" t="inlineStr">
        <is>
          <t>D_ETSCTRisk</t>
        </is>
      </c>
      <c r="J97" s="6" t="n">
        <v>0.2</v>
      </c>
      <c r="K97" s="6" t="n">
        <v>0.2</v>
      </c>
    </row>
    <row r="98">
      <c r="B98" s="14" t="inlineStr">
        <is>
          <t>ETS: sector coverage</t>
        </is>
      </c>
    </row>
    <row r="99">
      <c r="B99" s="16" t="inlineStr">
        <is>
          <t>power sector</t>
        </is>
      </c>
      <c r="C99" s="16" t="inlineStr">
        <is>
          <t>switch</t>
        </is>
      </c>
      <c r="D99" s="16" t="n"/>
      <c r="E99" s="16" t="n"/>
      <c r="F99" s="16" t="b">
        <v>1</v>
      </c>
      <c r="G99" s="16" t="b">
        <v>1</v>
      </c>
      <c r="H99" s="16" t="n"/>
      <c r="J99" s="6" t="b">
        <v>1</v>
      </c>
      <c r="K99" s="6" t="b">
        <v>1</v>
      </c>
    </row>
    <row r="100">
      <c r="B100" s="16" t="inlineStr">
        <is>
          <t>road transportation</t>
        </is>
      </c>
      <c r="C100" s="16" t="n"/>
      <c r="D100" s="16" t="n"/>
      <c r="E100" s="16" t="n"/>
      <c r="F100" s="16" t="b">
        <v>0</v>
      </c>
      <c r="G100" s="16" t="b">
        <v>1</v>
      </c>
      <c r="H100" s="16" t="n"/>
      <c r="J100" s="6" t="b">
        <v>0</v>
      </c>
      <c r="K100" s="6" t="b">
        <v>0</v>
      </c>
    </row>
    <row r="101">
      <c r="B101" s="16" t="inlineStr">
        <is>
          <t>rail transportation</t>
        </is>
      </c>
      <c r="C101" s="16" t="n"/>
      <c r="D101" s="16" t="n"/>
      <c r="E101" s="16" t="n"/>
      <c r="F101" s="16" t="b">
        <v>0</v>
      </c>
      <c r="G101" s="16" t="b">
        <v>1</v>
      </c>
      <c r="H101" s="16" t="n"/>
      <c r="J101" s="6" t="b">
        <v>0</v>
      </c>
      <c r="K101" s="6" t="b">
        <v>0</v>
      </c>
    </row>
    <row r="102">
      <c r="B102" s="16" t="inlineStr">
        <is>
          <t>domestic aviation</t>
        </is>
      </c>
      <c r="C102" s="16" t="n"/>
      <c r="D102" s="16" t="n"/>
      <c r="E102" s="16" t="n"/>
      <c r="F102" s="16" t="b">
        <v>0</v>
      </c>
      <c r="G102" s="16" t="b">
        <v>1</v>
      </c>
      <c r="H102" s="16" t="n"/>
      <c r="J102" s="6" t="b">
        <v>0</v>
      </c>
      <c r="K102" s="6" t="b">
        <v>0</v>
      </c>
    </row>
    <row r="103">
      <c r="B103" s="16" t="inlineStr">
        <is>
          <t>domestic shipping</t>
        </is>
      </c>
      <c r="C103" s="16" t="n"/>
      <c r="D103" s="16" t="n"/>
      <c r="E103" s="16" t="n"/>
      <c r="F103" s="16" t="b">
        <v>0</v>
      </c>
      <c r="G103" s="16" t="b">
        <v>1</v>
      </c>
      <c r="H103" s="16" t="n"/>
      <c r="J103" s="6" t="b">
        <v>0</v>
      </c>
      <c r="K103" s="6" t="b">
        <v>0</v>
      </c>
    </row>
    <row r="104">
      <c r="B104" s="16" t="inlineStr">
        <is>
          <t>residential</t>
        </is>
      </c>
      <c r="C104" s="16" t="inlineStr">
        <is>
          <t>switch</t>
        </is>
      </c>
      <c r="D104" s="16" t="n"/>
      <c r="E104" s="16" t="n"/>
      <c r="F104" s="16" t="b">
        <v>0</v>
      </c>
      <c r="G104" s="16" t="b">
        <v>1</v>
      </c>
      <c r="H104" s="16" t="n"/>
      <c r="J104" s="6" t="b">
        <v>0</v>
      </c>
      <c r="K104" s="6" t="b">
        <v>0</v>
      </c>
    </row>
    <row r="105">
      <c r="B105" s="16" t="inlineStr">
        <is>
          <t>food &amp; forestry</t>
        </is>
      </c>
      <c r="C105" s="16" t="n"/>
      <c r="D105" s="16" t="n"/>
      <c r="E105" s="16" t="n"/>
      <c r="F105" s="16" t="b">
        <v>0</v>
      </c>
      <c r="G105" s="16" t="b">
        <v>1</v>
      </c>
      <c r="H105" s="16" t="n"/>
      <c r="J105" s="6" t="b">
        <v>0</v>
      </c>
      <c r="K105" s="6" t="b">
        <v>0</v>
      </c>
    </row>
    <row r="106">
      <c r="B106" s="16" t="inlineStr">
        <is>
          <t>services (private / public)</t>
        </is>
      </c>
      <c r="C106" s="16" t="n"/>
      <c r="D106" s="16" t="n"/>
      <c r="E106" s="16" t="n"/>
      <c r="F106" s="16" t="b">
        <v>0</v>
      </c>
      <c r="G106" s="16" t="b">
        <v>1</v>
      </c>
      <c r="H106" s="16" t="n"/>
      <c r="J106" s="6" t="b">
        <v>0</v>
      </c>
      <c r="K106" s="6" t="b">
        <v>0</v>
      </c>
    </row>
    <row r="107">
      <c r="B107" s="16" t="inlineStr">
        <is>
          <t>mining &amp; chemicals</t>
        </is>
      </c>
      <c r="C107" s="16" t="n"/>
      <c r="D107" s="16" t="n"/>
      <c r="E107" s="16" t="n"/>
      <c r="F107" s="16" t="b">
        <v>1</v>
      </c>
      <c r="G107" s="16" t="b">
        <v>1</v>
      </c>
      <c r="H107" s="16" t="n"/>
      <c r="J107" s="6" t="b">
        <v>1</v>
      </c>
      <c r="K107" s="6" t="b">
        <v>1</v>
      </c>
    </row>
    <row r="108">
      <c r="B108" s="16" t="inlineStr">
        <is>
          <t>iron and steel</t>
        </is>
      </c>
      <c r="C108" s="16" t="n"/>
      <c r="D108" s="16" t="n"/>
      <c r="E108" s="16" t="n"/>
      <c r="F108" s="16" t="b">
        <v>1</v>
      </c>
      <c r="G108" s="16" t="b">
        <v>1</v>
      </c>
      <c r="H108" s="16" t="n"/>
      <c r="J108" s="6" t="b">
        <v>1</v>
      </c>
      <c r="K108" s="6" t="b">
        <v>1</v>
      </c>
    </row>
    <row r="109">
      <c r="B109" s="16" t="inlineStr">
        <is>
          <t>non-ferrous metals</t>
        </is>
      </c>
      <c r="C109" s="16" t="n"/>
      <c r="D109" s="16" t="n"/>
      <c r="E109" s="16" t="n"/>
      <c r="F109" s="16" t="b">
        <v>1</v>
      </c>
      <c r="G109" s="16" t="b">
        <v>1</v>
      </c>
      <c r="H109" s="16" t="n"/>
      <c r="J109" s="6" t="b">
        <v>1</v>
      </c>
      <c r="K109" s="6" t="b">
        <v>1</v>
      </c>
    </row>
    <row r="110">
      <c r="B110" s="16" t="inlineStr">
        <is>
          <t>machinery</t>
        </is>
      </c>
      <c r="C110" s="16" t="n"/>
      <c r="D110" s="16" t="n"/>
      <c r="E110" s="16" t="n"/>
      <c r="F110" s="16" t="b">
        <v>0</v>
      </c>
      <c r="G110" s="16" t="b">
        <v>1</v>
      </c>
      <c r="H110" s="16" t="n"/>
      <c r="J110" s="6" t="b">
        <v>0</v>
      </c>
      <c r="K110" s="6" t="b">
        <v>0</v>
      </c>
    </row>
    <row r="111">
      <c r="B111" s="16" t="inlineStr">
        <is>
          <t>cement</t>
        </is>
      </c>
      <c r="C111" s="16" t="n"/>
      <c r="D111" s="16" t="n"/>
      <c r="E111" s="16" t="n"/>
      <c r="F111" s="16" t="b">
        <v>1</v>
      </c>
      <c r="G111" s="16" t="b">
        <v>1</v>
      </c>
      <c r="H111" s="16" t="n"/>
      <c r="J111" s="6" t="b">
        <v>1</v>
      </c>
      <c r="K111" s="6" t="b">
        <v>1</v>
      </c>
    </row>
    <row r="112">
      <c r="B112" s="16" t="inlineStr">
        <is>
          <t>other manucfacturing</t>
        </is>
      </c>
      <c r="C112" s="16" t="n"/>
      <c r="D112" s="16" t="n"/>
      <c r="E112" s="16" t="n"/>
      <c r="F112" s="16" t="b">
        <v>0</v>
      </c>
      <c r="G112" s="16" t="b">
        <v>1</v>
      </c>
      <c r="H112" s="16" t="n"/>
      <c r="J112" s="6" t="b">
        <v>0</v>
      </c>
      <c r="K112" s="6" t="b">
        <v>0</v>
      </c>
    </row>
    <row r="113">
      <c r="B113" s="16" t="inlineStr">
        <is>
          <t>construction</t>
        </is>
      </c>
      <c r="C113" s="16" t="n"/>
      <c r="D113" s="16" t="n"/>
      <c r="E113" s="16" t="n"/>
      <c r="F113" s="16" t="b">
        <v>0</v>
      </c>
      <c r="G113" s="16" t="b">
        <v>1</v>
      </c>
      <c r="H113" s="16" t="n"/>
      <c r="J113" s="6" t="b">
        <v>0</v>
      </c>
      <c r="K113" s="6" t="b">
        <v>0</v>
      </c>
    </row>
    <row r="114">
      <c r="B114" s="16" t="inlineStr">
        <is>
          <t>fuel transformation</t>
        </is>
      </c>
      <c r="C114" s="16" t="n"/>
      <c r="D114" s="16" t="n"/>
      <c r="E114" s="16" t="n"/>
      <c r="F114" s="16" t="b">
        <v>0</v>
      </c>
      <c r="G114" s="16" t="b">
        <v>1</v>
      </c>
      <c r="H114" s="16" t="n"/>
      <c r="J114" s="6" t="b">
        <v>0</v>
      </c>
      <c r="K114" s="6" t="b">
        <v>0</v>
      </c>
    </row>
    <row r="115">
      <c r="B115" s="16" t="inlineStr">
        <is>
          <t>other energy use</t>
        </is>
      </c>
      <c r="C115" s="16" t="n"/>
      <c r="D115" s="16" t="n"/>
      <c r="E115" s="16" t="n"/>
      <c r="F115" s="16" t="b">
        <v>0</v>
      </c>
      <c r="G115" s="16" t="b">
        <v>1</v>
      </c>
      <c r="H115" s="16" t="n"/>
      <c r="J115" s="6" t="b">
        <v>0</v>
      </c>
      <c r="K115" s="6" t="b">
        <v>0</v>
      </c>
    </row>
    <row r="116">
      <c r="B116" s="14" t="inlineStr">
        <is>
          <t>CBAM Goods Non-Fuel Process Emissions</t>
        </is>
      </c>
    </row>
    <row r="117">
      <c r="B117" s="16" t="inlineStr">
        <is>
          <t>mining &amp; chemicals</t>
        </is>
      </c>
      <c r="C117" s="16" t="n"/>
      <c r="D117" s="16" t="n"/>
      <c r="E117" s="16" t="n"/>
      <c r="F117" s="16" t="b">
        <v>0</v>
      </c>
      <c r="G117" s="16" t="b">
        <v>1</v>
      </c>
      <c r="H117" s="16" t="n"/>
      <c r="J117" s="6" t="b">
        <v>0</v>
      </c>
      <c r="K117" s="6" t="b">
        <v>0</v>
      </c>
    </row>
    <row r="118">
      <c r="B118" s="16" t="inlineStr">
        <is>
          <t>iron and steel</t>
        </is>
      </c>
      <c r="C118" s="16" t="n"/>
      <c r="D118" s="16" t="n"/>
      <c r="E118" s="16" t="n"/>
      <c r="F118" s="16" t="b">
        <v>0</v>
      </c>
      <c r="G118" s="16" t="b">
        <v>1</v>
      </c>
      <c r="H118" s="16" t="n"/>
      <c r="J118" s="6" t="b">
        <v>0</v>
      </c>
      <c r="K118" s="6" t="b">
        <v>0</v>
      </c>
    </row>
    <row r="119">
      <c r="B119" s="16" t="inlineStr">
        <is>
          <t>non-ferrous metals</t>
        </is>
      </c>
      <c r="C119" s="16" t="n"/>
      <c r="D119" s="16" t="n"/>
      <c r="E119" s="16" t="n"/>
      <c r="F119" s="16" t="b">
        <v>0</v>
      </c>
      <c r="G119" s="16" t="b">
        <v>1</v>
      </c>
      <c r="H119" s="16" t="n"/>
      <c r="J119" s="6" t="b">
        <v>0</v>
      </c>
      <c r="K119" s="6" t="b">
        <v>0</v>
      </c>
    </row>
    <row r="120">
      <c r="B120" s="16" t="inlineStr">
        <is>
          <t>machinery</t>
        </is>
      </c>
      <c r="C120" s="16" t="n"/>
      <c r="D120" s="16" t="n"/>
      <c r="E120" s="16" t="n"/>
      <c r="F120" s="16" t="b">
        <v>0</v>
      </c>
      <c r="G120" s="16" t="b">
        <v>0</v>
      </c>
      <c r="H120" s="16" t="n"/>
      <c r="J120" s="6" t="b">
        <v>0</v>
      </c>
      <c r="K120" s="6" t="b">
        <v>0</v>
      </c>
    </row>
    <row r="121">
      <c r="B121" s="16" t="inlineStr">
        <is>
          <t>cement</t>
        </is>
      </c>
      <c r="C121" s="16" t="n"/>
      <c r="D121" s="16" t="n"/>
      <c r="E121" s="16" t="n"/>
      <c r="F121" s="16" t="b">
        <v>0</v>
      </c>
      <c r="G121" s="16" t="b">
        <v>1</v>
      </c>
      <c r="H121" s="16" t="n"/>
      <c r="J121" s="6" t="b">
        <v>0</v>
      </c>
      <c r="K121" s="6" t="b">
        <v>0</v>
      </c>
    </row>
    <row r="122">
      <c r="B122" s="14" t="inlineStr">
        <is>
          <t>Fossil fuel subsidies (producer-side)</t>
        </is>
      </c>
    </row>
    <row r="123">
      <c r="B123" s="16" t="inlineStr">
        <is>
          <t>Apply producer subsidies phaseout in the policy scenario?</t>
        </is>
      </c>
      <c r="C123" s="16" t="inlineStr">
        <is>
          <t>TRUE/FALSE</t>
        </is>
      </c>
      <c r="D123" s="16" t="n"/>
      <c r="E123" s="16" t="n"/>
      <c r="F123" s="16" t="b">
        <v>0</v>
      </c>
      <c r="G123" s="16" t="b">
        <v>0</v>
      </c>
      <c r="H123" s="16" t="inlineStr">
        <is>
          <t>ProdSubPh</t>
        </is>
      </c>
      <c r="J123" s="6" t="b">
        <v>0</v>
      </c>
      <c r="K123" s="6" t="b">
        <v>0</v>
      </c>
    </row>
    <row r="124">
      <c r="B124" s="16" t="inlineStr">
        <is>
          <t>Year to start producer subsidies phaseout (if applicable)</t>
        </is>
      </c>
      <c r="C124" s="16" t="inlineStr">
        <is>
          <t>year</t>
        </is>
      </c>
      <c r="D124" s="16" t="n"/>
      <c r="E124" s="16" t="n"/>
      <c r="F124" s="16" t="n">
        <v>2027</v>
      </c>
      <c r="G124" s="16" t="n">
        <v>2027</v>
      </c>
      <c r="H124" s="16" t="inlineStr">
        <is>
          <t>YearProdSubPha</t>
        </is>
      </c>
      <c r="J124" s="6" t="n">
        <v>2027</v>
      </c>
      <c r="K124" s="6" t="n">
        <v>2027</v>
      </c>
    </row>
    <row r="125">
      <c r="B125" s="16" t="inlineStr">
        <is>
          <t>Period to reach full producer subsidies phaseout (if applicable)</t>
        </is>
      </c>
      <c r="C125" s="16" t="inlineStr">
        <is>
          <t>year</t>
        </is>
      </c>
      <c r="D125" s="16" t="n"/>
      <c r="E125" s="16" t="n"/>
      <c r="F125" s="16" t="n">
        <v>5</v>
      </c>
      <c r="G125" s="16" t="n">
        <v>5</v>
      </c>
      <c r="H125" s="16" t="inlineStr">
        <is>
          <t>FFSProdPhaseoutPeriod</t>
        </is>
      </c>
      <c r="J125" s="6" t="n">
        <v>5</v>
      </c>
      <c r="K125" s="6" t="n">
        <v>5</v>
      </c>
    </row>
    <row r="126">
      <c r="B126" s="16" t="inlineStr">
        <is>
          <t>Share of producer subsidies to phase-out</t>
        </is>
      </c>
      <c r="C126" s="16" t="inlineStr">
        <is>
          <t>%</t>
        </is>
      </c>
      <c r="D126" s="16" t="n"/>
      <c r="E126" s="16" t="n"/>
      <c r="F126" s="16" t="n">
        <v>1</v>
      </c>
      <c r="G126" s="16" t="n">
        <v>1</v>
      </c>
      <c r="H126" s="16" t="inlineStr">
        <is>
          <t>ShareofProdSubPha</t>
        </is>
      </c>
      <c r="J126" s="6" t="n">
        <v>1</v>
      </c>
      <c r="K126" s="6" t="n">
        <v>1</v>
      </c>
    </row>
    <row r="127">
      <c r="B127" s="16" t="inlineStr">
        <is>
          <t>Apply producer subsidies phaseout in the baseline?</t>
        </is>
      </c>
      <c r="C127" s="16" t="inlineStr">
        <is>
          <t>Yes/No</t>
        </is>
      </c>
      <c r="D127" s="16" t="n"/>
      <c r="E127" s="16" t="n"/>
      <c r="F127" s="16" t="inlineStr">
        <is>
          <t>No</t>
        </is>
      </c>
      <c r="G127" s="16" t="inlineStr">
        <is>
          <t>No</t>
        </is>
      </c>
      <c r="H127" s="16" t="inlineStr">
        <is>
          <t>ProdSubPhaBaseline</t>
        </is>
      </c>
      <c r="J127" s="6" t="inlineStr">
        <is>
          <t>No</t>
        </is>
      </c>
      <c r="K127" s="6" t="inlineStr">
        <is>
          <t>No</t>
        </is>
      </c>
    </row>
    <row r="128">
      <c r="B128" s="16" t="inlineStr">
        <is>
          <t>Period to reach full producer subsidies phaseout (baseline)</t>
        </is>
      </c>
      <c r="C128" s="16" t="inlineStr">
        <is>
          <t>year</t>
        </is>
      </c>
      <c r="D128" s="16" t="n"/>
      <c r="E128" s="16" t="n"/>
      <c r="F128" s="16" t="n">
        <v>5</v>
      </c>
      <c r="G128" s="16" t="n">
        <v>5</v>
      </c>
      <c r="H128" s="16" t="inlineStr">
        <is>
          <t>FFSProdPhaseoutPeriodBA</t>
        </is>
      </c>
      <c r="J128" s="6" t="n">
        <v>5</v>
      </c>
      <c r="K128" s="6" t="n">
        <v>5</v>
      </c>
    </row>
    <row r="129">
      <c r="B129" s="16" t="inlineStr">
        <is>
          <t>Share of producer subsidies to phase-out in the baseline</t>
        </is>
      </c>
      <c r="C129" s="16" t="inlineStr">
        <is>
          <t>%</t>
        </is>
      </c>
      <c r="D129" s="16" t="n"/>
      <c r="E129" s="16" t="n"/>
      <c r="F129" s="16" t="n">
        <v>0</v>
      </c>
      <c r="G129" s="16" t="n">
        <v>0</v>
      </c>
      <c r="H129" s="16" t="inlineStr">
        <is>
          <t>ShareOfProdSubPhaBA</t>
        </is>
      </c>
      <c r="J129" s="6" t="n">
        <v>0</v>
      </c>
      <c r="K129" s="6" t="n">
        <v>0</v>
      </c>
    </row>
    <row r="130">
      <c r="B130" s="14" t="inlineStr">
        <is>
          <t>Fossil fuel subsidies (consumer-side)</t>
        </is>
      </c>
    </row>
    <row r="131">
      <c r="B131" s="16" t="inlineStr">
        <is>
          <t>Apply consumer subsidies phaseout?</t>
        </is>
      </c>
      <c r="C131" s="16" t="inlineStr">
        <is>
          <t>TRUE/FALSE</t>
        </is>
      </c>
      <c r="D131" s="16" t="n"/>
      <c r="E131" s="16" t="n"/>
      <c r="F131" s="16" t="b">
        <v>0</v>
      </c>
      <c r="G131" s="16" t="b">
        <v>0</v>
      </c>
      <c r="H131" s="16" t="inlineStr">
        <is>
          <t>ConsSubPha</t>
        </is>
      </c>
      <c r="J131" s="6" t="b">
        <v>0</v>
      </c>
      <c r="K131" s="6" t="b">
        <v>0</v>
      </c>
    </row>
    <row r="132">
      <c r="B132" s="16" t="inlineStr">
        <is>
          <t>Year to start consumer subsidies phaseout (if applicable)</t>
        </is>
      </c>
      <c r="C132" s="16" t="inlineStr">
        <is>
          <t>year</t>
        </is>
      </c>
      <c r="D132" s="16" t="n"/>
      <c r="E132" s="16" t="n"/>
      <c r="F132" s="16" t="n">
        <v>2027</v>
      </c>
      <c r="G132" s="16" t="n">
        <v>2027</v>
      </c>
      <c r="H132" s="16" t="inlineStr">
        <is>
          <t>YearConsSubPha</t>
        </is>
      </c>
      <c r="J132" s="6" t="n">
        <v>2027</v>
      </c>
      <c r="K132" s="6" t="n">
        <v>2027</v>
      </c>
    </row>
    <row r="133">
      <c r="B133" s="16" t="inlineStr">
        <is>
          <t>Period to reach full consumer subsidies phaseout (if applicable)</t>
        </is>
      </c>
      <c r="C133" s="16" t="inlineStr">
        <is>
          <t>year</t>
        </is>
      </c>
      <c r="D133" s="16" t="n"/>
      <c r="E133" s="16" t="n"/>
      <c r="F133" s="16" t="n">
        <v>5</v>
      </c>
      <c r="G133" s="16" t="n">
        <v>5</v>
      </c>
      <c r="H133" s="16" t="inlineStr">
        <is>
          <t>FFPhaseOut</t>
        </is>
      </c>
      <c r="J133" s="6" t="n">
        <v>5</v>
      </c>
      <c r="K133" s="6" t="n">
        <v>5</v>
      </c>
    </row>
    <row r="134">
      <c r="B134" s="16" t="inlineStr">
        <is>
          <t>Share of consumer subsidies to phase-out</t>
        </is>
      </c>
      <c r="C134" s="16" t="inlineStr">
        <is>
          <t>%</t>
        </is>
      </c>
      <c r="D134" s="16" t="n"/>
      <c r="E134" s="16" t="n"/>
      <c r="F134" s="16" t="n">
        <v>1</v>
      </c>
      <c r="G134" s="16" t="n">
        <v>1</v>
      </c>
      <c r="H134" s="16" t="inlineStr">
        <is>
          <t>ShareOfConsSubPha</t>
        </is>
      </c>
      <c r="J134" s="6" t="n">
        <v>1</v>
      </c>
      <c r="K134" s="6" t="n">
        <v>1</v>
      </c>
    </row>
    <row r="135">
      <c r="B135" s="16" t="inlineStr">
        <is>
          <t>Apply consumer subsidies phaseout in the baseline?</t>
        </is>
      </c>
      <c r="C135" s="16" t="inlineStr">
        <is>
          <t>Yes/No</t>
        </is>
      </c>
      <c r="D135" s="16" t="n"/>
      <c r="E135" s="16" t="n"/>
      <c r="F135" s="16" t="inlineStr">
        <is>
          <t>No</t>
        </is>
      </c>
      <c r="G135" s="16" t="inlineStr">
        <is>
          <t>No</t>
        </is>
      </c>
      <c r="H135" s="16" t="inlineStr">
        <is>
          <t>ConsSubPhaBaseline</t>
        </is>
      </c>
      <c r="J135" s="6" t="inlineStr">
        <is>
          <t>No</t>
        </is>
      </c>
      <c r="K135" s="6" t="inlineStr">
        <is>
          <t>No</t>
        </is>
      </c>
    </row>
    <row r="136">
      <c r="B136" s="16" t="inlineStr">
        <is>
          <t>Period to reach full consumer subsidies phaseout (baseline)</t>
        </is>
      </c>
      <c r="C136" s="16" t="inlineStr">
        <is>
          <t>year</t>
        </is>
      </c>
      <c r="D136" s="16" t="n"/>
      <c r="E136" s="16" t="n"/>
      <c r="F136" s="16" t="n">
        <v>5</v>
      </c>
      <c r="G136" s="16" t="n">
        <v>5</v>
      </c>
      <c r="H136" s="16" t="inlineStr">
        <is>
          <t>FFSConsPhaseoutPeriodBA</t>
        </is>
      </c>
      <c r="J136" s="6" t="n">
        <v>5</v>
      </c>
      <c r="K136" s="6" t="n">
        <v>5</v>
      </c>
    </row>
    <row r="137">
      <c r="B137" s="16" t="inlineStr">
        <is>
          <t>Share of consumer subsidies to phase-out in the baseline</t>
        </is>
      </c>
      <c r="C137" s="16" t="inlineStr">
        <is>
          <t>%</t>
        </is>
      </c>
      <c r="D137" s="16" t="n"/>
      <c r="E137" s="16" t="n"/>
      <c r="F137" s="16" t="n">
        <v>0</v>
      </c>
      <c r="G137" s="16" t="n">
        <v>0</v>
      </c>
      <c r="H137" s="16" t="inlineStr">
        <is>
          <t>ShareofConsSubPhaBA</t>
        </is>
      </c>
      <c r="J137" s="6" t="n">
        <v>0</v>
      </c>
      <c r="K137" s="6" t="n">
        <v>0</v>
      </c>
    </row>
    <row r="138">
      <c r="B138" s="16" t="inlineStr">
        <is>
          <t>Include power subsidies in any phase out?</t>
        </is>
      </c>
      <c r="C138" s="16" t="inlineStr">
        <is>
          <t>Exempt/Include*</t>
        </is>
      </c>
      <c r="D138" s="16" t="n"/>
      <c r="E138" s="16" t="n"/>
      <c r="F138" s="16" t="inlineStr">
        <is>
          <t>DoNotPhaseOut*</t>
        </is>
      </c>
      <c r="G138" s="16" t="inlineStr">
        <is>
          <t>DoNotPhaseOut*</t>
        </is>
      </c>
      <c r="H138" s="16" t="inlineStr">
        <is>
          <t>PowerSubsidyExemptInclude</t>
        </is>
      </c>
      <c r="J138" s="6" t="inlineStr">
        <is>
          <t>DoNotPhaseOut*</t>
        </is>
      </c>
      <c r="K138" s="6" t="inlineStr">
        <is>
          <t>DoNotPhaseOut*</t>
        </is>
      </c>
    </row>
    <row r="139">
      <c r="B139" s="14" t="inlineStr">
        <is>
          <t>Fuel Price Reform</t>
        </is>
      </c>
    </row>
    <row r="140">
      <c r="B140" s="16" t="inlineStr">
        <is>
          <t>Starting year</t>
        </is>
      </c>
      <c r="C140" s="16" t="n"/>
      <c r="D140" s="16" t="n"/>
      <c r="E140" s="16" t="n"/>
      <c r="F140" s="16" t="n">
        <v>2027</v>
      </c>
      <c r="G140" s="16" t="n">
        <v>2027</v>
      </c>
      <c r="H140" s="16" t="n"/>
      <c r="J140" s="6" t="n">
        <v>2027</v>
      </c>
      <c r="K140" s="6" t="n">
        <v>2027</v>
      </c>
    </row>
    <row r="141">
      <c r="B141" s="16" t="inlineStr">
        <is>
          <t>Target year</t>
        </is>
      </c>
      <c r="C141" s="16" t="n"/>
      <c r="D141" s="16" t="n"/>
      <c r="E141" s="16" t="n"/>
      <c r="F141" s="16" t="n">
        <v>2035</v>
      </c>
      <c r="G141" s="16" t="n">
        <v>2035</v>
      </c>
      <c r="H141" s="16" t="n"/>
      <c r="J141" s="6" t="n">
        <v>2035</v>
      </c>
      <c r="K141" s="6" t="n">
        <v>2035</v>
      </c>
    </row>
    <row r="142">
      <c r="B142" s="16" t="inlineStr">
        <is>
          <t>Starting price increase, Coal , Power</t>
        </is>
      </c>
      <c r="C142" s="16" t="n"/>
      <c r="D142" s="16" t="n"/>
      <c r="E142" s="16" t="n"/>
      <c r="F142" s="16" t="n">
        <v>0</v>
      </c>
      <c r="G142" s="16" t="n">
        <v>0</v>
      </c>
      <c r="H142" s="16" t="n"/>
      <c r="J142" s="6" t="n">
        <v>0</v>
      </c>
      <c r="K142" s="6" t="n">
        <v>0</v>
      </c>
    </row>
    <row r="143">
      <c r="B143" s="16" t="inlineStr">
        <is>
          <t>Starting price increase, Coal , Residential</t>
        </is>
      </c>
      <c r="C143" s="16" t="n"/>
      <c r="D143" s="16" t="n"/>
      <c r="E143" s="16" t="n"/>
      <c r="F143" s="16" t="n">
        <v>0</v>
      </c>
      <c r="G143" s="16" t="n">
        <v>0</v>
      </c>
      <c r="H143" s="16" t="n"/>
      <c r="J143" s="6" t="n">
        <v>0</v>
      </c>
      <c r="K143" s="6" t="n">
        <v>0</v>
      </c>
    </row>
    <row r="144">
      <c r="B144" s="16" t="inlineStr">
        <is>
          <t>Starting price increase, Coal , Industry</t>
        </is>
      </c>
      <c r="C144" s="16" t="n"/>
      <c r="D144" s="16" t="n"/>
      <c r="E144" s="16" t="n"/>
      <c r="F144" s="16" t="n">
        <v>0</v>
      </c>
      <c r="G144" s="16" t="n">
        <v>0</v>
      </c>
      <c r="H144" s="16" t="n"/>
      <c r="J144" s="6" t="n">
        <v>0</v>
      </c>
      <c r="K144" s="6" t="n">
        <v>0</v>
      </c>
    </row>
    <row r="145">
      <c r="B145" s="16" t="inlineStr">
        <is>
          <t>Starting price increase, Natural gas , Power</t>
        </is>
      </c>
      <c r="C145" s="16" t="n"/>
      <c r="D145" s="16" t="n"/>
      <c r="E145" s="16" t="n"/>
      <c r="F145" s="16" t="n">
        <v>0</v>
      </c>
      <c r="G145" s="16" t="n">
        <v>0</v>
      </c>
      <c r="H145" s="16" t="n"/>
      <c r="J145" s="6" t="n">
        <v>0</v>
      </c>
      <c r="K145" s="6" t="n">
        <v>0</v>
      </c>
    </row>
    <row r="146">
      <c r="B146" s="16" t="inlineStr">
        <is>
          <t>Starting price increase, Natural gas , Residential</t>
        </is>
      </c>
      <c r="C146" s="16" t="n"/>
      <c r="D146" s="16" t="n"/>
      <c r="E146" s="16" t="n"/>
      <c r="F146" s="16" t="n">
        <v>0</v>
      </c>
      <c r="G146" s="16" t="n">
        <v>0</v>
      </c>
      <c r="H146" s="16" t="n"/>
      <c r="J146" s="6" t="n">
        <v>0</v>
      </c>
      <c r="K146" s="6" t="n">
        <v>0</v>
      </c>
    </row>
    <row r="147">
      <c r="B147" s="16" t="inlineStr">
        <is>
          <t>Starting price increase, Natural gas , Industry</t>
        </is>
      </c>
      <c r="C147" s="16" t="n"/>
      <c r="D147" s="16" t="n"/>
      <c r="E147" s="16" t="n"/>
      <c r="F147" s="16" t="n">
        <v>0</v>
      </c>
      <c r="G147" s="16" t="n">
        <v>0</v>
      </c>
      <c r="H147" s="16" t="n"/>
      <c r="J147" s="6" t="n">
        <v>0</v>
      </c>
      <c r="K147" s="6" t="n">
        <v>0</v>
      </c>
    </row>
    <row r="148">
      <c r="B148" s="16" t="inlineStr">
        <is>
          <t>Starting price increase, Electricity , Residential</t>
        </is>
      </c>
      <c r="C148" s="16" t="n"/>
      <c r="D148" s="16" t="n"/>
      <c r="E148" s="16" t="n"/>
      <c r="F148" s="16" t="n">
        <v>0</v>
      </c>
      <c r="G148" s="16" t="n">
        <v>0</v>
      </c>
      <c r="H148" s="16" t="n"/>
      <c r="J148" s="6" t="n">
        <v>0</v>
      </c>
      <c r="K148" s="6" t="n">
        <v>0</v>
      </c>
    </row>
    <row r="149">
      <c r="B149" s="16" t="inlineStr">
        <is>
          <t>Starting price increase, Electricity , Industry</t>
        </is>
      </c>
      <c r="C149" s="16" t="n"/>
      <c r="D149" s="16" t="n"/>
      <c r="E149" s="16" t="n"/>
      <c r="F149" s="16" t="n">
        <v>0</v>
      </c>
      <c r="G149" s="16" t="n">
        <v>0</v>
      </c>
      <c r="H149" s="16" t="n"/>
      <c r="J149" s="6" t="n">
        <v>0</v>
      </c>
      <c r="K149" s="6" t="n">
        <v>0</v>
      </c>
    </row>
    <row r="150">
      <c r="B150" s="16" t="inlineStr">
        <is>
          <t>Starting price increase, Gasoline , All</t>
        </is>
      </c>
      <c r="C150" s="16" t="n"/>
      <c r="D150" s="16" t="n"/>
      <c r="E150" s="16" t="n"/>
      <c r="F150" s="16" t="n">
        <v>0</v>
      </c>
      <c r="G150" s="16" t="n">
        <v>0</v>
      </c>
      <c r="H150" s="16" t="n"/>
      <c r="J150" s="6" t="n">
        <v>0</v>
      </c>
      <c r="K150" s="6" t="n">
        <v>0</v>
      </c>
    </row>
    <row r="151">
      <c r="B151" s="16" t="inlineStr">
        <is>
          <t>Starting price increase, Diesel  , All</t>
        </is>
      </c>
      <c r="C151" s="16" t="n"/>
      <c r="D151" s="16" t="n"/>
      <c r="E151" s="16" t="n"/>
      <c r="F151" s="16" t="n">
        <v>0</v>
      </c>
      <c r="G151" s="16" t="n">
        <v>0</v>
      </c>
      <c r="H151" s="16" t="n"/>
      <c r="J151" s="6" t="n">
        <v>0</v>
      </c>
      <c r="K151" s="6" t="n">
        <v>0</v>
      </c>
    </row>
    <row r="152">
      <c r="B152" s="16" t="inlineStr">
        <is>
          <t>Starting price increase, LPG , All</t>
        </is>
      </c>
      <c r="C152" s="16" t="n"/>
      <c r="D152" s="16" t="n"/>
      <c r="E152" s="16" t="n"/>
      <c r="F152" s="16" t="n">
        <v>0</v>
      </c>
      <c r="G152" s="16" t="n">
        <v>0</v>
      </c>
      <c r="H152" s="16" t="n"/>
      <c r="J152" s="6" t="n">
        <v>0</v>
      </c>
      <c r="K152" s="6" t="n">
        <v>0</v>
      </c>
    </row>
    <row r="153">
      <c r="B153" s="16" t="inlineStr">
        <is>
          <t>Starting price increase, Kerosene , All</t>
        </is>
      </c>
      <c r="C153" s="16" t="n"/>
      <c r="D153" s="16" t="n"/>
      <c r="E153" s="16" t="n"/>
      <c r="F153" s="16" t="n">
        <v>0</v>
      </c>
      <c r="G153" s="16" t="n">
        <v>0</v>
      </c>
      <c r="H153" s="16" t="n"/>
      <c r="J153" s="6" t="n">
        <v>0</v>
      </c>
      <c r="K153" s="6" t="n">
        <v>0</v>
      </c>
    </row>
    <row r="154">
      <c r="B154" s="16" t="inlineStr">
        <is>
          <t>Starting price increase, Other oil products , All</t>
        </is>
      </c>
      <c r="C154" s="16" t="n"/>
      <c r="D154" s="16" t="n"/>
      <c r="E154" s="16" t="n"/>
      <c r="F154" s="16" t="n">
        <v>0</v>
      </c>
      <c r="G154" s="16" t="n">
        <v>0</v>
      </c>
      <c r="H154" s="16" t="n"/>
      <c r="J154" s="6" t="n">
        <v>0</v>
      </c>
      <c r="K154" s="6" t="n">
        <v>0</v>
      </c>
    </row>
    <row r="155">
      <c r="B155" s="16" t="inlineStr">
        <is>
          <t>Starting price increase, Biomass , All</t>
        </is>
      </c>
      <c r="C155" s="16" t="n"/>
      <c r="D155" s="16" t="n"/>
      <c r="E155" s="16" t="n"/>
      <c r="F155" s="16" t="n">
        <v>0</v>
      </c>
      <c r="G155" s="16" t="n">
        <v>0</v>
      </c>
      <c r="H155" s="16" t="n"/>
      <c r="J155" s="6" t="n">
        <v>0</v>
      </c>
      <c r="K155" s="6" t="n">
        <v>0</v>
      </c>
    </row>
    <row r="156">
      <c r="B156" s="16" t="inlineStr">
        <is>
          <t>Final price increase, Coal , Power</t>
        </is>
      </c>
      <c r="C156" s="16" t="n"/>
      <c r="D156" s="16" t="n"/>
      <c r="E156" s="16" t="n"/>
      <c r="F156" s="16" t="n">
        <v>0</v>
      </c>
      <c r="G156" s="16" t="n">
        <v>0</v>
      </c>
      <c r="H156" s="16" t="n"/>
      <c r="J156" s="6" t="n">
        <v>0</v>
      </c>
      <c r="K156" s="6" t="n">
        <v>0</v>
      </c>
    </row>
    <row r="157">
      <c r="B157" s="16" t="inlineStr">
        <is>
          <t>Final price increase, Coal , Residential</t>
        </is>
      </c>
      <c r="C157" s="16" t="n"/>
      <c r="D157" s="16" t="n"/>
      <c r="E157" s="16" t="n"/>
      <c r="F157" s="16" t="n">
        <v>0</v>
      </c>
      <c r="G157" s="16" t="n">
        <v>0</v>
      </c>
      <c r="H157" s="16" t="n"/>
      <c r="J157" s="6" t="n">
        <v>0</v>
      </c>
      <c r="K157" s="6" t="n">
        <v>0</v>
      </c>
    </row>
    <row r="158">
      <c r="B158" s="16" t="inlineStr">
        <is>
          <t>Final price increase, Coal , Industry</t>
        </is>
      </c>
      <c r="C158" s="16" t="n"/>
      <c r="D158" s="16" t="n"/>
      <c r="E158" s="16" t="n"/>
      <c r="F158" s="16" t="n">
        <v>0</v>
      </c>
      <c r="G158" s="16" t="n">
        <v>0</v>
      </c>
      <c r="H158" s="16" t="n"/>
      <c r="J158" s="6" t="n">
        <v>0</v>
      </c>
      <c r="K158" s="6" t="n">
        <v>0</v>
      </c>
    </row>
    <row r="159">
      <c r="B159" s="16" t="inlineStr">
        <is>
          <t>Final price increase, Natural gas , Power</t>
        </is>
      </c>
      <c r="C159" s="16" t="n"/>
      <c r="D159" s="16" t="n"/>
      <c r="E159" s="16" t="n"/>
      <c r="F159" s="16" t="n">
        <v>0</v>
      </c>
      <c r="G159" s="16" t="n">
        <v>0</v>
      </c>
      <c r="H159" s="16" t="n"/>
      <c r="J159" s="6" t="n">
        <v>0</v>
      </c>
      <c r="K159" s="6" t="n">
        <v>0</v>
      </c>
    </row>
    <row r="160">
      <c r="B160" s="16" t="inlineStr">
        <is>
          <t>Final price increase, Natural gas , Residential</t>
        </is>
      </c>
      <c r="C160" s="16" t="n"/>
      <c r="D160" s="16" t="n"/>
      <c r="E160" s="16" t="n"/>
      <c r="F160" s="16" t="n">
        <v>0</v>
      </c>
      <c r="G160" s="16" t="n">
        <v>0</v>
      </c>
      <c r="H160" s="16" t="n"/>
      <c r="J160" s="6" t="n">
        <v>0</v>
      </c>
      <c r="K160" s="6" t="n">
        <v>0</v>
      </c>
    </row>
    <row r="161">
      <c r="B161" s="16" t="inlineStr">
        <is>
          <t>Final price increase, Natural gas , Industry</t>
        </is>
      </c>
      <c r="C161" s="16" t="n"/>
      <c r="D161" s="16" t="n"/>
      <c r="E161" s="16" t="n"/>
      <c r="F161" s="16" t="n">
        <v>0</v>
      </c>
      <c r="G161" s="16" t="n">
        <v>0</v>
      </c>
      <c r="H161" s="16" t="n"/>
      <c r="J161" s="6" t="n">
        <v>0</v>
      </c>
      <c r="K161" s="6" t="n">
        <v>0</v>
      </c>
    </row>
    <row r="162">
      <c r="B162" s="16" t="inlineStr">
        <is>
          <t>Final price increase, Electricity , Residential</t>
        </is>
      </c>
      <c r="C162" s="16" t="n"/>
      <c r="D162" s="16" t="n"/>
      <c r="E162" s="16" t="n"/>
      <c r="F162" s="16" t="n">
        <v>0</v>
      </c>
      <c r="G162" s="16" t="n">
        <v>0</v>
      </c>
      <c r="H162" s="16" t="n"/>
      <c r="J162" s="6" t="n">
        <v>0</v>
      </c>
      <c r="K162" s="6" t="n">
        <v>0</v>
      </c>
    </row>
    <row r="163">
      <c r="B163" s="16" t="inlineStr">
        <is>
          <t>Final price increase, Electricity , Industry</t>
        </is>
      </c>
      <c r="C163" s="16" t="n"/>
      <c r="D163" s="16" t="n"/>
      <c r="E163" s="16" t="n"/>
      <c r="F163" s="16" t="n">
        <v>0</v>
      </c>
      <c r="G163" s="16" t="n">
        <v>0</v>
      </c>
      <c r="H163" s="16" t="n"/>
      <c r="J163" s="6" t="n">
        <v>0</v>
      </c>
      <c r="K163" s="6" t="n">
        <v>0</v>
      </c>
    </row>
    <row r="164">
      <c r="B164" s="16" t="inlineStr">
        <is>
          <t>Final price increase, Gasoline , All</t>
        </is>
      </c>
      <c r="C164" s="16" t="n"/>
      <c r="D164" s="16" t="n"/>
      <c r="E164" s="16" t="n"/>
      <c r="F164" s="16" t="n">
        <v>0</v>
      </c>
      <c r="G164" s="16" t="n">
        <v>0</v>
      </c>
      <c r="H164" s="16" t="n"/>
      <c r="J164" s="6" t="n">
        <v>0</v>
      </c>
      <c r="K164" s="6" t="n">
        <v>0</v>
      </c>
    </row>
    <row r="165">
      <c r="B165" s="16" t="inlineStr">
        <is>
          <t>Final price increase, Diesel  , All</t>
        </is>
      </c>
      <c r="C165" s="16" t="n"/>
      <c r="D165" s="16" t="n"/>
      <c r="E165" s="16" t="n"/>
      <c r="F165" s="16" t="n">
        <v>0</v>
      </c>
      <c r="G165" s="16" t="n">
        <v>0</v>
      </c>
      <c r="H165" s="16" t="n"/>
      <c r="J165" s="6" t="n">
        <v>0</v>
      </c>
      <c r="K165" s="6" t="n">
        <v>0</v>
      </c>
    </row>
    <row r="166">
      <c r="B166" s="16" t="inlineStr">
        <is>
          <t>Final price increase, LPG , All</t>
        </is>
      </c>
      <c r="C166" s="16" t="n"/>
      <c r="D166" s="16" t="n"/>
      <c r="E166" s="16" t="n"/>
      <c r="F166" s="16" t="n">
        <v>0</v>
      </c>
      <c r="G166" s="16" t="n">
        <v>0</v>
      </c>
      <c r="H166" s="16" t="n"/>
      <c r="J166" s="6" t="n">
        <v>0</v>
      </c>
      <c r="K166" s="6" t="n">
        <v>0</v>
      </c>
    </row>
    <row r="167">
      <c r="B167" s="16" t="inlineStr">
        <is>
          <t>Final price increase, Kerosene , All</t>
        </is>
      </c>
      <c r="C167" s="16" t="n"/>
      <c r="D167" s="16" t="n"/>
      <c r="E167" s="16" t="n"/>
      <c r="F167" s="16" t="n">
        <v>0</v>
      </c>
      <c r="G167" s="16" t="n">
        <v>0</v>
      </c>
      <c r="H167" s="16" t="n"/>
      <c r="J167" s="6" t="n">
        <v>0</v>
      </c>
      <c r="K167" s="6" t="n">
        <v>0</v>
      </c>
    </row>
    <row r="168">
      <c r="B168" s="16" t="inlineStr">
        <is>
          <t>Final price increase, Other oil products , All</t>
        </is>
      </c>
      <c r="C168" s="16" t="n"/>
      <c r="D168" s="16" t="n"/>
      <c r="E168" s="16" t="n"/>
      <c r="F168" s="16" t="n">
        <v>0</v>
      </c>
      <c r="G168" s="16" t="n">
        <v>0</v>
      </c>
      <c r="H168" s="16" t="n"/>
      <c r="J168" s="6" t="n">
        <v>0</v>
      </c>
      <c r="K168" s="6" t="n">
        <v>0</v>
      </c>
    </row>
    <row r="169">
      <c r="B169" s="16" t="inlineStr">
        <is>
          <t>Final price increase, Biomass , All</t>
        </is>
      </c>
      <c r="C169" s="16" t="n"/>
      <c r="D169" s="16" t="n"/>
      <c r="E169" s="16" t="n"/>
      <c r="F169" s="16" t="n">
        <v>0</v>
      </c>
      <c r="G169" s="16" t="n">
        <v>0</v>
      </c>
      <c r="H169" s="16" t="n"/>
      <c r="J169" s="6" t="n">
        <v>0</v>
      </c>
      <c r="K169" s="6" t="n">
        <v>0</v>
      </c>
    </row>
    <row r="170">
      <c r="B170" s="16" t="inlineStr">
        <is>
          <t>Price increase units, Coal , Power</t>
        </is>
      </c>
      <c r="C170" s="16" t="n"/>
      <c r="D170" s="16" t="n"/>
      <c r="E170" s="16" t="n"/>
      <c r="F170" s="16" t="inlineStr">
        <is>
          <t>$/GJ</t>
        </is>
      </c>
      <c r="G170" s="16" t="inlineStr">
        <is>
          <t>$/GJ</t>
        </is>
      </c>
      <c r="H170" s="16" t="n"/>
      <c r="J170" s="6" t="inlineStr">
        <is>
          <t>$/GJ</t>
        </is>
      </c>
      <c r="K170" s="6" t="inlineStr">
        <is>
          <t>$/GJ</t>
        </is>
      </c>
    </row>
    <row r="171">
      <c r="B171" s="16" t="inlineStr">
        <is>
          <t>Price increase units, Coal , Residential</t>
        </is>
      </c>
      <c r="C171" s="16" t="n"/>
      <c r="D171" s="16" t="n"/>
      <c r="E171" s="16" t="n"/>
      <c r="F171" s="16" t="inlineStr">
        <is>
          <t>$/GJ</t>
        </is>
      </c>
      <c r="G171" s="16" t="inlineStr">
        <is>
          <t>$/GJ</t>
        </is>
      </c>
      <c r="H171" s="16" t="n"/>
      <c r="J171" s="6" t="inlineStr">
        <is>
          <t>$/GJ</t>
        </is>
      </c>
      <c r="K171" s="6" t="inlineStr">
        <is>
          <t>$/GJ</t>
        </is>
      </c>
    </row>
    <row r="172">
      <c r="B172" s="16" t="inlineStr">
        <is>
          <t>Price increase units, Coal , Industry</t>
        </is>
      </c>
      <c r="C172" s="16" t="n"/>
      <c r="D172" s="16" t="n"/>
      <c r="E172" s="16" t="n"/>
      <c r="F172" s="16" t="inlineStr">
        <is>
          <t>$/GJ</t>
        </is>
      </c>
      <c r="G172" s="16" t="inlineStr">
        <is>
          <t>$/GJ</t>
        </is>
      </c>
      <c r="H172" s="16" t="n"/>
      <c r="J172" s="6" t="inlineStr">
        <is>
          <t>$/GJ</t>
        </is>
      </c>
      <c r="K172" s="6" t="inlineStr">
        <is>
          <t>$/GJ</t>
        </is>
      </c>
    </row>
    <row r="173">
      <c r="B173" s="16" t="inlineStr">
        <is>
          <t>Price increase units, Natural gas , Power</t>
        </is>
      </c>
      <c r="C173" s="16" t="n"/>
      <c r="D173" s="16" t="n"/>
      <c r="E173" s="16" t="n"/>
      <c r="F173" s="16" t="inlineStr">
        <is>
          <t>$/GJ</t>
        </is>
      </c>
      <c r="G173" s="16" t="inlineStr">
        <is>
          <t>$/GJ</t>
        </is>
      </c>
      <c r="H173" s="16" t="n"/>
      <c r="J173" s="6" t="inlineStr">
        <is>
          <t>$/GJ</t>
        </is>
      </c>
      <c r="K173" s="6" t="inlineStr">
        <is>
          <t>$/GJ</t>
        </is>
      </c>
    </row>
    <row r="174">
      <c r="B174" s="16" t="inlineStr">
        <is>
          <t>Price increase units, Natural gas , Residential</t>
        </is>
      </c>
      <c r="C174" s="16" t="n"/>
      <c r="D174" s="16" t="n"/>
      <c r="E174" s="16" t="n"/>
      <c r="F174" s="16" t="inlineStr">
        <is>
          <t>$/GJ</t>
        </is>
      </c>
      <c r="G174" s="16" t="inlineStr">
        <is>
          <t>$/GJ</t>
        </is>
      </c>
      <c r="H174" s="16" t="n"/>
      <c r="J174" s="6" t="inlineStr">
        <is>
          <t>$/GJ</t>
        </is>
      </c>
      <c r="K174" s="6" t="inlineStr">
        <is>
          <t>$/GJ</t>
        </is>
      </c>
    </row>
    <row r="175">
      <c r="B175" s="16" t="inlineStr">
        <is>
          <t>Price increase units, Natural gas , Industry</t>
        </is>
      </c>
      <c r="C175" s="16" t="n"/>
      <c r="D175" s="16" t="n"/>
      <c r="E175" s="16" t="n"/>
      <c r="F175" s="16" t="inlineStr">
        <is>
          <t>$/GJ</t>
        </is>
      </c>
      <c r="G175" s="16" t="inlineStr">
        <is>
          <t>$/GJ</t>
        </is>
      </c>
      <c r="H175" s="16" t="n"/>
      <c r="J175" s="6" t="inlineStr">
        <is>
          <t>$/GJ</t>
        </is>
      </c>
      <c r="K175" s="6" t="inlineStr">
        <is>
          <t>$/GJ</t>
        </is>
      </c>
    </row>
    <row r="176">
      <c r="B176" s="16" t="inlineStr">
        <is>
          <t>Price increase units, Electricity , Residential</t>
        </is>
      </c>
      <c r="C176" s="16" t="n"/>
      <c r="D176" s="16" t="n"/>
      <c r="E176" s="16" t="n"/>
      <c r="F176" s="16" t="inlineStr">
        <is>
          <t>$/kwh</t>
        </is>
      </c>
      <c r="G176" s="16" t="inlineStr">
        <is>
          <t>$/kwh</t>
        </is>
      </c>
      <c r="H176" s="16" t="n"/>
      <c r="J176" s="6" t="inlineStr">
        <is>
          <t>$/kwh</t>
        </is>
      </c>
      <c r="K176" s="6" t="inlineStr">
        <is>
          <t>$/kwh</t>
        </is>
      </c>
    </row>
    <row r="177">
      <c r="B177" s="16" t="inlineStr">
        <is>
          <t>Price increase units, Electricity , Industry</t>
        </is>
      </c>
      <c r="C177" s="16" t="n"/>
      <c r="D177" s="16" t="n"/>
      <c r="E177" s="16" t="n"/>
      <c r="F177" s="16" t="inlineStr">
        <is>
          <t>$/kwh</t>
        </is>
      </c>
      <c r="G177" s="16" t="inlineStr">
        <is>
          <t>$/kwh</t>
        </is>
      </c>
      <c r="H177" s="16" t="n"/>
      <c r="J177" s="6" t="inlineStr">
        <is>
          <t>$/kwh</t>
        </is>
      </c>
      <c r="K177" s="6" t="inlineStr">
        <is>
          <t>$/kwh</t>
        </is>
      </c>
    </row>
    <row r="178">
      <c r="B178" s="16" t="inlineStr">
        <is>
          <t>Price increase units, Gasoline , All</t>
        </is>
      </c>
      <c r="C178" s="16" t="n"/>
      <c r="D178" s="16" t="n"/>
      <c r="E178" s="16" t="n"/>
      <c r="F178" s="16" t="inlineStr">
        <is>
          <t>$/liter</t>
        </is>
      </c>
      <c r="G178" s="16" t="inlineStr">
        <is>
          <t>$/liter</t>
        </is>
      </c>
      <c r="H178" s="16" t="n"/>
      <c r="J178" s="6" t="inlineStr">
        <is>
          <t>$/liter</t>
        </is>
      </c>
      <c r="K178" s="6" t="inlineStr">
        <is>
          <t>$/liter</t>
        </is>
      </c>
    </row>
    <row r="179">
      <c r="B179" s="16" t="inlineStr">
        <is>
          <t>Price increase units, Diesel  , All</t>
        </is>
      </c>
      <c r="C179" s="16" t="n"/>
      <c r="D179" s="16" t="n"/>
      <c r="E179" s="16" t="n"/>
      <c r="F179" s="16" t="inlineStr">
        <is>
          <t>$/liter</t>
        </is>
      </c>
      <c r="G179" s="16" t="inlineStr">
        <is>
          <t>$/liter</t>
        </is>
      </c>
      <c r="H179" s="16" t="n"/>
      <c r="J179" s="6" t="inlineStr">
        <is>
          <t>$/liter</t>
        </is>
      </c>
      <c r="K179" s="6" t="inlineStr">
        <is>
          <t>$/liter</t>
        </is>
      </c>
    </row>
    <row r="180">
      <c r="B180" s="16" t="inlineStr">
        <is>
          <t>Price increase units, LPG , All</t>
        </is>
      </c>
      <c r="C180" s="16" t="n"/>
      <c r="D180" s="16" t="n"/>
      <c r="E180" s="16" t="n"/>
      <c r="F180" s="16" t="inlineStr">
        <is>
          <t>$/liter</t>
        </is>
      </c>
      <c r="G180" s="16" t="inlineStr">
        <is>
          <t>$/liter</t>
        </is>
      </c>
      <c r="H180" s="16" t="n"/>
      <c r="J180" s="6" t="inlineStr">
        <is>
          <t>$/liter</t>
        </is>
      </c>
      <c r="K180" s="6" t="inlineStr">
        <is>
          <t>$/liter</t>
        </is>
      </c>
    </row>
    <row r="181">
      <c r="B181" s="16" t="inlineStr">
        <is>
          <t>Price increase units, Kerosene , All</t>
        </is>
      </c>
      <c r="C181" s="16" t="n"/>
      <c r="D181" s="16" t="n"/>
      <c r="E181" s="16" t="n"/>
      <c r="F181" s="16" t="inlineStr">
        <is>
          <t>$/liter</t>
        </is>
      </c>
      <c r="G181" s="16" t="inlineStr">
        <is>
          <t>$/liter</t>
        </is>
      </c>
      <c r="H181" s="16" t="n"/>
      <c r="J181" s="6" t="inlineStr">
        <is>
          <t>$/liter</t>
        </is>
      </c>
      <c r="K181" s="6" t="inlineStr">
        <is>
          <t>$/liter</t>
        </is>
      </c>
    </row>
    <row r="182">
      <c r="B182" s="16" t="inlineStr">
        <is>
          <t>Price increase units, Other oil products , All</t>
        </is>
      </c>
      <c r="C182" s="16" t="n"/>
      <c r="D182" s="16" t="n"/>
      <c r="E182" s="16" t="n"/>
      <c r="F182" s="16" t="inlineStr">
        <is>
          <t>$/bbn</t>
        </is>
      </c>
      <c r="G182" s="16" t="inlineStr">
        <is>
          <t>$/liter</t>
        </is>
      </c>
      <c r="H182" s="16" t="n"/>
      <c r="J182" s="6" t="inlineStr">
        <is>
          <t>$/bbn</t>
        </is>
      </c>
      <c r="K182" s="6" t="inlineStr">
        <is>
          <t>$/bbn</t>
        </is>
      </c>
    </row>
    <row r="183">
      <c r="B183" s="16" t="inlineStr">
        <is>
          <t>Price increase units, Biomass , All</t>
        </is>
      </c>
      <c r="C183" s="16" t="n"/>
      <c r="D183" s="16" t="n"/>
      <c r="E183" s="16" t="n"/>
      <c r="F183" s="16" t="inlineStr">
        <is>
          <t>$/GJ</t>
        </is>
      </c>
      <c r="G183" s="16" t="inlineStr">
        <is>
          <t>$/liter</t>
        </is>
      </c>
      <c r="H183" s="16" t="n"/>
      <c r="J183" s="6" t="inlineStr">
        <is>
          <t>$/GJ</t>
        </is>
      </c>
      <c r="K183" s="6" t="inlineStr">
        <is>
          <t>$/GJ</t>
        </is>
      </c>
    </row>
    <row r="184">
      <c r="B184" s="14" t="inlineStr">
        <is>
          <t>Methane tax</t>
        </is>
      </c>
    </row>
    <row r="185">
      <c r="B185" s="16" t="inlineStr">
        <is>
          <t>Apply carbon tax to methane</t>
        </is>
      </c>
      <c r="C185" s="16" t="inlineStr">
        <is>
          <t>switch</t>
        </is>
      </c>
      <c r="D185" s="16" t="n"/>
      <c r="E185" s="16" t="n"/>
      <c r="F185" s="16" t="inlineStr">
        <is>
          <t>No</t>
        </is>
      </c>
      <c r="G185" s="16" t="inlineStr">
        <is>
          <t>No</t>
        </is>
      </c>
      <c r="H185" s="16" t="inlineStr">
        <is>
          <t>CTforMethane</t>
        </is>
      </c>
      <c r="J185" s="6" t="inlineStr">
        <is>
          <t>No</t>
        </is>
      </c>
      <c r="K185" s="6" t="inlineStr">
        <is>
          <t>No</t>
        </is>
      </c>
    </row>
    <row r="186">
      <c r="B186" s="16" t="inlineStr">
        <is>
          <t>Year of methane fee introduction</t>
        </is>
      </c>
      <c r="C186" s="16" t="inlineStr">
        <is>
          <t>year</t>
        </is>
      </c>
      <c r="D186" s="16" t="n"/>
      <c r="E186" s="16" t="n"/>
      <c r="F186" s="16" t="n">
        <v>2027</v>
      </c>
      <c r="G186" s="16" t="n">
        <v>2027</v>
      </c>
      <c r="H186" s="16" t="inlineStr">
        <is>
          <t>MPIntro</t>
        </is>
      </c>
      <c r="J186" s="6" t="n">
        <v>2027</v>
      </c>
      <c r="K186" s="6" t="n">
        <v>2027</v>
      </c>
    </row>
    <row r="187">
      <c r="B187" s="16" t="inlineStr">
        <is>
          <t>Starting methane fee (real USD per ton CO2eq)</t>
        </is>
      </c>
      <c r="C187" s="16" t="inlineStr">
        <is>
          <t>USD per ton of CO2 eq</t>
        </is>
      </c>
      <c r="D187" s="16" t="n"/>
      <c r="E187" s="16" t="n"/>
      <c r="F187" s="16" t="n">
        <v>0</v>
      </c>
      <c r="G187" s="16" t="n">
        <v>0</v>
      </c>
      <c r="H187" s="16" t="inlineStr">
        <is>
          <t>MPLevelStart</t>
        </is>
      </c>
      <c r="J187" s="6" t="n">
        <v>0</v>
      </c>
      <c r="K187" s="6" t="n">
        <v>0</v>
      </c>
    </row>
    <row r="188">
      <c r="B188" s="16" t="inlineStr">
        <is>
          <t>Target level of methane fee</t>
        </is>
      </c>
      <c r="C188" s="16" t="inlineStr">
        <is>
          <t>USD per ton of CO2 eq</t>
        </is>
      </c>
      <c r="D188" s="16" t="n"/>
      <c r="E188" s="16" t="n"/>
      <c r="F188" s="16" t="n">
        <v>0</v>
      </c>
      <c r="G188" s="16" t="n">
        <v>0</v>
      </c>
      <c r="H188" s="16" t="inlineStr">
        <is>
          <t>MPLevelTarget</t>
        </is>
      </c>
      <c r="J188" s="6" t="n">
        <v>0</v>
      </c>
      <c r="K188" s="6" t="n">
        <v>0</v>
      </c>
    </row>
    <row r="189">
      <c r="B189" s="16" t="inlineStr">
        <is>
          <t>Year to reach target methane fee level</t>
        </is>
      </c>
      <c r="C189" s="16" t="inlineStr">
        <is>
          <t>year</t>
        </is>
      </c>
      <c r="D189" s="16" t="n"/>
      <c r="E189" s="16" t="n"/>
      <c r="F189" s="16" t="n">
        <v>2030</v>
      </c>
      <c r="G189" s="16" t="n">
        <v>2030</v>
      </c>
      <c r="H189" s="16" t="inlineStr">
        <is>
          <t>MPOutro</t>
        </is>
      </c>
      <c r="J189" s="6" t="n">
        <v>2030</v>
      </c>
      <c r="K189" s="6" t="n">
        <v>2030</v>
      </c>
    </row>
    <row r="190">
      <c r="B190" s="14" t="inlineStr">
        <is>
          <t>Price liberalization</t>
        </is>
      </c>
    </row>
    <row r="191">
      <c r="B191" s="16" t="inlineStr">
        <is>
          <t>Apply price controls phaseout?</t>
        </is>
      </c>
      <c r="C191" s="16" t="inlineStr">
        <is>
          <t>switch</t>
        </is>
      </c>
      <c r="D191" s="16" t="n"/>
      <c r="E191" s="16" t="n"/>
      <c r="F191" s="16" t="b">
        <v>0</v>
      </c>
      <c r="G191" s="16" t="b">
        <v>0</v>
      </c>
      <c r="H191" s="16" t="inlineStr">
        <is>
          <t>PrcContPha</t>
        </is>
      </c>
      <c r="J191" s="6" t="b">
        <v>0</v>
      </c>
      <c r="K191" s="6" t="b">
        <v>0</v>
      </c>
    </row>
    <row r="192">
      <c r="B192" s="16" t="inlineStr">
        <is>
          <t>Year to start price controls phaseout (if applicable)</t>
        </is>
      </c>
      <c r="C192" s="16" t="inlineStr">
        <is>
          <t>year</t>
        </is>
      </c>
      <c r="D192" s="16" t="n"/>
      <c r="E192" s="16" t="n"/>
      <c r="F192" s="16" t="n">
        <v>2027</v>
      </c>
      <c r="G192" s="16" t="n">
        <v>2027</v>
      </c>
      <c r="H192" s="16" t="inlineStr">
        <is>
          <t>YearPrcContPha</t>
        </is>
      </c>
      <c r="J192" s="6" t="n">
        <v>2027</v>
      </c>
      <c r="K192" s="6" t="n">
        <v>2027</v>
      </c>
    </row>
    <row r="193">
      <c r="B193" s="16" t="inlineStr">
        <is>
          <t>Period to reach full price controls phaseout (if applicable)</t>
        </is>
      </c>
      <c r="C193" s="16" t="inlineStr">
        <is>
          <t>year</t>
        </is>
      </c>
      <c r="D193" s="16" t="n"/>
      <c r="E193" s="16" t="n"/>
      <c r="F193" s="16" t="n">
        <v>5</v>
      </c>
      <c r="G193" s="16" t="n">
        <v>5</v>
      </c>
      <c r="H193" s="16" t="inlineStr">
        <is>
          <t>PrcControlPhaseout</t>
        </is>
      </c>
      <c r="J193" s="6" t="n">
        <v>5</v>
      </c>
      <c r="K193" s="6" t="n">
        <v>5</v>
      </c>
    </row>
    <row r="194">
      <c r="B194" s="16" t="inlineStr">
        <is>
          <t>Government energy price controls</t>
        </is>
      </c>
      <c r="C194" s="16" t="inlineStr">
        <is>
          <t>switch</t>
        </is>
      </c>
      <c r="D194" s="16" t="n"/>
      <c r="E194" s="16" t="n"/>
      <c r="F194" s="16" t="inlineStr">
        <is>
          <t>Bucketed*</t>
        </is>
      </c>
      <c r="G194" s="16" t="inlineStr">
        <is>
          <t>Bucketed*</t>
        </is>
      </c>
      <c r="H194" s="16" t="inlineStr">
        <is>
          <t>GovPriceControls</t>
        </is>
      </c>
      <c r="J194" s="6" t="inlineStr">
        <is>
          <t>Bucketed*</t>
        </is>
      </c>
      <c r="K194" s="6" t="inlineStr">
        <is>
          <t>Bucketed*</t>
        </is>
      </c>
    </row>
    <row r="195">
      <c r="B195" s="16" t="inlineStr">
        <is>
          <t>Apply price controls phaseout in the baseline scenario?</t>
        </is>
      </c>
      <c r="C195" s="16" t="inlineStr">
        <is>
          <t>switch</t>
        </is>
      </c>
      <c r="D195" s="16" t="n"/>
      <c r="E195" s="16" t="n"/>
      <c r="F195" s="16" t="inlineStr">
        <is>
          <t>No</t>
        </is>
      </c>
      <c r="G195" s="16" t="inlineStr">
        <is>
          <t>No</t>
        </is>
      </c>
      <c r="H195" s="16" t="inlineStr">
        <is>
          <t>PrcContPhaBaseline</t>
        </is>
      </c>
      <c r="J195" s="6" t="inlineStr">
        <is>
          <t>No</t>
        </is>
      </c>
      <c r="K195" s="6" t="inlineStr">
        <is>
          <t>No</t>
        </is>
      </c>
    </row>
    <row r="196">
      <c r="B196" s="14" t="inlineStr">
        <is>
          <t>Revenues use</t>
        </is>
      </c>
    </row>
    <row r="197">
      <c r="B197" s="16" t="inlineStr">
        <is>
          <t>Labor tax reductions</t>
        </is>
      </c>
      <c r="C197" s="16" t="inlineStr">
        <is>
          <t>% of revenues</t>
        </is>
      </c>
      <c r="D197" s="16" t="n"/>
      <c r="E197" s="16" t="n"/>
      <c r="F197" s="16" t="n">
        <v>30</v>
      </c>
      <c r="G197" s="16" t="n">
        <v>30</v>
      </c>
      <c r="H197" s="16" t="inlineStr">
        <is>
          <t>EXPLabortax</t>
        </is>
      </c>
      <c r="J197" s="6" t="n">
        <v>30</v>
      </c>
      <c r="K197" s="6" t="n">
        <v>30</v>
      </c>
    </row>
    <row r="198">
      <c r="B198" s="16" t="inlineStr">
        <is>
          <t>Corporate taxes</t>
        </is>
      </c>
      <c r="C198" s="16" t="inlineStr">
        <is>
          <t>% of revenues</t>
        </is>
      </c>
      <c r="D198" s="16" t="n"/>
      <c r="E198" s="16" t="n"/>
      <c r="F198" s="16" t="n">
        <v>0</v>
      </c>
      <c r="G198" s="16" t="n">
        <v>0</v>
      </c>
      <c r="H198" s="16" t="inlineStr">
        <is>
          <t>EXPCIT</t>
        </is>
      </c>
      <c r="J198" s="6" t="n">
        <v>0</v>
      </c>
      <c r="K198" s="6" t="n">
        <v>0</v>
      </c>
    </row>
    <row r="199">
      <c r="B199" s="16" t="inlineStr">
        <is>
          <t>Public investment</t>
        </is>
      </c>
      <c r="C199" s="16" t="inlineStr">
        <is>
          <t>% of revenues</t>
        </is>
      </c>
      <c r="D199" s="16" t="n"/>
      <c r="E199" s="16" t="n"/>
      <c r="F199" s="16" t="n">
        <v>50</v>
      </c>
      <c r="G199" s="16" t="n">
        <v>50</v>
      </c>
      <c r="H199" s="16" t="inlineStr">
        <is>
          <t>EXPCapex</t>
        </is>
      </c>
      <c r="J199" s="6" t="n">
        <v>50</v>
      </c>
      <c r="K199" s="6" t="n">
        <v>50</v>
      </c>
    </row>
    <row r="200">
      <c r="B200" s="16" t="inlineStr">
        <is>
          <t>Current spending</t>
        </is>
      </c>
      <c r="C200" s="16" t="inlineStr">
        <is>
          <t>% of revenues</t>
        </is>
      </c>
      <c r="D200" s="16" t="n"/>
      <c r="E200" s="16" t="n"/>
      <c r="F200" s="16" t="n">
        <v>0</v>
      </c>
      <c r="G200" s="16" t="n">
        <v>0</v>
      </c>
      <c r="H200" s="16" t="inlineStr">
        <is>
          <t>EXPGoodsandserv</t>
        </is>
      </c>
      <c r="J200" s="6" t="n">
        <v>0</v>
      </c>
      <c r="K200" s="6" t="n">
        <v>0</v>
      </c>
    </row>
    <row r="201">
      <c r="B201" s="16" t="inlineStr">
        <is>
          <t>Targeted transfers</t>
        </is>
      </c>
      <c r="C201" s="16" t="inlineStr">
        <is>
          <t>% of revenues</t>
        </is>
      </c>
      <c r="D201" s="16" t="n"/>
      <c r="E201" s="16" t="n"/>
      <c r="F201" s="16" t="n">
        <v>20</v>
      </c>
      <c r="G201" s="16" t="n">
        <v>20</v>
      </c>
      <c r="H201" s="16" t="inlineStr">
        <is>
          <t>EXPTransfers</t>
        </is>
      </c>
      <c r="J201" s="6" t="n">
        <v>20</v>
      </c>
      <c r="K201" s="6" t="n">
        <v>20</v>
      </c>
    </row>
    <row r="202">
      <c r="B202" s="14" t="inlineStr">
        <is>
          <t>of which:</t>
        </is>
      </c>
    </row>
    <row r="203">
      <c r="B203" s="16" t="inlineStr">
        <is>
          <t>targeted percentile</t>
        </is>
      </c>
      <c r="C203" s="16" t="inlineStr">
        <is>
          <t>% bottom targetting (from bottom of distribution)</t>
        </is>
      </c>
      <c r="D203" s="16" t="n"/>
      <c r="E203" s="16" t="n"/>
      <c r="F203" s="16" t="n">
        <v>40</v>
      </c>
      <c r="G203" s="16" t="n">
        <v>40</v>
      </c>
      <c r="H203" s="16" t="inlineStr">
        <is>
          <t>TargettedPercentile</t>
        </is>
      </c>
      <c r="J203" s="6" t="n">
        <v>40</v>
      </c>
      <c r="K203" s="6" t="n">
        <v>40</v>
      </c>
    </row>
    <row r="204">
      <c r="B204" s="16" t="inlineStr">
        <is>
          <t>coverage rate</t>
        </is>
      </c>
      <c r="C204" s="16" t="inlineStr">
        <is>
          <t>% of targeted percentile that receive transfers</t>
        </is>
      </c>
      <c r="D204" s="16" t="n"/>
      <c r="E204" s="16" t="n"/>
      <c r="F204" s="16" t="n">
        <v>100</v>
      </c>
      <c r="G204" s="16" t="n">
        <v>100</v>
      </c>
      <c r="H204" s="16" t="inlineStr">
        <is>
          <t>CoverageRate</t>
        </is>
      </c>
      <c r="J204" s="6" t="n">
        <v>100</v>
      </c>
      <c r="K204" s="6" t="n">
        <v>100</v>
      </c>
    </row>
    <row r="205">
      <c r="B205" s="16" t="inlineStr">
        <is>
          <t>leakage rate</t>
        </is>
      </c>
      <c r="C205" s="16" t="inlineStr">
        <is>
          <t>% of untargeted percentile that receive transfers</t>
        </is>
      </c>
      <c r="D205" s="16" t="n"/>
      <c r="E205" s="16" t="n"/>
      <c r="F205" s="16" t="n">
        <v>0</v>
      </c>
      <c r="G205" s="16" t="n">
        <v>0</v>
      </c>
      <c r="H205" s="16" t="inlineStr">
        <is>
          <t>LeakageRate</t>
        </is>
      </c>
      <c r="J205" s="6" t="n">
        <v>0</v>
      </c>
      <c r="K205" s="6" t="n">
        <v>0</v>
      </c>
    </row>
    <row r="206">
      <c r="B206" s="14" t="inlineStr">
        <is>
          <t>Policy options</t>
        </is>
      </c>
    </row>
    <row r="207">
      <c r="A207" t="inlineStr">
        <is>
          <t>X</t>
        </is>
      </c>
      <c r="B207" s="16" t="inlineStr">
        <is>
          <t>Additional mitigation policies in non-energy sectors?</t>
        </is>
      </c>
      <c r="C207" s="16" t="inlineStr">
        <is>
          <t>switch</t>
        </is>
      </c>
      <c r="D207" s="16" t="n"/>
      <c r="E207" s="16" t="n"/>
      <c r="F207" s="16" t="inlineStr">
        <is>
          <t>No*</t>
        </is>
      </c>
      <c r="G207" s="16" t="inlineStr">
        <is>
          <t>Yes*</t>
        </is>
      </c>
      <c r="H207" s="16" t="inlineStr">
        <is>
          <t>AdditionMitigationPoliciesNonEnergy</t>
        </is>
      </c>
      <c r="J207" s="6" t="inlineStr">
        <is>
          <t>No*</t>
        </is>
      </c>
      <c r="K207" s="6" t="inlineStr">
        <is>
          <t>No*</t>
        </is>
      </c>
    </row>
    <row r="208">
      <c r="B208" s="16" t="inlineStr">
        <is>
          <t>Apply existing ETS (if exists)?</t>
        </is>
      </c>
      <c r="C208" s="16" t="inlineStr">
        <is>
          <t>switch</t>
        </is>
      </c>
      <c r="D208" s="16" t="n"/>
      <c r="E208" s="16" t="n"/>
      <c r="F208" s="16" t="inlineStr">
        <is>
          <t>Yes*</t>
        </is>
      </c>
      <c r="G208" s="16" t="inlineStr">
        <is>
          <t>Yes*</t>
        </is>
      </c>
      <c r="H208" s="16" t="inlineStr">
        <is>
          <t>ExistingETSApply</t>
        </is>
      </c>
      <c r="J208" s="6" t="inlineStr">
        <is>
          <t>Yes*</t>
        </is>
      </c>
      <c r="K208" s="6" t="inlineStr">
        <is>
          <t>Yes*</t>
        </is>
      </c>
    </row>
    <row r="209">
      <c r="B209" s="16" t="inlineStr">
        <is>
          <t>Existing ETS permit price growth per annum (real terms)</t>
        </is>
      </c>
      <c r="C209" s="16" t="inlineStr">
        <is>
          <t>%, real</t>
        </is>
      </c>
      <c r="D209" s="16" t="n"/>
      <c r="E209" s="16" t="n"/>
      <c r="F209" s="16" t="n">
        <v>0</v>
      </c>
      <c r="G209" s="16" t="n">
        <v>0</v>
      </c>
      <c r="H209" s="16" t="inlineStr">
        <is>
          <t>ExistingETSGrowth</t>
        </is>
      </c>
      <c r="J209" s="6" t="n">
        <v>0</v>
      </c>
      <c r="K209" s="6" t="n">
        <v>0</v>
      </c>
    </row>
    <row r="210">
      <c r="B210" s="16" t="inlineStr">
        <is>
          <t>New carbon tax complementary to existing ETS coverage</t>
        </is>
      </c>
      <c r="C210" s="16" t="inlineStr">
        <is>
          <t>switch</t>
        </is>
      </c>
      <c r="D210" s="16" t="n"/>
      <c r="E210" s="16" t="n"/>
      <c r="F210" s="16" t="inlineStr">
        <is>
          <t>No*</t>
        </is>
      </c>
      <c r="G210" s="16" t="inlineStr">
        <is>
          <t>No*</t>
        </is>
      </c>
      <c r="H210" s="16" t="inlineStr">
        <is>
          <t>CTaxComplimentaryToETS</t>
        </is>
      </c>
      <c r="J210" s="6" t="inlineStr">
        <is>
          <t>No*</t>
        </is>
      </c>
      <c r="K210" s="6" t="inlineStr">
        <is>
          <t>No*</t>
        </is>
      </c>
    </row>
    <row r="211">
      <c r="B211" s="16" t="inlineStr">
        <is>
          <t>ETS behavioral responses and revenues adjustment</t>
        </is>
      </c>
      <c r="C211" s="16" t="inlineStr">
        <is>
          <t>%</t>
        </is>
      </c>
      <c r="D211" s="16" t="n"/>
      <c r="E211" s="16" t="n"/>
      <c r="F211" s="16" t="n">
        <v>0.9</v>
      </c>
      <c r="G211" s="16" t="n">
        <v>0.9</v>
      </c>
      <c r="H211" s="16" t="inlineStr">
        <is>
          <t>ETSBehavioralAdjustment</t>
        </is>
      </c>
      <c r="J211" s="6" t="n">
        <v>0.9</v>
      </c>
      <c r="K211" s="6" t="n">
        <v>0.9</v>
      </c>
    </row>
    <row r="212">
      <c r="B212" s="16" t="inlineStr">
        <is>
          <t>Years to phase in Pigouvian tax?</t>
        </is>
      </c>
      <c r="C212" s="16" t="inlineStr">
        <is>
          <t>year</t>
        </is>
      </c>
      <c r="D212" s="16" t="n"/>
      <c r="E212" s="16" t="n"/>
      <c r="F212" s="16" t="n">
        <v>5</v>
      </c>
      <c r="G212" s="16" t="n">
        <v>5</v>
      </c>
      <c r="H212" s="16" t="inlineStr">
        <is>
          <t>AddEfficientTaxesPhaseInYears</t>
        </is>
      </c>
      <c r="J212" s="6" t="n">
        <v>5</v>
      </c>
      <c r="K212" s="6" t="n">
        <v>5</v>
      </c>
    </row>
    <row r="213">
      <c r="B213" s="16" t="inlineStr">
        <is>
          <t>Apply existing carbon tax (if exists)?</t>
        </is>
      </c>
      <c r="C213" s="16" t="inlineStr">
        <is>
          <t>switch</t>
        </is>
      </c>
      <c r="D213" s="16" t="n"/>
      <c r="E213" s="16" t="n"/>
      <c r="F213" s="16" t="inlineStr">
        <is>
          <t>Yes*</t>
        </is>
      </c>
      <c r="G213" s="16" t="inlineStr">
        <is>
          <t>Yes*</t>
        </is>
      </c>
      <c r="H213" s="16" t="inlineStr">
        <is>
          <t>ExistingCTApply</t>
        </is>
      </c>
      <c r="J213" s="6" t="inlineStr">
        <is>
          <t>Yes*</t>
        </is>
      </c>
      <c r="K213" s="6" t="inlineStr">
        <is>
          <t>Yes*</t>
        </is>
      </c>
    </row>
    <row r="214">
      <c r="B214" s="16" t="inlineStr">
        <is>
          <t>Assumed existing carbon tax growth per annum (real terms)</t>
        </is>
      </c>
      <c r="C214" s="16" t="inlineStr">
        <is>
          <t>%, real</t>
        </is>
      </c>
      <c r="D214" s="16" t="n"/>
      <c r="E214" s="16" t="n"/>
      <c r="F214" s="16" t="n">
        <v>0</v>
      </c>
      <c r="G214" s="16" t="n">
        <v>0</v>
      </c>
      <c r="H214" s="16" t="inlineStr">
        <is>
          <t>ExistingCTGrowth</t>
        </is>
      </c>
      <c r="J214" s="6" t="n">
        <v>0</v>
      </c>
      <c r="K214" s="6" t="n">
        <v>0</v>
      </c>
    </row>
    <row r="215">
      <c r="B215" s="16" t="inlineStr">
        <is>
          <t>Add additional excise tax (see 'Manual inputs' tab)?</t>
        </is>
      </c>
      <c r="C215" s="16" t="inlineStr">
        <is>
          <t>switch</t>
        </is>
      </c>
      <c r="D215" s="16" t="n"/>
      <c r="E215" s="16" t="n"/>
      <c r="F215" s="16" t="inlineStr">
        <is>
          <t>No*</t>
        </is>
      </c>
      <c r="G215" s="16" t="inlineStr">
        <is>
          <t>No*</t>
        </is>
      </c>
      <c r="H215" s="16" t="inlineStr">
        <is>
          <t>AdditionalExcise</t>
        </is>
      </c>
      <c r="J215" s="6" t="inlineStr">
        <is>
          <t>No*</t>
        </is>
      </c>
      <c r="K215" s="6" t="inlineStr">
        <is>
          <t>No*</t>
        </is>
      </c>
    </row>
    <row r="216">
      <c r="B216" s="16" t="inlineStr">
        <is>
          <t>Include climate externality in Pigouvian tax?</t>
        </is>
      </c>
      <c r="C216" s="16" t="inlineStr">
        <is>
          <t>switch</t>
        </is>
      </c>
      <c r="D216" s="16" t="n"/>
      <c r="E216" s="16" t="n"/>
      <c r="F216" s="16" t="inlineStr">
        <is>
          <t>Yes*</t>
        </is>
      </c>
      <c r="G216" s="16" t="inlineStr">
        <is>
          <t>Yes*</t>
        </is>
      </c>
      <c r="H216" s="16" t="inlineStr">
        <is>
          <t>ClimateEffTax</t>
        </is>
      </c>
      <c r="J216" s="6" t="inlineStr">
        <is>
          <t>Yes*</t>
        </is>
      </c>
      <c r="K216" s="6" t="inlineStr">
        <is>
          <t>Yes*</t>
        </is>
      </c>
    </row>
    <row r="217">
      <c r="B217" s="16" t="inlineStr">
        <is>
          <t>Add Pigouvian tax on top?</t>
        </is>
      </c>
      <c r="C217" s="16" t="inlineStr">
        <is>
          <t>switch</t>
        </is>
      </c>
      <c r="D217" s="16" t="n"/>
      <c r="E217" s="16" t="n"/>
      <c r="F217" s="16" t="inlineStr">
        <is>
          <t>No*</t>
        </is>
      </c>
      <c r="G217" s="16" t="inlineStr">
        <is>
          <t>No*</t>
        </is>
      </c>
      <c r="H217" s="16" t="inlineStr">
        <is>
          <t>AddEfficientTaxes</t>
        </is>
      </c>
      <c r="J217" s="6" t="inlineStr">
        <is>
          <t>No*</t>
        </is>
      </c>
      <c r="K217" s="6" t="inlineStr">
        <is>
          <t>No*</t>
        </is>
      </c>
    </row>
    <row r="218">
      <c r="B218" s="16" t="inlineStr">
        <is>
          <t>Externalities are part of VAT base for optimal taxes?</t>
        </is>
      </c>
      <c r="C218" s="16" t="inlineStr">
        <is>
          <t>switch</t>
        </is>
      </c>
      <c r="D218" s="16" t="n"/>
      <c r="E218" s="16" t="n"/>
      <c r="F218" s="16" t="inlineStr">
        <is>
          <t>Yes*</t>
        </is>
      </c>
      <c r="G218" s="16" t="inlineStr">
        <is>
          <t>Yes*</t>
        </is>
      </c>
      <c r="H218" s="16" t="inlineStr">
        <is>
          <t>ExternalityAddVAT</t>
        </is>
      </c>
      <c r="J218" s="6" t="inlineStr">
        <is>
          <t>Yes*</t>
        </is>
      </c>
      <c r="K218" s="6" t="inlineStr">
        <is>
          <t>Yes*</t>
        </is>
      </c>
    </row>
    <row r="219">
      <c r="B219" s="14" t="inlineStr">
        <is>
          <t>Sources for key inputs</t>
        </is>
      </c>
    </row>
    <row r="220">
      <c r="A220" t="inlineStr">
        <is>
          <t>X</t>
        </is>
      </c>
      <c r="B220" s="16" t="inlineStr">
        <is>
          <t>International energy price forecasts</t>
        </is>
      </c>
      <c r="C220" s="16" t="inlineStr">
        <is>
          <t>switch</t>
        </is>
      </c>
      <c r="D220" s="16" t="n"/>
      <c r="E220" s="16" t="n"/>
      <c r="F220" s="16" t="inlineStr">
        <is>
          <t>IMF</t>
        </is>
      </c>
      <c r="G220" s="16" t="inlineStr">
        <is>
          <t>IMF-WB*</t>
        </is>
      </c>
      <c r="H220" s="16" t="inlineStr">
        <is>
          <t>IntEnerPricForeSource</t>
        </is>
      </c>
      <c r="J220" s="6" t="inlineStr">
        <is>
          <t>IMF</t>
        </is>
      </c>
      <c r="K220" s="6" t="inlineStr">
        <is>
          <t>IMF</t>
        </is>
      </c>
    </row>
    <row r="221">
      <c r="B221" s="16" t="inlineStr">
        <is>
          <t>Global energy demand scenario</t>
        </is>
      </c>
      <c r="C221" s="16" t="inlineStr">
        <is>
          <t>switch</t>
        </is>
      </c>
      <c r="D221" s="16" t="n"/>
      <c r="E221" s="16" t="n"/>
      <c r="F221" s="16" t="inlineStr">
        <is>
          <t>Stated Policies*</t>
        </is>
      </c>
      <c r="G221" s="16" t="inlineStr">
        <is>
          <t>Stated Policies*</t>
        </is>
      </c>
      <c r="H221" s="16" t="inlineStr">
        <is>
          <t>GlobalEnergyDemand</t>
        </is>
      </c>
      <c r="J221" s="6" t="inlineStr">
        <is>
          <t>Stated Policies*</t>
        </is>
      </c>
      <c r="K221" s="6" t="inlineStr">
        <is>
          <t>Stated Policies*</t>
        </is>
      </c>
    </row>
    <row r="222">
      <c r="B222" s="16" t="inlineStr">
        <is>
          <t>GDP growth forecasts</t>
        </is>
      </c>
      <c r="C222" s="16" t="inlineStr">
        <is>
          <t>switch</t>
        </is>
      </c>
      <c r="D222" s="16" t="n"/>
      <c r="E222" s="16" t="n"/>
      <c r="F222" s="16" t="inlineStr">
        <is>
          <t>WEO*</t>
        </is>
      </c>
      <c r="G222" s="16" t="inlineStr">
        <is>
          <t>WEO*</t>
        </is>
      </c>
      <c r="H222" s="16" t="inlineStr">
        <is>
          <t>GDPScenario</t>
        </is>
      </c>
      <c r="J222" s="6" t="inlineStr">
        <is>
          <t>WEO*</t>
        </is>
      </c>
      <c r="K222" s="6" t="inlineStr">
        <is>
          <t>WEO*</t>
        </is>
      </c>
    </row>
    <row r="223">
      <c r="B223" s="16" t="inlineStr">
        <is>
          <t>Primary source for price elasticities of demand</t>
        </is>
      </c>
      <c r="C223" s="16" t="inlineStr">
        <is>
          <t>switch</t>
        </is>
      </c>
      <c r="D223" s="16" t="n"/>
      <c r="E223" s="16" t="n"/>
      <c r="F223" s="16" t="inlineStr">
        <is>
          <t>Simple*</t>
        </is>
      </c>
      <c r="G223" s="16" t="inlineStr">
        <is>
          <t>Simple*</t>
        </is>
      </c>
      <c r="H223" s="16" t="inlineStr">
        <is>
          <t>ElPrcMainSrc</t>
        </is>
      </c>
      <c r="J223" s="6" t="inlineStr">
        <is>
          <t>Simple*</t>
        </is>
      </c>
      <c r="K223" s="6" t="inlineStr">
        <is>
          <t>Simple*</t>
        </is>
      </c>
    </row>
    <row r="224">
      <c r="B224" s="16" t="inlineStr">
        <is>
          <t>Primary source for income elasticities of demand</t>
        </is>
      </c>
      <c r="C224" s="16" t="inlineStr">
        <is>
          <t>switch</t>
        </is>
      </c>
      <c r="D224" s="16" t="n"/>
      <c r="E224" s="16" t="n"/>
      <c r="F224" s="16" t="inlineStr">
        <is>
          <t>Simple*</t>
        </is>
      </c>
      <c r="G224" s="16" t="inlineStr">
        <is>
          <t>Simple*</t>
        </is>
      </c>
      <c r="H224" s="16" t="inlineStr">
        <is>
          <t>ElIncMainSrc</t>
        </is>
      </c>
      <c r="J224" s="6" t="inlineStr">
        <is>
          <t>Simple*</t>
        </is>
      </c>
      <c r="K224" s="6" t="inlineStr">
        <is>
          <t>Simple*</t>
        </is>
      </c>
    </row>
    <row r="225">
      <c r="B225" s="16" t="inlineStr">
        <is>
          <t>CO2 emissions factors</t>
        </is>
      </c>
      <c r="C225" s="16" t="inlineStr">
        <is>
          <t>switch</t>
        </is>
      </c>
      <c r="D225" s="16" t="n"/>
      <c r="E225" s="16" t="n"/>
      <c r="F225" s="16" t="inlineStr">
        <is>
          <t>IIASA*</t>
        </is>
      </c>
      <c r="G225" s="16" t="inlineStr">
        <is>
          <t>IIASA*</t>
        </is>
      </c>
      <c r="H225" s="16" t="inlineStr">
        <is>
          <t>EmissionsFactCO2</t>
        </is>
      </c>
      <c r="J225" s="6" t="inlineStr">
        <is>
          <t>IIASA*</t>
        </is>
      </c>
      <c r="K225" s="6" t="inlineStr">
        <is>
          <t>IIASA*</t>
        </is>
      </c>
    </row>
    <row r="226">
      <c r="B226" s="16" t="inlineStr">
        <is>
          <t>Fiscal multipliers</t>
        </is>
      </c>
      <c r="C226" s="16" t="inlineStr">
        <is>
          <t>switch</t>
        </is>
      </c>
      <c r="D226" s="16" t="n"/>
      <c r="E226" s="16" t="n"/>
      <c r="F226" s="16" t="inlineStr">
        <is>
          <t>Income-grp*</t>
        </is>
      </c>
      <c r="G226" s="16" t="inlineStr">
        <is>
          <t>Income-grp*</t>
        </is>
      </c>
      <c r="H226" s="16" t="inlineStr">
        <is>
          <t>MultipliersSource</t>
        </is>
      </c>
      <c r="J226" s="6" t="inlineStr">
        <is>
          <t>Income-grp*</t>
        </is>
      </c>
      <c r="K226" s="6" t="inlineStr">
        <is>
          <t>Income-grp*</t>
        </is>
      </c>
    </row>
    <row r="227">
      <c r="B227" s="16" t="inlineStr">
        <is>
          <t>Power sector model (elasticity or engineering)?</t>
        </is>
      </c>
      <c r="C227" s="16" t="inlineStr">
        <is>
          <t>switch</t>
        </is>
      </c>
      <c r="D227" s="16" t="n"/>
      <c r="E227" s="16" t="n"/>
      <c r="F227" s="16" t="inlineStr">
        <is>
          <t>Engineer</t>
        </is>
      </c>
      <c r="G227" s="16" t="inlineStr">
        <is>
          <t>Engineer</t>
        </is>
      </c>
      <c r="H227" s="16" t="inlineStr">
        <is>
          <t>PowModelSelected</t>
        </is>
      </c>
      <c r="J227" s="6" t="inlineStr">
        <is>
          <t>Engineer</t>
        </is>
      </c>
      <c r="K227" s="6" t="inlineStr">
        <is>
          <t>Engineer</t>
        </is>
      </c>
    </row>
    <row r="228">
      <c r="B228" s="16" t="inlineStr">
        <is>
          <t>NDC submission</t>
        </is>
      </c>
      <c r="C228" s="16" t="inlineStr">
        <is>
          <t>switch</t>
        </is>
      </c>
      <c r="D228" s="16" t="n"/>
      <c r="E228" s="16" t="n"/>
      <c r="F228" s="16" t="inlineStr">
        <is>
          <t>Latest*</t>
        </is>
      </c>
      <c r="G228" s="16" t="inlineStr">
        <is>
          <t>Latest*</t>
        </is>
      </c>
      <c r="H228" s="16" t="inlineStr">
        <is>
          <t>NDCs</t>
        </is>
      </c>
      <c r="J228" s="6" t="inlineStr">
        <is>
          <t>Latest*</t>
        </is>
      </c>
      <c r="K228" s="6" t="inlineStr">
        <is>
          <t>Latest*</t>
        </is>
      </c>
    </row>
    <row r="229">
      <c r="B229" s="16" t="inlineStr">
        <is>
          <t>NDC target year</t>
        </is>
      </c>
      <c r="C229" s="16" t="inlineStr">
        <is>
          <t>switch</t>
        </is>
      </c>
      <c r="D229" s="16" t="n"/>
      <c r="E229" s="16" t="n"/>
      <c r="F229" s="16" t="inlineStr">
        <is>
          <t>Main*</t>
        </is>
      </c>
      <c r="G229" s="16" t="inlineStr">
        <is>
          <t>Main*</t>
        </is>
      </c>
      <c r="H229" s="16" t="inlineStr">
        <is>
          <t>NDCTargetYear</t>
        </is>
      </c>
      <c r="J229" s="6" t="inlineStr">
        <is>
          <t>Main*</t>
        </is>
      </c>
      <c r="K229" s="6" t="inlineStr">
        <is>
          <t>Main*</t>
        </is>
      </c>
    </row>
    <row r="230">
      <c r="B230" s="16" t="inlineStr">
        <is>
          <t>If conditional NDC, use:</t>
        </is>
      </c>
      <c r="C230" s="16" t="inlineStr">
        <is>
          <t>switch</t>
        </is>
      </c>
      <c r="D230" s="16" t="n"/>
      <c r="E230" s="16" t="n"/>
      <c r="F230" s="16" t="inlineStr">
        <is>
          <t>Average*</t>
        </is>
      </c>
      <c r="G230" s="16" t="inlineStr">
        <is>
          <t>Average*</t>
        </is>
      </c>
      <c r="H230" s="16" t="inlineStr">
        <is>
          <t>Conditionality</t>
        </is>
      </c>
      <c r="J230" s="6" t="inlineStr">
        <is>
          <t>Average*</t>
        </is>
      </c>
      <c r="K230" s="6" t="inlineStr">
        <is>
          <t>Average*</t>
        </is>
      </c>
    </row>
    <row r="231">
      <c r="B231" s="14" t="inlineStr">
        <is>
          <t>General assumptions</t>
        </is>
      </c>
    </row>
    <row r="232">
      <c r="B232" s="16" t="inlineStr">
        <is>
          <t>First year of model calculations?</t>
        </is>
      </c>
      <c r="C232" s="16" t="inlineStr">
        <is>
          <t>year</t>
        </is>
      </c>
      <c r="D232" s="16" t="n"/>
      <c r="E232" s="16" t="n"/>
      <c r="F232" s="16" t="n">
        <v>2022</v>
      </c>
      <c r="G232" s="16" t="n">
        <v>2022</v>
      </c>
      <c r="H232" s="16" t="inlineStr">
        <is>
          <t>FirstYearCalculations</t>
        </is>
      </c>
      <c r="J232" s="6" t="n">
        <v>2022</v>
      </c>
      <c r="K232" s="6" t="n">
        <v>2022</v>
      </c>
    </row>
    <row r="233">
      <c r="B233" s="16" t="inlineStr">
        <is>
          <t>Nominal results in real terms of which year?</t>
        </is>
      </c>
      <c r="C233" s="16" t="inlineStr">
        <is>
          <t>year</t>
        </is>
      </c>
      <c r="D233" s="16" t="n"/>
      <c r="E233" s="16" t="n"/>
      <c r="F233" s="16" t="n">
        <v>2026</v>
      </c>
      <c r="G233" s="16" t="n">
        <v>2026</v>
      </c>
      <c r="H233" s="16" t="inlineStr">
        <is>
          <t>ResultsYear</t>
        </is>
      </c>
      <c r="J233" s="6" t="n">
        <v>2026</v>
      </c>
      <c r="K233" s="6" t="n">
        <v>2026</v>
      </c>
    </row>
    <row r="234">
      <c r="B234" s="16" t="inlineStr">
        <is>
          <t>Use energy balances or (CPAT) energy consumption data</t>
        </is>
      </c>
      <c r="C234" s="16" t="inlineStr">
        <is>
          <t>year</t>
        </is>
      </c>
      <c r="D234" s="16" t="n"/>
      <c r="E234" s="16" t="n"/>
      <c r="F234" s="16" t="inlineStr">
        <is>
          <t>Balances</t>
        </is>
      </c>
      <c r="G234" s="16" t="inlineStr">
        <is>
          <t>Balances</t>
        </is>
      </c>
      <c r="H234" s="16" t="inlineStr">
        <is>
          <t>BalancesOrConsumption</t>
        </is>
      </c>
      <c r="J234" s="6" t="inlineStr">
        <is>
          <t>Balances</t>
        </is>
      </c>
      <c r="K234" s="6" t="inlineStr">
        <is>
          <t>Balances</t>
        </is>
      </c>
    </row>
    <row r="235">
      <c r="B235" s="16" t="inlineStr">
        <is>
          <t>Generate Matrix of Energy Consumption Projections for Year</t>
        </is>
      </c>
      <c r="C235" s="16" t="inlineStr">
        <is>
          <t>year</t>
        </is>
      </c>
      <c r="D235" s="16" t="n"/>
      <c r="E235" s="16" t="n"/>
      <c r="F235" s="16" t="n">
        <v>2026</v>
      </c>
      <c r="G235" s="16" t="n">
        <v>2026</v>
      </c>
      <c r="H235" s="16" t="inlineStr">
        <is>
          <t>EnergyConsumptionsMatrixProjectionsYear</t>
        </is>
      </c>
      <c r="J235" s="6" t="n">
        <v>2026</v>
      </c>
      <c r="K235" s="6" t="n">
        <v>2026</v>
      </c>
    </row>
    <row r="236">
      <c r="A236" t="inlineStr">
        <is>
          <t>X</t>
        </is>
      </c>
      <c r="B236" s="16" t="inlineStr">
        <is>
          <t>Start year for GDP calculations</t>
        </is>
      </c>
      <c r="C236" s="16" t="inlineStr">
        <is>
          <t>year</t>
        </is>
      </c>
      <c r="D236" s="16" t="n"/>
      <c r="E236" s="16" t="n"/>
      <c r="F236" s="16" t="n">
        <v>2025</v>
      </c>
      <c r="G236" s="16" t="n">
        <v>2024</v>
      </c>
      <c r="H236" s="16" t="inlineStr">
        <is>
          <t>GDPStartYear</t>
        </is>
      </c>
      <c r="J236" s="6" t="n">
        <v>2025</v>
      </c>
      <c r="K236" s="6" t="n">
        <v>2025</v>
      </c>
    </row>
    <row r="237">
      <c r="B237" s="16" t="inlineStr">
        <is>
          <t>Adjust Annex I country energy-related CO2 EFs to match UNFCCC GHG inventories?</t>
        </is>
      </c>
      <c r="C237" s="16" t="inlineStr">
        <is>
          <t>switch</t>
        </is>
      </c>
      <c r="D237" s="16" t="n"/>
      <c r="E237" s="16" t="n"/>
      <c r="F237" s="16" t="inlineStr">
        <is>
          <t>Yes*</t>
        </is>
      </c>
      <c r="G237" s="16" t="inlineStr">
        <is>
          <t>Yes*</t>
        </is>
      </c>
      <c r="H237" s="16" t="inlineStr">
        <is>
          <t>EFsAdjustmentAnnexI</t>
        </is>
      </c>
      <c r="J237" s="6" t="inlineStr">
        <is>
          <t>Yes*</t>
        </is>
      </c>
      <c r="K237" s="6" t="inlineStr">
        <is>
          <t>Yes*</t>
        </is>
      </c>
    </row>
    <row r="238">
      <c r="B238" s="16" t="inlineStr">
        <is>
          <t>Adjust non-Annex I country energy-related CO2 EFs to match CAIT GHG inventories?</t>
        </is>
      </c>
      <c r="C238" s="16" t="inlineStr">
        <is>
          <t>switch</t>
        </is>
      </c>
      <c r="D238" s="16" t="n"/>
      <c r="E238" s="16" t="n"/>
      <c r="F238" s="16" t="inlineStr">
        <is>
          <t>Yes*</t>
        </is>
      </c>
      <c r="G238" s="16" t="inlineStr">
        <is>
          <t>Yes*</t>
        </is>
      </c>
      <c r="H238" s="16" t="inlineStr">
        <is>
          <t>EFsAdjustmentNonAnnexI</t>
        </is>
      </c>
      <c r="J238" s="6" t="inlineStr">
        <is>
          <t>Yes*</t>
        </is>
      </c>
      <c r="K238" s="6" t="inlineStr">
        <is>
          <t>Yes*</t>
        </is>
      </c>
    </row>
    <row r="239">
      <c r="B239" s="16" t="inlineStr">
        <is>
          <t>Industrial process emissions scale with industrial CO2 energy emissions?</t>
        </is>
      </c>
      <c r="C239" s="16" t="inlineStr">
        <is>
          <t>switch</t>
        </is>
      </c>
      <c r="D239" s="16" t="n"/>
      <c r="E239" s="16" t="n"/>
      <c r="F239" s="16" t="inlineStr">
        <is>
          <t>Yes*</t>
        </is>
      </c>
      <c r="G239" s="16" t="inlineStr">
        <is>
          <t>Yes*</t>
        </is>
      </c>
      <c r="H239" s="16" t="inlineStr">
        <is>
          <t>IndustrialProcessEmissionsScaleEner</t>
        </is>
      </c>
      <c r="J239" s="6" t="inlineStr">
        <is>
          <t>Yes*</t>
        </is>
      </c>
      <c r="K239" s="6" t="inlineStr">
        <is>
          <t>Yes*</t>
        </is>
      </c>
    </row>
    <row r="240">
      <c r="B240" s="16" t="inlineStr">
        <is>
          <t>LULUCF emissions decline at % pa (in absolute value of start year)?</t>
        </is>
      </c>
      <c r="C240" s="16" t="inlineStr">
        <is>
          <t>%</t>
        </is>
      </c>
      <c r="D240" s="16" t="n"/>
      <c r="E240" s="16" t="n"/>
      <c r="F240" s="16" t="n">
        <v>0.025</v>
      </c>
      <c r="G240" s="16" t="n">
        <v>0.025</v>
      </c>
      <c r="H240" s="16" t="inlineStr">
        <is>
          <t>LULUCFAnnualEmissionsDecline</t>
        </is>
      </c>
      <c r="J240" s="6" t="n">
        <v>0.025</v>
      </c>
      <c r="K240" s="6" t="n">
        <v>0.025</v>
      </c>
    </row>
    <row r="241">
      <c r="B241" s="14" t="inlineStr">
        <is>
          <t>Additional policy-induced efficiency gains pa by sector:</t>
        </is>
      </c>
    </row>
    <row r="242">
      <c r="B242" s="16" t="inlineStr">
        <is>
          <t>Power</t>
        </is>
      </c>
      <c r="C242" s="16" t="n"/>
      <c r="D242" s="16" t="n"/>
      <c r="E242" s="16" t="n"/>
      <c r="F242" s="16" t="n">
        <v>0</v>
      </c>
      <c r="G242" s="16" t="n">
        <v>0</v>
      </c>
      <c r="H242" s="16" t="inlineStr">
        <is>
          <t>AdditionalEfficiencyPower</t>
        </is>
      </c>
      <c r="J242" s="6" t="n">
        <v>0</v>
      </c>
      <c r="K242" s="6" t="n">
        <v>0</v>
      </c>
    </row>
    <row r="243">
      <c r="B243" s="16" t="inlineStr">
        <is>
          <t>Road vehicles</t>
        </is>
      </c>
      <c r="C243" s="16" t="n"/>
      <c r="D243" s="16" t="n"/>
      <c r="E243" s="16" t="n"/>
      <c r="F243" s="16" t="n">
        <v>0</v>
      </c>
      <c r="G243" s="16" t="n">
        <v>0</v>
      </c>
      <c r="H243" s="16" t="inlineStr">
        <is>
          <t>AdditionalEfficiencyRoadVehicle</t>
        </is>
      </c>
      <c r="J243" s="6" t="n">
        <v>0</v>
      </c>
      <c r="K243" s="6" t="n">
        <v>0</v>
      </c>
    </row>
    <row r="244">
      <c r="B244" s="16" t="inlineStr">
        <is>
          <t>Residential</t>
        </is>
      </c>
      <c r="C244" s="16" t="n"/>
      <c r="D244" s="16" t="n"/>
      <c r="E244" s="16" t="n"/>
      <c r="F244" s="16" t="n">
        <v>0</v>
      </c>
      <c r="G244" s="16" t="n">
        <v>0</v>
      </c>
      <c r="H244" s="16" t="inlineStr">
        <is>
          <t>AdditionalEfficiencyResidential</t>
        </is>
      </c>
      <c r="J244" s="6" t="n">
        <v>0</v>
      </c>
      <c r="K244" s="6" t="n">
        <v>0</v>
      </c>
    </row>
    <row r="245">
      <c r="B245" s="16" t="inlineStr">
        <is>
          <t>Industrial</t>
        </is>
      </c>
      <c r="C245" s="16" t="n"/>
      <c r="D245" s="16" t="n"/>
      <c r="E245" s="16" t="n"/>
      <c r="F245" s="16" t="n">
        <v>0</v>
      </c>
      <c r="G245" s="16" t="n">
        <v>0</v>
      </c>
      <c r="H245" s="16" t="inlineStr">
        <is>
          <t>AdditionalEfficiencyIndustrial</t>
        </is>
      </c>
      <c r="J245" s="6" t="n">
        <v>0</v>
      </c>
      <c r="K245" s="6" t="n">
        <v>0</v>
      </c>
    </row>
    <row r="246">
      <c r="B246" s="14" t="inlineStr">
        <is>
          <t>Adjustment to efficiency margins for shadow pricing policies:</t>
        </is>
      </c>
    </row>
    <row r="247">
      <c r="B247" s="16" t="inlineStr">
        <is>
          <t>Energy efficiency regulations</t>
        </is>
      </c>
      <c r="C247" s="16" t="n"/>
      <c r="D247" s="16" t="n"/>
      <c r="E247" s="16" t="n"/>
      <c r="F247" s="16" t="n">
        <v>0.7</v>
      </c>
      <c r="G247" s="16" t="n">
        <v>0.7</v>
      </c>
      <c r="H247" s="16" t="inlineStr">
        <is>
          <t>SPPEffAdjEnergyEfficiencyRegulations</t>
        </is>
      </c>
      <c r="J247" s="6" t="n">
        <v>0.7</v>
      </c>
      <c r="K247" s="6" t="n">
        <v>0.7</v>
      </c>
    </row>
    <row r="248">
      <c r="B248" s="16" t="inlineStr">
        <is>
          <t>Vehicle fuel economy</t>
        </is>
      </c>
      <c r="C248" s="16" t="n"/>
      <c r="D248" s="16" t="n"/>
      <c r="E248" s="16" t="n"/>
      <c r="F248" s="16" t="n">
        <v>0.7</v>
      </c>
      <c r="G248" s="16" t="n">
        <v>0.7</v>
      </c>
      <c r="H248" s="16" t="inlineStr">
        <is>
          <t>SPPEffAdjVehicleFuelEconomy</t>
        </is>
      </c>
      <c r="J248" s="6" t="n">
        <v>0.7</v>
      </c>
      <c r="K248" s="6" t="n">
        <v>0.7</v>
      </c>
    </row>
    <row r="249">
      <c r="B249" s="16" t="inlineStr">
        <is>
          <t>Residential efficiency regulations</t>
        </is>
      </c>
      <c r="C249" s="16" t="n"/>
      <c r="D249" s="16" t="n"/>
      <c r="E249" s="16" t="n"/>
      <c r="F249" s="16" t="n">
        <v>0.7</v>
      </c>
      <c r="G249" s="16" t="n">
        <v>0.7</v>
      </c>
      <c r="H249" s="16" t="inlineStr">
        <is>
          <t>SPPEffAdjRes</t>
        </is>
      </c>
      <c r="J249" s="6" t="n">
        <v>0.7</v>
      </c>
      <c r="K249" s="6" t="n">
        <v>0.7</v>
      </c>
    </row>
    <row r="250">
      <c r="B250" s="16" t="inlineStr">
        <is>
          <t>Industrial efficiency regulations</t>
        </is>
      </c>
      <c r="C250" s="16" t="n"/>
      <c r="D250" s="16" t="n"/>
      <c r="E250" s="16" t="n"/>
      <c r="F250" s="16" t="n">
        <v>0.7</v>
      </c>
      <c r="G250" s="16" t="n">
        <v>0.7</v>
      </c>
      <c r="H250" s="16" t="inlineStr">
        <is>
          <t>SPPEffAdjInd</t>
        </is>
      </c>
      <c r="J250" s="6" t="n">
        <v>0.7</v>
      </c>
      <c r="K250" s="6" t="n">
        <v>0.7</v>
      </c>
    </row>
    <row r="251">
      <c r="B251" s="16" t="inlineStr">
        <is>
          <t>Feebates</t>
        </is>
      </c>
      <c r="C251" s="16" t="n"/>
      <c r="D251" s="16" t="n"/>
      <c r="E251" s="16" t="n"/>
      <c r="F251" s="16" t="n">
        <v>1</v>
      </c>
      <c r="G251" s="16" t="n">
        <v>1</v>
      </c>
      <c r="H251" s="16" t="inlineStr">
        <is>
          <t>SPPEffAdjFeebates</t>
        </is>
      </c>
      <c r="J251" s="6" t="n">
        <v>1</v>
      </c>
      <c r="K251" s="6" t="n">
        <v>1</v>
      </c>
    </row>
    <row r="252">
      <c r="B252" s="14" t="inlineStr">
        <is>
          <t>Residential Substitution Implicit Efficiencies</t>
        </is>
      </c>
    </row>
    <row r="253">
      <c r="B253" s="16" t="inlineStr">
        <is>
          <t>LPG</t>
        </is>
      </c>
      <c r="C253" s="16" t="n"/>
      <c r="D253" s="16" t="n"/>
      <c r="E253" s="16" t="n"/>
      <c r="F253" s="16" t="n">
        <v>0.5600000000000001</v>
      </c>
      <c r="G253" s="16" t="n">
        <v>0.5600000000000001</v>
      </c>
      <c r="H253" s="16" t="inlineStr">
        <is>
          <t>ResSubstLPGEff</t>
        </is>
      </c>
      <c r="J253" s="6" t="n">
        <v>0.5600000000000001</v>
      </c>
      <c r="K253" s="6" t="n">
        <v>0.5600000000000001</v>
      </c>
    </row>
    <row r="254">
      <c r="B254" s="16" t="inlineStr">
        <is>
          <t>Kerosene</t>
        </is>
      </c>
      <c r="C254" s="16" t="n"/>
      <c r="D254" s="16" t="n"/>
      <c r="E254" s="16" t="n"/>
      <c r="F254" s="16" t="n">
        <v>0.45</v>
      </c>
      <c r="G254" s="16" t="n">
        <v>0.45</v>
      </c>
      <c r="H254" s="16" t="inlineStr">
        <is>
          <t>ResSubstKerEff</t>
        </is>
      </c>
      <c r="J254" s="6" t="n">
        <v>0.45</v>
      </c>
      <c r="K254" s="6" t="n">
        <v>0.45</v>
      </c>
    </row>
    <row r="255">
      <c r="B255" s="16" t="inlineStr">
        <is>
          <t>Biomass</t>
        </is>
      </c>
      <c r="C255" s="16" t="n"/>
      <c r="D255" s="16" t="n"/>
      <c r="E255" s="16" t="n"/>
      <c r="F255" s="16" t="n">
        <v>0.2</v>
      </c>
      <c r="G255" s="16" t="n">
        <v>0.2</v>
      </c>
      <c r="H255" s="16" t="inlineStr">
        <is>
          <t>ResSubstBioEff</t>
        </is>
      </c>
      <c r="J255" s="6" t="n">
        <v>0.2</v>
      </c>
      <c r="K255" s="6" t="n">
        <v>0.2</v>
      </c>
    </row>
    <row r="256">
      <c r="B256" s="16" t="inlineStr">
        <is>
          <t>NatGas</t>
        </is>
      </c>
      <c r="C256" s="16" t="n"/>
      <c r="D256" s="16" t="n"/>
      <c r="E256" s="16" t="n"/>
      <c r="F256" s="16" t="n">
        <v>0.58</v>
      </c>
      <c r="G256" s="16" t="n">
        <v>0.58</v>
      </c>
      <c r="H256" s="16" t="inlineStr">
        <is>
          <t>ResSubstNatGasEff</t>
        </is>
      </c>
      <c r="J256" s="6" t="n">
        <v>0.58</v>
      </c>
      <c r="K256" s="6" t="n">
        <v>0.58</v>
      </c>
    </row>
    <row r="257">
      <c r="B257" s="14" t="inlineStr">
        <is>
          <t>Uncertainty adjustments</t>
        </is>
      </c>
    </row>
    <row r="258">
      <c r="B258" s="16" t="inlineStr">
        <is>
          <t>International energy prices adjustment</t>
        </is>
      </c>
      <c r="C258" s="16" t="inlineStr">
        <is>
          <t>switch</t>
        </is>
      </c>
      <c r="D258" s="16" t="n"/>
      <c r="E258" s="16" t="n"/>
      <c r="F258" s="16" t="inlineStr">
        <is>
          <t>Base*</t>
        </is>
      </c>
      <c r="G258" s="16" t="inlineStr">
        <is>
          <t>Base*</t>
        </is>
      </c>
      <c r="H258" s="16" t="inlineStr">
        <is>
          <t>IntEnerPricForecastAdjustment</t>
        </is>
      </c>
      <c r="J258" s="6" t="inlineStr">
        <is>
          <t>Base*</t>
        </is>
      </c>
      <c r="K258" s="6" t="inlineStr">
        <is>
          <t>Base*</t>
        </is>
      </c>
    </row>
    <row r="259">
      <c r="B259" s="16" t="inlineStr">
        <is>
          <t>GDP growth adjustment</t>
        </is>
      </c>
      <c r="C259" s="16" t="inlineStr">
        <is>
          <t>switch</t>
        </is>
      </c>
      <c r="D259" s="16" t="n"/>
      <c r="E259" s="16" t="n"/>
      <c r="F259" s="16" t="inlineStr">
        <is>
          <t>Base*</t>
        </is>
      </c>
      <c r="G259" s="16" t="inlineStr">
        <is>
          <t>Base*</t>
        </is>
      </c>
      <c r="H259" s="16" t="inlineStr">
        <is>
          <t>GdpAdj</t>
        </is>
      </c>
      <c r="J259" s="6" t="inlineStr">
        <is>
          <t>Base*</t>
        </is>
      </c>
      <c r="K259" s="6" t="inlineStr">
        <is>
          <t>Base*</t>
        </is>
      </c>
    </row>
    <row r="260">
      <c r="B260" s="16" t="inlineStr">
        <is>
          <t>Price elasticities adjustment</t>
        </is>
      </c>
      <c r="C260" s="16" t="inlineStr">
        <is>
          <t>switch</t>
        </is>
      </c>
      <c r="D260" s="16" t="n"/>
      <c r="E260" s="16" t="n"/>
      <c r="F260" s="16" t="inlineStr">
        <is>
          <t>Base*</t>
        </is>
      </c>
      <c r="G260" s="16" t="inlineStr">
        <is>
          <t>Base*</t>
        </is>
      </c>
      <c r="H260" s="16" t="inlineStr">
        <is>
          <t>ElastPriceAdjustment</t>
        </is>
      </c>
      <c r="J260" s="6" t="inlineStr">
        <is>
          <t>Base*</t>
        </is>
      </c>
      <c r="K260" s="6" t="inlineStr">
        <is>
          <t>Base*</t>
        </is>
      </c>
    </row>
    <row r="261">
      <c r="B261" s="16" t="inlineStr">
        <is>
          <t>Income elasticities adjustment</t>
        </is>
      </c>
      <c r="C261" s="16" t="inlineStr">
        <is>
          <t>switch</t>
        </is>
      </c>
      <c r="D261" s="16" t="n"/>
      <c r="E261" s="16" t="n"/>
      <c r="F261" s="16" t="inlineStr">
        <is>
          <t>Base*</t>
        </is>
      </c>
      <c r="G261" s="16" t="inlineStr">
        <is>
          <t>Base*</t>
        </is>
      </c>
      <c r="H261" s="16" t="inlineStr">
        <is>
          <t>ElastIncAdjustment</t>
        </is>
      </c>
      <c r="J261" s="6" t="inlineStr">
        <is>
          <t>Base*</t>
        </is>
      </c>
      <c r="K261" s="6" t="inlineStr">
        <is>
          <t>Base*</t>
        </is>
      </c>
    </row>
    <row r="262">
      <c r="B262" s="16" t="inlineStr">
        <is>
          <t>Adjust income elasticities for GDP levels?</t>
        </is>
      </c>
      <c r="C262" s="16" t="inlineStr">
        <is>
          <t>switch</t>
        </is>
      </c>
      <c r="D262" s="16" t="n"/>
      <c r="E262" s="16" t="n"/>
      <c r="F262" s="16" t="inlineStr">
        <is>
          <t>Yes*</t>
        </is>
      </c>
      <c r="G262" s="16" t="inlineStr">
        <is>
          <t>Yes*</t>
        </is>
      </c>
      <c r="H262" s="16" t="inlineStr">
        <is>
          <t>IncElAdj</t>
        </is>
      </c>
      <c r="J262" s="6" t="inlineStr">
        <is>
          <t>Yes*</t>
        </is>
      </c>
      <c r="K262" s="6" t="inlineStr">
        <is>
          <t>Yes*</t>
        </is>
      </c>
    </row>
    <row r="263">
      <c r="B263" s="16" t="inlineStr">
        <is>
          <t>Fiscal multipliers adjustment</t>
        </is>
      </c>
      <c r="C263" s="16" t="inlineStr">
        <is>
          <t>switch</t>
        </is>
      </c>
      <c r="D263" s="16" t="n"/>
      <c r="E263" s="16" t="n"/>
      <c r="F263" s="16" t="inlineStr">
        <is>
          <t>Base*</t>
        </is>
      </c>
      <c r="G263" s="16" t="inlineStr">
        <is>
          <t>Base*</t>
        </is>
      </c>
      <c r="H263" s="16" t="inlineStr">
        <is>
          <t>FmAdj</t>
        </is>
      </c>
      <c r="J263" s="6" t="inlineStr">
        <is>
          <t>Base*</t>
        </is>
      </c>
      <c r="K263" s="6" t="inlineStr">
        <is>
          <t>Base*</t>
        </is>
      </c>
    </row>
    <row r="264">
      <c r="B264" s="14" t="inlineStr">
        <is>
          <t>Miscellaneous</t>
        </is>
      </c>
    </row>
    <row r="265">
      <c r="B265" s="16" t="inlineStr">
        <is>
          <t>Price pathway continues to rise after target year?</t>
        </is>
      </c>
      <c r="C265" s="16" t="inlineStr">
        <is>
          <t>switch</t>
        </is>
      </c>
      <c r="D265" s="16" t="n"/>
      <c r="E265" s="16" t="n"/>
      <c r="F265" s="16" t="inlineStr">
        <is>
          <t>Linear*</t>
        </is>
      </c>
      <c r="G265" s="16" t="inlineStr">
        <is>
          <t>Linear*</t>
        </is>
      </c>
      <c r="H265" s="16" t="inlineStr">
        <is>
          <t>ExtendCarbonPriceBeyondOutro</t>
        </is>
      </c>
      <c r="J265" s="6" t="inlineStr">
        <is>
          <t>Linear*</t>
        </is>
      </c>
      <c r="K265" s="6" t="inlineStr">
        <is>
          <t>Linear*</t>
        </is>
      </c>
    </row>
    <row r="266">
      <c r="B266" s="16" t="inlineStr">
        <is>
          <t>Tax pathway is in nominal or real terms?</t>
        </is>
      </c>
      <c r="C266" s="16" t="inlineStr">
        <is>
          <t>switch</t>
        </is>
      </c>
      <c r="D266" s="16" t="n"/>
      <c r="E266" s="16" t="n"/>
      <c r="F266" s="16" t="inlineStr">
        <is>
          <t>Real*</t>
        </is>
      </c>
      <c r="G266" s="16" t="inlineStr">
        <is>
          <t>Real*</t>
        </is>
      </c>
      <c r="H266" s="16" t="inlineStr">
        <is>
          <t>NomorReal</t>
        </is>
      </c>
      <c r="J266" s="6" t="inlineStr">
        <is>
          <t>Real*</t>
        </is>
      </c>
      <c r="K266" s="6" t="inlineStr">
        <is>
          <t>Real*</t>
        </is>
      </c>
    </row>
    <row r="267">
      <c r="B267" s="16" t="inlineStr">
        <is>
          <t>Include endogenous GDP effects?</t>
        </is>
      </c>
      <c r="C267" s="16" t="inlineStr">
        <is>
          <t>switch</t>
        </is>
      </c>
      <c r="D267" s="16" t="n"/>
      <c r="E267" s="16" t="n"/>
      <c r="F267" s="16" t="inlineStr">
        <is>
          <t>Yes*</t>
        </is>
      </c>
      <c r="G267" s="16" t="inlineStr">
        <is>
          <t>Yes*</t>
        </is>
      </c>
      <c r="H267" s="16" t="inlineStr">
        <is>
          <t>GDPEndogenous</t>
        </is>
      </c>
      <c r="J267" s="6" t="inlineStr">
        <is>
          <t>Yes*</t>
        </is>
      </c>
      <c r="K267" s="6" t="inlineStr">
        <is>
          <t>Yes*</t>
        </is>
      </c>
    </row>
    <row r="268">
      <c r="B268" s="16" t="inlineStr">
        <is>
          <t>Residential LPG/kerosene always exempted</t>
        </is>
      </c>
      <c r="C268" s="16" t="inlineStr">
        <is>
          <t>switch</t>
        </is>
      </c>
      <c r="D268" s="16" t="n"/>
      <c r="E268" s="16" t="n"/>
      <c r="F268" s="16" t="inlineStr">
        <is>
          <t>No*</t>
        </is>
      </c>
      <c r="G268" s="16" t="inlineStr">
        <is>
          <t>No*</t>
        </is>
      </c>
      <c r="H268" s="16" t="inlineStr">
        <is>
          <t>AlwaysExemptResLPGKer</t>
        </is>
      </c>
      <c r="J268" s="6" t="inlineStr">
        <is>
          <t>No*</t>
        </is>
      </c>
      <c r="K268" s="6" t="inlineStr">
        <is>
          <t>No*</t>
        </is>
      </c>
    </row>
    <row r="269">
      <c r="B269" s="16" t="inlineStr">
        <is>
          <t>National social cost of carbon (NSCC) source</t>
        </is>
      </c>
      <c r="C269" s="16" t="inlineStr">
        <is>
          <t>switch</t>
        </is>
      </c>
      <c r="D269" s="16" t="n"/>
      <c r="E269" s="16" t="n"/>
      <c r="F269" s="16" t="inlineStr">
        <is>
          <t>Target*</t>
        </is>
      </c>
      <c r="G269" s="16" t="inlineStr">
        <is>
          <t>Target*</t>
        </is>
      </c>
      <c r="H269" s="16" t="inlineStr">
        <is>
          <t>NSCCSource</t>
        </is>
      </c>
      <c r="J269" s="6" t="inlineStr">
        <is>
          <t>Target*</t>
        </is>
      </c>
      <c r="K269" s="6" t="inlineStr">
        <is>
          <t>Target*</t>
        </is>
      </c>
    </row>
    <row r="270">
      <c r="B270" s="16" t="inlineStr">
        <is>
          <t>Override dashboard and impose a linear or exponential carbon price trajectory?</t>
        </is>
      </c>
      <c r="C270" s="16" t="n"/>
      <c r="D270" s="16" t="n"/>
      <c r="E270" s="16" t="n"/>
      <c r="F270" s="16" t="inlineStr">
        <is>
          <t>Linear*</t>
        </is>
      </c>
      <c r="G270" s="16" t="inlineStr">
        <is>
          <t>Linear*</t>
        </is>
      </c>
      <c r="H270" s="16" t="inlineStr">
        <is>
          <t>CTaxTrajectoryType</t>
        </is>
      </c>
      <c r="J270" s="6" t="inlineStr">
        <is>
          <t>Linear*</t>
        </is>
      </c>
      <c r="K270" s="6" t="inlineStr">
        <is>
          <t>Linear*</t>
        </is>
      </c>
    </row>
    <row r="271">
      <c r="B271" s="16" t="inlineStr">
        <is>
          <t>If overridden and exponential, what is the real escalation rate per year?</t>
        </is>
      </c>
      <c r="C271" s="16" t="n"/>
      <c r="D271" s="16" t="n"/>
      <c r="E271" s="16" t="n"/>
      <c r="F271" s="16" t="n">
        <v>0</v>
      </c>
      <c r="G271" s="16" t="n">
        <v>0</v>
      </c>
      <c r="H271" s="16" t="inlineStr">
        <is>
          <t>CtaxExponentialEscalationRate</t>
        </is>
      </c>
      <c r="J271" s="6" t="n">
        <v>0</v>
      </c>
      <c r="K271" s="6" t="n">
        <v>0</v>
      </c>
    </row>
    <row r="272">
      <c r="B272" s="14" t="inlineStr">
        <is>
          <t xml:space="preserve">Social cost of carbon </t>
        </is>
      </c>
    </row>
    <row r="273">
      <c r="B273" s="16" t="inlineStr">
        <is>
          <t>NSCC discount rate (ρ)</t>
        </is>
      </c>
      <c r="C273" s="16" t="inlineStr">
        <is>
          <t>%</t>
        </is>
      </c>
      <c r="D273" s="16" t="n"/>
      <c r="E273" s="16" t="n"/>
      <c r="F273" s="16" t="inlineStr">
        <is>
          <t>2%*</t>
        </is>
      </c>
      <c r="G273" s="16" t="inlineStr">
        <is>
          <t>2%*</t>
        </is>
      </c>
      <c r="H273" s="16" t="inlineStr">
        <is>
          <t>NSCCDiscountRate</t>
        </is>
      </c>
      <c r="J273" s="6" t="inlineStr">
        <is>
          <t>2%*</t>
        </is>
      </c>
      <c r="K273" s="6" t="inlineStr">
        <is>
          <t>2%*</t>
        </is>
      </c>
    </row>
    <row r="274">
      <c r="B274" s="16" t="inlineStr">
        <is>
          <t>NSCC elasticity of marginal utility (μ)</t>
        </is>
      </c>
      <c r="C274" s="16" t="inlineStr">
        <is>
          <t>%</t>
        </is>
      </c>
      <c r="D274" s="16" t="n"/>
      <c r="E274" s="16" t="n"/>
      <c r="F274" s="16" t="inlineStr">
        <is>
          <t>1.5%*</t>
        </is>
      </c>
      <c r="G274" s="16" t="inlineStr">
        <is>
          <t>1.5%*</t>
        </is>
      </c>
      <c r="H274" s="16" t="inlineStr">
        <is>
          <t>NSCCMargUtilofCons</t>
        </is>
      </c>
      <c r="J274" s="6" t="inlineStr">
        <is>
          <t>1.5%*</t>
        </is>
      </c>
      <c r="K274" s="6" t="inlineStr">
        <is>
          <t>1.5%*</t>
        </is>
      </c>
    </row>
    <row r="275">
      <c r="B275" s="16" t="inlineStr">
        <is>
          <t>Global social cost of carbon (GSCC) source</t>
        </is>
      </c>
      <c r="C275" s="16" t="inlineStr">
        <is>
          <t>switch</t>
        </is>
      </c>
      <c r="D275" s="16" t="n"/>
      <c r="E275" s="16" t="n"/>
      <c r="F275" s="16" t="inlineStr">
        <is>
          <t>Target*</t>
        </is>
      </c>
      <c r="G275" s="16" t="inlineStr">
        <is>
          <t>Target*</t>
        </is>
      </c>
      <c r="H275" s="16" t="inlineStr">
        <is>
          <t>GSCCSource</t>
        </is>
      </c>
      <c r="J275" s="6" t="inlineStr">
        <is>
          <t>Target*</t>
        </is>
      </c>
      <c r="K275" s="6" t="inlineStr">
        <is>
          <t>Target*</t>
        </is>
      </c>
    </row>
    <row r="276">
      <c r="B276" s="14" t="inlineStr">
        <is>
          <t xml:space="preserve">Manual - assumed starting in year 2021 </t>
        </is>
      </c>
    </row>
    <row r="277">
      <c r="B277" s="16" t="inlineStr">
        <is>
          <t>SCC (both NSCC and GSCC)</t>
        </is>
      </c>
      <c r="C277" s="16" t="inlineStr">
        <is>
          <t>real growth, %</t>
        </is>
      </c>
      <c r="D277" s="16" t="n"/>
      <c r="E277" s="16" t="n"/>
      <c r="F277" s="16" t="n">
        <v>0.04</v>
      </c>
      <c r="G277" s="16" t="n">
        <v>0.04</v>
      </c>
      <c r="H277" s="16" t="inlineStr">
        <is>
          <t>SCCRise</t>
        </is>
      </c>
      <c r="J277" s="6" t="n">
        <v>0.04</v>
      </c>
      <c r="K277" s="6" t="n">
        <v>0.04</v>
      </c>
    </row>
    <row r="278">
      <c r="B278" s="16" t="inlineStr">
        <is>
          <t>Target-consistent carbon price by 2030 (for 'Target' option)</t>
        </is>
      </c>
      <c r="C278" s="16" t="n"/>
      <c r="D278" s="16" t="n"/>
      <c r="E278" s="16" t="n"/>
      <c r="F278" s="16" t="n">
        <v>75</v>
      </c>
      <c r="G278" s="16" t="n">
        <v>75</v>
      </c>
      <c r="H278" s="16" t="inlineStr">
        <is>
          <t>SCCTargetConsistentCP</t>
        </is>
      </c>
      <c r="J278" s="6" t="n">
        <v>75</v>
      </c>
      <c r="K278" s="6" t="n">
        <v>75</v>
      </c>
    </row>
    <row r="279">
      <c r="B279" s="14" t="inlineStr">
        <is>
          <t>Energy pricing assumptions</t>
        </is>
      </c>
    </row>
    <row r="280">
      <c r="B280" s="16" t="inlineStr">
        <is>
          <t>Use manual domestic prices?</t>
        </is>
      </c>
      <c r="C280" s="16" t="inlineStr">
        <is>
          <t>switch</t>
        </is>
      </c>
      <c r="D280" s="16" t="n"/>
      <c r="E280" s="16" t="n"/>
      <c r="F280" s="16" t="inlineStr">
        <is>
          <t>No</t>
        </is>
      </c>
      <c r="G280" s="16" t="inlineStr">
        <is>
          <t>No</t>
        </is>
      </c>
      <c r="H280" s="16" t="inlineStr">
        <is>
          <t>DomPrTax</t>
        </is>
      </c>
      <c r="J280" s="6" t="inlineStr">
        <is>
          <t>No</t>
        </is>
      </c>
      <c r="K280" s="6" t="inlineStr">
        <is>
          <t>No</t>
        </is>
      </c>
    </row>
    <row r="281">
      <c r="B281" s="16" t="inlineStr">
        <is>
          <t>Use uniform global assumption for fuel prices (normally 'No')</t>
        </is>
      </c>
      <c r="C281" s="16" t="inlineStr">
        <is>
          <t>switch</t>
        </is>
      </c>
      <c r="D281" s="16" t="n"/>
      <c r="E281" s="16" t="n"/>
      <c r="F281" s="16" t="inlineStr">
        <is>
          <t>No</t>
        </is>
      </c>
      <c r="G281" s="16" t="inlineStr">
        <is>
          <t>No</t>
        </is>
      </c>
      <c r="H281" s="16" t="inlineStr">
        <is>
          <t>UseGlobalPrices</t>
        </is>
      </c>
      <c r="J281" s="6" t="inlineStr">
        <is>
          <t>No</t>
        </is>
      </c>
      <c r="K281" s="6" t="inlineStr">
        <is>
          <t>No</t>
        </is>
      </c>
    </row>
    <row r="282">
      <c r="A282" t="inlineStr">
        <is>
          <t>X</t>
        </is>
      </c>
      <c r="B282" s="16" t="inlineStr">
        <is>
          <t>Year of interest for energy externalities &amp; prices</t>
        </is>
      </c>
      <c r="C282" s="16" t="inlineStr">
        <is>
          <t>year</t>
        </is>
      </c>
      <c r="D282" s="16" t="n"/>
      <c r="E282" s="16" t="n"/>
      <c r="F282" s="16" t="n">
        <v>2025</v>
      </c>
      <c r="G282" s="16" t="n">
        <v>2030</v>
      </c>
      <c r="H282" s="16" t="inlineStr">
        <is>
          <t>YearFuelPrices</t>
        </is>
      </c>
      <c r="J282" s="6" t="n">
        <v>2025</v>
      </c>
      <c r="K282" s="6" t="n">
        <v>2025</v>
      </c>
    </row>
    <row r="283">
      <c r="B283" s="14" t="inlineStr">
        <is>
          <t>VAT reform</t>
        </is>
      </c>
    </row>
    <row r="284">
      <c r="B284" s="16" t="inlineStr">
        <is>
          <t>Apply general VAT rate on residential and transport consumption?</t>
        </is>
      </c>
      <c r="C284" s="16" t="inlineStr">
        <is>
          <t>switch</t>
        </is>
      </c>
      <c r="D284" s="16" t="n"/>
      <c r="E284" s="16" t="n"/>
      <c r="F284" s="16" t="inlineStr">
        <is>
          <t>No*</t>
        </is>
      </c>
      <c r="G284" s="16" t="inlineStr">
        <is>
          <t>No*</t>
        </is>
      </c>
      <c r="H284" s="16" t="inlineStr">
        <is>
          <t>VatRef</t>
        </is>
      </c>
      <c r="J284" s="6" t="inlineStr">
        <is>
          <t>No*</t>
        </is>
      </c>
      <c r="K284" s="6" t="inlineStr">
        <is>
          <t>No*</t>
        </is>
      </c>
    </row>
    <row r="285">
      <c r="B285" s="14" t="inlineStr">
        <is>
          <t>Existing non-carbon taxes</t>
        </is>
      </c>
    </row>
    <row r="286">
      <c r="B286" s="16" t="inlineStr">
        <is>
          <t>Apply existing non-carbon taxes on coal?</t>
        </is>
      </c>
      <c r="C286" s="16" t="inlineStr">
        <is>
          <t>switch</t>
        </is>
      </c>
      <c r="D286" s="16" t="n"/>
      <c r="E286" s="16" t="n"/>
      <c r="F286" s="16" t="inlineStr">
        <is>
          <t>Yes*</t>
        </is>
      </c>
      <c r="G286" s="16" t="inlineStr">
        <is>
          <t>Yes*</t>
        </is>
      </c>
      <c r="H286" s="16" t="inlineStr">
        <is>
          <t>ApplyExistingNonCarbonTaxCoa</t>
        </is>
      </c>
      <c r="J286" s="6" t="inlineStr">
        <is>
          <t>Yes*</t>
        </is>
      </c>
      <c r="K286" s="6" t="inlineStr">
        <is>
          <t>Yes*</t>
        </is>
      </c>
    </row>
    <row r="287">
      <c r="B287" s="16" t="inlineStr">
        <is>
          <t>Apply existing non-carbon taxes on natural gas?</t>
        </is>
      </c>
      <c r="C287" s="16" t="inlineStr">
        <is>
          <t>switch</t>
        </is>
      </c>
      <c r="D287" s="16" t="n"/>
      <c r="E287" s="16" t="n"/>
      <c r="F287" s="16" t="inlineStr">
        <is>
          <t>Yes*</t>
        </is>
      </c>
      <c r="G287" s="16" t="inlineStr">
        <is>
          <t>Yes*</t>
        </is>
      </c>
      <c r="H287" s="16" t="inlineStr">
        <is>
          <t>ApplyExistingNonCarbonTaxNga</t>
        </is>
      </c>
      <c r="J287" s="6" t="inlineStr">
        <is>
          <t>Yes*</t>
        </is>
      </c>
      <c r="K287" s="6" t="inlineStr">
        <is>
          <t>Yes*</t>
        </is>
      </c>
    </row>
    <row r="288">
      <c r="B288" s="16" t="inlineStr">
        <is>
          <t>Apply existing non-carbon taxes on gasoline?</t>
        </is>
      </c>
      <c r="C288" s="16" t="inlineStr">
        <is>
          <t>switch</t>
        </is>
      </c>
      <c r="D288" s="16" t="n"/>
      <c r="E288" s="16" t="n"/>
      <c r="F288" s="16" t="inlineStr">
        <is>
          <t>Yes*</t>
        </is>
      </c>
      <c r="G288" s="16" t="inlineStr">
        <is>
          <t>Yes*</t>
        </is>
      </c>
      <c r="H288" s="16" t="inlineStr">
        <is>
          <t>ApplyExistingNonCarbonTaxGso</t>
        </is>
      </c>
      <c r="J288" s="6" t="inlineStr">
        <is>
          <t>Yes*</t>
        </is>
      </c>
      <c r="K288" s="6" t="inlineStr">
        <is>
          <t>Yes*</t>
        </is>
      </c>
    </row>
    <row r="289">
      <c r="B289" s="16" t="inlineStr">
        <is>
          <t>Apply existing non-carbon taxes on diesel?</t>
        </is>
      </c>
      <c r="C289" s="16" t="inlineStr">
        <is>
          <t>switch</t>
        </is>
      </c>
      <c r="D289" s="16" t="n"/>
      <c r="E289" s="16" t="n"/>
      <c r="F289" s="16" t="inlineStr">
        <is>
          <t>Yes*</t>
        </is>
      </c>
      <c r="G289" s="16" t="inlineStr">
        <is>
          <t>Yes*</t>
        </is>
      </c>
      <c r="H289" s="16" t="inlineStr">
        <is>
          <t>ApplyExistingNonCarbonTaxDie</t>
        </is>
      </c>
      <c r="J289" s="6" t="inlineStr">
        <is>
          <t>Yes*</t>
        </is>
      </c>
      <c r="K289" s="6" t="inlineStr">
        <is>
          <t>Yes*</t>
        </is>
      </c>
    </row>
    <row r="290">
      <c r="B290" s="16" t="inlineStr">
        <is>
          <t>Apply existing non-carbon taxes on other oil products?</t>
        </is>
      </c>
      <c r="C290" s="16" t="inlineStr">
        <is>
          <t>switch</t>
        </is>
      </c>
      <c r="D290" s="16" t="n"/>
      <c r="E290" s="16" t="n"/>
      <c r="F290" s="16" t="inlineStr">
        <is>
          <t>Yes*</t>
        </is>
      </c>
      <c r="G290" s="16" t="inlineStr">
        <is>
          <t>Yes*</t>
        </is>
      </c>
      <c r="H290" s="16" t="inlineStr">
        <is>
          <t>ApplyExistingNonCarbonTaxOop</t>
        </is>
      </c>
      <c r="J290" s="6" t="inlineStr">
        <is>
          <t>Yes*</t>
        </is>
      </c>
      <c r="K290" s="6" t="inlineStr">
        <is>
          <t>Yes*</t>
        </is>
      </c>
    </row>
    <row r="291">
      <c r="B291" s="16" t="inlineStr">
        <is>
          <t>Apply existing non-carbon taxes on LPG?</t>
        </is>
      </c>
      <c r="C291" s="16" t="inlineStr">
        <is>
          <t>switch</t>
        </is>
      </c>
      <c r="D291" s="16" t="n"/>
      <c r="E291" s="16" t="n"/>
      <c r="F291" s="16" t="inlineStr">
        <is>
          <t>Yes*</t>
        </is>
      </c>
      <c r="G291" s="16" t="inlineStr">
        <is>
          <t>Yes*</t>
        </is>
      </c>
      <c r="H291" s="16" t="inlineStr">
        <is>
          <t>ApplyExistingNonCarbonTaxLpg</t>
        </is>
      </c>
      <c r="J291" s="6" t="inlineStr">
        <is>
          <t>Yes*</t>
        </is>
      </c>
      <c r="K291" s="6" t="inlineStr">
        <is>
          <t>Yes*</t>
        </is>
      </c>
    </row>
    <row r="292">
      <c r="B292" s="16" t="inlineStr">
        <is>
          <t>Apply existing non-carbon taxes on kerosene?</t>
        </is>
      </c>
      <c r="C292" s="16" t="inlineStr">
        <is>
          <t>switch</t>
        </is>
      </c>
      <c r="D292" s="16" t="n"/>
      <c r="E292" s="16" t="n"/>
      <c r="F292" s="16" t="inlineStr">
        <is>
          <t>Yes*</t>
        </is>
      </c>
      <c r="G292" s="16" t="inlineStr">
        <is>
          <t>Yes*</t>
        </is>
      </c>
      <c r="H292" s="16" t="inlineStr">
        <is>
          <t>ApplyExistingNonCarbonTaxKer</t>
        </is>
      </c>
      <c r="J292" s="6" t="inlineStr">
        <is>
          <t>Yes*</t>
        </is>
      </c>
      <c r="K292" s="6" t="inlineStr">
        <is>
          <t>Yes*</t>
        </is>
      </c>
    </row>
    <row r="293">
      <c r="B293" s="16" t="inlineStr">
        <is>
          <t>Apply existing non-carbon taxes on biomass?</t>
        </is>
      </c>
      <c r="C293" s="16" t="inlineStr">
        <is>
          <t>switch</t>
        </is>
      </c>
      <c r="D293" s="16" t="n"/>
      <c r="E293" s="16" t="n"/>
      <c r="F293" s="16" t="inlineStr">
        <is>
          <t>Yes*</t>
        </is>
      </c>
      <c r="G293" s="16" t="inlineStr">
        <is>
          <t>Yes*</t>
        </is>
      </c>
      <c r="H293" s="16" t="inlineStr">
        <is>
          <t>ApplyExistingNonCarbonTaxBio</t>
        </is>
      </c>
      <c r="J293" s="6" t="inlineStr">
        <is>
          <t>Yes*</t>
        </is>
      </c>
      <c r="K293" s="6" t="inlineStr">
        <is>
          <t>Yes*</t>
        </is>
      </c>
    </row>
    <row r="294">
      <c r="B294" s="16" t="inlineStr">
        <is>
          <t>Apply existing non-carbon taxes on electricity?</t>
        </is>
      </c>
      <c r="C294" s="16" t="inlineStr">
        <is>
          <t>switch</t>
        </is>
      </c>
      <c r="D294" s="16" t="n"/>
      <c r="E294" s="16" t="n"/>
      <c r="F294" s="16" t="inlineStr">
        <is>
          <t>Yes*</t>
        </is>
      </c>
      <c r="G294" s="16" t="inlineStr">
        <is>
          <t>Yes*</t>
        </is>
      </c>
      <c r="H294" s="16" t="inlineStr">
        <is>
          <t>ApplyExistingNonCarbonTaxEcy</t>
        </is>
      </c>
      <c r="J294" s="6" t="inlineStr">
        <is>
          <t>Yes*</t>
        </is>
      </c>
      <c r="K294" s="6" t="inlineStr">
        <is>
          <t>Yes*</t>
        </is>
      </c>
    </row>
    <row r="295">
      <c r="B295" s="16" t="inlineStr">
        <is>
          <t>Other assumptions: mitigation module</t>
        </is>
      </c>
      <c r="C295" s="16" t="n"/>
      <c r="D295" s="16" t="n"/>
      <c r="E295" s="16" t="n"/>
      <c r="F295" s="16" t="n">
        <v>0</v>
      </c>
      <c r="G295" s="16" t="n"/>
      <c r="H295" s="16" t="n"/>
      <c r="J295" s="6" t="n">
        <v>0</v>
      </c>
      <c r="K295" s="6" t="n">
        <v>0</v>
      </c>
    </row>
    <row r="296">
      <c r="B296" s="16" t="inlineStr">
        <is>
          <t>Use 'world' (USA) or country-specific discount factors?</t>
        </is>
      </c>
      <c r="C296" s="16" t="inlineStr">
        <is>
          <t>switch</t>
        </is>
      </c>
      <c r="D296" s="16" t="n"/>
      <c r="E296" s="16" t="n"/>
      <c r="F296" s="16" t="inlineStr">
        <is>
          <t>World</t>
        </is>
      </c>
      <c r="G296" s="16" t="inlineStr">
        <is>
          <t>World</t>
        </is>
      </c>
      <c r="H296" s="16" t="inlineStr">
        <is>
          <t>DfSelection</t>
        </is>
      </c>
      <c r="J296" s="6" t="inlineStr">
        <is>
          <t>World</t>
        </is>
      </c>
      <c r="K296" s="6" t="inlineStr">
        <is>
          <t>World</t>
        </is>
      </c>
    </row>
    <row r="297">
      <c r="B297" s="16" t="inlineStr">
        <is>
          <t>Sum all oil products in industrial transformation sector</t>
        </is>
      </c>
      <c r="C297" s="16" t="inlineStr">
        <is>
          <t>switch</t>
        </is>
      </c>
      <c r="D297" s="16" t="n"/>
      <c r="E297" s="16" t="n"/>
      <c r="F297" s="16" t="inlineStr">
        <is>
          <t>Converted</t>
        </is>
      </c>
      <c r="G297" s="16" t="inlineStr">
        <is>
          <t>Converted</t>
        </is>
      </c>
      <c r="H297" s="16" t="inlineStr">
        <is>
          <t>NonEnergyTransformationMethod</t>
        </is>
      </c>
      <c r="J297" s="6" t="inlineStr">
        <is>
          <t>Converted</t>
        </is>
      </c>
      <c r="K297" s="6" t="inlineStr">
        <is>
          <t>Converted</t>
        </is>
      </c>
    </row>
    <row r="298">
      <c r="B298" s="16" t="inlineStr">
        <is>
          <t>LPG in residential implicit (cookstove) efficiency</t>
        </is>
      </c>
      <c r="C298" s="16" t="n"/>
      <c r="D298" s="16" t="n"/>
      <c r="E298" s="16" t="n"/>
      <c r="F298" s="16" t="n">
        <v>0.5600000000000001</v>
      </c>
      <c r="G298" s="16" t="n">
        <v>0.5600000000000001</v>
      </c>
      <c r="H298" s="16" t="inlineStr">
        <is>
          <t>LPGEff</t>
        </is>
      </c>
      <c r="J298" s="6" t="n">
        <v>0.5600000000000001</v>
      </c>
      <c r="K298" s="6" t="n">
        <v>0.5600000000000001</v>
      </c>
    </row>
    <row r="299">
      <c r="B299" s="16" t="inlineStr">
        <is>
          <t>Kerosene in residential implicit (cookstove) efficiency</t>
        </is>
      </c>
      <c r="C299" s="16" t="n"/>
      <c r="D299" s="16" t="n"/>
      <c r="E299" s="16" t="n"/>
      <c r="F299" s="16" t="n">
        <v>0.45</v>
      </c>
      <c r="G299" s="16" t="n">
        <v>0.45</v>
      </c>
      <c r="H299" s="16" t="inlineStr">
        <is>
          <t>KerEff</t>
        </is>
      </c>
      <c r="J299" s="6" t="n">
        <v>0.45</v>
      </c>
      <c r="K299" s="6" t="n">
        <v>0.45</v>
      </c>
    </row>
    <row r="300">
      <c r="B300" s="16" t="inlineStr">
        <is>
          <t>Biomass in residential implicit (cookstove) efficiency</t>
        </is>
      </c>
      <c r="C300" s="16" t="n"/>
      <c r="D300" s="16" t="n"/>
      <c r="E300" s="16" t="n"/>
      <c r="F300" s="16" t="n">
        <v>0.2</v>
      </c>
      <c r="G300" s="16" t="n">
        <v>0.2</v>
      </c>
      <c r="H300" s="16" t="inlineStr">
        <is>
          <t>BioEff</t>
        </is>
      </c>
      <c r="J300" s="6" t="n">
        <v>0.2</v>
      </c>
      <c r="K300" s="6" t="n">
        <v>0.2</v>
      </c>
    </row>
    <row r="301">
      <c r="B301" s="16" t="inlineStr">
        <is>
          <t>Natural gas in residential implicit (cookstove) efficiency</t>
        </is>
      </c>
      <c r="C301" s="16" t="n"/>
      <c r="D301" s="16" t="n"/>
      <c r="E301" s="16" t="n"/>
      <c r="F301" s="16" t="n">
        <v>0.58</v>
      </c>
      <c r="G301" s="16" t="n">
        <v>0.58</v>
      </c>
      <c r="H301" s="16" t="inlineStr">
        <is>
          <t>NatGasEff</t>
        </is>
      </c>
      <c r="J301" s="6" t="n">
        <v>0.58</v>
      </c>
      <c r="K301" s="6" t="n">
        <v>0.58</v>
      </c>
    </row>
    <row r="302">
      <c r="B302" s="16" t="inlineStr">
        <is>
          <t>Include producer-side subsidies as part of TCP measure</t>
        </is>
      </c>
      <c r="C302" s="16" t="inlineStr">
        <is>
          <t>switch</t>
        </is>
      </c>
      <c r="D302" s="16" t="n"/>
      <c r="E302" s="16" t="n"/>
      <c r="F302" s="16" t="inlineStr">
        <is>
          <t>No*</t>
        </is>
      </c>
      <c r="G302" s="16" t="inlineStr">
        <is>
          <t>No*</t>
        </is>
      </c>
      <c r="H302" s="16" t="inlineStr">
        <is>
          <t>PsInTCP</t>
        </is>
      </c>
      <c r="J302" s="6" t="inlineStr">
        <is>
          <t>No*</t>
        </is>
      </c>
      <c r="K302" s="6" t="inlineStr">
        <is>
          <t>No*</t>
        </is>
      </c>
    </row>
    <row r="303">
      <c r="B303" s="14" t="inlineStr">
        <is>
          <t>Distributional module assumptions</t>
        </is>
      </c>
    </row>
    <row r="304">
      <c r="B304" s="16" t="inlineStr">
        <is>
          <t>Analysis year for distributional module</t>
        </is>
      </c>
      <c r="C304" s="16" t="inlineStr">
        <is>
          <t>year</t>
        </is>
      </c>
      <c r="D304" s="16" t="n"/>
      <c r="E304" s="16" t="n"/>
      <c r="F304" s="16" t="n">
        <v>2030</v>
      </c>
      <c r="G304" s="16" t="n">
        <v>2030</v>
      </c>
      <c r="H304" s="16" t="inlineStr">
        <is>
          <t>YearDistn</t>
        </is>
      </c>
      <c r="J304" s="6" t="n">
        <v>2030</v>
      </c>
      <c r="K304" s="6" t="n">
        <v>2030</v>
      </c>
    </row>
    <row r="305">
      <c r="B305" s="16" t="inlineStr">
        <is>
          <t>Targeted transfer type</t>
        </is>
      </c>
      <c r="C305" s="16" t="inlineStr">
        <is>
          <t>switch</t>
        </is>
      </c>
      <c r="D305" s="16" t="n"/>
      <c r="E305" s="16" t="n"/>
      <c r="F305" s="16" t="inlineStr">
        <is>
          <t>Cash</t>
        </is>
      </c>
      <c r="G305" s="16" t="inlineStr">
        <is>
          <t>Cash</t>
        </is>
      </c>
      <c r="H305" s="16" t="inlineStr">
        <is>
          <t>TransferType</t>
        </is>
      </c>
      <c r="J305" s="6" t="inlineStr">
        <is>
          <t>Cash</t>
        </is>
      </c>
      <c r="K305" s="6" t="inlineStr">
        <is>
          <t>Cash</t>
        </is>
      </c>
    </row>
    <row r="306">
      <c r="B306" s="16" t="inlineStr">
        <is>
          <t>Target households below poverty line (2011 PPP$/day)</t>
        </is>
      </c>
      <c r="C306" s="16" t="inlineStr">
        <is>
          <t>number</t>
        </is>
      </c>
      <c r="D306" s="16" t="n"/>
      <c r="E306" s="16" t="n"/>
      <c r="F306" s="16" t="inlineStr">
        <is>
          <t>No</t>
        </is>
      </c>
      <c r="G306" s="16" t="inlineStr">
        <is>
          <t>No</t>
        </is>
      </c>
      <c r="H306" s="16" t="inlineStr">
        <is>
          <t>TargetBelow</t>
        </is>
      </c>
      <c r="J306" s="6" t="inlineStr">
        <is>
          <t>No</t>
        </is>
      </c>
      <c r="K306" s="6" t="inlineStr">
        <is>
          <t>No</t>
        </is>
      </c>
    </row>
    <row r="307">
      <c r="B307" s="16" t="inlineStr">
        <is>
          <t>Public/infrastructure investment type</t>
        </is>
      </c>
      <c r="C307" s="16" t="inlineStr">
        <is>
          <t>switch</t>
        </is>
      </c>
      <c r="D307" s="16" t="n"/>
      <c r="E307" s="16" t="n"/>
      <c r="F307" s="16" t="inlineStr">
        <is>
          <t>All Infr.</t>
        </is>
      </c>
      <c r="G307" s="16" t="inlineStr">
        <is>
          <t>All Infr.</t>
        </is>
      </c>
      <c r="H307" s="16" t="inlineStr">
        <is>
          <t>PublicInfrastructureInvType</t>
        </is>
      </c>
      <c r="J307" s="6" t="inlineStr">
        <is>
          <t>All Infr.</t>
        </is>
      </c>
      <c r="K307" s="6" t="inlineStr">
        <is>
          <t>All Infr.</t>
        </is>
      </c>
    </row>
    <row r="308">
      <c r="B308" s="16" t="inlineStr">
        <is>
          <t>Current spending type</t>
        </is>
      </c>
      <c r="C308" s="16" t="inlineStr">
        <is>
          <t>switch</t>
        </is>
      </c>
      <c r="D308" s="16" t="n"/>
      <c r="E308" s="16" t="n"/>
      <c r="F308" s="16" t="inlineStr">
        <is>
          <t>All Social Protection and Labor</t>
        </is>
      </c>
      <c r="G308" s="16" t="inlineStr">
        <is>
          <t>All Social Protection and Labor</t>
        </is>
      </c>
      <c r="H308" s="16" t="inlineStr">
        <is>
          <t>CurrentSpendingType</t>
        </is>
      </c>
      <c r="J308" s="6" t="inlineStr">
        <is>
          <t>All Social Protection and Labor</t>
        </is>
      </c>
      <c r="K308" s="6" t="inlineStr">
        <is>
          <t>All Social Protection and Labor</t>
        </is>
      </c>
    </row>
    <row r="309">
      <c r="B309" s="16" t="inlineStr">
        <is>
          <t>Personal Income Tax (PIT) reduction type</t>
        </is>
      </c>
      <c r="C309" s="16" t="inlineStr">
        <is>
          <t>switch</t>
        </is>
      </c>
      <c r="D309" s="16" t="n"/>
      <c r="E309" s="16" t="n"/>
      <c r="F309" s="16" t="inlineStr">
        <is>
          <t>Personal Allowance</t>
        </is>
      </c>
      <c r="G309" s="16" t="inlineStr">
        <is>
          <t>Personal Allowance</t>
        </is>
      </c>
      <c r="H309" s="16" t="inlineStr">
        <is>
          <t>PITReductionType</t>
        </is>
      </c>
      <c r="J309" s="6" t="inlineStr">
        <is>
          <t>Personal Allowance</t>
        </is>
      </c>
      <c r="K309" s="6" t="inlineStr">
        <is>
          <t>Personal Allowance</t>
        </is>
      </c>
    </row>
    <row r="310">
      <c r="B310" s="16" t="inlineStr">
        <is>
          <t>"Targeted Exemption" for bottom XX deciles</t>
        </is>
      </c>
      <c r="C310" s="16" t="inlineStr">
        <is>
          <t>number</t>
        </is>
      </c>
      <c r="D310" s="16" t="n"/>
      <c r="E310" s="16" t="n"/>
      <c r="F310" s="16" t="n">
        <v>4</v>
      </c>
      <c r="G310" s="16" t="n">
        <v>4</v>
      </c>
      <c r="H310" s="16" t="inlineStr">
        <is>
          <t>DistExcCfDec</t>
        </is>
      </c>
      <c r="J310" s="6" t="n">
        <v>4</v>
      </c>
      <c r="K310" s="6" t="n">
        <v>4</v>
      </c>
    </row>
    <row r="311">
      <c r="B311" s="16" t="inlineStr">
        <is>
          <t>Replace missing labor tax data, grouping by country</t>
        </is>
      </c>
      <c r="C311" s="16" t="inlineStr">
        <is>
          <t>switch</t>
        </is>
      </c>
      <c r="D311" s="16" t="n"/>
      <c r="E311" s="16" t="n"/>
      <c r="F311" s="16" t="inlineStr">
        <is>
          <t>income</t>
        </is>
      </c>
      <c r="G311" s="16" t="inlineStr">
        <is>
          <t>income</t>
        </is>
      </c>
      <c r="H311" s="16" t="inlineStr">
        <is>
          <t>MissingDataReplacement</t>
        </is>
      </c>
      <c r="J311" s="6" t="inlineStr">
        <is>
          <t>income</t>
        </is>
      </c>
      <c r="K311" s="6" t="inlineStr">
        <is>
          <t>income</t>
        </is>
      </c>
    </row>
    <row r="312">
      <c r="B312" s="16" t="inlineStr">
        <is>
          <t>Exempt most-used cooking fossil fuel?</t>
        </is>
      </c>
      <c r="C312" s="16" t="inlineStr">
        <is>
          <t>switch</t>
        </is>
      </c>
      <c r="D312" s="16" t="n"/>
      <c r="E312" s="16" t="n"/>
      <c r="F312" s="16" t="inlineStr">
        <is>
          <t>No</t>
        </is>
      </c>
      <c r="G312" s="16" t="inlineStr">
        <is>
          <t>No</t>
        </is>
      </c>
      <c r="H312" s="16" t="inlineStr">
        <is>
          <t>ExemptMostCook</t>
        </is>
      </c>
      <c r="J312" s="6" t="inlineStr">
        <is>
          <t>No</t>
        </is>
      </c>
      <c r="K312" s="6" t="inlineStr">
        <is>
          <t>No</t>
        </is>
      </c>
    </row>
    <row r="313">
      <c r="B313" s="16" t="inlineStr">
        <is>
          <t>Exempt cooking fossil fuel for bottom XX deciles:</t>
        </is>
      </c>
      <c r="C313" s="16" t="inlineStr">
        <is>
          <t>switch</t>
        </is>
      </c>
      <c r="D313" s="16" t="n"/>
      <c r="E313" s="16" t="n"/>
      <c r="F313" s="16" t="n">
        <v>4</v>
      </c>
      <c r="G313" s="16" t="n">
        <v>4</v>
      </c>
      <c r="H313" s="16" t="inlineStr">
        <is>
          <t>ExemptCookDeciles</t>
        </is>
      </c>
      <c r="J313" s="6" t="n">
        <v>4</v>
      </c>
      <c r="K313" s="6" t="n">
        <v>4</v>
      </c>
    </row>
    <row r="314">
      <c r="B314" s="16" t="inlineStr">
        <is>
          <t>Adjust for behavioral &amp; structural change?</t>
        </is>
      </c>
      <c r="C314" s="16" t="inlineStr">
        <is>
          <t>switch</t>
        </is>
      </c>
      <c r="D314" s="16" t="n"/>
      <c r="E314" s="16" t="n"/>
      <c r="F314" s="16" t="inlineStr">
        <is>
          <t>No</t>
        </is>
      </c>
      <c r="G314" s="16" t="inlineStr">
        <is>
          <t>No</t>
        </is>
      </c>
      <c r="H314" s="16" t="inlineStr">
        <is>
          <t>InferredDist</t>
        </is>
      </c>
      <c r="J314" s="6" t="inlineStr">
        <is>
          <t>No</t>
        </is>
      </c>
      <c r="K314" s="6" t="inlineStr">
        <is>
          <t>No</t>
        </is>
      </c>
    </row>
    <row r="315">
      <c r="B315" s="16" t="inlineStr">
        <is>
          <t>Include decile-specific price elasticities?</t>
        </is>
      </c>
      <c r="C315" s="16" t="inlineStr">
        <is>
          <t>switch</t>
        </is>
      </c>
      <c r="D315" s="16" t="n"/>
      <c r="E315" s="16" t="n"/>
      <c r="F315" s="16" t="inlineStr">
        <is>
          <t>Yes</t>
        </is>
      </c>
      <c r="G315" s="16" t="inlineStr">
        <is>
          <t>Yes</t>
        </is>
      </c>
      <c r="H315" s="16" t="inlineStr">
        <is>
          <t>PEDs</t>
        </is>
      </c>
      <c r="J315" s="6" t="inlineStr">
        <is>
          <t>Yes</t>
        </is>
      </c>
      <c r="K315" s="6" t="inlineStr">
        <is>
          <t>Yes</t>
        </is>
      </c>
    </row>
    <row r="316">
      <c r="B316" s="16" t="inlineStr">
        <is>
          <t>Adjust GTAP-implied CP revenues to CPAT?</t>
        </is>
      </c>
      <c r="C316" s="16" t="inlineStr">
        <is>
          <t>switch</t>
        </is>
      </c>
      <c r="D316" s="16" t="n"/>
      <c r="E316" s="16" t="n"/>
      <c r="F316" s="16" t="inlineStr">
        <is>
          <t>Yes</t>
        </is>
      </c>
      <c r="G316" s="16" t="inlineStr">
        <is>
          <t>Yes</t>
        </is>
      </c>
      <c r="H316" s="16" t="inlineStr">
        <is>
          <t>ScaleGTAP</t>
        </is>
      </c>
      <c r="J316" s="6" t="inlineStr">
        <is>
          <t>Yes</t>
        </is>
      </c>
      <c r="K316" s="6" t="inlineStr">
        <is>
          <t>Yes</t>
        </is>
      </c>
    </row>
    <row r="317">
      <c r="B317" s="16" t="inlineStr">
        <is>
          <t>Adjust for deadweight losses?</t>
        </is>
      </c>
      <c r="C317" s="16" t="inlineStr">
        <is>
          <t>switch</t>
        </is>
      </c>
      <c r="D317" s="16" t="n"/>
      <c r="E317" s="16" t="n"/>
      <c r="F317" s="16" t="inlineStr">
        <is>
          <t>No</t>
        </is>
      </c>
      <c r="G317" s="16" t="inlineStr">
        <is>
          <t>No</t>
        </is>
      </c>
      <c r="H317" s="16" t="inlineStr">
        <is>
          <t>DWLs</t>
        </is>
      </c>
      <c r="J317" s="6" t="inlineStr">
        <is>
          <t>No</t>
        </is>
      </c>
      <c r="K317" s="6" t="inlineStr">
        <is>
          <t>No</t>
        </is>
      </c>
    </row>
    <row r="318">
      <c r="B318" s="16" t="inlineStr">
        <is>
          <t>Imperfect pass-through?</t>
        </is>
      </c>
      <c r="C318" s="16" t="inlineStr">
        <is>
          <t>switch</t>
        </is>
      </c>
      <c r="D318" s="16" t="n"/>
      <c r="E318" s="16" t="n"/>
      <c r="F318" s="16" t="inlineStr">
        <is>
          <t>No</t>
        </is>
      </c>
      <c r="G318" s="16" t="inlineStr">
        <is>
          <t>No</t>
        </is>
      </c>
      <c r="H318" s="16" t="inlineStr">
        <is>
          <t>PassthroughDist</t>
        </is>
      </c>
      <c r="J318" s="6" t="inlineStr">
        <is>
          <t>No</t>
        </is>
      </c>
      <c r="K318" s="6" t="inlineStr">
        <is>
          <t>No</t>
        </is>
      </c>
    </row>
    <row r="319">
      <c r="B319" s="16" t="inlineStr">
        <is>
          <t>Impacts for average, median, p25, or p75?</t>
        </is>
      </c>
      <c r="C319" s="16" t="inlineStr">
        <is>
          <t>switch</t>
        </is>
      </c>
      <c r="D319" s="16" t="n"/>
      <c r="E319" s="16" t="n"/>
      <c r="F319" s="16" t="inlineStr">
        <is>
          <t>mean</t>
        </is>
      </c>
      <c r="G319" s="16" t="inlineStr">
        <is>
          <t>mean</t>
        </is>
      </c>
      <c r="H319" s="16" t="inlineStr">
        <is>
          <t>QuantilesStatistic</t>
        </is>
      </c>
      <c r="J319" s="6" t="inlineStr">
        <is>
          <t>mean</t>
        </is>
      </c>
      <c r="K319" s="6" t="inlineStr">
        <is>
          <t>mean</t>
        </is>
      </c>
    </row>
    <row r="320">
      <c r="B320" s="16" t="inlineStr">
        <is>
          <t>Quantiles in LCU?</t>
        </is>
      </c>
      <c r="C320" s="16" t="inlineStr">
        <is>
          <t>switch</t>
        </is>
      </c>
      <c r="D320" s="16" t="n"/>
      <c r="E320" s="16" t="n"/>
      <c r="F320" s="16" t="inlineStr">
        <is>
          <t>No</t>
        </is>
      </c>
      <c r="G320" s="16" t="inlineStr">
        <is>
          <t>No</t>
        </is>
      </c>
      <c r="H320" s="16" t="inlineStr">
        <is>
          <t>QuantilesLCU</t>
        </is>
      </c>
      <c r="J320" s="6" t="inlineStr">
        <is>
          <t>No</t>
        </is>
      </c>
      <c r="K320" s="6" t="inlineStr">
        <is>
          <t>No</t>
        </is>
      </c>
    </row>
    <row r="321">
      <c r="B321" s="14" t="inlineStr">
        <is>
          <t>Air pollution module assumptions</t>
        </is>
      </c>
    </row>
    <row r="322">
      <c r="A322" t="inlineStr">
        <is>
          <t>X</t>
        </is>
      </c>
      <c r="B322" s="16" t="inlineStr">
        <is>
          <t>Emissions to concentrations, PM2.5</t>
        </is>
      </c>
      <c r="C322" s="16" t="inlineStr">
        <is>
          <t>switch</t>
        </is>
      </c>
      <c r="D322" s="16" t="n"/>
      <c r="E322" s="16" t="n"/>
      <c r="F322" s="16" t="inlineStr">
        <is>
          <t>Local study-FASST</t>
        </is>
      </c>
      <c r="G322" s="16" t="inlineStr">
        <is>
          <t>Avg. iF and LS FASST*</t>
        </is>
      </c>
      <c r="H322" s="16" t="inlineStr">
        <is>
          <t>SourceAppSel</t>
        </is>
      </c>
      <c r="J322" s="6" t="inlineStr">
        <is>
          <t>Local study-FASST</t>
        </is>
      </c>
      <c r="K322" s="6" t="inlineStr">
        <is>
          <t>Local study-FASST</t>
        </is>
      </c>
    </row>
    <row r="323">
      <c r="B323" s="16" t="inlineStr">
        <is>
          <t>Emissions to concentrations, Ozone</t>
        </is>
      </c>
      <c r="C323" s="16" t="inlineStr">
        <is>
          <t>switch</t>
        </is>
      </c>
      <c r="D323" s="16" t="n"/>
      <c r="E323" s="16" t="n"/>
      <c r="F323" s="16" t="inlineStr">
        <is>
          <t>TM5-FASST</t>
        </is>
      </c>
      <c r="G323" s="16" t="inlineStr">
        <is>
          <t>TM5-FASST</t>
        </is>
      </c>
      <c r="H323" s="16" t="inlineStr">
        <is>
          <t>SourceAppO3</t>
        </is>
      </c>
      <c r="J323" s="6" t="inlineStr">
        <is>
          <t>TM5-FASST</t>
        </is>
      </c>
      <c r="K323" s="6" t="inlineStr">
        <is>
          <t>TM5-FASST</t>
        </is>
      </c>
    </row>
    <row r="324">
      <c r="B324" s="16" t="inlineStr">
        <is>
          <t>Emission factors</t>
        </is>
      </c>
      <c r="C324" s="16" t="inlineStr">
        <is>
          <t>switch</t>
        </is>
      </c>
      <c r="D324" s="16" t="n"/>
      <c r="E324" s="16" t="n"/>
      <c r="F324" s="16" t="inlineStr">
        <is>
          <t>Average</t>
        </is>
      </c>
      <c r="G324" s="16" t="inlineStr">
        <is>
          <t>Average</t>
        </is>
      </c>
      <c r="H324" s="16" t="inlineStr">
        <is>
          <t>EFSel</t>
        </is>
      </c>
      <c r="J324" s="6" t="inlineStr">
        <is>
          <t>Average</t>
        </is>
      </c>
      <c r="K324" s="6" t="inlineStr">
        <is>
          <t>Average</t>
        </is>
      </c>
    </row>
    <row r="325">
      <c r="B325" s="16" t="inlineStr">
        <is>
          <t>Include leakage to biomass in residential sector</t>
        </is>
      </c>
      <c r="C325" s="16" t="inlineStr">
        <is>
          <t>switch</t>
        </is>
      </c>
      <c r="D325" s="16" t="n"/>
      <c r="E325" s="16" t="n"/>
      <c r="F325" s="16" t="inlineStr">
        <is>
          <t>No</t>
        </is>
      </c>
      <c r="G325" s="16" t="inlineStr">
        <is>
          <t>No</t>
        </is>
      </c>
      <c r="H325" s="16" t="inlineStr">
        <is>
          <t>BiomassLeakage</t>
        </is>
      </c>
      <c r="J325" s="6" t="inlineStr">
        <is>
          <t>No</t>
        </is>
      </c>
      <c r="K325" s="6" t="inlineStr">
        <is>
          <t>No</t>
        </is>
      </c>
    </row>
    <row r="326">
      <c r="B326" s="16" t="inlineStr">
        <is>
          <t>Biomass is a normal good</t>
        </is>
      </c>
      <c r="C326" s="16" t="inlineStr">
        <is>
          <t>switch</t>
        </is>
      </c>
      <c r="D326" s="16" t="n"/>
      <c r="E326" s="16" t="n"/>
      <c r="F326" s="16" t="inlineStr">
        <is>
          <t>No</t>
        </is>
      </c>
      <c r="G326" s="16" t="inlineStr">
        <is>
          <t>No</t>
        </is>
      </c>
      <c r="H326" s="16" t="inlineStr">
        <is>
          <t>BiomassNormal</t>
        </is>
      </c>
      <c r="J326" s="6" t="inlineStr">
        <is>
          <t>No</t>
        </is>
      </c>
      <c r="K326" s="6" t="inlineStr">
        <is>
          <t>No</t>
        </is>
      </c>
    </row>
    <row r="327">
      <c r="A327" t="inlineStr">
        <is>
          <t>X</t>
        </is>
      </c>
      <c r="B327" s="16" t="inlineStr">
        <is>
          <t>VSL source</t>
        </is>
      </c>
      <c r="C327" s="16" t="inlineStr">
        <is>
          <t>switch</t>
        </is>
      </c>
      <c r="D327" s="16" t="n"/>
      <c r="E327" s="16" t="n"/>
      <c r="F327" s="16" t="inlineStr">
        <is>
          <t>Transfer from Group</t>
        </is>
      </c>
      <c r="G327" s="16" t="inlineStr">
        <is>
          <t>Transfer from OECD</t>
        </is>
      </c>
      <c r="H327" s="16" t="inlineStr">
        <is>
          <t>VSLMethod</t>
        </is>
      </c>
      <c r="J327" s="6" t="inlineStr">
        <is>
          <t>Transfer from Group</t>
        </is>
      </c>
      <c r="K327" s="6" t="inlineStr">
        <is>
          <t>Transfer from Group</t>
        </is>
      </c>
    </row>
    <row r="328">
      <c r="B328" s="16" t="inlineStr">
        <is>
          <t>VSL (where manual source)</t>
        </is>
      </c>
      <c r="C328" s="16" t="inlineStr">
        <is>
          <t>switch</t>
        </is>
      </c>
      <c r="D328" s="16" t="n"/>
      <c r="E328" s="16" t="n"/>
      <c r="F328" s="16" t="n">
        <v>500000</v>
      </c>
      <c r="G328" s="16" t="n">
        <v>500000</v>
      </c>
      <c r="H328" s="16" t="inlineStr">
        <is>
          <t>VSLManual</t>
        </is>
      </c>
      <c r="J328" s="6" t="n">
        <v>500000</v>
      </c>
      <c r="K328" s="6" t="n">
        <v>500000</v>
      </c>
    </row>
    <row r="329">
      <c r="B329" s="16" t="inlineStr">
        <is>
          <t>VSL elasticity source</t>
        </is>
      </c>
      <c r="C329" s="16" t="inlineStr">
        <is>
          <t>switch</t>
        </is>
      </c>
      <c r="D329" s="16" t="n"/>
      <c r="E329" s="16" t="n"/>
      <c r="F329" s="16" t="inlineStr">
        <is>
          <t>0x17</t>
        </is>
      </c>
      <c r="G329" s="16" t="inlineStr">
        <is>
          <t>Income group</t>
        </is>
      </c>
      <c r="H329" s="16" t="inlineStr">
        <is>
          <t>VslElSource</t>
        </is>
      </c>
      <c r="J329" s="6" t="inlineStr">
        <is>
          <t>0x17</t>
        </is>
      </c>
      <c r="K329" s="6" t="inlineStr">
        <is>
          <t>0x17</t>
        </is>
      </c>
    </row>
    <row r="330">
      <c r="B330" s="16" t="inlineStr">
        <is>
          <t>VSL elasticity (where manual source)</t>
        </is>
      </c>
      <c r="C330" s="16" t="inlineStr">
        <is>
          <t>switch</t>
        </is>
      </c>
      <c r="D330" s="16" t="n"/>
      <c r="E330" s="16" t="n"/>
      <c r="F330" s="16" t="inlineStr">
        <is>
          <t>0x17</t>
        </is>
      </c>
      <c r="G330" s="16" t="n">
        <v>1</v>
      </c>
      <c r="H330" s="16" t="inlineStr">
        <is>
          <t>VslEl</t>
        </is>
      </c>
      <c r="J330" s="6" t="inlineStr">
        <is>
          <t>0x17</t>
        </is>
      </c>
      <c r="K330" s="6" t="inlineStr">
        <is>
          <t>0x17</t>
        </is>
      </c>
    </row>
    <row r="331">
      <c r="B331" s="16" t="inlineStr">
        <is>
          <t>Discount rate selection</t>
        </is>
      </c>
      <c r="C331" s="16" t="inlineStr">
        <is>
          <t>switch</t>
        </is>
      </c>
      <c r="D331" s="16" t="n"/>
      <c r="E331" s="16" t="n"/>
      <c r="F331" s="16" t="inlineStr">
        <is>
          <t>3% (Robinson 2019)</t>
        </is>
      </c>
      <c r="G331" s="16" t="inlineStr">
        <is>
          <t>3% (Robinson 2019)</t>
        </is>
      </c>
      <c r="H331" s="16" t="inlineStr">
        <is>
          <t>DiscSel</t>
        </is>
      </c>
      <c r="J331" s="6" t="inlineStr">
        <is>
          <t>3% (Robinson 2019)</t>
        </is>
      </c>
      <c r="K331" s="6" t="inlineStr">
        <is>
          <t>3% (Robinson 2019)</t>
        </is>
      </c>
    </row>
    <row r="332">
      <c r="B332" s="16" t="inlineStr">
        <is>
          <t>Discount rate (where manual source)</t>
        </is>
      </c>
      <c r="C332" s="16" t="inlineStr">
        <is>
          <t>switch</t>
        </is>
      </c>
      <c r="D332" s="16" t="n"/>
      <c r="E332" s="16" t="n"/>
      <c r="F332" s="16" t="n">
        <v>0.03</v>
      </c>
      <c r="G332" s="16" t="n">
        <v>0.03</v>
      </c>
      <c r="H332" s="16" t="inlineStr">
        <is>
          <t>DiscRate</t>
        </is>
      </c>
      <c r="J332" s="6" t="n">
        <v>0.03</v>
      </c>
      <c r="K332" s="6" t="n">
        <v>0.03</v>
      </c>
    </row>
    <row r="333">
      <c r="B333" s="14" t="inlineStr">
        <is>
          <t>Other assumptions: air pollution module</t>
        </is>
      </c>
    </row>
    <row r="334">
      <c r="B334" s="16" t="inlineStr">
        <is>
          <t>Number of working days per month</t>
        </is>
      </c>
      <c r="C334" s="16" t="inlineStr">
        <is>
          <t>days</t>
        </is>
      </c>
      <c r="D334" s="16" t="n"/>
      <c r="E334" s="16" t="n"/>
      <c r="F334" s="16" t="n">
        <v>20</v>
      </c>
      <c r="G334" s="16" t="n">
        <v>20</v>
      </c>
      <c r="H334" s="16" t="inlineStr">
        <is>
          <t>WorkDays</t>
        </is>
      </c>
      <c r="J334" s="6" t="n">
        <v>20</v>
      </c>
      <c r="K334" s="6" t="n">
        <v>20</v>
      </c>
    </row>
    <row r="335">
      <c r="B335" s="16" t="inlineStr">
        <is>
          <t>Labor share of GDP, default value</t>
        </is>
      </c>
      <c r="C335" s="16" t="inlineStr">
        <is>
          <t>%</t>
        </is>
      </c>
      <c r="D335" s="16" t="n"/>
      <c r="E335" s="16" t="n"/>
      <c r="F335" s="16" t="n">
        <v>0.65</v>
      </c>
      <c r="G335" s="16" t="n">
        <v>0.65</v>
      </c>
      <c r="H335" s="16" t="inlineStr">
        <is>
          <t>ApLabSh</t>
        </is>
      </c>
      <c r="J335" s="6" t="n">
        <v>0.65</v>
      </c>
      <c r="K335" s="6" t="n">
        <v>0.65</v>
      </c>
    </row>
    <row r="336">
      <c r="B336" s="16" t="inlineStr">
        <is>
          <t>Max % of households using solid fuels</t>
        </is>
      </c>
      <c r="C336" s="16" t="inlineStr">
        <is>
          <t>%</t>
        </is>
      </c>
      <c r="D336" s="16" t="n"/>
      <c r="E336" s="16" t="n"/>
      <c r="F336" s="16" t="n">
        <v>0.99</v>
      </c>
      <c r="G336" s="16" t="n">
        <v>0.99</v>
      </c>
      <c r="H336" s="16" t="inlineStr">
        <is>
          <t>ApMaxSs</t>
        </is>
      </c>
      <c r="J336" s="6" t="n">
        <v>0.99</v>
      </c>
      <c r="K336" s="6" t="n">
        <v>0.99</v>
      </c>
    </row>
    <row r="337">
      <c r="B337" s="16" t="inlineStr">
        <is>
          <t>Leakage converted into % HH using solid fuels</t>
        </is>
      </c>
      <c r="C337" s="16" t="inlineStr">
        <is>
          <t>%</t>
        </is>
      </c>
      <c r="D337" s="16" t="n"/>
      <c r="E337" s="16" t="n"/>
      <c r="F337" s="16" t="n">
        <v>0.5</v>
      </c>
      <c r="G337" s="16" t="n">
        <v>0.5</v>
      </c>
      <c r="H337" s="16" t="inlineStr">
        <is>
          <t>ApLeakHh</t>
        </is>
      </c>
      <c r="J337" s="6" t="n">
        <v>0.5</v>
      </c>
      <c r="K337" s="6" t="n">
        <v>0.5</v>
      </c>
    </row>
    <row r="338">
      <c r="B338" s="16" t="inlineStr">
        <is>
          <t>Apply cessation lag when discounting averted deaths</t>
        </is>
      </c>
      <c r="C338" s="16" t="inlineStr">
        <is>
          <t>switch</t>
        </is>
      </c>
      <c r="D338" s="16" t="n"/>
      <c r="E338" s="16" t="n"/>
      <c r="F338" s="16" t="inlineStr">
        <is>
          <t>Yes</t>
        </is>
      </c>
      <c r="G338" s="16" t="inlineStr">
        <is>
          <t>Yes</t>
        </is>
      </c>
      <c r="H338" s="16" t="inlineStr">
        <is>
          <t>ApCessLag</t>
        </is>
      </c>
      <c r="J338" s="6" t="inlineStr">
        <is>
          <t>Yes</t>
        </is>
      </c>
      <c r="K338" s="6" t="inlineStr">
        <is>
          <t>Yes</t>
        </is>
      </c>
    </row>
    <row r="339">
      <c r="B339" s="14" t="inlineStr">
        <is>
          <t>Transportation</t>
        </is>
      </c>
    </row>
    <row r="340">
      <c r="B340" s="16" t="inlineStr">
        <is>
          <t>Engineering or elasticity model</t>
        </is>
      </c>
      <c r="C340" s="16" t="inlineStr">
        <is>
          <t>option</t>
        </is>
      </c>
      <c r="D340" s="16" t="n"/>
      <c r="E340" s="16" t="n"/>
      <c r="F340" s="16" t="inlineStr">
        <is>
          <t>Elasticity</t>
        </is>
      </c>
      <c r="G340" s="16" t="inlineStr">
        <is>
          <t>Engineer</t>
        </is>
      </c>
      <c r="H340" s="16" t="inlineStr">
        <is>
          <t>TrModel</t>
        </is>
      </c>
      <c r="J340" s="6" t="inlineStr">
        <is>
          <t>Elasticity</t>
        </is>
      </c>
      <c r="K340" s="6" t="inlineStr">
        <is>
          <t>Elasticity</t>
        </is>
      </c>
    </row>
    <row r="341">
      <c r="B341" s="14" t="inlineStr">
        <is>
          <t>Power Sector</t>
        </is>
      </c>
    </row>
    <row r="342">
      <c r="B342" s="16" t="inlineStr">
        <is>
          <t>Power Rebate</t>
        </is>
      </c>
      <c r="C342" s="16" t="inlineStr">
        <is>
          <t>switch</t>
        </is>
      </c>
      <c r="D342" s="16" t="n"/>
      <c r="E342" s="16" t="n"/>
      <c r="F342" s="16" t="inlineStr">
        <is>
          <t>No*</t>
        </is>
      </c>
      <c r="G342" s="16" t="inlineStr">
        <is>
          <t>No*</t>
        </is>
      </c>
      <c r="H342" s="16" t="inlineStr">
        <is>
          <t>PowerRebates</t>
        </is>
      </c>
      <c r="J342" s="6" t="inlineStr">
        <is>
          <t>No*</t>
        </is>
      </c>
      <c r="K342" s="6" t="inlineStr">
        <is>
          <t>No*</t>
        </is>
      </c>
    </row>
    <row r="343">
      <c r="B343" s="16" t="inlineStr">
        <is>
          <t>Power price: portion of cost change passed-on:</t>
        </is>
      </c>
      <c r="C343" s="16" t="n"/>
      <c r="D343" s="16" t="n"/>
      <c r="E343" s="16" t="n"/>
      <c r="F343" s="16" t="n">
        <v>1</v>
      </c>
      <c r="G343" s="16" t="n">
        <v>1</v>
      </c>
      <c r="H343" s="16" t="inlineStr">
        <is>
          <t>PowerSectorPriceChangePassOn</t>
        </is>
      </c>
      <c r="J343" s="6" t="n">
        <v>1</v>
      </c>
      <c r="K343" s="6" t="n">
        <v>1</v>
      </c>
    </row>
    <row r="344">
      <c r="B344" s="16" t="inlineStr">
        <is>
          <t>Year of interest for power sector costs</t>
        </is>
      </c>
      <c r="C344" s="16" t="inlineStr">
        <is>
          <t>year</t>
        </is>
      </c>
      <c r="D344" s="16" t="n"/>
      <c r="E344" s="16" t="n"/>
      <c r="F344" s="16" t="n">
        <v>2030</v>
      </c>
      <c r="G344" s="16" t="n">
        <v>2030</v>
      </c>
      <c r="H344" s="16" t="inlineStr">
        <is>
          <t>CostBreakdownYear</t>
        </is>
      </c>
      <c r="J344" s="6" t="n">
        <v>2030</v>
      </c>
      <c r="K344" s="6" t="n">
        <v>2030</v>
      </c>
    </row>
    <row r="345">
      <c r="B345" s="16" t="inlineStr">
        <is>
          <t>Estimate economy-wide or sectoral power demand?</t>
        </is>
      </c>
      <c r="C345" s="16" t="inlineStr">
        <is>
          <t>switch</t>
        </is>
      </c>
      <c r="D345" s="16" t="n"/>
      <c r="E345" s="16" t="n"/>
      <c r="F345" s="16" t="inlineStr">
        <is>
          <t>Economy-wide</t>
        </is>
      </c>
      <c r="G345" s="16" t="inlineStr">
        <is>
          <t>Economy-wide</t>
        </is>
      </c>
      <c r="H345" s="16" t="inlineStr">
        <is>
          <t xml:space="preserve">ElasticityModel </t>
        </is>
      </c>
      <c r="J345" s="6" t="inlineStr">
        <is>
          <t>Economy-wide</t>
        </is>
      </c>
      <c r="K345" s="6" t="inlineStr">
        <is>
          <t>Economy-wide</t>
        </is>
      </c>
    </row>
    <row r="346">
      <c r="B346" s="16" t="inlineStr">
        <is>
          <t>k Parameter dispatch</t>
        </is>
      </c>
      <c r="C346" s="16" t="inlineStr">
        <is>
          <t>coefficient</t>
        </is>
      </c>
      <c r="D346" s="16" t="n"/>
      <c r="E346" s="16" t="n"/>
      <c r="F346" s="16" t="n">
        <v>2</v>
      </c>
      <c r="G346" s="16" t="n">
        <v>2</v>
      </c>
      <c r="H346" s="16" t="inlineStr">
        <is>
          <t>kDispatch</t>
        </is>
      </c>
      <c r="J346" s="6" t="n">
        <v>2</v>
      </c>
      <c r="K346" s="6" t="n">
        <v>2</v>
      </c>
    </row>
    <row r="347">
      <c r="B347" s="16" t="inlineStr">
        <is>
          <t>k Parameter investment</t>
        </is>
      </c>
      <c r="C347" s="16" t="inlineStr">
        <is>
          <t>coefficient</t>
        </is>
      </c>
      <c r="D347" s="16" t="n"/>
      <c r="E347" s="16" t="n"/>
      <c r="F347" s="16" t="n">
        <v>2</v>
      </c>
      <c r="G347" s="16" t="n">
        <v>2</v>
      </c>
      <c r="H347" s="16" t="inlineStr">
        <is>
          <t>kInvestment</t>
        </is>
      </c>
      <c r="J347" s="6" t="n">
        <v>2</v>
      </c>
      <c r="K347" s="6" t="n">
        <v>2</v>
      </c>
    </row>
    <row r="348">
      <c r="B348" s="16" t="inlineStr">
        <is>
          <t>Minimum WACC</t>
        </is>
      </c>
      <c r="C348" s="16" t="n"/>
      <c r="D348" s="16" t="n"/>
      <c r="E348" s="16" t="n"/>
      <c r="F348" s="16" t="n">
        <v>0.01</v>
      </c>
      <c r="G348" s="16" t="n">
        <v>0.01</v>
      </c>
      <c r="H348" s="16" t="inlineStr">
        <is>
          <t>MinimumWACC</t>
        </is>
      </c>
      <c r="J348" s="6" t="n">
        <v>0.01</v>
      </c>
      <c r="K348" s="6" t="n">
        <v>0.01</v>
      </c>
    </row>
    <row r="349">
      <c r="B349" s="16" t="inlineStr">
        <is>
          <t>Use old or new generation costs in elasticity model?</t>
        </is>
      </c>
      <c r="C349" s="16" t="inlineStr">
        <is>
          <t>switch</t>
        </is>
      </c>
      <c r="D349" s="16" t="n"/>
      <c r="E349" s="16" t="n"/>
      <c r="F349" s="16" t="inlineStr">
        <is>
          <t>New*</t>
        </is>
      </c>
      <c r="G349" s="16" t="inlineStr">
        <is>
          <t>New*</t>
        </is>
      </c>
      <c r="H349" s="16" t="inlineStr">
        <is>
          <t>PowGenCostsOldNew</t>
        </is>
      </c>
      <c r="J349" s="6" t="inlineStr">
        <is>
          <t>New*</t>
        </is>
      </c>
      <c r="K349" s="6" t="inlineStr">
        <is>
          <t>New*</t>
        </is>
      </c>
    </row>
    <row r="350">
      <c r="B350" s="16" t="inlineStr">
        <is>
          <t>Hydro retirement rate set to zero</t>
        </is>
      </c>
      <c r="C350" s="16" t="n"/>
      <c r="D350" s="16" t="n"/>
      <c r="E350" s="16" t="n"/>
      <c r="F350" s="16" t="inlineStr">
        <is>
          <t>Yes</t>
        </is>
      </c>
      <c r="G350" s="16" t="inlineStr">
        <is>
          <t>Yes</t>
        </is>
      </c>
      <c r="H350" s="16" t="inlineStr">
        <is>
          <t>HydroDoesntRetire</t>
        </is>
      </c>
      <c r="J350" s="6" t="inlineStr">
        <is>
          <t>Yes</t>
        </is>
      </c>
      <c r="K350" s="6" t="inlineStr">
        <is>
          <t>Yes</t>
        </is>
      </c>
    </row>
    <row r="351">
      <c r="B351" s="16" t="inlineStr">
        <is>
          <t>Minimum (post subsidy) generation cost $/kwh real</t>
        </is>
      </c>
      <c r="C351" s="16" t="n"/>
      <c r="D351" s="16" t="n"/>
      <c r="E351" s="16" t="n"/>
      <c r="F351" s="16" t="n">
        <v>0.01</v>
      </c>
      <c r="G351" s="16" t="n">
        <v>0.01</v>
      </c>
      <c r="H351" s="16" t="inlineStr">
        <is>
          <t>MinPostSubsidyPowerPrice</t>
        </is>
      </c>
      <c r="J351" s="6" t="n">
        <v>0.01</v>
      </c>
      <c r="K351" s="6" t="n">
        <v>0.01</v>
      </c>
    </row>
    <row r="352">
      <c r="B352" s="14" t="inlineStr">
        <is>
          <t>RE Subsidies</t>
        </is>
      </c>
    </row>
    <row r="353">
      <c r="B353" s="16" t="inlineStr">
        <is>
          <t>Treat over/underestimate of supply costs as subsidy/tax</t>
        </is>
      </c>
      <c r="C353" s="16" t="inlineStr">
        <is>
          <t>switch</t>
        </is>
      </c>
      <c r="D353" s="16" t="n"/>
      <c r="E353" s="16" t="n"/>
      <c r="F353" s="16" t="inlineStr">
        <is>
          <t>No</t>
        </is>
      </c>
      <c r="G353" s="16" t="inlineStr">
        <is>
          <t>No</t>
        </is>
      </c>
      <c r="H353" s="16" t="inlineStr">
        <is>
          <t>SupplyCostDeltaSubsidy</t>
        </is>
      </c>
      <c r="J353" s="6" t="inlineStr">
        <is>
          <t>No</t>
        </is>
      </c>
      <c r="K353" s="6" t="inlineStr">
        <is>
          <t>No</t>
        </is>
      </c>
    </row>
    <row r="354">
      <c r="B354" s="16" t="inlineStr">
        <is>
          <t>Baseline renewable energy subsidy, $/kwh nom</t>
        </is>
      </c>
      <c r="C354" s="16" t="inlineStr">
        <is>
          <t>$/kwh nom</t>
        </is>
      </c>
      <c r="D354" s="16" t="n"/>
      <c r="E354" s="16" t="n"/>
      <c r="F354" s="16" t="n">
        <v>0</v>
      </c>
      <c r="G354" s="16" t="n">
        <v>0</v>
      </c>
      <c r="H354" s="16" t="inlineStr">
        <is>
          <t>RenewableSubsidyBL</t>
        </is>
      </c>
      <c r="J354" s="6" t="n">
        <v>0</v>
      </c>
      <c r="K354" s="6" t="n">
        <v>0</v>
      </c>
    </row>
    <row r="355">
      <c r="B355" s="16" t="inlineStr">
        <is>
          <t>New renewable energy subsidy, $/kwh nom</t>
        </is>
      </c>
      <c r="C355" s="16" t="inlineStr">
        <is>
          <t>$/kwh nom</t>
        </is>
      </c>
      <c r="D355" s="16" t="n"/>
      <c r="E355" s="16" t="n"/>
      <c r="F355" s="16" t="n">
        <v>0</v>
      </c>
      <c r="G355" s="16" t="n">
        <v>0</v>
      </c>
      <c r="H355" s="16" t="inlineStr">
        <is>
          <t>RenSubsidyAddUSDkwh</t>
        </is>
      </c>
      <c r="J355" s="6" t="n">
        <v>0</v>
      </c>
      <c r="K355" s="6" t="n">
        <v>0</v>
      </c>
    </row>
    <row r="356">
      <c r="B356" s="16" t="inlineStr">
        <is>
          <t>New renewable energy subsidy, phaseout</t>
        </is>
      </c>
      <c r="C356" s="16" t="inlineStr">
        <is>
          <t>years</t>
        </is>
      </c>
      <c r="D356" s="16" t="n"/>
      <c r="E356" s="16" t="n"/>
      <c r="F356" s="16" t="n">
        <v>10</v>
      </c>
      <c r="G356" s="16" t="n">
        <v>10</v>
      </c>
      <c r="H356" s="16" t="inlineStr">
        <is>
          <t>RenSubsidyAddPhaseoutYrs</t>
        </is>
      </c>
      <c r="J356" s="6" t="n">
        <v>10</v>
      </c>
      <c r="K356" s="6" t="n">
        <v>10</v>
      </c>
    </row>
    <row r="357">
      <c r="B357" s="16" t="inlineStr">
        <is>
          <t>Apply additional RE subsidy to hydroelectric power?</t>
        </is>
      </c>
      <c r="C357" s="16" t="inlineStr">
        <is>
          <t>switch</t>
        </is>
      </c>
      <c r="D357" s="16" t="n"/>
      <c r="E357" s="16" t="n"/>
      <c r="F357" s="16" t="inlineStr">
        <is>
          <t>No</t>
        </is>
      </c>
      <c r="G357" s="16" t="inlineStr">
        <is>
          <t>No</t>
        </is>
      </c>
      <c r="H357" s="16" t="inlineStr">
        <is>
          <t>RenewableSubsidyHydro</t>
        </is>
      </c>
      <c r="J357" s="6" t="inlineStr">
        <is>
          <t>No</t>
        </is>
      </c>
      <c r="K357" s="6" t="inlineStr">
        <is>
          <t>No</t>
        </is>
      </c>
    </row>
    <row r="358">
      <c r="B358" s="14" t="inlineStr">
        <is>
          <t>Electrical Generation Scale-up limits</t>
        </is>
      </c>
    </row>
    <row r="359">
      <c r="B359" s="16" t="inlineStr">
        <is>
          <t>Max new investment in coal/gas/hyd as a percentage of total generation</t>
        </is>
      </c>
      <c r="C359" s="16" t="n"/>
      <c r="D359" s="16" t="n"/>
      <c r="E359" s="16" t="n"/>
      <c r="F359" s="16" t="n">
        <v>0.05</v>
      </c>
      <c r="G359" s="16" t="n">
        <v>0.05</v>
      </c>
      <c r="H359" s="16" t="inlineStr">
        <is>
          <t>MaxNonVREAsPCOfTotalGen</t>
        </is>
      </c>
      <c r="J359" s="6" t="n">
        <v>0.05</v>
      </c>
      <c r="K359" s="6" t="n">
        <v>0.05</v>
      </c>
    </row>
    <row r="360">
      <c r="B360" s="16" t="inlineStr">
        <is>
          <t>Max new investment oil/nucl/ore/bio as a percentage of total generation</t>
        </is>
      </c>
      <c r="C360" s="16" t="n"/>
      <c r="D360" s="16" t="n"/>
      <c r="E360" s="16" t="n"/>
      <c r="F360" s="16" t="n">
        <v>0.02</v>
      </c>
      <c r="G360" s="16" t="n">
        <v>0.02</v>
      </c>
      <c r="H360" s="16" t="inlineStr">
        <is>
          <t>MaxNonNucOreBioAsPCOfTotalGen</t>
        </is>
      </c>
      <c r="J360" s="6" t="n">
        <v>0.02</v>
      </c>
      <c r="K360" s="6" t="n">
        <v>0.02</v>
      </c>
    </row>
    <row r="361">
      <c r="B361" s="16" t="inlineStr">
        <is>
          <t>User-Defined Setting for VRE Max-Scale up (if used)</t>
        </is>
      </c>
      <c r="C361" s="16" t="n"/>
      <c r="D361" s="16" t="n"/>
      <c r="E361" s="16" t="n"/>
      <c r="F361" s="16" t="n">
        <v>0.05</v>
      </c>
      <c r="G361" s="16" t="n">
        <v>0.05</v>
      </c>
      <c r="H361" s="16" t="inlineStr">
        <is>
          <t>MaxWindSolarScaleup</t>
        </is>
      </c>
      <c r="J361" s="6" t="n">
        <v>0.05</v>
      </c>
      <c r="K361" s="6" t="n">
        <v>0.05</v>
      </c>
    </row>
    <row r="362">
      <c r="B362" s="16" t="inlineStr">
        <is>
          <t>Max renewable scaleup rate setting</t>
        </is>
      </c>
      <c r="C362" s="16" t="inlineStr">
        <is>
          <t>switch</t>
        </is>
      </c>
      <c r="D362" s="16" t="n"/>
      <c r="E362" s="16" t="n"/>
      <c r="F362" s="16" t="inlineStr">
        <is>
          <t>CtryDefault*</t>
        </is>
      </c>
      <c r="G362" s="16" t="inlineStr">
        <is>
          <t>CtryDefault*</t>
        </is>
      </c>
      <c r="H362" s="16" t="inlineStr">
        <is>
          <t>MaxScaleUpRateCategory</t>
        </is>
      </c>
      <c r="J362" s="6" t="inlineStr">
        <is>
          <t>CtryDefault*</t>
        </is>
      </c>
      <c r="K362" s="6" t="inlineStr">
        <is>
          <t>CtryDefault*</t>
        </is>
      </c>
    </row>
    <row r="363">
      <c r="B363" s="14" t="inlineStr">
        <is>
          <t>More Power Generation Settings</t>
        </is>
      </c>
    </row>
    <row r="364">
      <c r="B364" s="16" t="inlineStr">
        <is>
          <t>Use Elasticity Model Power Demand In Engineer Model</t>
        </is>
      </c>
      <c r="C364" s="16" t="n"/>
      <c r="D364" s="16" t="n"/>
      <c r="E364" s="16" t="n"/>
      <c r="F364" s="16" t="inlineStr">
        <is>
          <t>No*</t>
        </is>
      </c>
      <c r="G364" s="16" t="inlineStr">
        <is>
          <t>No*</t>
        </is>
      </c>
      <c r="H364" s="16" t="inlineStr">
        <is>
          <t>UseElasticityModelPowerDemandInEngineerModel</t>
        </is>
      </c>
      <c r="J364" s="6" t="inlineStr">
        <is>
          <t>No*</t>
        </is>
      </c>
      <c r="K364" s="6" t="inlineStr">
        <is>
          <t>No*</t>
        </is>
      </c>
    </row>
    <row r="365">
      <c r="A365" t="inlineStr">
        <is>
          <t>X</t>
        </is>
      </c>
      <c r="B365" s="16" t="inlineStr">
        <is>
          <t>Cost of capital: User-defined, Inc-dep,  or Tech-dep?</t>
        </is>
      </c>
      <c r="C365" s="16" t="n"/>
      <c r="D365" s="16" t="n"/>
      <c r="E365" s="16" t="n"/>
      <c r="F365" s="16" t="inlineStr">
        <is>
          <t>Tech</t>
        </is>
      </c>
      <c r="G365" s="16" t="inlineStr">
        <is>
          <t>Income*</t>
        </is>
      </c>
      <c r="H365" s="16" t="inlineStr">
        <is>
          <t>WACCSource</t>
        </is>
      </c>
      <c r="J365" s="6" t="inlineStr">
        <is>
          <t>Tech</t>
        </is>
      </c>
      <c r="K365" s="6" t="inlineStr">
        <is>
          <t>Tech</t>
        </is>
      </c>
    </row>
    <row r="366">
      <c r="B366" s="16" t="inlineStr">
        <is>
          <t>If Global, what Value?</t>
        </is>
      </c>
      <c r="C366" s="16" t="n"/>
      <c r="D366" s="16" t="n"/>
      <c r="E366" s="16" t="n"/>
      <c r="F366" s="16" t="n">
        <v>0.075</v>
      </c>
      <c r="G366" s="16" t="n">
        <v>0.075</v>
      </c>
      <c r="H366" s="16" t="inlineStr">
        <is>
          <t>WACCUserGlobal</t>
        </is>
      </c>
      <c r="J366" s="6" t="n">
        <v>0.075</v>
      </c>
      <c r="K366" s="6" t="n">
        <v>0.075</v>
      </c>
    </row>
    <row r="367">
      <c r="B367" s="16" t="inlineStr">
        <is>
          <t>Renewable Cost Declines</t>
        </is>
      </c>
      <c r="C367" s="16" t="n"/>
      <c r="D367" s="16" t="n"/>
      <c r="E367" s="16" t="n"/>
      <c r="F367" s="16" t="inlineStr">
        <is>
          <t>Medium*</t>
        </is>
      </c>
      <c r="G367" s="16" t="inlineStr">
        <is>
          <t>Medium*</t>
        </is>
      </c>
      <c r="H367" s="16" t="inlineStr">
        <is>
          <t>RenewableCostDeclineRate</t>
        </is>
      </c>
      <c r="J367" s="6" t="inlineStr">
        <is>
          <t>Medium*</t>
        </is>
      </c>
      <c r="K367" s="6" t="inlineStr">
        <is>
          <t>Medium*</t>
        </is>
      </c>
    </row>
    <row r="368">
      <c r="B368" s="16" t="inlineStr">
        <is>
          <t>Use Spot Fuel Prices in Engineer Power Model</t>
        </is>
      </c>
      <c r="C368" s="16" t="n"/>
      <c r="D368" s="16" t="n"/>
      <c r="E368" s="16" t="n"/>
      <c r="F368" s="16" t="inlineStr">
        <is>
          <t>No*</t>
        </is>
      </c>
      <c r="G368" s="16" t="inlineStr">
        <is>
          <t>No*</t>
        </is>
      </c>
      <c r="H368" s="16" t="inlineStr">
        <is>
          <t>UseSpotFuelPricesInEngineerModel</t>
        </is>
      </c>
      <c r="J368" s="6" t="inlineStr">
        <is>
          <t>No*</t>
        </is>
      </c>
      <c r="K368" s="6" t="inlineStr">
        <is>
          <t>No*</t>
        </is>
      </c>
    </row>
    <row r="369">
      <c r="B369" s="16" t="inlineStr">
        <is>
          <t>Use Additional Coal Intangible Cost</t>
        </is>
      </c>
      <c r="C369" s="16" t="n"/>
      <c r="D369" s="16" t="n"/>
      <c r="E369" s="16" t="n"/>
      <c r="F369" s="16" t="inlineStr">
        <is>
          <t>Yes*</t>
        </is>
      </c>
      <c r="G369" s="16" t="inlineStr">
        <is>
          <t>Yes*</t>
        </is>
      </c>
      <c r="H369" s="16" t="inlineStr">
        <is>
          <t>AdditionalCoalIntangibleCost</t>
        </is>
      </c>
      <c r="J369" s="6" t="inlineStr">
        <is>
          <t>Yes*</t>
        </is>
      </c>
      <c r="K369" s="6" t="inlineStr">
        <is>
          <t>Yes*</t>
        </is>
      </c>
    </row>
    <row r="370">
      <c r="B370" s="16" t="inlineStr">
        <is>
          <t>Manual Coal Intangible Cost (short term)</t>
        </is>
      </c>
      <c r="C370" s="16" t="n"/>
      <c r="D370" s="16" t="n"/>
      <c r="E370" s="16" t="n"/>
      <c r="F370" s="16" t="n">
        <v>0</v>
      </c>
      <c r="G370" s="16" t="n">
        <v>0</v>
      </c>
      <c r="H370" s="16" t="inlineStr">
        <is>
          <t>ManualCoalIntangibleCostST</t>
        </is>
      </c>
      <c r="J370" s="6" t="n">
        <v>0</v>
      </c>
      <c r="K370" s="6" t="n">
        <v>0</v>
      </c>
    </row>
    <row r="371">
      <c r="B371" s="16" t="inlineStr">
        <is>
          <t>Manual Coal Intangible Cost (long term)</t>
        </is>
      </c>
      <c r="C371" s="16" t="n"/>
      <c r="D371" s="16" t="n"/>
      <c r="E371" s="16" t="n"/>
      <c r="F371" s="16" t="n">
        <v>0</v>
      </c>
      <c r="G371" s="16" t="n">
        <v>0</v>
      </c>
      <c r="H371" s="16" t="inlineStr">
        <is>
          <t>ManualCoalIntangibleCostLT</t>
        </is>
      </c>
      <c r="J371" s="6" t="n">
        <v>0</v>
      </c>
      <c r="K371" s="6" t="n">
        <v>0</v>
      </c>
    </row>
    <row r="372">
      <c r="B372" s="16" t="inlineStr">
        <is>
          <t>Maximum Coal Capacity Factor</t>
        </is>
      </c>
      <c r="C372" s="16" t="n"/>
      <c r="D372" s="16" t="n"/>
      <c r="E372" s="16" t="n"/>
      <c r="F372" s="16" t="n">
        <v>0.9</v>
      </c>
      <c r="G372" s="16" t="n">
        <v>0.9</v>
      </c>
      <c r="H372" s="16" t="inlineStr">
        <is>
          <t>MaximumCoalCF</t>
        </is>
      </c>
      <c r="J372" s="6" t="n">
        <v>0.9</v>
      </c>
      <c r="K372" s="6" t="n">
        <v>0.9</v>
      </c>
    </row>
    <row r="373">
      <c r="B373" s="16" t="inlineStr">
        <is>
          <t>Maximum Gas Capacity Factor</t>
        </is>
      </c>
      <c r="C373" s="16" t="n"/>
      <c r="D373" s="16" t="n"/>
      <c r="E373" s="16" t="n"/>
      <c r="F373" s="16" t="n">
        <v>0.9</v>
      </c>
      <c r="G373" s="16" t="n">
        <v>0.9</v>
      </c>
      <c r="H373" s="16" t="inlineStr">
        <is>
          <t>MaximumGasCF</t>
        </is>
      </c>
      <c r="J373" s="6" t="n">
        <v>0.9</v>
      </c>
      <c r="K373" s="6" t="n">
        <v>0.9</v>
      </c>
    </row>
    <row r="374">
      <c r="B374" s="16" t="inlineStr">
        <is>
          <t>Proportion of GHG adjustment passed on to engineer model power demand</t>
        </is>
      </c>
      <c r="C374" s="16" t="n"/>
      <c r="D374" s="16" t="n"/>
      <c r="E374" s="16" t="n"/>
      <c r="F374" s="16" t="n">
        <v>1</v>
      </c>
      <c r="G374" s="16" t="n">
        <v>1</v>
      </c>
      <c r="H374" s="16" t="inlineStr">
        <is>
          <t>EngineerModelProportionOfCovidFactor</t>
        </is>
      </c>
      <c r="J374" s="6" t="n">
        <v>1</v>
      </c>
      <c r="K374" s="6" t="n">
        <v>1</v>
      </c>
    </row>
    <row r="375">
      <c r="B375" s="16" t="inlineStr">
        <is>
          <t>Override Capacity Factor if below (Wind and Solar)</t>
        </is>
      </c>
      <c r="C375" s="16" t="n"/>
      <c r="D375" s="16" t="n"/>
      <c r="E375" s="16" t="n"/>
      <c r="F375" s="16" t="n">
        <v>0.1</v>
      </c>
      <c r="G375" s="16" t="n">
        <v>0.1</v>
      </c>
      <c r="H375" s="16" t="inlineStr">
        <is>
          <t>CFOverrideIfBelowWndSol</t>
        </is>
      </c>
      <c r="J375" s="6" t="n">
        <v>0.1</v>
      </c>
      <c r="K375" s="6" t="n">
        <v>0.1</v>
      </c>
    </row>
    <row r="376">
      <c r="B376" s="16" t="inlineStr">
        <is>
          <t>Override Capacity Factor if below (Others)</t>
        </is>
      </c>
      <c r="C376" s="16" t="n"/>
      <c r="D376" s="16" t="n"/>
      <c r="E376" s="16" t="n"/>
      <c r="F376" s="16" t="n">
        <v>0.01</v>
      </c>
      <c r="G376" s="16" t="n">
        <v>0.01</v>
      </c>
      <c r="H376" s="16" t="inlineStr">
        <is>
          <t>CFOverrideIfBelowFosOth</t>
        </is>
      </c>
      <c r="J376" s="6" t="n">
        <v>0.01</v>
      </c>
      <c r="K376" s="6" t="n">
        <v>0.01</v>
      </c>
    </row>
    <row r="377">
      <c r="B377" s="16" t="inlineStr">
        <is>
          <t>Override Capacity Factor if below (All)</t>
        </is>
      </c>
      <c r="C377" s="16" t="n"/>
      <c r="D377" s="16" t="n"/>
      <c r="E377" s="16" t="n"/>
      <c r="F377" s="16" t="n">
        <v>1</v>
      </c>
      <c r="G377" s="16" t="n">
        <v>1</v>
      </c>
      <c r="H377" s="16" t="inlineStr">
        <is>
          <t>CFOverrideIfAbove</t>
        </is>
      </c>
      <c r="J377" s="6" t="n">
        <v>1</v>
      </c>
      <c r="K377" s="6" t="n">
        <v>1</v>
      </c>
    </row>
    <row r="378">
      <c r="B378" s="16" t="inlineStr">
        <is>
          <t>Proportion of coal capacity that can be retired</t>
        </is>
      </c>
      <c r="C378" s="16" t="n"/>
      <c r="D378" s="16" t="n"/>
      <c r="E378" s="16" t="n"/>
      <c r="F378" s="16" t="n">
        <v>0.8</v>
      </c>
      <c r="G378" s="16" t="n">
        <v>0.8</v>
      </c>
      <c r="H378" s="16" t="inlineStr">
        <is>
          <t>MaxCostBasedEarlyRetirement</t>
        </is>
      </c>
      <c r="J378" s="6" t="n">
        <v>0.8</v>
      </c>
      <c r="K378" s="6" t="n">
        <v>0.8</v>
      </c>
    </row>
    <row r="379">
      <c r="B379" s="16" t="inlineStr">
        <is>
          <t>Allow cost-based coal phaseout in baseline?</t>
        </is>
      </c>
      <c r="C379" s="16" t="n"/>
      <c r="D379" s="16" t="n"/>
      <c r="E379" s="16" t="n"/>
      <c r="F379" s="16" t="inlineStr">
        <is>
          <t>Yes</t>
        </is>
      </c>
      <c r="G379" s="16" t="inlineStr">
        <is>
          <t>Yes</t>
        </is>
      </c>
      <c r="H379" s="16" t="inlineStr">
        <is>
          <t>EarlyRetirementInBaseline</t>
        </is>
      </c>
      <c r="J379" s="6" t="inlineStr">
        <is>
          <t>Yes</t>
        </is>
      </c>
      <c r="K379" s="6" t="inlineStr">
        <is>
          <t>Yes</t>
        </is>
      </c>
    </row>
    <row r="380">
      <c r="B380" s="16" t="inlineStr">
        <is>
          <t>Minimum Thermal Efficiency</t>
        </is>
      </c>
      <c r="C380" s="16" t="n"/>
      <c r="D380" s="16" t="n"/>
      <c r="E380" s="16" t="n"/>
      <c r="F380" s="16" t="n">
        <v>0.1</v>
      </c>
      <c r="G380" s="16" t="n">
        <v>0.1</v>
      </c>
      <c r="H380" s="16" t="inlineStr">
        <is>
          <t>MinimumThermalEfficiency</t>
        </is>
      </c>
      <c r="J380" s="6" t="n">
        <v>0.1</v>
      </c>
      <c r="K380" s="6" t="n">
        <v>0.1</v>
      </c>
    </row>
    <row r="381">
      <c r="B381" s="14" t="inlineStr">
        <is>
          <t>Coal and Gas Power Purchase Agreements</t>
        </is>
      </c>
    </row>
    <row r="382">
      <c r="B382" s="16" t="inlineStr">
        <is>
          <t>Proportion of PPAs in Coal and Gas Generation</t>
        </is>
      </c>
      <c r="C382" s="16" t="n"/>
      <c r="D382" s="16" t="n"/>
      <c r="E382" s="16" t="n"/>
      <c r="F382" s="16" t="n">
        <v>0</v>
      </c>
      <c r="G382" s="16" t="n">
        <v>0</v>
      </c>
      <c r="H382" s="16" t="inlineStr">
        <is>
          <t>PPAProportionCoalGas</t>
        </is>
      </c>
      <c r="J382" s="6" t="n">
        <v>0</v>
      </c>
      <c r="K382" s="6" t="n">
        <v>0</v>
      </c>
    </row>
    <row r="383">
      <c r="B383" s="16" t="inlineStr">
        <is>
          <t>Phase out any coal and gas PPAs? (Baseline)</t>
        </is>
      </c>
      <c r="C383" s="16" t="n"/>
      <c r="D383" s="16" t="n"/>
      <c r="E383" s="16" t="n"/>
      <c r="F383" s="16" t="inlineStr">
        <is>
          <t>Yes*</t>
        </is>
      </c>
      <c r="G383" s="16" t="inlineStr">
        <is>
          <t>Yes*</t>
        </is>
      </c>
      <c r="H383" s="16" t="inlineStr">
        <is>
          <t>PhaseOutCoalAndGasPPAsBaseline</t>
        </is>
      </c>
      <c r="J383" s="6" t="inlineStr">
        <is>
          <t>Yes*</t>
        </is>
      </c>
      <c r="K383" s="6" t="inlineStr">
        <is>
          <t>Yes*</t>
        </is>
      </c>
    </row>
    <row r="384">
      <c r="B384" s="16" t="inlineStr">
        <is>
          <t>Phase out any coal and gas PPAs? (Policy)</t>
        </is>
      </c>
      <c r="C384" s="16" t="n"/>
      <c r="D384" s="16" t="n"/>
      <c r="E384" s="16" t="n"/>
      <c r="F384" s="16" t="inlineStr">
        <is>
          <t>Yes*</t>
        </is>
      </c>
      <c r="G384" s="16" t="inlineStr">
        <is>
          <t>Yes*</t>
        </is>
      </c>
      <c r="H384" s="16" t="inlineStr">
        <is>
          <t>PhaseOutCoalAndGasPPAsPolicy</t>
        </is>
      </c>
      <c r="J384" s="6" t="inlineStr">
        <is>
          <t>Yes*</t>
        </is>
      </c>
      <c r="K384" s="6" t="inlineStr">
        <is>
          <t>Yes*</t>
        </is>
      </c>
    </row>
    <row r="385">
      <c r="B385" s="16" t="inlineStr">
        <is>
          <t>Phase begins when?</t>
        </is>
      </c>
      <c r="C385" s="16" t="n"/>
      <c r="D385" s="16" t="n"/>
      <c r="E385" s="16" t="n"/>
      <c r="F385" s="16" t="n">
        <v>2027</v>
      </c>
      <c r="G385" s="16" t="n">
        <v>2027</v>
      </c>
      <c r="H385" s="16" t="inlineStr">
        <is>
          <t>YearPPACoalGas</t>
        </is>
      </c>
      <c r="J385" s="6" t="n">
        <v>2027</v>
      </c>
      <c r="K385" s="6" t="n">
        <v>2027</v>
      </c>
    </row>
    <row r="386">
      <c r="B386" s="16" t="inlineStr">
        <is>
          <t>Phase out coal and gas PPAs over n years?</t>
        </is>
      </c>
      <c r="C386" s="16" t="n"/>
      <c r="D386" s="16" t="n"/>
      <c r="E386" s="16" t="n"/>
      <c r="F386" s="16" t="n">
        <v>5</v>
      </c>
      <c r="G386" s="16" t="n">
        <v>5</v>
      </c>
      <c r="H386" s="16" t="inlineStr">
        <is>
          <t>YearsToPhaseOutPPAs</t>
        </is>
      </c>
      <c r="J386" s="6" t="n">
        <v>5</v>
      </c>
      <c r="K386" s="6" t="n">
        <v>5</v>
      </c>
    </row>
    <row r="387">
      <c r="B387" s="14" t="inlineStr">
        <is>
          <t>Short Term Storage Parameters</t>
        </is>
      </c>
    </row>
    <row r="388">
      <c r="B388" s="16" t="inlineStr">
        <is>
          <t>Percent allocation of ST storage costs to VRE</t>
        </is>
      </c>
      <c r="C388" s="16" t="inlineStr">
        <is>
          <t>%</t>
        </is>
      </c>
      <c r="D388" s="16" t="n"/>
      <c r="E388" s="16" t="n"/>
      <c r="F388" s="16" t="n">
        <v>1</v>
      </c>
      <c r="G388" s="16" t="n">
        <v>1</v>
      </c>
      <c r="H388" s="16" t="inlineStr">
        <is>
          <t>AllocateSTStorageToVRE</t>
        </is>
      </c>
      <c r="J388" s="6" t="n">
        <v>1</v>
      </c>
      <c r="K388" s="6" t="n">
        <v>1</v>
      </c>
    </row>
    <row r="389">
      <c r="B389" s="16" t="inlineStr">
        <is>
          <t>Total hours short term strorage for 100% VRE</t>
        </is>
      </c>
      <c r="C389" s="16" t="n"/>
      <c r="D389" s="16" t="n"/>
      <c r="E389" s="16" t="n"/>
      <c r="F389" s="16" t="n">
        <v>9</v>
      </c>
      <c r="G389" s="16" t="n">
        <v>9</v>
      </c>
      <c r="H389" s="16" t="inlineStr">
        <is>
          <t>TotalHoursStorageFor100pcVRE</t>
        </is>
      </c>
      <c r="J389" s="6" t="n">
        <v>9</v>
      </c>
      <c r="K389" s="6" t="n">
        <v>9</v>
      </c>
    </row>
    <row r="390">
      <c r="B390" s="16" t="inlineStr">
        <is>
          <t>kwh storage to kw interface ratio (hours)</t>
        </is>
      </c>
      <c r="C390" s="16" t="n"/>
      <c r="D390" s="16" t="n"/>
      <c r="E390" s="16" t="n"/>
      <c r="F390" s="16" t="n">
        <v>2</v>
      </c>
      <c r="G390" s="16" t="n">
        <v>2</v>
      </c>
      <c r="H390" s="16" t="inlineStr">
        <is>
          <t>StorageToInterfaceRatioSTStorage</t>
        </is>
      </c>
      <c r="J390" s="6" t="n">
        <v>2</v>
      </c>
      <c r="K390" s="6" t="n">
        <v>2</v>
      </c>
    </row>
    <row r="391">
      <c r="B391" s="14" t="inlineStr">
        <is>
          <t>Long Term Storage Parameters</t>
        </is>
      </c>
    </row>
    <row r="392">
      <c r="B392" s="16" t="inlineStr">
        <is>
          <t>Percent allocation of LT storage costs to VRE</t>
        </is>
      </c>
      <c r="C392" s="16" t="n"/>
      <c r="D392" s="16" t="n"/>
      <c r="E392" s="16" t="n"/>
      <c r="F392" s="16" t="n">
        <v>0.33</v>
      </c>
      <c r="G392" s="16" t="n">
        <v>0.33</v>
      </c>
      <c r="H392" s="16" t="inlineStr">
        <is>
          <t>AllocateLTStorageToVRE</t>
        </is>
      </c>
      <c r="J392" s="6" t="n">
        <v>0.33</v>
      </c>
      <c r="K392" s="6" t="n">
        <v>0.33</v>
      </c>
    </row>
    <row r="393">
      <c r="B393" s="16" t="inlineStr">
        <is>
          <t>Starting point of long term storage requirement (%VRE)</t>
        </is>
      </c>
      <c r="C393" s="16" t="inlineStr">
        <is>
          <t>%</t>
        </is>
      </c>
      <c r="D393" s="16" t="n"/>
      <c r="E393" s="16" t="n"/>
      <c r="F393" s="16" t="n">
        <v>0.75</v>
      </c>
      <c r="G393" s="16" t="n">
        <v>0.75</v>
      </c>
      <c r="H393" s="16" t="inlineStr">
        <is>
          <t>StartingPointWhenLTStorageIsNeeded</t>
        </is>
      </c>
      <c r="J393" s="6" t="n">
        <v>0.75</v>
      </c>
      <c r="K393" s="6" t="n">
        <v>0.75</v>
      </c>
    </row>
    <row r="394">
      <c r="B394" s="16" t="inlineStr">
        <is>
          <t>GW electrolyzer per Gwy/y for 100% VRE (%)</t>
        </is>
      </c>
      <c r="C394" s="16" t="inlineStr">
        <is>
          <t>%</t>
        </is>
      </c>
      <c r="D394" s="16" t="n"/>
      <c r="E394" s="16" t="n"/>
      <c r="F394" s="16" t="n">
        <v>1</v>
      </c>
      <c r="G394" s="16" t="n">
        <v>1</v>
      </c>
      <c r="H394" s="16" t="inlineStr">
        <is>
          <t>LongTermStorageFor100pcVRE</t>
        </is>
      </c>
      <c r="J394" s="6" t="n">
        <v>1</v>
      </c>
      <c r="K394" s="6" t="n">
        <v>1</v>
      </c>
    </row>
    <row r="395">
      <c r="B395" s="16" t="inlineStr">
        <is>
          <t>Storage hours for LT storage</t>
        </is>
      </c>
      <c r="C395" s="16" t="n"/>
      <c r="D395" s="16" t="n"/>
      <c r="E395" s="16" t="n"/>
      <c r="F395" s="16" t="n">
        <v>1000</v>
      </c>
      <c r="G395" s="16" t="n">
        <v>1000</v>
      </c>
      <c r="H395" s="16" t="inlineStr">
        <is>
          <t>StorageHoursForLTStorage</t>
        </is>
      </c>
      <c r="J395" s="6" t="n">
        <v>1000</v>
      </c>
      <c r="K395" s="6" t="n">
        <v>1000</v>
      </c>
    </row>
    <row r="396">
      <c r="B396" s="14" t="inlineStr">
        <is>
          <t>Allowed New Investments Override if selected</t>
        </is>
      </c>
    </row>
    <row r="397">
      <c r="B397" s="16" t="inlineStr">
        <is>
          <t>Coal - New Investment Override</t>
        </is>
      </c>
      <c r="C397" s="16" t="inlineStr">
        <is>
          <t>Switch</t>
        </is>
      </c>
      <c r="D397" s="16" t="n"/>
      <c r="E397" s="16" t="n"/>
      <c r="F397" s="16" t="inlineStr">
        <is>
          <t>If Present*</t>
        </is>
      </c>
      <c r="G397" s="16" t="inlineStr">
        <is>
          <t>If Present*</t>
        </is>
      </c>
      <c r="H397" s="16" t="inlineStr">
        <is>
          <t>NewInvCoa</t>
        </is>
      </c>
      <c r="J397" s="6" t="inlineStr">
        <is>
          <t>If Present*</t>
        </is>
      </c>
      <c r="K397" s="6" t="inlineStr">
        <is>
          <t>If Present*</t>
        </is>
      </c>
    </row>
    <row r="398">
      <c r="B398" s="16" t="inlineStr">
        <is>
          <t>Natural gas - New Investment Override</t>
        </is>
      </c>
      <c r="C398" s="16" t="inlineStr">
        <is>
          <t>Switch</t>
        </is>
      </c>
      <c r="D398" s="16" t="n"/>
      <c r="E398" s="16" t="n"/>
      <c r="F398" s="16" t="inlineStr">
        <is>
          <t>If Present*</t>
        </is>
      </c>
      <c r="G398" s="16" t="inlineStr">
        <is>
          <t>If Present*</t>
        </is>
      </c>
      <c r="H398" s="16" t="inlineStr">
        <is>
          <t>NewInvNga</t>
        </is>
      </c>
      <c r="J398" s="6" t="inlineStr">
        <is>
          <t>If Present*</t>
        </is>
      </c>
      <c r="K398" s="6" t="inlineStr">
        <is>
          <t>If Present*</t>
        </is>
      </c>
    </row>
    <row r="399">
      <c r="B399" s="16" t="inlineStr">
        <is>
          <t>Oil - New Investment Override</t>
        </is>
      </c>
      <c r="C399" s="16" t="inlineStr">
        <is>
          <t>Switch</t>
        </is>
      </c>
      <c r="D399" s="16" t="n"/>
      <c r="E399" s="16" t="n"/>
      <c r="F399" s="16" t="inlineStr">
        <is>
          <t>If Present*</t>
        </is>
      </c>
      <c r="G399" s="16" t="inlineStr">
        <is>
          <t>If Present*</t>
        </is>
      </c>
      <c r="H399" s="16" t="inlineStr">
        <is>
          <t>NewInvOil</t>
        </is>
      </c>
      <c r="J399" s="6" t="inlineStr">
        <is>
          <t>If Present*</t>
        </is>
      </c>
      <c r="K399" s="6" t="inlineStr">
        <is>
          <t>If Present*</t>
        </is>
      </c>
    </row>
    <row r="400">
      <c r="B400" s="16" t="inlineStr">
        <is>
          <t>Nuclear - New Investment Override</t>
        </is>
      </c>
      <c r="C400" s="16" t="inlineStr">
        <is>
          <t>Switch</t>
        </is>
      </c>
      <c r="D400" s="16" t="n"/>
      <c r="E400" s="16" t="n"/>
      <c r="F400" s="16" t="inlineStr">
        <is>
          <t>If Present*</t>
        </is>
      </c>
      <c r="G400" s="16" t="inlineStr">
        <is>
          <t>If Present*</t>
        </is>
      </c>
      <c r="H400" s="16" t="inlineStr">
        <is>
          <t>NewInvNuc</t>
        </is>
      </c>
      <c r="J400" s="6" t="inlineStr">
        <is>
          <t>If Present*</t>
        </is>
      </c>
      <c r="K400" s="6" t="inlineStr">
        <is>
          <t>If Present*</t>
        </is>
      </c>
    </row>
    <row r="401">
      <c r="B401" s="16" t="inlineStr">
        <is>
          <t>Wind - New Investment Override</t>
        </is>
      </c>
      <c r="C401" s="16" t="inlineStr">
        <is>
          <t>Switch</t>
        </is>
      </c>
      <c r="D401" s="16" t="n"/>
      <c r="E401" s="16" t="n"/>
      <c r="F401" s="16" t="inlineStr">
        <is>
          <t>Yes</t>
        </is>
      </c>
      <c r="G401" s="16" t="inlineStr">
        <is>
          <t>Yes</t>
        </is>
      </c>
      <c r="H401" s="16" t="inlineStr">
        <is>
          <t>NewInvWnd</t>
        </is>
      </c>
      <c r="J401" s="6" t="inlineStr">
        <is>
          <t>Yes</t>
        </is>
      </c>
      <c r="K401" s="6" t="inlineStr">
        <is>
          <t>Yes</t>
        </is>
      </c>
    </row>
    <row r="402">
      <c r="B402" s="16" t="inlineStr">
        <is>
          <t>Solar - New Investment Override</t>
        </is>
      </c>
      <c r="C402" s="16" t="inlineStr">
        <is>
          <t>Switch</t>
        </is>
      </c>
      <c r="D402" s="16" t="n"/>
      <c r="E402" s="16" t="n"/>
      <c r="F402" s="16" t="inlineStr">
        <is>
          <t>Yes</t>
        </is>
      </c>
      <c r="G402" s="16" t="inlineStr">
        <is>
          <t>Yes</t>
        </is>
      </c>
      <c r="H402" s="16" t="inlineStr">
        <is>
          <t>NewInvSol</t>
        </is>
      </c>
      <c r="J402" s="6" t="inlineStr">
        <is>
          <t>Yes</t>
        </is>
      </c>
      <c r="K402" s="6" t="inlineStr">
        <is>
          <t>Yes</t>
        </is>
      </c>
    </row>
    <row r="403">
      <c r="B403" s="16" t="inlineStr">
        <is>
          <t>Hydro - New Investment Override</t>
        </is>
      </c>
      <c r="C403" s="16" t="inlineStr">
        <is>
          <t>Switch</t>
        </is>
      </c>
      <c r="D403" s="16" t="n"/>
      <c r="E403" s="16" t="n"/>
      <c r="F403" s="16" t="inlineStr">
        <is>
          <t>If Present*</t>
        </is>
      </c>
      <c r="G403" s="16" t="inlineStr">
        <is>
          <t>If Present*</t>
        </is>
      </c>
      <c r="H403" s="16" t="inlineStr">
        <is>
          <t>NewInvHyd</t>
        </is>
      </c>
      <c r="J403" s="6" t="inlineStr">
        <is>
          <t>If Present*</t>
        </is>
      </c>
      <c r="K403" s="6" t="inlineStr">
        <is>
          <t>If Present*</t>
        </is>
      </c>
    </row>
    <row r="404">
      <c r="B404" s="16" t="inlineStr">
        <is>
          <t>Other renewables - New Investment Override</t>
        </is>
      </c>
      <c r="C404" s="16" t="inlineStr">
        <is>
          <t>Switch</t>
        </is>
      </c>
      <c r="D404" s="16" t="n"/>
      <c r="E404" s="16" t="n"/>
      <c r="F404" s="16" t="inlineStr">
        <is>
          <t>If Present*</t>
        </is>
      </c>
      <c r="G404" s="16" t="inlineStr">
        <is>
          <t>If Present*</t>
        </is>
      </c>
      <c r="H404" s="16" t="inlineStr">
        <is>
          <t>NewInvOre</t>
        </is>
      </c>
      <c r="J404" s="6" t="inlineStr">
        <is>
          <t>If Present*</t>
        </is>
      </c>
      <c r="K404" s="6" t="inlineStr">
        <is>
          <t>If Present*</t>
        </is>
      </c>
    </row>
    <row r="405">
      <c r="B405" s="16" t="inlineStr">
        <is>
          <t>Biomass - New Investment Override</t>
        </is>
      </c>
      <c r="C405" s="16" t="inlineStr">
        <is>
          <t>Switch</t>
        </is>
      </c>
      <c r="D405" s="16" t="n"/>
      <c r="E405" s="16" t="n"/>
      <c r="F405" s="16" t="inlineStr">
        <is>
          <t>If Present*</t>
        </is>
      </c>
      <c r="G405" s="16" t="inlineStr">
        <is>
          <t>If Present*</t>
        </is>
      </c>
      <c r="H405" s="16" t="inlineStr">
        <is>
          <t>NewInvBio</t>
        </is>
      </c>
      <c r="J405" s="6" t="inlineStr">
        <is>
          <t>If Present*</t>
        </is>
      </c>
      <c r="K405" s="6" t="inlineStr">
        <is>
          <t>If Present*</t>
        </is>
      </c>
    </row>
    <row r="406">
      <c r="B406" t="inlineStr">
        <is>
          <t>Allowed New Investments (Date of Coming Online)</t>
        </is>
      </c>
    </row>
    <row r="407">
      <c r="B407" s="16" t="inlineStr">
        <is>
          <t>Coal</t>
        </is>
      </c>
      <c r="C407" s="16" t="inlineStr">
        <is>
          <t>Year</t>
        </is>
      </c>
      <c r="D407" s="16" t="n"/>
      <c r="E407" s="16" t="n"/>
      <c r="F407" s="16" t="n">
        <v>2022</v>
      </c>
      <c r="G407" s="16" t="n">
        <v>2022</v>
      </c>
      <c r="H407" s="16" t="inlineStr">
        <is>
          <t>NewInvCoaYear</t>
        </is>
      </c>
      <c r="J407" s="6" t="n">
        <v>2022</v>
      </c>
      <c r="K407" s="6" t="n">
        <v>2022</v>
      </c>
    </row>
    <row r="408">
      <c r="B408" s="16" t="inlineStr">
        <is>
          <t>Natural gas</t>
        </is>
      </c>
      <c r="C408" s="16" t="inlineStr">
        <is>
          <t>Year</t>
        </is>
      </c>
      <c r="D408" s="16" t="n"/>
      <c r="E408" s="16" t="n"/>
      <c r="F408" s="16" t="n">
        <v>2022</v>
      </c>
      <c r="G408" s="16" t="n">
        <v>2022</v>
      </c>
      <c r="H408" s="16" t="inlineStr">
        <is>
          <t>NewInvNgaYear</t>
        </is>
      </c>
      <c r="J408" s="6" t="n">
        <v>2022</v>
      </c>
      <c r="K408" s="6" t="n">
        <v>2022</v>
      </c>
    </row>
    <row r="409">
      <c r="B409" s="16" t="inlineStr">
        <is>
          <t>Oil</t>
        </is>
      </c>
      <c r="C409" s="16" t="inlineStr">
        <is>
          <t>Year</t>
        </is>
      </c>
      <c r="D409" s="16" t="n"/>
      <c r="E409" s="16" t="n"/>
      <c r="F409" s="16" t="n">
        <v>2022</v>
      </c>
      <c r="G409" s="16" t="n">
        <v>2022</v>
      </c>
      <c r="H409" s="16" t="inlineStr">
        <is>
          <t>NewInvOilYear</t>
        </is>
      </c>
      <c r="J409" s="6" t="n">
        <v>2022</v>
      </c>
      <c r="K409" s="6" t="n">
        <v>2022</v>
      </c>
    </row>
    <row r="410">
      <c r="B410" s="16" t="inlineStr">
        <is>
          <t>Nuclear</t>
        </is>
      </c>
      <c r="C410" s="16" t="inlineStr">
        <is>
          <t>Year</t>
        </is>
      </c>
      <c r="D410" s="16" t="n"/>
      <c r="E410" s="16" t="n"/>
      <c r="F410" s="16" t="n">
        <v>2030</v>
      </c>
      <c r="G410" s="16" t="n">
        <v>2030</v>
      </c>
      <c r="H410" s="16" t="inlineStr">
        <is>
          <t>NewInvNucYear</t>
        </is>
      </c>
      <c r="J410" s="6" t="n">
        <v>2030</v>
      </c>
      <c r="K410" s="6" t="n">
        <v>2030</v>
      </c>
    </row>
    <row r="411">
      <c r="B411" s="16" t="inlineStr">
        <is>
          <t>Wind</t>
        </is>
      </c>
      <c r="C411" s="16" t="inlineStr">
        <is>
          <t>Year</t>
        </is>
      </c>
      <c r="D411" s="16" t="n"/>
      <c r="E411" s="16" t="n"/>
      <c r="F411" s="16" t="n">
        <v>2022</v>
      </c>
      <c r="G411" s="16" t="n">
        <v>2022</v>
      </c>
      <c r="H411" s="16" t="inlineStr">
        <is>
          <t>NewInvWndYear</t>
        </is>
      </c>
      <c r="J411" s="6" t="n">
        <v>2022</v>
      </c>
      <c r="K411" s="6" t="n">
        <v>2022</v>
      </c>
    </row>
    <row r="412">
      <c r="B412" s="16" t="inlineStr">
        <is>
          <t>Solar</t>
        </is>
      </c>
      <c r="C412" s="16" t="inlineStr">
        <is>
          <t>Year</t>
        </is>
      </c>
      <c r="D412" s="16" t="n"/>
      <c r="E412" s="16" t="n"/>
      <c r="F412" s="16" t="n">
        <v>2022</v>
      </c>
      <c r="G412" s="16" t="n">
        <v>2022</v>
      </c>
      <c r="H412" s="16" t="inlineStr">
        <is>
          <t>NewInvSolYear</t>
        </is>
      </c>
      <c r="J412" s="6" t="n">
        <v>2022</v>
      </c>
      <c r="K412" s="6" t="n">
        <v>2022</v>
      </c>
    </row>
    <row r="413">
      <c r="B413" s="16" t="inlineStr">
        <is>
          <t>Hydro</t>
        </is>
      </c>
      <c r="C413" s="16" t="inlineStr">
        <is>
          <t>Year</t>
        </is>
      </c>
      <c r="D413" s="16" t="n"/>
      <c r="E413" s="16" t="n"/>
      <c r="F413" s="16" t="n">
        <v>2030</v>
      </c>
      <c r="G413" s="16" t="n">
        <v>2030</v>
      </c>
      <c r="H413" s="16" t="inlineStr">
        <is>
          <t>NewInvHydYear</t>
        </is>
      </c>
      <c r="J413" s="6" t="n">
        <v>2030</v>
      </c>
      <c r="K413" s="6" t="n">
        <v>2030</v>
      </c>
    </row>
    <row r="414">
      <c r="B414" s="16" t="inlineStr">
        <is>
          <t>Other renewables</t>
        </is>
      </c>
      <c r="C414" s="16" t="inlineStr">
        <is>
          <t>Year</t>
        </is>
      </c>
      <c r="D414" s="16" t="n"/>
      <c r="E414" s="16" t="n"/>
      <c r="F414" s="16" t="n">
        <v>2030</v>
      </c>
      <c r="G414" s="16" t="n">
        <v>2030</v>
      </c>
      <c r="H414" s="16" t="inlineStr">
        <is>
          <t>NewInvOreYear</t>
        </is>
      </c>
      <c r="J414" s="6" t="n">
        <v>2030</v>
      </c>
      <c r="K414" s="6" t="n">
        <v>2030</v>
      </c>
    </row>
    <row r="415">
      <c r="B415" s="16" t="inlineStr">
        <is>
          <t>Biomass</t>
        </is>
      </c>
      <c r="C415" s="16" t="inlineStr">
        <is>
          <t>Year</t>
        </is>
      </c>
      <c r="D415" s="16" t="n"/>
      <c r="E415" s="16" t="n"/>
      <c r="F415" s="16" t="n">
        <v>2022</v>
      </c>
      <c r="G415" s="16" t="n">
        <v>2022</v>
      </c>
      <c r="H415" s="16" t="inlineStr">
        <is>
          <t>NewInvBioYear</t>
        </is>
      </c>
      <c r="J415" s="6" t="n">
        <v>2022</v>
      </c>
      <c r="K415" s="6" t="n">
        <v>2022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N1361"/>
  <sheetViews>
    <sheetView workbookViewId="0">
      <pane xSplit="11" ySplit="5" topLeftCell="L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2" outlineLevelCol="1"/>
  <cols>
    <col width="11" customWidth="1" min="1" max="1"/>
    <col width="5" customWidth="1" min="2" max="2"/>
    <col width="5" customWidth="1" min="3" max="3"/>
    <col hidden="1" outlineLevel="1" width="13" customWidth="1" min="4" max="7"/>
    <col width="44" customWidth="1" min="8" max="8"/>
    <col width="9" customWidth="1" min="9" max="9"/>
    <col width="18" customWidth="1" min="10" max="10"/>
    <col width="24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24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>
      <c r="A1" s="7" t="inlineStr">
        <is>
          <t>Variable</t>
        </is>
      </c>
      <c r="B1" s="7" t="inlineStr">
        <is>
          <t>Fuel</t>
        </is>
      </c>
      <c r="C1" s="7" t="inlineStr">
        <is>
          <t>Sector</t>
        </is>
      </c>
      <c r="D1" s="7" t="inlineStr">
        <is>
          <t>Param 1</t>
        </is>
      </c>
      <c r="E1" s="7" t="inlineStr">
        <is>
          <t>Param 2</t>
        </is>
      </c>
      <c r="F1" s="7" t="inlineStr">
        <is>
          <t>Param 3</t>
        </is>
      </c>
      <c r="G1" s="7" t="inlineStr">
        <is>
          <t>Param 4</t>
        </is>
      </c>
      <c r="H1" s="7" t="inlineStr">
        <is>
          <t>Description</t>
        </is>
      </c>
      <c r="I1" s="7" t="inlineStr">
        <is>
          <t>Unit</t>
        </is>
      </c>
      <c r="J1" s="7" t="inlineStr">
        <is>
          <t>Source</t>
        </is>
      </c>
      <c r="K1" s="7" t="inlineStr">
        <is>
          <t>Scenario 1: output code</t>
        </is>
      </c>
      <c r="Z1" s="7" t="inlineStr">
        <is>
          <t>Scenario 2: output code</t>
        </is>
      </c>
    </row>
    <row r="2">
      <c r="A2" s="1" t="inlineStr">
        <is>
          <t>Mitigation module - price to fuel use (copy-pasteable, design 2, legacy CPAT sections)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18" t="inlineStr">
        <is>
          <t>Scenario assumptions (one column group per scenario: code column + years; copy a whole group to add a scenario)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</row>
    <row r="4">
      <c r="H4" s="7" t="inlineStr">
        <is>
          <t>Year</t>
        </is>
      </c>
      <c r="L4" s="20">
        <f>Settings!$C$7</f>
        <v/>
      </c>
      <c r="M4" s="13">
        <f>L4+1</f>
        <v/>
      </c>
      <c r="N4" s="13">
        <f>M4+1</f>
        <v/>
      </c>
      <c r="O4" s="13">
        <f>N4+1</f>
        <v/>
      </c>
      <c r="P4" s="13">
        <f>O4+1</f>
        <v/>
      </c>
      <c r="Q4" s="13">
        <f>P4+1</f>
        <v/>
      </c>
      <c r="R4" s="13">
        <f>Q4+1</f>
        <v/>
      </c>
      <c r="S4" s="13">
        <f>R4+1</f>
        <v/>
      </c>
      <c r="T4" s="13">
        <f>S4+1</f>
        <v/>
      </c>
      <c r="U4" s="13">
        <f>T4+1</f>
        <v/>
      </c>
      <c r="V4" s="13">
        <f>U4+1</f>
        <v/>
      </c>
      <c r="W4" s="13">
        <f>V4+1</f>
        <v/>
      </c>
      <c r="X4" s="13">
        <f>W4+1</f>
        <v/>
      </c>
      <c r="Y4" s="13">
        <f>X4+1</f>
        <v/>
      </c>
      <c r="AA4" s="20">
        <f>Settings!$C$7</f>
        <v/>
      </c>
      <c r="AB4" s="13">
        <f>AA4+1</f>
        <v/>
      </c>
      <c r="AC4" s="13">
        <f>AB4+1</f>
        <v/>
      </c>
      <c r="AD4" s="13">
        <f>AC4+1</f>
        <v/>
      </c>
      <c r="AE4" s="13">
        <f>AD4+1</f>
        <v/>
      </c>
      <c r="AF4" s="13">
        <f>AE4+1</f>
        <v/>
      </c>
      <c r="AG4" s="13">
        <f>AF4+1</f>
        <v/>
      </c>
      <c r="AH4" s="13">
        <f>AG4+1</f>
        <v/>
      </c>
      <c r="AI4" s="13">
        <f>AH4+1</f>
        <v/>
      </c>
      <c r="AJ4" s="13">
        <f>AI4+1</f>
        <v/>
      </c>
      <c r="AK4" s="13">
        <f>AJ4+1</f>
        <v/>
      </c>
      <c r="AL4" s="13">
        <f>AK4+1</f>
        <v/>
      </c>
      <c r="AM4" s="13">
        <f>AL4+1</f>
        <v/>
      </c>
      <c r="AN4" s="13">
        <f>AM4+1</f>
        <v/>
      </c>
    </row>
    <row r="5">
      <c r="H5" s="7" t="inlineStr">
        <is>
          <t>Scenario number (MTInputs column)</t>
        </is>
      </c>
      <c r="K5" s="12" t="n">
        <v>1</v>
      </c>
      <c r="L5" s="21">
        <f>K5</f>
        <v/>
      </c>
      <c r="M5" s="22">
        <f>L5</f>
        <v/>
      </c>
      <c r="N5" s="22">
        <f>M5</f>
        <v/>
      </c>
      <c r="O5" s="22">
        <f>N5</f>
        <v/>
      </c>
      <c r="P5" s="22">
        <f>O5</f>
        <v/>
      </c>
      <c r="Q5" s="22">
        <f>P5</f>
        <v/>
      </c>
      <c r="R5" s="22">
        <f>Q5</f>
        <v/>
      </c>
      <c r="S5" s="22">
        <f>R5</f>
        <v/>
      </c>
      <c r="T5" s="22">
        <f>S5</f>
        <v/>
      </c>
      <c r="U5" s="22">
        <f>T5</f>
        <v/>
      </c>
      <c r="V5" s="22">
        <f>U5</f>
        <v/>
      </c>
      <c r="W5" s="22">
        <f>V5</f>
        <v/>
      </c>
      <c r="X5" s="22">
        <f>W5</f>
        <v/>
      </c>
      <c r="Y5" s="22">
        <f>X5</f>
        <v/>
      </c>
      <c r="Z5" s="13">
        <f>K5+1</f>
        <v/>
      </c>
      <c r="AA5" s="21">
        <f>Z5</f>
        <v/>
      </c>
      <c r="AB5" s="22">
        <f>AA5</f>
        <v/>
      </c>
      <c r="AC5" s="22">
        <f>AB5</f>
        <v/>
      </c>
      <c r="AD5" s="22">
        <f>AC5</f>
        <v/>
      </c>
      <c r="AE5" s="22">
        <f>AD5</f>
        <v/>
      </c>
      <c r="AF5" s="22">
        <f>AE5</f>
        <v/>
      </c>
      <c r="AG5" s="22">
        <f>AF5</f>
        <v/>
      </c>
      <c r="AH5" s="22">
        <f>AG5</f>
        <v/>
      </c>
      <c r="AI5" s="22">
        <f>AH5</f>
        <v/>
      </c>
      <c r="AJ5" s="22">
        <f>AI5</f>
        <v/>
      </c>
      <c r="AK5" s="22">
        <f>AJ5</f>
        <v/>
      </c>
      <c r="AL5" s="22">
        <f>AK5</f>
        <v/>
      </c>
      <c r="AM5" s="22">
        <f>AL5</f>
        <v/>
      </c>
      <c r="AN5" s="22">
        <f>AM5</f>
        <v/>
      </c>
    </row>
    <row r="6">
      <c r="H6" s="7" t="inlineStr">
        <is>
          <t>Scenario name (from MTInputs)</t>
        </is>
      </c>
      <c r="L6" s="7">
        <f>INDEX(MTInputs!$J$6:$AZ$6,MATCH(L$5,MTInputs!$J$5:$AZ$5,0))</f>
        <v/>
      </c>
      <c r="AA6" s="7">
        <f>INDEX(MTInputs!$J$6:$AZ$6,MATCH(AA$5,MTInputs!$J$5:$AZ$5,0))</f>
        <v/>
      </c>
    </row>
    <row r="7">
      <c r="A7" s="7" t="inlineStr">
        <is>
          <t>gdp.pos.pct</t>
        </is>
      </c>
      <c r="B7" s="7" t="inlineStr"/>
      <c r="C7" s="7" t="inlineStr"/>
      <c r="H7" s="7">
        <f>INDEX(Variables!$B$5:$B$65,MATCH($A7,Variables!$A$5:$A$65,0))&amp;IF($C7="",""," | "&amp;INDEX(Mapping!$B$5:$B$25,MATCH($C7,Mapping!$A$5:$A$25,0))&amp;" | "&amp;INDEX(Mapping!$B$29:$B$38,MATCH($B7,Mapping!$A$29:$A$38,0)))</f>
        <v/>
      </c>
      <c r="I7" s="7">
        <f>INDEX(Variables!$C$5:$C$65,MATCH($A7,Variables!$A$5:$A$65,0))</f>
        <v/>
      </c>
      <c r="J7" s="7">
        <f>INDEX(Variables!$E$5:$E$65,MATCH($A7,Variables!$A$5:$A$65,0))</f>
        <v/>
      </c>
      <c r="K7" s="23">
        <f>LOWER(Settings!$C$4)&amp;".mit."&amp;$A7&amp;IF($C7="","","."&amp;$C7&amp;"."&amp;$B7)&amp;IF(INDEX(Variables!$D$5:$D$65,MATCH($A7,Variables!$A$5:$A$65,0))="","","."&amp;INDEX(Variables!$D$5:$D$65,MATCH($A7,Variables!$A$5:$A$65,0)))&amp;"."&amp;K$5</f>
        <v/>
      </c>
      <c r="L7" s="24">
        <f>INDEX(WEO!$F$4:$AZ$1000,MATCH(Settings!$C$4&amp;"|gdp_growth",WEO!$A$4:$A$1000,0),MATCH(L$4,WEO!$F$3:$AZ$3,0))</f>
        <v/>
      </c>
      <c r="M7" s="25">
        <f>INDEX(WEO!$F$4:$AZ$1000,MATCH(Settings!$C$4&amp;"|gdp_growth",WEO!$A$4:$A$1000,0),MATCH(M$4,WEO!$F$3:$AZ$3,0))</f>
        <v/>
      </c>
      <c r="N7" s="25">
        <f>INDEX(WEO!$F$4:$AZ$1000,MATCH(Settings!$C$4&amp;"|gdp_growth",WEO!$A$4:$A$1000,0),MATCH(N$4,WEO!$F$3:$AZ$3,0))</f>
        <v/>
      </c>
      <c r="O7" s="25">
        <f>INDEX(WEO!$F$4:$AZ$1000,MATCH(Settings!$C$4&amp;"|gdp_growth",WEO!$A$4:$A$1000,0),MATCH(O$4,WEO!$F$3:$AZ$3,0))</f>
        <v/>
      </c>
      <c r="P7" s="25">
        <f>INDEX(WEO!$F$4:$AZ$1000,MATCH(Settings!$C$4&amp;"|gdp_growth",WEO!$A$4:$A$1000,0),MATCH(P$4,WEO!$F$3:$AZ$3,0))</f>
        <v/>
      </c>
      <c r="Q7" s="25">
        <f>INDEX(WEO!$F$4:$AZ$1000,MATCH(Settings!$C$4&amp;"|gdp_growth",WEO!$A$4:$A$1000,0),MATCH(Q$4,WEO!$F$3:$AZ$3,0))</f>
        <v/>
      </c>
      <c r="R7" s="25">
        <f>INDEX(WEO!$F$4:$AZ$1000,MATCH(Settings!$C$4&amp;"|gdp_growth",WEO!$A$4:$A$1000,0),MATCH(R$4,WEO!$F$3:$AZ$3,0))</f>
        <v/>
      </c>
      <c r="S7" s="25">
        <f>INDEX(WEO!$F$4:$AZ$1000,MATCH(Settings!$C$4&amp;"|gdp_growth",WEO!$A$4:$A$1000,0),MATCH(S$4,WEO!$F$3:$AZ$3,0))</f>
        <v/>
      </c>
      <c r="T7" s="25">
        <f>INDEX(WEO!$F$4:$AZ$1000,MATCH(Settings!$C$4&amp;"|gdp_growth",WEO!$A$4:$A$1000,0),MATCH(T$4,WEO!$F$3:$AZ$3,0))</f>
        <v/>
      </c>
      <c r="U7" s="25">
        <f>INDEX(WEO!$F$4:$AZ$1000,MATCH(Settings!$C$4&amp;"|gdp_growth",WEO!$A$4:$A$1000,0),MATCH(U$4,WEO!$F$3:$AZ$3,0))</f>
        <v/>
      </c>
      <c r="V7" s="25">
        <f>INDEX(WEO!$F$4:$AZ$1000,MATCH(Settings!$C$4&amp;"|gdp_growth",WEO!$A$4:$A$1000,0),MATCH(V$4,WEO!$F$3:$AZ$3,0))</f>
        <v/>
      </c>
      <c r="W7" s="25">
        <f>INDEX(WEO!$F$4:$AZ$1000,MATCH(Settings!$C$4&amp;"|gdp_growth",WEO!$A$4:$A$1000,0),MATCH(W$4,WEO!$F$3:$AZ$3,0))</f>
        <v/>
      </c>
      <c r="X7" s="25">
        <f>INDEX(WEO!$F$4:$AZ$1000,MATCH(Settings!$C$4&amp;"|gdp_growth",WEO!$A$4:$A$1000,0),MATCH(X$4,WEO!$F$3:$AZ$3,0))</f>
        <v/>
      </c>
      <c r="Y7" s="25">
        <f>INDEX(WEO!$F$4:$AZ$1000,MATCH(Settings!$C$4&amp;"|gdp_growth",WEO!$A$4:$A$1000,0),MATCH(Y$4,WEO!$F$3:$AZ$3,0))</f>
        <v/>
      </c>
      <c r="Z7" s="23">
        <f>LOWER(Settings!$C$4)&amp;".mit."&amp;$A7&amp;IF($C7="","","."&amp;$C7&amp;"."&amp;$B7)&amp;IF(INDEX(Variables!$D$5:$D$65,MATCH($A7,Variables!$A$5:$A$65,0))="","","."&amp;INDEX(Variables!$D$5:$D$65,MATCH($A7,Variables!$A$5:$A$65,0)))&amp;"."&amp;Z$5</f>
        <v/>
      </c>
      <c r="AA7" s="24">
        <f>INDEX(WEO!$F$4:$AZ$1000,MATCH(Settings!$C$4&amp;"|gdp_growth",WEO!$A$4:$A$1000,0),MATCH(AA$4,WEO!$F$3:$AZ$3,0))</f>
        <v/>
      </c>
      <c r="AB7" s="25">
        <f>INDEX(WEO!$F$4:$AZ$1000,MATCH(Settings!$C$4&amp;"|gdp_growth",WEO!$A$4:$A$1000,0),MATCH(AB$4,WEO!$F$3:$AZ$3,0))</f>
        <v/>
      </c>
      <c r="AC7" s="25">
        <f>INDEX(WEO!$F$4:$AZ$1000,MATCH(Settings!$C$4&amp;"|gdp_growth",WEO!$A$4:$A$1000,0),MATCH(AC$4,WEO!$F$3:$AZ$3,0))</f>
        <v/>
      </c>
      <c r="AD7" s="25">
        <f>INDEX(WEO!$F$4:$AZ$1000,MATCH(Settings!$C$4&amp;"|gdp_growth",WEO!$A$4:$A$1000,0),MATCH(AD$4,WEO!$F$3:$AZ$3,0))</f>
        <v/>
      </c>
      <c r="AE7" s="25">
        <f>INDEX(WEO!$F$4:$AZ$1000,MATCH(Settings!$C$4&amp;"|gdp_growth",WEO!$A$4:$A$1000,0),MATCH(AE$4,WEO!$F$3:$AZ$3,0))</f>
        <v/>
      </c>
      <c r="AF7" s="25">
        <f>INDEX(WEO!$F$4:$AZ$1000,MATCH(Settings!$C$4&amp;"|gdp_growth",WEO!$A$4:$A$1000,0),MATCH(AF$4,WEO!$F$3:$AZ$3,0))</f>
        <v/>
      </c>
      <c r="AG7" s="25">
        <f>INDEX(WEO!$F$4:$AZ$1000,MATCH(Settings!$C$4&amp;"|gdp_growth",WEO!$A$4:$A$1000,0),MATCH(AG$4,WEO!$F$3:$AZ$3,0))</f>
        <v/>
      </c>
      <c r="AH7" s="25">
        <f>INDEX(WEO!$F$4:$AZ$1000,MATCH(Settings!$C$4&amp;"|gdp_growth",WEO!$A$4:$A$1000,0),MATCH(AH$4,WEO!$F$3:$AZ$3,0))</f>
        <v/>
      </c>
      <c r="AI7" s="25">
        <f>INDEX(WEO!$F$4:$AZ$1000,MATCH(Settings!$C$4&amp;"|gdp_growth",WEO!$A$4:$A$1000,0),MATCH(AI$4,WEO!$F$3:$AZ$3,0))</f>
        <v/>
      </c>
      <c r="AJ7" s="25">
        <f>INDEX(WEO!$F$4:$AZ$1000,MATCH(Settings!$C$4&amp;"|gdp_growth",WEO!$A$4:$A$1000,0),MATCH(AJ$4,WEO!$F$3:$AZ$3,0))</f>
        <v/>
      </c>
      <c r="AK7" s="25">
        <f>INDEX(WEO!$F$4:$AZ$1000,MATCH(Settings!$C$4&amp;"|gdp_growth",WEO!$A$4:$A$1000,0),MATCH(AK$4,WEO!$F$3:$AZ$3,0))</f>
        <v/>
      </c>
      <c r="AL7" s="25">
        <f>INDEX(WEO!$F$4:$AZ$1000,MATCH(Settings!$C$4&amp;"|gdp_growth",WEO!$A$4:$A$1000,0),MATCH(AL$4,WEO!$F$3:$AZ$3,0))</f>
        <v/>
      </c>
      <c r="AM7" s="25">
        <f>INDEX(WEO!$F$4:$AZ$1000,MATCH(Settings!$C$4&amp;"|gdp_growth",WEO!$A$4:$A$1000,0),MATCH(AM$4,WEO!$F$3:$AZ$3,0))</f>
        <v/>
      </c>
      <c r="AN7" s="25">
        <f>INDEX(WEO!$F$4:$AZ$1000,MATCH(Settings!$C$4&amp;"|gdp_growth",WEO!$A$4:$A$1000,0),MATCH(AN$4,WEO!$F$3:$AZ$3,0))</f>
        <v/>
      </c>
    </row>
    <row r="9">
      <c r="A9" s="18" t="inlineStr">
        <is>
          <t>1. Policies (scenario inputs from MTInputs by row and scenario number; policy paths)</t>
        </is>
      </c>
      <c r="B9" s="19" t="n"/>
      <c r="C9" s="19" t="n"/>
      <c r="D9" s="18" t="inlineStr">
        <is>
          <t>MTInputs row</t>
        </is>
      </c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</row>
    <row r="10" collapsed="1">
      <c r="A10" s="7" t="inlineStr">
        <is>
          <t>cptraj</t>
        </is>
      </c>
      <c r="B10" s="7" t="inlineStr"/>
      <c r="C10" s="7" t="inlineStr"/>
      <c r="H10" s="7">
        <f>INDEX(Variables!$B$5:$B$65,MATCH($A10,Variables!$A$5:$A$65,0))&amp;IF($C10="",""," | "&amp;INDEX(Mapping!$B$5:$B$25,MATCH($C10,Mapping!$A$5:$A$25,0))&amp;" | "&amp;INDEX(Mapping!$B$29:$B$38,MATCH($B10,Mapping!$A$29:$A$38,0)))</f>
        <v/>
      </c>
      <c r="I10" s="7">
        <f>INDEX(Variables!$C$5:$C$65,MATCH($A10,Variables!$A$5:$A$65,0))</f>
        <v/>
      </c>
      <c r="J10" s="7">
        <f>INDEX(Variables!$E$5:$E$65,MATCH($A10,Variables!$A$5:$A$65,0))</f>
        <v/>
      </c>
      <c r="K10" s="26">
        <f>LOWER(Settings!$C$4)&amp;".mit."&amp;$A10&amp;IF($C10="","","."&amp;$C10&amp;"."&amp;$B10)&amp;IF(INDEX(Variables!$D$5:$D$65,MATCH($A10,Variables!$A$5:$A$65,0))="","","."&amp;INDEX(Variables!$D$5:$D$65,MATCH($A10,Variables!$A$5:$A$65,0)))&amp;"."&amp;K$5</f>
        <v/>
      </c>
      <c r="L10" s="27">
        <f>IF(L$4&lt;L$12,0,L$13+(L$14-L$13)/MAX(L$15-L$12,1)*IF(OR(L$4&lt;=L$15,L$16="Linear*"),L$4-L$12,L$15-L$12))</f>
        <v/>
      </c>
      <c r="M10" s="28">
        <f>IF(M$4&lt;M$12,0,M$13+(M$14-M$13)/MAX(M$15-M$12,1)*IF(OR(M$4&lt;=M$15,M$16="Linear*"),M$4-M$12,M$15-M$12))</f>
        <v/>
      </c>
      <c r="N10" s="28">
        <f>IF(N$4&lt;N$12,0,N$13+(N$14-N$13)/MAX(N$15-N$12,1)*IF(OR(N$4&lt;=N$15,N$16="Linear*"),N$4-N$12,N$15-N$12))</f>
        <v/>
      </c>
      <c r="O10" s="28">
        <f>IF(O$4&lt;O$12,0,O$13+(O$14-O$13)/MAX(O$15-O$12,1)*IF(OR(O$4&lt;=O$15,O$16="Linear*"),O$4-O$12,O$15-O$12))</f>
        <v/>
      </c>
      <c r="P10" s="28">
        <f>IF(P$4&lt;P$12,0,P$13+(P$14-P$13)/MAX(P$15-P$12,1)*IF(OR(P$4&lt;=P$15,P$16="Linear*"),P$4-P$12,P$15-P$12))</f>
        <v/>
      </c>
      <c r="Q10" s="28">
        <f>IF(Q$4&lt;Q$12,0,Q$13+(Q$14-Q$13)/MAX(Q$15-Q$12,1)*IF(OR(Q$4&lt;=Q$15,Q$16="Linear*"),Q$4-Q$12,Q$15-Q$12))</f>
        <v/>
      </c>
      <c r="R10" s="28">
        <f>IF(R$4&lt;R$12,0,R$13+(R$14-R$13)/MAX(R$15-R$12,1)*IF(OR(R$4&lt;=R$15,R$16="Linear*"),R$4-R$12,R$15-R$12))</f>
        <v/>
      </c>
      <c r="S10" s="28">
        <f>IF(S$4&lt;S$12,0,S$13+(S$14-S$13)/MAX(S$15-S$12,1)*IF(OR(S$4&lt;=S$15,S$16="Linear*"),S$4-S$12,S$15-S$12))</f>
        <v/>
      </c>
      <c r="T10" s="28">
        <f>IF(T$4&lt;T$12,0,T$13+(T$14-T$13)/MAX(T$15-T$12,1)*IF(OR(T$4&lt;=T$15,T$16="Linear*"),T$4-T$12,T$15-T$12))</f>
        <v/>
      </c>
      <c r="U10" s="28">
        <f>IF(U$4&lt;U$12,0,U$13+(U$14-U$13)/MAX(U$15-U$12,1)*IF(OR(U$4&lt;=U$15,U$16="Linear*"),U$4-U$12,U$15-U$12))</f>
        <v/>
      </c>
      <c r="V10" s="28">
        <f>IF(V$4&lt;V$12,0,V$13+(V$14-V$13)/MAX(V$15-V$12,1)*IF(OR(V$4&lt;=V$15,V$16="Linear*"),V$4-V$12,V$15-V$12))</f>
        <v/>
      </c>
      <c r="W10" s="28">
        <f>IF(W$4&lt;W$12,0,W$13+(W$14-W$13)/MAX(W$15-W$12,1)*IF(OR(W$4&lt;=W$15,W$16="Linear*"),W$4-W$12,W$15-W$12))</f>
        <v/>
      </c>
      <c r="X10" s="28">
        <f>IF(X$4&lt;X$12,0,X$13+(X$14-X$13)/MAX(X$15-X$12,1)*IF(OR(X$4&lt;=X$15,X$16="Linear*"),X$4-X$12,X$15-X$12))</f>
        <v/>
      </c>
      <c r="Y10" s="28">
        <f>IF(Y$4&lt;Y$12,0,Y$13+(Y$14-Y$13)/MAX(Y$15-Y$12,1)*IF(OR(Y$4&lt;=Y$15,Y$16="Linear*"),Y$4-Y$12,Y$15-Y$12))</f>
        <v/>
      </c>
      <c r="Z10" s="26">
        <f>LOWER(Settings!$C$4)&amp;".mit."&amp;$A10&amp;IF($C10="","","."&amp;$C10&amp;"."&amp;$B10)&amp;IF(INDEX(Variables!$D$5:$D$65,MATCH($A10,Variables!$A$5:$A$65,0))="","","."&amp;INDEX(Variables!$D$5:$D$65,MATCH($A10,Variables!$A$5:$A$65,0)))&amp;"."&amp;Z$5</f>
        <v/>
      </c>
      <c r="AA10" s="27">
        <f>IF(AA$4&lt;AA$12,0,AA$13+(AA$14-AA$13)/MAX(AA$15-AA$12,1)*IF(OR(AA$4&lt;=AA$15,AA$16="Linear*"),AA$4-AA$12,AA$15-AA$12))</f>
        <v/>
      </c>
      <c r="AB10" s="28">
        <f>IF(AB$4&lt;AB$12,0,AB$13+(AB$14-AB$13)/MAX(AB$15-AB$12,1)*IF(OR(AB$4&lt;=AB$15,AB$16="Linear*"),AB$4-AB$12,AB$15-AB$12))</f>
        <v/>
      </c>
      <c r="AC10" s="28">
        <f>IF(AC$4&lt;AC$12,0,AC$13+(AC$14-AC$13)/MAX(AC$15-AC$12,1)*IF(OR(AC$4&lt;=AC$15,AC$16="Linear*"),AC$4-AC$12,AC$15-AC$12))</f>
        <v/>
      </c>
      <c r="AD10" s="28">
        <f>IF(AD$4&lt;AD$12,0,AD$13+(AD$14-AD$13)/MAX(AD$15-AD$12,1)*IF(OR(AD$4&lt;=AD$15,AD$16="Linear*"),AD$4-AD$12,AD$15-AD$12))</f>
        <v/>
      </c>
      <c r="AE10" s="28">
        <f>IF(AE$4&lt;AE$12,0,AE$13+(AE$14-AE$13)/MAX(AE$15-AE$12,1)*IF(OR(AE$4&lt;=AE$15,AE$16="Linear*"),AE$4-AE$12,AE$15-AE$12))</f>
        <v/>
      </c>
      <c r="AF10" s="28">
        <f>IF(AF$4&lt;AF$12,0,AF$13+(AF$14-AF$13)/MAX(AF$15-AF$12,1)*IF(OR(AF$4&lt;=AF$15,AF$16="Linear*"),AF$4-AF$12,AF$15-AF$12))</f>
        <v/>
      </c>
      <c r="AG10" s="28">
        <f>IF(AG$4&lt;AG$12,0,AG$13+(AG$14-AG$13)/MAX(AG$15-AG$12,1)*IF(OR(AG$4&lt;=AG$15,AG$16="Linear*"),AG$4-AG$12,AG$15-AG$12))</f>
        <v/>
      </c>
      <c r="AH10" s="28">
        <f>IF(AH$4&lt;AH$12,0,AH$13+(AH$14-AH$13)/MAX(AH$15-AH$12,1)*IF(OR(AH$4&lt;=AH$15,AH$16="Linear*"),AH$4-AH$12,AH$15-AH$12))</f>
        <v/>
      </c>
      <c r="AI10" s="28">
        <f>IF(AI$4&lt;AI$12,0,AI$13+(AI$14-AI$13)/MAX(AI$15-AI$12,1)*IF(OR(AI$4&lt;=AI$15,AI$16="Linear*"),AI$4-AI$12,AI$15-AI$12))</f>
        <v/>
      </c>
      <c r="AJ10" s="28">
        <f>IF(AJ$4&lt;AJ$12,0,AJ$13+(AJ$14-AJ$13)/MAX(AJ$15-AJ$12,1)*IF(OR(AJ$4&lt;=AJ$15,AJ$16="Linear*"),AJ$4-AJ$12,AJ$15-AJ$12))</f>
        <v/>
      </c>
      <c r="AK10" s="28">
        <f>IF(AK$4&lt;AK$12,0,AK$13+(AK$14-AK$13)/MAX(AK$15-AK$12,1)*IF(OR(AK$4&lt;=AK$15,AK$16="Linear*"),AK$4-AK$12,AK$15-AK$12))</f>
        <v/>
      </c>
      <c r="AL10" s="28">
        <f>IF(AL$4&lt;AL$12,0,AL$13+(AL$14-AL$13)/MAX(AL$15-AL$12,1)*IF(OR(AL$4&lt;=AL$15,AL$16="Linear*"),AL$4-AL$12,AL$15-AL$12))</f>
        <v/>
      </c>
      <c r="AM10" s="28">
        <f>IF(AM$4&lt;AM$12,0,AM$13+(AM$14-AM$13)/MAX(AM$15-AM$12,1)*IF(OR(AM$4&lt;=AM$15,AM$16="Linear*"),AM$4-AM$12,AM$15-AM$12))</f>
        <v/>
      </c>
      <c r="AN10" s="28">
        <f>IF(AN$4&lt;AN$12,0,AN$13+(AN$14-AN$13)/MAX(AN$15-AN$12,1)*IF(OR(AN$4&lt;=AN$15,AN$16="Linear*"),AN$4-AN$12,AN$15-AN$12))</f>
        <v/>
      </c>
    </row>
    <row r="11" hidden="1" outlineLevel="1">
      <c r="H11" s="29" t="inlineStr">
        <is>
          <t>Carbon tax (MTInputs rows 18-21, 265)</t>
        </is>
      </c>
    </row>
    <row r="12" hidden="1" outlineLevel="1">
      <c r="A12" s="5" t="inlineStr">
        <is>
          <t>CPIntro</t>
        </is>
      </c>
      <c r="B12" s="5" t="inlineStr"/>
      <c r="C12" s="5" t="inlineStr"/>
      <c r="D12" s="6" t="n">
        <v>18</v>
      </c>
      <c r="H12" s="5">
        <f>INDEX(Variables!$B$5:$B$65,MATCH($A12,Variables!$A$5:$A$65,0))&amp;IF($C12="",""," | "&amp;INDEX(Mapping!$B$5:$B$25,MATCH($C12,Mapping!$A$5:$A$25,0))&amp;" | "&amp;INDEX(Mapping!$B$29:$B$38,MATCH($B12,Mapping!$A$29:$A$38,0)))</f>
        <v/>
      </c>
      <c r="I12" s="5">
        <f>INDEX(Variables!$C$5:$C$65,MATCH($A12,Variables!$A$5:$A$65,0))</f>
        <v/>
      </c>
      <c r="J12" s="5">
        <f>INDEX(Variables!$E$5:$E$65,MATCH($A12,Variables!$A$5:$A$65,0))</f>
        <v/>
      </c>
      <c r="K12" s="23">
        <f>LOWER(Settings!$C$4)&amp;".mit."&amp;$A12&amp;IF($C12="","","."&amp;$C12&amp;"."&amp;$B12)&amp;IF(INDEX(Variables!$D$5:$D$65,MATCH($A12,Variables!$A$5:$A$65,0))="","","."&amp;INDEX(Variables!$D$5:$D$65,MATCH($A12,Variables!$A$5:$A$65,0)))&amp;"."&amp;K$5</f>
        <v/>
      </c>
      <c r="L12" s="21">
        <f>INDEX(MTInputs!$J$1:$AZ$415,$D12,MATCH(L$5,MTInputs!$J$5:$AZ$5,0))</f>
        <v/>
      </c>
      <c r="M12" s="22">
        <f>INDEX(MTInputs!$J$1:$AZ$415,$D12,MATCH(M$5,MTInputs!$J$5:$AZ$5,0))</f>
        <v/>
      </c>
      <c r="N12" s="22">
        <f>INDEX(MTInputs!$J$1:$AZ$415,$D12,MATCH(N$5,MTInputs!$J$5:$AZ$5,0))</f>
        <v/>
      </c>
      <c r="O12" s="22">
        <f>INDEX(MTInputs!$J$1:$AZ$415,$D12,MATCH(O$5,MTInputs!$J$5:$AZ$5,0))</f>
        <v/>
      </c>
      <c r="P12" s="22">
        <f>INDEX(MTInputs!$J$1:$AZ$415,$D12,MATCH(P$5,MTInputs!$J$5:$AZ$5,0))</f>
        <v/>
      </c>
      <c r="Q12" s="22">
        <f>INDEX(MTInputs!$J$1:$AZ$415,$D12,MATCH(Q$5,MTInputs!$J$5:$AZ$5,0))</f>
        <v/>
      </c>
      <c r="R12" s="22">
        <f>INDEX(MTInputs!$J$1:$AZ$415,$D12,MATCH(R$5,MTInputs!$J$5:$AZ$5,0))</f>
        <v/>
      </c>
      <c r="S12" s="22">
        <f>INDEX(MTInputs!$J$1:$AZ$415,$D12,MATCH(S$5,MTInputs!$J$5:$AZ$5,0))</f>
        <v/>
      </c>
      <c r="T12" s="22">
        <f>INDEX(MTInputs!$J$1:$AZ$415,$D12,MATCH(T$5,MTInputs!$J$5:$AZ$5,0))</f>
        <v/>
      </c>
      <c r="U12" s="22">
        <f>INDEX(MTInputs!$J$1:$AZ$415,$D12,MATCH(U$5,MTInputs!$J$5:$AZ$5,0))</f>
        <v/>
      </c>
      <c r="V12" s="22">
        <f>INDEX(MTInputs!$J$1:$AZ$415,$D12,MATCH(V$5,MTInputs!$J$5:$AZ$5,0))</f>
        <v/>
      </c>
      <c r="W12" s="22">
        <f>INDEX(MTInputs!$J$1:$AZ$415,$D12,MATCH(W$5,MTInputs!$J$5:$AZ$5,0))</f>
        <v/>
      </c>
      <c r="X12" s="22">
        <f>INDEX(MTInputs!$J$1:$AZ$415,$D12,MATCH(X$5,MTInputs!$J$5:$AZ$5,0))</f>
        <v/>
      </c>
      <c r="Y12" s="22">
        <f>INDEX(MTInputs!$J$1:$AZ$415,$D12,MATCH(Y$5,MTInputs!$J$5:$AZ$5,0))</f>
        <v/>
      </c>
      <c r="Z12" s="23">
        <f>LOWER(Settings!$C$4)&amp;".mit."&amp;$A12&amp;IF($C12="","","."&amp;$C12&amp;"."&amp;$B12)&amp;IF(INDEX(Variables!$D$5:$D$65,MATCH($A12,Variables!$A$5:$A$65,0))="","","."&amp;INDEX(Variables!$D$5:$D$65,MATCH($A12,Variables!$A$5:$A$65,0)))&amp;"."&amp;Z$5</f>
        <v/>
      </c>
      <c r="AA12" s="21">
        <f>INDEX(MTInputs!$J$1:$AZ$415,$D12,MATCH(AA$5,MTInputs!$J$5:$AZ$5,0))</f>
        <v/>
      </c>
      <c r="AB12" s="22">
        <f>INDEX(MTInputs!$J$1:$AZ$415,$D12,MATCH(AB$5,MTInputs!$J$5:$AZ$5,0))</f>
        <v/>
      </c>
      <c r="AC12" s="22">
        <f>INDEX(MTInputs!$J$1:$AZ$415,$D12,MATCH(AC$5,MTInputs!$J$5:$AZ$5,0))</f>
        <v/>
      </c>
      <c r="AD12" s="22">
        <f>INDEX(MTInputs!$J$1:$AZ$415,$D12,MATCH(AD$5,MTInputs!$J$5:$AZ$5,0))</f>
        <v/>
      </c>
      <c r="AE12" s="22">
        <f>INDEX(MTInputs!$J$1:$AZ$415,$D12,MATCH(AE$5,MTInputs!$J$5:$AZ$5,0))</f>
        <v/>
      </c>
      <c r="AF12" s="22">
        <f>INDEX(MTInputs!$J$1:$AZ$415,$D12,MATCH(AF$5,MTInputs!$J$5:$AZ$5,0))</f>
        <v/>
      </c>
      <c r="AG12" s="22">
        <f>INDEX(MTInputs!$J$1:$AZ$415,$D12,MATCH(AG$5,MTInputs!$J$5:$AZ$5,0))</f>
        <v/>
      </c>
      <c r="AH12" s="22">
        <f>INDEX(MTInputs!$J$1:$AZ$415,$D12,MATCH(AH$5,MTInputs!$J$5:$AZ$5,0))</f>
        <v/>
      </c>
      <c r="AI12" s="22">
        <f>INDEX(MTInputs!$J$1:$AZ$415,$D12,MATCH(AI$5,MTInputs!$J$5:$AZ$5,0))</f>
        <v/>
      </c>
      <c r="AJ12" s="22">
        <f>INDEX(MTInputs!$J$1:$AZ$415,$D12,MATCH(AJ$5,MTInputs!$J$5:$AZ$5,0))</f>
        <v/>
      </c>
      <c r="AK12" s="22">
        <f>INDEX(MTInputs!$J$1:$AZ$415,$D12,MATCH(AK$5,MTInputs!$J$5:$AZ$5,0))</f>
        <v/>
      </c>
      <c r="AL12" s="22">
        <f>INDEX(MTInputs!$J$1:$AZ$415,$D12,MATCH(AL$5,MTInputs!$J$5:$AZ$5,0))</f>
        <v/>
      </c>
      <c r="AM12" s="22">
        <f>INDEX(MTInputs!$J$1:$AZ$415,$D12,MATCH(AM$5,MTInputs!$J$5:$AZ$5,0))</f>
        <v/>
      </c>
      <c r="AN12" s="22">
        <f>INDEX(MTInputs!$J$1:$AZ$415,$D12,MATCH(AN$5,MTInputs!$J$5:$AZ$5,0))</f>
        <v/>
      </c>
    </row>
    <row r="13" hidden="1" outlineLevel="1">
      <c r="A13" s="5" t="inlineStr">
        <is>
          <t>CPLevelStart</t>
        </is>
      </c>
      <c r="B13" s="5" t="inlineStr"/>
      <c r="C13" s="5" t="inlineStr"/>
      <c r="D13" s="6" t="n">
        <v>19</v>
      </c>
      <c r="H13" s="5">
        <f>INDEX(Variables!$B$5:$B$65,MATCH($A13,Variables!$A$5:$A$65,0))&amp;IF($C13="",""," | "&amp;INDEX(Mapping!$B$5:$B$25,MATCH($C13,Mapping!$A$5:$A$25,0))&amp;" | "&amp;INDEX(Mapping!$B$29:$B$38,MATCH($B13,Mapping!$A$29:$A$38,0)))</f>
        <v/>
      </c>
      <c r="I13" s="5">
        <f>INDEX(Variables!$C$5:$C$65,MATCH($A13,Variables!$A$5:$A$65,0))</f>
        <v/>
      </c>
      <c r="J13" s="5">
        <f>INDEX(Variables!$E$5:$E$65,MATCH($A13,Variables!$A$5:$A$65,0))</f>
        <v/>
      </c>
      <c r="K13" s="23">
        <f>LOWER(Settings!$C$4)&amp;".mit."&amp;$A13&amp;IF($C13="","","."&amp;$C13&amp;"."&amp;$B13)&amp;IF(INDEX(Variables!$D$5:$D$65,MATCH($A13,Variables!$A$5:$A$65,0))="","","."&amp;INDEX(Variables!$D$5:$D$65,MATCH($A13,Variables!$A$5:$A$65,0)))&amp;"."&amp;K$5</f>
        <v/>
      </c>
      <c r="L13" s="30">
        <f>INDEX(MTInputs!$J$1:$AZ$415,$D13,MATCH(L$5,MTInputs!$J$5:$AZ$5,0))</f>
        <v/>
      </c>
      <c r="M13" s="31">
        <f>INDEX(MTInputs!$J$1:$AZ$415,$D13,MATCH(M$5,MTInputs!$J$5:$AZ$5,0))</f>
        <v/>
      </c>
      <c r="N13" s="31">
        <f>INDEX(MTInputs!$J$1:$AZ$415,$D13,MATCH(N$5,MTInputs!$J$5:$AZ$5,0))</f>
        <v/>
      </c>
      <c r="O13" s="31">
        <f>INDEX(MTInputs!$J$1:$AZ$415,$D13,MATCH(O$5,MTInputs!$J$5:$AZ$5,0))</f>
        <v/>
      </c>
      <c r="P13" s="31">
        <f>INDEX(MTInputs!$J$1:$AZ$415,$D13,MATCH(P$5,MTInputs!$J$5:$AZ$5,0))</f>
        <v/>
      </c>
      <c r="Q13" s="31">
        <f>INDEX(MTInputs!$J$1:$AZ$415,$D13,MATCH(Q$5,MTInputs!$J$5:$AZ$5,0))</f>
        <v/>
      </c>
      <c r="R13" s="31">
        <f>INDEX(MTInputs!$J$1:$AZ$415,$D13,MATCH(R$5,MTInputs!$J$5:$AZ$5,0))</f>
        <v/>
      </c>
      <c r="S13" s="31">
        <f>INDEX(MTInputs!$J$1:$AZ$415,$D13,MATCH(S$5,MTInputs!$J$5:$AZ$5,0))</f>
        <v/>
      </c>
      <c r="T13" s="31">
        <f>INDEX(MTInputs!$J$1:$AZ$415,$D13,MATCH(T$5,MTInputs!$J$5:$AZ$5,0))</f>
        <v/>
      </c>
      <c r="U13" s="31">
        <f>INDEX(MTInputs!$J$1:$AZ$415,$D13,MATCH(U$5,MTInputs!$J$5:$AZ$5,0))</f>
        <v/>
      </c>
      <c r="V13" s="31">
        <f>INDEX(MTInputs!$J$1:$AZ$415,$D13,MATCH(V$5,MTInputs!$J$5:$AZ$5,0))</f>
        <v/>
      </c>
      <c r="W13" s="31">
        <f>INDEX(MTInputs!$J$1:$AZ$415,$D13,MATCH(W$5,MTInputs!$J$5:$AZ$5,0))</f>
        <v/>
      </c>
      <c r="X13" s="31">
        <f>INDEX(MTInputs!$J$1:$AZ$415,$D13,MATCH(X$5,MTInputs!$J$5:$AZ$5,0))</f>
        <v/>
      </c>
      <c r="Y13" s="31">
        <f>INDEX(MTInputs!$J$1:$AZ$415,$D13,MATCH(Y$5,MTInputs!$J$5:$AZ$5,0))</f>
        <v/>
      </c>
      <c r="Z13" s="23">
        <f>LOWER(Settings!$C$4)&amp;".mit."&amp;$A13&amp;IF($C13="","","."&amp;$C13&amp;"."&amp;$B13)&amp;IF(INDEX(Variables!$D$5:$D$65,MATCH($A13,Variables!$A$5:$A$65,0))="","","."&amp;INDEX(Variables!$D$5:$D$65,MATCH($A13,Variables!$A$5:$A$65,0)))&amp;"."&amp;Z$5</f>
        <v/>
      </c>
      <c r="AA13" s="30">
        <f>INDEX(MTInputs!$J$1:$AZ$415,$D13,MATCH(AA$5,MTInputs!$J$5:$AZ$5,0))</f>
        <v/>
      </c>
      <c r="AB13" s="31">
        <f>INDEX(MTInputs!$J$1:$AZ$415,$D13,MATCH(AB$5,MTInputs!$J$5:$AZ$5,0))</f>
        <v/>
      </c>
      <c r="AC13" s="31">
        <f>INDEX(MTInputs!$J$1:$AZ$415,$D13,MATCH(AC$5,MTInputs!$J$5:$AZ$5,0))</f>
        <v/>
      </c>
      <c r="AD13" s="31">
        <f>INDEX(MTInputs!$J$1:$AZ$415,$D13,MATCH(AD$5,MTInputs!$J$5:$AZ$5,0))</f>
        <v/>
      </c>
      <c r="AE13" s="31">
        <f>INDEX(MTInputs!$J$1:$AZ$415,$D13,MATCH(AE$5,MTInputs!$J$5:$AZ$5,0))</f>
        <v/>
      </c>
      <c r="AF13" s="31">
        <f>INDEX(MTInputs!$J$1:$AZ$415,$D13,MATCH(AF$5,MTInputs!$J$5:$AZ$5,0))</f>
        <v/>
      </c>
      <c r="AG13" s="31">
        <f>INDEX(MTInputs!$J$1:$AZ$415,$D13,MATCH(AG$5,MTInputs!$J$5:$AZ$5,0))</f>
        <v/>
      </c>
      <c r="AH13" s="31">
        <f>INDEX(MTInputs!$J$1:$AZ$415,$D13,MATCH(AH$5,MTInputs!$J$5:$AZ$5,0))</f>
        <v/>
      </c>
      <c r="AI13" s="31">
        <f>INDEX(MTInputs!$J$1:$AZ$415,$D13,MATCH(AI$5,MTInputs!$J$5:$AZ$5,0))</f>
        <v/>
      </c>
      <c r="AJ13" s="31">
        <f>INDEX(MTInputs!$J$1:$AZ$415,$D13,MATCH(AJ$5,MTInputs!$J$5:$AZ$5,0))</f>
        <v/>
      </c>
      <c r="AK13" s="31">
        <f>INDEX(MTInputs!$J$1:$AZ$415,$D13,MATCH(AK$5,MTInputs!$J$5:$AZ$5,0))</f>
        <v/>
      </c>
      <c r="AL13" s="31">
        <f>INDEX(MTInputs!$J$1:$AZ$415,$D13,MATCH(AL$5,MTInputs!$J$5:$AZ$5,0))</f>
        <v/>
      </c>
      <c r="AM13" s="31">
        <f>INDEX(MTInputs!$J$1:$AZ$415,$D13,MATCH(AM$5,MTInputs!$J$5:$AZ$5,0))</f>
        <v/>
      </c>
      <c r="AN13" s="31">
        <f>INDEX(MTInputs!$J$1:$AZ$415,$D13,MATCH(AN$5,MTInputs!$J$5:$AZ$5,0))</f>
        <v/>
      </c>
    </row>
    <row r="14" hidden="1" outlineLevel="1">
      <c r="A14" s="5" t="inlineStr">
        <is>
          <t>CPLevelTarget</t>
        </is>
      </c>
      <c r="B14" s="5" t="inlineStr"/>
      <c r="C14" s="5" t="inlineStr"/>
      <c r="D14" s="6" t="n">
        <v>20</v>
      </c>
      <c r="H14" s="5">
        <f>INDEX(Variables!$B$5:$B$65,MATCH($A14,Variables!$A$5:$A$65,0))&amp;IF($C14="",""," | "&amp;INDEX(Mapping!$B$5:$B$25,MATCH($C14,Mapping!$A$5:$A$25,0))&amp;" | "&amp;INDEX(Mapping!$B$29:$B$38,MATCH($B14,Mapping!$A$29:$A$38,0)))</f>
        <v/>
      </c>
      <c r="I14" s="5">
        <f>INDEX(Variables!$C$5:$C$65,MATCH($A14,Variables!$A$5:$A$65,0))</f>
        <v/>
      </c>
      <c r="J14" s="5">
        <f>INDEX(Variables!$E$5:$E$65,MATCH($A14,Variables!$A$5:$A$65,0))</f>
        <v/>
      </c>
      <c r="K14" s="23">
        <f>LOWER(Settings!$C$4)&amp;".mit."&amp;$A14&amp;IF($C14="","","."&amp;$C14&amp;"."&amp;$B14)&amp;IF(INDEX(Variables!$D$5:$D$65,MATCH($A14,Variables!$A$5:$A$65,0))="","","."&amp;INDEX(Variables!$D$5:$D$65,MATCH($A14,Variables!$A$5:$A$65,0)))&amp;"."&amp;K$5</f>
        <v/>
      </c>
      <c r="L14" s="30">
        <f>INDEX(MTInputs!$J$1:$AZ$415,$D14,MATCH(L$5,MTInputs!$J$5:$AZ$5,0))</f>
        <v/>
      </c>
      <c r="M14" s="31">
        <f>INDEX(MTInputs!$J$1:$AZ$415,$D14,MATCH(M$5,MTInputs!$J$5:$AZ$5,0))</f>
        <v/>
      </c>
      <c r="N14" s="31">
        <f>INDEX(MTInputs!$J$1:$AZ$415,$D14,MATCH(N$5,MTInputs!$J$5:$AZ$5,0))</f>
        <v/>
      </c>
      <c r="O14" s="31">
        <f>INDEX(MTInputs!$J$1:$AZ$415,$D14,MATCH(O$5,MTInputs!$J$5:$AZ$5,0))</f>
        <v/>
      </c>
      <c r="P14" s="31">
        <f>INDEX(MTInputs!$J$1:$AZ$415,$D14,MATCH(P$5,MTInputs!$J$5:$AZ$5,0))</f>
        <v/>
      </c>
      <c r="Q14" s="31">
        <f>INDEX(MTInputs!$J$1:$AZ$415,$D14,MATCH(Q$5,MTInputs!$J$5:$AZ$5,0))</f>
        <v/>
      </c>
      <c r="R14" s="31">
        <f>INDEX(MTInputs!$J$1:$AZ$415,$D14,MATCH(R$5,MTInputs!$J$5:$AZ$5,0))</f>
        <v/>
      </c>
      <c r="S14" s="31">
        <f>INDEX(MTInputs!$J$1:$AZ$415,$D14,MATCH(S$5,MTInputs!$J$5:$AZ$5,0))</f>
        <v/>
      </c>
      <c r="T14" s="31">
        <f>INDEX(MTInputs!$J$1:$AZ$415,$D14,MATCH(T$5,MTInputs!$J$5:$AZ$5,0))</f>
        <v/>
      </c>
      <c r="U14" s="31">
        <f>INDEX(MTInputs!$J$1:$AZ$415,$D14,MATCH(U$5,MTInputs!$J$5:$AZ$5,0))</f>
        <v/>
      </c>
      <c r="V14" s="31">
        <f>INDEX(MTInputs!$J$1:$AZ$415,$D14,MATCH(V$5,MTInputs!$J$5:$AZ$5,0))</f>
        <v/>
      </c>
      <c r="W14" s="31">
        <f>INDEX(MTInputs!$J$1:$AZ$415,$D14,MATCH(W$5,MTInputs!$J$5:$AZ$5,0))</f>
        <v/>
      </c>
      <c r="X14" s="31">
        <f>INDEX(MTInputs!$J$1:$AZ$415,$D14,MATCH(X$5,MTInputs!$J$5:$AZ$5,0))</f>
        <v/>
      </c>
      <c r="Y14" s="31">
        <f>INDEX(MTInputs!$J$1:$AZ$415,$D14,MATCH(Y$5,MTInputs!$J$5:$AZ$5,0))</f>
        <v/>
      </c>
      <c r="Z14" s="23">
        <f>LOWER(Settings!$C$4)&amp;".mit."&amp;$A14&amp;IF($C14="","","."&amp;$C14&amp;"."&amp;$B14)&amp;IF(INDEX(Variables!$D$5:$D$65,MATCH($A14,Variables!$A$5:$A$65,0))="","","."&amp;INDEX(Variables!$D$5:$D$65,MATCH($A14,Variables!$A$5:$A$65,0)))&amp;"."&amp;Z$5</f>
        <v/>
      </c>
      <c r="AA14" s="30">
        <f>INDEX(MTInputs!$J$1:$AZ$415,$D14,MATCH(AA$5,MTInputs!$J$5:$AZ$5,0))</f>
        <v/>
      </c>
      <c r="AB14" s="31">
        <f>INDEX(MTInputs!$J$1:$AZ$415,$D14,MATCH(AB$5,MTInputs!$J$5:$AZ$5,0))</f>
        <v/>
      </c>
      <c r="AC14" s="31">
        <f>INDEX(MTInputs!$J$1:$AZ$415,$D14,MATCH(AC$5,MTInputs!$J$5:$AZ$5,0))</f>
        <v/>
      </c>
      <c r="AD14" s="31">
        <f>INDEX(MTInputs!$J$1:$AZ$415,$D14,MATCH(AD$5,MTInputs!$J$5:$AZ$5,0))</f>
        <v/>
      </c>
      <c r="AE14" s="31">
        <f>INDEX(MTInputs!$J$1:$AZ$415,$D14,MATCH(AE$5,MTInputs!$J$5:$AZ$5,0))</f>
        <v/>
      </c>
      <c r="AF14" s="31">
        <f>INDEX(MTInputs!$J$1:$AZ$415,$D14,MATCH(AF$5,MTInputs!$J$5:$AZ$5,0))</f>
        <v/>
      </c>
      <c r="AG14" s="31">
        <f>INDEX(MTInputs!$J$1:$AZ$415,$D14,MATCH(AG$5,MTInputs!$J$5:$AZ$5,0))</f>
        <v/>
      </c>
      <c r="AH14" s="31">
        <f>INDEX(MTInputs!$J$1:$AZ$415,$D14,MATCH(AH$5,MTInputs!$J$5:$AZ$5,0))</f>
        <v/>
      </c>
      <c r="AI14" s="31">
        <f>INDEX(MTInputs!$J$1:$AZ$415,$D14,MATCH(AI$5,MTInputs!$J$5:$AZ$5,0))</f>
        <v/>
      </c>
      <c r="AJ14" s="31">
        <f>INDEX(MTInputs!$J$1:$AZ$415,$D14,MATCH(AJ$5,MTInputs!$J$5:$AZ$5,0))</f>
        <v/>
      </c>
      <c r="AK14" s="31">
        <f>INDEX(MTInputs!$J$1:$AZ$415,$D14,MATCH(AK$5,MTInputs!$J$5:$AZ$5,0))</f>
        <v/>
      </c>
      <c r="AL14" s="31">
        <f>INDEX(MTInputs!$J$1:$AZ$415,$D14,MATCH(AL$5,MTInputs!$J$5:$AZ$5,0))</f>
        <v/>
      </c>
      <c r="AM14" s="31">
        <f>INDEX(MTInputs!$J$1:$AZ$415,$D14,MATCH(AM$5,MTInputs!$J$5:$AZ$5,0))</f>
        <v/>
      </c>
      <c r="AN14" s="31">
        <f>INDEX(MTInputs!$J$1:$AZ$415,$D14,MATCH(AN$5,MTInputs!$J$5:$AZ$5,0))</f>
        <v/>
      </c>
    </row>
    <row r="15" hidden="1" outlineLevel="1">
      <c r="A15" s="5" t="inlineStr">
        <is>
          <t>CPOutro</t>
        </is>
      </c>
      <c r="B15" s="5" t="inlineStr"/>
      <c r="C15" s="5" t="inlineStr"/>
      <c r="D15" s="6" t="n">
        <v>21</v>
      </c>
      <c r="H15" s="5">
        <f>INDEX(Variables!$B$5:$B$65,MATCH($A15,Variables!$A$5:$A$65,0))&amp;IF($C15="",""," | "&amp;INDEX(Mapping!$B$5:$B$25,MATCH($C15,Mapping!$A$5:$A$25,0))&amp;" | "&amp;INDEX(Mapping!$B$29:$B$38,MATCH($B15,Mapping!$A$29:$A$38,0)))</f>
        <v/>
      </c>
      <c r="I15" s="5">
        <f>INDEX(Variables!$C$5:$C$65,MATCH($A15,Variables!$A$5:$A$65,0))</f>
        <v/>
      </c>
      <c r="J15" s="5">
        <f>INDEX(Variables!$E$5:$E$65,MATCH($A15,Variables!$A$5:$A$65,0))</f>
        <v/>
      </c>
      <c r="K15" s="23">
        <f>LOWER(Settings!$C$4)&amp;".mit."&amp;$A15&amp;IF($C15="","","."&amp;$C15&amp;"."&amp;$B15)&amp;IF(INDEX(Variables!$D$5:$D$65,MATCH($A15,Variables!$A$5:$A$65,0))="","","."&amp;INDEX(Variables!$D$5:$D$65,MATCH($A15,Variables!$A$5:$A$65,0)))&amp;"."&amp;K$5</f>
        <v/>
      </c>
      <c r="L15" s="21">
        <f>INDEX(MTInputs!$J$1:$AZ$415,$D15,MATCH(L$5,MTInputs!$J$5:$AZ$5,0))</f>
        <v/>
      </c>
      <c r="M15" s="22">
        <f>INDEX(MTInputs!$J$1:$AZ$415,$D15,MATCH(M$5,MTInputs!$J$5:$AZ$5,0))</f>
        <v/>
      </c>
      <c r="N15" s="22">
        <f>INDEX(MTInputs!$J$1:$AZ$415,$D15,MATCH(N$5,MTInputs!$J$5:$AZ$5,0))</f>
        <v/>
      </c>
      <c r="O15" s="22">
        <f>INDEX(MTInputs!$J$1:$AZ$415,$D15,MATCH(O$5,MTInputs!$J$5:$AZ$5,0))</f>
        <v/>
      </c>
      <c r="P15" s="22">
        <f>INDEX(MTInputs!$J$1:$AZ$415,$D15,MATCH(P$5,MTInputs!$J$5:$AZ$5,0))</f>
        <v/>
      </c>
      <c r="Q15" s="22">
        <f>INDEX(MTInputs!$J$1:$AZ$415,$D15,MATCH(Q$5,MTInputs!$J$5:$AZ$5,0))</f>
        <v/>
      </c>
      <c r="R15" s="22">
        <f>INDEX(MTInputs!$J$1:$AZ$415,$D15,MATCH(R$5,MTInputs!$J$5:$AZ$5,0))</f>
        <v/>
      </c>
      <c r="S15" s="22">
        <f>INDEX(MTInputs!$J$1:$AZ$415,$D15,MATCH(S$5,MTInputs!$J$5:$AZ$5,0))</f>
        <v/>
      </c>
      <c r="T15" s="22">
        <f>INDEX(MTInputs!$J$1:$AZ$415,$D15,MATCH(T$5,MTInputs!$J$5:$AZ$5,0))</f>
        <v/>
      </c>
      <c r="U15" s="22">
        <f>INDEX(MTInputs!$J$1:$AZ$415,$D15,MATCH(U$5,MTInputs!$J$5:$AZ$5,0))</f>
        <v/>
      </c>
      <c r="V15" s="22">
        <f>INDEX(MTInputs!$J$1:$AZ$415,$D15,MATCH(V$5,MTInputs!$J$5:$AZ$5,0))</f>
        <v/>
      </c>
      <c r="W15" s="22">
        <f>INDEX(MTInputs!$J$1:$AZ$415,$D15,MATCH(W$5,MTInputs!$J$5:$AZ$5,0))</f>
        <v/>
      </c>
      <c r="X15" s="22">
        <f>INDEX(MTInputs!$J$1:$AZ$415,$D15,MATCH(X$5,MTInputs!$J$5:$AZ$5,0))</f>
        <v/>
      </c>
      <c r="Y15" s="22">
        <f>INDEX(MTInputs!$J$1:$AZ$415,$D15,MATCH(Y$5,MTInputs!$J$5:$AZ$5,0))</f>
        <v/>
      </c>
      <c r="Z15" s="23">
        <f>LOWER(Settings!$C$4)&amp;".mit."&amp;$A15&amp;IF($C15="","","."&amp;$C15&amp;"."&amp;$B15)&amp;IF(INDEX(Variables!$D$5:$D$65,MATCH($A15,Variables!$A$5:$A$65,0))="","","."&amp;INDEX(Variables!$D$5:$D$65,MATCH($A15,Variables!$A$5:$A$65,0)))&amp;"."&amp;Z$5</f>
        <v/>
      </c>
      <c r="AA15" s="21">
        <f>INDEX(MTInputs!$J$1:$AZ$415,$D15,MATCH(AA$5,MTInputs!$J$5:$AZ$5,0))</f>
        <v/>
      </c>
      <c r="AB15" s="22">
        <f>INDEX(MTInputs!$J$1:$AZ$415,$D15,MATCH(AB$5,MTInputs!$J$5:$AZ$5,0))</f>
        <v/>
      </c>
      <c r="AC15" s="22">
        <f>INDEX(MTInputs!$J$1:$AZ$415,$D15,MATCH(AC$5,MTInputs!$J$5:$AZ$5,0))</f>
        <v/>
      </c>
      <c r="AD15" s="22">
        <f>INDEX(MTInputs!$J$1:$AZ$415,$D15,MATCH(AD$5,MTInputs!$J$5:$AZ$5,0))</f>
        <v/>
      </c>
      <c r="AE15" s="22">
        <f>INDEX(MTInputs!$J$1:$AZ$415,$D15,MATCH(AE$5,MTInputs!$J$5:$AZ$5,0))</f>
        <v/>
      </c>
      <c r="AF15" s="22">
        <f>INDEX(MTInputs!$J$1:$AZ$415,$D15,MATCH(AF$5,MTInputs!$J$5:$AZ$5,0))</f>
        <v/>
      </c>
      <c r="AG15" s="22">
        <f>INDEX(MTInputs!$J$1:$AZ$415,$D15,MATCH(AG$5,MTInputs!$J$5:$AZ$5,0))</f>
        <v/>
      </c>
      <c r="AH15" s="22">
        <f>INDEX(MTInputs!$J$1:$AZ$415,$D15,MATCH(AH$5,MTInputs!$J$5:$AZ$5,0))</f>
        <v/>
      </c>
      <c r="AI15" s="22">
        <f>INDEX(MTInputs!$J$1:$AZ$415,$D15,MATCH(AI$5,MTInputs!$J$5:$AZ$5,0))</f>
        <v/>
      </c>
      <c r="AJ15" s="22">
        <f>INDEX(MTInputs!$J$1:$AZ$415,$D15,MATCH(AJ$5,MTInputs!$J$5:$AZ$5,0))</f>
        <v/>
      </c>
      <c r="AK15" s="22">
        <f>INDEX(MTInputs!$J$1:$AZ$415,$D15,MATCH(AK$5,MTInputs!$J$5:$AZ$5,0))</f>
        <v/>
      </c>
      <c r="AL15" s="22">
        <f>INDEX(MTInputs!$J$1:$AZ$415,$D15,MATCH(AL$5,MTInputs!$J$5:$AZ$5,0))</f>
        <v/>
      </c>
      <c r="AM15" s="22">
        <f>INDEX(MTInputs!$J$1:$AZ$415,$D15,MATCH(AM$5,MTInputs!$J$5:$AZ$5,0))</f>
        <v/>
      </c>
      <c r="AN15" s="22">
        <f>INDEX(MTInputs!$J$1:$AZ$415,$D15,MATCH(AN$5,MTInputs!$J$5:$AZ$5,0))</f>
        <v/>
      </c>
    </row>
    <row r="16" hidden="1" outlineLevel="1">
      <c r="A16" s="5" t="inlineStr">
        <is>
          <t>ExtendCarbonPriceBeyondOutro</t>
        </is>
      </c>
      <c r="B16" s="5" t="inlineStr"/>
      <c r="C16" s="5" t="inlineStr"/>
      <c r="D16" s="6" t="n">
        <v>265</v>
      </c>
      <c r="H16" s="5">
        <f>INDEX(Variables!$B$5:$B$65,MATCH($A16,Variables!$A$5:$A$65,0))&amp;IF($C16="",""," | "&amp;INDEX(Mapping!$B$5:$B$25,MATCH($C16,Mapping!$A$5:$A$25,0))&amp;" | "&amp;INDEX(Mapping!$B$29:$B$38,MATCH($B16,Mapping!$A$29:$A$38,0)))</f>
        <v/>
      </c>
      <c r="I16" s="5">
        <f>INDEX(Variables!$C$5:$C$65,MATCH($A16,Variables!$A$5:$A$65,0))</f>
        <v/>
      </c>
      <c r="J16" s="5">
        <f>INDEX(Variables!$E$5:$E$65,MATCH($A16,Variables!$A$5:$A$65,0))</f>
        <v/>
      </c>
      <c r="K16" s="23">
        <f>LOWER(Settings!$C$4)&amp;".mit."&amp;$A16&amp;IF($C16="","","."&amp;$C16&amp;"."&amp;$B16)&amp;IF(INDEX(Variables!$D$5:$D$65,MATCH($A16,Variables!$A$5:$A$65,0))="","","."&amp;INDEX(Variables!$D$5:$D$65,MATCH($A16,Variables!$A$5:$A$65,0)))&amp;"."&amp;K$5</f>
        <v/>
      </c>
      <c r="L16" s="30">
        <f>INDEX(MTInputs!$J$1:$AZ$415,$D16,MATCH(L$5,MTInputs!$J$5:$AZ$5,0))</f>
        <v/>
      </c>
      <c r="M16" s="31">
        <f>INDEX(MTInputs!$J$1:$AZ$415,$D16,MATCH(M$5,MTInputs!$J$5:$AZ$5,0))</f>
        <v/>
      </c>
      <c r="N16" s="31">
        <f>INDEX(MTInputs!$J$1:$AZ$415,$D16,MATCH(N$5,MTInputs!$J$5:$AZ$5,0))</f>
        <v/>
      </c>
      <c r="O16" s="31">
        <f>INDEX(MTInputs!$J$1:$AZ$415,$D16,MATCH(O$5,MTInputs!$J$5:$AZ$5,0))</f>
        <v/>
      </c>
      <c r="P16" s="31">
        <f>INDEX(MTInputs!$J$1:$AZ$415,$D16,MATCH(P$5,MTInputs!$J$5:$AZ$5,0))</f>
        <v/>
      </c>
      <c r="Q16" s="31">
        <f>INDEX(MTInputs!$J$1:$AZ$415,$D16,MATCH(Q$5,MTInputs!$J$5:$AZ$5,0))</f>
        <v/>
      </c>
      <c r="R16" s="31">
        <f>INDEX(MTInputs!$J$1:$AZ$415,$D16,MATCH(R$5,MTInputs!$J$5:$AZ$5,0))</f>
        <v/>
      </c>
      <c r="S16" s="31">
        <f>INDEX(MTInputs!$J$1:$AZ$415,$D16,MATCH(S$5,MTInputs!$J$5:$AZ$5,0))</f>
        <v/>
      </c>
      <c r="T16" s="31">
        <f>INDEX(MTInputs!$J$1:$AZ$415,$D16,MATCH(T$5,MTInputs!$J$5:$AZ$5,0))</f>
        <v/>
      </c>
      <c r="U16" s="31">
        <f>INDEX(MTInputs!$J$1:$AZ$415,$D16,MATCH(U$5,MTInputs!$J$5:$AZ$5,0))</f>
        <v/>
      </c>
      <c r="V16" s="31">
        <f>INDEX(MTInputs!$J$1:$AZ$415,$D16,MATCH(V$5,MTInputs!$J$5:$AZ$5,0))</f>
        <v/>
      </c>
      <c r="W16" s="31">
        <f>INDEX(MTInputs!$J$1:$AZ$415,$D16,MATCH(W$5,MTInputs!$J$5:$AZ$5,0))</f>
        <v/>
      </c>
      <c r="X16" s="31">
        <f>INDEX(MTInputs!$J$1:$AZ$415,$D16,MATCH(X$5,MTInputs!$J$5:$AZ$5,0))</f>
        <v/>
      </c>
      <c r="Y16" s="31">
        <f>INDEX(MTInputs!$J$1:$AZ$415,$D16,MATCH(Y$5,MTInputs!$J$5:$AZ$5,0))</f>
        <v/>
      </c>
      <c r="Z16" s="23">
        <f>LOWER(Settings!$C$4)&amp;".mit."&amp;$A16&amp;IF($C16="","","."&amp;$C16&amp;"."&amp;$B16)&amp;IF(INDEX(Variables!$D$5:$D$65,MATCH($A16,Variables!$A$5:$A$65,0))="","","."&amp;INDEX(Variables!$D$5:$D$65,MATCH($A16,Variables!$A$5:$A$65,0)))&amp;"."&amp;Z$5</f>
        <v/>
      </c>
      <c r="AA16" s="30">
        <f>INDEX(MTInputs!$J$1:$AZ$415,$D16,MATCH(AA$5,MTInputs!$J$5:$AZ$5,0))</f>
        <v/>
      </c>
      <c r="AB16" s="31">
        <f>INDEX(MTInputs!$J$1:$AZ$415,$D16,MATCH(AB$5,MTInputs!$J$5:$AZ$5,0))</f>
        <v/>
      </c>
      <c r="AC16" s="31">
        <f>INDEX(MTInputs!$J$1:$AZ$415,$D16,MATCH(AC$5,MTInputs!$J$5:$AZ$5,0))</f>
        <v/>
      </c>
      <c r="AD16" s="31">
        <f>INDEX(MTInputs!$J$1:$AZ$415,$D16,MATCH(AD$5,MTInputs!$J$5:$AZ$5,0))</f>
        <v/>
      </c>
      <c r="AE16" s="31">
        <f>INDEX(MTInputs!$J$1:$AZ$415,$D16,MATCH(AE$5,MTInputs!$J$5:$AZ$5,0))</f>
        <v/>
      </c>
      <c r="AF16" s="31">
        <f>INDEX(MTInputs!$J$1:$AZ$415,$D16,MATCH(AF$5,MTInputs!$J$5:$AZ$5,0))</f>
        <v/>
      </c>
      <c r="AG16" s="31">
        <f>INDEX(MTInputs!$J$1:$AZ$415,$D16,MATCH(AG$5,MTInputs!$J$5:$AZ$5,0))</f>
        <v/>
      </c>
      <c r="AH16" s="31">
        <f>INDEX(MTInputs!$J$1:$AZ$415,$D16,MATCH(AH$5,MTInputs!$J$5:$AZ$5,0))</f>
        <v/>
      </c>
      <c r="AI16" s="31">
        <f>INDEX(MTInputs!$J$1:$AZ$415,$D16,MATCH(AI$5,MTInputs!$J$5:$AZ$5,0))</f>
        <v/>
      </c>
      <c r="AJ16" s="31">
        <f>INDEX(MTInputs!$J$1:$AZ$415,$D16,MATCH(AJ$5,MTInputs!$J$5:$AZ$5,0))</f>
        <v/>
      </c>
      <c r="AK16" s="31">
        <f>INDEX(MTInputs!$J$1:$AZ$415,$D16,MATCH(AK$5,MTInputs!$J$5:$AZ$5,0))</f>
        <v/>
      </c>
      <c r="AL16" s="31">
        <f>INDEX(MTInputs!$J$1:$AZ$415,$D16,MATCH(AL$5,MTInputs!$J$5:$AZ$5,0))</f>
        <v/>
      </c>
      <c r="AM16" s="31">
        <f>INDEX(MTInputs!$J$1:$AZ$415,$D16,MATCH(AM$5,MTInputs!$J$5:$AZ$5,0))</f>
        <v/>
      </c>
      <c r="AN16" s="31">
        <f>INDEX(MTInputs!$J$1:$AZ$415,$D16,MATCH(AN$5,MTInputs!$J$5:$AZ$5,0))</f>
        <v/>
      </c>
    </row>
    <row r="17" hidden="1" outlineLevel="1">
      <c r="H17" s="29" t="inlineStr">
        <is>
          <t>Carbon tax coverage: fuels (MTInputs rows 23-29)</t>
        </is>
      </c>
    </row>
    <row r="18" hidden="1" outlineLevel="1">
      <c r="A18" s="5" t="inlineStr">
        <is>
          <t>ctcov</t>
        </is>
      </c>
      <c r="B18" s="5" t="inlineStr">
        <is>
          <t>coa</t>
        </is>
      </c>
      <c r="C18" s="5" t="inlineStr">
        <is>
          <t>all</t>
        </is>
      </c>
      <c r="D18" s="6" t="n">
        <v>23</v>
      </c>
      <c r="H18" s="5">
        <f>INDEX(Variables!$B$5:$B$65,MATCH($A18,Variables!$A$5:$A$65,0))&amp;IF($C18="",""," | "&amp;INDEX(Mapping!$B$5:$B$25,MATCH($C18,Mapping!$A$5:$A$25,0))&amp;" | "&amp;INDEX(Mapping!$B$29:$B$38,MATCH($B18,Mapping!$A$29:$A$38,0)))</f>
        <v/>
      </c>
      <c r="I18" s="5">
        <f>INDEX(Variables!$C$5:$C$65,MATCH($A18,Variables!$A$5:$A$65,0))</f>
        <v/>
      </c>
      <c r="J18" s="5">
        <f>INDEX(Variables!$E$5:$E$65,MATCH($A18,Variables!$A$5:$A$65,0))</f>
        <v/>
      </c>
      <c r="K18" s="23">
        <f>LOWER(Settings!$C$4)&amp;".mit."&amp;$A18&amp;IF($C18="","","."&amp;$C18&amp;"."&amp;$B18)&amp;IF(INDEX(Variables!$D$5:$D$65,MATCH($A18,Variables!$A$5:$A$65,0))="","","."&amp;INDEX(Variables!$D$5:$D$65,MATCH($A18,Variables!$A$5:$A$65,0)))&amp;"."&amp;K$5</f>
        <v/>
      </c>
      <c r="L18" s="30">
        <f>INDEX(MTInputs!$J$1:$AZ$415,$D18,MATCH(L$5,MTInputs!$J$5:$AZ$5,0))</f>
        <v/>
      </c>
      <c r="M18" s="31">
        <f>INDEX(MTInputs!$J$1:$AZ$415,$D18,MATCH(M$5,MTInputs!$J$5:$AZ$5,0))</f>
        <v/>
      </c>
      <c r="N18" s="31">
        <f>INDEX(MTInputs!$J$1:$AZ$415,$D18,MATCH(N$5,MTInputs!$J$5:$AZ$5,0))</f>
        <v/>
      </c>
      <c r="O18" s="31">
        <f>INDEX(MTInputs!$J$1:$AZ$415,$D18,MATCH(O$5,MTInputs!$J$5:$AZ$5,0))</f>
        <v/>
      </c>
      <c r="P18" s="31">
        <f>INDEX(MTInputs!$J$1:$AZ$415,$D18,MATCH(P$5,MTInputs!$J$5:$AZ$5,0))</f>
        <v/>
      </c>
      <c r="Q18" s="31">
        <f>INDEX(MTInputs!$J$1:$AZ$415,$D18,MATCH(Q$5,MTInputs!$J$5:$AZ$5,0))</f>
        <v/>
      </c>
      <c r="R18" s="31">
        <f>INDEX(MTInputs!$J$1:$AZ$415,$D18,MATCH(R$5,MTInputs!$J$5:$AZ$5,0))</f>
        <v/>
      </c>
      <c r="S18" s="31">
        <f>INDEX(MTInputs!$J$1:$AZ$415,$D18,MATCH(S$5,MTInputs!$J$5:$AZ$5,0))</f>
        <v/>
      </c>
      <c r="T18" s="31">
        <f>INDEX(MTInputs!$J$1:$AZ$415,$D18,MATCH(T$5,MTInputs!$J$5:$AZ$5,0))</f>
        <v/>
      </c>
      <c r="U18" s="31">
        <f>INDEX(MTInputs!$J$1:$AZ$415,$D18,MATCH(U$5,MTInputs!$J$5:$AZ$5,0))</f>
        <v/>
      </c>
      <c r="V18" s="31">
        <f>INDEX(MTInputs!$J$1:$AZ$415,$D18,MATCH(V$5,MTInputs!$J$5:$AZ$5,0))</f>
        <v/>
      </c>
      <c r="W18" s="31">
        <f>INDEX(MTInputs!$J$1:$AZ$415,$D18,MATCH(W$5,MTInputs!$J$5:$AZ$5,0))</f>
        <v/>
      </c>
      <c r="X18" s="31">
        <f>INDEX(MTInputs!$J$1:$AZ$415,$D18,MATCH(X$5,MTInputs!$J$5:$AZ$5,0))</f>
        <v/>
      </c>
      <c r="Y18" s="31">
        <f>INDEX(MTInputs!$J$1:$AZ$415,$D18,MATCH(Y$5,MTInputs!$J$5:$AZ$5,0))</f>
        <v/>
      </c>
      <c r="Z18" s="23">
        <f>LOWER(Settings!$C$4)&amp;".mit."&amp;$A18&amp;IF($C18="","","."&amp;$C18&amp;"."&amp;$B18)&amp;IF(INDEX(Variables!$D$5:$D$65,MATCH($A18,Variables!$A$5:$A$65,0))="","","."&amp;INDEX(Variables!$D$5:$D$65,MATCH($A18,Variables!$A$5:$A$65,0)))&amp;"."&amp;Z$5</f>
        <v/>
      </c>
      <c r="AA18" s="30">
        <f>INDEX(MTInputs!$J$1:$AZ$415,$D18,MATCH(AA$5,MTInputs!$J$5:$AZ$5,0))</f>
        <v/>
      </c>
      <c r="AB18" s="31">
        <f>INDEX(MTInputs!$J$1:$AZ$415,$D18,MATCH(AB$5,MTInputs!$J$5:$AZ$5,0))</f>
        <v/>
      </c>
      <c r="AC18" s="31">
        <f>INDEX(MTInputs!$J$1:$AZ$415,$D18,MATCH(AC$5,MTInputs!$J$5:$AZ$5,0))</f>
        <v/>
      </c>
      <c r="AD18" s="31">
        <f>INDEX(MTInputs!$J$1:$AZ$415,$D18,MATCH(AD$5,MTInputs!$J$5:$AZ$5,0))</f>
        <v/>
      </c>
      <c r="AE18" s="31">
        <f>INDEX(MTInputs!$J$1:$AZ$415,$D18,MATCH(AE$5,MTInputs!$J$5:$AZ$5,0))</f>
        <v/>
      </c>
      <c r="AF18" s="31">
        <f>INDEX(MTInputs!$J$1:$AZ$415,$D18,MATCH(AF$5,MTInputs!$J$5:$AZ$5,0))</f>
        <v/>
      </c>
      <c r="AG18" s="31">
        <f>INDEX(MTInputs!$J$1:$AZ$415,$D18,MATCH(AG$5,MTInputs!$J$5:$AZ$5,0))</f>
        <v/>
      </c>
      <c r="AH18" s="31">
        <f>INDEX(MTInputs!$J$1:$AZ$415,$D18,MATCH(AH$5,MTInputs!$J$5:$AZ$5,0))</f>
        <v/>
      </c>
      <c r="AI18" s="31">
        <f>INDEX(MTInputs!$J$1:$AZ$415,$D18,MATCH(AI$5,MTInputs!$J$5:$AZ$5,0))</f>
        <v/>
      </c>
      <c r="AJ18" s="31">
        <f>INDEX(MTInputs!$J$1:$AZ$415,$D18,MATCH(AJ$5,MTInputs!$J$5:$AZ$5,0))</f>
        <v/>
      </c>
      <c r="AK18" s="31">
        <f>INDEX(MTInputs!$J$1:$AZ$415,$D18,MATCH(AK$5,MTInputs!$J$5:$AZ$5,0))</f>
        <v/>
      </c>
      <c r="AL18" s="31">
        <f>INDEX(MTInputs!$J$1:$AZ$415,$D18,MATCH(AL$5,MTInputs!$J$5:$AZ$5,0))</f>
        <v/>
      </c>
      <c r="AM18" s="31">
        <f>INDEX(MTInputs!$J$1:$AZ$415,$D18,MATCH(AM$5,MTInputs!$J$5:$AZ$5,0))</f>
        <v/>
      </c>
      <c r="AN18" s="31">
        <f>INDEX(MTInputs!$J$1:$AZ$415,$D18,MATCH(AN$5,MTInputs!$J$5:$AZ$5,0))</f>
        <v/>
      </c>
    </row>
    <row r="19" hidden="1" outlineLevel="1">
      <c r="A19" s="5" t="inlineStr">
        <is>
          <t>ctcov</t>
        </is>
      </c>
      <c r="B19" s="5" t="inlineStr">
        <is>
          <t>nga</t>
        </is>
      </c>
      <c r="C19" s="5" t="inlineStr">
        <is>
          <t>all</t>
        </is>
      </c>
      <c r="D19" s="6" t="n">
        <v>24</v>
      </c>
      <c r="H19" s="5">
        <f>INDEX(Variables!$B$5:$B$65,MATCH($A19,Variables!$A$5:$A$65,0))&amp;IF($C19="",""," | "&amp;INDEX(Mapping!$B$5:$B$25,MATCH($C19,Mapping!$A$5:$A$25,0))&amp;" | "&amp;INDEX(Mapping!$B$29:$B$38,MATCH($B19,Mapping!$A$29:$A$38,0)))</f>
        <v/>
      </c>
      <c r="I19" s="5">
        <f>INDEX(Variables!$C$5:$C$65,MATCH($A19,Variables!$A$5:$A$65,0))</f>
        <v/>
      </c>
      <c r="J19" s="5">
        <f>INDEX(Variables!$E$5:$E$65,MATCH($A19,Variables!$A$5:$A$65,0))</f>
        <v/>
      </c>
      <c r="K19" s="23">
        <f>LOWER(Settings!$C$4)&amp;".mit."&amp;$A19&amp;IF($C19="","","."&amp;$C19&amp;"."&amp;$B19)&amp;IF(INDEX(Variables!$D$5:$D$65,MATCH($A19,Variables!$A$5:$A$65,0))="","","."&amp;INDEX(Variables!$D$5:$D$65,MATCH($A19,Variables!$A$5:$A$65,0)))&amp;"."&amp;K$5</f>
        <v/>
      </c>
      <c r="L19" s="30">
        <f>INDEX(MTInputs!$J$1:$AZ$415,$D19,MATCH(L$5,MTInputs!$J$5:$AZ$5,0))</f>
        <v/>
      </c>
      <c r="M19" s="31">
        <f>INDEX(MTInputs!$J$1:$AZ$415,$D19,MATCH(M$5,MTInputs!$J$5:$AZ$5,0))</f>
        <v/>
      </c>
      <c r="N19" s="31">
        <f>INDEX(MTInputs!$J$1:$AZ$415,$D19,MATCH(N$5,MTInputs!$J$5:$AZ$5,0))</f>
        <v/>
      </c>
      <c r="O19" s="31">
        <f>INDEX(MTInputs!$J$1:$AZ$415,$D19,MATCH(O$5,MTInputs!$J$5:$AZ$5,0))</f>
        <v/>
      </c>
      <c r="P19" s="31">
        <f>INDEX(MTInputs!$J$1:$AZ$415,$D19,MATCH(P$5,MTInputs!$J$5:$AZ$5,0))</f>
        <v/>
      </c>
      <c r="Q19" s="31">
        <f>INDEX(MTInputs!$J$1:$AZ$415,$D19,MATCH(Q$5,MTInputs!$J$5:$AZ$5,0))</f>
        <v/>
      </c>
      <c r="R19" s="31">
        <f>INDEX(MTInputs!$J$1:$AZ$415,$D19,MATCH(R$5,MTInputs!$J$5:$AZ$5,0))</f>
        <v/>
      </c>
      <c r="S19" s="31">
        <f>INDEX(MTInputs!$J$1:$AZ$415,$D19,MATCH(S$5,MTInputs!$J$5:$AZ$5,0))</f>
        <v/>
      </c>
      <c r="T19" s="31">
        <f>INDEX(MTInputs!$J$1:$AZ$415,$D19,MATCH(T$5,MTInputs!$J$5:$AZ$5,0))</f>
        <v/>
      </c>
      <c r="U19" s="31">
        <f>INDEX(MTInputs!$J$1:$AZ$415,$D19,MATCH(U$5,MTInputs!$J$5:$AZ$5,0))</f>
        <v/>
      </c>
      <c r="V19" s="31">
        <f>INDEX(MTInputs!$J$1:$AZ$415,$D19,MATCH(V$5,MTInputs!$J$5:$AZ$5,0))</f>
        <v/>
      </c>
      <c r="W19" s="31">
        <f>INDEX(MTInputs!$J$1:$AZ$415,$D19,MATCH(W$5,MTInputs!$J$5:$AZ$5,0))</f>
        <v/>
      </c>
      <c r="X19" s="31">
        <f>INDEX(MTInputs!$J$1:$AZ$415,$D19,MATCH(X$5,MTInputs!$J$5:$AZ$5,0))</f>
        <v/>
      </c>
      <c r="Y19" s="31">
        <f>INDEX(MTInputs!$J$1:$AZ$415,$D19,MATCH(Y$5,MTInputs!$J$5:$AZ$5,0))</f>
        <v/>
      </c>
      <c r="Z19" s="23">
        <f>LOWER(Settings!$C$4)&amp;".mit."&amp;$A19&amp;IF($C19="","","."&amp;$C19&amp;"."&amp;$B19)&amp;IF(INDEX(Variables!$D$5:$D$65,MATCH($A19,Variables!$A$5:$A$65,0))="","","."&amp;INDEX(Variables!$D$5:$D$65,MATCH($A19,Variables!$A$5:$A$65,0)))&amp;"."&amp;Z$5</f>
        <v/>
      </c>
      <c r="AA19" s="30">
        <f>INDEX(MTInputs!$J$1:$AZ$415,$D19,MATCH(AA$5,MTInputs!$J$5:$AZ$5,0))</f>
        <v/>
      </c>
      <c r="AB19" s="31">
        <f>INDEX(MTInputs!$J$1:$AZ$415,$D19,MATCH(AB$5,MTInputs!$J$5:$AZ$5,0))</f>
        <v/>
      </c>
      <c r="AC19" s="31">
        <f>INDEX(MTInputs!$J$1:$AZ$415,$D19,MATCH(AC$5,MTInputs!$J$5:$AZ$5,0))</f>
        <v/>
      </c>
      <c r="AD19" s="31">
        <f>INDEX(MTInputs!$J$1:$AZ$415,$D19,MATCH(AD$5,MTInputs!$J$5:$AZ$5,0))</f>
        <v/>
      </c>
      <c r="AE19" s="31">
        <f>INDEX(MTInputs!$J$1:$AZ$415,$D19,MATCH(AE$5,MTInputs!$J$5:$AZ$5,0))</f>
        <v/>
      </c>
      <c r="AF19" s="31">
        <f>INDEX(MTInputs!$J$1:$AZ$415,$D19,MATCH(AF$5,MTInputs!$J$5:$AZ$5,0))</f>
        <v/>
      </c>
      <c r="AG19" s="31">
        <f>INDEX(MTInputs!$J$1:$AZ$415,$D19,MATCH(AG$5,MTInputs!$J$5:$AZ$5,0))</f>
        <v/>
      </c>
      <c r="AH19" s="31">
        <f>INDEX(MTInputs!$J$1:$AZ$415,$D19,MATCH(AH$5,MTInputs!$J$5:$AZ$5,0))</f>
        <v/>
      </c>
      <c r="AI19" s="31">
        <f>INDEX(MTInputs!$J$1:$AZ$415,$D19,MATCH(AI$5,MTInputs!$J$5:$AZ$5,0))</f>
        <v/>
      </c>
      <c r="AJ19" s="31">
        <f>INDEX(MTInputs!$J$1:$AZ$415,$D19,MATCH(AJ$5,MTInputs!$J$5:$AZ$5,0))</f>
        <v/>
      </c>
      <c r="AK19" s="31">
        <f>INDEX(MTInputs!$J$1:$AZ$415,$D19,MATCH(AK$5,MTInputs!$J$5:$AZ$5,0))</f>
        <v/>
      </c>
      <c r="AL19" s="31">
        <f>INDEX(MTInputs!$J$1:$AZ$415,$D19,MATCH(AL$5,MTInputs!$J$5:$AZ$5,0))</f>
        <v/>
      </c>
      <c r="AM19" s="31">
        <f>INDEX(MTInputs!$J$1:$AZ$415,$D19,MATCH(AM$5,MTInputs!$J$5:$AZ$5,0))</f>
        <v/>
      </c>
      <c r="AN19" s="31">
        <f>INDEX(MTInputs!$J$1:$AZ$415,$D19,MATCH(AN$5,MTInputs!$J$5:$AZ$5,0))</f>
        <v/>
      </c>
    </row>
    <row r="20" hidden="1" outlineLevel="1">
      <c r="A20" s="5" t="inlineStr">
        <is>
          <t>ctcov</t>
        </is>
      </c>
      <c r="B20" s="5" t="inlineStr">
        <is>
          <t>gso</t>
        </is>
      </c>
      <c r="C20" s="5" t="inlineStr">
        <is>
          <t>all</t>
        </is>
      </c>
      <c r="D20" s="6" t="n">
        <v>25</v>
      </c>
      <c r="H20" s="5">
        <f>INDEX(Variables!$B$5:$B$65,MATCH($A20,Variables!$A$5:$A$65,0))&amp;IF($C20="",""," | "&amp;INDEX(Mapping!$B$5:$B$25,MATCH($C20,Mapping!$A$5:$A$25,0))&amp;" | "&amp;INDEX(Mapping!$B$29:$B$38,MATCH($B20,Mapping!$A$29:$A$38,0)))</f>
        <v/>
      </c>
      <c r="I20" s="5">
        <f>INDEX(Variables!$C$5:$C$65,MATCH($A20,Variables!$A$5:$A$65,0))</f>
        <v/>
      </c>
      <c r="J20" s="5">
        <f>INDEX(Variables!$E$5:$E$65,MATCH($A20,Variables!$A$5:$A$65,0))</f>
        <v/>
      </c>
      <c r="K20" s="23">
        <f>LOWER(Settings!$C$4)&amp;".mit."&amp;$A20&amp;IF($C20="","","."&amp;$C20&amp;"."&amp;$B20)&amp;IF(INDEX(Variables!$D$5:$D$65,MATCH($A20,Variables!$A$5:$A$65,0))="","","."&amp;INDEX(Variables!$D$5:$D$65,MATCH($A20,Variables!$A$5:$A$65,0)))&amp;"."&amp;K$5</f>
        <v/>
      </c>
      <c r="L20" s="30">
        <f>INDEX(MTInputs!$J$1:$AZ$415,$D20,MATCH(L$5,MTInputs!$J$5:$AZ$5,0))</f>
        <v/>
      </c>
      <c r="M20" s="31">
        <f>INDEX(MTInputs!$J$1:$AZ$415,$D20,MATCH(M$5,MTInputs!$J$5:$AZ$5,0))</f>
        <v/>
      </c>
      <c r="N20" s="31">
        <f>INDEX(MTInputs!$J$1:$AZ$415,$D20,MATCH(N$5,MTInputs!$J$5:$AZ$5,0))</f>
        <v/>
      </c>
      <c r="O20" s="31">
        <f>INDEX(MTInputs!$J$1:$AZ$415,$D20,MATCH(O$5,MTInputs!$J$5:$AZ$5,0))</f>
        <v/>
      </c>
      <c r="P20" s="31">
        <f>INDEX(MTInputs!$J$1:$AZ$415,$D20,MATCH(P$5,MTInputs!$J$5:$AZ$5,0))</f>
        <v/>
      </c>
      <c r="Q20" s="31">
        <f>INDEX(MTInputs!$J$1:$AZ$415,$D20,MATCH(Q$5,MTInputs!$J$5:$AZ$5,0))</f>
        <v/>
      </c>
      <c r="R20" s="31">
        <f>INDEX(MTInputs!$J$1:$AZ$415,$D20,MATCH(R$5,MTInputs!$J$5:$AZ$5,0))</f>
        <v/>
      </c>
      <c r="S20" s="31">
        <f>INDEX(MTInputs!$J$1:$AZ$415,$D20,MATCH(S$5,MTInputs!$J$5:$AZ$5,0))</f>
        <v/>
      </c>
      <c r="T20" s="31">
        <f>INDEX(MTInputs!$J$1:$AZ$415,$D20,MATCH(T$5,MTInputs!$J$5:$AZ$5,0))</f>
        <v/>
      </c>
      <c r="U20" s="31">
        <f>INDEX(MTInputs!$J$1:$AZ$415,$D20,MATCH(U$5,MTInputs!$J$5:$AZ$5,0))</f>
        <v/>
      </c>
      <c r="V20" s="31">
        <f>INDEX(MTInputs!$J$1:$AZ$415,$D20,MATCH(V$5,MTInputs!$J$5:$AZ$5,0))</f>
        <v/>
      </c>
      <c r="W20" s="31">
        <f>INDEX(MTInputs!$J$1:$AZ$415,$D20,MATCH(W$5,MTInputs!$J$5:$AZ$5,0))</f>
        <v/>
      </c>
      <c r="X20" s="31">
        <f>INDEX(MTInputs!$J$1:$AZ$415,$D20,MATCH(X$5,MTInputs!$J$5:$AZ$5,0))</f>
        <v/>
      </c>
      <c r="Y20" s="31">
        <f>INDEX(MTInputs!$J$1:$AZ$415,$D20,MATCH(Y$5,MTInputs!$J$5:$AZ$5,0))</f>
        <v/>
      </c>
      <c r="Z20" s="23">
        <f>LOWER(Settings!$C$4)&amp;".mit."&amp;$A20&amp;IF($C20="","","."&amp;$C20&amp;"."&amp;$B20)&amp;IF(INDEX(Variables!$D$5:$D$65,MATCH($A20,Variables!$A$5:$A$65,0))="","","."&amp;INDEX(Variables!$D$5:$D$65,MATCH($A20,Variables!$A$5:$A$65,0)))&amp;"."&amp;Z$5</f>
        <v/>
      </c>
      <c r="AA20" s="30">
        <f>INDEX(MTInputs!$J$1:$AZ$415,$D20,MATCH(AA$5,MTInputs!$J$5:$AZ$5,0))</f>
        <v/>
      </c>
      <c r="AB20" s="31">
        <f>INDEX(MTInputs!$J$1:$AZ$415,$D20,MATCH(AB$5,MTInputs!$J$5:$AZ$5,0))</f>
        <v/>
      </c>
      <c r="AC20" s="31">
        <f>INDEX(MTInputs!$J$1:$AZ$415,$D20,MATCH(AC$5,MTInputs!$J$5:$AZ$5,0))</f>
        <v/>
      </c>
      <c r="AD20" s="31">
        <f>INDEX(MTInputs!$J$1:$AZ$415,$D20,MATCH(AD$5,MTInputs!$J$5:$AZ$5,0))</f>
        <v/>
      </c>
      <c r="AE20" s="31">
        <f>INDEX(MTInputs!$J$1:$AZ$415,$D20,MATCH(AE$5,MTInputs!$J$5:$AZ$5,0))</f>
        <v/>
      </c>
      <c r="AF20" s="31">
        <f>INDEX(MTInputs!$J$1:$AZ$415,$D20,MATCH(AF$5,MTInputs!$J$5:$AZ$5,0))</f>
        <v/>
      </c>
      <c r="AG20" s="31">
        <f>INDEX(MTInputs!$J$1:$AZ$415,$D20,MATCH(AG$5,MTInputs!$J$5:$AZ$5,0))</f>
        <v/>
      </c>
      <c r="AH20" s="31">
        <f>INDEX(MTInputs!$J$1:$AZ$415,$D20,MATCH(AH$5,MTInputs!$J$5:$AZ$5,0))</f>
        <v/>
      </c>
      <c r="AI20" s="31">
        <f>INDEX(MTInputs!$J$1:$AZ$415,$D20,MATCH(AI$5,MTInputs!$J$5:$AZ$5,0))</f>
        <v/>
      </c>
      <c r="AJ20" s="31">
        <f>INDEX(MTInputs!$J$1:$AZ$415,$D20,MATCH(AJ$5,MTInputs!$J$5:$AZ$5,0))</f>
        <v/>
      </c>
      <c r="AK20" s="31">
        <f>INDEX(MTInputs!$J$1:$AZ$415,$D20,MATCH(AK$5,MTInputs!$J$5:$AZ$5,0))</f>
        <v/>
      </c>
      <c r="AL20" s="31">
        <f>INDEX(MTInputs!$J$1:$AZ$415,$D20,MATCH(AL$5,MTInputs!$J$5:$AZ$5,0))</f>
        <v/>
      </c>
      <c r="AM20" s="31">
        <f>INDEX(MTInputs!$J$1:$AZ$415,$D20,MATCH(AM$5,MTInputs!$J$5:$AZ$5,0))</f>
        <v/>
      </c>
      <c r="AN20" s="31">
        <f>INDEX(MTInputs!$J$1:$AZ$415,$D20,MATCH(AN$5,MTInputs!$J$5:$AZ$5,0))</f>
        <v/>
      </c>
    </row>
    <row r="21" hidden="1" outlineLevel="1">
      <c r="A21" s="5" t="inlineStr">
        <is>
          <t>ctcov</t>
        </is>
      </c>
      <c r="B21" s="5" t="inlineStr">
        <is>
          <t>die</t>
        </is>
      </c>
      <c r="C21" s="5" t="inlineStr">
        <is>
          <t>all</t>
        </is>
      </c>
      <c r="D21" s="6" t="n">
        <v>26</v>
      </c>
      <c r="H21" s="5">
        <f>INDEX(Variables!$B$5:$B$65,MATCH($A21,Variables!$A$5:$A$65,0))&amp;IF($C21="",""," | "&amp;INDEX(Mapping!$B$5:$B$25,MATCH($C21,Mapping!$A$5:$A$25,0))&amp;" | "&amp;INDEX(Mapping!$B$29:$B$38,MATCH($B21,Mapping!$A$29:$A$38,0)))</f>
        <v/>
      </c>
      <c r="I21" s="5">
        <f>INDEX(Variables!$C$5:$C$65,MATCH($A21,Variables!$A$5:$A$65,0))</f>
        <v/>
      </c>
      <c r="J21" s="5">
        <f>INDEX(Variables!$E$5:$E$65,MATCH($A21,Variables!$A$5:$A$65,0))</f>
        <v/>
      </c>
      <c r="K21" s="23">
        <f>LOWER(Settings!$C$4)&amp;".mit."&amp;$A21&amp;IF($C21="","","."&amp;$C21&amp;"."&amp;$B21)&amp;IF(INDEX(Variables!$D$5:$D$65,MATCH($A21,Variables!$A$5:$A$65,0))="","","."&amp;INDEX(Variables!$D$5:$D$65,MATCH($A21,Variables!$A$5:$A$65,0)))&amp;"."&amp;K$5</f>
        <v/>
      </c>
      <c r="L21" s="30">
        <f>INDEX(MTInputs!$J$1:$AZ$415,$D21,MATCH(L$5,MTInputs!$J$5:$AZ$5,0))</f>
        <v/>
      </c>
      <c r="M21" s="31">
        <f>INDEX(MTInputs!$J$1:$AZ$415,$D21,MATCH(M$5,MTInputs!$J$5:$AZ$5,0))</f>
        <v/>
      </c>
      <c r="N21" s="31">
        <f>INDEX(MTInputs!$J$1:$AZ$415,$D21,MATCH(N$5,MTInputs!$J$5:$AZ$5,0))</f>
        <v/>
      </c>
      <c r="O21" s="31">
        <f>INDEX(MTInputs!$J$1:$AZ$415,$D21,MATCH(O$5,MTInputs!$J$5:$AZ$5,0))</f>
        <v/>
      </c>
      <c r="P21" s="31">
        <f>INDEX(MTInputs!$J$1:$AZ$415,$D21,MATCH(P$5,MTInputs!$J$5:$AZ$5,0))</f>
        <v/>
      </c>
      <c r="Q21" s="31">
        <f>INDEX(MTInputs!$J$1:$AZ$415,$D21,MATCH(Q$5,MTInputs!$J$5:$AZ$5,0))</f>
        <v/>
      </c>
      <c r="R21" s="31">
        <f>INDEX(MTInputs!$J$1:$AZ$415,$D21,MATCH(R$5,MTInputs!$J$5:$AZ$5,0))</f>
        <v/>
      </c>
      <c r="S21" s="31">
        <f>INDEX(MTInputs!$J$1:$AZ$415,$D21,MATCH(S$5,MTInputs!$J$5:$AZ$5,0))</f>
        <v/>
      </c>
      <c r="T21" s="31">
        <f>INDEX(MTInputs!$J$1:$AZ$415,$D21,MATCH(T$5,MTInputs!$J$5:$AZ$5,0))</f>
        <v/>
      </c>
      <c r="U21" s="31">
        <f>INDEX(MTInputs!$J$1:$AZ$415,$D21,MATCH(U$5,MTInputs!$J$5:$AZ$5,0))</f>
        <v/>
      </c>
      <c r="V21" s="31">
        <f>INDEX(MTInputs!$J$1:$AZ$415,$D21,MATCH(V$5,MTInputs!$J$5:$AZ$5,0))</f>
        <v/>
      </c>
      <c r="W21" s="31">
        <f>INDEX(MTInputs!$J$1:$AZ$415,$D21,MATCH(W$5,MTInputs!$J$5:$AZ$5,0))</f>
        <v/>
      </c>
      <c r="X21" s="31">
        <f>INDEX(MTInputs!$J$1:$AZ$415,$D21,MATCH(X$5,MTInputs!$J$5:$AZ$5,0))</f>
        <v/>
      </c>
      <c r="Y21" s="31">
        <f>INDEX(MTInputs!$J$1:$AZ$415,$D21,MATCH(Y$5,MTInputs!$J$5:$AZ$5,0))</f>
        <v/>
      </c>
      <c r="Z21" s="23">
        <f>LOWER(Settings!$C$4)&amp;".mit."&amp;$A21&amp;IF($C21="","","."&amp;$C21&amp;"."&amp;$B21)&amp;IF(INDEX(Variables!$D$5:$D$65,MATCH($A21,Variables!$A$5:$A$65,0))="","","."&amp;INDEX(Variables!$D$5:$D$65,MATCH($A21,Variables!$A$5:$A$65,0)))&amp;"."&amp;Z$5</f>
        <v/>
      </c>
      <c r="AA21" s="30">
        <f>INDEX(MTInputs!$J$1:$AZ$415,$D21,MATCH(AA$5,MTInputs!$J$5:$AZ$5,0))</f>
        <v/>
      </c>
      <c r="AB21" s="31">
        <f>INDEX(MTInputs!$J$1:$AZ$415,$D21,MATCH(AB$5,MTInputs!$J$5:$AZ$5,0))</f>
        <v/>
      </c>
      <c r="AC21" s="31">
        <f>INDEX(MTInputs!$J$1:$AZ$415,$D21,MATCH(AC$5,MTInputs!$J$5:$AZ$5,0))</f>
        <v/>
      </c>
      <c r="AD21" s="31">
        <f>INDEX(MTInputs!$J$1:$AZ$415,$D21,MATCH(AD$5,MTInputs!$J$5:$AZ$5,0))</f>
        <v/>
      </c>
      <c r="AE21" s="31">
        <f>INDEX(MTInputs!$J$1:$AZ$415,$D21,MATCH(AE$5,MTInputs!$J$5:$AZ$5,0))</f>
        <v/>
      </c>
      <c r="AF21" s="31">
        <f>INDEX(MTInputs!$J$1:$AZ$415,$D21,MATCH(AF$5,MTInputs!$J$5:$AZ$5,0))</f>
        <v/>
      </c>
      <c r="AG21" s="31">
        <f>INDEX(MTInputs!$J$1:$AZ$415,$D21,MATCH(AG$5,MTInputs!$J$5:$AZ$5,0))</f>
        <v/>
      </c>
      <c r="AH21" s="31">
        <f>INDEX(MTInputs!$J$1:$AZ$415,$D21,MATCH(AH$5,MTInputs!$J$5:$AZ$5,0))</f>
        <v/>
      </c>
      <c r="AI21" s="31">
        <f>INDEX(MTInputs!$J$1:$AZ$415,$D21,MATCH(AI$5,MTInputs!$J$5:$AZ$5,0))</f>
        <v/>
      </c>
      <c r="AJ21" s="31">
        <f>INDEX(MTInputs!$J$1:$AZ$415,$D21,MATCH(AJ$5,MTInputs!$J$5:$AZ$5,0))</f>
        <v/>
      </c>
      <c r="AK21" s="31">
        <f>INDEX(MTInputs!$J$1:$AZ$415,$D21,MATCH(AK$5,MTInputs!$J$5:$AZ$5,0))</f>
        <v/>
      </c>
      <c r="AL21" s="31">
        <f>INDEX(MTInputs!$J$1:$AZ$415,$D21,MATCH(AL$5,MTInputs!$J$5:$AZ$5,0))</f>
        <v/>
      </c>
      <c r="AM21" s="31">
        <f>INDEX(MTInputs!$J$1:$AZ$415,$D21,MATCH(AM$5,MTInputs!$J$5:$AZ$5,0))</f>
        <v/>
      </c>
      <c r="AN21" s="31">
        <f>INDEX(MTInputs!$J$1:$AZ$415,$D21,MATCH(AN$5,MTInputs!$J$5:$AZ$5,0))</f>
        <v/>
      </c>
    </row>
    <row r="22" hidden="1" outlineLevel="1">
      <c r="A22" s="5" t="inlineStr">
        <is>
          <t>ctcov</t>
        </is>
      </c>
      <c r="B22" s="5" t="inlineStr">
        <is>
          <t>lpg</t>
        </is>
      </c>
      <c r="C22" s="5" t="inlineStr">
        <is>
          <t>all</t>
        </is>
      </c>
      <c r="D22" s="6" t="n">
        <v>27</v>
      </c>
      <c r="H22" s="5">
        <f>INDEX(Variables!$B$5:$B$65,MATCH($A22,Variables!$A$5:$A$65,0))&amp;IF($C22="",""," | "&amp;INDEX(Mapping!$B$5:$B$25,MATCH($C22,Mapping!$A$5:$A$25,0))&amp;" | "&amp;INDEX(Mapping!$B$29:$B$38,MATCH($B22,Mapping!$A$29:$A$38,0)))</f>
        <v/>
      </c>
      <c r="I22" s="5">
        <f>INDEX(Variables!$C$5:$C$65,MATCH($A22,Variables!$A$5:$A$65,0))</f>
        <v/>
      </c>
      <c r="J22" s="5">
        <f>INDEX(Variables!$E$5:$E$65,MATCH($A22,Variables!$A$5:$A$65,0))</f>
        <v/>
      </c>
      <c r="K22" s="23">
        <f>LOWER(Settings!$C$4)&amp;".mit."&amp;$A22&amp;IF($C22="","","."&amp;$C22&amp;"."&amp;$B22)&amp;IF(INDEX(Variables!$D$5:$D$65,MATCH($A22,Variables!$A$5:$A$65,0))="","","."&amp;INDEX(Variables!$D$5:$D$65,MATCH($A22,Variables!$A$5:$A$65,0)))&amp;"."&amp;K$5</f>
        <v/>
      </c>
      <c r="L22" s="30">
        <f>INDEX(MTInputs!$J$1:$AZ$415,$D22,MATCH(L$5,MTInputs!$J$5:$AZ$5,0))</f>
        <v/>
      </c>
      <c r="M22" s="31">
        <f>INDEX(MTInputs!$J$1:$AZ$415,$D22,MATCH(M$5,MTInputs!$J$5:$AZ$5,0))</f>
        <v/>
      </c>
      <c r="N22" s="31">
        <f>INDEX(MTInputs!$J$1:$AZ$415,$D22,MATCH(N$5,MTInputs!$J$5:$AZ$5,0))</f>
        <v/>
      </c>
      <c r="O22" s="31">
        <f>INDEX(MTInputs!$J$1:$AZ$415,$D22,MATCH(O$5,MTInputs!$J$5:$AZ$5,0))</f>
        <v/>
      </c>
      <c r="P22" s="31">
        <f>INDEX(MTInputs!$J$1:$AZ$415,$D22,MATCH(P$5,MTInputs!$J$5:$AZ$5,0))</f>
        <v/>
      </c>
      <c r="Q22" s="31">
        <f>INDEX(MTInputs!$J$1:$AZ$415,$D22,MATCH(Q$5,MTInputs!$J$5:$AZ$5,0))</f>
        <v/>
      </c>
      <c r="R22" s="31">
        <f>INDEX(MTInputs!$J$1:$AZ$415,$D22,MATCH(R$5,MTInputs!$J$5:$AZ$5,0))</f>
        <v/>
      </c>
      <c r="S22" s="31">
        <f>INDEX(MTInputs!$J$1:$AZ$415,$D22,MATCH(S$5,MTInputs!$J$5:$AZ$5,0))</f>
        <v/>
      </c>
      <c r="T22" s="31">
        <f>INDEX(MTInputs!$J$1:$AZ$415,$D22,MATCH(T$5,MTInputs!$J$5:$AZ$5,0))</f>
        <v/>
      </c>
      <c r="U22" s="31">
        <f>INDEX(MTInputs!$J$1:$AZ$415,$D22,MATCH(U$5,MTInputs!$J$5:$AZ$5,0))</f>
        <v/>
      </c>
      <c r="V22" s="31">
        <f>INDEX(MTInputs!$J$1:$AZ$415,$D22,MATCH(V$5,MTInputs!$J$5:$AZ$5,0))</f>
        <v/>
      </c>
      <c r="W22" s="31">
        <f>INDEX(MTInputs!$J$1:$AZ$415,$D22,MATCH(W$5,MTInputs!$J$5:$AZ$5,0))</f>
        <v/>
      </c>
      <c r="X22" s="31">
        <f>INDEX(MTInputs!$J$1:$AZ$415,$D22,MATCH(X$5,MTInputs!$J$5:$AZ$5,0))</f>
        <v/>
      </c>
      <c r="Y22" s="31">
        <f>INDEX(MTInputs!$J$1:$AZ$415,$D22,MATCH(Y$5,MTInputs!$J$5:$AZ$5,0))</f>
        <v/>
      </c>
      <c r="Z22" s="23">
        <f>LOWER(Settings!$C$4)&amp;".mit."&amp;$A22&amp;IF($C22="","","."&amp;$C22&amp;"."&amp;$B22)&amp;IF(INDEX(Variables!$D$5:$D$65,MATCH($A22,Variables!$A$5:$A$65,0))="","","."&amp;INDEX(Variables!$D$5:$D$65,MATCH($A22,Variables!$A$5:$A$65,0)))&amp;"."&amp;Z$5</f>
        <v/>
      </c>
      <c r="AA22" s="30">
        <f>INDEX(MTInputs!$J$1:$AZ$415,$D22,MATCH(AA$5,MTInputs!$J$5:$AZ$5,0))</f>
        <v/>
      </c>
      <c r="AB22" s="31">
        <f>INDEX(MTInputs!$J$1:$AZ$415,$D22,MATCH(AB$5,MTInputs!$J$5:$AZ$5,0))</f>
        <v/>
      </c>
      <c r="AC22" s="31">
        <f>INDEX(MTInputs!$J$1:$AZ$415,$D22,MATCH(AC$5,MTInputs!$J$5:$AZ$5,0))</f>
        <v/>
      </c>
      <c r="AD22" s="31">
        <f>INDEX(MTInputs!$J$1:$AZ$415,$D22,MATCH(AD$5,MTInputs!$J$5:$AZ$5,0))</f>
        <v/>
      </c>
      <c r="AE22" s="31">
        <f>INDEX(MTInputs!$J$1:$AZ$415,$D22,MATCH(AE$5,MTInputs!$J$5:$AZ$5,0))</f>
        <v/>
      </c>
      <c r="AF22" s="31">
        <f>INDEX(MTInputs!$J$1:$AZ$415,$D22,MATCH(AF$5,MTInputs!$J$5:$AZ$5,0))</f>
        <v/>
      </c>
      <c r="AG22" s="31">
        <f>INDEX(MTInputs!$J$1:$AZ$415,$D22,MATCH(AG$5,MTInputs!$J$5:$AZ$5,0))</f>
        <v/>
      </c>
      <c r="AH22" s="31">
        <f>INDEX(MTInputs!$J$1:$AZ$415,$D22,MATCH(AH$5,MTInputs!$J$5:$AZ$5,0))</f>
        <v/>
      </c>
      <c r="AI22" s="31">
        <f>INDEX(MTInputs!$J$1:$AZ$415,$D22,MATCH(AI$5,MTInputs!$J$5:$AZ$5,0))</f>
        <v/>
      </c>
      <c r="AJ22" s="31">
        <f>INDEX(MTInputs!$J$1:$AZ$415,$D22,MATCH(AJ$5,MTInputs!$J$5:$AZ$5,0))</f>
        <v/>
      </c>
      <c r="AK22" s="31">
        <f>INDEX(MTInputs!$J$1:$AZ$415,$D22,MATCH(AK$5,MTInputs!$J$5:$AZ$5,0))</f>
        <v/>
      </c>
      <c r="AL22" s="31">
        <f>INDEX(MTInputs!$J$1:$AZ$415,$D22,MATCH(AL$5,MTInputs!$J$5:$AZ$5,0))</f>
        <v/>
      </c>
      <c r="AM22" s="31">
        <f>INDEX(MTInputs!$J$1:$AZ$415,$D22,MATCH(AM$5,MTInputs!$J$5:$AZ$5,0))</f>
        <v/>
      </c>
      <c r="AN22" s="31">
        <f>INDEX(MTInputs!$J$1:$AZ$415,$D22,MATCH(AN$5,MTInputs!$J$5:$AZ$5,0))</f>
        <v/>
      </c>
    </row>
    <row r="23" hidden="1" outlineLevel="1">
      <c r="A23" s="5" t="inlineStr">
        <is>
          <t>ctcov</t>
        </is>
      </c>
      <c r="B23" s="5" t="inlineStr">
        <is>
          <t>ker</t>
        </is>
      </c>
      <c r="C23" s="5" t="inlineStr">
        <is>
          <t>all</t>
        </is>
      </c>
      <c r="D23" s="6" t="n">
        <v>28</v>
      </c>
      <c r="H23" s="5">
        <f>INDEX(Variables!$B$5:$B$65,MATCH($A23,Variables!$A$5:$A$65,0))&amp;IF($C23="",""," | "&amp;INDEX(Mapping!$B$5:$B$25,MATCH($C23,Mapping!$A$5:$A$25,0))&amp;" | "&amp;INDEX(Mapping!$B$29:$B$38,MATCH($B23,Mapping!$A$29:$A$38,0)))</f>
        <v/>
      </c>
      <c r="I23" s="5">
        <f>INDEX(Variables!$C$5:$C$65,MATCH($A23,Variables!$A$5:$A$65,0))</f>
        <v/>
      </c>
      <c r="J23" s="5">
        <f>INDEX(Variables!$E$5:$E$65,MATCH($A23,Variables!$A$5:$A$65,0))</f>
        <v/>
      </c>
      <c r="K23" s="23">
        <f>LOWER(Settings!$C$4)&amp;".mit."&amp;$A23&amp;IF($C23="","","."&amp;$C23&amp;"."&amp;$B23)&amp;IF(INDEX(Variables!$D$5:$D$65,MATCH($A23,Variables!$A$5:$A$65,0))="","","."&amp;INDEX(Variables!$D$5:$D$65,MATCH($A23,Variables!$A$5:$A$65,0)))&amp;"."&amp;K$5</f>
        <v/>
      </c>
      <c r="L23" s="30">
        <f>INDEX(MTInputs!$J$1:$AZ$415,$D23,MATCH(L$5,MTInputs!$J$5:$AZ$5,0))</f>
        <v/>
      </c>
      <c r="M23" s="31">
        <f>INDEX(MTInputs!$J$1:$AZ$415,$D23,MATCH(M$5,MTInputs!$J$5:$AZ$5,0))</f>
        <v/>
      </c>
      <c r="N23" s="31">
        <f>INDEX(MTInputs!$J$1:$AZ$415,$D23,MATCH(N$5,MTInputs!$J$5:$AZ$5,0))</f>
        <v/>
      </c>
      <c r="O23" s="31">
        <f>INDEX(MTInputs!$J$1:$AZ$415,$D23,MATCH(O$5,MTInputs!$J$5:$AZ$5,0))</f>
        <v/>
      </c>
      <c r="P23" s="31">
        <f>INDEX(MTInputs!$J$1:$AZ$415,$D23,MATCH(P$5,MTInputs!$J$5:$AZ$5,0))</f>
        <v/>
      </c>
      <c r="Q23" s="31">
        <f>INDEX(MTInputs!$J$1:$AZ$415,$D23,MATCH(Q$5,MTInputs!$J$5:$AZ$5,0))</f>
        <v/>
      </c>
      <c r="R23" s="31">
        <f>INDEX(MTInputs!$J$1:$AZ$415,$D23,MATCH(R$5,MTInputs!$J$5:$AZ$5,0))</f>
        <v/>
      </c>
      <c r="S23" s="31">
        <f>INDEX(MTInputs!$J$1:$AZ$415,$D23,MATCH(S$5,MTInputs!$J$5:$AZ$5,0))</f>
        <v/>
      </c>
      <c r="T23" s="31">
        <f>INDEX(MTInputs!$J$1:$AZ$415,$D23,MATCH(T$5,MTInputs!$J$5:$AZ$5,0))</f>
        <v/>
      </c>
      <c r="U23" s="31">
        <f>INDEX(MTInputs!$J$1:$AZ$415,$D23,MATCH(U$5,MTInputs!$J$5:$AZ$5,0))</f>
        <v/>
      </c>
      <c r="V23" s="31">
        <f>INDEX(MTInputs!$J$1:$AZ$415,$D23,MATCH(V$5,MTInputs!$J$5:$AZ$5,0))</f>
        <v/>
      </c>
      <c r="W23" s="31">
        <f>INDEX(MTInputs!$J$1:$AZ$415,$D23,MATCH(W$5,MTInputs!$J$5:$AZ$5,0))</f>
        <v/>
      </c>
      <c r="X23" s="31">
        <f>INDEX(MTInputs!$J$1:$AZ$415,$D23,MATCH(X$5,MTInputs!$J$5:$AZ$5,0))</f>
        <v/>
      </c>
      <c r="Y23" s="31">
        <f>INDEX(MTInputs!$J$1:$AZ$415,$D23,MATCH(Y$5,MTInputs!$J$5:$AZ$5,0))</f>
        <v/>
      </c>
      <c r="Z23" s="23">
        <f>LOWER(Settings!$C$4)&amp;".mit."&amp;$A23&amp;IF($C23="","","."&amp;$C23&amp;"."&amp;$B23)&amp;IF(INDEX(Variables!$D$5:$D$65,MATCH($A23,Variables!$A$5:$A$65,0))="","","."&amp;INDEX(Variables!$D$5:$D$65,MATCH($A23,Variables!$A$5:$A$65,0)))&amp;"."&amp;Z$5</f>
        <v/>
      </c>
      <c r="AA23" s="30">
        <f>INDEX(MTInputs!$J$1:$AZ$415,$D23,MATCH(AA$5,MTInputs!$J$5:$AZ$5,0))</f>
        <v/>
      </c>
      <c r="AB23" s="31">
        <f>INDEX(MTInputs!$J$1:$AZ$415,$D23,MATCH(AB$5,MTInputs!$J$5:$AZ$5,0))</f>
        <v/>
      </c>
      <c r="AC23" s="31">
        <f>INDEX(MTInputs!$J$1:$AZ$415,$D23,MATCH(AC$5,MTInputs!$J$5:$AZ$5,0))</f>
        <v/>
      </c>
      <c r="AD23" s="31">
        <f>INDEX(MTInputs!$J$1:$AZ$415,$D23,MATCH(AD$5,MTInputs!$J$5:$AZ$5,0))</f>
        <v/>
      </c>
      <c r="AE23" s="31">
        <f>INDEX(MTInputs!$J$1:$AZ$415,$D23,MATCH(AE$5,MTInputs!$J$5:$AZ$5,0))</f>
        <v/>
      </c>
      <c r="AF23" s="31">
        <f>INDEX(MTInputs!$J$1:$AZ$415,$D23,MATCH(AF$5,MTInputs!$J$5:$AZ$5,0))</f>
        <v/>
      </c>
      <c r="AG23" s="31">
        <f>INDEX(MTInputs!$J$1:$AZ$415,$D23,MATCH(AG$5,MTInputs!$J$5:$AZ$5,0))</f>
        <v/>
      </c>
      <c r="AH23" s="31">
        <f>INDEX(MTInputs!$J$1:$AZ$415,$D23,MATCH(AH$5,MTInputs!$J$5:$AZ$5,0))</f>
        <v/>
      </c>
      <c r="AI23" s="31">
        <f>INDEX(MTInputs!$J$1:$AZ$415,$D23,MATCH(AI$5,MTInputs!$J$5:$AZ$5,0))</f>
        <v/>
      </c>
      <c r="AJ23" s="31">
        <f>INDEX(MTInputs!$J$1:$AZ$415,$D23,MATCH(AJ$5,MTInputs!$J$5:$AZ$5,0))</f>
        <v/>
      </c>
      <c r="AK23" s="31">
        <f>INDEX(MTInputs!$J$1:$AZ$415,$D23,MATCH(AK$5,MTInputs!$J$5:$AZ$5,0))</f>
        <v/>
      </c>
      <c r="AL23" s="31">
        <f>INDEX(MTInputs!$J$1:$AZ$415,$D23,MATCH(AL$5,MTInputs!$J$5:$AZ$5,0))</f>
        <v/>
      </c>
      <c r="AM23" s="31">
        <f>INDEX(MTInputs!$J$1:$AZ$415,$D23,MATCH(AM$5,MTInputs!$J$5:$AZ$5,0))</f>
        <v/>
      </c>
      <c r="AN23" s="31">
        <f>INDEX(MTInputs!$J$1:$AZ$415,$D23,MATCH(AN$5,MTInputs!$J$5:$AZ$5,0))</f>
        <v/>
      </c>
    </row>
    <row r="24" hidden="1" outlineLevel="1">
      <c r="A24" s="5" t="inlineStr">
        <is>
          <t>ctcov</t>
        </is>
      </c>
      <c r="B24" s="5" t="inlineStr">
        <is>
          <t>oop</t>
        </is>
      </c>
      <c r="C24" s="5" t="inlineStr">
        <is>
          <t>all</t>
        </is>
      </c>
      <c r="D24" s="6" t="n">
        <v>29</v>
      </c>
      <c r="H24" s="5">
        <f>INDEX(Variables!$B$5:$B$65,MATCH($A24,Variables!$A$5:$A$65,0))&amp;IF($C24="",""," | "&amp;INDEX(Mapping!$B$5:$B$25,MATCH($C24,Mapping!$A$5:$A$25,0))&amp;" | "&amp;INDEX(Mapping!$B$29:$B$38,MATCH($B24,Mapping!$A$29:$A$38,0)))</f>
        <v/>
      </c>
      <c r="I24" s="5">
        <f>INDEX(Variables!$C$5:$C$65,MATCH($A24,Variables!$A$5:$A$65,0))</f>
        <v/>
      </c>
      <c r="J24" s="5">
        <f>INDEX(Variables!$E$5:$E$65,MATCH($A24,Variables!$A$5:$A$65,0))</f>
        <v/>
      </c>
      <c r="K24" s="23">
        <f>LOWER(Settings!$C$4)&amp;".mit."&amp;$A24&amp;IF($C24="","","."&amp;$C24&amp;"."&amp;$B24)&amp;IF(INDEX(Variables!$D$5:$D$65,MATCH($A24,Variables!$A$5:$A$65,0))="","","."&amp;INDEX(Variables!$D$5:$D$65,MATCH($A24,Variables!$A$5:$A$65,0)))&amp;"."&amp;K$5</f>
        <v/>
      </c>
      <c r="L24" s="30">
        <f>INDEX(MTInputs!$J$1:$AZ$415,$D24,MATCH(L$5,MTInputs!$J$5:$AZ$5,0))</f>
        <v/>
      </c>
      <c r="M24" s="31">
        <f>INDEX(MTInputs!$J$1:$AZ$415,$D24,MATCH(M$5,MTInputs!$J$5:$AZ$5,0))</f>
        <v/>
      </c>
      <c r="N24" s="31">
        <f>INDEX(MTInputs!$J$1:$AZ$415,$D24,MATCH(N$5,MTInputs!$J$5:$AZ$5,0))</f>
        <v/>
      </c>
      <c r="O24" s="31">
        <f>INDEX(MTInputs!$J$1:$AZ$415,$D24,MATCH(O$5,MTInputs!$J$5:$AZ$5,0))</f>
        <v/>
      </c>
      <c r="P24" s="31">
        <f>INDEX(MTInputs!$J$1:$AZ$415,$D24,MATCH(P$5,MTInputs!$J$5:$AZ$5,0))</f>
        <v/>
      </c>
      <c r="Q24" s="31">
        <f>INDEX(MTInputs!$J$1:$AZ$415,$D24,MATCH(Q$5,MTInputs!$J$5:$AZ$5,0))</f>
        <v/>
      </c>
      <c r="R24" s="31">
        <f>INDEX(MTInputs!$J$1:$AZ$415,$D24,MATCH(R$5,MTInputs!$J$5:$AZ$5,0))</f>
        <v/>
      </c>
      <c r="S24" s="31">
        <f>INDEX(MTInputs!$J$1:$AZ$415,$D24,MATCH(S$5,MTInputs!$J$5:$AZ$5,0))</f>
        <v/>
      </c>
      <c r="T24" s="31">
        <f>INDEX(MTInputs!$J$1:$AZ$415,$D24,MATCH(T$5,MTInputs!$J$5:$AZ$5,0))</f>
        <v/>
      </c>
      <c r="U24" s="31">
        <f>INDEX(MTInputs!$J$1:$AZ$415,$D24,MATCH(U$5,MTInputs!$J$5:$AZ$5,0))</f>
        <v/>
      </c>
      <c r="V24" s="31">
        <f>INDEX(MTInputs!$J$1:$AZ$415,$D24,MATCH(V$5,MTInputs!$J$5:$AZ$5,0))</f>
        <v/>
      </c>
      <c r="W24" s="31">
        <f>INDEX(MTInputs!$J$1:$AZ$415,$D24,MATCH(W$5,MTInputs!$J$5:$AZ$5,0))</f>
        <v/>
      </c>
      <c r="X24" s="31">
        <f>INDEX(MTInputs!$J$1:$AZ$415,$D24,MATCH(X$5,MTInputs!$J$5:$AZ$5,0))</f>
        <v/>
      </c>
      <c r="Y24" s="31">
        <f>INDEX(MTInputs!$J$1:$AZ$415,$D24,MATCH(Y$5,MTInputs!$J$5:$AZ$5,0))</f>
        <v/>
      </c>
      <c r="Z24" s="23">
        <f>LOWER(Settings!$C$4)&amp;".mit."&amp;$A24&amp;IF($C24="","","."&amp;$C24&amp;"."&amp;$B24)&amp;IF(INDEX(Variables!$D$5:$D$65,MATCH($A24,Variables!$A$5:$A$65,0))="","","."&amp;INDEX(Variables!$D$5:$D$65,MATCH($A24,Variables!$A$5:$A$65,0)))&amp;"."&amp;Z$5</f>
        <v/>
      </c>
      <c r="AA24" s="30">
        <f>INDEX(MTInputs!$J$1:$AZ$415,$D24,MATCH(AA$5,MTInputs!$J$5:$AZ$5,0))</f>
        <v/>
      </c>
      <c r="AB24" s="31">
        <f>INDEX(MTInputs!$J$1:$AZ$415,$D24,MATCH(AB$5,MTInputs!$J$5:$AZ$5,0))</f>
        <v/>
      </c>
      <c r="AC24" s="31">
        <f>INDEX(MTInputs!$J$1:$AZ$415,$D24,MATCH(AC$5,MTInputs!$J$5:$AZ$5,0))</f>
        <v/>
      </c>
      <c r="AD24" s="31">
        <f>INDEX(MTInputs!$J$1:$AZ$415,$D24,MATCH(AD$5,MTInputs!$J$5:$AZ$5,0))</f>
        <v/>
      </c>
      <c r="AE24" s="31">
        <f>INDEX(MTInputs!$J$1:$AZ$415,$D24,MATCH(AE$5,MTInputs!$J$5:$AZ$5,0))</f>
        <v/>
      </c>
      <c r="AF24" s="31">
        <f>INDEX(MTInputs!$J$1:$AZ$415,$D24,MATCH(AF$5,MTInputs!$J$5:$AZ$5,0))</f>
        <v/>
      </c>
      <c r="AG24" s="31">
        <f>INDEX(MTInputs!$J$1:$AZ$415,$D24,MATCH(AG$5,MTInputs!$J$5:$AZ$5,0))</f>
        <v/>
      </c>
      <c r="AH24" s="31">
        <f>INDEX(MTInputs!$J$1:$AZ$415,$D24,MATCH(AH$5,MTInputs!$J$5:$AZ$5,0))</f>
        <v/>
      </c>
      <c r="AI24" s="31">
        <f>INDEX(MTInputs!$J$1:$AZ$415,$D24,MATCH(AI$5,MTInputs!$J$5:$AZ$5,0))</f>
        <v/>
      </c>
      <c r="AJ24" s="31">
        <f>INDEX(MTInputs!$J$1:$AZ$415,$D24,MATCH(AJ$5,MTInputs!$J$5:$AZ$5,0))</f>
        <v/>
      </c>
      <c r="AK24" s="31">
        <f>INDEX(MTInputs!$J$1:$AZ$415,$D24,MATCH(AK$5,MTInputs!$J$5:$AZ$5,0))</f>
        <v/>
      </c>
      <c r="AL24" s="31">
        <f>INDEX(MTInputs!$J$1:$AZ$415,$D24,MATCH(AL$5,MTInputs!$J$5:$AZ$5,0))</f>
        <v/>
      </c>
      <c r="AM24" s="31">
        <f>INDEX(MTInputs!$J$1:$AZ$415,$D24,MATCH(AM$5,MTInputs!$J$5:$AZ$5,0))</f>
        <v/>
      </c>
      <c r="AN24" s="31">
        <f>INDEX(MTInputs!$J$1:$AZ$415,$D24,MATCH(AN$5,MTInputs!$J$5:$AZ$5,0))</f>
        <v/>
      </c>
    </row>
    <row r="25" hidden="1" outlineLevel="1">
      <c r="A25" s="5" t="inlineStr">
        <is>
          <t>ctcov</t>
        </is>
      </c>
      <c r="B25" s="5" t="inlineStr">
        <is>
          <t>bio</t>
        </is>
      </c>
      <c r="C25" s="5" t="inlineStr">
        <is>
          <t>all</t>
        </is>
      </c>
      <c r="H25" s="5">
        <f>INDEX(Variables!$B$5:$B$65,MATCH($A25,Variables!$A$5:$A$65,0))&amp;IF($C25="",""," | "&amp;INDEX(Mapping!$B$5:$B$25,MATCH($C25,Mapping!$A$5:$A$25,0))&amp;" | "&amp;INDEX(Mapping!$B$29:$B$38,MATCH($B25,Mapping!$A$29:$A$38,0)))</f>
        <v/>
      </c>
      <c r="I25" s="5">
        <f>INDEX(Variables!$C$5:$C$65,MATCH($A25,Variables!$A$5:$A$65,0))</f>
        <v/>
      </c>
      <c r="J25" s="5">
        <f>INDEX(Variables!$E$5:$E$65,MATCH($A25,Variables!$A$5:$A$65,0))</f>
        <v/>
      </c>
      <c r="K25" s="23">
        <f>LOWER(Settings!$C$4)&amp;".mit."&amp;$A25&amp;IF($C25="","","."&amp;$C25&amp;"."&amp;$B25)&amp;IF(INDEX(Variables!$D$5:$D$65,MATCH($A25,Variables!$A$5:$A$65,0))="","","."&amp;INDEX(Variables!$D$5:$D$65,MATCH($A25,Variables!$A$5:$A$65,0)))&amp;"."&amp;K$5</f>
        <v/>
      </c>
      <c r="L25" s="6" t="b">
        <v>1</v>
      </c>
      <c r="M25" s="6" t="b">
        <v>1</v>
      </c>
      <c r="N25" s="6" t="b">
        <v>1</v>
      </c>
      <c r="O25" s="6" t="b">
        <v>1</v>
      </c>
      <c r="P25" s="6" t="b">
        <v>1</v>
      </c>
      <c r="Q25" s="6" t="b">
        <v>1</v>
      </c>
      <c r="R25" s="6" t="b">
        <v>1</v>
      </c>
      <c r="S25" s="6" t="b">
        <v>1</v>
      </c>
      <c r="T25" s="6" t="b">
        <v>1</v>
      </c>
      <c r="U25" s="6" t="b">
        <v>1</v>
      </c>
      <c r="V25" s="6" t="b">
        <v>1</v>
      </c>
      <c r="W25" s="6" t="b">
        <v>1</v>
      </c>
      <c r="X25" s="6" t="b">
        <v>1</v>
      </c>
      <c r="Y25" s="6" t="b">
        <v>1</v>
      </c>
      <c r="Z25" s="23">
        <f>LOWER(Settings!$C$4)&amp;".mit."&amp;$A25&amp;IF($C25="","","."&amp;$C25&amp;"."&amp;$B25)&amp;IF(INDEX(Variables!$D$5:$D$65,MATCH($A25,Variables!$A$5:$A$65,0))="","","."&amp;INDEX(Variables!$D$5:$D$65,MATCH($A25,Variables!$A$5:$A$65,0)))&amp;"."&amp;Z$5</f>
        <v/>
      </c>
      <c r="AA25" s="6" t="b">
        <v>1</v>
      </c>
      <c r="AB25" s="6" t="b">
        <v>1</v>
      </c>
      <c r="AC25" s="6" t="b">
        <v>1</v>
      </c>
      <c r="AD25" s="6" t="b">
        <v>1</v>
      </c>
      <c r="AE25" s="6" t="b">
        <v>1</v>
      </c>
      <c r="AF25" s="6" t="b">
        <v>1</v>
      </c>
      <c r="AG25" s="6" t="b">
        <v>1</v>
      </c>
      <c r="AH25" s="6" t="b">
        <v>1</v>
      </c>
      <c r="AI25" s="6" t="b">
        <v>1</v>
      </c>
      <c r="AJ25" s="6" t="b">
        <v>1</v>
      </c>
      <c r="AK25" s="6" t="b">
        <v>1</v>
      </c>
      <c r="AL25" s="6" t="b">
        <v>1</v>
      </c>
      <c r="AM25" s="6" t="b">
        <v>1</v>
      </c>
      <c r="AN25" s="6" t="b">
        <v>1</v>
      </c>
    </row>
    <row r="26" hidden="1" outlineLevel="1">
      <c r="H26" s="29" t="inlineStr">
        <is>
          <t>Carbon tax coverage: sectors (MTInputs rows 31-47)</t>
        </is>
      </c>
    </row>
    <row r="27" hidden="1" outlineLevel="1">
      <c r="A27" s="5" t="inlineStr">
        <is>
          <t>ctcov</t>
        </is>
      </c>
      <c r="B27" s="5" t="inlineStr">
        <is>
          <t>all</t>
        </is>
      </c>
      <c r="C27" s="5" t="inlineStr">
        <is>
          <t>pow</t>
        </is>
      </c>
      <c r="D27" s="6" t="n">
        <v>31</v>
      </c>
      <c r="H27" s="5">
        <f>INDEX(Variables!$B$5:$B$65,MATCH($A27,Variables!$A$5:$A$65,0))&amp;IF($C27="",""," | "&amp;INDEX(Mapping!$B$5:$B$25,MATCH($C27,Mapping!$A$5:$A$25,0))&amp;" | "&amp;INDEX(Mapping!$B$29:$B$38,MATCH($B27,Mapping!$A$29:$A$38,0)))</f>
        <v/>
      </c>
      <c r="I27" s="5">
        <f>INDEX(Variables!$C$5:$C$65,MATCH($A27,Variables!$A$5:$A$65,0))</f>
        <v/>
      </c>
      <c r="J27" s="5">
        <f>INDEX(Variables!$E$5:$E$65,MATCH($A27,Variables!$A$5:$A$65,0))</f>
        <v/>
      </c>
      <c r="K27" s="23">
        <f>LOWER(Settings!$C$4)&amp;".mit."&amp;$A27&amp;IF($C27="","","."&amp;$C27&amp;"."&amp;$B27)&amp;IF(INDEX(Variables!$D$5:$D$65,MATCH($A27,Variables!$A$5:$A$65,0))="","","."&amp;INDEX(Variables!$D$5:$D$65,MATCH($A27,Variables!$A$5:$A$65,0)))&amp;"."&amp;K$5</f>
        <v/>
      </c>
      <c r="L27" s="30">
        <f>INDEX(MTInputs!$J$1:$AZ$415,$D27,MATCH(L$5,MTInputs!$J$5:$AZ$5,0))</f>
        <v/>
      </c>
      <c r="M27" s="31">
        <f>INDEX(MTInputs!$J$1:$AZ$415,$D27,MATCH(M$5,MTInputs!$J$5:$AZ$5,0))</f>
        <v/>
      </c>
      <c r="N27" s="31">
        <f>INDEX(MTInputs!$J$1:$AZ$415,$D27,MATCH(N$5,MTInputs!$J$5:$AZ$5,0))</f>
        <v/>
      </c>
      <c r="O27" s="31">
        <f>INDEX(MTInputs!$J$1:$AZ$415,$D27,MATCH(O$5,MTInputs!$J$5:$AZ$5,0))</f>
        <v/>
      </c>
      <c r="P27" s="31">
        <f>INDEX(MTInputs!$J$1:$AZ$415,$D27,MATCH(P$5,MTInputs!$J$5:$AZ$5,0))</f>
        <v/>
      </c>
      <c r="Q27" s="31">
        <f>INDEX(MTInputs!$J$1:$AZ$415,$D27,MATCH(Q$5,MTInputs!$J$5:$AZ$5,0))</f>
        <v/>
      </c>
      <c r="R27" s="31">
        <f>INDEX(MTInputs!$J$1:$AZ$415,$D27,MATCH(R$5,MTInputs!$J$5:$AZ$5,0))</f>
        <v/>
      </c>
      <c r="S27" s="31">
        <f>INDEX(MTInputs!$J$1:$AZ$415,$D27,MATCH(S$5,MTInputs!$J$5:$AZ$5,0))</f>
        <v/>
      </c>
      <c r="T27" s="31">
        <f>INDEX(MTInputs!$J$1:$AZ$415,$D27,MATCH(T$5,MTInputs!$J$5:$AZ$5,0))</f>
        <v/>
      </c>
      <c r="U27" s="31">
        <f>INDEX(MTInputs!$J$1:$AZ$415,$D27,MATCH(U$5,MTInputs!$J$5:$AZ$5,0))</f>
        <v/>
      </c>
      <c r="V27" s="31">
        <f>INDEX(MTInputs!$J$1:$AZ$415,$D27,MATCH(V$5,MTInputs!$J$5:$AZ$5,0))</f>
        <v/>
      </c>
      <c r="W27" s="31">
        <f>INDEX(MTInputs!$J$1:$AZ$415,$D27,MATCH(W$5,MTInputs!$J$5:$AZ$5,0))</f>
        <v/>
      </c>
      <c r="X27" s="31">
        <f>INDEX(MTInputs!$J$1:$AZ$415,$D27,MATCH(X$5,MTInputs!$J$5:$AZ$5,0))</f>
        <v/>
      </c>
      <c r="Y27" s="31">
        <f>INDEX(MTInputs!$J$1:$AZ$415,$D27,MATCH(Y$5,MTInputs!$J$5:$AZ$5,0))</f>
        <v/>
      </c>
      <c r="Z27" s="23">
        <f>LOWER(Settings!$C$4)&amp;".mit."&amp;$A27&amp;IF($C27="","","."&amp;$C27&amp;"."&amp;$B27)&amp;IF(INDEX(Variables!$D$5:$D$65,MATCH($A27,Variables!$A$5:$A$65,0))="","","."&amp;INDEX(Variables!$D$5:$D$65,MATCH($A27,Variables!$A$5:$A$65,0)))&amp;"."&amp;Z$5</f>
        <v/>
      </c>
      <c r="AA27" s="30">
        <f>INDEX(MTInputs!$J$1:$AZ$415,$D27,MATCH(AA$5,MTInputs!$J$5:$AZ$5,0))</f>
        <v/>
      </c>
      <c r="AB27" s="31">
        <f>INDEX(MTInputs!$J$1:$AZ$415,$D27,MATCH(AB$5,MTInputs!$J$5:$AZ$5,0))</f>
        <v/>
      </c>
      <c r="AC27" s="31">
        <f>INDEX(MTInputs!$J$1:$AZ$415,$D27,MATCH(AC$5,MTInputs!$J$5:$AZ$5,0))</f>
        <v/>
      </c>
      <c r="AD27" s="31">
        <f>INDEX(MTInputs!$J$1:$AZ$415,$D27,MATCH(AD$5,MTInputs!$J$5:$AZ$5,0))</f>
        <v/>
      </c>
      <c r="AE27" s="31">
        <f>INDEX(MTInputs!$J$1:$AZ$415,$D27,MATCH(AE$5,MTInputs!$J$5:$AZ$5,0))</f>
        <v/>
      </c>
      <c r="AF27" s="31">
        <f>INDEX(MTInputs!$J$1:$AZ$415,$D27,MATCH(AF$5,MTInputs!$J$5:$AZ$5,0))</f>
        <v/>
      </c>
      <c r="AG27" s="31">
        <f>INDEX(MTInputs!$J$1:$AZ$415,$D27,MATCH(AG$5,MTInputs!$J$5:$AZ$5,0))</f>
        <v/>
      </c>
      <c r="AH27" s="31">
        <f>INDEX(MTInputs!$J$1:$AZ$415,$D27,MATCH(AH$5,MTInputs!$J$5:$AZ$5,0))</f>
        <v/>
      </c>
      <c r="AI27" s="31">
        <f>INDEX(MTInputs!$J$1:$AZ$415,$D27,MATCH(AI$5,MTInputs!$J$5:$AZ$5,0))</f>
        <v/>
      </c>
      <c r="AJ27" s="31">
        <f>INDEX(MTInputs!$J$1:$AZ$415,$D27,MATCH(AJ$5,MTInputs!$J$5:$AZ$5,0))</f>
        <v/>
      </c>
      <c r="AK27" s="31">
        <f>INDEX(MTInputs!$J$1:$AZ$415,$D27,MATCH(AK$5,MTInputs!$J$5:$AZ$5,0))</f>
        <v/>
      </c>
      <c r="AL27" s="31">
        <f>INDEX(MTInputs!$J$1:$AZ$415,$D27,MATCH(AL$5,MTInputs!$J$5:$AZ$5,0))</f>
        <v/>
      </c>
      <c r="AM27" s="31">
        <f>INDEX(MTInputs!$J$1:$AZ$415,$D27,MATCH(AM$5,MTInputs!$J$5:$AZ$5,0))</f>
        <v/>
      </c>
      <c r="AN27" s="31">
        <f>INDEX(MTInputs!$J$1:$AZ$415,$D27,MATCH(AN$5,MTInputs!$J$5:$AZ$5,0))</f>
        <v/>
      </c>
    </row>
    <row r="28" hidden="1" outlineLevel="1">
      <c r="A28" s="5" t="inlineStr">
        <is>
          <t>ctcov</t>
        </is>
      </c>
      <c r="B28" s="5" t="inlineStr">
        <is>
          <t>all</t>
        </is>
      </c>
      <c r="C28" s="5" t="inlineStr">
        <is>
          <t>rod</t>
        </is>
      </c>
      <c r="D28" s="6" t="n">
        <v>32</v>
      </c>
      <c r="H28" s="5">
        <f>INDEX(Variables!$B$5:$B$65,MATCH($A28,Variables!$A$5:$A$65,0))&amp;IF($C28="",""," | "&amp;INDEX(Mapping!$B$5:$B$25,MATCH($C28,Mapping!$A$5:$A$25,0))&amp;" | "&amp;INDEX(Mapping!$B$29:$B$38,MATCH($B28,Mapping!$A$29:$A$38,0)))</f>
        <v/>
      </c>
      <c r="I28" s="5">
        <f>INDEX(Variables!$C$5:$C$65,MATCH($A28,Variables!$A$5:$A$65,0))</f>
        <v/>
      </c>
      <c r="J28" s="5">
        <f>INDEX(Variables!$E$5:$E$65,MATCH($A28,Variables!$A$5:$A$65,0))</f>
        <v/>
      </c>
      <c r="K28" s="23">
        <f>LOWER(Settings!$C$4)&amp;".mit."&amp;$A28&amp;IF($C28="","","."&amp;$C28&amp;"."&amp;$B28)&amp;IF(INDEX(Variables!$D$5:$D$65,MATCH($A28,Variables!$A$5:$A$65,0))="","","."&amp;INDEX(Variables!$D$5:$D$65,MATCH($A28,Variables!$A$5:$A$65,0)))&amp;"."&amp;K$5</f>
        <v/>
      </c>
      <c r="L28" s="30">
        <f>INDEX(MTInputs!$J$1:$AZ$415,$D28,MATCH(L$5,MTInputs!$J$5:$AZ$5,0))</f>
        <v/>
      </c>
      <c r="M28" s="31">
        <f>INDEX(MTInputs!$J$1:$AZ$415,$D28,MATCH(M$5,MTInputs!$J$5:$AZ$5,0))</f>
        <v/>
      </c>
      <c r="N28" s="31">
        <f>INDEX(MTInputs!$J$1:$AZ$415,$D28,MATCH(N$5,MTInputs!$J$5:$AZ$5,0))</f>
        <v/>
      </c>
      <c r="O28" s="31">
        <f>INDEX(MTInputs!$J$1:$AZ$415,$D28,MATCH(O$5,MTInputs!$J$5:$AZ$5,0))</f>
        <v/>
      </c>
      <c r="P28" s="31">
        <f>INDEX(MTInputs!$J$1:$AZ$415,$D28,MATCH(P$5,MTInputs!$J$5:$AZ$5,0))</f>
        <v/>
      </c>
      <c r="Q28" s="31">
        <f>INDEX(MTInputs!$J$1:$AZ$415,$D28,MATCH(Q$5,MTInputs!$J$5:$AZ$5,0))</f>
        <v/>
      </c>
      <c r="R28" s="31">
        <f>INDEX(MTInputs!$J$1:$AZ$415,$D28,MATCH(R$5,MTInputs!$J$5:$AZ$5,0))</f>
        <v/>
      </c>
      <c r="S28" s="31">
        <f>INDEX(MTInputs!$J$1:$AZ$415,$D28,MATCH(S$5,MTInputs!$J$5:$AZ$5,0))</f>
        <v/>
      </c>
      <c r="T28" s="31">
        <f>INDEX(MTInputs!$J$1:$AZ$415,$D28,MATCH(T$5,MTInputs!$J$5:$AZ$5,0))</f>
        <v/>
      </c>
      <c r="U28" s="31">
        <f>INDEX(MTInputs!$J$1:$AZ$415,$D28,MATCH(U$5,MTInputs!$J$5:$AZ$5,0))</f>
        <v/>
      </c>
      <c r="V28" s="31">
        <f>INDEX(MTInputs!$J$1:$AZ$415,$D28,MATCH(V$5,MTInputs!$J$5:$AZ$5,0))</f>
        <v/>
      </c>
      <c r="W28" s="31">
        <f>INDEX(MTInputs!$J$1:$AZ$415,$D28,MATCH(W$5,MTInputs!$J$5:$AZ$5,0))</f>
        <v/>
      </c>
      <c r="X28" s="31">
        <f>INDEX(MTInputs!$J$1:$AZ$415,$D28,MATCH(X$5,MTInputs!$J$5:$AZ$5,0))</f>
        <v/>
      </c>
      <c r="Y28" s="31">
        <f>INDEX(MTInputs!$J$1:$AZ$415,$D28,MATCH(Y$5,MTInputs!$J$5:$AZ$5,0))</f>
        <v/>
      </c>
      <c r="Z28" s="23">
        <f>LOWER(Settings!$C$4)&amp;".mit."&amp;$A28&amp;IF($C28="","","."&amp;$C28&amp;"."&amp;$B28)&amp;IF(INDEX(Variables!$D$5:$D$65,MATCH($A28,Variables!$A$5:$A$65,0))="","","."&amp;INDEX(Variables!$D$5:$D$65,MATCH($A28,Variables!$A$5:$A$65,0)))&amp;"."&amp;Z$5</f>
        <v/>
      </c>
      <c r="AA28" s="30">
        <f>INDEX(MTInputs!$J$1:$AZ$415,$D28,MATCH(AA$5,MTInputs!$J$5:$AZ$5,0))</f>
        <v/>
      </c>
      <c r="AB28" s="31">
        <f>INDEX(MTInputs!$J$1:$AZ$415,$D28,MATCH(AB$5,MTInputs!$J$5:$AZ$5,0))</f>
        <v/>
      </c>
      <c r="AC28" s="31">
        <f>INDEX(MTInputs!$J$1:$AZ$415,$D28,MATCH(AC$5,MTInputs!$J$5:$AZ$5,0))</f>
        <v/>
      </c>
      <c r="AD28" s="31">
        <f>INDEX(MTInputs!$J$1:$AZ$415,$D28,MATCH(AD$5,MTInputs!$J$5:$AZ$5,0))</f>
        <v/>
      </c>
      <c r="AE28" s="31">
        <f>INDEX(MTInputs!$J$1:$AZ$415,$D28,MATCH(AE$5,MTInputs!$J$5:$AZ$5,0))</f>
        <v/>
      </c>
      <c r="AF28" s="31">
        <f>INDEX(MTInputs!$J$1:$AZ$415,$D28,MATCH(AF$5,MTInputs!$J$5:$AZ$5,0))</f>
        <v/>
      </c>
      <c r="AG28" s="31">
        <f>INDEX(MTInputs!$J$1:$AZ$415,$D28,MATCH(AG$5,MTInputs!$J$5:$AZ$5,0))</f>
        <v/>
      </c>
      <c r="AH28" s="31">
        <f>INDEX(MTInputs!$J$1:$AZ$415,$D28,MATCH(AH$5,MTInputs!$J$5:$AZ$5,0))</f>
        <v/>
      </c>
      <c r="AI28" s="31">
        <f>INDEX(MTInputs!$J$1:$AZ$415,$D28,MATCH(AI$5,MTInputs!$J$5:$AZ$5,0))</f>
        <v/>
      </c>
      <c r="AJ28" s="31">
        <f>INDEX(MTInputs!$J$1:$AZ$415,$D28,MATCH(AJ$5,MTInputs!$J$5:$AZ$5,0))</f>
        <v/>
      </c>
      <c r="AK28" s="31">
        <f>INDEX(MTInputs!$J$1:$AZ$415,$D28,MATCH(AK$5,MTInputs!$J$5:$AZ$5,0))</f>
        <v/>
      </c>
      <c r="AL28" s="31">
        <f>INDEX(MTInputs!$J$1:$AZ$415,$D28,MATCH(AL$5,MTInputs!$J$5:$AZ$5,0))</f>
        <v/>
      </c>
      <c r="AM28" s="31">
        <f>INDEX(MTInputs!$J$1:$AZ$415,$D28,MATCH(AM$5,MTInputs!$J$5:$AZ$5,0))</f>
        <v/>
      </c>
      <c r="AN28" s="31">
        <f>INDEX(MTInputs!$J$1:$AZ$415,$D28,MATCH(AN$5,MTInputs!$J$5:$AZ$5,0))</f>
        <v/>
      </c>
    </row>
    <row r="29" hidden="1" outlineLevel="1">
      <c r="A29" s="5" t="inlineStr">
        <is>
          <t>ctcov</t>
        </is>
      </c>
      <c r="B29" s="5" t="inlineStr">
        <is>
          <t>all</t>
        </is>
      </c>
      <c r="C29" s="5" t="inlineStr">
        <is>
          <t>ral</t>
        </is>
      </c>
      <c r="D29" s="6" t="n">
        <v>33</v>
      </c>
      <c r="H29" s="5">
        <f>INDEX(Variables!$B$5:$B$65,MATCH($A29,Variables!$A$5:$A$65,0))&amp;IF($C29="",""," | "&amp;INDEX(Mapping!$B$5:$B$25,MATCH($C29,Mapping!$A$5:$A$25,0))&amp;" | "&amp;INDEX(Mapping!$B$29:$B$38,MATCH($B29,Mapping!$A$29:$A$38,0)))</f>
        <v/>
      </c>
      <c r="I29" s="5">
        <f>INDEX(Variables!$C$5:$C$65,MATCH($A29,Variables!$A$5:$A$65,0))</f>
        <v/>
      </c>
      <c r="J29" s="5">
        <f>INDEX(Variables!$E$5:$E$65,MATCH($A29,Variables!$A$5:$A$65,0))</f>
        <v/>
      </c>
      <c r="K29" s="23">
        <f>LOWER(Settings!$C$4)&amp;".mit."&amp;$A29&amp;IF($C29="","","."&amp;$C29&amp;"."&amp;$B29)&amp;IF(INDEX(Variables!$D$5:$D$65,MATCH($A29,Variables!$A$5:$A$65,0))="","","."&amp;INDEX(Variables!$D$5:$D$65,MATCH($A29,Variables!$A$5:$A$65,0)))&amp;"."&amp;K$5</f>
        <v/>
      </c>
      <c r="L29" s="30">
        <f>INDEX(MTInputs!$J$1:$AZ$415,$D29,MATCH(L$5,MTInputs!$J$5:$AZ$5,0))</f>
        <v/>
      </c>
      <c r="M29" s="31">
        <f>INDEX(MTInputs!$J$1:$AZ$415,$D29,MATCH(M$5,MTInputs!$J$5:$AZ$5,0))</f>
        <v/>
      </c>
      <c r="N29" s="31">
        <f>INDEX(MTInputs!$J$1:$AZ$415,$D29,MATCH(N$5,MTInputs!$J$5:$AZ$5,0))</f>
        <v/>
      </c>
      <c r="O29" s="31">
        <f>INDEX(MTInputs!$J$1:$AZ$415,$D29,MATCH(O$5,MTInputs!$J$5:$AZ$5,0))</f>
        <v/>
      </c>
      <c r="P29" s="31">
        <f>INDEX(MTInputs!$J$1:$AZ$415,$D29,MATCH(P$5,MTInputs!$J$5:$AZ$5,0))</f>
        <v/>
      </c>
      <c r="Q29" s="31">
        <f>INDEX(MTInputs!$J$1:$AZ$415,$D29,MATCH(Q$5,MTInputs!$J$5:$AZ$5,0))</f>
        <v/>
      </c>
      <c r="R29" s="31">
        <f>INDEX(MTInputs!$J$1:$AZ$415,$D29,MATCH(R$5,MTInputs!$J$5:$AZ$5,0))</f>
        <v/>
      </c>
      <c r="S29" s="31">
        <f>INDEX(MTInputs!$J$1:$AZ$415,$D29,MATCH(S$5,MTInputs!$J$5:$AZ$5,0))</f>
        <v/>
      </c>
      <c r="T29" s="31">
        <f>INDEX(MTInputs!$J$1:$AZ$415,$D29,MATCH(T$5,MTInputs!$J$5:$AZ$5,0))</f>
        <v/>
      </c>
      <c r="U29" s="31">
        <f>INDEX(MTInputs!$J$1:$AZ$415,$D29,MATCH(U$5,MTInputs!$J$5:$AZ$5,0))</f>
        <v/>
      </c>
      <c r="V29" s="31">
        <f>INDEX(MTInputs!$J$1:$AZ$415,$D29,MATCH(V$5,MTInputs!$J$5:$AZ$5,0))</f>
        <v/>
      </c>
      <c r="W29" s="31">
        <f>INDEX(MTInputs!$J$1:$AZ$415,$D29,MATCH(W$5,MTInputs!$J$5:$AZ$5,0))</f>
        <v/>
      </c>
      <c r="X29" s="31">
        <f>INDEX(MTInputs!$J$1:$AZ$415,$D29,MATCH(X$5,MTInputs!$J$5:$AZ$5,0))</f>
        <v/>
      </c>
      <c r="Y29" s="31">
        <f>INDEX(MTInputs!$J$1:$AZ$415,$D29,MATCH(Y$5,MTInputs!$J$5:$AZ$5,0))</f>
        <v/>
      </c>
      <c r="Z29" s="23">
        <f>LOWER(Settings!$C$4)&amp;".mit."&amp;$A29&amp;IF($C29="","","."&amp;$C29&amp;"."&amp;$B29)&amp;IF(INDEX(Variables!$D$5:$D$65,MATCH($A29,Variables!$A$5:$A$65,0))="","","."&amp;INDEX(Variables!$D$5:$D$65,MATCH($A29,Variables!$A$5:$A$65,0)))&amp;"."&amp;Z$5</f>
        <v/>
      </c>
      <c r="AA29" s="30">
        <f>INDEX(MTInputs!$J$1:$AZ$415,$D29,MATCH(AA$5,MTInputs!$J$5:$AZ$5,0))</f>
        <v/>
      </c>
      <c r="AB29" s="31">
        <f>INDEX(MTInputs!$J$1:$AZ$415,$D29,MATCH(AB$5,MTInputs!$J$5:$AZ$5,0))</f>
        <v/>
      </c>
      <c r="AC29" s="31">
        <f>INDEX(MTInputs!$J$1:$AZ$415,$D29,MATCH(AC$5,MTInputs!$J$5:$AZ$5,0))</f>
        <v/>
      </c>
      <c r="AD29" s="31">
        <f>INDEX(MTInputs!$J$1:$AZ$415,$D29,MATCH(AD$5,MTInputs!$J$5:$AZ$5,0))</f>
        <v/>
      </c>
      <c r="AE29" s="31">
        <f>INDEX(MTInputs!$J$1:$AZ$415,$D29,MATCH(AE$5,MTInputs!$J$5:$AZ$5,0))</f>
        <v/>
      </c>
      <c r="AF29" s="31">
        <f>INDEX(MTInputs!$J$1:$AZ$415,$D29,MATCH(AF$5,MTInputs!$J$5:$AZ$5,0))</f>
        <v/>
      </c>
      <c r="AG29" s="31">
        <f>INDEX(MTInputs!$J$1:$AZ$415,$D29,MATCH(AG$5,MTInputs!$J$5:$AZ$5,0))</f>
        <v/>
      </c>
      <c r="AH29" s="31">
        <f>INDEX(MTInputs!$J$1:$AZ$415,$D29,MATCH(AH$5,MTInputs!$J$5:$AZ$5,0))</f>
        <v/>
      </c>
      <c r="AI29" s="31">
        <f>INDEX(MTInputs!$J$1:$AZ$415,$D29,MATCH(AI$5,MTInputs!$J$5:$AZ$5,0))</f>
        <v/>
      </c>
      <c r="AJ29" s="31">
        <f>INDEX(MTInputs!$J$1:$AZ$415,$D29,MATCH(AJ$5,MTInputs!$J$5:$AZ$5,0))</f>
        <v/>
      </c>
      <c r="AK29" s="31">
        <f>INDEX(MTInputs!$J$1:$AZ$415,$D29,MATCH(AK$5,MTInputs!$J$5:$AZ$5,0))</f>
        <v/>
      </c>
      <c r="AL29" s="31">
        <f>INDEX(MTInputs!$J$1:$AZ$415,$D29,MATCH(AL$5,MTInputs!$J$5:$AZ$5,0))</f>
        <v/>
      </c>
      <c r="AM29" s="31">
        <f>INDEX(MTInputs!$J$1:$AZ$415,$D29,MATCH(AM$5,MTInputs!$J$5:$AZ$5,0))</f>
        <v/>
      </c>
      <c r="AN29" s="31">
        <f>INDEX(MTInputs!$J$1:$AZ$415,$D29,MATCH(AN$5,MTInputs!$J$5:$AZ$5,0))</f>
        <v/>
      </c>
    </row>
    <row r="30" hidden="1" outlineLevel="1">
      <c r="A30" s="5" t="inlineStr">
        <is>
          <t>ctcov</t>
        </is>
      </c>
      <c r="B30" s="5" t="inlineStr">
        <is>
          <t>all</t>
        </is>
      </c>
      <c r="C30" s="5" t="inlineStr">
        <is>
          <t>avi</t>
        </is>
      </c>
      <c r="D30" s="6" t="n">
        <v>34</v>
      </c>
      <c r="H30" s="5">
        <f>INDEX(Variables!$B$5:$B$65,MATCH($A30,Variables!$A$5:$A$65,0))&amp;IF($C30="",""," | "&amp;INDEX(Mapping!$B$5:$B$25,MATCH($C30,Mapping!$A$5:$A$25,0))&amp;" | "&amp;INDEX(Mapping!$B$29:$B$38,MATCH($B30,Mapping!$A$29:$A$38,0)))</f>
        <v/>
      </c>
      <c r="I30" s="5">
        <f>INDEX(Variables!$C$5:$C$65,MATCH($A30,Variables!$A$5:$A$65,0))</f>
        <v/>
      </c>
      <c r="J30" s="5">
        <f>INDEX(Variables!$E$5:$E$65,MATCH($A30,Variables!$A$5:$A$65,0))</f>
        <v/>
      </c>
      <c r="K30" s="23">
        <f>LOWER(Settings!$C$4)&amp;".mit."&amp;$A30&amp;IF($C30="","","."&amp;$C30&amp;"."&amp;$B30)&amp;IF(INDEX(Variables!$D$5:$D$65,MATCH($A30,Variables!$A$5:$A$65,0))="","","."&amp;INDEX(Variables!$D$5:$D$65,MATCH($A30,Variables!$A$5:$A$65,0)))&amp;"."&amp;K$5</f>
        <v/>
      </c>
      <c r="L30" s="30">
        <f>INDEX(MTInputs!$J$1:$AZ$415,$D30,MATCH(L$5,MTInputs!$J$5:$AZ$5,0))</f>
        <v/>
      </c>
      <c r="M30" s="31">
        <f>INDEX(MTInputs!$J$1:$AZ$415,$D30,MATCH(M$5,MTInputs!$J$5:$AZ$5,0))</f>
        <v/>
      </c>
      <c r="N30" s="31">
        <f>INDEX(MTInputs!$J$1:$AZ$415,$D30,MATCH(N$5,MTInputs!$J$5:$AZ$5,0))</f>
        <v/>
      </c>
      <c r="O30" s="31">
        <f>INDEX(MTInputs!$J$1:$AZ$415,$D30,MATCH(O$5,MTInputs!$J$5:$AZ$5,0))</f>
        <v/>
      </c>
      <c r="P30" s="31">
        <f>INDEX(MTInputs!$J$1:$AZ$415,$D30,MATCH(P$5,MTInputs!$J$5:$AZ$5,0))</f>
        <v/>
      </c>
      <c r="Q30" s="31">
        <f>INDEX(MTInputs!$J$1:$AZ$415,$D30,MATCH(Q$5,MTInputs!$J$5:$AZ$5,0))</f>
        <v/>
      </c>
      <c r="R30" s="31">
        <f>INDEX(MTInputs!$J$1:$AZ$415,$D30,MATCH(R$5,MTInputs!$J$5:$AZ$5,0))</f>
        <v/>
      </c>
      <c r="S30" s="31">
        <f>INDEX(MTInputs!$J$1:$AZ$415,$D30,MATCH(S$5,MTInputs!$J$5:$AZ$5,0))</f>
        <v/>
      </c>
      <c r="T30" s="31">
        <f>INDEX(MTInputs!$J$1:$AZ$415,$D30,MATCH(T$5,MTInputs!$J$5:$AZ$5,0))</f>
        <v/>
      </c>
      <c r="U30" s="31">
        <f>INDEX(MTInputs!$J$1:$AZ$415,$D30,MATCH(U$5,MTInputs!$J$5:$AZ$5,0))</f>
        <v/>
      </c>
      <c r="V30" s="31">
        <f>INDEX(MTInputs!$J$1:$AZ$415,$D30,MATCH(V$5,MTInputs!$J$5:$AZ$5,0))</f>
        <v/>
      </c>
      <c r="W30" s="31">
        <f>INDEX(MTInputs!$J$1:$AZ$415,$D30,MATCH(W$5,MTInputs!$J$5:$AZ$5,0))</f>
        <v/>
      </c>
      <c r="X30" s="31">
        <f>INDEX(MTInputs!$J$1:$AZ$415,$D30,MATCH(X$5,MTInputs!$J$5:$AZ$5,0))</f>
        <v/>
      </c>
      <c r="Y30" s="31">
        <f>INDEX(MTInputs!$J$1:$AZ$415,$D30,MATCH(Y$5,MTInputs!$J$5:$AZ$5,0))</f>
        <v/>
      </c>
      <c r="Z30" s="23">
        <f>LOWER(Settings!$C$4)&amp;".mit."&amp;$A30&amp;IF($C30="","","."&amp;$C30&amp;"."&amp;$B30)&amp;IF(INDEX(Variables!$D$5:$D$65,MATCH($A30,Variables!$A$5:$A$65,0))="","","."&amp;INDEX(Variables!$D$5:$D$65,MATCH($A30,Variables!$A$5:$A$65,0)))&amp;"."&amp;Z$5</f>
        <v/>
      </c>
      <c r="AA30" s="30">
        <f>INDEX(MTInputs!$J$1:$AZ$415,$D30,MATCH(AA$5,MTInputs!$J$5:$AZ$5,0))</f>
        <v/>
      </c>
      <c r="AB30" s="31">
        <f>INDEX(MTInputs!$J$1:$AZ$415,$D30,MATCH(AB$5,MTInputs!$J$5:$AZ$5,0))</f>
        <v/>
      </c>
      <c r="AC30" s="31">
        <f>INDEX(MTInputs!$J$1:$AZ$415,$D30,MATCH(AC$5,MTInputs!$J$5:$AZ$5,0))</f>
        <v/>
      </c>
      <c r="AD30" s="31">
        <f>INDEX(MTInputs!$J$1:$AZ$415,$D30,MATCH(AD$5,MTInputs!$J$5:$AZ$5,0))</f>
        <v/>
      </c>
      <c r="AE30" s="31">
        <f>INDEX(MTInputs!$J$1:$AZ$415,$D30,MATCH(AE$5,MTInputs!$J$5:$AZ$5,0))</f>
        <v/>
      </c>
      <c r="AF30" s="31">
        <f>INDEX(MTInputs!$J$1:$AZ$415,$D30,MATCH(AF$5,MTInputs!$J$5:$AZ$5,0))</f>
        <v/>
      </c>
      <c r="AG30" s="31">
        <f>INDEX(MTInputs!$J$1:$AZ$415,$D30,MATCH(AG$5,MTInputs!$J$5:$AZ$5,0))</f>
        <v/>
      </c>
      <c r="AH30" s="31">
        <f>INDEX(MTInputs!$J$1:$AZ$415,$D30,MATCH(AH$5,MTInputs!$J$5:$AZ$5,0))</f>
        <v/>
      </c>
      <c r="AI30" s="31">
        <f>INDEX(MTInputs!$J$1:$AZ$415,$D30,MATCH(AI$5,MTInputs!$J$5:$AZ$5,0))</f>
        <v/>
      </c>
      <c r="AJ30" s="31">
        <f>INDEX(MTInputs!$J$1:$AZ$415,$D30,MATCH(AJ$5,MTInputs!$J$5:$AZ$5,0))</f>
        <v/>
      </c>
      <c r="AK30" s="31">
        <f>INDEX(MTInputs!$J$1:$AZ$415,$D30,MATCH(AK$5,MTInputs!$J$5:$AZ$5,0))</f>
        <v/>
      </c>
      <c r="AL30" s="31">
        <f>INDEX(MTInputs!$J$1:$AZ$415,$D30,MATCH(AL$5,MTInputs!$J$5:$AZ$5,0))</f>
        <v/>
      </c>
      <c r="AM30" s="31">
        <f>INDEX(MTInputs!$J$1:$AZ$415,$D30,MATCH(AM$5,MTInputs!$J$5:$AZ$5,0))</f>
        <v/>
      </c>
      <c r="AN30" s="31">
        <f>INDEX(MTInputs!$J$1:$AZ$415,$D30,MATCH(AN$5,MTInputs!$J$5:$AZ$5,0))</f>
        <v/>
      </c>
    </row>
    <row r="31" hidden="1" outlineLevel="1">
      <c r="A31" s="5" t="inlineStr">
        <is>
          <t>ctcov</t>
        </is>
      </c>
      <c r="B31" s="5" t="inlineStr">
        <is>
          <t>all</t>
        </is>
      </c>
      <c r="C31" s="5" t="inlineStr">
        <is>
          <t>nav</t>
        </is>
      </c>
      <c r="D31" s="6" t="n">
        <v>35</v>
      </c>
      <c r="H31" s="5">
        <f>INDEX(Variables!$B$5:$B$65,MATCH($A31,Variables!$A$5:$A$65,0))&amp;IF($C31="",""," | "&amp;INDEX(Mapping!$B$5:$B$25,MATCH($C31,Mapping!$A$5:$A$25,0))&amp;" | "&amp;INDEX(Mapping!$B$29:$B$38,MATCH($B31,Mapping!$A$29:$A$38,0)))</f>
        <v/>
      </c>
      <c r="I31" s="5">
        <f>INDEX(Variables!$C$5:$C$65,MATCH($A31,Variables!$A$5:$A$65,0))</f>
        <v/>
      </c>
      <c r="J31" s="5">
        <f>INDEX(Variables!$E$5:$E$65,MATCH($A31,Variables!$A$5:$A$65,0))</f>
        <v/>
      </c>
      <c r="K31" s="23">
        <f>LOWER(Settings!$C$4)&amp;".mit."&amp;$A31&amp;IF($C31="","","."&amp;$C31&amp;"."&amp;$B31)&amp;IF(INDEX(Variables!$D$5:$D$65,MATCH($A31,Variables!$A$5:$A$65,0))="","","."&amp;INDEX(Variables!$D$5:$D$65,MATCH($A31,Variables!$A$5:$A$65,0)))&amp;"."&amp;K$5</f>
        <v/>
      </c>
      <c r="L31" s="30">
        <f>INDEX(MTInputs!$J$1:$AZ$415,$D31,MATCH(L$5,MTInputs!$J$5:$AZ$5,0))</f>
        <v/>
      </c>
      <c r="M31" s="31">
        <f>INDEX(MTInputs!$J$1:$AZ$415,$D31,MATCH(M$5,MTInputs!$J$5:$AZ$5,0))</f>
        <v/>
      </c>
      <c r="N31" s="31">
        <f>INDEX(MTInputs!$J$1:$AZ$415,$D31,MATCH(N$5,MTInputs!$J$5:$AZ$5,0))</f>
        <v/>
      </c>
      <c r="O31" s="31">
        <f>INDEX(MTInputs!$J$1:$AZ$415,$D31,MATCH(O$5,MTInputs!$J$5:$AZ$5,0))</f>
        <v/>
      </c>
      <c r="P31" s="31">
        <f>INDEX(MTInputs!$J$1:$AZ$415,$D31,MATCH(P$5,MTInputs!$J$5:$AZ$5,0))</f>
        <v/>
      </c>
      <c r="Q31" s="31">
        <f>INDEX(MTInputs!$J$1:$AZ$415,$D31,MATCH(Q$5,MTInputs!$J$5:$AZ$5,0))</f>
        <v/>
      </c>
      <c r="R31" s="31">
        <f>INDEX(MTInputs!$J$1:$AZ$415,$D31,MATCH(R$5,MTInputs!$J$5:$AZ$5,0))</f>
        <v/>
      </c>
      <c r="S31" s="31">
        <f>INDEX(MTInputs!$J$1:$AZ$415,$D31,MATCH(S$5,MTInputs!$J$5:$AZ$5,0))</f>
        <v/>
      </c>
      <c r="T31" s="31">
        <f>INDEX(MTInputs!$J$1:$AZ$415,$D31,MATCH(T$5,MTInputs!$J$5:$AZ$5,0))</f>
        <v/>
      </c>
      <c r="U31" s="31">
        <f>INDEX(MTInputs!$J$1:$AZ$415,$D31,MATCH(U$5,MTInputs!$J$5:$AZ$5,0))</f>
        <v/>
      </c>
      <c r="V31" s="31">
        <f>INDEX(MTInputs!$J$1:$AZ$415,$D31,MATCH(V$5,MTInputs!$J$5:$AZ$5,0))</f>
        <v/>
      </c>
      <c r="W31" s="31">
        <f>INDEX(MTInputs!$J$1:$AZ$415,$D31,MATCH(W$5,MTInputs!$J$5:$AZ$5,0))</f>
        <v/>
      </c>
      <c r="X31" s="31">
        <f>INDEX(MTInputs!$J$1:$AZ$415,$D31,MATCH(X$5,MTInputs!$J$5:$AZ$5,0))</f>
        <v/>
      </c>
      <c r="Y31" s="31">
        <f>INDEX(MTInputs!$J$1:$AZ$415,$D31,MATCH(Y$5,MTInputs!$J$5:$AZ$5,0))</f>
        <v/>
      </c>
      <c r="Z31" s="23">
        <f>LOWER(Settings!$C$4)&amp;".mit."&amp;$A31&amp;IF($C31="","","."&amp;$C31&amp;"."&amp;$B31)&amp;IF(INDEX(Variables!$D$5:$D$65,MATCH($A31,Variables!$A$5:$A$65,0))="","","."&amp;INDEX(Variables!$D$5:$D$65,MATCH($A31,Variables!$A$5:$A$65,0)))&amp;"."&amp;Z$5</f>
        <v/>
      </c>
      <c r="AA31" s="30">
        <f>INDEX(MTInputs!$J$1:$AZ$415,$D31,MATCH(AA$5,MTInputs!$J$5:$AZ$5,0))</f>
        <v/>
      </c>
      <c r="AB31" s="31">
        <f>INDEX(MTInputs!$J$1:$AZ$415,$D31,MATCH(AB$5,MTInputs!$J$5:$AZ$5,0))</f>
        <v/>
      </c>
      <c r="AC31" s="31">
        <f>INDEX(MTInputs!$J$1:$AZ$415,$D31,MATCH(AC$5,MTInputs!$J$5:$AZ$5,0))</f>
        <v/>
      </c>
      <c r="AD31" s="31">
        <f>INDEX(MTInputs!$J$1:$AZ$415,$D31,MATCH(AD$5,MTInputs!$J$5:$AZ$5,0))</f>
        <v/>
      </c>
      <c r="AE31" s="31">
        <f>INDEX(MTInputs!$J$1:$AZ$415,$D31,MATCH(AE$5,MTInputs!$J$5:$AZ$5,0))</f>
        <v/>
      </c>
      <c r="AF31" s="31">
        <f>INDEX(MTInputs!$J$1:$AZ$415,$D31,MATCH(AF$5,MTInputs!$J$5:$AZ$5,0))</f>
        <v/>
      </c>
      <c r="AG31" s="31">
        <f>INDEX(MTInputs!$J$1:$AZ$415,$D31,MATCH(AG$5,MTInputs!$J$5:$AZ$5,0))</f>
        <v/>
      </c>
      <c r="AH31" s="31">
        <f>INDEX(MTInputs!$J$1:$AZ$415,$D31,MATCH(AH$5,MTInputs!$J$5:$AZ$5,0))</f>
        <v/>
      </c>
      <c r="AI31" s="31">
        <f>INDEX(MTInputs!$J$1:$AZ$415,$D31,MATCH(AI$5,MTInputs!$J$5:$AZ$5,0))</f>
        <v/>
      </c>
      <c r="AJ31" s="31">
        <f>INDEX(MTInputs!$J$1:$AZ$415,$D31,MATCH(AJ$5,MTInputs!$J$5:$AZ$5,0))</f>
        <v/>
      </c>
      <c r="AK31" s="31">
        <f>INDEX(MTInputs!$J$1:$AZ$415,$D31,MATCH(AK$5,MTInputs!$J$5:$AZ$5,0))</f>
        <v/>
      </c>
      <c r="AL31" s="31">
        <f>INDEX(MTInputs!$J$1:$AZ$415,$D31,MATCH(AL$5,MTInputs!$J$5:$AZ$5,0))</f>
        <v/>
      </c>
      <c r="AM31" s="31">
        <f>INDEX(MTInputs!$J$1:$AZ$415,$D31,MATCH(AM$5,MTInputs!$J$5:$AZ$5,0))</f>
        <v/>
      </c>
      <c r="AN31" s="31">
        <f>INDEX(MTInputs!$J$1:$AZ$415,$D31,MATCH(AN$5,MTInputs!$J$5:$AZ$5,0))</f>
        <v/>
      </c>
    </row>
    <row r="32" hidden="1" outlineLevel="1">
      <c r="A32" s="5" t="inlineStr">
        <is>
          <t>ctcov</t>
        </is>
      </c>
      <c r="B32" s="5" t="inlineStr">
        <is>
          <t>all</t>
        </is>
      </c>
      <c r="C32" s="5" t="inlineStr">
        <is>
          <t>res</t>
        </is>
      </c>
      <c r="D32" s="6" t="n">
        <v>36</v>
      </c>
      <c r="H32" s="5">
        <f>INDEX(Variables!$B$5:$B$65,MATCH($A32,Variables!$A$5:$A$65,0))&amp;IF($C32="",""," | "&amp;INDEX(Mapping!$B$5:$B$25,MATCH($C32,Mapping!$A$5:$A$25,0))&amp;" | "&amp;INDEX(Mapping!$B$29:$B$38,MATCH($B32,Mapping!$A$29:$A$38,0)))</f>
        <v/>
      </c>
      <c r="I32" s="5">
        <f>INDEX(Variables!$C$5:$C$65,MATCH($A32,Variables!$A$5:$A$65,0))</f>
        <v/>
      </c>
      <c r="J32" s="5">
        <f>INDEX(Variables!$E$5:$E$65,MATCH($A32,Variables!$A$5:$A$65,0))</f>
        <v/>
      </c>
      <c r="K32" s="23">
        <f>LOWER(Settings!$C$4)&amp;".mit."&amp;$A32&amp;IF($C32="","","."&amp;$C32&amp;"."&amp;$B32)&amp;IF(INDEX(Variables!$D$5:$D$65,MATCH($A32,Variables!$A$5:$A$65,0))="","","."&amp;INDEX(Variables!$D$5:$D$65,MATCH($A32,Variables!$A$5:$A$65,0)))&amp;"."&amp;K$5</f>
        <v/>
      </c>
      <c r="L32" s="30">
        <f>INDEX(MTInputs!$J$1:$AZ$415,$D32,MATCH(L$5,MTInputs!$J$5:$AZ$5,0))</f>
        <v/>
      </c>
      <c r="M32" s="31">
        <f>INDEX(MTInputs!$J$1:$AZ$415,$D32,MATCH(M$5,MTInputs!$J$5:$AZ$5,0))</f>
        <v/>
      </c>
      <c r="N32" s="31">
        <f>INDEX(MTInputs!$J$1:$AZ$415,$D32,MATCH(N$5,MTInputs!$J$5:$AZ$5,0))</f>
        <v/>
      </c>
      <c r="O32" s="31">
        <f>INDEX(MTInputs!$J$1:$AZ$415,$D32,MATCH(O$5,MTInputs!$J$5:$AZ$5,0))</f>
        <v/>
      </c>
      <c r="P32" s="31">
        <f>INDEX(MTInputs!$J$1:$AZ$415,$D32,MATCH(P$5,MTInputs!$J$5:$AZ$5,0))</f>
        <v/>
      </c>
      <c r="Q32" s="31">
        <f>INDEX(MTInputs!$J$1:$AZ$415,$D32,MATCH(Q$5,MTInputs!$J$5:$AZ$5,0))</f>
        <v/>
      </c>
      <c r="R32" s="31">
        <f>INDEX(MTInputs!$J$1:$AZ$415,$D32,MATCH(R$5,MTInputs!$J$5:$AZ$5,0))</f>
        <v/>
      </c>
      <c r="S32" s="31">
        <f>INDEX(MTInputs!$J$1:$AZ$415,$D32,MATCH(S$5,MTInputs!$J$5:$AZ$5,0))</f>
        <v/>
      </c>
      <c r="T32" s="31">
        <f>INDEX(MTInputs!$J$1:$AZ$415,$D32,MATCH(T$5,MTInputs!$J$5:$AZ$5,0))</f>
        <v/>
      </c>
      <c r="U32" s="31">
        <f>INDEX(MTInputs!$J$1:$AZ$415,$D32,MATCH(U$5,MTInputs!$J$5:$AZ$5,0))</f>
        <v/>
      </c>
      <c r="V32" s="31">
        <f>INDEX(MTInputs!$J$1:$AZ$415,$D32,MATCH(V$5,MTInputs!$J$5:$AZ$5,0))</f>
        <v/>
      </c>
      <c r="W32" s="31">
        <f>INDEX(MTInputs!$J$1:$AZ$415,$D32,MATCH(W$5,MTInputs!$J$5:$AZ$5,0))</f>
        <v/>
      </c>
      <c r="X32" s="31">
        <f>INDEX(MTInputs!$J$1:$AZ$415,$D32,MATCH(X$5,MTInputs!$J$5:$AZ$5,0))</f>
        <v/>
      </c>
      <c r="Y32" s="31">
        <f>INDEX(MTInputs!$J$1:$AZ$415,$D32,MATCH(Y$5,MTInputs!$J$5:$AZ$5,0))</f>
        <v/>
      </c>
      <c r="Z32" s="23">
        <f>LOWER(Settings!$C$4)&amp;".mit."&amp;$A32&amp;IF($C32="","","."&amp;$C32&amp;"."&amp;$B32)&amp;IF(INDEX(Variables!$D$5:$D$65,MATCH($A32,Variables!$A$5:$A$65,0))="","","."&amp;INDEX(Variables!$D$5:$D$65,MATCH($A32,Variables!$A$5:$A$65,0)))&amp;"."&amp;Z$5</f>
        <v/>
      </c>
      <c r="AA32" s="30">
        <f>INDEX(MTInputs!$J$1:$AZ$415,$D32,MATCH(AA$5,MTInputs!$J$5:$AZ$5,0))</f>
        <v/>
      </c>
      <c r="AB32" s="31">
        <f>INDEX(MTInputs!$J$1:$AZ$415,$D32,MATCH(AB$5,MTInputs!$J$5:$AZ$5,0))</f>
        <v/>
      </c>
      <c r="AC32" s="31">
        <f>INDEX(MTInputs!$J$1:$AZ$415,$D32,MATCH(AC$5,MTInputs!$J$5:$AZ$5,0))</f>
        <v/>
      </c>
      <c r="AD32" s="31">
        <f>INDEX(MTInputs!$J$1:$AZ$415,$D32,MATCH(AD$5,MTInputs!$J$5:$AZ$5,0))</f>
        <v/>
      </c>
      <c r="AE32" s="31">
        <f>INDEX(MTInputs!$J$1:$AZ$415,$D32,MATCH(AE$5,MTInputs!$J$5:$AZ$5,0))</f>
        <v/>
      </c>
      <c r="AF32" s="31">
        <f>INDEX(MTInputs!$J$1:$AZ$415,$D32,MATCH(AF$5,MTInputs!$J$5:$AZ$5,0))</f>
        <v/>
      </c>
      <c r="AG32" s="31">
        <f>INDEX(MTInputs!$J$1:$AZ$415,$D32,MATCH(AG$5,MTInputs!$J$5:$AZ$5,0))</f>
        <v/>
      </c>
      <c r="AH32" s="31">
        <f>INDEX(MTInputs!$J$1:$AZ$415,$D32,MATCH(AH$5,MTInputs!$J$5:$AZ$5,0))</f>
        <v/>
      </c>
      <c r="AI32" s="31">
        <f>INDEX(MTInputs!$J$1:$AZ$415,$D32,MATCH(AI$5,MTInputs!$J$5:$AZ$5,0))</f>
        <v/>
      </c>
      <c r="AJ32" s="31">
        <f>INDEX(MTInputs!$J$1:$AZ$415,$D32,MATCH(AJ$5,MTInputs!$J$5:$AZ$5,0))</f>
        <v/>
      </c>
      <c r="AK32" s="31">
        <f>INDEX(MTInputs!$J$1:$AZ$415,$D32,MATCH(AK$5,MTInputs!$J$5:$AZ$5,0))</f>
        <v/>
      </c>
      <c r="AL32" s="31">
        <f>INDEX(MTInputs!$J$1:$AZ$415,$D32,MATCH(AL$5,MTInputs!$J$5:$AZ$5,0))</f>
        <v/>
      </c>
      <c r="AM32" s="31">
        <f>INDEX(MTInputs!$J$1:$AZ$415,$D32,MATCH(AM$5,MTInputs!$J$5:$AZ$5,0))</f>
        <v/>
      </c>
      <c r="AN32" s="31">
        <f>INDEX(MTInputs!$J$1:$AZ$415,$D32,MATCH(AN$5,MTInputs!$J$5:$AZ$5,0))</f>
        <v/>
      </c>
    </row>
    <row r="33" hidden="1" outlineLevel="1">
      <c r="A33" s="5" t="inlineStr">
        <is>
          <t>ctcov</t>
        </is>
      </c>
      <c r="B33" s="5" t="inlineStr">
        <is>
          <t>all</t>
        </is>
      </c>
      <c r="C33" s="5" t="inlineStr">
        <is>
          <t>foo</t>
        </is>
      </c>
      <c r="D33" s="6" t="n">
        <v>37</v>
      </c>
      <c r="H33" s="5">
        <f>INDEX(Variables!$B$5:$B$65,MATCH($A33,Variables!$A$5:$A$65,0))&amp;IF($C33="",""," | "&amp;INDEX(Mapping!$B$5:$B$25,MATCH($C33,Mapping!$A$5:$A$25,0))&amp;" | "&amp;INDEX(Mapping!$B$29:$B$38,MATCH($B33,Mapping!$A$29:$A$38,0)))</f>
        <v/>
      </c>
      <c r="I33" s="5">
        <f>INDEX(Variables!$C$5:$C$65,MATCH($A33,Variables!$A$5:$A$65,0))</f>
        <v/>
      </c>
      <c r="J33" s="5">
        <f>INDEX(Variables!$E$5:$E$65,MATCH($A33,Variables!$A$5:$A$65,0))</f>
        <v/>
      </c>
      <c r="K33" s="23">
        <f>LOWER(Settings!$C$4)&amp;".mit."&amp;$A33&amp;IF($C33="","","."&amp;$C33&amp;"."&amp;$B33)&amp;IF(INDEX(Variables!$D$5:$D$65,MATCH($A33,Variables!$A$5:$A$65,0))="","","."&amp;INDEX(Variables!$D$5:$D$65,MATCH($A33,Variables!$A$5:$A$65,0)))&amp;"."&amp;K$5</f>
        <v/>
      </c>
      <c r="L33" s="30">
        <f>INDEX(MTInputs!$J$1:$AZ$415,$D33,MATCH(L$5,MTInputs!$J$5:$AZ$5,0))</f>
        <v/>
      </c>
      <c r="M33" s="31">
        <f>INDEX(MTInputs!$J$1:$AZ$415,$D33,MATCH(M$5,MTInputs!$J$5:$AZ$5,0))</f>
        <v/>
      </c>
      <c r="N33" s="31">
        <f>INDEX(MTInputs!$J$1:$AZ$415,$D33,MATCH(N$5,MTInputs!$J$5:$AZ$5,0))</f>
        <v/>
      </c>
      <c r="O33" s="31">
        <f>INDEX(MTInputs!$J$1:$AZ$415,$D33,MATCH(O$5,MTInputs!$J$5:$AZ$5,0))</f>
        <v/>
      </c>
      <c r="P33" s="31">
        <f>INDEX(MTInputs!$J$1:$AZ$415,$D33,MATCH(P$5,MTInputs!$J$5:$AZ$5,0))</f>
        <v/>
      </c>
      <c r="Q33" s="31">
        <f>INDEX(MTInputs!$J$1:$AZ$415,$D33,MATCH(Q$5,MTInputs!$J$5:$AZ$5,0))</f>
        <v/>
      </c>
      <c r="R33" s="31">
        <f>INDEX(MTInputs!$J$1:$AZ$415,$D33,MATCH(R$5,MTInputs!$J$5:$AZ$5,0))</f>
        <v/>
      </c>
      <c r="S33" s="31">
        <f>INDEX(MTInputs!$J$1:$AZ$415,$D33,MATCH(S$5,MTInputs!$J$5:$AZ$5,0))</f>
        <v/>
      </c>
      <c r="T33" s="31">
        <f>INDEX(MTInputs!$J$1:$AZ$415,$D33,MATCH(T$5,MTInputs!$J$5:$AZ$5,0))</f>
        <v/>
      </c>
      <c r="U33" s="31">
        <f>INDEX(MTInputs!$J$1:$AZ$415,$D33,MATCH(U$5,MTInputs!$J$5:$AZ$5,0))</f>
        <v/>
      </c>
      <c r="V33" s="31">
        <f>INDEX(MTInputs!$J$1:$AZ$415,$D33,MATCH(V$5,MTInputs!$J$5:$AZ$5,0))</f>
        <v/>
      </c>
      <c r="W33" s="31">
        <f>INDEX(MTInputs!$J$1:$AZ$415,$D33,MATCH(W$5,MTInputs!$J$5:$AZ$5,0))</f>
        <v/>
      </c>
      <c r="X33" s="31">
        <f>INDEX(MTInputs!$J$1:$AZ$415,$D33,MATCH(X$5,MTInputs!$J$5:$AZ$5,0))</f>
        <v/>
      </c>
      <c r="Y33" s="31">
        <f>INDEX(MTInputs!$J$1:$AZ$415,$D33,MATCH(Y$5,MTInputs!$J$5:$AZ$5,0))</f>
        <v/>
      </c>
      <c r="Z33" s="23">
        <f>LOWER(Settings!$C$4)&amp;".mit."&amp;$A33&amp;IF($C33="","","."&amp;$C33&amp;"."&amp;$B33)&amp;IF(INDEX(Variables!$D$5:$D$65,MATCH($A33,Variables!$A$5:$A$65,0))="","","."&amp;INDEX(Variables!$D$5:$D$65,MATCH($A33,Variables!$A$5:$A$65,0)))&amp;"."&amp;Z$5</f>
        <v/>
      </c>
      <c r="AA33" s="30">
        <f>INDEX(MTInputs!$J$1:$AZ$415,$D33,MATCH(AA$5,MTInputs!$J$5:$AZ$5,0))</f>
        <v/>
      </c>
      <c r="AB33" s="31">
        <f>INDEX(MTInputs!$J$1:$AZ$415,$D33,MATCH(AB$5,MTInputs!$J$5:$AZ$5,0))</f>
        <v/>
      </c>
      <c r="AC33" s="31">
        <f>INDEX(MTInputs!$J$1:$AZ$415,$D33,MATCH(AC$5,MTInputs!$J$5:$AZ$5,0))</f>
        <v/>
      </c>
      <c r="AD33" s="31">
        <f>INDEX(MTInputs!$J$1:$AZ$415,$D33,MATCH(AD$5,MTInputs!$J$5:$AZ$5,0))</f>
        <v/>
      </c>
      <c r="AE33" s="31">
        <f>INDEX(MTInputs!$J$1:$AZ$415,$D33,MATCH(AE$5,MTInputs!$J$5:$AZ$5,0))</f>
        <v/>
      </c>
      <c r="AF33" s="31">
        <f>INDEX(MTInputs!$J$1:$AZ$415,$D33,MATCH(AF$5,MTInputs!$J$5:$AZ$5,0))</f>
        <v/>
      </c>
      <c r="AG33" s="31">
        <f>INDEX(MTInputs!$J$1:$AZ$415,$D33,MATCH(AG$5,MTInputs!$J$5:$AZ$5,0))</f>
        <v/>
      </c>
      <c r="AH33" s="31">
        <f>INDEX(MTInputs!$J$1:$AZ$415,$D33,MATCH(AH$5,MTInputs!$J$5:$AZ$5,0))</f>
        <v/>
      </c>
      <c r="AI33" s="31">
        <f>INDEX(MTInputs!$J$1:$AZ$415,$D33,MATCH(AI$5,MTInputs!$J$5:$AZ$5,0))</f>
        <v/>
      </c>
      <c r="AJ33" s="31">
        <f>INDEX(MTInputs!$J$1:$AZ$415,$D33,MATCH(AJ$5,MTInputs!$J$5:$AZ$5,0))</f>
        <v/>
      </c>
      <c r="AK33" s="31">
        <f>INDEX(MTInputs!$J$1:$AZ$415,$D33,MATCH(AK$5,MTInputs!$J$5:$AZ$5,0))</f>
        <v/>
      </c>
      <c r="AL33" s="31">
        <f>INDEX(MTInputs!$J$1:$AZ$415,$D33,MATCH(AL$5,MTInputs!$J$5:$AZ$5,0))</f>
        <v/>
      </c>
      <c r="AM33" s="31">
        <f>INDEX(MTInputs!$J$1:$AZ$415,$D33,MATCH(AM$5,MTInputs!$J$5:$AZ$5,0))</f>
        <v/>
      </c>
      <c r="AN33" s="31">
        <f>INDEX(MTInputs!$J$1:$AZ$415,$D33,MATCH(AN$5,MTInputs!$J$5:$AZ$5,0))</f>
        <v/>
      </c>
    </row>
    <row r="34" hidden="1" outlineLevel="1">
      <c r="A34" s="5" t="inlineStr">
        <is>
          <t>ctcov</t>
        </is>
      </c>
      <c r="B34" s="5" t="inlineStr">
        <is>
          <t>all</t>
        </is>
      </c>
      <c r="C34" s="5" t="inlineStr">
        <is>
          <t>srv</t>
        </is>
      </c>
      <c r="D34" s="6" t="n">
        <v>38</v>
      </c>
      <c r="H34" s="5">
        <f>INDEX(Variables!$B$5:$B$65,MATCH($A34,Variables!$A$5:$A$65,0))&amp;IF($C34="",""," | "&amp;INDEX(Mapping!$B$5:$B$25,MATCH($C34,Mapping!$A$5:$A$25,0))&amp;" | "&amp;INDEX(Mapping!$B$29:$B$38,MATCH($B34,Mapping!$A$29:$A$38,0)))</f>
        <v/>
      </c>
      <c r="I34" s="5">
        <f>INDEX(Variables!$C$5:$C$65,MATCH($A34,Variables!$A$5:$A$65,0))</f>
        <v/>
      </c>
      <c r="J34" s="5">
        <f>INDEX(Variables!$E$5:$E$65,MATCH($A34,Variables!$A$5:$A$65,0))</f>
        <v/>
      </c>
      <c r="K34" s="23">
        <f>LOWER(Settings!$C$4)&amp;".mit."&amp;$A34&amp;IF($C34="","","."&amp;$C34&amp;"."&amp;$B34)&amp;IF(INDEX(Variables!$D$5:$D$65,MATCH($A34,Variables!$A$5:$A$65,0))="","","."&amp;INDEX(Variables!$D$5:$D$65,MATCH($A34,Variables!$A$5:$A$65,0)))&amp;"."&amp;K$5</f>
        <v/>
      </c>
      <c r="L34" s="30">
        <f>INDEX(MTInputs!$J$1:$AZ$415,$D34,MATCH(L$5,MTInputs!$J$5:$AZ$5,0))</f>
        <v/>
      </c>
      <c r="M34" s="31">
        <f>INDEX(MTInputs!$J$1:$AZ$415,$D34,MATCH(M$5,MTInputs!$J$5:$AZ$5,0))</f>
        <v/>
      </c>
      <c r="N34" s="31">
        <f>INDEX(MTInputs!$J$1:$AZ$415,$D34,MATCH(N$5,MTInputs!$J$5:$AZ$5,0))</f>
        <v/>
      </c>
      <c r="O34" s="31">
        <f>INDEX(MTInputs!$J$1:$AZ$415,$D34,MATCH(O$5,MTInputs!$J$5:$AZ$5,0))</f>
        <v/>
      </c>
      <c r="P34" s="31">
        <f>INDEX(MTInputs!$J$1:$AZ$415,$D34,MATCH(P$5,MTInputs!$J$5:$AZ$5,0))</f>
        <v/>
      </c>
      <c r="Q34" s="31">
        <f>INDEX(MTInputs!$J$1:$AZ$415,$D34,MATCH(Q$5,MTInputs!$J$5:$AZ$5,0))</f>
        <v/>
      </c>
      <c r="R34" s="31">
        <f>INDEX(MTInputs!$J$1:$AZ$415,$D34,MATCH(R$5,MTInputs!$J$5:$AZ$5,0))</f>
        <v/>
      </c>
      <c r="S34" s="31">
        <f>INDEX(MTInputs!$J$1:$AZ$415,$D34,MATCH(S$5,MTInputs!$J$5:$AZ$5,0))</f>
        <v/>
      </c>
      <c r="T34" s="31">
        <f>INDEX(MTInputs!$J$1:$AZ$415,$D34,MATCH(T$5,MTInputs!$J$5:$AZ$5,0))</f>
        <v/>
      </c>
      <c r="U34" s="31">
        <f>INDEX(MTInputs!$J$1:$AZ$415,$D34,MATCH(U$5,MTInputs!$J$5:$AZ$5,0))</f>
        <v/>
      </c>
      <c r="V34" s="31">
        <f>INDEX(MTInputs!$J$1:$AZ$415,$D34,MATCH(V$5,MTInputs!$J$5:$AZ$5,0))</f>
        <v/>
      </c>
      <c r="W34" s="31">
        <f>INDEX(MTInputs!$J$1:$AZ$415,$D34,MATCH(W$5,MTInputs!$J$5:$AZ$5,0))</f>
        <v/>
      </c>
      <c r="X34" s="31">
        <f>INDEX(MTInputs!$J$1:$AZ$415,$D34,MATCH(X$5,MTInputs!$J$5:$AZ$5,0))</f>
        <v/>
      </c>
      <c r="Y34" s="31">
        <f>INDEX(MTInputs!$J$1:$AZ$415,$D34,MATCH(Y$5,MTInputs!$J$5:$AZ$5,0))</f>
        <v/>
      </c>
      <c r="Z34" s="23">
        <f>LOWER(Settings!$C$4)&amp;".mit."&amp;$A34&amp;IF($C34="","","."&amp;$C34&amp;"."&amp;$B34)&amp;IF(INDEX(Variables!$D$5:$D$65,MATCH($A34,Variables!$A$5:$A$65,0))="","","."&amp;INDEX(Variables!$D$5:$D$65,MATCH($A34,Variables!$A$5:$A$65,0)))&amp;"."&amp;Z$5</f>
        <v/>
      </c>
      <c r="AA34" s="30">
        <f>INDEX(MTInputs!$J$1:$AZ$415,$D34,MATCH(AA$5,MTInputs!$J$5:$AZ$5,0))</f>
        <v/>
      </c>
      <c r="AB34" s="31">
        <f>INDEX(MTInputs!$J$1:$AZ$415,$D34,MATCH(AB$5,MTInputs!$J$5:$AZ$5,0))</f>
        <v/>
      </c>
      <c r="AC34" s="31">
        <f>INDEX(MTInputs!$J$1:$AZ$415,$D34,MATCH(AC$5,MTInputs!$J$5:$AZ$5,0))</f>
        <v/>
      </c>
      <c r="AD34" s="31">
        <f>INDEX(MTInputs!$J$1:$AZ$415,$D34,MATCH(AD$5,MTInputs!$J$5:$AZ$5,0))</f>
        <v/>
      </c>
      <c r="AE34" s="31">
        <f>INDEX(MTInputs!$J$1:$AZ$415,$D34,MATCH(AE$5,MTInputs!$J$5:$AZ$5,0))</f>
        <v/>
      </c>
      <c r="AF34" s="31">
        <f>INDEX(MTInputs!$J$1:$AZ$415,$D34,MATCH(AF$5,MTInputs!$J$5:$AZ$5,0))</f>
        <v/>
      </c>
      <c r="AG34" s="31">
        <f>INDEX(MTInputs!$J$1:$AZ$415,$D34,MATCH(AG$5,MTInputs!$J$5:$AZ$5,0))</f>
        <v/>
      </c>
      <c r="AH34" s="31">
        <f>INDEX(MTInputs!$J$1:$AZ$415,$D34,MATCH(AH$5,MTInputs!$J$5:$AZ$5,0))</f>
        <v/>
      </c>
      <c r="AI34" s="31">
        <f>INDEX(MTInputs!$J$1:$AZ$415,$D34,MATCH(AI$5,MTInputs!$J$5:$AZ$5,0))</f>
        <v/>
      </c>
      <c r="AJ34" s="31">
        <f>INDEX(MTInputs!$J$1:$AZ$415,$D34,MATCH(AJ$5,MTInputs!$J$5:$AZ$5,0))</f>
        <v/>
      </c>
      <c r="AK34" s="31">
        <f>INDEX(MTInputs!$J$1:$AZ$415,$D34,MATCH(AK$5,MTInputs!$J$5:$AZ$5,0))</f>
        <v/>
      </c>
      <c r="AL34" s="31">
        <f>INDEX(MTInputs!$J$1:$AZ$415,$D34,MATCH(AL$5,MTInputs!$J$5:$AZ$5,0))</f>
        <v/>
      </c>
      <c r="AM34" s="31">
        <f>INDEX(MTInputs!$J$1:$AZ$415,$D34,MATCH(AM$5,MTInputs!$J$5:$AZ$5,0))</f>
        <v/>
      </c>
      <c r="AN34" s="31">
        <f>INDEX(MTInputs!$J$1:$AZ$415,$D34,MATCH(AN$5,MTInputs!$J$5:$AZ$5,0))</f>
        <v/>
      </c>
    </row>
    <row r="35" hidden="1" outlineLevel="1">
      <c r="A35" s="5" t="inlineStr">
        <is>
          <t>ctcov</t>
        </is>
      </c>
      <c r="B35" s="5" t="inlineStr">
        <is>
          <t>all</t>
        </is>
      </c>
      <c r="C35" s="5" t="inlineStr">
        <is>
          <t>mch</t>
        </is>
      </c>
      <c r="D35" s="6" t="n">
        <v>39</v>
      </c>
      <c r="H35" s="5">
        <f>INDEX(Variables!$B$5:$B$65,MATCH($A35,Variables!$A$5:$A$65,0))&amp;IF($C35="",""," | "&amp;INDEX(Mapping!$B$5:$B$25,MATCH($C35,Mapping!$A$5:$A$25,0))&amp;" | "&amp;INDEX(Mapping!$B$29:$B$38,MATCH($B35,Mapping!$A$29:$A$38,0)))</f>
        <v/>
      </c>
      <c r="I35" s="5">
        <f>INDEX(Variables!$C$5:$C$65,MATCH($A35,Variables!$A$5:$A$65,0))</f>
        <v/>
      </c>
      <c r="J35" s="5">
        <f>INDEX(Variables!$E$5:$E$65,MATCH($A35,Variables!$A$5:$A$65,0))</f>
        <v/>
      </c>
      <c r="K35" s="23">
        <f>LOWER(Settings!$C$4)&amp;".mit."&amp;$A35&amp;IF($C35="","","."&amp;$C35&amp;"."&amp;$B35)&amp;IF(INDEX(Variables!$D$5:$D$65,MATCH($A35,Variables!$A$5:$A$65,0))="","","."&amp;INDEX(Variables!$D$5:$D$65,MATCH($A35,Variables!$A$5:$A$65,0)))&amp;"."&amp;K$5</f>
        <v/>
      </c>
      <c r="L35" s="30">
        <f>INDEX(MTInputs!$J$1:$AZ$415,$D35,MATCH(L$5,MTInputs!$J$5:$AZ$5,0))</f>
        <v/>
      </c>
      <c r="M35" s="31">
        <f>INDEX(MTInputs!$J$1:$AZ$415,$D35,MATCH(M$5,MTInputs!$J$5:$AZ$5,0))</f>
        <v/>
      </c>
      <c r="N35" s="31">
        <f>INDEX(MTInputs!$J$1:$AZ$415,$D35,MATCH(N$5,MTInputs!$J$5:$AZ$5,0))</f>
        <v/>
      </c>
      <c r="O35" s="31">
        <f>INDEX(MTInputs!$J$1:$AZ$415,$D35,MATCH(O$5,MTInputs!$J$5:$AZ$5,0))</f>
        <v/>
      </c>
      <c r="P35" s="31">
        <f>INDEX(MTInputs!$J$1:$AZ$415,$D35,MATCH(P$5,MTInputs!$J$5:$AZ$5,0))</f>
        <v/>
      </c>
      <c r="Q35" s="31">
        <f>INDEX(MTInputs!$J$1:$AZ$415,$D35,MATCH(Q$5,MTInputs!$J$5:$AZ$5,0))</f>
        <v/>
      </c>
      <c r="R35" s="31">
        <f>INDEX(MTInputs!$J$1:$AZ$415,$D35,MATCH(R$5,MTInputs!$J$5:$AZ$5,0))</f>
        <v/>
      </c>
      <c r="S35" s="31">
        <f>INDEX(MTInputs!$J$1:$AZ$415,$D35,MATCH(S$5,MTInputs!$J$5:$AZ$5,0))</f>
        <v/>
      </c>
      <c r="T35" s="31">
        <f>INDEX(MTInputs!$J$1:$AZ$415,$D35,MATCH(T$5,MTInputs!$J$5:$AZ$5,0))</f>
        <v/>
      </c>
      <c r="U35" s="31">
        <f>INDEX(MTInputs!$J$1:$AZ$415,$D35,MATCH(U$5,MTInputs!$J$5:$AZ$5,0))</f>
        <v/>
      </c>
      <c r="V35" s="31">
        <f>INDEX(MTInputs!$J$1:$AZ$415,$D35,MATCH(V$5,MTInputs!$J$5:$AZ$5,0))</f>
        <v/>
      </c>
      <c r="W35" s="31">
        <f>INDEX(MTInputs!$J$1:$AZ$415,$D35,MATCH(W$5,MTInputs!$J$5:$AZ$5,0))</f>
        <v/>
      </c>
      <c r="X35" s="31">
        <f>INDEX(MTInputs!$J$1:$AZ$415,$D35,MATCH(X$5,MTInputs!$J$5:$AZ$5,0))</f>
        <v/>
      </c>
      <c r="Y35" s="31">
        <f>INDEX(MTInputs!$J$1:$AZ$415,$D35,MATCH(Y$5,MTInputs!$J$5:$AZ$5,0))</f>
        <v/>
      </c>
      <c r="Z35" s="23">
        <f>LOWER(Settings!$C$4)&amp;".mit."&amp;$A35&amp;IF($C35="","","."&amp;$C35&amp;"."&amp;$B35)&amp;IF(INDEX(Variables!$D$5:$D$65,MATCH($A35,Variables!$A$5:$A$65,0))="","","."&amp;INDEX(Variables!$D$5:$D$65,MATCH($A35,Variables!$A$5:$A$65,0)))&amp;"."&amp;Z$5</f>
        <v/>
      </c>
      <c r="AA35" s="30">
        <f>INDEX(MTInputs!$J$1:$AZ$415,$D35,MATCH(AA$5,MTInputs!$J$5:$AZ$5,0))</f>
        <v/>
      </c>
      <c r="AB35" s="31">
        <f>INDEX(MTInputs!$J$1:$AZ$415,$D35,MATCH(AB$5,MTInputs!$J$5:$AZ$5,0))</f>
        <v/>
      </c>
      <c r="AC35" s="31">
        <f>INDEX(MTInputs!$J$1:$AZ$415,$D35,MATCH(AC$5,MTInputs!$J$5:$AZ$5,0))</f>
        <v/>
      </c>
      <c r="AD35" s="31">
        <f>INDEX(MTInputs!$J$1:$AZ$415,$D35,MATCH(AD$5,MTInputs!$J$5:$AZ$5,0))</f>
        <v/>
      </c>
      <c r="AE35" s="31">
        <f>INDEX(MTInputs!$J$1:$AZ$415,$D35,MATCH(AE$5,MTInputs!$J$5:$AZ$5,0))</f>
        <v/>
      </c>
      <c r="AF35" s="31">
        <f>INDEX(MTInputs!$J$1:$AZ$415,$D35,MATCH(AF$5,MTInputs!$J$5:$AZ$5,0))</f>
        <v/>
      </c>
      <c r="AG35" s="31">
        <f>INDEX(MTInputs!$J$1:$AZ$415,$D35,MATCH(AG$5,MTInputs!$J$5:$AZ$5,0))</f>
        <v/>
      </c>
      <c r="AH35" s="31">
        <f>INDEX(MTInputs!$J$1:$AZ$415,$D35,MATCH(AH$5,MTInputs!$J$5:$AZ$5,0))</f>
        <v/>
      </c>
      <c r="AI35" s="31">
        <f>INDEX(MTInputs!$J$1:$AZ$415,$D35,MATCH(AI$5,MTInputs!$J$5:$AZ$5,0))</f>
        <v/>
      </c>
      <c r="AJ35" s="31">
        <f>INDEX(MTInputs!$J$1:$AZ$415,$D35,MATCH(AJ$5,MTInputs!$J$5:$AZ$5,0))</f>
        <v/>
      </c>
      <c r="AK35" s="31">
        <f>INDEX(MTInputs!$J$1:$AZ$415,$D35,MATCH(AK$5,MTInputs!$J$5:$AZ$5,0))</f>
        <v/>
      </c>
      <c r="AL35" s="31">
        <f>INDEX(MTInputs!$J$1:$AZ$415,$D35,MATCH(AL$5,MTInputs!$J$5:$AZ$5,0))</f>
        <v/>
      </c>
      <c r="AM35" s="31">
        <f>INDEX(MTInputs!$J$1:$AZ$415,$D35,MATCH(AM$5,MTInputs!$J$5:$AZ$5,0))</f>
        <v/>
      </c>
      <c r="AN35" s="31">
        <f>INDEX(MTInputs!$J$1:$AZ$415,$D35,MATCH(AN$5,MTInputs!$J$5:$AZ$5,0))</f>
        <v/>
      </c>
    </row>
    <row r="36" hidden="1" outlineLevel="1">
      <c r="A36" s="5" t="inlineStr">
        <is>
          <t>ctcov</t>
        </is>
      </c>
      <c r="B36" s="5" t="inlineStr">
        <is>
          <t>all</t>
        </is>
      </c>
      <c r="C36" s="5" t="inlineStr">
        <is>
          <t>irn</t>
        </is>
      </c>
      <c r="D36" s="6" t="n">
        <v>40</v>
      </c>
      <c r="H36" s="5">
        <f>INDEX(Variables!$B$5:$B$65,MATCH($A36,Variables!$A$5:$A$65,0))&amp;IF($C36="",""," | "&amp;INDEX(Mapping!$B$5:$B$25,MATCH($C36,Mapping!$A$5:$A$25,0))&amp;" | "&amp;INDEX(Mapping!$B$29:$B$38,MATCH($B36,Mapping!$A$29:$A$38,0)))</f>
        <v/>
      </c>
      <c r="I36" s="5">
        <f>INDEX(Variables!$C$5:$C$65,MATCH($A36,Variables!$A$5:$A$65,0))</f>
        <v/>
      </c>
      <c r="J36" s="5">
        <f>INDEX(Variables!$E$5:$E$65,MATCH($A36,Variables!$A$5:$A$65,0))</f>
        <v/>
      </c>
      <c r="K36" s="23">
        <f>LOWER(Settings!$C$4)&amp;".mit."&amp;$A36&amp;IF($C36="","","."&amp;$C36&amp;"."&amp;$B36)&amp;IF(INDEX(Variables!$D$5:$D$65,MATCH($A36,Variables!$A$5:$A$65,0))="","","."&amp;INDEX(Variables!$D$5:$D$65,MATCH($A36,Variables!$A$5:$A$65,0)))&amp;"."&amp;K$5</f>
        <v/>
      </c>
      <c r="L36" s="30">
        <f>INDEX(MTInputs!$J$1:$AZ$415,$D36,MATCH(L$5,MTInputs!$J$5:$AZ$5,0))</f>
        <v/>
      </c>
      <c r="M36" s="31">
        <f>INDEX(MTInputs!$J$1:$AZ$415,$D36,MATCH(M$5,MTInputs!$J$5:$AZ$5,0))</f>
        <v/>
      </c>
      <c r="N36" s="31">
        <f>INDEX(MTInputs!$J$1:$AZ$415,$D36,MATCH(N$5,MTInputs!$J$5:$AZ$5,0))</f>
        <v/>
      </c>
      <c r="O36" s="31">
        <f>INDEX(MTInputs!$J$1:$AZ$415,$D36,MATCH(O$5,MTInputs!$J$5:$AZ$5,0))</f>
        <v/>
      </c>
      <c r="P36" s="31">
        <f>INDEX(MTInputs!$J$1:$AZ$415,$D36,MATCH(P$5,MTInputs!$J$5:$AZ$5,0))</f>
        <v/>
      </c>
      <c r="Q36" s="31">
        <f>INDEX(MTInputs!$J$1:$AZ$415,$D36,MATCH(Q$5,MTInputs!$J$5:$AZ$5,0))</f>
        <v/>
      </c>
      <c r="R36" s="31">
        <f>INDEX(MTInputs!$J$1:$AZ$415,$D36,MATCH(R$5,MTInputs!$J$5:$AZ$5,0))</f>
        <v/>
      </c>
      <c r="S36" s="31">
        <f>INDEX(MTInputs!$J$1:$AZ$415,$D36,MATCH(S$5,MTInputs!$J$5:$AZ$5,0))</f>
        <v/>
      </c>
      <c r="T36" s="31">
        <f>INDEX(MTInputs!$J$1:$AZ$415,$D36,MATCH(T$5,MTInputs!$J$5:$AZ$5,0))</f>
        <v/>
      </c>
      <c r="U36" s="31">
        <f>INDEX(MTInputs!$J$1:$AZ$415,$D36,MATCH(U$5,MTInputs!$J$5:$AZ$5,0))</f>
        <v/>
      </c>
      <c r="V36" s="31">
        <f>INDEX(MTInputs!$J$1:$AZ$415,$D36,MATCH(V$5,MTInputs!$J$5:$AZ$5,0))</f>
        <v/>
      </c>
      <c r="W36" s="31">
        <f>INDEX(MTInputs!$J$1:$AZ$415,$D36,MATCH(W$5,MTInputs!$J$5:$AZ$5,0))</f>
        <v/>
      </c>
      <c r="X36" s="31">
        <f>INDEX(MTInputs!$J$1:$AZ$415,$D36,MATCH(X$5,MTInputs!$J$5:$AZ$5,0))</f>
        <v/>
      </c>
      <c r="Y36" s="31">
        <f>INDEX(MTInputs!$J$1:$AZ$415,$D36,MATCH(Y$5,MTInputs!$J$5:$AZ$5,0))</f>
        <v/>
      </c>
      <c r="Z36" s="23">
        <f>LOWER(Settings!$C$4)&amp;".mit."&amp;$A36&amp;IF($C36="","","."&amp;$C36&amp;"."&amp;$B36)&amp;IF(INDEX(Variables!$D$5:$D$65,MATCH($A36,Variables!$A$5:$A$65,0))="","","."&amp;INDEX(Variables!$D$5:$D$65,MATCH($A36,Variables!$A$5:$A$65,0)))&amp;"."&amp;Z$5</f>
        <v/>
      </c>
      <c r="AA36" s="30">
        <f>INDEX(MTInputs!$J$1:$AZ$415,$D36,MATCH(AA$5,MTInputs!$J$5:$AZ$5,0))</f>
        <v/>
      </c>
      <c r="AB36" s="31">
        <f>INDEX(MTInputs!$J$1:$AZ$415,$D36,MATCH(AB$5,MTInputs!$J$5:$AZ$5,0))</f>
        <v/>
      </c>
      <c r="AC36" s="31">
        <f>INDEX(MTInputs!$J$1:$AZ$415,$D36,MATCH(AC$5,MTInputs!$J$5:$AZ$5,0))</f>
        <v/>
      </c>
      <c r="AD36" s="31">
        <f>INDEX(MTInputs!$J$1:$AZ$415,$D36,MATCH(AD$5,MTInputs!$J$5:$AZ$5,0))</f>
        <v/>
      </c>
      <c r="AE36" s="31">
        <f>INDEX(MTInputs!$J$1:$AZ$415,$D36,MATCH(AE$5,MTInputs!$J$5:$AZ$5,0))</f>
        <v/>
      </c>
      <c r="AF36" s="31">
        <f>INDEX(MTInputs!$J$1:$AZ$415,$D36,MATCH(AF$5,MTInputs!$J$5:$AZ$5,0))</f>
        <v/>
      </c>
      <c r="AG36" s="31">
        <f>INDEX(MTInputs!$J$1:$AZ$415,$D36,MATCH(AG$5,MTInputs!$J$5:$AZ$5,0))</f>
        <v/>
      </c>
      <c r="AH36" s="31">
        <f>INDEX(MTInputs!$J$1:$AZ$415,$D36,MATCH(AH$5,MTInputs!$J$5:$AZ$5,0))</f>
        <v/>
      </c>
      <c r="AI36" s="31">
        <f>INDEX(MTInputs!$J$1:$AZ$415,$D36,MATCH(AI$5,MTInputs!$J$5:$AZ$5,0))</f>
        <v/>
      </c>
      <c r="AJ36" s="31">
        <f>INDEX(MTInputs!$J$1:$AZ$415,$D36,MATCH(AJ$5,MTInputs!$J$5:$AZ$5,0))</f>
        <v/>
      </c>
      <c r="AK36" s="31">
        <f>INDEX(MTInputs!$J$1:$AZ$415,$D36,MATCH(AK$5,MTInputs!$J$5:$AZ$5,0))</f>
        <v/>
      </c>
      <c r="AL36" s="31">
        <f>INDEX(MTInputs!$J$1:$AZ$415,$D36,MATCH(AL$5,MTInputs!$J$5:$AZ$5,0))</f>
        <v/>
      </c>
      <c r="AM36" s="31">
        <f>INDEX(MTInputs!$J$1:$AZ$415,$D36,MATCH(AM$5,MTInputs!$J$5:$AZ$5,0))</f>
        <v/>
      </c>
      <c r="AN36" s="31">
        <f>INDEX(MTInputs!$J$1:$AZ$415,$D36,MATCH(AN$5,MTInputs!$J$5:$AZ$5,0))</f>
        <v/>
      </c>
    </row>
    <row r="37" hidden="1" outlineLevel="1">
      <c r="A37" s="5" t="inlineStr">
        <is>
          <t>ctcov</t>
        </is>
      </c>
      <c r="B37" s="5" t="inlineStr">
        <is>
          <t>all</t>
        </is>
      </c>
      <c r="C37" s="5" t="inlineStr">
        <is>
          <t>nfm</t>
        </is>
      </c>
      <c r="D37" s="6" t="n">
        <v>41</v>
      </c>
      <c r="H37" s="5">
        <f>INDEX(Variables!$B$5:$B$65,MATCH($A37,Variables!$A$5:$A$65,0))&amp;IF($C37="",""," | "&amp;INDEX(Mapping!$B$5:$B$25,MATCH($C37,Mapping!$A$5:$A$25,0))&amp;" | "&amp;INDEX(Mapping!$B$29:$B$38,MATCH($B37,Mapping!$A$29:$A$38,0)))</f>
        <v/>
      </c>
      <c r="I37" s="5">
        <f>INDEX(Variables!$C$5:$C$65,MATCH($A37,Variables!$A$5:$A$65,0))</f>
        <v/>
      </c>
      <c r="J37" s="5">
        <f>INDEX(Variables!$E$5:$E$65,MATCH($A37,Variables!$A$5:$A$65,0))</f>
        <v/>
      </c>
      <c r="K37" s="23">
        <f>LOWER(Settings!$C$4)&amp;".mit."&amp;$A37&amp;IF($C37="","","."&amp;$C37&amp;"."&amp;$B37)&amp;IF(INDEX(Variables!$D$5:$D$65,MATCH($A37,Variables!$A$5:$A$65,0))="","","."&amp;INDEX(Variables!$D$5:$D$65,MATCH($A37,Variables!$A$5:$A$65,0)))&amp;"."&amp;K$5</f>
        <v/>
      </c>
      <c r="L37" s="30">
        <f>INDEX(MTInputs!$J$1:$AZ$415,$D37,MATCH(L$5,MTInputs!$J$5:$AZ$5,0))</f>
        <v/>
      </c>
      <c r="M37" s="31">
        <f>INDEX(MTInputs!$J$1:$AZ$415,$D37,MATCH(M$5,MTInputs!$J$5:$AZ$5,0))</f>
        <v/>
      </c>
      <c r="N37" s="31">
        <f>INDEX(MTInputs!$J$1:$AZ$415,$D37,MATCH(N$5,MTInputs!$J$5:$AZ$5,0))</f>
        <v/>
      </c>
      <c r="O37" s="31">
        <f>INDEX(MTInputs!$J$1:$AZ$415,$D37,MATCH(O$5,MTInputs!$J$5:$AZ$5,0))</f>
        <v/>
      </c>
      <c r="P37" s="31">
        <f>INDEX(MTInputs!$J$1:$AZ$415,$D37,MATCH(P$5,MTInputs!$J$5:$AZ$5,0))</f>
        <v/>
      </c>
      <c r="Q37" s="31">
        <f>INDEX(MTInputs!$J$1:$AZ$415,$D37,MATCH(Q$5,MTInputs!$J$5:$AZ$5,0))</f>
        <v/>
      </c>
      <c r="R37" s="31">
        <f>INDEX(MTInputs!$J$1:$AZ$415,$D37,MATCH(R$5,MTInputs!$J$5:$AZ$5,0))</f>
        <v/>
      </c>
      <c r="S37" s="31">
        <f>INDEX(MTInputs!$J$1:$AZ$415,$D37,MATCH(S$5,MTInputs!$J$5:$AZ$5,0))</f>
        <v/>
      </c>
      <c r="T37" s="31">
        <f>INDEX(MTInputs!$J$1:$AZ$415,$D37,MATCH(T$5,MTInputs!$J$5:$AZ$5,0))</f>
        <v/>
      </c>
      <c r="U37" s="31">
        <f>INDEX(MTInputs!$J$1:$AZ$415,$D37,MATCH(U$5,MTInputs!$J$5:$AZ$5,0))</f>
        <v/>
      </c>
      <c r="V37" s="31">
        <f>INDEX(MTInputs!$J$1:$AZ$415,$D37,MATCH(V$5,MTInputs!$J$5:$AZ$5,0))</f>
        <v/>
      </c>
      <c r="W37" s="31">
        <f>INDEX(MTInputs!$J$1:$AZ$415,$D37,MATCH(W$5,MTInputs!$J$5:$AZ$5,0))</f>
        <v/>
      </c>
      <c r="X37" s="31">
        <f>INDEX(MTInputs!$J$1:$AZ$415,$D37,MATCH(X$5,MTInputs!$J$5:$AZ$5,0))</f>
        <v/>
      </c>
      <c r="Y37" s="31">
        <f>INDEX(MTInputs!$J$1:$AZ$415,$D37,MATCH(Y$5,MTInputs!$J$5:$AZ$5,0))</f>
        <v/>
      </c>
      <c r="Z37" s="23">
        <f>LOWER(Settings!$C$4)&amp;".mit."&amp;$A37&amp;IF($C37="","","."&amp;$C37&amp;"."&amp;$B37)&amp;IF(INDEX(Variables!$D$5:$D$65,MATCH($A37,Variables!$A$5:$A$65,0))="","","."&amp;INDEX(Variables!$D$5:$D$65,MATCH($A37,Variables!$A$5:$A$65,0)))&amp;"."&amp;Z$5</f>
        <v/>
      </c>
      <c r="AA37" s="30">
        <f>INDEX(MTInputs!$J$1:$AZ$415,$D37,MATCH(AA$5,MTInputs!$J$5:$AZ$5,0))</f>
        <v/>
      </c>
      <c r="AB37" s="31">
        <f>INDEX(MTInputs!$J$1:$AZ$415,$D37,MATCH(AB$5,MTInputs!$J$5:$AZ$5,0))</f>
        <v/>
      </c>
      <c r="AC37" s="31">
        <f>INDEX(MTInputs!$J$1:$AZ$415,$D37,MATCH(AC$5,MTInputs!$J$5:$AZ$5,0))</f>
        <v/>
      </c>
      <c r="AD37" s="31">
        <f>INDEX(MTInputs!$J$1:$AZ$415,$D37,MATCH(AD$5,MTInputs!$J$5:$AZ$5,0))</f>
        <v/>
      </c>
      <c r="AE37" s="31">
        <f>INDEX(MTInputs!$J$1:$AZ$415,$D37,MATCH(AE$5,MTInputs!$J$5:$AZ$5,0))</f>
        <v/>
      </c>
      <c r="AF37" s="31">
        <f>INDEX(MTInputs!$J$1:$AZ$415,$D37,MATCH(AF$5,MTInputs!$J$5:$AZ$5,0))</f>
        <v/>
      </c>
      <c r="AG37" s="31">
        <f>INDEX(MTInputs!$J$1:$AZ$415,$D37,MATCH(AG$5,MTInputs!$J$5:$AZ$5,0))</f>
        <v/>
      </c>
      <c r="AH37" s="31">
        <f>INDEX(MTInputs!$J$1:$AZ$415,$D37,MATCH(AH$5,MTInputs!$J$5:$AZ$5,0))</f>
        <v/>
      </c>
      <c r="AI37" s="31">
        <f>INDEX(MTInputs!$J$1:$AZ$415,$D37,MATCH(AI$5,MTInputs!$J$5:$AZ$5,0))</f>
        <v/>
      </c>
      <c r="AJ37" s="31">
        <f>INDEX(MTInputs!$J$1:$AZ$415,$D37,MATCH(AJ$5,MTInputs!$J$5:$AZ$5,0))</f>
        <v/>
      </c>
      <c r="AK37" s="31">
        <f>INDEX(MTInputs!$J$1:$AZ$415,$D37,MATCH(AK$5,MTInputs!$J$5:$AZ$5,0))</f>
        <v/>
      </c>
      <c r="AL37" s="31">
        <f>INDEX(MTInputs!$J$1:$AZ$415,$D37,MATCH(AL$5,MTInputs!$J$5:$AZ$5,0))</f>
        <v/>
      </c>
      <c r="AM37" s="31">
        <f>INDEX(MTInputs!$J$1:$AZ$415,$D37,MATCH(AM$5,MTInputs!$J$5:$AZ$5,0))</f>
        <v/>
      </c>
      <c r="AN37" s="31">
        <f>INDEX(MTInputs!$J$1:$AZ$415,$D37,MATCH(AN$5,MTInputs!$J$5:$AZ$5,0))</f>
        <v/>
      </c>
    </row>
    <row r="38" hidden="1" outlineLevel="1">
      <c r="A38" s="5" t="inlineStr">
        <is>
          <t>ctcov</t>
        </is>
      </c>
      <c r="B38" s="5" t="inlineStr">
        <is>
          <t>all</t>
        </is>
      </c>
      <c r="C38" s="5" t="inlineStr">
        <is>
          <t>mac</t>
        </is>
      </c>
      <c r="D38" s="6" t="n">
        <v>42</v>
      </c>
      <c r="H38" s="5">
        <f>INDEX(Variables!$B$5:$B$65,MATCH($A38,Variables!$A$5:$A$65,0))&amp;IF($C38="",""," | "&amp;INDEX(Mapping!$B$5:$B$25,MATCH($C38,Mapping!$A$5:$A$25,0))&amp;" | "&amp;INDEX(Mapping!$B$29:$B$38,MATCH($B38,Mapping!$A$29:$A$38,0)))</f>
        <v/>
      </c>
      <c r="I38" s="5">
        <f>INDEX(Variables!$C$5:$C$65,MATCH($A38,Variables!$A$5:$A$65,0))</f>
        <v/>
      </c>
      <c r="J38" s="5">
        <f>INDEX(Variables!$E$5:$E$65,MATCH($A38,Variables!$A$5:$A$65,0))</f>
        <v/>
      </c>
      <c r="K38" s="23">
        <f>LOWER(Settings!$C$4)&amp;".mit."&amp;$A38&amp;IF($C38="","","."&amp;$C38&amp;"."&amp;$B38)&amp;IF(INDEX(Variables!$D$5:$D$65,MATCH($A38,Variables!$A$5:$A$65,0))="","","."&amp;INDEX(Variables!$D$5:$D$65,MATCH($A38,Variables!$A$5:$A$65,0)))&amp;"."&amp;K$5</f>
        <v/>
      </c>
      <c r="L38" s="30">
        <f>INDEX(MTInputs!$J$1:$AZ$415,$D38,MATCH(L$5,MTInputs!$J$5:$AZ$5,0))</f>
        <v/>
      </c>
      <c r="M38" s="31">
        <f>INDEX(MTInputs!$J$1:$AZ$415,$D38,MATCH(M$5,MTInputs!$J$5:$AZ$5,0))</f>
        <v/>
      </c>
      <c r="N38" s="31">
        <f>INDEX(MTInputs!$J$1:$AZ$415,$D38,MATCH(N$5,MTInputs!$J$5:$AZ$5,0))</f>
        <v/>
      </c>
      <c r="O38" s="31">
        <f>INDEX(MTInputs!$J$1:$AZ$415,$D38,MATCH(O$5,MTInputs!$J$5:$AZ$5,0))</f>
        <v/>
      </c>
      <c r="P38" s="31">
        <f>INDEX(MTInputs!$J$1:$AZ$415,$D38,MATCH(P$5,MTInputs!$J$5:$AZ$5,0))</f>
        <v/>
      </c>
      <c r="Q38" s="31">
        <f>INDEX(MTInputs!$J$1:$AZ$415,$D38,MATCH(Q$5,MTInputs!$J$5:$AZ$5,0))</f>
        <v/>
      </c>
      <c r="R38" s="31">
        <f>INDEX(MTInputs!$J$1:$AZ$415,$D38,MATCH(R$5,MTInputs!$J$5:$AZ$5,0))</f>
        <v/>
      </c>
      <c r="S38" s="31">
        <f>INDEX(MTInputs!$J$1:$AZ$415,$D38,MATCH(S$5,MTInputs!$J$5:$AZ$5,0))</f>
        <v/>
      </c>
      <c r="T38" s="31">
        <f>INDEX(MTInputs!$J$1:$AZ$415,$D38,MATCH(T$5,MTInputs!$J$5:$AZ$5,0))</f>
        <v/>
      </c>
      <c r="U38" s="31">
        <f>INDEX(MTInputs!$J$1:$AZ$415,$D38,MATCH(U$5,MTInputs!$J$5:$AZ$5,0))</f>
        <v/>
      </c>
      <c r="V38" s="31">
        <f>INDEX(MTInputs!$J$1:$AZ$415,$D38,MATCH(V$5,MTInputs!$J$5:$AZ$5,0))</f>
        <v/>
      </c>
      <c r="W38" s="31">
        <f>INDEX(MTInputs!$J$1:$AZ$415,$D38,MATCH(W$5,MTInputs!$J$5:$AZ$5,0))</f>
        <v/>
      </c>
      <c r="X38" s="31">
        <f>INDEX(MTInputs!$J$1:$AZ$415,$D38,MATCH(X$5,MTInputs!$J$5:$AZ$5,0))</f>
        <v/>
      </c>
      <c r="Y38" s="31">
        <f>INDEX(MTInputs!$J$1:$AZ$415,$D38,MATCH(Y$5,MTInputs!$J$5:$AZ$5,0))</f>
        <v/>
      </c>
      <c r="Z38" s="23">
        <f>LOWER(Settings!$C$4)&amp;".mit."&amp;$A38&amp;IF($C38="","","."&amp;$C38&amp;"."&amp;$B38)&amp;IF(INDEX(Variables!$D$5:$D$65,MATCH($A38,Variables!$A$5:$A$65,0))="","","."&amp;INDEX(Variables!$D$5:$D$65,MATCH($A38,Variables!$A$5:$A$65,0)))&amp;"."&amp;Z$5</f>
        <v/>
      </c>
      <c r="AA38" s="30">
        <f>INDEX(MTInputs!$J$1:$AZ$415,$D38,MATCH(AA$5,MTInputs!$J$5:$AZ$5,0))</f>
        <v/>
      </c>
      <c r="AB38" s="31">
        <f>INDEX(MTInputs!$J$1:$AZ$415,$D38,MATCH(AB$5,MTInputs!$J$5:$AZ$5,0))</f>
        <v/>
      </c>
      <c r="AC38" s="31">
        <f>INDEX(MTInputs!$J$1:$AZ$415,$D38,MATCH(AC$5,MTInputs!$J$5:$AZ$5,0))</f>
        <v/>
      </c>
      <c r="AD38" s="31">
        <f>INDEX(MTInputs!$J$1:$AZ$415,$D38,MATCH(AD$5,MTInputs!$J$5:$AZ$5,0))</f>
        <v/>
      </c>
      <c r="AE38" s="31">
        <f>INDEX(MTInputs!$J$1:$AZ$415,$D38,MATCH(AE$5,MTInputs!$J$5:$AZ$5,0))</f>
        <v/>
      </c>
      <c r="AF38" s="31">
        <f>INDEX(MTInputs!$J$1:$AZ$415,$D38,MATCH(AF$5,MTInputs!$J$5:$AZ$5,0))</f>
        <v/>
      </c>
      <c r="AG38" s="31">
        <f>INDEX(MTInputs!$J$1:$AZ$415,$D38,MATCH(AG$5,MTInputs!$J$5:$AZ$5,0))</f>
        <v/>
      </c>
      <c r="AH38" s="31">
        <f>INDEX(MTInputs!$J$1:$AZ$415,$D38,MATCH(AH$5,MTInputs!$J$5:$AZ$5,0))</f>
        <v/>
      </c>
      <c r="AI38" s="31">
        <f>INDEX(MTInputs!$J$1:$AZ$415,$D38,MATCH(AI$5,MTInputs!$J$5:$AZ$5,0))</f>
        <v/>
      </c>
      <c r="AJ38" s="31">
        <f>INDEX(MTInputs!$J$1:$AZ$415,$D38,MATCH(AJ$5,MTInputs!$J$5:$AZ$5,0))</f>
        <v/>
      </c>
      <c r="AK38" s="31">
        <f>INDEX(MTInputs!$J$1:$AZ$415,$D38,MATCH(AK$5,MTInputs!$J$5:$AZ$5,0))</f>
        <v/>
      </c>
      <c r="AL38" s="31">
        <f>INDEX(MTInputs!$J$1:$AZ$415,$D38,MATCH(AL$5,MTInputs!$J$5:$AZ$5,0))</f>
        <v/>
      </c>
      <c r="AM38" s="31">
        <f>INDEX(MTInputs!$J$1:$AZ$415,$D38,MATCH(AM$5,MTInputs!$J$5:$AZ$5,0))</f>
        <v/>
      </c>
      <c r="AN38" s="31">
        <f>INDEX(MTInputs!$J$1:$AZ$415,$D38,MATCH(AN$5,MTInputs!$J$5:$AZ$5,0))</f>
        <v/>
      </c>
    </row>
    <row r="39" hidden="1" outlineLevel="1">
      <c r="A39" s="5" t="inlineStr">
        <is>
          <t>ctcov</t>
        </is>
      </c>
      <c r="B39" s="5" t="inlineStr">
        <is>
          <t>all</t>
        </is>
      </c>
      <c r="C39" s="5" t="inlineStr">
        <is>
          <t>cem</t>
        </is>
      </c>
      <c r="D39" s="6" t="n">
        <v>43</v>
      </c>
      <c r="H39" s="5">
        <f>INDEX(Variables!$B$5:$B$65,MATCH($A39,Variables!$A$5:$A$65,0))&amp;IF($C39="",""," | "&amp;INDEX(Mapping!$B$5:$B$25,MATCH($C39,Mapping!$A$5:$A$25,0))&amp;" | "&amp;INDEX(Mapping!$B$29:$B$38,MATCH($B39,Mapping!$A$29:$A$38,0)))</f>
        <v/>
      </c>
      <c r="I39" s="5">
        <f>INDEX(Variables!$C$5:$C$65,MATCH($A39,Variables!$A$5:$A$65,0))</f>
        <v/>
      </c>
      <c r="J39" s="5">
        <f>INDEX(Variables!$E$5:$E$65,MATCH($A39,Variables!$A$5:$A$65,0))</f>
        <v/>
      </c>
      <c r="K39" s="23">
        <f>LOWER(Settings!$C$4)&amp;".mit."&amp;$A39&amp;IF($C39="","","."&amp;$C39&amp;"."&amp;$B39)&amp;IF(INDEX(Variables!$D$5:$D$65,MATCH($A39,Variables!$A$5:$A$65,0))="","","."&amp;INDEX(Variables!$D$5:$D$65,MATCH($A39,Variables!$A$5:$A$65,0)))&amp;"."&amp;K$5</f>
        <v/>
      </c>
      <c r="L39" s="30">
        <f>INDEX(MTInputs!$J$1:$AZ$415,$D39,MATCH(L$5,MTInputs!$J$5:$AZ$5,0))</f>
        <v/>
      </c>
      <c r="M39" s="31">
        <f>INDEX(MTInputs!$J$1:$AZ$415,$D39,MATCH(M$5,MTInputs!$J$5:$AZ$5,0))</f>
        <v/>
      </c>
      <c r="N39" s="31">
        <f>INDEX(MTInputs!$J$1:$AZ$415,$D39,MATCH(N$5,MTInputs!$J$5:$AZ$5,0))</f>
        <v/>
      </c>
      <c r="O39" s="31">
        <f>INDEX(MTInputs!$J$1:$AZ$415,$D39,MATCH(O$5,MTInputs!$J$5:$AZ$5,0))</f>
        <v/>
      </c>
      <c r="P39" s="31">
        <f>INDEX(MTInputs!$J$1:$AZ$415,$D39,MATCH(P$5,MTInputs!$J$5:$AZ$5,0))</f>
        <v/>
      </c>
      <c r="Q39" s="31">
        <f>INDEX(MTInputs!$J$1:$AZ$415,$D39,MATCH(Q$5,MTInputs!$J$5:$AZ$5,0))</f>
        <v/>
      </c>
      <c r="R39" s="31">
        <f>INDEX(MTInputs!$J$1:$AZ$415,$D39,MATCH(R$5,MTInputs!$J$5:$AZ$5,0))</f>
        <v/>
      </c>
      <c r="S39" s="31">
        <f>INDEX(MTInputs!$J$1:$AZ$415,$D39,MATCH(S$5,MTInputs!$J$5:$AZ$5,0))</f>
        <v/>
      </c>
      <c r="T39" s="31">
        <f>INDEX(MTInputs!$J$1:$AZ$415,$D39,MATCH(T$5,MTInputs!$J$5:$AZ$5,0))</f>
        <v/>
      </c>
      <c r="U39" s="31">
        <f>INDEX(MTInputs!$J$1:$AZ$415,$D39,MATCH(U$5,MTInputs!$J$5:$AZ$5,0))</f>
        <v/>
      </c>
      <c r="V39" s="31">
        <f>INDEX(MTInputs!$J$1:$AZ$415,$D39,MATCH(V$5,MTInputs!$J$5:$AZ$5,0))</f>
        <v/>
      </c>
      <c r="W39" s="31">
        <f>INDEX(MTInputs!$J$1:$AZ$415,$D39,MATCH(W$5,MTInputs!$J$5:$AZ$5,0))</f>
        <v/>
      </c>
      <c r="X39" s="31">
        <f>INDEX(MTInputs!$J$1:$AZ$415,$D39,MATCH(X$5,MTInputs!$J$5:$AZ$5,0))</f>
        <v/>
      </c>
      <c r="Y39" s="31">
        <f>INDEX(MTInputs!$J$1:$AZ$415,$D39,MATCH(Y$5,MTInputs!$J$5:$AZ$5,0))</f>
        <v/>
      </c>
      <c r="Z39" s="23">
        <f>LOWER(Settings!$C$4)&amp;".mit."&amp;$A39&amp;IF($C39="","","."&amp;$C39&amp;"."&amp;$B39)&amp;IF(INDEX(Variables!$D$5:$D$65,MATCH($A39,Variables!$A$5:$A$65,0))="","","."&amp;INDEX(Variables!$D$5:$D$65,MATCH($A39,Variables!$A$5:$A$65,0)))&amp;"."&amp;Z$5</f>
        <v/>
      </c>
      <c r="AA39" s="30">
        <f>INDEX(MTInputs!$J$1:$AZ$415,$D39,MATCH(AA$5,MTInputs!$J$5:$AZ$5,0))</f>
        <v/>
      </c>
      <c r="AB39" s="31">
        <f>INDEX(MTInputs!$J$1:$AZ$415,$D39,MATCH(AB$5,MTInputs!$J$5:$AZ$5,0))</f>
        <v/>
      </c>
      <c r="AC39" s="31">
        <f>INDEX(MTInputs!$J$1:$AZ$415,$D39,MATCH(AC$5,MTInputs!$J$5:$AZ$5,0))</f>
        <v/>
      </c>
      <c r="AD39" s="31">
        <f>INDEX(MTInputs!$J$1:$AZ$415,$D39,MATCH(AD$5,MTInputs!$J$5:$AZ$5,0))</f>
        <v/>
      </c>
      <c r="AE39" s="31">
        <f>INDEX(MTInputs!$J$1:$AZ$415,$D39,MATCH(AE$5,MTInputs!$J$5:$AZ$5,0))</f>
        <v/>
      </c>
      <c r="AF39" s="31">
        <f>INDEX(MTInputs!$J$1:$AZ$415,$D39,MATCH(AF$5,MTInputs!$J$5:$AZ$5,0))</f>
        <v/>
      </c>
      <c r="AG39" s="31">
        <f>INDEX(MTInputs!$J$1:$AZ$415,$D39,MATCH(AG$5,MTInputs!$J$5:$AZ$5,0))</f>
        <v/>
      </c>
      <c r="AH39" s="31">
        <f>INDEX(MTInputs!$J$1:$AZ$415,$D39,MATCH(AH$5,MTInputs!$J$5:$AZ$5,0))</f>
        <v/>
      </c>
      <c r="AI39" s="31">
        <f>INDEX(MTInputs!$J$1:$AZ$415,$D39,MATCH(AI$5,MTInputs!$J$5:$AZ$5,0))</f>
        <v/>
      </c>
      <c r="AJ39" s="31">
        <f>INDEX(MTInputs!$J$1:$AZ$415,$D39,MATCH(AJ$5,MTInputs!$J$5:$AZ$5,0))</f>
        <v/>
      </c>
      <c r="AK39" s="31">
        <f>INDEX(MTInputs!$J$1:$AZ$415,$D39,MATCH(AK$5,MTInputs!$J$5:$AZ$5,0))</f>
        <v/>
      </c>
      <c r="AL39" s="31">
        <f>INDEX(MTInputs!$J$1:$AZ$415,$D39,MATCH(AL$5,MTInputs!$J$5:$AZ$5,0))</f>
        <v/>
      </c>
      <c r="AM39" s="31">
        <f>INDEX(MTInputs!$J$1:$AZ$415,$D39,MATCH(AM$5,MTInputs!$J$5:$AZ$5,0))</f>
        <v/>
      </c>
      <c r="AN39" s="31">
        <f>INDEX(MTInputs!$J$1:$AZ$415,$D39,MATCH(AN$5,MTInputs!$J$5:$AZ$5,0))</f>
        <v/>
      </c>
    </row>
    <row r="40" hidden="1" outlineLevel="1">
      <c r="A40" s="5" t="inlineStr">
        <is>
          <t>ctcov</t>
        </is>
      </c>
      <c r="B40" s="5" t="inlineStr">
        <is>
          <t>all</t>
        </is>
      </c>
      <c r="C40" s="5" t="inlineStr">
        <is>
          <t>omn</t>
        </is>
      </c>
      <c r="D40" s="6" t="n">
        <v>44</v>
      </c>
      <c r="H40" s="5">
        <f>INDEX(Variables!$B$5:$B$65,MATCH($A40,Variables!$A$5:$A$65,0))&amp;IF($C40="",""," | "&amp;INDEX(Mapping!$B$5:$B$25,MATCH($C40,Mapping!$A$5:$A$25,0))&amp;" | "&amp;INDEX(Mapping!$B$29:$B$38,MATCH($B40,Mapping!$A$29:$A$38,0)))</f>
        <v/>
      </c>
      <c r="I40" s="5">
        <f>INDEX(Variables!$C$5:$C$65,MATCH($A40,Variables!$A$5:$A$65,0))</f>
        <v/>
      </c>
      <c r="J40" s="5">
        <f>INDEX(Variables!$E$5:$E$65,MATCH($A40,Variables!$A$5:$A$65,0))</f>
        <v/>
      </c>
      <c r="K40" s="23">
        <f>LOWER(Settings!$C$4)&amp;".mit."&amp;$A40&amp;IF($C40="","","."&amp;$C40&amp;"."&amp;$B40)&amp;IF(INDEX(Variables!$D$5:$D$65,MATCH($A40,Variables!$A$5:$A$65,0))="","","."&amp;INDEX(Variables!$D$5:$D$65,MATCH($A40,Variables!$A$5:$A$65,0)))&amp;"."&amp;K$5</f>
        <v/>
      </c>
      <c r="L40" s="30">
        <f>INDEX(MTInputs!$J$1:$AZ$415,$D40,MATCH(L$5,MTInputs!$J$5:$AZ$5,0))</f>
        <v/>
      </c>
      <c r="M40" s="31">
        <f>INDEX(MTInputs!$J$1:$AZ$415,$D40,MATCH(M$5,MTInputs!$J$5:$AZ$5,0))</f>
        <v/>
      </c>
      <c r="N40" s="31">
        <f>INDEX(MTInputs!$J$1:$AZ$415,$D40,MATCH(N$5,MTInputs!$J$5:$AZ$5,0))</f>
        <v/>
      </c>
      <c r="O40" s="31">
        <f>INDEX(MTInputs!$J$1:$AZ$415,$D40,MATCH(O$5,MTInputs!$J$5:$AZ$5,0))</f>
        <v/>
      </c>
      <c r="P40" s="31">
        <f>INDEX(MTInputs!$J$1:$AZ$415,$D40,MATCH(P$5,MTInputs!$J$5:$AZ$5,0))</f>
        <v/>
      </c>
      <c r="Q40" s="31">
        <f>INDEX(MTInputs!$J$1:$AZ$415,$D40,MATCH(Q$5,MTInputs!$J$5:$AZ$5,0))</f>
        <v/>
      </c>
      <c r="R40" s="31">
        <f>INDEX(MTInputs!$J$1:$AZ$415,$D40,MATCH(R$5,MTInputs!$J$5:$AZ$5,0))</f>
        <v/>
      </c>
      <c r="S40" s="31">
        <f>INDEX(MTInputs!$J$1:$AZ$415,$D40,MATCH(S$5,MTInputs!$J$5:$AZ$5,0))</f>
        <v/>
      </c>
      <c r="T40" s="31">
        <f>INDEX(MTInputs!$J$1:$AZ$415,$D40,MATCH(T$5,MTInputs!$J$5:$AZ$5,0))</f>
        <v/>
      </c>
      <c r="U40" s="31">
        <f>INDEX(MTInputs!$J$1:$AZ$415,$D40,MATCH(U$5,MTInputs!$J$5:$AZ$5,0))</f>
        <v/>
      </c>
      <c r="V40" s="31">
        <f>INDEX(MTInputs!$J$1:$AZ$415,$D40,MATCH(V$5,MTInputs!$J$5:$AZ$5,0))</f>
        <v/>
      </c>
      <c r="W40" s="31">
        <f>INDEX(MTInputs!$J$1:$AZ$415,$D40,MATCH(W$5,MTInputs!$J$5:$AZ$5,0))</f>
        <v/>
      </c>
      <c r="X40" s="31">
        <f>INDEX(MTInputs!$J$1:$AZ$415,$D40,MATCH(X$5,MTInputs!$J$5:$AZ$5,0))</f>
        <v/>
      </c>
      <c r="Y40" s="31">
        <f>INDEX(MTInputs!$J$1:$AZ$415,$D40,MATCH(Y$5,MTInputs!$J$5:$AZ$5,0))</f>
        <v/>
      </c>
      <c r="Z40" s="23">
        <f>LOWER(Settings!$C$4)&amp;".mit."&amp;$A40&amp;IF($C40="","","."&amp;$C40&amp;"."&amp;$B40)&amp;IF(INDEX(Variables!$D$5:$D$65,MATCH($A40,Variables!$A$5:$A$65,0))="","","."&amp;INDEX(Variables!$D$5:$D$65,MATCH($A40,Variables!$A$5:$A$65,0)))&amp;"."&amp;Z$5</f>
        <v/>
      </c>
      <c r="AA40" s="30">
        <f>INDEX(MTInputs!$J$1:$AZ$415,$D40,MATCH(AA$5,MTInputs!$J$5:$AZ$5,0))</f>
        <v/>
      </c>
      <c r="AB40" s="31">
        <f>INDEX(MTInputs!$J$1:$AZ$415,$D40,MATCH(AB$5,MTInputs!$J$5:$AZ$5,0))</f>
        <v/>
      </c>
      <c r="AC40" s="31">
        <f>INDEX(MTInputs!$J$1:$AZ$415,$D40,MATCH(AC$5,MTInputs!$J$5:$AZ$5,0))</f>
        <v/>
      </c>
      <c r="AD40" s="31">
        <f>INDEX(MTInputs!$J$1:$AZ$415,$D40,MATCH(AD$5,MTInputs!$J$5:$AZ$5,0))</f>
        <v/>
      </c>
      <c r="AE40" s="31">
        <f>INDEX(MTInputs!$J$1:$AZ$415,$D40,MATCH(AE$5,MTInputs!$J$5:$AZ$5,0))</f>
        <v/>
      </c>
      <c r="AF40" s="31">
        <f>INDEX(MTInputs!$J$1:$AZ$415,$D40,MATCH(AF$5,MTInputs!$J$5:$AZ$5,0))</f>
        <v/>
      </c>
      <c r="AG40" s="31">
        <f>INDEX(MTInputs!$J$1:$AZ$415,$D40,MATCH(AG$5,MTInputs!$J$5:$AZ$5,0))</f>
        <v/>
      </c>
      <c r="AH40" s="31">
        <f>INDEX(MTInputs!$J$1:$AZ$415,$D40,MATCH(AH$5,MTInputs!$J$5:$AZ$5,0))</f>
        <v/>
      </c>
      <c r="AI40" s="31">
        <f>INDEX(MTInputs!$J$1:$AZ$415,$D40,MATCH(AI$5,MTInputs!$J$5:$AZ$5,0))</f>
        <v/>
      </c>
      <c r="AJ40" s="31">
        <f>INDEX(MTInputs!$J$1:$AZ$415,$D40,MATCH(AJ$5,MTInputs!$J$5:$AZ$5,0))</f>
        <v/>
      </c>
      <c r="AK40" s="31">
        <f>INDEX(MTInputs!$J$1:$AZ$415,$D40,MATCH(AK$5,MTInputs!$J$5:$AZ$5,0))</f>
        <v/>
      </c>
      <c r="AL40" s="31">
        <f>INDEX(MTInputs!$J$1:$AZ$415,$D40,MATCH(AL$5,MTInputs!$J$5:$AZ$5,0))</f>
        <v/>
      </c>
      <c r="AM40" s="31">
        <f>INDEX(MTInputs!$J$1:$AZ$415,$D40,MATCH(AM$5,MTInputs!$J$5:$AZ$5,0))</f>
        <v/>
      </c>
      <c r="AN40" s="31">
        <f>INDEX(MTInputs!$J$1:$AZ$415,$D40,MATCH(AN$5,MTInputs!$J$5:$AZ$5,0))</f>
        <v/>
      </c>
    </row>
    <row r="41" hidden="1" outlineLevel="1">
      <c r="A41" s="5" t="inlineStr">
        <is>
          <t>ctcov</t>
        </is>
      </c>
      <c r="B41" s="5" t="inlineStr">
        <is>
          <t>all</t>
        </is>
      </c>
      <c r="C41" s="5" t="inlineStr">
        <is>
          <t>cst</t>
        </is>
      </c>
      <c r="D41" s="6" t="n">
        <v>45</v>
      </c>
      <c r="H41" s="5">
        <f>INDEX(Variables!$B$5:$B$65,MATCH($A41,Variables!$A$5:$A$65,0))&amp;IF($C41="",""," | "&amp;INDEX(Mapping!$B$5:$B$25,MATCH($C41,Mapping!$A$5:$A$25,0))&amp;" | "&amp;INDEX(Mapping!$B$29:$B$38,MATCH($B41,Mapping!$A$29:$A$38,0)))</f>
        <v/>
      </c>
      <c r="I41" s="5">
        <f>INDEX(Variables!$C$5:$C$65,MATCH($A41,Variables!$A$5:$A$65,0))</f>
        <v/>
      </c>
      <c r="J41" s="5">
        <f>INDEX(Variables!$E$5:$E$65,MATCH($A41,Variables!$A$5:$A$65,0))</f>
        <v/>
      </c>
      <c r="K41" s="23">
        <f>LOWER(Settings!$C$4)&amp;".mit."&amp;$A41&amp;IF($C41="","","."&amp;$C41&amp;"."&amp;$B41)&amp;IF(INDEX(Variables!$D$5:$D$65,MATCH($A41,Variables!$A$5:$A$65,0))="","","."&amp;INDEX(Variables!$D$5:$D$65,MATCH($A41,Variables!$A$5:$A$65,0)))&amp;"."&amp;K$5</f>
        <v/>
      </c>
      <c r="L41" s="30">
        <f>INDEX(MTInputs!$J$1:$AZ$415,$D41,MATCH(L$5,MTInputs!$J$5:$AZ$5,0))</f>
        <v/>
      </c>
      <c r="M41" s="31">
        <f>INDEX(MTInputs!$J$1:$AZ$415,$D41,MATCH(M$5,MTInputs!$J$5:$AZ$5,0))</f>
        <v/>
      </c>
      <c r="N41" s="31">
        <f>INDEX(MTInputs!$J$1:$AZ$415,$D41,MATCH(N$5,MTInputs!$J$5:$AZ$5,0))</f>
        <v/>
      </c>
      <c r="O41" s="31">
        <f>INDEX(MTInputs!$J$1:$AZ$415,$D41,MATCH(O$5,MTInputs!$J$5:$AZ$5,0))</f>
        <v/>
      </c>
      <c r="P41" s="31">
        <f>INDEX(MTInputs!$J$1:$AZ$415,$D41,MATCH(P$5,MTInputs!$J$5:$AZ$5,0))</f>
        <v/>
      </c>
      <c r="Q41" s="31">
        <f>INDEX(MTInputs!$J$1:$AZ$415,$D41,MATCH(Q$5,MTInputs!$J$5:$AZ$5,0))</f>
        <v/>
      </c>
      <c r="R41" s="31">
        <f>INDEX(MTInputs!$J$1:$AZ$415,$D41,MATCH(R$5,MTInputs!$J$5:$AZ$5,0))</f>
        <v/>
      </c>
      <c r="S41" s="31">
        <f>INDEX(MTInputs!$J$1:$AZ$415,$D41,MATCH(S$5,MTInputs!$J$5:$AZ$5,0))</f>
        <v/>
      </c>
      <c r="T41" s="31">
        <f>INDEX(MTInputs!$J$1:$AZ$415,$D41,MATCH(T$5,MTInputs!$J$5:$AZ$5,0))</f>
        <v/>
      </c>
      <c r="U41" s="31">
        <f>INDEX(MTInputs!$J$1:$AZ$415,$D41,MATCH(U$5,MTInputs!$J$5:$AZ$5,0))</f>
        <v/>
      </c>
      <c r="V41" s="31">
        <f>INDEX(MTInputs!$J$1:$AZ$415,$D41,MATCH(V$5,MTInputs!$J$5:$AZ$5,0))</f>
        <v/>
      </c>
      <c r="W41" s="31">
        <f>INDEX(MTInputs!$J$1:$AZ$415,$D41,MATCH(W$5,MTInputs!$J$5:$AZ$5,0))</f>
        <v/>
      </c>
      <c r="X41" s="31">
        <f>INDEX(MTInputs!$J$1:$AZ$415,$D41,MATCH(X$5,MTInputs!$J$5:$AZ$5,0))</f>
        <v/>
      </c>
      <c r="Y41" s="31">
        <f>INDEX(MTInputs!$J$1:$AZ$415,$D41,MATCH(Y$5,MTInputs!$J$5:$AZ$5,0))</f>
        <v/>
      </c>
      <c r="Z41" s="23">
        <f>LOWER(Settings!$C$4)&amp;".mit."&amp;$A41&amp;IF($C41="","","."&amp;$C41&amp;"."&amp;$B41)&amp;IF(INDEX(Variables!$D$5:$D$65,MATCH($A41,Variables!$A$5:$A$65,0))="","","."&amp;INDEX(Variables!$D$5:$D$65,MATCH($A41,Variables!$A$5:$A$65,0)))&amp;"."&amp;Z$5</f>
        <v/>
      </c>
      <c r="AA41" s="30">
        <f>INDEX(MTInputs!$J$1:$AZ$415,$D41,MATCH(AA$5,MTInputs!$J$5:$AZ$5,0))</f>
        <v/>
      </c>
      <c r="AB41" s="31">
        <f>INDEX(MTInputs!$J$1:$AZ$415,$D41,MATCH(AB$5,MTInputs!$J$5:$AZ$5,0))</f>
        <v/>
      </c>
      <c r="AC41" s="31">
        <f>INDEX(MTInputs!$J$1:$AZ$415,$D41,MATCH(AC$5,MTInputs!$J$5:$AZ$5,0))</f>
        <v/>
      </c>
      <c r="AD41" s="31">
        <f>INDEX(MTInputs!$J$1:$AZ$415,$D41,MATCH(AD$5,MTInputs!$J$5:$AZ$5,0))</f>
        <v/>
      </c>
      <c r="AE41" s="31">
        <f>INDEX(MTInputs!$J$1:$AZ$415,$D41,MATCH(AE$5,MTInputs!$J$5:$AZ$5,0))</f>
        <v/>
      </c>
      <c r="AF41" s="31">
        <f>INDEX(MTInputs!$J$1:$AZ$415,$D41,MATCH(AF$5,MTInputs!$J$5:$AZ$5,0))</f>
        <v/>
      </c>
      <c r="AG41" s="31">
        <f>INDEX(MTInputs!$J$1:$AZ$415,$D41,MATCH(AG$5,MTInputs!$J$5:$AZ$5,0))</f>
        <v/>
      </c>
      <c r="AH41" s="31">
        <f>INDEX(MTInputs!$J$1:$AZ$415,$D41,MATCH(AH$5,MTInputs!$J$5:$AZ$5,0))</f>
        <v/>
      </c>
      <c r="AI41" s="31">
        <f>INDEX(MTInputs!$J$1:$AZ$415,$D41,MATCH(AI$5,MTInputs!$J$5:$AZ$5,0))</f>
        <v/>
      </c>
      <c r="AJ41" s="31">
        <f>INDEX(MTInputs!$J$1:$AZ$415,$D41,MATCH(AJ$5,MTInputs!$J$5:$AZ$5,0))</f>
        <v/>
      </c>
      <c r="AK41" s="31">
        <f>INDEX(MTInputs!$J$1:$AZ$415,$D41,MATCH(AK$5,MTInputs!$J$5:$AZ$5,0))</f>
        <v/>
      </c>
      <c r="AL41" s="31">
        <f>INDEX(MTInputs!$J$1:$AZ$415,$D41,MATCH(AL$5,MTInputs!$J$5:$AZ$5,0))</f>
        <v/>
      </c>
      <c r="AM41" s="31">
        <f>INDEX(MTInputs!$J$1:$AZ$415,$D41,MATCH(AM$5,MTInputs!$J$5:$AZ$5,0))</f>
        <v/>
      </c>
      <c r="AN41" s="31">
        <f>INDEX(MTInputs!$J$1:$AZ$415,$D41,MATCH(AN$5,MTInputs!$J$5:$AZ$5,0))</f>
        <v/>
      </c>
    </row>
    <row r="42" hidden="1" outlineLevel="1">
      <c r="A42" s="5" t="inlineStr">
        <is>
          <t>ctcov</t>
        </is>
      </c>
      <c r="B42" s="5" t="inlineStr">
        <is>
          <t>all</t>
        </is>
      </c>
      <c r="C42" s="5" t="inlineStr">
        <is>
          <t>ftr</t>
        </is>
      </c>
      <c r="D42" s="6" t="n">
        <v>46</v>
      </c>
      <c r="H42" s="5">
        <f>INDEX(Variables!$B$5:$B$65,MATCH($A42,Variables!$A$5:$A$65,0))&amp;IF($C42="",""," | "&amp;INDEX(Mapping!$B$5:$B$25,MATCH($C42,Mapping!$A$5:$A$25,0))&amp;" | "&amp;INDEX(Mapping!$B$29:$B$38,MATCH($B42,Mapping!$A$29:$A$38,0)))</f>
        <v/>
      </c>
      <c r="I42" s="5">
        <f>INDEX(Variables!$C$5:$C$65,MATCH($A42,Variables!$A$5:$A$65,0))</f>
        <v/>
      </c>
      <c r="J42" s="5">
        <f>INDEX(Variables!$E$5:$E$65,MATCH($A42,Variables!$A$5:$A$65,0))</f>
        <v/>
      </c>
      <c r="K42" s="23">
        <f>LOWER(Settings!$C$4)&amp;".mit."&amp;$A42&amp;IF($C42="","","."&amp;$C42&amp;"."&amp;$B42)&amp;IF(INDEX(Variables!$D$5:$D$65,MATCH($A42,Variables!$A$5:$A$65,0))="","","."&amp;INDEX(Variables!$D$5:$D$65,MATCH($A42,Variables!$A$5:$A$65,0)))&amp;"."&amp;K$5</f>
        <v/>
      </c>
      <c r="L42" s="30">
        <f>INDEX(MTInputs!$J$1:$AZ$415,$D42,MATCH(L$5,MTInputs!$J$5:$AZ$5,0))</f>
        <v/>
      </c>
      <c r="M42" s="31">
        <f>INDEX(MTInputs!$J$1:$AZ$415,$D42,MATCH(M$5,MTInputs!$J$5:$AZ$5,0))</f>
        <v/>
      </c>
      <c r="N42" s="31">
        <f>INDEX(MTInputs!$J$1:$AZ$415,$D42,MATCH(N$5,MTInputs!$J$5:$AZ$5,0))</f>
        <v/>
      </c>
      <c r="O42" s="31">
        <f>INDEX(MTInputs!$J$1:$AZ$415,$D42,MATCH(O$5,MTInputs!$J$5:$AZ$5,0))</f>
        <v/>
      </c>
      <c r="P42" s="31">
        <f>INDEX(MTInputs!$J$1:$AZ$415,$D42,MATCH(P$5,MTInputs!$J$5:$AZ$5,0))</f>
        <v/>
      </c>
      <c r="Q42" s="31">
        <f>INDEX(MTInputs!$J$1:$AZ$415,$D42,MATCH(Q$5,MTInputs!$J$5:$AZ$5,0))</f>
        <v/>
      </c>
      <c r="R42" s="31">
        <f>INDEX(MTInputs!$J$1:$AZ$415,$D42,MATCH(R$5,MTInputs!$J$5:$AZ$5,0))</f>
        <v/>
      </c>
      <c r="S42" s="31">
        <f>INDEX(MTInputs!$J$1:$AZ$415,$D42,MATCH(S$5,MTInputs!$J$5:$AZ$5,0))</f>
        <v/>
      </c>
      <c r="T42" s="31">
        <f>INDEX(MTInputs!$J$1:$AZ$415,$D42,MATCH(T$5,MTInputs!$J$5:$AZ$5,0))</f>
        <v/>
      </c>
      <c r="U42" s="31">
        <f>INDEX(MTInputs!$J$1:$AZ$415,$D42,MATCH(U$5,MTInputs!$J$5:$AZ$5,0))</f>
        <v/>
      </c>
      <c r="V42" s="31">
        <f>INDEX(MTInputs!$J$1:$AZ$415,$D42,MATCH(V$5,MTInputs!$J$5:$AZ$5,0))</f>
        <v/>
      </c>
      <c r="W42" s="31">
        <f>INDEX(MTInputs!$J$1:$AZ$415,$D42,MATCH(W$5,MTInputs!$J$5:$AZ$5,0))</f>
        <v/>
      </c>
      <c r="X42" s="31">
        <f>INDEX(MTInputs!$J$1:$AZ$415,$D42,MATCH(X$5,MTInputs!$J$5:$AZ$5,0))</f>
        <v/>
      </c>
      <c r="Y42" s="31">
        <f>INDEX(MTInputs!$J$1:$AZ$415,$D42,MATCH(Y$5,MTInputs!$J$5:$AZ$5,0))</f>
        <v/>
      </c>
      <c r="Z42" s="23">
        <f>LOWER(Settings!$C$4)&amp;".mit."&amp;$A42&amp;IF($C42="","","."&amp;$C42&amp;"."&amp;$B42)&amp;IF(INDEX(Variables!$D$5:$D$65,MATCH($A42,Variables!$A$5:$A$65,0))="","","."&amp;INDEX(Variables!$D$5:$D$65,MATCH($A42,Variables!$A$5:$A$65,0)))&amp;"."&amp;Z$5</f>
        <v/>
      </c>
      <c r="AA42" s="30">
        <f>INDEX(MTInputs!$J$1:$AZ$415,$D42,MATCH(AA$5,MTInputs!$J$5:$AZ$5,0))</f>
        <v/>
      </c>
      <c r="AB42" s="31">
        <f>INDEX(MTInputs!$J$1:$AZ$415,$D42,MATCH(AB$5,MTInputs!$J$5:$AZ$5,0))</f>
        <v/>
      </c>
      <c r="AC42" s="31">
        <f>INDEX(MTInputs!$J$1:$AZ$415,$D42,MATCH(AC$5,MTInputs!$J$5:$AZ$5,0))</f>
        <v/>
      </c>
      <c r="AD42" s="31">
        <f>INDEX(MTInputs!$J$1:$AZ$415,$D42,MATCH(AD$5,MTInputs!$J$5:$AZ$5,0))</f>
        <v/>
      </c>
      <c r="AE42" s="31">
        <f>INDEX(MTInputs!$J$1:$AZ$415,$D42,MATCH(AE$5,MTInputs!$J$5:$AZ$5,0))</f>
        <v/>
      </c>
      <c r="AF42" s="31">
        <f>INDEX(MTInputs!$J$1:$AZ$415,$D42,MATCH(AF$5,MTInputs!$J$5:$AZ$5,0))</f>
        <v/>
      </c>
      <c r="AG42" s="31">
        <f>INDEX(MTInputs!$J$1:$AZ$415,$D42,MATCH(AG$5,MTInputs!$J$5:$AZ$5,0))</f>
        <v/>
      </c>
      <c r="AH42" s="31">
        <f>INDEX(MTInputs!$J$1:$AZ$415,$D42,MATCH(AH$5,MTInputs!$J$5:$AZ$5,0))</f>
        <v/>
      </c>
      <c r="AI42" s="31">
        <f>INDEX(MTInputs!$J$1:$AZ$415,$D42,MATCH(AI$5,MTInputs!$J$5:$AZ$5,0))</f>
        <v/>
      </c>
      <c r="AJ42" s="31">
        <f>INDEX(MTInputs!$J$1:$AZ$415,$D42,MATCH(AJ$5,MTInputs!$J$5:$AZ$5,0))</f>
        <v/>
      </c>
      <c r="AK42" s="31">
        <f>INDEX(MTInputs!$J$1:$AZ$415,$D42,MATCH(AK$5,MTInputs!$J$5:$AZ$5,0))</f>
        <v/>
      </c>
      <c r="AL42" s="31">
        <f>INDEX(MTInputs!$J$1:$AZ$415,$D42,MATCH(AL$5,MTInputs!$J$5:$AZ$5,0))</f>
        <v/>
      </c>
      <c r="AM42" s="31">
        <f>INDEX(MTInputs!$J$1:$AZ$415,$D42,MATCH(AM$5,MTInputs!$J$5:$AZ$5,0))</f>
        <v/>
      </c>
      <c r="AN42" s="31">
        <f>INDEX(MTInputs!$J$1:$AZ$415,$D42,MATCH(AN$5,MTInputs!$J$5:$AZ$5,0))</f>
        <v/>
      </c>
    </row>
    <row r="43" hidden="1" outlineLevel="1">
      <c r="A43" s="5" t="inlineStr">
        <is>
          <t>ctcov</t>
        </is>
      </c>
      <c r="B43" s="5" t="inlineStr">
        <is>
          <t>all</t>
        </is>
      </c>
      <c r="C43" s="5" t="inlineStr">
        <is>
          <t>oen</t>
        </is>
      </c>
      <c r="D43" s="6" t="n">
        <v>47</v>
      </c>
      <c r="H43" s="5">
        <f>INDEX(Variables!$B$5:$B$65,MATCH($A43,Variables!$A$5:$A$65,0))&amp;IF($C43="",""," | "&amp;INDEX(Mapping!$B$5:$B$25,MATCH($C43,Mapping!$A$5:$A$25,0))&amp;" | "&amp;INDEX(Mapping!$B$29:$B$38,MATCH($B43,Mapping!$A$29:$A$38,0)))</f>
        <v/>
      </c>
      <c r="I43" s="5">
        <f>INDEX(Variables!$C$5:$C$65,MATCH($A43,Variables!$A$5:$A$65,0))</f>
        <v/>
      </c>
      <c r="J43" s="5">
        <f>INDEX(Variables!$E$5:$E$65,MATCH($A43,Variables!$A$5:$A$65,0))</f>
        <v/>
      </c>
      <c r="K43" s="23">
        <f>LOWER(Settings!$C$4)&amp;".mit."&amp;$A43&amp;IF($C43="","","."&amp;$C43&amp;"."&amp;$B43)&amp;IF(INDEX(Variables!$D$5:$D$65,MATCH($A43,Variables!$A$5:$A$65,0))="","","."&amp;INDEX(Variables!$D$5:$D$65,MATCH($A43,Variables!$A$5:$A$65,0)))&amp;"."&amp;K$5</f>
        <v/>
      </c>
      <c r="L43" s="30">
        <f>INDEX(MTInputs!$J$1:$AZ$415,$D43,MATCH(L$5,MTInputs!$J$5:$AZ$5,0))</f>
        <v/>
      </c>
      <c r="M43" s="31">
        <f>INDEX(MTInputs!$J$1:$AZ$415,$D43,MATCH(M$5,MTInputs!$J$5:$AZ$5,0))</f>
        <v/>
      </c>
      <c r="N43" s="31">
        <f>INDEX(MTInputs!$J$1:$AZ$415,$D43,MATCH(N$5,MTInputs!$J$5:$AZ$5,0))</f>
        <v/>
      </c>
      <c r="O43" s="31">
        <f>INDEX(MTInputs!$J$1:$AZ$415,$D43,MATCH(O$5,MTInputs!$J$5:$AZ$5,0))</f>
        <v/>
      </c>
      <c r="P43" s="31">
        <f>INDEX(MTInputs!$J$1:$AZ$415,$D43,MATCH(P$5,MTInputs!$J$5:$AZ$5,0))</f>
        <v/>
      </c>
      <c r="Q43" s="31">
        <f>INDEX(MTInputs!$J$1:$AZ$415,$D43,MATCH(Q$5,MTInputs!$J$5:$AZ$5,0))</f>
        <v/>
      </c>
      <c r="R43" s="31">
        <f>INDEX(MTInputs!$J$1:$AZ$415,$D43,MATCH(R$5,MTInputs!$J$5:$AZ$5,0))</f>
        <v/>
      </c>
      <c r="S43" s="31">
        <f>INDEX(MTInputs!$J$1:$AZ$415,$D43,MATCH(S$5,MTInputs!$J$5:$AZ$5,0))</f>
        <v/>
      </c>
      <c r="T43" s="31">
        <f>INDEX(MTInputs!$J$1:$AZ$415,$D43,MATCH(T$5,MTInputs!$J$5:$AZ$5,0))</f>
        <v/>
      </c>
      <c r="U43" s="31">
        <f>INDEX(MTInputs!$J$1:$AZ$415,$D43,MATCH(U$5,MTInputs!$J$5:$AZ$5,0))</f>
        <v/>
      </c>
      <c r="V43" s="31">
        <f>INDEX(MTInputs!$J$1:$AZ$415,$D43,MATCH(V$5,MTInputs!$J$5:$AZ$5,0))</f>
        <v/>
      </c>
      <c r="W43" s="31">
        <f>INDEX(MTInputs!$J$1:$AZ$415,$D43,MATCH(W$5,MTInputs!$J$5:$AZ$5,0))</f>
        <v/>
      </c>
      <c r="X43" s="31">
        <f>INDEX(MTInputs!$J$1:$AZ$415,$D43,MATCH(X$5,MTInputs!$J$5:$AZ$5,0))</f>
        <v/>
      </c>
      <c r="Y43" s="31">
        <f>INDEX(MTInputs!$J$1:$AZ$415,$D43,MATCH(Y$5,MTInputs!$J$5:$AZ$5,0))</f>
        <v/>
      </c>
      <c r="Z43" s="23">
        <f>LOWER(Settings!$C$4)&amp;".mit."&amp;$A43&amp;IF($C43="","","."&amp;$C43&amp;"."&amp;$B43)&amp;IF(INDEX(Variables!$D$5:$D$65,MATCH($A43,Variables!$A$5:$A$65,0))="","","."&amp;INDEX(Variables!$D$5:$D$65,MATCH($A43,Variables!$A$5:$A$65,0)))&amp;"."&amp;Z$5</f>
        <v/>
      </c>
      <c r="AA43" s="30">
        <f>INDEX(MTInputs!$J$1:$AZ$415,$D43,MATCH(AA$5,MTInputs!$J$5:$AZ$5,0))</f>
        <v/>
      </c>
      <c r="AB43" s="31">
        <f>INDEX(MTInputs!$J$1:$AZ$415,$D43,MATCH(AB$5,MTInputs!$J$5:$AZ$5,0))</f>
        <v/>
      </c>
      <c r="AC43" s="31">
        <f>INDEX(MTInputs!$J$1:$AZ$415,$D43,MATCH(AC$5,MTInputs!$J$5:$AZ$5,0))</f>
        <v/>
      </c>
      <c r="AD43" s="31">
        <f>INDEX(MTInputs!$J$1:$AZ$415,$D43,MATCH(AD$5,MTInputs!$J$5:$AZ$5,0))</f>
        <v/>
      </c>
      <c r="AE43" s="31">
        <f>INDEX(MTInputs!$J$1:$AZ$415,$D43,MATCH(AE$5,MTInputs!$J$5:$AZ$5,0))</f>
        <v/>
      </c>
      <c r="AF43" s="31">
        <f>INDEX(MTInputs!$J$1:$AZ$415,$D43,MATCH(AF$5,MTInputs!$J$5:$AZ$5,0))</f>
        <v/>
      </c>
      <c r="AG43" s="31">
        <f>INDEX(MTInputs!$J$1:$AZ$415,$D43,MATCH(AG$5,MTInputs!$J$5:$AZ$5,0))</f>
        <v/>
      </c>
      <c r="AH43" s="31">
        <f>INDEX(MTInputs!$J$1:$AZ$415,$D43,MATCH(AH$5,MTInputs!$J$5:$AZ$5,0))</f>
        <v/>
      </c>
      <c r="AI43" s="31">
        <f>INDEX(MTInputs!$J$1:$AZ$415,$D43,MATCH(AI$5,MTInputs!$J$5:$AZ$5,0))</f>
        <v/>
      </c>
      <c r="AJ43" s="31">
        <f>INDEX(MTInputs!$J$1:$AZ$415,$D43,MATCH(AJ$5,MTInputs!$J$5:$AZ$5,0))</f>
        <v/>
      </c>
      <c r="AK43" s="31">
        <f>INDEX(MTInputs!$J$1:$AZ$415,$D43,MATCH(AK$5,MTInputs!$J$5:$AZ$5,0))</f>
        <v/>
      </c>
      <c r="AL43" s="31">
        <f>INDEX(MTInputs!$J$1:$AZ$415,$D43,MATCH(AL$5,MTInputs!$J$5:$AZ$5,0))</f>
        <v/>
      </c>
      <c r="AM43" s="31">
        <f>INDEX(MTInputs!$J$1:$AZ$415,$D43,MATCH(AM$5,MTInputs!$J$5:$AZ$5,0))</f>
        <v/>
      </c>
      <c r="AN43" s="31">
        <f>INDEX(MTInputs!$J$1:$AZ$415,$D43,MATCH(AN$5,MTInputs!$J$5:$AZ$5,0))</f>
        <v/>
      </c>
    </row>
    <row r="44" hidden="1" outlineLevel="1">
      <c r="H44" s="29" t="inlineStr">
        <is>
          <t>Fuel price reform (MTInputs rows 140-169; increases in price units)</t>
        </is>
      </c>
    </row>
    <row r="45" hidden="1" outlineLevel="1">
      <c r="A45" s="5" t="inlineStr">
        <is>
          <t>fpr.yr0</t>
        </is>
      </c>
      <c r="B45" s="5" t="inlineStr"/>
      <c r="C45" s="5" t="inlineStr"/>
      <c r="D45" s="6" t="n">
        <v>140</v>
      </c>
      <c r="H45" s="5">
        <f>INDEX(Variables!$B$5:$B$65,MATCH($A45,Variables!$A$5:$A$65,0))&amp;IF($C45="",""," | "&amp;INDEX(Mapping!$B$5:$B$25,MATCH($C45,Mapping!$A$5:$A$25,0))&amp;" | "&amp;INDEX(Mapping!$B$29:$B$38,MATCH($B45,Mapping!$A$29:$A$38,0)))</f>
        <v/>
      </c>
      <c r="I45" s="5">
        <f>INDEX(Variables!$C$5:$C$65,MATCH($A45,Variables!$A$5:$A$65,0))</f>
        <v/>
      </c>
      <c r="J45" s="5">
        <f>INDEX(Variables!$E$5:$E$65,MATCH($A45,Variables!$A$5:$A$65,0))</f>
        <v/>
      </c>
      <c r="K45" s="23">
        <f>LOWER(Settings!$C$4)&amp;".mit."&amp;$A45&amp;IF($C45="","","."&amp;$C45&amp;"."&amp;$B45)&amp;IF(INDEX(Variables!$D$5:$D$65,MATCH($A45,Variables!$A$5:$A$65,0))="","","."&amp;INDEX(Variables!$D$5:$D$65,MATCH($A45,Variables!$A$5:$A$65,0)))&amp;"."&amp;K$5</f>
        <v/>
      </c>
      <c r="L45" s="21">
        <f>INDEX(MTInputs!$J$1:$AZ$415,$D45,MATCH(L$5,MTInputs!$J$5:$AZ$5,0))</f>
        <v/>
      </c>
      <c r="M45" s="22">
        <f>INDEX(MTInputs!$J$1:$AZ$415,$D45,MATCH(M$5,MTInputs!$J$5:$AZ$5,0))</f>
        <v/>
      </c>
      <c r="N45" s="22">
        <f>INDEX(MTInputs!$J$1:$AZ$415,$D45,MATCH(N$5,MTInputs!$J$5:$AZ$5,0))</f>
        <v/>
      </c>
      <c r="O45" s="22">
        <f>INDEX(MTInputs!$J$1:$AZ$415,$D45,MATCH(O$5,MTInputs!$J$5:$AZ$5,0))</f>
        <v/>
      </c>
      <c r="P45" s="22">
        <f>INDEX(MTInputs!$J$1:$AZ$415,$D45,MATCH(P$5,MTInputs!$J$5:$AZ$5,0))</f>
        <v/>
      </c>
      <c r="Q45" s="22">
        <f>INDEX(MTInputs!$J$1:$AZ$415,$D45,MATCH(Q$5,MTInputs!$J$5:$AZ$5,0))</f>
        <v/>
      </c>
      <c r="R45" s="22">
        <f>INDEX(MTInputs!$J$1:$AZ$415,$D45,MATCH(R$5,MTInputs!$J$5:$AZ$5,0))</f>
        <v/>
      </c>
      <c r="S45" s="22">
        <f>INDEX(MTInputs!$J$1:$AZ$415,$D45,MATCH(S$5,MTInputs!$J$5:$AZ$5,0))</f>
        <v/>
      </c>
      <c r="T45" s="22">
        <f>INDEX(MTInputs!$J$1:$AZ$415,$D45,MATCH(T$5,MTInputs!$J$5:$AZ$5,0))</f>
        <v/>
      </c>
      <c r="U45" s="22">
        <f>INDEX(MTInputs!$J$1:$AZ$415,$D45,MATCH(U$5,MTInputs!$J$5:$AZ$5,0))</f>
        <v/>
      </c>
      <c r="V45" s="22">
        <f>INDEX(MTInputs!$J$1:$AZ$415,$D45,MATCH(V$5,MTInputs!$J$5:$AZ$5,0))</f>
        <v/>
      </c>
      <c r="W45" s="22">
        <f>INDEX(MTInputs!$J$1:$AZ$415,$D45,MATCH(W$5,MTInputs!$J$5:$AZ$5,0))</f>
        <v/>
      </c>
      <c r="X45" s="22">
        <f>INDEX(MTInputs!$J$1:$AZ$415,$D45,MATCH(X$5,MTInputs!$J$5:$AZ$5,0))</f>
        <v/>
      </c>
      <c r="Y45" s="22">
        <f>INDEX(MTInputs!$J$1:$AZ$415,$D45,MATCH(Y$5,MTInputs!$J$5:$AZ$5,0))</f>
        <v/>
      </c>
      <c r="Z45" s="23">
        <f>LOWER(Settings!$C$4)&amp;".mit."&amp;$A45&amp;IF($C45="","","."&amp;$C45&amp;"."&amp;$B45)&amp;IF(INDEX(Variables!$D$5:$D$65,MATCH($A45,Variables!$A$5:$A$65,0))="","","."&amp;INDEX(Variables!$D$5:$D$65,MATCH($A45,Variables!$A$5:$A$65,0)))&amp;"."&amp;Z$5</f>
        <v/>
      </c>
      <c r="AA45" s="21">
        <f>INDEX(MTInputs!$J$1:$AZ$415,$D45,MATCH(AA$5,MTInputs!$J$5:$AZ$5,0))</f>
        <v/>
      </c>
      <c r="AB45" s="22">
        <f>INDEX(MTInputs!$J$1:$AZ$415,$D45,MATCH(AB$5,MTInputs!$J$5:$AZ$5,0))</f>
        <v/>
      </c>
      <c r="AC45" s="22">
        <f>INDEX(MTInputs!$J$1:$AZ$415,$D45,MATCH(AC$5,MTInputs!$J$5:$AZ$5,0))</f>
        <v/>
      </c>
      <c r="AD45" s="22">
        <f>INDEX(MTInputs!$J$1:$AZ$415,$D45,MATCH(AD$5,MTInputs!$J$5:$AZ$5,0))</f>
        <v/>
      </c>
      <c r="AE45" s="22">
        <f>INDEX(MTInputs!$J$1:$AZ$415,$D45,MATCH(AE$5,MTInputs!$J$5:$AZ$5,0))</f>
        <v/>
      </c>
      <c r="AF45" s="22">
        <f>INDEX(MTInputs!$J$1:$AZ$415,$D45,MATCH(AF$5,MTInputs!$J$5:$AZ$5,0))</f>
        <v/>
      </c>
      <c r="AG45" s="22">
        <f>INDEX(MTInputs!$J$1:$AZ$415,$D45,MATCH(AG$5,MTInputs!$J$5:$AZ$5,0))</f>
        <v/>
      </c>
      <c r="AH45" s="22">
        <f>INDEX(MTInputs!$J$1:$AZ$415,$D45,MATCH(AH$5,MTInputs!$J$5:$AZ$5,0))</f>
        <v/>
      </c>
      <c r="AI45" s="22">
        <f>INDEX(MTInputs!$J$1:$AZ$415,$D45,MATCH(AI$5,MTInputs!$J$5:$AZ$5,0))</f>
        <v/>
      </c>
      <c r="AJ45" s="22">
        <f>INDEX(MTInputs!$J$1:$AZ$415,$D45,MATCH(AJ$5,MTInputs!$J$5:$AZ$5,0))</f>
        <v/>
      </c>
      <c r="AK45" s="22">
        <f>INDEX(MTInputs!$J$1:$AZ$415,$D45,MATCH(AK$5,MTInputs!$J$5:$AZ$5,0))</f>
        <v/>
      </c>
      <c r="AL45" s="22">
        <f>INDEX(MTInputs!$J$1:$AZ$415,$D45,MATCH(AL$5,MTInputs!$J$5:$AZ$5,0))</f>
        <v/>
      </c>
      <c r="AM45" s="22">
        <f>INDEX(MTInputs!$J$1:$AZ$415,$D45,MATCH(AM$5,MTInputs!$J$5:$AZ$5,0))</f>
        <v/>
      </c>
      <c r="AN45" s="22">
        <f>INDEX(MTInputs!$J$1:$AZ$415,$D45,MATCH(AN$5,MTInputs!$J$5:$AZ$5,0))</f>
        <v/>
      </c>
    </row>
    <row r="46" hidden="1" outlineLevel="1">
      <c r="A46" s="5" t="inlineStr">
        <is>
          <t>fpr.yr1</t>
        </is>
      </c>
      <c r="B46" s="5" t="inlineStr"/>
      <c r="C46" s="5" t="inlineStr"/>
      <c r="D46" s="6" t="n">
        <v>141</v>
      </c>
      <c r="H46" s="5">
        <f>INDEX(Variables!$B$5:$B$65,MATCH($A46,Variables!$A$5:$A$65,0))&amp;IF($C46="",""," | "&amp;INDEX(Mapping!$B$5:$B$25,MATCH($C46,Mapping!$A$5:$A$25,0))&amp;" | "&amp;INDEX(Mapping!$B$29:$B$38,MATCH($B46,Mapping!$A$29:$A$38,0)))</f>
        <v/>
      </c>
      <c r="I46" s="5">
        <f>INDEX(Variables!$C$5:$C$65,MATCH($A46,Variables!$A$5:$A$65,0))</f>
        <v/>
      </c>
      <c r="J46" s="5">
        <f>INDEX(Variables!$E$5:$E$65,MATCH($A46,Variables!$A$5:$A$65,0))</f>
        <v/>
      </c>
      <c r="K46" s="23">
        <f>LOWER(Settings!$C$4)&amp;".mit."&amp;$A46&amp;IF($C46="","","."&amp;$C46&amp;"."&amp;$B46)&amp;IF(INDEX(Variables!$D$5:$D$65,MATCH($A46,Variables!$A$5:$A$65,0))="","","."&amp;INDEX(Variables!$D$5:$D$65,MATCH($A46,Variables!$A$5:$A$65,0)))&amp;"."&amp;K$5</f>
        <v/>
      </c>
      <c r="L46" s="21">
        <f>INDEX(MTInputs!$J$1:$AZ$415,$D46,MATCH(L$5,MTInputs!$J$5:$AZ$5,0))</f>
        <v/>
      </c>
      <c r="M46" s="22">
        <f>INDEX(MTInputs!$J$1:$AZ$415,$D46,MATCH(M$5,MTInputs!$J$5:$AZ$5,0))</f>
        <v/>
      </c>
      <c r="N46" s="22">
        <f>INDEX(MTInputs!$J$1:$AZ$415,$D46,MATCH(N$5,MTInputs!$J$5:$AZ$5,0))</f>
        <v/>
      </c>
      <c r="O46" s="22">
        <f>INDEX(MTInputs!$J$1:$AZ$415,$D46,MATCH(O$5,MTInputs!$J$5:$AZ$5,0))</f>
        <v/>
      </c>
      <c r="P46" s="22">
        <f>INDEX(MTInputs!$J$1:$AZ$415,$D46,MATCH(P$5,MTInputs!$J$5:$AZ$5,0))</f>
        <v/>
      </c>
      <c r="Q46" s="22">
        <f>INDEX(MTInputs!$J$1:$AZ$415,$D46,MATCH(Q$5,MTInputs!$J$5:$AZ$5,0))</f>
        <v/>
      </c>
      <c r="R46" s="22">
        <f>INDEX(MTInputs!$J$1:$AZ$415,$D46,MATCH(R$5,MTInputs!$J$5:$AZ$5,0))</f>
        <v/>
      </c>
      <c r="S46" s="22">
        <f>INDEX(MTInputs!$J$1:$AZ$415,$D46,MATCH(S$5,MTInputs!$J$5:$AZ$5,0))</f>
        <v/>
      </c>
      <c r="T46" s="22">
        <f>INDEX(MTInputs!$J$1:$AZ$415,$D46,MATCH(T$5,MTInputs!$J$5:$AZ$5,0))</f>
        <v/>
      </c>
      <c r="U46" s="22">
        <f>INDEX(MTInputs!$J$1:$AZ$415,$D46,MATCH(U$5,MTInputs!$J$5:$AZ$5,0))</f>
        <v/>
      </c>
      <c r="V46" s="22">
        <f>INDEX(MTInputs!$J$1:$AZ$415,$D46,MATCH(V$5,MTInputs!$J$5:$AZ$5,0))</f>
        <v/>
      </c>
      <c r="W46" s="22">
        <f>INDEX(MTInputs!$J$1:$AZ$415,$D46,MATCH(W$5,MTInputs!$J$5:$AZ$5,0))</f>
        <v/>
      </c>
      <c r="X46" s="22">
        <f>INDEX(MTInputs!$J$1:$AZ$415,$D46,MATCH(X$5,MTInputs!$J$5:$AZ$5,0))</f>
        <v/>
      </c>
      <c r="Y46" s="22">
        <f>INDEX(MTInputs!$J$1:$AZ$415,$D46,MATCH(Y$5,MTInputs!$J$5:$AZ$5,0))</f>
        <v/>
      </c>
      <c r="Z46" s="23">
        <f>LOWER(Settings!$C$4)&amp;".mit."&amp;$A46&amp;IF($C46="","","."&amp;$C46&amp;"."&amp;$B46)&amp;IF(INDEX(Variables!$D$5:$D$65,MATCH($A46,Variables!$A$5:$A$65,0))="","","."&amp;INDEX(Variables!$D$5:$D$65,MATCH($A46,Variables!$A$5:$A$65,0)))&amp;"."&amp;Z$5</f>
        <v/>
      </c>
      <c r="AA46" s="21">
        <f>INDEX(MTInputs!$J$1:$AZ$415,$D46,MATCH(AA$5,MTInputs!$J$5:$AZ$5,0))</f>
        <v/>
      </c>
      <c r="AB46" s="22">
        <f>INDEX(MTInputs!$J$1:$AZ$415,$D46,MATCH(AB$5,MTInputs!$J$5:$AZ$5,0))</f>
        <v/>
      </c>
      <c r="AC46" s="22">
        <f>INDEX(MTInputs!$J$1:$AZ$415,$D46,MATCH(AC$5,MTInputs!$J$5:$AZ$5,0))</f>
        <v/>
      </c>
      <c r="AD46" s="22">
        <f>INDEX(MTInputs!$J$1:$AZ$415,$D46,MATCH(AD$5,MTInputs!$J$5:$AZ$5,0))</f>
        <v/>
      </c>
      <c r="AE46" s="22">
        <f>INDEX(MTInputs!$J$1:$AZ$415,$D46,MATCH(AE$5,MTInputs!$J$5:$AZ$5,0))</f>
        <v/>
      </c>
      <c r="AF46" s="22">
        <f>INDEX(MTInputs!$J$1:$AZ$415,$D46,MATCH(AF$5,MTInputs!$J$5:$AZ$5,0))</f>
        <v/>
      </c>
      <c r="AG46" s="22">
        <f>INDEX(MTInputs!$J$1:$AZ$415,$D46,MATCH(AG$5,MTInputs!$J$5:$AZ$5,0))</f>
        <v/>
      </c>
      <c r="AH46" s="22">
        <f>INDEX(MTInputs!$J$1:$AZ$415,$D46,MATCH(AH$5,MTInputs!$J$5:$AZ$5,0))</f>
        <v/>
      </c>
      <c r="AI46" s="22">
        <f>INDEX(MTInputs!$J$1:$AZ$415,$D46,MATCH(AI$5,MTInputs!$J$5:$AZ$5,0))</f>
        <v/>
      </c>
      <c r="AJ46" s="22">
        <f>INDEX(MTInputs!$J$1:$AZ$415,$D46,MATCH(AJ$5,MTInputs!$J$5:$AZ$5,0))</f>
        <v/>
      </c>
      <c r="AK46" s="22">
        <f>INDEX(MTInputs!$J$1:$AZ$415,$D46,MATCH(AK$5,MTInputs!$J$5:$AZ$5,0))</f>
        <v/>
      </c>
      <c r="AL46" s="22">
        <f>INDEX(MTInputs!$J$1:$AZ$415,$D46,MATCH(AL$5,MTInputs!$J$5:$AZ$5,0))</f>
        <v/>
      </c>
      <c r="AM46" s="22">
        <f>INDEX(MTInputs!$J$1:$AZ$415,$D46,MATCH(AM$5,MTInputs!$J$5:$AZ$5,0))</f>
        <v/>
      </c>
      <c r="AN46" s="22">
        <f>INDEX(MTInputs!$J$1:$AZ$415,$D46,MATCH(AN$5,MTInputs!$J$5:$AZ$5,0))</f>
        <v/>
      </c>
    </row>
    <row r="47" hidden="1" outlineLevel="1">
      <c r="A47" s="5" t="inlineStr">
        <is>
          <t>fpr.s</t>
        </is>
      </c>
      <c r="B47" s="5" t="inlineStr">
        <is>
          <t>coa</t>
        </is>
      </c>
      <c r="C47" s="5" t="inlineStr">
        <is>
          <t>pow</t>
        </is>
      </c>
      <c r="D47" s="6" t="n">
        <v>142</v>
      </c>
      <c r="H47" s="5">
        <f>INDEX(Variables!$B$5:$B$65,MATCH($A47,Variables!$A$5:$A$65,0))&amp;IF($C47="",""," | "&amp;INDEX(Mapping!$B$5:$B$25,MATCH($C47,Mapping!$A$5:$A$25,0))&amp;" | "&amp;INDEX(Mapping!$B$29:$B$38,MATCH($B47,Mapping!$A$29:$A$38,0)))</f>
        <v/>
      </c>
      <c r="I47" s="5">
        <f>INDEX(Variables!$C$5:$C$65,MATCH($A47,Variables!$A$5:$A$65,0))</f>
        <v/>
      </c>
      <c r="J47" s="5">
        <f>INDEX(Variables!$E$5:$E$65,MATCH($A47,Variables!$A$5:$A$65,0))</f>
        <v/>
      </c>
      <c r="K47" s="23">
        <f>LOWER(Settings!$C$4)&amp;".mit."&amp;$A47&amp;IF($C47="","","."&amp;$C47&amp;"."&amp;$B47)&amp;IF(INDEX(Variables!$D$5:$D$65,MATCH($A47,Variables!$A$5:$A$65,0))="","","."&amp;INDEX(Variables!$D$5:$D$65,MATCH($A47,Variables!$A$5:$A$65,0)))&amp;"."&amp;K$5</f>
        <v/>
      </c>
      <c r="L47" s="30">
        <f>INDEX(MTInputs!$J$1:$AZ$415,$D47,MATCH(L$5,MTInputs!$J$5:$AZ$5,0))</f>
        <v/>
      </c>
      <c r="M47" s="31">
        <f>INDEX(MTInputs!$J$1:$AZ$415,$D47,MATCH(M$5,MTInputs!$J$5:$AZ$5,0))</f>
        <v/>
      </c>
      <c r="N47" s="31">
        <f>INDEX(MTInputs!$J$1:$AZ$415,$D47,MATCH(N$5,MTInputs!$J$5:$AZ$5,0))</f>
        <v/>
      </c>
      <c r="O47" s="31">
        <f>INDEX(MTInputs!$J$1:$AZ$415,$D47,MATCH(O$5,MTInputs!$J$5:$AZ$5,0))</f>
        <v/>
      </c>
      <c r="P47" s="31">
        <f>INDEX(MTInputs!$J$1:$AZ$415,$D47,MATCH(P$5,MTInputs!$J$5:$AZ$5,0))</f>
        <v/>
      </c>
      <c r="Q47" s="31">
        <f>INDEX(MTInputs!$J$1:$AZ$415,$D47,MATCH(Q$5,MTInputs!$J$5:$AZ$5,0))</f>
        <v/>
      </c>
      <c r="R47" s="31">
        <f>INDEX(MTInputs!$J$1:$AZ$415,$D47,MATCH(R$5,MTInputs!$J$5:$AZ$5,0))</f>
        <v/>
      </c>
      <c r="S47" s="31">
        <f>INDEX(MTInputs!$J$1:$AZ$415,$D47,MATCH(S$5,MTInputs!$J$5:$AZ$5,0))</f>
        <v/>
      </c>
      <c r="T47" s="31">
        <f>INDEX(MTInputs!$J$1:$AZ$415,$D47,MATCH(T$5,MTInputs!$J$5:$AZ$5,0))</f>
        <v/>
      </c>
      <c r="U47" s="31">
        <f>INDEX(MTInputs!$J$1:$AZ$415,$D47,MATCH(U$5,MTInputs!$J$5:$AZ$5,0))</f>
        <v/>
      </c>
      <c r="V47" s="31">
        <f>INDEX(MTInputs!$J$1:$AZ$415,$D47,MATCH(V$5,MTInputs!$J$5:$AZ$5,0))</f>
        <v/>
      </c>
      <c r="W47" s="31">
        <f>INDEX(MTInputs!$J$1:$AZ$415,$D47,MATCH(W$5,MTInputs!$J$5:$AZ$5,0))</f>
        <v/>
      </c>
      <c r="X47" s="31">
        <f>INDEX(MTInputs!$J$1:$AZ$415,$D47,MATCH(X$5,MTInputs!$J$5:$AZ$5,0))</f>
        <v/>
      </c>
      <c r="Y47" s="31">
        <f>INDEX(MTInputs!$J$1:$AZ$415,$D47,MATCH(Y$5,MTInputs!$J$5:$AZ$5,0))</f>
        <v/>
      </c>
      <c r="Z47" s="23">
        <f>LOWER(Settings!$C$4)&amp;".mit."&amp;$A47&amp;IF($C47="","","."&amp;$C47&amp;"."&amp;$B47)&amp;IF(INDEX(Variables!$D$5:$D$65,MATCH($A47,Variables!$A$5:$A$65,0))="","","."&amp;INDEX(Variables!$D$5:$D$65,MATCH($A47,Variables!$A$5:$A$65,0)))&amp;"."&amp;Z$5</f>
        <v/>
      </c>
      <c r="AA47" s="30">
        <f>INDEX(MTInputs!$J$1:$AZ$415,$D47,MATCH(AA$5,MTInputs!$J$5:$AZ$5,0))</f>
        <v/>
      </c>
      <c r="AB47" s="31">
        <f>INDEX(MTInputs!$J$1:$AZ$415,$D47,MATCH(AB$5,MTInputs!$J$5:$AZ$5,0))</f>
        <v/>
      </c>
      <c r="AC47" s="31">
        <f>INDEX(MTInputs!$J$1:$AZ$415,$D47,MATCH(AC$5,MTInputs!$J$5:$AZ$5,0))</f>
        <v/>
      </c>
      <c r="AD47" s="31">
        <f>INDEX(MTInputs!$J$1:$AZ$415,$D47,MATCH(AD$5,MTInputs!$J$5:$AZ$5,0))</f>
        <v/>
      </c>
      <c r="AE47" s="31">
        <f>INDEX(MTInputs!$J$1:$AZ$415,$D47,MATCH(AE$5,MTInputs!$J$5:$AZ$5,0))</f>
        <v/>
      </c>
      <c r="AF47" s="31">
        <f>INDEX(MTInputs!$J$1:$AZ$415,$D47,MATCH(AF$5,MTInputs!$J$5:$AZ$5,0))</f>
        <v/>
      </c>
      <c r="AG47" s="31">
        <f>INDEX(MTInputs!$J$1:$AZ$415,$D47,MATCH(AG$5,MTInputs!$J$5:$AZ$5,0))</f>
        <v/>
      </c>
      <c r="AH47" s="31">
        <f>INDEX(MTInputs!$J$1:$AZ$415,$D47,MATCH(AH$5,MTInputs!$J$5:$AZ$5,0))</f>
        <v/>
      </c>
      <c r="AI47" s="31">
        <f>INDEX(MTInputs!$J$1:$AZ$415,$D47,MATCH(AI$5,MTInputs!$J$5:$AZ$5,0))</f>
        <v/>
      </c>
      <c r="AJ47" s="31">
        <f>INDEX(MTInputs!$J$1:$AZ$415,$D47,MATCH(AJ$5,MTInputs!$J$5:$AZ$5,0))</f>
        <v/>
      </c>
      <c r="AK47" s="31">
        <f>INDEX(MTInputs!$J$1:$AZ$415,$D47,MATCH(AK$5,MTInputs!$J$5:$AZ$5,0))</f>
        <v/>
      </c>
      <c r="AL47" s="31">
        <f>INDEX(MTInputs!$J$1:$AZ$415,$D47,MATCH(AL$5,MTInputs!$J$5:$AZ$5,0))</f>
        <v/>
      </c>
      <c r="AM47" s="31">
        <f>INDEX(MTInputs!$J$1:$AZ$415,$D47,MATCH(AM$5,MTInputs!$J$5:$AZ$5,0))</f>
        <v/>
      </c>
      <c r="AN47" s="31">
        <f>INDEX(MTInputs!$J$1:$AZ$415,$D47,MATCH(AN$5,MTInputs!$J$5:$AZ$5,0))</f>
        <v/>
      </c>
    </row>
    <row r="48" hidden="1" outlineLevel="1">
      <c r="A48" s="5" t="inlineStr">
        <is>
          <t>fpr.s</t>
        </is>
      </c>
      <c r="B48" s="5" t="inlineStr">
        <is>
          <t>coa</t>
        </is>
      </c>
      <c r="C48" s="5" t="inlineStr">
        <is>
          <t>res</t>
        </is>
      </c>
      <c r="D48" s="6" t="n">
        <v>143</v>
      </c>
      <c r="H48" s="5">
        <f>INDEX(Variables!$B$5:$B$65,MATCH($A48,Variables!$A$5:$A$65,0))&amp;IF($C48="",""," | "&amp;INDEX(Mapping!$B$5:$B$25,MATCH($C48,Mapping!$A$5:$A$25,0))&amp;" | "&amp;INDEX(Mapping!$B$29:$B$38,MATCH($B48,Mapping!$A$29:$A$38,0)))</f>
        <v/>
      </c>
      <c r="I48" s="5">
        <f>INDEX(Variables!$C$5:$C$65,MATCH($A48,Variables!$A$5:$A$65,0))</f>
        <v/>
      </c>
      <c r="J48" s="5">
        <f>INDEX(Variables!$E$5:$E$65,MATCH($A48,Variables!$A$5:$A$65,0))</f>
        <v/>
      </c>
      <c r="K48" s="23">
        <f>LOWER(Settings!$C$4)&amp;".mit."&amp;$A48&amp;IF($C48="","","."&amp;$C48&amp;"."&amp;$B48)&amp;IF(INDEX(Variables!$D$5:$D$65,MATCH($A48,Variables!$A$5:$A$65,0))="","","."&amp;INDEX(Variables!$D$5:$D$65,MATCH($A48,Variables!$A$5:$A$65,0)))&amp;"."&amp;K$5</f>
        <v/>
      </c>
      <c r="L48" s="30">
        <f>INDEX(MTInputs!$J$1:$AZ$415,$D48,MATCH(L$5,MTInputs!$J$5:$AZ$5,0))</f>
        <v/>
      </c>
      <c r="M48" s="31">
        <f>INDEX(MTInputs!$J$1:$AZ$415,$D48,MATCH(M$5,MTInputs!$J$5:$AZ$5,0))</f>
        <v/>
      </c>
      <c r="N48" s="31">
        <f>INDEX(MTInputs!$J$1:$AZ$415,$D48,MATCH(N$5,MTInputs!$J$5:$AZ$5,0))</f>
        <v/>
      </c>
      <c r="O48" s="31">
        <f>INDEX(MTInputs!$J$1:$AZ$415,$D48,MATCH(O$5,MTInputs!$J$5:$AZ$5,0))</f>
        <v/>
      </c>
      <c r="P48" s="31">
        <f>INDEX(MTInputs!$J$1:$AZ$415,$D48,MATCH(P$5,MTInputs!$J$5:$AZ$5,0))</f>
        <v/>
      </c>
      <c r="Q48" s="31">
        <f>INDEX(MTInputs!$J$1:$AZ$415,$D48,MATCH(Q$5,MTInputs!$J$5:$AZ$5,0))</f>
        <v/>
      </c>
      <c r="R48" s="31">
        <f>INDEX(MTInputs!$J$1:$AZ$415,$D48,MATCH(R$5,MTInputs!$J$5:$AZ$5,0))</f>
        <v/>
      </c>
      <c r="S48" s="31">
        <f>INDEX(MTInputs!$J$1:$AZ$415,$D48,MATCH(S$5,MTInputs!$J$5:$AZ$5,0))</f>
        <v/>
      </c>
      <c r="T48" s="31">
        <f>INDEX(MTInputs!$J$1:$AZ$415,$D48,MATCH(T$5,MTInputs!$J$5:$AZ$5,0))</f>
        <v/>
      </c>
      <c r="U48" s="31">
        <f>INDEX(MTInputs!$J$1:$AZ$415,$D48,MATCH(U$5,MTInputs!$J$5:$AZ$5,0))</f>
        <v/>
      </c>
      <c r="V48" s="31">
        <f>INDEX(MTInputs!$J$1:$AZ$415,$D48,MATCH(V$5,MTInputs!$J$5:$AZ$5,0))</f>
        <v/>
      </c>
      <c r="W48" s="31">
        <f>INDEX(MTInputs!$J$1:$AZ$415,$D48,MATCH(W$5,MTInputs!$J$5:$AZ$5,0))</f>
        <v/>
      </c>
      <c r="X48" s="31">
        <f>INDEX(MTInputs!$J$1:$AZ$415,$D48,MATCH(X$5,MTInputs!$J$5:$AZ$5,0))</f>
        <v/>
      </c>
      <c r="Y48" s="31">
        <f>INDEX(MTInputs!$J$1:$AZ$415,$D48,MATCH(Y$5,MTInputs!$J$5:$AZ$5,0))</f>
        <v/>
      </c>
      <c r="Z48" s="23">
        <f>LOWER(Settings!$C$4)&amp;".mit."&amp;$A48&amp;IF($C48="","","."&amp;$C48&amp;"."&amp;$B48)&amp;IF(INDEX(Variables!$D$5:$D$65,MATCH($A48,Variables!$A$5:$A$65,0))="","","."&amp;INDEX(Variables!$D$5:$D$65,MATCH($A48,Variables!$A$5:$A$65,0)))&amp;"."&amp;Z$5</f>
        <v/>
      </c>
      <c r="AA48" s="30">
        <f>INDEX(MTInputs!$J$1:$AZ$415,$D48,MATCH(AA$5,MTInputs!$J$5:$AZ$5,0))</f>
        <v/>
      </c>
      <c r="AB48" s="31">
        <f>INDEX(MTInputs!$J$1:$AZ$415,$D48,MATCH(AB$5,MTInputs!$J$5:$AZ$5,0))</f>
        <v/>
      </c>
      <c r="AC48" s="31">
        <f>INDEX(MTInputs!$J$1:$AZ$415,$D48,MATCH(AC$5,MTInputs!$J$5:$AZ$5,0))</f>
        <v/>
      </c>
      <c r="AD48" s="31">
        <f>INDEX(MTInputs!$J$1:$AZ$415,$D48,MATCH(AD$5,MTInputs!$J$5:$AZ$5,0))</f>
        <v/>
      </c>
      <c r="AE48" s="31">
        <f>INDEX(MTInputs!$J$1:$AZ$415,$D48,MATCH(AE$5,MTInputs!$J$5:$AZ$5,0))</f>
        <v/>
      </c>
      <c r="AF48" s="31">
        <f>INDEX(MTInputs!$J$1:$AZ$415,$D48,MATCH(AF$5,MTInputs!$J$5:$AZ$5,0))</f>
        <v/>
      </c>
      <c r="AG48" s="31">
        <f>INDEX(MTInputs!$J$1:$AZ$415,$D48,MATCH(AG$5,MTInputs!$J$5:$AZ$5,0))</f>
        <v/>
      </c>
      <c r="AH48" s="31">
        <f>INDEX(MTInputs!$J$1:$AZ$415,$D48,MATCH(AH$5,MTInputs!$J$5:$AZ$5,0))</f>
        <v/>
      </c>
      <c r="AI48" s="31">
        <f>INDEX(MTInputs!$J$1:$AZ$415,$D48,MATCH(AI$5,MTInputs!$J$5:$AZ$5,0))</f>
        <v/>
      </c>
      <c r="AJ48" s="31">
        <f>INDEX(MTInputs!$J$1:$AZ$415,$D48,MATCH(AJ$5,MTInputs!$J$5:$AZ$5,0))</f>
        <v/>
      </c>
      <c r="AK48" s="31">
        <f>INDEX(MTInputs!$J$1:$AZ$415,$D48,MATCH(AK$5,MTInputs!$J$5:$AZ$5,0))</f>
        <v/>
      </c>
      <c r="AL48" s="31">
        <f>INDEX(MTInputs!$J$1:$AZ$415,$D48,MATCH(AL$5,MTInputs!$J$5:$AZ$5,0))</f>
        <v/>
      </c>
      <c r="AM48" s="31">
        <f>INDEX(MTInputs!$J$1:$AZ$415,$D48,MATCH(AM$5,MTInputs!$J$5:$AZ$5,0))</f>
        <v/>
      </c>
      <c r="AN48" s="31">
        <f>INDEX(MTInputs!$J$1:$AZ$415,$D48,MATCH(AN$5,MTInputs!$J$5:$AZ$5,0))</f>
        <v/>
      </c>
    </row>
    <row r="49" hidden="1" outlineLevel="1">
      <c r="A49" s="5" t="inlineStr">
        <is>
          <t>fpr.s</t>
        </is>
      </c>
      <c r="B49" s="5" t="inlineStr">
        <is>
          <t>coa</t>
        </is>
      </c>
      <c r="C49" s="5" t="inlineStr">
        <is>
          <t>ind</t>
        </is>
      </c>
      <c r="D49" s="6" t="n">
        <v>144</v>
      </c>
      <c r="H49" s="5">
        <f>INDEX(Variables!$B$5:$B$65,MATCH($A49,Variables!$A$5:$A$65,0))&amp;IF($C49="",""," | "&amp;INDEX(Mapping!$B$5:$B$25,MATCH($C49,Mapping!$A$5:$A$25,0))&amp;" | "&amp;INDEX(Mapping!$B$29:$B$38,MATCH($B49,Mapping!$A$29:$A$38,0)))</f>
        <v/>
      </c>
      <c r="I49" s="5">
        <f>INDEX(Variables!$C$5:$C$65,MATCH($A49,Variables!$A$5:$A$65,0))</f>
        <v/>
      </c>
      <c r="J49" s="5">
        <f>INDEX(Variables!$E$5:$E$65,MATCH($A49,Variables!$A$5:$A$65,0))</f>
        <v/>
      </c>
      <c r="K49" s="23">
        <f>LOWER(Settings!$C$4)&amp;".mit."&amp;$A49&amp;IF($C49="","","."&amp;$C49&amp;"."&amp;$B49)&amp;IF(INDEX(Variables!$D$5:$D$65,MATCH($A49,Variables!$A$5:$A$65,0))="","","."&amp;INDEX(Variables!$D$5:$D$65,MATCH($A49,Variables!$A$5:$A$65,0)))&amp;"."&amp;K$5</f>
        <v/>
      </c>
      <c r="L49" s="30">
        <f>INDEX(MTInputs!$J$1:$AZ$415,$D49,MATCH(L$5,MTInputs!$J$5:$AZ$5,0))</f>
        <v/>
      </c>
      <c r="M49" s="31">
        <f>INDEX(MTInputs!$J$1:$AZ$415,$D49,MATCH(M$5,MTInputs!$J$5:$AZ$5,0))</f>
        <v/>
      </c>
      <c r="N49" s="31">
        <f>INDEX(MTInputs!$J$1:$AZ$415,$D49,MATCH(N$5,MTInputs!$J$5:$AZ$5,0))</f>
        <v/>
      </c>
      <c r="O49" s="31">
        <f>INDEX(MTInputs!$J$1:$AZ$415,$D49,MATCH(O$5,MTInputs!$J$5:$AZ$5,0))</f>
        <v/>
      </c>
      <c r="P49" s="31">
        <f>INDEX(MTInputs!$J$1:$AZ$415,$D49,MATCH(P$5,MTInputs!$J$5:$AZ$5,0))</f>
        <v/>
      </c>
      <c r="Q49" s="31">
        <f>INDEX(MTInputs!$J$1:$AZ$415,$D49,MATCH(Q$5,MTInputs!$J$5:$AZ$5,0))</f>
        <v/>
      </c>
      <c r="R49" s="31">
        <f>INDEX(MTInputs!$J$1:$AZ$415,$D49,MATCH(R$5,MTInputs!$J$5:$AZ$5,0))</f>
        <v/>
      </c>
      <c r="S49" s="31">
        <f>INDEX(MTInputs!$J$1:$AZ$415,$D49,MATCH(S$5,MTInputs!$J$5:$AZ$5,0))</f>
        <v/>
      </c>
      <c r="T49" s="31">
        <f>INDEX(MTInputs!$J$1:$AZ$415,$D49,MATCH(T$5,MTInputs!$J$5:$AZ$5,0))</f>
        <v/>
      </c>
      <c r="U49" s="31">
        <f>INDEX(MTInputs!$J$1:$AZ$415,$D49,MATCH(U$5,MTInputs!$J$5:$AZ$5,0))</f>
        <v/>
      </c>
      <c r="V49" s="31">
        <f>INDEX(MTInputs!$J$1:$AZ$415,$D49,MATCH(V$5,MTInputs!$J$5:$AZ$5,0))</f>
        <v/>
      </c>
      <c r="W49" s="31">
        <f>INDEX(MTInputs!$J$1:$AZ$415,$D49,MATCH(W$5,MTInputs!$J$5:$AZ$5,0))</f>
        <v/>
      </c>
      <c r="X49" s="31">
        <f>INDEX(MTInputs!$J$1:$AZ$415,$D49,MATCH(X$5,MTInputs!$J$5:$AZ$5,0))</f>
        <v/>
      </c>
      <c r="Y49" s="31">
        <f>INDEX(MTInputs!$J$1:$AZ$415,$D49,MATCH(Y$5,MTInputs!$J$5:$AZ$5,0))</f>
        <v/>
      </c>
      <c r="Z49" s="23">
        <f>LOWER(Settings!$C$4)&amp;".mit."&amp;$A49&amp;IF($C49="","","."&amp;$C49&amp;"."&amp;$B49)&amp;IF(INDEX(Variables!$D$5:$D$65,MATCH($A49,Variables!$A$5:$A$65,0))="","","."&amp;INDEX(Variables!$D$5:$D$65,MATCH($A49,Variables!$A$5:$A$65,0)))&amp;"."&amp;Z$5</f>
        <v/>
      </c>
      <c r="AA49" s="30">
        <f>INDEX(MTInputs!$J$1:$AZ$415,$D49,MATCH(AA$5,MTInputs!$J$5:$AZ$5,0))</f>
        <v/>
      </c>
      <c r="AB49" s="31">
        <f>INDEX(MTInputs!$J$1:$AZ$415,$D49,MATCH(AB$5,MTInputs!$J$5:$AZ$5,0))</f>
        <v/>
      </c>
      <c r="AC49" s="31">
        <f>INDEX(MTInputs!$J$1:$AZ$415,$D49,MATCH(AC$5,MTInputs!$J$5:$AZ$5,0))</f>
        <v/>
      </c>
      <c r="AD49" s="31">
        <f>INDEX(MTInputs!$J$1:$AZ$415,$D49,MATCH(AD$5,MTInputs!$J$5:$AZ$5,0))</f>
        <v/>
      </c>
      <c r="AE49" s="31">
        <f>INDEX(MTInputs!$J$1:$AZ$415,$D49,MATCH(AE$5,MTInputs!$J$5:$AZ$5,0))</f>
        <v/>
      </c>
      <c r="AF49" s="31">
        <f>INDEX(MTInputs!$J$1:$AZ$415,$D49,MATCH(AF$5,MTInputs!$J$5:$AZ$5,0))</f>
        <v/>
      </c>
      <c r="AG49" s="31">
        <f>INDEX(MTInputs!$J$1:$AZ$415,$D49,MATCH(AG$5,MTInputs!$J$5:$AZ$5,0))</f>
        <v/>
      </c>
      <c r="AH49" s="31">
        <f>INDEX(MTInputs!$J$1:$AZ$415,$D49,MATCH(AH$5,MTInputs!$J$5:$AZ$5,0))</f>
        <v/>
      </c>
      <c r="AI49" s="31">
        <f>INDEX(MTInputs!$J$1:$AZ$415,$D49,MATCH(AI$5,MTInputs!$J$5:$AZ$5,0))</f>
        <v/>
      </c>
      <c r="AJ49" s="31">
        <f>INDEX(MTInputs!$J$1:$AZ$415,$D49,MATCH(AJ$5,MTInputs!$J$5:$AZ$5,0))</f>
        <v/>
      </c>
      <c r="AK49" s="31">
        <f>INDEX(MTInputs!$J$1:$AZ$415,$D49,MATCH(AK$5,MTInputs!$J$5:$AZ$5,0))</f>
        <v/>
      </c>
      <c r="AL49" s="31">
        <f>INDEX(MTInputs!$J$1:$AZ$415,$D49,MATCH(AL$5,MTInputs!$J$5:$AZ$5,0))</f>
        <v/>
      </c>
      <c r="AM49" s="31">
        <f>INDEX(MTInputs!$J$1:$AZ$415,$D49,MATCH(AM$5,MTInputs!$J$5:$AZ$5,0))</f>
        <v/>
      </c>
      <c r="AN49" s="31">
        <f>INDEX(MTInputs!$J$1:$AZ$415,$D49,MATCH(AN$5,MTInputs!$J$5:$AZ$5,0))</f>
        <v/>
      </c>
    </row>
    <row r="50" hidden="1" outlineLevel="1">
      <c r="A50" s="5" t="inlineStr">
        <is>
          <t>fpr.s</t>
        </is>
      </c>
      <c r="B50" s="5" t="inlineStr">
        <is>
          <t>nga</t>
        </is>
      </c>
      <c r="C50" s="5" t="inlineStr">
        <is>
          <t>pow</t>
        </is>
      </c>
      <c r="D50" s="6" t="n">
        <v>145</v>
      </c>
      <c r="H50" s="5">
        <f>INDEX(Variables!$B$5:$B$65,MATCH($A50,Variables!$A$5:$A$65,0))&amp;IF($C50="",""," | "&amp;INDEX(Mapping!$B$5:$B$25,MATCH($C50,Mapping!$A$5:$A$25,0))&amp;" | "&amp;INDEX(Mapping!$B$29:$B$38,MATCH($B50,Mapping!$A$29:$A$38,0)))</f>
        <v/>
      </c>
      <c r="I50" s="5">
        <f>INDEX(Variables!$C$5:$C$65,MATCH($A50,Variables!$A$5:$A$65,0))</f>
        <v/>
      </c>
      <c r="J50" s="5">
        <f>INDEX(Variables!$E$5:$E$65,MATCH($A50,Variables!$A$5:$A$65,0))</f>
        <v/>
      </c>
      <c r="K50" s="23">
        <f>LOWER(Settings!$C$4)&amp;".mit."&amp;$A50&amp;IF($C50="","","."&amp;$C50&amp;"."&amp;$B50)&amp;IF(INDEX(Variables!$D$5:$D$65,MATCH($A50,Variables!$A$5:$A$65,0))="","","."&amp;INDEX(Variables!$D$5:$D$65,MATCH($A50,Variables!$A$5:$A$65,0)))&amp;"."&amp;K$5</f>
        <v/>
      </c>
      <c r="L50" s="30">
        <f>INDEX(MTInputs!$J$1:$AZ$415,$D50,MATCH(L$5,MTInputs!$J$5:$AZ$5,0))</f>
        <v/>
      </c>
      <c r="M50" s="31">
        <f>INDEX(MTInputs!$J$1:$AZ$415,$D50,MATCH(M$5,MTInputs!$J$5:$AZ$5,0))</f>
        <v/>
      </c>
      <c r="N50" s="31">
        <f>INDEX(MTInputs!$J$1:$AZ$415,$D50,MATCH(N$5,MTInputs!$J$5:$AZ$5,0))</f>
        <v/>
      </c>
      <c r="O50" s="31">
        <f>INDEX(MTInputs!$J$1:$AZ$415,$D50,MATCH(O$5,MTInputs!$J$5:$AZ$5,0))</f>
        <v/>
      </c>
      <c r="P50" s="31">
        <f>INDEX(MTInputs!$J$1:$AZ$415,$D50,MATCH(P$5,MTInputs!$J$5:$AZ$5,0))</f>
        <v/>
      </c>
      <c r="Q50" s="31">
        <f>INDEX(MTInputs!$J$1:$AZ$415,$D50,MATCH(Q$5,MTInputs!$J$5:$AZ$5,0))</f>
        <v/>
      </c>
      <c r="R50" s="31">
        <f>INDEX(MTInputs!$J$1:$AZ$415,$D50,MATCH(R$5,MTInputs!$J$5:$AZ$5,0))</f>
        <v/>
      </c>
      <c r="S50" s="31">
        <f>INDEX(MTInputs!$J$1:$AZ$415,$D50,MATCH(S$5,MTInputs!$J$5:$AZ$5,0))</f>
        <v/>
      </c>
      <c r="T50" s="31">
        <f>INDEX(MTInputs!$J$1:$AZ$415,$D50,MATCH(T$5,MTInputs!$J$5:$AZ$5,0))</f>
        <v/>
      </c>
      <c r="U50" s="31">
        <f>INDEX(MTInputs!$J$1:$AZ$415,$D50,MATCH(U$5,MTInputs!$J$5:$AZ$5,0))</f>
        <v/>
      </c>
      <c r="V50" s="31">
        <f>INDEX(MTInputs!$J$1:$AZ$415,$D50,MATCH(V$5,MTInputs!$J$5:$AZ$5,0))</f>
        <v/>
      </c>
      <c r="W50" s="31">
        <f>INDEX(MTInputs!$J$1:$AZ$415,$D50,MATCH(W$5,MTInputs!$J$5:$AZ$5,0))</f>
        <v/>
      </c>
      <c r="X50" s="31">
        <f>INDEX(MTInputs!$J$1:$AZ$415,$D50,MATCH(X$5,MTInputs!$J$5:$AZ$5,0))</f>
        <v/>
      </c>
      <c r="Y50" s="31">
        <f>INDEX(MTInputs!$J$1:$AZ$415,$D50,MATCH(Y$5,MTInputs!$J$5:$AZ$5,0))</f>
        <v/>
      </c>
      <c r="Z50" s="23">
        <f>LOWER(Settings!$C$4)&amp;".mit."&amp;$A50&amp;IF($C50="","","."&amp;$C50&amp;"."&amp;$B50)&amp;IF(INDEX(Variables!$D$5:$D$65,MATCH($A50,Variables!$A$5:$A$65,0))="","","."&amp;INDEX(Variables!$D$5:$D$65,MATCH($A50,Variables!$A$5:$A$65,0)))&amp;"."&amp;Z$5</f>
        <v/>
      </c>
      <c r="AA50" s="30">
        <f>INDEX(MTInputs!$J$1:$AZ$415,$D50,MATCH(AA$5,MTInputs!$J$5:$AZ$5,0))</f>
        <v/>
      </c>
      <c r="AB50" s="31">
        <f>INDEX(MTInputs!$J$1:$AZ$415,$D50,MATCH(AB$5,MTInputs!$J$5:$AZ$5,0))</f>
        <v/>
      </c>
      <c r="AC50" s="31">
        <f>INDEX(MTInputs!$J$1:$AZ$415,$D50,MATCH(AC$5,MTInputs!$J$5:$AZ$5,0))</f>
        <v/>
      </c>
      <c r="AD50" s="31">
        <f>INDEX(MTInputs!$J$1:$AZ$415,$D50,MATCH(AD$5,MTInputs!$J$5:$AZ$5,0))</f>
        <v/>
      </c>
      <c r="AE50" s="31">
        <f>INDEX(MTInputs!$J$1:$AZ$415,$D50,MATCH(AE$5,MTInputs!$J$5:$AZ$5,0))</f>
        <v/>
      </c>
      <c r="AF50" s="31">
        <f>INDEX(MTInputs!$J$1:$AZ$415,$D50,MATCH(AF$5,MTInputs!$J$5:$AZ$5,0))</f>
        <v/>
      </c>
      <c r="AG50" s="31">
        <f>INDEX(MTInputs!$J$1:$AZ$415,$D50,MATCH(AG$5,MTInputs!$J$5:$AZ$5,0))</f>
        <v/>
      </c>
      <c r="AH50" s="31">
        <f>INDEX(MTInputs!$J$1:$AZ$415,$D50,MATCH(AH$5,MTInputs!$J$5:$AZ$5,0))</f>
        <v/>
      </c>
      <c r="AI50" s="31">
        <f>INDEX(MTInputs!$J$1:$AZ$415,$D50,MATCH(AI$5,MTInputs!$J$5:$AZ$5,0))</f>
        <v/>
      </c>
      <c r="AJ50" s="31">
        <f>INDEX(MTInputs!$J$1:$AZ$415,$D50,MATCH(AJ$5,MTInputs!$J$5:$AZ$5,0))</f>
        <v/>
      </c>
      <c r="AK50" s="31">
        <f>INDEX(MTInputs!$J$1:$AZ$415,$D50,MATCH(AK$5,MTInputs!$J$5:$AZ$5,0))</f>
        <v/>
      </c>
      <c r="AL50" s="31">
        <f>INDEX(MTInputs!$J$1:$AZ$415,$D50,MATCH(AL$5,MTInputs!$J$5:$AZ$5,0))</f>
        <v/>
      </c>
      <c r="AM50" s="31">
        <f>INDEX(MTInputs!$J$1:$AZ$415,$D50,MATCH(AM$5,MTInputs!$J$5:$AZ$5,0))</f>
        <v/>
      </c>
      <c r="AN50" s="31">
        <f>INDEX(MTInputs!$J$1:$AZ$415,$D50,MATCH(AN$5,MTInputs!$J$5:$AZ$5,0))</f>
        <v/>
      </c>
    </row>
    <row r="51" hidden="1" outlineLevel="1">
      <c r="A51" s="5" t="inlineStr">
        <is>
          <t>fpr.s</t>
        </is>
      </c>
      <c r="B51" s="5" t="inlineStr">
        <is>
          <t>nga</t>
        </is>
      </c>
      <c r="C51" s="5" t="inlineStr">
        <is>
          <t>res</t>
        </is>
      </c>
      <c r="D51" s="6" t="n">
        <v>146</v>
      </c>
      <c r="H51" s="5">
        <f>INDEX(Variables!$B$5:$B$65,MATCH($A51,Variables!$A$5:$A$65,0))&amp;IF($C51="",""," | "&amp;INDEX(Mapping!$B$5:$B$25,MATCH($C51,Mapping!$A$5:$A$25,0))&amp;" | "&amp;INDEX(Mapping!$B$29:$B$38,MATCH($B51,Mapping!$A$29:$A$38,0)))</f>
        <v/>
      </c>
      <c r="I51" s="5">
        <f>INDEX(Variables!$C$5:$C$65,MATCH($A51,Variables!$A$5:$A$65,0))</f>
        <v/>
      </c>
      <c r="J51" s="5">
        <f>INDEX(Variables!$E$5:$E$65,MATCH($A51,Variables!$A$5:$A$65,0))</f>
        <v/>
      </c>
      <c r="K51" s="23">
        <f>LOWER(Settings!$C$4)&amp;".mit."&amp;$A51&amp;IF($C51="","","."&amp;$C51&amp;"."&amp;$B51)&amp;IF(INDEX(Variables!$D$5:$D$65,MATCH($A51,Variables!$A$5:$A$65,0))="","","."&amp;INDEX(Variables!$D$5:$D$65,MATCH($A51,Variables!$A$5:$A$65,0)))&amp;"."&amp;K$5</f>
        <v/>
      </c>
      <c r="L51" s="30">
        <f>INDEX(MTInputs!$J$1:$AZ$415,$D51,MATCH(L$5,MTInputs!$J$5:$AZ$5,0))</f>
        <v/>
      </c>
      <c r="M51" s="31">
        <f>INDEX(MTInputs!$J$1:$AZ$415,$D51,MATCH(M$5,MTInputs!$J$5:$AZ$5,0))</f>
        <v/>
      </c>
      <c r="N51" s="31">
        <f>INDEX(MTInputs!$J$1:$AZ$415,$D51,MATCH(N$5,MTInputs!$J$5:$AZ$5,0))</f>
        <v/>
      </c>
      <c r="O51" s="31">
        <f>INDEX(MTInputs!$J$1:$AZ$415,$D51,MATCH(O$5,MTInputs!$J$5:$AZ$5,0))</f>
        <v/>
      </c>
      <c r="P51" s="31">
        <f>INDEX(MTInputs!$J$1:$AZ$415,$D51,MATCH(P$5,MTInputs!$J$5:$AZ$5,0))</f>
        <v/>
      </c>
      <c r="Q51" s="31">
        <f>INDEX(MTInputs!$J$1:$AZ$415,$D51,MATCH(Q$5,MTInputs!$J$5:$AZ$5,0))</f>
        <v/>
      </c>
      <c r="R51" s="31">
        <f>INDEX(MTInputs!$J$1:$AZ$415,$D51,MATCH(R$5,MTInputs!$J$5:$AZ$5,0))</f>
        <v/>
      </c>
      <c r="S51" s="31">
        <f>INDEX(MTInputs!$J$1:$AZ$415,$D51,MATCH(S$5,MTInputs!$J$5:$AZ$5,0))</f>
        <v/>
      </c>
      <c r="T51" s="31">
        <f>INDEX(MTInputs!$J$1:$AZ$415,$D51,MATCH(T$5,MTInputs!$J$5:$AZ$5,0))</f>
        <v/>
      </c>
      <c r="U51" s="31">
        <f>INDEX(MTInputs!$J$1:$AZ$415,$D51,MATCH(U$5,MTInputs!$J$5:$AZ$5,0))</f>
        <v/>
      </c>
      <c r="V51" s="31">
        <f>INDEX(MTInputs!$J$1:$AZ$415,$D51,MATCH(V$5,MTInputs!$J$5:$AZ$5,0))</f>
        <v/>
      </c>
      <c r="W51" s="31">
        <f>INDEX(MTInputs!$J$1:$AZ$415,$D51,MATCH(W$5,MTInputs!$J$5:$AZ$5,0))</f>
        <v/>
      </c>
      <c r="X51" s="31">
        <f>INDEX(MTInputs!$J$1:$AZ$415,$D51,MATCH(X$5,MTInputs!$J$5:$AZ$5,0))</f>
        <v/>
      </c>
      <c r="Y51" s="31">
        <f>INDEX(MTInputs!$J$1:$AZ$415,$D51,MATCH(Y$5,MTInputs!$J$5:$AZ$5,0))</f>
        <v/>
      </c>
      <c r="Z51" s="23">
        <f>LOWER(Settings!$C$4)&amp;".mit."&amp;$A51&amp;IF($C51="","","."&amp;$C51&amp;"."&amp;$B51)&amp;IF(INDEX(Variables!$D$5:$D$65,MATCH($A51,Variables!$A$5:$A$65,0))="","","."&amp;INDEX(Variables!$D$5:$D$65,MATCH($A51,Variables!$A$5:$A$65,0)))&amp;"."&amp;Z$5</f>
        <v/>
      </c>
      <c r="AA51" s="30">
        <f>INDEX(MTInputs!$J$1:$AZ$415,$D51,MATCH(AA$5,MTInputs!$J$5:$AZ$5,0))</f>
        <v/>
      </c>
      <c r="AB51" s="31">
        <f>INDEX(MTInputs!$J$1:$AZ$415,$D51,MATCH(AB$5,MTInputs!$J$5:$AZ$5,0))</f>
        <v/>
      </c>
      <c r="AC51" s="31">
        <f>INDEX(MTInputs!$J$1:$AZ$415,$D51,MATCH(AC$5,MTInputs!$J$5:$AZ$5,0))</f>
        <v/>
      </c>
      <c r="AD51" s="31">
        <f>INDEX(MTInputs!$J$1:$AZ$415,$D51,MATCH(AD$5,MTInputs!$J$5:$AZ$5,0))</f>
        <v/>
      </c>
      <c r="AE51" s="31">
        <f>INDEX(MTInputs!$J$1:$AZ$415,$D51,MATCH(AE$5,MTInputs!$J$5:$AZ$5,0))</f>
        <v/>
      </c>
      <c r="AF51" s="31">
        <f>INDEX(MTInputs!$J$1:$AZ$415,$D51,MATCH(AF$5,MTInputs!$J$5:$AZ$5,0))</f>
        <v/>
      </c>
      <c r="AG51" s="31">
        <f>INDEX(MTInputs!$J$1:$AZ$415,$D51,MATCH(AG$5,MTInputs!$J$5:$AZ$5,0))</f>
        <v/>
      </c>
      <c r="AH51" s="31">
        <f>INDEX(MTInputs!$J$1:$AZ$415,$D51,MATCH(AH$5,MTInputs!$J$5:$AZ$5,0))</f>
        <v/>
      </c>
      <c r="AI51" s="31">
        <f>INDEX(MTInputs!$J$1:$AZ$415,$D51,MATCH(AI$5,MTInputs!$J$5:$AZ$5,0))</f>
        <v/>
      </c>
      <c r="AJ51" s="31">
        <f>INDEX(MTInputs!$J$1:$AZ$415,$D51,MATCH(AJ$5,MTInputs!$J$5:$AZ$5,0))</f>
        <v/>
      </c>
      <c r="AK51" s="31">
        <f>INDEX(MTInputs!$J$1:$AZ$415,$D51,MATCH(AK$5,MTInputs!$J$5:$AZ$5,0))</f>
        <v/>
      </c>
      <c r="AL51" s="31">
        <f>INDEX(MTInputs!$J$1:$AZ$415,$D51,MATCH(AL$5,MTInputs!$J$5:$AZ$5,0))</f>
        <v/>
      </c>
      <c r="AM51" s="31">
        <f>INDEX(MTInputs!$J$1:$AZ$415,$D51,MATCH(AM$5,MTInputs!$J$5:$AZ$5,0))</f>
        <v/>
      </c>
      <c r="AN51" s="31">
        <f>INDEX(MTInputs!$J$1:$AZ$415,$D51,MATCH(AN$5,MTInputs!$J$5:$AZ$5,0))</f>
        <v/>
      </c>
    </row>
    <row r="52" hidden="1" outlineLevel="1">
      <c r="A52" s="5" t="inlineStr">
        <is>
          <t>fpr.s</t>
        </is>
      </c>
      <c r="B52" s="5" t="inlineStr">
        <is>
          <t>nga</t>
        </is>
      </c>
      <c r="C52" s="5" t="inlineStr">
        <is>
          <t>ind</t>
        </is>
      </c>
      <c r="D52" s="6" t="n">
        <v>147</v>
      </c>
      <c r="H52" s="5">
        <f>INDEX(Variables!$B$5:$B$65,MATCH($A52,Variables!$A$5:$A$65,0))&amp;IF($C52="",""," | "&amp;INDEX(Mapping!$B$5:$B$25,MATCH($C52,Mapping!$A$5:$A$25,0))&amp;" | "&amp;INDEX(Mapping!$B$29:$B$38,MATCH($B52,Mapping!$A$29:$A$38,0)))</f>
        <v/>
      </c>
      <c r="I52" s="5">
        <f>INDEX(Variables!$C$5:$C$65,MATCH($A52,Variables!$A$5:$A$65,0))</f>
        <v/>
      </c>
      <c r="J52" s="5">
        <f>INDEX(Variables!$E$5:$E$65,MATCH($A52,Variables!$A$5:$A$65,0))</f>
        <v/>
      </c>
      <c r="K52" s="23">
        <f>LOWER(Settings!$C$4)&amp;".mit."&amp;$A52&amp;IF($C52="","","."&amp;$C52&amp;"."&amp;$B52)&amp;IF(INDEX(Variables!$D$5:$D$65,MATCH($A52,Variables!$A$5:$A$65,0))="","","."&amp;INDEX(Variables!$D$5:$D$65,MATCH($A52,Variables!$A$5:$A$65,0)))&amp;"."&amp;K$5</f>
        <v/>
      </c>
      <c r="L52" s="30">
        <f>INDEX(MTInputs!$J$1:$AZ$415,$D52,MATCH(L$5,MTInputs!$J$5:$AZ$5,0))</f>
        <v/>
      </c>
      <c r="M52" s="31">
        <f>INDEX(MTInputs!$J$1:$AZ$415,$D52,MATCH(M$5,MTInputs!$J$5:$AZ$5,0))</f>
        <v/>
      </c>
      <c r="N52" s="31">
        <f>INDEX(MTInputs!$J$1:$AZ$415,$D52,MATCH(N$5,MTInputs!$J$5:$AZ$5,0))</f>
        <v/>
      </c>
      <c r="O52" s="31">
        <f>INDEX(MTInputs!$J$1:$AZ$415,$D52,MATCH(O$5,MTInputs!$J$5:$AZ$5,0))</f>
        <v/>
      </c>
      <c r="P52" s="31">
        <f>INDEX(MTInputs!$J$1:$AZ$415,$D52,MATCH(P$5,MTInputs!$J$5:$AZ$5,0))</f>
        <v/>
      </c>
      <c r="Q52" s="31">
        <f>INDEX(MTInputs!$J$1:$AZ$415,$D52,MATCH(Q$5,MTInputs!$J$5:$AZ$5,0))</f>
        <v/>
      </c>
      <c r="R52" s="31">
        <f>INDEX(MTInputs!$J$1:$AZ$415,$D52,MATCH(R$5,MTInputs!$J$5:$AZ$5,0))</f>
        <v/>
      </c>
      <c r="S52" s="31">
        <f>INDEX(MTInputs!$J$1:$AZ$415,$D52,MATCH(S$5,MTInputs!$J$5:$AZ$5,0))</f>
        <v/>
      </c>
      <c r="T52" s="31">
        <f>INDEX(MTInputs!$J$1:$AZ$415,$D52,MATCH(T$5,MTInputs!$J$5:$AZ$5,0))</f>
        <v/>
      </c>
      <c r="U52" s="31">
        <f>INDEX(MTInputs!$J$1:$AZ$415,$D52,MATCH(U$5,MTInputs!$J$5:$AZ$5,0))</f>
        <v/>
      </c>
      <c r="V52" s="31">
        <f>INDEX(MTInputs!$J$1:$AZ$415,$D52,MATCH(V$5,MTInputs!$J$5:$AZ$5,0))</f>
        <v/>
      </c>
      <c r="W52" s="31">
        <f>INDEX(MTInputs!$J$1:$AZ$415,$D52,MATCH(W$5,MTInputs!$J$5:$AZ$5,0))</f>
        <v/>
      </c>
      <c r="X52" s="31">
        <f>INDEX(MTInputs!$J$1:$AZ$415,$D52,MATCH(X$5,MTInputs!$J$5:$AZ$5,0))</f>
        <v/>
      </c>
      <c r="Y52" s="31">
        <f>INDEX(MTInputs!$J$1:$AZ$415,$D52,MATCH(Y$5,MTInputs!$J$5:$AZ$5,0))</f>
        <v/>
      </c>
      <c r="Z52" s="23">
        <f>LOWER(Settings!$C$4)&amp;".mit."&amp;$A52&amp;IF($C52="","","."&amp;$C52&amp;"."&amp;$B52)&amp;IF(INDEX(Variables!$D$5:$D$65,MATCH($A52,Variables!$A$5:$A$65,0))="","","."&amp;INDEX(Variables!$D$5:$D$65,MATCH($A52,Variables!$A$5:$A$65,0)))&amp;"."&amp;Z$5</f>
        <v/>
      </c>
      <c r="AA52" s="30">
        <f>INDEX(MTInputs!$J$1:$AZ$415,$D52,MATCH(AA$5,MTInputs!$J$5:$AZ$5,0))</f>
        <v/>
      </c>
      <c r="AB52" s="31">
        <f>INDEX(MTInputs!$J$1:$AZ$415,$D52,MATCH(AB$5,MTInputs!$J$5:$AZ$5,0))</f>
        <v/>
      </c>
      <c r="AC52" s="31">
        <f>INDEX(MTInputs!$J$1:$AZ$415,$D52,MATCH(AC$5,MTInputs!$J$5:$AZ$5,0))</f>
        <v/>
      </c>
      <c r="AD52" s="31">
        <f>INDEX(MTInputs!$J$1:$AZ$415,$D52,MATCH(AD$5,MTInputs!$J$5:$AZ$5,0))</f>
        <v/>
      </c>
      <c r="AE52" s="31">
        <f>INDEX(MTInputs!$J$1:$AZ$415,$D52,MATCH(AE$5,MTInputs!$J$5:$AZ$5,0))</f>
        <v/>
      </c>
      <c r="AF52" s="31">
        <f>INDEX(MTInputs!$J$1:$AZ$415,$D52,MATCH(AF$5,MTInputs!$J$5:$AZ$5,0))</f>
        <v/>
      </c>
      <c r="AG52" s="31">
        <f>INDEX(MTInputs!$J$1:$AZ$415,$D52,MATCH(AG$5,MTInputs!$J$5:$AZ$5,0))</f>
        <v/>
      </c>
      <c r="AH52" s="31">
        <f>INDEX(MTInputs!$J$1:$AZ$415,$D52,MATCH(AH$5,MTInputs!$J$5:$AZ$5,0))</f>
        <v/>
      </c>
      <c r="AI52" s="31">
        <f>INDEX(MTInputs!$J$1:$AZ$415,$D52,MATCH(AI$5,MTInputs!$J$5:$AZ$5,0))</f>
        <v/>
      </c>
      <c r="AJ52" s="31">
        <f>INDEX(MTInputs!$J$1:$AZ$415,$D52,MATCH(AJ$5,MTInputs!$J$5:$AZ$5,0))</f>
        <v/>
      </c>
      <c r="AK52" s="31">
        <f>INDEX(MTInputs!$J$1:$AZ$415,$D52,MATCH(AK$5,MTInputs!$J$5:$AZ$5,0))</f>
        <v/>
      </c>
      <c r="AL52" s="31">
        <f>INDEX(MTInputs!$J$1:$AZ$415,$D52,MATCH(AL$5,MTInputs!$J$5:$AZ$5,0))</f>
        <v/>
      </c>
      <c r="AM52" s="31">
        <f>INDEX(MTInputs!$J$1:$AZ$415,$D52,MATCH(AM$5,MTInputs!$J$5:$AZ$5,0))</f>
        <v/>
      </c>
      <c r="AN52" s="31">
        <f>INDEX(MTInputs!$J$1:$AZ$415,$D52,MATCH(AN$5,MTInputs!$J$5:$AZ$5,0))</f>
        <v/>
      </c>
    </row>
    <row r="53" hidden="1" outlineLevel="1">
      <c r="A53" s="5" t="inlineStr">
        <is>
          <t>fpr.s</t>
        </is>
      </c>
      <c r="B53" s="5" t="inlineStr">
        <is>
          <t>ecy</t>
        </is>
      </c>
      <c r="C53" s="5" t="inlineStr">
        <is>
          <t>res</t>
        </is>
      </c>
      <c r="D53" s="6" t="n">
        <v>148</v>
      </c>
      <c r="H53" s="5">
        <f>INDEX(Variables!$B$5:$B$65,MATCH($A53,Variables!$A$5:$A$65,0))&amp;IF($C53="",""," | "&amp;INDEX(Mapping!$B$5:$B$25,MATCH($C53,Mapping!$A$5:$A$25,0))&amp;" | "&amp;INDEX(Mapping!$B$29:$B$38,MATCH($B53,Mapping!$A$29:$A$38,0)))</f>
        <v/>
      </c>
      <c r="I53" s="5">
        <f>INDEX(Variables!$C$5:$C$65,MATCH($A53,Variables!$A$5:$A$65,0))</f>
        <v/>
      </c>
      <c r="J53" s="5">
        <f>INDEX(Variables!$E$5:$E$65,MATCH($A53,Variables!$A$5:$A$65,0))</f>
        <v/>
      </c>
      <c r="K53" s="23">
        <f>LOWER(Settings!$C$4)&amp;".mit."&amp;$A53&amp;IF($C53="","","."&amp;$C53&amp;"."&amp;$B53)&amp;IF(INDEX(Variables!$D$5:$D$65,MATCH($A53,Variables!$A$5:$A$65,0))="","","."&amp;INDEX(Variables!$D$5:$D$65,MATCH($A53,Variables!$A$5:$A$65,0)))&amp;"."&amp;K$5</f>
        <v/>
      </c>
      <c r="L53" s="30">
        <f>INDEX(MTInputs!$J$1:$AZ$415,$D53,MATCH(L$5,MTInputs!$J$5:$AZ$5,0))</f>
        <v/>
      </c>
      <c r="M53" s="31">
        <f>INDEX(MTInputs!$J$1:$AZ$415,$D53,MATCH(M$5,MTInputs!$J$5:$AZ$5,0))</f>
        <v/>
      </c>
      <c r="N53" s="31">
        <f>INDEX(MTInputs!$J$1:$AZ$415,$D53,MATCH(N$5,MTInputs!$J$5:$AZ$5,0))</f>
        <v/>
      </c>
      <c r="O53" s="31">
        <f>INDEX(MTInputs!$J$1:$AZ$415,$D53,MATCH(O$5,MTInputs!$J$5:$AZ$5,0))</f>
        <v/>
      </c>
      <c r="P53" s="31">
        <f>INDEX(MTInputs!$J$1:$AZ$415,$D53,MATCH(P$5,MTInputs!$J$5:$AZ$5,0))</f>
        <v/>
      </c>
      <c r="Q53" s="31">
        <f>INDEX(MTInputs!$J$1:$AZ$415,$D53,MATCH(Q$5,MTInputs!$J$5:$AZ$5,0))</f>
        <v/>
      </c>
      <c r="R53" s="31">
        <f>INDEX(MTInputs!$J$1:$AZ$415,$D53,MATCH(R$5,MTInputs!$J$5:$AZ$5,0))</f>
        <v/>
      </c>
      <c r="S53" s="31">
        <f>INDEX(MTInputs!$J$1:$AZ$415,$D53,MATCH(S$5,MTInputs!$J$5:$AZ$5,0))</f>
        <v/>
      </c>
      <c r="T53" s="31">
        <f>INDEX(MTInputs!$J$1:$AZ$415,$D53,MATCH(T$5,MTInputs!$J$5:$AZ$5,0))</f>
        <v/>
      </c>
      <c r="U53" s="31">
        <f>INDEX(MTInputs!$J$1:$AZ$415,$D53,MATCH(U$5,MTInputs!$J$5:$AZ$5,0))</f>
        <v/>
      </c>
      <c r="V53" s="31">
        <f>INDEX(MTInputs!$J$1:$AZ$415,$D53,MATCH(V$5,MTInputs!$J$5:$AZ$5,0))</f>
        <v/>
      </c>
      <c r="W53" s="31">
        <f>INDEX(MTInputs!$J$1:$AZ$415,$D53,MATCH(W$5,MTInputs!$J$5:$AZ$5,0))</f>
        <v/>
      </c>
      <c r="X53" s="31">
        <f>INDEX(MTInputs!$J$1:$AZ$415,$D53,MATCH(X$5,MTInputs!$J$5:$AZ$5,0))</f>
        <v/>
      </c>
      <c r="Y53" s="31">
        <f>INDEX(MTInputs!$J$1:$AZ$415,$D53,MATCH(Y$5,MTInputs!$J$5:$AZ$5,0))</f>
        <v/>
      </c>
      <c r="Z53" s="23">
        <f>LOWER(Settings!$C$4)&amp;".mit."&amp;$A53&amp;IF($C53="","","."&amp;$C53&amp;"."&amp;$B53)&amp;IF(INDEX(Variables!$D$5:$D$65,MATCH($A53,Variables!$A$5:$A$65,0))="","","."&amp;INDEX(Variables!$D$5:$D$65,MATCH($A53,Variables!$A$5:$A$65,0)))&amp;"."&amp;Z$5</f>
        <v/>
      </c>
      <c r="AA53" s="30">
        <f>INDEX(MTInputs!$J$1:$AZ$415,$D53,MATCH(AA$5,MTInputs!$J$5:$AZ$5,0))</f>
        <v/>
      </c>
      <c r="AB53" s="31">
        <f>INDEX(MTInputs!$J$1:$AZ$415,$D53,MATCH(AB$5,MTInputs!$J$5:$AZ$5,0))</f>
        <v/>
      </c>
      <c r="AC53" s="31">
        <f>INDEX(MTInputs!$J$1:$AZ$415,$D53,MATCH(AC$5,MTInputs!$J$5:$AZ$5,0))</f>
        <v/>
      </c>
      <c r="AD53" s="31">
        <f>INDEX(MTInputs!$J$1:$AZ$415,$D53,MATCH(AD$5,MTInputs!$J$5:$AZ$5,0))</f>
        <v/>
      </c>
      <c r="AE53" s="31">
        <f>INDEX(MTInputs!$J$1:$AZ$415,$D53,MATCH(AE$5,MTInputs!$J$5:$AZ$5,0))</f>
        <v/>
      </c>
      <c r="AF53" s="31">
        <f>INDEX(MTInputs!$J$1:$AZ$415,$D53,MATCH(AF$5,MTInputs!$J$5:$AZ$5,0))</f>
        <v/>
      </c>
      <c r="AG53" s="31">
        <f>INDEX(MTInputs!$J$1:$AZ$415,$D53,MATCH(AG$5,MTInputs!$J$5:$AZ$5,0))</f>
        <v/>
      </c>
      <c r="AH53" s="31">
        <f>INDEX(MTInputs!$J$1:$AZ$415,$D53,MATCH(AH$5,MTInputs!$J$5:$AZ$5,0))</f>
        <v/>
      </c>
      <c r="AI53" s="31">
        <f>INDEX(MTInputs!$J$1:$AZ$415,$D53,MATCH(AI$5,MTInputs!$J$5:$AZ$5,0))</f>
        <v/>
      </c>
      <c r="AJ53" s="31">
        <f>INDEX(MTInputs!$J$1:$AZ$415,$D53,MATCH(AJ$5,MTInputs!$J$5:$AZ$5,0))</f>
        <v/>
      </c>
      <c r="AK53" s="31">
        <f>INDEX(MTInputs!$J$1:$AZ$415,$D53,MATCH(AK$5,MTInputs!$J$5:$AZ$5,0))</f>
        <v/>
      </c>
      <c r="AL53" s="31">
        <f>INDEX(MTInputs!$J$1:$AZ$415,$D53,MATCH(AL$5,MTInputs!$J$5:$AZ$5,0))</f>
        <v/>
      </c>
      <c r="AM53" s="31">
        <f>INDEX(MTInputs!$J$1:$AZ$415,$D53,MATCH(AM$5,MTInputs!$J$5:$AZ$5,0))</f>
        <v/>
      </c>
      <c r="AN53" s="31">
        <f>INDEX(MTInputs!$J$1:$AZ$415,$D53,MATCH(AN$5,MTInputs!$J$5:$AZ$5,0))</f>
        <v/>
      </c>
    </row>
    <row r="54" hidden="1" outlineLevel="1">
      <c r="A54" s="5" t="inlineStr">
        <is>
          <t>fpr.s</t>
        </is>
      </c>
      <c r="B54" s="5" t="inlineStr">
        <is>
          <t>ecy</t>
        </is>
      </c>
      <c r="C54" s="5" t="inlineStr">
        <is>
          <t>ind</t>
        </is>
      </c>
      <c r="D54" s="6" t="n">
        <v>149</v>
      </c>
      <c r="H54" s="5">
        <f>INDEX(Variables!$B$5:$B$65,MATCH($A54,Variables!$A$5:$A$65,0))&amp;IF($C54="",""," | "&amp;INDEX(Mapping!$B$5:$B$25,MATCH($C54,Mapping!$A$5:$A$25,0))&amp;" | "&amp;INDEX(Mapping!$B$29:$B$38,MATCH($B54,Mapping!$A$29:$A$38,0)))</f>
        <v/>
      </c>
      <c r="I54" s="5">
        <f>INDEX(Variables!$C$5:$C$65,MATCH($A54,Variables!$A$5:$A$65,0))</f>
        <v/>
      </c>
      <c r="J54" s="5">
        <f>INDEX(Variables!$E$5:$E$65,MATCH($A54,Variables!$A$5:$A$65,0))</f>
        <v/>
      </c>
      <c r="K54" s="23">
        <f>LOWER(Settings!$C$4)&amp;".mit."&amp;$A54&amp;IF($C54="","","."&amp;$C54&amp;"."&amp;$B54)&amp;IF(INDEX(Variables!$D$5:$D$65,MATCH($A54,Variables!$A$5:$A$65,0))="","","."&amp;INDEX(Variables!$D$5:$D$65,MATCH($A54,Variables!$A$5:$A$65,0)))&amp;"."&amp;K$5</f>
        <v/>
      </c>
      <c r="L54" s="30">
        <f>INDEX(MTInputs!$J$1:$AZ$415,$D54,MATCH(L$5,MTInputs!$J$5:$AZ$5,0))</f>
        <v/>
      </c>
      <c r="M54" s="31">
        <f>INDEX(MTInputs!$J$1:$AZ$415,$D54,MATCH(M$5,MTInputs!$J$5:$AZ$5,0))</f>
        <v/>
      </c>
      <c r="N54" s="31">
        <f>INDEX(MTInputs!$J$1:$AZ$415,$D54,MATCH(N$5,MTInputs!$J$5:$AZ$5,0))</f>
        <v/>
      </c>
      <c r="O54" s="31">
        <f>INDEX(MTInputs!$J$1:$AZ$415,$D54,MATCH(O$5,MTInputs!$J$5:$AZ$5,0))</f>
        <v/>
      </c>
      <c r="P54" s="31">
        <f>INDEX(MTInputs!$J$1:$AZ$415,$D54,MATCH(P$5,MTInputs!$J$5:$AZ$5,0))</f>
        <v/>
      </c>
      <c r="Q54" s="31">
        <f>INDEX(MTInputs!$J$1:$AZ$415,$D54,MATCH(Q$5,MTInputs!$J$5:$AZ$5,0))</f>
        <v/>
      </c>
      <c r="R54" s="31">
        <f>INDEX(MTInputs!$J$1:$AZ$415,$D54,MATCH(R$5,MTInputs!$J$5:$AZ$5,0))</f>
        <v/>
      </c>
      <c r="S54" s="31">
        <f>INDEX(MTInputs!$J$1:$AZ$415,$D54,MATCH(S$5,MTInputs!$J$5:$AZ$5,0))</f>
        <v/>
      </c>
      <c r="T54" s="31">
        <f>INDEX(MTInputs!$J$1:$AZ$415,$D54,MATCH(T$5,MTInputs!$J$5:$AZ$5,0))</f>
        <v/>
      </c>
      <c r="U54" s="31">
        <f>INDEX(MTInputs!$J$1:$AZ$415,$D54,MATCH(U$5,MTInputs!$J$5:$AZ$5,0))</f>
        <v/>
      </c>
      <c r="V54" s="31">
        <f>INDEX(MTInputs!$J$1:$AZ$415,$D54,MATCH(V$5,MTInputs!$J$5:$AZ$5,0))</f>
        <v/>
      </c>
      <c r="W54" s="31">
        <f>INDEX(MTInputs!$J$1:$AZ$415,$D54,MATCH(W$5,MTInputs!$J$5:$AZ$5,0))</f>
        <v/>
      </c>
      <c r="X54" s="31">
        <f>INDEX(MTInputs!$J$1:$AZ$415,$D54,MATCH(X$5,MTInputs!$J$5:$AZ$5,0))</f>
        <v/>
      </c>
      <c r="Y54" s="31">
        <f>INDEX(MTInputs!$J$1:$AZ$415,$D54,MATCH(Y$5,MTInputs!$J$5:$AZ$5,0))</f>
        <v/>
      </c>
      <c r="Z54" s="23">
        <f>LOWER(Settings!$C$4)&amp;".mit."&amp;$A54&amp;IF($C54="","","."&amp;$C54&amp;"."&amp;$B54)&amp;IF(INDEX(Variables!$D$5:$D$65,MATCH($A54,Variables!$A$5:$A$65,0))="","","."&amp;INDEX(Variables!$D$5:$D$65,MATCH($A54,Variables!$A$5:$A$65,0)))&amp;"."&amp;Z$5</f>
        <v/>
      </c>
      <c r="AA54" s="30">
        <f>INDEX(MTInputs!$J$1:$AZ$415,$D54,MATCH(AA$5,MTInputs!$J$5:$AZ$5,0))</f>
        <v/>
      </c>
      <c r="AB54" s="31">
        <f>INDEX(MTInputs!$J$1:$AZ$415,$D54,MATCH(AB$5,MTInputs!$J$5:$AZ$5,0))</f>
        <v/>
      </c>
      <c r="AC54" s="31">
        <f>INDEX(MTInputs!$J$1:$AZ$415,$D54,MATCH(AC$5,MTInputs!$J$5:$AZ$5,0))</f>
        <v/>
      </c>
      <c r="AD54" s="31">
        <f>INDEX(MTInputs!$J$1:$AZ$415,$D54,MATCH(AD$5,MTInputs!$J$5:$AZ$5,0))</f>
        <v/>
      </c>
      <c r="AE54" s="31">
        <f>INDEX(MTInputs!$J$1:$AZ$415,$D54,MATCH(AE$5,MTInputs!$J$5:$AZ$5,0))</f>
        <v/>
      </c>
      <c r="AF54" s="31">
        <f>INDEX(MTInputs!$J$1:$AZ$415,$D54,MATCH(AF$5,MTInputs!$J$5:$AZ$5,0))</f>
        <v/>
      </c>
      <c r="AG54" s="31">
        <f>INDEX(MTInputs!$J$1:$AZ$415,$D54,MATCH(AG$5,MTInputs!$J$5:$AZ$5,0))</f>
        <v/>
      </c>
      <c r="AH54" s="31">
        <f>INDEX(MTInputs!$J$1:$AZ$415,$D54,MATCH(AH$5,MTInputs!$J$5:$AZ$5,0))</f>
        <v/>
      </c>
      <c r="AI54" s="31">
        <f>INDEX(MTInputs!$J$1:$AZ$415,$D54,MATCH(AI$5,MTInputs!$J$5:$AZ$5,0))</f>
        <v/>
      </c>
      <c r="AJ54" s="31">
        <f>INDEX(MTInputs!$J$1:$AZ$415,$D54,MATCH(AJ$5,MTInputs!$J$5:$AZ$5,0))</f>
        <v/>
      </c>
      <c r="AK54" s="31">
        <f>INDEX(MTInputs!$J$1:$AZ$415,$D54,MATCH(AK$5,MTInputs!$J$5:$AZ$5,0))</f>
        <v/>
      </c>
      <c r="AL54" s="31">
        <f>INDEX(MTInputs!$J$1:$AZ$415,$D54,MATCH(AL$5,MTInputs!$J$5:$AZ$5,0))</f>
        <v/>
      </c>
      <c r="AM54" s="31">
        <f>INDEX(MTInputs!$J$1:$AZ$415,$D54,MATCH(AM$5,MTInputs!$J$5:$AZ$5,0))</f>
        <v/>
      </c>
      <c r="AN54" s="31">
        <f>INDEX(MTInputs!$J$1:$AZ$415,$D54,MATCH(AN$5,MTInputs!$J$5:$AZ$5,0))</f>
        <v/>
      </c>
    </row>
    <row r="55" hidden="1" outlineLevel="1">
      <c r="A55" s="5" t="inlineStr">
        <is>
          <t>fpr.s</t>
        </is>
      </c>
      <c r="B55" s="5" t="inlineStr">
        <is>
          <t>gso</t>
        </is>
      </c>
      <c r="C55" s="5" t="inlineStr">
        <is>
          <t>all</t>
        </is>
      </c>
      <c r="D55" s="6" t="n">
        <v>150</v>
      </c>
      <c r="H55" s="5">
        <f>INDEX(Variables!$B$5:$B$65,MATCH($A55,Variables!$A$5:$A$65,0))&amp;IF($C55="",""," | "&amp;INDEX(Mapping!$B$5:$B$25,MATCH($C55,Mapping!$A$5:$A$25,0))&amp;" | "&amp;INDEX(Mapping!$B$29:$B$38,MATCH($B55,Mapping!$A$29:$A$38,0)))</f>
        <v/>
      </c>
      <c r="I55" s="5">
        <f>INDEX(Variables!$C$5:$C$65,MATCH($A55,Variables!$A$5:$A$65,0))</f>
        <v/>
      </c>
      <c r="J55" s="5">
        <f>INDEX(Variables!$E$5:$E$65,MATCH($A55,Variables!$A$5:$A$65,0))</f>
        <v/>
      </c>
      <c r="K55" s="23">
        <f>LOWER(Settings!$C$4)&amp;".mit."&amp;$A55&amp;IF($C55="","","."&amp;$C55&amp;"."&amp;$B55)&amp;IF(INDEX(Variables!$D$5:$D$65,MATCH($A55,Variables!$A$5:$A$65,0))="","","."&amp;INDEX(Variables!$D$5:$D$65,MATCH($A55,Variables!$A$5:$A$65,0)))&amp;"."&amp;K$5</f>
        <v/>
      </c>
      <c r="L55" s="30">
        <f>INDEX(MTInputs!$J$1:$AZ$415,$D55,MATCH(L$5,MTInputs!$J$5:$AZ$5,0))</f>
        <v/>
      </c>
      <c r="M55" s="31">
        <f>INDEX(MTInputs!$J$1:$AZ$415,$D55,MATCH(M$5,MTInputs!$J$5:$AZ$5,0))</f>
        <v/>
      </c>
      <c r="N55" s="31">
        <f>INDEX(MTInputs!$J$1:$AZ$415,$D55,MATCH(N$5,MTInputs!$J$5:$AZ$5,0))</f>
        <v/>
      </c>
      <c r="O55" s="31">
        <f>INDEX(MTInputs!$J$1:$AZ$415,$D55,MATCH(O$5,MTInputs!$J$5:$AZ$5,0))</f>
        <v/>
      </c>
      <c r="P55" s="31">
        <f>INDEX(MTInputs!$J$1:$AZ$415,$D55,MATCH(P$5,MTInputs!$J$5:$AZ$5,0))</f>
        <v/>
      </c>
      <c r="Q55" s="31">
        <f>INDEX(MTInputs!$J$1:$AZ$415,$D55,MATCH(Q$5,MTInputs!$J$5:$AZ$5,0))</f>
        <v/>
      </c>
      <c r="R55" s="31">
        <f>INDEX(MTInputs!$J$1:$AZ$415,$D55,MATCH(R$5,MTInputs!$J$5:$AZ$5,0))</f>
        <v/>
      </c>
      <c r="S55" s="31">
        <f>INDEX(MTInputs!$J$1:$AZ$415,$D55,MATCH(S$5,MTInputs!$J$5:$AZ$5,0))</f>
        <v/>
      </c>
      <c r="T55" s="31">
        <f>INDEX(MTInputs!$J$1:$AZ$415,$D55,MATCH(T$5,MTInputs!$J$5:$AZ$5,0))</f>
        <v/>
      </c>
      <c r="U55" s="31">
        <f>INDEX(MTInputs!$J$1:$AZ$415,$D55,MATCH(U$5,MTInputs!$J$5:$AZ$5,0))</f>
        <v/>
      </c>
      <c r="V55" s="31">
        <f>INDEX(MTInputs!$J$1:$AZ$415,$D55,MATCH(V$5,MTInputs!$J$5:$AZ$5,0))</f>
        <v/>
      </c>
      <c r="W55" s="31">
        <f>INDEX(MTInputs!$J$1:$AZ$415,$D55,MATCH(W$5,MTInputs!$J$5:$AZ$5,0))</f>
        <v/>
      </c>
      <c r="X55" s="31">
        <f>INDEX(MTInputs!$J$1:$AZ$415,$D55,MATCH(X$5,MTInputs!$J$5:$AZ$5,0))</f>
        <v/>
      </c>
      <c r="Y55" s="31">
        <f>INDEX(MTInputs!$J$1:$AZ$415,$D55,MATCH(Y$5,MTInputs!$J$5:$AZ$5,0))</f>
        <v/>
      </c>
      <c r="Z55" s="23">
        <f>LOWER(Settings!$C$4)&amp;".mit."&amp;$A55&amp;IF($C55="","","."&amp;$C55&amp;"."&amp;$B55)&amp;IF(INDEX(Variables!$D$5:$D$65,MATCH($A55,Variables!$A$5:$A$65,0))="","","."&amp;INDEX(Variables!$D$5:$D$65,MATCH($A55,Variables!$A$5:$A$65,0)))&amp;"."&amp;Z$5</f>
        <v/>
      </c>
      <c r="AA55" s="30">
        <f>INDEX(MTInputs!$J$1:$AZ$415,$D55,MATCH(AA$5,MTInputs!$J$5:$AZ$5,0))</f>
        <v/>
      </c>
      <c r="AB55" s="31">
        <f>INDEX(MTInputs!$J$1:$AZ$415,$D55,MATCH(AB$5,MTInputs!$J$5:$AZ$5,0))</f>
        <v/>
      </c>
      <c r="AC55" s="31">
        <f>INDEX(MTInputs!$J$1:$AZ$415,$D55,MATCH(AC$5,MTInputs!$J$5:$AZ$5,0))</f>
        <v/>
      </c>
      <c r="AD55" s="31">
        <f>INDEX(MTInputs!$J$1:$AZ$415,$D55,MATCH(AD$5,MTInputs!$J$5:$AZ$5,0))</f>
        <v/>
      </c>
      <c r="AE55" s="31">
        <f>INDEX(MTInputs!$J$1:$AZ$415,$D55,MATCH(AE$5,MTInputs!$J$5:$AZ$5,0))</f>
        <v/>
      </c>
      <c r="AF55" s="31">
        <f>INDEX(MTInputs!$J$1:$AZ$415,$D55,MATCH(AF$5,MTInputs!$J$5:$AZ$5,0))</f>
        <v/>
      </c>
      <c r="AG55" s="31">
        <f>INDEX(MTInputs!$J$1:$AZ$415,$D55,MATCH(AG$5,MTInputs!$J$5:$AZ$5,0))</f>
        <v/>
      </c>
      <c r="AH55" s="31">
        <f>INDEX(MTInputs!$J$1:$AZ$415,$D55,MATCH(AH$5,MTInputs!$J$5:$AZ$5,0))</f>
        <v/>
      </c>
      <c r="AI55" s="31">
        <f>INDEX(MTInputs!$J$1:$AZ$415,$D55,MATCH(AI$5,MTInputs!$J$5:$AZ$5,0))</f>
        <v/>
      </c>
      <c r="AJ55" s="31">
        <f>INDEX(MTInputs!$J$1:$AZ$415,$D55,MATCH(AJ$5,MTInputs!$J$5:$AZ$5,0))</f>
        <v/>
      </c>
      <c r="AK55" s="31">
        <f>INDEX(MTInputs!$J$1:$AZ$415,$D55,MATCH(AK$5,MTInputs!$J$5:$AZ$5,0))</f>
        <v/>
      </c>
      <c r="AL55" s="31">
        <f>INDEX(MTInputs!$J$1:$AZ$415,$D55,MATCH(AL$5,MTInputs!$J$5:$AZ$5,0))</f>
        <v/>
      </c>
      <c r="AM55" s="31">
        <f>INDEX(MTInputs!$J$1:$AZ$415,$D55,MATCH(AM$5,MTInputs!$J$5:$AZ$5,0))</f>
        <v/>
      </c>
      <c r="AN55" s="31">
        <f>INDEX(MTInputs!$J$1:$AZ$415,$D55,MATCH(AN$5,MTInputs!$J$5:$AZ$5,0))</f>
        <v/>
      </c>
    </row>
    <row r="56" hidden="1" outlineLevel="1">
      <c r="A56" s="5" t="inlineStr">
        <is>
          <t>fpr.s</t>
        </is>
      </c>
      <c r="B56" s="5" t="inlineStr">
        <is>
          <t>die</t>
        </is>
      </c>
      <c r="C56" s="5" t="inlineStr">
        <is>
          <t>all</t>
        </is>
      </c>
      <c r="D56" s="6" t="n">
        <v>151</v>
      </c>
      <c r="H56" s="5">
        <f>INDEX(Variables!$B$5:$B$65,MATCH($A56,Variables!$A$5:$A$65,0))&amp;IF($C56="",""," | "&amp;INDEX(Mapping!$B$5:$B$25,MATCH($C56,Mapping!$A$5:$A$25,0))&amp;" | "&amp;INDEX(Mapping!$B$29:$B$38,MATCH($B56,Mapping!$A$29:$A$38,0)))</f>
        <v/>
      </c>
      <c r="I56" s="5">
        <f>INDEX(Variables!$C$5:$C$65,MATCH($A56,Variables!$A$5:$A$65,0))</f>
        <v/>
      </c>
      <c r="J56" s="5">
        <f>INDEX(Variables!$E$5:$E$65,MATCH($A56,Variables!$A$5:$A$65,0))</f>
        <v/>
      </c>
      <c r="K56" s="23">
        <f>LOWER(Settings!$C$4)&amp;".mit."&amp;$A56&amp;IF($C56="","","."&amp;$C56&amp;"."&amp;$B56)&amp;IF(INDEX(Variables!$D$5:$D$65,MATCH($A56,Variables!$A$5:$A$65,0))="","","."&amp;INDEX(Variables!$D$5:$D$65,MATCH($A56,Variables!$A$5:$A$65,0)))&amp;"."&amp;K$5</f>
        <v/>
      </c>
      <c r="L56" s="30">
        <f>INDEX(MTInputs!$J$1:$AZ$415,$D56,MATCH(L$5,MTInputs!$J$5:$AZ$5,0))</f>
        <v/>
      </c>
      <c r="M56" s="31">
        <f>INDEX(MTInputs!$J$1:$AZ$415,$D56,MATCH(M$5,MTInputs!$J$5:$AZ$5,0))</f>
        <v/>
      </c>
      <c r="N56" s="31">
        <f>INDEX(MTInputs!$J$1:$AZ$415,$D56,MATCH(N$5,MTInputs!$J$5:$AZ$5,0))</f>
        <v/>
      </c>
      <c r="O56" s="31">
        <f>INDEX(MTInputs!$J$1:$AZ$415,$D56,MATCH(O$5,MTInputs!$J$5:$AZ$5,0))</f>
        <v/>
      </c>
      <c r="P56" s="31">
        <f>INDEX(MTInputs!$J$1:$AZ$415,$D56,MATCH(P$5,MTInputs!$J$5:$AZ$5,0))</f>
        <v/>
      </c>
      <c r="Q56" s="31">
        <f>INDEX(MTInputs!$J$1:$AZ$415,$D56,MATCH(Q$5,MTInputs!$J$5:$AZ$5,0))</f>
        <v/>
      </c>
      <c r="R56" s="31">
        <f>INDEX(MTInputs!$J$1:$AZ$415,$D56,MATCH(R$5,MTInputs!$J$5:$AZ$5,0))</f>
        <v/>
      </c>
      <c r="S56" s="31">
        <f>INDEX(MTInputs!$J$1:$AZ$415,$D56,MATCH(S$5,MTInputs!$J$5:$AZ$5,0))</f>
        <v/>
      </c>
      <c r="T56" s="31">
        <f>INDEX(MTInputs!$J$1:$AZ$415,$D56,MATCH(T$5,MTInputs!$J$5:$AZ$5,0))</f>
        <v/>
      </c>
      <c r="U56" s="31">
        <f>INDEX(MTInputs!$J$1:$AZ$415,$D56,MATCH(U$5,MTInputs!$J$5:$AZ$5,0))</f>
        <v/>
      </c>
      <c r="V56" s="31">
        <f>INDEX(MTInputs!$J$1:$AZ$415,$D56,MATCH(V$5,MTInputs!$J$5:$AZ$5,0))</f>
        <v/>
      </c>
      <c r="W56" s="31">
        <f>INDEX(MTInputs!$J$1:$AZ$415,$D56,MATCH(W$5,MTInputs!$J$5:$AZ$5,0))</f>
        <v/>
      </c>
      <c r="X56" s="31">
        <f>INDEX(MTInputs!$J$1:$AZ$415,$D56,MATCH(X$5,MTInputs!$J$5:$AZ$5,0))</f>
        <v/>
      </c>
      <c r="Y56" s="31">
        <f>INDEX(MTInputs!$J$1:$AZ$415,$D56,MATCH(Y$5,MTInputs!$J$5:$AZ$5,0))</f>
        <v/>
      </c>
      <c r="Z56" s="23">
        <f>LOWER(Settings!$C$4)&amp;".mit."&amp;$A56&amp;IF($C56="","","."&amp;$C56&amp;"."&amp;$B56)&amp;IF(INDEX(Variables!$D$5:$D$65,MATCH($A56,Variables!$A$5:$A$65,0))="","","."&amp;INDEX(Variables!$D$5:$D$65,MATCH($A56,Variables!$A$5:$A$65,0)))&amp;"."&amp;Z$5</f>
        <v/>
      </c>
      <c r="AA56" s="30">
        <f>INDEX(MTInputs!$J$1:$AZ$415,$D56,MATCH(AA$5,MTInputs!$J$5:$AZ$5,0))</f>
        <v/>
      </c>
      <c r="AB56" s="31">
        <f>INDEX(MTInputs!$J$1:$AZ$415,$D56,MATCH(AB$5,MTInputs!$J$5:$AZ$5,0))</f>
        <v/>
      </c>
      <c r="AC56" s="31">
        <f>INDEX(MTInputs!$J$1:$AZ$415,$D56,MATCH(AC$5,MTInputs!$J$5:$AZ$5,0))</f>
        <v/>
      </c>
      <c r="AD56" s="31">
        <f>INDEX(MTInputs!$J$1:$AZ$415,$D56,MATCH(AD$5,MTInputs!$J$5:$AZ$5,0))</f>
        <v/>
      </c>
      <c r="AE56" s="31">
        <f>INDEX(MTInputs!$J$1:$AZ$415,$D56,MATCH(AE$5,MTInputs!$J$5:$AZ$5,0))</f>
        <v/>
      </c>
      <c r="AF56" s="31">
        <f>INDEX(MTInputs!$J$1:$AZ$415,$D56,MATCH(AF$5,MTInputs!$J$5:$AZ$5,0))</f>
        <v/>
      </c>
      <c r="AG56" s="31">
        <f>INDEX(MTInputs!$J$1:$AZ$415,$D56,MATCH(AG$5,MTInputs!$J$5:$AZ$5,0))</f>
        <v/>
      </c>
      <c r="AH56" s="31">
        <f>INDEX(MTInputs!$J$1:$AZ$415,$D56,MATCH(AH$5,MTInputs!$J$5:$AZ$5,0))</f>
        <v/>
      </c>
      <c r="AI56" s="31">
        <f>INDEX(MTInputs!$J$1:$AZ$415,$D56,MATCH(AI$5,MTInputs!$J$5:$AZ$5,0))</f>
        <v/>
      </c>
      <c r="AJ56" s="31">
        <f>INDEX(MTInputs!$J$1:$AZ$415,$D56,MATCH(AJ$5,MTInputs!$J$5:$AZ$5,0))</f>
        <v/>
      </c>
      <c r="AK56" s="31">
        <f>INDEX(MTInputs!$J$1:$AZ$415,$D56,MATCH(AK$5,MTInputs!$J$5:$AZ$5,0))</f>
        <v/>
      </c>
      <c r="AL56" s="31">
        <f>INDEX(MTInputs!$J$1:$AZ$415,$D56,MATCH(AL$5,MTInputs!$J$5:$AZ$5,0))</f>
        <v/>
      </c>
      <c r="AM56" s="31">
        <f>INDEX(MTInputs!$J$1:$AZ$415,$D56,MATCH(AM$5,MTInputs!$J$5:$AZ$5,0))</f>
        <v/>
      </c>
      <c r="AN56" s="31">
        <f>INDEX(MTInputs!$J$1:$AZ$415,$D56,MATCH(AN$5,MTInputs!$J$5:$AZ$5,0))</f>
        <v/>
      </c>
    </row>
    <row r="57" hidden="1" outlineLevel="1">
      <c r="A57" s="5" t="inlineStr">
        <is>
          <t>fpr.s</t>
        </is>
      </c>
      <c r="B57" s="5" t="inlineStr">
        <is>
          <t>lpg</t>
        </is>
      </c>
      <c r="C57" s="5" t="inlineStr">
        <is>
          <t>all</t>
        </is>
      </c>
      <c r="D57" s="6" t="n">
        <v>152</v>
      </c>
      <c r="H57" s="5">
        <f>INDEX(Variables!$B$5:$B$65,MATCH($A57,Variables!$A$5:$A$65,0))&amp;IF($C57="",""," | "&amp;INDEX(Mapping!$B$5:$B$25,MATCH($C57,Mapping!$A$5:$A$25,0))&amp;" | "&amp;INDEX(Mapping!$B$29:$B$38,MATCH($B57,Mapping!$A$29:$A$38,0)))</f>
        <v/>
      </c>
      <c r="I57" s="5">
        <f>INDEX(Variables!$C$5:$C$65,MATCH($A57,Variables!$A$5:$A$65,0))</f>
        <v/>
      </c>
      <c r="J57" s="5">
        <f>INDEX(Variables!$E$5:$E$65,MATCH($A57,Variables!$A$5:$A$65,0))</f>
        <v/>
      </c>
      <c r="K57" s="23">
        <f>LOWER(Settings!$C$4)&amp;".mit."&amp;$A57&amp;IF($C57="","","."&amp;$C57&amp;"."&amp;$B57)&amp;IF(INDEX(Variables!$D$5:$D$65,MATCH($A57,Variables!$A$5:$A$65,0))="","","."&amp;INDEX(Variables!$D$5:$D$65,MATCH($A57,Variables!$A$5:$A$65,0)))&amp;"."&amp;K$5</f>
        <v/>
      </c>
      <c r="L57" s="30">
        <f>INDEX(MTInputs!$J$1:$AZ$415,$D57,MATCH(L$5,MTInputs!$J$5:$AZ$5,0))</f>
        <v/>
      </c>
      <c r="M57" s="31">
        <f>INDEX(MTInputs!$J$1:$AZ$415,$D57,MATCH(M$5,MTInputs!$J$5:$AZ$5,0))</f>
        <v/>
      </c>
      <c r="N57" s="31">
        <f>INDEX(MTInputs!$J$1:$AZ$415,$D57,MATCH(N$5,MTInputs!$J$5:$AZ$5,0))</f>
        <v/>
      </c>
      <c r="O57" s="31">
        <f>INDEX(MTInputs!$J$1:$AZ$415,$D57,MATCH(O$5,MTInputs!$J$5:$AZ$5,0))</f>
        <v/>
      </c>
      <c r="P57" s="31">
        <f>INDEX(MTInputs!$J$1:$AZ$415,$D57,MATCH(P$5,MTInputs!$J$5:$AZ$5,0))</f>
        <v/>
      </c>
      <c r="Q57" s="31">
        <f>INDEX(MTInputs!$J$1:$AZ$415,$D57,MATCH(Q$5,MTInputs!$J$5:$AZ$5,0))</f>
        <v/>
      </c>
      <c r="R57" s="31">
        <f>INDEX(MTInputs!$J$1:$AZ$415,$D57,MATCH(R$5,MTInputs!$J$5:$AZ$5,0))</f>
        <v/>
      </c>
      <c r="S57" s="31">
        <f>INDEX(MTInputs!$J$1:$AZ$415,$D57,MATCH(S$5,MTInputs!$J$5:$AZ$5,0))</f>
        <v/>
      </c>
      <c r="T57" s="31">
        <f>INDEX(MTInputs!$J$1:$AZ$415,$D57,MATCH(T$5,MTInputs!$J$5:$AZ$5,0))</f>
        <v/>
      </c>
      <c r="U57" s="31">
        <f>INDEX(MTInputs!$J$1:$AZ$415,$D57,MATCH(U$5,MTInputs!$J$5:$AZ$5,0))</f>
        <v/>
      </c>
      <c r="V57" s="31">
        <f>INDEX(MTInputs!$J$1:$AZ$415,$D57,MATCH(V$5,MTInputs!$J$5:$AZ$5,0))</f>
        <v/>
      </c>
      <c r="W57" s="31">
        <f>INDEX(MTInputs!$J$1:$AZ$415,$D57,MATCH(W$5,MTInputs!$J$5:$AZ$5,0))</f>
        <v/>
      </c>
      <c r="X57" s="31">
        <f>INDEX(MTInputs!$J$1:$AZ$415,$D57,MATCH(X$5,MTInputs!$J$5:$AZ$5,0))</f>
        <v/>
      </c>
      <c r="Y57" s="31">
        <f>INDEX(MTInputs!$J$1:$AZ$415,$D57,MATCH(Y$5,MTInputs!$J$5:$AZ$5,0))</f>
        <v/>
      </c>
      <c r="Z57" s="23">
        <f>LOWER(Settings!$C$4)&amp;".mit."&amp;$A57&amp;IF($C57="","","."&amp;$C57&amp;"."&amp;$B57)&amp;IF(INDEX(Variables!$D$5:$D$65,MATCH($A57,Variables!$A$5:$A$65,0))="","","."&amp;INDEX(Variables!$D$5:$D$65,MATCH($A57,Variables!$A$5:$A$65,0)))&amp;"."&amp;Z$5</f>
        <v/>
      </c>
      <c r="AA57" s="30">
        <f>INDEX(MTInputs!$J$1:$AZ$415,$D57,MATCH(AA$5,MTInputs!$J$5:$AZ$5,0))</f>
        <v/>
      </c>
      <c r="AB57" s="31">
        <f>INDEX(MTInputs!$J$1:$AZ$415,$D57,MATCH(AB$5,MTInputs!$J$5:$AZ$5,0))</f>
        <v/>
      </c>
      <c r="AC57" s="31">
        <f>INDEX(MTInputs!$J$1:$AZ$415,$D57,MATCH(AC$5,MTInputs!$J$5:$AZ$5,0))</f>
        <v/>
      </c>
      <c r="AD57" s="31">
        <f>INDEX(MTInputs!$J$1:$AZ$415,$D57,MATCH(AD$5,MTInputs!$J$5:$AZ$5,0))</f>
        <v/>
      </c>
      <c r="AE57" s="31">
        <f>INDEX(MTInputs!$J$1:$AZ$415,$D57,MATCH(AE$5,MTInputs!$J$5:$AZ$5,0))</f>
        <v/>
      </c>
      <c r="AF57" s="31">
        <f>INDEX(MTInputs!$J$1:$AZ$415,$D57,MATCH(AF$5,MTInputs!$J$5:$AZ$5,0))</f>
        <v/>
      </c>
      <c r="AG57" s="31">
        <f>INDEX(MTInputs!$J$1:$AZ$415,$D57,MATCH(AG$5,MTInputs!$J$5:$AZ$5,0))</f>
        <v/>
      </c>
      <c r="AH57" s="31">
        <f>INDEX(MTInputs!$J$1:$AZ$415,$D57,MATCH(AH$5,MTInputs!$J$5:$AZ$5,0))</f>
        <v/>
      </c>
      <c r="AI57" s="31">
        <f>INDEX(MTInputs!$J$1:$AZ$415,$D57,MATCH(AI$5,MTInputs!$J$5:$AZ$5,0))</f>
        <v/>
      </c>
      <c r="AJ57" s="31">
        <f>INDEX(MTInputs!$J$1:$AZ$415,$D57,MATCH(AJ$5,MTInputs!$J$5:$AZ$5,0))</f>
        <v/>
      </c>
      <c r="AK57" s="31">
        <f>INDEX(MTInputs!$J$1:$AZ$415,$D57,MATCH(AK$5,MTInputs!$J$5:$AZ$5,0))</f>
        <v/>
      </c>
      <c r="AL57" s="31">
        <f>INDEX(MTInputs!$J$1:$AZ$415,$D57,MATCH(AL$5,MTInputs!$J$5:$AZ$5,0))</f>
        <v/>
      </c>
      <c r="AM57" s="31">
        <f>INDEX(MTInputs!$J$1:$AZ$415,$D57,MATCH(AM$5,MTInputs!$J$5:$AZ$5,0))</f>
        <v/>
      </c>
      <c r="AN57" s="31">
        <f>INDEX(MTInputs!$J$1:$AZ$415,$D57,MATCH(AN$5,MTInputs!$J$5:$AZ$5,0))</f>
        <v/>
      </c>
    </row>
    <row r="58" hidden="1" outlineLevel="1">
      <c r="A58" s="5" t="inlineStr">
        <is>
          <t>fpr.s</t>
        </is>
      </c>
      <c r="B58" s="5" t="inlineStr">
        <is>
          <t>ker</t>
        </is>
      </c>
      <c r="C58" s="5" t="inlineStr">
        <is>
          <t>all</t>
        </is>
      </c>
      <c r="D58" s="6" t="n">
        <v>153</v>
      </c>
      <c r="H58" s="5">
        <f>INDEX(Variables!$B$5:$B$65,MATCH($A58,Variables!$A$5:$A$65,0))&amp;IF($C58="",""," | "&amp;INDEX(Mapping!$B$5:$B$25,MATCH($C58,Mapping!$A$5:$A$25,0))&amp;" | "&amp;INDEX(Mapping!$B$29:$B$38,MATCH($B58,Mapping!$A$29:$A$38,0)))</f>
        <v/>
      </c>
      <c r="I58" s="5">
        <f>INDEX(Variables!$C$5:$C$65,MATCH($A58,Variables!$A$5:$A$65,0))</f>
        <v/>
      </c>
      <c r="J58" s="5">
        <f>INDEX(Variables!$E$5:$E$65,MATCH($A58,Variables!$A$5:$A$65,0))</f>
        <v/>
      </c>
      <c r="K58" s="23">
        <f>LOWER(Settings!$C$4)&amp;".mit."&amp;$A58&amp;IF($C58="","","."&amp;$C58&amp;"."&amp;$B58)&amp;IF(INDEX(Variables!$D$5:$D$65,MATCH($A58,Variables!$A$5:$A$65,0))="","","."&amp;INDEX(Variables!$D$5:$D$65,MATCH($A58,Variables!$A$5:$A$65,0)))&amp;"."&amp;K$5</f>
        <v/>
      </c>
      <c r="L58" s="30">
        <f>INDEX(MTInputs!$J$1:$AZ$415,$D58,MATCH(L$5,MTInputs!$J$5:$AZ$5,0))</f>
        <v/>
      </c>
      <c r="M58" s="31">
        <f>INDEX(MTInputs!$J$1:$AZ$415,$D58,MATCH(M$5,MTInputs!$J$5:$AZ$5,0))</f>
        <v/>
      </c>
      <c r="N58" s="31">
        <f>INDEX(MTInputs!$J$1:$AZ$415,$D58,MATCH(N$5,MTInputs!$J$5:$AZ$5,0))</f>
        <v/>
      </c>
      <c r="O58" s="31">
        <f>INDEX(MTInputs!$J$1:$AZ$415,$D58,MATCH(O$5,MTInputs!$J$5:$AZ$5,0))</f>
        <v/>
      </c>
      <c r="P58" s="31">
        <f>INDEX(MTInputs!$J$1:$AZ$415,$D58,MATCH(P$5,MTInputs!$J$5:$AZ$5,0))</f>
        <v/>
      </c>
      <c r="Q58" s="31">
        <f>INDEX(MTInputs!$J$1:$AZ$415,$D58,MATCH(Q$5,MTInputs!$J$5:$AZ$5,0))</f>
        <v/>
      </c>
      <c r="R58" s="31">
        <f>INDEX(MTInputs!$J$1:$AZ$415,$D58,MATCH(R$5,MTInputs!$J$5:$AZ$5,0))</f>
        <v/>
      </c>
      <c r="S58" s="31">
        <f>INDEX(MTInputs!$J$1:$AZ$415,$D58,MATCH(S$5,MTInputs!$J$5:$AZ$5,0))</f>
        <v/>
      </c>
      <c r="T58" s="31">
        <f>INDEX(MTInputs!$J$1:$AZ$415,$D58,MATCH(T$5,MTInputs!$J$5:$AZ$5,0))</f>
        <v/>
      </c>
      <c r="U58" s="31">
        <f>INDEX(MTInputs!$J$1:$AZ$415,$D58,MATCH(U$5,MTInputs!$J$5:$AZ$5,0))</f>
        <v/>
      </c>
      <c r="V58" s="31">
        <f>INDEX(MTInputs!$J$1:$AZ$415,$D58,MATCH(V$5,MTInputs!$J$5:$AZ$5,0))</f>
        <v/>
      </c>
      <c r="W58" s="31">
        <f>INDEX(MTInputs!$J$1:$AZ$415,$D58,MATCH(W$5,MTInputs!$J$5:$AZ$5,0))</f>
        <v/>
      </c>
      <c r="X58" s="31">
        <f>INDEX(MTInputs!$J$1:$AZ$415,$D58,MATCH(X$5,MTInputs!$J$5:$AZ$5,0))</f>
        <v/>
      </c>
      <c r="Y58" s="31">
        <f>INDEX(MTInputs!$J$1:$AZ$415,$D58,MATCH(Y$5,MTInputs!$J$5:$AZ$5,0))</f>
        <v/>
      </c>
      <c r="Z58" s="23">
        <f>LOWER(Settings!$C$4)&amp;".mit."&amp;$A58&amp;IF($C58="","","."&amp;$C58&amp;"."&amp;$B58)&amp;IF(INDEX(Variables!$D$5:$D$65,MATCH($A58,Variables!$A$5:$A$65,0))="","","."&amp;INDEX(Variables!$D$5:$D$65,MATCH($A58,Variables!$A$5:$A$65,0)))&amp;"."&amp;Z$5</f>
        <v/>
      </c>
      <c r="AA58" s="30">
        <f>INDEX(MTInputs!$J$1:$AZ$415,$D58,MATCH(AA$5,MTInputs!$J$5:$AZ$5,0))</f>
        <v/>
      </c>
      <c r="AB58" s="31">
        <f>INDEX(MTInputs!$J$1:$AZ$415,$D58,MATCH(AB$5,MTInputs!$J$5:$AZ$5,0))</f>
        <v/>
      </c>
      <c r="AC58" s="31">
        <f>INDEX(MTInputs!$J$1:$AZ$415,$D58,MATCH(AC$5,MTInputs!$J$5:$AZ$5,0))</f>
        <v/>
      </c>
      <c r="AD58" s="31">
        <f>INDEX(MTInputs!$J$1:$AZ$415,$D58,MATCH(AD$5,MTInputs!$J$5:$AZ$5,0))</f>
        <v/>
      </c>
      <c r="AE58" s="31">
        <f>INDEX(MTInputs!$J$1:$AZ$415,$D58,MATCH(AE$5,MTInputs!$J$5:$AZ$5,0))</f>
        <v/>
      </c>
      <c r="AF58" s="31">
        <f>INDEX(MTInputs!$J$1:$AZ$415,$D58,MATCH(AF$5,MTInputs!$J$5:$AZ$5,0))</f>
        <v/>
      </c>
      <c r="AG58" s="31">
        <f>INDEX(MTInputs!$J$1:$AZ$415,$D58,MATCH(AG$5,MTInputs!$J$5:$AZ$5,0))</f>
        <v/>
      </c>
      <c r="AH58" s="31">
        <f>INDEX(MTInputs!$J$1:$AZ$415,$D58,MATCH(AH$5,MTInputs!$J$5:$AZ$5,0))</f>
        <v/>
      </c>
      <c r="AI58" s="31">
        <f>INDEX(MTInputs!$J$1:$AZ$415,$D58,MATCH(AI$5,MTInputs!$J$5:$AZ$5,0))</f>
        <v/>
      </c>
      <c r="AJ58" s="31">
        <f>INDEX(MTInputs!$J$1:$AZ$415,$D58,MATCH(AJ$5,MTInputs!$J$5:$AZ$5,0))</f>
        <v/>
      </c>
      <c r="AK58" s="31">
        <f>INDEX(MTInputs!$J$1:$AZ$415,$D58,MATCH(AK$5,MTInputs!$J$5:$AZ$5,0))</f>
        <v/>
      </c>
      <c r="AL58" s="31">
        <f>INDEX(MTInputs!$J$1:$AZ$415,$D58,MATCH(AL$5,MTInputs!$J$5:$AZ$5,0))</f>
        <v/>
      </c>
      <c r="AM58" s="31">
        <f>INDEX(MTInputs!$J$1:$AZ$415,$D58,MATCH(AM$5,MTInputs!$J$5:$AZ$5,0))</f>
        <v/>
      </c>
      <c r="AN58" s="31">
        <f>INDEX(MTInputs!$J$1:$AZ$415,$D58,MATCH(AN$5,MTInputs!$J$5:$AZ$5,0))</f>
        <v/>
      </c>
    </row>
    <row r="59" hidden="1" outlineLevel="1">
      <c r="A59" s="5" t="inlineStr">
        <is>
          <t>fpr.s</t>
        </is>
      </c>
      <c r="B59" s="5" t="inlineStr">
        <is>
          <t>oop</t>
        </is>
      </c>
      <c r="C59" s="5" t="inlineStr">
        <is>
          <t>all</t>
        </is>
      </c>
      <c r="D59" s="6" t="n">
        <v>154</v>
      </c>
      <c r="H59" s="5">
        <f>INDEX(Variables!$B$5:$B$65,MATCH($A59,Variables!$A$5:$A$65,0))&amp;IF($C59="",""," | "&amp;INDEX(Mapping!$B$5:$B$25,MATCH($C59,Mapping!$A$5:$A$25,0))&amp;" | "&amp;INDEX(Mapping!$B$29:$B$38,MATCH($B59,Mapping!$A$29:$A$38,0)))</f>
        <v/>
      </c>
      <c r="I59" s="5">
        <f>INDEX(Variables!$C$5:$C$65,MATCH($A59,Variables!$A$5:$A$65,0))</f>
        <v/>
      </c>
      <c r="J59" s="5">
        <f>INDEX(Variables!$E$5:$E$65,MATCH($A59,Variables!$A$5:$A$65,0))</f>
        <v/>
      </c>
      <c r="K59" s="23">
        <f>LOWER(Settings!$C$4)&amp;".mit."&amp;$A59&amp;IF($C59="","","."&amp;$C59&amp;"."&amp;$B59)&amp;IF(INDEX(Variables!$D$5:$D$65,MATCH($A59,Variables!$A$5:$A$65,0))="","","."&amp;INDEX(Variables!$D$5:$D$65,MATCH($A59,Variables!$A$5:$A$65,0)))&amp;"."&amp;K$5</f>
        <v/>
      </c>
      <c r="L59" s="30">
        <f>INDEX(MTInputs!$J$1:$AZ$415,$D59,MATCH(L$5,MTInputs!$J$5:$AZ$5,0))</f>
        <v/>
      </c>
      <c r="M59" s="31">
        <f>INDEX(MTInputs!$J$1:$AZ$415,$D59,MATCH(M$5,MTInputs!$J$5:$AZ$5,0))</f>
        <v/>
      </c>
      <c r="N59" s="31">
        <f>INDEX(MTInputs!$J$1:$AZ$415,$D59,MATCH(N$5,MTInputs!$J$5:$AZ$5,0))</f>
        <v/>
      </c>
      <c r="O59" s="31">
        <f>INDEX(MTInputs!$J$1:$AZ$415,$D59,MATCH(O$5,MTInputs!$J$5:$AZ$5,0))</f>
        <v/>
      </c>
      <c r="P59" s="31">
        <f>INDEX(MTInputs!$J$1:$AZ$415,$D59,MATCH(P$5,MTInputs!$J$5:$AZ$5,0))</f>
        <v/>
      </c>
      <c r="Q59" s="31">
        <f>INDEX(MTInputs!$J$1:$AZ$415,$D59,MATCH(Q$5,MTInputs!$J$5:$AZ$5,0))</f>
        <v/>
      </c>
      <c r="R59" s="31">
        <f>INDEX(MTInputs!$J$1:$AZ$415,$D59,MATCH(R$5,MTInputs!$J$5:$AZ$5,0))</f>
        <v/>
      </c>
      <c r="S59" s="31">
        <f>INDEX(MTInputs!$J$1:$AZ$415,$D59,MATCH(S$5,MTInputs!$J$5:$AZ$5,0))</f>
        <v/>
      </c>
      <c r="T59" s="31">
        <f>INDEX(MTInputs!$J$1:$AZ$415,$D59,MATCH(T$5,MTInputs!$J$5:$AZ$5,0))</f>
        <v/>
      </c>
      <c r="U59" s="31">
        <f>INDEX(MTInputs!$J$1:$AZ$415,$D59,MATCH(U$5,MTInputs!$J$5:$AZ$5,0))</f>
        <v/>
      </c>
      <c r="V59" s="31">
        <f>INDEX(MTInputs!$J$1:$AZ$415,$D59,MATCH(V$5,MTInputs!$J$5:$AZ$5,0))</f>
        <v/>
      </c>
      <c r="W59" s="31">
        <f>INDEX(MTInputs!$J$1:$AZ$415,$D59,MATCH(W$5,MTInputs!$J$5:$AZ$5,0))</f>
        <v/>
      </c>
      <c r="X59" s="31">
        <f>INDEX(MTInputs!$J$1:$AZ$415,$D59,MATCH(X$5,MTInputs!$J$5:$AZ$5,0))</f>
        <v/>
      </c>
      <c r="Y59" s="31">
        <f>INDEX(MTInputs!$J$1:$AZ$415,$D59,MATCH(Y$5,MTInputs!$J$5:$AZ$5,0))</f>
        <v/>
      </c>
      <c r="Z59" s="23">
        <f>LOWER(Settings!$C$4)&amp;".mit."&amp;$A59&amp;IF($C59="","","."&amp;$C59&amp;"."&amp;$B59)&amp;IF(INDEX(Variables!$D$5:$D$65,MATCH($A59,Variables!$A$5:$A$65,0))="","","."&amp;INDEX(Variables!$D$5:$D$65,MATCH($A59,Variables!$A$5:$A$65,0)))&amp;"."&amp;Z$5</f>
        <v/>
      </c>
      <c r="AA59" s="30">
        <f>INDEX(MTInputs!$J$1:$AZ$415,$D59,MATCH(AA$5,MTInputs!$J$5:$AZ$5,0))</f>
        <v/>
      </c>
      <c r="AB59" s="31">
        <f>INDEX(MTInputs!$J$1:$AZ$415,$D59,MATCH(AB$5,MTInputs!$J$5:$AZ$5,0))</f>
        <v/>
      </c>
      <c r="AC59" s="31">
        <f>INDEX(MTInputs!$J$1:$AZ$415,$D59,MATCH(AC$5,MTInputs!$J$5:$AZ$5,0))</f>
        <v/>
      </c>
      <c r="AD59" s="31">
        <f>INDEX(MTInputs!$J$1:$AZ$415,$D59,MATCH(AD$5,MTInputs!$J$5:$AZ$5,0))</f>
        <v/>
      </c>
      <c r="AE59" s="31">
        <f>INDEX(MTInputs!$J$1:$AZ$415,$D59,MATCH(AE$5,MTInputs!$J$5:$AZ$5,0))</f>
        <v/>
      </c>
      <c r="AF59" s="31">
        <f>INDEX(MTInputs!$J$1:$AZ$415,$D59,MATCH(AF$5,MTInputs!$J$5:$AZ$5,0))</f>
        <v/>
      </c>
      <c r="AG59" s="31">
        <f>INDEX(MTInputs!$J$1:$AZ$415,$D59,MATCH(AG$5,MTInputs!$J$5:$AZ$5,0))</f>
        <v/>
      </c>
      <c r="AH59" s="31">
        <f>INDEX(MTInputs!$J$1:$AZ$415,$D59,MATCH(AH$5,MTInputs!$J$5:$AZ$5,0))</f>
        <v/>
      </c>
      <c r="AI59" s="31">
        <f>INDEX(MTInputs!$J$1:$AZ$415,$D59,MATCH(AI$5,MTInputs!$J$5:$AZ$5,0))</f>
        <v/>
      </c>
      <c r="AJ59" s="31">
        <f>INDEX(MTInputs!$J$1:$AZ$415,$D59,MATCH(AJ$5,MTInputs!$J$5:$AZ$5,0))</f>
        <v/>
      </c>
      <c r="AK59" s="31">
        <f>INDEX(MTInputs!$J$1:$AZ$415,$D59,MATCH(AK$5,MTInputs!$J$5:$AZ$5,0))</f>
        <v/>
      </c>
      <c r="AL59" s="31">
        <f>INDEX(MTInputs!$J$1:$AZ$415,$D59,MATCH(AL$5,MTInputs!$J$5:$AZ$5,0))</f>
        <v/>
      </c>
      <c r="AM59" s="31">
        <f>INDEX(MTInputs!$J$1:$AZ$415,$D59,MATCH(AM$5,MTInputs!$J$5:$AZ$5,0))</f>
        <v/>
      </c>
      <c r="AN59" s="31">
        <f>INDEX(MTInputs!$J$1:$AZ$415,$D59,MATCH(AN$5,MTInputs!$J$5:$AZ$5,0))</f>
        <v/>
      </c>
    </row>
    <row r="60" hidden="1" outlineLevel="1">
      <c r="A60" s="5" t="inlineStr">
        <is>
          <t>fpr.s</t>
        </is>
      </c>
      <c r="B60" s="5" t="inlineStr">
        <is>
          <t>bio</t>
        </is>
      </c>
      <c r="C60" s="5" t="inlineStr">
        <is>
          <t>all</t>
        </is>
      </c>
      <c r="D60" s="6" t="n">
        <v>155</v>
      </c>
      <c r="H60" s="5">
        <f>INDEX(Variables!$B$5:$B$65,MATCH($A60,Variables!$A$5:$A$65,0))&amp;IF($C60="",""," | "&amp;INDEX(Mapping!$B$5:$B$25,MATCH($C60,Mapping!$A$5:$A$25,0))&amp;" | "&amp;INDEX(Mapping!$B$29:$B$38,MATCH($B60,Mapping!$A$29:$A$38,0)))</f>
        <v/>
      </c>
      <c r="I60" s="5">
        <f>INDEX(Variables!$C$5:$C$65,MATCH($A60,Variables!$A$5:$A$65,0))</f>
        <v/>
      </c>
      <c r="J60" s="5">
        <f>INDEX(Variables!$E$5:$E$65,MATCH($A60,Variables!$A$5:$A$65,0))</f>
        <v/>
      </c>
      <c r="K60" s="23">
        <f>LOWER(Settings!$C$4)&amp;".mit."&amp;$A60&amp;IF($C60="","","."&amp;$C60&amp;"."&amp;$B60)&amp;IF(INDEX(Variables!$D$5:$D$65,MATCH($A60,Variables!$A$5:$A$65,0))="","","."&amp;INDEX(Variables!$D$5:$D$65,MATCH($A60,Variables!$A$5:$A$65,0)))&amp;"."&amp;K$5</f>
        <v/>
      </c>
      <c r="L60" s="30">
        <f>INDEX(MTInputs!$J$1:$AZ$415,$D60,MATCH(L$5,MTInputs!$J$5:$AZ$5,0))</f>
        <v/>
      </c>
      <c r="M60" s="31">
        <f>INDEX(MTInputs!$J$1:$AZ$415,$D60,MATCH(M$5,MTInputs!$J$5:$AZ$5,0))</f>
        <v/>
      </c>
      <c r="N60" s="31">
        <f>INDEX(MTInputs!$J$1:$AZ$415,$D60,MATCH(N$5,MTInputs!$J$5:$AZ$5,0))</f>
        <v/>
      </c>
      <c r="O60" s="31">
        <f>INDEX(MTInputs!$J$1:$AZ$415,$D60,MATCH(O$5,MTInputs!$J$5:$AZ$5,0))</f>
        <v/>
      </c>
      <c r="P60" s="31">
        <f>INDEX(MTInputs!$J$1:$AZ$415,$D60,MATCH(P$5,MTInputs!$J$5:$AZ$5,0))</f>
        <v/>
      </c>
      <c r="Q60" s="31">
        <f>INDEX(MTInputs!$J$1:$AZ$415,$D60,MATCH(Q$5,MTInputs!$J$5:$AZ$5,0))</f>
        <v/>
      </c>
      <c r="R60" s="31">
        <f>INDEX(MTInputs!$J$1:$AZ$415,$D60,MATCH(R$5,MTInputs!$J$5:$AZ$5,0))</f>
        <v/>
      </c>
      <c r="S60" s="31">
        <f>INDEX(MTInputs!$J$1:$AZ$415,$D60,MATCH(S$5,MTInputs!$J$5:$AZ$5,0))</f>
        <v/>
      </c>
      <c r="T60" s="31">
        <f>INDEX(MTInputs!$J$1:$AZ$415,$D60,MATCH(T$5,MTInputs!$J$5:$AZ$5,0))</f>
        <v/>
      </c>
      <c r="U60" s="31">
        <f>INDEX(MTInputs!$J$1:$AZ$415,$D60,MATCH(U$5,MTInputs!$J$5:$AZ$5,0))</f>
        <v/>
      </c>
      <c r="V60" s="31">
        <f>INDEX(MTInputs!$J$1:$AZ$415,$D60,MATCH(V$5,MTInputs!$J$5:$AZ$5,0))</f>
        <v/>
      </c>
      <c r="W60" s="31">
        <f>INDEX(MTInputs!$J$1:$AZ$415,$D60,MATCH(W$5,MTInputs!$J$5:$AZ$5,0))</f>
        <v/>
      </c>
      <c r="X60" s="31">
        <f>INDEX(MTInputs!$J$1:$AZ$415,$D60,MATCH(X$5,MTInputs!$J$5:$AZ$5,0))</f>
        <v/>
      </c>
      <c r="Y60" s="31">
        <f>INDEX(MTInputs!$J$1:$AZ$415,$D60,MATCH(Y$5,MTInputs!$J$5:$AZ$5,0))</f>
        <v/>
      </c>
      <c r="Z60" s="23">
        <f>LOWER(Settings!$C$4)&amp;".mit."&amp;$A60&amp;IF($C60="","","."&amp;$C60&amp;"."&amp;$B60)&amp;IF(INDEX(Variables!$D$5:$D$65,MATCH($A60,Variables!$A$5:$A$65,0))="","","."&amp;INDEX(Variables!$D$5:$D$65,MATCH($A60,Variables!$A$5:$A$65,0)))&amp;"."&amp;Z$5</f>
        <v/>
      </c>
      <c r="AA60" s="30">
        <f>INDEX(MTInputs!$J$1:$AZ$415,$D60,MATCH(AA$5,MTInputs!$J$5:$AZ$5,0))</f>
        <v/>
      </c>
      <c r="AB60" s="31">
        <f>INDEX(MTInputs!$J$1:$AZ$415,$D60,MATCH(AB$5,MTInputs!$J$5:$AZ$5,0))</f>
        <v/>
      </c>
      <c r="AC60" s="31">
        <f>INDEX(MTInputs!$J$1:$AZ$415,$D60,MATCH(AC$5,MTInputs!$J$5:$AZ$5,0))</f>
        <v/>
      </c>
      <c r="AD60" s="31">
        <f>INDEX(MTInputs!$J$1:$AZ$415,$D60,MATCH(AD$5,MTInputs!$J$5:$AZ$5,0))</f>
        <v/>
      </c>
      <c r="AE60" s="31">
        <f>INDEX(MTInputs!$J$1:$AZ$415,$D60,MATCH(AE$5,MTInputs!$J$5:$AZ$5,0))</f>
        <v/>
      </c>
      <c r="AF60" s="31">
        <f>INDEX(MTInputs!$J$1:$AZ$415,$D60,MATCH(AF$5,MTInputs!$J$5:$AZ$5,0))</f>
        <v/>
      </c>
      <c r="AG60" s="31">
        <f>INDEX(MTInputs!$J$1:$AZ$415,$D60,MATCH(AG$5,MTInputs!$J$5:$AZ$5,0))</f>
        <v/>
      </c>
      <c r="AH60" s="31">
        <f>INDEX(MTInputs!$J$1:$AZ$415,$D60,MATCH(AH$5,MTInputs!$J$5:$AZ$5,0))</f>
        <v/>
      </c>
      <c r="AI60" s="31">
        <f>INDEX(MTInputs!$J$1:$AZ$415,$D60,MATCH(AI$5,MTInputs!$J$5:$AZ$5,0))</f>
        <v/>
      </c>
      <c r="AJ60" s="31">
        <f>INDEX(MTInputs!$J$1:$AZ$415,$D60,MATCH(AJ$5,MTInputs!$J$5:$AZ$5,0))</f>
        <v/>
      </c>
      <c r="AK60" s="31">
        <f>INDEX(MTInputs!$J$1:$AZ$415,$D60,MATCH(AK$5,MTInputs!$J$5:$AZ$5,0))</f>
        <v/>
      </c>
      <c r="AL60" s="31">
        <f>INDEX(MTInputs!$J$1:$AZ$415,$D60,MATCH(AL$5,MTInputs!$J$5:$AZ$5,0))</f>
        <v/>
      </c>
      <c r="AM60" s="31">
        <f>INDEX(MTInputs!$J$1:$AZ$415,$D60,MATCH(AM$5,MTInputs!$J$5:$AZ$5,0))</f>
        <v/>
      </c>
      <c r="AN60" s="31">
        <f>INDEX(MTInputs!$J$1:$AZ$415,$D60,MATCH(AN$5,MTInputs!$J$5:$AZ$5,0))</f>
        <v/>
      </c>
    </row>
    <row r="61" hidden="1" outlineLevel="1">
      <c r="A61" s="5" t="inlineStr">
        <is>
          <t>fpr.f</t>
        </is>
      </c>
      <c r="B61" s="5" t="inlineStr">
        <is>
          <t>coa</t>
        </is>
      </c>
      <c r="C61" s="5" t="inlineStr">
        <is>
          <t>pow</t>
        </is>
      </c>
      <c r="D61" s="6" t="n">
        <v>156</v>
      </c>
      <c r="H61" s="5">
        <f>INDEX(Variables!$B$5:$B$65,MATCH($A61,Variables!$A$5:$A$65,0))&amp;IF($C61="",""," | "&amp;INDEX(Mapping!$B$5:$B$25,MATCH($C61,Mapping!$A$5:$A$25,0))&amp;" | "&amp;INDEX(Mapping!$B$29:$B$38,MATCH($B61,Mapping!$A$29:$A$38,0)))</f>
        <v/>
      </c>
      <c r="I61" s="5">
        <f>INDEX(Variables!$C$5:$C$65,MATCH($A61,Variables!$A$5:$A$65,0))</f>
        <v/>
      </c>
      <c r="J61" s="5">
        <f>INDEX(Variables!$E$5:$E$65,MATCH($A61,Variables!$A$5:$A$65,0))</f>
        <v/>
      </c>
      <c r="K61" s="23">
        <f>LOWER(Settings!$C$4)&amp;".mit."&amp;$A61&amp;IF($C61="","","."&amp;$C61&amp;"."&amp;$B61)&amp;IF(INDEX(Variables!$D$5:$D$65,MATCH($A61,Variables!$A$5:$A$65,0))="","","."&amp;INDEX(Variables!$D$5:$D$65,MATCH($A61,Variables!$A$5:$A$65,0)))&amp;"."&amp;K$5</f>
        <v/>
      </c>
      <c r="L61" s="30">
        <f>INDEX(MTInputs!$J$1:$AZ$415,$D61,MATCH(L$5,MTInputs!$J$5:$AZ$5,0))</f>
        <v/>
      </c>
      <c r="M61" s="31">
        <f>INDEX(MTInputs!$J$1:$AZ$415,$D61,MATCH(M$5,MTInputs!$J$5:$AZ$5,0))</f>
        <v/>
      </c>
      <c r="N61" s="31">
        <f>INDEX(MTInputs!$J$1:$AZ$415,$D61,MATCH(N$5,MTInputs!$J$5:$AZ$5,0))</f>
        <v/>
      </c>
      <c r="O61" s="31">
        <f>INDEX(MTInputs!$J$1:$AZ$415,$D61,MATCH(O$5,MTInputs!$J$5:$AZ$5,0))</f>
        <v/>
      </c>
      <c r="P61" s="31">
        <f>INDEX(MTInputs!$J$1:$AZ$415,$D61,MATCH(P$5,MTInputs!$J$5:$AZ$5,0))</f>
        <v/>
      </c>
      <c r="Q61" s="31">
        <f>INDEX(MTInputs!$J$1:$AZ$415,$D61,MATCH(Q$5,MTInputs!$J$5:$AZ$5,0))</f>
        <v/>
      </c>
      <c r="R61" s="31">
        <f>INDEX(MTInputs!$J$1:$AZ$415,$D61,MATCH(R$5,MTInputs!$J$5:$AZ$5,0))</f>
        <v/>
      </c>
      <c r="S61" s="31">
        <f>INDEX(MTInputs!$J$1:$AZ$415,$D61,MATCH(S$5,MTInputs!$J$5:$AZ$5,0))</f>
        <v/>
      </c>
      <c r="T61" s="31">
        <f>INDEX(MTInputs!$J$1:$AZ$415,$D61,MATCH(T$5,MTInputs!$J$5:$AZ$5,0))</f>
        <v/>
      </c>
      <c r="U61" s="31">
        <f>INDEX(MTInputs!$J$1:$AZ$415,$D61,MATCH(U$5,MTInputs!$J$5:$AZ$5,0))</f>
        <v/>
      </c>
      <c r="V61" s="31">
        <f>INDEX(MTInputs!$J$1:$AZ$415,$D61,MATCH(V$5,MTInputs!$J$5:$AZ$5,0))</f>
        <v/>
      </c>
      <c r="W61" s="31">
        <f>INDEX(MTInputs!$J$1:$AZ$415,$D61,MATCH(W$5,MTInputs!$J$5:$AZ$5,0))</f>
        <v/>
      </c>
      <c r="X61" s="31">
        <f>INDEX(MTInputs!$J$1:$AZ$415,$D61,MATCH(X$5,MTInputs!$J$5:$AZ$5,0))</f>
        <v/>
      </c>
      <c r="Y61" s="31">
        <f>INDEX(MTInputs!$J$1:$AZ$415,$D61,MATCH(Y$5,MTInputs!$J$5:$AZ$5,0))</f>
        <v/>
      </c>
      <c r="Z61" s="23">
        <f>LOWER(Settings!$C$4)&amp;".mit."&amp;$A61&amp;IF($C61="","","."&amp;$C61&amp;"."&amp;$B61)&amp;IF(INDEX(Variables!$D$5:$D$65,MATCH($A61,Variables!$A$5:$A$65,0))="","","."&amp;INDEX(Variables!$D$5:$D$65,MATCH($A61,Variables!$A$5:$A$65,0)))&amp;"."&amp;Z$5</f>
        <v/>
      </c>
      <c r="AA61" s="30">
        <f>INDEX(MTInputs!$J$1:$AZ$415,$D61,MATCH(AA$5,MTInputs!$J$5:$AZ$5,0))</f>
        <v/>
      </c>
      <c r="AB61" s="31">
        <f>INDEX(MTInputs!$J$1:$AZ$415,$D61,MATCH(AB$5,MTInputs!$J$5:$AZ$5,0))</f>
        <v/>
      </c>
      <c r="AC61" s="31">
        <f>INDEX(MTInputs!$J$1:$AZ$415,$D61,MATCH(AC$5,MTInputs!$J$5:$AZ$5,0))</f>
        <v/>
      </c>
      <c r="AD61" s="31">
        <f>INDEX(MTInputs!$J$1:$AZ$415,$D61,MATCH(AD$5,MTInputs!$J$5:$AZ$5,0))</f>
        <v/>
      </c>
      <c r="AE61" s="31">
        <f>INDEX(MTInputs!$J$1:$AZ$415,$D61,MATCH(AE$5,MTInputs!$J$5:$AZ$5,0))</f>
        <v/>
      </c>
      <c r="AF61" s="31">
        <f>INDEX(MTInputs!$J$1:$AZ$415,$D61,MATCH(AF$5,MTInputs!$J$5:$AZ$5,0))</f>
        <v/>
      </c>
      <c r="AG61" s="31">
        <f>INDEX(MTInputs!$J$1:$AZ$415,$D61,MATCH(AG$5,MTInputs!$J$5:$AZ$5,0))</f>
        <v/>
      </c>
      <c r="AH61" s="31">
        <f>INDEX(MTInputs!$J$1:$AZ$415,$D61,MATCH(AH$5,MTInputs!$J$5:$AZ$5,0))</f>
        <v/>
      </c>
      <c r="AI61" s="31">
        <f>INDEX(MTInputs!$J$1:$AZ$415,$D61,MATCH(AI$5,MTInputs!$J$5:$AZ$5,0))</f>
        <v/>
      </c>
      <c r="AJ61" s="31">
        <f>INDEX(MTInputs!$J$1:$AZ$415,$D61,MATCH(AJ$5,MTInputs!$J$5:$AZ$5,0))</f>
        <v/>
      </c>
      <c r="AK61" s="31">
        <f>INDEX(MTInputs!$J$1:$AZ$415,$D61,MATCH(AK$5,MTInputs!$J$5:$AZ$5,0))</f>
        <v/>
      </c>
      <c r="AL61" s="31">
        <f>INDEX(MTInputs!$J$1:$AZ$415,$D61,MATCH(AL$5,MTInputs!$J$5:$AZ$5,0))</f>
        <v/>
      </c>
      <c r="AM61" s="31">
        <f>INDEX(MTInputs!$J$1:$AZ$415,$D61,MATCH(AM$5,MTInputs!$J$5:$AZ$5,0))</f>
        <v/>
      </c>
      <c r="AN61" s="31">
        <f>INDEX(MTInputs!$J$1:$AZ$415,$D61,MATCH(AN$5,MTInputs!$J$5:$AZ$5,0))</f>
        <v/>
      </c>
    </row>
    <row r="62" hidden="1" outlineLevel="1">
      <c r="A62" s="5" t="inlineStr">
        <is>
          <t>fpr.f</t>
        </is>
      </c>
      <c r="B62" s="5" t="inlineStr">
        <is>
          <t>coa</t>
        </is>
      </c>
      <c r="C62" s="5" t="inlineStr">
        <is>
          <t>res</t>
        </is>
      </c>
      <c r="D62" s="6" t="n">
        <v>157</v>
      </c>
      <c r="H62" s="5">
        <f>INDEX(Variables!$B$5:$B$65,MATCH($A62,Variables!$A$5:$A$65,0))&amp;IF($C62="",""," | "&amp;INDEX(Mapping!$B$5:$B$25,MATCH($C62,Mapping!$A$5:$A$25,0))&amp;" | "&amp;INDEX(Mapping!$B$29:$B$38,MATCH($B62,Mapping!$A$29:$A$38,0)))</f>
        <v/>
      </c>
      <c r="I62" s="5">
        <f>INDEX(Variables!$C$5:$C$65,MATCH($A62,Variables!$A$5:$A$65,0))</f>
        <v/>
      </c>
      <c r="J62" s="5">
        <f>INDEX(Variables!$E$5:$E$65,MATCH($A62,Variables!$A$5:$A$65,0))</f>
        <v/>
      </c>
      <c r="K62" s="23">
        <f>LOWER(Settings!$C$4)&amp;".mit."&amp;$A62&amp;IF($C62="","","."&amp;$C62&amp;"."&amp;$B62)&amp;IF(INDEX(Variables!$D$5:$D$65,MATCH($A62,Variables!$A$5:$A$65,0))="","","."&amp;INDEX(Variables!$D$5:$D$65,MATCH($A62,Variables!$A$5:$A$65,0)))&amp;"."&amp;K$5</f>
        <v/>
      </c>
      <c r="L62" s="30">
        <f>INDEX(MTInputs!$J$1:$AZ$415,$D62,MATCH(L$5,MTInputs!$J$5:$AZ$5,0))</f>
        <v/>
      </c>
      <c r="M62" s="31">
        <f>INDEX(MTInputs!$J$1:$AZ$415,$D62,MATCH(M$5,MTInputs!$J$5:$AZ$5,0))</f>
        <v/>
      </c>
      <c r="N62" s="31">
        <f>INDEX(MTInputs!$J$1:$AZ$415,$D62,MATCH(N$5,MTInputs!$J$5:$AZ$5,0))</f>
        <v/>
      </c>
      <c r="O62" s="31">
        <f>INDEX(MTInputs!$J$1:$AZ$415,$D62,MATCH(O$5,MTInputs!$J$5:$AZ$5,0))</f>
        <v/>
      </c>
      <c r="P62" s="31">
        <f>INDEX(MTInputs!$J$1:$AZ$415,$D62,MATCH(P$5,MTInputs!$J$5:$AZ$5,0))</f>
        <v/>
      </c>
      <c r="Q62" s="31">
        <f>INDEX(MTInputs!$J$1:$AZ$415,$D62,MATCH(Q$5,MTInputs!$J$5:$AZ$5,0))</f>
        <v/>
      </c>
      <c r="R62" s="31">
        <f>INDEX(MTInputs!$J$1:$AZ$415,$D62,MATCH(R$5,MTInputs!$J$5:$AZ$5,0))</f>
        <v/>
      </c>
      <c r="S62" s="31">
        <f>INDEX(MTInputs!$J$1:$AZ$415,$D62,MATCH(S$5,MTInputs!$J$5:$AZ$5,0))</f>
        <v/>
      </c>
      <c r="T62" s="31">
        <f>INDEX(MTInputs!$J$1:$AZ$415,$D62,MATCH(T$5,MTInputs!$J$5:$AZ$5,0))</f>
        <v/>
      </c>
      <c r="U62" s="31">
        <f>INDEX(MTInputs!$J$1:$AZ$415,$D62,MATCH(U$5,MTInputs!$J$5:$AZ$5,0))</f>
        <v/>
      </c>
      <c r="V62" s="31">
        <f>INDEX(MTInputs!$J$1:$AZ$415,$D62,MATCH(V$5,MTInputs!$J$5:$AZ$5,0))</f>
        <v/>
      </c>
      <c r="W62" s="31">
        <f>INDEX(MTInputs!$J$1:$AZ$415,$D62,MATCH(W$5,MTInputs!$J$5:$AZ$5,0))</f>
        <v/>
      </c>
      <c r="X62" s="31">
        <f>INDEX(MTInputs!$J$1:$AZ$415,$D62,MATCH(X$5,MTInputs!$J$5:$AZ$5,0))</f>
        <v/>
      </c>
      <c r="Y62" s="31">
        <f>INDEX(MTInputs!$J$1:$AZ$415,$D62,MATCH(Y$5,MTInputs!$J$5:$AZ$5,0))</f>
        <v/>
      </c>
      <c r="Z62" s="23">
        <f>LOWER(Settings!$C$4)&amp;".mit."&amp;$A62&amp;IF($C62="","","."&amp;$C62&amp;"."&amp;$B62)&amp;IF(INDEX(Variables!$D$5:$D$65,MATCH($A62,Variables!$A$5:$A$65,0))="","","."&amp;INDEX(Variables!$D$5:$D$65,MATCH($A62,Variables!$A$5:$A$65,0)))&amp;"."&amp;Z$5</f>
        <v/>
      </c>
      <c r="AA62" s="30">
        <f>INDEX(MTInputs!$J$1:$AZ$415,$D62,MATCH(AA$5,MTInputs!$J$5:$AZ$5,0))</f>
        <v/>
      </c>
      <c r="AB62" s="31">
        <f>INDEX(MTInputs!$J$1:$AZ$415,$D62,MATCH(AB$5,MTInputs!$J$5:$AZ$5,0))</f>
        <v/>
      </c>
      <c r="AC62" s="31">
        <f>INDEX(MTInputs!$J$1:$AZ$415,$D62,MATCH(AC$5,MTInputs!$J$5:$AZ$5,0))</f>
        <v/>
      </c>
      <c r="AD62" s="31">
        <f>INDEX(MTInputs!$J$1:$AZ$415,$D62,MATCH(AD$5,MTInputs!$J$5:$AZ$5,0))</f>
        <v/>
      </c>
      <c r="AE62" s="31">
        <f>INDEX(MTInputs!$J$1:$AZ$415,$D62,MATCH(AE$5,MTInputs!$J$5:$AZ$5,0))</f>
        <v/>
      </c>
      <c r="AF62" s="31">
        <f>INDEX(MTInputs!$J$1:$AZ$415,$D62,MATCH(AF$5,MTInputs!$J$5:$AZ$5,0))</f>
        <v/>
      </c>
      <c r="AG62" s="31">
        <f>INDEX(MTInputs!$J$1:$AZ$415,$D62,MATCH(AG$5,MTInputs!$J$5:$AZ$5,0))</f>
        <v/>
      </c>
      <c r="AH62" s="31">
        <f>INDEX(MTInputs!$J$1:$AZ$415,$D62,MATCH(AH$5,MTInputs!$J$5:$AZ$5,0))</f>
        <v/>
      </c>
      <c r="AI62" s="31">
        <f>INDEX(MTInputs!$J$1:$AZ$415,$D62,MATCH(AI$5,MTInputs!$J$5:$AZ$5,0))</f>
        <v/>
      </c>
      <c r="AJ62" s="31">
        <f>INDEX(MTInputs!$J$1:$AZ$415,$D62,MATCH(AJ$5,MTInputs!$J$5:$AZ$5,0))</f>
        <v/>
      </c>
      <c r="AK62" s="31">
        <f>INDEX(MTInputs!$J$1:$AZ$415,$D62,MATCH(AK$5,MTInputs!$J$5:$AZ$5,0))</f>
        <v/>
      </c>
      <c r="AL62" s="31">
        <f>INDEX(MTInputs!$J$1:$AZ$415,$D62,MATCH(AL$5,MTInputs!$J$5:$AZ$5,0))</f>
        <v/>
      </c>
      <c r="AM62" s="31">
        <f>INDEX(MTInputs!$J$1:$AZ$415,$D62,MATCH(AM$5,MTInputs!$J$5:$AZ$5,0))</f>
        <v/>
      </c>
      <c r="AN62" s="31">
        <f>INDEX(MTInputs!$J$1:$AZ$415,$D62,MATCH(AN$5,MTInputs!$J$5:$AZ$5,0))</f>
        <v/>
      </c>
    </row>
    <row r="63" hidden="1" outlineLevel="1">
      <c r="A63" s="5" t="inlineStr">
        <is>
          <t>fpr.f</t>
        </is>
      </c>
      <c r="B63" s="5" t="inlineStr">
        <is>
          <t>coa</t>
        </is>
      </c>
      <c r="C63" s="5" t="inlineStr">
        <is>
          <t>ind</t>
        </is>
      </c>
      <c r="D63" s="6" t="n">
        <v>158</v>
      </c>
      <c r="H63" s="5">
        <f>INDEX(Variables!$B$5:$B$65,MATCH($A63,Variables!$A$5:$A$65,0))&amp;IF($C63="",""," | "&amp;INDEX(Mapping!$B$5:$B$25,MATCH($C63,Mapping!$A$5:$A$25,0))&amp;" | "&amp;INDEX(Mapping!$B$29:$B$38,MATCH($B63,Mapping!$A$29:$A$38,0)))</f>
        <v/>
      </c>
      <c r="I63" s="5">
        <f>INDEX(Variables!$C$5:$C$65,MATCH($A63,Variables!$A$5:$A$65,0))</f>
        <v/>
      </c>
      <c r="J63" s="5">
        <f>INDEX(Variables!$E$5:$E$65,MATCH($A63,Variables!$A$5:$A$65,0))</f>
        <v/>
      </c>
      <c r="K63" s="23">
        <f>LOWER(Settings!$C$4)&amp;".mit."&amp;$A63&amp;IF($C63="","","."&amp;$C63&amp;"."&amp;$B63)&amp;IF(INDEX(Variables!$D$5:$D$65,MATCH($A63,Variables!$A$5:$A$65,0))="","","."&amp;INDEX(Variables!$D$5:$D$65,MATCH($A63,Variables!$A$5:$A$65,0)))&amp;"."&amp;K$5</f>
        <v/>
      </c>
      <c r="L63" s="30">
        <f>INDEX(MTInputs!$J$1:$AZ$415,$D63,MATCH(L$5,MTInputs!$J$5:$AZ$5,0))</f>
        <v/>
      </c>
      <c r="M63" s="31">
        <f>INDEX(MTInputs!$J$1:$AZ$415,$D63,MATCH(M$5,MTInputs!$J$5:$AZ$5,0))</f>
        <v/>
      </c>
      <c r="N63" s="31">
        <f>INDEX(MTInputs!$J$1:$AZ$415,$D63,MATCH(N$5,MTInputs!$J$5:$AZ$5,0))</f>
        <v/>
      </c>
      <c r="O63" s="31">
        <f>INDEX(MTInputs!$J$1:$AZ$415,$D63,MATCH(O$5,MTInputs!$J$5:$AZ$5,0))</f>
        <v/>
      </c>
      <c r="P63" s="31">
        <f>INDEX(MTInputs!$J$1:$AZ$415,$D63,MATCH(P$5,MTInputs!$J$5:$AZ$5,0))</f>
        <v/>
      </c>
      <c r="Q63" s="31">
        <f>INDEX(MTInputs!$J$1:$AZ$415,$D63,MATCH(Q$5,MTInputs!$J$5:$AZ$5,0))</f>
        <v/>
      </c>
      <c r="R63" s="31">
        <f>INDEX(MTInputs!$J$1:$AZ$415,$D63,MATCH(R$5,MTInputs!$J$5:$AZ$5,0))</f>
        <v/>
      </c>
      <c r="S63" s="31">
        <f>INDEX(MTInputs!$J$1:$AZ$415,$D63,MATCH(S$5,MTInputs!$J$5:$AZ$5,0))</f>
        <v/>
      </c>
      <c r="T63" s="31">
        <f>INDEX(MTInputs!$J$1:$AZ$415,$D63,MATCH(T$5,MTInputs!$J$5:$AZ$5,0))</f>
        <v/>
      </c>
      <c r="U63" s="31">
        <f>INDEX(MTInputs!$J$1:$AZ$415,$D63,MATCH(U$5,MTInputs!$J$5:$AZ$5,0))</f>
        <v/>
      </c>
      <c r="V63" s="31">
        <f>INDEX(MTInputs!$J$1:$AZ$415,$D63,MATCH(V$5,MTInputs!$J$5:$AZ$5,0))</f>
        <v/>
      </c>
      <c r="W63" s="31">
        <f>INDEX(MTInputs!$J$1:$AZ$415,$D63,MATCH(W$5,MTInputs!$J$5:$AZ$5,0))</f>
        <v/>
      </c>
      <c r="X63" s="31">
        <f>INDEX(MTInputs!$J$1:$AZ$415,$D63,MATCH(X$5,MTInputs!$J$5:$AZ$5,0))</f>
        <v/>
      </c>
      <c r="Y63" s="31">
        <f>INDEX(MTInputs!$J$1:$AZ$415,$D63,MATCH(Y$5,MTInputs!$J$5:$AZ$5,0))</f>
        <v/>
      </c>
      <c r="Z63" s="23">
        <f>LOWER(Settings!$C$4)&amp;".mit."&amp;$A63&amp;IF($C63="","","."&amp;$C63&amp;"."&amp;$B63)&amp;IF(INDEX(Variables!$D$5:$D$65,MATCH($A63,Variables!$A$5:$A$65,0))="","","."&amp;INDEX(Variables!$D$5:$D$65,MATCH($A63,Variables!$A$5:$A$65,0)))&amp;"."&amp;Z$5</f>
        <v/>
      </c>
      <c r="AA63" s="30">
        <f>INDEX(MTInputs!$J$1:$AZ$415,$D63,MATCH(AA$5,MTInputs!$J$5:$AZ$5,0))</f>
        <v/>
      </c>
      <c r="AB63" s="31">
        <f>INDEX(MTInputs!$J$1:$AZ$415,$D63,MATCH(AB$5,MTInputs!$J$5:$AZ$5,0))</f>
        <v/>
      </c>
      <c r="AC63" s="31">
        <f>INDEX(MTInputs!$J$1:$AZ$415,$D63,MATCH(AC$5,MTInputs!$J$5:$AZ$5,0))</f>
        <v/>
      </c>
      <c r="AD63" s="31">
        <f>INDEX(MTInputs!$J$1:$AZ$415,$D63,MATCH(AD$5,MTInputs!$J$5:$AZ$5,0))</f>
        <v/>
      </c>
      <c r="AE63" s="31">
        <f>INDEX(MTInputs!$J$1:$AZ$415,$D63,MATCH(AE$5,MTInputs!$J$5:$AZ$5,0))</f>
        <v/>
      </c>
      <c r="AF63" s="31">
        <f>INDEX(MTInputs!$J$1:$AZ$415,$D63,MATCH(AF$5,MTInputs!$J$5:$AZ$5,0))</f>
        <v/>
      </c>
      <c r="AG63" s="31">
        <f>INDEX(MTInputs!$J$1:$AZ$415,$D63,MATCH(AG$5,MTInputs!$J$5:$AZ$5,0))</f>
        <v/>
      </c>
      <c r="AH63" s="31">
        <f>INDEX(MTInputs!$J$1:$AZ$415,$D63,MATCH(AH$5,MTInputs!$J$5:$AZ$5,0))</f>
        <v/>
      </c>
      <c r="AI63" s="31">
        <f>INDEX(MTInputs!$J$1:$AZ$415,$D63,MATCH(AI$5,MTInputs!$J$5:$AZ$5,0))</f>
        <v/>
      </c>
      <c r="AJ63" s="31">
        <f>INDEX(MTInputs!$J$1:$AZ$415,$D63,MATCH(AJ$5,MTInputs!$J$5:$AZ$5,0))</f>
        <v/>
      </c>
      <c r="AK63" s="31">
        <f>INDEX(MTInputs!$J$1:$AZ$415,$D63,MATCH(AK$5,MTInputs!$J$5:$AZ$5,0))</f>
        <v/>
      </c>
      <c r="AL63" s="31">
        <f>INDEX(MTInputs!$J$1:$AZ$415,$D63,MATCH(AL$5,MTInputs!$J$5:$AZ$5,0))</f>
        <v/>
      </c>
      <c r="AM63" s="31">
        <f>INDEX(MTInputs!$J$1:$AZ$415,$D63,MATCH(AM$5,MTInputs!$J$5:$AZ$5,0))</f>
        <v/>
      </c>
      <c r="AN63" s="31">
        <f>INDEX(MTInputs!$J$1:$AZ$415,$D63,MATCH(AN$5,MTInputs!$J$5:$AZ$5,0))</f>
        <v/>
      </c>
    </row>
    <row r="64" hidden="1" outlineLevel="1">
      <c r="A64" s="5" t="inlineStr">
        <is>
          <t>fpr.f</t>
        </is>
      </c>
      <c r="B64" s="5" t="inlineStr">
        <is>
          <t>nga</t>
        </is>
      </c>
      <c r="C64" s="5" t="inlineStr">
        <is>
          <t>pow</t>
        </is>
      </c>
      <c r="D64" s="6" t="n">
        <v>159</v>
      </c>
      <c r="H64" s="5">
        <f>INDEX(Variables!$B$5:$B$65,MATCH($A64,Variables!$A$5:$A$65,0))&amp;IF($C64="",""," | "&amp;INDEX(Mapping!$B$5:$B$25,MATCH($C64,Mapping!$A$5:$A$25,0))&amp;" | "&amp;INDEX(Mapping!$B$29:$B$38,MATCH($B64,Mapping!$A$29:$A$38,0)))</f>
        <v/>
      </c>
      <c r="I64" s="5">
        <f>INDEX(Variables!$C$5:$C$65,MATCH($A64,Variables!$A$5:$A$65,0))</f>
        <v/>
      </c>
      <c r="J64" s="5">
        <f>INDEX(Variables!$E$5:$E$65,MATCH($A64,Variables!$A$5:$A$65,0))</f>
        <v/>
      </c>
      <c r="K64" s="23">
        <f>LOWER(Settings!$C$4)&amp;".mit."&amp;$A64&amp;IF($C64="","","."&amp;$C64&amp;"."&amp;$B64)&amp;IF(INDEX(Variables!$D$5:$D$65,MATCH($A64,Variables!$A$5:$A$65,0))="","","."&amp;INDEX(Variables!$D$5:$D$65,MATCH($A64,Variables!$A$5:$A$65,0)))&amp;"."&amp;K$5</f>
        <v/>
      </c>
      <c r="L64" s="30">
        <f>INDEX(MTInputs!$J$1:$AZ$415,$D64,MATCH(L$5,MTInputs!$J$5:$AZ$5,0))</f>
        <v/>
      </c>
      <c r="M64" s="31">
        <f>INDEX(MTInputs!$J$1:$AZ$415,$D64,MATCH(M$5,MTInputs!$J$5:$AZ$5,0))</f>
        <v/>
      </c>
      <c r="N64" s="31">
        <f>INDEX(MTInputs!$J$1:$AZ$415,$D64,MATCH(N$5,MTInputs!$J$5:$AZ$5,0))</f>
        <v/>
      </c>
      <c r="O64" s="31">
        <f>INDEX(MTInputs!$J$1:$AZ$415,$D64,MATCH(O$5,MTInputs!$J$5:$AZ$5,0))</f>
        <v/>
      </c>
      <c r="P64" s="31">
        <f>INDEX(MTInputs!$J$1:$AZ$415,$D64,MATCH(P$5,MTInputs!$J$5:$AZ$5,0))</f>
        <v/>
      </c>
      <c r="Q64" s="31">
        <f>INDEX(MTInputs!$J$1:$AZ$415,$D64,MATCH(Q$5,MTInputs!$J$5:$AZ$5,0))</f>
        <v/>
      </c>
      <c r="R64" s="31">
        <f>INDEX(MTInputs!$J$1:$AZ$415,$D64,MATCH(R$5,MTInputs!$J$5:$AZ$5,0))</f>
        <v/>
      </c>
      <c r="S64" s="31">
        <f>INDEX(MTInputs!$J$1:$AZ$415,$D64,MATCH(S$5,MTInputs!$J$5:$AZ$5,0))</f>
        <v/>
      </c>
      <c r="T64" s="31">
        <f>INDEX(MTInputs!$J$1:$AZ$415,$D64,MATCH(T$5,MTInputs!$J$5:$AZ$5,0))</f>
        <v/>
      </c>
      <c r="U64" s="31">
        <f>INDEX(MTInputs!$J$1:$AZ$415,$D64,MATCH(U$5,MTInputs!$J$5:$AZ$5,0))</f>
        <v/>
      </c>
      <c r="V64" s="31">
        <f>INDEX(MTInputs!$J$1:$AZ$415,$D64,MATCH(V$5,MTInputs!$J$5:$AZ$5,0))</f>
        <v/>
      </c>
      <c r="W64" s="31">
        <f>INDEX(MTInputs!$J$1:$AZ$415,$D64,MATCH(W$5,MTInputs!$J$5:$AZ$5,0))</f>
        <v/>
      </c>
      <c r="X64" s="31">
        <f>INDEX(MTInputs!$J$1:$AZ$415,$D64,MATCH(X$5,MTInputs!$J$5:$AZ$5,0))</f>
        <v/>
      </c>
      <c r="Y64" s="31">
        <f>INDEX(MTInputs!$J$1:$AZ$415,$D64,MATCH(Y$5,MTInputs!$J$5:$AZ$5,0))</f>
        <v/>
      </c>
      <c r="Z64" s="23">
        <f>LOWER(Settings!$C$4)&amp;".mit."&amp;$A64&amp;IF($C64="","","."&amp;$C64&amp;"."&amp;$B64)&amp;IF(INDEX(Variables!$D$5:$D$65,MATCH($A64,Variables!$A$5:$A$65,0))="","","."&amp;INDEX(Variables!$D$5:$D$65,MATCH($A64,Variables!$A$5:$A$65,0)))&amp;"."&amp;Z$5</f>
        <v/>
      </c>
      <c r="AA64" s="30">
        <f>INDEX(MTInputs!$J$1:$AZ$415,$D64,MATCH(AA$5,MTInputs!$J$5:$AZ$5,0))</f>
        <v/>
      </c>
      <c r="AB64" s="31">
        <f>INDEX(MTInputs!$J$1:$AZ$415,$D64,MATCH(AB$5,MTInputs!$J$5:$AZ$5,0))</f>
        <v/>
      </c>
      <c r="AC64" s="31">
        <f>INDEX(MTInputs!$J$1:$AZ$415,$D64,MATCH(AC$5,MTInputs!$J$5:$AZ$5,0))</f>
        <v/>
      </c>
      <c r="AD64" s="31">
        <f>INDEX(MTInputs!$J$1:$AZ$415,$D64,MATCH(AD$5,MTInputs!$J$5:$AZ$5,0))</f>
        <v/>
      </c>
      <c r="AE64" s="31">
        <f>INDEX(MTInputs!$J$1:$AZ$415,$D64,MATCH(AE$5,MTInputs!$J$5:$AZ$5,0))</f>
        <v/>
      </c>
      <c r="AF64" s="31">
        <f>INDEX(MTInputs!$J$1:$AZ$415,$D64,MATCH(AF$5,MTInputs!$J$5:$AZ$5,0))</f>
        <v/>
      </c>
      <c r="AG64" s="31">
        <f>INDEX(MTInputs!$J$1:$AZ$415,$D64,MATCH(AG$5,MTInputs!$J$5:$AZ$5,0))</f>
        <v/>
      </c>
      <c r="AH64" s="31">
        <f>INDEX(MTInputs!$J$1:$AZ$415,$D64,MATCH(AH$5,MTInputs!$J$5:$AZ$5,0))</f>
        <v/>
      </c>
      <c r="AI64" s="31">
        <f>INDEX(MTInputs!$J$1:$AZ$415,$D64,MATCH(AI$5,MTInputs!$J$5:$AZ$5,0))</f>
        <v/>
      </c>
      <c r="AJ64" s="31">
        <f>INDEX(MTInputs!$J$1:$AZ$415,$D64,MATCH(AJ$5,MTInputs!$J$5:$AZ$5,0))</f>
        <v/>
      </c>
      <c r="AK64" s="31">
        <f>INDEX(MTInputs!$J$1:$AZ$415,$D64,MATCH(AK$5,MTInputs!$J$5:$AZ$5,0))</f>
        <v/>
      </c>
      <c r="AL64" s="31">
        <f>INDEX(MTInputs!$J$1:$AZ$415,$D64,MATCH(AL$5,MTInputs!$J$5:$AZ$5,0))</f>
        <v/>
      </c>
      <c r="AM64" s="31">
        <f>INDEX(MTInputs!$J$1:$AZ$415,$D64,MATCH(AM$5,MTInputs!$J$5:$AZ$5,0))</f>
        <v/>
      </c>
      <c r="AN64" s="31">
        <f>INDEX(MTInputs!$J$1:$AZ$415,$D64,MATCH(AN$5,MTInputs!$J$5:$AZ$5,0))</f>
        <v/>
      </c>
    </row>
    <row r="65" hidden="1" outlineLevel="1">
      <c r="A65" s="5" t="inlineStr">
        <is>
          <t>fpr.f</t>
        </is>
      </c>
      <c r="B65" s="5" t="inlineStr">
        <is>
          <t>nga</t>
        </is>
      </c>
      <c r="C65" s="5" t="inlineStr">
        <is>
          <t>res</t>
        </is>
      </c>
      <c r="D65" s="6" t="n">
        <v>160</v>
      </c>
      <c r="H65" s="5">
        <f>INDEX(Variables!$B$5:$B$65,MATCH($A65,Variables!$A$5:$A$65,0))&amp;IF($C65="",""," | "&amp;INDEX(Mapping!$B$5:$B$25,MATCH($C65,Mapping!$A$5:$A$25,0))&amp;" | "&amp;INDEX(Mapping!$B$29:$B$38,MATCH($B65,Mapping!$A$29:$A$38,0)))</f>
        <v/>
      </c>
      <c r="I65" s="5">
        <f>INDEX(Variables!$C$5:$C$65,MATCH($A65,Variables!$A$5:$A$65,0))</f>
        <v/>
      </c>
      <c r="J65" s="5">
        <f>INDEX(Variables!$E$5:$E$65,MATCH($A65,Variables!$A$5:$A$65,0))</f>
        <v/>
      </c>
      <c r="K65" s="23">
        <f>LOWER(Settings!$C$4)&amp;".mit."&amp;$A65&amp;IF($C65="","","."&amp;$C65&amp;"."&amp;$B65)&amp;IF(INDEX(Variables!$D$5:$D$65,MATCH($A65,Variables!$A$5:$A$65,0))="","","."&amp;INDEX(Variables!$D$5:$D$65,MATCH($A65,Variables!$A$5:$A$65,0)))&amp;"."&amp;K$5</f>
        <v/>
      </c>
      <c r="L65" s="30">
        <f>INDEX(MTInputs!$J$1:$AZ$415,$D65,MATCH(L$5,MTInputs!$J$5:$AZ$5,0))</f>
        <v/>
      </c>
      <c r="M65" s="31">
        <f>INDEX(MTInputs!$J$1:$AZ$415,$D65,MATCH(M$5,MTInputs!$J$5:$AZ$5,0))</f>
        <v/>
      </c>
      <c r="N65" s="31">
        <f>INDEX(MTInputs!$J$1:$AZ$415,$D65,MATCH(N$5,MTInputs!$J$5:$AZ$5,0))</f>
        <v/>
      </c>
      <c r="O65" s="31">
        <f>INDEX(MTInputs!$J$1:$AZ$415,$D65,MATCH(O$5,MTInputs!$J$5:$AZ$5,0))</f>
        <v/>
      </c>
      <c r="P65" s="31">
        <f>INDEX(MTInputs!$J$1:$AZ$415,$D65,MATCH(P$5,MTInputs!$J$5:$AZ$5,0))</f>
        <v/>
      </c>
      <c r="Q65" s="31">
        <f>INDEX(MTInputs!$J$1:$AZ$415,$D65,MATCH(Q$5,MTInputs!$J$5:$AZ$5,0))</f>
        <v/>
      </c>
      <c r="R65" s="31">
        <f>INDEX(MTInputs!$J$1:$AZ$415,$D65,MATCH(R$5,MTInputs!$J$5:$AZ$5,0))</f>
        <v/>
      </c>
      <c r="S65" s="31">
        <f>INDEX(MTInputs!$J$1:$AZ$415,$D65,MATCH(S$5,MTInputs!$J$5:$AZ$5,0))</f>
        <v/>
      </c>
      <c r="T65" s="31">
        <f>INDEX(MTInputs!$J$1:$AZ$415,$D65,MATCH(T$5,MTInputs!$J$5:$AZ$5,0))</f>
        <v/>
      </c>
      <c r="U65" s="31">
        <f>INDEX(MTInputs!$J$1:$AZ$415,$D65,MATCH(U$5,MTInputs!$J$5:$AZ$5,0))</f>
        <v/>
      </c>
      <c r="V65" s="31">
        <f>INDEX(MTInputs!$J$1:$AZ$415,$D65,MATCH(V$5,MTInputs!$J$5:$AZ$5,0))</f>
        <v/>
      </c>
      <c r="W65" s="31">
        <f>INDEX(MTInputs!$J$1:$AZ$415,$D65,MATCH(W$5,MTInputs!$J$5:$AZ$5,0))</f>
        <v/>
      </c>
      <c r="X65" s="31">
        <f>INDEX(MTInputs!$J$1:$AZ$415,$D65,MATCH(X$5,MTInputs!$J$5:$AZ$5,0))</f>
        <v/>
      </c>
      <c r="Y65" s="31">
        <f>INDEX(MTInputs!$J$1:$AZ$415,$D65,MATCH(Y$5,MTInputs!$J$5:$AZ$5,0))</f>
        <v/>
      </c>
      <c r="Z65" s="23">
        <f>LOWER(Settings!$C$4)&amp;".mit."&amp;$A65&amp;IF($C65="","","."&amp;$C65&amp;"."&amp;$B65)&amp;IF(INDEX(Variables!$D$5:$D$65,MATCH($A65,Variables!$A$5:$A$65,0))="","","."&amp;INDEX(Variables!$D$5:$D$65,MATCH($A65,Variables!$A$5:$A$65,0)))&amp;"."&amp;Z$5</f>
        <v/>
      </c>
      <c r="AA65" s="30">
        <f>INDEX(MTInputs!$J$1:$AZ$415,$D65,MATCH(AA$5,MTInputs!$J$5:$AZ$5,0))</f>
        <v/>
      </c>
      <c r="AB65" s="31">
        <f>INDEX(MTInputs!$J$1:$AZ$415,$D65,MATCH(AB$5,MTInputs!$J$5:$AZ$5,0))</f>
        <v/>
      </c>
      <c r="AC65" s="31">
        <f>INDEX(MTInputs!$J$1:$AZ$415,$D65,MATCH(AC$5,MTInputs!$J$5:$AZ$5,0))</f>
        <v/>
      </c>
      <c r="AD65" s="31">
        <f>INDEX(MTInputs!$J$1:$AZ$415,$D65,MATCH(AD$5,MTInputs!$J$5:$AZ$5,0))</f>
        <v/>
      </c>
      <c r="AE65" s="31">
        <f>INDEX(MTInputs!$J$1:$AZ$415,$D65,MATCH(AE$5,MTInputs!$J$5:$AZ$5,0))</f>
        <v/>
      </c>
      <c r="AF65" s="31">
        <f>INDEX(MTInputs!$J$1:$AZ$415,$D65,MATCH(AF$5,MTInputs!$J$5:$AZ$5,0))</f>
        <v/>
      </c>
      <c r="AG65" s="31">
        <f>INDEX(MTInputs!$J$1:$AZ$415,$D65,MATCH(AG$5,MTInputs!$J$5:$AZ$5,0))</f>
        <v/>
      </c>
      <c r="AH65" s="31">
        <f>INDEX(MTInputs!$J$1:$AZ$415,$D65,MATCH(AH$5,MTInputs!$J$5:$AZ$5,0))</f>
        <v/>
      </c>
      <c r="AI65" s="31">
        <f>INDEX(MTInputs!$J$1:$AZ$415,$D65,MATCH(AI$5,MTInputs!$J$5:$AZ$5,0))</f>
        <v/>
      </c>
      <c r="AJ65" s="31">
        <f>INDEX(MTInputs!$J$1:$AZ$415,$D65,MATCH(AJ$5,MTInputs!$J$5:$AZ$5,0))</f>
        <v/>
      </c>
      <c r="AK65" s="31">
        <f>INDEX(MTInputs!$J$1:$AZ$415,$D65,MATCH(AK$5,MTInputs!$J$5:$AZ$5,0))</f>
        <v/>
      </c>
      <c r="AL65" s="31">
        <f>INDEX(MTInputs!$J$1:$AZ$415,$D65,MATCH(AL$5,MTInputs!$J$5:$AZ$5,0))</f>
        <v/>
      </c>
      <c r="AM65" s="31">
        <f>INDEX(MTInputs!$J$1:$AZ$415,$D65,MATCH(AM$5,MTInputs!$J$5:$AZ$5,0))</f>
        <v/>
      </c>
      <c r="AN65" s="31">
        <f>INDEX(MTInputs!$J$1:$AZ$415,$D65,MATCH(AN$5,MTInputs!$J$5:$AZ$5,0))</f>
        <v/>
      </c>
    </row>
    <row r="66" hidden="1" outlineLevel="1">
      <c r="A66" s="5" t="inlineStr">
        <is>
          <t>fpr.f</t>
        </is>
      </c>
      <c r="B66" s="5" t="inlineStr">
        <is>
          <t>nga</t>
        </is>
      </c>
      <c r="C66" s="5" t="inlineStr">
        <is>
          <t>ind</t>
        </is>
      </c>
      <c r="D66" s="6" t="n">
        <v>161</v>
      </c>
      <c r="H66" s="5">
        <f>INDEX(Variables!$B$5:$B$65,MATCH($A66,Variables!$A$5:$A$65,0))&amp;IF($C66="",""," | "&amp;INDEX(Mapping!$B$5:$B$25,MATCH($C66,Mapping!$A$5:$A$25,0))&amp;" | "&amp;INDEX(Mapping!$B$29:$B$38,MATCH($B66,Mapping!$A$29:$A$38,0)))</f>
        <v/>
      </c>
      <c r="I66" s="5">
        <f>INDEX(Variables!$C$5:$C$65,MATCH($A66,Variables!$A$5:$A$65,0))</f>
        <v/>
      </c>
      <c r="J66" s="5">
        <f>INDEX(Variables!$E$5:$E$65,MATCH($A66,Variables!$A$5:$A$65,0))</f>
        <v/>
      </c>
      <c r="K66" s="23">
        <f>LOWER(Settings!$C$4)&amp;".mit."&amp;$A66&amp;IF($C66="","","."&amp;$C66&amp;"."&amp;$B66)&amp;IF(INDEX(Variables!$D$5:$D$65,MATCH($A66,Variables!$A$5:$A$65,0))="","","."&amp;INDEX(Variables!$D$5:$D$65,MATCH($A66,Variables!$A$5:$A$65,0)))&amp;"."&amp;K$5</f>
        <v/>
      </c>
      <c r="L66" s="30">
        <f>INDEX(MTInputs!$J$1:$AZ$415,$D66,MATCH(L$5,MTInputs!$J$5:$AZ$5,0))</f>
        <v/>
      </c>
      <c r="M66" s="31">
        <f>INDEX(MTInputs!$J$1:$AZ$415,$D66,MATCH(M$5,MTInputs!$J$5:$AZ$5,0))</f>
        <v/>
      </c>
      <c r="N66" s="31">
        <f>INDEX(MTInputs!$J$1:$AZ$415,$D66,MATCH(N$5,MTInputs!$J$5:$AZ$5,0))</f>
        <v/>
      </c>
      <c r="O66" s="31">
        <f>INDEX(MTInputs!$J$1:$AZ$415,$D66,MATCH(O$5,MTInputs!$J$5:$AZ$5,0))</f>
        <v/>
      </c>
      <c r="P66" s="31">
        <f>INDEX(MTInputs!$J$1:$AZ$415,$D66,MATCH(P$5,MTInputs!$J$5:$AZ$5,0))</f>
        <v/>
      </c>
      <c r="Q66" s="31">
        <f>INDEX(MTInputs!$J$1:$AZ$415,$D66,MATCH(Q$5,MTInputs!$J$5:$AZ$5,0))</f>
        <v/>
      </c>
      <c r="R66" s="31">
        <f>INDEX(MTInputs!$J$1:$AZ$415,$D66,MATCH(R$5,MTInputs!$J$5:$AZ$5,0))</f>
        <v/>
      </c>
      <c r="S66" s="31">
        <f>INDEX(MTInputs!$J$1:$AZ$415,$D66,MATCH(S$5,MTInputs!$J$5:$AZ$5,0))</f>
        <v/>
      </c>
      <c r="T66" s="31">
        <f>INDEX(MTInputs!$J$1:$AZ$415,$D66,MATCH(T$5,MTInputs!$J$5:$AZ$5,0))</f>
        <v/>
      </c>
      <c r="U66" s="31">
        <f>INDEX(MTInputs!$J$1:$AZ$415,$D66,MATCH(U$5,MTInputs!$J$5:$AZ$5,0))</f>
        <v/>
      </c>
      <c r="V66" s="31">
        <f>INDEX(MTInputs!$J$1:$AZ$415,$D66,MATCH(V$5,MTInputs!$J$5:$AZ$5,0))</f>
        <v/>
      </c>
      <c r="W66" s="31">
        <f>INDEX(MTInputs!$J$1:$AZ$415,$D66,MATCH(W$5,MTInputs!$J$5:$AZ$5,0))</f>
        <v/>
      </c>
      <c r="X66" s="31">
        <f>INDEX(MTInputs!$J$1:$AZ$415,$D66,MATCH(X$5,MTInputs!$J$5:$AZ$5,0))</f>
        <v/>
      </c>
      <c r="Y66" s="31">
        <f>INDEX(MTInputs!$J$1:$AZ$415,$D66,MATCH(Y$5,MTInputs!$J$5:$AZ$5,0))</f>
        <v/>
      </c>
      <c r="Z66" s="23">
        <f>LOWER(Settings!$C$4)&amp;".mit."&amp;$A66&amp;IF($C66="","","."&amp;$C66&amp;"."&amp;$B66)&amp;IF(INDEX(Variables!$D$5:$D$65,MATCH($A66,Variables!$A$5:$A$65,0))="","","."&amp;INDEX(Variables!$D$5:$D$65,MATCH($A66,Variables!$A$5:$A$65,0)))&amp;"."&amp;Z$5</f>
        <v/>
      </c>
      <c r="AA66" s="30">
        <f>INDEX(MTInputs!$J$1:$AZ$415,$D66,MATCH(AA$5,MTInputs!$J$5:$AZ$5,0))</f>
        <v/>
      </c>
      <c r="AB66" s="31">
        <f>INDEX(MTInputs!$J$1:$AZ$415,$D66,MATCH(AB$5,MTInputs!$J$5:$AZ$5,0))</f>
        <v/>
      </c>
      <c r="AC66" s="31">
        <f>INDEX(MTInputs!$J$1:$AZ$415,$D66,MATCH(AC$5,MTInputs!$J$5:$AZ$5,0))</f>
        <v/>
      </c>
      <c r="AD66" s="31">
        <f>INDEX(MTInputs!$J$1:$AZ$415,$D66,MATCH(AD$5,MTInputs!$J$5:$AZ$5,0))</f>
        <v/>
      </c>
      <c r="AE66" s="31">
        <f>INDEX(MTInputs!$J$1:$AZ$415,$D66,MATCH(AE$5,MTInputs!$J$5:$AZ$5,0))</f>
        <v/>
      </c>
      <c r="AF66" s="31">
        <f>INDEX(MTInputs!$J$1:$AZ$415,$D66,MATCH(AF$5,MTInputs!$J$5:$AZ$5,0))</f>
        <v/>
      </c>
      <c r="AG66" s="31">
        <f>INDEX(MTInputs!$J$1:$AZ$415,$D66,MATCH(AG$5,MTInputs!$J$5:$AZ$5,0))</f>
        <v/>
      </c>
      <c r="AH66" s="31">
        <f>INDEX(MTInputs!$J$1:$AZ$415,$D66,MATCH(AH$5,MTInputs!$J$5:$AZ$5,0))</f>
        <v/>
      </c>
      <c r="AI66" s="31">
        <f>INDEX(MTInputs!$J$1:$AZ$415,$D66,MATCH(AI$5,MTInputs!$J$5:$AZ$5,0))</f>
        <v/>
      </c>
      <c r="AJ66" s="31">
        <f>INDEX(MTInputs!$J$1:$AZ$415,$D66,MATCH(AJ$5,MTInputs!$J$5:$AZ$5,0))</f>
        <v/>
      </c>
      <c r="AK66" s="31">
        <f>INDEX(MTInputs!$J$1:$AZ$415,$D66,MATCH(AK$5,MTInputs!$J$5:$AZ$5,0))</f>
        <v/>
      </c>
      <c r="AL66" s="31">
        <f>INDEX(MTInputs!$J$1:$AZ$415,$D66,MATCH(AL$5,MTInputs!$J$5:$AZ$5,0))</f>
        <v/>
      </c>
      <c r="AM66" s="31">
        <f>INDEX(MTInputs!$J$1:$AZ$415,$D66,MATCH(AM$5,MTInputs!$J$5:$AZ$5,0))</f>
        <v/>
      </c>
      <c r="AN66" s="31">
        <f>INDEX(MTInputs!$J$1:$AZ$415,$D66,MATCH(AN$5,MTInputs!$J$5:$AZ$5,0))</f>
        <v/>
      </c>
    </row>
    <row r="67" hidden="1" outlineLevel="1">
      <c r="A67" s="5" t="inlineStr">
        <is>
          <t>fpr.f</t>
        </is>
      </c>
      <c r="B67" s="5" t="inlineStr">
        <is>
          <t>ecy</t>
        </is>
      </c>
      <c r="C67" s="5" t="inlineStr">
        <is>
          <t>res</t>
        </is>
      </c>
      <c r="D67" s="6" t="n">
        <v>162</v>
      </c>
      <c r="H67" s="5">
        <f>INDEX(Variables!$B$5:$B$65,MATCH($A67,Variables!$A$5:$A$65,0))&amp;IF($C67="",""," | "&amp;INDEX(Mapping!$B$5:$B$25,MATCH($C67,Mapping!$A$5:$A$25,0))&amp;" | "&amp;INDEX(Mapping!$B$29:$B$38,MATCH($B67,Mapping!$A$29:$A$38,0)))</f>
        <v/>
      </c>
      <c r="I67" s="5">
        <f>INDEX(Variables!$C$5:$C$65,MATCH($A67,Variables!$A$5:$A$65,0))</f>
        <v/>
      </c>
      <c r="J67" s="5">
        <f>INDEX(Variables!$E$5:$E$65,MATCH($A67,Variables!$A$5:$A$65,0))</f>
        <v/>
      </c>
      <c r="K67" s="23">
        <f>LOWER(Settings!$C$4)&amp;".mit."&amp;$A67&amp;IF($C67="","","."&amp;$C67&amp;"."&amp;$B67)&amp;IF(INDEX(Variables!$D$5:$D$65,MATCH($A67,Variables!$A$5:$A$65,0))="","","."&amp;INDEX(Variables!$D$5:$D$65,MATCH($A67,Variables!$A$5:$A$65,0)))&amp;"."&amp;K$5</f>
        <v/>
      </c>
      <c r="L67" s="30">
        <f>INDEX(MTInputs!$J$1:$AZ$415,$D67,MATCH(L$5,MTInputs!$J$5:$AZ$5,0))</f>
        <v/>
      </c>
      <c r="M67" s="31">
        <f>INDEX(MTInputs!$J$1:$AZ$415,$D67,MATCH(M$5,MTInputs!$J$5:$AZ$5,0))</f>
        <v/>
      </c>
      <c r="N67" s="31">
        <f>INDEX(MTInputs!$J$1:$AZ$415,$D67,MATCH(N$5,MTInputs!$J$5:$AZ$5,0))</f>
        <v/>
      </c>
      <c r="O67" s="31">
        <f>INDEX(MTInputs!$J$1:$AZ$415,$D67,MATCH(O$5,MTInputs!$J$5:$AZ$5,0))</f>
        <v/>
      </c>
      <c r="P67" s="31">
        <f>INDEX(MTInputs!$J$1:$AZ$415,$D67,MATCH(P$5,MTInputs!$J$5:$AZ$5,0))</f>
        <v/>
      </c>
      <c r="Q67" s="31">
        <f>INDEX(MTInputs!$J$1:$AZ$415,$D67,MATCH(Q$5,MTInputs!$J$5:$AZ$5,0))</f>
        <v/>
      </c>
      <c r="R67" s="31">
        <f>INDEX(MTInputs!$J$1:$AZ$415,$D67,MATCH(R$5,MTInputs!$J$5:$AZ$5,0))</f>
        <v/>
      </c>
      <c r="S67" s="31">
        <f>INDEX(MTInputs!$J$1:$AZ$415,$D67,MATCH(S$5,MTInputs!$J$5:$AZ$5,0))</f>
        <v/>
      </c>
      <c r="T67" s="31">
        <f>INDEX(MTInputs!$J$1:$AZ$415,$D67,MATCH(T$5,MTInputs!$J$5:$AZ$5,0))</f>
        <v/>
      </c>
      <c r="U67" s="31">
        <f>INDEX(MTInputs!$J$1:$AZ$415,$D67,MATCH(U$5,MTInputs!$J$5:$AZ$5,0))</f>
        <v/>
      </c>
      <c r="V67" s="31">
        <f>INDEX(MTInputs!$J$1:$AZ$415,$D67,MATCH(V$5,MTInputs!$J$5:$AZ$5,0))</f>
        <v/>
      </c>
      <c r="W67" s="31">
        <f>INDEX(MTInputs!$J$1:$AZ$415,$D67,MATCH(W$5,MTInputs!$J$5:$AZ$5,0))</f>
        <v/>
      </c>
      <c r="X67" s="31">
        <f>INDEX(MTInputs!$J$1:$AZ$415,$D67,MATCH(X$5,MTInputs!$J$5:$AZ$5,0))</f>
        <v/>
      </c>
      <c r="Y67" s="31">
        <f>INDEX(MTInputs!$J$1:$AZ$415,$D67,MATCH(Y$5,MTInputs!$J$5:$AZ$5,0))</f>
        <v/>
      </c>
      <c r="Z67" s="23">
        <f>LOWER(Settings!$C$4)&amp;".mit."&amp;$A67&amp;IF($C67="","","."&amp;$C67&amp;"."&amp;$B67)&amp;IF(INDEX(Variables!$D$5:$D$65,MATCH($A67,Variables!$A$5:$A$65,0))="","","."&amp;INDEX(Variables!$D$5:$D$65,MATCH($A67,Variables!$A$5:$A$65,0)))&amp;"."&amp;Z$5</f>
        <v/>
      </c>
      <c r="AA67" s="30">
        <f>INDEX(MTInputs!$J$1:$AZ$415,$D67,MATCH(AA$5,MTInputs!$J$5:$AZ$5,0))</f>
        <v/>
      </c>
      <c r="AB67" s="31">
        <f>INDEX(MTInputs!$J$1:$AZ$415,$D67,MATCH(AB$5,MTInputs!$J$5:$AZ$5,0))</f>
        <v/>
      </c>
      <c r="AC67" s="31">
        <f>INDEX(MTInputs!$J$1:$AZ$415,$D67,MATCH(AC$5,MTInputs!$J$5:$AZ$5,0))</f>
        <v/>
      </c>
      <c r="AD67" s="31">
        <f>INDEX(MTInputs!$J$1:$AZ$415,$D67,MATCH(AD$5,MTInputs!$J$5:$AZ$5,0))</f>
        <v/>
      </c>
      <c r="AE67" s="31">
        <f>INDEX(MTInputs!$J$1:$AZ$415,$D67,MATCH(AE$5,MTInputs!$J$5:$AZ$5,0))</f>
        <v/>
      </c>
      <c r="AF67" s="31">
        <f>INDEX(MTInputs!$J$1:$AZ$415,$D67,MATCH(AF$5,MTInputs!$J$5:$AZ$5,0))</f>
        <v/>
      </c>
      <c r="AG67" s="31">
        <f>INDEX(MTInputs!$J$1:$AZ$415,$D67,MATCH(AG$5,MTInputs!$J$5:$AZ$5,0))</f>
        <v/>
      </c>
      <c r="AH67" s="31">
        <f>INDEX(MTInputs!$J$1:$AZ$415,$D67,MATCH(AH$5,MTInputs!$J$5:$AZ$5,0))</f>
        <v/>
      </c>
      <c r="AI67" s="31">
        <f>INDEX(MTInputs!$J$1:$AZ$415,$D67,MATCH(AI$5,MTInputs!$J$5:$AZ$5,0))</f>
        <v/>
      </c>
      <c r="AJ67" s="31">
        <f>INDEX(MTInputs!$J$1:$AZ$415,$D67,MATCH(AJ$5,MTInputs!$J$5:$AZ$5,0))</f>
        <v/>
      </c>
      <c r="AK67" s="31">
        <f>INDEX(MTInputs!$J$1:$AZ$415,$D67,MATCH(AK$5,MTInputs!$J$5:$AZ$5,0))</f>
        <v/>
      </c>
      <c r="AL67" s="31">
        <f>INDEX(MTInputs!$J$1:$AZ$415,$D67,MATCH(AL$5,MTInputs!$J$5:$AZ$5,0))</f>
        <v/>
      </c>
      <c r="AM67" s="31">
        <f>INDEX(MTInputs!$J$1:$AZ$415,$D67,MATCH(AM$5,MTInputs!$J$5:$AZ$5,0))</f>
        <v/>
      </c>
      <c r="AN67" s="31">
        <f>INDEX(MTInputs!$J$1:$AZ$415,$D67,MATCH(AN$5,MTInputs!$J$5:$AZ$5,0))</f>
        <v/>
      </c>
    </row>
    <row r="68" hidden="1" outlineLevel="1">
      <c r="A68" s="5" t="inlineStr">
        <is>
          <t>fpr.f</t>
        </is>
      </c>
      <c r="B68" s="5" t="inlineStr">
        <is>
          <t>ecy</t>
        </is>
      </c>
      <c r="C68" s="5" t="inlineStr">
        <is>
          <t>ind</t>
        </is>
      </c>
      <c r="D68" s="6" t="n">
        <v>163</v>
      </c>
      <c r="H68" s="5">
        <f>INDEX(Variables!$B$5:$B$65,MATCH($A68,Variables!$A$5:$A$65,0))&amp;IF($C68="",""," | "&amp;INDEX(Mapping!$B$5:$B$25,MATCH($C68,Mapping!$A$5:$A$25,0))&amp;" | "&amp;INDEX(Mapping!$B$29:$B$38,MATCH($B68,Mapping!$A$29:$A$38,0)))</f>
        <v/>
      </c>
      <c r="I68" s="5">
        <f>INDEX(Variables!$C$5:$C$65,MATCH($A68,Variables!$A$5:$A$65,0))</f>
        <v/>
      </c>
      <c r="J68" s="5">
        <f>INDEX(Variables!$E$5:$E$65,MATCH($A68,Variables!$A$5:$A$65,0))</f>
        <v/>
      </c>
      <c r="K68" s="23">
        <f>LOWER(Settings!$C$4)&amp;".mit."&amp;$A68&amp;IF($C68="","","."&amp;$C68&amp;"."&amp;$B68)&amp;IF(INDEX(Variables!$D$5:$D$65,MATCH($A68,Variables!$A$5:$A$65,0))="","","."&amp;INDEX(Variables!$D$5:$D$65,MATCH($A68,Variables!$A$5:$A$65,0)))&amp;"."&amp;K$5</f>
        <v/>
      </c>
      <c r="L68" s="30">
        <f>INDEX(MTInputs!$J$1:$AZ$415,$D68,MATCH(L$5,MTInputs!$J$5:$AZ$5,0))</f>
        <v/>
      </c>
      <c r="M68" s="31">
        <f>INDEX(MTInputs!$J$1:$AZ$415,$D68,MATCH(M$5,MTInputs!$J$5:$AZ$5,0))</f>
        <v/>
      </c>
      <c r="N68" s="31">
        <f>INDEX(MTInputs!$J$1:$AZ$415,$D68,MATCH(N$5,MTInputs!$J$5:$AZ$5,0))</f>
        <v/>
      </c>
      <c r="O68" s="31">
        <f>INDEX(MTInputs!$J$1:$AZ$415,$D68,MATCH(O$5,MTInputs!$J$5:$AZ$5,0))</f>
        <v/>
      </c>
      <c r="P68" s="31">
        <f>INDEX(MTInputs!$J$1:$AZ$415,$D68,MATCH(P$5,MTInputs!$J$5:$AZ$5,0))</f>
        <v/>
      </c>
      <c r="Q68" s="31">
        <f>INDEX(MTInputs!$J$1:$AZ$415,$D68,MATCH(Q$5,MTInputs!$J$5:$AZ$5,0))</f>
        <v/>
      </c>
      <c r="R68" s="31">
        <f>INDEX(MTInputs!$J$1:$AZ$415,$D68,MATCH(R$5,MTInputs!$J$5:$AZ$5,0))</f>
        <v/>
      </c>
      <c r="S68" s="31">
        <f>INDEX(MTInputs!$J$1:$AZ$415,$D68,MATCH(S$5,MTInputs!$J$5:$AZ$5,0))</f>
        <v/>
      </c>
      <c r="T68" s="31">
        <f>INDEX(MTInputs!$J$1:$AZ$415,$D68,MATCH(T$5,MTInputs!$J$5:$AZ$5,0))</f>
        <v/>
      </c>
      <c r="U68" s="31">
        <f>INDEX(MTInputs!$J$1:$AZ$415,$D68,MATCH(U$5,MTInputs!$J$5:$AZ$5,0))</f>
        <v/>
      </c>
      <c r="V68" s="31">
        <f>INDEX(MTInputs!$J$1:$AZ$415,$D68,MATCH(V$5,MTInputs!$J$5:$AZ$5,0))</f>
        <v/>
      </c>
      <c r="W68" s="31">
        <f>INDEX(MTInputs!$J$1:$AZ$415,$D68,MATCH(W$5,MTInputs!$J$5:$AZ$5,0))</f>
        <v/>
      </c>
      <c r="X68" s="31">
        <f>INDEX(MTInputs!$J$1:$AZ$415,$D68,MATCH(X$5,MTInputs!$J$5:$AZ$5,0))</f>
        <v/>
      </c>
      <c r="Y68" s="31">
        <f>INDEX(MTInputs!$J$1:$AZ$415,$D68,MATCH(Y$5,MTInputs!$J$5:$AZ$5,0))</f>
        <v/>
      </c>
      <c r="Z68" s="23">
        <f>LOWER(Settings!$C$4)&amp;".mit."&amp;$A68&amp;IF($C68="","","."&amp;$C68&amp;"."&amp;$B68)&amp;IF(INDEX(Variables!$D$5:$D$65,MATCH($A68,Variables!$A$5:$A$65,0))="","","."&amp;INDEX(Variables!$D$5:$D$65,MATCH($A68,Variables!$A$5:$A$65,0)))&amp;"."&amp;Z$5</f>
        <v/>
      </c>
      <c r="AA68" s="30">
        <f>INDEX(MTInputs!$J$1:$AZ$415,$D68,MATCH(AA$5,MTInputs!$J$5:$AZ$5,0))</f>
        <v/>
      </c>
      <c r="AB68" s="31">
        <f>INDEX(MTInputs!$J$1:$AZ$415,$D68,MATCH(AB$5,MTInputs!$J$5:$AZ$5,0))</f>
        <v/>
      </c>
      <c r="AC68" s="31">
        <f>INDEX(MTInputs!$J$1:$AZ$415,$D68,MATCH(AC$5,MTInputs!$J$5:$AZ$5,0))</f>
        <v/>
      </c>
      <c r="AD68" s="31">
        <f>INDEX(MTInputs!$J$1:$AZ$415,$D68,MATCH(AD$5,MTInputs!$J$5:$AZ$5,0))</f>
        <v/>
      </c>
      <c r="AE68" s="31">
        <f>INDEX(MTInputs!$J$1:$AZ$415,$D68,MATCH(AE$5,MTInputs!$J$5:$AZ$5,0))</f>
        <v/>
      </c>
      <c r="AF68" s="31">
        <f>INDEX(MTInputs!$J$1:$AZ$415,$D68,MATCH(AF$5,MTInputs!$J$5:$AZ$5,0))</f>
        <v/>
      </c>
      <c r="AG68" s="31">
        <f>INDEX(MTInputs!$J$1:$AZ$415,$D68,MATCH(AG$5,MTInputs!$J$5:$AZ$5,0))</f>
        <v/>
      </c>
      <c r="AH68" s="31">
        <f>INDEX(MTInputs!$J$1:$AZ$415,$D68,MATCH(AH$5,MTInputs!$J$5:$AZ$5,0))</f>
        <v/>
      </c>
      <c r="AI68" s="31">
        <f>INDEX(MTInputs!$J$1:$AZ$415,$D68,MATCH(AI$5,MTInputs!$J$5:$AZ$5,0))</f>
        <v/>
      </c>
      <c r="AJ68" s="31">
        <f>INDEX(MTInputs!$J$1:$AZ$415,$D68,MATCH(AJ$5,MTInputs!$J$5:$AZ$5,0))</f>
        <v/>
      </c>
      <c r="AK68" s="31">
        <f>INDEX(MTInputs!$J$1:$AZ$415,$D68,MATCH(AK$5,MTInputs!$J$5:$AZ$5,0))</f>
        <v/>
      </c>
      <c r="AL68" s="31">
        <f>INDEX(MTInputs!$J$1:$AZ$415,$D68,MATCH(AL$5,MTInputs!$J$5:$AZ$5,0))</f>
        <v/>
      </c>
      <c r="AM68" s="31">
        <f>INDEX(MTInputs!$J$1:$AZ$415,$D68,MATCH(AM$5,MTInputs!$J$5:$AZ$5,0))</f>
        <v/>
      </c>
      <c r="AN68" s="31">
        <f>INDEX(MTInputs!$J$1:$AZ$415,$D68,MATCH(AN$5,MTInputs!$J$5:$AZ$5,0))</f>
        <v/>
      </c>
    </row>
    <row r="69" hidden="1" outlineLevel="1">
      <c r="A69" s="5" t="inlineStr">
        <is>
          <t>fpr.f</t>
        </is>
      </c>
      <c r="B69" s="5" t="inlineStr">
        <is>
          <t>gso</t>
        </is>
      </c>
      <c r="C69" s="5" t="inlineStr">
        <is>
          <t>all</t>
        </is>
      </c>
      <c r="D69" s="6" t="n">
        <v>164</v>
      </c>
      <c r="H69" s="5">
        <f>INDEX(Variables!$B$5:$B$65,MATCH($A69,Variables!$A$5:$A$65,0))&amp;IF($C69="",""," | "&amp;INDEX(Mapping!$B$5:$B$25,MATCH($C69,Mapping!$A$5:$A$25,0))&amp;" | "&amp;INDEX(Mapping!$B$29:$B$38,MATCH($B69,Mapping!$A$29:$A$38,0)))</f>
        <v/>
      </c>
      <c r="I69" s="5">
        <f>INDEX(Variables!$C$5:$C$65,MATCH($A69,Variables!$A$5:$A$65,0))</f>
        <v/>
      </c>
      <c r="J69" s="5">
        <f>INDEX(Variables!$E$5:$E$65,MATCH($A69,Variables!$A$5:$A$65,0))</f>
        <v/>
      </c>
      <c r="K69" s="23">
        <f>LOWER(Settings!$C$4)&amp;".mit."&amp;$A69&amp;IF($C69="","","."&amp;$C69&amp;"."&amp;$B69)&amp;IF(INDEX(Variables!$D$5:$D$65,MATCH($A69,Variables!$A$5:$A$65,0))="","","."&amp;INDEX(Variables!$D$5:$D$65,MATCH($A69,Variables!$A$5:$A$65,0)))&amp;"."&amp;K$5</f>
        <v/>
      </c>
      <c r="L69" s="30">
        <f>INDEX(MTInputs!$J$1:$AZ$415,$D69,MATCH(L$5,MTInputs!$J$5:$AZ$5,0))</f>
        <v/>
      </c>
      <c r="M69" s="31">
        <f>INDEX(MTInputs!$J$1:$AZ$415,$D69,MATCH(M$5,MTInputs!$J$5:$AZ$5,0))</f>
        <v/>
      </c>
      <c r="N69" s="31">
        <f>INDEX(MTInputs!$J$1:$AZ$415,$D69,MATCH(N$5,MTInputs!$J$5:$AZ$5,0))</f>
        <v/>
      </c>
      <c r="O69" s="31">
        <f>INDEX(MTInputs!$J$1:$AZ$415,$D69,MATCH(O$5,MTInputs!$J$5:$AZ$5,0))</f>
        <v/>
      </c>
      <c r="P69" s="31">
        <f>INDEX(MTInputs!$J$1:$AZ$415,$D69,MATCH(P$5,MTInputs!$J$5:$AZ$5,0))</f>
        <v/>
      </c>
      <c r="Q69" s="31">
        <f>INDEX(MTInputs!$J$1:$AZ$415,$D69,MATCH(Q$5,MTInputs!$J$5:$AZ$5,0))</f>
        <v/>
      </c>
      <c r="R69" s="31">
        <f>INDEX(MTInputs!$J$1:$AZ$415,$D69,MATCH(R$5,MTInputs!$J$5:$AZ$5,0))</f>
        <v/>
      </c>
      <c r="S69" s="31">
        <f>INDEX(MTInputs!$J$1:$AZ$415,$D69,MATCH(S$5,MTInputs!$J$5:$AZ$5,0))</f>
        <v/>
      </c>
      <c r="T69" s="31">
        <f>INDEX(MTInputs!$J$1:$AZ$415,$D69,MATCH(T$5,MTInputs!$J$5:$AZ$5,0))</f>
        <v/>
      </c>
      <c r="U69" s="31">
        <f>INDEX(MTInputs!$J$1:$AZ$415,$D69,MATCH(U$5,MTInputs!$J$5:$AZ$5,0))</f>
        <v/>
      </c>
      <c r="V69" s="31">
        <f>INDEX(MTInputs!$J$1:$AZ$415,$D69,MATCH(V$5,MTInputs!$J$5:$AZ$5,0))</f>
        <v/>
      </c>
      <c r="W69" s="31">
        <f>INDEX(MTInputs!$J$1:$AZ$415,$D69,MATCH(W$5,MTInputs!$J$5:$AZ$5,0))</f>
        <v/>
      </c>
      <c r="X69" s="31">
        <f>INDEX(MTInputs!$J$1:$AZ$415,$D69,MATCH(X$5,MTInputs!$J$5:$AZ$5,0))</f>
        <v/>
      </c>
      <c r="Y69" s="31">
        <f>INDEX(MTInputs!$J$1:$AZ$415,$D69,MATCH(Y$5,MTInputs!$J$5:$AZ$5,0))</f>
        <v/>
      </c>
      <c r="Z69" s="23">
        <f>LOWER(Settings!$C$4)&amp;".mit."&amp;$A69&amp;IF($C69="","","."&amp;$C69&amp;"."&amp;$B69)&amp;IF(INDEX(Variables!$D$5:$D$65,MATCH($A69,Variables!$A$5:$A$65,0))="","","."&amp;INDEX(Variables!$D$5:$D$65,MATCH($A69,Variables!$A$5:$A$65,0)))&amp;"."&amp;Z$5</f>
        <v/>
      </c>
      <c r="AA69" s="30">
        <f>INDEX(MTInputs!$J$1:$AZ$415,$D69,MATCH(AA$5,MTInputs!$J$5:$AZ$5,0))</f>
        <v/>
      </c>
      <c r="AB69" s="31">
        <f>INDEX(MTInputs!$J$1:$AZ$415,$D69,MATCH(AB$5,MTInputs!$J$5:$AZ$5,0))</f>
        <v/>
      </c>
      <c r="AC69" s="31">
        <f>INDEX(MTInputs!$J$1:$AZ$415,$D69,MATCH(AC$5,MTInputs!$J$5:$AZ$5,0))</f>
        <v/>
      </c>
      <c r="AD69" s="31">
        <f>INDEX(MTInputs!$J$1:$AZ$415,$D69,MATCH(AD$5,MTInputs!$J$5:$AZ$5,0))</f>
        <v/>
      </c>
      <c r="AE69" s="31">
        <f>INDEX(MTInputs!$J$1:$AZ$415,$D69,MATCH(AE$5,MTInputs!$J$5:$AZ$5,0))</f>
        <v/>
      </c>
      <c r="AF69" s="31">
        <f>INDEX(MTInputs!$J$1:$AZ$415,$D69,MATCH(AF$5,MTInputs!$J$5:$AZ$5,0))</f>
        <v/>
      </c>
      <c r="AG69" s="31">
        <f>INDEX(MTInputs!$J$1:$AZ$415,$D69,MATCH(AG$5,MTInputs!$J$5:$AZ$5,0))</f>
        <v/>
      </c>
      <c r="AH69" s="31">
        <f>INDEX(MTInputs!$J$1:$AZ$415,$D69,MATCH(AH$5,MTInputs!$J$5:$AZ$5,0))</f>
        <v/>
      </c>
      <c r="AI69" s="31">
        <f>INDEX(MTInputs!$J$1:$AZ$415,$D69,MATCH(AI$5,MTInputs!$J$5:$AZ$5,0))</f>
        <v/>
      </c>
      <c r="AJ69" s="31">
        <f>INDEX(MTInputs!$J$1:$AZ$415,$D69,MATCH(AJ$5,MTInputs!$J$5:$AZ$5,0))</f>
        <v/>
      </c>
      <c r="AK69" s="31">
        <f>INDEX(MTInputs!$J$1:$AZ$415,$D69,MATCH(AK$5,MTInputs!$J$5:$AZ$5,0))</f>
        <v/>
      </c>
      <c r="AL69" s="31">
        <f>INDEX(MTInputs!$J$1:$AZ$415,$D69,MATCH(AL$5,MTInputs!$J$5:$AZ$5,0))</f>
        <v/>
      </c>
      <c r="AM69" s="31">
        <f>INDEX(MTInputs!$J$1:$AZ$415,$D69,MATCH(AM$5,MTInputs!$J$5:$AZ$5,0))</f>
        <v/>
      </c>
      <c r="AN69" s="31">
        <f>INDEX(MTInputs!$J$1:$AZ$415,$D69,MATCH(AN$5,MTInputs!$J$5:$AZ$5,0))</f>
        <v/>
      </c>
    </row>
    <row r="70" hidden="1" outlineLevel="1">
      <c r="A70" s="5" t="inlineStr">
        <is>
          <t>fpr.f</t>
        </is>
      </c>
      <c r="B70" s="5" t="inlineStr">
        <is>
          <t>die</t>
        </is>
      </c>
      <c r="C70" s="5" t="inlineStr">
        <is>
          <t>all</t>
        </is>
      </c>
      <c r="D70" s="6" t="n">
        <v>165</v>
      </c>
      <c r="H70" s="5">
        <f>INDEX(Variables!$B$5:$B$65,MATCH($A70,Variables!$A$5:$A$65,0))&amp;IF($C70="",""," | "&amp;INDEX(Mapping!$B$5:$B$25,MATCH($C70,Mapping!$A$5:$A$25,0))&amp;" | "&amp;INDEX(Mapping!$B$29:$B$38,MATCH($B70,Mapping!$A$29:$A$38,0)))</f>
        <v/>
      </c>
      <c r="I70" s="5">
        <f>INDEX(Variables!$C$5:$C$65,MATCH($A70,Variables!$A$5:$A$65,0))</f>
        <v/>
      </c>
      <c r="J70" s="5">
        <f>INDEX(Variables!$E$5:$E$65,MATCH($A70,Variables!$A$5:$A$65,0))</f>
        <v/>
      </c>
      <c r="K70" s="23">
        <f>LOWER(Settings!$C$4)&amp;".mit."&amp;$A70&amp;IF($C70="","","."&amp;$C70&amp;"."&amp;$B70)&amp;IF(INDEX(Variables!$D$5:$D$65,MATCH($A70,Variables!$A$5:$A$65,0))="","","."&amp;INDEX(Variables!$D$5:$D$65,MATCH($A70,Variables!$A$5:$A$65,0)))&amp;"."&amp;K$5</f>
        <v/>
      </c>
      <c r="L70" s="30">
        <f>INDEX(MTInputs!$J$1:$AZ$415,$D70,MATCH(L$5,MTInputs!$J$5:$AZ$5,0))</f>
        <v/>
      </c>
      <c r="M70" s="31">
        <f>INDEX(MTInputs!$J$1:$AZ$415,$D70,MATCH(M$5,MTInputs!$J$5:$AZ$5,0))</f>
        <v/>
      </c>
      <c r="N70" s="31">
        <f>INDEX(MTInputs!$J$1:$AZ$415,$D70,MATCH(N$5,MTInputs!$J$5:$AZ$5,0))</f>
        <v/>
      </c>
      <c r="O70" s="31">
        <f>INDEX(MTInputs!$J$1:$AZ$415,$D70,MATCH(O$5,MTInputs!$J$5:$AZ$5,0))</f>
        <v/>
      </c>
      <c r="P70" s="31">
        <f>INDEX(MTInputs!$J$1:$AZ$415,$D70,MATCH(P$5,MTInputs!$J$5:$AZ$5,0))</f>
        <v/>
      </c>
      <c r="Q70" s="31">
        <f>INDEX(MTInputs!$J$1:$AZ$415,$D70,MATCH(Q$5,MTInputs!$J$5:$AZ$5,0))</f>
        <v/>
      </c>
      <c r="R70" s="31">
        <f>INDEX(MTInputs!$J$1:$AZ$415,$D70,MATCH(R$5,MTInputs!$J$5:$AZ$5,0))</f>
        <v/>
      </c>
      <c r="S70" s="31">
        <f>INDEX(MTInputs!$J$1:$AZ$415,$D70,MATCH(S$5,MTInputs!$J$5:$AZ$5,0))</f>
        <v/>
      </c>
      <c r="T70" s="31">
        <f>INDEX(MTInputs!$J$1:$AZ$415,$D70,MATCH(T$5,MTInputs!$J$5:$AZ$5,0))</f>
        <v/>
      </c>
      <c r="U70" s="31">
        <f>INDEX(MTInputs!$J$1:$AZ$415,$D70,MATCH(U$5,MTInputs!$J$5:$AZ$5,0))</f>
        <v/>
      </c>
      <c r="V70" s="31">
        <f>INDEX(MTInputs!$J$1:$AZ$415,$D70,MATCH(V$5,MTInputs!$J$5:$AZ$5,0))</f>
        <v/>
      </c>
      <c r="W70" s="31">
        <f>INDEX(MTInputs!$J$1:$AZ$415,$D70,MATCH(W$5,MTInputs!$J$5:$AZ$5,0))</f>
        <v/>
      </c>
      <c r="X70" s="31">
        <f>INDEX(MTInputs!$J$1:$AZ$415,$D70,MATCH(X$5,MTInputs!$J$5:$AZ$5,0))</f>
        <v/>
      </c>
      <c r="Y70" s="31">
        <f>INDEX(MTInputs!$J$1:$AZ$415,$D70,MATCH(Y$5,MTInputs!$J$5:$AZ$5,0))</f>
        <v/>
      </c>
      <c r="Z70" s="23">
        <f>LOWER(Settings!$C$4)&amp;".mit."&amp;$A70&amp;IF($C70="","","."&amp;$C70&amp;"."&amp;$B70)&amp;IF(INDEX(Variables!$D$5:$D$65,MATCH($A70,Variables!$A$5:$A$65,0))="","","."&amp;INDEX(Variables!$D$5:$D$65,MATCH($A70,Variables!$A$5:$A$65,0)))&amp;"."&amp;Z$5</f>
        <v/>
      </c>
      <c r="AA70" s="30">
        <f>INDEX(MTInputs!$J$1:$AZ$415,$D70,MATCH(AA$5,MTInputs!$J$5:$AZ$5,0))</f>
        <v/>
      </c>
      <c r="AB70" s="31">
        <f>INDEX(MTInputs!$J$1:$AZ$415,$D70,MATCH(AB$5,MTInputs!$J$5:$AZ$5,0))</f>
        <v/>
      </c>
      <c r="AC70" s="31">
        <f>INDEX(MTInputs!$J$1:$AZ$415,$D70,MATCH(AC$5,MTInputs!$J$5:$AZ$5,0))</f>
        <v/>
      </c>
      <c r="AD70" s="31">
        <f>INDEX(MTInputs!$J$1:$AZ$415,$D70,MATCH(AD$5,MTInputs!$J$5:$AZ$5,0))</f>
        <v/>
      </c>
      <c r="AE70" s="31">
        <f>INDEX(MTInputs!$J$1:$AZ$415,$D70,MATCH(AE$5,MTInputs!$J$5:$AZ$5,0))</f>
        <v/>
      </c>
      <c r="AF70" s="31">
        <f>INDEX(MTInputs!$J$1:$AZ$415,$D70,MATCH(AF$5,MTInputs!$J$5:$AZ$5,0))</f>
        <v/>
      </c>
      <c r="AG70" s="31">
        <f>INDEX(MTInputs!$J$1:$AZ$415,$D70,MATCH(AG$5,MTInputs!$J$5:$AZ$5,0))</f>
        <v/>
      </c>
      <c r="AH70" s="31">
        <f>INDEX(MTInputs!$J$1:$AZ$415,$D70,MATCH(AH$5,MTInputs!$J$5:$AZ$5,0))</f>
        <v/>
      </c>
      <c r="AI70" s="31">
        <f>INDEX(MTInputs!$J$1:$AZ$415,$D70,MATCH(AI$5,MTInputs!$J$5:$AZ$5,0))</f>
        <v/>
      </c>
      <c r="AJ70" s="31">
        <f>INDEX(MTInputs!$J$1:$AZ$415,$D70,MATCH(AJ$5,MTInputs!$J$5:$AZ$5,0))</f>
        <v/>
      </c>
      <c r="AK70" s="31">
        <f>INDEX(MTInputs!$J$1:$AZ$415,$D70,MATCH(AK$5,MTInputs!$J$5:$AZ$5,0))</f>
        <v/>
      </c>
      <c r="AL70" s="31">
        <f>INDEX(MTInputs!$J$1:$AZ$415,$D70,MATCH(AL$5,MTInputs!$J$5:$AZ$5,0))</f>
        <v/>
      </c>
      <c r="AM70" s="31">
        <f>INDEX(MTInputs!$J$1:$AZ$415,$D70,MATCH(AM$5,MTInputs!$J$5:$AZ$5,0))</f>
        <v/>
      </c>
      <c r="AN70" s="31">
        <f>INDEX(MTInputs!$J$1:$AZ$415,$D70,MATCH(AN$5,MTInputs!$J$5:$AZ$5,0))</f>
        <v/>
      </c>
    </row>
    <row r="71" hidden="1" outlineLevel="1">
      <c r="A71" s="5" t="inlineStr">
        <is>
          <t>fpr.f</t>
        </is>
      </c>
      <c r="B71" s="5" t="inlineStr">
        <is>
          <t>lpg</t>
        </is>
      </c>
      <c r="C71" s="5" t="inlineStr">
        <is>
          <t>all</t>
        </is>
      </c>
      <c r="D71" s="6" t="n">
        <v>166</v>
      </c>
      <c r="H71" s="5">
        <f>INDEX(Variables!$B$5:$B$65,MATCH($A71,Variables!$A$5:$A$65,0))&amp;IF($C71="",""," | "&amp;INDEX(Mapping!$B$5:$B$25,MATCH($C71,Mapping!$A$5:$A$25,0))&amp;" | "&amp;INDEX(Mapping!$B$29:$B$38,MATCH($B71,Mapping!$A$29:$A$38,0)))</f>
        <v/>
      </c>
      <c r="I71" s="5">
        <f>INDEX(Variables!$C$5:$C$65,MATCH($A71,Variables!$A$5:$A$65,0))</f>
        <v/>
      </c>
      <c r="J71" s="5">
        <f>INDEX(Variables!$E$5:$E$65,MATCH($A71,Variables!$A$5:$A$65,0))</f>
        <v/>
      </c>
      <c r="K71" s="23">
        <f>LOWER(Settings!$C$4)&amp;".mit."&amp;$A71&amp;IF($C71="","","."&amp;$C71&amp;"."&amp;$B71)&amp;IF(INDEX(Variables!$D$5:$D$65,MATCH($A71,Variables!$A$5:$A$65,0))="","","."&amp;INDEX(Variables!$D$5:$D$65,MATCH($A71,Variables!$A$5:$A$65,0)))&amp;"."&amp;K$5</f>
        <v/>
      </c>
      <c r="L71" s="30">
        <f>INDEX(MTInputs!$J$1:$AZ$415,$D71,MATCH(L$5,MTInputs!$J$5:$AZ$5,0))</f>
        <v/>
      </c>
      <c r="M71" s="31">
        <f>INDEX(MTInputs!$J$1:$AZ$415,$D71,MATCH(M$5,MTInputs!$J$5:$AZ$5,0))</f>
        <v/>
      </c>
      <c r="N71" s="31">
        <f>INDEX(MTInputs!$J$1:$AZ$415,$D71,MATCH(N$5,MTInputs!$J$5:$AZ$5,0))</f>
        <v/>
      </c>
      <c r="O71" s="31">
        <f>INDEX(MTInputs!$J$1:$AZ$415,$D71,MATCH(O$5,MTInputs!$J$5:$AZ$5,0))</f>
        <v/>
      </c>
      <c r="P71" s="31">
        <f>INDEX(MTInputs!$J$1:$AZ$415,$D71,MATCH(P$5,MTInputs!$J$5:$AZ$5,0))</f>
        <v/>
      </c>
      <c r="Q71" s="31">
        <f>INDEX(MTInputs!$J$1:$AZ$415,$D71,MATCH(Q$5,MTInputs!$J$5:$AZ$5,0))</f>
        <v/>
      </c>
      <c r="R71" s="31">
        <f>INDEX(MTInputs!$J$1:$AZ$415,$D71,MATCH(R$5,MTInputs!$J$5:$AZ$5,0))</f>
        <v/>
      </c>
      <c r="S71" s="31">
        <f>INDEX(MTInputs!$J$1:$AZ$415,$D71,MATCH(S$5,MTInputs!$J$5:$AZ$5,0))</f>
        <v/>
      </c>
      <c r="T71" s="31">
        <f>INDEX(MTInputs!$J$1:$AZ$415,$D71,MATCH(T$5,MTInputs!$J$5:$AZ$5,0))</f>
        <v/>
      </c>
      <c r="U71" s="31">
        <f>INDEX(MTInputs!$J$1:$AZ$415,$D71,MATCH(U$5,MTInputs!$J$5:$AZ$5,0))</f>
        <v/>
      </c>
      <c r="V71" s="31">
        <f>INDEX(MTInputs!$J$1:$AZ$415,$D71,MATCH(V$5,MTInputs!$J$5:$AZ$5,0))</f>
        <v/>
      </c>
      <c r="W71" s="31">
        <f>INDEX(MTInputs!$J$1:$AZ$415,$D71,MATCH(W$5,MTInputs!$J$5:$AZ$5,0))</f>
        <v/>
      </c>
      <c r="X71" s="31">
        <f>INDEX(MTInputs!$J$1:$AZ$415,$D71,MATCH(X$5,MTInputs!$J$5:$AZ$5,0))</f>
        <v/>
      </c>
      <c r="Y71" s="31">
        <f>INDEX(MTInputs!$J$1:$AZ$415,$D71,MATCH(Y$5,MTInputs!$J$5:$AZ$5,0))</f>
        <v/>
      </c>
      <c r="Z71" s="23">
        <f>LOWER(Settings!$C$4)&amp;".mit."&amp;$A71&amp;IF($C71="","","."&amp;$C71&amp;"."&amp;$B71)&amp;IF(INDEX(Variables!$D$5:$D$65,MATCH($A71,Variables!$A$5:$A$65,0))="","","."&amp;INDEX(Variables!$D$5:$D$65,MATCH($A71,Variables!$A$5:$A$65,0)))&amp;"."&amp;Z$5</f>
        <v/>
      </c>
      <c r="AA71" s="30">
        <f>INDEX(MTInputs!$J$1:$AZ$415,$D71,MATCH(AA$5,MTInputs!$J$5:$AZ$5,0))</f>
        <v/>
      </c>
      <c r="AB71" s="31">
        <f>INDEX(MTInputs!$J$1:$AZ$415,$D71,MATCH(AB$5,MTInputs!$J$5:$AZ$5,0))</f>
        <v/>
      </c>
      <c r="AC71" s="31">
        <f>INDEX(MTInputs!$J$1:$AZ$415,$D71,MATCH(AC$5,MTInputs!$J$5:$AZ$5,0))</f>
        <v/>
      </c>
      <c r="AD71" s="31">
        <f>INDEX(MTInputs!$J$1:$AZ$415,$D71,MATCH(AD$5,MTInputs!$J$5:$AZ$5,0))</f>
        <v/>
      </c>
      <c r="AE71" s="31">
        <f>INDEX(MTInputs!$J$1:$AZ$415,$D71,MATCH(AE$5,MTInputs!$J$5:$AZ$5,0))</f>
        <v/>
      </c>
      <c r="AF71" s="31">
        <f>INDEX(MTInputs!$J$1:$AZ$415,$D71,MATCH(AF$5,MTInputs!$J$5:$AZ$5,0))</f>
        <v/>
      </c>
      <c r="AG71" s="31">
        <f>INDEX(MTInputs!$J$1:$AZ$415,$D71,MATCH(AG$5,MTInputs!$J$5:$AZ$5,0))</f>
        <v/>
      </c>
      <c r="AH71" s="31">
        <f>INDEX(MTInputs!$J$1:$AZ$415,$D71,MATCH(AH$5,MTInputs!$J$5:$AZ$5,0))</f>
        <v/>
      </c>
      <c r="AI71" s="31">
        <f>INDEX(MTInputs!$J$1:$AZ$415,$D71,MATCH(AI$5,MTInputs!$J$5:$AZ$5,0))</f>
        <v/>
      </c>
      <c r="AJ71" s="31">
        <f>INDEX(MTInputs!$J$1:$AZ$415,$D71,MATCH(AJ$5,MTInputs!$J$5:$AZ$5,0))</f>
        <v/>
      </c>
      <c r="AK71" s="31">
        <f>INDEX(MTInputs!$J$1:$AZ$415,$D71,MATCH(AK$5,MTInputs!$J$5:$AZ$5,0))</f>
        <v/>
      </c>
      <c r="AL71" s="31">
        <f>INDEX(MTInputs!$J$1:$AZ$415,$D71,MATCH(AL$5,MTInputs!$J$5:$AZ$5,0))</f>
        <v/>
      </c>
      <c r="AM71" s="31">
        <f>INDEX(MTInputs!$J$1:$AZ$415,$D71,MATCH(AM$5,MTInputs!$J$5:$AZ$5,0))</f>
        <v/>
      </c>
      <c r="AN71" s="31">
        <f>INDEX(MTInputs!$J$1:$AZ$415,$D71,MATCH(AN$5,MTInputs!$J$5:$AZ$5,0))</f>
        <v/>
      </c>
    </row>
    <row r="72" hidden="1" outlineLevel="1">
      <c r="A72" s="5" t="inlineStr">
        <is>
          <t>fpr.f</t>
        </is>
      </c>
      <c r="B72" s="5" t="inlineStr">
        <is>
          <t>ker</t>
        </is>
      </c>
      <c r="C72" s="5" t="inlineStr">
        <is>
          <t>all</t>
        </is>
      </c>
      <c r="D72" s="6" t="n">
        <v>167</v>
      </c>
      <c r="H72" s="5">
        <f>INDEX(Variables!$B$5:$B$65,MATCH($A72,Variables!$A$5:$A$65,0))&amp;IF($C72="",""," | "&amp;INDEX(Mapping!$B$5:$B$25,MATCH($C72,Mapping!$A$5:$A$25,0))&amp;" | "&amp;INDEX(Mapping!$B$29:$B$38,MATCH($B72,Mapping!$A$29:$A$38,0)))</f>
        <v/>
      </c>
      <c r="I72" s="5">
        <f>INDEX(Variables!$C$5:$C$65,MATCH($A72,Variables!$A$5:$A$65,0))</f>
        <v/>
      </c>
      <c r="J72" s="5">
        <f>INDEX(Variables!$E$5:$E$65,MATCH($A72,Variables!$A$5:$A$65,0))</f>
        <v/>
      </c>
      <c r="K72" s="23">
        <f>LOWER(Settings!$C$4)&amp;".mit."&amp;$A72&amp;IF($C72="","","."&amp;$C72&amp;"."&amp;$B72)&amp;IF(INDEX(Variables!$D$5:$D$65,MATCH($A72,Variables!$A$5:$A$65,0))="","","."&amp;INDEX(Variables!$D$5:$D$65,MATCH($A72,Variables!$A$5:$A$65,0)))&amp;"."&amp;K$5</f>
        <v/>
      </c>
      <c r="L72" s="30">
        <f>INDEX(MTInputs!$J$1:$AZ$415,$D72,MATCH(L$5,MTInputs!$J$5:$AZ$5,0))</f>
        <v/>
      </c>
      <c r="M72" s="31">
        <f>INDEX(MTInputs!$J$1:$AZ$415,$D72,MATCH(M$5,MTInputs!$J$5:$AZ$5,0))</f>
        <v/>
      </c>
      <c r="N72" s="31">
        <f>INDEX(MTInputs!$J$1:$AZ$415,$D72,MATCH(N$5,MTInputs!$J$5:$AZ$5,0))</f>
        <v/>
      </c>
      <c r="O72" s="31">
        <f>INDEX(MTInputs!$J$1:$AZ$415,$D72,MATCH(O$5,MTInputs!$J$5:$AZ$5,0))</f>
        <v/>
      </c>
      <c r="P72" s="31">
        <f>INDEX(MTInputs!$J$1:$AZ$415,$D72,MATCH(P$5,MTInputs!$J$5:$AZ$5,0))</f>
        <v/>
      </c>
      <c r="Q72" s="31">
        <f>INDEX(MTInputs!$J$1:$AZ$415,$D72,MATCH(Q$5,MTInputs!$J$5:$AZ$5,0))</f>
        <v/>
      </c>
      <c r="R72" s="31">
        <f>INDEX(MTInputs!$J$1:$AZ$415,$D72,MATCH(R$5,MTInputs!$J$5:$AZ$5,0))</f>
        <v/>
      </c>
      <c r="S72" s="31">
        <f>INDEX(MTInputs!$J$1:$AZ$415,$D72,MATCH(S$5,MTInputs!$J$5:$AZ$5,0))</f>
        <v/>
      </c>
      <c r="T72" s="31">
        <f>INDEX(MTInputs!$J$1:$AZ$415,$D72,MATCH(T$5,MTInputs!$J$5:$AZ$5,0))</f>
        <v/>
      </c>
      <c r="U72" s="31">
        <f>INDEX(MTInputs!$J$1:$AZ$415,$D72,MATCH(U$5,MTInputs!$J$5:$AZ$5,0))</f>
        <v/>
      </c>
      <c r="V72" s="31">
        <f>INDEX(MTInputs!$J$1:$AZ$415,$D72,MATCH(V$5,MTInputs!$J$5:$AZ$5,0))</f>
        <v/>
      </c>
      <c r="W72" s="31">
        <f>INDEX(MTInputs!$J$1:$AZ$415,$D72,MATCH(W$5,MTInputs!$J$5:$AZ$5,0))</f>
        <v/>
      </c>
      <c r="X72" s="31">
        <f>INDEX(MTInputs!$J$1:$AZ$415,$D72,MATCH(X$5,MTInputs!$J$5:$AZ$5,0))</f>
        <v/>
      </c>
      <c r="Y72" s="31">
        <f>INDEX(MTInputs!$J$1:$AZ$415,$D72,MATCH(Y$5,MTInputs!$J$5:$AZ$5,0))</f>
        <v/>
      </c>
      <c r="Z72" s="23">
        <f>LOWER(Settings!$C$4)&amp;".mit."&amp;$A72&amp;IF($C72="","","."&amp;$C72&amp;"."&amp;$B72)&amp;IF(INDEX(Variables!$D$5:$D$65,MATCH($A72,Variables!$A$5:$A$65,0))="","","."&amp;INDEX(Variables!$D$5:$D$65,MATCH($A72,Variables!$A$5:$A$65,0)))&amp;"."&amp;Z$5</f>
        <v/>
      </c>
      <c r="AA72" s="30">
        <f>INDEX(MTInputs!$J$1:$AZ$415,$D72,MATCH(AA$5,MTInputs!$J$5:$AZ$5,0))</f>
        <v/>
      </c>
      <c r="AB72" s="31">
        <f>INDEX(MTInputs!$J$1:$AZ$415,$D72,MATCH(AB$5,MTInputs!$J$5:$AZ$5,0))</f>
        <v/>
      </c>
      <c r="AC72" s="31">
        <f>INDEX(MTInputs!$J$1:$AZ$415,$D72,MATCH(AC$5,MTInputs!$J$5:$AZ$5,0))</f>
        <v/>
      </c>
      <c r="AD72" s="31">
        <f>INDEX(MTInputs!$J$1:$AZ$415,$D72,MATCH(AD$5,MTInputs!$J$5:$AZ$5,0))</f>
        <v/>
      </c>
      <c r="AE72" s="31">
        <f>INDEX(MTInputs!$J$1:$AZ$415,$D72,MATCH(AE$5,MTInputs!$J$5:$AZ$5,0))</f>
        <v/>
      </c>
      <c r="AF72" s="31">
        <f>INDEX(MTInputs!$J$1:$AZ$415,$D72,MATCH(AF$5,MTInputs!$J$5:$AZ$5,0))</f>
        <v/>
      </c>
      <c r="AG72" s="31">
        <f>INDEX(MTInputs!$J$1:$AZ$415,$D72,MATCH(AG$5,MTInputs!$J$5:$AZ$5,0))</f>
        <v/>
      </c>
      <c r="AH72" s="31">
        <f>INDEX(MTInputs!$J$1:$AZ$415,$D72,MATCH(AH$5,MTInputs!$J$5:$AZ$5,0))</f>
        <v/>
      </c>
      <c r="AI72" s="31">
        <f>INDEX(MTInputs!$J$1:$AZ$415,$D72,MATCH(AI$5,MTInputs!$J$5:$AZ$5,0))</f>
        <v/>
      </c>
      <c r="AJ72" s="31">
        <f>INDEX(MTInputs!$J$1:$AZ$415,$D72,MATCH(AJ$5,MTInputs!$J$5:$AZ$5,0))</f>
        <v/>
      </c>
      <c r="AK72" s="31">
        <f>INDEX(MTInputs!$J$1:$AZ$415,$D72,MATCH(AK$5,MTInputs!$J$5:$AZ$5,0))</f>
        <v/>
      </c>
      <c r="AL72" s="31">
        <f>INDEX(MTInputs!$J$1:$AZ$415,$D72,MATCH(AL$5,MTInputs!$J$5:$AZ$5,0))</f>
        <v/>
      </c>
      <c r="AM72" s="31">
        <f>INDEX(MTInputs!$J$1:$AZ$415,$D72,MATCH(AM$5,MTInputs!$J$5:$AZ$5,0))</f>
        <v/>
      </c>
      <c r="AN72" s="31">
        <f>INDEX(MTInputs!$J$1:$AZ$415,$D72,MATCH(AN$5,MTInputs!$J$5:$AZ$5,0))</f>
        <v/>
      </c>
    </row>
    <row r="73" hidden="1" outlineLevel="1">
      <c r="A73" s="5" t="inlineStr">
        <is>
          <t>fpr.f</t>
        </is>
      </c>
      <c r="B73" s="5" t="inlineStr">
        <is>
          <t>oop</t>
        </is>
      </c>
      <c r="C73" s="5" t="inlineStr">
        <is>
          <t>all</t>
        </is>
      </c>
      <c r="D73" s="6" t="n">
        <v>168</v>
      </c>
      <c r="H73" s="5">
        <f>INDEX(Variables!$B$5:$B$65,MATCH($A73,Variables!$A$5:$A$65,0))&amp;IF($C73="",""," | "&amp;INDEX(Mapping!$B$5:$B$25,MATCH($C73,Mapping!$A$5:$A$25,0))&amp;" | "&amp;INDEX(Mapping!$B$29:$B$38,MATCH($B73,Mapping!$A$29:$A$38,0)))</f>
        <v/>
      </c>
      <c r="I73" s="5">
        <f>INDEX(Variables!$C$5:$C$65,MATCH($A73,Variables!$A$5:$A$65,0))</f>
        <v/>
      </c>
      <c r="J73" s="5">
        <f>INDEX(Variables!$E$5:$E$65,MATCH($A73,Variables!$A$5:$A$65,0))</f>
        <v/>
      </c>
      <c r="K73" s="23">
        <f>LOWER(Settings!$C$4)&amp;".mit."&amp;$A73&amp;IF($C73="","","."&amp;$C73&amp;"."&amp;$B73)&amp;IF(INDEX(Variables!$D$5:$D$65,MATCH($A73,Variables!$A$5:$A$65,0))="","","."&amp;INDEX(Variables!$D$5:$D$65,MATCH($A73,Variables!$A$5:$A$65,0)))&amp;"."&amp;K$5</f>
        <v/>
      </c>
      <c r="L73" s="30">
        <f>INDEX(MTInputs!$J$1:$AZ$415,$D73,MATCH(L$5,MTInputs!$J$5:$AZ$5,0))</f>
        <v/>
      </c>
      <c r="M73" s="31">
        <f>INDEX(MTInputs!$J$1:$AZ$415,$D73,MATCH(M$5,MTInputs!$J$5:$AZ$5,0))</f>
        <v/>
      </c>
      <c r="N73" s="31">
        <f>INDEX(MTInputs!$J$1:$AZ$415,$D73,MATCH(N$5,MTInputs!$J$5:$AZ$5,0))</f>
        <v/>
      </c>
      <c r="O73" s="31">
        <f>INDEX(MTInputs!$J$1:$AZ$415,$D73,MATCH(O$5,MTInputs!$J$5:$AZ$5,0))</f>
        <v/>
      </c>
      <c r="P73" s="31">
        <f>INDEX(MTInputs!$J$1:$AZ$415,$D73,MATCH(P$5,MTInputs!$J$5:$AZ$5,0))</f>
        <v/>
      </c>
      <c r="Q73" s="31">
        <f>INDEX(MTInputs!$J$1:$AZ$415,$D73,MATCH(Q$5,MTInputs!$J$5:$AZ$5,0))</f>
        <v/>
      </c>
      <c r="R73" s="31">
        <f>INDEX(MTInputs!$J$1:$AZ$415,$D73,MATCH(R$5,MTInputs!$J$5:$AZ$5,0))</f>
        <v/>
      </c>
      <c r="S73" s="31">
        <f>INDEX(MTInputs!$J$1:$AZ$415,$D73,MATCH(S$5,MTInputs!$J$5:$AZ$5,0))</f>
        <v/>
      </c>
      <c r="T73" s="31">
        <f>INDEX(MTInputs!$J$1:$AZ$415,$D73,MATCH(T$5,MTInputs!$J$5:$AZ$5,0))</f>
        <v/>
      </c>
      <c r="U73" s="31">
        <f>INDEX(MTInputs!$J$1:$AZ$415,$D73,MATCH(U$5,MTInputs!$J$5:$AZ$5,0))</f>
        <v/>
      </c>
      <c r="V73" s="31">
        <f>INDEX(MTInputs!$J$1:$AZ$415,$D73,MATCH(V$5,MTInputs!$J$5:$AZ$5,0))</f>
        <v/>
      </c>
      <c r="W73" s="31">
        <f>INDEX(MTInputs!$J$1:$AZ$415,$D73,MATCH(W$5,MTInputs!$J$5:$AZ$5,0))</f>
        <v/>
      </c>
      <c r="X73" s="31">
        <f>INDEX(MTInputs!$J$1:$AZ$415,$D73,MATCH(X$5,MTInputs!$J$5:$AZ$5,0))</f>
        <v/>
      </c>
      <c r="Y73" s="31">
        <f>INDEX(MTInputs!$J$1:$AZ$415,$D73,MATCH(Y$5,MTInputs!$J$5:$AZ$5,0))</f>
        <v/>
      </c>
      <c r="Z73" s="23">
        <f>LOWER(Settings!$C$4)&amp;".mit."&amp;$A73&amp;IF($C73="","","."&amp;$C73&amp;"."&amp;$B73)&amp;IF(INDEX(Variables!$D$5:$D$65,MATCH($A73,Variables!$A$5:$A$65,0))="","","."&amp;INDEX(Variables!$D$5:$D$65,MATCH($A73,Variables!$A$5:$A$65,0)))&amp;"."&amp;Z$5</f>
        <v/>
      </c>
      <c r="AA73" s="30">
        <f>INDEX(MTInputs!$J$1:$AZ$415,$D73,MATCH(AA$5,MTInputs!$J$5:$AZ$5,0))</f>
        <v/>
      </c>
      <c r="AB73" s="31">
        <f>INDEX(MTInputs!$J$1:$AZ$415,$D73,MATCH(AB$5,MTInputs!$J$5:$AZ$5,0))</f>
        <v/>
      </c>
      <c r="AC73" s="31">
        <f>INDEX(MTInputs!$J$1:$AZ$415,$D73,MATCH(AC$5,MTInputs!$J$5:$AZ$5,0))</f>
        <v/>
      </c>
      <c r="AD73" s="31">
        <f>INDEX(MTInputs!$J$1:$AZ$415,$D73,MATCH(AD$5,MTInputs!$J$5:$AZ$5,0))</f>
        <v/>
      </c>
      <c r="AE73" s="31">
        <f>INDEX(MTInputs!$J$1:$AZ$415,$D73,MATCH(AE$5,MTInputs!$J$5:$AZ$5,0))</f>
        <v/>
      </c>
      <c r="AF73" s="31">
        <f>INDEX(MTInputs!$J$1:$AZ$415,$D73,MATCH(AF$5,MTInputs!$J$5:$AZ$5,0))</f>
        <v/>
      </c>
      <c r="AG73" s="31">
        <f>INDEX(MTInputs!$J$1:$AZ$415,$D73,MATCH(AG$5,MTInputs!$J$5:$AZ$5,0))</f>
        <v/>
      </c>
      <c r="AH73" s="31">
        <f>INDEX(MTInputs!$J$1:$AZ$415,$D73,MATCH(AH$5,MTInputs!$J$5:$AZ$5,0))</f>
        <v/>
      </c>
      <c r="AI73" s="31">
        <f>INDEX(MTInputs!$J$1:$AZ$415,$D73,MATCH(AI$5,MTInputs!$J$5:$AZ$5,0))</f>
        <v/>
      </c>
      <c r="AJ73" s="31">
        <f>INDEX(MTInputs!$J$1:$AZ$415,$D73,MATCH(AJ$5,MTInputs!$J$5:$AZ$5,0))</f>
        <v/>
      </c>
      <c r="AK73" s="31">
        <f>INDEX(MTInputs!$J$1:$AZ$415,$D73,MATCH(AK$5,MTInputs!$J$5:$AZ$5,0))</f>
        <v/>
      </c>
      <c r="AL73" s="31">
        <f>INDEX(MTInputs!$J$1:$AZ$415,$D73,MATCH(AL$5,MTInputs!$J$5:$AZ$5,0))</f>
        <v/>
      </c>
      <c r="AM73" s="31">
        <f>INDEX(MTInputs!$J$1:$AZ$415,$D73,MATCH(AM$5,MTInputs!$J$5:$AZ$5,0))</f>
        <v/>
      </c>
      <c r="AN73" s="31">
        <f>INDEX(MTInputs!$J$1:$AZ$415,$D73,MATCH(AN$5,MTInputs!$J$5:$AZ$5,0))</f>
        <v/>
      </c>
    </row>
    <row r="74" hidden="1" outlineLevel="1">
      <c r="A74" s="5" t="inlineStr">
        <is>
          <t>fpr.f</t>
        </is>
      </c>
      <c r="B74" s="5" t="inlineStr">
        <is>
          <t>bio</t>
        </is>
      </c>
      <c r="C74" s="5" t="inlineStr">
        <is>
          <t>all</t>
        </is>
      </c>
      <c r="D74" s="6" t="n">
        <v>169</v>
      </c>
      <c r="H74" s="5">
        <f>INDEX(Variables!$B$5:$B$65,MATCH($A74,Variables!$A$5:$A$65,0))&amp;IF($C74="",""," | "&amp;INDEX(Mapping!$B$5:$B$25,MATCH($C74,Mapping!$A$5:$A$25,0))&amp;" | "&amp;INDEX(Mapping!$B$29:$B$38,MATCH($B74,Mapping!$A$29:$A$38,0)))</f>
        <v/>
      </c>
      <c r="I74" s="5">
        <f>INDEX(Variables!$C$5:$C$65,MATCH($A74,Variables!$A$5:$A$65,0))</f>
        <v/>
      </c>
      <c r="J74" s="5">
        <f>INDEX(Variables!$E$5:$E$65,MATCH($A74,Variables!$A$5:$A$65,0))</f>
        <v/>
      </c>
      <c r="K74" s="23">
        <f>LOWER(Settings!$C$4)&amp;".mit."&amp;$A74&amp;IF($C74="","","."&amp;$C74&amp;"."&amp;$B74)&amp;IF(INDEX(Variables!$D$5:$D$65,MATCH($A74,Variables!$A$5:$A$65,0))="","","."&amp;INDEX(Variables!$D$5:$D$65,MATCH($A74,Variables!$A$5:$A$65,0)))&amp;"."&amp;K$5</f>
        <v/>
      </c>
      <c r="L74" s="30">
        <f>INDEX(MTInputs!$J$1:$AZ$415,$D74,MATCH(L$5,MTInputs!$J$5:$AZ$5,0))</f>
        <v/>
      </c>
      <c r="M74" s="31">
        <f>INDEX(MTInputs!$J$1:$AZ$415,$D74,MATCH(M$5,MTInputs!$J$5:$AZ$5,0))</f>
        <v/>
      </c>
      <c r="N74" s="31">
        <f>INDEX(MTInputs!$J$1:$AZ$415,$D74,MATCH(N$5,MTInputs!$J$5:$AZ$5,0))</f>
        <v/>
      </c>
      <c r="O74" s="31">
        <f>INDEX(MTInputs!$J$1:$AZ$415,$D74,MATCH(O$5,MTInputs!$J$5:$AZ$5,0))</f>
        <v/>
      </c>
      <c r="P74" s="31">
        <f>INDEX(MTInputs!$J$1:$AZ$415,$D74,MATCH(P$5,MTInputs!$J$5:$AZ$5,0))</f>
        <v/>
      </c>
      <c r="Q74" s="31">
        <f>INDEX(MTInputs!$J$1:$AZ$415,$D74,MATCH(Q$5,MTInputs!$J$5:$AZ$5,0))</f>
        <v/>
      </c>
      <c r="R74" s="31">
        <f>INDEX(MTInputs!$J$1:$AZ$415,$D74,MATCH(R$5,MTInputs!$J$5:$AZ$5,0))</f>
        <v/>
      </c>
      <c r="S74" s="31">
        <f>INDEX(MTInputs!$J$1:$AZ$415,$D74,MATCH(S$5,MTInputs!$J$5:$AZ$5,0))</f>
        <v/>
      </c>
      <c r="T74" s="31">
        <f>INDEX(MTInputs!$J$1:$AZ$415,$D74,MATCH(T$5,MTInputs!$J$5:$AZ$5,0))</f>
        <v/>
      </c>
      <c r="U74" s="31">
        <f>INDEX(MTInputs!$J$1:$AZ$415,$D74,MATCH(U$5,MTInputs!$J$5:$AZ$5,0))</f>
        <v/>
      </c>
      <c r="V74" s="31">
        <f>INDEX(MTInputs!$J$1:$AZ$415,$D74,MATCH(V$5,MTInputs!$J$5:$AZ$5,0))</f>
        <v/>
      </c>
      <c r="W74" s="31">
        <f>INDEX(MTInputs!$J$1:$AZ$415,$D74,MATCH(W$5,MTInputs!$J$5:$AZ$5,0))</f>
        <v/>
      </c>
      <c r="X74" s="31">
        <f>INDEX(MTInputs!$J$1:$AZ$415,$D74,MATCH(X$5,MTInputs!$J$5:$AZ$5,0))</f>
        <v/>
      </c>
      <c r="Y74" s="31">
        <f>INDEX(MTInputs!$J$1:$AZ$415,$D74,MATCH(Y$5,MTInputs!$J$5:$AZ$5,0))</f>
        <v/>
      </c>
      <c r="Z74" s="23">
        <f>LOWER(Settings!$C$4)&amp;".mit."&amp;$A74&amp;IF($C74="","","."&amp;$C74&amp;"."&amp;$B74)&amp;IF(INDEX(Variables!$D$5:$D$65,MATCH($A74,Variables!$A$5:$A$65,0))="","","."&amp;INDEX(Variables!$D$5:$D$65,MATCH($A74,Variables!$A$5:$A$65,0)))&amp;"."&amp;Z$5</f>
        <v/>
      </c>
      <c r="AA74" s="30">
        <f>INDEX(MTInputs!$J$1:$AZ$415,$D74,MATCH(AA$5,MTInputs!$J$5:$AZ$5,0))</f>
        <v/>
      </c>
      <c r="AB74" s="31">
        <f>INDEX(MTInputs!$J$1:$AZ$415,$D74,MATCH(AB$5,MTInputs!$J$5:$AZ$5,0))</f>
        <v/>
      </c>
      <c r="AC74" s="31">
        <f>INDEX(MTInputs!$J$1:$AZ$415,$D74,MATCH(AC$5,MTInputs!$J$5:$AZ$5,0))</f>
        <v/>
      </c>
      <c r="AD74" s="31">
        <f>INDEX(MTInputs!$J$1:$AZ$415,$D74,MATCH(AD$5,MTInputs!$J$5:$AZ$5,0))</f>
        <v/>
      </c>
      <c r="AE74" s="31">
        <f>INDEX(MTInputs!$J$1:$AZ$415,$D74,MATCH(AE$5,MTInputs!$J$5:$AZ$5,0))</f>
        <v/>
      </c>
      <c r="AF74" s="31">
        <f>INDEX(MTInputs!$J$1:$AZ$415,$D74,MATCH(AF$5,MTInputs!$J$5:$AZ$5,0))</f>
        <v/>
      </c>
      <c r="AG74" s="31">
        <f>INDEX(MTInputs!$J$1:$AZ$415,$D74,MATCH(AG$5,MTInputs!$J$5:$AZ$5,0))</f>
        <v/>
      </c>
      <c r="AH74" s="31">
        <f>INDEX(MTInputs!$J$1:$AZ$415,$D74,MATCH(AH$5,MTInputs!$J$5:$AZ$5,0))</f>
        <v/>
      </c>
      <c r="AI74" s="31">
        <f>INDEX(MTInputs!$J$1:$AZ$415,$D74,MATCH(AI$5,MTInputs!$J$5:$AZ$5,0))</f>
        <v/>
      </c>
      <c r="AJ74" s="31">
        <f>INDEX(MTInputs!$J$1:$AZ$415,$D74,MATCH(AJ$5,MTInputs!$J$5:$AZ$5,0))</f>
        <v/>
      </c>
      <c r="AK74" s="31">
        <f>INDEX(MTInputs!$J$1:$AZ$415,$D74,MATCH(AK$5,MTInputs!$J$5:$AZ$5,0))</f>
        <v/>
      </c>
      <c r="AL74" s="31">
        <f>INDEX(MTInputs!$J$1:$AZ$415,$D74,MATCH(AL$5,MTInputs!$J$5:$AZ$5,0))</f>
        <v/>
      </c>
      <c r="AM74" s="31">
        <f>INDEX(MTInputs!$J$1:$AZ$415,$D74,MATCH(AM$5,MTInputs!$J$5:$AZ$5,0))</f>
        <v/>
      </c>
      <c r="AN74" s="31">
        <f>INDEX(MTInputs!$J$1:$AZ$415,$D74,MATCH(AN$5,MTInputs!$J$5:$AZ$5,0))</f>
        <v/>
      </c>
    </row>
    <row r="75" hidden="1" outlineLevel="1">
      <c r="A75" s="7" t="inlineStr">
        <is>
          <t>fpr</t>
        </is>
      </c>
      <c r="B75" s="7" t="inlineStr">
        <is>
          <t>coa</t>
        </is>
      </c>
      <c r="C75" s="7" t="inlineStr">
        <is>
          <t>pow</t>
        </is>
      </c>
      <c r="H75" s="7">
        <f>INDEX(Variables!$B$5:$B$65,MATCH($A75,Variables!$A$5:$A$65,0))&amp;IF($C75="",""," | "&amp;INDEX(Mapping!$B$5:$B$25,MATCH($C75,Mapping!$A$5:$A$25,0))&amp;" | "&amp;INDEX(Mapping!$B$29:$B$38,MATCH($B75,Mapping!$A$29:$A$38,0)))</f>
        <v/>
      </c>
      <c r="I75" s="7">
        <f>INDEX(Variables!$C$5:$C$65,MATCH($A75,Variables!$A$5:$A$65,0))</f>
        <v/>
      </c>
      <c r="J75" s="7">
        <f>INDEX(Variables!$E$5:$E$65,MATCH($A75,Variables!$A$5:$A$65,0))</f>
        <v/>
      </c>
      <c r="K75" s="26">
        <f>LOWER(Settings!$C$4)&amp;".mit."&amp;$A75&amp;IF($C75="","","."&amp;$C75&amp;"."&amp;$B75)&amp;IF(INDEX(Variables!$D$5:$D$65,MATCH($A75,Variables!$A$5:$A$65,0))="","","."&amp;INDEX(Variables!$D$5:$D$65,MATCH($A75,Variables!$A$5:$A$65,0)))&amp;"."&amp;K$5</f>
        <v/>
      </c>
      <c r="L75" s="27">
        <f>IF(L$4&lt;L$45,0,L47+(L61-L47)/MAX(L$46-L$45,1)*(L$4-L$45))</f>
        <v/>
      </c>
      <c r="M75" s="28">
        <f>IF(M$4&lt;M$45,0,M47+(M61-M47)/MAX(M$46-M$45,1)*(M$4-M$45))</f>
        <v/>
      </c>
      <c r="N75" s="28">
        <f>IF(N$4&lt;N$45,0,N47+(N61-N47)/MAX(N$46-N$45,1)*(N$4-N$45))</f>
        <v/>
      </c>
      <c r="O75" s="28">
        <f>IF(O$4&lt;O$45,0,O47+(O61-O47)/MAX(O$46-O$45,1)*(O$4-O$45))</f>
        <v/>
      </c>
      <c r="P75" s="28">
        <f>IF(P$4&lt;P$45,0,P47+(P61-P47)/MAX(P$46-P$45,1)*(P$4-P$45))</f>
        <v/>
      </c>
      <c r="Q75" s="28">
        <f>IF(Q$4&lt;Q$45,0,Q47+(Q61-Q47)/MAX(Q$46-Q$45,1)*(Q$4-Q$45))</f>
        <v/>
      </c>
      <c r="R75" s="28">
        <f>IF(R$4&lt;R$45,0,R47+(R61-R47)/MAX(R$46-R$45,1)*(R$4-R$45))</f>
        <v/>
      </c>
      <c r="S75" s="28">
        <f>IF(S$4&lt;S$45,0,S47+(S61-S47)/MAX(S$46-S$45,1)*(S$4-S$45))</f>
        <v/>
      </c>
      <c r="T75" s="28">
        <f>IF(T$4&lt;T$45,0,T47+(T61-T47)/MAX(T$46-T$45,1)*(T$4-T$45))</f>
        <v/>
      </c>
      <c r="U75" s="28">
        <f>IF(U$4&lt;U$45,0,U47+(U61-U47)/MAX(U$46-U$45,1)*(U$4-U$45))</f>
        <v/>
      </c>
      <c r="V75" s="28">
        <f>IF(V$4&lt;V$45,0,V47+(V61-V47)/MAX(V$46-V$45,1)*(V$4-V$45))</f>
        <v/>
      </c>
      <c r="W75" s="28">
        <f>IF(W$4&lt;W$45,0,W47+(W61-W47)/MAX(W$46-W$45,1)*(W$4-W$45))</f>
        <v/>
      </c>
      <c r="X75" s="28">
        <f>IF(X$4&lt;X$45,0,X47+(X61-X47)/MAX(X$46-X$45,1)*(X$4-X$45))</f>
        <v/>
      </c>
      <c r="Y75" s="28">
        <f>IF(Y$4&lt;Y$45,0,Y47+(Y61-Y47)/MAX(Y$46-Y$45,1)*(Y$4-Y$45))</f>
        <v/>
      </c>
      <c r="Z75" s="26">
        <f>LOWER(Settings!$C$4)&amp;".mit."&amp;$A75&amp;IF($C75="","","."&amp;$C75&amp;"."&amp;$B75)&amp;IF(INDEX(Variables!$D$5:$D$65,MATCH($A75,Variables!$A$5:$A$65,0))="","","."&amp;INDEX(Variables!$D$5:$D$65,MATCH($A75,Variables!$A$5:$A$65,0)))&amp;"."&amp;Z$5</f>
        <v/>
      </c>
      <c r="AA75" s="27">
        <f>IF(AA$4&lt;AA$45,0,AA47+(AA61-AA47)/MAX(AA$46-AA$45,1)*(AA$4-AA$45))</f>
        <v/>
      </c>
      <c r="AB75" s="28">
        <f>IF(AB$4&lt;AB$45,0,AB47+(AB61-AB47)/MAX(AB$46-AB$45,1)*(AB$4-AB$45))</f>
        <v/>
      </c>
      <c r="AC75" s="28">
        <f>IF(AC$4&lt;AC$45,0,AC47+(AC61-AC47)/MAX(AC$46-AC$45,1)*(AC$4-AC$45))</f>
        <v/>
      </c>
      <c r="AD75" s="28">
        <f>IF(AD$4&lt;AD$45,0,AD47+(AD61-AD47)/MAX(AD$46-AD$45,1)*(AD$4-AD$45))</f>
        <v/>
      </c>
      <c r="AE75" s="28">
        <f>IF(AE$4&lt;AE$45,0,AE47+(AE61-AE47)/MAX(AE$46-AE$45,1)*(AE$4-AE$45))</f>
        <v/>
      </c>
      <c r="AF75" s="28">
        <f>IF(AF$4&lt;AF$45,0,AF47+(AF61-AF47)/MAX(AF$46-AF$45,1)*(AF$4-AF$45))</f>
        <v/>
      </c>
      <c r="AG75" s="28">
        <f>IF(AG$4&lt;AG$45,0,AG47+(AG61-AG47)/MAX(AG$46-AG$45,1)*(AG$4-AG$45))</f>
        <v/>
      </c>
      <c r="AH75" s="28">
        <f>IF(AH$4&lt;AH$45,0,AH47+(AH61-AH47)/MAX(AH$46-AH$45,1)*(AH$4-AH$45))</f>
        <v/>
      </c>
      <c r="AI75" s="28">
        <f>IF(AI$4&lt;AI$45,0,AI47+(AI61-AI47)/MAX(AI$46-AI$45,1)*(AI$4-AI$45))</f>
        <v/>
      </c>
      <c r="AJ75" s="28">
        <f>IF(AJ$4&lt;AJ$45,0,AJ47+(AJ61-AJ47)/MAX(AJ$46-AJ$45,1)*(AJ$4-AJ$45))</f>
        <v/>
      </c>
      <c r="AK75" s="28">
        <f>IF(AK$4&lt;AK$45,0,AK47+(AK61-AK47)/MAX(AK$46-AK$45,1)*(AK$4-AK$45))</f>
        <v/>
      </c>
      <c r="AL75" s="28">
        <f>IF(AL$4&lt;AL$45,0,AL47+(AL61-AL47)/MAX(AL$46-AL$45,1)*(AL$4-AL$45))</f>
        <v/>
      </c>
      <c r="AM75" s="28">
        <f>IF(AM$4&lt;AM$45,0,AM47+(AM61-AM47)/MAX(AM$46-AM$45,1)*(AM$4-AM$45))</f>
        <v/>
      </c>
      <c r="AN75" s="28">
        <f>IF(AN$4&lt;AN$45,0,AN47+(AN61-AN47)/MAX(AN$46-AN$45,1)*(AN$4-AN$45))</f>
        <v/>
      </c>
    </row>
    <row r="76" hidden="1" outlineLevel="1">
      <c r="A76" s="7" t="inlineStr">
        <is>
          <t>fpr</t>
        </is>
      </c>
      <c r="B76" s="7" t="inlineStr">
        <is>
          <t>coa</t>
        </is>
      </c>
      <c r="C76" s="7" t="inlineStr">
        <is>
          <t>res</t>
        </is>
      </c>
      <c r="H76" s="7">
        <f>INDEX(Variables!$B$5:$B$65,MATCH($A76,Variables!$A$5:$A$65,0))&amp;IF($C76="",""," | "&amp;INDEX(Mapping!$B$5:$B$25,MATCH($C76,Mapping!$A$5:$A$25,0))&amp;" | "&amp;INDEX(Mapping!$B$29:$B$38,MATCH($B76,Mapping!$A$29:$A$38,0)))</f>
        <v/>
      </c>
      <c r="I76" s="7">
        <f>INDEX(Variables!$C$5:$C$65,MATCH($A76,Variables!$A$5:$A$65,0))</f>
        <v/>
      </c>
      <c r="J76" s="7">
        <f>INDEX(Variables!$E$5:$E$65,MATCH($A76,Variables!$A$5:$A$65,0))</f>
        <v/>
      </c>
      <c r="K76" s="26">
        <f>LOWER(Settings!$C$4)&amp;".mit."&amp;$A76&amp;IF($C76="","","."&amp;$C76&amp;"."&amp;$B76)&amp;IF(INDEX(Variables!$D$5:$D$65,MATCH($A76,Variables!$A$5:$A$65,0))="","","."&amp;INDEX(Variables!$D$5:$D$65,MATCH($A76,Variables!$A$5:$A$65,0)))&amp;"."&amp;K$5</f>
        <v/>
      </c>
      <c r="L76" s="27">
        <f>IF(L$4&lt;L$45,0,L48+(L62-L48)/MAX(L$46-L$45,1)*(L$4-L$45))</f>
        <v/>
      </c>
      <c r="M76" s="28">
        <f>IF(M$4&lt;M$45,0,M48+(M62-M48)/MAX(M$46-M$45,1)*(M$4-M$45))</f>
        <v/>
      </c>
      <c r="N76" s="28">
        <f>IF(N$4&lt;N$45,0,N48+(N62-N48)/MAX(N$46-N$45,1)*(N$4-N$45))</f>
        <v/>
      </c>
      <c r="O76" s="28">
        <f>IF(O$4&lt;O$45,0,O48+(O62-O48)/MAX(O$46-O$45,1)*(O$4-O$45))</f>
        <v/>
      </c>
      <c r="P76" s="28">
        <f>IF(P$4&lt;P$45,0,P48+(P62-P48)/MAX(P$46-P$45,1)*(P$4-P$45))</f>
        <v/>
      </c>
      <c r="Q76" s="28">
        <f>IF(Q$4&lt;Q$45,0,Q48+(Q62-Q48)/MAX(Q$46-Q$45,1)*(Q$4-Q$45))</f>
        <v/>
      </c>
      <c r="R76" s="28">
        <f>IF(R$4&lt;R$45,0,R48+(R62-R48)/MAX(R$46-R$45,1)*(R$4-R$45))</f>
        <v/>
      </c>
      <c r="S76" s="28">
        <f>IF(S$4&lt;S$45,0,S48+(S62-S48)/MAX(S$46-S$45,1)*(S$4-S$45))</f>
        <v/>
      </c>
      <c r="T76" s="28">
        <f>IF(T$4&lt;T$45,0,T48+(T62-T48)/MAX(T$46-T$45,1)*(T$4-T$45))</f>
        <v/>
      </c>
      <c r="U76" s="28">
        <f>IF(U$4&lt;U$45,0,U48+(U62-U48)/MAX(U$46-U$45,1)*(U$4-U$45))</f>
        <v/>
      </c>
      <c r="V76" s="28">
        <f>IF(V$4&lt;V$45,0,V48+(V62-V48)/MAX(V$46-V$45,1)*(V$4-V$45))</f>
        <v/>
      </c>
      <c r="W76" s="28">
        <f>IF(W$4&lt;W$45,0,W48+(W62-W48)/MAX(W$46-W$45,1)*(W$4-W$45))</f>
        <v/>
      </c>
      <c r="X76" s="28">
        <f>IF(X$4&lt;X$45,0,X48+(X62-X48)/MAX(X$46-X$45,1)*(X$4-X$45))</f>
        <v/>
      </c>
      <c r="Y76" s="28">
        <f>IF(Y$4&lt;Y$45,0,Y48+(Y62-Y48)/MAX(Y$46-Y$45,1)*(Y$4-Y$45))</f>
        <v/>
      </c>
      <c r="Z76" s="26">
        <f>LOWER(Settings!$C$4)&amp;".mit."&amp;$A76&amp;IF($C76="","","."&amp;$C76&amp;"."&amp;$B76)&amp;IF(INDEX(Variables!$D$5:$D$65,MATCH($A76,Variables!$A$5:$A$65,0))="","","."&amp;INDEX(Variables!$D$5:$D$65,MATCH($A76,Variables!$A$5:$A$65,0)))&amp;"."&amp;Z$5</f>
        <v/>
      </c>
      <c r="AA76" s="27">
        <f>IF(AA$4&lt;AA$45,0,AA48+(AA62-AA48)/MAX(AA$46-AA$45,1)*(AA$4-AA$45))</f>
        <v/>
      </c>
      <c r="AB76" s="28">
        <f>IF(AB$4&lt;AB$45,0,AB48+(AB62-AB48)/MAX(AB$46-AB$45,1)*(AB$4-AB$45))</f>
        <v/>
      </c>
      <c r="AC76" s="28">
        <f>IF(AC$4&lt;AC$45,0,AC48+(AC62-AC48)/MAX(AC$46-AC$45,1)*(AC$4-AC$45))</f>
        <v/>
      </c>
      <c r="AD76" s="28">
        <f>IF(AD$4&lt;AD$45,0,AD48+(AD62-AD48)/MAX(AD$46-AD$45,1)*(AD$4-AD$45))</f>
        <v/>
      </c>
      <c r="AE76" s="28">
        <f>IF(AE$4&lt;AE$45,0,AE48+(AE62-AE48)/MAX(AE$46-AE$45,1)*(AE$4-AE$45))</f>
        <v/>
      </c>
      <c r="AF76" s="28">
        <f>IF(AF$4&lt;AF$45,0,AF48+(AF62-AF48)/MAX(AF$46-AF$45,1)*(AF$4-AF$45))</f>
        <v/>
      </c>
      <c r="AG76" s="28">
        <f>IF(AG$4&lt;AG$45,0,AG48+(AG62-AG48)/MAX(AG$46-AG$45,1)*(AG$4-AG$45))</f>
        <v/>
      </c>
      <c r="AH76" s="28">
        <f>IF(AH$4&lt;AH$45,0,AH48+(AH62-AH48)/MAX(AH$46-AH$45,1)*(AH$4-AH$45))</f>
        <v/>
      </c>
      <c r="AI76" s="28">
        <f>IF(AI$4&lt;AI$45,0,AI48+(AI62-AI48)/MAX(AI$46-AI$45,1)*(AI$4-AI$45))</f>
        <v/>
      </c>
      <c r="AJ76" s="28">
        <f>IF(AJ$4&lt;AJ$45,0,AJ48+(AJ62-AJ48)/MAX(AJ$46-AJ$45,1)*(AJ$4-AJ$45))</f>
        <v/>
      </c>
      <c r="AK76" s="28">
        <f>IF(AK$4&lt;AK$45,0,AK48+(AK62-AK48)/MAX(AK$46-AK$45,1)*(AK$4-AK$45))</f>
        <v/>
      </c>
      <c r="AL76" s="28">
        <f>IF(AL$4&lt;AL$45,0,AL48+(AL62-AL48)/MAX(AL$46-AL$45,1)*(AL$4-AL$45))</f>
        <v/>
      </c>
      <c r="AM76" s="28">
        <f>IF(AM$4&lt;AM$45,0,AM48+(AM62-AM48)/MAX(AM$46-AM$45,1)*(AM$4-AM$45))</f>
        <v/>
      </c>
      <c r="AN76" s="28">
        <f>IF(AN$4&lt;AN$45,0,AN48+(AN62-AN48)/MAX(AN$46-AN$45,1)*(AN$4-AN$45))</f>
        <v/>
      </c>
    </row>
    <row r="77" hidden="1" outlineLevel="1">
      <c r="A77" s="7" t="inlineStr">
        <is>
          <t>fpr</t>
        </is>
      </c>
      <c r="B77" s="7" t="inlineStr">
        <is>
          <t>coa</t>
        </is>
      </c>
      <c r="C77" s="7" t="inlineStr">
        <is>
          <t>ind</t>
        </is>
      </c>
      <c r="H77" s="7">
        <f>INDEX(Variables!$B$5:$B$65,MATCH($A77,Variables!$A$5:$A$65,0))&amp;IF($C77="",""," | "&amp;INDEX(Mapping!$B$5:$B$25,MATCH($C77,Mapping!$A$5:$A$25,0))&amp;" | "&amp;INDEX(Mapping!$B$29:$B$38,MATCH($B77,Mapping!$A$29:$A$38,0)))</f>
        <v/>
      </c>
      <c r="I77" s="7">
        <f>INDEX(Variables!$C$5:$C$65,MATCH($A77,Variables!$A$5:$A$65,0))</f>
        <v/>
      </c>
      <c r="J77" s="7">
        <f>INDEX(Variables!$E$5:$E$65,MATCH($A77,Variables!$A$5:$A$65,0))</f>
        <v/>
      </c>
      <c r="K77" s="26">
        <f>LOWER(Settings!$C$4)&amp;".mit."&amp;$A77&amp;IF($C77="","","."&amp;$C77&amp;"."&amp;$B77)&amp;IF(INDEX(Variables!$D$5:$D$65,MATCH($A77,Variables!$A$5:$A$65,0))="","","."&amp;INDEX(Variables!$D$5:$D$65,MATCH($A77,Variables!$A$5:$A$65,0)))&amp;"."&amp;K$5</f>
        <v/>
      </c>
      <c r="L77" s="27">
        <f>IF(L$4&lt;L$45,0,L49+(L63-L49)/MAX(L$46-L$45,1)*(L$4-L$45))</f>
        <v/>
      </c>
      <c r="M77" s="28">
        <f>IF(M$4&lt;M$45,0,M49+(M63-M49)/MAX(M$46-M$45,1)*(M$4-M$45))</f>
        <v/>
      </c>
      <c r="N77" s="28">
        <f>IF(N$4&lt;N$45,0,N49+(N63-N49)/MAX(N$46-N$45,1)*(N$4-N$45))</f>
        <v/>
      </c>
      <c r="O77" s="28">
        <f>IF(O$4&lt;O$45,0,O49+(O63-O49)/MAX(O$46-O$45,1)*(O$4-O$45))</f>
        <v/>
      </c>
      <c r="P77" s="28">
        <f>IF(P$4&lt;P$45,0,P49+(P63-P49)/MAX(P$46-P$45,1)*(P$4-P$45))</f>
        <v/>
      </c>
      <c r="Q77" s="28">
        <f>IF(Q$4&lt;Q$45,0,Q49+(Q63-Q49)/MAX(Q$46-Q$45,1)*(Q$4-Q$45))</f>
        <v/>
      </c>
      <c r="R77" s="28">
        <f>IF(R$4&lt;R$45,0,R49+(R63-R49)/MAX(R$46-R$45,1)*(R$4-R$45))</f>
        <v/>
      </c>
      <c r="S77" s="28">
        <f>IF(S$4&lt;S$45,0,S49+(S63-S49)/MAX(S$46-S$45,1)*(S$4-S$45))</f>
        <v/>
      </c>
      <c r="T77" s="28">
        <f>IF(T$4&lt;T$45,0,T49+(T63-T49)/MAX(T$46-T$45,1)*(T$4-T$45))</f>
        <v/>
      </c>
      <c r="U77" s="28">
        <f>IF(U$4&lt;U$45,0,U49+(U63-U49)/MAX(U$46-U$45,1)*(U$4-U$45))</f>
        <v/>
      </c>
      <c r="V77" s="28">
        <f>IF(V$4&lt;V$45,0,V49+(V63-V49)/MAX(V$46-V$45,1)*(V$4-V$45))</f>
        <v/>
      </c>
      <c r="W77" s="28">
        <f>IF(W$4&lt;W$45,0,W49+(W63-W49)/MAX(W$46-W$45,1)*(W$4-W$45))</f>
        <v/>
      </c>
      <c r="X77" s="28">
        <f>IF(X$4&lt;X$45,0,X49+(X63-X49)/MAX(X$46-X$45,1)*(X$4-X$45))</f>
        <v/>
      </c>
      <c r="Y77" s="28">
        <f>IF(Y$4&lt;Y$45,0,Y49+(Y63-Y49)/MAX(Y$46-Y$45,1)*(Y$4-Y$45))</f>
        <v/>
      </c>
      <c r="Z77" s="26">
        <f>LOWER(Settings!$C$4)&amp;".mit."&amp;$A77&amp;IF($C77="","","."&amp;$C77&amp;"."&amp;$B77)&amp;IF(INDEX(Variables!$D$5:$D$65,MATCH($A77,Variables!$A$5:$A$65,0))="","","."&amp;INDEX(Variables!$D$5:$D$65,MATCH($A77,Variables!$A$5:$A$65,0)))&amp;"."&amp;Z$5</f>
        <v/>
      </c>
      <c r="AA77" s="27">
        <f>IF(AA$4&lt;AA$45,0,AA49+(AA63-AA49)/MAX(AA$46-AA$45,1)*(AA$4-AA$45))</f>
        <v/>
      </c>
      <c r="AB77" s="28">
        <f>IF(AB$4&lt;AB$45,0,AB49+(AB63-AB49)/MAX(AB$46-AB$45,1)*(AB$4-AB$45))</f>
        <v/>
      </c>
      <c r="AC77" s="28">
        <f>IF(AC$4&lt;AC$45,0,AC49+(AC63-AC49)/MAX(AC$46-AC$45,1)*(AC$4-AC$45))</f>
        <v/>
      </c>
      <c r="AD77" s="28">
        <f>IF(AD$4&lt;AD$45,0,AD49+(AD63-AD49)/MAX(AD$46-AD$45,1)*(AD$4-AD$45))</f>
        <v/>
      </c>
      <c r="AE77" s="28">
        <f>IF(AE$4&lt;AE$45,0,AE49+(AE63-AE49)/MAX(AE$46-AE$45,1)*(AE$4-AE$45))</f>
        <v/>
      </c>
      <c r="AF77" s="28">
        <f>IF(AF$4&lt;AF$45,0,AF49+(AF63-AF49)/MAX(AF$46-AF$45,1)*(AF$4-AF$45))</f>
        <v/>
      </c>
      <c r="AG77" s="28">
        <f>IF(AG$4&lt;AG$45,0,AG49+(AG63-AG49)/MAX(AG$46-AG$45,1)*(AG$4-AG$45))</f>
        <v/>
      </c>
      <c r="AH77" s="28">
        <f>IF(AH$4&lt;AH$45,0,AH49+(AH63-AH49)/MAX(AH$46-AH$45,1)*(AH$4-AH$45))</f>
        <v/>
      </c>
      <c r="AI77" s="28">
        <f>IF(AI$4&lt;AI$45,0,AI49+(AI63-AI49)/MAX(AI$46-AI$45,1)*(AI$4-AI$45))</f>
        <v/>
      </c>
      <c r="AJ77" s="28">
        <f>IF(AJ$4&lt;AJ$45,0,AJ49+(AJ63-AJ49)/MAX(AJ$46-AJ$45,1)*(AJ$4-AJ$45))</f>
        <v/>
      </c>
      <c r="AK77" s="28">
        <f>IF(AK$4&lt;AK$45,0,AK49+(AK63-AK49)/MAX(AK$46-AK$45,1)*(AK$4-AK$45))</f>
        <v/>
      </c>
      <c r="AL77" s="28">
        <f>IF(AL$4&lt;AL$45,0,AL49+(AL63-AL49)/MAX(AL$46-AL$45,1)*(AL$4-AL$45))</f>
        <v/>
      </c>
      <c r="AM77" s="28">
        <f>IF(AM$4&lt;AM$45,0,AM49+(AM63-AM49)/MAX(AM$46-AM$45,1)*(AM$4-AM$45))</f>
        <v/>
      </c>
      <c r="AN77" s="28">
        <f>IF(AN$4&lt;AN$45,0,AN49+(AN63-AN49)/MAX(AN$46-AN$45,1)*(AN$4-AN$45))</f>
        <v/>
      </c>
    </row>
    <row r="78" hidden="1" outlineLevel="1">
      <c r="A78" s="7" t="inlineStr">
        <is>
          <t>fpr</t>
        </is>
      </c>
      <c r="B78" s="7" t="inlineStr">
        <is>
          <t>nga</t>
        </is>
      </c>
      <c r="C78" s="7" t="inlineStr">
        <is>
          <t>pow</t>
        </is>
      </c>
      <c r="H78" s="7">
        <f>INDEX(Variables!$B$5:$B$65,MATCH($A78,Variables!$A$5:$A$65,0))&amp;IF($C78="",""," | "&amp;INDEX(Mapping!$B$5:$B$25,MATCH($C78,Mapping!$A$5:$A$25,0))&amp;" | "&amp;INDEX(Mapping!$B$29:$B$38,MATCH($B78,Mapping!$A$29:$A$38,0)))</f>
        <v/>
      </c>
      <c r="I78" s="7">
        <f>INDEX(Variables!$C$5:$C$65,MATCH($A78,Variables!$A$5:$A$65,0))</f>
        <v/>
      </c>
      <c r="J78" s="7">
        <f>INDEX(Variables!$E$5:$E$65,MATCH($A78,Variables!$A$5:$A$65,0))</f>
        <v/>
      </c>
      <c r="K78" s="26">
        <f>LOWER(Settings!$C$4)&amp;".mit."&amp;$A78&amp;IF($C78="","","."&amp;$C78&amp;"."&amp;$B78)&amp;IF(INDEX(Variables!$D$5:$D$65,MATCH($A78,Variables!$A$5:$A$65,0))="","","."&amp;INDEX(Variables!$D$5:$D$65,MATCH($A78,Variables!$A$5:$A$65,0)))&amp;"."&amp;K$5</f>
        <v/>
      </c>
      <c r="L78" s="27">
        <f>IF(L$4&lt;L$45,0,L50+(L64-L50)/MAX(L$46-L$45,1)*(L$4-L$45))</f>
        <v/>
      </c>
      <c r="M78" s="28">
        <f>IF(M$4&lt;M$45,0,M50+(M64-M50)/MAX(M$46-M$45,1)*(M$4-M$45))</f>
        <v/>
      </c>
      <c r="N78" s="28">
        <f>IF(N$4&lt;N$45,0,N50+(N64-N50)/MAX(N$46-N$45,1)*(N$4-N$45))</f>
        <v/>
      </c>
      <c r="O78" s="28">
        <f>IF(O$4&lt;O$45,0,O50+(O64-O50)/MAX(O$46-O$45,1)*(O$4-O$45))</f>
        <v/>
      </c>
      <c r="P78" s="28">
        <f>IF(P$4&lt;P$45,0,P50+(P64-P50)/MAX(P$46-P$45,1)*(P$4-P$45))</f>
        <v/>
      </c>
      <c r="Q78" s="28">
        <f>IF(Q$4&lt;Q$45,0,Q50+(Q64-Q50)/MAX(Q$46-Q$45,1)*(Q$4-Q$45))</f>
        <v/>
      </c>
      <c r="R78" s="28">
        <f>IF(R$4&lt;R$45,0,R50+(R64-R50)/MAX(R$46-R$45,1)*(R$4-R$45))</f>
        <v/>
      </c>
      <c r="S78" s="28">
        <f>IF(S$4&lt;S$45,0,S50+(S64-S50)/MAX(S$46-S$45,1)*(S$4-S$45))</f>
        <v/>
      </c>
      <c r="T78" s="28">
        <f>IF(T$4&lt;T$45,0,T50+(T64-T50)/MAX(T$46-T$45,1)*(T$4-T$45))</f>
        <v/>
      </c>
      <c r="U78" s="28">
        <f>IF(U$4&lt;U$45,0,U50+(U64-U50)/MAX(U$46-U$45,1)*(U$4-U$45))</f>
        <v/>
      </c>
      <c r="V78" s="28">
        <f>IF(V$4&lt;V$45,0,V50+(V64-V50)/MAX(V$46-V$45,1)*(V$4-V$45))</f>
        <v/>
      </c>
      <c r="W78" s="28">
        <f>IF(W$4&lt;W$45,0,W50+(W64-W50)/MAX(W$46-W$45,1)*(W$4-W$45))</f>
        <v/>
      </c>
      <c r="X78" s="28">
        <f>IF(X$4&lt;X$45,0,X50+(X64-X50)/MAX(X$46-X$45,1)*(X$4-X$45))</f>
        <v/>
      </c>
      <c r="Y78" s="28">
        <f>IF(Y$4&lt;Y$45,0,Y50+(Y64-Y50)/MAX(Y$46-Y$45,1)*(Y$4-Y$45))</f>
        <v/>
      </c>
      <c r="Z78" s="26">
        <f>LOWER(Settings!$C$4)&amp;".mit."&amp;$A78&amp;IF($C78="","","."&amp;$C78&amp;"."&amp;$B78)&amp;IF(INDEX(Variables!$D$5:$D$65,MATCH($A78,Variables!$A$5:$A$65,0))="","","."&amp;INDEX(Variables!$D$5:$D$65,MATCH($A78,Variables!$A$5:$A$65,0)))&amp;"."&amp;Z$5</f>
        <v/>
      </c>
      <c r="AA78" s="27">
        <f>IF(AA$4&lt;AA$45,0,AA50+(AA64-AA50)/MAX(AA$46-AA$45,1)*(AA$4-AA$45))</f>
        <v/>
      </c>
      <c r="AB78" s="28">
        <f>IF(AB$4&lt;AB$45,0,AB50+(AB64-AB50)/MAX(AB$46-AB$45,1)*(AB$4-AB$45))</f>
        <v/>
      </c>
      <c r="AC78" s="28">
        <f>IF(AC$4&lt;AC$45,0,AC50+(AC64-AC50)/MAX(AC$46-AC$45,1)*(AC$4-AC$45))</f>
        <v/>
      </c>
      <c r="AD78" s="28">
        <f>IF(AD$4&lt;AD$45,0,AD50+(AD64-AD50)/MAX(AD$46-AD$45,1)*(AD$4-AD$45))</f>
        <v/>
      </c>
      <c r="AE78" s="28">
        <f>IF(AE$4&lt;AE$45,0,AE50+(AE64-AE50)/MAX(AE$46-AE$45,1)*(AE$4-AE$45))</f>
        <v/>
      </c>
      <c r="AF78" s="28">
        <f>IF(AF$4&lt;AF$45,0,AF50+(AF64-AF50)/MAX(AF$46-AF$45,1)*(AF$4-AF$45))</f>
        <v/>
      </c>
      <c r="AG78" s="28">
        <f>IF(AG$4&lt;AG$45,0,AG50+(AG64-AG50)/MAX(AG$46-AG$45,1)*(AG$4-AG$45))</f>
        <v/>
      </c>
      <c r="AH78" s="28">
        <f>IF(AH$4&lt;AH$45,0,AH50+(AH64-AH50)/MAX(AH$46-AH$45,1)*(AH$4-AH$45))</f>
        <v/>
      </c>
      <c r="AI78" s="28">
        <f>IF(AI$4&lt;AI$45,0,AI50+(AI64-AI50)/MAX(AI$46-AI$45,1)*(AI$4-AI$45))</f>
        <v/>
      </c>
      <c r="AJ78" s="28">
        <f>IF(AJ$4&lt;AJ$45,0,AJ50+(AJ64-AJ50)/MAX(AJ$46-AJ$45,1)*(AJ$4-AJ$45))</f>
        <v/>
      </c>
      <c r="AK78" s="28">
        <f>IF(AK$4&lt;AK$45,0,AK50+(AK64-AK50)/MAX(AK$46-AK$45,1)*(AK$4-AK$45))</f>
        <v/>
      </c>
      <c r="AL78" s="28">
        <f>IF(AL$4&lt;AL$45,0,AL50+(AL64-AL50)/MAX(AL$46-AL$45,1)*(AL$4-AL$45))</f>
        <v/>
      </c>
      <c r="AM78" s="28">
        <f>IF(AM$4&lt;AM$45,0,AM50+(AM64-AM50)/MAX(AM$46-AM$45,1)*(AM$4-AM$45))</f>
        <v/>
      </c>
      <c r="AN78" s="28">
        <f>IF(AN$4&lt;AN$45,0,AN50+(AN64-AN50)/MAX(AN$46-AN$45,1)*(AN$4-AN$45))</f>
        <v/>
      </c>
    </row>
    <row r="79" hidden="1" outlineLevel="1">
      <c r="A79" s="7" t="inlineStr">
        <is>
          <t>fpr</t>
        </is>
      </c>
      <c r="B79" s="7" t="inlineStr">
        <is>
          <t>nga</t>
        </is>
      </c>
      <c r="C79" s="7" t="inlineStr">
        <is>
          <t>res</t>
        </is>
      </c>
      <c r="H79" s="7">
        <f>INDEX(Variables!$B$5:$B$65,MATCH($A79,Variables!$A$5:$A$65,0))&amp;IF($C79="",""," | "&amp;INDEX(Mapping!$B$5:$B$25,MATCH($C79,Mapping!$A$5:$A$25,0))&amp;" | "&amp;INDEX(Mapping!$B$29:$B$38,MATCH($B79,Mapping!$A$29:$A$38,0)))</f>
        <v/>
      </c>
      <c r="I79" s="7">
        <f>INDEX(Variables!$C$5:$C$65,MATCH($A79,Variables!$A$5:$A$65,0))</f>
        <v/>
      </c>
      <c r="J79" s="7">
        <f>INDEX(Variables!$E$5:$E$65,MATCH($A79,Variables!$A$5:$A$65,0))</f>
        <v/>
      </c>
      <c r="K79" s="26">
        <f>LOWER(Settings!$C$4)&amp;".mit."&amp;$A79&amp;IF($C79="","","."&amp;$C79&amp;"."&amp;$B79)&amp;IF(INDEX(Variables!$D$5:$D$65,MATCH($A79,Variables!$A$5:$A$65,0))="","","."&amp;INDEX(Variables!$D$5:$D$65,MATCH($A79,Variables!$A$5:$A$65,0)))&amp;"."&amp;K$5</f>
        <v/>
      </c>
      <c r="L79" s="27">
        <f>IF(L$4&lt;L$45,0,L51+(L65-L51)/MAX(L$46-L$45,1)*(L$4-L$45))</f>
        <v/>
      </c>
      <c r="M79" s="28">
        <f>IF(M$4&lt;M$45,0,M51+(M65-M51)/MAX(M$46-M$45,1)*(M$4-M$45))</f>
        <v/>
      </c>
      <c r="N79" s="28">
        <f>IF(N$4&lt;N$45,0,N51+(N65-N51)/MAX(N$46-N$45,1)*(N$4-N$45))</f>
        <v/>
      </c>
      <c r="O79" s="28">
        <f>IF(O$4&lt;O$45,0,O51+(O65-O51)/MAX(O$46-O$45,1)*(O$4-O$45))</f>
        <v/>
      </c>
      <c r="P79" s="28">
        <f>IF(P$4&lt;P$45,0,P51+(P65-P51)/MAX(P$46-P$45,1)*(P$4-P$45))</f>
        <v/>
      </c>
      <c r="Q79" s="28">
        <f>IF(Q$4&lt;Q$45,0,Q51+(Q65-Q51)/MAX(Q$46-Q$45,1)*(Q$4-Q$45))</f>
        <v/>
      </c>
      <c r="R79" s="28">
        <f>IF(R$4&lt;R$45,0,R51+(R65-R51)/MAX(R$46-R$45,1)*(R$4-R$45))</f>
        <v/>
      </c>
      <c r="S79" s="28">
        <f>IF(S$4&lt;S$45,0,S51+(S65-S51)/MAX(S$46-S$45,1)*(S$4-S$45))</f>
        <v/>
      </c>
      <c r="T79" s="28">
        <f>IF(T$4&lt;T$45,0,T51+(T65-T51)/MAX(T$46-T$45,1)*(T$4-T$45))</f>
        <v/>
      </c>
      <c r="U79" s="28">
        <f>IF(U$4&lt;U$45,0,U51+(U65-U51)/MAX(U$46-U$45,1)*(U$4-U$45))</f>
        <v/>
      </c>
      <c r="V79" s="28">
        <f>IF(V$4&lt;V$45,0,V51+(V65-V51)/MAX(V$46-V$45,1)*(V$4-V$45))</f>
        <v/>
      </c>
      <c r="W79" s="28">
        <f>IF(W$4&lt;W$45,0,W51+(W65-W51)/MAX(W$46-W$45,1)*(W$4-W$45))</f>
        <v/>
      </c>
      <c r="X79" s="28">
        <f>IF(X$4&lt;X$45,0,X51+(X65-X51)/MAX(X$46-X$45,1)*(X$4-X$45))</f>
        <v/>
      </c>
      <c r="Y79" s="28">
        <f>IF(Y$4&lt;Y$45,0,Y51+(Y65-Y51)/MAX(Y$46-Y$45,1)*(Y$4-Y$45))</f>
        <v/>
      </c>
      <c r="Z79" s="26">
        <f>LOWER(Settings!$C$4)&amp;".mit."&amp;$A79&amp;IF($C79="","","."&amp;$C79&amp;"."&amp;$B79)&amp;IF(INDEX(Variables!$D$5:$D$65,MATCH($A79,Variables!$A$5:$A$65,0))="","","."&amp;INDEX(Variables!$D$5:$D$65,MATCH($A79,Variables!$A$5:$A$65,0)))&amp;"."&amp;Z$5</f>
        <v/>
      </c>
      <c r="AA79" s="27">
        <f>IF(AA$4&lt;AA$45,0,AA51+(AA65-AA51)/MAX(AA$46-AA$45,1)*(AA$4-AA$45))</f>
        <v/>
      </c>
      <c r="AB79" s="28">
        <f>IF(AB$4&lt;AB$45,0,AB51+(AB65-AB51)/MAX(AB$46-AB$45,1)*(AB$4-AB$45))</f>
        <v/>
      </c>
      <c r="AC79" s="28">
        <f>IF(AC$4&lt;AC$45,0,AC51+(AC65-AC51)/MAX(AC$46-AC$45,1)*(AC$4-AC$45))</f>
        <v/>
      </c>
      <c r="AD79" s="28">
        <f>IF(AD$4&lt;AD$45,0,AD51+(AD65-AD51)/MAX(AD$46-AD$45,1)*(AD$4-AD$45))</f>
        <v/>
      </c>
      <c r="AE79" s="28">
        <f>IF(AE$4&lt;AE$45,0,AE51+(AE65-AE51)/MAX(AE$46-AE$45,1)*(AE$4-AE$45))</f>
        <v/>
      </c>
      <c r="AF79" s="28">
        <f>IF(AF$4&lt;AF$45,0,AF51+(AF65-AF51)/MAX(AF$46-AF$45,1)*(AF$4-AF$45))</f>
        <v/>
      </c>
      <c r="AG79" s="28">
        <f>IF(AG$4&lt;AG$45,0,AG51+(AG65-AG51)/MAX(AG$46-AG$45,1)*(AG$4-AG$45))</f>
        <v/>
      </c>
      <c r="AH79" s="28">
        <f>IF(AH$4&lt;AH$45,0,AH51+(AH65-AH51)/MAX(AH$46-AH$45,1)*(AH$4-AH$45))</f>
        <v/>
      </c>
      <c r="AI79" s="28">
        <f>IF(AI$4&lt;AI$45,0,AI51+(AI65-AI51)/MAX(AI$46-AI$45,1)*(AI$4-AI$45))</f>
        <v/>
      </c>
      <c r="AJ79" s="28">
        <f>IF(AJ$4&lt;AJ$45,0,AJ51+(AJ65-AJ51)/MAX(AJ$46-AJ$45,1)*(AJ$4-AJ$45))</f>
        <v/>
      </c>
      <c r="AK79" s="28">
        <f>IF(AK$4&lt;AK$45,0,AK51+(AK65-AK51)/MAX(AK$46-AK$45,1)*(AK$4-AK$45))</f>
        <v/>
      </c>
      <c r="AL79" s="28">
        <f>IF(AL$4&lt;AL$45,0,AL51+(AL65-AL51)/MAX(AL$46-AL$45,1)*(AL$4-AL$45))</f>
        <v/>
      </c>
      <c r="AM79" s="28">
        <f>IF(AM$4&lt;AM$45,0,AM51+(AM65-AM51)/MAX(AM$46-AM$45,1)*(AM$4-AM$45))</f>
        <v/>
      </c>
      <c r="AN79" s="28">
        <f>IF(AN$4&lt;AN$45,0,AN51+(AN65-AN51)/MAX(AN$46-AN$45,1)*(AN$4-AN$45))</f>
        <v/>
      </c>
    </row>
    <row r="80" hidden="1" outlineLevel="1">
      <c r="A80" s="7" t="inlineStr">
        <is>
          <t>fpr</t>
        </is>
      </c>
      <c r="B80" s="7" t="inlineStr">
        <is>
          <t>nga</t>
        </is>
      </c>
      <c r="C80" s="7" t="inlineStr">
        <is>
          <t>ind</t>
        </is>
      </c>
      <c r="H80" s="7">
        <f>INDEX(Variables!$B$5:$B$65,MATCH($A80,Variables!$A$5:$A$65,0))&amp;IF($C80="",""," | "&amp;INDEX(Mapping!$B$5:$B$25,MATCH($C80,Mapping!$A$5:$A$25,0))&amp;" | "&amp;INDEX(Mapping!$B$29:$B$38,MATCH($B80,Mapping!$A$29:$A$38,0)))</f>
        <v/>
      </c>
      <c r="I80" s="7">
        <f>INDEX(Variables!$C$5:$C$65,MATCH($A80,Variables!$A$5:$A$65,0))</f>
        <v/>
      </c>
      <c r="J80" s="7">
        <f>INDEX(Variables!$E$5:$E$65,MATCH($A80,Variables!$A$5:$A$65,0))</f>
        <v/>
      </c>
      <c r="K80" s="26">
        <f>LOWER(Settings!$C$4)&amp;".mit."&amp;$A80&amp;IF($C80="","","."&amp;$C80&amp;"."&amp;$B80)&amp;IF(INDEX(Variables!$D$5:$D$65,MATCH($A80,Variables!$A$5:$A$65,0))="","","."&amp;INDEX(Variables!$D$5:$D$65,MATCH($A80,Variables!$A$5:$A$65,0)))&amp;"."&amp;K$5</f>
        <v/>
      </c>
      <c r="L80" s="27">
        <f>IF(L$4&lt;L$45,0,L52+(L66-L52)/MAX(L$46-L$45,1)*(L$4-L$45))</f>
        <v/>
      </c>
      <c r="M80" s="28">
        <f>IF(M$4&lt;M$45,0,M52+(M66-M52)/MAX(M$46-M$45,1)*(M$4-M$45))</f>
        <v/>
      </c>
      <c r="N80" s="28">
        <f>IF(N$4&lt;N$45,0,N52+(N66-N52)/MAX(N$46-N$45,1)*(N$4-N$45))</f>
        <v/>
      </c>
      <c r="O80" s="28">
        <f>IF(O$4&lt;O$45,0,O52+(O66-O52)/MAX(O$46-O$45,1)*(O$4-O$45))</f>
        <v/>
      </c>
      <c r="P80" s="28">
        <f>IF(P$4&lt;P$45,0,P52+(P66-P52)/MAX(P$46-P$45,1)*(P$4-P$45))</f>
        <v/>
      </c>
      <c r="Q80" s="28">
        <f>IF(Q$4&lt;Q$45,0,Q52+(Q66-Q52)/MAX(Q$46-Q$45,1)*(Q$4-Q$45))</f>
        <v/>
      </c>
      <c r="R80" s="28">
        <f>IF(R$4&lt;R$45,0,R52+(R66-R52)/MAX(R$46-R$45,1)*(R$4-R$45))</f>
        <v/>
      </c>
      <c r="S80" s="28">
        <f>IF(S$4&lt;S$45,0,S52+(S66-S52)/MAX(S$46-S$45,1)*(S$4-S$45))</f>
        <v/>
      </c>
      <c r="T80" s="28">
        <f>IF(T$4&lt;T$45,0,T52+(T66-T52)/MAX(T$46-T$45,1)*(T$4-T$45))</f>
        <v/>
      </c>
      <c r="U80" s="28">
        <f>IF(U$4&lt;U$45,0,U52+(U66-U52)/MAX(U$46-U$45,1)*(U$4-U$45))</f>
        <v/>
      </c>
      <c r="V80" s="28">
        <f>IF(V$4&lt;V$45,0,V52+(V66-V52)/MAX(V$46-V$45,1)*(V$4-V$45))</f>
        <v/>
      </c>
      <c r="W80" s="28">
        <f>IF(W$4&lt;W$45,0,W52+(W66-W52)/MAX(W$46-W$45,1)*(W$4-W$45))</f>
        <v/>
      </c>
      <c r="X80" s="28">
        <f>IF(X$4&lt;X$45,0,X52+(X66-X52)/MAX(X$46-X$45,1)*(X$4-X$45))</f>
        <v/>
      </c>
      <c r="Y80" s="28">
        <f>IF(Y$4&lt;Y$45,0,Y52+(Y66-Y52)/MAX(Y$46-Y$45,1)*(Y$4-Y$45))</f>
        <v/>
      </c>
      <c r="Z80" s="26">
        <f>LOWER(Settings!$C$4)&amp;".mit."&amp;$A80&amp;IF($C80="","","."&amp;$C80&amp;"."&amp;$B80)&amp;IF(INDEX(Variables!$D$5:$D$65,MATCH($A80,Variables!$A$5:$A$65,0))="","","."&amp;INDEX(Variables!$D$5:$D$65,MATCH($A80,Variables!$A$5:$A$65,0)))&amp;"."&amp;Z$5</f>
        <v/>
      </c>
      <c r="AA80" s="27">
        <f>IF(AA$4&lt;AA$45,0,AA52+(AA66-AA52)/MAX(AA$46-AA$45,1)*(AA$4-AA$45))</f>
        <v/>
      </c>
      <c r="AB80" s="28">
        <f>IF(AB$4&lt;AB$45,0,AB52+(AB66-AB52)/MAX(AB$46-AB$45,1)*(AB$4-AB$45))</f>
        <v/>
      </c>
      <c r="AC80" s="28">
        <f>IF(AC$4&lt;AC$45,0,AC52+(AC66-AC52)/MAX(AC$46-AC$45,1)*(AC$4-AC$45))</f>
        <v/>
      </c>
      <c r="AD80" s="28">
        <f>IF(AD$4&lt;AD$45,0,AD52+(AD66-AD52)/MAX(AD$46-AD$45,1)*(AD$4-AD$45))</f>
        <v/>
      </c>
      <c r="AE80" s="28">
        <f>IF(AE$4&lt;AE$45,0,AE52+(AE66-AE52)/MAX(AE$46-AE$45,1)*(AE$4-AE$45))</f>
        <v/>
      </c>
      <c r="AF80" s="28">
        <f>IF(AF$4&lt;AF$45,0,AF52+(AF66-AF52)/MAX(AF$46-AF$45,1)*(AF$4-AF$45))</f>
        <v/>
      </c>
      <c r="AG80" s="28">
        <f>IF(AG$4&lt;AG$45,0,AG52+(AG66-AG52)/MAX(AG$46-AG$45,1)*(AG$4-AG$45))</f>
        <v/>
      </c>
      <c r="AH80" s="28">
        <f>IF(AH$4&lt;AH$45,0,AH52+(AH66-AH52)/MAX(AH$46-AH$45,1)*(AH$4-AH$45))</f>
        <v/>
      </c>
      <c r="AI80" s="28">
        <f>IF(AI$4&lt;AI$45,0,AI52+(AI66-AI52)/MAX(AI$46-AI$45,1)*(AI$4-AI$45))</f>
        <v/>
      </c>
      <c r="AJ80" s="28">
        <f>IF(AJ$4&lt;AJ$45,0,AJ52+(AJ66-AJ52)/MAX(AJ$46-AJ$45,1)*(AJ$4-AJ$45))</f>
        <v/>
      </c>
      <c r="AK80" s="28">
        <f>IF(AK$4&lt;AK$45,0,AK52+(AK66-AK52)/MAX(AK$46-AK$45,1)*(AK$4-AK$45))</f>
        <v/>
      </c>
      <c r="AL80" s="28">
        <f>IF(AL$4&lt;AL$45,0,AL52+(AL66-AL52)/MAX(AL$46-AL$45,1)*(AL$4-AL$45))</f>
        <v/>
      </c>
      <c r="AM80" s="28">
        <f>IF(AM$4&lt;AM$45,0,AM52+(AM66-AM52)/MAX(AM$46-AM$45,1)*(AM$4-AM$45))</f>
        <v/>
      </c>
      <c r="AN80" s="28">
        <f>IF(AN$4&lt;AN$45,0,AN52+(AN66-AN52)/MAX(AN$46-AN$45,1)*(AN$4-AN$45))</f>
        <v/>
      </c>
    </row>
    <row r="81" hidden="1" outlineLevel="1">
      <c r="A81" s="7" t="inlineStr">
        <is>
          <t>fpr</t>
        </is>
      </c>
      <c r="B81" s="7" t="inlineStr">
        <is>
          <t>ecy</t>
        </is>
      </c>
      <c r="C81" s="7" t="inlineStr">
        <is>
          <t>res</t>
        </is>
      </c>
      <c r="H81" s="7">
        <f>INDEX(Variables!$B$5:$B$65,MATCH($A81,Variables!$A$5:$A$65,0))&amp;IF($C81="",""," | "&amp;INDEX(Mapping!$B$5:$B$25,MATCH($C81,Mapping!$A$5:$A$25,0))&amp;" | "&amp;INDEX(Mapping!$B$29:$B$38,MATCH($B81,Mapping!$A$29:$A$38,0)))</f>
        <v/>
      </c>
      <c r="I81" s="7">
        <f>INDEX(Variables!$C$5:$C$65,MATCH($A81,Variables!$A$5:$A$65,0))</f>
        <v/>
      </c>
      <c r="J81" s="7">
        <f>INDEX(Variables!$E$5:$E$65,MATCH($A81,Variables!$A$5:$A$65,0))</f>
        <v/>
      </c>
      <c r="K81" s="26">
        <f>LOWER(Settings!$C$4)&amp;".mit."&amp;$A81&amp;IF($C81="","","."&amp;$C81&amp;"."&amp;$B81)&amp;IF(INDEX(Variables!$D$5:$D$65,MATCH($A81,Variables!$A$5:$A$65,0))="","","."&amp;INDEX(Variables!$D$5:$D$65,MATCH($A81,Variables!$A$5:$A$65,0)))&amp;"."&amp;K$5</f>
        <v/>
      </c>
      <c r="L81" s="27">
        <f>IF(L$4&lt;L$45,0,L53+(L67-L53)/MAX(L$46-L$45,1)*(L$4-L$45))</f>
        <v/>
      </c>
      <c r="M81" s="28">
        <f>IF(M$4&lt;M$45,0,M53+(M67-M53)/MAX(M$46-M$45,1)*(M$4-M$45))</f>
        <v/>
      </c>
      <c r="N81" s="28">
        <f>IF(N$4&lt;N$45,0,N53+(N67-N53)/MAX(N$46-N$45,1)*(N$4-N$45))</f>
        <v/>
      </c>
      <c r="O81" s="28">
        <f>IF(O$4&lt;O$45,0,O53+(O67-O53)/MAX(O$46-O$45,1)*(O$4-O$45))</f>
        <v/>
      </c>
      <c r="P81" s="28">
        <f>IF(P$4&lt;P$45,0,P53+(P67-P53)/MAX(P$46-P$45,1)*(P$4-P$45))</f>
        <v/>
      </c>
      <c r="Q81" s="28">
        <f>IF(Q$4&lt;Q$45,0,Q53+(Q67-Q53)/MAX(Q$46-Q$45,1)*(Q$4-Q$45))</f>
        <v/>
      </c>
      <c r="R81" s="28">
        <f>IF(R$4&lt;R$45,0,R53+(R67-R53)/MAX(R$46-R$45,1)*(R$4-R$45))</f>
        <v/>
      </c>
      <c r="S81" s="28">
        <f>IF(S$4&lt;S$45,0,S53+(S67-S53)/MAX(S$46-S$45,1)*(S$4-S$45))</f>
        <v/>
      </c>
      <c r="T81" s="28">
        <f>IF(T$4&lt;T$45,0,T53+(T67-T53)/MAX(T$46-T$45,1)*(T$4-T$45))</f>
        <v/>
      </c>
      <c r="U81" s="28">
        <f>IF(U$4&lt;U$45,0,U53+(U67-U53)/MAX(U$46-U$45,1)*(U$4-U$45))</f>
        <v/>
      </c>
      <c r="V81" s="28">
        <f>IF(V$4&lt;V$45,0,V53+(V67-V53)/MAX(V$46-V$45,1)*(V$4-V$45))</f>
        <v/>
      </c>
      <c r="W81" s="28">
        <f>IF(W$4&lt;W$45,0,W53+(W67-W53)/MAX(W$46-W$45,1)*(W$4-W$45))</f>
        <v/>
      </c>
      <c r="X81" s="28">
        <f>IF(X$4&lt;X$45,0,X53+(X67-X53)/MAX(X$46-X$45,1)*(X$4-X$45))</f>
        <v/>
      </c>
      <c r="Y81" s="28">
        <f>IF(Y$4&lt;Y$45,0,Y53+(Y67-Y53)/MAX(Y$46-Y$45,1)*(Y$4-Y$45))</f>
        <v/>
      </c>
      <c r="Z81" s="26">
        <f>LOWER(Settings!$C$4)&amp;".mit."&amp;$A81&amp;IF($C81="","","."&amp;$C81&amp;"."&amp;$B81)&amp;IF(INDEX(Variables!$D$5:$D$65,MATCH($A81,Variables!$A$5:$A$65,0))="","","."&amp;INDEX(Variables!$D$5:$D$65,MATCH($A81,Variables!$A$5:$A$65,0)))&amp;"."&amp;Z$5</f>
        <v/>
      </c>
      <c r="AA81" s="27">
        <f>IF(AA$4&lt;AA$45,0,AA53+(AA67-AA53)/MAX(AA$46-AA$45,1)*(AA$4-AA$45))</f>
        <v/>
      </c>
      <c r="AB81" s="28">
        <f>IF(AB$4&lt;AB$45,0,AB53+(AB67-AB53)/MAX(AB$46-AB$45,1)*(AB$4-AB$45))</f>
        <v/>
      </c>
      <c r="AC81" s="28">
        <f>IF(AC$4&lt;AC$45,0,AC53+(AC67-AC53)/MAX(AC$46-AC$45,1)*(AC$4-AC$45))</f>
        <v/>
      </c>
      <c r="AD81" s="28">
        <f>IF(AD$4&lt;AD$45,0,AD53+(AD67-AD53)/MAX(AD$46-AD$45,1)*(AD$4-AD$45))</f>
        <v/>
      </c>
      <c r="AE81" s="28">
        <f>IF(AE$4&lt;AE$45,0,AE53+(AE67-AE53)/MAX(AE$46-AE$45,1)*(AE$4-AE$45))</f>
        <v/>
      </c>
      <c r="AF81" s="28">
        <f>IF(AF$4&lt;AF$45,0,AF53+(AF67-AF53)/MAX(AF$46-AF$45,1)*(AF$4-AF$45))</f>
        <v/>
      </c>
      <c r="AG81" s="28">
        <f>IF(AG$4&lt;AG$45,0,AG53+(AG67-AG53)/MAX(AG$46-AG$45,1)*(AG$4-AG$45))</f>
        <v/>
      </c>
      <c r="AH81" s="28">
        <f>IF(AH$4&lt;AH$45,0,AH53+(AH67-AH53)/MAX(AH$46-AH$45,1)*(AH$4-AH$45))</f>
        <v/>
      </c>
      <c r="AI81" s="28">
        <f>IF(AI$4&lt;AI$45,0,AI53+(AI67-AI53)/MAX(AI$46-AI$45,1)*(AI$4-AI$45))</f>
        <v/>
      </c>
      <c r="AJ81" s="28">
        <f>IF(AJ$4&lt;AJ$45,0,AJ53+(AJ67-AJ53)/MAX(AJ$46-AJ$45,1)*(AJ$4-AJ$45))</f>
        <v/>
      </c>
      <c r="AK81" s="28">
        <f>IF(AK$4&lt;AK$45,0,AK53+(AK67-AK53)/MAX(AK$46-AK$45,1)*(AK$4-AK$45))</f>
        <v/>
      </c>
      <c r="AL81" s="28">
        <f>IF(AL$4&lt;AL$45,0,AL53+(AL67-AL53)/MAX(AL$46-AL$45,1)*(AL$4-AL$45))</f>
        <v/>
      </c>
      <c r="AM81" s="28">
        <f>IF(AM$4&lt;AM$45,0,AM53+(AM67-AM53)/MAX(AM$46-AM$45,1)*(AM$4-AM$45))</f>
        <v/>
      </c>
      <c r="AN81" s="28">
        <f>IF(AN$4&lt;AN$45,0,AN53+(AN67-AN53)/MAX(AN$46-AN$45,1)*(AN$4-AN$45))</f>
        <v/>
      </c>
    </row>
    <row r="82" hidden="1" outlineLevel="1">
      <c r="A82" s="7" t="inlineStr">
        <is>
          <t>fpr</t>
        </is>
      </c>
      <c r="B82" s="7" t="inlineStr">
        <is>
          <t>ecy</t>
        </is>
      </c>
      <c r="C82" s="7" t="inlineStr">
        <is>
          <t>ind</t>
        </is>
      </c>
      <c r="H82" s="7">
        <f>INDEX(Variables!$B$5:$B$65,MATCH($A82,Variables!$A$5:$A$65,0))&amp;IF($C82="",""," | "&amp;INDEX(Mapping!$B$5:$B$25,MATCH($C82,Mapping!$A$5:$A$25,0))&amp;" | "&amp;INDEX(Mapping!$B$29:$B$38,MATCH($B82,Mapping!$A$29:$A$38,0)))</f>
        <v/>
      </c>
      <c r="I82" s="7">
        <f>INDEX(Variables!$C$5:$C$65,MATCH($A82,Variables!$A$5:$A$65,0))</f>
        <v/>
      </c>
      <c r="J82" s="7">
        <f>INDEX(Variables!$E$5:$E$65,MATCH($A82,Variables!$A$5:$A$65,0))</f>
        <v/>
      </c>
      <c r="K82" s="26">
        <f>LOWER(Settings!$C$4)&amp;".mit."&amp;$A82&amp;IF($C82="","","."&amp;$C82&amp;"."&amp;$B82)&amp;IF(INDEX(Variables!$D$5:$D$65,MATCH($A82,Variables!$A$5:$A$65,0))="","","."&amp;INDEX(Variables!$D$5:$D$65,MATCH($A82,Variables!$A$5:$A$65,0)))&amp;"."&amp;K$5</f>
        <v/>
      </c>
      <c r="L82" s="27">
        <f>IF(L$4&lt;L$45,0,L54+(L68-L54)/MAX(L$46-L$45,1)*(L$4-L$45))</f>
        <v/>
      </c>
      <c r="M82" s="28">
        <f>IF(M$4&lt;M$45,0,M54+(M68-M54)/MAX(M$46-M$45,1)*(M$4-M$45))</f>
        <v/>
      </c>
      <c r="N82" s="28">
        <f>IF(N$4&lt;N$45,0,N54+(N68-N54)/MAX(N$46-N$45,1)*(N$4-N$45))</f>
        <v/>
      </c>
      <c r="O82" s="28">
        <f>IF(O$4&lt;O$45,0,O54+(O68-O54)/MAX(O$46-O$45,1)*(O$4-O$45))</f>
        <v/>
      </c>
      <c r="P82" s="28">
        <f>IF(P$4&lt;P$45,0,P54+(P68-P54)/MAX(P$46-P$45,1)*(P$4-P$45))</f>
        <v/>
      </c>
      <c r="Q82" s="28">
        <f>IF(Q$4&lt;Q$45,0,Q54+(Q68-Q54)/MAX(Q$46-Q$45,1)*(Q$4-Q$45))</f>
        <v/>
      </c>
      <c r="R82" s="28">
        <f>IF(R$4&lt;R$45,0,R54+(R68-R54)/MAX(R$46-R$45,1)*(R$4-R$45))</f>
        <v/>
      </c>
      <c r="S82" s="28">
        <f>IF(S$4&lt;S$45,0,S54+(S68-S54)/MAX(S$46-S$45,1)*(S$4-S$45))</f>
        <v/>
      </c>
      <c r="T82" s="28">
        <f>IF(T$4&lt;T$45,0,T54+(T68-T54)/MAX(T$46-T$45,1)*(T$4-T$45))</f>
        <v/>
      </c>
      <c r="U82" s="28">
        <f>IF(U$4&lt;U$45,0,U54+(U68-U54)/MAX(U$46-U$45,1)*(U$4-U$45))</f>
        <v/>
      </c>
      <c r="V82" s="28">
        <f>IF(V$4&lt;V$45,0,V54+(V68-V54)/MAX(V$46-V$45,1)*(V$4-V$45))</f>
        <v/>
      </c>
      <c r="W82" s="28">
        <f>IF(W$4&lt;W$45,0,W54+(W68-W54)/MAX(W$46-W$45,1)*(W$4-W$45))</f>
        <v/>
      </c>
      <c r="X82" s="28">
        <f>IF(X$4&lt;X$45,0,X54+(X68-X54)/MAX(X$46-X$45,1)*(X$4-X$45))</f>
        <v/>
      </c>
      <c r="Y82" s="28">
        <f>IF(Y$4&lt;Y$45,0,Y54+(Y68-Y54)/MAX(Y$46-Y$45,1)*(Y$4-Y$45))</f>
        <v/>
      </c>
      <c r="Z82" s="26">
        <f>LOWER(Settings!$C$4)&amp;".mit."&amp;$A82&amp;IF($C82="","","."&amp;$C82&amp;"."&amp;$B82)&amp;IF(INDEX(Variables!$D$5:$D$65,MATCH($A82,Variables!$A$5:$A$65,0))="","","."&amp;INDEX(Variables!$D$5:$D$65,MATCH($A82,Variables!$A$5:$A$65,0)))&amp;"."&amp;Z$5</f>
        <v/>
      </c>
      <c r="AA82" s="27">
        <f>IF(AA$4&lt;AA$45,0,AA54+(AA68-AA54)/MAX(AA$46-AA$45,1)*(AA$4-AA$45))</f>
        <v/>
      </c>
      <c r="AB82" s="28">
        <f>IF(AB$4&lt;AB$45,0,AB54+(AB68-AB54)/MAX(AB$46-AB$45,1)*(AB$4-AB$45))</f>
        <v/>
      </c>
      <c r="AC82" s="28">
        <f>IF(AC$4&lt;AC$45,0,AC54+(AC68-AC54)/MAX(AC$46-AC$45,1)*(AC$4-AC$45))</f>
        <v/>
      </c>
      <c r="AD82" s="28">
        <f>IF(AD$4&lt;AD$45,0,AD54+(AD68-AD54)/MAX(AD$46-AD$45,1)*(AD$4-AD$45))</f>
        <v/>
      </c>
      <c r="AE82" s="28">
        <f>IF(AE$4&lt;AE$45,0,AE54+(AE68-AE54)/MAX(AE$46-AE$45,1)*(AE$4-AE$45))</f>
        <v/>
      </c>
      <c r="AF82" s="28">
        <f>IF(AF$4&lt;AF$45,0,AF54+(AF68-AF54)/MAX(AF$46-AF$45,1)*(AF$4-AF$45))</f>
        <v/>
      </c>
      <c r="AG82" s="28">
        <f>IF(AG$4&lt;AG$45,0,AG54+(AG68-AG54)/MAX(AG$46-AG$45,1)*(AG$4-AG$45))</f>
        <v/>
      </c>
      <c r="AH82" s="28">
        <f>IF(AH$4&lt;AH$45,0,AH54+(AH68-AH54)/MAX(AH$46-AH$45,1)*(AH$4-AH$45))</f>
        <v/>
      </c>
      <c r="AI82" s="28">
        <f>IF(AI$4&lt;AI$45,0,AI54+(AI68-AI54)/MAX(AI$46-AI$45,1)*(AI$4-AI$45))</f>
        <v/>
      </c>
      <c r="AJ82" s="28">
        <f>IF(AJ$4&lt;AJ$45,0,AJ54+(AJ68-AJ54)/MAX(AJ$46-AJ$45,1)*(AJ$4-AJ$45))</f>
        <v/>
      </c>
      <c r="AK82" s="28">
        <f>IF(AK$4&lt;AK$45,0,AK54+(AK68-AK54)/MAX(AK$46-AK$45,1)*(AK$4-AK$45))</f>
        <v/>
      </c>
      <c r="AL82" s="28">
        <f>IF(AL$4&lt;AL$45,0,AL54+(AL68-AL54)/MAX(AL$46-AL$45,1)*(AL$4-AL$45))</f>
        <v/>
      </c>
      <c r="AM82" s="28">
        <f>IF(AM$4&lt;AM$45,0,AM54+(AM68-AM54)/MAX(AM$46-AM$45,1)*(AM$4-AM$45))</f>
        <v/>
      </c>
      <c r="AN82" s="28">
        <f>IF(AN$4&lt;AN$45,0,AN54+(AN68-AN54)/MAX(AN$46-AN$45,1)*(AN$4-AN$45))</f>
        <v/>
      </c>
    </row>
    <row r="83" hidden="1" outlineLevel="1">
      <c r="A83" s="7" t="inlineStr">
        <is>
          <t>fpr</t>
        </is>
      </c>
      <c r="B83" s="7" t="inlineStr">
        <is>
          <t>gso</t>
        </is>
      </c>
      <c r="C83" s="7" t="inlineStr">
        <is>
          <t>all</t>
        </is>
      </c>
      <c r="H83" s="7">
        <f>INDEX(Variables!$B$5:$B$65,MATCH($A83,Variables!$A$5:$A$65,0))&amp;IF($C83="",""," | "&amp;INDEX(Mapping!$B$5:$B$25,MATCH($C83,Mapping!$A$5:$A$25,0))&amp;" | "&amp;INDEX(Mapping!$B$29:$B$38,MATCH($B83,Mapping!$A$29:$A$38,0)))</f>
        <v/>
      </c>
      <c r="I83" s="7">
        <f>INDEX(Variables!$C$5:$C$65,MATCH($A83,Variables!$A$5:$A$65,0))</f>
        <v/>
      </c>
      <c r="J83" s="7">
        <f>INDEX(Variables!$E$5:$E$65,MATCH($A83,Variables!$A$5:$A$65,0))</f>
        <v/>
      </c>
      <c r="K83" s="26">
        <f>LOWER(Settings!$C$4)&amp;".mit."&amp;$A83&amp;IF($C83="","","."&amp;$C83&amp;"."&amp;$B83)&amp;IF(INDEX(Variables!$D$5:$D$65,MATCH($A83,Variables!$A$5:$A$65,0))="","","."&amp;INDEX(Variables!$D$5:$D$65,MATCH($A83,Variables!$A$5:$A$65,0)))&amp;"."&amp;K$5</f>
        <v/>
      </c>
      <c r="L83" s="27">
        <f>IF(L$4&lt;L$45,0,L55+(L69-L55)/MAX(L$46-L$45,1)*(L$4-L$45))</f>
        <v/>
      </c>
      <c r="M83" s="28">
        <f>IF(M$4&lt;M$45,0,M55+(M69-M55)/MAX(M$46-M$45,1)*(M$4-M$45))</f>
        <v/>
      </c>
      <c r="N83" s="28">
        <f>IF(N$4&lt;N$45,0,N55+(N69-N55)/MAX(N$46-N$45,1)*(N$4-N$45))</f>
        <v/>
      </c>
      <c r="O83" s="28">
        <f>IF(O$4&lt;O$45,0,O55+(O69-O55)/MAX(O$46-O$45,1)*(O$4-O$45))</f>
        <v/>
      </c>
      <c r="P83" s="28">
        <f>IF(P$4&lt;P$45,0,P55+(P69-P55)/MAX(P$46-P$45,1)*(P$4-P$45))</f>
        <v/>
      </c>
      <c r="Q83" s="28">
        <f>IF(Q$4&lt;Q$45,0,Q55+(Q69-Q55)/MAX(Q$46-Q$45,1)*(Q$4-Q$45))</f>
        <v/>
      </c>
      <c r="R83" s="28">
        <f>IF(R$4&lt;R$45,0,R55+(R69-R55)/MAX(R$46-R$45,1)*(R$4-R$45))</f>
        <v/>
      </c>
      <c r="S83" s="28">
        <f>IF(S$4&lt;S$45,0,S55+(S69-S55)/MAX(S$46-S$45,1)*(S$4-S$45))</f>
        <v/>
      </c>
      <c r="T83" s="28">
        <f>IF(T$4&lt;T$45,0,T55+(T69-T55)/MAX(T$46-T$45,1)*(T$4-T$45))</f>
        <v/>
      </c>
      <c r="U83" s="28">
        <f>IF(U$4&lt;U$45,0,U55+(U69-U55)/MAX(U$46-U$45,1)*(U$4-U$45))</f>
        <v/>
      </c>
      <c r="V83" s="28">
        <f>IF(V$4&lt;V$45,0,V55+(V69-V55)/MAX(V$46-V$45,1)*(V$4-V$45))</f>
        <v/>
      </c>
      <c r="W83" s="28">
        <f>IF(W$4&lt;W$45,0,W55+(W69-W55)/MAX(W$46-W$45,1)*(W$4-W$45))</f>
        <v/>
      </c>
      <c r="X83" s="28">
        <f>IF(X$4&lt;X$45,0,X55+(X69-X55)/MAX(X$46-X$45,1)*(X$4-X$45))</f>
        <v/>
      </c>
      <c r="Y83" s="28">
        <f>IF(Y$4&lt;Y$45,0,Y55+(Y69-Y55)/MAX(Y$46-Y$45,1)*(Y$4-Y$45))</f>
        <v/>
      </c>
      <c r="Z83" s="26">
        <f>LOWER(Settings!$C$4)&amp;".mit."&amp;$A83&amp;IF($C83="","","."&amp;$C83&amp;"."&amp;$B83)&amp;IF(INDEX(Variables!$D$5:$D$65,MATCH($A83,Variables!$A$5:$A$65,0))="","","."&amp;INDEX(Variables!$D$5:$D$65,MATCH($A83,Variables!$A$5:$A$65,0)))&amp;"."&amp;Z$5</f>
        <v/>
      </c>
      <c r="AA83" s="27">
        <f>IF(AA$4&lt;AA$45,0,AA55+(AA69-AA55)/MAX(AA$46-AA$45,1)*(AA$4-AA$45))</f>
        <v/>
      </c>
      <c r="AB83" s="28">
        <f>IF(AB$4&lt;AB$45,0,AB55+(AB69-AB55)/MAX(AB$46-AB$45,1)*(AB$4-AB$45))</f>
        <v/>
      </c>
      <c r="AC83" s="28">
        <f>IF(AC$4&lt;AC$45,0,AC55+(AC69-AC55)/MAX(AC$46-AC$45,1)*(AC$4-AC$45))</f>
        <v/>
      </c>
      <c r="AD83" s="28">
        <f>IF(AD$4&lt;AD$45,0,AD55+(AD69-AD55)/MAX(AD$46-AD$45,1)*(AD$4-AD$45))</f>
        <v/>
      </c>
      <c r="AE83" s="28">
        <f>IF(AE$4&lt;AE$45,0,AE55+(AE69-AE55)/MAX(AE$46-AE$45,1)*(AE$4-AE$45))</f>
        <v/>
      </c>
      <c r="AF83" s="28">
        <f>IF(AF$4&lt;AF$45,0,AF55+(AF69-AF55)/MAX(AF$46-AF$45,1)*(AF$4-AF$45))</f>
        <v/>
      </c>
      <c r="AG83" s="28">
        <f>IF(AG$4&lt;AG$45,0,AG55+(AG69-AG55)/MAX(AG$46-AG$45,1)*(AG$4-AG$45))</f>
        <v/>
      </c>
      <c r="AH83" s="28">
        <f>IF(AH$4&lt;AH$45,0,AH55+(AH69-AH55)/MAX(AH$46-AH$45,1)*(AH$4-AH$45))</f>
        <v/>
      </c>
      <c r="AI83" s="28">
        <f>IF(AI$4&lt;AI$45,0,AI55+(AI69-AI55)/MAX(AI$46-AI$45,1)*(AI$4-AI$45))</f>
        <v/>
      </c>
      <c r="AJ83" s="28">
        <f>IF(AJ$4&lt;AJ$45,0,AJ55+(AJ69-AJ55)/MAX(AJ$46-AJ$45,1)*(AJ$4-AJ$45))</f>
        <v/>
      </c>
      <c r="AK83" s="28">
        <f>IF(AK$4&lt;AK$45,0,AK55+(AK69-AK55)/MAX(AK$46-AK$45,1)*(AK$4-AK$45))</f>
        <v/>
      </c>
      <c r="AL83" s="28">
        <f>IF(AL$4&lt;AL$45,0,AL55+(AL69-AL55)/MAX(AL$46-AL$45,1)*(AL$4-AL$45))</f>
        <v/>
      </c>
      <c r="AM83" s="28">
        <f>IF(AM$4&lt;AM$45,0,AM55+(AM69-AM55)/MAX(AM$46-AM$45,1)*(AM$4-AM$45))</f>
        <v/>
      </c>
      <c r="AN83" s="28">
        <f>IF(AN$4&lt;AN$45,0,AN55+(AN69-AN55)/MAX(AN$46-AN$45,1)*(AN$4-AN$45))</f>
        <v/>
      </c>
    </row>
    <row r="84" hidden="1" outlineLevel="1">
      <c r="A84" s="7" t="inlineStr">
        <is>
          <t>fpr</t>
        </is>
      </c>
      <c r="B84" s="7" t="inlineStr">
        <is>
          <t>die</t>
        </is>
      </c>
      <c r="C84" s="7" t="inlineStr">
        <is>
          <t>all</t>
        </is>
      </c>
      <c r="H84" s="7">
        <f>INDEX(Variables!$B$5:$B$65,MATCH($A84,Variables!$A$5:$A$65,0))&amp;IF($C84="",""," | "&amp;INDEX(Mapping!$B$5:$B$25,MATCH($C84,Mapping!$A$5:$A$25,0))&amp;" | "&amp;INDEX(Mapping!$B$29:$B$38,MATCH($B84,Mapping!$A$29:$A$38,0)))</f>
        <v/>
      </c>
      <c r="I84" s="7">
        <f>INDEX(Variables!$C$5:$C$65,MATCH($A84,Variables!$A$5:$A$65,0))</f>
        <v/>
      </c>
      <c r="J84" s="7">
        <f>INDEX(Variables!$E$5:$E$65,MATCH($A84,Variables!$A$5:$A$65,0))</f>
        <v/>
      </c>
      <c r="K84" s="26">
        <f>LOWER(Settings!$C$4)&amp;".mit."&amp;$A84&amp;IF($C84="","","."&amp;$C84&amp;"."&amp;$B84)&amp;IF(INDEX(Variables!$D$5:$D$65,MATCH($A84,Variables!$A$5:$A$65,0))="","","."&amp;INDEX(Variables!$D$5:$D$65,MATCH($A84,Variables!$A$5:$A$65,0)))&amp;"."&amp;K$5</f>
        <v/>
      </c>
      <c r="L84" s="27">
        <f>IF(L$4&lt;L$45,0,L56+(L70-L56)/MAX(L$46-L$45,1)*(L$4-L$45))</f>
        <v/>
      </c>
      <c r="M84" s="28">
        <f>IF(M$4&lt;M$45,0,M56+(M70-M56)/MAX(M$46-M$45,1)*(M$4-M$45))</f>
        <v/>
      </c>
      <c r="N84" s="28">
        <f>IF(N$4&lt;N$45,0,N56+(N70-N56)/MAX(N$46-N$45,1)*(N$4-N$45))</f>
        <v/>
      </c>
      <c r="O84" s="28">
        <f>IF(O$4&lt;O$45,0,O56+(O70-O56)/MAX(O$46-O$45,1)*(O$4-O$45))</f>
        <v/>
      </c>
      <c r="P84" s="28">
        <f>IF(P$4&lt;P$45,0,P56+(P70-P56)/MAX(P$46-P$45,1)*(P$4-P$45))</f>
        <v/>
      </c>
      <c r="Q84" s="28">
        <f>IF(Q$4&lt;Q$45,0,Q56+(Q70-Q56)/MAX(Q$46-Q$45,1)*(Q$4-Q$45))</f>
        <v/>
      </c>
      <c r="R84" s="28">
        <f>IF(R$4&lt;R$45,0,R56+(R70-R56)/MAX(R$46-R$45,1)*(R$4-R$45))</f>
        <v/>
      </c>
      <c r="S84" s="28">
        <f>IF(S$4&lt;S$45,0,S56+(S70-S56)/MAX(S$46-S$45,1)*(S$4-S$45))</f>
        <v/>
      </c>
      <c r="T84" s="28">
        <f>IF(T$4&lt;T$45,0,T56+(T70-T56)/MAX(T$46-T$45,1)*(T$4-T$45))</f>
        <v/>
      </c>
      <c r="U84" s="28">
        <f>IF(U$4&lt;U$45,0,U56+(U70-U56)/MAX(U$46-U$45,1)*(U$4-U$45))</f>
        <v/>
      </c>
      <c r="V84" s="28">
        <f>IF(V$4&lt;V$45,0,V56+(V70-V56)/MAX(V$46-V$45,1)*(V$4-V$45))</f>
        <v/>
      </c>
      <c r="W84" s="28">
        <f>IF(W$4&lt;W$45,0,W56+(W70-W56)/MAX(W$46-W$45,1)*(W$4-W$45))</f>
        <v/>
      </c>
      <c r="X84" s="28">
        <f>IF(X$4&lt;X$45,0,X56+(X70-X56)/MAX(X$46-X$45,1)*(X$4-X$45))</f>
        <v/>
      </c>
      <c r="Y84" s="28">
        <f>IF(Y$4&lt;Y$45,0,Y56+(Y70-Y56)/MAX(Y$46-Y$45,1)*(Y$4-Y$45))</f>
        <v/>
      </c>
      <c r="Z84" s="26">
        <f>LOWER(Settings!$C$4)&amp;".mit."&amp;$A84&amp;IF($C84="","","."&amp;$C84&amp;"."&amp;$B84)&amp;IF(INDEX(Variables!$D$5:$D$65,MATCH($A84,Variables!$A$5:$A$65,0))="","","."&amp;INDEX(Variables!$D$5:$D$65,MATCH($A84,Variables!$A$5:$A$65,0)))&amp;"."&amp;Z$5</f>
        <v/>
      </c>
      <c r="AA84" s="27">
        <f>IF(AA$4&lt;AA$45,0,AA56+(AA70-AA56)/MAX(AA$46-AA$45,1)*(AA$4-AA$45))</f>
        <v/>
      </c>
      <c r="AB84" s="28">
        <f>IF(AB$4&lt;AB$45,0,AB56+(AB70-AB56)/MAX(AB$46-AB$45,1)*(AB$4-AB$45))</f>
        <v/>
      </c>
      <c r="AC84" s="28">
        <f>IF(AC$4&lt;AC$45,0,AC56+(AC70-AC56)/MAX(AC$46-AC$45,1)*(AC$4-AC$45))</f>
        <v/>
      </c>
      <c r="AD84" s="28">
        <f>IF(AD$4&lt;AD$45,0,AD56+(AD70-AD56)/MAX(AD$46-AD$45,1)*(AD$4-AD$45))</f>
        <v/>
      </c>
      <c r="AE84" s="28">
        <f>IF(AE$4&lt;AE$45,0,AE56+(AE70-AE56)/MAX(AE$46-AE$45,1)*(AE$4-AE$45))</f>
        <v/>
      </c>
      <c r="AF84" s="28">
        <f>IF(AF$4&lt;AF$45,0,AF56+(AF70-AF56)/MAX(AF$46-AF$45,1)*(AF$4-AF$45))</f>
        <v/>
      </c>
      <c r="AG84" s="28">
        <f>IF(AG$4&lt;AG$45,0,AG56+(AG70-AG56)/MAX(AG$46-AG$45,1)*(AG$4-AG$45))</f>
        <v/>
      </c>
      <c r="AH84" s="28">
        <f>IF(AH$4&lt;AH$45,0,AH56+(AH70-AH56)/MAX(AH$46-AH$45,1)*(AH$4-AH$45))</f>
        <v/>
      </c>
      <c r="AI84" s="28">
        <f>IF(AI$4&lt;AI$45,0,AI56+(AI70-AI56)/MAX(AI$46-AI$45,1)*(AI$4-AI$45))</f>
        <v/>
      </c>
      <c r="AJ84" s="28">
        <f>IF(AJ$4&lt;AJ$45,0,AJ56+(AJ70-AJ56)/MAX(AJ$46-AJ$45,1)*(AJ$4-AJ$45))</f>
        <v/>
      </c>
      <c r="AK84" s="28">
        <f>IF(AK$4&lt;AK$45,0,AK56+(AK70-AK56)/MAX(AK$46-AK$45,1)*(AK$4-AK$45))</f>
        <v/>
      </c>
      <c r="AL84" s="28">
        <f>IF(AL$4&lt;AL$45,0,AL56+(AL70-AL56)/MAX(AL$46-AL$45,1)*(AL$4-AL$45))</f>
        <v/>
      </c>
      <c r="AM84" s="28">
        <f>IF(AM$4&lt;AM$45,0,AM56+(AM70-AM56)/MAX(AM$46-AM$45,1)*(AM$4-AM$45))</f>
        <v/>
      </c>
      <c r="AN84" s="28">
        <f>IF(AN$4&lt;AN$45,0,AN56+(AN70-AN56)/MAX(AN$46-AN$45,1)*(AN$4-AN$45))</f>
        <v/>
      </c>
    </row>
    <row r="85" hidden="1" outlineLevel="1">
      <c r="A85" s="7" t="inlineStr">
        <is>
          <t>fpr</t>
        </is>
      </c>
      <c r="B85" s="7" t="inlineStr">
        <is>
          <t>lpg</t>
        </is>
      </c>
      <c r="C85" s="7" t="inlineStr">
        <is>
          <t>all</t>
        </is>
      </c>
      <c r="H85" s="7">
        <f>INDEX(Variables!$B$5:$B$65,MATCH($A85,Variables!$A$5:$A$65,0))&amp;IF($C85="",""," | "&amp;INDEX(Mapping!$B$5:$B$25,MATCH($C85,Mapping!$A$5:$A$25,0))&amp;" | "&amp;INDEX(Mapping!$B$29:$B$38,MATCH($B85,Mapping!$A$29:$A$38,0)))</f>
        <v/>
      </c>
      <c r="I85" s="7">
        <f>INDEX(Variables!$C$5:$C$65,MATCH($A85,Variables!$A$5:$A$65,0))</f>
        <v/>
      </c>
      <c r="J85" s="7">
        <f>INDEX(Variables!$E$5:$E$65,MATCH($A85,Variables!$A$5:$A$65,0))</f>
        <v/>
      </c>
      <c r="K85" s="26">
        <f>LOWER(Settings!$C$4)&amp;".mit."&amp;$A85&amp;IF($C85="","","."&amp;$C85&amp;"."&amp;$B85)&amp;IF(INDEX(Variables!$D$5:$D$65,MATCH($A85,Variables!$A$5:$A$65,0))="","","."&amp;INDEX(Variables!$D$5:$D$65,MATCH($A85,Variables!$A$5:$A$65,0)))&amp;"."&amp;K$5</f>
        <v/>
      </c>
      <c r="L85" s="27">
        <f>IF(L$4&lt;L$45,0,L57+(L71-L57)/MAX(L$46-L$45,1)*(L$4-L$45))</f>
        <v/>
      </c>
      <c r="M85" s="28">
        <f>IF(M$4&lt;M$45,0,M57+(M71-M57)/MAX(M$46-M$45,1)*(M$4-M$45))</f>
        <v/>
      </c>
      <c r="N85" s="28">
        <f>IF(N$4&lt;N$45,0,N57+(N71-N57)/MAX(N$46-N$45,1)*(N$4-N$45))</f>
        <v/>
      </c>
      <c r="O85" s="28">
        <f>IF(O$4&lt;O$45,0,O57+(O71-O57)/MAX(O$46-O$45,1)*(O$4-O$45))</f>
        <v/>
      </c>
      <c r="P85" s="28">
        <f>IF(P$4&lt;P$45,0,P57+(P71-P57)/MAX(P$46-P$45,1)*(P$4-P$45))</f>
        <v/>
      </c>
      <c r="Q85" s="28">
        <f>IF(Q$4&lt;Q$45,0,Q57+(Q71-Q57)/MAX(Q$46-Q$45,1)*(Q$4-Q$45))</f>
        <v/>
      </c>
      <c r="R85" s="28">
        <f>IF(R$4&lt;R$45,0,R57+(R71-R57)/MAX(R$46-R$45,1)*(R$4-R$45))</f>
        <v/>
      </c>
      <c r="S85" s="28">
        <f>IF(S$4&lt;S$45,0,S57+(S71-S57)/MAX(S$46-S$45,1)*(S$4-S$45))</f>
        <v/>
      </c>
      <c r="T85" s="28">
        <f>IF(T$4&lt;T$45,0,T57+(T71-T57)/MAX(T$46-T$45,1)*(T$4-T$45))</f>
        <v/>
      </c>
      <c r="U85" s="28">
        <f>IF(U$4&lt;U$45,0,U57+(U71-U57)/MAX(U$46-U$45,1)*(U$4-U$45))</f>
        <v/>
      </c>
      <c r="V85" s="28">
        <f>IF(V$4&lt;V$45,0,V57+(V71-V57)/MAX(V$46-V$45,1)*(V$4-V$45))</f>
        <v/>
      </c>
      <c r="W85" s="28">
        <f>IF(W$4&lt;W$45,0,W57+(W71-W57)/MAX(W$46-W$45,1)*(W$4-W$45))</f>
        <v/>
      </c>
      <c r="X85" s="28">
        <f>IF(X$4&lt;X$45,0,X57+(X71-X57)/MAX(X$46-X$45,1)*(X$4-X$45))</f>
        <v/>
      </c>
      <c r="Y85" s="28">
        <f>IF(Y$4&lt;Y$45,0,Y57+(Y71-Y57)/MAX(Y$46-Y$45,1)*(Y$4-Y$45))</f>
        <v/>
      </c>
      <c r="Z85" s="26">
        <f>LOWER(Settings!$C$4)&amp;".mit."&amp;$A85&amp;IF($C85="","","."&amp;$C85&amp;"."&amp;$B85)&amp;IF(INDEX(Variables!$D$5:$D$65,MATCH($A85,Variables!$A$5:$A$65,0))="","","."&amp;INDEX(Variables!$D$5:$D$65,MATCH($A85,Variables!$A$5:$A$65,0)))&amp;"."&amp;Z$5</f>
        <v/>
      </c>
      <c r="AA85" s="27">
        <f>IF(AA$4&lt;AA$45,0,AA57+(AA71-AA57)/MAX(AA$46-AA$45,1)*(AA$4-AA$45))</f>
        <v/>
      </c>
      <c r="AB85" s="28">
        <f>IF(AB$4&lt;AB$45,0,AB57+(AB71-AB57)/MAX(AB$46-AB$45,1)*(AB$4-AB$45))</f>
        <v/>
      </c>
      <c r="AC85" s="28">
        <f>IF(AC$4&lt;AC$45,0,AC57+(AC71-AC57)/MAX(AC$46-AC$45,1)*(AC$4-AC$45))</f>
        <v/>
      </c>
      <c r="AD85" s="28">
        <f>IF(AD$4&lt;AD$45,0,AD57+(AD71-AD57)/MAX(AD$46-AD$45,1)*(AD$4-AD$45))</f>
        <v/>
      </c>
      <c r="AE85" s="28">
        <f>IF(AE$4&lt;AE$45,0,AE57+(AE71-AE57)/MAX(AE$46-AE$45,1)*(AE$4-AE$45))</f>
        <v/>
      </c>
      <c r="AF85" s="28">
        <f>IF(AF$4&lt;AF$45,0,AF57+(AF71-AF57)/MAX(AF$46-AF$45,1)*(AF$4-AF$45))</f>
        <v/>
      </c>
      <c r="AG85" s="28">
        <f>IF(AG$4&lt;AG$45,0,AG57+(AG71-AG57)/MAX(AG$46-AG$45,1)*(AG$4-AG$45))</f>
        <v/>
      </c>
      <c r="AH85" s="28">
        <f>IF(AH$4&lt;AH$45,0,AH57+(AH71-AH57)/MAX(AH$46-AH$45,1)*(AH$4-AH$45))</f>
        <v/>
      </c>
      <c r="AI85" s="28">
        <f>IF(AI$4&lt;AI$45,0,AI57+(AI71-AI57)/MAX(AI$46-AI$45,1)*(AI$4-AI$45))</f>
        <v/>
      </c>
      <c r="AJ85" s="28">
        <f>IF(AJ$4&lt;AJ$45,0,AJ57+(AJ71-AJ57)/MAX(AJ$46-AJ$45,1)*(AJ$4-AJ$45))</f>
        <v/>
      </c>
      <c r="AK85" s="28">
        <f>IF(AK$4&lt;AK$45,0,AK57+(AK71-AK57)/MAX(AK$46-AK$45,1)*(AK$4-AK$45))</f>
        <v/>
      </c>
      <c r="AL85" s="28">
        <f>IF(AL$4&lt;AL$45,0,AL57+(AL71-AL57)/MAX(AL$46-AL$45,1)*(AL$4-AL$45))</f>
        <v/>
      </c>
      <c r="AM85" s="28">
        <f>IF(AM$4&lt;AM$45,0,AM57+(AM71-AM57)/MAX(AM$46-AM$45,1)*(AM$4-AM$45))</f>
        <v/>
      </c>
      <c r="AN85" s="28">
        <f>IF(AN$4&lt;AN$45,0,AN57+(AN71-AN57)/MAX(AN$46-AN$45,1)*(AN$4-AN$45))</f>
        <v/>
      </c>
    </row>
    <row r="86" hidden="1" outlineLevel="1">
      <c r="A86" s="7" t="inlineStr">
        <is>
          <t>fpr</t>
        </is>
      </c>
      <c r="B86" s="7" t="inlineStr">
        <is>
          <t>ker</t>
        </is>
      </c>
      <c r="C86" s="7" t="inlineStr">
        <is>
          <t>all</t>
        </is>
      </c>
      <c r="H86" s="7">
        <f>INDEX(Variables!$B$5:$B$65,MATCH($A86,Variables!$A$5:$A$65,0))&amp;IF($C86="",""," | "&amp;INDEX(Mapping!$B$5:$B$25,MATCH($C86,Mapping!$A$5:$A$25,0))&amp;" | "&amp;INDEX(Mapping!$B$29:$B$38,MATCH($B86,Mapping!$A$29:$A$38,0)))</f>
        <v/>
      </c>
      <c r="I86" s="7">
        <f>INDEX(Variables!$C$5:$C$65,MATCH($A86,Variables!$A$5:$A$65,0))</f>
        <v/>
      </c>
      <c r="J86" s="7">
        <f>INDEX(Variables!$E$5:$E$65,MATCH($A86,Variables!$A$5:$A$65,0))</f>
        <v/>
      </c>
      <c r="K86" s="26">
        <f>LOWER(Settings!$C$4)&amp;".mit."&amp;$A86&amp;IF($C86="","","."&amp;$C86&amp;"."&amp;$B86)&amp;IF(INDEX(Variables!$D$5:$D$65,MATCH($A86,Variables!$A$5:$A$65,0))="","","."&amp;INDEX(Variables!$D$5:$D$65,MATCH($A86,Variables!$A$5:$A$65,0)))&amp;"."&amp;K$5</f>
        <v/>
      </c>
      <c r="L86" s="27">
        <f>IF(L$4&lt;L$45,0,L58+(L72-L58)/MAX(L$46-L$45,1)*(L$4-L$45))</f>
        <v/>
      </c>
      <c r="M86" s="28">
        <f>IF(M$4&lt;M$45,0,M58+(M72-M58)/MAX(M$46-M$45,1)*(M$4-M$45))</f>
        <v/>
      </c>
      <c r="N86" s="28">
        <f>IF(N$4&lt;N$45,0,N58+(N72-N58)/MAX(N$46-N$45,1)*(N$4-N$45))</f>
        <v/>
      </c>
      <c r="O86" s="28">
        <f>IF(O$4&lt;O$45,0,O58+(O72-O58)/MAX(O$46-O$45,1)*(O$4-O$45))</f>
        <v/>
      </c>
      <c r="P86" s="28">
        <f>IF(P$4&lt;P$45,0,P58+(P72-P58)/MAX(P$46-P$45,1)*(P$4-P$45))</f>
        <v/>
      </c>
      <c r="Q86" s="28">
        <f>IF(Q$4&lt;Q$45,0,Q58+(Q72-Q58)/MAX(Q$46-Q$45,1)*(Q$4-Q$45))</f>
        <v/>
      </c>
      <c r="R86" s="28">
        <f>IF(R$4&lt;R$45,0,R58+(R72-R58)/MAX(R$46-R$45,1)*(R$4-R$45))</f>
        <v/>
      </c>
      <c r="S86" s="28">
        <f>IF(S$4&lt;S$45,0,S58+(S72-S58)/MAX(S$46-S$45,1)*(S$4-S$45))</f>
        <v/>
      </c>
      <c r="T86" s="28">
        <f>IF(T$4&lt;T$45,0,T58+(T72-T58)/MAX(T$46-T$45,1)*(T$4-T$45))</f>
        <v/>
      </c>
      <c r="U86" s="28">
        <f>IF(U$4&lt;U$45,0,U58+(U72-U58)/MAX(U$46-U$45,1)*(U$4-U$45))</f>
        <v/>
      </c>
      <c r="V86" s="28">
        <f>IF(V$4&lt;V$45,0,V58+(V72-V58)/MAX(V$46-V$45,1)*(V$4-V$45))</f>
        <v/>
      </c>
      <c r="W86" s="28">
        <f>IF(W$4&lt;W$45,0,W58+(W72-W58)/MAX(W$46-W$45,1)*(W$4-W$45))</f>
        <v/>
      </c>
      <c r="X86" s="28">
        <f>IF(X$4&lt;X$45,0,X58+(X72-X58)/MAX(X$46-X$45,1)*(X$4-X$45))</f>
        <v/>
      </c>
      <c r="Y86" s="28">
        <f>IF(Y$4&lt;Y$45,0,Y58+(Y72-Y58)/MAX(Y$46-Y$45,1)*(Y$4-Y$45))</f>
        <v/>
      </c>
      <c r="Z86" s="26">
        <f>LOWER(Settings!$C$4)&amp;".mit."&amp;$A86&amp;IF($C86="","","."&amp;$C86&amp;"."&amp;$B86)&amp;IF(INDEX(Variables!$D$5:$D$65,MATCH($A86,Variables!$A$5:$A$65,0))="","","."&amp;INDEX(Variables!$D$5:$D$65,MATCH($A86,Variables!$A$5:$A$65,0)))&amp;"."&amp;Z$5</f>
        <v/>
      </c>
      <c r="AA86" s="27">
        <f>IF(AA$4&lt;AA$45,0,AA58+(AA72-AA58)/MAX(AA$46-AA$45,1)*(AA$4-AA$45))</f>
        <v/>
      </c>
      <c r="AB86" s="28">
        <f>IF(AB$4&lt;AB$45,0,AB58+(AB72-AB58)/MAX(AB$46-AB$45,1)*(AB$4-AB$45))</f>
        <v/>
      </c>
      <c r="AC86" s="28">
        <f>IF(AC$4&lt;AC$45,0,AC58+(AC72-AC58)/MAX(AC$46-AC$45,1)*(AC$4-AC$45))</f>
        <v/>
      </c>
      <c r="AD86" s="28">
        <f>IF(AD$4&lt;AD$45,0,AD58+(AD72-AD58)/MAX(AD$46-AD$45,1)*(AD$4-AD$45))</f>
        <v/>
      </c>
      <c r="AE86" s="28">
        <f>IF(AE$4&lt;AE$45,0,AE58+(AE72-AE58)/MAX(AE$46-AE$45,1)*(AE$4-AE$45))</f>
        <v/>
      </c>
      <c r="AF86" s="28">
        <f>IF(AF$4&lt;AF$45,0,AF58+(AF72-AF58)/MAX(AF$46-AF$45,1)*(AF$4-AF$45))</f>
        <v/>
      </c>
      <c r="AG86" s="28">
        <f>IF(AG$4&lt;AG$45,0,AG58+(AG72-AG58)/MAX(AG$46-AG$45,1)*(AG$4-AG$45))</f>
        <v/>
      </c>
      <c r="AH86" s="28">
        <f>IF(AH$4&lt;AH$45,0,AH58+(AH72-AH58)/MAX(AH$46-AH$45,1)*(AH$4-AH$45))</f>
        <v/>
      </c>
      <c r="AI86" s="28">
        <f>IF(AI$4&lt;AI$45,0,AI58+(AI72-AI58)/MAX(AI$46-AI$45,1)*(AI$4-AI$45))</f>
        <v/>
      </c>
      <c r="AJ86" s="28">
        <f>IF(AJ$4&lt;AJ$45,0,AJ58+(AJ72-AJ58)/MAX(AJ$46-AJ$45,1)*(AJ$4-AJ$45))</f>
        <v/>
      </c>
      <c r="AK86" s="28">
        <f>IF(AK$4&lt;AK$45,0,AK58+(AK72-AK58)/MAX(AK$46-AK$45,1)*(AK$4-AK$45))</f>
        <v/>
      </c>
      <c r="AL86" s="28">
        <f>IF(AL$4&lt;AL$45,0,AL58+(AL72-AL58)/MAX(AL$46-AL$45,1)*(AL$4-AL$45))</f>
        <v/>
      </c>
      <c r="AM86" s="28">
        <f>IF(AM$4&lt;AM$45,0,AM58+(AM72-AM58)/MAX(AM$46-AM$45,1)*(AM$4-AM$45))</f>
        <v/>
      </c>
      <c r="AN86" s="28">
        <f>IF(AN$4&lt;AN$45,0,AN58+(AN72-AN58)/MAX(AN$46-AN$45,1)*(AN$4-AN$45))</f>
        <v/>
      </c>
    </row>
    <row r="87" hidden="1" outlineLevel="1">
      <c r="A87" s="7" t="inlineStr">
        <is>
          <t>fpr</t>
        </is>
      </c>
      <c r="B87" s="7" t="inlineStr">
        <is>
          <t>oop</t>
        </is>
      </c>
      <c r="C87" s="7" t="inlineStr">
        <is>
          <t>all</t>
        </is>
      </c>
      <c r="H87" s="7">
        <f>INDEX(Variables!$B$5:$B$65,MATCH($A87,Variables!$A$5:$A$65,0))&amp;IF($C87="",""," | "&amp;INDEX(Mapping!$B$5:$B$25,MATCH($C87,Mapping!$A$5:$A$25,0))&amp;" | "&amp;INDEX(Mapping!$B$29:$B$38,MATCH($B87,Mapping!$A$29:$A$38,0)))</f>
        <v/>
      </c>
      <c r="I87" s="7">
        <f>INDEX(Variables!$C$5:$C$65,MATCH($A87,Variables!$A$5:$A$65,0))</f>
        <v/>
      </c>
      <c r="J87" s="7">
        <f>INDEX(Variables!$E$5:$E$65,MATCH($A87,Variables!$A$5:$A$65,0))</f>
        <v/>
      </c>
      <c r="K87" s="26">
        <f>LOWER(Settings!$C$4)&amp;".mit."&amp;$A87&amp;IF($C87="","","."&amp;$C87&amp;"."&amp;$B87)&amp;IF(INDEX(Variables!$D$5:$D$65,MATCH($A87,Variables!$A$5:$A$65,0))="","","."&amp;INDEX(Variables!$D$5:$D$65,MATCH($A87,Variables!$A$5:$A$65,0)))&amp;"."&amp;K$5</f>
        <v/>
      </c>
      <c r="L87" s="27">
        <f>IF(L$4&lt;L$45,0,L59+(L73-L59)/MAX(L$46-L$45,1)*(L$4-L$45))</f>
        <v/>
      </c>
      <c r="M87" s="28">
        <f>IF(M$4&lt;M$45,0,M59+(M73-M59)/MAX(M$46-M$45,1)*(M$4-M$45))</f>
        <v/>
      </c>
      <c r="N87" s="28">
        <f>IF(N$4&lt;N$45,0,N59+(N73-N59)/MAX(N$46-N$45,1)*(N$4-N$45))</f>
        <v/>
      </c>
      <c r="O87" s="28">
        <f>IF(O$4&lt;O$45,0,O59+(O73-O59)/MAX(O$46-O$45,1)*(O$4-O$45))</f>
        <v/>
      </c>
      <c r="P87" s="28">
        <f>IF(P$4&lt;P$45,0,P59+(P73-P59)/MAX(P$46-P$45,1)*(P$4-P$45))</f>
        <v/>
      </c>
      <c r="Q87" s="28">
        <f>IF(Q$4&lt;Q$45,0,Q59+(Q73-Q59)/MAX(Q$46-Q$45,1)*(Q$4-Q$45))</f>
        <v/>
      </c>
      <c r="R87" s="28">
        <f>IF(R$4&lt;R$45,0,R59+(R73-R59)/MAX(R$46-R$45,1)*(R$4-R$45))</f>
        <v/>
      </c>
      <c r="S87" s="28">
        <f>IF(S$4&lt;S$45,0,S59+(S73-S59)/MAX(S$46-S$45,1)*(S$4-S$45))</f>
        <v/>
      </c>
      <c r="T87" s="28">
        <f>IF(T$4&lt;T$45,0,T59+(T73-T59)/MAX(T$46-T$45,1)*(T$4-T$45))</f>
        <v/>
      </c>
      <c r="U87" s="28">
        <f>IF(U$4&lt;U$45,0,U59+(U73-U59)/MAX(U$46-U$45,1)*(U$4-U$45))</f>
        <v/>
      </c>
      <c r="V87" s="28">
        <f>IF(V$4&lt;V$45,0,V59+(V73-V59)/MAX(V$46-V$45,1)*(V$4-V$45))</f>
        <v/>
      </c>
      <c r="W87" s="28">
        <f>IF(W$4&lt;W$45,0,W59+(W73-W59)/MAX(W$46-W$45,1)*(W$4-W$45))</f>
        <v/>
      </c>
      <c r="X87" s="28">
        <f>IF(X$4&lt;X$45,0,X59+(X73-X59)/MAX(X$46-X$45,1)*(X$4-X$45))</f>
        <v/>
      </c>
      <c r="Y87" s="28">
        <f>IF(Y$4&lt;Y$45,0,Y59+(Y73-Y59)/MAX(Y$46-Y$45,1)*(Y$4-Y$45))</f>
        <v/>
      </c>
      <c r="Z87" s="26">
        <f>LOWER(Settings!$C$4)&amp;".mit."&amp;$A87&amp;IF($C87="","","."&amp;$C87&amp;"."&amp;$B87)&amp;IF(INDEX(Variables!$D$5:$D$65,MATCH($A87,Variables!$A$5:$A$65,0))="","","."&amp;INDEX(Variables!$D$5:$D$65,MATCH($A87,Variables!$A$5:$A$65,0)))&amp;"."&amp;Z$5</f>
        <v/>
      </c>
      <c r="AA87" s="27">
        <f>IF(AA$4&lt;AA$45,0,AA59+(AA73-AA59)/MAX(AA$46-AA$45,1)*(AA$4-AA$45))</f>
        <v/>
      </c>
      <c r="AB87" s="28">
        <f>IF(AB$4&lt;AB$45,0,AB59+(AB73-AB59)/MAX(AB$46-AB$45,1)*(AB$4-AB$45))</f>
        <v/>
      </c>
      <c r="AC87" s="28">
        <f>IF(AC$4&lt;AC$45,0,AC59+(AC73-AC59)/MAX(AC$46-AC$45,1)*(AC$4-AC$45))</f>
        <v/>
      </c>
      <c r="AD87" s="28">
        <f>IF(AD$4&lt;AD$45,0,AD59+(AD73-AD59)/MAX(AD$46-AD$45,1)*(AD$4-AD$45))</f>
        <v/>
      </c>
      <c r="AE87" s="28">
        <f>IF(AE$4&lt;AE$45,0,AE59+(AE73-AE59)/MAX(AE$46-AE$45,1)*(AE$4-AE$45))</f>
        <v/>
      </c>
      <c r="AF87" s="28">
        <f>IF(AF$4&lt;AF$45,0,AF59+(AF73-AF59)/MAX(AF$46-AF$45,1)*(AF$4-AF$45))</f>
        <v/>
      </c>
      <c r="AG87" s="28">
        <f>IF(AG$4&lt;AG$45,0,AG59+(AG73-AG59)/MAX(AG$46-AG$45,1)*(AG$4-AG$45))</f>
        <v/>
      </c>
      <c r="AH87" s="28">
        <f>IF(AH$4&lt;AH$45,0,AH59+(AH73-AH59)/MAX(AH$46-AH$45,1)*(AH$4-AH$45))</f>
        <v/>
      </c>
      <c r="AI87" s="28">
        <f>IF(AI$4&lt;AI$45,0,AI59+(AI73-AI59)/MAX(AI$46-AI$45,1)*(AI$4-AI$45))</f>
        <v/>
      </c>
      <c r="AJ87" s="28">
        <f>IF(AJ$4&lt;AJ$45,0,AJ59+(AJ73-AJ59)/MAX(AJ$46-AJ$45,1)*(AJ$4-AJ$45))</f>
        <v/>
      </c>
      <c r="AK87" s="28">
        <f>IF(AK$4&lt;AK$45,0,AK59+(AK73-AK59)/MAX(AK$46-AK$45,1)*(AK$4-AK$45))</f>
        <v/>
      </c>
      <c r="AL87" s="28">
        <f>IF(AL$4&lt;AL$45,0,AL59+(AL73-AL59)/MAX(AL$46-AL$45,1)*(AL$4-AL$45))</f>
        <v/>
      </c>
      <c r="AM87" s="28">
        <f>IF(AM$4&lt;AM$45,0,AM59+(AM73-AM59)/MAX(AM$46-AM$45,1)*(AM$4-AM$45))</f>
        <v/>
      </c>
      <c r="AN87" s="28">
        <f>IF(AN$4&lt;AN$45,0,AN59+(AN73-AN59)/MAX(AN$46-AN$45,1)*(AN$4-AN$45))</f>
        <v/>
      </c>
    </row>
    <row r="88" hidden="1" outlineLevel="1">
      <c r="A88" s="7" t="inlineStr">
        <is>
          <t>fpr</t>
        </is>
      </c>
      <c r="B88" s="7" t="inlineStr">
        <is>
          <t>bio</t>
        </is>
      </c>
      <c r="C88" s="7" t="inlineStr">
        <is>
          <t>all</t>
        </is>
      </c>
      <c r="H88" s="7">
        <f>INDEX(Variables!$B$5:$B$65,MATCH($A88,Variables!$A$5:$A$65,0))&amp;IF($C88="",""," | "&amp;INDEX(Mapping!$B$5:$B$25,MATCH($C88,Mapping!$A$5:$A$25,0))&amp;" | "&amp;INDEX(Mapping!$B$29:$B$38,MATCH($B88,Mapping!$A$29:$A$38,0)))</f>
        <v/>
      </c>
      <c r="I88" s="7">
        <f>INDEX(Variables!$C$5:$C$65,MATCH($A88,Variables!$A$5:$A$65,0))</f>
        <v/>
      </c>
      <c r="J88" s="7">
        <f>INDEX(Variables!$E$5:$E$65,MATCH($A88,Variables!$A$5:$A$65,0))</f>
        <v/>
      </c>
      <c r="K88" s="26">
        <f>LOWER(Settings!$C$4)&amp;".mit."&amp;$A88&amp;IF($C88="","","."&amp;$C88&amp;"."&amp;$B88)&amp;IF(INDEX(Variables!$D$5:$D$65,MATCH($A88,Variables!$A$5:$A$65,0))="","","."&amp;INDEX(Variables!$D$5:$D$65,MATCH($A88,Variables!$A$5:$A$65,0)))&amp;"."&amp;K$5</f>
        <v/>
      </c>
      <c r="L88" s="27">
        <f>IF(L$4&lt;L$45,0,L60+(L74-L60)/MAX(L$46-L$45,1)*(L$4-L$45))</f>
        <v/>
      </c>
      <c r="M88" s="28">
        <f>IF(M$4&lt;M$45,0,M60+(M74-M60)/MAX(M$46-M$45,1)*(M$4-M$45))</f>
        <v/>
      </c>
      <c r="N88" s="28">
        <f>IF(N$4&lt;N$45,0,N60+(N74-N60)/MAX(N$46-N$45,1)*(N$4-N$45))</f>
        <v/>
      </c>
      <c r="O88" s="28">
        <f>IF(O$4&lt;O$45,0,O60+(O74-O60)/MAX(O$46-O$45,1)*(O$4-O$45))</f>
        <v/>
      </c>
      <c r="P88" s="28">
        <f>IF(P$4&lt;P$45,0,P60+(P74-P60)/MAX(P$46-P$45,1)*(P$4-P$45))</f>
        <v/>
      </c>
      <c r="Q88" s="28">
        <f>IF(Q$4&lt;Q$45,0,Q60+(Q74-Q60)/MAX(Q$46-Q$45,1)*(Q$4-Q$45))</f>
        <v/>
      </c>
      <c r="R88" s="28">
        <f>IF(R$4&lt;R$45,0,R60+(R74-R60)/MAX(R$46-R$45,1)*(R$4-R$45))</f>
        <v/>
      </c>
      <c r="S88" s="28">
        <f>IF(S$4&lt;S$45,0,S60+(S74-S60)/MAX(S$46-S$45,1)*(S$4-S$45))</f>
        <v/>
      </c>
      <c r="T88" s="28">
        <f>IF(T$4&lt;T$45,0,T60+(T74-T60)/MAX(T$46-T$45,1)*(T$4-T$45))</f>
        <v/>
      </c>
      <c r="U88" s="28">
        <f>IF(U$4&lt;U$45,0,U60+(U74-U60)/MAX(U$46-U$45,1)*(U$4-U$45))</f>
        <v/>
      </c>
      <c r="V88" s="28">
        <f>IF(V$4&lt;V$45,0,V60+(V74-V60)/MAX(V$46-V$45,1)*(V$4-V$45))</f>
        <v/>
      </c>
      <c r="W88" s="28">
        <f>IF(W$4&lt;W$45,0,W60+(W74-W60)/MAX(W$46-W$45,1)*(W$4-W$45))</f>
        <v/>
      </c>
      <c r="X88" s="28">
        <f>IF(X$4&lt;X$45,0,X60+(X74-X60)/MAX(X$46-X$45,1)*(X$4-X$45))</f>
        <v/>
      </c>
      <c r="Y88" s="28">
        <f>IF(Y$4&lt;Y$45,0,Y60+(Y74-Y60)/MAX(Y$46-Y$45,1)*(Y$4-Y$45))</f>
        <v/>
      </c>
      <c r="Z88" s="26">
        <f>LOWER(Settings!$C$4)&amp;".mit."&amp;$A88&amp;IF($C88="","","."&amp;$C88&amp;"."&amp;$B88)&amp;IF(INDEX(Variables!$D$5:$D$65,MATCH($A88,Variables!$A$5:$A$65,0))="","","."&amp;INDEX(Variables!$D$5:$D$65,MATCH($A88,Variables!$A$5:$A$65,0)))&amp;"."&amp;Z$5</f>
        <v/>
      </c>
      <c r="AA88" s="27">
        <f>IF(AA$4&lt;AA$45,0,AA60+(AA74-AA60)/MAX(AA$46-AA$45,1)*(AA$4-AA$45))</f>
        <v/>
      </c>
      <c r="AB88" s="28">
        <f>IF(AB$4&lt;AB$45,0,AB60+(AB74-AB60)/MAX(AB$46-AB$45,1)*(AB$4-AB$45))</f>
        <v/>
      </c>
      <c r="AC88" s="28">
        <f>IF(AC$4&lt;AC$45,0,AC60+(AC74-AC60)/MAX(AC$46-AC$45,1)*(AC$4-AC$45))</f>
        <v/>
      </c>
      <c r="AD88" s="28">
        <f>IF(AD$4&lt;AD$45,0,AD60+(AD74-AD60)/MAX(AD$46-AD$45,1)*(AD$4-AD$45))</f>
        <v/>
      </c>
      <c r="AE88" s="28">
        <f>IF(AE$4&lt;AE$45,0,AE60+(AE74-AE60)/MAX(AE$46-AE$45,1)*(AE$4-AE$45))</f>
        <v/>
      </c>
      <c r="AF88" s="28">
        <f>IF(AF$4&lt;AF$45,0,AF60+(AF74-AF60)/MAX(AF$46-AF$45,1)*(AF$4-AF$45))</f>
        <v/>
      </c>
      <c r="AG88" s="28">
        <f>IF(AG$4&lt;AG$45,0,AG60+(AG74-AG60)/MAX(AG$46-AG$45,1)*(AG$4-AG$45))</f>
        <v/>
      </c>
      <c r="AH88" s="28">
        <f>IF(AH$4&lt;AH$45,0,AH60+(AH74-AH60)/MAX(AH$46-AH$45,1)*(AH$4-AH$45))</f>
        <v/>
      </c>
      <c r="AI88" s="28">
        <f>IF(AI$4&lt;AI$45,0,AI60+(AI74-AI60)/MAX(AI$46-AI$45,1)*(AI$4-AI$45))</f>
        <v/>
      </c>
      <c r="AJ88" s="28">
        <f>IF(AJ$4&lt;AJ$45,0,AJ60+(AJ74-AJ60)/MAX(AJ$46-AJ$45,1)*(AJ$4-AJ$45))</f>
        <v/>
      </c>
      <c r="AK88" s="28">
        <f>IF(AK$4&lt;AK$45,0,AK60+(AK74-AK60)/MAX(AK$46-AK$45,1)*(AK$4-AK$45))</f>
        <v/>
      </c>
      <c r="AL88" s="28">
        <f>IF(AL$4&lt;AL$45,0,AL60+(AL74-AL60)/MAX(AL$46-AL$45,1)*(AL$4-AL$45))</f>
        <v/>
      </c>
      <c r="AM88" s="28">
        <f>IF(AM$4&lt;AM$45,0,AM60+(AM74-AM60)/MAX(AM$46-AM$45,1)*(AM$4-AM$45))</f>
        <v/>
      </c>
      <c r="AN88" s="28">
        <f>IF(AN$4&lt;AN$45,0,AN60+(AN74-AN60)/MAX(AN$46-AN$45,1)*(AN$4-AN$45))</f>
        <v/>
      </c>
    </row>
    <row r="89" hidden="1" outlineLevel="1">
      <c r="H89" s="29" t="inlineStr">
        <is>
          <t>Feebates (MTInputs rows 53-64; rates in USD/tCO2)</t>
        </is>
      </c>
    </row>
    <row r="90" hidden="1" outlineLevel="1">
      <c r="A90" s="5" t="inlineStr">
        <is>
          <t>fb.yr0</t>
        </is>
      </c>
      <c r="B90" s="5" t="inlineStr"/>
      <c r="C90" s="5" t="inlineStr"/>
      <c r="D90" s="6" t="n">
        <v>53</v>
      </c>
      <c r="H90" s="5">
        <f>INDEX(Variables!$B$5:$B$65,MATCH($A90,Variables!$A$5:$A$65,0))&amp;IF($C90="",""," | "&amp;INDEX(Mapping!$B$5:$B$25,MATCH($C90,Mapping!$A$5:$A$25,0))&amp;" | "&amp;INDEX(Mapping!$B$29:$B$38,MATCH($B90,Mapping!$A$29:$A$38,0)))</f>
        <v/>
      </c>
      <c r="I90" s="5">
        <f>INDEX(Variables!$C$5:$C$65,MATCH($A90,Variables!$A$5:$A$65,0))</f>
        <v/>
      </c>
      <c r="J90" s="5">
        <f>INDEX(Variables!$E$5:$E$65,MATCH($A90,Variables!$A$5:$A$65,0))</f>
        <v/>
      </c>
      <c r="K90" s="23">
        <f>LOWER(Settings!$C$4)&amp;".mit."&amp;$A90&amp;IF($C90="","","."&amp;$C90&amp;"."&amp;$B90)&amp;IF(INDEX(Variables!$D$5:$D$65,MATCH($A90,Variables!$A$5:$A$65,0))="","","."&amp;INDEX(Variables!$D$5:$D$65,MATCH($A90,Variables!$A$5:$A$65,0)))&amp;"."&amp;K$5</f>
        <v/>
      </c>
      <c r="L90" s="21">
        <f>INDEX(MTInputs!$J$1:$AZ$415,$D90,MATCH(L$5,MTInputs!$J$5:$AZ$5,0))</f>
        <v/>
      </c>
      <c r="M90" s="22">
        <f>INDEX(MTInputs!$J$1:$AZ$415,$D90,MATCH(M$5,MTInputs!$J$5:$AZ$5,0))</f>
        <v/>
      </c>
      <c r="N90" s="22">
        <f>INDEX(MTInputs!$J$1:$AZ$415,$D90,MATCH(N$5,MTInputs!$J$5:$AZ$5,0))</f>
        <v/>
      </c>
      <c r="O90" s="22">
        <f>INDEX(MTInputs!$J$1:$AZ$415,$D90,MATCH(O$5,MTInputs!$J$5:$AZ$5,0))</f>
        <v/>
      </c>
      <c r="P90" s="22">
        <f>INDEX(MTInputs!$J$1:$AZ$415,$D90,MATCH(P$5,MTInputs!$J$5:$AZ$5,0))</f>
        <v/>
      </c>
      <c r="Q90" s="22">
        <f>INDEX(MTInputs!$J$1:$AZ$415,$D90,MATCH(Q$5,MTInputs!$J$5:$AZ$5,0))</f>
        <v/>
      </c>
      <c r="R90" s="22">
        <f>INDEX(MTInputs!$J$1:$AZ$415,$D90,MATCH(R$5,MTInputs!$J$5:$AZ$5,0))</f>
        <v/>
      </c>
      <c r="S90" s="22">
        <f>INDEX(MTInputs!$J$1:$AZ$415,$D90,MATCH(S$5,MTInputs!$J$5:$AZ$5,0))</f>
        <v/>
      </c>
      <c r="T90" s="22">
        <f>INDEX(MTInputs!$J$1:$AZ$415,$D90,MATCH(T$5,MTInputs!$J$5:$AZ$5,0))</f>
        <v/>
      </c>
      <c r="U90" s="22">
        <f>INDEX(MTInputs!$J$1:$AZ$415,$D90,MATCH(U$5,MTInputs!$J$5:$AZ$5,0))</f>
        <v/>
      </c>
      <c r="V90" s="22">
        <f>INDEX(MTInputs!$J$1:$AZ$415,$D90,MATCH(V$5,MTInputs!$J$5:$AZ$5,0))</f>
        <v/>
      </c>
      <c r="W90" s="22">
        <f>INDEX(MTInputs!$J$1:$AZ$415,$D90,MATCH(W$5,MTInputs!$J$5:$AZ$5,0))</f>
        <v/>
      </c>
      <c r="X90" s="22">
        <f>INDEX(MTInputs!$J$1:$AZ$415,$D90,MATCH(X$5,MTInputs!$J$5:$AZ$5,0))</f>
        <v/>
      </c>
      <c r="Y90" s="22">
        <f>INDEX(MTInputs!$J$1:$AZ$415,$D90,MATCH(Y$5,MTInputs!$J$5:$AZ$5,0))</f>
        <v/>
      </c>
      <c r="Z90" s="23">
        <f>LOWER(Settings!$C$4)&amp;".mit."&amp;$A90&amp;IF($C90="","","."&amp;$C90&amp;"."&amp;$B90)&amp;IF(INDEX(Variables!$D$5:$D$65,MATCH($A90,Variables!$A$5:$A$65,0))="","","."&amp;INDEX(Variables!$D$5:$D$65,MATCH($A90,Variables!$A$5:$A$65,0)))&amp;"."&amp;Z$5</f>
        <v/>
      </c>
      <c r="AA90" s="21">
        <f>INDEX(MTInputs!$J$1:$AZ$415,$D90,MATCH(AA$5,MTInputs!$J$5:$AZ$5,0))</f>
        <v/>
      </c>
      <c r="AB90" s="22">
        <f>INDEX(MTInputs!$J$1:$AZ$415,$D90,MATCH(AB$5,MTInputs!$J$5:$AZ$5,0))</f>
        <v/>
      </c>
      <c r="AC90" s="22">
        <f>INDEX(MTInputs!$J$1:$AZ$415,$D90,MATCH(AC$5,MTInputs!$J$5:$AZ$5,0))</f>
        <v/>
      </c>
      <c r="AD90" s="22">
        <f>INDEX(MTInputs!$J$1:$AZ$415,$D90,MATCH(AD$5,MTInputs!$J$5:$AZ$5,0))</f>
        <v/>
      </c>
      <c r="AE90" s="22">
        <f>INDEX(MTInputs!$J$1:$AZ$415,$D90,MATCH(AE$5,MTInputs!$J$5:$AZ$5,0))</f>
        <v/>
      </c>
      <c r="AF90" s="22">
        <f>INDEX(MTInputs!$J$1:$AZ$415,$D90,MATCH(AF$5,MTInputs!$J$5:$AZ$5,0))</f>
        <v/>
      </c>
      <c r="AG90" s="22">
        <f>INDEX(MTInputs!$J$1:$AZ$415,$D90,MATCH(AG$5,MTInputs!$J$5:$AZ$5,0))</f>
        <v/>
      </c>
      <c r="AH90" s="22">
        <f>INDEX(MTInputs!$J$1:$AZ$415,$D90,MATCH(AH$5,MTInputs!$J$5:$AZ$5,0))</f>
        <v/>
      </c>
      <c r="AI90" s="22">
        <f>INDEX(MTInputs!$J$1:$AZ$415,$D90,MATCH(AI$5,MTInputs!$J$5:$AZ$5,0))</f>
        <v/>
      </c>
      <c r="AJ90" s="22">
        <f>INDEX(MTInputs!$J$1:$AZ$415,$D90,MATCH(AJ$5,MTInputs!$J$5:$AZ$5,0))</f>
        <v/>
      </c>
      <c r="AK90" s="22">
        <f>INDEX(MTInputs!$J$1:$AZ$415,$D90,MATCH(AK$5,MTInputs!$J$5:$AZ$5,0))</f>
        <v/>
      </c>
      <c r="AL90" s="22">
        <f>INDEX(MTInputs!$J$1:$AZ$415,$D90,MATCH(AL$5,MTInputs!$J$5:$AZ$5,0))</f>
        <v/>
      </c>
      <c r="AM90" s="22">
        <f>INDEX(MTInputs!$J$1:$AZ$415,$D90,MATCH(AM$5,MTInputs!$J$5:$AZ$5,0))</f>
        <v/>
      </c>
      <c r="AN90" s="22">
        <f>INDEX(MTInputs!$J$1:$AZ$415,$D90,MATCH(AN$5,MTInputs!$J$5:$AZ$5,0))</f>
        <v/>
      </c>
    </row>
    <row r="91" hidden="1" outlineLevel="1">
      <c r="A91" s="5" t="inlineStr">
        <is>
          <t>fb.yr1</t>
        </is>
      </c>
      <c r="B91" s="5" t="inlineStr"/>
      <c r="C91" s="5" t="inlineStr"/>
      <c r="D91" s="6" t="n">
        <v>54</v>
      </c>
      <c r="H91" s="5">
        <f>INDEX(Variables!$B$5:$B$65,MATCH($A91,Variables!$A$5:$A$65,0))&amp;IF($C91="",""," | "&amp;INDEX(Mapping!$B$5:$B$25,MATCH($C91,Mapping!$A$5:$A$25,0))&amp;" | "&amp;INDEX(Mapping!$B$29:$B$38,MATCH($B91,Mapping!$A$29:$A$38,0)))</f>
        <v/>
      </c>
      <c r="I91" s="5">
        <f>INDEX(Variables!$C$5:$C$65,MATCH($A91,Variables!$A$5:$A$65,0))</f>
        <v/>
      </c>
      <c r="J91" s="5">
        <f>INDEX(Variables!$E$5:$E$65,MATCH($A91,Variables!$A$5:$A$65,0))</f>
        <v/>
      </c>
      <c r="K91" s="23">
        <f>LOWER(Settings!$C$4)&amp;".mit."&amp;$A91&amp;IF($C91="","","."&amp;$C91&amp;"."&amp;$B91)&amp;IF(INDEX(Variables!$D$5:$D$65,MATCH($A91,Variables!$A$5:$A$65,0))="","","."&amp;INDEX(Variables!$D$5:$D$65,MATCH($A91,Variables!$A$5:$A$65,0)))&amp;"."&amp;K$5</f>
        <v/>
      </c>
      <c r="L91" s="21">
        <f>INDEX(MTInputs!$J$1:$AZ$415,$D91,MATCH(L$5,MTInputs!$J$5:$AZ$5,0))</f>
        <v/>
      </c>
      <c r="M91" s="22">
        <f>INDEX(MTInputs!$J$1:$AZ$415,$D91,MATCH(M$5,MTInputs!$J$5:$AZ$5,0))</f>
        <v/>
      </c>
      <c r="N91" s="22">
        <f>INDEX(MTInputs!$J$1:$AZ$415,$D91,MATCH(N$5,MTInputs!$J$5:$AZ$5,0))</f>
        <v/>
      </c>
      <c r="O91" s="22">
        <f>INDEX(MTInputs!$J$1:$AZ$415,$D91,MATCH(O$5,MTInputs!$J$5:$AZ$5,0))</f>
        <v/>
      </c>
      <c r="P91" s="22">
        <f>INDEX(MTInputs!$J$1:$AZ$415,$D91,MATCH(P$5,MTInputs!$J$5:$AZ$5,0))</f>
        <v/>
      </c>
      <c r="Q91" s="22">
        <f>INDEX(MTInputs!$J$1:$AZ$415,$D91,MATCH(Q$5,MTInputs!$J$5:$AZ$5,0))</f>
        <v/>
      </c>
      <c r="R91" s="22">
        <f>INDEX(MTInputs!$J$1:$AZ$415,$D91,MATCH(R$5,MTInputs!$J$5:$AZ$5,0))</f>
        <v/>
      </c>
      <c r="S91" s="22">
        <f>INDEX(MTInputs!$J$1:$AZ$415,$D91,MATCH(S$5,MTInputs!$J$5:$AZ$5,0))</f>
        <v/>
      </c>
      <c r="T91" s="22">
        <f>INDEX(MTInputs!$J$1:$AZ$415,$D91,MATCH(T$5,MTInputs!$J$5:$AZ$5,0))</f>
        <v/>
      </c>
      <c r="U91" s="22">
        <f>INDEX(MTInputs!$J$1:$AZ$415,$D91,MATCH(U$5,MTInputs!$J$5:$AZ$5,0))</f>
        <v/>
      </c>
      <c r="V91" s="22">
        <f>INDEX(MTInputs!$J$1:$AZ$415,$D91,MATCH(V$5,MTInputs!$J$5:$AZ$5,0))</f>
        <v/>
      </c>
      <c r="W91" s="22">
        <f>INDEX(MTInputs!$J$1:$AZ$415,$D91,MATCH(W$5,MTInputs!$J$5:$AZ$5,0))</f>
        <v/>
      </c>
      <c r="X91" s="22">
        <f>INDEX(MTInputs!$J$1:$AZ$415,$D91,MATCH(X$5,MTInputs!$J$5:$AZ$5,0))</f>
        <v/>
      </c>
      <c r="Y91" s="22">
        <f>INDEX(MTInputs!$J$1:$AZ$415,$D91,MATCH(Y$5,MTInputs!$J$5:$AZ$5,0))</f>
        <v/>
      </c>
      <c r="Z91" s="23">
        <f>LOWER(Settings!$C$4)&amp;".mit."&amp;$A91&amp;IF($C91="","","."&amp;$C91&amp;"."&amp;$B91)&amp;IF(INDEX(Variables!$D$5:$D$65,MATCH($A91,Variables!$A$5:$A$65,0))="","","."&amp;INDEX(Variables!$D$5:$D$65,MATCH($A91,Variables!$A$5:$A$65,0)))&amp;"."&amp;Z$5</f>
        <v/>
      </c>
      <c r="AA91" s="21">
        <f>INDEX(MTInputs!$J$1:$AZ$415,$D91,MATCH(AA$5,MTInputs!$J$5:$AZ$5,0))</f>
        <v/>
      </c>
      <c r="AB91" s="22">
        <f>INDEX(MTInputs!$J$1:$AZ$415,$D91,MATCH(AB$5,MTInputs!$J$5:$AZ$5,0))</f>
        <v/>
      </c>
      <c r="AC91" s="22">
        <f>INDEX(MTInputs!$J$1:$AZ$415,$D91,MATCH(AC$5,MTInputs!$J$5:$AZ$5,0))</f>
        <v/>
      </c>
      <c r="AD91" s="22">
        <f>INDEX(MTInputs!$J$1:$AZ$415,$D91,MATCH(AD$5,MTInputs!$J$5:$AZ$5,0))</f>
        <v/>
      </c>
      <c r="AE91" s="22">
        <f>INDEX(MTInputs!$J$1:$AZ$415,$D91,MATCH(AE$5,MTInputs!$J$5:$AZ$5,0))</f>
        <v/>
      </c>
      <c r="AF91" s="22">
        <f>INDEX(MTInputs!$J$1:$AZ$415,$D91,MATCH(AF$5,MTInputs!$J$5:$AZ$5,0))</f>
        <v/>
      </c>
      <c r="AG91" s="22">
        <f>INDEX(MTInputs!$J$1:$AZ$415,$D91,MATCH(AG$5,MTInputs!$J$5:$AZ$5,0))</f>
        <v/>
      </c>
      <c r="AH91" s="22">
        <f>INDEX(MTInputs!$J$1:$AZ$415,$D91,MATCH(AH$5,MTInputs!$J$5:$AZ$5,0))</f>
        <v/>
      </c>
      <c r="AI91" s="22">
        <f>INDEX(MTInputs!$J$1:$AZ$415,$D91,MATCH(AI$5,MTInputs!$J$5:$AZ$5,0))</f>
        <v/>
      </c>
      <c r="AJ91" s="22">
        <f>INDEX(MTInputs!$J$1:$AZ$415,$D91,MATCH(AJ$5,MTInputs!$J$5:$AZ$5,0))</f>
        <v/>
      </c>
      <c r="AK91" s="22">
        <f>INDEX(MTInputs!$J$1:$AZ$415,$D91,MATCH(AK$5,MTInputs!$J$5:$AZ$5,0))</f>
        <v/>
      </c>
      <c r="AL91" s="22">
        <f>INDEX(MTInputs!$J$1:$AZ$415,$D91,MATCH(AL$5,MTInputs!$J$5:$AZ$5,0))</f>
        <v/>
      </c>
      <c r="AM91" s="22">
        <f>INDEX(MTInputs!$J$1:$AZ$415,$D91,MATCH(AM$5,MTInputs!$J$5:$AZ$5,0))</f>
        <v/>
      </c>
      <c r="AN91" s="22">
        <f>INDEX(MTInputs!$J$1:$AZ$415,$D91,MATCH(AN$5,MTInputs!$J$5:$AZ$5,0))</f>
        <v/>
      </c>
    </row>
    <row r="92" hidden="1" outlineLevel="1">
      <c r="A92" s="5" t="inlineStr">
        <is>
          <t>fb.s</t>
        </is>
      </c>
      <c r="B92" s="5" t="inlineStr">
        <is>
          <t>all</t>
        </is>
      </c>
      <c r="C92" s="5" t="inlineStr">
        <is>
          <t>pow</t>
        </is>
      </c>
      <c r="D92" s="6" t="n">
        <v>56</v>
      </c>
      <c r="H92" s="5">
        <f>INDEX(Variables!$B$5:$B$65,MATCH($A92,Variables!$A$5:$A$65,0))&amp;IF($C92="",""," | "&amp;INDEX(Mapping!$B$5:$B$25,MATCH($C92,Mapping!$A$5:$A$25,0))&amp;" | "&amp;INDEX(Mapping!$B$29:$B$38,MATCH($B92,Mapping!$A$29:$A$38,0)))</f>
        <v/>
      </c>
      <c r="I92" s="5">
        <f>INDEX(Variables!$C$5:$C$65,MATCH($A92,Variables!$A$5:$A$65,0))</f>
        <v/>
      </c>
      <c r="J92" s="5">
        <f>INDEX(Variables!$E$5:$E$65,MATCH($A92,Variables!$A$5:$A$65,0))</f>
        <v/>
      </c>
      <c r="K92" s="23">
        <f>LOWER(Settings!$C$4)&amp;".mit."&amp;$A92&amp;IF($C92="","","."&amp;$C92&amp;"."&amp;$B92)&amp;IF(INDEX(Variables!$D$5:$D$65,MATCH($A92,Variables!$A$5:$A$65,0))="","","."&amp;INDEX(Variables!$D$5:$D$65,MATCH($A92,Variables!$A$5:$A$65,0)))&amp;"."&amp;K$5</f>
        <v/>
      </c>
      <c r="L92" s="30">
        <f>INDEX(MTInputs!$J$1:$AZ$415,$D92,MATCH(L$5,MTInputs!$J$5:$AZ$5,0))</f>
        <v/>
      </c>
      <c r="M92" s="31">
        <f>INDEX(MTInputs!$J$1:$AZ$415,$D92,MATCH(M$5,MTInputs!$J$5:$AZ$5,0))</f>
        <v/>
      </c>
      <c r="N92" s="31">
        <f>INDEX(MTInputs!$J$1:$AZ$415,$D92,MATCH(N$5,MTInputs!$J$5:$AZ$5,0))</f>
        <v/>
      </c>
      <c r="O92" s="31">
        <f>INDEX(MTInputs!$J$1:$AZ$415,$D92,MATCH(O$5,MTInputs!$J$5:$AZ$5,0))</f>
        <v/>
      </c>
      <c r="P92" s="31">
        <f>INDEX(MTInputs!$J$1:$AZ$415,$D92,MATCH(P$5,MTInputs!$J$5:$AZ$5,0))</f>
        <v/>
      </c>
      <c r="Q92" s="31">
        <f>INDEX(MTInputs!$J$1:$AZ$415,$D92,MATCH(Q$5,MTInputs!$J$5:$AZ$5,0))</f>
        <v/>
      </c>
      <c r="R92" s="31">
        <f>INDEX(MTInputs!$J$1:$AZ$415,$D92,MATCH(R$5,MTInputs!$J$5:$AZ$5,0))</f>
        <v/>
      </c>
      <c r="S92" s="31">
        <f>INDEX(MTInputs!$J$1:$AZ$415,$D92,MATCH(S$5,MTInputs!$J$5:$AZ$5,0))</f>
        <v/>
      </c>
      <c r="T92" s="31">
        <f>INDEX(MTInputs!$J$1:$AZ$415,$D92,MATCH(T$5,MTInputs!$J$5:$AZ$5,0))</f>
        <v/>
      </c>
      <c r="U92" s="31">
        <f>INDEX(MTInputs!$J$1:$AZ$415,$D92,MATCH(U$5,MTInputs!$J$5:$AZ$5,0))</f>
        <v/>
      </c>
      <c r="V92" s="31">
        <f>INDEX(MTInputs!$J$1:$AZ$415,$D92,MATCH(V$5,MTInputs!$J$5:$AZ$5,0))</f>
        <v/>
      </c>
      <c r="W92" s="31">
        <f>INDEX(MTInputs!$J$1:$AZ$415,$D92,MATCH(W$5,MTInputs!$J$5:$AZ$5,0))</f>
        <v/>
      </c>
      <c r="X92" s="31">
        <f>INDEX(MTInputs!$J$1:$AZ$415,$D92,MATCH(X$5,MTInputs!$J$5:$AZ$5,0))</f>
        <v/>
      </c>
      <c r="Y92" s="31">
        <f>INDEX(MTInputs!$J$1:$AZ$415,$D92,MATCH(Y$5,MTInputs!$J$5:$AZ$5,0))</f>
        <v/>
      </c>
      <c r="Z92" s="23">
        <f>LOWER(Settings!$C$4)&amp;".mit."&amp;$A92&amp;IF($C92="","","."&amp;$C92&amp;"."&amp;$B92)&amp;IF(INDEX(Variables!$D$5:$D$65,MATCH($A92,Variables!$A$5:$A$65,0))="","","."&amp;INDEX(Variables!$D$5:$D$65,MATCH($A92,Variables!$A$5:$A$65,0)))&amp;"."&amp;Z$5</f>
        <v/>
      </c>
      <c r="AA92" s="30">
        <f>INDEX(MTInputs!$J$1:$AZ$415,$D92,MATCH(AA$5,MTInputs!$J$5:$AZ$5,0))</f>
        <v/>
      </c>
      <c r="AB92" s="31">
        <f>INDEX(MTInputs!$J$1:$AZ$415,$D92,MATCH(AB$5,MTInputs!$J$5:$AZ$5,0))</f>
        <v/>
      </c>
      <c r="AC92" s="31">
        <f>INDEX(MTInputs!$J$1:$AZ$415,$D92,MATCH(AC$5,MTInputs!$J$5:$AZ$5,0))</f>
        <v/>
      </c>
      <c r="AD92" s="31">
        <f>INDEX(MTInputs!$J$1:$AZ$415,$D92,MATCH(AD$5,MTInputs!$J$5:$AZ$5,0))</f>
        <v/>
      </c>
      <c r="AE92" s="31">
        <f>INDEX(MTInputs!$J$1:$AZ$415,$D92,MATCH(AE$5,MTInputs!$J$5:$AZ$5,0))</f>
        <v/>
      </c>
      <c r="AF92" s="31">
        <f>INDEX(MTInputs!$J$1:$AZ$415,$D92,MATCH(AF$5,MTInputs!$J$5:$AZ$5,0))</f>
        <v/>
      </c>
      <c r="AG92" s="31">
        <f>INDEX(MTInputs!$J$1:$AZ$415,$D92,MATCH(AG$5,MTInputs!$J$5:$AZ$5,0))</f>
        <v/>
      </c>
      <c r="AH92" s="31">
        <f>INDEX(MTInputs!$J$1:$AZ$415,$D92,MATCH(AH$5,MTInputs!$J$5:$AZ$5,0))</f>
        <v/>
      </c>
      <c r="AI92" s="31">
        <f>INDEX(MTInputs!$J$1:$AZ$415,$D92,MATCH(AI$5,MTInputs!$J$5:$AZ$5,0))</f>
        <v/>
      </c>
      <c r="AJ92" s="31">
        <f>INDEX(MTInputs!$J$1:$AZ$415,$D92,MATCH(AJ$5,MTInputs!$J$5:$AZ$5,0))</f>
        <v/>
      </c>
      <c r="AK92" s="31">
        <f>INDEX(MTInputs!$J$1:$AZ$415,$D92,MATCH(AK$5,MTInputs!$J$5:$AZ$5,0))</f>
        <v/>
      </c>
      <c r="AL92" s="31">
        <f>INDEX(MTInputs!$J$1:$AZ$415,$D92,MATCH(AL$5,MTInputs!$J$5:$AZ$5,0))</f>
        <v/>
      </c>
      <c r="AM92" s="31">
        <f>INDEX(MTInputs!$J$1:$AZ$415,$D92,MATCH(AM$5,MTInputs!$J$5:$AZ$5,0))</f>
        <v/>
      </c>
      <c r="AN92" s="31">
        <f>INDEX(MTInputs!$J$1:$AZ$415,$D92,MATCH(AN$5,MTInputs!$J$5:$AZ$5,0))</f>
        <v/>
      </c>
    </row>
    <row r="93" hidden="1" outlineLevel="1">
      <c r="A93" s="5" t="inlineStr">
        <is>
          <t>fb.s</t>
        </is>
      </c>
      <c r="B93" s="5" t="inlineStr">
        <is>
          <t>all</t>
        </is>
      </c>
      <c r="C93" s="5" t="inlineStr">
        <is>
          <t>tra</t>
        </is>
      </c>
      <c r="D93" s="6" t="n">
        <v>57</v>
      </c>
      <c r="H93" s="5">
        <f>INDEX(Variables!$B$5:$B$65,MATCH($A93,Variables!$A$5:$A$65,0))&amp;IF($C93="",""," | "&amp;INDEX(Mapping!$B$5:$B$25,MATCH($C93,Mapping!$A$5:$A$25,0))&amp;" | "&amp;INDEX(Mapping!$B$29:$B$38,MATCH($B93,Mapping!$A$29:$A$38,0)))</f>
        <v/>
      </c>
      <c r="I93" s="5">
        <f>INDEX(Variables!$C$5:$C$65,MATCH($A93,Variables!$A$5:$A$65,0))</f>
        <v/>
      </c>
      <c r="J93" s="5">
        <f>INDEX(Variables!$E$5:$E$65,MATCH($A93,Variables!$A$5:$A$65,0))</f>
        <v/>
      </c>
      <c r="K93" s="23">
        <f>LOWER(Settings!$C$4)&amp;".mit."&amp;$A93&amp;IF($C93="","","."&amp;$C93&amp;"."&amp;$B93)&amp;IF(INDEX(Variables!$D$5:$D$65,MATCH($A93,Variables!$A$5:$A$65,0))="","","."&amp;INDEX(Variables!$D$5:$D$65,MATCH($A93,Variables!$A$5:$A$65,0)))&amp;"."&amp;K$5</f>
        <v/>
      </c>
      <c r="L93" s="30">
        <f>INDEX(MTInputs!$J$1:$AZ$415,$D93,MATCH(L$5,MTInputs!$J$5:$AZ$5,0))</f>
        <v/>
      </c>
      <c r="M93" s="31">
        <f>INDEX(MTInputs!$J$1:$AZ$415,$D93,MATCH(M$5,MTInputs!$J$5:$AZ$5,0))</f>
        <v/>
      </c>
      <c r="N93" s="31">
        <f>INDEX(MTInputs!$J$1:$AZ$415,$D93,MATCH(N$5,MTInputs!$J$5:$AZ$5,0))</f>
        <v/>
      </c>
      <c r="O93" s="31">
        <f>INDEX(MTInputs!$J$1:$AZ$415,$D93,MATCH(O$5,MTInputs!$J$5:$AZ$5,0))</f>
        <v/>
      </c>
      <c r="P93" s="31">
        <f>INDEX(MTInputs!$J$1:$AZ$415,$D93,MATCH(P$5,MTInputs!$J$5:$AZ$5,0))</f>
        <v/>
      </c>
      <c r="Q93" s="31">
        <f>INDEX(MTInputs!$J$1:$AZ$415,$D93,MATCH(Q$5,MTInputs!$J$5:$AZ$5,0))</f>
        <v/>
      </c>
      <c r="R93" s="31">
        <f>INDEX(MTInputs!$J$1:$AZ$415,$D93,MATCH(R$5,MTInputs!$J$5:$AZ$5,0))</f>
        <v/>
      </c>
      <c r="S93" s="31">
        <f>INDEX(MTInputs!$J$1:$AZ$415,$D93,MATCH(S$5,MTInputs!$J$5:$AZ$5,0))</f>
        <v/>
      </c>
      <c r="T93" s="31">
        <f>INDEX(MTInputs!$J$1:$AZ$415,$D93,MATCH(T$5,MTInputs!$J$5:$AZ$5,0))</f>
        <v/>
      </c>
      <c r="U93" s="31">
        <f>INDEX(MTInputs!$J$1:$AZ$415,$D93,MATCH(U$5,MTInputs!$J$5:$AZ$5,0))</f>
        <v/>
      </c>
      <c r="V93" s="31">
        <f>INDEX(MTInputs!$J$1:$AZ$415,$D93,MATCH(V$5,MTInputs!$J$5:$AZ$5,0))</f>
        <v/>
      </c>
      <c r="W93" s="31">
        <f>INDEX(MTInputs!$J$1:$AZ$415,$D93,MATCH(W$5,MTInputs!$J$5:$AZ$5,0))</f>
        <v/>
      </c>
      <c r="X93" s="31">
        <f>INDEX(MTInputs!$J$1:$AZ$415,$D93,MATCH(X$5,MTInputs!$J$5:$AZ$5,0))</f>
        <v/>
      </c>
      <c r="Y93" s="31">
        <f>INDEX(MTInputs!$J$1:$AZ$415,$D93,MATCH(Y$5,MTInputs!$J$5:$AZ$5,0))</f>
        <v/>
      </c>
      <c r="Z93" s="23">
        <f>LOWER(Settings!$C$4)&amp;".mit."&amp;$A93&amp;IF($C93="","","."&amp;$C93&amp;"."&amp;$B93)&amp;IF(INDEX(Variables!$D$5:$D$65,MATCH($A93,Variables!$A$5:$A$65,0))="","","."&amp;INDEX(Variables!$D$5:$D$65,MATCH($A93,Variables!$A$5:$A$65,0)))&amp;"."&amp;Z$5</f>
        <v/>
      </c>
      <c r="AA93" s="30">
        <f>INDEX(MTInputs!$J$1:$AZ$415,$D93,MATCH(AA$5,MTInputs!$J$5:$AZ$5,0))</f>
        <v/>
      </c>
      <c r="AB93" s="31">
        <f>INDEX(MTInputs!$J$1:$AZ$415,$D93,MATCH(AB$5,MTInputs!$J$5:$AZ$5,0))</f>
        <v/>
      </c>
      <c r="AC93" s="31">
        <f>INDEX(MTInputs!$J$1:$AZ$415,$D93,MATCH(AC$5,MTInputs!$J$5:$AZ$5,0))</f>
        <v/>
      </c>
      <c r="AD93" s="31">
        <f>INDEX(MTInputs!$J$1:$AZ$415,$D93,MATCH(AD$5,MTInputs!$J$5:$AZ$5,0))</f>
        <v/>
      </c>
      <c r="AE93" s="31">
        <f>INDEX(MTInputs!$J$1:$AZ$415,$D93,MATCH(AE$5,MTInputs!$J$5:$AZ$5,0))</f>
        <v/>
      </c>
      <c r="AF93" s="31">
        <f>INDEX(MTInputs!$J$1:$AZ$415,$D93,MATCH(AF$5,MTInputs!$J$5:$AZ$5,0))</f>
        <v/>
      </c>
      <c r="AG93" s="31">
        <f>INDEX(MTInputs!$J$1:$AZ$415,$D93,MATCH(AG$5,MTInputs!$J$5:$AZ$5,0))</f>
        <v/>
      </c>
      <c r="AH93" s="31">
        <f>INDEX(MTInputs!$J$1:$AZ$415,$D93,MATCH(AH$5,MTInputs!$J$5:$AZ$5,0))</f>
        <v/>
      </c>
      <c r="AI93" s="31">
        <f>INDEX(MTInputs!$J$1:$AZ$415,$D93,MATCH(AI$5,MTInputs!$J$5:$AZ$5,0))</f>
        <v/>
      </c>
      <c r="AJ93" s="31">
        <f>INDEX(MTInputs!$J$1:$AZ$415,$D93,MATCH(AJ$5,MTInputs!$J$5:$AZ$5,0))</f>
        <v/>
      </c>
      <c r="AK93" s="31">
        <f>INDEX(MTInputs!$J$1:$AZ$415,$D93,MATCH(AK$5,MTInputs!$J$5:$AZ$5,0))</f>
        <v/>
      </c>
      <c r="AL93" s="31">
        <f>INDEX(MTInputs!$J$1:$AZ$415,$D93,MATCH(AL$5,MTInputs!$J$5:$AZ$5,0))</f>
        <v/>
      </c>
      <c r="AM93" s="31">
        <f>INDEX(MTInputs!$J$1:$AZ$415,$D93,MATCH(AM$5,MTInputs!$J$5:$AZ$5,0))</f>
        <v/>
      </c>
      <c r="AN93" s="31">
        <f>INDEX(MTInputs!$J$1:$AZ$415,$D93,MATCH(AN$5,MTInputs!$J$5:$AZ$5,0))</f>
        <v/>
      </c>
    </row>
    <row r="94" hidden="1" outlineLevel="1">
      <c r="A94" s="5" t="inlineStr">
        <is>
          <t>fb.s</t>
        </is>
      </c>
      <c r="B94" s="5" t="inlineStr">
        <is>
          <t>all</t>
        </is>
      </c>
      <c r="C94" s="5" t="inlineStr">
        <is>
          <t>res</t>
        </is>
      </c>
      <c r="D94" s="6" t="n">
        <v>58</v>
      </c>
      <c r="H94" s="5">
        <f>INDEX(Variables!$B$5:$B$65,MATCH($A94,Variables!$A$5:$A$65,0))&amp;IF($C94="",""," | "&amp;INDEX(Mapping!$B$5:$B$25,MATCH($C94,Mapping!$A$5:$A$25,0))&amp;" | "&amp;INDEX(Mapping!$B$29:$B$38,MATCH($B94,Mapping!$A$29:$A$38,0)))</f>
        <v/>
      </c>
      <c r="I94" s="5">
        <f>INDEX(Variables!$C$5:$C$65,MATCH($A94,Variables!$A$5:$A$65,0))</f>
        <v/>
      </c>
      <c r="J94" s="5">
        <f>INDEX(Variables!$E$5:$E$65,MATCH($A94,Variables!$A$5:$A$65,0))</f>
        <v/>
      </c>
      <c r="K94" s="23">
        <f>LOWER(Settings!$C$4)&amp;".mit."&amp;$A94&amp;IF($C94="","","."&amp;$C94&amp;"."&amp;$B94)&amp;IF(INDEX(Variables!$D$5:$D$65,MATCH($A94,Variables!$A$5:$A$65,0))="","","."&amp;INDEX(Variables!$D$5:$D$65,MATCH($A94,Variables!$A$5:$A$65,0)))&amp;"."&amp;K$5</f>
        <v/>
      </c>
      <c r="L94" s="30">
        <f>INDEX(MTInputs!$J$1:$AZ$415,$D94,MATCH(L$5,MTInputs!$J$5:$AZ$5,0))</f>
        <v/>
      </c>
      <c r="M94" s="31">
        <f>INDEX(MTInputs!$J$1:$AZ$415,$D94,MATCH(M$5,MTInputs!$J$5:$AZ$5,0))</f>
        <v/>
      </c>
      <c r="N94" s="31">
        <f>INDEX(MTInputs!$J$1:$AZ$415,$D94,MATCH(N$5,MTInputs!$J$5:$AZ$5,0))</f>
        <v/>
      </c>
      <c r="O94" s="31">
        <f>INDEX(MTInputs!$J$1:$AZ$415,$D94,MATCH(O$5,MTInputs!$J$5:$AZ$5,0))</f>
        <v/>
      </c>
      <c r="P94" s="31">
        <f>INDEX(MTInputs!$J$1:$AZ$415,$D94,MATCH(P$5,MTInputs!$J$5:$AZ$5,0))</f>
        <v/>
      </c>
      <c r="Q94" s="31">
        <f>INDEX(MTInputs!$J$1:$AZ$415,$D94,MATCH(Q$5,MTInputs!$J$5:$AZ$5,0))</f>
        <v/>
      </c>
      <c r="R94" s="31">
        <f>INDEX(MTInputs!$J$1:$AZ$415,$D94,MATCH(R$5,MTInputs!$J$5:$AZ$5,0))</f>
        <v/>
      </c>
      <c r="S94" s="31">
        <f>INDEX(MTInputs!$J$1:$AZ$415,$D94,MATCH(S$5,MTInputs!$J$5:$AZ$5,0))</f>
        <v/>
      </c>
      <c r="T94" s="31">
        <f>INDEX(MTInputs!$J$1:$AZ$415,$D94,MATCH(T$5,MTInputs!$J$5:$AZ$5,0))</f>
        <v/>
      </c>
      <c r="U94" s="31">
        <f>INDEX(MTInputs!$J$1:$AZ$415,$D94,MATCH(U$5,MTInputs!$J$5:$AZ$5,0))</f>
        <v/>
      </c>
      <c r="V94" s="31">
        <f>INDEX(MTInputs!$J$1:$AZ$415,$D94,MATCH(V$5,MTInputs!$J$5:$AZ$5,0))</f>
        <v/>
      </c>
      <c r="W94" s="31">
        <f>INDEX(MTInputs!$J$1:$AZ$415,$D94,MATCH(W$5,MTInputs!$J$5:$AZ$5,0))</f>
        <v/>
      </c>
      <c r="X94" s="31">
        <f>INDEX(MTInputs!$J$1:$AZ$415,$D94,MATCH(X$5,MTInputs!$J$5:$AZ$5,0))</f>
        <v/>
      </c>
      <c r="Y94" s="31">
        <f>INDEX(MTInputs!$J$1:$AZ$415,$D94,MATCH(Y$5,MTInputs!$J$5:$AZ$5,0))</f>
        <v/>
      </c>
      <c r="Z94" s="23">
        <f>LOWER(Settings!$C$4)&amp;".mit."&amp;$A94&amp;IF($C94="","","."&amp;$C94&amp;"."&amp;$B94)&amp;IF(INDEX(Variables!$D$5:$D$65,MATCH($A94,Variables!$A$5:$A$65,0))="","","."&amp;INDEX(Variables!$D$5:$D$65,MATCH($A94,Variables!$A$5:$A$65,0)))&amp;"."&amp;Z$5</f>
        <v/>
      </c>
      <c r="AA94" s="30">
        <f>INDEX(MTInputs!$J$1:$AZ$415,$D94,MATCH(AA$5,MTInputs!$J$5:$AZ$5,0))</f>
        <v/>
      </c>
      <c r="AB94" s="31">
        <f>INDEX(MTInputs!$J$1:$AZ$415,$D94,MATCH(AB$5,MTInputs!$J$5:$AZ$5,0))</f>
        <v/>
      </c>
      <c r="AC94" s="31">
        <f>INDEX(MTInputs!$J$1:$AZ$415,$D94,MATCH(AC$5,MTInputs!$J$5:$AZ$5,0))</f>
        <v/>
      </c>
      <c r="AD94" s="31">
        <f>INDEX(MTInputs!$J$1:$AZ$415,$D94,MATCH(AD$5,MTInputs!$J$5:$AZ$5,0))</f>
        <v/>
      </c>
      <c r="AE94" s="31">
        <f>INDEX(MTInputs!$J$1:$AZ$415,$D94,MATCH(AE$5,MTInputs!$J$5:$AZ$5,0))</f>
        <v/>
      </c>
      <c r="AF94" s="31">
        <f>INDEX(MTInputs!$J$1:$AZ$415,$D94,MATCH(AF$5,MTInputs!$J$5:$AZ$5,0))</f>
        <v/>
      </c>
      <c r="AG94" s="31">
        <f>INDEX(MTInputs!$J$1:$AZ$415,$D94,MATCH(AG$5,MTInputs!$J$5:$AZ$5,0))</f>
        <v/>
      </c>
      <c r="AH94" s="31">
        <f>INDEX(MTInputs!$J$1:$AZ$415,$D94,MATCH(AH$5,MTInputs!$J$5:$AZ$5,0))</f>
        <v/>
      </c>
      <c r="AI94" s="31">
        <f>INDEX(MTInputs!$J$1:$AZ$415,$D94,MATCH(AI$5,MTInputs!$J$5:$AZ$5,0))</f>
        <v/>
      </c>
      <c r="AJ94" s="31">
        <f>INDEX(MTInputs!$J$1:$AZ$415,$D94,MATCH(AJ$5,MTInputs!$J$5:$AZ$5,0))</f>
        <v/>
      </c>
      <c r="AK94" s="31">
        <f>INDEX(MTInputs!$J$1:$AZ$415,$D94,MATCH(AK$5,MTInputs!$J$5:$AZ$5,0))</f>
        <v/>
      </c>
      <c r="AL94" s="31">
        <f>INDEX(MTInputs!$J$1:$AZ$415,$D94,MATCH(AL$5,MTInputs!$J$5:$AZ$5,0))</f>
        <v/>
      </c>
      <c r="AM94" s="31">
        <f>INDEX(MTInputs!$J$1:$AZ$415,$D94,MATCH(AM$5,MTInputs!$J$5:$AZ$5,0))</f>
        <v/>
      </c>
      <c r="AN94" s="31">
        <f>INDEX(MTInputs!$J$1:$AZ$415,$D94,MATCH(AN$5,MTInputs!$J$5:$AZ$5,0))</f>
        <v/>
      </c>
    </row>
    <row r="95" hidden="1" outlineLevel="1">
      <c r="A95" s="5" t="inlineStr">
        <is>
          <t>fb.s</t>
        </is>
      </c>
      <c r="B95" s="5" t="inlineStr">
        <is>
          <t>all</t>
        </is>
      </c>
      <c r="C95" s="5" t="inlineStr">
        <is>
          <t>ind</t>
        </is>
      </c>
      <c r="D95" s="6" t="n">
        <v>59</v>
      </c>
      <c r="H95" s="5">
        <f>INDEX(Variables!$B$5:$B$65,MATCH($A95,Variables!$A$5:$A$65,0))&amp;IF($C95="",""," | "&amp;INDEX(Mapping!$B$5:$B$25,MATCH($C95,Mapping!$A$5:$A$25,0))&amp;" | "&amp;INDEX(Mapping!$B$29:$B$38,MATCH($B95,Mapping!$A$29:$A$38,0)))</f>
        <v/>
      </c>
      <c r="I95" s="5">
        <f>INDEX(Variables!$C$5:$C$65,MATCH($A95,Variables!$A$5:$A$65,0))</f>
        <v/>
      </c>
      <c r="J95" s="5">
        <f>INDEX(Variables!$E$5:$E$65,MATCH($A95,Variables!$A$5:$A$65,0))</f>
        <v/>
      </c>
      <c r="K95" s="23">
        <f>LOWER(Settings!$C$4)&amp;".mit."&amp;$A95&amp;IF($C95="","","."&amp;$C95&amp;"."&amp;$B95)&amp;IF(INDEX(Variables!$D$5:$D$65,MATCH($A95,Variables!$A$5:$A$65,0))="","","."&amp;INDEX(Variables!$D$5:$D$65,MATCH($A95,Variables!$A$5:$A$65,0)))&amp;"."&amp;K$5</f>
        <v/>
      </c>
      <c r="L95" s="30">
        <f>INDEX(MTInputs!$J$1:$AZ$415,$D95,MATCH(L$5,MTInputs!$J$5:$AZ$5,0))</f>
        <v/>
      </c>
      <c r="M95" s="31">
        <f>INDEX(MTInputs!$J$1:$AZ$415,$D95,MATCH(M$5,MTInputs!$J$5:$AZ$5,0))</f>
        <v/>
      </c>
      <c r="N95" s="31">
        <f>INDEX(MTInputs!$J$1:$AZ$415,$D95,MATCH(N$5,MTInputs!$J$5:$AZ$5,0))</f>
        <v/>
      </c>
      <c r="O95" s="31">
        <f>INDEX(MTInputs!$J$1:$AZ$415,$D95,MATCH(O$5,MTInputs!$J$5:$AZ$5,0))</f>
        <v/>
      </c>
      <c r="P95" s="31">
        <f>INDEX(MTInputs!$J$1:$AZ$415,$D95,MATCH(P$5,MTInputs!$J$5:$AZ$5,0))</f>
        <v/>
      </c>
      <c r="Q95" s="31">
        <f>INDEX(MTInputs!$J$1:$AZ$415,$D95,MATCH(Q$5,MTInputs!$J$5:$AZ$5,0))</f>
        <v/>
      </c>
      <c r="R95" s="31">
        <f>INDEX(MTInputs!$J$1:$AZ$415,$D95,MATCH(R$5,MTInputs!$J$5:$AZ$5,0))</f>
        <v/>
      </c>
      <c r="S95" s="31">
        <f>INDEX(MTInputs!$J$1:$AZ$415,$D95,MATCH(S$5,MTInputs!$J$5:$AZ$5,0))</f>
        <v/>
      </c>
      <c r="T95" s="31">
        <f>INDEX(MTInputs!$J$1:$AZ$415,$D95,MATCH(T$5,MTInputs!$J$5:$AZ$5,0))</f>
        <v/>
      </c>
      <c r="U95" s="31">
        <f>INDEX(MTInputs!$J$1:$AZ$415,$D95,MATCH(U$5,MTInputs!$J$5:$AZ$5,0))</f>
        <v/>
      </c>
      <c r="V95" s="31">
        <f>INDEX(MTInputs!$J$1:$AZ$415,$D95,MATCH(V$5,MTInputs!$J$5:$AZ$5,0))</f>
        <v/>
      </c>
      <c r="W95" s="31">
        <f>INDEX(MTInputs!$J$1:$AZ$415,$D95,MATCH(W$5,MTInputs!$J$5:$AZ$5,0))</f>
        <v/>
      </c>
      <c r="X95" s="31">
        <f>INDEX(MTInputs!$J$1:$AZ$415,$D95,MATCH(X$5,MTInputs!$J$5:$AZ$5,0))</f>
        <v/>
      </c>
      <c r="Y95" s="31">
        <f>INDEX(MTInputs!$J$1:$AZ$415,$D95,MATCH(Y$5,MTInputs!$J$5:$AZ$5,0))</f>
        <v/>
      </c>
      <c r="Z95" s="23">
        <f>LOWER(Settings!$C$4)&amp;".mit."&amp;$A95&amp;IF($C95="","","."&amp;$C95&amp;"."&amp;$B95)&amp;IF(INDEX(Variables!$D$5:$D$65,MATCH($A95,Variables!$A$5:$A$65,0))="","","."&amp;INDEX(Variables!$D$5:$D$65,MATCH($A95,Variables!$A$5:$A$65,0)))&amp;"."&amp;Z$5</f>
        <v/>
      </c>
      <c r="AA95" s="30">
        <f>INDEX(MTInputs!$J$1:$AZ$415,$D95,MATCH(AA$5,MTInputs!$J$5:$AZ$5,0))</f>
        <v/>
      </c>
      <c r="AB95" s="31">
        <f>INDEX(MTInputs!$J$1:$AZ$415,$D95,MATCH(AB$5,MTInputs!$J$5:$AZ$5,0))</f>
        <v/>
      </c>
      <c r="AC95" s="31">
        <f>INDEX(MTInputs!$J$1:$AZ$415,$D95,MATCH(AC$5,MTInputs!$J$5:$AZ$5,0))</f>
        <v/>
      </c>
      <c r="AD95" s="31">
        <f>INDEX(MTInputs!$J$1:$AZ$415,$D95,MATCH(AD$5,MTInputs!$J$5:$AZ$5,0))</f>
        <v/>
      </c>
      <c r="AE95" s="31">
        <f>INDEX(MTInputs!$J$1:$AZ$415,$D95,MATCH(AE$5,MTInputs!$J$5:$AZ$5,0))</f>
        <v/>
      </c>
      <c r="AF95" s="31">
        <f>INDEX(MTInputs!$J$1:$AZ$415,$D95,MATCH(AF$5,MTInputs!$J$5:$AZ$5,0))</f>
        <v/>
      </c>
      <c r="AG95" s="31">
        <f>INDEX(MTInputs!$J$1:$AZ$415,$D95,MATCH(AG$5,MTInputs!$J$5:$AZ$5,0))</f>
        <v/>
      </c>
      <c r="AH95" s="31">
        <f>INDEX(MTInputs!$J$1:$AZ$415,$D95,MATCH(AH$5,MTInputs!$J$5:$AZ$5,0))</f>
        <v/>
      </c>
      <c r="AI95" s="31">
        <f>INDEX(MTInputs!$J$1:$AZ$415,$D95,MATCH(AI$5,MTInputs!$J$5:$AZ$5,0))</f>
        <v/>
      </c>
      <c r="AJ95" s="31">
        <f>INDEX(MTInputs!$J$1:$AZ$415,$D95,MATCH(AJ$5,MTInputs!$J$5:$AZ$5,0))</f>
        <v/>
      </c>
      <c r="AK95" s="31">
        <f>INDEX(MTInputs!$J$1:$AZ$415,$D95,MATCH(AK$5,MTInputs!$J$5:$AZ$5,0))</f>
        <v/>
      </c>
      <c r="AL95" s="31">
        <f>INDEX(MTInputs!$J$1:$AZ$415,$D95,MATCH(AL$5,MTInputs!$J$5:$AZ$5,0))</f>
        <v/>
      </c>
      <c r="AM95" s="31">
        <f>INDEX(MTInputs!$J$1:$AZ$415,$D95,MATCH(AM$5,MTInputs!$J$5:$AZ$5,0))</f>
        <v/>
      </c>
      <c r="AN95" s="31">
        <f>INDEX(MTInputs!$J$1:$AZ$415,$D95,MATCH(AN$5,MTInputs!$J$5:$AZ$5,0))</f>
        <v/>
      </c>
    </row>
    <row r="96" hidden="1" outlineLevel="1">
      <c r="A96" s="5" t="inlineStr">
        <is>
          <t>fb.t</t>
        </is>
      </c>
      <c r="B96" s="5" t="inlineStr">
        <is>
          <t>all</t>
        </is>
      </c>
      <c r="C96" s="5" t="inlineStr">
        <is>
          <t>pow</t>
        </is>
      </c>
      <c r="D96" s="6" t="n">
        <v>61</v>
      </c>
      <c r="H96" s="5">
        <f>INDEX(Variables!$B$5:$B$65,MATCH($A96,Variables!$A$5:$A$65,0))&amp;IF($C96="",""," | "&amp;INDEX(Mapping!$B$5:$B$25,MATCH($C96,Mapping!$A$5:$A$25,0))&amp;" | "&amp;INDEX(Mapping!$B$29:$B$38,MATCH($B96,Mapping!$A$29:$A$38,0)))</f>
        <v/>
      </c>
      <c r="I96" s="5">
        <f>INDEX(Variables!$C$5:$C$65,MATCH($A96,Variables!$A$5:$A$65,0))</f>
        <v/>
      </c>
      <c r="J96" s="5">
        <f>INDEX(Variables!$E$5:$E$65,MATCH($A96,Variables!$A$5:$A$65,0))</f>
        <v/>
      </c>
      <c r="K96" s="23">
        <f>LOWER(Settings!$C$4)&amp;".mit."&amp;$A96&amp;IF($C96="","","."&amp;$C96&amp;"."&amp;$B96)&amp;IF(INDEX(Variables!$D$5:$D$65,MATCH($A96,Variables!$A$5:$A$65,0))="","","."&amp;INDEX(Variables!$D$5:$D$65,MATCH($A96,Variables!$A$5:$A$65,0)))&amp;"."&amp;K$5</f>
        <v/>
      </c>
      <c r="L96" s="30">
        <f>INDEX(MTInputs!$J$1:$AZ$415,$D96,MATCH(L$5,MTInputs!$J$5:$AZ$5,0))</f>
        <v/>
      </c>
      <c r="M96" s="31">
        <f>INDEX(MTInputs!$J$1:$AZ$415,$D96,MATCH(M$5,MTInputs!$J$5:$AZ$5,0))</f>
        <v/>
      </c>
      <c r="N96" s="31">
        <f>INDEX(MTInputs!$J$1:$AZ$415,$D96,MATCH(N$5,MTInputs!$J$5:$AZ$5,0))</f>
        <v/>
      </c>
      <c r="O96" s="31">
        <f>INDEX(MTInputs!$J$1:$AZ$415,$D96,MATCH(O$5,MTInputs!$J$5:$AZ$5,0))</f>
        <v/>
      </c>
      <c r="P96" s="31">
        <f>INDEX(MTInputs!$J$1:$AZ$415,$D96,MATCH(P$5,MTInputs!$J$5:$AZ$5,0))</f>
        <v/>
      </c>
      <c r="Q96" s="31">
        <f>INDEX(MTInputs!$J$1:$AZ$415,$D96,MATCH(Q$5,MTInputs!$J$5:$AZ$5,0))</f>
        <v/>
      </c>
      <c r="R96" s="31">
        <f>INDEX(MTInputs!$J$1:$AZ$415,$D96,MATCH(R$5,MTInputs!$J$5:$AZ$5,0))</f>
        <v/>
      </c>
      <c r="S96" s="31">
        <f>INDEX(MTInputs!$J$1:$AZ$415,$D96,MATCH(S$5,MTInputs!$J$5:$AZ$5,0))</f>
        <v/>
      </c>
      <c r="T96" s="31">
        <f>INDEX(MTInputs!$J$1:$AZ$415,$D96,MATCH(T$5,MTInputs!$J$5:$AZ$5,0))</f>
        <v/>
      </c>
      <c r="U96" s="31">
        <f>INDEX(MTInputs!$J$1:$AZ$415,$D96,MATCH(U$5,MTInputs!$J$5:$AZ$5,0))</f>
        <v/>
      </c>
      <c r="V96" s="31">
        <f>INDEX(MTInputs!$J$1:$AZ$415,$D96,MATCH(V$5,MTInputs!$J$5:$AZ$5,0))</f>
        <v/>
      </c>
      <c r="W96" s="31">
        <f>INDEX(MTInputs!$J$1:$AZ$415,$D96,MATCH(W$5,MTInputs!$J$5:$AZ$5,0))</f>
        <v/>
      </c>
      <c r="X96" s="31">
        <f>INDEX(MTInputs!$J$1:$AZ$415,$D96,MATCH(X$5,MTInputs!$J$5:$AZ$5,0))</f>
        <v/>
      </c>
      <c r="Y96" s="31">
        <f>INDEX(MTInputs!$J$1:$AZ$415,$D96,MATCH(Y$5,MTInputs!$J$5:$AZ$5,0))</f>
        <v/>
      </c>
      <c r="Z96" s="23">
        <f>LOWER(Settings!$C$4)&amp;".mit."&amp;$A96&amp;IF($C96="","","."&amp;$C96&amp;"."&amp;$B96)&amp;IF(INDEX(Variables!$D$5:$D$65,MATCH($A96,Variables!$A$5:$A$65,0))="","","."&amp;INDEX(Variables!$D$5:$D$65,MATCH($A96,Variables!$A$5:$A$65,0)))&amp;"."&amp;Z$5</f>
        <v/>
      </c>
      <c r="AA96" s="30">
        <f>INDEX(MTInputs!$J$1:$AZ$415,$D96,MATCH(AA$5,MTInputs!$J$5:$AZ$5,0))</f>
        <v/>
      </c>
      <c r="AB96" s="31">
        <f>INDEX(MTInputs!$J$1:$AZ$415,$D96,MATCH(AB$5,MTInputs!$J$5:$AZ$5,0))</f>
        <v/>
      </c>
      <c r="AC96" s="31">
        <f>INDEX(MTInputs!$J$1:$AZ$415,$D96,MATCH(AC$5,MTInputs!$J$5:$AZ$5,0))</f>
        <v/>
      </c>
      <c r="AD96" s="31">
        <f>INDEX(MTInputs!$J$1:$AZ$415,$D96,MATCH(AD$5,MTInputs!$J$5:$AZ$5,0))</f>
        <v/>
      </c>
      <c r="AE96" s="31">
        <f>INDEX(MTInputs!$J$1:$AZ$415,$D96,MATCH(AE$5,MTInputs!$J$5:$AZ$5,0))</f>
        <v/>
      </c>
      <c r="AF96" s="31">
        <f>INDEX(MTInputs!$J$1:$AZ$415,$D96,MATCH(AF$5,MTInputs!$J$5:$AZ$5,0))</f>
        <v/>
      </c>
      <c r="AG96" s="31">
        <f>INDEX(MTInputs!$J$1:$AZ$415,$D96,MATCH(AG$5,MTInputs!$J$5:$AZ$5,0))</f>
        <v/>
      </c>
      <c r="AH96" s="31">
        <f>INDEX(MTInputs!$J$1:$AZ$415,$D96,MATCH(AH$5,MTInputs!$J$5:$AZ$5,0))</f>
        <v/>
      </c>
      <c r="AI96" s="31">
        <f>INDEX(MTInputs!$J$1:$AZ$415,$D96,MATCH(AI$5,MTInputs!$J$5:$AZ$5,0))</f>
        <v/>
      </c>
      <c r="AJ96" s="31">
        <f>INDEX(MTInputs!$J$1:$AZ$415,$D96,MATCH(AJ$5,MTInputs!$J$5:$AZ$5,0))</f>
        <v/>
      </c>
      <c r="AK96" s="31">
        <f>INDEX(MTInputs!$J$1:$AZ$415,$D96,MATCH(AK$5,MTInputs!$J$5:$AZ$5,0))</f>
        <v/>
      </c>
      <c r="AL96" s="31">
        <f>INDEX(MTInputs!$J$1:$AZ$415,$D96,MATCH(AL$5,MTInputs!$J$5:$AZ$5,0))</f>
        <v/>
      </c>
      <c r="AM96" s="31">
        <f>INDEX(MTInputs!$J$1:$AZ$415,$D96,MATCH(AM$5,MTInputs!$J$5:$AZ$5,0))</f>
        <v/>
      </c>
      <c r="AN96" s="31">
        <f>INDEX(MTInputs!$J$1:$AZ$415,$D96,MATCH(AN$5,MTInputs!$J$5:$AZ$5,0))</f>
        <v/>
      </c>
    </row>
    <row r="97" hidden="1" outlineLevel="1">
      <c r="A97" s="5" t="inlineStr">
        <is>
          <t>fb.t</t>
        </is>
      </c>
      <c r="B97" s="5" t="inlineStr">
        <is>
          <t>all</t>
        </is>
      </c>
      <c r="C97" s="5" t="inlineStr">
        <is>
          <t>tra</t>
        </is>
      </c>
      <c r="D97" s="6" t="n">
        <v>62</v>
      </c>
      <c r="H97" s="5">
        <f>INDEX(Variables!$B$5:$B$65,MATCH($A97,Variables!$A$5:$A$65,0))&amp;IF($C97="",""," | "&amp;INDEX(Mapping!$B$5:$B$25,MATCH($C97,Mapping!$A$5:$A$25,0))&amp;" | "&amp;INDEX(Mapping!$B$29:$B$38,MATCH($B97,Mapping!$A$29:$A$38,0)))</f>
        <v/>
      </c>
      <c r="I97" s="5">
        <f>INDEX(Variables!$C$5:$C$65,MATCH($A97,Variables!$A$5:$A$65,0))</f>
        <v/>
      </c>
      <c r="J97" s="5">
        <f>INDEX(Variables!$E$5:$E$65,MATCH($A97,Variables!$A$5:$A$65,0))</f>
        <v/>
      </c>
      <c r="K97" s="23">
        <f>LOWER(Settings!$C$4)&amp;".mit."&amp;$A97&amp;IF($C97="","","."&amp;$C97&amp;"."&amp;$B97)&amp;IF(INDEX(Variables!$D$5:$D$65,MATCH($A97,Variables!$A$5:$A$65,0))="","","."&amp;INDEX(Variables!$D$5:$D$65,MATCH($A97,Variables!$A$5:$A$65,0)))&amp;"."&amp;K$5</f>
        <v/>
      </c>
      <c r="L97" s="30">
        <f>INDEX(MTInputs!$J$1:$AZ$415,$D97,MATCH(L$5,MTInputs!$J$5:$AZ$5,0))</f>
        <v/>
      </c>
      <c r="M97" s="31">
        <f>INDEX(MTInputs!$J$1:$AZ$415,$D97,MATCH(M$5,MTInputs!$J$5:$AZ$5,0))</f>
        <v/>
      </c>
      <c r="N97" s="31">
        <f>INDEX(MTInputs!$J$1:$AZ$415,$D97,MATCH(N$5,MTInputs!$J$5:$AZ$5,0))</f>
        <v/>
      </c>
      <c r="O97" s="31">
        <f>INDEX(MTInputs!$J$1:$AZ$415,$D97,MATCH(O$5,MTInputs!$J$5:$AZ$5,0))</f>
        <v/>
      </c>
      <c r="P97" s="31">
        <f>INDEX(MTInputs!$J$1:$AZ$415,$D97,MATCH(P$5,MTInputs!$J$5:$AZ$5,0))</f>
        <v/>
      </c>
      <c r="Q97" s="31">
        <f>INDEX(MTInputs!$J$1:$AZ$415,$D97,MATCH(Q$5,MTInputs!$J$5:$AZ$5,0))</f>
        <v/>
      </c>
      <c r="R97" s="31">
        <f>INDEX(MTInputs!$J$1:$AZ$415,$D97,MATCH(R$5,MTInputs!$J$5:$AZ$5,0))</f>
        <v/>
      </c>
      <c r="S97" s="31">
        <f>INDEX(MTInputs!$J$1:$AZ$415,$D97,MATCH(S$5,MTInputs!$J$5:$AZ$5,0))</f>
        <v/>
      </c>
      <c r="T97" s="31">
        <f>INDEX(MTInputs!$J$1:$AZ$415,$D97,MATCH(T$5,MTInputs!$J$5:$AZ$5,0))</f>
        <v/>
      </c>
      <c r="U97" s="31">
        <f>INDEX(MTInputs!$J$1:$AZ$415,$D97,MATCH(U$5,MTInputs!$J$5:$AZ$5,0))</f>
        <v/>
      </c>
      <c r="V97" s="31">
        <f>INDEX(MTInputs!$J$1:$AZ$415,$D97,MATCH(V$5,MTInputs!$J$5:$AZ$5,0))</f>
        <v/>
      </c>
      <c r="W97" s="31">
        <f>INDEX(MTInputs!$J$1:$AZ$415,$D97,MATCH(W$5,MTInputs!$J$5:$AZ$5,0))</f>
        <v/>
      </c>
      <c r="X97" s="31">
        <f>INDEX(MTInputs!$J$1:$AZ$415,$D97,MATCH(X$5,MTInputs!$J$5:$AZ$5,0))</f>
        <v/>
      </c>
      <c r="Y97" s="31">
        <f>INDEX(MTInputs!$J$1:$AZ$415,$D97,MATCH(Y$5,MTInputs!$J$5:$AZ$5,0))</f>
        <v/>
      </c>
      <c r="Z97" s="23">
        <f>LOWER(Settings!$C$4)&amp;".mit."&amp;$A97&amp;IF($C97="","","."&amp;$C97&amp;"."&amp;$B97)&amp;IF(INDEX(Variables!$D$5:$D$65,MATCH($A97,Variables!$A$5:$A$65,0))="","","."&amp;INDEX(Variables!$D$5:$D$65,MATCH($A97,Variables!$A$5:$A$65,0)))&amp;"."&amp;Z$5</f>
        <v/>
      </c>
      <c r="AA97" s="30">
        <f>INDEX(MTInputs!$J$1:$AZ$415,$D97,MATCH(AA$5,MTInputs!$J$5:$AZ$5,0))</f>
        <v/>
      </c>
      <c r="AB97" s="31">
        <f>INDEX(MTInputs!$J$1:$AZ$415,$D97,MATCH(AB$5,MTInputs!$J$5:$AZ$5,0))</f>
        <v/>
      </c>
      <c r="AC97" s="31">
        <f>INDEX(MTInputs!$J$1:$AZ$415,$D97,MATCH(AC$5,MTInputs!$J$5:$AZ$5,0))</f>
        <v/>
      </c>
      <c r="AD97" s="31">
        <f>INDEX(MTInputs!$J$1:$AZ$415,$D97,MATCH(AD$5,MTInputs!$J$5:$AZ$5,0))</f>
        <v/>
      </c>
      <c r="AE97" s="31">
        <f>INDEX(MTInputs!$J$1:$AZ$415,$D97,MATCH(AE$5,MTInputs!$J$5:$AZ$5,0))</f>
        <v/>
      </c>
      <c r="AF97" s="31">
        <f>INDEX(MTInputs!$J$1:$AZ$415,$D97,MATCH(AF$5,MTInputs!$J$5:$AZ$5,0))</f>
        <v/>
      </c>
      <c r="AG97" s="31">
        <f>INDEX(MTInputs!$J$1:$AZ$415,$D97,MATCH(AG$5,MTInputs!$J$5:$AZ$5,0))</f>
        <v/>
      </c>
      <c r="AH97" s="31">
        <f>INDEX(MTInputs!$J$1:$AZ$415,$D97,MATCH(AH$5,MTInputs!$J$5:$AZ$5,0))</f>
        <v/>
      </c>
      <c r="AI97" s="31">
        <f>INDEX(MTInputs!$J$1:$AZ$415,$D97,MATCH(AI$5,MTInputs!$J$5:$AZ$5,0))</f>
        <v/>
      </c>
      <c r="AJ97" s="31">
        <f>INDEX(MTInputs!$J$1:$AZ$415,$D97,MATCH(AJ$5,MTInputs!$J$5:$AZ$5,0))</f>
        <v/>
      </c>
      <c r="AK97" s="31">
        <f>INDEX(MTInputs!$J$1:$AZ$415,$D97,MATCH(AK$5,MTInputs!$J$5:$AZ$5,0))</f>
        <v/>
      </c>
      <c r="AL97" s="31">
        <f>INDEX(MTInputs!$J$1:$AZ$415,$D97,MATCH(AL$5,MTInputs!$J$5:$AZ$5,0))</f>
        <v/>
      </c>
      <c r="AM97" s="31">
        <f>INDEX(MTInputs!$J$1:$AZ$415,$D97,MATCH(AM$5,MTInputs!$J$5:$AZ$5,0))</f>
        <v/>
      </c>
      <c r="AN97" s="31">
        <f>INDEX(MTInputs!$J$1:$AZ$415,$D97,MATCH(AN$5,MTInputs!$J$5:$AZ$5,0))</f>
        <v/>
      </c>
    </row>
    <row r="98" hidden="1" outlineLevel="1">
      <c r="A98" s="5" t="inlineStr">
        <is>
          <t>fb.t</t>
        </is>
      </c>
      <c r="B98" s="5" t="inlineStr">
        <is>
          <t>all</t>
        </is>
      </c>
      <c r="C98" s="5" t="inlineStr">
        <is>
          <t>res</t>
        </is>
      </c>
      <c r="D98" s="6" t="n">
        <v>63</v>
      </c>
      <c r="H98" s="5">
        <f>INDEX(Variables!$B$5:$B$65,MATCH($A98,Variables!$A$5:$A$65,0))&amp;IF($C98="",""," | "&amp;INDEX(Mapping!$B$5:$B$25,MATCH($C98,Mapping!$A$5:$A$25,0))&amp;" | "&amp;INDEX(Mapping!$B$29:$B$38,MATCH($B98,Mapping!$A$29:$A$38,0)))</f>
        <v/>
      </c>
      <c r="I98" s="5">
        <f>INDEX(Variables!$C$5:$C$65,MATCH($A98,Variables!$A$5:$A$65,0))</f>
        <v/>
      </c>
      <c r="J98" s="5">
        <f>INDEX(Variables!$E$5:$E$65,MATCH($A98,Variables!$A$5:$A$65,0))</f>
        <v/>
      </c>
      <c r="K98" s="23">
        <f>LOWER(Settings!$C$4)&amp;".mit."&amp;$A98&amp;IF($C98="","","."&amp;$C98&amp;"."&amp;$B98)&amp;IF(INDEX(Variables!$D$5:$D$65,MATCH($A98,Variables!$A$5:$A$65,0))="","","."&amp;INDEX(Variables!$D$5:$D$65,MATCH($A98,Variables!$A$5:$A$65,0)))&amp;"."&amp;K$5</f>
        <v/>
      </c>
      <c r="L98" s="30">
        <f>INDEX(MTInputs!$J$1:$AZ$415,$D98,MATCH(L$5,MTInputs!$J$5:$AZ$5,0))</f>
        <v/>
      </c>
      <c r="M98" s="31">
        <f>INDEX(MTInputs!$J$1:$AZ$415,$D98,MATCH(M$5,MTInputs!$J$5:$AZ$5,0))</f>
        <v/>
      </c>
      <c r="N98" s="31">
        <f>INDEX(MTInputs!$J$1:$AZ$415,$D98,MATCH(N$5,MTInputs!$J$5:$AZ$5,0))</f>
        <v/>
      </c>
      <c r="O98" s="31">
        <f>INDEX(MTInputs!$J$1:$AZ$415,$D98,MATCH(O$5,MTInputs!$J$5:$AZ$5,0))</f>
        <v/>
      </c>
      <c r="P98" s="31">
        <f>INDEX(MTInputs!$J$1:$AZ$415,$D98,MATCH(P$5,MTInputs!$J$5:$AZ$5,0))</f>
        <v/>
      </c>
      <c r="Q98" s="31">
        <f>INDEX(MTInputs!$J$1:$AZ$415,$D98,MATCH(Q$5,MTInputs!$J$5:$AZ$5,0))</f>
        <v/>
      </c>
      <c r="R98" s="31">
        <f>INDEX(MTInputs!$J$1:$AZ$415,$D98,MATCH(R$5,MTInputs!$J$5:$AZ$5,0))</f>
        <v/>
      </c>
      <c r="S98" s="31">
        <f>INDEX(MTInputs!$J$1:$AZ$415,$D98,MATCH(S$5,MTInputs!$J$5:$AZ$5,0))</f>
        <v/>
      </c>
      <c r="T98" s="31">
        <f>INDEX(MTInputs!$J$1:$AZ$415,$D98,MATCH(T$5,MTInputs!$J$5:$AZ$5,0))</f>
        <v/>
      </c>
      <c r="U98" s="31">
        <f>INDEX(MTInputs!$J$1:$AZ$415,$D98,MATCH(U$5,MTInputs!$J$5:$AZ$5,0))</f>
        <v/>
      </c>
      <c r="V98" s="31">
        <f>INDEX(MTInputs!$J$1:$AZ$415,$D98,MATCH(V$5,MTInputs!$J$5:$AZ$5,0))</f>
        <v/>
      </c>
      <c r="W98" s="31">
        <f>INDEX(MTInputs!$J$1:$AZ$415,$D98,MATCH(W$5,MTInputs!$J$5:$AZ$5,0))</f>
        <v/>
      </c>
      <c r="X98" s="31">
        <f>INDEX(MTInputs!$J$1:$AZ$415,$D98,MATCH(X$5,MTInputs!$J$5:$AZ$5,0))</f>
        <v/>
      </c>
      <c r="Y98" s="31">
        <f>INDEX(MTInputs!$J$1:$AZ$415,$D98,MATCH(Y$5,MTInputs!$J$5:$AZ$5,0))</f>
        <v/>
      </c>
      <c r="Z98" s="23">
        <f>LOWER(Settings!$C$4)&amp;".mit."&amp;$A98&amp;IF($C98="","","."&amp;$C98&amp;"."&amp;$B98)&amp;IF(INDEX(Variables!$D$5:$D$65,MATCH($A98,Variables!$A$5:$A$65,0))="","","."&amp;INDEX(Variables!$D$5:$D$65,MATCH($A98,Variables!$A$5:$A$65,0)))&amp;"."&amp;Z$5</f>
        <v/>
      </c>
      <c r="AA98" s="30">
        <f>INDEX(MTInputs!$J$1:$AZ$415,$D98,MATCH(AA$5,MTInputs!$J$5:$AZ$5,0))</f>
        <v/>
      </c>
      <c r="AB98" s="31">
        <f>INDEX(MTInputs!$J$1:$AZ$415,$D98,MATCH(AB$5,MTInputs!$J$5:$AZ$5,0))</f>
        <v/>
      </c>
      <c r="AC98" s="31">
        <f>INDEX(MTInputs!$J$1:$AZ$415,$D98,MATCH(AC$5,MTInputs!$J$5:$AZ$5,0))</f>
        <v/>
      </c>
      <c r="AD98" s="31">
        <f>INDEX(MTInputs!$J$1:$AZ$415,$D98,MATCH(AD$5,MTInputs!$J$5:$AZ$5,0))</f>
        <v/>
      </c>
      <c r="AE98" s="31">
        <f>INDEX(MTInputs!$J$1:$AZ$415,$D98,MATCH(AE$5,MTInputs!$J$5:$AZ$5,0))</f>
        <v/>
      </c>
      <c r="AF98" s="31">
        <f>INDEX(MTInputs!$J$1:$AZ$415,$D98,MATCH(AF$5,MTInputs!$J$5:$AZ$5,0))</f>
        <v/>
      </c>
      <c r="AG98" s="31">
        <f>INDEX(MTInputs!$J$1:$AZ$415,$D98,MATCH(AG$5,MTInputs!$J$5:$AZ$5,0))</f>
        <v/>
      </c>
      <c r="AH98" s="31">
        <f>INDEX(MTInputs!$J$1:$AZ$415,$D98,MATCH(AH$5,MTInputs!$J$5:$AZ$5,0))</f>
        <v/>
      </c>
      <c r="AI98" s="31">
        <f>INDEX(MTInputs!$J$1:$AZ$415,$D98,MATCH(AI$5,MTInputs!$J$5:$AZ$5,0))</f>
        <v/>
      </c>
      <c r="AJ98" s="31">
        <f>INDEX(MTInputs!$J$1:$AZ$415,$D98,MATCH(AJ$5,MTInputs!$J$5:$AZ$5,0))</f>
        <v/>
      </c>
      <c r="AK98" s="31">
        <f>INDEX(MTInputs!$J$1:$AZ$415,$D98,MATCH(AK$5,MTInputs!$J$5:$AZ$5,0))</f>
        <v/>
      </c>
      <c r="AL98" s="31">
        <f>INDEX(MTInputs!$J$1:$AZ$415,$D98,MATCH(AL$5,MTInputs!$J$5:$AZ$5,0))</f>
        <v/>
      </c>
      <c r="AM98" s="31">
        <f>INDEX(MTInputs!$J$1:$AZ$415,$D98,MATCH(AM$5,MTInputs!$J$5:$AZ$5,0))</f>
        <v/>
      </c>
      <c r="AN98" s="31">
        <f>INDEX(MTInputs!$J$1:$AZ$415,$D98,MATCH(AN$5,MTInputs!$J$5:$AZ$5,0))</f>
        <v/>
      </c>
    </row>
    <row r="99" hidden="1" outlineLevel="1">
      <c r="A99" s="5" t="inlineStr">
        <is>
          <t>fb.t</t>
        </is>
      </c>
      <c r="B99" s="5" t="inlineStr">
        <is>
          <t>all</t>
        </is>
      </c>
      <c r="C99" s="5" t="inlineStr">
        <is>
          <t>ind</t>
        </is>
      </c>
      <c r="D99" s="6" t="n">
        <v>64</v>
      </c>
      <c r="H99" s="5">
        <f>INDEX(Variables!$B$5:$B$65,MATCH($A99,Variables!$A$5:$A$65,0))&amp;IF($C99="",""," | "&amp;INDEX(Mapping!$B$5:$B$25,MATCH($C99,Mapping!$A$5:$A$25,0))&amp;" | "&amp;INDEX(Mapping!$B$29:$B$38,MATCH($B99,Mapping!$A$29:$A$38,0)))</f>
        <v/>
      </c>
      <c r="I99" s="5">
        <f>INDEX(Variables!$C$5:$C$65,MATCH($A99,Variables!$A$5:$A$65,0))</f>
        <v/>
      </c>
      <c r="J99" s="5">
        <f>INDEX(Variables!$E$5:$E$65,MATCH($A99,Variables!$A$5:$A$65,0))</f>
        <v/>
      </c>
      <c r="K99" s="23">
        <f>LOWER(Settings!$C$4)&amp;".mit."&amp;$A99&amp;IF($C99="","","."&amp;$C99&amp;"."&amp;$B99)&amp;IF(INDEX(Variables!$D$5:$D$65,MATCH($A99,Variables!$A$5:$A$65,0))="","","."&amp;INDEX(Variables!$D$5:$D$65,MATCH($A99,Variables!$A$5:$A$65,0)))&amp;"."&amp;K$5</f>
        <v/>
      </c>
      <c r="L99" s="30">
        <f>INDEX(MTInputs!$J$1:$AZ$415,$D99,MATCH(L$5,MTInputs!$J$5:$AZ$5,0))</f>
        <v/>
      </c>
      <c r="M99" s="31">
        <f>INDEX(MTInputs!$J$1:$AZ$415,$D99,MATCH(M$5,MTInputs!$J$5:$AZ$5,0))</f>
        <v/>
      </c>
      <c r="N99" s="31">
        <f>INDEX(MTInputs!$J$1:$AZ$415,$D99,MATCH(N$5,MTInputs!$J$5:$AZ$5,0))</f>
        <v/>
      </c>
      <c r="O99" s="31">
        <f>INDEX(MTInputs!$J$1:$AZ$415,$D99,MATCH(O$5,MTInputs!$J$5:$AZ$5,0))</f>
        <v/>
      </c>
      <c r="P99" s="31">
        <f>INDEX(MTInputs!$J$1:$AZ$415,$D99,MATCH(P$5,MTInputs!$J$5:$AZ$5,0))</f>
        <v/>
      </c>
      <c r="Q99" s="31">
        <f>INDEX(MTInputs!$J$1:$AZ$415,$D99,MATCH(Q$5,MTInputs!$J$5:$AZ$5,0))</f>
        <v/>
      </c>
      <c r="R99" s="31">
        <f>INDEX(MTInputs!$J$1:$AZ$415,$D99,MATCH(R$5,MTInputs!$J$5:$AZ$5,0))</f>
        <v/>
      </c>
      <c r="S99" s="31">
        <f>INDEX(MTInputs!$J$1:$AZ$415,$D99,MATCH(S$5,MTInputs!$J$5:$AZ$5,0))</f>
        <v/>
      </c>
      <c r="T99" s="31">
        <f>INDEX(MTInputs!$J$1:$AZ$415,$D99,MATCH(T$5,MTInputs!$J$5:$AZ$5,0))</f>
        <v/>
      </c>
      <c r="U99" s="31">
        <f>INDEX(MTInputs!$J$1:$AZ$415,$D99,MATCH(U$5,MTInputs!$J$5:$AZ$5,0))</f>
        <v/>
      </c>
      <c r="V99" s="31">
        <f>INDEX(MTInputs!$J$1:$AZ$415,$D99,MATCH(V$5,MTInputs!$J$5:$AZ$5,0))</f>
        <v/>
      </c>
      <c r="W99" s="31">
        <f>INDEX(MTInputs!$J$1:$AZ$415,$D99,MATCH(W$5,MTInputs!$J$5:$AZ$5,0))</f>
        <v/>
      </c>
      <c r="X99" s="31">
        <f>INDEX(MTInputs!$J$1:$AZ$415,$D99,MATCH(X$5,MTInputs!$J$5:$AZ$5,0))</f>
        <v/>
      </c>
      <c r="Y99" s="31">
        <f>INDEX(MTInputs!$J$1:$AZ$415,$D99,MATCH(Y$5,MTInputs!$J$5:$AZ$5,0))</f>
        <v/>
      </c>
      <c r="Z99" s="23">
        <f>LOWER(Settings!$C$4)&amp;".mit."&amp;$A99&amp;IF($C99="","","."&amp;$C99&amp;"."&amp;$B99)&amp;IF(INDEX(Variables!$D$5:$D$65,MATCH($A99,Variables!$A$5:$A$65,0))="","","."&amp;INDEX(Variables!$D$5:$D$65,MATCH($A99,Variables!$A$5:$A$65,0)))&amp;"."&amp;Z$5</f>
        <v/>
      </c>
      <c r="AA99" s="30">
        <f>INDEX(MTInputs!$J$1:$AZ$415,$D99,MATCH(AA$5,MTInputs!$J$5:$AZ$5,0))</f>
        <v/>
      </c>
      <c r="AB99" s="31">
        <f>INDEX(MTInputs!$J$1:$AZ$415,$D99,MATCH(AB$5,MTInputs!$J$5:$AZ$5,0))</f>
        <v/>
      </c>
      <c r="AC99" s="31">
        <f>INDEX(MTInputs!$J$1:$AZ$415,$D99,MATCH(AC$5,MTInputs!$J$5:$AZ$5,0))</f>
        <v/>
      </c>
      <c r="AD99" s="31">
        <f>INDEX(MTInputs!$J$1:$AZ$415,$D99,MATCH(AD$5,MTInputs!$J$5:$AZ$5,0))</f>
        <v/>
      </c>
      <c r="AE99" s="31">
        <f>INDEX(MTInputs!$J$1:$AZ$415,$D99,MATCH(AE$5,MTInputs!$J$5:$AZ$5,0))</f>
        <v/>
      </c>
      <c r="AF99" s="31">
        <f>INDEX(MTInputs!$J$1:$AZ$415,$D99,MATCH(AF$5,MTInputs!$J$5:$AZ$5,0))</f>
        <v/>
      </c>
      <c r="AG99" s="31">
        <f>INDEX(MTInputs!$J$1:$AZ$415,$D99,MATCH(AG$5,MTInputs!$J$5:$AZ$5,0))</f>
        <v/>
      </c>
      <c r="AH99" s="31">
        <f>INDEX(MTInputs!$J$1:$AZ$415,$D99,MATCH(AH$5,MTInputs!$J$5:$AZ$5,0))</f>
        <v/>
      </c>
      <c r="AI99" s="31">
        <f>INDEX(MTInputs!$J$1:$AZ$415,$D99,MATCH(AI$5,MTInputs!$J$5:$AZ$5,0))</f>
        <v/>
      </c>
      <c r="AJ99" s="31">
        <f>INDEX(MTInputs!$J$1:$AZ$415,$D99,MATCH(AJ$5,MTInputs!$J$5:$AZ$5,0))</f>
        <v/>
      </c>
      <c r="AK99" s="31">
        <f>INDEX(MTInputs!$J$1:$AZ$415,$D99,MATCH(AK$5,MTInputs!$J$5:$AZ$5,0))</f>
        <v/>
      </c>
      <c r="AL99" s="31">
        <f>INDEX(MTInputs!$J$1:$AZ$415,$D99,MATCH(AL$5,MTInputs!$J$5:$AZ$5,0))</f>
        <v/>
      </c>
      <c r="AM99" s="31">
        <f>INDEX(MTInputs!$J$1:$AZ$415,$D99,MATCH(AM$5,MTInputs!$J$5:$AZ$5,0))</f>
        <v/>
      </c>
      <c r="AN99" s="31">
        <f>INDEX(MTInputs!$J$1:$AZ$415,$D99,MATCH(AN$5,MTInputs!$J$5:$AZ$5,0))</f>
        <v/>
      </c>
    </row>
    <row r="100" hidden="1" outlineLevel="1">
      <c r="A100" s="7" t="inlineStr">
        <is>
          <t>fb</t>
        </is>
      </c>
      <c r="B100" s="7" t="inlineStr">
        <is>
          <t>all</t>
        </is>
      </c>
      <c r="C100" s="7" t="inlineStr">
        <is>
          <t>pow</t>
        </is>
      </c>
      <c r="H100" s="7">
        <f>INDEX(Variables!$B$5:$B$65,MATCH($A100,Variables!$A$5:$A$65,0))&amp;IF($C100="",""," | "&amp;INDEX(Mapping!$B$5:$B$25,MATCH($C100,Mapping!$A$5:$A$25,0))&amp;" | "&amp;INDEX(Mapping!$B$29:$B$38,MATCH($B100,Mapping!$A$29:$A$38,0)))</f>
        <v/>
      </c>
      <c r="I100" s="7">
        <f>INDEX(Variables!$C$5:$C$65,MATCH($A100,Variables!$A$5:$A$65,0))</f>
        <v/>
      </c>
      <c r="J100" s="7">
        <f>INDEX(Variables!$E$5:$E$65,MATCH($A100,Variables!$A$5:$A$65,0))</f>
        <v/>
      </c>
      <c r="K100" s="26">
        <f>LOWER(Settings!$C$4)&amp;".mit."&amp;$A100&amp;IF($C100="","","."&amp;$C100&amp;"."&amp;$B100)&amp;IF(INDEX(Variables!$D$5:$D$65,MATCH($A100,Variables!$A$5:$A$65,0))="","","."&amp;INDEX(Variables!$D$5:$D$65,MATCH($A100,Variables!$A$5:$A$65,0)))&amp;"."&amp;K$5</f>
        <v/>
      </c>
      <c r="L100" s="27">
        <f>IF(L$4&lt;L$90,0,L92+(L96-L92)/MAX(L$91-L$90,1)*(L$4-L$90))</f>
        <v/>
      </c>
      <c r="M100" s="28">
        <f>IF(M$4&lt;M$90,0,M92+(M96-M92)/MAX(M$91-M$90,1)*(M$4-M$90))</f>
        <v/>
      </c>
      <c r="N100" s="28">
        <f>IF(N$4&lt;N$90,0,N92+(N96-N92)/MAX(N$91-N$90,1)*(N$4-N$90))</f>
        <v/>
      </c>
      <c r="O100" s="28">
        <f>IF(O$4&lt;O$90,0,O92+(O96-O92)/MAX(O$91-O$90,1)*(O$4-O$90))</f>
        <v/>
      </c>
      <c r="P100" s="28">
        <f>IF(P$4&lt;P$90,0,P92+(P96-P92)/MAX(P$91-P$90,1)*(P$4-P$90))</f>
        <v/>
      </c>
      <c r="Q100" s="28">
        <f>IF(Q$4&lt;Q$90,0,Q92+(Q96-Q92)/MAX(Q$91-Q$90,1)*(Q$4-Q$90))</f>
        <v/>
      </c>
      <c r="R100" s="28">
        <f>IF(R$4&lt;R$90,0,R92+(R96-R92)/MAX(R$91-R$90,1)*(R$4-R$90))</f>
        <v/>
      </c>
      <c r="S100" s="28">
        <f>IF(S$4&lt;S$90,0,S92+(S96-S92)/MAX(S$91-S$90,1)*(S$4-S$90))</f>
        <v/>
      </c>
      <c r="T100" s="28">
        <f>IF(T$4&lt;T$90,0,T92+(T96-T92)/MAX(T$91-T$90,1)*(T$4-T$90))</f>
        <v/>
      </c>
      <c r="U100" s="28">
        <f>IF(U$4&lt;U$90,0,U92+(U96-U92)/MAX(U$91-U$90,1)*(U$4-U$90))</f>
        <v/>
      </c>
      <c r="V100" s="28">
        <f>IF(V$4&lt;V$90,0,V92+(V96-V92)/MAX(V$91-V$90,1)*(V$4-V$90))</f>
        <v/>
      </c>
      <c r="W100" s="28">
        <f>IF(W$4&lt;W$90,0,W92+(W96-W92)/MAX(W$91-W$90,1)*(W$4-W$90))</f>
        <v/>
      </c>
      <c r="X100" s="28">
        <f>IF(X$4&lt;X$90,0,X92+(X96-X92)/MAX(X$91-X$90,1)*(X$4-X$90))</f>
        <v/>
      </c>
      <c r="Y100" s="28">
        <f>IF(Y$4&lt;Y$90,0,Y92+(Y96-Y92)/MAX(Y$91-Y$90,1)*(Y$4-Y$90))</f>
        <v/>
      </c>
      <c r="Z100" s="26">
        <f>LOWER(Settings!$C$4)&amp;".mit."&amp;$A100&amp;IF($C100="","","."&amp;$C100&amp;"."&amp;$B100)&amp;IF(INDEX(Variables!$D$5:$D$65,MATCH($A100,Variables!$A$5:$A$65,0))="","","."&amp;INDEX(Variables!$D$5:$D$65,MATCH($A100,Variables!$A$5:$A$65,0)))&amp;"."&amp;Z$5</f>
        <v/>
      </c>
      <c r="AA100" s="27">
        <f>IF(AA$4&lt;AA$90,0,AA92+(AA96-AA92)/MAX(AA$91-AA$90,1)*(AA$4-AA$90))</f>
        <v/>
      </c>
      <c r="AB100" s="28">
        <f>IF(AB$4&lt;AB$90,0,AB92+(AB96-AB92)/MAX(AB$91-AB$90,1)*(AB$4-AB$90))</f>
        <v/>
      </c>
      <c r="AC100" s="28">
        <f>IF(AC$4&lt;AC$90,0,AC92+(AC96-AC92)/MAX(AC$91-AC$90,1)*(AC$4-AC$90))</f>
        <v/>
      </c>
      <c r="AD100" s="28">
        <f>IF(AD$4&lt;AD$90,0,AD92+(AD96-AD92)/MAX(AD$91-AD$90,1)*(AD$4-AD$90))</f>
        <v/>
      </c>
      <c r="AE100" s="28">
        <f>IF(AE$4&lt;AE$90,0,AE92+(AE96-AE92)/MAX(AE$91-AE$90,1)*(AE$4-AE$90))</f>
        <v/>
      </c>
      <c r="AF100" s="28">
        <f>IF(AF$4&lt;AF$90,0,AF92+(AF96-AF92)/MAX(AF$91-AF$90,1)*(AF$4-AF$90))</f>
        <v/>
      </c>
      <c r="AG100" s="28">
        <f>IF(AG$4&lt;AG$90,0,AG92+(AG96-AG92)/MAX(AG$91-AG$90,1)*(AG$4-AG$90))</f>
        <v/>
      </c>
      <c r="AH100" s="28">
        <f>IF(AH$4&lt;AH$90,0,AH92+(AH96-AH92)/MAX(AH$91-AH$90,1)*(AH$4-AH$90))</f>
        <v/>
      </c>
      <c r="AI100" s="28">
        <f>IF(AI$4&lt;AI$90,0,AI92+(AI96-AI92)/MAX(AI$91-AI$90,1)*(AI$4-AI$90))</f>
        <v/>
      </c>
      <c r="AJ100" s="28">
        <f>IF(AJ$4&lt;AJ$90,0,AJ92+(AJ96-AJ92)/MAX(AJ$91-AJ$90,1)*(AJ$4-AJ$90))</f>
        <v/>
      </c>
      <c r="AK100" s="28">
        <f>IF(AK$4&lt;AK$90,0,AK92+(AK96-AK92)/MAX(AK$91-AK$90,1)*(AK$4-AK$90))</f>
        <v/>
      </c>
      <c r="AL100" s="28">
        <f>IF(AL$4&lt;AL$90,0,AL92+(AL96-AL92)/MAX(AL$91-AL$90,1)*(AL$4-AL$90))</f>
        <v/>
      </c>
      <c r="AM100" s="28">
        <f>IF(AM$4&lt;AM$90,0,AM92+(AM96-AM92)/MAX(AM$91-AM$90,1)*(AM$4-AM$90))</f>
        <v/>
      </c>
      <c r="AN100" s="28">
        <f>IF(AN$4&lt;AN$90,0,AN92+(AN96-AN92)/MAX(AN$91-AN$90,1)*(AN$4-AN$90))</f>
        <v/>
      </c>
    </row>
    <row r="101" hidden="1" outlineLevel="1">
      <c r="A101" s="7" t="inlineStr">
        <is>
          <t>fb</t>
        </is>
      </c>
      <c r="B101" s="7" t="inlineStr">
        <is>
          <t>all</t>
        </is>
      </c>
      <c r="C101" s="7" t="inlineStr">
        <is>
          <t>tra</t>
        </is>
      </c>
      <c r="H101" s="7">
        <f>INDEX(Variables!$B$5:$B$65,MATCH($A101,Variables!$A$5:$A$65,0))&amp;IF($C101="",""," | "&amp;INDEX(Mapping!$B$5:$B$25,MATCH($C101,Mapping!$A$5:$A$25,0))&amp;" | "&amp;INDEX(Mapping!$B$29:$B$38,MATCH($B101,Mapping!$A$29:$A$38,0)))</f>
        <v/>
      </c>
      <c r="I101" s="7">
        <f>INDEX(Variables!$C$5:$C$65,MATCH($A101,Variables!$A$5:$A$65,0))</f>
        <v/>
      </c>
      <c r="J101" s="7">
        <f>INDEX(Variables!$E$5:$E$65,MATCH($A101,Variables!$A$5:$A$65,0))</f>
        <v/>
      </c>
      <c r="K101" s="26">
        <f>LOWER(Settings!$C$4)&amp;".mit."&amp;$A101&amp;IF($C101="","","."&amp;$C101&amp;"."&amp;$B101)&amp;IF(INDEX(Variables!$D$5:$D$65,MATCH($A101,Variables!$A$5:$A$65,0))="","","."&amp;INDEX(Variables!$D$5:$D$65,MATCH($A101,Variables!$A$5:$A$65,0)))&amp;"."&amp;K$5</f>
        <v/>
      </c>
      <c r="L101" s="27">
        <f>IF(L$4&lt;L$90,0,L93+(L97-L93)/MAX(L$91-L$90,1)*(L$4-L$90))</f>
        <v/>
      </c>
      <c r="M101" s="28">
        <f>IF(M$4&lt;M$90,0,M93+(M97-M93)/MAX(M$91-M$90,1)*(M$4-M$90))</f>
        <v/>
      </c>
      <c r="N101" s="28">
        <f>IF(N$4&lt;N$90,0,N93+(N97-N93)/MAX(N$91-N$90,1)*(N$4-N$90))</f>
        <v/>
      </c>
      <c r="O101" s="28">
        <f>IF(O$4&lt;O$90,0,O93+(O97-O93)/MAX(O$91-O$90,1)*(O$4-O$90))</f>
        <v/>
      </c>
      <c r="P101" s="28">
        <f>IF(P$4&lt;P$90,0,P93+(P97-P93)/MAX(P$91-P$90,1)*(P$4-P$90))</f>
        <v/>
      </c>
      <c r="Q101" s="28">
        <f>IF(Q$4&lt;Q$90,0,Q93+(Q97-Q93)/MAX(Q$91-Q$90,1)*(Q$4-Q$90))</f>
        <v/>
      </c>
      <c r="R101" s="28">
        <f>IF(R$4&lt;R$90,0,R93+(R97-R93)/MAX(R$91-R$90,1)*(R$4-R$90))</f>
        <v/>
      </c>
      <c r="S101" s="28">
        <f>IF(S$4&lt;S$90,0,S93+(S97-S93)/MAX(S$91-S$90,1)*(S$4-S$90))</f>
        <v/>
      </c>
      <c r="T101" s="28">
        <f>IF(T$4&lt;T$90,0,T93+(T97-T93)/MAX(T$91-T$90,1)*(T$4-T$90))</f>
        <v/>
      </c>
      <c r="U101" s="28">
        <f>IF(U$4&lt;U$90,0,U93+(U97-U93)/MAX(U$91-U$90,1)*(U$4-U$90))</f>
        <v/>
      </c>
      <c r="V101" s="28">
        <f>IF(V$4&lt;V$90,0,V93+(V97-V93)/MAX(V$91-V$90,1)*(V$4-V$90))</f>
        <v/>
      </c>
      <c r="W101" s="28">
        <f>IF(W$4&lt;W$90,0,W93+(W97-W93)/MAX(W$91-W$90,1)*(W$4-W$90))</f>
        <v/>
      </c>
      <c r="X101" s="28">
        <f>IF(X$4&lt;X$90,0,X93+(X97-X93)/MAX(X$91-X$90,1)*(X$4-X$90))</f>
        <v/>
      </c>
      <c r="Y101" s="28">
        <f>IF(Y$4&lt;Y$90,0,Y93+(Y97-Y93)/MAX(Y$91-Y$90,1)*(Y$4-Y$90))</f>
        <v/>
      </c>
      <c r="Z101" s="26">
        <f>LOWER(Settings!$C$4)&amp;".mit."&amp;$A101&amp;IF($C101="","","."&amp;$C101&amp;"."&amp;$B101)&amp;IF(INDEX(Variables!$D$5:$D$65,MATCH($A101,Variables!$A$5:$A$65,0))="","","."&amp;INDEX(Variables!$D$5:$D$65,MATCH($A101,Variables!$A$5:$A$65,0)))&amp;"."&amp;Z$5</f>
        <v/>
      </c>
      <c r="AA101" s="27">
        <f>IF(AA$4&lt;AA$90,0,AA93+(AA97-AA93)/MAX(AA$91-AA$90,1)*(AA$4-AA$90))</f>
        <v/>
      </c>
      <c r="AB101" s="28">
        <f>IF(AB$4&lt;AB$90,0,AB93+(AB97-AB93)/MAX(AB$91-AB$90,1)*(AB$4-AB$90))</f>
        <v/>
      </c>
      <c r="AC101" s="28">
        <f>IF(AC$4&lt;AC$90,0,AC93+(AC97-AC93)/MAX(AC$91-AC$90,1)*(AC$4-AC$90))</f>
        <v/>
      </c>
      <c r="AD101" s="28">
        <f>IF(AD$4&lt;AD$90,0,AD93+(AD97-AD93)/MAX(AD$91-AD$90,1)*(AD$4-AD$90))</f>
        <v/>
      </c>
      <c r="AE101" s="28">
        <f>IF(AE$4&lt;AE$90,0,AE93+(AE97-AE93)/MAX(AE$91-AE$90,1)*(AE$4-AE$90))</f>
        <v/>
      </c>
      <c r="AF101" s="28">
        <f>IF(AF$4&lt;AF$90,0,AF93+(AF97-AF93)/MAX(AF$91-AF$90,1)*(AF$4-AF$90))</f>
        <v/>
      </c>
      <c r="AG101" s="28">
        <f>IF(AG$4&lt;AG$90,0,AG93+(AG97-AG93)/MAX(AG$91-AG$90,1)*(AG$4-AG$90))</f>
        <v/>
      </c>
      <c r="AH101" s="28">
        <f>IF(AH$4&lt;AH$90,0,AH93+(AH97-AH93)/MAX(AH$91-AH$90,1)*(AH$4-AH$90))</f>
        <v/>
      </c>
      <c r="AI101" s="28">
        <f>IF(AI$4&lt;AI$90,0,AI93+(AI97-AI93)/MAX(AI$91-AI$90,1)*(AI$4-AI$90))</f>
        <v/>
      </c>
      <c r="AJ101" s="28">
        <f>IF(AJ$4&lt;AJ$90,0,AJ93+(AJ97-AJ93)/MAX(AJ$91-AJ$90,1)*(AJ$4-AJ$90))</f>
        <v/>
      </c>
      <c r="AK101" s="28">
        <f>IF(AK$4&lt;AK$90,0,AK93+(AK97-AK93)/MAX(AK$91-AK$90,1)*(AK$4-AK$90))</f>
        <v/>
      </c>
      <c r="AL101" s="28">
        <f>IF(AL$4&lt;AL$90,0,AL93+(AL97-AL93)/MAX(AL$91-AL$90,1)*(AL$4-AL$90))</f>
        <v/>
      </c>
      <c r="AM101" s="28">
        <f>IF(AM$4&lt;AM$90,0,AM93+(AM97-AM93)/MAX(AM$91-AM$90,1)*(AM$4-AM$90))</f>
        <v/>
      </c>
      <c r="AN101" s="28">
        <f>IF(AN$4&lt;AN$90,0,AN93+(AN97-AN93)/MAX(AN$91-AN$90,1)*(AN$4-AN$90))</f>
        <v/>
      </c>
    </row>
    <row r="102" hidden="1" outlineLevel="1">
      <c r="A102" s="7" t="inlineStr">
        <is>
          <t>fb</t>
        </is>
      </c>
      <c r="B102" s="7" t="inlineStr">
        <is>
          <t>all</t>
        </is>
      </c>
      <c r="C102" s="7" t="inlineStr">
        <is>
          <t>res</t>
        </is>
      </c>
      <c r="H102" s="7">
        <f>INDEX(Variables!$B$5:$B$65,MATCH($A102,Variables!$A$5:$A$65,0))&amp;IF($C102="",""," | "&amp;INDEX(Mapping!$B$5:$B$25,MATCH($C102,Mapping!$A$5:$A$25,0))&amp;" | "&amp;INDEX(Mapping!$B$29:$B$38,MATCH($B102,Mapping!$A$29:$A$38,0)))</f>
        <v/>
      </c>
      <c r="I102" s="7">
        <f>INDEX(Variables!$C$5:$C$65,MATCH($A102,Variables!$A$5:$A$65,0))</f>
        <v/>
      </c>
      <c r="J102" s="7">
        <f>INDEX(Variables!$E$5:$E$65,MATCH($A102,Variables!$A$5:$A$65,0))</f>
        <v/>
      </c>
      <c r="K102" s="26">
        <f>LOWER(Settings!$C$4)&amp;".mit."&amp;$A102&amp;IF($C102="","","."&amp;$C102&amp;"."&amp;$B102)&amp;IF(INDEX(Variables!$D$5:$D$65,MATCH($A102,Variables!$A$5:$A$65,0))="","","."&amp;INDEX(Variables!$D$5:$D$65,MATCH($A102,Variables!$A$5:$A$65,0)))&amp;"."&amp;K$5</f>
        <v/>
      </c>
      <c r="L102" s="27">
        <f>IF(L$4&lt;L$90,0,L94+(L98-L94)/MAX(L$91-L$90,1)*(L$4-L$90))</f>
        <v/>
      </c>
      <c r="M102" s="28">
        <f>IF(M$4&lt;M$90,0,M94+(M98-M94)/MAX(M$91-M$90,1)*(M$4-M$90))</f>
        <v/>
      </c>
      <c r="N102" s="28">
        <f>IF(N$4&lt;N$90,0,N94+(N98-N94)/MAX(N$91-N$90,1)*(N$4-N$90))</f>
        <v/>
      </c>
      <c r="O102" s="28">
        <f>IF(O$4&lt;O$90,0,O94+(O98-O94)/MAX(O$91-O$90,1)*(O$4-O$90))</f>
        <v/>
      </c>
      <c r="P102" s="28">
        <f>IF(P$4&lt;P$90,0,P94+(P98-P94)/MAX(P$91-P$90,1)*(P$4-P$90))</f>
        <v/>
      </c>
      <c r="Q102" s="28">
        <f>IF(Q$4&lt;Q$90,0,Q94+(Q98-Q94)/MAX(Q$91-Q$90,1)*(Q$4-Q$90))</f>
        <v/>
      </c>
      <c r="R102" s="28">
        <f>IF(R$4&lt;R$90,0,R94+(R98-R94)/MAX(R$91-R$90,1)*(R$4-R$90))</f>
        <v/>
      </c>
      <c r="S102" s="28">
        <f>IF(S$4&lt;S$90,0,S94+(S98-S94)/MAX(S$91-S$90,1)*(S$4-S$90))</f>
        <v/>
      </c>
      <c r="T102" s="28">
        <f>IF(T$4&lt;T$90,0,T94+(T98-T94)/MAX(T$91-T$90,1)*(T$4-T$90))</f>
        <v/>
      </c>
      <c r="U102" s="28">
        <f>IF(U$4&lt;U$90,0,U94+(U98-U94)/MAX(U$91-U$90,1)*(U$4-U$90))</f>
        <v/>
      </c>
      <c r="V102" s="28">
        <f>IF(V$4&lt;V$90,0,V94+(V98-V94)/MAX(V$91-V$90,1)*(V$4-V$90))</f>
        <v/>
      </c>
      <c r="W102" s="28">
        <f>IF(W$4&lt;W$90,0,W94+(W98-W94)/MAX(W$91-W$90,1)*(W$4-W$90))</f>
        <v/>
      </c>
      <c r="X102" s="28">
        <f>IF(X$4&lt;X$90,0,X94+(X98-X94)/MAX(X$91-X$90,1)*(X$4-X$90))</f>
        <v/>
      </c>
      <c r="Y102" s="28">
        <f>IF(Y$4&lt;Y$90,0,Y94+(Y98-Y94)/MAX(Y$91-Y$90,1)*(Y$4-Y$90))</f>
        <v/>
      </c>
      <c r="Z102" s="26">
        <f>LOWER(Settings!$C$4)&amp;".mit."&amp;$A102&amp;IF($C102="","","."&amp;$C102&amp;"."&amp;$B102)&amp;IF(INDEX(Variables!$D$5:$D$65,MATCH($A102,Variables!$A$5:$A$65,0))="","","."&amp;INDEX(Variables!$D$5:$D$65,MATCH($A102,Variables!$A$5:$A$65,0)))&amp;"."&amp;Z$5</f>
        <v/>
      </c>
      <c r="AA102" s="27">
        <f>IF(AA$4&lt;AA$90,0,AA94+(AA98-AA94)/MAX(AA$91-AA$90,1)*(AA$4-AA$90))</f>
        <v/>
      </c>
      <c r="AB102" s="28">
        <f>IF(AB$4&lt;AB$90,0,AB94+(AB98-AB94)/MAX(AB$91-AB$90,1)*(AB$4-AB$90))</f>
        <v/>
      </c>
      <c r="AC102" s="28">
        <f>IF(AC$4&lt;AC$90,0,AC94+(AC98-AC94)/MAX(AC$91-AC$90,1)*(AC$4-AC$90))</f>
        <v/>
      </c>
      <c r="AD102" s="28">
        <f>IF(AD$4&lt;AD$90,0,AD94+(AD98-AD94)/MAX(AD$91-AD$90,1)*(AD$4-AD$90))</f>
        <v/>
      </c>
      <c r="AE102" s="28">
        <f>IF(AE$4&lt;AE$90,0,AE94+(AE98-AE94)/MAX(AE$91-AE$90,1)*(AE$4-AE$90))</f>
        <v/>
      </c>
      <c r="AF102" s="28">
        <f>IF(AF$4&lt;AF$90,0,AF94+(AF98-AF94)/MAX(AF$91-AF$90,1)*(AF$4-AF$90))</f>
        <v/>
      </c>
      <c r="AG102" s="28">
        <f>IF(AG$4&lt;AG$90,0,AG94+(AG98-AG94)/MAX(AG$91-AG$90,1)*(AG$4-AG$90))</f>
        <v/>
      </c>
      <c r="AH102" s="28">
        <f>IF(AH$4&lt;AH$90,0,AH94+(AH98-AH94)/MAX(AH$91-AH$90,1)*(AH$4-AH$90))</f>
        <v/>
      </c>
      <c r="AI102" s="28">
        <f>IF(AI$4&lt;AI$90,0,AI94+(AI98-AI94)/MAX(AI$91-AI$90,1)*(AI$4-AI$90))</f>
        <v/>
      </c>
      <c r="AJ102" s="28">
        <f>IF(AJ$4&lt;AJ$90,0,AJ94+(AJ98-AJ94)/MAX(AJ$91-AJ$90,1)*(AJ$4-AJ$90))</f>
        <v/>
      </c>
      <c r="AK102" s="28">
        <f>IF(AK$4&lt;AK$90,0,AK94+(AK98-AK94)/MAX(AK$91-AK$90,1)*(AK$4-AK$90))</f>
        <v/>
      </c>
      <c r="AL102" s="28">
        <f>IF(AL$4&lt;AL$90,0,AL94+(AL98-AL94)/MAX(AL$91-AL$90,1)*(AL$4-AL$90))</f>
        <v/>
      </c>
      <c r="AM102" s="28">
        <f>IF(AM$4&lt;AM$90,0,AM94+(AM98-AM94)/MAX(AM$91-AM$90,1)*(AM$4-AM$90))</f>
        <v/>
      </c>
      <c r="AN102" s="28">
        <f>IF(AN$4&lt;AN$90,0,AN94+(AN98-AN94)/MAX(AN$91-AN$90,1)*(AN$4-AN$90))</f>
        <v/>
      </c>
    </row>
    <row r="103" hidden="1" outlineLevel="1">
      <c r="A103" s="7" t="inlineStr">
        <is>
          <t>fb</t>
        </is>
      </c>
      <c r="B103" s="7" t="inlineStr">
        <is>
          <t>all</t>
        </is>
      </c>
      <c r="C103" s="7" t="inlineStr">
        <is>
          <t>ind</t>
        </is>
      </c>
      <c r="H103" s="7">
        <f>INDEX(Variables!$B$5:$B$65,MATCH($A103,Variables!$A$5:$A$65,0))&amp;IF($C103="",""," | "&amp;INDEX(Mapping!$B$5:$B$25,MATCH($C103,Mapping!$A$5:$A$25,0))&amp;" | "&amp;INDEX(Mapping!$B$29:$B$38,MATCH($B103,Mapping!$A$29:$A$38,0)))</f>
        <v/>
      </c>
      <c r="I103" s="7">
        <f>INDEX(Variables!$C$5:$C$65,MATCH($A103,Variables!$A$5:$A$65,0))</f>
        <v/>
      </c>
      <c r="J103" s="7">
        <f>INDEX(Variables!$E$5:$E$65,MATCH($A103,Variables!$A$5:$A$65,0))</f>
        <v/>
      </c>
      <c r="K103" s="26">
        <f>LOWER(Settings!$C$4)&amp;".mit."&amp;$A103&amp;IF($C103="","","."&amp;$C103&amp;"."&amp;$B103)&amp;IF(INDEX(Variables!$D$5:$D$65,MATCH($A103,Variables!$A$5:$A$65,0))="","","."&amp;INDEX(Variables!$D$5:$D$65,MATCH($A103,Variables!$A$5:$A$65,0)))&amp;"."&amp;K$5</f>
        <v/>
      </c>
      <c r="L103" s="27">
        <f>IF(L$4&lt;L$90,0,L95+(L99-L95)/MAX(L$91-L$90,1)*(L$4-L$90))</f>
        <v/>
      </c>
      <c r="M103" s="28">
        <f>IF(M$4&lt;M$90,0,M95+(M99-M95)/MAX(M$91-M$90,1)*(M$4-M$90))</f>
        <v/>
      </c>
      <c r="N103" s="28">
        <f>IF(N$4&lt;N$90,0,N95+(N99-N95)/MAX(N$91-N$90,1)*(N$4-N$90))</f>
        <v/>
      </c>
      <c r="O103" s="28">
        <f>IF(O$4&lt;O$90,0,O95+(O99-O95)/MAX(O$91-O$90,1)*(O$4-O$90))</f>
        <v/>
      </c>
      <c r="P103" s="28">
        <f>IF(P$4&lt;P$90,0,P95+(P99-P95)/MAX(P$91-P$90,1)*(P$4-P$90))</f>
        <v/>
      </c>
      <c r="Q103" s="28">
        <f>IF(Q$4&lt;Q$90,0,Q95+(Q99-Q95)/MAX(Q$91-Q$90,1)*(Q$4-Q$90))</f>
        <v/>
      </c>
      <c r="R103" s="28">
        <f>IF(R$4&lt;R$90,0,R95+(R99-R95)/MAX(R$91-R$90,1)*(R$4-R$90))</f>
        <v/>
      </c>
      <c r="S103" s="28">
        <f>IF(S$4&lt;S$90,0,S95+(S99-S95)/MAX(S$91-S$90,1)*(S$4-S$90))</f>
        <v/>
      </c>
      <c r="T103" s="28">
        <f>IF(T$4&lt;T$90,0,T95+(T99-T95)/MAX(T$91-T$90,1)*(T$4-T$90))</f>
        <v/>
      </c>
      <c r="U103" s="28">
        <f>IF(U$4&lt;U$90,0,U95+(U99-U95)/MAX(U$91-U$90,1)*(U$4-U$90))</f>
        <v/>
      </c>
      <c r="V103" s="28">
        <f>IF(V$4&lt;V$90,0,V95+(V99-V95)/MAX(V$91-V$90,1)*(V$4-V$90))</f>
        <v/>
      </c>
      <c r="W103" s="28">
        <f>IF(W$4&lt;W$90,0,W95+(W99-W95)/MAX(W$91-W$90,1)*(W$4-W$90))</f>
        <v/>
      </c>
      <c r="X103" s="28">
        <f>IF(X$4&lt;X$90,0,X95+(X99-X95)/MAX(X$91-X$90,1)*(X$4-X$90))</f>
        <v/>
      </c>
      <c r="Y103" s="28">
        <f>IF(Y$4&lt;Y$90,0,Y95+(Y99-Y95)/MAX(Y$91-Y$90,1)*(Y$4-Y$90))</f>
        <v/>
      </c>
      <c r="Z103" s="26">
        <f>LOWER(Settings!$C$4)&amp;".mit."&amp;$A103&amp;IF($C103="","","."&amp;$C103&amp;"."&amp;$B103)&amp;IF(INDEX(Variables!$D$5:$D$65,MATCH($A103,Variables!$A$5:$A$65,0))="","","."&amp;INDEX(Variables!$D$5:$D$65,MATCH($A103,Variables!$A$5:$A$65,0)))&amp;"."&amp;Z$5</f>
        <v/>
      </c>
      <c r="AA103" s="27">
        <f>IF(AA$4&lt;AA$90,0,AA95+(AA99-AA95)/MAX(AA$91-AA$90,1)*(AA$4-AA$90))</f>
        <v/>
      </c>
      <c r="AB103" s="28">
        <f>IF(AB$4&lt;AB$90,0,AB95+(AB99-AB95)/MAX(AB$91-AB$90,1)*(AB$4-AB$90))</f>
        <v/>
      </c>
      <c r="AC103" s="28">
        <f>IF(AC$4&lt;AC$90,0,AC95+(AC99-AC95)/MAX(AC$91-AC$90,1)*(AC$4-AC$90))</f>
        <v/>
      </c>
      <c r="AD103" s="28">
        <f>IF(AD$4&lt;AD$90,0,AD95+(AD99-AD95)/MAX(AD$91-AD$90,1)*(AD$4-AD$90))</f>
        <v/>
      </c>
      <c r="AE103" s="28">
        <f>IF(AE$4&lt;AE$90,0,AE95+(AE99-AE95)/MAX(AE$91-AE$90,1)*(AE$4-AE$90))</f>
        <v/>
      </c>
      <c r="AF103" s="28">
        <f>IF(AF$4&lt;AF$90,0,AF95+(AF99-AF95)/MAX(AF$91-AF$90,1)*(AF$4-AF$90))</f>
        <v/>
      </c>
      <c r="AG103" s="28">
        <f>IF(AG$4&lt;AG$90,0,AG95+(AG99-AG95)/MAX(AG$91-AG$90,1)*(AG$4-AG$90))</f>
        <v/>
      </c>
      <c r="AH103" s="28">
        <f>IF(AH$4&lt;AH$90,0,AH95+(AH99-AH95)/MAX(AH$91-AH$90,1)*(AH$4-AH$90))</f>
        <v/>
      </c>
      <c r="AI103" s="28">
        <f>IF(AI$4&lt;AI$90,0,AI95+(AI99-AI95)/MAX(AI$91-AI$90,1)*(AI$4-AI$90))</f>
        <v/>
      </c>
      <c r="AJ103" s="28">
        <f>IF(AJ$4&lt;AJ$90,0,AJ95+(AJ99-AJ95)/MAX(AJ$91-AJ$90,1)*(AJ$4-AJ$90))</f>
        <v/>
      </c>
      <c r="AK103" s="28">
        <f>IF(AK$4&lt;AK$90,0,AK95+(AK99-AK95)/MAX(AK$91-AK$90,1)*(AK$4-AK$90))</f>
        <v/>
      </c>
      <c r="AL103" s="28">
        <f>IF(AL$4&lt;AL$90,0,AL95+(AL99-AL95)/MAX(AL$91-AL$90,1)*(AL$4-AL$90))</f>
        <v/>
      </c>
      <c r="AM103" s="28">
        <f>IF(AM$4&lt;AM$90,0,AM95+(AM99-AM95)/MAX(AM$91-AM$90,1)*(AM$4-AM$90))</f>
        <v/>
      </c>
      <c r="AN103" s="28">
        <f>IF(AN$4&lt;AN$90,0,AN95+(AN99-AN95)/MAX(AN$91-AN$90,1)*(AN$4-AN$90))</f>
        <v/>
      </c>
    </row>
    <row r="104" hidden="1" outlineLevel="1">
      <c r="H104" s="29" t="inlineStr">
        <is>
          <t>Feebates sector coverage (MTInputs rows 66-82)</t>
        </is>
      </c>
    </row>
    <row r="105" hidden="1" outlineLevel="1">
      <c r="A105" s="5" t="inlineStr">
        <is>
          <t>fbcov</t>
        </is>
      </c>
      <c r="B105" s="5" t="inlineStr">
        <is>
          <t>all</t>
        </is>
      </c>
      <c r="C105" s="5" t="inlineStr">
        <is>
          <t>pow</t>
        </is>
      </c>
      <c r="D105" s="6" t="n">
        <v>66</v>
      </c>
      <c r="H105" s="5">
        <f>INDEX(Variables!$B$5:$B$65,MATCH($A105,Variables!$A$5:$A$65,0))&amp;IF($C105="",""," | "&amp;INDEX(Mapping!$B$5:$B$25,MATCH($C105,Mapping!$A$5:$A$25,0))&amp;" | "&amp;INDEX(Mapping!$B$29:$B$38,MATCH($B105,Mapping!$A$29:$A$38,0)))</f>
        <v/>
      </c>
      <c r="I105" s="5">
        <f>INDEX(Variables!$C$5:$C$65,MATCH($A105,Variables!$A$5:$A$65,0))</f>
        <v/>
      </c>
      <c r="J105" s="5">
        <f>INDEX(Variables!$E$5:$E$65,MATCH($A105,Variables!$A$5:$A$65,0))</f>
        <v/>
      </c>
      <c r="K105" s="23">
        <f>LOWER(Settings!$C$4)&amp;".mit."&amp;$A105&amp;IF($C105="","","."&amp;$C105&amp;"."&amp;$B105)&amp;IF(INDEX(Variables!$D$5:$D$65,MATCH($A105,Variables!$A$5:$A$65,0))="","","."&amp;INDEX(Variables!$D$5:$D$65,MATCH($A105,Variables!$A$5:$A$65,0)))&amp;"."&amp;K$5</f>
        <v/>
      </c>
      <c r="L105" s="30">
        <f>INDEX(MTInputs!$J$1:$AZ$415,$D105,MATCH(L$5,MTInputs!$J$5:$AZ$5,0))</f>
        <v/>
      </c>
      <c r="M105" s="31">
        <f>INDEX(MTInputs!$J$1:$AZ$415,$D105,MATCH(M$5,MTInputs!$J$5:$AZ$5,0))</f>
        <v/>
      </c>
      <c r="N105" s="31">
        <f>INDEX(MTInputs!$J$1:$AZ$415,$D105,MATCH(N$5,MTInputs!$J$5:$AZ$5,0))</f>
        <v/>
      </c>
      <c r="O105" s="31">
        <f>INDEX(MTInputs!$J$1:$AZ$415,$D105,MATCH(O$5,MTInputs!$J$5:$AZ$5,0))</f>
        <v/>
      </c>
      <c r="P105" s="31">
        <f>INDEX(MTInputs!$J$1:$AZ$415,$D105,MATCH(P$5,MTInputs!$J$5:$AZ$5,0))</f>
        <v/>
      </c>
      <c r="Q105" s="31">
        <f>INDEX(MTInputs!$J$1:$AZ$415,$D105,MATCH(Q$5,MTInputs!$J$5:$AZ$5,0))</f>
        <v/>
      </c>
      <c r="R105" s="31">
        <f>INDEX(MTInputs!$J$1:$AZ$415,$D105,MATCH(R$5,MTInputs!$J$5:$AZ$5,0))</f>
        <v/>
      </c>
      <c r="S105" s="31">
        <f>INDEX(MTInputs!$J$1:$AZ$415,$D105,MATCH(S$5,MTInputs!$J$5:$AZ$5,0))</f>
        <v/>
      </c>
      <c r="T105" s="31">
        <f>INDEX(MTInputs!$J$1:$AZ$415,$D105,MATCH(T$5,MTInputs!$J$5:$AZ$5,0))</f>
        <v/>
      </c>
      <c r="U105" s="31">
        <f>INDEX(MTInputs!$J$1:$AZ$415,$D105,MATCH(U$5,MTInputs!$J$5:$AZ$5,0))</f>
        <v/>
      </c>
      <c r="V105" s="31">
        <f>INDEX(MTInputs!$J$1:$AZ$415,$D105,MATCH(V$5,MTInputs!$J$5:$AZ$5,0))</f>
        <v/>
      </c>
      <c r="W105" s="31">
        <f>INDEX(MTInputs!$J$1:$AZ$415,$D105,MATCH(W$5,MTInputs!$J$5:$AZ$5,0))</f>
        <v/>
      </c>
      <c r="X105" s="31">
        <f>INDEX(MTInputs!$J$1:$AZ$415,$D105,MATCH(X$5,MTInputs!$J$5:$AZ$5,0))</f>
        <v/>
      </c>
      <c r="Y105" s="31">
        <f>INDEX(MTInputs!$J$1:$AZ$415,$D105,MATCH(Y$5,MTInputs!$J$5:$AZ$5,0))</f>
        <v/>
      </c>
      <c r="Z105" s="23">
        <f>LOWER(Settings!$C$4)&amp;".mit."&amp;$A105&amp;IF($C105="","","."&amp;$C105&amp;"."&amp;$B105)&amp;IF(INDEX(Variables!$D$5:$D$65,MATCH($A105,Variables!$A$5:$A$65,0))="","","."&amp;INDEX(Variables!$D$5:$D$65,MATCH($A105,Variables!$A$5:$A$65,0)))&amp;"."&amp;Z$5</f>
        <v/>
      </c>
      <c r="AA105" s="30">
        <f>INDEX(MTInputs!$J$1:$AZ$415,$D105,MATCH(AA$5,MTInputs!$J$5:$AZ$5,0))</f>
        <v/>
      </c>
      <c r="AB105" s="31">
        <f>INDEX(MTInputs!$J$1:$AZ$415,$D105,MATCH(AB$5,MTInputs!$J$5:$AZ$5,0))</f>
        <v/>
      </c>
      <c r="AC105" s="31">
        <f>INDEX(MTInputs!$J$1:$AZ$415,$D105,MATCH(AC$5,MTInputs!$J$5:$AZ$5,0))</f>
        <v/>
      </c>
      <c r="AD105" s="31">
        <f>INDEX(MTInputs!$J$1:$AZ$415,$D105,MATCH(AD$5,MTInputs!$J$5:$AZ$5,0))</f>
        <v/>
      </c>
      <c r="AE105" s="31">
        <f>INDEX(MTInputs!$J$1:$AZ$415,$D105,MATCH(AE$5,MTInputs!$J$5:$AZ$5,0))</f>
        <v/>
      </c>
      <c r="AF105" s="31">
        <f>INDEX(MTInputs!$J$1:$AZ$415,$D105,MATCH(AF$5,MTInputs!$J$5:$AZ$5,0))</f>
        <v/>
      </c>
      <c r="AG105" s="31">
        <f>INDEX(MTInputs!$J$1:$AZ$415,$D105,MATCH(AG$5,MTInputs!$J$5:$AZ$5,0))</f>
        <v/>
      </c>
      <c r="AH105" s="31">
        <f>INDEX(MTInputs!$J$1:$AZ$415,$D105,MATCH(AH$5,MTInputs!$J$5:$AZ$5,0))</f>
        <v/>
      </c>
      <c r="AI105" s="31">
        <f>INDEX(MTInputs!$J$1:$AZ$415,$D105,MATCH(AI$5,MTInputs!$J$5:$AZ$5,0))</f>
        <v/>
      </c>
      <c r="AJ105" s="31">
        <f>INDEX(MTInputs!$J$1:$AZ$415,$D105,MATCH(AJ$5,MTInputs!$J$5:$AZ$5,0))</f>
        <v/>
      </c>
      <c r="AK105" s="31">
        <f>INDEX(MTInputs!$J$1:$AZ$415,$D105,MATCH(AK$5,MTInputs!$J$5:$AZ$5,0))</f>
        <v/>
      </c>
      <c r="AL105" s="31">
        <f>INDEX(MTInputs!$J$1:$AZ$415,$D105,MATCH(AL$5,MTInputs!$J$5:$AZ$5,0))</f>
        <v/>
      </c>
      <c r="AM105" s="31">
        <f>INDEX(MTInputs!$J$1:$AZ$415,$D105,MATCH(AM$5,MTInputs!$J$5:$AZ$5,0))</f>
        <v/>
      </c>
      <c r="AN105" s="31">
        <f>INDEX(MTInputs!$J$1:$AZ$415,$D105,MATCH(AN$5,MTInputs!$J$5:$AZ$5,0))</f>
        <v/>
      </c>
    </row>
    <row r="106" hidden="1" outlineLevel="1">
      <c r="A106" s="5" t="inlineStr">
        <is>
          <t>fbcov</t>
        </is>
      </c>
      <c r="B106" s="5" t="inlineStr">
        <is>
          <t>all</t>
        </is>
      </c>
      <c r="C106" s="5" t="inlineStr">
        <is>
          <t>rod</t>
        </is>
      </c>
      <c r="D106" s="6" t="n">
        <v>67</v>
      </c>
      <c r="H106" s="5">
        <f>INDEX(Variables!$B$5:$B$65,MATCH($A106,Variables!$A$5:$A$65,0))&amp;IF($C106="",""," | "&amp;INDEX(Mapping!$B$5:$B$25,MATCH($C106,Mapping!$A$5:$A$25,0))&amp;" | "&amp;INDEX(Mapping!$B$29:$B$38,MATCH($B106,Mapping!$A$29:$A$38,0)))</f>
        <v/>
      </c>
      <c r="I106" s="5">
        <f>INDEX(Variables!$C$5:$C$65,MATCH($A106,Variables!$A$5:$A$65,0))</f>
        <v/>
      </c>
      <c r="J106" s="5">
        <f>INDEX(Variables!$E$5:$E$65,MATCH($A106,Variables!$A$5:$A$65,0))</f>
        <v/>
      </c>
      <c r="K106" s="23">
        <f>LOWER(Settings!$C$4)&amp;".mit."&amp;$A106&amp;IF($C106="","","."&amp;$C106&amp;"."&amp;$B106)&amp;IF(INDEX(Variables!$D$5:$D$65,MATCH($A106,Variables!$A$5:$A$65,0))="","","."&amp;INDEX(Variables!$D$5:$D$65,MATCH($A106,Variables!$A$5:$A$65,0)))&amp;"."&amp;K$5</f>
        <v/>
      </c>
      <c r="L106" s="30">
        <f>INDEX(MTInputs!$J$1:$AZ$415,$D106,MATCH(L$5,MTInputs!$J$5:$AZ$5,0))</f>
        <v/>
      </c>
      <c r="M106" s="31">
        <f>INDEX(MTInputs!$J$1:$AZ$415,$D106,MATCH(M$5,MTInputs!$J$5:$AZ$5,0))</f>
        <v/>
      </c>
      <c r="N106" s="31">
        <f>INDEX(MTInputs!$J$1:$AZ$415,$D106,MATCH(N$5,MTInputs!$J$5:$AZ$5,0))</f>
        <v/>
      </c>
      <c r="O106" s="31">
        <f>INDEX(MTInputs!$J$1:$AZ$415,$D106,MATCH(O$5,MTInputs!$J$5:$AZ$5,0))</f>
        <v/>
      </c>
      <c r="P106" s="31">
        <f>INDEX(MTInputs!$J$1:$AZ$415,$D106,MATCH(P$5,MTInputs!$J$5:$AZ$5,0))</f>
        <v/>
      </c>
      <c r="Q106" s="31">
        <f>INDEX(MTInputs!$J$1:$AZ$415,$D106,MATCH(Q$5,MTInputs!$J$5:$AZ$5,0))</f>
        <v/>
      </c>
      <c r="R106" s="31">
        <f>INDEX(MTInputs!$J$1:$AZ$415,$D106,MATCH(R$5,MTInputs!$J$5:$AZ$5,0))</f>
        <v/>
      </c>
      <c r="S106" s="31">
        <f>INDEX(MTInputs!$J$1:$AZ$415,$D106,MATCH(S$5,MTInputs!$J$5:$AZ$5,0))</f>
        <v/>
      </c>
      <c r="T106" s="31">
        <f>INDEX(MTInputs!$J$1:$AZ$415,$D106,MATCH(T$5,MTInputs!$J$5:$AZ$5,0))</f>
        <v/>
      </c>
      <c r="U106" s="31">
        <f>INDEX(MTInputs!$J$1:$AZ$415,$D106,MATCH(U$5,MTInputs!$J$5:$AZ$5,0))</f>
        <v/>
      </c>
      <c r="V106" s="31">
        <f>INDEX(MTInputs!$J$1:$AZ$415,$D106,MATCH(V$5,MTInputs!$J$5:$AZ$5,0))</f>
        <v/>
      </c>
      <c r="W106" s="31">
        <f>INDEX(MTInputs!$J$1:$AZ$415,$D106,MATCH(W$5,MTInputs!$J$5:$AZ$5,0))</f>
        <v/>
      </c>
      <c r="X106" s="31">
        <f>INDEX(MTInputs!$J$1:$AZ$415,$D106,MATCH(X$5,MTInputs!$J$5:$AZ$5,0))</f>
        <v/>
      </c>
      <c r="Y106" s="31">
        <f>INDEX(MTInputs!$J$1:$AZ$415,$D106,MATCH(Y$5,MTInputs!$J$5:$AZ$5,0))</f>
        <v/>
      </c>
      <c r="Z106" s="23">
        <f>LOWER(Settings!$C$4)&amp;".mit."&amp;$A106&amp;IF($C106="","","."&amp;$C106&amp;"."&amp;$B106)&amp;IF(INDEX(Variables!$D$5:$D$65,MATCH($A106,Variables!$A$5:$A$65,0))="","","."&amp;INDEX(Variables!$D$5:$D$65,MATCH($A106,Variables!$A$5:$A$65,0)))&amp;"."&amp;Z$5</f>
        <v/>
      </c>
      <c r="AA106" s="30">
        <f>INDEX(MTInputs!$J$1:$AZ$415,$D106,MATCH(AA$5,MTInputs!$J$5:$AZ$5,0))</f>
        <v/>
      </c>
      <c r="AB106" s="31">
        <f>INDEX(MTInputs!$J$1:$AZ$415,$D106,MATCH(AB$5,MTInputs!$J$5:$AZ$5,0))</f>
        <v/>
      </c>
      <c r="AC106" s="31">
        <f>INDEX(MTInputs!$J$1:$AZ$415,$D106,MATCH(AC$5,MTInputs!$J$5:$AZ$5,0))</f>
        <v/>
      </c>
      <c r="AD106" s="31">
        <f>INDEX(MTInputs!$J$1:$AZ$415,$D106,MATCH(AD$5,MTInputs!$J$5:$AZ$5,0))</f>
        <v/>
      </c>
      <c r="AE106" s="31">
        <f>INDEX(MTInputs!$J$1:$AZ$415,$D106,MATCH(AE$5,MTInputs!$J$5:$AZ$5,0))</f>
        <v/>
      </c>
      <c r="AF106" s="31">
        <f>INDEX(MTInputs!$J$1:$AZ$415,$D106,MATCH(AF$5,MTInputs!$J$5:$AZ$5,0))</f>
        <v/>
      </c>
      <c r="AG106" s="31">
        <f>INDEX(MTInputs!$J$1:$AZ$415,$D106,MATCH(AG$5,MTInputs!$J$5:$AZ$5,0))</f>
        <v/>
      </c>
      <c r="AH106" s="31">
        <f>INDEX(MTInputs!$J$1:$AZ$415,$D106,MATCH(AH$5,MTInputs!$J$5:$AZ$5,0))</f>
        <v/>
      </c>
      <c r="AI106" s="31">
        <f>INDEX(MTInputs!$J$1:$AZ$415,$D106,MATCH(AI$5,MTInputs!$J$5:$AZ$5,0))</f>
        <v/>
      </c>
      <c r="AJ106" s="31">
        <f>INDEX(MTInputs!$J$1:$AZ$415,$D106,MATCH(AJ$5,MTInputs!$J$5:$AZ$5,0))</f>
        <v/>
      </c>
      <c r="AK106" s="31">
        <f>INDEX(MTInputs!$J$1:$AZ$415,$D106,MATCH(AK$5,MTInputs!$J$5:$AZ$5,0))</f>
        <v/>
      </c>
      <c r="AL106" s="31">
        <f>INDEX(MTInputs!$J$1:$AZ$415,$D106,MATCH(AL$5,MTInputs!$J$5:$AZ$5,0))</f>
        <v/>
      </c>
      <c r="AM106" s="31">
        <f>INDEX(MTInputs!$J$1:$AZ$415,$D106,MATCH(AM$5,MTInputs!$J$5:$AZ$5,0))</f>
        <v/>
      </c>
      <c r="AN106" s="31">
        <f>INDEX(MTInputs!$J$1:$AZ$415,$D106,MATCH(AN$5,MTInputs!$J$5:$AZ$5,0))</f>
        <v/>
      </c>
    </row>
    <row r="107" hidden="1" outlineLevel="1">
      <c r="A107" s="5" t="inlineStr">
        <is>
          <t>fbcov</t>
        </is>
      </c>
      <c r="B107" s="5" t="inlineStr">
        <is>
          <t>all</t>
        </is>
      </c>
      <c r="C107" s="5" t="inlineStr">
        <is>
          <t>ral</t>
        </is>
      </c>
      <c r="D107" s="6" t="n">
        <v>68</v>
      </c>
      <c r="H107" s="5">
        <f>INDEX(Variables!$B$5:$B$65,MATCH($A107,Variables!$A$5:$A$65,0))&amp;IF($C107="",""," | "&amp;INDEX(Mapping!$B$5:$B$25,MATCH($C107,Mapping!$A$5:$A$25,0))&amp;" | "&amp;INDEX(Mapping!$B$29:$B$38,MATCH($B107,Mapping!$A$29:$A$38,0)))</f>
        <v/>
      </c>
      <c r="I107" s="5">
        <f>INDEX(Variables!$C$5:$C$65,MATCH($A107,Variables!$A$5:$A$65,0))</f>
        <v/>
      </c>
      <c r="J107" s="5">
        <f>INDEX(Variables!$E$5:$E$65,MATCH($A107,Variables!$A$5:$A$65,0))</f>
        <v/>
      </c>
      <c r="K107" s="23">
        <f>LOWER(Settings!$C$4)&amp;".mit."&amp;$A107&amp;IF($C107="","","."&amp;$C107&amp;"."&amp;$B107)&amp;IF(INDEX(Variables!$D$5:$D$65,MATCH($A107,Variables!$A$5:$A$65,0))="","","."&amp;INDEX(Variables!$D$5:$D$65,MATCH($A107,Variables!$A$5:$A$65,0)))&amp;"."&amp;K$5</f>
        <v/>
      </c>
      <c r="L107" s="30">
        <f>INDEX(MTInputs!$J$1:$AZ$415,$D107,MATCH(L$5,MTInputs!$J$5:$AZ$5,0))</f>
        <v/>
      </c>
      <c r="M107" s="31">
        <f>INDEX(MTInputs!$J$1:$AZ$415,$D107,MATCH(M$5,MTInputs!$J$5:$AZ$5,0))</f>
        <v/>
      </c>
      <c r="N107" s="31">
        <f>INDEX(MTInputs!$J$1:$AZ$415,$D107,MATCH(N$5,MTInputs!$J$5:$AZ$5,0))</f>
        <v/>
      </c>
      <c r="O107" s="31">
        <f>INDEX(MTInputs!$J$1:$AZ$415,$D107,MATCH(O$5,MTInputs!$J$5:$AZ$5,0))</f>
        <v/>
      </c>
      <c r="P107" s="31">
        <f>INDEX(MTInputs!$J$1:$AZ$415,$D107,MATCH(P$5,MTInputs!$J$5:$AZ$5,0))</f>
        <v/>
      </c>
      <c r="Q107" s="31">
        <f>INDEX(MTInputs!$J$1:$AZ$415,$D107,MATCH(Q$5,MTInputs!$J$5:$AZ$5,0))</f>
        <v/>
      </c>
      <c r="R107" s="31">
        <f>INDEX(MTInputs!$J$1:$AZ$415,$D107,MATCH(R$5,MTInputs!$J$5:$AZ$5,0))</f>
        <v/>
      </c>
      <c r="S107" s="31">
        <f>INDEX(MTInputs!$J$1:$AZ$415,$D107,MATCH(S$5,MTInputs!$J$5:$AZ$5,0))</f>
        <v/>
      </c>
      <c r="T107" s="31">
        <f>INDEX(MTInputs!$J$1:$AZ$415,$D107,MATCH(T$5,MTInputs!$J$5:$AZ$5,0))</f>
        <v/>
      </c>
      <c r="U107" s="31">
        <f>INDEX(MTInputs!$J$1:$AZ$415,$D107,MATCH(U$5,MTInputs!$J$5:$AZ$5,0))</f>
        <v/>
      </c>
      <c r="V107" s="31">
        <f>INDEX(MTInputs!$J$1:$AZ$415,$D107,MATCH(V$5,MTInputs!$J$5:$AZ$5,0))</f>
        <v/>
      </c>
      <c r="W107" s="31">
        <f>INDEX(MTInputs!$J$1:$AZ$415,$D107,MATCH(W$5,MTInputs!$J$5:$AZ$5,0))</f>
        <v/>
      </c>
      <c r="X107" s="31">
        <f>INDEX(MTInputs!$J$1:$AZ$415,$D107,MATCH(X$5,MTInputs!$J$5:$AZ$5,0))</f>
        <v/>
      </c>
      <c r="Y107" s="31">
        <f>INDEX(MTInputs!$J$1:$AZ$415,$D107,MATCH(Y$5,MTInputs!$J$5:$AZ$5,0))</f>
        <v/>
      </c>
      <c r="Z107" s="23">
        <f>LOWER(Settings!$C$4)&amp;".mit."&amp;$A107&amp;IF($C107="","","."&amp;$C107&amp;"."&amp;$B107)&amp;IF(INDEX(Variables!$D$5:$D$65,MATCH($A107,Variables!$A$5:$A$65,0))="","","."&amp;INDEX(Variables!$D$5:$D$65,MATCH($A107,Variables!$A$5:$A$65,0)))&amp;"."&amp;Z$5</f>
        <v/>
      </c>
      <c r="AA107" s="30">
        <f>INDEX(MTInputs!$J$1:$AZ$415,$D107,MATCH(AA$5,MTInputs!$J$5:$AZ$5,0))</f>
        <v/>
      </c>
      <c r="AB107" s="31">
        <f>INDEX(MTInputs!$J$1:$AZ$415,$D107,MATCH(AB$5,MTInputs!$J$5:$AZ$5,0))</f>
        <v/>
      </c>
      <c r="AC107" s="31">
        <f>INDEX(MTInputs!$J$1:$AZ$415,$D107,MATCH(AC$5,MTInputs!$J$5:$AZ$5,0))</f>
        <v/>
      </c>
      <c r="AD107" s="31">
        <f>INDEX(MTInputs!$J$1:$AZ$415,$D107,MATCH(AD$5,MTInputs!$J$5:$AZ$5,0))</f>
        <v/>
      </c>
      <c r="AE107" s="31">
        <f>INDEX(MTInputs!$J$1:$AZ$415,$D107,MATCH(AE$5,MTInputs!$J$5:$AZ$5,0))</f>
        <v/>
      </c>
      <c r="AF107" s="31">
        <f>INDEX(MTInputs!$J$1:$AZ$415,$D107,MATCH(AF$5,MTInputs!$J$5:$AZ$5,0))</f>
        <v/>
      </c>
      <c r="AG107" s="31">
        <f>INDEX(MTInputs!$J$1:$AZ$415,$D107,MATCH(AG$5,MTInputs!$J$5:$AZ$5,0))</f>
        <v/>
      </c>
      <c r="AH107" s="31">
        <f>INDEX(MTInputs!$J$1:$AZ$415,$D107,MATCH(AH$5,MTInputs!$J$5:$AZ$5,0))</f>
        <v/>
      </c>
      <c r="AI107" s="31">
        <f>INDEX(MTInputs!$J$1:$AZ$415,$D107,MATCH(AI$5,MTInputs!$J$5:$AZ$5,0))</f>
        <v/>
      </c>
      <c r="AJ107" s="31">
        <f>INDEX(MTInputs!$J$1:$AZ$415,$D107,MATCH(AJ$5,MTInputs!$J$5:$AZ$5,0))</f>
        <v/>
      </c>
      <c r="AK107" s="31">
        <f>INDEX(MTInputs!$J$1:$AZ$415,$D107,MATCH(AK$5,MTInputs!$J$5:$AZ$5,0))</f>
        <v/>
      </c>
      <c r="AL107" s="31">
        <f>INDEX(MTInputs!$J$1:$AZ$415,$D107,MATCH(AL$5,MTInputs!$J$5:$AZ$5,0))</f>
        <v/>
      </c>
      <c r="AM107" s="31">
        <f>INDEX(MTInputs!$J$1:$AZ$415,$D107,MATCH(AM$5,MTInputs!$J$5:$AZ$5,0))</f>
        <v/>
      </c>
      <c r="AN107" s="31">
        <f>INDEX(MTInputs!$J$1:$AZ$415,$D107,MATCH(AN$5,MTInputs!$J$5:$AZ$5,0))</f>
        <v/>
      </c>
    </row>
    <row r="108" hidden="1" outlineLevel="1">
      <c r="A108" s="5" t="inlineStr">
        <is>
          <t>fbcov</t>
        </is>
      </c>
      <c r="B108" s="5" t="inlineStr">
        <is>
          <t>all</t>
        </is>
      </c>
      <c r="C108" s="5" t="inlineStr">
        <is>
          <t>avi</t>
        </is>
      </c>
      <c r="D108" s="6" t="n">
        <v>69</v>
      </c>
      <c r="H108" s="5">
        <f>INDEX(Variables!$B$5:$B$65,MATCH($A108,Variables!$A$5:$A$65,0))&amp;IF($C108="",""," | "&amp;INDEX(Mapping!$B$5:$B$25,MATCH($C108,Mapping!$A$5:$A$25,0))&amp;" | "&amp;INDEX(Mapping!$B$29:$B$38,MATCH($B108,Mapping!$A$29:$A$38,0)))</f>
        <v/>
      </c>
      <c r="I108" s="5">
        <f>INDEX(Variables!$C$5:$C$65,MATCH($A108,Variables!$A$5:$A$65,0))</f>
        <v/>
      </c>
      <c r="J108" s="5">
        <f>INDEX(Variables!$E$5:$E$65,MATCH($A108,Variables!$A$5:$A$65,0))</f>
        <v/>
      </c>
      <c r="K108" s="23">
        <f>LOWER(Settings!$C$4)&amp;".mit."&amp;$A108&amp;IF($C108="","","."&amp;$C108&amp;"."&amp;$B108)&amp;IF(INDEX(Variables!$D$5:$D$65,MATCH($A108,Variables!$A$5:$A$65,0))="","","."&amp;INDEX(Variables!$D$5:$D$65,MATCH($A108,Variables!$A$5:$A$65,0)))&amp;"."&amp;K$5</f>
        <v/>
      </c>
      <c r="L108" s="30">
        <f>INDEX(MTInputs!$J$1:$AZ$415,$D108,MATCH(L$5,MTInputs!$J$5:$AZ$5,0))</f>
        <v/>
      </c>
      <c r="M108" s="31">
        <f>INDEX(MTInputs!$J$1:$AZ$415,$D108,MATCH(M$5,MTInputs!$J$5:$AZ$5,0))</f>
        <v/>
      </c>
      <c r="N108" s="31">
        <f>INDEX(MTInputs!$J$1:$AZ$415,$D108,MATCH(N$5,MTInputs!$J$5:$AZ$5,0))</f>
        <v/>
      </c>
      <c r="O108" s="31">
        <f>INDEX(MTInputs!$J$1:$AZ$415,$D108,MATCH(O$5,MTInputs!$J$5:$AZ$5,0))</f>
        <v/>
      </c>
      <c r="P108" s="31">
        <f>INDEX(MTInputs!$J$1:$AZ$415,$D108,MATCH(P$5,MTInputs!$J$5:$AZ$5,0))</f>
        <v/>
      </c>
      <c r="Q108" s="31">
        <f>INDEX(MTInputs!$J$1:$AZ$415,$D108,MATCH(Q$5,MTInputs!$J$5:$AZ$5,0))</f>
        <v/>
      </c>
      <c r="R108" s="31">
        <f>INDEX(MTInputs!$J$1:$AZ$415,$D108,MATCH(R$5,MTInputs!$J$5:$AZ$5,0))</f>
        <v/>
      </c>
      <c r="S108" s="31">
        <f>INDEX(MTInputs!$J$1:$AZ$415,$D108,MATCH(S$5,MTInputs!$J$5:$AZ$5,0))</f>
        <v/>
      </c>
      <c r="T108" s="31">
        <f>INDEX(MTInputs!$J$1:$AZ$415,$D108,MATCH(T$5,MTInputs!$J$5:$AZ$5,0))</f>
        <v/>
      </c>
      <c r="U108" s="31">
        <f>INDEX(MTInputs!$J$1:$AZ$415,$D108,MATCH(U$5,MTInputs!$J$5:$AZ$5,0))</f>
        <v/>
      </c>
      <c r="V108" s="31">
        <f>INDEX(MTInputs!$J$1:$AZ$415,$D108,MATCH(V$5,MTInputs!$J$5:$AZ$5,0))</f>
        <v/>
      </c>
      <c r="W108" s="31">
        <f>INDEX(MTInputs!$J$1:$AZ$415,$D108,MATCH(W$5,MTInputs!$J$5:$AZ$5,0))</f>
        <v/>
      </c>
      <c r="X108" s="31">
        <f>INDEX(MTInputs!$J$1:$AZ$415,$D108,MATCH(X$5,MTInputs!$J$5:$AZ$5,0))</f>
        <v/>
      </c>
      <c r="Y108" s="31">
        <f>INDEX(MTInputs!$J$1:$AZ$415,$D108,MATCH(Y$5,MTInputs!$J$5:$AZ$5,0))</f>
        <v/>
      </c>
      <c r="Z108" s="23">
        <f>LOWER(Settings!$C$4)&amp;".mit."&amp;$A108&amp;IF($C108="","","."&amp;$C108&amp;"."&amp;$B108)&amp;IF(INDEX(Variables!$D$5:$D$65,MATCH($A108,Variables!$A$5:$A$65,0))="","","."&amp;INDEX(Variables!$D$5:$D$65,MATCH($A108,Variables!$A$5:$A$65,0)))&amp;"."&amp;Z$5</f>
        <v/>
      </c>
      <c r="AA108" s="30">
        <f>INDEX(MTInputs!$J$1:$AZ$415,$D108,MATCH(AA$5,MTInputs!$J$5:$AZ$5,0))</f>
        <v/>
      </c>
      <c r="AB108" s="31">
        <f>INDEX(MTInputs!$J$1:$AZ$415,$D108,MATCH(AB$5,MTInputs!$J$5:$AZ$5,0))</f>
        <v/>
      </c>
      <c r="AC108" s="31">
        <f>INDEX(MTInputs!$J$1:$AZ$415,$D108,MATCH(AC$5,MTInputs!$J$5:$AZ$5,0))</f>
        <v/>
      </c>
      <c r="AD108" s="31">
        <f>INDEX(MTInputs!$J$1:$AZ$415,$D108,MATCH(AD$5,MTInputs!$J$5:$AZ$5,0))</f>
        <v/>
      </c>
      <c r="AE108" s="31">
        <f>INDEX(MTInputs!$J$1:$AZ$415,$D108,MATCH(AE$5,MTInputs!$J$5:$AZ$5,0))</f>
        <v/>
      </c>
      <c r="AF108" s="31">
        <f>INDEX(MTInputs!$J$1:$AZ$415,$D108,MATCH(AF$5,MTInputs!$J$5:$AZ$5,0))</f>
        <v/>
      </c>
      <c r="AG108" s="31">
        <f>INDEX(MTInputs!$J$1:$AZ$415,$D108,MATCH(AG$5,MTInputs!$J$5:$AZ$5,0))</f>
        <v/>
      </c>
      <c r="AH108" s="31">
        <f>INDEX(MTInputs!$J$1:$AZ$415,$D108,MATCH(AH$5,MTInputs!$J$5:$AZ$5,0))</f>
        <v/>
      </c>
      <c r="AI108" s="31">
        <f>INDEX(MTInputs!$J$1:$AZ$415,$D108,MATCH(AI$5,MTInputs!$J$5:$AZ$5,0))</f>
        <v/>
      </c>
      <c r="AJ108" s="31">
        <f>INDEX(MTInputs!$J$1:$AZ$415,$D108,MATCH(AJ$5,MTInputs!$J$5:$AZ$5,0))</f>
        <v/>
      </c>
      <c r="AK108" s="31">
        <f>INDEX(MTInputs!$J$1:$AZ$415,$D108,MATCH(AK$5,MTInputs!$J$5:$AZ$5,0))</f>
        <v/>
      </c>
      <c r="AL108" s="31">
        <f>INDEX(MTInputs!$J$1:$AZ$415,$D108,MATCH(AL$5,MTInputs!$J$5:$AZ$5,0))</f>
        <v/>
      </c>
      <c r="AM108" s="31">
        <f>INDEX(MTInputs!$J$1:$AZ$415,$D108,MATCH(AM$5,MTInputs!$J$5:$AZ$5,0))</f>
        <v/>
      </c>
      <c r="AN108" s="31">
        <f>INDEX(MTInputs!$J$1:$AZ$415,$D108,MATCH(AN$5,MTInputs!$J$5:$AZ$5,0))</f>
        <v/>
      </c>
    </row>
    <row r="109" hidden="1" outlineLevel="1">
      <c r="A109" s="5" t="inlineStr">
        <is>
          <t>fbcov</t>
        </is>
      </c>
      <c r="B109" s="5" t="inlineStr">
        <is>
          <t>all</t>
        </is>
      </c>
      <c r="C109" s="5" t="inlineStr">
        <is>
          <t>nav</t>
        </is>
      </c>
      <c r="D109" s="6" t="n">
        <v>70</v>
      </c>
      <c r="H109" s="5">
        <f>INDEX(Variables!$B$5:$B$65,MATCH($A109,Variables!$A$5:$A$65,0))&amp;IF($C109="",""," | "&amp;INDEX(Mapping!$B$5:$B$25,MATCH($C109,Mapping!$A$5:$A$25,0))&amp;" | "&amp;INDEX(Mapping!$B$29:$B$38,MATCH($B109,Mapping!$A$29:$A$38,0)))</f>
        <v/>
      </c>
      <c r="I109" s="5">
        <f>INDEX(Variables!$C$5:$C$65,MATCH($A109,Variables!$A$5:$A$65,0))</f>
        <v/>
      </c>
      <c r="J109" s="5">
        <f>INDEX(Variables!$E$5:$E$65,MATCH($A109,Variables!$A$5:$A$65,0))</f>
        <v/>
      </c>
      <c r="K109" s="23">
        <f>LOWER(Settings!$C$4)&amp;".mit."&amp;$A109&amp;IF($C109="","","."&amp;$C109&amp;"."&amp;$B109)&amp;IF(INDEX(Variables!$D$5:$D$65,MATCH($A109,Variables!$A$5:$A$65,0))="","","."&amp;INDEX(Variables!$D$5:$D$65,MATCH($A109,Variables!$A$5:$A$65,0)))&amp;"."&amp;K$5</f>
        <v/>
      </c>
      <c r="L109" s="30">
        <f>INDEX(MTInputs!$J$1:$AZ$415,$D109,MATCH(L$5,MTInputs!$J$5:$AZ$5,0))</f>
        <v/>
      </c>
      <c r="M109" s="31">
        <f>INDEX(MTInputs!$J$1:$AZ$415,$D109,MATCH(M$5,MTInputs!$J$5:$AZ$5,0))</f>
        <v/>
      </c>
      <c r="N109" s="31">
        <f>INDEX(MTInputs!$J$1:$AZ$415,$D109,MATCH(N$5,MTInputs!$J$5:$AZ$5,0))</f>
        <v/>
      </c>
      <c r="O109" s="31">
        <f>INDEX(MTInputs!$J$1:$AZ$415,$D109,MATCH(O$5,MTInputs!$J$5:$AZ$5,0))</f>
        <v/>
      </c>
      <c r="P109" s="31">
        <f>INDEX(MTInputs!$J$1:$AZ$415,$D109,MATCH(P$5,MTInputs!$J$5:$AZ$5,0))</f>
        <v/>
      </c>
      <c r="Q109" s="31">
        <f>INDEX(MTInputs!$J$1:$AZ$415,$D109,MATCH(Q$5,MTInputs!$J$5:$AZ$5,0))</f>
        <v/>
      </c>
      <c r="R109" s="31">
        <f>INDEX(MTInputs!$J$1:$AZ$415,$D109,MATCH(R$5,MTInputs!$J$5:$AZ$5,0))</f>
        <v/>
      </c>
      <c r="S109" s="31">
        <f>INDEX(MTInputs!$J$1:$AZ$415,$D109,MATCH(S$5,MTInputs!$J$5:$AZ$5,0))</f>
        <v/>
      </c>
      <c r="T109" s="31">
        <f>INDEX(MTInputs!$J$1:$AZ$415,$D109,MATCH(T$5,MTInputs!$J$5:$AZ$5,0))</f>
        <v/>
      </c>
      <c r="U109" s="31">
        <f>INDEX(MTInputs!$J$1:$AZ$415,$D109,MATCH(U$5,MTInputs!$J$5:$AZ$5,0))</f>
        <v/>
      </c>
      <c r="V109" s="31">
        <f>INDEX(MTInputs!$J$1:$AZ$415,$D109,MATCH(V$5,MTInputs!$J$5:$AZ$5,0))</f>
        <v/>
      </c>
      <c r="W109" s="31">
        <f>INDEX(MTInputs!$J$1:$AZ$415,$D109,MATCH(W$5,MTInputs!$J$5:$AZ$5,0))</f>
        <v/>
      </c>
      <c r="X109" s="31">
        <f>INDEX(MTInputs!$J$1:$AZ$415,$D109,MATCH(X$5,MTInputs!$J$5:$AZ$5,0))</f>
        <v/>
      </c>
      <c r="Y109" s="31">
        <f>INDEX(MTInputs!$J$1:$AZ$415,$D109,MATCH(Y$5,MTInputs!$J$5:$AZ$5,0))</f>
        <v/>
      </c>
      <c r="Z109" s="23">
        <f>LOWER(Settings!$C$4)&amp;".mit."&amp;$A109&amp;IF($C109="","","."&amp;$C109&amp;"."&amp;$B109)&amp;IF(INDEX(Variables!$D$5:$D$65,MATCH($A109,Variables!$A$5:$A$65,0))="","","."&amp;INDEX(Variables!$D$5:$D$65,MATCH($A109,Variables!$A$5:$A$65,0)))&amp;"."&amp;Z$5</f>
        <v/>
      </c>
      <c r="AA109" s="30">
        <f>INDEX(MTInputs!$J$1:$AZ$415,$D109,MATCH(AA$5,MTInputs!$J$5:$AZ$5,0))</f>
        <v/>
      </c>
      <c r="AB109" s="31">
        <f>INDEX(MTInputs!$J$1:$AZ$415,$D109,MATCH(AB$5,MTInputs!$J$5:$AZ$5,0))</f>
        <v/>
      </c>
      <c r="AC109" s="31">
        <f>INDEX(MTInputs!$J$1:$AZ$415,$D109,MATCH(AC$5,MTInputs!$J$5:$AZ$5,0))</f>
        <v/>
      </c>
      <c r="AD109" s="31">
        <f>INDEX(MTInputs!$J$1:$AZ$415,$D109,MATCH(AD$5,MTInputs!$J$5:$AZ$5,0))</f>
        <v/>
      </c>
      <c r="AE109" s="31">
        <f>INDEX(MTInputs!$J$1:$AZ$415,$D109,MATCH(AE$5,MTInputs!$J$5:$AZ$5,0))</f>
        <v/>
      </c>
      <c r="AF109" s="31">
        <f>INDEX(MTInputs!$J$1:$AZ$415,$D109,MATCH(AF$5,MTInputs!$J$5:$AZ$5,0))</f>
        <v/>
      </c>
      <c r="AG109" s="31">
        <f>INDEX(MTInputs!$J$1:$AZ$415,$D109,MATCH(AG$5,MTInputs!$J$5:$AZ$5,0))</f>
        <v/>
      </c>
      <c r="AH109" s="31">
        <f>INDEX(MTInputs!$J$1:$AZ$415,$D109,MATCH(AH$5,MTInputs!$J$5:$AZ$5,0))</f>
        <v/>
      </c>
      <c r="AI109" s="31">
        <f>INDEX(MTInputs!$J$1:$AZ$415,$D109,MATCH(AI$5,MTInputs!$J$5:$AZ$5,0))</f>
        <v/>
      </c>
      <c r="AJ109" s="31">
        <f>INDEX(MTInputs!$J$1:$AZ$415,$D109,MATCH(AJ$5,MTInputs!$J$5:$AZ$5,0))</f>
        <v/>
      </c>
      <c r="AK109" s="31">
        <f>INDEX(MTInputs!$J$1:$AZ$415,$D109,MATCH(AK$5,MTInputs!$J$5:$AZ$5,0))</f>
        <v/>
      </c>
      <c r="AL109" s="31">
        <f>INDEX(MTInputs!$J$1:$AZ$415,$D109,MATCH(AL$5,MTInputs!$J$5:$AZ$5,0))</f>
        <v/>
      </c>
      <c r="AM109" s="31">
        <f>INDEX(MTInputs!$J$1:$AZ$415,$D109,MATCH(AM$5,MTInputs!$J$5:$AZ$5,0))</f>
        <v/>
      </c>
      <c r="AN109" s="31">
        <f>INDEX(MTInputs!$J$1:$AZ$415,$D109,MATCH(AN$5,MTInputs!$J$5:$AZ$5,0))</f>
        <v/>
      </c>
    </row>
    <row r="110" hidden="1" outlineLevel="1">
      <c r="A110" s="5" t="inlineStr">
        <is>
          <t>fbcov</t>
        </is>
      </c>
      <c r="B110" s="5" t="inlineStr">
        <is>
          <t>all</t>
        </is>
      </c>
      <c r="C110" s="5" t="inlineStr">
        <is>
          <t>res</t>
        </is>
      </c>
      <c r="D110" s="6" t="n">
        <v>71</v>
      </c>
      <c r="H110" s="5">
        <f>INDEX(Variables!$B$5:$B$65,MATCH($A110,Variables!$A$5:$A$65,0))&amp;IF($C110="",""," | "&amp;INDEX(Mapping!$B$5:$B$25,MATCH($C110,Mapping!$A$5:$A$25,0))&amp;" | "&amp;INDEX(Mapping!$B$29:$B$38,MATCH($B110,Mapping!$A$29:$A$38,0)))</f>
        <v/>
      </c>
      <c r="I110" s="5">
        <f>INDEX(Variables!$C$5:$C$65,MATCH($A110,Variables!$A$5:$A$65,0))</f>
        <v/>
      </c>
      <c r="J110" s="5">
        <f>INDEX(Variables!$E$5:$E$65,MATCH($A110,Variables!$A$5:$A$65,0))</f>
        <v/>
      </c>
      <c r="K110" s="23">
        <f>LOWER(Settings!$C$4)&amp;".mit."&amp;$A110&amp;IF($C110="","","."&amp;$C110&amp;"."&amp;$B110)&amp;IF(INDEX(Variables!$D$5:$D$65,MATCH($A110,Variables!$A$5:$A$65,0))="","","."&amp;INDEX(Variables!$D$5:$D$65,MATCH($A110,Variables!$A$5:$A$65,0)))&amp;"."&amp;K$5</f>
        <v/>
      </c>
      <c r="L110" s="30">
        <f>INDEX(MTInputs!$J$1:$AZ$415,$D110,MATCH(L$5,MTInputs!$J$5:$AZ$5,0))</f>
        <v/>
      </c>
      <c r="M110" s="31">
        <f>INDEX(MTInputs!$J$1:$AZ$415,$D110,MATCH(M$5,MTInputs!$J$5:$AZ$5,0))</f>
        <v/>
      </c>
      <c r="N110" s="31">
        <f>INDEX(MTInputs!$J$1:$AZ$415,$D110,MATCH(N$5,MTInputs!$J$5:$AZ$5,0))</f>
        <v/>
      </c>
      <c r="O110" s="31">
        <f>INDEX(MTInputs!$J$1:$AZ$415,$D110,MATCH(O$5,MTInputs!$J$5:$AZ$5,0))</f>
        <v/>
      </c>
      <c r="P110" s="31">
        <f>INDEX(MTInputs!$J$1:$AZ$415,$D110,MATCH(P$5,MTInputs!$J$5:$AZ$5,0))</f>
        <v/>
      </c>
      <c r="Q110" s="31">
        <f>INDEX(MTInputs!$J$1:$AZ$415,$D110,MATCH(Q$5,MTInputs!$J$5:$AZ$5,0))</f>
        <v/>
      </c>
      <c r="R110" s="31">
        <f>INDEX(MTInputs!$J$1:$AZ$415,$D110,MATCH(R$5,MTInputs!$J$5:$AZ$5,0))</f>
        <v/>
      </c>
      <c r="S110" s="31">
        <f>INDEX(MTInputs!$J$1:$AZ$415,$D110,MATCH(S$5,MTInputs!$J$5:$AZ$5,0))</f>
        <v/>
      </c>
      <c r="T110" s="31">
        <f>INDEX(MTInputs!$J$1:$AZ$415,$D110,MATCH(T$5,MTInputs!$J$5:$AZ$5,0))</f>
        <v/>
      </c>
      <c r="U110" s="31">
        <f>INDEX(MTInputs!$J$1:$AZ$415,$D110,MATCH(U$5,MTInputs!$J$5:$AZ$5,0))</f>
        <v/>
      </c>
      <c r="V110" s="31">
        <f>INDEX(MTInputs!$J$1:$AZ$415,$D110,MATCH(V$5,MTInputs!$J$5:$AZ$5,0))</f>
        <v/>
      </c>
      <c r="W110" s="31">
        <f>INDEX(MTInputs!$J$1:$AZ$415,$D110,MATCH(W$5,MTInputs!$J$5:$AZ$5,0))</f>
        <v/>
      </c>
      <c r="X110" s="31">
        <f>INDEX(MTInputs!$J$1:$AZ$415,$D110,MATCH(X$5,MTInputs!$J$5:$AZ$5,0))</f>
        <v/>
      </c>
      <c r="Y110" s="31">
        <f>INDEX(MTInputs!$J$1:$AZ$415,$D110,MATCH(Y$5,MTInputs!$J$5:$AZ$5,0))</f>
        <v/>
      </c>
      <c r="Z110" s="23">
        <f>LOWER(Settings!$C$4)&amp;".mit."&amp;$A110&amp;IF($C110="","","."&amp;$C110&amp;"."&amp;$B110)&amp;IF(INDEX(Variables!$D$5:$D$65,MATCH($A110,Variables!$A$5:$A$65,0))="","","."&amp;INDEX(Variables!$D$5:$D$65,MATCH($A110,Variables!$A$5:$A$65,0)))&amp;"."&amp;Z$5</f>
        <v/>
      </c>
      <c r="AA110" s="30">
        <f>INDEX(MTInputs!$J$1:$AZ$415,$D110,MATCH(AA$5,MTInputs!$J$5:$AZ$5,0))</f>
        <v/>
      </c>
      <c r="AB110" s="31">
        <f>INDEX(MTInputs!$J$1:$AZ$415,$D110,MATCH(AB$5,MTInputs!$J$5:$AZ$5,0))</f>
        <v/>
      </c>
      <c r="AC110" s="31">
        <f>INDEX(MTInputs!$J$1:$AZ$415,$D110,MATCH(AC$5,MTInputs!$J$5:$AZ$5,0))</f>
        <v/>
      </c>
      <c r="AD110" s="31">
        <f>INDEX(MTInputs!$J$1:$AZ$415,$D110,MATCH(AD$5,MTInputs!$J$5:$AZ$5,0))</f>
        <v/>
      </c>
      <c r="AE110" s="31">
        <f>INDEX(MTInputs!$J$1:$AZ$415,$D110,MATCH(AE$5,MTInputs!$J$5:$AZ$5,0))</f>
        <v/>
      </c>
      <c r="AF110" s="31">
        <f>INDEX(MTInputs!$J$1:$AZ$415,$D110,MATCH(AF$5,MTInputs!$J$5:$AZ$5,0))</f>
        <v/>
      </c>
      <c r="AG110" s="31">
        <f>INDEX(MTInputs!$J$1:$AZ$415,$D110,MATCH(AG$5,MTInputs!$J$5:$AZ$5,0))</f>
        <v/>
      </c>
      <c r="AH110" s="31">
        <f>INDEX(MTInputs!$J$1:$AZ$415,$D110,MATCH(AH$5,MTInputs!$J$5:$AZ$5,0))</f>
        <v/>
      </c>
      <c r="AI110" s="31">
        <f>INDEX(MTInputs!$J$1:$AZ$415,$D110,MATCH(AI$5,MTInputs!$J$5:$AZ$5,0))</f>
        <v/>
      </c>
      <c r="AJ110" s="31">
        <f>INDEX(MTInputs!$J$1:$AZ$415,$D110,MATCH(AJ$5,MTInputs!$J$5:$AZ$5,0))</f>
        <v/>
      </c>
      <c r="AK110" s="31">
        <f>INDEX(MTInputs!$J$1:$AZ$415,$D110,MATCH(AK$5,MTInputs!$J$5:$AZ$5,0))</f>
        <v/>
      </c>
      <c r="AL110" s="31">
        <f>INDEX(MTInputs!$J$1:$AZ$415,$D110,MATCH(AL$5,MTInputs!$J$5:$AZ$5,0))</f>
        <v/>
      </c>
      <c r="AM110" s="31">
        <f>INDEX(MTInputs!$J$1:$AZ$415,$D110,MATCH(AM$5,MTInputs!$J$5:$AZ$5,0))</f>
        <v/>
      </c>
      <c r="AN110" s="31">
        <f>INDEX(MTInputs!$J$1:$AZ$415,$D110,MATCH(AN$5,MTInputs!$J$5:$AZ$5,0))</f>
        <v/>
      </c>
    </row>
    <row r="111" hidden="1" outlineLevel="1">
      <c r="A111" s="5" t="inlineStr">
        <is>
          <t>fbcov</t>
        </is>
      </c>
      <c r="B111" s="5" t="inlineStr">
        <is>
          <t>all</t>
        </is>
      </c>
      <c r="C111" s="5" t="inlineStr">
        <is>
          <t>foo</t>
        </is>
      </c>
      <c r="D111" s="6" t="n">
        <v>72</v>
      </c>
      <c r="H111" s="5">
        <f>INDEX(Variables!$B$5:$B$65,MATCH($A111,Variables!$A$5:$A$65,0))&amp;IF($C111="",""," | "&amp;INDEX(Mapping!$B$5:$B$25,MATCH($C111,Mapping!$A$5:$A$25,0))&amp;" | "&amp;INDEX(Mapping!$B$29:$B$38,MATCH($B111,Mapping!$A$29:$A$38,0)))</f>
        <v/>
      </c>
      <c r="I111" s="5">
        <f>INDEX(Variables!$C$5:$C$65,MATCH($A111,Variables!$A$5:$A$65,0))</f>
        <v/>
      </c>
      <c r="J111" s="5">
        <f>INDEX(Variables!$E$5:$E$65,MATCH($A111,Variables!$A$5:$A$65,0))</f>
        <v/>
      </c>
      <c r="K111" s="23">
        <f>LOWER(Settings!$C$4)&amp;".mit."&amp;$A111&amp;IF($C111="","","."&amp;$C111&amp;"."&amp;$B111)&amp;IF(INDEX(Variables!$D$5:$D$65,MATCH($A111,Variables!$A$5:$A$65,0))="","","."&amp;INDEX(Variables!$D$5:$D$65,MATCH($A111,Variables!$A$5:$A$65,0)))&amp;"."&amp;K$5</f>
        <v/>
      </c>
      <c r="L111" s="30">
        <f>INDEX(MTInputs!$J$1:$AZ$415,$D111,MATCH(L$5,MTInputs!$J$5:$AZ$5,0))</f>
        <v/>
      </c>
      <c r="M111" s="31">
        <f>INDEX(MTInputs!$J$1:$AZ$415,$D111,MATCH(M$5,MTInputs!$J$5:$AZ$5,0))</f>
        <v/>
      </c>
      <c r="N111" s="31">
        <f>INDEX(MTInputs!$J$1:$AZ$415,$D111,MATCH(N$5,MTInputs!$J$5:$AZ$5,0))</f>
        <v/>
      </c>
      <c r="O111" s="31">
        <f>INDEX(MTInputs!$J$1:$AZ$415,$D111,MATCH(O$5,MTInputs!$J$5:$AZ$5,0))</f>
        <v/>
      </c>
      <c r="P111" s="31">
        <f>INDEX(MTInputs!$J$1:$AZ$415,$D111,MATCH(P$5,MTInputs!$J$5:$AZ$5,0))</f>
        <v/>
      </c>
      <c r="Q111" s="31">
        <f>INDEX(MTInputs!$J$1:$AZ$415,$D111,MATCH(Q$5,MTInputs!$J$5:$AZ$5,0))</f>
        <v/>
      </c>
      <c r="R111" s="31">
        <f>INDEX(MTInputs!$J$1:$AZ$415,$D111,MATCH(R$5,MTInputs!$J$5:$AZ$5,0))</f>
        <v/>
      </c>
      <c r="S111" s="31">
        <f>INDEX(MTInputs!$J$1:$AZ$415,$D111,MATCH(S$5,MTInputs!$J$5:$AZ$5,0))</f>
        <v/>
      </c>
      <c r="T111" s="31">
        <f>INDEX(MTInputs!$J$1:$AZ$415,$D111,MATCH(T$5,MTInputs!$J$5:$AZ$5,0))</f>
        <v/>
      </c>
      <c r="U111" s="31">
        <f>INDEX(MTInputs!$J$1:$AZ$415,$D111,MATCH(U$5,MTInputs!$J$5:$AZ$5,0))</f>
        <v/>
      </c>
      <c r="V111" s="31">
        <f>INDEX(MTInputs!$J$1:$AZ$415,$D111,MATCH(V$5,MTInputs!$J$5:$AZ$5,0))</f>
        <v/>
      </c>
      <c r="W111" s="31">
        <f>INDEX(MTInputs!$J$1:$AZ$415,$D111,MATCH(W$5,MTInputs!$J$5:$AZ$5,0))</f>
        <v/>
      </c>
      <c r="X111" s="31">
        <f>INDEX(MTInputs!$J$1:$AZ$415,$D111,MATCH(X$5,MTInputs!$J$5:$AZ$5,0))</f>
        <v/>
      </c>
      <c r="Y111" s="31">
        <f>INDEX(MTInputs!$J$1:$AZ$415,$D111,MATCH(Y$5,MTInputs!$J$5:$AZ$5,0))</f>
        <v/>
      </c>
      <c r="Z111" s="23">
        <f>LOWER(Settings!$C$4)&amp;".mit."&amp;$A111&amp;IF($C111="","","."&amp;$C111&amp;"."&amp;$B111)&amp;IF(INDEX(Variables!$D$5:$D$65,MATCH($A111,Variables!$A$5:$A$65,0))="","","."&amp;INDEX(Variables!$D$5:$D$65,MATCH($A111,Variables!$A$5:$A$65,0)))&amp;"."&amp;Z$5</f>
        <v/>
      </c>
      <c r="AA111" s="30">
        <f>INDEX(MTInputs!$J$1:$AZ$415,$D111,MATCH(AA$5,MTInputs!$J$5:$AZ$5,0))</f>
        <v/>
      </c>
      <c r="AB111" s="31">
        <f>INDEX(MTInputs!$J$1:$AZ$415,$D111,MATCH(AB$5,MTInputs!$J$5:$AZ$5,0))</f>
        <v/>
      </c>
      <c r="AC111" s="31">
        <f>INDEX(MTInputs!$J$1:$AZ$415,$D111,MATCH(AC$5,MTInputs!$J$5:$AZ$5,0))</f>
        <v/>
      </c>
      <c r="AD111" s="31">
        <f>INDEX(MTInputs!$J$1:$AZ$415,$D111,MATCH(AD$5,MTInputs!$J$5:$AZ$5,0))</f>
        <v/>
      </c>
      <c r="AE111" s="31">
        <f>INDEX(MTInputs!$J$1:$AZ$415,$D111,MATCH(AE$5,MTInputs!$J$5:$AZ$5,0))</f>
        <v/>
      </c>
      <c r="AF111" s="31">
        <f>INDEX(MTInputs!$J$1:$AZ$415,$D111,MATCH(AF$5,MTInputs!$J$5:$AZ$5,0))</f>
        <v/>
      </c>
      <c r="AG111" s="31">
        <f>INDEX(MTInputs!$J$1:$AZ$415,$D111,MATCH(AG$5,MTInputs!$J$5:$AZ$5,0))</f>
        <v/>
      </c>
      <c r="AH111" s="31">
        <f>INDEX(MTInputs!$J$1:$AZ$415,$D111,MATCH(AH$5,MTInputs!$J$5:$AZ$5,0))</f>
        <v/>
      </c>
      <c r="AI111" s="31">
        <f>INDEX(MTInputs!$J$1:$AZ$415,$D111,MATCH(AI$5,MTInputs!$J$5:$AZ$5,0))</f>
        <v/>
      </c>
      <c r="AJ111" s="31">
        <f>INDEX(MTInputs!$J$1:$AZ$415,$D111,MATCH(AJ$5,MTInputs!$J$5:$AZ$5,0))</f>
        <v/>
      </c>
      <c r="AK111" s="31">
        <f>INDEX(MTInputs!$J$1:$AZ$415,$D111,MATCH(AK$5,MTInputs!$J$5:$AZ$5,0))</f>
        <v/>
      </c>
      <c r="AL111" s="31">
        <f>INDEX(MTInputs!$J$1:$AZ$415,$D111,MATCH(AL$5,MTInputs!$J$5:$AZ$5,0))</f>
        <v/>
      </c>
      <c r="AM111" s="31">
        <f>INDEX(MTInputs!$J$1:$AZ$415,$D111,MATCH(AM$5,MTInputs!$J$5:$AZ$5,0))</f>
        <v/>
      </c>
      <c r="AN111" s="31">
        <f>INDEX(MTInputs!$J$1:$AZ$415,$D111,MATCH(AN$5,MTInputs!$J$5:$AZ$5,0))</f>
        <v/>
      </c>
    </row>
    <row r="112" hidden="1" outlineLevel="1">
      <c r="A112" s="5" t="inlineStr">
        <is>
          <t>fbcov</t>
        </is>
      </c>
      <c r="B112" s="5" t="inlineStr">
        <is>
          <t>all</t>
        </is>
      </c>
      <c r="C112" s="5" t="inlineStr">
        <is>
          <t>srv</t>
        </is>
      </c>
      <c r="D112" s="6" t="n">
        <v>73</v>
      </c>
      <c r="H112" s="5">
        <f>INDEX(Variables!$B$5:$B$65,MATCH($A112,Variables!$A$5:$A$65,0))&amp;IF($C112="",""," | "&amp;INDEX(Mapping!$B$5:$B$25,MATCH($C112,Mapping!$A$5:$A$25,0))&amp;" | "&amp;INDEX(Mapping!$B$29:$B$38,MATCH($B112,Mapping!$A$29:$A$38,0)))</f>
        <v/>
      </c>
      <c r="I112" s="5">
        <f>INDEX(Variables!$C$5:$C$65,MATCH($A112,Variables!$A$5:$A$65,0))</f>
        <v/>
      </c>
      <c r="J112" s="5">
        <f>INDEX(Variables!$E$5:$E$65,MATCH($A112,Variables!$A$5:$A$65,0))</f>
        <v/>
      </c>
      <c r="K112" s="23">
        <f>LOWER(Settings!$C$4)&amp;".mit."&amp;$A112&amp;IF($C112="","","."&amp;$C112&amp;"."&amp;$B112)&amp;IF(INDEX(Variables!$D$5:$D$65,MATCH($A112,Variables!$A$5:$A$65,0))="","","."&amp;INDEX(Variables!$D$5:$D$65,MATCH($A112,Variables!$A$5:$A$65,0)))&amp;"."&amp;K$5</f>
        <v/>
      </c>
      <c r="L112" s="30">
        <f>INDEX(MTInputs!$J$1:$AZ$415,$D112,MATCH(L$5,MTInputs!$J$5:$AZ$5,0))</f>
        <v/>
      </c>
      <c r="M112" s="31">
        <f>INDEX(MTInputs!$J$1:$AZ$415,$D112,MATCH(M$5,MTInputs!$J$5:$AZ$5,0))</f>
        <v/>
      </c>
      <c r="N112" s="31">
        <f>INDEX(MTInputs!$J$1:$AZ$415,$D112,MATCH(N$5,MTInputs!$J$5:$AZ$5,0))</f>
        <v/>
      </c>
      <c r="O112" s="31">
        <f>INDEX(MTInputs!$J$1:$AZ$415,$D112,MATCH(O$5,MTInputs!$J$5:$AZ$5,0))</f>
        <v/>
      </c>
      <c r="P112" s="31">
        <f>INDEX(MTInputs!$J$1:$AZ$415,$D112,MATCH(P$5,MTInputs!$J$5:$AZ$5,0))</f>
        <v/>
      </c>
      <c r="Q112" s="31">
        <f>INDEX(MTInputs!$J$1:$AZ$415,$D112,MATCH(Q$5,MTInputs!$J$5:$AZ$5,0))</f>
        <v/>
      </c>
      <c r="R112" s="31">
        <f>INDEX(MTInputs!$J$1:$AZ$415,$D112,MATCH(R$5,MTInputs!$J$5:$AZ$5,0))</f>
        <v/>
      </c>
      <c r="S112" s="31">
        <f>INDEX(MTInputs!$J$1:$AZ$415,$D112,MATCH(S$5,MTInputs!$J$5:$AZ$5,0))</f>
        <v/>
      </c>
      <c r="T112" s="31">
        <f>INDEX(MTInputs!$J$1:$AZ$415,$D112,MATCH(T$5,MTInputs!$J$5:$AZ$5,0))</f>
        <v/>
      </c>
      <c r="U112" s="31">
        <f>INDEX(MTInputs!$J$1:$AZ$415,$D112,MATCH(U$5,MTInputs!$J$5:$AZ$5,0))</f>
        <v/>
      </c>
      <c r="V112" s="31">
        <f>INDEX(MTInputs!$J$1:$AZ$415,$D112,MATCH(V$5,MTInputs!$J$5:$AZ$5,0))</f>
        <v/>
      </c>
      <c r="W112" s="31">
        <f>INDEX(MTInputs!$J$1:$AZ$415,$D112,MATCH(W$5,MTInputs!$J$5:$AZ$5,0))</f>
        <v/>
      </c>
      <c r="X112" s="31">
        <f>INDEX(MTInputs!$J$1:$AZ$415,$D112,MATCH(X$5,MTInputs!$J$5:$AZ$5,0))</f>
        <v/>
      </c>
      <c r="Y112" s="31">
        <f>INDEX(MTInputs!$J$1:$AZ$415,$D112,MATCH(Y$5,MTInputs!$J$5:$AZ$5,0))</f>
        <v/>
      </c>
      <c r="Z112" s="23">
        <f>LOWER(Settings!$C$4)&amp;".mit."&amp;$A112&amp;IF($C112="","","."&amp;$C112&amp;"."&amp;$B112)&amp;IF(INDEX(Variables!$D$5:$D$65,MATCH($A112,Variables!$A$5:$A$65,0))="","","."&amp;INDEX(Variables!$D$5:$D$65,MATCH($A112,Variables!$A$5:$A$65,0)))&amp;"."&amp;Z$5</f>
        <v/>
      </c>
      <c r="AA112" s="30">
        <f>INDEX(MTInputs!$J$1:$AZ$415,$D112,MATCH(AA$5,MTInputs!$J$5:$AZ$5,0))</f>
        <v/>
      </c>
      <c r="AB112" s="31">
        <f>INDEX(MTInputs!$J$1:$AZ$415,$D112,MATCH(AB$5,MTInputs!$J$5:$AZ$5,0))</f>
        <v/>
      </c>
      <c r="AC112" s="31">
        <f>INDEX(MTInputs!$J$1:$AZ$415,$D112,MATCH(AC$5,MTInputs!$J$5:$AZ$5,0))</f>
        <v/>
      </c>
      <c r="AD112" s="31">
        <f>INDEX(MTInputs!$J$1:$AZ$415,$D112,MATCH(AD$5,MTInputs!$J$5:$AZ$5,0))</f>
        <v/>
      </c>
      <c r="AE112" s="31">
        <f>INDEX(MTInputs!$J$1:$AZ$415,$D112,MATCH(AE$5,MTInputs!$J$5:$AZ$5,0))</f>
        <v/>
      </c>
      <c r="AF112" s="31">
        <f>INDEX(MTInputs!$J$1:$AZ$415,$D112,MATCH(AF$5,MTInputs!$J$5:$AZ$5,0))</f>
        <v/>
      </c>
      <c r="AG112" s="31">
        <f>INDEX(MTInputs!$J$1:$AZ$415,$D112,MATCH(AG$5,MTInputs!$J$5:$AZ$5,0))</f>
        <v/>
      </c>
      <c r="AH112" s="31">
        <f>INDEX(MTInputs!$J$1:$AZ$415,$D112,MATCH(AH$5,MTInputs!$J$5:$AZ$5,0))</f>
        <v/>
      </c>
      <c r="AI112" s="31">
        <f>INDEX(MTInputs!$J$1:$AZ$415,$D112,MATCH(AI$5,MTInputs!$J$5:$AZ$5,0))</f>
        <v/>
      </c>
      <c r="AJ112" s="31">
        <f>INDEX(MTInputs!$J$1:$AZ$415,$D112,MATCH(AJ$5,MTInputs!$J$5:$AZ$5,0))</f>
        <v/>
      </c>
      <c r="AK112" s="31">
        <f>INDEX(MTInputs!$J$1:$AZ$415,$D112,MATCH(AK$5,MTInputs!$J$5:$AZ$5,0))</f>
        <v/>
      </c>
      <c r="AL112" s="31">
        <f>INDEX(MTInputs!$J$1:$AZ$415,$D112,MATCH(AL$5,MTInputs!$J$5:$AZ$5,0))</f>
        <v/>
      </c>
      <c r="AM112" s="31">
        <f>INDEX(MTInputs!$J$1:$AZ$415,$D112,MATCH(AM$5,MTInputs!$J$5:$AZ$5,0))</f>
        <v/>
      </c>
      <c r="AN112" s="31">
        <f>INDEX(MTInputs!$J$1:$AZ$415,$D112,MATCH(AN$5,MTInputs!$J$5:$AZ$5,0))</f>
        <v/>
      </c>
    </row>
    <row r="113" hidden="1" outlineLevel="1">
      <c r="A113" s="5" t="inlineStr">
        <is>
          <t>fbcov</t>
        </is>
      </c>
      <c r="B113" s="5" t="inlineStr">
        <is>
          <t>all</t>
        </is>
      </c>
      <c r="C113" s="5" t="inlineStr">
        <is>
          <t>mch</t>
        </is>
      </c>
      <c r="D113" s="6" t="n">
        <v>74</v>
      </c>
      <c r="H113" s="5">
        <f>INDEX(Variables!$B$5:$B$65,MATCH($A113,Variables!$A$5:$A$65,0))&amp;IF($C113="",""," | "&amp;INDEX(Mapping!$B$5:$B$25,MATCH($C113,Mapping!$A$5:$A$25,0))&amp;" | "&amp;INDEX(Mapping!$B$29:$B$38,MATCH($B113,Mapping!$A$29:$A$38,0)))</f>
        <v/>
      </c>
      <c r="I113" s="5">
        <f>INDEX(Variables!$C$5:$C$65,MATCH($A113,Variables!$A$5:$A$65,0))</f>
        <v/>
      </c>
      <c r="J113" s="5">
        <f>INDEX(Variables!$E$5:$E$65,MATCH($A113,Variables!$A$5:$A$65,0))</f>
        <v/>
      </c>
      <c r="K113" s="23">
        <f>LOWER(Settings!$C$4)&amp;".mit."&amp;$A113&amp;IF($C113="","","."&amp;$C113&amp;"."&amp;$B113)&amp;IF(INDEX(Variables!$D$5:$D$65,MATCH($A113,Variables!$A$5:$A$65,0))="","","."&amp;INDEX(Variables!$D$5:$D$65,MATCH($A113,Variables!$A$5:$A$65,0)))&amp;"."&amp;K$5</f>
        <v/>
      </c>
      <c r="L113" s="30">
        <f>INDEX(MTInputs!$J$1:$AZ$415,$D113,MATCH(L$5,MTInputs!$J$5:$AZ$5,0))</f>
        <v/>
      </c>
      <c r="M113" s="31">
        <f>INDEX(MTInputs!$J$1:$AZ$415,$D113,MATCH(M$5,MTInputs!$J$5:$AZ$5,0))</f>
        <v/>
      </c>
      <c r="N113" s="31">
        <f>INDEX(MTInputs!$J$1:$AZ$415,$D113,MATCH(N$5,MTInputs!$J$5:$AZ$5,0))</f>
        <v/>
      </c>
      <c r="O113" s="31">
        <f>INDEX(MTInputs!$J$1:$AZ$415,$D113,MATCH(O$5,MTInputs!$J$5:$AZ$5,0))</f>
        <v/>
      </c>
      <c r="P113" s="31">
        <f>INDEX(MTInputs!$J$1:$AZ$415,$D113,MATCH(P$5,MTInputs!$J$5:$AZ$5,0))</f>
        <v/>
      </c>
      <c r="Q113" s="31">
        <f>INDEX(MTInputs!$J$1:$AZ$415,$D113,MATCH(Q$5,MTInputs!$J$5:$AZ$5,0))</f>
        <v/>
      </c>
      <c r="R113" s="31">
        <f>INDEX(MTInputs!$J$1:$AZ$415,$D113,MATCH(R$5,MTInputs!$J$5:$AZ$5,0))</f>
        <v/>
      </c>
      <c r="S113" s="31">
        <f>INDEX(MTInputs!$J$1:$AZ$415,$D113,MATCH(S$5,MTInputs!$J$5:$AZ$5,0))</f>
        <v/>
      </c>
      <c r="T113" s="31">
        <f>INDEX(MTInputs!$J$1:$AZ$415,$D113,MATCH(T$5,MTInputs!$J$5:$AZ$5,0))</f>
        <v/>
      </c>
      <c r="U113" s="31">
        <f>INDEX(MTInputs!$J$1:$AZ$415,$D113,MATCH(U$5,MTInputs!$J$5:$AZ$5,0))</f>
        <v/>
      </c>
      <c r="V113" s="31">
        <f>INDEX(MTInputs!$J$1:$AZ$415,$D113,MATCH(V$5,MTInputs!$J$5:$AZ$5,0))</f>
        <v/>
      </c>
      <c r="W113" s="31">
        <f>INDEX(MTInputs!$J$1:$AZ$415,$D113,MATCH(W$5,MTInputs!$J$5:$AZ$5,0))</f>
        <v/>
      </c>
      <c r="X113" s="31">
        <f>INDEX(MTInputs!$J$1:$AZ$415,$D113,MATCH(X$5,MTInputs!$J$5:$AZ$5,0))</f>
        <v/>
      </c>
      <c r="Y113" s="31">
        <f>INDEX(MTInputs!$J$1:$AZ$415,$D113,MATCH(Y$5,MTInputs!$J$5:$AZ$5,0))</f>
        <v/>
      </c>
      <c r="Z113" s="23">
        <f>LOWER(Settings!$C$4)&amp;".mit."&amp;$A113&amp;IF($C113="","","."&amp;$C113&amp;"."&amp;$B113)&amp;IF(INDEX(Variables!$D$5:$D$65,MATCH($A113,Variables!$A$5:$A$65,0))="","","."&amp;INDEX(Variables!$D$5:$D$65,MATCH($A113,Variables!$A$5:$A$65,0)))&amp;"."&amp;Z$5</f>
        <v/>
      </c>
      <c r="AA113" s="30">
        <f>INDEX(MTInputs!$J$1:$AZ$415,$D113,MATCH(AA$5,MTInputs!$J$5:$AZ$5,0))</f>
        <v/>
      </c>
      <c r="AB113" s="31">
        <f>INDEX(MTInputs!$J$1:$AZ$415,$D113,MATCH(AB$5,MTInputs!$J$5:$AZ$5,0))</f>
        <v/>
      </c>
      <c r="AC113" s="31">
        <f>INDEX(MTInputs!$J$1:$AZ$415,$D113,MATCH(AC$5,MTInputs!$J$5:$AZ$5,0))</f>
        <v/>
      </c>
      <c r="AD113" s="31">
        <f>INDEX(MTInputs!$J$1:$AZ$415,$D113,MATCH(AD$5,MTInputs!$J$5:$AZ$5,0))</f>
        <v/>
      </c>
      <c r="AE113" s="31">
        <f>INDEX(MTInputs!$J$1:$AZ$415,$D113,MATCH(AE$5,MTInputs!$J$5:$AZ$5,0))</f>
        <v/>
      </c>
      <c r="AF113" s="31">
        <f>INDEX(MTInputs!$J$1:$AZ$415,$D113,MATCH(AF$5,MTInputs!$J$5:$AZ$5,0))</f>
        <v/>
      </c>
      <c r="AG113" s="31">
        <f>INDEX(MTInputs!$J$1:$AZ$415,$D113,MATCH(AG$5,MTInputs!$J$5:$AZ$5,0))</f>
        <v/>
      </c>
      <c r="AH113" s="31">
        <f>INDEX(MTInputs!$J$1:$AZ$415,$D113,MATCH(AH$5,MTInputs!$J$5:$AZ$5,0))</f>
        <v/>
      </c>
      <c r="AI113" s="31">
        <f>INDEX(MTInputs!$J$1:$AZ$415,$D113,MATCH(AI$5,MTInputs!$J$5:$AZ$5,0))</f>
        <v/>
      </c>
      <c r="AJ113" s="31">
        <f>INDEX(MTInputs!$J$1:$AZ$415,$D113,MATCH(AJ$5,MTInputs!$J$5:$AZ$5,0))</f>
        <v/>
      </c>
      <c r="AK113" s="31">
        <f>INDEX(MTInputs!$J$1:$AZ$415,$D113,MATCH(AK$5,MTInputs!$J$5:$AZ$5,0))</f>
        <v/>
      </c>
      <c r="AL113" s="31">
        <f>INDEX(MTInputs!$J$1:$AZ$415,$D113,MATCH(AL$5,MTInputs!$J$5:$AZ$5,0))</f>
        <v/>
      </c>
      <c r="AM113" s="31">
        <f>INDEX(MTInputs!$J$1:$AZ$415,$D113,MATCH(AM$5,MTInputs!$J$5:$AZ$5,0))</f>
        <v/>
      </c>
      <c r="AN113" s="31">
        <f>INDEX(MTInputs!$J$1:$AZ$415,$D113,MATCH(AN$5,MTInputs!$J$5:$AZ$5,0))</f>
        <v/>
      </c>
    </row>
    <row r="114" hidden="1" outlineLevel="1">
      <c r="A114" s="5" t="inlineStr">
        <is>
          <t>fbcov</t>
        </is>
      </c>
      <c r="B114" s="5" t="inlineStr">
        <is>
          <t>all</t>
        </is>
      </c>
      <c r="C114" s="5" t="inlineStr">
        <is>
          <t>irn</t>
        </is>
      </c>
      <c r="D114" s="6" t="n">
        <v>75</v>
      </c>
      <c r="H114" s="5">
        <f>INDEX(Variables!$B$5:$B$65,MATCH($A114,Variables!$A$5:$A$65,0))&amp;IF($C114="",""," | "&amp;INDEX(Mapping!$B$5:$B$25,MATCH($C114,Mapping!$A$5:$A$25,0))&amp;" | "&amp;INDEX(Mapping!$B$29:$B$38,MATCH($B114,Mapping!$A$29:$A$38,0)))</f>
        <v/>
      </c>
      <c r="I114" s="5">
        <f>INDEX(Variables!$C$5:$C$65,MATCH($A114,Variables!$A$5:$A$65,0))</f>
        <v/>
      </c>
      <c r="J114" s="5">
        <f>INDEX(Variables!$E$5:$E$65,MATCH($A114,Variables!$A$5:$A$65,0))</f>
        <v/>
      </c>
      <c r="K114" s="23">
        <f>LOWER(Settings!$C$4)&amp;".mit."&amp;$A114&amp;IF($C114="","","."&amp;$C114&amp;"."&amp;$B114)&amp;IF(INDEX(Variables!$D$5:$D$65,MATCH($A114,Variables!$A$5:$A$65,0))="","","."&amp;INDEX(Variables!$D$5:$D$65,MATCH($A114,Variables!$A$5:$A$65,0)))&amp;"."&amp;K$5</f>
        <v/>
      </c>
      <c r="L114" s="30">
        <f>INDEX(MTInputs!$J$1:$AZ$415,$D114,MATCH(L$5,MTInputs!$J$5:$AZ$5,0))</f>
        <v/>
      </c>
      <c r="M114" s="31">
        <f>INDEX(MTInputs!$J$1:$AZ$415,$D114,MATCH(M$5,MTInputs!$J$5:$AZ$5,0))</f>
        <v/>
      </c>
      <c r="N114" s="31">
        <f>INDEX(MTInputs!$J$1:$AZ$415,$D114,MATCH(N$5,MTInputs!$J$5:$AZ$5,0))</f>
        <v/>
      </c>
      <c r="O114" s="31">
        <f>INDEX(MTInputs!$J$1:$AZ$415,$D114,MATCH(O$5,MTInputs!$J$5:$AZ$5,0))</f>
        <v/>
      </c>
      <c r="P114" s="31">
        <f>INDEX(MTInputs!$J$1:$AZ$415,$D114,MATCH(P$5,MTInputs!$J$5:$AZ$5,0))</f>
        <v/>
      </c>
      <c r="Q114" s="31">
        <f>INDEX(MTInputs!$J$1:$AZ$415,$D114,MATCH(Q$5,MTInputs!$J$5:$AZ$5,0))</f>
        <v/>
      </c>
      <c r="R114" s="31">
        <f>INDEX(MTInputs!$J$1:$AZ$415,$D114,MATCH(R$5,MTInputs!$J$5:$AZ$5,0))</f>
        <v/>
      </c>
      <c r="S114" s="31">
        <f>INDEX(MTInputs!$J$1:$AZ$415,$D114,MATCH(S$5,MTInputs!$J$5:$AZ$5,0))</f>
        <v/>
      </c>
      <c r="T114" s="31">
        <f>INDEX(MTInputs!$J$1:$AZ$415,$D114,MATCH(T$5,MTInputs!$J$5:$AZ$5,0))</f>
        <v/>
      </c>
      <c r="U114" s="31">
        <f>INDEX(MTInputs!$J$1:$AZ$415,$D114,MATCH(U$5,MTInputs!$J$5:$AZ$5,0))</f>
        <v/>
      </c>
      <c r="V114" s="31">
        <f>INDEX(MTInputs!$J$1:$AZ$415,$D114,MATCH(V$5,MTInputs!$J$5:$AZ$5,0))</f>
        <v/>
      </c>
      <c r="W114" s="31">
        <f>INDEX(MTInputs!$J$1:$AZ$415,$D114,MATCH(W$5,MTInputs!$J$5:$AZ$5,0))</f>
        <v/>
      </c>
      <c r="X114" s="31">
        <f>INDEX(MTInputs!$J$1:$AZ$415,$D114,MATCH(X$5,MTInputs!$J$5:$AZ$5,0))</f>
        <v/>
      </c>
      <c r="Y114" s="31">
        <f>INDEX(MTInputs!$J$1:$AZ$415,$D114,MATCH(Y$5,MTInputs!$J$5:$AZ$5,0))</f>
        <v/>
      </c>
      <c r="Z114" s="23">
        <f>LOWER(Settings!$C$4)&amp;".mit."&amp;$A114&amp;IF($C114="","","."&amp;$C114&amp;"."&amp;$B114)&amp;IF(INDEX(Variables!$D$5:$D$65,MATCH($A114,Variables!$A$5:$A$65,0))="","","."&amp;INDEX(Variables!$D$5:$D$65,MATCH($A114,Variables!$A$5:$A$65,0)))&amp;"."&amp;Z$5</f>
        <v/>
      </c>
      <c r="AA114" s="30">
        <f>INDEX(MTInputs!$J$1:$AZ$415,$D114,MATCH(AA$5,MTInputs!$J$5:$AZ$5,0))</f>
        <v/>
      </c>
      <c r="AB114" s="31">
        <f>INDEX(MTInputs!$J$1:$AZ$415,$D114,MATCH(AB$5,MTInputs!$J$5:$AZ$5,0))</f>
        <v/>
      </c>
      <c r="AC114" s="31">
        <f>INDEX(MTInputs!$J$1:$AZ$415,$D114,MATCH(AC$5,MTInputs!$J$5:$AZ$5,0))</f>
        <v/>
      </c>
      <c r="AD114" s="31">
        <f>INDEX(MTInputs!$J$1:$AZ$415,$D114,MATCH(AD$5,MTInputs!$J$5:$AZ$5,0))</f>
        <v/>
      </c>
      <c r="AE114" s="31">
        <f>INDEX(MTInputs!$J$1:$AZ$415,$D114,MATCH(AE$5,MTInputs!$J$5:$AZ$5,0))</f>
        <v/>
      </c>
      <c r="AF114" s="31">
        <f>INDEX(MTInputs!$J$1:$AZ$415,$D114,MATCH(AF$5,MTInputs!$J$5:$AZ$5,0))</f>
        <v/>
      </c>
      <c r="AG114" s="31">
        <f>INDEX(MTInputs!$J$1:$AZ$415,$D114,MATCH(AG$5,MTInputs!$J$5:$AZ$5,0))</f>
        <v/>
      </c>
      <c r="AH114" s="31">
        <f>INDEX(MTInputs!$J$1:$AZ$415,$D114,MATCH(AH$5,MTInputs!$J$5:$AZ$5,0))</f>
        <v/>
      </c>
      <c r="AI114" s="31">
        <f>INDEX(MTInputs!$J$1:$AZ$415,$D114,MATCH(AI$5,MTInputs!$J$5:$AZ$5,0))</f>
        <v/>
      </c>
      <c r="AJ114" s="31">
        <f>INDEX(MTInputs!$J$1:$AZ$415,$D114,MATCH(AJ$5,MTInputs!$J$5:$AZ$5,0))</f>
        <v/>
      </c>
      <c r="AK114" s="31">
        <f>INDEX(MTInputs!$J$1:$AZ$415,$D114,MATCH(AK$5,MTInputs!$J$5:$AZ$5,0))</f>
        <v/>
      </c>
      <c r="AL114" s="31">
        <f>INDEX(MTInputs!$J$1:$AZ$415,$D114,MATCH(AL$5,MTInputs!$J$5:$AZ$5,0))</f>
        <v/>
      </c>
      <c r="AM114" s="31">
        <f>INDEX(MTInputs!$J$1:$AZ$415,$D114,MATCH(AM$5,MTInputs!$J$5:$AZ$5,0))</f>
        <v/>
      </c>
      <c r="AN114" s="31">
        <f>INDEX(MTInputs!$J$1:$AZ$415,$D114,MATCH(AN$5,MTInputs!$J$5:$AZ$5,0))</f>
        <v/>
      </c>
    </row>
    <row r="115" hidden="1" outlineLevel="1">
      <c r="A115" s="5" t="inlineStr">
        <is>
          <t>fbcov</t>
        </is>
      </c>
      <c r="B115" s="5" t="inlineStr">
        <is>
          <t>all</t>
        </is>
      </c>
      <c r="C115" s="5" t="inlineStr">
        <is>
          <t>nfm</t>
        </is>
      </c>
      <c r="D115" s="6" t="n">
        <v>76</v>
      </c>
      <c r="H115" s="5">
        <f>INDEX(Variables!$B$5:$B$65,MATCH($A115,Variables!$A$5:$A$65,0))&amp;IF($C115="",""," | "&amp;INDEX(Mapping!$B$5:$B$25,MATCH($C115,Mapping!$A$5:$A$25,0))&amp;" | "&amp;INDEX(Mapping!$B$29:$B$38,MATCH($B115,Mapping!$A$29:$A$38,0)))</f>
        <v/>
      </c>
      <c r="I115" s="5">
        <f>INDEX(Variables!$C$5:$C$65,MATCH($A115,Variables!$A$5:$A$65,0))</f>
        <v/>
      </c>
      <c r="J115" s="5">
        <f>INDEX(Variables!$E$5:$E$65,MATCH($A115,Variables!$A$5:$A$65,0))</f>
        <v/>
      </c>
      <c r="K115" s="23">
        <f>LOWER(Settings!$C$4)&amp;".mit."&amp;$A115&amp;IF($C115="","","."&amp;$C115&amp;"."&amp;$B115)&amp;IF(INDEX(Variables!$D$5:$D$65,MATCH($A115,Variables!$A$5:$A$65,0))="","","."&amp;INDEX(Variables!$D$5:$D$65,MATCH($A115,Variables!$A$5:$A$65,0)))&amp;"."&amp;K$5</f>
        <v/>
      </c>
      <c r="L115" s="30">
        <f>INDEX(MTInputs!$J$1:$AZ$415,$D115,MATCH(L$5,MTInputs!$J$5:$AZ$5,0))</f>
        <v/>
      </c>
      <c r="M115" s="31">
        <f>INDEX(MTInputs!$J$1:$AZ$415,$D115,MATCH(M$5,MTInputs!$J$5:$AZ$5,0))</f>
        <v/>
      </c>
      <c r="N115" s="31">
        <f>INDEX(MTInputs!$J$1:$AZ$415,$D115,MATCH(N$5,MTInputs!$J$5:$AZ$5,0))</f>
        <v/>
      </c>
      <c r="O115" s="31">
        <f>INDEX(MTInputs!$J$1:$AZ$415,$D115,MATCH(O$5,MTInputs!$J$5:$AZ$5,0))</f>
        <v/>
      </c>
      <c r="P115" s="31">
        <f>INDEX(MTInputs!$J$1:$AZ$415,$D115,MATCH(P$5,MTInputs!$J$5:$AZ$5,0))</f>
        <v/>
      </c>
      <c r="Q115" s="31">
        <f>INDEX(MTInputs!$J$1:$AZ$415,$D115,MATCH(Q$5,MTInputs!$J$5:$AZ$5,0))</f>
        <v/>
      </c>
      <c r="R115" s="31">
        <f>INDEX(MTInputs!$J$1:$AZ$415,$D115,MATCH(R$5,MTInputs!$J$5:$AZ$5,0))</f>
        <v/>
      </c>
      <c r="S115" s="31">
        <f>INDEX(MTInputs!$J$1:$AZ$415,$D115,MATCH(S$5,MTInputs!$J$5:$AZ$5,0))</f>
        <v/>
      </c>
      <c r="T115" s="31">
        <f>INDEX(MTInputs!$J$1:$AZ$415,$D115,MATCH(T$5,MTInputs!$J$5:$AZ$5,0))</f>
        <v/>
      </c>
      <c r="U115" s="31">
        <f>INDEX(MTInputs!$J$1:$AZ$415,$D115,MATCH(U$5,MTInputs!$J$5:$AZ$5,0))</f>
        <v/>
      </c>
      <c r="V115" s="31">
        <f>INDEX(MTInputs!$J$1:$AZ$415,$D115,MATCH(V$5,MTInputs!$J$5:$AZ$5,0))</f>
        <v/>
      </c>
      <c r="W115" s="31">
        <f>INDEX(MTInputs!$J$1:$AZ$415,$D115,MATCH(W$5,MTInputs!$J$5:$AZ$5,0))</f>
        <v/>
      </c>
      <c r="X115" s="31">
        <f>INDEX(MTInputs!$J$1:$AZ$415,$D115,MATCH(X$5,MTInputs!$J$5:$AZ$5,0))</f>
        <v/>
      </c>
      <c r="Y115" s="31">
        <f>INDEX(MTInputs!$J$1:$AZ$415,$D115,MATCH(Y$5,MTInputs!$J$5:$AZ$5,0))</f>
        <v/>
      </c>
      <c r="Z115" s="23">
        <f>LOWER(Settings!$C$4)&amp;".mit."&amp;$A115&amp;IF($C115="","","."&amp;$C115&amp;"."&amp;$B115)&amp;IF(INDEX(Variables!$D$5:$D$65,MATCH($A115,Variables!$A$5:$A$65,0))="","","."&amp;INDEX(Variables!$D$5:$D$65,MATCH($A115,Variables!$A$5:$A$65,0)))&amp;"."&amp;Z$5</f>
        <v/>
      </c>
      <c r="AA115" s="30">
        <f>INDEX(MTInputs!$J$1:$AZ$415,$D115,MATCH(AA$5,MTInputs!$J$5:$AZ$5,0))</f>
        <v/>
      </c>
      <c r="AB115" s="31">
        <f>INDEX(MTInputs!$J$1:$AZ$415,$D115,MATCH(AB$5,MTInputs!$J$5:$AZ$5,0))</f>
        <v/>
      </c>
      <c r="AC115" s="31">
        <f>INDEX(MTInputs!$J$1:$AZ$415,$D115,MATCH(AC$5,MTInputs!$J$5:$AZ$5,0))</f>
        <v/>
      </c>
      <c r="AD115" s="31">
        <f>INDEX(MTInputs!$J$1:$AZ$415,$D115,MATCH(AD$5,MTInputs!$J$5:$AZ$5,0))</f>
        <v/>
      </c>
      <c r="AE115" s="31">
        <f>INDEX(MTInputs!$J$1:$AZ$415,$D115,MATCH(AE$5,MTInputs!$J$5:$AZ$5,0))</f>
        <v/>
      </c>
      <c r="AF115" s="31">
        <f>INDEX(MTInputs!$J$1:$AZ$415,$D115,MATCH(AF$5,MTInputs!$J$5:$AZ$5,0))</f>
        <v/>
      </c>
      <c r="AG115" s="31">
        <f>INDEX(MTInputs!$J$1:$AZ$415,$D115,MATCH(AG$5,MTInputs!$J$5:$AZ$5,0))</f>
        <v/>
      </c>
      <c r="AH115" s="31">
        <f>INDEX(MTInputs!$J$1:$AZ$415,$D115,MATCH(AH$5,MTInputs!$J$5:$AZ$5,0))</f>
        <v/>
      </c>
      <c r="AI115" s="31">
        <f>INDEX(MTInputs!$J$1:$AZ$415,$D115,MATCH(AI$5,MTInputs!$J$5:$AZ$5,0))</f>
        <v/>
      </c>
      <c r="AJ115" s="31">
        <f>INDEX(MTInputs!$J$1:$AZ$415,$D115,MATCH(AJ$5,MTInputs!$J$5:$AZ$5,0))</f>
        <v/>
      </c>
      <c r="AK115" s="31">
        <f>INDEX(MTInputs!$J$1:$AZ$415,$D115,MATCH(AK$5,MTInputs!$J$5:$AZ$5,0))</f>
        <v/>
      </c>
      <c r="AL115" s="31">
        <f>INDEX(MTInputs!$J$1:$AZ$415,$D115,MATCH(AL$5,MTInputs!$J$5:$AZ$5,0))</f>
        <v/>
      </c>
      <c r="AM115" s="31">
        <f>INDEX(MTInputs!$J$1:$AZ$415,$D115,MATCH(AM$5,MTInputs!$J$5:$AZ$5,0))</f>
        <v/>
      </c>
      <c r="AN115" s="31">
        <f>INDEX(MTInputs!$J$1:$AZ$415,$D115,MATCH(AN$5,MTInputs!$J$5:$AZ$5,0))</f>
        <v/>
      </c>
    </row>
    <row r="116" hidden="1" outlineLevel="1">
      <c r="A116" s="5" t="inlineStr">
        <is>
          <t>fbcov</t>
        </is>
      </c>
      <c r="B116" s="5" t="inlineStr">
        <is>
          <t>all</t>
        </is>
      </c>
      <c r="C116" s="5" t="inlineStr">
        <is>
          <t>mac</t>
        </is>
      </c>
      <c r="D116" s="6" t="n">
        <v>77</v>
      </c>
      <c r="H116" s="5">
        <f>INDEX(Variables!$B$5:$B$65,MATCH($A116,Variables!$A$5:$A$65,0))&amp;IF($C116="",""," | "&amp;INDEX(Mapping!$B$5:$B$25,MATCH($C116,Mapping!$A$5:$A$25,0))&amp;" | "&amp;INDEX(Mapping!$B$29:$B$38,MATCH($B116,Mapping!$A$29:$A$38,0)))</f>
        <v/>
      </c>
      <c r="I116" s="5">
        <f>INDEX(Variables!$C$5:$C$65,MATCH($A116,Variables!$A$5:$A$65,0))</f>
        <v/>
      </c>
      <c r="J116" s="5">
        <f>INDEX(Variables!$E$5:$E$65,MATCH($A116,Variables!$A$5:$A$65,0))</f>
        <v/>
      </c>
      <c r="K116" s="23">
        <f>LOWER(Settings!$C$4)&amp;".mit."&amp;$A116&amp;IF($C116="","","."&amp;$C116&amp;"."&amp;$B116)&amp;IF(INDEX(Variables!$D$5:$D$65,MATCH($A116,Variables!$A$5:$A$65,0))="","","."&amp;INDEX(Variables!$D$5:$D$65,MATCH($A116,Variables!$A$5:$A$65,0)))&amp;"."&amp;K$5</f>
        <v/>
      </c>
      <c r="L116" s="30">
        <f>INDEX(MTInputs!$J$1:$AZ$415,$D116,MATCH(L$5,MTInputs!$J$5:$AZ$5,0))</f>
        <v/>
      </c>
      <c r="M116" s="31">
        <f>INDEX(MTInputs!$J$1:$AZ$415,$D116,MATCH(M$5,MTInputs!$J$5:$AZ$5,0))</f>
        <v/>
      </c>
      <c r="N116" s="31">
        <f>INDEX(MTInputs!$J$1:$AZ$415,$D116,MATCH(N$5,MTInputs!$J$5:$AZ$5,0))</f>
        <v/>
      </c>
      <c r="O116" s="31">
        <f>INDEX(MTInputs!$J$1:$AZ$415,$D116,MATCH(O$5,MTInputs!$J$5:$AZ$5,0))</f>
        <v/>
      </c>
      <c r="P116" s="31">
        <f>INDEX(MTInputs!$J$1:$AZ$415,$D116,MATCH(P$5,MTInputs!$J$5:$AZ$5,0))</f>
        <v/>
      </c>
      <c r="Q116" s="31">
        <f>INDEX(MTInputs!$J$1:$AZ$415,$D116,MATCH(Q$5,MTInputs!$J$5:$AZ$5,0))</f>
        <v/>
      </c>
      <c r="R116" s="31">
        <f>INDEX(MTInputs!$J$1:$AZ$415,$D116,MATCH(R$5,MTInputs!$J$5:$AZ$5,0))</f>
        <v/>
      </c>
      <c r="S116" s="31">
        <f>INDEX(MTInputs!$J$1:$AZ$415,$D116,MATCH(S$5,MTInputs!$J$5:$AZ$5,0))</f>
        <v/>
      </c>
      <c r="T116" s="31">
        <f>INDEX(MTInputs!$J$1:$AZ$415,$D116,MATCH(T$5,MTInputs!$J$5:$AZ$5,0))</f>
        <v/>
      </c>
      <c r="U116" s="31">
        <f>INDEX(MTInputs!$J$1:$AZ$415,$D116,MATCH(U$5,MTInputs!$J$5:$AZ$5,0))</f>
        <v/>
      </c>
      <c r="V116" s="31">
        <f>INDEX(MTInputs!$J$1:$AZ$415,$D116,MATCH(V$5,MTInputs!$J$5:$AZ$5,0))</f>
        <v/>
      </c>
      <c r="W116" s="31">
        <f>INDEX(MTInputs!$J$1:$AZ$415,$D116,MATCH(W$5,MTInputs!$J$5:$AZ$5,0))</f>
        <v/>
      </c>
      <c r="X116" s="31">
        <f>INDEX(MTInputs!$J$1:$AZ$415,$D116,MATCH(X$5,MTInputs!$J$5:$AZ$5,0))</f>
        <v/>
      </c>
      <c r="Y116" s="31">
        <f>INDEX(MTInputs!$J$1:$AZ$415,$D116,MATCH(Y$5,MTInputs!$J$5:$AZ$5,0))</f>
        <v/>
      </c>
      <c r="Z116" s="23">
        <f>LOWER(Settings!$C$4)&amp;".mit."&amp;$A116&amp;IF($C116="","","."&amp;$C116&amp;"."&amp;$B116)&amp;IF(INDEX(Variables!$D$5:$D$65,MATCH($A116,Variables!$A$5:$A$65,0))="","","."&amp;INDEX(Variables!$D$5:$D$65,MATCH($A116,Variables!$A$5:$A$65,0)))&amp;"."&amp;Z$5</f>
        <v/>
      </c>
      <c r="AA116" s="30">
        <f>INDEX(MTInputs!$J$1:$AZ$415,$D116,MATCH(AA$5,MTInputs!$J$5:$AZ$5,0))</f>
        <v/>
      </c>
      <c r="AB116" s="31">
        <f>INDEX(MTInputs!$J$1:$AZ$415,$D116,MATCH(AB$5,MTInputs!$J$5:$AZ$5,0))</f>
        <v/>
      </c>
      <c r="AC116" s="31">
        <f>INDEX(MTInputs!$J$1:$AZ$415,$D116,MATCH(AC$5,MTInputs!$J$5:$AZ$5,0))</f>
        <v/>
      </c>
      <c r="AD116" s="31">
        <f>INDEX(MTInputs!$J$1:$AZ$415,$D116,MATCH(AD$5,MTInputs!$J$5:$AZ$5,0))</f>
        <v/>
      </c>
      <c r="AE116" s="31">
        <f>INDEX(MTInputs!$J$1:$AZ$415,$D116,MATCH(AE$5,MTInputs!$J$5:$AZ$5,0))</f>
        <v/>
      </c>
      <c r="AF116" s="31">
        <f>INDEX(MTInputs!$J$1:$AZ$415,$D116,MATCH(AF$5,MTInputs!$J$5:$AZ$5,0))</f>
        <v/>
      </c>
      <c r="AG116" s="31">
        <f>INDEX(MTInputs!$J$1:$AZ$415,$D116,MATCH(AG$5,MTInputs!$J$5:$AZ$5,0))</f>
        <v/>
      </c>
      <c r="AH116" s="31">
        <f>INDEX(MTInputs!$J$1:$AZ$415,$D116,MATCH(AH$5,MTInputs!$J$5:$AZ$5,0))</f>
        <v/>
      </c>
      <c r="AI116" s="31">
        <f>INDEX(MTInputs!$J$1:$AZ$415,$D116,MATCH(AI$5,MTInputs!$J$5:$AZ$5,0))</f>
        <v/>
      </c>
      <c r="AJ116" s="31">
        <f>INDEX(MTInputs!$J$1:$AZ$415,$D116,MATCH(AJ$5,MTInputs!$J$5:$AZ$5,0))</f>
        <v/>
      </c>
      <c r="AK116" s="31">
        <f>INDEX(MTInputs!$J$1:$AZ$415,$D116,MATCH(AK$5,MTInputs!$J$5:$AZ$5,0))</f>
        <v/>
      </c>
      <c r="AL116" s="31">
        <f>INDEX(MTInputs!$J$1:$AZ$415,$D116,MATCH(AL$5,MTInputs!$J$5:$AZ$5,0))</f>
        <v/>
      </c>
      <c r="AM116" s="31">
        <f>INDEX(MTInputs!$J$1:$AZ$415,$D116,MATCH(AM$5,MTInputs!$J$5:$AZ$5,0))</f>
        <v/>
      </c>
      <c r="AN116" s="31">
        <f>INDEX(MTInputs!$J$1:$AZ$415,$D116,MATCH(AN$5,MTInputs!$J$5:$AZ$5,0))</f>
        <v/>
      </c>
    </row>
    <row r="117" hidden="1" outlineLevel="1">
      <c r="A117" s="5" t="inlineStr">
        <is>
          <t>fbcov</t>
        </is>
      </c>
      <c r="B117" s="5" t="inlineStr">
        <is>
          <t>all</t>
        </is>
      </c>
      <c r="C117" s="5" t="inlineStr">
        <is>
          <t>cem</t>
        </is>
      </c>
      <c r="D117" s="6" t="n">
        <v>78</v>
      </c>
      <c r="H117" s="5">
        <f>INDEX(Variables!$B$5:$B$65,MATCH($A117,Variables!$A$5:$A$65,0))&amp;IF($C117="",""," | "&amp;INDEX(Mapping!$B$5:$B$25,MATCH($C117,Mapping!$A$5:$A$25,0))&amp;" | "&amp;INDEX(Mapping!$B$29:$B$38,MATCH($B117,Mapping!$A$29:$A$38,0)))</f>
        <v/>
      </c>
      <c r="I117" s="5">
        <f>INDEX(Variables!$C$5:$C$65,MATCH($A117,Variables!$A$5:$A$65,0))</f>
        <v/>
      </c>
      <c r="J117" s="5">
        <f>INDEX(Variables!$E$5:$E$65,MATCH($A117,Variables!$A$5:$A$65,0))</f>
        <v/>
      </c>
      <c r="K117" s="23">
        <f>LOWER(Settings!$C$4)&amp;".mit."&amp;$A117&amp;IF($C117="","","."&amp;$C117&amp;"."&amp;$B117)&amp;IF(INDEX(Variables!$D$5:$D$65,MATCH($A117,Variables!$A$5:$A$65,0))="","","."&amp;INDEX(Variables!$D$5:$D$65,MATCH($A117,Variables!$A$5:$A$65,0)))&amp;"."&amp;K$5</f>
        <v/>
      </c>
      <c r="L117" s="30">
        <f>INDEX(MTInputs!$J$1:$AZ$415,$D117,MATCH(L$5,MTInputs!$J$5:$AZ$5,0))</f>
        <v/>
      </c>
      <c r="M117" s="31">
        <f>INDEX(MTInputs!$J$1:$AZ$415,$D117,MATCH(M$5,MTInputs!$J$5:$AZ$5,0))</f>
        <v/>
      </c>
      <c r="N117" s="31">
        <f>INDEX(MTInputs!$J$1:$AZ$415,$D117,MATCH(N$5,MTInputs!$J$5:$AZ$5,0))</f>
        <v/>
      </c>
      <c r="O117" s="31">
        <f>INDEX(MTInputs!$J$1:$AZ$415,$D117,MATCH(O$5,MTInputs!$J$5:$AZ$5,0))</f>
        <v/>
      </c>
      <c r="P117" s="31">
        <f>INDEX(MTInputs!$J$1:$AZ$415,$D117,MATCH(P$5,MTInputs!$J$5:$AZ$5,0))</f>
        <v/>
      </c>
      <c r="Q117" s="31">
        <f>INDEX(MTInputs!$J$1:$AZ$415,$D117,MATCH(Q$5,MTInputs!$J$5:$AZ$5,0))</f>
        <v/>
      </c>
      <c r="R117" s="31">
        <f>INDEX(MTInputs!$J$1:$AZ$415,$D117,MATCH(R$5,MTInputs!$J$5:$AZ$5,0))</f>
        <v/>
      </c>
      <c r="S117" s="31">
        <f>INDEX(MTInputs!$J$1:$AZ$415,$D117,MATCH(S$5,MTInputs!$J$5:$AZ$5,0))</f>
        <v/>
      </c>
      <c r="T117" s="31">
        <f>INDEX(MTInputs!$J$1:$AZ$415,$D117,MATCH(T$5,MTInputs!$J$5:$AZ$5,0))</f>
        <v/>
      </c>
      <c r="U117" s="31">
        <f>INDEX(MTInputs!$J$1:$AZ$415,$D117,MATCH(U$5,MTInputs!$J$5:$AZ$5,0))</f>
        <v/>
      </c>
      <c r="V117" s="31">
        <f>INDEX(MTInputs!$J$1:$AZ$415,$D117,MATCH(V$5,MTInputs!$J$5:$AZ$5,0))</f>
        <v/>
      </c>
      <c r="W117" s="31">
        <f>INDEX(MTInputs!$J$1:$AZ$415,$D117,MATCH(W$5,MTInputs!$J$5:$AZ$5,0))</f>
        <v/>
      </c>
      <c r="X117" s="31">
        <f>INDEX(MTInputs!$J$1:$AZ$415,$D117,MATCH(X$5,MTInputs!$J$5:$AZ$5,0))</f>
        <v/>
      </c>
      <c r="Y117" s="31">
        <f>INDEX(MTInputs!$J$1:$AZ$415,$D117,MATCH(Y$5,MTInputs!$J$5:$AZ$5,0))</f>
        <v/>
      </c>
      <c r="Z117" s="23">
        <f>LOWER(Settings!$C$4)&amp;".mit."&amp;$A117&amp;IF($C117="","","."&amp;$C117&amp;"."&amp;$B117)&amp;IF(INDEX(Variables!$D$5:$D$65,MATCH($A117,Variables!$A$5:$A$65,0))="","","."&amp;INDEX(Variables!$D$5:$D$65,MATCH($A117,Variables!$A$5:$A$65,0)))&amp;"."&amp;Z$5</f>
        <v/>
      </c>
      <c r="AA117" s="30">
        <f>INDEX(MTInputs!$J$1:$AZ$415,$D117,MATCH(AA$5,MTInputs!$J$5:$AZ$5,0))</f>
        <v/>
      </c>
      <c r="AB117" s="31">
        <f>INDEX(MTInputs!$J$1:$AZ$415,$D117,MATCH(AB$5,MTInputs!$J$5:$AZ$5,0))</f>
        <v/>
      </c>
      <c r="AC117" s="31">
        <f>INDEX(MTInputs!$J$1:$AZ$415,$D117,MATCH(AC$5,MTInputs!$J$5:$AZ$5,0))</f>
        <v/>
      </c>
      <c r="AD117" s="31">
        <f>INDEX(MTInputs!$J$1:$AZ$415,$D117,MATCH(AD$5,MTInputs!$J$5:$AZ$5,0))</f>
        <v/>
      </c>
      <c r="AE117" s="31">
        <f>INDEX(MTInputs!$J$1:$AZ$415,$D117,MATCH(AE$5,MTInputs!$J$5:$AZ$5,0))</f>
        <v/>
      </c>
      <c r="AF117" s="31">
        <f>INDEX(MTInputs!$J$1:$AZ$415,$D117,MATCH(AF$5,MTInputs!$J$5:$AZ$5,0))</f>
        <v/>
      </c>
      <c r="AG117" s="31">
        <f>INDEX(MTInputs!$J$1:$AZ$415,$D117,MATCH(AG$5,MTInputs!$J$5:$AZ$5,0))</f>
        <v/>
      </c>
      <c r="AH117" s="31">
        <f>INDEX(MTInputs!$J$1:$AZ$415,$D117,MATCH(AH$5,MTInputs!$J$5:$AZ$5,0))</f>
        <v/>
      </c>
      <c r="AI117" s="31">
        <f>INDEX(MTInputs!$J$1:$AZ$415,$D117,MATCH(AI$5,MTInputs!$J$5:$AZ$5,0))</f>
        <v/>
      </c>
      <c r="AJ117" s="31">
        <f>INDEX(MTInputs!$J$1:$AZ$415,$D117,MATCH(AJ$5,MTInputs!$J$5:$AZ$5,0))</f>
        <v/>
      </c>
      <c r="AK117" s="31">
        <f>INDEX(MTInputs!$J$1:$AZ$415,$D117,MATCH(AK$5,MTInputs!$J$5:$AZ$5,0))</f>
        <v/>
      </c>
      <c r="AL117" s="31">
        <f>INDEX(MTInputs!$J$1:$AZ$415,$D117,MATCH(AL$5,MTInputs!$J$5:$AZ$5,0))</f>
        <v/>
      </c>
      <c r="AM117" s="31">
        <f>INDEX(MTInputs!$J$1:$AZ$415,$D117,MATCH(AM$5,MTInputs!$J$5:$AZ$5,0))</f>
        <v/>
      </c>
      <c r="AN117" s="31">
        <f>INDEX(MTInputs!$J$1:$AZ$415,$D117,MATCH(AN$5,MTInputs!$J$5:$AZ$5,0))</f>
        <v/>
      </c>
    </row>
    <row r="118" hidden="1" outlineLevel="1">
      <c r="A118" s="5" t="inlineStr">
        <is>
          <t>fbcov</t>
        </is>
      </c>
      <c r="B118" s="5" t="inlineStr">
        <is>
          <t>all</t>
        </is>
      </c>
      <c r="C118" s="5" t="inlineStr">
        <is>
          <t>omn</t>
        </is>
      </c>
      <c r="D118" s="6" t="n">
        <v>79</v>
      </c>
      <c r="H118" s="5">
        <f>INDEX(Variables!$B$5:$B$65,MATCH($A118,Variables!$A$5:$A$65,0))&amp;IF($C118="",""," | "&amp;INDEX(Mapping!$B$5:$B$25,MATCH($C118,Mapping!$A$5:$A$25,0))&amp;" | "&amp;INDEX(Mapping!$B$29:$B$38,MATCH($B118,Mapping!$A$29:$A$38,0)))</f>
        <v/>
      </c>
      <c r="I118" s="5">
        <f>INDEX(Variables!$C$5:$C$65,MATCH($A118,Variables!$A$5:$A$65,0))</f>
        <v/>
      </c>
      <c r="J118" s="5">
        <f>INDEX(Variables!$E$5:$E$65,MATCH($A118,Variables!$A$5:$A$65,0))</f>
        <v/>
      </c>
      <c r="K118" s="23">
        <f>LOWER(Settings!$C$4)&amp;".mit."&amp;$A118&amp;IF($C118="","","."&amp;$C118&amp;"."&amp;$B118)&amp;IF(INDEX(Variables!$D$5:$D$65,MATCH($A118,Variables!$A$5:$A$65,0))="","","."&amp;INDEX(Variables!$D$5:$D$65,MATCH($A118,Variables!$A$5:$A$65,0)))&amp;"."&amp;K$5</f>
        <v/>
      </c>
      <c r="L118" s="30">
        <f>INDEX(MTInputs!$J$1:$AZ$415,$D118,MATCH(L$5,MTInputs!$J$5:$AZ$5,0))</f>
        <v/>
      </c>
      <c r="M118" s="31">
        <f>INDEX(MTInputs!$J$1:$AZ$415,$D118,MATCH(M$5,MTInputs!$J$5:$AZ$5,0))</f>
        <v/>
      </c>
      <c r="N118" s="31">
        <f>INDEX(MTInputs!$J$1:$AZ$415,$D118,MATCH(N$5,MTInputs!$J$5:$AZ$5,0))</f>
        <v/>
      </c>
      <c r="O118" s="31">
        <f>INDEX(MTInputs!$J$1:$AZ$415,$D118,MATCH(O$5,MTInputs!$J$5:$AZ$5,0))</f>
        <v/>
      </c>
      <c r="P118" s="31">
        <f>INDEX(MTInputs!$J$1:$AZ$415,$D118,MATCH(P$5,MTInputs!$J$5:$AZ$5,0))</f>
        <v/>
      </c>
      <c r="Q118" s="31">
        <f>INDEX(MTInputs!$J$1:$AZ$415,$D118,MATCH(Q$5,MTInputs!$J$5:$AZ$5,0))</f>
        <v/>
      </c>
      <c r="R118" s="31">
        <f>INDEX(MTInputs!$J$1:$AZ$415,$D118,MATCH(R$5,MTInputs!$J$5:$AZ$5,0))</f>
        <v/>
      </c>
      <c r="S118" s="31">
        <f>INDEX(MTInputs!$J$1:$AZ$415,$D118,MATCH(S$5,MTInputs!$J$5:$AZ$5,0))</f>
        <v/>
      </c>
      <c r="T118" s="31">
        <f>INDEX(MTInputs!$J$1:$AZ$415,$D118,MATCH(T$5,MTInputs!$J$5:$AZ$5,0))</f>
        <v/>
      </c>
      <c r="U118" s="31">
        <f>INDEX(MTInputs!$J$1:$AZ$415,$D118,MATCH(U$5,MTInputs!$J$5:$AZ$5,0))</f>
        <v/>
      </c>
      <c r="V118" s="31">
        <f>INDEX(MTInputs!$J$1:$AZ$415,$D118,MATCH(V$5,MTInputs!$J$5:$AZ$5,0))</f>
        <v/>
      </c>
      <c r="W118" s="31">
        <f>INDEX(MTInputs!$J$1:$AZ$415,$D118,MATCH(W$5,MTInputs!$J$5:$AZ$5,0))</f>
        <v/>
      </c>
      <c r="X118" s="31">
        <f>INDEX(MTInputs!$J$1:$AZ$415,$D118,MATCH(X$5,MTInputs!$J$5:$AZ$5,0))</f>
        <v/>
      </c>
      <c r="Y118" s="31">
        <f>INDEX(MTInputs!$J$1:$AZ$415,$D118,MATCH(Y$5,MTInputs!$J$5:$AZ$5,0))</f>
        <v/>
      </c>
      <c r="Z118" s="23">
        <f>LOWER(Settings!$C$4)&amp;".mit."&amp;$A118&amp;IF($C118="","","."&amp;$C118&amp;"."&amp;$B118)&amp;IF(INDEX(Variables!$D$5:$D$65,MATCH($A118,Variables!$A$5:$A$65,0))="","","."&amp;INDEX(Variables!$D$5:$D$65,MATCH($A118,Variables!$A$5:$A$65,0)))&amp;"."&amp;Z$5</f>
        <v/>
      </c>
      <c r="AA118" s="30">
        <f>INDEX(MTInputs!$J$1:$AZ$415,$D118,MATCH(AA$5,MTInputs!$J$5:$AZ$5,0))</f>
        <v/>
      </c>
      <c r="AB118" s="31">
        <f>INDEX(MTInputs!$J$1:$AZ$415,$D118,MATCH(AB$5,MTInputs!$J$5:$AZ$5,0))</f>
        <v/>
      </c>
      <c r="AC118" s="31">
        <f>INDEX(MTInputs!$J$1:$AZ$415,$D118,MATCH(AC$5,MTInputs!$J$5:$AZ$5,0))</f>
        <v/>
      </c>
      <c r="AD118" s="31">
        <f>INDEX(MTInputs!$J$1:$AZ$415,$D118,MATCH(AD$5,MTInputs!$J$5:$AZ$5,0))</f>
        <v/>
      </c>
      <c r="AE118" s="31">
        <f>INDEX(MTInputs!$J$1:$AZ$415,$D118,MATCH(AE$5,MTInputs!$J$5:$AZ$5,0))</f>
        <v/>
      </c>
      <c r="AF118" s="31">
        <f>INDEX(MTInputs!$J$1:$AZ$415,$D118,MATCH(AF$5,MTInputs!$J$5:$AZ$5,0))</f>
        <v/>
      </c>
      <c r="AG118" s="31">
        <f>INDEX(MTInputs!$J$1:$AZ$415,$D118,MATCH(AG$5,MTInputs!$J$5:$AZ$5,0))</f>
        <v/>
      </c>
      <c r="AH118" s="31">
        <f>INDEX(MTInputs!$J$1:$AZ$415,$D118,MATCH(AH$5,MTInputs!$J$5:$AZ$5,0))</f>
        <v/>
      </c>
      <c r="AI118" s="31">
        <f>INDEX(MTInputs!$J$1:$AZ$415,$D118,MATCH(AI$5,MTInputs!$J$5:$AZ$5,0))</f>
        <v/>
      </c>
      <c r="AJ118" s="31">
        <f>INDEX(MTInputs!$J$1:$AZ$415,$D118,MATCH(AJ$5,MTInputs!$J$5:$AZ$5,0))</f>
        <v/>
      </c>
      <c r="AK118" s="31">
        <f>INDEX(MTInputs!$J$1:$AZ$415,$D118,MATCH(AK$5,MTInputs!$J$5:$AZ$5,0))</f>
        <v/>
      </c>
      <c r="AL118" s="31">
        <f>INDEX(MTInputs!$J$1:$AZ$415,$D118,MATCH(AL$5,MTInputs!$J$5:$AZ$5,0))</f>
        <v/>
      </c>
      <c r="AM118" s="31">
        <f>INDEX(MTInputs!$J$1:$AZ$415,$D118,MATCH(AM$5,MTInputs!$J$5:$AZ$5,0))</f>
        <v/>
      </c>
      <c r="AN118" s="31">
        <f>INDEX(MTInputs!$J$1:$AZ$415,$D118,MATCH(AN$5,MTInputs!$J$5:$AZ$5,0))</f>
        <v/>
      </c>
    </row>
    <row r="119" hidden="1" outlineLevel="1">
      <c r="A119" s="5" t="inlineStr">
        <is>
          <t>fbcov</t>
        </is>
      </c>
      <c r="B119" s="5" t="inlineStr">
        <is>
          <t>all</t>
        </is>
      </c>
      <c r="C119" s="5" t="inlineStr">
        <is>
          <t>cst</t>
        </is>
      </c>
      <c r="D119" s="6" t="n">
        <v>80</v>
      </c>
      <c r="H119" s="5">
        <f>INDEX(Variables!$B$5:$B$65,MATCH($A119,Variables!$A$5:$A$65,0))&amp;IF($C119="",""," | "&amp;INDEX(Mapping!$B$5:$B$25,MATCH($C119,Mapping!$A$5:$A$25,0))&amp;" | "&amp;INDEX(Mapping!$B$29:$B$38,MATCH($B119,Mapping!$A$29:$A$38,0)))</f>
        <v/>
      </c>
      <c r="I119" s="5">
        <f>INDEX(Variables!$C$5:$C$65,MATCH($A119,Variables!$A$5:$A$65,0))</f>
        <v/>
      </c>
      <c r="J119" s="5">
        <f>INDEX(Variables!$E$5:$E$65,MATCH($A119,Variables!$A$5:$A$65,0))</f>
        <v/>
      </c>
      <c r="K119" s="23">
        <f>LOWER(Settings!$C$4)&amp;".mit."&amp;$A119&amp;IF($C119="","","."&amp;$C119&amp;"."&amp;$B119)&amp;IF(INDEX(Variables!$D$5:$D$65,MATCH($A119,Variables!$A$5:$A$65,0))="","","."&amp;INDEX(Variables!$D$5:$D$65,MATCH($A119,Variables!$A$5:$A$65,0)))&amp;"."&amp;K$5</f>
        <v/>
      </c>
      <c r="L119" s="30">
        <f>INDEX(MTInputs!$J$1:$AZ$415,$D119,MATCH(L$5,MTInputs!$J$5:$AZ$5,0))</f>
        <v/>
      </c>
      <c r="M119" s="31">
        <f>INDEX(MTInputs!$J$1:$AZ$415,$D119,MATCH(M$5,MTInputs!$J$5:$AZ$5,0))</f>
        <v/>
      </c>
      <c r="N119" s="31">
        <f>INDEX(MTInputs!$J$1:$AZ$415,$D119,MATCH(N$5,MTInputs!$J$5:$AZ$5,0))</f>
        <v/>
      </c>
      <c r="O119" s="31">
        <f>INDEX(MTInputs!$J$1:$AZ$415,$D119,MATCH(O$5,MTInputs!$J$5:$AZ$5,0))</f>
        <v/>
      </c>
      <c r="P119" s="31">
        <f>INDEX(MTInputs!$J$1:$AZ$415,$D119,MATCH(P$5,MTInputs!$J$5:$AZ$5,0))</f>
        <v/>
      </c>
      <c r="Q119" s="31">
        <f>INDEX(MTInputs!$J$1:$AZ$415,$D119,MATCH(Q$5,MTInputs!$J$5:$AZ$5,0))</f>
        <v/>
      </c>
      <c r="R119" s="31">
        <f>INDEX(MTInputs!$J$1:$AZ$415,$D119,MATCH(R$5,MTInputs!$J$5:$AZ$5,0))</f>
        <v/>
      </c>
      <c r="S119" s="31">
        <f>INDEX(MTInputs!$J$1:$AZ$415,$D119,MATCH(S$5,MTInputs!$J$5:$AZ$5,0))</f>
        <v/>
      </c>
      <c r="T119" s="31">
        <f>INDEX(MTInputs!$J$1:$AZ$415,$D119,MATCH(T$5,MTInputs!$J$5:$AZ$5,0))</f>
        <v/>
      </c>
      <c r="U119" s="31">
        <f>INDEX(MTInputs!$J$1:$AZ$415,$D119,MATCH(U$5,MTInputs!$J$5:$AZ$5,0))</f>
        <v/>
      </c>
      <c r="V119" s="31">
        <f>INDEX(MTInputs!$J$1:$AZ$415,$D119,MATCH(V$5,MTInputs!$J$5:$AZ$5,0))</f>
        <v/>
      </c>
      <c r="W119" s="31">
        <f>INDEX(MTInputs!$J$1:$AZ$415,$D119,MATCH(W$5,MTInputs!$J$5:$AZ$5,0))</f>
        <v/>
      </c>
      <c r="X119" s="31">
        <f>INDEX(MTInputs!$J$1:$AZ$415,$D119,MATCH(X$5,MTInputs!$J$5:$AZ$5,0))</f>
        <v/>
      </c>
      <c r="Y119" s="31">
        <f>INDEX(MTInputs!$J$1:$AZ$415,$D119,MATCH(Y$5,MTInputs!$J$5:$AZ$5,0))</f>
        <v/>
      </c>
      <c r="Z119" s="23">
        <f>LOWER(Settings!$C$4)&amp;".mit."&amp;$A119&amp;IF($C119="","","."&amp;$C119&amp;"."&amp;$B119)&amp;IF(INDEX(Variables!$D$5:$D$65,MATCH($A119,Variables!$A$5:$A$65,0))="","","."&amp;INDEX(Variables!$D$5:$D$65,MATCH($A119,Variables!$A$5:$A$65,0)))&amp;"."&amp;Z$5</f>
        <v/>
      </c>
      <c r="AA119" s="30">
        <f>INDEX(MTInputs!$J$1:$AZ$415,$D119,MATCH(AA$5,MTInputs!$J$5:$AZ$5,0))</f>
        <v/>
      </c>
      <c r="AB119" s="31">
        <f>INDEX(MTInputs!$J$1:$AZ$415,$D119,MATCH(AB$5,MTInputs!$J$5:$AZ$5,0))</f>
        <v/>
      </c>
      <c r="AC119" s="31">
        <f>INDEX(MTInputs!$J$1:$AZ$415,$D119,MATCH(AC$5,MTInputs!$J$5:$AZ$5,0))</f>
        <v/>
      </c>
      <c r="AD119" s="31">
        <f>INDEX(MTInputs!$J$1:$AZ$415,$D119,MATCH(AD$5,MTInputs!$J$5:$AZ$5,0))</f>
        <v/>
      </c>
      <c r="AE119" s="31">
        <f>INDEX(MTInputs!$J$1:$AZ$415,$D119,MATCH(AE$5,MTInputs!$J$5:$AZ$5,0))</f>
        <v/>
      </c>
      <c r="AF119" s="31">
        <f>INDEX(MTInputs!$J$1:$AZ$415,$D119,MATCH(AF$5,MTInputs!$J$5:$AZ$5,0))</f>
        <v/>
      </c>
      <c r="AG119" s="31">
        <f>INDEX(MTInputs!$J$1:$AZ$415,$D119,MATCH(AG$5,MTInputs!$J$5:$AZ$5,0))</f>
        <v/>
      </c>
      <c r="AH119" s="31">
        <f>INDEX(MTInputs!$J$1:$AZ$415,$D119,MATCH(AH$5,MTInputs!$J$5:$AZ$5,0))</f>
        <v/>
      </c>
      <c r="AI119" s="31">
        <f>INDEX(MTInputs!$J$1:$AZ$415,$D119,MATCH(AI$5,MTInputs!$J$5:$AZ$5,0))</f>
        <v/>
      </c>
      <c r="AJ119" s="31">
        <f>INDEX(MTInputs!$J$1:$AZ$415,$D119,MATCH(AJ$5,MTInputs!$J$5:$AZ$5,0))</f>
        <v/>
      </c>
      <c r="AK119" s="31">
        <f>INDEX(MTInputs!$J$1:$AZ$415,$D119,MATCH(AK$5,MTInputs!$J$5:$AZ$5,0))</f>
        <v/>
      </c>
      <c r="AL119" s="31">
        <f>INDEX(MTInputs!$J$1:$AZ$415,$D119,MATCH(AL$5,MTInputs!$J$5:$AZ$5,0))</f>
        <v/>
      </c>
      <c r="AM119" s="31">
        <f>INDEX(MTInputs!$J$1:$AZ$415,$D119,MATCH(AM$5,MTInputs!$J$5:$AZ$5,0))</f>
        <v/>
      </c>
      <c r="AN119" s="31">
        <f>INDEX(MTInputs!$J$1:$AZ$415,$D119,MATCH(AN$5,MTInputs!$J$5:$AZ$5,0))</f>
        <v/>
      </c>
    </row>
    <row r="120" hidden="1" outlineLevel="1">
      <c r="A120" s="5" t="inlineStr">
        <is>
          <t>fbcov</t>
        </is>
      </c>
      <c r="B120" s="5" t="inlineStr">
        <is>
          <t>all</t>
        </is>
      </c>
      <c r="C120" s="5" t="inlineStr">
        <is>
          <t>ftr</t>
        </is>
      </c>
      <c r="D120" s="6" t="n">
        <v>81</v>
      </c>
      <c r="H120" s="5">
        <f>INDEX(Variables!$B$5:$B$65,MATCH($A120,Variables!$A$5:$A$65,0))&amp;IF($C120="",""," | "&amp;INDEX(Mapping!$B$5:$B$25,MATCH($C120,Mapping!$A$5:$A$25,0))&amp;" | "&amp;INDEX(Mapping!$B$29:$B$38,MATCH($B120,Mapping!$A$29:$A$38,0)))</f>
        <v/>
      </c>
      <c r="I120" s="5">
        <f>INDEX(Variables!$C$5:$C$65,MATCH($A120,Variables!$A$5:$A$65,0))</f>
        <v/>
      </c>
      <c r="J120" s="5">
        <f>INDEX(Variables!$E$5:$E$65,MATCH($A120,Variables!$A$5:$A$65,0))</f>
        <v/>
      </c>
      <c r="K120" s="23">
        <f>LOWER(Settings!$C$4)&amp;".mit."&amp;$A120&amp;IF($C120="","","."&amp;$C120&amp;"."&amp;$B120)&amp;IF(INDEX(Variables!$D$5:$D$65,MATCH($A120,Variables!$A$5:$A$65,0))="","","."&amp;INDEX(Variables!$D$5:$D$65,MATCH($A120,Variables!$A$5:$A$65,0)))&amp;"."&amp;K$5</f>
        <v/>
      </c>
      <c r="L120" s="30">
        <f>INDEX(MTInputs!$J$1:$AZ$415,$D120,MATCH(L$5,MTInputs!$J$5:$AZ$5,0))</f>
        <v/>
      </c>
      <c r="M120" s="31">
        <f>INDEX(MTInputs!$J$1:$AZ$415,$D120,MATCH(M$5,MTInputs!$J$5:$AZ$5,0))</f>
        <v/>
      </c>
      <c r="N120" s="31">
        <f>INDEX(MTInputs!$J$1:$AZ$415,$D120,MATCH(N$5,MTInputs!$J$5:$AZ$5,0))</f>
        <v/>
      </c>
      <c r="O120" s="31">
        <f>INDEX(MTInputs!$J$1:$AZ$415,$D120,MATCH(O$5,MTInputs!$J$5:$AZ$5,0))</f>
        <v/>
      </c>
      <c r="P120" s="31">
        <f>INDEX(MTInputs!$J$1:$AZ$415,$D120,MATCH(P$5,MTInputs!$J$5:$AZ$5,0))</f>
        <v/>
      </c>
      <c r="Q120" s="31">
        <f>INDEX(MTInputs!$J$1:$AZ$415,$D120,MATCH(Q$5,MTInputs!$J$5:$AZ$5,0))</f>
        <v/>
      </c>
      <c r="R120" s="31">
        <f>INDEX(MTInputs!$J$1:$AZ$415,$D120,MATCH(R$5,MTInputs!$J$5:$AZ$5,0))</f>
        <v/>
      </c>
      <c r="S120" s="31">
        <f>INDEX(MTInputs!$J$1:$AZ$415,$D120,MATCH(S$5,MTInputs!$J$5:$AZ$5,0))</f>
        <v/>
      </c>
      <c r="T120" s="31">
        <f>INDEX(MTInputs!$J$1:$AZ$415,$D120,MATCH(T$5,MTInputs!$J$5:$AZ$5,0))</f>
        <v/>
      </c>
      <c r="U120" s="31">
        <f>INDEX(MTInputs!$J$1:$AZ$415,$D120,MATCH(U$5,MTInputs!$J$5:$AZ$5,0))</f>
        <v/>
      </c>
      <c r="V120" s="31">
        <f>INDEX(MTInputs!$J$1:$AZ$415,$D120,MATCH(V$5,MTInputs!$J$5:$AZ$5,0))</f>
        <v/>
      </c>
      <c r="W120" s="31">
        <f>INDEX(MTInputs!$J$1:$AZ$415,$D120,MATCH(W$5,MTInputs!$J$5:$AZ$5,0))</f>
        <v/>
      </c>
      <c r="X120" s="31">
        <f>INDEX(MTInputs!$J$1:$AZ$415,$D120,MATCH(X$5,MTInputs!$J$5:$AZ$5,0))</f>
        <v/>
      </c>
      <c r="Y120" s="31">
        <f>INDEX(MTInputs!$J$1:$AZ$415,$D120,MATCH(Y$5,MTInputs!$J$5:$AZ$5,0))</f>
        <v/>
      </c>
      <c r="Z120" s="23">
        <f>LOWER(Settings!$C$4)&amp;".mit."&amp;$A120&amp;IF($C120="","","."&amp;$C120&amp;"."&amp;$B120)&amp;IF(INDEX(Variables!$D$5:$D$65,MATCH($A120,Variables!$A$5:$A$65,0))="","","."&amp;INDEX(Variables!$D$5:$D$65,MATCH($A120,Variables!$A$5:$A$65,0)))&amp;"."&amp;Z$5</f>
        <v/>
      </c>
      <c r="AA120" s="30">
        <f>INDEX(MTInputs!$J$1:$AZ$415,$D120,MATCH(AA$5,MTInputs!$J$5:$AZ$5,0))</f>
        <v/>
      </c>
      <c r="AB120" s="31">
        <f>INDEX(MTInputs!$J$1:$AZ$415,$D120,MATCH(AB$5,MTInputs!$J$5:$AZ$5,0))</f>
        <v/>
      </c>
      <c r="AC120" s="31">
        <f>INDEX(MTInputs!$J$1:$AZ$415,$D120,MATCH(AC$5,MTInputs!$J$5:$AZ$5,0))</f>
        <v/>
      </c>
      <c r="AD120" s="31">
        <f>INDEX(MTInputs!$J$1:$AZ$415,$D120,MATCH(AD$5,MTInputs!$J$5:$AZ$5,0))</f>
        <v/>
      </c>
      <c r="AE120" s="31">
        <f>INDEX(MTInputs!$J$1:$AZ$415,$D120,MATCH(AE$5,MTInputs!$J$5:$AZ$5,0))</f>
        <v/>
      </c>
      <c r="AF120" s="31">
        <f>INDEX(MTInputs!$J$1:$AZ$415,$D120,MATCH(AF$5,MTInputs!$J$5:$AZ$5,0))</f>
        <v/>
      </c>
      <c r="AG120" s="31">
        <f>INDEX(MTInputs!$J$1:$AZ$415,$D120,MATCH(AG$5,MTInputs!$J$5:$AZ$5,0))</f>
        <v/>
      </c>
      <c r="AH120" s="31">
        <f>INDEX(MTInputs!$J$1:$AZ$415,$D120,MATCH(AH$5,MTInputs!$J$5:$AZ$5,0))</f>
        <v/>
      </c>
      <c r="AI120" s="31">
        <f>INDEX(MTInputs!$J$1:$AZ$415,$D120,MATCH(AI$5,MTInputs!$J$5:$AZ$5,0))</f>
        <v/>
      </c>
      <c r="AJ120" s="31">
        <f>INDEX(MTInputs!$J$1:$AZ$415,$D120,MATCH(AJ$5,MTInputs!$J$5:$AZ$5,0))</f>
        <v/>
      </c>
      <c r="AK120" s="31">
        <f>INDEX(MTInputs!$J$1:$AZ$415,$D120,MATCH(AK$5,MTInputs!$J$5:$AZ$5,0))</f>
        <v/>
      </c>
      <c r="AL120" s="31">
        <f>INDEX(MTInputs!$J$1:$AZ$415,$D120,MATCH(AL$5,MTInputs!$J$5:$AZ$5,0))</f>
        <v/>
      </c>
      <c r="AM120" s="31">
        <f>INDEX(MTInputs!$J$1:$AZ$415,$D120,MATCH(AM$5,MTInputs!$J$5:$AZ$5,0))</f>
        <v/>
      </c>
      <c r="AN120" s="31">
        <f>INDEX(MTInputs!$J$1:$AZ$415,$D120,MATCH(AN$5,MTInputs!$J$5:$AZ$5,0))</f>
        <v/>
      </c>
    </row>
    <row r="121" hidden="1" outlineLevel="1">
      <c r="A121" s="5" t="inlineStr">
        <is>
          <t>fbcov</t>
        </is>
      </c>
      <c r="B121" s="5" t="inlineStr">
        <is>
          <t>all</t>
        </is>
      </c>
      <c r="C121" s="5" t="inlineStr">
        <is>
          <t>oen</t>
        </is>
      </c>
      <c r="D121" s="6" t="n">
        <v>82</v>
      </c>
      <c r="H121" s="5">
        <f>INDEX(Variables!$B$5:$B$65,MATCH($A121,Variables!$A$5:$A$65,0))&amp;IF($C121="",""," | "&amp;INDEX(Mapping!$B$5:$B$25,MATCH($C121,Mapping!$A$5:$A$25,0))&amp;" | "&amp;INDEX(Mapping!$B$29:$B$38,MATCH($B121,Mapping!$A$29:$A$38,0)))</f>
        <v/>
      </c>
      <c r="I121" s="5">
        <f>INDEX(Variables!$C$5:$C$65,MATCH($A121,Variables!$A$5:$A$65,0))</f>
        <v/>
      </c>
      <c r="J121" s="5">
        <f>INDEX(Variables!$E$5:$E$65,MATCH($A121,Variables!$A$5:$A$65,0))</f>
        <v/>
      </c>
      <c r="K121" s="23">
        <f>LOWER(Settings!$C$4)&amp;".mit."&amp;$A121&amp;IF($C121="","","."&amp;$C121&amp;"."&amp;$B121)&amp;IF(INDEX(Variables!$D$5:$D$65,MATCH($A121,Variables!$A$5:$A$65,0))="","","."&amp;INDEX(Variables!$D$5:$D$65,MATCH($A121,Variables!$A$5:$A$65,0)))&amp;"."&amp;K$5</f>
        <v/>
      </c>
      <c r="L121" s="30">
        <f>INDEX(MTInputs!$J$1:$AZ$415,$D121,MATCH(L$5,MTInputs!$J$5:$AZ$5,0))</f>
        <v/>
      </c>
      <c r="M121" s="31">
        <f>INDEX(MTInputs!$J$1:$AZ$415,$D121,MATCH(M$5,MTInputs!$J$5:$AZ$5,0))</f>
        <v/>
      </c>
      <c r="N121" s="31">
        <f>INDEX(MTInputs!$J$1:$AZ$415,$D121,MATCH(N$5,MTInputs!$J$5:$AZ$5,0))</f>
        <v/>
      </c>
      <c r="O121" s="31">
        <f>INDEX(MTInputs!$J$1:$AZ$415,$D121,MATCH(O$5,MTInputs!$J$5:$AZ$5,0))</f>
        <v/>
      </c>
      <c r="P121" s="31">
        <f>INDEX(MTInputs!$J$1:$AZ$415,$D121,MATCH(P$5,MTInputs!$J$5:$AZ$5,0))</f>
        <v/>
      </c>
      <c r="Q121" s="31">
        <f>INDEX(MTInputs!$J$1:$AZ$415,$D121,MATCH(Q$5,MTInputs!$J$5:$AZ$5,0))</f>
        <v/>
      </c>
      <c r="R121" s="31">
        <f>INDEX(MTInputs!$J$1:$AZ$415,$D121,MATCH(R$5,MTInputs!$J$5:$AZ$5,0))</f>
        <v/>
      </c>
      <c r="S121" s="31">
        <f>INDEX(MTInputs!$J$1:$AZ$415,$D121,MATCH(S$5,MTInputs!$J$5:$AZ$5,0))</f>
        <v/>
      </c>
      <c r="T121" s="31">
        <f>INDEX(MTInputs!$J$1:$AZ$415,$D121,MATCH(T$5,MTInputs!$J$5:$AZ$5,0))</f>
        <v/>
      </c>
      <c r="U121" s="31">
        <f>INDEX(MTInputs!$J$1:$AZ$415,$D121,MATCH(U$5,MTInputs!$J$5:$AZ$5,0))</f>
        <v/>
      </c>
      <c r="V121" s="31">
        <f>INDEX(MTInputs!$J$1:$AZ$415,$D121,MATCH(V$5,MTInputs!$J$5:$AZ$5,0))</f>
        <v/>
      </c>
      <c r="W121" s="31">
        <f>INDEX(MTInputs!$J$1:$AZ$415,$D121,MATCH(W$5,MTInputs!$J$5:$AZ$5,0))</f>
        <v/>
      </c>
      <c r="X121" s="31">
        <f>INDEX(MTInputs!$J$1:$AZ$415,$D121,MATCH(X$5,MTInputs!$J$5:$AZ$5,0))</f>
        <v/>
      </c>
      <c r="Y121" s="31">
        <f>INDEX(MTInputs!$J$1:$AZ$415,$D121,MATCH(Y$5,MTInputs!$J$5:$AZ$5,0))</f>
        <v/>
      </c>
      <c r="Z121" s="23">
        <f>LOWER(Settings!$C$4)&amp;".mit."&amp;$A121&amp;IF($C121="","","."&amp;$C121&amp;"."&amp;$B121)&amp;IF(INDEX(Variables!$D$5:$D$65,MATCH($A121,Variables!$A$5:$A$65,0))="","","."&amp;INDEX(Variables!$D$5:$D$65,MATCH($A121,Variables!$A$5:$A$65,0)))&amp;"."&amp;Z$5</f>
        <v/>
      </c>
      <c r="AA121" s="30">
        <f>INDEX(MTInputs!$J$1:$AZ$415,$D121,MATCH(AA$5,MTInputs!$J$5:$AZ$5,0))</f>
        <v/>
      </c>
      <c r="AB121" s="31">
        <f>INDEX(MTInputs!$J$1:$AZ$415,$D121,MATCH(AB$5,MTInputs!$J$5:$AZ$5,0))</f>
        <v/>
      </c>
      <c r="AC121" s="31">
        <f>INDEX(MTInputs!$J$1:$AZ$415,$D121,MATCH(AC$5,MTInputs!$J$5:$AZ$5,0))</f>
        <v/>
      </c>
      <c r="AD121" s="31">
        <f>INDEX(MTInputs!$J$1:$AZ$415,$D121,MATCH(AD$5,MTInputs!$J$5:$AZ$5,0))</f>
        <v/>
      </c>
      <c r="AE121" s="31">
        <f>INDEX(MTInputs!$J$1:$AZ$415,$D121,MATCH(AE$5,MTInputs!$J$5:$AZ$5,0))</f>
        <v/>
      </c>
      <c r="AF121" s="31">
        <f>INDEX(MTInputs!$J$1:$AZ$415,$D121,MATCH(AF$5,MTInputs!$J$5:$AZ$5,0))</f>
        <v/>
      </c>
      <c r="AG121" s="31">
        <f>INDEX(MTInputs!$J$1:$AZ$415,$D121,MATCH(AG$5,MTInputs!$J$5:$AZ$5,0))</f>
        <v/>
      </c>
      <c r="AH121" s="31">
        <f>INDEX(MTInputs!$J$1:$AZ$415,$D121,MATCH(AH$5,MTInputs!$J$5:$AZ$5,0))</f>
        <v/>
      </c>
      <c r="AI121" s="31">
        <f>INDEX(MTInputs!$J$1:$AZ$415,$D121,MATCH(AI$5,MTInputs!$J$5:$AZ$5,0))</f>
        <v/>
      </c>
      <c r="AJ121" s="31">
        <f>INDEX(MTInputs!$J$1:$AZ$415,$D121,MATCH(AJ$5,MTInputs!$J$5:$AZ$5,0))</f>
        <v/>
      </c>
      <c r="AK121" s="31">
        <f>INDEX(MTInputs!$J$1:$AZ$415,$D121,MATCH(AK$5,MTInputs!$J$5:$AZ$5,0))</f>
        <v/>
      </c>
      <c r="AL121" s="31">
        <f>INDEX(MTInputs!$J$1:$AZ$415,$D121,MATCH(AL$5,MTInputs!$J$5:$AZ$5,0))</f>
        <v/>
      </c>
      <c r="AM121" s="31">
        <f>INDEX(MTInputs!$J$1:$AZ$415,$D121,MATCH(AM$5,MTInputs!$J$5:$AZ$5,0))</f>
        <v/>
      </c>
      <c r="AN121" s="31">
        <f>INDEX(MTInputs!$J$1:$AZ$415,$D121,MATCH(AN$5,MTInputs!$J$5:$AZ$5,0))</f>
        <v/>
      </c>
    </row>
    <row r="122" hidden="1" outlineLevel="1">
      <c r="H122" s="29" t="inlineStr">
        <is>
          <t>Shadow prices: by sector ($/tCO2, legacy rows 2345-2349) and share impacting efficiency (legacy rows 2402-2419)</t>
        </is>
      </c>
    </row>
    <row r="123" hidden="1" outlineLevel="1">
      <c r="A123" s="5" t="inlineStr">
        <is>
          <t>ssc.adj</t>
        </is>
      </c>
      <c r="B123" s="5" t="inlineStr"/>
      <c r="C123" s="5" t="inlineStr"/>
      <c r="H123" s="5">
        <f>INDEX(Variables!$B$5:$B$65,MATCH($A123,Variables!$A$5:$A$65,0))&amp;IF($C123="",""," | "&amp;INDEX(Mapping!$B$5:$B$25,MATCH($C123,Mapping!$A$5:$A$25,0))&amp;" | "&amp;INDEX(Mapping!$B$29:$B$38,MATCH($B123,Mapping!$A$29:$A$38,0)))</f>
        <v/>
      </c>
      <c r="I123" s="5">
        <f>INDEX(Variables!$C$5:$C$65,MATCH($A123,Variables!$A$5:$A$65,0))</f>
        <v/>
      </c>
      <c r="J123" s="5">
        <f>INDEX(Variables!$E$5:$E$65,MATCH($A123,Variables!$A$5:$A$65,0))</f>
        <v/>
      </c>
      <c r="K123" s="23">
        <f>LOWER(Settings!$C$4)&amp;".mit."&amp;$A123&amp;IF($C123="","","."&amp;$C123&amp;"."&amp;$B123)&amp;IF(INDEX(Variables!$D$5:$D$65,MATCH($A123,Variables!$A$5:$A$65,0))="","","."&amp;INDEX(Variables!$D$5:$D$65,MATCH($A123,Variables!$A$5:$A$65,0)))&amp;"."&amp;K$5</f>
        <v/>
      </c>
      <c r="L123" s="32" t="n">
        <v>1</v>
      </c>
      <c r="M123" s="32" t="n">
        <v>1</v>
      </c>
      <c r="N123" s="32" t="n">
        <v>1</v>
      </c>
      <c r="O123" s="32" t="n">
        <v>1</v>
      </c>
      <c r="P123" s="32" t="n">
        <v>1</v>
      </c>
      <c r="Q123" s="32" t="n">
        <v>1</v>
      </c>
      <c r="R123" s="32" t="n">
        <v>1</v>
      </c>
      <c r="S123" s="32" t="n">
        <v>1</v>
      </c>
      <c r="T123" s="32" t="n">
        <v>1</v>
      </c>
      <c r="U123" s="32" t="n">
        <v>1</v>
      </c>
      <c r="V123" s="32" t="n">
        <v>1</v>
      </c>
      <c r="W123" s="32" t="n">
        <v>1</v>
      </c>
      <c r="X123" s="32" t="n">
        <v>1</v>
      </c>
      <c r="Y123" s="32" t="n">
        <v>1</v>
      </c>
      <c r="Z123" s="23">
        <f>LOWER(Settings!$C$4)&amp;".mit."&amp;$A123&amp;IF($C123="","","."&amp;$C123&amp;"."&amp;$B123)&amp;IF(INDEX(Variables!$D$5:$D$65,MATCH($A123,Variables!$A$5:$A$65,0))="","","."&amp;INDEX(Variables!$D$5:$D$65,MATCH($A123,Variables!$A$5:$A$65,0)))&amp;"."&amp;Z$5</f>
        <v/>
      </c>
      <c r="AA123" s="32" t="n">
        <v>1</v>
      </c>
      <c r="AB123" s="32" t="n">
        <v>1</v>
      </c>
      <c r="AC123" s="32" t="n">
        <v>1</v>
      </c>
      <c r="AD123" s="32" t="n">
        <v>1</v>
      </c>
      <c r="AE123" s="32" t="n">
        <v>1</v>
      </c>
      <c r="AF123" s="32" t="n">
        <v>1</v>
      </c>
      <c r="AG123" s="32" t="n">
        <v>1</v>
      </c>
      <c r="AH123" s="32" t="n">
        <v>1</v>
      </c>
      <c r="AI123" s="32" t="n">
        <v>1</v>
      </c>
      <c r="AJ123" s="32" t="n">
        <v>1</v>
      </c>
      <c r="AK123" s="32" t="n">
        <v>1</v>
      </c>
      <c r="AL123" s="32" t="n">
        <v>1</v>
      </c>
      <c r="AM123" s="32" t="n">
        <v>1</v>
      </c>
      <c r="AN123" s="32" t="n">
        <v>1</v>
      </c>
    </row>
    <row r="124" hidden="1" outlineLevel="1">
      <c r="A124" s="7" t="inlineStr">
        <is>
          <t>shps</t>
        </is>
      </c>
      <c r="B124" s="7" t="inlineStr">
        <is>
          <t>all</t>
        </is>
      </c>
      <c r="C124" s="7" t="inlineStr">
        <is>
          <t>pow</t>
        </is>
      </c>
      <c r="H124" s="7">
        <f>INDEX(Variables!$B$5:$B$65,MATCH($A124,Variables!$A$5:$A$65,0))&amp;IF($C124="",""," | "&amp;INDEX(Mapping!$B$5:$B$25,MATCH($C124,Mapping!$A$5:$A$25,0))&amp;" | "&amp;INDEX(Mapping!$B$29:$B$38,MATCH($B124,Mapping!$A$29:$A$38,0)))</f>
        <v/>
      </c>
      <c r="I124" s="7">
        <f>INDEX(Variables!$C$5:$C$65,MATCH($A124,Variables!$A$5:$A$65,0))</f>
        <v/>
      </c>
      <c r="J124" s="7">
        <f>INDEX(Variables!$E$5:$E$65,MATCH($A124,Variables!$A$5:$A$65,0))</f>
        <v/>
      </c>
      <c r="K124" s="26">
        <f>LOWER(Settings!$C$4)&amp;".mit."&amp;$A124&amp;IF($C124="","","."&amp;$C124&amp;"."&amp;$B124)&amp;IF(INDEX(Variables!$D$5:$D$65,MATCH($A124,Variables!$A$5:$A$65,0))="","","."&amp;INDEX(Variables!$D$5:$D$65,MATCH($A124,Variables!$A$5:$A$65,0)))&amp;"."&amp;K$5</f>
        <v/>
      </c>
      <c r="L124" s="27">
        <f>L100</f>
        <v/>
      </c>
      <c r="M124" s="28">
        <f>M100</f>
        <v/>
      </c>
      <c r="N124" s="28">
        <f>N100</f>
        <v/>
      </c>
      <c r="O124" s="28">
        <f>O100</f>
        <v/>
      </c>
      <c r="P124" s="28">
        <f>P100</f>
        <v/>
      </c>
      <c r="Q124" s="28">
        <f>Q100</f>
        <v/>
      </c>
      <c r="R124" s="28">
        <f>R100</f>
        <v/>
      </c>
      <c r="S124" s="28">
        <f>S100</f>
        <v/>
      </c>
      <c r="T124" s="28">
        <f>T100</f>
        <v/>
      </c>
      <c r="U124" s="28">
        <f>U100</f>
        <v/>
      </c>
      <c r="V124" s="28">
        <f>V100</f>
        <v/>
      </c>
      <c r="W124" s="28">
        <f>W100</f>
        <v/>
      </c>
      <c r="X124" s="28">
        <f>X100</f>
        <v/>
      </c>
      <c r="Y124" s="28">
        <f>Y100</f>
        <v/>
      </c>
      <c r="Z124" s="26">
        <f>LOWER(Settings!$C$4)&amp;".mit."&amp;$A124&amp;IF($C124="","","."&amp;$C124&amp;"."&amp;$B124)&amp;IF(INDEX(Variables!$D$5:$D$65,MATCH($A124,Variables!$A$5:$A$65,0))="","","."&amp;INDEX(Variables!$D$5:$D$65,MATCH($A124,Variables!$A$5:$A$65,0)))&amp;"."&amp;Z$5</f>
        <v/>
      </c>
      <c r="AA124" s="27">
        <f>AA100</f>
        <v/>
      </c>
      <c r="AB124" s="28">
        <f>AB100</f>
        <v/>
      </c>
      <c r="AC124" s="28">
        <f>AC100</f>
        <v/>
      </c>
      <c r="AD124" s="28">
        <f>AD100</f>
        <v/>
      </c>
      <c r="AE124" s="28">
        <f>AE100</f>
        <v/>
      </c>
      <c r="AF124" s="28">
        <f>AF100</f>
        <v/>
      </c>
      <c r="AG124" s="28">
        <f>AG100</f>
        <v/>
      </c>
      <c r="AH124" s="28">
        <f>AH100</f>
        <v/>
      </c>
      <c r="AI124" s="28">
        <f>AI100</f>
        <v/>
      </c>
      <c r="AJ124" s="28">
        <f>AJ100</f>
        <v/>
      </c>
      <c r="AK124" s="28">
        <f>AK100</f>
        <v/>
      </c>
      <c r="AL124" s="28">
        <f>AL100</f>
        <v/>
      </c>
      <c r="AM124" s="28">
        <f>AM100</f>
        <v/>
      </c>
      <c r="AN124" s="28">
        <f>AN100</f>
        <v/>
      </c>
    </row>
    <row r="125" hidden="1" outlineLevel="1">
      <c r="A125" s="7" t="inlineStr">
        <is>
          <t>shps</t>
        </is>
      </c>
      <c r="B125" s="7" t="inlineStr">
        <is>
          <t>all</t>
        </is>
      </c>
      <c r="C125" s="7" t="inlineStr">
        <is>
          <t>tra</t>
        </is>
      </c>
      <c r="H125" s="7">
        <f>INDEX(Variables!$B$5:$B$65,MATCH($A125,Variables!$A$5:$A$65,0))&amp;IF($C125="",""," | "&amp;INDEX(Mapping!$B$5:$B$25,MATCH($C125,Mapping!$A$5:$A$25,0))&amp;" | "&amp;INDEX(Mapping!$B$29:$B$38,MATCH($B125,Mapping!$A$29:$A$38,0)))</f>
        <v/>
      </c>
      <c r="I125" s="7">
        <f>INDEX(Variables!$C$5:$C$65,MATCH($A125,Variables!$A$5:$A$65,0))</f>
        <v/>
      </c>
      <c r="J125" s="7">
        <f>INDEX(Variables!$E$5:$E$65,MATCH($A125,Variables!$A$5:$A$65,0))</f>
        <v/>
      </c>
      <c r="K125" s="26">
        <f>LOWER(Settings!$C$4)&amp;".mit."&amp;$A125&amp;IF($C125="","","."&amp;$C125&amp;"."&amp;$B125)&amp;IF(INDEX(Variables!$D$5:$D$65,MATCH($A125,Variables!$A$5:$A$65,0))="","","."&amp;INDEX(Variables!$D$5:$D$65,MATCH($A125,Variables!$A$5:$A$65,0)))&amp;"."&amp;K$5</f>
        <v/>
      </c>
      <c r="L125" s="27">
        <f>L101</f>
        <v/>
      </c>
      <c r="M125" s="28">
        <f>M101</f>
        <v/>
      </c>
      <c r="N125" s="28">
        <f>N101</f>
        <v/>
      </c>
      <c r="O125" s="28">
        <f>O101</f>
        <v/>
      </c>
      <c r="P125" s="28">
        <f>P101</f>
        <v/>
      </c>
      <c r="Q125" s="28">
        <f>Q101</f>
        <v/>
      </c>
      <c r="R125" s="28">
        <f>R101</f>
        <v/>
      </c>
      <c r="S125" s="28">
        <f>S101</f>
        <v/>
      </c>
      <c r="T125" s="28">
        <f>T101</f>
        <v/>
      </c>
      <c r="U125" s="28">
        <f>U101</f>
        <v/>
      </c>
      <c r="V125" s="28">
        <f>V101</f>
        <v/>
      </c>
      <c r="W125" s="28">
        <f>W101</f>
        <v/>
      </c>
      <c r="X125" s="28">
        <f>X101</f>
        <v/>
      </c>
      <c r="Y125" s="28">
        <f>Y101</f>
        <v/>
      </c>
      <c r="Z125" s="26">
        <f>LOWER(Settings!$C$4)&amp;".mit."&amp;$A125&amp;IF($C125="","","."&amp;$C125&amp;"."&amp;$B125)&amp;IF(INDEX(Variables!$D$5:$D$65,MATCH($A125,Variables!$A$5:$A$65,0))="","","."&amp;INDEX(Variables!$D$5:$D$65,MATCH($A125,Variables!$A$5:$A$65,0)))&amp;"."&amp;Z$5</f>
        <v/>
      </c>
      <c r="AA125" s="27">
        <f>AA101</f>
        <v/>
      </c>
      <c r="AB125" s="28">
        <f>AB101</f>
        <v/>
      </c>
      <c r="AC125" s="28">
        <f>AC101</f>
        <v/>
      </c>
      <c r="AD125" s="28">
        <f>AD101</f>
        <v/>
      </c>
      <c r="AE125" s="28">
        <f>AE101</f>
        <v/>
      </c>
      <c r="AF125" s="28">
        <f>AF101</f>
        <v/>
      </c>
      <c r="AG125" s="28">
        <f>AG101</f>
        <v/>
      </c>
      <c r="AH125" s="28">
        <f>AH101</f>
        <v/>
      </c>
      <c r="AI125" s="28">
        <f>AI101</f>
        <v/>
      </c>
      <c r="AJ125" s="28">
        <f>AJ101</f>
        <v/>
      </c>
      <c r="AK125" s="28">
        <f>AK101</f>
        <v/>
      </c>
      <c r="AL125" s="28">
        <f>AL101</f>
        <v/>
      </c>
      <c r="AM125" s="28">
        <f>AM101</f>
        <v/>
      </c>
      <c r="AN125" s="28">
        <f>AN101</f>
        <v/>
      </c>
    </row>
    <row r="126" hidden="1" outlineLevel="1">
      <c r="A126" s="7" t="inlineStr">
        <is>
          <t>shps</t>
        </is>
      </c>
      <c r="B126" s="7" t="inlineStr">
        <is>
          <t>all</t>
        </is>
      </c>
      <c r="C126" s="7" t="inlineStr">
        <is>
          <t>res</t>
        </is>
      </c>
      <c r="H126" s="7">
        <f>INDEX(Variables!$B$5:$B$65,MATCH($A126,Variables!$A$5:$A$65,0))&amp;IF($C126="",""," | "&amp;INDEX(Mapping!$B$5:$B$25,MATCH($C126,Mapping!$A$5:$A$25,0))&amp;" | "&amp;INDEX(Mapping!$B$29:$B$38,MATCH($B126,Mapping!$A$29:$A$38,0)))</f>
        <v/>
      </c>
      <c r="I126" s="7">
        <f>INDEX(Variables!$C$5:$C$65,MATCH($A126,Variables!$A$5:$A$65,0))</f>
        <v/>
      </c>
      <c r="J126" s="7">
        <f>INDEX(Variables!$E$5:$E$65,MATCH($A126,Variables!$A$5:$A$65,0))</f>
        <v/>
      </c>
      <c r="K126" s="26">
        <f>LOWER(Settings!$C$4)&amp;".mit."&amp;$A126&amp;IF($C126="","","."&amp;$C126&amp;"."&amp;$B126)&amp;IF(INDEX(Variables!$D$5:$D$65,MATCH($A126,Variables!$A$5:$A$65,0))="","","."&amp;INDEX(Variables!$D$5:$D$65,MATCH($A126,Variables!$A$5:$A$65,0)))&amp;"."&amp;K$5</f>
        <v/>
      </c>
      <c r="L126" s="27">
        <f>L102</f>
        <v/>
      </c>
      <c r="M126" s="28">
        <f>M102</f>
        <v/>
      </c>
      <c r="N126" s="28">
        <f>N102</f>
        <v/>
      </c>
      <c r="O126" s="28">
        <f>O102</f>
        <v/>
      </c>
      <c r="P126" s="28">
        <f>P102</f>
        <v/>
      </c>
      <c r="Q126" s="28">
        <f>Q102</f>
        <v/>
      </c>
      <c r="R126" s="28">
        <f>R102</f>
        <v/>
      </c>
      <c r="S126" s="28">
        <f>S102</f>
        <v/>
      </c>
      <c r="T126" s="28">
        <f>T102</f>
        <v/>
      </c>
      <c r="U126" s="28">
        <f>U102</f>
        <v/>
      </c>
      <c r="V126" s="28">
        <f>V102</f>
        <v/>
      </c>
      <c r="W126" s="28">
        <f>W102</f>
        <v/>
      </c>
      <c r="X126" s="28">
        <f>X102</f>
        <v/>
      </c>
      <c r="Y126" s="28">
        <f>Y102</f>
        <v/>
      </c>
      <c r="Z126" s="26">
        <f>LOWER(Settings!$C$4)&amp;".mit."&amp;$A126&amp;IF($C126="","","."&amp;$C126&amp;"."&amp;$B126)&amp;IF(INDEX(Variables!$D$5:$D$65,MATCH($A126,Variables!$A$5:$A$65,0))="","","."&amp;INDEX(Variables!$D$5:$D$65,MATCH($A126,Variables!$A$5:$A$65,0)))&amp;"."&amp;Z$5</f>
        <v/>
      </c>
      <c r="AA126" s="27">
        <f>AA102</f>
        <v/>
      </c>
      <c r="AB126" s="28">
        <f>AB102</f>
        <v/>
      </c>
      <c r="AC126" s="28">
        <f>AC102</f>
        <v/>
      </c>
      <c r="AD126" s="28">
        <f>AD102</f>
        <v/>
      </c>
      <c r="AE126" s="28">
        <f>AE102</f>
        <v/>
      </c>
      <c r="AF126" s="28">
        <f>AF102</f>
        <v/>
      </c>
      <c r="AG126" s="28">
        <f>AG102</f>
        <v/>
      </c>
      <c r="AH126" s="28">
        <f>AH102</f>
        <v/>
      </c>
      <c r="AI126" s="28">
        <f>AI102</f>
        <v/>
      </c>
      <c r="AJ126" s="28">
        <f>AJ102</f>
        <v/>
      </c>
      <c r="AK126" s="28">
        <f>AK102</f>
        <v/>
      </c>
      <c r="AL126" s="28">
        <f>AL102</f>
        <v/>
      </c>
      <c r="AM126" s="28">
        <f>AM102</f>
        <v/>
      </c>
      <c r="AN126" s="28">
        <f>AN102</f>
        <v/>
      </c>
    </row>
    <row r="127" hidden="1" outlineLevel="1">
      <c r="A127" s="7" t="inlineStr">
        <is>
          <t>shps</t>
        </is>
      </c>
      <c r="B127" s="7" t="inlineStr">
        <is>
          <t>all</t>
        </is>
      </c>
      <c r="C127" s="7" t="inlineStr">
        <is>
          <t>ind</t>
        </is>
      </c>
      <c r="H127" s="7">
        <f>INDEX(Variables!$B$5:$B$65,MATCH($A127,Variables!$A$5:$A$65,0))&amp;IF($C127="",""," | "&amp;INDEX(Mapping!$B$5:$B$25,MATCH($C127,Mapping!$A$5:$A$25,0))&amp;" | "&amp;INDEX(Mapping!$B$29:$B$38,MATCH($B127,Mapping!$A$29:$A$38,0)))</f>
        <v/>
      </c>
      <c r="I127" s="7">
        <f>INDEX(Variables!$C$5:$C$65,MATCH($A127,Variables!$A$5:$A$65,0))</f>
        <v/>
      </c>
      <c r="J127" s="7">
        <f>INDEX(Variables!$E$5:$E$65,MATCH($A127,Variables!$A$5:$A$65,0))</f>
        <v/>
      </c>
      <c r="K127" s="26">
        <f>LOWER(Settings!$C$4)&amp;".mit."&amp;$A127&amp;IF($C127="","","."&amp;$C127&amp;"."&amp;$B127)&amp;IF(INDEX(Variables!$D$5:$D$65,MATCH($A127,Variables!$A$5:$A$65,0))="","","."&amp;INDEX(Variables!$D$5:$D$65,MATCH($A127,Variables!$A$5:$A$65,0)))&amp;"."&amp;K$5</f>
        <v/>
      </c>
      <c r="L127" s="27">
        <f>L103</f>
        <v/>
      </c>
      <c r="M127" s="28">
        <f>M103</f>
        <v/>
      </c>
      <c r="N127" s="28">
        <f>N103</f>
        <v/>
      </c>
      <c r="O127" s="28">
        <f>O103</f>
        <v/>
      </c>
      <c r="P127" s="28">
        <f>P103</f>
        <v/>
      </c>
      <c r="Q127" s="28">
        <f>Q103</f>
        <v/>
      </c>
      <c r="R127" s="28">
        <f>R103</f>
        <v/>
      </c>
      <c r="S127" s="28">
        <f>S103</f>
        <v/>
      </c>
      <c r="T127" s="28">
        <f>T103</f>
        <v/>
      </c>
      <c r="U127" s="28">
        <f>U103</f>
        <v/>
      </c>
      <c r="V127" s="28">
        <f>V103</f>
        <v/>
      </c>
      <c r="W127" s="28">
        <f>W103</f>
        <v/>
      </c>
      <c r="X127" s="28">
        <f>X103</f>
        <v/>
      </c>
      <c r="Y127" s="28">
        <f>Y103</f>
        <v/>
      </c>
      <c r="Z127" s="26">
        <f>LOWER(Settings!$C$4)&amp;".mit."&amp;$A127&amp;IF($C127="","","."&amp;$C127&amp;"."&amp;$B127)&amp;IF(INDEX(Variables!$D$5:$D$65,MATCH($A127,Variables!$A$5:$A$65,0))="","","."&amp;INDEX(Variables!$D$5:$D$65,MATCH($A127,Variables!$A$5:$A$65,0)))&amp;"."&amp;Z$5</f>
        <v/>
      </c>
      <c r="AA127" s="27">
        <f>AA103</f>
        <v/>
      </c>
      <c r="AB127" s="28">
        <f>AB103</f>
        <v/>
      </c>
      <c r="AC127" s="28">
        <f>AC103</f>
        <v/>
      </c>
      <c r="AD127" s="28">
        <f>AD103</f>
        <v/>
      </c>
      <c r="AE127" s="28">
        <f>AE103</f>
        <v/>
      </c>
      <c r="AF127" s="28">
        <f>AF103</f>
        <v/>
      </c>
      <c r="AG127" s="28">
        <f>AG103</f>
        <v/>
      </c>
      <c r="AH127" s="28">
        <f>AH103</f>
        <v/>
      </c>
      <c r="AI127" s="28">
        <f>AI103</f>
        <v/>
      </c>
      <c r="AJ127" s="28">
        <f>AJ103</f>
        <v/>
      </c>
      <c r="AK127" s="28">
        <f>AK103</f>
        <v/>
      </c>
      <c r="AL127" s="28">
        <f>AL103</f>
        <v/>
      </c>
      <c r="AM127" s="28">
        <f>AM103</f>
        <v/>
      </c>
      <c r="AN127" s="28">
        <f>AN103</f>
        <v/>
      </c>
    </row>
    <row r="128" hidden="1" outlineLevel="1">
      <c r="A128" s="7" t="inlineStr">
        <is>
          <t>ssc</t>
        </is>
      </c>
      <c r="B128" s="7" t="inlineStr">
        <is>
          <t>all</t>
        </is>
      </c>
      <c r="C128" s="7" t="inlineStr">
        <is>
          <t>pow</t>
        </is>
      </c>
      <c r="H128" s="7">
        <f>INDEX(Variables!$B$5:$B$65,MATCH($A128,Variables!$A$5:$A$65,0))&amp;IF($C128="",""," | "&amp;INDEX(Mapping!$B$5:$B$25,MATCH($C128,Mapping!$A$5:$A$25,0))&amp;" | "&amp;INDEX(Mapping!$B$29:$B$38,MATCH($B128,Mapping!$A$29:$A$38,0)))</f>
        <v/>
      </c>
      <c r="I128" s="7">
        <f>INDEX(Variables!$C$5:$C$65,MATCH($A128,Variables!$A$5:$A$65,0))</f>
        <v/>
      </c>
      <c r="J128" s="7">
        <f>INDEX(Variables!$E$5:$E$65,MATCH($A128,Variables!$A$5:$A$65,0))</f>
        <v/>
      </c>
      <c r="K128" s="26">
        <f>LOWER(Settings!$C$4)&amp;".mit."&amp;$A128&amp;IF($C128="","","."&amp;$C128&amp;"."&amp;$B128)&amp;IF(INDEX(Variables!$D$5:$D$65,MATCH($A128,Variables!$A$5:$A$65,0))="","","."&amp;INDEX(Variables!$D$5:$D$65,MATCH($A128,Variables!$A$5:$A$65,0)))&amp;"."&amp;K$5</f>
        <v/>
      </c>
      <c r="L128" s="27">
        <f>L105*L$123</f>
        <v/>
      </c>
      <c r="M128" s="28">
        <f>M105*M$123</f>
        <v/>
      </c>
      <c r="N128" s="28">
        <f>N105*N$123</f>
        <v/>
      </c>
      <c r="O128" s="28">
        <f>O105*O$123</f>
        <v/>
      </c>
      <c r="P128" s="28">
        <f>P105*P$123</f>
        <v/>
      </c>
      <c r="Q128" s="28">
        <f>Q105*Q$123</f>
        <v/>
      </c>
      <c r="R128" s="28">
        <f>R105*R$123</f>
        <v/>
      </c>
      <c r="S128" s="28">
        <f>S105*S$123</f>
        <v/>
      </c>
      <c r="T128" s="28">
        <f>T105*T$123</f>
        <v/>
      </c>
      <c r="U128" s="28">
        <f>U105*U$123</f>
        <v/>
      </c>
      <c r="V128" s="28">
        <f>V105*V$123</f>
        <v/>
      </c>
      <c r="W128" s="28">
        <f>W105*W$123</f>
        <v/>
      </c>
      <c r="X128" s="28">
        <f>X105*X$123</f>
        <v/>
      </c>
      <c r="Y128" s="28">
        <f>Y105*Y$123</f>
        <v/>
      </c>
      <c r="Z128" s="26">
        <f>LOWER(Settings!$C$4)&amp;".mit."&amp;$A128&amp;IF($C128="","","."&amp;$C128&amp;"."&amp;$B128)&amp;IF(INDEX(Variables!$D$5:$D$65,MATCH($A128,Variables!$A$5:$A$65,0))="","","."&amp;INDEX(Variables!$D$5:$D$65,MATCH($A128,Variables!$A$5:$A$65,0)))&amp;"."&amp;Z$5</f>
        <v/>
      </c>
      <c r="AA128" s="27">
        <f>AA105*AA$123</f>
        <v/>
      </c>
      <c r="AB128" s="28">
        <f>AB105*AB$123</f>
        <v/>
      </c>
      <c r="AC128" s="28">
        <f>AC105*AC$123</f>
        <v/>
      </c>
      <c r="AD128" s="28">
        <f>AD105*AD$123</f>
        <v/>
      </c>
      <c r="AE128" s="28">
        <f>AE105*AE$123</f>
        <v/>
      </c>
      <c r="AF128" s="28">
        <f>AF105*AF$123</f>
        <v/>
      </c>
      <c r="AG128" s="28">
        <f>AG105*AG$123</f>
        <v/>
      </c>
      <c r="AH128" s="28">
        <f>AH105*AH$123</f>
        <v/>
      </c>
      <c r="AI128" s="28">
        <f>AI105*AI$123</f>
        <v/>
      </c>
      <c r="AJ128" s="28">
        <f>AJ105*AJ$123</f>
        <v/>
      </c>
      <c r="AK128" s="28">
        <f>AK105*AK$123</f>
        <v/>
      </c>
      <c r="AL128" s="28">
        <f>AL105*AL$123</f>
        <v/>
      </c>
      <c r="AM128" s="28">
        <f>AM105*AM$123</f>
        <v/>
      </c>
      <c r="AN128" s="28">
        <f>AN105*AN$123</f>
        <v/>
      </c>
    </row>
    <row r="129" hidden="1" outlineLevel="1">
      <c r="A129" s="7" t="inlineStr">
        <is>
          <t>ssc</t>
        </is>
      </c>
      <c r="B129" s="7" t="inlineStr">
        <is>
          <t>all</t>
        </is>
      </c>
      <c r="C129" s="7" t="inlineStr">
        <is>
          <t>rod</t>
        </is>
      </c>
      <c r="H129" s="7">
        <f>INDEX(Variables!$B$5:$B$65,MATCH($A129,Variables!$A$5:$A$65,0))&amp;IF($C129="",""," | "&amp;INDEX(Mapping!$B$5:$B$25,MATCH($C129,Mapping!$A$5:$A$25,0))&amp;" | "&amp;INDEX(Mapping!$B$29:$B$38,MATCH($B129,Mapping!$A$29:$A$38,0)))</f>
        <v/>
      </c>
      <c r="I129" s="7">
        <f>INDEX(Variables!$C$5:$C$65,MATCH($A129,Variables!$A$5:$A$65,0))</f>
        <v/>
      </c>
      <c r="J129" s="7">
        <f>INDEX(Variables!$E$5:$E$65,MATCH($A129,Variables!$A$5:$A$65,0))</f>
        <v/>
      </c>
      <c r="K129" s="26">
        <f>LOWER(Settings!$C$4)&amp;".mit."&amp;$A129&amp;IF($C129="","","."&amp;$C129&amp;"."&amp;$B129)&amp;IF(INDEX(Variables!$D$5:$D$65,MATCH($A129,Variables!$A$5:$A$65,0))="","","."&amp;INDEX(Variables!$D$5:$D$65,MATCH($A129,Variables!$A$5:$A$65,0)))&amp;"."&amp;K$5</f>
        <v/>
      </c>
      <c r="L129" s="27">
        <f>L106*L$123</f>
        <v/>
      </c>
      <c r="M129" s="28">
        <f>M106*M$123</f>
        <v/>
      </c>
      <c r="N129" s="28">
        <f>N106*N$123</f>
        <v/>
      </c>
      <c r="O129" s="28">
        <f>O106*O$123</f>
        <v/>
      </c>
      <c r="P129" s="28">
        <f>P106*P$123</f>
        <v/>
      </c>
      <c r="Q129" s="28">
        <f>Q106*Q$123</f>
        <v/>
      </c>
      <c r="R129" s="28">
        <f>R106*R$123</f>
        <v/>
      </c>
      <c r="S129" s="28">
        <f>S106*S$123</f>
        <v/>
      </c>
      <c r="T129" s="28">
        <f>T106*T$123</f>
        <v/>
      </c>
      <c r="U129" s="28">
        <f>U106*U$123</f>
        <v/>
      </c>
      <c r="V129" s="28">
        <f>V106*V$123</f>
        <v/>
      </c>
      <c r="W129" s="28">
        <f>W106*W$123</f>
        <v/>
      </c>
      <c r="X129" s="28">
        <f>X106*X$123</f>
        <v/>
      </c>
      <c r="Y129" s="28">
        <f>Y106*Y$123</f>
        <v/>
      </c>
      <c r="Z129" s="26">
        <f>LOWER(Settings!$C$4)&amp;".mit."&amp;$A129&amp;IF($C129="","","."&amp;$C129&amp;"."&amp;$B129)&amp;IF(INDEX(Variables!$D$5:$D$65,MATCH($A129,Variables!$A$5:$A$65,0))="","","."&amp;INDEX(Variables!$D$5:$D$65,MATCH($A129,Variables!$A$5:$A$65,0)))&amp;"."&amp;Z$5</f>
        <v/>
      </c>
      <c r="AA129" s="27">
        <f>AA106*AA$123</f>
        <v/>
      </c>
      <c r="AB129" s="28">
        <f>AB106*AB$123</f>
        <v/>
      </c>
      <c r="AC129" s="28">
        <f>AC106*AC$123</f>
        <v/>
      </c>
      <c r="AD129" s="28">
        <f>AD106*AD$123</f>
        <v/>
      </c>
      <c r="AE129" s="28">
        <f>AE106*AE$123</f>
        <v/>
      </c>
      <c r="AF129" s="28">
        <f>AF106*AF$123</f>
        <v/>
      </c>
      <c r="AG129" s="28">
        <f>AG106*AG$123</f>
        <v/>
      </c>
      <c r="AH129" s="28">
        <f>AH106*AH$123</f>
        <v/>
      </c>
      <c r="AI129" s="28">
        <f>AI106*AI$123</f>
        <v/>
      </c>
      <c r="AJ129" s="28">
        <f>AJ106*AJ$123</f>
        <v/>
      </c>
      <c r="AK129" s="28">
        <f>AK106*AK$123</f>
        <v/>
      </c>
      <c r="AL129" s="28">
        <f>AL106*AL$123</f>
        <v/>
      </c>
      <c r="AM129" s="28">
        <f>AM106*AM$123</f>
        <v/>
      </c>
      <c r="AN129" s="28">
        <f>AN106*AN$123</f>
        <v/>
      </c>
    </row>
    <row r="130" hidden="1" outlineLevel="1">
      <c r="A130" s="7" t="inlineStr">
        <is>
          <t>ssc</t>
        </is>
      </c>
      <c r="B130" s="7" t="inlineStr">
        <is>
          <t>all</t>
        </is>
      </c>
      <c r="C130" s="7" t="inlineStr">
        <is>
          <t>ral</t>
        </is>
      </c>
      <c r="H130" s="7">
        <f>INDEX(Variables!$B$5:$B$65,MATCH($A130,Variables!$A$5:$A$65,0))&amp;IF($C130="",""," | "&amp;INDEX(Mapping!$B$5:$B$25,MATCH($C130,Mapping!$A$5:$A$25,0))&amp;" | "&amp;INDEX(Mapping!$B$29:$B$38,MATCH($B130,Mapping!$A$29:$A$38,0)))</f>
        <v/>
      </c>
      <c r="I130" s="7">
        <f>INDEX(Variables!$C$5:$C$65,MATCH($A130,Variables!$A$5:$A$65,0))</f>
        <v/>
      </c>
      <c r="J130" s="7">
        <f>INDEX(Variables!$E$5:$E$65,MATCH($A130,Variables!$A$5:$A$65,0))</f>
        <v/>
      </c>
      <c r="K130" s="26">
        <f>LOWER(Settings!$C$4)&amp;".mit."&amp;$A130&amp;IF($C130="","","."&amp;$C130&amp;"."&amp;$B130)&amp;IF(INDEX(Variables!$D$5:$D$65,MATCH($A130,Variables!$A$5:$A$65,0))="","","."&amp;INDEX(Variables!$D$5:$D$65,MATCH($A130,Variables!$A$5:$A$65,0)))&amp;"."&amp;K$5</f>
        <v/>
      </c>
      <c r="L130" s="27">
        <f>L107*L$123</f>
        <v/>
      </c>
      <c r="M130" s="28">
        <f>M107*M$123</f>
        <v/>
      </c>
      <c r="N130" s="28">
        <f>N107*N$123</f>
        <v/>
      </c>
      <c r="O130" s="28">
        <f>O107*O$123</f>
        <v/>
      </c>
      <c r="P130" s="28">
        <f>P107*P$123</f>
        <v/>
      </c>
      <c r="Q130" s="28">
        <f>Q107*Q$123</f>
        <v/>
      </c>
      <c r="R130" s="28">
        <f>R107*R$123</f>
        <v/>
      </c>
      <c r="S130" s="28">
        <f>S107*S$123</f>
        <v/>
      </c>
      <c r="T130" s="28">
        <f>T107*T$123</f>
        <v/>
      </c>
      <c r="U130" s="28">
        <f>U107*U$123</f>
        <v/>
      </c>
      <c r="V130" s="28">
        <f>V107*V$123</f>
        <v/>
      </c>
      <c r="W130" s="28">
        <f>W107*W$123</f>
        <v/>
      </c>
      <c r="X130" s="28">
        <f>X107*X$123</f>
        <v/>
      </c>
      <c r="Y130" s="28">
        <f>Y107*Y$123</f>
        <v/>
      </c>
      <c r="Z130" s="26">
        <f>LOWER(Settings!$C$4)&amp;".mit."&amp;$A130&amp;IF($C130="","","."&amp;$C130&amp;"."&amp;$B130)&amp;IF(INDEX(Variables!$D$5:$D$65,MATCH($A130,Variables!$A$5:$A$65,0))="","","."&amp;INDEX(Variables!$D$5:$D$65,MATCH($A130,Variables!$A$5:$A$65,0)))&amp;"."&amp;Z$5</f>
        <v/>
      </c>
      <c r="AA130" s="27">
        <f>AA107*AA$123</f>
        <v/>
      </c>
      <c r="AB130" s="28">
        <f>AB107*AB$123</f>
        <v/>
      </c>
      <c r="AC130" s="28">
        <f>AC107*AC$123</f>
        <v/>
      </c>
      <c r="AD130" s="28">
        <f>AD107*AD$123</f>
        <v/>
      </c>
      <c r="AE130" s="28">
        <f>AE107*AE$123</f>
        <v/>
      </c>
      <c r="AF130" s="28">
        <f>AF107*AF$123</f>
        <v/>
      </c>
      <c r="AG130" s="28">
        <f>AG107*AG$123</f>
        <v/>
      </c>
      <c r="AH130" s="28">
        <f>AH107*AH$123</f>
        <v/>
      </c>
      <c r="AI130" s="28">
        <f>AI107*AI$123</f>
        <v/>
      </c>
      <c r="AJ130" s="28">
        <f>AJ107*AJ$123</f>
        <v/>
      </c>
      <c r="AK130" s="28">
        <f>AK107*AK$123</f>
        <v/>
      </c>
      <c r="AL130" s="28">
        <f>AL107*AL$123</f>
        <v/>
      </c>
      <c r="AM130" s="28">
        <f>AM107*AM$123</f>
        <v/>
      </c>
      <c r="AN130" s="28">
        <f>AN107*AN$123</f>
        <v/>
      </c>
    </row>
    <row r="131" hidden="1" outlineLevel="1">
      <c r="A131" s="7" t="inlineStr">
        <is>
          <t>ssc</t>
        </is>
      </c>
      <c r="B131" s="7" t="inlineStr">
        <is>
          <t>all</t>
        </is>
      </c>
      <c r="C131" s="7" t="inlineStr">
        <is>
          <t>avi</t>
        </is>
      </c>
      <c r="H131" s="7">
        <f>INDEX(Variables!$B$5:$B$65,MATCH($A131,Variables!$A$5:$A$65,0))&amp;IF($C131="",""," | "&amp;INDEX(Mapping!$B$5:$B$25,MATCH($C131,Mapping!$A$5:$A$25,0))&amp;" | "&amp;INDEX(Mapping!$B$29:$B$38,MATCH($B131,Mapping!$A$29:$A$38,0)))</f>
        <v/>
      </c>
      <c r="I131" s="7">
        <f>INDEX(Variables!$C$5:$C$65,MATCH($A131,Variables!$A$5:$A$65,0))</f>
        <v/>
      </c>
      <c r="J131" s="7">
        <f>INDEX(Variables!$E$5:$E$65,MATCH($A131,Variables!$A$5:$A$65,0))</f>
        <v/>
      </c>
      <c r="K131" s="26">
        <f>LOWER(Settings!$C$4)&amp;".mit."&amp;$A131&amp;IF($C131="","","."&amp;$C131&amp;"."&amp;$B131)&amp;IF(INDEX(Variables!$D$5:$D$65,MATCH($A131,Variables!$A$5:$A$65,0))="","","."&amp;INDEX(Variables!$D$5:$D$65,MATCH($A131,Variables!$A$5:$A$65,0)))&amp;"."&amp;K$5</f>
        <v/>
      </c>
      <c r="L131" s="27">
        <f>L108*L$123</f>
        <v/>
      </c>
      <c r="M131" s="28">
        <f>M108*M$123</f>
        <v/>
      </c>
      <c r="N131" s="28">
        <f>N108*N$123</f>
        <v/>
      </c>
      <c r="O131" s="28">
        <f>O108*O$123</f>
        <v/>
      </c>
      <c r="P131" s="28">
        <f>P108*P$123</f>
        <v/>
      </c>
      <c r="Q131" s="28">
        <f>Q108*Q$123</f>
        <v/>
      </c>
      <c r="R131" s="28">
        <f>R108*R$123</f>
        <v/>
      </c>
      <c r="S131" s="28">
        <f>S108*S$123</f>
        <v/>
      </c>
      <c r="T131" s="28">
        <f>T108*T$123</f>
        <v/>
      </c>
      <c r="U131" s="28">
        <f>U108*U$123</f>
        <v/>
      </c>
      <c r="V131" s="28">
        <f>V108*V$123</f>
        <v/>
      </c>
      <c r="W131" s="28">
        <f>W108*W$123</f>
        <v/>
      </c>
      <c r="X131" s="28">
        <f>X108*X$123</f>
        <v/>
      </c>
      <c r="Y131" s="28">
        <f>Y108*Y$123</f>
        <v/>
      </c>
      <c r="Z131" s="26">
        <f>LOWER(Settings!$C$4)&amp;".mit."&amp;$A131&amp;IF($C131="","","."&amp;$C131&amp;"."&amp;$B131)&amp;IF(INDEX(Variables!$D$5:$D$65,MATCH($A131,Variables!$A$5:$A$65,0))="","","."&amp;INDEX(Variables!$D$5:$D$65,MATCH($A131,Variables!$A$5:$A$65,0)))&amp;"."&amp;Z$5</f>
        <v/>
      </c>
      <c r="AA131" s="27">
        <f>AA108*AA$123</f>
        <v/>
      </c>
      <c r="AB131" s="28">
        <f>AB108*AB$123</f>
        <v/>
      </c>
      <c r="AC131" s="28">
        <f>AC108*AC$123</f>
        <v/>
      </c>
      <c r="AD131" s="28">
        <f>AD108*AD$123</f>
        <v/>
      </c>
      <c r="AE131" s="28">
        <f>AE108*AE$123</f>
        <v/>
      </c>
      <c r="AF131" s="28">
        <f>AF108*AF$123</f>
        <v/>
      </c>
      <c r="AG131" s="28">
        <f>AG108*AG$123</f>
        <v/>
      </c>
      <c r="AH131" s="28">
        <f>AH108*AH$123</f>
        <v/>
      </c>
      <c r="AI131" s="28">
        <f>AI108*AI$123</f>
        <v/>
      </c>
      <c r="AJ131" s="28">
        <f>AJ108*AJ$123</f>
        <v/>
      </c>
      <c r="AK131" s="28">
        <f>AK108*AK$123</f>
        <v/>
      </c>
      <c r="AL131" s="28">
        <f>AL108*AL$123</f>
        <v/>
      </c>
      <c r="AM131" s="28">
        <f>AM108*AM$123</f>
        <v/>
      </c>
      <c r="AN131" s="28">
        <f>AN108*AN$123</f>
        <v/>
      </c>
    </row>
    <row r="132" hidden="1" outlineLevel="1">
      <c r="A132" s="7" t="inlineStr">
        <is>
          <t>ssc</t>
        </is>
      </c>
      <c r="B132" s="7" t="inlineStr">
        <is>
          <t>all</t>
        </is>
      </c>
      <c r="C132" s="7" t="inlineStr">
        <is>
          <t>nav</t>
        </is>
      </c>
      <c r="H132" s="7">
        <f>INDEX(Variables!$B$5:$B$65,MATCH($A132,Variables!$A$5:$A$65,0))&amp;IF($C132="",""," | "&amp;INDEX(Mapping!$B$5:$B$25,MATCH($C132,Mapping!$A$5:$A$25,0))&amp;" | "&amp;INDEX(Mapping!$B$29:$B$38,MATCH($B132,Mapping!$A$29:$A$38,0)))</f>
        <v/>
      </c>
      <c r="I132" s="7">
        <f>INDEX(Variables!$C$5:$C$65,MATCH($A132,Variables!$A$5:$A$65,0))</f>
        <v/>
      </c>
      <c r="J132" s="7">
        <f>INDEX(Variables!$E$5:$E$65,MATCH($A132,Variables!$A$5:$A$65,0))</f>
        <v/>
      </c>
      <c r="K132" s="26">
        <f>LOWER(Settings!$C$4)&amp;".mit."&amp;$A132&amp;IF($C132="","","."&amp;$C132&amp;"."&amp;$B132)&amp;IF(INDEX(Variables!$D$5:$D$65,MATCH($A132,Variables!$A$5:$A$65,0))="","","."&amp;INDEX(Variables!$D$5:$D$65,MATCH($A132,Variables!$A$5:$A$65,0)))&amp;"."&amp;K$5</f>
        <v/>
      </c>
      <c r="L132" s="27">
        <f>L109*L$123</f>
        <v/>
      </c>
      <c r="M132" s="28">
        <f>M109*M$123</f>
        <v/>
      </c>
      <c r="N132" s="28">
        <f>N109*N$123</f>
        <v/>
      </c>
      <c r="O132" s="28">
        <f>O109*O$123</f>
        <v/>
      </c>
      <c r="P132" s="28">
        <f>P109*P$123</f>
        <v/>
      </c>
      <c r="Q132" s="28">
        <f>Q109*Q$123</f>
        <v/>
      </c>
      <c r="R132" s="28">
        <f>R109*R$123</f>
        <v/>
      </c>
      <c r="S132" s="28">
        <f>S109*S$123</f>
        <v/>
      </c>
      <c r="T132" s="28">
        <f>T109*T$123</f>
        <v/>
      </c>
      <c r="U132" s="28">
        <f>U109*U$123</f>
        <v/>
      </c>
      <c r="V132" s="28">
        <f>V109*V$123</f>
        <v/>
      </c>
      <c r="W132" s="28">
        <f>W109*W$123</f>
        <v/>
      </c>
      <c r="X132" s="28">
        <f>X109*X$123</f>
        <v/>
      </c>
      <c r="Y132" s="28">
        <f>Y109*Y$123</f>
        <v/>
      </c>
      <c r="Z132" s="26">
        <f>LOWER(Settings!$C$4)&amp;".mit."&amp;$A132&amp;IF($C132="","","."&amp;$C132&amp;"."&amp;$B132)&amp;IF(INDEX(Variables!$D$5:$D$65,MATCH($A132,Variables!$A$5:$A$65,0))="","","."&amp;INDEX(Variables!$D$5:$D$65,MATCH($A132,Variables!$A$5:$A$65,0)))&amp;"."&amp;Z$5</f>
        <v/>
      </c>
      <c r="AA132" s="27">
        <f>AA109*AA$123</f>
        <v/>
      </c>
      <c r="AB132" s="28">
        <f>AB109*AB$123</f>
        <v/>
      </c>
      <c r="AC132" s="28">
        <f>AC109*AC$123</f>
        <v/>
      </c>
      <c r="AD132" s="28">
        <f>AD109*AD$123</f>
        <v/>
      </c>
      <c r="AE132" s="28">
        <f>AE109*AE$123</f>
        <v/>
      </c>
      <c r="AF132" s="28">
        <f>AF109*AF$123</f>
        <v/>
      </c>
      <c r="AG132" s="28">
        <f>AG109*AG$123</f>
        <v/>
      </c>
      <c r="AH132" s="28">
        <f>AH109*AH$123</f>
        <v/>
      </c>
      <c r="AI132" s="28">
        <f>AI109*AI$123</f>
        <v/>
      </c>
      <c r="AJ132" s="28">
        <f>AJ109*AJ$123</f>
        <v/>
      </c>
      <c r="AK132" s="28">
        <f>AK109*AK$123</f>
        <v/>
      </c>
      <c r="AL132" s="28">
        <f>AL109*AL$123</f>
        <v/>
      </c>
      <c r="AM132" s="28">
        <f>AM109*AM$123</f>
        <v/>
      </c>
      <c r="AN132" s="28">
        <f>AN109*AN$123</f>
        <v/>
      </c>
    </row>
    <row r="133" hidden="1" outlineLevel="1">
      <c r="A133" s="7" t="inlineStr">
        <is>
          <t>ssc</t>
        </is>
      </c>
      <c r="B133" s="7" t="inlineStr">
        <is>
          <t>all</t>
        </is>
      </c>
      <c r="C133" s="7" t="inlineStr">
        <is>
          <t>res</t>
        </is>
      </c>
      <c r="H133" s="7">
        <f>INDEX(Variables!$B$5:$B$65,MATCH($A133,Variables!$A$5:$A$65,0))&amp;IF($C133="",""," | "&amp;INDEX(Mapping!$B$5:$B$25,MATCH($C133,Mapping!$A$5:$A$25,0))&amp;" | "&amp;INDEX(Mapping!$B$29:$B$38,MATCH($B133,Mapping!$A$29:$A$38,0)))</f>
        <v/>
      </c>
      <c r="I133" s="7">
        <f>INDEX(Variables!$C$5:$C$65,MATCH($A133,Variables!$A$5:$A$65,0))</f>
        <v/>
      </c>
      <c r="J133" s="7">
        <f>INDEX(Variables!$E$5:$E$65,MATCH($A133,Variables!$A$5:$A$65,0))</f>
        <v/>
      </c>
      <c r="K133" s="26">
        <f>LOWER(Settings!$C$4)&amp;".mit."&amp;$A133&amp;IF($C133="","","."&amp;$C133&amp;"."&amp;$B133)&amp;IF(INDEX(Variables!$D$5:$D$65,MATCH($A133,Variables!$A$5:$A$65,0))="","","."&amp;INDEX(Variables!$D$5:$D$65,MATCH($A133,Variables!$A$5:$A$65,0)))&amp;"."&amp;K$5</f>
        <v/>
      </c>
      <c r="L133" s="27">
        <f>L110*L$123</f>
        <v/>
      </c>
      <c r="M133" s="28">
        <f>M110*M$123</f>
        <v/>
      </c>
      <c r="N133" s="28">
        <f>N110*N$123</f>
        <v/>
      </c>
      <c r="O133" s="28">
        <f>O110*O$123</f>
        <v/>
      </c>
      <c r="P133" s="28">
        <f>P110*P$123</f>
        <v/>
      </c>
      <c r="Q133" s="28">
        <f>Q110*Q$123</f>
        <v/>
      </c>
      <c r="R133" s="28">
        <f>R110*R$123</f>
        <v/>
      </c>
      <c r="S133" s="28">
        <f>S110*S$123</f>
        <v/>
      </c>
      <c r="T133" s="28">
        <f>T110*T$123</f>
        <v/>
      </c>
      <c r="U133" s="28">
        <f>U110*U$123</f>
        <v/>
      </c>
      <c r="V133" s="28">
        <f>V110*V$123</f>
        <v/>
      </c>
      <c r="W133" s="28">
        <f>W110*W$123</f>
        <v/>
      </c>
      <c r="X133" s="28">
        <f>X110*X$123</f>
        <v/>
      </c>
      <c r="Y133" s="28">
        <f>Y110*Y$123</f>
        <v/>
      </c>
      <c r="Z133" s="26">
        <f>LOWER(Settings!$C$4)&amp;".mit."&amp;$A133&amp;IF($C133="","","."&amp;$C133&amp;"."&amp;$B133)&amp;IF(INDEX(Variables!$D$5:$D$65,MATCH($A133,Variables!$A$5:$A$65,0))="","","."&amp;INDEX(Variables!$D$5:$D$65,MATCH($A133,Variables!$A$5:$A$65,0)))&amp;"."&amp;Z$5</f>
        <v/>
      </c>
      <c r="AA133" s="27">
        <f>AA110*AA$123</f>
        <v/>
      </c>
      <c r="AB133" s="28">
        <f>AB110*AB$123</f>
        <v/>
      </c>
      <c r="AC133" s="28">
        <f>AC110*AC$123</f>
        <v/>
      </c>
      <c r="AD133" s="28">
        <f>AD110*AD$123</f>
        <v/>
      </c>
      <c r="AE133" s="28">
        <f>AE110*AE$123</f>
        <v/>
      </c>
      <c r="AF133" s="28">
        <f>AF110*AF$123</f>
        <v/>
      </c>
      <c r="AG133" s="28">
        <f>AG110*AG$123</f>
        <v/>
      </c>
      <c r="AH133" s="28">
        <f>AH110*AH$123</f>
        <v/>
      </c>
      <c r="AI133" s="28">
        <f>AI110*AI$123</f>
        <v/>
      </c>
      <c r="AJ133" s="28">
        <f>AJ110*AJ$123</f>
        <v/>
      </c>
      <c r="AK133" s="28">
        <f>AK110*AK$123</f>
        <v/>
      </c>
      <c r="AL133" s="28">
        <f>AL110*AL$123</f>
        <v/>
      </c>
      <c r="AM133" s="28">
        <f>AM110*AM$123</f>
        <v/>
      </c>
      <c r="AN133" s="28">
        <f>AN110*AN$123</f>
        <v/>
      </c>
    </row>
    <row r="134" hidden="1" outlineLevel="1">
      <c r="A134" s="7" t="inlineStr">
        <is>
          <t>ssc</t>
        </is>
      </c>
      <c r="B134" s="7" t="inlineStr">
        <is>
          <t>all</t>
        </is>
      </c>
      <c r="C134" s="7" t="inlineStr">
        <is>
          <t>foo</t>
        </is>
      </c>
      <c r="H134" s="7">
        <f>INDEX(Variables!$B$5:$B$65,MATCH($A134,Variables!$A$5:$A$65,0))&amp;IF($C134="",""," | "&amp;INDEX(Mapping!$B$5:$B$25,MATCH($C134,Mapping!$A$5:$A$25,0))&amp;" | "&amp;INDEX(Mapping!$B$29:$B$38,MATCH($B134,Mapping!$A$29:$A$38,0)))</f>
        <v/>
      </c>
      <c r="I134" s="7">
        <f>INDEX(Variables!$C$5:$C$65,MATCH($A134,Variables!$A$5:$A$65,0))</f>
        <v/>
      </c>
      <c r="J134" s="7">
        <f>INDEX(Variables!$E$5:$E$65,MATCH($A134,Variables!$A$5:$A$65,0))</f>
        <v/>
      </c>
      <c r="K134" s="26">
        <f>LOWER(Settings!$C$4)&amp;".mit."&amp;$A134&amp;IF($C134="","","."&amp;$C134&amp;"."&amp;$B134)&amp;IF(INDEX(Variables!$D$5:$D$65,MATCH($A134,Variables!$A$5:$A$65,0))="","","."&amp;INDEX(Variables!$D$5:$D$65,MATCH($A134,Variables!$A$5:$A$65,0)))&amp;"."&amp;K$5</f>
        <v/>
      </c>
      <c r="L134" s="27">
        <f>L111*L$123</f>
        <v/>
      </c>
      <c r="M134" s="28">
        <f>M111*M$123</f>
        <v/>
      </c>
      <c r="N134" s="28">
        <f>N111*N$123</f>
        <v/>
      </c>
      <c r="O134" s="28">
        <f>O111*O$123</f>
        <v/>
      </c>
      <c r="P134" s="28">
        <f>P111*P$123</f>
        <v/>
      </c>
      <c r="Q134" s="28">
        <f>Q111*Q$123</f>
        <v/>
      </c>
      <c r="R134" s="28">
        <f>R111*R$123</f>
        <v/>
      </c>
      <c r="S134" s="28">
        <f>S111*S$123</f>
        <v/>
      </c>
      <c r="T134" s="28">
        <f>T111*T$123</f>
        <v/>
      </c>
      <c r="U134" s="28">
        <f>U111*U$123</f>
        <v/>
      </c>
      <c r="V134" s="28">
        <f>V111*V$123</f>
        <v/>
      </c>
      <c r="W134" s="28">
        <f>W111*W$123</f>
        <v/>
      </c>
      <c r="X134" s="28">
        <f>X111*X$123</f>
        <v/>
      </c>
      <c r="Y134" s="28">
        <f>Y111*Y$123</f>
        <v/>
      </c>
      <c r="Z134" s="26">
        <f>LOWER(Settings!$C$4)&amp;".mit."&amp;$A134&amp;IF($C134="","","."&amp;$C134&amp;"."&amp;$B134)&amp;IF(INDEX(Variables!$D$5:$D$65,MATCH($A134,Variables!$A$5:$A$65,0))="","","."&amp;INDEX(Variables!$D$5:$D$65,MATCH($A134,Variables!$A$5:$A$65,0)))&amp;"."&amp;Z$5</f>
        <v/>
      </c>
      <c r="AA134" s="27">
        <f>AA111*AA$123</f>
        <v/>
      </c>
      <c r="AB134" s="28">
        <f>AB111*AB$123</f>
        <v/>
      </c>
      <c r="AC134" s="28">
        <f>AC111*AC$123</f>
        <v/>
      </c>
      <c r="AD134" s="28">
        <f>AD111*AD$123</f>
        <v/>
      </c>
      <c r="AE134" s="28">
        <f>AE111*AE$123</f>
        <v/>
      </c>
      <c r="AF134" s="28">
        <f>AF111*AF$123</f>
        <v/>
      </c>
      <c r="AG134" s="28">
        <f>AG111*AG$123</f>
        <v/>
      </c>
      <c r="AH134" s="28">
        <f>AH111*AH$123</f>
        <v/>
      </c>
      <c r="AI134" s="28">
        <f>AI111*AI$123</f>
        <v/>
      </c>
      <c r="AJ134" s="28">
        <f>AJ111*AJ$123</f>
        <v/>
      </c>
      <c r="AK134" s="28">
        <f>AK111*AK$123</f>
        <v/>
      </c>
      <c r="AL134" s="28">
        <f>AL111*AL$123</f>
        <v/>
      </c>
      <c r="AM134" s="28">
        <f>AM111*AM$123</f>
        <v/>
      </c>
      <c r="AN134" s="28">
        <f>AN111*AN$123</f>
        <v/>
      </c>
    </row>
    <row r="135" hidden="1" outlineLevel="1">
      <c r="A135" s="7" t="inlineStr">
        <is>
          <t>ssc</t>
        </is>
      </c>
      <c r="B135" s="7" t="inlineStr">
        <is>
          <t>all</t>
        </is>
      </c>
      <c r="C135" s="7" t="inlineStr">
        <is>
          <t>srv</t>
        </is>
      </c>
      <c r="H135" s="7">
        <f>INDEX(Variables!$B$5:$B$65,MATCH($A135,Variables!$A$5:$A$65,0))&amp;IF($C135="",""," | "&amp;INDEX(Mapping!$B$5:$B$25,MATCH($C135,Mapping!$A$5:$A$25,0))&amp;" | "&amp;INDEX(Mapping!$B$29:$B$38,MATCH($B135,Mapping!$A$29:$A$38,0)))</f>
        <v/>
      </c>
      <c r="I135" s="7">
        <f>INDEX(Variables!$C$5:$C$65,MATCH($A135,Variables!$A$5:$A$65,0))</f>
        <v/>
      </c>
      <c r="J135" s="7">
        <f>INDEX(Variables!$E$5:$E$65,MATCH($A135,Variables!$A$5:$A$65,0))</f>
        <v/>
      </c>
      <c r="K135" s="26">
        <f>LOWER(Settings!$C$4)&amp;".mit."&amp;$A135&amp;IF($C135="","","."&amp;$C135&amp;"."&amp;$B135)&amp;IF(INDEX(Variables!$D$5:$D$65,MATCH($A135,Variables!$A$5:$A$65,0))="","","."&amp;INDEX(Variables!$D$5:$D$65,MATCH($A135,Variables!$A$5:$A$65,0)))&amp;"."&amp;K$5</f>
        <v/>
      </c>
      <c r="L135" s="27">
        <f>L112*L$123</f>
        <v/>
      </c>
      <c r="M135" s="28">
        <f>M112*M$123</f>
        <v/>
      </c>
      <c r="N135" s="28">
        <f>N112*N$123</f>
        <v/>
      </c>
      <c r="O135" s="28">
        <f>O112*O$123</f>
        <v/>
      </c>
      <c r="P135" s="28">
        <f>P112*P$123</f>
        <v/>
      </c>
      <c r="Q135" s="28">
        <f>Q112*Q$123</f>
        <v/>
      </c>
      <c r="R135" s="28">
        <f>R112*R$123</f>
        <v/>
      </c>
      <c r="S135" s="28">
        <f>S112*S$123</f>
        <v/>
      </c>
      <c r="T135" s="28">
        <f>T112*T$123</f>
        <v/>
      </c>
      <c r="U135" s="28">
        <f>U112*U$123</f>
        <v/>
      </c>
      <c r="V135" s="28">
        <f>V112*V$123</f>
        <v/>
      </c>
      <c r="W135" s="28">
        <f>W112*W$123</f>
        <v/>
      </c>
      <c r="X135" s="28">
        <f>X112*X$123</f>
        <v/>
      </c>
      <c r="Y135" s="28">
        <f>Y112*Y$123</f>
        <v/>
      </c>
      <c r="Z135" s="26">
        <f>LOWER(Settings!$C$4)&amp;".mit."&amp;$A135&amp;IF($C135="","","."&amp;$C135&amp;"."&amp;$B135)&amp;IF(INDEX(Variables!$D$5:$D$65,MATCH($A135,Variables!$A$5:$A$65,0))="","","."&amp;INDEX(Variables!$D$5:$D$65,MATCH($A135,Variables!$A$5:$A$65,0)))&amp;"."&amp;Z$5</f>
        <v/>
      </c>
      <c r="AA135" s="27">
        <f>AA112*AA$123</f>
        <v/>
      </c>
      <c r="AB135" s="28">
        <f>AB112*AB$123</f>
        <v/>
      </c>
      <c r="AC135" s="28">
        <f>AC112*AC$123</f>
        <v/>
      </c>
      <c r="AD135" s="28">
        <f>AD112*AD$123</f>
        <v/>
      </c>
      <c r="AE135" s="28">
        <f>AE112*AE$123</f>
        <v/>
      </c>
      <c r="AF135" s="28">
        <f>AF112*AF$123</f>
        <v/>
      </c>
      <c r="AG135" s="28">
        <f>AG112*AG$123</f>
        <v/>
      </c>
      <c r="AH135" s="28">
        <f>AH112*AH$123</f>
        <v/>
      </c>
      <c r="AI135" s="28">
        <f>AI112*AI$123</f>
        <v/>
      </c>
      <c r="AJ135" s="28">
        <f>AJ112*AJ$123</f>
        <v/>
      </c>
      <c r="AK135" s="28">
        <f>AK112*AK$123</f>
        <v/>
      </c>
      <c r="AL135" s="28">
        <f>AL112*AL$123</f>
        <v/>
      </c>
      <c r="AM135" s="28">
        <f>AM112*AM$123</f>
        <v/>
      </c>
      <c r="AN135" s="28">
        <f>AN112*AN$123</f>
        <v/>
      </c>
    </row>
    <row r="136" hidden="1" outlineLevel="1">
      <c r="A136" s="7" t="inlineStr">
        <is>
          <t>ssc</t>
        </is>
      </c>
      <c r="B136" s="7" t="inlineStr">
        <is>
          <t>all</t>
        </is>
      </c>
      <c r="C136" s="7" t="inlineStr">
        <is>
          <t>mch</t>
        </is>
      </c>
      <c r="H136" s="7">
        <f>INDEX(Variables!$B$5:$B$65,MATCH($A136,Variables!$A$5:$A$65,0))&amp;IF($C136="",""," | "&amp;INDEX(Mapping!$B$5:$B$25,MATCH($C136,Mapping!$A$5:$A$25,0))&amp;" | "&amp;INDEX(Mapping!$B$29:$B$38,MATCH($B136,Mapping!$A$29:$A$38,0)))</f>
        <v/>
      </c>
      <c r="I136" s="7">
        <f>INDEX(Variables!$C$5:$C$65,MATCH($A136,Variables!$A$5:$A$65,0))</f>
        <v/>
      </c>
      <c r="J136" s="7">
        <f>INDEX(Variables!$E$5:$E$65,MATCH($A136,Variables!$A$5:$A$65,0))</f>
        <v/>
      </c>
      <c r="K136" s="26">
        <f>LOWER(Settings!$C$4)&amp;".mit."&amp;$A136&amp;IF($C136="","","."&amp;$C136&amp;"."&amp;$B136)&amp;IF(INDEX(Variables!$D$5:$D$65,MATCH($A136,Variables!$A$5:$A$65,0))="","","."&amp;INDEX(Variables!$D$5:$D$65,MATCH($A136,Variables!$A$5:$A$65,0)))&amp;"."&amp;K$5</f>
        <v/>
      </c>
      <c r="L136" s="27">
        <f>L113*L$123</f>
        <v/>
      </c>
      <c r="M136" s="28">
        <f>M113*M$123</f>
        <v/>
      </c>
      <c r="N136" s="28">
        <f>N113*N$123</f>
        <v/>
      </c>
      <c r="O136" s="28">
        <f>O113*O$123</f>
        <v/>
      </c>
      <c r="P136" s="28">
        <f>P113*P$123</f>
        <v/>
      </c>
      <c r="Q136" s="28">
        <f>Q113*Q$123</f>
        <v/>
      </c>
      <c r="R136" s="28">
        <f>R113*R$123</f>
        <v/>
      </c>
      <c r="S136" s="28">
        <f>S113*S$123</f>
        <v/>
      </c>
      <c r="T136" s="28">
        <f>T113*T$123</f>
        <v/>
      </c>
      <c r="U136" s="28">
        <f>U113*U$123</f>
        <v/>
      </c>
      <c r="V136" s="28">
        <f>V113*V$123</f>
        <v/>
      </c>
      <c r="W136" s="28">
        <f>W113*W$123</f>
        <v/>
      </c>
      <c r="X136" s="28">
        <f>X113*X$123</f>
        <v/>
      </c>
      <c r="Y136" s="28">
        <f>Y113*Y$123</f>
        <v/>
      </c>
      <c r="Z136" s="26">
        <f>LOWER(Settings!$C$4)&amp;".mit."&amp;$A136&amp;IF($C136="","","."&amp;$C136&amp;"."&amp;$B136)&amp;IF(INDEX(Variables!$D$5:$D$65,MATCH($A136,Variables!$A$5:$A$65,0))="","","."&amp;INDEX(Variables!$D$5:$D$65,MATCH($A136,Variables!$A$5:$A$65,0)))&amp;"."&amp;Z$5</f>
        <v/>
      </c>
      <c r="AA136" s="27">
        <f>AA113*AA$123</f>
        <v/>
      </c>
      <c r="AB136" s="28">
        <f>AB113*AB$123</f>
        <v/>
      </c>
      <c r="AC136" s="28">
        <f>AC113*AC$123</f>
        <v/>
      </c>
      <c r="AD136" s="28">
        <f>AD113*AD$123</f>
        <v/>
      </c>
      <c r="AE136" s="28">
        <f>AE113*AE$123</f>
        <v/>
      </c>
      <c r="AF136" s="28">
        <f>AF113*AF$123</f>
        <v/>
      </c>
      <c r="AG136" s="28">
        <f>AG113*AG$123</f>
        <v/>
      </c>
      <c r="AH136" s="28">
        <f>AH113*AH$123</f>
        <v/>
      </c>
      <c r="AI136" s="28">
        <f>AI113*AI$123</f>
        <v/>
      </c>
      <c r="AJ136" s="28">
        <f>AJ113*AJ$123</f>
        <v/>
      </c>
      <c r="AK136" s="28">
        <f>AK113*AK$123</f>
        <v/>
      </c>
      <c r="AL136" s="28">
        <f>AL113*AL$123</f>
        <v/>
      </c>
      <c r="AM136" s="28">
        <f>AM113*AM$123</f>
        <v/>
      </c>
      <c r="AN136" s="28">
        <f>AN113*AN$123</f>
        <v/>
      </c>
    </row>
    <row r="137" hidden="1" outlineLevel="1">
      <c r="A137" s="7" t="inlineStr">
        <is>
          <t>ssc</t>
        </is>
      </c>
      <c r="B137" s="7" t="inlineStr">
        <is>
          <t>all</t>
        </is>
      </c>
      <c r="C137" s="7" t="inlineStr">
        <is>
          <t>irn</t>
        </is>
      </c>
      <c r="H137" s="7">
        <f>INDEX(Variables!$B$5:$B$65,MATCH($A137,Variables!$A$5:$A$65,0))&amp;IF($C137="",""," | "&amp;INDEX(Mapping!$B$5:$B$25,MATCH($C137,Mapping!$A$5:$A$25,0))&amp;" | "&amp;INDEX(Mapping!$B$29:$B$38,MATCH($B137,Mapping!$A$29:$A$38,0)))</f>
        <v/>
      </c>
      <c r="I137" s="7">
        <f>INDEX(Variables!$C$5:$C$65,MATCH($A137,Variables!$A$5:$A$65,0))</f>
        <v/>
      </c>
      <c r="J137" s="7">
        <f>INDEX(Variables!$E$5:$E$65,MATCH($A137,Variables!$A$5:$A$65,0))</f>
        <v/>
      </c>
      <c r="K137" s="26">
        <f>LOWER(Settings!$C$4)&amp;".mit."&amp;$A137&amp;IF($C137="","","."&amp;$C137&amp;"."&amp;$B137)&amp;IF(INDEX(Variables!$D$5:$D$65,MATCH($A137,Variables!$A$5:$A$65,0))="","","."&amp;INDEX(Variables!$D$5:$D$65,MATCH($A137,Variables!$A$5:$A$65,0)))&amp;"."&amp;K$5</f>
        <v/>
      </c>
      <c r="L137" s="27">
        <f>L114*L$123</f>
        <v/>
      </c>
      <c r="M137" s="28">
        <f>M114*M$123</f>
        <v/>
      </c>
      <c r="N137" s="28">
        <f>N114*N$123</f>
        <v/>
      </c>
      <c r="O137" s="28">
        <f>O114*O$123</f>
        <v/>
      </c>
      <c r="P137" s="28">
        <f>P114*P$123</f>
        <v/>
      </c>
      <c r="Q137" s="28">
        <f>Q114*Q$123</f>
        <v/>
      </c>
      <c r="R137" s="28">
        <f>R114*R$123</f>
        <v/>
      </c>
      <c r="S137" s="28">
        <f>S114*S$123</f>
        <v/>
      </c>
      <c r="T137" s="28">
        <f>T114*T$123</f>
        <v/>
      </c>
      <c r="U137" s="28">
        <f>U114*U$123</f>
        <v/>
      </c>
      <c r="V137" s="28">
        <f>V114*V$123</f>
        <v/>
      </c>
      <c r="W137" s="28">
        <f>W114*W$123</f>
        <v/>
      </c>
      <c r="X137" s="28">
        <f>X114*X$123</f>
        <v/>
      </c>
      <c r="Y137" s="28">
        <f>Y114*Y$123</f>
        <v/>
      </c>
      <c r="Z137" s="26">
        <f>LOWER(Settings!$C$4)&amp;".mit."&amp;$A137&amp;IF($C137="","","."&amp;$C137&amp;"."&amp;$B137)&amp;IF(INDEX(Variables!$D$5:$D$65,MATCH($A137,Variables!$A$5:$A$65,0))="","","."&amp;INDEX(Variables!$D$5:$D$65,MATCH($A137,Variables!$A$5:$A$65,0)))&amp;"."&amp;Z$5</f>
        <v/>
      </c>
      <c r="AA137" s="27">
        <f>AA114*AA$123</f>
        <v/>
      </c>
      <c r="AB137" s="28">
        <f>AB114*AB$123</f>
        <v/>
      </c>
      <c r="AC137" s="28">
        <f>AC114*AC$123</f>
        <v/>
      </c>
      <c r="AD137" s="28">
        <f>AD114*AD$123</f>
        <v/>
      </c>
      <c r="AE137" s="28">
        <f>AE114*AE$123</f>
        <v/>
      </c>
      <c r="AF137" s="28">
        <f>AF114*AF$123</f>
        <v/>
      </c>
      <c r="AG137" s="28">
        <f>AG114*AG$123</f>
        <v/>
      </c>
      <c r="AH137" s="28">
        <f>AH114*AH$123</f>
        <v/>
      </c>
      <c r="AI137" s="28">
        <f>AI114*AI$123</f>
        <v/>
      </c>
      <c r="AJ137" s="28">
        <f>AJ114*AJ$123</f>
        <v/>
      </c>
      <c r="AK137" s="28">
        <f>AK114*AK$123</f>
        <v/>
      </c>
      <c r="AL137" s="28">
        <f>AL114*AL$123</f>
        <v/>
      </c>
      <c r="AM137" s="28">
        <f>AM114*AM$123</f>
        <v/>
      </c>
      <c r="AN137" s="28">
        <f>AN114*AN$123</f>
        <v/>
      </c>
    </row>
    <row r="138" hidden="1" outlineLevel="1">
      <c r="A138" s="7" t="inlineStr">
        <is>
          <t>ssc</t>
        </is>
      </c>
      <c r="B138" s="7" t="inlineStr">
        <is>
          <t>all</t>
        </is>
      </c>
      <c r="C138" s="7" t="inlineStr">
        <is>
          <t>nfm</t>
        </is>
      </c>
      <c r="H138" s="7">
        <f>INDEX(Variables!$B$5:$B$65,MATCH($A138,Variables!$A$5:$A$65,0))&amp;IF($C138="",""," | "&amp;INDEX(Mapping!$B$5:$B$25,MATCH($C138,Mapping!$A$5:$A$25,0))&amp;" | "&amp;INDEX(Mapping!$B$29:$B$38,MATCH($B138,Mapping!$A$29:$A$38,0)))</f>
        <v/>
      </c>
      <c r="I138" s="7">
        <f>INDEX(Variables!$C$5:$C$65,MATCH($A138,Variables!$A$5:$A$65,0))</f>
        <v/>
      </c>
      <c r="J138" s="7">
        <f>INDEX(Variables!$E$5:$E$65,MATCH($A138,Variables!$A$5:$A$65,0))</f>
        <v/>
      </c>
      <c r="K138" s="26">
        <f>LOWER(Settings!$C$4)&amp;".mit."&amp;$A138&amp;IF($C138="","","."&amp;$C138&amp;"."&amp;$B138)&amp;IF(INDEX(Variables!$D$5:$D$65,MATCH($A138,Variables!$A$5:$A$65,0))="","","."&amp;INDEX(Variables!$D$5:$D$65,MATCH($A138,Variables!$A$5:$A$65,0)))&amp;"."&amp;K$5</f>
        <v/>
      </c>
      <c r="L138" s="27">
        <f>L115*L$123</f>
        <v/>
      </c>
      <c r="M138" s="28">
        <f>M115*M$123</f>
        <v/>
      </c>
      <c r="N138" s="28">
        <f>N115*N$123</f>
        <v/>
      </c>
      <c r="O138" s="28">
        <f>O115*O$123</f>
        <v/>
      </c>
      <c r="P138" s="28">
        <f>P115*P$123</f>
        <v/>
      </c>
      <c r="Q138" s="28">
        <f>Q115*Q$123</f>
        <v/>
      </c>
      <c r="R138" s="28">
        <f>R115*R$123</f>
        <v/>
      </c>
      <c r="S138" s="28">
        <f>S115*S$123</f>
        <v/>
      </c>
      <c r="T138" s="28">
        <f>T115*T$123</f>
        <v/>
      </c>
      <c r="U138" s="28">
        <f>U115*U$123</f>
        <v/>
      </c>
      <c r="V138" s="28">
        <f>V115*V$123</f>
        <v/>
      </c>
      <c r="W138" s="28">
        <f>W115*W$123</f>
        <v/>
      </c>
      <c r="X138" s="28">
        <f>X115*X$123</f>
        <v/>
      </c>
      <c r="Y138" s="28">
        <f>Y115*Y$123</f>
        <v/>
      </c>
      <c r="Z138" s="26">
        <f>LOWER(Settings!$C$4)&amp;".mit."&amp;$A138&amp;IF($C138="","","."&amp;$C138&amp;"."&amp;$B138)&amp;IF(INDEX(Variables!$D$5:$D$65,MATCH($A138,Variables!$A$5:$A$65,0))="","","."&amp;INDEX(Variables!$D$5:$D$65,MATCH($A138,Variables!$A$5:$A$65,0)))&amp;"."&amp;Z$5</f>
        <v/>
      </c>
      <c r="AA138" s="27">
        <f>AA115*AA$123</f>
        <v/>
      </c>
      <c r="AB138" s="28">
        <f>AB115*AB$123</f>
        <v/>
      </c>
      <c r="AC138" s="28">
        <f>AC115*AC$123</f>
        <v/>
      </c>
      <c r="AD138" s="28">
        <f>AD115*AD$123</f>
        <v/>
      </c>
      <c r="AE138" s="28">
        <f>AE115*AE$123</f>
        <v/>
      </c>
      <c r="AF138" s="28">
        <f>AF115*AF$123</f>
        <v/>
      </c>
      <c r="AG138" s="28">
        <f>AG115*AG$123</f>
        <v/>
      </c>
      <c r="AH138" s="28">
        <f>AH115*AH$123</f>
        <v/>
      </c>
      <c r="AI138" s="28">
        <f>AI115*AI$123</f>
        <v/>
      </c>
      <c r="AJ138" s="28">
        <f>AJ115*AJ$123</f>
        <v/>
      </c>
      <c r="AK138" s="28">
        <f>AK115*AK$123</f>
        <v/>
      </c>
      <c r="AL138" s="28">
        <f>AL115*AL$123</f>
        <v/>
      </c>
      <c r="AM138" s="28">
        <f>AM115*AM$123</f>
        <v/>
      </c>
      <c r="AN138" s="28">
        <f>AN115*AN$123</f>
        <v/>
      </c>
    </row>
    <row r="139" hidden="1" outlineLevel="1">
      <c r="A139" s="7" t="inlineStr">
        <is>
          <t>ssc</t>
        </is>
      </c>
      <c r="B139" s="7" t="inlineStr">
        <is>
          <t>all</t>
        </is>
      </c>
      <c r="C139" s="7" t="inlineStr">
        <is>
          <t>mac</t>
        </is>
      </c>
      <c r="H139" s="7">
        <f>INDEX(Variables!$B$5:$B$65,MATCH($A139,Variables!$A$5:$A$65,0))&amp;IF($C139="",""," | "&amp;INDEX(Mapping!$B$5:$B$25,MATCH($C139,Mapping!$A$5:$A$25,0))&amp;" | "&amp;INDEX(Mapping!$B$29:$B$38,MATCH($B139,Mapping!$A$29:$A$38,0)))</f>
        <v/>
      </c>
      <c r="I139" s="7">
        <f>INDEX(Variables!$C$5:$C$65,MATCH($A139,Variables!$A$5:$A$65,0))</f>
        <v/>
      </c>
      <c r="J139" s="7">
        <f>INDEX(Variables!$E$5:$E$65,MATCH($A139,Variables!$A$5:$A$65,0))</f>
        <v/>
      </c>
      <c r="K139" s="26">
        <f>LOWER(Settings!$C$4)&amp;".mit."&amp;$A139&amp;IF($C139="","","."&amp;$C139&amp;"."&amp;$B139)&amp;IF(INDEX(Variables!$D$5:$D$65,MATCH($A139,Variables!$A$5:$A$65,0))="","","."&amp;INDEX(Variables!$D$5:$D$65,MATCH($A139,Variables!$A$5:$A$65,0)))&amp;"."&amp;K$5</f>
        <v/>
      </c>
      <c r="L139" s="27">
        <f>L116*L$123</f>
        <v/>
      </c>
      <c r="M139" s="28">
        <f>M116*M$123</f>
        <v/>
      </c>
      <c r="N139" s="28">
        <f>N116*N$123</f>
        <v/>
      </c>
      <c r="O139" s="28">
        <f>O116*O$123</f>
        <v/>
      </c>
      <c r="P139" s="28">
        <f>P116*P$123</f>
        <v/>
      </c>
      <c r="Q139" s="28">
        <f>Q116*Q$123</f>
        <v/>
      </c>
      <c r="R139" s="28">
        <f>R116*R$123</f>
        <v/>
      </c>
      <c r="S139" s="28">
        <f>S116*S$123</f>
        <v/>
      </c>
      <c r="T139" s="28">
        <f>T116*T$123</f>
        <v/>
      </c>
      <c r="U139" s="28">
        <f>U116*U$123</f>
        <v/>
      </c>
      <c r="V139" s="28">
        <f>V116*V$123</f>
        <v/>
      </c>
      <c r="W139" s="28">
        <f>W116*W$123</f>
        <v/>
      </c>
      <c r="X139" s="28">
        <f>X116*X$123</f>
        <v/>
      </c>
      <c r="Y139" s="28">
        <f>Y116*Y$123</f>
        <v/>
      </c>
      <c r="Z139" s="26">
        <f>LOWER(Settings!$C$4)&amp;".mit."&amp;$A139&amp;IF($C139="","","."&amp;$C139&amp;"."&amp;$B139)&amp;IF(INDEX(Variables!$D$5:$D$65,MATCH($A139,Variables!$A$5:$A$65,0))="","","."&amp;INDEX(Variables!$D$5:$D$65,MATCH($A139,Variables!$A$5:$A$65,0)))&amp;"."&amp;Z$5</f>
        <v/>
      </c>
      <c r="AA139" s="27">
        <f>AA116*AA$123</f>
        <v/>
      </c>
      <c r="AB139" s="28">
        <f>AB116*AB$123</f>
        <v/>
      </c>
      <c r="AC139" s="28">
        <f>AC116*AC$123</f>
        <v/>
      </c>
      <c r="AD139" s="28">
        <f>AD116*AD$123</f>
        <v/>
      </c>
      <c r="AE139" s="28">
        <f>AE116*AE$123</f>
        <v/>
      </c>
      <c r="AF139" s="28">
        <f>AF116*AF$123</f>
        <v/>
      </c>
      <c r="AG139" s="28">
        <f>AG116*AG$123</f>
        <v/>
      </c>
      <c r="AH139" s="28">
        <f>AH116*AH$123</f>
        <v/>
      </c>
      <c r="AI139" s="28">
        <f>AI116*AI$123</f>
        <v/>
      </c>
      <c r="AJ139" s="28">
        <f>AJ116*AJ$123</f>
        <v/>
      </c>
      <c r="AK139" s="28">
        <f>AK116*AK$123</f>
        <v/>
      </c>
      <c r="AL139" s="28">
        <f>AL116*AL$123</f>
        <v/>
      </c>
      <c r="AM139" s="28">
        <f>AM116*AM$123</f>
        <v/>
      </c>
      <c r="AN139" s="28">
        <f>AN116*AN$123</f>
        <v/>
      </c>
    </row>
    <row r="140" hidden="1" outlineLevel="1">
      <c r="A140" s="7" t="inlineStr">
        <is>
          <t>ssc</t>
        </is>
      </c>
      <c r="B140" s="7" t="inlineStr">
        <is>
          <t>all</t>
        </is>
      </c>
      <c r="C140" s="7" t="inlineStr">
        <is>
          <t>cem</t>
        </is>
      </c>
      <c r="H140" s="7">
        <f>INDEX(Variables!$B$5:$B$65,MATCH($A140,Variables!$A$5:$A$65,0))&amp;IF($C140="",""," | "&amp;INDEX(Mapping!$B$5:$B$25,MATCH($C140,Mapping!$A$5:$A$25,0))&amp;" | "&amp;INDEX(Mapping!$B$29:$B$38,MATCH($B140,Mapping!$A$29:$A$38,0)))</f>
        <v/>
      </c>
      <c r="I140" s="7">
        <f>INDEX(Variables!$C$5:$C$65,MATCH($A140,Variables!$A$5:$A$65,0))</f>
        <v/>
      </c>
      <c r="J140" s="7">
        <f>INDEX(Variables!$E$5:$E$65,MATCH($A140,Variables!$A$5:$A$65,0))</f>
        <v/>
      </c>
      <c r="K140" s="26">
        <f>LOWER(Settings!$C$4)&amp;".mit."&amp;$A140&amp;IF($C140="","","."&amp;$C140&amp;"."&amp;$B140)&amp;IF(INDEX(Variables!$D$5:$D$65,MATCH($A140,Variables!$A$5:$A$65,0))="","","."&amp;INDEX(Variables!$D$5:$D$65,MATCH($A140,Variables!$A$5:$A$65,0)))&amp;"."&amp;K$5</f>
        <v/>
      </c>
      <c r="L140" s="27">
        <f>L117*L$123</f>
        <v/>
      </c>
      <c r="M140" s="28">
        <f>M117*M$123</f>
        <v/>
      </c>
      <c r="N140" s="28">
        <f>N117*N$123</f>
        <v/>
      </c>
      <c r="O140" s="28">
        <f>O117*O$123</f>
        <v/>
      </c>
      <c r="P140" s="28">
        <f>P117*P$123</f>
        <v/>
      </c>
      <c r="Q140" s="28">
        <f>Q117*Q$123</f>
        <v/>
      </c>
      <c r="R140" s="28">
        <f>R117*R$123</f>
        <v/>
      </c>
      <c r="S140" s="28">
        <f>S117*S$123</f>
        <v/>
      </c>
      <c r="T140" s="28">
        <f>T117*T$123</f>
        <v/>
      </c>
      <c r="U140" s="28">
        <f>U117*U$123</f>
        <v/>
      </c>
      <c r="V140" s="28">
        <f>V117*V$123</f>
        <v/>
      </c>
      <c r="W140" s="28">
        <f>W117*W$123</f>
        <v/>
      </c>
      <c r="X140" s="28">
        <f>X117*X$123</f>
        <v/>
      </c>
      <c r="Y140" s="28">
        <f>Y117*Y$123</f>
        <v/>
      </c>
      <c r="Z140" s="26">
        <f>LOWER(Settings!$C$4)&amp;".mit."&amp;$A140&amp;IF($C140="","","."&amp;$C140&amp;"."&amp;$B140)&amp;IF(INDEX(Variables!$D$5:$D$65,MATCH($A140,Variables!$A$5:$A$65,0))="","","."&amp;INDEX(Variables!$D$5:$D$65,MATCH($A140,Variables!$A$5:$A$65,0)))&amp;"."&amp;Z$5</f>
        <v/>
      </c>
      <c r="AA140" s="27">
        <f>AA117*AA$123</f>
        <v/>
      </c>
      <c r="AB140" s="28">
        <f>AB117*AB$123</f>
        <v/>
      </c>
      <c r="AC140" s="28">
        <f>AC117*AC$123</f>
        <v/>
      </c>
      <c r="AD140" s="28">
        <f>AD117*AD$123</f>
        <v/>
      </c>
      <c r="AE140" s="28">
        <f>AE117*AE$123</f>
        <v/>
      </c>
      <c r="AF140" s="28">
        <f>AF117*AF$123</f>
        <v/>
      </c>
      <c r="AG140" s="28">
        <f>AG117*AG$123</f>
        <v/>
      </c>
      <c r="AH140" s="28">
        <f>AH117*AH$123</f>
        <v/>
      </c>
      <c r="AI140" s="28">
        <f>AI117*AI$123</f>
        <v/>
      </c>
      <c r="AJ140" s="28">
        <f>AJ117*AJ$123</f>
        <v/>
      </c>
      <c r="AK140" s="28">
        <f>AK117*AK$123</f>
        <v/>
      </c>
      <c r="AL140" s="28">
        <f>AL117*AL$123</f>
        <v/>
      </c>
      <c r="AM140" s="28">
        <f>AM117*AM$123</f>
        <v/>
      </c>
      <c r="AN140" s="28">
        <f>AN117*AN$123</f>
        <v/>
      </c>
    </row>
    <row r="141" hidden="1" outlineLevel="1">
      <c r="A141" s="7" t="inlineStr">
        <is>
          <t>ssc</t>
        </is>
      </c>
      <c r="B141" s="7" t="inlineStr">
        <is>
          <t>all</t>
        </is>
      </c>
      <c r="C141" s="7" t="inlineStr">
        <is>
          <t>omn</t>
        </is>
      </c>
      <c r="H141" s="7">
        <f>INDEX(Variables!$B$5:$B$65,MATCH($A141,Variables!$A$5:$A$65,0))&amp;IF($C141="",""," | "&amp;INDEX(Mapping!$B$5:$B$25,MATCH($C141,Mapping!$A$5:$A$25,0))&amp;" | "&amp;INDEX(Mapping!$B$29:$B$38,MATCH($B141,Mapping!$A$29:$A$38,0)))</f>
        <v/>
      </c>
      <c r="I141" s="7">
        <f>INDEX(Variables!$C$5:$C$65,MATCH($A141,Variables!$A$5:$A$65,0))</f>
        <v/>
      </c>
      <c r="J141" s="7">
        <f>INDEX(Variables!$E$5:$E$65,MATCH($A141,Variables!$A$5:$A$65,0))</f>
        <v/>
      </c>
      <c r="K141" s="26">
        <f>LOWER(Settings!$C$4)&amp;".mit."&amp;$A141&amp;IF($C141="","","."&amp;$C141&amp;"."&amp;$B141)&amp;IF(INDEX(Variables!$D$5:$D$65,MATCH($A141,Variables!$A$5:$A$65,0))="","","."&amp;INDEX(Variables!$D$5:$D$65,MATCH($A141,Variables!$A$5:$A$65,0)))&amp;"."&amp;K$5</f>
        <v/>
      </c>
      <c r="L141" s="27">
        <f>L118*L$123</f>
        <v/>
      </c>
      <c r="M141" s="28">
        <f>M118*M$123</f>
        <v/>
      </c>
      <c r="N141" s="28">
        <f>N118*N$123</f>
        <v/>
      </c>
      <c r="O141" s="28">
        <f>O118*O$123</f>
        <v/>
      </c>
      <c r="P141" s="28">
        <f>P118*P$123</f>
        <v/>
      </c>
      <c r="Q141" s="28">
        <f>Q118*Q$123</f>
        <v/>
      </c>
      <c r="R141" s="28">
        <f>R118*R$123</f>
        <v/>
      </c>
      <c r="S141" s="28">
        <f>S118*S$123</f>
        <v/>
      </c>
      <c r="T141" s="28">
        <f>T118*T$123</f>
        <v/>
      </c>
      <c r="U141" s="28">
        <f>U118*U$123</f>
        <v/>
      </c>
      <c r="V141" s="28">
        <f>V118*V$123</f>
        <v/>
      </c>
      <c r="W141" s="28">
        <f>W118*W$123</f>
        <v/>
      </c>
      <c r="X141" s="28">
        <f>X118*X$123</f>
        <v/>
      </c>
      <c r="Y141" s="28">
        <f>Y118*Y$123</f>
        <v/>
      </c>
      <c r="Z141" s="26">
        <f>LOWER(Settings!$C$4)&amp;".mit."&amp;$A141&amp;IF($C141="","","."&amp;$C141&amp;"."&amp;$B141)&amp;IF(INDEX(Variables!$D$5:$D$65,MATCH($A141,Variables!$A$5:$A$65,0))="","","."&amp;INDEX(Variables!$D$5:$D$65,MATCH($A141,Variables!$A$5:$A$65,0)))&amp;"."&amp;Z$5</f>
        <v/>
      </c>
      <c r="AA141" s="27">
        <f>AA118*AA$123</f>
        <v/>
      </c>
      <c r="AB141" s="28">
        <f>AB118*AB$123</f>
        <v/>
      </c>
      <c r="AC141" s="28">
        <f>AC118*AC$123</f>
        <v/>
      </c>
      <c r="AD141" s="28">
        <f>AD118*AD$123</f>
        <v/>
      </c>
      <c r="AE141" s="28">
        <f>AE118*AE$123</f>
        <v/>
      </c>
      <c r="AF141" s="28">
        <f>AF118*AF$123</f>
        <v/>
      </c>
      <c r="AG141" s="28">
        <f>AG118*AG$123</f>
        <v/>
      </c>
      <c r="AH141" s="28">
        <f>AH118*AH$123</f>
        <v/>
      </c>
      <c r="AI141" s="28">
        <f>AI118*AI$123</f>
        <v/>
      </c>
      <c r="AJ141" s="28">
        <f>AJ118*AJ$123</f>
        <v/>
      </c>
      <c r="AK141" s="28">
        <f>AK118*AK$123</f>
        <v/>
      </c>
      <c r="AL141" s="28">
        <f>AL118*AL$123</f>
        <v/>
      </c>
      <c r="AM141" s="28">
        <f>AM118*AM$123</f>
        <v/>
      </c>
      <c r="AN141" s="28">
        <f>AN118*AN$123</f>
        <v/>
      </c>
    </row>
    <row r="142" hidden="1" outlineLevel="1">
      <c r="A142" s="7" t="inlineStr">
        <is>
          <t>ssc</t>
        </is>
      </c>
      <c r="B142" s="7" t="inlineStr">
        <is>
          <t>all</t>
        </is>
      </c>
      <c r="C142" s="7" t="inlineStr">
        <is>
          <t>cst</t>
        </is>
      </c>
      <c r="H142" s="7">
        <f>INDEX(Variables!$B$5:$B$65,MATCH($A142,Variables!$A$5:$A$65,0))&amp;IF($C142="",""," | "&amp;INDEX(Mapping!$B$5:$B$25,MATCH($C142,Mapping!$A$5:$A$25,0))&amp;" | "&amp;INDEX(Mapping!$B$29:$B$38,MATCH($B142,Mapping!$A$29:$A$38,0)))</f>
        <v/>
      </c>
      <c r="I142" s="7">
        <f>INDEX(Variables!$C$5:$C$65,MATCH($A142,Variables!$A$5:$A$65,0))</f>
        <v/>
      </c>
      <c r="J142" s="7">
        <f>INDEX(Variables!$E$5:$E$65,MATCH($A142,Variables!$A$5:$A$65,0))</f>
        <v/>
      </c>
      <c r="K142" s="26">
        <f>LOWER(Settings!$C$4)&amp;".mit."&amp;$A142&amp;IF($C142="","","."&amp;$C142&amp;"."&amp;$B142)&amp;IF(INDEX(Variables!$D$5:$D$65,MATCH($A142,Variables!$A$5:$A$65,0))="","","."&amp;INDEX(Variables!$D$5:$D$65,MATCH($A142,Variables!$A$5:$A$65,0)))&amp;"."&amp;K$5</f>
        <v/>
      </c>
      <c r="L142" s="27">
        <f>L119*L$123</f>
        <v/>
      </c>
      <c r="M142" s="28">
        <f>M119*M$123</f>
        <v/>
      </c>
      <c r="N142" s="28">
        <f>N119*N$123</f>
        <v/>
      </c>
      <c r="O142" s="28">
        <f>O119*O$123</f>
        <v/>
      </c>
      <c r="P142" s="28">
        <f>P119*P$123</f>
        <v/>
      </c>
      <c r="Q142" s="28">
        <f>Q119*Q$123</f>
        <v/>
      </c>
      <c r="R142" s="28">
        <f>R119*R$123</f>
        <v/>
      </c>
      <c r="S142" s="28">
        <f>S119*S$123</f>
        <v/>
      </c>
      <c r="T142" s="28">
        <f>T119*T$123</f>
        <v/>
      </c>
      <c r="U142" s="28">
        <f>U119*U$123</f>
        <v/>
      </c>
      <c r="V142" s="28">
        <f>V119*V$123</f>
        <v/>
      </c>
      <c r="W142" s="28">
        <f>W119*W$123</f>
        <v/>
      </c>
      <c r="X142" s="28">
        <f>X119*X$123</f>
        <v/>
      </c>
      <c r="Y142" s="28">
        <f>Y119*Y$123</f>
        <v/>
      </c>
      <c r="Z142" s="26">
        <f>LOWER(Settings!$C$4)&amp;".mit."&amp;$A142&amp;IF($C142="","","."&amp;$C142&amp;"."&amp;$B142)&amp;IF(INDEX(Variables!$D$5:$D$65,MATCH($A142,Variables!$A$5:$A$65,0))="","","."&amp;INDEX(Variables!$D$5:$D$65,MATCH($A142,Variables!$A$5:$A$65,0)))&amp;"."&amp;Z$5</f>
        <v/>
      </c>
      <c r="AA142" s="27">
        <f>AA119*AA$123</f>
        <v/>
      </c>
      <c r="AB142" s="28">
        <f>AB119*AB$123</f>
        <v/>
      </c>
      <c r="AC142" s="28">
        <f>AC119*AC$123</f>
        <v/>
      </c>
      <c r="AD142" s="28">
        <f>AD119*AD$123</f>
        <v/>
      </c>
      <c r="AE142" s="28">
        <f>AE119*AE$123</f>
        <v/>
      </c>
      <c r="AF142" s="28">
        <f>AF119*AF$123</f>
        <v/>
      </c>
      <c r="AG142" s="28">
        <f>AG119*AG$123</f>
        <v/>
      </c>
      <c r="AH142" s="28">
        <f>AH119*AH$123</f>
        <v/>
      </c>
      <c r="AI142" s="28">
        <f>AI119*AI$123</f>
        <v/>
      </c>
      <c r="AJ142" s="28">
        <f>AJ119*AJ$123</f>
        <v/>
      </c>
      <c r="AK142" s="28">
        <f>AK119*AK$123</f>
        <v/>
      </c>
      <c r="AL142" s="28">
        <f>AL119*AL$123</f>
        <v/>
      </c>
      <c r="AM142" s="28">
        <f>AM119*AM$123</f>
        <v/>
      </c>
      <c r="AN142" s="28">
        <f>AN119*AN$123</f>
        <v/>
      </c>
    </row>
    <row r="143" hidden="1" outlineLevel="1">
      <c r="A143" s="7" t="inlineStr">
        <is>
          <t>ssc</t>
        </is>
      </c>
      <c r="B143" s="7" t="inlineStr">
        <is>
          <t>all</t>
        </is>
      </c>
      <c r="C143" s="7" t="inlineStr">
        <is>
          <t>ftr</t>
        </is>
      </c>
      <c r="H143" s="7">
        <f>INDEX(Variables!$B$5:$B$65,MATCH($A143,Variables!$A$5:$A$65,0))&amp;IF($C143="",""," | "&amp;INDEX(Mapping!$B$5:$B$25,MATCH($C143,Mapping!$A$5:$A$25,0))&amp;" | "&amp;INDEX(Mapping!$B$29:$B$38,MATCH($B143,Mapping!$A$29:$A$38,0)))</f>
        <v/>
      </c>
      <c r="I143" s="7">
        <f>INDEX(Variables!$C$5:$C$65,MATCH($A143,Variables!$A$5:$A$65,0))</f>
        <v/>
      </c>
      <c r="J143" s="7">
        <f>INDEX(Variables!$E$5:$E$65,MATCH($A143,Variables!$A$5:$A$65,0))</f>
        <v/>
      </c>
      <c r="K143" s="26">
        <f>LOWER(Settings!$C$4)&amp;".mit."&amp;$A143&amp;IF($C143="","","."&amp;$C143&amp;"."&amp;$B143)&amp;IF(INDEX(Variables!$D$5:$D$65,MATCH($A143,Variables!$A$5:$A$65,0))="","","."&amp;INDEX(Variables!$D$5:$D$65,MATCH($A143,Variables!$A$5:$A$65,0)))&amp;"."&amp;K$5</f>
        <v/>
      </c>
      <c r="L143" s="27">
        <f>L120*L$123</f>
        <v/>
      </c>
      <c r="M143" s="28">
        <f>M120*M$123</f>
        <v/>
      </c>
      <c r="N143" s="28">
        <f>N120*N$123</f>
        <v/>
      </c>
      <c r="O143" s="28">
        <f>O120*O$123</f>
        <v/>
      </c>
      <c r="P143" s="28">
        <f>P120*P$123</f>
        <v/>
      </c>
      <c r="Q143" s="28">
        <f>Q120*Q$123</f>
        <v/>
      </c>
      <c r="R143" s="28">
        <f>R120*R$123</f>
        <v/>
      </c>
      <c r="S143" s="28">
        <f>S120*S$123</f>
        <v/>
      </c>
      <c r="T143" s="28">
        <f>T120*T$123</f>
        <v/>
      </c>
      <c r="U143" s="28">
        <f>U120*U$123</f>
        <v/>
      </c>
      <c r="V143" s="28">
        <f>V120*V$123</f>
        <v/>
      </c>
      <c r="W143" s="28">
        <f>W120*W$123</f>
        <v/>
      </c>
      <c r="X143" s="28">
        <f>X120*X$123</f>
        <v/>
      </c>
      <c r="Y143" s="28">
        <f>Y120*Y$123</f>
        <v/>
      </c>
      <c r="Z143" s="26">
        <f>LOWER(Settings!$C$4)&amp;".mit."&amp;$A143&amp;IF($C143="","","."&amp;$C143&amp;"."&amp;$B143)&amp;IF(INDEX(Variables!$D$5:$D$65,MATCH($A143,Variables!$A$5:$A$65,0))="","","."&amp;INDEX(Variables!$D$5:$D$65,MATCH($A143,Variables!$A$5:$A$65,0)))&amp;"."&amp;Z$5</f>
        <v/>
      </c>
      <c r="AA143" s="27">
        <f>AA120*AA$123</f>
        <v/>
      </c>
      <c r="AB143" s="28">
        <f>AB120*AB$123</f>
        <v/>
      </c>
      <c r="AC143" s="28">
        <f>AC120*AC$123</f>
        <v/>
      </c>
      <c r="AD143" s="28">
        <f>AD120*AD$123</f>
        <v/>
      </c>
      <c r="AE143" s="28">
        <f>AE120*AE$123</f>
        <v/>
      </c>
      <c r="AF143" s="28">
        <f>AF120*AF$123</f>
        <v/>
      </c>
      <c r="AG143" s="28">
        <f>AG120*AG$123</f>
        <v/>
      </c>
      <c r="AH143" s="28">
        <f>AH120*AH$123</f>
        <v/>
      </c>
      <c r="AI143" s="28">
        <f>AI120*AI$123</f>
        <v/>
      </c>
      <c r="AJ143" s="28">
        <f>AJ120*AJ$123</f>
        <v/>
      </c>
      <c r="AK143" s="28">
        <f>AK120*AK$123</f>
        <v/>
      </c>
      <c r="AL143" s="28">
        <f>AL120*AL$123</f>
        <v/>
      </c>
      <c r="AM143" s="28">
        <f>AM120*AM$123</f>
        <v/>
      </c>
      <c r="AN143" s="28">
        <f>AN120*AN$123</f>
        <v/>
      </c>
    </row>
    <row r="144" hidden="1" outlineLevel="1">
      <c r="A144" s="7" t="inlineStr">
        <is>
          <t>ssc</t>
        </is>
      </c>
      <c r="B144" s="7" t="inlineStr">
        <is>
          <t>all</t>
        </is>
      </c>
      <c r="C144" s="7" t="inlineStr">
        <is>
          <t>oen</t>
        </is>
      </c>
      <c r="H144" s="7">
        <f>INDEX(Variables!$B$5:$B$65,MATCH($A144,Variables!$A$5:$A$65,0))&amp;IF($C144="",""," | "&amp;INDEX(Mapping!$B$5:$B$25,MATCH($C144,Mapping!$A$5:$A$25,0))&amp;" | "&amp;INDEX(Mapping!$B$29:$B$38,MATCH($B144,Mapping!$A$29:$A$38,0)))</f>
        <v/>
      </c>
      <c r="I144" s="7">
        <f>INDEX(Variables!$C$5:$C$65,MATCH($A144,Variables!$A$5:$A$65,0))</f>
        <v/>
      </c>
      <c r="J144" s="7">
        <f>INDEX(Variables!$E$5:$E$65,MATCH($A144,Variables!$A$5:$A$65,0))</f>
        <v/>
      </c>
      <c r="K144" s="26">
        <f>LOWER(Settings!$C$4)&amp;".mit."&amp;$A144&amp;IF($C144="","","."&amp;$C144&amp;"."&amp;$B144)&amp;IF(INDEX(Variables!$D$5:$D$65,MATCH($A144,Variables!$A$5:$A$65,0))="","","."&amp;INDEX(Variables!$D$5:$D$65,MATCH($A144,Variables!$A$5:$A$65,0)))&amp;"."&amp;K$5</f>
        <v/>
      </c>
      <c r="L144" s="27">
        <f>L121*L$123</f>
        <v/>
      </c>
      <c r="M144" s="28">
        <f>M121*M$123</f>
        <v/>
      </c>
      <c r="N144" s="28">
        <f>N121*N$123</f>
        <v/>
      </c>
      <c r="O144" s="28">
        <f>O121*O$123</f>
        <v/>
      </c>
      <c r="P144" s="28">
        <f>P121*P$123</f>
        <v/>
      </c>
      <c r="Q144" s="28">
        <f>Q121*Q$123</f>
        <v/>
      </c>
      <c r="R144" s="28">
        <f>R121*R$123</f>
        <v/>
      </c>
      <c r="S144" s="28">
        <f>S121*S$123</f>
        <v/>
      </c>
      <c r="T144" s="28">
        <f>T121*T$123</f>
        <v/>
      </c>
      <c r="U144" s="28">
        <f>U121*U$123</f>
        <v/>
      </c>
      <c r="V144" s="28">
        <f>V121*V$123</f>
        <v/>
      </c>
      <c r="W144" s="28">
        <f>W121*W$123</f>
        <v/>
      </c>
      <c r="X144" s="28">
        <f>X121*X$123</f>
        <v/>
      </c>
      <c r="Y144" s="28">
        <f>Y121*Y$123</f>
        <v/>
      </c>
      <c r="Z144" s="26">
        <f>LOWER(Settings!$C$4)&amp;".mit."&amp;$A144&amp;IF($C144="","","."&amp;$C144&amp;"."&amp;$B144)&amp;IF(INDEX(Variables!$D$5:$D$65,MATCH($A144,Variables!$A$5:$A$65,0))="","","."&amp;INDEX(Variables!$D$5:$D$65,MATCH($A144,Variables!$A$5:$A$65,0)))&amp;"."&amp;Z$5</f>
        <v/>
      </c>
      <c r="AA144" s="27">
        <f>AA121*AA$123</f>
        <v/>
      </c>
      <c r="AB144" s="28">
        <f>AB121*AB$123</f>
        <v/>
      </c>
      <c r="AC144" s="28">
        <f>AC121*AC$123</f>
        <v/>
      </c>
      <c r="AD144" s="28">
        <f>AD121*AD$123</f>
        <v/>
      </c>
      <c r="AE144" s="28">
        <f>AE121*AE$123</f>
        <v/>
      </c>
      <c r="AF144" s="28">
        <f>AF121*AF$123</f>
        <v/>
      </c>
      <c r="AG144" s="28">
        <f>AG121*AG$123</f>
        <v/>
      </c>
      <c r="AH144" s="28">
        <f>AH121*AH$123</f>
        <v/>
      </c>
      <c r="AI144" s="28">
        <f>AI121*AI$123</f>
        <v/>
      </c>
      <c r="AJ144" s="28">
        <f>AJ121*AJ$123</f>
        <v/>
      </c>
      <c r="AK144" s="28">
        <f>AK121*AK$123</f>
        <v/>
      </c>
      <c r="AL144" s="28">
        <f>AL121*AL$123</f>
        <v/>
      </c>
      <c r="AM144" s="28">
        <f>AM121*AM$123</f>
        <v/>
      </c>
      <c r="AN144" s="28">
        <f>AN121*AN$123</f>
        <v/>
      </c>
    </row>
    <row r="146">
      <c r="A146" s="18" t="inlineStr">
        <is>
          <t>3. Power sector (elasticity-based / engineer model): not yet modelled</t>
        </is>
      </c>
      <c r="B146" s="19" t="n"/>
      <c r="C146" s="19" t="n"/>
      <c r="D146" s="19" t="n"/>
      <c r="E146" s="19" t="n"/>
      <c r="F146" s="19" t="n"/>
      <c r="G146" s="19" t="n"/>
      <c r="H146" s="19" t="n"/>
      <c r="I146" s="19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9" t="n"/>
      <c r="AI146" s="19" t="n"/>
      <c r="AJ146" s="19" t="n"/>
      <c r="AK146" s="19" t="n"/>
      <c r="AL146" s="19" t="n"/>
      <c r="AM146" s="19" t="n"/>
      <c r="AN146" s="19" t="n"/>
    </row>
    <row r="147">
      <c r="H147" s="33" t="inlineStr">
        <is>
          <t>Placeholder: the power sector comes in a later bucket. MTInputs power switches (MCovPow, feebate power) are read in section 1 but not used yet.</t>
        </is>
      </c>
    </row>
    <row r="149">
      <c r="A149" s="18" t="inlineStr">
        <is>
          <t>5. Transport sector</t>
        </is>
      </c>
      <c r="B149" s="19" t="n"/>
      <c r="C149" s="19" t="n"/>
      <c r="D149" s="19" t="n"/>
      <c r="E149" s="19" t="n"/>
      <c r="F149" s="19" t="n"/>
      <c r="G149" s="19" t="n"/>
      <c r="H149" s="19" t="n"/>
      <c r="I149" s="19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9" t="n"/>
      <c r="AI149" s="19" t="n"/>
      <c r="AJ149" s="19" t="n"/>
      <c r="AK149" s="19" t="n"/>
      <c r="AL149" s="19" t="n"/>
      <c r="AM149" s="19" t="n"/>
      <c r="AN149" s="19" t="n"/>
    </row>
    <row r="150">
      <c r="A150" s="7" t="inlineStr">
        <is>
          <t>ener</t>
        </is>
      </c>
      <c r="B150" s="7" t="inlineStr">
        <is>
          <t>all</t>
        </is>
      </c>
      <c r="C150" s="7" t="inlineStr">
        <is>
          <t>tra</t>
        </is>
      </c>
      <c r="H150" s="7">
        <f>INDEX(Variables!$B$5:$B$65,MATCH($A150,Variables!$A$5:$A$65,0))&amp;IF($C150="",""," | "&amp;INDEX(Mapping!$B$5:$B$25,MATCH($C150,Mapping!$A$5:$A$25,0))&amp;" | "&amp;INDEX(Mapping!$B$29:$B$38,MATCH($B150,Mapping!$A$29:$A$38,0)))</f>
        <v/>
      </c>
      <c r="I150" s="7">
        <f>INDEX(Variables!$C$5:$C$65,MATCH($A150,Variables!$A$5:$A$65,0))</f>
        <v/>
      </c>
      <c r="J150" s="7">
        <f>INDEX(Variables!$E$5:$E$65,MATCH($A150,Variables!$A$5:$A$65,0))</f>
        <v/>
      </c>
      <c r="K150" s="26">
        <f>LOWER(Settings!$C$4)&amp;".mit."&amp;$A150&amp;IF($C150="","","."&amp;$C150&amp;"."&amp;$B150)&amp;IF(INDEX(Variables!$D$5:$D$65,MATCH($A150,Variables!$A$5:$A$65,0))="","","."&amp;INDEX(Variables!$D$5:$D$65,MATCH($A150,Variables!$A$5:$A$65,0)))&amp;"."&amp;K$5</f>
        <v/>
      </c>
      <c r="L150" s="34">
        <f>SUMIFS(L151:L442,$A151:$A442,"ener",$B151:$B442,"&lt;&gt;all")</f>
        <v/>
      </c>
      <c r="M150" s="35">
        <f>SUMIFS(M151:M442,$A151:$A442,"ener",$B151:$B442,"&lt;&gt;all")</f>
        <v/>
      </c>
      <c r="N150" s="35">
        <f>SUMIFS(N151:N442,$A151:$A442,"ener",$B151:$B442,"&lt;&gt;all")</f>
        <v/>
      </c>
      <c r="O150" s="35">
        <f>SUMIFS(O151:O442,$A151:$A442,"ener",$B151:$B442,"&lt;&gt;all")</f>
        <v/>
      </c>
      <c r="P150" s="35">
        <f>SUMIFS(P151:P442,$A151:$A442,"ener",$B151:$B442,"&lt;&gt;all")</f>
        <v/>
      </c>
      <c r="Q150" s="35">
        <f>SUMIFS(Q151:Q442,$A151:$A442,"ener",$B151:$B442,"&lt;&gt;all")</f>
        <v/>
      </c>
      <c r="R150" s="35">
        <f>SUMIFS(R151:R442,$A151:$A442,"ener",$B151:$B442,"&lt;&gt;all")</f>
        <v/>
      </c>
      <c r="S150" s="35">
        <f>SUMIFS(S151:S442,$A151:$A442,"ener",$B151:$B442,"&lt;&gt;all")</f>
        <v/>
      </c>
      <c r="T150" s="35">
        <f>SUMIFS(T151:T442,$A151:$A442,"ener",$B151:$B442,"&lt;&gt;all")</f>
        <v/>
      </c>
      <c r="U150" s="35">
        <f>SUMIFS(U151:U442,$A151:$A442,"ener",$B151:$B442,"&lt;&gt;all")</f>
        <v/>
      </c>
      <c r="V150" s="35">
        <f>SUMIFS(V151:V442,$A151:$A442,"ener",$B151:$B442,"&lt;&gt;all")</f>
        <v/>
      </c>
      <c r="W150" s="35">
        <f>SUMIFS(W151:W442,$A151:$A442,"ener",$B151:$B442,"&lt;&gt;all")</f>
        <v/>
      </c>
      <c r="X150" s="35">
        <f>SUMIFS(X151:X442,$A151:$A442,"ener",$B151:$B442,"&lt;&gt;all")</f>
        <v/>
      </c>
      <c r="Y150" s="35">
        <f>SUMIFS(Y151:Y442,$A151:$A442,"ener",$B151:$B442,"&lt;&gt;all")</f>
        <v/>
      </c>
      <c r="Z150" s="26">
        <f>LOWER(Settings!$C$4)&amp;".mit."&amp;$A150&amp;IF($C150="","","."&amp;$C150&amp;"."&amp;$B150)&amp;IF(INDEX(Variables!$D$5:$D$65,MATCH($A150,Variables!$A$5:$A$65,0))="","","."&amp;INDEX(Variables!$D$5:$D$65,MATCH($A150,Variables!$A$5:$A$65,0)))&amp;"."&amp;Z$5</f>
        <v/>
      </c>
      <c r="AA150" s="34">
        <f>SUMIFS(AA151:AA442,$A151:$A442,"ener",$B151:$B442,"&lt;&gt;all")</f>
        <v/>
      </c>
      <c r="AB150" s="35">
        <f>SUMIFS(AB151:AB442,$A151:$A442,"ener",$B151:$B442,"&lt;&gt;all")</f>
        <v/>
      </c>
      <c r="AC150" s="35">
        <f>SUMIFS(AC151:AC442,$A151:$A442,"ener",$B151:$B442,"&lt;&gt;all")</f>
        <v/>
      </c>
      <c r="AD150" s="35">
        <f>SUMIFS(AD151:AD442,$A151:$A442,"ener",$B151:$B442,"&lt;&gt;all")</f>
        <v/>
      </c>
      <c r="AE150" s="35">
        <f>SUMIFS(AE151:AE442,$A151:$A442,"ener",$B151:$B442,"&lt;&gt;all")</f>
        <v/>
      </c>
      <c r="AF150" s="35">
        <f>SUMIFS(AF151:AF442,$A151:$A442,"ener",$B151:$B442,"&lt;&gt;all")</f>
        <v/>
      </c>
      <c r="AG150" s="35">
        <f>SUMIFS(AG151:AG442,$A151:$A442,"ener",$B151:$B442,"&lt;&gt;all")</f>
        <v/>
      </c>
      <c r="AH150" s="35">
        <f>SUMIFS(AH151:AH442,$A151:$A442,"ener",$B151:$B442,"&lt;&gt;all")</f>
        <v/>
      </c>
      <c r="AI150" s="35">
        <f>SUMIFS(AI151:AI442,$A151:$A442,"ener",$B151:$B442,"&lt;&gt;all")</f>
        <v/>
      </c>
      <c r="AJ150" s="35">
        <f>SUMIFS(AJ151:AJ442,$A151:$A442,"ener",$B151:$B442,"&lt;&gt;all")</f>
        <v/>
      </c>
      <c r="AK150" s="35">
        <f>SUMIFS(AK151:AK442,$A151:$A442,"ener",$B151:$B442,"&lt;&gt;all")</f>
        <v/>
      </c>
      <c r="AL150" s="35">
        <f>SUMIFS(AL151:AL442,$A151:$A442,"ener",$B151:$B442,"&lt;&gt;all")</f>
        <v/>
      </c>
      <c r="AM150" s="35">
        <f>SUMIFS(AM151:AM442,$A151:$A442,"ener",$B151:$B442,"&lt;&gt;all")</f>
        <v/>
      </c>
      <c r="AN150" s="35">
        <f>SUMIFS(AN151:AN442,$A151:$A442,"ener",$B151:$B442,"&lt;&gt;all")</f>
        <v/>
      </c>
    </row>
    <row r="151" outlineLevel="1" collapsed="1">
      <c r="A151" s="7" t="inlineStr">
        <is>
          <t>ener</t>
        </is>
      </c>
      <c r="B151" s="7" t="inlineStr">
        <is>
          <t>all</t>
        </is>
      </c>
      <c r="C151" s="7" t="inlineStr">
        <is>
          <t>rod</t>
        </is>
      </c>
      <c r="H151" s="7">
        <f>INDEX(Variables!$B$5:$B$65,MATCH($A151,Variables!$A$5:$A$65,0))&amp;IF($C151="",""," | "&amp;INDEX(Mapping!$B$5:$B$25,MATCH($C151,Mapping!$A$5:$A$25,0))&amp;" | "&amp;INDEX(Mapping!$B$29:$B$38,MATCH($B151,Mapping!$A$29:$A$38,0)))</f>
        <v/>
      </c>
      <c r="I151" s="7">
        <f>INDEX(Variables!$C$5:$C$65,MATCH($A151,Variables!$A$5:$A$65,0))</f>
        <v/>
      </c>
      <c r="J151" s="7">
        <f>INDEX(Variables!$E$5:$E$65,MATCH($A151,Variables!$A$5:$A$65,0))</f>
        <v/>
      </c>
      <c r="K151" s="26">
        <f>LOWER(Settings!$C$4)&amp;".mit."&amp;$A151&amp;IF($C151="","","."&amp;$C151&amp;"."&amp;$B151)&amp;IF(INDEX(Variables!$D$5:$D$65,MATCH($A151,Variables!$A$5:$A$65,0))="","","."&amp;INDEX(Variables!$D$5:$D$65,MATCH($A151,Variables!$A$5:$A$65,0)))&amp;"."&amp;K$5</f>
        <v/>
      </c>
      <c r="L151" s="34">
        <f>SUM(L215:L222)</f>
        <v/>
      </c>
      <c r="M151" s="35">
        <f>SUM(M215:M222)</f>
        <v/>
      </c>
      <c r="N151" s="35">
        <f>SUM(N215:N222)</f>
        <v/>
      </c>
      <c r="O151" s="35">
        <f>SUM(O215:O222)</f>
        <v/>
      </c>
      <c r="P151" s="35">
        <f>SUM(P215:P222)</f>
        <v/>
      </c>
      <c r="Q151" s="35">
        <f>SUM(Q215:Q222)</f>
        <v/>
      </c>
      <c r="R151" s="35">
        <f>SUM(R215:R222)</f>
        <v/>
      </c>
      <c r="S151" s="35">
        <f>SUM(S215:S222)</f>
        <v/>
      </c>
      <c r="T151" s="35">
        <f>SUM(T215:T222)</f>
        <v/>
      </c>
      <c r="U151" s="35">
        <f>SUM(U215:U222)</f>
        <v/>
      </c>
      <c r="V151" s="35">
        <f>SUM(V215:V222)</f>
        <v/>
      </c>
      <c r="W151" s="35">
        <f>SUM(W215:W222)</f>
        <v/>
      </c>
      <c r="X151" s="35">
        <f>SUM(X215:X222)</f>
        <v/>
      </c>
      <c r="Y151" s="35">
        <f>SUM(Y215:Y222)</f>
        <v/>
      </c>
      <c r="Z151" s="26">
        <f>LOWER(Settings!$C$4)&amp;".mit."&amp;$A151&amp;IF($C151="","","."&amp;$C151&amp;"."&amp;$B151)&amp;IF(INDEX(Variables!$D$5:$D$65,MATCH($A151,Variables!$A$5:$A$65,0))="","","."&amp;INDEX(Variables!$D$5:$D$65,MATCH($A151,Variables!$A$5:$A$65,0)))&amp;"."&amp;Z$5</f>
        <v/>
      </c>
      <c r="AA151" s="34">
        <f>SUM(AA215:AA222)</f>
        <v/>
      </c>
      <c r="AB151" s="35">
        <f>SUM(AB215:AB222)</f>
        <v/>
      </c>
      <c r="AC151" s="35">
        <f>SUM(AC215:AC222)</f>
        <v/>
      </c>
      <c r="AD151" s="35">
        <f>SUM(AD215:AD222)</f>
        <v/>
      </c>
      <c r="AE151" s="35">
        <f>SUM(AE215:AE222)</f>
        <v/>
      </c>
      <c r="AF151" s="35">
        <f>SUM(AF215:AF222)</f>
        <v/>
      </c>
      <c r="AG151" s="35">
        <f>SUM(AG215:AG222)</f>
        <v/>
      </c>
      <c r="AH151" s="35">
        <f>SUM(AH215:AH222)</f>
        <v/>
      </c>
      <c r="AI151" s="35">
        <f>SUM(AI215:AI222)</f>
        <v/>
      </c>
      <c r="AJ151" s="35">
        <f>SUM(AJ215:AJ222)</f>
        <v/>
      </c>
      <c r="AK151" s="35">
        <f>SUM(AK215:AK222)</f>
        <v/>
      </c>
      <c r="AL151" s="35">
        <f>SUM(AL215:AL222)</f>
        <v/>
      </c>
      <c r="AM151" s="35">
        <f>SUM(AM215:AM222)</f>
        <v/>
      </c>
      <c r="AN151" s="35">
        <f>SUM(AN215:AN222)</f>
        <v/>
      </c>
    </row>
    <row r="152" hidden="1" outlineLevel="2">
      <c r="A152" s="5" t="inlineStr">
        <is>
          <t>sp</t>
        </is>
      </c>
      <c r="B152" s="5" t="inlineStr">
        <is>
          <t>coa</t>
        </is>
      </c>
      <c r="C152" s="5" t="inlineStr">
        <is>
          <t>rod</t>
        </is>
      </c>
      <c r="D152" s="36">
        <f>INDEX(Inputs!$R$5:$R$132,MATCH($B152&amp;"|"&amp;$C152,Inputs!$A$5:$A$132,0))</f>
        <v/>
      </c>
      <c r="E152" s="37" t="n"/>
      <c r="F152" s="37" t="n"/>
      <c r="G152" s="37" t="n"/>
      <c r="H152" s="5">
        <f>INDEX(Variables!$B$5:$B$65,MATCH($A152,Variables!$A$5:$A$65,0))&amp;IF($C152="",""," | "&amp;INDEX(Mapping!$B$5:$B$25,MATCH($C152,Mapping!$A$5:$A$25,0))&amp;" | "&amp;INDEX(Mapping!$B$29:$B$38,MATCH($B152,Mapping!$A$29:$A$38,0)))</f>
        <v/>
      </c>
      <c r="I152" s="5">
        <f>INDEX(Variables!$C$5:$C$65,MATCH($A152,Variables!$A$5:$A$65,0))</f>
        <v/>
      </c>
      <c r="J152" s="5">
        <f>INDEX(Variables!$E$5:$E$65,MATCH($A152,Variables!$A$5:$A$65,0))</f>
        <v/>
      </c>
      <c r="K152" s="23">
        <f>LOWER(Settings!$C$4)&amp;".mit."&amp;$A152&amp;IF($C152="","","."&amp;$C152&amp;"."&amp;$B152)&amp;IF(INDEX(Variables!$D$5:$D$65,MATCH($A152,Variables!$A$5:$A$65,0))="","","."&amp;INDEX(Variables!$D$5:$D$65,MATCH($A152,Variables!$A$5:$A$65,0)))&amp;"."&amp;K$5</f>
        <v/>
      </c>
      <c r="L152" s="38">
        <f>INDEX(Inputs!$S$5:$S$132,MATCH($B152&amp;"|"&amp;$C152,Inputs!$A$5:$A$132,0))</f>
        <v/>
      </c>
      <c r="M152" s="36">
        <f>L152*(1+$D152)</f>
        <v/>
      </c>
      <c r="N152" s="36">
        <f>M152*(1+$D152)</f>
        <v/>
      </c>
      <c r="O152" s="36">
        <f>N152*(1+$D152)</f>
        <v/>
      </c>
      <c r="P152" s="36">
        <f>O152*(1+$D152)</f>
        <v/>
      </c>
      <c r="Q152" s="36">
        <f>P152*(1+$D152)</f>
        <v/>
      </c>
      <c r="R152" s="36">
        <f>Q152*(1+$D152)</f>
        <v/>
      </c>
      <c r="S152" s="36">
        <f>R152*(1+$D152)</f>
        <v/>
      </c>
      <c r="T152" s="36">
        <f>S152*(1+$D152)</f>
        <v/>
      </c>
      <c r="U152" s="36">
        <f>T152*(1+$D152)</f>
        <v/>
      </c>
      <c r="V152" s="36">
        <f>U152*(1+$D152)</f>
        <v/>
      </c>
      <c r="W152" s="36">
        <f>V152*(1+$D152)</f>
        <v/>
      </c>
      <c r="X152" s="36">
        <f>W152*(1+$D152)</f>
        <v/>
      </c>
      <c r="Y152" s="39">
        <f>PRETAX(X152,$D152)</f>
        <v/>
      </c>
      <c r="Z152" s="23">
        <f>LOWER(Settings!$C$4)&amp;".mit."&amp;$A152&amp;IF($C152="","","."&amp;$C152&amp;"."&amp;$B152)&amp;IF(INDEX(Variables!$D$5:$D$65,MATCH($A152,Variables!$A$5:$A$65,0))="","","."&amp;INDEX(Variables!$D$5:$D$65,MATCH($A152,Variables!$A$5:$A$65,0)))&amp;"."&amp;Z$5</f>
        <v/>
      </c>
      <c r="AA152" s="38">
        <f>INDEX(Inputs!$S$5:$S$132,MATCH($B152&amp;"|"&amp;$C152,Inputs!$A$5:$A$132,0))</f>
        <v/>
      </c>
      <c r="AB152" s="36">
        <f>AA152*(1+$D152)</f>
        <v/>
      </c>
      <c r="AC152" s="36">
        <f>AB152*(1+$D152)</f>
        <v/>
      </c>
      <c r="AD152" s="36">
        <f>AC152*(1+$D152)</f>
        <v/>
      </c>
      <c r="AE152" s="36">
        <f>AD152*(1+$D152)</f>
        <v/>
      </c>
      <c r="AF152" s="36">
        <f>AE152*(1+$D152)</f>
        <v/>
      </c>
      <c r="AG152" s="36">
        <f>AF152*(1+$D152)</f>
        <v/>
      </c>
      <c r="AH152" s="36">
        <f>AG152*(1+$D152)</f>
        <v/>
      </c>
      <c r="AI152" s="36">
        <f>AH152*(1+$D152)</f>
        <v/>
      </c>
      <c r="AJ152" s="36">
        <f>AI152*(1+$D152)</f>
        <v/>
      </c>
      <c r="AK152" s="36">
        <f>AJ152*(1+$D152)</f>
        <v/>
      </c>
      <c r="AL152" s="36">
        <f>AK152*(1+$D152)</f>
        <v/>
      </c>
      <c r="AM152" s="36">
        <f>AL152*(1+$D152)</f>
        <v/>
      </c>
      <c r="AN152" s="39">
        <f>PRETAX(AM152,$D152)</f>
        <v/>
      </c>
    </row>
    <row r="153" hidden="1" outlineLevel="2">
      <c r="A153" s="5" t="inlineStr">
        <is>
          <t>sp</t>
        </is>
      </c>
      <c r="B153" s="5" t="inlineStr">
        <is>
          <t>nga</t>
        </is>
      </c>
      <c r="C153" s="5" t="inlineStr">
        <is>
          <t>rod</t>
        </is>
      </c>
      <c r="D153" s="36">
        <f>INDEX(Inputs!$R$5:$R$132,MATCH($B153&amp;"|"&amp;$C153,Inputs!$A$5:$A$132,0))</f>
        <v/>
      </c>
      <c r="E153" s="37" t="n"/>
      <c r="F153" s="37" t="n"/>
      <c r="G153" s="37" t="n"/>
      <c r="H153" s="5">
        <f>INDEX(Variables!$B$5:$B$65,MATCH($A153,Variables!$A$5:$A$65,0))&amp;IF($C153="",""," | "&amp;INDEX(Mapping!$B$5:$B$25,MATCH($C153,Mapping!$A$5:$A$25,0))&amp;" | "&amp;INDEX(Mapping!$B$29:$B$38,MATCH($B153,Mapping!$A$29:$A$38,0)))</f>
        <v/>
      </c>
      <c r="I153" s="5">
        <f>INDEX(Variables!$C$5:$C$65,MATCH($A153,Variables!$A$5:$A$65,0))</f>
        <v/>
      </c>
      <c r="J153" s="5">
        <f>INDEX(Variables!$E$5:$E$65,MATCH($A153,Variables!$A$5:$A$65,0))</f>
        <v/>
      </c>
      <c r="K153" s="23">
        <f>LOWER(Settings!$C$4)&amp;".mit."&amp;$A153&amp;IF($C153="","","."&amp;$C153&amp;"."&amp;$B153)&amp;IF(INDEX(Variables!$D$5:$D$65,MATCH($A153,Variables!$A$5:$A$65,0))="","","."&amp;INDEX(Variables!$D$5:$D$65,MATCH($A153,Variables!$A$5:$A$65,0)))&amp;"."&amp;K$5</f>
        <v/>
      </c>
      <c r="L153" s="38">
        <f>INDEX(Inputs!$S$5:$S$132,MATCH($B153&amp;"|"&amp;$C153,Inputs!$A$5:$A$132,0))</f>
        <v/>
      </c>
      <c r="M153" s="36">
        <f>L153*(1+$D153)</f>
        <v/>
      </c>
      <c r="N153" s="36">
        <f>M153*(1+$D153)</f>
        <v/>
      </c>
      <c r="O153" s="36">
        <f>N153*(1+$D153)</f>
        <v/>
      </c>
      <c r="P153" s="36">
        <f>O153*(1+$D153)</f>
        <v/>
      </c>
      <c r="Q153" s="36">
        <f>P153*(1+$D153)</f>
        <v/>
      </c>
      <c r="R153" s="36">
        <f>Q153*(1+$D153)</f>
        <v/>
      </c>
      <c r="S153" s="36">
        <f>R153*(1+$D153)</f>
        <v/>
      </c>
      <c r="T153" s="36">
        <f>S153*(1+$D153)</f>
        <v/>
      </c>
      <c r="U153" s="36">
        <f>T153*(1+$D153)</f>
        <v/>
      </c>
      <c r="V153" s="36">
        <f>U153*(1+$D153)</f>
        <v/>
      </c>
      <c r="W153" s="36">
        <f>V153*(1+$D153)</f>
        <v/>
      </c>
      <c r="X153" s="36">
        <f>W153*(1+$D153)</f>
        <v/>
      </c>
      <c r="Y153" s="39">
        <f>PRETAX(X153,$D153)</f>
        <v/>
      </c>
      <c r="Z153" s="23">
        <f>LOWER(Settings!$C$4)&amp;".mit."&amp;$A153&amp;IF($C153="","","."&amp;$C153&amp;"."&amp;$B153)&amp;IF(INDEX(Variables!$D$5:$D$65,MATCH($A153,Variables!$A$5:$A$65,0))="","","."&amp;INDEX(Variables!$D$5:$D$65,MATCH($A153,Variables!$A$5:$A$65,0)))&amp;"."&amp;Z$5</f>
        <v/>
      </c>
      <c r="AA153" s="38">
        <f>INDEX(Inputs!$S$5:$S$132,MATCH($B153&amp;"|"&amp;$C153,Inputs!$A$5:$A$132,0))</f>
        <v/>
      </c>
      <c r="AB153" s="36">
        <f>AA153*(1+$D153)</f>
        <v/>
      </c>
      <c r="AC153" s="36">
        <f>AB153*(1+$D153)</f>
        <v/>
      </c>
      <c r="AD153" s="36">
        <f>AC153*(1+$D153)</f>
        <v/>
      </c>
      <c r="AE153" s="36">
        <f>AD153*(1+$D153)</f>
        <v/>
      </c>
      <c r="AF153" s="36">
        <f>AE153*(1+$D153)</f>
        <v/>
      </c>
      <c r="AG153" s="36">
        <f>AF153*(1+$D153)</f>
        <v/>
      </c>
      <c r="AH153" s="36">
        <f>AG153*(1+$D153)</f>
        <v/>
      </c>
      <c r="AI153" s="36">
        <f>AH153*(1+$D153)</f>
        <v/>
      </c>
      <c r="AJ153" s="36">
        <f>AI153*(1+$D153)</f>
        <v/>
      </c>
      <c r="AK153" s="36">
        <f>AJ153*(1+$D153)</f>
        <v/>
      </c>
      <c r="AL153" s="36">
        <f>AK153*(1+$D153)</f>
        <v/>
      </c>
      <c r="AM153" s="36">
        <f>AL153*(1+$D153)</f>
        <v/>
      </c>
      <c r="AN153" s="39">
        <f>PRETAX(AM153,$D153)</f>
        <v/>
      </c>
    </row>
    <row r="154" hidden="1" outlineLevel="2">
      <c r="A154" s="5" t="inlineStr">
        <is>
          <t>sp</t>
        </is>
      </c>
      <c r="B154" s="5" t="inlineStr">
        <is>
          <t>gso</t>
        </is>
      </c>
      <c r="C154" s="5" t="inlineStr">
        <is>
          <t>rod</t>
        </is>
      </c>
      <c r="D154" s="36">
        <f>INDEX(Inputs!$R$5:$R$132,MATCH($B154&amp;"|"&amp;$C154,Inputs!$A$5:$A$132,0))</f>
        <v/>
      </c>
      <c r="E154" s="37" t="n"/>
      <c r="F154" s="37" t="n"/>
      <c r="G154" s="37" t="n"/>
      <c r="H154" s="5">
        <f>INDEX(Variables!$B$5:$B$65,MATCH($A154,Variables!$A$5:$A$65,0))&amp;IF($C154="",""," | "&amp;INDEX(Mapping!$B$5:$B$25,MATCH($C154,Mapping!$A$5:$A$25,0))&amp;" | "&amp;INDEX(Mapping!$B$29:$B$38,MATCH($B154,Mapping!$A$29:$A$38,0)))</f>
        <v/>
      </c>
      <c r="I154" s="5">
        <f>INDEX(Variables!$C$5:$C$65,MATCH($A154,Variables!$A$5:$A$65,0))</f>
        <v/>
      </c>
      <c r="J154" s="5">
        <f>INDEX(Variables!$E$5:$E$65,MATCH($A154,Variables!$A$5:$A$65,0))</f>
        <v/>
      </c>
      <c r="K154" s="23">
        <f>LOWER(Settings!$C$4)&amp;".mit."&amp;$A154&amp;IF($C154="","","."&amp;$C154&amp;"."&amp;$B154)&amp;IF(INDEX(Variables!$D$5:$D$65,MATCH($A154,Variables!$A$5:$A$65,0))="","","."&amp;INDEX(Variables!$D$5:$D$65,MATCH($A154,Variables!$A$5:$A$65,0)))&amp;"."&amp;K$5</f>
        <v/>
      </c>
      <c r="L154" s="38">
        <f>INDEX(Inputs!$S$5:$S$132,MATCH($B154&amp;"|"&amp;$C154,Inputs!$A$5:$A$132,0))</f>
        <v/>
      </c>
      <c r="M154" s="36">
        <f>L154*(1+$D154)</f>
        <v/>
      </c>
      <c r="N154" s="36">
        <f>M154*(1+$D154)</f>
        <v/>
      </c>
      <c r="O154" s="36">
        <f>N154*(1+$D154)</f>
        <v/>
      </c>
      <c r="P154" s="36">
        <f>O154*(1+$D154)</f>
        <v/>
      </c>
      <c r="Q154" s="36">
        <f>P154*(1+$D154)</f>
        <v/>
      </c>
      <c r="R154" s="36">
        <f>Q154*(1+$D154)</f>
        <v/>
      </c>
      <c r="S154" s="36">
        <f>R154*(1+$D154)</f>
        <v/>
      </c>
      <c r="T154" s="36">
        <f>S154*(1+$D154)</f>
        <v/>
      </c>
      <c r="U154" s="36">
        <f>T154*(1+$D154)</f>
        <v/>
      </c>
      <c r="V154" s="36">
        <f>U154*(1+$D154)</f>
        <v/>
      </c>
      <c r="W154" s="36">
        <f>V154*(1+$D154)</f>
        <v/>
      </c>
      <c r="X154" s="36">
        <f>W154*(1+$D154)</f>
        <v/>
      </c>
      <c r="Y154" s="39">
        <f>PRETAX(X154,$D154)</f>
        <v/>
      </c>
      <c r="Z154" s="23">
        <f>LOWER(Settings!$C$4)&amp;".mit."&amp;$A154&amp;IF($C154="","","."&amp;$C154&amp;"."&amp;$B154)&amp;IF(INDEX(Variables!$D$5:$D$65,MATCH($A154,Variables!$A$5:$A$65,0))="","","."&amp;INDEX(Variables!$D$5:$D$65,MATCH($A154,Variables!$A$5:$A$65,0)))&amp;"."&amp;Z$5</f>
        <v/>
      </c>
      <c r="AA154" s="38">
        <f>INDEX(Inputs!$S$5:$S$132,MATCH($B154&amp;"|"&amp;$C154,Inputs!$A$5:$A$132,0))</f>
        <v/>
      </c>
      <c r="AB154" s="36">
        <f>AA154*(1+$D154)</f>
        <v/>
      </c>
      <c r="AC154" s="36">
        <f>AB154*(1+$D154)</f>
        <v/>
      </c>
      <c r="AD154" s="36">
        <f>AC154*(1+$D154)</f>
        <v/>
      </c>
      <c r="AE154" s="36">
        <f>AD154*(1+$D154)</f>
        <v/>
      </c>
      <c r="AF154" s="36">
        <f>AE154*(1+$D154)</f>
        <v/>
      </c>
      <c r="AG154" s="36">
        <f>AF154*(1+$D154)</f>
        <v/>
      </c>
      <c r="AH154" s="36">
        <f>AG154*(1+$D154)</f>
        <v/>
      </c>
      <c r="AI154" s="36">
        <f>AH154*(1+$D154)</f>
        <v/>
      </c>
      <c r="AJ154" s="36">
        <f>AI154*(1+$D154)</f>
        <v/>
      </c>
      <c r="AK154" s="36">
        <f>AJ154*(1+$D154)</f>
        <v/>
      </c>
      <c r="AL154" s="36">
        <f>AK154*(1+$D154)</f>
        <v/>
      </c>
      <c r="AM154" s="36">
        <f>AL154*(1+$D154)</f>
        <v/>
      </c>
      <c r="AN154" s="39">
        <f>PRETAX(AM154,$D154)</f>
        <v/>
      </c>
    </row>
    <row r="155" hidden="1" outlineLevel="2">
      <c r="A155" s="5" t="inlineStr">
        <is>
          <t>sp</t>
        </is>
      </c>
      <c r="B155" s="5" t="inlineStr">
        <is>
          <t>die</t>
        </is>
      </c>
      <c r="C155" s="5" t="inlineStr">
        <is>
          <t>rod</t>
        </is>
      </c>
      <c r="D155" s="36">
        <f>INDEX(Inputs!$R$5:$R$132,MATCH($B155&amp;"|"&amp;$C155,Inputs!$A$5:$A$132,0))</f>
        <v/>
      </c>
      <c r="E155" s="37" t="n"/>
      <c r="F155" s="37" t="n"/>
      <c r="G155" s="37" t="n"/>
      <c r="H155" s="5">
        <f>INDEX(Variables!$B$5:$B$65,MATCH($A155,Variables!$A$5:$A$65,0))&amp;IF($C155="",""," | "&amp;INDEX(Mapping!$B$5:$B$25,MATCH($C155,Mapping!$A$5:$A$25,0))&amp;" | "&amp;INDEX(Mapping!$B$29:$B$38,MATCH($B155,Mapping!$A$29:$A$38,0)))</f>
        <v/>
      </c>
      <c r="I155" s="5">
        <f>INDEX(Variables!$C$5:$C$65,MATCH($A155,Variables!$A$5:$A$65,0))</f>
        <v/>
      </c>
      <c r="J155" s="5">
        <f>INDEX(Variables!$E$5:$E$65,MATCH($A155,Variables!$A$5:$A$65,0))</f>
        <v/>
      </c>
      <c r="K155" s="23">
        <f>LOWER(Settings!$C$4)&amp;".mit."&amp;$A155&amp;IF($C155="","","."&amp;$C155&amp;"."&amp;$B155)&amp;IF(INDEX(Variables!$D$5:$D$65,MATCH($A155,Variables!$A$5:$A$65,0))="","","."&amp;INDEX(Variables!$D$5:$D$65,MATCH($A155,Variables!$A$5:$A$65,0)))&amp;"."&amp;K$5</f>
        <v/>
      </c>
      <c r="L155" s="38">
        <f>INDEX(Inputs!$S$5:$S$132,MATCH($B155&amp;"|"&amp;$C155,Inputs!$A$5:$A$132,0))</f>
        <v/>
      </c>
      <c r="M155" s="36">
        <f>L155*(1+$D155)</f>
        <v/>
      </c>
      <c r="N155" s="36">
        <f>M155*(1+$D155)</f>
        <v/>
      </c>
      <c r="O155" s="36">
        <f>N155*(1+$D155)</f>
        <v/>
      </c>
      <c r="P155" s="36">
        <f>O155*(1+$D155)</f>
        <v/>
      </c>
      <c r="Q155" s="36">
        <f>P155*(1+$D155)</f>
        <v/>
      </c>
      <c r="R155" s="36">
        <f>Q155*(1+$D155)</f>
        <v/>
      </c>
      <c r="S155" s="36">
        <f>R155*(1+$D155)</f>
        <v/>
      </c>
      <c r="T155" s="36">
        <f>S155*(1+$D155)</f>
        <v/>
      </c>
      <c r="U155" s="36">
        <f>T155*(1+$D155)</f>
        <v/>
      </c>
      <c r="V155" s="36">
        <f>U155*(1+$D155)</f>
        <v/>
      </c>
      <c r="W155" s="36">
        <f>V155*(1+$D155)</f>
        <v/>
      </c>
      <c r="X155" s="36">
        <f>W155*(1+$D155)</f>
        <v/>
      </c>
      <c r="Y155" s="39">
        <f>PRETAX(X155,$D155)</f>
        <v/>
      </c>
      <c r="Z155" s="23">
        <f>LOWER(Settings!$C$4)&amp;".mit."&amp;$A155&amp;IF($C155="","","."&amp;$C155&amp;"."&amp;$B155)&amp;IF(INDEX(Variables!$D$5:$D$65,MATCH($A155,Variables!$A$5:$A$65,0))="","","."&amp;INDEX(Variables!$D$5:$D$65,MATCH($A155,Variables!$A$5:$A$65,0)))&amp;"."&amp;Z$5</f>
        <v/>
      </c>
      <c r="AA155" s="38">
        <f>INDEX(Inputs!$S$5:$S$132,MATCH($B155&amp;"|"&amp;$C155,Inputs!$A$5:$A$132,0))</f>
        <v/>
      </c>
      <c r="AB155" s="36">
        <f>AA155*(1+$D155)</f>
        <v/>
      </c>
      <c r="AC155" s="36">
        <f>AB155*(1+$D155)</f>
        <v/>
      </c>
      <c r="AD155" s="36">
        <f>AC155*(1+$D155)</f>
        <v/>
      </c>
      <c r="AE155" s="36">
        <f>AD155*(1+$D155)</f>
        <v/>
      </c>
      <c r="AF155" s="36">
        <f>AE155*(1+$D155)</f>
        <v/>
      </c>
      <c r="AG155" s="36">
        <f>AF155*(1+$D155)</f>
        <v/>
      </c>
      <c r="AH155" s="36">
        <f>AG155*(1+$D155)</f>
        <v/>
      </c>
      <c r="AI155" s="36">
        <f>AH155*(1+$D155)</f>
        <v/>
      </c>
      <c r="AJ155" s="36">
        <f>AI155*(1+$D155)</f>
        <v/>
      </c>
      <c r="AK155" s="36">
        <f>AJ155*(1+$D155)</f>
        <v/>
      </c>
      <c r="AL155" s="36">
        <f>AK155*(1+$D155)</f>
        <v/>
      </c>
      <c r="AM155" s="36">
        <f>AL155*(1+$D155)</f>
        <v/>
      </c>
      <c r="AN155" s="39">
        <f>PRETAX(AM155,$D155)</f>
        <v/>
      </c>
    </row>
    <row r="156" hidden="1" outlineLevel="2">
      <c r="A156" s="5" t="inlineStr">
        <is>
          <t>sp</t>
        </is>
      </c>
      <c r="B156" s="5" t="inlineStr">
        <is>
          <t>lpg</t>
        </is>
      </c>
      <c r="C156" s="5" t="inlineStr">
        <is>
          <t>rod</t>
        </is>
      </c>
      <c r="D156" s="36">
        <f>INDEX(Inputs!$R$5:$R$132,MATCH($B156&amp;"|"&amp;$C156,Inputs!$A$5:$A$132,0))</f>
        <v/>
      </c>
      <c r="E156" s="37" t="n"/>
      <c r="F156" s="37" t="n"/>
      <c r="G156" s="37" t="n"/>
      <c r="H156" s="5">
        <f>INDEX(Variables!$B$5:$B$65,MATCH($A156,Variables!$A$5:$A$65,0))&amp;IF($C156="",""," | "&amp;INDEX(Mapping!$B$5:$B$25,MATCH($C156,Mapping!$A$5:$A$25,0))&amp;" | "&amp;INDEX(Mapping!$B$29:$B$38,MATCH($B156,Mapping!$A$29:$A$38,0)))</f>
        <v/>
      </c>
      <c r="I156" s="5">
        <f>INDEX(Variables!$C$5:$C$65,MATCH($A156,Variables!$A$5:$A$65,0))</f>
        <v/>
      </c>
      <c r="J156" s="5">
        <f>INDEX(Variables!$E$5:$E$65,MATCH($A156,Variables!$A$5:$A$65,0))</f>
        <v/>
      </c>
      <c r="K156" s="23">
        <f>LOWER(Settings!$C$4)&amp;".mit."&amp;$A156&amp;IF($C156="","","."&amp;$C156&amp;"."&amp;$B156)&amp;IF(INDEX(Variables!$D$5:$D$65,MATCH($A156,Variables!$A$5:$A$65,0))="","","."&amp;INDEX(Variables!$D$5:$D$65,MATCH($A156,Variables!$A$5:$A$65,0)))&amp;"."&amp;K$5</f>
        <v/>
      </c>
      <c r="L156" s="38">
        <f>INDEX(Inputs!$S$5:$S$132,MATCH($B156&amp;"|"&amp;$C156,Inputs!$A$5:$A$132,0))</f>
        <v/>
      </c>
      <c r="M156" s="36">
        <f>L156*(1+$D156)</f>
        <v/>
      </c>
      <c r="N156" s="36">
        <f>M156*(1+$D156)</f>
        <v/>
      </c>
      <c r="O156" s="36">
        <f>N156*(1+$D156)</f>
        <v/>
      </c>
      <c r="P156" s="36">
        <f>O156*(1+$D156)</f>
        <v/>
      </c>
      <c r="Q156" s="36">
        <f>P156*(1+$D156)</f>
        <v/>
      </c>
      <c r="R156" s="36">
        <f>Q156*(1+$D156)</f>
        <v/>
      </c>
      <c r="S156" s="36">
        <f>R156*(1+$D156)</f>
        <v/>
      </c>
      <c r="T156" s="36">
        <f>S156*(1+$D156)</f>
        <v/>
      </c>
      <c r="U156" s="36">
        <f>T156*(1+$D156)</f>
        <v/>
      </c>
      <c r="V156" s="36">
        <f>U156*(1+$D156)</f>
        <v/>
      </c>
      <c r="W156" s="36">
        <f>V156*(1+$D156)</f>
        <v/>
      </c>
      <c r="X156" s="36">
        <f>W156*(1+$D156)</f>
        <v/>
      </c>
      <c r="Y156" s="39">
        <f>PRETAX(X156,$D156)</f>
        <v/>
      </c>
      <c r="Z156" s="23">
        <f>LOWER(Settings!$C$4)&amp;".mit."&amp;$A156&amp;IF($C156="","","."&amp;$C156&amp;"."&amp;$B156)&amp;IF(INDEX(Variables!$D$5:$D$65,MATCH($A156,Variables!$A$5:$A$65,0))="","","."&amp;INDEX(Variables!$D$5:$D$65,MATCH($A156,Variables!$A$5:$A$65,0)))&amp;"."&amp;Z$5</f>
        <v/>
      </c>
      <c r="AA156" s="38">
        <f>INDEX(Inputs!$S$5:$S$132,MATCH($B156&amp;"|"&amp;$C156,Inputs!$A$5:$A$132,0))</f>
        <v/>
      </c>
      <c r="AB156" s="36">
        <f>AA156*(1+$D156)</f>
        <v/>
      </c>
      <c r="AC156" s="36">
        <f>AB156*(1+$D156)</f>
        <v/>
      </c>
      <c r="AD156" s="36">
        <f>AC156*(1+$D156)</f>
        <v/>
      </c>
      <c r="AE156" s="36">
        <f>AD156*(1+$D156)</f>
        <v/>
      </c>
      <c r="AF156" s="36">
        <f>AE156*(1+$D156)</f>
        <v/>
      </c>
      <c r="AG156" s="36">
        <f>AF156*(1+$D156)</f>
        <v/>
      </c>
      <c r="AH156" s="36">
        <f>AG156*(1+$D156)</f>
        <v/>
      </c>
      <c r="AI156" s="36">
        <f>AH156*(1+$D156)</f>
        <v/>
      </c>
      <c r="AJ156" s="36">
        <f>AI156*(1+$D156)</f>
        <v/>
      </c>
      <c r="AK156" s="36">
        <f>AJ156*(1+$D156)</f>
        <v/>
      </c>
      <c r="AL156" s="36">
        <f>AK156*(1+$D156)</f>
        <v/>
      </c>
      <c r="AM156" s="36">
        <f>AL156*(1+$D156)</f>
        <v/>
      </c>
      <c r="AN156" s="39">
        <f>PRETAX(AM156,$D156)</f>
        <v/>
      </c>
    </row>
    <row r="157" hidden="1" outlineLevel="2">
      <c r="A157" s="5" t="inlineStr">
        <is>
          <t>sp</t>
        </is>
      </c>
      <c r="B157" s="5" t="inlineStr">
        <is>
          <t>ker</t>
        </is>
      </c>
      <c r="C157" s="5" t="inlineStr">
        <is>
          <t>rod</t>
        </is>
      </c>
      <c r="D157" s="36">
        <f>INDEX(Inputs!$R$5:$R$132,MATCH($B157&amp;"|"&amp;$C157,Inputs!$A$5:$A$132,0))</f>
        <v/>
      </c>
      <c r="E157" s="37" t="n"/>
      <c r="F157" s="37" t="n"/>
      <c r="G157" s="37" t="n"/>
      <c r="H157" s="5">
        <f>INDEX(Variables!$B$5:$B$65,MATCH($A157,Variables!$A$5:$A$65,0))&amp;IF($C157="",""," | "&amp;INDEX(Mapping!$B$5:$B$25,MATCH($C157,Mapping!$A$5:$A$25,0))&amp;" | "&amp;INDEX(Mapping!$B$29:$B$38,MATCH($B157,Mapping!$A$29:$A$38,0)))</f>
        <v/>
      </c>
      <c r="I157" s="5">
        <f>INDEX(Variables!$C$5:$C$65,MATCH($A157,Variables!$A$5:$A$65,0))</f>
        <v/>
      </c>
      <c r="J157" s="5">
        <f>INDEX(Variables!$E$5:$E$65,MATCH($A157,Variables!$A$5:$A$65,0))</f>
        <v/>
      </c>
      <c r="K157" s="23">
        <f>LOWER(Settings!$C$4)&amp;".mit."&amp;$A157&amp;IF($C157="","","."&amp;$C157&amp;"."&amp;$B157)&amp;IF(INDEX(Variables!$D$5:$D$65,MATCH($A157,Variables!$A$5:$A$65,0))="","","."&amp;INDEX(Variables!$D$5:$D$65,MATCH($A157,Variables!$A$5:$A$65,0)))&amp;"."&amp;K$5</f>
        <v/>
      </c>
      <c r="L157" s="38">
        <f>INDEX(Inputs!$S$5:$S$132,MATCH($B157&amp;"|"&amp;$C157,Inputs!$A$5:$A$132,0))</f>
        <v/>
      </c>
      <c r="M157" s="36">
        <f>L157*(1+$D157)</f>
        <v/>
      </c>
      <c r="N157" s="36">
        <f>M157*(1+$D157)</f>
        <v/>
      </c>
      <c r="O157" s="36">
        <f>N157*(1+$D157)</f>
        <v/>
      </c>
      <c r="P157" s="36">
        <f>O157*(1+$D157)</f>
        <v/>
      </c>
      <c r="Q157" s="36">
        <f>P157*(1+$D157)</f>
        <v/>
      </c>
      <c r="R157" s="36">
        <f>Q157*(1+$D157)</f>
        <v/>
      </c>
      <c r="S157" s="36">
        <f>R157*(1+$D157)</f>
        <v/>
      </c>
      <c r="T157" s="36">
        <f>S157*(1+$D157)</f>
        <v/>
      </c>
      <c r="U157" s="36">
        <f>T157*(1+$D157)</f>
        <v/>
      </c>
      <c r="V157" s="36">
        <f>U157*(1+$D157)</f>
        <v/>
      </c>
      <c r="W157" s="36">
        <f>V157*(1+$D157)</f>
        <v/>
      </c>
      <c r="X157" s="36">
        <f>W157*(1+$D157)</f>
        <v/>
      </c>
      <c r="Y157" s="39">
        <f>PRETAX(X157,$D157)</f>
        <v/>
      </c>
      <c r="Z157" s="23">
        <f>LOWER(Settings!$C$4)&amp;".mit."&amp;$A157&amp;IF($C157="","","."&amp;$C157&amp;"."&amp;$B157)&amp;IF(INDEX(Variables!$D$5:$D$65,MATCH($A157,Variables!$A$5:$A$65,0))="","","."&amp;INDEX(Variables!$D$5:$D$65,MATCH($A157,Variables!$A$5:$A$65,0)))&amp;"."&amp;Z$5</f>
        <v/>
      </c>
      <c r="AA157" s="38">
        <f>INDEX(Inputs!$S$5:$S$132,MATCH($B157&amp;"|"&amp;$C157,Inputs!$A$5:$A$132,0))</f>
        <v/>
      </c>
      <c r="AB157" s="36">
        <f>AA157*(1+$D157)</f>
        <v/>
      </c>
      <c r="AC157" s="36">
        <f>AB157*(1+$D157)</f>
        <v/>
      </c>
      <c r="AD157" s="36">
        <f>AC157*(1+$D157)</f>
        <v/>
      </c>
      <c r="AE157" s="36">
        <f>AD157*(1+$D157)</f>
        <v/>
      </c>
      <c r="AF157" s="36">
        <f>AE157*(1+$D157)</f>
        <v/>
      </c>
      <c r="AG157" s="36">
        <f>AF157*(1+$D157)</f>
        <v/>
      </c>
      <c r="AH157" s="36">
        <f>AG157*(1+$D157)</f>
        <v/>
      </c>
      <c r="AI157" s="36">
        <f>AH157*(1+$D157)</f>
        <v/>
      </c>
      <c r="AJ157" s="36">
        <f>AI157*(1+$D157)</f>
        <v/>
      </c>
      <c r="AK157" s="36">
        <f>AJ157*(1+$D157)</f>
        <v/>
      </c>
      <c r="AL157" s="36">
        <f>AK157*(1+$D157)</f>
        <v/>
      </c>
      <c r="AM157" s="36">
        <f>AL157*(1+$D157)</f>
        <v/>
      </c>
      <c r="AN157" s="39">
        <f>PRETAX(AM157,$D157)</f>
        <v/>
      </c>
    </row>
    <row r="158" hidden="1" outlineLevel="2">
      <c r="A158" s="5" t="inlineStr">
        <is>
          <t>sp</t>
        </is>
      </c>
      <c r="B158" s="5" t="inlineStr">
        <is>
          <t>oop</t>
        </is>
      </c>
      <c r="C158" s="5" t="inlineStr">
        <is>
          <t>rod</t>
        </is>
      </c>
      <c r="D158" s="36">
        <f>INDEX(Inputs!$R$5:$R$132,MATCH($B158&amp;"|"&amp;$C158,Inputs!$A$5:$A$132,0))</f>
        <v/>
      </c>
      <c r="E158" s="37" t="n"/>
      <c r="F158" s="37" t="n"/>
      <c r="G158" s="37" t="n"/>
      <c r="H158" s="5">
        <f>INDEX(Variables!$B$5:$B$65,MATCH($A158,Variables!$A$5:$A$65,0))&amp;IF($C158="",""," | "&amp;INDEX(Mapping!$B$5:$B$25,MATCH($C158,Mapping!$A$5:$A$25,0))&amp;" | "&amp;INDEX(Mapping!$B$29:$B$38,MATCH($B158,Mapping!$A$29:$A$38,0)))</f>
        <v/>
      </c>
      <c r="I158" s="5">
        <f>INDEX(Variables!$C$5:$C$65,MATCH($A158,Variables!$A$5:$A$65,0))</f>
        <v/>
      </c>
      <c r="J158" s="5">
        <f>INDEX(Variables!$E$5:$E$65,MATCH($A158,Variables!$A$5:$A$65,0))</f>
        <v/>
      </c>
      <c r="K158" s="23">
        <f>LOWER(Settings!$C$4)&amp;".mit."&amp;$A158&amp;IF($C158="","","."&amp;$C158&amp;"."&amp;$B158)&amp;IF(INDEX(Variables!$D$5:$D$65,MATCH($A158,Variables!$A$5:$A$65,0))="","","."&amp;INDEX(Variables!$D$5:$D$65,MATCH($A158,Variables!$A$5:$A$65,0)))&amp;"."&amp;K$5</f>
        <v/>
      </c>
      <c r="L158" s="38">
        <f>INDEX(Inputs!$S$5:$S$132,MATCH($B158&amp;"|"&amp;$C158,Inputs!$A$5:$A$132,0))</f>
        <v/>
      </c>
      <c r="M158" s="36">
        <f>L158*(1+$D158)</f>
        <v/>
      </c>
      <c r="N158" s="36">
        <f>M158*(1+$D158)</f>
        <v/>
      </c>
      <c r="O158" s="36">
        <f>N158*(1+$D158)</f>
        <v/>
      </c>
      <c r="P158" s="36">
        <f>O158*(1+$D158)</f>
        <v/>
      </c>
      <c r="Q158" s="36">
        <f>P158*(1+$D158)</f>
        <v/>
      </c>
      <c r="R158" s="36">
        <f>Q158*(1+$D158)</f>
        <v/>
      </c>
      <c r="S158" s="36">
        <f>R158*(1+$D158)</f>
        <v/>
      </c>
      <c r="T158" s="36">
        <f>S158*(1+$D158)</f>
        <v/>
      </c>
      <c r="U158" s="36">
        <f>T158*(1+$D158)</f>
        <v/>
      </c>
      <c r="V158" s="36">
        <f>U158*(1+$D158)</f>
        <v/>
      </c>
      <c r="W158" s="36">
        <f>V158*(1+$D158)</f>
        <v/>
      </c>
      <c r="X158" s="36">
        <f>W158*(1+$D158)</f>
        <v/>
      </c>
      <c r="Y158" s="39">
        <f>PRETAX(X158,$D158)</f>
        <v/>
      </c>
      <c r="Z158" s="23">
        <f>LOWER(Settings!$C$4)&amp;".mit."&amp;$A158&amp;IF($C158="","","."&amp;$C158&amp;"."&amp;$B158)&amp;IF(INDEX(Variables!$D$5:$D$65,MATCH($A158,Variables!$A$5:$A$65,0))="","","."&amp;INDEX(Variables!$D$5:$D$65,MATCH($A158,Variables!$A$5:$A$65,0)))&amp;"."&amp;Z$5</f>
        <v/>
      </c>
      <c r="AA158" s="38">
        <f>INDEX(Inputs!$S$5:$S$132,MATCH($B158&amp;"|"&amp;$C158,Inputs!$A$5:$A$132,0))</f>
        <v/>
      </c>
      <c r="AB158" s="36">
        <f>AA158*(1+$D158)</f>
        <v/>
      </c>
      <c r="AC158" s="36">
        <f>AB158*(1+$D158)</f>
        <v/>
      </c>
      <c r="AD158" s="36">
        <f>AC158*(1+$D158)</f>
        <v/>
      </c>
      <c r="AE158" s="36">
        <f>AD158*(1+$D158)</f>
        <v/>
      </c>
      <c r="AF158" s="36">
        <f>AE158*(1+$D158)</f>
        <v/>
      </c>
      <c r="AG158" s="36">
        <f>AF158*(1+$D158)</f>
        <v/>
      </c>
      <c r="AH158" s="36">
        <f>AG158*(1+$D158)</f>
        <v/>
      </c>
      <c r="AI158" s="36">
        <f>AH158*(1+$D158)</f>
        <v/>
      </c>
      <c r="AJ158" s="36">
        <f>AI158*(1+$D158)</f>
        <v/>
      </c>
      <c r="AK158" s="36">
        <f>AJ158*(1+$D158)</f>
        <v/>
      </c>
      <c r="AL158" s="36">
        <f>AK158*(1+$D158)</f>
        <v/>
      </c>
      <c r="AM158" s="36">
        <f>AL158*(1+$D158)</f>
        <v/>
      </c>
      <c r="AN158" s="39">
        <f>PRETAX(AM158,$D158)</f>
        <v/>
      </c>
    </row>
    <row r="159" hidden="1" outlineLevel="2">
      <c r="A159" s="5" t="inlineStr">
        <is>
          <t>sp</t>
        </is>
      </c>
      <c r="B159" s="5" t="inlineStr">
        <is>
          <t>bio</t>
        </is>
      </c>
      <c r="C159" s="5" t="inlineStr">
        <is>
          <t>rod</t>
        </is>
      </c>
      <c r="D159" s="36">
        <f>INDEX(Inputs!$R$5:$R$132,MATCH($B159&amp;"|"&amp;$C159,Inputs!$A$5:$A$132,0))</f>
        <v/>
      </c>
      <c r="E159" s="37" t="n"/>
      <c r="F159" s="37" t="n"/>
      <c r="G159" s="37" t="n"/>
      <c r="H159" s="5">
        <f>INDEX(Variables!$B$5:$B$65,MATCH($A159,Variables!$A$5:$A$65,0))&amp;IF($C159="",""," | "&amp;INDEX(Mapping!$B$5:$B$25,MATCH($C159,Mapping!$A$5:$A$25,0))&amp;" | "&amp;INDEX(Mapping!$B$29:$B$38,MATCH($B159,Mapping!$A$29:$A$38,0)))</f>
        <v/>
      </c>
      <c r="I159" s="5">
        <f>INDEX(Variables!$C$5:$C$65,MATCH($A159,Variables!$A$5:$A$65,0))</f>
        <v/>
      </c>
      <c r="J159" s="5">
        <f>INDEX(Variables!$E$5:$E$65,MATCH($A159,Variables!$A$5:$A$65,0))</f>
        <v/>
      </c>
      <c r="K159" s="23">
        <f>LOWER(Settings!$C$4)&amp;".mit."&amp;$A159&amp;IF($C159="","","."&amp;$C159&amp;"."&amp;$B159)&amp;IF(INDEX(Variables!$D$5:$D$65,MATCH($A159,Variables!$A$5:$A$65,0))="","","."&amp;INDEX(Variables!$D$5:$D$65,MATCH($A159,Variables!$A$5:$A$65,0)))&amp;"."&amp;K$5</f>
        <v/>
      </c>
      <c r="L159" s="38">
        <f>INDEX(Inputs!$S$5:$S$132,MATCH($B159&amp;"|"&amp;$C159,Inputs!$A$5:$A$132,0))</f>
        <v/>
      </c>
      <c r="M159" s="36">
        <f>L159*(1+$D159)</f>
        <v/>
      </c>
      <c r="N159" s="36">
        <f>M159*(1+$D159)</f>
        <v/>
      </c>
      <c r="O159" s="36">
        <f>N159*(1+$D159)</f>
        <v/>
      </c>
      <c r="P159" s="36">
        <f>O159*(1+$D159)</f>
        <v/>
      </c>
      <c r="Q159" s="36">
        <f>P159*(1+$D159)</f>
        <v/>
      </c>
      <c r="R159" s="36">
        <f>Q159*(1+$D159)</f>
        <v/>
      </c>
      <c r="S159" s="36">
        <f>R159*(1+$D159)</f>
        <v/>
      </c>
      <c r="T159" s="36">
        <f>S159*(1+$D159)</f>
        <v/>
      </c>
      <c r="U159" s="36">
        <f>T159*(1+$D159)</f>
        <v/>
      </c>
      <c r="V159" s="36">
        <f>U159*(1+$D159)</f>
        <v/>
      </c>
      <c r="W159" s="36">
        <f>V159*(1+$D159)</f>
        <v/>
      </c>
      <c r="X159" s="36">
        <f>W159*(1+$D159)</f>
        <v/>
      </c>
      <c r="Y159" s="39">
        <f>PRETAX(X159,$D159)</f>
        <v/>
      </c>
      <c r="Z159" s="23">
        <f>LOWER(Settings!$C$4)&amp;".mit."&amp;$A159&amp;IF($C159="","","."&amp;$C159&amp;"."&amp;$B159)&amp;IF(INDEX(Variables!$D$5:$D$65,MATCH($A159,Variables!$A$5:$A$65,0))="","","."&amp;INDEX(Variables!$D$5:$D$65,MATCH($A159,Variables!$A$5:$A$65,0)))&amp;"."&amp;Z$5</f>
        <v/>
      </c>
      <c r="AA159" s="38">
        <f>INDEX(Inputs!$S$5:$S$132,MATCH($B159&amp;"|"&amp;$C159,Inputs!$A$5:$A$132,0))</f>
        <v/>
      </c>
      <c r="AB159" s="36">
        <f>AA159*(1+$D159)</f>
        <v/>
      </c>
      <c r="AC159" s="36">
        <f>AB159*(1+$D159)</f>
        <v/>
      </c>
      <c r="AD159" s="36">
        <f>AC159*(1+$D159)</f>
        <v/>
      </c>
      <c r="AE159" s="36">
        <f>AD159*(1+$D159)</f>
        <v/>
      </c>
      <c r="AF159" s="36">
        <f>AE159*(1+$D159)</f>
        <v/>
      </c>
      <c r="AG159" s="36">
        <f>AF159*(1+$D159)</f>
        <v/>
      </c>
      <c r="AH159" s="36">
        <f>AG159*(1+$D159)</f>
        <v/>
      </c>
      <c r="AI159" s="36">
        <f>AH159*(1+$D159)</f>
        <v/>
      </c>
      <c r="AJ159" s="36">
        <f>AI159*(1+$D159)</f>
        <v/>
      </c>
      <c r="AK159" s="36">
        <f>AJ159*(1+$D159)</f>
        <v/>
      </c>
      <c r="AL159" s="36">
        <f>AK159*(1+$D159)</f>
        <v/>
      </c>
      <c r="AM159" s="36">
        <f>AL159*(1+$D159)</f>
        <v/>
      </c>
      <c r="AN159" s="39">
        <f>PRETAX(AM159,$D159)</f>
        <v/>
      </c>
    </row>
    <row r="160" hidden="1" outlineLevel="2"/>
    <row r="161" hidden="1" outlineLevel="2">
      <c r="A161" s="5" t="inlineStr">
        <is>
          <t>ctxnew</t>
        </is>
      </c>
      <c r="B161" s="5" t="inlineStr">
        <is>
          <t>coa</t>
        </is>
      </c>
      <c r="C161" s="5" t="inlineStr">
        <is>
          <t>rod</t>
        </is>
      </c>
      <c r="D161" s="36">
        <f>INDEX(Inputs!$U$5:$U$132,MATCH($B161&amp;"|"&amp;$C161,Inputs!$A$5:$A$132,0))</f>
        <v/>
      </c>
      <c r="E161" s="36">
        <f>INDEX(Inputs!$J$5:$J$132,MATCH($B161&amp;"|"&amp;$C161,Inputs!$A$5:$A$132,0))</f>
        <v/>
      </c>
      <c r="F161" s="36">
        <f>INDEX(Inputs!$K$5:$K$132,MATCH($B161&amp;"|"&amp;$C161,Inputs!$A$5:$A$132,0))</f>
        <v/>
      </c>
      <c r="G161" s="37" t="n"/>
      <c r="H161" s="5">
        <f>INDEX(Variables!$B$5:$B$65,MATCH($A161,Variables!$A$5:$A$65,0))&amp;IF($C161="",""," | "&amp;INDEX(Mapping!$B$5:$B$25,MATCH($C161,Mapping!$A$5:$A$25,0))&amp;" | "&amp;INDEX(Mapping!$B$29:$B$38,MATCH($B161,Mapping!$A$29:$A$38,0)))</f>
        <v/>
      </c>
      <c r="I161" s="5">
        <f>INDEX(Variables!$C$5:$C$65,MATCH($A161,Variables!$A$5:$A$65,0))</f>
        <v/>
      </c>
      <c r="J161" s="5">
        <f>INDEX(Variables!$E$5:$E$65,MATCH($A161,Variables!$A$5:$A$65,0))</f>
        <v/>
      </c>
      <c r="K161" s="23">
        <f>LOWER(Settings!$C$4)&amp;".mit."&amp;$A161&amp;IF($C161="","","."&amp;$C161&amp;"."&amp;$B161)&amp;IF(INDEX(Variables!$D$5:$D$65,MATCH($A161,Variables!$A$5:$A$65,0))="","","."&amp;INDEX(Variables!$D$5:$D$65,MATCH($A161,Variables!$A$5:$A$65,0)))&amp;"."&amp;K$5</f>
        <v/>
      </c>
      <c r="L161" s="38">
        <f>L$10*$D161*INDEX(L$18:L$25,$E161)*INDEX(L$27:L$43,$F161)</f>
        <v/>
      </c>
      <c r="M161" s="36">
        <f>M$10*$D161*INDEX(M$18:M$25,$E161)*INDEX(M$27:M$43,$F161)</f>
        <v/>
      </c>
      <c r="N161" s="36">
        <f>N$10*$D161*INDEX(N$18:N$25,$E161)*INDEX(N$27:N$43,$F161)</f>
        <v/>
      </c>
      <c r="O161" s="36">
        <f>O$10*$D161*INDEX(O$18:O$25,$E161)*INDEX(O$27:O$43,$F161)</f>
        <v/>
      </c>
      <c r="P161" s="36">
        <f>P$10*$D161*INDEX(P$18:P$25,$E161)*INDEX(P$27:P$43,$F161)</f>
        <v/>
      </c>
      <c r="Q161" s="36">
        <f>Q$10*$D161*INDEX(Q$18:Q$25,$E161)*INDEX(Q$27:Q$43,$F161)</f>
        <v/>
      </c>
      <c r="R161" s="36">
        <f>R$10*$D161*INDEX(R$18:R$25,$E161)*INDEX(R$27:R$43,$F161)</f>
        <v/>
      </c>
      <c r="S161" s="36">
        <f>S$10*$D161*INDEX(S$18:S$25,$E161)*INDEX(S$27:S$43,$F161)</f>
        <v/>
      </c>
      <c r="T161" s="36">
        <f>T$10*$D161*INDEX(T$18:T$25,$E161)*INDEX(T$27:T$43,$F161)</f>
        <v/>
      </c>
      <c r="U161" s="36">
        <f>U$10*$D161*INDEX(U$18:U$25,$E161)*INDEX(U$27:U$43,$F161)</f>
        <v/>
      </c>
      <c r="V161" s="36">
        <f>V$10*$D161*INDEX(V$18:V$25,$E161)*INDEX(V$27:V$43,$F161)</f>
        <v/>
      </c>
      <c r="W161" s="36">
        <f>W$10*$D161*INDEX(W$18:W$25,$E161)*INDEX(W$27:W$43,$F161)</f>
        <v/>
      </c>
      <c r="X161" s="36">
        <f>X$10*$D161*INDEX(X$18:X$25,$E161)*INDEX(X$27:X$43,$F161)</f>
        <v/>
      </c>
      <c r="Y161" s="36">
        <f>Y$10*$D161*INDEX(Y$18:Y$25,$E161)*INDEX(Y$27:Y$43,$F161)</f>
        <v/>
      </c>
      <c r="Z161" s="23">
        <f>LOWER(Settings!$C$4)&amp;".mit."&amp;$A161&amp;IF($C161="","","."&amp;$C161&amp;"."&amp;$B161)&amp;IF(INDEX(Variables!$D$5:$D$65,MATCH($A161,Variables!$A$5:$A$65,0))="","","."&amp;INDEX(Variables!$D$5:$D$65,MATCH($A161,Variables!$A$5:$A$65,0)))&amp;"."&amp;Z$5</f>
        <v/>
      </c>
      <c r="AA161" s="38">
        <f>AA$10*$D161*INDEX(AA$18:AA$25,$E161)*INDEX(AA$27:AA$43,$F161)</f>
        <v/>
      </c>
      <c r="AB161" s="36">
        <f>AB$10*$D161*INDEX(AB$18:AB$25,$E161)*INDEX(AB$27:AB$43,$F161)</f>
        <v/>
      </c>
      <c r="AC161" s="36">
        <f>AC$10*$D161*INDEX(AC$18:AC$25,$E161)*INDEX(AC$27:AC$43,$F161)</f>
        <v/>
      </c>
      <c r="AD161" s="36">
        <f>AD$10*$D161*INDEX(AD$18:AD$25,$E161)*INDEX(AD$27:AD$43,$F161)</f>
        <v/>
      </c>
      <c r="AE161" s="36">
        <f>AE$10*$D161*INDEX(AE$18:AE$25,$E161)*INDEX(AE$27:AE$43,$F161)</f>
        <v/>
      </c>
      <c r="AF161" s="36">
        <f>AF$10*$D161*INDEX(AF$18:AF$25,$E161)*INDEX(AF$27:AF$43,$F161)</f>
        <v/>
      </c>
      <c r="AG161" s="36">
        <f>AG$10*$D161*INDEX(AG$18:AG$25,$E161)*INDEX(AG$27:AG$43,$F161)</f>
        <v/>
      </c>
      <c r="AH161" s="36">
        <f>AH$10*$D161*INDEX(AH$18:AH$25,$E161)*INDEX(AH$27:AH$43,$F161)</f>
        <v/>
      </c>
      <c r="AI161" s="36">
        <f>AI$10*$D161*INDEX(AI$18:AI$25,$E161)*INDEX(AI$27:AI$43,$F161)</f>
        <v/>
      </c>
      <c r="AJ161" s="36">
        <f>AJ$10*$D161*INDEX(AJ$18:AJ$25,$E161)*INDEX(AJ$27:AJ$43,$F161)</f>
        <v/>
      </c>
      <c r="AK161" s="36">
        <f>AK$10*$D161*INDEX(AK$18:AK$25,$E161)*INDEX(AK$27:AK$43,$F161)</f>
        <v/>
      </c>
      <c r="AL161" s="36">
        <f>AL$10*$D161*INDEX(AL$18:AL$25,$E161)*INDEX(AL$27:AL$43,$F161)</f>
        <v/>
      </c>
      <c r="AM161" s="36">
        <f>AM$10*$D161*INDEX(AM$18:AM$25,$E161)*INDEX(AM$27:AM$43,$F161)</f>
        <v/>
      </c>
      <c r="AN161" s="36">
        <f>AN$10*$D161*INDEX(AN$18:AN$25,$E161)*INDEX(AN$27:AN$43,$F161)</f>
        <v/>
      </c>
    </row>
    <row r="162" hidden="1" outlineLevel="2">
      <c r="A162" s="5" t="inlineStr">
        <is>
          <t>ctxnew</t>
        </is>
      </c>
      <c r="B162" s="5" t="inlineStr">
        <is>
          <t>nga</t>
        </is>
      </c>
      <c r="C162" s="5" t="inlineStr">
        <is>
          <t>rod</t>
        </is>
      </c>
      <c r="D162" s="36">
        <f>INDEX(Inputs!$U$5:$U$132,MATCH($B162&amp;"|"&amp;$C162,Inputs!$A$5:$A$132,0))</f>
        <v/>
      </c>
      <c r="E162" s="36">
        <f>INDEX(Inputs!$J$5:$J$132,MATCH($B162&amp;"|"&amp;$C162,Inputs!$A$5:$A$132,0))</f>
        <v/>
      </c>
      <c r="F162" s="36">
        <f>INDEX(Inputs!$K$5:$K$132,MATCH($B162&amp;"|"&amp;$C162,Inputs!$A$5:$A$132,0))</f>
        <v/>
      </c>
      <c r="G162" s="37" t="n"/>
      <c r="H162" s="5">
        <f>INDEX(Variables!$B$5:$B$65,MATCH($A162,Variables!$A$5:$A$65,0))&amp;IF($C162="",""," | "&amp;INDEX(Mapping!$B$5:$B$25,MATCH($C162,Mapping!$A$5:$A$25,0))&amp;" | "&amp;INDEX(Mapping!$B$29:$B$38,MATCH($B162,Mapping!$A$29:$A$38,0)))</f>
        <v/>
      </c>
      <c r="I162" s="5">
        <f>INDEX(Variables!$C$5:$C$65,MATCH($A162,Variables!$A$5:$A$65,0))</f>
        <v/>
      </c>
      <c r="J162" s="5">
        <f>INDEX(Variables!$E$5:$E$65,MATCH($A162,Variables!$A$5:$A$65,0))</f>
        <v/>
      </c>
      <c r="K162" s="23">
        <f>LOWER(Settings!$C$4)&amp;".mit."&amp;$A162&amp;IF($C162="","","."&amp;$C162&amp;"."&amp;$B162)&amp;IF(INDEX(Variables!$D$5:$D$65,MATCH($A162,Variables!$A$5:$A$65,0))="","","."&amp;INDEX(Variables!$D$5:$D$65,MATCH($A162,Variables!$A$5:$A$65,0)))&amp;"."&amp;K$5</f>
        <v/>
      </c>
      <c r="L162" s="38">
        <f>L$10*$D162*INDEX(L$18:L$25,$E162)*INDEX(L$27:L$43,$F162)</f>
        <v/>
      </c>
      <c r="M162" s="36">
        <f>M$10*$D162*INDEX(M$18:M$25,$E162)*INDEX(M$27:M$43,$F162)</f>
        <v/>
      </c>
      <c r="N162" s="36">
        <f>N$10*$D162*INDEX(N$18:N$25,$E162)*INDEX(N$27:N$43,$F162)</f>
        <v/>
      </c>
      <c r="O162" s="36">
        <f>O$10*$D162*INDEX(O$18:O$25,$E162)*INDEX(O$27:O$43,$F162)</f>
        <v/>
      </c>
      <c r="P162" s="36">
        <f>P$10*$D162*INDEX(P$18:P$25,$E162)*INDEX(P$27:P$43,$F162)</f>
        <v/>
      </c>
      <c r="Q162" s="36">
        <f>Q$10*$D162*INDEX(Q$18:Q$25,$E162)*INDEX(Q$27:Q$43,$F162)</f>
        <v/>
      </c>
      <c r="R162" s="36">
        <f>R$10*$D162*INDEX(R$18:R$25,$E162)*INDEX(R$27:R$43,$F162)</f>
        <v/>
      </c>
      <c r="S162" s="36">
        <f>S$10*$D162*INDEX(S$18:S$25,$E162)*INDEX(S$27:S$43,$F162)</f>
        <v/>
      </c>
      <c r="T162" s="36">
        <f>T$10*$D162*INDEX(T$18:T$25,$E162)*INDEX(T$27:T$43,$F162)</f>
        <v/>
      </c>
      <c r="U162" s="36">
        <f>U$10*$D162*INDEX(U$18:U$25,$E162)*INDEX(U$27:U$43,$F162)</f>
        <v/>
      </c>
      <c r="V162" s="36">
        <f>V$10*$D162*INDEX(V$18:V$25,$E162)*INDEX(V$27:V$43,$F162)</f>
        <v/>
      </c>
      <c r="W162" s="36">
        <f>W$10*$D162*INDEX(W$18:W$25,$E162)*INDEX(W$27:W$43,$F162)</f>
        <v/>
      </c>
      <c r="X162" s="36">
        <f>X$10*$D162*INDEX(X$18:X$25,$E162)*INDEX(X$27:X$43,$F162)</f>
        <v/>
      </c>
      <c r="Y162" s="36">
        <f>Y$10*$D162*INDEX(Y$18:Y$25,$E162)*INDEX(Y$27:Y$43,$F162)</f>
        <v/>
      </c>
      <c r="Z162" s="23">
        <f>LOWER(Settings!$C$4)&amp;".mit."&amp;$A162&amp;IF($C162="","","."&amp;$C162&amp;"."&amp;$B162)&amp;IF(INDEX(Variables!$D$5:$D$65,MATCH($A162,Variables!$A$5:$A$65,0))="","","."&amp;INDEX(Variables!$D$5:$D$65,MATCH($A162,Variables!$A$5:$A$65,0)))&amp;"."&amp;Z$5</f>
        <v/>
      </c>
      <c r="AA162" s="38">
        <f>AA$10*$D162*INDEX(AA$18:AA$25,$E162)*INDEX(AA$27:AA$43,$F162)</f>
        <v/>
      </c>
      <c r="AB162" s="36">
        <f>AB$10*$D162*INDEX(AB$18:AB$25,$E162)*INDEX(AB$27:AB$43,$F162)</f>
        <v/>
      </c>
      <c r="AC162" s="36">
        <f>AC$10*$D162*INDEX(AC$18:AC$25,$E162)*INDEX(AC$27:AC$43,$F162)</f>
        <v/>
      </c>
      <c r="AD162" s="36">
        <f>AD$10*$D162*INDEX(AD$18:AD$25,$E162)*INDEX(AD$27:AD$43,$F162)</f>
        <v/>
      </c>
      <c r="AE162" s="36">
        <f>AE$10*$D162*INDEX(AE$18:AE$25,$E162)*INDEX(AE$27:AE$43,$F162)</f>
        <v/>
      </c>
      <c r="AF162" s="36">
        <f>AF$10*$D162*INDEX(AF$18:AF$25,$E162)*INDEX(AF$27:AF$43,$F162)</f>
        <v/>
      </c>
      <c r="AG162" s="36">
        <f>AG$10*$D162*INDEX(AG$18:AG$25,$E162)*INDEX(AG$27:AG$43,$F162)</f>
        <v/>
      </c>
      <c r="AH162" s="36">
        <f>AH$10*$D162*INDEX(AH$18:AH$25,$E162)*INDEX(AH$27:AH$43,$F162)</f>
        <v/>
      </c>
      <c r="AI162" s="36">
        <f>AI$10*$D162*INDEX(AI$18:AI$25,$E162)*INDEX(AI$27:AI$43,$F162)</f>
        <v/>
      </c>
      <c r="AJ162" s="36">
        <f>AJ$10*$D162*INDEX(AJ$18:AJ$25,$E162)*INDEX(AJ$27:AJ$43,$F162)</f>
        <v/>
      </c>
      <c r="AK162" s="36">
        <f>AK$10*$D162*INDEX(AK$18:AK$25,$E162)*INDEX(AK$27:AK$43,$F162)</f>
        <v/>
      </c>
      <c r="AL162" s="36">
        <f>AL$10*$D162*INDEX(AL$18:AL$25,$E162)*INDEX(AL$27:AL$43,$F162)</f>
        <v/>
      </c>
      <c r="AM162" s="36">
        <f>AM$10*$D162*INDEX(AM$18:AM$25,$E162)*INDEX(AM$27:AM$43,$F162)</f>
        <v/>
      </c>
      <c r="AN162" s="36">
        <f>AN$10*$D162*INDEX(AN$18:AN$25,$E162)*INDEX(AN$27:AN$43,$F162)</f>
        <v/>
      </c>
    </row>
    <row r="163" hidden="1" outlineLevel="2">
      <c r="A163" s="5" t="inlineStr">
        <is>
          <t>ctxnew</t>
        </is>
      </c>
      <c r="B163" s="5" t="inlineStr">
        <is>
          <t>gso</t>
        </is>
      </c>
      <c r="C163" s="5" t="inlineStr">
        <is>
          <t>rod</t>
        </is>
      </c>
      <c r="D163" s="36">
        <f>INDEX(Inputs!$U$5:$U$132,MATCH($B163&amp;"|"&amp;$C163,Inputs!$A$5:$A$132,0))</f>
        <v/>
      </c>
      <c r="E163" s="36">
        <f>INDEX(Inputs!$J$5:$J$132,MATCH($B163&amp;"|"&amp;$C163,Inputs!$A$5:$A$132,0))</f>
        <v/>
      </c>
      <c r="F163" s="36">
        <f>INDEX(Inputs!$K$5:$K$132,MATCH($B163&amp;"|"&amp;$C163,Inputs!$A$5:$A$132,0))</f>
        <v/>
      </c>
      <c r="G163" s="37" t="n"/>
      <c r="H163" s="5">
        <f>INDEX(Variables!$B$5:$B$65,MATCH($A163,Variables!$A$5:$A$65,0))&amp;IF($C163="",""," | "&amp;INDEX(Mapping!$B$5:$B$25,MATCH($C163,Mapping!$A$5:$A$25,0))&amp;" | "&amp;INDEX(Mapping!$B$29:$B$38,MATCH($B163,Mapping!$A$29:$A$38,0)))</f>
        <v/>
      </c>
      <c r="I163" s="5">
        <f>INDEX(Variables!$C$5:$C$65,MATCH($A163,Variables!$A$5:$A$65,0))</f>
        <v/>
      </c>
      <c r="J163" s="5">
        <f>INDEX(Variables!$E$5:$E$65,MATCH($A163,Variables!$A$5:$A$65,0))</f>
        <v/>
      </c>
      <c r="K163" s="23">
        <f>LOWER(Settings!$C$4)&amp;".mit."&amp;$A163&amp;IF($C163="","","."&amp;$C163&amp;"."&amp;$B163)&amp;IF(INDEX(Variables!$D$5:$D$65,MATCH($A163,Variables!$A$5:$A$65,0))="","","."&amp;INDEX(Variables!$D$5:$D$65,MATCH($A163,Variables!$A$5:$A$65,0)))&amp;"."&amp;K$5</f>
        <v/>
      </c>
      <c r="L163" s="38">
        <f>L$10*$D163*INDEX(L$18:L$25,$E163)*INDEX(L$27:L$43,$F163)</f>
        <v/>
      </c>
      <c r="M163" s="36">
        <f>M$10*$D163*INDEX(M$18:M$25,$E163)*INDEX(M$27:M$43,$F163)</f>
        <v/>
      </c>
      <c r="N163" s="36">
        <f>N$10*$D163*INDEX(N$18:N$25,$E163)*INDEX(N$27:N$43,$F163)</f>
        <v/>
      </c>
      <c r="O163" s="36">
        <f>O$10*$D163*INDEX(O$18:O$25,$E163)*INDEX(O$27:O$43,$F163)</f>
        <v/>
      </c>
      <c r="P163" s="36">
        <f>P$10*$D163*INDEX(P$18:P$25,$E163)*INDEX(P$27:P$43,$F163)</f>
        <v/>
      </c>
      <c r="Q163" s="36">
        <f>Q$10*$D163*INDEX(Q$18:Q$25,$E163)*INDEX(Q$27:Q$43,$F163)</f>
        <v/>
      </c>
      <c r="R163" s="36">
        <f>R$10*$D163*INDEX(R$18:R$25,$E163)*INDEX(R$27:R$43,$F163)</f>
        <v/>
      </c>
      <c r="S163" s="36">
        <f>S$10*$D163*INDEX(S$18:S$25,$E163)*INDEX(S$27:S$43,$F163)</f>
        <v/>
      </c>
      <c r="T163" s="36">
        <f>T$10*$D163*INDEX(T$18:T$25,$E163)*INDEX(T$27:T$43,$F163)</f>
        <v/>
      </c>
      <c r="U163" s="36">
        <f>U$10*$D163*INDEX(U$18:U$25,$E163)*INDEX(U$27:U$43,$F163)</f>
        <v/>
      </c>
      <c r="V163" s="36">
        <f>V$10*$D163*INDEX(V$18:V$25,$E163)*INDEX(V$27:V$43,$F163)</f>
        <v/>
      </c>
      <c r="W163" s="36">
        <f>W$10*$D163*INDEX(W$18:W$25,$E163)*INDEX(W$27:W$43,$F163)</f>
        <v/>
      </c>
      <c r="X163" s="36">
        <f>X$10*$D163*INDEX(X$18:X$25,$E163)*INDEX(X$27:X$43,$F163)</f>
        <v/>
      </c>
      <c r="Y163" s="36">
        <f>Y$10*$D163*INDEX(Y$18:Y$25,$E163)*INDEX(Y$27:Y$43,$F163)</f>
        <v/>
      </c>
      <c r="Z163" s="23">
        <f>LOWER(Settings!$C$4)&amp;".mit."&amp;$A163&amp;IF($C163="","","."&amp;$C163&amp;"."&amp;$B163)&amp;IF(INDEX(Variables!$D$5:$D$65,MATCH($A163,Variables!$A$5:$A$65,0))="","","."&amp;INDEX(Variables!$D$5:$D$65,MATCH($A163,Variables!$A$5:$A$65,0)))&amp;"."&amp;Z$5</f>
        <v/>
      </c>
      <c r="AA163" s="38">
        <f>AA$10*$D163*INDEX(AA$18:AA$25,$E163)*INDEX(AA$27:AA$43,$F163)</f>
        <v/>
      </c>
      <c r="AB163" s="36">
        <f>AB$10*$D163*INDEX(AB$18:AB$25,$E163)*INDEX(AB$27:AB$43,$F163)</f>
        <v/>
      </c>
      <c r="AC163" s="36">
        <f>AC$10*$D163*INDEX(AC$18:AC$25,$E163)*INDEX(AC$27:AC$43,$F163)</f>
        <v/>
      </c>
      <c r="AD163" s="36">
        <f>AD$10*$D163*INDEX(AD$18:AD$25,$E163)*INDEX(AD$27:AD$43,$F163)</f>
        <v/>
      </c>
      <c r="AE163" s="36">
        <f>AE$10*$D163*INDEX(AE$18:AE$25,$E163)*INDEX(AE$27:AE$43,$F163)</f>
        <v/>
      </c>
      <c r="AF163" s="36">
        <f>AF$10*$D163*INDEX(AF$18:AF$25,$E163)*INDEX(AF$27:AF$43,$F163)</f>
        <v/>
      </c>
      <c r="AG163" s="36">
        <f>AG$10*$D163*INDEX(AG$18:AG$25,$E163)*INDEX(AG$27:AG$43,$F163)</f>
        <v/>
      </c>
      <c r="AH163" s="36">
        <f>AH$10*$D163*INDEX(AH$18:AH$25,$E163)*INDEX(AH$27:AH$43,$F163)</f>
        <v/>
      </c>
      <c r="AI163" s="36">
        <f>AI$10*$D163*INDEX(AI$18:AI$25,$E163)*INDEX(AI$27:AI$43,$F163)</f>
        <v/>
      </c>
      <c r="AJ163" s="36">
        <f>AJ$10*$D163*INDEX(AJ$18:AJ$25,$E163)*INDEX(AJ$27:AJ$43,$F163)</f>
        <v/>
      </c>
      <c r="AK163" s="36">
        <f>AK$10*$D163*INDEX(AK$18:AK$25,$E163)*INDEX(AK$27:AK$43,$F163)</f>
        <v/>
      </c>
      <c r="AL163" s="36">
        <f>AL$10*$D163*INDEX(AL$18:AL$25,$E163)*INDEX(AL$27:AL$43,$F163)</f>
        <v/>
      </c>
      <c r="AM163" s="36">
        <f>AM$10*$D163*INDEX(AM$18:AM$25,$E163)*INDEX(AM$27:AM$43,$F163)</f>
        <v/>
      </c>
      <c r="AN163" s="36">
        <f>AN$10*$D163*INDEX(AN$18:AN$25,$E163)*INDEX(AN$27:AN$43,$F163)</f>
        <v/>
      </c>
    </row>
    <row r="164" hidden="1" outlineLevel="2">
      <c r="A164" s="5" t="inlineStr">
        <is>
          <t>ctxnew</t>
        </is>
      </c>
      <c r="B164" s="5" t="inlineStr">
        <is>
          <t>die</t>
        </is>
      </c>
      <c r="C164" s="5" t="inlineStr">
        <is>
          <t>rod</t>
        </is>
      </c>
      <c r="D164" s="36">
        <f>INDEX(Inputs!$U$5:$U$132,MATCH($B164&amp;"|"&amp;$C164,Inputs!$A$5:$A$132,0))</f>
        <v/>
      </c>
      <c r="E164" s="36">
        <f>INDEX(Inputs!$J$5:$J$132,MATCH($B164&amp;"|"&amp;$C164,Inputs!$A$5:$A$132,0))</f>
        <v/>
      </c>
      <c r="F164" s="36">
        <f>INDEX(Inputs!$K$5:$K$132,MATCH($B164&amp;"|"&amp;$C164,Inputs!$A$5:$A$132,0))</f>
        <v/>
      </c>
      <c r="G164" s="37" t="n"/>
      <c r="H164" s="5">
        <f>INDEX(Variables!$B$5:$B$65,MATCH($A164,Variables!$A$5:$A$65,0))&amp;IF($C164="",""," | "&amp;INDEX(Mapping!$B$5:$B$25,MATCH($C164,Mapping!$A$5:$A$25,0))&amp;" | "&amp;INDEX(Mapping!$B$29:$B$38,MATCH($B164,Mapping!$A$29:$A$38,0)))</f>
        <v/>
      </c>
      <c r="I164" s="5">
        <f>INDEX(Variables!$C$5:$C$65,MATCH($A164,Variables!$A$5:$A$65,0))</f>
        <v/>
      </c>
      <c r="J164" s="5">
        <f>INDEX(Variables!$E$5:$E$65,MATCH($A164,Variables!$A$5:$A$65,0))</f>
        <v/>
      </c>
      <c r="K164" s="23">
        <f>LOWER(Settings!$C$4)&amp;".mit."&amp;$A164&amp;IF($C164="","","."&amp;$C164&amp;"."&amp;$B164)&amp;IF(INDEX(Variables!$D$5:$D$65,MATCH($A164,Variables!$A$5:$A$65,0))="","","."&amp;INDEX(Variables!$D$5:$D$65,MATCH($A164,Variables!$A$5:$A$65,0)))&amp;"."&amp;K$5</f>
        <v/>
      </c>
      <c r="L164" s="38">
        <f>L$10*$D164*INDEX(L$18:L$25,$E164)*INDEX(L$27:L$43,$F164)</f>
        <v/>
      </c>
      <c r="M164" s="36">
        <f>M$10*$D164*INDEX(M$18:M$25,$E164)*INDEX(M$27:M$43,$F164)</f>
        <v/>
      </c>
      <c r="N164" s="36">
        <f>N$10*$D164*INDEX(N$18:N$25,$E164)*INDEX(N$27:N$43,$F164)</f>
        <v/>
      </c>
      <c r="O164" s="36">
        <f>O$10*$D164*INDEX(O$18:O$25,$E164)*INDEX(O$27:O$43,$F164)</f>
        <v/>
      </c>
      <c r="P164" s="36">
        <f>P$10*$D164*INDEX(P$18:P$25,$E164)*INDEX(P$27:P$43,$F164)</f>
        <v/>
      </c>
      <c r="Q164" s="36">
        <f>Q$10*$D164*INDEX(Q$18:Q$25,$E164)*INDEX(Q$27:Q$43,$F164)</f>
        <v/>
      </c>
      <c r="R164" s="36">
        <f>R$10*$D164*INDEX(R$18:R$25,$E164)*INDEX(R$27:R$43,$F164)</f>
        <v/>
      </c>
      <c r="S164" s="36">
        <f>S$10*$D164*INDEX(S$18:S$25,$E164)*INDEX(S$27:S$43,$F164)</f>
        <v/>
      </c>
      <c r="T164" s="36">
        <f>T$10*$D164*INDEX(T$18:T$25,$E164)*INDEX(T$27:T$43,$F164)</f>
        <v/>
      </c>
      <c r="U164" s="36">
        <f>U$10*$D164*INDEX(U$18:U$25,$E164)*INDEX(U$27:U$43,$F164)</f>
        <v/>
      </c>
      <c r="V164" s="36">
        <f>V$10*$D164*INDEX(V$18:V$25,$E164)*INDEX(V$27:V$43,$F164)</f>
        <v/>
      </c>
      <c r="W164" s="36">
        <f>W$10*$D164*INDEX(W$18:W$25,$E164)*INDEX(W$27:W$43,$F164)</f>
        <v/>
      </c>
      <c r="X164" s="36">
        <f>X$10*$D164*INDEX(X$18:X$25,$E164)*INDEX(X$27:X$43,$F164)</f>
        <v/>
      </c>
      <c r="Y164" s="36">
        <f>Y$10*$D164*INDEX(Y$18:Y$25,$E164)*INDEX(Y$27:Y$43,$F164)</f>
        <v/>
      </c>
      <c r="Z164" s="23">
        <f>LOWER(Settings!$C$4)&amp;".mit."&amp;$A164&amp;IF($C164="","","."&amp;$C164&amp;"."&amp;$B164)&amp;IF(INDEX(Variables!$D$5:$D$65,MATCH($A164,Variables!$A$5:$A$65,0))="","","."&amp;INDEX(Variables!$D$5:$D$65,MATCH($A164,Variables!$A$5:$A$65,0)))&amp;"."&amp;Z$5</f>
        <v/>
      </c>
      <c r="AA164" s="38">
        <f>AA$10*$D164*INDEX(AA$18:AA$25,$E164)*INDEX(AA$27:AA$43,$F164)</f>
        <v/>
      </c>
      <c r="AB164" s="36">
        <f>AB$10*$D164*INDEX(AB$18:AB$25,$E164)*INDEX(AB$27:AB$43,$F164)</f>
        <v/>
      </c>
      <c r="AC164" s="36">
        <f>AC$10*$D164*INDEX(AC$18:AC$25,$E164)*INDEX(AC$27:AC$43,$F164)</f>
        <v/>
      </c>
      <c r="AD164" s="36">
        <f>AD$10*$D164*INDEX(AD$18:AD$25,$E164)*INDEX(AD$27:AD$43,$F164)</f>
        <v/>
      </c>
      <c r="AE164" s="36">
        <f>AE$10*$D164*INDEX(AE$18:AE$25,$E164)*INDEX(AE$27:AE$43,$F164)</f>
        <v/>
      </c>
      <c r="AF164" s="36">
        <f>AF$10*$D164*INDEX(AF$18:AF$25,$E164)*INDEX(AF$27:AF$43,$F164)</f>
        <v/>
      </c>
      <c r="AG164" s="36">
        <f>AG$10*$D164*INDEX(AG$18:AG$25,$E164)*INDEX(AG$27:AG$43,$F164)</f>
        <v/>
      </c>
      <c r="AH164" s="36">
        <f>AH$10*$D164*INDEX(AH$18:AH$25,$E164)*INDEX(AH$27:AH$43,$F164)</f>
        <v/>
      </c>
      <c r="AI164" s="36">
        <f>AI$10*$D164*INDEX(AI$18:AI$25,$E164)*INDEX(AI$27:AI$43,$F164)</f>
        <v/>
      </c>
      <c r="AJ164" s="36">
        <f>AJ$10*$D164*INDEX(AJ$18:AJ$25,$E164)*INDEX(AJ$27:AJ$43,$F164)</f>
        <v/>
      </c>
      <c r="AK164" s="36">
        <f>AK$10*$D164*INDEX(AK$18:AK$25,$E164)*INDEX(AK$27:AK$43,$F164)</f>
        <v/>
      </c>
      <c r="AL164" s="36">
        <f>AL$10*$D164*INDEX(AL$18:AL$25,$E164)*INDEX(AL$27:AL$43,$F164)</f>
        <v/>
      </c>
      <c r="AM164" s="36">
        <f>AM$10*$D164*INDEX(AM$18:AM$25,$E164)*INDEX(AM$27:AM$43,$F164)</f>
        <v/>
      </c>
      <c r="AN164" s="36">
        <f>AN$10*$D164*INDEX(AN$18:AN$25,$E164)*INDEX(AN$27:AN$43,$F164)</f>
        <v/>
      </c>
    </row>
    <row r="165" hidden="1" outlineLevel="2">
      <c r="A165" s="5" t="inlineStr">
        <is>
          <t>ctxnew</t>
        </is>
      </c>
      <c r="B165" s="5" t="inlineStr">
        <is>
          <t>lpg</t>
        </is>
      </c>
      <c r="C165" s="5" t="inlineStr">
        <is>
          <t>rod</t>
        </is>
      </c>
      <c r="D165" s="36">
        <f>INDEX(Inputs!$U$5:$U$132,MATCH($B165&amp;"|"&amp;$C165,Inputs!$A$5:$A$132,0))</f>
        <v/>
      </c>
      <c r="E165" s="36">
        <f>INDEX(Inputs!$J$5:$J$132,MATCH($B165&amp;"|"&amp;$C165,Inputs!$A$5:$A$132,0))</f>
        <v/>
      </c>
      <c r="F165" s="36">
        <f>INDEX(Inputs!$K$5:$K$132,MATCH($B165&amp;"|"&amp;$C165,Inputs!$A$5:$A$132,0))</f>
        <v/>
      </c>
      <c r="G165" s="37" t="n"/>
      <c r="H165" s="5">
        <f>INDEX(Variables!$B$5:$B$65,MATCH($A165,Variables!$A$5:$A$65,0))&amp;IF($C165="",""," | "&amp;INDEX(Mapping!$B$5:$B$25,MATCH($C165,Mapping!$A$5:$A$25,0))&amp;" | "&amp;INDEX(Mapping!$B$29:$B$38,MATCH($B165,Mapping!$A$29:$A$38,0)))</f>
        <v/>
      </c>
      <c r="I165" s="5">
        <f>INDEX(Variables!$C$5:$C$65,MATCH($A165,Variables!$A$5:$A$65,0))</f>
        <v/>
      </c>
      <c r="J165" s="5">
        <f>INDEX(Variables!$E$5:$E$65,MATCH($A165,Variables!$A$5:$A$65,0))</f>
        <v/>
      </c>
      <c r="K165" s="23">
        <f>LOWER(Settings!$C$4)&amp;".mit."&amp;$A165&amp;IF($C165="","","."&amp;$C165&amp;"."&amp;$B165)&amp;IF(INDEX(Variables!$D$5:$D$65,MATCH($A165,Variables!$A$5:$A$65,0))="","","."&amp;INDEX(Variables!$D$5:$D$65,MATCH($A165,Variables!$A$5:$A$65,0)))&amp;"."&amp;K$5</f>
        <v/>
      </c>
      <c r="L165" s="38">
        <f>L$10*$D165*INDEX(L$18:L$25,$E165)*INDEX(L$27:L$43,$F165)</f>
        <v/>
      </c>
      <c r="M165" s="36">
        <f>M$10*$D165*INDEX(M$18:M$25,$E165)*INDEX(M$27:M$43,$F165)</f>
        <v/>
      </c>
      <c r="N165" s="36">
        <f>N$10*$D165*INDEX(N$18:N$25,$E165)*INDEX(N$27:N$43,$F165)</f>
        <v/>
      </c>
      <c r="O165" s="36">
        <f>O$10*$D165*INDEX(O$18:O$25,$E165)*INDEX(O$27:O$43,$F165)</f>
        <v/>
      </c>
      <c r="P165" s="36">
        <f>P$10*$D165*INDEX(P$18:P$25,$E165)*INDEX(P$27:P$43,$F165)</f>
        <v/>
      </c>
      <c r="Q165" s="36">
        <f>Q$10*$D165*INDEX(Q$18:Q$25,$E165)*INDEX(Q$27:Q$43,$F165)</f>
        <v/>
      </c>
      <c r="R165" s="36">
        <f>R$10*$D165*INDEX(R$18:R$25,$E165)*INDEX(R$27:R$43,$F165)</f>
        <v/>
      </c>
      <c r="S165" s="36">
        <f>S$10*$D165*INDEX(S$18:S$25,$E165)*INDEX(S$27:S$43,$F165)</f>
        <v/>
      </c>
      <c r="T165" s="36">
        <f>T$10*$D165*INDEX(T$18:T$25,$E165)*INDEX(T$27:T$43,$F165)</f>
        <v/>
      </c>
      <c r="U165" s="36">
        <f>U$10*$D165*INDEX(U$18:U$25,$E165)*INDEX(U$27:U$43,$F165)</f>
        <v/>
      </c>
      <c r="V165" s="36">
        <f>V$10*$D165*INDEX(V$18:V$25,$E165)*INDEX(V$27:V$43,$F165)</f>
        <v/>
      </c>
      <c r="W165" s="36">
        <f>W$10*$D165*INDEX(W$18:W$25,$E165)*INDEX(W$27:W$43,$F165)</f>
        <v/>
      </c>
      <c r="X165" s="36">
        <f>X$10*$D165*INDEX(X$18:X$25,$E165)*INDEX(X$27:X$43,$F165)</f>
        <v/>
      </c>
      <c r="Y165" s="36">
        <f>Y$10*$D165*INDEX(Y$18:Y$25,$E165)*INDEX(Y$27:Y$43,$F165)</f>
        <v/>
      </c>
      <c r="Z165" s="23">
        <f>LOWER(Settings!$C$4)&amp;".mit."&amp;$A165&amp;IF($C165="","","."&amp;$C165&amp;"."&amp;$B165)&amp;IF(INDEX(Variables!$D$5:$D$65,MATCH($A165,Variables!$A$5:$A$65,0))="","","."&amp;INDEX(Variables!$D$5:$D$65,MATCH($A165,Variables!$A$5:$A$65,0)))&amp;"."&amp;Z$5</f>
        <v/>
      </c>
      <c r="AA165" s="38">
        <f>AA$10*$D165*INDEX(AA$18:AA$25,$E165)*INDEX(AA$27:AA$43,$F165)</f>
        <v/>
      </c>
      <c r="AB165" s="36">
        <f>AB$10*$D165*INDEX(AB$18:AB$25,$E165)*INDEX(AB$27:AB$43,$F165)</f>
        <v/>
      </c>
      <c r="AC165" s="36">
        <f>AC$10*$D165*INDEX(AC$18:AC$25,$E165)*INDEX(AC$27:AC$43,$F165)</f>
        <v/>
      </c>
      <c r="AD165" s="36">
        <f>AD$10*$D165*INDEX(AD$18:AD$25,$E165)*INDEX(AD$27:AD$43,$F165)</f>
        <v/>
      </c>
      <c r="AE165" s="36">
        <f>AE$10*$D165*INDEX(AE$18:AE$25,$E165)*INDEX(AE$27:AE$43,$F165)</f>
        <v/>
      </c>
      <c r="AF165" s="36">
        <f>AF$10*$D165*INDEX(AF$18:AF$25,$E165)*INDEX(AF$27:AF$43,$F165)</f>
        <v/>
      </c>
      <c r="AG165" s="36">
        <f>AG$10*$D165*INDEX(AG$18:AG$25,$E165)*INDEX(AG$27:AG$43,$F165)</f>
        <v/>
      </c>
      <c r="AH165" s="36">
        <f>AH$10*$D165*INDEX(AH$18:AH$25,$E165)*INDEX(AH$27:AH$43,$F165)</f>
        <v/>
      </c>
      <c r="AI165" s="36">
        <f>AI$10*$D165*INDEX(AI$18:AI$25,$E165)*INDEX(AI$27:AI$43,$F165)</f>
        <v/>
      </c>
      <c r="AJ165" s="36">
        <f>AJ$10*$D165*INDEX(AJ$18:AJ$25,$E165)*INDEX(AJ$27:AJ$43,$F165)</f>
        <v/>
      </c>
      <c r="AK165" s="36">
        <f>AK$10*$D165*INDEX(AK$18:AK$25,$E165)*INDEX(AK$27:AK$43,$F165)</f>
        <v/>
      </c>
      <c r="AL165" s="36">
        <f>AL$10*$D165*INDEX(AL$18:AL$25,$E165)*INDEX(AL$27:AL$43,$F165)</f>
        <v/>
      </c>
      <c r="AM165" s="36">
        <f>AM$10*$D165*INDEX(AM$18:AM$25,$E165)*INDEX(AM$27:AM$43,$F165)</f>
        <v/>
      </c>
      <c r="AN165" s="36">
        <f>AN$10*$D165*INDEX(AN$18:AN$25,$E165)*INDEX(AN$27:AN$43,$F165)</f>
        <v/>
      </c>
    </row>
    <row r="166" hidden="1" outlineLevel="2">
      <c r="A166" s="5" t="inlineStr">
        <is>
          <t>ctxnew</t>
        </is>
      </c>
      <c r="B166" s="5" t="inlineStr">
        <is>
          <t>ker</t>
        </is>
      </c>
      <c r="C166" s="5" t="inlineStr">
        <is>
          <t>rod</t>
        </is>
      </c>
      <c r="D166" s="36">
        <f>INDEX(Inputs!$U$5:$U$132,MATCH($B166&amp;"|"&amp;$C166,Inputs!$A$5:$A$132,0))</f>
        <v/>
      </c>
      <c r="E166" s="36">
        <f>INDEX(Inputs!$J$5:$J$132,MATCH($B166&amp;"|"&amp;$C166,Inputs!$A$5:$A$132,0))</f>
        <v/>
      </c>
      <c r="F166" s="36">
        <f>INDEX(Inputs!$K$5:$K$132,MATCH($B166&amp;"|"&amp;$C166,Inputs!$A$5:$A$132,0))</f>
        <v/>
      </c>
      <c r="G166" s="37" t="n"/>
      <c r="H166" s="5">
        <f>INDEX(Variables!$B$5:$B$65,MATCH($A166,Variables!$A$5:$A$65,0))&amp;IF($C166="",""," | "&amp;INDEX(Mapping!$B$5:$B$25,MATCH($C166,Mapping!$A$5:$A$25,0))&amp;" | "&amp;INDEX(Mapping!$B$29:$B$38,MATCH($B166,Mapping!$A$29:$A$38,0)))</f>
        <v/>
      </c>
      <c r="I166" s="5">
        <f>INDEX(Variables!$C$5:$C$65,MATCH($A166,Variables!$A$5:$A$65,0))</f>
        <v/>
      </c>
      <c r="J166" s="5">
        <f>INDEX(Variables!$E$5:$E$65,MATCH($A166,Variables!$A$5:$A$65,0))</f>
        <v/>
      </c>
      <c r="K166" s="23">
        <f>LOWER(Settings!$C$4)&amp;".mit."&amp;$A166&amp;IF($C166="","","."&amp;$C166&amp;"."&amp;$B166)&amp;IF(INDEX(Variables!$D$5:$D$65,MATCH($A166,Variables!$A$5:$A$65,0))="","","."&amp;INDEX(Variables!$D$5:$D$65,MATCH($A166,Variables!$A$5:$A$65,0)))&amp;"."&amp;K$5</f>
        <v/>
      </c>
      <c r="L166" s="38">
        <f>L$10*$D166*INDEX(L$18:L$25,$E166)*INDEX(L$27:L$43,$F166)</f>
        <v/>
      </c>
      <c r="M166" s="36">
        <f>M$10*$D166*INDEX(M$18:M$25,$E166)*INDEX(M$27:M$43,$F166)</f>
        <v/>
      </c>
      <c r="N166" s="36">
        <f>N$10*$D166*INDEX(N$18:N$25,$E166)*INDEX(N$27:N$43,$F166)</f>
        <v/>
      </c>
      <c r="O166" s="36">
        <f>O$10*$D166*INDEX(O$18:O$25,$E166)*INDEX(O$27:O$43,$F166)</f>
        <v/>
      </c>
      <c r="P166" s="36">
        <f>P$10*$D166*INDEX(P$18:P$25,$E166)*INDEX(P$27:P$43,$F166)</f>
        <v/>
      </c>
      <c r="Q166" s="36">
        <f>Q$10*$D166*INDEX(Q$18:Q$25,$E166)*INDEX(Q$27:Q$43,$F166)</f>
        <v/>
      </c>
      <c r="R166" s="36">
        <f>R$10*$D166*INDEX(R$18:R$25,$E166)*INDEX(R$27:R$43,$F166)</f>
        <v/>
      </c>
      <c r="S166" s="36">
        <f>S$10*$D166*INDEX(S$18:S$25,$E166)*INDEX(S$27:S$43,$F166)</f>
        <v/>
      </c>
      <c r="T166" s="36">
        <f>T$10*$D166*INDEX(T$18:T$25,$E166)*INDEX(T$27:T$43,$F166)</f>
        <v/>
      </c>
      <c r="U166" s="36">
        <f>U$10*$D166*INDEX(U$18:U$25,$E166)*INDEX(U$27:U$43,$F166)</f>
        <v/>
      </c>
      <c r="V166" s="36">
        <f>V$10*$D166*INDEX(V$18:V$25,$E166)*INDEX(V$27:V$43,$F166)</f>
        <v/>
      </c>
      <c r="W166" s="36">
        <f>W$10*$D166*INDEX(W$18:W$25,$E166)*INDEX(W$27:W$43,$F166)</f>
        <v/>
      </c>
      <c r="X166" s="36">
        <f>X$10*$D166*INDEX(X$18:X$25,$E166)*INDEX(X$27:X$43,$F166)</f>
        <v/>
      </c>
      <c r="Y166" s="36">
        <f>Y$10*$D166*INDEX(Y$18:Y$25,$E166)*INDEX(Y$27:Y$43,$F166)</f>
        <v/>
      </c>
      <c r="Z166" s="23">
        <f>LOWER(Settings!$C$4)&amp;".mit."&amp;$A166&amp;IF($C166="","","."&amp;$C166&amp;"."&amp;$B166)&amp;IF(INDEX(Variables!$D$5:$D$65,MATCH($A166,Variables!$A$5:$A$65,0))="","","."&amp;INDEX(Variables!$D$5:$D$65,MATCH($A166,Variables!$A$5:$A$65,0)))&amp;"."&amp;Z$5</f>
        <v/>
      </c>
      <c r="AA166" s="38">
        <f>AA$10*$D166*INDEX(AA$18:AA$25,$E166)*INDEX(AA$27:AA$43,$F166)</f>
        <v/>
      </c>
      <c r="AB166" s="36">
        <f>AB$10*$D166*INDEX(AB$18:AB$25,$E166)*INDEX(AB$27:AB$43,$F166)</f>
        <v/>
      </c>
      <c r="AC166" s="36">
        <f>AC$10*$D166*INDEX(AC$18:AC$25,$E166)*INDEX(AC$27:AC$43,$F166)</f>
        <v/>
      </c>
      <c r="AD166" s="36">
        <f>AD$10*$D166*INDEX(AD$18:AD$25,$E166)*INDEX(AD$27:AD$43,$F166)</f>
        <v/>
      </c>
      <c r="AE166" s="36">
        <f>AE$10*$D166*INDEX(AE$18:AE$25,$E166)*INDEX(AE$27:AE$43,$F166)</f>
        <v/>
      </c>
      <c r="AF166" s="36">
        <f>AF$10*$D166*INDEX(AF$18:AF$25,$E166)*INDEX(AF$27:AF$43,$F166)</f>
        <v/>
      </c>
      <c r="AG166" s="36">
        <f>AG$10*$D166*INDEX(AG$18:AG$25,$E166)*INDEX(AG$27:AG$43,$F166)</f>
        <v/>
      </c>
      <c r="AH166" s="36">
        <f>AH$10*$D166*INDEX(AH$18:AH$25,$E166)*INDEX(AH$27:AH$43,$F166)</f>
        <v/>
      </c>
      <c r="AI166" s="36">
        <f>AI$10*$D166*INDEX(AI$18:AI$25,$E166)*INDEX(AI$27:AI$43,$F166)</f>
        <v/>
      </c>
      <c r="AJ166" s="36">
        <f>AJ$10*$D166*INDEX(AJ$18:AJ$25,$E166)*INDEX(AJ$27:AJ$43,$F166)</f>
        <v/>
      </c>
      <c r="AK166" s="36">
        <f>AK$10*$D166*INDEX(AK$18:AK$25,$E166)*INDEX(AK$27:AK$43,$F166)</f>
        <v/>
      </c>
      <c r="AL166" s="36">
        <f>AL$10*$D166*INDEX(AL$18:AL$25,$E166)*INDEX(AL$27:AL$43,$F166)</f>
        <v/>
      </c>
      <c r="AM166" s="36">
        <f>AM$10*$D166*INDEX(AM$18:AM$25,$E166)*INDEX(AM$27:AM$43,$F166)</f>
        <v/>
      </c>
      <c r="AN166" s="36">
        <f>AN$10*$D166*INDEX(AN$18:AN$25,$E166)*INDEX(AN$27:AN$43,$F166)</f>
        <v/>
      </c>
    </row>
    <row r="167" hidden="1" outlineLevel="2">
      <c r="A167" s="5" t="inlineStr">
        <is>
          <t>ctxnew</t>
        </is>
      </c>
      <c r="B167" s="5" t="inlineStr">
        <is>
          <t>oop</t>
        </is>
      </c>
      <c r="C167" s="5" t="inlineStr">
        <is>
          <t>rod</t>
        </is>
      </c>
      <c r="D167" s="36">
        <f>INDEX(Inputs!$U$5:$U$132,MATCH($B167&amp;"|"&amp;$C167,Inputs!$A$5:$A$132,0))</f>
        <v/>
      </c>
      <c r="E167" s="36">
        <f>INDEX(Inputs!$J$5:$J$132,MATCH($B167&amp;"|"&amp;$C167,Inputs!$A$5:$A$132,0))</f>
        <v/>
      </c>
      <c r="F167" s="36">
        <f>INDEX(Inputs!$K$5:$K$132,MATCH($B167&amp;"|"&amp;$C167,Inputs!$A$5:$A$132,0))</f>
        <v/>
      </c>
      <c r="G167" s="37" t="n"/>
      <c r="H167" s="5">
        <f>INDEX(Variables!$B$5:$B$65,MATCH($A167,Variables!$A$5:$A$65,0))&amp;IF($C167="",""," | "&amp;INDEX(Mapping!$B$5:$B$25,MATCH($C167,Mapping!$A$5:$A$25,0))&amp;" | "&amp;INDEX(Mapping!$B$29:$B$38,MATCH($B167,Mapping!$A$29:$A$38,0)))</f>
        <v/>
      </c>
      <c r="I167" s="5">
        <f>INDEX(Variables!$C$5:$C$65,MATCH($A167,Variables!$A$5:$A$65,0))</f>
        <v/>
      </c>
      <c r="J167" s="5">
        <f>INDEX(Variables!$E$5:$E$65,MATCH($A167,Variables!$A$5:$A$65,0))</f>
        <v/>
      </c>
      <c r="K167" s="23">
        <f>LOWER(Settings!$C$4)&amp;".mit."&amp;$A167&amp;IF($C167="","","."&amp;$C167&amp;"."&amp;$B167)&amp;IF(INDEX(Variables!$D$5:$D$65,MATCH($A167,Variables!$A$5:$A$65,0))="","","."&amp;INDEX(Variables!$D$5:$D$65,MATCH($A167,Variables!$A$5:$A$65,0)))&amp;"."&amp;K$5</f>
        <v/>
      </c>
      <c r="L167" s="38">
        <f>L$10*$D167*INDEX(L$18:L$25,$E167)*INDEX(L$27:L$43,$F167)</f>
        <v/>
      </c>
      <c r="M167" s="36">
        <f>M$10*$D167*INDEX(M$18:M$25,$E167)*INDEX(M$27:M$43,$F167)</f>
        <v/>
      </c>
      <c r="N167" s="36">
        <f>N$10*$D167*INDEX(N$18:N$25,$E167)*INDEX(N$27:N$43,$F167)</f>
        <v/>
      </c>
      <c r="O167" s="36">
        <f>O$10*$D167*INDEX(O$18:O$25,$E167)*INDEX(O$27:O$43,$F167)</f>
        <v/>
      </c>
      <c r="P167" s="36">
        <f>P$10*$D167*INDEX(P$18:P$25,$E167)*INDEX(P$27:P$43,$F167)</f>
        <v/>
      </c>
      <c r="Q167" s="36">
        <f>Q$10*$D167*INDEX(Q$18:Q$25,$E167)*INDEX(Q$27:Q$43,$F167)</f>
        <v/>
      </c>
      <c r="R167" s="36">
        <f>R$10*$D167*INDEX(R$18:R$25,$E167)*INDEX(R$27:R$43,$F167)</f>
        <v/>
      </c>
      <c r="S167" s="36">
        <f>S$10*$D167*INDEX(S$18:S$25,$E167)*INDEX(S$27:S$43,$F167)</f>
        <v/>
      </c>
      <c r="T167" s="36">
        <f>T$10*$D167*INDEX(T$18:T$25,$E167)*INDEX(T$27:T$43,$F167)</f>
        <v/>
      </c>
      <c r="U167" s="36">
        <f>U$10*$D167*INDEX(U$18:U$25,$E167)*INDEX(U$27:U$43,$F167)</f>
        <v/>
      </c>
      <c r="V167" s="36">
        <f>V$10*$D167*INDEX(V$18:V$25,$E167)*INDEX(V$27:V$43,$F167)</f>
        <v/>
      </c>
      <c r="W167" s="36">
        <f>W$10*$D167*INDEX(W$18:W$25,$E167)*INDEX(W$27:W$43,$F167)</f>
        <v/>
      </c>
      <c r="X167" s="36">
        <f>X$10*$D167*INDEX(X$18:X$25,$E167)*INDEX(X$27:X$43,$F167)</f>
        <v/>
      </c>
      <c r="Y167" s="36">
        <f>Y$10*$D167*INDEX(Y$18:Y$25,$E167)*INDEX(Y$27:Y$43,$F167)</f>
        <v/>
      </c>
      <c r="Z167" s="23">
        <f>LOWER(Settings!$C$4)&amp;".mit."&amp;$A167&amp;IF($C167="","","."&amp;$C167&amp;"."&amp;$B167)&amp;IF(INDEX(Variables!$D$5:$D$65,MATCH($A167,Variables!$A$5:$A$65,0))="","","."&amp;INDEX(Variables!$D$5:$D$65,MATCH($A167,Variables!$A$5:$A$65,0)))&amp;"."&amp;Z$5</f>
        <v/>
      </c>
      <c r="AA167" s="38">
        <f>AA$10*$D167*INDEX(AA$18:AA$25,$E167)*INDEX(AA$27:AA$43,$F167)</f>
        <v/>
      </c>
      <c r="AB167" s="36">
        <f>AB$10*$D167*INDEX(AB$18:AB$25,$E167)*INDEX(AB$27:AB$43,$F167)</f>
        <v/>
      </c>
      <c r="AC167" s="36">
        <f>AC$10*$D167*INDEX(AC$18:AC$25,$E167)*INDEX(AC$27:AC$43,$F167)</f>
        <v/>
      </c>
      <c r="AD167" s="36">
        <f>AD$10*$D167*INDEX(AD$18:AD$25,$E167)*INDEX(AD$27:AD$43,$F167)</f>
        <v/>
      </c>
      <c r="AE167" s="36">
        <f>AE$10*$D167*INDEX(AE$18:AE$25,$E167)*INDEX(AE$27:AE$43,$F167)</f>
        <v/>
      </c>
      <c r="AF167" s="36">
        <f>AF$10*$D167*INDEX(AF$18:AF$25,$E167)*INDEX(AF$27:AF$43,$F167)</f>
        <v/>
      </c>
      <c r="AG167" s="36">
        <f>AG$10*$D167*INDEX(AG$18:AG$25,$E167)*INDEX(AG$27:AG$43,$F167)</f>
        <v/>
      </c>
      <c r="AH167" s="36">
        <f>AH$10*$D167*INDEX(AH$18:AH$25,$E167)*INDEX(AH$27:AH$43,$F167)</f>
        <v/>
      </c>
      <c r="AI167" s="36">
        <f>AI$10*$D167*INDEX(AI$18:AI$25,$E167)*INDEX(AI$27:AI$43,$F167)</f>
        <v/>
      </c>
      <c r="AJ167" s="36">
        <f>AJ$10*$D167*INDEX(AJ$18:AJ$25,$E167)*INDEX(AJ$27:AJ$43,$F167)</f>
        <v/>
      </c>
      <c r="AK167" s="36">
        <f>AK$10*$D167*INDEX(AK$18:AK$25,$E167)*INDEX(AK$27:AK$43,$F167)</f>
        <v/>
      </c>
      <c r="AL167" s="36">
        <f>AL$10*$D167*INDEX(AL$18:AL$25,$E167)*INDEX(AL$27:AL$43,$F167)</f>
        <v/>
      </c>
      <c r="AM167" s="36">
        <f>AM$10*$D167*INDEX(AM$18:AM$25,$E167)*INDEX(AM$27:AM$43,$F167)</f>
        <v/>
      </c>
      <c r="AN167" s="36">
        <f>AN$10*$D167*INDEX(AN$18:AN$25,$E167)*INDEX(AN$27:AN$43,$F167)</f>
        <v/>
      </c>
    </row>
    <row r="168" hidden="1" outlineLevel="2">
      <c r="A168" s="5" t="inlineStr">
        <is>
          <t>ctxnew</t>
        </is>
      </c>
      <c r="B168" s="5" t="inlineStr">
        <is>
          <t>bio</t>
        </is>
      </c>
      <c r="C168" s="5" t="inlineStr">
        <is>
          <t>rod</t>
        </is>
      </c>
      <c r="D168" s="36">
        <f>INDEX(Inputs!$U$5:$U$132,MATCH($B168&amp;"|"&amp;$C168,Inputs!$A$5:$A$132,0))</f>
        <v/>
      </c>
      <c r="E168" s="36">
        <f>INDEX(Inputs!$J$5:$J$132,MATCH($B168&amp;"|"&amp;$C168,Inputs!$A$5:$A$132,0))</f>
        <v/>
      </c>
      <c r="F168" s="36">
        <f>INDEX(Inputs!$K$5:$K$132,MATCH($B168&amp;"|"&amp;$C168,Inputs!$A$5:$A$132,0))</f>
        <v/>
      </c>
      <c r="G168" s="37" t="n"/>
      <c r="H168" s="5">
        <f>INDEX(Variables!$B$5:$B$65,MATCH($A168,Variables!$A$5:$A$65,0))&amp;IF($C168="",""," | "&amp;INDEX(Mapping!$B$5:$B$25,MATCH($C168,Mapping!$A$5:$A$25,0))&amp;" | "&amp;INDEX(Mapping!$B$29:$B$38,MATCH($B168,Mapping!$A$29:$A$38,0)))</f>
        <v/>
      </c>
      <c r="I168" s="5">
        <f>INDEX(Variables!$C$5:$C$65,MATCH($A168,Variables!$A$5:$A$65,0))</f>
        <v/>
      </c>
      <c r="J168" s="5">
        <f>INDEX(Variables!$E$5:$E$65,MATCH($A168,Variables!$A$5:$A$65,0))</f>
        <v/>
      </c>
      <c r="K168" s="23">
        <f>LOWER(Settings!$C$4)&amp;".mit."&amp;$A168&amp;IF($C168="","","."&amp;$C168&amp;"."&amp;$B168)&amp;IF(INDEX(Variables!$D$5:$D$65,MATCH($A168,Variables!$A$5:$A$65,0))="","","."&amp;INDEX(Variables!$D$5:$D$65,MATCH($A168,Variables!$A$5:$A$65,0)))&amp;"."&amp;K$5</f>
        <v/>
      </c>
      <c r="L168" s="38">
        <f>L$10*$D168*INDEX(L$18:L$25,$E168)*INDEX(L$27:L$43,$F168)</f>
        <v/>
      </c>
      <c r="M168" s="36">
        <f>M$10*$D168*INDEX(M$18:M$25,$E168)*INDEX(M$27:M$43,$F168)</f>
        <v/>
      </c>
      <c r="N168" s="36">
        <f>N$10*$D168*INDEX(N$18:N$25,$E168)*INDEX(N$27:N$43,$F168)</f>
        <v/>
      </c>
      <c r="O168" s="36">
        <f>O$10*$D168*INDEX(O$18:O$25,$E168)*INDEX(O$27:O$43,$F168)</f>
        <v/>
      </c>
      <c r="P168" s="36">
        <f>P$10*$D168*INDEX(P$18:P$25,$E168)*INDEX(P$27:P$43,$F168)</f>
        <v/>
      </c>
      <c r="Q168" s="36">
        <f>Q$10*$D168*INDEX(Q$18:Q$25,$E168)*INDEX(Q$27:Q$43,$F168)</f>
        <v/>
      </c>
      <c r="R168" s="36">
        <f>R$10*$D168*INDEX(R$18:R$25,$E168)*INDEX(R$27:R$43,$F168)</f>
        <v/>
      </c>
      <c r="S168" s="36">
        <f>S$10*$D168*INDEX(S$18:S$25,$E168)*INDEX(S$27:S$43,$F168)</f>
        <v/>
      </c>
      <c r="T168" s="36">
        <f>T$10*$D168*INDEX(T$18:T$25,$E168)*INDEX(T$27:T$43,$F168)</f>
        <v/>
      </c>
      <c r="U168" s="36">
        <f>U$10*$D168*INDEX(U$18:U$25,$E168)*INDEX(U$27:U$43,$F168)</f>
        <v/>
      </c>
      <c r="V168" s="36">
        <f>V$10*$D168*INDEX(V$18:V$25,$E168)*INDEX(V$27:V$43,$F168)</f>
        <v/>
      </c>
      <c r="W168" s="36">
        <f>W$10*$D168*INDEX(W$18:W$25,$E168)*INDEX(W$27:W$43,$F168)</f>
        <v/>
      </c>
      <c r="X168" s="36">
        <f>X$10*$D168*INDEX(X$18:X$25,$E168)*INDEX(X$27:X$43,$F168)</f>
        <v/>
      </c>
      <c r="Y168" s="36">
        <f>Y$10*$D168*INDEX(Y$18:Y$25,$E168)*INDEX(Y$27:Y$43,$F168)</f>
        <v/>
      </c>
      <c r="Z168" s="23">
        <f>LOWER(Settings!$C$4)&amp;".mit."&amp;$A168&amp;IF($C168="","","."&amp;$C168&amp;"."&amp;$B168)&amp;IF(INDEX(Variables!$D$5:$D$65,MATCH($A168,Variables!$A$5:$A$65,0))="","","."&amp;INDEX(Variables!$D$5:$D$65,MATCH($A168,Variables!$A$5:$A$65,0)))&amp;"."&amp;Z$5</f>
        <v/>
      </c>
      <c r="AA168" s="38">
        <f>AA$10*$D168*INDEX(AA$18:AA$25,$E168)*INDEX(AA$27:AA$43,$F168)</f>
        <v/>
      </c>
      <c r="AB168" s="36">
        <f>AB$10*$D168*INDEX(AB$18:AB$25,$E168)*INDEX(AB$27:AB$43,$F168)</f>
        <v/>
      </c>
      <c r="AC168" s="36">
        <f>AC$10*$D168*INDEX(AC$18:AC$25,$E168)*INDEX(AC$27:AC$43,$F168)</f>
        <v/>
      </c>
      <c r="AD168" s="36">
        <f>AD$10*$D168*INDEX(AD$18:AD$25,$E168)*INDEX(AD$27:AD$43,$F168)</f>
        <v/>
      </c>
      <c r="AE168" s="36">
        <f>AE$10*$D168*INDEX(AE$18:AE$25,$E168)*INDEX(AE$27:AE$43,$F168)</f>
        <v/>
      </c>
      <c r="AF168" s="36">
        <f>AF$10*$D168*INDEX(AF$18:AF$25,$E168)*INDEX(AF$27:AF$43,$F168)</f>
        <v/>
      </c>
      <c r="AG168" s="36">
        <f>AG$10*$D168*INDEX(AG$18:AG$25,$E168)*INDEX(AG$27:AG$43,$F168)</f>
        <v/>
      </c>
      <c r="AH168" s="36">
        <f>AH$10*$D168*INDEX(AH$18:AH$25,$E168)*INDEX(AH$27:AH$43,$F168)</f>
        <v/>
      </c>
      <c r="AI168" s="36">
        <f>AI$10*$D168*INDEX(AI$18:AI$25,$E168)*INDEX(AI$27:AI$43,$F168)</f>
        <v/>
      </c>
      <c r="AJ168" s="36">
        <f>AJ$10*$D168*INDEX(AJ$18:AJ$25,$E168)*INDEX(AJ$27:AJ$43,$F168)</f>
        <v/>
      </c>
      <c r="AK168" s="36">
        <f>AK$10*$D168*INDEX(AK$18:AK$25,$E168)*INDEX(AK$27:AK$43,$F168)</f>
        <v/>
      </c>
      <c r="AL168" s="36">
        <f>AL$10*$D168*INDEX(AL$18:AL$25,$E168)*INDEX(AL$27:AL$43,$F168)</f>
        <v/>
      </c>
      <c r="AM168" s="36">
        <f>AM$10*$D168*INDEX(AM$18:AM$25,$E168)*INDEX(AM$27:AM$43,$F168)</f>
        <v/>
      </c>
      <c r="AN168" s="36">
        <f>AN$10*$D168*INDEX(AN$18:AN$25,$E168)*INDEX(AN$27:AN$43,$F168)</f>
        <v/>
      </c>
    </row>
    <row r="169" hidden="1" outlineLevel="2"/>
    <row r="170" hidden="1" outlineLevel="2">
      <c r="A170" s="5" t="inlineStr">
        <is>
          <t>ntx</t>
        </is>
      </c>
      <c r="B170" s="5" t="inlineStr">
        <is>
          <t>coa</t>
        </is>
      </c>
      <c r="C170" s="5" t="inlineStr">
        <is>
          <t>rod</t>
        </is>
      </c>
      <c r="D170" s="36">
        <f>INDEX(Inputs!$L$5:$L$132,MATCH($B170&amp;"|"&amp;$C170,Inputs!$A$5:$A$132,0))</f>
        <v/>
      </c>
      <c r="E170" s="36">
        <f>INDEX(Inputs!$I$5:$I$132,MATCH($B170&amp;"|"&amp;$C170,Inputs!$A$5:$A$132,0))</f>
        <v/>
      </c>
      <c r="F170" s="37" t="n"/>
      <c r="G170" s="37" t="n"/>
      <c r="H170" s="5">
        <f>INDEX(Variables!$B$5:$B$65,MATCH($A170,Variables!$A$5:$A$65,0))&amp;IF($C170="",""," | "&amp;INDEX(Mapping!$B$5:$B$25,MATCH($C170,Mapping!$A$5:$A$25,0))&amp;" | "&amp;INDEX(Mapping!$B$29:$B$38,MATCH($B170,Mapping!$A$29:$A$38,0)))</f>
        <v/>
      </c>
      <c r="I170" s="5">
        <f>INDEX(Variables!$C$5:$C$65,MATCH($A170,Variables!$A$5:$A$65,0))</f>
        <v/>
      </c>
      <c r="J170" s="5">
        <f>INDEX(Variables!$E$5:$E$65,MATCH($A170,Variables!$A$5:$A$65,0))</f>
        <v/>
      </c>
      <c r="K170" s="23">
        <f>LOWER(Settings!$C$4)&amp;".mit."&amp;$A170&amp;IF($C170="","","."&amp;$C170&amp;"."&amp;$B170)&amp;IF(INDEX(Variables!$D$5:$D$65,MATCH($A170,Variables!$A$5:$A$65,0))="","","."&amp;INDEX(Variables!$D$5:$D$65,MATCH($A170,Variables!$A$5:$A$65,0)))&amp;"."&amp;K$5</f>
        <v/>
      </c>
      <c r="L170" s="38">
        <f>INDEX(L$75:L$88,$D170)/$E170</f>
        <v/>
      </c>
      <c r="M170" s="36">
        <f>INDEX(M$75:M$88,$D170)/$E170</f>
        <v/>
      </c>
      <c r="N170" s="36">
        <f>INDEX(N$75:N$88,$D170)/$E170</f>
        <v/>
      </c>
      <c r="O170" s="36">
        <f>INDEX(O$75:O$88,$D170)/$E170</f>
        <v/>
      </c>
      <c r="P170" s="36">
        <f>INDEX(P$75:P$88,$D170)/$E170</f>
        <v/>
      </c>
      <c r="Q170" s="36">
        <f>INDEX(Q$75:Q$88,$D170)/$E170</f>
        <v/>
      </c>
      <c r="R170" s="36">
        <f>INDEX(R$75:R$88,$D170)/$E170</f>
        <v/>
      </c>
      <c r="S170" s="36">
        <f>INDEX(S$75:S$88,$D170)/$E170</f>
        <v/>
      </c>
      <c r="T170" s="36">
        <f>INDEX(T$75:T$88,$D170)/$E170</f>
        <v/>
      </c>
      <c r="U170" s="36">
        <f>INDEX(U$75:U$88,$D170)/$E170</f>
        <v/>
      </c>
      <c r="V170" s="36">
        <f>INDEX(V$75:V$88,$D170)/$E170</f>
        <v/>
      </c>
      <c r="W170" s="36">
        <f>INDEX(W$75:W$88,$D170)/$E170</f>
        <v/>
      </c>
      <c r="X170" s="36">
        <f>INDEX(X$75:X$88,$D170)/$E170</f>
        <v/>
      </c>
      <c r="Y170" s="36">
        <f>INDEX(Y$75:Y$88,$D170)/$E170</f>
        <v/>
      </c>
      <c r="Z170" s="23">
        <f>LOWER(Settings!$C$4)&amp;".mit."&amp;$A170&amp;IF($C170="","","."&amp;$C170&amp;"."&amp;$B170)&amp;IF(INDEX(Variables!$D$5:$D$65,MATCH($A170,Variables!$A$5:$A$65,0))="","","."&amp;INDEX(Variables!$D$5:$D$65,MATCH($A170,Variables!$A$5:$A$65,0)))&amp;"."&amp;Z$5</f>
        <v/>
      </c>
      <c r="AA170" s="38">
        <f>INDEX(AA$75:AA$88,$D170)/$E170</f>
        <v/>
      </c>
      <c r="AB170" s="36">
        <f>INDEX(AB$75:AB$88,$D170)/$E170</f>
        <v/>
      </c>
      <c r="AC170" s="36">
        <f>INDEX(AC$75:AC$88,$D170)/$E170</f>
        <v/>
      </c>
      <c r="AD170" s="36">
        <f>INDEX(AD$75:AD$88,$D170)/$E170</f>
        <v/>
      </c>
      <c r="AE170" s="36">
        <f>INDEX(AE$75:AE$88,$D170)/$E170</f>
        <v/>
      </c>
      <c r="AF170" s="36">
        <f>INDEX(AF$75:AF$88,$D170)/$E170</f>
        <v/>
      </c>
      <c r="AG170" s="36">
        <f>INDEX(AG$75:AG$88,$D170)/$E170</f>
        <v/>
      </c>
      <c r="AH170" s="36">
        <f>INDEX(AH$75:AH$88,$D170)/$E170</f>
        <v/>
      </c>
      <c r="AI170" s="36">
        <f>INDEX(AI$75:AI$88,$D170)/$E170</f>
        <v/>
      </c>
      <c r="AJ170" s="36">
        <f>INDEX(AJ$75:AJ$88,$D170)/$E170</f>
        <v/>
      </c>
      <c r="AK170" s="36">
        <f>INDEX(AK$75:AK$88,$D170)/$E170</f>
        <v/>
      </c>
      <c r="AL170" s="36">
        <f>INDEX(AL$75:AL$88,$D170)/$E170</f>
        <v/>
      </c>
      <c r="AM170" s="36">
        <f>INDEX(AM$75:AM$88,$D170)/$E170</f>
        <v/>
      </c>
      <c r="AN170" s="36">
        <f>INDEX(AN$75:AN$88,$D170)/$E170</f>
        <v/>
      </c>
    </row>
    <row r="171" hidden="1" outlineLevel="2">
      <c r="A171" s="5" t="inlineStr">
        <is>
          <t>ntx</t>
        </is>
      </c>
      <c r="B171" s="5" t="inlineStr">
        <is>
          <t>nga</t>
        </is>
      </c>
      <c r="C171" s="5" t="inlineStr">
        <is>
          <t>rod</t>
        </is>
      </c>
      <c r="D171" s="36">
        <f>INDEX(Inputs!$L$5:$L$132,MATCH($B171&amp;"|"&amp;$C171,Inputs!$A$5:$A$132,0))</f>
        <v/>
      </c>
      <c r="E171" s="36">
        <f>INDEX(Inputs!$I$5:$I$132,MATCH($B171&amp;"|"&amp;$C171,Inputs!$A$5:$A$132,0))</f>
        <v/>
      </c>
      <c r="F171" s="37" t="n"/>
      <c r="G171" s="37" t="n"/>
      <c r="H171" s="5">
        <f>INDEX(Variables!$B$5:$B$65,MATCH($A171,Variables!$A$5:$A$65,0))&amp;IF($C171="",""," | "&amp;INDEX(Mapping!$B$5:$B$25,MATCH($C171,Mapping!$A$5:$A$25,0))&amp;" | "&amp;INDEX(Mapping!$B$29:$B$38,MATCH($B171,Mapping!$A$29:$A$38,0)))</f>
        <v/>
      </c>
      <c r="I171" s="5">
        <f>INDEX(Variables!$C$5:$C$65,MATCH($A171,Variables!$A$5:$A$65,0))</f>
        <v/>
      </c>
      <c r="J171" s="5">
        <f>INDEX(Variables!$E$5:$E$65,MATCH($A171,Variables!$A$5:$A$65,0))</f>
        <v/>
      </c>
      <c r="K171" s="23">
        <f>LOWER(Settings!$C$4)&amp;".mit."&amp;$A171&amp;IF($C171="","","."&amp;$C171&amp;"."&amp;$B171)&amp;IF(INDEX(Variables!$D$5:$D$65,MATCH($A171,Variables!$A$5:$A$65,0))="","","."&amp;INDEX(Variables!$D$5:$D$65,MATCH($A171,Variables!$A$5:$A$65,0)))&amp;"."&amp;K$5</f>
        <v/>
      </c>
      <c r="L171" s="38">
        <f>INDEX(L$75:L$88,$D171)/$E171</f>
        <v/>
      </c>
      <c r="M171" s="36">
        <f>INDEX(M$75:M$88,$D171)/$E171</f>
        <v/>
      </c>
      <c r="N171" s="36">
        <f>INDEX(N$75:N$88,$D171)/$E171</f>
        <v/>
      </c>
      <c r="O171" s="36">
        <f>INDEX(O$75:O$88,$D171)/$E171</f>
        <v/>
      </c>
      <c r="P171" s="36">
        <f>INDEX(P$75:P$88,$D171)/$E171</f>
        <v/>
      </c>
      <c r="Q171" s="36">
        <f>INDEX(Q$75:Q$88,$D171)/$E171</f>
        <v/>
      </c>
      <c r="R171" s="36">
        <f>INDEX(R$75:R$88,$D171)/$E171</f>
        <v/>
      </c>
      <c r="S171" s="36">
        <f>INDEX(S$75:S$88,$D171)/$E171</f>
        <v/>
      </c>
      <c r="T171" s="36">
        <f>INDEX(T$75:T$88,$D171)/$E171</f>
        <v/>
      </c>
      <c r="U171" s="36">
        <f>INDEX(U$75:U$88,$D171)/$E171</f>
        <v/>
      </c>
      <c r="V171" s="36">
        <f>INDEX(V$75:V$88,$D171)/$E171</f>
        <v/>
      </c>
      <c r="W171" s="36">
        <f>INDEX(W$75:W$88,$D171)/$E171</f>
        <v/>
      </c>
      <c r="X171" s="36">
        <f>INDEX(X$75:X$88,$D171)/$E171</f>
        <v/>
      </c>
      <c r="Y171" s="36">
        <f>INDEX(Y$75:Y$88,$D171)/$E171</f>
        <v/>
      </c>
      <c r="Z171" s="23">
        <f>LOWER(Settings!$C$4)&amp;".mit."&amp;$A171&amp;IF($C171="","","."&amp;$C171&amp;"."&amp;$B171)&amp;IF(INDEX(Variables!$D$5:$D$65,MATCH($A171,Variables!$A$5:$A$65,0))="","","."&amp;INDEX(Variables!$D$5:$D$65,MATCH($A171,Variables!$A$5:$A$65,0)))&amp;"."&amp;Z$5</f>
        <v/>
      </c>
      <c r="AA171" s="38">
        <f>INDEX(AA$75:AA$88,$D171)/$E171</f>
        <v/>
      </c>
      <c r="AB171" s="36">
        <f>INDEX(AB$75:AB$88,$D171)/$E171</f>
        <v/>
      </c>
      <c r="AC171" s="36">
        <f>INDEX(AC$75:AC$88,$D171)/$E171</f>
        <v/>
      </c>
      <c r="AD171" s="36">
        <f>INDEX(AD$75:AD$88,$D171)/$E171</f>
        <v/>
      </c>
      <c r="AE171" s="36">
        <f>INDEX(AE$75:AE$88,$D171)/$E171</f>
        <v/>
      </c>
      <c r="AF171" s="36">
        <f>INDEX(AF$75:AF$88,$D171)/$E171</f>
        <v/>
      </c>
      <c r="AG171" s="36">
        <f>INDEX(AG$75:AG$88,$D171)/$E171</f>
        <v/>
      </c>
      <c r="AH171" s="36">
        <f>INDEX(AH$75:AH$88,$D171)/$E171</f>
        <v/>
      </c>
      <c r="AI171" s="36">
        <f>INDEX(AI$75:AI$88,$D171)/$E171</f>
        <v/>
      </c>
      <c r="AJ171" s="36">
        <f>INDEX(AJ$75:AJ$88,$D171)/$E171</f>
        <v/>
      </c>
      <c r="AK171" s="36">
        <f>INDEX(AK$75:AK$88,$D171)/$E171</f>
        <v/>
      </c>
      <c r="AL171" s="36">
        <f>INDEX(AL$75:AL$88,$D171)/$E171</f>
        <v/>
      </c>
      <c r="AM171" s="36">
        <f>INDEX(AM$75:AM$88,$D171)/$E171</f>
        <v/>
      </c>
      <c r="AN171" s="36">
        <f>INDEX(AN$75:AN$88,$D171)/$E171</f>
        <v/>
      </c>
    </row>
    <row r="172" hidden="1" outlineLevel="2">
      <c r="A172" s="5" t="inlineStr">
        <is>
          <t>ntx</t>
        </is>
      </c>
      <c r="B172" s="5" t="inlineStr">
        <is>
          <t>gso</t>
        </is>
      </c>
      <c r="C172" s="5" t="inlineStr">
        <is>
          <t>rod</t>
        </is>
      </c>
      <c r="D172" s="36">
        <f>INDEX(Inputs!$L$5:$L$132,MATCH($B172&amp;"|"&amp;$C172,Inputs!$A$5:$A$132,0))</f>
        <v/>
      </c>
      <c r="E172" s="36">
        <f>INDEX(Inputs!$I$5:$I$132,MATCH($B172&amp;"|"&amp;$C172,Inputs!$A$5:$A$132,0))</f>
        <v/>
      </c>
      <c r="F172" s="37" t="n"/>
      <c r="G172" s="37" t="n"/>
      <c r="H172" s="5">
        <f>INDEX(Variables!$B$5:$B$65,MATCH($A172,Variables!$A$5:$A$65,0))&amp;IF($C172="",""," | "&amp;INDEX(Mapping!$B$5:$B$25,MATCH($C172,Mapping!$A$5:$A$25,0))&amp;" | "&amp;INDEX(Mapping!$B$29:$B$38,MATCH($B172,Mapping!$A$29:$A$38,0)))</f>
        <v/>
      </c>
      <c r="I172" s="5">
        <f>INDEX(Variables!$C$5:$C$65,MATCH($A172,Variables!$A$5:$A$65,0))</f>
        <v/>
      </c>
      <c r="J172" s="5">
        <f>INDEX(Variables!$E$5:$E$65,MATCH($A172,Variables!$A$5:$A$65,0))</f>
        <v/>
      </c>
      <c r="K172" s="23">
        <f>LOWER(Settings!$C$4)&amp;".mit."&amp;$A172&amp;IF($C172="","","."&amp;$C172&amp;"."&amp;$B172)&amp;IF(INDEX(Variables!$D$5:$D$65,MATCH($A172,Variables!$A$5:$A$65,0))="","","."&amp;INDEX(Variables!$D$5:$D$65,MATCH($A172,Variables!$A$5:$A$65,0)))&amp;"."&amp;K$5</f>
        <v/>
      </c>
      <c r="L172" s="38">
        <f>INDEX(L$75:L$88,$D172)/$E172</f>
        <v/>
      </c>
      <c r="M172" s="36">
        <f>INDEX(M$75:M$88,$D172)/$E172</f>
        <v/>
      </c>
      <c r="N172" s="36">
        <f>INDEX(N$75:N$88,$D172)/$E172</f>
        <v/>
      </c>
      <c r="O172" s="36">
        <f>INDEX(O$75:O$88,$D172)/$E172</f>
        <v/>
      </c>
      <c r="P172" s="36">
        <f>INDEX(P$75:P$88,$D172)/$E172</f>
        <v/>
      </c>
      <c r="Q172" s="36">
        <f>INDEX(Q$75:Q$88,$D172)/$E172</f>
        <v/>
      </c>
      <c r="R172" s="36">
        <f>INDEX(R$75:R$88,$D172)/$E172</f>
        <v/>
      </c>
      <c r="S172" s="36">
        <f>INDEX(S$75:S$88,$D172)/$E172</f>
        <v/>
      </c>
      <c r="T172" s="36">
        <f>INDEX(T$75:T$88,$D172)/$E172</f>
        <v/>
      </c>
      <c r="U172" s="36">
        <f>INDEX(U$75:U$88,$D172)/$E172</f>
        <v/>
      </c>
      <c r="V172" s="36">
        <f>INDEX(V$75:V$88,$D172)/$E172</f>
        <v/>
      </c>
      <c r="W172" s="36">
        <f>INDEX(W$75:W$88,$D172)/$E172</f>
        <v/>
      </c>
      <c r="X172" s="36">
        <f>INDEX(X$75:X$88,$D172)/$E172</f>
        <v/>
      </c>
      <c r="Y172" s="36">
        <f>INDEX(Y$75:Y$88,$D172)/$E172</f>
        <v/>
      </c>
      <c r="Z172" s="23">
        <f>LOWER(Settings!$C$4)&amp;".mit."&amp;$A172&amp;IF($C172="","","."&amp;$C172&amp;"."&amp;$B172)&amp;IF(INDEX(Variables!$D$5:$D$65,MATCH($A172,Variables!$A$5:$A$65,0))="","","."&amp;INDEX(Variables!$D$5:$D$65,MATCH($A172,Variables!$A$5:$A$65,0)))&amp;"."&amp;Z$5</f>
        <v/>
      </c>
      <c r="AA172" s="38">
        <f>INDEX(AA$75:AA$88,$D172)/$E172</f>
        <v/>
      </c>
      <c r="AB172" s="36">
        <f>INDEX(AB$75:AB$88,$D172)/$E172</f>
        <v/>
      </c>
      <c r="AC172" s="36">
        <f>INDEX(AC$75:AC$88,$D172)/$E172</f>
        <v/>
      </c>
      <c r="AD172" s="36">
        <f>INDEX(AD$75:AD$88,$D172)/$E172</f>
        <v/>
      </c>
      <c r="AE172" s="36">
        <f>INDEX(AE$75:AE$88,$D172)/$E172</f>
        <v/>
      </c>
      <c r="AF172" s="36">
        <f>INDEX(AF$75:AF$88,$D172)/$E172</f>
        <v/>
      </c>
      <c r="AG172" s="36">
        <f>INDEX(AG$75:AG$88,$D172)/$E172</f>
        <v/>
      </c>
      <c r="AH172" s="36">
        <f>INDEX(AH$75:AH$88,$D172)/$E172</f>
        <v/>
      </c>
      <c r="AI172" s="36">
        <f>INDEX(AI$75:AI$88,$D172)/$E172</f>
        <v/>
      </c>
      <c r="AJ172" s="36">
        <f>INDEX(AJ$75:AJ$88,$D172)/$E172</f>
        <v/>
      </c>
      <c r="AK172" s="36">
        <f>INDEX(AK$75:AK$88,$D172)/$E172</f>
        <v/>
      </c>
      <c r="AL172" s="36">
        <f>INDEX(AL$75:AL$88,$D172)/$E172</f>
        <v/>
      </c>
      <c r="AM172" s="36">
        <f>INDEX(AM$75:AM$88,$D172)/$E172</f>
        <v/>
      </c>
      <c r="AN172" s="36">
        <f>INDEX(AN$75:AN$88,$D172)/$E172</f>
        <v/>
      </c>
    </row>
    <row r="173" hidden="1" outlineLevel="2">
      <c r="A173" s="5" t="inlineStr">
        <is>
          <t>ntx</t>
        </is>
      </c>
      <c r="B173" s="5" t="inlineStr">
        <is>
          <t>die</t>
        </is>
      </c>
      <c r="C173" s="5" t="inlineStr">
        <is>
          <t>rod</t>
        </is>
      </c>
      <c r="D173" s="36">
        <f>INDEX(Inputs!$L$5:$L$132,MATCH($B173&amp;"|"&amp;$C173,Inputs!$A$5:$A$132,0))</f>
        <v/>
      </c>
      <c r="E173" s="36">
        <f>INDEX(Inputs!$I$5:$I$132,MATCH($B173&amp;"|"&amp;$C173,Inputs!$A$5:$A$132,0))</f>
        <v/>
      </c>
      <c r="F173" s="37" t="n"/>
      <c r="G173" s="37" t="n"/>
      <c r="H173" s="5">
        <f>INDEX(Variables!$B$5:$B$65,MATCH($A173,Variables!$A$5:$A$65,0))&amp;IF($C173="",""," | "&amp;INDEX(Mapping!$B$5:$B$25,MATCH($C173,Mapping!$A$5:$A$25,0))&amp;" | "&amp;INDEX(Mapping!$B$29:$B$38,MATCH($B173,Mapping!$A$29:$A$38,0)))</f>
        <v/>
      </c>
      <c r="I173" s="5">
        <f>INDEX(Variables!$C$5:$C$65,MATCH($A173,Variables!$A$5:$A$65,0))</f>
        <v/>
      </c>
      <c r="J173" s="5">
        <f>INDEX(Variables!$E$5:$E$65,MATCH($A173,Variables!$A$5:$A$65,0))</f>
        <v/>
      </c>
      <c r="K173" s="23">
        <f>LOWER(Settings!$C$4)&amp;".mit."&amp;$A173&amp;IF($C173="","","."&amp;$C173&amp;"."&amp;$B173)&amp;IF(INDEX(Variables!$D$5:$D$65,MATCH($A173,Variables!$A$5:$A$65,0))="","","."&amp;INDEX(Variables!$D$5:$D$65,MATCH($A173,Variables!$A$5:$A$65,0)))&amp;"."&amp;K$5</f>
        <v/>
      </c>
      <c r="L173" s="38">
        <f>INDEX(L$75:L$88,$D173)/$E173</f>
        <v/>
      </c>
      <c r="M173" s="36">
        <f>INDEX(M$75:M$88,$D173)/$E173</f>
        <v/>
      </c>
      <c r="N173" s="36">
        <f>INDEX(N$75:N$88,$D173)/$E173</f>
        <v/>
      </c>
      <c r="O173" s="36">
        <f>INDEX(O$75:O$88,$D173)/$E173</f>
        <v/>
      </c>
      <c r="P173" s="36">
        <f>INDEX(P$75:P$88,$D173)/$E173</f>
        <v/>
      </c>
      <c r="Q173" s="36">
        <f>INDEX(Q$75:Q$88,$D173)/$E173</f>
        <v/>
      </c>
      <c r="R173" s="36">
        <f>INDEX(R$75:R$88,$D173)/$E173</f>
        <v/>
      </c>
      <c r="S173" s="36">
        <f>INDEX(S$75:S$88,$D173)/$E173</f>
        <v/>
      </c>
      <c r="T173" s="36">
        <f>INDEX(T$75:T$88,$D173)/$E173</f>
        <v/>
      </c>
      <c r="U173" s="36">
        <f>INDEX(U$75:U$88,$D173)/$E173</f>
        <v/>
      </c>
      <c r="V173" s="36">
        <f>INDEX(V$75:V$88,$D173)/$E173</f>
        <v/>
      </c>
      <c r="W173" s="36">
        <f>INDEX(W$75:W$88,$D173)/$E173</f>
        <v/>
      </c>
      <c r="X173" s="36">
        <f>INDEX(X$75:X$88,$D173)/$E173</f>
        <v/>
      </c>
      <c r="Y173" s="36">
        <f>INDEX(Y$75:Y$88,$D173)/$E173</f>
        <v/>
      </c>
      <c r="Z173" s="23">
        <f>LOWER(Settings!$C$4)&amp;".mit."&amp;$A173&amp;IF($C173="","","."&amp;$C173&amp;"."&amp;$B173)&amp;IF(INDEX(Variables!$D$5:$D$65,MATCH($A173,Variables!$A$5:$A$65,0))="","","."&amp;INDEX(Variables!$D$5:$D$65,MATCH($A173,Variables!$A$5:$A$65,0)))&amp;"."&amp;Z$5</f>
        <v/>
      </c>
      <c r="AA173" s="38">
        <f>INDEX(AA$75:AA$88,$D173)/$E173</f>
        <v/>
      </c>
      <c r="AB173" s="36">
        <f>INDEX(AB$75:AB$88,$D173)/$E173</f>
        <v/>
      </c>
      <c r="AC173" s="36">
        <f>INDEX(AC$75:AC$88,$D173)/$E173</f>
        <v/>
      </c>
      <c r="AD173" s="36">
        <f>INDEX(AD$75:AD$88,$D173)/$E173</f>
        <v/>
      </c>
      <c r="AE173" s="36">
        <f>INDEX(AE$75:AE$88,$D173)/$E173</f>
        <v/>
      </c>
      <c r="AF173" s="36">
        <f>INDEX(AF$75:AF$88,$D173)/$E173</f>
        <v/>
      </c>
      <c r="AG173" s="36">
        <f>INDEX(AG$75:AG$88,$D173)/$E173</f>
        <v/>
      </c>
      <c r="AH173" s="36">
        <f>INDEX(AH$75:AH$88,$D173)/$E173</f>
        <v/>
      </c>
      <c r="AI173" s="36">
        <f>INDEX(AI$75:AI$88,$D173)/$E173</f>
        <v/>
      </c>
      <c r="AJ173" s="36">
        <f>INDEX(AJ$75:AJ$88,$D173)/$E173</f>
        <v/>
      </c>
      <c r="AK173" s="36">
        <f>INDEX(AK$75:AK$88,$D173)/$E173</f>
        <v/>
      </c>
      <c r="AL173" s="36">
        <f>INDEX(AL$75:AL$88,$D173)/$E173</f>
        <v/>
      </c>
      <c r="AM173" s="36">
        <f>INDEX(AM$75:AM$88,$D173)/$E173</f>
        <v/>
      </c>
      <c r="AN173" s="36">
        <f>INDEX(AN$75:AN$88,$D173)/$E173</f>
        <v/>
      </c>
    </row>
    <row r="174" hidden="1" outlineLevel="2">
      <c r="A174" s="5" t="inlineStr">
        <is>
          <t>ntx</t>
        </is>
      </c>
      <c r="B174" s="5" t="inlineStr">
        <is>
          <t>lpg</t>
        </is>
      </c>
      <c r="C174" s="5" t="inlineStr">
        <is>
          <t>rod</t>
        </is>
      </c>
      <c r="D174" s="36">
        <f>INDEX(Inputs!$L$5:$L$132,MATCH($B174&amp;"|"&amp;$C174,Inputs!$A$5:$A$132,0))</f>
        <v/>
      </c>
      <c r="E174" s="36">
        <f>INDEX(Inputs!$I$5:$I$132,MATCH($B174&amp;"|"&amp;$C174,Inputs!$A$5:$A$132,0))</f>
        <v/>
      </c>
      <c r="F174" s="37" t="n"/>
      <c r="G174" s="37" t="n"/>
      <c r="H174" s="5">
        <f>INDEX(Variables!$B$5:$B$65,MATCH($A174,Variables!$A$5:$A$65,0))&amp;IF($C174="",""," | "&amp;INDEX(Mapping!$B$5:$B$25,MATCH($C174,Mapping!$A$5:$A$25,0))&amp;" | "&amp;INDEX(Mapping!$B$29:$B$38,MATCH($B174,Mapping!$A$29:$A$38,0)))</f>
        <v/>
      </c>
      <c r="I174" s="5">
        <f>INDEX(Variables!$C$5:$C$65,MATCH($A174,Variables!$A$5:$A$65,0))</f>
        <v/>
      </c>
      <c r="J174" s="5">
        <f>INDEX(Variables!$E$5:$E$65,MATCH($A174,Variables!$A$5:$A$65,0))</f>
        <v/>
      </c>
      <c r="K174" s="23">
        <f>LOWER(Settings!$C$4)&amp;".mit."&amp;$A174&amp;IF($C174="","","."&amp;$C174&amp;"."&amp;$B174)&amp;IF(INDEX(Variables!$D$5:$D$65,MATCH($A174,Variables!$A$5:$A$65,0))="","","."&amp;INDEX(Variables!$D$5:$D$65,MATCH($A174,Variables!$A$5:$A$65,0)))&amp;"."&amp;K$5</f>
        <v/>
      </c>
      <c r="L174" s="38">
        <f>INDEX(L$75:L$88,$D174)/$E174</f>
        <v/>
      </c>
      <c r="M174" s="36">
        <f>INDEX(M$75:M$88,$D174)/$E174</f>
        <v/>
      </c>
      <c r="N174" s="36">
        <f>INDEX(N$75:N$88,$D174)/$E174</f>
        <v/>
      </c>
      <c r="O174" s="36">
        <f>INDEX(O$75:O$88,$D174)/$E174</f>
        <v/>
      </c>
      <c r="P174" s="36">
        <f>INDEX(P$75:P$88,$D174)/$E174</f>
        <v/>
      </c>
      <c r="Q174" s="36">
        <f>INDEX(Q$75:Q$88,$D174)/$E174</f>
        <v/>
      </c>
      <c r="R174" s="36">
        <f>INDEX(R$75:R$88,$D174)/$E174</f>
        <v/>
      </c>
      <c r="S174" s="36">
        <f>INDEX(S$75:S$88,$D174)/$E174</f>
        <v/>
      </c>
      <c r="T174" s="36">
        <f>INDEX(T$75:T$88,$D174)/$E174</f>
        <v/>
      </c>
      <c r="U174" s="36">
        <f>INDEX(U$75:U$88,$D174)/$E174</f>
        <v/>
      </c>
      <c r="V174" s="36">
        <f>INDEX(V$75:V$88,$D174)/$E174</f>
        <v/>
      </c>
      <c r="W174" s="36">
        <f>INDEX(W$75:W$88,$D174)/$E174</f>
        <v/>
      </c>
      <c r="X174" s="36">
        <f>INDEX(X$75:X$88,$D174)/$E174</f>
        <v/>
      </c>
      <c r="Y174" s="36">
        <f>INDEX(Y$75:Y$88,$D174)/$E174</f>
        <v/>
      </c>
      <c r="Z174" s="23">
        <f>LOWER(Settings!$C$4)&amp;".mit."&amp;$A174&amp;IF($C174="","","."&amp;$C174&amp;"."&amp;$B174)&amp;IF(INDEX(Variables!$D$5:$D$65,MATCH($A174,Variables!$A$5:$A$65,0))="","","."&amp;INDEX(Variables!$D$5:$D$65,MATCH($A174,Variables!$A$5:$A$65,0)))&amp;"."&amp;Z$5</f>
        <v/>
      </c>
      <c r="AA174" s="38">
        <f>INDEX(AA$75:AA$88,$D174)/$E174</f>
        <v/>
      </c>
      <c r="AB174" s="36">
        <f>INDEX(AB$75:AB$88,$D174)/$E174</f>
        <v/>
      </c>
      <c r="AC174" s="36">
        <f>INDEX(AC$75:AC$88,$D174)/$E174</f>
        <v/>
      </c>
      <c r="AD174" s="36">
        <f>INDEX(AD$75:AD$88,$D174)/$E174</f>
        <v/>
      </c>
      <c r="AE174" s="36">
        <f>INDEX(AE$75:AE$88,$D174)/$E174</f>
        <v/>
      </c>
      <c r="AF174" s="36">
        <f>INDEX(AF$75:AF$88,$D174)/$E174</f>
        <v/>
      </c>
      <c r="AG174" s="36">
        <f>INDEX(AG$75:AG$88,$D174)/$E174</f>
        <v/>
      </c>
      <c r="AH174" s="36">
        <f>INDEX(AH$75:AH$88,$D174)/$E174</f>
        <v/>
      </c>
      <c r="AI174" s="36">
        <f>INDEX(AI$75:AI$88,$D174)/$E174</f>
        <v/>
      </c>
      <c r="AJ174" s="36">
        <f>INDEX(AJ$75:AJ$88,$D174)/$E174</f>
        <v/>
      </c>
      <c r="AK174" s="36">
        <f>INDEX(AK$75:AK$88,$D174)/$E174</f>
        <v/>
      </c>
      <c r="AL174" s="36">
        <f>INDEX(AL$75:AL$88,$D174)/$E174</f>
        <v/>
      </c>
      <c r="AM174" s="36">
        <f>INDEX(AM$75:AM$88,$D174)/$E174</f>
        <v/>
      </c>
      <c r="AN174" s="36">
        <f>INDEX(AN$75:AN$88,$D174)/$E174</f>
        <v/>
      </c>
    </row>
    <row r="175" hidden="1" outlineLevel="2">
      <c r="A175" s="5" t="inlineStr">
        <is>
          <t>ntx</t>
        </is>
      </c>
      <c r="B175" s="5" t="inlineStr">
        <is>
          <t>ker</t>
        </is>
      </c>
      <c r="C175" s="5" t="inlineStr">
        <is>
          <t>rod</t>
        </is>
      </c>
      <c r="D175" s="36">
        <f>INDEX(Inputs!$L$5:$L$132,MATCH($B175&amp;"|"&amp;$C175,Inputs!$A$5:$A$132,0))</f>
        <v/>
      </c>
      <c r="E175" s="36">
        <f>INDEX(Inputs!$I$5:$I$132,MATCH($B175&amp;"|"&amp;$C175,Inputs!$A$5:$A$132,0))</f>
        <v/>
      </c>
      <c r="F175" s="37" t="n"/>
      <c r="G175" s="37" t="n"/>
      <c r="H175" s="5">
        <f>INDEX(Variables!$B$5:$B$65,MATCH($A175,Variables!$A$5:$A$65,0))&amp;IF($C175="",""," | "&amp;INDEX(Mapping!$B$5:$B$25,MATCH($C175,Mapping!$A$5:$A$25,0))&amp;" | "&amp;INDEX(Mapping!$B$29:$B$38,MATCH($B175,Mapping!$A$29:$A$38,0)))</f>
        <v/>
      </c>
      <c r="I175" s="5">
        <f>INDEX(Variables!$C$5:$C$65,MATCH($A175,Variables!$A$5:$A$65,0))</f>
        <v/>
      </c>
      <c r="J175" s="5">
        <f>INDEX(Variables!$E$5:$E$65,MATCH($A175,Variables!$A$5:$A$65,0))</f>
        <v/>
      </c>
      <c r="K175" s="23">
        <f>LOWER(Settings!$C$4)&amp;".mit."&amp;$A175&amp;IF($C175="","","."&amp;$C175&amp;"."&amp;$B175)&amp;IF(INDEX(Variables!$D$5:$D$65,MATCH($A175,Variables!$A$5:$A$65,0))="","","."&amp;INDEX(Variables!$D$5:$D$65,MATCH($A175,Variables!$A$5:$A$65,0)))&amp;"."&amp;K$5</f>
        <v/>
      </c>
      <c r="L175" s="38">
        <f>INDEX(L$75:L$88,$D175)/$E175</f>
        <v/>
      </c>
      <c r="M175" s="36">
        <f>INDEX(M$75:M$88,$D175)/$E175</f>
        <v/>
      </c>
      <c r="N175" s="36">
        <f>INDEX(N$75:N$88,$D175)/$E175</f>
        <v/>
      </c>
      <c r="O175" s="36">
        <f>INDEX(O$75:O$88,$D175)/$E175</f>
        <v/>
      </c>
      <c r="P175" s="36">
        <f>INDEX(P$75:P$88,$D175)/$E175</f>
        <v/>
      </c>
      <c r="Q175" s="36">
        <f>INDEX(Q$75:Q$88,$D175)/$E175</f>
        <v/>
      </c>
      <c r="R175" s="36">
        <f>INDEX(R$75:R$88,$D175)/$E175</f>
        <v/>
      </c>
      <c r="S175" s="36">
        <f>INDEX(S$75:S$88,$D175)/$E175</f>
        <v/>
      </c>
      <c r="T175" s="36">
        <f>INDEX(T$75:T$88,$D175)/$E175</f>
        <v/>
      </c>
      <c r="U175" s="36">
        <f>INDEX(U$75:U$88,$D175)/$E175</f>
        <v/>
      </c>
      <c r="V175" s="36">
        <f>INDEX(V$75:V$88,$D175)/$E175</f>
        <v/>
      </c>
      <c r="W175" s="36">
        <f>INDEX(W$75:W$88,$D175)/$E175</f>
        <v/>
      </c>
      <c r="X175" s="36">
        <f>INDEX(X$75:X$88,$D175)/$E175</f>
        <v/>
      </c>
      <c r="Y175" s="36">
        <f>INDEX(Y$75:Y$88,$D175)/$E175</f>
        <v/>
      </c>
      <c r="Z175" s="23">
        <f>LOWER(Settings!$C$4)&amp;".mit."&amp;$A175&amp;IF($C175="","","."&amp;$C175&amp;"."&amp;$B175)&amp;IF(INDEX(Variables!$D$5:$D$65,MATCH($A175,Variables!$A$5:$A$65,0))="","","."&amp;INDEX(Variables!$D$5:$D$65,MATCH($A175,Variables!$A$5:$A$65,0)))&amp;"."&amp;Z$5</f>
        <v/>
      </c>
      <c r="AA175" s="38">
        <f>INDEX(AA$75:AA$88,$D175)/$E175</f>
        <v/>
      </c>
      <c r="AB175" s="36">
        <f>INDEX(AB$75:AB$88,$D175)/$E175</f>
        <v/>
      </c>
      <c r="AC175" s="36">
        <f>INDEX(AC$75:AC$88,$D175)/$E175</f>
        <v/>
      </c>
      <c r="AD175" s="36">
        <f>INDEX(AD$75:AD$88,$D175)/$E175</f>
        <v/>
      </c>
      <c r="AE175" s="36">
        <f>INDEX(AE$75:AE$88,$D175)/$E175</f>
        <v/>
      </c>
      <c r="AF175" s="36">
        <f>INDEX(AF$75:AF$88,$D175)/$E175</f>
        <v/>
      </c>
      <c r="AG175" s="36">
        <f>INDEX(AG$75:AG$88,$D175)/$E175</f>
        <v/>
      </c>
      <c r="AH175" s="36">
        <f>INDEX(AH$75:AH$88,$D175)/$E175</f>
        <v/>
      </c>
      <c r="AI175" s="36">
        <f>INDEX(AI$75:AI$88,$D175)/$E175</f>
        <v/>
      </c>
      <c r="AJ175" s="36">
        <f>INDEX(AJ$75:AJ$88,$D175)/$E175</f>
        <v/>
      </c>
      <c r="AK175" s="36">
        <f>INDEX(AK$75:AK$88,$D175)/$E175</f>
        <v/>
      </c>
      <c r="AL175" s="36">
        <f>INDEX(AL$75:AL$88,$D175)/$E175</f>
        <v/>
      </c>
      <c r="AM175" s="36">
        <f>INDEX(AM$75:AM$88,$D175)/$E175</f>
        <v/>
      </c>
      <c r="AN175" s="36">
        <f>INDEX(AN$75:AN$88,$D175)/$E175</f>
        <v/>
      </c>
    </row>
    <row r="176" hidden="1" outlineLevel="2">
      <c r="A176" s="5" t="inlineStr">
        <is>
          <t>ntx</t>
        </is>
      </c>
      <c r="B176" s="5" t="inlineStr">
        <is>
          <t>oop</t>
        </is>
      </c>
      <c r="C176" s="5" t="inlineStr">
        <is>
          <t>rod</t>
        </is>
      </c>
      <c r="D176" s="36">
        <f>INDEX(Inputs!$L$5:$L$132,MATCH($B176&amp;"|"&amp;$C176,Inputs!$A$5:$A$132,0))</f>
        <v/>
      </c>
      <c r="E176" s="36">
        <f>INDEX(Inputs!$I$5:$I$132,MATCH($B176&amp;"|"&amp;$C176,Inputs!$A$5:$A$132,0))</f>
        <v/>
      </c>
      <c r="F176" s="37" t="n"/>
      <c r="G176" s="37" t="n"/>
      <c r="H176" s="5">
        <f>INDEX(Variables!$B$5:$B$65,MATCH($A176,Variables!$A$5:$A$65,0))&amp;IF($C176="",""," | "&amp;INDEX(Mapping!$B$5:$B$25,MATCH($C176,Mapping!$A$5:$A$25,0))&amp;" | "&amp;INDEX(Mapping!$B$29:$B$38,MATCH($B176,Mapping!$A$29:$A$38,0)))</f>
        <v/>
      </c>
      <c r="I176" s="5">
        <f>INDEX(Variables!$C$5:$C$65,MATCH($A176,Variables!$A$5:$A$65,0))</f>
        <v/>
      </c>
      <c r="J176" s="5">
        <f>INDEX(Variables!$E$5:$E$65,MATCH($A176,Variables!$A$5:$A$65,0))</f>
        <v/>
      </c>
      <c r="K176" s="23">
        <f>LOWER(Settings!$C$4)&amp;".mit."&amp;$A176&amp;IF($C176="","","."&amp;$C176&amp;"."&amp;$B176)&amp;IF(INDEX(Variables!$D$5:$D$65,MATCH($A176,Variables!$A$5:$A$65,0))="","","."&amp;INDEX(Variables!$D$5:$D$65,MATCH($A176,Variables!$A$5:$A$65,0)))&amp;"."&amp;K$5</f>
        <v/>
      </c>
      <c r="L176" s="38">
        <f>INDEX(L$75:L$88,$D176)/$E176</f>
        <v/>
      </c>
      <c r="M176" s="36">
        <f>INDEX(M$75:M$88,$D176)/$E176</f>
        <v/>
      </c>
      <c r="N176" s="36">
        <f>INDEX(N$75:N$88,$D176)/$E176</f>
        <v/>
      </c>
      <c r="O176" s="36">
        <f>INDEX(O$75:O$88,$D176)/$E176</f>
        <v/>
      </c>
      <c r="P176" s="36">
        <f>INDEX(P$75:P$88,$D176)/$E176</f>
        <v/>
      </c>
      <c r="Q176" s="36">
        <f>INDEX(Q$75:Q$88,$D176)/$E176</f>
        <v/>
      </c>
      <c r="R176" s="36">
        <f>INDEX(R$75:R$88,$D176)/$E176</f>
        <v/>
      </c>
      <c r="S176" s="36">
        <f>INDEX(S$75:S$88,$D176)/$E176</f>
        <v/>
      </c>
      <c r="T176" s="36">
        <f>INDEX(T$75:T$88,$D176)/$E176</f>
        <v/>
      </c>
      <c r="U176" s="36">
        <f>INDEX(U$75:U$88,$D176)/$E176</f>
        <v/>
      </c>
      <c r="V176" s="36">
        <f>INDEX(V$75:V$88,$D176)/$E176</f>
        <v/>
      </c>
      <c r="W176" s="36">
        <f>INDEX(W$75:W$88,$D176)/$E176</f>
        <v/>
      </c>
      <c r="X176" s="36">
        <f>INDEX(X$75:X$88,$D176)/$E176</f>
        <v/>
      </c>
      <c r="Y176" s="36">
        <f>INDEX(Y$75:Y$88,$D176)/$E176</f>
        <v/>
      </c>
      <c r="Z176" s="23">
        <f>LOWER(Settings!$C$4)&amp;".mit."&amp;$A176&amp;IF($C176="","","."&amp;$C176&amp;"."&amp;$B176)&amp;IF(INDEX(Variables!$D$5:$D$65,MATCH($A176,Variables!$A$5:$A$65,0))="","","."&amp;INDEX(Variables!$D$5:$D$65,MATCH($A176,Variables!$A$5:$A$65,0)))&amp;"."&amp;Z$5</f>
        <v/>
      </c>
      <c r="AA176" s="38">
        <f>INDEX(AA$75:AA$88,$D176)/$E176</f>
        <v/>
      </c>
      <c r="AB176" s="36">
        <f>INDEX(AB$75:AB$88,$D176)/$E176</f>
        <v/>
      </c>
      <c r="AC176" s="36">
        <f>INDEX(AC$75:AC$88,$D176)/$E176</f>
        <v/>
      </c>
      <c r="AD176" s="36">
        <f>INDEX(AD$75:AD$88,$D176)/$E176</f>
        <v/>
      </c>
      <c r="AE176" s="36">
        <f>INDEX(AE$75:AE$88,$D176)/$E176</f>
        <v/>
      </c>
      <c r="AF176" s="36">
        <f>INDEX(AF$75:AF$88,$D176)/$E176</f>
        <v/>
      </c>
      <c r="AG176" s="36">
        <f>INDEX(AG$75:AG$88,$D176)/$E176</f>
        <v/>
      </c>
      <c r="AH176" s="36">
        <f>INDEX(AH$75:AH$88,$D176)/$E176</f>
        <v/>
      </c>
      <c r="AI176" s="36">
        <f>INDEX(AI$75:AI$88,$D176)/$E176</f>
        <v/>
      </c>
      <c r="AJ176" s="36">
        <f>INDEX(AJ$75:AJ$88,$D176)/$E176</f>
        <v/>
      </c>
      <c r="AK176" s="36">
        <f>INDEX(AK$75:AK$88,$D176)/$E176</f>
        <v/>
      </c>
      <c r="AL176" s="36">
        <f>INDEX(AL$75:AL$88,$D176)/$E176</f>
        <v/>
      </c>
      <c r="AM176" s="36">
        <f>INDEX(AM$75:AM$88,$D176)/$E176</f>
        <v/>
      </c>
      <c r="AN176" s="36">
        <f>INDEX(AN$75:AN$88,$D176)/$E176</f>
        <v/>
      </c>
    </row>
    <row r="177" hidden="1" outlineLevel="2">
      <c r="A177" s="5" t="inlineStr">
        <is>
          <t>ntx</t>
        </is>
      </c>
      <c r="B177" s="5" t="inlineStr">
        <is>
          <t>bio</t>
        </is>
      </c>
      <c r="C177" s="5" t="inlineStr">
        <is>
          <t>rod</t>
        </is>
      </c>
      <c r="D177" s="36">
        <f>INDEX(Inputs!$L$5:$L$132,MATCH($B177&amp;"|"&amp;$C177,Inputs!$A$5:$A$132,0))</f>
        <v/>
      </c>
      <c r="E177" s="36">
        <f>INDEX(Inputs!$I$5:$I$132,MATCH($B177&amp;"|"&amp;$C177,Inputs!$A$5:$A$132,0))</f>
        <v/>
      </c>
      <c r="F177" s="37" t="n"/>
      <c r="G177" s="37" t="n"/>
      <c r="H177" s="5">
        <f>INDEX(Variables!$B$5:$B$65,MATCH($A177,Variables!$A$5:$A$65,0))&amp;IF($C177="",""," | "&amp;INDEX(Mapping!$B$5:$B$25,MATCH($C177,Mapping!$A$5:$A$25,0))&amp;" | "&amp;INDEX(Mapping!$B$29:$B$38,MATCH($B177,Mapping!$A$29:$A$38,0)))</f>
        <v/>
      </c>
      <c r="I177" s="5">
        <f>INDEX(Variables!$C$5:$C$65,MATCH($A177,Variables!$A$5:$A$65,0))</f>
        <v/>
      </c>
      <c r="J177" s="5">
        <f>INDEX(Variables!$E$5:$E$65,MATCH($A177,Variables!$A$5:$A$65,0))</f>
        <v/>
      </c>
      <c r="K177" s="23">
        <f>LOWER(Settings!$C$4)&amp;".mit."&amp;$A177&amp;IF($C177="","","."&amp;$C177&amp;"."&amp;$B177)&amp;IF(INDEX(Variables!$D$5:$D$65,MATCH($A177,Variables!$A$5:$A$65,0))="","","."&amp;INDEX(Variables!$D$5:$D$65,MATCH($A177,Variables!$A$5:$A$65,0)))&amp;"."&amp;K$5</f>
        <v/>
      </c>
      <c r="L177" s="38">
        <f>INDEX(L$75:L$88,$D177)/$E177</f>
        <v/>
      </c>
      <c r="M177" s="36">
        <f>INDEX(M$75:M$88,$D177)/$E177</f>
        <v/>
      </c>
      <c r="N177" s="36">
        <f>INDEX(N$75:N$88,$D177)/$E177</f>
        <v/>
      </c>
      <c r="O177" s="36">
        <f>INDEX(O$75:O$88,$D177)/$E177</f>
        <v/>
      </c>
      <c r="P177" s="36">
        <f>INDEX(P$75:P$88,$D177)/$E177</f>
        <v/>
      </c>
      <c r="Q177" s="36">
        <f>INDEX(Q$75:Q$88,$D177)/$E177</f>
        <v/>
      </c>
      <c r="R177" s="36">
        <f>INDEX(R$75:R$88,$D177)/$E177</f>
        <v/>
      </c>
      <c r="S177" s="36">
        <f>INDEX(S$75:S$88,$D177)/$E177</f>
        <v/>
      </c>
      <c r="T177" s="36">
        <f>INDEX(T$75:T$88,$D177)/$E177</f>
        <v/>
      </c>
      <c r="U177" s="36">
        <f>INDEX(U$75:U$88,$D177)/$E177</f>
        <v/>
      </c>
      <c r="V177" s="36">
        <f>INDEX(V$75:V$88,$D177)/$E177</f>
        <v/>
      </c>
      <c r="W177" s="36">
        <f>INDEX(W$75:W$88,$D177)/$E177</f>
        <v/>
      </c>
      <c r="X177" s="36">
        <f>INDEX(X$75:X$88,$D177)/$E177</f>
        <v/>
      </c>
      <c r="Y177" s="36">
        <f>INDEX(Y$75:Y$88,$D177)/$E177</f>
        <v/>
      </c>
      <c r="Z177" s="23">
        <f>LOWER(Settings!$C$4)&amp;".mit."&amp;$A177&amp;IF($C177="","","."&amp;$C177&amp;"."&amp;$B177)&amp;IF(INDEX(Variables!$D$5:$D$65,MATCH($A177,Variables!$A$5:$A$65,0))="","","."&amp;INDEX(Variables!$D$5:$D$65,MATCH($A177,Variables!$A$5:$A$65,0)))&amp;"."&amp;Z$5</f>
        <v/>
      </c>
      <c r="AA177" s="38">
        <f>INDEX(AA$75:AA$88,$D177)/$E177</f>
        <v/>
      </c>
      <c r="AB177" s="36">
        <f>INDEX(AB$75:AB$88,$D177)/$E177</f>
        <v/>
      </c>
      <c r="AC177" s="36">
        <f>INDEX(AC$75:AC$88,$D177)/$E177</f>
        <v/>
      </c>
      <c r="AD177" s="36">
        <f>INDEX(AD$75:AD$88,$D177)/$E177</f>
        <v/>
      </c>
      <c r="AE177" s="36">
        <f>INDEX(AE$75:AE$88,$D177)/$E177</f>
        <v/>
      </c>
      <c r="AF177" s="36">
        <f>INDEX(AF$75:AF$88,$D177)/$E177</f>
        <v/>
      </c>
      <c r="AG177" s="36">
        <f>INDEX(AG$75:AG$88,$D177)/$E177</f>
        <v/>
      </c>
      <c r="AH177" s="36">
        <f>INDEX(AH$75:AH$88,$D177)/$E177</f>
        <v/>
      </c>
      <c r="AI177" s="36">
        <f>INDEX(AI$75:AI$88,$D177)/$E177</f>
        <v/>
      </c>
      <c r="AJ177" s="36">
        <f>INDEX(AJ$75:AJ$88,$D177)/$E177</f>
        <v/>
      </c>
      <c r="AK177" s="36">
        <f>INDEX(AK$75:AK$88,$D177)/$E177</f>
        <v/>
      </c>
      <c r="AL177" s="36">
        <f>INDEX(AL$75:AL$88,$D177)/$E177</f>
        <v/>
      </c>
      <c r="AM177" s="36">
        <f>INDEX(AM$75:AM$88,$D177)/$E177</f>
        <v/>
      </c>
      <c r="AN177" s="36">
        <f>INDEX(AN$75:AN$88,$D177)/$E177</f>
        <v/>
      </c>
    </row>
    <row r="178" hidden="1" outlineLevel="2"/>
    <row r="179" hidden="1" outlineLevel="2">
      <c r="A179" s="5" t="inlineStr">
        <is>
          <t>nce</t>
        </is>
      </c>
      <c r="B179" s="5" t="inlineStr">
        <is>
          <t>coa</t>
        </is>
      </c>
      <c r="C179" s="5" t="inlineStr">
        <is>
          <t>rod</t>
        </is>
      </c>
      <c r="D179" s="37" t="n"/>
      <c r="E179" s="37" t="n"/>
      <c r="F179" s="37" t="n"/>
      <c r="G179" s="37" t="n"/>
      <c r="H179" s="5">
        <f>INDEX(Variables!$B$5:$B$65,MATCH($A179,Variables!$A$5:$A$65,0))&amp;IF($C179="",""," | "&amp;INDEX(Mapping!$B$5:$B$25,MATCH($C179,Mapping!$A$5:$A$25,0))&amp;" | "&amp;INDEX(Mapping!$B$29:$B$38,MATCH($B179,Mapping!$A$29:$A$38,0)))</f>
        <v/>
      </c>
      <c r="I179" s="5">
        <f>INDEX(Variables!$C$5:$C$65,MATCH($A179,Variables!$A$5:$A$65,0))</f>
        <v/>
      </c>
      <c r="J179" s="5">
        <f>INDEX(Variables!$E$5:$E$65,MATCH($A179,Variables!$A$5:$A$65,0))</f>
        <v/>
      </c>
      <c r="K179" s="23">
        <f>LOWER(Settings!$C$4)&amp;".mit."&amp;$A179&amp;IF($C179="","","."&amp;$C179&amp;"."&amp;$B179)&amp;IF(INDEX(Variables!$D$5:$D$65,MATCH($A179,Variables!$A$5:$A$65,0))="","","."&amp;INDEX(Variables!$D$5:$D$65,MATCH($A179,Variables!$A$5:$A$65,0)))&amp;"."&amp;K$5</f>
        <v/>
      </c>
      <c r="L179" s="38">
        <f>L161+L170</f>
        <v/>
      </c>
      <c r="M179" s="36">
        <f>M161+M170</f>
        <v/>
      </c>
      <c r="N179" s="36">
        <f>N161+N170</f>
        <v/>
      </c>
      <c r="O179" s="36">
        <f>O161+O170</f>
        <v/>
      </c>
      <c r="P179" s="36">
        <f>P161+P170</f>
        <v/>
      </c>
      <c r="Q179" s="36">
        <f>Q161+Q170</f>
        <v/>
      </c>
      <c r="R179" s="36">
        <f>R161+R170</f>
        <v/>
      </c>
      <c r="S179" s="36">
        <f>S161+S170</f>
        <v/>
      </c>
      <c r="T179" s="36">
        <f>T161+T170</f>
        <v/>
      </c>
      <c r="U179" s="36">
        <f>U161+U170</f>
        <v/>
      </c>
      <c r="V179" s="36">
        <f>V161+V170</f>
        <v/>
      </c>
      <c r="W179" s="36">
        <f>W161+W170</f>
        <v/>
      </c>
      <c r="X179" s="36">
        <f>X161+X170</f>
        <v/>
      </c>
      <c r="Y179" s="36">
        <f>Y161+Y170</f>
        <v/>
      </c>
      <c r="Z179" s="23">
        <f>LOWER(Settings!$C$4)&amp;".mit."&amp;$A179&amp;IF($C179="","","."&amp;$C179&amp;"."&amp;$B179)&amp;IF(INDEX(Variables!$D$5:$D$65,MATCH($A179,Variables!$A$5:$A$65,0))="","","."&amp;INDEX(Variables!$D$5:$D$65,MATCH($A179,Variables!$A$5:$A$65,0)))&amp;"."&amp;Z$5</f>
        <v/>
      </c>
      <c r="AA179" s="38">
        <f>AA161+AA170</f>
        <v/>
      </c>
      <c r="AB179" s="36">
        <f>AB161+AB170</f>
        <v/>
      </c>
      <c r="AC179" s="36">
        <f>AC161+AC170</f>
        <v/>
      </c>
      <c r="AD179" s="36">
        <f>AD161+AD170</f>
        <v/>
      </c>
      <c r="AE179" s="36">
        <f>AE161+AE170</f>
        <v/>
      </c>
      <c r="AF179" s="36">
        <f>AF161+AF170</f>
        <v/>
      </c>
      <c r="AG179" s="36">
        <f>AG161+AG170</f>
        <v/>
      </c>
      <c r="AH179" s="36">
        <f>AH161+AH170</f>
        <v/>
      </c>
      <c r="AI179" s="36">
        <f>AI161+AI170</f>
        <v/>
      </c>
      <c r="AJ179" s="36">
        <f>AJ161+AJ170</f>
        <v/>
      </c>
      <c r="AK179" s="36">
        <f>AK161+AK170</f>
        <v/>
      </c>
      <c r="AL179" s="36">
        <f>AL161+AL170</f>
        <v/>
      </c>
      <c r="AM179" s="36">
        <f>AM161+AM170</f>
        <v/>
      </c>
      <c r="AN179" s="36">
        <f>AN161+AN170</f>
        <v/>
      </c>
    </row>
    <row r="180" hidden="1" outlineLevel="2">
      <c r="A180" s="5" t="inlineStr">
        <is>
          <t>nce</t>
        </is>
      </c>
      <c r="B180" s="5" t="inlineStr">
        <is>
          <t>nga</t>
        </is>
      </c>
      <c r="C180" s="5" t="inlineStr">
        <is>
          <t>rod</t>
        </is>
      </c>
      <c r="D180" s="37" t="n"/>
      <c r="E180" s="37" t="n"/>
      <c r="F180" s="37" t="n"/>
      <c r="G180" s="37" t="n"/>
      <c r="H180" s="5">
        <f>INDEX(Variables!$B$5:$B$65,MATCH($A180,Variables!$A$5:$A$65,0))&amp;IF($C180="",""," | "&amp;INDEX(Mapping!$B$5:$B$25,MATCH($C180,Mapping!$A$5:$A$25,0))&amp;" | "&amp;INDEX(Mapping!$B$29:$B$38,MATCH($B180,Mapping!$A$29:$A$38,0)))</f>
        <v/>
      </c>
      <c r="I180" s="5">
        <f>INDEX(Variables!$C$5:$C$65,MATCH($A180,Variables!$A$5:$A$65,0))</f>
        <v/>
      </c>
      <c r="J180" s="5">
        <f>INDEX(Variables!$E$5:$E$65,MATCH($A180,Variables!$A$5:$A$65,0))</f>
        <v/>
      </c>
      <c r="K180" s="23">
        <f>LOWER(Settings!$C$4)&amp;".mit."&amp;$A180&amp;IF($C180="","","."&amp;$C180&amp;"."&amp;$B180)&amp;IF(INDEX(Variables!$D$5:$D$65,MATCH($A180,Variables!$A$5:$A$65,0))="","","."&amp;INDEX(Variables!$D$5:$D$65,MATCH($A180,Variables!$A$5:$A$65,0)))&amp;"."&amp;K$5</f>
        <v/>
      </c>
      <c r="L180" s="38">
        <f>L162+L171</f>
        <v/>
      </c>
      <c r="M180" s="36">
        <f>M162+M171</f>
        <v/>
      </c>
      <c r="N180" s="36">
        <f>N162+N171</f>
        <v/>
      </c>
      <c r="O180" s="36">
        <f>O162+O171</f>
        <v/>
      </c>
      <c r="P180" s="36">
        <f>P162+P171</f>
        <v/>
      </c>
      <c r="Q180" s="36">
        <f>Q162+Q171</f>
        <v/>
      </c>
      <c r="R180" s="36">
        <f>R162+R171</f>
        <v/>
      </c>
      <c r="S180" s="36">
        <f>S162+S171</f>
        <v/>
      </c>
      <c r="T180" s="36">
        <f>T162+T171</f>
        <v/>
      </c>
      <c r="U180" s="36">
        <f>U162+U171</f>
        <v/>
      </c>
      <c r="V180" s="36">
        <f>V162+V171</f>
        <v/>
      </c>
      <c r="W180" s="36">
        <f>W162+W171</f>
        <v/>
      </c>
      <c r="X180" s="36">
        <f>X162+X171</f>
        <v/>
      </c>
      <c r="Y180" s="36">
        <f>Y162+Y171</f>
        <v/>
      </c>
      <c r="Z180" s="23">
        <f>LOWER(Settings!$C$4)&amp;".mit."&amp;$A180&amp;IF($C180="","","."&amp;$C180&amp;"."&amp;$B180)&amp;IF(INDEX(Variables!$D$5:$D$65,MATCH($A180,Variables!$A$5:$A$65,0))="","","."&amp;INDEX(Variables!$D$5:$D$65,MATCH($A180,Variables!$A$5:$A$65,0)))&amp;"."&amp;Z$5</f>
        <v/>
      </c>
      <c r="AA180" s="38">
        <f>AA162+AA171</f>
        <v/>
      </c>
      <c r="AB180" s="36">
        <f>AB162+AB171</f>
        <v/>
      </c>
      <c r="AC180" s="36">
        <f>AC162+AC171</f>
        <v/>
      </c>
      <c r="AD180" s="36">
        <f>AD162+AD171</f>
        <v/>
      </c>
      <c r="AE180" s="36">
        <f>AE162+AE171</f>
        <v/>
      </c>
      <c r="AF180" s="36">
        <f>AF162+AF171</f>
        <v/>
      </c>
      <c r="AG180" s="36">
        <f>AG162+AG171</f>
        <v/>
      </c>
      <c r="AH180" s="36">
        <f>AH162+AH171</f>
        <v/>
      </c>
      <c r="AI180" s="36">
        <f>AI162+AI171</f>
        <v/>
      </c>
      <c r="AJ180" s="36">
        <f>AJ162+AJ171</f>
        <v/>
      </c>
      <c r="AK180" s="36">
        <f>AK162+AK171</f>
        <v/>
      </c>
      <c r="AL180" s="36">
        <f>AL162+AL171</f>
        <v/>
      </c>
      <c r="AM180" s="36">
        <f>AM162+AM171</f>
        <v/>
      </c>
      <c r="AN180" s="36">
        <f>AN162+AN171</f>
        <v/>
      </c>
    </row>
    <row r="181" hidden="1" outlineLevel="2">
      <c r="A181" s="5" t="inlineStr">
        <is>
          <t>nce</t>
        </is>
      </c>
      <c r="B181" s="5" t="inlineStr">
        <is>
          <t>gso</t>
        </is>
      </c>
      <c r="C181" s="5" t="inlineStr">
        <is>
          <t>rod</t>
        </is>
      </c>
      <c r="D181" s="37" t="n"/>
      <c r="E181" s="37" t="n"/>
      <c r="F181" s="37" t="n"/>
      <c r="G181" s="37" t="n"/>
      <c r="H181" s="5">
        <f>INDEX(Variables!$B$5:$B$65,MATCH($A181,Variables!$A$5:$A$65,0))&amp;IF($C181="",""," | "&amp;INDEX(Mapping!$B$5:$B$25,MATCH($C181,Mapping!$A$5:$A$25,0))&amp;" | "&amp;INDEX(Mapping!$B$29:$B$38,MATCH($B181,Mapping!$A$29:$A$38,0)))</f>
        <v/>
      </c>
      <c r="I181" s="5">
        <f>INDEX(Variables!$C$5:$C$65,MATCH($A181,Variables!$A$5:$A$65,0))</f>
        <v/>
      </c>
      <c r="J181" s="5">
        <f>INDEX(Variables!$E$5:$E$65,MATCH($A181,Variables!$A$5:$A$65,0))</f>
        <v/>
      </c>
      <c r="K181" s="23">
        <f>LOWER(Settings!$C$4)&amp;".mit."&amp;$A181&amp;IF($C181="","","."&amp;$C181&amp;"."&amp;$B181)&amp;IF(INDEX(Variables!$D$5:$D$65,MATCH($A181,Variables!$A$5:$A$65,0))="","","."&amp;INDEX(Variables!$D$5:$D$65,MATCH($A181,Variables!$A$5:$A$65,0)))&amp;"."&amp;K$5</f>
        <v/>
      </c>
      <c r="L181" s="38">
        <f>L163+L172</f>
        <v/>
      </c>
      <c r="M181" s="36">
        <f>M163+M172</f>
        <v/>
      </c>
      <c r="N181" s="36">
        <f>N163+N172</f>
        <v/>
      </c>
      <c r="O181" s="36">
        <f>O163+O172</f>
        <v/>
      </c>
      <c r="P181" s="36">
        <f>P163+P172</f>
        <v/>
      </c>
      <c r="Q181" s="36">
        <f>Q163+Q172</f>
        <v/>
      </c>
      <c r="R181" s="36">
        <f>R163+R172</f>
        <v/>
      </c>
      <c r="S181" s="36">
        <f>S163+S172</f>
        <v/>
      </c>
      <c r="T181" s="36">
        <f>T163+T172</f>
        <v/>
      </c>
      <c r="U181" s="36">
        <f>U163+U172</f>
        <v/>
      </c>
      <c r="V181" s="36">
        <f>V163+V172</f>
        <v/>
      </c>
      <c r="W181" s="36">
        <f>W163+W172</f>
        <v/>
      </c>
      <c r="X181" s="36">
        <f>X163+X172</f>
        <v/>
      </c>
      <c r="Y181" s="36">
        <f>Y163+Y172</f>
        <v/>
      </c>
      <c r="Z181" s="23">
        <f>LOWER(Settings!$C$4)&amp;".mit."&amp;$A181&amp;IF($C181="","","."&amp;$C181&amp;"."&amp;$B181)&amp;IF(INDEX(Variables!$D$5:$D$65,MATCH($A181,Variables!$A$5:$A$65,0))="","","."&amp;INDEX(Variables!$D$5:$D$65,MATCH($A181,Variables!$A$5:$A$65,0)))&amp;"."&amp;Z$5</f>
        <v/>
      </c>
      <c r="AA181" s="38">
        <f>AA163+AA172</f>
        <v/>
      </c>
      <c r="AB181" s="36">
        <f>AB163+AB172</f>
        <v/>
      </c>
      <c r="AC181" s="36">
        <f>AC163+AC172</f>
        <v/>
      </c>
      <c r="AD181" s="36">
        <f>AD163+AD172</f>
        <v/>
      </c>
      <c r="AE181" s="36">
        <f>AE163+AE172</f>
        <v/>
      </c>
      <c r="AF181" s="36">
        <f>AF163+AF172</f>
        <v/>
      </c>
      <c r="AG181" s="36">
        <f>AG163+AG172</f>
        <v/>
      </c>
      <c r="AH181" s="36">
        <f>AH163+AH172</f>
        <v/>
      </c>
      <c r="AI181" s="36">
        <f>AI163+AI172</f>
        <v/>
      </c>
      <c r="AJ181" s="36">
        <f>AJ163+AJ172</f>
        <v/>
      </c>
      <c r="AK181" s="36">
        <f>AK163+AK172</f>
        <v/>
      </c>
      <c r="AL181" s="36">
        <f>AL163+AL172</f>
        <v/>
      </c>
      <c r="AM181" s="36">
        <f>AM163+AM172</f>
        <v/>
      </c>
      <c r="AN181" s="36">
        <f>AN163+AN172</f>
        <v/>
      </c>
    </row>
    <row r="182" hidden="1" outlineLevel="2">
      <c r="A182" s="5" t="inlineStr">
        <is>
          <t>nce</t>
        </is>
      </c>
      <c r="B182" s="5" t="inlineStr">
        <is>
          <t>die</t>
        </is>
      </c>
      <c r="C182" s="5" t="inlineStr">
        <is>
          <t>rod</t>
        </is>
      </c>
      <c r="D182" s="37" t="n"/>
      <c r="E182" s="37" t="n"/>
      <c r="F182" s="37" t="n"/>
      <c r="G182" s="37" t="n"/>
      <c r="H182" s="5">
        <f>INDEX(Variables!$B$5:$B$65,MATCH($A182,Variables!$A$5:$A$65,0))&amp;IF($C182="",""," | "&amp;INDEX(Mapping!$B$5:$B$25,MATCH($C182,Mapping!$A$5:$A$25,0))&amp;" | "&amp;INDEX(Mapping!$B$29:$B$38,MATCH($B182,Mapping!$A$29:$A$38,0)))</f>
        <v/>
      </c>
      <c r="I182" s="5">
        <f>INDEX(Variables!$C$5:$C$65,MATCH($A182,Variables!$A$5:$A$65,0))</f>
        <v/>
      </c>
      <c r="J182" s="5">
        <f>INDEX(Variables!$E$5:$E$65,MATCH($A182,Variables!$A$5:$A$65,0))</f>
        <v/>
      </c>
      <c r="K182" s="23">
        <f>LOWER(Settings!$C$4)&amp;".mit."&amp;$A182&amp;IF($C182="","","."&amp;$C182&amp;"."&amp;$B182)&amp;IF(INDEX(Variables!$D$5:$D$65,MATCH($A182,Variables!$A$5:$A$65,0))="","","."&amp;INDEX(Variables!$D$5:$D$65,MATCH($A182,Variables!$A$5:$A$65,0)))&amp;"."&amp;K$5</f>
        <v/>
      </c>
      <c r="L182" s="38">
        <f>L164+L173</f>
        <v/>
      </c>
      <c r="M182" s="36">
        <f>M164+M173</f>
        <v/>
      </c>
      <c r="N182" s="36">
        <f>N164+N173</f>
        <v/>
      </c>
      <c r="O182" s="36">
        <f>O164+O173</f>
        <v/>
      </c>
      <c r="P182" s="36">
        <f>P164+P173</f>
        <v/>
      </c>
      <c r="Q182" s="36">
        <f>Q164+Q173</f>
        <v/>
      </c>
      <c r="R182" s="36">
        <f>R164+R173</f>
        <v/>
      </c>
      <c r="S182" s="36">
        <f>S164+S173</f>
        <v/>
      </c>
      <c r="T182" s="36">
        <f>T164+T173</f>
        <v/>
      </c>
      <c r="U182" s="36">
        <f>U164+U173</f>
        <v/>
      </c>
      <c r="V182" s="36">
        <f>V164+V173</f>
        <v/>
      </c>
      <c r="W182" s="36">
        <f>W164+W173</f>
        <v/>
      </c>
      <c r="X182" s="36">
        <f>X164+X173</f>
        <v/>
      </c>
      <c r="Y182" s="36">
        <f>Y164+Y173</f>
        <v/>
      </c>
      <c r="Z182" s="23">
        <f>LOWER(Settings!$C$4)&amp;".mit."&amp;$A182&amp;IF($C182="","","."&amp;$C182&amp;"."&amp;$B182)&amp;IF(INDEX(Variables!$D$5:$D$65,MATCH($A182,Variables!$A$5:$A$65,0))="","","."&amp;INDEX(Variables!$D$5:$D$65,MATCH($A182,Variables!$A$5:$A$65,0)))&amp;"."&amp;Z$5</f>
        <v/>
      </c>
      <c r="AA182" s="38">
        <f>AA164+AA173</f>
        <v/>
      </c>
      <c r="AB182" s="36">
        <f>AB164+AB173</f>
        <v/>
      </c>
      <c r="AC182" s="36">
        <f>AC164+AC173</f>
        <v/>
      </c>
      <c r="AD182" s="36">
        <f>AD164+AD173</f>
        <v/>
      </c>
      <c r="AE182" s="36">
        <f>AE164+AE173</f>
        <v/>
      </c>
      <c r="AF182" s="36">
        <f>AF164+AF173</f>
        <v/>
      </c>
      <c r="AG182" s="36">
        <f>AG164+AG173</f>
        <v/>
      </c>
      <c r="AH182" s="36">
        <f>AH164+AH173</f>
        <v/>
      </c>
      <c r="AI182" s="36">
        <f>AI164+AI173</f>
        <v/>
      </c>
      <c r="AJ182" s="36">
        <f>AJ164+AJ173</f>
        <v/>
      </c>
      <c r="AK182" s="36">
        <f>AK164+AK173</f>
        <v/>
      </c>
      <c r="AL182" s="36">
        <f>AL164+AL173</f>
        <v/>
      </c>
      <c r="AM182" s="36">
        <f>AM164+AM173</f>
        <v/>
      </c>
      <c r="AN182" s="36">
        <f>AN164+AN173</f>
        <v/>
      </c>
    </row>
    <row r="183" hidden="1" outlineLevel="2">
      <c r="A183" s="5" t="inlineStr">
        <is>
          <t>nce</t>
        </is>
      </c>
      <c r="B183" s="5" t="inlineStr">
        <is>
          <t>lpg</t>
        </is>
      </c>
      <c r="C183" s="5" t="inlineStr">
        <is>
          <t>rod</t>
        </is>
      </c>
      <c r="D183" s="37" t="n"/>
      <c r="E183" s="37" t="n"/>
      <c r="F183" s="37" t="n"/>
      <c r="G183" s="37" t="n"/>
      <c r="H183" s="5">
        <f>INDEX(Variables!$B$5:$B$65,MATCH($A183,Variables!$A$5:$A$65,0))&amp;IF($C183="",""," | "&amp;INDEX(Mapping!$B$5:$B$25,MATCH($C183,Mapping!$A$5:$A$25,0))&amp;" | "&amp;INDEX(Mapping!$B$29:$B$38,MATCH($B183,Mapping!$A$29:$A$38,0)))</f>
        <v/>
      </c>
      <c r="I183" s="5">
        <f>INDEX(Variables!$C$5:$C$65,MATCH($A183,Variables!$A$5:$A$65,0))</f>
        <v/>
      </c>
      <c r="J183" s="5">
        <f>INDEX(Variables!$E$5:$E$65,MATCH($A183,Variables!$A$5:$A$65,0))</f>
        <v/>
      </c>
      <c r="K183" s="23">
        <f>LOWER(Settings!$C$4)&amp;".mit."&amp;$A183&amp;IF($C183="","","."&amp;$C183&amp;"."&amp;$B183)&amp;IF(INDEX(Variables!$D$5:$D$65,MATCH($A183,Variables!$A$5:$A$65,0))="","","."&amp;INDEX(Variables!$D$5:$D$65,MATCH($A183,Variables!$A$5:$A$65,0)))&amp;"."&amp;K$5</f>
        <v/>
      </c>
      <c r="L183" s="38">
        <f>L165+L174</f>
        <v/>
      </c>
      <c r="M183" s="36">
        <f>M165+M174</f>
        <v/>
      </c>
      <c r="N183" s="36">
        <f>N165+N174</f>
        <v/>
      </c>
      <c r="O183" s="36">
        <f>O165+O174</f>
        <v/>
      </c>
      <c r="P183" s="36">
        <f>P165+P174</f>
        <v/>
      </c>
      <c r="Q183" s="36">
        <f>Q165+Q174</f>
        <v/>
      </c>
      <c r="R183" s="36">
        <f>R165+R174</f>
        <v/>
      </c>
      <c r="S183" s="36">
        <f>S165+S174</f>
        <v/>
      </c>
      <c r="T183" s="36">
        <f>T165+T174</f>
        <v/>
      </c>
      <c r="U183" s="36">
        <f>U165+U174</f>
        <v/>
      </c>
      <c r="V183" s="36">
        <f>V165+V174</f>
        <v/>
      </c>
      <c r="W183" s="36">
        <f>W165+W174</f>
        <v/>
      </c>
      <c r="X183" s="36">
        <f>X165+X174</f>
        <v/>
      </c>
      <c r="Y183" s="36">
        <f>Y165+Y174</f>
        <v/>
      </c>
      <c r="Z183" s="23">
        <f>LOWER(Settings!$C$4)&amp;".mit."&amp;$A183&amp;IF($C183="","","."&amp;$C183&amp;"."&amp;$B183)&amp;IF(INDEX(Variables!$D$5:$D$65,MATCH($A183,Variables!$A$5:$A$65,0))="","","."&amp;INDEX(Variables!$D$5:$D$65,MATCH($A183,Variables!$A$5:$A$65,0)))&amp;"."&amp;Z$5</f>
        <v/>
      </c>
      <c r="AA183" s="38">
        <f>AA165+AA174</f>
        <v/>
      </c>
      <c r="AB183" s="36">
        <f>AB165+AB174</f>
        <v/>
      </c>
      <c r="AC183" s="36">
        <f>AC165+AC174</f>
        <v/>
      </c>
      <c r="AD183" s="36">
        <f>AD165+AD174</f>
        <v/>
      </c>
      <c r="AE183" s="36">
        <f>AE165+AE174</f>
        <v/>
      </c>
      <c r="AF183" s="36">
        <f>AF165+AF174</f>
        <v/>
      </c>
      <c r="AG183" s="36">
        <f>AG165+AG174</f>
        <v/>
      </c>
      <c r="AH183" s="36">
        <f>AH165+AH174</f>
        <v/>
      </c>
      <c r="AI183" s="36">
        <f>AI165+AI174</f>
        <v/>
      </c>
      <c r="AJ183" s="36">
        <f>AJ165+AJ174</f>
        <v/>
      </c>
      <c r="AK183" s="36">
        <f>AK165+AK174</f>
        <v/>
      </c>
      <c r="AL183" s="36">
        <f>AL165+AL174</f>
        <v/>
      </c>
      <c r="AM183" s="36">
        <f>AM165+AM174</f>
        <v/>
      </c>
      <c r="AN183" s="36">
        <f>AN165+AN174</f>
        <v/>
      </c>
    </row>
    <row r="184" hidden="1" outlineLevel="2">
      <c r="A184" s="5" t="inlineStr">
        <is>
          <t>nce</t>
        </is>
      </c>
      <c r="B184" s="5" t="inlineStr">
        <is>
          <t>ker</t>
        </is>
      </c>
      <c r="C184" s="5" t="inlineStr">
        <is>
          <t>rod</t>
        </is>
      </c>
      <c r="D184" s="37" t="n"/>
      <c r="E184" s="37" t="n"/>
      <c r="F184" s="37" t="n"/>
      <c r="G184" s="37" t="n"/>
      <c r="H184" s="5">
        <f>INDEX(Variables!$B$5:$B$65,MATCH($A184,Variables!$A$5:$A$65,0))&amp;IF($C184="",""," | "&amp;INDEX(Mapping!$B$5:$B$25,MATCH($C184,Mapping!$A$5:$A$25,0))&amp;" | "&amp;INDEX(Mapping!$B$29:$B$38,MATCH($B184,Mapping!$A$29:$A$38,0)))</f>
        <v/>
      </c>
      <c r="I184" s="5">
        <f>INDEX(Variables!$C$5:$C$65,MATCH($A184,Variables!$A$5:$A$65,0))</f>
        <v/>
      </c>
      <c r="J184" s="5">
        <f>INDEX(Variables!$E$5:$E$65,MATCH($A184,Variables!$A$5:$A$65,0))</f>
        <v/>
      </c>
      <c r="K184" s="23">
        <f>LOWER(Settings!$C$4)&amp;".mit."&amp;$A184&amp;IF($C184="","","."&amp;$C184&amp;"."&amp;$B184)&amp;IF(INDEX(Variables!$D$5:$D$65,MATCH($A184,Variables!$A$5:$A$65,0))="","","."&amp;INDEX(Variables!$D$5:$D$65,MATCH($A184,Variables!$A$5:$A$65,0)))&amp;"."&amp;K$5</f>
        <v/>
      </c>
      <c r="L184" s="38">
        <f>L166+L175</f>
        <v/>
      </c>
      <c r="M184" s="36">
        <f>M166+M175</f>
        <v/>
      </c>
      <c r="N184" s="36">
        <f>N166+N175</f>
        <v/>
      </c>
      <c r="O184" s="36">
        <f>O166+O175</f>
        <v/>
      </c>
      <c r="P184" s="36">
        <f>P166+P175</f>
        <v/>
      </c>
      <c r="Q184" s="36">
        <f>Q166+Q175</f>
        <v/>
      </c>
      <c r="R184" s="36">
        <f>R166+R175</f>
        <v/>
      </c>
      <c r="S184" s="36">
        <f>S166+S175</f>
        <v/>
      </c>
      <c r="T184" s="36">
        <f>T166+T175</f>
        <v/>
      </c>
      <c r="U184" s="36">
        <f>U166+U175</f>
        <v/>
      </c>
      <c r="V184" s="36">
        <f>V166+V175</f>
        <v/>
      </c>
      <c r="W184" s="36">
        <f>W166+W175</f>
        <v/>
      </c>
      <c r="X184" s="36">
        <f>X166+X175</f>
        <v/>
      </c>
      <c r="Y184" s="36">
        <f>Y166+Y175</f>
        <v/>
      </c>
      <c r="Z184" s="23">
        <f>LOWER(Settings!$C$4)&amp;".mit."&amp;$A184&amp;IF($C184="","","."&amp;$C184&amp;"."&amp;$B184)&amp;IF(INDEX(Variables!$D$5:$D$65,MATCH($A184,Variables!$A$5:$A$65,0))="","","."&amp;INDEX(Variables!$D$5:$D$65,MATCH($A184,Variables!$A$5:$A$65,0)))&amp;"."&amp;Z$5</f>
        <v/>
      </c>
      <c r="AA184" s="38">
        <f>AA166+AA175</f>
        <v/>
      </c>
      <c r="AB184" s="36">
        <f>AB166+AB175</f>
        <v/>
      </c>
      <c r="AC184" s="36">
        <f>AC166+AC175</f>
        <v/>
      </c>
      <c r="AD184" s="36">
        <f>AD166+AD175</f>
        <v/>
      </c>
      <c r="AE184" s="36">
        <f>AE166+AE175</f>
        <v/>
      </c>
      <c r="AF184" s="36">
        <f>AF166+AF175</f>
        <v/>
      </c>
      <c r="AG184" s="36">
        <f>AG166+AG175</f>
        <v/>
      </c>
      <c r="AH184" s="36">
        <f>AH166+AH175</f>
        <v/>
      </c>
      <c r="AI184" s="36">
        <f>AI166+AI175</f>
        <v/>
      </c>
      <c r="AJ184" s="36">
        <f>AJ166+AJ175</f>
        <v/>
      </c>
      <c r="AK184" s="36">
        <f>AK166+AK175</f>
        <v/>
      </c>
      <c r="AL184" s="36">
        <f>AL166+AL175</f>
        <v/>
      </c>
      <c r="AM184" s="36">
        <f>AM166+AM175</f>
        <v/>
      </c>
      <c r="AN184" s="36">
        <f>AN166+AN175</f>
        <v/>
      </c>
    </row>
    <row r="185" hidden="1" outlineLevel="2">
      <c r="A185" s="5" t="inlineStr">
        <is>
          <t>nce</t>
        </is>
      </c>
      <c r="B185" s="5" t="inlineStr">
        <is>
          <t>oop</t>
        </is>
      </c>
      <c r="C185" s="5" t="inlineStr">
        <is>
          <t>rod</t>
        </is>
      </c>
      <c r="D185" s="37" t="n"/>
      <c r="E185" s="37" t="n"/>
      <c r="F185" s="37" t="n"/>
      <c r="G185" s="37" t="n"/>
      <c r="H185" s="5">
        <f>INDEX(Variables!$B$5:$B$65,MATCH($A185,Variables!$A$5:$A$65,0))&amp;IF($C185="",""," | "&amp;INDEX(Mapping!$B$5:$B$25,MATCH($C185,Mapping!$A$5:$A$25,0))&amp;" | "&amp;INDEX(Mapping!$B$29:$B$38,MATCH($B185,Mapping!$A$29:$A$38,0)))</f>
        <v/>
      </c>
      <c r="I185" s="5">
        <f>INDEX(Variables!$C$5:$C$65,MATCH($A185,Variables!$A$5:$A$65,0))</f>
        <v/>
      </c>
      <c r="J185" s="5">
        <f>INDEX(Variables!$E$5:$E$65,MATCH($A185,Variables!$A$5:$A$65,0))</f>
        <v/>
      </c>
      <c r="K185" s="23">
        <f>LOWER(Settings!$C$4)&amp;".mit."&amp;$A185&amp;IF($C185="","","."&amp;$C185&amp;"."&amp;$B185)&amp;IF(INDEX(Variables!$D$5:$D$65,MATCH($A185,Variables!$A$5:$A$65,0))="","","."&amp;INDEX(Variables!$D$5:$D$65,MATCH($A185,Variables!$A$5:$A$65,0)))&amp;"."&amp;K$5</f>
        <v/>
      </c>
      <c r="L185" s="38">
        <f>L167+L176</f>
        <v/>
      </c>
      <c r="M185" s="36">
        <f>M167+M176</f>
        <v/>
      </c>
      <c r="N185" s="36">
        <f>N167+N176</f>
        <v/>
      </c>
      <c r="O185" s="36">
        <f>O167+O176</f>
        <v/>
      </c>
      <c r="P185" s="36">
        <f>P167+P176</f>
        <v/>
      </c>
      <c r="Q185" s="36">
        <f>Q167+Q176</f>
        <v/>
      </c>
      <c r="R185" s="36">
        <f>R167+R176</f>
        <v/>
      </c>
      <c r="S185" s="36">
        <f>S167+S176</f>
        <v/>
      </c>
      <c r="T185" s="36">
        <f>T167+T176</f>
        <v/>
      </c>
      <c r="U185" s="36">
        <f>U167+U176</f>
        <v/>
      </c>
      <c r="V185" s="36">
        <f>V167+V176</f>
        <v/>
      </c>
      <c r="W185" s="36">
        <f>W167+W176</f>
        <v/>
      </c>
      <c r="X185" s="36">
        <f>X167+X176</f>
        <v/>
      </c>
      <c r="Y185" s="36">
        <f>Y167+Y176</f>
        <v/>
      </c>
      <c r="Z185" s="23">
        <f>LOWER(Settings!$C$4)&amp;".mit."&amp;$A185&amp;IF($C185="","","."&amp;$C185&amp;"."&amp;$B185)&amp;IF(INDEX(Variables!$D$5:$D$65,MATCH($A185,Variables!$A$5:$A$65,0))="","","."&amp;INDEX(Variables!$D$5:$D$65,MATCH($A185,Variables!$A$5:$A$65,0)))&amp;"."&amp;Z$5</f>
        <v/>
      </c>
      <c r="AA185" s="38">
        <f>AA167+AA176</f>
        <v/>
      </c>
      <c r="AB185" s="36">
        <f>AB167+AB176</f>
        <v/>
      </c>
      <c r="AC185" s="36">
        <f>AC167+AC176</f>
        <v/>
      </c>
      <c r="AD185" s="36">
        <f>AD167+AD176</f>
        <v/>
      </c>
      <c r="AE185" s="36">
        <f>AE167+AE176</f>
        <v/>
      </c>
      <c r="AF185" s="36">
        <f>AF167+AF176</f>
        <v/>
      </c>
      <c r="AG185" s="36">
        <f>AG167+AG176</f>
        <v/>
      </c>
      <c r="AH185" s="36">
        <f>AH167+AH176</f>
        <v/>
      </c>
      <c r="AI185" s="36">
        <f>AI167+AI176</f>
        <v/>
      </c>
      <c r="AJ185" s="36">
        <f>AJ167+AJ176</f>
        <v/>
      </c>
      <c r="AK185" s="36">
        <f>AK167+AK176</f>
        <v/>
      </c>
      <c r="AL185" s="36">
        <f>AL167+AL176</f>
        <v/>
      </c>
      <c r="AM185" s="36">
        <f>AM167+AM176</f>
        <v/>
      </c>
      <c r="AN185" s="36">
        <f>AN167+AN176</f>
        <v/>
      </c>
    </row>
    <row r="186" hidden="1" outlineLevel="2">
      <c r="A186" s="5" t="inlineStr">
        <is>
          <t>nce</t>
        </is>
      </c>
      <c r="B186" s="5" t="inlineStr">
        <is>
          <t>bio</t>
        </is>
      </c>
      <c r="C186" s="5" t="inlineStr">
        <is>
          <t>rod</t>
        </is>
      </c>
      <c r="D186" s="37" t="n"/>
      <c r="E186" s="37" t="n"/>
      <c r="F186" s="37" t="n"/>
      <c r="G186" s="37" t="n"/>
      <c r="H186" s="5">
        <f>INDEX(Variables!$B$5:$B$65,MATCH($A186,Variables!$A$5:$A$65,0))&amp;IF($C186="",""," | "&amp;INDEX(Mapping!$B$5:$B$25,MATCH($C186,Mapping!$A$5:$A$25,0))&amp;" | "&amp;INDEX(Mapping!$B$29:$B$38,MATCH($B186,Mapping!$A$29:$A$38,0)))</f>
        <v/>
      </c>
      <c r="I186" s="5">
        <f>INDEX(Variables!$C$5:$C$65,MATCH($A186,Variables!$A$5:$A$65,0))</f>
        <v/>
      </c>
      <c r="J186" s="5">
        <f>INDEX(Variables!$E$5:$E$65,MATCH($A186,Variables!$A$5:$A$65,0))</f>
        <v/>
      </c>
      <c r="K186" s="23">
        <f>LOWER(Settings!$C$4)&amp;".mit."&amp;$A186&amp;IF($C186="","","."&amp;$C186&amp;"."&amp;$B186)&amp;IF(INDEX(Variables!$D$5:$D$65,MATCH($A186,Variables!$A$5:$A$65,0))="","","."&amp;INDEX(Variables!$D$5:$D$65,MATCH($A186,Variables!$A$5:$A$65,0)))&amp;"."&amp;K$5</f>
        <v/>
      </c>
      <c r="L186" s="38">
        <f>L168+L177</f>
        <v/>
      </c>
      <c r="M186" s="36">
        <f>M168+M177</f>
        <v/>
      </c>
      <c r="N186" s="36">
        <f>N168+N177</f>
        <v/>
      </c>
      <c r="O186" s="36">
        <f>O168+O177</f>
        <v/>
      </c>
      <c r="P186" s="36">
        <f>P168+P177</f>
        <v/>
      </c>
      <c r="Q186" s="36">
        <f>Q168+Q177</f>
        <v/>
      </c>
      <c r="R186" s="36">
        <f>R168+R177</f>
        <v/>
      </c>
      <c r="S186" s="36">
        <f>S168+S177</f>
        <v/>
      </c>
      <c r="T186" s="36">
        <f>T168+T177</f>
        <v/>
      </c>
      <c r="U186" s="36">
        <f>U168+U177</f>
        <v/>
      </c>
      <c r="V186" s="36">
        <f>V168+V177</f>
        <v/>
      </c>
      <c r="W186" s="36">
        <f>W168+W177</f>
        <v/>
      </c>
      <c r="X186" s="36">
        <f>X168+X177</f>
        <v/>
      </c>
      <c r="Y186" s="36">
        <f>Y168+Y177</f>
        <v/>
      </c>
      <c r="Z186" s="23">
        <f>LOWER(Settings!$C$4)&amp;".mit."&amp;$A186&amp;IF($C186="","","."&amp;$C186&amp;"."&amp;$B186)&amp;IF(INDEX(Variables!$D$5:$D$65,MATCH($A186,Variables!$A$5:$A$65,0))="","","."&amp;INDEX(Variables!$D$5:$D$65,MATCH($A186,Variables!$A$5:$A$65,0)))&amp;"."&amp;Z$5</f>
        <v/>
      </c>
      <c r="AA186" s="38">
        <f>AA168+AA177</f>
        <v/>
      </c>
      <c r="AB186" s="36">
        <f>AB168+AB177</f>
        <v/>
      </c>
      <c r="AC186" s="36">
        <f>AC168+AC177</f>
        <v/>
      </c>
      <c r="AD186" s="36">
        <f>AD168+AD177</f>
        <v/>
      </c>
      <c r="AE186" s="36">
        <f>AE168+AE177</f>
        <v/>
      </c>
      <c r="AF186" s="36">
        <f>AF168+AF177</f>
        <v/>
      </c>
      <c r="AG186" s="36">
        <f>AG168+AG177</f>
        <v/>
      </c>
      <c r="AH186" s="36">
        <f>AH168+AH177</f>
        <v/>
      </c>
      <c r="AI186" s="36">
        <f>AI168+AI177</f>
        <v/>
      </c>
      <c r="AJ186" s="36">
        <f>AJ168+AJ177</f>
        <v/>
      </c>
      <c r="AK186" s="36">
        <f>AK168+AK177</f>
        <v/>
      </c>
      <c r="AL186" s="36">
        <f>AL168+AL177</f>
        <v/>
      </c>
      <c r="AM186" s="36">
        <f>AM168+AM177</f>
        <v/>
      </c>
      <c r="AN186" s="36">
        <f>AN168+AN177</f>
        <v/>
      </c>
    </row>
    <row r="187" hidden="1" outlineLevel="2"/>
    <row r="188" hidden="1" outlineLevel="2">
      <c r="A188" s="5" t="inlineStr">
        <is>
          <t>tax</t>
        </is>
      </c>
      <c r="B188" s="5" t="inlineStr">
        <is>
          <t>coa</t>
        </is>
      </c>
      <c r="C188" s="5" t="inlineStr">
        <is>
          <t>rod</t>
        </is>
      </c>
      <c r="D188" s="36">
        <f>INDEX(Inputs!$T$5:$T$132,MATCH($B188&amp;"|"&amp;$C188,Inputs!$A$5:$A$132,0))</f>
        <v/>
      </c>
      <c r="E188" s="37" t="n"/>
      <c r="F188" s="37" t="n"/>
      <c r="G188" s="37" t="n"/>
      <c r="H188" s="5">
        <f>INDEX(Variables!$B$5:$B$65,MATCH($A188,Variables!$A$5:$A$65,0))&amp;IF($C188="",""," | "&amp;INDEX(Mapping!$B$5:$B$25,MATCH($C188,Mapping!$A$5:$A$25,0))&amp;" | "&amp;INDEX(Mapping!$B$29:$B$38,MATCH($B188,Mapping!$A$29:$A$38,0)))</f>
        <v/>
      </c>
      <c r="I188" s="5">
        <f>INDEX(Variables!$C$5:$C$65,MATCH($A188,Variables!$A$5:$A$65,0))</f>
        <v/>
      </c>
      <c r="J188" s="5">
        <f>INDEX(Variables!$E$5:$E$65,MATCH($A188,Variables!$A$5:$A$65,0))</f>
        <v/>
      </c>
      <c r="K188" s="23">
        <f>LOWER(Settings!$C$4)&amp;".mit."&amp;$A188&amp;IF($C188="","","."&amp;$C188&amp;"."&amp;$B188)&amp;IF(INDEX(Variables!$D$5:$D$65,MATCH($A188,Variables!$A$5:$A$65,0))="","","."&amp;INDEX(Variables!$D$5:$D$65,MATCH($A188,Variables!$A$5:$A$65,0)))&amp;"."&amp;K$5</f>
        <v/>
      </c>
      <c r="L188" s="38">
        <f>$D188+L179</f>
        <v/>
      </c>
      <c r="M188" s="36">
        <f>$D188+M179</f>
        <v/>
      </c>
      <c r="N188" s="36">
        <f>$D188+N179</f>
        <v/>
      </c>
      <c r="O188" s="36">
        <f>$D188+O179</f>
        <v/>
      </c>
      <c r="P188" s="36">
        <f>$D188+P179</f>
        <v/>
      </c>
      <c r="Q188" s="36">
        <f>$D188+Q179</f>
        <v/>
      </c>
      <c r="R188" s="36">
        <f>$D188+R179</f>
        <v/>
      </c>
      <c r="S188" s="36">
        <f>$D188+S179</f>
        <v/>
      </c>
      <c r="T188" s="36">
        <f>$D188+T179</f>
        <v/>
      </c>
      <c r="U188" s="36">
        <f>$D188+U179</f>
        <v/>
      </c>
      <c r="V188" s="36">
        <f>$D188+V179</f>
        <v/>
      </c>
      <c r="W188" s="36">
        <f>$D188+W179</f>
        <v/>
      </c>
      <c r="X188" s="36">
        <f>$D188+X179</f>
        <v/>
      </c>
      <c r="Y188" s="39">
        <f>TAX($D188,Y179)</f>
        <v/>
      </c>
      <c r="Z188" s="23">
        <f>LOWER(Settings!$C$4)&amp;".mit."&amp;$A188&amp;IF($C188="","","."&amp;$C188&amp;"."&amp;$B188)&amp;IF(INDEX(Variables!$D$5:$D$65,MATCH($A188,Variables!$A$5:$A$65,0))="","","."&amp;INDEX(Variables!$D$5:$D$65,MATCH($A188,Variables!$A$5:$A$65,0)))&amp;"."&amp;Z$5</f>
        <v/>
      </c>
      <c r="AA188" s="38">
        <f>$D188+AA179</f>
        <v/>
      </c>
      <c r="AB188" s="36">
        <f>$D188+AB179</f>
        <v/>
      </c>
      <c r="AC188" s="36">
        <f>$D188+AC179</f>
        <v/>
      </c>
      <c r="AD188" s="36">
        <f>$D188+AD179</f>
        <v/>
      </c>
      <c r="AE188" s="36">
        <f>$D188+AE179</f>
        <v/>
      </c>
      <c r="AF188" s="36">
        <f>$D188+AF179</f>
        <v/>
      </c>
      <c r="AG188" s="36">
        <f>$D188+AG179</f>
        <v/>
      </c>
      <c r="AH188" s="36">
        <f>$D188+AH179</f>
        <v/>
      </c>
      <c r="AI188" s="36">
        <f>$D188+AI179</f>
        <v/>
      </c>
      <c r="AJ188" s="36">
        <f>$D188+AJ179</f>
        <v/>
      </c>
      <c r="AK188" s="36">
        <f>$D188+AK179</f>
        <v/>
      </c>
      <c r="AL188" s="36">
        <f>$D188+AL179</f>
        <v/>
      </c>
      <c r="AM188" s="36">
        <f>$D188+AM179</f>
        <v/>
      </c>
      <c r="AN188" s="39">
        <f>TAX($D188,AN179)</f>
        <v/>
      </c>
    </row>
    <row r="189" hidden="1" outlineLevel="2">
      <c r="A189" s="5" t="inlineStr">
        <is>
          <t>tax</t>
        </is>
      </c>
      <c r="B189" s="5" t="inlineStr">
        <is>
          <t>nga</t>
        </is>
      </c>
      <c r="C189" s="5" t="inlineStr">
        <is>
          <t>rod</t>
        </is>
      </c>
      <c r="D189" s="36">
        <f>INDEX(Inputs!$T$5:$T$132,MATCH($B189&amp;"|"&amp;$C189,Inputs!$A$5:$A$132,0))</f>
        <v/>
      </c>
      <c r="E189" s="37" t="n"/>
      <c r="F189" s="37" t="n"/>
      <c r="G189" s="37" t="n"/>
      <c r="H189" s="5">
        <f>INDEX(Variables!$B$5:$B$65,MATCH($A189,Variables!$A$5:$A$65,0))&amp;IF($C189="",""," | "&amp;INDEX(Mapping!$B$5:$B$25,MATCH($C189,Mapping!$A$5:$A$25,0))&amp;" | "&amp;INDEX(Mapping!$B$29:$B$38,MATCH($B189,Mapping!$A$29:$A$38,0)))</f>
        <v/>
      </c>
      <c r="I189" s="5">
        <f>INDEX(Variables!$C$5:$C$65,MATCH($A189,Variables!$A$5:$A$65,0))</f>
        <v/>
      </c>
      <c r="J189" s="5">
        <f>INDEX(Variables!$E$5:$E$65,MATCH($A189,Variables!$A$5:$A$65,0))</f>
        <v/>
      </c>
      <c r="K189" s="23">
        <f>LOWER(Settings!$C$4)&amp;".mit."&amp;$A189&amp;IF($C189="","","."&amp;$C189&amp;"."&amp;$B189)&amp;IF(INDEX(Variables!$D$5:$D$65,MATCH($A189,Variables!$A$5:$A$65,0))="","","."&amp;INDEX(Variables!$D$5:$D$65,MATCH($A189,Variables!$A$5:$A$65,0)))&amp;"."&amp;K$5</f>
        <v/>
      </c>
      <c r="L189" s="38">
        <f>$D189+L180</f>
        <v/>
      </c>
      <c r="M189" s="36">
        <f>$D189+M180</f>
        <v/>
      </c>
      <c r="N189" s="36">
        <f>$D189+N180</f>
        <v/>
      </c>
      <c r="O189" s="36">
        <f>$D189+O180</f>
        <v/>
      </c>
      <c r="P189" s="36">
        <f>$D189+P180</f>
        <v/>
      </c>
      <c r="Q189" s="36">
        <f>$D189+Q180</f>
        <v/>
      </c>
      <c r="R189" s="36">
        <f>$D189+R180</f>
        <v/>
      </c>
      <c r="S189" s="36">
        <f>$D189+S180</f>
        <v/>
      </c>
      <c r="T189" s="36">
        <f>$D189+T180</f>
        <v/>
      </c>
      <c r="U189" s="36">
        <f>$D189+U180</f>
        <v/>
      </c>
      <c r="V189" s="36">
        <f>$D189+V180</f>
        <v/>
      </c>
      <c r="W189" s="36">
        <f>$D189+W180</f>
        <v/>
      </c>
      <c r="X189" s="36">
        <f>$D189+X180</f>
        <v/>
      </c>
      <c r="Y189" s="39">
        <f>TAX($D189,Y180)</f>
        <v/>
      </c>
      <c r="Z189" s="23">
        <f>LOWER(Settings!$C$4)&amp;".mit."&amp;$A189&amp;IF($C189="","","."&amp;$C189&amp;"."&amp;$B189)&amp;IF(INDEX(Variables!$D$5:$D$65,MATCH($A189,Variables!$A$5:$A$65,0))="","","."&amp;INDEX(Variables!$D$5:$D$65,MATCH($A189,Variables!$A$5:$A$65,0)))&amp;"."&amp;Z$5</f>
        <v/>
      </c>
      <c r="AA189" s="38">
        <f>$D189+AA180</f>
        <v/>
      </c>
      <c r="AB189" s="36">
        <f>$D189+AB180</f>
        <v/>
      </c>
      <c r="AC189" s="36">
        <f>$D189+AC180</f>
        <v/>
      </c>
      <c r="AD189" s="36">
        <f>$D189+AD180</f>
        <v/>
      </c>
      <c r="AE189" s="36">
        <f>$D189+AE180</f>
        <v/>
      </c>
      <c r="AF189" s="36">
        <f>$D189+AF180</f>
        <v/>
      </c>
      <c r="AG189" s="36">
        <f>$D189+AG180</f>
        <v/>
      </c>
      <c r="AH189" s="36">
        <f>$D189+AH180</f>
        <v/>
      </c>
      <c r="AI189" s="36">
        <f>$D189+AI180</f>
        <v/>
      </c>
      <c r="AJ189" s="36">
        <f>$D189+AJ180</f>
        <v/>
      </c>
      <c r="AK189" s="36">
        <f>$D189+AK180</f>
        <v/>
      </c>
      <c r="AL189" s="36">
        <f>$D189+AL180</f>
        <v/>
      </c>
      <c r="AM189" s="36">
        <f>$D189+AM180</f>
        <v/>
      </c>
      <c r="AN189" s="39">
        <f>TAX($D189,AN180)</f>
        <v/>
      </c>
    </row>
    <row r="190" hidden="1" outlineLevel="2">
      <c r="A190" s="5" t="inlineStr">
        <is>
          <t>tax</t>
        </is>
      </c>
      <c r="B190" s="5" t="inlineStr">
        <is>
          <t>gso</t>
        </is>
      </c>
      <c r="C190" s="5" t="inlineStr">
        <is>
          <t>rod</t>
        </is>
      </c>
      <c r="D190" s="36">
        <f>INDEX(Inputs!$T$5:$T$132,MATCH($B190&amp;"|"&amp;$C190,Inputs!$A$5:$A$132,0))</f>
        <v/>
      </c>
      <c r="E190" s="37" t="n"/>
      <c r="F190" s="37" t="n"/>
      <c r="G190" s="37" t="n"/>
      <c r="H190" s="5">
        <f>INDEX(Variables!$B$5:$B$65,MATCH($A190,Variables!$A$5:$A$65,0))&amp;IF($C190="",""," | "&amp;INDEX(Mapping!$B$5:$B$25,MATCH($C190,Mapping!$A$5:$A$25,0))&amp;" | "&amp;INDEX(Mapping!$B$29:$B$38,MATCH($B190,Mapping!$A$29:$A$38,0)))</f>
        <v/>
      </c>
      <c r="I190" s="5">
        <f>INDEX(Variables!$C$5:$C$65,MATCH($A190,Variables!$A$5:$A$65,0))</f>
        <v/>
      </c>
      <c r="J190" s="5">
        <f>INDEX(Variables!$E$5:$E$65,MATCH($A190,Variables!$A$5:$A$65,0))</f>
        <v/>
      </c>
      <c r="K190" s="23">
        <f>LOWER(Settings!$C$4)&amp;".mit."&amp;$A190&amp;IF($C190="","","."&amp;$C190&amp;"."&amp;$B190)&amp;IF(INDEX(Variables!$D$5:$D$65,MATCH($A190,Variables!$A$5:$A$65,0))="","","."&amp;INDEX(Variables!$D$5:$D$65,MATCH($A190,Variables!$A$5:$A$65,0)))&amp;"."&amp;K$5</f>
        <v/>
      </c>
      <c r="L190" s="38">
        <f>$D190+L181</f>
        <v/>
      </c>
      <c r="M190" s="36">
        <f>$D190+M181</f>
        <v/>
      </c>
      <c r="N190" s="36">
        <f>$D190+N181</f>
        <v/>
      </c>
      <c r="O190" s="36">
        <f>$D190+O181</f>
        <v/>
      </c>
      <c r="P190" s="36">
        <f>$D190+P181</f>
        <v/>
      </c>
      <c r="Q190" s="36">
        <f>$D190+Q181</f>
        <v/>
      </c>
      <c r="R190" s="36">
        <f>$D190+R181</f>
        <v/>
      </c>
      <c r="S190" s="36">
        <f>$D190+S181</f>
        <v/>
      </c>
      <c r="T190" s="36">
        <f>$D190+T181</f>
        <v/>
      </c>
      <c r="U190" s="36">
        <f>$D190+U181</f>
        <v/>
      </c>
      <c r="V190" s="36">
        <f>$D190+V181</f>
        <v/>
      </c>
      <c r="W190" s="36">
        <f>$D190+W181</f>
        <v/>
      </c>
      <c r="X190" s="36">
        <f>$D190+X181</f>
        <v/>
      </c>
      <c r="Y190" s="39">
        <f>TAX($D190,Y181)</f>
        <v/>
      </c>
      <c r="Z190" s="23">
        <f>LOWER(Settings!$C$4)&amp;".mit."&amp;$A190&amp;IF($C190="","","."&amp;$C190&amp;"."&amp;$B190)&amp;IF(INDEX(Variables!$D$5:$D$65,MATCH($A190,Variables!$A$5:$A$65,0))="","","."&amp;INDEX(Variables!$D$5:$D$65,MATCH($A190,Variables!$A$5:$A$65,0)))&amp;"."&amp;Z$5</f>
        <v/>
      </c>
      <c r="AA190" s="38">
        <f>$D190+AA181</f>
        <v/>
      </c>
      <c r="AB190" s="36">
        <f>$D190+AB181</f>
        <v/>
      </c>
      <c r="AC190" s="36">
        <f>$D190+AC181</f>
        <v/>
      </c>
      <c r="AD190" s="36">
        <f>$D190+AD181</f>
        <v/>
      </c>
      <c r="AE190" s="36">
        <f>$D190+AE181</f>
        <v/>
      </c>
      <c r="AF190" s="36">
        <f>$D190+AF181</f>
        <v/>
      </c>
      <c r="AG190" s="36">
        <f>$D190+AG181</f>
        <v/>
      </c>
      <c r="AH190" s="36">
        <f>$D190+AH181</f>
        <v/>
      </c>
      <c r="AI190" s="36">
        <f>$D190+AI181</f>
        <v/>
      </c>
      <c r="AJ190" s="36">
        <f>$D190+AJ181</f>
        <v/>
      </c>
      <c r="AK190" s="36">
        <f>$D190+AK181</f>
        <v/>
      </c>
      <c r="AL190" s="36">
        <f>$D190+AL181</f>
        <v/>
      </c>
      <c r="AM190" s="36">
        <f>$D190+AM181</f>
        <v/>
      </c>
      <c r="AN190" s="39">
        <f>TAX($D190,AN181)</f>
        <v/>
      </c>
    </row>
    <row r="191" hidden="1" outlineLevel="2">
      <c r="A191" s="5" t="inlineStr">
        <is>
          <t>tax</t>
        </is>
      </c>
      <c r="B191" s="5" t="inlineStr">
        <is>
          <t>die</t>
        </is>
      </c>
      <c r="C191" s="5" t="inlineStr">
        <is>
          <t>rod</t>
        </is>
      </c>
      <c r="D191" s="36">
        <f>INDEX(Inputs!$T$5:$T$132,MATCH($B191&amp;"|"&amp;$C191,Inputs!$A$5:$A$132,0))</f>
        <v/>
      </c>
      <c r="E191" s="37" t="n"/>
      <c r="F191" s="37" t="n"/>
      <c r="G191" s="37" t="n"/>
      <c r="H191" s="5">
        <f>INDEX(Variables!$B$5:$B$65,MATCH($A191,Variables!$A$5:$A$65,0))&amp;IF($C191="",""," | "&amp;INDEX(Mapping!$B$5:$B$25,MATCH($C191,Mapping!$A$5:$A$25,0))&amp;" | "&amp;INDEX(Mapping!$B$29:$B$38,MATCH($B191,Mapping!$A$29:$A$38,0)))</f>
        <v/>
      </c>
      <c r="I191" s="5">
        <f>INDEX(Variables!$C$5:$C$65,MATCH($A191,Variables!$A$5:$A$65,0))</f>
        <v/>
      </c>
      <c r="J191" s="5">
        <f>INDEX(Variables!$E$5:$E$65,MATCH($A191,Variables!$A$5:$A$65,0))</f>
        <v/>
      </c>
      <c r="K191" s="23">
        <f>LOWER(Settings!$C$4)&amp;".mit."&amp;$A191&amp;IF($C191="","","."&amp;$C191&amp;"."&amp;$B191)&amp;IF(INDEX(Variables!$D$5:$D$65,MATCH($A191,Variables!$A$5:$A$65,0))="","","."&amp;INDEX(Variables!$D$5:$D$65,MATCH($A191,Variables!$A$5:$A$65,0)))&amp;"."&amp;K$5</f>
        <v/>
      </c>
      <c r="L191" s="38">
        <f>$D191+L182</f>
        <v/>
      </c>
      <c r="M191" s="36">
        <f>$D191+M182</f>
        <v/>
      </c>
      <c r="N191" s="36">
        <f>$D191+N182</f>
        <v/>
      </c>
      <c r="O191" s="36">
        <f>$D191+O182</f>
        <v/>
      </c>
      <c r="P191" s="36">
        <f>$D191+P182</f>
        <v/>
      </c>
      <c r="Q191" s="36">
        <f>$D191+Q182</f>
        <v/>
      </c>
      <c r="R191" s="36">
        <f>$D191+R182</f>
        <v/>
      </c>
      <c r="S191" s="36">
        <f>$D191+S182</f>
        <v/>
      </c>
      <c r="T191" s="36">
        <f>$D191+T182</f>
        <v/>
      </c>
      <c r="U191" s="36">
        <f>$D191+U182</f>
        <v/>
      </c>
      <c r="V191" s="36">
        <f>$D191+V182</f>
        <v/>
      </c>
      <c r="W191" s="36">
        <f>$D191+W182</f>
        <v/>
      </c>
      <c r="X191" s="36">
        <f>$D191+X182</f>
        <v/>
      </c>
      <c r="Y191" s="39">
        <f>TAX($D191,Y182)</f>
        <v/>
      </c>
      <c r="Z191" s="23">
        <f>LOWER(Settings!$C$4)&amp;".mit."&amp;$A191&amp;IF($C191="","","."&amp;$C191&amp;"."&amp;$B191)&amp;IF(INDEX(Variables!$D$5:$D$65,MATCH($A191,Variables!$A$5:$A$65,0))="","","."&amp;INDEX(Variables!$D$5:$D$65,MATCH($A191,Variables!$A$5:$A$65,0)))&amp;"."&amp;Z$5</f>
        <v/>
      </c>
      <c r="AA191" s="38">
        <f>$D191+AA182</f>
        <v/>
      </c>
      <c r="AB191" s="36">
        <f>$D191+AB182</f>
        <v/>
      </c>
      <c r="AC191" s="36">
        <f>$D191+AC182</f>
        <v/>
      </c>
      <c r="AD191" s="36">
        <f>$D191+AD182</f>
        <v/>
      </c>
      <c r="AE191" s="36">
        <f>$D191+AE182</f>
        <v/>
      </c>
      <c r="AF191" s="36">
        <f>$D191+AF182</f>
        <v/>
      </c>
      <c r="AG191" s="36">
        <f>$D191+AG182</f>
        <v/>
      </c>
      <c r="AH191" s="36">
        <f>$D191+AH182</f>
        <v/>
      </c>
      <c r="AI191" s="36">
        <f>$D191+AI182</f>
        <v/>
      </c>
      <c r="AJ191" s="36">
        <f>$D191+AJ182</f>
        <v/>
      </c>
      <c r="AK191" s="36">
        <f>$D191+AK182</f>
        <v/>
      </c>
      <c r="AL191" s="36">
        <f>$D191+AL182</f>
        <v/>
      </c>
      <c r="AM191" s="36">
        <f>$D191+AM182</f>
        <v/>
      </c>
      <c r="AN191" s="39">
        <f>TAX($D191,AN182)</f>
        <v/>
      </c>
    </row>
    <row r="192" hidden="1" outlineLevel="2">
      <c r="A192" s="5" t="inlineStr">
        <is>
          <t>tax</t>
        </is>
      </c>
      <c r="B192" s="5" t="inlineStr">
        <is>
          <t>lpg</t>
        </is>
      </c>
      <c r="C192" s="5" t="inlineStr">
        <is>
          <t>rod</t>
        </is>
      </c>
      <c r="D192" s="36">
        <f>INDEX(Inputs!$T$5:$T$132,MATCH($B192&amp;"|"&amp;$C192,Inputs!$A$5:$A$132,0))</f>
        <v/>
      </c>
      <c r="E192" s="37" t="n"/>
      <c r="F192" s="37" t="n"/>
      <c r="G192" s="37" t="n"/>
      <c r="H192" s="5">
        <f>INDEX(Variables!$B$5:$B$65,MATCH($A192,Variables!$A$5:$A$65,0))&amp;IF($C192="",""," | "&amp;INDEX(Mapping!$B$5:$B$25,MATCH($C192,Mapping!$A$5:$A$25,0))&amp;" | "&amp;INDEX(Mapping!$B$29:$B$38,MATCH($B192,Mapping!$A$29:$A$38,0)))</f>
        <v/>
      </c>
      <c r="I192" s="5">
        <f>INDEX(Variables!$C$5:$C$65,MATCH($A192,Variables!$A$5:$A$65,0))</f>
        <v/>
      </c>
      <c r="J192" s="5">
        <f>INDEX(Variables!$E$5:$E$65,MATCH($A192,Variables!$A$5:$A$65,0))</f>
        <v/>
      </c>
      <c r="K192" s="23">
        <f>LOWER(Settings!$C$4)&amp;".mit."&amp;$A192&amp;IF($C192="","","."&amp;$C192&amp;"."&amp;$B192)&amp;IF(INDEX(Variables!$D$5:$D$65,MATCH($A192,Variables!$A$5:$A$65,0))="","","."&amp;INDEX(Variables!$D$5:$D$65,MATCH($A192,Variables!$A$5:$A$65,0)))&amp;"."&amp;K$5</f>
        <v/>
      </c>
      <c r="L192" s="38">
        <f>$D192+L183</f>
        <v/>
      </c>
      <c r="M192" s="36">
        <f>$D192+M183</f>
        <v/>
      </c>
      <c r="N192" s="36">
        <f>$D192+N183</f>
        <v/>
      </c>
      <c r="O192" s="36">
        <f>$D192+O183</f>
        <v/>
      </c>
      <c r="P192" s="36">
        <f>$D192+P183</f>
        <v/>
      </c>
      <c r="Q192" s="36">
        <f>$D192+Q183</f>
        <v/>
      </c>
      <c r="R192" s="36">
        <f>$D192+R183</f>
        <v/>
      </c>
      <c r="S192" s="36">
        <f>$D192+S183</f>
        <v/>
      </c>
      <c r="T192" s="36">
        <f>$D192+T183</f>
        <v/>
      </c>
      <c r="U192" s="36">
        <f>$D192+U183</f>
        <v/>
      </c>
      <c r="V192" s="36">
        <f>$D192+V183</f>
        <v/>
      </c>
      <c r="W192" s="36">
        <f>$D192+W183</f>
        <v/>
      </c>
      <c r="X192" s="36">
        <f>$D192+X183</f>
        <v/>
      </c>
      <c r="Y192" s="39">
        <f>TAX($D192,Y183)</f>
        <v/>
      </c>
      <c r="Z192" s="23">
        <f>LOWER(Settings!$C$4)&amp;".mit."&amp;$A192&amp;IF($C192="","","."&amp;$C192&amp;"."&amp;$B192)&amp;IF(INDEX(Variables!$D$5:$D$65,MATCH($A192,Variables!$A$5:$A$65,0))="","","."&amp;INDEX(Variables!$D$5:$D$65,MATCH($A192,Variables!$A$5:$A$65,0)))&amp;"."&amp;Z$5</f>
        <v/>
      </c>
      <c r="AA192" s="38">
        <f>$D192+AA183</f>
        <v/>
      </c>
      <c r="AB192" s="36">
        <f>$D192+AB183</f>
        <v/>
      </c>
      <c r="AC192" s="36">
        <f>$D192+AC183</f>
        <v/>
      </c>
      <c r="AD192" s="36">
        <f>$D192+AD183</f>
        <v/>
      </c>
      <c r="AE192" s="36">
        <f>$D192+AE183</f>
        <v/>
      </c>
      <c r="AF192" s="36">
        <f>$D192+AF183</f>
        <v/>
      </c>
      <c r="AG192" s="36">
        <f>$D192+AG183</f>
        <v/>
      </c>
      <c r="AH192" s="36">
        <f>$D192+AH183</f>
        <v/>
      </c>
      <c r="AI192" s="36">
        <f>$D192+AI183</f>
        <v/>
      </c>
      <c r="AJ192" s="36">
        <f>$D192+AJ183</f>
        <v/>
      </c>
      <c r="AK192" s="36">
        <f>$D192+AK183</f>
        <v/>
      </c>
      <c r="AL192" s="36">
        <f>$D192+AL183</f>
        <v/>
      </c>
      <c r="AM192" s="36">
        <f>$D192+AM183</f>
        <v/>
      </c>
      <c r="AN192" s="39">
        <f>TAX($D192,AN183)</f>
        <v/>
      </c>
    </row>
    <row r="193" hidden="1" outlineLevel="2">
      <c r="A193" s="5" t="inlineStr">
        <is>
          <t>tax</t>
        </is>
      </c>
      <c r="B193" s="5" t="inlineStr">
        <is>
          <t>ker</t>
        </is>
      </c>
      <c r="C193" s="5" t="inlineStr">
        <is>
          <t>rod</t>
        </is>
      </c>
      <c r="D193" s="36">
        <f>INDEX(Inputs!$T$5:$T$132,MATCH($B193&amp;"|"&amp;$C193,Inputs!$A$5:$A$132,0))</f>
        <v/>
      </c>
      <c r="E193" s="37" t="n"/>
      <c r="F193" s="37" t="n"/>
      <c r="G193" s="37" t="n"/>
      <c r="H193" s="5">
        <f>INDEX(Variables!$B$5:$B$65,MATCH($A193,Variables!$A$5:$A$65,0))&amp;IF($C193="",""," | "&amp;INDEX(Mapping!$B$5:$B$25,MATCH($C193,Mapping!$A$5:$A$25,0))&amp;" | "&amp;INDEX(Mapping!$B$29:$B$38,MATCH($B193,Mapping!$A$29:$A$38,0)))</f>
        <v/>
      </c>
      <c r="I193" s="5">
        <f>INDEX(Variables!$C$5:$C$65,MATCH($A193,Variables!$A$5:$A$65,0))</f>
        <v/>
      </c>
      <c r="J193" s="5">
        <f>INDEX(Variables!$E$5:$E$65,MATCH($A193,Variables!$A$5:$A$65,0))</f>
        <v/>
      </c>
      <c r="K193" s="23">
        <f>LOWER(Settings!$C$4)&amp;".mit."&amp;$A193&amp;IF($C193="","","."&amp;$C193&amp;"."&amp;$B193)&amp;IF(INDEX(Variables!$D$5:$D$65,MATCH($A193,Variables!$A$5:$A$65,0))="","","."&amp;INDEX(Variables!$D$5:$D$65,MATCH($A193,Variables!$A$5:$A$65,0)))&amp;"."&amp;K$5</f>
        <v/>
      </c>
      <c r="L193" s="38">
        <f>$D193+L184</f>
        <v/>
      </c>
      <c r="M193" s="36">
        <f>$D193+M184</f>
        <v/>
      </c>
      <c r="N193" s="36">
        <f>$D193+N184</f>
        <v/>
      </c>
      <c r="O193" s="36">
        <f>$D193+O184</f>
        <v/>
      </c>
      <c r="P193" s="36">
        <f>$D193+P184</f>
        <v/>
      </c>
      <c r="Q193" s="36">
        <f>$D193+Q184</f>
        <v/>
      </c>
      <c r="R193" s="36">
        <f>$D193+R184</f>
        <v/>
      </c>
      <c r="S193" s="36">
        <f>$D193+S184</f>
        <v/>
      </c>
      <c r="T193" s="36">
        <f>$D193+T184</f>
        <v/>
      </c>
      <c r="U193" s="36">
        <f>$D193+U184</f>
        <v/>
      </c>
      <c r="V193" s="36">
        <f>$D193+V184</f>
        <v/>
      </c>
      <c r="W193" s="36">
        <f>$D193+W184</f>
        <v/>
      </c>
      <c r="X193" s="36">
        <f>$D193+X184</f>
        <v/>
      </c>
      <c r="Y193" s="39">
        <f>TAX($D193,Y184)</f>
        <v/>
      </c>
      <c r="Z193" s="23">
        <f>LOWER(Settings!$C$4)&amp;".mit."&amp;$A193&amp;IF($C193="","","."&amp;$C193&amp;"."&amp;$B193)&amp;IF(INDEX(Variables!$D$5:$D$65,MATCH($A193,Variables!$A$5:$A$65,0))="","","."&amp;INDEX(Variables!$D$5:$D$65,MATCH($A193,Variables!$A$5:$A$65,0)))&amp;"."&amp;Z$5</f>
        <v/>
      </c>
      <c r="AA193" s="38">
        <f>$D193+AA184</f>
        <v/>
      </c>
      <c r="AB193" s="36">
        <f>$D193+AB184</f>
        <v/>
      </c>
      <c r="AC193" s="36">
        <f>$D193+AC184</f>
        <v/>
      </c>
      <c r="AD193" s="36">
        <f>$D193+AD184</f>
        <v/>
      </c>
      <c r="AE193" s="36">
        <f>$D193+AE184</f>
        <v/>
      </c>
      <c r="AF193" s="36">
        <f>$D193+AF184</f>
        <v/>
      </c>
      <c r="AG193" s="36">
        <f>$D193+AG184</f>
        <v/>
      </c>
      <c r="AH193" s="36">
        <f>$D193+AH184</f>
        <v/>
      </c>
      <c r="AI193" s="36">
        <f>$D193+AI184</f>
        <v/>
      </c>
      <c r="AJ193" s="36">
        <f>$D193+AJ184</f>
        <v/>
      </c>
      <c r="AK193" s="36">
        <f>$D193+AK184</f>
        <v/>
      </c>
      <c r="AL193" s="36">
        <f>$D193+AL184</f>
        <v/>
      </c>
      <c r="AM193" s="36">
        <f>$D193+AM184</f>
        <v/>
      </c>
      <c r="AN193" s="39">
        <f>TAX($D193,AN184)</f>
        <v/>
      </c>
    </row>
    <row r="194" hidden="1" outlineLevel="2">
      <c r="A194" s="5" t="inlineStr">
        <is>
          <t>tax</t>
        </is>
      </c>
      <c r="B194" s="5" t="inlineStr">
        <is>
          <t>oop</t>
        </is>
      </c>
      <c r="C194" s="5" t="inlineStr">
        <is>
          <t>rod</t>
        </is>
      </c>
      <c r="D194" s="36">
        <f>INDEX(Inputs!$T$5:$T$132,MATCH($B194&amp;"|"&amp;$C194,Inputs!$A$5:$A$132,0))</f>
        <v/>
      </c>
      <c r="E194" s="37" t="n"/>
      <c r="F194" s="37" t="n"/>
      <c r="G194" s="37" t="n"/>
      <c r="H194" s="5">
        <f>INDEX(Variables!$B$5:$B$65,MATCH($A194,Variables!$A$5:$A$65,0))&amp;IF($C194="",""," | "&amp;INDEX(Mapping!$B$5:$B$25,MATCH($C194,Mapping!$A$5:$A$25,0))&amp;" | "&amp;INDEX(Mapping!$B$29:$B$38,MATCH($B194,Mapping!$A$29:$A$38,0)))</f>
        <v/>
      </c>
      <c r="I194" s="5">
        <f>INDEX(Variables!$C$5:$C$65,MATCH($A194,Variables!$A$5:$A$65,0))</f>
        <v/>
      </c>
      <c r="J194" s="5">
        <f>INDEX(Variables!$E$5:$E$65,MATCH($A194,Variables!$A$5:$A$65,0))</f>
        <v/>
      </c>
      <c r="K194" s="23">
        <f>LOWER(Settings!$C$4)&amp;".mit."&amp;$A194&amp;IF($C194="","","."&amp;$C194&amp;"."&amp;$B194)&amp;IF(INDEX(Variables!$D$5:$D$65,MATCH($A194,Variables!$A$5:$A$65,0))="","","."&amp;INDEX(Variables!$D$5:$D$65,MATCH($A194,Variables!$A$5:$A$65,0)))&amp;"."&amp;K$5</f>
        <v/>
      </c>
      <c r="L194" s="38">
        <f>$D194+L185</f>
        <v/>
      </c>
      <c r="M194" s="36">
        <f>$D194+M185</f>
        <v/>
      </c>
      <c r="N194" s="36">
        <f>$D194+N185</f>
        <v/>
      </c>
      <c r="O194" s="36">
        <f>$D194+O185</f>
        <v/>
      </c>
      <c r="P194" s="36">
        <f>$D194+P185</f>
        <v/>
      </c>
      <c r="Q194" s="36">
        <f>$D194+Q185</f>
        <v/>
      </c>
      <c r="R194" s="36">
        <f>$D194+R185</f>
        <v/>
      </c>
      <c r="S194" s="36">
        <f>$D194+S185</f>
        <v/>
      </c>
      <c r="T194" s="36">
        <f>$D194+T185</f>
        <v/>
      </c>
      <c r="U194" s="36">
        <f>$D194+U185</f>
        <v/>
      </c>
      <c r="V194" s="36">
        <f>$D194+V185</f>
        <v/>
      </c>
      <c r="W194" s="36">
        <f>$D194+W185</f>
        <v/>
      </c>
      <c r="X194" s="36">
        <f>$D194+X185</f>
        <v/>
      </c>
      <c r="Y194" s="39">
        <f>TAX($D194,Y185)</f>
        <v/>
      </c>
      <c r="Z194" s="23">
        <f>LOWER(Settings!$C$4)&amp;".mit."&amp;$A194&amp;IF($C194="","","."&amp;$C194&amp;"."&amp;$B194)&amp;IF(INDEX(Variables!$D$5:$D$65,MATCH($A194,Variables!$A$5:$A$65,0))="","","."&amp;INDEX(Variables!$D$5:$D$65,MATCH($A194,Variables!$A$5:$A$65,0)))&amp;"."&amp;Z$5</f>
        <v/>
      </c>
      <c r="AA194" s="38">
        <f>$D194+AA185</f>
        <v/>
      </c>
      <c r="AB194" s="36">
        <f>$D194+AB185</f>
        <v/>
      </c>
      <c r="AC194" s="36">
        <f>$D194+AC185</f>
        <v/>
      </c>
      <c r="AD194" s="36">
        <f>$D194+AD185</f>
        <v/>
      </c>
      <c r="AE194" s="36">
        <f>$D194+AE185</f>
        <v/>
      </c>
      <c r="AF194" s="36">
        <f>$D194+AF185</f>
        <v/>
      </c>
      <c r="AG194" s="36">
        <f>$D194+AG185</f>
        <v/>
      </c>
      <c r="AH194" s="36">
        <f>$D194+AH185</f>
        <v/>
      </c>
      <c r="AI194" s="36">
        <f>$D194+AI185</f>
        <v/>
      </c>
      <c r="AJ194" s="36">
        <f>$D194+AJ185</f>
        <v/>
      </c>
      <c r="AK194" s="36">
        <f>$D194+AK185</f>
        <v/>
      </c>
      <c r="AL194" s="36">
        <f>$D194+AL185</f>
        <v/>
      </c>
      <c r="AM194" s="36">
        <f>$D194+AM185</f>
        <v/>
      </c>
      <c r="AN194" s="39">
        <f>TAX($D194,AN185)</f>
        <v/>
      </c>
    </row>
    <row r="195" hidden="1" outlineLevel="2">
      <c r="A195" s="5" t="inlineStr">
        <is>
          <t>tax</t>
        </is>
      </c>
      <c r="B195" s="5" t="inlineStr">
        <is>
          <t>bio</t>
        </is>
      </c>
      <c r="C195" s="5" t="inlineStr">
        <is>
          <t>rod</t>
        </is>
      </c>
      <c r="D195" s="36">
        <f>INDEX(Inputs!$T$5:$T$132,MATCH($B195&amp;"|"&amp;$C195,Inputs!$A$5:$A$132,0))</f>
        <v/>
      </c>
      <c r="E195" s="37" t="n"/>
      <c r="F195" s="37" t="n"/>
      <c r="G195" s="37" t="n"/>
      <c r="H195" s="5">
        <f>INDEX(Variables!$B$5:$B$65,MATCH($A195,Variables!$A$5:$A$65,0))&amp;IF($C195="",""," | "&amp;INDEX(Mapping!$B$5:$B$25,MATCH($C195,Mapping!$A$5:$A$25,0))&amp;" | "&amp;INDEX(Mapping!$B$29:$B$38,MATCH($B195,Mapping!$A$29:$A$38,0)))</f>
        <v/>
      </c>
      <c r="I195" s="5">
        <f>INDEX(Variables!$C$5:$C$65,MATCH($A195,Variables!$A$5:$A$65,0))</f>
        <v/>
      </c>
      <c r="J195" s="5">
        <f>INDEX(Variables!$E$5:$E$65,MATCH($A195,Variables!$A$5:$A$65,0))</f>
        <v/>
      </c>
      <c r="K195" s="23">
        <f>LOWER(Settings!$C$4)&amp;".mit."&amp;$A195&amp;IF($C195="","","."&amp;$C195&amp;"."&amp;$B195)&amp;IF(INDEX(Variables!$D$5:$D$65,MATCH($A195,Variables!$A$5:$A$65,0))="","","."&amp;INDEX(Variables!$D$5:$D$65,MATCH($A195,Variables!$A$5:$A$65,0)))&amp;"."&amp;K$5</f>
        <v/>
      </c>
      <c r="L195" s="38">
        <f>$D195+L186</f>
        <v/>
      </c>
      <c r="M195" s="36">
        <f>$D195+M186</f>
        <v/>
      </c>
      <c r="N195" s="36">
        <f>$D195+N186</f>
        <v/>
      </c>
      <c r="O195" s="36">
        <f>$D195+O186</f>
        <v/>
      </c>
      <c r="P195" s="36">
        <f>$D195+P186</f>
        <v/>
      </c>
      <c r="Q195" s="36">
        <f>$D195+Q186</f>
        <v/>
      </c>
      <c r="R195" s="36">
        <f>$D195+R186</f>
        <v/>
      </c>
      <c r="S195" s="36">
        <f>$D195+S186</f>
        <v/>
      </c>
      <c r="T195" s="36">
        <f>$D195+T186</f>
        <v/>
      </c>
      <c r="U195" s="36">
        <f>$D195+U186</f>
        <v/>
      </c>
      <c r="V195" s="36">
        <f>$D195+V186</f>
        <v/>
      </c>
      <c r="W195" s="36">
        <f>$D195+W186</f>
        <v/>
      </c>
      <c r="X195" s="36">
        <f>$D195+X186</f>
        <v/>
      </c>
      <c r="Y195" s="39">
        <f>TAX($D195,Y186)</f>
        <v/>
      </c>
      <c r="Z195" s="23">
        <f>LOWER(Settings!$C$4)&amp;".mit."&amp;$A195&amp;IF($C195="","","."&amp;$C195&amp;"."&amp;$B195)&amp;IF(INDEX(Variables!$D$5:$D$65,MATCH($A195,Variables!$A$5:$A$65,0))="","","."&amp;INDEX(Variables!$D$5:$D$65,MATCH($A195,Variables!$A$5:$A$65,0)))&amp;"."&amp;Z$5</f>
        <v/>
      </c>
      <c r="AA195" s="38">
        <f>$D195+AA186</f>
        <v/>
      </c>
      <c r="AB195" s="36">
        <f>$D195+AB186</f>
        <v/>
      </c>
      <c r="AC195" s="36">
        <f>$D195+AC186</f>
        <v/>
      </c>
      <c r="AD195" s="36">
        <f>$D195+AD186</f>
        <v/>
      </c>
      <c r="AE195" s="36">
        <f>$D195+AE186</f>
        <v/>
      </c>
      <c r="AF195" s="36">
        <f>$D195+AF186</f>
        <v/>
      </c>
      <c r="AG195" s="36">
        <f>$D195+AG186</f>
        <v/>
      </c>
      <c r="AH195" s="36">
        <f>$D195+AH186</f>
        <v/>
      </c>
      <c r="AI195" s="36">
        <f>$D195+AI186</f>
        <v/>
      </c>
      <c r="AJ195" s="36">
        <f>$D195+AJ186</f>
        <v/>
      </c>
      <c r="AK195" s="36">
        <f>$D195+AK186</f>
        <v/>
      </c>
      <c r="AL195" s="36">
        <f>$D195+AL186</f>
        <v/>
      </c>
      <c r="AM195" s="36">
        <f>$D195+AM186</f>
        <v/>
      </c>
      <c r="AN195" s="39">
        <f>TAX($D195,AN186)</f>
        <v/>
      </c>
    </row>
    <row r="196" hidden="1" outlineLevel="2"/>
    <row r="197" hidden="1" outlineLevel="2">
      <c r="A197" s="5" t="inlineStr">
        <is>
          <t>atp</t>
        </is>
      </c>
      <c r="B197" s="5" t="inlineStr">
        <is>
          <t>coa</t>
        </is>
      </c>
      <c r="C197" s="5" t="inlineStr">
        <is>
          <t>rod</t>
        </is>
      </c>
      <c r="D197" s="37" t="n"/>
      <c r="E197" s="37" t="n"/>
      <c r="F197" s="37" t="n"/>
      <c r="G197" s="37" t="n"/>
      <c r="H197" s="5">
        <f>INDEX(Variables!$B$5:$B$65,MATCH($A197,Variables!$A$5:$A$65,0))&amp;IF($C197="",""," | "&amp;INDEX(Mapping!$B$5:$B$25,MATCH($C197,Mapping!$A$5:$A$25,0))&amp;" | "&amp;INDEX(Mapping!$B$29:$B$38,MATCH($B197,Mapping!$A$29:$A$38,0)))</f>
        <v/>
      </c>
      <c r="I197" s="5">
        <f>INDEX(Variables!$C$5:$C$65,MATCH($A197,Variables!$A$5:$A$65,0))</f>
        <v/>
      </c>
      <c r="J197" s="5">
        <f>INDEX(Variables!$E$5:$E$65,MATCH($A197,Variables!$A$5:$A$65,0))</f>
        <v/>
      </c>
      <c r="K197" s="23">
        <f>LOWER(Settings!$C$4)&amp;".mit."&amp;$A197&amp;IF($C197="","","."&amp;$C197&amp;"."&amp;$B197)&amp;IF(INDEX(Variables!$D$5:$D$65,MATCH($A197,Variables!$A$5:$A$65,0))="","","."&amp;INDEX(Variables!$D$5:$D$65,MATCH($A197,Variables!$A$5:$A$65,0)))&amp;"."&amp;K$5</f>
        <v/>
      </c>
      <c r="L197" s="38">
        <f>L152+L188</f>
        <v/>
      </c>
      <c r="M197" s="36">
        <f>M152+M188</f>
        <v/>
      </c>
      <c r="N197" s="36">
        <f>N152+N188</f>
        <v/>
      </c>
      <c r="O197" s="36">
        <f>O152+O188</f>
        <v/>
      </c>
      <c r="P197" s="36">
        <f>P152+P188</f>
        <v/>
      </c>
      <c r="Q197" s="36">
        <f>Q152+Q188</f>
        <v/>
      </c>
      <c r="R197" s="36">
        <f>R152+R188</f>
        <v/>
      </c>
      <c r="S197" s="36">
        <f>S152+S188</f>
        <v/>
      </c>
      <c r="T197" s="36">
        <f>T152+T188</f>
        <v/>
      </c>
      <c r="U197" s="36">
        <f>U152+U188</f>
        <v/>
      </c>
      <c r="V197" s="36">
        <f>V152+V188</f>
        <v/>
      </c>
      <c r="W197" s="36">
        <f>W152+W188</f>
        <v/>
      </c>
      <c r="X197" s="36">
        <f>X152+X188</f>
        <v/>
      </c>
      <c r="Y197" s="39">
        <f>POSTTAX(Y152,Y188)</f>
        <v/>
      </c>
      <c r="Z197" s="23">
        <f>LOWER(Settings!$C$4)&amp;".mit."&amp;$A197&amp;IF($C197="","","."&amp;$C197&amp;"."&amp;$B197)&amp;IF(INDEX(Variables!$D$5:$D$65,MATCH($A197,Variables!$A$5:$A$65,0))="","","."&amp;INDEX(Variables!$D$5:$D$65,MATCH($A197,Variables!$A$5:$A$65,0)))&amp;"."&amp;Z$5</f>
        <v/>
      </c>
      <c r="AA197" s="38">
        <f>AA152+AA188</f>
        <v/>
      </c>
      <c r="AB197" s="36">
        <f>AB152+AB188</f>
        <v/>
      </c>
      <c r="AC197" s="36">
        <f>AC152+AC188</f>
        <v/>
      </c>
      <c r="AD197" s="36">
        <f>AD152+AD188</f>
        <v/>
      </c>
      <c r="AE197" s="36">
        <f>AE152+AE188</f>
        <v/>
      </c>
      <c r="AF197" s="36">
        <f>AF152+AF188</f>
        <v/>
      </c>
      <c r="AG197" s="36">
        <f>AG152+AG188</f>
        <v/>
      </c>
      <c r="AH197" s="36">
        <f>AH152+AH188</f>
        <v/>
      </c>
      <c r="AI197" s="36">
        <f>AI152+AI188</f>
        <v/>
      </c>
      <c r="AJ197" s="36">
        <f>AJ152+AJ188</f>
        <v/>
      </c>
      <c r="AK197" s="36">
        <f>AK152+AK188</f>
        <v/>
      </c>
      <c r="AL197" s="36">
        <f>AL152+AL188</f>
        <v/>
      </c>
      <c r="AM197" s="36">
        <f>AM152+AM188</f>
        <v/>
      </c>
      <c r="AN197" s="39">
        <f>POSTTAX(AN152,AN188)</f>
        <v/>
      </c>
    </row>
    <row r="198" hidden="1" outlineLevel="2">
      <c r="A198" s="5" t="inlineStr">
        <is>
          <t>atp</t>
        </is>
      </c>
      <c r="B198" s="5" t="inlineStr">
        <is>
          <t>nga</t>
        </is>
      </c>
      <c r="C198" s="5" t="inlineStr">
        <is>
          <t>rod</t>
        </is>
      </c>
      <c r="D198" s="37" t="n"/>
      <c r="E198" s="37" t="n"/>
      <c r="F198" s="37" t="n"/>
      <c r="G198" s="37" t="n"/>
      <c r="H198" s="5">
        <f>INDEX(Variables!$B$5:$B$65,MATCH($A198,Variables!$A$5:$A$65,0))&amp;IF($C198="",""," | "&amp;INDEX(Mapping!$B$5:$B$25,MATCH($C198,Mapping!$A$5:$A$25,0))&amp;" | "&amp;INDEX(Mapping!$B$29:$B$38,MATCH($B198,Mapping!$A$29:$A$38,0)))</f>
        <v/>
      </c>
      <c r="I198" s="5">
        <f>INDEX(Variables!$C$5:$C$65,MATCH($A198,Variables!$A$5:$A$65,0))</f>
        <v/>
      </c>
      <c r="J198" s="5">
        <f>INDEX(Variables!$E$5:$E$65,MATCH($A198,Variables!$A$5:$A$65,0))</f>
        <v/>
      </c>
      <c r="K198" s="23">
        <f>LOWER(Settings!$C$4)&amp;".mit."&amp;$A198&amp;IF($C198="","","."&amp;$C198&amp;"."&amp;$B198)&amp;IF(INDEX(Variables!$D$5:$D$65,MATCH($A198,Variables!$A$5:$A$65,0))="","","."&amp;INDEX(Variables!$D$5:$D$65,MATCH($A198,Variables!$A$5:$A$65,0)))&amp;"."&amp;K$5</f>
        <v/>
      </c>
      <c r="L198" s="38">
        <f>L153+L189</f>
        <v/>
      </c>
      <c r="M198" s="36">
        <f>M153+M189</f>
        <v/>
      </c>
      <c r="N198" s="36">
        <f>N153+N189</f>
        <v/>
      </c>
      <c r="O198" s="36">
        <f>O153+O189</f>
        <v/>
      </c>
      <c r="P198" s="36">
        <f>P153+P189</f>
        <v/>
      </c>
      <c r="Q198" s="36">
        <f>Q153+Q189</f>
        <v/>
      </c>
      <c r="R198" s="36">
        <f>R153+R189</f>
        <v/>
      </c>
      <c r="S198" s="36">
        <f>S153+S189</f>
        <v/>
      </c>
      <c r="T198" s="36">
        <f>T153+T189</f>
        <v/>
      </c>
      <c r="U198" s="36">
        <f>U153+U189</f>
        <v/>
      </c>
      <c r="V198" s="36">
        <f>V153+V189</f>
        <v/>
      </c>
      <c r="W198" s="36">
        <f>W153+W189</f>
        <v/>
      </c>
      <c r="X198" s="36">
        <f>X153+X189</f>
        <v/>
      </c>
      <c r="Y198" s="39">
        <f>POSTTAX(Y153,Y189)</f>
        <v/>
      </c>
      <c r="Z198" s="23">
        <f>LOWER(Settings!$C$4)&amp;".mit."&amp;$A198&amp;IF($C198="","","."&amp;$C198&amp;"."&amp;$B198)&amp;IF(INDEX(Variables!$D$5:$D$65,MATCH($A198,Variables!$A$5:$A$65,0))="","","."&amp;INDEX(Variables!$D$5:$D$65,MATCH($A198,Variables!$A$5:$A$65,0)))&amp;"."&amp;Z$5</f>
        <v/>
      </c>
      <c r="AA198" s="38">
        <f>AA153+AA189</f>
        <v/>
      </c>
      <c r="AB198" s="36">
        <f>AB153+AB189</f>
        <v/>
      </c>
      <c r="AC198" s="36">
        <f>AC153+AC189</f>
        <v/>
      </c>
      <c r="AD198" s="36">
        <f>AD153+AD189</f>
        <v/>
      </c>
      <c r="AE198" s="36">
        <f>AE153+AE189</f>
        <v/>
      </c>
      <c r="AF198" s="36">
        <f>AF153+AF189</f>
        <v/>
      </c>
      <c r="AG198" s="36">
        <f>AG153+AG189</f>
        <v/>
      </c>
      <c r="AH198" s="36">
        <f>AH153+AH189</f>
        <v/>
      </c>
      <c r="AI198" s="36">
        <f>AI153+AI189</f>
        <v/>
      </c>
      <c r="AJ198" s="36">
        <f>AJ153+AJ189</f>
        <v/>
      </c>
      <c r="AK198" s="36">
        <f>AK153+AK189</f>
        <v/>
      </c>
      <c r="AL198" s="36">
        <f>AL153+AL189</f>
        <v/>
      </c>
      <c r="AM198" s="36">
        <f>AM153+AM189</f>
        <v/>
      </c>
      <c r="AN198" s="39">
        <f>POSTTAX(AN153,AN189)</f>
        <v/>
      </c>
    </row>
    <row r="199" hidden="1" outlineLevel="2">
      <c r="A199" s="5" t="inlineStr">
        <is>
          <t>atp</t>
        </is>
      </c>
      <c r="B199" s="5" t="inlineStr">
        <is>
          <t>gso</t>
        </is>
      </c>
      <c r="C199" s="5" t="inlineStr">
        <is>
          <t>rod</t>
        </is>
      </c>
      <c r="D199" s="37" t="n"/>
      <c r="E199" s="37" t="n"/>
      <c r="F199" s="37" t="n"/>
      <c r="G199" s="37" t="n"/>
      <c r="H199" s="5">
        <f>INDEX(Variables!$B$5:$B$65,MATCH($A199,Variables!$A$5:$A$65,0))&amp;IF($C199="",""," | "&amp;INDEX(Mapping!$B$5:$B$25,MATCH($C199,Mapping!$A$5:$A$25,0))&amp;" | "&amp;INDEX(Mapping!$B$29:$B$38,MATCH($B199,Mapping!$A$29:$A$38,0)))</f>
        <v/>
      </c>
      <c r="I199" s="5">
        <f>INDEX(Variables!$C$5:$C$65,MATCH($A199,Variables!$A$5:$A$65,0))</f>
        <v/>
      </c>
      <c r="J199" s="5">
        <f>INDEX(Variables!$E$5:$E$65,MATCH($A199,Variables!$A$5:$A$65,0))</f>
        <v/>
      </c>
      <c r="K199" s="23">
        <f>LOWER(Settings!$C$4)&amp;".mit."&amp;$A199&amp;IF($C199="","","."&amp;$C199&amp;"."&amp;$B199)&amp;IF(INDEX(Variables!$D$5:$D$65,MATCH($A199,Variables!$A$5:$A$65,0))="","","."&amp;INDEX(Variables!$D$5:$D$65,MATCH($A199,Variables!$A$5:$A$65,0)))&amp;"."&amp;K$5</f>
        <v/>
      </c>
      <c r="L199" s="38">
        <f>L154+L190</f>
        <v/>
      </c>
      <c r="M199" s="36">
        <f>M154+M190</f>
        <v/>
      </c>
      <c r="N199" s="36">
        <f>N154+N190</f>
        <v/>
      </c>
      <c r="O199" s="36">
        <f>O154+O190</f>
        <v/>
      </c>
      <c r="P199" s="36">
        <f>P154+P190</f>
        <v/>
      </c>
      <c r="Q199" s="36">
        <f>Q154+Q190</f>
        <v/>
      </c>
      <c r="R199" s="36">
        <f>R154+R190</f>
        <v/>
      </c>
      <c r="S199" s="36">
        <f>S154+S190</f>
        <v/>
      </c>
      <c r="T199" s="36">
        <f>T154+T190</f>
        <v/>
      </c>
      <c r="U199" s="36">
        <f>U154+U190</f>
        <v/>
      </c>
      <c r="V199" s="36">
        <f>V154+V190</f>
        <v/>
      </c>
      <c r="W199" s="36">
        <f>W154+W190</f>
        <v/>
      </c>
      <c r="X199" s="36">
        <f>X154+X190</f>
        <v/>
      </c>
      <c r="Y199" s="39">
        <f>POSTTAX(Y154,Y190)</f>
        <v/>
      </c>
      <c r="Z199" s="23">
        <f>LOWER(Settings!$C$4)&amp;".mit."&amp;$A199&amp;IF($C199="","","."&amp;$C199&amp;"."&amp;$B199)&amp;IF(INDEX(Variables!$D$5:$D$65,MATCH($A199,Variables!$A$5:$A$65,0))="","","."&amp;INDEX(Variables!$D$5:$D$65,MATCH($A199,Variables!$A$5:$A$65,0)))&amp;"."&amp;Z$5</f>
        <v/>
      </c>
      <c r="AA199" s="38">
        <f>AA154+AA190</f>
        <v/>
      </c>
      <c r="AB199" s="36">
        <f>AB154+AB190</f>
        <v/>
      </c>
      <c r="AC199" s="36">
        <f>AC154+AC190</f>
        <v/>
      </c>
      <c r="AD199" s="36">
        <f>AD154+AD190</f>
        <v/>
      </c>
      <c r="AE199" s="36">
        <f>AE154+AE190</f>
        <v/>
      </c>
      <c r="AF199" s="36">
        <f>AF154+AF190</f>
        <v/>
      </c>
      <c r="AG199" s="36">
        <f>AG154+AG190</f>
        <v/>
      </c>
      <c r="AH199" s="36">
        <f>AH154+AH190</f>
        <v/>
      </c>
      <c r="AI199" s="36">
        <f>AI154+AI190</f>
        <v/>
      </c>
      <c r="AJ199" s="36">
        <f>AJ154+AJ190</f>
        <v/>
      </c>
      <c r="AK199" s="36">
        <f>AK154+AK190</f>
        <v/>
      </c>
      <c r="AL199" s="36">
        <f>AL154+AL190</f>
        <v/>
      </c>
      <c r="AM199" s="36">
        <f>AM154+AM190</f>
        <v/>
      </c>
      <c r="AN199" s="39">
        <f>POSTTAX(AN154,AN190)</f>
        <v/>
      </c>
    </row>
    <row r="200" hidden="1" outlineLevel="2">
      <c r="A200" s="5" t="inlineStr">
        <is>
          <t>atp</t>
        </is>
      </c>
      <c r="B200" s="5" t="inlineStr">
        <is>
          <t>die</t>
        </is>
      </c>
      <c r="C200" s="5" t="inlineStr">
        <is>
          <t>rod</t>
        </is>
      </c>
      <c r="D200" s="37" t="n"/>
      <c r="E200" s="37" t="n"/>
      <c r="F200" s="37" t="n"/>
      <c r="G200" s="37" t="n"/>
      <c r="H200" s="5">
        <f>INDEX(Variables!$B$5:$B$65,MATCH($A200,Variables!$A$5:$A$65,0))&amp;IF($C200="",""," | "&amp;INDEX(Mapping!$B$5:$B$25,MATCH($C200,Mapping!$A$5:$A$25,0))&amp;" | "&amp;INDEX(Mapping!$B$29:$B$38,MATCH($B200,Mapping!$A$29:$A$38,0)))</f>
        <v/>
      </c>
      <c r="I200" s="5">
        <f>INDEX(Variables!$C$5:$C$65,MATCH($A200,Variables!$A$5:$A$65,0))</f>
        <v/>
      </c>
      <c r="J200" s="5">
        <f>INDEX(Variables!$E$5:$E$65,MATCH($A200,Variables!$A$5:$A$65,0))</f>
        <v/>
      </c>
      <c r="K200" s="23">
        <f>LOWER(Settings!$C$4)&amp;".mit."&amp;$A200&amp;IF($C200="","","."&amp;$C200&amp;"."&amp;$B200)&amp;IF(INDEX(Variables!$D$5:$D$65,MATCH($A200,Variables!$A$5:$A$65,0))="","","."&amp;INDEX(Variables!$D$5:$D$65,MATCH($A200,Variables!$A$5:$A$65,0)))&amp;"."&amp;K$5</f>
        <v/>
      </c>
      <c r="L200" s="38">
        <f>L155+L191</f>
        <v/>
      </c>
      <c r="M200" s="36">
        <f>M155+M191</f>
        <v/>
      </c>
      <c r="N200" s="36">
        <f>N155+N191</f>
        <v/>
      </c>
      <c r="O200" s="36">
        <f>O155+O191</f>
        <v/>
      </c>
      <c r="P200" s="36">
        <f>P155+P191</f>
        <v/>
      </c>
      <c r="Q200" s="36">
        <f>Q155+Q191</f>
        <v/>
      </c>
      <c r="R200" s="36">
        <f>R155+R191</f>
        <v/>
      </c>
      <c r="S200" s="36">
        <f>S155+S191</f>
        <v/>
      </c>
      <c r="T200" s="36">
        <f>T155+T191</f>
        <v/>
      </c>
      <c r="U200" s="36">
        <f>U155+U191</f>
        <v/>
      </c>
      <c r="V200" s="36">
        <f>V155+V191</f>
        <v/>
      </c>
      <c r="W200" s="36">
        <f>W155+W191</f>
        <v/>
      </c>
      <c r="X200" s="36">
        <f>X155+X191</f>
        <v/>
      </c>
      <c r="Y200" s="39">
        <f>POSTTAX(Y155,Y191)</f>
        <v/>
      </c>
      <c r="Z200" s="23">
        <f>LOWER(Settings!$C$4)&amp;".mit."&amp;$A200&amp;IF($C200="","","."&amp;$C200&amp;"."&amp;$B200)&amp;IF(INDEX(Variables!$D$5:$D$65,MATCH($A200,Variables!$A$5:$A$65,0))="","","."&amp;INDEX(Variables!$D$5:$D$65,MATCH($A200,Variables!$A$5:$A$65,0)))&amp;"."&amp;Z$5</f>
        <v/>
      </c>
      <c r="AA200" s="38">
        <f>AA155+AA191</f>
        <v/>
      </c>
      <c r="AB200" s="36">
        <f>AB155+AB191</f>
        <v/>
      </c>
      <c r="AC200" s="36">
        <f>AC155+AC191</f>
        <v/>
      </c>
      <c r="AD200" s="36">
        <f>AD155+AD191</f>
        <v/>
      </c>
      <c r="AE200" s="36">
        <f>AE155+AE191</f>
        <v/>
      </c>
      <c r="AF200" s="36">
        <f>AF155+AF191</f>
        <v/>
      </c>
      <c r="AG200" s="36">
        <f>AG155+AG191</f>
        <v/>
      </c>
      <c r="AH200" s="36">
        <f>AH155+AH191</f>
        <v/>
      </c>
      <c r="AI200" s="36">
        <f>AI155+AI191</f>
        <v/>
      </c>
      <c r="AJ200" s="36">
        <f>AJ155+AJ191</f>
        <v/>
      </c>
      <c r="AK200" s="36">
        <f>AK155+AK191</f>
        <v/>
      </c>
      <c r="AL200" s="36">
        <f>AL155+AL191</f>
        <v/>
      </c>
      <c r="AM200" s="36">
        <f>AM155+AM191</f>
        <v/>
      </c>
      <c r="AN200" s="39">
        <f>POSTTAX(AN155,AN191)</f>
        <v/>
      </c>
    </row>
    <row r="201" hidden="1" outlineLevel="2">
      <c r="A201" s="5" t="inlineStr">
        <is>
          <t>atp</t>
        </is>
      </c>
      <c r="B201" s="5" t="inlineStr">
        <is>
          <t>lpg</t>
        </is>
      </c>
      <c r="C201" s="5" t="inlineStr">
        <is>
          <t>rod</t>
        </is>
      </c>
      <c r="D201" s="37" t="n"/>
      <c r="E201" s="37" t="n"/>
      <c r="F201" s="37" t="n"/>
      <c r="G201" s="37" t="n"/>
      <c r="H201" s="5">
        <f>INDEX(Variables!$B$5:$B$65,MATCH($A201,Variables!$A$5:$A$65,0))&amp;IF($C201="",""," | "&amp;INDEX(Mapping!$B$5:$B$25,MATCH($C201,Mapping!$A$5:$A$25,0))&amp;" | "&amp;INDEX(Mapping!$B$29:$B$38,MATCH($B201,Mapping!$A$29:$A$38,0)))</f>
        <v/>
      </c>
      <c r="I201" s="5">
        <f>INDEX(Variables!$C$5:$C$65,MATCH($A201,Variables!$A$5:$A$65,0))</f>
        <v/>
      </c>
      <c r="J201" s="5">
        <f>INDEX(Variables!$E$5:$E$65,MATCH($A201,Variables!$A$5:$A$65,0))</f>
        <v/>
      </c>
      <c r="K201" s="23">
        <f>LOWER(Settings!$C$4)&amp;".mit."&amp;$A201&amp;IF($C201="","","."&amp;$C201&amp;"."&amp;$B201)&amp;IF(INDEX(Variables!$D$5:$D$65,MATCH($A201,Variables!$A$5:$A$65,0))="","","."&amp;INDEX(Variables!$D$5:$D$65,MATCH($A201,Variables!$A$5:$A$65,0)))&amp;"."&amp;K$5</f>
        <v/>
      </c>
      <c r="L201" s="38">
        <f>L156+L192</f>
        <v/>
      </c>
      <c r="M201" s="36">
        <f>M156+M192</f>
        <v/>
      </c>
      <c r="N201" s="36">
        <f>N156+N192</f>
        <v/>
      </c>
      <c r="O201" s="36">
        <f>O156+O192</f>
        <v/>
      </c>
      <c r="P201" s="36">
        <f>P156+P192</f>
        <v/>
      </c>
      <c r="Q201" s="36">
        <f>Q156+Q192</f>
        <v/>
      </c>
      <c r="R201" s="36">
        <f>R156+R192</f>
        <v/>
      </c>
      <c r="S201" s="36">
        <f>S156+S192</f>
        <v/>
      </c>
      <c r="T201" s="36">
        <f>T156+T192</f>
        <v/>
      </c>
      <c r="U201" s="36">
        <f>U156+U192</f>
        <v/>
      </c>
      <c r="V201" s="36">
        <f>V156+V192</f>
        <v/>
      </c>
      <c r="W201" s="36">
        <f>W156+W192</f>
        <v/>
      </c>
      <c r="X201" s="36">
        <f>X156+X192</f>
        <v/>
      </c>
      <c r="Y201" s="39">
        <f>POSTTAX(Y156,Y192)</f>
        <v/>
      </c>
      <c r="Z201" s="23">
        <f>LOWER(Settings!$C$4)&amp;".mit."&amp;$A201&amp;IF($C201="","","."&amp;$C201&amp;"."&amp;$B201)&amp;IF(INDEX(Variables!$D$5:$D$65,MATCH($A201,Variables!$A$5:$A$65,0))="","","."&amp;INDEX(Variables!$D$5:$D$65,MATCH($A201,Variables!$A$5:$A$65,0)))&amp;"."&amp;Z$5</f>
        <v/>
      </c>
      <c r="AA201" s="38">
        <f>AA156+AA192</f>
        <v/>
      </c>
      <c r="AB201" s="36">
        <f>AB156+AB192</f>
        <v/>
      </c>
      <c r="AC201" s="36">
        <f>AC156+AC192</f>
        <v/>
      </c>
      <c r="AD201" s="36">
        <f>AD156+AD192</f>
        <v/>
      </c>
      <c r="AE201" s="36">
        <f>AE156+AE192</f>
        <v/>
      </c>
      <c r="AF201" s="36">
        <f>AF156+AF192</f>
        <v/>
      </c>
      <c r="AG201" s="36">
        <f>AG156+AG192</f>
        <v/>
      </c>
      <c r="AH201" s="36">
        <f>AH156+AH192</f>
        <v/>
      </c>
      <c r="AI201" s="36">
        <f>AI156+AI192</f>
        <v/>
      </c>
      <c r="AJ201" s="36">
        <f>AJ156+AJ192</f>
        <v/>
      </c>
      <c r="AK201" s="36">
        <f>AK156+AK192</f>
        <v/>
      </c>
      <c r="AL201" s="36">
        <f>AL156+AL192</f>
        <v/>
      </c>
      <c r="AM201" s="36">
        <f>AM156+AM192</f>
        <v/>
      </c>
      <c r="AN201" s="39">
        <f>POSTTAX(AN156,AN192)</f>
        <v/>
      </c>
    </row>
    <row r="202" hidden="1" outlineLevel="2">
      <c r="A202" s="5" t="inlineStr">
        <is>
          <t>atp</t>
        </is>
      </c>
      <c r="B202" s="5" t="inlineStr">
        <is>
          <t>ker</t>
        </is>
      </c>
      <c r="C202" s="5" t="inlineStr">
        <is>
          <t>rod</t>
        </is>
      </c>
      <c r="D202" s="37" t="n"/>
      <c r="E202" s="37" t="n"/>
      <c r="F202" s="37" t="n"/>
      <c r="G202" s="37" t="n"/>
      <c r="H202" s="5">
        <f>INDEX(Variables!$B$5:$B$65,MATCH($A202,Variables!$A$5:$A$65,0))&amp;IF($C202="",""," | "&amp;INDEX(Mapping!$B$5:$B$25,MATCH($C202,Mapping!$A$5:$A$25,0))&amp;" | "&amp;INDEX(Mapping!$B$29:$B$38,MATCH($B202,Mapping!$A$29:$A$38,0)))</f>
        <v/>
      </c>
      <c r="I202" s="5">
        <f>INDEX(Variables!$C$5:$C$65,MATCH($A202,Variables!$A$5:$A$65,0))</f>
        <v/>
      </c>
      <c r="J202" s="5">
        <f>INDEX(Variables!$E$5:$E$65,MATCH($A202,Variables!$A$5:$A$65,0))</f>
        <v/>
      </c>
      <c r="K202" s="23">
        <f>LOWER(Settings!$C$4)&amp;".mit."&amp;$A202&amp;IF($C202="","","."&amp;$C202&amp;"."&amp;$B202)&amp;IF(INDEX(Variables!$D$5:$D$65,MATCH($A202,Variables!$A$5:$A$65,0))="","","."&amp;INDEX(Variables!$D$5:$D$65,MATCH($A202,Variables!$A$5:$A$65,0)))&amp;"."&amp;K$5</f>
        <v/>
      </c>
      <c r="L202" s="38">
        <f>L157+L193</f>
        <v/>
      </c>
      <c r="M202" s="36">
        <f>M157+M193</f>
        <v/>
      </c>
      <c r="N202" s="36">
        <f>N157+N193</f>
        <v/>
      </c>
      <c r="O202" s="36">
        <f>O157+O193</f>
        <v/>
      </c>
      <c r="P202" s="36">
        <f>P157+P193</f>
        <v/>
      </c>
      <c r="Q202" s="36">
        <f>Q157+Q193</f>
        <v/>
      </c>
      <c r="R202" s="36">
        <f>R157+R193</f>
        <v/>
      </c>
      <c r="S202" s="36">
        <f>S157+S193</f>
        <v/>
      </c>
      <c r="T202" s="36">
        <f>T157+T193</f>
        <v/>
      </c>
      <c r="U202" s="36">
        <f>U157+U193</f>
        <v/>
      </c>
      <c r="V202" s="36">
        <f>V157+V193</f>
        <v/>
      </c>
      <c r="W202" s="36">
        <f>W157+W193</f>
        <v/>
      </c>
      <c r="X202" s="36">
        <f>X157+X193</f>
        <v/>
      </c>
      <c r="Y202" s="39">
        <f>POSTTAX(Y157,Y193)</f>
        <v/>
      </c>
      <c r="Z202" s="23">
        <f>LOWER(Settings!$C$4)&amp;".mit."&amp;$A202&amp;IF($C202="","","."&amp;$C202&amp;"."&amp;$B202)&amp;IF(INDEX(Variables!$D$5:$D$65,MATCH($A202,Variables!$A$5:$A$65,0))="","","."&amp;INDEX(Variables!$D$5:$D$65,MATCH($A202,Variables!$A$5:$A$65,0)))&amp;"."&amp;Z$5</f>
        <v/>
      </c>
      <c r="AA202" s="38">
        <f>AA157+AA193</f>
        <v/>
      </c>
      <c r="AB202" s="36">
        <f>AB157+AB193</f>
        <v/>
      </c>
      <c r="AC202" s="36">
        <f>AC157+AC193</f>
        <v/>
      </c>
      <c r="AD202" s="36">
        <f>AD157+AD193</f>
        <v/>
      </c>
      <c r="AE202" s="36">
        <f>AE157+AE193</f>
        <v/>
      </c>
      <c r="AF202" s="36">
        <f>AF157+AF193</f>
        <v/>
      </c>
      <c r="AG202" s="36">
        <f>AG157+AG193</f>
        <v/>
      </c>
      <c r="AH202" s="36">
        <f>AH157+AH193</f>
        <v/>
      </c>
      <c r="AI202" s="36">
        <f>AI157+AI193</f>
        <v/>
      </c>
      <c r="AJ202" s="36">
        <f>AJ157+AJ193</f>
        <v/>
      </c>
      <c r="AK202" s="36">
        <f>AK157+AK193</f>
        <v/>
      </c>
      <c r="AL202" s="36">
        <f>AL157+AL193</f>
        <v/>
      </c>
      <c r="AM202" s="36">
        <f>AM157+AM193</f>
        <v/>
      </c>
      <c r="AN202" s="39">
        <f>POSTTAX(AN157,AN193)</f>
        <v/>
      </c>
    </row>
    <row r="203" hidden="1" outlineLevel="2">
      <c r="A203" s="5" t="inlineStr">
        <is>
          <t>atp</t>
        </is>
      </c>
      <c r="B203" s="5" t="inlineStr">
        <is>
          <t>oop</t>
        </is>
      </c>
      <c r="C203" s="5" t="inlineStr">
        <is>
          <t>rod</t>
        </is>
      </c>
      <c r="D203" s="37" t="n"/>
      <c r="E203" s="37" t="n"/>
      <c r="F203" s="37" t="n"/>
      <c r="G203" s="37" t="n"/>
      <c r="H203" s="5">
        <f>INDEX(Variables!$B$5:$B$65,MATCH($A203,Variables!$A$5:$A$65,0))&amp;IF($C203="",""," | "&amp;INDEX(Mapping!$B$5:$B$25,MATCH($C203,Mapping!$A$5:$A$25,0))&amp;" | "&amp;INDEX(Mapping!$B$29:$B$38,MATCH($B203,Mapping!$A$29:$A$38,0)))</f>
        <v/>
      </c>
      <c r="I203" s="5">
        <f>INDEX(Variables!$C$5:$C$65,MATCH($A203,Variables!$A$5:$A$65,0))</f>
        <v/>
      </c>
      <c r="J203" s="5">
        <f>INDEX(Variables!$E$5:$E$65,MATCH($A203,Variables!$A$5:$A$65,0))</f>
        <v/>
      </c>
      <c r="K203" s="23">
        <f>LOWER(Settings!$C$4)&amp;".mit."&amp;$A203&amp;IF($C203="","","."&amp;$C203&amp;"."&amp;$B203)&amp;IF(INDEX(Variables!$D$5:$D$65,MATCH($A203,Variables!$A$5:$A$65,0))="","","."&amp;INDEX(Variables!$D$5:$D$65,MATCH($A203,Variables!$A$5:$A$65,0)))&amp;"."&amp;K$5</f>
        <v/>
      </c>
      <c r="L203" s="38">
        <f>L158+L194</f>
        <v/>
      </c>
      <c r="M203" s="36">
        <f>M158+M194</f>
        <v/>
      </c>
      <c r="N203" s="36">
        <f>N158+N194</f>
        <v/>
      </c>
      <c r="O203" s="36">
        <f>O158+O194</f>
        <v/>
      </c>
      <c r="P203" s="36">
        <f>P158+P194</f>
        <v/>
      </c>
      <c r="Q203" s="36">
        <f>Q158+Q194</f>
        <v/>
      </c>
      <c r="R203" s="36">
        <f>R158+R194</f>
        <v/>
      </c>
      <c r="S203" s="36">
        <f>S158+S194</f>
        <v/>
      </c>
      <c r="T203" s="36">
        <f>T158+T194</f>
        <v/>
      </c>
      <c r="U203" s="36">
        <f>U158+U194</f>
        <v/>
      </c>
      <c r="V203" s="36">
        <f>V158+V194</f>
        <v/>
      </c>
      <c r="W203" s="36">
        <f>W158+W194</f>
        <v/>
      </c>
      <c r="X203" s="36">
        <f>X158+X194</f>
        <v/>
      </c>
      <c r="Y203" s="39">
        <f>POSTTAX(Y158,Y194)</f>
        <v/>
      </c>
      <c r="Z203" s="23">
        <f>LOWER(Settings!$C$4)&amp;".mit."&amp;$A203&amp;IF($C203="","","."&amp;$C203&amp;"."&amp;$B203)&amp;IF(INDEX(Variables!$D$5:$D$65,MATCH($A203,Variables!$A$5:$A$65,0))="","","."&amp;INDEX(Variables!$D$5:$D$65,MATCH($A203,Variables!$A$5:$A$65,0)))&amp;"."&amp;Z$5</f>
        <v/>
      </c>
      <c r="AA203" s="38">
        <f>AA158+AA194</f>
        <v/>
      </c>
      <c r="AB203" s="36">
        <f>AB158+AB194</f>
        <v/>
      </c>
      <c r="AC203" s="36">
        <f>AC158+AC194</f>
        <v/>
      </c>
      <c r="AD203" s="36">
        <f>AD158+AD194</f>
        <v/>
      </c>
      <c r="AE203" s="36">
        <f>AE158+AE194</f>
        <v/>
      </c>
      <c r="AF203" s="36">
        <f>AF158+AF194</f>
        <v/>
      </c>
      <c r="AG203" s="36">
        <f>AG158+AG194</f>
        <v/>
      </c>
      <c r="AH203" s="36">
        <f>AH158+AH194</f>
        <v/>
      </c>
      <c r="AI203" s="36">
        <f>AI158+AI194</f>
        <v/>
      </c>
      <c r="AJ203" s="36">
        <f>AJ158+AJ194</f>
        <v/>
      </c>
      <c r="AK203" s="36">
        <f>AK158+AK194</f>
        <v/>
      </c>
      <c r="AL203" s="36">
        <f>AL158+AL194</f>
        <v/>
      </c>
      <c r="AM203" s="36">
        <f>AM158+AM194</f>
        <v/>
      </c>
      <c r="AN203" s="39">
        <f>POSTTAX(AN158,AN194)</f>
        <v/>
      </c>
    </row>
    <row r="204" hidden="1" outlineLevel="2">
      <c r="A204" s="5" t="inlineStr">
        <is>
          <t>atp</t>
        </is>
      </c>
      <c r="B204" s="5" t="inlineStr">
        <is>
          <t>bio</t>
        </is>
      </c>
      <c r="C204" s="5" t="inlineStr">
        <is>
          <t>rod</t>
        </is>
      </c>
      <c r="D204" s="37" t="n"/>
      <c r="E204" s="37" t="n"/>
      <c r="F204" s="37" t="n"/>
      <c r="G204" s="37" t="n"/>
      <c r="H204" s="5">
        <f>INDEX(Variables!$B$5:$B$65,MATCH($A204,Variables!$A$5:$A$65,0))&amp;IF($C204="",""," | "&amp;INDEX(Mapping!$B$5:$B$25,MATCH($C204,Mapping!$A$5:$A$25,0))&amp;" | "&amp;INDEX(Mapping!$B$29:$B$38,MATCH($B204,Mapping!$A$29:$A$38,0)))</f>
        <v/>
      </c>
      <c r="I204" s="5">
        <f>INDEX(Variables!$C$5:$C$65,MATCH($A204,Variables!$A$5:$A$65,0))</f>
        <v/>
      </c>
      <c r="J204" s="5">
        <f>INDEX(Variables!$E$5:$E$65,MATCH($A204,Variables!$A$5:$A$65,0))</f>
        <v/>
      </c>
      <c r="K204" s="23">
        <f>LOWER(Settings!$C$4)&amp;".mit."&amp;$A204&amp;IF($C204="","","."&amp;$C204&amp;"."&amp;$B204)&amp;IF(INDEX(Variables!$D$5:$D$65,MATCH($A204,Variables!$A$5:$A$65,0))="","","."&amp;INDEX(Variables!$D$5:$D$65,MATCH($A204,Variables!$A$5:$A$65,0)))&amp;"."&amp;K$5</f>
        <v/>
      </c>
      <c r="L204" s="38">
        <f>L159+L195</f>
        <v/>
      </c>
      <c r="M204" s="36">
        <f>M159+M195</f>
        <v/>
      </c>
      <c r="N204" s="36">
        <f>N159+N195</f>
        <v/>
      </c>
      <c r="O204" s="36">
        <f>O159+O195</f>
        <v/>
      </c>
      <c r="P204" s="36">
        <f>P159+P195</f>
        <v/>
      </c>
      <c r="Q204" s="36">
        <f>Q159+Q195</f>
        <v/>
      </c>
      <c r="R204" s="36">
        <f>R159+R195</f>
        <v/>
      </c>
      <c r="S204" s="36">
        <f>S159+S195</f>
        <v/>
      </c>
      <c r="T204" s="36">
        <f>T159+T195</f>
        <v/>
      </c>
      <c r="U204" s="36">
        <f>U159+U195</f>
        <v/>
      </c>
      <c r="V204" s="36">
        <f>V159+V195</f>
        <v/>
      </c>
      <c r="W204" s="36">
        <f>W159+W195</f>
        <v/>
      </c>
      <c r="X204" s="36">
        <f>X159+X195</f>
        <v/>
      </c>
      <c r="Y204" s="39">
        <f>POSTTAX(Y159,Y195)</f>
        <v/>
      </c>
      <c r="Z204" s="23">
        <f>LOWER(Settings!$C$4)&amp;".mit."&amp;$A204&amp;IF($C204="","","."&amp;$C204&amp;"."&amp;$B204)&amp;IF(INDEX(Variables!$D$5:$D$65,MATCH($A204,Variables!$A$5:$A$65,0))="","","."&amp;INDEX(Variables!$D$5:$D$65,MATCH($A204,Variables!$A$5:$A$65,0)))&amp;"."&amp;Z$5</f>
        <v/>
      </c>
      <c r="AA204" s="38">
        <f>AA159+AA195</f>
        <v/>
      </c>
      <c r="AB204" s="36">
        <f>AB159+AB195</f>
        <v/>
      </c>
      <c r="AC204" s="36">
        <f>AC159+AC195</f>
        <v/>
      </c>
      <c r="AD204" s="36">
        <f>AD159+AD195</f>
        <v/>
      </c>
      <c r="AE204" s="36">
        <f>AE159+AE195</f>
        <v/>
      </c>
      <c r="AF204" s="36">
        <f>AF159+AF195</f>
        <v/>
      </c>
      <c r="AG204" s="36">
        <f>AG159+AG195</f>
        <v/>
      </c>
      <c r="AH204" s="36">
        <f>AH159+AH195</f>
        <v/>
      </c>
      <c r="AI204" s="36">
        <f>AI159+AI195</f>
        <v/>
      </c>
      <c r="AJ204" s="36">
        <f>AJ159+AJ195</f>
        <v/>
      </c>
      <c r="AK204" s="36">
        <f>AK159+AK195</f>
        <v/>
      </c>
      <c r="AL204" s="36">
        <f>AL159+AL195</f>
        <v/>
      </c>
      <c r="AM204" s="36">
        <f>AM159+AM195</f>
        <v/>
      </c>
      <c r="AN204" s="39">
        <f>POSTTAX(AN159,AN195)</f>
        <v/>
      </c>
    </row>
    <row r="205" hidden="1" outlineLevel="2"/>
    <row r="206" hidden="1" outlineLevel="2">
      <c r="A206" s="5" t="inlineStr">
        <is>
          <t>shp</t>
        </is>
      </c>
      <c r="B206" s="5" t="inlineStr">
        <is>
          <t>coa</t>
        </is>
      </c>
      <c r="C206" s="5" t="inlineStr">
        <is>
          <t>rod</t>
        </is>
      </c>
      <c r="D206" s="36">
        <f>INDEX(Inputs!$M$5:$M$132,MATCH($B206&amp;"|"&amp;$C206,Inputs!$A$5:$A$132,0))</f>
        <v/>
      </c>
      <c r="E206" s="36">
        <f>INDEX(Inputs!$U$5:$U$132,MATCH($B206&amp;"|"&amp;$C206,Inputs!$A$5:$A$132,0))</f>
        <v/>
      </c>
      <c r="F206" s="36">
        <f>INDEX(Inputs!$K$5:$K$132,MATCH($B206&amp;"|"&amp;$C206,Inputs!$A$5:$A$132,0))</f>
        <v/>
      </c>
      <c r="G206" s="37" t="n"/>
      <c r="H206" s="5">
        <f>INDEX(Variables!$B$5:$B$65,MATCH($A206,Variables!$A$5:$A$65,0))&amp;IF($C206="",""," | "&amp;INDEX(Mapping!$B$5:$B$25,MATCH($C206,Mapping!$A$5:$A$25,0))&amp;" | "&amp;INDEX(Mapping!$B$29:$B$38,MATCH($B206,Mapping!$A$29:$A$38,0)))</f>
        <v/>
      </c>
      <c r="I206" s="5">
        <f>INDEX(Variables!$C$5:$C$65,MATCH($A206,Variables!$A$5:$A$65,0))</f>
        <v/>
      </c>
      <c r="J206" s="5">
        <f>INDEX(Variables!$E$5:$E$65,MATCH($A206,Variables!$A$5:$A$65,0))</f>
        <v/>
      </c>
      <c r="K206" s="23">
        <f>LOWER(Settings!$C$4)&amp;".mit."&amp;$A206&amp;IF($C206="","","."&amp;$C206&amp;"."&amp;$B206)&amp;IF(INDEX(Variables!$D$5:$D$65,MATCH($A206,Variables!$A$5:$A$65,0))="","","."&amp;INDEX(Variables!$D$5:$D$65,MATCH($A206,Variables!$A$5:$A$65,0)))&amp;"."&amp;K$5</f>
        <v/>
      </c>
      <c r="L206" s="38">
        <f>INDEX(L$124:L$127,$D206)*$E206*INDEX(L$128:L$144,$F206)</f>
        <v/>
      </c>
      <c r="M206" s="36">
        <f>INDEX(M$124:M$127,$D206)*$E206*INDEX(M$128:M$144,$F206)</f>
        <v/>
      </c>
      <c r="N206" s="36">
        <f>INDEX(N$124:N$127,$D206)*$E206*INDEX(N$128:N$144,$F206)</f>
        <v/>
      </c>
      <c r="O206" s="36">
        <f>INDEX(O$124:O$127,$D206)*$E206*INDEX(O$128:O$144,$F206)</f>
        <v/>
      </c>
      <c r="P206" s="36">
        <f>INDEX(P$124:P$127,$D206)*$E206*INDEX(P$128:P$144,$F206)</f>
        <v/>
      </c>
      <c r="Q206" s="36">
        <f>INDEX(Q$124:Q$127,$D206)*$E206*INDEX(Q$128:Q$144,$F206)</f>
        <v/>
      </c>
      <c r="R206" s="36">
        <f>INDEX(R$124:R$127,$D206)*$E206*INDEX(R$128:R$144,$F206)</f>
        <v/>
      </c>
      <c r="S206" s="36">
        <f>INDEX(S$124:S$127,$D206)*$E206*INDEX(S$128:S$144,$F206)</f>
        <v/>
      </c>
      <c r="T206" s="36">
        <f>INDEX(T$124:T$127,$D206)*$E206*INDEX(T$128:T$144,$F206)</f>
        <v/>
      </c>
      <c r="U206" s="36">
        <f>INDEX(U$124:U$127,$D206)*$E206*INDEX(U$128:U$144,$F206)</f>
        <v/>
      </c>
      <c r="V206" s="36">
        <f>INDEX(V$124:V$127,$D206)*$E206*INDEX(V$128:V$144,$F206)</f>
        <v/>
      </c>
      <c r="W206" s="36">
        <f>INDEX(W$124:W$127,$D206)*$E206*INDEX(W$128:W$144,$F206)</f>
        <v/>
      </c>
      <c r="X206" s="36">
        <f>INDEX(X$124:X$127,$D206)*$E206*INDEX(X$128:X$144,$F206)</f>
        <v/>
      </c>
      <c r="Y206" s="36">
        <f>INDEX(Y$124:Y$127,$D206)*$E206*INDEX(Y$128:Y$144,$F206)</f>
        <v/>
      </c>
      <c r="Z206" s="23">
        <f>LOWER(Settings!$C$4)&amp;".mit."&amp;$A206&amp;IF($C206="","","."&amp;$C206&amp;"."&amp;$B206)&amp;IF(INDEX(Variables!$D$5:$D$65,MATCH($A206,Variables!$A$5:$A$65,0))="","","."&amp;INDEX(Variables!$D$5:$D$65,MATCH($A206,Variables!$A$5:$A$65,0)))&amp;"."&amp;Z$5</f>
        <v/>
      </c>
      <c r="AA206" s="38">
        <f>INDEX(AA$124:AA$127,$D206)*$E206*INDEX(AA$128:AA$144,$F206)</f>
        <v/>
      </c>
      <c r="AB206" s="36">
        <f>INDEX(AB$124:AB$127,$D206)*$E206*INDEX(AB$128:AB$144,$F206)</f>
        <v/>
      </c>
      <c r="AC206" s="36">
        <f>INDEX(AC$124:AC$127,$D206)*$E206*INDEX(AC$128:AC$144,$F206)</f>
        <v/>
      </c>
      <c r="AD206" s="36">
        <f>INDEX(AD$124:AD$127,$D206)*$E206*INDEX(AD$128:AD$144,$F206)</f>
        <v/>
      </c>
      <c r="AE206" s="36">
        <f>INDEX(AE$124:AE$127,$D206)*$E206*INDEX(AE$128:AE$144,$F206)</f>
        <v/>
      </c>
      <c r="AF206" s="36">
        <f>INDEX(AF$124:AF$127,$D206)*$E206*INDEX(AF$128:AF$144,$F206)</f>
        <v/>
      </c>
      <c r="AG206" s="36">
        <f>INDEX(AG$124:AG$127,$D206)*$E206*INDEX(AG$128:AG$144,$F206)</f>
        <v/>
      </c>
      <c r="AH206" s="36">
        <f>INDEX(AH$124:AH$127,$D206)*$E206*INDEX(AH$128:AH$144,$F206)</f>
        <v/>
      </c>
      <c r="AI206" s="36">
        <f>INDEX(AI$124:AI$127,$D206)*$E206*INDEX(AI$128:AI$144,$F206)</f>
        <v/>
      </c>
      <c r="AJ206" s="36">
        <f>INDEX(AJ$124:AJ$127,$D206)*$E206*INDEX(AJ$128:AJ$144,$F206)</f>
        <v/>
      </c>
      <c r="AK206" s="36">
        <f>INDEX(AK$124:AK$127,$D206)*$E206*INDEX(AK$128:AK$144,$F206)</f>
        <v/>
      </c>
      <c r="AL206" s="36">
        <f>INDEX(AL$124:AL$127,$D206)*$E206*INDEX(AL$128:AL$144,$F206)</f>
        <v/>
      </c>
      <c r="AM206" s="36">
        <f>INDEX(AM$124:AM$127,$D206)*$E206*INDEX(AM$128:AM$144,$F206)</f>
        <v/>
      </c>
      <c r="AN206" s="36">
        <f>INDEX(AN$124:AN$127,$D206)*$E206*INDEX(AN$128:AN$144,$F206)</f>
        <v/>
      </c>
    </row>
    <row r="207" hidden="1" outlineLevel="2">
      <c r="A207" s="5" t="inlineStr">
        <is>
          <t>shp</t>
        </is>
      </c>
      <c r="B207" s="5" t="inlineStr">
        <is>
          <t>nga</t>
        </is>
      </c>
      <c r="C207" s="5" t="inlineStr">
        <is>
          <t>rod</t>
        </is>
      </c>
      <c r="D207" s="36">
        <f>INDEX(Inputs!$M$5:$M$132,MATCH($B207&amp;"|"&amp;$C207,Inputs!$A$5:$A$132,0))</f>
        <v/>
      </c>
      <c r="E207" s="36">
        <f>INDEX(Inputs!$U$5:$U$132,MATCH($B207&amp;"|"&amp;$C207,Inputs!$A$5:$A$132,0))</f>
        <v/>
      </c>
      <c r="F207" s="36">
        <f>INDEX(Inputs!$K$5:$K$132,MATCH($B207&amp;"|"&amp;$C207,Inputs!$A$5:$A$132,0))</f>
        <v/>
      </c>
      <c r="G207" s="37" t="n"/>
      <c r="H207" s="5">
        <f>INDEX(Variables!$B$5:$B$65,MATCH($A207,Variables!$A$5:$A$65,0))&amp;IF($C207="",""," | "&amp;INDEX(Mapping!$B$5:$B$25,MATCH($C207,Mapping!$A$5:$A$25,0))&amp;" | "&amp;INDEX(Mapping!$B$29:$B$38,MATCH($B207,Mapping!$A$29:$A$38,0)))</f>
        <v/>
      </c>
      <c r="I207" s="5">
        <f>INDEX(Variables!$C$5:$C$65,MATCH($A207,Variables!$A$5:$A$65,0))</f>
        <v/>
      </c>
      <c r="J207" s="5">
        <f>INDEX(Variables!$E$5:$E$65,MATCH($A207,Variables!$A$5:$A$65,0))</f>
        <v/>
      </c>
      <c r="K207" s="23">
        <f>LOWER(Settings!$C$4)&amp;".mit."&amp;$A207&amp;IF($C207="","","."&amp;$C207&amp;"."&amp;$B207)&amp;IF(INDEX(Variables!$D$5:$D$65,MATCH($A207,Variables!$A$5:$A$65,0))="","","."&amp;INDEX(Variables!$D$5:$D$65,MATCH($A207,Variables!$A$5:$A$65,0)))&amp;"."&amp;K$5</f>
        <v/>
      </c>
      <c r="L207" s="38">
        <f>INDEX(L$124:L$127,$D207)*$E207*INDEX(L$128:L$144,$F207)</f>
        <v/>
      </c>
      <c r="M207" s="36">
        <f>INDEX(M$124:M$127,$D207)*$E207*INDEX(M$128:M$144,$F207)</f>
        <v/>
      </c>
      <c r="N207" s="36">
        <f>INDEX(N$124:N$127,$D207)*$E207*INDEX(N$128:N$144,$F207)</f>
        <v/>
      </c>
      <c r="O207" s="36">
        <f>INDEX(O$124:O$127,$D207)*$E207*INDEX(O$128:O$144,$F207)</f>
        <v/>
      </c>
      <c r="P207" s="36">
        <f>INDEX(P$124:P$127,$D207)*$E207*INDEX(P$128:P$144,$F207)</f>
        <v/>
      </c>
      <c r="Q207" s="36">
        <f>INDEX(Q$124:Q$127,$D207)*$E207*INDEX(Q$128:Q$144,$F207)</f>
        <v/>
      </c>
      <c r="R207" s="36">
        <f>INDEX(R$124:R$127,$D207)*$E207*INDEX(R$128:R$144,$F207)</f>
        <v/>
      </c>
      <c r="S207" s="36">
        <f>INDEX(S$124:S$127,$D207)*$E207*INDEX(S$128:S$144,$F207)</f>
        <v/>
      </c>
      <c r="T207" s="36">
        <f>INDEX(T$124:T$127,$D207)*$E207*INDEX(T$128:T$144,$F207)</f>
        <v/>
      </c>
      <c r="U207" s="36">
        <f>INDEX(U$124:U$127,$D207)*$E207*INDEX(U$128:U$144,$F207)</f>
        <v/>
      </c>
      <c r="V207" s="36">
        <f>INDEX(V$124:V$127,$D207)*$E207*INDEX(V$128:V$144,$F207)</f>
        <v/>
      </c>
      <c r="W207" s="36">
        <f>INDEX(W$124:W$127,$D207)*$E207*INDEX(W$128:W$144,$F207)</f>
        <v/>
      </c>
      <c r="X207" s="36">
        <f>INDEX(X$124:X$127,$D207)*$E207*INDEX(X$128:X$144,$F207)</f>
        <v/>
      </c>
      <c r="Y207" s="36">
        <f>INDEX(Y$124:Y$127,$D207)*$E207*INDEX(Y$128:Y$144,$F207)</f>
        <v/>
      </c>
      <c r="Z207" s="23">
        <f>LOWER(Settings!$C$4)&amp;".mit."&amp;$A207&amp;IF($C207="","","."&amp;$C207&amp;"."&amp;$B207)&amp;IF(INDEX(Variables!$D$5:$D$65,MATCH($A207,Variables!$A$5:$A$65,0))="","","."&amp;INDEX(Variables!$D$5:$D$65,MATCH($A207,Variables!$A$5:$A$65,0)))&amp;"."&amp;Z$5</f>
        <v/>
      </c>
      <c r="AA207" s="38">
        <f>INDEX(AA$124:AA$127,$D207)*$E207*INDEX(AA$128:AA$144,$F207)</f>
        <v/>
      </c>
      <c r="AB207" s="36">
        <f>INDEX(AB$124:AB$127,$D207)*$E207*INDEX(AB$128:AB$144,$F207)</f>
        <v/>
      </c>
      <c r="AC207" s="36">
        <f>INDEX(AC$124:AC$127,$D207)*$E207*INDEX(AC$128:AC$144,$F207)</f>
        <v/>
      </c>
      <c r="AD207" s="36">
        <f>INDEX(AD$124:AD$127,$D207)*$E207*INDEX(AD$128:AD$144,$F207)</f>
        <v/>
      </c>
      <c r="AE207" s="36">
        <f>INDEX(AE$124:AE$127,$D207)*$E207*INDEX(AE$128:AE$144,$F207)</f>
        <v/>
      </c>
      <c r="AF207" s="36">
        <f>INDEX(AF$124:AF$127,$D207)*$E207*INDEX(AF$128:AF$144,$F207)</f>
        <v/>
      </c>
      <c r="AG207" s="36">
        <f>INDEX(AG$124:AG$127,$D207)*$E207*INDEX(AG$128:AG$144,$F207)</f>
        <v/>
      </c>
      <c r="AH207" s="36">
        <f>INDEX(AH$124:AH$127,$D207)*$E207*INDEX(AH$128:AH$144,$F207)</f>
        <v/>
      </c>
      <c r="AI207" s="36">
        <f>INDEX(AI$124:AI$127,$D207)*$E207*INDEX(AI$128:AI$144,$F207)</f>
        <v/>
      </c>
      <c r="AJ207" s="36">
        <f>INDEX(AJ$124:AJ$127,$D207)*$E207*INDEX(AJ$128:AJ$144,$F207)</f>
        <v/>
      </c>
      <c r="AK207" s="36">
        <f>INDEX(AK$124:AK$127,$D207)*$E207*INDEX(AK$128:AK$144,$F207)</f>
        <v/>
      </c>
      <c r="AL207" s="36">
        <f>INDEX(AL$124:AL$127,$D207)*$E207*INDEX(AL$128:AL$144,$F207)</f>
        <v/>
      </c>
      <c r="AM207" s="36">
        <f>INDEX(AM$124:AM$127,$D207)*$E207*INDEX(AM$128:AM$144,$F207)</f>
        <v/>
      </c>
      <c r="AN207" s="36">
        <f>INDEX(AN$124:AN$127,$D207)*$E207*INDEX(AN$128:AN$144,$F207)</f>
        <v/>
      </c>
    </row>
    <row r="208" hidden="1" outlineLevel="2">
      <c r="A208" s="5" t="inlineStr">
        <is>
          <t>shp</t>
        </is>
      </c>
      <c r="B208" s="5" t="inlineStr">
        <is>
          <t>gso</t>
        </is>
      </c>
      <c r="C208" s="5" t="inlineStr">
        <is>
          <t>rod</t>
        </is>
      </c>
      <c r="D208" s="36">
        <f>INDEX(Inputs!$M$5:$M$132,MATCH($B208&amp;"|"&amp;$C208,Inputs!$A$5:$A$132,0))</f>
        <v/>
      </c>
      <c r="E208" s="36">
        <f>INDEX(Inputs!$U$5:$U$132,MATCH($B208&amp;"|"&amp;$C208,Inputs!$A$5:$A$132,0))</f>
        <v/>
      </c>
      <c r="F208" s="36">
        <f>INDEX(Inputs!$K$5:$K$132,MATCH($B208&amp;"|"&amp;$C208,Inputs!$A$5:$A$132,0))</f>
        <v/>
      </c>
      <c r="G208" s="37" t="n"/>
      <c r="H208" s="5">
        <f>INDEX(Variables!$B$5:$B$65,MATCH($A208,Variables!$A$5:$A$65,0))&amp;IF($C208="",""," | "&amp;INDEX(Mapping!$B$5:$B$25,MATCH($C208,Mapping!$A$5:$A$25,0))&amp;" | "&amp;INDEX(Mapping!$B$29:$B$38,MATCH($B208,Mapping!$A$29:$A$38,0)))</f>
        <v/>
      </c>
      <c r="I208" s="5">
        <f>INDEX(Variables!$C$5:$C$65,MATCH($A208,Variables!$A$5:$A$65,0))</f>
        <v/>
      </c>
      <c r="J208" s="5">
        <f>INDEX(Variables!$E$5:$E$65,MATCH($A208,Variables!$A$5:$A$65,0))</f>
        <v/>
      </c>
      <c r="K208" s="23">
        <f>LOWER(Settings!$C$4)&amp;".mit."&amp;$A208&amp;IF($C208="","","."&amp;$C208&amp;"."&amp;$B208)&amp;IF(INDEX(Variables!$D$5:$D$65,MATCH($A208,Variables!$A$5:$A$65,0))="","","."&amp;INDEX(Variables!$D$5:$D$65,MATCH($A208,Variables!$A$5:$A$65,0)))&amp;"."&amp;K$5</f>
        <v/>
      </c>
      <c r="L208" s="38">
        <f>INDEX(L$124:L$127,$D208)*$E208*INDEX(L$128:L$144,$F208)</f>
        <v/>
      </c>
      <c r="M208" s="36">
        <f>INDEX(M$124:M$127,$D208)*$E208*INDEX(M$128:M$144,$F208)</f>
        <v/>
      </c>
      <c r="N208" s="36">
        <f>INDEX(N$124:N$127,$D208)*$E208*INDEX(N$128:N$144,$F208)</f>
        <v/>
      </c>
      <c r="O208" s="36">
        <f>INDEX(O$124:O$127,$D208)*$E208*INDEX(O$128:O$144,$F208)</f>
        <v/>
      </c>
      <c r="P208" s="36">
        <f>INDEX(P$124:P$127,$D208)*$E208*INDEX(P$128:P$144,$F208)</f>
        <v/>
      </c>
      <c r="Q208" s="36">
        <f>INDEX(Q$124:Q$127,$D208)*$E208*INDEX(Q$128:Q$144,$F208)</f>
        <v/>
      </c>
      <c r="R208" s="36">
        <f>INDEX(R$124:R$127,$D208)*$E208*INDEX(R$128:R$144,$F208)</f>
        <v/>
      </c>
      <c r="S208" s="36">
        <f>INDEX(S$124:S$127,$D208)*$E208*INDEX(S$128:S$144,$F208)</f>
        <v/>
      </c>
      <c r="T208" s="36">
        <f>INDEX(T$124:T$127,$D208)*$E208*INDEX(T$128:T$144,$F208)</f>
        <v/>
      </c>
      <c r="U208" s="36">
        <f>INDEX(U$124:U$127,$D208)*$E208*INDEX(U$128:U$144,$F208)</f>
        <v/>
      </c>
      <c r="V208" s="36">
        <f>INDEX(V$124:V$127,$D208)*$E208*INDEX(V$128:V$144,$F208)</f>
        <v/>
      </c>
      <c r="W208" s="36">
        <f>INDEX(W$124:W$127,$D208)*$E208*INDEX(W$128:W$144,$F208)</f>
        <v/>
      </c>
      <c r="X208" s="36">
        <f>INDEX(X$124:X$127,$D208)*$E208*INDEX(X$128:X$144,$F208)</f>
        <v/>
      </c>
      <c r="Y208" s="36">
        <f>INDEX(Y$124:Y$127,$D208)*$E208*INDEX(Y$128:Y$144,$F208)</f>
        <v/>
      </c>
      <c r="Z208" s="23">
        <f>LOWER(Settings!$C$4)&amp;".mit."&amp;$A208&amp;IF($C208="","","."&amp;$C208&amp;"."&amp;$B208)&amp;IF(INDEX(Variables!$D$5:$D$65,MATCH($A208,Variables!$A$5:$A$65,0))="","","."&amp;INDEX(Variables!$D$5:$D$65,MATCH($A208,Variables!$A$5:$A$65,0)))&amp;"."&amp;Z$5</f>
        <v/>
      </c>
      <c r="AA208" s="38">
        <f>INDEX(AA$124:AA$127,$D208)*$E208*INDEX(AA$128:AA$144,$F208)</f>
        <v/>
      </c>
      <c r="AB208" s="36">
        <f>INDEX(AB$124:AB$127,$D208)*$E208*INDEX(AB$128:AB$144,$F208)</f>
        <v/>
      </c>
      <c r="AC208" s="36">
        <f>INDEX(AC$124:AC$127,$D208)*$E208*INDEX(AC$128:AC$144,$F208)</f>
        <v/>
      </c>
      <c r="AD208" s="36">
        <f>INDEX(AD$124:AD$127,$D208)*$E208*INDEX(AD$128:AD$144,$F208)</f>
        <v/>
      </c>
      <c r="AE208" s="36">
        <f>INDEX(AE$124:AE$127,$D208)*$E208*INDEX(AE$128:AE$144,$F208)</f>
        <v/>
      </c>
      <c r="AF208" s="36">
        <f>INDEX(AF$124:AF$127,$D208)*$E208*INDEX(AF$128:AF$144,$F208)</f>
        <v/>
      </c>
      <c r="AG208" s="36">
        <f>INDEX(AG$124:AG$127,$D208)*$E208*INDEX(AG$128:AG$144,$F208)</f>
        <v/>
      </c>
      <c r="AH208" s="36">
        <f>INDEX(AH$124:AH$127,$D208)*$E208*INDEX(AH$128:AH$144,$F208)</f>
        <v/>
      </c>
      <c r="AI208" s="36">
        <f>INDEX(AI$124:AI$127,$D208)*$E208*INDEX(AI$128:AI$144,$F208)</f>
        <v/>
      </c>
      <c r="AJ208" s="36">
        <f>INDEX(AJ$124:AJ$127,$D208)*$E208*INDEX(AJ$128:AJ$144,$F208)</f>
        <v/>
      </c>
      <c r="AK208" s="36">
        <f>INDEX(AK$124:AK$127,$D208)*$E208*INDEX(AK$128:AK$144,$F208)</f>
        <v/>
      </c>
      <c r="AL208" s="36">
        <f>INDEX(AL$124:AL$127,$D208)*$E208*INDEX(AL$128:AL$144,$F208)</f>
        <v/>
      </c>
      <c r="AM208" s="36">
        <f>INDEX(AM$124:AM$127,$D208)*$E208*INDEX(AM$128:AM$144,$F208)</f>
        <v/>
      </c>
      <c r="AN208" s="36">
        <f>INDEX(AN$124:AN$127,$D208)*$E208*INDEX(AN$128:AN$144,$F208)</f>
        <v/>
      </c>
    </row>
    <row r="209" hidden="1" outlineLevel="2">
      <c r="A209" s="5" t="inlineStr">
        <is>
          <t>shp</t>
        </is>
      </c>
      <c r="B209" s="5" t="inlineStr">
        <is>
          <t>die</t>
        </is>
      </c>
      <c r="C209" s="5" t="inlineStr">
        <is>
          <t>rod</t>
        </is>
      </c>
      <c r="D209" s="36">
        <f>INDEX(Inputs!$M$5:$M$132,MATCH($B209&amp;"|"&amp;$C209,Inputs!$A$5:$A$132,0))</f>
        <v/>
      </c>
      <c r="E209" s="36">
        <f>INDEX(Inputs!$U$5:$U$132,MATCH($B209&amp;"|"&amp;$C209,Inputs!$A$5:$A$132,0))</f>
        <v/>
      </c>
      <c r="F209" s="36">
        <f>INDEX(Inputs!$K$5:$K$132,MATCH($B209&amp;"|"&amp;$C209,Inputs!$A$5:$A$132,0))</f>
        <v/>
      </c>
      <c r="G209" s="37" t="n"/>
      <c r="H209" s="5">
        <f>INDEX(Variables!$B$5:$B$65,MATCH($A209,Variables!$A$5:$A$65,0))&amp;IF($C209="",""," | "&amp;INDEX(Mapping!$B$5:$B$25,MATCH($C209,Mapping!$A$5:$A$25,0))&amp;" | "&amp;INDEX(Mapping!$B$29:$B$38,MATCH($B209,Mapping!$A$29:$A$38,0)))</f>
        <v/>
      </c>
      <c r="I209" s="5">
        <f>INDEX(Variables!$C$5:$C$65,MATCH($A209,Variables!$A$5:$A$65,0))</f>
        <v/>
      </c>
      <c r="J209" s="5">
        <f>INDEX(Variables!$E$5:$E$65,MATCH($A209,Variables!$A$5:$A$65,0))</f>
        <v/>
      </c>
      <c r="K209" s="23">
        <f>LOWER(Settings!$C$4)&amp;".mit."&amp;$A209&amp;IF($C209="","","."&amp;$C209&amp;"."&amp;$B209)&amp;IF(INDEX(Variables!$D$5:$D$65,MATCH($A209,Variables!$A$5:$A$65,0))="","","."&amp;INDEX(Variables!$D$5:$D$65,MATCH($A209,Variables!$A$5:$A$65,0)))&amp;"."&amp;K$5</f>
        <v/>
      </c>
      <c r="L209" s="38">
        <f>INDEX(L$124:L$127,$D209)*$E209*INDEX(L$128:L$144,$F209)</f>
        <v/>
      </c>
      <c r="M209" s="36">
        <f>INDEX(M$124:M$127,$D209)*$E209*INDEX(M$128:M$144,$F209)</f>
        <v/>
      </c>
      <c r="N209" s="36">
        <f>INDEX(N$124:N$127,$D209)*$E209*INDEX(N$128:N$144,$F209)</f>
        <v/>
      </c>
      <c r="O209" s="36">
        <f>INDEX(O$124:O$127,$D209)*$E209*INDEX(O$128:O$144,$F209)</f>
        <v/>
      </c>
      <c r="P209" s="36">
        <f>INDEX(P$124:P$127,$D209)*$E209*INDEX(P$128:P$144,$F209)</f>
        <v/>
      </c>
      <c r="Q209" s="36">
        <f>INDEX(Q$124:Q$127,$D209)*$E209*INDEX(Q$128:Q$144,$F209)</f>
        <v/>
      </c>
      <c r="R209" s="36">
        <f>INDEX(R$124:R$127,$D209)*$E209*INDEX(R$128:R$144,$F209)</f>
        <v/>
      </c>
      <c r="S209" s="36">
        <f>INDEX(S$124:S$127,$D209)*$E209*INDEX(S$128:S$144,$F209)</f>
        <v/>
      </c>
      <c r="T209" s="36">
        <f>INDEX(T$124:T$127,$D209)*$E209*INDEX(T$128:T$144,$F209)</f>
        <v/>
      </c>
      <c r="U209" s="36">
        <f>INDEX(U$124:U$127,$D209)*$E209*INDEX(U$128:U$144,$F209)</f>
        <v/>
      </c>
      <c r="V209" s="36">
        <f>INDEX(V$124:V$127,$D209)*$E209*INDEX(V$128:V$144,$F209)</f>
        <v/>
      </c>
      <c r="W209" s="36">
        <f>INDEX(W$124:W$127,$D209)*$E209*INDEX(W$128:W$144,$F209)</f>
        <v/>
      </c>
      <c r="X209" s="36">
        <f>INDEX(X$124:X$127,$D209)*$E209*INDEX(X$128:X$144,$F209)</f>
        <v/>
      </c>
      <c r="Y209" s="36">
        <f>INDEX(Y$124:Y$127,$D209)*$E209*INDEX(Y$128:Y$144,$F209)</f>
        <v/>
      </c>
      <c r="Z209" s="23">
        <f>LOWER(Settings!$C$4)&amp;".mit."&amp;$A209&amp;IF($C209="","","."&amp;$C209&amp;"."&amp;$B209)&amp;IF(INDEX(Variables!$D$5:$D$65,MATCH($A209,Variables!$A$5:$A$65,0))="","","."&amp;INDEX(Variables!$D$5:$D$65,MATCH($A209,Variables!$A$5:$A$65,0)))&amp;"."&amp;Z$5</f>
        <v/>
      </c>
      <c r="AA209" s="38">
        <f>INDEX(AA$124:AA$127,$D209)*$E209*INDEX(AA$128:AA$144,$F209)</f>
        <v/>
      </c>
      <c r="AB209" s="36">
        <f>INDEX(AB$124:AB$127,$D209)*$E209*INDEX(AB$128:AB$144,$F209)</f>
        <v/>
      </c>
      <c r="AC209" s="36">
        <f>INDEX(AC$124:AC$127,$D209)*$E209*INDEX(AC$128:AC$144,$F209)</f>
        <v/>
      </c>
      <c r="AD209" s="36">
        <f>INDEX(AD$124:AD$127,$D209)*$E209*INDEX(AD$128:AD$144,$F209)</f>
        <v/>
      </c>
      <c r="AE209" s="36">
        <f>INDEX(AE$124:AE$127,$D209)*$E209*INDEX(AE$128:AE$144,$F209)</f>
        <v/>
      </c>
      <c r="AF209" s="36">
        <f>INDEX(AF$124:AF$127,$D209)*$E209*INDEX(AF$128:AF$144,$F209)</f>
        <v/>
      </c>
      <c r="AG209" s="36">
        <f>INDEX(AG$124:AG$127,$D209)*$E209*INDEX(AG$128:AG$144,$F209)</f>
        <v/>
      </c>
      <c r="AH209" s="36">
        <f>INDEX(AH$124:AH$127,$D209)*$E209*INDEX(AH$128:AH$144,$F209)</f>
        <v/>
      </c>
      <c r="AI209" s="36">
        <f>INDEX(AI$124:AI$127,$D209)*$E209*INDEX(AI$128:AI$144,$F209)</f>
        <v/>
      </c>
      <c r="AJ209" s="36">
        <f>INDEX(AJ$124:AJ$127,$D209)*$E209*INDEX(AJ$128:AJ$144,$F209)</f>
        <v/>
      </c>
      <c r="AK209" s="36">
        <f>INDEX(AK$124:AK$127,$D209)*$E209*INDEX(AK$128:AK$144,$F209)</f>
        <v/>
      </c>
      <c r="AL209" s="36">
        <f>INDEX(AL$124:AL$127,$D209)*$E209*INDEX(AL$128:AL$144,$F209)</f>
        <v/>
      </c>
      <c r="AM209" s="36">
        <f>INDEX(AM$124:AM$127,$D209)*$E209*INDEX(AM$128:AM$144,$F209)</f>
        <v/>
      </c>
      <c r="AN209" s="36">
        <f>INDEX(AN$124:AN$127,$D209)*$E209*INDEX(AN$128:AN$144,$F209)</f>
        <v/>
      </c>
    </row>
    <row r="210" hidden="1" outlineLevel="2">
      <c r="A210" s="5" t="inlineStr">
        <is>
          <t>shp</t>
        </is>
      </c>
      <c r="B210" s="5" t="inlineStr">
        <is>
          <t>lpg</t>
        </is>
      </c>
      <c r="C210" s="5" t="inlineStr">
        <is>
          <t>rod</t>
        </is>
      </c>
      <c r="D210" s="36">
        <f>INDEX(Inputs!$M$5:$M$132,MATCH($B210&amp;"|"&amp;$C210,Inputs!$A$5:$A$132,0))</f>
        <v/>
      </c>
      <c r="E210" s="36">
        <f>INDEX(Inputs!$U$5:$U$132,MATCH($B210&amp;"|"&amp;$C210,Inputs!$A$5:$A$132,0))</f>
        <v/>
      </c>
      <c r="F210" s="36">
        <f>INDEX(Inputs!$K$5:$K$132,MATCH($B210&amp;"|"&amp;$C210,Inputs!$A$5:$A$132,0))</f>
        <v/>
      </c>
      <c r="G210" s="37" t="n"/>
      <c r="H210" s="5">
        <f>INDEX(Variables!$B$5:$B$65,MATCH($A210,Variables!$A$5:$A$65,0))&amp;IF($C210="",""," | "&amp;INDEX(Mapping!$B$5:$B$25,MATCH($C210,Mapping!$A$5:$A$25,0))&amp;" | "&amp;INDEX(Mapping!$B$29:$B$38,MATCH($B210,Mapping!$A$29:$A$38,0)))</f>
        <v/>
      </c>
      <c r="I210" s="5">
        <f>INDEX(Variables!$C$5:$C$65,MATCH($A210,Variables!$A$5:$A$65,0))</f>
        <v/>
      </c>
      <c r="J210" s="5">
        <f>INDEX(Variables!$E$5:$E$65,MATCH($A210,Variables!$A$5:$A$65,0))</f>
        <v/>
      </c>
      <c r="K210" s="23">
        <f>LOWER(Settings!$C$4)&amp;".mit."&amp;$A210&amp;IF($C210="","","."&amp;$C210&amp;"."&amp;$B210)&amp;IF(INDEX(Variables!$D$5:$D$65,MATCH($A210,Variables!$A$5:$A$65,0))="","","."&amp;INDEX(Variables!$D$5:$D$65,MATCH($A210,Variables!$A$5:$A$65,0)))&amp;"."&amp;K$5</f>
        <v/>
      </c>
      <c r="L210" s="38">
        <f>INDEX(L$124:L$127,$D210)*$E210*INDEX(L$128:L$144,$F210)</f>
        <v/>
      </c>
      <c r="M210" s="36">
        <f>INDEX(M$124:M$127,$D210)*$E210*INDEX(M$128:M$144,$F210)</f>
        <v/>
      </c>
      <c r="N210" s="36">
        <f>INDEX(N$124:N$127,$D210)*$E210*INDEX(N$128:N$144,$F210)</f>
        <v/>
      </c>
      <c r="O210" s="36">
        <f>INDEX(O$124:O$127,$D210)*$E210*INDEX(O$128:O$144,$F210)</f>
        <v/>
      </c>
      <c r="P210" s="36">
        <f>INDEX(P$124:P$127,$D210)*$E210*INDEX(P$128:P$144,$F210)</f>
        <v/>
      </c>
      <c r="Q210" s="36">
        <f>INDEX(Q$124:Q$127,$D210)*$E210*INDEX(Q$128:Q$144,$F210)</f>
        <v/>
      </c>
      <c r="R210" s="36">
        <f>INDEX(R$124:R$127,$D210)*$E210*INDEX(R$128:R$144,$F210)</f>
        <v/>
      </c>
      <c r="S210" s="36">
        <f>INDEX(S$124:S$127,$D210)*$E210*INDEX(S$128:S$144,$F210)</f>
        <v/>
      </c>
      <c r="T210" s="36">
        <f>INDEX(T$124:T$127,$D210)*$E210*INDEX(T$128:T$144,$F210)</f>
        <v/>
      </c>
      <c r="U210" s="36">
        <f>INDEX(U$124:U$127,$D210)*$E210*INDEX(U$128:U$144,$F210)</f>
        <v/>
      </c>
      <c r="V210" s="36">
        <f>INDEX(V$124:V$127,$D210)*$E210*INDEX(V$128:V$144,$F210)</f>
        <v/>
      </c>
      <c r="W210" s="36">
        <f>INDEX(W$124:W$127,$D210)*$E210*INDEX(W$128:W$144,$F210)</f>
        <v/>
      </c>
      <c r="X210" s="36">
        <f>INDEX(X$124:X$127,$D210)*$E210*INDEX(X$128:X$144,$F210)</f>
        <v/>
      </c>
      <c r="Y210" s="36">
        <f>INDEX(Y$124:Y$127,$D210)*$E210*INDEX(Y$128:Y$144,$F210)</f>
        <v/>
      </c>
      <c r="Z210" s="23">
        <f>LOWER(Settings!$C$4)&amp;".mit."&amp;$A210&amp;IF($C210="","","."&amp;$C210&amp;"."&amp;$B210)&amp;IF(INDEX(Variables!$D$5:$D$65,MATCH($A210,Variables!$A$5:$A$65,0))="","","."&amp;INDEX(Variables!$D$5:$D$65,MATCH($A210,Variables!$A$5:$A$65,0)))&amp;"."&amp;Z$5</f>
        <v/>
      </c>
      <c r="AA210" s="38">
        <f>INDEX(AA$124:AA$127,$D210)*$E210*INDEX(AA$128:AA$144,$F210)</f>
        <v/>
      </c>
      <c r="AB210" s="36">
        <f>INDEX(AB$124:AB$127,$D210)*$E210*INDEX(AB$128:AB$144,$F210)</f>
        <v/>
      </c>
      <c r="AC210" s="36">
        <f>INDEX(AC$124:AC$127,$D210)*$E210*INDEX(AC$128:AC$144,$F210)</f>
        <v/>
      </c>
      <c r="AD210" s="36">
        <f>INDEX(AD$124:AD$127,$D210)*$E210*INDEX(AD$128:AD$144,$F210)</f>
        <v/>
      </c>
      <c r="AE210" s="36">
        <f>INDEX(AE$124:AE$127,$D210)*$E210*INDEX(AE$128:AE$144,$F210)</f>
        <v/>
      </c>
      <c r="AF210" s="36">
        <f>INDEX(AF$124:AF$127,$D210)*$E210*INDEX(AF$128:AF$144,$F210)</f>
        <v/>
      </c>
      <c r="AG210" s="36">
        <f>INDEX(AG$124:AG$127,$D210)*$E210*INDEX(AG$128:AG$144,$F210)</f>
        <v/>
      </c>
      <c r="AH210" s="36">
        <f>INDEX(AH$124:AH$127,$D210)*$E210*INDEX(AH$128:AH$144,$F210)</f>
        <v/>
      </c>
      <c r="AI210" s="36">
        <f>INDEX(AI$124:AI$127,$D210)*$E210*INDEX(AI$128:AI$144,$F210)</f>
        <v/>
      </c>
      <c r="AJ210" s="36">
        <f>INDEX(AJ$124:AJ$127,$D210)*$E210*INDEX(AJ$128:AJ$144,$F210)</f>
        <v/>
      </c>
      <c r="AK210" s="36">
        <f>INDEX(AK$124:AK$127,$D210)*$E210*INDEX(AK$128:AK$144,$F210)</f>
        <v/>
      </c>
      <c r="AL210" s="36">
        <f>INDEX(AL$124:AL$127,$D210)*$E210*INDEX(AL$128:AL$144,$F210)</f>
        <v/>
      </c>
      <c r="AM210" s="36">
        <f>INDEX(AM$124:AM$127,$D210)*$E210*INDEX(AM$128:AM$144,$F210)</f>
        <v/>
      </c>
      <c r="AN210" s="36">
        <f>INDEX(AN$124:AN$127,$D210)*$E210*INDEX(AN$128:AN$144,$F210)</f>
        <v/>
      </c>
    </row>
    <row r="211" hidden="1" outlineLevel="2">
      <c r="A211" s="5" t="inlineStr">
        <is>
          <t>shp</t>
        </is>
      </c>
      <c r="B211" s="5" t="inlineStr">
        <is>
          <t>ker</t>
        </is>
      </c>
      <c r="C211" s="5" t="inlineStr">
        <is>
          <t>rod</t>
        </is>
      </c>
      <c r="D211" s="36">
        <f>INDEX(Inputs!$M$5:$M$132,MATCH($B211&amp;"|"&amp;$C211,Inputs!$A$5:$A$132,0))</f>
        <v/>
      </c>
      <c r="E211" s="36">
        <f>INDEX(Inputs!$U$5:$U$132,MATCH($B211&amp;"|"&amp;$C211,Inputs!$A$5:$A$132,0))</f>
        <v/>
      </c>
      <c r="F211" s="36">
        <f>INDEX(Inputs!$K$5:$K$132,MATCH($B211&amp;"|"&amp;$C211,Inputs!$A$5:$A$132,0))</f>
        <v/>
      </c>
      <c r="G211" s="37" t="n"/>
      <c r="H211" s="5">
        <f>INDEX(Variables!$B$5:$B$65,MATCH($A211,Variables!$A$5:$A$65,0))&amp;IF($C211="",""," | "&amp;INDEX(Mapping!$B$5:$B$25,MATCH($C211,Mapping!$A$5:$A$25,0))&amp;" | "&amp;INDEX(Mapping!$B$29:$B$38,MATCH($B211,Mapping!$A$29:$A$38,0)))</f>
        <v/>
      </c>
      <c r="I211" s="5">
        <f>INDEX(Variables!$C$5:$C$65,MATCH($A211,Variables!$A$5:$A$65,0))</f>
        <v/>
      </c>
      <c r="J211" s="5">
        <f>INDEX(Variables!$E$5:$E$65,MATCH($A211,Variables!$A$5:$A$65,0))</f>
        <v/>
      </c>
      <c r="K211" s="23">
        <f>LOWER(Settings!$C$4)&amp;".mit."&amp;$A211&amp;IF($C211="","","."&amp;$C211&amp;"."&amp;$B211)&amp;IF(INDEX(Variables!$D$5:$D$65,MATCH($A211,Variables!$A$5:$A$65,0))="","","."&amp;INDEX(Variables!$D$5:$D$65,MATCH($A211,Variables!$A$5:$A$65,0)))&amp;"."&amp;K$5</f>
        <v/>
      </c>
      <c r="L211" s="38">
        <f>INDEX(L$124:L$127,$D211)*$E211*INDEX(L$128:L$144,$F211)</f>
        <v/>
      </c>
      <c r="M211" s="36">
        <f>INDEX(M$124:M$127,$D211)*$E211*INDEX(M$128:M$144,$F211)</f>
        <v/>
      </c>
      <c r="N211" s="36">
        <f>INDEX(N$124:N$127,$D211)*$E211*INDEX(N$128:N$144,$F211)</f>
        <v/>
      </c>
      <c r="O211" s="36">
        <f>INDEX(O$124:O$127,$D211)*$E211*INDEX(O$128:O$144,$F211)</f>
        <v/>
      </c>
      <c r="P211" s="36">
        <f>INDEX(P$124:P$127,$D211)*$E211*INDEX(P$128:P$144,$F211)</f>
        <v/>
      </c>
      <c r="Q211" s="36">
        <f>INDEX(Q$124:Q$127,$D211)*$E211*INDEX(Q$128:Q$144,$F211)</f>
        <v/>
      </c>
      <c r="R211" s="36">
        <f>INDEX(R$124:R$127,$D211)*$E211*INDEX(R$128:R$144,$F211)</f>
        <v/>
      </c>
      <c r="S211" s="36">
        <f>INDEX(S$124:S$127,$D211)*$E211*INDEX(S$128:S$144,$F211)</f>
        <v/>
      </c>
      <c r="T211" s="36">
        <f>INDEX(T$124:T$127,$D211)*$E211*INDEX(T$128:T$144,$F211)</f>
        <v/>
      </c>
      <c r="U211" s="36">
        <f>INDEX(U$124:U$127,$D211)*$E211*INDEX(U$128:U$144,$F211)</f>
        <v/>
      </c>
      <c r="V211" s="36">
        <f>INDEX(V$124:V$127,$D211)*$E211*INDEX(V$128:V$144,$F211)</f>
        <v/>
      </c>
      <c r="W211" s="36">
        <f>INDEX(W$124:W$127,$D211)*$E211*INDEX(W$128:W$144,$F211)</f>
        <v/>
      </c>
      <c r="X211" s="36">
        <f>INDEX(X$124:X$127,$D211)*$E211*INDEX(X$128:X$144,$F211)</f>
        <v/>
      </c>
      <c r="Y211" s="36">
        <f>INDEX(Y$124:Y$127,$D211)*$E211*INDEX(Y$128:Y$144,$F211)</f>
        <v/>
      </c>
      <c r="Z211" s="23">
        <f>LOWER(Settings!$C$4)&amp;".mit."&amp;$A211&amp;IF($C211="","","."&amp;$C211&amp;"."&amp;$B211)&amp;IF(INDEX(Variables!$D$5:$D$65,MATCH($A211,Variables!$A$5:$A$65,0))="","","."&amp;INDEX(Variables!$D$5:$D$65,MATCH($A211,Variables!$A$5:$A$65,0)))&amp;"."&amp;Z$5</f>
        <v/>
      </c>
      <c r="AA211" s="38">
        <f>INDEX(AA$124:AA$127,$D211)*$E211*INDEX(AA$128:AA$144,$F211)</f>
        <v/>
      </c>
      <c r="AB211" s="36">
        <f>INDEX(AB$124:AB$127,$D211)*$E211*INDEX(AB$128:AB$144,$F211)</f>
        <v/>
      </c>
      <c r="AC211" s="36">
        <f>INDEX(AC$124:AC$127,$D211)*$E211*INDEX(AC$128:AC$144,$F211)</f>
        <v/>
      </c>
      <c r="AD211" s="36">
        <f>INDEX(AD$124:AD$127,$D211)*$E211*INDEX(AD$128:AD$144,$F211)</f>
        <v/>
      </c>
      <c r="AE211" s="36">
        <f>INDEX(AE$124:AE$127,$D211)*$E211*INDEX(AE$128:AE$144,$F211)</f>
        <v/>
      </c>
      <c r="AF211" s="36">
        <f>INDEX(AF$124:AF$127,$D211)*$E211*INDEX(AF$128:AF$144,$F211)</f>
        <v/>
      </c>
      <c r="AG211" s="36">
        <f>INDEX(AG$124:AG$127,$D211)*$E211*INDEX(AG$128:AG$144,$F211)</f>
        <v/>
      </c>
      <c r="AH211" s="36">
        <f>INDEX(AH$124:AH$127,$D211)*$E211*INDEX(AH$128:AH$144,$F211)</f>
        <v/>
      </c>
      <c r="AI211" s="36">
        <f>INDEX(AI$124:AI$127,$D211)*$E211*INDEX(AI$128:AI$144,$F211)</f>
        <v/>
      </c>
      <c r="AJ211" s="36">
        <f>INDEX(AJ$124:AJ$127,$D211)*$E211*INDEX(AJ$128:AJ$144,$F211)</f>
        <v/>
      </c>
      <c r="AK211" s="36">
        <f>INDEX(AK$124:AK$127,$D211)*$E211*INDEX(AK$128:AK$144,$F211)</f>
        <v/>
      </c>
      <c r="AL211" s="36">
        <f>INDEX(AL$124:AL$127,$D211)*$E211*INDEX(AL$128:AL$144,$F211)</f>
        <v/>
      </c>
      <c r="AM211" s="36">
        <f>INDEX(AM$124:AM$127,$D211)*$E211*INDEX(AM$128:AM$144,$F211)</f>
        <v/>
      </c>
      <c r="AN211" s="36">
        <f>INDEX(AN$124:AN$127,$D211)*$E211*INDEX(AN$128:AN$144,$F211)</f>
        <v/>
      </c>
    </row>
    <row r="212" hidden="1" outlineLevel="2">
      <c r="A212" s="5" t="inlineStr">
        <is>
          <t>shp</t>
        </is>
      </c>
      <c r="B212" s="5" t="inlineStr">
        <is>
          <t>oop</t>
        </is>
      </c>
      <c r="C212" s="5" t="inlineStr">
        <is>
          <t>rod</t>
        </is>
      </c>
      <c r="D212" s="36">
        <f>INDEX(Inputs!$M$5:$M$132,MATCH($B212&amp;"|"&amp;$C212,Inputs!$A$5:$A$132,0))</f>
        <v/>
      </c>
      <c r="E212" s="36">
        <f>INDEX(Inputs!$U$5:$U$132,MATCH($B212&amp;"|"&amp;$C212,Inputs!$A$5:$A$132,0))</f>
        <v/>
      </c>
      <c r="F212" s="36">
        <f>INDEX(Inputs!$K$5:$K$132,MATCH($B212&amp;"|"&amp;$C212,Inputs!$A$5:$A$132,0))</f>
        <v/>
      </c>
      <c r="G212" s="37" t="n"/>
      <c r="H212" s="5">
        <f>INDEX(Variables!$B$5:$B$65,MATCH($A212,Variables!$A$5:$A$65,0))&amp;IF($C212="",""," | "&amp;INDEX(Mapping!$B$5:$B$25,MATCH($C212,Mapping!$A$5:$A$25,0))&amp;" | "&amp;INDEX(Mapping!$B$29:$B$38,MATCH($B212,Mapping!$A$29:$A$38,0)))</f>
        <v/>
      </c>
      <c r="I212" s="5">
        <f>INDEX(Variables!$C$5:$C$65,MATCH($A212,Variables!$A$5:$A$65,0))</f>
        <v/>
      </c>
      <c r="J212" s="5">
        <f>INDEX(Variables!$E$5:$E$65,MATCH($A212,Variables!$A$5:$A$65,0))</f>
        <v/>
      </c>
      <c r="K212" s="23">
        <f>LOWER(Settings!$C$4)&amp;".mit."&amp;$A212&amp;IF($C212="","","."&amp;$C212&amp;"."&amp;$B212)&amp;IF(INDEX(Variables!$D$5:$D$65,MATCH($A212,Variables!$A$5:$A$65,0))="","","."&amp;INDEX(Variables!$D$5:$D$65,MATCH($A212,Variables!$A$5:$A$65,0)))&amp;"."&amp;K$5</f>
        <v/>
      </c>
      <c r="L212" s="38">
        <f>INDEX(L$124:L$127,$D212)*$E212*INDEX(L$128:L$144,$F212)</f>
        <v/>
      </c>
      <c r="M212" s="36">
        <f>INDEX(M$124:M$127,$D212)*$E212*INDEX(M$128:M$144,$F212)</f>
        <v/>
      </c>
      <c r="N212" s="36">
        <f>INDEX(N$124:N$127,$D212)*$E212*INDEX(N$128:N$144,$F212)</f>
        <v/>
      </c>
      <c r="O212" s="36">
        <f>INDEX(O$124:O$127,$D212)*$E212*INDEX(O$128:O$144,$F212)</f>
        <v/>
      </c>
      <c r="P212" s="36">
        <f>INDEX(P$124:P$127,$D212)*$E212*INDEX(P$128:P$144,$F212)</f>
        <v/>
      </c>
      <c r="Q212" s="36">
        <f>INDEX(Q$124:Q$127,$D212)*$E212*INDEX(Q$128:Q$144,$F212)</f>
        <v/>
      </c>
      <c r="R212" s="36">
        <f>INDEX(R$124:R$127,$D212)*$E212*INDEX(R$128:R$144,$F212)</f>
        <v/>
      </c>
      <c r="S212" s="36">
        <f>INDEX(S$124:S$127,$D212)*$E212*INDEX(S$128:S$144,$F212)</f>
        <v/>
      </c>
      <c r="T212" s="36">
        <f>INDEX(T$124:T$127,$D212)*$E212*INDEX(T$128:T$144,$F212)</f>
        <v/>
      </c>
      <c r="U212" s="36">
        <f>INDEX(U$124:U$127,$D212)*$E212*INDEX(U$128:U$144,$F212)</f>
        <v/>
      </c>
      <c r="V212" s="36">
        <f>INDEX(V$124:V$127,$D212)*$E212*INDEX(V$128:V$144,$F212)</f>
        <v/>
      </c>
      <c r="W212" s="36">
        <f>INDEX(W$124:W$127,$D212)*$E212*INDEX(W$128:W$144,$F212)</f>
        <v/>
      </c>
      <c r="X212" s="36">
        <f>INDEX(X$124:X$127,$D212)*$E212*INDEX(X$128:X$144,$F212)</f>
        <v/>
      </c>
      <c r="Y212" s="36">
        <f>INDEX(Y$124:Y$127,$D212)*$E212*INDEX(Y$128:Y$144,$F212)</f>
        <v/>
      </c>
      <c r="Z212" s="23">
        <f>LOWER(Settings!$C$4)&amp;".mit."&amp;$A212&amp;IF($C212="","","."&amp;$C212&amp;"."&amp;$B212)&amp;IF(INDEX(Variables!$D$5:$D$65,MATCH($A212,Variables!$A$5:$A$65,0))="","","."&amp;INDEX(Variables!$D$5:$D$65,MATCH($A212,Variables!$A$5:$A$65,0)))&amp;"."&amp;Z$5</f>
        <v/>
      </c>
      <c r="AA212" s="38">
        <f>INDEX(AA$124:AA$127,$D212)*$E212*INDEX(AA$128:AA$144,$F212)</f>
        <v/>
      </c>
      <c r="AB212" s="36">
        <f>INDEX(AB$124:AB$127,$D212)*$E212*INDEX(AB$128:AB$144,$F212)</f>
        <v/>
      </c>
      <c r="AC212" s="36">
        <f>INDEX(AC$124:AC$127,$D212)*$E212*INDEX(AC$128:AC$144,$F212)</f>
        <v/>
      </c>
      <c r="AD212" s="36">
        <f>INDEX(AD$124:AD$127,$D212)*$E212*INDEX(AD$128:AD$144,$F212)</f>
        <v/>
      </c>
      <c r="AE212" s="36">
        <f>INDEX(AE$124:AE$127,$D212)*$E212*INDEX(AE$128:AE$144,$F212)</f>
        <v/>
      </c>
      <c r="AF212" s="36">
        <f>INDEX(AF$124:AF$127,$D212)*$E212*INDEX(AF$128:AF$144,$F212)</f>
        <v/>
      </c>
      <c r="AG212" s="36">
        <f>INDEX(AG$124:AG$127,$D212)*$E212*INDEX(AG$128:AG$144,$F212)</f>
        <v/>
      </c>
      <c r="AH212" s="36">
        <f>INDEX(AH$124:AH$127,$D212)*$E212*INDEX(AH$128:AH$144,$F212)</f>
        <v/>
      </c>
      <c r="AI212" s="36">
        <f>INDEX(AI$124:AI$127,$D212)*$E212*INDEX(AI$128:AI$144,$F212)</f>
        <v/>
      </c>
      <c r="AJ212" s="36">
        <f>INDEX(AJ$124:AJ$127,$D212)*$E212*INDEX(AJ$128:AJ$144,$F212)</f>
        <v/>
      </c>
      <c r="AK212" s="36">
        <f>INDEX(AK$124:AK$127,$D212)*$E212*INDEX(AK$128:AK$144,$F212)</f>
        <v/>
      </c>
      <c r="AL212" s="36">
        <f>INDEX(AL$124:AL$127,$D212)*$E212*INDEX(AL$128:AL$144,$F212)</f>
        <v/>
      </c>
      <c r="AM212" s="36">
        <f>INDEX(AM$124:AM$127,$D212)*$E212*INDEX(AM$128:AM$144,$F212)</f>
        <v/>
      </c>
      <c r="AN212" s="36">
        <f>INDEX(AN$124:AN$127,$D212)*$E212*INDEX(AN$128:AN$144,$F212)</f>
        <v/>
      </c>
    </row>
    <row r="213" hidden="1" outlineLevel="2">
      <c r="A213" s="5" t="inlineStr">
        <is>
          <t>shp</t>
        </is>
      </c>
      <c r="B213" s="5" t="inlineStr">
        <is>
          <t>bio</t>
        </is>
      </c>
      <c r="C213" s="5" t="inlineStr">
        <is>
          <t>rod</t>
        </is>
      </c>
      <c r="D213" s="36">
        <f>INDEX(Inputs!$M$5:$M$132,MATCH($B213&amp;"|"&amp;$C213,Inputs!$A$5:$A$132,0))</f>
        <v/>
      </c>
      <c r="E213" s="36">
        <f>INDEX(Inputs!$U$5:$U$132,MATCH($B213&amp;"|"&amp;$C213,Inputs!$A$5:$A$132,0))</f>
        <v/>
      </c>
      <c r="F213" s="36">
        <f>INDEX(Inputs!$K$5:$K$132,MATCH($B213&amp;"|"&amp;$C213,Inputs!$A$5:$A$132,0))</f>
        <v/>
      </c>
      <c r="G213" s="37" t="n"/>
      <c r="H213" s="5">
        <f>INDEX(Variables!$B$5:$B$65,MATCH($A213,Variables!$A$5:$A$65,0))&amp;IF($C213="",""," | "&amp;INDEX(Mapping!$B$5:$B$25,MATCH($C213,Mapping!$A$5:$A$25,0))&amp;" | "&amp;INDEX(Mapping!$B$29:$B$38,MATCH($B213,Mapping!$A$29:$A$38,0)))</f>
        <v/>
      </c>
      <c r="I213" s="5">
        <f>INDEX(Variables!$C$5:$C$65,MATCH($A213,Variables!$A$5:$A$65,0))</f>
        <v/>
      </c>
      <c r="J213" s="5">
        <f>INDEX(Variables!$E$5:$E$65,MATCH($A213,Variables!$A$5:$A$65,0))</f>
        <v/>
      </c>
      <c r="K213" s="23">
        <f>LOWER(Settings!$C$4)&amp;".mit."&amp;$A213&amp;IF($C213="","","."&amp;$C213&amp;"."&amp;$B213)&amp;IF(INDEX(Variables!$D$5:$D$65,MATCH($A213,Variables!$A$5:$A$65,0))="","","."&amp;INDEX(Variables!$D$5:$D$65,MATCH($A213,Variables!$A$5:$A$65,0)))&amp;"."&amp;K$5</f>
        <v/>
      </c>
      <c r="L213" s="38">
        <f>INDEX(L$124:L$127,$D213)*$E213*INDEX(L$128:L$144,$F213)</f>
        <v/>
      </c>
      <c r="M213" s="36">
        <f>INDEX(M$124:M$127,$D213)*$E213*INDEX(M$128:M$144,$F213)</f>
        <v/>
      </c>
      <c r="N213" s="36">
        <f>INDEX(N$124:N$127,$D213)*$E213*INDEX(N$128:N$144,$F213)</f>
        <v/>
      </c>
      <c r="O213" s="36">
        <f>INDEX(O$124:O$127,$D213)*$E213*INDEX(O$128:O$144,$F213)</f>
        <v/>
      </c>
      <c r="P213" s="36">
        <f>INDEX(P$124:P$127,$D213)*$E213*INDEX(P$128:P$144,$F213)</f>
        <v/>
      </c>
      <c r="Q213" s="36">
        <f>INDEX(Q$124:Q$127,$D213)*$E213*INDEX(Q$128:Q$144,$F213)</f>
        <v/>
      </c>
      <c r="R213" s="36">
        <f>INDEX(R$124:R$127,$D213)*$E213*INDEX(R$128:R$144,$F213)</f>
        <v/>
      </c>
      <c r="S213" s="36">
        <f>INDEX(S$124:S$127,$D213)*$E213*INDEX(S$128:S$144,$F213)</f>
        <v/>
      </c>
      <c r="T213" s="36">
        <f>INDEX(T$124:T$127,$D213)*$E213*INDEX(T$128:T$144,$F213)</f>
        <v/>
      </c>
      <c r="U213" s="36">
        <f>INDEX(U$124:U$127,$D213)*$E213*INDEX(U$128:U$144,$F213)</f>
        <v/>
      </c>
      <c r="V213" s="36">
        <f>INDEX(V$124:V$127,$D213)*$E213*INDEX(V$128:V$144,$F213)</f>
        <v/>
      </c>
      <c r="W213" s="36">
        <f>INDEX(W$124:W$127,$D213)*$E213*INDEX(W$128:W$144,$F213)</f>
        <v/>
      </c>
      <c r="X213" s="36">
        <f>INDEX(X$124:X$127,$D213)*$E213*INDEX(X$128:X$144,$F213)</f>
        <v/>
      </c>
      <c r="Y213" s="36">
        <f>INDEX(Y$124:Y$127,$D213)*$E213*INDEX(Y$128:Y$144,$F213)</f>
        <v/>
      </c>
      <c r="Z213" s="23">
        <f>LOWER(Settings!$C$4)&amp;".mit."&amp;$A213&amp;IF($C213="","","."&amp;$C213&amp;"."&amp;$B213)&amp;IF(INDEX(Variables!$D$5:$D$65,MATCH($A213,Variables!$A$5:$A$65,0))="","","."&amp;INDEX(Variables!$D$5:$D$65,MATCH($A213,Variables!$A$5:$A$65,0)))&amp;"."&amp;Z$5</f>
        <v/>
      </c>
      <c r="AA213" s="38">
        <f>INDEX(AA$124:AA$127,$D213)*$E213*INDEX(AA$128:AA$144,$F213)</f>
        <v/>
      </c>
      <c r="AB213" s="36">
        <f>INDEX(AB$124:AB$127,$D213)*$E213*INDEX(AB$128:AB$144,$F213)</f>
        <v/>
      </c>
      <c r="AC213" s="36">
        <f>INDEX(AC$124:AC$127,$D213)*$E213*INDEX(AC$128:AC$144,$F213)</f>
        <v/>
      </c>
      <c r="AD213" s="36">
        <f>INDEX(AD$124:AD$127,$D213)*$E213*INDEX(AD$128:AD$144,$F213)</f>
        <v/>
      </c>
      <c r="AE213" s="36">
        <f>INDEX(AE$124:AE$127,$D213)*$E213*INDEX(AE$128:AE$144,$F213)</f>
        <v/>
      </c>
      <c r="AF213" s="36">
        <f>INDEX(AF$124:AF$127,$D213)*$E213*INDEX(AF$128:AF$144,$F213)</f>
        <v/>
      </c>
      <c r="AG213" s="36">
        <f>INDEX(AG$124:AG$127,$D213)*$E213*INDEX(AG$128:AG$144,$F213)</f>
        <v/>
      </c>
      <c r="AH213" s="36">
        <f>INDEX(AH$124:AH$127,$D213)*$E213*INDEX(AH$128:AH$144,$F213)</f>
        <v/>
      </c>
      <c r="AI213" s="36">
        <f>INDEX(AI$124:AI$127,$D213)*$E213*INDEX(AI$128:AI$144,$F213)</f>
        <v/>
      </c>
      <c r="AJ213" s="36">
        <f>INDEX(AJ$124:AJ$127,$D213)*$E213*INDEX(AJ$128:AJ$144,$F213)</f>
        <v/>
      </c>
      <c r="AK213" s="36">
        <f>INDEX(AK$124:AK$127,$D213)*$E213*INDEX(AK$128:AK$144,$F213)</f>
        <v/>
      </c>
      <c r="AL213" s="36">
        <f>INDEX(AL$124:AL$127,$D213)*$E213*INDEX(AL$128:AL$144,$F213)</f>
        <v/>
      </c>
      <c r="AM213" s="36">
        <f>INDEX(AM$124:AM$127,$D213)*$E213*INDEX(AM$128:AM$144,$F213)</f>
        <v/>
      </c>
      <c r="AN213" s="36">
        <f>INDEX(AN$124:AN$127,$D213)*$E213*INDEX(AN$128:AN$144,$F213)</f>
        <v/>
      </c>
    </row>
    <row r="214" hidden="1" outlineLevel="2"/>
    <row r="215" hidden="1" outlineLevel="2">
      <c r="A215" s="5" t="inlineStr">
        <is>
          <t>ener</t>
        </is>
      </c>
      <c r="B215" s="5" t="inlineStr">
        <is>
          <t>coa</t>
        </is>
      </c>
      <c r="C215" s="5" t="inlineStr">
        <is>
          <t>rod</t>
        </is>
      </c>
      <c r="D215" s="36">
        <f>INDEX(Inputs!$N$5:$N$132,MATCH($B215&amp;"|"&amp;$C215,Inputs!$A$5:$A$132,0))</f>
        <v/>
      </c>
      <c r="E215" s="36">
        <f>INDEX(Inputs!$O$5:$O$132,MATCH($B215&amp;"|"&amp;$C215,Inputs!$A$5:$A$132,0))</f>
        <v/>
      </c>
      <c r="F215" s="36">
        <f>INDEX(Inputs!$P$5:$P$132,MATCH($B215&amp;"|"&amp;$C215,Inputs!$A$5:$A$132,0))</f>
        <v/>
      </c>
      <c r="G215" s="36">
        <f>INDEX(Inputs!$Q$5:$Q$132,MATCH($B215&amp;"|"&amp;$C215,Inputs!$A$5:$A$132,0))</f>
        <v/>
      </c>
      <c r="H215" s="5">
        <f>INDEX(Variables!$B$5:$B$65,MATCH($A215,Variables!$A$5:$A$65,0))&amp;IF($C215="",""," | "&amp;INDEX(Mapping!$B$5:$B$25,MATCH($C215,Mapping!$A$5:$A$25,0))&amp;" | "&amp;INDEX(Mapping!$B$29:$B$38,MATCH($B215,Mapping!$A$29:$A$38,0)))</f>
        <v/>
      </c>
      <c r="I215" s="5">
        <f>INDEX(Variables!$C$5:$C$65,MATCH($A215,Variables!$A$5:$A$65,0))</f>
        <v/>
      </c>
      <c r="J215" s="5">
        <f>INDEX(Variables!$E$5:$E$65,MATCH($A215,Variables!$A$5:$A$65,0))</f>
        <v/>
      </c>
      <c r="K215" s="23">
        <f>LOWER(Settings!$C$4)&amp;".mit."&amp;$A215&amp;IF($C215="","","."&amp;$C215&amp;"."&amp;$B215)&amp;IF(INDEX(Variables!$D$5:$D$65,MATCH($A215,Variables!$A$5:$A$65,0))="","","."&amp;INDEX(Variables!$D$5:$D$65,MATCH($A215,Variables!$A$5:$A$65,0)))&amp;"."&amp;K$5</f>
        <v/>
      </c>
      <c r="L215" s="40">
        <f>INDEX(Inputs!$V$5:$V$132,MATCH($B215&amp;"|"&amp;$C215,Inputs!$A$5:$A$132,0))</f>
        <v/>
      </c>
      <c r="M215" s="41">
        <f>L215*(1/(1+$G215))^(1+$E215)*(1+M$7)^$D215*(M197/L197)^$E215*((M197+M206)/(L197+L206))^($F215*(1+$E215))</f>
        <v/>
      </c>
      <c r="N215" s="41">
        <f>M215*(1/(1+$G215))^(1+$E215)*(1+N$7)^$D215*(N197/M197)^$E215*((N197+N206)/(M197+M206))^($F215*(1+$E215))</f>
        <v/>
      </c>
      <c r="O215" s="41">
        <f>N215*(1/(1+$G215))^(1+$E215)*(1+O$7)^$D215*(O197/N197)^$E215*((O197+O206)/(N197+N206))^($F215*(1+$E215))</f>
        <v/>
      </c>
      <c r="P215" s="41">
        <f>O215*(1/(1+$G215))^(1+$E215)*(1+P$7)^$D215*(P197/O197)^$E215*((P197+P206)/(O197+O206))^($F215*(1+$E215))</f>
        <v/>
      </c>
      <c r="Q215" s="41">
        <f>P215*(1/(1+$G215))^(1+$E215)*(1+Q$7)^$D215*(Q197/P197)^$E215*((Q197+Q206)/(P197+P206))^($F215*(1+$E215))</f>
        <v/>
      </c>
      <c r="R215" s="41">
        <f>Q215*(1/(1+$G215))^(1+$E215)*(1+R$7)^$D215*(R197/Q197)^$E215*((R197+R206)/(Q197+Q206))^($F215*(1+$E215))</f>
        <v/>
      </c>
      <c r="S215" s="41">
        <f>R215*(1/(1+$G215))^(1+$E215)*(1+S$7)^$D215*(S197/R197)^$E215*((S197+S206)/(R197+R206))^($F215*(1+$E215))</f>
        <v/>
      </c>
      <c r="T215" s="41">
        <f>S215*(1/(1+$G215))^(1+$E215)*(1+T$7)^$D215*(T197/S197)^$E215*((T197+T206)/(S197+S206))^($F215*(1+$E215))</f>
        <v/>
      </c>
      <c r="U215" s="41">
        <f>T215*(1/(1+$G215))^(1+$E215)*(1+U$7)^$D215*(U197/T197)^$E215*((U197+U206)/(T197+T206))^($F215*(1+$E215))</f>
        <v/>
      </c>
      <c r="V215" s="41">
        <f>U215*(1/(1+$G215))^(1+$E215)*(1+V$7)^$D215*(V197/U197)^$E215*((V197+V206)/(U197+U206))^($F215*(1+$E215))</f>
        <v/>
      </c>
      <c r="W215" s="41">
        <f>V215*(1/(1+$G215))^(1+$E215)*(1+W$7)^$D215*(W197/V197)^$E215*((W197+W206)/(V197+V206))^($F215*(1+$E215))</f>
        <v/>
      </c>
      <c r="X215" s="41">
        <f>W215*(1/(1+$G215))^(1+$E215)*(1+X$7)^$D215*(X197/W197)^$E215*((X197+X206)/(W197+W206))^($F215*(1+$E215))</f>
        <v/>
      </c>
      <c r="Y215" s="42">
        <f>FUELUSE(X215,Y197,X197,Y206,X206,Y$7,$D215,$E215,$F215,$G215)</f>
        <v/>
      </c>
      <c r="Z215" s="23">
        <f>LOWER(Settings!$C$4)&amp;".mit."&amp;$A215&amp;IF($C215="","","."&amp;$C215&amp;"."&amp;$B215)&amp;IF(INDEX(Variables!$D$5:$D$65,MATCH($A215,Variables!$A$5:$A$65,0))="","","."&amp;INDEX(Variables!$D$5:$D$65,MATCH($A215,Variables!$A$5:$A$65,0)))&amp;"."&amp;Z$5</f>
        <v/>
      </c>
      <c r="AA215" s="40">
        <f>INDEX(Inputs!$V$5:$V$132,MATCH($B215&amp;"|"&amp;$C215,Inputs!$A$5:$A$132,0))</f>
        <v/>
      </c>
      <c r="AB215" s="41">
        <f>AA215*(1/(1+$G215))^(1+$E215)*(1+AB$7)^$D215*(AB197/AA197)^$E215*((AB197+AB206)/(AA197+AA206))^($F215*(1+$E215))</f>
        <v/>
      </c>
      <c r="AC215" s="41">
        <f>AB215*(1/(1+$G215))^(1+$E215)*(1+AC$7)^$D215*(AC197/AB197)^$E215*((AC197+AC206)/(AB197+AB206))^($F215*(1+$E215))</f>
        <v/>
      </c>
      <c r="AD215" s="41">
        <f>AC215*(1/(1+$G215))^(1+$E215)*(1+AD$7)^$D215*(AD197/AC197)^$E215*((AD197+AD206)/(AC197+AC206))^($F215*(1+$E215))</f>
        <v/>
      </c>
      <c r="AE215" s="41">
        <f>AD215*(1/(1+$G215))^(1+$E215)*(1+AE$7)^$D215*(AE197/AD197)^$E215*((AE197+AE206)/(AD197+AD206))^($F215*(1+$E215))</f>
        <v/>
      </c>
      <c r="AF215" s="41">
        <f>AE215*(1/(1+$G215))^(1+$E215)*(1+AF$7)^$D215*(AF197/AE197)^$E215*((AF197+AF206)/(AE197+AE206))^($F215*(1+$E215))</f>
        <v/>
      </c>
      <c r="AG215" s="41">
        <f>AF215*(1/(1+$G215))^(1+$E215)*(1+AG$7)^$D215*(AG197/AF197)^$E215*((AG197+AG206)/(AF197+AF206))^($F215*(1+$E215))</f>
        <v/>
      </c>
      <c r="AH215" s="41">
        <f>AG215*(1/(1+$G215))^(1+$E215)*(1+AH$7)^$D215*(AH197/AG197)^$E215*((AH197+AH206)/(AG197+AG206))^($F215*(1+$E215))</f>
        <v/>
      </c>
      <c r="AI215" s="41">
        <f>AH215*(1/(1+$G215))^(1+$E215)*(1+AI$7)^$D215*(AI197/AH197)^$E215*((AI197+AI206)/(AH197+AH206))^($F215*(1+$E215))</f>
        <v/>
      </c>
      <c r="AJ215" s="41">
        <f>AI215*(1/(1+$G215))^(1+$E215)*(1+AJ$7)^$D215*(AJ197/AI197)^$E215*((AJ197+AJ206)/(AI197+AI206))^($F215*(1+$E215))</f>
        <v/>
      </c>
      <c r="AK215" s="41">
        <f>AJ215*(1/(1+$G215))^(1+$E215)*(1+AK$7)^$D215*(AK197/AJ197)^$E215*((AK197+AK206)/(AJ197+AJ206))^($F215*(1+$E215))</f>
        <v/>
      </c>
      <c r="AL215" s="41">
        <f>AK215*(1/(1+$G215))^(1+$E215)*(1+AL$7)^$D215*(AL197/AK197)^$E215*((AL197+AL206)/(AK197+AK206))^($F215*(1+$E215))</f>
        <v/>
      </c>
      <c r="AM215" s="41">
        <f>AL215*(1/(1+$G215))^(1+$E215)*(1+AM$7)^$D215*(AM197/AL197)^$E215*((AM197+AM206)/(AL197+AL206))^($F215*(1+$E215))</f>
        <v/>
      </c>
      <c r="AN215" s="42">
        <f>FUELUSE(AM215,AN197,AM197,AN206,AM206,AN$7,$D215,$E215,$F215,$G215)</f>
        <v/>
      </c>
    </row>
    <row r="216" hidden="1" outlineLevel="2">
      <c r="A216" s="5" t="inlineStr">
        <is>
          <t>ener</t>
        </is>
      </c>
      <c r="B216" s="5" t="inlineStr">
        <is>
          <t>nga</t>
        </is>
      </c>
      <c r="C216" s="5" t="inlineStr">
        <is>
          <t>rod</t>
        </is>
      </c>
      <c r="D216" s="36">
        <f>INDEX(Inputs!$N$5:$N$132,MATCH($B216&amp;"|"&amp;$C216,Inputs!$A$5:$A$132,0))</f>
        <v/>
      </c>
      <c r="E216" s="36">
        <f>INDEX(Inputs!$O$5:$O$132,MATCH($B216&amp;"|"&amp;$C216,Inputs!$A$5:$A$132,0))</f>
        <v/>
      </c>
      <c r="F216" s="36">
        <f>INDEX(Inputs!$P$5:$P$132,MATCH($B216&amp;"|"&amp;$C216,Inputs!$A$5:$A$132,0))</f>
        <v/>
      </c>
      <c r="G216" s="36">
        <f>INDEX(Inputs!$Q$5:$Q$132,MATCH($B216&amp;"|"&amp;$C216,Inputs!$A$5:$A$132,0))</f>
        <v/>
      </c>
      <c r="H216" s="5">
        <f>INDEX(Variables!$B$5:$B$65,MATCH($A216,Variables!$A$5:$A$65,0))&amp;IF($C216="",""," | "&amp;INDEX(Mapping!$B$5:$B$25,MATCH($C216,Mapping!$A$5:$A$25,0))&amp;" | "&amp;INDEX(Mapping!$B$29:$B$38,MATCH($B216,Mapping!$A$29:$A$38,0)))</f>
        <v/>
      </c>
      <c r="I216" s="5">
        <f>INDEX(Variables!$C$5:$C$65,MATCH($A216,Variables!$A$5:$A$65,0))</f>
        <v/>
      </c>
      <c r="J216" s="5">
        <f>INDEX(Variables!$E$5:$E$65,MATCH($A216,Variables!$A$5:$A$65,0))</f>
        <v/>
      </c>
      <c r="K216" s="23">
        <f>LOWER(Settings!$C$4)&amp;".mit."&amp;$A216&amp;IF($C216="","","."&amp;$C216&amp;"."&amp;$B216)&amp;IF(INDEX(Variables!$D$5:$D$65,MATCH($A216,Variables!$A$5:$A$65,0))="","","."&amp;INDEX(Variables!$D$5:$D$65,MATCH($A216,Variables!$A$5:$A$65,0)))&amp;"."&amp;K$5</f>
        <v/>
      </c>
      <c r="L216" s="40">
        <f>INDEX(Inputs!$V$5:$V$132,MATCH($B216&amp;"|"&amp;$C216,Inputs!$A$5:$A$132,0))</f>
        <v/>
      </c>
      <c r="M216" s="41">
        <f>L216*(1/(1+$G216))^(1+$E216)*(1+M$7)^$D216*(M198/L198)^$E216*((M198+M207)/(L198+L207))^($F216*(1+$E216))</f>
        <v/>
      </c>
      <c r="N216" s="41">
        <f>M216*(1/(1+$G216))^(1+$E216)*(1+N$7)^$D216*(N198/M198)^$E216*((N198+N207)/(M198+M207))^($F216*(1+$E216))</f>
        <v/>
      </c>
      <c r="O216" s="41">
        <f>N216*(1/(1+$G216))^(1+$E216)*(1+O$7)^$D216*(O198/N198)^$E216*((O198+O207)/(N198+N207))^($F216*(1+$E216))</f>
        <v/>
      </c>
      <c r="P216" s="41">
        <f>O216*(1/(1+$G216))^(1+$E216)*(1+P$7)^$D216*(P198/O198)^$E216*((P198+P207)/(O198+O207))^($F216*(1+$E216))</f>
        <v/>
      </c>
      <c r="Q216" s="41">
        <f>P216*(1/(1+$G216))^(1+$E216)*(1+Q$7)^$D216*(Q198/P198)^$E216*((Q198+Q207)/(P198+P207))^($F216*(1+$E216))</f>
        <v/>
      </c>
      <c r="R216" s="41">
        <f>Q216*(1/(1+$G216))^(1+$E216)*(1+R$7)^$D216*(R198/Q198)^$E216*((R198+R207)/(Q198+Q207))^($F216*(1+$E216))</f>
        <v/>
      </c>
      <c r="S216" s="41">
        <f>R216*(1/(1+$G216))^(1+$E216)*(1+S$7)^$D216*(S198/R198)^$E216*((S198+S207)/(R198+R207))^($F216*(1+$E216))</f>
        <v/>
      </c>
      <c r="T216" s="41">
        <f>S216*(1/(1+$G216))^(1+$E216)*(1+T$7)^$D216*(T198/S198)^$E216*((T198+T207)/(S198+S207))^($F216*(1+$E216))</f>
        <v/>
      </c>
      <c r="U216" s="41">
        <f>T216*(1/(1+$G216))^(1+$E216)*(1+U$7)^$D216*(U198/T198)^$E216*((U198+U207)/(T198+T207))^($F216*(1+$E216))</f>
        <v/>
      </c>
      <c r="V216" s="41">
        <f>U216*(1/(1+$G216))^(1+$E216)*(1+V$7)^$D216*(V198/U198)^$E216*((V198+V207)/(U198+U207))^($F216*(1+$E216))</f>
        <v/>
      </c>
      <c r="W216" s="41">
        <f>V216*(1/(1+$G216))^(1+$E216)*(1+W$7)^$D216*(W198/V198)^$E216*((W198+W207)/(V198+V207))^($F216*(1+$E216))</f>
        <v/>
      </c>
      <c r="X216" s="41">
        <f>W216*(1/(1+$G216))^(1+$E216)*(1+X$7)^$D216*(X198/W198)^$E216*((X198+X207)/(W198+W207))^($F216*(1+$E216))</f>
        <v/>
      </c>
      <c r="Y216" s="42">
        <f>FUELUSE(X216,Y198,X198,Y207,X207,Y$7,$D216,$E216,$F216,$G216)</f>
        <v/>
      </c>
      <c r="Z216" s="23">
        <f>LOWER(Settings!$C$4)&amp;".mit."&amp;$A216&amp;IF($C216="","","."&amp;$C216&amp;"."&amp;$B216)&amp;IF(INDEX(Variables!$D$5:$D$65,MATCH($A216,Variables!$A$5:$A$65,0))="","","."&amp;INDEX(Variables!$D$5:$D$65,MATCH($A216,Variables!$A$5:$A$65,0)))&amp;"."&amp;Z$5</f>
        <v/>
      </c>
      <c r="AA216" s="40">
        <f>INDEX(Inputs!$V$5:$V$132,MATCH($B216&amp;"|"&amp;$C216,Inputs!$A$5:$A$132,0))</f>
        <v/>
      </c>
      <c r="AB216" s="41">
        <f>AA216*(1/(1+$G216))^(1+$E216)*(1+AB$7)^$D216*(AB198/AA198)^$E216*((AB198+AB207)/(AA198+AA207))^($F216*(1+$E216))</f>
        <v/>
      </c>
      <c r="AC216" s="41">
        <f>AB216*(1/(1+$G216))^(1+$E216)*(1+AC$7)^$D216*(AC198/AB198)^$E216*((AC198+AC207)/(AB198+AB207))^($F216*(1+$E216))</f>
        <v/>
      </c>
      <c r="AD216" s="41">
        <f>AC216*(1/(1+$G216))^(1+$E216)*(1+AD$7)^$D216*(AD198/AC198)^$E216*((AD198+AD207)/(AC198+AC207))^($F216*(1+$E216))</f>
        <v/>
      </c>
      <c r="AE216" s="41">
        <f>AD216*(1/(1+$G216))^(1+$E216)*(1+AE$7)^$D216*(AE198/AD198)^$E216*((AE198+AE207)/(AD198+AD207))^($F216*(1+$E216))</f>
        <v/>
      </c>
      <c r="AF216" s="41">
        <f>AE216*(1/(1+$G216))^(1+$E216)*(1+AF$7)^$D216*(AF198/AE198)^$E216*((AF198+AF207)/(AE198+AE207))^($F216*(1+$E216))</f>
        <v/>
      </c>
      <c r="AG216" s="41">
        <f>AF216*(1/(1+$G216))^(1+$E216)*(1+AG$7)^$D216*(AG198/AF198)^$E216*((AG198+AG207)/(AF198+AF207))^($F216*(1+$E216))</f>
        <v/>
      </c>
      <c r="AH216" s="41">
        <f>AG216*(1/(1+$G216))^(1+$E216)*(1+AH$7)^$D216*(AH198/AG198)^$E216*((AH198+AH207)/(AG198+AG207))^($F216*(1+$E216))</f>
        <v/>
      </c>
      <c r="AI216" s="41">
        <f>AH216*(1/(1+$G216))^(1+$E216)*(1+AI$7)^$D216*(AI198/AH198)^$E216*((AI198+AI207)/(AH198+AH207))^($F216*(1+$E216))</f>
        <v/>
      </c>
      <c r="AJ216" s="41">
        <f>AI216*(1/(1+$G216))^(1+$E216)*(1+AJ$7)^$D216*(AJ198/AI198)^$E216*((AJ198+AJ207)/(AI198+AI207))^($F216*(1+$E216))</f>
        <v/>
      </c>
      <c r="AK216" s="41">
        <f>AJ216*(1/(1+$G216))^(1+$E216)*(1+AK$7)^$D216*(AK198/AJ198)^$E216*((AK198+AK207)/(AJ198+AJ207))^($F216*(1+$E216))</f>
        <v/>
      </c>
      <c r="AL216" s="41">
        <f>AK216*(1/(1+$G216))^(1+$E216)*(1+AL$7)^$D216*(AL198/AK198)^$E216*((AL198+AL207)/(AK198+AK207))^($F216*(1+$E216))</f>
        <v/>
      </c>
      <c r="AM216" s="41">
        <f>AL216*(1/(1+$G216))^(1+$E216)*(1+AM$7)^$D216*(AM198/AL198)^$E216*((AM198+AM207)/(AL198+AL207))^($F216*(1+$E216))</f>
        <v/>
      </c>
      <c r="AN216" s="42">
        <f>FUELUSE(AM216,AN198,AM198,AN207,AM207,AN$7,$D216,$E216,$F216,$G216)</f>
        <v/>
      </c>
    </row>
    <row r="217" hidden="1" outlineLevel="2">
      <c r="A217" s="5" t="inlineStr">
        <is>
          <t>ener</t>
        </is>
      </c>
      <c r="B217" s="5" t="inlineStr">
        <is>
          <t>gso</t>
        </is>
      </c>
      <c r="C217" s="5" t="inlineStr">
        <is>
          <t>rod</t>
        </is>
      </c>
      <c r="D217" s="36">
        <f>INDEX(Inputs!$N$5:$N$132,MATCH($B217&amp;"|"&amp;$C217,Inputs!$A$5:$A$132,0))</f>
        <v/>
      </c>
      <c r="E217" s="36">
        <f>INDEX(Inputs!$O$5:$O$132,MATCH($B217&amp;"|"&amp;$C217,Inputs!$A$5:$A$132,0))</f>
        <v/>
      </c>
      <c r="F217" s="36">
        <f>INDEX(Inputs!$P$5:$P$132,MATCH($B217&amp;"|"&amp;$C217,Inputs!$A$5:$A$132,0))</f>
        <v/>
      </c>
      <c r="G217" s="36">
        <f>INDEX(Inputs!$Q$5:$Q$132,MATCH($B217&amp;"|"&amp;$C217,Inputs!$A$5:$A$132,0))</f>
        <v/>
      </c>
      <c r="H217" s="5">
        <f>INDEX(Variables!$B$5:$B$65,MATCH($A217,Variables!$A$5:$A$65,0))&amp;IF($C217="",""," | "&amp;INDEX(Mapping!$B$5:$B$25,MATCH($C217,Mapping!$A$5:$A$25,0))&amp;" | "&amp;INDEX(Mapping!$B$29:$B$38,MATCH($B217,Mapping!$A$29:$A$38,0)))</f>
        <v/>
      </c>
      <c r="I217" s="5">
        <f>INDEX(Variables!$C$5:$C$65,MATCH($A217,Variables!$A$5:$A$65,0))</f>
        <v/>
      </c>
      <c r="J217" s="5">
        <f>INDEX(Variables!$E$5:$E$65,MATCH($A217,Variables!$A$5:$A$65,0))</f>
        <v/>
      </c>
      <c r="K217" s="23">
        <f>LOWER(Settings!$C$4)&amp;".mit."&amp;$A217&amp;IF($C217="","","."&amp;$C217&amp;"."&amp;$B217)&amp;IF(INDEX(Variables!$D$5:$D$65,MATCH($A217,Variables!$A$5:$A$65,0))="","","."&amp;INDEX(Variables!$D$5:$D$65,MATCH($A217,Variables!$A$5:$A$65,0)))&amp;"."&amp;K$5</f>
        <v/>
      </c>
      <c r="L217" s="40">
        <f>INDEX(Inputs!$V$5:$V$132,MATCH($B217&amp;"|"&amp;$C217,Inputs!$A$5:$A$132,0))</f>
        <v/>
      </c>
      <c r="M217" s="41">
        <f>L217*(1/(1+$G217))^(1+$E217)*(1+M$7)^$D217*(M199/L199)^$E217*((M199+M208)/(L199+L208))^($F217*(1+$E217))</f>
        <v/>
      </c>
      <c r="N217" s="41">
        <f>M217*(1/(1+$G217))^(1+$E217)*(1+N$7)^$D217*(N199/M199)^$E217*((N199+N208)/(M199+M208))^($F217*(1+$E217))</f>
        <v/>
      </c>
      <c r="O217" s="41">
        <f>N217*(1/(1+$G217))^(1+$E217)*(1+O$7)^$D217*(O199/N199)^$E217*((O199+O208)/(N199+N208))^($F217*(1+$E217))</f>
        <v/>
      </c>
      <c r="P217" s="41">
        <f>O217*(1/(1+$G217))^(1+$E217)*(1+P$7)^$D217*(P199/O199)^$E217*((P199+P208)/(O199+O208))^($F217*(1+$E217))</f>
        <v/>
      </c>
      <c r="Q217" s="41">
        <f>P217*(1/(1+$G217))^(1+$E217)*(1+Q$7)^$D217*(Q199/P199)^$E217*((Q199+Q208)/(P199+P208))^($F217*(1+$E217))</f>
        <v/>
      </c>
      <c r="R217" s="41">
        <f>Q217*(1/(1+$G217))^(1+$E217)*(1+R$7)^$D217*(R199/Q199)^$E217*((R199+R208)/(Q199+Q208))^($F217*(1+$E217))</f>
        <v/>
      </c>
      <c r="S217" s="41">
        <f>R217*(1/(1+$G217))^(1+$E217)*(1+S$7)^$D217*(S199/R199)^$E217*((S199+S208)/(R199+R208))^($F217*(1+$E217))</f>
        <v/>
      </c>
      <c r="T217" s="41">
        <f>S217*(1/(1+$G217))^(1+$E217)*(1+T$7)^$D217*(T199/S199)^$E217*((T199+T208)/(S199+S208))^($F217*(1+$E217))</f>
        <v/>
      </c>
      <c r="U217" s="41">
        <f>T217*(1/(1+$G217))^(1+$E217)*(1+U$7)^$D217*(U199/T199)^$E217*((U199+U208)/(T199+T208))^($F217*(1+$E217))</f>
        <v/>
      </c>
      <c r="V217" s="41">
        <f>U217*(1/(1+$G217))^(1+$E217)*(1+V$7)^$D217*(V199/U199)^$E217*((V199+V208)/(U199+U208))^($F217*(1+$E217))</f>
        <v/>
      </c>
      <c r="W217" s="41">
        <f>V217*(1/(1+$G217))^(1+$E217)*(1+W$7)^$D217*(W199/V199)^$E217*((W199+W208)/(V199+V208))^($F217*(1+$E217))</f>
        <v/>
      </c>
      <c r="X217" s="41">
        <f>W217*(1/(1+$G217))^(1+$E217)*(1+X$7)^$D217*(X199/W199)^$E217*((X199+X208)/(W199+W208))^($F217*(1+$E217))</f>
        <v/>
      </c>
      <c r="Y217" s="42">
        <f>FUELUSE(X217,Y199,X199,Y208,X208,Y$7,$D217,$E217,$F217,$G217)</f>
        <v/>
      </c>
      <c r="Z217" s="23">
        <f>LOWER(Settings!$C$4)&amp;".mit."&amp;$A217&amp;IF($C217="","","."&amp;$C217&amp;"."&amp;$B217)&amp;IF(INDEX(Variables!$D$5:$D$65,MATCH($A217,Variables!$A$5:$A$65,0))="","","."&amp;INDEX(Variables!$D$5:$D$65,MATCH($A217,Variables!$A$5:$A$65,0)))&amp;"."&amp;Z$5</f>
        <v/>
      </c>
      <c r="AA217" s="40">
        <f>INDEX(Inputs!$V$5:$V$132,MATCH($B217&amp;"|"&amp;$C217,Inputs!$A$5:$A$132,0))</f>
        <v/>
      </c>
      <c r="AB217" s="41">
        <f>AA217*(1/(1+$G217))^(1+$E217)*(1+AB$7)^$D217*(AB199/AA199)^$E217*((AB199+AB208)/(AA199+AA208))^($F217*(1+$E217))</f>
        <v/>
      </c>
      <c r="AC217" s="41">
        <f>AB217*(1/(1+$G217))^(1+$E217)*(1+AC$7)^$D217*(AC199/AB199)^$E217*((AC199+AC208)/(AB199+AB208))^($F217*(1+$E217))</f>
        <v/>
      </c>
      <c r="AD217" s="41">
        <f>AC217*(1/(1+$G217))^(1+$E217)*(1+AD$7)^$D217*(AD199/AC199)^$E217*((AD199+AD208)/(AC199+AC208))^($F217*(1+$E217))</f>
        <v/>
      </c>
      <c r="AE217" s="41">
        <f>AD217*(1/(1+$G217))^(1+$E217)*(1+AE$7)^$D217*(AE199/AD199)^$E217*((AE199+AE208)/(AD199+AD208))^($F217*(1+$E217))</f>
        <v/>
      </c>
      <c r="AF217" s="41">
        <f>AE217*(1/(1+$G217))^(1+$E217)*(1+AF$7)^$D217*(AF199/AE199)^$E217*((AF199+AF208)/(AE199+AE208))^($F217*(1+$E217))</f>
        <v/>
      </c>
      <c r="AG217" s="41">
        <f>AF217*(1/(1+$G217))^(1+$E217)*(1+AG$7)^$D217*(AG199/AF199)^$E217*((AG199+AG208)/(AF199+AF208))^($F217*(1+$E217))</f>
        <v/>
      </c>
      <c r="AH217" s="41">
        <f>AG217*(1/(1+$G217))^(1+$E217)*(1+AH$7)^$D217*(AH199/AG199)^$E217*((AH199+AH208)/(AG199+AG208))^($F217*(1+$E217))</f>
        <v/>
      </c>
      <c r="AI217" s="41">
        <f>AH217*(1/(1+$G217))^(1+$E217)*(1+AI$7)^$D217*(AI199/AH199)^$E217*((AI199+AI208)/(AH199+AH208))^($F217*(1+$E217))</f>
        <v/>
      </c>
      <c r="AJ217" s="41">
        <f>AI217*(1/(1+$G217))^(1+$E217)*(1+AJ$7)^$D217*(AJ199/AI199)^$E217*((AJ199+AJ208)/(AI199+AI208))^($F217*(1+$E217))</f>
        <v/>
      </c>
      <c r="AK217" s="41">
        <f>AJ217*(1/(1+$G217))^(1+$E217)*(1+AK$7)^$D217*(AK199/AJ199)^$E217*((AK199+AK208)/(AJ199+AJ208))^($F217*(1+$E217))</f>
        <v/>
      </c>
      <c r="AL217" s="41">
        <f>AK217*(1/(1+$G217))^(1+$E217)*(1+AL$7)^$D217*(AL199/AK199)^$E217*((AL199+AL208)/(AK199+AK208))^($F217*(1+$E217))</f>
        <v/>
      </c>
      <c r="AM217" s="41">
        <f>AL217*(1/(1+$G217))^(1+$E217)*(1+AM$7)^$D217*(AM199/AL199)^$E217*((AM199+AM208)/(AL199+AL208))^($F217*(1+$E217))</f>
        <v/>
      </c>
      <c r="AN217" s="42">
        <f>FUELUSE(AM217,AN199,AM199,AN208,AM208,AN$7,$D217,$E217,$F217,$G217)</f>
        <v/>
      </c>
    </row>
    <row r="218" hidden="1" outlineLevel="2">
      <c r="A218" s="5" t="inlineStr">
        <is>
          <t>ener</t>
        </is>
      </c>
      <c r="B218" s="5" t="inlineStr">
        <is>
          <t>die</t>
        </is>
      </c>
      <c r="C218" s="5" t="inlineStr">
        <is>
          <t>rod</t>
        </is>
      </c>
      <c r="D218" s="36">
        <f>INDEX(Inputs!$N$5:$N$132,MATCH($B218&amp;"|"&amp;$C218,Inputs!$A$5:$A$132,0))</f>
        <v/>
      </c>
      <c r="E218" s="36">
        <f>INDEX(Inputs!$O$5:$O$132,MATCH($B218&amp;"|"&amp;$C218,Inputs!$A$5:$A$132,0))</f>
        <v/>
      </c>
      <c r="F218" s="36">
        <f>INDEX(Inputs!$P$5:$P$132,MATCH($B218&amp;"|"&amp;$C218,Inputs!$A$5:$A$132,0))</f>
        <v/>
      </c>
      <c r="G218" s="36">
        <f>INDEX(Inputs!$Q$5:$Q$132,MATCH($B218&amp;"|"&amp;$C218,Inputs!$A$5:$A$132,0))</f>
        <v/>
      </c>
      <c r="H218" s="5">
        <f>INDEX(Variables!$B$5:$B$65,MATCH($A218,Variables!$A$5:$A$65,0))&amp;IF($C218="",""," | "&amp;INDEX(Mapping!$B$5:$B$25,MATCH($C218,Mapping!$A$5:$A$25,0))&amp;" | "&amp;INDEX(Mapping!$B$29:$B$38,MATCH($B218,Mapping!$A$29:$A$38,0)))</f>
        <v/>
      </c>
      <c r="I218" s="5">
        <f>INDEX(Variables!$C$5:$C$65,MATCH($A218,Variables!$A$5:$A$65,0))</f>
        <v/>
      </c>
      <c r="J218" s="5">
        <f>INDEX(Variables!$E$5:$E$65,MATCH($A218,Variables!$A$5:$A$65,0))</f>
        <v/>
      </c>
      <c r="K218" s="23">
        <f>LOWER(Settings!$C$4)&amp;".mit."&amp;$A218&amp;IF($C218="","","."&amp;$C218&amp;"."&amp;$B218)&amp;IF(INDEX(Variables!$D$5:$D$65,MATCH($A218,Variables!$A$5:$A$65,0))="","","."&amp;INDEX(Variables!$D$5:$D$65,MATCH($A218,Variables!$A$5:$A$65,0)))&amp;"."&amp;K$5</f>
        <v/>
      </c>
      <c r="L218" s="40">
        <f>INDEX(Inputs!$V$5:$V$132,MATCH($B218&amp;"|"&amp;$C218,Inputs!$A$5:$A$132,0))</f>
        <v/>
      </c>
      <c r="M218" s="41">
        <f>L218*(1/(1+$G218))^(1+$E218)*(1+M$7)^$D218*(M200/L200)^$E218*((M200+M209)/(L200+L209))^($F218*(1+$E218))</f>
        <v/>
      </c>
      <c r="N218" s="41">
        <f>M218*(1/(1+$G218))^(1+$E218)*(1+N$7)^$D218*(N200/M200)^$E218*((N200+N209)/(M200+M209))^($F218*(1+$E218))</f>
        <v/>
      </c>
      <c r="O218" s="41">
        <f>N218*(1/(1+$G218))^(1+$E218)*(1+O$7)^$D218*(O200/N200)^$E218*((O200+O209)/(N200+N209))^($F218*(1+$E218))</f>
        <v/>
      </c>
      <c r="P218" s="41">
        <f>O218*(1/(1+$G218))^(1+$E218)*(1+P$7)^$D218*(P200/O200)^$E218*((P200+P209)/(O200+O209))^($F218*(1+$E218))</f>
        <v/>
      </c>
      <c r="Q218" s="41">
        <f>P218*(1/(1+$G218))^(1+$E218)*(1+Q$7)^$D218*(Q200/P200)^$E218*((Q200+Q209)/(P200+P209))^($F218*(1+$E218))</f>
        <v/>
      </c>
      <c r="R218" s="41">
        <f>Q218*(1/(1+$G218))^(1+$E218)*(1+R$7)^$D218*(R200/Q200)^$E218*((R200+R209)/(Q200+Q209))^($F218*(1+$E218))</f>
        <v/>
      </c>
      <c r="S218" s="41">
        <f>R218*(1/(1+$G218))^(1+$E218)*(1+S$7)^$D218*(S200/R200)^$E218*((S200+S209)/(R200+R209))^($F218*(1+$E218))</f>
        <v/>
      </c>
      <c r="T218" s="41">
        <f>S218*(1/(1+$G218))^(1+$E218)*(1+T$7)^$D218*(T200/S200)^$E218*((T200+T209)/(S200+S209))^($F218*(1+$E218))</f>
        <v/>
      </c>
      <c r="U218" s="41">
        <f>T218*(1/(1+$G218))^(1+$E218)*(1+U$7)^$D218*(U200/T200)^$E218*((U200+U209)/(T200+T209))^($F218*(1+$E218))</f>
        <v/>
      </c>
      <c r="V218" s="41">
        <f>U218*(1/(1+$G218))^(1+$E218)*(1+V$7)^$D218*(V200/U200)^$E218*((V200+V209)/(U200+U209))^($F218*(1+$E218))</f>
        <v/>
      </c>
      <c r="W218" s="41">
        <f>V218*(1/(1+$G218))^(1+$E218)*(1+W$7)^$D218*(W200/V200)^$E218*((W200+W209)/(V200+V209))^($F218*(1+$E218))</f>
        <v/>
      </c>
      <c r="X218" s="41">
        <f>W218*(1/(1+$G218))^(1+$E218)*(1+X$7)^$D218*(X200/W200)^$E218*((X200+X209)/(W200+W209))^($F218*(1+$E218))</f>
        <v/>
      </c>
      <c r="Y218" s="42">
        <f>FUELUSE(X218,Y200,X200,Y209,X209,Y$7,$D218,$E218,$F218,$G218)</f>
        <v/>
      </c>
      <c r="Z218" s="23">
        <f>LOWER(Settings!$C$4)&amp;".mit."&amp;$A218&amp;IF($C218="","","."&amp;$C218&amp;"."&amp;$B218)&amp;IF(INDEX(Variables!$D$5:$D$65,MATCH($A218,Variables!$A$5:$A$65,0))="","","."&amp;INDEX(Variables!$D$5:$D$65,MATCH($A218,Variables!$A$5:$A$65,0)))&amp;"."&amp;Z$5</f>
        <v/>
      </c>
      <c r="AA218" s="40">
        <f>INDEX(Inputs!$V$5:$V$132,MATCH($B218&amp;"|"&amp;$C218,Inputs!$A$5:$A$132,0))</f>
        <v/>
      </c>
      <c r="AB218" s="41">
        <f>AA218*(1/(1+$G218))^(1+$E218)*(1+AB$7)^$D218*(AB200/AA200)^$E218*((AB200+AB209)/(AA200+AA209))^($F218*(1+$E218))</f>
        <v/>
      </c>
      <c r="AC218" s="41">
        <f>AB218*(1/(1+$G218))^(1+$E218)*(1+AC$7)^$D218*(AC200/AB200)^$E218*((AC200+AC209)/(AB200+AB209))^($F218*(1+$E218))</f>
        <v/>
      </c>
      <c r="AD218" s="41">
        <f>AC218*(1/(1+$G218))^(1+$E218)*(1+AD$7)^$D218*(AD200/AC200)^$E218*((AD200+AD209)/(AC200+AC209))^($F218*(1+$E218))</f>
        <v/>
      </c>
      <c r="AE218" s="41">
        <f>AD218*(1/(1+$G218))^(1+$E218)*(1+AE$7)^$D218*(AE200/AD200)^$E218*((AE200+AE209)/(AD200+AD209))^($F218*(1+$E218))</f>
        <v/>
      </c>
      <c r="AF218" s="41">
        <f>AE218*(1/(1+$G218))^(1+$E218)*(1+AF$7)^$D218*(AF200/AE200)^$E218*((AF200+AF209)/(AE200+AE209))^($F218*(1+$E218))</f>
        <v/>
      </c>
      <c r="AG218" s="41">
        <f>AF218*(1/(1+$G218))^(1+$E218)*(1+AG$7)^$D218*(AG200/AF200)^$E218*((AG200+AG209)/(AF200+AF209))^($F218*(1+$E218))</f>
        <v/>
      </c>
      <c r="AH218" s="41">
        <f>AG218*(1/(1+$G218))^(1+$E218)*(1+AH$7)^$D218*(AH200/AG200)^$E218*((AH200+AH209)/(AG200+AG209))^($F218*(1+$E218))</f>
        <v/>
      </c>
      <c r="AI218" s="41">
        <f>AH218*(1/(1+$G218))^(1+$E218)*(1+AI$7)^$D218*(AI200/AH200)^$E218*((AI200+AI209)/(AH200+AH209))^($F218*(1+$E218))</f>
        <v/>
      </c>
      <c r="AJ218" s="41">
        <f>AI218*(1/(1+$G218))^(1+$E218)*(1+AJ$7)^$D218*(AJ200/AI200)^$E218*((AJ200+AJ209)/(AI200+AI209))^($F218*(1+$E218))</f>
        <v/>
      </c>
      <c r="AK218" s="41">
        <f>AJ218*(1/(1+$G218))^(1+$E218)*(1+AK$7)^$D218*(AK200/AJ200)^$E218*((AK200+AK209)/(AJ200+AJ209))^($F218*(1+$E218))</f>
        <v/>
      </c>
      <c r="AL218" s="41">
        <f>AK218*(1/(1+$G218))^(1+$E218)*(1+AL$7)^$D218*(AL200/AK200)^$E218*((AL200+AL209)/(AK200+AK209))^($F218*(1+$E218))</f>
        <v/>
      </c>
      <c r="AM218" s="41">
        <f>AL218*(1/(1+$G218))^(1+$E218)*(1+AM$7)^$D218*(AM200/AL200)^$E218*((AM200+AM209)/(AL200+AL209))^($F218*(1+$E218))</f>
        <v/>
      </c>
      <c r="AN218" s="42">
        <f>FUELUSE(AM218,AN200,AM200,AN209,AM209,AN$7,$D218,$E218,$F218,$G218)</f>
        <v/>
      </c>
    </row>
    <row r="219" hidden="1" outlineLevel="2">
      <c r="A219" s="5" t="inlineStr">
        <is>
          <t>ener</t>
        </is>
      </c>
      <c r="B219" s="5" t="inlineStr">
        <is>
          <t>lpg</t>
        </is>
      </c>
      <c r="C219" s="5" t="inlineStr">
        <is>
          <t>rod</t>
        </is>
      </c>
      <c r="D219" s="36">
        <f>INDEX(Inputs!$N$5:$N$132,MATCH($B219&amp;"|"&amp;$C219,Inputs!$A$5:$A$132,0))</f>
        <v/>
      </c>
      <c r="E219" s="36">
        <f>INDEX(Inputs!$O$5:$O$132,MATCH($B219&amp;"|"&amp;$C219,Inputs!$A$5:$A$132,0))</f>
        <v/>
      </c>
      <c r="F219" s="36">
        <f>INDEX(Inputs!$P$5:$P$132,MATCH($B219&amp;"|"&amp;$C219,Inputs!$A$5:$A$132,0))</f>
        <v/>
      </c>
      <c r="G219" s="36">
        <f>INDEX(Inputs!$Q$5:$Q$132,MATCH($B219&amp;"|"&amp;$C219,Inputs!$A$5:$A$132,0))</f>
        <v/>
      </c>
      <c r="H219" s="5">
        <f>INDEX(Variables!$B$5:$B$65,MATCH($A219,Variables!$A$5:$A$65,0))&amp;IF($C219="",""," | "&amp;INDEX(Mapping!$B$5:$B$25,MATCH($C219,Mapping!$A$5:$A$25,0))&amp;" | "&amp;INDEX(Mapping!$B$29:$B$38,MATCH($B219,Mapping!$A$29:$A$38,0)))</f>
        <v/>
      </c>
      <c r="I219" s="5">
        <f>INDEX(Variables!$C$5:$C$65,MATCH($A219,Variables!$A$5:$A$65,0))</f>
        <v/>
      </c>
      <c r="J219" s="5">
        <f>INDEX(Variables!$E$5:$E$65,MATCH($A219,Variables!$A$5:$A$65,0))</f>
        <v/>
      </c>
      <c r="K219" s="23">
        <f>LOWER(Settings!$C$4)&amp;".mit."&amp;$A219&amp;IF($C219="","","."&amp;$C219&amp;"."&amp;$B219)&amp;IF(INDEX(Variables!$D$5:$D$65,MATCH($A219,Variables!$A$5:$A$65,0))="","","."&amp;INDEX(Variables!$D$5:$D$65,MATCH($A219,Variables!$A$5:$A$65,0)))&amp;"."&amp;K$5</f>
        <v/>
      </c>
      <c r="L219" s="40">
        <f>INDEX(Inputs!$V$5:$V$132,MATCH($B219&amp;"|"&amp;$C219,Inputs!$A$5:$A$132,0))</f>
        <v/>
      </c>
      <c r="M219" s="41">
        <f>L219*(1/(1+$G219))^(1+$E219)*(1+M$7)^$D219*(M201/L201)^$E219*((M201+M210)/(L201+L210))^($F219*(1+$E219))</f>
        <v/>
      </c>
      <c r="N219" s="41">
        <f>M219*(1/(1+$G219))^(1+$E219)*(1+N$7)^$D219*(N201/M201)^$E219*((N201+N210)/(M201+M210))^($F219*(1+$E219))</f>
        <v/>
      </c>
      <c r="O219" s="41">
        <f>N219*(1/(1+$G219))^(1+$E219)*(1+O$7)^$D219*(O201/N201)^$E219*((O201+O210)/(N201+N210))^($F219*(1+$E219))</f>
        <v/>
      </c>
      <c r="P219" s="41">
        <f>O219*(1/(1+$G219))^(1+$E219)*(1+P$7)^$D219*(P201/O201)^$E219*((P201+P210)/(O201+O210))^($F219*(1+$E219))</f>
        <v/>
      </c>
      <c r="Q219" s="41">
        <f>P219*(1/(1+$G219))^(1+$E219)*(1+Q$7)^$D219*(Q201/P201)^$E219*((Q201+Q210)/(P201+P210))^($F219*(1+$E219))</f>
        <v/>
      </c>
      <c r="R219" s="41">
        <f>Q219*(1/(1+$G219))^(1+$E219)*(1+R$7)^$D219*(R201/Q201)^$E219*((R201+R210)/(Q201+Q210))^($F219*(1+$E219))</f>
        <v/>
      </c>
      <c r="S219" s="41">
        <f>R219*(1/(1+$G219))^(1+$E219)*(1+S$7)^$D219*(S201/R201)^$E219*((S201+S210)/(R201+R210))^($F219*(1+$E219))</f>
        <v/>
      </c>
      <c r="T219" s="41">
        <f>S219*(1/(1+$G219))^(1+$E219)*(1+T$7)^$D219*(T201/S201)^$E219*((T201+T210)/(S201+S210))^($F219*(1+$E219))</f>
        <v/>
      </c>
      <c r="U219" s="41">
        <f>T219*(1/(1+$G219))^(1+$E219)*(1+U$7)^$D219*(U201/T201)^$E219*((U201+U210)/(T201+T210))^($F219*(1+$E219))</f>
        <v/>
      </c>
      <c r="V219" s="41">
        <f>U219*(1/(1+$G219))^(1+$E219)*(1+V$7)^$D219*(V201/U201)^$E219*((V201+V210)/(U201+U210))^($F219*(1+$E219))</f>
        <v/>
      </c>
      <c r="W219" s="41">
        <f>V219*(1/(1+$G219))^(1+$E219)*(1+W$7)^$D219*(W201/V201)^$E219*((W201+W210)/(V201+V210))^($F219*(1+$E219))</f>
        <v/>
      </c>
      <c r="X219" s="41">
        <f>W219*(1/(1+$G219))^(1+$E219)*(1+X$7)^$D219*(X201/W201)^$E219*((X201+X210)/(W201+W210))^($F219*(1+$E219))</f>
        <v/>
      </c>
      <c r="Y219" s="42">
        <f>FUELUSE(X219,Y201,X201,Y210,X210,Y$7,$D219,$E219,$F219,$G219)</f>
        <v/>
      </c>
      <c r="Z219" s="23">
        <f>LOWER(Settings!$C$4)&amp;".mit."&amp;$A219&amp;IF($C219="","","."&amp;$C219&amp;"."&amp;$B219)&amp;IF(INDEX(Variables!$D$5:$D$65,MATCH($A219,Variables!$A$5:$A$65,0))="","","."&amp;INDEX(Variables!$D$5:$D$65,MATCH($A219,Variables!$A$5:$A$65,0)))&amp;"."&amp;Z$5</f>
        <v/>
      </c>
      <c r="AA219" s="40">
        <f>INDEX(Inputs!$V$5:$V$132,MATCH($B219&amp;"|"&amp;$C219,Inputs!$A$5:$A$132,0))</f>
        <v/>
      </c>
      <c r="AB219" s="41">
        <f>AA219*(1/(1+$G219))^(1+$E219)*(1+AB$7)^$D219*(AB201/AA201)^$E219*((AB201+AB210)/(AA201+AA210))^($F219*(1+$E219))</f>
        <v/>
      </c>
      <c r="AC219" s="41">
        <f>AB219*(1/(1+$G219))^(1+$E219)*(1+AC$7)^$D219*(AC201/AB201)^$E219*((AC201+AC210)/(AB201+AB210))^($F219*(1+$E219))</f>
        <v/>
      </c>
      <c r="AD219" s="41">
        <f>AC219*(1/(1+$G219))^(1+$E219)*(1+AD$7)^$D219*(AD201/AC201)^$E219*((AD201+AD210)/(AC201+AC210))^($F219*(1+$E219))</f>
        <v/>
      </c>
      <c r="AE219" s="41">
        <f>AD219*(1/(1+$G219))^(1+$E219)*(1+AE$7)^$D219*(AE201/AD201)^$E219*((AE201+AE210)/(AD201+AD210))^($F219*(1+$E219))</f>
        <v/>
      </c>
      <c r="AF219" s="41">
        <f>AE219*(1/(1+$G219))^(1+$E219)*(1+AF$7)^$D219*(AF201/AE201)^$E219*((AF201+AF210)/(AE201+AE210))^($F219*(1+$E219))</f>
        <v/>
      </c>
      <c r="AG219" s="41">
        <f>AF219*(1/(1+$G219))^(1+$E219)*(1+AG$7)^$D219*(AG201/AF201)^$E219*((AG201+AG210)/(AF201+AF210))^($F219*(1+$E219))</f>
        <v/>
      </c>
      <c r="AH219" s="41">
        <f>AG219*(1/(1+$G219))^(1+$E219)*(1+AH$7)^$D219*(AH201/AG201)^$E219*((AH201+AH210)/(AG201+AG210))^($F219*(1+$E219))</f>
        <v/>
      </c>
      <c r="AI219" s="41">
        <f>AH219*(1/(1+$G219))^(1+$E219)*(1+AI$7)^$D219*(AI201/AH201)^$E219*((AI201+AI210)/(AH201+AH210))^($F219*(1+$E219))</f>
        <v/>
      </c>
      <c r="AJ219" s="41">
        <f>AI219*(1/(1+$G219))^(1+$E219)*(1+AJ$7)^$D219*(AJ201/AI201)^$E219*((AJ201+AJ210)/(AI201+AI210))^($F219*(1+$E219))</f>
        <v/>
      </c>
      <c r="AK219" s="41">
        <f>AJ219*(1/(1+$G219))^(1+$E219)*(1+AK$7)^$D219*(AK201/AJ201)^$E219*((AK201+AK210)/(AJ201+AJ210))^($F219*(1+$E219))</f>
        <v/>
      </c>
      <c r="AL219" s="41">
        <f>AK219*(1/(1+$G219))^(1+$E219)*(1+AL$7)^$D219*(AL201/AK201)^$E219*((AL201+AL210)/(AK201+AK210))^($F219*(1+$E219))</f>
        <v/>
      </c>
      <c r="AM219" s="41">
        <f>AL219*(1/(1+$G219))^(1+$E219)*(1+AM$7)^$D219*(AM201/AL201)^$E219*((AM201+AM210)/(AL201+AL210))^($F219*(1+$E219))</f>
        <v/>
      </c>
      <c r="AN219" s="42">
        <f>FUELUSE(AM219,AN201,AM201,AN210,AM210,AN$7,$D219,$E219,$F219,$G219)</f>
        <v/>
      </c>
    </row>
    <row r="220" hidden="1" outlineLevel="2">
      <c r="A220" s="5" t="inlineStr">
        <is>
          <t>ener</t>
        </is>
      </c>
      <c r="B220" s="5" t="inlineStr">
        <is>
          <t>ker</t>
        </is>
      </c>
      <c r="C220" s="5" t="inlineStr">
        <is>
          <t>rod</t>
        </is>
      </c>
      <c r="D220" s="36">
        <f>INDEX(Inputs!$N$5:$N$132,MATCH($B220&amp;"|"&amp;$C220,Inputs!$A$5:$A$132,0))</f>
        <v/>
      </c>
      <c r="E220" s="36">
        <f>INDEX(Inputs!$O$5:$O$132,MATCH($B220&amp;"|"&amp;$C220,Inputs!$A$5:$A$132,0))</f>
        <v/>
      </c>
      <c r="F220" s="36">
        <f>INDEX(Inputs!$P$5:$P$132,MATCH($B220&amp;"|"&amp;$C220,Inputs!$A$5:$A$132,0))</f>
        <v/>
      </c>
      <c r="G220" s="36">
        <f>INDEX(Inputs!$Q$5:$Q$132,MATCH($B220&amp;"|"&amp;$C220,Inputs!$A$5:$A$132,0))</f>
        <v/>
      </c>
      <c r="H220" s="5">
        <f>INDEX(Variables!$B$5:$B$65,MATCH($A220,Variables!$A$5:$A$65,0))&amp;IF($C220="",""," | "&amp;INDEX(Mapping!$B$5:$B$25,MATCH($C220,Mapping!$A$5:$A$25,0))&amp;" | "&amp;INDEX(Mapping!$B$29:$B$38,MATCH($B220,Mapping!$A$29:$A$38,0)))</f>
        <v/>
      </c>
      <c r="I220" s="5">
        <f>INDEX(Variables!$C$5:$C$65,MATCH($A220,Variables!$A$5:$A$65,0))</f>
        <v/>
      </c>
      <c r="J220" s="5">
        <f>INDEX(Variables!$E$5:$E$65,MATCH($A220,Variables!$A$5:$A$65,0))</f>
        <v/>
      </c>
      <c r="K220" s="23">
        <f>LOWER(Settings!$C$4)&amp;".mit."&amp;$A220&amp;IF($C220="","","."&amp;$C220&amp;"."&amp;$B220)&amp;IF(INDEX(Variables!$D$5:$D$65,MATCH($A220,Variables!$A$5:$A$65,0))="","","."&amp;INDEX(Variables!$D$5:$D$65,MATCH($A220,Variables!$A$5:$A$65,0)))&amp;"."&amp;K$5</f>
        <v/>
      </c>
      <c r="L220" s="40">
        <f>INDEX(Inputs!$V$5:$V$132,MATCH($B220&amp;"|"&amp;$C220,Inputs!$A$5:$A$132,0))</f>
        <v/>
      </c>
      <c r="M220" s="41">
        <f>L220*(1/(1+$G220))^(1+$E220)*(1+M$7)^$D220*(M202/L202)^$E220*((M202+M211)/(L202+L211))^($F220*(1+$E220))</f>
        <v/>
      </c>
      <c r="N220" s="41">
        <f>M220*(1/(1+$G220))^(1+$E220)*(1+N$7)^$D220*(N202/M202)^$E220*((N202+N211)/(M202+M211))^($F220*(1+$E220))</f>
        <v/>
      </c>
      <c r="O220" s="41">
        <f>N220*(1/(1+$G220))^(1+$E220)*(1+O$7)^$D220*(O202/N202)^$E220*((O202+O211)/(N202+N211))^($F220*(1+$E220))</f>
        <v/>
      </c>
      <c r="P220" s="41">
        <f>O220*(1/(1+$G220))^(1+$E220)*(1+P$7)^$D220*(P202/O202)^$E220*((P202+P211)/(O202+O211))^($F220*(1+$E220))</f>
        <v/>
      </c>
      <c r="Q220" s="41">
        <f>P220*(1/(1+$G220))^(1+$E220)*(1+Q$7)^$D220*(Q202/P202)^$E220*((Q202+Q211)/(P202+P211))^($F220*(1+$E220))</f>
        <v/>
      </c>
      <c r="R220" s="41">
        <f>Q220*(1/(1+$G220))^(1+$E220)*(1+R$7)^$D220*(R202/Q202)^$E220*((R202+R211)/(Q202+Q211))^($F220*(1+$E220))</f>
        <v/>
      </c>
      <c r="S220" s="41">
        <f>R220*(1/(1+$G220))^(1+$E220)*(1+S$7)^$D220*(S202/R202)^$E220*((S202+S211)/(R202+R211))^($F220*(1+$E220))</f>
        <v/>
      </c>
      <c r="T220" s="41">
        <f>S220*(1/(1+$G220))^(1+$E220)*(1+T$7)^$D220*(T202/S202)^$E220*((T202+T211)/(S202+S211))^($F220*(1+$E220))</f>
        <v/>
      </c>
      <c r="U220" s="41">
        <f>T220*(1/(1+$G220))^(1+$E220)*(1+U$7)^$D220*(U202/T202)^$E220*((U202+U211)/(T202+T211))^($F220*(1+$E220))</f>
        <v/>
      </c>
      <c r="V220" s="41">
        <f>U220*(1/(1+$G220))^(1+$E220)*(1+V$7)^$D220*(V202/U202)^$E220*((V202+V211)/(U202+U211))^($F220*(1+$E220))</f>
        <v/>
      </c>
      <c r="W220" s="41">
        <f>V220*(1/(1+$G220))^(1+$E220)*(1+W$7)^$D220*(W202/V202)^$E220*((W202+W211)/(V202+V211))^($F220*(1+$E220))</f>
        <v/>
      </c>
      <c r="X220" s="41">
        <f>W220*(1/(1+$G220))^(1+$E220)*(1+X$7)^$D220*(X202/W202)^$E220*((X202+X211)/(W202+W211))^($F220*(1+$E220))</f>
        <v/>
      </c>
      <c r="Y220" s="42">
        <f>FUELUSE(X220,Y202,X202,Y211,X211,Y$7,$D220,$E220,$F220,$G220)</f>
        <v/>
      </c>
      <c r="Z220" s="23">
        <f>LOWER(Settings!$C$4)&amp;".mit."&amp;$A220&amp;IF($C220="","","."&amp;$C220&amp;"."&amp;$B220)&amp;IF(INDEX(Variables!$D$5:$D$65,MATCH($A220,Variables!$A$5:$A$65,0))="","","."&amp;INDEX(Variables!$D$5:$D$65,MATCH($A220,Variables!$A$5:$A$65,0)))&amp;"."&amp;Z$5</f>
        <v/>
      </c>
      <c r="AA220" s="40">
        <f>INDEX(Inputs!$V$5:$V$132,MATCH($B220&amp;"|"&amp;$C220,Inputs!$A$5:$A$132,0))</f>
        <v/>
      </c>
      <c r="AB220" s="41">
        <f>AA220*(1/(1+$G220))^(1+$E220)*(1+AB$7)^$D220*(AB202/AA202)^$E220*((AB202+AB211)/(AA202+AA211))^($F220*(1+$E220))</f>
        <v/>
      </c>
      <c r="AC220" s="41">
        <f>AB220*(1/(1+$G220))^(1+$E220)*(1+AC$7)^$D220*(AC202/AB202)^$E220*((AC202+AC211)/(AB202+AB211))^($F220*(1+$E220))</f>
        <v/>
      </c>
      <c r="AD220" s="41">
        <f>AC220*(1/(1+$G220))^(1+$E220)*(1+AD$7)^$D220*(AD202/AC202)^$E220*((AD202+AD211)/(AC202+AC211))^($F220*(1+$E220))</f>
        <v/>
      </c>
      <c r="AE220" s="41">
        <f>AD220*(1/(1+$G220))^(1+$E220)*(1+AE$7)^$D220*(AE202/AD202)^$E220*((AE202+AE211)/(AD202+AD211))^($F220*(1+$E220))</f>
        <v/>
      </c>
      <c r="AF220" s="41">
        <f>AE220*(1/(1+$G220))^(1+$E220)*(1+AF$7)^$D220*(AF202/AE202)^$E220*((AF202+AF211)/(AE202+AE211))^($F220*(1+$E220))</f>
        <v/>
      </c>
      <c r="AG220" s="41">
        <f>AF220*(1/(1+$G220))^(1+$E220)*(1+AG$7)^$D220*(AG202/AF202)^$E220*((AG202+AG211)/(AF202+AF211))^($F220*(1+$E220))</f>
        <v/>
      </c>
      <c r="AH220" s="41">
        <f>AG220*(1/(1+$G220))^(1+$E220)*(1+AH$7)^$D220*(AH202/AG202)^$E220*((AH202+AH211)/(AG202+AG211))^($F220*(1+$E220))</f>
        <v/>
      </c>
      <c r="AI220" s="41">
        <f>AH220*(1/(1+$G220))^(1+$E220)*(1+AI$7)^$D220*(AI202/AH202)^$E220*((AI202+AI211)/(AH202+AH211))^($F220*(1+$E220))</f>
        <v/>
      </c>
      <c r="AJ220" s="41">
        <f>AI220*(1/(1+$G220))^(1+$E220)*(1+AJ$7)^$D220*(AJ202/AI202)^$E220*((AJ202+AJ211)/(AI202+AI211))^($F220*(1+$E220))</f>
        <v/>
      </c>
      <c r="AK220" s="41">
        <f>AJ220*(1/(1+$G220))^(1+$E220)*(1+AK$7)^$D220*(AK202/AJ202)^$E220*((AK202+AK211)/(AJ202+AJ211))^($F220*(1+$E220))</f>
        <v/>
      </c>
      <c r="AL220" s="41">
        <f>AK220*(1/(1+$G220))^(1+$E220)*(1+AL$7)^$D220*(AL202/AK202)^$E220*((AL202+AL211)/(AK202+AK211))^($F220*(1+$E220))</f>
        <v/>
      </c>
      <c r="AM220" s="41">
        <f>AL220*(1/(1+$G220))^(1+$E220)*(1+AM$7)^$D220*(AM202/AL202)^$E220*((AM202+AM211)/(AL202+AL211))^($F220*(1+$E220))</f>
        <v/>
      </c>
      <c r="AN220" s="42">
        <f>FUELUSE(AM220,AN202,AM202,AN211,AM211,AN$7,$D220,$E220,$F220,$G220)</f>
        <v/>
      </c>
    </row>
    <row r="221" hidden="1" outlineLevel="2">
      <c r="A221" s="5" t="inlineStr">
        <is>
          <t>ener</t>
        </is>
      </c>
      <c r="B221" s="5" t="inlineStr">
        <is>
          <t>oop</t>
        </is>
      </c>
      <c r="C221" s="5" t="inlineStr">
        <is>
          <t>rod</t>
        </is>
      </c>
      <c r="D221" s="36">
        <f>INDEX(Inputs!$N$5:$N$132,MATCH($B221&amp;"|"&amp;$C221,Inputs!$A$5:$A$132,0))</f>
        <v/>
      </c>
      <c r="E221" s="36">
        <f>INDEX(Inputs!$O$5:$O$132,MATCH($B221&amp;"|"&amp;$C221,Inputs!$A$5:$A$132,0))</f>
        <v/>
      </c>
      <c r="F221" s="36">
        <f>INDEX(Inputs!$P$5:$P$132,MATCH($B221&amp;"|"&amp;$C221,Inputs!$A$5:$A$132,0))</f>
        <v/>
      </c>
      <c r="G221" s="36">
        <f>INDEX(Inputs!$Q$5:$Q$132,MATCH($B221&amp;"|"&amp;$C221,Inputs!$A$5:$A$132,0))</f>
        <v/>
      </c>
      <c r="H221" s="5">
        <f>INDEX(Variables!$B$5:$B$65,MATCH($A221,Variables!$A$5:$A$65,0))&amp;IF($C221="",""," | "&amp;INDEX(Mapping!$B$5:$B$25,MATCH($C221,Mapping!$A$5:$A$25,0))&amp;" | "&amp;INDEX(Mapping!$B$29:$B$38,MATCH($B221,Mapping!$A$29:$A$38,0)))</f>
        <v/>
      </c>
      <c r="I221" s="5">
        <f>INDEX(Variables!$C$5:$C$65,MATCH($A221,Variables!$A$5:$A$65,0))</f>
        <v/>
      </c>
      <c r="J221" s="5">
        <f>INDEX(Variables!$E$5:$E$65,MATCH($A221,Variables!$A$5:$A$65,0))</f>
        <v/>
      </c>
      <c r="K221" s="23">
        <f>LOWER(Settings!$C$4)&amp;".mit."&amp;$A221&amp;IF($C221="","","."&amp;$C221&amp;"."&amp;$B221)&amp;IF(INDEX(Variables!$D$5:$D$65,MATCH($A221,Variables!$A$5:$A$65,0))="","","."&amp;INDEX(Variables!$D$5:$D$65,MATCH($A221,Variables!$A$5:$A$65,0)))&amp;"."&amp;K$5</f>
        <v/>
      </c>
      <c r="L221" s="40">
        <f>INDEX(Inputs!$V$5:$V$132,MATCH($B221&amp;"|"&amp;$C221,Inputs!$A$5:$A$132,0))</f>
        <v/>
      </c>
      <c r="M221" s="41">
        <f>L221*(1/(1+$G221))^(1+$E221)*(1+M$7)^$D221*(M203/L203)^$E221*((M203+M212)/(L203+L212))^($F221*(1+$E221))</f>
        <v/>
      </c>
      <c r="N221" s="41">
        <f>M221*(1/(1+$G221))^(1+$E221)*(1+N$7)^$D221*(N203/M203)^$E221*((N203+N212)/(M203+M212))^($F221*(1+$E221))</f>
        <v/>
      </c>
      <c r="O221" s="41">
        <f>N221*(1/(1+$G221))^(1+$E221)*(1+O$7)^$D221*(O203/N203)^$E221*((O203+O212)/(N203+N212))^($F221*(1+$E221))</f>
        <v/>
      </c>
      <c r="P221" s="41">
        <f>O221*(1/(1+$G221))^(1+$E221)*(1+P$7)^$D221*(P203/O203)^$E221*((P203+P212)/(O203+O212))^($F221*(1+$E221))</f>
        <v/>
      </c>
      <c r="Q221" s="41">
        <f>P221*(1/(1+$G221))^(1+$E221)*(1+Q$7)^$D221*(Q203/P203)^$E221*((Q203+Q212)/(P203+P212))^($F221*(1+$E221))</f>
        <v/>
      </c>
      <c r="R221" s="41">
        <f>Q221*(1/(1+$G221))^(1+$E221)*(1+R$7)^$D221*(R203/Q203)^$E221*((R203+R212)/(Q203+Q212))^($F221*(1+$E221))</f>
        <v/>
      </c>
      <c r="S221" s="41">
        <f>R221*(1/(1+$G221))^(1+$E221)*(1+S$7)^$D221*(S203/R203)^$E221*((S203+S212)/(R203+R212))^($F221*(1+$E221))</f>
        <v/>
      </c>
      <c r="T221" s="41">
        <f>S221*(1/(1+$G221))^(1+$E221)*(1+T$7)^$D221*(T203/S203)^$E221*((T203+T212)/(S203+S212))^($F221*(1+$E221))</f>
        <v/>
      </c>
      <c r="U221" s="41">
        <f>T221*(1/(1+$G221))^(1+$E221)*(1+U$7)^$D221*(U203/T203)^$E221*((U203+U212)/(T203+T212))^($F221*(1+$E221))</f>
        <v/>
      </c>
      <c r="V221" s="41">
        <f>U221*(1/(1+$G221))^(1+$E221)*(1+V$7)^$D221*(V203/U203)^$E221*((V203+V212)/(U203+U212))^($F221*(1+$E221))</f>
        <v/>
      </c>
      <c r="W221" s="41">
        <f>V221*(1/(1+$G221))^(1+$E221)*(1+W$7)^$D221*(W203/V203)^$E221*((W203+W212)/(V203+V212))^($F221*(1+$E221))</f>
        <v/>
      </c>
      <c r="X221" s="41">
        <f>W221*(1/(1+$G221))^(1+$E221)*(1+X$7)^$D221*(X203/W203)^$E221*((X203+X212)/(W203+W212))^($F221*(1+$E221))</f>
        <v/>
      </c>
      <c r="Y221" s="42">
        <f>FUELUSE(X221,Y203,X203,Y212,X212,Y$7,$D221,$E221,$F221,$G221)</f>
        <v/>
      </c>
      <c r="Z221" s="23">
        <f>LOWER(Settings!$C$4)&amp;".mit."&amp;$A221&amp;IF($C221="","","."&amp;$C221&amp;"."&amp;$B221)&amp;IF(INDEX(Variables!$D$5:$D$65,MATCH($A221,Variables!$A$5:$A$65,0))="","","."&amp;INDEX(Variables!$D$5:$D$65,MATCH($A221,Variables!$A$5:$A$65,0)))&amp;"."&amp;Z$5</f>
        <v/>
      </c>
      <c r="AA221" s="40">
        <f>INDEX(Inputs!$V$5:$V$132,MATCH($B221&amp;"|"&amp;$C221,Inputs!$A$5:$A$132,0))</f>
        <v/>
      </c>
      <c r="AB221" s="41">
        <f>AA221*(1/(1+$G221))^(1+$E221)*(1+AB$7)^$D221*(AB203/AA203)^$E221*((AB203+AB212)/(AA203+AA212))^($F221*(1+$E221))</f>
        <v/>
      </c>
      <c r="AC221" s="41">
        <f>AB221*(1/(1+$G221))^(1+$E221)*(1+AC$7)^$D221*(AC203/AB203)^$E221*((AC203+AC212)/(AB203+AB212))^($F221*(1+$E221))</f>
        <v/>
      </c>
      <c r="AD221" s="41">
        <f>AC221*(1/(1+$G221))^(1+$E221)*(1+AD$7)^$D221*(AD203/AC203)^$E221*((AD203+AD212)/(AC203+AC212))^($F221*(1+$E221))</f>
        <v/>
      </c>
      <c r="AE221" s="41">
        <f>AD221*(1/(1+$G221))^(1+$E221)*(1+AE$7)^$D221*(AE203/AD203)^$E221*((AE203+AE212)/(AD203+AD212))^($F221*(1+$E221))</f>
        <v/>
      </c>
      <c r="AF221" s="41">
        <f>AE221*(1/(1+$G221))^(1+$E221)*(1+AF$7)^$D221*(AF203/AE203)^$E221*((AF203+AF212)/(AE203+AE212))^($F221*(1+$E221))</f>
        <v/>
      </c>
      <c r="AG221" s="41">
        <f>AF221*(1/(1+$G221))^(1+$E221)*(1+AG$7)^$D221*(AG203/AF203)^$E221*((AG203+AG212)/(AF203+AF212))^($F221*(1+$E221))</f>
        <v/>
      </c>
      <c r="AH221" s="41">
        <f>AG221*(1/(1+$G221))^(1+$E221)*(1+AH$7)^$D221*(AH203/AG203)^$E221*((AH203+AH212)/(AG203+AG212))^($F221*(1+$E221))</f>
        <v/>
      </c>
      <c r="AI221" s="41">
        <f>AH221*(1/(1+$G221))^(1+$E221)*(1+AI$7)^$D221*(AI203/AH203)^$E221*((AI203+AI212)/(AH203+AH212))^($F221*(1+$E221))</f>
        <v/>
      </c>
      <c r="AJ221" s="41">
        <f>AI221*(1/(1+$G221))^(1+$E221)*(1+AJ$7)^$D221*(AJ203/AI203)^$E221*((AJ203+AJ212)/(AI203+AI212))^($F221*(1+$E221))</f>
        <v/>
      </c>
      <c r="AK221" s="41">
        <f>AJ221*(1/(1+$G221))^(1+$E221)*(1+AK$7)^$D221*(AK203/AJ203)^$E221*((AK203+AK212)/(AJ203+AJ212))^($F221*(1+$E221))</f>
        <v/>
      </c>
      <c r="AL221" s="41">
        <f>AK221*(1/(1+$G221))^(1+$E221)*(1+AL$7)^$D221*(AL203/AK203)^$E221*((AL203+AL212)/(AK203+AK212))^($F221*(1+$E221))</f>
        <v/>
      </c>
      <c r="AM221" s="41">
        <f>AL221*(1/(1+$G221))^(1+$E221)*(1+AM$7)^$D221*(AM203/AL203)^$E221*((AM203+AM212)/(AL203+AL212))^($F221*(1+$E221))</f>
        <v/>
      </c>
      <c r="AN221" s="42">
        <f>FUELUSE(AM221,AN203,AM203,AN212,AM212,AN$7,$D221,$E221,$F221,$G221)</f>
        <v/>
      </c>
    </row>
    <row r="222" hidden="1" outlineLevel="2">
      <c r="A222" s="5" t="inlineStr">
        <is>
          <t>ener</t>
        </is>
      </c>
      <c r="B222" s="5" t="inlineStr">
        <is>
          <t>bio</t>
        </is>
      </c>
      <c r="C222" s="5" t="inlineStr">
        <is>
          <t>rod</t>
        </is>
      </c>
      <c r="D222" s="36">
        <f>INDEX(Inputs!$N$5:$N$132,MATCH($B222&amp;"|"&amp;$C222,Inputs!$A$5:$A$132,0))</f>
        <v/>
      </c>
      <c r="E222" s="36">
        <f>INDEX(Inputs!$O$5:$O$132,MATCH($B222&amp;"|"&amp;$C222,Inputs!$A$5:$A$132,0))</f>
        <v/>
      </c>
      <c r="F222" s="36">
        <f>INDEX(Inputs!$P$5:$P$132,MATCH($B222&amp;"|"&amp;$C222,Inputs!$A$5:$A$132,0))</f>
        <v/>
      </c>
      <c r="G222" s="36">
        <f>INDEX(Inputs!$Q$5:$Q$132,MATCH($B222&amp;"|"&amp;$C222,Inputs!$A$5:$A$132,0))</f>
        <v/>
      </c>
      <c r="H222" s="5">
        <f>INDEX(Variables!$B$5:$B$65,MATCH($A222,Variables!$A$5:$A$65,0))&amp;IF($C222="",""," | "&amp;INDEX(Mapping!$B$5:$B$25,MATCH($C222,Mapping!$A$5:$A$25,0))&amp;" | "&amp;INDEX(Mapping!$B$29:$B$38,MATCH($B222,Mapping!$A$29:$A$38,0)))</f>
        <v/>
      </c>
      <c r="I222" s="5">
        <f>INDEX(Variables!$C$5:$C$65,MATCH($A222,Variables!$A$5:$A$65,0))</f>
        <v/>
      </c>
      <c r="J222" s="5">
        <f>INDEX(Variables!$E$5:$E$65,MATCH($A222,Variables!$A$5:$A$65,0))</f>
        <v/>
      </c>
      <c r="K222" s="23">
        <f>LOWER(Settings!$C$4)&amp;".mit."&amp;$A222&amp;IF($C222="","","."&amp;$C222&amp;"."&amp;$B222)&amp;IF(INDEX(Variables!$D$5:$D$65,MATCH($A222,Variables!$A$5:$A$65,0))="","","."&amp;INDEX(Variables!$D$5:$D$65,MATCH($A222,Variables!$A$5:$A$65,0)))&amp;"."&amp;K$5</f>
        <v/>
      </c>
      <c r="L222" s="40">
        <f>INDEX(Inputs!$V$5:$V$132,MATCH($B222&amp;"|"&amp;$C222,Inputs!$A$5:$A$132,0))</f>
        <v/>
      </c>
      <c r="M222" s="41">
        <f>L222*(1/(1+$G222))^(1+$E222)*(1+M$7)^$D222*(M204/L204)^$E222*((M204+M213)/(L204+L213))^($F222*(1+$E222))</f>
        <v/>
      </c>
      <c r="N222" s="41">
        <f>M222*(1/(1+$G222))^(1+$E222)*(1+N$7)^$D222*(N204/M204)^$E222*((N204+N213)/(M204+M213))^($F222*(1+$E222))</f>
        <v/>
      </c>
      <c r="O222" s="41">
        <f>N222*(1/(1+$G222))^(1+$E222)*(1+O$7)^$D222*(O204/N204)^$E222*((O204+O213)/(N204+N213))^($F222*(1+$E222))</f>
        <v/>
      </c>
      <c r="P222" s="41">
        <f>O222*(1/(1+$G222))^(1+$E222)*(1+P$7)^$D222*(P204/O204)^$E222*((P204+P213)/(O204+O213))^($F222*(1+$E222))</f>
        <v/>
      </c>
      <c r="Q222" s="41">
        <f>P222*(1/(1+$G222))^(1+$E222)*(1+Q$7)^$D222*(Q204/P204)^$E222*((Q204+Q213)/(P204+P213))^($F222*(1+$E222))</f>
        <v/>
      </c>
      <c r="R222" s="41">
        <f>Q222*(1/(1+$G222))^(1+$E222)*(1+R$7)^$D222*(R204/Q204)^$E222*((R204+R213)/(Q204+Q213))^($F222*(1+$E222))</f>
        <v/>
      </c>
      <c r="S222" s="41">
        <f>R222*(1/(1+$G222))^(1+$E222)*(1+S$7)^$D222*(S204/R204)^$E222*((S204+S213)/(R204+R213))^($F222*(1+$E222))</f>
        <v/>
      </c>
      <c r="T222" s="41">
        <f>S222*(1/(1+$G222))^(1+$E222)*(1+T$7)^$D222*(T204/S204)^$E222*((T204+T213)/(S204+S213))^($F222*(1+$E222))</f>
        <v/>
      </c>
      <c r="U222" s="41">
        <f>T222*(1/(1+$G222))^(1+$E222)*(1+U$7)^$D222*(U204/T204)^$E222*((U204+U213)/(T204+T213))^($F222*(1+$E222))</f>
        <v/>
      </c>
      <c r="V222" s="41">
        <f>U222*(1/(1+$G222))^(1+$E222)*(1+V$7)^$D222*(V204/U204)^$E222*((V204+V213)/(U204+U213))^($F222*(1+$E222))</f>
        <v/>
      </c>
      <c r="W222" s="41">
        <f>V222*(1/(1+$G222))^(1+$E222)*(1+W$7)^$D222*(W204/V204)^$E222*((W204+W213)/(V204+V213))^($F222*(1+$E222))</f>
        <v/>
      </c>
      <c r="X222" s="41">
        <f>W222*(1/(1+$G222))^(1+$E222)*(1+X$7)^$D222*(X204/W204)^$E222*((X204+X213)/(W204+W213))^($F222*(1+$E222))</f>
        <v/>
      </c>
      <c r="Y222" s="42">
        <f>FUELUSE(X222,Y204,X204,Y213,X213,Y$7,$D222,$E222,$F222,$G222)</f>
        <v/>
      </c>
      <c r="Z222" s="23">
        <f>LOWER(Settings!$C$4)&amp;".mit."&amp;$A222&amp;IF($C222="","","."&amp;$C222&amp;"."&amp;$B222)&amp;IF(INDEX(Variables!$D$5:$D$65,MATCH($A222,Variables!$A$5:$A$65,0))="","","."&amp;INDEX(Variables!$D$5:$D$65,MATCH($A222,Variables!$A$5:$A$65,0)))&amp;"."&amp;Z$5</f>
        <v/>
      </c>
      <c r="AA222" s="40">
        <f>INDEX(Inputs!$V$5:$V$132,MATCH($B222&amp;"|"&amp;$C222,Inputs!$A$5:$A$132,0))</f>
        <v/>
      </c>
      <c r="AB222" s="41">
        <f>AA222*(1/(1+$G222))^(1+$E222)*(1+AB$7)^$D222*(AB204/AA204)^$E222*((AB204+AB213)/(AA204+AA213))^($F222*(1+$E222))</f>
        <v/>
      </c>
      <c r="AC222" s="41">
        <f>AB222*(1/(1+$G222))^(1+$E222)*(1+AC$7)^$D222*(AC204/AB204)^$E222*((AC204+AC213)/(AB204+AB213))^($F222*(1+$E222))</f>
        <v/>
      </c>
      <c r="AD222" s="41">
        <f>AC222*(1/(1+$G222))^(1+$E222)*(1+AD$7)^$D222*(AD204/AC204)^$E222*((AD204+AD213)/(AC204+AC213))^($F222*(1+$E222))</f>
        <v/>
      </c>
      <c r="AE222" s="41">
        <f>AD222*(1/(1+$G222))^(1+$E222)*(1+AE$7)^$D222*(AE204/AD204)^$E222*((AE204+AE213)/(AD204+AD213))^($F222*(1+$E222))</f>
        <v/>
      </c>
      <c r="AF222" s="41">
        <f>AE222*(1/(1+$G222))^(1+$E222)*(1+AF$7)^$D222*(AF204/AE204)^$E222*((AF204+AF213)/(AE204+AE213))^($F222*(1+$E222))</f>
        <v/>
      </c>
      <c r="AG222" s="41">
        <f>AF222*(1/(1+$G222))^(1+$E222)*(1+AG$7)^$D222*(AG204/AF204)^$E222*((AG204+AG213)/(AF204+AF213))^($F222*(1+$E222))</f>
        <v/>
      </c>
      <c r="AH222" s="41">
        <f>AG222*(1/(1+$G222))^(1+$E222)*(1+AH$7)^$D222*(AH204/AG204)^$E222*((AH204+AH213)/(AG204+AG213))^($F222*(1+$E222))</f>
        <v/>
      </c>
      <c r="AI222" s="41">
        <f>AH222*(1/(1+$G222))^(1+$E222)*(1+AI$7)^$D222*(AI204/AH204)^$E222*((AI204+AI213)/(AH204+AH213))^($F222*(1+$E222))</f>
        <v/>
      </c>
      <c r="AJ222" s="41">
        <f>AI222*(1/(1+$G222))^(1+$E222)*(1+AJ$7)^$D222*(AJ204/AI204)^$E222*((AJ204+AJ213)/(AI204+AI213))^($F222*(1+$E222))</f>
        <v/>
      </c>
      <c r="AK222" s="41">
        <f>AJ222*(1/(1+$G222))^(1+$E222)*(1+AK$7)^$D222*(AK204/AJ204)^$E222*((AK204+AK213)/(AJ204+AJ213))^($F222*(1+$E222))</f>
        <v/>
      </c>
      <c r="AL222" s="41">
        <f>AK222*(1/(1+$G222))^(1+$E222)*(1+AL$7)^$D222*(AL204/AK204)^$E222*((AL204+AL213)/(AK204+AK213))^($F222*(1+$E222))</f>
        <v/>
      </c>
      <c r="AM222" s="41">
        <f>AL222*(1/(1+$G222))^(1+$E222)*(1+AM$7)^$D222*(AM204/AL204)^$E222*((AM204+AM213)/(AL204+AL213))^($F222*(1+$E222))</f>
        <v/>
      </c>
      <c r="AN222" s="42">
        <f>FUELUSE(AM222,AN204,AM204,AN213,AM213,AN$7,$D222,$E222,$F222,$G222)</f>
        <v/>
      </c>
    </row>
    <row r="223" hidden="1" outlineLevel="2"/>
    <row r="224" outlineLevel="1" collapsed="1">
      <c r="A224" s="7" t="inlineStr">
        <is>
          <t>ener</t>
        </is>
      </c>
      <c r="B224" s="7" t="inlineStr">
        <is>
          <t>all</t>
        </is>
      </c>
      <c r="C224" s="7" t="inlineStr">
        <is>
          <t>ral</t>
        </is>
      </c>
      <c r="H224" s="7">
        <f>INDEX(Variables!$B$5:$B$65,MATCH($A224,Variables!$A$5:$A$65,0))&amp;IF($C224="",""," | "&amp;INDEX(Mapping!$B$5:$B$25,MATCH($C224,Mapping!$A$5:$A$25,0))&amp;" | "&amp;INDEX(Mapping!$B$29:$B$38,MATCH($B224,Mapping!$A$29:$A$38,0)))</f>
        <v/>
      </c>
      <c r="I224" s="7">
        <f>INDEX(Variables!$C$5:$C$65,MATCH($A224,Variables!$A$5:$A$65,0))</f>
        <v/>
      </c>
      <c r="J224" s="7">
        <f>INDEX(Variables!$E$5:$E$65,MATCH($A224,Variables!$A$5:$A$65,0))</f>
        <v/>
      </c>
      <c r="K224" s="26">
        <f>LOWER(Settings!$C$4)&amp;".mit."&amp;$A224&amp;IF($C224="","","."&amp;$C224&amp;"."&amp;$B224)&amp;IF(INDEX(Variables!$D$5:$D$65,MATCH($A224,Variables!$A$5:$A$65,0))="","","."&amp;INDEX(Variables!$D$5:$D$65,MATCH($A224,Variables!$A$5:$A$65,0)))&amp;"."&amp;K$5</f>
        <v/>
      </c>
      <c r="L224" s="34">
        <f>SUM(L288:L295)</f>
        <v/>
      </c>
      <c r="M224" s="35">
        <f>SUM(M288:M295)</f>
        <v/>
      </c>
      <c r="N224" s="35">
        <f>SUM(N288:N295)</f>
        <v/>
      </c>
      <c r="O224" s="35">
        <f>SUM(O288:O295)</f>
        <v/>
      </c>
      <c r="P224" s="35">
        <f>SUM(P288:P295)</f>
        <v/>
      </c>
      <c r="Q224" s="35">
        <f>SUM(Q288:Q295)</f>
        <v/>
      </c>
      <c r="R224" s="35">
        <f>SUM(R288:R295)</f>
        <v/>
      </c>
      <c r="S224" s="35">
        <f>SUM(S288:S295)</f>
        <v/>
      </c>
      <c r="T224" s="35">
        <f>SUM(T288:T295)</f>
        <v/>
      </c>
      <c r="U224" s="35">
        <f>SUM(U288:U295)</f>
        <v/>
      </c>
      <c r="V224" s="35">
        <f>SUM(V288:V295)</f>
        <v/>
      </c>
      <c r="W224" s="35">
        <f>SUM(W288:W295)</f>
        <v/>
      </c>
      <c r="X224" s="35">
        <f>SUM(X288:X295)</f>
        <v/>
      </c>
      <c r="Y224" s="35">
        <f>SUM(Y288:Y295)</f>
        <v/>
      </c>
      <c r="Z224" s="26">
        <f>LOWER(Settings!$C$4)&amp;".mit."&amp;$A224&amp;IF($C224="","","."&amp;$C224&amp;"."&amp;$B224)&amp;IF(INDEX(Variables!$D$5:$D$65,MATCH($A224,Variables!$A$5:$A$65,0))="","","."&amp;INDEX(Variables!$D$5:$D$65,MATCH($A224,Variables!$A$5:$A$65,0)))&amp;"."&amp;Z$5</f>
        <v/>
      </c>
      <c r="AA224" s="34">
        <f>SUM(AA288:AA295)</f>
        <v/>
      </c>
      <c r="AB224" s="35">
        <f>SUM(AB288:AB295)</f>
        <v/>
      </c>
      <c r="AC224" s="35">
        <f>SUM(AC288:AC295)</f>
        <v/>
      </c>
      <c r="AD224" s="35">
        <f>SUM(AD288:AD295)</f>
        <v/>
      </c>
      <c r="AE224" s="35">
        <f>SUM(AE288:AE295)</f>
        <v/>
      </c>
      <c r="AF224" s="35">
        <f>SUM(AF288:AF295)</f>
        <v/>
      </c>
      <c r="AG224" s="35">
        <f>SUM(AG288:AG295)</f>
        <v/>
      </c>
      <c r="AH224" s="35">
        <f>SUM(AH288:AH295)</f>
        <v/>
      </c>
      <c r="AI224" s="35">
        <f>SUM(AI288:AI295)</f>
        <v/>
      </c>
      <c r="AJ224" s="35">
        <f>SUM(AJ288:AJ295)</f>
        <v/>
      </c>
      <c r="AK224" s="35">
        <f>SUM(AK288:AK295)</f>
        <v/>
      </c>
      <c r="AL224" s="35">
        <f>SUM(AL288:AL295)</f>
        <v/>
      </c>
      <c r="AM224" s="35">
        <f>SUM(AM288:AM295)</f>
        <v/>
      </c>
      <c r="AN224" s="35">
        <f>SUM(AN288:AN295)</f>
        <v/>
      </c>
    </row>
    <row r="225" hidden="1" outlineLevel="2">
      <c r="A225" s="5" t="inlineStr">
        <is>
          <t>sp</t>
        </is>
      </c>
      <c r="B225" s="5" t="inlineStr">
        <is>
          <t>coa</t>
        </is>
      </c>
      <c r="C225" s="5" t="inlineStr">
        <is>
          <t>ral</t>
        </is>
      </c>
      <c r="D225" s="36">
        <f>INDEX(Inputs!$R$5:$R$132,MATCH($B225&amp;"|"&amp;$C225,Inputs!$A$5:$A$132,0))</f>
        <v/>
      </c>
      <c r="E225" s="37" t="n"/>
      <c r="F225" s="37" t="n"/>
      <c r="G225" s="37" t="n"/>
      <c r="H225" s="5">
        <f>INDEX(Variables!$B$5:$B$65,MATCH($A225,Variables!$A$5:$A$65,0))&amp;IF($C225="",""," | "&amp;INDEX(Mapping!$B$5:$B$25,MATCH($C225,Mapping!$A$5:$A$25,0))&amp;" | "&amp;INDEX(Mapping!$B$29:$B$38,MATCH($B225,Mapping!$A$29:$A$38,0)))</f>
        <v/>
      </c>
      <c r="I225" s="5">
        <f>INDEX(Variables!$C$5:$C$65,MATCH($A225,Variables!$A$5:$A$65,0))</f>
        <v/>
      </c>
      <c r="J225" s="5">
        <f>INDEX(Variables!$E$5:$E$65,MATCH($A225,Variables!$A$5:$A$65,0))</f>
        <v/>
      </c>
      <c r="K225" s="23">
        <f>LOWER(Settings!$C$4)&amp;".mit."&amp;$A225&amp;IF($C225="","","."&amp;$C225&amp;"."&amp;$B225)&amp;IF(INDEX(Variables!$D$5:$D$65,MATCH($A225,Variables!$A$5:$A$65,0))="","","."&amp;INDEX(Variables!$D$5:$D$65,MATCH($A225,Variables!$A$5:$A$65,0)))&amp;"."&amp;K$5</f>
        <v/>
      </c>
      <c r="L225" s="38">
        <f>INDEX(Inputs!$S$5:$S$132,MATCH($B225&amp;"|"&amp;$C225,Inputs!$A$5:$A$132,0))</f>
        <v/>
      </c>
      <c r="M225" s="36">
        <f>L225*(1+$D225)</f>
        <v/>
      </c>
      <c r="N225" s="36">
        <f>M225*(1+$D225)</f>
        <v/>
      </c>
      <c r="O225" s="36">
        <f>N225*(1+$D225)</f>
        <v/>
      </c>
      <c r="P225" s="36">
        <f>O225*(1+$D225)</f>
        <v/>
      </c>
      <c r="Q225" s="36">
        <f>P225*(1+$D225)</f>
        <v/>
      </c>
      <c r="R225" s="36">
        <f>Q225*(1+$D225)</f>
        <v/>
      </c>
      <c r="S225" s="36">
        <f>R225*(1+$D225)</f>
        <v/>
      </c>
      <c r="T225" s="36">
        <f>S225*(1+$D225)</f>
        <v/>
      </c>
      <c r="U225" s="36">
        <f>T225*(1+$D225)</f>
        <v/>
      </c>
      <c r="V225" s="36">
        <f>U225*(1+$D225)</f>
        <v/>
      </c>
      <c r="W225" s="36">
        <f>V225*(1+$D225)</f>
        <v/>
      </c>
      <c r="X225" s="36">
        <f>W225*(1+$D225)</f>
        <v/>
      </c>
      <c r="Y225" s="39">
        <f>PRETAX(X225,$D225)</f>
        <v/>
      </c>
      <c r="Z225" s="23">
        <f>LOWER(Settings!$C$4)&amp;".mit."&amp;$A225&amp;IF($C225="","","."&amp;$C225&amp;"."&amp;$B225)&amp;IF(INDEX(Variables!$D$5:$D$65,MATCH($A225,Variables!$A$5:$A$65,0))="","","."&amp;INDEX(Variables!$D$5:$D$65,MATCH($A225,Variables!$A$5:$A$65,0)))&amp;"."&amp;Z$5</f>
        <v/>
      </c>
      <c r="AA225" s="38">
        <f>INDEX(Inputs!$S$5:$S$132,MATCH($B225&amp;"|"&amp;$C225,Inputs!$A$5:$A$132,0))</f>
        <v/>
      </c>
      <c r="AB225" s="36">
        <f>AA225*(1+$D225)</f>
        <v/>
      </c>
      <c r="AC225" s="36">
        <f>AB225*(1+$D225)</f>
        <v/>
      </c>
      <c r="AD225" s="36">
        <f>AC225*(1+$D225)</f>
        <v/>
      </c>
      <c r="AE225" s="36">
        <f>AD225*(1+$D225)</f>
        <v/>
      </c>
      <c r="AF225" s="36">
        <f>AE225*(1+$D225)</f>
        <v/>
      </c>
      <c r="AG225" s="36">
        <f>AF225*(1+$D225)</f>
        <v/>
      </c>
      <c r="AH225" s="36">
        <f>AG225*(1+$D225)</f>
        <v/>
      </c>
      <c r="AI225" s="36">
        <f>AH225*(1+$D225)</f>
        <v/>
      </c>
      <c r="AJ225" s="36">
        <f>AI225*(1+$D225)</f>
        <v/>
      </c>
      <c r="AK225" s="36">
        <f>AJ225*(1+$D225)</f>
        <v/>
      </c>
      <c r="AL225" s="36">
        <f>AK225*(1+$D225)</f>
        <v/>
      </c>
      <c r="AM225" s="36">
        <f>AL225*(1+$D225)</f>
        <v/>
      </c>
      <c r="AN225" s="39">
        <f>PRETAX(AM225,$D225)</f>
        <v/>
      </c>
    </row>
    <row r="226" hidden="1" outlineLevel="2">
      <c r="A226" s="5" t="inlineStr">
        <is>
          <t>sp</t>
        </is>
      </c>
      <c r="B226" s="5" t="inlineStr">
        <is>
          <t>nga</t>
        </is>
      </c>
      <c r="C226" s="5" t="inlineStr">
        <is>
          <t>ral</t>
        </is>
      </c>
      <c r="D226" s="36">
        <f>INDEX(Inputs!$R$5:$R$132,MATCH($B226&amp;"|"&amp;$C226,Inputs!$A$5:$A$132,0))</f>
        <v/>
      </c>
      <c r="E226" s="37" t="n"/>
      <c r="F226" s="37" t="n"/>
      <c r="G226" s="37" t="n"/>
      <c r="H226" s="5">
        <f>INDEX(Variables!$B$5:$B$65,MATCH($A226,Variables!$A$5:$A$65,0))&amp;IF($C226="",""," | "&amp;INDEX(Mapping!$B$5:$B$25,MATCH($C226,Mapping!$A$5:$A$25,0))&amp;" | "&amp;INDEX(Mapping!$B$29:$B$38,MATCH($B226,Mapping!$A$29:$A$38,0)))</f>
        <v/>
      </c>
      <c r="I226" s="5">
        <f>INDEX(Variables!$C$5:$C$65,MATCH($A226,Variables!$A$5:$A$65,0))</f>
        <v/>
      </c>
      <c r="J226" s="5">
        <f>INDEX(Variables!$E$5:$E$65,MATCH($A226,Variables!$A$5:$A$65,0))</f>
        <v/>
      </c>
      <c r="K226" s="23">
        <f>LOWER(Settings!$C$4)&amp;".mit."&amp;$A226&amp;IF($C226="","","."&amp;$C226&amp;"."&amp;$B226)&amp;IF(INDEX(Variables!$D$5:$D$65,MATCH($A226,Variables!$A$5:$A$65,0))="","","."&amp;INDEX(Variables!$D$5:$D$65,MATCH($A226,Variables!$A$5:$A$65,0)))&amp;"."&amp;K$5</f>
        <v/>
      </c>
      <c r="L226" s="38">
        <f>INDEX(Inputs!$S$5:$S$132,MATCH($B226&amp;"|"&amp;$C226,Inputs!$A$5:$A$132,0))</f>
        <v/>
      </c>
      <c r="M226" s="36">
        <f>L226*(1+$D226)</f>
        <v/>
      </c>
      <c r="N226" s="36">
        <f>M226*(1+$D226)</f>
        <v/>
      </c>
      <c r="O226" s="36">
        <f>N226*(1+$D226)</f>
        <v/>
      </c>
      <c r="P226" s="36">
        <f>O226*(1+$D226)</f>
        <v/>
      </c>
      <c r="Q226" s="36">
        <f>P226*(1+$D226)</f>
        <v/>
      </c>
      <c r="R226" s="36">
        <f>Q226*(1+$D226)</f>
        <v/>
      </c>
      <c r="S226" s="36">
        <f>R226*(1+$D226)</f>
        <v/>
      </c>
      <c r="T226" s="36">
        <f>S226*(1+$D226)</f>
        <v/>
      </c>
      <c r="U226" s="36">
        <f>T226*(1+$D226)</f>
        <v/>
      </c>
      <c r="V226" s="36">
        <f>U226*(1+$D226)</f>
        <v/>
      </c>
      <c r="W226" s="36">
        <f>V226*(1+$D226)</f>
        <v/>
      </c>
      <c r="X226" s="36">
        <f>W226*(1+$D226)</f>
        <v/>
      </c>
      <c r="Y226" s="39">
        <f>PRETAX(X226,$D226)</f>
        <v/>
      </c>
      <c r="Z226" s="23">
        <f>LOWER(Settings!$C$4)&amp;".mit."&amp;$A226&amp;IF($C226="","","."&amp;$C226&amp;"."&amp;$B226)&amp;IF(INDEX(Variables!$D$5:$D$65,MATCH($A226,Variables!$A$5:$A$65,0))="","","."&amp;INDEX(Variables!$D$5:$D$65,MATCH($A226,Variables!$A$5:$A$65,0)))&amp;"."&amp;Z$5</f>
        <v/>
      </c>
      <c r="AA226" s="38">
        <f>INDEX(Inputs!$S$5:$S$132,MATCH($B226&amp;"|"&amp;$C226,Inputs!$A$5:$A$132,0))</f>
        <v/>
      </c>
      <c r="AB226" s="36">
        <f>AA226*(1+$D226)</f>
        <v/>
      </c>
      <c r="AC226" s="36">
        <f>AB226*(1+$D226)</f>
        <v/>
      </c>
      <c r="AD226" s="36">
        <f>AC226*(1+$D226)</f>
        <v/>
      </c>
      <c r="AE226" s="36">
        <f>AD226*(1+$D226)</f>
        <v/>
      </c>
      <c r="AF226" s="36">
        <f>AE226*(1+$D226)</f>
        <v/>
      </c>
      <c r="AG226" s="36">
        <f>AF226*(1+$D226)</f>
        <v/>
      </c>
      <c r="AH226" s="36">
        <f>AG226*(1+$D226)</f>
        <v/>
      </c>
      <c r="AI226" s="36">
        <f>AH226*(1+$D226)</f>
        <v/>
      </c>
      <c r="AJ226" s="36">
        <f>AI226*(1+$D226)</f>
        <v/>
      </c>
      <c r="AK226" s="36">
        <f>AJ226*(1+$D226)</f>
        <v/>
      </c>
      <c r="AL226" s="36">
        <f>AK226*(1+$D226)</f>
        <v/>
      </c>
      <c r="AM226" s="36">
        <f>AL226*(1+$D226)</f>
        <v/>
      </c>
      <c r="AN226" s="39">
        <f>PRETAX(AM226,$D226)</f>
        <v/>
      </c>
    </row>
    <row r="227" hidden="1" outlineLevel="2">
      <c r="A227" s="5" t="inlineStr">
        <is>
          <t>sp</t>
        </is>
      </c>
      <c r="B227" s="5" t="inlineStr">
        <is>
          <t>gso</t>
        </is>
      </c>
      <c r="C227" s="5" t="inlineStr">
        <is>
          <t>ral</t>
        </is>
      </c>
      <c r="D227" s="36">
        <f>INDEX(Inputs!$R$5:$R$132,MATCH($B227&amp;"|"&amp;$C227,Inputs!$A$5:$A$132,0))</f>
        <v/>
      </c>
      <c r="E227" s="37" t="n"/>
      <c r="F227" s="37" t="n"/>
      <c r="G227" s="37" t="n"/>
      <c r="H227" s="5">
        <f>INDEX(Variables!$B$5:$B$65,MATCH($A227,Variables!$A$5:$A$65,0))&amp;IF($C227="",""," | "&amp;INDEX(Mapping!$B$5:$B$25,MATCH($C227,Mapping!$A$5:$A$25,0))&amp;" | "&amp;INDEX(Mapping!$B$29:$B$38,MATCH($B227,Mapping!$A$29:$A$38,0)))</f>
        <v/>
      </c>
      <c r="I227" s="5">
        <f>INDEX(Variables!$C$5:$C$65,MATCH($A227,Variables!$A$5:$A$65,0))</f>
        <v/>
      </c>
      <c r="J227" s="5">
        <f>INDEX(Variables!$E$5:$E$65,MATCH($A227,Variables!$A$5:$A$65,0))</f>
        <v/>
      </c>
      <c r="K227" s="23">
        <f>LOWER(Settings!$C$4)&amp;".mit."&amp;$A227&amp;IF($C227="","","."&amp;$C227&amp;"."&amp;$B227)&amp;IF(INDEX(Variables!$D$5:$D$65,MATCH($A227,Variables!$A$5:$A$65,0))="","","."&amp;INDEX(Variables!$D$5:$D$65,MATCH($A227,Variables!$A$5:$A$65,0)))&amp;"."&amp;K$5</f>
        <v/>
      </c>
      <c r="L227" s="38">
        <f>INDEX(Inputs!$S$5:$S$132,MATCH($B227&amp;"|"&amp;$C227,Inputs!$A$5:$A$132,0))</f>
        <v/>
      </c>
      <c r="M227" s="36">
        <f>L227*(1+$D227)</f>
        <v/>
      </c>
      <c r="N227" s="36">
        <f>M227*(1+$D227)</f>
        <v/>
      </c>
      <c r="O227" s="36">
        <f>N227*(1+$D227)</f>
        <v/>
      </c>
      <c r="P227" s="36">
        <f>O227*(1+$D227)</f>
        <v/>
      </c>
      <c r="Q227" s="36">
        <f>P227*(1+$D227)</f>
        <v/>
      </c>
      <c r="R227" s="36">
        <f>Q227*(1+$D227)</f>
        <v/>
      </c>
      <c r="S227" s="36">
        <f>R227*(1+$D227)</f>
        <v/>
      </c>
      <c r="T227" s="36">
        <f>S227*(1+$D227)</f>
        <v/>
      </c>
      <c r="U227" s="36">
        <f>T227*(1+$D227)</f>
        <v/>
      </c>
      <c r="V227" s="36">
        <f>U227*(1+$D227)</f>
        <v/>
      </c>
      <c r="W227" s="36">
        <f>V227*(1+$D227)</f>
        <v/>
      </c>
      <c r="X227" s="36">
        <f>W227*(1+$D227)</f>
        <v/>
      </c>
      <c r="Y227" s="39">
        <f>PRETAX(X227,$D227)</f>
        <v/>
      </c>
      <c r="Z227" s="23">
        <f>LOWER(Settings!$C$4)&amp;".mit."&amp;$A227&amp;IF($C227="","","."&amp;$C227&amp;"."&amp;$B227)&amp;IF(INDEX(Variables!$D$5:$D$65,MATCH($A227,Variables!$A$5:$A$65,0))="","","."&amp;INDEX(Variables!$D$5:$D$65,MATCH($A227,Variables!$A$5:$A$65,0)))&amp;"."&amp;Z$5</f>
        <v/>
      </c>
      <c r="AA227" s="38">
        <f>INDEX(Inputs!$S$5:$S$132,MATCH($B227&amp;"|"&amp;$C227,Inputs!$A$5:$A$132,0))</f>
        <v/>
      </c>
      <c r="AB227" s="36">
        <f>AA227*(1+$D227)</f>
        <v/>
      </c>
      <c r="AC227" s="36">
        <f>AB227*(1+$D227)</f>
        <v/>
      </c>
      <c r="AD227" s="36">
        <f>AC227*(1+$D227)</f>
        <v/>
      </c>
      <c r="AE227" s="36">
        <f>AD227*(1+$D227)</f>
        <v/>
      </c>
      <c r="AF227" s="36">
        <f>AE227*(1+$D227)</f>
        <v/>
      </c>
      <c r="AG227" s="36">
        <f>AF227*(1+$D227)</f>
        <v/>
      </c>
      <c r="AH227" s="36">
        <f>AG227*(1+$D227)</f>
        <v/>
      </c>
      <c r="AI227" s="36">
        <f>AH227*(1+$D227)</f>
        <v/>
      </c>
      <c r="AJ227" s="36">
        <f>AI227*(1+$D227)</f>
        <v/>
      </c>
      <c r="AK227" s="36">
        <f>AJ227*(1+$D227)</f>
        <v/>
      </c>
      <c r="AL227" s="36">
        <f>AK227*(1+$D227)</f>
        <v/>
      </c>
      <c r="AM227" s="36">
        <f>AL227*(1+$D227)</f>
        <v/>
      </c>
      <c r="AN227" s="39">
        <f>PRETAX(AM227,$D227)</f>
        <v/>
      </c>
    </row>
    <row r="228" hidden="1" outlineLevel="2">
      <c r="A228" s="5" t="inlineStr">
        <is>
          <t>sp</t>
        </is>
      </c>
      <c r="B228" s="5" t="inlineStr">
        <is>
          <t>die</t>
        </is>
      </c>
      <c r="C228" s="5" t="inlineStr">
        <is>
          <t>ral</t>
        </is>
      </c>
      <c r="D228" s="36">
        <f>INDEX(Inputs!$R$5:$R$132,MATCH($B228&amp;"|"&amp;$C228,Inputs!$A$5:$A$132,0))</f>
        <v/>
      </c>
      <c r="E228" s="37" t="n"/>
      <c r="F228" s="37" t="n"/>
      <c r="G228" s="37" t="n"/>
      <c r="H228" s="5">
        <f>INDEX(Variables!$B$5:$B$65,MATCH($A228,Variables!$A$5:$A$65,0))&amp;IF($C228="",""," | "&amp;INDEX(Mapping!$B$5:$B$25,MATCH($C228,Mapping!$A$5:$A$25,0))&amp;" | "&amp;INDEX(Mapping!$B$29:$B$38,MATCH($B228,Mapping!$A$29:$A$38,0)))</f>
        <v/>
      </c>
      <c r="I228" s="5">
        <f>INDEX(Variables!$C$5:$C$65,MATCH($A228,Variables!$A$5:$A$65,0))</f>
        <v/>
      </c>
      <c r="J228" s="5">
        <f>INDEX(Variables!$E$5:$E$65,MATCH($A228,Variables!$A$5:$A$65,0))</f>
        <v/>
      </c>
      <c r="K228" s="23">
        <f>LOWER(Settings!$C$4)&amp;".mit."&amp;$A228&amp;IF($C228="","","."&amp;$C228&amp;"."&amp;$B228)&amp;IF(INDEX(Variables!$D$5:$D$65,MATCH($A228,Variables!$A$5:$A$65,0))="","","."&amp;INDEX(Variables!$D$5:$D$65,MATCH($A228,Variables!$A$5:$A$65,0)))&amp;"."&amp;K$5</f>
        <v/>
      </c>
      <c r="L228" s="38">
        <f>INDEX(Inputs!$S$5:$S$132,MATCH($B228&amp;"|"&amp;$C228,Inputs!$A$5:$A$132,0))</f>
        <v/>
      </c>
      <c r="M228" s="36">
        <f>L228*(1+$D228)</f>
        <v/>
      </c>
      <c r="N228" s="36">
        <f>M228*(1+$D228)</f>
        <v/>
      </c>
      <c r="O228" s="36">
        <f>N228*(1+$D228)</f>
        <v/>
      </c>
      <c r="P228" s="36">
        <f>O228*(1+$D228)</f>
        <v/>
      </c>
      <c r="Q228" s="36">
        <f>P228*(1+$D228)</f>
        <v/>
      </c>
      <c r="R228" s="36">
        <f>Q228*(1+$D228)</f>
        <v/>
      </c>
      <c r="S228" s="36">
        <f>R228*(1+$D228)</f>
        <v/>
      </c>
      <c r="T228" s="36">
        <f>S228*(1+$D228)</f>
        <v/>
      </c>
      <c r="U228" s="36">
        <f>T228*(1+$D228)</f>
        <v/>
      </c>
      <c r="V228" s="36">
        <f>U228*(1+$D228)</f>
        <v/>
      </c>
      <c r="W228" s="36">
        <f>V228*(1+$D228)</f>
        <v/>
      </c>
      <c r="X228" s="36">
        <f>W228*(1+$D228)</f>
        <v/>
      </c>
      <c r="Y228" s="39">
        <f>PRETAX(X228,$D228)</f>
        <v/>
      </c>
      <c r="Z228" s="23">
        <f>LOWER(Settings!$C$4)&amp;".mit."&amp;$A228&amp;IF($C228="","","."&amp;$C228&amp;"."&amp;$B228)&amp;IF(INDEX(Variables!$D$5:$D$65,MATCH($A228,Variables!$A$5:$A$65,0))="","","."&amp;INDEX(Variables!$D$5:$D$65,MATCH($A228,Variables!$A$5:$A$65,0)))&amp;"."&amp;Z$5</f>
        <v/>
      </c>
      <c r="AA228" s="38">
        <f>INDEX(Inputs!$S$5:$S$132,MATCH($B228&amp;"|"&amp;$C228,Inputs!$A$5:$A$132,0))</f>
        <v/>
      </c>
      <c r="AB228" s="36">
        <f>AA228*(1+$D228)</f>
        <v/>
      </c>
      <c r="AC228" s="36">
        <f>AB228*(1+$D228)</f>
        <v/>
      </c>
      <c r="AD228" s="36">
        <f>AC228*(1+$D228)</f>
        <v/>
      </c>
      <c r="AE228" s="36">
        <f>AD228*(1+$D228)</f>
        <v/>
      </c>
      <c r="AF228" s="36">
        <f>AE228*(1+$D228)</f>
        <v/>
      </c>
      <c r="AG228" s="36">
        <f>AF228*(1+$D228)</f>
        <v/>
      </c>
      <c r="AH228" s="36">
        <f>AG228*(1+$D228)</f>
        <v/>
      </c>
      <c r="AI228" s="36">
        <f>AH228*(1+$D228)</f>
        <v/>
      </c>
      <c r="AJ228" s="36">
        <f>AI228*(1+$D228)</f>
        <v/>
      </c>
      <c r="AK228" s="36">
        <f>AJ228*(1+$D228)</f>
        <v/>
      </c>
      <c r="AL228" s="36">
        <f>AK228*(1+$D228)</f>
        <v/>
      </c>
      <c r="AM228" s="36">
        <f>AL228*(1+$D228)</f>
        <v/>
      </c>
      <c r="AN228" s="39">
        <f>PRETAX(AM228,$D228)</f>
        <v/>
      </c>
    </row>
    <row r="229" hidden="1" outlineLevel="2">
      <c r="A229" s="5" t="inlineStr">
        <is>
          <t>sp</t>
        </is>
      </c>
      <c r="B229" s="5" t="inlineStr">
        <is>
          <t>lpg</t>
        </is>
      </c>
      <c r="C229" s="5" t="inlineStr">
        <is>
          <t>ral</t>
        </is>
      </c>
      <c r="D229" s="36">
        <f>INDEX(Inputs!$R$5:$R$132,MATCH($B229&amp;"|"&amp;$C229,Inputs!$A$5:$A$132,0))</f>
        <v/>
      </c>
      <c r="E229" s="37" t="n"/>
      <c r="F229" s="37" t="n"/>
      <c r="G229" s="37" t="n"/>
      <c r="H229" s="5">
        <f>INDEX(Variables!$B$5:$B$65,MATCH($A229,Variables!$A$5:$A$65,0))&amp;IF($C229="",""," | "&amp;INDEX(Mapping!$B$5:$B$25,MATCH($C229,Mapping!$A$5:$A$25,0))&amp;" | "&amp;INDEX(Mapping!$B$29:$B$38,MATCH($B229,Mapping!$A$29:$A$38,0)))</f>
        <v/>
      </c>
      <c r="I229" s="5">
        <f>INDEX(Variables!$C$5:$C$65,MATCH($A229,Variables!$A$5:$A$65,0))</f>
        <v/>
      </c>
      <c r="J229" s="5">
        <f>INDEX(Variables!$E$5:$E$65,MATCH($A229,Variables!$A$5:$A$65,0))</f>
        <v/>
      </c>
      <c r="K229" s="23">
        <f>LOWER(Settings!$C$4)&amp;".mit."&amp;$A229&amp;IF($C229="","","."&amp;$C229&amp;"."&amp;$B229)&amp;IF(INDEX(Variables!$D$5:$D$65,MATCH($A229,Variables!$A$5:$A$65,0))="","","."&amp;INDEX(Variables!$D$5:$D$65,MATCH($A229,Variables!$A$5:$A$65,0)))&amp;"."&amp;K$5</f>
        <v/>
      </c>
      <c r="L229" s="38">
        <f>INDEX(Inputs!$S$5:$S$132,MATCH($B229&amp;"|"&amp;$C229,Inputs!$A$5:$A$132,0))</f>
        <v/>
      </c>
      <c r="M229" s="36">
        <f>L229*(1+$D229)</f>
        <v/>
      </c>
      <c r="N229" s="36">
        <f>M229*(1+$D229)</f>
        <v/>
      </c>
      <c r="O229" s="36">
        <f>N229*(1+$D229)</f>
        <v/>
      </c>
      <c r="P229" s="36">
        <f>O229*(1+$D229)</f>
        <v/>
      </c>
      <c r="Q229" s="36">
        <f>P229*(1+$D229)</f>
        <v/>
      </c>
      <c r="R229" s="36">
        <f>Q229*(1+$D229)</f>
        <v/>
      </c>
      <c r="S229" s="36">
        <f>R229*(1+$D229)</f>
        <v/>
      </c>
      <c r="T229" s="36">
        <f>S229*(1+$D229)</f>
        <v/>
      </c>
      <c r="U229" s="36">
        <f>T229*(1+$D229)</f>
        <v/>
      </c>
      <c r="V229" s="36">
        <f>U229*(1+$D229)</f>
        <v/>
      </c>
      <c r="W229" s="36">
        <f>V229*(1+$D229)</f>
        <v/>
      </c>
      <c r="X229" s="36">
        <f>W229*(1+$D229)</f>
        <v/>
      </c>
      <c r="Y229" s="39">
        <f>PRETAX(X229,$D229)</f>
        <v/>
      </c>
      <c r="Z229" s="23">
        <f>LOWER(Settings!$C$4)&amp;".mit."&amp;$A229&amp;IF($C229="","","."&amp;$C229&amp;"."&amp;$B229)&amp;IF(INDEX(Variables!$D$5:$D$65,MATCH($A229,Variables!$A$5:$A$65,0))="","","."&amp;INDEX(Variables!$D$5:$D$65,MATCH($A229,Variables!$A$5:$A$65,0)))&amp;"."&amp;Z$5</f>
        <v/>
      </c>
      <c r="AA229" s="38">
        <f>INDEX(Inputs!$S$5:$S$132,MATCH($B229&amp;"|"&amp;$C229,Inputs!$A$5:$A$132,0))</f>
        <v/>
      </c>
      <c r="AB229" s="36">
        <f>AA229*(1+$D229)</f>
        <v/>
      </c>
      <c r="AC229" s="36">
        <f>AB229*(1+$D229)</f>
        <v/>
      </c>
      <c r="AD229" s="36">
        <f>AC229*(1+$D229)</f>
        <v/>
      </c>
      <c r="AE229" s="36">
        <f>AD229*(1+$D229)</f>
        <v/>
      </c>
      <c r="AF229" s="36">
        <f>AE229*(1+$D229)</f>
        <v/>
      </c>
      <c r="AG229" s="36">
        <f>AF229*(1+$D229)</f>
        <v/>
      </c>
      <c r="AH229" s="36">
        <f>AG229*(1+$D229)</f>
        <v/>
      </c>
      <c r="AI229" s="36">
        <f>AH229*(1+$D229)</f>
        <v/>
      </c>
      <c r="AJ229" s="36">
        <f>AI229*(1+$D229)</f>
        <v/>
      </c>
      <c r="AK229" s="36">
        <f>AJ229*(1+$D229)</f>
        <v/>
      </c>
      <c r="AL229" s="36">
        <f>AK229*(1+$D229)</f>
        <v/>
      </c>
      <c r="AM229" s="36">
        <f>AL229*(1+$D229)</f>
        <v/>
      </c>
      <c r="AN229" s="39">
        <f>PRETAX(AM229,$D229)</f>
        <v/>
      </c>
    </row>
    <row r="230" hidden="1" outlineLevel="2">
      <c r="A230" s="5" t="inlineStr">
        <is>
          <t>sp</t>
        </is>
      </c>
      <c r="B230" s="5" t="inlineStr">
        <is>
          <t>ker</t>
        </is>
      </c>
      <c r="C230" s="5" t="inlineStr">
        <is>
          <t>ral</t>
        </is>
      </c>
      <c r="D230" s="36">
        <f>INDEX(Inputs!$R$5:$R$132,MATCH($B230&amp;"|"&amp;$C230,Inputs!$A$5:$A$132,0))</f>
        <v/>
      </c>
      <c r="E230" s="37" t="n"/>
      <c r="F230" s="37" t="n"/>
      <c r="G230" s="37" t="n"/>
      <c r="H230" s="5">
        <f>INDEX(Variables!$B$5:$B$65,MATCH($A230,Variables!$A$5:$A$65,0))&amp;IF($C230="",""," | "&amp;INDEX(Mapping!$B$5:$B$25,MATCH($C230,Mapping!$A$5:$A$25,0))&amp;" | "&amp;INDEX(Mapping!$B$29:$B$38,MATCH($B230,Mapping!$A$29:$A$38,0)))</f>
        <v/>
      </c>
      <c r="I230" s="5">
        <f>INDEX(Variables!$C$5:$C$65,MATCH($A230,Variables!$A$5:$A$65,0))</f>
        <v/>
      </c>
      <c r="J230" s="5">
        <f>INDEX(Variables!$E$5:$E$65,MATCH($A230,Variables!$A$5:$A$65,0))</f>
        <v/>
      </c>
      <c r="K230" s="23">
        <f>LOWER(Settings!$C$4)&amp;".mit."&amp;$A230&amp;IF($C230="","","."&amp;$C230&amp;"."&amp;$B230)&amp;IF(INDEX(Variables!$D$5:$D$65,MATCH($A230,Variables!$A$5:$A$65,0))="","","."&amp;INDEX(Variables!$D$5:$D$65,MATCH($A230,Variables!$A$5:$A$65,0)))&amp;"."&amp;K$5</f>
        <v/>
      </c>
      <c r="L230" s="38">
        <f>INDEX(Inputs!$S$5:$S$132,MATCH($B230&amp;"|"&amp;$C230,Inputs!$A$5:$A$132,0))</f>
        <v/>
      </c>
      <c r="M230" s="36">
        <f>L230*(1+$D230)</f>
        <v/>
      </c>
      <c r="N230" s="36">
        <f>M230*(1+$D230)</f>
        <v/>
      </c>
      <c r="O230" s="36">
        <f>N230*(1+$D230)</f>
        <v/>
      </c>
      <c r="P230" s="36">
        <f>O230*(1+$D230)</f>
        <v/>
      </c>
      <c r="Q230" s="36">
        <f>P230*(1+$D230)</f>
        <v/>
      </c>
      <c r="R230" s="36">
        <f>Q230*(1+$D230)</f>
        <v/>
      </c>
      <c r="S230" s="36">
        <f>R230*(1+$D230)</f>
        <v/>
      </c>
      <c r="T230" s="36">
        <f>S230*(1+$D230)</f>
        <v/>
      </c>
      <c r="U230" s="36">
        <f>T230*(1+$D230)</f>
        <v/>
      </c>
      <c r="V230" s="36">
        <f>U230*(1+$D230)</f>
        <v/>
      </c>
      <c r="W230" s="36">
        <f>V230*(1+$D230)</f>
        <v/>
      </c>
      <c r="X230" s="36">
        <f>W230*(1+$D230)</f>
        <v/>
      </c>
      <c r="Y230" s="39">
        <f>PRETAX(X230,$D230)</f>
        <v/>
      </c>
      <c r="Z230" s="23">
        <f>LOWER(Settings!$C$4)&amp;".mit."&amp;$A230&amp;IF($C230="","","."&amp;$C230&amp;"."&amp;$B230)&amp;IF(INDEX(Variables!$D$5:$D$65,MATCH($A230,Variables!$A$5:$A$65,0))="","","."&amp;INDEX(Variables!$D$5:$D$65,MATCH($A230,Variables!$A$5:$A$65,0)))&amp;"."&amp;Z$5</f>
        <v/>
      </c>
      <c r="AA230" s="38">
        <f>INDEX(Inputs!$S$5:$S$132,MATCH($B230&amp;"|"&amp;$C230,Inputs!$A$5:$A$132,0))</f>
        <v/>
      </c>
      <c r="AB230" s="36">
        <f>AA230*(1+$D230)</f>
        <v/>
      </c>
      <c r="AC230" s="36">
        <f>AB230*(1+$D230)</f>
        <v/>
      </c>
      <c r="AD230" s="36">
        <f>AC230*(1+$D230)</f>
        <v/>
      </c>
      <c r="AE230" s="36">
        <f>AD230*(1+$D230)</f>
        <v/>
      </c>
      <c r="AF230" s="36">
        <f>AE230*(1+$D230)</f>
        <v/>
      </c>
      <c r="AG230" s="36">
        <f>AF230*(1+$D230)</f>
        <v/>
      </c>
      <c r="AH230" s="36">
        <f>AG230*(1+$D230)</f>
        <v/>
      </c>
      <c r="AI230" s="36">
        <f>AH230*(1+$D230)</f>
        <v/>
      </c>
      <c r="AJ230" s="36">
        <f>AI230*(1+$D230)</f>
        <v/>
      </c>
      <c r="AK230" s="36">
        <f>AJ230*(1+$D230)</f>
        <v/>
      </c>
      <c r="AL230" s="36">
        <f>AK230*(1+$D230)</f>
        <v/>
      </c>
      <c r="AM230" s="36">
        <f>AL230*(1+$D230)</f>
        <v/>
      </c>
      <c r="AN230" s="39">
        <f>PRETAX(AM230,$D230)</f>
        <v/>
      </c>
    </row>
    <row r="231" hidden="1" outlineLevel="2">
      <c r="A231" s="5" t="inlineStr">
        <is>
          <t>sp</t>
        </is>
      </c>
      <c r="B231" s="5" t="inlineStr">
        <is>
          <t>oop</t>
        </is>
      </c>
      <c r="C231" s="5" t="inlineStr">
        <is>
          <t>ral</t>
        </is>
      </c>
      <c r="D231" s="36">
        <f>INDEX(Inputs!$R$5:$R$132,MATCH($B231&amp;"|"&amp;$C231,Inputs!$A$5:$A$132,0))</f>
        <v/>
      </c>
      <c r="E231" s="37" t="n"/>
      <c r="F231" s="37" t="n"/>
      <c r="G231" s="37" t="n"/>
      <c r="H231" s="5">
        <f>INDEX(Variables!$B$5:$B$65,MATCH($A231,Variables!$A$5:$A$65,0))&amp;IF($C231="",""," | "&amp;INDEX(Mapping!$B$5:$B$25,MATCH($C231,Mapping!$A$5:$A$25,0))&amp;" | "&amp;INDEX(Mapping!$B$29:$B$38,MATCH($B231,Mapping!$A$29:$A$38,0)))</f>
        <v/>
      </c>
      <c r="I231" s="5">
        <f>INDEX(Variables!$C$5:$C$65,MATCH($A231,Variables!$A$5:$A$65,0))</f>
        <v/>
      </c>
      <c r="J231" s="5">
        <f>INDEX(Variables!$E$5:$E$65,MATCH($A231,Variables!$A$5:$A$65,0))</f>
        <v/>
      </c>
      <c r="K231" s="23">
        <f>LOWER(Settings!$C$4)&amp;".mit."&amp;$A231&amp;IF($C231="","","."&amp;$C231&amp;"."&amp;$B231)&amp;IF(INDEX(Variables!$D$5:$D$65,MATCH($A231,Variables!$A$5:$A$65,0))="","","."&amp;INDEX(Variables!$D$5:$D$65,MATCH($A231,Variables!$A$5:$A$65,0)))&amp;"."&amp;K$5</f>
        <v/>
      </c>
      <c r="L231" s="38">
        <f>INDEX(Inputs!$S$5:$S$132,MATCH($B231&amp;"|"&amp;$C231,Inputs!$A$5:$A$132,0))</f>
        <v/>
      </c>
      <c r="M231" s="36">
        <f>L231*(1+$D231)</f>
        <v/>
      </c>
      <c r="N231" s="36">
        <f>M231*(1+$D231)</f>
        <v/>
      </c>
      <c r="O231" s="36">
        <f>N231*(1+$D231)</f>
        <v/>
      </c>
      <c r="P231" s="36">
        <f>O231*(1+$D231)</f>
        <v/>
      </c>
      <c r="Q231" s="36">
        <f>P231*(1+$D231)</f>
        <v/>
      </c>
      <c r="R231" s="36">
        <f>Q231*(1+$D231)</f>
        <v/>
      </c>
      <c r="S231" s="36">
        <f>R231*(1+$D231)</f>
        <v/>
      </c>
      <c r="T231" s="36">
        <f>S231*(1+$D231)</f>
        <v/>
      </c>
      <c r="U231" s="36">
        <f>T231*(1+$D231)</f>
        <v/>
      </c>
      <c r="V231" s="36">
        <f>U231*(1+$D231)</f>
        <v/>
      </c>
      <c r="W231" s="36">
        <f>V231*(1+$D231)</f>
        <v/>
      </c>
      <c r="X231" s="36">
        <f>W231*(1+$D231)</f>
        <v/>
      </c>
      <c r="Y231" s="39">
        <f>PRETAX(X231,$D231)</f>
        <v/>
      </c>
      <c r="Z231" s="23">
        <f>LOWER(Settings!$C$4)&amp;".mit."&amp;$A231&amp;IF($C231="","","."&amp;$C231&amp;"."&amp;$B231)&amp;IF(INDEX(Variables!$D$5:$D$65,MATCH($A231,Variables!$A$5:$A$65,0))="","","."&amp;INDEX(Variables!$D$5:$D$65,MATCH($A231,Variables!$A$5:$A$65,0)))&amp;"."&amp;Z$5</f>
        <v/>
      </c>
      <c r="AA231" s="38">
        <f>INDEX(Inputs!$S$5:$S$132,MATCH($B231&amp;"|"&amp;$C231,Inputs!$A$5:$A$132,0))</f>
        <v/>
      </c>
      <c r="AB231" s="36">
        <f>AA231*(1+$D231)</f>
        <v/>
      </c>
      <c r="AC231" s="36">
        <f>AB231*(1+$D231)</f>
        <v/>
      </c>
      <c r="AD231" s="36">
        <f>AC231*(1+$D231)</f>
        <v/>
      </c>
      <c r="AE231" s="36">
        <f>AD231*(1+$D231)</f>
        <v/>
      </c>
      <c r="AF231" s="36">
        <f>AE231*(1+$D231)</f>
        <v/>
      </c>
      <c r="AG231" s="36">
        <f>AF231*(1+$D231)</f>
        <v/>
      </c>
      <c r="AH231" s="36">
        <f>AG231*(1+$D231)</f>
        <v/>
      </c>
      <c r="AI231" s="36">
        <f>AH231*(1+$D231)</f>
        <v/>
      </c>
      <c r="AJ231" s="36">
        <f>AI231*(1+$D231)</f>
        <v/>
      </c>
      <c r="AK231" s="36">
        <f>AJ231*(1+$D231)</f>
        <v/>
      </c>
      <c r="AL231" s="36">
        <f>AK231*(1+$D231)</f>
        <v/>
      </c>
      <c r="AM231" s="36">
        <f>AL231*(1+$D231)</f>
        <v/>
      </c>
      <c r="AN231" s="39">
        <f>PRETAX(AM231,$D231)</f>
        <v/>
      </c>
    </row>
    <row r="232" hidden="1" outlineLevel="2">
      <c r="A232" s="5" t="inlineStr">
        <is>
          <t>sp</t>
        </is>
      </c>
      <c r="B232" s="5" t="inlineStr">
        <is>
          <t>bio</t>
        </is>
      </c>
      <c r="C232" s="5" t="inlineStr">
        <is>
          <t>ral</t>
        </is>
      </c>
      <c r="D232" s="36">
        <f>INDEX(Inputs!$R$5:$R$132,MATCH($B232&amp;"|"&amp;$C232,Inputs!$A$5:$A$132,0))</f>
        <v/>
      </c>
      <c r="E232" s="37" t="n"/>
      <c r="F232" s="37" t="n"/>
      <c r="G232" s="37" t="n"/>
      <c r="H232" s="5">
        <f>INDEX(Variables!$B$5:$B$65,MATCH($A232,Variables!$A$5:$A$65,0))&amp;IF($C232="",""," | "&amp;INDEX(Mapping!$B$5:$B$25,MATCH($C232,Mapping!$A$5:$A$25,0))&amp;" | "&amp;INDEX(Mapping!$B$29:$B$38,MATCH($B232,Mapping!$A$29:$A$38,0)))</f>
        <v/>
      </c>
      <c r="I232" s="5">
        <f>INDEX(Variables!$C$5:$C$65,MATCH($A232,Variables!$A$5:$A$65,0))</f>
        <v/>
      </c>
      <c r="J232" s="5">
        <f>INDEX(Variables!$E$5:$E$65,MATCH($A232,Variables!$A$5:$A$65,0))</f>
        <v/>
      </c>
      <c r="K232" s="23">
        <f>LOWER(Settings!$C$4)&amp;".mit."&amp;$A232&amp;IF($C232="","","."&amp;$C232&amp;"."&amp;$B232)&amp;IF(INDEX(Variables!$D$5:$D$65,MATCH($A232,Variables!$A$5:$A$65,0))="","","."&amp;INDEX(Variables!$D$5:$D$65,MATCH($A232,Variables!$A$5:$A$65,0)))&amp;"."&amp;K$5</f>
        <v/>
      </c>
      <c r="L232" s="38">
        <f>INDEX(Inputs!$S$5:$S$132,MATCH($B232&amp;"|"&amp;$C232,Inputs!$A$5:$A$132,0))</f>
        <v/>
      </c>
      <c r="M232" s="36">
        <f>L232*(1+$D232)</f>
        <v/>
      </c>
      <c r="N232" s="36">
        <f>M232*(1+$D232)</f>
        <v/>
      </c>
      <c r="O232" s="36">
        <f>N232*(1+$D232)</f>
        <v/>
      </c>
      <c r="P232" s="36">
        <f>O232*(1+$D232)</f>
        <v/>
      </c>
      <c r="Q232" s="36">
        <f>P232*(1+$D232)</f>
        <v/>
      </c>
      <c r="R232" s="36">
        <f>Q232*(1+$D232)</f>
        <v/>
      </c>
      <c r="S232" s="36">
        <f>R232*(1+$D232)</f>
        <v/>
      </c>
      <c r="T232" s="36">
        <f>S232*(1+$D232)</f>
        <v/>
      </c>
      <c r="U232" s="36">
        <f>T232*(1+$D232)</f>
        <v/>
      </c>
      <c r="V232" s="36">
        <f>U232*(1+$D232)</f>
        <v/>
      </c>
      <c r="W232" s="36">
        <f>V232*(1+$D232)</f>
        <v/>
      </c>
      <c r="X232" s="36">
        <f>W232*(1+$D232)</f>
        <v/>
      </c>
      <c r="Y232" s="39">
        <f>PRETAX(X232,$D232)</f>
        <v/>
      </c>
      <c r="Z232" s="23">
        <f>LOWER(Settings!$C$4)&amp;".mit."&amp;$A232&amp;IF($C232="","","."&amp;$C232&amp;"."&amp;$B232)&amp;IF(INDEX(Variables!$D$5:$D$65,MATCH($A232,Variables!$A$5:$A$65,0))="","","."&amp;INDEX(Variables!$D$5:$D$65,MATCH($A232,Variables!$A$5:$A$65,0)))&amp;"."&amp;Z$5</f>
        <v/>
      </c>
      <c r="AA232" s="38">
        <f>INDEX(Inputs!$S$5:$S$132,MATCH($B232&amp;"|"&amp;$C232,Inputs!$A$5:$A$132,0))</f>
        <v/>
      </c>
      <c r="AB232" s="36">
        <f>AA232*(1+$D232)</f>
        <v/>
      </c>
      <c r="AC232" s="36">
        <f>AB232*(1+$D232)</f>
        <v/>
      </c>
      <c r="AD232" s="36">
        <f>AC232*(1+$D232)</f>
        <v/>
      </c>
      <c r="AE232" s="36">
        <f>AD232*(1+$D232)</f>
        <v/>
      </c>
      <c r="AF232" s="36">
        <f>AE232*(1+$D232)</f>
        <v/>
      </c>
      <c r="AG232" s="36">
        <f>AF232*(1+$D232)</f>
        <v/>
      </c>
      <c r="AH232" s="36">
        <f>AG232*(1+$D232)</f>
        <v/>
      </c>
      <c r="AI232" s="36">
        <f>AH232*(1+$D232)</f>
        <v/>
      </c>
      <c r="AJ232" s="36">
        <f>AI232*(1+$D232)</f>
        <v/>
      </c>
      <c r="AK232" s="36">
        <f>AJ232*(1+$D232)</f>
        <v/>
      </c>
      <c r="AL232" s="36">
        <f>AK232*(1+$D232)</f>
        <v/>
      </c>
      <c r="AM232" s="36">
        <f>AL232*(1+$D232)</f>
        <v/>
      </c>
      <c r="AN232" s="39">
        <f>PRETAX(AM232,$D232)</f>
        <v/>
      </c>
    </row>
    <row r="233" hidden="1" outlineLevel="2"/>
    <row r="234" hidden="1" outlineLevel="2">
      <c r="A234" s="5" t="inlineStr">
        <is>
          <t>ctxnew</t>
        </is>
      </c>
      <c r="B234" s="5" t="inlineStr">
        <is>
          <t>coa</t>
        </is>
      </c>
      <c r="C234" s="5" t="inlineStr">
        <is>
          <t>ral</t>
        </is>
      </c>
      <c r="D234" s="36">
        <f>INDEX(Inputs!$U$5:$U$132,MATCH($B234&amp;"|"&amp;$C234,Inputs!$A$5:$A$132,0))</f>
        <v/>
      </c>
      <c r="E234" s="36">
        <f>INDEX(Inputs!$J$5:$J$132,MATCH($B234&amp;"|"&amp;$C234,Inputs!$A$5:$A$132,0))</f>
        <v/>
      </c>
      <c r="F234" s="36">
        <f>INDEX(Inputs!$K$5:$K$132,MATCH($B234&amp;"|"&amp;$C234,Inputs!$A$5:$A$132,0))</f>
        <v/>
      </c>
      <c r="G234" s="37" t="n"/>
      <c r="H234" s="5">
        <f>INDEX(Variables!$B$5:$B$65,MATCH($A234,Variables!$A$5:$A$65,0))&amp;IF($C234="",""," | "&amp;INDEX(Mapping!$B$5:$B$25,MATCH($C234,Mapping!$A$5:$A$25,0))&amp;" | "&amp;INDEX(Mapping!$B$29:$B$38,MATCH($B234,Mapping!$A$29:$A$38,0)))</f>
        <v/>
      </c>
      <c r="I234" s="5">
        <f>INDEX(Variables!$C$5:$C$65,MATCH($A234,Variables!$A$5:$A$65,0))</f>
        <v/>
      </c>
      <c r="J234" s="5">
        <f>INDEX(Variables!$E$5:$E$65,MATCH($A234,Variables!$A$5:$A$65,0))</f>
        <v/>
      </c>
      <c r="K234" s="23">
        <f>LOWER(Settings!$C$4)&amp;".mit."&amp;$A234&amp;IF($C234="","","."&amp;$C234&amp;"."&amp;$B234)&amp;IF(INDEX(Variables!$D$5:$D$65,MATCH($A234,Variables!$A$5:$A$65,0))="","","."&amp;INDEX(Variables!$D$5:$D$65,MATCH($A234,Variables!$A$5:$A$65,0)))&amp;"."&amp;K$5</f>
        <v/>
      </c>
      <c r="L234" s="38">
        <f>L$10*$D234*INDEX(L$18:L$25,$E234)*INDEX(L$27:L$43,$F234)</f>
        <v/>
      </c>
      <c r="M234" s="36">
        <f>M$10*$D234*INDEX(M$18:M$25,$E234)*INDEX(M$27:M$43,$F234)</f>
        <v/>
      </c>
      <c r="N234" s="36">
        <f>N$10*$D234*INDEX(N$18:N$25,$E234)*INDEX(N$27:N$43,$F234)</f>
        <v/>
      </c>
      <c r="O234" s="36">
        <f>O$10*$D234*INDEX(O$18:O$25,$E234)*INDEX(O$27:O$43,$F234)</f>
        <v/>
      </c>
      <c r="P234" s="36">
        <f>P$10*$D234*INDEX(P$18:P$25,$E234)*INDEX(P$27:P$43,$F234)</f>
        <v/>
      </c>
      <c r="Q234" s="36">
        <f>Q$10*$D234*INDEX(Q$18:Q$25,$E234)*INDEX(Q$27:Q$43,$F234)</f>
        <v/>
      </c>
      <c r="R234" s="36">
        <f>R$10*$D234*INDEX(R$18:R$25,$E234)*INDEX(R$27:R$43,$F234)</f>
        <v/>
      </c>
      <c r="S234" s="36">
        <f>S$10*$D234*INDEX(S$18:S$25,$E234)*INDEX(S$27:S$43,$F234)</f>
        <v/>
      </c>
      <c r="T234" s="36">
        <f>T$10*$D234*INDEX(T$18:T$25,$E234)*INDEX(T$27:T$43,$F234)</f>
        <v/>
      </c>
      <c r="U234" s="36">
        <f>U$10*$D234*INDEX(U$18:U$25,$E234)*INDEX(U$27:U$43,$F234)</f>
        <v/>
      </c>
      <c r="V234" s="36">
        <f>V$10*$D234*INDEX(V$18:V$25,$E234)*INDEX(V$27:V$43,$F234)</f>
        <v/>
      </c>
      <c r="W234" s="36">
        <f>W$10*$D234*INDEX(W$18:W$25,$E234)*INDEX(W$27:W$43,$F234)</f>
        <v/>
      </c>
      <c r="X234" s="36">
        <f>X$10*$D234*INDEX(X$18:X$25,$E234)*INDEX(X$27:X$43,$F234)</f>
        <v/>
      </c>
      <c r="Y234" s="36">
        <f>Y$10*$D234*INDEX(Y$18:Y$25,$E234)*INDEX(Y$27:Y$43,$F234)</f>
        <v/>
      </c>
      <c r="Z234" s="23">
        <f>LOWER(Settings!$C$4)&amp;".mit."&amp;$A234&amp;IF($C234="","","."&amp;$C234&amp;"."&amp;$B234)&amp;IF(INDEX(Variables!$D$5:$D$65,MATCH($A234,Variables!$A$5:$A$65,0))="","","."&amp;INDEX(Variables!$D$5:$D$65,MATCH($A234,Variables!$A$5:$A$65,0)))&amp;"."&amp;Z$5</f>
        <v/>
      </c>
      <c r="AA234" s="38">
        <f>AA$10*$D234*INDEX(AA$18:AA$25,$E234)*INDEX(AA$27:AA$43,$F234)</f>
        <v/>
      </c>
      <c r="AB234" s="36">
        <f>AB$10*$D234*INDEX(AB$18:AB$25,$E234)*INDEX(AB$27:AB$43,$F234)</f>
        <v/>
      </c>
      <c r="AC234" s="36">
        <f>AC$10*$D234*INDEX(AC$18:AC$25,$E234)*INDEX(AC$27:AC$43,$F234)</f>
        <v/>
      </c>
      <c r="AD234" s="36">
        <f>AD$10*$D234*INDEX(AD$18:AD$25,$E234)*INDEX(AD$27:AD$43,$F234)</f>
        <v/>
      </c>
      <c r="AE234" s="36">
        <f>AE$10*$D234*INDEX(AE$18:AE$25,$E234)*INDEX(AE$27:AE$43,$F234)</f>
        <v/>
      </c>
      <c r="AF234" s="36">
        <f>AF$10*$D234*INDEX(AF$18:AF$25,$E234)*INDEX(AF$27:AF$43,$F234)</f>
        <v/>
      </c>
      <c r="AG234" s="36">
        <f>AG$10*$D234*INDEX(AG$18:AG$25,$E234)*INDEX(AG$27:AG$43,$F234)</f>
        <v/>
      </c>
      <c r="AH234" s="36">
        <f>AH$10*$D234*INDEX(AH$18:AH$25,$E234)*INDEX(AH$27:AH$43,$F234)</f>
        <v/>
      </c>
      <c r="AI234" s="36">
        <f>AI$10*$D234*INDEX(AI$18:AI$25,$E234)*INDEX(AI$27:AI$43,$F234)</f>
        <v/>
      </c>
      <c r="AJ234" s="36">
        <f>AJ$10*$D234*INDEX(AJ$18:AJ$25,$E234)*INDEX(AJ$27:AJ$43,$F234)</f>
        <v/>
      </c>
      <c r="AK234" s="36">
        <f>AK$10*$D234*INDEX(AK$18:AK$25,$E234)*INDEX(AK$27:AK$43,$F234)</f>
        <v/>
      </c>
      <c r="AL234" s="36">
        <f>AL$10*$D234*INDEX(AL$18:AL$25,$E234)*INDEX(AL$27:AL$43,$F234)</f>
        <v/>
      </c>
      <c r="AM234" s="36">
        <f>AM$10*$D234*INDEX(AM$18:AM$25,$E234)*INDEX(AM$27:AM$43,$F234)</f>
        <v/>
      </c>
      <c r="AN234" s="36">
        <f>AN$10*$D234*INDEX(AN$18:AN$25,$E234)*INDEX(AN$27:AN$43,$F234)</f>
        <v/>
      </c>
    </row>
    <row r="235" hidden="1" outlineLevel="2">
      <c r="A235" s="5" t="inlineStr">
        <is>
          <t>ctxnew</t>
        </is>
      </c>
      <c r="B235" s="5" t="inlineStr">
        <is>
          <t>nga</t>
        </is>
      </c>
      <c r="C235" s="5" t="inlineStr">
        <is>
          <t>ral</t>
        </is>
      </c>
      <c r="D235" s="36">
        <f>INDEX(Inputs!$U$5:$U$132,MATCH($B235&amp;"|"&amp;$C235,Inputs!$A$5:$A$132,0))</f>
        <v/>
      </c>
      <c r="E235" s="36">
        <f>INDEX(Inputs!$J$5:$J$132,MATCH($B235&amp;"|"&amp;$C235,Inputs!$A$5:$A$132,0))</f>
        <v/>
      </c>
      <c r="F235" s="36">
        <f>INDEX(Inputs!$K$5:$K$132,MATCH($B235&amp;"|"&amp;$C235,Inputs!$A$5:$A$132,0))</f>
        <v/>
      </c>
      <c r="G235" s="37" t="n"/>
      <c r="H235" s="5">
        <f>INDEX(Variables!$B$5:$B$65,MATCH($A235,Variables!$A$5:$A$65,0))&amp;IF($C235="",""," | "&amp;INDEX(Mapping!$B$5:$B$25,MATCH($C235,Mapping!$A$5:$A$25,0))&amp;" | "&amp;INDEX(Mapping!$B$29:$B$38,MATCH($B235,Mapping!$A$29:$A$38,0)))</f>
        <v/>
      </c>
      <c r="I235" s="5">
        <f>INDEX(Variables!$C$5:$C$65,MATCH($A235,Variables!$A$5:$A$65,0))</f>
        <v/>
      </c>
      <c r="J235" s="5">
        <f>INDEX(Variables!$E$5:$E$65,MATCH($A235,Variables!$A$5:$A$65,0))</f>
        <v/>
      </c>
      <c r="K235" s="23">
        <f>LOWER(Settings!$C$4)&amp;".mit."&amp;$A235&amp;IF($C235="","","."&amp;$C235&amp;"."&amp;$B235)&amp;IF(INDEX(Variables!$D$5:$D$65,MATCH($A235,Variables!$A$5:$A$65,0))="","","."&amp;INDEX(Variables!$D$5:$D$65,MATCH($A235,Variables!$A$5:$A$65,0)))&amp;"."&amp;K$5</f>
        <v/>
      </c>
      <c r="L235" s="38">
        <f>L$10*$D235*INDEX(L$18:L$25,$E235)*INDEX(L$27:L$43,$F235)</f>
        <v/>
      </c>
      <c r="M235" s="36">
        <f>M$10*$D235*INDEX(M$18:M$25,$E235)*INDEX(M$27:M$43,$F235)</f>
        <v/>
      </c>
      <c r="N235" s="36">
        <f>N$10*$D235*INDEX(N$18:N$25,$E235)*INDEX(N$27:N$43,$F235)</f>
        <v/>
      </c>
      <c r="O235" s="36">
        <f>O$10*$D235*INDEX(O$18:O$25,$E235)*INDEX(O$27:O$43,$F235)</f>
        <v/>
      </c>
      <c r="P235" s="36">
        <f>P$10*$D235*INDEX(P$18:P$25,$E235)*INDEX(P$27:P$43,$F235)</f>
        <v/>
      </c>
      <c r="Q235" s="36">
        <f>Q$10*$D235*INDEX(Q$18:Q$25,$E235)*INDEX(Q$27:Q$43,$F235)</f>
        <v/>
      </c>
      <c r="R235" s="36">
        <f>R$10*$D235*INDEX(R$18:R$25,$E235)*INDEX(R$27:R$43,$F235)</f>
        <v/>
      </c>
      <c r="S235" s="36">
        <f>S$10*$D235*INDEX(S$18:S$25,$E235)*INDEX(S$27:S$43,$F235)</f>
        <v/>
      </c>
      <c r="T235" s="36">
        <f>T$10*$D235*INDEX(T$18:T$25,$E235)*INDEX(T$27:T$43,$F235)</f>
        <v/>
      </c>
      <c r="U235" s="36">
        <f>U$10*$D235*INDEX(U$18:U$25,$E235)*INDEX(U$27:U$43,$F235)</f>
        <v/>
      </c>
      <c r="V235" s="36">
        <f>V$10*$D235*INDEX(V$18:V$25,$E235)*INDEX(V$27:V$43,$F235)</f>
        <v/>
      </c>
      <c r="W235" s="36">
        <f>W$10*$D235*INDEX(W$18:W$25,$E235)*INDEX(W$27:W$43,$F235)</f>
        <v/>
      </c>
      <c r="X235" s="36">
        <f>X$10*$D235*INDEX(X$18:X$25,$E235)*INDEX(X$27:X$43,$F235)</f>
        <v/>
      </c>
      <c r="Y235" s="36">
        <f>Y$10*$D235*INDEX(Y$18:Y$25,$E235)*INDEX(Y$27:Y$43,$F235)</f>
        <v/>
      </c>
      <c r="Z235" s="23">
        <f>LOWER(Settings!$C$4)&amp;".mit."&amp;$A235&amp;IF($C235="","","."&amp;$C235&amp;"."&amp;$B235)&amp;IF(INDEX(Variables!$D$5:$D$65,MATCH($A235,Variables!$A$5:$A$65,0))="","","."&amp;INDEX(Variables!$D$5:$D$65,MATCH($A235,Variables!$A$5:$A$65,0)))&amp;"."&amp;Z$5</f>
        <v/>
      </c>
      <c r="AA235" s="38">
        <f>AA$10*$D235*INDEX(AA$18:AA$25,$E235)*INDEX(AA$27:AA$43,$F235)</f>
        <v/>
      </c>
      <c r="AB235" s="36">
        <f>AB$10*$D235*INDEX(AB$18:AB$25,$E235)*INDEX(AB$27:AB$43,$F235)</f>
        <v/>
      </c>
      <c r="AC235" s="36">
        <f>AC$10*$D235*INDEX(AC$18:AC$25,$E235)*INDEX(AC$27:AC$43,$F235)</f>
        <v/>
      </c>
      <c r="AD235" s="36">
        <f>AD$10*$D235*INDEX(AD$18:AD$25,$E235)*INDEX(AD$27:AD$43,$F235)</f>
        <v/>
      </c>
      <c r="AE235" s="36">
        <f>AE$10*$D235*INDEX(AE$18:AE$25,$E235)*INDEX(AE$27:AE$43,$F235)</f>
        <v/>
      </c>
      <c r="AF235" s="36">
        <f>AF$10*$D235*INDEX(AF$18:AF$25,$E235)*INDEX(AF$27:AF$43,$F235)</f>
        <v/>
      </c>
      <c r="AG235" s="36">
        <f>AG$10*$D235*INDEX(AG$18:AG$25,$E235)*INDEX(AG$27:AG$43,$F235)</f>
        <v/>
      </c>
      <c r="AH235" s="36">
        <f>AH$10*$D235*INDEX(AH$18:AH$25,$E235)*INDEX(AH$27:AH$43,$F235)</f>
        <v/>
      </c>
      <c r="AI235" s="36">
        <f>AI$10*$D235*INDEX(AI$18:AI$25,$E235)*INDEX(AI$27:AI$43,$F235)</f>
        <v/>
      </c>
      <c r="AJ235" s="36">
        <f>AJ$10*$D235*INDEX(AJ$18:AJ$25,$E235)*INDEX(AJ$27:AJ$43,$F235)</f>
        <v/>
      </c>
      <c r="AK235" s="36">
        <f>AK$10*$D235*INDEX(AK$18:AK$25,$E235)*INDEX(AK$27:AK$43,$F235)</f>
        <v/>
      </c>
      <c r="AL235" s="36">
        <f>AL$10*$D235*INDEX(AL$18:AL$25,$E235)*INDEX(AL$27:AL$43,$F235)</f>
        <v/>
      </c>
      <c r="AM235" s="36">
        <f>AM$10*$D235*INDEX(AM$18:AM$25,$E235)*INDEX(AM$27:AM$43,$F235)</f>
        <v/>
      </c>
      <c r="AN235" s="36">
        <f>AN$10*$D235*INDEX(AN$18:AN$25,$E235)*INDEX(AN$27:AN$43,$F235)</f>
        <v/>
      </c>
    </row>
    <row r="236" hidden="1" outlineLevel="2">
      <c r="A236" s="5" t="inlineStr">
        <is>
          <t>ctxnew</t>
        </is>
      </c>
      <c r="B236" s="5" t="inlineStr">
        <is>
          <t>gso</t>
        </is>
      </c>
      <c r="C236" s="5" t="inlineStr">
        <is>
          <t>ral</t>
        </is>
      </c>
      <c r="D236" s="36">
        <f>INDEX(Inputs!$U$5:$U$132,MATCH($B236&amp;"|"&amp;$C236,Inputs!$A$5:$A$132,0))</f>
        <v/>
      </c>
      <c r="E236" s="36">
        <f>INDEX(Inputs!$J$5:$J$132,MATCH($B236&amp;"|"&amp;$C236,Inputs!$A$5:$A$132,0))</f>
        <v/>
      </c>
      <c r="F236" s="36">
        <f>INDEX(Inputs!$K$5:$K$132,MATCH($B236&amp;"|"&amp;$C236,Inputs!$A$5:$A$132,0))</f>
        <v/>
      </c>
      <c r="G236" s="37" t="n"/>
      <c r="H236" s="5">
        <f>INDEX(Variables!$B$5:$B$65,MATCH($A236,Variables!$A$5:$A$65,0))&amp;IF($C236="",""," | "&amp;INDEX(Mapping!$B$5:$B$25,MATCH($C236,Mapping!$A$5:$A$25,0))&amp;" | "&amp;INDEX(Mapping!$B$29:$B$38,MATCH($B236,Mapping!$A$29:$A$38,0)))</f>
        <v/>
      </c>
      <c r="I236" s="5">
        <f>INDEX(Variables!$C$5:$C$65,MATCH($A236,Variables!$A$5:$A$65,0))</f>
        <v/>
      </c>
      <c r="J236" s="5">
        <f>INDEX(Variables!$E$5:$E$65,MATCH($A236,Variables!$A$5:$A$65,0))</f>
        <v/>
      </c>
      <c r="K236" s="23">
        <f>LOWER(Settings!$C$4)&amp;".mit."&amp;$A236&amp;IF($C236="","","."&amp;$C236&amp;"."&amp;$B236)&amp;IF(INDEX(Variables!$D$5:$D$65,MATCH($A236,Variables!$A$5:$A$65,0))="","","."&amp;INDEX(Variables!$D$5:$D$65,MATCH($A236,Variables!$A$5:$A$65,0)))&amp;"."&amp;K$5</f>
        <v/>
      </c>
      <c r="L236" s="38">
        <f>L$10*$D236*INDEX(L$18:L$25,$E236)*INDEX(L$27:L$43,$F236)</f>
        <v/>
      </c>
      <c r="M236" s="36">
        <f>M$10*$D236*INDEX(M$18:M$25,$E236)*INDEX(M$27:M$43,$F236)</f>
        <v/>
      </c>
      <c r="N236" s="36">
        <f>N$10*$D236*INDEX(N$18:N$25,$E236)*INDEX(N$27:N$43,$F236)</f>
        <v/>
      </c>
      <c r="O236" s="36">
        <f>O$10*$D236*INDEX(O$18:O$25,$E236)*INDEX(O$27:O$43,$F236)</f>
        <v/>
      </c>
      <c r="P236" s="36">
        <f>P$10*$D236*INDEX(P$18:P$25,$E236)*INDEX(P$27:P$43,$F236)</f>
        <v/>
      </c>
      <c r="Q236" s="36">
        <f>Q$10*$D236*INDEX(Q$18:Q$25,$E236)*INDEX(Q$27:Q$43,$F236)</f>
        <v/>
      </c>
      <c r="R236" s="36">
        <f>R$10*$D236*INDEX(R$18:R$25,$E236)*INDEX(R$27:R$43,$F236)</f>
        <v/>
      </c>
      <c r="S236" s="36">
        <f>S$10*$D236*INDEX(S$18:S$25,$E236)*INDEX(S$27:S$43,$F236)</f>
        <v/>
      </c>
      <c r="T236" s="36">
        <f>T$10*$D236*INDEX(T$18:T$25,$E236)*INDEX(T$27:T$43,$F236)</f>
        <v/>
      </c>
      <c r="U236" s="36">
        <f>U$10*$D236*INDEX(U$18:U$25,$E236)*INDEX(U$27:U$43,$F236)</f>
        <v/>
      </c>
      <c r="V236" s="36">
        <f>V$10*$D236*INDEX(V$18:V$25,$E236)*INDEX(V$27:V$43,$F236)</f>
        <v/>
      </c>
      <c r="W236" s="36">
        <f>W$10*$D236*INDEX(W$18:W$25,$E236)*INDEX(W$27:W$43,$F236)</f>
        <v/>
      </c>
      <c r="X236" s="36">
        <f>X$10*$D236*INDEX(X$18:X$25,$E236)*INDEX(X$27:X$43,$F236)</f>
        <v/>
      </c>
      <c r="Y236" s="36">
        <f>Y$10*$D236*INDEX(Y$18:Y$25,$E236)*INDEX(Y$27:Y$43,$F236)</f>
        <v/>
      </c>
      <c r="Z236" s="23">
        <f>LOWER(Settings!$C$4)&amp;".mit."&amp;$A236&amp;IF($C236="","","."&amp;$C236&amp;"."&amp;$B236)&amp;IF(INDEX(Variables!$D$5:$D$65,MATCH($A236,Variables!$A$5:$A$65,0))="","","."&amp;INDEX(Variables!$D$5:$D$65,MATCH($A236,Variables!$A$5:$A$65,0)))&amp;"."&amp;Z$5</f>
        <v/>
      </c>
      <c r="AA236" s="38">
        <f>AA$10*$D236*INDEX(AA$18:AA$25,$E236)*INDEX(AA$27:AA$43,$F236)</f>
        <v/>
      </c>
      <c r="AB236" s="36">
        <f>AB$10*$D236*INDEX(AB$18:AB$25,$E236)*INDEX(AB$27:AB$43,$F236)</f>
        <v/>
      </c>
      <c r="AC236" s="36">
        <f>AC$10*$D236*INDEX(AC$18:AC$25,$E236)*INDEX(AC$27:AC$43,$F236)</f>
        <v/>
      </c>
      <c r="AD236" s="36">
        <f>AD$10*$D236*INDEX(AD$18:AD$25,$E236)*INDEX(AD$27:AD$43,$F236)</f>
        <v/>
      </c>
      <c r="AE236" s="36">
        <f>AE$10*$D236*INDEX(AE$18:AE$25,$E236)*INDEX(AE$27:AE$43,$F236)</f>
        <v/>
      </c>
      <c r="AF236" s="36">
        <f>AF$10*$D236*INDEX(AF$18:AF$25,$E236)*INDEX(AF$27:AF$43,$F236)</f>
        <v/>
      </c>
      <c r="AG236" s="36">
        <f>AG$10*$D236*INDEX(AG$18:AG$25,$E236)*INDEX(AG$27:AG$43,$F236)</f>
        <v/>
      </c>
      <c r="AH236" s="36">
        <f>AH$10*$D236*INDEX(AH$18:AH$25,$E236)*INDEX(AH$27:AH$43,$F236)</f>
        <v/>
      </c>
      <c r="AI236" s="36">
        <f>AI$10*$D236*INDEX(AI$18:AI$25,$E236)*INDEX(AI$27:AI$43,$F236)</f>
        <v/>
      </c>
      <c r="AJ236" s="36">
        <f>AJ$10*$D236*INDEX(AJ$18:AJ$25,$E236)*INDEX(AJ$27:AJ$43,$F236)</f>
        <v/>
      </c>
      <c r="AK236" s="36">
        <f>AK$10*$D236*INDEX(AK$18:AK$25,$E236)*INDEX(AK$27:AK$43,$F236)</f>
        <v/>
      </c>
      <c r="AL236" s="36">
        <f>AL$10*$D236*INDEX(AL$18:AL$25,$E236)*INDEX(AL$27:AL$43,$F236)</f>
        <v/>
      </c>
      <c r="AM236" s="36">
        <f>AM$10*$D236*INDEX(AM$18:AM$25,$E236)*INDEX(AM$27:AM$43,$F236)</f>
        <v/>
      </c>
      <c r="AN236" s="36">
        <f>AN$10*$D236*INDEX(AN$18:AN$25,$E236)*INDEX(AN$27:AN$43,$F236)</f>
        <v/>
      </c>
    </row>
    <row r="237" hidden="1" outlineLevel="2">
      <c r="A237" s="5" t="inlineStr">
        <is>
          <t>ctxnew</t>
        </is>
      </c>
      <c r="B237" s="5" t="inlineStr">
        <is>
          <t>die</t>
        </is>
      </c>
      <c r="C237" s="5" t="inlineStr">
        <is>
          <t>ral</t>
        </is>
      </c>
      <c r="D237" s="36">
        <f>INDEX(Inputs!$U$5:$U$132,MATCH($B237&amp;"|"&amp;$C237,Inputs!$A$5:$A$132,0))</f>
        <v/>
      </c>
      <c r="E237" s="36">
        <f>INDEX(Inputs!$J$5:$J$132,MATCH($B237&amp;"|"&amp;$C237,Inputs!$A$5:$A$132,0))</f>
        <v/>
      </c>
      <c r="F237" s="36">
        <f>INDEX(Inputs!$K$5:$K$132,MATCH($B237&amp;"|"&amp;$C237,Inputs!$A$5:$A$132,0))</f>
        <v/>
      </c>
      <c r="G237" s="37" t="n"/>
      <c r="H237" s="5">
        <f>INDEX(Variables!$B$5:$B$65,MATCH($A237,Variables!$A$5:$A$65,0))&amp;IF($C237="",""," | "&amp;INDEX(Mapping!$B$5:$B$25,MATCH($C237,Mapping!$A$5:$A$25,0))&amp;" | "&amp;INDEX(Mapping!$B$29:$B$38,MATCH($B237,Mapping!$A$29:$A$38,0)))</f>
        <v/>
      </c>
      <c r="I237" s="5">
        <f>INDEX(Variables!$C$5:$C$65,MATCH($A237,Variables!$A$5:$A$65,0))</f>
        <v/>
      </c>
      <c r="J237" s="5">
        <f>INDEX(Variables!$E$5:$E$65,MATCH($A237,Variables!$A$5:$A$65,0))</f>
        <v/>
      </c>
      <c r="K237" s="23">
        <f>LOWER(Settings!$C$4)&amp;".mit."&amp;$A237&amp;IF($C237="","","."&amp;$C237&amp;"."&amp;$B237)&amp;IF(INDEX(Variables!$D$5:$D$65,MATCH($A237,Variables!$A$5:$A$65,0))="","","."&amp;INDEX(Variables!$D$5:$D$65,MATCH($A237,Variables!$A$5:$A$65,0)))&amp;"."&amp;K$5</f>
        <v/>
      </c>
      <c r="L237" s="38">
        <f>L$10*$D237*INDEX(L$18:L$25,$E237)*INDEX(L$27:L$43,$F237)</f>
        <v/>
      </c>
      <c r="M237" s="36">
        <f>M$10*$D237*INDEX(M$18:M$25,$E237)*INDEX(M$27:M$43,$F237)</f>
        <v/>
      </c>
      <c r="N237" s="36">
        <f>N$10*$D237*INDEX(N$18:N$25,$E237)*INDEX(N$27:N$43,$F237)</f>
        <v/>
      </c>
      <c r="O237" s="36">
        <f>O$10*$D237*INDEX(O$18:O$25,$E237)*INDEX(O$27:O$43,$F237)</f>
        <v/>
      </c>
      <c r="P237" s="36">
        <f>P$10*$D237*INDEX(P$18:P$25,$E237)*INDEX(P$27:P$43,$F237)</f>
        <v/>
      </c>
      <c r="Q237" s="36">
        <f>Q$10*$D237*INDEX(Q$18:Q$25,$E237)*INDEX(Q$27:Q$43,$F237)</f>
        <v/>
      </c>
      <c r="R237" s="36">
        <f>R$10*$D237*INDEX(R$18:R$25,$E237)*INDEX(R$27:R$43,$F237)</f>
        <v/>
      </c>
      <c r="S237" s="36">
        <f>S$10*$D237*INDEX(S$18:S$25,$E237)*INDEX(S$27:S$43,$F237)</f>
        <v/>
      </c>
      <c r="T237" s="36">
        <f>T$10*$D237*INDEX(T$18:T$25,$E237)*INDEX(T$27:T$43,$F237)</f>
        <v/>
      </c>
      <c r="U237" s="36">
        <f>U$10*$D237*INDEX(U$18:U$25,$E237)*INDEX(U$27:U$43,$F237)</f>
        <v/>
      </c>
      <c r="V237" s="36">
        <f>V$10*$D237*INDEX(V$18:V$25,$E237)*INDEX(V$27:V$43,$F237)</f>
        <v/>
      </c>
      <c r="W237" s="36">
        <f>W$10*$D237*INDEX(W$18:W$25,$E237)*INDEX(W$27:W$43,$F237)</f>
        <v/>
      </c>
      <c r="X237" s="36">
        <f>X$10*$D237*INDEX(X$18:X$25,$E237)*INDEX(X$27:X$43,$F237)</f>
        <v/>
      </c>
      <c r="Y237" s="36">
        <f>Y$10*$D237*INDEX(Y$18:Y$25,$E237)*INDEX(Y$27:Y$43,$F237)</f>
        <v/>
      </c>
      <c r="Z237" s="23">
        <f>LOWER(Settings!$C$4)&amp;".mit."&amp;$A237&amp;IF($C237="","","."&amp;$C237&amp;"."&amp;$B237)&amp;IF(INDEX(Variables!$D$5:$D$65,MATCH($A237,Variables!$A$5:$A$65,0))="","","."&amp;INDEX(Variables!$D$5:$D$65,MATCH($A237,Variables!$A$5:$A$65,0)))&amp;"."&amp;Z$5</f>
        <v/>
      </c>
      <c r="AA237" s="38">
        <f>AA$10*$D237*INDEX(AA$18:AA$25,$E237)*INDEX(AA$27:AA$43,$F237)</f>
        <v/>
      </c>
      <c r="AB237" s="36">
        <f>AB$10*$D237*INDEX(AB$18:AB$25,$E237)*INDEX(AB$27:AB$43,$F237)</f>
        <v/>
      </c>
      <c r="AC237" s="36">
        <f>AC$10*$D237*INDEX(AC$18:AC$25,$E237)*INDEX(AC$27:AC$43,$F237)</f>
        <v/>
      </c>
      <c r="AD237" s="36">
        <f>AD$10*$D237*INDEX(AD$18:AD$25,$E237)*INDEX(AD$27:AD$43,$F237)</f>
        <v/>
      </c>
      <c r="AE237" s="36">
        <f>AE$10*$D237*INDEX(AE$18:AE$25,$E237)*INDEX(AE$27:AE$43,$F237)</f>
        <v/>
      </c>
      <c r="AF237" s="36">
        <f>AF$10*$D237*INDEX(AF$18:AF$25,$E237)*INDEX(AF$27:AF$43,$F237)</f>
        <v/>
      </c>
      <c r="AG237" s="36">
        <f>AG$10*$D237*INDEX(AG$18:AG$25,$E237)*INDEX(AG$27:AG$43,$F237)</f>
        <v/>
      </c>
      <c r="AH237" s="36">
        <f>AH$10*$D237*INDEX(AH$18:AH$25,$E237)*INDEX(AH$27:AH$43,$F237)</f>
        <v/>
      </c>
      <c r="AI237" s="36">
        <f>AI$10*$D237*INDEX(AI$18:AI$25,$E237)*INDEX(AI$27:AI$43,$F237)</f>
        <v/>
      </c>
      <c r="AJ237" s="36">
        <f>AJ$10*$D237*INDEX(AJ$18:AJ$25,$E237)*INDEX(AJ$27:AJ$43,$F237)</f>
        <v/>
      </c>
      <c r="AK237" s="36">
        <f>AK$10*$D237*INDEX(AK$18:AK$25,$E237)*INDEX(AK$27:AK$43,$F237)</f>
        <v/>
      </c>
      <c r="AL237" s="36">
        <f>AL$10*$D237*INDEX(AL$18:AL$25,$E237)*INDEX(AL$27:AL$43,$F237)</f>
        <v/>
      </c>
      <c r="AM237" s="36">
        <f>AM$10*$D237*INDEX(AM$18:AM$25,$E237)*INDEX(AM$27:AM$43,$F237)</f>
        <v/>
      </c>
      <c r="AN237" s="36">
        <f>AN$10*$D237*INDEX(AN$18:AN$25,$E237)*INDEX(AN$27:AN$43,$F237)</f>
        <v/>
      </c>
    </row>
    <row r="238" hidden="1" outlineLevel="2">
      <c r="A238" s="5" t="inlineStr">
        <is>
          <t>ctxnew</t>
        </is>
      </c>
      <c r="B238" s="5" t="inlineStr">
        <is>
          <t>lpg</t>
        </is>
      </c>
      <c r="C238" s="5" t="inlineStr">
        <is>
          <t>ral</t>
        </is>
      </c>
      <c r="D238" s="36">
        <f>INDEX(Inputs!$U$5:$U$132,MATCH($B238&amp;"|"&amp;$C238,Inputs!$A$5:$A$132,0))</f>
        <v/>
      </c>
      <c r="E238" s="36">
        <f>INDEX(Inputs!$J$5:$J$132,MATCH($B238&amp;"|"&amp;$C238,Inputs!$A$5:$A$132,0))</f>
        <v/>
      </c>
      <c r="F238" s="36">
        <f>INDEX(Inputs!$K$5:$K$132,MATCH($B238&amp;"|"&amp;$C238,Inputs!$A$5:$A$132,0))</f>
        <v/>
      </c>
      <c r="G238" s="37" t="n"/>
      <c r="H238" s="5">
        <f>INDEX(Variables!$B$5:$B$65,MATCH($A238,Variables!$A$5:$A$65,0))&amp;IF($C238="",""," | "&amp;INDEX(Mapping!$B$5:$B$25,MATCH($C238,Mapping!$A$5:$A$25,0))&amp;" | "&amp;INDEX(Mapping!$B$29:$B$38,MATCH($B238,Mapping!$A$29:$A$38,0)))</f>
        <v/>
      </c>
      <c r="I238" s="5">
        <f>INDEX(Variables!$C$5:$C$65,MATCH($A238,Variables!$A$5:$A$65,0))</f>
        <v/>
      </c>
      <c r="J238" s="5">
        <f>INDEX(Variables!$E$5:$E$65,MATCH($A238,Variables!$A$5:$A$65,0))</f>
        <v/>
      </c>
      <c r="K238" s="23">
        <f>LOWER(Settings!$C$4)&amp;".mit."&amp;$A238&amp;IF($C238="","","."&amp;$C238&amp;"."&amp;$B238)&amp;IF(INDEX(Variables!$D$5:$D$65,MATCH($A238,Variables!$A$5:$A$65,0))="","","."&amp;INDEX(Variables!$D$5:$D$65,MATCH($A238,Variables!$A$5:$A$65,0)))&amp;"."&amp;K$5</f>
        <v/>
      </c>
      <c r="L238" s="38">
        <f>L$10*$D238*INDEX(L$18:L$25,$E238)*INDEX(L$27:L$43,$F238)</f>
        <v/>
      </c>
      <c r="M238" s="36">
        <f>M$10*$D238*INDEX(M$18:M$25,$E238)*INDEX(M$27:M$43,$F238)</f>
        <v/>
      </c>
      <c r="N238" s="36">
        <f>N$10*$D238*INDEX(N$18:N$25,$E238)*INDEX(N$27:N$43,$F238)</f>
        <v/>
      </c>
      <c r="O238" s="36">
        <f>O$10*$D238*INDEX(O$18:O$25,$E238)*INDEX(O$27:O$43,$F238)</f>
        <v/>
      </c>
      <c r="P238" s="36">
        <f>P$10*$D238*INDEX(P$18:P$25,$E238)*INDEX(P$27:P$43,$F238)</f>
        <v/>
      </c>
      <c r="Q238" s="36">
        <f>Q$10*$D238*INDEX(Q$18:Q$25,$E238)*INDEX(Q$27:Q$43,$F238)</f>
        <v/>
      </c>
      <c r="R238" s="36">
        <f>R$10*$D238*INDEX(R$18:R$25,$E238)*INDEX(R$27:R$43,$F238)</f>
        <v/>
      </c>
      <c r="S238" s="36">
        <f>S$10*$D238*INDEX(S$18:S$25,$E238)*INDEX(S$27:S$43,$F238)</f>
        <v/>
      </c>
      <c r="T238" s="36">
        <f>T$10*$D238*INDEX(T$18:T$25,$E238)*INDEX(T$27:T$43,$F238)</f>
        <v/>
      </c>
      <c r="U238" s="36">
        <f>U$10*$D238*INDEX(U$18:U$25,$E238)*INDEX(U$27:U$43,$F238)</f>
        <v/>
      </c>
      <c r="V238" s="36">
        <f>V$10*$D238*INDEX(V$18:V$25,$E238)*INDEX(V$27:V$43,$F238)</f>
        <v/>
      </c>
      <c r="W238" s="36">
        <f>W$10*$D238*INDEX(W$18:W$25,$E238)*INDEX(W$27:W$43,$F238)</f>
        <v/>
      </c>
      <c r="X238" s="36">
        <f>X$10*$D238*INDEX(X$18:X$25,$E238)*INDEX(X$27:X$43,$F238)</f>
        <v/>
      </c>
      <c r="Y238" s="36">
        <f>Y$10*$D238*INDEX(Y$18:Y$25,$E238)*INDEX(Y$27:Y$43,$F238)</f>
        <v/>
      </c>
      <c r="Z238" s="23">
        <f>LOWER(Settings!$C$4)&amp;".mit."&amp;$A238&amp;IF($C238="","","."&amp;$C238&amp;"."&amp;$B238)&amp;IF(INDEX(Variables!$D$5:$D$65,MATCH($A238,Variables!$A$5:$A$65,0))="","","."&amp;INDEX(Variables!$D$5:$D$65,MATCH($A238,Variables!$A$5:$A$65,0)))&amp;"."&amp;Z$5</f>
        <v/>
      </c>
      <c r="AA238" s="38">
        <f>AA$10*$D238*INDEX(AA$18:AA$25,$E238)*INDEX(AA$27:AA$43,$F238)</f>
        <v/>
      </c>
      <c r="AB238" s="36">
        <f>AB$10*$D238*INDEX(AB$18:AB$25,$E238)*INDEX(AB$27:AB$43,$F238)</f>
        <v/>
      </c>
      <c r="AC238" s="36">
        <f>AC$10*$D238*INDEX(AC$18:AC$25,$E238)*INDEX(AC$27:AC$43,$F238)</f>
        <v/>
      </c>
      <c r="AD238" s="36">
        <f>AD$10*$D238*INDEX(AD$18:AD$25,$E238)*INDEX(AD$27:AD$43,$F238)</f>
        <v/>
      </c>
      <c r="AE238" s="36">
        <f>AE$10*$D238*INDEX(AE$18:AE$25,$E238)*INDEX(AE$27:AE$43,$F238)</f>
        <v/>
      </c>
      <c r="AF238" s="36">
        <f>AF$10*$D238*INDEX(AF$18:AF$25,$E238)*INDEX(AF$27:AF$43,$F238)</f>
        <v/>
      </c>
      <c r="AG238" s="36">
        <f>AG$10*$D238*INDEX(AG$18:AG$25,$E238)*INDEX(AG$27:AG$43,$F238)</f>
        <v/>
      </c>
      <c r="AH238" s="36">
        <f>AH$10*$D238*INDEX(AH$18:AH$25,$E238)*INDEX(AH$27:AH$43,$F238)</f>
        <v/>
      </c>
      <c r="AI238" s="36">
        <f>AI$10*$D238*INDEX(AI$18:AI$25,$E238)*INDEX(AI$27:AI$43,$F238)</f>
        <v/>
      </c>
      <c r="AJ238" s="36">
        <f>AJ$10*$D238*INDEX(AJ$18:AJ$25,$E238)*INDEX(AJ$27:AJ$43,$F238)</f>
        <v/>
      </c>
      <c r="AK238" s="36">
        <f>AK$10*$D238*INDEX(AK$18:AK$25,$E238)*INDEX(AK$27:AK$43,$F238)</f>
        <v/>
      </c>
      <c r="AL238" s="36">
        <f>AL$10*$D238*INDEX(AL$18:AL$25,$E238)*INDEX(AL$27:AL$43,$F238)</f>
        <v/>
      </c>
      <c r="AM238" s="36">
        <f>AM$10*$D238*INDEX(AM$18:AM$25,$E238)*INDEX(AM$27:AM$43,$F238)</f>
        <v/>
      </c>
      <c r="AN238" s="36">
        <f>AN$10*$D238*INDEX(AN$18:AN$25,$E238)*INDEX(AN$27:AN$43,$F238)</f>
        <v/>
      </c>
    </row>
    <row r="239" hidden="1" outlineLevel="2">
      <c r="A239" s="5" t="inlineStr">
        <is>
          <t>ctxnew</t>
        </is>
      </c>
      <c r="B239" s="5" t="inlineStr">
        <is>
          <t>ker</t>
        </is>
      </c>
      <c r="C239" s="5" t="inlineStr">
        <is>
          <t>ral</t>
        </is>
      </c>
      <c r="D239" s="36">
        <f>INDEX(Inputs!$U$5:$U$132,MATCH($B239&amp;"|"&amp;$C239,Inputs!$A$5:$A$132,0))</f>
        <v/>
      </c>
      <c r="E239" s="36">
        <f>INDEX(Inputs!$J$5:$J$132,MATCH($B239&amp;"|"&amp;$C239,Inputs!$A$5:$A$132,0))</f>
        <v/>
      </c>
      <c r="F239" s="36">
        <f>INDEX(Inputs!$K$5:$K$132,MATCH($B239&amp;"|"&amp;$C239,Inputs!$A$5:$A$132,0))</f>
        <v/>
      </c>
      <c r="G239" s="37" t="n"/>
      <c r="H239" s="5">
        <f>INDEX(Variables!$B$5:$B$65,MATCH($A239,Variables!$A$5:$A$65,0))&amp;IF($C239="",""," | "&amp;INDEX(Mapping!$B$5:$B$25,MATCH($C239,Mapping!$A$5:$A$25,0))&amp;" | "&amp;INDEX(Mapping!$B$29:$B$38,MATCH($B239,Mapping!$A$29:$A$38,0)))</f>
        <v/>
      </c>
      <c r="I239" s="5">
        <f>INDEX(Variables!$C$5:$C$65,MATCH($A239,Variables!$A$5:$A$65,0))</f>
        <v/>
      </c>
      <c r="J239" s="5">
        <f>INDEX(Variables!$E$5:$E$65,MATCH($A239,Variables!$A$5:$A$65,0))</f>
        <v/>
      </c>
      <c r="K239" s="23">
        <f>LOWER(Settings!$C$4)&amp;".mit."&amp;$A239&amp;IF($C239="","","."&amp;$C239&amp;"."&amp;$B239)&amp;IF(INDEX(Variables!$D$5:$D$65,MATCH($A239,Variables!$A$5:$A$65,0))="","","."&amp;INDEX(Variables!$D$5:$D$65,MATCH($A239,Variables!$A$5:$A$65,0)))&amp;"."&amp;K$5</f>
        <v/>
      </c>
      <c r="L239" s="38">
        <f>L$10*$D239*INDEX(L$18:L$25,$E239)*INDEX(L$27:L$43,$F239)</f>
        <v/>
      </c>
      <c r="M239" s="36">
        <f>M$10*$D239*INDEX(M$18:M$25,$E239)*INDEX(M$27:M$43,$F239)</f>
        <v/>
      </c>
      <c r="N239" s="36">
        <f>N$10*$D239*INDEX(N$18:N$25,$E239)*INDEX(N$27:N$43,$F239)</f>
        <v/>
      </c>
      <c r="O239" s="36">
        <f>O$10*$D239*INDEX(O$18:O$25,$E239)*INDEX(O$27:O$43,$F239)</f>
        <v/>
      </c>
      <c r="P239" s="36">
        <f>P$10*$D239*INDEX(P$18:P$25,$E239)*INDEX(P$27:P$43,$F239)</f>
        <v/>
      </c>
      <c r="Q239" s="36">
        <f>Q$10*$D239*INDEX(Q$18:Q$25,$E239)*INDEX(Q$27:Q$43,$F239)</f>
        <v/>
      </c>
      <c r="R239" s="36">
        <f>R$10*$D239*INDEX(R$18:R$25,$E239)*INDEX(R$27:R$43,$F239)</f>
        <v/>
      </c>
      <c r="S239" s="36">
        <f>S$10*$D239*INDEX(S$18:S$25,$E239)*INDEX(S$27:S$43,$F239)</f>
        <v/>
      </c>
      <c r="T239" s="36">
        <f>T$10*$D239*INDEX(T$18:T$25,$E239)*INDEX(T$27:T$43,$F239)</f>
        <v/>
      </c>
      <c r="U239" s="36">
        <f>U$10*$D239*INDEX(U$18:U$25,$E239)*INDEX(U$27:U$43,$F239)</f>
        <v/>
      </c>
      <c r="V239" s="36">
        <f>V$10*$D239*INDEX(V$18:V$25,$E239)*INDEX(V$27:V$43,$F239)</f>
        <v/>
      </c>
      <c r="W239" s="36">
        <f>W$10*$D239*INDEX(W$18:W$25,$E239)*INDEX(W$27:W$43,$F239)</f>
        <v/>
      </c>
      <c r="X239" s="36">
        <f>X$10*$D239*INDEX(X$18:X$25,$E239)*INDEX(X$27:X$43,$F239)</f>
        <v/>
      </c>
      <c r="Y239" s="36">
        <f>Y$10*$D239*INDEX(Y$18:Y$25,$E239)*INDEX(Y$27:Y$43,$F239)</f>
        <v/>
      </c>
      <c r="Z239" s="23">
        <f>LOWER(Settings!$C$4)&amp;".mit."&amp;$A239&amp;IF($C239="","","."&amp;$C239&amp;"."&amp;$B239)&amp;IF(INDEX(Variables!$D$5:$D$65,MATCH($A239,Variables!$A$5:$A$65,0))="","","."&amp;INDEX(Variables!$D$5:$D$65,MATCH($A239,Variables!$A$5:$A$65,0)))&amp;"."&amp;Z$5</f>
        <v/>
      </c>
      <c r="AA239" s="38">
        <f>AA$10*$D239*INDEX(AA$18:AA$25,$E239)*INDEX(AA$27:AA$43,$F239)</f>
        <v/>
      </c>
      <c r="AB239" s="36">
        <f>AB$10*$D239*INDEX(AB$18:AB$25,$E239)*INDEX(AB$27:AB$43,$F239)</f>
        <v/>
      </c>
      <c r="AC239" s="36">
        <f>AC$10*$D239*INDEX(AC$18:AC$25,$E239)*INDEX(AC$27:AC$43,$F239)</f>
        <v/>
      </c>
      <c r="AD239" s="36">
        <f>AD$10*$D239*INDEX(AD$18:AD$25,$E239)*INDEX(AD$27:AD$43,$F239)</f>
        <v/>
      </c>
      <c r="AE239" s="36">
        <f>AE$10*$D239*INDEX(AE$18:AE$25,$E239)*INDEX(AE$27:AE$43,$F239)</f>
        <v/>
      </c>
      <c r="AF239" s="36">
        <f>AF$10*$D239*INDEX(AF$18:AF$25,$E239)*INDEX(AF$27:AF$43,$F239)</f>
        <v/>
      </c>
      <c r="AG239" s="36">
        <f>AG$10*$D239*INDEX(AG$18:AG$25,$E239)*INDEX(AG$27:AG$43,$F239)</f>
        <v/>
      </c>
      <c r="AH239" s="36">
        <f>AH$10*$D239*INDEX(AH$18:AH$25,$E239)*INDEX(AH$27:AH$43,$F239)</f>
        <v/>
      </c>
      <c r="AI239" s="36">
        <f>AI$10*$D239*INDEX(AI$18:AI$25,$E239)*INDEX(AI$27:AI$43,$F239)</f>
        <v/>
      </c>
      <c r="AJ239" s="36">
        <f>AJ$10*$D239*INDEX(AJ$18:AJ$25,$E239)*INDEX(AJ$27:AJ$43,$F239)</f>
        <v/>
      </c>
      <c r="AK239" s="36">
        <f>AK$10*$D239*INDEX(AK$18:AK$25,$E239)*INDEX(AK$27:AK$43,$F239)</f>
        <v/>
      </c>
      <c r="AL239" s="36">
        <f>AL$10*$D239*INDEX(AL$18:AL$25,$E239)*INDEX(AL$27:AL$43,$F239)</f>
        <v/>
      </c>
      <c r="AM239" s="36">
        <f>AM$10*$D239*INDEX(AM$18:AM$25,$E239)*INDEX(AM$27:AM$43,$F239)</f>
        <v/>
      </c>
      <c r="AN239" s="36">
        <f>AN$10*$D239*INDEX(AN$18:AN$25,$E239)*INDEX(AN$27:AN$43,$F239)</f>
        <v/>
      </c>
    </row>
    <row r="240" hidden="1" outlineLevel="2">
      <c r="A240" s="5" t="inlineStr">
        <is>
          <t>ctxnew</t>
        </is>
      </c>
      <c r="B240" s="5" t="inlineStr">
        <is>
          <t>oop</t>
        </is>
      </c>
      <c r="C240" s="5" t="inlineStr">
        <is>
          <t>ral</t>
        </is>
      </c>
      <c r="D240" s="36">
        <f>INDEX(Inputs!$U$5:$U$132,MATCH($B240&amp;"|"&amp;$C240,Inputs!$A$5:$A$132,0))</f>
        <v/>
      </c>
      <c r="E240" s="36">
        <f>INDEX(Inputs!$J$5:$J$132,MATCH($B240&amp;"|"&amp;$C240,Inputs!$A$5:$A$132,0))</f>
        <v/>
      </c>
      <c r="F240" s="36">
        <f>INDEX(Inputs!$K$5:$K$132,MATCH($B240&amp;"|"&amp;$C240,Inputs!$A$5:$A$132,0))</f>
        <v/>
      </c>
      <c r="G240" s="37" t="n"/>
      <c r="H240" s="5">
        <f>INDEX(Variables!$B$5:$B$65,MATCH($A240,Variables!$A$5:$A$65,0))&amp;IF($C240="",""," | "&amp;INDEX(Mapping!$B$5:$B$25,MATCH($C240,Mapping!$A$5:$A$25,0))&amp;" | "&amp;INDEX(Mapping!$B$29:$B$38,MATCH($B240,Mapping!$A$29:$A$38,0)))</f>
        <v/>
      </c>
      <c r="I240" s="5">
        <f>INDEX(Variables!$C$5:$C$65,MATCH($A240,Variables!$A$5:$A$65,0))</f>
        <v/>
      </c>
      <c r="J240" s="5">
        <f>INDEX(Variables!$E$5:$E$65,MATCH($A240,Variables!$A$5:$A$65,0))</f>
        <v/>
      </c>
      <c r="K240" s="23">
        <f>LOWER(Settings!$C$4)&amp;".mit."&amp;$A240&amp;IF($C240="","","."&amp;$C240&amp;"."&amp;$B240)&amp;IF(INDEX(Variables!$D$5:$D$65,MATCH($A240,Variables!$A$5:$A$65,0))="","","."&amp;INDEX(Variables!$D$5:$D$65,MATCH($A240,Variables!$A$5:$A$65,0)))&amp;"."&amp;K$5</f>
        <v/>
      </c>
      <c r="L240" s="38">
        <f>L$10*$D240*INDEX(L$18:L$25,$E240)*INDEX(L$27:L$43,$F240)</f>
        <v/>
      </c>
      <c r="M240" s="36">
        <f>M$10*$D240*INDEX(M$18:M$25,$E240)*INDEX(M$27:M$43,$F240)</f>
        <v/>
      </c>
      <c r="N240" s="36">
        <f>N$10*$D240*INDEX(N$18:N$25,$E240)*INDEX(N$27:N$43,$F240)</f>
        <v/>
      </c>
      <c r="O240" s="36">
        <f>O$10*$D240*INDEX(O$18:O$25,$E240)*INDEX(O$27:O$43,$F240)</f>
        <v/>
      </c>
      <c r="P240" s="36">
        <f>P$10*$D240*INDEX(P$18:P$25,$E240)*INDEX(P$27:P$43,$F240)</f>
        <v/>
      </c>
      <c r="Q240" s="36">
        <f>Q$10*$D240*INDEX(Q$18:Q$25,$E240)*INDEX(Q$27:Q$43,$F240)</f>
        <v/>
      </c>
      <c r="R240" s="36">
        <f>R$10*$D240*INDEX(R$18:R$25,$E240)*INDEX(R$27:R$43,$F240)</f>
        <v/>
      </c>
      <c r="S240" s="36">
        <f>S$10*$D240*INDEX(S$18:S$25,$E240)*INDEX(S$27:S$43,$F240)</f>
        <v/>
      </c>
      <c r="T240" s="36">
        <f>T$10*$D240*INDEX(T$18:T$25,$E240)*INDEX(T$27:T$43,$F240)</f>
        <v/>
      </c>
      <c r="U240" s="36">
        <f>U$10*$D240*INDEX(U$18:U$25,$E240)*INDEX(U$27:U$43,$F240)</f>
        <v/>
      </c>
      <c r="V240" s="36">
        <f>V$10*$D240*INDEX(V$18:V$25,$E240)*INDEX(V$27:V$43,$F240)</f>
        <v/>
      </c>
      <c r="W240" s="36">
        <f>W$10*$D240*INDEX(W$18:W$25,$E240)*INDEX(W$27:W$43,$F240)</f>
        <v/>
      </c>
      <c r="X240" s="36">
        <f>X$10*$D240*INDEX(X$18:X$25,$E240)*INDEX(X$27:X$43,$F240)</f>
        <v/>
      </c>
      <c r="Y240" s="36">
        <f>Y$10*$D240*INDEX(Y$18:Y$25,$E240)*INDEX(Y$27:Y$43,$F240)</f>
        <v/>
      </c>
      <c r="Z240" s="23">
        <f>LOWER(Settings!$C$4)&amp;".mit."&amp;$A240&amp;IF($C240="","","."&amp;$C240&amp;"."&amp;$B240)&amp;IF(INDEX(Variables!$D$5:$D$65,MATCH($A240,Variables!$A$5:$A$65,0))="","","."&amp;INDEX(Variables!$D$5:$D$65,MATCH($A240,Variables!$A$5:$A$65,0)))&amp;"."&amp;Z$5</f>
        <v/>
      </c>
      <c r="AA240" s="38">
        <f>AA$10*$D240*INDEX(AA$18:AA$25,$E240)*INDEX(AA$27:AA$43,$F240)</f>
        <v/>
      </c>
      <c r="AB240" s="36">
        <f>AB$10*$D240*INDEX(AB$18:AB$25,$E240)*INDEX(AB$27:AB$43,$F240)</f>
        <v/>
      </c>
      <c r="AC240" s="36">
        <f>AC$10*$D240*INDEX(AC$18:AC$25,$E240)*INDEX(AC$27:AC$43,$F240)</f>
        <v/>
      </c>
      <c r="AD240" s="36">
        <f>AD$10*$D240*INDEX(AD$18:AD$25,$E240)*INDEX(AD$27:AD$43,$F240)</f>
        <v/>
      </c>
      <c r="AE240" s="36">
        <f>AE$10*$D240*INDEX(AE$18:AE$25,$E240)*INDEX(AE$27:AE$43,$F240)</f>
        <v/>
      </c>
      <c r="AF240" s="36">
        <f>AF$10*$D240*INDEX(AF$18:AF$25,$E240)*INDEX(AF$27:AF$43,$F240)</f>
        <v/>
      </c>
      <c r="AG240" s="36">
        <f>AG$10*$D240*INDEX(AG$18:AG$25,$E240)*INDEX(AG$27:AG$43,$F240)</f>
        <v/>
      </c>
      <c r="AH240" s="36">
        <f>AH$10*$D240*INDEX(AH$18:AH$25,$E240)*INDEX(AH$27:AH$43,$F240)</f>
        <v/>
      </c>
      <c r="AI240" s="36">
        <f>AI$10*$D240*INDEX(AI$18:AI$25,$E240)*INDEX(AI$27:AI$43,$F240)</f>
        <v/>
      </c>
      <c r="AJ240" s="36">
        <f>AJ$10*$D240*INDEX(AJ$18:AJ$25,$E240)*INDEX(AJ$27:AJ$43,$F240)</f>
        <v/>
      </c>
      <c r="AK240" s="36">
        <f>AK$10*$D240*INDEX(AK$18:AK$25,$E240)*INDEX(AK$27:AK$43,$F240)</f>
        <v/>
      </c>
      <c r="AL240" s="36">
        <f>AL$10*$D240*INDEX(AL$18:AL$25,$E240)*INDEX(AL$27:AL$43,$F240)</f>
        <v/>
      </c>
      <c r="AM240" s="36">
        <f>AM$10*$D240*INDEX(AM$18:AM$25,$E240)*INDEX(AM$27:AM$43,$F240)</f>
        <v/>
      </c>
      <c r="AN240" s="36">
        <f>AN$10*$D240*INDEX(AN$18:AN$25,$E240)*INDEX(AN$27:AN$43,$F240)</f>
        <v/>
      </c>
    </row>
    <row r="241" hidden="1" outlineLevel="2">
      <c r="A241" s="5" t="inlineStr">
        <is>
          <t>ctxnew</t>
        </is>
      </c>
      <c r="B241" s="5" t="inlineStr">
        <is>
          <t>bio</t>
        </is>
      </c>
      <c r="C241" s="5" t="inlineStr">
        <is>
          <t>ral</t>
        </is>
      </c>
      <c r="D241" s="36">
        <f>INDEX(Inputs!$U$5:$U$132,MATCH($B241&amp;"|"&amp;$C241,Inputs!$A$5:$A$132,0))</f>
        <v/>
      </c>
      <c r="E241" s="36">
        <f>INDEX(Inputs!$J$5:$J$132,MATCH($B241&amp;"|"&amp;$C241,Inputs!$A$5:$A$132,0))</f>
        <v/>
      </c>
      <c r="F241" s="36">
        <f>INDEX(Inputs!$K$5:$K$132,MATCH($B241&amp;"|"&amp;$C241,Inputs!$A$5:$A$132,0))</f>
        <v/>
      </c>
      <c r="G241" s="37" t="n"/>
      <c r="H241" s="5">
        <f>INDEX(Variables!$B$5:$B$65,MATCH($A241,Variables!$A$5:$A$65,0))&amp;IF($C241="",""," | "&amp;INDEX(Mapping!$B$5:$B$25,MATCH($C241,Mapping!$A$5:$A$25,0))&amp;" | "&amp;INDEX(Mapping!$B$29:$B$38,MATCH($B241,Mapping!$A$29:$A$38,0)))</f>
        <v/>
      </c>
      <c r="I241" s="5">
        <f>INDEX(Variables!$C$5:$C$65,MATCH($A241,Variables!$A$5:$A$65,0))</f>
        <v/>
      </c>
      <c r="J241" s="5">
        <f>INDEX(Variables!$E$5:$E$65,MATCH($A241,Variables!$A$5:$A$65,0))</f>
        <v/>
      </c>
      <c r="K241" s="23">
        <f>LOWER(Settings!$C$4)&amp;".mit."&amp;$A241&amp;IF($C241="","","."&amp;$C241&amp;"."&amp;$B241)&amp;IF(INDEX(Variables!$D$5:$D$65,MATCH($A241,Variables!$A$5:$A$65,0))="","","."&amp;INDEX(Variables!$D$5:$D$65,MATCH($A241,Variables!$A$5:$A$65,0)))&amp;"."&amp;K$5</f>
        <v/>
      </c>
      <c r="L241" s="38">
        <f>L$10*$D241*INDEX(L$18:L$25,$E241)*INDEX(L$27:L$43,$F241)</f>
        <v/>
      </c>
      <c r="M241" s="36">
        <f>M$10*$D241*INDEX(M$18:M$25,$E241)*INDEX(M$27:M$43,$F241)</f>
        <v/>
      </c>
      <c r="N241" s="36">
        <f>N$10*$D241*INDEX(N$18:N$25,$E241)*INDEX(N$27:N$43,$F241)</f>
        <v/>
      </c>
      <c r="O241" s="36">
        <f>O$10*$D241*INDEX(O$18:O$25,$E241)*INDEX(O$27:O$43,$F241)</f>
        <v/>
      </c>
      <c r="P241" s="36">
        <f>P$10*$D241*INDEX(P$18:P$25,$E241)*INDEX(P$27:P$43,$F241)</f>
        <v/>
      </c>
      <c r="Q241" s="36">
        <f>Q$10*$D241*INDEX(Q$18:Q$25,$E241)*INDEX(Q$27:Q$43,$F241)</f>
        <v/>
      </c>
      <c r="R241" s="36">
        <f>R$10*$D241*INDEX(R$18:R$25,$E241)*INDEX(R$27:R$43,$F241)</f>
        <v/>
      </c>
      <c r="S241" s="36">
        <f>S$10*$D241*INDEX(S$18:S$25,$E241)*INDEX(S$27:S$43,$F241)</f>
        <v/>
      </c>
      <c r="T241" s="36">
        <f>T$10*$D241*INDEX(T$18:T$25,$E241)*INDEX(T$27:T$43,$F241)</f>
        <v/>
      </c>
      <c r="U241" s="36">
        <f>U$10*$D241*INDEX(U$18:U$25,$E241)*INDEX(U$27:U$43,$F241)</f>
        <v/>
      </c>
      <c r="V241" s="36">
        <f>V$10*$D241*INDEX(V$18:V$25,$E241)*INDEX(V$27:V$43,$F241)</f>
        <v/>
      </c>
      <c r="W241" s="36">
        <f>W$10*$D241*INDEX(W$18:W$25,$E241)*INDEX(W$27:W$43,$F241)</f>
        <v/>
      </c>
      <c r="X241" s="36">
        <f>X$10*$D241*INDEX(X$18:X$25,$E241)*INDEX(X$27:X$43,$F241)</f>
        <v/>
      </c>
      <c r="Y241" s="36">
        <f>Y$10*$D241*INDEX(Y$18:Y$25,$E241)*INDEX(Y$27:Y$43,$F241)</f>
        <v/>
      </c>
      <c r="Z241" s="23">
        <f>LOWER(Settings!$C$4)&amp;".mit."&amp;$A241&amp;IF($C241="","","."&amp;$C241&amp;"."&amp;$B241)&amp;IF(INDEX(Variables!$D$5:$D$65,MATCH($A241,Variables!$A$5:$A$65,0))="","","."&amp;INDEX(Variables!$D$5:$D$65,MATCH($A241,Variables!$A$5:$A$65,0)))&amp;"."&amp;Z$5</f>
        <v/>
      </c>
      <c r="AA241" s="38">
        <f>AA$10*$D241*INDEX(AA$18:AA$25,$E241)*INDEX(AA$27:AA$43,$F241)</f>
        <v/>
      </c>
      <c r="AB241" s="36">
        <f>AB$10*$D241*INDEX(AB$18:AB$25,$E241)*INDEX(AB$27:AB$43,$F241)</f>
        <v/>
      </c>
      <c r="AC241" s="36">
        <f>AC$10*$D241*INDEX(AC$18:AC$25,$E241)*INDEX(AC$27:AC$43,$F241)</f>
        <v/>
      </c>
      <c r="AD241" s="36">
        <f>AD$10*$D241*INDEX(AD$18:AD$25,$E241)*INDEX(AD$27:AD$43,$F241)</f>
        <v/>
      </c>
      <c r="AE241" s="36">
        <f>AE$10*$D241*INDEX(AE$18:AE$25,$E241)*INDEX(AE$27:AE$43,$F241)</f>
        <v/>
      </c>
      <c r="AF241" s="36">
        <f>AF$10*$D241*INDEX(AF$18:AF$25,$E241)*INDEX(AF$27:AF$43,$F241)</f>
        <v/>
      </c>
      <c r="AG241" s="36">
        <f>AG$10*$D241*INDEX(AG$18:AG$25,$E241)*INDEX(AG$27:AG$43,$F241)</f>
        <v/>
      </c>
      <c r="AH241" s="36">
        <f>AH$10*$D241*INDEX(AH$18:AH$25,$E241)*INDEX(AH$27:AH$43,$F241)</f>
        <v/>
      </c>
      <c r="AI241" s="36">
        <f>AI$10*$D241*INDEX(AI$18:AI$25,$E241)*INDEX(AI$27:AI$43,$F241)</f>
        <v/>
      </c>
      <c r="AJ241" s="36">
        <f>AJ$10*$D241*INDEX(AJ$18:AJ$25,$E241)*INDEX(AJ$27:AJ$43,$F241)</f>
        <v/>
      </c>
      <c r="AK241" s="36">
        <f>AK$10*$D241*INDEX(AK$18:AK$25,$E241)*INDEX(AK$27:AK$43,$F241)</f>
        <v/>
      </c>
      <c r="AL241" s="36">
        <f>AL$10*$D241*INDEX(AL$18:AL$25,$E241)*INDEX(AL$27:AL$43,$F241)</f>
        <v/>
      </c>
      <c r="AM241" s="36">
        <f>AM$10*$D241*INDEX(AM$18:AM$25,$E241)*INDEX(AM$27:AM$43,$F241)</f>
        <v/>
      </c>
      <c r="AN241" s="36">
        <f>AN$10*$D241*INDEX(AN$18:AN$25,$E241)*INDEX(AN$27:AN$43,$F241)</f>
        <v/>
      </c>
    </row>
    <row r="242" hidden="1" outlineLevel="2"/>
    <row r="243" hidden="1" outlineLevel="2">
      <c r="A243" s="5" t="inlineStr">
        <is>
          <t>ntx</t>
        </is>
      </c>
      <c r="B243" s="5" t="inlineStr">
        <is>
          <t>coa</t>
        </is>
      </c>
      <c r="C243" s="5" t="inlineStr">
        <is>
          <t>ral</t>
        </is>
      </c>
      <c r="D243" s="36">
        <f>INDEX(Inputs!$L$5:$L$132,MATCH($B243&amp;"|"&amp;$C243,Inputs!$A$5:$A$132,0))</f>
        <v/>
      </c>
      <c r="E243" s="36">
        <f>INDEX(Inputs!$I$5:$I$132,MATCH($B243&amp;"|"&amp;$C243,Inputs!$A$5:$A$132,0))</f>
        <v/>
      </c>
      <c r="F243" s="37" t="n"/>
      <c r="G243" s="37" t="n"/>
      <c r="H243" s="5">
        <f>INDEX(Variables!$B$5:$B$65,MATCH($A243,Variables!$A$5:$A$65,0))&amp;IF($C243="",""," | "&amp;INDEX(Mapping!$B$5:$B$25,MATCH($C243,Mapping!$A$5:$A$25,0))&amp;" | "&amp;INDEX(Mapping!$B$29:$B$38,MATCH($B243,Mapping!$A$29:$A$38,0)))</f>
        <v/>
      </c>
      <c r="I243" s="5">
        <f>INDEX(Variables!$C$5:$C$65,MATCH($A243,Variables!$A$5:$A$65,0))</f>
        <v/>
      </c>
      <c r="J243" s="5">
        <f>INDEX(Variables!$E$5:$E$65,MATCH($A243,Variables!$A$5:$A$65,0))</f>
        <v/>
      </c>
      <c r="K243" s="23">
        <f>LOWER(Settings!$C$4)&amp;".mit."&amp;$A243&amp;IF($C243="","","."&amp;$C243&amp;"."&amp;$B243)&amp;IF(INDEX(Variables!$D$5:$D$65,MATCH($A243,Variables!$A$5:$A$65,0))="","","."&amp;INDEX(Variables!$D$5:$D$65,MATCH($A243,Variables!$A$5:$A$65,0)))&amp;"."&amp;K$5</f>
        <v/>
      </c>
      <c r="L243" s="38">
        <f>INDEX(L$75:L$88,$D243)/$E243</f>
        <v/>
      </c>
      <c r="M243" s="36">
        <f>INDEX(M$75:M$88,$D243)/$E243</f>
        <v/>
      </c>
      <c r="N243" s="36">
        <f>INDEX(N$75:N$88,$D243)/$E243</f>
        <v/>
      </c>
      <c r="O243" s="36">
        <f>INDEX(O$75:O$88,$D243)/$E243</f>
        <v/>
      </c>
      <c r="P243" s="36">
        <f>INDEX(P$75:P$88,$D243)/$E243</f>
        <v/>
      </c>
      <c r="Q243" s="36">
        <f>INDEX(Q$75:Q$88,$D243)/$E243</f>
        <v/>
      </c>
      <c r="R243" s="36">
        <f>INDEX(R$75:R$88,$D243)/$E243</f>
        <v/>
      </c>
      <c r="S243" s="36">
        <f>INDEX(S$75:S$88,$D243)/$E243</f>
        <v/>
      </c>
      <c r="T243" s="36">
        <f>INDEX(T$75:T$88,$D243)/$E243</f>
        <v/>
      </c>
      <c r="U243" s="36">
        <f>INDEX(U$75:U$88,$D243)/$E243</f>
        <v/>
      </c>
      <c r="V243" s="36">
        <f>INDEX(V$75:V$88,$D243)/$E243</f>
        <v/>
      </c>
      <c r="W243" s="36">
        <f>INDEX(W$75:W$88,$D243)/$E243</f>
        <v/>
      </c>
      <c r="X243" s="36">
        <f>INDEX(X$75:X$88,$D243)/$E243</f>
        <v/>
      </c>
      <c r="Y243" s="36">
        <f>INDEX(Y$75:Y$88,$D243)/$E243</f>
        <v/>
      </c>
      <c r="Z243" s="23">
        <f>LOWER(Settings!$C$4)&amp;".mit."&amp;$A243&amp;IF($C243="","","."&amp;$C243&amp;"."&amp;$B243)&amp;IF(INDEX(Variables!$D$5:$D$65,MATCH($A243,Variables!$A$5:$A$65,0))="","","."&amp;INDEX(Variables!$D$5:$D$65,MATCH($A243,Variables!$A$5:$A$65,0)))&amp;"."&amp;Z$5</f>
        <v/>
      </c>
      <c r="AA243" s="38">
        <f>INDEX(AA$75:AA$88,$D243)/$E243</f>
        <v/>
      </c>
      <c r="AB243" s="36">
        <f>INDEX(AB$75:AB$88,$D243)/$E243</f>
        <v/>
      </c>
      <c r="AC243" s="36">
        <f>INDEX(AC$75:AC$88,$D243)/$E243</f>
        <v/>
      </c>
      <c r="AD243" s="36">
        <f>INDEX(AD$75:AD$88,$D243)/$E243</f>
        <v/>
      </c>
      <c r="AE243" s="36">
        <f>INDEX(AE$75:AE$88,$D243)/$E243</f>
        <v/>
      </c>
      <c r="AF243" s="36">
        <f>INDEX(AF$75:AF$88,$D243)/$E243</f>
        <v/>
      </c>
      <c r="AG243" s="36">
        <f>INDEX(AG$75:AG$88,$D243)/$E243</f>
        <v/>
      </c>
      <c r="AH243" s="36">
        <f>INDEX(AH$75:AH$88,$D243)/$E243</f>
        <v/>
      </c>
      <c r="AI243" s="36">
        <f>INDEX(AI$75:AI$88,$D243)/$E243</f>
        <v/>
      </c>
      <c r="AJ243" s="36">
        <f>INDEX(AJ$75:AJ$88,$D243)/$E243</f>
        <v/>
      </c>
      <c r="AK243" s="36">
        <f>INDEX(AK$75:AK$88,$D243)/$E243</f>
        <v/>
      </c>
      <c r="AL243" s="36">
        <f>INDEX(AL$75:AL$88,$D243)/$E243</f>
        <v/>
      </c>
      <c r="AM243" s="36">
        <f>INDEX(AM$75:AM$88,$D243)/$E243</f>
        <v/>
      </c>
      <c r="AN243" s="36">
        <f>INDEX(AN$75:AN$88,$D243)/$E243</f>
        <v/>
      </c>
    </row>
    <row r="244" hidden="1" outlineLevel="2">
      <c r="A244" s="5" t="inlineStr">
        <is>
          <t>ntx</t>
        </is>
      </c>
      <c r="B244" s="5" t="inlineStr">
        <is>
          <t>nga</t>
        </is>
      </c>
      <c r="C244" s="5" t="inlineStr">
        <is>
          <t>ral</t>
        </is>
      </c>
      <c r="D244" s="36">
        <f>INDEX(Inputs!$L$5:$L$132,MATCH($B244&amp;"|"&amp;$C244,Inputs!$A$5:$A$132,0))</f>
        <v/>
      </c>
      <c r="E244" s="36">
        <f>INDEX(Inputs!$I$5:$I$132,MATCH($B244&amp;"|"&amp;$C244,Inputs!$A$5:$A$132,0))</f>
        <v/>
      </c>
      <c r="F244" s="37" t="n"/>
      <c r="G244" s="37" t="n"/>
      <c r="H244" s="5">
        <f>INDEX(Variables!$B$5:$B$65,MATCH($A244,Variables!$A$5:$A$65,0))&amp;IF($C244="",""," | "&amp;INDEX(Mapping!$B$5:$B$25,MATCH($C244,Mapping!$A$5:$A$25,0))&amp;" | "&amp;INDEX(Mapping!$B$29:$B$38,MATCH($B244,Mapping!$A$29:$A$38,0)))</f>
        <v/>
      </c>
      <c r="I244" s="5">
        <f>INDEX(Variables!$C$5:$C$65,MATCH($A244,Variables!$A$5:$A$65,0))</f>
        <v/>
      </c>
      <c r="J244" s="5">
        <f>INDEX(Variables!$E$5:$E$65,MATCH($A244,Variables!$A$5:$A$65,0))</f>
        <v/>
      </c>
      <c r="K244" s="23">
        <f>LOWER(Settings!$C$4)&amp;".mit."&amp;$A244&amp;IF($C244="","","."&amp;$C244&amp;"."&amp;$B244)&amp;IF(INDEX(Variables!$D$5:$D$65,MATCH($A244,Variables!$A$5:$A$65,0))="","","."&amp;INDEX(Variables!$D$5:$D$65,MATCH($A244,Variables!$A$5:$A$65,0)))&amp;"."&amp;K$5</f>
        <v/>
      </c>
      <c r="L244" s="38">
        <f>INDEX(L$75:L$88,$D244)/$E244</f>
        <v/>
      </c>
      <c r="M244" s="36">
        <f>INDEX(M$75:M$88,$D244)/$E244</f>
        <v/>
      </c>
      <c r="N244" s="36">
        <f>INDEX(N$75:N$88,$D244)/$E244</f>
        <v/>
      </c>
      <c r="O244" s="36">
        <f>INDEX(O$75:O$88,$D244)/$E244</f>
        <v/>
      </c>
      <c r="P244" s="36">
        <f>INDEX(P$75:P$88,$D244)/$E244</f>
        <v/>
      </c>
      <c r="Q244" s="36">
        <f>INDEX(Q$75:Q$88,$D244)/$E244</f>
        <v/>
      </c>
      <c r="R244" s="36">
        <f>INDEX(R$75:R$88,$D244)/$E244</f>
        <v/>
      </c>
      <c r="S244" s="36">
        <f>INDEX(S$75:S$88,$D244)/$E244</f>
        <v/>
      </c>
      <c r="T244" s="36">
        <f>INDEX(T$75:T$88,$D244)/$E244</f>
        <v/>
      </c>
      <c r="U244" s="36">
        <f>INDEX(U$75:U$88,$D244)/$E244</f>
        <v/>
      </c>
      <c r="V244" s="36">
        <f>INDEX(V$75:V$88,$D244)/$E244</f>
        <v/>
      </c>
      <c r="W244" s="36">
        <f>INDEX(W$75:W$88,$D244)/$E244</f>
        <v/>
      </c>
      <c r="X244" s="36">
        <f>INDEX(X$75:X$88,$D244)/$E244</f>
        <v/>
      </c>
      <c r="Y244" s="36">
        <f>INDEX(Y$75:Y$88,$D244)/$E244</f>
        <v/>
      </c>
      <c r="Z244" s="23">
        <f>LOWER(Settings!$C$4)&amp;".mit."&amp;$A244&amp;IF($C244="","","."&amp;$C244&amp;"."&amp;$B244)&amp;IF(INDEX(Variables!$D$5:$D$65,MATCH($A244,Variables!$A$5:$A$65,0))="","","."&amp;INDEX(Variables!$D$5:$D$65,MATCH($A244,Variables!$A$5:$A$65,0)))&amp;"."&amp;Z$5</f>
        <v/>
      </c>
      <c r="AA244" s="38">
        <f>INDEX(AA$75:AA$88,$D244)/$E244</f>
        <v/>
      </c>
      <c r="AB244" s="36">
        <f>INDEX(AB$75:AB$88,$D244)/$E244</f>
        <v/>
      </c>
      <c r="AC244" s="36">
        <f>INDEX(AC$75:AC$88,$D244)/$E244</f>
        <v/>
      </c>
      <c r="AD244" s="36">
        <f>INDEX(AD$75:AD$88,$D244)/$E244</f>
        <v/>
      </c>
      <c r="AE244" s="36">
        <f>INDEX(AE$75:AE$88,$D244)/$E244</f>
        <v/>
      </c>
      <c r="AF244" s="36">
        <f>INDEX(AF$75:AF$88,$D244)/$E244</f>
        <v/>
      </c>
      <c r="AG244" s="36">
        <f>INDEX(AG$75:AG$88,$D244)/$E244</f>
        <v/>
      </c>
      <c r="AH244" s="36">
        <f>INDEX(AH$75:AH$88,$D244)/$E244</f>
        <v/>
      </c>
      <c r="AI244" s="36">
        <f>INDEX(AI$75:AI$88,$D244)/$E244</f>
        <v/>
      </c>
      <c r="AJ244" s="36">
        <f>INDEX(AJ$75:AJ$88,$D244)/$E244</f>
        <v/>
      </c>
      <c r="AK244" s="36">
        <f>INDEX(AK$75:AK$88,$D244)/$E244</f>
        <v/>
      </c>
      <c r="AL244" s="36">
        <f>INDEX(AL$75:AL$88,$D244)/$E244</f>
        <v/>
      </c>
      <c r="AM244" s="36">
        <f>INDEX(AM$75:AM$88,$D244)/$E244</f>
        <v/>
      </c>
      <c r="AN244" s="36">
        <f>INDEX(AN$75:AN$88,$D244)/$E244</f>
        <v/>
      </c>
    </row>
    <row r="245" hidden="1" outlineLevel="2">
      <c r="A245" s="5" t="inlineStr">
        <is>
          <t>ntx</t>
        </is>
      </c>
      <c r="B245" s="5" t="inlineStr">
        <is>
          <t>gso</t>
        </is>
      </c>
      <c r="C245" s="5" t="inlineStr">
        <is>
          <t>ral</t>
        </is>
      </c>
      <c r="D245" s="36">
        <f>INDEX(Inputs!$L$5:$L$132,MATCH($B245&amp;"|"&amp;$C245,Inputs!$A$5:$A$132,0))</f>
        <v/>
      </c>
      <c r="E245" s="36">
        <f>INDEX(Inputs!$I$5:$I$132,MATCH($B245&amp;"|"&amp;$C245,Inputs!$A$5:$A$132,0))</f>
        <v/>
      </c>
      <c r="F245" s="37" t="n"/>
      <c r="G245" s="37" t="n"/>
      <c r="H245" s="5">
        <f>INDEX(Variables!$B$5:$B$65,MATCH($A245,Variables!$A$5:$A$65,0))&amp;IF($C245="",""," | "&amp;INDEX(Mapping!$B$5:$B$25,MATCH($C245,Mapping!$A$5:$A$25,0))&amp;" | "&amp;INDEX(Mapping!$B$29:$B$38,MATCH($B245,Mapping!$A$29:$A$38,0)))</f>
        <v/>
      </c>
      <c r="I245" s="5">
        <f>INDEX(Variables!$C$5:$C$65,MATCH($A245,Variables!$A$5:$A$65,0))</f>
        <v/>
      </c>
      <c r="J245" s="5">
        <f>INDEX(Variables!$E$5:$E$65,MATCH($A245,Variables!$A$5:$A$65,0))</f>
        <v/>
      </c>
      <c r="K245" s="23">
        <f>LOWER(Settings!$C$4)&amp;".mit."&amp;$A245&amp;IF($C245="","","."&amp;$C245&amp;"."&amp;$B245)&amp;IF(INDEX(Variables!$D$5:$D$65,MATCH($A245,Variables!$A$5:$A$65,0))="","","."&amp;INDEX(Variables!$D$5:$D$65,MATCH($A245,Variables!$A$5:$A$65,0)))&amp;"."&amp;K$5</f>
        <v/>
      </c>
      <c r="L245" s="38">
        <f>INDEX(L$75:L$88,$D245)/$E245</f>
        <v/>
      </c>
      <c r="M245" s="36">
        <f>INDEX(M$75:M$88,$D245)/$E245</f>
        <v/>
      </c>
      <c r="N245" s="36">
        <f>INDEX(N$75:N$88,$D245)/$E245</f>
        <v/>
      </c>
      <c r="O245" s="36">
        <f>INDEX(O$75:O$88,$D245)/$E245</f>
        <v/>
      </c>
      <c r="P245" s="36">
        <f>INDEX(P$75:P$88,$D245)/$E245</f>
        <v/>
      </c>
      <c r="Q245" s="36">
        <f>INDEX(Q$75:Q$88,$D245)/$E245</f>
        <v/>
      </c>
      <c r="R245" s="36">
        <f>INDEX(R$75:R$88,$D245)/$E245</f>
        <v/>
      </c>
      <c r="S245" s="36">
        <f>INDEX(S$75:S$88,$D245)/$E245</f>
        <v/>
      </c>
      <c r="T245" s="36">
        <f>INDEX(T$75:T$88,$D245)/$E245</f>
        <v/>
      </c>
      <c r="U245" s="36">
        <f>INDEX(U$75:U$88,$D245)/$E245</f>
        <v/>
      </c>
      <c r="V245" s="36">
        <f>INDEX(V$75:V$88,$D245)/$E245</f>
        <v/>
      </c>
      <c r="W245" s="36">
        <f>INDEX(W$75:W$88,$D245)/$E245</f>
        <v/>
      </c>
      <c r="X245" s="36">
        <f>INDEX(X$75:X$88,$D245)/$E245</f>
        <v/>
      </c>
      <c r="Y245" s="36">
        <f>INDEX(Y$75:Y$88,$D245)/$E245</f>
        <v/>
      </c>
      <c r="Z245" s="23">
        <f>LOWER(Settings!$C$4)&amp;".mit."&amp;$A245&amp;IF($C245="","","."&amp;$C245&amp;"."&amp;$B245)&amp;IF(INDEX(Variables!$D$5:$D$65,MATCH($A245,Variables!$A$5:$A$65,0))="","","."&amp;INDEX(Variables!$D$5:$D$65,MATCH($A245,Variables!$A$5:$A$65,0)))&amp;"."&amp;Z$5</f>
        <v/>
      </c>
      <c r="AA245" s="38">
        <f>INDEX(AA$75:AA$88,$D245)/$E245</f>
        <v/>
      </c>
      <c r="AB245" s="36">
        <f>INDEX(AB$75:AB$88,$D245)/$E245</f>
        <v/>
      </c>
      <c r="AC245" s="36">
        <f>INDEX(AC$75:AC$88,$D245)/$E245</f>
        <v/>
      </c>
      <c r="AD245" s="36">
        <f>INDEX(AD$75:AD$88,$D245)/$E245</f>
        <v/>
      </c>
      <c r="AE245" s="36">
        <f>INDEX(AE$75:AE$88,$D245)/$E245</f>
        <v/>
      </c>
      <c r="AF245" s="36">
        <f>INDEX(AF$75:AF$88,$D245)/$E245</f>
        <v/>
      </c>
      <c r="AG245" s="36">
        <f>INDEX(AG$75:AG$88,$D245)/$E245</f>
        <v/>
      </c>
      <c r="AH245" s="36">
        <f>INDEX(AH$75:AH$88,$D245)/$E245</f>
        <v/>
      </c>
      <c r="AI245" s="36">
        <f>INDEX(AI$75:AI$88,$D245)/$E245</f>
        <v/>
      </c>
      <c r="AJ245" s="36">
        <f>INDEX(AJ$75:AJ$88,$D245)/$E245</f>
        <v/>
      </c>
      <c r="AK245" s="36">
        <f>INDEX(AK$75:AK$88,$D245)/$E245</f>
        <v/>
      </c>
      <c r="AL245" s="36">
        <f>INDEX(AL$75:AL$88,$D245)/$E245</f>
        <v/>
      </c>
      <c r="AM245" s="36">
        <f>INDEX(AM$75:AM$88,$D245)/$E245</f>
        <v/>
      </c>
      <c r="AN245" s="36">
        <f>INDEX(AN$75:AN$88,$D245)/$E245</f>
        <v/>
      </c>
    </row>
    <row r="246" hidden="1" outlineLevel="2">
      <c r="A246" s="5" t="inlineStr">
        <is>
          <t>ntx</t>
        </is>
      </c>
      <c r="B246" s="5" t="inlineStr">
        <is>
          <t>die</t>
        </is>
      </c>
      <c r="C246" s="5" t="inlineStr">
        <is>
          <t>ral</t>
        </is>
      </c>
      <c r="D246" s="36">
        <f>INDEX(Inputs!$L$5:$L$132,MATCH($B246&amp;"|"&amp;$C246,Inputs!$A$5:$A$132,0))</f>
        <v/>
      </c>
      <c r="E246" s="36">
        <f>INDEX(Inputs!$I$5:$I$132,MATCH($B246&amp;"|"&amp;$C246,Inputs!$A$5:$A$132,0))</f>
        <v/>
      </c>
      <c r="F246" s="37" t="n"/>
      <c r="G246" s="37" t="n"/>
      <c r="H246" s="5">
        <f>INDEX(Variables!$B$5:$B$65,MATCH($A246,Variables!$A$5:$A$65,0))&amp;IF($C246="",""," | "&amp;INDEX(Mapping!$B$5:$B$25,MATCH($C246,Mapping!$A$5:$A$25,0))&amp;" | "&amp;INDEX(Mapping!$B$29:$B$38,MATCH($B246,Mapping!$A$29:$A$38,0)))</f>
        <v/>
      </c>
      <c r="I246" s="5">
        <f>INDEX(Variables!$C$5:$C$65,MATCH($A246,Variables!$A$5:$A$65,0))</f>
        <v/>
      </c>
      <c r="J246" s="5">
        <f>INDEX(Variables!$E$5:$E$65,MATCH($A246,Variables!$A$5:$A$65,0))</f>
        <v/>
      </c>
      <c r="K246" s="23">
        <f>LOWER(Settings!$C$4)&amp;".mit."&amp;$A246&amp;IF($C246="","","."&amp;$C246&amp;"."&amp;$B246)&amp;IF(INDEX(Variables!$D$5:$D$65,MATCH($A246,Variables!$A$5:$A$65,0))="","","."&amp;INDEX(Variables!$D$5:$D$65,MATCH($A246,Variables!$A$5:$A$65,0)))&amp;"."&amp;K$5</f>
        <v/>
      </c>
      <c r="L246" s="38">
        <f>INDEX(L$75:L$88,$D246)/$E246</f>
        <v/>
      </c>
      <c r="M246" s="36">
        <f>INDEX(M$75:M$88,$D246)/$E246</f>
        <v/>
      </c>
      <c r="N246" s="36">
        <f>INDEX(N$75:N$88,$D246)/$E246</f>
        <v/>
      </c>
      <c r="O246" s="36">
        <f>INDEX(O$75:O$88,$D246)/$E246</f>
        <v/>
      </c>
      <c r="P246" s="36">
        <f>INDEX(P$75:P$88,$D246)/$E246</f>
        <v/>
      </c>
      <c r="Q246" s="36">
        <f>INDEX(Q$75:Q$88,$D246)/$E246</f>
        <v/>
      </c>
      <c r="R246" s="36">
        <f>INDEX(R$75:R$88,$D246)/$E246</f>
        <v/>
      </c>
      <c r="S246" s="36">
        <f>INDEX(S$75:S$88,$D246)/$E246</f>
        <v/>
      </c>
      <c r="T246" s="36">
        <f>INDEX(T$75:T$88,$D246)/$E246</f>
        <v/>
      </c>
      <c r="U246" s="36">
        <f>INDEX(U$75:U$88,$D246)/$E246</f>
        <v/>
      </c>
      <c r="V246" s="36">
        <f>INDEX(V$75:V$88,$D246)/$E246</f>
        <v/>
      </c>
      <c r="W246" s="36">
        <f>INDEX(W$75:W$88,$D246)/$E246</f>
        <v/>
      </c>
      <c r="X246" s="36">
        <f>INDEX(X$75:X$88,$D246)/$E246</f>
        <v/>
      </c>
      <c r="Y246" s="36">
        <f>INDEX(Y$75:Y$88,$D246)/$E246</f>
        <v/>
      </c>
      <c r="Z246" s="23">
        <f>LOWER(Settings!$C$4)&amp;".mit."&amp;$A246&amp;IF($C246="","","."&amp;$C246&amp;"."&amp;$B246)&amp;IF(INDEX(Variables!$D$5:$D$65,MATCH($A246,Variables!$A$5:$A$65,0))="","","."&amp;INDEX(Variables!$D$5:$D$65,MATCH($A246,Variables!$A$5:$A$65,0)))&amp;"."&amp;Z$5</f>
        <v/>
      </c>
      <c r="AA246" s="38">
        <f>INDEX(AA$75:AA$88,$D246)/$E246</f>
        <v/>
      </c>
      <c r="AB246" s="36">
        <f>INDEX(AB$75:AB$88,$D246)/$E246</f>
        <v/>
      </c>
      <c r="AC246" s="36">
        <f>INDEX(AC$75:AC$88,$D246)/$E246</f>
        <v/>
      </c>
      <c r="AD246" s="36">
        <f>INDEX(AD$75:AD$88,$D246)/$E246</f>
        <v/>
      </c>
      <c r="AE246" s="36">
        <f>INDEX(AE$75:AE$88,$D246)/$E246</f>
        <v/>
      </c>
      <c r="AF246" s="36">
        <f>INDEX(AF$75:AF$88,$D246)/$E246</f>
        <v/>
      </c>
      <c r="AG246" s="36">
        <f>INDEX(AG$75:AG$88,$D246)/$E246</f>
        <v/>
      </c>
      <c r="AH246" s="36">
        <f>INDEX(AH$75:AH$88,$D246)/$E246</f>
        <v/>
      </c>
      <c r="AI246" s="36">
        <f>INDEX(AI$75:AI$88,$D246)/$E246</f>
        <v/>
      </c>
      <c r="AJ246" s="36">
        <f>INDEX(AJ$75:AJ$88,$D246)/$E246</f>
        <v/>
      </c>
      <c r="AK246" s="36">
        <f>INDEX(AK$75:AK$88,$D246)/$E246</f>
        <v/>
      </c>
      <c r="AL246" s="36">
        <f>INDEX(AL$75:AL$88,$D246)/$E246</f>
        <v/>
      </c>
      <c r="AM246" s="36">
        <f>INDEX(AM$75:AM$88,$D246)/$E246</f>
        <v/>
      </c>
      <c r="AN246" s="36">
        <f>INDEX(AN$75:AN$88,$D246)/$E246</f>
        <v/>
      </c>
    </row>
    <row r="247" hidden="1" outlineLevel="2">
      <c r="A247" s="5" t="inlineStr">
        <is>
          <t>ntx</t>
        </is>
      </c>
      <c r="B247" s="5" t="inlineStr">
        <is>
          <t>lpg</t>
        </is>
      </c>
      <c r="C247" s="5" t="inlineStr">
        <is>
          <t>ral</t>
        </is>
      </c>
      <c r="D247" s="36">
        <f>INDEX(Inputs!$L$5:$L$132,MATCH($B247&amp;"|"&amp;$C247,Inputs!$A$5:$A$132,0))</f>
        <v/>
      </c>
      <c r="E247" s="36">
        <f>INDEX(Inputs!$I$5:$I$132,MATCH($B247&amp;"|"&amp;$C247,Inputs!$A$5:$A$132,0))</f>
        <v/>
      </c>
      <c r="F247" s="37" t="n"/>
      <c r="G247" s="37" t="n"/>
      <c r="H247" s="5">
        <f>INDEX(Variables!$B$5:$B$65,MATCH($A247,Variables!$A$5:$A$65,0))&amp;IF($C247="",""," | "&amp;INDEX(Mapping!$B$5:$B$25,MATCH($C247,Mapping!$A$5:$A$25,0))&amp;" | "&amp;INDEX(Mapping!$B$29:$B$38,MATCH($B247,Mapping!$A$29:$A$38,0)))</f>
        <v/>
      </c>
      <c r="I247" s="5">
        <f>INDEX(Variables!$C$5:$C$65,MATCH($A247,Variables!$A$5:$A$65,0))</f>
        <v/>
      </c>
      <c r="J247" s="5">
        <f>INDEX(Variables!$E$5:$E$65,MATCH($A247,Variables!$A$5:$A$65,0))</f>
        <v/>
      </c>
      <c r="K247" s="23">
        <f>LOWER(Settings!$C$4)&amp;".mit."&amp;$A247&amp;IF($C247="","","."&amp;$C247&amp;"."&amp;$B247)&amp;IF(INDEX(Variables!$D$5:$D$65,MATCH($A247,Variables!$A$5:$A$65,0))="","","."&amp;INDEX(Variables!$D$5:$D$65,MATCH($A247,Variables!$A$5:$A$65,0)))&amp;"."&amp;K$5</f>
        <v/>
      </c>
      <c r="L247" s="38">
        <f>INDEX(L$75:L$88,$D247)/$E247</f>
        <v/>
      </c>
      <c r="M247" s="36">
        <f>INDEX(M$75:M$88,$D247)/$E247</f>
        <v/>
      </c>
      <c r="N247" s="36">
        <f>INDEX(N$75:N$88,$D247)/$E247</f>
        <v/>
      </c>
      <c r="O247" s="36">
        <f>INDEX(O$75:O$88,$D247)/$E247</f>
        <v/>
      </c>
      <c r="P247" s="36">
        <f>INDEX(P$75:P$88,$D247)/$E247</f>
        <v/>
      </c>
      <c r="Q247" s="36">
        <f>INDEX(Q$75:Q$88,$D247)/$E247</f>
        <v/>
      </c>
      <c r="R247" s="36">
        <f>INDEX(R$75:R$88,$D247)/$E247</f>
        <v/>
      </c>
      <c r="S247" s="36">
        <f>INDEX(S$75:S$88,$D247)/$E247</f>
        <v/>
      </c>
      <c r="T247" s="36">
        <f>INDEX(T$75:T$88,$D247)/$E247</f>
        <v/>
      </c>
      <c r="U247" s="36">
        <f>INDEX(U$75:U$88,$D247)/$E247</f>
        <v/>
      </c>
      <c r="V247" s="36">
        <f>INDEX(V$75:V$88,$D247)/$E247</f>
        <v/>
      </c>
      <c r="W247" s="36">
        <f>INDEX(W$75:W$88,$D247)/$E247</f>
        <v/>
      </c>
      <c r="X247" s="36">
        <f>INDEX(X$75:X$88,$D247)/$E247</f>
        <v/>
      </c>
      <c r="Y247" s="36">
        <f>INDEX(Y$75:Y$88,$D247)/$E247</f>
        <v/>
      </c>
      <c r="Z247" s="23">
        <f>LOWER(Settings!$C$4)&amp;".mit."&amp;$A247&amp;IF($C247="","","."&amp;$C247&amp;"."&amp;$B247)&amp;IF(INDEX(Variables!$D$5:$D$65,MATCH($A247,Variables!$A$5:$A$65,0))="","","."&amp;INDEX(Variables!$D$5:$D$65,MATCH($A247,Variables!$A$5:$A$65,0)))&amp;"."&amp;Z$5</f>
        <v/>
      </c>
      <c r="AA247" s="38">
        <f>INDEX(AA$75:AA$88,$D247)/$E247</f>
        <v/>
      </c>
      <c r="AB247" s="36">
        <f>INDEX(AB$75:AB$88,$D247)/$E247</f>
        <v/>
      </c>
      <c r="AC247" s="36">
        <f>INDEX(AC$75:AC$88,$D247)/$E247</f>
        <v/>
      </c>
      <c r="AD247" s="36">
        <f>INDEX(AD$75:AD$88,$D247)/$E247</f>
        <v/>
      </c>
      <c r="AE247" s="36">
        <f>INDEX(AE$75:AE$88,$D247)/$E247</f>
        <v/>
      </c>
      <c r="AF247" s="36">
        <f>INDEX(AF$75:AF$88,$D247)/$E247</f>
        <v/>
      </c>
      <c r="AG247" s="36">
        <f>INDEX(AG$75:AG$88,$D247)/$E247</f>
        <v/>
      </c>
      <c r="AH247" s="36">
        <f>INDEX(AH$75:AH$88,$D247)/$E247</f>
        <v/>
      </c>
      <c r="AI247" s="36">
        <f>INDEX(AI$75:AI$88,$D247)/$E247</f>
        <v/>
      </c>
      <c r="AJ247" s="36">
        <f>INDEX(AJ$75:AJ$88,$D247)/$E247</f>
        <v/>
      </c>
      <c r="AK247" s="36">
        <f>INDEX(AK$75:AK$88,$D247)/$E247</f>
        <v/>
      </c>
      <c r="AL247" s="36">
        <f>INDEX(AL$75:AL$88,$D247)/$E247</f>
        <v/>
      </c>
      <c r="AM247" s="36">
        <f>INDEX(AM$75:AM$88,$D247)/$E247</f>
        <v/>
      </c>
      <c r="AN247" s="36">
        <f>INDEX(AN$75:AN$88,$D247)/$E247</f>
        <v/>
      </c>
    </row>
    <row r="248" hidden="1" outlineLevel="2">
      <c r="A248" s="5" t="inlineStr">
        <is>
          <t>ntx</t>
        </is>
      </c>
      <c r="B248" s="5" t="inlineStr">
        <is>
          <t>ker</t>
        </is>
      </c>
      <c r="C248" s="5" t="inlineStr">
        <is>
          <t>ral</t>
        </is>
      </c>
      <c r="D248" s="36">
        <f>INDEX(Inputs!$L$5:$L$132,MATCH($B248&amp;"|"&amp;$C248,Inputs!$A$5:$A$132,0))</f>
        <v/>
      </c>
      <c r="E248" s="36">
        <f>INDEX(Inputs!$I$5:$I$132,MATCH($B248&amp;"|"&amp;$C248,Inputs!$A$5:$A$132,0))</f>
        <v/>
      </c>
      <c r="F248" s="37" t="n"/>
      <c r="G248" s="37" t="n"/>
      <c r="H248" s="5">
        <f>INDEX(Variables!$B$5:$B$65,MATCH($A248,Variables!$A$5:$A$65,0))&amp;IF($C248="",""," | "&amp;INDEX(Mapping!$B$5:$B$25,MATCH($C248,Mapping!$A$5:$A$25,0))&amp;" | "&amp;INDEX(Mapping!$B$29:$B$38,MATCH($B248,Mapping!$A$29:$A$38,0)))</f>
        <v/>
      </c>
      <c r="I248" s="5">
        <f>INDEX(Variables!$C$5:$C$65,MATCH($A248,Variables!$A$5:$A$65,0))</f>
        <v/>
      </c>
      <c r="J248" s="5">
        <f>INDEX(Variables!$E$5:$E$65,MATCH($A248,Variables!$A$5:$A$65,0))</f>
        <v/>
      </c>
      <c r="K248" s="23">
        <f>LOWER(Settings!$C$4)&amp;".mit."&amp;$A248&amp;IF($C248="","","."&amp;$C248&amp;"."&amp;$B248)&amp;IF(INDEX(Variables!$D$5:$D$65,MATCH($A248,Variables!$A$5:$A$65,0))="","","."&amp;INDEX(Variables!$D$5:$D$65,MATCH($A248,Variables!$A$5:$A$65,0)))&amp;"."&amp;K$5</f>
        <v/>
      </c>
      <c r="L248" s="38">
        <f>INDEX(L$75:L$88,$D248)/$E248</f>
        <v/>
      </c>
      <c r="M248" s="36">
        <f>INDEX(M$75:M$88,$D248)/$E248</f>
        <v/>
      </c>
      <c r="N248" s="36">
        <f>INDEX(N$75:N$88,$D248)/$E248</f>
        <v/>
      </c>
      <c r="O248" s="36">
        <f>INDEX(O$75:O$88,$D248)/$E248</f>
        <v/>
      </c>
      <c r="P248" s="36">
        <f>INDEX(P$75:P$88,$D248)/$E248</f>
        <v/>
      </c>
      <c r="Q248" s="36">
        <f>INDEX(Q$75:Q$88,$D248)/$E248</f>
        <v/>
      </c>
      <c r="R248" s="36">
        <f>INDEX(R$75:R$88,$D248)/$E248</f>
        <v/>
      </c>
      <c r="S248" s="36">
        <f>INDEX(S$75:S$88,$D248)/$E248</f>
        <v/>
      </c>
      <c r="T248" s="36">
        <f>INDEX(T$75:T$88,$D248)/$E248</f>
        <v/>
      </c>
      <c r="U248" s="36">
        <f>INDEX(U$75:U$88,$D248)/$E248</f>
        <v/>
      </c>
      <c r="V248" s="36">
        <f>INDEX(V$75:V$88,$D248)/$E248</f>
        <v/>
      </c>
      <c r="W248" s="36">
        <f>INDEX(W$75:W$88,$D248)/$E248</f>
        <v/>
      </c>
      <c r="X248" s="36">
        <f>INDEX(X$75:X$88,$D248)/$E248</f>
        <v/>
      </c>
      <c r="Y248" s="36">
        <f>INDEX(Y$75:Y$88,$D248)/$E248</f>
        <v/>
      </c>
      <c r="Z248" s="23">
        <f>LOWER(Settings!$C$4)&amp;".mit."&amp;$A248&amp;IF($C248="","","."&amp;$C248&amp;"."&amp;$B248)&amp;IF(INDEX(Variables!$D$5:$D$65,MATCH($A248,Variables!$A$5:$A$65,0))="","","."&amp;INDEX(Variables!$D$5:$D$65,MATCH($A248,Variables!$A$5:$A$65,0)))&amp;"."&amp;Z$5</f>
        <v/>
      </c>
      <c r="AA248" s="38">
        <f>INDEX(AA$75:AA$88,$D248)/$E248</f>
        <v/>
      </c>
      <c r="AB248" s="36">
        <f>INDEX(AB$75:AB$88,$D248)/$E248</f>
        <v/>
      </c>
      <c r="AC248" s="36">
        <f>INDEX(AC$75:AC$88,$D248)/$E248</f>
        <v/>
      </c>
      <c r="AD248" s="36">
        <f>INDEX(AD$75:AD$88,$D248)/$E248</f>
        <v/>
      </c>
      <c r="AE248" s="36">
        <f>INDEX(AE$75:AE$88,$D248)/$E248</f>
        <v/>
      </c>
      <c r="AF248" s="36">
        <f>INDEX(AF$75:AF$88,$D248)/$E248</f>
        <v/>
      </c>
      <c r="AG248" s="36">
        <f>INDEX(AG$75:AG$88,$D248)/$E248</f>
        <v/>
      </c>
      <c r="AH248" s="36">
        <f>INDEX(AH$75:AH$88,$D248)/$E248</f>
        <v/>
      </c>
      <c r="AI248" s="36">
        <f>INDEX(AI$75:AI$88,$D248)/$E248</f>
        <v/>
      </c>
      <c r="AJ248" s="36">
        <f>INDEX(AJ$75:AJ$88,$D248)/$E248</f>
        <v/>
      </c>
      <c r="AK248" s="36">
        <f>INDEX(AK$75:AK$88,$D248)/$E248</f>
        <v/>
      </c>
      <c r="AL248" s="36">
        <f>INDEX(AL$75:AL$88,$D248)/$E248</f>
        <v/>
      </c>
      <c r="AM248" s="36">
        <f>INDEX(AM$75:AM$88,$D248)/$E248</f>
        <v/>
      </c>
      <c r="AN248" s="36">
        <f>INDEX(AN$75:AN$88,$D248)/$E248</f>
        <v/>
      </c>
    </row>
    <row r="249" hidden="1" outlineLevel="2">
      <c r="A249" s="5" t="inlineStr">
        <is>
          <t>ntx</t>
        </is>
      </c>
      <c r="B249" s="5" t="inlineStr">
        <is>
          <t>oop</t>
        </is>
      </c>
      <c r="C249" s="5" t="inlineStr">
        <is>
          <t>ral</t>
        </is>
      </c>
      <c r="D249" s="36">
        <f>INDEX(Inputs!$L$5:$L$132,MATCH($B249&amp;"|"&amp;$C249,Inputs!$A$5:$A$132,0))</f>
        <v/>
      </c>
      <c r="E249" s="36">
        <f>INDEX(Inputs!$I$5:$I$132,MATCH($B249&amp;"|"&amp;$C249,Inputs!$A$5:$A$132,0))</f>
        <v/>
      </c>
      <c r="F249" s="37" t="n"/>
      <c r="G249" s="37" t="n"/>
      <c r="H249" s="5">
        <f>INDEX(Variables!$B$5:$B$65,MATCH($A249,Variables!$A$5:$A$65,0))&amp;IF($C249="",""," | "&amp;INDEX(Mapping!$B$5:$B$25,MATCH($C249,Mapping!$A$5:$A$25,0))&amp;" | "&amp;INDEX(Mapping!$B$29:$B$38,MATCH($B249,Mapping!$A$29:$A$38,0)))</f>
        <v/>
      </c>
      <c r="I249" s="5">
        <f>INDEX(Variables!$C$5:$C$65,MATCH($A249,Variables!$A$5:$A$65,0))</f>
        <v/>
      </c>
      <c r="J249" s="5">
        <f>INDEX(Variables!$E$5:$E$65,MATCH($A249,Variables!$A$5:$A$65,0))</f>
        <v/>
      </c>
      <c r="K249" s="23">
        <f>LOWER(Settings!$C$4)&amp;".mit."&amp;$A249&amp;IF($C249="","","."&amp;$C249&amp;"."&amp;$B249)&amp;IF(INDEX(Variables!$D$5:$D$65,MATCH($A249,Variables!$A$5:$A$65,0))="","","."&amp;INDEX(Variables!$D$5:$D$65,MATCH($A249,Variables!$A$5:$A$65,0)))&amp;"."&amp;K$5</f>
        <v/>
      </c>
      <c r="L249" s="38">
        <f>INDEX(L$75:L$88,$D249)/$E249</f>
        <v/>
      </c>
      <c r="M249" s="36">
        <f>INDEX(M$75:M$88,$D249)/$E249</f>
        <v/>
      </c>
      <c r="N249" s="36">
        <f>INDEX(N$75:N$88,$D249)/$E249</f>
        <v/>
      </c>
      <c r="O249" s="36">
        <f>INDEX(O$75:O$88,$D249)/$E249</f>
        <v/>
      </c>
      <c r="P249" s="36">
        <f>INDEX(P$75:P$88,$D249)/$E249</f>
        <v/>
      </c>
      <c r="Q249" s="36">
        <f>INDEX(Q$75:Q$88,$D249)/$E249</f>
        <v/>
      </c>
      <c r="R249" s="36">
        <f>INDEX(R$75:R$88,$D249)/$E249</f>
        <v/>
      </c>
      <c r="S249" s="36">
        <f>INDEX(S$75:S$88,$D249)/$E249</f>
        <v/>
      </c>
      <c r="T249" s="36">
        <f>INDEX(T$75:T$88,$D249)/$E249</f>
        <v/>
      </c>
      <c r="U249" s="36">
        <f>INDEX(U$75:U$88,$D249)/$E249</f>
        <v/>
      </c>
      <c r="V249" s="36">
        <f>INDEX(V$75:V$88,$D249)/$E249</f>
        <v/>
      </c>
      <c r="W249" s="36">
        <f>INDEX(W$75:W$88,$D249)/$E249</f>
        <v/>
      </c>
      <c r="X249" s="36">
        <f>INDEX(X$75:X$88,$D249)/$E249</f>
        <v/>
      </c>
      <c r="Y249" s="36">
        <f>INDEX(Y$75:Y$88,$D249)/$E249</f>
        <v/>
      </c>
      <c r="Z249" s="23">
        <f>LOWER(Settings!$C$4)&amp;".mit."&amp;$A249&amp;IF($C249="","","."&amp;$C249&amp;"."&amp;$B249)&amp;IF(INDEX(Variables!$D$5:$D$65,MATCH($A249,Variables!$A$5:$A$65,0))="","","."&amp;INDEX(Variables!$D$5:$D$65,MATCH($A249,Variables!$A$5:$A$65,0)))&amp;"."&amp;Z$5</f>
        <v/>
      </c>
      <c r="AA249" s="38">
        <f>INDEX(AA$75:AA$88,$D249)/$E249</f>
        <v/>
      </c>
      <c r="AB249" s="36">
        <f>INDEX(AB$75:AB$88,$D249)/$E249</f>
        <v/>
      </c>
      <c r="AC249" s="36">
        <f>INDEX(AC$75:AC$88,$D249)/$E249</f>
        <v/>
      </c>
      <c r="AD249" s="36">
        <f>INDEX(AD$75:AD$88,$D249)/$E249</f>
        <v/>
      </c>
      <c r="AE249" s="36">
        <f>INDEX(AE$75:AE$88,$D249)/$E249</f>
        <v/>
      </c>
      <c r="AF249" s="36">
        <f>INDEX(AF$75:AF$88,$D249)/$E249</f>
        <v/>
      </c>
      <c r="AG249" s="36">
        <f>INDEX(AG$75:AG$88,$D249)/$E249</f>
        <v/>
      </c>
      <c r="AH249" s="36">
        <f>INDEX(AH$75:AH$88,$D249)/$E249</f>
        <v/>
      </c>
      <c r="AI249" s="36">
        <f>INDEX(AI$75:AI$88,$D249)/$E249</f>
        <v/>
      </c>
      <c r="AJ249" s="36">
        <f>INDEX(AJ$75:AJ$88,$D249)/$E249</f>
        <v/>
      </c>
      <c r="AK249" s="36">
        <f>INDEX(AK$75:AK$88,$D249)/$E249</f>
        <v/>
      </c>
      <c r="AL249" s="36">
        <f>INDEX(AL$75:AL$88,$D249)/$E249</f>
        <v/>
      </c>
      <c r="AM249" s="36">
        <f>INDEX(AM$75:AM$88,$D249)/$E249</f>
        <v/>
      </c>
      <c r="AN249" s="36">
        <f>INDEX(AN$75:AN$88,$D249)/$E249</f>
        <v/>
      </c>
    </row>
    <row r="250" hidden="1" outlineLevel="2">
      <c r="A250" s="5" t="inlineStr">
        <is>
          <t>ntx</t>
        </is>
      </c>
      <c r="B250" s="5" t="inlineStr">
        <is>
          <t>bio</t>
        </is>
      </c>
      <c r="C250" s="5" t="inlineStr">
        <is>
          <t>ral</t>
        </is>
      </c>
      <c r="D250" s="36">
        <f>INDEX(Inputs!$L$5:$L$132,MATCH($B250&amp;"|"&amp;$C250,Inputs!$A$5:$A$132,0))</f>
        <v/>
      </c>
      <c r="E250" s="36">
        <f>INDEX(Inputs!$I$5:$I$132,MATCH($B250&amp;"|"&amp;$C250,Inputs!$A$5:$A$132,0))</f>
        <v/>
      </c>
      <c r="F250" s="37" t="n"/>
      <c r="G250" s="37" t="n"/>
      <c r="H250" s="5">
        <f>INDEX(Variables!$B$5:$B$65,MATCH($A250,Variables!$A$5:$A$65,0))&amp;IF($C250="",""," | "&amp;INDEX(Mapping!$B$5:$B$25,MATCH($C250,Mapping!$A$5:$A$25,0))&amp;" | "&amp;INDEX(Mapping!$B$29:$B$38,MATCH($B250,Mapping!$A$29:$A$38,0)))</f>
        <v/>
      </c>
      <c r="I250" s="5">
        <f>INDEX(Variables!$C$5:$C$65,MATCH($A250,Variables!$A$5:$A$65,0))</f>
        <v/>
      </c>
      <c r="J250" s="5">
        <f>INDEX(Variables!$E$5:$E$65,MATCH($A250,Variables!$A$5:$A$65,0))</f>
        <v/>
      </c>
      <c r="K250" s="23">
        <f>LOWER(Settings!$C$4)&amp;".mit."&amp;$A250&amp;IF($C250="","","."&amp;$C250&amp;"."&amp;$B250)&amp;IF(INDEX(Variables!$D$5:$D$65,MATCH($A250,Variables!$A$5:$A$65,0))="","","."&amp;INDEX(Variables!$D$5:$D$65,MATCH($A250,Variables!$A$5:$A$65,0)))&amp;"."&amp;K$5</f>
        <v/>
      </c>
      <c r="L250" s="38">
        <f>INDEX(L$75:L$88,$D250)/$E250</f>
        <v/>
      </c>
      <c r="M250" s="36">
        <f>INDEX(M$75:M$88,$D250)/$E250</f>
        <v/>
      </c>
      <c r="N250" s="36">
        <f>INDEX(N$75:N$88,$D250)/$E250</f>
        <v/>
      </c>
      <c r="O250" s="36">
        <f>INDEX(O$75:O$88,$D250)/$E250</f>
        <v/>
      </c>
      <c r="P250" s="36">
        <f>INDEX(P$75:P$88,$D250)/$E250</f>
        <v/>
      </c>
      <c r="Q250" s="36">
        <f>INDEX(Q$75:Q$88,$D250)/$E250</f>
        <v/>
      </c>
      <c r="R250" s="36">
        <f>INDEX(R$75:R$88,$D250)/$E250</f>
        <v/>
      </c>
      <c r="S250" s="36">
        <f>INDEX(S$75:S$88,$D250)/$E250</f>
        <v/>
      </c>
      <c r="T250" s="36">
        <f>INDEX(T$75:T$88,$D250)/$E250</f>
        <v/>
      </c>
      <c r="U250" s="36">
        <f>INDEX(U$75:U$88,$D250)/$E250</f>
        <v/>
      </c>
      <c r="V250" s="36">
        <f>INDEX(V$75:V$88,$D250)/$E250</f>
        <v/>
      </c>
      <c r="W250" s="36">
        <f>INDEX(W$75:W$88,$D250)/$E250</f>
        <v/>
      </c>
      <c r="X250" s="36">
        <f>INDEX(X$75:X$88,$D250)/$E250</f>
        <v/>
      </c>
      <c r="Y250" s="36">
        <f>INDEX(Y$75:Y$88,$D250)/$E250</f>
        <v/>
      </c>
      <c r="Z250" s="23">
        <f>LOWER(Settings!$C$4)&amp;".mit."&amp;$A250&amp;IF($C250="","","."&amp;$C250&amp;"."&amp;$B250)&amp;IF(INDEX(Variables!$D$5:$D$65,MATCH($A250,Variables!$A$5:$A$65,0))="","","."&amp;INDEX(Variables!$D$5:$D$65,MATCH($A250,Variables!$A$5:$A$65,0)))&amp;"."&amp;Z$5</f>
        <v/>
      </c>
      <c r="AA250" s="38">
        <f>INDEX(AA$75:AA$88,$D250)/$E250</f>
        <v/>
      </c>
      <c r="AB250" s="36">
        <f>INDEX(AB$75:AB$88,$D250)/$E250</f>
        <v/>
      </c>
      <c r="AC250" s="36">
        <f>INDEX(AC$75:AC$88,$D250)/$E250</f>
        <v/>
      </c>
      <c r="AD250" s="36">
        <f>INDEX(AD$75:AD$88,$D250)/$E250</f>
        <v/>
      </c>
      <c r="AE250" s="36">
        <f>INDEX(AE$75:AE$88,$D250)/$E250</f>
        <v/>
      </c>
      <c r="AF250" s="36">
        <f>INDEX(AF$75:AF$88,$D250)/$E250</f>
        <v/>
      </c>
      <c r="AG250" s="36">
        <f>INDEX(AG$75:AG$88,$D250)/$E250</f>
        <v/>
      </c>
      <c r="AH250" s="36">
        <f>INDEX(AH$75:AH$88,$D250)/$E250</f>
        <v/>
      </c>
      <c r="AI250" s="36">
        <f>INDEX(AI$75:AI$88,$D250)/$E250</f>
        <v/>
      </c>
      <c r="AJ250" s="36">
        <f>INDEX(AJ$75:AJ$88,$D250)/$E250</f>
        <v/>
      </c>
      <c r="AK250" s="36">
        <f>INDEX(AK$75:AK$88,$D250)/$E250</f>
        <v/>
      </c>
      <c r="AL250" s="36">
        <f>INDEX(AL$75:AL$88,$D250)/$E250</f>
        <v/>
      </c>
      <c r="AM250" s="36">
        <f>INDEX(AM$75:AM$88,$D250)/$E250</f>
        <v/>
      </c>
      <c r="AN250" s="36">
        <f>INDEX(AN$75:AN$88,$D250)/$E250</f>
        <v/>
      </c>
    </row>
    <row r="251" hidden="1" outlineLevel="2"/>
    <row r="252" hidden="1" outlineLevel="2">
      <c r="A252" s="5" t="inlineStr">
        <is>
          <t>nce</t>
        </is>
      </c>
      <c r="B252" s="5" t="inlineStr">
        <is>
          <t>coa</t>
        </is>
      </c>
      <c r="C252" s="5" t="inlineStr">
        <is>
          <t>ral</t>
        </is>
      </c>
      <c r="D252" s="37" t="n"/>
      <c r="E252" s="37" t="n"/>
      <c r="F252" s="37" t="n"/>
      <c r="G252" s="37" t="n"/>
      <c r="H252" s="5">
        <f>INDEX(Variables!$B$5:$B$65,MATCH($A252,Variables!$A$5:$A$65,0))&amp;IF($C252="",""," | "&amp;INDEX(Mapping!$B$5:$B$25,MATCH($C252,Mapping!$A$5:$A$25,0))&amp;" | "&amp;INDEX(Mapping!$B$29:$B$38,MATCH($B252,Mapping!$A$29:$A$38,0)))</f>
        <v/>
      </c>
      <c r="I252" s="5">
        <f>INDEX(Variables!$C$5:$C$65,MATCH($A252,Variables!$A$5:$A$65,0))</f>
        <v/>
      </c>
      <c r="J252" s="5">
        <f>INDEX(Variables!$E$5:$E$65,MATCH($A252,Variables!$A$5:$A$65,0))</f>
        <v/>
      </c>
      <c r="K252" s="23">
        <f>LOWER(Settings!$C$4)&amp;".mit."&amp;$A252&amp;IF($C252="","","."&amp;$C252&amp;"."&amp;$B252)&amp;IF(INDEX(Variables!$D$5:$D$65,MATCH($A252,Variables!$A$5:$A$65,0))="","","."&amp;INDEX(Variables!$D$5:$D$65,MATCH($A252,Variables!$A$5:$A$65,0)))&amp;"."&amp;K$5</f>
        <v/>
      </c>
      <c r="L252" s="38">
        <f>L234+L243</f>
        <v/>
      </c>
      <c r="M252" s="36">
        <f>M234+M243</f>
        <v/>
      </c>
      <c r="N252" s="36">
        <f>N234+N243</f>
        <v/>
      </c>
      <c r="O252" s="36">
        <f>O234+O243</f>
        <v/>
      </c>
      <c r="P252" s="36">
        <f>P234+P243</f>
        <v/>
      </c>
      <c r="Q252" s="36">
        <f>Q234+Q243</f>
        <v/>
      </c>
      <c r="R252" s="36">
        <f>R234+R243</f>
        <v/>
      </c>
      <c r="S252" s="36">
        <f>S234+S243</f>
        <v/>
      </c>
      <c r="T252" s="36">
        <f>T234+T243</f>
        <v/>
      </c>
      <c r="U252" s="36">
        <f>U234+U243</f>
        <v/>
      </c>
      <c r="V252" s="36">
        <f>V234+V243</f>
        <v/>
      </c>
      <c r="W252" s="36">
        <f>W234+W243</f>
        <v/>
      </c>
      <c r="X252" s="36">
        <f>X234+X243</f>
        <v/>
      </c>
      <c r="Y252" s="36">
        <f>Y234+Y243</f>
        <v/>
      </c>
      <c r="Z252" s="23">
        <f>LOWER(Settings!$C$4)&amp;".mit."&amp;$A252&amp;IF($C252="","","."&amp;$C252&amp;"."&amp;$B252)&amp;IF(INDEX(Variables!$D$5:$D$65,MATCH($A252,Variables!$A$5:$A$65,0))="","","."&amp;INDEX(Variables!$D$5:$D$65,MATCH($A252,Variables!$A$5:$A$65,0)))&amp;"."&amp;Z$5</f>
        <v/>
      </c>
      <c r="AA252" s="38">
        <f>AA234+AA243</f>
        <v/>
      </c>
      <c r="AB252" s="36">
        <f>AB234+AB243</f>
        <v/>
      </c>
      <c r="AC252" s="36">
        <f>AC234+AC243</f>
        <v/>
      </c>
      <c r="AD252" s="36">
        <f>AD234+AD243</f>
        <v/>
      </c>
      <c r="AE252" s="36">
        <f>AE234+AE243</f>
        <v/>
      </c>
      <c r="AF252" s="36">
        <f>AF234+AF243</f>
        <v/>
      </c>
      <c r="AG252" s="36">
        <f>AG234+AG243</f>
        <v/>
      </c>
      <c r="AH252" s="36">
        <f>AH234+AH243</f>
        <v/>
      </c>
      <c r="AI252" s="36">
        <f>AI234+AI243</f>
        <v/>
      </c>
      <c r="AJ252" s="36">
        <f>AJ234+AJ243</f>
        <v/>
      </c>
      <c r="AK252" s="36">
        <f>AK234+AK243</f>
        <v/>
      </c>
      <c r="AL252" s="36">
        <f>AL234+AL243</f>
        <v/>
      </c>
      <c r="AM252" s="36">
        <f>AM234+AM243</f>
        <v/>
      </c>
      <c r="AN252" s="36">
        <f>AN234+AN243</f>
        <v/>
      </c>
    </row>
    <row r="253" hidden="1" outlineLevel="2">
      <c r="A253" s="5" t="inlineStr">
        <is>
          <t>nce</t>
        </is>
      </c>
      <c r="B253" s="5" t="inlineStr">
        <is>
          <t>nga</t>
        </is>
      </c>
      <c r="C253" s="5" t="inlineStr">
        <is>
          <t>ral</t>
        </is>
      </c>
      <c r="D253" s="37" t="n"/>
      <c r="E253" s="37" t="n"/>
      <c r="F253" s="37" t="n"/>
      <c r="G253" s="37" t="n"/>
      <c r="H253" s="5">
        <f>INDEX(Variables!$B$5:$B$65,MATCH($A253,Variables!$A$5:$A$65,0))&amp;IF($C253="",""," | "&amp;INDEX(Mapping!$B$5:$B$25,MATCH($C253,Mapping!$A$5:$A$25,0))&amp;" | "&amp;INDEX(Mapping!$B$29:$B$38,MATCH($B253,Mapping!$A$29:$A$38,0)))</f>
        <v/>
      </c>
      <c r="I253" s="5">
        <f>INDEX(Variables!$C$5:$C$65,MATCH($A253,Variables!$A$5:$A$65,0))</f>
        <v/>
      </c>
      <c r="J253" s="5">
        <f>INDEX(Variables!$E$5:$E$65,MATCH($A253,Variables!$A$5:$A$65,0))</f>
        <v/>
      </c>
      <c r="K253" s="23">
        <f>LOWER(Settings!$C$4)&amp;".mit."&amp;$A253&amp;IF($C253="","","."&amp;$C253&amp;"."&amp;$B253)&amp;IF(INDEX(Variables!$D$5:$D$65,MATCH($A253,Variables!$A$5:$A$65,0))="","","."&amp;INDEX(Variables!$D$5:$D$65,MATCH($A253,Variables!$A$5:$A$65,0)))&amp;"."&amp;K$5</f>
        <v/>
      </c>
      <c r="L253" s="38">
        <f>L235+L244</f>
        <v/>
      </c>
      <c r="M253" s="36">
        <f>M235+M244</f>
        <v/>
      </c>
      <c r="N253" s="36">
        <f>N235+N244</f>
        <v/>
      </c>
      <c r="O253" s="36">
        <f>O235+O244</f>
        <v/>
      </c>
      <c r="P253" s="36">
        <f>P235+P244</f>
        <v/>
      </c>
      <c r="Q253" s="36">
        <f>Q235+Q244</f>
        <v/>
      </c>
      <c r="R253" s="36">
        <f>R235+R244</f>
        <v/>
      </c>
      <c r="S253" s="36">
        <f>S235+S244</f>
        <v/>
      </c>
      <c r="T253" s="36">
        <f>T235+T244</f>
        <v/>
      </c>
      <c r="U253" s="36">
        <f>U235+U244</f>
        <v/>
      </c>
      <c r="V253" s="36">
        <f>V235+V244</f>
        <v/>
      </c>
      <c r="W253" s="36">
        <f>W235+W244</f>
        <v/>
      </c>
      <c r="X253" s="36">
        <f>X235+X244</f>
        <v/>
      </c>
      <c r="Y253" s="36">
        <f>Y235+Y244</f>
        <v/>
      </c>
      <c r="Z253" s="23">
        <f>LOWER(Settings!$C$4)&amp;".mit."&amp;$A253&amp;IF($C253="","","."&amp;$C253&amp;"."&amp;$B253)&amp;IF(INDEX(Variables!$D$5:$D$65,MATCH($A253,Variables!$A$5:$A$65,0))="","","."&amp;INDEX(Variables!$D$5:$D$65,MATCH($A253,Variables!$A$5:$A$65,0)))&amp;"."&amp;Z$5</f>
        <v/>
      </c>
      <c r="AA253" s="38">
        <f>AA235+AA244</f>
        <v/>
      </c>
      <c r="AB253" s="36">
        <f>AB235+AB244</f>
        <v/>
      </c>
      <c r="AC253" s="36">
        <f>AC235+AC244</f>
        <v/>
      </c>
      <c r="AD253" s="36">
        <f>AD235+AD244</f>
        <v/>
      </c>
      <c r="AE253" s="36">
        <f>AE235+AE244</f>
        <v/>
      </c>
      <c r="AF253" s="36">
        <f>AF235+AF244</f>
        <v/>
      </c>
      <c r="AG253" s="36">
        <f>AG235+AG244</f>
        <v/>
      </c>
      <c r="AH253" s="36">
        <f>AH235+AH244</f>
        <v/>
      </c>
      <c r="AI253" s="36">
        <f>AI235+AI244</f>
        <v/>
      </c>
      <c r="AJ253" s="36">
        <f>AJ235+AJ244</f>
        <v/>
      </c>
      <c r="AK253" s="36">
        <f>AK235+AK244</f>
        <v/>
      </c>
      <c r="AL253" s="36">
        <f>AL235+AL244</f>
        <v/>
      </c>
      <c r="AM253" s="36">
        <f>AM235+AM244</f>
        <v/>
      </c>
      <c r="AN253" s="36">
        <f>AN235+AN244</f>
        <v/>
      </c>
    </row>
    <row r="254" hidden="1" outlineLevel="2">
      <c r="A254" s="5" t="inlineStr">
        <is>
          <t>nce</t>
        </is>
      </c>
      <c r="B254" s="5" t="inlineStr">
        <is>
          <t>gso</t>
        </is>
      </c>
      <c r="C254" s="5" t="inlineStr">
        <is>
          <t>ral</t>
        </is>
      </c>
      <c r="D254" s="37" t="n"/>
      <c r="E254" s="37" t="n"/>
      <c r="F254" s="37" t="n"/>
      <c r="G254" s="37" t="n"/>
      <c r="H254" s="5">
        <f>INDEX(Variables!$B$5:$B$65,MATCH($A254,Variables!$A$5:$A$65,0))&amp;IF($C254="",""," | "&amp;INDEX(Mapping!$B$5:$B$25,MATCH($C254,Mapping!$A$5:$A$25,0))&amp;" | "&amp;INDEX(Mapping!$B$29:$B$38,MATCH($B254,Mapping!$A$29:$A$38,0)))</f>
        <v/>
      </c>
      <c r="I254" s="5">
        <f>INDEX(Variables!$C$5:$C$65,MATCH($A254,Variables!$A$5:$A$65,0))</f>
        <v/>
      </c>
      <c r="J254" s="5">
        <f>INDEX(Variables!$E$5:$E$65,MATCH($A254,Variables!$A$5:$A$65,0))</f>
        <v/>
      </c>
      <c r="K254" s="23">
        <f>LOWER(Settings!$C$4)&amp;".mit."&amp;$A254&amp;IF($C254="","","."&amp;$C254&amp;"."&amp;$B254)&amp;IF(INDEX(Variables!$D$5:$D$65,MATCH($A254,Variables!$A$5:$A$65,0))="","","."&amp;INDEX(Variables!$D$5:$D$65,MATCH($A254,Variables!$A$5:$A$65,0)))&amp;"."&amp;K$5</f>
        <v/>
      </c>
      <c r="L254" s="38">
        <f>L236+L245</f>
        <v/>
      </c>
      <c r="M254" s="36">
        <f>M236+M245</f>
        <v/>
      </c>
      <c r="N254" s="36">
        <f>N236+N245</f>
        <v/>
      </c>
      <c r="O254" s="36">
        <f>O236+O245</f>
        <v/>
      </c>
      <c r="P254" s="36">
        <f>P236+P245</f>
        <v/>
      </c>
      <c r="Q254" s="36">
        <f>Q236+Q245</f>
        <v/>
      </c>
      <c r="R254" s="36">
        <f>R236+R245</f>
        <v/>
      </c>
      <c r="S254" s="36">
        <f>S236+S245</f>
        <v/>
      </c>
      <c r="T254" s="36">
        <f>T236+T245</f>
        <v/>
      </c>
      <c r="U254" s="36">
        <f>U236+U245</f>
        <v/>
      </c>
      <c r="V254" s="36">
        <f>V236+V245</f>
        <v/>
      </c>
      <c r="W254" s="36">
        <f>W236+W245</f>
        <v/>
      </c>
      <c r="X254" s="36">
        <f>X236+X245</f>
        <v/>
      </c>
      <c r="Y254" s="36">
        <f>Y236+Y245</f>
        <v/>
      </c>
      <c r="Z254" s="23">
        <f>LOWER(Settings!$C$4)&amp;".mit."&amp;$A254&amp;IF($C254="","","."&amp;$C254&amp;"."&amp;$B254)&amp;IF(INDEX(Variables!$D$5:$D$65,MATCH($A254,Variables!$A$5:$A$65,0))="","","."&amp;INDEX(Variables!$D$5:$D$65,MATCH($A254,Variables!$A$5:$A$65,0)))&amp;"."&amp;Z$5</f>
        <v/>
      </c>
      <c r="AA254" s="38">
        <f>AA236+AA245</f>
        <v/>
      </c>
      <c r="AB254" s="36">
        <f>AB236+AB245</f>
        <v/>
      </c>
      <c r="AC254" s="36">
        <f>AC236+AC245</f>
        <v/>
      </c>
      <c r="AD254" s="36">
        <f>AD236+AD245</f>
        <v/>
      </c>
      <c r="AE254" s="36">
        <f>AE236+AE245</f>
        <v/>
      </c>
      <c r="AF254" s="36">
        <f>AF236+AF245</f>
        <v/>
      </c>
      <c r="AG254" s="36">
        <f>AG236+AG245</f>
        <v/>
      </c>
      <c r="AH254" s="36">
        <f>AH236+AH245</f>
        <v/>
      </c>
      <c r="AI254" s="36">
        <f>AI236+AI245</f>
        <v/>
      </c>
      <c r="AJ254" s="36">
        <f>AJ236+AJ245</f>
        <v/>
      </c>
      <c r="AK254" s="36">
        <f>AK236+AK245</f>
        <v/>
      </c>
      <c r="AL254" s="36">
        <f>AL236+AL245</f>
        <v/>
      </c>
      <c r="AM254" s="36">
        <f>AM236+AM245</f>
        <v/>
      </c>
      <c r="AN254" s="36">
        <f>AN236+AN245</f>
        <v/>
      </c>
    </row>
    <row r="255" hidden="1" outlineLevel="2">
      <c r="A255" s="5" t="inlineStr">
        <is>
          <t>nce</t>
        </is>
      </c>
      <c r="B255" s="5" t="inlineStr">
        <is>
          <t>die</t>
        </is>
      </c>
      <c r="C255" s="5" t="inlineStr">
        <is>
          <t>ral</t>
        </is>
      </c>
      <c r="D255" s="37" t="n"/>
      <c r="E255" s="37" t="n"/>
      <c r="F255" s="37" t="n"/>
      <c r="G255" s="37" t="n"/>
      <c r="H255" s="5">
        <f>INDEX(Variables!$B$5:$B$65,MATCH($A255,Variables!$A$5:$A$65,0))&amp;IF($C255="",""," | "&amp;INDEX(Mapping!$B$5:$B$25,MATCH($C255,Mapping!$A$5:$A$25,0))&amp;" | "&amp;INDEX(Mapping!$B$29:$B$38,MATCH($B255,Mapping!$A$29:$A$38,0)))</f>
        <v/>
      </c>
      <c r="I255" s="5">
        <f>INDEX(Variables!$C$5:$C$65,MATCH($A255,Variables!$A$5:$A$65,0))</f>
        <v/>
      </c>
      <c r="J255" s="5">
        <f>INDEX(Variables!$E$5:$E$65,MATCH($A255,Variables!$A$5:$A$65,0))</f>
        <v/>
      </c>
      <c r="K255" s="23">
        <f>LOWER(Settings!$C$4)&amp;".mit."&amp;$A255&amp;IF($C255="","","."&amp;$C255&amp;"."&amp;$B255)&amp;IF(INDEX(Variables!$D$5:$D$65,MATCH($A255,Variables!$A$5:$A$65,0))="","","."&amp;INDEX(Variables!$D$5:$D$65,MATCH($A255,Variables!$A$5:$A$65,0)))&amp;"."&amp;K$5</f>
        <v/>
      </c>
      <c r="L255" s="38">
        <f>L237+L246</f>
        <v/>
      </c>
      <c r="M255" s="36">
        <f>M237+M246</f>
        <v/>
      </c>
      <c r="N255" s="36">
        <f>N237+N246</f>
        <v/>
      </c>
      <c r="O255" s="36">
        <f>O237+O246</f>
        <v/>
      </c>
      <c r="P255" s="36">
        <f>P237+P246</f>
        <v/>
      </c>
      <c r="Q255" s="36">
        <f>Q237+Q246</f>
        <v/>
      </c>
      <c r="R255" s="36">
        <f>R237+R246</f>
        <v/>
      </c>
      <c r="S255" s="36">
        <f>S237+S246</f>
        <v/>
      </c>
      <c r="T255" s="36">
        <f>T237+T246</f>
        <v/>
      </c>
      <c r="U255" s="36">
        <f>U237+U246</f>
        <v/>
      </c>
      <c r="V255" s="36">
        <f>V237+V246</f>
        <v/>
      </c>
      <c r="W255" s="36">
        <f>W237+W246</f>
        <v/>
      </c>
      <c r="X255" s="36">
        <f>X237+X246</f>
        <v/>
      </c>
      <c r="Y255" s="36">
        <f>Y237+Y246</f>
        <v/>
      </c>
      <c r="Z255" s="23">
        <f>LOWER(Settings!$C$4)&amp;".mit."&amp;$A255&amp;IF($C255="","","."&amp;$C255&amp;"."&amp;$B255)&amp;IF(INDEX(Variables!$D$5:$D$65,MATCH($A255,Variables!$A$5:$A$65,0))="","","."&amp;INDEX(Variables!$D$5:$D$65,MATCH($A255,Variables!$A$5:$A$65,0)))&amp;"."&amp;Z$5</f>
        <v/>
      </c>
      <c r="AA255" s="38">
        <f>AA237+AA246</f>
        <v/>
      </c>
      <c r="AB255" s="36">
        <f>AB237+AB246</f>
        <v/>
      </c>
      <c r="AC255" s="36">
        <f>AC237+AC246</f>
        <v/>
      </c>
      <c r="AD255" s="36">
        <f>AD237+AD246</f>
        <v/>
      </c>
      <c r="AE255" s="36">
        <f>AE237+AE246</f>
        <v/>
      </c>
      <c r="AF255" s="36">
        <f>AF237+AF246</f>
        <v/>
      </c>
      <c r="AG255" s="36">
        <f>AG237+AG246</f>
        <v/>
      </c>
      <c r="AH255" s="36">
        <f>AH237+AH246</f>
        <v/>
      </c>
      <c r="AI255" s="36">
        <f>AI237+AI246</f>
        <v/>
      </c>
      <c r="AJ255" s="36">
        <f>AJ237+AJ246</f>
        <v/>
      </c>
      <c r="AK255" s="36">
        <f>AK237+AK246</f>
        <v/>
      </c>
      <c r="AL255" s="36">
        <f>AL237+AL246</f>
        <v/>
      </c>
      <c r="AM255" s="36">
        <f>AM237+AM246</f>
        <v/>
      </c>
      <c r="AN255" s="36">
        <f>AN237+AN246</f>
        <v/>
      </c>
    </row>
    <row r="256" hidden="1" outlineLevel="2">
      <c r="A256" s="5" t="inlineStr">
        <is>
          <t>nce</t>
        </is>
      </c>
      <c r="B256" s="5" t="inlineStr">
        <is>
          <t>lpg</t>
        </is>
      </c>
      <c r="C256" s="5" t="inlineStr">
        <is>
          <t>ral</t>
        </is>
      </c>
      <c r="D256" s="37" t="n"/>
      <c r="E256" s="37" t="n"/>
      <c r="F256" s="37" t="n"/>
      <c r="G256" s="37" t="n"/>
      <c r="H256" s="5">
        <f>INDEX(Variables!$B$5:$B$65,MATCH($A256,Variables!$A$5:$A$65,0))&amp;IF($C256="",""," | "&amp;INDEX(Mapping!$B$5:$B$25,MATCH($C256,Mapping!$A$5:$A$25,0))&amp;" | "&amp;INDEX(Mapping!$B$29:$B$38,MATCH($B256,Mapping!$A$29:$A$38,0)))</f>
        <v/>
      </c>
      <c r="I256" s="5">
        <f>INDEX(Variables!$C$5:$C$65,MATCH($A256,Variables!$A$5:$A$65,0))</f>
        <v/>
      </c>
      <c r="J256" s="5">
        <f>INDEX(Variables!$E$5:$E$65,MATCH($A256,Variables!$A$5:$A$65,0))</f>
        <v/>
      </c>
      <c r="K256" s="23">
        <f>LOWER(Settings!$C$4)&amp;".mit."&amp;$A256&amp;IF($C256="","","."&amp;$C256&amp;"."&amp;$B256)&amp;IF(INDEX(Variables!$D$5:$D$65,MATCH($A256,Variables!$A$5:$A$65,0))="","","."&amp;INDEX(Variables!$D$5:$D$65,MATCH($A256,Variables!$A$5:$A$65,0)))&amp;"."&amp;K$5</f>
        <v/>
      </c>
      <c r="L256" s="38">
        <f>L238+L247</f>
        <v/>
      </c>
      <c r="M256" s="36">
        <f>M238+M247</f>
        <v/>
      </c>
      <c r="N256" s="36">
        <f>N238+N247</f>
        <v/>
      </c>
      <c r="O256" s="36">
        <f>O238+O247</f>
        <v/>
      </c>
      <c r="P256" s="36">
        <f>P238+P247</f>
        <v/>
      </c>
      <c r="Q256" s="36">
        <f>Q238+Q247</f>
        <v/>
      </c>
      <c r="R256" s="36">
        <f>R238+R247</f>
        <v/>
      </c>
      <c r="S256" s="36">
        <f>S238+S247</f>
        <v/>
      </c>
      <c r="T256" s="36">
        <f>T238+T247</f>
        <v/>
      </c>
      <c r="U256" s="36">
        <f>U238+U247</f>
        <v/>
      </c>
      <c r="V256" s="36">
        <f>V238+V247</f>
        <v/>
      </c>
      <c r="W256" s="36">
        <f>W238+W247</f>
        <v/>
      </c>
      <c r="X256" s="36">
        <f>X238+X247</f>
        <v/>
      </c>
      <c r="Y256" s="36">
        <f>Y238+Y247</f>
        <v/>
      </c>
      <c r="Z256" s="23">
        <f>LOWER(Settings!$C$4)&amp;".mit."&amp;$A256&amp;IF($C256="","","."&amp;$C256&amp;"."&amp;$B256)&amp;IF(INDEX(Variables!$D$5:$D$65,MATCH($A256,Variables!$A$5:$A$65,0))="","","."&amp;INDEX(Variables!$D$5:$D$65,MATCH($A256,Variables!$A$5:$A$65,0)))&amp;"."&amp;Z$5</f>
        <v/>
      </c>
      <c r="AA256" s="38">
        <f>AA238+AA247</f>
        <v/>
      </c>
      <c r="AB256" s="36">
        <f>AB238+AB247</f>
        <v/>
      </c>
      <c r="AC256" s="36">
        <f>AC238+AC247</f>
        <v/>
      </c>
      <c r="AD256" s="36">
        <f>AD238+AD247</f>
        <v/>
      </c>
      <c r="AE256" s="36">
        <f>AE238+AE247</f>
        <v/>
      </c>
      <c r="AF256" s="36">
        <f>AF238+AF247</f>
        <v/>
      </c>
      <c r="AG256" s="36">
        <f>AG238+AG247</f>
        <v/>
      </c>
      <c r="AH256" s="36">
        <f>AH238+AH247</f>
        <v/>
      </c>
      <c r="AI256" s="36">
        <f>AI238+AI247</f>
        <v/>
      </c>
      <c r="AJ256" s="36">
        <f>AJ238+AJ247</f>
        <v/>
      </c>
      <c r="AK256" s="36">
        <f>AK238+AK247</f>
        <v/>
      </c>
      <c r="AL256" s="36">
        <f>AL238+AL247</f>
        <v/>
      </c>
      <c r="AM256" s="36">
        <f>AM238+AM247</f>
        <v/>
      </c>
      <c r="AN256" s="36">
        <f>AN238+AN247</f>
        <v/>
      </c>
    </row>
    <row r="257" hidden="1" outlineLevel="2">
      <c r="A257" s="5" t="inlineStr">
        <is>
          <t>nce</t>
        </is>
      </c>
      <c r="B257" s="5" t="inlineStr">
        <is>
          <t>ker</t>
        </is>
      </c>
      <c r="C257" s="5" t="inlineStr">
        <is>
          <t>ral</t>
        </is>
      </c>
      <c r="D257" s="37" t="n"/>
      <c r="E257" s="37" t="n"/>
      <c r="F257" s="37" t="n"/>
      <c r="G257" s="37" t="n"/>
      <c r="H257" s="5">
        <f>INDEX(Variables!$B$5:$B$65,MATCH($A257,Variables!$A$5:$A$65,0))&amp;IF($C257="",""," | "&amp;INDEX(Mapping!$B$5:$B$25,MATCH($C257,Mapping!$A$5:$A$25,0))&amp;" | "&amp;INDEX(Mapping!$B$29:$B$38,MATCH($B257,Mapping!$A$29:$A$38,0)))</f>
        <v/>
      </c>
      <c r="I257" s="5">
        <f>INDEX(Variables!$C$5:$C$65,MATCH($A257,Variables!$A$5:$A$65,0))</f>
        <v/>
      </c>
      <c r="J257" s="5">
        <f>INDEX(Variables!$E$5:$E$65,MATCH($A257,Variables!$A$5:$A$65,0))</f>
        <v/>
      </c>
      <c r="K257" s="23">
        <f>LOWER(Settings!$C$4)&amp;".mit."&amp;$A257&amp;IF($C257="","","."&amp;$C257&amp;"."&amp;$B257)&amp;IF(INDEX(Variables!$D$5:$D$65,MATCH($A257,Variables!$A$5:$A$65,0))="","","."&amp;INDEX(Variables!$D$5:$D$65,MATCH($A257,Variables!$A$5:$A$65,0)))&amp;"."&amp;K$5</f>
        <v/>
      </c>
      <c r="L257" s="38">
        <f>L239+L248</f>
        <v/>
      </c>
      <c r="M257" s="36">
        <f>M239+M248</f>
        <v/>
      </c>
      <c r="N257" s="36">
        <f>N239+N248</f>
        <v/>
      </c>
      <c r="O257" s="36">
        <f>O239+O248</f>
        <v/>
      </c>
      <c r="P257" s="36">
        <f>P239+P248</f>
        <v/>
      </c>
      <c r="Q257" s="36">
        <f>Q239+Q248</f>
        <v/>
      </c>
      <c r="R257" s="36">
        <f>R239+R248</f>
        <v/>
      </c>
      <c r="S257" s="36">
        <f>S239+S248</f>
        <v/>
      </c>
      <c r="T257" s="36">
        <f>T239+T248</f>
        <v/>
      </c>
      <c r="U257" s="36">
        <f>U239+U248</f>
        <v/>
      </c>
      <c r="V257" s="36">
        <f>V239+V248</f>
        <v/>
      </c>
      <c r="W257" s="36">
        <f>W239+W248</f>
        <v/>
      </c>
      <c r="X257" s="36">
        <f>X239+X248</f>
        <v/>
      </c>
      <c r="Y257" s="36">
        <f>Y239+Y248</f>
        <v/>
      </c>
      <c r="Z257" s="23">
        <f>LOWER(Settings!$C$4)&amp;".mit."&amp;$A257&amp;IF($C257="","","."&amp;$C257&amp;"."&amp;$B257)&amp;IF(INDEX(Variables!$D$5:$D$65,MATCH($A257,Variables!$A$5:$A$65,0))="","","."&amp;INDEX(Variables!$D$5:$D$65,MATCH($A257,Variables!$A$5:$A$65,0)))&amp;"."&amp;Z$5</f>
        <v/>
      </c>
      <c r="AA257" s="38">
        <f>AA239+AA248</f>
        <v/>
      </c>
      <c r="AB257" s="36">
        <f>AB239+AB248</f>
        <v/>
      </c>
      <c r="AC257" s="36">
        <f>AC239+AC248</f>
        <v/>
      </c>
      <c r="AD257" s="36">
        <f>AD239+AD248</f>
        <v/>
      </c>
      <c r="AE257" s="36">
        <f>AE239+AE248</f>
        <v/>
      </c>
      <c r="AF257" s="36">
        <f>AF239+AF248</f>
        <v/>
      </c>
      <c r="AG257" s="36">
        <f>AG239+AG248</f>
        <v/>
      </c>
      <c r="AH257" s="36">
        <f>AH239+AH248</f>
        <v/>
      </c>
      <c r="AI257" s="36">
        <f>AI239+AI248</f>
        <v/>
      </c>
      <c r="AJ257" s="36">
        <f>AJ239+AJ248</f>
        <v/>
      </c>
      <c r="AK257" s="36">
        <f>AK239+AK248</f>
        <v/>
      </c>
      <c r="AL257" s="36">
        <f>AL239+AL248</f>
        <v/>
      </c>
      <c r="AM257" s="36">
        <f>AM239+AM248</f>
        <v/>
      </c>
      <c r="AN257" s="36">
        <f>AN239+AN248</f>
        <v/>
      </c>
    </row>
    <row r="258" hidden="1" outlineLevel="2">
      <c r="A258" s="5" t="inlineStr">
        <is>
          <t>nce</t>
        </is>
      </c>
      <c r="B258" s="5" t="inlineStr">
        <is>
          <t>oop</t>
        </is>
      </c>
      <c r="C258" s="5" t="inlineStr">
        <is>
          <t>ral</t>
        </is>
      </c>
      <c r="D258" s="37" t="n"/>
      <c r="E258" s="37" t="n"/>
      <c r="F258" s="37" t="n"/>
      <c r="G258" s="37" t="n"/>
      <c r="H258" s="5">
        <f>INDEX(Variables!$B$5:$B$65,MATCH($A258,Variables!$A$5:$A$65,0))&amp;IF($C258="",""," | "&amp;INDEX(Mapping!$B$5:$B$25,MATCH($C258,Mapping!$A$5:$A$25,0))&amp;" | "&amp;INDEX(Mapping!$B$29:$B$38,MATCH($B258,Mapping!$A$29:$A$38,0)))</f>
        <v/>
      </c>
      <c r="I258" s="5">
        <f>INDEX(Variables!$C$5:$C$65,MATCH($A258,Variables!$A$5:$A$65,0))</f>
        <v/>
      </c>
      <c r="J258" s="5">
        <f>INDEX(Variables!$E$5:$E$65,MATCH($A258,Variables!$A$5:$A$65,0))</f>
        <v/>
      </c>
      <c r="K258" s="23">
        <f>LOWER(Settings!$C$4)&amp;".mit."&amp;$A258&amp;IF($C258="","","."&amp;$C258&amp;"."&amp;$B258)&amp;IF(INDEX(Variables!$D$5:$D$65,MATCH($A258,Variables!$A$5:$A$65,0))="","","."&amp;INDEX(Variables!$D$5:$D$65,MATCH($A258,Variables!$A$5:$A$65,0)))&amp;"."&amp;K$5</f>
        <v/>
      </c>
      <c r="L258" s="38">
        <f>L240+L249</f>
        <v/>
      </c>
      <c r="M258" s="36">
        <f>M240+M249</f>
        <v/>
      </c>
      <c r="N258" s="36">
        <f>N240+N249</f>
        <v/>
      </c>
      <c r="O258" s="36">
        <f>O240+O249</f>
        <v/>
      </c>
      <c r="P258" s="36">
        <f>P240+P249</f>
        <v/>
      </c>
      <c r="Q258" s="36">
        <f>Q240+Q249</f>
        <v/>
      </c>
      <c r="R258" s="36">
        <f>R240+R249</f>
        <v/>
      </c>
      <c r="S258" s="36">
        <f>S240+S249</f>
        <v/>
      </c>
      <c r="T258" s="36">
        <f>T240+T249</f>
        <v/>
      </c>
      <c r="U258" s="36">
        <f>U240+U249</f>
        <v/>
      </c>
      <c r="V258" s="36">
        <f>V240+V249</f>
        <v/>
      </c>
      <c r="W258" s="36">
        <f>W240+W249</f>
        <v/>
      </c>
      <c r="X258" s="36">
        <f>X240+X249</f>
        <v/>
      </c>
      <c r="Y258" s="36">
        <f>Y240+Y249</f>
        <v/>
      </c>
      <c r="Z258" s="23">
        <f>LOWER(Settings!$C$4)&amp;".mit."&amp;$A258&amp;IF($C258="","","."&amp;$C258&amp;"."&amp;$B258)&amp;IF(INDEX(Variables!$D$5:$D$65,MATCH($A258,Variables!$A$5:$A$65,0))="","","."&amp;INDEX(Variables!$D$5:$D$65,MATCH($A258,Variables!$A$5:$A$65,0)))&amp;"."&amp;Z$5</f>
        <v/>
      </c>
      <c r="AA258" s="38">
        <f>AA240+AA249</f>
        <v/>
      </c>
      <c r="AB258" s="36">
        <f>AB240+AB249</f>
        <v/>
      </c>
      <c r="AC258" s="36">
        <f>AC240+AC249</f>
        <v/>
      </c>
      <c r="AD258" s="36">
        <f>AD240+AD249</f>
        <v/>
      </c>
      <c r="AE258" s="36">
        <f>AE240+AE249</f>
        <v/>
      </c>
      <c r="AF258" s="36">
        <f>AF240+AF249</f>
        <v/>
      </c>
      <c r="AG258" s="36">
        <f>AG240+AG249</f>
        <v/>
      </c>
      <c r="AH258" s="36">
        <f>AH240+AH249</f>
        <v/>
      </c>
      <c r="AI258" s="36">
        <f>AI240+AI249</f>
        <v/>
      </c>
      <c r="AJ258" s="36">
        <f>AJ240+AJ249</f>
        <v/>
      </c>
      <c r="AK258" s="36">
        <f>AK240+AK249</f>
        <v/>
      </c>
      <c r="AL258" s="36">
        <f>AL240+AL249</f>
        <v/>
      </c>
      <c r="AM258" s="36">
        <f>AM240+AM249</f>
        <v/>
      </c>
      <c r="AN258" s="36">
        <f>AN240+AN249</f>
        <v/>
      </c>
    </row>
    <row r="259" hidden="1" outlineLevel="2">
      <c r="A259" s="5" t="inlineStr">
        <is>
          <t>nce</t>
        </is>
      </c>
      <c r="B259" s="5" t="inlineStr">
        <is>
          <t>bio</t>
        </is>
      </c>
      <c r="C259" s="5" t="inlineStr">
        <is>
          <t>ral</t>
        </is>
      </c>
      <c r="D259" s="37" t="n"/>
      <c r="E259" s="37" t="n"/>
      <c r="F259" s="37" t="n"/>
      <c r="G259" s="37" t="n"/>
      <c r="H259" s="5">
        <f>INDEX(Variables!$B$5:$B$65,MATCH($A259,Variables!$A$5:$A$65,0))&amp;IF($C259="",""," | "&amp;INDEX(Mapping!$B$5:$B$25,MATCH($C259,Mapping!$A$5:$A$25,0))&amp;" | "&amp;INDEX(Mapping!$B$29:$B$38,MATCH($B259,Mapping!$A$29:$A$38,0)))</f>
        <v/>
      </c>
      <c r="I259" s="5">
        <f>INDEX(Variables!$C$5:$C$65,MATCH($A259,Variables!$A$5:$A$65,0))</f>
        <v/>
      </c>
      <c r="J259" s="5">
        <f>INDEX(Variables!$E$5:$E$65,MATCH($A259,Variables!$A$5:$A$65,0))</f>
        <v/>
      </c>
      <c r="K259" s="23">
        <f>LOWER(Settings!$C$4)&amp;".mit."&amp;$A259&amp;IF($C259="","","."&amp;$C259&amp;"."&amp;$B259)&amp;IF(INDEX(Variables!$D$5:$D$65,MATCH($A259,Variables!$A$5:$A$65,0))="","","."&amp;INDEX(Variables!$D$5:$D$65,MATCH($A259,Variables!$A$5:$A$65,0)))&amp;"."&amp;K$5</f>
        <v/>
      </c>
      <c r="L259" s="38">
        <f>L241+L250</f>
        <v/>
      </c>
      <c r="M259" s="36">
        <f>M241+M250</f>
        <v/>
      </c>
      <c r="N259" s="36">
        <f>N241+N250</f>
        <v/>
      </c>
      <c r="O259" s="36">
        <f>O241+O250</f>
        <v/>
      </c>
      <c r="P259" s="36">
        <f>P241+P250</f>
        <v/>
      </c>
      <c r="Q259" s="36">
        <f>Q241+Q250</f>
        <v/>
      </c>
      <c r="R259" s="36">
        <f>R241+R250</f>
        <v/>
      </c>
      <c r="S259" s="36">
        <f>S241+S250</f>
        <v/>
      </c>
      <c r="T259" s="36">
        <f>T241+T250</f>
        <v/>
      </c>
      <c r="U259" s="36">
        <f>U241+U250</f>
        <v/>
      </c>
      <c r="V259" s="36">
        <f>V241+V250</f>
        <v/>
      </c>
      <c r="W259" s="36">
        <f>W241+W250</f>
        <v/>
      </c>
      <c r="X259" s="36">
        <f>X241+X250</f>
        <v/>
      </c>
      <c r="Y259" s="36">
        <f>Y241+Y250</f>
        <v/>
      </c>
      <c r="Z259" s="23">
        <f>LOWER(Settings!$C$4)&amp;".mit."&amp;$A259&amp;IF($C259="","","."&amp;$C259&amp;"."&amp;$B259)&amp;IF(INDEX(Variables!$D$5:$D$65,MATCH($A259,Variables!$A$5:$A$65,0))="","","."&amp;INDEX(Variables!$D$5:$D$65,MATCH($A259,Variables!$A$5:$A$65,0)))&amp;"."&amp;Z$5</f>
        <v/>
      </c>
      <c r="AA259" s="38">
        <f>AA241+AA250</f>
        <v/>
      </c>
      <c r="AB259" s="36">
        <f>AB241+AB250</f>
        <v/>
      </c>
      <c r="AC259" s="36">
        <f>AC241+AC250</f>
        <v/>
      </c>
      <c r="AD259" s="36">
        <f>AD241+AD250</f>
        <v/>
      </c>
      <c r="AE259" s="36">
        <f>AE241+AE250</f>
        <v/>
      </c>
      <c r="AF259" s="36">
        <f>AF241+AF250</f>
        <v/>
      </c>
      <c r="AG259" s="36">
        <f>AG241+AG250</f>
        <v/>
      </c>
      <c r="AH259" s="36">
        <f>AH241+AH250</f>
        <v/>
      </c>
      <c r="AI259" s="36">
        <f>AI241+AI250</f>
        <v/>
      </c>
      <c r="AJ259" s="36">
        <f>AJ241+AJ250</f>
        <v/>
      </c>
      <c r="AK259" s="36">
        <f>AK241+AK250</f>
        <v/>
      </c>
      <c r="AL259" s="36">
        <f>AL241+AL250</f>
        <v/>
      </c>
      <c r="AM259" s="36">
        <f>AM241+AM250</f>
        <v/>
      </c>
      <c r="AN259" s="36">
        <f>AN241+AN250</f>
        <v/>
      </c>
    </row>
    <row r="260" hidden="1" outlineLevel="2"/>
    <row r="261" hidden="1" outlineLevel="2">
      <c r="A261" s="5" t="inlineStr">
        <is>
          <t>tax</t>
        </is>
      </c>
      <c r="B261" s="5" t="inlineStr">
        <is>
          <t>coa</t>
        </is>
      </c>
      <c r="C261" s="5" t="inlineStr">
        <is>
          <t>ral</t>
        </is>
      </c>
      <c r="D261" s="36">
        <f>INDEX(Inputs!$T$5:$T$132,MATCH($B261&amp;"|"&amp;$C261,Inputs!$A$5:$A$132,0))</f>
        <v/>
      </c>
      <c r="E261" s="37" t="n"/>
      <c r="F261" s="37" t="n"/>
      <c r="G261" s="37" t="n"/>
      <c r="H261" s="5">
        <f>INDEX(Variables!$B$5:$B$65,MATCH($A261,Variables!$A$5:$A$65,0))&amp;IF($C261="",""," | "&amp;INDEX(Mapping!$B$5:$B$25,MATCH($C261,Mapping!$A$5:$A$25,0))&amp;" | "&amp;INDEX(Mapping!$B$29:$B$38,MATCH($B261,Mapping!$A$29:$A$38,0)))</f>
        <v/>
      </c>
      <c r="I261" s="5">
        <f>INDEX(Variables!$C$5:$C$65,MATCH($A261,Variables!$A$5:$A$65,0))</f>
        <v/>
      </c>
      <c r="J261" s="5">
        <f>INDEX(Variables!$E$5:$E$65,MATCH($A261,Variables!$A$5:$A$65,0))</f>
        <v/>
      </c>
      <c r="K261" s="23">
        <f>LOWER(Settings!$C$4)&amp;".mit."&amp;$A261&amp;IF($C261="","","."&amp;$C261&amp;"."&amp;$B261)&amp;IF(INDEX(Variables!$D$5:$D$65,MATCH($A261,Variables!$A$5:$A$65,0))="","","."&amp;INDEX(Variables!$D$5:$D$65,MATCH($A261,Variables!$A$5:$A$65,0)))&amp;"."&amp;K$5</f>
        <v/>
      </c>
      <c r="L261" s="38">
        <f>$D261+L252</f>
        <v/>
      </c>
      <c r="M261" s="36">
        <f>$D261+M252</f>
        <v/>
      </c>
      <c r="N261" s="36">
        <f>$D261+N252</f>
        <v/>
      </c>
      <c r="O261" s="36">
        <f>$D261+O252</f>
        <v/>
      </c>
      <c r="P261" s="36">
        <f>$D261+P252</f>
        <v/>
      </c>
      <c r="Q261" s="36">
        <f>$D261+Q252</f>
        <v/>
      </c>
      <c r="R261" s="36">
        <f>$D261+R252</f>
        <v/>
      </c>
      <c r="S261" s="36">
        <f>$D261+S252</f>
        <v/>
      </c>
      <c r="T261" s="36">
        <f>$D261+T252</f>
        <v/>
      </c>
      <c r="U261" s="36">
        <f>$D261+U252</f>
        <v/>
      </c>
      <c r="V261" s="36">
        <f>$D261+V252</f>
        <v/>
      </c>
      <c r="W261" s="36">
        <f>$D261+W252</f>
        <v/>
      </c>
      <c r="X261" s="36">
        <f>$D261+X252</f>
        <v/>
      </c>
      <c r="Y261" s="39">
        <f>TAX($D261,Y252)</f>
        <v/>
      </c>
      <c r="Z261" s="23">
        <f>LOWER(Settings!$C$4)&amp;".mit."&amp;$A261&amp;IF($C261="","","."&amp;$C261&amp;"."&amp;$B261)&amp;IF(INDEX(Variables!$D$5:$D$65,MATCH($A261,Variables!$A$5:$A$65,0))="","","."&amp;INDEX(Variables!$D$5:$D$65,MATCH($A261,Variables!$A$5:$A$65,0)))&amp;"."&amp;Z$5</f>
        <v/>
      </c>
      <c r="AA261" s="38">
        <f>$D261+AA252</f>
        <v/>
      </c>
      <c r="AB261" s="36">
        <f>$D261+AB252</f>
        <v/>
      </c>
      <c r="AC261" s="36">
        <f>$D261+AC252</f>
        <v/>
      </c>
      <c r="AD261" s="36">
        <f>$D261+AD252</f>
        <v/>
      </c>
      <c r="AE261" s="36">
        <f>$D261+AE252</f>
        <v/>
      </c>
      <c r="AF261" s="36">
        <f>$D261+AF252</f>
        <v/>
      </c>
      <c r="AG261" s="36">
        <f>$D261+AG252</f>
        <v/>
      </c>
      <c r="AH261" s="36">
        <f>$D261+AH252</f>
        <v/>
      </c>
      <c r="AI261" s="36">
        <f>$D261+AI252</f>
        <v/>
      </c>
      <c r="AJ261" s="36">
        <f>$D261+AJ252</f>
        <v/>
      </c>
      <c r="AK261" s="36">
        <f>$D261+AK252</f>
        <v/>
      </c>
      <c r="AL261" s="36">
        <f>$D261+AL252</f>
        <v/>
      </c>
      <c r="AM261" s="36">
        <f>$D261+AM252</f>
        <v/>
      </c>
      <c r="AN261" s="39">
        <f>TAX($D261,AN252)</f>
        <v/>
      </c>
    </row>
    <row r="262" hidden="1" outlineLevel="2">
      <c r="A262" s="5" t="inlineStr">
        <is>
          <t>tax</t>
        </is>
      </c>
      <c r="B262" s="5" t="inlineStr">
        <is>
          <t>nga</t>
        </is>
      </c>
      <c r="C262" s="5" t="inlineStr">
        <is>
          <t>ral</t>
        </is>
      </c>
      <c r="D262" s="36">
        <f>INDEX(Inputs!$T$5:$T$132,MATCH($B262&amp;"|"&amp;$C262,Inputs!$A$5:$A$132,0))</f>
        <v/>
      </c>
      <c r="E262" s="37" t="n"/>
      <c r="F262" s="37" t="n"/>
      <c r="G262" s="37" t="n"/>
      <c r="H262" s="5">
        <f>INDEX(Variables!$B$5:$B$65,MATCH($A262,Variables!$A$5:$A$65,0))&amp;IF($C262="",""," | "&amp;INDEX(Mapping!$B$5:$B$25,MATCH($C262,Mapping!$A$5:$A$25,0))&amp;" | "&amp;INDEX(Mapping!$B$29:$B$38,MATCH($B262,Mapping!$A$29:$A$38,0)))</f>
        <v/>
      </c>
      <c r="I262" s="5">
        <f>INDEX(Variables!$C$5:$C$65,MATCH($A262,Variables!$A$5:$A$65,0))</f>
        <v/>
      </c>
      <c r="J262" s="5">
        <f>INDEX(Variables!$E$5:$E$65,MATCH($A262,Variables!$A$5:$A$65,0))</f>
        <v/>
      </c>
      <c r="K262" s="23">
        <f>LOWER(Settings!$C$4)&amp;".mit."&amp;$A262&amp;IF($C262="","","."&amp;$C262&amp;"."&amp;$B262)&amp;IF(INDEX(Variables!$D$5:$D$65,MATCH($A262,Variables!$A$5:$A$65,0))="","","."&amp;INDEX(Variables!$D$5:$D$65,MATCH($A262,Variables!$A$5:$A$65,0)))&amp;"."&amp;K$5</f>
        <v/>
      </c>
      <c r="L262" s="38">
        <f>$D262+L253</f>
        <v/>
      </c>
      <c r="M262" s="36">
        <f>$D262+M253</f>
        <v/>
      </c>
      <c r="N262" s="36">
        <f>$D262+N253</f>
        <v/>
      </c>
      <c r="O262" s="36">
        <f>$D262+O253</f>
        <v/>
      </c>
      <c r="P262" s="36">
        <f>$D262+P253</f>
        <v/>
      </c>
      <c r="Q262" s="36">
        <f>$D262+Q253</f>
        <v/>
      </c>
      <c r="R262" s="36">
        <f>$D262+R253</f>
        <v/>
      </c>
      <c r="S262" s="36">
        <f>$D262+S253</f>
        <v/>
      </c>
      <c r="T262" s="36">
        <f>$D262+T253</f>
        <v/>
      </c>
      <c r="U262" s="36">
        <f>$D262+U253</f>
        <v/>
      </c>
      <c r="V262" s="36">
        <f>$D262+V253</f>
        <v/>
      </c>
      <c r="W262" s="36">
        <f>$D262+W253</f>
        <v/>
      </c>
      <c r="X262" s="36">
        <f>$D262+X253</f>
        <v/>
      </c>
      <c r="Y262" s="39">
        <f>TAX($D262,Y253)</f>
        <v/>
      </c>
      <c r="Z262" s="23">
        <f>LOWER(Settings!$C$4)&amp;".mit."&amp;$A262&amp;IF($C262="","","."&amp;$C262&amp;"."&amp;$B262)&amp;IF(INDEX(Variables!$D$5:$D$65,MATCH($A262,Variables!$A$5:$A$65,0))="","","."&amp;INDEX(Variables!$D$5:$D$65,MATCH($A262,Variables!$A$5:$A$65,0)))&amp;"."&amp;Z$5</f>
        <v/>
      </c>
      <c r="AA262" s="38">
        <f>$D262+AA253</f>
        <v/>
      </c>
      <c r="AB262" s="36">
        <f>$D262+AB253</f>
        <v/>
      </c>
      <c r="AC262" s="36">
        <f>$D262+AC253</f>
        <v/>
      </c>
      <c r="AD262" s="36">
        <f>$D262+AD253</f>
        <v/>
      </c>
      <c r="AE262" s="36">
        <f>$D262+AE253</f>
        <v/>
      </c>
      <c r="AF262" s="36">
        <f>$D262+AF253</f>
        <v/>
      </c>
      <c r="AG262" s="36">
        <f>$D262+AG253</f>
        <v/>
      </c>
      <c r="AH262" s="36">
        <f>$D262+AH253</f>
        <v/>
      </c>
      <c r="AI262" s="36">
        <f>$D262+AI253</f>
        <v/>
      </c>
      <c r="AJ262" s="36">
        <f>$D262+AJ253</f>
        <v/>
      </c>
      <c r="AK262" s="36">
        <f>$D262+AK253</f>
        <v/>
      </c>
      <c r="AL262" s="36">
        <f>$D262+AL253</f>
        <v/>
      </c>
      <c r="AM262" s="36">
        <f>$D262+AM253</f>
        <v/>
      </c>
      <c r="AN262" s="39">
        <f>TAX($D262,AN253)</f>
        <v/>
      </c>
    </row>
    <row r="263" hidden="1" outlineLevel="2">
      <c r="A263" s="5" t="inlineStr">
        <is>
          <t>tax</t>
        </is>
      </c>
      <c r="B263" s="5" t="inlineStr">
        <is>
          <t>gso</t>
        </is>
      </c>
      <c r="C263" s="5" t="inlineStr">
        <is>
          <t>ral</t>
        </is>
      </c>
      <c r="D263" s="36">
        <f>INDEX(Inputs!$T$5:$T$132,MATCH($B263&amp;"|"&amp;$C263,Inputs!$A$5:$A$132,0))</f>
        <v/>
      </c>
      <c r="E263" s="37" t="n"/>
      <c r="F263" s="37" t="n"/>
      <c r="G263" s="37" t="n"/>
      <c r="H263" s="5">
        <f>INDEX(Variables!$B$5:$B$65,MATCH($A263,Variables!$A$5:$A$65,0))&amp;IF($C263="",""," | "&amp;INDEX(Mapping!$B$5:$B$25,MATCH($C263,Mapping!$A$5:$A$25,0))&amp;" | "&amp;INDEX(Mapping!$B$29:$B$38,MATCH($B263,Mapping!$A$29:$A$38,0)))</f>
        <v/>
      </c>
      <c r="I263" s="5">
        <f>INDEX(Variables!$C$5:$C$65,MATCH($A263,Variables!$A$5:$A$65,0))</f>
        <v/>
      </c>
      <c r="J263" s="5">
        <f>INDEX(Variables!$E$5:$E$65,MATCH($A263,Variables!$A$5:$A$65,0))</f>
        <v/>
      </c>
      <c r="K263" s="23">
        <f>LOWER(Settings!$C$4)&amp;".mit."&amp;$A263&amp;IF($C263="","","."&amp;$C263&amp;"."&amp;$B263)&amp;IF(INDEX(Variables!$D$5:$D$65,MATCH($A263,Variables!$A$5:$A$65,0))="","","."&amp;INDEX(Variables!$D$5:$D$65,MATCH($A263,Variables!$A$5:$A$65,0)))&amp;"."&amp;K$5</f>
        <v/>
      </c>
      <c r="L263" s="38">
        <f>$D263+L254</f>
        <v/>
      </c>
      <c r="M263" s="36">
        <f>$D263+M254</f>
        <v/>
      </c>
      <c r="N263" s="36">
        <f>$D263+N254</f>
        <v/>
      </c>
      <c r="O263" s="36">
        <f>$D263+O254</f>
        <v/>
      </c>
      <c r="P263" s="36">
        <f>$D263+P254</f>
        <v/>
      </c>
      <c r="Q263" s="36">
        <f>$D263+Q254</f>
        <v/>
      </c>
      <c r="R263" s="36">
        <f>$D263+R254</f>
        <v/>
      </c>
      <c r="S263" s="36">
        <f>$D263+S254</f>
        <v/>
      </c>
      <c r="T263" s="36">
        <f>$D263+T254</f>
        <v/>
      </c>
      <c r="U263" s="36">
        <f>$D263+U254</f>
        <v/>
      </c>
      <c r="V263" s="36">
        <f>$D263+V254</f>
        <v/>
      </c>
      <c r="W263" s="36">
        <f>$D263+W254</f>
        <v/>
      </c>
      <c r="X263" s="36">
        <f>$D263+X254</f>
        <v/>
      </c>
      <c r="Y263" s="39">
        <f>TAX($D263,Y254)</f>
        <v/>
      </c>
      <c r="Z263" s="23">
        <f>LOWER(Settings!$C$4)&amp;".mit."&amp;$A263&amp;IF($C263="","","."&amp;$C263&amp;"."&amp;$B263)&amp;IF(INDEX(Variables!$D$5:$D$65,MATCH($A263,Variables!$A$5:$A$65,0))="","","."&amp;INDEX(Variables!$D$5:$D$65,MATCH($A263,Variables!$A$5:$A$65,0)))&amp;"."&amp;Z$5</f>
        <v/>
      </c>
      <c r="AA263" s="38">
        <f>$D263+AA254</f>
        <v/>
      </c>
      <c r="AB263" s="36">
        <f>$D263+AB254</f>
        <v/>
      </c>
      <c r="AC263" s="36">
        <f>$D263+AC254</f>
        <v/>
      </c>
      <c r="AD263" s="36">
        <f>$D263+AD254</f>
        <v/>
      </c>
      <c r="AE263" s="36">
        <f>$D263+AE254</f>
        <v/>
      </c>
      <c r="AF263" s="36">
        <f>$D263+AF254</f>
        <v/>
      </c>
      <c r="AG263" s="36">
        <f>$D263+AG254</f>
        <v/>
      </c>
      <c r="AH263" s="36">
        <f>$D263+AH254</f>
        <v/>
      </c>
      <c r="AI263" s="36">
        <f>$D263+AI254</f>
        <v/>
      </c>
      <c r="AJ263" s="36">
        <f>$D263+AJ254</f>
        <v/>
      </c>
      <c r="AK263" s="36">
        <f>$D263+AK254</f>
        <v/>
      </c>
      <c r="AL263" s="36">
        <f>$D263+AL254</f>
        <v/>
      </c>
      <c r="AM263" s="36">
        <f>$D263+AM254</f>
        <v/>
      </c>
      <c r="AN263" s="39">
        <f>TAX($D263,AN254)</f>
        <v/>
      </c>
    </row>
    <row r="264" hidden="1" outlineLevel="2">
      <c r="A264" s="5" t="inlineStr">
        <is>
          <t>tax</t>
        </is>
      </c>
      <c r="B264" s="5" t="inlineStr">
        <is>
          <t>die</t>
        </is>
      </c>
      <c r="C264" s="5" t="inlineStr">
        <is>
          <t>ral</t>
        </is>
      </c>
      <c r="D264" s="36">
        <f>INDEX(Inputs!$T$5:$T$132,MATCH($B264&amp;"|"&amp;$C264,Inputs!$A$5:$A$132,0))</f>
        <v/>
      </c>
      <c r="E264" s="37" t="n"/>
      <c r="F264" s="37" t="n"/>
      <c r="G264" s="37" t="n"/>
      <c r="H264" s="5">
        <f>INDEX(Variables!$B$5:$B$65,MATCH($A264,Variables!$A$5:$A$65,0))&amp;IF($C264="",""," | "&amp;INDEX(Mapping!$B$5:$B$25,MATCH($C264,Mapping!$A$5:$A$25,0))&amp;" | "&amp;INDEX(Mapping!$B$29:$B$38,MATCH($B264,Mapping!$A$29:$A$38,0)))</f>
        <v/>
      </c>
      <c r="I264" s="5">
        <f>INDEX(Variables!$C$5:$C$65,MATCH($A264,Variables!$A$5:$A$65,0))</f>
        <v/>
      </c>
      <c r="J264" s="5">
        <f>INDEX(Variables!$E$5:$E$65,MATCH($A264,Variables!$A$5:$A$65,0))</f>
        <v/>
      </c>
      <c r="K264" s="23">
        <f>LOWER(Settings!$C$4)&amp;".mit."&amp;$A264&amp;IF($C264="","","."&amp;$C264&amp;"."&amp;$B264)&amp;IF(INDEX(Variables!$D$5:$D$65,MATCH($A264,Variables!$A$5:$A$65,0))="","","."&amp;INDEX(Variables!$D$5:$D$65,MATCH($A264,Variables!$A$5:$A$65,0)))&amp;"."&amp;K$5</f>
        <v/>
      </c>
      <c r="L264" s="38">
        <f>$D264+L255</f>
        <v/>
      </c>
      <c r="M264" s="36">
        <f>$D264+M255</f>
        <v/>
      </c>
      <c r="N264" s="36">
        <f>$D264+N255</f>
        <v/>
      </c>
      <c r="O264" s="36">
        <f>$D264+O255</f>
        <v/>
      </c>
      <c r="P264" s="36">
        <f>$D264+P255</f>
        <v/>
      </c>
      <c r="Q264" s="36">
        <f>$D264+Q255</f>
        <v/>
      </c>
      <c r="R264" s="36">
        <f>$D264+R255</f>
        <v/>
      </c>
      <c r="S264" s="36">
        <f>$D264+S255</f>
        <v/>
      </c>
      <c r="T264" s="36">
        <f>$D264+T255</f>
        <v/>
      </c>
      <c r="U264" s="36">
        <f>$D264+U255</f>
        <v/>
      </c>
      <c r="V264" s="36">
        <f>$D264+V255</f>
        <v/>
      </c>
      <c r="W264" s="36">
        <f>$D264+W255</f>
        <v/>
      </c>
      <c r="X264" s="36">
        <f>$D264+X255</f>
        <v/>
      </c>
      <c r="Y264" s="39">
        <f>TAX($D264,Y255)</f>
        <v/>
      </c>
      <c r="Z264" s="23">
        <f>LOWER(Settings!$C$4)&amp;".mit."&amp;$A264&amp;IF($C264="","","."&amp;$C264&amp;"."&amp;$B264)&amp;IF(INDEX(Variables!$D$5:$D$65,MATCH($A264,Variables!$A$5:$A$65,0))="","","."&amp;INDEX(Variables!$D$5:$D$65,MATCH($A264,Variables!$A$5:$A$65,0)))&amp;"."&amp;Z$5</f>
        <v/>
      </c>
      <c r="AA264" s="38">
        <f>$D264+AA255</f>
        <v/>
      </c>
      <c r="AB264" s="36">
        <f>$D264+AB255</f>
        <v/>
      </c>
      <c r="AC264" s="36">
        <f>$D264+AC255</f>
        <v/>
      </c>
      <c r="AD264" s="36">
        <f>$D264+AD255</f>
        <v/>
      </c>
      <c r="AE264" s="36">
        <f>$D264+AE255</f>
        <v/>
      </c>
      <c r="AF264" s="36">
        <f>$D264+AF255</f>
        <v/>
      </c>
      <c r="AG264" s="36">
        <f>$D264+AG255</f>
        <v/>
      </c>
      <c r="AH264" s="36">
        <f>$D264+AH255</f>
        <v/>
      </c>
      <c r="AI264" s="36">
        <f>$D264+AI255</f>
        <v/>
      </c>
      <c r="AJ264" s="36">
        <f>$D264+AJ255</f>
        <v/>
      </c>
      <c r="AK264" s="36">
        <f>$D264+AK255</f>
        <v/>
      </c>
      <c r="AL264" s="36">
        <f>$D264+AL255</f>
        <v/>
      </c>
      <c r="AM264" s="36">
        <f>$D264+AM255</f>
        <v/>
      </c>
      <c r="AN264" s="39">
        <f>TAX($D264,AN255)</f>
        <v/>
      </c>
    </row>
    <row r="265" hidden="1" outlineLevel="2">
      <c r="A265" s="5" t="inlineStr">
        <is>
          <t>tax</t>
        </is>
      </c>
      <c r="B265" s="5" t="inlineStr">
        <is>
          <t>lpg</t>
        </is>
      </c>
      <c r="C265" s="5" t="inlineStr">
        <is>
          <t>ral</t>
        </is>
      </c>
      <c r="D265" s="36">
        <f>INDEX(Inputs!$T$5:$T$132,MATCH($B265&amp;"|"&amp;$C265,Inputs!$A$5:$A$132,0))</f>
        <v/>
      </c>
      <c r="E265" s="37" t="n"/>
      <c r="F265" s="37" t="n"/>
      <c r="G265" s="37" t="n"/>
      <c r="H265" s="5">
        <f>INDEX(Variables!$B$5:$B$65,MATCH($A265,Variables!$A$5:$A$65,0))&amp;IF($C265="",""," | "&amp;INDEX(Mapping!$B$5:$B$25,MATCH($C265,Mapping!$A$5:$A$25,0))&amp;" | "&amp;INDEX(Mapping!$B$29:$B$38,MATCH($B265,Mapping!$A$29:$A$38,0)))</f>
        <v/>
      </c>
      <c r="I265" s="5">
        <f>INDEX(Variables!$C$5:$C$65,MATCH($A265,Variables!$A$5:$A$65,0))</f>
        <v/>
      </c>
      <c r="J265" s="5">
        <f>INDEX(Variables!$E$5:$E$65,MATCH($A265,Variables!$A$5:$A$65,0))</f>
        <v/>
      </c>
      <c r="K265" s="23">
        <f>LOWER(Settings!$C$4)&amp;".mit."&amp;$A265&amp;IF($C265="","","."&amp;$C265&amp;"."&amp;$B265)&amp;IF(INDEX(Variables!$D$5:$D$65,MATCH($A265,Variables!$A$5:$A$65,0))="","","."&amp;INDEX(Variables!$D$5:$D$65,MATCH($A265,Variables!$A$5:$A$65,0)))&amp;"."&amp;K$5</f>
        <v/>
      </c>
      <c r="L265" s="38">
        <f>$D265+L256</f>
        <v/>
      </c>
      <c r="M265" s="36">
        <f>$D265+M256</f>
        <v/>
      </c>
      <c r="N265" s="36">
        <f>$D265+N256</f>
        <v/>
      </c>
      <c r="O265" s="36">
        <f>$D265+O256</f>
        <v/>
      </c>
      <c r="P265" s="36">
        <f>$D265+P256</f>
        <v/>
      </c>
      <c r="Q265" s="36">
        <f>$D265+Q256</f>
        <v/>
      </c>
      <c r="R265" s="36">
        <f>$D265+R256</f>
        <v/>
      </c>
      <c r="S265" s="36">
        <f>$D265+S256</f>
        <v/>
      </c>
      <c r="T265" s="36">
        <f>$D265+T256</f>
        <v/>
      </c>
      <c r="U265" s="36">
        <f>$D265+U256</f>
        <v/>
      </c>
      <c r="V265" s="36">
        <f>$D265+V256</f>
        <v/>
      </c>
      <c r="W265" s="36">
        <f>$D265+W256</f>
        <v/>
      </c>
      <c r="X265" s="36">
        <f>$D265+X256</f>
        <v/>
      </c>
      <c r="Y265" s="39">
        <f>TAX($D265,Y256)</f>
        <v/>
      </c>
      <c r="Z265" s="23">
        <f>LOWER(Settings!$C$4)&amp;".mit."&amp;$A265&amp;IF($C265="","","."&amp;$C265&amp;"."&amp;$B265)&amp;IF(INDEX(Variables!$D$5:$D$65,MATCH($A265,Variables!$A$5:$A$65,0))="","","."&amp;INDEX(Variables!$D$5:$D$65,MATCH($A265,Variables!$A$5:$A$65,0)))&amp;"."&amp;Z$5</f>
        <v/>
      </c>
      <c r="AA265" s="38">
        <f>$D265+AA256</f>
        <v/>
      </c>
      <c r="AB265" s="36">
        <f>$D265+AB256</f>
        <v/>
      </c>
      <c r="AC265" s="36">
        <f>$D265+AC256</f>
        <v/>
      </c>
      <c r="AD265" s="36">
        <f>$D265+AD256</f>
        <v/>
      </c>
      <c r="AE265" s="36">
        <f>$D265+AE256</f>
        <v/>
      </c>
      <c r="AF265" s="36">
        <f>$D265+AF256</f>
        <v/>
      </c>
      <c r="AG265" s="36">
        <f>$D265+AG256</f>
        <v/>
      </c>
      <c r="AH265" s="36">
        <f>$D265+AH256</f>
        <v/>
      </c>
      <c r="AI265" s="36">
        <f>$D265+AI256</f>
        <v/>
      </c>
      <c r="AJ265" s="36">
        <f>$D265+AJ256</f>
        <v/>
      </c>
      <c r="AK265" s="36">
        <f>$D265+AK256</f>
        <v/>
      </c>
      <c r="AL265" s="36">
        <f>$D265+AL256</f>
        <v/>
      </c>
      <c r="AM265" s="36">
        <f>$D265+AM256</f>
        <v/>
      </c>
      <c r="AN265" s="39">
        <f>TAX($D265,AN256)</f>
        <v/>
      </c>
    </row>
    <row r="266" hidden="1" outlineLevel="2">
      <c r="A266" s="5" t="inlineStr">
        <is>
          <t>tax</t>
        </is>
      </c>
      <c r="B266" s="5" t="inlineStr">
        <is>
          <t>ker</t>
        </is>
      </c>
      <c r="C266" s="5" t="inlineStr">
        <is>
          <t>ral</t>
        </is>
      </c>
      <c r="D266" s="36">
        <f>INDEX(Inputs!$T$5:$T$132,MATCH($B266&amp;"|"&amp;$C266,Inputs!$A$5:$A$132,0))</f>
        <v/>
      </c>
      <c r="E266" s="37" t="n"/>
      <c r="F266" s="37" t="n"/>
      <c r="G266" s="37" t="n"/>
      <c r="H266" s="5">
        <f>INDEX(Variables!$B$5:$B$65,MATCH($A266,Variables!$A$5:$A$65,0))&amp;IF($C266="",""," | "&amp;INDEX(Mapping!$B$5:$B$25,MATCH($C266,Mapping!$A$5:$A$25,0))&amp;" | "&amp;INDEX(Mapping!$B$29:$B$38,MATCH($B266,Mapping!$A$29:$A$38,0)))</f>
        <v/>
      </c>
      <c r="I266" s="5">
        <f>INDEX(Variables!$C$5:$C$65,MATCH($A266,Variables!$A$5:$A$65,0))</f>
        <v/>
      </c>
      <c r="J266" s="5">
        <f>INDEX(Variables!$E$5:$E$65,MATCH($A266,Variables!$A$5:$A$65,0))</f>
        <v/>
      </c>
      <c r="K266" s="23">
        <f>LOWER(Settings!$C$4)&amp;".mit."&amp;$A266&amp;IF($C266="","","."&amp;$C266&amp;"."&amp;$B266)&amp;IF(INDEX(Variables!$D$5:$D$65,MATCH($A266,Variables!$A$5:$A$65,0))="","","."&amp;INDEX(Variables!$D$5:$D$65,MATCH($A266,Variables!$A$5:$A$65,0)))&amp;"."&amp;K$5</f>
        <v/>
      </c>
      <c r="L266" s="38">
        <f>$D266+L257</f>
        <v/>
      </c>
      <c r="M266" s="36">
        <f>$D266+M257</f>
        <v/>
      </c>
      <c r="N266" s="36">
        <f>$D266+N257</f>
        <v/>
      </c>
      <c r="O266" s="36">
        <f>$D266+O257</f>
        <v/>
      </c>
      <c r="P266" s="36">
        <f>$D266+P257</f>
        <v/>
      </c>
      <c r="Q266" s="36">
        <f>$D266+Q257</f>
        <v/>
      </c>
      <c r="R266" s="36">
        <f>$D266+R257</f>
        <v/>
      </c>
      <c r="S266" s="36">
        <f>$D266+S257</f>
        <v/>
      </c>
      <c r="T266" s="36">
        <f>$D266+T257</f>
        <v/>
      </c>
      <c r="U266" s="36">
        <f>$D266+U257</f>
        <v/>
      </c>
      <c r="V266" s="36">
        <f>$D266+V257</f>
        <v/>
      </c>
      <c r="W266" s="36">
        <f>$D266+W257</f>
        <v/>
      </c>
      <c r="X266" s="36">
        <f>$D266+X257</f>
        <v/>
      </c>
      <c r="Y266" s="39">
        <f>TAX($D266,Y257)</f>
        <v/>
      </c>
      <c r="Z266" s="23">
        <f>LOWER(Settings!$C$4)&amp;".mit."&amp;$A266&amp;IF($C266="","","."&amp;$C266&amp;"."&amp;$B266)&amp;IF(INDEX(Variables!$D$5:$D$65,MATCH($A266,Variables!$A$5:$A$65,0))="","","."&amp;INDEX(Variables!$D$5:$D$65,MATCH($A266,Variables!$A$5:$A$65,0)))&amp;"."&amp;Z$5</f>
        <v/>
      </c>
      <c r="AA266" s="38">
        <f>$D266+AA257</f>
        <v/>
      </c>
      <c r="AB266" s="36">
        <f>$D266+AB257</f>
        <v/>
      </c>
      <c r="AC266" s="36">
        <f>$D266+AC257</f>
        <v/>
      </c>
      <c r="AD266" s="36">
        <f>$D266+AD257</f>
        <v/>
      </c>
      <c r="AE266" s="36">
        <f>$D266+AE257</f>
        <v/>
      </c>
      <c r="AF266" s="36">
        <f>$D266+AF257</f>
        <v/>
      </c>
      <c r="AG266" s="36">
        <f>$D266+AG257</f>
        <v/>
      </c>
      <c r="AH266" s="36">
        <f>$D266+AH257</f>
        <v/>
      </c>
      <c r="AI266" s="36">
        <f>$D266+AI257</f>
        <v/>
      </c>
      <c r="AJ266" s="36">
        <f>$D266+AJ257</f>
        <v/>
      </c>
      <c r="AK266" s="36">
        <f>$D266+AK257</f>
        <v/>
      </c>
      <c r="AL266" s="36">
        <f>$D266+AL257</f>
        <v/>
      </c>
      <c r="AM266" s="36">
        <f>$D266+AM257</f>
        <v/>
      </c>
      <c r="AN266" s="39">
        <f>TAX($D266,AN257)</f>
        <v/>
      </c>
    </row>
    <row r="267" hidden="1" outlineLevel="2">
      <c r="A267" s="5" t="inlineStr">
        <is>
          <t>tax</t>
        </is>
      </c>
      <c r="B267" s="5" t="inlineStr">
        <is>
          <t>oop</t>
        </is>
      </c>
      <c r="C267" s="5" t="inlineStr">
        <is>
          <t>ral</t>
        </is>
      </c>
      <c r="D267" s="36">
        <f>INDEX(Inputs!$T$5:$T$132,MATCH($B267&amp;"|"&amp;$C267,Inputs!$A$5:$A$132,0))</f>
        <v/>
      </c>
      <c r="E267" s="37" t="n"/>
      <c r="F267" s="37" t="n"/>
      <c r="G267" s="37" t="n"/>
      <c r="H267" s="5">
        <f>INDEX(Variables!$B$5:$B$65,MATCH($A267,Variables!$A$5:$A$65,0))&amp;IF($C267="",""," | "&amp;INDEX(Mapping!$B$5:$B$25,MATCH($C267,Mapping!$A$5:$A$25,0))&amp;" | "&amp;INDEX(Mapping!$B$29:$B$38,MATCH($B267,Mapping!$A$29:$A$38,0)))</f>
        <v/>
      </c>
      <c r="I267" s="5">
        <f>INDEX(Variables!$C$5:$C$65,MATCH($A267,Variables!$A$5:$A$65,0))</f>
        <v/>
      </c>
      <c r="J267" s="5">
        <f>INDEX(Variables!$E$5:$E$65,MATCH($A267,Variables!$A$5:$A$65,0))</f>
        <v/>
      </c>
      <c r="K267" s="23">
        <f>LOWER(Settings!$C$4)&amp;".mit."&amp;$A267&amp;IF($C267="","","."&amp;$C267&amp;"."&amp;$B267)&amp;IF(INDEX(Variables!$D$5:$D$65,MATCH($A267,Variables!$A$5:$A$65,0))="","","."&amp;INDEX(Variables!$D$5:$D$65,MATCH($A267,Variables!$A$5:$A$65,0)))&amp;"."&amp;K$5</f>
        <v/>
      </c>
      <c r="L267" s="38">
        <f>$D267+L258</f>
        <v/>
      </c>
      <c r="M267" s="36">
        <f>$D267+M258</f>
        <v/>
      </c>
      <c r="N267" s="36">
        <f>$D267+N258</f>
        <v/>
      </c>
      <c r="O267" s="36">
        <f>$D267+O258</f>
        <v/>
      </c>
      <c r="P267" s="36">
        <f>$D267+P258</f>
        <v/>
      </c>
      <c r="Q267" s="36">
        <f>$D267+Q258</f>
        <v/>
      </c>
      <c r="R267" s="36">
        <f>$D267+R258</f>
        <v/>
      </c>
      <c r="S267" s="36">
        <f>$D267+S258</f>
        <v/>
      </c>
      <c r="T267" s="36">
        <f>$D267+T258</f>
        <v/>
      </c>
      <c r="U267" s="36">
        <f>$D267+U258</f>
        <v/>
      </c>
      <c r="V267" s="36">
        <f>$D267+V258</f>
        <v/>
      </c>
      <c r="W267" s="36">
        <f>$D267+W258</f>
        <v/>
      </c>
      <c r="X267" s="36">
        <f>$D267+X258</f>
        <v/>
      </c>
      <c r="Y267" s="39">
        <f>TAX($D267,Y258)</f>
        <v/>
      </c>
      <c r="Z267" s="23">
        <f>LOWER(Settings!$C$4)&amp;".mit."&amp;$A267&amp;IF($C267="","","."&amp;$C267&amp;"."&amp;$B267)&amp;IF(INDEX(Variables!$D$5:$D$65,MATCH($A267,Variables!$A$5:$A$65,0))="","","."&amp;INDEX(Variables!$D$5:$D$65,MATCH($A267,Variables!$A$5:$A$65,0)))&amp;"."&amp;Z$5</f>
        <v/>
      </c>
      <c r="AA267" s="38">
        <f>$D267+AA258</f>
        <v/>
      </c>
      <c r="AB267" s="36">
        <f>$D267+AB258</f>
        <v/>
      </c>
      <c r="AC267" s="36">
        <f>$D267+AC258</f>
        <v/>
      </c>
      <c r="AD267" s="36">
        <f>$D267+AD258</f>
        <v/>
      </c>
      <c r="AE267" s="36">
        <f>$D267+AE258</f>
        <v/>
      </c>
      <c r="AF267" s="36">
        <f>$D267+AF258</f>
        <v/>
      </c>
      <c r="AG267" s="36">
        <f>$D267+AG258</f>
        <v/>
      </c>
      <c r="AH267" s="36">
        <f>$D267+AH258</f>
        <v/>
      </c>
      <c r="AI267" s="36">
        <f>$D267+AI258</f>
        <v/>
      </c>
      <c r="AJ267" s="36">
        <f>$D267+AJ258</f>
        <v/>
      </c>
      <c r="AK267" s="36">
        <f>$D267+AK258</f>
        <v/>
      </c>
      <c r="AL267" s="36">
        <f>$D267+AL258</f>
        <v/>
      </c>
      <c r="AM267" s="36">
        <f>$D267+AM258</f>
        <v/>
      </c>
      <c r="AN267" s="39">
        <f>TAX($D267,AN258)</f>
        <v/>
      </c>
    </row>
    <row r="268" hidden="1" outlineLevel="2">
      <c r="A268" s="5" t="inlineStr">
        <is>
          <t>tax</t>
        </is>
      </c>
      <c r="B268" s="5" t="inlineStr">
        <is>
          <t>bio</t>
        </is>
      </c>
      <c r="C268" s="5" t="inlineStr">
        <is>
          <t>ral</t>
        </is>
      </c>
      <c r="D268" s="36">
        <f>INDEX(Inputs!$T$5:$T$132,MATCH($B268&amp;"|"&amp;$C268,Inputs!$A$5:$A$132,0))</f>
        <v/>
      </c>
      <c r="E268" s="37" t="n"/>
      <c r="F268" s="37" t="n"/>
      <c r="G268" s="37" t="n"/>
      <c r="H268" s="5">
        <f>INDEX(Variables!$B$5:$B$65,MATCH($A268,Variables!$A$5:$A$65,0))&amp;IF($C268="",""," | "&amp;INDEX(Mapping!$B$5:$B$25,MATCH($C268,Mapping!$A$5:$A$25,0))&amp;" | "&amp;INDEX(Mapping!$B$29:$B$38,MATCH($B268,Mapping!$A$29:$A$38,0)))</f>
        <v/>
      </c>
      <c r="I268" s="5">
        <f>INDEX(Variables!$C$5:$C$65,MATCH($A268,Variables!$A$5:$A$65,0))</f>
        <v/>
      </c>
      <c r="J268" s="5">
        <f>INDEX(Variables!$E$5:$E$65,MATCH($A268,Variables!$A$5:$A$65,0))</f>
        <v/>
      </c>
      <c r="K268" s="23">
        <f>LOWER(Settings!$C$4)&amp;".mit."&amp;$A268&amp;IF($C268="","","."&amp;$C268&amp;"."&amp;$B268)&amp;IF(INDEX(Variables!$D$5:$D$65,MATCH($A268,Variables!$A$5:$A$65,0))="","","."&amp;INDEX(Variables!$D$5:$D$65,MATCH($A268,Variables!$A$5:$A$65,0)))&amp;"."&amp;K$5</f>
        <v/>
      </c>
      <c r="L268" s="38">
        <f>$D268+L259</f>
        <v/>
      </c>
      <c r="M268" s="36">
        <f>$D268+M259</f>
        <v/>
      </c>
      <c r="N268" s="36">
        <f>$D268+N259</f>
        <v/>
      </c>
      <c r="O268" s="36">
        <f>$D268+O259</f>
        <v/>
      </c>
      <c r="P268" s="36">
        <f>$D268+P259</f>
        <v/>
      </c>
      <c r="Q268" s="36">
        <f>$D268+Q259</f>
        <v/>
      </c>
      <c r="R268" s="36">
        <f>$D268+R259</f>
        <v/>
      </c>
      <c r="S268" s="36">
        <f>$D268+S259</f>
        <v/>
      </c>
      <c r="T268" s="36">
        <f>$D268+T259</f>
        <v/>
      </c>
      <c r="U268" s="36">
        <f>$D268+U259</f>
        <v/>
      </c>
      <c r="V268" s="36">
        <f>$D268+V259</f>
        <v/>
      </c>
      <c r="W268" s="36">
        <f>$D268+W259</f>
        <v/>
      </c>
      <c r="X268" s="36">
        <f>$D268+X259</f>
        <v/>
      </c>
      <c r="Y268" s="39">
        <f>TAX($D268,Y259)</f>
        <v/>
      </c>
      <c r="Z268" s="23">
        <f>LOWER(Settings!$C$4)&amp;".mit."&amp;$A268&amp;IF($C268="","","."&amp;$C268&amp;"."&amp;$B268)&amp;IF(INDEX(Variables!$D$5:$D$65,MATCH($A268,Variables!$A$5:$A$65,0))="","","."&amp;INDEX(Variables!$D$5:$D$65,MATCH($A268,Variables!$A$5:$A$65,0)))&amp;"."&amp;Z$5</f>
        <v/>
      </c>
      <c r="AA268" s="38">
        <f>$D268+AA259</f>
        <v/>
      </c>
      <c r="AB268" s="36">
        <f>$D268+AB259</f>
        <v/>
      </c>
      <c r="AC268" s="36">
        <f>$D268+AC259</f>
        <v/>
      </c>
      <c r="AD268" s="36">
        <f>$D268+AD259</f>
        <v/>
      </c>
      <c r="AE268" s="36">
        <f>$D268+AE259</f>
        <v/>
      </c>
      <c r="AF268" s="36">
        <f>$D268+AF259</f>
        <v/>
      </c>
      <c r="AG268" s="36">
        <f>$D268+AG259</f>
        <v/>
      </c>
      <c r="AH268" s="36">
        <f>$D268+AH259</f>
        <v/>
      </c>
      <c r="AI268" s="36">
        <f>$D268+AI259</f>
        <v/>
      </c>
      <c r="AJ268" s="36">
        <f>$D268+AJ259</f>
        <v/>
      </c>
      <c r="AK268" s="36">
        <f>$D268+AK259</f>
        <v/>
      </c>
      <c r="AL268" s="36">
        <f>$D268+AL259</f>
        <v/>
      </c>
      <c r="AM268" s="36">
        <f>$D268+AM259</f>
        <v/>
      </c>
      <c r="AN268" s="39">
        <f>TAX($D268,AN259)</f>
        <v/>
      </c>
    </row>
    <row r="269" hidden="1" outlineLevel="2"/>
    <row r="270" hidden="1" outlineLevel="2">
      <c r="A270" s="5" t="inlineStr">
        <is>
          <t>atp</t>
        </is>
      </c>
      <c r="B270" s="5" t="inlineStr">
        <is>
          <t>coa</t>
        </is>
      </c>
      <c r="C270" s="5" t="inlineStr">
        <is>
          <t>ral</t>
        </is>
      </c>
      <c r="D270" s="37" t="n"/>
      <c r="E270" s="37" t="n"/>
      <c r="F270" s="37" t="n"/>
      <c r="G270" s="37" t="n"/>
      <c r="H270" s="5">
        <f>INDEX(Variables!$B$5:$B$65,MATCH($A270,Variables!$A$5:$A$65,0))&amp;IF($C270="",""," | "&amp;INDEX(Mapping!$B$5:$B$25,MATCH($C270,Mapping!$A$5:$A$25,0))&amp;" | "&amp;INDEX(Mapping!$B$29:$B$38,MATCH($B270,Mapping!$A$29:$A$38,0)))</f>
        <v/>
      </c>
      <c r="I270" s="5">
        <f>INDEX(Variables!$C$5:$C$65,MATCH($A270,Variables!$A$5:$A$65,0))</f>
        <v/>
      </c>
      <c r="J270" s="5">
        <f>INDEX(Variables!$E$5:$E$65,MATCH($A270,Variables!$A$5:$A$65,0))</f>
        <v/>
      </c>
      <c r="K270" s="23">
        <f>LOWER(Settings!$C$4)&amp;".mit."&amp;$A270&amp;IF($C270="","","."&amp;$C270&amp;"."&amp;$B270)&amp;IF(INDEX(Variables!$D$5:$D$65,MATCH($A270,Variables!$A$5:$A$65,0))="","","."&amp;INDEX(Variables!$D$5:$D$65,MATCH($A270,Variables!$A$5:$A$65,0)))&amp;"."&amp;K$5</f>
        <v/>
      </c>
      <c r="L270" s="38">
        <f>L225+L261</f>
        <v/>
      </c>
      <c r="M270" s="36">
        <f>M225+M261</f>
        <v/>
      </c>
      <c r="N270" s="36">
        <f>N225+N261</f>
        <v/>
      </c>
      <c r="O270" s="36">
        <f>O225+O261</f>
        <v/>
      </c>
      <c r="P270" s="36">
        <f>P225+P261</f>
        <v/>
      </c>
      <c r="Q270" s="36">
        <f>Q225+Q261</f>
        <v/>
      </c>
      <c r="R270" s="36">
        <f>R225+R261</f>
        <v/>
      </c>
      <c r="S270" s="36">
        <f>S225+S261</f>
        <v/>
      </c>
      <c r="T270" s="36">
        <f>T225+T261</f>
        <v/>
      </c>
      <c r="U270" s="36">
        <f>U225+U261</f>
        <v/>
      </c>
      <c r="V270" s="36">
        <f>V225+V261</f>
        <v/>
      </c>
      <c r="W270" s="36">
        <f>W225+W261</f>
        <v/>
      </c>
      <c r="X270" s="36">
        <f>X225+X261</f>
        <v/>
      </c>
      <c r="Y270" s="39">
        <f>POSTTAX(Y225,Y261)</f>
        <v/>
      </c>
      <c r="Z270" s="23">
        <f>LOWER(Settings!$C$4)&amp;".mit."&amp;$A270&amp;IF($C270="","","."&amp;$C270&amp;"."&amp;$B270)&amp;IF(INDEX(Variables!$D$5:$D$65,MATCH($A270,Variables!$A$5:$A$65,0))="","","."&amp;INDEX(Variables!$D$5:$D$65,MATCH($A270,Variables!$A$5:$A$65,0)))&amp;"."&amp;Z$5</f>
        <v/>
      </c>
      <c r="AA270" s="38">
        <f>AA225+AA261</f>
        <v/>
      </c>
      <c r="AB270" s="36">
        <f>AB225+AB261</f>
        <v/>
      </c>
      <c r="AC270" s="36">
        <f>AC225+AC261</f>
        <v/>
      </c>
      <c r="AD270" s="36">
        <f>AD225+AD261</f>
        <v/>
      </c>
      <c r="AE270" s="36">
        <f>AE225+AE261</f>
        <v/>
      </c>
      <c r="AF270" s="36">
        <f>AF225+AF261</f>
        <v/>
      </c>
      <c r="AG270" s="36">
        <f>AG225+AG261</f>
        <v/>
      </c>
      <c r="AH270" s="36">
        <f>AH225+AH261</f>
        <v/>
      </c>
      <c r="AI270" s="36">
        <f>AI225+AI261</f>
        <v/>
      </c>
      <c r="AJ270" s="36">
        <f>AJ225+AJ261</f>
        <v/>
      </c>
      <c r="AK270" s="36">
        <f>AK225+AK261</f>
        <v/>
      </c>
      <c r="AL270" s="36">
        <f>AL225+AL261</f>
        <v/>
      </c>
      <c r="AM270" s="36">
        <f>AM225+AM261</f>
        <v/>
      </c>
      <c r="AN270" s="39">
        <f>POSTTAX(AN225,AN261)</f>
        <v/>
      </c>
    </row>
    <row r="271" hidden="1" outlineLevel="2">
      <c r="A271" s="5" t="inlineStr">
        <is>
          <t>atp</t>
        </is>
      </c>
      <c r="B271" s="5" t="inlineStr">
        <is>
          <t>nga</t>
        </is>
      </c>
      <c r="C271" s="5" t="inlineStr">
        <is>
          <t>ral</t>
        </is>
      </c>
      <c r="D271" s="37" t="n"/>
      <c r="E271" s="37" t="n"/>
      <c r="F271" s="37" t="n"/>
      <c r="G271" s="37" t="n"/>
      <c r="H271" s="5">
        <f>INDEX(Variables!$B$5:$B$65,MATCH($A271,Variables!$A$5:$A$65,0))&amp;IF($C271="",""," | "&amp;INDEX(Mapping!$B$5:$B$25,MATCH($C271,Mapping!$A$5:$A$25,0))&amp;" | "&amp;INDEX(Mapping!$B$29:$B$38,MATCH($B271,Mapping!$A$29:$A$38,0)))</f>
        <v/>
      </c>
      <c r="I271" s="5">
        <f>INDEX(Variables!$C$5:$C$65,MATCH($A271,Variables!$A$5:$A$65,0))</f>
        <v/>
      </c>
      <c r="J271" s="5">
        <f>INDEX(Variables!$E$5:$E$65,MATCH($A271,Variables!$A$5:$A$65,0))</f>
        <v/>
      </c>
      <c r="K271" s="23">
        <f>LOWER(Settings!$C$4)&amp;".mit."&amp;$A271&amp;IF($C271="","","."&amp;$C271&amp;"."&amp;$B271)&amp;IF(INDEX(Variables!$D$5:$D$65,MATCH($A271,Variables!$A$5:$A$65,0))="","","."&amp;INDEX(Variables!$D$5:$D$65,MATCH($A271,Variables!$A$5:$A$65,0)))&amp;"."&amp;K$5</f>
        <v/>
      </c>
      <c r="L271" s="38">
        <f>L226+L262</f>
        <v/>
      </c>
      <c r="M271" s="36">
        <f>M226+M262</f>
        <v/>
      </c>
      <c r="N271" s="36">
        <f>N226+N262</f>
        <v/>
      </c>
      <c r="O271" s="36">
        <f>O226+O262</f>
        <v/>
      </c>
      <c r="P271" s="36">
        <f>P226+P262</f>
        <v/>
      </c>
      <c r="Q271" s="36">
        <f>Q226+Q262</f>
        <v/>
      </c>
      <c r="R271" s="36">
        <f>R226+R262</f>
        <v/>
      </c>
      <c r="S271" s="36">
        <f>S226+S262</f>
        <v/>
      </c>
      <c r="T271" s="36">
        <f>T226+T262</f>
        <v/>
      </c>
      <c r="U271" s="36">
        <f>U226+U262</f>
        <v/>
      </c>
      <c r="V271" s="36">
        <f>V226+V262</f>
        <v/>
      </c>
      <c r="W271" s="36">
        <f>W226+W262</f>
        <v/>
      </c>
      <c r="X271" s="36">
        <f>X226+X262</f>
        <v/>
      </c>
      <c r="Y271" s="39">
        <f>POSTTAX(Y226,Y262)</f>
        <v/>
      </c>
      <c r="Z271" s="23">
        <f>LOWER(Settings!$C$4)&amp;".mit."&amp;$A271&amp;IF($C271="","","."&amp;$C271&amp;"."&amp;$B271)&amp;IF(INDEX(Variables!$D$5:$D$65,MATCH($A271,Variables!$A$5:$A$65,0))="","","."&amp;INDEX(Variables!$D$5:$D$65,MATCH($A271,Variables!$A$5:$A$65,0)))&amp;"."&amp;Z$5</f>
        <v/>
      </c>
      <c r="AA271" s="38">
        <f>AA226+AA262</f>
        <v/>
      </c>
      <c r="AB271" s="36">
        <f>AB226+AB262</f>
        <v/>
      </c>
      <c r="AC271" s="36">
        <f>AC226+AC262</f>
        <v/>
      </c>
      <c r="AD271" s="36">
        <f>AD226+AD262</f>
        <v/>
      </c>
      <c r="AE271" s="36">
        <f>AE226+AE262</f>
        <v/>
      </c>
      <c r="AF271" s="36">
        <f>AF226+AF262</f>
        <v/>
      </c>
      <c r="AG271" s="36">
        <f>AG226+AG262</f>
        <v/>
      </c>
      <c r="AH271" s="36">
        <f>AH226+AH262</f>
        <v/>
      </c>
      <c r="AI271" s="36">
        <f>AI226+AI262</f>
        <v/>
      </c>
      <c r="AJ271" s="36">
        <f>AJ226+AJ262</f>
        <v/>
      </c>
      <c r="AK271" s="36">
        <f>AK226+AK262</f>
        <v/>
      </c>
      <c r="AL271" s="36">
        <f>AL226+AL262</f>
        <v/>
      </c>
      <c r="AM271" s="36">
        <f>AM226+AM262</f>
        <v/>
      </c>
      <c r="AN271" s="39">
        <f>POSTTAX(AN226,AN262)</f>
        <v/>
      </c>
    </row>
    <row r="272" hidden="1" outlineLevel="2">
      <c r="A272" s="5" t="inlineStr">
        <is>
          <t>atp</t>
        </is>
      </c>
      <c r="B272" s="5" t="inlineStr">
        <is>
          <t>gso</t>
        </is>
      </c>
      <c r="C272" s="5" t="inlineStr">
        <is>
          <t>ral</t>
        </is>
      </c>
      <c r="D272" s="37" t="n"/>
      <c r="E272" s="37" t="n"/>
      <c r="F272" s="37" t="n"/>
      <c r="G272" s="37" t="n"/>
      <c r="H272" s="5">
        <f>INDEX(Variables!$B$5:$B$65,MATCH($A272,Variables!$A$5:$A$65,0))&amp;IF($C272="",""," | "&amp;INDEX(Mapping!$B$5:$B$25,MATCH($C272,Mapping!$A$5:$A$25,0))&amp;" | "&amp;INDEX(Mapping!$B$29:$B$38,MATCH($B272,Mapping!$A$29:$A$38,0)))</f>
        <v/>
      </c>
      <c r="I272" s="5">
        <f>INDEX(Variables!$C$5:$C$65,MATCH($A272,Variables!$A$5:$A$65,0))</f>
        <v/>
      </c>
      <c r="J272" s="5">
        <f>INDEX(Variables!$E$5:$E$65,MATCH($A272,Variables!$A$5:$A$65,0))</f>
        <v/>
      </c>
      <c r="K272" s="23">
        <f>LOWER(Settings!$C$4)&amp;".mit."&amp;$A272&amp;IF($C272="","","."&amp;$C272&amp;"."&amp;$B272)&amp;IF(INDEX(Variables!$D$5:$D$65,MATCH($A272,Variables!$A$5:$A$65,0))="","","."&amp;INDEX(Variables!$D$5:$D$65,MATCH($A272,Variables!$A$5:$A$65,0)))&amp;"."&amp;K$5</f>
        <v/>
      </c>
      <c r="L272" s="38">
        <f>L227+L263</f>
        <v/>
      </c>
      <c r="M272" s="36">
        <f>M227+M263</f>
        <v/>
      </c>
      <c r="N272" s="36">
        <f>N227+N263</f>
        <v/>
      </c>
      <c r="O272" s="36">
        <f>O227+O263</f>
        <v/>
      </c>
      <c r="P272" s="36">
        <f>P227+P263</f>
        <v/>
      </c>
      <c r="Q272" s="36">
        <f>Q227+Q263</f>
        <v/>
      </c>
      <c r="R272" s="36">
        <f>R227+R263</f>
        <v/>
      </c>
      <c r="S272" s="36">
        <f>S227+S263</f>
        <v/>
      </c>
      <c r="T272" s="36">
        <f>T227+T263</f>
        <v/>
      </c>
      <c r="U272" s="36">
        <f>U227+U263</f>
        <v/>
      </c>
      <c r="V272" s="36">
        <f>V227+V263</f>
        <v/>
      </c>
      <c r="W272" s="36">
        <f>W227+W263</f>
        <v/>
      </c>
      <c r="X272" s="36">
        <f>X227+X263</f>
        <v/>
      </c>
      <c r="Y272" s="39">
        <f>POSTTAX(Y227,Y263)</f>
        <v/>
      </c>
      <c r="Z272" s="23">
        <f>LOWER(Settings!$C$4)&amp;".mit."&amp;$A272&amp;IF($C272="","","."&amp;$C272&amp;"."&amp;$B272)&amp;IF(INDEX(Variables!$D$5:$D$65,MATCH($A272,Variables!$A$5:$A$65,0))="","","."&amp;INDEX(Variables!$D$5:$D$65,MATCH($A272,Variables!$A$5:$A$65,0)))&amp;"."&amp;Z$5</f>
        <v/>
      </c>
      <c r="AA272" s="38">
        <f>AA227+AA263</f>
        <v/>
      </c>
      <c r="AB272" s="36">
        <f>AB227+AB263</f>
        <v/>
      </c>
      <c r="AC272" s="36">
        <f>AC227+AC263</f>
        <v/>
      </c>
      <c r="AD272" s="36">
        <f>AD227+AD263</f>
        <v/>
      </c>
      <c r="AE272" s="36">
        <f>AE227+AE263</f>
        <v/>
      </c>
      <c r="AF272" s="36">
        <f>AF227+AF263</f>
        <v/>
      </c>
      <c r="AG272" s="36">
        <f>AG227+AG263</f>
        <v/>
      </c>
      <c r="AH272" s="36">
        <f>AH227+AH263</f>
        <v/>
      </c>
      <c r="AI272" s="36">
        <f>AI227+AI263</f>
        <v/>
      </c>
      <c r="AJ272" s="36">
        <f>AJ227+AJ263</f>
        <v/>
      </c>
      <c r="AK272" s="36">
        <f>AK227+AK263</f>
        <v/>
      </c>
      <c r="AL272" s="36">
        <f>AL227+AL263</f>
        <v/>
      </c>
      <c r="AM272" s="36">
        <f>AM227+AM263</f>
        <v/>
      </c>
      <c r="AN272" s="39">
        <f>POSTTAX(AN227,AN263)</f>
        <v/>
      </c>
    </row>
    <row r="273" hidden="1" outlineLevel="2">
      <c r="A273" s="5" t="inlineStr">
        <is>
          <t>atp</t>
        </is>
      </c>
      <c r="B273" s="5" t="inlineStr">
        <is>
          <t>die</t>
        </is>
      </c>
      <c r="C273" s="5" t="inlineStr">
        <is>
          <t>ral</t>
        </is>
      </c>
      <c r="D273" s="37" t="n"/>
      <c r="E273" s="37" t="n"/>
      <c r="F273" s="37" t="n"/>
      <c r="G273" s="37" t="n"/>
      <c r="H273" s="5">
        <f>INDEX(Variables!$B$5:$B$65,MATCH($A273,Variables!$A$5:$A$65,0))&amp;IF($C273="",""," | "&amp;INDEX(Mapping!$B$5:$B$25,MATCH($C273,Mapping!$A$5:$A$25,0))&amp;" | "&amp;INDEX(Mapping!$B$29:$B$38,MATCH($B273,Mapping!$A$29:$A$38,0)))</f>
        <v/>
      </c>
      <c r="I273" s="5">
        <f>INDEX(Variables!$C$5:$C$65,MATCH($A273,Variables!$A$5:$A$65,0))</f>
        <v/>
      </c>
      <c r="J273" s="5">
        <f>INDEX(Variables!$E$5:$E$65,MATCH($A273,Variables!$A$5:$A$65,0))</f>
        <v/>
      </c>
      <c r="K273" s="23">
        <f>LOWER(Settings!$C$4)&amp;".mit."&amp;$A273&amp;IF($C273="","","."&amp;$C273&amp;"."&amp;$B273)&amp;IF(INDEX(Variables!$D$5:$D$65,MATCH($A273,Variables!$A$5:$A$65,0))="","","."&amp;INDEX(Variables!$D$5:$D$65,MATCH($A273,Variables!$A$5:$A$65,0)))&amp;"."&amp;K$5</f>
        <v/>
      </c>
      <c r="L273" s="38">
        <f>L228+L264</f>
        <v/>
      </c>
      <c r="M273" s="36">
        <f>M228+M264</f>
        <v/>
      </c>
      <c r="N273" s="36">
        <f>N228+N264</f>
        <v/>
      </c>
      <c r="O273" s="36">
        <f>O228+O264</f>
        <v/>
      </c>
      <c r="P273" s="36">
        <f>P228+P264</f>
        <v/>
      </c>
      <c r="Q273" s="36">
        <f>Q228+Q264</f>
        <v/>
      </c>
      <c r="R273" s="36">
        <f>R228+R264</f>
        <v/>
      </c>
      <c r="S273" s="36">
        <f>S228+S264</f>
        <v/>
      </c>
      <c r="T273" s="36">
        <f>T228+T264</f>
        <v/>
      </c>
      <c r="U273" s="36">
        <f>U228+U264</f>
        <v/>
      </c>
      <c r="V273" s="36">
        <f>V228+V264</f>
        <v/>
      </c>
      <c r="W273" s="36">
        <f>W228+W264</f>
        <v/>
      </c>
      <c r="X273" s="36">
        <f>X228+X264</f>
        <v/>
      </c>
      <c r="Y273" s="39">
        <f>POSTTAX(Y228,Y264)</f>
        <v/>
      </c>
      <c r="Z273" s="23">
        <f>LOWER(Settings!$C$4)&amp;".mit."&amp;$A273&amp;IF($C273="","","."&amp;$C273&amp;"."&amp;$B273)&amp;IF(INDEX(Variables!$D$5:$D$65,MATCH($A273,Variables!$A$5:$A$65,0))="","","."&amp;INDEX(Variables!$D$5:$D$65,MATCH($A273,Variables!$A$5:$A$65,0)))&amp;"."&amp;Z$5</f>
        <v/>
      </c>
      <c r="AA273" s="38">
        <f>AA228+AA264</f>
        <v/>
      </c>
      <c r="AB273" s="36">
        <f>AB228+AB264</f>
        <v/>
      </c>
      <c r="AC273" s="36">
        <f>AC228+AC264</f>
        <v/>
      </c>
      <c r="AD273" s="36">
        <f>AD228+AD264</f>
        <v/>
      </c>
      <c r="AE273" s="36">
        <f>AE228+AE264</f>
        <v/>
      </c>
      <c r="AF273" s="36">
        <f>AF228+AF264</f>
        <v/>
      </c>
      <c r="AG273" s="36">
        <f>AG228+AG264</f>
        <v/>
      </c>
      <c r="AH273" s="36">
        <f>AH228+AH264</f>
        <v/>
      </c>
      <c r="AI273" s="36">
        <f>AI228+AI264</f>
        <v/>
      </c>
      <c r="AJ273" s="36">
        <f>AJ228+AJ264</f>
        <v/>
      </c>
      <c r="AK273" s="36">
        <f>AK228+AK264</f>
        <v/>
      </c>
      <c r="AL273" s="36">
        <f>AL228+AL264</f>
        <v/>
      </c>
      <c r="AM273" s="36">
        <f>AM228+AM264</f>
        <v/>
      </c>
      <c r="AN273" s="39">
        <f>POSTTAX(AN228,AN264)</f>
        <v/>
      </c>
    </row>
    <row r="274" hidden="1" outlineLevel="2">
      <c r="A274" s="5" t="inlineStr">
        <is>
          <t>atp</t>
        </is>
      </c>
      <c r="B274" s="5" t="inlineStr">
        <is>
          <t>lpg</t>
        </is>
      </c>
      <c r="C274" s="5" t="inlineStr">
        <is>
          <t>ral</t>
        </is>
      </c>
      <c r="D274" s="37" t="n"/>
      <c r="E274" s="37" t="n"/>
      <c r="F274" s="37" t="n"/>
      <c r="G274" s="37" t="n"/>
      <c r="H274" s="5">
        <f>INDEX(Variables!$B$5:$B$65,MATCH($A274,Variables!$A$5:$A$65,0))&amp;IF($C274="",""," | "&amp;INDEX(Mapping!$B$5:$B$25,MATCH($C274,Mapping!$A$5:$A$25,0))&amp;" | "&amp;INDEX(Mapping!$B$29:$B$38,MATCH($B274,Mapping!$A$29:$A$38,0)))</f>
        <v/>
      </c>
      <c r="I274" s="5">
        <f>INDEX(Variables!$C$5:$C$65,MATCH($A274,Variables!$A$5:$A$65,0))</f>
        <v/>
      </c>
      <c r="J274" s="5">
        <f>INDEX(Variables!$E$5:$E$65,MATCH($A274,Variables!$A$5:$A$65,0))</f>
        <v/>
      </c>
      <c r="K274" s="23">
        <f>LOWER(Settings!$C$4)&amp;".mit."&amp;$A274&amp;IF($C274="","","."&amp;$C274&amp;"."&amp;$B274)&amp;IF(INDEX(Variables!$D$5:$D$65,MATCH($A274,Variables!$A$5:$A$65,0))="","","."&amp;INDEX(Variables!$D$5:$D$65,MATCH($A274,Variables!$A$5:$A$65,0)))&amp;"."&amp;K$5</f>
        <v/>
      </c>
      <c r="L274" s="38">
        <f>L229+L265</f>
        <v/>
      </c>
      <c r="M274" s="36">
        <f>M229+M265</f>
        <v/>
      </c>
      <c r="N274" s="36">
        <f>N229+N265</f>
        <v/>
      </c>
      <c r="O274" s="36">
        <f>O229+O265</f>
        <v/>
      </c>
      <c r="P274" s="36">
        <f>P229+P265</f>
        <v/>
      </c>
      <c r="Q274" s="36">
        <f>Q229+Q265</f>
        <v/>
      </c>
      <c r="R274" s="36">
        <f>R229+R265</f>
        <v/>
      </c>
      <c r="S274" s="36">
        <f>S229+S265</f>
        <v/>
      </c>
      <c r="T274" s="36">
        <f>T229+T265</f>
        <v/>
      </c>
      <c r="U274" s="36">
        <f>U229+U265</f>
        <v/>
      </c>
      <c r="V274" s="36">
        <f>V229+V265</f>
        <v/>
      </c>
      <c r="W274" s="36">
        <f>W229+W265</f>
        <v/>
      </c>
      <c r="X274" s="36">
        <f>X229+X265</f>
        <v/>
      </c>
      <c r="Y274" s="39">
        <f>POSTTAX(Y229,Y265)</f>
        <v/>
      </c>
      <c r="Z274" s="23">
        <f>LOWER(Settings!$C$4)&amp;".mit."&amp;$A274&amp;IF($C274="","","."&amp;$C274&amp;"."&amp;$B274)&amp;IF(INDEX(Variables!$D$5:$D$65,MATCH($A274,Variables!$A$5:$A$65,0))="","","."&amp;INDEX(Variables!$D$5:$D$65,MATCH($A274,Variables!$A$5:$A$65,0)))&amp;"."&amp;Z$5</f>
        <v/>
      </c>
      <c r="AA274" s="38">
        <f>AA229+AA265</f>
        <v/>
      </c>
      <c r="AB274" s="36">
        <f>AB229+AB265</f>
        <v/>
      </c>
      <c r="AC274" s="36">
        <f>AC229+AC265</f>
        <v/>
      </c>
      <c r="AD274" s="36">
        <f>AD229+AD265</f>
        <v/>
      </c>
      <c r="AE274" s="36">
        <f>AE229+AE265</f>
        <v/>
      </c>
      <c r="AF274" s="36">
        <f>AF229+AF265</f>
        <v/>
      </c>
      <c r="AG274" s="36">
        <f>AG229+AG265</f>
        <v/>
      </c>
      <c r="AH274" s="36">
        <f>AH229+AH265</f>
        <v/>
      </c>
      <c r="AI274" s="36">
        <f>AI229+AI265</f>
        <v/>
      </c>
      <c r="AJ274" s="36">
        <f>AJ229+AJ265</f>
        <v/>
      </c>
      <c r="AK274" s="36">
        <f>AK229+AK265</f>
        <v/>
      </c>
      <c r="AL274" s="36">
        <f>AL229+AL265</f>
        <v/>
      </c>
      <c r="AM274" s="36">
        <f>AM229+AM265</f>
        <v/>
      </c>
      <c r="AN274" s="39">
        <f>POSTTAX(AN229,AN265)</f>
        <v/>
      </c>
    </row>
    <row r="275" hidden="1" outlineLevel="2">
      <c r="A275" s="5" t="inlineStr">
        <is>
          <t>atp</t>
        </is>
      </c>
      <c r="B275" s="5" t="inlineStr">
        <is>
          <t>ker</t>
        </is>
      </c>
      <c r="C275" s="5" t="inlineStr">
        <is>
          <t>ral</t>
        </is>
      </c>
      <c r="D275" s="37" t="n"/>
      <c r="E275" s="37" t="n"/>
      <c r="F275" s="37" t="n"/>
      <c r="G275" s="37" t="n"/>
      <c r="H275" s="5">
        <f>INDEX(Variables!$B$5:$B$65,MATCH($A275,Variables!$A$5:$A$65,0))&amp;IF($C275="",""," | "&amp;INDEX(Mapping!$B$5:$B$25,MATCH($C275,Mapping!$A$5:$A$25,0))&amp;" | "&amp;INDEX(Mapping!$B$29:$B$38,MATCH($B275,Mapping!$A$29:$A$38,0)))</f>
        <v/>
      </c>
      <c r="I275" s="5">
        <f>INDEX(Variables!$C$5:$C$65,MATCH($A275,Variables!$A$5:$A$65,0))</f>
        <v/>
      </c>
      <c r="J275" s="5">
        <f>INDEX(Variables!$E$5:$E$65,MATCH($A275,Variables!$A$5:$A$65,0))</f>
        <v/>
      </c>
      <c r="K275" s="23">
        <f>LOWER(Settings!$C$4)&amp;".mit."&amp;$A275&amp;IF($C275="","","."&amp;$C275&amp;"."&amp;$B275)&amp;IF(INDEX(Variables!$D$5:$D$65,MATCH($A275,Variables!$A$5:$A$65,0))="","","."&amp;INDEX(Variables!$D$5:$D$65,MATCH($A275,Variables!$A$5:$A$65,0)))&amp;"."&amp;K$5</f>
        <v/>
      </c>
      <c r="L275" s="38">
        <f>L230+L266</f>
        <v/>
      </c>
      <c r="M275" s="36">
        <f>M230+M266</f>
        <v/>
      </c>
      <c r="N275" s="36">
        <f>N230+N266</f>
        <v/>
      </c>
      <c r="O275" s="36">
        <f>O230+O266</f>
        <v/>
      </c>
      <c r="P275" s="36">
        <f>P230+P266</f>
        <v/>
      </c>
      <c r="Q275" s="36">
        <f>Q230+Q266</f>
        <v/>
      </c>
      <c r="R275" s="36">
        <f>R230+R266</f>
        <v/>
      </c>
      <c r="S275" s="36">
        <f>S230+S266</f>
        <v/>
      </c>
      <c r="T275" s="36">
        <f>T230+T266</f>
        <v/>
      </c>
      <c r="U275" s="36">
        <f>U230+U266</f>
        <v/>
      </c>
      <c r="V275" s="36">
        <f>V230+V266</f>
        <v/>
      </c>
      <c r="W275" s="36">
        <f>W230+W266</f>
        <v/>
      </c>
      <c r="X275" s="36">
        <f>X230+X266</f>
        <v/>
      </c>
      <c r="Y275" s="39">
        <f>POSTTAX(Y230,Y266)</f>
        <v/>
      </c>
      <c r="Z275" s="23">
        <f>LOWER(Settings!$C$4)&amp;".mit."&amp;$A275&amp;IF($C275="","","."&amp;$C275&amp;"."&amp;$B275)&amp;IF(INDEX(Variables!$D$5:$D$65,MATCH($A275,Variables!$A$5:$A$65,0))="","","."&amp;INDEX(Variables!$D$5:$D$65,MATCH($A275,Variables!$A$5:$A$65,0)))&amp;"."&amp;Z$5</f>
        <v/>
      </c>
      <c r="AA275" s="38">
        <f>AA230+AA266</f>
        <v/>
      </c>
      <c r="AB275" s="36">
        <f>AB230+AB266</f>
        <v/>
      </c>
      <c r="AC275" s="36">
        <f>AC230+AC266</f>
        <v/>
      </c>
      <c r="AD275" s="36">
        <f>AD230+AD266</f>
        <v/>
      </c>
      <c r="AE275" s="36">
        <f>AE230+AE266</f>
        <v/>
      </c>
      <c r="AF275" s="36">
        <f>AF230+AF266</f>
        <v/>
      </c>
      <c r="AG275" s="36">
        <f>AG230+AG266</f>
        <v/>
      </c>
      <c r="AH275" s="36">
        <f>AH230+AH266</f>
        <v/>
      </c>
      <c r="AI275" s="36">
        <f>AI230+AI266</f>
        <v/>
      </c>
      <c r="AJ275" s="36">
        <f>AJ230+AJ266</f>
        <v/>
      </c>
      <c r="AK275" s="36">
        <f>AK230+AK266</f>
        <v/>
      </c>
      <c r="AL275" s="36">
        <f>AL230+AL266</f>
        <v/>
      </c>
      <c r="AM275" s="36">
        <f>AM230+AM266</f>
        <v/>
      </c>
      <c r="AN275" s="39">
        <f>POSTTAX(AN230,AN266)</f>
        <v/>
      </c>
    </row>
    <row r="276" hidden="1" outlineLevel="2">
      <c r="A276" s="5" t="inlineStr">
        <is>
          <t>atp</t>
        </is>
      </c>
      <c r="B276" s="5" t="inlineStr">
        <is>
          <t>oop</t>
        </is>
      </c>
      <c r="C276" s="5" t="inlineStr">
        <is>
          <t>ral</t>
        </is>
      </c>
      <c r="D276" s="37" t="n"/>
      <c r="E276" s="37" t="n"/>
      <c r="F276" s="37" t="n"/>
      <c r="G276" s="37" t="n"/>
      <c r="H276" s="5">
        <f>INDEX(Variables!$B$5:$B$65,MATCH($A276,Variables!$A$5:$A$65,0))&amp;IF($C276="",""," | "&amp;INDEX(Mapping!$B$5:$B$25,MATCH($C276,Mapping!$A$5:$A$25,0))&amp;" | "&amp;INDEX(Mapping!$B$29:$B$38,MATCH($B276,Mapping!$A$29:$A$38,0)))</f>
        <v/>
      </c>
      <c r="I276" s="5">
        <f>INDEX(Variables!$C$5:$C$65,MATCH($A276,Variables!$A$5:$A$65,0))</f>
        <v/>
      </c>
      <c r="J276" s="5">
        <f>INDEX(Variables!$E$5:$E$65,MATCH($A276,Variables!$A$5:$A$65,0))</f>
        <v/>
      </c>
      <c r="K276" s="23">
        <f>LOWER(Settings!$C$4)&amp;".mit."&amp;$A276&amp;IF($C276="","","."&amp;$C276&amp;"."&amp;$B276)&amp;IF(INDEX(Variables!$D$5:$D$65,MATCH($A276,Variables!$A$5:$A$65,0))="","","."&amp;INDEX(Variables!$D$5:$D$65,MATCH($A276,Variables!$A$5:$A$65,0)))&amp;"."&amp;K$5</f>
        <v/>
      </c>
      <c r="L276" s="38">
        <f>L231+L267</f>
        <v/>
      </c>
      <c r="M276" s="36">
        <f>M231+M267</f>
        <v/>
      </c>
      <c r="N276" s="36">
        <f>N231+N267</f>
        <v/>
      </c>
      <c r="O276" s="36">
        <f>O231+O267</f>
        <v/>
      </c>
      <c r="P276" s="36">
        <f>P231+P267</f>
        <v/>
      </c>
      <c r="Q276" s="36">
        <f>Q231+Q267</f>
        <v/>
      </c>
      <c r="R276" s="36">
        <f>R231+R267</f>
        <v/>
      </c>
      <c r="S276" s="36">
        <f>S231+S267</f>
        <v/>
      </c>
      <c r="T276" s="36">
        <f>T231+T267</f>
        <v/>
      </c>
      <c r="U276" s="36">
        <f>U231+U267</f>
        <v/>
      </c>
      <c r="V276" s="36">
        <f>V231+V267</f>
        <v/>
      </c>
      <c r="W276" s="36">
        <f>W231+W267</f>
        <v/>
      </c>
      <c r="X276" s="36">
        <f>X231+X267</f>
        <v/>
      </c>
      <c r="Y276" s="39">
        <f>POSTTAX(Y231,Y267)</f>
        <v/>
      </c>
      <c r="Z276" s="23">
        <f>LOWER(Settings!$C$4)&amp;".mit."&amp;$A276&amp;IF($C276="","","."&amp;$C276&amp;"."&amp;$B276)&amp;IF(INDEX(Variables!$D$5:$D$65,MATCH($A276,Variables!$A$5:$A$65,0))="","","."&amp;INDEX(Variables!$D$5:$D$65,MATCH($A276,Variables!$A$5:$A$65,0)))&amp;"."&amp;Z$5</f>
        <v/>
      </c>
      <c r="AA276" s="38">
        <f>AA231+AA267</f>
        <v/>
      </c>
      <c r="AB276" s="36">
        <f>AB231+AB267</f>
        <v/>
      </c>
      <c r="AC276" s="36">
        <f>AC231+AC267</f>
        <v/>
      </c>
      <c r="AD276" s="36">
        <f>AD231+AD267</f>
        <v/>
      </c>
      <c r="AE276" s="36">
        <f>AE231+AE267</f>
        <v/>
      </c>
      <c r="AF276" s="36">
        <f>AF231+AF267</f>
        <v/>
      </c>
      <c r="AG276" s="36">
        <f>AG231+AG267</f>
        <v/>
      </c>
      <c r="AH276" s="36">
        <f>AH231+AH267</f>
        <v/>
      </c>
      <c r="AI276" s="36">
        <f>AI231+AI267</f>
        <v/>
      </c>
      <c r="AJ276" s="36">
        <f>AJ231+AJ267</f>
        <v/>
      </c>
      <c r="AK276" s="36">
        <f>AK231+AK267</f>
        <v/>
      </c>
      <c r="AL276" s="36">
        <f>AL231+AL267</f>
        <v/>
      </c>
      <c r="AM276" s="36">
        <f>AM231+AM267</f>
        <v/>
      </c>
      <c r="AN276" s="39">
        <f>POSTTAX(AN231,AN267)</f>
        <v/>
      </c>
    </row>
    <row r="277" hidden="1" outlineLevel="2">
      <c r="A277" s="5" t="inlineStr">
        <is>
          <t>atp</t>
        </is>
      </c>
      <c r="B277" s="5" t="inlineStr">
        <is>
          <t>bio</t>
        </is>
      </c>
      <c r="C277" s="5" t="inlineStr">
        <is>
          <t>ral</t>
        </is>
      </c>
      <c r="D277" s="37" t="n"/>
      <c r="E277" s="37" t="n"/>
      <c r="F277" s="37" t="n"/>
      <c r="G277" s="37" t="n"/>
      <c r="H277" s="5">
        <f>INDEX(Variables!$B$5:$B$65,MATCH($A277,Variables!$A$5:$A$65,0))&amp;IF($C277="",""," | "&amp;INDEX(Mapping!$B$5:$B$25,MATCH($C277,Mapping!$A$5:$A$25,0))&amp;" | "&amp;INDEX(Mapping!$B$29:$B$38,MATCH($B277,Mapping!$A$29:$A$38,0)))</f>
        <v/>
      </c>
      <c r="I277" s="5">
        <f>INDEX(Variables!$C$5:$C$65,MATCH($A277,Variables!$A$5:$A$65,0))</f>
        <v/>
      </c>
      <c r="J277" s="5">
        <f>INDEX(Variables!$E$5:$E$65,MATCH($A277,Variables!$A$5:$A$65,0))</f>
        <v/>
      </c>
      <c r="K277" s="23">
        <f>LOWER(Settings!$C$4)&amp;".mit."&amp;$A277&amp;IF($C277="","","."&amp;$C277&amp;"."&amp;$B277)&amp;IF(INDEX(Variables!$D$5:$D$65,MATCH($A277,Variables!$A$5:$A$65,0))="","","."&amp;INDEX(Variables!$D$5:$D$65,MATCH($A277,Variables!$A$5:$A$65,0)))&amp;"."&amp;K$5</f>
        <v/>
      </c>
      <c r="L277" s="38">
        <f>L232+L268</f>
        <v/>
      </c>
      <c r="M277" s="36">
        <f>M232+M268</f>
        <v/>
      </c>
      <c r="N277" s="36">
        <f>N232+N268</f>
        <v/>
      </c>
      <c r="O277" s="36">
        <f>O232+O268</f>
        <v/>
      </c>
      <c r="P277" s="36">
        <f>P232+P268</f>
        <v/>
      </c>
      <c r="Q277" s="36">
        <f>Q232+Q268</f>
        <v/>
      </c>
      <c r="R277" s="36">
        <f>R232+R268</f>
        <v/>
      </c>
      <c r="S277" s="36">
        <f>S232+S268</f>
        <v/>
      </c>
      <c r="T277" s="36">
        <f>T232+T268</f>
        <v/>
      </c>
      <c r="U277" s="36">
        <f>U232+U268</f>
        <v/>
      </c>
      <c r="V277" s="36">
        <f>V232+V268</f>
        <v/>
      </c>
      <c r="W277" s="36">
        <f>W232+W268</f>
        <v/>
      </c>
      <c r="X277" s="36">
        <f>X232+X268</f>
        <v/>
      </c>
      <c r="Y277" s="39">
        <f>POSTTAX(Y232,Y268)</f>
        <v/>
      </c>
      <c r="Z277" s="23">
        <f>LOWER(Settings!$C$4)&amp;".mit."&amp;$A277&amp;IF($C277="","","."&amp;$C277&amp;"."&amp;$B277)&amp;IF(INDEX(Variables!$D$5:$D$65,MATCH($A277,Variables!$A$5:$A$65,0))="","","."&amp;INDEX(Variables!$D$5:$D$65,MATCH($A277,Variables!$A$5:$A$65,0)))&amp;"."&amp;Z$5</f>
        <v/>
      </c>
      <c r="AA277" s="38">
        <f>AA232+AA268</f>
        <v/>
      </c>
      <c r="AB277" s="36">
        <f>AB232+AB268</f>
        <v/>
      </c>
      <c r="AC277" s="36">
        <f>AC232+AC268</f>
        <v/>
      </c>
      <c r="AD277" s="36">
        <f>AD232+AD268</f>
        <v/>
      </c>
      <c r="AE277" s="36">
        <f>AE232+AE268</f>
        <v/>
      </c>
      <c r="AF277" s="36">
        <f>AF232+AF268</f>
        <v/>
      </c>
      <c r="AG277" s="36">
        <f>AG232+AG268</f>
        <v/>
      </c>
      <c r="AH277" s="36">
        <f>AH232+AH268</f>
        <v/>
      </c>
      <c r="AI277" s="36">
        <f>AI232+AI268</f>
        <v/>
      </c>
      <c r="AJ277" s="36">
        <f>AJ232+AJ268</f>
        <v/>
      </c>
      <c r="AK277" s="36">
        <f>AK232+AK268</f>
        <v/>
      </c>
      <c r="AL277" s="36">
        <f>AL232+AL268</f>
        <v/>
      </c>
      <c r="AM277" s="36">
        <f>AM232+AM268</f>
        <v/>
      </c>
      <c r="AN277" s="39">
        <f>POSTTAX(AN232,AN268)</f>
        <v/>
      </c>
    </row>
    <row r="278" hidden="1" outlineLevel="2"/>
    <row r="279" hidden="1" outlineLevel="2">
      <c r="A279" s="5" t="inlineStr">
        <is>
          <t>shp</t>
        </is>
      </c>
      <c r="B279" s="5" t="inlineStr">
        <is>
          <t>coa</t>
        </is>
      </c>
      <c r="C279" s="5" t="inlineStr">
        <is>
          <t>ral</t>
        </is>
      </c>
      <c r="D279" s="36">
        <f>INDEX(Inputs!$M$5:$M$132,MATCH($B279&amp;"|"&amp;$C279,Inputs!$A$5:$A$132,0))</f>
        <v/>
      </c>
      <c r="E279" s="36">
        <f>INDEX(Inputs!$U$5:$U$132,MATCH($B279&amp;"|"&amp;$C279,Inputs!$A$5:$A$132,0))</f>
        <v/>
      </c>
      <c r="F279" s="36">
        <f>INDEX(Inputs!$K$5:$K$132,MATCH($B279&amp;"|"&amp;$C279,Inputs!$A$5:$A$132,0))</f>
        <v/>
      </c>
      <c r="G279" s="37" t="n"/>
      <c r="H279" s="5">
        <f>INDEX(Variables!$B$5:$B$65,MATCH($A279,Variables!$A$5:$A$65,0))&amp;IF($C279="",""," | "&amp;INDEX(Mapping!$B$5:$B$25,MATCH($C279,Mapping!$A$5:$A$25,0))&amp;" | "&amp;INDEX(Mapping!$B$29:$B$38,MATCH($B279,Mapping!$A$29:$A$38,0)))</f>
        <v/>
      </c>
      <c r="I279" s="5">
        <f>INDEX(Variables!$C$5:$C$65,MATCH($A279,Variables!$A$5:$A$65,0))</f>
        <v/>
      </c>
      <c r="J279" s="5">
        <f>INDEX(Variables!$E$5:$E$65,MATCH($A279,Variables!$A$5:$A$65,0))</f>
        <v/>
      </c>
      <c r="K279" s="23">
        <f>LOWER(Settings!$C$4)&amp;".mit."&amp;$A279&amp;IF($C279="","","."&amp;$C279&amp;"."&amp;$B279)&amp;IF(INDEX(Variables!$D$5:$D$65,MATCH($A279,Variables!$A$5:$A$65,0))="","","."&amp;INDEX(Variables!$D$5:$D$65,MATCH($A279,Variables!$A$5:$A$65,0)))&amp;"."&amp;K$5</f>
        <v/>
      </c>
      <c r="L279" s="38">
        <f>INDEX(L$124:L$127,$D279)*$E279*INDEX(L$128:L$144,$F279)</f>
        <v/>
      </c>
      <c r="M279" s="36">
        <f>INDEX(M$124:M$127,$D279)*$E279*INDEX(M$128:M$144,$F279)</f>
        <v/>
      </c>
      <c r="N279" s="36">
        <f>INDEX(N$124:N$127,$D279)*$E279*INDEX(N$128:N$144,$F279)</f>
        <v/>
      </c>
      <c r="O279" s="36">
        <f>INDEX(O$124:O$127,$D279)*$E279*INDEX(O$128:O$144,$F279)</f>
        <v/>
      </c>
      <c r="P279" s="36">
        <f>INDEX(P$124:P$127,$D279)*$E279*INDEX(P$128:P$144,$F279)</f>
        <v/>
      </c>
      <c r="Q279" s="36">
        <f>INDEX(Q$124:Q$127,$D279)*$E279*INDEX(Q$128:Q$144,$F279)</f>
        <v/>
      </c>
      <c r="R279" s="36">
        <f>INDEX(R$124:R$127,$D279)*$E279*INDEX(R$128:R$144,$F279)</f>
        <v/>
      </c>
      <c r="S279" s="36">
        <f>INDEX(S$124:S$127,$D279)*$E279*INDEX(S$128:S$144,$F279)</f>
        <v/>
      </c>
      <c r="T279" s="36">
        <f>INDEX(T$124:T$127,$D279)*$E279*INDEX(T$128:T$144,$F279)</f>
        <v/>
      </c>
      <c r="U279" s="36">
        <f>INDEX(U$124:U$127,$D279)*$E279*INDEX(U$128:U$144,$F279)</f>
        <v/>
      </c>
      <c r="V279" s="36">
        <f>INDEX(V$124:V$127,$D279)*$E279*INDEX(V$128:V$144,$F279)</f>
        <v/>
      </c>
      <c r="W279" s="36">
        <f>INDEX(W$124:W$127,$D279)*$E279*INDEX(W$128:W$144,$F279)</f>
        <v/>
      </c>
      <c r="X279" s="36">
        <f>INDEX(X$124:X$127,$D279)*$E279*INDEX(X$128:X$144,$F279)</f>
        <v/>
      </c>
      <c r="Y279" s="36">
        <f>INDEX(Y$124:Y$127,$D279)*$E279*INDEX(Y$128:Y$144,$F279)</f>
        <v/>
      </c>
      <c r="Z279" s="23">
        <f>LOWER(Settings!$C$4)&amp;".mit."&amp;$A279&amp;IF($C279="","","."&amp;$C279&amp;"."&amp;$B279)&amp;IF(INDEX(Variables!$D$5:$D$65,MATCH($A279,Variables!$A$5:$A$65,0))="","","."&amp;INDEX(Variables!$D$5:$D$65,MATCH($A279,Variables!$A$5:$A$65,0)))&amp;"."&amp;Z$5</f>
        <v/>
      </c>
      <c r="AA279" s="38">
        <f>INDEX(AA$124:AA$127,$D279)*$E279*INDEX(AA$128:AA$144,$F279)</f>
        <v/>
      </c>
      <c r="AB279" s="36">
        <f>INDEX(AB$124:AB$127,$D279)*$E279*INDEX(AB$128:AB$144,$F279)</f>
        <v/>
      </c>
      <c r="AC279" s="36">
        <f>INDEX(AC$124:AC$127,$D279)*$E279*INDEX(AC$128:AC$144,$F279)</f>
        <v/>
      </c>
      <c r="AD279" s="36">
        <f>INDEX(AD$124:AD$127,$D279)*$E279*INDEX(AD$128:AD$144,$F279)</f>
        <v/>
      </c>
      <c r="AE279" s="36">
        <f>INDEX(AE$124:AE$127,$D279)*$E279*INDEX(AE$128:AE$144,$F279)</f>
        <v/>
      </c>
      <c r="AF279" s="36">
        <f>INDEX(AF$124:AF$127,$D279)*$E279*INDEX(AF$128:AF$144,$F279)</f>
        <v/>
      </c>
      <c r="AG279" s="36">
        <f>INDEX(AG$124:AG$127,$D279)*$E279*INDEX(AG$128:AG$144,$F279)</f>
        <v/>
      </c>
      <c r="AH279" s="36">
        <f>INDEX(AH$124:AH$127,$D279)*$E279*INDEX(AH$128:AH$144,$F279)</f>
        <v/>
      </c>
      <c r="AI279" s="36">
        <f>INDEX(AI$124:AI$127,$D279)*$E279*INDEX(AI$128:AI$144,$F279)</f>
        <v/>
      </c>
      <c r="AJ279" s="36">
        <f>INDEX(AJ$124:AJ$127,$D279)*$E279*INDEX(AJ$128:AJ$144,$F279)</f>
        <v/>
      </c>
      <c r="AK279" s="36">
        <f>INDEX(AK$124:AK$127,$D279)*$E279*INDEX(AK$128:AK$144,$F279)</f>
        <v/>
      </c>
      <c r="AL279" s="36">
        <f>INDEX(AL$124:AL$127,$D279)*$E279*INDEX(AL$128:AL$144,$F279)</f>
        <v/>
      </c>
      <c r="AM279" s="36">
        <f>INDEX(AM$124:AM$127,$D279)*$E279*INDEX(AM$128:AM$144,$F279)</f>
        <v/>
      </c>
      <c r="AN279" s="36">
        <f>INDEX(AN$124:AN$127,$D279)*$E279*INDEX(AN$128:AN$144,$F279)</f>
        <v/>
      </c>
    </row>
    <row r="280" hidden="1" outlineLevel="2">
      <c r="A280" s="5" t="inlineStr">
        <is>
          <t>shp</t>
        </is>
      </c>
      <c r="B280" s="5" t="inlineStr">
        <is>
          <t>nga</t>
        </is>
      </c>
      <c r="C280" s="5" t="inlineStr">
        <is>
          <t>ral</t>
        </is>
      </c>
      <c r="D280" s="36">
        <f>INDEX(Inputs!$M$5:$M$132,MATCH($B280&amp;"|"&amp;$C280,Inputs!$A$5:$A$132,0))</f>
        <v/>
      </c>
      <c r="E280" s="36">
        <f>INDEX(Inputs!$U$5:$U$132,MATCH($B280&amp;"|"&amp;$C280,Inputs!$A$5:$A$132,0))</f>
        <v/>
      </c>
      <c r="F280" s="36">
        <f>INDEX(Inputs!$K$5:$K$132,MATCH($B280&amp;"|"&amp;$C280,Inputs!$A$5:$A$132,0))</f>
        <v/>
      </c>
      <c r="G280" s="37" t="n"/>
      <c r="H280" s="5">
        <f>INDEX(Variables!$B$5:$B$65,MATCH($A280,Variables!$A$5:$A$65,0))&amp;IF($C280="",""," | "&amp;INDEX(Mapping!$B$5:$B$25,MATCH($C280,Mapping!$A$5:$A$25,0))&amp;" | "&amp;INDEX(Mapping!$B$29:$B$38,MATCH($B280,Mapping!$A$29:$A$38,0)))</f>
        <v/>
      </c>
      <c r="I280" s="5">
        <f>INDEX(Variables!$C$5:$C$65,MATCH($A280,Variables!$A$5:$A$65,0))</f>
        <v/>
      </c>
      <c r="J280" s="5">
        <f>INDEX(Variables!$E$5:$E$65,MATCH($A280,Variables!$A$5:$A$65,0))</f>
        <v/>
      </c>
      <c r="K280" s="23">
        <f>LOWER(Settings!$C$4)&amp;".mit."&amp;$A280&amp;IF($C280="","","."&amp;$C280&amp;"."&amp;$B280)&amp;IF(INDEX(Variables!$D$5:$D$65,MATCH($A280,Variables!$A$5:$A$65,0))="","","."&amp;INDEX(Variables!$D$5:$D$65,MATCH($A280,Variables!$A$5:$A$65,0)))&amp;"."&amp;K$5</f>
        <v/>
      </c>
      <c r="L280" s="38">
        <f>INDEX(L$124:L$127,$D280)*$E280*INDEX(L$128:L$144,$F280)</f>
        <v/>
      </c>
      <c r="M280" s="36">
        <f>INDEX(M$124:M$127,$D280)*$E280*INDEX(M$128:M$144,$F280)</f>
        <v/>
      </c>
      <c r="N280" s="36">
        <f>INDEX(N$124:N$127,$D280)*$E280*INDEX(N$128:N$144,$F280)</f>
        <v/>
      </c>
      <c r="O280" s="36">
        <f>INDEX(O$124:O$127,$D280)*$E280*INDEX(O$128:O$144,$F280)</f>
        <v/>
      </c>
      <c r="P280" s="36">
        <f>INDEX(P$124:P$127,$D280)*$E280*INDEX(P$128:P$144,$F280)</f>
        <v/>
      </c>
      <c r="Q280" s="36">
        <f>INDEX(Q$124:Q$127,$D280)*$E280*INDEX(Q$128:Q$144,$F280)</f>
        <v/>
      </c>
      <c r="R280" s="36">
        <f>INDEX(R$124:R$127,$D280)*$E280*INDEX(R$128:R$144,$F280)</f>
        <v/>
      </c>
      <c r="S280" s="36">
        <f>INDEX(S$124:S$127,$D280)*$E280*INDEX(S$128:S$144,$F280)</f>
        <v/>
      </c>
      <c r="T280" s="36">
        <f>INDEX(T$124:T$127,$D280)*$E280*INDEX(T$128:T$144,$F280)</f>
        <v/>
      </c>
      <c r="U280" s="36">
        <f>INDEX(U$124:U$127,$D280)*$E280*INDEX(U$128:U$144,$F280)</f>
        <v/>
      </c>
      <c r="V280" s="36">
        <f>INDEX(V$124:V$127,$D280)*$E280*INDEX(V$128:V$144,$F280)</f>
        <v/>
      </c>
      <c r="W280" s="36">
        <f>INDEX(W$124:W$127,$D280)*$E280*INDEX(W$128:W$144,$F280)</f>
        <v/>
      </c>
      <c r="X280" s="36">
        <f>INDEX(X$124:X$127,$D280)*$E280*INDEX(X$128:X$144,$F280)</f>
        <v/>
      </c>
      <c r="Y280" s="36">
        <f>INDEX(Y$124:Y$127,$D280)*$E280*INDEX(Y$128:Y$144,$F280)</f>
        <v/>
      </c>
      <c r="Z280" s="23">
        <f>LOWER(Settings!$C$4)&amp;".mit."&amp;$A280&amp;IF($C280="","","."&amp;$C280&amp;"."&amp;$B280)&amp;IF(INDEX(Variables!$D$5:$D$65,MATCH($A280,Variables!$A$5:$A$65,0))="","","."&amp;INDEX(Variables!$D$5:$D$65,MATCH($A280,Variables!$A$5:$A$65,0)))&amp;"."&amp;Z$5</f>
        <v/>
      </c>
      <c r="AA280" s="38">
        <f>INDEX(AA$124:AA$127,$D280)*$E280*INDEX(AA$128:AA$144,$F280)</f>
        <v/>
      </c>
      <c r="AB280" s="36">
        <f>INDEX(AB$124:AB$127,$D280)*$E280*INDEX(AB$128:AB$144,$F280)</f>
        <v/>
      </c>
      <c r="AC280" s="36">
        <f>INDEX(AC$124:AC$127,$D280)*$E280*INDEX(AC$128:AC$144,$F280)</f>
        <v/>
      </c>
      <c r="AD280" s="36">
        <f>INDEX(AD$124:AD$127,$D280)*$E280*INDEX(AD$128:AD$144,$F280)</f>
        <v/>
      </c>
      <c r="AE280" s="36">
        <f>INDEX(AE$124:AE$127,$D280)*$E280*INDEX(AE$128:AE$144,$F280)</f>
        <v/>
      </c>
      <c r="AF280" s="36">
        <f>INDEX(AF$124:AF$127,$D280)*$E280*INDEX(AF$128:AF$144,$F280)</f>
        <v/>
      </c>
      <c r="AG280" s="36">
        <f>INDEX(AG$124:AG$127,$D280)*$E280*INDEX(AG$128:AG$144,$F280)</f>
        <v/>
      </c>
      <c r="AH280" s="36">
        <f>INDEX(AH$124:AH$127,$D280)*$E280*INDEX(AH$128:AH$144,$F280)</f>
        <v/>
      </c>
      <c r="AI280" s="36">
        <f>INDEX(AI$124:AI$127,$D280)*$E280*INDEX(AI$128:AI$144,$F280)</f>
        <v/>
      </c>
      <c r="AJ280" s="36">
        <f>INDEX(AJ$124:AJ$127,$D280)*$E280*INDEX(AJ$128:AJ$144,$F280)</f>
        <v/>
      </c>
      <c r="AK280" s="36">
        <f>INDEX(AK$124:AK$127,$D280)*$E280*INDEX(AK$128:AK$144,$F280)</f>
        <v/>
      </c>
      <c r="AL280" s="36">
        <f>INDEX(AL$124:AL$127,$D280)*$E280*INDEX(AL$128:AL$144,$F280)</f>
        <v/>
      </c>
      <c r="AM280" s="36">
        <f>INDEX(AM$124:AM$127,$D280)*$E280*INDEX(AM$128:AM$144,$F280)</f>
        <v/>
      </c>
      <c r="AN280" s="36">
        <f>INDEX(AN$124:AN$127,$D280)*$E280*INDEX(AN$128:AN$144,$F280)</f>
        <v/>
      </c>
    </row>
    <row r="281" hidden="1" outlineLevel="2">
      <c r="A281" s="5" t="inlineStr">
        <is>
          <t>shp</t>
        </is>
      </c>
      <c r="B281" s="5" t="inlineStr">
        <is>
          <t>gso</t>
        </is>
      </c>
      <c r="C281" s="5" t="inlineStr">
        <is>
          <t>ral</t>
        </is>
      </c>
      <c r="D281" s="36">
        <f>INDEX(Inputs!$M$5:$M$132,MATCH($B281&amp;"|"&amp;$C281,Inputs!$A$5:$A$132,0))</f>
        <v/>
      </c>
      <c r="E281" s="36">
        <f>INDEX(Inputs!$U$5:$U$132,MATCH($B281&amp;"|"&amp;$C281,Inputs!$A$5:$A$132,0))</f>
        <v/>
      </c>
      <c r="F281" s="36">
        <f>INDEX(Inputs!$K$5:$K$132,MATCH($B281&amp;"|"&amp;$C281,Inputs!$A$5:$A$132,0))</f>
        <v/>
      </c>
      <c r="G281" s="37" t="n"/>
      <c r="H281" s="5">
        <f>INDEX(Variables!$B$5:$B$65,MATCH($A281,Variables!$A$5:$A$65,0))&amp;IF($C281="",""," | "&amp;INDEX(Mapping!$B$5:$B$25,MATCH($C281,Mapping!$A$5:$A$25,0))&amp;" | "&amp;INDEX(Mapping!$B$29:$B$38,MATCH($B281,Mapping!$A$29:$A$38,0)))</f>
        <v/>
      </c>
      <c r="I281" s="5">
        <f>INDEX(Variables!$C$5:$C$65,MATCH($A281,Variables!$A$5:$A$65,0))</f>
        <v/>
      </c>
      <c r="J281" s="5">
        <f>INDEX(Variables!$E$5:$E$65,MATCH($A281,Variables!$A$5:$A$65,0))</f>
        <v/>
      </c>
      <c r="K281" s="23">
        <f>LOWER(Settings!$C$4)&amp;".mit."&amp;$A281&amp;IF($C281="","","."&amp;$C281&amp;"."&amp;$B281)&amp;IF(INDEX(Variables!$D$5:$D$65,MATCH($A281,Variables!$A$5:$A$65,0))="","","."&amp;INDEX(Variables!$D$5:$D$65,MATCH($A281,Variables!$A$5:$A$65,0)))&amp;"."&amp;K$5</f>
        <v/>
      </c>
      <c r="L281" s="38">
        <f>INDEX(L$124:L$127,$D281)*$E281*INDEX(L$128:L$144,$F281)</f>
        <v/>
      </c>
      <c r="M281" s="36">
        <f>INDEX(M$124:M$127,$D281)*$E281*INDEX(M$128:M$144,$F281)</f>
        <v/>
      </c>
      <c r="N281" s="36">
        <f>INDEX(N$124:N$127,$D281)*$E281*INDEX(N$128:N$144,$F281)</f>
        <v/>
      </c>
      <c r="O281" s="36">
        <f>INDEX(O$124:O$127,$D281)*$E281*INDEX(O$128:O$144,$F281)</f>
        <v/>
      </c>
      <c r="P281" s="36">
        <f>INDEX(P$124:P$127,$D281)*$E281*INDEX(P$128:P$144,$F281)</f>
        <v/>
      </c>
      <c r="Q281" s="36">
        <f>INDEX(Q$124:Q$127,$D281)*$E281*INDEX(Q$128:Q$144,$F281)</f>
        <v/>
      </c>
      <c r="R281" s="36">
        <f>INDEX(R$124:R$127,$D281)*$E281*INDEX(R$128:R$144,$F281)</f>
        <v/>
      </c>
      <c r="S281" s="36">
        <f>INDEX(S$124:S$127,$D281)*$E281*INDEX(S$128:S$144,$F281)</f>
        <v/>
      </c>
      <c r="T281" s="36">
        <f>INDEX(T$124:T$127,$D281)*$E281*INDEX(T$128:T$144,$F281)</f>
        <v/>
      </c>
      <c r="U281" s="36">
        <f>INDEX(U$124:U$127,$D281)*$E281*INDEX(U$128:U$144,$F281)</f>
        <v/>
      </c>
      <c r="V281" s="36">
        <f>INDEX(V$124:V$127,$D281)*$E281*INDEX(V$128:V$144,$F281)</f>
        <v/>
      </c>
      <c r="W281" s="36">
        <f>INDEX(W$124:W$127,$D281)*$E281*INDEX(W$128:W$144,$F281)</f>
        <v/>
      </c>
      <c r="X281" s="36">
        <f>INDEX(X$124:X$127,$D281)*$E281*INDEX(X$128:X$144,$F281)</f>
        <v/>
      </c>
      <c r="Y281" s="36">
        <f>INDEX(Y$124:Y$127,$D281)*$E281*INDEX(Y$128:Y$144,$F281)</f>
        <v/>
      </c>
      <c r="Z281" s="23">
        <f>LOWER(Settings!$C$4)&amp;".mit."&amp;$A281&amp;IF($C281="","","."&amp;$C281&amp;"."&amp;$B281)&amp;IF(INDEX(Variables!$D$5:$D$65,MATCH($A281,Variables!$A$5:$A$65,0))="","","."&amp;INDEX(Variables!$D$5:$D$65,MATCH($A281,Variables!$A$5:$A$65,0)))&amp;"."&amp;Z$5</f>
        <v/>
      </c>
      <c r="AA281" s="38">
        <f>INDEX(AA$124:AA$127,$D281)*$E281*INDEX(AA$128:AA$144,$F281)</f>
        <v/>
      </c>
      <c r="AB281" s="36">
        <f>INDEX(AB$124:AB$127,$D281)*$E281*INDEX(AB$128:AB$144,$F281)</f>
        <v/>
      </c>
      <c r="AC281" s="36">
        <f>INDEX(AC$124:AC$127,$D281)*$E281*INDEX(AC$128:AC$144,$F281)</f>
        <v/>
      </c>
      <c r="AD281" s="36">
        <f>INDEX(AD$124:AD$127,$D281)*$E281*INDEX(AD$128:AD$144,$F281)</f>
        <v/>
      </c>
      <c r="AE281" s="36">
        <f>INDEX(AE$124:AE$127,$D281)*$E281*INDEX(AE$128:AE$144,$F281)</f>
        <v/>
      </c>
      <c r="AF281" s="36">
        <f>INDEX(AF$124:AF$127,$D281)*$E281*INDEX(AF$128:AF$144,$F281)</f>
        <v/>
      </c>
      <c r="AG281" s="36">
        <f>INDEX(AG$124:AG$127,$D281)*$E281*INDEX(AG$128:AG$144,$F281)</f>
        <v/>
      </c>
      <c r="AH281" s="36">
        <f>INDEX(AH$124:AH$127,$D281)*$E281*INDEX(AH$128:AH$144,$F281)</f>
        <v/>
      </c>
      <c r="AI281" s="36">
        <f>INDEX(AI$124:AI$127,$D281)*$E281*INDEX(AI$128:AI$144,$F281)</f>
        <v/>
      </c>
      <c r="AJ281" s="36">
        <f>INDEX(AJ$124:AJ$127,$D281)*$E281*INDEX(AJ$128:AJ$144,$F281)</f>
        <v/>
      </c>
      <c r="AK281" s="36">
        <f>INDEX(AK$124:AK$127,$D281)*$E281*INDEX(AK$128:AK$144,$F281)</f>
        <v/>
      </c>
      <c r="AL281" s="36">
        <f>INDEX(AL$124:AL$127,$D281)*$E281*INDEX(AL$128:AL$144,$F281)</f>
        <v/>
      </c>
      <c r="AM281" s="36">
        <f>INDEX(AM$124:AM$127,$D281)*$E281*INDEX(AM$128:AM$144,$F281)</f>
        <v/>
      </c>
      <c r="AN281" s="36">
        <f>INDEX(AN$124:AN$127,$D281)*$E281*INDEX(AN$128:AN$144,$F281)</f>
        <v/>
      </c>
    </row>
    <row r="282" hidden="1" outlineLevel="2">
      <c r="A282" s="5" t="inlineStr">
        <is>
          <t>shp</t>
        </is>
      </c>
      <c r="B282" s="5" t="inlineStr">
        <is>
          <t>die</t>
        </is>
      </c>
      <c r="C282" s="5" t="inlineStr">
        <is>
          <t>ral</t>
        </is>
      </c>
      <c r="D282" s="36">
        <f>INDEX(Inputs!$M$5:$M$132,MATCH($B282&amp;"|"&amp;$C282,Inputs!$A$5:$A$132,0))</f>
        <v/>
      </c>
      <c r="E282" s="36">
        <f>INDEX(Inputs!$U$5:$U$132,MATCH($B282&amp;"|"&amp;$C282,Inputs!$A$5:$A$132,0))</f>
        <v/>
      </c>
      <c r="F282" s="36">
        <f>INDEX(Inputs!$K$5:$K$132,MATCH($B282&amp;"|"&amp;$C282,Inputs!$A$5:$A$132,0))</f>
        <v/>
      </c>
      <c r="G282" s="37" t="n"/>
      <c r="H282" s="5">
        <f>INDEX(Variables!$B$5:$B$65,MATCH($A282,Variables!$A$5:$A$65,0))&amp;IF($C282="",""," | "&amp;INDEX(Mapping!$B$5:$B$25,MATCH($C282,Mapping!$A$5:$A$25,0))&amp;" | "&amp;INDEX(Mapping!$B$29:$B$38,MATCH($B282,Mapping!$A$29:$A$38,0)))</f>
        <v/>
      </c>
      <c r="I282" s="5">
        <f>INDEX(Variables!$C$5:$C$65,MATCH($A282,Variables!$A$5:$A$65,0))</f>
        <v/>
      </c>
      <c r="J282" s="5">
        <f>INDEX(Variables!$E$5:$E$65,MATCH($A282,Variables!$A$5:$A$65,0))</f>
        <v/>
      </c>
      <c r="K282" s="23">
        <f>LOWER(Settings!$C$4)&amp;".mit."&amp;$A282&amp;IF($C282="","","."&amp;$C282&amp;"."&amp;$B282)&amp;IF(INDEX(Variables!$D$5:$D$65,MATCH($A282,Variables!$A$5:$A$65,0))="","","."&amp;INDEX(Variables!$D$5:$D$65,MATCH($A282,Variables!$A$5:$A$65,0)))&amp;"."&amp;K$5</f>
        <v/>
      </c>
      <c r="L282" s="38">
        <f>INDEX(L$124:L$127,$D282)*$E282*INDEX(L$128:L$144,$F282)</f>
        <v/>
      </c>
      <c r="M282" s="36">
        <f>INDEX(M$124:M$127,$D282)*$E282*INDEX(M$128:M$144,$F282)</f>
        <v/>
      </c>
      <c r="N282" s="36">
        <f>INDEX(N$124:N$127,$D282)*$E282*INDEX(N$128:N$144,$F282)</f>
        <v/>
      </c>
      <c r="O282" s="36">
        <f>INDEX(O$124:O$127,$D282)*$E282*INDEX(O$128:O$144,$F282)</f>
        <v/>
      </c>
      <c r="P282" s="36">
        <f>INDEX(P$124:P$127,$D282)*$E282*INDEX(P$128:P$144,$F282)</f>
        <v/>
      </c>
      <c r="Q282" s="36">
        <f>INDEX(Q$124:Q$127,$D282)*$E282*INDEX(Q$128:Q$144,$F282)</f>
        <v/>
      </c>
      <c r="R282" s="36">
        <f>INDEX(R$124:R$127,$D282)*$E282*INDEX(R$128:R$144,$F282)</f>
        <v/>
      </c>
      <c r="S282" s="36">
        <f>INDEX(S$124:S$127,$D282)*$E282*INDEX(S$128:S$144,$F282)</f>
        <v/>
      </c>
      <c r="T282" s="36">
        <f>INDEX(T$124:T$127,$D282)*$E282*INDEX(T$128:T$144,$F282)</f>
        <v/>
      </c>
      <c r="U282" s="36">
        <f>INDEX(U$124:U$127,$D282)*$E282*INDEX(U$128:U$144,$F282)</f>
        <v/>
      </c>
      <c r="V282" s="36">
        <f>INDEX(V$124:V$127,$D282)*$E282*INDEX(V$128:V$144,$F282)</f>
        <v/>
      </c>
      <c r="W282" s="36">
        <f>INDEX(W$124:W$127,$D282)*$E282*INDEX(W$128:W$144,$F282)</f>
        <v/>
      </c>
      <c r="X282" s="36">
        <f>INDEX(X$124:X$127,$D282)*$E282*INDEX(X$128:X$144,$F282)</f>
        <v/>
      </c>
      <c r="Y282" s="36">
        <f>INDEX(Y$124:Y$127,$D282)*$E282*INDEX(Y$128:Y$144,$F282)</f>
        <v/>
      </c>
      <c r="Z282" s="23">
        <f>LOWER(Settings!$C$4)&amp;".mit."&amp;$A282&amp;IF($C282="","","."&amp;$C282&amp;"."&amp;$B282)&amp;IF(INDEX(Variables!$D$5:$D$65,MATCH($A282,Variables!$A$5:$A$65,0))="","","."&amp;INDEX(Variables!$D$5:$D$65,MATCH($A282,Variables!$A$5:$A$65,0)))&amp;"."&amp;Z$5</f>
        <v/>
      </c>
      <c r="AA282" s="38">
        <f>INDEX(AA$124:AA$127,$D282)*$E282*INDEX(AA$128:AA$144,$F282)</f>
        <v/>
      </c>
      <c r="AB282" s="36">
        <f>INDEX(AB$124:AB$127,$D282)*$E282*INDEX(AB$128:AB$144,$F282)</f>
        <v/>
      </c>
      <c r="AC282" s="36">
        <f>INDEX(AC$124:AC$127,$D282)*$E282*INDEX(AC$128:AC$144,$F282)</f>
        <v/>
      </c>
      <c r="AD282" s="36">
        <f>INDEX(AD$124:AD$127,$D282)*$E282*INDEX(AD$128:AD$144,$F282)</f>
        <v/>
      </c>
      <c r="AE282" s="36">
        <f>INDEX(AE$124:AE$127,$D282)*$E282*INDEX(AE$128:AE$144,$F282)</f>
        <v/>
      </c>
      <c r="AF282" s="36">
        <f>INDEX(AF$124:AF$127,$D282)*$E282*INDEX(AF$128:AF$144,$F282)</f>
        <v/>
      </c>
      <c r="AG282" s="36">
        <f>INDEX(AG$124:AG$127,$D282)*$E282*INDEX(AG$128:AG$144,$F282)</f>
        <v/>
      </c>
      <c r="AH282" s="36">
        <f>INDEX(AH$124:AH$127,$D282)*$E282*INDEX(AH$128:AH$144,$F282)</f>
        <v/>
      </c>
      <c r="AI282" s="36">
        <f>INDEX(AI$124:AI$127,$D282)*$E282*INDEX(AI$128:AI$144,$F282)</f>
        <v/>
      </c>
      <c r="AJ282" s="36">
        <f>INDEX(AJ$124:AJ$127,$D282)*$E282*INDEX(AJ$128:AJ$144,$F282)</f>
        <v/>
      </c>
      <c r="AK282" s="36">
        <f>INDEX(AK$124:AK$127,$D282)*$E282*INDEX(AK$128:AK$144,$F282)</f>
        <v/>
      </c>
      <c r="AL282" s="36">
        <f>INDEX(AL$124:AL$127,$D282)*$E282*INDEX(AL$128:AL$144,$F282)</f>
        <v/>
      </c>
      <c r="AM282" s="36">
        <f>INDEX(AM$124:AM$127,$D282)*$E282*INDEX(AM$128:AM$144,$F282)</f>
        <v/>
      </c>
      <c r="AN282" s="36">
        <f>INDEX(AN$124:AN$127,$D282)*$E282*INDEX(AN$128:AN$144,$F282)</f>
        <v/>
      </c>
    </row>
    <row r="283" hidden="1" outlineLevel="2">
      <c r="A283" s="5" t="inlineStr">
        <is>
          <t>shp</t>
        </is>
      </c>
      <c r="B283" s="5" t="inlineStr">
        <is>
          <t>lpg</t>
        </is>
      </c>
      <c r="C283" s="5" t="inlineStr">
        <is>
          <t>ral</t>
        </is>
      </c>
      <c r="D283" s="36">
        <f>INDEX(Inputs!$M$5:$M$132,MATCH($B283&amp;"|"&amp;$C283,Inputs!$A$5:$A$132,0))</f>
        <v/>
      </c>
      <c r="E283" s="36">
        <f>INDEX(Inputs!$U$5:$U$132,MATCH($B283&amp;"|"&amp;$C283,Inputs!$A$5:$A$132,0))</f>
        <v/>
      </c>
      <c r="F283" s="36">
        <f>INDEX(Inputs!$K$5:$K$132,MATCH($B283&amp;"|"&amp;$C283,Inputs!$A$5:$A$132,0))</f>
        <v/>
      </c>
      <c r="G283" s="37" t="n"/>
      <c r="H283" s="5">
        <f>INDEX(Variables!$B$5:$B$65,MATCH($A283,Variables!$A$5:$A$65,0))&amp;IF($C283="",""," | "&amp;INDEX(Mapping!$B$5:$B$25,MATCH($C283,Mapping!$A$5:$A$25,0))&amp;" | "&amp;INDEX(Mapping!$B$29:$B$38,MATCH($B283,Mapping!$A$29:$A$38,0)))</f>
        <v/>
      </c>
      <c r="I283" s="5">
        <f>INDEX(Variables!$C$5:$C$65,MATCH($A283,Variables!$A$5:$A$65,0))</f>
        <v/>
      </c>
      <c r="J283" s="5">
        <f>INDEX(Variables!$E$5:$E$65,MATCH($A283,Variables!$A$5:$A$65,0))</f>
        <v/>
      </c>
      <c r="K283" s="23">
        <f>LOWER(Settings!$C$4)&amp;".mit."&amp;$A283&amp;IF($C283="","","."&amp;$C283&amp;"."&amp;$B283)&amp;IF(INDEX(Variables!$D$5:$D$65,MATCH($A283,Variables!$A$5:$A$65,0))="","","."&amp;INDEX(Variables!$D$5:$D$65,MATCH($A283,Variables!$A$5:$A$65,0)))&amp;"."&amp;K$5</f>
        <v/>
      </c>
      <c r="L283" s="38">
        <f>INDEX(L$124:L$127,$D283)*$E283*INDEX(L$128:L$144,$F283)</f>
        <v/>
      </c>
      <c r="M283" s="36">
        <f>INDEX(M$124:M$127,$D283)*$E283*INDEX(M$128:M$144,$F283)</f>
        <v/>
      </c>
      <c r="N283" s="36">
        <f>INDEX(N$124:N$127,$D283)*$E283*INDEX(N$128:N$144,$F283)</f>
        <v/>
      </c>
      <c r="O283" s="36">
        <f>INDEX(O$124:O$127,$D283)*$E283*INDEX(O$128:O$144,$F283)</f>
        <v/>
      </c>
      <c r="P283" s="36">
        <f>INDEX(P$124:P$127,$D283)*$E283*INDEX(P$128:P$144,$F283)</f>
        <v/>
      </c>
      <c r="Q283" s="36">
        <f>INDEX(Q$124:Q$127,$D283)*$E283*INDEX(Q$128:Q$144,$F283)</f>
        <v/>
      </c>
      <c r="R283" s="36">
        <f>INDEX(R$124:R$127,$D283)*$E283*INDEX(R$128:R$144,$F283)</f>
        <v/>
      </c>
      <c r="S283" s="36">
        <f>INDEX(S$124:S$127,$D283)*$E283*INDEX(S$128:S$144,$F283)</f>
        <v/>
      </c>
      <c r="T283" s="36">
        <f>INDEX(T$124:T$127,$D283)*$E283*INDEX(T$128:T$144,$F283)</f>
        <v/>
      </c>
      <c r="U283" s="36">
        <f>INDEX(U$124:U$127,$D283)*$E283*INDEX(U$128:U$144,$F283)</f>
        <v/>
      </c>
      <c r="V283" s="36">
        <f>INDEX(V$124:V$127,$D283)*$E283*INDEX(V$128:V$144,$F283)</f>
        <v/>
      </c>
      <c r="W283" s="36">
        <f>INDEX(W$124:W$127,$D283)*$E283*INDEX(W$128:W$144,$F283)</f>
        <v/>
      </c>
      <c r="X283" s="36">
        <f>INDEX(X$124:X$127,$D283)*$E283*INDEX(X$128:X$144,$F283)</f>
        <v/>
      </c>
      <c r="Y283" s="36">
        <f>INDEX(Y$124:Y$127,$D283)*$E283*INDEX(Y$128:Y$144,$F283)</f>
        <v/>
      </c>
      <c r="Z283" s="23">
        <f>LOWER(Settings!$C$4)&amp;".mit."&amp;$A283&amp;IF($C283="","","."&amp;$C283&amp;"."&amp;$B283)&amp;IF(INDEX(Variables!$D$5:$D$65,MATCH($A283,Variables!$A$5:$A$65,0))="","","."&amp;INDEX(Variables!$D$5:$D$65,MATCH($A283,Variables!$A$5:$A$65,0)))&amp;"."&amp;Z$5</f>
        <v/>
      </c>
      <c r="AA283" s="38">
        <f>INDEX(AA$124:AA$127,$D283)*$E283*INDEX(AA$128:AA$144,$F283)</f>
        <v/>
      </c>
      <c r="AB283" s="36">
        <f>INDEX(AB$124:AB$127,$D283)*$E283*INDEX(AB$128:AB$144,$F283)</f>
        <v/>
      </c>
      <c r="AC283" s="36">
        <f>INDEX(AC$124:AC$127,$D283)*$E283*INDEX(AC$128:AC$144,$F283)</f>
        <v/>
      </c>
      <c r="AD283" s="36">
        <f>INDEX(AD$124:AD$127,$D283)*$E283*INDEX(AD$128:AD$144,$F283)</f>
        <v/>
      </c>
      <c r="AE283" s="36">
        <f>INDEX(AE$124:AE$127,$D283)*$E283*INDEX(AE$128:AE$144,$F283)</f>
        <v/>
      </c>
      <c r="AF283" s="36">
        <f>INDEX(AF$124:AF$127,$D283)*$E283*INDEX(AF$128:AF$144,$F283)</f>
        <v/>
      </c>
      <c r="AG283" s="36">
        <f>INDEX(AG$124:AG$127,$D283)*$E283*INDEX(AG$128:AG$144,$F283)</f>
        <v/>
      </c>
      <c r="AH283" s="36">
        <f>INDEX(AH$124:AH$127,$D283)*$E283*INDEX(AH$128:AH$144,$F283)</f>
        <v/>
      </c>
      <c r="AI283" s="36">
        <f>INDEX(AI$124:AI$127,$D283)*$E283*INDEX(AI$128:AI$144,$F283)</f>
        <v/>
      </c>
      <c r="AJ283" s="36">
        <f>INDEX(AJ$124:AJ$127,$D283)*$E283*INDEX(AJ$128:AJ$144,$F283)</f>
        <v/>
      </c>
      <c r="AK283" s="36">
        <f>INDEX(AK$124:AK$127,$D283)*$E283*INDEX(AK$128:AK$144,$F283)</f>
        <v/>
      </c>
      <c r="AL283" s="36">
        <f>INDEX(AL$124:AL$127,$D283)*$E283*INDEX(AL$128:AL$144,$F283)</f>
        <v/>
      </c>
      <c r="AM283" s="36">
        <f>INDEX(AM$124:AM$127,$D283)*$E283*INDEX(AM$128:AM$144,$F283)</f>
        <v/>
      </c>
      <c r="AN283" s="36">
        <f>INDEX(AN$124:AN$127,$D283)*$E283*INDEX(AN$128:AN$144,$F283)</f>
        <v/>
      </c>
    </row>
    <row r="284" hidden="1" outlineLevel="2">
      <c r="A284" s="5" t="inlineStr">
        <is>
          <t>shp</t>
        </is>
      </c>
      <c r="B284" s="5" t="inlineStr">
        <is>
          <t>ker</t>
        </is>
      </c>
      <c r="C284" s="5" t="inlineStr">
        <is>
          <t>ral</t>
        </is>
      </c>
      <c r="D284" s="36">
        <f>INDEX(Inputs!$M$5:$M$132,MATCH($B284&amp;"|"&amp;$C284,Inputs!$A$5:$A$132,0))</f>
        <v/>
      </c>
      <c r="E284" s="36">
        <f>INDEX(Inputs!$U$5:$U$132,MATCH($B284&amp;"|"&amp;$C284,Inputs!$A$5:$A$132,0))</f>
        <v/>
      </c>
      <c r="F284" s="36">
        <f>INDEX(Inputs!$K$5:$K$132,MATCH($B284&amp;"|"&amp;$C284,Inputs!$A$5:$A$132,0))</f>
        <v/>
      </c>
      <c r="G284" s="37" t="n"/>
      <c r="H284" s="5">
        <f>INDEX(Variables!$B$5:$B$65,MATCH($A284,Variables!$A$5:$A$65,0))&amp;IF($C284="",""," | "&amp;INDEX(Mapping!$B$5:$B$25,MATCH($C284,Mapping!$A$5:$A$25,0))&amp;" | "&amp;INDEX(Mapping!$B$29:$B$38,MATCH($B284,Mapping!$A$29:$A$38,0)))</f>
        <v/>
      </c>
      <c r="I284" s="5">
        <f>INDEX(Variables!$C$5:$C$65,MATCH($A284,Variables!$A$5:$A$65,0))</f>
        <v/>
      </c>
      <c r="J284" s="5">
        <f>INDEX(Variables!$E$5:$E$65,MATCH($A284,Variables!$A$5:$A$65,0))</f>
        <v/>
      </c>
      <c r="K284" s="23">
        <f>LOWER(Settings!$C$4)&amp;".mit."&amp;$A284&amp;IF($C284="","","."&amp;$C284&amp;"."&amp;$B284)&amp;IF(INDEX(Variables!$D$5:$D$65,MATCH($A284,Variables!$A$5:$A$65,0))="","","."&amp;INDEX(Variables!$D$5:$D$65,MATCH($A284,Variables!$A$5:$A$65,0)))&amp;"."&amp;K$5</f>
        <v/>
      </c>
      <c r="L284" s="38">
        <f>INDEX(L$124:L$127,$D284)*$E284*INDEX(L$128:L$144,$F284)</f>
        <v/>
      </c>
      <c r="M284" s="36">
        <f>INDEX(M$124:M$127,$D284)*$E284*INDEX(M$128:M$144,$F284)</f>
        <v/>
      </c>
      <c r="N284" s="36">
        <f>INDEX(N$124:N$127,$D284)*$E284*INDEX(N$128:N$144,$F284)</f>
        <v/>
      </c>
      <c r="O284" s="36">
        <f>INDEX(O$124:O$127,$D284)*$E284*INDEX(O$128:O$144,$F284)</f>
        <v/>
      </c>
      <c r="P284" s="36">
        <f>INDEX(P$124:P$127,$D284)*$E284*INDEX(P$128:P$144,$F284)</f>
        <v/>
      </c>
      <c r="Q284" s="36">
        <f>INDEX(Q$124:Q$127,$D284)*$E284*INDEX(Q$128:Q$144,$F284)</f>
        <v/>
      </c>
      <c r="R284" s="36">
        <f>INDEX(R$124:R$127,$D284)*$E284*INDEX(R$128:R$144,$F284)</f>
        <v/>
      </c>
      <c r="S284" s="36">
        <f>INDEX(S$124:S$127,$D284)*$E284*INDEX(S$128:S$144,$F284)</f>
        <v/>
      </c>
      <c r="T284" s="36">
        <f>INDEX(T$124:T$127,$D284)*$E284*INDEX(T$128:T$144,$F284)</f>
        <v/>
      </c>
      <c r="U284" s="36">
        <f>INDEX(U$124:U$127,$D284)*$E284*INDEX(U$128:U$144,$F284)</f>
        <v/>
      </c>
      <c r="V284" s="36">
        <f>INDEX(V$124:V$127,$D284)*$E284*INDEX(V$128:V$144,$F284)</f>
        <v/>
      </c>
      <c r="W284" s="36">
        <f>INDEX(W$124:W$127,$D284)*$E284*INDEX(W$128:W$144,$F284)</f>
        <v/>
      </c>
      <c r="X284" s="36">
        <f>INDEX(X$124:X$127,$D284)*$E284*INDEX(X$128:X$144,$F284)</f>
        <v/>
      </c>
      <c r="Y284" s="36">
        <f>INDEX(Y$124:Y$127,$D284)*$E284*INDEX(Y$128:Y$144,$F284)</f>
        <v/>
      </c>
      <c r="Z284" s="23">
        <f>LOWER(Settings!$C$4)&amp;".mit."&amp;$A284&amp;IF($C284="","","."&amp;$C284&amp;"."&amp;$B284)&amp;IF(INDEX(Variables!$D$5:$D$65,MATCH($A284,Variables!$A$5:$A$65,0))="","","."&amp;INDEX(Variables!$D$5:$D$65,MATCH($A284,Variables!$A$5:$A$65,0)))&amp;"."&amp;Z$5</f>
        <v/>
      </c>
      <c r="AA284" s="38">
        <f>INDEX(AA$124:AA$127,$D284)*$E284*INDEX(AA$128:AA$144,$F284)</f>
        <v/>
      </c>
      <c r="AB284" s="36">
        <f>INDEX(AB$124:AB$127,$D284)*$E284*INDEX(AB$128:AB$144,$F284)</f>
        <v/>
      </c>
      <c r="AC284" s="36">
        <f>INDEX(AC$124:AC$127,$D284)*$E284*INDEX(AC$128:AC$144,$F284)</f>
        <v/>
      </c>
      <c r="AD284" s="36">
        <f>INDEX(AD$124:AD$127,$D284)*$E284*INDEX(AD$128:AD$144,$F284)</f>
        <v/>
      </c>
      <c r="AE284" s="36">
        <f>INDEX(AE$124:AE$127,$D284)*$E284*INDEX(AE$128:AE$144,$F284)</f>
        <v/>
      </c>
      <c r="AF284" s="36">
        <f>INDEX(AF$124:AF$127,$D284)*$E284*INDEX(AF$128:AF$144,$F284)</f>
        <v/>
      </c>
      <c r="AG284" s="36">
        <f>INDEX(AG$124:AG$127,$D284)*$E284*INDEX(AG$128:AG$144,$F284)</f>
        <v/>
      </c>
      <c r="AH284" s="36">
        <f>INDEX(AH$124:AH$127,$D284)*$E284*INDEX(AH$128:AH$144,$F284)</f>
        <v/>
      </c>
      <c r="AI284" s="36">
        <f>INDEX(AI$124:AI$127,$D284)*$E284*INDEX(AI$128:AI$144,$F284)</f>
        <v/>
      </c>
      <c r="AJ284" s="36">
        <f>INDEX(AJ$124:AJ$127,$D284)*$E284*INDEX(AJ$128:AJ$144,$F284)</f>
        <v/>
      </c>
      <c r="AK284" s="36">
        <f>INDEX(AK$124:AK$127,$D284)*$E284*INDEX(AK$128:AK$144,$F284)</f>
        <v/>
      </c>
      <c r="AL284" s="36">
        <f>INDEX(AL$124:AL$127,$D284)*$E284*INDEX(AL$128:AL$144,$F284)</f>
        <v/>
      </c>
      <c r="AM284" s="36">
        <f>INDEX(AM$124:AM$127,$D284)*$E284*INDEX(AM$128:AM$144,$F284)</f>
        <v/>
      </c>
      <c r="AN284" s="36">
        <f>INDEX(AN$124:AN$127,$D284)*$E284*INDEX(AN$128:AN$144,$F284)</f>
        <v/>
      </c>
    </row>
    <row r="285" hidden="1" outlineLevel="2">
      <c r="A285" s="5" t="inlineStr">
        <is>
          <t>shp</t>
        </is>
      </c>
      <c r="B285" s="5" t="inlineStr">
        <is>
          <t>oop</t>
        </is>
      </c>
      <c r="C285" s="5" t="inlineStr">
        <is>
          <t>ral</t>
        </is>
      </c>
      <c r="D285" s="36">
        <f>INDEX(Inputs!$M$5:$M$132,MATCH($B285&amp;"|"&amp;$C285,Inputs!$A$5:$A$132,0))</f>
        <v/>
      </c>
      <c r="E285" s="36">
        <f>INDEX(Inputs!$U$5:$U$132,MATCH($B285&amp;"|"&amp;$C285,Inputs!$A$5:$A$132,0))</f>
        <v/>
      </c>
      <c r="F285" s="36">
        <f>INDEX(Inputs!$K$5:$K$132,MATCH($B285&amp;"|"&amp;$C285,Inputs!$A$5:$A$132,0))</f>
        <v/>
      </c>
      <c r="G285" s="37" t="n"/>
      <c r="H285" s="5">
        <f>INDEX(Variables!$B$5:$B$65,MATCH($A285,Variables!$A$5:$A$65,0))&amp;IF($C285="",""," | "&amp;INDEX(Mapping!$B$5:$B$25,MATCH($C285,Mapping!$A$5:$A$25,0))&amp;" | "&amp;INDEX(Mapping!$B$29:$B$38,MATCH($B285,Mapping!$A$29:$A$38,0)))</f>
        <v/>
      </c>
      <c r="I285" s="5">
        <f>INDEX(Variables!$C$5:$C$65,MATCH($A285,Variables!$A$5:$A$65,0))</f>
        <v/>
      </c>
      <c r="J285" s="5">
        <f>INDEX(Variables!$E$5:$E$65,MATCH($A285,Variables!$A$5:$A$65,0))</f>
        <v/>
      </c>
      <c r="K285" s="23">
        <f>LOWER(Settings!$C$4)&amp;".mit."&amp;$A285&amp;IF($C285="","","."&amp;$C285&amp;"."&amp;$B285)&amp;IF(INDEX(Variables!$D$5:$D$65,MATCH($A285,Variables!$A$5:$A$65,0))="","","."&amp;INDEX(Variables!$D$5:$D$65,MATCH($A285,Variables!$A$5:$A$65,0)))&amp;"."&amp;K$5</f>
        <v/>
      </c>
      <c r="L285" s="38">
        <f>INDEX(L$124:L$127,$D285)*$E285*INDEX(L$128:L$144,$F285)</f>
        <v/>
      </c>
      <c r="M285" s="36">
        <f>INDEX(M$124:M$127,$D285)*$E285*INDEX(M$128:M$144,$F285)</f>
        <v/>
      </c>
      <c r="N285" s="36">
        <f>INDEX(N$124:N$127,$D285)*$E285*INDEX(N$128:N$144,$F285)</f>
        <v/>
      </c>
      <c r="O285" s="36">
        <f>INDEX(O$124:O$127,$D285)*$E285*INDEX(O$128:O$144,$F285)</f>
        <v/>
      </c>
      <c r="P285" s="36">
        <f>INDEX(P$124:P$127,$D285)*$E285*INDEX(P$128:P$144,$F285)</f>
        <v/>
      </c>
      <c r="Q285" s="36">
        <f>INDEX(Q$124:Q$127,$D285)*$E285*INDEX(Q$128:Q$144,$F285)</f>
        <v/>
      </c>
      <c r="R285" s="36">
        <f>INDEX(R$124:R$127,$D285)*$E285*INDEX(R$128:R$144,$F285)</f>
        <v/>
      </c>
      <c r="S285" s="36">
        <f>INDEX(S$124:S$127,$D285)*$E285*INDEX(S$128:S$144,$F285)</f>
        <v/>
      </c>
      <c r="T285" s="36">
        <f>INDEX(T$124:T$127,$D285)*$E285*INDEX(T$128:T$144,$F285)</f>
        <v/>
      </c>
      <c r="U285" s="36">
        <f>INDEX(U$124:U$127,$D285)*$E285*INDEX(U$128:U$144,$F285)</f>
        <v/>
      </c>
      <c r="V285" s="36">
        <f>INDEX(V$124:V$127,$D285)*$E285*INDEX(V$128:V$144,$F285)</f>
        <v/>
      </c>
      <c r="W285" s="36">
        <f>INDEX(W$124:W$127,$D285)*$E285*INDEX(W$128:W$144,$F285)</f>
        <v/>
      </c>
      <c r="X285" s="36">
        <f>INDEX(X$124:X$127,$D285)*$E285*INDEX(X$128:X$144,$F285)</f>
        <v/>
      </c>
      <c r="Y285" s="36">
        <f>INDEX(Y$124:Y$127,$D285)*$E285*INDEX(Y$128:Y$144,$F285)</f>
        <v/>
      </c>
      <c r="Z285" s="23">
        <f>LOWER(Settings!$C$4)&amp;".mit."&amp;$A285&amp;IF($C285="","","."&amp;$C285&amp;"."&amp;$B285)&amp;IF(INDEX(Variables!$D$5:$D$65,MATCH($A285,Variables!$A$5:$A$65,0))="","","."&amp;INDEX(Variables!$D$5:$D$65,MATCH($A285,Variables!$A$5:$A$65,0)))&amp;"."&amp;Z$5</f>
        <v/>
      </c>
      <c r="AA285" s="38">
        <f>INDEX(AA$124:AA$127,$D285)*$E285*INDEX(AA$128:AA$144,$F285)</f>
        <v/>
      </c>
      <c r="AB285" s="36">
        <f>INDEX(AB$124:AB$127,$D285)*$E285*INDEX(AB$128:AB$144,$F285)</f>
        <v/>
      </c>
      <c r="AC285" s="36">
        <f>INDEX(AC$124:AC$127,$D285)*$E285*INDEX(AC$128:AC$144,$F285)</f>
        <v/>
      </c>
      <c r="AD285" s="36">
        <f>INDEX(AD$124:AD$127,$D285)*$E285*INDEX(AD$128:AD$144,$F285)</f>
        <v/>
      </c>
      <c r="AE285" s="36">
        <f>INDEX(AE$124:AE$127,$D285)*$E285*INDEX(AE$128:AE$144,$F285)</f>
        <v/>
      </c>
      <c r="AF285" s="36">
        <f>INDEX(AF$124:AF$127,$D285)*$E285*INDEX(AF$128:AF$144,$F285)</f>
        <v/>
      </c>
      <c r="AG285" s="36">
        <f>INDEX(AG$124:AG$127,$D285)*$E285*INDEX(AG$128:AG$144,$F285)</f>
        <v/>
      </c>
      <c r="AH285" s="36">
        <f>INDEX(AH$124:AH$127,$D285)*$E285*INDEX(AH$128:AH$144,$F285)</f>
        <v/>
      </c>
      <c r="AI285" s="36">
        <f>INDEX(AI$124:AI$127,$D285)*$E285*INDEX(AI$128:AI$144,$F285)</f>
        <v/>
      </c>
      <c r="AJ285" s="36">
        <f>INDEX(AJ$124:AJ$127,$D285)*$E285*INDEX(AJ$128:AJ$144,$F285)</f>
        <v/>
      </c>
      <c r="AK285" s="36">
        <f>INDEX(AK$124:AK$127,$D285)*$E285*INDEX(AK$128:AK$144,$F285)</f>
        <v/>
      </c>
      <c r="AL285" s="36">
        <f>INDEX(AL$124:AL$127,$D285)*$E285*INDEX(AL$128:AL$144,$F285)</f>
        <v/>
      </c>
      <c r="AM285" s="36">
        <f>INDEX(AM$124:AM$127,$D285)*$E285*INDEX(AM$128:AM$144,$F285)</f>
        <v/>
      </c>
      <c r="AN285" s="36">
        <f>INDEX(AN$124:AN$127,$D285)*$E285*INDEX(AN$128:AN$144,$F285)</f>
        <v/>
      </c>
    </row>
    <row r="286" hidden="1" outlineLevel="2">
      <c r="A286" s="5" t="inlineStr">
        <is>
          <t>shp</t>
        </is>
      </c>
      <c r="B286" s="5" t="inlineStr">
        <is>
          <t>bio</t>
        </is>
      </c>
      <c r="C286" s="5" t="inlineStr">
        <is>
          <t>ral</t>
        </is>
      </c>
      <c r="D286" s="36">
        <f>INDEX(Inputs!$M$5:$M$132,MATCH($B286&amp;"|"&amp;$C286,Inputs!$A$5:$A$132,0))</f>
        <v/>
      </c>
      <c r="E286" s="36">
        <f>INDEX(Inputs!$U$5:$U$132,MATCH($B286&amp;"|"&amp;$C286,Inputs!$A$5:$A$132,0))</f>
        <v/>
      </c>
      <c r="F286" s="36">
        <f>INDEX(Inputs!$K$5:$K$132,MATCH($B286&amp;"|"&amp;$C286,Inputs!$A$5:$A$132,0))</f>
        <v/>
      </c>
      <c r="G286" s="37" t="n"/>
      <c r="H286" s="5">
        <f>INDEX(Variables!$B$5:$B$65,MATCH($A286,Variables!$A$5:$A$65,0))&amp;IF($C286="",""," | "&amp;INDEX(Mapping!$B$5:$B$25,MATCH($C286,Mapping!$A$5:$A$25,0))&amp;" | "&amp;INDEX(Mapping!$B$29:$B$38,MATCH($B286,Mapping!$A$29:$A$38,0)))</f>
        <v/>
      </c>
      <c r="I286" s="5">
        <f>INDEX(Variables!$C$5:$C$65,MATCH($A286,Variables!$A$5:$A$65,0))</f>
        <v/>
      </c>
      <c r="J286" s="5">
        <f>INDEX(Variables!$E$5:$E$65,MATCH($A286,Variables!$A$5:$A$65,0))</f>
        <v/>
      </c>
      <c r="K286" s="23">
        <f>LOWER(Settings!$C$4)&amp;".mit."&amp;$A286&amp;IF($C286="","","."&amp;$C286&amp;"."&amp;$B286)&amp;IF(INDEX(Variables!$D$5:$D$65,MATCH($A286,Variables!$A$5:$A$65,0))="","","."&amp;INDEX(Variables!$D$5:$D$65,MATCH($A286,Variables!$A$5:$A$65,0)))&amp;"."&amp;K$5</f>
        <v/>
      </c>
      <c r="L286" s="38">
        <f>INDEX(L$124:L$127,$D286)*$E286*INDEX(L$128:L$144,$F286)</f>
        <v/>
      </c>
      <c r="M286" s="36">
        <f>INDEX(M$124:M$127,$D286)*$E286*INDEX(M$128:M$144,$F286)</f>
        <v/>
      </c>
      <c r="N286" s="36">
        <f>INDEX(N$124:N$127,$D286)*$E286*INDEX(N$128:N$144,$F286)</f>
        <v/>
      </c>
      <c r="O286" s="36">
        <f>INDEX(O$124:O$127,$D286)*$E286*INDEX(O$128:O$144,$F286)</f>
        <v/>
      </c>
      <c r="P286" s="36">
        <f>INDEX(P$124:P$127,$D286)*$E286*INDEX(P$128:P$144,$F286)</f>
        <v/>
      </c>
      <c r="Q286" s="36">
        <f>INDEX(Q$124:Q$127,$D286)*$E286*INDEX(Q$128:Q$144,$F286)</f>
        <v/>
      </c>
      <c r="R286" s="36">
        <f>INDEX(R$124:R$127,$D286)*$E286*INDEX(R$128:R$144,$F286)</f>
        <v/>
      </c>
      <c r="S286" s="36">
        <f>INDEX(S$124:S$127,$D286)*$E286*INDEX(S$128:S$144,$F286)</f>
        <v/>
      </c>
      <c r="T286" s="36">
        <f>INDEX(T$124:T$127,$D286)*$E286*INDEX(T$128:T$144,$F286)</f>
        <v/>
      </c>
      <c r="U286" s="36">
        <f>INDEX(U$124:U$127,$D286)*$E286*INDEX(U$128:U$144,$F286)</f>
        <v/>
      </c>
      <c r="V286" s="36">
        <f>INDEX(V$124:V$127,$D286)*$E286*INDEX(V$128:V$144,$F286)</f>
        <v/>
      </c>
      <c r="W286" s="36">
        <f>INDEX(W$124:W$127,$D286)*$E286*INDEX(W$128:W$144,$F286)</f>
        <v/>
      </c>
      <c r="X286" s="36">
        <f>INDEX(X$124:X$127,$D286)*$E286*INDEX(X$128:X$144,$F286)</f>
        <v/>
      </c>
      <c r="Y286" s="36">
        <f>INDEX(Y$124:Y$127,$D286)*$E286*INDEX(Y$128:Y$144,$F286)</f>
        <v/>
      </c>
      <c r="Z286" s="23">
        <f>LOWER(Settings!$C$4)&amp;".mit."&amp;$A286&amp;IF($C286="","","."&amp;$C286&amp;"."&amp;$B286)&amp;IF(INDEX(Variables!$D$5:$D$65,MATCH($A286,Variables!$A$5:$A$65,0))="","","."&amp;INDEX(Variables!$D$5:$D$65,MATCH($A286,Variables!$A$5:$A$65,0)))&amp;"."&amp;Z$5</f>
        <v/>
      </c>
      <c r="AA286" s="38">
        <f>INDEX(AA$124:AA$127,$D286)*$E286*INDEX(AA$128:AA$144,$F286)</f>
        <v/>
      </c>
      <c r="AB286" s="36">
        <f>INDEX(AB$124:AB$127,$D286)*$E286*INDEX(AB$128:AB$144,$F286)</f>
        <v/>
      </c>
      <c r="AC286" s="36">
        <f>INDEX(AC$124:AC$127,$D286)*$E286*INDEX(AC$128:AC$144,$F286)</f>
        <v/>
      </c>
      <c r="AD286" s="36">
        <f>INDEX(AD$124:AD$127,$D286)*$E286*INDEX(AD$128:AD$144,$F286)</f>
        <v/>
      </c>
      <c r="AE286" s="36">
        <f>INDEX(AE$124:AE$127,$D286)*$E286*INDEX(AE$128:AE$144,$F286)</f>
        <v/>
      </c>
      <c r="AF286" s="36">
        <f>INDEX(AF$124:AF$127,$D286)*$E286*INDEX(AF$128:AF$144,$F286)</f>
        <v/>
      </c>
      <c r="AG286" s="36">
        <f>INDEX(AG$124:AG$127,$D286)*$E286*INDEX(AG$128:AG$144,$F286)</f>
        <v/>
      </c>
      <c r="AH286" s="36">
        <f>INDEX(AH$124:AH$127,$D286)*$E286*INDEX(AH$128:AH$144,$F286)</f>
        <v/>
      </c>
      <c r="AI286" s="36">
        <f>INDEX(AI$124:AI$127,$D286)*$E286*INDEX(AI$128:AI$144,$F286)</f>
        <v/>
      </c>
      <c r="AJ286" s="36">
        <f>INDEX(AJ$124:AJ$127,$D286)*$E286*INDEX(AJ$128:AJ$144,$F286)</f>
        <v/>
      </c>
      <c r="AK286" s="36">
        <f>INDEX(AK$124:AK$127,$D286)*$E286*INDEX(AK$128:AK$144,$F286)</f>
        <v/>
      </c>
      <c r="AL286" s="36">
        <f>INDEX(AL$124:AL$127,$D286)*$E286*INDEX(AL$128:AL$144,$F286)</f>
        <v/>
      </c>
      <c r="AM286" s="36">
        <f>INDEX(AM$124:AM$127,$D286)*$E286*INDEX(AM$128:AM$144,$F286)</f>
        <v/>
      </c>
      <c r="AN286" s="36">
        <f>INDEX(AN$124:AN$127,$D286)*$E286*INDEX(AN$128:AN$144,$F286)</f>
        <v/>
      </c>
    </row>
    <row r="287" hidden="1" outlineLevel="2"/>
    <row r="288" hidden="1" outlineLevel="2">
      <c r="A288" s="5" t="inlineStr">
        <is>
          <t>ener</t>
        </is>
      </c>
      <c r="B288" s="5" t="inlineStr">
        <is>
          <t>coa</t>
        </is>
      </c>
      <c r="C288" s="5" t="inlineStr">
        <is>
          <t>ral</t>
        </is>
      </c>
      <c r="D288" s="36">
        <f>INDEX(Inputs!$N$5:$N$132,MATCH($B288&amp;"|"&amp;$C288,Inputs!$A$5:$A$132,0))</f>
        <v/>
      </c>
      <c r="E288" s="36">
        <f>INDEX(Inputs!$O$5:$O$132,MATCH($B288&amp;"|"&amp;$C288,Inputs!$A$5:$A$132,0))</f>
        <v/>
      </c>
      <c r="F288" s="36">
        <f>INDEX(Inputs!$P$5:$P$132,MATCH($B288&amp;"|"&amp;$C288,Inputs!$A$5:$A$132,0))</f>
        <v/>
      </c>
      <c r="G288" s="36">
        <f>INDEX(Inputs!$Q$5:$Q$132,MATCH($B288&amp;"|"&amp;$C288,Inputs!$A$5:$A$132,0))</f>
        <v/>
      </c>
      <c r="H288" s="5">
        <f>INDEX(Variables!$B$5:$B$65,MATCH($A288,Variables!$A$5:$A$65,0))&amp;IF($C288="",""," | "&amp;INDEX(Mapping!$B$5:$B$25,MATCH($C288,Mapping!$A$5:$A$25,0))&amp;" | "&amp;INDEX(Mapping!$B$29:$B$38,MATCH($B288,Mapping!$A$29:$A$38,0)))</f>
        <v/>
      </c>
      <c r="I288" s="5">
        <f>INDEX(Variables!$C$5:$C$65,MATCH($A288,Variables!$A$5:$A$65,0))</f>
        <v/>
      </c>
      <c r="J288" s="5">
        <f>INDEX(Variables!$E$5:$E$65,MATCH($A288,Variables!$A$5:$A$65,0))</f>
        <v/>
      </c>
      <c r="K288" s="23">
        <f>LOWER(Settings!$C$4)&amp;".mit."&amp;$A288&amp;IF($C288="","","."&amp;$C288&amp;"."&amp;$B288)&amp;IF(INDEX(Variables!$D$5:$D$65,MATCH($A288,Variables!$A$5:$A$65,0))="","","."&amp;INDEX(Variables!$D$5:$D$65,MATCH($A288,Variables!$A$5:$A$65,0)))&amp;"."&amp;K$5</f>
        <v/>
      </c>
      <c r="L288" s="40">
        <f>INDEX(Inputs!$V$5:$V$132,MATCH($B288&amp;"|"&amp;$C288,Inputs!$A$5:$A$132,0))</f>
        <v/>
      </c>
      <c r="M288" s="41">
        <f>L288*(1/(1+$G288))^(1+$E288)*(1+M$7)^$D288*(M270/L270)^$E288*((M270+M279)/(L270+L279))^($F288*(1+$E288))</f>
        <v/>
      </c>
      <c r="N288" s="41">
        <f>M288*(1/(1+$G288))^(1+$E288)*(1+N$7)^$D288*(N270/M270)^$E288*((N270+N279)/(M270+M279))^($F288*(1+$E288))</f>
        <v/>
      </c>
      <c r="O288" s="41">
        <f>N288*(1/(1+$G288))^(1+$E288)*(1+O$7)^$D288*(O270/N270)^$E288*((O270+O279)/(N270+N279))^($F288*(1+$E288))</f>
        <v/>
      </c>
      <c r="P288" s="41">
        <f>O288*(1/(1+$G288))^(1+$E288)*(1+P$7)^$D288*(P270/O270)^$E288*((P270+P279)/(O270+O279))^($F288*(1+$E288))</f>
        <v/>
      </c>
      <c r="Q288" s="41">
        <f>P288*(1/(1+$G288))^(1+$E288)*(1+Q$7)^$D288*(Q270/P270)^$E288*((Q270+Q279)/(P270+P279))^($F288*(1+$E288))</f>
        <v/>
      </c>
      <c r="R288" s="41">
        <f>Q288*(1/(1+$G288))^(1+$E288)*(1+R$7)^$D288*(R270/Q270)^$E288*((R270+R279)/(Q270+Q279))^($F288*(1+$E288))</f>
        <v/>
      </c>
      <c r="S288" s="41">
        <f>R288*(1/(1+$G288))^(1+$E288)*(1+S$7)^$D288*(S270/R270)^$E288*((S270+S279)/(R270+R279))^($F288*(1+$E288))</f>
        <v/>
      </c>
      <c r="T288" s="41">
        <f>S288*(1/(1+$G288))^(1+$E288)*(1+T$7)^$D288*(T270/S270)^$E288*((T270+T279)/(S270+S279))^($F288*(1+$E288))</f>
        <v/>
      </c>
      <c r="U288" s="41">
        <f>T288*(1/(1+$G288))^(1+$E288)*(1+U$7)^$D288*(U270/T270)^$E288*((U270+U279)/(T270+T279))^($F288*(1+$E288))</f>
        <v/>
      </c>
      <c r="V288" s="41">
        <f>U288*(1/(1+$G288))^(1+$E288)*(1+V$7)^$D288*(V270/U270)^$E288*((V270+V279)/(U270+U279))^($F288*(1+$E288))</f>
        <v/>
      </c>
      <c r="W288" s="41">
        <f>V288*(1/(1+$G288))^(1+$E288)*(1+W$7)^$D288*(W270/V270)^$E288*((W270+W279)/(V270+V279))^($F288*(1+$E288))</f>
        <v/>
      </c>
      <c r="X288" s="41">
        <f>W288*(1/(1+$G288))^(1+$E288)*(1+X$7)^$D288*(X270/W270)^$E288*((X270+X279)/(W270+W279))^($F288*(1+$E288))</f>
        <v/>
      </c>
      <c r="Y288" s="42">
        <f>FUELUSE(X288,Y270,X270,Y279,X279,Y$7,$D288,$E288,$F288,$G288)</f>
        <v/>
      </c>
      <c r="Z288" s="23">
        <f>LOWER(Settings!$C$4)&amp;".mit."&amp;$A288&amp;IF($C288="","","."&amp;$C288&amp;"."&amp;$B288)&amp;IF(INDEX(Variables!$D$5:$D$65,MATCH($A288,Variables!$A$5:$A$65,0))="","","."&amp;INDEX(Variables!$D$5:$D$65,MATCH($A288,Variables!$A$5:$A$65,0)))&amp;"."&amp;Z$5</f>
        <v/>
      </c>
      <c r="AA288" s="40">
        <f>INDEX(Inputs!$V$5:$V$132,MATCH($B288&amp;"|"&amp;$C288,Inputs!$A$5:$A$132,0))</f>
        <v/>
      </c>
      <c r="AB288" s="41">
        <f>AA288*(1/(1+$G288))^(1+$E288)*(1+AB$7)^$D288*(AB270/AA270)^$E288*((AB270+AB279)/(AA270+AA279))^($F288*(1+$E288))</f>
        <v/>
      </c>
      <c r="AC288" s="41">
        <f>AB288*(1/(1+$G288))^(1+$E288)*(1+AC$7)^$D288*(AC270/AB270)^$E288*((AC270+AC279)/(AB270+AB279))^($F288*(1+$E288))</f>
        <v/>
      </c>
      <c r="AD288" s="41">
        <f>AC288*(1/(1+$G288))^(1+$E288)*(1+AD$7)^$D288*(AD270/AC270)^$E288*((AD270+AD279)/(AC270+AC279))^($F288*(1+$E288))</f>
        <v/>
      </c>
      <c r="AE288" s="41">
        <f>AD288*(1/(1+$G288))^(1+$E288)*(1+AE$7)^$D288*(AE270/AD270)^$E288*((AE270+AE279)/(AD270+AD279))^($F288*(1+$E288))</f>
        <v/>
      </c>
      <c r="AF288" s="41">
        <f>AE288*(1/(1+$G288))^(1+$E288)*(1+AF$7)^$D288*(AF270/AE270)^$E288*((AF270+AF279)/(AE270+AE279))^($F288*(1+$E288))</f>
        <v/>
      </c>
      <c r="AG288" s="41">
        <f>AF288*(1/(1+$G288))^(1+$E288)*(1+AG$7)^$D288*(AG270/AF270)^$E288*((AG270+AG279)/(AF270+AF279))^($F288*(1+$E288))</f>
        <v/>
      </c>
      <c r="AH288" s="41">
        <f>AG288*(1/(1+$G288))^(1+$E288)*(1+AH$7)^$D288*(AH270/AG270)^$E288*((AH270+AH279)/(AG270+AG279))^($F288*(1+$E288))</f>
        <v/>
      </c>
      <c r="AI288" s="41">
        <f>AH288*(1/(1+$G288))^(1+$E288)*(1+AI$7)^$D288*(AI270/AH270)^$E288*((AI270+AI279)/(AH270+AH279))^($F288*(1+$E288))</f>
        <v/>
      </c>
      <c r="AJ288" s="41">
        <f>AI288*(1/(1+$G288))^(1+$E288)*(1+AJ$7)^$D288*(AJ270/AI270)^$E288*((AJ270+AJ279)/(AI270+AI279))^($F288*(1+$E288))</f>
        <v/>
      </c>
      <c r="AK288" s="41">
        <f>AJ288*(1/(1+$G288))^(1+$E288)*(1+AK$7)^$D288*(AK270/AJ270)^$E288*((AK270+AK279)/(AJ270+AJ279))^($F288*(1+$E288))</f>
        <v/>
      </c>
      <c r="AL288" s="41">
        <f>AK288*(1/(1+$G288))^(1+$E288)*(1+AL$7)^$D288*(AL270/AK270)^$E288*((AL270+AL279)/(AK270+AK279))^($F288*(1+$E288))</f>
        <v/>
      </c>
      <c r="AM288" s="41">
        <f>AL288*(1/(1+$G288))^(1+$E288)*(1+AM$7)^$D288*(AM270/AL270)^$E288*((AM270+AM279)/(AL270+AL279))^($F288*(1+$E288))</f>
        <v/>
      </c>
      <c r="AN288" s="42">
        <f>FUELUSE(AM288,AN270,AM270,AN279,AM279,AN$7,$D288,$E288,$F288,$G288)</f>
        <v/>
      </c>
    </row>
    <row r="289" hidden="1" outlineLevel="2">
      <c r="A289" s="5" t="inlineStr">
        <is>
          <t>ener</t>
        </is>
      </c>
      <c r="B289" s="5" t="inlineStr">
        <is>
          <t>nga</t>
        </is>
      </c>
      <c r="C289" s="5" t="inlineStr">
        <is>
          <t>ral</t>
        </is>
      </c>
      <c r="D289" s="36">
        <f>INDEX(Inputs!$N$5:$N$132,MATCH($B289&amp;"|"&amp;$C289,Inputs!$A$5:$A$132,0))</f>
        <v/>
      </c>
      <c r="E289" s="36">
        <f>INDEX(Inputs!$O$5:$O$132,MATCH($B289&amp;"|"&amp;$C289,Inputs!$A$5:$A$132,0))</f>
        <v/>
      </c>
      <c r="F289" s="36">
        <f>INDEX(Inputs!$P$5:$P$132,MATCH($B289&amp;"|"&amp;$C289,Inputs!$A$5:$A$132,0))</f>
        <v/>
      </c>
      <c r="G289" s="36">
        <f>INDEX(Inputs!$Q$5:$Q$132,MATCH($B289&amp;"|"&amp;$C289,Inputs!$A$5:$A$132,0))</f>
        <v/>
      </c>
      <c r="H289" s="5">
        <f>INDEX(Variables!$B$5:$B$65,MATCH($A289,Variables!$A$5:$A$65,0))&amp;IF($C289="",""," | "&amp;INDEX(Mapping!$B$5:$B$25,MATCH($C289,Mapping!$A$5:$A$25,0))&amp;" | "&amp;INDEX(Mapping!$B$29:$B$38,MATCH($B289,Mapping!$A$29:$A$38,0)))</f>
        <v/>
      </c>
      <c r="I289" s="5">
        <f>INDEX(Variables!$C$5:$C$65,MATCH($A289,Variables!$A$5:$A$65,0))</f>
        <v/>
      </c>
      <c r="J289" s="5">
        <f>INDEX(Variables!$E$5:$E$65,MATCH($A289,Variables!$A$5:$A$65,0))</f>
        <v/>
      </c>
      <c r="K289" s="23">
        <f>LOWER(Settings!$C$4)&amp;".mit."&amp;$A289&amp;IF($C289="","","."&amp;$C289&amp;"."&amp;$B289)&amp;IF(INDEX(Variables!$D$5:$D$65,MATCH($A289,Variables!$A$5:$A$65,0))="","","."&amp;INDEX(Variables!$D$5:$D$65,MATCH($A289,Variables!$A$5:$A$65,0)))&amp;"."&amp;K$5</f>
        <v/>
      </c>
      <c r="L289" s="40">
        <f>INDEX(Inputs!$V$5:$V$132,MATCH($B289&amp;"|"&amp;$C289,Inputs!$A$5:$A$132,0))</f>
        <v/>
      </c>
      <c r="M289" s="41">
        <f>L289*(1/(1+$G289))^(1+$E289)*(1+M$7)^$D289*(M271/L271)^$E289*((M271+M280)/(L271+L280))^($F289*(1+$E289))</f>
        <v/>
      </c>
      <c r="N289" s="41">
        <f>M289*(1/(1+$G289))^(1+$E289)*(1+N$7)^$D289*(N271/M271)^$E289*((N271+N280)/(M271+M280))^($F289*(1+$E289))</f>
        <v/>
      </c>
      <c r="O289" s="41">
        <f>N289*(1/(1+$G289))^(1+$E289)*(1+O$7)^$D289*(O271/N271)^$E289*((O271+O280)/(N271+N280))^($F289*(1+$E289))</f>
        <v/>
      </c>
      <c r="P289" s="41">
        <f>O289*(1/(1+$G289))^(1+$E289)*(1+P$7)^$D289*(P271/O271)^$E289*((P271+P280)/(O271+O280))^($F289*(1+$E289))</f>
        <v/>
      </c>
      <c r="Q289" s="41">
        <f>P289*(1/(1+$G289))^(1+$E289)*(1+Q$7)^$D289*(Q271/P271)^$E289*((Q271+Q280)/(P271+P280))^($F289*(1+$E289))</f>
        <v/>
      </c>
      <c r="R289" s="41">
        <f>Q289*(1/(1+$G289))^(1+$E289)*(1+R$7)^$D289*(R271/Q271)^$E289*((R271+R280)/(Q271+Q280))^($F289*(1+$E289))</f>
        <v/>
      </c>
      <c r="S289" s="41">
        <f>R289*(1/(1+$G289))^(1+$E289)*(1+S$7)^$D289*(S271/R271)^$E289*((S271+S280)/(R271+R280))^($F289*(1+$E289))</f>
        <v/>
      </c>
      <c r="T289" s="41">
        <f>S289*(1/(1+$G289))^(1+$E289)*(1+T$7)^$D289*(T271/S271)^$E289*((T271+T280)/(S271+S280))^($F289*(1+$E289))</f>
        <v/>
      </c>
      <c r="U289" s="41">
        <f>T289*(1/(1+$G289))^(1+$E289)*(1+U$7)^$D289*(U271/T271)^$E289*((U271+U280)/(T271+T280))^($F289*(1+$E289))</f>
        <v/>
      </c>
      <c r="V289" s="41">
        <f>U289*(1/(1+$G289))^(1+$E289)*(1+V$7)^$D289*(V271/U271)^$E289*((V271+V280)/(U271+U280))^($F289*(1+$E289))</f>
        <v/>
      </c>
      <c r="W289" s="41">
        <f>V289*(1/(1+$G289))^(1+$E289)*(1+W$7)^$D289*(W271/V271)^$E289*((W271+W280)/(V271+V280))^($F289*(1+$E289))</f>
        <v/>
      </c>
      <c r="X289" s="41">
        <f>W289*(1/(1+$G289))^(1+$E289)*(1+X$7)^$D289*(X271/W271)^$E289*((X271+X280)/(W271+W280))^($F289*(1+$E289))</f>
        <v/>
      </c>
      <c r="Y289" s="42">
        <f>FUELUSE(X289,Y271,X271,Y280,X280,Y$7,$D289,$E289,$F289,$G289)</f>
        <v/>
      </c>
      <c r="Z289" s="23">
        <f>LOWER(Settings!$C$4)&amp;".mit."&amp;$A289&amp;IF($C289="","","."&amp;$C289&amp;"."&amp;$B289)&amp;IF(INDEX(Variables!$D$5:$D$65,MATCH($A289,Variables!$A$5:$A$65,0))="","","."&amp;INDEX(Variables!$D$5:$D$65,MATCH($A289,Variables!$A$5:$A$65,0)))&amp;"."&amp;Z$5</f>
        <v/>
      </c>
      <c r="AA289" s="40">
        <f>INDEX(Inputs!$V$5:$V$132,MATCH($B289&amp;"|"&amp;$C289,Inputs!$A$5:$A$132,0))</f>
        <v/>
      </c>
      <c r="AB289" s="41">
        <f>AA289*(1/(1+$G289))^(1+$E289)*(1+AB$7)^$D289*(AB271/AA271)^$E289*((AB271+AB280)/(AA271+AA280))^($F289*(1+$E289))</f>
        <v/>
      </c>
      <c r="AC289" s="41">
        <f>AB289*(1/(1+$G289))^(1+$E289)*(1+AC$7)^$D289*(AC271/AB271)^$E289*((AC271+AC280)/(AB271+AB280))^($F289*(1+$E289))</f>
        <v/>
      </c>
      <c r="AD289" s="41">
        <f>AC289*(1/(1+$G289))^(1+$E289)*(1+AD$7)^$D289*(AD271/AC271)^$E289*((AD271+AD280)/(AC271+AC280))^($F289*(1+$E289))</f>
        <v/>
      </c>
      <c r="AE289" s="41">
        <f>AD289*(1/(1+$G289))^(1+$E289)*(1+AE$7)^$D289*(AE271/AD271)^$E289*((AE271+AE280)/(AD271+AD280))^($F289*(1+$E289))</f>
        <v/>
      </c>
      <c r="AF289" s="41">
        <f>AE289*(1/(1+$G289))^(1+$E289)*(1+AF$7)^$D289*(AF271/AE271)^$E289*((AF271+AF280)/(AE271+AE280))^($F289*(1+$E289))</f>
        <v/>
      </c>
      <c r="AG289" s="41">
        <f>AF289*(1/(1+$G289))^(1+$E289)*(1+AG$7)^$D289*(AG271/AF271)^$E289*((AG271+AG280)/(AF271+AF280))^($F289*(1+$E289))</f>
        <v/>
      </c>
      <c r="AH289" s="41">
        <f>AG289*(1/(1+$G289))^(1+$E289)*(1+AH$7)^$D289*(AH271/AG271)^$E289*((AH271+AH280)/(AG271+AG280))^($F289*(1+$E289))</f>
        <v/>
      </c>
      <c r="AI289" s="41">
        <f>AH289*(1/(1+$G289))^(1+$E289)*(1+AI$7)^$D289*(AI271/AH271)^$E289*((AI271+AI280)/(AH271+AH280))^($F289*(1+$E289))</f>
        <v/>
      </c>
      <c r="AJ289" s="41">
        <f>AI289*(1/(1+$G289))^(1+$E289)*(1+AJ$7)^$D289*(AJ271/AI271)^$E289*((AJ271+AJ280)/(AI271+AI280))^($F289*(1+$E289))</f>
        <v/>
      </c>
      <c r="AK289" s="41">
        <f>AJ289*(1/(1+$G289))^(1+$E289)*(1+AK$7)^$D289*(AK271/AJ271)^$E289*((AK271+AK280)/(AJ271+AJ280))^($F289*(1+$E289))</f>
        <v/>
      </c>
      <c r="AL289" s="41">
        <f>AK289*(1/(1+$G289))^(1+$E289)*(1+AL$7)^$D289*(AL271/AK271)^$E289*((AL271+AL280)/(AK271+AK280))^($F289*(1+$E289))</f>
        <v/>
      </c>
      <c r="AM289" s="41">
        <f>AL289*(1/(1+$G289))^(1+$E289)*(1+AM$7)^$D289*(AM271/AL271)^$E289*((AM271+AM280)/(AL271+AL280))^($F289*(1+$E289))</f>
        <v/>
      </c>
      <c r="AN289" s="42">
        <f>FUELUSE(AM289,AN271,AM271,AN280,AM280,AN$7,$D289,$E289,$F289,$G289)</f>
        <v/>
      </c>
    </row>
    <row r="290" hidden="1" outlineLevel="2">
      <c r="A290" s="5" t="inlineStr">
        <is>
          <t>ener</t>
        </is>
      </c>
      <c r="B290" s="5" t="inlineStr">
        <is>
          <t>gso</t>
        </is>
      </c>
      <c r="C290" s="5" t="inlineStr">
        <is>
          <t>ral</t>
        </is>
      </c>
      <c r="D290" s="36">
        <f>INDEX(Inputs!$N$5:$N$132,MATCH($B290&amp;"|"&amp;$C290,Inputs!$A$5:$A$132,0))</f>
        <v/>
      </c>
      <c r="E290" s="36">
        <f>INDEX(Inputs!$O$5:$O$132,MATCH($B290&amp;"|"&amp;$C290,Inputs!$A$5:$A$132,0))</f>
        <v/>
      </c>
      <c r="F290" s="36">
        <f>INDEX(Inputs!$P$5:$P$132,MATCH($B290&amp;"|"&amp;$C290,Inputs!$A$5:$A$132,0))</f>
        <v/>
      </c>
      <c r="G290" s="36">
        <f>INDEX(Inputs!$Q$5:$Q$132,MATCH($B290&amp;"|"&amp;$C290,Inputs!$A$5:$A$132,0))</f>
        <v/>
      </c>
      <c r="H290" s="5">
        <f>INDEX(Variables!$B$5:$B$65,MATCH($A290,Variables!$A$5:$A$65,0))&amp;IF($C290="",""," | "&amp;INDEX(Mapping!$B$5:$B$25,MATCH($C290,Mapping!$A$5:$A$25,0))&amp;" | "&amp;INDEX(Mapping!$B$29:$B$38,MATCH($B290,Mapping!$A$29:$A$38,0)))</f>
        <v/>
      </c>
      <c r="I290" s="5">
        <f>INDEX(Variables!$C$5:$C$65,MATCH($A290,Variables!$A$5:$A$65,0))</f>
        <v/>
      </c>
      <c r="J290" s="5">
        <f>INDEX(Variables!$E$5:$E$65,MATCH($A290,Variables!$A$5:$A$65,0))</f>
        <v/>
      </c>
      <c r="K290" s="23">
        <f>LOWER(Settings!$C$4)&amp;".mit."&amp;$A290&amp;IF($C290="","","."&amp;$C290&amp;"."&amp;$B290)&amp;IF(INDEX(Variables!$D$5:$D$65,MATCH($A290,Variables!$A$5:$A$65,0))="","","."&amp;INDEX(Variables!$D$5:$D$65,MATCH($A290,Variables!$A$5:$A$65,0)))&amp;"."&amp;K$5</f>
        <v/>
      </c>
      <c r="L290" s="40">
        <f>INDEX(Inputs!$V$5:$V$132,MATCH($B290&amp;"|"&amp;$C290,Inputs!$A$5:$A$132,0))</f>
        <v/>
      </c>
      <c r="M290" s="41">
        <f>L290*(1/(1+$G290))^(1+$E290)*(1+M$7)^$D290*(M272/L272)^$E290*((M272+M281)/(L272+L281))^($F290*(1+$E290))</f>
        <v/>
      </c>
      <c r="N290" s="41">
        <f>M290*(1/(1+$G290))^(1+$E290)*(1+N$7)^$D290*(N272/M272)^$E290*((N272+N281)/(M272+M281))^($F290*(1+$E290))</f>
        <v/>
      </c>
      <c r="O290" s="41">
        <f>N290*(1/(1+$G290))^(1+$E290)*(1+O$7)^$D290*(O272/N272)^$E290*((O272+O281)/(N272+N281))^($F290*(1+$E290))</f>
        <v/>
      </c>
      <c r="P290" s="41">
        <f>O290*(1/(1+$G290))^(1+$E290)*(1+P$7)^$D290*(P272/O272)^$E290*((P272+P281)/(O272+O281))^($F290*(1+$E290))</f>
        <v/>
      </c>
      <c r="Q290" s="41">
        <f>P290*(1/(1+$G290))^(1+$E290)*(1+Q$7)^$D290*(Q272/P272)^$E290*((Q272+Q281)/(P272+P281))^($F290*(1+$E290))</f>
        <v/>
      </c>
      <c r="R290" s="41">
        <f>Q290*(1/(1+$G290))^(1+$E290)*(1+R$7)^$D290*(R272/Q272)^$E290*((R272+R281)/(Q272+Q281))^($F290*(1+$E290))</f>
        <v/>
      </c>
      <c r="S290" s="41">
        <f>R290*(1/(1+$G290))^(1+$E290)*(1+S$7)^$D290*(S272/R272)^$E290*((S272+S281)/(R272+R281))^($F290*(1+$E290))</f>
        <v/>
      </c>
      <c r="T290" s="41">
        <f>S290*(1/(1+$G290))^(1+$E290)*(1+T$7)^$D290*(T272/S272)^$E290*((T272+T281)/(S272+S281))^($F290*(1+$E290))</f>
        <v/>
      </c>
      <c r="U290" s="41">
        <f>T290*(1/(1+$G290))^(1+$E290)*(1+U$7)^$D290*(U272/T272)^$E290*((U272+U281)/(T272+T281))^($F290*(1+$E290))</f>
        <v/>
      </c>
      <c r="V290" s="41">
        <f>U290*(1/(1+$G290))^(1+$E290)*(1+V$7)^$D290*(V272/U272)^$E290*((V272+V281)/(U272+U281))^($F290*(1+$E290))</f>
        <v/>
      </c>
      <c r="W290" s="41">
        <f>V290*(1/(1+$G290))^(1+$E290)*(1+W$7)^$D290*(W272/V272)^$E290*((W272+W281)/(V272+V281))^($F290*(1+$E290))</f>
        <v/>
      </c>
      <c r="X290" s="41">
        <f>W290*(1/(1+$G290))^(1+$E290)*(1+X$7)^$D290*(X272/W272)^$E290*((X272+X281)/(W272+W281))^($F290*(1+$E290))</f>
        <v/>
      </c>
      <c r="Y290" s="42">
        <f>FUELUSE(X290,Y272,X272,Y281,X281,Y$7,$D290,$E290,$F290,$G290)</f>
        <v/>
      </c>
      <c r="Z290" s="23">
        <f>LOWER(Settings!$C$4)&amp;".mit."&amp;$A290&amp;IF($C290="","","."&amp;$C290&amp;"."&amp;$B290)&amp;IF(INDEX(Variables!$D$5:$D$65,MATCH($A290,Variables!$A$5:$A$65,0))="","","."&amp;INDEX(Variables!$D$5:$D$65,MATCH($A290,Variables!$A$5:$A$65,0)))&amp;"."&amp;Z$5</f>
        <v/>
      </c>
      <c r="AA290" s="40">
        <f>INDEX(Inputs!$V$5:$V$132,MATCH($B290&amp;"|"&amp;$C290,Inputs!$A$5:$A$132,0))</f>
        <v/>
      </c>
      <c r="AB290" s="41">
        <f>AA290*(1/(1+$G290))^(1+$E290)*(1+AB$7)^$D290*(AB272/AA272)^$E290*((AB272+AB281)/(AA272+AA281))^($F290*(1+$E290))</f>
        <v/>
      </c>
      <c r="AC290" s="41">
        <f>AB290*(1/(1+$G290))^(1+$E290)*(1+AC$7)^$D290*(AC272/AB272)^$E290*((AC272+AC281)/(AB272+AB281))^($F290*(1+$E290))</f>
        <v/>
      </c>
      <c r="AD290" s="41">
        <f>AC290*(1/(1+$G290))^(1+$E290)*(1+AD$7)^$D290*(AD272/AC272)^$E290*((AD272+AD281)/(AC272+AC281))^($F290*(1+$E290))</f>
        <v/>
      </c>
      <c r="AE290" s="41">
        <f>AD290*(1/(1+$G290))^(1+$E290)*(1+AE$7)^$D290*(AE272/AD272)^$E290*((AE272+AE281)/(AD272+AD281))^($F290*(1+$E290))</f>
        <v/>
      </c>
      <c r="AF290" s="41">
        <f>AE290*(1/(1+$G290))^(1+$E290)*(1+AF$7)^$D290*(AF272/AE272)^$E290*((AF272+AF281)/(AE272+AE281))^($F290*(1+$E290))</f>
        <v/>
      </c>
      <c r="AG290" s="41">
        <f>AF290*(1/(1+$G290))^(1+$E290)*(1+AG$7)^$D290*(AG272/AF272)^$E290*((AG272+AG281)/(AF272+AF281))^($F290*(1+$E290))</f>
        <v/>
      </c>
      <c r="AH290" s="41">
        <f>AG290*(1/(1+$G290))^(1+$E290)*(1+AH$7)^$D290*(AH272/AG272)^$E290*((AH272+AH281)/(AG272+AG281))^($F290*(1+$E290))</f>
        <v/>
      </c>
      <c r="AI290" s="41">
        <f>AH290*(1/(1+$G290))^(1+$E290)*(1+AI$7)^$D290*(AI272/AH272)^$E290*((AI272+AI281)/(AH272+AH281))^($F290*(1+$E290))</f>
        <v/>
      </c>
      <c r="AJ290" s="41">
        <f>AI290*(1/(1+$G290))^(1+$E290)*(1+AJ$7)^$D290*(AJ272/AI272)^$E290*((AJ272+AJ281)/(AI272+AI281))^($F290*(1+$E290))</f>
        <v/>
      </c>
      <c r="AK290" s="41">
        <f>AJ290*(1/(1+$G290))^(1+$E290)*(1+AK$7)^$D290*(AK272/AJ272)^$E290*((AK272+AK281)/(AJ272+AJ281))^($F290*(1+$E290))</f>
        <v/>
      </c>
      <c r="AL290" s="41">
        <f>AK290*(1/(1+$G290))^(1+$E290)*(1+AL$7)^$D290*(AL272/AK272)^$E290*((AL272+AL281)/(AK272+AK281))^($F290*(1+$E290))</f>
        <v/>
      </c>
      <c r="AM290" s="41">
        <f>AL290*(1/(1+$G290))^(1+$E290)*(1+AM$7)^$D290*(AM272/AL272)^$E290*((AM272+AM281)/(AL272+AL281))^($F290*(1+$E290))</f>
        <v/>
      </c>
      <c r="AN290" s="42">
        <f>FUELUSE(AM290,AN272,AM272,AN281,AM281,AN$7,$D290,$E290,$F290,$G290)</f>
        <v/>
      </c>
    </row>
    <row r="291" hidden="1" outlineLevel="2">
      <c r="A291" s="5" t="inlineStr">
        <is>
          <t>ener</t>
        </is>
      </c>
      <c r="B291" s="5" t="inlineStr">
        <is>
          <t>die</t>
        </is>
      </c>
      <c r="C291" s="5" t="inlineStr">
        <is>
          <t>ral</t>
        </is>
      </c>
      <c r="D291" s="36">
        <f>INDEX(Inputs!$N$5:$N$132,MATCH($B291&amp;"|"&amp;$C291,Inputs!$A$5:$A$132,0))</f>
        <v/>
      </c>
      <c r="E291" s="36">
        <f>INDEX(Inputs!$O$5:$O$132,MATCH($B291&amp;"|"&amp;$C291,Inputs!$A$5:$A$132,0))</f>
        <v/>
      </c>
      <c r="F291" s="36">
        <f>INDEX(Inputs!$P$5:$P$132,MATCH($B291&amp;"|"&amp;$C291,Inputs!$A$5:$A$132,0))</f>
        <v/>
      </c>
      <c r="G291" s="36">
        <f>INDEX(Inputs!$Q$5:$Q$132,MATCH($B291&amp;"|"&amp;$C291,Inputs!$A$5:$A$132,0))</f>
        <v/>
      </c>
      <c r="H291" s="5">
        <f>INDEX(Variables!$B$5:$B$65,MATCH($A291,Variables!$A$5:$A$65,0))&amp;IF($C291="",""," | "&amp;INDEX(Mapping!$B$5:$B$25,MATCH($C291,Mapping!$A$5:$A$25,0))&amp;" | "&amp;INDEX(Mapping!$B$29:$B$38,MATCH($B291,Mapping!$A$29:$A$38,0)))</f>
        <v/>
      </c>
      <c r="I291" s="5">
        <f>INDEX(Variables!$C$5:$C$65,MATCH($A291,Variables!$A$5:$A$65,0))</f>
        <v/>
      </c>
      <c r="J291" s="5">
        <f>INDEX(Variables!$E$5:$E$65,MATCH($A291,Variables!$A$5:$A$65,0))</f>
        <v/>
      </c>
      <c r="K291" s="23">
        <f>LOWER(Settings!$C$4)&amp;".mit."&amp;$A291&amp;IF($C291="","","."&amp;$C291&amp;"."&amp;$B291)&amp;IF(INDEX(Variables!$D$5:$D$65,MATCH($A291,Variables!$A$5:$A$65,0))="","","."&amp;INDEX(Variables!$D$5:$D$65,MATCH($A291,Variables!$A$5:$A$65,0)))&amp;"."&amp;K$5</f>
        <v/>
      </c>
      <c r="L291" s="40">
        <f>INDEX(Inputs!$V$5:$V$132,MATCH($B291&amp;"|"&amp;$C291,Inputs!$A$5:$A$132,0))</f>
        <v/>
      </c>
      <c r="M291" s="41">
        <f>L291*(1/(1+$G291))^(1+$E291)*(1+M$7)^$D291*(M273/L273)^$E291*((M273+M282)/(L273+L282))^($F291*(1+$E291))</f>
        <v/>
      </c>
      <c r="N291" s="41">
        <f>M291*(1/(1+$G291))^(1+$E291)*(1+N$7)^$D291*(N273/M273)^$E291*((N273+N282)/(M273+M282))^($F291*(1+$E291))</f>
        <v/>
      </c>
      <c r="O291" s="41">
        <f>N291*(1/(1+$G291))^(1+$E291)*(1+O$7)^$D291*(O273/N273)^$E291*((O273+O282)/(N273+N282))^($F291*(1+$E291))</f>
        <v/>
      </c>
      <c r="P291" s="41">
        <f>O291*(1/(1+$G291))^(1+$E291)*(1+P$7)^$D291*(P273/O273)^$E291*((P273+P282)/(O273+O282))^($F291*(1+$E291))</f>
        <v/>
      </c>
      <c r="Q291" s="41">
        <f>P291*(1/(1+$G291))^(1+$E291)*(1+Q$7)^$D291*(Q273/P273)^$E291*((Q273+Q282)/(P273+P282))^($F291*(1+$E291))</f>
        <v/>
      </c>
      <c r="R291" s="41">
        <f>Q291*(1/(1+$G291))^(1+$E291)*(1+R$7)^$D291*(R273/Q273)^$E291*((R273+R282)/(Q273+Q282))^($F291*(1+$E291))</f>
        <v/>
      </c>
      <c r="S291" s="41">
        <f>R291*(1/(1+$G291))^(1+$E291)*(1+S$7)^$D291*(S273/R273)^$E291*((S273+S282)/(R273+R282))^($F291*(1+$E291))</f>
        <v/>
      </c>
      <c r="T291" s="41">
        <f>S291*(1/(1+$G291))^(1+$E291)*(1+T$7)^$D291*(T273/S273)^$E291*((T273+T282)/(S273+S282))^($F291*(1+$E291))</f>
        <v/>
      </c>
      <c r="U291" s="41">
        <f>T291*(1/(1+$G291))^(1+$E291)*(1+U$7)^$D291*(U273/T273)^$E291*((U273+U282)/(T273+T282))^($F291*(1+$E291))</f>
        <v/>
      </c>
      <c r="V291" s="41">
        <f>U291*(1/(1+$G291))^(1+$E291)*(1+V$7)^$D291*(V273/U273)^$E291*((V273+V282)/(U273+U282))^($F291*(1+$E291))</f>
        <v/>
      </c>
      <c r="W291" s="41">
        <f>V291*(1/(1+$G291))^(1+$E291)*(1+W$7)^$D291*(W273/V273)^$E291*((W273+W282)/(V273+V282))^($F291*(1+$E291))</f>
        <v/>
      </c>
      <c r="X291" s="41">
        <f>W291*(1/(1+$G291))^(1+$E291)*(1+X$7)^$D291*(X273/W273)^$E291*((X273+X282)/(W273+W282))^($F291*(1+$E291))</f>
        <v/>
      </c>
      <c r="Y291" s="42">
        <f>FUELUSE(X291,Y273,X273,Y282,X282,Y$7,$D291,$E291,$F291,$G291)</f>
        <v/>
      </c>
      <c r="Z291" s="23">
        <f>LOWER(Settings!$C$4)&amp;".mit."&amp;$A291&amp;IF($C291="","","."&amp;$C291&amp;"."&amp;$B291)&amp;IF(INDEX(Variables!$D$5:$D$65,MATCH($A291,Variables!$A$5:$A$65,0))="","","."&amp;INDEX(Variables!$D$5:$D$65,MATCH($A291,Variables!$A$5:$A$65,0)))&amp;"."&amp;Z$5</f>
        <v/>
      </c>
      <c r="AA291" s="40">
        <f>INDEX(Inputs!$V$5:$V$132,MATCH($B291&amp;"|"&amp;$C291,Inputs!$A$5:$A$132,0))</f>
        <v/>
      </c>
      <c r="AB291" s="41">
        <f>AA291*(1/(1+$G291))^(1+$E291)*(1+AB$7)^$D291*(AB273/AA273)^$E291*((AB273+AB282)/(AA273+AA282))^($F291*(1+$E291))</f>
        <v/>
      </c>
      <c r="AC291" s="41">
        <f>AB291*(1/(1+$G291))^(1+$E291)*(1+AC$7)^$D291*(AC273/AB273)^$E291*((AC273+AC282)/(AB273+AB282))^($F291*(1+$E291))</f>
        <v/>
      </c>
      <c r="AD291" s="41">
        <f>AC291*(1/(1+$G291))^(1+$E291)*(1+AD$7)^$D291*(AD273/AC273)^$E291*((AD273+AD282)/(AC273+AC282))^($F291*(1+$E291))</f>
        <v/>
      </c>
      <c r="AE291" s="41">
        <f>AD291*(1/(1+$G291))^(1+$E291)*(1+AE$7)^$D291*(AE273/AD273)^$E291*((AE273+AE282)/(AD273+AD282))^($F291*(1+$E291))</f>
        <v/>
      </c>
      <c r="AF291" s="41">
        <f>AE291*(1/(1+$G291))^(1+$E291)*(1+AF$7)^$D291*(AF273/AE273)^$E291*((AF273+AF282)/(AE273+AE282))^($F291*(1+$E291))</f>
        <v/>
      </c>
      <c r="AG291" s="41">
        <f>AF291*(1/(1+$G291))^(1+$E291)*(1+AG$7)^$D291*(AG273/AF273)^$E291*((AG273+AG282)/(AF273+AF282))^($F291*(1+$E291))</f>
        <v/>
      </c>
      <c r="AH291" s="41">
        <f>AG291*(1/(1+$G291))^(1+$E291)*(1+AH$7)^$D291*(AH273/AG273)^$E291*((AH273+AH282)/(AG273+AG282))^($F291*(1+$E291))</f>
        <v/>
      </c>
      <c r="AI291" s="41">
        <f>AH291*(1/(1+$G291))^(1+$E291)*(1+AI$7)^$D291*(AI273/AH273)^$E291*((AI273+AI282)/(AH273+AH282))^($F291*(1+$E291))</f>
        <v/>
      </c>
      <c r="AJ291" s="41">
        <f>AI291*(1/(1+$G291))^(1+$E291)*(1+AJ$7)^$D291*(AJ273/AI273)^$E291*((AJ273+AJ282)/(AI273+AI282))^($F291*(1+$E291))</f>
        <v/>
      </c>
      <c r="AK291" s="41">
        <f>AJ291*(1/(1+$G291))^(1+$E291)*(1+AK$7)^$D291*(AK273/AJ273)^$E291*((AK273+AK282)/(AJ273+AJ282))^($F291*(1+$E291))</f>
        <v/>
      </c>
      <c r="AL291" s="41">
        <f>AK291*(1/(1+$G291))^(1+$E291)*(1+AL$7)^$D291*(AL273/AK273)^$E291*((AL273+AL282)/(AK273+AK282))^($F291*(1+$E291))</f>
        <v/>
      </c>
      <c r="AM291" s="41">
        <f>AL291*(1/(1+$G291))^(1+$E291)*(1+AM$7)^$D291*(AM273/AL273)^$E291*((AM273+AM282)/(AL273+AL282))^($F291*(1+$E291))</f>
        <v/>
      </c>
      <c r="AN291" s="42">
        <f>FUELUSE(AM291,AN273,AM273,AN282,AM282,AN$7,$D291,$E291,$F291,$G291)</f>
        <v/>
      </c>
    </row>
    <row r="292" hidden="1" outlineLevel="2">
      <c r="A292" s="5" t="inlineStr">
        <is>
          <t>ener</t>
        </is>
      </c>
      <c r="B292" s="5" t="inlineStr">
        <is>
          <t>lpg</t>
        </is>
      </c>
      <c r="C292" s="5" t="inlineStr">
        <is>
          <t>ral</t>
        </is>
      </c>
      <c r="D292" s="36">
        <f>INDEX(Inputs!$N$5:$N$132,MATCH($B292&amp;"|"&amp;$C292,Inputs!$A$5:$A$132,0))</f>
        <v/>
      </c>
      <c r="E292" s="36">
        <f>INDEX(Inputs!$O$5:$O$132,MATCH($B292&amp;"|"&amp;$C292,Inputs!$A$5:$A$132,0))</f>
        <v/>
      </c>
      <c r="F292" s="36">
        <f>INDEX(Inputs!$P$5:$P$132,MATCH($B292&amp;"|"&amp;$C292,Inputs!$A$5:$A$132,0))</f>
        <v/>
      </c>
      <c r="G292" s="36">
        <f>INDEX(Inputs!$Q$5:$Q$132,MATCH($B292&amp;"|"&amp;$C292,Inputs!$A$5:$A$132,0))</f>
        <v/>
      </c>
      <c r="H292" s="5">
        <f>INDEX(Variables!$B$5:$B$65,MATCH($A292,Variables!$A$5:$A$65,0))&amp;IF($C292="",""," | "&amp;INDEX(Mapping!$B$5:$B$25,MATCH($C292,Mapping!$A$5:$A$25,0))&amp;" | "&amp;INDEX(Mapping!$B$29:$B$38,MATCH($B292,Mapping!$A$29:$A$38,0)))</f>
        <v/>
      </c>
      <c r="I292" s="5">
        <f>INDEX(Variables!$C$5:$C$65,MATCH($A292,Variables!$A$5:$A$65,0))</f>
        <v/>
      </c>
      <c r="J292" s="5">
        <f>INDEX(Variables!$E$5:$E$65,MATCH($A292,Variables!$A$5:$A$65,0))</f>
        <v/>
      </c>
      <c r="K292" s="23">
        <f>LOWER(Settings!$C$4)&amp;".mit."&amp;$A292&amp;IF($C292="","","."&amp;$C292&amp;"."&amp;$B292)&amp;IF(INDEX(Variables!$D$5:$D$65,MATCH($A292,Variables!$A$5:$A$65,0))="","","."&amp;INDEX(Variables!$D$5:$D$65,MATCH($A292,Variables!$A$5:$A$65,0)))&amp;"."&amp;K$5</f>
        <v/>
      </c>
      <c r="L292" s="40">
        <f>INDEX(Inputs!$V$5:$V$132,MATCH($B292&amp;"|"&amp;$C292,Inputs!$A$5:$A$132,0))</f>
        <v/>
      </c>
      <c r="M292" s="41">
        <f>L292*(1/(1+$G292))^(1+$E292)*(1+M$7)^$D292*(M274/L274)^$E292*((M274+M283)/(L274+L283))^($F292*(1+$E292))</f>
        <v/>
      </c>
      <c r="N292" s="41">
        <f>M292*(1/(1+$G292))^(1+$E292)*(1+N$7)^$D292*(N274/M274)^$E292*((N274+N283)/(M274+M283))^($F292*(1+$E292))</f>
        <v/>
      </c>
      <c r="O292" s="41">
        <f>N292*(1/(1+$G292))^(1+$E292)*(1+O$7)^$D292*(O274/N274)^$E292*((O274+O283)/(N274+N283))^($F292*(1+$E292))</f>
        <v/>
      </c>
      <c r="P292" s="41">
        <f>O292*(1/(1+$G292))^(1+$E292)*(1+P$7)^$D292*(P274/O274)^$E292*((P274+P283)/(O274+O283))^($F292*(1+$E292))</f>
        <v/>
      </c>
      <c r="Q292" s="41">
        <f>P292*(1/(1+$G292))^(1+$E292)*(1+Q$7)^$D292*(Q274/P274)^$E292*((Q274+Q283)/(P274+P283))^($F292*(1+$E292))</f>
        <v/>
      </c>
      <c r="R292" s="41">
        <f>Q292*(1/(1+$G292))^(1+$E292)*(1+R$7)^$D292*(R274/Q274)^$E292*((R274+R283)/(Q274+Q283))^($F292*(1+$E292))</f>
        <v/>
      </c>
      <c r="S292" s="41">
        <f>R292*(1/(1+$G292))^(1+$E292)*(1+S$7)^$D292*(S274/R274)^$E292*((S274+S283)/(R274+R283))^($F292*(1+$E292))</f>
        <v/>
      </c>
      <c r="T292" s="41">
        <f>S292*(1/(1+$G292))^(1+$E292)*(1+T$7)^$D292*(T274/S274)^$E292*((T274+T283)/(S274+S283))^($F292*(1+$E292))</f>
        <v/>
      </c>
      <c r="U292" s="41">
        <f>T292*(1/(1+$G292))^(1+$E292)*(1+U$7)^$D292*(U274/T274)^$E292*((U274+U283)/(T274+T283))^($F292*(1+$E292))</f>
        <v/>
      </c>
      <c r="V292" s="41">
        <f>U292*(1/(1+$G292))^(1+$E292)*(1+V$7)^$D292*(V274/U274)^$E292*((V274+V283)/(U274+U283))^($F292*(1+$E292))</f>
        <v/>
      </c>
      <c r="W292" s="41">
        <f>V292*(1/(1+$G292))^(1+$E292)*(1+W$7)^$D292*(W274/V274)^$E292*((W274+W283)/(V274+V283))^($F292*(1+$E292))</f>
        <v/>
      </c>
      <c r="X292" s="41">
        <f>W292*(1/(1+$G292))^(1+$E292)*(1+X$7)^$D292*(X274/W274)^$E292*((X274+X283)/(W274+W283))^($F292*(1+$E292))</f>
        <v/>
      </c>
      <c r="Y292" s="42">
        <f>FUELUSE(X292,Y274,X274,Y283,X283,Y$7,$D292,$E292,$F292,$G292)</f>
        <v/>
      </c>
      <c r="Z292" s="23">
        <f>LOWER(Settings!$C$4)&amp;".mit."&amp;$A292&amp;IF($C292="","","."&amp;$C292&amp;"."&amp;$B292)&amp;IF(INDEX(Variables!$D$5:$D$65,MATCH($A292,Variables!$A$5:$A$65,0))="","","."&amp;INDEX(Variables!$D$5:$D$65,MATCH($A292,Variables!$A$5:$A$65,0)))&amp;"."&amp;Z$5</f>
        <v/>
      </c>
      <c r="AA292" s="40">
        <f>INDEX(Inputs!$V$5:$V$132,MATCH($B292&amp;"|"&amp;$C292,Inputs!$A$5:$A$132,0))</f>
        <v/>
      </c>
      <c r="AB292" s="41">
        <f>AA292*(1/(1+$G292))^(1+$E292)*(1+AB$7)^$D292*(AB274/AA274)^$E292*((AB274+AB283)/(AA274+AA283))^($F292*(1+$E292))</f>
        <v/>
      </c>
      <c r="AC292" s="41">
        <f>AB292*(1/(1+$G292))^(1+$E292)*(1+AC$7)^$D292*(AC274/AB274)^$E292*((AC274+AC283)/(AB274+AB283))^($F292*(1+$E292))</f>
        <v/>
      </c>
      <c r="AD292" s="41">
        <f>AC292*(1/(1+$G292))^(1+$E292)*(1+AD$7)^$D292*(AD274/AC274)^$E292*((AD274+AD283)/(AC274+AC283))^($F292*(1+$E292))</f>
        <v/>
      </c>
      <c r="AE292" s="41">
        <f>AD292*(1/(1+$G292))^(1+$E292)*(1+AE$7)^$D292*(AE274/AD274)^$E292*((AE274+AE283)/(AD274+AD283))^($F292*(1+$E292))</f>
        <v/>
      </c>
      <c r="AF292" s="41">
        <f>AE292*(1/(1+$G292))^(1+$E292)*(1+AF$7)^$D292*(AF274/AE274)^$E292*((AF274+AF283)/(AE274+AE283))^($F292*(1+$E292))</f>
        <v/>
      </c>
      <c r="AG292" s="41">
        <f>AF292*(1/(1+$G292))^(1+$E292)*(1+AG$7)^$D292*(AG274/AF274)^$E292*((AG274+AG283)/(AF274+AF283))^($F292*(1+$E292))</f>
        <v/>
      </c>
      <c r="AH292" s="41">
        <f>AG292*(1/(1+$G292))^(1+$E292)*(1+AH$7)^$D292*(AH274/AG274)^$E292*((AH274+AH283)/(AG274+AG283))^($F292*(1+$E292))</f>
        <v/>
      </c>
      <c r="AI292" s="41">
        <f>AH292*(1/(1+$G292))^(1+$E292)*(1+AI$7)^$D292*(AI274/AH274)^$E292*((AI274+AI283)/(AH274+AH283))^($F292*(1+$E292))</f>
        <v/>
      </c>
      <c r="AJ292" s="41">
        <f>AI292*(1/(1+$G292))^(1+$E292)*(1+AJ$7)^$D292*(AJ274/AI274)^$E292*((AJ274+AJ283)/(AI274+AI283))^($F292*(1+$E292))</f>
        <v/>
      </c>
      <c r="AK292" s="41">
        <f>AJ292*(1/(1+$G292))^(1+$E292)*(1+AK$7)^$D292*(AK274/AJ274)^$E292*((AK274+AK283)/(AJ274+AJ283))^($F292*(1+$E292))</f>
        <v/>
      </c>
      <c r="AL292" s="41">
        <f>AK292*(1/(1+$G292))^(1+$E292)*(1+AL$7)^$D292*(AL274/AK274)^$E292*((AL274+AL283)/(AK274+AK283))^($F292*(1+$E292))</f>
        <v/>
      </c>
      <c r="AM292" s="41">
        <f>AL292*(1/(1+$G292))^(1+$E292)*(1+AM$7)^$D292*(AM274/AL274)^$E292*((AM274+AM283)/(AL274+AL283))^($F292*(1+$E292))</f>
        <v/>
      </c>
      <c r="AN292" s="42">
        <f>FUELUSE(AM292,AN274,AM274,AN283,AM283,AN$7,$D292,$E292,$F292,$G292)</f>
        <v/>
      </c>
    </row>
    <row r="293" hidden="1" outlineLevel="2">
      <c r="A293" s="5" t="inlineStr">
        <is>
          <t>ener</t>
        </is>
      </c>
      <c r="B293" s="5" t="inlineStr">
        <is>
          <t>ker</t>
        </is>
      </c>
      <c r="C293" s="5" t="inlineStr">
        <is>
          <t>ral</t>
        </is>
      </c>
      <c r="D293" s="36">
        <f>INDEX(Inputs!$N$5:$N$132,MATCH($B293&amp;"|"&amp;$C293,Inputs!$A$5:$A$132,0))</f>
        <v/>
      </c>
      <c r="E293" s="36">
        <f>INDEX(Inputs!$O$5:$O$132,MATCH($B293&amp;"|"&amp;$C293,Inputs!$A$5:$A$132,0))</f>
        <v/>
      </c>
      <c r="F293" s="36">
        <f>INDEX(Inputs!$P$5:$P$132,MATCH($B293&amp;"|"&amp;$C293,Inputs!$A$5:$A$132,0))</f>
        <v/>
      </c>
      <c r="G293" s="36">
        <f>INDEX(Inputs!$Q$5:$Q$132,MATCH($B293&amp;"|"&amp;$C293,Inputs!$A$5:$A$132,0))</f>
        <v/>
      </c>
      <c r="H293" s="5">
        <f>INDEX(Variables!$B$5:$B$65,MATCH($A293,Variables!$A$5:$A$65,0))&amp;IF($C293="",""," | "&amp;INDEX(Mapping!$B$5:$B$25,MATCH($C293,Mapping!$A$5:$A$25,0))&amp;" | "&amp;INDEX(Mapping!$B$29:$B$38,MATCH($B293,Mapping!$A$29:$A$38,0)))</f>
        <v/>
      </c>
      <c r="I293" s="5">
        <f>INDEX(Variables!$C$5:$C$65,MATCH($A293,Variables!$A$5:$A$65,0))</f>
        <v/>
      </c>
      <c r="J293" s="5">
        <f>INDEX(Variables!$E$5:$E$65,MATCH($A293,Variables!$A$5:$A$65,0))</f>
        <v/>
      </c>
      <c r="K293" s="23">
        <f>LOWER(Settings!$C$4)&amp;".mit."&amp;$A293&amp;IF($C293="","","."&amp;$C293&amp;"."&amp;$B293)&amp;IF(INDEX(Variables!$D$5:$D$65,MATCH($A293,Variables!$A$5:$A$65,0))="","","."&amp;INDEX(Variables!$D$5:$D$65,MATCH($A293,Variables!$A$5:$A$65,0)))&amp;"."&amp;K$5</f>
        <v/>
      </c>
      <c r="L293" s="40">
        <f>INDEX(Inputs!$V$5:$V$132,MATCH($B293&amp;"|"&amp;$C293,Inputs!$A$5:$A$132,0))</f>
        <v/>
      </c>
      <c r="M293" s="41">
        <f>L293*(1/(1+$G293))^(1+$E293)*(1+M$7)^$D293*(M275/L275)^$E293*((M275+M284)/(L275+L284))^($F293*(1+$E293))</f>
        <v/>
      </c>
      <c r="N293" s="41">
        <f>M293*(1/(1+$G293))^(1+$E293)*(1+N$7)^$D293*(N275/M275)^$E293*((N275+N284)/(M275+M284))^($F293*(1+$E293))</f>
        <v/>
      </c>
      <c r="O293" s="41">
        <f>N293*(1/(1+$G293))^(1+$E293)*(1+O$7)^$D293*(O275/N275)^$E293*((O275+O284)/(N275+N284))^($F293*(1+$E293))</f>
        <v/>
      </c>
      <c r="P293" s="41">
        <f>O293*(1/(1+$G293))^(1+$E293)*(1+P$7)^$D293*(P275/O275)^$E293*((P275+P284)/(O275+O284))^($F293*(1+$E293))</f>
        <v/>
      </c>
      <c r="Q293" s="41">
        <f>P293*(1/(1+$G293))^(1+$E293)*(1+Q$7)^$D293*(Q275/P275)^$E293*((Q275+Q284)/(P275+P284))^($F293*(1+$E293))</f>
        <v/>
      </c>
      <c r="R293" s="41">
        <f>Q293*(1/(1+$G293))^(1+$E293)*(1+R$7)^$D293*(R275/Q275)^$E293*((R275+R284)/(Q275+Q284))^($F293*(1+$E293))</f>
        <v/>
      </c>
      <c r="S293" s="41">
        <f>R293*(1/(1+$G293))^(1+$E293)*(1+S$7)^$D293*(S275/R275)^$E293*((S275+S284)/(R275+R284))^($F293*(1+$E293))</f>
        <v/>
      </c>
      <c r="T293" s="41">
        <f>S293*(1/(1+$G293))^(1+$E293)*(1+T$7)^$D293*(T275/S275)^$E293*((T275+T284)/(S275+S284))^($F293*(1+$E293))</f>
        <v/>
      </c>
      <c r="U293" s="41">
        <f>T293*(1/(1+$G293))^(1+$E293)*(1+U$7)^$D293*(U275/T275)^$E293*((U275+U284)/(T275+T284))^($F293*(1+$E293))</f>
        <v/>
      </c>
      <c r="V293" s="41">
        <f>U293*(1/(1+$G293))^(1+$E293)*(1+V$7)^$D293*(V275/U275)^$E293*((V275+V284)/(U275+U284))^($F293*(1+$E293))</f>
        <v/>
      </c>
      <c r="W293" s="41">
        <f>V293*(1/(1+$G293))^(1+$E293)*(1+W$7)^$D293*(W275/V275)^$E293*((W275+W284)/(V275+V284))^($F293*(1+$E293))</f>
        <v/>
      </c>
      <c r="X293" s="41">
        <f>W293*(1/(1+$G293))^(1+$E293)*(1+X$7)^$D293*(X275/W275)^$E293*((X275+X284)/(W275+W284))^($F293*(1+$E293))</f>
        <v/>
      </c>
      <c r="Y293" s="42">
        <f>FUELUSE(X293,Y275,X275,Y284,X284,Y$7,$D293,$E293,$F293,$G293)</f>
        <v/>
      </c>
      <c r="Z293" s="23">
        <f>LOWER(Settings!$C$4)&amp;".mit."&amp;$A293&amp;IF($C293="","","."&amp;$C293&amp;"."&amp;$B293)&amp;IF(INDEX(Variables!$D$5:$D$65,MATCH($A293,Variables!$A$5:$A$65,0))="","","."&amp;INDEX(Variables!$D$5:$D$65,MATCH($A293,Variables!$A$5:$A$65,0)))&amp;"."&amp;Z$5</f>
        <v/>
      </c>
      <c r="AA293" s="40">
        <f>INDEX(Inputs!$V$5:$V$132,MATCH($B293&amp;"|"&amp;$C293,Inputs!$A$5:$A$132,0))</f>
        <v/>
      </c>
      <c r="AB293" s="41">
        <f>AA293*(1/(1+$G293))^(1+$E293)*(1+AB$7)^$D293*(AB275/AA275)^$E293*((AB275+AB284)/(AA275+AA284))^($F293*(1+$E293))</f>
        <v/>
      </c>
      <c r="AC293" s="41">
        <f>AB293*(1/(1+$G293))^(1+$E293)*(1+AC$7)^$D293*(AC275/AB275)^$E293*((AC275+AC284)/(AB275+AB284))^($F293*(1+$E293))</f>
        <v/>
      </c>
      <c r="AD293" s="41">
        <f>AC293*(1/(1+$G293))^(1+$E293)*(1+AD$7)^$D293*(AD275/AC275)^$E293*((AD275+AD284)/(AC275+AC284))^($F293*(1+$E293))</f>
        <v/>
      </c>
      <c r="AE293" s="41">
        <f>AD293*(1/(1+$G293))^(1+$E293)*(1+AE$7)^$D293*(AE275/AD275)^$E293*((AE275+AE284)/(AD275+AD284))^($F293*(1+$E293))</f>
        <v/>
      </c>
      <c r="AF293" s="41">
        <f>AE293*(1/(1+$G293))^(1+$E293)*(1+AF$7)^$D293*(AF275/AE275)^$E293*((AF275+AF284)/(AE275+AE284))^($F293*(1+$E293))</f>
        <v/>
      </c>
      <c r="AG293" s="41">
        <f>AF293*(1/(1+$G293))^(1+$E293)*(1+AG$7)^$D293*(AG275/AF275)^$E293*((AG275+AG284)/(AF275+AF284))^($F293*(1+$E293))</f>
        <v/>
      </c>
      <c r="AH293" s="41">
        <f>AG293*(1/(1+$G293))^(1+$E293)*(1+AH$7)^$D293*(AH275/AG275)^$E293*((AH275+AH284)/(AG275+AG284))^($F293*(1+$E293))</f>
        <v/>
      </c>
      <c r="AI293" s="41">
        <f>AH293*(1/(1+$G293))^(1+$E293)*(1+AI$7)^$D293*(AI275/AH275)^$E293*((AI275+AI284)/(AH275+AH284))^($F293*(1+$E293))</f>
        <v/>
      </c>
      <c r="AJ293" s="41">
        <f>AI293*(1/(1+$G293))^(1+$E293)*(1+AJ$7)^$D293*(AJ275/AI275)^$E293*((AJ275+AJ284)/(AI275+AI284))^($F293*(1+$E293))</f>
        <v/>
      </c>
      <c r="AK293" s="41">
        <f>AJ293*(1/(1+$G293))^(1+$E293)*(1+AK$7)^$D293*(AK275/AJ275)^$E293*((AK275+AK284)/(AJ275+AJ284))^($F293*(1+$E293))</f>
        <v/>
      </c>
      <c r="AL293" s="41">
        <f>AK293*(1/(1+$G293))^(1+$E293)*(1+AL$7)^$D293*(AL275/AK275)^$E293*((AL275+AL284)/(AK275+AK284))^($F293*(1+$E293))</f>
        <v/>
      </c>
      <c r="AM293" s="41">
        <f>AL293*(1/(1+$G293))^(1+$E293)*(1+AM$7)^$D293*(AM275/AL275)^$E293*((AM275+AM284)/(AL275+AL284))^($F293*(1+$E293))</f>
        <v/>
      </c>
      <c r="AN293" s="42">
        <f>FUELUSE(AM293,AN275,AM275,AN284,AM284,AN$7,$D293,$E293,$F293,$G293)</f>
        <v/>
      </c>
    </row>
    <row r="294" hidden="1" outlineLevel="2">
      <c r="A294" s="5" t="inlineStr">
        <is>
          <t>ener</t>
        </is>
      </c>
      <c r="B294" s="5" t="inlineStr">
        <is>
          <t>oop</t>
        </is>
      </c>
      <c r="C294" s="5" t="inlineStr">
        <is>
          <t>ral</t>
        </is>
      </c>
      <c r="D294" s="36">
        <f>INDEX(Inputs!$N$5:$N$132,MATCH($B294&amp;"|"&amp;$C294,Inputs!$A$5:$A$132,0))</f>
        <v/>
      </c>
      <c r="E294" s="36">
        <f>INDEX(Inputs!$O$5:$O$132,MATCH($B294&amp;"|"&amp;$C294,Inputs!$A$5:$A$132,0))</f>
        <v/>
      </c>
      <c r="F294" s="36">
        <f>INDEX(Inputs!$P$5:$P$132,MATCH($B294&amp;"|"&amp;$C294,Inputs!$A$5:$A$132,0))</f>
        <v/>
      </c>
      <c r="G294" s="36">
        <f>INDEX(Inputs!$Q$5:$Q$132,MATCH($B294&amp;"|"&amp;$C294,Inputs!$A$5:$A$132,0))</f>
        <v/>
      </c>
      <c r="H294" s="5">
        <f>INDEX(Variables!$B$5:$B$65,MATCH($A294,Variables!$A$5:$A$65,0))&amp;IF($C294="",""," | "&amp;INDEX(Mapping!$B$5:$B$25,MATCH($C294,Mapping!$A$5:$A$25,0))&amp;" | "&amp;INDEX(Mapping!$B$29:$B$38,MATCH($B294,Mapping!$A$29:$A$38,0)))</f>
        <v/>
      </c>
      <c r="I294" s="5">
        <f>INDEX(Variables!$C$5:$C$65,MATCH($A294,Variables!$A$5:$A$65,0))</f>
        <v/>
      </c>
      <c r="J294" s="5">
        <f>INDEX(Variables!$E$5:$E$65,MATCH($A294,Variables!$A$5:$A$65,0))</f>
        <v/>
      </c>
      <c r="K294" s="23">
        <f>LOWER(Settings!$C$4)&amp;".mit."&amp;$A294&amp;IF($C294="","","."&amp;$C294&amp;"."&amp;$B294)&amp;IF(INDEX(Variables!$D$5:$D$65,MATCH($A294,Variables!$A$5:$A$65,0))="","","."&amp;INDEX(Variables!$D$5:$D$65,MATCH($A294,Variables!$A$5:$A$65,0)))&amp;"."&amp;K$5</f>
        <v/>
      </c>
      <c r="L294" s="40">
        <f>INDEX(Inputs!$V$5:$V$132,MATCH($B294&amp;"|"&amp;$C294,Inputs!$A$5:$A$132,0))</f>
        <v/>
      </c>
      <c r="M294" s="41">
        <f>L294*(1/(1+$G294))^(1+$E294)*(1+M$7)^$D294*(M276/L276)^$E294*((M276+M285)/(L276+L285))^($F294*(1+$E294))</f>
        <v/>
      </c>
      <c r="N294" s="41">
        <f>M294*(1/(1+$G294))^(1+$E294)*(1+N$7)^$D294*(N276/M276)^$E294*((N276+N285)/(M276+M285))^($F294*(1+$E294))</f>
        <v/>
      </c>
      <c r="O294" s="41">
        <f>N294*(1/(1+$G294))^(1+$E294)*(1+O$7)^$D294*(O276/N276)^$E294*((O276+O285)/(N276+N285))^($F294*(1+$E294))</f>
        <v/>
      </c>
      <c r="P294" s="41">
        <f>O294*(1/(1+$G294))^(1+$E294)*(1+P$7)^$D294*(P276/O276)^$E294*((P276+P285)/(O276+O285))^($F294*(1+$E294))</f>
        <v/>
      </c>
      <c r="Q294" s="41">
        <f>P294*(1/(1+$G294))^(1+$E294)*(1+Q$7)^$D294*(Q276/P276)^$E294*((Q276+Q285)/(P276+P285))^($F294*(1+$E294))</f>
        <v/>
      </c>
      <c r="R294" s="41">
        <f>Q294*(1/(1+$G294))^(1+$E294)*(1+R$7)^$D294*(R276/Q276)^$E294*((R276+R285)/(Q276+Q285))^($F294*(1+$E294))</f>
        <v/>
      </c>
      <c r="S294" s="41">
        <f>R294*(1/(1+$G294))^(1+$E294)*(1+S$7)^$D294*(S276/R276)^$E294*((S276+S285)/(R276+R285))^($F294*(1+$E294))</f>
        <v/>
      </c>
      <c r="T294" s="41">
        <f>S294*(1/(1+$G294))^(1+$E294)*(1+T$7)^$D294*(T276/S276)^$E294*((T276+T285)/(S276+S285))^($F294*(1+$E294))</f>
        <v/>
      </c>
      <c r="U294" s="41">
        <f>T294*(1/(1+$G294))^(1+$E294)*(1+U$7)^$D294*(U276/T276)^$E294*((U276+U285)/(T276+T285))^($F294*(1+$E294))</f>
        <v/>
      </c>
      <c r="V294" s="41">
        <f>U294*(1/(1+$G294))^(1+$E294)*(1+V$7)^$D294*(V276/U276)^$E294*((V276+V285)/(U276+U285))^($F294*(1+$E294))</f>
        <v/>
      </c>
      <c r="W294" s="41">
        <f>V294*(1/(1+$G294))^(1+$E294)*(1+W$7)^$D294*(W276/V276)^$E294*((W276+W285)/(V276+V285))^($F294*(1+$E294))</f>
        <v/>
      </c>
      <c r="X294" s="41">
        <f>W294*(1/(1+$G294))^(1+$E294)*(1+X$7)^$D294*(X276/W276)^$E294*((X276+X285)/(W276+W285))^($F294*(1+$E294))</f>
        <v/>
      </c>
      <c r="Y294" s="42">
        <f>FUELUSE(X294,Y276,X276,Y285,X285,Y$7,$D294,$E294,$F294,$G294)</f>
        <v/>
      </c>
      <c r="Z294" s="23">
        <f>LOWER(Settings!$C$4)&amp;".mit."&amp;$A294&amp;IF($C294="","","."&amp;$C294&amp;"."&amp;$B294)&amp;IF(INDEX(Variables!$D$5:$D$65,MATCH($A294,Variables!$A$5:$A$65,0))="","","."&amp;INDEX(Variables!$D$5:$D$65,MATCH($A294,Variables!$A$5:$A$65,0)))&amp;"."&amp;Z$5</f>
        <v/>
      </c>
      <c r="AA294" s="40">
        <f>INDEX(Inputs!$V$5:$V$132,MATCH($B294&amp;"|"&amp;$C294,Inputs!$A$5:$A$132,0))</f>
        <v/>
      </c>
      <c r="AB294" s="41">
        <f>AA294*(1/(1+$G294))^(1+$E294)*(1+AB$7)^$D294*(AB276/AA276)^$E294*((AB276+AB285)/(AA276+AA285))^($F294*(1+$E294))</f>
        <v/>
      </c>
      <c r="AC294" s="41">
        <f>AB294*(1/(1+$G294))^(1+$E294)*(1+AC$7)^$D294*(AC276/AB276)^$E294*((AC276+AC285)/(AB276+AB285))^($F294*(1+$E294))</f>
        <v/>
      </c>
      <c r="AD294" s="41">
        <f>AC294*(1/(1+$G294))^(1+$E294)*(1+AD$7)^$D294*(AD276/AC276)^$E294*((AD276+AD285)/(AC276+AC285))^($F294*(1+$E294))</f>
        <v/>
      </c>
      <c r="AE294" s="41">
        <f>AD294*(1/(1+$G294))^(1+$E294)*(1+AE$7)^$D294*(AE276/AD276)^$E294*((AE276+AE285)/(AD276+AD285))^($F294*(1+$E294))</f>
        <v/>
      </c>
      <c r="AF294" s="41">
        <f>AE294*(1/(1+$G294))^(1+$E294)*(1+AF$7)^$D294*(AF276/AE276)^$E294*((AF276+AF285)/(AE276+AE285))^($F294*(1+$E294))</f>
        <v/>
      </c>
      <c r="AG294" s="41">
        <f>AF294*(1/(1+$G294))^(1+$E294)*(1+AG$7)^$D294*(AG276/AF276)^$E294*((AG276+AG285)/(AF276+AF285))^($F294*(1+$E294))</f>
        <v/>
      </c>
      <c r="AH294" s="41">
        <f>AG294*(1/(1+$G294))^(1+$E294)*(1+AH$7)^$D294*(AH276/AG276)^$E294*((AH276+AH285)/(AG276+AG285))^($F294*(1+$E294))</f>
        <v/>
      </c>
      <c r="AI294" s="41">
        <f>AH294*(1/(1+$G294))^(1+$E294)*(1+AI$7)^$D294*(AI276/AH276)^$E294*((AI276+AI285)/(AH276+AH285))^($F294*(1+$E294))</f>
        <v/>
      </c>
      <c r="AJ294" s="41">
        <f>AI294*(1/(1+$G294))^(1+$E294)*(1+AJ$7)^$D294*(AJ276/AI276)^$E294*((AJ276+AJ285)/(AI276+AI285))^($F294*(1+$E294))</f>
        <v/>
      </c>
      <c r="AK294" s="41">
        <f>AJ294*(1/(1+$G294))^(1+$E294)*(1+AK$7)^$D294*(AK276/AJ276)^$E294*((AK276+AK285)/(AJ276+AJ285))^($F294*(1+$E294))</f>
        <v/>
      </c>
      <c r="AL294" s="41">
        <f>AK294*(1/(1+$G294))^(1+$E294)*(1+AL$7)^$D294*(AL276/AK276)^$E294*((AL276+AL285)/(AK276+AK285))^($F294*(1+$E294))</f>
        <v/>
      </c>
      <c r="AM294" s="41">
        <f>AL294*(1/(1+$G294))^(1+$E294)*(1+AM$7)^$D294*(AM276/AL276)^$E294*((AM276+AM285)/(AL276+AL285))^($F294*(1+$E294))</f>
        <v/>
      </c>
      <c r="AN294" s="42">
        <f>FUELUSE(AM294,AN276,AM276,AN285,AM285,AN$7,$D294,$E294,$F294,$G294)</f>
        <v/>
      </c>
    </row>
    <row r="295" hidden="1" outlineLevel="2">
      <c r="A295" s="5" t="inlineStr">
        <is>
          <t>ener</t>
        </is>
      </c>
      <c r="B295" s="5" t="inlineStr">
        <is>
          <t>bio</t>
        </is>
      </c>
      <c r="C295" s="5" t="inlineStr">
        <is>
          <t>ral</t>
        </is>
      </c>
      <c r="D295" s="36">
        <f>INDEX(Inputs!$N$5:$N$132,MATCH($B295&amp;"|"&amp;$C295,Inputs!$A$5:$A$132,0))</f>
        <v/>
      </c>
      <c r="E295" s="36">
        <f>INDEX(Inputs!$O$5:$O$132,MATCH($B295&amp;"|"&amp;$C295,Inputs!$A$5:$A$132,0))</f>
        <v/>
      </c>
      <c r="F295" s="36">
        <f>INDEX(Inputs!$P$5:$P$132,MATCH($B295&amp;"|"&amp;$C295,Inputs!$A$5:$A$132,0))</f>
        <v/>
      </c>
      <c r="G295" s="36">
        <f>INDEX(Inputs!$Q$5:$Q$132,MATCH($B295&amp;"|"&amp;$C295,Inputs!$A$5:$A$132,0))</f>
        <v/>
      </c>
      <c r="H295" s="5">
        <f>INDEX(Variables!$B$5:$B$65,MATCH($A295,Variables!$A$5:$A$65,0))&amp;IF($C295="",""," | "&amp;INDEX(Mapping!$B$5:$B$25,MATCH($C295,Mapping!$A$5:$A$25,0))&amp;" | "&amp;INDEX(Mapping!$B$29:$B$38,MATCH($B295,Mapping!$A$29:$A$38,0)))</f>
        <v/>
      </c>
      <c r="I295" s="5">
        <f>INDEX(Variables!$C$5:$C$65,MATCH($A295,Variables!$A$5:$A$65,0))</f>
        <v/>
      </c>
      <c r="J295" s="5">
        <f>INDEX(Variables!$E$5:$E$65,MATCH($A295,Variables!$A$5:$A$65,0))</f>
        <v/>
      </c>
      <c r="K295" s="23">
        <f>LOWER(Settings!$C$4)&amp;".mit."&amp;$A295&amp;IF($C295="","","."&amp;$C295&amp;"."&amp;$B295)&amp;IF(INDEX(Variables!$D$5:$D$65,MATCH($A295,Variables!$A$5:$A$65,0))="","","."&amp;INDEX(Variables!$D$5:$D$65,MATCH($A295,Variables!$A$5:$A$65,0)))&amp;"."&amp;K$5</f>
        <v/>
      </c>
      <c r="L295" s="40">
        <f>INDEX(Inputs!$V$5:$V$132,MATCH($B295&amp;"|"&amp;$C295,Inputs!$A$5:$A$132,0))</f>
        <v/>
      </c>
      <c r="M295" s="41">
        <f>L295*(1/(1+$G295))^(1+$E295)*(1+M$7)^$D295*(M277/L277)^$E295*((M277+M286)/(L277+L286))^($F295*(1+$E295))</f>
        <v/>
      </c>
      <c r="N295" s="41">
        <f>M295*(1/(1+$G295))^(1+$E295)*(1+N$7)^$D295*(N277/M277)^$E295*((N277+N286)/(M277+M286))^($F295*(1+$E295))</f>
        <v/>
      </c>
      <c r="O295" s="41">
        <f>N295*(1/(1+$G295))^(1+$E295)*(1+O$7)^$D295*(O277/N277)^$E295*((O277+O286)/(N277+N286))^($F295*(1+$E295))</f>
        <v/>
      </c>
      <c r="P295" s="41">
        <f>O295*(1/(1+$G295))^(1+$E295)*(1+P$7)^$D295*(P277/O277)^$E295*((P277+P286)/(O277+O286))^($F295*(1+$E295))</f>
        <v/>
      </c>
      <c r="Q295" s="41">
        <f>P295*(1/(1+$G295))^(1+$E295)*(1+Q$7)^$D295*(Q277/P277)^$E295*((Q277+Q286)/(P277+P286))^($F295*(1+$E295))</f>
        <v/>
      </c>
      <c r="R295" s="41">
        <f>Q295*(1/(1+$G295))^(1+$E295)*(1+R$7)^$D295*(R277/Q277)^$E295*((R277+R286)/(Q277+Q286))^($F295*(1+$E295))</f>
        <v/>
      </c>
      <c r="S295" s="41">
        <f>R295*(1/(1+$G295))^(1+$E295)*(1+S$7)^$D295*(S277/R277)^$E295*((S277+S286)/(R277+R286))^($F295*(1+$E295))</f>
        <v/>
      </c>
      <c r="T295" s="41">
        <f>S295*(1/(1+$G295))^(1+$E295)*(1+T$7)^$D295*(T277/S277)^$E295*((T277+T286)/(S277+S286))^($F295*(1+$E295))</f>
        <v/>
      </c>
      <c r="U295" s="41">
        <f>T295*(1/(1+$G295))^(1+$E295)*(1+U$7)^$D295*(U277/T277)^$E295*((U277+U286)/(T277+T286))^($F295*(1+$E295))</f>
        <v/>
      </c>
      <c r="V295" s="41">
        <f>U295*(1/(1+$G295))^(1+$E295)*(1+V$7)^$D295*(V277/U277)^$E295*((V277+V286)/(U277+U286))^($F295*(1+$E295))</f>
        <v/>
      </c>
      <c r="W295" s="41">
        <f>V295*(1/(1+$G295))^(1+$E295)*(1+W$7)^$D295*(W277/V277)^$E295*((W277+W286)/(V277+V286))^($F295*(1+$E295))</f>
        <v/>
      </c>
      <c r="X295" s="41">
        <f>W295*(1/(1+$G295))^(1+$E295)*(1+X$7)^$D295*(X277/W277)^$E295*((X277+X286)/(W277+W286))^($F295*(1+$E295))</f>
        <v/>
      </c>
      <c r="Y295" s="42">
        <f>FUELUSE(X295,Y277,X277,Y286,X286,Y$7,$D295,$E295,$F295,$G295)</f>
        <v/>
      </c>
      <c r="Z295" s="23">
        <f>LOWER(Settings!$C$4)&amp;".mit."&amp;$A295&amp;IF($C295="","","."&amp;$C295&amp;"."&amp;$B295)&amp;IF(INDEX(Variables!$D$5:$D$65,MATCH($A295,Variables!$A$5:$A$65,0))="","","."&amp;INDEX(Variables!$D$5:$D$65,MATCH($A295,Variables!$A$5:$A$65,0)))&amp;"."&amp;Z$5</f>
        <v/>
      </c>
      <c r="AA295" s="40">
        <f>INDEX(Inputs!$V$5:$V$132,MATCH($B295&amp;"|"&amp;$C295,Inputs!$A$5:$A$132,0))</f>
        <v/>
      </c>
      <c r="AB295" s="41">
        <f>AA295*(1/(1+$G295))^(1+$E295)*(1+AB$7)^$D295*(AB277/AA277)^$E295*((AB277+AB286)/(AA277+AA286))^($F295*(1+$E295))</f>
        <v/>
      </c>
      <c r="AC295" s="41">
        <f>AB295*(1/(1+$G295))^(1+$E295)*(1+AC$7)^$D295*(AC277/AB277)^$E295*((AC277+AC286)/(AB277+AB286))^($F295*(1+$E295))</f>
        <v/>
      </c>
      <c r="AD295" s="41">
        <f>AC295*(1/(1+$G295))^(1+$E295)*(1+AD$7)^$D295*(AD277/AC277)^$E295*((AD277+AD286)/(AC277+AC286))^($F295*(1+$E295))</f>
        <v/>
      </c>
      <c r="AE295" s="41">
        <f>AD295*(1/(1+$G295))^(1+$E295)*(1+AE$7)^$D295*(AE277/AD277)^$E295*((AE277+AE286)/(AD277+AD286))^($F295*(1+$E295))</f>
        <v/>
      </c>
      <c r="AF295" s="41">
        <f>AE295*(1/(1+$G295))^(1+$E295)*(1+AF$7)^$D295*(AF277/AE277)^$E295*((AF277+AF286)/(AE277+AE286))^($F295*(1+$E295))</f>
        <v/>
      </c>
      <c r="AG295" s="41">
        <f>AF295*(1/(1+$G295))^(1+$E295)*(1+AG$7)^$D295*(AG277/AF277)^$E295*((AG277+AG286)/(AF277+AF286))^($F295*(1+$E295))</f>
        <v/>
      </c>
      <c r="AH295" s="41">
        <f>AG295*(1/(1+$G295))^(1+$E295)*(1+AH$7)^$D295*(AH277/AG277)^$E295*((AH277+AH286)/(AG277+AG286))^($F295*(1+$E295))</f>
        <v/>
      </c>
      <c r="AI295" s="41">
        <f>AH295*(1/(1+$G295))^(1+$E295)*(1+AI$7)^$D295*(AI277/AH277)^$E295*((AI277+AI286)/(AH277+AH286))^($F295*(1+$E295))</f>
        <v/>
      </c>
      <c r="AJ295" s="41">
        <f>AI295*(1/(1+$G295))^(1+$E295)*(1+AJ$7)^$D295*(AJ277/AI277)^$E295*((AJ277+AJ286)/(AI277+AI286))^($F295*(1+$E295))</f>
        <v/>
      </c>
      <c r="AK295" s="41">
        <f>AJ295*(1/(1+$G295))^(1+$E295)*(1+AK$7)^$D295*(AK277/AJ277)^$E295*((AK277+AK286)/(AJ277+AJ286))^($F295*(1+$E295))</f>
        <v/>
      </c>
      <c r="AL295" s="41">
        <f>AK295*(1/(1+$G295))^(1+$E295)*(1+AL$7)^$D295*(AL277/AK277)^$E295*((AL277+AL286)/(AK277+AK286))^($F295*(1+$E295))</f>
        <v/>
      </c>
      <c r="AM295" s="41">
        <f>AL295*(1/(1+$G295))^(1+$E295)*(1+AM$7)^$D295*(AM277/AL277)^$E295*((AM277+AM286)/(AL277+AL286))^($F295*(1+$E295))</f>
        <v/>
      </c>
      <c r="AN295" s="42">
        <f>FUELUSE(AM295,AN277,AM277,AN286,AM286,AN$7,$D295,$E295,$F295,$G295)</f>
        <v/>
      </c>
    </row>
    <row r="296" hidden="1" outlineLevel="2"/>
    <row r="297" outlineLevel="1" collapsed="1">
      <c r="A297" s="7" t="inlineStr">
        <is>
          <t>ener</t>
        </is>
      </c>
      <c r="B297" s="7" t="inlineStr">
        <is>
          <t>all</t>
        </is>
      </c>
      <c r="C297" s="7" t="inlineStr">
        <is>
          <t>avi</t>
        </is>
      </c>
      <c r="H297" s="7">
        <f>INDEX(Variables!$B$5:$B$65,MATCH($A297,Variables!$A$5:$A$65,0))&amp;IF($C297="",""," | "&amp;INDEX(Mapping!$B$5:$B$25,MATCH($C297,Mapping!$A$5:$A$25,0))&amp;" | "&amp;INDEX(Mapping!$B$29:$B$38,MATCH($B297,Mapping!$A$29:$A$38,0)))</f>
        <v/>
      </c>
      <c r="I297" s="7">
        <f>INDEX(Variables!$C$5:$C$65,MATCH($A297,Variables!$A$5:$A$65,0))</f>
        <v/>
      </c>
      <c r="J297" s="7">
        <f>INDEX(Variables!$E$5:$E$65,MATCH($A297,Variables!$A$5:$A$65,0))</f>
        <v/>
      </c>
      <c r="K297" s="26">
        <f>LOWER(Settings!$C$4)&amp;".mit."&amp;$A297&amp;IF($C297="","","."&amp;$C297&amp;"."&amp;$B297)&amp;IF(INDEX(Variables!$D$5:$D$65,MATCH($A297,Variables!$A$5:$A$65,0))="","","."&amp;INDEX(Variables!$D$5:$D$65,MATCH($A297,Variables!$A$5:$A$65,0)))&amp;"."&amp;K$5</f>
        <v/>
      </c>
      <c r="L297" s="34">
        <f>SUM(L361:L368)</f>
        <v/>
      </c>
      <c r="M297" s="35">
        <f>SUM(M361:M368)</f>
        <v/>
      </c>
      <c r="N297" s="35">
        <f>SUM(N361:N368)</f>
        <v/>
      </c>
      <c r="O297" s="35">
        <f>SUM(O361:O368)</f>
        <v/>
      </c>
      <c r="P297" s="35">
        <f>SUM(P361:P368)</f>
        <v/>
      </c>
      <c r="Q297" s="35">
        <f>SUM(Q361:Q368)</f>
        <v/>
      </c>
      <c r="R297" s="35">
        <f>SUM(R361:R368)</f>
        <v/>
      </c>
      <c r="S297" s="35">
        <f>SUM(S361:S368)</f>
        <v/>
      </c>
      <c r="T297" s="35">
        <f>SUM(T361:T368)</f>
        <v/>
      </c>
      <c r="U297" s="35">
        <f>SUM(U361:U368)</f>
        <v/>
      </c>
      <c r="V297" s="35">
        <f>SUM(V361:V368)</f>
        <v/>
      </c>
      <c r="W297" s="35">
        <f>SUM(W361:W368)</f>
        <v/>
      </c>
      <c r="X297" s="35">
        <f>SUM(X361:X368)</f>
        <v/>
      </c>
      <c r="Y297" s="35">
        <f>SUM(Y361:Y368)</f>
        <v/>
      </c>
      <c r="Z297" s="26">
        <f>LOWER(Settings!$C$4)&amp;".mit."&amp;$A297&amp;IF($C297="","","."&amp;$C297&amp;"."&amp;$B297)&amp;IF(INDEX(Variables!$D$5:$D$65,MATCH($A297,Variables!$A$5:$A$65,0))="","","."&amp;INDEX(Variables!$D$5:$D$65,MATCH($A297,Variables!$A$5:$A$65,0)))&amp;"."&amp;Z$5</f>
        <v/>
      </c>
      <c r="AA297" s="34">
        <f>SUM(AA361:AA368)</f>
        <v/>
      </c>
      <c r="AB297" s="35">
        <f>SUM(AB361:AB368)</f>
        <v/>
      </c>
      <c r="AC297" s="35">
        <f>SUM(AC361:AC368)</f>
        <v/>
      </c>
      <c r="AD297" s="35">
        <f>SUM(AD361:AD368)</f>
        <v/>
      </c>
      <c r="AE297" s="35">
        <f>SUM(AE361:AE368)</f>
        <v/>
      </c>
      <c r="AF297" s="35">
        <f>SUM(AF361:AF368)</f>
        <v/>
      </c>
      <c r="AG297" s="35">
        <f>SUM(AG361:AG368)</f>
        <v/>
      </c>
      <c r="AH297" s="35">
        <f>SUM(AH361:AH368)</f>
        <v/>
      </c>
      <c r="AI297" s="35">
        <f>SUM(AI361:AI368)</f>
        <v/>
      </c>
      <c r="AJ297" s="35">
        <f>SUM(AJ361:AJ368)</f>
        <v/>
      </c>
      <c r="AK297" s="35">
        <f>SUM(AK361:AK368)</f>
        <v/>
      </c>
      <c r="AL297" s="35">
        <f>SUM(AL361:AL368)</f>
        <v/>
      </c>
      <c r="AM297" s="35">
        <f>SUM(AM361:AM368)</f>
        <v/>
      </c>
      <c r="AN297" s="35">
        <f>SUM(AN361:AN368)</f>
        <v/>
      </c>
    </row>
    <row r="298" hidden="1" outlineLevel="2">
      <c r="A298" s="5" t="inlineStr">
        <is>
          <t>sp</t>
        </is>
      </c>
      <c r="B298" s="5" t="inlineStr">
        <is>
          <t>coa</t>
        </is>
      </c>
      <c r="C298" s="5" t="inlineStr">
        <is>
          <t>avi</t>
        </is>
      </c>
      <c r="D298" s="36">
        <f>INDEX(Inputs!$R$5:$R$132,MATCH($B298&amp;"|"&amp;$C298,Inputs!$A$5:$A$132,0))</f>
        <v/>
      </c>
      <c r="E298" s="37" t="n"/>
      <c r="F298" s="37" t="n"/>
      <c r="G298" s="37" t="n"/>
      <c r="H298" s="5">
        <f>INDEX(Variables!$B$5:$B$65,MATCH($A298,Variables!$A$5:$A$65,0))&amp;IF($C298="",""," | "&amp;INDEX(Mapping!$B$5:$B$25,MATCH($C298,Mapping!$A$5:$A$25,0))&amp;" | "&amp;INDEX(Mapping!$B$29:$B$38,MATCH($B298,Mapping!$A$29:$A$38,0)))</f>
        <v/>
      </c>
      <c r="I298" s="5">
        <f>INDEX(Variables!$C$5:$C$65,MATCH($A298,Variables!$A$5:$A$65,0))</f>
        <v/>
      </c>
      <c r="J298" s="5">
        <f>INDEX(Variables!$E$5:$E$65,MATCH($A298,Variables!$A$5:$A$65,0))</f>
        <v/>
      </c>
      <c r="K298" s="23">
        <f>LOWER(Settings!$C$4)&amp;".mit."&amp;$A298&amp;IF($C298="","","."&amp;$C298&amp;"."&amp;$B298)&amp;IF(INDEX(Variables!$D$5:$D$65,MATCH($A298,Variables!$A$5:$A$65,0))="","","."&amp;INDEX(Variables!$D$5:$D$65,MATCH($A298,Variables!$A$5:$A$65,0)))&amp;"."&amp;K$5</f>
        <v/>
      </c>
      <c r="L298" s="38">
        <f>INDEX(Inputs!$S$5:$S$132,MATCH($B298&amp;"|"&amp;$C298,Inputs!$A$5:$A$132,0))</f>
        <v/>
      </c>
      <c r="M298" s="36">
        <f>L298*(1+$D298)</f>
        <v/>
      </c>
      <c r="N298" s="36">
        <f>M298*(1+$D298)</f>
        <v/>
      </c>
      <c r="O298" s="36">
        <f>N298*(1+$D298)</f>
        <v/>
      </c>
      <c r="P298" s="36">
        <f>O298*(1+$D298)</f>
        <v/>
      </c>
      <c r="Q298" s="36">
        <f>P298*(1+$D298)</f>
        <v/>
      </c>
      <c r="R298" s="36">
        <f>Q298*(1+$D298)</f>
        <v/>
      </c>
      <c r="S298" s="36">
        <f>R298*(1+$D298)</f>
        <v/>
      </c>
      <c r="T298" s="36">
        <f>S298*(1+$D298)</f>
        <v/>
      </c>
      <c r="U298" s="36">
        <f>T298*(1+$D298)</f>
        <v/>
      </c>
      <c r="V298" s="36">
        <f>U298*(1+$D298)</f>
        <v/>
      </c>
      <c r="W298" s="36">
        <f>V298*(1+$D298)</f>
        <v/>
      </c>
      <c r="X298" s="36">
        <f>W298*(1+$D298)</f>
        <v/>
      </c>
      <c r="Y298" s="39">
        <f>PRETAX(X298,$D298)</f>
        <v/>
      </c>
      <c r="Z298" s="23">
        <f>LOWER(Settings!$C$4)&amp;".mit."&amp;$A298&amp;IF($C298="","","."&amp;$C298&amp;"."&amp;$B298)&amp;IF(INDEX(Variables!$D$5:$D$65,MATCH($A298,Variables!$A$5:$A$65,0))="","","."&amp;INDEX(Variables!$D$5:$D$65,MATCH($A298,Variables!$A$5:$A$65,0)))&amp;"."&amp;Z$5</f>
        <v/>
      </c>
      <c r="AA298" s="38">
        <f>INDEX(Inputs!$S$5:$S$132,MATCH($B298&amp;"|"&amp;$C298,Inputs!$A$5:$A$132,0))</f>
        <v/>
      </c>
      <c r="AB298" s="36">
        <f>AA298*(1+$D298)</f>
        <v/>
      </c>
      <c r="AC298" s="36">
        <f>AB298*(1+$D298)</f>
        <v/>
      </c>
      <c r="AD298" s="36">
        <f>AC298*(1+$D298)</f>
        <v/>
      </c>
      <c r="AE298" s="36">
        <f>AD298*(1+$D298)</f>
        <v/>
      </c>
      <c r="AF298" s="36">
        <f>AE298*(1+$D298)</f>
        <v/>
      </c>
      <c r="AG298" s="36">
        <f>AF298*(1+$D298)</f>
        <v/>
      </c>
      <c r="AH298" s="36">
        <f>AG298*(1+$D298)</f>
        <v/>
      </c>
      <c r="AI298" s="36">
        <f>AH298*(1+$D298)</f>
        <v/>
      </c>
      <c r="AJ298" s="36">
        <f>AI298*(1+$D298)</f>
        <v/>
      </c>
      <c r="AK298" s="36">
        <f>AJ298*(1+$D298)</f>
        <v/>
      </c>
      <c r="AL298" s="36">
        <f>AK298*(1+$D298)</f>
        <v/>
      </c>
      <c r="AM298" s="36">
        <f>AL298*(1+$D298)</f>
        <v/>
      </c>
      <c r="AN298" s="39">
        <f>PRETAX(AM298,$D298)</f>
        <v/>
      </c>
    </row>
    <row r="299" hidden="1" outlineLevel="2">
      <c r="A299" s="5" t="inlineStr">
        <is>
          <t>sp</t>
        </is>
      </c>
      <c r="B299" s="5" t="inlineStr">
        <is>
          <t>nga</t>
        </is>
      </c>
      <c r="C299" s="5" t="inlineStr">
        <is>
          <t>avi</t>
        </is>
      </c>
      <c r="D299" s="36">
        <f>INDEX(Inputs!$R$5:$R$132,MATCH($B299&amp;"|"&amp;$C299,Inputs!$A$5:$A$132,0))</f>
        <v/>
      </c>
      <c r="E299" s="37" t="n"/>
      <c r="F299" s="37" t="n"/>
      <c r="G299" s="37" t="n"/>
      <c r="H299" s="5">
        <f>INDEX(Variables!$B$5:$B$65,MATCH($A299,Variables!$A$5:$A$65,0))&amp;IF($C299="",""," | "&amp;INDEX(Mapping!$B$5:$B$25,MATCH($C299,Mapping!$A$5:$A$25,0))&amp;" | "&amp;INDEX(Mapping!$B$29:$B$38,MATCH($B299,Mapping!$A$29:$A$38,0)))</f>
        <v/>
      </c>
      <c r="I299" s="5">
        <f>INDEX(Variables!$C$5:$C$65,MATCH($A299,Variables!$A$5:$A$65,0))</f>
        <v/>
      </c>
      <c r="J299" s="5">
        <f>INDEX(Variables!$E$5:$E$65,MATCH($A299,Variables!$A$5:$A$65,0))</f>
        <v/>
      </c>
      <c r="K299" s="23">
        <f>LOWER(Settings!$C$4)&amp;".mit."&amp;$A299&amp;IF($C299="","","."&amp;$C299&amp;"."&amp;$B299)&amp;IF(INDEX(Variables!$D$5:$D$65,MATCH($A299,Variables!$A$5:$A$65,0))="","","."&amp;INDEX(Variables!$D$5:$D$65,MATCH($A299,Variables!$A$5:$A$65,0)))&amp;"."&amp;K$5</f>
        <v/>
      </c>
      <c r="L299" s="38">
        <f>INDEX(Inputs!$S$5:$S$132,MATCH($B299&amp;"|"&amp;$C299,Inputs!$A$5:$A$132,0))</f>
        <v/>
      </c>
      <c r="M299" s="36">
        <f>L299*(1+$D299)</f>
        <v/>
      </c>
      <c r="N299" s="36">
        <f>M299*(1+$D299)</f>
        <v/>
      </c>
      <c r="O299" s="36">
        <f>N299*(1+$D299)</f>
        <v/>
      </c>
      <c r="P299" s="36">
        <f>O299*(1+$D299)</f>
        <v/>
      </c>
      <c r="Q299" s="36">
        <f>P299*(1+$D299)</f>
        <v/>
      </c>
      <c r="R299" s="36">
        <f>Q299*(1+$D299)</f>
        <v/>
      </c>
      <c r="S299" s="36">
        <f>R299*(1+$D299)</f>
        <v/>
      </c>
      <c r="T299" s="36">
        <f>S299*(1+$D299)</f>
        <v/>
      </c>
      <c r="U299" s="36">
        <f>T299*(1+$D299)</f>
        <v/>
      </c>
      <c r="V299" s="36">
        <f>U299*(1+$D299)</f>
        <v/>
      </c>
      <c r="W299" s="36">
        <f>V299*(1+$D299)</f>
        <v/>
      </c>
      <c r="X299" s="36">
        <f>W299*(1+$D299)</f>
        <v/>
      </c>
      <c r="Y299" s="39">
        <f>PRETAX(X299,$D299)</f>
        <v/>
      </c>
      <c r="Z299" s="23">
        <f>LOWER(Settings!$C$4)&amp;".mit."&amp;$A299&amp;IF($C299="","","."&amp;$C299&amp;"."&amp;$B299)&amp;IF(INDEX(Variables!$D$5:$D$65,MATCH($A299,Variables!$A$5:$A$65,0))="","","."&amp;INDEX(Variables!$D$5:$D$65,MATCH($A299,Variables!$A$5:$A$65,0)))&amp;"."&amp;Z$5</f>
        <v/>
      </c>
      <c r="AA299" s="38">
        <f>INDEX(Inputs!$S$5:$S$132,MATCH($B299&amp;"|"&amp;$C299,Inputs!$A$5:$A$132,0))</f>
        <v/>
      </c>
      <c r="AB299" s="36">
        <f>AA299*(1+$D299)</f>
        <v/>
      </c>
      <c r="AC299" s="36">
        <f>AB299*(1+$D299)</f>
        <v/>
      </c>
      <c r="AD299" s="36">
        <f>AC299*(1+$D299)</f>
        <v/>
      </c>
      <c r="AE299" s="36">
        <f>AD299*(1+$D299)</f>
        <v/>
      </c>
      <c r="AF299" s="36">
        <f>AE299*(1+$D299)</f>
        <v/>
      </c>
      <c r="AG299" s="36">
        <f>AF299*(1+$D299)</f>
        <v/>
      </c>
      <c r="AH299" s="36">
        <f>AG299*(1+$D299)</f>
        <v/>
      </c>
      <c r="AI299" s="36">
        <f>AH299*(1+$D299)</f>
        <v/>
      </c>
      <c r="AJ299" s="36">
        <f>AI299*(1+$D299)</f>
        <v/>
      </c>
      <c r="AK299" s="36">
        <f>AJ299*(1+$D299)</f>
        <v/>
      </c>
      <c r="AL299" s="36">
        <f>AK299*(1+$D299)</f>
        <v/>
      </c>
      <c r="AM299" s="36">
        <f>AL299*(1+$D299)</f>
        <v/>
      </c>
      <c r="AN299" s="39">
        <f>PRETAX(AM299,$D299)</f>
        <v/>
      </c>
    </row>
    <row r="300" hidden="1" outlineLevel="2">
      <c r="A300" s="5" t="inlineStr">
        <is>
          <t>sp</t>
        </is>
      </c>
      <c r="B300" s="5" t="inlineStr">
        <is>
          <t>gso</t>
        </is>
      </c>
      <c r="C300" s="5" t="inlineStr">
        <is>
          <t>avi</t>
        </is>
      </c>
      <c r="D300" s="36">
        <f>INDEX(Inputs!$R$5:$R$132,MATCH($B300&amp;"|"&amp;$C300,Inputs!$A$5:$A$132,0))</f>
        <v/>
      </c>
      <c r="E300" s="37" t="n"/>
      <c r="F300" s="37" t="n"/>
      <c r="G300" s="37" t="n"/>
      <c r="H300" s="5">
        <f>INDEX(Variables!$B$5:$B$65,MATCH($A300,Variables!$A$5:$A$65,0))&amp;IF($C300="",""," | "&amp;INDEX(Mapping!$B$5:$B$25,MATCH($C300,Mapping!$A$5:$A$25,0))&amp;" | "&amp;INDEX(Mapping!$B$29:$B$38,MATCH($B300,Mapping!$A$29:$A$38,0)))</f>
        <v/>
      </c>
      <c r="I300" s="5">
        <f>INDEX(Variables!$C$5:$C$65,MATCH($A300,Variables!$A$5:$A$65,0))</f>
        <v/>
      </c>
      <c r="J300" s="5">
        <f>INDEX(Variables!$E$5:$E$65,MATCH($A300,Variables!$A$5:$A$65,0))</f>
        <v/>
      </c>
      <c r="K300" s="23">
        <f>LOWER(Settings!$C$4)&amp;".mit."&amp;$A300&amp;IF($C300="","","."&amp;$C300&amp;"."&amp;$B300)&amp;IF(INDEX(Variables!$D$5:$D$65,MATCH($A300,Variables!$A$5:$A$65,0))="","","."&amp;INDEX(Variables!$D$5:$D$65,MATCH($A300,Variables!$A$5:$A$65,0)))&amp;"."&amp;K$5</f>
        <v/>
      </c>
      <c r="L300" s="38">
        <f>INDEX(Inputs!$S$5:$S$132,MATCH($B300&amp;"|"&amp;$C300,Inputs!$A$5:$A$132,0))</f>
        <v/>
      </c>
      <c r="M300" s="36">
        <f>L300*(1+$D300)</f>
        <v/>
      </c>
      <c r="N300" s="36">
        <f>M300*(1+$D300)</f>
        <v/>
      </c>
      <c r="O300" s="36">
        <f>N300*(1+$D300)</f>
        <v/>
      </c>
      <c r="P300" s="36">
        <f>O300*(1+$D300)</f>
        <v/>
      </c>
      <c r="Q300" s="36">
        <f>P300*(1+$D300)</f>
        <v/>
      </c>
      <c r="R300" s="36">
        <f>Q300*(1+$D300)</f>
        <v/>
      </c>
      <c r="S300" s="36">
        <f>R300*(1+$D300)</f>
        <v/>
      </c>
      <c r="T300" s="36">
        <f>S300*(1+$D300)</f>
        <v/>
      </c>
      <c r="U300" s="36">
        <f>T300*(1+$D300)</f>
        <v/>
      </c>
      <c r="V300" s="36">
        <f>U300*(1+$D300)</f>
        <v/>
      </c>
      <c r="W300" s="36">
        <f>V300*(1+$D300)</f>
        <v/>
      </c>
      <c r="X300" s="36">
        <f>W300*(1+$D300)</f>
        <v/>
      </c>
      <c r="Y300" s="39">
        <f>PRETAX(X300,$D300)</f>
        <v/>
      </c>
      <c r="Z300" s="23">
        <f>LOWER(Settings!$C$4)&amp;".mit."&amp;$A300&amp;IF($C300="","","."&amp;$C300&amp;"."&amp;$B300)&amp;IF(INDEX(Variables!$D$5:$D$65,MATCH($A300,Variables!$A$5:$A$65,0))="","","."&amp;INDEX(Variables!$D$5:$D$65,MATCH($A300,Variables!$A$5:$A$65,0)))&amp;"."&amp;Z$5</f>
        <v/>
      </c>
      <c r="AA300" s="38">
        <f>INDEX(Inputs!$S$5:$S$132,MATCH($B300&amp;"|"&amp;$C300,Inputs!$A$5:$A$132,0))</f>
        <v/>
      </c>
      <c r="AB300" s="36">
        <f>AA300*(1+$D300)</f>
        <v/>
      </c>
      <c r="AC300" s="36">
        <f>AB300*(1+$D300)</f>
        <v/>
      </c>
      <c r="AD300" s="36">
        <f>AC300*(1+$D300)</f>
        <v/>
      </c>
      <c r="AE300" s="36">
        <f>AD300*(1+$D300)</f>
        <v/>
      </c>
      <c r="AF300" s="36">
        <f>AE300*(1+$D300)</f>
        <v/>
      </c>
      <c r="AG300" s="36">
        <f>AF300*(1+$D300)</f>
        <v/>
      </c>
      <c r="AH300" s="36">
        <f>AG300*(1+$D300)</f>
        <v/>
      </c>
      <c r="AI300" s="36">
        <f>AH300*(1+$D300)</f>
        <v/>
      </c>
      <c r="AJ300" s="36">
        <f>AI300*(1+$D300)</f>
        <v/>
      </c>
      <c r="AK300" s="36">
        <f>AJ300*(1+$D300)</f>
        <v/>
      </c>
      <c r="AL300" s="36">
        <f>AK300*(1+$D300)</f>
        <v/>
      </c>
      <c r="AM300" s="36">
        <f>AL300*(1+$D300)</f>
        <v/>
      </c>
      <c r="AN300" s="39">
        <f>PRETAX(AM300,$D300)</f>
        <v/>
      </c>
    </row>
    <row r="301" hidden="1" outlineLevel="2">
      <c r="A301" s="5" t="inlineStr">
        <is>
          <t>sp</t>
        </is>
      </c>
      <c r="B301" s="5" t="inlineStr">
        <is>
          <t>die</t>
        </is>
      </c>
      <c r="C301" s="5" t="inlineStr">
        <is>
          <t>avi</t>
        </is>
      </c>
      <c r="D301" s="36">
        <f>INDEX(Inputs!$R$5:$R$132,MATCH($B301&amp;"|"&amp;$C301,Inputs!$A$5:$A$132,0))</f>
        <v/>
      </c>
      <c r="E301" s="37" t="n"/>
      <c r="F301" s="37" t="n"/>
      <c r="G301" s="37" t="n"/>
      <c r="H301" s="5">
        <f>INDEX(Variables!$B$5:$B$65,MATCH($A301,Variables!$A$5:$A$65,0))&amp;IF($C301="",""," | "&amp;INDEX(Mapping!$B$5:$B$25,MATCH($C301,Mapping!$A$5:$A$25,0))&amp;" | "&amp;INDEX(Mapping!$B$29:$B$38,MATCH($B301,Mapping!$A$29:$A$38,0)))</f>
        <v/>
      </c>
      <c r="I301" s="5">
        <f>INDEX(Variables!$C$5:$C$65,MATCH($A301,Variables!$A$5:$A$65,0))</f>
        <v/>
      </c>
      <c r="J301" s="5">
        <f>INDEX(Variables!$E$5:$E$65,MATCH($A301,Variables!$A$5:$A$65,0))</f>
        <v/>
      </c>
      <c r="K301" s="23">
        <f>LOWER(Settings!$C$4)&amp;".mit."&amp;$A301&amp;IF($C301="","","."&amp;$C301&amp;"."&amp;$B301)&amp;IF(INDEX(Variables!$D$5:$D$65,MATCH($A301,Variables!$A$5:$A$65,0))="","","."&amp;INDEX(Variables!$D$5:$D$65,MATCH($A301,Variables!$A$5:$A$65,0)))&amp;"."&amp;K$5</f>
        <v/>
      </c>
      <c r="L301" s="38">
        <f>INDEX(Inputs!$S$5:$S$132,MATCH($B301&amp;"|"&amp;$C301,Inputs!$A$5:$A$132,0))</f>
        <v/>
      </c>
      <c r="M301" s="36">
        <f>L301*(1+$D301)</f>
        <v/>
      </c>
      <c r="N301" s="36">
        <f>M301*(1+$D301)</f>
        <v/>
      </c>
      <c r="O301" s="36">
        <f>N301*(1+$D301)</f>
        <v/>
      </c>
      <c r="P301" s="36">
        <f>O301*(1+$D301)</f>
        <v/>
      </c>
      <c r="Q301" s="36">
        <f>P301*(1+$D301)</f>
        <v/>
      </c>
      <c r="R301" s="36">
        <f>Q301*(1+$D301)</f>
        <v/>
      </c>
      <c r="S301" s="36">
        <f>R301*(1+$D301)</f>
        <v/>
      </c>
      <c r="T301" s="36">
        <f>S301*(1+$D301)</f>
        <v/>
      </c>
      <c r="U301" s="36">
        <f>T301*(1+$D301)</f>
        <v/>
      </c>
      <c r="V301" s="36">
        <f>U301*(1+$D301)</f>
        <v/>
      </c>
      <c r="W301" s="36">
        <f>V301*(1+$D301)</f>
        <v/>
      </c>
      <c r="X301" s="36">
        <f>W301*(1+$D301)</f>
        <v/>
      </c>
      <c r="Y301" s="39">
        <f>PRETAX(X301,$D301)</f>
        <v/>
      </c>
      <c r="Z301" s="23">
        <f>LOWER(Settings!$C$4)&amp;".mit."&amp;$A301&amp;IF($C301="","","."&amp;$C301&amp;"."&amp;$B301)&amp;IF(INDEX(Variables!$D$5:$D$65,MATCH($A301,Variables!$A$5:$A$65,0))="","","."&amp;INDEX(Variables!$D$5:$D$65,MATCH($A301,Variables!$A$5:$A$65,0)))&amp;"."&amp;Z$5</f>
        <v/>
      </c>
      <c r="AA301" s="38">
        <f>INDEX(Inputs!$S$5:$S$132,MATCH($B301&amp;"|"&amp;$C301,Inputs!$A$5:$A$132,0))</f>
        <v/>
      </c>
      <c r="AB301" s="36">
        <f>AA301*(1+$D301)</f>
        <v/>
      </c>
      <c r="AC301" s="36">
        <f>AB301*(1+$D301)</f>
        <v/>
      </c>
      <c r="AD301" s="36">
        <f>AC301*(1+$D301)</f>
        <v/>
      </c>
      <c r="AE301" s="36">
        <f>AD301*(1+$D301)</f>
        <v/>
      </c>
      <c r="AF301" s="36">
        <f>AE301*(1+$D301)</f>
        <v/>
      </c>
      <c r="AG301" s="36">
        <f>AF301*(1+$D301)</f>
        <v/>
      </c>
      <c r="AH301" s="36">
        <f>AG301*(1+$D301)</f>
        <v/>
      </c>
      <c r="AI301" s="36">
        <f>AH301*(1+$D301)</f>
        <v/>
      </c>
      <c r="AJ301" s="36">
        <f>AI301*(1+$D301)</f>
        <v/>
      </c>
      <c r="AK301" s="36">
        <f>AJ301*(1+$D301)</f>
        <v/>
      </c>
      <c r="AL301" s="36">
        <f>AK301*(1+$D301)</f>
        <v/>
      </c>
      <c r="AM301" s="36">
        <f>AL301*(1+$D301)</f>
        <v/>
      </c>
      <c r="AN301" s="39">
        <f>PRETAX(AM301,$D301)</f>
        <v/>
      </c>
    </row>
    <row r="302" hidden="1" outlineLevel="2">
      <c r="A302" s="5" t="inlineStr">
        <is>
          <t>sp</t>
        </is>
      </c>
      <c r="B302" s="5" t="inlineStr">
        <is>
          <t>lpg</t>
        </is>
      </c>
      <c r="C302" s="5" t="inlineStr">
        <is>
          <t>avi</t>
        </is>
      </c>
      <c r="D302" s="36">
        <f>INDEX(Inputs!$R$5:$R$132,MATCH($B302&amp;"|"&amp;$C302,Inputs!$A$5:$A$132,0))</f>
        <v/>
      </c>
      <c r="E302" s="37" t="n"/>
      <c r="F302" s="37" t="n"/>
      <c r="G302" s="37" t="n"/>
      <c r="H302" s="5">
        <f>INDEX(Variables!$B$5:$B$65,MATCH($A302,Variables!$A$5:$A$65,0))&amp;IF($C302="",""," | "&amp;INDEX(Mapping!$B$5:$B$25,MATCH($C302,Mapping!$A$5:$A$25,0))&amp;" | "&amp;INDEX(Mapping!$B$29:$B$38,MATCH($B302,Mapping!$A$29:$A$38,0)))</f>
        <v/>
      </c>
      <c r="I302" s="5">
        <f>INDEX(Variables!$C$5:$C$65,MATCH($A302,Variables!$A$5:$A$65,0))</f>
        <v/>
      </c>
      <c r="J302" s="5">
        <f>INDEX(Variables!$E$5:$E$65,MATCH($A302,Variables!$A$5:$A$65,0))</f>
        <v/>
      </c>
      <c r="K302" s="23">
        <f>LOWER(Settings!$C$4)&amp;".mit."&amp;$A302&amp;IF($C302="","","."&amp;$C302&amp;"."&amp;$B302)&amp;IF(INDEX(Variables!$D$5:$D$65,MATCH($A302,Variables!$A$5:$A$65,0))="","","."&amp;INDEX(Variables!$D$5:$D$65,MATCH($A302,Variables!$A$5:$A$65,0)))&amp;"."&amp;K$5</f>
        <v/>
      </c>
      <c r="L302" s="38">
        <f>INDEX(Inputs!$S$5:$S$132,MATCH($B302&amp;"|"&amp;$C302,Inputs!$A$5:$A$132,0))</f>
        <v/>
      </c>
      <c r="M302" s="36">
        <f>L302*(1+$D302)</f>
        <v/>
      </c>
      <c r="N302" s="36">
        <f>M302*(1+$D302)</f>
        <v/>
      </c>
      <c r="O302" s="36">
        <f>N302*(1+$D302)</f>
        <v/>
      </c>
      <c r="P302" s="36">
        <f>O302*(1+$D302)</f>
        <v/>
      </c>
      <c r="Q302" s="36">
        <f>P302*(1+$D302)</f>
        <v/>
      </c>
      <c r="R302" s="36">
        <f>Q302*(1+$D302)</f>
        <v/>
      </c>
      <c r="S302" s="36">
        <f>R302*(1+$D302)</f>
        <v/>
      </c>
      <c r="T302" s="36">
        <f>S302*(1+$D302)</f>
        <v/>
      </c>
      <c r="U302" s="36">
        <f>T302*(1+$D302)</f>
        <v/>
      </c>
      <c r="V302" s="36">
        <f>U302*(1+$D302)</f>
        <v/>
      </c>
      <c r="W302" s="36">
        <f>V302*(1+$D302)</f>
        <v/>
      </c>
      <c r="X302" s="36">
        <f>W302*(1+$D302)</f>
        <v/>
      </c>
      <c r="Y302" s="39">
        <f>PRETAX(X302,$D302)</f>
        <v/>
      </c>
      <c r="Z302" s="23">
        <f>LOWER(Settings!$C$4)&amp;".mit."&amp;$A302&amp;IF($C302="","","."&amp;$C302&amp;"."&amp;$B302)&amp;IF(INDEX(Variables!$D$5:$D$65,MATCH($A302,Variables!$A$5:$A$65,0))="","","."&amp;INDEX(Variables!$D$5:$D$65,MATCH($A302,Variables!$A$5:$A$65,0)))&amp;"."&amp;Z$5</f>
        <v/>
      </c>
      <c r="AA302" s="38">
        <f>INDEX(Inputs!$S$5:$S$132,MATCH($B302&amp;"|"&amp;$C302,Inputs!$A$5:$A$132,0))</f>
        <v/>
      </c>
      <c r="AB302" s="36">
        <f>AA302*(1+$D302)</f>
        <v/>
      </c>
      <c r="AC302" s="36">
        <f>AB302*(1+$D302)</f>
        <v/>
      </c>
      <c r="AD302" s="36">
        <f>AC302*(1+$D302)</f>
        <v/>
      </c>
      <c r="AE302" s="36">
        <f>AD302*(1+$D302)</f>
        <v/>
      </c>
      <c r="AF302" s="36">
        <f>AE302*(1+$D302)</f>
        <v/>
      </c>
      <c r="AG302" s="36">
        <f>AF302*(1+$D302)</f>
        <v/>
      </c>
      <c r="AH302" s="36">
        <f>AG302*(1+$D302)</f>
        <v/>
      </c>
      <c r="AI302" s="36">
        <f>AH302*(1+$D302)</f>
        <v/>
      </c>
      <c r="AJ302" s="36">
        <f>AI302*(1+$D302)</f>
        <v/>
      </c>
      <c r="AK302" s="36">
        <f>AJ302*(1+$D302)</f>
        <v/>
      </c>
      <c r="AL302" s="36">
        <f>AK302*(1+$D302)</f>
        <v/>
      </c>
      <c r="AM302" s="36">
        <f>AL302*(1+$D302)</f>
        <v/>
      </c>
      <c r="AN302" s="39">
        <f>PRETAX(AM302,$D302)</f>
        <v/>
      </c>
    </row>
    <row r="303" hidden="1" outlineLevel="2">
      <c r="A303" s="5" t="inlineStr">
        <is>
          <t>sp</t>
        </is>
      </c>
      <c r="B303" s="5" t="inlineStr">
        <is>
          <t>ker</t>
        </is>
      </c>
      <c r="C303" s="5" t="inlineStr">
        <is>
          <t>avi</t>
        </is>
      </c>
      <c r="D303" s="36">
        <f>INDEX(Inputs!$R$5:$R$132,MATCH($B303&amp;"|"&amp;$C303,Inputs!$A$5:$A$132,0))</f>
        <v/>
      </c>
      <c r="E303" s="37" t="n"/>
      <c r="F303" s="37" t="n"/>
      <c r="G303" s="37" t="n"/>
      <c r="H303" s="5">
        <f>INDEX(Variables!$B$5:$B$65,MATCH($A303,Variables!$A$5:$A$65,0))&amp;IF($C303="",""," | "&amp;INDEX(Mapping!$B$5:$B$25,MATCH($C303,Mapping!$A$5:$A$25,0))&amp;" | "&amp;INDEX(Mapping!$B$29:$B$38,MATCH($B303,Mapping!$A$29:$A$38,0)))</f>
        <v/>
      </c>
      <c r="I303" s="5">
        <f>INDEX(Variables!$C$5:$C$65,MATCH($A303,Variables!$A$5:$A$65,0))</f>
        <v/>
      </c>
      <c r="J303" s="5">
        <f>INDEX(Variables!$E$5:$E$65,MATCH($A303,Variables!$A$5:$A$65,0))</f>
        <v/>
      </c>
      <c r="K303" s="23">
        <f>LOWER(Settings!$C$4)&amp;".mit."&amp;$A303&amp;IF($C303="","","."&amp;$C303&amp;"."&amp;$B303)&amp;IF(INDEX(Variables!$D$5:$D$65,MATCH($A303,Variables!$A$5:$A$65,0))="","","."&amp;INDEX(Variables!$D$5:$D$65,MATCH($A303,Variables!$A$5:$A$65,0)))&amp;"."&amp;K$5</f>
        <v/>
      </c>
      <c r="L303" s="38">
        <f>INDEX(Inputs!$S$5:$S$132,MATCH($B303&amp;"|"&amp;$C303,Inputs!$A$5:$A$132,0))</f>
        <v/>
      </c>
      <c r="M303" s="36">
        <f>L303*(1+$D303)</f>
        <v/>
      </c>
      <c r="N303" s="36">
        <f>M303*(1+$D303)</f>
        <v/>
      </c>
      <c r="O303" s="36">
        <f>N303*(1+$D303)</f>
        <v/>
      </c>
      <c r="P303" s="36">
        <f>O303*(1+$D303)</f>
        <v/>
      </c>
      <c r="Q303" s="36">
        <f>P303*(1+$D303)</f>
        <v/>
      </c>
      <c r="R303" s="36">
        <f>Q303*(1+$D303)</f>
        <v/>
      </c>
      <c r="S303" s="36">
        <f>R303*(1+$D303)</f>
        <v/>
      </c>
      <c r="T303" s="36">
        <f>S303*(1+$D303)</f>
        <v/>
      </c>
      <c r="U303" s="36">
        <f>T303*(1+$D303)</f>
        <v/>
      </c>
      <c r="V303" s="36">
        <f>U303*(1+$D303)</f>
        <v/>
      </c>
      <c r="W303" s="36">
        <f>V303*(1+$D303)</f>
        <v/>
      </c>
      <c r="X303" s="36">
        <f>W303*(1+$D303)</f>
        <v/>
      </c>
      <c r="Y303" s="39">
        <f>PRETAX(X303,$D303)</f>
        <v/>
      </c>
      <c r="Z303" s="23">
        <f>LOWER(Settings!$C$4)&amp;".mit."&amp;$A303&amp;IF($C303="","","."&amp;$C303&amp;"."&amp;$B303)&amp;IF(INDEX(Variables!$D$5:$D$65,MATCH($A303,Variables!$A$5:$A$65,0))="","","."&amp;INDEX(Variables!$D$5:$D$65,MATCH($A303,Variables!$A$5:$A$65,0)))&amp;"."&amp;Z$5</f>
        <v/>
      </c>
      <c r="AA303" s="38">
        <f>INDEX(Inputs!$S$5:$S$132,MATCH($B303&amp;"|"&amp;$C303,Inputs!$A$5:$A$132,0))</f>
        <v/>
      </c>
      <c r="AB303" s="36">
        <f>AA303*(1+$D303)</f>
        <v/>
      </c>
      <c r="AC303" s="36">
        <f>AB303*(1+$D303)</f>
        <v/>
      </c>
      <c r="AD303" s="36">
        <f>AC303*(1+$D303)</f>
        <v/>
      </c>
      <c r="AE303" s="36">
        <f>AD303*(1+$D303)</f>
        <v/>
      </c>
      <c r="AF303" s="36">
        <f>AE303*(1+$D303)</f>
        <v/>
      </c>
      <c r="AG303" s="36">
        <f>AF303*(1+$D303)</f>
        <v/>
      </c>
      <c r="AH303" s="36">
        <f>AG303*(1+$D303)</f>
        <v/>
      </c>
      <c r="AI303" s="36">
        <f>AH303*(1+$D303)</f>
        <v/>
      </c>
      <c r="AJ303" s="36">
        <f>AI303*(1+$D303)</f>
        <v/>
      </c>
      <c r="AK303" s="36">
        <f>AJ303*(1+$D303)</f>
        <v/>
      </c>
      <c r="AL303" s="36">
        <f>AK303*(1+$D303)</f>
        <v/>
      </c>
      <c r="AM303" s="36">
        <f>AL303*(1+$D303)</f>
        <v/>
      </c>
      <c r="AN303" s="39">
        <f>PRETAX(AM303,$D303)</f>
        <v/>
      </c>
    </row>
    <row r="304" hidden="1" outlineLevel="2">
      <c r="A304" s="5" t="inlineStr">
        <is>
          <t>sp</t>
        </is>
      </c>
      <c r="B304" s="5" t="inlineStr">
        <is>
          <t>oop</t>
        </is>
      </c>
      <c r="C304" s="5" t="inlineStr">
        <is>
          <t>avi</t>
        </is>
      </c>
      <c r="D304" s="36">
        <f>INDEX(Inputs!$R$5:$R$132,MATCH($B304&amp;"|"&amp;$C304,Inputs!$A$5:$A$132,0))</f>
        <v/>
      </c>
      <c r="E304" s="37" t="n"/>
      <c r="F304" s="37" t="n"/>
      <c r="G304" s="37" t="n"/>
      <c r="H304" s="5">
        <f>INDEX(Variables!$B$5:$B$65,MATCH($A304,Variables!$A$5:$A$65,0))&amp;IF($C304="",""," | "&amp;INDEX(Mapping!$B$5:$B$25,MATCH($C304,Mapping!$A$5:$A$25,0))&amp;" | "&amp;INDEX(Mapping!$B$29:$B$38,MATCH($B304,Mapping!$A$29:$A$38,0)))</f>
        <v/>
      </c>
      <c r="I304" s="5">
        <f>INDEX(Variables!$C$5:$C$65,MATCH($A304,Variables!$A$5:$A$65,0))</f>
        <v/>
      </c>
      <c r="J304" s="5">
        <f>INDEX(Variables!$E$5:$E$65,MATCH($A304,Variables!$A$5:$A$65,0))</f>
        <v/>
      </c>
      <c r="K304" s="23">
        <f>LOWER(Settings!$C$4)&amp;".mit."&amp;$A304&amp;IF($C304="","","."&amp;$C304&amp;"."&amp;$B304)&amp;IF(INDEX(Variables!$D$5:$D$65,MATCH($A304,Variables!$A$5:$A$65,0))="","","."&amp;INDEX(Variables!$D$5:$D$65,MATCH($A304,Variables!$A$5:$A$65,0)))&amp;"."&amp;K$5</f>
        <v/>
      </c>
      <c r="L304" s="38">
        <f>INDEX(Inputs!$S$5:$S$132,MATCH($B304&amp;"|"&amp;$C304,Inputs!$A$5:$A$132,0))</f>
        <v/>
      </c>
      <c r="M304" s="36">
        <f>L304*(1+$D304)</f>
        <v/>
      </c>
      <c r="N304" s="36">
        <f>M304*(1+$D304)</f>
        <v/>
      </c>
      <c r="O304" s="36">
        <f>N304*(1+$D304)</f>
        <v/>
      </c>
      <c r="P304" s="36">
        <f>O304*(1+$D304)</f>
        <v/>
      </c>
      <c r="Q304" s="36">
        <f>P304*(1+$D304)</f>
        <v/>
      </c>
      <c r="R304" s="36">
        <f>Q304*(1+$D304)</f>
        <v/>
      </c>
      <c r="S304" s="36">
        <f>R304*(1+$D304)</f>
        <v/>
      </c>
      <c r="T304" s="36">
        <f>S304*(1+$D304)</f>
        <v/>
      </c>
      <c r="U304" s="36">
        <f>T304*(1+$D304)</f>
        <v/>
      </c>
      <c r="V304" s="36">
        <f>U304*(1+$D304)</f>
        <v/>
      </c>
      <c r="W304" s="36">
        <f>V304*(1+$D304)</f>
        <v/>
      </c>
      <c r="X304" s="36">
        <f>W304*(1+$D304)</f>
        <v/>
      </c>
      <c r="Y304" s="39">
        <f>PRETAX(X304,$D304)</f>
        <v/>
      </c>
      <c r="Z304" s="23">
        <f>LOWER(Settings!$C$4)&amp;".mit."&amp;$A304&amp;IF($C304="","","."&amp;$C304&amp;"."&amp;$B304)&amp;IF(INDEX(Variables!$D$5:$D$65,MATCH($A304,Variables!$A$5:$A$65,0))="","","."&amp;INDEX(Variables!$D$5:$D$65,MATCH($A304,Variables!$A$5:$A$65,0)))&amp;"."&amp;Z$5</f>
        <v/>
      </c>
      <c r="AA304" s="38">
        <f>INDEX(Inputs!$S$5:$S$132,MATCH($B304&amp;"|"&amp;$C304,Inputs!$A$5:$A$132,0))</f>
        <v/>
      </c>
      <c r="AB304" s="36">
        <f>AA304*(1+$D304)</f>
        <v/>
      </c>
      <c r="AC304" s="36">
        <f>AB304*(1+$D304)</f>
        <v/>
      </c>
      <c r="AD304" s="36">
        <f>AC304*(1+$D304)</f>
        <v/>
      </c>
      <c r="AE304" s="36">
        <f>AD304*(1+$D304)</f>
        <v/>
      </c>
      <c r="AF304" s="36">
        <f>AE304*(1+$D304)</f>
        <v/>
      </c>
      <c r="AG304" s="36">
        <f>AF304*(1+$D304)</f>
        <v/>
      </c>
      <c r="AH304" s="36">
        <f>AG304*(1+$D304)</f>
        <v/>
      </c>
      <c r="AI304" s="36">
        <f>AH304*(1+$D304)</f>
        <v/>
      </c>
      <c r="AJ304" s="36">
        <f>AI304*(1+$D304)</f>
        <v/>
      </c>
      <c r="AK304" s="36">
        <f>AJ304*(1+$D304)</f>
        <v/>
      </c>
      <c r="AL304" s="36">
        <f>AK304*(1+$D304)</f>
        <v/>
      </c>
      <c r="AM304" s="36">
        <f>AL304*(1+$D304)</f>
        <v/>
      </c>
      <c r="AN304" s="39">
        <f>PRETAX(AM304,$D304)</f>
        <v/>
      </c>
    </row>
    <row r="305" hidden="1" outlineLevel="2">
      <c r="A305" s="5" t="inlineStr">
        <is>
          <t>sp</t>
        </is>
      </c>
      <c r="B305" s="5" t="inlineStr">
        <is>
          <t>bio</t>
        </is>
      </c>
      <c r="C305" s="5" t="inlineStr">
        <is>
          <t>avi</t>
        </is>
      </c>
      <c r="D305" s="36">
        <f>INDEX(Inputs!$R$5:$R$132,MATCH($B305&amp;"|"&amp;$C305,Inputs!$A$5:$A$132,0))</f>
        <v/>
      </c>
      <c r="E305" s="37" t="n"/>
      <c r="F305" s="37" t="n"/>
      <c r="G305" s="37" t="n"/>
      <c r="H305" s="5">
        <f>INDEX(Variables!$B$5:$B$65,MATCH($A305,Variables!$A$5:$A$65,0))&amp;IF($C305="",""," | "&amp;INDEX(Mapping!$B$5:$B$25,MATCH($C305,Mapping!$A$5:$A$25,0))&amp;" | "&amp;INDEX(Mapping!$B$29:$B$38,MATCH($B305,Mapping!$A$29:$A$38,0)))</f>
        <v/>
      </c>
      <c r="I305" s="5">
        <f>INDEX(Variables!$C$5:$C$65,MATCH($A305,Variables!$A$5:$A$65,0))</f>
        <v/>
      </c>
      <c r="J305" s="5">
        <f>INDEX(Variables!$E$5:$E$65,MATCH($A305,Variables!$A$5:$A$65,0))</f>
        <v/>
      </c>
      <c r="K305" s="23">
        <f>LOWER(Settings!$C$4)&amp;".mit."&amp;$A305&amp;IF($C305="","","."&amp;$C305&amp;"."&amp;$B305)&amp;IF(INDEX(Variables!$D$5:$D$65,MATCH($A305,Variables!$A$5:$A$65,0))="","","."&amp;INDEX(Variables!$D$5:$D$65,MATCH($A305,Variables!$A$5:$A$65,0)))&amp;"."&amp;K$5</f>
        <v/>
      </c>
      <c r="L305" s="38">
        <f>INDEX(Inputs!$S$5:$S$132,MATCH($B305&amp;"|"&amp;$C305,Inputs!$A$5:$A$132,0))</f>
        <v/>
      </c>
      <c r="M305" s="36">
        <f>L305*(1+$D305)</f>
        <v/>
      </c>
      <c r="N305" s="36">
        <f>M305*(1+$D305)</f>
        <v/>
      </c>
      <c r="O305" s="36">
        <f>N305*(1+$D305)</f>
        <v/>
      </c>
      <c r="P305" s="36">
        <f>O305*(1+$D305)</f>
        <v/>
      </c>
      <c r="Q305" s="36">
        <f>P305*(1+$D305)</f>
        <v/>
      </c>
      <c r="R305" s="36">
        <f>Q305*(1+$D305)</f>
        <v/>
      </c>
      <c r="S305" s="36">
        <f>R305*(1+$D305)</f>
        <v/>
      </c>
      <c r="T305" s="36">
        <f>S305*(1+$D305)</f>
        <v/>
      </c>
      <c r="U305" s="36">
        <f>T305*(1+$D305)</f>
        <v/>
      </c>
      <c r="V305" s="36">
        <f>U305*(1+$D305)</f>
        <v/>
      </c>
      <c r="W305" s="36">
        <f>V305*(1+$D305)</f>
        <v/>
      </c>
      <c r="X305" s="36">
        <f>W305*(1+$D305)</f>
        <v/>
      </c>
      <c r="Y305" s="39">
        <f>PRETAX(X305,$D305)</f>
        <v/>
      </c>
      <c r="Z305" s="23">
        <f>LOWER(Settings!$C$4)&amp;".mit."&amp;$A305&amp;IF($C305="","","."&amp;$C305&amp;"."&amp;$B305)&amp;IF(INDEX(Variables!$D$5:$D$65,MATCH($A305,Variables!$A$5:$A$65,0))="","","."&amp;INDEX(Variables!$D$5:$D$65,MATCH($A305,Variables!$A$5:$A$65,0)))&amp;"."&amp;Z$5</f>
        <v/>
      </c>
      <c r="AA305" s="38">
        <f>INDEX(Inputs!$S$5:$S$132,MATCH($B305&amp;"|"&amp;$C305,Inputs!$A$5:$A$132,0))</f>
        <v/>
      </c>
      <c r="AB305" s="36">
        <f>AA305*(1+$D305)</f>
        <v/>
      </c>
      <c r="AC305" s="36">
        <f>AB305*(1+$D305)</f>
        <v/>
      </c>
      <c r="AD305" s="36">
        <f>AC305*(1+$D305)</f>
        <v/>
      </c>
      <c r="AE305" s="36">
        <f>AD305*(1+$D305)</f>
        <v/>
      </c>
      <c r="AF305" s="36">
        <f>AE305*(1+$D305)</f>
        <v/>
      </c>
      <c r="AG305" s="36">
        <f>AF305*(1+$D305)</f>
        <v/>
      </c>
      <c r="AH305" s="36">
        <f>AG305*(1+$D305)</f>
        <v/>
      </c>
      <c r="AI305" s="36">
        <f>AH305*(1+$D305)</f>
        <v/>
      </c>
      <c r="AJ305" s="36">
        <f>AI305*(1+$D305)</f>
        <v/>
      </c>
      <c r="AK305" s="36">
        <f>AJ305*(1+$D305)</f>
        <v/>
      </c>
      <c r="AL305" s="36">
        <f>AK305*(1+$D305)</f>
        <v/>
      </c>
      <c r="AM305" s="36">
        <f>AL305*(1+$D305)</f>
        <v/>
      </c>
      <c r="AN305" s="39">
        <f>PRETAX(AM305,$D305)</f>
        <v/>
      </c>
    </row>
    <row r="306" hidden="1" outlineLevel="2"/>
    <row r="307" hidden="1" outlineLevel="2">
      <c r="A307" s="5" t="inlineStr">
        <is>
          <t>ctxnew</t>
        </is>
      </c>
      <c r="B307" s="5" t="inlineStr">
        <is>
          <t>coa</t>
        </is>
      </c>
      <c r="C307" s="5" t="inlineStr">
        <is>
          <t>avi</t>
        </is>
      </c>
      <c r="D307" s="36">
        <f>INDEX(Inputs!$U$5:$U$132,MATCH($B307&amp;"|"&amp;$C307,Inputs!$A$5:$A$132,0))</f>
        <v/>
      </c>
      <c r="E307" s="36">
        <f>INDEX(Inputs!$J$5:$J$132,MATCH($B307&amp;"|"&amp;$C307,Inputs!$A$5:$A$132,0))</f>
        <v/>
      </c>
      <c r="F307" s="36">
        <f>INDEX(Inputs!$K$5:$K$132,MATCH($B307&amp;"|"&amp;$C307,Inputs!$A$5:$A$132,0))</f>
        <v/>
      </c>
      <c r="G307" s="37" t="n"/>
      <c r="H307" s="5">
        <f>INDEX(Variables!$B$5:$B$65,MATCH($A307,Variables!$A$5:$A$65,0))&amp;IF($C307="",""," | "&amp;INDEX(Mapping!$B$5:$B$25,MATCH($C307,Mapping!$A$5:$A$25,0))&amp;" | "&amp;INDEX(Mapping!$B$29:$B$38,MATCH($B307,Mapping!$A$29:$A$38,0)))</f>
        <v/>
      </c>
      <c r="I307" s="5">
        <f>INDEX(Variables!$C$5:$C$65,MATCH($A307,Variables!$A$5:$A$65,0))</f>
        <v/>
      </c>
      <c r="J307" s="5">
        <f>INDEX(Variables!$E$5:$E$65,MATCH($A307,Variables!$A$5:$A$65,0))</f>
        <v/>
      </c>
      <c r="K307" s="23">
        <f>LOWER(Settings!$C$4)&amp;".mit."&amp;$A307&amp;IF($C307="","","."&amp;$C307&amp;"."&amp;$B307)&amp;IF(INDEX(Variables!$D$5:$D$65,MATCH($A307,Variables!$A$5:$A$65,0))="","","."&amp;INDEX(Variables!$D$5:$D$65,MATCH($A307,Variables!$A$5:$A$65,0)))&amp;"."&amp;K$5</f>
        <v/>
      </c>
      <c r="L307" s="38">
        <f>L$10*$D307*INDEX(L$18:L$25,$E307)*INDEX(L$27:L$43,$F307)</f>
        <v/>
      </c>
      <c r="M307" s="36">
        <f>M$10*$D307*INDEX(M$18:M$25,$E307)*INDEX(M$27:M$43,$F307)</f>
        <v/>
      </c>
      <c r="N307" s="36">
        <f>N$10*$D307*INDEX(N$18:N$25,$E307)*INDEX(N$27:N$43,$F307)</f>
        <v/>
      </c>
      <c r="O307" s="36">
        <f>O$10*$D307*INDEX(O$18:O$25,$E307)*INDEX(O$27:O$43,$F307)</f>
        <v/>
      </c>
      <c r="P307" s="36">
        <f>P$10*$D307*INDEX(P$18:P$25,$E307)*INDEX(P$27:P$43,$F307)</f>
        <v/>
      </c>
      <c r="Q307" s="36">
        <f>Q$10*$D307*INDEX(Q$18:Q$25,$E307)*INDEX(Q$27:Q$43,$F307)</f>
        <v/>
      </c>
      <c r="R307" s="36">
        <f>R$10*$D307*INDEX(R$18:R$25,$E307)*INDEX(R$27:R$43,$F307)</f>
        <v/>
      </c>
      <c r="S307" s="36">
        <f>S$10*$D307*INDEX(S$18:S$25,$E307)*INDEX(S$27:S$43,$F307)</f>
        <v/>
      </c>
      <c r="T307" s="36">
        <f>T$10*$D307*INDEX(T$18:T$25,$E307)*INDEX(T$27:T$43,$F307)</f>
        <v/>
      </c>
      <c r="U307" s="36">
        <f>U$10*$D307*INDEX(U$18:U$25,$E307)*INDEX(U$27:U$43,$F307)</f>
        <v/>
      </c>
      <c r="V307" s="36">
        <f>V$10*$D307*INDEX(V$18:V$25,$E307)*INDEX(V$27:V$43,$F307)</f>
        <v/>
      </c>
      <c r="W307" s="36">
        <f>W$10*$D307*INDEX(W$18:W$25,$E307)*INDEX(W$27:W$43,$F307)</f>
        <v/>
      </c>
      <c r="X307" s="36">
        <f>X$10*$D307*INDEX(X$18:X$25,$E307)*INDEX(X$27:X$43,$F307)</f>
        <v/>
      </c>
      <c r="Y307" s="36">
        <f>Y$10*$D307*INDEX(Y$18:Y$25,$E307)*INDEX(Y$27:Y$43,$F307)</f>
        <v/>
      </c>
      <c r="Z307" s="23">
        <f>LOWER(Settings!$C$4)&amp;".mit."&amp;$A307&amp;IF($C307="","","."&amp;$C307&amp;"."&amp;$B307)&amp;IF(INDEX(Variables!$D$5:$D$65,MATCH($A307,Variables!$A$5:$A$65,0))="","","."&amp;INDEX(Variables!$D$5:$D$65,MATCH($A307,Variables!$A$5:$A$65,0)))&amp;"."&amp;Z$5</f>
        <v/>
      </c>
      <c r="AA307" s="38">
        <f>AA$10*$D307*INDEX(AA$18:AA$25,$E307)*INDEX(AA$27:AA$43,$F307)</f>
        <v/>
      </c>
      <c r="AB307" s="36">
        <f>AB$10*$D307*INDEX(AB$18:AB$25,$E307)*INDEX(AB$27:AB$43,$F307)</f>
        <v/>
      </c>
      <c r="AC307" s="36">
        <f>AC$10*$D307*INDEX(AC$18:AC$25,$E307)*INDEX(AC$27:AC$43,$F307)</f>
        <v/>
      </c>
      <c r="AD307" s="36">
        <f>AD$10*$D307*INDEX(AD$18:AD$25,$E307)*INDEX(AD$27:AD$43,$F307)</f>
        <v/>
      </c>
      <c r="AE307" s="36">
        <f>AE$10*$D307*INDEX(AE$18:AE$25,$E307)*INDEX(AE$27:AE$43,$F307)</f>
        <v/>
      </c>
      <c r="AF307" s="36">
        <f>AF$10*$D307*INDEX(AF$18:AF$25,$E307)*INDEX(AF$27:AF$43,$F307)</f>
        <v/>
      </c>
      <c r="AG307" s="36">
        <f>AG$10*$D307*INDEX(AG$18:AG$25,$E307)*INDEX(AG$27:AG$43,$F307)</f>
        <v/>
      </c>
      <c r="AH307" s="36">
        <f>AH$10*$D307*INDEX(AH$18:AH$25,$E307)*INDEX(AH$27:AH$43,$F307)</f>
        <v/>
      </c>
      <c r="AI307" s="36">
        <f>AI$10*$D307*INDEX(AI$18:AI$25,$E307)*INDEX(AI$27:AI$43,$F307)</f>
        <v/>
      </c>
      <c r="AJ307" s="36">
        <f>AJ$10*$D307*INDEX(AJ$18:AJ$25,$E307)*INDEX(AJ$27:AJ$43,$F307)</f>
        <v/>
      </c>
      <c r="AK307" s="36">
        <f>AK$10*$D307*INDEX(AK$18:AK$25,$E307)*INDEX(AK$27:AK$43,$F307)</f>
        <v/>
      </c>
      <c r="AL307" s="36">
        <f>AL$10*$D307*INDEX(AL$18:AL$25,$E307)*INDEX(AL$27:AL$43,$F307)</f>
        <v/>
      </c>
      <c r="AM307" s="36">
        <f>AM$10*$D307*INDEX(AM$18:AM$25,$E307)*INDEX(AM$27:AM$43,$F307)</f>
        <v/>
      </c>
      <c r="AN307" s="36">
        <f>AN$10*$D307*INDEX(AN$18:AN$25,$E307)*INDEX(AN$27:AN$43,$F307)</f>
        <v/>
      </c>
    </row>
    <row r="308" hidden="1" outlineLevel="2">
      <c r="A308" s="5" t="inlineStr">
        <is>
          <t>ctxnew</t>
        </is>
      </c>
      <c r="B308" s="5" t="inlineStr">
        <is>
          <t>nga</t>
        </is>
      </c>
      <c r="C308" s="5" t="inlineStr">
        <is>
          <t>avi</t>
        </is>
      </c>
      <c r="D308" s="36">
        <f>INDEX(Inputs!$U$5:$U$132,MATCH($B308&amp;"|"&amp;$C308,Inputs!$A$5:$A$132,0))</f>
        <v/>
      </c>
      <c r="E308" s="36">
        <f>INDEX(Inputs!$J$5:$J$132,MATCH($B308&amp;"|"&amp;$C308,Inputs!$A$5:$A$132,0))</f>
        <v/>
      </c>
      <c r="F308" s="36">
        <f>INDEX(Inputs!$K$5:$K$132,MATCH($B308&amp;"|"&amp;$C308,Inputs!$A$5:$A$132,0))</f>
        <v/>
      </c>
      <c r="G308" s="37" t="n"/>
      <c r="H308" s="5">
        <f>INDEX(Variables!$B$5:$B$65,MATCH($A308,Variables!$A$5:$A$65,0))&amp;IF($C308="",""," | "&amp;INDEX(Mapping!$B$5:$B$25,MATCH($C308,Mapping!$A$5:$A$25,0))&amp;" | "&amp;INDEX(Mapping!$B$29:$B$38,MATCH($B308,Mapping!$A$29:$A$38,0)))</f>
        <v/>
      </c>
      <c r="I308" s="5">
        <f>INDEX(Variables!$C$5:$C$65,MATCH($A308,Variables!$A$5:$A$65,0))</f>
        <v/>
      </c>
      <c r="J308" s="5">
        <f>INDEX(Variables!$E$5:$E$65,MATCH($A308,Variables!$A$5:$A$65,0))</f>
        <v/>
      </c>
      <c r="K308" s="23">
        <f>LOWER(Settings!$C$4)&amp;".mit."&amp;$A308&amp;IF($C308="","","."&amp;$C308&amp;"."&amp;$B308)&amp;IF(INDEX(Variables!$D$5:$D$65,MATCH($A308,Variables!$A$5:$A$65,0))="","","."&amp;INDEX(Variables!$D$5:$D$65,MATCH($A308,Variables!$A$5:$A$65,0)))&amp;"."&amp;K$5</f>
        <v/>
      </c>
      <c r="L308" s="38">
        <f>L$10*$D308*INDEX(L$18:L$25,$E308)*INDEX(L$27:L$43,$F308)</f>
        <v/>
      </c>
      <c r="M308" s="36">
        <f>M$10*$D308*INDEX(M$18:M$25,$E308)*INDEX(M$27:M$43,$F308)</f>
        <v/>
      </c>
      <c r="N308" s="36">
        <f>N$10*$D308*INDEX(N$18:N$25,$E308)*INDEX(N$27:N$43,$F308)</f>
        <v/>
      </c>
      <c r="O308" s="36">
        <f>O$10*$D308*INDEX(O$18:O$25,$E308)*INDEX(O$27:O$43,$F308)</f>
        <v/>
      </c>
      <c r="P308" s="36">
        <f>P$10*$D308*INDEX(P$18:P$25,$E308)*INDEX(P$27:P$43,$F308)</f>
        <v/>
      </c>
      <c r="Q308" s="36">
        <f>Q$10*$D308*INDEX(Q$18:Q$25,$E308)*INDEX(Q$27:Q$43,$F308)</f>
        <v/>
      </c>
      <c r="R308" s="36">
        <f>R$10*$D308*INDEX(R$18:R$25,$E308)*INDEX(R$27:R$43,$F308)</f>
        <v/>
      </c>
      <c r="S308" s="36">
        <f>S$10*$D308*INDEX(S$18:S$25,$E308)*INDEX(S$27:S$43,$F308)</f>
        <v/>
      </c>
      <c r="T308" s="36">
        <f>T$10*$D308*INDEX(T$18:T$25,$E308)*INDEX(T$27:T$43,$F308)</f>
        <v/>
      </c>
      <c r="U308" s="36">
        <f>U$10*$D308*INDEX(U$18:U$25,$E308)*INDEX(U$27:U$43,$F308)</f>
        <v/>
      </c>
      <c r="V308" s="36">
        <f>V$10*$D308*INDEX(V$18:V$25,$E308)*INDEX(V$27:V$43,$F308)</f>
        <v/>
      </c>
      <c r="W308" s="36">
        <f>W$10*$D308*INDEX(W$18:W$25,$E308)*INDEX(W$27:W$43,$F308)</f>
        <v/>
      </c>
      <c r="X308" s="36">
        <f>X$10*$D308*INDEX(X$18:X$25,$E308)*INDEX(X$27:X$43,$F308)</f>
        <v/>
      </c>
      <c r="Y308" s="36">
        <f>Y$10*$D308*INDEX(Y$18:Y$25,$E308)*INDEX(Y$27:Y$43,$F308)</f>
        <v/>
      </c>
      <c r="Z308" s="23">
        <f>LOWER(Settings!$C$4)&amp;".mit."&amp;$A308&amp;IF($C308="","","."&amp;$C308&amp;"."&amp;$B308)&amp;IF(INDEX(Variables!$D$5:$D$65,MATCH($A308,Variables!$A$5:$A$65,0))="","","."&amp;INDEX(Variables!$D$5:$D$65,MATCH($A308,Variables!$A$5:$A$65,0)))&amp;"."&amp;Z$5</f>
        <v/>
      </c>
      <c r="AA308" s="38">
        <f>AA$10*$D308*INDEX(AA$18:AA$25,$E308)*INDEX(AA$27:AA$43,$F308)</f>
        <v/>
      </c>
      <c r="AB308" s="36">
        <f>AB$10*$D308*INDEX(AB$18:AB$25,$E308)*INDEX(AB$27:AB$43,$F308)</f>
        <v/>
      </c>
      <c r="AC308" s="36">
        <f>AC$10*$D308*INDEX(AC$18:AC$25,$E308)*INDEX(AC$27:AC$43,$F308)</f>
        <v/>
      </c>
      <c r="AD308" s="36">
        <f>AD$10*$D308*INDEX(AD$18:AD$25,$E308)*INDEX(AD$27:AD$43,$F308)</f>
        <v/>
      </c>
      <c r="AE308" s="36">
        <f>AE$10*$D308*INDEX(AE$18:AE$25,$E308)*INDEX(AE$27:AE$43,$F308)</f>
        <v/>
      </c>
      <c r="AF308" s="36">
        <f>AF$10*$D308*INDEX(AF$18:AF$25,$E308)*INDEX(AF$27:AF$43,$F308)</f>
        <v/>
      </c>
      <c r="AG308" s="36">
        <f>AG$10*$D308*INDEX(AG$18:AG$25,$E308)*INDEX(AG$27:AG$43,$F308)</f>
        <v/>
      </c>
      <c r="AH308" s="36">
        <f>AH$10*$D308*INDEX(AH$18:AH$25,$E308)*INDEX(AH$27:AH$43,$F308)</f>
        <v/>
      </c>
      <c r="AI308" s="36">
        <f>AI$10*$D308*INDEX(AI$18:AI$25,$E308)*INDEX(AI$27:AI$43,$F308)</f>
        <v/>
      </c>
      <c r="AJ308" s="36">
        <f>AJ$10*$D308*INDEX(AJ$18:AJ$25,$E308)*INDEX(AJ$27:AJ$43,$F308)</f>
        <v/>
      </c>
      <c r="AK308" s="36">
        <f>AK$10*$D308*INDEX(AK$18:AK$25,$E308)*INDEX(AK$27:AK$43,$F308)</f>
        <v/>
      </c>
      <c r="AL308" s="36">
        <f>AL$10*$D308*INDEX(AL$18:AL$25,$E308)*INDEX(AL$27:AL$43,$F308)</f>
        <v/>
      </c>
      <c r="AM308" s="36">
        <f>AM$10*$D308*INDEX(AM$18:AM$25,$E308)*INDEX(AM$27:AM$43,$F308)</f>
        <v/>
      </c>
      <c r="AN308" s="36">
        <f>AN$10*$D308*INDEX(AN$18:AN$25,$E308)*INDEX(AN$27:AN$43,$F308)</f>
        <v/>
      </c>
    </row>
    <row r="309" hidden="1" outlineLevel="2">
      <c r="A309" s="5" t="inlineStr">
        <is>
          <t>ctxnew</t>
        </is>
      </c>
      <c r="B309" s="5" t="inlineStr">
        <is>
          <t>gso</t>
        </is>
      </c>
      <c r="C309" s="5" t="inlineStr">
        <is>
          <t>avi</t>
        </is>
      </c>
      <c r="D309" s="36">
        <f>INDEX(Inputs!$U$5:$U$132,MATCH($B309&amp;"|"&amp;$C309,Inputs!$A$5:$A$132,0))</f>
        <v/>
      </c>
      <c r="E309" s="36">
        <f>INDEX(Inputs!$J$5:$J$132,MATCH($B309&amp;"|"&amp;$C309,Inputs!$A$5:$A$132,0))</f>
        <v/>
      </c>
      <c r="F309" s="36">
        <f>INDEX(Inputs!$K$5:$K$132,MATCH($B309&amp;"|"&amp;$C309,Inputs!$A$5:$A$132,0))</f>
        <v/>
      </c>
      <c r="G309" s="37" t="n"/>
      <c r="H309" s="5">
        <f>INDEX(Variables!$B$5:$B$65,MATCH($A309,Variables!$A$5:$A$65,0))&amp;IF($C309="",""," | "&amp;INDEX(Mapping!$B$5:$B$25,MATCH($C309,Mapping!$A$5:$A$25,0))&amp;" | "&amp;INDEX(Mapping!$B$29:$B$38,MATCH($B309,Mapping!$A$29:$A$38,0)))</f>
        <v/>
      </c>
      <c r="I309" s="5">
        <f>INDEX(Variables!$C$5:$C$65,MATCH($A309,Variables!$A$5:$A$65,0))</f>
        <v/>
      </c>
      <c r="J309" s="5">
        <f>INDEX(Variables!$E$5:$E$65,MATCH($A309,Variables!$A$5:$A$65,0))</f>
        <v/>
      </c>
      <c r="K309" s="23">
        <f>LOWER(Settings!$C$4)&amp;".mit."&amp;$A309&amp;IF($C309="","","."&amp;$C309&amp;"."&amp;$B309)&amp;IF(INDEX(Variables!$D$5:$D$65,MATCH($A309,Variables!$A$5:$A$65,0))="","","."&amp;INDEX(Variables!$D$5:$D$65,MATCH($A309,Variables!$A$5:$A$65,0)))&amp;"."&amp;K$5</f>
        <v/>
      </c>
      <c r="L309" s="38">
        <f>L$10*$D309*INDEX(L$18:L$25,$E309)*INDEX(L$27:L$43,$F309)</f>
        <v/>
      </c>
      <c r="M309" s="36">
        <f>M$10*$D309*INDEX(M$18:M$25,$E309)*INDEX(M$27:M$43,$F309)</f>
        <v/>
      </c>
      <c r="N309" s="36">
        <f>N$10*$D309*INDEX(N$18:N$25,$E309)*INDEX(N$27:N$43,$F309)</f>
        <v/>
      </c>
      <c r="O309" s="36">
        <f>O$10*$D309*INDEX(O$18:O$25,$E309)*INDEX(O$27:O$43,$F309)</f>
        <v/>
      </c>
      <c r="P309" s="36">
        <f>P$10*$D309*INDEX(P$18:P$25,$E309)*INDEX(P$27:P$43,$F309)</f>
        <v/>
      </c>
      <c r="Q309" s="36">
        <f>Q$10*$D309*INDEX(Q$18:Q$25,$E309)*INDEX(Q$27:Q$43,$F309)</f>
        <v/>
      </c>
      <c r="R309" s="36">
        <f>R$10*$D309*INDEX(R$18:R$25,$E309)*INDEX(R$27:R$43,$F309)</f>
        <v/>
      </c>
      <c r="S309" s="36">
        <f>S$10*$D309*INDEX(S$18:S$25,$E309)*INDEX(S$27:S$43,$F309)</f>
        <v/>
      </c>
      <c r="T309" s="36">
        <f>T$10*$D309*INDEX(T$18:T$25,$E309)*INDEX(T$27:T$43,$F309)</f>
        <v/>
      </c>
      <c r="U309" s="36">
        <f>U$10*$D309*INDEX(U$18:U$25,$E309)*INDEX(U$27:U$43,$F309)</f>
        <v/>
      </c>
      <c r="V309" s="36">
        <f>V$10*$D309*INDEX(V$18:V$25,$E309)*INDEX(V$27:V$43,$F309)</f>
        <v/>
      </c>
      <c r="W309" s="36">
        <f>W$10*$D309*INDEX(W$18:W$25,$E309)*INDEX(W$27:W$43,$F309)</f>
        <v/>
      </c>
      <c r="X309" s="36">
        <f>X$10*$D309*INDEX(X$18:X$25,$E309)*INDEX(X$27:X$43,$F309)</f>
        <v/>
      </c>
      <c r="Y309" s="36">
        <f>Y$10*$D309*INDEX(Y$18:Y$25,$E309)*INDEX(Y$27:Y$43,$F309)</f>
        <v/>
      </c>
      <c r="Z309" s="23">
        <f>LOWER(Settings!$C$4)&amp;".mit."&amp;$A309&amp;IF($C309="","","."&amp;$C309&amp;"."&amp;$B309)&amp;IF(INDEX(Variables!$D$5:$D$65,MATCH($A309,Variables!$A$5:$A$65,0))="","","."&amp;INDEX(Variables!$D$5:$D$65,MATCH($A309,Variables!$A$5:$A$65,0)))&amp;"."&amp;Z$5</f>
        <v/>
      </c>
      <c r="AA309" s="38">
        <f>AA$10*$D309*INDEX(AA$18:AA$25,$E309)*INDEX(AA$27:AA$43,$F309)</f>
        <v/>
      </c>
      <c r="AB309" s="36">
        <f>AB$10*$D309*INDEX(AB$18:AB$25,$E309)*INDEX(AB$27:AB$43,$F309)</f>
        <v/>
      </c>
      <c r="AC309" s="36">
        <f>AC$10*$D309*INDEX(AC$18:AC$25,$E309)*INDEX(AC$27:AC$43,$F309)</f>
        <v/>
      </c>
      <c r="AD309" s="36">
        <f>AD$10*$D309*INDEX(AD$18:AD$25,$E309)*INDEX(AD$27:AD$43,$F309)</f>
        <v/>
      </c>
      <c r="AE309" s="36">
        <f>AE$10*$D309*INDEX(AE$18:AE$25,$E309)*INDEX(AE$27:AE$43,$F309)</f>
        <v/>
      </c>
      <c r="AF309" s="36">
        <f>AF$10*$D309*INDEX(AF$18:AF$25,$E309)*INDEX(AF$27:AF$43,$F309)</f>
        <v/>
      </c>
      <c r="AG309" s="36">
        <f>AG$10*$D309*INDEX(AG$18:AG$25,$E309)*INDEX(AG$27:AG$43,$F309)</f>
        <v/>
      </c>
      <c r="AH309" s="36">
        <f>AH$10*$D309*INDEX(AH$18:AH$25,$E309)*INDEX(AH$27:AH$43,$F309)</f>
        <v/>
      </c>
      <c r="AI309" s="36">
        <f>AI$10*$D309*INDEX(AI$18:AI$25,$E309)*INDEX(AI$27:AI$43,$F309)</f>
        <v/>
      </c>
      <c r="AJ309" s="36">
        <f>AJ$10*$D309*INDEX(AJ$18:AJ$25,$E309)*INDEX(AJ$27:AJ$43,$F309)</f>
        <v/>
      </c>
      <c r="AK309" s="36">
        <f>AK$10*$D309*INDEX(AK$18:AK$25,$E309)*INDEX(AK$27:AK$43,$F309)</f>
        <v/>
      </c>
      <c r="AL309" s="36">
        <f>AL$10*$D309*INDEX(AL$18:AL$25,$E309)*INDEX(AL$27:AL$43,$F309)</f>
        <v/>
      </c>
      <c r="AM309" s="36">
        <f>AM$10*$D309*INDEX(AM$18:AM$25,$E309)*INDEX(AM$27:AM$43,$F309)</f>
        <v/>
      </c>
      <c r="AN309" s="36">
        <f>AN$10*$D309*INDEX(AN$18:AN$25,$E309)*INDEX(AN$27:AN$43,$F309)</f>
        <v/>
      </c>
    </row>
    <row r="310" hidden="1" outlineLevel="2">
      <c r="A310" s="5" t="inlineStr">
        <is>
          <t>ctxnew</t>
        </is>
      </c>
      <c r="B310" s="5" t="inlineStr">
        <is>
          <t>die</t>
        </is>
      </c>
      <c r="C310" s="5" t="inlineStr">
        <is>
          <t>avi</t>
        </is>
      </c>
      <c r="D310" s="36">
        <f>INDEX(Inputs!$U$5:$U$132,MATCH($B310&amp;"|"&amp;$C310,Inputs!$A$5:$A$132,0))</f>
        <v/>
      </c>
      <c r="E310" s="36">
        <f>INDEX(Inputs!$J$5:$J$132,MATCH($B310&amp;"|"&amp;$C310,Inputs!$A$5:$A$132,0))</f>
        <v/>
      </c>
      <c r="F310" s="36">
        <f>INDEX(Inputs!$K$5:$K$132,MATCH($B310&amp;"|"&amp;$C310,Inputs!$A$5:$A$132,0))</f>
        <v/>
      </c>
      <c r="G310" s="37" t="n"/>
      <c r="H310" s="5">
        <f>INDEX(Variables!$B$5:$B$65,MATCH($A310,Variables!$A$5:$A$65,0))&amp;IF($C310="",""," | "&amp;INDEX(Mapping!$B$5:$B$25,MATCH($C310,Mapping!$A$5:$A$25,0))&amp;" | "&amp;INDEX(Mapping!$B$29:$B$38,MATCH($B310,Mapping!$A$29:$A$38,0)))</f>
        <v/>
      </c>
      <c r="I310" s="5">
        <f>INDEX(Variables!$C$5:$C$65,MATCH($A310,Variables!$A$5:$A$65,0))</f>
        <v/>
      </c>
      <c r="J310" s="5">
        <f>INDEX(Variables!$E$5:$E$65,MATCH($A310,Variables!$A$5:$A$65,0))</f>
        <v/>
      </c>
      <c r="K310" s="23">
        <f>LOWER(Settings!$C$4)&amp;".mit."&amp;$A310&amp;IF($C310="","","."&amp;$C310&amp;"."&amp;$B310)&amp;IF(INDEX(Variables!$D$5:$D$65,MATCH($A310,Variables!$A$5:$A$65,0))="","","."&amp;INDEX(Variables!$D$5:$D$65,MATCH($A310,Variables!$A$5:$A$65,0)))&amp;"."&amp;K$5</f>
        <v/>
      </c>
      <c r="L310" s="38">
        <f>L$10*$D310*INDEX(L$18:L$25,$E310)*INDEX(L$27:L$43,$F310)</f>
        <v/>
      </c>
      <c r="M310" s="36">
        <f>M$10*$D310*INDEX(M$18:M$25,$E310)*INDEX(M$27:M$43,$F310)</f>
        <v/>
      </c>
      <c r="N310" s="36">
        <f>N$10*$D310*INDEX(N$18:N$25,$E310)*INDEX(N$27:N$43,$F310)</f>
        <v/>
      </c>
      <c r="O310" s="36">
        <f>O$10*$D310*INDEX(O$18:O$25,$E310)*INDEX(O$27:O$43,$F310)</f>
        <v/>
      </c>
      <c r="P310" s="36">
        <f>P$10*$D310*INDEX(P$18:P$25,$E310)*INDEX(P$27:P$43,$F310)</f>
        <v/>
      </c>
      <c r="Q310" s="36">
        <f>Q$10*$D310*INDEX(Q$18:Q$25,$E310)*INDEX(Q$27:Q$43,$F310)</f>
        <v/>
      </c>
      <c r="R310" s="36">
        <f>R$10*$D310*INDEX(R$18:R$25,$E310)*INDEX(R$27:R$43,$F310)</f>
        <v/>
      </c>
      <c r="S310" s="36">
        <f>S$10*$D310*INDEX(S$18:S$25,$E310)*INDEX(S$27:S$43,$F310)</f>
        <v/>
      </c>
      <c r="T310" s="36">
        <f>T$10*$D310*INDEX(T$18:T$25,$E310)*INDEX(T$27:T$43,$F310)</f>
        <v/>
      </c>
      <c r="U310" s="36">
        <f>U$10*$D310*INDEX(U$18:U$25,$E310)*INDEX(U$27:U$43,$F310)</f>
        <v/>
      </c>
      <c r="V310" s="36">
        <f>V$10*$D310*INDEX(V$18:V$25,$E310)*INDEX(V$27:V$43,$F310)</f>
        <v/>
      </c>
      <c r="W310" s="36">
        <f>W$10*$D310*INDEX(W$18:W$25,$E310)*INDEX(W$27:W$43,$F310)</f>
        <v/>
      </c>
      <c r="X310" s="36">
        <f>X$10*$D310*INDEX(X$18:X$25,$E310)*INDEX(X$27:X$43,$F310)</f>
        <v/>
      </c>
      <c r="Y310" s="36">
        <f>Y$10*$D310*INDEX(Y$18:Y$25,$E310)*INDEX(Y$27:Y$43,$F310)</f>
        <v/>
      </c>
      <c r="Z310" s="23">
        <f>LOWER(Settings!$C$4)&amp;".mit."&amp;$A310&amp;IF($C310="","","."&amp;$C310&amp;"."&amp;$B310)&amp;IF(INDEX(Variables!$D$5:$D$65,MATCH($A310,Variables!$A$5:$A$65,0))="","","."&amp;INDEX(Variables!$D$5:$D$65,MATCH($A310,Variables!$A$5:$A$65,0)))&amp;"."&amp;Z$5</f>
        <v/>
      </c>
      <c r="AA310" s="38">
        <f>AA$10*$D310*INDEX(AA$18:AA$25,$E310)*INDEX(AA$27:AA$43,$F310)</f>
        <v/>
      </c>
      <c r="AB310" s="36">
        <f>AB$10*$D310*INDEX(AB$18:AB$25,$E310)*INDEX(AB$27:AB$43,$F310)</f>
        <v/>
      </c>
      <c r="AC310" s="36">
        <f>AC$10*$D310*INDEX(AC$18:AC$25,$E310)*INDEX(AC$27:AC$43,$F310)</f>
        <v/>
      </c>
      <c r="AD310" s="36">
        <f>AD$10*$D310*INDEX(AD$18:AD$25,$E310)*INDEX(AD$27:AD$43,$F310)</f>
        <v/>
      </c>
      <c r="AE310" s="36">
        <f>AE$10*$D310*INDEX(AE$18:AE$25,$E310)*INDEX(AE$27:AE$43,$F310)</f>
        <v/>
      </c>
      <c r="AF310" s="36">
        <f>AF$10*$D310*INDEX(AF$18:AF$25,$E310)*INDEX(AF$27:AF$43,$F310)</f>
        <v/>
      </c>
      <c r="AG310" s="36">
        <f>AG$10*$D310*INDEX(AG$18:AG$25,$E310)*INDEX(AG$27:AG$43,$F310)</f>
        <v/>
      </c>
      <c r="AH310" s="36">
        <f>AH$10*$D310*INDEX(AH$18:AH$25,$E310)*INDEX(AH$27:AH$43,$F310)</f>
        <v/>
      </c>
      <c r="AI310" s="36">
        <f>AI$10*$D310*INDEX(AI$18:AI$25,$E310)*INDEX(AI$27:AI$43,$F310)</f>
        <v/>
      </c>
      <c r="AJ310" s="36">
        <f>AJ$10*$D310*INDEX(AJ$18:AJ$25,$E310)*INDEX(AJ$27:AJ$43,$F310)</f>
        <v/>
      </c>
      <c r="AK310" s="36">
        <f>AK$10*$D310*INDEX(AK$18:AK$25,$E310)*INDEX(AK$27:AK$43,$F310)</f>
        <v/>
      </c>
      <c r="AL310" s="36">
        <f>AL$10*$D310*INDEX(AL$18:AL$25,$E310)*INDEX(AL$27:AL$43,$F310)</f>
        <v/>
      </c>
      <c r="AM310" s="36">
        <f>AM$10*$D310*INDEX(AM$18:AM$25,$E310)*INDEX(AM$27:AM$43,$F310)</f>
        <v/>
      </c>
      <c r="AN310" s="36">
        <f>AN$10*$D310*INDEX(AN$18:AN$25,$E310)*INDEX(AN$27:AN$43,$F310)</f>
        <v/>
      </c>
    </row>
    <row r="311" hidden="1" outlineLevel="2">
      <c r="A311" s="5" t="inlineStr">
        <is>
          <t>ctxnew</t>
        </is>
      </c>
      <c r="B311" s="5" t="inlineStr">
        <is>
          <t>lpg</t>
        </is>
      </c>
      <c r="C311" s="5" t="inlineStr">
        <is>
          <t>avi</t>
        </is>
      </c>
      <c r="D311" s="36">
        <f>INDEX(Inputs!$U$5:$U$132,MATCH($B311&amp;"|"&amp;$C311,Inputs!$A$5:$A$132,0))</f>
        <v/>
      </c>
      <c r="E311" s="36">
        <f>INDEX(Inputs!$J$5:$J$132,MATCH($B311&amp;"|"&amp;$C311,Inputs!$A$5:$A$132,0))</f>
        <v/>
      </c>
      <c r="F311" s="36">
        <f>INDEX(Inputs!$K$5:$K$132,MATCH($B311&amp;"|"&amp;$C311,Inputs!$A$5:$A$132,0))</f>
        <v/>
      </c>
      <c r="G311" s="37" t="n"/>
      <c r="H311" s="5">
        <f>INDEX(Variables!$B$5:$B$65,MATCH($A311,Variables!$A$5:$A$65,0))&amp;IF($C311="",""," | "&amp;INDEX(Mapping!$B$5:$B$25,MATCH($C311,Mapping!$A$5:$A$25,0))&amp;" | "&amp;INDEX(Mapping!$B$29:$B$38,MATCH($B311,Mapping!$A$29:$A$38,0)))</f>
        <v/>
      </c>
      <c r="I311" s="5">
        <f>INDEX(Variables!$C$5:$C$65,MATCH($A311,Variables!$A$5:$A$65,0))</f>
        <v/>
      </c>
      <c r="J311" s="5">
        <f>INDEX(Variables!$E$5:$E$65,MATCH($A311,Variables!$A$5:$A$65,0))</f>
        <v/>
      </c>
      <c r="K311" s="23">
        <f>LOWER(Settings!$C$4)&amp;".mit."&amp;$A311&amp;IF($C311="","","."&amp;$C311&amp;"."&amp;$B311)&amp;IF(INDEX(Variables!$D$5:$D$65,MATCH($A311,Variables!$A$5:$A$65,0))="","","."&amp;INDEX(Variables!$D$5:$D$65,MATCH($A311,Variables!$A$5:$A$65,0)))&amp;"."&amp;K$5</f>
        <v/>
      </c>
      <c r="L311" s="38">
        <f>L$10*$D311*INDEX(L$18:L$25,$E311)*INDEX(L$27:L$43,$F311)</f>
        <v/>
      </c>
      <c r="M311" s="36">
        <f>M$10*$D311*INDEX(M$18:M$25,$E311)*INDEX(M$27:M$43,$F311)</f>
        <v/>
      </c>
      <c r="N311" s="36">
        <f>N$10*$D311*INDEX(N$18:N$25,$E311)*INDEX(N$27:N$43,$F311)</f>
        <v/>
      </c>
      <c r="O311" s="36">
        <f>O$10*$D311*INDEX(O$18:O$25,$E311)*INDEX(O$27:O$43,$F311)</f>
        <v/>
      </c>
      <c r="P311" s="36">
        <f>P$10*$D311*INDEX(P$18:P$25,$E311)*INDEX(P$27:P$43,$F311)</f>
        <v/>
      </c>
      <c r="Q311" s="36">
        <f>Q$10*$D311*INDEX(Q$18:Q$25,$E311)*INDEX(Q$27:Q$43,$F311)</f>
        <v/>
      </c>
      <c r="R311" s="36">
        <f>R$10*$D311*INDEX(R$18:R$25,$E311)*INDEX(R$27:R$43,$F311)</f>
        <v/>
      </c>
      <c r="S311" s="36">
        <f>S$10*$D311*INDEX(S$18:S$25,$E311)*INDEX(S$27:S$43,$F311)</f>
        <v/>
      </c>
      <c r="T311" s="36">
        <f>T$10*$D311*INDEX(T$18:T$25,$E311)*INDEX(T$27:T$43,$F311)</f>
        <v/>
      </c>
      <c r="U311" s="36">
        <f>U$10*$D311*INDEX(U$18:U$25,$E311)*INDEX(U$27:U$43,$F311)</f>
        <v/>
      </c>
      <c r="V311" s="36">
        <f>V$10*$D311*INDEX(V$18:V$25,$E311)*INDEX(V$27:V$43,$F311)</f>
        <v/>
      </c>
      <c r="W311" s="36">
        <f>W$10*$D311*INDEX(W$18:W$25,$E311)*INDEX(W$27:W$43,$F311)</f>
        <v/>
      </c>
      <c r="X311" s="36">
        <f>X$10*$D311*INDEX(X$18:X$25,$E311)*INDEX(X$27:X$43,$F311)</f>
        <v/>
      </c>
      <c r="Y311" s="36">
        <f>Y$10*$D311*INDEX(Y$18:Y$25,$E311)*INDEX(Y$27:Y$43,$F311)</f>
        <v/>
      </c>
      <c r="Z311" s="23">
        <f>LOWER(Settings!$C$4)&amp;".mit."&amp;$A311&amp;IF($C311="","","."&amp;$C311&amp;"."&amp;$B311)&amp;IF(INDEX(Variables!$D$5:$D$65,MATCH($A311,Variables!$A$5:$A$65,0))="","","."&amp;INDEX(Variables!$D$5:$D$65,MATCH($A311,Variables!$A$5:$A$65,0)))&amp;"."&amp;Z$5</f>
        <v/>
      </c>
      <c r="AA311" s="38">
        <f>AA$10*$D311*INDEX(AA$18:AA$25,$E311)*INDEX(AA$27:AA$43,$F311)</f>
        <v/>
      </c>
      <c r="AB311" s="36">
        <f>AB$10*$D311*INDEX(AB$18:AB$25,$E311)*INDEX(AB$27:AB$43,$F311)</f>
        <v/>
      </c>
      <c r="AC311" s="36">
        <f>AC$10*$D311*INDEX(AC$18:AC$25,$E311)*INDEX(AC$27:AC$43,$F311)</f>
        <v/>
      </c>
      <c r="AD311" s="36">
        <f>AD$10*$D311*INDEX(AD$18:AD$25,$E311)*INDEX(AD$27:AD$43,$F311)</f>
        <v/>
      </c>
      <c r="AE311" s="36">
        <f>AE$10*$D311*INDEX(AE$18:AE$25,$E311)*INDEX(AE$27:AE$43,$F311)</f>
        <v/>
      </c>
      <c r="AF311" s="36">
        <f>AF$10*$D311*INDEX(AF$18:AF$25,$E311)*INDEX(AF$27:AF$43,$F311)</f>
        <v/>
      </c>
      <c r="AG311" s="36">
        <f>AG$10*$D311*INDEX(AG$18:AG$25,$E311)*INDEX(AG$27:AG$43,$F311)</f>
        <v/>
      </c>
      <c r="AH311" s="36">
        <f>AH$10*$D311*INDEX(AH$18:AH$25,$E311)*INDEX(AH$27:AH$43,$F311)</f>
        <v/>
      </c>
      <c r="AI311" s="36">
        <f>AI$10*$D311*INDEX(AI$18:AI$25,$E311)*INDEX(AI$27:AI$43,$F311)</f>
        <v/>
      </c>
      <c r="AJ311" s="36">
        <f>AJ$10*$D311*INDEX(AJ$18:AJ$25,$E311)*INDEX(AJ$27:AJ$43,$F311)</f>
        <v/>
      </c>
      <c r="AK311" s="36">
        <f>AK$10*$D311*INDEX(AK$18:AK$25,$E311)*INDEX(AK$27:AK$43,$F311)</f>
        <v/>
      </c>
      <c r="AL311" s="36">
        <f>AL$10*$D311*INDEX(AL$18:AL$25,$E311)*INDEX(AL$27:AL$43,$F311)</f>
        <v/>
      </c>
      <c r="AM311" s="36">
        <f>AM$10*$D311*INDEX(AM$18:AM$25,$E311)*INDEX(AM$27:AM$43,$F311)</f>
        <v/>
      </c>
      <c r="AN311" s="36">
        <f>AN$10*$D311*INDEX(AN$18:AN$25,$E311)*INDEX(AN$27:AN$43,$F311)</f>
        <v/>
      </c>
    </row>
    <row r="312" hidden="1" outlineLevel="2">
      <c r="A312" s="5" t="inlineStr">
        <is>
          <t>ctxnew</t>
        </is>
      </c>
      <c r="B312" s="5" t="inlineStr">
        <is>
          <t>ker</t>
        </is>
      </c>
      <c r="C312" s="5" t="inlineStr">
        <is>
          <t>avi</t>
        </is>
      </c>
      <c r="D312" s="36">
        <f>INDEX(Inputs!$U$5:$U$132,MATCH($B312&amp;"|"&amp;$C312,Inputs!$A$5:$A$132,0))</f>
        <v/>
      </c>
      <c r="E312" s="36">
        <f>INDEX(Inputs!$J$5:$J$132,MATCH($B312&amp;"|"&amp;$C312,Inputs!$A$5:$A$132,0))</f>
        <v/>
      </c>
      <c r="F312" s="36">
        <f>INDEX(Inputs!$K$5:$K$132,MATCH($B312&amp;"|"&amp;$C312,Inputs!$A$5:$A$132,0))</f>
        <v/>
      </c>
      <c r="G312" s="37" t="n"/>
      <c r="H312" s="5">
        <f>INDEX(Variables!$B$5:$B$65,MATCH($A312,Variables!$A$5:$A$65,0))&amp;IF($C312="",""," | "&amp;INDEX(Mapping!$B$5:$B$25,MATCH($C312,Mapping!$A$5:$A$25,0))&amp;" | "&amp;INDEX(Mapping!$B$29:$B$38,MATCH($B312,Mapping!$A$29:$A$38,0)))</f>
        <v/>
      </c>
      <c r="I312" s="5">
        <f>INDEX(Variables!$C$5:$C$65,MATCH($A312,Variables!$A$5:$A$65,0))</f>
        <v/>
      </c>
      <c r="J312" s="5">
        <f>INDEX(Variables!$E$5:$E$65,MATCH($A312,Variables!$A$5:$A$65,0))</f>
        <v/>
      </c>
      <c r="K312" s="23">
        <f>LOWER(Settings!$C$4)&amp;".mit."&amp;$A312&amp;IF($C312="","","."&amp;$C312&amp;"."&amp;$B312)&amp;IF(INDEX(Variables!$D$5:$D$65,MATCH($A312,Variables!$A$5:$A$65,0))="","","."&amp;INDEX(Variables!$D$5:$D$65,MATCH($A312,Variables!$A$5:$A$65,0)))&amp;"."&amp;K$5</f>
        <v/>
      </c>
      <c r="L312" s="38">
        <f>L$10*$D312*INDEX(L$18:L$25,$E312)*INDEX(L$27:L$43,$F312)</f>
        <v/>
      </c>
      <c r="M312" s="36">
        <f>M$10*$D312*INDEX(M$18:M$25,$E312)*INDEX(M$27:M$43,$F312)</f>
        <v/>
      </c>
      <c r="N312" s="36">
        <f>N$10*$D312*INDEX(N$18:N$25,$E312)*INDEX(N$27:N$43,$F312)</f>
        <v/>
      </c>
      <c r="O312" s="36">
        <f>O$10*$D312*INDEX(O$18:O$25,$E312)*INDEX(O$27:O$43,$F312)</f>
        <v/>
      </c>
      <c r="P312" s="36">
        <f>P$10*$D312*INDEX(P$18:P$25,$E312)*INDEX(P$27:P$43,$F312)</f>
        <v/>
      </c>
      <c r="Q312" s="36">
        <f>Q$10*$D312*INDEX(Q$18:Q$25,$E312)*INDEX(Q$27:Q$43,$F312)</f>
        <v/>
      </c>
      <c r="R312" s="36">
        <f>R$10*$D312*INDEX(R$18:R$25,$E312)*INDEX(R$27:R$43,$F312)</f>
        <v/>
      </c>
      <c r="S312" s="36">
        <f>S$10*$D312*INDEX(S$18:S$25,$E312)*INDEX(S$27:S$43,$F312)</f>
        <v/>
      </c>
      <c r="T312" s="36">
        <f>T$10*$D312*INDEX(T$18:T$25,$E312)*INDEX(T$27:T$43,$F312)</f>
        <v/>
      </c>
      <c r="U312" s="36">
        <f>U$10*$D312*INDEX(U$18:U$25,$E312)*INDEX(U$27:U$43,$F312)</f>
        <v/>
      </c>
      <c r="V312" s="36">
        <f>V$10*$D312*INDEX(V$18:V$25,$E312)*INDEX(V$27:V$43,$F312)</f>
        <v/>
      </c>
      <c r="W312" s="36">
        <f>W$10*$D312*INDEX(W$18:W$25,$E312)*INDEX(W$27:W$43,$F312)</f>
        <v/>
      </c>
      <c r="X312" s="36">
        <f>X$10*$D312*INDEX(X$18:X$25,$E312)*INDEX(X$27:X$43,$F312)</f>
        <v/>
      </c>
      <c r="Y312" s="36">
        <f>Y$10*$D312*INDEX(Y$18:Y$25,$E312)*INDEX(Y$27:Y$43,$F312)</f>
        <v/>
      </c>
      <c r="Z312" s="23">
        <f>LOWER(Settings!$C$4)&amp;".mit."&amp;$A312&amp;IF($C312="","","."&amp;$C312&amp;"."&amp;$B312)&amp;IF(INDEX(Variables!$D$5:$D$65,MATCH($A312,Variables!$A$5:$A$65,0))="","","."&amp;INDEX(Variables!$D$5:$D$65,MATCH($A312,Variables!$A$5:$A$65,0)))&amp;"."&amp;Z$5</f>
        <v/>
      </c>
      <c r="AA312" s="38">
        <f>AA$10*$D312*INDEX(AA$18:AA$25,$E312)*INDEX(AA$27:AA$43,$F312)</f>
        <v/>
      </c>
      <c r="AB312" s="36">
        <f>AB$10*$D312*INDEX(AB$18:AB$25,$E312)*INDEX(AB$27:AB$43,$F312)</f>
        <v/>
      </c>
      <c r="AC312" s="36">
        <f>AC$10*$D312*INDEX(AC$18:AC$25,$E312)*INDEX(AC$27:AC$43,$F312)</f>
        <v/>
      </c>
      <c r="AD312" s="36">
        <f>AD$10*$D312*INDEX(AD$18:AD$25,$E312)*INDEX(AD$27:AD$43,$F312)</f>
        <v/>
      </c>
      <c r="AE312" s="36">
        <f>AE$10*$D312*INDEX(AE$18:AE$25,$E312)*INDEX(AE$27:AE$43,$F312)</f>
        <v/>
      </c>
      <c r="AF312" s="36">
        <f>AF$10*$D312*INDEX(AF$18:AF$25,$E312)*INDEX(AF$27:AF$43,$F312)</f>
        <v/>
      </c>
      <c r="AG312" s="36">
        <f>AG$10*$D312*INDEX(AG$18:AG$25,$E312)*INDEX(AG$27:AG$43,$F312)</f>
        <v/>
      </c>
      <c r="AH312" s="36">
        <f>AH$10*$D312*INDEX(AH$18:AH$25,$E312)*INDEX(AH$27:AH$43,$F312)</f>
        <v/>
      </c>
      <c r="AI312" s="36">
        <f>AI$10*$D312*INDEX(AI$18:AI$25,$E312)*INDEX(AI$27:AI$43,$F312)</f>
        <v/>
      </c>
      <c r="AJ312" s="36">
        <f>AJ$10*$D312*INDEX(AJ$18:AJ$25,$E312)*INDEX(AJ$27:AJ$43,$F312)</f>
        <v/>
      </c>
      <c r="AK312" s="36">
        <f>AK$10*$D312*INDEX(AK$18:AK$25,$E312)*INDEX(AK$27:AK$43,$F312)</f>
        <v/>
      </c>
      <c r="AL312" s="36">
        <f>AL$10*$D312*INDEX(AL$18:AL$25,$E312)*INDEX(AL$27:AL$43,$F312)</f>
        <v/>
      </c>
      <c r="AM312" s="36">
        <f>AM$10*$D312*INDEX(AM$18:AM$25,$E312)*INDEX(AM$27:AM$43,$F312)</f>
        <v/>
      </c>
      <c r="AN312" s="36">
        <f>AN$10*$D312*INDEX(AN$18:AN$25,$E312)*INDEX(AN$27:AN$43,$F312)</f>
        <v/>
      </c>
    </row>
    <row r="313" hidden="1" outlineLevel="2">
      <c r="A313" s="5" t="inlineStr">
        <is>
          <t>ctxnew</t>
        </is>
      </c>
      <c r="B313" s="5" t="inlineStr">
        <is>
          <t>oop</t>
        </is>
      </c>
      <c r="C313" s="5" t="inlineStr">
        <is>
          <t>avi</t>
        </is>
      </c>
      <c r="D313" s="36">
        <f>INDEX(Inputs!$U$5:$U$132,MATCH($B313&amp;"|"&amp;$C313,Inputs!$A$5:$A$132,0))</f>
        <v/>
      </c>
      <c r="E313" s="36">
        <f>INDEX(Inputs!$J$5:$J$132,MATCH($B313&amp;"|"&amp;$C313,Inputs!$A$5:$A$132,0))</f>
        <v/>
      </c>
      <c r="F313" s="36">
        <f>INDEX(Inputs!$K$5:$K$132,MATCH($B313&amp;"|"&amp;$C313,Inputs!$A$5:$A$132,0))</f>
        <v/>
      </c>
      <c r="G313" s="37" t="n"/>
      <c r="H313" s="5">
        <f>INDEX(Variables!$B$5:$B$65,MATCH($A313,Variables!$A$5:$A$65,0))&amp;IF($C313="",""," | "&amp;INDEX(Mapping!$B$5:$B$25,MATCH($C313,Mapping!$A$5:$A$25,0))&amp;" | "&amp;INDEX(Mapping!$B$29:$B$38,MATCH($B313,Mapping!$A$29:$A$38,0)))</f>
        <v/>
      </c>
      <c r="I313" s="5">
        <f>INDEX(Variables!$C$5:$C$65,MATCH($A313,Variables!$A$5:$A$65,0))</f>
        <v/>
      </c>
      <c r="J313" s="5">
        <f>INDEX(Variables!$E$5:$E$65,MATCH($A313,Variables!$A$5:$A$65,0))</f>
        <v/>
      </c>
      <c r="K313" s="23">
        <f>LOWER(Settings!$C$4)&amp;".mit."&amp;$A313&amp;IF($C313="","","."&amp;$C313&amp;"."&amp;$B313)&amp;IF(INDEX(Variables!$D$5:$D$65,MATCH($A313,Variables!$A$5:$A$65,0))="","","."&amp;INDEX(Variables!$D$5:$D$65,MATCH($A313,Variables!$A$5:$A$65,0)))&amp;"."&amp;K$5</f>
        <v/>
      </c>
      <c r="L313" s="38">
        <f>L$10*$D313*INDEX(L$18:L$25,$E313)*INDEX(L$27:L$43,$F313)</f>
        <v/>
      </c>
      <c r="M313" s="36">
        <f>M$10*$D313*INDEX(M$18:M$25,$E313)*INDEX(M$27:M$43,$F313)</f>
        <v/>
      </c>
      <c r="N313" s="36">
        <f>N$10*$D313*INDEX(N$18:N$25,$E313)*INDEX(N$27:N$43,$F313)</f>
        <v/>
      </c>
      <c r="O313" s="36">
        <f>O$10*$D313*INDEX(O$18:O$25,$E313)*INDEX(O$27:O$43,$F313)</f>
        <v/>
      </c>
      <c r="P313" s="36">
        <f>P$10*$D313*INDEX(P$18:P$25,$E313)*INDEX(P$27:P$43,$F313)</f>
        <v/>
      </c>
      <c r="Q313" s="36">
        <f>Q$10*$D313*INDEX(Q$18:Q$25,$E313)*INDEX(Q$27:Q$43,$F313)</f>
        <v/>
      </c>
      <c r="R313" s="36">
        <f>R$10*$D313*INDEX(R$18:R$25,$E313)*INDEX(R$27:R$43,$F313)</f>
        <v/>
      </c>
      <c r="S313" s="36">
        <f>S$10*$D313*INDEX(S$18:S$25,$E313)*INDEX(S$27:S$43,$F313)</f>
        <v/>
      </c>
      <c r="T313" s="36">
        <f>T$10*$D313*INDEX(T$18:T$25,$E313)*INDEX(T$27:T$43,$F313)</f>
        <v/>
      </c>
      <c r="U313" s="36">
        <f>U$10*$D313*INDEX(U$18:U$25,$E313)*INDEX(U$27:U$43,$F313)</f>
        <v/>
      </c>
      <c r="V313" s="36">
        <f>V$10*$D313*INDEX(V$18:V$25,$E313)*INDEX(V$27:V$43,$F313)</f>
        <v/>
      </c>
      <c r="W313" s="36">
        <f>W$10*$D313*INDEX(W$18:W$25,$E313)*INDEX(W$27:W$43,$F313)</f>
        <v/>
      </c>
      <c r="X313" s="36">
        <f>X$10*$D313*INDEX(X$18:X$25,$E313)*INDEX(X$27:X$43,$F313)</f>
        <v/>
      </c>
      <c r="Y313" s="36">
        <f>Y$10*$D313*INDEX(Y$18:Y$25,$E313)*INDEX(Y$27:Y$43,$F313)</f>
        <v/>
      </c>
      <c r="Z313" s="23">
        <f>LOWER(Settings!$C$4)&amp;".mit."&amp;$A313&amp;IF($C313="","","."&amp;$C313&amp;"."&amp;$B313)&amp;IF(INDEX(Variables!$D$5:$D$65,MATCH($A313,Variables!$A$5:$A$65,0))="","","."&amp;INDEX(Variables!$D$5:$D$65,MATCH($A313,Variables!$A$5:$A$65,0)))&amp;"."&amp;Z$5</f>
        <v/>
      </c>
      <c r="AA313" s="38">
        <f>AA$10*$D313*INDEX(AA$18:AA$25,$E313)*INDEX(AA$27:AA$43,$F313)</f>
        <v/>
      </c>
      <c r="AB313" s="36">
        <f>AB$10*$D313*INDEX(AB$18:AB$25,$E313)*INDEX(AB$27:AB$43,$F313)</f>
        <v/>
      </c>
      <c r="AC313" s="36">
        <f>AC$10*$D313*INDEX(AC$18:AC$25,$E313)*INDEX(AC$27:AC$43,$F313)</f>
        <v/>
      </c>
      <c r="AD313" s="36">
        <f>AD$10*$D313*INDEX(AD$18:AD$25,$E313)*INDEX(AD$27:AD$43,$F313)</f>
        <v/>
      </c>
      <c r="AE313" s="36">
        <f>AE$10*$D313*INDEX(AE$18:AE$25,$E313)*INDEX(AE$27:AE$43,$F313)</f>
        <v/>
      </c>
      <c r="AF313" s="36">
        <f>AF$10*$D313*INDEX(AF$18:AF$25,$E313)*INDEX(AF$27:AF$43,$F313)</f>
        <v/>
      </c>
      <c r="AG313" s="36">
        <f>AG$10*$D313*INDEX(AG$18:AG$25,$E313)*INDEX(AG$27:AG$43,$F313)</f>
        <v/>
      </c>
      <c r="AH313" s="36">
        <f>AH$10*$D313*INDEX(AH$18:AH$25,$E313)*INDEX(AH$27:AH$43,$F313)</f>
        <v/>
      </c>
      <c r="AI313" s="36">
        <f>AI$10*$D313*INDEX(AI$18:AI$25,$E313)*INDEX(AI$27:AI$43,$F313)</f>
        <v/>
      </c>
      <c r="AJ313" s="36">
        <f>AJ$10*$D313*INDEX(AJ$18:AJ$25,$E313)*INDEX(AJ$27:AJ$43,$F313)</f>
        <v/>
      </c>
      <c r="AK313" s="36">
        <f>AK$10*$D313*INDEX(AK$18:AK$25,$E313)*INDEX(AK$27:AK$43,$F313)</f>
        <v/>
      </c>
      <c r="AL313" s="36">
        <f>AL$10*$D313*INDEX(AL$18:AL$25,$E313)*INDEX(AL$27:AL$43,$F313)</f>
        <v/>
      </c>
      <c r="AM313" s="36">
        <f>AM$10*$D313*INDEX(AM$18:AM$25,$E313)*INDEX(AM$27:AM$43,$F313)</f>
        <v/>
      </c>
      <c r="AN313" s="36">
        <f>AN$10*$D313*INDEX(AN$18:AN$25,$E313)*INDEX(AN$27:AN$43,$F313)</f>
        <v/>
      </c>
    </row>
    <row r="314" hidden="1" outlineLevel="2">
      <c r="A314" s="5" t="inlineStr">
        <is>
          <t>ctxnew</t>
        </is>
      </c>
      <c r="B314" s="5" t="inlineStr">
        <is>
          <t>bio</t>
        </is>
      </c>
      <c r="C314" s="5" t="inlineStr">
        <is>
          <t>avi</t>
        </is>
      </c>
      <c r="D314" s="36">
        <f>INDEX(Inputs!$U$5:$U$132,MATCH($B314&amp;"|"&amp;$C314,Inputs!$A$5:$A$132,0))</f>
        <v/>
      </c>
      <c r="E314" s="36">
        <f>INDEX(Inputs!$J$5:$J$132,MATCH($B314&amp;"|"&amp;$C314,Inputs!$A$5:$A$132,0))</f>
        <v/>
      </c>
      <c r="F314" s="36">
        <f>INDEX(Inputs!$K$5:$K$132,MATCH($B314&amp;"|"&amp;$C314,Inputs!$A$5:$A$132,0))</f>
        <v/>
      </c>
      <c r="G314" s="37" t="n"/>
      <c r="H314" s="5">
        <f>INDEX(Variables!$B$5:$B$65,MATCH($A314,Variables!$A$5:$A$65,0))&amp;IF($C314="",""," | "&amp;INDEX(Mapping!$B$5:$B$25,MATCH($C314,Mapping!$A$5:$A$25,0))&amp;" | "&amp;INDEX(Mapping!$B$29:$B$38,MATCH($B314,Mapping!$A$29:$A$38,0)))</f>
        <v/>
      </c>
      <c r="I314" s="5">
        <f>INDEX(Variables!$C$5:$C$65,MATCH($A314,Variables!$A$5:$A$65,0))</f>
        <v/>
      </c>
      <c r="J314" s="5">
        <f>INDEX(Variables!$E$5:$E$65,MATCH($A314,Variables!$A$5:$A$65,0))</f>
        <v/>
      </c>
      <c r="K314" s="23">
        <f>LOWER(Settings!$C$4)&amp;".mit."&amp;$A314&amp;IF($C314="","","."&amp;$C314&amp;"."&amp;$B314)&amp;IF(INDEX(Variables!$D$5:$D$65,MATCH($A314,Variables!$A$5:$A$65,0))="","","."&amp;INDEX(Variables!$D$5:$D$65,MATCH($A314,Variables!$A$5:$A$65,0)))&amp;"."&amp;K$5</f>
        <v/>
      </c>
      <c r="L314" s="38">
        <f>L$10*$D314*INDEX(L$18:L$25,$E314)*INDEX(L$27:L$43,$F314)</f>
        <v/>
      </c>
      <c r="M314" s="36">
        <f>M$10*$D314*INDEX(M$18:M$25,$E314)*INDEX(M$27:M$43,$F314)</f>
        <v/>
      </c>
      <c r="N314" s="36">
        <f>N$10*$D314*INDEX(N$18:N$25,$E314)*INDEX(N$27:N$43,$F314)</f>
        <v/>
      </c>
      <c r="O314" s="36">
        <f>O$10*$D314*INDEX(O$18:O$25,$E314)*INDEX(O$27:O$43,$F314)</f>
        <v/>
      </c>
      <c r="P314" s="36">
        <f>P$10*$D314*INDEX(P$18:P$25,$E314)*INDEX(P$27:P$43,$F314)</f>
        <v/>
      </c>
      <c r="Q314" s="36">
        <f>Q$10*$D314*INDEX(Q$18:Q$25,$E314)*INDEX(Q$27:Q$43,$F314)</f>
        <v/>
      </c>
      <c r="R314" s="36">
        <f>R$10*$D314*INDEX(R$18:R$25,$E314)*INDEX(R$27:R$43,$F314)</f>
        <v/>
      </c>
      <c r="S314" s="36">
        <f>S$10*$D314*INDEX(S$18:S$25,$E314)*INDEX(S$27:S$43,$F314)</f>
        <v/>
      </c>
      <c r="T314" s="36">
        <f>T$10*$D314*INDEX(T$18:T$25,$E314)*INDEX(T$27:T$43,$F314)</f>
        <v/>
      </c>
      <c r="U314" s="36">
        <f>U$10*$D314*INDEX(U$18:U$25,$E314)*INDEX(U$27:U$43,$F314)</f>
        <v/>
      </c>
      <c r="V314" s="36">
        <f>V$10*$D314*INDEX(V$18:V$25,$E314)*INDEX(V$27:V$43,$F314)</f>
        <v/>
      </c>
      <c r="W314" s="36">
        <f>W$10*$D314*INDEX(W$18:W$25,$E314)*INDEX(W$27:W$43,$F314)</f>
        <v/>
      </c>
      <c r="X314" s="36">
        <f>X$10*$D314*INDEX(X$18:X$25,$E314)*INDEX(X$27:X$43,$F314)</f>
        <v/>
      </c>
      <c r="Y314" s="36">
        <f>Y$10*$D314*INDEX(Y$18:Y$25,$E314)*INDEX(Y$27:Y$43,$F314)</f>
        <v/>
      </c>
      <c r="Z314" s="23">
        <f>LOWER(Settings!$C$4)&amp;".mit."&amp;$A314&amp;IF($C314="","","."&amp;$C314&amp;"."&amp;$B314)&amp;IF(INDEX(Variables!$D$5:$D$65,MATCH($A314,Variables!$A$5:$A$65,0))="","","."&amp;INDEX(Variables!$D$5:$D$65,MATCH($A314,Variables!$A$5:$A$65,0)))&amp;"."&amp;Z$5</f>
        <v/>
      </c>
      <c r="AA314" s="38">
        <f>AA$10*$D314*INDEX(AA$18:AA$25,$E314)*INDEX(AA$27:AA$43,$F314)</f>
        <v/>
      </c>
      <c r="AB314" s="36">
        <f>AB$10*$D314*INDEX(AB$18:AB$25,$E314)*INDEX(AB$27:AB$43,$F314)</f>
        <v/>
      </c>
      <c r="AC314" s="36">
        <f>AC$10*$D314*INDEX(AC$18:AC$25,$E314)*INDEX(AC$27:AC$43,$F314)</f>
        <v/>
      </c>
      <c r="AD314" s="36">
        <f>AD$10*$D314*INDEX(AD$18:AD$25,$E314)*INDEX(AD$27:AD$43,$F314)</f>
        <v/>
      </c>
      <c r="AE314" s="36">
        <f>AE$10*$D314*INDEX(AE$18:AE$25,$E314)*INDEX(AE$27:AE$43,$F314)</f>
        <v/>
      </c>
      <c r="AF314" s="36">
        <f>AF$10*$D314*INDEX(AF$18:AF$25,$E314)*INDEX(AF$27:AF$43,$F314)</f>
        <v/>
      </c>
      <c r="AG314" s="36">
        <f>AG$10*$D314*INDEX(AG$18:AG$25,$E314)*INDEX(AG$27:AG$43,$F314)</f>
        <v/>
      </c>
      <c r="AH314" s="36">
        <f>AH$10*$D314*INDEX(AH$18:AH$25,$E314)*INDEX(AH$27:AH$43,$F314)</f>
        <v/>
      </c>
      <c r="AI314" s="36">
        <f>AI$10*$D314*INDEX(AI$18:AI$25,$E314)*INDEX(AI$27:AI$43,$F314)</f>
        <v/>
      </c>
      <c r="AJ314" s="36">
        <f>AJ$10*$D314*INDEX(AJ$18:AJ$25,$E314)*INDEX(AJ$27:AJ$43,$F314)</f>
        <v/>
      </c>
      <c r="AK314" s="36">
        <f>AK$10*$D314*INDEX(AK$18:AK$25,$E314)*INDEX(AK$27:AK$43,$F314)</f>
        <v/>
      </c>
      <c r="AL314" s="36">
        <f>AL$10*$D314*INDEX(AL$18:AL$25,$E314)*INDEX(AL$27:AL$43,$F314)</f>
        <v/>
      </c>
      <c r="AM314" s="36">
        <f>AM$10*$D314*INDEX(AM$18:AM$25,$E314)*INDEX(AM$27:AM$43,$F314)</f>
        <v/>
      </c>
      <c r="AN314" s="36">
        <f>AN$10*$D314*INDEX(AN$18:AN$25,$E314)*INDEX(AN$27:AN$43,$F314)</f>
        <v/>
      </c>
    </row>
    <row r="315" hidden="1" outlineLevel="2"/>
    <row r="316" hidden="1" outlineLevel="2">
      <c r="A316" s="5" t="inlineStr">
        <is>
          <t>ntx</t>
        </is>
      </c>
      <c r="B316" s="5" t="inlineStr">
        <is>
          <t>coa</t>
        </is>
      </c>
      <c r="C316" s="5" t="inlineStr">
        <is>
          <t>avi</t>
        </is>
      </c>
      <c r="D316" s="36">
        <f>INDEX(Inputs!$L$5:$L$132,MATCH($B316&amp;"|"&amp;$C316,Inputs!$A$5:$A$132,0))</f>
        <v/>
      </c>
      <c r="E316" s="36">
        <f>INDEX(Inputs!$I$5:$I$132,MATCH($B316&amp;"|"&amp;$C316,Inputs!$A$5:$A$132,0))</f>
        <v/>
      </c>
      <c r="F316" s="37" t="n"/>
      <c r="G316" s="37" t="n"/>
      <c r="H316" s="5">
        <f>INDEX(Variables!$B$5:$B$65,MATCH($A316,Variables!$A$5:$A$65,0))&amp;IF($C316="",""," | "&amp;INDEX(Mapping!$B$5:$B$25,MATCH($C316,Mapping!$A$5:$A$25,0))&amp;" | "&amp;INDEX(Mapping!$B$29:$B$38,MATCH($B316,Mapping!$A$29:$A$38,0)))</f>
        <v/>
      </c>
      <c r="I316" s="5">
        <f>INDEX(Variables!$C$5:$C$65,MATCH($A316,Variables!$A$5:$A$65,0))</f>
        <v/>
      </c>
      <c r="J316" s="5">
        <f>INDEX(Variables!$E$5:$E$65,MATCH($A316,Variables!$A$5:$A$65,0))</f>
        <v/>
      </c>
      <c r="K316" s="23">
        <f>LOWER(Settings!$C$4)&amp;".mit."&amp;$A316&amp;IF($C316="","","."&amp;$C316&amp;"."&amp;$B316)&amp;IF(INDEX(Variables!$D$5:$D$65,MATCH($A316,Variables!$A$5:$A$65,0))="","","."&amp;INDEX(Variables!$D$5:$D$65,MATCH($A316,Variables!$A$5:$A$65,0)))&amp;"."&amp;K$5</f>
        <v/>
      </c>
      <c r="L316" s="38">
        <f>INDEX(L$75:L$88,$D316)/$E316</f>
        <v/>
      </c>
      <c r="M316" s="36">
        <f>INDEX(M$75:M$88,$D316)/$E316</f>
        <v/>
      </c>
      <c r="N316" s="36">
        <f>INDEX(N$75:N$88,$D316)/$E316</f>
        <v/>
      </c>
      <c r="O316" s="36">
        <f>INDEX(O$75:O$88,$D316)/$E316</f>
        <v/>
      </c>
      <c r="P316" s="36">
        <f>INDEX(P$75:P$88,$D316)/$E316</f>
        <v/>
      </c>
      <c r="Q316" s="36">
        <f>INDEX(Q$75:Q$88,$D316)/$E316</f>
        <v/>
      </c>
      <c r="R316" s="36">
        <f>INDEX(R$75:R$88,$D316)/$E316</f>
        <v/>
      </c>
      <c r="S316" s="36">
        <f>INDEX(S$75:S$88,$D316)/$E316</f>
        <v/>
      </c>
      <c r="T316" s="36">
        <f>INDEX(T$75:T$88,$D316)/$E316</f>
        <v/>
      </c>
      <c r="U316" s="36">
        <f>INDEX(U$75:U$88,$D316)/$E316</f>
        <v/>
      </c>
      <c r="V316" s="36">
        <f>INDEX(V$75:V$88,$D316)/$E316</f>
        <v/>
      </c>
      <c r="W316" s="36">
        <f>INDEX(W$75:W$88,$D316)/$E316</f>
        <v/>
      </c>
      <c r="X316" s="36">
        <f>INDEX(X$75:X$88,$D316)/$E316</f>
        <v/>
      </c>
      <c r="Y316" s="36">
        <f>INDEX(Y$75:Y$88,$D316)/$E316</f>
        <v/>
      </c>
      <c r="Z316" s="23">
        <f>LOWER(Settings!$C$4)&amp;".mit."&amp;$A316&amp;IF($C316="","","."&amp;$C316&amp;"."&amp;$B316)&amp;IF(INDEX(Variables!$D$5:$D$65,MATCH($A316,Variables!$A$5:$A$65,0))="","","."&amp;INDEX(Variables!$D$5:$D$65,MATCH($A316,Variables!$A$5:$A$65,0)))&amp;"."&amp;Z$5</f>
        <v/>
      </c>
      <c r="AA316" s="38">
        <f>INDEX(AA$75:AA$88,$D316)/$E316</f>
        <v/>
      </c>
      <c r="AB316" s="36">
        <f>INDEX(AB$75:AB$88,$D316)/$E316</f>
        <v/>
      </c>
      <c r="AC316" s="36">
        <f>INDEX(AC$75:AC$88,$D316)/$E316</f>
        <v/>
      </c>
      <c r="AD316" s="36">
        <f>INDEX(AD$75:AD$88,$D316)/$E316</f>
        <v/>
      </c>
      <c r="AE316" s="36">
        <f>INDEX(AE$75:AE$88,$D316)/$E316</f>
        <v/>
      </c>
      <c r="AF316" s="36">
        <f>INDEX(AF$75:AF$88,$D316)/$E316</f>
        <v/>
      </c>
      <c r="AG316" s="36">
        <f>INDEX(AG$75:AG$88,$D316)/$E316</f>
        <v/>
      </c>
      <c r="AH316" s="36">
        <f>INDEX(AH$75:AH$88,$D316)/$E316</f>
        <v/>
      </c>
      <c r="AI316" s="36">
        <f>INDEX(AI$75:AI$88,$D316)/$E316</f>
        <v/>
      </c>
      <c r="AJ316" s="36">
        <f>INDEX(AJ$75:AJ$88,$D316)/$E316</f>
        <v/>
      </c>
      <c r="AK316" s="36">
        <f>INDEX(AK$75:AK$88,$D316)/$E316</f>
        <v/>
      </c>
      <c r="AL316" s="36">
        <f>INDEX(AL$75:AL$88,$D316)/$E316</f>
        <v/>
      </c>
      <c r="AM316" s="36">
        <f>INDEX(AM$75:AM$88,$D316)/$E316</f>
        <v/>
      </c>
      <c r="AN316" s="36">
        <f>INDEX(AN$75:AN$88,$D316)/$E316</f>
        <v/>
      </c>
    </row>
    <row r="317" hidden="1" outlineLevel="2">
      <c r="A317" s="5" t="inlineStr">
        <is>
          <t>ntx</t>
        </is>
      </c>
      <c r="B317" s="5" t="inlineStr">
        <is>
          <t>nga</t>
        </is>
      </c>
      <c r="C317" s="5" t="inlineStr">
        <is>
          <t>avi</t>
        </is>
      </c>
      <c r="D317" s="36">
        <f>INDEX(Inputs!$L$5:$L$132,MATCH($B317&amp;"|"&amp;$C317,Inputs!$A$5:$A$132,0))</f>
        <v/>
      </c>
      <c r="E317" s="36">
        <f>INDEX(Inputs!$I$5:$I$132,MATCH($B317&amp;"|"&amp;$C317,Inputs!$A$5:$A$132,0))</f>
        <v/>
      </c>
      <c r="F317" s="37" t="n"/>
      <c r="G317" s="37" t="n"/>
      <c r="H317" s="5">
        <f>INDEX(Variables!$B$5:$B$65,MATCH($A317,Variables!$A$5:$A$65,0))&amp;IF($C317="",""," | "&amp;INDEX(Mapping!$B$5:$B$25,MATCH($C317,Mapping!$A$5:$A$25,0))&amp;" | "&amp;INDEX(Mapping!$B$29:$B$38,MATCH($B317,Mapping!$A$29:$A$38,0)))</f>
        <v/>
      </c>
      <c r="I317" s="5">
        <f>INDEX(Variables!$C$5:$C$65,MATCH($A317,Variables!$A$5:$A$65,0))</f>
        <v/>
      </c>
      <c r="J317" s="5">
        <f>INDEX(Variables!$E$5:$E$65,MATCH($A317,Variables!$A$5:$A$65,0))</f>
        <v/>
      </c>
      <c r="K317" s="23">
        <f>LOWER(Settings!$C$4)&amp;".mit."&amp;$A317&amp;IF($C317="","","."&amp;$C317&amp;"."&amp;$B317)&amp;IF(INDEX(Variables!$D$5:$D$65,MATCH($A317,Variables!$A$5:$A$65,0))="","","."&amp;INDEX(Variables!$D$5:$D$65,MATCH($A317,Variables!$A$5:$A$65,0)))&amp;"."&amp;K$5</f>
        <v/>
      </c>
      <c r="L317" s="38">
        <f>INDEX(L$75:L$88,$D317)/$E317</f>
        <v/>
      </c>
      <c r="M317" s="36">
        <f>INDEX(M$75:M$88,$D317)/$E317</f>
        <v/>
      </c>
      <c r="N317" s="36">
        <f>INDEX(N$75:N$88,$D317)/$E317</f>
        <v/>
      </c>
      <c r="O317" s="36">
        <f>INDEX(O$75:O$88,$D317)/$E317</f>
        <v/>
      </c>
      <c r="P317" s="36">
        <f>INDEX(P$75:P$88,$D317)/$E317</f>
        <v/>
      </c>
      <c r="Q317" s="36">
        <f>INDEX(Q$75:Q$88,$D317)/$E317</f>
        <v/>
      </c>
      <c r="R317" s="36">
        <f>INDEX(R$75:R$88,$D317)/$E317</f>
        <v/>
      </c>
      <c r="S317" s="36">
        <f>INDEX(S$75:S$88,$D317)/$E317</f>
        <v/>
      </c>
      <c r="T317" s="36">
        <f>INDEX(T$75:T$88,$D317)/$E317</f>
        <v/>
      </c>
      <c r="U317" s="36">
        <f>INDEX(U$75:U$88,$D317)/$E317</f>
        <v/>
      </c>
      <c r="V317" s="36">
        <f>INDEX(V$75:V$88,$D317)/$E317</f>
        <v/>
      </c>
      <c r="W317" s="36">
        <f>INDEX(W$75:W$88,$D317)/$E317</f>
        <v/>
      </c>
      <c r="X317" s="36">
        <f>INDEX(X$75:X$88,$D317)/$E317</f>
        <v/>
      </c>
      <c r="Y317" s="36">
        <f>INDEX(Y$75:Y$88,$D317)/$E317</f>
        <v/>
      </c>
      <c r="Z317" s="23">
        <f>LOWER(Settings!$C$4)&amp;".mit."&amp;$A317&amp;IF($C317="","","."&amp;$C317&amp;"."&amp;$B317)&amp;IF(INDEX(Variables!$D$5:$D$65,MATCH($A317,Variables!$A$5:$A$65,0))="","","."&amp;INDEX(Variables!$D$5:$D$65,MATCH($A317,Variables!$A$5:$A$65,0)))&amp;"."&amp;Z$5</f>
        <v/>
      </c>
      <c r="AA317" s="38">
        <f>INDEX(AA$75:AA$88,$D317)/$E317</f>
        <v/>
      </c>
      <c r="AB317" s="36">
        <f>INDEX(AB$75:AB$88,$D317)/$E317</f>
        <v/>
      </c>
      <c r="AC317" s="36">
        <f>INDEX(AC$75:AC$88,$D317)/$E317</f>
        <v/>
      </c>
      <c r="AD317" s="36">
        <f>INDEX(AD$75:AD$88,$D317)/$E317</f>
        <v/>
      </c>
      <c r="AE317" s="36">
        <f>INDEX(AE$75:AE$88,$D317)/$E317</f>
        <v/>
      </c>
      <c r="AF317" s="36">
        <f>INDEX(AF$75:AF$88,$D317)/$E317</f>
        <v/>
      </c>
      <c r="AG317" s="36">
        <f>INDEX(AG$75:AG$88,$D317)/$E317</f>
        <v/>
      </c>
      <c r="AH317" s="36">
        <f>INDEX(AH$75:AH$88,$D317)/$E317</f>
        <v/>
      </c>
      <c r="AI317" s="36">
        <f>INDEX(AI$75:AI$88,$D317)/$E317</f>
        <v/>
      </c>
      <c r="AJ317" s="36">
        <f>INDEX(AJ$75:AJ$88,$D317)/$E317</f>
        <v/>
      </c>
      <c r="AK317" s="36">
        <f>INDEX(AK$75:AK$88,$D317)/$E317</f>
        <v/>
      </c>
      <c r="AL317" s="36">
        <f>INDEX(AL$75:AL$88,$D317)/$E317</f>
        <v/>
      </c>
      <c r="AM317" s="36">
        <f>INDEX(AM$75:AM$88,$D317)/$E317</f>
        <v/>
      </c>
      <c r="AN317" s="36">
        <f>INDEX(AN$75:AN$88,$D317)/$E317</f>
        <v/>
      </c>
    </row>
    <row r="318" hidden="1" outlineLevel="2">
      <c r="A318" s="5" t="inlineStr">
        <is>
          <t>ntx</t>
        </is>
      </c>
      <c r="B318" s="5" t="inlineStr">
        <is>
          <t>gso</t>
        </is>
      </c>
      <c r="C318" s="5" t="inlineStr">
        <is>
          <t>avi</t>
        </is>
      </c>
      <c r="D318" s="36">
        <f>INDEX(Inputs!$L$5:$L$132,MATCH($B318&amp;"|"&amp;$C318,Inputs!$A$5:$A$132,0))</f>
        <v/>
      </c>
      <c r="E318" s="36">
        <f>INDEX(Inputs!$I$5:$I$132,MATCH($B318&amp;"|"&amp;$C318,Inputs!$A$5:$A$132,0))</f>
        <v/>
      </c>
      <c r="F318" s="37" t="n"/>
      <c r="G318" s="37" t="n"/>
      <c r="H318" s="5">
        <f>INDEX(Variables!$B$5:$B$65,MATCH($A318,Variables!$A$5:$A$65,0))&amp;IF($C318="",""," | "&amp;INDEX(Mapping!$B$5:$B$25,MATCH($C318,Mapping!$A$5:$A$25,0))&amp;" | "&amp;INDEX(Mapping!$B$29:$B$38,MATCH($B318,Mapping!$A$29:$A$38,0)))</f>
        <v/>
      </c>
      <c r="I318" s="5">
        <f>INDEX(Variables!$C$5:$C$65,MATCH($A318,Variables!$A$5:$A$65,0))</f>
        <v/>
      </c>
      <c r="J318" s="5">
        <f>INDEX(Variables!$E$5:$E$65,MATCH($A318,Variables!$A$5:$A$65,0))</f>
        <v/>
      </c>
      <c r="K318" s="23">
        <f>LOWER(Settings!$C$4)&amp;".mit."&amp;$A318&amp;IF($C318="","","."&amp;$C318&amp;"."&amp;$B318)&amp;IF(INDEX(Variables!$D$5:$D$65,MATCH($A318,Variables!$A$5:$A$65,0))="","","."&amp;INDEX(Variables!$D$5:$D$65,MATCH($A318,Variables!$A$5:$A$65,0)))&amp;"."&amp;K$5</f>
        <v/>
      </c>
      <c r="L318" s="38">
        <f>INDEX(L$75:L$88,$D318)/$E318</f>
        <v/>
      </c>
      <c r="M318" s="36">
        <f>INDEX(M$75:M$88,$D318)/$E318</f>
        <v/>
      </c>
      <c r="N318" s="36">
        <f>INDEX(N$75:N$88,$D318)/$E318</f>
        <v/>
      </c>
      <c r="O318" s="36">
        <f>INDEX(O$75:O$88,$D318)/$E318</f>
        <v/>
      </c>
      <c r="P318" s="36">
        <f>INDEX(P$75:P$88,$D318)/$E318</f>
        <v/>
      </c>
      <c r="Q318" s="36">
        <f>INDEX(Q$75:Q$88,$D318)/$E318</f>
        <v/>
      </c>
      <c r="R318" s="36">
        <f>INDEX(R$75:R$88,$D318)/$E318</f>
        <v/>
      </c>
      <c r="S318" s="36">
        <f>INDEX(S$75:S$88,$D318)/$E318</f>
        <v/>
      </c>
      <c r="T318" s="36">
        <f>INDEX(T$75:T$88,$D318)/$E318</f>
        <v/>
      </c>
      <c r="U318" s="36">
        <f>INDEX(U$75:U$88,$D318)/$E318</f>
        <v/>
      </c>
      <c r="V318" s="36">
        <f>INDEX(V$75:V$88,$D318)/$E318</f>
        <v/>
      </c>
      <c r="W318" s="36">
        <f>INDEX(W$75:W$88,$D318)/$E318</f>
        <v/>
      </c>
      <c r="X318" s="36">
        <f>INDEX(X$75:X$88,$D318)/$E318</f>
        <v/>
      </c>
      <c r="Y318" s="36">
        <f>INDEX(Y$75:Y$88,$D318)/$E318</f>
        <v/>
      </c>
      <c r="Z318" s="23">
        <f>LOWER(Settings!$C$4)&amp;".mit."&amp;$A318&amp;IF($C318="","","."&amp;$C318&amp;"."&amp;$B318)&amp;IF(INDEX(Variables!$D$5:$D$65,MATCH($A318,Variables!$A$5:$A$65,0))="","","."&amp;INDEX(Variables!$D$5:$D$65,MATCH($A318,Variables!$A$5:$A$65,0)))&amp;"."&amp;Z$5</f>
        <v/>
      </c>
      <c r="AA318" s="38">
        <f>INDEX(AA$75:AA$88,$D318)/$E318</f>
        <v/>
      </c>
      <c r="AB318" s="36">
        <f>INDEX(AB$75:AB$88,$D318)/$E318</f>
        <v/>
      </c>
      <c r="AC318" s="36">
        <f>INDEX(AC$75:AC$88,$D318)/$E318</f>
        <v/>
      </c>
      <c r="AD318" s="36">
        <f>INDEX(AD$75:AD$88,$D318)/$E318</f>
        <v/>
      </c>
      <c r="AE318" s="36">
        <f>INDEX(AE$75:AE$88,$D318)/$E318</f>
        <v/>
      </c>
      <c r="AF318" s="36">
        <f>INDEX(AF$75:AF$88,$D318)/$E318</f>
        <v/>
      </c>
      <c r="AG318" s="36">
        <f>INDEX(AG$75:AG$88,$D318)/$E318</f>
        <v/>
      </c>
      <c r="AH318" s="36">
        <f>INDEX(AH$75:AH$88,$D318)/$E318</f>
        <v/>
      </c>
      <c r="AI318" s="36">
        <f>INDEX(AI$75:AI$88,$D318)/$E318</f>
        <v/>
      </c>
      <c r="AJ318" s="36">
        <f>INDEX(AJ$75:AJ$88,$D318)/$E318</f>
        <v/>
      </c>
      <c r="AK318" s="36">
        <f>INDEX(AK$75:AK$88,$D318)/$E318</f>
        <v/>
      </c>
      <c r="AL318" s="36">
        <f>INDEX(AL$75:AL$88,$D318)/$E318</f>
        <v/>
      </c>
      <c r="AM318" s="36">
        <f>INDEX(AM$75:AM$88,$D318)/$E318</f>
        <v/>
      </c>
      <c r="AN318" s="36">
        <f>INDEX(AN$75:AN$88,$D318)/$E318</f>
        <v/>
      </c>
    </row>
    <row r="319" hidden="1" outlineLevel="2">
      <c r="A319" s="5" t="inlineStr">
        <is>
          <t>ntx</t>
        </is>
      </c>
      <c r="B319" s="5" t="inlineStr">
        <is>
          <t>die</t>
        </is>
      </c>
      <c r="C319" s="5" t="inlineStr">
        <is>
          <t>avi</t>
        </is>
      </c>
      <c r="D319" s="36">
        <f>INDEX(Inputs!$L$5:$L$132,MATCH($B319&amp;"|"&amp;$C319,Inputs!$A$5:$A$132,0))</f>
        <v/>
      </c>
      <c r="E319" s="36">
        <f>INDEX(Inputs!$I$5:$I$132,MATCH($B319&amp;"|"&amp;$C319,Inputs!$A$5:$A$132,0))</f>
        <v/>
      </c>
      <c r="F319" s="37" t="n"/>
      <c r="G319" s="37" t="n"/>
      <c r="H319" s="5">
        <f>INDEX(Variables!$B$5:$B$65,MATCH($A319,Variables!$A$5:$A$65,0))&amp;IF($C319="",""," | "&amp;INDEX(Mapping!$B$5:$B$25,MATCH($C319,Mapping!$A$5:$A$25,0))&amp;" | "&amp;INDEX(Mapping!$B$29:$B$38,MATCH($B319,Mapping!$A$29:$A$38,0)))</f>
        <v/>
      </c>
      <c r="I319" s="5">
        <f>INDEX(Variables!$C$5:$C$65,MATCH($A319,Variables!$A$5:$A$65,0))</f>
        <v/>
      </c>
      <c r="J319" s="5">
        <f>INDEX(Variables!$E$5:$E$65,MATCH($A319,Variables!$A$5:$A$65,0))</f>
        <v/>
      </c>
      <c r="K319" s="23">
        <f>LOWER(Settings!$C$4)&amp;".mit."&amp;$A319&amp;IF($C319="","","."&amp;$C319&amp;"."&amp;$B319)&amp;IF(INDEX(Variables!$D$5:$D$65,MATCH($A319,Variables!$A$5:$A$65,0))="","","."&amp;INDEX(Variables!$D$5:$D$65,MATCH($A319,Variables!$A$5:$A$65,0)))&amp;"."&amp;K$5</f>
        <v/>
      </c>
      <c r="L319" s="38">
        <f>INDEX(L$75:L$88,$D319)/$E319</f>
        <v/>
      </c>
      <c r="M319" s="36">
        <f>INDEX(M$75:M$88,$D319)/$E319</f>
        <v/>
      </c>
      <c r="N319" s="36">
        <f>INDEX(N$75:N$88,$D319)/$E319</f>
        <v/>
      </c>
      <c r="O319" s="36">
        <f>INDEX(O$75:O$88,$D319)/$E319</f>
        <v/>
      </c>
      <c r="P319" s="36">
        <f>INDEX(P$75:P$88,$D319)/$E319</f>
        <v/>
      </c>
      <c r="Q319" s="36">
        <f>INDEX(Q$75:Q$88,$D319)/$E319</f>
        <v/>
      </c>
      <c r="R319" s="36">
        <f>INDEX(R$75:R$88,$D319)/$E319</f>
        <v/>
      </c>
      <c r="S319" s="36">
        <f>INDEX(S$75:S$88,$D319)/$E319</f>
        <v/>
      </c>
      <c r="T319" s="36">
        <f>INDEX(T$75:T$88,$D319)/$E319</f>
        <v/>
      </c>
      <c r="U319" s="36">
        <f>INDEX(U$75:U$88,$D319)/$E319</f>
        <v/>
      </c>
      <c r="V319" s="36">
        <f>INDEX(V$75:V$88,$D319)/$E319</f>
        <v/>
      </c>
      <c r="W319" s="36">
        <f>INDEX(W$75:W$88,$D319)/$E319</f>
        <v/>
      </c>
      <c r="X319" s="36">
        <f>INDEX(X$75:X$88,$D319)/$E319</f>
        <v/>
      </c>
      <c r="Y319" s="36">
        <f>INDEX(Y$75:Y$88,$D319)/$E319</f>
        <v/>
      </c>
      <c r="Z319" s="23">
        <f>LOWER(Settings!$C$4)&amp;".mit."&amp;$A319&amp;IF($C319="","","."&amp;$C319&amp;"."&amp;$B319)&amp;IF(INDEX(Variables!$D$5:$D$65,MATCH($A319,Variables!$A$5:$A$65,0))="","","."&amp;INDEX(Variables!$D$5:$D$65,MATCH($A319,Variables!$A$5:$A$65,0)))&amp;"."&amp;Z$5</f>
        <v/>
      </c>
      <c r="AA319" s="38">
        <f>INDEX(AA$75:AA$88,$D319)/$E319</f>
        <v/>
      </c>
      <c r="AB319" s="36">
        <f>INDEX(AB$75:AB$88,$D319)/$E319</f>
        <v/>
      </c>
      <c r="AC319" s="36">
        <f>INDEX(AC$75:AC$88,$D319)/$E319</f>
        <v/>
      </c>
      <c r="AD319" s="36">
        <f>INDEX(AD$75:AD$88,$D319)/$E319</f>
        <v/>
      </c>
      <c r="AE319" s="36">
        <f>INDEX(AE$75:AE$88,$D319)/$E319</f>
        <v/>
      </c>
      <c r="AF319" s="36">
        <f>INDEX(AF$75:AF$88,$D319)/$E319</f>
        <v/>
      </c>
      <c r="AG319" s="36">
        <f>INDEX(AG$75:AG$88,$D319)/$E319</f>
        <v/>
      </c>
      <c r="AH319" s="36">
        <f>INDEX(AH$75:AH$88,$D319)/$E319</f>
        <v/>
      </c>
      <c r="AI319" s="36">
        <f>INDEX(AI$75:AI$88,$D319)/$E319</f>
        <v/>
      </c>
      <c r="AJ319" s="36">
        <f>INDEX(AJ$75:AJ$88,$D319)/$E319</f>
        <v/>
      </c>
      <c r="AK319" s="36">
        <f>INDEX(AK$75:AK$88,$D319)/$E319</f>
        <v/>
      </c>
      <c r="AL319" s="36">
        <f>INDEX(AL$75:AL$88,$D319)/$E319</f>
        <v/>
      </c>
      <c r="AM319" s="36">
        <f>INDEX(AM$75:AM$88,$D319)/$E319</f>
        <v/>
      </c>
      <c r="AN319" s="36">
        <f>INDEX(AN$75:AN$88,$D319)/$E319</f>
        <v/>
      </c>
    </row>
    <row r="320" hidden="1" outlineLevel="2">
      <c r="A320" s="5" t="inlineStr">
        <is>
          <t>ntx</t>
        </is>
      </c>
      <c r="B320" s="5" t="inlineStr">
        <is>
          <t>lpg</t>
        </is>
      </c>
      <c r="C320" s="5" t="inlineStr">
        <is>
          <t>avi</t>
        </is>
      </c>
      <c r="D320" s="36">
        <f>INDEX(Inputs!$L$5:$L$132,MATCH($B320&amp;"|"&amp;$C320,Inputs!$A$5:$A$132,0))</f>
        <v/>
      </c>
      <c r="E320" s="36">
        <f>INDEX(Inputs!$I$5:$I$132,MATCH($B320&amp;"|"&amp;$C320,Inputs!$A$5:$A$132,0))</f>
        <v/>
      </c>
      <c r="F320" s="37" t="n"/>
      <c r="G320" s="37" t="n"/>
      <c r="H320" s="5">
        <f>INDEX(Variables!$B$5:$B$65,MATCH($A320,Variables!$A$5:$A$65,0))&amp;IF($C320="",""," | "&amp;INDEX(Mapping!$B$5:$B$25,MATCH($C320,Mapping!$A$5:$A$25,0))&amp;" | "&amp;INDEX(Mapping!$B$29:$B$38,MATCH($B320,Mapping!$A$29:$A$38,0)))</f>
        <v/>
      </c>
      <c r="I320" s="5">
        <f>INDEX(Variables!$C$5:$C$65,MATCH($A320,Variables!$A$5:$A$65,0))</f>
        <v/>
      </c>
      <c r="J320" s="5">
        <f>INDEX(Variables!$E$5:$E$65,MATCH($A320,Variables!$A$5:$A$65,0))</f>
        <v/>
      </c>
      <c r="K320" s="23">
        <f>LOWER(Settings!$C$4)&amp;".mit."&amp;$A320&amp;IF($C320="","","."&amp;$C320&amp;"."&amp;$B320)&amp;IF(INDEX(Variables!$D$5:$D$65,MATCH($A320,Variables!$A$5:$A$65,0))="","","."&amp;INDEX(Variables!$D$5:$D$65,MATCH($A320,Variables!$A$5:$A$65,0)))&amp;"."&amp;K$5</f>
        <v/>
      </c>
      <c r="L320" s="38">
        <f>INDEX(L$75:L$88,$D320)/$E320</f>
        <v/>
      </c>
      <c r="M320" s="36">
        <f>INDEX(M$75:M$88,$D320)/$E320</f>
        <v/>
      </c>
      <c r="N320" s="36">
        <f>INDEX(N$75:N$88,$D320)/$E320</f>
        <v/>
      </c>
      <c r="O320" s="36">
        <f>INDEX(O$75:O$88,$D320)/$E320</f>
        <v/>
      </c>
      <c r="P320" s="36">
        <f>INDEX(P$75:P$88,$D320)/$E320</f>
        <v/>
      </c>
      <c r="Q320" s="36">
        <f>INDEX(Q$75:Q$88,$D320)/$E320</f>
        <v/>
      </c>
      <c r="R320" s="36">
        <f>INDEX(R$75:R$88,$D320)/$E320</f>
        <v/>
      </c>
      <c r="S320" s="36">
        <f>INDEX(S$75:S$88,$D320)/$E320</f>
        <v/>
      </c>
      <c r="T320" s="36">
        <f>INDEX(T$75:T$88,$D320)/$E320</f>
        <v/>
      </c>
      <c r="U320" s="36">
        <f>INDEX(U$75:U$88,$D320)/$E320</f>
        <v/>
      </c>
      <c r="V320" s="36">
        <f>INDEX(V$75:V$88,$D320)/$E320</f>
        <v/>
      </c>
      <c r="W320" s="36">
        <f>INDEX(W$75:W$88,$D320)/$E320</f>
        <v/>
      </c>
      <c r="X320" s="36">
        <f>INDEX(X$75:X$88,$D320)/$E320</f>
        <v/>
      </c>
      <c r="Y320" s="36">
        <f>INDEX(Y$75:Y$88,$D320)/$E320</f>
        <v/>
      </c>
      <c r="Z320" s="23">
        <f>LOWER(Settings!$C$4)&amp;".mit."&amp;$A320&amp;IF($C320="","","."&amp;$C320&amp;"."&amp;$B320)&amp;IF(INDEX(Variables!$D$5:$D$65,MATCH($A320,Variables!$A$5:$A$65,0))="","","."&amp;INDEX(Variables!$D$5:$D$65,MATCH($A320,Variables!$A$5:$A$65,0)))&amp;"."&amp;Z$5</f>
        <v/>
      </c>
      <c r="AA320" s="38">
        <f>INDEX(AA$75:AA$88,$D320)/$E320</f>
        <v/>
      </c>
      <c r="AB320" s="36">
        <f>INDEX(AB$75:AB$88,$D320)/$E320</f>
        <v/>
      </c>
      <c r="AC320" s="36">
        <f>INDEX(AC$75:AC$88,$D320)/$E320</f>
        <v/>
      </c>
      <c r="AD320" s="36">
        <f>INDEX(AD$75:AD$88,$D320)/$E320</f>
        <v/>
      </c>
      <c r="AE320" s="36">
        <f>INDEX(AE$75:AE$88,$D320)/$E320</f>
        <v/>
      </c>
      <c r="AF320" s="36">
        <f>INDEX(AF$75:AF$88,$D320)/$E320</f>
        <v/>
      </c>
      <c r="AG320" s="36">
        <f>INDEX(AG$75:AG$88,$D320)/$E320</f>
        <v/>
      </c>
      <c r="AH320" s="36">
        <f>INDEX(AH$75:AH$88,$D320)/$E320</f>
        <v/>
      </c>
      <c r="AI320" s="36">
        <f>INDEX(AI$75:AI$88,$D320)/$E320</f>
        <v/>
      </c>
      <c r="AJ320" s="36">
        <f>INDEX(AJ$75:AJ$88,$D320)/$E320</f>
        <v/>
      </c>
      <c r="AK320" s="36">
        <f>INDEX(AK$75:AK$88,$D320)/$E320</f>
        <v/>
      </c>
      <c r="AL320" s="36">
        <f>INDEX(AL$75:AL$88,$D320)/$E320</f>
        <v/>
      </c>
      <c r="AM320" s="36">
        <f>INDEX(AM$75:AM$88,$D320)/$E320</f>
        <v/>
      </c>
      <c r="AN320" s="36">
        <f>INDEX(AN$75:AN$88,$D320)/$E320</f>
        <v/>
      </c>
    </row>
    <row r="321" hidden="1" outlineLevel="2">
      <c r="A321" s="5" t="inlineStr">
        <is>
          <t>ntx</t>
        </is>
      </c>
      <c r="B321" s="5" t="inlineStr">
        <is>
          <t>ker</t>
        </is>
      </c>
      <c r="C321" s="5" t="inlineStr">
        <is>
          <t>avi</t>
        </is>
      </c>
      <c r="D321" s="36">
        <f>INDEX(Inputs!$L$5:$L$132,MATCH($B321&amp;"|"&amp;$C321,Inputs!$A$5:$A$132,0))</f>
        <v/>
      </c>
      <c r="E321" s="36">
        <f>INDEX(Inputs!$I$5:$I$132,MATCH($B321&amp;"|"&amp;$C321,Inputs!$A$5:$A$132,0))</f>
        <v/>
      </c>
      <c r="F321" s="37" t="n"/>
      <c r="G321" s="37" t="n"/>
      <c r="H321" s="5">
        <f>INDEX(Variables!$B$5:$B$65,MATCH($A321,Variables!$A$5:$A$65,0))&amp;IF($C321="",""," | "&amp;INDEX(Mapping!$B$5:$B$25,MATCH($C321,Mapping!$A$5:$A$25,0))&amp;" | "&amp;INDEX(Mapping!$B$29:$B$38,MATCH($B321,Mapping!$A$29:$A$38,0)))</f>
        <v/>
      </c>
      <c r="I321" s="5">
        <f>INDEX(Variables!$C$5:$C$65,MATCH($A321,Variables!$A$5:$A$65,0))</f>
        <v/>
      </c>
      <c r="J321" s="5">
        <f>INDEX(Variables!$E$5:$E$65,MATCH($A321,Variables!$A$5:$A$65,0))</f>
        <v/>
      </c>
      <c r="K321" s="23">
        <f>LOWER(Settings!$C$4)&amp;".mit."&amp;$A321&amp;IF($C321="","","."&amp;$C321&amp;"."&amp;$B321)&amp;IF(INDEX(Variables!$D$5:$D$65,MATCH($A321,Variables!$A$5:$A$65,0))="","","."&amp;INDEX(Variables!$D$5:$D$65,MATCH($A321,Variables!$A$5:$A$65,0)))&amp;"."&amp;K$5</f>
        <v/>
      </c>
      <c r="L321" s="38">
        <f>INDEX(L$75:L$88,$D321)/$E321</f>
        <v/>
      </c>
      <c r="M321" s="36">
        <f>INDEX(M$75:M$88,$D321)/$E321</f>
        <v/>
      </c>
      <c r="N321" s="36">
        <f>INDEX(N$75:N$88,$D321)/$E321</f>
        <v/>
      </c>
      <c r="O321" s="36">
        <f>INDEX(O$75:O$88,$D321)/$E321</f>
        <v/>
      </c>
      <c r="P321" s="36">
        <f>INDEX(P$75:P$88,$D321)/$E321</f>
        <v/>
      </c>
      <c r="Q321" s="36">
        <f>INDEX(Q$75:Q$88,$D321)/$E321</f>
        <v/>
      </c>
      <c r="R321" s="36">
        <f>INDEX(R$75:R$88,$D321)/$E321</f>
        <v/>
      </c>
      <c r="S321" s="36">
        <f>INDEX(S$75:S$88,$D321)/$E321</f>
        <v/>
      </c>
      <c r="T321" s="36">
        <f>INDEX(T$75:T$88,$D321)/$E321</f>
        <v/>
      </c>
      <c r="U321" s="36">
        <f>INDEX(U$75:U$88,$D321)/$E321</f>
        <v/>
      </c>
      <c r="V321" s="36">
        <f>INDEX(V$75:V$88,$D321)/$E321</f>
        <v/>
      </c>
      <c r="W321" s="36">
        <f>INDEX(W$75:W$88,$D321)/$E321</f>
        <v/>
      </c>
      <c r="X321" s="36">
        <f>INDEX(X$75:X$88,$D321)/$E321</f>
        <v/>
      </c>
      <c r="Y321" s="36">
        <f>INDEX(Y$75:Y$88,$D321)/$E321</f>
        <v/>
      </c>
      <c r="Z321" s="23">
        <f>LOWER(Settings!$C$4)&amp;".mit."&amp;$A321&amp;IF($C321="","","."&amp;$C321&amp;"."&amp;$B321)&amp;IF(INDEX(Variables!$D$5:$D$65,MATCH($A321,Variables!$A$5:$A$65,0))="","","."&amp;INDEX(Variables!$D$5:$D$65,MATCH($A321,Variables!$A$5:$A$65,0)))&amp;"."&amp;Z$5</f>
        <v/>
      </c>
      <c r="AA321" s="38">
        <f>INDEX(AA$75:AA$88,$D321)/$E321</f>
        <v/>
      </c>
      <c r="AB321" s="36">
        <f>INDEX(AB$75:AB$88,$D321)/$E321</f>
        <v/>
      </c>
      <c r="AC321" s="36">
        <f>INDEX(AC$75:AC$88,$D321)/$E321</f>
        <v/>
      </c>
      <c r="AD321" s="36">
        <f>INDEX(AD$75:AD$88,$D321)/$E321</f>
        <v/>
      </c>
      <c r="AE321" s="36">
        <f>INDEX(AE$75:AE$88,$D321)/$E321</f>
        <v/>
      </c>
      <c r="AF321" s="36">
        <f>INDEX(AF$75:AF$88,$D321)/$E321</f>
        <v/>
      </c>
      <c r="AG321" s="36">
        <f>INDEX(AG$75:AG$88,$D321)/$E321</f>
        <v/>
      </c>
      <c r="AH321" s="36">
        <f>INDEX(AH$75:AH$88,$D321)/$E321</f>
        <v/>
      </c>
      <c r="AI321" s="36">
        <f>INDEX(AI$75:AI$88,$D321)/$E321</f>
        <v/>
      </c>
      <c r="AJ321" s="36">
        <f>INDEX(AJ$75:AJ$88,$D321)/$E321</f>
        <v/>
      </c>
      <c r="AK321" s="36">
        <f>INDEX(AK$75:AK$88,$D321)/$E321</f>
        <v/>
      </c>
      <c r="AL321" s="36">
        <f>INDEX(AL$75:AL$88,$D321)/$E321</f>
        <v/>
      </c>
      <c r="AM321" s="36">
        <f>INDEX(AM$75:AM$88,$D321)/$E321</f>
        <v/>
      </c>
      <c r="AN321" s="36">
        <f>INDEX(AN$75:AN$88,$D321)/$E321</f>
        <v/>
      </c>
    </row>
    <row r="322" hidden="1" outlineLevel="2">
      <c r="A322" s="5" t="inlineStr">
        <is>
          <t>ntx</t>
        </is>
      </c>
      <c r="B322" s="5" t="inlineStr">
        <is>
          <t>oop</t>
        </is>
      </c>
      <c r="C322" s="5" t="inlineStr">
        <is>
          <t>avi</t>
        </is>
      </c>
      <c r="D322" s="36">
        <f>INDEX(Inputs!$L$5:$L$132,MATCH($B322&amp;"|"&amp;$C322,Inputs!$A$5:$A$132,0))</f>
        <v/>
      </c>
      <c r="E322" s="36">
        <f>INDEX(Inputs!$I$5:$I$132,MATCH($B322&amp;"|"&amp;$C322,Inputs!$A$5:$A$132,0))</f>
        <v/>
      </c>
      <c r="F322" s="37" t="n"/>
      <c r="G322" s="37" t="n"/>
      <c r="H322" s="5">
        <f>INDEX(Variables!$B$5:$B$65,MATCH($A322,Variables!$A$5:$A$65,0))&amp;IF($C322="",""," | "&amp;INDEX(Mapping!$B$5:$B$25,MATCH($C322,Mapping!$A$5:$A$25,0))&amp;" | "&amp;INDEX(Mapping!$B$29:$B$38,MATCH($B322,Mapping!$A$29:$A$38,0)))</f>
        <v/>
      </c>
      <c r="I322" s="5">
        <f>INDEX(Variables!$C$5:$C$65,MATCH($A322,Variables!$A$5:$A$65,0))</f>
        <v/>
      </c>
      <c r="J322" s="5">
        <f>INDEX(Variables!$E$5:$E$65,MATCH($A322,Variables!$A$5:$A$65,0))</f>
        <v/>
      </c>
      <c r="K322" s="23">
        <f>LOWER(Settings!$C$4)&amp;".mit."&amp;$A322&amp;IF($C322="","","."&amp;$C322&amp;"."&amp;$B322)&amp;IF(INDEX(Variables!$D$5:$D$65,MATCH($A322,Variables!$A$5:$A$65,0))="","","."&amp;INDEX(Variables!$D$5:$D$65,MATCH($A322,Variables!$A$5:$A$65,0)))&amp;"."&amp;K$5</f>
        <v/>
      </c>
      <c r="L322" s="38">
        <f>INDEX(L$75:L$88,$D322)/$E322</f>
        <v/>
      </c>
      <c r="M322" s="36">
        <f>INDEX(M$75:M$88,$D322)/$E322</f>
        <v/>
      </c>
      <c r="N322" s="36">
        <f>INDEX(N$75:N$88,$D322)/$E322</f>
        <v/>
      </c>
      <c r="O322" s="36">
        <f>INDEX(O$75:O$88,$D322)/$E322</f>
        <v/>
      </c>
      <c r="P322" s="36">
        <f>INDEX(P$75:P$88,$D322)/$E322</f>
        <v/>
      </c>
      <c r="Q322" s="36">
        <f>INDEX(Q$75:Q$88,$D322)/$E322</f>
        <v/>
      </c>
      <c r="R322" s="36">
        <f>INDEX(R$75:R$88,$D322)/$E322</f>
        <v/>
      </c>
      <c r="S322" s="36">
        <f>INDEX(S$75:S$88,$D322)/$E322</f>
        <v/>
      </c>
      <c r="T322" s="36">
        <f>INDEX(T$75:T$88,$D322)/$E322</f>
        <v/>
      </c>
      <c r="U322" s="36">
        <f>INDEX(U$75:U$88,$D322)/$E322</f>
        <v/>
      </c>
      <c r="V322" s="36">
        <f>INDEX(V$75:V$88,$D322)/$E322</f>
        <v/>
      </c>
      <c r="W322" s="36">
        <f>INDEX(W$75:W$88,$D322)/$E322</f>
        <v/>
      </c>
      <c r="X322" s="36">
        <f>INDEX(X$75:X$88,$D322)/$E322</f>
        <v/>
      </c>
      <c r="Y322" s="36">
        <f>INDEX(Y$75:Y$88,$D322)/$E322</f>
        <v/>
      </c>
      <c r="Z322" s="23">
        <f>LOWER(Settings!$C$4)&amp;".mit."&amp;$A322&amp;IF($C322="","","."&amp;$C322&amp;"."&amp;$B322)&amp;IF(INDEX(Variables!$D$5:$D$65,MATCH($A322,Variables!$A$5:$A$65,0))="","","."&amp;INDEX(Variables!$D$5:$D$65,MATCH($A322,Variables!$A$5:$A$65,0)))&amp;"."&amp;Z$5</f>
        <v/>
      </c>
      <c r="AA322" s="38">
        <f>INDEX(AA$75:AA$88,$D322)/$E322</f>
        <v/>
      </c>
      <c r="AB322" s="36">
        <f>INDEX(AB$75:AB$88,$D322)/$E322</f>
        <v/>
      </c>
      <c r="AC322" s="36">
        <f>INDEX(AC$75:AC$88,$D322)/$E322</f>
        <v/>
      </c>
      <c r="AD322" s="36">
        <f>INDEX(AD$75:AD$88,$D322)/$E322</f>
        <v/>
      </c>
      <c r="AE322" s="36">
        <f>INDEX(AE$75:AE$88,$D322)/$E322</f>
        <v/>
      </c>
      <c r="AF322" s="36">
        <f>INDEX(AF$75:AF$88,$D322)/$E322</f>
        <v/>
      </c>
      <c r="AG322" s="36">
        <f>INDEX(AG$75:AG$88,$D322)/$E322</f>
        <v/>
      </c>
      <c r="AH322" s="36">
        <f>INDEX(AH$75:AH$88,$D322)/$E322</f>
        <v/>
      </c>
      <c r="AI322" s="36">
        <f>INDEX(AI$75:AI$88,$D322)/$E322</f>
        <v/>
      </c>
      <c r="AJ322" s="36">
        <f>INDEX(AJ$75:AJ$88,$D322)/$E322</f>
        <v/>
      </c>
      <c r="AK322" s="36">
        <f>INDEX(AK$75:AK$88,$D322)/$E322</f>
        <v/>
      </c>
      <c r="AL322" s="36">
        <f>INDEX(AL$75:AL$88,$D322)/$E322</f>
        <v/>
      </c>
      <c r="AM322" s="36">
        <f>INDEX(AM$75:AM$88,$D322)/$E322</f>
        <v/>
      </c>
      <c r="AN322" s="36">
        <f>INDEX(AN$75:AN$88,$D322)/$E322</f>
        <v/>
      </c>
    </row>
    <row r="323" hidden="1" outlineLevel="2">
      <c r="A323" s="5" t="inlineStr">
        <is>
          <t>ntx</t>
        </is>
      </c>
      <c r="B323" s="5" t="inlineStr">
        <is>
          <t>bio</t>
        </is>
      </c>
      <c r="C323" s="5" t="inlineStr">
        <is>
          <t>avi</t>
        </is>
      </c>
      <c r="D323" s="36">
        <f>INDEX(Inputs!$L$5:$L$132,MATCH($B323&amp;"|"&amp;$C323,Inputs!$A$5:$A$132,0))</f>
        <v/>
      </c>
      <c r="E323" s="36">
        <f>INDEX(Inputs!$I$5:$I$132,MATCH($B323&amp;"|"&amp;$C323,Inputs!$A$5:$A$132,0))</f>
        <v/>
      </c>
      <c r="F323" s="37" t="n"/>
      <c r="G323" s="37" t="n"/>
      <c r="H323" s="5">
        <f>INDEX(Variables!$B$5:$B$65,MATCH($A323,Variables!$A$5:$A$65,0))&amp;IF($C323="",""," | "&amp;INDEX(Mapping!$B$5:$B$25,MATCH($C323,Mapping!$A$5:$A$25,0))&amp;" | "&amp;INDEX(Mapping!$B$29:$B$38,MATCH($B323,Mapping!$A$29:$A$38,0)))</f>
        <v/>
      </c>
      <c r="I323" s="5">
        <f>INDEX(Variables!$C$5:$C$65,MATCH($A323,Variables!$A$5:$A$65,0))</f>
        <v/>
      </c>
      <c r="J323" s="5">
        <f>INDEX(Variables!$E$5:$E$65,MATCH($A323,Variables!$A$5:$A$65,0))</f>
        <v/>
      </c>
      <c r="K323" s="23">
        <f>LOWER(Settings!$C$4)&amp;".mit."&amp;$A323&amp;IF($C323="","","."&amp;$C323&amp;"."&amp;$B323)&amp;IF(INDEX(Variables!$D$5:$D$65,MATCH($A323,Variables!$A$5:$A$65,0))="","","."&amp;INDEX(Variables!$D$5:$D$65,MATCH($A323,Variables!$A$5:$A$65,0)))&amp;"."&amp;K$5</f>
        <v/>
      </c>
      <c r="L323" s="38">
        <f>INDEX(L$75:L$88,$D323)/$E323</f>
        <v/>
      </c>
      <c r="M323" s="36">
        <f>INDEX(M$75:M$88,$D323)/$E323</f>
        <v/>
      </c>
      <c r="N323" s="36">
        <f>INDEX(N$75:N$88,$D323)/$E323</f>
        <v/>
      </c>
      <c r="O323" s="36">
        <f>INDEX(O$75:O$88,$D323)/$E323</f>
        <v/>
      </c>
      <c r="P323" s="36">
        <f>INDEX(P$75:P$88,$D323)/$E323</f>
        <v/>
      </c>
      <c r="Q323" s="36">
        <f>INDEX(Q$75:Q$88,$D323)/$E323</f>
        <v/>
      </c>
      <c r="R323" s="36">
        <f>INDEX(R$75:R$88,$D323)/$E323</f>
        <v/>
      </c>
      <c r="S323" s="36">
        <f>INDEX(S$75:S$88,$D323)/$E323</f>
        <v/>
      </c>
      <c r="T323" s="36">
        <f>INDEX(T$75:T$88,$D323)/$E323</f>
        <v/>
      </c>
      <c r="U323" s="36">
        <f>INDEX(U$75:U$88,$D323)/$E323</f>
        <v/>
      </c>
      <c r="V323" s="36">
        <f>INDEX(V$75:V$88,$D323)/$E323</f>
        <v/>
      </c>
      <c r="W323" s="36">
        <f>INDEX(W$75:W$88,$D323)/$E323</f>
        <v/>
      </c>
      <c r="X323" s="36">
        <f>INDEX(X$75:X$88,$D323)/$E323</f>
        <v/>
      </c>
      <c r="Y323" s="36">
        <f>INDEX(Y$75:Y$88,$D323)/$E323</f>
        <v/>
      </c>
      <c r="Z323" s="23">
        <f>LOWER(Settings!$C$4)&amp;".mit."&amp;$A323&amp;IF($C323="","","."&amp;$C323&amp;"."&amp;$B323)&amp;IF(INDEX(Variables!$D$5:$D$65,MATCH($A323,Variables!$A$5:$A$65,0))="","","."&amp;INDEX(Variables!$D$5:$D$65,MATCH($A323,Variables!$A$5:$A$65,0)))&amp;"."&amp;Z$5</f>
        <v/>
      </c>
      <c r="AA323" s="38">
        <f>INDEX(AA$75:AA$88,$D323)/$E323</f>
        <v/>
      </c>
      <c r="AB323" s="36">
        <f>INDEX(AB$75:AB$88,$D323)/$E323</f>
        <v/>
      </c>
      <c r="AC323" s="36">
        <f>INDEX(AC$75:AC$88,$D323)/$E323</f>
        <v/>
      </c>
      <c r="AD323" s="36">
        <f>INDEX(AD$75:AD$88,$D323)/$E323</f>
        <v/>
      </c>
      <c r="AE323" s="36">
        <f>INDEX(AE$75:AE$88,$D323)/$E323</f>
        <v/>
      </c>
      <c r="AF323" s="36">
        <f>INDEX(AF$75:AF$88,$D323)/$E323</f>
        <v/>
      </c>
      <c r="AG323" s="36">
        <f>INDEX(AG$75:AG$88,$D323)/$E323</f>
        <v/>
      </c>
      <c r="AH323" s="36">
        <f>INDEX(AH$75:AH$88,$D323)/$E323</f>
        <v/>
      </c>
      <c r="AI323" s="36">
        <f>INDEX(AI$75:AI$88,$D323)/$E323</f>
        <v/>
      </c>
      <c r="AJ323" s="36">
        <f>INDEX(AJ$75:AJ$88,$D323)/$E323</f>
        <v/>
      </c>
      <c r="AK323" s="36">
        <f>INDEX(AK$75:AK$88,$D323)/$E323</f>
        <v/>
      </c>
      <c r="AL323" s="36">
        <f>INDEX(AL$75:AL$88,$D323)/$E323</f>
        <v/>
      </c>
      <c r="AM323" s="36">
        <f>INDEX(AM$75:AM$88,$D323)/$E323</f>
        <v/>
      </c>
      <c r="AN323" s="36">
        <f>INDEX(AN$75:AN$88,$D323)/$E323</f>
        <v/>
      </c>
    </row>
    <row r="324" hidden="1" outlineLevel="2"/>
    <row r="325" hidden="1" outlineLevel="2">
      <c r="A325" s="5" t="inlineStr">
        <is>
          <t>nce</t>
        </is>
      </c>
      <c r="B325" s="5" t="inlineStr">
        <is>
          <t>coa</t>
        </is>
      </c>
      <c r="C325" s="5" t="inlineStr">
        <is>
          <t>avi</t>
        </is>
      </c>
      <c r="D325" s="37" t="n"/>
      <c r="E325" s="37" t="n"/>
      <c r="F325" s="37" t="n"/>
      <c r="G325" s="37" t="n"/>
      <c r="H325" s="5">
        <f>INDEX(Variables!$B$5:$B$65,MATCH($A325,Variables!$A$5:$A$65,0))&amp;IF($C325="",""," | "&amp;INDEX(Mapping!$B$5:$B$25,MATCH($C325,Mapping!$A$5:$A$25,0))&amp;" | "&amp;INDEX(Mapping!$B$29:$B$38,MATCH($B325,Mapping!$A$29:$A$38,0)))</f>
        <v/>
      </c>
      <c r="I325" s="5">
        <f>INDEX(Variables!$C$5:$C$65,MATCH($A325,Variables!$A$5:$A$65,0))</f>
        <v/>
      </c>
      <c r="J325" s="5">
        <f>INDEX(Variables!$E$5:$E$65,MATCH($A325,Variables!$A$5:$A$65,0))</f>
        <v/>
      </c>
      <c r="K325" s="23">
        <f>LOWER(Settings!$C$4)&amp;".mit."&amp;$A325&amp;IF($C325="","","."&amp;$C325&amp;"."&amp;$B325)&amp;IF(INDEX(Variables!$D$5:$D$65,MATCH($A325,Variables!$A$5:$A$65,0))="","","."&amp;INDEX(Variables!$D$5:$D$65,MATCH($A325,Variables!$A$5:$A$65,0)))&amp;"."&amp;K$5</f>
        <v/>
      </c>
      <c r="L325" s="38">
        <f>L307+L316</f>
        <v/>
      </c>
      <c r="M325" s="36">
        <f>M307+M316</f>
        <v/>
      </c>
      <c r="N325" s="36">
        <f>N307+N316</f>
        <v/>
      </c>
      <c r="O325" s="36">
        <f>O307+O316</f>
        <v/>
      </c>
      <c r="P325" s="36">
        <f>P307+P316</f>
        <v/>
      </c>
      <c r="Q325" s="36">
        <f>Q307+Q316</f>
        <v/>
      </c>
      <c r="R325" s="36">
        <f>R307+R316</f>
        <v/>
      </c>
      <c r="S325" s="36">
        <f>S307+S316</f>
        <v/>
      </c>
      <c r="T325" s="36">
        <f>T307+T316</f>
        <v/>
      </c>
      <c r="U325" s="36">
        <f>U307+U316</f>
        <v/>
      </c>
      <c r="V325" s="36">
        <f>V307+V316</f>
        <v/>
      </c>
      <c r="W325" s="36">
        <f>W307+W316</f>
        <v/>
      </c>
      <c r="X325" s="36">
        <f>X307+X316</f>
        <v/>
      </c>
      <c r="Y325" s="36">
        <f>Y307+Y316</f>
        <v/>
      </c>
      <c r="Z325" s="23">
        <f>LOWER(Settings!$C$4)&amp;".mit."&amp;$A325&amp;IF($C325="","","."&amp;$C325&amp;"."&amp;$B325)&amp;IF(INDEX(Variables!$D$5:$D$65,MATCH($A325,Variables!$A$5:$A$65,0))="","","."&amp;INDEX(Variables!$D$5:$D$65,MATCH($A325,Variables!$A$5:$A$65,0)))&amp;"."&amp;Z$5</f>
        <v/>
      </c>
      <c r="AA325" s="38">
        <f>AA307+AA316</f>
        <v/>
      </c>
      <c r="AB325" s="36">
        <f>AB307+AB316</f>
        <v/>
      </c>
      <c r="AC325" s="36">
        <f>AC307+AC316</f>
        <v/>
      </c>
      <c r="AD325" s="36">
        <f>AD307+AD316</f>
        <v/>
      </c>
      <c r="AE325" s="36">
        <f>AE307+AE316</f>
        <v/>
      </c>
      <c r="AF325" s="36">
        <f>AF307+AF316</f>
        <v/>
      </c>
      <c r="AG325" s="36">
        <f>AG307+AG316</f>
        <v/>
      </c>
      <c r="AH325" s="36">
        <f>AH307+AH316</f>
        <v/>
      </c>
      <c r="AI325" s="36">
        <f>AI307+AI316</f>
        <v/>
      </c>
      <c r="AJ325" s="36">
        <f>AJ307+AJ316</f>
        <v/>
      </c>
      <c r="AK325" s="36">
        <f>AK307+AK316</f>
        <v/>
      </c>
      <c r="AL325" s="36">
        <f>AL307+AL316</f>
        <v/>
      </c>
      <c r="AM325" s="36">
        <f>AM307+AM316</f>
        <v/>
      </c>
      <c r="AN325" s="36">
        <f>AN307+AN316</f>
        <v/>
      </c>
    </row>
    <row r="326" hidden="1" outlineLevel="2">
      <c r="A326" s="5" t="inlineStr">
        <is>
          <t>nce</t>
        </is>
      </c>
      <c r="B326" s="5" t="inlineStr">
        <is>
          <t>nga</t>
        </is>
      </c>
      <c r="C326" s="5" t="inlineStr">
        <is>
          <t>avi</t>
        </is>
      </c>
      <c r="D326" s="37" t="n"/>
      <c r="E326" s="37" t="n"/>
      <c r="F326" s="37" t="n"/>
      <c r="G326" s="37" t="n"/>
      <c r="H326" s="5">
        <f>INDEX(Variables!$B$5:$B$65,MATCH($A326,Variables!$A$5:$A$65,0))&amp;IF($C326="",""," | "&amp;INDEX(Mapping!$B$5:$B$25,MATCH($C326,Mapping!$A$5:$A$25,0))&amp;" | "&amp;INDEX(Mapping!$B$29:$B$38,MATCH($B326,Mapping!$A$29:$A$38,0)))</f>
        <v/>
      </c>
      <c r="I326" s="5">
        <f>INDEX(Variables!$C$5:$C$65,MATCH($A326,Variables!$A$5:$A$65,0))</f>
        <v/>
      </c>
      <c r="J326" s="5">
        <f>INDEX(Variables!$E$5:$E$65,MATCH($A326,Variables!$A$5:$A$65,0))</f>
        <v/>
      </c>
      <c r="K326" s="23">
        <f>LOWER(Settings!$C$4)&amp;".mit."&amp;$A326&amp;IF($C326="","","."&amp;$C326&amp;"."&amp;$B326)&amp;IF(INDEX(Variables!$D$5:$D$65,MATCH($A326,Variables!$A$5:$A$65,0))="","","."&amp;INDEX(Variables!$D$5:$D$65,MATCH($A326,Variables!$A$5:$A$65,0)))&amp;"."&amp;K$5</f>
        <v/>
      </c>
      <c r="L326" s="38">
        <f>L308+L317</f>
        <v/>
      </c>
      <c r="M326" s="36">
        <f>M308+M317</f>
        <v/>
      </c>
      <c r="N326" s="36">
        <f>N308+N317</f>
        <v/>
      </c>
      <c r="O326" s="36">
        <f>O308+O317</f>
        <v/>
      </c>
      <c r="P326" s="36">
        <f>P308+P317</f>
        <v/>
      </c>
      <c r="Q326" s="36">
        <f>Q308+Q317</f>
        <v/>
      </c>
      <c r="R326" s="36">
        <f>R308+R317</f>
        <v/>
      </c>
      <c r="S326" s="36">
        <f>S308+S317</f>
        <v/>
      </c>
      <c r="T326" s="36">
        <f>T308+T317</f>
        <v/>
      </c>
      <c r="U326" s="36">
        <f>U308+U317</f>
        <v/>
      </c>
      <c r="V326" s="36">
        <f>V308+V317</f>
        <v/>
      </c>
      <c r="W326" s="36">
        <f>W308+W317</f>
        <v/>
      </c>
      <c r="X326" s="36">
        <f>X308+X317</f>
        <v/>
      </c>
      <c r="Y326" s="36">
        <f>Y308+Y317</f>
        <v/>
      </c>
      <c r="Z326" s="23">
        <f>LOWER(Settings!$C$4)&amp;".mit."&amp;$A326&amp;IF($C326="","","."&amp;$C326&amp;"."&amp;$B326)&amp;IF(INDEX(Variables!$D$5:$D$65,MATCH($A326,Variables!$A$5:$A$65,0))="","","."&amp;INDEX(Variables!$D$5:$D$65,MATCH($A326,Variables!$A$5:$A$65,0)))&amp;"."&amp;Z$5</f>
        <v/>
      </c>
      <c r="AA326" s="38">
        <f>AA308+AA317</f>
        <v/>
      </c>
      <c r="AB326" s="36">
        <f>AB308+AB317</f>
        <v/>
      </c>
      <c r="AC326" s="36">
        <f>AC308+AC317</f>
        <v/>
      </c>
      <c r="AD326" s="36">
        <f>AD308+AD317</f>
        <v/>
      </c>
      <c r="AE326" s="36">
        <f>AE308+AE317</f>
        <v/>
      </c>
      <c r="AF326" s="36">
        <f>AF308+AF317</f>
        <v/>
      </c>
      <c r="AG326" s="36">
        <f>AG308+AG317</f>
        <v/>
      </c>
      <c r="AH326" s="36">
        <f>AH308+AH317</f>
        <v/>
      </c>
      <c r="AI326" s="36">
        <f>AI308+AI317</f>
        <v/>
      </c>
      <c r="AJ326" s="36">
        <f>AJ308+AJ317</f>
        <v/>
      </c>
      <c r="AK326" s="36">
        <f>AK308+AK317</f>
        <v/>
      </c>
      <c r="AL326" s="36">
        <f>AL308+AL317</f>
        <v/>
      </c>
      <c r="AM326" s="36">
        <f>AM308+AM317</f>
        <v/>
      </c>
      <c r="AN326" s="36">
        <f>AN308+AN317</f>
        <v/>
      </c>
    </row>
    <row r="327" hidden="1" outlineLevel="2">
      <c r="A327" s="5" t="inlineStr">
        <is>
          <t>nce</t>
        </is>
      </c>
      <c r="B327" s="5" t="inlineStr">
        <is>
          <t>gso</t>
        </is>
      </c>
      <c r="C327" s="5" t="inlineStr">
        <is>
          <t>avi</t>
        </is>
      </c>
      <c r="D327" s="37" t="n"/>
      <c r="E327" s="37" t="n"/>
      <c r="F327" s="37" t="n"/>
      <c r="G327" s="37" t="n"/>
      <c r="H327" s="5">
        <f>INDEX(Variables!$B$5:$B$65,MATCH($A327,Variables!$A$5:$A$65,0))&amp;IF($C327="",""," | "&amp;INDEX(Mapping!$B$5:$B$25,MATCH($C327,Mapping!$A$5:$A$25,0))&amp;" | "&amp;INDEX(Mapping!$B$29:$B$38,MATCH($B327,Mapping!$A$29:$A$38,0)))</f>
        <v/>
      </c>
      <c r="I327" s="5">
        <f>INDEX(Variables!$C$5:$C$65,MATCH($A327,Variables!$A$5:$A$65,0))</f>
        <v/>
      </c>
      <c r="J327" s="5">
        <f>INDEX(Variables!$E$5:$E$65,MATCH($A327,Variables!$A$5:$A$65,0))</f>
        <v/>
      </c>
      <c r="K327" s="23">
        <f>LOWER(Settings!$C$4)&amp;".mit."&amp;$A327&amp;IF($C327="","","."&amp;$C327&amp;"."&amp;$B327)&amp;IF(INDEX(Variables!$D$5:$D$65,MATCH($A327,Variables!$A$5:$A$65,0))="","","."&amp;INDEX(Variables!$D$5:$D$65,MATCH($A327,Variables!$A$5:$A$65,0)))&amp;"."&amp;K$5</f>
        <v/>
      </c>
      <c r="L327" s="38">
        <f>L309+L318</f>
        <v/>
      </c>
      <c r="M327" s="36">
        <f>M309+M318</f>
        <v/>
      </c>
      <c r="N327" s="36">
        <f>N309+N318</f>
        <v/>
      </c>
      <c r="O327" s="36">
        <f>O309+O318</f>
        <v/>
      </c>
      <c r="P327" s="36">
        <f>P309+P318</f>
        <v/>
      </c>
      <c r="Q327" s="36">
        <f>Q309+Q318</f>
        <v/>
      </c>
      <c r="R327" s="36">
        <f>R309+R318</f>
        <v/>
      </c>
      <c r="S327" s="36">
        <f>S309+S318</f>
        <v/>
      </c>
      <c r="T327" s="36">
        <f>T309+T318</f>
        <v/>
      </c>
      <c r="U327" s="36">
        <f>U309+U318</f>
        <v/>
      </c>
      <c r="V327" s="36">
        <f>V309+V318</f>
        <v/>
      </c>
      <c r="W327" s="36">
        <f>W309+W318</f>
        <v/>
      </c>
      <c r="X327" s="36">
        <f>X309+X318</f>
        <v/>
      </c>
      <c r="Y327" s="36">
        <f>Y309+Y318</f>
        <v/>
      </c>
      <c r="Z327" s="23">
        <f>LOWER(Settings!$C$4)&amp;".mit."&amp;$A327&amp;IF($C327="","","."&amp;$C327&amp;"."&amp;$B327)&amp;IF(INDEX(Variables!$D$5:$D$65,MATCH($A327,Variables!$A$5:$A$65,0))="","","."&amp;INDEX(Variables!$D$5:$D$65,MATCH($A327,Variables!$A$5:$A$65,0)))&amp;"."&amp;Z$5</f>
        <v/>
      </c>
      <c r="AA327" s="38">
        <f>AA309+AA318</f>
        <v/>
      </c>
      <c r="AB327" s="36">
        <f>AB309+AB318</f>
        <v/>
      </c>
      <c r="AC327" s="36">
        <f>AC309+AC318</f>
        <v/>
      </c>
      <c r="AD327" s="36">
        <f>AD309+AD318</f>
        <v/>
      </c>
      <c r="AE327" s="36">
        <f>AE309+AE318</f>
        <v/>
      </c>
      <c r="AF327" s="36">
        <f>AF309+AF318</f>
        <v/>
      </c>
      <c r="AG327" s="36">
        <f>AG309+AG318</f>
        <v/>
      </c>
      <c r="AH327" s="36">
        <f>AH309+AH318</f>
        <v/>
      </c>
      <c r="AI327" s="36">
        <f>AI309+AI318</f>
        <v/>
      </c>
      <c r="AJ327" s="36">
        <f>AJ309+AJ318</f>
        <v/>
      </c>
      <c r="AK327" s="36">
        <f>AK309+AK318</f>
        <v/>
      </c>
      <c r="AL327" s="36">
        <f>AL309+AL318</f>
        <v/>
      </c>
      <c r="AM327" s="36">
        <f>AM309+AM318</f>
        <v/>
      </c>
      <c r="AN327" s="36">
        <f>AN309+AN318</f>
        <v/>
      </c>
    </row>
    <row r="328" hidden="1" outlineLevel="2">
      <c r="A328" s="5" t="inlineStr">
        <is>
          <t>nce</t>
        </is>
      </c>
      <c r="B328" s="5" t="inlineStr">
        <is>
          <t>die</t>
        </is>
      </c>
      <c r="C328" s="5" t="inlineStr">
        <is>
          <t>avi</t>
        </is>
      </c>
      <c r="D328" s="37" t="n"/>
      <c r="E328" s="37" t="n"/>
      <c r="F328" s="37" t="n"/>
      <c r="G328" s="37" t="n"/>
      <c r="H328" s="5">
        <f>INDEX(Variables!$B$5:$B$65,MATCH($A328,Variables!$A$5:$A$65,0))&amp;IF($C328="",""," | "&amp;INDEX(Mapping!$B$5:$B$25,MATCH($C328,Mapping!$A$5:$A$25,0))&amp;" | "&amp;INDEX(Mapping!$B$29:$B$38,MATCH($B328,Mapping!$A$29:$A$38,0)))</f>
        <v/>
      </c>
      <c r="I328" s="5">
        <f>INDEX(Variables!$C$5:$C$65,MATCH($A328,Variables!$A$5:$A$65,0))</f>
        <v/>
      </c>
      <c r="J328" s="5">
        <f>INDEX(Variables!$E$5:$E$65,MATCH($A328,Variables!$A$5:$A$65,0))</f>
        <v/>
      </c>
      <c r="K328" s="23">
        <f>LOWER(Settings!$C$4)&amp;".mit."&amp;$A328&amp;IF($C328="","","."&amp;$C328&amp;"."&amp;$B328)&amp;IF(INDEX(Variables!$D$5:$D$65,MATCH($A328,Variables!$A$5:$A$65,0))="","","."&amp;INDEX(Variables!$D$5:$D$65,MATCH($A328,Variables!$A$5:$A$65,0)))&amp;"."&amp;K$5</f>
        <v/>
      </c>
      <c r="L328" s="38">
        <f>L310+L319</f>
        <v/>
      </c>
      <c r="M328" s="36">
        <f>M310+M319</f>
        <v/>
      </c>
      <c r="N328" s="36">
        <f>N310+N319</f>
        <v/>
      </c>
      <c r="O328" s="36">
        <f>O310+O319</f>
        <v/>
      </c>
      <c r="P328" s="36">
        <f>P310+P319</f>
        <v/>
      </c>
      <c r="Q328" s="36">
        <f>Q310+Q319</f>
        <v/>
      </c>
      <c r="R328" s="36">
        <f>R310+R319</f>
        <v/>
      </c>
      <c r="S328" s="36">
        <f>S310+S319</f>
        <v/>
      </c>
      <c r="T328" s="36">
        <f>T310+T319</f>
        <v/>
      </c>
      <c r="U328" s="36">
        <f>U310+U319</f>
        <v/>
      </c>
      <c r="V328" s="36">
        <f>V310+V319</f>
        <v/>
      </c>
      <c r="W328" s="36">
        <f>W310+W319</f>
        <v/>
      </c>
      <c r="X328" s="36">
        <f>X310+X319</f>
        <v/>
      </c>
      <c r="Y328" s="36">
        <f>Y310+Y319</f>
        <v/>
      </c>
      <c r="Z328" s="23">
        <f>LOWER(Settings!$C$4)&amp;".mit."&amp;$A328&amp;IF($C328="","","."&amp;$C328&amp;"."&amp;$B328)&amp;IF(INDEX(Variables!$D$5:$D$65,MATCH($A328,Variables!$A$5:$A$65,0))="","","."&amp;INDEX(Variables!$D$5:$D$65,MATCH($A328,Variables!$A$5:$A$65,0)))&amp;"."&amp;Z$5</f>
        <v/>
      </c>
      <c r="AA328" s="38">
        <f>AA310+AA319</f>
        <v/>
      </c>
      <c r="AB328" s="36">
        <f>AB310+AB319</f>
        <v/>
      </c>
      <c r="AC328" s="36">
        <f>AC310+AC319</f>
        <v/>
      </c>
      <c r="AD328" s="36">
        <f>AD310+AD319</f>
        <v/>
      </c>
      <c r="AE328" s="36">
        <f>AE310+AE319</f>
        <v/>
      </c>
      <c r="AF328" s="36">
        <f>AF310+AF319</f>
        <v/>
      </c>
      <c r="AG328" s="36">
        <f>AG310+AG319</f>
        <v/>
      </c>
      <c r="AH328" s="36">
        <f>AH310+AH319</f>
        <v/>
      </c>
      <c r="AI328" s="36">
        <f>AI310+AI319</f>
        <v/>
      </c>
      <c r="AJ328" s="36">
        <f>AJ310+AJ319</f>
        <v/>
      </c>
      <c r="AK328" s="36">
        <f>AK310+AK319</f>
        <v/>
      </c>
      <c r="AL328" s="36">
        <f>AL310+AL319</f>
        <v/>
      </c>
      <c r="AM328" s="36">
        <f>AM310+AM319</f>
        <v/>
      </c>
      <c r="AN328" s="36">
        <f>AN310+AN319</f>
        <v/>
      </c>
    </row>
    <row r="329" hidden="1" outlineLevel="2">
      <c r="A329" s="5" t="inlineStr">
        <is>
          <t>nce</t>
        </is>
      </c>
      <c r="B329" s="5" t="inlineStr">
        <is>
          <t>lpg</t>
        </is>
      </c>
      <c r="C329" s="5" t="inlineStr">
        <is>
          <t>avi</t>
        </is>
      </c>
      <c r="D329" s="37" t="n"/>
      <c r="E329" s="37" t="n"/>
      <c r="F329" s="37" t="n"/>
      <c r="G329" s="37" t="n"/>
      <c r="H329" s="5">
        <f>INDEX(Variables!$B$5:$B$65,MATCH($A329,Variables!$A$5:$A$65,0))&amp;IF($C329="",""," | "&amp;INDEX(Mapping!$B$5:$B$25,MATCH($C329,Mapping!$A$5:$A$25,0))&amp;" | "&amp;INDEX(Mapping!$B$29:$B$38,MATCH($B329,Mapping!$A$29:$A$38,0)))</f>
        <v/>
      </c>
      <c r="I329" s="5">
        <f>INDEX(Variables!$C$5:$C$65,MATCH($A329,Variables!$A$5:$A$65,0))</f>
        <v/>
      </c>
      <c r="J329" s="5">
        <f>INDEX(Variables!$E$5:$E$65,MATCH($A329,Variables!$A$5:$A$65,0))</f>
        <v/>
      </c>
      <c r="K329" s="23">
        <f>LOWER(Settings!$C$4)&amp;".mit."&amp;$A329&amp;IF($C329="","","."&amp;$C329&amp;"."&amp;$B329)&amp;IF(INDEX(Variables!$D$5:$D$65,MATCH($A329,Variables!$A$5:$A$65,0))="","","."&amp;INDEX(Variables!$D$5:$D$65,MATCH($A329,Variables!$A$5:$A$65,0)))&amp;"."&amp;K$5</f>
        <v/>
      </c>
      <c r="L329" s="38">
        <f>L311+L320</f>
        <v/>
      </c>
      <c r="M329" s="36">
        <f>M311+M320</f>
        <v/>
      </c>
      <c r="N329" s="36">
        <f>N311+N320</f>
        <v/>
      </c>
      <c r="O329" s="36">
        <f>O311+O320</f>
        <v/>
      </c>
      <c r="P329" s="36">
        <f>P311+P320</f>
        <v/>
      </c>
      <c r="Q329" s="36">
        <f>Q311+Q320</f>
        <v/>
      </c>
      <c r="R329" s="36">
        <f>R311+R320</f>
        <v/>
      </c>
      <c r="S329" s="36">
        <f>S311+S320</f>
        <v/>
      </c>
      <c r="T329" s="36">
        <f>T311+T320</f>
        <v/>
      </c>
      <c r="U329" s="36">
        <f>U311+U320</f>
        <v/>
      </c>
      <c r="V329" s="36">
        <f>V311+V320</f>
        <v/>
      </c>
      <c r="W329" s="36">
        <f>W311+W320</f>
        <v/>
      </c>
      <c r="X329" s="36">
        <f>X311+X320</f>
        <v/>
      </c>
      <c r="Y329" s="36">
        <f>Y311+Y320</f>
        <v/>
      </c>
      <c r="Z329" s="23">
        <f>LOWER(Settings!$C$4)&amp;".mit."&amp;$A329&amp;IF($C329="","","."&amp;$C329&amp;"."&amp;$B329)&amp;IF(INDEX(Variables!$D$5:$D$65,MATCH($A329,Variables!$A$5:$A$65,0))="","","."&amp;INDEX(Variables!$D$5:$D$65,MATCH($A329,Variables!$A$5:$A$65,0)))&amp;"."&amp;Z$5</f>
        <v/>
      </c>
      <c r="AA329" s="38">
        <f>AA311+AA320</f>
        <v/>
      </c>
      <c r="AB329" s="36">
        <f>AB311+AB320</f>
        <v/>
      </c>
      <c r="AC329" s="36">
        <f>AC311+AC320</f>
        <v/>
      </c>
      <c r="AD329" s="36">
        <f>AD311+AD320</f>
        <v/>
      </c>
      <c r="AE329" s="36">
        <f>AE311+AE320</f>
        <v/>
      </c>
      <c r="AF329" s="36">
        <f>AF311+AF320</f>
        <v/>
      </c>
      <c r="AG329" s="36">
        <f>AG311+AG320</f>
        <v/>
      </c>
      <c r="AH329" s="36">
        <f>AH311+AH320</f>
        <v/>
      </c>
      <c r="AI329" s="36">
        <f>AI311+AI320</f>
        <v/>
      </c>
      <c r="AJ329" s="36">
        <f>AJ311+AJ320</f>
        <v/>
      </c>
      <c r="AK329" s="36">
        <f>AK311+AK320</f>
        <v/>
      </c>
      <c r="AL329" s="36">
        <f>AL311+AL320</f>
        <v/>
      </c>
      <c r="AM329" s="36">
        <f>AM311+AM320</f>
        <v/>
      </c>
      <c r="AN329" s="36">
        <f>AN311+AN320</f>
        <v/>
      </c>
    </row>
    <row r="330" hidden="1" outlineLevel="2">
      <c r="A330" s="5" t="inlineStr">
        <is>
          <t>nce</t>
        </is>
      </c>
      <c r="B330" s="5" t="inlineStr">
        <is>
          <t>ker</t>
        </is>
      </c>
      <c r="C330" s="5" t="inlineStr">
        <is>
          <t>avi</t>
        </is>
      </c>
      <c r="D330" s="37" t="n"/>
      <c r="E330" s="37" t="n"/>
      <c r="F330" s="37" t="n"/>
      <c r="G330" s="37" t="n"/>
      <c r="H330" s="5">
        <f>INDEX(Variables!$B$5:$B$65,MATCH($A330,Variables!$A$5:$A$65,0))&amp;IF($C330="",""," | "&amp;INDEX(Mapping!$B$5:$B$25,MATCH($C330,Mapping!$A$5:$A$25,0))&amp;" | "&amp;INDEX(Mapping!$B$29:$B$38,MATCH($B330,Mapping!$A$29:$A$38,0)))</f>
        <v/>
      </c>
      <c r="I330" s="5">
        <f>INDEX(Variables!$C$5:$C$65,MATCH($A330,Variables!$A$5:$A$65,0))</f>
        <v/>
      </c>
      <c r="J330" s="5">
        <f>INDEX(Variables!$E$5:$E$65,MATCH($A330,Variables!$A$5:$A$65,0))</f>
        <v/>
      </c>
      <c r="K330" s="23">
        <f>LOWER(Settings!$C$4)&amp;".mit."&amp;$A330&amp;IF($C330="","","."&amp;$C330&amp;"."&amp;$B330)&amp;IF(INDEX(Variables!$D$5:$D$65,MATCH($A330,Variables!$A$5:$A$65,0))="","","."&amp;INDEX(Variables!$D$5:$D$65,MATCH($A330,Variables!$A$5:$A$65,0)))&amp;"."&amp;K$5</f>
        <v/>
      </c>
      <c r="L330" s="38">
        <f>L312+L321</f>
        <v/>
      </c>
      <c r="M330" s="36">
        <f>M312+M321</f>
        <v/>
      </c>
      <c r="N330" s="36">
        <f>N312+N321</f>
        <v/>
      </c>
      <c r="O330" s="36">
        <f>O312+O321</f>
        <v/>
      </c>
      <c r="P330" s="36">
        <f>P312+P321</f>
        <v/>
      </c>
      <c r="Q330" s="36">
        <f>Q312+Q321</f>
        <v/>
      </c>
      <c r="R330" s="36">
        <f>R312+R321</f>
        <v/>
      </c>
      <c r="S330" s="36">
        <f>S312+S321</f>
        <v/>
      </c>
      <c r="T330" s="36">
        <f>T312+T321</f>
        <v/>
      </c>
      <c r="U330" s="36">
        <f>U312+U321</f>
        <v/>
      </c>
      <c r="V330" s="36">
        <f>V312+V321</f>
        <v/>
      </c>
      <c r="W330" s="36">
        <f>W312+W321</f>
        <v/>
      </c>
      <c r="X330" s="36">
        <f>X312+X321</f>
        <v/>
      </c>
      <c r="Y330" s="36">
        <f>Y312+Y321</f>
        <v/>
      </c>
      <c r="Z330" s="23">
        <f>LOWER(Settings!$C$4)&amp;".mit."&amp;$A330&amp;IF($C330="","","."&amp;$C330&amp;"."&amp;$B330)&amp;IF(INDEX(Variables!$D$5:$D$65,MATCH($A330,Variables!$A$5:$A$65,0))="","","."&amp;INDEX(Variables!$D$5:$D$65,MATCH($A330,Variables!$A$5:$A$65,0)))&amp;"."&amp;Z$5</f>
        <v/>
      </c>
      <c r="AA330" s="38">
        <f>AA312+AA321</f>
        <v/>
      </c>
      <c r="AB330" s="36">
        <f>AB312+AB321</f>
        <v/>
      </c>
      <c r="AC330" s="36">
        <f>AC312+AC321</f>
        <v/>
      </c>
      <c r="AD330" s="36">
        <f>AD312+AD321</f>
        <v/>
      </c>
      <c r="AE330" s="36">
        <f>AE312+AE321</f>
        <v/>
      </c>
      <c r="AF330" s="36">
        <f>AF312+AF321</f>
        <v/>
      </c>
      <c r="AG330" s="36">
        <f>AG312+AG321</f>
        <v/>
      </c>
      <c r="AH330" s="36">
        <f>AH312+AH321</f>
        <v/>
      </c>
      <c r="AI330" s="36">
        <f>AI312+AI321</f>
        <v/>
      </c>
      <c r="AJ330" s="36">
        <f>AJ312+AJ321</f>
        <v/>
      </c>
      <c r="AK330" s="36">
        <f>AK312+AK321</f>
        <v/>
      </c>
      <c r="AL330" s="36">
        <f>AL312+AL321</f>
        <v/>
      </c>
      <c r="AM330" s="36">
        <f>AM312+AM321</f>
        <v/>
      </c>
      <c r="AN330" s="36">
        <f>AN312+AN321</f>
        <v/>
      </c>
    </row>
    <row r="331" hidden="1" outlineLevel="2">
      <c r="A331" s="5" t="inlineStr">
        <is>
          <t>nce</t>
        </is>
      </c>
      <c r="B331" s="5" t="inlineStr">
        <is>
          <t>oop</t>
        </is>
      </c>
      <c r="C331" s="5" t="inlineStr">
        <is>
          <t>avi</t>
        </is>
      </c>
      <c r="D331" s="37" t="n"/>
      <c r="E331" s="37" t="n"/>
      <c r="F331" s="37" t="n"/>
      <c r="G331" s="37" t="n"/>
      <c r="H331" s="5">
        <f>INDEX(Variables!$B$5:$B$65,MATCH($A331,Variables!$A$5:$A$65,0))&amp;IF($C331="",""," | "&amp;INDEX(Mapping!$B$5:$B$25,MATCH($C331,Mapping!$A$5:$A$25,0))&amp;" | "&amp;INDEX(Mapping!$B$29:$B$38,MATCH($B331,Mapping!$A$29:$A$38,0)))</f>
        <v/>
      </c>
      <c r="I331" s="5">
        <f>INDEX(Variables!$C$5:$C$65,MATCH($A331,Variables!$A$5:$A$65,0))</f>
        <v/>
      </c>
      <c r="J331" s="5">
        <f>INDEX(Variables!$E$5:$E$65,MATCH($A331,Variables!$A$5:$A$65,0))</f>
        <v/>
      </c>
      <c r="K331" s="23">
        <f>LOWER(Settings!$C$4)&amp;".mit."&amp;$A331&amp;IF($C331="","","."&amp;$C331&amp;"."&amp;$B331)&amp;IF(INDEX(Variables!$D$5:$D$65,MATCH($A331,Variables!$A$5:$A$65,0))="","","."&amp;INDEX(Variables!$D$5:$D$65,MATCH($A331,Variables!$A$5:$A$65,0)))&amp;"."&amp;K$5</f>
        <v/>
      </c>
      <c r="L331" s="38">
        <f>L313+L322</f>
        <v/>
      </c>
      <c r="M331" s="36">
        <f>M313+M322</f>
        <v/>
      </c>
      <c r="N331" s="36">
        <f>N313+N322</f>
        <v/>
      </c>
      <c r="O331" s="36">
        <f>O313+O322</f>
        <v/>
      </c>
      <c r="P331" s="36">
        <f>P313+P322</f>
        <v/>
      </c>
      <c r="Q331" s="36">
        <f>Q313+Q322</f>
        <v/>
      </c>
      <c r="R331" s="36">
        <f>R313+R322</f>
        <v/>
      </c>
      <c r="S331" s="36">
        <f>S313+S322</f>
        <v/>
      </c>
      <c r="T331" s="36">
        <f>T313+T322</f>
        <v/>
      </c>
      <c r="U331" s="36">
        <f>U313+U322</f>
        <v/>
      </c>
      <c r="V331" s="36">
        <f>V313+V322</f>
        <v/>
      </c>
      <c r="W331" s="36">
        <f>W313+W322</f>
        <v/>
      </c>
      <c r="X331" s="36">
        <f>X313+X322</f>
        <v/>
      </c>
      <c r="Y331" s="36">
        <f>Y313+Y322</f>
        <v/>
      </c>
      <c r="Z331" s="23">
        <f>LOWER(Settings!$C$4)&amp;".mit."&amp;$A331&amp;IF($C331="","","."&amp;$C331&amp;"."&amp;$B331)&amp;IF(INDEX(Variables!$D$5:$D$65,MATCH($A331,Variables!$A$5:$A$65,0))="","","."&amp;INDEX(Variables!$D$5:$D$65,MATCH($A331,Variables!$A$5:$A$65,0)))&amp;"."&amp;Z$5</f>
        <v/>
      </c>
      <c r="AA331" s="38">
        <f>AA313+AA322</f>
        <v/>
      </c>
      <c r="AB331" s="36">
        <f>AB313+AB322</f>
        <v/>
      </c>
      <c r="AC331" s="36">
        <f>AC313+AC322</f>
        <v/>
      </c>
      <c r="AD331" s="36">
        <f>AD313+AD322</f>
        <v/>
      </c>
      <c r="AE331" s="36">
        <f>AE313+AE322</f>
        <v/>
      </c>
      <c r="AF331" s="36">
        <f>AF313+AF322</f>
        <v/>
      </c>
      <c r="AG331" s="36">
        <f>AG313+AG322</f>
        <v/>
      </c>
      <c r="AH331" s="36">
        <f>AH313+AH322</f>
        <v/>
      </c>
      <c r="AI331" s="36">
        <f>AI313+AI322</f>
        <v/>
      </c>
      <c r="AJ331" s="36">
        <f>AJ313+AJ322</f>
        <v/>
      </c>
      <c r="AK331" s="36">
        <f>AK313+AK322</f>
        <v/>
      </c>
      <c r="AL331" s="36">
        <f>AL313+AL322</f>
        <v/>
      </c>
      <c r="AM331" s="36">
        <f>AM313+AM322</f>
        <v/>
      </c>
      <c r="AN331" s="36">
        <f>AN313+AN322</f>
        <v/>
      </c>
    </row>
    <row r="332" hidden="1" outlineLevel="2">
      <c r="A332" s="5" t="inlineStr">
        <is>
          <t>nce</t>
        </is>
      </c>
      <c r="B332" s="5" t="inlineStr">
        <is>
          <t>bio</t>
        </is>
      </c>
      <c r="C332" s="5" t="inlineStr">
        <is>
          <t>avi</t>
        </is>
      </c>
      <c r="D332" s="37" t="n"/>
      <c r="E332" s="37" t="n"/>
      <c r="F332" s="37" t="n"/>
      <c r="G332" s="37" t="n"/>
      <c r="H332" s="5">
        <f>INDEX(Variables!$B$5:$B$65,MATCH($A332,Variables!$A$5:$A$65,0))&amp;IF($C332="",""," | "&amp;INDEX(Mapping!$B$5:$B$25,MATCH($C332,Mapping!$A$5:$A$25,0))&amp;" | "&amp;INDEX(Mapping!$B$29:$B$38,MATCH($B332,Mapping!$A$29:$A$38,0)))</f>
        <v/>
      </c>
      <c r="I332" s="5">
        <f>INDEX(Variables!$C$5:$C$65,MATCH($A332,Variables!$A$5:$A$65,0))</f>
        <v/>
      </c>
      <c r="J332" s="5">
        <f>INDEX(Variables!$E$5:$E$65,MATCH($A332,Variables!$A$5:$A$65,0))</f>
        <v/>
      </c>
      <c r="K332" s="23">
        <f>LOWER(Settings!$C$4)&amp;".mit."&amp;$A332&amp;IF($C332="","","."&amp;$C332&amp;"."&amp;$B332)&amp;IF(INDEX(Variables!$D$5:$D$65,MATCH($A332,Variables!$A$5:$A$65,0))="","","."&amp;INDEX(Variables!$D$5:$D$65,MATCH($A332,Variables!$A$5:$A$65,0)))&amp;"."&amp;K$5</f>
        <v/>
      </c>
      <c r="L332" s="38">
        <f>L314+L323</f>
        <v/>
      </c>
      <c r="M332" s="36">
        <f>M314+M323</f>
        <v/>
      </c>
      <c r="N332" s="36">
        <f>N314+N323</f>
        <v/>
      </c>
      <c r="O332" s="36">
        <f>O314+O323</f>
        <v/>
      </c>
      <c r="P332" s="36">
        <f>P314+P323</f>
        <v/>
      </c>
      <c r="Q332" s="36">
        <f>Q314+Q323</f>
        <v/>
      </c>
      <c r="R332" s="36">
        <f>R314+R323</f>
        <v/>
      </c>
      <c r="S332" s="36">
        <f>S314+S323</f>
        <v/>
      </c>
      <c r="T332" s="36">
        <f>T314+T323</f>
        <v/>
      </c>
      <c r="U332" s="36">
        <f>U314+U323</f>
        <v/>
      </c>
      <c r="V332" s="36">
        <f>V314+V323</f>
        <v/>
      </c>
      <c r="W332" s="36">
        <f>W314+W323</f>
        <v/>
      </c>
      <c r="X332" s="36">
        <f>X314+X323</f>
        <v/>
      </c>
      <c r="Y332" s="36">
        <f>Y314+Y323</f>
        <v/>
      </c>
      <c r="Z332" s="23">
        <f>LOWER(Settings!$C$4)&amp;".mit."&amp;$A332&amp;IF($C332="","","."&amp;$C332&amp;"."&amp;$B332)&amp;IF(INDEX(Variables!$D$5:$D$65,MATCH($A332,Variables!$A$5:$A$65,0))="","","."&amp;INDEX(Variables!$D$5:$D$65,MATCH($A332,Variables!$A$5:$A$65,0)))&amp;"."&amp;Z$5</f>
        <v/>
      </c>
      <c r="AA332" s="38">
        <f>AA314+AA323</f>
        <v/>
      </c>
      <c r="AB332" s="36">
        <f>AB314+AB323</f>
        <v/>
      </c>
      <c r="AC332" s="36">
        <f>AC314+AC323</f>
        <v/>
      </c>
      <c r="AD332" s="36">
        <f>AD314+AD323</f>
        <v/>
      </c>
      <c r="AE332" s="36">
        <f>AE314+AE323</f>
        <v/>
      </c>
      <c r="AF332" s="36">
        <f>AF314+AF323</f>
        <v/>
      </c>
      <c r="AG332" s="36">
        <f>AG314+AG323</f>
        <v/>
      </c>
      <c r="AH332" s="36">
        <f>AH314+AH323</f>
        <v/>
      </c>
      <c r="AI332" s="36">
        <f>AI314+AI323</f>
        <v/>
      </c>
      <c r="AJ332" s="36">
        <f>AJ314+AJ323</f>
        <v/>
      </c>
      <c r="AK332" s="36">
        <f>AK314+AK323</f>
        <v/>
      </c>
      <c r="AL332" s="36">
        <f>AL314+AL323</f>
        <v/>
      </c>
      <c r="AM332" s="36">
        <f>AM314+AM323</f>
        <v/>
      </c>
      <c r="AN332" s="36">
        <f>AN314+AN323</f>
        <v/>
      </c>
    </row>
    <row r="333" hidden="1" outlineLevel="2"/>
    <row r="334" hidden="1" outlineLevel="2">
      <c r="A334" s="5" t="inlineStr">
        <is>
          <t>tax</t>
        </is>
      </c>
      <c r="B334" s="5" t="inlineStr">
        <is>
          <t>coa</t>
        </is>
      </c>
      <c r="C334" s="5" t="inlineStr">
        <is>
          <t>avi</t>
        </is>
      </c>
      <c r="D334" s="36">
        <f>INDEX(Inputs!$T$5:$T$132,MATCH($B334&amp;"|"&amp;$C334,Inputs!$A$5:$A$132,0))</f>
        <v/>
      </c>
      <c r="E334" s="37" t="n"/>
      <c r="F334" s="37" t="n"/>
      <c r="G334" s="37" t="n"/>
      <c r="H334" s="5">
        <f>INDEX(Variables!$B$5:$B$65,MATCH($A334,Variables!$A$5:$A$65,0))&amp;IF($C334="",""," | "&amp;INDEX(Mapping!$B$5:$B$25,MATCH($C334,Mapping!$A$5:$A$25,0))&amp;" | "&amp;INDEX(Mapping!$B$29:$B$38,MATCH($B334,Mapping!$A$29:$A$38,0)))</f>
        <v/>
      </c>
      <c r="I334" s="5">
        <f>INDEX(Variables!$C$5:$C$65,MATCH($A334,Variables!$A$5:$A$65,0))</f>
        <v/>
      </c>
      <c r="J334" s="5">
        <f>INDEX(Variables!$E$5:$E$65,MATCH($A334,Variables!$A$5:$A$65,0))</f>
        <v/>
      </c>
      <c r="K334" s="23">
        <f>LOWER(Settings!$C$4)&amp;".mit."&amp;$A334&amp;IF($C334="","","."&amp;$C334&amp;"."&amp;$B334)&amp;IF(INDEX(Variables!$D$5:$D$65,MATCH($A334,Variables!$A$5:$A$65,0))="","","."&amp;INDEX(Variables!$D$5:$D$65,MATCH($A334,Variables!$A$5:$A$65,0)))&amp;"."&amp;K$5</f>
        <v/>
      </c>
      <c r="L334" s="38">
        <f>$D334+L325</f>
        <v/>
      </c>
      <c r="M334" s="36">
        <f>$D334+M325</f>
        <v/>
      </c>
      <c r="N334" s="36">
        <f>$D334+N325</f>
        <v/>
      </c>
      <c r="O334" s="36">
        <f>$D334+O325</f>
        <v/>
      </c>
      <c r="P334" s="36">
        <f>$D334+P325</f>
        <v/>
      </c>
      <c r="Q334" s="36">
        <f>$D334+Q325</f>
        <v/>
      </c>
      <c r="R334" s="36">
        <f>$D334+R325</f>
        <v/>
      </c>
      <c r="S334" s="36">
        <f>$D334+S325</f>
        <v/>
      </c>
      <c r="T334" s="36">
        <f>$D334+T325</f>
        <v/>
      </c>
      <c r="U334" s="36">
        <f>$D334+U325</f>
        <v/>
      </c>
      <c r="V334" s="36">
        <f>$D334+V325</f>
        <v/>
      </c>
      <c r="W334" s="36">
        <f>$D334+W325</f>
        <v/>
      </c>
      <c r="X334" s="36">
        <f>$D334+X325</f>
        <v/>
      </c>
      <c r="Y334" s="39">
        <f>TAX($D334,Y325)</f>
        <v/>
      </c>
      <c r="Z334" s="23">
        <f>LOWER(Settings!$C$4)&amp;".mit."&amp;$A334&amp;IF($C334="","","."&amp;$C334&amp;"."&amp;$B334)&amp;IF(INDEX(Variables!$D$5:$D$65,MATCH($A334,Variables!$A$5:$A$65,0))="","","."&amp;INDEX(Variables!$D$5:$D$65,MATCH($A334,Variables!$A$5:$A$65,0)))&amp;"."&amp;Z$5</f>
        <v/>
      </c>
      <c r="AA334" s="38">
        <f>$D334+AA325</f>
        <v/>
      </c>
      <c r="AB334" s="36">
        <f>$D334+AB325</f>
        <v/>
      </c>
      <c r="AC334" s="36">
        <f>$D334+AC325</f>
        <v/>
      </c>
      <c r="AD334" s="36">
        <f>$D334+AD325</f>
        <v/>
      </c>
      <c r="AE334" s="36">
        <f>$D334+AE325</f>
        <v/>
      </c>
      <c r="AF334" s="36">
        <f>$D334+AF325</f>
        <v/>
      </c>
      <c r="AG334" s="36">
        <f>$D334+AG325</f>
        <v/>
      </c>
      <c r="AH334" s="36">
        <f>$D334+AH325</f>
        <v/>
      </c>
      <c r="AI334" s="36">
        <f>$D334+AI325</f>
        <v/>
      </c>
      <c r="AJ334" s="36">
        <f>$D334+AJ325</f>
        <v/>
      </c>
      <c r="AK334" s="36">
        <f>$D334+AK325</f>
        <v/>
      </c>
      <c r="AL334" s="36">
        <f>$D334+AL325</f>
        <v/>
      </c>
      <c r="AM334" s="36">
        <f>$D334+AM325</f>
        <v/>
      </c>
      <c r="AN334" s="39">
        <f>TAX($D334,AN325)</f>
        <v/>
      </c>
    </row>
    <row r="335" hidden="1" outlineLevel="2">
      <c r="A335" s="5" t="inlineStr">
        <is>
          <t>tax</t>
        </is>
      </c>
      <c r="B335" s="5" t="inlineStr">
        <is>
          <t>nga</t>
        </is>
      </c>
      <c r="C335" s="5" t="inlineStr">
        <is>
          <t>avi</t>
        </is>
      </c>
      <c r="D335" s="36">
        <f>INDEX(Inputs!$T$5:$T$132,MATCH($B335&amp;"|"&amp;$C335,Inputs!$A$5:$A$132,0))</f>
        <v/>
      </c>
      <c r="E335" s="37" t="n"/>
      <c r="F335" s="37" t="n"/>
      <c r="G335" s="37" t="n"/>
      <c r="H335" s="5">
        <f>INDEX(Variables!$B$5:$B$65,MATCH($A335,Variables!$A$5:$A$65,0))&amp;IF($C335="",""," | "&amp;INDEX(Mapping!$B$5:$B$25,MATCH($C335,Mapping!$A$5:$A$25,0))&amp;" | "&amp;INDEX(Mapping!$B$29:$B$38,MATCH($B335,Mapping!$A$29:$A$38,0)))</f>
        <v/>
      </c>
      <c r="I335" s="5">
        <f>INDEX(Variables!$C$5:$C$65,MATCH($A335,Variables!$A$5:$A$65,0))</f>
        <v/>
      </c>
      <c r="J335" s="5">
        <f>INDEX(Variables!$E$5:$E$65,MATCH($A335,Variables!$A$5:$A$65,0))</f>
        <v/>
      </c>
      <c r="K335" s="23">
        <f>LOWER(Settings!$C$4)&amp;".mit."&amp;$A335&amp;IF($C335="","","."&amp;$C335&amp;"."&amp;$B335)&amp;IF(INDEX(Variables!$D$5:$D$65,MATCH($A335,Variables!$A$5:$A$65,0))="","","."&amp;INDEX(Variables!$D$5:$D$65,MATCH($A335,Variables!$A$5:$A$65,0)))&amp;"."&amp;K$5</f>
        <v/>
      </c>
      <c r="L335" s="38">
        <f>$D335+L326</f>
        <v/>
      </c>
      <c r="M335" s="36">
        <f>$D335+M326</f>
        <v/>
      </c>
      <c r="N335" s="36">
        <f>$D335+N326</f>
        <v/>
      </c>
      <c r="O335" s="36">
        <f>$D335+O326</f>
        <v/>
      </c>
      <c r="P335" s="36">
        <f>$D335+P326</f>
        <v/>
      </c>
      <c r="Q335" s="36">
        <f>$D335+Q326</f>
        <v/>
      </c>
      <c r="R335" s="36">
        <f>$D335+R326</f>
        <v/>
      </c>
      <c r="S335" s="36">
        <f>$D335+S326</f>
        <v/>
      </c>
      <c r="T335" s="36">
        <f>$D335+T326</f>
        <v/>
      </c>
      <c r="U335" s="36">
        <f>$D335+U326</f>
        <v/>
      </c>
      <c r="V335" s="36">
        <f>$D335+V326</f>
        <v/>
      </c>
      <c r="W335" s="36">
        <f>$D335+W326</f>
        <v/>
      </c>
      <c r="X335" s="36">
        <f>$D335+X326</f>
        <v/>
      </c>
      <c r="Y335" s="39">
        <f>TAX($D335,Y326)</f>
        <v/>
      </c>
      <c r="Z335" s="23">
        <f>LOWER(Settings!$C$4)&amp;".mit."&amp;$A335&amp;IF($C335="","","."&amp;$C335&amp;"."&amp;$B335)&amp;IF(INDEX(Variables!$D$5:$D$65,MATCH($A335,Variables!$A$5:$A$65,0))="","","."&amp;INDEX(Variables!$D$5:$D$65,MATCH($A335,Variables!$A$5:$A$65,0)))&amp;"."&amp;Z$5</f>
        <v/>
      </c>
      <c r="AA335" s="38">
        <f>$D335+AA326</f>
        <v/>
      </c>
      <c r="AB335" s="36">
        <f>$D335+AB326</f>
        <v/>
      </c>
      <c r="AC335" s="36">
        <f>$D335+AC326</f>
        <v/>
      </c>
      <c r="AD335" s="36">
        <f>$D335+AD326</f>
        <v/>
      </c>
      <c r="AE335" s="36">
        <f>$D335+AE326</f>
        <v/>
      </c>
      <c r="AF335" s="36">
        <f>$D335+AF326</f>
        <v/>
      </c>
      <c r="AG335" s="36">
        <f>$D335+AG326</f>
        <v/>
      </c>
      <c r="AH335" s="36">
        <f>$D335+AH326</f>
        <v/>
      </c>
      <c r="AI335" s="36">
        <f>$D335+AI326</f>
        <v/>
      </c>
      <c r="AJ335" s="36">
        <f>$D335+AJ326</f>
        <v/>
      </c>
      <c r="AK335" s="36">
        <f>$D335+AK326</f>
        <v/>
      </c>
      <c r="AL335" s="36">
        <f>$D335+AL326</f>
        <v/>
      </c>
      <c r="AM335" s="36">
        <f>$D335+AM326</f>
        <v/>
      </c>
      <c r="AN335" s="39">
        <f>TAX($D335,AN326)</f>
        <v/>
      </c>
    </row>
    <row r="336" hidden="1" outlineLevel="2">
      <c r="A336" s="5" t="inlineStr">
        <is>
          <t>tax</t>
        </is>
      </c>
      <c r="B336" s="5" t="inlineStr">
        <is>
          <t>gso</t>
        </is>
      </c>
      <c r="C336" s="5" t="inlineStr">
        <is>
          <t>avi</t>
        </is>
      </c>
      <c r="D336" s="36">
        <f>INDEX(Inputs!$T$5:$T$132,MATCH($B336&amp;"|"&amp;$C336,Inputs!$A$5:$A$132,0))</f>
        <v/>
      </c>
      <c r="E336" s="37" t="n"/>
      <c r="F336" s="37" t="n"/>
      <c r="G336" s="37" t="n"/>
      <c r="H336" s="5">
        <f>INDEX(Variables!$B$5:$B$65,MATCH($A336,Variables!$A$5:$A$65,0))&amp;IF($C336="",""," | "&amp;INDEX(Mapping!$B$5:$B$25,MATCH($C336,Mapping!$A$5:$A$25,0))&amp;" | "&amp;INDEX(Mapping!$B$29:$B$38,MATCH($B336,Mapping!$A$29:$A$38,0)))</f>
        <v/>
      </c>
      <c r="I336" s="5">
        <f>INDEX(Variables!$C$5:$C$65,MATCH($A336,Variables!$A$5:$A$65,0))</f>
        <v/>
      </c>
      <c r="J336" s="5">
        <f>INDEX(Variables!$E$5:$E$65,MATCH($A336,Variables!$A$5:$A$65,0))</f>
        <v/>
      </c>
      <c r="K336" s="23">
        <f>LOWER(Settings!$C$4)&amp;".mit."&amp;$A336&amp;IF($C336="","","."&amp;$C336&amp;"."&amp;$B336)&amp;IF(INDEX(Variables!$D$5:$D$65,MATCH($A336,Variables!$A$5:$A$65,0))="","","."&amp;INDEX(Variables!$D$5:$D$65,MATCH($A336,Variables!$A$5:$A$65,0)))&amp;"."&amp;K$5</f>
        <v/>
      </c>
      <c r="L336" s="38">
        <f>$D336+L327</f>
        <v/>
      </c>
      <c r="M336" s="36">
        <f>$D336+M327</f>
        <v/>
      </c>
      <c r="N336" s="36">
        <f>$D336+N327</f>
        <v/>
      </c>
      <c r="O336" s="36">
        <f>$D336+O327</f>
        <v/>
      </c>
      <c r="P336" s="36">
        <f>$D336+P327</f>
        <v/>
      </c>
      <c r="Q336" s="36">
        <f>$D336+Q327</f>
        <v/>
      </c>
      <c r="R336" s="36">
        <f>$D336+R327</f>
        <v/>
      </c>
      <c r="S336" s="36">
        <f>$D336+S327</f>
        <v/>
      </c>
      <c r="T336" s="36">
        <f>$D336+T327</f>
        <v/>
      </c>
      <c r="U336" s="36">
        <f>$D336+U327</f>
        <v/>
      </c>
      <c r="V336" s="36">
        <f>$D336+V327</f>
        <v/>
      </c>
      <c r="W336" s="36">
        <f>$D336+W327</f>
        <v/>
      </c>
      <c r="X336" s="36">
        <f>$D336+X327</f>
        <v/>
      </c>
      <c r="Y336" s="39">
        <f>TAX($D336,Y327)</f>
        <v/>
      </c>
      <c r="Z336" s="23">
        <f>LOWER(Settings!$C$4)&amp;".mit."&amp;$A336&amp;IF($C336="","","."&amp;$C336&amp;"."&amp;$B336)&amp;IF(INDEX(Variables!$D$5:$D$65,MATCH($A336,Variables!$A$5:$A$65,0))="","","."&amp;INDEX(Variables!$D$5:$D$65,MATCH($A336,Variables!$A$5:$A$65,0)))&amp;"."&amp;Z$5</f>
        <v/>
      </c>
      <c r="AA336" s="38">
        <f>$D336+AA327</f>
        <v/>
      </c>
      <c r="AB336" s="36">
        <f>$D336+AB327</f>
        <v/>
      </c>
      <c r="AC336" s="36">
        <f>$D336+AC327</f>
        <v/>
      </c>
      <c r="AD336" s="36">
        <f>$D336+AD327</f>
        <v/>
      </c>
      <c r="AE336" s="36">
        <f>$D336+AE327</f>
        <v/>
      </c>
      <c r="AF336" s="36">
        <f>$D336+AF327</f>
        <v/>
      </c>
      <c r="AG336" s="36">
        <f>$D336+AG327</f>
        <v/>
      </c>
      <c r="AH336" s="36">
        <f>$D336+AH327</f>
        <v/>
      </c>
      <c r="AI336" s="36">
        <f>$D336+AI327</f>
        <v/>
      </c>
      <c r="AJ336" s="36">
        <f>$D336+AJ327</f>
        <v/>
      </c>
      <c r="AK336" s="36">
        <f>$D336+AK327</f>
        <v/>
      </c>
      <c r="AL336" s="36">
        <f>$D336+AL327</f>
        <v/>
      </c>
      <c r="AM336" s="36">
        <f>$D336+AM327</f>
        <v/>
      </c>
      <c r="AN336" s="39">
        <f>TAX($D336,AN327)</f>
        <v/>
      </c>
    </row>
    <row r="337" hidden="1" outlineLevel="2">
      <c r="A337" s="5" t="inlineStr">
        <is>
          <t>tax</t>
        </is>
      </c>
      <c r="B337" s="5" t="inlineStr">
        <is>
          <t>die</t>
        </is>
      </c>
      <c r="C337" s="5" t="inlineStr">
        <is>
          <t>avi</t>
        </is>
      </c>
      <c r="D337" s="36">
        <f>INDEX(Inputs!$T$5:$T$132,MATCH($B337&amp;"|"&amp;$C337,Inputs!$A$5:$A$132,0))</f>
        <v/>
      </c>
      <c r="E337" s="37" t="n"/>
      <c r="F337" s="37" t="n"/>
      <c r="G337" s="37" t="n"/>
      <c r="H337" s="5">
        <f>INDEX(Variables!$B$5:$B$65,MATCH($A337,Variables!$A$5:$A$65,0))&amp;IF($C337="",""," | "&amp;INDEX(Mapping!$B$5:$B$25,MATCH($C337,Mapping!$A$5:$A$25,0))&amp;" | "&amp;INDEX(Mapping!$B$29:$B$38,MATCH($B337,Mapping!$A$29:$A$38,0)))</f>
        <v/>
      </c>
      <c r="I337" s="5">
        <f>INDEX(Variables!$C$5:$C$65,MATCH($A337,Variables!$A$5:$A$65,0))</f>
        <v/>
      </c>
      <c r="J337" s="5">
        <f>INDEX(Variables!$E$5:$E$65,MATCH($A337,Variables!$A$5:$A$65,0))</f>
        <v/>
      </c>
      <c r="K337" s="23">
        <f>LOWER(Settings!$C$4)&amp;".mit."&amp;$A337&amp;IF($C337="","","."&amp;$C337&amp;"."&amp;$B337)&amp;IF(INDEX(Variables!$D$5:$D$65,MATCH($A337,Variables!$A$5:$A$65,0))="","","."&amp;INDEX(Variables!$D$5:$D$65,MATCH($A337,Variables!$A$5:$A$65,0)))&amp;"."&amp;K$5</f>
        <v/>
      </c>
      <c r="L337" s="38">
        <f>$D337+L328</f>
        <v/>
      </c>
      <c r="M337" s="36">
        <f>$D337+M328</f>
        <v/>
      </c>
      <c r="N337" s="36">
        <f>$D337+N328</f>
        <v/>
      </c>
      <c r="O337" s="36">
        <f>$D337+O328</f>
        <v/>
      </c>
      <c r="P337" s="36">
        <f>$D337+P328</f>
        <v/>
      </c>
      <c r="Q337" s="36">
        <f>$D337+Q328</f>
        <v/>
      </c>
      <c r="R337" s="36">
        <f>$D337+R328</f>
        <v/>
      </c>
      <c r="S337" s="36">
        <f>$D337+S328</f>
        <v/>
      </c>
      <c r="T337" s="36">
        <f>$D337+T328</f>
        <v/>
      </c>
      <c r="U337" s="36">
        <f>$D337+U328</f>
        <v/>
      </c>
      <c r="V337" s="36">
        <f>$D337+V328</f>
        <v/>
      </c>
      <c r="W337" s="36">
        <f>$D337+W328</f>
        <v/>
      </c>
      <c r="X337" s="36">
        <f>$D337+X328</f>
        <v/>
      </c>
      <c r="Y337" s="39">
        <f>TAX($D337,Y328)</f>
        <v/>
      </c>
      <c r="Z337" s="23">
        <f>LOWER(Settings!$C$4)&amp;".mit."&amp;$A337&amp;IF($C337="","","."&amp;$C337&amp;"."&amp;$B337)&amp;IF(INDEX(Variables!$D$5:$D$65,MATCH($A337,Variables!$A$5:$A$65,0))="","","."&amp;INDEX(Variables!$D$5:$D$65,MATCH($A337,Variables!$A$5:$A$65,0)))&amp;"."&amp;Z$5</f>
        <v/>
      </c>
      <c r="AA337" s="38">
        <f>$D337+AA328</f>
        <v/>
      </c>
      <c r="AB337" s="36">
        <f>$D337+AB328</f>
        <v/>
      </c>
      <c r="AC337" s="36">
        <f>$D337+AC328</f>
        <v/>
      </c>
      <c r="AD337" s="36">
        <f>$D337+AD328</f>
        <v/>
      </c>
      <c r="AE337" s="36">
        <f>$D337+AE328</f>
        <v/>
      </c>
      <c r="AF337" s="36">
        <f>$D337+AF328</f>
        <v/>
      </c>
      <c r="AG337" s="36">
        <f>$D337+AG328</f>
        <v/>
      </c>
      <c r="AH337" s="36">
        <f>$D337+AH328</f>
        <v/>
      </c>
      <c r="AI337" s="36">
        <f>$D337+AI328</f>
        <v/>
      </c>
      <c r="AJ337" s="36">
        <f>$D337+AJ328</f>
        <v/>
      </c>
      <c r="AK337" s="36">
        <f>$D337+AK328</f>
        <v/>
      </c>
      <c r="AL337" s="36">
        <f>$D337+AL328</f>
        <v/>
      </c>
      <c r="AM337" s="36">
        <f>$D337+AM328</f>
        <v/>
      </c>
      <c r="AN337" s="39">
        <f>TAX($D337,AN328)</f>
        <v/>
      </c>
    </row>
    <row r="338" hidden="1" outlineLevel="2">
      <c r="A338" s="5" t="inlineStr">
        <is>
          <t>tax</t>
        </is>
      </c>
      <c r="B338" s="5" t="inlineStr">
        <is>
          <t>lpg</t>
        </is>
      </c>
      <c r="C338" s="5" t="inlineStr">
        <is>
          <t>avi</t>
        </is>
      </c>
      <c r="D338" s="36">
        <f>INDEX(Inputs!$T$5:$T$132,MATCH($B338&amp;"|"&amp;$C338,Inputs!$A$5:$A$132,0))</f>
        <v/>
      </c>
      <c r="E338" s="37" t="n"/>
      <c r="F338" s="37" t="n"/>
      <c r="G338" s="37" t="n"/>
      <c r="H338" s="5">
        <f>INDEX(Variables!$B$5:$B$65,MATCH($A338,Variables!$A$5:$A$65,0))&amp;IF($C338="",""," | "&amp;INDEX(Mapping!$B$5:$B$25,MATCH($C338,Mapping!$A$5:$A$25,0))&amp;" | "&amp;INDEX(Mapping!$B$29:$B$38,MATCH($B338,Mapping!$A$29:$A$38,0)))</f>
        <v/>
      </c>
      <c r="I338" s="5">
        <f>INDEX(Variables!$C$5:$C$65,MATCH($A338,Variables!$A$5:$A$65,0))</f>
        <v/>
      </c>
      <c r="J338" s="5">
        <f>INDEX(Variables!$E$5:$E$65,MATCH($A338,Variables!$A$5:$A$65,0))</f>
        <v/>
      </c>
      <c r="K338" s="23">
        <f>LOWER(Settings!$C$4)&amp;".mit."&amp;$A338&amp;IF($C338="","","."&amp;$C338&amp;"."&amp;$B338)&amp;IF(INDEX(Variables!$D$5:$D$65,MATCH($A338,Variables!$A$5:$A$65,0))="","","."&amp;INDEX(Variables!$D$5:$D$65,MATCH($A338,Variables!$A$5:$A$65,0)))&amp;"."&amp;K$5</f>
        <v/>
      </c>
      <c r="L338" s="38">
        <f>$D338+L329</f>
        <v/>
      </c>
      <c r="M338" s="36">
        <f>$D338+M329</f>
        <v/>
      </c>
      <c r="N338" s="36">
        <f>$D338+N329</f>
        <v/>
      </c>
      <c r="O338" s="36">
        <f>$D338+O329</f>
        <v/>
      </c>
      <c r="P338" s="36">
        <f>$D338+P329</f>
        <v/>
      </c>
      <c r="Q338" s="36">
        <f>$D338+Q329</f>
        <v/>
      </c>
      <c r="R338" s="36">
        <f>$D338+R329</f>
        <v/>
      </c>
      <c r="S338" s="36">
        <f>$D338+S329</f>
        <v/>
      </c>
      <c r="T338" s="36">
        <f>$D338+T329</f>
        <v/>
      </c>
      <c r="U338" s="36">
        <f>$D338+U329</f>
        <v/>
      </c>
      <c r="V338" s="36">
        <f>$D338+V329</f>
        <v/>
      </c>
      <c r="W338" s="36">
        <f>$D338+W329</f>
        <v/>
      </c>
      <c r="X338" s="36">
        <f>$D338+X329</f>
        <v/>
      </c>
      <c r="Y338" s="39">
        <f>TAX($D338,Y329)</f>
        <v/>
      </c>
      <c r="Z338" s="23">
        <f>LOWER(Settings!$C$4)&amp;".mit."&amp;$A338&amp;IF($C338="","","."&amp;$C338&amp;"."&amp;$B338)&amp;IF(INDEX(Variables!$D$5:$D$65,MATCH($A338,Variables!$A$5:$A$65,0))="","","."&amp;INDEX(Variables!$D$5:$D$65,MATCH($A338,Variables!$A$5:$A$65,0)))&amp;"."&amp;Z$5</f>
        <v/>
      </c>
      <c r="AA338" s="38">
        <f>$D338+AA329</f>
        <v/>
      </c>
      <c r="AB338" s="36">
        <f>$D338+AB329</f>
        <v/>
      </c>
      <c r="AC338" s="36">
        <f>$D338+AC329</f>
        <v/>
      </c>
      <c r="AD338" s="36">
        <f>$D338+AD329</f>
        <v/>
      </c>
      <c r="AE338" s="36">
        <f>$D338+AE329</f>
        <v/>
      </c>
      <c r="AF338" s="36">
        <f>$D338+AF329</f>
        <v/>
      </c>
      <c r="AG338" s="36">
        <f>$D338+AG329</f>
        <v/>
      </c>
      <c r="AH338" s="36">
        <f>$D338+AH329</f>
        <v/>
      </c>
      <c r="AI338" s="36">
        <f>$D338+AI329</f>
        <v/>
      </c>
      <c r="AJ338" s="36">
        <f>$D338+AJ329</f>
        <v/>
      </c>
      <c r="AK338" s="36">
        <f>$D338+AK329</f>
        <v/>
      </c>
      <c r="AL338" s="36">
        <f>$D338+AL329</f>
        <v/>
      </c>
      <c r="AM338" s="36">
        <f>$D338+AM329</f>
        <v/>
      </c>
      <c r="AN338" s="39">
        <f>TAX($D338,AN329)</f>
        <v/>
      </c>
    </row>
    <row r="339" hidden="1" outlineLevel="2">
      <c r="A339" s="5" t="inlineStr">
        <is>
          <t>tax</t>
        </is>
      </c>
      <c r="B339" s="5" t="inlineStr">
        <is>
          <t>ker</t>
        </is>
      </c>
      <c r="C339" s="5" t="inlineStr">
        <is>
          <t>avi</t>
        </is>
      </c>
      <c r="D339" s="36">
        <f>INDEX(Inputs!$T$5:$T$132,MATCH($B339&amp;"|"&amp;$C339,Inputs!$A$5:$A$132,0))</f>
        <v/>
      </c>
      <c r="E339" s="37" t="n"/>
      <c r="F339" s="37" t="n"/>
      <c r="G339" s="37" t="n"/>
      <c r="H339" s="5">
        <f>INDEX(Variables!$B$5:$B$65,MATCH($A339,Variables!$A$5:$A$65,0))&amp;IF($C339="",""," | "&amp;INDEX(Mapping!$B$5:$B$25,MATCH($C339,Mapping!$A$5:$A$25,0))&amp;" | "&amp;INDEX(Mapping!$B$29:$B$38,MATCH($B339,Mapping!$A$29:$A$38,0)))</f>
        <v/>
      </c>
      <c r="I339" s="5">
        <f>INDEX(Variables!$C$5:$C$65,MATCH($A339,Variables!$A$5:$A$65,0))</f>
        <v/>
      </c>
      <c r="J339" s="5">
        <f>INDEX(Variables!$E$5:$E$65,MATCH($A339,Variables!$A$5:$A$65,0))</f>
        <v/>
      </c>
      <c r="K339" s="23">
        <f>LOWER(Settings!$C$4)&amp;".mit."&amp;$A339&amp;IF($C339="","","."&amp;$C339&amp;"."&amp;$B339)&amp;IF(INDEX(Variables!$D$5:$D$65,MATCH($A339,Variables!$A$5:$A$65,0))="","","."&amp;INDEX(Variables!$D$5:$D$65,MATCH($A339,Variables!$A$5:$A$65,0)))&amp;"."&amp;K$5</f>
        <v/>
      </c>
      <c r="L339" s="38">
        <f>$D339+L330</f>
        <v/>
      </c>
      <c r="M339" s="36">
        <f>$D339+M330</f>
        <v/>
      </c>
      <c r="N339" s="36">
        <f>$D339+N330</f>
        <v/>
      </c>
      <c r="O339" s="36">
        <f>$D339+O330</f>
        <v/>
      </c>
      <c r="P339" s="36">
        <f>$D339+P330</f>
        <v/>
      </c>
      <c r="Q339" s="36">
        <f>$D339+Q330</f>
        <v/>
      </c>
      <c r="R339" s="36">
        <f>$D339+R330</f>
        <v/>
      </c>
      <c r="S339" s="36">
        <f>$D339+S330</f>
        <v/>
      </c>
      <c r="T339" s="36">
        <f>$D339+T330</f>
        <v/>
      </c>
      <c r="U339" s="36">
        <f>$D339+U330</f>
        <v/>
      </c>
      <c r="V339" s="36">
        <f>$D339+V330</f>
        <v/>
      </c>
      <c r="W339" s="36">
        <f>$D339+W330</f>
        <v/>
      </c>
      <c r="X339" s="36">
        <f>$D339+X330</f>
        <v/>
      </c>
      <c r="Y339" s="39">
        <f>TAX($D339,Y330)</f>
        <v/>
      </c>
      <c r="Z339" s="23">
        <f>LOWER(Settings!$C$4)&amp;".mit."&amp;$A339&amp;IF($C339="","","."&amp;$C339&amp;"."&amp;$B339)&amp;IF(INDEX(Variables!$D$5:$D$65,MATCH($A339,Variables!$A$5:$A$65,0))="","","."&amp;INDEX(Variables!$D$5:$D$65,MATCH($A339,Variables!$A$5:$A$65,0)))&amp;"."&amp;Z$5</f>
        <v/>
      </c>
      <c r="AA339" s="38">
        <f>$D339+AA330</f>
        <v/>
      </c>
      <c r="AB339" s="36">
        <f>$D339+AB330</f>
        <v/>
      </c>
      <c r="AC339" s="36">
        <f>$D339+AC330</f>
        <v/>
      </c>
      <c r="AD339" s="36">
        <f>$D339+AD330</f>
        <v/>
      </c>
      <c r="AE339" s="36">
        <f>$D339+AE330</f>
        <v/>
      </c>
      <c r="AF339" s="36">
        <f>$D339+AF330</f>
        <v/>
      </c>
      <c r="AG339" s="36">
        <f>$D339+AG330</f>
        <v/>
      </c>
      <c r="AH339" s="36">
        <f>$D339+AH330</f>
        <v/>
      </c>
      <c r="AI339" s="36">
        <f>$D339+AI330</f>
        <v/>
      </c>
      <c r="AJ339" s="36">
        <f>$D339+AJ330</f>
        <v/>
      </c>
      <c r="AK339" s="36">
        <f>$D339+AK330</f>
        <v/>
      </c>
      <c r="AL339" s="36">
        <f>$D339+AL330</f>
        <v/>
      </c>
      <c r="AM339" s="36">
        <f>$D339+AM330</f>
        <v/>
      </c>
      <c r="AN339" s="39">
        <f>TAX($D339,AN330)</f>
        <v/>
      </c>
    </row>
    <row r="340" hidden="1" outlineLevel="2">
      <c r="A340" s="5" t="inlineStr">
        <is>
          <t>tax</t>
        </is>
      </c>
      <c r="B340" s="5" t="inlineStr">
        <is>
          <t>oop</t>
        </is>
      </c>
      <c r="C340" s="5" t="inlineStr">
        <is>
          <t>avi</t>
        </is>
      </c>
      <c r="D340" s="36">
        <f>INDEX(Inputs!$T$5:$T$132,MATCH($B340&amp;"|"&amp;$C340,Inputs!$A$5:$A$132,0))</f>
        <v/>
      </c>
      <c r="E340" s="37" t="n"/>
      <c r="F340" s="37" t="n"/>
      <c r="G340" s="37" t="n"/>
      <c r="H340" s="5">
        <f>INDEX(Variables!$B$5:$B$65,MATCH($A340,Variables!$A$5:$A$65,0))&amp;IF($C340="",""," | "&amp;INDEX(Mapping!$B$5:$B$25,MATCH($C340,Mapping!$A$5:$A$25,0))&amp;" | "&amp;INDEX(Mapping!$B$29:$B$38,MATCH($B340,Mapping!$A$29:$A$38,0)))</f>
        <v/>
      </c>
      <c r="I340" s="5">
        <f>INDEX(Variables!$C$5:$C$65,MATCH($A340,Variables!$A$5:$A$65,0))</f>
        <v/>
      </c>
      <c r="J340" s="5">
        <f>INDEX(Variables!$E$5:$E$65,MATCH($A340,Variables!$A$5:$A$65,0))</f>
        <v/>
      </c>
      <c r="K340" s="23">
        <f>LOWER(Settings!$C$4)&amp;".mit."&amp;$A340&amp;IF($C340="","","."&amp;$C340&amp;"."&amp;$B340)&amp;IF(INDEX(Variables!$D$5:$D$65,MATCH($A340,Variables!$A$5:$A$65,0))="","","."&amp;INDEX(Variables!$D$5:$D$65,MATCH($A340,Variables!$A$5:$A$65,0)))&amp;"."&amp;K$5</f>
        <v/>
      </c>
      <c r="L340" s="38">
        <f>$D340+L331</f>
        <v/>
      </c>
      <c r="M340" s="36">
        <f>$D340+M331</f>
        <v/>
      </c>
      <c r="N340" s="36">
        <f>$D340+N331</f>
        <v/>
      </c>
      <c r="O340" s="36">
        <f>$D340+O331</f>
        <v/>
      </c>
      <c r="P340" s="36">
        <f>$D340+P331</f>
        <v/>
      </c>
      <c r="Q340" s="36">
        <f>$D340+Q331</f>
        <v/>
      </c>
      <c r="R340" s="36">
        <f>$D340+R331</f>
        <v/>
      </c>
      <c r="S340" s="36">
        <f>$D340+S331</f>
        <v/>
      </c>
      <c r="T340" s="36">
        <f>$D340+T331</f>
        <v/>
      </c>
      <c r="U340" s="36">
        <f>$D340+U331</f>
        <v/>
      </c>
      <c r="V340" s="36">
        <f>$D340+V331</f>
        <v/>
      </c>
      <c r="W340" s="36">
        <f>$D340+W331</f>
        <v/>
      </c>
      <c r="X340" s="36">
        <f>$D340+X331</f>
        <v/>
      </c>
      <c r="Y340" s="39">
        <f>TAX($D340,Y331)</f>
        <v/>
      </c>
      <c r="Z340" s="23">
        <f>LOWER(Settings!$C$4)&amp;".mit."&amp;$A340&amp;IF($C340="","","."&amp;$C340&amp;"."&amp;$B340)&amp;IF(INDEX(Variables!$D$5:$D$65,MATCH($A340,Variables!$A$5:$A$65,0))="","","."&amp;INDEX(Variables!$D$5:$D$65,MATCH($A340,Variables!$A$5:$A$65,0)))&amp;"."&amp;Z$5</f>
        <v/>
      </c>
      <c r="AA340" s="38">
        <f>$D340+AA331</f>
        <v/>
      </c>
      <c r="AB340" s="36">
        <f>$D340+AB331</f>
        <v/>
      </c>
      <c r="AC340" s="36">
        <f>$D340+AC331</f>
        <v/>
      </c>
      <c r="AD340" s="36">
        <f>$D340+AD331</f>
        <v/>
      </c>
      <c r="AE340" s="36">
        <f>$D340+AE331</f>
        <v/>
      </c>
      <c r="AF340" s="36">
        <f>$D340+AF331</f>
        <v/>
      </c>
      <c r="AG340" s="36">
        <f>$D340+AG331</f>
        <v/>
      </c>
      <c r="AH340" s="36">
        <f>$D340+AH331</f>
        <v/>
      </c>
      <c r="AI340" s="36">
        <f>$D340+AI331</f>
        <v/>
      </c>
      <c r="AJ340" s="36">
        <f>$D340+AJ331</f>
        <v/>
      </c>
      <c r="AK340" s="36">
        <f>$D340+AK331</f>
        <v/>
      </c>
      <c r="AL340" s="36">
        <f>$D340+AL331</f>
        <v/>
      </c>
      <c r="AM340" s="36">
        <f>$D340+AM331</f>
        <v/>
      </c>
      <c r="AN340" s="39">
        <f>TAX($D340,AN331)</f>
        <v/>
      </c>
    </row>
    <row r="341" hidden="1" outlineLevel="2">
      <c r="A341" s="5" t="inlineStr">
        <is>
          <t>tax</t>
        </is>
      </c>
      <c r="B341" s="5" t="inlineStr">
        <is>
          <t>bio</t>
        </is>
      </c>
      <c r="C341" s="5" t="inlineStr">
        <is>
          <t>avi</t>
        </is>
      </c>
      <c r="D341" s="36">
        <f>INDEX(Inputs!$T$5:$T$132,MATCH($B341&amp;"|"&amp;$C341,Inputs!$A$5:$A$132,0))</f>
        <v/>
      </c>
      <c r="E341" s="37" t="n"/>
      <c r="F341" s="37" t="n"/>
      <c r="G341" s="37" t="n"/>
      <c r="H341" s="5">
        <f>INDEX(Variables!$B$5:$B$65,MATCH($A341,Variables!$A$5:$A$65,0))&amp;IF($C341="",""," | "&amp;INDEX(Mapping!$B$5:$B$25,MATCH($C341,Mapping!$A$5:$A$25,0))&amp;" | "&amp;INDEX(Mapping!$B$29:$B$38,MATCH($B341,Mapping!$A$29:$A$38,0)))</f>
        <v/>
      </c>
      <c r="I341" s="5">
        <f>INDEX(Variables!$C$5:$C$65,MATCH($A341,Variables!$A$5:$A$65,0))</f>
        <v/>
      </c>
      <c r="J341" s="5">
        <f>INDEX(Variables!$E$5:$E$65,MATCH($A341,Variables!$A$5:$A$65,0))</f>
        <v/>
      </c>
      <c r="K341" s="23">
        <f>LOWER(Settings!$C$4)&amp;".mit."&amp;$A341&amp;IF($C341="","","."&amp;$C341&amp;"."&amp;$B341)&amp;IF(INDEX(Variables!$D$5:$D$65,MATCH($A341,Variables!$A$5:$A$65,0))="","","."&amp;INDEX(Variables!$D$5:$D$65,MATCH($A341,Variables!$A$5:$A$65,0)))&amp;"."&amp;K$5</f>
        <v/>
      </c>
      <c r="L341" s="38">
        <f>$D341+L332</f>
        <v/>
      </c>
      <c r="M341" s="36">
        <f>$D341+M332</f>
        <v/>
      </c>
      <c r="N341" s="36">
        <f>$D341+N332</f>
        <v/>
      </c>
      <c r="O341" s="36">
        <f>$D341+O332</f>
        <v/>
      </c>
      <c r="P341" s="36">
        <f>$D341+P332</f>
        <v/>
      </c>
      <c r="Q341" s="36">
        <f>$D341+Q332</f>
        <v/>
      </c>
      <c r="R341" s="36">
        <f>$D341+R332</f>
        <v/>
      </c>
      <c r="S341" s="36">
        <f>$D341+S332</f>
        <v/>
      </c>
      <c r="T341" s="36">
        <f>$D341+T332</f>
        <v/>
      </c>
      <c r="U341" s="36">
        <f>$D341+U332</f>
        <v/>
      </c>
      <c r="V341" s="36">
        <f>$D341+V332</f>
        <v/>
      </c>
      <c r="W341" s="36">
        <f>$D341+W332</f>
        <v/>
      </c>
      <c r="X341" s="36">
        <f>$D341+X332</f>
        <v/>
      </c>
      <c r="Y341" s="39">
        <f>TAX($D341,Y332)</f>
        <v/>
      </c>
      <c r="Z341" s="23">
        <f>LOWER(Settings!$C$4)&amp;".mit."&amp;$A341&amp;IF($C341="","","."&amp;$C341&amp;"."&amp;$B341)&amp;IF(INDEX(Variables!$D$5:$D$65,MATCH($A341,Variables!$A$5:$A$65,0))="","","."&amp;INDEX(Variables!$D$5:$D$65,MATCH($A341,Variables!$A$5:$A$65,0)))&amp;"."&amp;Z$5</f>
        <v/>
      </c>
      <c r="AA341" s="38">
        <f>$D341+AA332</f>
        <v/>
      </c>
      <c r="AB341" s="36">
        <f>$D341+AB332</f>
        <v/>
      </c>
      <c r="AC341" s="36">
        <f>$D341+AC332</f>
        <v/>
      </c>
      <c r="AD341" s="36">
        <f>$D341+AD332</f>
        <v/>
      </c>
      <c r="AE341" s="36">
        <f>$D341+AE332</f>
        <v/>
      </c>
      <c r="AF341" s="36">
        <f>$D341+AF332</f>
        <v/>
      </c>
      <c r="AG341" s="36">
        <f>$D341+AG332</f>
        <v/>
      </c>
      <c r="AH341" s="36">
        <f>$D341+AH332</f>
        <v/>
      </c>
      <c r="AI341" s="36">
        <f>$D341+AI332</f>
        <v/>
      </c>
      <c r="AJ341" s="36">
        <f>$D341+AJ332</f>
        <v/>
      </c>
      <c r="AK341" s="36">
        <f>$D341+AK332</f>
        <v/>
      </c>
      <c r="AL341" s="36">
        <f>$D341+AL332</f>
        <v/>
      </c>
      <c r="AM341" s="36">
        <f>$D341+AM332</f>
        <v/>
      </c>
      <c r="AN341" s="39">
        <f>TAX($D341,AN332)</f>
        <v/>
      </c>
    </row>
    <row r="342" hidden="1" outlineLevel="2"/>
    <row r="343" hidden="1" outlineLevel="2">
      <c r="A343" s="5" t="inlineStr">
        <is>
          <t>atp</t>
        </is>
      </c>
      <c r="B343" s="5" t="inlineStr">
        <is>
          <t>coa</t>
        </is>
      </c>
      <c r="C343" s="5" t="inlineStr">
        <is>
          <t>avi</t>
        </is>
      </c>
      <c r="D343" s="37" t="n"/>
      <c r="E343" s="37" t="n"/>
      <c r="F343" s="37" t="n"/>
      <c r="G343" s="37" t="n"/>
      <c r="H343" s="5">
        <f>INDEX(Variables!$B$5:$B$65,MATCH($A343,Variables!$A$5:$A$65,0))&amp;IF($C343="",""," | "&amp;INDEX(Mapping!$B$5:$B$25,MATCH($C343,Mapping!$A$5:$A$25,0))&amp;" | "&amp;INDEX(Mapping!$B$29:$B$38,MATCH($B343,Mapping!$A$29:$A$38,0)))</f>
        <v/>
      </c>
      <c r="I343" s="5">
        <f>INDEX(Variables!$C$5:$C$65,MATCH($A343,Variables!$A$5:$A$65,0))</f>
        <v/>
      </c>
      <c r="J343" s="5">
        <f>INDEX(Variables!$E$5:$E$65,MATCH($A343,Variables!$A$5:$A$65,0))</f>
        <v/>
      </c>
      <c r="K343" s="23">
        <f>LOWER(Settings!$C$4)&amp;".mit."&amp;$A343&amp;IF($C343="","","."&amp;$C343&amp;"."&amp;$B343)&amp;IF(INDEX(Variables!$D$5:$D$65,MATCH($A343,Variables!$A$5:$A$65,0))="","","."&amp;INDEX(Variables!$D$5:$D$65,MATCH($A343,Variables!$A$5:$A$65,0)))&amp;"."&amp;K$5</f>
        <v/>
      </c>
      <c r="L343" s="38">
        <f>L298+L334</f>
        <v/>
      </c>
      <c r="M343" s="36">
        <f>M298+M334</f>
        <v/>
      </c>
      <c r="N343" s="36">
        <f>N298+N334</f>
        <v/>
      </c>
      <c r="O343" s="36">
        <f>O298+O334</f>
        <v/>
      </c>
      <c r="P343" s="36">
        <f>P298+P334</f>
        <v/>
      </c>
      <c r="Q343" s="36">
        <f>Q298+Q334</f>
        <v/>
      </c>
      <c r="R343" s="36">
        <f>R298+R334</f>
        <v/>
      </c>
      <c r="S343" s="36">
        <f>S298+S334</f>
        <v/>
      </c>
      <c r="T343" s="36">
        <f>T298+T334</f>
        <v/>
      </c>
      <c r="U343" s="36">
        <f>U298+U334</f>
        <v/>
      </c>
      <c r="V343" s="36">
        <f>V298+V334</f>
        <v/>
      </c>
      <c r="W343" s="36">
        <f>W298+W334</f>
        <v/>
      </c>
      <c r="X343" s="36">
        <f>X298+X334</f>
        <v/>
      </c>
      <c r="Y343" s="39">
        <f>POSTTAX(Y298,Y334)</f>
        <v/>
      </c>
      <c r="Z343" s="23">
        <f>LOWER(Settings!$C$4)&amp;".mit."&amp;$A343&amp;IF($C343="","","."&amp;$C343&amp;"."&amp;$B343)&amp;IF(INDEX(Variables!$D$5:$D$65,MATCH($A343,Variables!$A$5:$A$65,0))="","","."&amp;INDEX(Variables!$D$5:$D$65,MATCH($A343,Variables!$A$5:$A$65,0)))&amp;"."&amp;Z$5</f>
        <v/>
      </c>
      <c r="AA343" s="38">
        <f>AA298+AA334</f>
        <v/>
      </c>
      <c r="AB343" s="36">
        <f>AB298+AB334</f>
        <v/>
      </c>
      <c r="AC343" s="36">
        <f>AC298+AC334</f>
        <v/>
      </c>
      <c r="AD343" s="36">
        <f>AD298+AD334</f>
        <v/>
      </c>
      <c r="AE343" s="36">
        <f>AE298+AE334</f>
        <v/>
      </c>
      <c r="AF343" s="36">
        <f>AF298+AF334</f>
        <v/>
      </c>
      <c r="AG343" s="36">
        <f>AG298+AG334</f>
        <v/>
      </c>
      <c r="AH343" s="36">
        <f>AH298+AH334</f>
        <v/>
      </c>
      <c r="AI343" s="36">
        <f>AI298+AI334</f>
        <v/>
      </c>
      <c r="AJ343" s="36">
        <f>AJ298+AJ334</f>
        <v/>
      </c>
      <c r="AK343" s="36">
        <f>AK298+AK334</f>
        <v/>
      </c>
      <c r="AL343" s="36">
        <f>AL298+AL334</f>
        <v/>
      </c>
      <c r="AM343" s="36">
        <f>AM298+AM334</f>
        <v/>
      </c>
      <c r="AN343" s="39">
        <f>POSTTAX(AN298,AN334)</f>
        <v/>
      </c>
    </row>
    <row r="344" hidden="1" outlineLevel="2">
      <c r="A344" s="5" t="inlineStr">
        <is>
          <t>atp</t>
        </is>
      </c>
      <c r="B344" s="5" t="inlineStr">
        <is>
          <t>nga</t>
        </is>
      </c>
      <c r="C344" s="5" t="inlineStr">
        <is>
          <t>avi</t>
        </is>
      </c>
      <c r="D344" s="37" t="n"/>
      <c r="E344" s="37" t="n"/>
      <c r="F344" s="37" t="n"/>
      <c r="G344" s="37" t="n"/>
      <c r="H344" s="5">
        <f>INDEX(Variables!$B$5:$B$65,MATCH($A344,Variables!$A$5:$A$65,0))&amp;IF($C344="",""," | "&amp;INDEX(Mapping!$B$5:$B$25,MATCH($C344,Mapping!$A$5:$A$25,0))&amp;" | "&amp;INDEX(Mapping!$B$29:$B$38,MATCH($B344,Mapping!$A$29:$A$38,0)))</f>
        <v/>
      </c>
      <c r="I344" s="5">
        <f>INDEX(Variables!$C$5:$C$65,MATCH($A344,Variables!$A$5:$A$65,0))</f>
        <v/>
      </c>
      <c r="J344" s="5">
        <f>INDEX(Variables!$E$5:$E$65,MATCH($A344,Variables!$A$5:$A$65,0))</f>
        <v/>
      </c>
      <c r="K344" s="23">
        <f>LOWER(Settings!$C$4)&amp;".mit."&amp;$A344&amp;IF($C344="","","."&amp;$C344&amp;"."&amp;$B344)&amp;IF(INDEX(Variables!$D$5:$D$65,MATCH($A344,Variables!$A$5:$A$65,0))="","","."&amp;INDEX(Variables!$D$5:$D$65,MATCH($A344,Variables!$A$5:$A$65,0)))&amp;"."&amp;K$5</f>
        <v/>
      </c>
      <c r="L344" s="38">
        <f>L299+L335</f>
        <v/>
      </c>
      <c r="M344" s="36">
        <f>M299+M335</f>
        <v/>
      </c>
      <c r="N344" s="36">
        <f>N299+N335</f>
        <v/>
      </c>
      <c r="O344" s="36">
        <f>O299+O335</f>
        <v/>
      </c>
      <c r="P344" s="36">
        <f>P299+P335</f>
        <v/>
      </c>
      <c r="Q344" s="36">
        <f>Q299+Q335</f>
        <v/>
      </c>
      <c r="R344" s="36">
        <f>R299+R335</f>
        <v/>
      </c>
      <c r="S344" s="36">
        <f>S299+S335</f>
        <v/>
      </c>
      <c r="T344" s="36">
        <f>T299+T335</f>
        <v/>
      </c>
      <c r="U344" s="36">
        <f>U299+U335</f>
        <v/>
      </c>
      <c r="V344" s="36">
        <f>V299+V335</f>
        <v/>
      </c>
      <c r="W344" s="36">
        <f>W299+W335</f>
        <v/>
      </c>
      <c r="X344" s="36">
        <f>X299+X335</f>
        <v/>
      </c>
      <c r="Y344" s="39">
        <f>POSTTAX(Y299,Y335)</f>
        <v/>
      </c>
      <c r="Z344" s="23">
        <f>LOWER(Settings!$C$4)&amp;".mit."&amp;$A344&amp;IF($C344="","","."&amp;$C344&amp;"."&amp;$B344)&amp;IF(INDEX(Variables!$D$5:$D$65,MATCH($A344,Variables!$A$5:$A$65,0))="","","."&amp;INDEX(Variables!$D$5:$D$65,MATCH($A344,Variables!$A$5:$A$65,0)))&amp;"."&amp;Z$5</f>
        <v/>
      </c>
      <c r="AA344" s="38">
        <f>AA299+AA335</f>
        <v/>
      </c>
      <c r="AB344" s="36">
        <f>AB299+AB335</f>
        <v/>
      </c>
      <c r="AC344" s="36">
        <f>AC299+AC335</f>
        <v/>
      </c>
      <c r="AD344" s="36">
        <f>AD299+AD335</f>
        <v/>
      </c>
      <c r="AE344" s="36">
        <f>AE299+AE335</f>
        <v/>
      </c>
      <c r="AF344" s="36">
        <f>AF299+AF335</f>
        <v/>
      </c>
      <c r="AG344" s="36">
        <f>AG299+AG335</f>
        <v/>
      </c>
      <c r="AH344" s="36">
        <f>AH299+AH335</f>
        <v/>
      </c>
      <c r="AI344" s="36">
        <f>AI299+AI335</f>
        <v/>
      </c>
      <c r="AJ344" s="36">
        <f>AJ299+AJ335</f>
        <v/>
      </c>
      <c r="AK344" s="36">
        <f>AK299+AK335</f>
        <v/>
      </c>
      <c r="AL344" s="36">
        <f>AL299+AL335</f>
        <v/>
      </c>
      <c r="AM344" s="36">
        <f>AM299+AM335</f>
        <v/>
      </c>
      <c r="AN344" s="39">
        <f>POSTTAX(AN299,AN335)</f>
        <v/>
      </c>
    </row>
    <row r="345" hidden="1" outlineLevel="2">
      <c r="A345" s="5" t="inlineStr">
        <is>
          <t>atp</t>
        </is>
      </c>
      <c r="B345" s="5" t="inlineStr">
        <is>
          <t>gso</t>
        </is>
      </c>
      <c r="C345" s="5" t="inlineStr">
        <is>
          <t>avi</t>
        </is>
      </c>
      <c r="D345" s="37" t="n"/>
      <c r="E345" s="37" t="n"/>
      <c r="F345" s="37" t="n"/>
      <c r="G345" s="37" t="n"/>
      <c r="H345" s="5">
        <f>INDEX(Variables!$B$5:$B$65,MATCH($A345,Variables!$A$5:$A$65,0))&amp;IF($C345="",""," | "&amp;INDEX(Mapping!$B$5:$B$25,MATCH($C345,Mapping!$A$5:$A$25,0))&amp;" | "&amp;INDEX(Mapping!$B$29:$B$38,MATCH($B345,Mapping!$A$29:$A$38,0)))</f>
        <v/>
      </c>
      <c r="I345" s="5">
        <f>INDEX(Variables!$C$5:$C$65,MATCH($A345,Variables!$A$5:$A$65,0))</f>
        <v/>
      </c>
      <c r="J345" s="5">
        <f>INDEX(Variables!$E$5:$E$65,MATCH($A345,Variables!$A$5:$A$65,0))</f>
        <v/>
      </c>
      <c r="K345" s="23">
        <f>LOWER(Settings!$C$4)&amp;".mit."&amp;$A345&amp;IF($C345="","","."&amp;$C345&amp;"."&amp;$B345)&amp;IF(INDEX(Variables!$D$5:$D$65,MATCH($A345,Variables!$A$5:$A$65,0))="","","."&amp;INDEX(Variables!$D$5:$D$65,MATCH($A345,Variables!$A$5:$A$65,0)))&amp;"."&amp;K$5</f>
        <v/>
      </c>
      <c r="L345" s="38">
        <f>L300+L336</f>
        <v/>
      </c>
      <c r="M345" s="36">
        <f>M300+M336</f>
        <v/>
      </c>
      <c r="N345" s="36">
        <f>N300+N336</f>
        <v/>
      </c>
      <c r="O345" s="36">
        <f>O300+O336</f>
        <v/>
      </c>
      <c r="P345" s="36">
        <f>P300+P336</f>
        <v/>
      </c>
      <c r="Q345" s="36">
        <f>Q300+Q336</f>
        <v/>
      </c>
      <c r="R345" s="36">
        <f>R300+R336</f>
        <v/>
      </c>
      <c r="S345" s="36">
        <f>S300+S336</f>
        <v/>
      </c>
      <c r="T345" s="36">
        <f>T300+T336</f>
        <v/>
      </c>
      <c r="U345" s="36">
        <f>U300+U336</f>
        <v/>
      </c>
      <c r="V345" s="36">
        <f>V300+V336</f>
        <v/>
      </c>
      <c r="W345" s="36">
        <f>W300+W336</f>
        <v/>
      </c>
      <c r="X345" s="36">
        <f>X300+X336</f>
        <v/>
      </c>
      <c r="Y345" s="39">
        <f>POSTTAX(Y300,Y336)</f>
        <v/>
      </c>
      <c r="Z345" s="23">
        <f>LOWER(Settings!$C$4)&amp;".mit."&amp;$A345&amp;IF($C345="","","."&amp;$C345&amp;"."&amp;$B345)&amp;IF(INDEX(Variables!$D$5:$D$65,MATCH($A345,Variables!$A$5:$A$65,0))="","","."&amp;INDEX(Variables!$D$5:$D$65,MATCH($A345,Variables!$A$5:$A$65,0)))&amp;"."&amp;Z$5</f>
        <v/>
      </c>
      <c r="AA345" s="38">
        <f>AA300+AA336</f>
        <v/>
      </c>
      <c r="AB345" s="36">
        <f>AB300+AB336</f>
        <v/>
      </c>
      <c r="AC345" s="36">
        <f>AC300+AC336</f>
        <v/>
      </c>
      <c r="AD345" s="36">
        <f>AD300+AD336</f>
        <v/>
      </c>
      <c r="AE345" s="36">
        <f>AE300+AE336</f>
        <v/>
      </c>
      <c r="AF345" s="36">
        <f>AF300+AF336</f>
        <v/>
      </c>
      <c r="AG345" s="36">
        <f>AG300+AG336</f>
        <v/>
      </c>
      <c r="AH345" s="36">
        <f>AH300+AH336</f>
        <v/>
      </c>
      <c r="AI345" s="36">
        <f>AI300+AI336</f>
        <v/>
      </c>
      <c r="AJ345" s="36">
        <f>AJ300+AJ336</f>
        <v/>
      </c>
      <c r="AK345" s="36">
        <f>AK300+AK336</f>
        <v/>
      </c>
      <c r="AL345" s="36">
        <f>AL300+AL336</f>
        <v/>
      </c>
      <c r="AM345" s="36">
        <f>AM300+AM336</f>
        <v/>
      </c>
      <c r="AN345" s="39">
        <f>POSTTAX(AN300,AN336)</f>
        <v/>
      </c>
    </row>
    <row r="346" hidden="1" outlineLevel="2">
      <c r="A346" s="5" t="inlineStr">
        <is>
          <t>atp</t>
        </is>
      </c>
      <c r="B346" s="5" t="inlineStr">
        <is>
          <t>die</t>
        </is>
      </c>
      <c r="C346" s="5" t="inlineStr">
        <is>
          <t>avi</t>
        </is>
      </c>
      <c r="D346" s="37" t="n"/>
      <c r="E346" s="37" t="n"/>
      <c r="F346" s="37" t="n"/>
      <c r="G346" s="37" t="n"/>
      <c r="H346" s="5">
        <f>INDEX(Variables!$B$5:$B$65,MATCH($A346,Variables!$A$5:$A$65,0))&amp;IF($C346="",""," | "&amp;INDEX(Mapping!$B$5:$B$25,MATCH($C346,Mapping!$A$5:$A$25,0))&amp;" | "&amp;INDEX(Mapping!$B$29:$B$38,MATCH($B346,Mapping!$A$29:$A$38,0)))</f>
        <v/>
      </c>
      <c r="I346" s="5">
        <f>INDEX(Variables!$C$5:$C$65,MATCH($A346,Variables!$A$5:$A$65,0))</f>
        <v/>
      </c>
      <c r="J346" s="5">
        <f>INDEX(Variables!$E$5:$E$65,MATCH($A346,Variables!$A$5:$A$65,0))</f>
        <v/>
      </c>
      <c r="K346" s="23">
        <f>LOWER(Settings!$C$4)&amp;".mit."&amp;$A346&amp;IF($C346="","","."&amp;$C346&amp;"."&amp;$B346)&amp;IF(INDEX(Variables!$D$5:$D$65,MATCH($A346,Variables!$A$5:$A$65,0))="","","."&amp;INDEX(Variables!$D$5:$D$65,MATCH($A346,Variables!$A$5:$A$65,0)))&amp;"."&amp;K$5</f>
        <v/>
      </c>
      <c r="L346" s="38">
        <f>L301+L337</f>
        <v/>
      </c>
      <c r="M346" s="36">
        <f>M301+M337</f>
        <v/>
      </c>
      <c r="N346" s="36">
        <f>N301+N337</f>
        <v/>
      </c>
      <c r="O346" s="36">
        <f>O301+O337</f>
        <v/>
      </c>
      <c r="P346" s="36">
        <f>P301+P337</f>
        <v/>
      </c>
      <c r="Q346" s="36">
        <f>Q301+Q337</f>
        <v/>
      </c>
      <c r="R346" s="36">
        <f>R301+R337</f>
        <v/>
      </c>
      <c r="S346" s="36">
        <f>S301+S337</f>
        <v/>
      </c>
      <c r="T346" s="36">
        <f>T301+T337</f>
        <v/>
      </c>
      <c r="U346" s="36">
        <f>U301+U337</f>
        <v/>
      </c>
      <c r="V346" s="36">
        <f>V301+V337</f>
        <v/>
      </c>
      <c r="W346" s="36">
        <f>W301+W337</f>
        <v/>
      </c>
      <c r="X346" s="36">
        <f>X301+X337</f>
        <v/>
      </c>
      <c r="Y346" s="39">
        <f>POSTTAX(Y301,Y337)</f>
        <v/>
      </c>
      <c r="Z346" s="23">
        <f>LOWER(Settings!$C$4)&amp;".mit."&amp;$A346&amp;IF($C346="","","."&amp;$C346&amp;"."&amp;$B346)&amp;IF(INDEX(Variables!$D$5:$D$65,MATCH($A346,Variables!$A$5:$A$65,0))="","","."&amp;INDEX(Variables!$D$5:$D$65,MATCH($A346,Variables!$A$5:$A$65,0)))&amp;"."&amp;Z$5</f>
        <v/>
      </c>
      <c r="AA346" s="38">
        <f>AA301+AA337</f>
        <v/>
      </c>
      <c r="AB346" s="36">
        <f>AB301+AB337</f>
        <v/>
      </c>
      <c r="AC346" s="36">
        <f>AC301+AC337</f>
        <v/>
      </c>
      <c r="AD346" s="36">
        <f>AD301+AD337</f>
        <v/>
      </c>
      <c r="AE346" s="36">
        <f>AE301+AE337</f>
        <v/>
      </c>
      <c r="AF346" s="36">
        <f>AF301+AF337</f>
        <v/>
      </c>
      <c r="AG346" s="36">
        <f>AG301+AG337</f>
        <v/>
      </c>
      <c r="AH346" s="36">
        <f>AH301+AH337</f>
        <v/>
      </c>
      <c r="AI346" s="36">
        <f>AI301+AI337</f>
        <v/>
      </c>
      <c r="AJ346" s="36">
        <f>AJ301+AJ337</f>
        <v/>
      </c>
      <c r="AK346" s="36">
        <f>AK301+AK337</f>
        <v/>
      </c>
      <c r="AL346" s="36">
        <f>AL301+AL337</f>
        <v/>
      </c>
      <c r="AM346" s="36">
        <f>AM301+AM337</f>
        <v/>
      </c>
      <c r="AN346" s="39">
        <f>POSTTAX(AN301,AN337)</f>
        <v/>
      </c>
    </row>
    <row r="347" hidden="1" outlineLevel="2">
      <c r="A347" s="5" t="inlineStr">
        <is>
          <t>atp</t>
        </is>
      </c>
      <c r="B347" s="5" t="inlineStr">
        <is>
          <t>lpg</t>
        </is>
      </c>
      <c r="C347" s="5" t="inlineStr">
        <is>
          <t>avi</t>
        </is>
      </c>
      <c r="D347" s="37" t="n"/>
      <c r="E347" s="37" t="n"/>
      <c r="F347" s="37" t="n"/>
      <c r="G347" s="37" t="n"/>
      <c r="H347" s="5">
        <f>INDEX(Variables!$B$5:$B$65,MATCH($A347,Variables!$A$5:$A$65,0))&amp;IF($C347="",""," | "&amp;INDEX(Mapping!$B$5:$B$25,MATCH($C347,Mapping!$A$5:$A$25,0))&amp;" | "&amp;INDEX(Mapping!$B$29:$B$38,MATCH($B347,Mapping!$A$29:$A$38,0)))</f>
        <v/>
      </c>
      <c r="I347" s="5">
        <f>INDEX(Variables!$C$5:$C$65,MATCH($A347,Variables!$A$5:$A$65,0))</f>
        <v/>
      </c>
      <c r="J347" s="5">
        <f>INDEX(Variables!$E$5:$E$65,MATCH($A347,Variables!$A$5:$A$65,0))</f>
        <v/>
      </c>
      <c r="K347" s="23">
        <f>LOWER(Settings!$C$4)&amp;".mit."&amp;$A347&amp;IF($C347="","","."&amp;$C347&amp;"."&amp;$B347)&amp;IF(INDEX(Variables!$D$5:$D$65,MATCH($A347,Variables!$A$5:$A$65,0))="","","."&amp;INDEX(Variables!$D$5:$D$65,MATCH($A347,Variables!$A$5:$A$65,0)))&amp;"."&amp;K$5</f>
        <v/>
      </c>
      <c r="L347" s="38">
        <f>L302+L338</f>
        <v/>
      </c>
      <c r="M347" s="36">
        <f>M302+M338</f>
        <v/>
      </c>
      <c r="N347" s="36">
        <f>N302+N338</f>
        <v/>
      </c>
      <c r="O347" s="36">
        <f>O302+O338</f>
        <v/>
      </c>
      <c r="P347" s="36">
        <f>P302+P338</f>
        <v/>
      </c>
      <c r="Q347" s="36">
        <f>Q302+Q338</f>
        <v/>
      </c>
      <c r="R347" s="36">
        <f>R302+R338</f>
        <v/>
      </c>
      <c r="S347" s="36">
        <f>S302+S338</f>
        <v/>
      </c>
      <c r="T347" s="36">
        <f>T302+T338</f>
        <v/>
      </c>
      <c r="U347" s="36">
        <f>U302+U338</f>
        <v/>
      </c>
      <c r="V347" s="36">
        <f>V302+V338</f>
        <v/>
      </c>
      <c r="W347" s="36">
        <f>W302+W338</f>
        <v/>
      </c>
      <c r="X347" s="36">
        <f>X302+X338</f>
        <v/>
      </c>
      <c r="Y347" s="39">
        <f>POSTTAX(Y302,Y338)</f>
        <v/>
      </c>
      <c r="Z347" s="23">
        <f>LOWER(Settings!$C$4)&amp;".mit."&amp;$A347&amp;IF($C347="","","."&amp;$C347&amp;"."&amp;$B347)&amp;IF(INDEX(Variables!$D$5:$D$65,MATCH($A347,Variables!$A$5:$A$65,0))="","","."&amp;INDEX(Variables!$D$5:$D$65,MATCH($A347,Variables!$A$5:$A$65,0)))&amp;"."&amp;Z$5</f>
        <v/>
      </c>
      <c r="AA347" s="38">
        <f>AA302+AA338</f>
        <v/>
      </c>
      <c r="AB347" s="36">
        <f>AB302+AB338</f>
        <v/>
      </c>
      <c r="AC347" s="36">
        <f>AC302+AC338</f>
        <v/>
      </c>
      <c r="AD347" s="36">
        <f>AD302+AD338</f>
        <v/>
      </c>
      <c r="AE347" s="36">
        <f>AE302+AE338</f>
        <v/>
      </c>
      <c r="AF347" s="36">
        <f>AF302+AF338</f>
        <v/>
      </c>
      <c r="AG347" s="36">
        <f>AG302+AG338</f>
        <v/>
      </c>
      <c r="AH347" s="36">
        <f>AH302+AH338</f>
        <v/>
      </c>
      <c r="AI347" s="36">
        <f>AI302+AI338</f>
        <v/>
      </c>
      <c r="AJ347" s="36">
        <f>AJ302+AJ338</f>
        <v/>
      </c>
      <c r="AK347" s="36">
        <f>AK302+AK338</f>
        <v/>
      </c>
      <c r="AL347" s="36">
        <f>AL302+AL338</f>
        <v/>
      </c>
      <c r="AM347" s="36">
        <f>AM302+AM338</f>
        <v/>
      </c>
      <c r="AN347" s="39">
        <f>POSTTAX(AN302,AN338)</f>
        <v/>
      </c>
    </row>
    <row r="348" hidden="1" outlineLevel="2">
      <c r="A348" s="5" t="inlineStr">
        <is>
          <t>atp</t>
        </is>
      </c>
      <c r="B348" s="5" t="inlineStr">
        <is>
          <t>ker</t>
        </is>
      </c>
      <c r="C348" s="5" t="inlineStr">
        <is>
          <t>avi</t>
        </is>
      </c>
      <c r="D348" s="37" t="n"/>
      <c r="E348" s="37" t="n"/>
      <c r="F348" s="37" t="n"/>
      <c r="G348" s="37" t="n"/>
      <c r="H348" s="5">
        <f>INDEX(Variables!$B$5:$B$65,MATCH($A348,Variables!$A$5:$A$65,0))&amp;IF($C348="",""," | "&amp;INDEX(Mapping!$B$5:$B$25,MATCH($C348,Mapping!$A$5:$A$25,0))&amp;" | "&amp;INDEX(Mapping!$B$29:$B$38,MATCH($B348,Mapping!$A$29:$A$38,0)))</f>
        <v/>
      </c>
      <c r="I348" s="5">
        <f>INDEX(Variables!$C$5:$C$65,MATCH($A348,Variables!$A$5:$A$65,0))</f>
        <v/>
      </c>
      <c r="J348" s="5">
        <f>INDEX(Variables!$E$5:$E$65,MATCH($A348,Variables!$A$5:$A$65,0))</f>
        <v/>
      </c>
      <c r="K348" s="23">
        <f>LOWER(Settings!$C$4)&amp;".mit."&amp;$A348&amp;IF($C348="","","."&amp;$C348&amp;"."&amp;$B348)&amp;IF(INDEX(Variables!$D$5:$D$65,MATCH($A348,Variables!$A$5:$A$65,0))="","","."&amp;INDEX(Variables!$D$5:$D$65,MATCH($A348,Variables!$A$5:$A$65,0)))&amp;"."&amp;K$5</f>
        <v/>
      </c>
      <c r="L348" s="38">
        <f>L303+L339</f>
        <v/>
      </c>
      <c r="M348" s="36">
        <f>M303+M339</f>
        <v/>
      </c>
      <c r="N348" s="36">
        <f>N303+N339</f>
        <v/>
      </c>
      <c r="O348" s="36">
        <f>O303+O339</f>
        <v/>
      </c>
      <c r="P348" s="36">
        <f>P303+P339</f>
        <v/>
      </c>
      <c r="Q348" s="36">
        <f>Q303+Q339</f>
        <v/>
      </c>
      <c r="R348" s="36">
        <f>R303+R339</f>
        <v/>
      </c>
      <c r="S348" s="36">
        <f>S303+S339</f>
        <v/>
      </c>
      <c r="T348" s="36">
        <f>T303+T339</f>
        <v/>
      </c>
      <c r="U348" s="36">
        <f>U303+U339</f>
        <v/>
      </c>
      <c r="V348" s="36">
        <f>V303+V339</f>
        <v/>
      </c>
      <c r="W348" s="36">
        <f>W303+W339</f>
        <v/>
      </c>
      <c r="X348" s="36">
        <f>X303+X339</f>
        <v/>
      </c>
      <c r="Y348" s="39">
        <f>POSTTAX(Y303,Y339)</f>
        <v/>
      </c>
      <c r="Z348" s="23">
        <f>LOWER(Settings!$C$4)&amp;".mit."&amp;$A348&amp;IF($C348="","","."&amp;$C348&amp;"."&amp;$B348)&amp;IF(INDEX(Variables!$D$5:$D$65,MATCH($A348,Variables!$A$5:$A$65,0))="","","."&amp;INDEX(Variables!$D$5:$D$65,MATCH($A348,Variables!$A$5:$A$65,0)))&amp;"."&amp;Z$5</f>
        <v/>
      </c>
      <c r="AA348" s="38">
        <f>AA303+AA339</f>
        <v/>
      </c>
      <c r="AB348" s="36">
        <f>AB303+AB339</f>
        <v/>
      </c>
      <c r="AC348" s="36">
        <f>AC303+AC339</f>
        <v/>
      </c>
      <c r="AD348" s="36">
        <f>AD303+AD339</f>
        <v/>
      </c>
      <c r="AE348" s="36">
        <f>AE303+AE339</f>
        <v/>
      </c>
      <c r="AF348" s="36">
        <f>AF303+AF339</f>
        <v/>
      </c>
      <c r="AG348" s="36">
        <f>AG303+AG339</f>
        <v/>
      </c>
      <c r="AH348" s="36">
        <f>AH303+AH339</f>
        <v/>
      </c>
      <c r="AI348" s="36">
        <f>AI303+AI339</f>
        <v/>
      </c>
      <c r="AJ348" s="36">
        <f>AJ303+AJ339</f>
        <v/>
      </c>
      <c r="AK348" s="36">
        <f>AK303+AK339</f>
        <v/>
      </c>
      <c r="AL348" s="36">
        <f>AL303+AL339</f>
        <v/>
      </c>
      <c r="AM348" s="36">
        <f>AM303+AM339</f>
        <v/>
      </c>
      <c r="AN348" s="39">
        <f>POSTTAX(AN303,AN339)</f>
        <v/>
      </c>
    </row>
    <row r="349" hidden="1" outlineLevel="2">
      <c r="A349" s="5" t="inlineStr">
        <is>
          <t>atp</t>
        </is>
      </c>
      <c r="B349" s="5" t="inlineStr">
        <is>
          <t>oop</t>
        </is>
      </c>
      <c r="C349" s="5" t="inlineStr">
        <is>
          <t>avi</t>
        </is>
      </c>
      <c r="D349" s="37" t="n"/>
      <c r="E349" s="37" t="n"/>
      <c r="F349" s="37" t="n"/>
      <c r="G349" s="37" t="n"/>
      <c r="H349" s="5">
        <f>INDEX(Variables!$B$5:$B$65,MATCH($A349,Variables!$A$5:$A$65,0))&amp;IF($C349="",""," | "&amp;INDEX(Mapping!$B$5:$B$25,MATCH($C349,Mapping!$A$5:$A$25,0))&amp;" | "&amp;INDEX(Mapping!$B$29:$B$38,MATCH($B349,Mapping!$A$29:$A$38,0)))</f>
        <v/>
      </c>
      <c r="I349" s="5">
        <f>INDEX(Variables!$C$5:$C$65,MATCH($A349,Variables!$A$5:$A$65,0))</f>
        <v/>
      </c>
      <c r="J349" s="5">
        <f>INDEX(Variables!$E$5:$E$65,MATCH($A349,Variables!$A$5:$A$65,0))</f>
        <v/>
      </c>
      <c r="K349" s="23">
        <f>LOWER(Settings!$C$4)&amp;".mit."&amp;$A349&amp;IF($C349="","","."&amp;$C349&amp;"."&amp;$B349)&amp;IF(INDEX(Variables!$D$5:$D$65,MATCH($A349,Variables!$A$5:$A$65,0))="","","."&amp;INDEX(Variables!$D$5:$D$65,MATCH($A349,Variables!$A$5:$A$65,0)))&amp;"."&amp;K$5</f>
        <v/>
      </c>
      <c r="L349" s="38">
        <f>L304+L340</f>
        <v/>
      </c>
      <c r="M349" s="36">
        <f>M304+M340</f>
        <v/>
      </c>
      <c r="N349" s="36">
        <f>N304+N340</f>
        <v/>
      </c>
      <c r="O349" s="36">
        <f>O304+O340</f>
        <v/>
      </c>
      <c r="P349" s="36">
        <f>P304+P340</f>
        <v/>
      </c>
      <c r="Q349" s="36">
        <f>Q304+Q340</f>
        <v/>
      </c>
      <c r="R349" s="36">
        <f>R304+R340</f>
        <v/>
      </c>
      <c r="S349" s="36">
        <f>S304+S340</f>
        <v/>
      </c>
      <c r="T349" s="36">
        <f>T304+T340</f>
        <v/>
      </c>
      <c r="U349" s="36">
        <f>U304+U340</f>
        <v/>
      </c>
      <c r="V349" s="36">
        <f>V304+V340</f>
        <v/>
      </c>
      <c r="W349" s="36">
        <f>W304+W340</f>
        <v/>
      </c>
      <c r="X349" s="36">
        <f>X304+X340</f>
        <v/>
      </c>
      <c r="Y349" s="39">
        <f>POSTTAX(Y304,Y340)</f>
        <v/>
      </c>
      <c r="Z349" s="23">
        <f>LOWER(Settings!$C$4)&amp;".mit."&amp;$A349&amp;IF($C349="","","."&amp;$C349&amp;"."&amp;$B349)&amp;IF(INDEX(Variables!$D$5:$D$65,MATCH($A349,Variables!$A$5:$A$65,0))="","","."&amp;INDEX(Variables!$D$5:$D$65,MATCH($A349,Variables!$A$5:$A$65,0)))&amp;"."&amp;Z$5</f>
        <v/>
      </c>
      <c r="AA349" s="38">
        <f>AA304+AA340</f>
        <v/>
      </c>
      <c r="AB349" s="36">
        <f>AB304+AB340</f>
        <v/>
      </c>
      <c r="AC349" s="36">
        <f>AC304+AC340</f>
        <v/>
      </c>
      <c r="AD349" s="36">
        <f>AD304+AD340</f>
        <v/>
      </c>
      <c r="AE349" s="36">
        <f>AE304+AE340</f>
        <v/>
      </c>
      <c r="AF349" s="36">
        <f>AF304+AF340</f>
        <v/>
      </c>
      <c r="AG349" s="36">
        <f>AG304+AG340</f>
        <v/>
      </c>
      <c r="AH349" s="36">
        <f>AH304+AH340</f>
        <v/>
      </c>
      <c r="AI349" s="36">
        <f>AI304+AI340</f>
        <v/>
      </c>
      <c r="AJ349" s="36">
        <f>AJ304+AJ340</f>
        <v/>
      </c>
      <c r="AK349" s="36">
        <f>AK304+AK340</f>
        <v/>
      </c>
      <c r="AL349" s="36">
        <f>AL304+AL340</f>
        <v/>
      </c>
      <c r="AM349" s="36">
        <f>AM304+AM340</f>
        <v/>
      </c>
      <c r="AN349" s="39">
        <f>POSTTAX(AN304,AN340)</f>
        <v/>
      </c>
    </row>
    <row r="350" hidden="1" outlineLevel="2">
      <c r="A350" s="5" t="inlineStr">
        <is>
          <t>atp</t>
        </is>
      </c>
      <c r="B350" s="5" t="inlineStr">
        <is>
          <t>bio</t>
        </is>
      </c>
      <c r="C350" s="5" t="inlineStr">
        <is>
          <t>avi</t>
        </is>
      </c>
      <c r="D350" s="37" t="n"/>
      <c r="E350" s="37" t="n"/>
      <c r="F350" s="37" t="n"/>
      <c r="G350" s="37" t="n"/>
      <c r="H350" s="5">
        <f>INDEX(Variables!$B$5:$B$65,MATCH($A350,Variables!$A$5:$A$65,0))&amp;IF($C350="",""," | "&amp;INDEX(Mapping!$B$5:$B$25,MATCH($C350,Mapping!$A$5:$A$25,0))&amp;" | "&amp;INDEX(Mapping!$B$29:$B$38,MATCH($B350,Mapping!$A$29:$A$38,0)))</f>
        <v/>
      </c>
      <c r="I350" s="5">
        <f>INDEX(Variables!$C$5:$C$65,MATCH($A350,Variables!$A$5:$A$65,0))</f>
        <v/>
      </c>
      <c r="J350" s="5">
        <f>INDEX(Variables!$E$5:$E$65,MATCH($A350,Variables!$A$5:$A$65,0))</f>
        <v/>
      </c>
      <c r="K350" s="23">
        <f>LOWER(Settings!$C$4)&amp;".mit."&amp;$A350&amp;IF($C350="","","."&amp;$C350&amp;"."&amp;$B350)&amp;IF(INDEX(Variables!$D$5:$D$65,MATCH($A350,Variables!$A$5:$A$65,0))="","","."&amp;INDEX(Variables!$D$5:$D$65,MATCH($A350,Variables!$A$5:$A$65,0)))&amp;"."&amp;K$5</f>
        <v/>
      </c>
      <c r="L350" s="38">
        <f>L305+L341</f>
        <v/>
      </c>
      <c r="M350" s="36">
        <f>M305+M341</f>
        <v/>
      </c>
      <c r="N350" s="36">
        <f>N305+N341</f>
        <v/>
      </c>
      <c r="O350" s="36">
        <f>O305+O341</f>
        <v/>
      </c>
      <c r="P350" s="36">
        <f>P305+P341</f>
        <v/>
      </c>
      <c r="Q350" s="36">
        <f>Q305+Q341</f>
        <v/>
      </c>
      <c r="R350" s="36">
        <f>R305+R341</f>
        <v/>
      </c>
      <c r="S350" s="36">
        <f>S305+S341</f>
        <v/>
      </c>
      <c r="T350" s="36">
        <f>T305+T341</f>
        <v/>
      </c>
      <c r="U350" s="36">
        <f>U305+U341</f>
        <v/>
      </c>
      <c r="V350" s="36">
        <f>V305+V341</f>
        <v/>
      </c>
      <c r="W350" s="36">
        <f>W305+W341</f>
        <v/>
      </c>
      <c r="X350" s="36">
        <f>X305+X341</f>
        <v/>
      </c>
      <c r="Y350" s="39">
        <f>POSTTAX(Y305,Y341)</f>
        <v/>
      </c>
      <c r="Z350" s="23">
        <f>LOWER(Settings!$C$4)&amp;".mit."&amp;$A350&amp;IF($C350="","","."&amp;$C350&amp;"."&amp;$B350)&amp;IF(INDEX(Variables!$D$5:$D$65,MATCH($A350,Variables!$A$5:$A$65,0))="","","."&amp;INDEX(Variables!$D$5:$D$65,MATCH($A350,Variables!$A$5:$A$65,0)))&amp;"."&amp;Z$5</f>
        <v/>
      </c>
      <c r="AA350" s="38">
        <f>AA305+AA341</f>
        <v/>
      </c>
      <c r="AB350" s="36">
        <f>AB305+AB341</f>
        <v/>
      </c>
      <c r="AC350" s="36">
        <f>AC305+AC341</f>
        <v/>
      </c>
      <c r="AD350" s="36">
        <f>AD305+AD341</f>
        <v/>
      </c>
      <c r="AE350" s="36">
        <f>AE305+AE341</f>
        <v/>
      </c>
      <c r="AF350" s="36">
        <f>AF305+AF341</f>
        <v/>
      </c>
      <c r="AG350" s="36">
        <f>AG305+AG341</f>
        <v/>
      </c>
      <c r="AH350" s="36">
        <f>AH305+AH341</f>
        <v/>
      </c>
      <c r="AI350" s="36">
        <f>AI305+AI341</f>
        <v/>
      </c>
      <c r="AJ350" s="36">
        <f>AJ305+AJ341</f>
        <v/>
      </c>
      <c r="AK350" s="36">
        <f>AK305+AK341</f>
        <v/>
      </c>
      <c r="AL350" s="36">
        <f>AL305+AL341</f>
        <v/>
      </c>
      <c r="AM350" s="36">
        <f>AM305+AM341</f>
        <v/>
      </c>
      <c r="AN350" s="39">
        <f>POSTTAX(AN305,AN341)</f>
        <v/>
      </c>
    </row>
    <row r="351" hidden="1" outlineLevel="2"/>
    <row r="352" hidden="1" outlineLevel="2">
      <c r="A352" s="5" t="inlineStr">
        <is>
          <t>shp</t>
        </is>
      </c>
      <c r="B352" s="5" t="inlineStr">
        <is>
          <t>coa</t>
        </is>
      </c>
      <c r="C352" s="5" t="inlineStr">
        <is>
          <t>avi</t>
        </is>
      </c>
      <c r="D352" s="36">
        <f>INDEX(Inputs!$M$5:$M$132,MATCH($B352&amp;"|"&amp;$C352,Inputs!$A$5:$A$132,0))</f>
        <v/>
      </c>
      <c r="E352" s="36">
        <f>INDEX(Inputs!$U$5:$U$132,MATCH($B352&amp;"|"&amp;$C352,Inputs!$A$5:$A$132,0))</f>
        <v/>
      </c>
      <c r="F352" s="36">
        <f>INDEX(Inputs!$K$5:$K$132,MATCH($B352&amp;"|"&amp;$C352,Inputs!$A$5:$A$132,0))</f>
        <v/>
      </c>
      <c r="G352" s="37" t="n"/>
      <c r="H352" s="5">
        <f>INDEX(Variables!$B$5:$B$65,MATCH($A352,Variables!$A$5:$A$65,0))&amp;IF($C352="",""," | "&amp;INDEX(Mapping!$B$5:$B$25,MATCH($C352,Mapping!$A$5:$A$25,0))&amp;" | "&amp;INDEX(Mapping!$B$29:$B$38,MATCH($B352,Mapping!$A$29:$A$38,0)))</f>
        <v/>
      </c>
      <c r="I352" s="5">
        <f>INDEX(Variables!$C$5:$C$65,MATCH($A352,Variables!$A$5:$A$65,0))</f>
        <v/>
      </c>
      <c r="J352" s="5">
        <f>INDEX(Variables!$E$5:$E$65,MATCH($A352,Variables!$A$5:$A$65,0))</f>
        <v/>
      </c>
      <c r="K352" s="23">
        <f>LOWER(Settings!$C$4)&amp;".mit."&amp;$A352&amp;IF($C352="","","."&amp;$C352&amp;"."&amp;$B352)&amp;IF(INDEX(Variables!$D$5:$D$65,MATCH($A352,Variables!$A$5:$A$65,0))="","","."&amp;INDEX(Variables!$D$5:$D$65,MATCH($A352,Variables!$A$5:$A$65,0)))&amp;"."&amp;K$5</f>
        <v/>
      </c>
      <c r="L352" s="38">
        <f>INDEX(L$124:L$127,$D352)*$E352*INDEX(L$128:L$144,$F352)</f>
        <v/>
      </c>
      <c r="M352" s="36">
        <f>INDEX(M$124:M$127,$D352)*$E352*INDEX(M$128:M$144,$F352)</f>
        <v/>
      </c>
      <c r="N352" s="36">
        <f>INDEX(N$124:N$127,$D352)*$E352*INDEX(N$128:N$144,$F352)</f>
        <v/>
      </c>
      <c r="O352" s="36">
        <f>INDEX(O$124:O$127,$D352)*$E352*INDEX(O$128:O$144,$F352)</f>
        <v/>
      </c>
      <c r="P352" s="36">
        <f>INDEX(P$124:P$127,$D352)*$E352*INDEX(P$128:P$144,$F352)</f>
        <v/>
      </c>
      <c r="Q352" s="36">
        <f>INDEX(Q$124:Q$127,$D352)*$E352*INDEX(Q$128:Q$144,$F352)</f>
        <v/>
      </c>
      <c r="R352" s="36">
        <f>INDEX(R$124:R$127,$D352)*$E352*INDEX(R$128:R$144,$F352)</f>
        <v/>
      </c>
      <c r="S352" s="36">
        <f>INDEX(S$124:S$127,$D352)*$E352*INDEX(S$128:S$144,$F352)</f>
        <v/>
      </c>
      <c r="T352" s="36">
        <f>INDEX(T$124:T$127,$D352)*$E352*INDEX(T$128:T$144,$F352)</f>
        <v/>
      </c>
      <c r="U352" s="36">
        <f>INDEX(U$124:U$127,$D352)*$E352*INDEX(U$128:U$144,$F352)</f>
        <v/>
      </c>
      <c r="V352" s="36">
        <f>INDEX(V$124:V$127,$D352)*$E352*INDEX(V$128:V$144,$F352)</f>
        <v/>
      </c>
      <c r="W352" s="36">
        <f>INDEX(W$124:W$127,$D352)*$E352*INDEX(W$128:W$144,$F352)</f>
        <v/>
      </c>
      <c r="X352" s="36">
        <f>INDEX(X$124:X$127,$D352)*$E352*INDEX(X$128:X$144,$F352)</f>
        <v/>
      </c>
      <c r="Y352" s="36">
        <f>INDEX(Y$124:Y$127,$D352)*$E352*INDEX(Y$128:Y$144,$F352)</f>
        <v/>
      </c>
      <c r="Z352" s="23">
        <f>LOWER(Settings!$C$4)&amp;".mit."&amp;$A352&amp;IF($C352="","","."&amp;$C352&amp;"."&amp;$B352)&amp;IF(INDEX(Variables!$D$5:$D$65,MATCH($A352,Variables!$A$5:$A$65,0))="","","."&amp;INDEX(Variables!$D$5:$D$65,MATCH($A352,Variables!$A$5:$A$65,0)))&amp;"."&amp;Z$5</f>
        <v/>
      </c>
      <c r="AA352" s="38">
        <f>INDEX(AA$124:AA$127,$D352)*$E352*INDEX(AA$128:AA$144,$F352)</f>
        <v/>
      </c>
      <c r="AB352" s="36">
        <f>INDEX(AB$124:AB$127,$D352)*$E352*INDEX(AB$128:AB$144,$F352)</f>
        <v/>
      </c>
      <c r="AC352" s="36">
        <f>INDEX(AC$124:AC$127,$D352)*$E352*INDEX(AC$128:AC$144,$F352)</f>
        <v/>
      </c>
      <c r="AD352" s="36">
        <f>INDEX(AD$124:AD$127,$D352)*$E352*INDEX(AD$128:AD$144,$F352)</f>
        <v/>
      </c>
      <c r="AE352" s="36">
        <f>INDEX(AE$124:AE$127,$D352)*$E352*INDEX(AE$128:AE$144,$F352)</f>
        <v/>
      </c>
      <c r="AF352" s="36">
        <f>INDEX(AF$124:AF$127,$D352)*$E352*INDEX(AF$128:AF$144,$F352)</f>
        <v/>
      </c>
      <c r="AG352" s="36">
        <f>INDEX(AG$124:AG$127,$D352)*$E352*INDEX(AG$128:AG$144,$F352)</f>
        <v/>
      </c>
      <c r="AH352" s="36">
        <f>INDEX(AH$124:AH$127,$D352)*$E352*INDEX(AH$128:AH$144,$F352)</f>
        <v/>
      </c>
      <c r="AI352" s="36">
        <f>INDEX(AI$124:AI$127,$D352)*$E352*INDEX(AI$128:AI$144,$F352)</f>
        <v/>
      </c>
      <c r="AJ352" s="36">
        <f>INDEX(AJ$124:AJ$127,$D352)*$E352*INDEX(AJ$128:AJ$144,$F352)</f>
        <v/>
      </c>
      <c r="AK352" s="36">
        <f>INDEX(AK$124:AK$127,$D352)*$E352*INDEX(AK$128:AK$144,$F352)</f>
        <v/>
      </c>
      <c r="AL352" s="36">
        <f>INDEX(AL$124:AL$127,$D352)*$E352*INDEX(AL$128:AL$144,$F352)</f>
        <v/>
      </c>
      <c r="AM352" s="36">
        <f>INDEX(AM$124:AM$127,$D352)*$E352*INDEX(AM$128:AM$144,$F352)</f>
        <v/>
      </c>
      <c r="AN352" s="36">
        <f>INDEX(AN$124:AN$127,$D352)*$E352*INDEX(AN$128:AN$144,$F352)</f>
        <v/>
      </c>
    </row>
    <row r="353" hidden="1" outlineLevel="2">
      <c r="A353" s="5" t="inlineStr">
        <is>
          <t>shp</t>
        </is>
      </c>
      <c r="B353" s="5" t="inlineStr">
        <is>
          <t>nga</t>
        </is>
      </c>
      <c r="C353" s="5" t="inlineStr">
        <is>
          <t>avi</t>
        </is>
      </c>
      <c r="D353" s="36">
        <f>INDEX(Inputs!$M$5:$M$132,MATCH($B353&amp;"|"&amp;$C353,Inputs!$A$5:$A$132,0))</f>
        <v/>
      </c>
      <c r="E353" s="36">
        <f>INDEX(Inputs!$U$5:$U$132,MATCH($B353&amp;"|"&amp;$C353,Inputs!$A$5:$A$132,0))</f>
        <v/>
      </c>
      <c r="F353" s="36">
        <f>INDEX(Inputs!$K$5:$K$132,MATCH($B353&amp;"|"&amp;$C353,Inputs!$A$5:$A$132,0))</f>
        <v/>
      </c>
      <c r="G353" s="37" t="n"/>
      <c r="H353" s="5">
        <f>INDEX(Variables!$B$5:$B$65,MATCH($A353,Variables!$A$5:$A$65,0))&amp;IF($C353="",""," | "&amp;INDEX(Mapping!$B$5:$B$25,MATCH($C353,Mapping!$A$5:$A$25,0))&amp;" | "&amp;INDEX(Mapping!$B$29:$B$38,MATCH($B353,Mapping!$A$29:$A$38,0)))</f>
        <v/>
      </c>
      <c r="I353" s="5">
        <f>INDEX(Variables!$C$5:$C$65,MATCH($A353,Variables!$A$5:$A$65,0))</f>
        <v/>
      </c>
      <c r="J353" s="5">
        <f>INDEX(Variables!$E$5:$E$65,MATCH($A353,Variables!$A$5:$A$65,0))</f>
        <v/>
      </c>
      <c r="K353" s="23">
        <f>LOWER(Settings!$C$4)&amp;".mit."&amp;$A353&amp;IF($C353="","","."&amp;$C353&amp;"."&amp;$B353)&amp;IF(INDEX(Variables!$D$5:$D$65,MATCH($A353,Variables!$A$5:$A$65,0))="","","."&amp;INDEX(Variables!$D$5:$D$65,MATCH($A353,Variables!$A$5:$A$65,0)))&amp;"."&amp;K$5</f>
        <v/>
      </c>
      <c r="L353" s="38">
        <f>INDEX(L$124:L$127,$D353)*$E353*INDEX(L$128:L$144,$F353)</f>
        <v/>
      </c>
      <c r="M353" s="36">
        <f>INDEX(M$124:M$127,$D353)*$E353*INDEX(M$128:M$144,$F353)</f>
        <v/>
      </c>
      <c r="N353" s="36">
        <f>INDEX(N$124:N$127,$D353)*$E353*INDEX(N$128:N$144,$F353)</f>
        <v/>
      </c>
      <c r="O353" s="36">
        <f>INDEX(O$124:O$127,$D353)*$E353*INDEX(O$128:O$144,$F353)</f>
        <v/>
      </c>
      <c r="P353" s="36">
        <f>INDEX(P$124:P$127,$D353)*$E353*INDEX(P$128:P$144,$F353)</f>
        <v/>
      </c>
      <c r="Q353" s="36">
        <f>INDEX(Q$124:Q$127,$D353)*$E353*INDEX(Q$128:Q$144,$F353)</f>
        <v/>
      </c>
      <c r="R353" s="36">
        <f>INDEX(R$124:R$127,$D353)*$E353*INDEX(R$128:R$144,$F353)</f>
        <v/>
      </c>
      <c r="S353" s="36">
        <f>INDEX(S$124:S$127,$D353)*$E353*INDEX(S$128:S$144,$F353)</f>
        <v/>
      </c>
      <c r="T353" s="36">
        <f>INDEX(T$124:T$127,$D353)*$E353*INDEX(T$128:T$144,$F353)</f>
        <v/>
      </c>
      <c r="U353" s="36">
        <f>INDEX(U$124:U$127,$D353)*$E353*INDEX(U$128:U$144,$F353)</f>
        <v/>
      </c>
      <c r="V353" s="36">
        <f>INDEX(V$124:V$127,$D353)*$E353*INDEX(V$128:V$144,$F353)</f>
        <v/>
      </c>
      <c r="W353" s="36">
        <f>INDEX(W$124:W$127,$D353)*$E353*INDEX(W$128:W$144,$F353)</f>
        <v/>
      </c>
      <c r="X353" s="36">
        <f>INDEX(X$124:X$127,$D353)*$E353*INDEX(X$128:X$144,$F353)</f>
        <v/>
      </c>
      <c r="Y353" s="36">
        <f>INDEX(Y$124:Y$127,$D353)*$E353*INDEX(Y$128:Y$144,$F353)</f>
        <v/>
      </c>
      <c r="Z353" s="23">
        <f>LOWER(Settings!$C$4)&amp;".mit."&amp;$A353&amp;IF($C353="","","."&amp;$C353&amp;"."&amp;$B353)&amp;IF(INDEX(Variables!$D$5:$D$65,MATCH($A353,Variables!$A$5:$A$65,0))="","","."&amp;INDEX(Variables!$D$5:$D$65,MATCH($A353,Variables!$A$5:$A$65,0)))&amp;"."&amp;Z$5</f>
        <v/>
      </c>
      <c r="AA353" s="38">
        <f>INDEX(AA$124:AA$127,$D353)*$E353*INDEX(AA$128:AA$144,$F353)</f>
        <v/>
      </c>
      <c r="AB353" s="36">
        <f>INDEX(AB$124:AB$127,$D353)*$E353*INDEX(AB$128:AB$144,$F353)</f>
        <v/>
      </c>
      <c r="AC353" s="36">
        <f>INDEX(AC$124:AC$127,$D353)*$E353*INDEX(AC$128:AC$144,$F353)</f>
        <v/>
      </c>
      <c r="AD353" s="36">
        <f>INDEX(AD$124:AD$127,$D353)*$E353*INDEX(AD$128:AD$144,$F353)</f>
        <v/>
      </c>
      <c r="AE353" s="36">
        <f>INDEX(AE$124:AE$127,$D353)*$E353*INDEX(AE$128:AE$144,$F353)</f>
        <v/>
      </c>
      <c r="AF353" s="36">
        <f>INDEX(AF$124:AF$127,$D353)*$E353*INDEX(AF$128:AF$144,$F353)</f>
        <v/>
      </c>
      <c r="AG353" s="36">
        <f>INDEX(AG$124:AG$127,$D353)*$E353*INDEX(AG$128:AG$144,$F353)</f>
        <v/>
      </c>
      <c r="AH353" s="36">
        <f>INDEX(AH$124:AH$127,$D353)*$E353*INDEX(AH$128:AH$144,$F353)</f>
        <v/>
      </c>
      <c r="AI353" s="36">
        <f>INDEX(AI$124:AI$127,$D353)*$E353*INDEX(AI$128:AI$144,$F353)</f>
        <v/>
      </c>
      <c r="AJ353" s="36">
        <f>INDEX(AJ$124:AJ$127,$D353)*$E353*INDEX(AJ$128:AJ$144,$F353)</f>
        <v/>
      </c>
      <c r="AK353" s="36">
        <f>INDEX(AK$124:AK$127,$D353)*$E353*INDEX(AK$128:AK$144,$F353)</f>
        <v/>
      </c>
      <c r="AL353" s="36">
        <f>INDEX(AL$124:AL$127,$D353)*$E353*INDEX(AL$128:AL$144,$F353)</f>
        <v/>
      </c>
      <c r="AM353" s="36">
        <f>INDEX(AM$124:AM$127,$D353)*$E353*INDEX(AM$128:AM$144,$F353)</f>
        <v/>
      </c>
      <c r="AN353" s="36">
        <f>INDEX(AN$124:AN$127,$D353)*$E353*INDEX(AN$128:AN$144,$F353)</f>
        <v/>
      </c>
    </row>
    <row r="354" hidden="1" outlineLevel="2">
      <c r="A354" s="5" t="inlineStr">
        <is>
          <t>shp</t>
        </is>
      </c>
      <c r="B354" s="5" t="inlineStr">
        <is>
          <t>gso</t>
        </is>
      </c>
      <c r="C354" s="5" t="inlineStr">
        <is>
          <t>avi</t>
        </is>
      </c>
      <c r="D354" s="36">
        <f>INDEX(Inputs!$M$5:$M$132,MATCH($B354&amp;"|"&amp;$C354,Inputs!$A$5:$A$132,0))</f>
        <v/>
      </c>
      <c r="E354" s="36">
        <f>INDEX(Inputs!$U$5:$U$132,MATCH($B354&amp;"|"&amp;$C354,Inputs!$A$5:$A$132,0))</f>
        <v/>
      </c>
      <c r="F354" s="36">
        <f>INDEX(Inputs!$K$5:$K$132,MATCH($B354&amp;"|"&amp;$C354,Inputs!$A$5:$A$132,0))</f>
        <v/>
      </c>
      <c r="G354" s="37" t="n"/>
      <c r="H354" s="5">
        <f>INDEX(Variables!$B$5:$B$65,MATCH($A354,Variables!$A$5:$A$65,0))&amp;IF($C354="",""," | "&amp;INDEX(Mapping!$B$5:$B$25,MATCH($C354,Mapping!$A$5:$A$25,0))&amp;" | "&amp;INDEX(Mapping!$B$29:$B$38,MATCH($B354,Mapping!$A$29:$A$38,0)))</f>
        <v/>
      </c>
      <c r="I354" s="5">
        <f>INDEX(Variables!$C$5:$C$65,MATCH($A354,Variables!$A$5:$A$65,0))</f>
        <v/>
      </c>
      <c r="J354" s="5">
        <f>INDEX(Variables!$E$5:$E$65,MATCH($A354,Variables!$A$5:$A$65,0))</f>
        <v/>
      </c>
      <c r="K354" s="23">
        <f>LOWER(Settings!$C$4)&amp;".mit."&amp;$A354&amp;IF($C354="","","."&amp;$C354&amp;"."&amp;$B354)&amp;IF(INDEX(Variables!$D$5:$D$65,MATCH($A354,Variables!$A$5:$A$65,0))="","","."&amp;INDEX(Variables!$D$5:$D$65,MATCH($A354,Variables!$A$5:$A$65,0)))&amp;"."&amp;K$5</f>
        <v/>
      </c>
      <c r="L354" s="38">
        <f>INDEX(L$124:L$127,$D354)*$E354*INDEX(L$128:L$144,$F354)</f>
        <v/>
      </c>
      <c r="M354" s="36">
        <f>INDEX(M$124:M$127,$D354)*$E354*INDEX(M$128:M$144,$F354)</f>
        <v/>
      </c>
      <c r="N354" s="36">
        <f>INDEX(N$124:N$127,$D354)*$E354*INDEX(N$128:N$144,$F354)</f>
        <v/>
      </c>
      <c r="O354" s="36">
        <f>INDEX(O$124:O$127,$D354)*$E354*INDEX(O$128:O$144,$F354)</f>
        <v/>
      </c>
      <c r="P354" s="36">
        <f>INDEX(P$124:P$127,$D354)*$E354*INDEX(P$128:P$144,$F354)</f>
        <v/>
      </c>
      <c r="Q354" s="36">
        <f>INDEX(Q$124:Q$127,$D354)*$E354*INDEX(Q$128:Q$144,$F354)</f>
        <v/>
      </c>
      <c r="R354" s="36">
        <f>INDEX(R$124:R$127,$D354)*$E354*INDEX(R$128:R$144,$F354)</f>
        <v/>
      </c>
      <c r="S354" s="36">
        <f>INDEX(S$124:S$127,$D354)*$E354*INDEX(S$128:S$144,$F354)</f>
        <v/>
      </c>
      <c r="T354" s="36">
        <f>INDEX(T$124:T$127,$D354)*$E354*INDEX(T$128:T$144,$F354)</f>
        <v/>
      </c>
      <c r="U354" s="36">
        <f>INDEX(U$124:U$127,$D354)*$E354*INDEX(U$128:U$144,$F354)</f>
        <v/>
      </c>
      <c r="V354" s="36">
        <f>INDEX(V$124:V$127,$D354)*$E354*INDEX(V$128:V$144,$F354)</f>
        <v/>
      </c>
      <c r="W354" s="36">
        <f>INDEX(W$124:W$127,$D354)*$E354*INDEX(W$128:W$144,$F354)</f>
        <v/>
      </c>
      <c r="X354" s="36">
        <f>INDEX(X$124:X$127,$D354)*$E354*INDEX(X$128:X$144,$F354)</f>
        <v/>
      </c>
      <c r="Y354" s="36">
        <f>INDEX(Y$124:Y$127,$D354)*$E354*INDEX(Y$128:Y$144,$F354)</f>
        <v/>
      </c>
      <c r="Z354" s="23">
        <f>LOWER(Settings!$C$4)&amp;".mit."&amp;$A354&amp;IF($C354="","","."&amp;$C354&amp;"."&amp;$B354)&amp;IF(INDEX(Variables!$D$5:$D$65,MATCH($A354,Variables!$A$5:$A$65,0))="","","."&amp;INDEX(Variables!$D$5:$D$65,MATCH($A354,Variables!$A$5:$A$65,0)))&amp;"."&amp;Z$5</f>
        <v/>
      </c>
      <c r="AA354" s="38">
        <f>INDEX(AA$124:AA$127,$D354)*$E354*INDEX(AA$128:AA$144,$F354)</f>
        <v/>
      </c>
      <c r="AB354" s="36">
        <f>INDEX(AB$124:AB$127,$D354)*$E354*INDEX(AB$128:AB$144,$F354)</f>
        <v/>
      </c>
      <c r="AC354" s="36">
        <f>INDEX(AC$124:AC$127,$D354)*$E354*INDEX(AC$128:AC$144,$F354)</f>
        <v/>
      </c>
      <c r="AD354" s="36">
        <f>INDEX(AD$124:AD$127,$D354)*$E354*INDEX(AD$128:AD$144,$F354)</f>
        <v/>
      </c>
      <c r="AE354" s="36">
        <f>INDEX(AE$124:AE$127,$D354)*$E354*INDEX(AE$128:AE$144,$F354)</f>
        <v/>
      </c>
      <c r="AF354" s="36">
        <f>INDEX(AF$124:AF$127,$D354)*$E354*INDEX(AF$128:AF$144,$F354)</f>
        <v/>
      </c>
      <c r="AG354" s="36">
        <f>INDEX(AG$124:AG$127,$D354)*$E354*INDEX(AG$128:AG$144,$F354)</f>
        <v/>
      </c>
      <c r="AH354" s="36">
        <f>INDEX(AH$124:AH$127,$D354)*$E354*INDEX(AH$128:AH$144,$F354)</f>
        <v/>
      </c>
      <c r="AI354" s="36">
        <f>INDEX(AI$124:AI$127,$D354)*$E354*INDEX(AI$128:AI$144,$F354)</f>
        <v/>
      </c>
      <c r="AJ354" s="36">
        <f>INDEX(AJ$124:AJ$127,$D354)*$E354*INDEX(AJ$128:AJ$144,$F354)</f>
        <v/>
      </c>
      <c r="AK354" s="36">
        <f>INDEX(AK$124:AK$127,$D354)*$E354*INDEX(AK$128:AK$144,$F354)</f>
        <v/>
      </c>
      <c r="AL354" s="36">
        <f>INDEX(AL$124:AL$127,$D354)*$E354*INDEX(AL$128:AL$144,$F354)</f>
        <v/>
      </c>
      <c r="AM354" s="36">
        <f>INDEX(AM$124:AM$127,$D354)*$E354*INDEX(AM$128:AM$144,$F354)</f>
        <v/>
      </c>
      <c r="AN354" s="36">
        <f>INDEX(AN$124:AN$127,$D354)*$E354*INDEX(AN$128:AN$144,$F354)</f>
        <v/>
      </c>
    </row>
    <row r="355" hidden="1" outlineLevel="2">
      <c r="A355" s="5" t="inlineStr">
        <is>
          <t>shp</t>
        </is>
      </c>
      <c r="B355" s="5" t="inlineStr">
        <is>
          <t>die</t>
        </is>
      </c>
      <c r="C355" s="5" t="inlineStr">
        <is>
          <t>avi</t>
        </is>
      </c>
      <c r="D355" s="36">
        <f>INDEX(Inputs!$M$5:$M$132,MATCH($B355&amp;"|"&amp;$C355,Inputs!$A$5:$A$132,0))</f>
        <v/>
      </c>
      <c r="E355" s="36">
        <f>INDEX(Inputs!$U$5:$U$132,MATCH($B355&amp;"|"&amp;$C355,Inputs!$A$5:$A$132,0))</f>
        <v/>
      </c>
      <c r="F355" s="36">
        <f>INDEX(Inputs!$K$5:$K$132,MATCH($B355&amp;"|"&amp;$C355,Inputs!$A$5:$A$132,0))</f>
        <v/>
      </c>
      <c r="G355" s="37" t="n"/>
      <c r="H355" s="5">
        <f>INDEX(Variables!$B$5:$B$65,MATCH($A355,Variables!$A$5:$A$65,0))&amp;IF($C355="",""," | "&amp;INDEX(Mapping!$B$5:$B$25,MATCH($C355,Mapping!$A$5:$A$25,0))&amp;" | "&amp;INDEX(Mapping!$B$29:$B$38,MATCH($B355,Mapping!$A$29:$A$38,0)))</f>
        <v/>
      </c>
      <c r="I355" s="5">
        <f>INDEX(Variables!$C$5:$C$65,MATCH($A355,Variables!$A$5:$A$65,0))</f>
        <v/>
      </c>
      <c r="J355" s="5">
        <f>INDEX(Variables!$E$5:$E$65,MATCH($A355,Variables!$A$5:$A$65,0))</f>
        <v/>
      </c>
      <c r="K355" s="23">
        <f>LOWER(Settings!$C$4)&amp;".mit."&amp;$A355&amp;IF($C355="","","."&amp;$C355&amp;"."&amp;$B355)&amp;IF(INDEX(Variables!$D$5:$D$65,MATCH($A355,Variables!$A$5:$A$65,0))="","","."&amp;INDEX(Variables!$D$5:$D$65,MATCH($A355,Variables!$A$5:$A$65,0)))&amp;"."&amp;K$5</f>
        <v/>
      </c>
      <c r="L355" s="38">
        <f>INDEX(L$124:L$127,$D355)*$E355*INDEX(L$128:L$144,$F355)</f>
        <v/>
      </c>
      <c r="M355" s="36">
        <f>INDEX(M$124:M$127,$D355)*$E355*INDEX(M$128:M$144,$F355)</f>
        <v/>
      </c>
      <c r="N355" s="36">
        <f>INDEX(N$124:N$127,$D355)*$E355*INDEX(N$128:N$144,$F355)</f>
        <v/>
      </c>
      <c r="O355" s="36">
        <f>INDEX(O$124:O$127,$D355)*$E355*INDEX(O$128:O$144,$F355)</f>
        <v/>
      </c>
      <c r="P355" s="36">
        <f>INDEX(P$124:P$127,$D355)*$E355*INDEX(P$128:P$144,$F355)</f>
        <v/>
      </c>
      <c r="Q355" s="36">
        <f>INDEX(Q$124:Q$127,$D355)*$E355*INDEX(Q$128:Q$144,$F355)</f>
        <v/>
      </c>
      <c r="R355" s="36">
        <f>INDEX(R$124:R$127,$D355)*$E355*INDEX(R$128:R$144,$F355)</f>
        <v/>
      </c>
      <c r="S355" s="36">
        <f>INDEX(S$124:S$127,$D355)*$E355*INDEX(S$128:S$144,$F355)</f>
        <v/>
      </c>
      <c r="T355" s="36">
        <f>INDEX(T$124:T$127,$D355)*$E355*INDEX(T$128:T$144,$F355)</f>
        <v/>
      </c>
      <c r="U355" s="36">
        <f>INDEX(U$124:U$127,$D355)*$E355*INDEX(U$128:U$144,$F355)</f>
        <v/>
      </c>
      <c r="V355" s="36">
        <f>INDEX(V$124:V$127,$D355)*$E355*INDEX(V$128:V$144,$F355)</f>
        <v/>
      </c>
      <c r="W355" s="36">
        <f>INDEX(W$124:W$127,$D355)*$E355*INDEX(W$128:W$144,$F355)</f>
        <v/>
      </c>
      <c r="X355" s="36">
        <f>INDEX(X$124:X$127,$D355)*$E355*INDEX(X$128:X$144,$F355)</f>
        <v/>
      </c>
      <c r="Y355" s="36">
        <f>INDEX(Y$124:Y$127,$D355)*$E355*INDEX(Y$128:Y$144,$F355)</f>
        <v/>
      </c>
      <c r="Z355" s="23">
        <f>LOWER(Settings!$C$4)&amp;".mit."&amp;$A355&amp;IF($C355="","","."&amp;$C355&amp;"."&amp;$B355)&amp;IF(INDEX(Variables!$D$5:$D$65,MATCH($A355,Variables!$A$5:$A$65,0))="","","."&amp;INDEX(Variables!$D$5:$D$65,MATCH($A355,Variables!$A$5:$A$65,0)))&amp;"."&amp;Z$5</f>
        <v/>
      </c>
      <c r="AA355" s="38">
        <f>INDEX(AA$124:AA$127,$D355)*$E355*INDEX(AA$128:AA$144,$F355)</f>
        <v/>
      </c>
      <c r="AB355" s="36">
        <f>INDEX(AB$124:AB$127,$D355)*$E355*INDEX(AB$128:AB$144,$F355)</f>
        <v/>
      </c>
      <c r="AC355" s="36">
        <f>INDEX(AC$124:AC$127,$D355)*$E355*INDEX(AC$128:AC$144,$F355)</f>
        <v/>
      </c>
      <c r="AD355" s="36">
        <f>INDEX(AD$124:AD$127,$D355)*$E355*INDEX(AD$128:AD$144,$F355)</f>
        <v/>
      </c>
      <c r="AE355" s="36">
        <f>INDEX(AE$124:AE$127,$D355)*$E355*INDEX(AE$128:AE$144,$F355)</f>
        <v/>
      </c>
      <c r="AF355" s="36">
        <f>INDEX(AF$124:AF$127,$D355)*$E355*INDEX(AF$128:AF$144,$F355)</f>
        <v/>
      </c>
      <c r="AG355" s="36">
        <f>INDEX(AG$124:AG$127,$D355)*$E355*INDEX(AG$128:AG$144,$F355)</f>
        <v/>
      </c>
      <c r="AH355" s="36">
        <f>INDEX(AH$124:AH$127,$D355)*$E355*INDEX(AH$128:AH$144,$F355)</f>
        <v/>
      </c>
      <c r="AI355" s="36">
        <f>INDEX(AI$124:AI$127,$D355)*$E355*INDEX(AI$128:AI$144,$F355)</f>
        <v/>
      </c>
      <c r="AJ355" s="36">
        <f>INDEX(AJ$124:AJ$127,$D355)*$E355*INDEX(AJ$128:AJ$144,$F355)</f>
        <v/>
      </c>
      <c r="AK355" s="36">
        <f>INDEX(AK$124:AK$127,$D355)*$E355*INDEX(AK$128:AK$144,$F355)</f>
        <v/>
      </c>
      <c r="AL355" s="36">
        <f>INDEX(AL$124:AL$127,$D355)*$E355*INDEX(AL$128:AL$144,$F355)</f>
        <v/>
      </c>
      <c r="AM355" s="36">
        <f>INDEX(AM$124:AM$127,$D355)*$E355*INDEX(AM$128:AM$144,$F355)</f>
        <v/>
      </c>
      <c r="AN355" s="36">
        <f>INDEX(AN$124:AN$127,$D355)*$E355*INDEX(AN$128:AN$144,$F355)</f>
        <v/>
      </c>
    </row>
    <row r="356" hidden="1" outlineLevel="2">
      <c r="A356" s="5" t="inlineStr">
        <is>
          <t>shp</t>
        </is>
      </c>
      <c r="B356" s="5" t="inlineStr">
        <is>
          <t>lpg</t>
        </is>
      </c>
      <c r="C356" s="5" t="inlineStr">
        <is>
          <t>avi</t>
        </is>
      </c>
      <c r="D356" s="36">
        <f>INDEX(Inputs!$M$5:$M$132,MATCH($B356&amp;"|"&amp;$C356,Inputs!$A$5:$A$132,0))</f>
        <v/>
      </c>
      <c r="E356" s="36">
        <f>INDEX(Inputs!$U$5:$U$132,MATCH($B356&amp;"|"&amp;$C356,Inputs!$A$5:$A$132,0))</f>
        <v/>
      </c>
      <c r="F356" s="36">
        <f>INDEX(Inputs!$K$5:$K$132,MATCH($B356&amp;"|"&amp;$C356,Inputs!$A$5:$A$132,0))</f>
        <v/>
      </c>
      <c r="G356" s="37" t="n"/>
      <c r="H356" s="5">
        <f>INDEX(Variables!$B$5:$B$65,MATCH($A356,Variables!$A$5:$A$65,0))&amp;IF($C356="",""," | "&amp;INDEX(Mapping!$B$5:$B$25,MATCH($C356,Mapping!$A$5:$A$25,0))&amp;" | "&amp;INDEX(Mapping!$B$29:$B$38,MATCH($B356,Mapping!$A$29:$A$38,0)))</f>
        <v/>
      </c>
      <c r="I356" s="5">
        <f>INDEX(Variables!$C$5:$C$65,MATCH($A356,Variables!$A$5:$A$65,0))</f>
        <v/>
      </c>
      <c r="J356" s="5">
        <f>INDEX(Variables!$E$5:$E$65,MATCH($A356,Variables!$A$5:$A$65,0))</f>
        <v/>
      </c>
      <c r="K356" s="23">
        <f>LOWER(Settings!$C$4)&amp;".mit."&amp;$A356&amp;IF($C356="","","."&amp;$C356&amp;"."&amp;$B356)&amp;IF(INDEX(Variables!$D$5:$D$65,MATCH($A356,Variables!$A$5:$A$65,0))="","","."&amp;INDEX(Variables!$D$5:$D$65,MATCH($A356,Variables!$A$5:$A$65,0)))&amp;"."&amp;K$5</f>
        <v/>
      </c>
      <c r="L356" s="38">
        <f>INDEX(L$124:L$127,$D356)*$E356*INDEX(L$128:L$144,$F356)</f>
        <v/>
      </c>
      <c r="M356" s="36">
        <f>INDEX(M$124:M$127,$D356)*$E356*INDEX(M$128:M$144,$F356)</f>
        <v/>
      </c>
      <c r="N356" s="36">
        <f>INDEX(N$124:N$127,$D356)*$E356*INDEX(N$128:N$144,$F356)</f>
        <v/>
      </c>
      <c r="O356" s="36">
        <f>INDEX(O$124:O$127,$D356)*$E356*INDEX(O$128:O$144,$F356)</f>
        <v/>
      </c>
      <c r="P356" s="36">
        <f>INDEX(P$124:P$127,$D356)*$E356*INDEX(P$128:P$144,$F356)</f>
        <v/>
      </c>
      <c r="Q356" s="36">
        <f>INDEX(Q$124:Q$127,$D356)*$E356*INDEX(Q$128:Q$144,$F356)</f>
        <v/>
      </c>
      <c r="R356" s="36">
        <f>INDEX(R$124:R$127,$D356)*$E356*INDEX(R$128:R$144,$F356)</f>
        <v/>
      </c>
      <c r="S356" s="36">
        <f>INDEX(S$124:S$127,$D356)*$E356*INDEX(S$128:S$144,$F356)</f>
        <v/>
      </c>
      <c r="T356" s="36">
        <f>INDEX(T$124:T$127,$D356)*$E356*INDEX(T$128:T$144,$F356)</f>
        <v/>
      </c>
      <c r="U356" s="36">
        <f>INDEX(U$124:U$127,$D356)*$E356*INDEX(U$128:U$144,$F356)</f>
        <v/>
      </c>
      <c r="V356" s="36">
        <f>INDEX(V$124:V$127,$D356)*$E356*INDEX(V$128:V$144,$F356)</f>
        <v/>
      </c>
      <c r="W356" s="36">
        <f>INDEX(W$124:W$127,$D356)*$E356*INDEX(W$128:W$144,$F356)</f>
        <v/>
      </c>
      <c r="X356" s="36">
        <f>INDEX(X$124:X$127,$D356)*$E356*INDEX(X$128:X$144,$F356)</f>
        <v/>
      </c>
      <c r="Y356" s="36">
        <f>INDEX(Y$124:Y$127,$D356)*$E356*INDEX(Y$128:Y$144,$F356)</f>
        <v/>
      </c>
      <c r="Z356" s="23">
        <f>LOWER(Settings!$C$4)&amp;".mit."&amp;$A356&amp;IF($C356="","","."&amp;$C356&amp;"."&amp;$B356)&amp;IF(INDEX(Variables!$D$5:$D$65,MATCH($A356,Variables!$A$5:$A$65,0))="","","."&amp;INDEX(Variables!$D$5:$D$65,MATCH($A356,Variables!$A$5:$A$65,0)))&amp;"."&amp;Z$5</f>
        <v/>
      </c>
      <c r="AA356" s="38">
        <f>INDEX(AA$124:AA$127,$D356)*$E356*INDEX(AA$128:AA$144,$F356)</f>
        <v/>
      </c>
      <c r="AB356" s="36">
        <f>INDEX(AB$124:AB$127,$D356)*$E356*INDEX(AB$128:AB$144,$F356)</f>
        <v/>
      </c>
      <c r="AC356" s="36">
        <f>INDEX(AC$124:AC$127,$D356)*$E356*INDEX(AC$128:AC$144,$F356)</f>
        <v/>
      </c>
      <c r="AD356" s="36">
        <f>INDEX(AD$124:AD$127,$D356)*$E356*INDEX(AD$128:AD$144,$F356)</f>
        <v/>
      </c>
      <c r="AE356" s="36">
        <f>INDEX(AE$124:AE$127,$D356)*$E356*INDEX(AE$128:AE$144,$F356)</f>
        <v/>
      </c>
      <c r="AF356" s="36">
        <f>INDEX(AF$124:AF$127,$D356)*$E356*INDEX(AF$128:AF$144,$F356)</f>
        <v/>
      </c>
      <c r="AG356" s="36">
        <f>INDEX(AG$124:AG$127,$D356)*$E356*INDEX(AG$128:AG$144,$F356)</f>
        <v/>
      </c>
      <c r="AH356" s="36">
        <f>INDEX(AH$124:AH$127,$D356)*$E356*INDEX(AH$128:AH$144,$F356)</f>
        <v/>
      </c>
      <c r="AI356" s="36">
        <f>INDEX(AI$124:AI$127,$D356)*$E356*INDEX(AI$128:AI$144,$F356)</f>
        <v/>
      </c>
      <c r="AJ356" s="36">
        <f>INDEX(AJ$124:AJ$127,$D356)*$E356*INDEX(AJ$128:AJ$144,$F356)</f>
        <v/>
      </c>
      <c r="AK356" s="36">
        <f>INDEX(AK$124:AK$127,$D356)*$E356*INDEX(AK$128:AK$144,$F356)</f>
        <v/>
      </c>
      <c r="AL356" s="36">
        <f>INDEX(AL$124:AL$127,$D356)*$E356*INDEX(AL$128:AL$144,$F356)</f>
        <v/>
      </c>
      <c r="AM356" s="36">
        <f>INDEX(AM$124:AM$127,$D356)*$E356*INDEX(AM$128:AM$144,$F356)</f>
        <v/>
      </c>
      <c r="AN356" s="36">
        <f>INDEX(AN$124:AN$127,$D356)*$E356*INDEX(AN$128:AN$144,$F356)</f>
        <v/>
      </c>
    </row>
    <row r="357" hidden="1" outlineLevel="2">
      <c r="A357" s="5" t="inlineStr">
        <is>
          <t>shp</t>
        </is>
      </c>
      <c r="B357" s="5" t="inlineStr">
        <is>
          <t>ker</t>
        </is>
      </c>
      <c r="C357" s="5" t="inlineStr">
        <is>
          <t>avi</t>
        </is>
      </c>
      <c r="D357" s="36">
        <f>INDEX(Inputs!$M$5:$M$132,MATCH($B357&amp;"|"&amp;$C357,Inputs!$A$5:$A$132,0))</f>
        <v/>
      </c>
      <c r="E357" s="36">
        <f>INDEX(Inputs!$U$5:$U$132,MATCH($B357&amp;"|"&amp;$C357,Inputs!$A$5:$A$132,0))</f>
        <v/>
      </c>
      <c r="F357" s="36">
        <f>INDEX(Inputs!$K$5:$K$132,MATCH($B357&amp;"|"&amp;$C357,Inputs!$A$5:$A$132,0))</f>
        <v/>
      </c>
      <c r="G357" s="37" t="n"/>
      <c r="H357" s="5">
        <f>INDEX(Variables!$B$5:$B$65,MATCH($A357,Variables!$A$5:$A$65,0))&amp;IF($C357="",""," | "&amp;INDEX(Mapping!$B$5:$B$25,MATCH($C357,Mapping!$A$5:$A$25,0))&amp;" | "&amp;INDEX(Mapping!$B$29:$B$38,MATCH($B357,Mapping!$A$29:$A$38,0)))</f>
        <v/>
      </c>
      <c r="I357" s="5">
        <f>INDEX(Variables!$C$5:$C$65,MATCH($A357,Variables!$A$5:$A$65,0))</f>
        <v/>
      </c>
      <c r="J357" s="5">
        <f>INDEX(Variables!$E$5:$E$65,MATCH($A357,Variables!$A$5:$A$65,0))</f>
        <v/>
      </c>
      <c r="K357" s="23">
        <f>LOWER(Settings!$C$4)&amp;".mit."&amp;$A357&amp;IF($C357="","","."&amp;$C357&amp;"."&amp;$B357)&amp;IF(INDEX(Variables!$D$5:$D$65,MATCH($A357,Variables!$A$5:$A$65,0))="","","."&amp;INDEX(Variables!$D$5:$D$65,MATCH($A357,Variables!$A$5:$A$65,0)))&amp;"."&amp;K$5</f>
        <v/>
      </c>
      <c r="L357" s="38">
        <f>INDEX(L$124:L$127,$D357)*$E357*INDEX(L$128:L$144,$F357)</f>
        <v/>
      </c>
      <c r="M357" s="36">
        <f>INDEX(M$124:M$127,$D357)*$E357*INDEX(M$128:M$144,$F357)</f>
        <v/>
      </c>
      <c r="N357" s="36">
        <f>INDEX(N$124:N$127,$D357)*$E357*INDEX(N$128:N$144,$F357)</f>
        <v/>
      </c>
      <c r="O357" s="36">
        <f>INDEX(O$124:O$127,$D357)*$E357*INDEX(O$128:O$144,$F357)</f>
        <v/>
      </c>
      <c r="P357" s="36">
        <f>INDEX(P$124:P$127,$D357)*$E357*INDEX(P$128:P$144,$F357)</f>
        <v/>
      </c>
      <c r="Q357" s="36">
        <f>INDEX(Q$124:Q$127,$D357)*$E357*INDEX(Q$128:Q$144,$F357)</f>
        <v/>
      </c>
      <c r="R357" s="36">
        <f>INDEX(R$124:R$127,$D357)*$E357*INDEX(R$128:R$144,$F357)</f>
        <v/>
      </c>
      <c r="S357" s="36">
        <f>INDEX(S$124:S$127,$D357)*$E357*INDEX(S$128:S$144,$F357)</f>
        <v/>
      </c>
      <c r="T357" s="36">
        <f>INDEX(T$124:T$127,$D357)*$E357*INDEX(T$128:T$144,$F357)</f>
        <v/>
      </c>
      <c r="U357" s="36">
        <f>INDEX(U$124:U$127,$D357)*$E357*INDEX(U$128:U$144,$F357)</f>
        <v/>
      </c>
      <c r="V357" s="36">
        <f>INDEX(V$124:V$127,$D357)*$E357*INDEX(V$128:V$144,$F357)</f>
        <v/>
      </c>
      <c r="W357" s="36">
        <f>INDEX(W$124:W$127,$D357)*$E357*INDEX(W$128:W$144,$F357)</f>
        <v/>
      </c>
      <c r="X357" s="36">
        <f>INDEX(X$124:X$127,$D357)*$E357*INDEX(X$128:X$144,$F357)</f>
        <v/>
      </c>
      <c r="Y357" s="36">
        <f>INDEX(Y$124:Y$127,$D357)*$E357*INDEX(Y$128:Y$144,$F357)</f>
        <v/>
      </c>
      <c r="Z357" s="23">
        <f>LOWER(Settings!$C$4)&amp;".mit."&amp;$A357&amp;IF($C357="","","."&amp;$C357&amp;"."&amp;$B357)&amp;IF(INDEX(Variables!$D$5:$D$65,MATCH($A357,Variables!$A$5:$A$65,0))="","","."&amp;INDEX(Variables!$D$5:$D$65,MATCH($A357,Variables!$A$5:$A$65,0)))&amp;"."&amp;Z$5</f>
        <v/>
      </c>
      <c r="AA357" s="38">
        <f>INDEX(AA$124:AA$127,$D357)*$E357*INDEX(AA$128:AA$144,$F357)</f>
        <v/>
      </c>
      <c r="AB357" s="36">
        <f>INDEX(AB$124:AB$127,$D357)*$E357*INDEX(AB$128:AB$144,$F357)</f>
        <v/>
      </c>
      <c r="AC357" s="36">
        <f>INDEX(AC$124:AC$127,$D357)*$E357*INDEX(AC$128:AC$144,$F357)</f>
        <v/>
      </c>
      <c r="AD357" s="36">
        <f>INDEX(AD$124:AD$127,$D357)*$E357*INDEX(AD$128:AD$144,$F357)</f>
        <v/>
      </c>
      <c r="AE357" s="36">
        <f>INDEX(AE$124:AE$127,$D357)*$E357*INDEX(AE$128:AE$144,$F357)</f>
        <v/>
      </c>
      <c r="AF357" s="36">
        <f>INDEX(AF$124:AF$127,$D357)*$E357*INDEX(AF$128:AF$144,$F357)</f>
        <v/>
      </c>
      <c r="AG357" s="36">
        <f>INDEX(AG$124:AG$127,$D357)*$E357*INDEX(AG$128:AG$144,$F357)</f>
        <v/>
      </c>
      <c r="AH357" s="36">
        <f>INDEX(AH$124:AH$127,$D357)*$E357*INDEX(AH$128:AH$144,$F357)</f>
        <v/>
      </c>
      <c r="AI357" s="36">
        <f>INDEX(AI$124:AI$127,$D357)*$E357*INDEX(AI$128:AI$144,$F357)</f>
        <v/>
      </c>
      <c r="AJ357" s="36">
        <f>INDEX(AJ$124:AJ$127,$D357)*$E357*INDEX(AJ$128:AJ$144,$F357)</f>
        <v/>
      </c>
      <c r="AK357" s="36">
        <f>INDEX(AK$124:AK$127,$D357)*$E357*INDEX(AK$128:AK$144,$F357)</f>
        <v/>
      </c>
      <c r="AL357" s="36">
        <f>INDEX(AL$124:AL$127,$D357)*$E357*INDEX(AL$128:AL$144,$F357)</f>
        <v/>
      </c>
      <c r="AM357" s="36">
        <f>INDEX(AM$124:AM$127,$D357)*$E357*INDEX(AM$128:AM$144,$F357)</f>
        <v/>
      </c>
      <c r="AN357" s="36">
        <f>INDEX(AN$124:AN$127,$D357)*$E357*INDEX(AN$128:AN$144,$F357)</f>
        <v/>
      </c>
    </row>
    <row r="358" hidden="1" outlineLevel="2">
      <c r="A358" s="5" t="inlineStr">
        <is>
          <t>shp</t>
        </is>
      </c>
      <c r="B358" s="5" t="inlineStr">
        <is>
          <t>oop</t>
        </is>
      </c>
      <c r="C358" s="5" t="inlineStr">
        <is>
          <t>avi</t>
        </is>
      </c>
      <c r="D358" s="36">
        <f>INDEX(Inputs!$M$5:$M$132,MATCH($B358&amp;"|"&amp;$C358,Inputs!$A$5:$A$132,0))</f>
        <v/>
      </c>
      <c r="E358" s="36">
        <f>INDEX(Inputs!$U$5:$U$132,MATCH($B358&amp;"|"&amp;$C358,Inputs!$A$5:$A$132,0))</f>
        <v/>
      </c>
      <c r="F358" s="36">
        <f>INDEX(Inputs!$K$5:$K$132,MATCH($B358&amp;"|"&amp;$C358,Inputs!$A$5:$A$132,0))</f>
        <v/>
      </c>
      <c r="G358" s="37" t="n"/>
      <c r="H358" s="5">
        <f>INDEX(Variables!$B$5:$B$65,MATCH($A358,Variables!$A$5:$A$65,0))&amp;IF($C358="",""," | "&amp;INDEX(Mapping!$B$5:$B$25,MATCH($C358,Mapping!$A$5:$A$25,0))&amp;" | "&amp;INDEX(Mapping!$B$29:$B$38,MATCH($B358,Mapping!$A$29:$A$38,0)))</f>
        <v/>
      </c>
      <c r="I358" s="5">
        <f>INDEX(Variables!$C$5:$C$65,MATCH($A358,Variables!$A$5:$A$65,0))</f>
        <v/>
      </c>
      <c r="J358" s="5">
        <f>INDEX(Variables!$E$5:$E$65,MATCH($A358,Variables!$A$5:$A$65,0))</f>
        <v/>
      </c>
      <c r="K358" s="23">
        <f>LOWER(Settings!$C$4)&amp;".mit."&amp;$A358&amp;IF($C358="","","."&amp;$C358&amp;"."&amp;$B358)&amp;IF(INDEX(Variables!$D$5:$D$65,MATCH($A358,Variables!$A$5:$A$65,0))="","","."&amp;INDEX(Variables!$D$5:$D$65,MATCH($A358,Variables!$A$5:$A$65,0)))&amp;"."&amp;K$5</f>
        <v/>
      </c>
      <c r="L358" s="38">
        <f>INDEX(L$124:L$127,$D358)*$E358*INDEX(L$128:L$144,$F358)</f>
        <v/>
      </c>
      <c r="M358" s="36">
        <f>INDEX(M$124:M$127,$D358)*$E358*INDEX(M$128:M$144,$F358)</f>
        <v/>
      </c>
      <c r="N358" s="36">
        <f>INDEX(N$124:N$127,$D358)*$E358*INDEX(N$128:N$144,$F358)</f>
        <v/>
      </c>
      <c r="O358" s="36">
        <f>INDEX(O$124:O$127,$D358)*$E358*INDEX(O$128:O$144,$F358)</f>
        <v/>
      </c>
      <c r="P358" s="36">
        <f>INDEX(P$124:P$127,$D358)*$E358*INDEX(P$128:P$144,$F358)</f>
        <v/>
      </c>
      <c r="Q358" s="36">
        <f>INDEX(Q$124:Q$127,$D358)*$E358*INDEX(Q$128:Q$144,$F358)</f>
        <v/>
      </c>
      <c r="R358" s="36">
        <f>INDEX(R$124:R$127,$D358)*$E358*INDEX(R$128:R$144,$F358)</f>
        <v/>
      </c>
      <c r="S358" s="36">
        <f>INDEX(S$124:S$127,$D358)*$E358*INDEX(S$128:S$144,$F358)</f>
        <v/>
      </c>
      <c r="T358" s="36">
        <f>INDEX(T$124:T$127,$D358)*$E358*INDEX(T$128:T$144,$F358)</f>
        <v/>
      </c>
      <c r="U358" s="36">
        <f>INDEX(U$124:U$127,$D358)*$E358*INDEX(U$128:U$144,$F358)</f>
        <v/>
      </c>
      <c r="V358" s="36">
        <f>INDEX(V$124:V$127,$D358)*$E358*INDEX(V$128:V$144,$F358)</f>
        <v/>
      </c>
      <c r="W358" s="36">
        <f>INDEX(W$124:W$127,$D358)*$E358*INDEX(W$128:W$144,$F358)</f>
        <v/>
      </c>
      <c r="X358" s="36">
        <f>INDEX(X$124:X$127,$D358)*$E358*INDEX(X$128:X$144,$F358)</f>
        <v/>
      </c>
      <c r="Y358" s="36">
        <f>INDEX(Y$124:Y$127,$D358)*$E358*INDEX(Y$128:Y$144,$F358)</f>
        <v/>
      </c>
      <c r="Z358" s="23">
        <f>LOWER(Settings!$C$4)&amp;".mit."&amp;$A358&amp;IF($C358="","","."&amp;$C358&amp;"."&amp;$B358)&amp;IF(INDEX(Variables!$D$5:$D$65,MATCH($A358,Variables!$A$5:$A$65,0))="","","."&amp;INDEX(Variables!$D$5:$D$65,MATCH($A358,Variables!$A$5:$A$65,0)))&amp;"."&amp;Z$5</f>
        <v/>
      </c>
      <c r="AA358" s="38">
        <f>INDEX(AA$124:AA$127,$D358)*$E358*INDEX(AA$128:AA$144,$F358)</f>
        <v/>
      </c>
      <c r="AB358" s="36">
        <f>INDEX(AB$124:AB$127,$D358)*$E358*INDEX(AB$128:AB$144,$F358)</f>
        <v/>
      </c>
      <c r="AC358" s="36">
        <f>INDEX(AC$124:AC$127,$D358)*$E358*INDEX(AC$128:AC$144,$F358)</f>
        <v/>
      </c>
      <c r="AD358" s="36">
        <f>INDEX(AD$124:AD$127,$D358)*$E358*INDEX(AD$128:AD$144,$F358)</f>
        <v/>
      </c>
      <c r="AE358" s="36">
        <f>INDEX(AE$124:AE$127,$D358)*$E358*INDEX(AE$128:AE$144,$F358)</f>
        <v/>
      </c>
      <c r="AF358" s="36">
        <f>INDEX(AF$124:AF$127,$D358)*$E358*INDEX(AF$128:AF$144,$F358)</f>
        <v/>
      </c>
      <c r="AG358" s="36">
        <f>INDEX(AG$124:AG$127,$D358)*$E358*INDEX(AG$128:AG$144,$F358)</f>
        <v/>
      </c>
      <c r="AH358" s="36">
        <f>INDEX(AH$124:AH$127,$D358)*$E358*INDEX(AH$128:AH$144,$F358)</f>
        <v/>
      </c>
      <c r="AI358" s="36">
        <f>INDEX(AI$124:AI$127,$D358)*$E358*INDEX(AI$128:AI$144,$F358)</f>
        <v/>
      </c>
      <c r="AJ358" s="36">
        <f>INDEX(AJ$124:AJ$127,$D358)*$E358*INDEX(AJ$128:AJ$144,$F358)</f>
        <v/>
      </c>
      <c r="AK358" s="36">
        <f>INDEX(AK$124:AK$127,$D358)*$E358*INDEX(AK$128:AK$144,$F358)</f>
        <v/>
      </c>
      <c r="AL358" s="36">
        <f>INDEX(AL$124:AL$127,$D358)*$E358*INDEX(AL$128:AL$144,$F358)</f>
        <v/>
      </c>
      <c r="AM358" s="36">
        <f>INDEX(AM$124:AM$127,$D358)*$E358*INDEX(AM$128:AM$144,$F358)</f>
        <v/>
      </c>
      <c r="AN358" s="36">
        <f>INDEX(AN$124:AN$127,$D358)*$E358*INDEX(AN$128:AN$144,$F358)</f>
        <v/>
      </c>
    </row>
    <row r="359" hidden="1" outlineLevel="2">
      <c r="A359" s="5" t="inlineStr">
        <is>
          <t>shp</t>
        </is>
      </c>
      <c r="B359" s="5" t="inlineStr">
        <is>
          <t>bio</t>
        </is>
      </c>
      <c r="C359" s="5" t="inlineStr">
        <is>
          <t>avi</t>
        </is>
      </c>
      <c r="D359" s="36">
        <f>INDEX(Inputs!$M$5:$M$132,MATCH($B359&amp;"|"&amp;$C359,Inputs!$A$5:$A$132,0))</f>
        <v/>
      </c>
      <c r="E359" s="36">
        <f>INDEX(Inputs!$U$5:$U$132,MATCH($B359&amp;"|"&amp;$C359,Inputs!$A$5:$A$132,0))</f>
        <v/>
      </c>
      <c r="F359" s="36">
        <f>INDEX(Inputs!$K$5:$K$132,MATCH($B359&amp;"|"&amp;$C359,Inputs!$A$5:$A$132,0))</f>
        <v/>
      </c>
      <c r="G359" s="37" t="n"/>
      <c r="H359" s="5">
        <f>INDEX(Variables!$B$5:$B$65,MATCH($A359,Variables!$A$5:$A$65,0))&amp;IF($C359="",""," | "&amp;INDEX(Mapping!$B$5:$B$25,MATCH($C359,Mapping!$A$5:$A$25,0))&amp;" | "&amp;INDEX(Mapping!$B$29:$B$38,MATCH($B359,Mapping!$A$29:$A$38,0)))</f>
        <v/>
      </c>
      <c r="I359" s="5">
        <f>INDEX(Variables!$C$5:$C$65,MATCH($A359,Variables!$A$5:$A$65,0))</f>
        <v/>
      </c>
      <c r="J359" s="5">
        <f>INDEX(Variables!$E$5:$E$65,MATCH($A359,Variables!$A$5:$A$65,0))</f>
        <v/>
      </c>
      <c r="K359" s="23">
        <f>LOWER(Settings!$C$4)&amp;".mit."&amp;$A359&amp;IF($C359="","","."&amp;$C359&amp;"."&amp;$B359)&amp;IF(INDEX(Variables!$D$5:$D$65,MATCH($A359,Variables!$A$5:$A$65,0))="","","."&amp;INDEX(Variables!$D$5:$D$65,MATCH($A359,Variables!$A$5:$A$65,0)))&amp;"."&amp;K$5</f>
        <v/>
      </c>
      <c r="L359" s="38">
        <f>INDEX(L$124:L$127,$D359)*$E359*INDEX(L$128:L$144,$F359)</f>
        <v/>
      </c>
      <c r="M359" s="36">
        <f>INDEX(M$124:M$127,$D359)*$E359*INDEX(M$128:M$144,$F359)</f>
        <v/>
      </c>
      <c r="N359" s="36">
        <f>INDEX(N$124:N$127,$D359)*$E359*INDEX(N$128:N$144,$F359)</f>
        <v/>
      </c>
      <c r="O359" s="36">
        <f>INDEX(O$124:O$127,$D359)*$E359*INDEX(O$128:O$144,$F359)</f>
        <v/>
      </c>
      <c r="P359" s="36">
        <f>INDEX(P$124:P$127,$D359)*$E359*INDEX(P$128:P$144,$F359)</f>
        <v/>
      </c>
      <c r="Q359" s="36">
        <f>INDEX(Q$124:Q$127,$D359)*$E359*INDEX(Q$128:Q$144,$F359)</f>
        <v/>
      </c>
      <c r="R359" s="36">
        <f>INDEX(R$124:R$127,$D359)*$E359*INDEX(R$128:R$144,$F359)</f>
        <v/>
      </c>
      <c r="S359" s="36">
        <f>INDEX(S$124:S$127,$D359)*$E359*INDEX(S$128:S$144,$F359)</f>
        <v/>
      </c>
      <c r="T359" s="36">
        <f>INDEX(T$124:T$127,$D359)*$E359*INDEX(T$128:T$144,$F359)</f>
        <v/>
      </c>
      <c r="U359" s="36">
        <f>INDEX(U$124:U$127,$D359)*$E359*INDEX(U$128:U$144,$F359)</f>
        <v/>
      </c>
      <c r="V359" s="36">
        <f>INDEX(V$124:V$127,$D359)*$E359*INDEX(V$128:V$144,$F359)</f>
        <v/>
      </c>
      <c r="W359" s="36">
        <f>INDEX(W$124:W$127,$D359)*$E359*INDEX(W$128:W$144,$F359)</f>
        <v/>
      </c>
      <c r="X359" s="36">
        <f>INDEX(X$124:X$127,$D359)*$E359*INDEX(X$128:X$144,$F359)</f>
        <v/>
      </c>
      <c r="Y359" s="36">
        <f>INDEX(Y$124:Y$127,$D359)*$E359*INDEX(Y$128:Y$144,$F359)</f>
        <v/>
      </c>
      <c r="Z359" s="23">
        <f>LOWER(Settings!$C$4)&amp;".mit."&amp;$A359&amp;IF($C359="","","."&amp;$C359&amp;"."&amp;$B359)&amp;IF(INDEX(Variables!$D$5:$D$65,MATCH($A359,Variables!$A$5:$A$65,0))="","","."&amp;INDEX(Variables!$D$5:$D$65,MATCH($A359,Variables!$A$5:$A$65,0)))&amp;"."&amp;Z$5</f>
        <v/>
      </c>
      <c r="AA359" s="38">
        <f>INDEX(AA$124:AA$127,$D359)*$E359*INDEX(AA$128:AA$144,$F359)</f>
        <v/>
      </c>
      <c r="AB359" s="36">
        <f>INDEX(AB$124:AB$127,$D359)*$E359*INDEX(AB$128:AB$144,$F359)</f>
        <v/>
      </c>
      <c r="AC359" s="36">
        <f>INDEX(AC$124:AC$127,$D359)*$E359*INDEX(AC$128:AC$144,$F359)</f>
        <v/>
      </c>
      <c r="AD359" s="36">
        <f>INDEX(AD$124:AD$127,$D359)*$E359*INDEX(AD$128:AD$144,$F359)</f>
        <v/>
      </c>
      <c r="AE359" s="36">
        <f>INDEX(AE$124:AE$127,$D359)*$E359*INDEX(AE$128:AE$144,$F359)</f>
        <v/>
      </c>
      <c r="AF359" s="36">
        <f>INDEX(AF$124:AF$127,$D359)*$E359*INDEX(AF$128:AF$144,$F359)</f>
        <v/>
      </c>
      <c r="AG359" s="36">
        <f>INDEX(AG$124:AG$127,$D359)*$E359*INDEX(AG$128:AG$144,$F359)</f>
        <v/>
      </c>
      <c r="AH359" s="36">
        <f>INDEX(AH$124:AH$127,$D359)*$E359*INDEX(AH$128:AH$144,$F359)</f>
        <v/>
      </c>
      <c r="AI359" s="36">
        <f>INDEX(AI$124:AI$127,$D359)*$E359*INDEX(AI$128:AI$144,$F359)</f>
        <v/>
      </c>
      <c r="AJ359" s="36">
        <f>INDEX(AJ$124:AJ$127,$D359)*$E359*INDEX(AJ$128:AJ$144,$F359)</f>
        <v/>
      </c>
      <c r="AK359" s="36">
        <f>INDEX(AK$124:AK$127,$D359)*$E359*INDEX(AK$128:AK$144,$F359)</f>
        <v/>
      </c>
      <c r="AL359" s="36">
        <f>INDEX(AL$124:AL$127,$D359)*$E359*INDEX(AL$128:AL$144,$F359)</f>
        <v/>
      </c>
      <c r="AM359" s="36">
        <f>INDEX(AM$124:AM$127,$D359)*$E359*INDEX(AM$128:AM$144,$F359)</f>
        <v/>
      </c>
      <c r="AN359" s="36">
        <f>INDEX(AN$124:AN$127,$D359)*$E359*INDEX(AN$128:AN$144,$F359)</f>
        <v/>
      </c>
    </row>
    <row r="360" hidden="1" outlineLevel="2"/>
    <row r="361" hidden="1" outlineLevel="2">
      <c r="A361" s="5" t="inlineStr">
        <is>
          <t>ener</t>
        </is>
      </c>
      <c r="B361" s="5" t="inlineStr">
        <is>
          <t>coa</t>
        </is>
      </c>
      <c r="C361" s="5" t="inlineStr">
        <is>
          <t>avi</t>
        </is>
      </c>
      <c r="D361" s="36">
        <f>INDEX(Inputs!$N$5:$N$132,MATCH($B361&amp;"|"&amp;$C361,Inputs!$A$5:$A$132,0))</f>
        <v/>
      </c>
      <c r="E361" s="36">
        <f>INDEX(Inputs!$O$5:$O$132,MATCH($B361&amp;"|"&amp;$C361,Inputs!$A$5:$A$132,0))</f>
        <v/>
      </c>
      <c r="F361" s="36">
        <f>INDEX(Inputs!$P$5:$P$132,MATCH($B361&amp;"|"&amp;$C361,Inputs!$A$5:$A$132,0))</f>
        <v/>
      </c>
      <c r="G361" s="36">
        <f>INDEX(Inputs!$Q$5:$Q$132,MATCH($B361&amp;"|"&amp;$C361,Inputs!$A$5:$A$132,0))</f>
        <v/>
      </c>
      <c r="H361" s="5">
        <f>INDEX(Variables!$B$5:$B$65,MATCH($A361,Variables!$A$5:$A$65,0))&amp;IF($C361="",""," | "&amp;INDEX(Mapping!$B$5:$B$25,MATCH($C361,Mapping!$A$5:$A$25,0))&amp;" | "&amp;INDEX(Mapping!$B$29:$B$38,MATCH($B361,Mapping!$A$29:$A$38,0)))</f>
        <v/>
      </c>
      <c r="I361" s="5">
        <f>INDEX(Variables!$C$5:$C$65,MATCH($A361,Variables!$A$5:$A$65,0))</f>
        <v/>
      </c>
      <c r="J361" s="5">
        <f>INDEX(Variables!$E$5:$E$65,MATCH($A361,Variables!$A$5:$A$65,0))</f>
        <v/>
      </c>
      <c r="K361" s="23">
        <f>LOWER(Settings!$C$4)&amp;".mit."&amp;$A361&amp;IF($C361="","","."&amp;$C361&amp;"."&amp;$B361)&amp;IF(INDEX(Variables!$D$5:$D$65,MATCH($A361,Variables!$A$5:$A$65,0))="","","."&amp;INDEX(Variables!$D$5:$D$65,MATCH($A361,Variables!$A$5:$A$65,0)))&amp;"."&amp;K$5</f>
        <v/>
      </c>
      <c r="L361" s="40">
        <f>INDEX(Inputs!$V$5:$V$132,MATCH($B361&amp;"|"&amp;$C361,Inputs!$A$5:$A$132,0))</f>
        <v/>
      </c>
      <c r="M361" s="41">
        <f>L361*(1/(1+$G361))^(1+$E361)*(1+M$7)^$D361*(M343/L343)^$E361*((M343+M352)/(L343+L352))^($F361*(1+$E361))</f>
        <v/>
      </c>
      <c r="N361" s="41">
        <f>M361*(1/(1+$G361))^(1+$E361)*(1+N$7)^$D361*(N343/M343)^$E361*((N343+N352)/(M343+M352))^($F361*(1+$E361))</f>
        <v/>
      </c>
      <c r="O361" s="41">
        <f>N361*(1/(1+$G361))^(1+$E361)*(1+O$7)^$D361*(O343/N343)^$E361*((O343+O352)/(N343+N352))^($F361*(1+$E361))</f>
        <v/>
      </c>
      <c r="P361" s="41">
        <f>O361*(1/(1+$G361))^(1+$E361)*(1+P$7)^$D361*(P343/O343)^$E361*((P343+P352)/(O343+O352))^($F361*(1+$E361))</f>
        <v/>
      </c>
      <c r="Q361" s="41">
        <f>P361*(1/(1+$G361))^(1+$E361)*(1+Q$7)^$D361*(Q343/P343)^$E361*((Q343+Q352)/(P343+P352))^($F361*(1+$E361))</f>
        <v/>
      </c>
      <c r="R361" s="41">
        <f>Q361*(1/(1+$G361))^(1+$E361)*(1+R$7)^$D361*(R343/Q343)^$E361*((R343+R352)/(Q343+Q352))^($F361*(1+$E361))</f>
        <v/>
      </c>
      <c r="S361" s="41">
        <f>R361*(1/(1+$G361))^(1+$E361)*(1+S$7)^$D361*(S343/R343)^$E361*((S343+S352)/(R343+R352))^($F361*(1+$E361))</f>
        <v/>
      </c>
      <c r="T361" s="41">
        <f>S361*(1/(1+$G361))^(1+$E361)*(1+T$7)^$D361*(T343/S343)^$E361*((T343+T352)/(S343+S352))^($F361*(1+$E361))</f>
        <v/>
      </c>
      <c r="U361" s="41">
        <f>T361*(1/(1+$G361))^(1+$E361)*(1+U$7)^$D361*(U343/T343)^$E361*((U343+U352)/(T343+T352))^($F361*(1+$E361))</f>
        <v/>
      </c>
      <c r="V361" s="41">
        <f>U361*(1/(1+$G361))^(1+$E361)*(1+V$7)^$D361*(V343/U343)^$E361*((V343+V352)/(U343+U352))^($F361*(1+$E361))</f>
        <v/>
      </c>
      <c r="W361" s="41">
        <f>V361*(1/(1+$G361))^(1+$E361)*(1+W$7)^$D361*(W343/V343)^$E361*((W343+W352)/(V343+V352))^($F361*(1+$E361))</f>
        <v/>
      </c>
      <c r="X361" s="41">
        <f>W361*(1/(1+$G361))^(1+$E361)*(1+X$7)^$D361*(X343/W343)^$E361*((X343+X352)/(W343+W352))^($F361*(1+$E361))</f>
        <v/>
      </c>
      <c r="Y361" s="42">
        <f>FUELUSE(X361,Y343,X343,Y352,X352,Y$7,$D361,$E361,$F361,$G361)</f>
        <v/>
      </c>
      <c r="Z361" s="23">
        <f>LOWER(Settings!$C$4)&amp;".mit."&amp;$A361&amp;IF($C361="","","."&amp;$C361&amp;"."&amp;$B361)&amp;IF(INDEX(Variables!$D$5:$D$65,MATCH($A361,Variables!$A$5:$A$65,0))="","","."&amp;INDEX(Variables!$D$5:$D$65,MATCH($A361,Variables!$A$5:$A$65,0)))&amp;"."&amp;Z$5</f>
        <v/>
      </c>
      <c r="AA361" s="40">
        <f>INDEX(Inputs!$V$5:$V$132,MATCH($B361&amp;"|"&amp;$C361,Inputs!$A$5:$A$132,0))</f>
        <v/>
      </c>
      <c r="AB361" s="41">
        <f>AA361*(1/(1+$G361))^(1+$E361)*(1+AB$7)^$D361*(AB343/AA343)^$E361*((AB343+AB352)/(AA343+AA352))^($F361*(1+$E361))</f>
        <v/>
      </c>
      <c r="AC361" s="41">
        <f>AB361*(1/(1+$G361))^(1+$E361)*(1+AC$7)^$D361*(AC343/AB343)^$E361*((AC343+AC352)/(AB343+AB352))^($F361*(1+$E361))</f>
        <v/>
      </c>
      <c r="AD361" s="41">
        <f>AC361*(1/(1+$G361))^(1+$E361)*(1+AD$7)^$D361*(AD343/AC343)^$E361*((AD343+AD352)/(AC343+AC352))^($F361*(1+$E361))</f>
        <v/>
      </c>
      <c r="AE361" s="41">
        <f>AD361*(1/(1+$G361))^(1+$E361)*(1+AE$7)^$D361*(AE343/AD343)^$E361*((AE343+AE352)/(AD343+AD352))^($F361*(1+$E361))</f>
        <v/>
      </c>
      <c r="AF361" s="41">
        <f>AE361*(1/(1+$G361))^(1+$E361)*(1+AF$7)^$D361*(AF343/AE343)^$E361*((AF343+AF352)/(AE343+AE352))^($F361*(1+$E361))</f>
        <v/>
      </c>
      <c r="AG361" s="41">
        <f>AF361*(1/(1+$G361))^(1+$E361)*(1+AG$7)^$D361*(AG343/AF343)^$E361*((AG343+AG352)/(AF343+AF352))^($F361*(1+$E361))</f>
        <v/>
      </c>
      <c r="AH361" s="41">
        <f>AG361*(1/(1+$G361))^(1+$E361)*(1+AH$7)^$D361*(AH343/AG343)^$E361*((AH343+AH352)/(AG343+AG352))^($F361*(1+$E361))</f>
        <v/>
      </c>
      <c r="AI361" s="41">
        <f>AH361*(1/(1+$G361))^(1+$E361)*(1+AI$7)^$D361*(AI343/AH343)^$E361*((AI343+AI352)/(AH343+AH352))^($F361*(1+$E361))</f>
        <v/>
      </c>
      <c r="AJ361" s="41">
        <f>AI361*(1/(1+$G361))^(1+$E361)*(1+AJ$7)^$D361*(AJ343/AI343)^$E361*((AJ343+AJ352)/(AI343+AI352))^($F361*(1+$E361))</f>
        <v/>
      </c>
      <c r="AK361" s="41">
        <f>AJ361*(1/(1+$G361))^(1+$E361)*(1+AK$7)^$D361*(AK343/AJ343)^$E361*((AK343+AK352)/(AJ343+AJ352))^($F361*(1+$E361))</f>
        <v/>
      </c>
      <c r="AL361" s="41">
        <f>AK361*(1/(1+$G361))^(1+$E361)*(1+AL$7)^$D361*(AL343/AK343)^$E361*((AL343+AL352)/(AK343+AK352))^($F361*(1+$E361))</f>
        <v/>
      </c>
      <c r="AM361" s="41">
        <f>AL361*(1/(1+$G361))^(1+$E361)*(1+AM$7)^$D361*(AM343/AL343)^$E361*((AM343+AM352)/(AL343+AL352))^($F361*(1+$E361))</f>
        <v/>
      </c>
      <c r="AN361" s="42">
        <f>FUELUSE(AM361,AN343,AM343,AN352,AM352,AN$7,$D361,$E361,$F361,$G361)</f>
        <v/>
      </c>
    </row>
    <row r="362" hidden="1" outlineLevel="2">
      <c r="A362" s="5" t="inlineStr">
        <is>
          <t>ener</t>
        </is>
      </c>
      <c r="B362" s="5" t="inlineStr">
        <is>
          <t>nga</t>
        </is>
      </c>
      <c r="C362" s="5" t="inlineStr">
        <is>
          <t>avi</t>
        </is>
      </c>
      <c r="D362" s="36">
        <f>INDEX(Inputs!$N$5:$N$132,MATCH($B362&amp;"|"&amp;$C362,Inputs!$A$5:$A$132,0))</f>
        <v/>
      </c>
      <c r="E362" s="36">
        <f>INDEX(Inputs!$O$5:$O$132,MATCH($B362&amp;"|"&amp;$C362,Inputs!$A$5:$A$132,0))</f>
        <v/>
      </c>
      <c r="F362" s="36">
        <f>INDEX(Inputs!$P$5:$P$132,MATCH($B362&amp;"|"&amp;$C362,Inputs!$A$5:$A$132,0))</f>
        <v/>
      </c>
      <c r="G362" s="36">
        <f>INDEX(Inputs!$Q$5:$Q$132,MATCH($B362&amp;"|"&amp;$C362,Inputs!$A$5:$A$132,0))</f>
        <v/>
      </c>
      <c r="H362" s="5">
        <f>INDEX(Variables!$B$5:$B$65,MATCH($A362,Variables!$A$5:$A$65,0))&amp;IF($C362="",""," | "&amp;INDEX(Mapping!$B$5:$B$25,MATCH($C362,Mapping!$A$5:$A$25,0))&amp;" | "&amp;INDEX(Mapping!$B$29:$B$38,MATCH($B362,Mapping!$A$29:$A$38,0)))</f>
        <v/>
      </c>
      <c r="I362" s="5">
        <f>INDEX(Variables!$C$5:$C$65,MATCH($A362,Variables!$A$5:$A$65,0))</f>
        <v/>
      </c>
      <c r="J362" s="5">
        <f>INDEX(Variables!$E$5:$E$65,MATCH($A362,Variables!$A$5:$A$65,0))</f>
        <v/>
      </c>
      <c r="K362" s="23">
        <f>LOWER(Settings!$C$4)&amp;".mit."&amp;$A362&amp;IF($C362="","","."&amp;$C362&amp;"."&amp;$B362)&amp;IF(INDEX(Variables!$D$5:$D$65,MATCH($A362,Variables!$A$5:$A$65,0))="","","."&amp;INDEX(Variables!$D$5:$D$65,MATCH($A362,Variables!$A$5:$A$65,0)))&amp;"."&amp;K$5</f>
        <v/>
      </c>
      <c r="L362" s="40">
        <f>INDEX(Inputs!$V$5:$V$132,MATCH($B362&amp;"|"&amp;$C362,Inputs!$A$5:$A$132,0))</f>
        <v/>
      </c>
      <c r="M362" s="41">
        <f>L362*(1/(1+$G362))^(1+$E362)*(1+M$7)^$D362*(M344/L344)^$E362*((M344+M353)/(L344+L353))^($F362*(1+$E362))</f>
        <v/>
      </c>
      <c r="N362" s="41">
        <f>M362*(1/(1+$G362))^(1+$E362)*(1+N$7)^$D362*(N344/M344)^$E362*((N344+N353)/(M344+M353))^($F362*(1+$E362))</f>
        <v/>
      </c>
      <c r="O362" s="41">
        <f>N362*(1/(1+$G362))^(1+$E362)*(1+O$7)^$D362*(O344/N344)^$E362*((O344+O353)/(N344+N353))^($F362*(1+$E362))</f>
        <v/>
      </c>
      <c r="P362" s="41">
        <f>O362*(1/(1+$G362))^(1+$E362)*(1+P$7)^$D362*(P344/O344)^$E362*((P344+P353)/(O344+O353))^($F362*(1+$E362))</f>
        <v/>
      </c>
      <c r="Q362" s="41">
        <f>P362*(1/(1+$G362))^(1+$E362)*(1+Q$7)^$D362*(Q344/P344)^$E362*((Q344+Q353)/(P344+P353))^($F362*(1+$E362))</f>
        <v/>
      </c>
      <c r="R362" s="41">
        <f>Q362*(1/(1+$G362))^(1+$E362)*(1+R$7)^$D362*(R344/Q344)^$E362*((R344+R353)/(Q344+Q353))^($F362*(1+$E362))</f>
        <v/>
      </c>
      <c r="S362" s="41">
        <f>R362*(1/(1+$G362))^(1+$E362)*(1+S$7)^$D362*(S344/R344)^$E362*((S344+S353)/(R344+R353))^($F362*(1+$E362))</f>
        <v/>
      </c>
      <c r="T362" s="41">
        <f>S362*(1/(1+$G362))^(1+$E362)*(1+T$7)^$D362*(T344/S344)^$E362*((T344+T353)/(S344+S353))^($F362*(1+$E362))</f>
        <v/>
      </c>
      <c r="U362" s="41">
        <f>T362*(1/(1+$G362))^(1+$E362)*(1+U$7)^$D362*(U344/T344)^$E362*((U344+U353)/(T344+T353))^($F362*(1+$E362))</f>
        <v/>
      </c>
      <c r="V362" s="41">
        <f>U362*(1/(1+$G362))^(1+$E362)*(1+V$7)^$D362*(V344/U344)^$E362*((V344+V353)/(U344+U353))^($F362*(1+$E362))</f>
        <v/>
      </c>
      <c r="W362" s="41">
        <f>V362*(1/(1+$G362))^(1+$E362)*(1+W$7)^$D362*(W344/V344)^$E362*((W344+W353)/(V344+V353))^($F362*(1+$E362))</f>
        <v/>
      </c>
      <c r="X362" s="41">
        <f>W362*(1/(1+$G362))^(1+$E362)*(1+X$7)^$D362*(X344/W344)^$E362*((X344+X353)/(W344+W353))^($F362*(1+$E362))</f>
        <v/>
      </c>
      <c r="Y362" s="42">
        <f>FUELUSE(X362,Y344,X344,Y353,X353,Y$7,$D362,$E362,$F362,$G362)</f>
        <v/>
      </c>
      <c r="Z362" s="23">
        <f>LOWER(Settings!$C$4)&amp;".mit."&amp;$A362&amp;IF($C362="","","."&amp;$C362&amp;"."&amp;$B362)&amp;IF(INDEX(Variables!$D$5:$D$65,MATCH($A362,Variables!$A$5:$A$65,0))="","","."&amp;INDEX(Variables!$D$5:$D$65,MATCH($A362,Variables!$A$5:$A$65,0)))&amp;"."&amp;Z$5</f>
        <v/>
      </c>
      <c r="AA362" s="40">
        <f>INDEX(Inputs!$V$5:$V$132,MATCH($B362&amp;"|"&amp;$C362,Inputs!$A$5:$A$132,0))</f>
        <v/>
      </c>
      <c r="AB362" s="41">
        <f>AA362*(1/(1+$G362))^(1+$E362)*(1+AB$7)^$D362*(AB344/AA344)^$E362*((AB344+AB353)/(AA344+AA353))^($F362*(1+$E362))</f>
        <v/>
      </c>
      <c r="AC362" s="41">
        <f>AB362*(1/(1+$G362))^(1+$E362)*(1+AC$7)^$D362*(AC344/AB344)^$E362*((AC344+AC353)/(AB344+AB353))^($F362*(1+$E362))</f>
        <v/>
      </c>
      <c r="AD362" s="41">
        <f>AC362*(1/(1+$G362))^(1+$E362)*(1+AD$7)^$D362*(AD344/AC344)^$E362*((AD344+AD353)/(AC344+AC353))^($F362*(1+$E362))</f>
        <v/>
      </c>
      <c r="AE362" s="41">
        <f>AD362*(1/(1+$G362))^(1+$E362)*(1+AE$7)^$D362*(AE344/AD344)^$E362*((AE344+AE353)/(AD344+AD353))^($F362*(1+$E362))</f>
        <v/>
      </c>
      <c r="AF362" s="41">
        <f>AE362*(1/(1+$G362))^(1+$E362)*(1+AF$7)^$D362*(AF344/AE344)^$E362*((AF344+AF353)/(AE344+AE353))^($F362*(1+$E362))</f>
        <v/>
      </c>
      <c r="AG362" s="41">
        <f>AF362*(1/(1+$G362))^(1+$E362)*(1+AG$7)^$D362*(AG344/AF344)^$E362*((AG344+AG353)/(AF344+AF353))^($F362*(1+$E362))</f>
        <v/>
      </c>
      <c r="AH362" s="41">
        <f>AG362*(1/(1+$G362))^(1+$E362)*(1+AH$7)^$D362*(AH344/AG344)^$E362*((AH344+AH353)/(AG344+AG353))^($F362*(1+$E362))</f>
        <v/>
      </c>
      <c r="AI362" s="41">
        <f>AH362*(1/(1+$G362))^(1+$E362)*(1+AI$7)^$D362*(AI344/AH344)^$E362*((AI344+AI353)/(AH344+AH353))^($F362*(1+$E362))</f>
        <v/>
      </c>
      <c r="AJ362" s="41">
        <f>AI362*(1/(1+$G362))^(1+$E362)*(1+AJ$7)^$D362*(AJ344/AI344)^$E362*((AJ344+AJ353)/(AI344+AI353))^($F362*(1+$E362))</f>
        <v/>
      </c>
      <c r="AK362" s="41">
        <f>AJ362*(1/(1+$G362))^(1+$E362)*(1+AK$7)^$D362*(AK344/AJ344)^$E362*((AK344+AK353)/(AJ344+AJ353))^($F362*(1+$E362))</f>
        <v/>
      </c>
      <c r="AL362" s="41">
        <f>AK362*(1/(1+$G362))^(1+$E362)*(1+AL$7)^$D362*(AL344/AK344)^$E362*((AL344+AL353)/(AK344+AK353))^($F362*(1+$E362))</f>
        <v/>
      </c>
      <c r="AM362" s="41">
        <f>AL362*(1/(1+$G362))^(1+$E362)*(1+AM$7)^$D362*(AM344/AL344)^$E362*((AM344+AM353)/(AL344+AL353))^($F362*(1+$E362))</f>
        <v/>
      </c>
      <c r="AN362" s="42">
        <f>FUELUSE(AM362,AN344,AM344,AN353,AM353,AN$7,$D362,$E362,$F362,$G362)</f>
        <v/>
      </c>
    </row>
    <row r="363" hidden="1" outlineLevel="2">
      <c r="A363" s="5" t="inlineStr">
        <is>
          <t>ener</t>
        </is>
      </c>
      <c r="B363" s="5" t="inlineStr">
        <is>
          <t>gso</t>
        </is>
      </c>
      <c r="C363" s="5" t="inlineStr">
        <is>
          <t>avi</t>
        </is>
      </c>
      <c r="D363" s="36">
        <f>INDEX(Inputs!$N$5:$N$132,MATCH($B363&amp;"|"&amp;$C363,Inputs!$A$5:$A$132,0))</f>
        <v/>
      </c>
      <c r="E363" s="36">
        <f>INDEX(Inputs!$O$5:$O$132,MATCH($B363&amp;"|"&amp;$C363,Inputs!$A$5:$A$132,0))</f>
        <v/>
      </c>
      <c r="F363" s="36">
        <f>INDEX(Inputs!$P$5:$P$132,MATCH($B363&amp;"|"&amp;$C363,Inputs!$A$5:$A$132,0))</f>
        <v/>
      </c>
      <c r="G363" s="36">
        <f>INDEX(Inputs!$Q$5:$Q$132,MATCH($B363&amp;"|"&amp;$C363,Inputs!$A$5:$A$132,0))</f>
        <v/>
      </c>
      <c r="H363" s="5">
        <f>INDEX(Variables!$B$5:$B$65,MATCH($A363,Variables!$A$5:$A$65,0))&amp;IF($C363="",""," | "&amp;INDEX(Mapping!$B$5:$B$25,MATCH($C363,Mapping!$A$5:$A$25,0))&amp;" | "&amp;INDEX(Mapping!$B$29:$B$38,MATCH($B363,Mapping!$A$29:$A$38,0)))</f>
        <v/>
      </c>
      <c r="I363" s="5">
        <f>INDEX(Variables!$C$5:$C$65,MATCH($A363,Variables!$A$5:$A$65,0))</f>
        <v/>
      </c>
      <c r="J363" s="5">
        <f>INDEX(Variables!$E$5:$E$65,MATCH($A363,Variables!$A$5:$A$65,0))</f>
        <v/>
      </c>
      <c r="K363" s="23">
        <f>LOWER(Settings!$C$4)&amp;".mit."&amp;$A363&amp;IF($C363="","","."&amp;$C363&amp;"."&amp;$B363)&amp;IF(INDEX(Variables!$D$5:$D$65,MATCH($A363,Variables!$A$5:$A$65,0))="","","."&amp;INDEX(Variables!$D$5:$D$65,MATCH($A363,Variables!$A$5:$A$65,0)))&amp;"."&amp;K$5</f>
        <v/>
      </c>
      <c r="L363" s="40">
        <f>INDEX(Inputs!$V$5:$V$132,MATCH($B363&amp;"|"&amp;$C363,Inputs!$A$5:$A$132,0))</f>
        <v/>
      </c>
      <c r="M363" s="41">
        <f>L363*(1/(1+$G363))^(1+$E363)*(1+M$7)^$D363*(M345/L345)^$E363*((M345+M354)/(L345+L354))^($F363*(1+$E363))</f>
        <v/>
      </c>
      <c r="N363" s="41">
        <f>M363*(1/(1+$G363))^(1+$E363)*(1+N$7)^$D363*(N345/M345)^$E363*((N345+N354)/(M345+M354))^($F363*(1+$E363))</f>
        <v/>
      </c>
      <c r="O363" s="41">
        <f>N363*(1/(1+$G363))^(1+$E363)*(1+O$7)^$D363*(O345/N345)^$E363*((O345+O354)/(N345+N354))^($F363*(1+$E363))</f>
        <v/>
      </c>
      <c r="P363" s="41">
        <f>O363*(1/(1+$G363))^(1+$E363)*(1+P$7)^$D363*(P345/O345)^$E363*((P345+P354)/(O345+O354))^($F363*(1+$E363))</f>
        <v/>
      </c>
      <c r="Q363" s="41">
        <f>P363*(1/(1+$G363))^(1+$E363)*(1+Q$7)^$D363*(Q345/P345)^$E363*((Q345+Q354)/(P345+P354))^($F363*(1+$E363))</f>
        <v/>
      </c>
      <c r="R363" s="41">
        <f>Q363*(1/(1+$G363))^(1+$E363)*(1+R$7)^$D363*(R345/Q345)^$E363*((R345+R354)/(Q345+Q354))^($F363*(1+$E363))</f>
        <v/>
      </c>
      <c r="S363" s="41">
        <f>R363*(1/(1+$G363))^(1+$E363)*(1+S$7)^$D363*(S345/R345)^$E363*((S345+S354)/(R345+R354))^($F363*(1+$E363))</f>
        <v/>
      </c>
      <c r="T363" s="41">
        <f>S363*(1/(1+$G363))^(1+$E363)*(1+T$7)^$D363*(T345/S345)^$E363*((T345+T354)/(S345+S354))^($F363*(1+$E363))</f>
        <v/>
      </c>
      <c r="U363" s="41">
        <f>T363*(1/(1+$G363))^(1+$E363)*(1+U$7)^$D363*(U345/T345)^$E363*((U345+U354)/(T345+T354))^($F363*(1+$E363))</f>
        <v/>
      </c>
      <c r="V363" s="41">
        <f>U363*(1/(1+$G363))^(1+$E363)*(1+V$7)^$D363*(V345/U345)^$E363*((V345+V354)/(U345+U354))^($F363*(1+$E363))</f>
        <v/>
      </c>
      <c r="W363" s="41">
        <f>V363*(1/(1+$G363))^(1+$E363)*(1+W$7)^$D363*(W345/V345)^$E363*((W345+W354)/(V345+V354))^($F363*(1+$E363))</f>
        <v/>
      </c>
      <c r="X363" s="41">
        <f>W363*(1/(1+$G363))^(1+$E363)*(1+X$7)^$D363*(X345/W345)^$E363*((X345+X354)/(W345+W354))^($F363*(1+$E363))</f>
        <v/>
      </c>
      <c r="Y363" s="42">
        <f>FUELUSE(X363,Y345,X345,Y354,X354,Y$7,$D363,$E363,$F363,$G363)</f>
        <v/>
      </c>
      <c r="Z363" s="23">
        <f>LOWER(Settings!$C$4)&amp;".mit."&amp;$A363&amp;IF($C363="","","."&amp;$C363&amp;"."&amp;$B363)&amp;IF(INDEX(Variables!$D$5:$D$65,MATCH($A363,Variables!$A$5:$A$65,0))="","","."&amp;INDEX(Variables!$D$5:$D$65,MATCH($A363,Variables!$A$5:$A$65,0)))&amp;"."&amp;Z$5</f>
        <v/>
      </c>
      <c r="AA363" s="40">
        <f>INDEX(Inputs!$V$5:$V$132,MATCH($B363&amp;"|"&amp;$C363,Inputs!$A$5:$A$132,0))</f>
        <v/>
      </c>
      <c r="AB363" s="41">
        <f>AA363*(1/(1+$G363))^(1+$E363)*(1+AB$7)^$D363*(AB345/AA345)^$E363*((AB345+AB354)/(AA345+AA354))^($F363*(1+$E363))</f>
        <v/>
      </c>
      <c r="AC363" s="41">
        <f>AB363*(1/(1+$G363))^(1+$E363)*(1+AC$7)^$D363*(AC345/AB345)^$E363*((AC345+AC354)/(AB345+AB354))^($F363*(1+$E363))</f>
        <v/>
      </c>
      <c r="AD363" s="41">
        <f>AC363*(1/(1+$G363))^(1+$E363)*(1+AD$7)^$D363*(AD345/AC345)^$E363*((AD345+AD354)/(AC345+AC354))^($F363*(1+$E363))</f>
        <v/>
      </c>
      <c r="AE363" s="41">
        <f>AD363*(1/(1+$G363))^(1+$E363)*(1+AE$7)^$D363*(AE345/AD345)^$E363*((AE345+AE354)/(AD345+AD354))^($F363*(1+$E363))</f>
        <v/>
      </c>
      <c r="AF363" s="41">
        <f>AE363*(1/(1+$G363))^(1+$E363)*(1+AF$7)^$D363*(AF345/AE345)^$E363*((AF345+AF354)/(AE345+AE354))^($F363*(1+$E363))</f>
        <v/>
      </c>
      <c r="AG363" s="41">
        <f>AF363*(1/(1+$G363))^(1+$E363)*(1+AG$7)^$D363*(AG345/AF345)^$E363*((AG345+AG354)/(AF345+AF354))^($F363*(1+$E363))</f>
        <v/>
      </c>
      <c r="AH363" s="41">
        <f>AG363*(1/(1+$G363))^(1+$E363)*(1+AH$7)^$D363*(AH345/AG345)^$E363*((AH345+AH354)/(AG345+AG354))^($F363*(1+$E363))</f>
        <v/>
      </c>
      <c r="AI363" s="41">
        <f>AH363*(1/(1+$G363))^(1+$E363)*(1+AI$7)^$D363*(AI345/AH345)^$E363*((AI345+AI354)/(AH345+AH354))^($F363*(1+$E363))</f>
        <v/>
      </c>
      <c r="AJ363" s="41">
        <f>AI363*(1/(1+$G363))^(1+$E363)*(1+AJ$7)^$D363*(AJ345/AI345)^$E363*((AJ345+AJ354)/(AI345+AI354))^($F363*(1+$E363))</f>
        <v/>
      </c>
      <c r="AK363" s="41">
        <f>AJ363*(1/(1+$G363))^(1+$E363)*(1+AK$7)^$D363*(AK345/AJ345)^$E363*((AK345+AK354)/(AJ345+AJ354))^($F363*(1+$E363))</f>
        <v/>
      </c>
      <c r="AL363" s="41">
        <f>AK363*(1/(1+$G363))^(1+$E363)*(1+AL$7)^$D363*(AL345/AK345)^$E363*((AL345+AL354)/(AK345+AK354))^($F363*(1+$E363))</f>
        <v/>
      </c>
      <c r="AM363" s="41">
        <f>AL363*(1/(1+$G363))^(1+$E363)*(1+AM$7)^$D363*(AM345/AL345)^$E363*((AM345+AM354)/(AL345+AL354))^($F363*(1+$E363))</f>
        <v/>
      </c>
      <c r="AN363" s="42">
        <f>FUELUSE(AM363,AN345,AM345,AN354,AM354,AN$7,$D363,$E363,$F363,$G363)</f>
        <v/>
      </c>
    </row>
    <row r="364" hidden="1" outlineLevel="2">
      <c r="A364" s="5" t="inlineStr">
        <is>
          <t>ener</t>
        </is>
      </c>
      <c r="B364" s="5" t="inlineStr">
        <is>
          <t>die</t>
        </is>
      </c>
      <c r="C364" s="5" t="inlineStr">
        <is>
          <t>avi</t>
        </is>
      </c>
      <c r="D364" s="36">
        <f>INDEX(Inputs!$N$5:$N$132,MATCH($B364&amp;"|"&amp;$C364,Inputs!$A$5:$A$132,0))</f>
        <v/>
      </c>
      <c r="E364" s="36">
        <f>INDEX(Inputs!$O$5:$O$132,MATCH($B364&amp;"|"&amp;$C364,Inputs!$A$5:$A$132,0))</f>
        <v/>
      </c>
      <c r="F364" s="36">
        <f>INDEX(Inputs!$P$5:$P$132,MATCH($B364&amp;"|"&amp;$C364,Inputs!$A$5:$A$132,0))</f>
        <v/>
      </c>
      <c r="G364" s="36">
        <f>INDEX(Inputs!$Q$5:$Q$132,MATCH($B364&amp;"|"&amp;$C364,Inputs!$A$5:$A$132,0))</f>
        <v/>
      </c>
      <c r="H364" s="5">
        <f>INDEX(Variables!$B$5:$B$65,MATCH($A364,Variables!$A$5:$A$65,0))&amp;IF($C364="",""," | "&amp;INDEX(Mapping!$B$5:$B$25,MATCH($C364,Mapping!$A$5:$A$25,0))&amp;" | "&amp;INDEX(Mapping!$B$29:$B$38,MATCH($B364,Mapping!$A$29:$A$38,0)))</f>
        <v/>
      </c>
      <c r="I364" s="5">
        <f>INDEX(Variables!$C$5:$C$65,MATCH($A364,Variables!$A$5:$A$65,0))</f>
        <v/>
      </c>
      <c r="J364" s="5">
        <f>INDEX(Variables!$E$5:$E$65,MATCH($A364,Variables!$A$5:$A$65,0))</f>
        <v/>
      </c>
      <c r="K364" s="23">
        <f>LOWER(Settings!$C$4)&amp;".mit."&amp;$A364&amp;IF($C364="","","."&amp;$C364&amp;"."&amp;$B364)&amp;IF(INDEX(Variables!$D$5:$D$65,MATCH($A364,Variables!$A$5:$A$65,0))="","","."&amp;INDEX(Variables!$D$5:$D$65,MATCH($A364,Variables!$A$5:$A$65,0)))&amp;"."&amp;K$5</f>
        <v/>
      </c>
      <c r="L364" s="40">
        <f>INDEX(Inputs!$V$5:$V$132,MATCH($B364&amp;"|"&amp;$C364,Inputs!$A$5:$A$132,0))</f>
        <v/>
      </c>
      <c r="M364" s="41">
        <f>L364*(1/(1+$G364))^(1+$E364)*(1+M$7)^$D364*(M346/L346)^$E364*((M346+M355)/(L346+L355))^($F364*(1+$E364))</f>
        <v/>
      </c>
      <c r="N364" s="41">
        <f>M364*(1/(1+$G364))^(1+$E364)*(1+N$7)^$D364*(N346/M346)^$E364*((N346+N355)/(M346+M355))^($F364*(1+$E364))</f>
        <v/>
      </c>
      <c r="O364" s="41">
        <f>N364*(1/(1+$G364))^(1+$E364)*(1+O$7)^$D364*(O346/N346)^$E364*((O346+O355)/(N346+N355))^($F364*(1+$E364))</f>
        <v/>
      </c>
      <c r="P364" s="41">
        <f>O364*(1/(1+$G364))^(1+$E364)*(1+P$7)^$D364*(P346/O346)^$E364*((P346+P355)/(O346+O355))^($F364*(1+$E364))</f>
        <v/>
      </c>
      <c r="Q364" s="41">
        <f>P364*(1/(1+$G364))^(1+$E364)*(1+Q$7)^$D364*(Q346/P346)^$E364*((Q346+Q355)/(P346+P355))^($F364*(1+$E364))</f>
        <v/>
      </c>
      <c r="R364" s="41">
        <f>Q364*(1/(1+$G364))^(1+$E364)*(1+R$7)^$D364*(R346/Q346)^$E364*((R346+R355)/(Q346+Q355))^($F364*(1+$E364))</f>
        <v/>
      </c>
      <c r="S364" s="41">
        <f>R364*(1/(1+$G364))^(1+$E364)*(1+S$7)^$D364*(S346/R346)^$E364*((S346+S355)/(R346+R355))^($F364*(1+$E364))</f>
        <v/>
      </c>
      <c r="T364" s="41">
        <f>S364*(1/(1+$G364))^(1+$E364)*(1+T$7)^$D364*(T346/S346)^$E364*((T346+T355)/(S346+S355))^($F364*(1+$E364))</f>
        <v/>
      </c>
      <c r="U364" s="41">
        <f>T364*(1/(1+$G364))^(1+$E364)*(1+U$7)^$D364*(U346/T346)^$E364*((U346+U355)/(T346+T355))^($F364*(1+$E364))</f>
        <v/>
      </c>
      <c r="V364" s="41">
        <f>U364*(1/(1+$G364))^(1+$E364)*(1+V$7)^$D364*(V346/U346)^$E364*((V346+V355)/(U346+U355))^($F364*(1+$E364))</f>
        <v/>
      </c>
      <c r="W364" s="41">
        <f>V364*(1/(1+$G364))^(1+$E364)*(1+W$7)^$D364*(W346/V346)^$E364*((W346+W355)/(V346+V355))^($F364*(1+$E364))</f>
        <v/>
      </c>
      <c r="X364" s="41">
        <f>W364*(1/(1+$G364))^(1+$E364)*(1+X$7)^$D364*(X346/W346)^$E364*((X346+X355)/(W346+W355))^($F364*(1+$E364))</f>
        <v/>
      </c>
      <c r="Y364" s="42">
        <f>FUELUSE(X364,Y346,X346,Y355,X355,Y$7,$D364,$E364,$F364,$G364)</f>
        <v/>
      </c>
      <c r="Z364" s="23">
        <f>LOWER(Settings!$C$4)&amp;".mit."&amp;$A364&amp;IF($C364="","","."&amp;$C364&amp;"."&amp;$B364)&amp;IF(INDEX(Variables!$D$5:$D$65,MATCH($A364,Variables!$A$5:$A$65,0))="","","."&amp;INDEX(Variables!$D$5:$D$65,MATCH($A364,Variables!$A$5:$A$65,0)))&amp;"."&amp;Z$5</f>
        <v/>
      </c>
      <c r="AA364" s="40">
        <f>INDEX(Inputs!$V$5:$V$132,MATCH($B364&amp;"|"&amp;$C364,Inputs!$A$5:$A$132,0))</f>
        <v/>
      </c>
      <c r="AB364" s="41">
        <f>AA364*(1/(1+$G364))^(1+$E364)*(1+AB$7)^$D364*(AB346/AA346)^$E364*((AB346+AB355)/(AA346+AA355))^($F364*(1+$E364))</f>
        <v/>
      </c>
      <c r="AC364" s="41">
        <f>AB364*(1/(1+$G364))^(1+$E364)*(1+AC$7)^$D364*(AC346/AB346)^$E364*((AC346+AC355)/(AB346+AB355))^($F364*(1+$E364))</f>
        <v/>
      </c>
      <c r="AD364" s="41">
        <f>AC364*(1/(1+$G364))^(1+$E364)*(1+AD$7)^$D364*(AD346/AC346)^$E364*((AD346+AD355)/(AC346+AC355))^($F364*(1+$E364))</f>
        <v/>
      </c>
      <c r="AE364" s="41">
        <f>AD364*(1/(1+$G364))^(1+$E364)*(1+AE$7)^$D364*(AE346/AD346)^$E364*((AE346+AE355)/(AD346+AD355))^($F364*(1+$E364))</f>
        <v/>
      </c>
      <c r="AF364" s="41">
        <f>AE364*(1/(1+$G364))^(1+$E364)*(1+AF$7)^$D364*(AF346/AE346)^$E364*((AF346+AF355)/(AE346+AE355))^($F364*(1+$E364))</f>
        <v/>
      </c>
      <c r="AG364" s="41">
        <f>AF364*(1/(1+$G364))^(1+$E364)*(1+AG$7)^$D364*(AG346/AF346)^$E364*((AG346+AG355)/(AF346+AF355))^($F364*(1+$E364))</f>
        <v/>
      </c>
      <c r="AH364" s="41">
        <f>AG364*(1/(1+$G364))^(1+$E364)*(1+AH$7)^$D364*(AH346/AG346)^$E364*((AH346+AH355)/(AG346+AG355))^($F364*(1+$E364))</f>
        <v/>
      </c>
      <c r="AI364" s="41">
        <f>AH364*(1/(1+$G364))^(1+$E364)*(1+AI$7)^$D364*(AI346/AH346)^$E364*((AI346+AI355)/(AH346+AH355))^($F364*(1+$E364))</f>
        <v/>
      </c>
      <c r="AJ364" s="41">
        <f>AI364*(1/(1+$G364))^(1+$E364)*(1+AJ$7)^$D364*(AJ346/AI346)^$E364*((AJ346+AJ355)/(AI346+AI355))^($F364*(1+$E364))</f>
        <v/>
      </c>
      <c r="AK364" s="41">
        <f>AJ364*(1/(1+$G364))^(1+$E364)*(1+AK$7)^$D364*(AK346/AJ346)^$E364*((AK346+AK355)/(AJ346+AJ355))^($F364*(1+$E364))</f>
        <v/>
      </c>
      <c r="AL364" s="41">
        <f>AK364*(1/(1+$G364))^(1+$E364)*(1+AL$7)^$D364*(AL346/AK346)^$E364*((AL346+AL355)/(AK346+AK355))^($F364*(1+$E364))</f>
        <v/>
      </c>
      <c r="AM364" s="41">
        <f>AL364*(1/(1+$G364))^(1+$E364)*(1+AM$7)^$D364*(AM346/AL346)^$E364*((AM346+AM355)/(AL346+AL355))^($F364*(1+$E364))</f>
        <v/>
      </c>
      <c r="AN364" s="42">
        <f>FUELUSE(AM364,AN346,AM346,AN355,AM355,AN$7,$D364,$E364,$F364,$G364)</f>
        <v/>
      </c>
    </row>
    <row r="365" hidden="1" outlineLevel="2">
      <c r="A365" s="5" t="inlineStr">
        <is>
          <t>ener</t>
        </is>
      </c>
      <c r="B365" s="5" t="inlineStr">
        <is>
          <t>lpg</t>
        </is>
      </c>
      <c r="C365" s="5" t="inlineStr">
        <is>
          <t>avi</t>
        </is>
      </c>
      <c r="D365" s="36">
        <f>INDEX(Inputs!$N$5:$N$132,MATCH($B365&amp;"|"&amp;$C365,Inputs!$A$5:$A$132,0))</f>
        <v/>
      </c>
      <c r="E365" s="36">
        <f>INDEX(Inputs!$O$5:$O$132,MATCH($B365&amp;"|"&amp;$C365,Inputs!$A$5:$A$132,0))</f>
        <v/>
      </c>
      <c r="F365" s="36">
        <f>INDEX(Inputs!$P$5:$P$132,MATCH($B365&amp;"|"&amp;$C365,Inputs!$A$5:$A$132,0))</f>
        <v/>
      </c>
      <c r="G365" s="36">
        <f>INDEX(Inputs!$Q$5:$Q$132,MATCH($B365&amp;"|"&amp;$C365,Inputs!$A$5:$A$132,0))</f>
        <v/>
      </c>
      <c r="H365" s="5">
        <f>INDEX(Variables!$B$5:$B$65,MATCH($A365,Variables!$A$5:$A$65,0))&amp;IF($C365="",""," | "&amp;INDEX(Mapping!$B$5:$B$25,MATCH($C365,Mapping!$A$5:$A$25,0))&amp;" | "&amp;INDEX(Mapping!$B$29:$B$38,MATCH($B365,Mapping!$A$29:$A$38,0)))</f>
        <v/>
      </c>
      <c r="I365" s="5">
        <f>INDEX(Variables!$C$5:$C$65,MATCH($A365,Variables!$A$5:$A$65,0))</f>
        <v/>
      </c>
      <c r="J365" s="5">
        <f>INDEX(Variables!$E$5:$E$65,MATCH($A365,Variables!$A$5:$A$65,0))</f>
        <v/>
      </c>
      <c r="K365" s="23">
        <f>LOWER(Settings!$C$4)&amp;".mit."&amp;$A365&amp;IF($C365="","","."&amp;$C365&amp;"."&amp;$B365)&amp;IF(INDEX(Variables!$D$5:$D$65,MATCH($A365,Variables!$A$5:$A$65,0))="","","."&amp;INDEX(Variables!$D$5:$D$65,MATCH($A365,Variables!$A$5:$A$65,0)))&amp;"."&amp;K$5</f>
        <v/>
      </c>
      <c r="L365" s="40">
        <f>INDEX(Inputs!$V$5:$V$132,MATCH($B365&amp;"|"&amp;$C365,Inputs!$A$5:$A$132,0))</f>
        <v/>
      </c>
      <c r="M365" s="41">
        <f>L365*(1/(1+$G365))^(1+$E365)*(1+M$7)^$D365*(M347/L347)^$E365*((M347+M356)/(L347+L356))^($F365*(1+$E365))</f>
        <v/>
      </c>
      <c r="N365" s="41">
        <f>M365*(1/(1+$G365))^(1+$E365)*(1+N$7)^$D365*(N347/M347)^$E365*((N347+N356)/(M347+M356))^($F365*(1+$E365))</f>
        <v/>
      </c>
      <c r="O365" s="41">
        <f>N365*(1/(1+$G365))^(1+$E365)*(1+O$7)^$D365*(O347/N347)^$E365*((O347+O356)/(N347+N356))^($F365*(1+$E365))</f>
        <v/>
      </c>
      <c r="P365" s="41">
        <f>O365*(1/(1+$G365))^(1+$E365)*(1+P$7)^$D365*(P347/O347)^$E365*((P347+P356)/(O347+O356))^($F365*(1+$E365))</f>
        <v/>
      </c>
      <c r="Q365" s="41">
        <f>P365*(1/(1+$G365))^(1+$E365)*(1+Q$7)^$D365*(Q347/P347)^$E365*((Q347+Q356)/(P347+P356))^($F365*(1+$E365))</f>
        <v/>
      </c>
      <c r="R365" s="41">
        <f>Q365*(1/(1+$G365))^(1+$E365)*(1+R$7)^$D365*(R347/Q347)^$E365*((R347+R356)/(Q347+Q356))^($F365*(1+$E365))</f>
        <v/>
      </c>
      <c r="S365" s="41">
        <f>R365*(1/(1+$G365))^(1+$E365)*(1+S$7)^$D365*(S347/R347)^$E365*((S347+S356)/(R347+R356))^($F365*(1+$E365))</f>
        <v/>
      </c>
      <c r="T365" s="41">
        <f>S365*(1/(1+$G365))^(1+$E365)*(1+T$7)^$D365*(T347/S347)^$E365*((T347+T356)/(S347+S356))^($F365*(1+$E365))</f>
        <v/>
      </c>
      <c r="U365" s="41">
        <f>T365*(1/(1+$G365))^(1+$E365)*(1+U$7)^$D365*(U347/T347)^$E365*((U347+U356)/(T347+T356))^($F365*(1+$E365))</f>
        <v/>
      </c>
      <c r="V365" s="41">
        <f>U365*(1/(1+$G365))^(1+$E365)*(1+V$7)^$D365*(V347/U347)^$E365*((V347+V356)/(U347+U356))^($F365*(1+$E365))</f>
        <v/>
      </c>
      <c r="W365" s="41">
        <f>V365*(1/(1+$G365))^(1+$E365)*(1+W$7)^$D365*(W347/V347)^$E365*((W347+W356)/(V347+V356))^($F365*(1+$E365))</f>
        <v/>
      </c>
      <c r="X365" s="41">
        <f>W365*(1/(1+$G365))^(1+$E365)*(1+X$7)^$D365*(X347/W347)^$E365*((X347+X356)/(W347+W356))^($F365*(1+$E365))</f>
        <v/>
      </c>
      <c r="Y365" s="42">
        <f>FUELUSE(X365,Y347,X347,Y356,X356,Y$7,$D365,$E365,$F365,$G365)</f>
        <v/>
      </c>
      <c r="Z365" s="23">
        <f>LOWER(Settings!$C$4)&amp;".mit."&amp;$A365&amp;IF($C365="","","."&amp;$C365&amp;"."&amp;$B365)&amp;IF(INDEX(Variables!$D$5:$D$65,MATCH($A365,Variables!$A$5:$A$65,0))="","","."&amp;INDEX(Variables!$D$5:$D$65,MATCH($A365,Variables!$A$5:$A$65,0)))&amp;"."&amp;Z$5</f>
        <v/>
      </c>
      <c r="AA365" s="40">
        <f>INDEX(Inputs!$V$5:$V$132,MATCH($B365&amp;"|"&amp;$C365,Inputs!$A$5:$A$132,0))</f>
        <v/>
      </c>
      <c r="AB365" s="41">
        <f>AA365*(1/(1+$G365))^(1+$E365)*(1+AB$7)^$D365*(AB347/AA347)^$E365*((AB347+AB356)/(AA347+AA356))^($F365*(1+$E365))</f>
        <v/>
      </c>
      <c r="AC365" s="41">
        <f>AB365*(1/(1+$G365))^(1+$E365)*(1+AC$7)^$D365*(AC347/AB347)^$E365*((AC347+AC356)/(AB347+AB356))^($F365*(1+$E365))</f>
        <v/>
      </c>
      <c r="AD365" s="41">
        <f>AC365*(1/(1+$G365))^(1+$E365)*(1+AD$7)^$D365*(AD347/AC347)^$E365*((AD347+AD356)/(AC347+AC356))^($F365*(1+$E365))</f>
        <v/>
      </c>
      <c r="AE365" s="41">
        <f>AD365*(1/(1+$G365))^(1+$E365)*(1+AE$7)^$D365*(AE347/AD347)^$E365*((AE347+AE356)/(AD347+AD356))^($F365*(1+$E365))</f>
        <v/>
      </c>
      <c r="AF365" s="41">
        <f>AE365*(1/(1+$G365))^(1+$E365)*(1+AF$7)^$D365*(AF347/AE347)^$E365*((AF347+AF356)/(AE347+AE356))^($F365*(1+$E365))</f>
        <v/>
      </c>
      <c r="AG365" s="41">
        <f>AF365*(1/(1+$G365))^(1+$E365)*(1+AG$7)^$D365*(AG347/AF347)^$E365*((AG347+AG356)/(AF347+AF356))^($F365*(1+$E365))</f>
        <v/>
      </c>
      <c r="AH365" s="41">
        <f>AG365*(1/(1+$G365))^(1+$E365)*(1+AH$7)^$D365*(AH347/AG347)^$E365*((AH347+AH356)/(AG347+AG356))^($F365*(1+$E365))</f>
        <v/>
      </c>
      <c r="AI365" s="41">
        <f>AH365*(1/(1+$G365))^(1+$E365)*(1+AI$7)^$D365*(AI347/AH347)^$E365*((AI347+AI356)/(AH347+AH356))^($F365*(1+$E365))</f>
        <v/>
      </c>
      <c r="AJ365" s="41">
        <f>AI365*(1/(1+$G365))^(1+$E365)*(1+AJ$7)^$D365*(AJ347/AI347)^$E365*((AJ347+AJ356)/(AI347+AI356))^($F365*(1+$E365))</f>
        <v/>
      </c>
      <c r="AK365" s="41">
        <f>AJ365*(1/(1+$G365))^(1+$E365)*(1+AK$7)^$D365*(AK347/AJ347)^$E365*((AK347+AK356)/(AJ347+AJ356))^($F365*(1+$E365))</f>
        <v/>
      </c>
      <c r="AL365" s="41">
        <f>AK365*(1/(1+$G365))^(1+$E365)*(1+AL$7)^$D365*(AL347/AK347)^$E365*((AL347+AL356)/(AK347+AK356))^($F365*(1+$E365))</f>
        <v/>
      </c>
      <c r="AM365" s="41">
        <f>AL365*(1/(1+$G365))^(1+$E365)*(1+AM$7)^$D365*(AM347/AL347)^$E365*((AM347+AM356)/(AL347+AL356))^($F365*(1+$E365))</f>
        <v/>
      </c>
      <c r="AN365" s="42">
        <f>FUELUSE(AM365,AN347,AM347,AN356,AM356,AN$7,$D365,$E365,$F365,$G365)</f>
        <v/>
      </c>
    </row>
    <row r="366" hidden="1" outlineLevel="2">
      <c r="A366" s="5" t="inlineStr">
        <is>
          <t>ener</t>
        </is>
      </c>
      <c r="B366" s="5" t="inlineStr">
        <is>
          <t>ker</t>
        </is>
      </c>
      <c r="C366" s="5" t="inlineStr">
        <is>
          <t>avi</t>
        </is>
      </c>
      <c r="D366" s="36">
        <f>INDEX(Inputs!$N$5:$N$132,MATCH($B366&amp;"|"&amp;$C366,Inputs!$A$5:$A$132,0))</f>
        <v/>
      </c>
      <c r="E366" s="36">
        <f>INDEX(Inputs!$O$5:$O$132,MATCH($B366&amp;"|"&amp;$C366,Inputs!$A$5:$A$132,0))</f>
        <v/>
      </c>
      <c r="F366" s="36">
        <f>INDEX(Inputs!$P$5:$P$132,MATCH($B366&amp;"|"&amp;$C366,Inputs!$A$5:$A$132,0))</f>
        <v/>
      </c>
      <c r="G366" s="36">
        <f>INDEX(Inputs!$Q$5:$Q$132,MATCH($B366&amp;"|"&amp;$C366,Inputs!$A$5:$A$132,0))</f>
        <v/>
      </c>
      <c r="H366" s="5">
        <f>INDEX(Variables!$B$5:$B$65,MATCH($A366,Variables!$A$5:$A$65,0))&amp;IF($C366="",""," | "&amp;INDEX(Mapping!$B$5:$B$25,MATCH($C366,Mapping!$A$5:$A$25,0))&amp;" | "&amp;INDEX(Mapping!$B$29:$B$38,MATCH($B366,Mapping!$A$29:$A$38,0)))</f>
        <v/>
      </c>
      <c r="I366" s="5">
        <f>INDEX(Variables!$C$5:$C$65,MATCH($A366,Variables!$A$5:$A$65,0))</f>
        <v/>
      </c>
      <c r="J366" s="5">
        <f>INDEX(Variables!$E$5:$E$65,MATCH($A366,Variables!$A$5:$A$65,0))</f>
        <v/>
      </c>
      <c r="K366" s="23">
        <f>LOWER(Settings!$C$4)&amp;".mit."&amp;$A366&amp;IF($C366="","","."&amp;$C366&amp;"."&amp;$B366)&amp;IF(INDEX(Variables!$D$5:$D$65,MATCH($A366,Variables!$A$5:$A$65,0))="","","."&amp;INDEX(Variables!$D$5:$D$65,MATCH($A366,Variables!$A$5:$A$65,0)))&amp;"."&amp;K$5</f>
        <v/>
      </c>
      <c r="L366" s="40">
        <f>INDEX(Inputs!$V$5:$V$132,MATCH($B366&amp;"|"&amp;$C366,Inputs!$A$5:$A$132,0))</f>
        <v/>
      </c>
      <c r="M366" s="41">
        <f>L366*(1/(1+$G366))^(1+$E366)*(1+M$7)^$D366*(M348/L348)^$E366*((M348+M357)/(L348+L357))^($F366*(1+$E366))</f>
        <v/>
      </c>
      <c r="N366" s="41">
        <f>M366*(1/(1+$G366))^(1+$E366)*(1+N$7)^$D366*(N348/M348)^$E366*((N348+N357)/(M348+M357))^($F366*(1+$E366))</f>
        <v/>
      </c>
      <c r="O366" s="41">
        <f>N366*(1/(1+$G366))^(1+$E366)*(1+O$7)^$D366*(O348/N348)^$E366*((O348+O357)/(N348+N357))^($F366*(1+$E366))</f>
        <v/>
      </c>
      <c r="P366" s="41">
        <f>O366*(1/(1+$G366))^(1+$E366)*(1+P$7)^$D366*(P348/O348)^$E366*((P348+P357)/(O348+O357))^($F366*(1+$E366))</f>
        <v/>
      </c>
      <c r="Q366" s="41">
        <f>P366*(1/(1+$G366))^(1+$E366)*(1+Q$7)^$D366*(Q348/P348)^$E366*((Q348+Q357)/(P348+P357))^($F366*(1+$E366))</f>
        <v/>
      </c>
      <c r="R366" s="41">
        <f>Q366*(1/(1+$G366))^(1+$E366)*(1+R$7)^$D366*(R348/Q348)^$E366*((R348+R357)/(Q348+Q357))^($F366*(1+$E366))</f>
        <v/>
      </c>
      <c r="S366" s="41">
        <f>R366*(1/(1+$G366))^(1+$E366)*(1+S$7)^$D366*(S348/R348)^$E366*((S348+S357)/(R348+R357))^($F366*(1+$E366))</f>
        <v/>
      </c>
      <c r="T366" s="41">
        <f>S366*(1/(1+$G366))^(1+$E366)*(1+T$7)^$D366*(T348/S348)^$E366*((T348+T357)/(S348+S357))^($F366*(1+$E366))</f>
        <v/>
      </c>
      <c r="U366" s="41">
        <f>T366*(1/(1+$G366))^(1+$E366)*(1+U$7)^$D366*(U348/T348)^$E366*((U348+U357)/(T348+T357))^($F366*(1+$E366))</f>
        <v/>
      </c>
      <c r="V366" s="41">
        <f>U366*(1/(1+$G366))^(1+$E366)*(1+V$7)^$D366*(V348/U348)^$E366*((V348+V357)/(U348+U357))^($F366*(1+$E366))</f>
        <v/>
      </c>
      <c r="W366" s="41">
        <f>V366*(1/(1+$G366))^(1+$E366)*(1+W$7)^$D366*(W348/V348)^$E366*((W348+W357)/(V348+V357))^($F366*(1+$E366))</f>
        <v/>
      </c>
      <c r="X366" s="41">
        <f>W366*(1/(1+$G366))^(1+$E366)*(1+X$7)^$D366*(X348/W348)^$E366*((X348+X357)/(W348+W357))^($F366*(1+$E366))</f>
        <v/>
      </c>
      <c r="Y366" s="42">
        <f>FUELUSE(X366,Y348,X348,Y357,X357,Y$7,$D366,$E366,$F366,$G366)</f>
        <v/>
      </c>
      <c r="Z366" s="23">
        <f>LOWER(Settings!$C$4)&amp;".mit."&amp;$A366&amp;IF($C366="","","."&amp;$C366&amp;"."&amp;$B366)&amp;IF(INDEX(Variables!$D$5:$D$65,MATCH($A366,Variables!$A$5:$A$65,0))="","","."&amp;INDEX(Variables!$D$5:$D$65,MATCH($A366,Variables!$A$5:$A$65,0)))&amp;"."&amp;Z$5</f>
        <v/>
      </c>
      <c r="AA366" s="40">
        <f>INDEX(Inputs!$V$5:$V$132,MATCH($B366&amp;"|"&amp;$C366,Inputs!$A$5:$A$132,0))</f>
        <v/>
      </c>
      <c r="AB366" s="41">
        <f>AA366*(1/(1+$G366))^(1+$E366)*(1+AB$7)^$D366*(AB348/AA348)^$E366*((AB348+AB357)/(AA348+AA357))^($F366*(1+$E366))</f>
        <v/>
      </c>
      <c r="AC366" s="41">
        <f>AB366*(1/(1+$G366))^(1+$E366)*(1+AC$7)^$D366*(AC348/AB348)^$E366*((AC348+AC357)/(AB348+AB357))^($F366*(1+$E366))</f>
        <v/>
      </c>
      <c r="AD366" s="41">
        <f>AC366*(1/(1+$G366))^(1+$E366)*(1+AD$7)^$D366*(AD348/AC348)^$E366*((AD348+AD357)/(AC348+AC357))^($F366*(1+$E366))</f>
        <v/>
      </c>
      <c r="AE366" s="41">
        <f>AD366*(1/(1+$G366))^(1+$E366)*(1+AE$7)^$D366*(AE348/AD348)^$E366*((AE348+AE357)/(AD348+AD357))^($F366*(1+$E366))</f>
        <v/>
      </c>
      <c r="AF366" s="41">
        <f>AE366*(1/(1+$G366))^(1+$E366)*(1+AF$7)^$D366*(AF348/AE348)^$E366*((AF348+AF357)/(AE348+AE357))^($F366*(1+$E366))</f>
        <v/>
      </c>
      <c r="AG366" s="41">
        <f>AF366*(1/(1+$G366))^(1+$E366)*(1+AG$7)^$D366*(AG348/AF348)^$E366*((AG348+AG357)/(AF348+AF357))^($F366*(1+$E366))</f>
        <v/>
      </c>
      <c r="AH366" s="41">
        <f>AG366*(1/(1+$G366))^(1+$E366)*(1+AH$7)^$D366*(AH348/AG348)^$E366*((AH348+AH357)/(AG348+AG357))^($F366*(1+$E366))</f>
        <v/>
      </c>
      <c r="AI366" s="41">
        <f>AH366*(1/(1+$G366))^(1+$E366)*(1+AI$7)^$D366*(AI348/AH348)^$E366*((AI348+AI357)/(AH348+AH357))^($F366*(1+$E366))</f>
        <v/>
      </c>
      <c r="AJ366" s="41">
        <f>AI366*(1/(1+$G366))^(1+$E366)*(1+AJ$7)^$D366*(AJ348/AI348)^$E366*((AJ348+AJ357)/(AI348+AI357))^($F366*(1+$E366))</f>
        <v/>
      </c>
      <c r="AK366" s="41">
        <f>AJ366*(1/(1+$G366))^(1+$E366)*(1+AK$7)^$D366*(AK348/AJ348)^$E366*((AK348+AK357)/(AJ348+AJ357))^($F366*(1+$E366))</f>
        <v/>
      </c>
      <c r="AL366" s="41">
        <f>AK366*(1/(1+$G366))^(1+$E366)*(1+AL$7)^$D366*(AL348/AK348)^$E366*((AL348+AL357)/(AK348+AK357))^($F366*(1+$E366))</f>
        <v/>
      </c>
      <c r="AM366" s="41">
        <f>AL366*(1/(1+$G366))^(1+$E366)*(1+AM$7)^$D366*(AM348/AL348)^$E366*((AM348+AM357)/(AL348+AL357))^($F366*(1+$E366))</f>
        <v/>
      </c>
      <c r="AN366" s="42">
        <f>FUELUSE(AM366,AN348,AM348,AN357,AM357,AN$7,$D366,$E366,$F366,$G366)</f>
        <v/>
      </c>
    </row>
    <row r="367" hidden="1" outlineLevel="2">
      <c r="A367" s="5" t="inlineStr">
        <is>
          <t>ener</t>
        </is>
      </c>
      <c r="B367" s="5" t="inlineStr">
        <is>
          <t>oop</t>
        </is>
      </c>
      <c r="C367" s="5" t="inlineStr">
        <is>
          <t>avi</t>
        </is>
      </c>
      <c r="D367" s="36">
        <f>INDEX(Inputs!$N$5:$N$132,MATCH($B367&amp;"|"&amp;$C367,Inputs!$A$5:$A$132,0))</f>
        <v/>
      </c>
      <c r="E367" s="36">
        <f>INDEX(Inputs!$O$5:$O$132,MATCH($B367&amp;"|"&amp;$C367,Inputs!$A$5:$A$132,0))</f>
        <v/>
      </c>
      <c r="F367" s="36">
        <f>INDEX(Inputs!$P$5:$P$132,MATCH($B367&amp;"|"&amp;$C367,Inputs!$A$5:$A$132,0))</f>
        <v/>
      </c>
      <c r="G367" s="36">
        <f>INDEX(Inputs!$Q$5:$Q$132,MATCH($B367&amp;"|"&amp;$C367,Inputs!$A$5:$A$132,0))</f>
        <v/>
      </c>
      <c r="H367" s="5">
        <f>INDEX(Variables!$B$5:$B$65,MATCH($A367,Variables!$A$5:$A$65,0))&amp;IF($C367="",""," | "&amp;INDEX(Mapping!$B$5:$B$25,MATCH($C367,Mapping!$A$5:$A$25,0))&amp;" | "&amp;INDEX(Mapping!$B$29:$B$38,MATCH($B367,Mapping!$A$29:$A$38,0)))</f>
        <v/>
      </c>
      <c r="I367" s="5">
        <f>INDEX(Variables!$C$5:$C$65,MATCH($A367,Variables!$A$5:$A$65,0))</f>
        <v/>
      </c>
      <c r="J367" s="5">
        <f>INDEX(Variables!$E$5:$E$65,MATCH($A367,Variables!$A$5:$A$65,0))</f>
        <v/>
      </c>
      <c r="K367" s="23">
        <f>LOWER(Settings!$C$4)&amp;".mit."&amp;$A367&amp;IF($C367="","","."&amp;$C367&amp;"."&amp;$B367)&amp;IF(INDEX(Variables!$D$5:$D$65,MATCH($A367,Variables!$A$5:$A$65,0))="","","."&amp;INDEX(Variables!$D$5:$D$65,MATCH($A367,Variables!$A$5:$A$65,0)))&amp;"."&amp;K$5</f>
        <v/>
      </c>
      <c r="L367" s="40">
        <f>INDEX(Inputs!$V$5:$V$132,MATCH($B367&amp;"|"&amp;$C367,Inputs!$A$5:$A$132,0))</f>
        <v/>
      </c>
      <c r="M367" s="41">
        <f>L367*(1/(1+$G367))^(1+$E367)*(1+M$7)^$D367*(M349/L349)^$E367*((M349+M358)/(L349+L358))^($F367*(1+$E367))</f>
        <v/>
      </c>
      <c r="N367" s="41">
        <f>M367*(1/(1+$G367))^(1+$E367)*(1+N$7)^$D367*(N349/M349)^$E367*((N349+N358)/(M349+M358))^($F367*(1+$E367))</f>
        <v/>
      </c>
      <c r="O367" s="41">
        <f>N367*(1/(1+$G367))^(1+$E367)*(1+O$7)^$D367*(O349/N349)^$E367*((O349+O358)/(N349+N358))^($F367*(1+$E367))</f>
        <v/>
      </c>
      <c r="P367" s="41">
        <f>O367*(1/(1+$G367))^(1+$E367)*(1+P$7)^$D367*(P349/O349)^$E367*((P349+P358)/(O349+O358))^($F367*(1+$E367))</f>
        <v/>
      </c>
      <c r="Q367" s="41">
        <f>P367*(1/(1+$G367))^(1+$E367)*(1+Q$7)^$D367*(Q349/P349)^$E367*((Q349+Q358)/(P349+P358))^($F367*(1+$E367))</f>
        <v/>
      </c>
      <c r="R367" s="41">
        <f>Q367*(1/(1+$G367))^(1+$E367)*(1+R$7)^$D367*(R349/Q349)^$E367*((R349+R358)/(Q349+Q358))^($F367*(1+$E367))</f>
        <v/>
      </c>
      <c r="S367" s="41">
        <f>R367*(1/(1+$G367))^(1+$E367)*(1+S$7)^$D367*(S349/R349)^$E367*((S349+S358)/(R349+R358))^($F367*(1+$E367))</f>
        <v/>
      </c>
      <c r="T367" s="41">
        <f>S367*(1/(1+$G367))^(1+$E367)*(1+T$7)^$D367*(T349/S349)^$E367*((T349+T358)/(S349+S358))^($F367*(1+$E367))</f>
        <v/>
      </c>
      <c r="U367" s="41">
        <f>T367*(1/(1+$G367))^(1+$E367)*(1+U$7)^$D367*(U349/T349)^$E367*((U349+U358)/(T349+T358))^($F367*(1+$E367))</f>
        <v/>
      </c>
      <c r="V367" s="41">
        <f>U367*(1/(1+$G367))^(1+$E367)*(1+V$7)^$D367*(V349/U349)^$E367*((V349+V358)/(U349+U358))^($F367*(1+$E367))</f>
        <v/>
      </c>
      <c r="W367" s="41">
        <f>V367*(1/(1+$G367))^(1+$E367)*(1+W$7)^$D367*(W349/V349)^$E367*((W349+W358)/(V349+V358))^($F367*(1+$E367))</f>
        <v/>
      </c>
      <c r="X367" s="41">
        <f>W367*(1/(1+$G367))^(1+$E367)*(1+X$7)^$D367*(X349/W349)^$E367*((X349+X358)/(W349+W358))^($F367*(1+$E367))</f>
        <v/>
      </c>
      <c r="Y367" s="42">
        <f>FUELUSE(X367,Y349,X349,Y358,X358,Y$7,$D367,$E367,$F367,$G367)</f>
        <v/>
      </c>
      <c r="Z367" s="23">
        <f>LOWER(Settings!$C$4)&amp;".mit."&amp;$A367&amp;IF($C367="","","."&amp;$C367&amp;"."&amp;$B367)&amp;IF(INDEX(Variables!$D$5:$D$65,MATCH($A367,Variables!$A$5:$A$65,0))="","","."&amp;INDEX(Variables!$D$5:$D$65,MATCH($A367,Variables!$A$5:$A$65,0)))&amp;"."&amp;Z$5</f>
        <v/>
      </c>
      <c r="AA367" s="40">
        <f>INDEX(Inputs!$V$5:$V$132,MATCH($B367&amp;"|"&amp;$C367,Inputs!$A$5:$A$132,0))</f>
        <v/>
      </c>
      <c r="AB367" s="41">
        <f>AA367*(1/(1+$G367))^(1+$E367)*(1+AB$7)^$D367*(AB349/AA349)^$E367*((AB349+AB358)/(AA349+AA358))^($F367*(1+$E367))</f>
        <v/>
      </c>
      <c r="AC367" s="41">
        <f>AB367*(1/(1+$G367))^(1+$E367)*(1+AC$7)^$D367*(AC349/AB349)^$E367*((AC349+AC358)/(AB349+AB358))^($F367*(1+$E367))</f>
        <v/>
      </c>
      <c r="AD367" s="41">
        <f>AC367*(1/(1+$G367))^(1+$E367)*(1+AD$7)^$D367*(AD349/AC349)^$E367*((AD349+AD358)/(AC349+AC358))^($F367*(1+$E367))</f>
        <v/>
      </c>
      <c r="AE367" s="41">
        <f>AD367*(1/(1+$G367))^(1+$E367)*(1+AE$7)^$D367*(AE349/AD349)^$E367*((AE349+AE358)/(AD349+AD358))^($F367*(1+$E367))</f>
        <v/>
      </c>
      <c r="AF367" s="41">
        <f>AE367*(1/(1+$G367))^(1+$E367)*(1+AF$7)^$D367*(AF349/AE349)^$E367*((AF349+AF358)/(AE349+AE358))^($F367*(1+$E367))</f>
        <v/>
      </c>
      <c r="AG367" s="41">
        <f>AF367*(1/(1+$G367))^(1+$E367)*(1+AG$7)^$D367*(AG349/AF349)^$E367*((AG349+AG358)/(AF349+AF358))^($F367*(1+$E367))</f>
        <v/>
      </c>
      <c r="AH367" s="41">
        <f>AG367*(1/(1+$G367))^(1+$E367)*(1+AH$7)^$D367*(AH349/AG349)^$E367*((AH349+AH358)/(AG349+AG358))^($F367*(1+$E367))</f>
        <v/>
      </c>
      <c r="AI367" s="41">
        <f>AH367*(1/(1+$G367))^(1+$E367)*(1+AI$7)^$D367*(AI349/AH349)^$E367*((AI349+AI358)/(AH349+AH358))^($F367*(1+$E367))</f>
        <v/>
      </c>
      <c r="AJ367" s="41">
        <f>AI367*(1/(1+$G367))^(1+$E367)*(1+AJ$7)^$D367*(AJ349/AI349)^$E367*((AJ349+AJ358)/(AI349+AI358))^($F367*(1+$E367))</f>
        <v/>
      </c>
      <c r="AK367" s="41">
        <f>AJ367*(1/(1+$G367))^(1+$E367)*(1+AK$7)^$D367*(AK349/AJ349)^$E367*((AK349+AK358)/(AJ349+AJ358))^($F367*(1+$E367))</f>
        <v/>
      </c>
      <c r="AL367" s="41">
        <f>AK367*(1/(1+$G367))^(1+$E367)*(1+AL$7)^$D367*(AL349/AK349)^$E367*((AL349+AL358)/(AK349+AK358))^($F367*(1+$E367))</f>
        <v/>
      </c>
      <c r="AM367" s="41">
        <f>AL367*(1/(1+$G367))^(1+$E367)*(1+AM$7)^$D367*(AM349/AL349)^$E367*((AM349+AM358)/(AL349+AL358))^($F367*(1+$E367))</f>
        <v/>
      </c>
      <c r="AN367" s="42">
        <f>FUELUSE(AM367,AN349,AM349,AN358,AM358,AN$7,$D367,$E367,$F367,$G367)</f>
        <v/>
      </c>
    </row>
    <row r="368" hidden="1" outlineLevel="2">
      <c r="A368" s="5" t="inlineStr">
        <is>
          <t>ener</t>
        </is>
      </c>
      <c r="B368" s="5" t="inlineStr">
        <is>
          <t>bio</t>
        </is>
      </c>
      <c r="C368" s="5" t="inlineStr">
        <is>
          <t>avi</t>
        </is>
      </c>
      <c r="D368" s="36">
        <f>INDEX(Inputs!$N$5:$N$132,MATCH($B368&amp;"|"&amp;$C368,Inputs!$A$5:$A$132,0))</f>
        <v/>
      </c>
      <c r="E368" s="36">
        <f>INDEX(Inputs!$O$5:$O$132,MATCH($B368&amp;"|"&amp;$C368,Inputs!$A$5:$A$132,0))</f>
        <v/>
      </c>
      <c r="F368" s="36">
        <f>INDEX(Inputs!$P$5:$P$132,MATCH($B368&amp;"|"&amp;$C368,Inputs!$A$5:$A$132,0))</f>
        <v/>
      </c>
      <c r="G368" s="36">
        <f>INDEX(Inputs!$Q$5:$Q$132,MATCH($B368&amp;"|"&amp;$C368,Inputs!$A$5:$A$132,0))</f>
        <v/>
      </c>
      <c r="H368" s="5">
        <f>INDEX(Variables!$B$5:$B$65,MATCH($A368,Variables!$A$5:$A$65,0))&amp;IF($C368="",""," | "&amp;INDEX(Mapping!$B$5:$B$25,MATCH($C368,Mapping!$A$5:$A$25,0))&amp;" | "&amp;INDEX(Mapping!$B$29:$B$38,MATCH($B368,Mapping!$A$29:$A$38,0)))</f>
        <v/>
      </c>
      <c r="I368" s="5">
        <f>INDEX(Variables!$C$5:$C$65,MATCH($A368,Variables!$A$5:$A$65,0))</f>
        <v/>
      </c>
      <c r="J368" s="5">
        <f>INDEX(Variables!$E$5:$E$65,MATCH($A368,Variables!$A$5:$A$65,0))</f>
        <v/>
      </c>
      <c r="K368" s="23">
        <f>LOWER(Settings!$C$4)&amp;".mit."&amp;$A368&amp;IF($C368="","","."&amp;$C368&amp;"."&amp;$B368)&amp;IF(INDEX(Variables!$D$5:$D$65,MATCH($A368,Variables!$A$5:$A$65,0))="","","."&amp;INDEX(Variables!$D$5:$D$65,MATCH($A368,Variables!$A$5:$A$65,0)))&amp;"."&amp;K$5</f>
        <v/>
      </c>
      <c r="L368" s="40">
        <f>INDEX(Inputs!$V$5:$V$132,MATCH($B368&amp;"|"&amp;$C368,Inputs!$A$5:$A$132,0))</f>
        <v/>
      </c>
      <c r="M368" s="41">
        <f>L368*(1/(1+$G368))^(1+$E368)*(1+M$7)^$D368*(M350/L350)^$E368*((M350+M359)/(L350+L359))^($F368*(1+$E368))</f>
        <v/>
      </c>
      <c r="N368" s="41">
        <f>M368*(1/(1+$G368))^(1+$E368)*(1+N$7)^$D368*(N350/M350)^$E368*((N350+N359)/(M350+M359))^($F368*(1+$E368))</f>
        <v/>
      </c>
      <c r="O368" s="41">
        <f>N368*(1/(1+$G368))^(1+$E368)*(1+O$7)^$D368*(O350/N350)^$E368*((O350+O359)/(N350+N359))^($F368*(1+$E368))</f>
        <v/>
      </c>
      <c r="P368" s="41">
        <f>O368*(1/(1+$G368))^(1+$E368)*(1+P$7)^$D368*(P350/O350)^$E368*((P350+P359)/(O350+O359))^($F368*(1+$E368))</f>
        <v/>
      </c>
      <c r="Q368" s="41">
        <f>P368*(1/(1+$G368))^(1+$E368)*(1+Q$7)^$D368*(Q350/P350)^$E368*((Q350+Q359)/(P350+P359))^($F368*(1+$E368))</f>
        <v/>
      </c>
      <c r="R368" s="41">
        <f>Q368*(1/(1+$G368))^(1+$E368)*(1+R$7)^$D368*(R350/Q350)^$E368*((R350+R359)/(Q350+Q359))^($F368*(1+$E368))</f>
        <v/>
      </c>
      <c r="S368" s="41">
        <f>R368*(1/(1+$G368))^(1+$E368)*(1+S$7)^$D368*(S350/R350)^$E368*((S350+S359)/(R350+R359))^($F368*(1+$E368))</f>
        <v/>
      </c>
      <c r="T368" s="41">
        <f>S368*(1/(1+$G368))^(1+$E368)*(1+T$7)^$D368*(T350/S350)^$E368*((T350+T359)/(S350+S359))^($F368*(1+$E368))</f>
        <v/>
      </c>
      <c r="U368" s="41">
        <f>T368*(1/(1+$G368))^(1+$E368)*(1+U$7)^$D368*(U350/T350)^$E368*((U350+U359)/(T350+T359))^($F368*(1+$E368))</f>
        <v/>
      </c>
      <c r="V368" s="41">
        <f>U368*(1/(1+$G368))^(1+$E368)*(1+V$7)^$D368*(V350/U350)^$E368*((V350+V359)/(U350+U359))^($F368*(1+$E368))</f>
        <v/>
      </c>
      <c r="W368" s="41">
        <f>V368*(1/(1+$G368))^(1+$E368)*(1+W$7)^$D368*(W350/V350)^$E368*((W350+W359)/(V350+V359))^($F368*(1+$E368))</f>
        <v/>
      </c>
      <c r="X368" s="41">
        <f>W368*(1/(1+$G368))^(1+$E368)*(1+X$7)^$D368*(X350/W350)^$E368*((X350+X359)/(W350+W359))^($F368*(1+$E368))</f>
        <v/>
      </c>
      <c r="Y368" s="42">
        <f>FUELUSE(X368,Y350,X350,Y359,X359,Y$7,$D368,$E368,$F368,$G368)</f>
        <v/>
      </c>
      <c r="Z368" s="23">
        <f>LOWER(Settings!$C$4)&amp;".mit."&amp;$A368&amp;IF($C368="","","."&amp;$C368&amp;"."&amp;$B368)&amp;IF(INDEX(Variables!$D$5:$D$65,MATCH($A368,Variables!$A$5:$A$65,0))="","","."&amp;INDEX(Variables!$D$5:$D$65,MATCH($A368,Variables!$A$5:$A$65,0)))&amp;"."&amp;Z$5</f>
        <v/>
      </c>
      <c r="AA368" s="40">
        <f>INDEX(Inputs!$V$5:$V$132,MATCH($B368&amp;"|"&amp;$C368,Inputs!$A$5:$A$132,0))</f>
        <v/>
      </c>
      <c r="AB368" s="41">
        <f>AA368*(1/(1+$G368))^(1+$E368)*(1+AB$7)^$D368*(AB350/AA350)^$E368*((AB350+AB359)/(AA350+AA359))^($F368*(1+$E368))</f>
        <v/>
      </c>
      <c r="AC368" s="41">
        <f>AB368*(1/(1+$G368))^(1+$E368)*(1+AC$7)^$D368*(AC350/AB350)^$E368*((AC350+AC359)/(AB350+AB359))^($F368*(1+$E368))</f>
        <v/>
      </c>
      <c r="AD368" s="41">
        <f>AC368*(1/(1+$G368))^(1+$E368)*(1+AD$7)^$D368*(AD350/AC350)^$E368*((AD350+AD359)/(AC350+AC359))^($F368*(1+$E368))</f>
        <v/>
      </c>
      <c r="AE368" s="41">
        <f>AD368*(1/(1+$G368))^(1+$E368)*(1+AE$7)^$D368*(AE350/AD350)^$E368*((AE350+AE359)/(AD350+AD359))^($F368*(1+$E368))</f>
        <v/>
      </c>
      <c r="AF368" s="41">
        <f>AE368*(1/(1+$G368))^(1+$E368)*(1+AF$7)^$D368*(AF350/AE350)^$E368*((AF350+AF359)/(AE350+AE359))^($F368*(1+$E368))</f>
        <v/>
      </c>
      <c r="AG368" s="41">
        <f>AF368*(1/(1+$G368))^(1+$E368)*(1+AG$7)^$D368*(AG350/AF350)^$E368*((AG350+AG359)/(AF350+AF359))^($F368*(1+$E368))</f>
        <v/>
      </c>
      <c r="AH368" s="41">
        <f>AG368*(1/(1+$G368))^(1+$E368)*(1+AH$7)^$D368*(AH350/AG350)^$E368*((AH350+AH359)/(AG350+AG359))^($F368*(1+$E368))</f>
        <v/>
      </c>
      <c r="AI368" s="41">
        <f>AH368*(1/(1+$G368))^(1+$E368)*(1+AI$7)^$D368*(AI350/AH350)^$E368*((AI350+AI359)/(AH350+AH359))^($F368*(1+$E368))</f>
        <v/>
      </c>
      <c r="AJ368" s="41">
        <f>AI368*(1/(1+$G368))^(1+$E368)*(1+AJ$7)^$D368*(AJ350/AI350)^$E368*((AJ350+AJ359)/(AI350+AI359))^($F368*(1+$E368))</f>
        <v/>
      </c>
      <c r="AK368" s="41">
        <f>AJ368*(1/(1+$G368))^(1+$E368)*(1+AK$7)^$D368*(AK350/AJ350)^$E368*((AK350+AK359)/(AJ350+AJ359))^($F368*(1+$E368))</f>
        <v/>
      </c>
      <c r="AL368" s="41">
        <f>AK368*(1/(1+$G368))^(1+$E368)*(1+AL$7)^$D368*(AL350/AK350)^$E368*((AL350+AL359)/(AK350+AK359))^($F368*(1+$E368))</f>
        <v/>
      </c>
      <c r="AM368" s="41">
        <f>AL368*(1/(1+$G368))^(1+$E368)*(1+AM$7)^$D368*(AM350/AL350)^$E368*((AM350+AM359)/(AL350+AL359))^($F368*(1+$E368))</f>
        <v/>
      </c>
      <c r="AN368" s="42">
        <f>FUELUSE(AM368,AN350,AM350,AN359,AM359,AN$7,$D368,$E368,$F368,$G368)</f>
        <v/>
      </c>
    </row>
    <row r="369" hidden="1" outlineLevel="2"/>
    <row r="370" outlineLevel="1" collapsed="1">
      <c r="A370" s="7" t="inlineStr">
        <is>
          <t>ener</t>
        </is>
      </c>
      <c r="B370" s="7" t="inlineStr">
        <is>
          <t>all</t>
        </is>
      </c>
      <c r="C370" s="7" t="inlineStr">
        <is>
          <t>nav</t>
        </is>
      </c>
      <c r="H370" s="7">
        <f>INDEX(Variables!$B$5:$B$65,MATCH($A370,Variables!$A$5:$A$65,0))&amp;IF($C370="",""," | "&amp;INDEX(Mapping!$B$5:$B$25,MATCH($C370,Mapping!$A$5:$A$25,0))&amp;" | "&amp;INDEX(Mapping!$B$29:$B$38,MATCH($B370,Mapping!$A$29:$A$38,0)))</f>
        <v/>
      </c>
      <c r="I370" s="7">
        <f>INDEX(Variables!$C$5:$C$65,MATCH($A370,Variables!$A$5:$A$65,0))</f>
        <v/>
      </c>
      <c r="J370" s="7">
        <f>INDEX(Variables!$E$5:$E$65,MATCH($A370,Variables!$A$5:$A$65,0))</f>
        <v/>
      </c>
      <c r="K370" s="26">
        <f>LOWER(Settings!$C$4)&amp;".mit."&amp;$A370&amp;IF($C370="","","."&amp;$C370&amp;"."&amp;$B370)&amp;IF(INDEX(Variables!$D$5:$D$65,MATCH($A370,Variables!$A$5:$A$65,0))="","","."&amp;INDEX(Variables!$D$5:$D$65,MATCH($A370,Variables!$A$5:$A$65,0)))&amp;"."&amp;K$5</f>
        <v/>
      </c>
      <c r="L370" s="34">
        <f>SUM(L434:L441)</f>
        <v/>
      </c>
      <c r="M370" s="35">
        <f>SUM(M434:M441)</f>
        <v/>
      </c>
      <c r="N370" s="35">
        <f>SUM(N434:N441)</f>
        <v/>
      </c>
      <c r="O370" s="35">
        <f>SUM(O434:O441)</f>
        <v/>
      </c>
      <c r="P370" s="35">
        <f>SUM(P434:P441)</f>
        <v/>
      </c>
      <c r="Q370" s="35">
        <f>SUM(Q434:Q441)</f>
        <v/>
      </c>
      <c r="R370" s="35">
        <f>SUM(R434:R441)</f>
        <v/>
      </c>
      <c r="S370" s="35">
        <f>SUM(S434:S441)</f>
        <v/>
      </c>
      <c r="T370" s="35">
        <f>SUM(T434:T441)</f>
        <v/>
      </c>
      <c r="U370" s="35">
        <f>SUM(U434:U441)</f>
        <v/>
      </c>
      <c r="V370" s="35">
        <f>SUM(V434:V441)</f>
        <v/>
      </c>
      <c r="W370" s="35">
        <f>SUM(W434:W441)</f>
        <v/>
      </c>
      <c r="X370" s="35">
        <f>SUM(X434:X441)</f>
        <v/>
      </c>
      <c r="Y370" s="35">
        <f>SUM(Y434:Y441)</f>
        <v/>
      </c>
      <c r="Z370" s="26">
        <f>LOWER(Settings!$C$4)&amp;".mit."&amp;$A370&amp;IF($C370="","","."&amp;$C370&amp;"."&amp;$B370)&amp;IF(INDEX(Variables!$D$5:$D$65,MATCH($A370,Variables!$A$5:$A$65,0))="","","."&amp;INDEX(Variables!$D$5:$D$65,MATCH($A370,Variables!$A$5:$A$65,0)))&amp;"."&amp;Z$5</f>
        <v/>
      </c>
      <c r="AA370" s="34">
        <f>SUM(AA434:AA441)</f>
        <v/>
      </c>
      <c r="AB370" s="35">
        <f>SUM(AB434:AB441)</f>
        <v/>
      </c>
      <c r="AC370" s="35">
        <f>SUM(AC434:AC441)</f>
        <v/>
      </c>
      <c r="AD370" s="35">
        <f>SUM(AD434:AD441)</f>
        <v/>
      </c>
      <c r="AE370" s="35">
        <f>SUM(AE434:AE441)</f>
        <v/>
      </c>
      <c r="AF370" s="35">
        <f>SUM(AF434:AF441)</f>
        <v/>
      </c>
      <c r="AG370" s="35">
        <f>SUM(AG434:AG441)</f>
        <v/>
      </c>
      <c r="AH370" s="35">
        <f>SUM(AH434:AH441)</f>
        <v/>
      </c>
      <c r="AI370" s="35">
        <f>SUM(AI434:AI441)</f>
        <v/>
      </c>
      <c r="AJ370" s="35">
        <f>SUM(AJ434:AJ441)</f>
        <v/>
      </c>
      <c r="AK370" s="35">
        <f>SUM(AK434:AK441)</f>
        <v/>
      </c>
      <c r="AL370" s="35">
        <f>SUM(AL434:AL441)</f>
        <v/>
      </c>
      <c r="AM370" s="35">
        <f>SUM(AM434:AM441)</f>
        <v/>
      </c>
      <c r="AN370" s="35">
        <f>SUM(AN434:AN441)</f>
        <v/>
      </c>
    </row>
    <row r="371" hidden="1" outlineLevel="2">
      <c r="A371" s="5" t="inlineStr">
        <is>
          <t>sp</t>
        </is>
      </c>
      <c r="B371" s="5" t="inlineStr">
        <is>
          <t>coa</t>
        </is>
      </c>
      <c r="C371" s="5" t="inlineStr">
        <is>
          <t>nav</t>
        </is>
      </c>
      <c r="D371" s="36">
        <f>INDEX(Inputs!$R$5:$R$132,MATCH($B371&amp;"|"&amp;$C371,Inputs!$A$5:$A$132,0))</f>
        <v/>
      </c>
      <c r="E371" s="37" t="n"/>
      <c r="F371" s="37" t="n"/>
      <c r="G371" s="37" t="n"/>
      <c r="H371" s="5">
        <f>INDEX(Variables!$B$5:$B$65,MATCH($A371,Variables!$A$5:$A$65,0))&amp;IF($C371="",""," | "&amp;INDEX(Mapping!$B$5:$B$25,MATCH($C371,Mapping!$A$5:$A$25,0))&amp;" | "&amp;INDEX(Mapping!$B$29:$B$38,MATCH($B371,Mapping!$A$29:$A$38,0)))</f>
        <v/>
      </c>
      <c r="I371" s="5">
        <f>INDEX(Variables!$C$5:$C$65,MATCH($A371,Variables!$A$5:$A$65,0))</f>
        <v/>
      </c>
      <c r="J371" s="5">
        <f>INDEX(Variables!$E$5:$E$65,MATCH($A371,Variables!$A$5:$A$65,0))</f>
        <v/>
      </c>
      <c r="K371" s="23">
        <f>LOWER(Settings!$C$4)&amp;".mit."&amp;$A371&amp;IF($C371="","","."&amp;$C371&amp;"."&amp;$B371)&amp;IF(INDEX(Variables!$D$5:$D$65,MATCH($A371,Variables!$A$5:$A$65,0))="","","."&amp;INDEX(Variables!$D$5:$D$65,MATCH($A371,Variables!$A$5:$A$65,0)))&amp;"."&amp;K$5</f>
        <v/>
      </c>
      <c r="L371" s="38">
        <f>INDEX(Inputs!$S$5:$S$132,MATCH($B371&amp;"|"&amp;$C371,Inputs!$A$5:$A$132,0))</f>
        <v/>
      </c>
      <c r="M371" s="36">
        <f>L371*(1+$D371)</f>
        <v/>
      </c>
      <c r="N371" s="36">
        <f>M371*(1+$D371)</f>
        <v/>
      </c>
      <c r="O371" s="36">
        <f>N371*(1+$D371)</f>
        <v/>
      </c>
      <c r="P371" s="36">
        <f>O371*(1+$D371)</f>
        <v/>
      </c>
      <c r="Q371" s="36">
        <f>P371*(1+$D371)</f>
        <v/>
      </c>
      <c r="R371" s="36">
        <f>Q371*(1+$D371)</f>
        <v/>
      </c>
      <c r="S371" s="36">
        <f>R371*(1+$D371)</f>
        <v/>
      </c>
      <c r="T371" s="36">
        <f>S371*(1+$D371)</f>
        <v/>
      </c>
      <c r="U371" s="36">
        <f>T371*(1+$D371)</f>
        <v/>
      </c>
      <c r="V371" s="36">
        <f>U371*(1+$D371)</f>
        <v/>
      </c>
      <c r="W371" s="36">
        <f>V371*(1+$D371)</f>
        <v/>
      </c>
      <c r="X371" s="36">
        <f>W371*(1+$D371)</f>
        <v/>
      </c>
      <c r="Y371" s="39">
        <f>PRETAX(X371,$D371)</f>
        <v/>
      </c>
      <c r="Z371" s="23">
        <f>LOWER(Settings!$C$4)&amp;".mit."&amp;$A371&amp;IF($C371="","","."&amp;$C371&amp;"."&amp;$B371)&amp;IF(INDEX(Variables!$D$5:$D$65,MATCH($A371,Variables!$A$5:$A$65,0))="","","."&amp;INDEX(Variables!$D$5:$D$65,MATCH($A371,Variables!$A$5:$A$65,0)))&amp;"."&amp;Z$5</f>
        <v/>
      </c>
      <c r="AA371" s="38">
        <f>INDEX(Inputs!$S$5:$S$132,MATCH($B371&amp;"|"&amp;$C371,Inputs!$A$5:$A$132,0))</f>
        <v/>
      </c>
      <c r="AB371" s="36">
        <f>AA371*(1+$D371)</f>
        <v/>
      </c>
      <c r="AC371" s="36">
        <f>AB371*(1+$D371)</f>
        <v/>
      </c>
      <c r="AD371" s="36">
        <f>AC371*(1+$D371)</f>
        <v/>
      </c>
      <c r="AE371" s="36">
        <f>AD371*(1+$D371)</f>
        <v/>
      </c>
      <c r="AF371" s="36">
        <f>AE371*(1+$D371)</f>
        <v/>
      </c>
      <c r="AG371" s="36">
        <f>AF371*(1+$D371)</f>
        <v/>
      </c>
      <c r="AH371" s="36">
        <f>AG371*(1+$D371)</f>
        <v/>
      </c>
      <c r="AI371" s="36">
        <f>AH371*(1+$D371)</f>
        <v/>
      </c>
      <c r="AJ371" s="36">
        <f>AI371*(1+$D371)</f>
        <v/>
      </c>
      <c r="AK371" s="36">
        <f>AJ371*(1+$D371)</f>
        <v/>
      </c>
      <c r="AL371" s="36">
        <f>AK371*(1+$D371)</f>
        <v/>
      </c>
      <c r="AM371" s="36">
        <f>AL371*(1+$D371)</f>
        <v/>
      </c>
      <c r="AN371" s="39">
        <f>PRETAX(AM371,$D371)</f>
        <v/>
      </c>
    </row>
    <row r="372" hidden="1" outlineLevel="2">
      <c r="A372" s="5" t="inlineStr">
        <is>
          <t>sp</t>
        </is>
      </c>
      <c r="B372" s="5" t="inlineStr">
        <is>
          <t>nga</t>
        </is>
      </c>
      <c r="C372" s="5" t="inlineStr">
        <is>
          <t>nav</t>
        </is>
      </c>
      <c r="D372" s="36">
        <f>INDEX(Inputs!$R$5:$R$132,MATCH($B372&amp;"|"&amp;$C372,Inputs!$A$5:$A$132,0))</f>
        <v/>
      </c>
      <c r="E372" s="37" t="n"/>
      <c r="F372" s="37" t="n"/>
      <c r="G372" s="37" t="n"/>
      <c r="H372" s="5">
        <f>INDEX(Variables!$B$5:$B$65,MATCH($A372,Variables!$A$5:$A$65,0))&amp;IF($C372="",""," | "&amp;INDEX(Mapping!$B$5:$B$25,MATCH($C372,Mapping!$A$5:$A$25,0))&amp;" | "&amp;INDEX(Mapping!$B$29:$B$38,MATCH($B372,Mapping!$A$29:$A$38,0)))</f>
        <v/>
      </c>
      <c r="I372" s="5">
        <f>INDEX(Variables!$C$5:$C$65,MATCH($A372,Variables!$A$5:$A$65,0))</f>
        <v/>
      </c>
      <c r="J372" s="5">
        <f>INDEX(Variables!$E$5:$E$65,MATCH($A372,Variables!$A$5:$A$65,0))</f>
        <v/>
      </c>
      <c r="K372" s="23">
        <f>LOWER(Settings!$C$4)&amp;".mit."&amp;$A372&amp;IF($C372="","","."&amp;$C372&amp;"."&amp;$B372)&amp;IF(INDEX(Variables!$D$5:$D$65,MATCH($A372,Variables!$A$5:$A$65,0))="","","."&amp;INDEX(Variables!$D$5:$D$65,MATCH($A372,Variables!$A$5:$A$65,0)))&amp;"."&amp;K$5</f>
        <v/>
      </c>
      <c r="L372" s="38">
        <f>INDEX(Inputs!$S$5:$S$132,MATCH($B372&amp;"|"&amp;$C372,Inputs!$A$5:$A$132,0))</f>
        <v/>
      </c>
      <c r="M372" s="36">
        <f>L372*(1+$D372)</f>
        <v/>
      </c>
      <c r="N372" s="36">
        <f>M372*(1+$D372)</f>
        <v/>
      </c>
      <c r="O372" s="36">
        <f>N372*(1+$D372)</f>
        <v/>
      </c>
      <c r="P372" s="36">
        <f>O372*(1+$D372)</f>
        <v/>
      </c>
      <c r="Q372" s="36">
        <f>P372*(1+$D372)</f>
        <v/>
      </c>
      <c r="R372" s="36">
        <f>Q372*(1+$D372)</f>
        <v/>
      </c>
      <c r="S372" s="36">
        <f>R372*(1+$D372)</f>
        <v/>
      </c>
      <c r="T372" s="36">
        <f>S372*(1+$D372)</f>
        <v/>
      </c>
      <c r="U372" s="36">
        <f>T372*(1+$D372)</f>
        <v/>
      </c>
      <c r="V372" s="36">
        <f>U372*(1+$D372)</f>
        <v/>
      </c>
      <c r="W372" s="36">
        <f>V372*(1+$D372)</f>
        <v/>
      </c>
      <c r="X372" s="36">
        <f>W372*(1+$D372)</f>
        <v/>
      </c>
      <c r="Y372" s="39">
        <f>PRETAX(X372,$D372)</f>
        <v/>
      </c>
      <c r="Z372" s="23">
        <f>LOWER(Settings!$C$4)&amp;".mit."&amp;$A372&amp;IF($C372="","","."&amp;$C372&amp;"."&amp;$B372)&amp;IF(INDEX(Variables!$D$5:$D$65,MATCH($A372,Variables!$A$5:$A$65,0))="","","."&amp;INDEX(Variables!$D$5:$D$65,MATCH($A372,Variables!$A$5:$A$65,0)))&amp;"."&amp;Z$5</f>
        <v/>
      </c>
      <c r="AA372" s="38">
        <f>INDEX(Inputs!$S$5:$S$132,MATCH($B372&amp;"|"&amp;$C372,Inputs!$A$5:$A$132,0))</f>
        <v/>
      </c>
      <c r="AB372" s="36">
        <f>AA372*(1+$D372)</f>
        <v/>
      </c>
      <c r="AC372" s="36">
        <f>AB372*(1+$D372)</f>
        <v/>
      </c>
      <c r="AD372" s="36">
        <f>AC372*(1+$D372)</f>
        <v/>
      </c>
      <c r="AE372" s="36">
        <f>AD372*(1+$D372)</f>
        <v/>
      </c>
      <c r="AF372" s="36">
        <f>AE372*(1+$D372)</f>
        <v/>
      </c>
      <c r="AG372" s="36">
        <f>AF372*(1+$D372)</f>
        <v/>
      </c>
      <c r="AH372" s="36">
        <f>AG372*(1+$D372)</f>
        <v/>
      </c>
      <c r="AI372" s="36">
        <f>AH372*(1+$D372)</f>
        <v/>
      </c>
      <c r="AJ372" s="36">
        <f>AI372*(1+$D372)</f>
        <v/>
      </c>
      <c r="AK372" s="36">
        <f>AJ372*(1+$D372)</f>
        <v/>
      </c>
      <c r="AL372" s="36">
        <f>AK372*(1+$D372)</f>
        <v/>
      </c>
      <c r="AM372" s="36">
        <f>AL372*(1+$D372)</f>
        <v/>
      </c>
      <c r="AN372" s="39">
        <f>PRETAX(AM372,$D372)</f>
        <v/>
      </c>
    </row>
    <row r="373" hidden="1" outlineLevel="2">
      <c r="A373" s="5" t="inlineStr">
        <is>
          <t>sp</t>
        </is>
      </c>
      <c r="B373" s="5" t="inlineStr">
        <is>
          <t>gso</t>
        </is>
      </c>
      <c r="C373" s="5" t="inlineStr">
        <is>
          <t>nav</t>
        </is>
      </c>
      <c r="D373" s="36">
        <f>INDEX(Inputs!$R$5:$R$132,MATCH($B373&amp;"|"&amp;$C373,Inputs!$A$5:$A$132,0))</f>
        <v/>
      </c>
      <c r="E373" s="37" t="n"/>
      <c r="F373" s="37" t="n"/>
      <c r="G373" s="37" t="n"/>
      <c r="H373" s="5">
        <f>INDEX(Variables!$B$5:$B$65,MATCH($A373,Variables!$A$5:$A$65,0))&amp;IF($C373="",""," | "&amp;INDEX(Mapping!$B$5:$B$25,MATCH($C373,Mapping!$A$5:$A$25,0))&amp;" | "&amp;INDEX(Mapping!$B$29:$B$38,MATCH($B373,Mapping!$A$29:$A$38,0)))</f>
        <v/>
      </c>
      <c r="I373" s="5">
        <f>INDEX(Variables!$C$5:$C$65,MATCH($A373,Variables!$A$5:$A$65,0))</f>
        <v/>
      </c>
      <c r="J373" s="5">
        <f>INDEX(Variables!$E$5:$E$65,MATCH($A373,Variables!$A$5:$A$65,0))</f>
        <v/>
      </c>
      <c r="K373" s="23">
        <f>LOWER(Settings!$C$4)&amp;".mit."&amp;$A373&amp;IF($C373="","","."&amp;$C373&amp;"."&amp;$B373)&amp;IF(INDEX(Variables!$D$5:$D$65,MATCH($A373,Variables!$A$5:$A$65,0))="","","."&amp;INDEX(Variables!$D$5:$D$65,MATCH($A373,Variables!$A$5:$A$65,0)))&amp;"."&amp;K$5</f>
        <v/>
      </c>
      <c r="L373" s="38">
        <f>INDEX(Inputs!$S$5:$S$132,MATCH($B373&amp;"|"&amp;$C373,Inputs!$A$5:$A$132,0))</f>
        <v/>
      </c>
      <c r="M373" s="36">
        <f>L373*(1+$D373)</f>
        <v/>
      </c>
      <c r="N373" s="36">
        <f>M373*(1+$D373)</f>
        <v/>
      </c>
      <c r="O373" s="36">
        <f>N373*(1+$D373)</f>
        <v/>
      </c>
      <c r="P373" s="36">
        <f>O373*(1+$D373)</f>
        <v/>
      </c>
      <c r="Q373" s="36">
        <f>P373*(1+$D373)</f>
        <v/>
      </c>
      <c r="R373" s="36">
        <f>Q373*(1+$D373)</f>
        <v/>
      </c>
      <c r="S373" s="36">
        <f>R373*(1+$D373)</f>
        <v/>
      </c>
      <c r="T373" s="36">
        <f>S373*(1+$D373)</f>
        <v/>
      </c>
      <c r="U373" s="36">
        <f>T373*(1+$D373)</f>
        <v/>
      </c>
      <c r="V373" s="36">
        <f>U373*(1+$D373)</f>
        <v/>
      </c>
      <c r="W373" s="36">
        <f>V373*(1+$D373)</f>
        <v/>
      </c>
      <c r="X373" s="36">
        <f>W373*(1+$D373)</f>
        <v/>
      </c>
      <c r="Y373" s="39">
        <f>PRETAX(X373,$D373)</f>
        <v/>
      </c>
      <c r="Z373" s="23">
        <f>LOWER(Settings!$C$4)&amp;".mit."&amp;$A373&amp;IF($C373="","","."&amp;$C373&amp;"."&amp;$B373)&amp;IF(INDEX(Variables!$D$5:$D$65,MATCH($A373,Variables!$A$5:$A$65,0))="","","."&amp;INDEX(Variables!$D$5:$D$65,MATCH($A373,Variables!$A$5:$A$65,0)))&amp;"."&amp;Z$5</f>
        <v/>
      </c>
      <c r="AA373" s="38">
        <f>INDEX(Inputs!$S$5:$S$132,MATCH($B373&amp;"|"&amp;$C373,Inputs!$A$5:$A$132,0))</f>
        <v/>
      </c>
      <c r="AB373" s="36">
        <f>AA373*(1+$D373)</f>
        <v/>
      </c>
      <c r="AC373" s="36">
        <f>AB373*(1+$D373)</f>
        <v/>
      </c>
      <c r="AD373" s="36">
        <f>AC373*(1+$D373)</f>
        <v/>
      </c>
      <c r="AE373" s="36">
        <f>AD373*(1+$D373)</f>
        <v/>
      </c>
      <c r="AF373" s="36">
        <f>AE373*(1+$D373)</f>
        <v/>
      </c>
      <c r="AG373" s="36">
        <f>AF373*(1+$D373)</f>
        <v/>
      </c>
      <c r="AH373" s="36">
        <f>AG373*(1+$D373)</f>
        <v/>
      </c>
      <c r="AI373" s="36">
        <f>AH373*(1+$D373)</f>
        <v/>
      </c>
      <c r="AJ373" s="36">
        <f>AI373*(1+$D373)</f>
        <v/>
      </c>
      <c r="AK373" s="36">
        <f>AJ373*(1+$D373)</f>
        <v/>
      </c>
      <c r="AL373" s="36">
        <f>AK373*(1+$D373)</f>
        <v/>
      </c>
      <c r="AM373" s="36">
        <f>AL373*(1+$D373)</f>
        <v/>
      </c>
      <c r="AN373" s="39">
        <f>PRETAX(AM373,$D373)</f>
        <v/>
      </c>
    </row>
    <row r="374" hidden="1" outlineLevel="2">
      <c r="A374" s="5" t="inlineStr">
        <is>
          <t>sp</t>
        </is>
      </c>
      <c r="B374" s="5" t="inlineStr">
        <is>
          <t>die</t>
        </is>
      </c>
      <c r="C374" s="5" t="inlineStr">
        <is>
          <t>nav</t>
        </is>
      </c>
      <c r="D374" s="36">
        <f>INDEX(Inputs!$R$5:$R$132,MATCH($B374&amp;"|"&amp;$C374,Inputs!$A$5:$A$132,0))</f>
        <v/>
      </c>
      <c r="E374" s="37" t="n"/>
      <c r="F374" s="37" t="n"/>
      <c r="G374" s="37" t="n"/>
      <c r="H374" s="5">
        <f>INDEX(Variables!$B$5:$B$65,MATCH($A374,Variables!$A$5:$A$65,0))&amp;IF($C374="",""," | "&amp;INDEX(Mapping!$B$5:$B$25,MATCH($C374,Mapping!$A$5:$A$25,0))&amp;" | "&amp;INDEX(Mapping!$B$29:$B$38,MATCH($B374,Mapping!$A$29:$A$38,0)))</f>
        <v/>
      </c>
      <c r="I374" s="5">
        <f>INDEX(Variables!$C$5:$C$65,MATCH($A374,Variables!$A$5:$A$65,0))</f>
        <v/>
      </c>
      <c r="J374" s="5">
        <f>INDEX(Variables!$E$5:$E$65,MATCH($A374,Variables!$A$5:$A$65,0))</f>
        <v/>
      </c>
      <c r="K374" s="23">
        <f>LOWER(Settings!$C$4)&amp;".mit."&amp;$A374&amp;IF($C374="","","."&amp;$C374&amp;"."&amp;$B374)&amp;IF(INDEX(Variables!$D$5:$D$65,MATCH($A374,Variables!$A$5:$A$65,0))="","","."&amp;INDEX(Variables!$D$5:$D$65,MATCH($A374,Variables!$A$5:$A$65,0)))&amp;"."&amp;K$5</f>
        <v/>
      </c>
      <c r="L374" s="38">
        <f>INDEX(Inputs!$S$5:$S$132,MATCH($B374&amp;"|"&amp;$C374,Inputs!$A$5:$A$132,0))</f>
        <v/>
      </c>
      <c r="M374" s="36">
        <f>L374*(1+$D374)</f>
        <v/>
      </c>
      <c r="N374" s="36">
        <f>M374*(1+$D374)</f>
        <v/>
      </c>
      <c r="O374" s="36">
        <f>N374*(1+$D374)</f>
        <v/>
      </c>
      <c r="P374" s="36">
        <f>O374*(1+$D374)</f>
        <v/>
      </c>
      <c r="Q374" s="36">
        <f>P374*(1+$D374)</f>
        <v/>
      </c>
      <c r="R374" s="36">
        <f>Q374*(1+$D374)</f>
        <v/>
      </c>
      <c r="S374" s="36">
        <f>R374*(1+$D374)</f>
        <v/>
      </c>
      <c r="T374" s="36">
        <f>S374*(1+$D374)</f>
        <v/>
      </c>
      <c r="U374" s="36">
        <f>T374*(1+$D374)</f>
        <v/>
      </c>
      <c r="V374" s="36">
        <f>U374*(1+$D374)</f>
        <v/>
      </c>
      <c r="W374" s="36">
        <f>V374*(1+$D374)</f>
        <v/>
      </c>
      <c r="X374" s="36">
        <f>W374*(1+$D374)</f>
        <v/>
      </c>
      <c r="Y374" s="39">
        <f>PRETAX(X374,$D374)</f>
        <v/>
      </c>
      <c r="Z374" s="23">
        <f>LOWER(Settings!$C$4)&amp;".mit."&amp;$A374&amp;IF($C374="","","."&amp;$C374&amp;"."&amp;$B374)&amp;IF(INDEX(Variables!$D$5:$D$65,MATCH($A374,Variables!$A$5:$A$65,0))="","","."&amp;INDEX(Variables!$D$5:$D$65,MATCH($A374,Variables!$A$5:$A$65,0)))&amp;"."&amp;Z$5</f>
        <v/>
      </c>
      <c r="AA374" s="38">
        <f>INDEX(Inputs!$S$5:$S$132,MATCH($B374&amp;"|"&amp;$C374,Inputs!$A$5:$A$132,0))</f>
        <v/>
      </c>
      <c r="AB374" s="36">
        <f>AA374*(1+$D374)</f>
        <v/>
      </c>
      <c r="AC374" s="36">
        <f>AB374*(1+$D374)</f>
        <v/>
      </c>
      <c r="AD374" s="36">
        <f>AC374*(1+$D374)</f>
        <v/>
      </c>
      <c r="AE374" s="36">
        <f>AD374*(1+$D374)</f>
        <v/>
      </c>
      <c r="AF374" s="36">
        <f>AE374*(1+$D374)</f>
        <v/>
      </c>
      <c r="AG374" s="36">
        <f>AF374*(1+$D374)</f>
        <v/>
      </c>
      <c r="AH374" s="36">
        <f>AG374*(1+$D374)</f>
        <v/>
      </c>
      <c r="AI374" s="36">
        <f>AH374*(1+$D374)</f>
        <v/>
      </c>
      <c r="AJ374" s="36">
        <f>AI374*(1+$D374)</f>
        <v/>
      </c>
      <c r="AK374" s="36">
        <f>AJ374*(1+$D374)</f>
        <v/>
      </c>
      <c r="AL374" s="36">
        <f>AK374*(1+$D374)</f>
        <v/>
      </c>
      <c r="AM374" s="36">
        <f>AL374*(1+$D374)</f>
        <v/>
      </c>
      <c r="AN374" s="39">
        <f>PRETAX(AM374,$D374)</f>
        <v/>
      </c>
    </row>
    <row r="375" hidden="1" outlineLevel="2">
      <c r="A375" s="5" t="inlineStr">
        <is>
          <t>sp</t>
        </is>
      </c>
      <c r="B375" s="5" t="inlineStr">
        <is>
          <t>lpg</t>
        </is>
      </c>
      <c r="C375" s="5" t="inlineStr">
        <is>
          <t>nav</t>
        </is>
      </c>
      <c r="D375" s="36">
        <f>INDEX(Inputs!$R$5:$R$132,MATCH($B375&amp;"|"&amp;$C375,Inputs!$A$5:$A$132,0))</f>
        <v/>
      </c>
      <c r="E375" s="37" t="n"/>
      <c r="F375" s="37" t="n"/>
      <c r="G375" s="37" t="n"/>
      <c r="H375" s="5">
        <f>INDEX(Variables!$B$5:$B$65,MATCH($A375,Variables!$A$5:$A$65,0))&amp;IF($C375="",""," | "&amp;INDEX(Mapping!$B$5:$B$25,MATCH($C375,Mapping!$A$5:$A$25,0))&amp;" | "&amp;INDEX(Mapping!$B$29:$B$38,MATCH($B375,Mapping!$A$29:$A$38,0)))</f>
        <v/>
      </c>
      <c r="I375" s="5">
        <f>INDEX(Variables!$C$5:$C$65,MATCH($A375,Variables!$A$5:$A$65,0))</f>
        <v/>
      </c>
      <c r="J375" s="5">
        <f>INDEX(Variables!$E$5:$E$65,MATCH($A375,Variables!$A$5:$A$65,0))</f>
        <v/>
      </c>
      <c r="K375" s="23">
        <f>LOWER(Settings!$C$4)&amp;".mit."&amp;$A375&amp;IF($C375="","","."&amp;$C375&amp;"."&amp;$B375)&amp;IF(INDEX(Variables!$D$5:$D$65,MATCH($A375,Variables!$A$5:$A$65,0))="","","."&amp;INDEX(Variables!$D$5:$D$65,MATCH($A375,Variables!$A$5:$A$65,0)))&amp;"."&amp;K$5</f>
        <v/>
      </c>
      <c r="L375" s="38">
        <f>INDEX(Inputs!$S$5:$S$132,MATCH($B375&amp;"|"&amp;$C375,Inputs!$A$5:$A$132,0))</f>
        <v/>
      </c>
      <c r="M375" s="36">
        <f>L375*(1+$D375)</f>
        <v/>
      </c>
      <c r="N375" s="36">
        <f>M375*(1+$D375)</f>
        <v/>
      </c>
      <c r="O375" s="36">
        <f>N375*(1+$D375)</f>
        <v/>
      </c>
      <c r="P375" s="36">
        <f>O375*(1+$D375)</f>
        <v/>
      </c>
      <c r="Q375" s="36">
        <f>P375*(1+$D375)</f>
        <v/>
      </c>
      <c r="R375" s="36">
        <f>Q375*(1+$D375)</f>
        <v/>
      </c>
      <c r="S375" s="36">
        <f>R375*(1+$D375)</f>
        <v/>
      </c>
      <c r="T375" s="36">
        <f>S375*(1+$D375)</f>
        <v/>
      </c>
      <c r="U375" s="36">
        <f>T375*(1+$D375)</f>
        <v/>
      </c>
      <c r="V375" s="36">
        <f>U375*(1+$D375)</f>
        <v/>
      </c>
      <c r="W375" s="36">
        <f>V375*(1+$D375)</f>
        <v/>
      </c>
      <c r="X375" s="36">
        <f>W375*(1+$D375)</f>
        <v/>
      </c>
      <c r="Y375" s="39">
        <f>PRETAX(X375,$D375)</f>
        <v/>
      </c>
      <c r="Z375" s="23">
        <f>LOWER(Settings!$C$4)&amp;".mit."&amp;$A375&amp;IF($C375="","","."&amp;$C375&amp;"."&amp;$B375)&amp;IF(INDEX(Variables!$D$5:$D$65,MATCH($A375,Variables!$A$5:$A$65,0))="","","."&amp;INDEX(Variables!$D$5:$D$65,MATCH($A375,Variables!$A$5:$A$65,0)))&amp;"."&amp;Z$5</f>
        <v/>
      </c>
      <c r="AA375" s="38">
        <f>INDEX(Inputs!$S$5:$S$132,MATCH($B375&amp;"|"&amp;$C375,Inputs!$A$5:$A$132,0))</f>
        <v/>
      </c>
      <c r="AB375" s="36">
        <f>AA375*(1+$D375)</f>
        <v/>
      </c>
      <c r="AC375" s="36">
        <f>AB375*(1+$D375)</f>
        <v/>
      </c>
      <c r="AD375" s="36">
        <f>AC375*(1+$D375)</f>
        <v/>
      </c>
      <c r="AE375" s="36">
        <f>AD375*(1+$D375)</f>
        <v/>
      </c>
      <c r="AF375" s="36">
        <f>AE375*(1+$D375)</f>
        <v/>
      </c>
      <c r="AG375" s="36">
        <f>AF375*(1+$D375)</f>
        <v/>
      </c>
      <c r="AH375" s="36">
        <f>AG375*(1+$D375)</f>
        <v/>
      </c>
      <c r="AI375" s="36">
        <f>AH375*(1+$D375)</f>
        <v/>
      </c>
      <c r="AJ375" s="36">
        <f>AI375*(1+$D375)</f>
        <v/>
      </c>
      <c r="AK375" s="36">
        <f>AJ375*(1+$D375)</f>
        <v/>
      </c>
      <c r="AL375" s="36">
        <f>AK375*(1+$D375)</f>
        <v/>
      </c>
      <c r="AM375" s="36">
        <f>AL375*(1+$D375)</f>
        <v/>
      </c>
      <c r="AN375" s="39">
        <f>PRETAX(AM375,$D375)</f>
        <v/>
      </c>
    </row>
    <row r="376" hidden="1" outlineLevel="2">
      <c r="A376" s="5" t="inlineStr">
        <is>
          <t>sp</t>
        </is>
      </c>
      <c r="B376" s="5" t="inlineStr">
        <is>
          <t>ker</t>
        </is>
      </c>
      <c r="C376" s="5" t="inlineStr">
        <is>
          <t>nav</t>
        </is>
      </c>
      <c r="D376" s="36">
        <f>INDEX(Inputs!$R$5:$R$132,MATCH($B376&amp;"|"&amp;$C376,Inputs!$A$5:$A$132,0))</f>
        <v/>
      </c>
      <c r="E376" s="37" t="n"/>
      <c r="F376" s="37" t="n"/>
      <c r="G376" s="37" t="n"/>
      <c r="H376" s="5">
        <f>INDEX(Variables!$B$5:$B$65,MATCH($A376,Variables!$A$5:$A$65,0))&amp;IF($C376="",""," | "&amp;INDEX(Mapping!$B$5:$B$25,MATCH($C376,Mapping!$A$5:$A$25,0))&amp;" | "&amp;INDEX(Mapping!$B$29:$B$38,MATCH($B376,Mapping!$A$29:$A$38,0)))</f>
        <v/>
      </c>
      <c r="I376" s="5">
        <f>INDEX(Variables!$C$5:$C$65,MATCH($A376,Variables!$A$5:$A$65,0))</f>
        <v/>
      </c>
      <c r="J376" s="5">
        <f>INDEX(Variables!$E$5:$E$65,MATCH($A376,Variables!$A$5:$A$65,0))</f>
        <v/>
      </c>
      <c r="K376" s="23">
        <f>LOWER(Settings!$C$4)&amp;".mit."&amp;$A376&amp;IF($C376="","","."&amp;$C376&amp;"."&amp;$B376)&amp;IF(INDEX(Variables!$D$5:$D$65,MATCH($A376,Variables!$A$5:$A$65,0))="","","."&amp;INDEX(Variables!$D$5:$D$65,MATCH($A376,Variables!$A$5:$A$65,0)))&amp;"."&amp;K$5</f>
        <v/>
      </c>
      <c r="L376" s="38">
        <f>INDEX(Inputs!$S$5:$S$132,MATCH($B376&amp;"|"&amp;$C376,Inputs!$A$5:$A$132,0))</f>
        <v/>
      </c>
      <c r="M376" s="36">
        <f>L376*(1+$D376)</f>
        <v/>
      </c>
      <c r="N376" s="36">
        <f>M376*(1+$D376)</f>
        <v/>
      </c>
      <c r="O376" s="36">
        <f>N376*(1+$D376)</f>
        <v/>
      </c>
      <c r="P376" s="36">
        <f>O376*(1+$D376)</f>
        <v/>
      </c>
      <c r="Q376" s="36">
        <f>P376*(1+$D376)</f>
        <v/>
      </c>
      <c r="R376" s="36">
        <f>Q376*(1+$D376)</f>
        <v/>
      </c>
      <c r="S376" s="36">
        <f>R376*(1+$D376)</f>
        <v/>
      </c>
      <c r="T376" s="36">
        <f>S376*(1+$D376)</f>
        <v/>
      </c>
      <c r="U376" s="36">
        <f>T376*(1+$D376)</f>
        <v/>
      </c>
      <c r="V376" s="36">
        <f>U376*(1+$D376)</f>
        <v/>
      </c>
      <c r="W376" s="36">
        <f>V376*(1+$D376)</f>
        <v/>
      </c>
      <c r="X376" s="36">
        <f>W376*(1+$D376)</f>
        <v/>
      </c>
      <c r="Y376" s="39">
        <f>PRETAX(X376,$D376)</f>
        <v/>
      </c>
      <c r="Z376" s="23">
        <f>LOWER(Settings!$C$4)&amp;".mit."&amp;$A376&amp;IF($C376="","","."&amp;$C376&amp;"."&amp;$B376)&amp;IF(INDEX(Variables!$D$5:$D$65,MATCH($A376,Variables!$A$5:$A$65,0))="","","."&amp;INDEX(Variables!$D$5:$D$65,MATCH($A376,Variables!$A$5:$A$65,0)))&amp;"."&amp;Z$5</f>
        <v/>
      </c>
      <c r="AA376" s="38">
        <f>INDEX(Inputs!$S$5:$S$132,MATCH($B376&amp;"|"&amp;$C376,Inputs!$A$5:$A$132,0))</f>
        <v/>
      </c>
      <c r="AB376" s="36">
        <f>AA376*(1+$D376)</f>
        <v/>
      </c>
      <c r="AC376" s="36">
        <f>AB376*(1+$D376)</f>
        <v/>
      </c>
      <c r="AD376" s="36">
        <f>AC376*(1+$D376)</f>
        <v/>
      </c>
      <c r="AE376" s="36">
        <f>AD376*(1+$D376)</f>
        <v/>
      </c>
      <c r="AF376" s="36">
        <f>AE376*(1+$D376)</f>
        <v/>
      </c>
      <c r="AG376" s="36">
        <f>AF376*(1+$D376)</f>
        <v/>
      </c>
      <c r="AH376" s="36">
        <f>AG376*(1+$D376)</f>
        <v/>
      </c>
      <c r="AI376" s="36">
        <f>AH376*(1+$D376)</f>
        <v/>
      </c>
      <c r="AJ376" s="36">
        <f>AI376*(1+$D376)</f>
        <v/>
      </c>
      <c r="AK376" s="36">
        <f>AJ376*(1+$D376)</f>
        <v/>
      </c>
      <c r="AL376" s="36">
        <f>AK376*(1+$D376)</f>
        <v/>
      </c>
      <c r="AM376" s="36">
        <f>AL376*(1+$D376)</f>
        <v/>
      </c>
      <c r="AN376" s="39">
        <f>PRETAX(AM376,$D376)</f>
        <v/>
      </c>
    </row>
    <row r="377" hidden="1" outlineLevel="2">
      <c r="A377" s="5" t="inlineStr">
        <is>
          <t>sp</t>
        </is>
      </c>
      <c r="B377" s="5" t="inlineStr">
        <is>
          <t>oop</t>
        </is>
      </c>
      <c r="C377" s="5" t="inlineStr">
        <is>
          <t>nav</t>
        </is>
      </c>
      <c r="D377" s="36">
        <f>INDEX(Inputs!$R$5:$R$132,MATCH($B377&amp;"|"&amp;$C377,Inputs!$A$5:$A$132,0))</f>
        <v/>
      </c>
      <c r="E377" s="37" t="n"/>
      <c r="F377" s="37" t="n"/>
      <c r="G377" s="37" t="n"/>
      <c r="H377" s="5">
        <f>INDEX(Variables!$B$5:$B$65,MATCH($A377,Variables!$A$5:$A$65,0))&amp;IF($C377="",""," | "&amp;INDEX(Mapping!$B$5:$B$25,MATCH($C377,Mapping!$A$5:$A$25,0))&amp;" | "&amp;INDEX(Mapping!$B$29:$B$38,MATCH($B377,Mapping!$A$29:$A$38,0)))</f>
        <v/>
      </c>
      <c r="I377" s="5">
        <f>INDEX(Variables!$C$5:$C$65,MATCH($A377,Variables!$A$5:$A$65,0))</f>
        <v/>
      </c>
      <c r="J377" s="5">
        <f>INDEX(Variables!$E$5:$E$65,MATCH($A377,Variables!$A$5:$A$65,0))</f>
        <v/>
      </c>
      <c r="K377" s="23">
        <f>LOWER(Settings!$C$4)&amp;".mit."&amp;$A377&amp;IF($C377="","","."&amp;$C377&amp;"."&amp;$B377)&amp;IF(INDEX(Variables!$D$5:$D$65,MATCH($A377,Variables!$A$5:$A$65,0))="","","."&amp;INDEX(Variables!$D$5:$D$65,MATCH($A377,Variables!$A$5:$A$65,0)))&amp;"."&amp;K$5</f>
        <v/>
      </c>
      <c r="L377" s="38">
        <f>INDEX(Inputs!$S$5:$S$132,MATCH($B377&amp;"|"&amp;$C377,Inputs!$A$5:$A$132,0))</f>
        <v/>
      </c>
      <c r="M377" s="36">
        <f>L377*(1+$D377)</f>
        <v/>
      </c>
      <c r="N377" s="36">
        <f>M377*(1+$D377)</f>
        <v/>
      </c>
      <c r="O377" s="36">
        <f>N377*(1+$D377)</f>
        <v/>
      </c>
      <c r="P377" s="36">
        <f>O377*(1+$D377)</f>
        <v/>
      </c>
      <c r="Q377" s="36">
        <f>P377*(1+$D377)</f>
        <v/>
      </c>
      <c r="R377" s="36">
        <f>Q377*(1+$D377)</f>
        <v/>
      </c>
      <c r="S377" s="36">
        <f>R377*(1+$D377)</f>
        <v/>
      </c>
      <c r="T377" s="36">
        <f>S377*(1+$D377)</f>
        <v/>
      </c>
      <c r="U377" s="36">
        <f>T377*(1+$D377)</f>
        <v/>
      </c>
      <c r="V377" s="36">
        <f>U377*(1+$D377)</f>
        <v/>
      </c>
      <c r="W377" s="36">
        <f>V377*(1+$D377)</f>
        <v/>
      </c>
      <c r="X377" s="36">
        <f>W377*(1+$D377)</f>
        <v/>
      </c>
      <c r="Y377" s="39">
        <f>PRETAX(X377,$D377)</f>
        <v/>
      </c>
      <c r="Z377" s="23">
        <f>LOWER(Settings!$C$4)&amp;".mit."&amp;$A377&amp;IF($C377="","","."&amp;$C377&amp;"."&amp;$B377)&amp;IF(INDEX(Variables!$D$5:$D$65,MATCH($A377,Variables!$A$5:$A$65,0))="","","."&amp;INDEX(Variables!$D$5:$D$65,MATCH($A377,Variables!$A$5:$A$65,0)))&amp;"."&amp;Z$5</f>
        <v/>
      </c>
      <c r="AA377" s="38">
        <f>INDEX(Inputs!$S$5:$S$132,MATCH($B377&amp;"|"&amp;$C377,Inputs!$A$5:$A$132,0))</f>
        <v/>
      </c>
      <c r="AB377" s="36">
        <f>AA377*(1+$D377)</f>
        <v/>
      </c>
      <c r="AC377" s="36">
        <f>AB377*(1+$D377)</f>
        <v/>
      </c>
      <c r="AD377" s="36">
        <f>AC377*(1+$D377)</f>
        <v/>
      </c>
      <c r="AE377" s="36">
        <f>AD377*(1+$D377)</f>
        <v/>
      </c>
      <c r="AF377" s="36">
        <f>AE377*(1+$D377)</f>
        <v/>
      </c>
      <c r="AG377" s="36">
        <f>AF377*(1+$D377)</f>
        <v/>
      </c>
      <c r="AH377" s="36">
        <f>AG377*(1+$D377)</f>
        <v/>
      </c>
      <c r="AI377" s="36">
        <f>AH377*(1+$D377)</f>
        <v/>
      </c>
      <c r="AJ377" s="36">
        <f>AI377*(1+$D377)</f>
        <v/>
      </c>
      <c r="AK377" s="36">
        <f>AJ377*(1+$D377)</f>
        <v/>
      </c>
      <c r="AL377" s="36">
        <f>AK377*(1+$D377)</f>
        <v/>
      </c>
      <c r="AM377" s="36">
        <f>AL377*(1+$D377)</f>
        <v/>
      </c>
      <c r="AN377" s="39">
        <f>PRETAX(AM377,$D377)</f>
        <v/>
      </c>
    </row>
    <row r="378" hidden="1" outlineLevel="2">
      <c r="A378" s="5" t="inlineStr">
        <is>
          <t>sp</t>
        </is>
      </c>
      <c r="B378" s="5" t="inlineStr">
        <is>
          <t>bio</t>
        </is>
      </c>
      <c r="C378" s="5" t="inlineStr">
        <is>
          <t>nav</t>
        </is>
      </c>
      <c r="D378" s="36">
        <f>INDEX(Inputs!$R$5:$R$132,MATCH($B378&amp;"|"&amp;$C378,Inputs!$A$5:$A$132,0))</f>
        <v/>
      </c>
      <c r="E378" s="37" t="n"/>
      <c r="F378" s="37" t="n"/>
      <c r="G378" s="37" t="n"/>
      <c r="H378" s="5">
        <f>INDEX(Variables!$B$5:$B$65,MATCH($A378,Variables!$A$5:$A$65,0))&amp;IF($C378="",""," | "&amp;INDEX(Mapping!$B$5:$B$25,MATCH($C378,Mapping!$A$5:$A$25,0))&amp;" | "&amp;INDEX(Mapping!$B$29:$B$38,MATCH($B378,Mapping!$A$29:$A$38,0)))</f>
        <v/>
      </c>
      <c r="I378" s="5">
        <f>INDEX(Variables!$C$5:$C$65,MATCH($A378,Variables!$A$5:$A$65,0))</f>
        <v/>
      </c>
      <c r="J378" s="5">
        <f>INDEX(Variables!$E$5:$E$65,MATCH($A378,Variables!$A$5:$A$65,0))</f>
        <v/>
      </c>
      <c r="K378" s="23">
        <f>LOWER(Settings!$C$4)&amp;".mit."&amp;$A378&amp;IF($C378="","","."&amp;$C378&amp;"."&amp;$B378)&amp;IF(INDEX(Variables!$D$5:$D$65,MATCH($A378,Variables!$A$5:$A$65,0))="","","."&amp;INDEX(Variables!$D$5:$D$65,MATCH($A378,Variables!$A$5:$A$65,0)))&amp;"."&amp;K$5</f>
        <v/>
      </c>
      <c r="L378" s="38">
        <f>INDEX(Inputs!$S$5:$S$132,MATCH($B378&amp;"|"&amp;$C378,Inputs!$A$5:$A$132,0))</f>
        <v/>
      </c>
      <c r="M378" s="36">
        <f>L378*(1+$D378)</f>
        <v/>
      </c>
      <c r="N378" s="36">
        <f>M378*(1+$D378)</f>
        <v/>
      </c>
      <c r="O378" s="36">
        <f>N378*(1+$D378)</f>
        <v/>
      </c>
      <c r="P378" s="36">
        <f>O378*(1+$D378)</f>
        <v/>
      </c>
      <c r="Q378" s="36">
        <f>P378*(1+$D378)</f>
        <v/>
      </c>
      <c r="R378" s="36">
        <f>Q378*(1+$D378)</f>
        <v/>
      </c>
      <c r="S378" s="36">
        <f>R378*(1+$D378)</f>
        <v/>
      </c>
      <c r="T378" s="36">
        <f>S378*(1+$D378)</f>
        <v/>
      </c>
      <c r="U378" s="36">
        <f>T378*(1+$D378)</f>
        <v/>
      </c>
      <c r="V378" s="36">
        <f>U378*(1+$D378)</f>
        <v/>
      </c>
      <c r="W378" s="36">
        <f>V378*(1+$D378)</f>
        <v/>
      </c>
      <c r="X378" s="36">
        <f>W378*(1+$D378)</f>
        <v/>
      </c>
      <c r="Y378" s="39">
        <f>PRETAX(X378,$D378)</f>
        <v/>
      </c>
      <c r="Z378" s="23">
        <f>LOWER(Settings!$C$4)&amp;".mit."&amp;$A378&amp;IF($C378="","","."&amp;$C378&amp;"."&amp;$B378)&amp;IF(INDEX(Variables!$D$5:$D$65,MATCH($A378,Variables!$A$5:$A$65,0))="","","."&amp;INDEX(Variables!$D$5:$D$65,MATCH($A378,Variables!$A$5:$A$65,0)))&amp;"."&amp;Z$5</f>
        <v/>
      </c>
      <c r="AA378" s="38">
        <f>INDEX(Inputs!$S$5:$S$132,MATCH($B378&amp;"|"&amp;$C378,Inputs!$A$5:$A$132,0))</f>
        <v/>
      </c>
      <c r="AB378" s="36">
        <f>AA378*(1+$D378)</f>
        <v/>
      </c>
      <c r="AC378" s="36">
        <f>AB378*(1+$D378)</f>
        <v/>
      </c>
      <c r="AD378" s="36">
        <f>AC378*(1+$D378)</f>
        <v/>
      </c>
      <c r="AE378" s="36">
        <f>AD378*(1+$D378)</f>
        <v/>
      </c>
      <c r="AF378" s="36">
        <f>AE378*(1+$D378)</f>
        <v/>
      </c>
      <c r="AG378" s="36">
        <f>AF378*(1+$D378)</f>
        <v/>
      </c>
      <c r="AH378" s="36">
        <f>AG378*(1+$D378)</f>
        <v/>
      </c>
      <c r="AI378" s="36">
        <f>AH378*(1+$D378)</f>
        <v/>
      </c>
      <c r="AJ378" s="36">
        <f>AI378*(1+$D378)</f>
        <v/>
      </c>
      <c r="AK378" s="36">
        <f>AJ378*(1+$D378)</f>
        <v/>
      </c>
      <c r="AL378" s="36">
        <f>AK378*(1+$D378)</f>
        <v/>
      </c>
      <c r="AM378" s="36">
        <f>AL378*(1+$D378)</f>
        <v/>
      </c>
      <c r="AN378" s="39">
        <f>PRETAX(AM378,$D378)</f>
        <v/>
      </c>
    </row>
    <row r="379" hidden="1" outlineLevel="2"/>
    <row r="380" hidden="1" outlineLevel="2">
      <c r="A380" s="5" t="inlineStr">
        <is>
          <t>ctxnew</t>
        </is>
      </c>
      <c r="B380" s="5" t="inlineStr">
        <is>
          <t>coa</t>
        </is>
      </c>
      <c r="C380" s="5" t="inlineStr">
        <is>
          <t>nav</t>
        </is>
      </c>
      <c r="D380" s="36">
        <f>INDEX(Inputs!$U$5:$U$132,MATCH($B380&amp;"|"&amp;$C380,Inputs!$A$5:$A$132,0))</f>
        <v/>
      </c>
      <c r="E380" s="36">
        <f>INDEX(Inputs!$J$5:$J$132,MATCH($B380&amp;"|"&amp;$C380,Inputs!$A$5:$A$132,0))</f>
        <v/>
      </c>
      <c r="F380" s="36">
        <f>INDEX(Inputs!$K$5:$K$132,MATCH($B380&amp;"|"&amp;$C380,Inputs!$A$5:$A$132,0))</f>
        <v/>
      </c>
      <c r="G380" s="37" t="n"/>
      <c r="H380" s="5">
        <f>INDEX(Variables!$B$5:$B$65,MATCH($A380,Variables!$A$5:$A$65,0))&amp;IF($C380="",""," | "&amp;INDEX(Mapping!$B$5:$B$25,MATCH($C380,Mapping!$A$5:$A$25,0))&amp;" | "&amp;INDEX(Mapping!$B$29:$B$38,MATCH($B380,Mapping!$A$29:$A$38,0)))</f>
        <v/>
      </c>
      <c r="I380" s="5">
        <f>INDEX(Variables!$C$5:$C$65,MATCH($A380,Variables!$A$5:$A$65,0))</f>
        <v/>
      </c>
      <c r="J380" s="5">
        <f>INDEX(Variables!$E$5:$E$65,MATCH($A380,Variables!$A$5:$A$65,0))</f>
        <v/>
      </c>
      <c r="K380" s="23">
        <f>LOWER(Settings!$C$4)&amp;".mit."&amp;$A380&amp;IF($C380="","","."&amp;$C380&amp;"."&amp;$B380)&amp;IF(INDEX(Variables!$D$5:$D$65,MATCH($A380,Variables!$A$5:$A$65,0))="","","."&amp;INDEX(Variables!$D$5:$D$65,MATCH($A380,Variables!$A$5:$A$65,0)))&amp;"."&amp;K$5</f>
        <v/>
      </c>
      <c r="L380" s="38">
        <f>L$10*$D380*INDEX(L$18:L$25,$E380)*INDEX(L$27:L$43,$F380)</f>
        <v/>
      </c>
      <c r="M380" s="36">
        <f>M$10*$D380*INDEX(M$18:M$25,$E380)*INDEX(M$27:M$43,$F380)</f>
        <v/>
      </c>
      <c r="N380" s="36">
        <f>N$10*$D380*INDEX(N$18:N$25,$E380)*INDEX(N$27:N$43,$F380)</f>
        <v/>
      </c>
      <c r="O380" s="36">
        <f>O$10*$D380*INDEX(O$18:O$25,$E380)*INDEX(O$27:O$43,$F380)</f>
        <v/>
      </c>
      <c r="P380" s="36">
        <f>P$10*$D380*INDEX(P$18:P$25,$E380)*INDEX(P$27:P$43,$F380)</f>
        <v/>
      </c>
      <c r="Q380" s="36">
        <f>Q$10*$D380*INDEX(Q$18:Q$25,$E380)*INDEX(Q$27:Q$43,$F380)</f>
        <v/>
      </c>
      <c r="R380" s="36">
        <f>R$10*$D380*INDEX(R$18:R$25,$E380)*INDEX(R$27:R$43,$F380)</f>
        <v/>
      </c>
      <c r="S380" s="36">
        <f>S$10*$D380*INDEX(S$18:S$25,$E380)*INDEX(S$27:S$43,$F380)</f>
        <v/>
      </c>
      <c r="T380" s="36">
        <f>T$10*$D380*INDEX(T$18:T$25,$E380)*INDEX(T$27:T$43,$F380)</f>
        <v/>
      </c>
      <c r="U380" s="36">
        <f>U$10*$D380*INDEX(U$18:U$25,$E380)*INDEX(U$27:U$43,$F380)</f>
        <v/>
      </c>
      <c r="V380" s="36">
        <f>V$10*$D380*INDEX(V$18:V$25,$E380)*INDEX(V$27:V$43,$F380)</f>
        <v/>
      </c>
      <c r="W380" s="36">
        <f>W$10*$D380*INDEX(W$18:W$25,$E380)*INDEX(W$27:W$43,$F380)</f>
        <v/>
      </c>
      <c r="X380" s="36">
        <f>X$10*$D380*INDEX(X$18:X$25,$E380)*INDEX(X$27:X$43,$F380)</f>
        <v/>
      </c>
      <c r="Y380" s="36">
        <f>Y$10*$D380*INDEX(Y$18:Y$25,$E380)*INDEX(Y$27:Y$43,$F380)</f>
        <v/>
      </c>
      <c r="Z380" s="23">
        <f>LOWER(Settings!$C$4)&amp;".mit."&amp;$A380&amp;IF($C380="","","."&amp;$C380&amp;"."&amp;$B380)&amp;IF(INDEX(Variables!$D$5:$D$65,MATCH($A380,Variables!$A$5:$A$65,0))="","","."&amp;INDEX(Variables!$D$5:$D$65,MATCH($A380,Variables!$A$5:$A$65,0)))&amp;"."&amp;Z$5</f>
        <v/>
      </c>
      <c r="AA380" s="38">
        <f>AA$10*$D380*INDEX(AA$18:AA$25,$E380)*INDEX(AA$27:AA$43,$F380)</f>
        <v/>
      </c>
      <c r="AB380" s="36">
        <f>AB$10*$D380*INDEX(AB$18:AB$25,$E380)*INDEX(AB$27:AB$43,$F380)</f>
        <v/>
      </c>
      <c r="AC380" s="36">
        <f>AC$10*$D380*INDEX(AC$18:AC$25,$E380)*INDEX(AC$27:AC$43,$F380)</f>
        <v/>
      </c>
      <c r="AD380" s="36">
        <f>AD$10*$D380*INDEX(AD$18:AD$25,$E380)*INDEX(AD$27:AD$43,$F380)</f>
        <v/>
      </c>
      <c r="AE380" s="36">
        <f>AE$10*$D380*INDEX(AE$18:AE$25,$E380)*INDEX(AE$27:AE$43,$F380)</f>
        <v/>
      </c>
      <c r="AF380" s="36">
        <f>AF$10*$D380*INDEX(AF$18:AF$25,$E380)*INDEX(AF$27:AF$43,$F380)</f>
        <v/>
      </c>
      <c r="AG380" s="36">
        <f>AG$10*$D380*INDEX(AG$18:AG$25,$E380)*INDEX(AG$27:AG$43,$F380)</f>
        <v/>
      </c>
      <c r="AH380" s="36">
        <f>AH$10*$D380*INDEX(AH$18:AH$25,$E380)*INDEX(AH$27:AH$43,$F380)</f>
        <v/>
      </c>
      <c r="AI380" s="36">
        <f>AI$10*$D380*INDEX(AI$18:AI$25,$E380)*INDEX(AI$27:AI$43,$F380)</f>
        <v/>
      </c>
      <c r="AJ380" s="36">
        <f>AJ$10*$D380*INDEX(AJ$18:AJ$25,$E380)*INDEX(AJ$27:AJ$43,$F380)</f>
        <v/>
      </c>
      <c r="AK380" s="36">
        <f>AK$10*$D380*INDEX(AK$18:AK$25,$E380)*INDEX(AK$27:AK$43,$F380)</f>
        <v/>
      </c>
      <c r="AL380" s="36">
        <f>AL$10*$D380*INDEX(AL$18:AL$25,$E380)*INDEX(AL$27:AL$43,$F380)</f>
        <v/>
      </c>
      <c r="AM380" s="36">
        <f>AM$10*$D380*INDEX(AM$18:AM$25,$E380)*INDEX(AM$27:AM$43,$F380)</f>
        <v/>
      </c>
      <c r="AN380" s="36">
        <f>AN$10*$D380*INDEX(AN$18:AN$25,$E380)*INDEX(AN$27:AN$43,$F380)</f>
        <v/>
      </c>
    </row>
    <row r="381" hidden="1" outlineLevel="2">
      <c r="A381" s="5" t="inlineStr">
        <is>
          <t>ctxnew</t>
        </is>
      </c>
      <c r="B381" s="5" t="inlineStr">
        <is>
          <t>nga</t>
        </is>
      </c>
      <c r="C381" s="5" t="inlineStr">
        <is>
          <t>nav</t>
        </is>
      </c>
      <c r="D381" s="36">
        <f>INDEX(Inputs!$U$5:$U$132,MATCH($B381&amp;"|"&amp;$C381,Inputs!$A$5:$A$132,0))</f>
        <v/>
      </c>
      <c r="E381" s="36">
        <f>INDEX(Inputs!$J$5:$J$132,MATCH($B381&amp;"|"&amp;$C381,Inputs!$A$5:$A$132,0))</f>
        <v/>
      </c>
      <c r="F381" s="36">
        <f>INDEX(Inputs!$K$5:$K$132,MATCH($B381&amp;"|"&amp;$C381,Inputs!$A$5:$A$132,0))</f>
        <v/>
      </c>
      <c r="G381" s="37" t="n"/>
      <c r="H381" s="5">
        <f>INDEX(Variables!$B$5:$B$65,MATCH($A381,Variables!$A$5:$A$65,0))&amp;IF($C381="",""," | "&amp;INDEX(Mapping!$B$5:$B$25,MATCH($C381,Mapping!$A$5:$A$25,0))&amp;" | "&amp;INDEX(Mapping!$B$29:$B$38,MATCH($B381,Mapping!$A$29:$A$38,0)))</f>
        <v/>
      </c>
      <c r="I381" s="5">
        <f>INDEX(Variables!$C$5:$C$65,MATCH($A381,Variables!$A$5:$A$65,0))</f>
        <v/>
      </c>
      <c r="J381" s="5">
        <f>INDEX(Variables!$E$5:$E$65,MATCH($A381,Variables!$A$5:$A$65,0))</f>
        <v/>
      </c>
      <c r="K381" s="23">
        <f>LOWER(Settings!$C$4)&amp;".mit."&amp;$A381&amp;IF($C381="","","."&amp;$C381&amp;"."&amp;$B381)&amp;IF(INDEX(Variables!$D$5:$D$65,MATCH($A381,Variables!$A$5:$A$65,0))="","","."&amp;INDEX(Variables!$D$5:$D$65,MATCH($A381,Variables!$A$5:$A$65,0)))&amp;"."&amp;K$5</f>
        <v/>
      </c>
      <c r="L381" s="38">
        <f>L$10*$D381*INDEX(L$18:L$25,$E381)*INDEX(L$27:L$43,$F381)</f>
        <v/>
      </c>
      <c r="M381" s="36">
        <f>M$10*$D381*INDEX(M$18:M$25,$E381)*INDEX(M$27:M$43,$F381)</f>
        <v/>
      </c>
      <c r="N381" s="36">
        <f>N$10*$D381*INDEX(N$18:N$25,$E381)*INDEX(N$27:N$43,$F381)</f>
        <v/>
      </c>
      <c r="O381" s="36">
        <f>O$10*$D381*INDEX(O$18:O$25,$E381)*INDEX(O$27:O$43,$F381)</f>
        <v/>
      </c>
      <c r="P381" s="36">
        <f>P$10*$D381*INDEX(P$18:P$25,$E381)*INDEX(P$27:P$43,$F381)</f>
        <v/>
      </c>
      <c r="Q381" s="36">
        <f>Q$10*$D381*INDEX(Q$18:Q$25,$E381)*INDEX(Q$27:Q$43,$F381)</f>
        <v/>
      </c>
      <c r="R381" s="36">
        <f>R$10*$D381*INDEX(R$18:R$25,$E381)*INDEX(R$27:R$43,$F381)</f>
        <v/>
      </c>
      <c r="S381" s="36">
        <f>S$10*$D381*INDEX(S$18:S$25,$E381)*INDEX(S$27:S$43,$F381)</f>
        <v/>
      </c>
      <c r="T381" s="36">
        <f>T$10*$D381*INDEX(T$18:T$25,$E381)*INDEX(T$27:T$43,$F381)</f>
        <v/>
      </c>
      <c r="U381" s="36">
        <f>U$10*$D381*INDEX(U$18:U$25,$E381)*INDEX(U$27:U$43,$F381)</f>
        <v/>
      </c>
      <c r="V381" s="36">
        <f>V$10*$D381*INDEX(V$18:V$25,$E381)*INDEX(V$27:V$43,$F381)</f>
        <v/>
      </c>
      <c r="W381" s="36">
        <f>W$10*$D381*INDEX(W$18:W$25,$E381)*INDEX(W$27:W$43,$F381)</f>
        <v/>
      </c>
      <c r="X381" s="36">
        <f>X$10*$D381*INDEX(X$18:X$25,$E381)*INDEX(X$27:X$43,$F381)</f>
        <v/>
      </c>
      <c r="Y381" s="36">
        <f>Y$10*$D381*INDEX(Y$18:Y$25,$E381)*INDEX(Y$27:Y$43,$F381)</f>
        <v/>
      </c>
      <c r="Z381" s="23">
        <f>LOWER(Settings!$C$4)&amp;".mit."&amp;$A381&amp;IF($C381="","","."&amp;$C381&amp;"."&amp;$B381)&amp;IF(INDEX(Variables!$D$5:$D$65,MATCH($A381,Variables!$A$5:$A$65,0))="","","."&amp;INDEX(Variables!$D$5:$D$65,MATCH($A381,Variables!$A$5:$A$65,0)))&amp;"."&amp;Z$5</f>
        <v/>
      </c>
      <c r="AA381" s="38">
        <f>AA$10*$D381*INDEX(AA$18:AA$25,$E381)*INDEX(AA$27:AA$43,$F381)</f>
        <v/>
      </c>
      <c r="AB381" s="36">
        <f>AB$10*$D381*INDEX(AB$18:AB$25,$E381)*INDEX(AB$27:AB$43,$F381)</f>
        <v/>
      </c>
      <c r="AC381" s="36">
        <f>AC$10*$D381*INDEX(AC$18:AC$25,$E381)*INDEX(AC$27:AC$43,$F381)</f>
        <v/>
      </c>
      <c r="AD381" s="36">
        <f>AD$10*$D381*INDEX(AD$18:AD$25,$E381)*INDEX(AD$27:AD$43,$F381)</f>
        <v/>
      </c>
      <c r="AE381" s="36">
        <f>AE$10*$D381*INDEX(AE$18:AE$25,$E381)*INDEX(AE$27:AE$43,$F381)</f>
        <v/>
      </c>
      <c r="AF381" s="36">
        <f>AF$10*$D381*INDEX(AF$18:AF$25,$E381)*INDEX(AF$27:AF$43,$F381)</f>
        <v/>
      </c>
      <c r="AG381" s="36">
        <f>AG$10*$D381*INDEX(AG$18:AG$25,$E381)*INDEX(AG$27:AG$43,$F381)</f>
        <v/>
      </c>
      <c r="AH381" s="36">
        <f>AH$10*$D381*INDEX(AH$18:AH$25,$E381)*INDEX(AH$27:AH$43,$F381)</f>
        <v/>
      </c>
      <c r="AI381" s="36">
        <f>AI$10*$D381*INDEX(AI$18:AI$25,$E381)*INDEX(AI$27:AI$43,$F381)</f>
        <v/>
      </c>
      <c r="AJ381" s="36">
        <f>AJ$10*$D381*INDEX(AJ$18:AJ$25,$E381)*INDEX(AJ$27:AJ$43,$F381)</f>
        <v/>
      </c>
      <c r="AK381" s="36">
        <f>AK$10*$D381*INDEX(AK$18:AK$25,$E381)*INDEX(AK$27:AK$43,$F381)</f>
        <v/>
      </c>
      <c r="AL381" s="36">
        <f>AL$10*$D381*INDEX(AL$18:AL$25,$E381)*INDEX(AL$27:AL$43,$F381)</f>
        <v/>
      </c>
      <c r="AM381" s="36">
        <f>AM$10*$D381*INDEX(AM$18:AM$25,$E381)*INDEX(AM$27:AM$43,$F381)</f>
        <v/>
      </c>
      <c r="AN381" s="36">
        <f>AN$10*$D381*INDEX(AN$18:AN$25,$E381)*INDEX(AN$27:AN$43,$F381)</f>
        <v/>
      </c>
    </row>
    <row r="382" hidden="1" outlineLevel="2">
      <c r="A382" s="5" t="inlineStr">
        <is>
          <t>ctxnew</t>
        </is>
      </c>
      <c r="B382" s="5" t="inlineStr">
        <is>
          <t>gso</t>
        </is>
      </c>
      <c r="C382" s="5" t="inlineStr">
        <is>
          <t>nav</t>
        </is>
      </c>
      <c r="D382" s="36">
        <f>INDEX(Inputs!$U$5:$U$132,MATCH($B382&amp;"|"&amp;$C382,Inputs!$A$5:$A$132,0))</f>
        <v/>
      </c>
      <c r="E382" s="36">
        <f>INDEX(Inputs!$J$5:$J$132,MATCH($B382&amp;"|"&amp;$C382,Inputs!$A$5:$A$132,0))</f>
        <v/>
      </c>
      <c r="F382" s="36">
        <f>INDEX(Inputs!$K$5:$K$132,MATCH($B382&amp;"|"&amp;$C382,Inputs!$A$5:$A$132,0))</f>
        <v/>
      </c>
      <c r="G382" s="37" t="n"/>
      <c r="H382" s="5">
        <f>INDEX(Variables!$B$5:$B$65,MATCH($A382,Variables!$A$5:$A$65,0))&amp;IF($C382="",""," | "&amp;INDEX(Mapping!$B$5:$B$25,MATCH($C382,Mapping!$A$5:$A$25,0))&amp;" | "&amp;INDEX(Mapping!$B$29:$B$38,MATCH($B382,Mapping!$A$29:$A$38,0)))</f>
        <v/>
      </c>
      <c r="I382" s="5">
        <f>INDEX(Variables!$C$5:$C$65,MATCH($A382,Variables!$A$5:$A$65,0))</f>
        <v/>
      </c>
      <c r="J382" s="5">
        <f>INDEX(Variables!$E$5:$E$65,MATCH($A382,Variables!$A$5:$A$65,0))</f>
        <v/>
      </c>
      <c r="K382" s="23">
        <f>LOWER(Settings!$C$4)&amp;".mit."&amp;$A382&amp;IF($C382="","","."&amp;$C382&amp;"."&amp;$B382)&amp;IF(INDEX(Variables!$D$5:$D$65,MATCH($A382,Variables!$A$5:$A$65,0))="","","."&amp;INDEX(Variables!$D$5:$D$65,MATCH($A382,Variables!$A$5:$A$65,0)))&amp;"."&amp;K$5</f>
        <v/>
      </c>
      <c r="L382" s="38">
        <f>L$10*$D382*INDEX(L$18:L$25,$E382)*INDEX(L$27:L$43,$F382)</f>
        <v/>
      </c>
      <c r="M382" s="36">
        <f>M$10*$D382*INDEX(M$18:M$25,$E382)*INDEX(M$27:M$43,$F382)</f>
        <v/>
      </c>
      <c r="N382" s="36">
        <f>N$10*$D382*INDEX(N$18:N$25,$E382)*INDEX(N$27:N$43,$F382)</f>
        <v/>
      </c>
      <c r="O382" s="36">
        <f>O$10*$D382*INDEX(O$18:O$25,$E382)*INDEX(O$27:O$43,$F382)</f>
        <v/>
      </c>
      <c r="P382" s="36">
        <f>P$10*$D382*INDEX(P$18:P$25,$E382)*INDEX(P$27:P$43,$F382)</f>
        <v/>
      </c>
      <c r="Q382" s="36">
        <f>Q$10*$D382*INDEX(Q$18:Q$25,$E382)*INDEX(Q$27:Q$43,$F382)</f>
        <v/>
      </c>
      <c r="R382" s="36">
        <f>R$10*$D382*INDEX(R$18:R$25,$E382)*INDEX(R$27:R$43,$F382)</f>
        <v/>
      </c>
      <c r="S382" s="36">
        <f>S$10*$D382*INDEX(S$18:S$25,$E382)*INDEX(S$27:S$43,$F382)</f>
        <v/>
      </c>
      <c r="T382" s="36">
        <f>T$10*$D382*INDEX(T$18:T$25,$E382)*INDEX(T$27:T$43,$F382)</f>
        <v/>
      </c>
      <c r="U382" s="36">
        <f>U$10*$D382*INDEX(U$18:U$25,$E382)*INDEX(U$27:U$43,$F382)</f>
        <v/>
      </c>
      <c r="V382" s="36">
        <f>V$10*$D382*INDEX(V$18:V$25,$E382)*INDEX(V$27:V$43,$F382)</f>
        <v/>
      </c>
      <c r="W382" s="36">
        <f>W$10*$D382*INDEX(W$18:W$25,$E382)*INDEX(W$27:W$43,$F382)</f>
        <v/>
      </c>
      <c r="X382" s="36">
        <f>X$10*$D382*INDEX(X$18:X$25,$E382)*INDEX(X$27:X$43,$F382)</f>
        <v/>
      </c>
      <c r="Y382" s="36">
        <f>Y$10*$D382*INDEX(Y$18:Y$25,$E382)*INDEX(Y$27:Y$43,$F382)</f>
        <v/>
      </c>
      <c r="Z382" s="23">
        <f>LOWER(Settings!$C$4)&amp;".mit."&amp;$A382&amp;IF($C382="","","."&amp;$C382&amp;"."&amp;$B382)&amp;IF(INDEX(Variables!$D$5:$D$65,MATCH($A382,Variables!$A$5:$A$65,0))="","","."&amp;INDEX(Variables!$D$5:$D$65,MATCH($A382,Variables!$A$5:$A$65,0)))&amp;"."&amp;Z$5</f>
        <v/>
      </c>
      <c r="AA382" s="38">
        <f>AA$10*$D382*INDEX(AA$18:AA$25,$E382)*INDEX(AA$27:AA$43,$F382)</f>
        <v/>
      </c>
      <c r="AB382" s="36">
        <f>AB$10*$D382*INDEX(AB$18:AB$25,$E382)*INDEX(AB$27:AB$43,$F382)</f>
        <v/>
      </c>
      <c r="AC382" s="36">
        <f>AC$10*$D382*INDEX(AC$18:AC$25,$E382)*INDEX(AC$27:AC$43,$F382)</f>
        <v/>
      </c>
      <c r="AD382" s="36">
        <f>AD$10*$D382*INDEX(AD$18:AD$25,$E382)*INDEX(AD$27:AD$43,$F382)</f>
        <v/>
      </c>
      <c r="AE382" s="36">
        <f>AE$10*$D382*INDEX(AE$18:AE$25,$E382)*INDEX(AE$27:AE$43,$F382)</f>
        <v/>
      </c>
      <c r="AF382" s="36">
        <f>AF$10*$D382*INDEX(AF$18:AF$25,$E382)*INDEX(AF$27:AF$43,$F382)</f>
        <v/>
      </c>
      <c r="AG382" s="36">
        <f>AG$10*$D382*INDEX(AG$18:AG$25,$E382)*INDEX(AG$27:AG$43,$F382)</f>
        <v/>
      </c>
      <c r="AH382" s="36">
        <f>AH$10*$D382*INDEX(AH$18:AH$25,$E382)*INDEX(AH$27:AH$43,$F382)</f>
        <v/>
      </c>
      <c r="AI382" s="36">
        <f>AI$10*$D382*INDEX(AI$18:AI$25,$E382)*INDEX(AI$27:AI$43,$F382)</f>
        <v/>
      </c>
      <c r="AJ382" s="36">
        <f>AJ$10*$D382*INDEX(AJ$18:AJ$25,$E382)*INDEX(AJ$27:AJ$43,$F382)</f>
        <v/>
      </c>
      <c r="AK382" s="36">
        <f>AK$10*$D382*INDEX(AK$18:AK$25,$E382)*INDEX(AK$27:AK$43,$F382)</f>
        <v/>
      </c>
      <c r="AL382" s="36">
        <f>AL$10*$D382*INDEX(AL$18:AL$25,$E382)*INDEX(AL$27:AL$43,$F382)</f>
        <v/>
      </c>
      <c r="AM382" s="36">
        <f>AM$10*$D382*INDEX(AM$18:AM$25,$E382)*INDEX(AM$27:AM$43,$F382)</f>
        <v/>
      </c>
      <c r="AN382" s="36">
        <f>AN$10*$D382*INDEX(AN$18:AN$25,$E382)*INDEX(AN$27:AN$43,$F382)</f>
        <v/>
      </c>
    </row>
    <row r="383" hidden="1" outlineLevel="2">
      <c r="A383" s="5" t="inlineStr">
        <is>
          <t>ctxnew</t>
        </is>
      </c>
      <c r="B383" s="5" t="inlineStr">
        <is>
          <t>die</t>
        </is>
      </c>
      <c r="C383" s="5" t="inlineStr">
        <is>
          <t>nav</t>
        </is>
      </c>
      <c r="D383" s="36">
        <f>INDEX(Inputs!$U$5:$U$132,MATCH($B383&amp;"|"&amp;$C383,Inputs!$A$5:$A$132,0))</f>
        <v/>
      </c>
      <c r="E383" s="36">
        <f>INDEX(Inputs!$J$5:$J$132,MATCH($B383&amp;"|"&amp;$C383,Inputs!$A$5:$A$132,0))</f>
        <v/>
      </c>
      <c r="F383" s="36">
        <f>INDEX(Inputs!$K$5:$K$132,MATCH($B383&amp;"|"&amp;$C383,Inputs!$A$5:$A$132,0))</f>
        <v/>
      </c>
      <c r="G383" s="37" t="n"/>
      <c r="H383" s="5">
        <f>INDEX(Variables!$B$5:$B$65,MATCH($A383,Variables!$A$5:$A$65,0))&amp;IF($C383="",""," | "&amp;INDEX(Mapping!$B$5:$B$25,MATCH($C383,Mapping!$A$5:$A$25,0))&amp;" | "&amp;INDEX(Mapping!$B$29:$B$38,MATCH($B383,Mapping!$A$29:$A$38,0)))</f>
        <v/>
      </c>
      <c r="I383" s="5">
        <f>INDEX(Variables!$C$5:$C$65,MATCH($A383,Variables!$A$5:$A$65,0))</f>
        <v/>
      </c>
      <c r="J383" s="5">
        <f>INDEX(Variables!$E$5:$E$65,MATCH($A383,Variables!$A$5:$A$65,0))</f>
        <v/>
      </c>
      <c r="K383" s="23">
        <f>LOWER(Settings!$C$4)&amp;".mit."&amp;$A383&amp;IF($C383="","","."&amp;$C383&amp;"."&amp;$B383)&amp;IF(INDEX(Variables!$D$5:$D$65,MATCH($A383,Variables!$A$5:$A$65,0))="","","."&amp;INDEX(Variables!$D$5:$D$65,MATCH($A383,Variables!$A$5:$A$65,0)))&amp;"."&amp;K$5</f>
        <v/>
      </c>
      <c r="L383" s="38">
        <f>L$10*$D383*INDEX(L$18:L$25,$E383)*INDEX(L$27:L$43,$F383)</f>
        <v/>
      </c>
      <c r="M383" s="36">
        <f>M$10*$D383*INDEX(M$18:M$25,$E383)*INDEX(M$27:M$43,$F383)</f>
        <v/>
      </c>
      <c r="N383" s="36">
        <f>N$10*$D383*INDEX(N$18:N$25,$E383)*INDEX(N$27:N$43,$F383)</f>
        <v/>
      </c>
      <c r="O383" s="36">
        <f>O$10*$D383*INDEX(O$18:O$25,$E383)*INDEX(O$27:O$43,$F383)</f>
        <v/>
      </c>
      <c r="P383" s="36">
        <f>P$10*$D383*INDEX(P$18:P$25,$E383)*INDEX(P$27:P$43,$F383)</f>
        <v/>
      </c>
      <c r="Q383" s="36">
        <f>Q$10*$D383*INDEX(Q$18:Q$25,$E383)*INDEX(Q$27:Q$43,$F383)</f>
        <v/>
      </c>
      <c r="R383" s="36">
        <f>R$10*$D383*INDEX(R$18:R$25,$E383)*INDEX(R$27:R$43,$F383)</f>
        <v/>
      </c>
      <c r="S383" s="36">
        <f>S$10*$D383*INDEX(S$18:S$25,$E383)*INDEX(S$27:S$43,$F383)</f>
        <v/>
      </c>
      <c r="T383" s="36">
        <f>T$10*$D383*INDEX(T$18:T$25,$E383)*INDEX(T$27:T$43,$F383)</f>
        <v/>
      </c>
      <c r="U383" s="36">
        <f>U$10*$D383*INDEX(U$18:U$25,$E383)*INDEX(U$27:U$43,$F383)</f>
        <v/>
      </c>
      <c r="V383" s="36">
        <f>V$10*$D383*INDEX(V$18:V$25,$E383)*INDEX(V$27:V$43,$F383)</f>
        <v/>
      </c>
      <c r="W383" s="36">
        <f>W$10*$D383*INDEX(W$18:W$25,$E383)*INDEX(W$27:W$43,$F383)</f>
        <v/>
      </c>
      <c r="X383" s="36">
        <f>X$10*$D383*INDEX(X$18:X$25,$E383)*INDEX(X$27:X$43,$F383)</f>
        <v/>
      </c>
      <c r="Y383" s="36">
        <f>Y$10*$D383*INDEX(Y$18:Y$25,$E383)*INDEX(Y$27:Y$43,$F383)</f>
        <v/>
      </c>
      <c r="Z383" s="23">
        <f>LOWER(Settings!$C$4)&amp;".mit."&amp;$A383&amp;IF($C383="","","."&amp;$C383&amp;"."&amp;$B383)&amp;IF(INDEX(Variables!$D$5:$D$65,MATCH($A383,Variables!$A$5:$A$65,0))="","","."&amp;INDEX(Variables!$D$5:$D$65,MATCH($A383,Variables!$A$5:$A$65,0)))&amp;"."&amp;Z$5</f>
        <v/>
      </c>
      <c r="AA383" s="38">
        <f>AA$10*$D383*INDEX(AA$18:AA$25,$E383)*INDEX(AA$27:AA$43,$F383)</f>
        <v/>
      </c>
      <c r="AB383" s="36">
        <f>AB$10*$D383*INDEX(AB$18:AB$25,$E383)*INDEX(AB$27:AB$43,$F383)</f>
        <v/>
      </c>
      <c r="AC383" s="36">
        <f>AC$10*$D383*INDEX(AC$18:AC$25,$E383)*INDEX(AC$27:AC$43,$F383)</f>
        <v/>
      </c>
      <c r="AD383" s="36">
        <f>AD$10*$D383*INDEX(AD$18:AD$25,$E383)*INDEX(AD$27:AD$43,$F383)</f>
        <v/>
      </c>
      <c r="AE383" s="36">
        <f>AE$10*$D383*INDEX(AE$18:AE$25,$E383)*INDEX(AE$27:AE$43,$F383)</f>
        <v/>
      </c>
      <c r="AF383" s="36">
        <f>AF$10*$D383*INDEX(AF$18:AF$25,$E383)*INDEX(AF$27:AF$43,$F383)</f>
        <v/>
      </c>
      <c r="AG383" s="36">
        <f>AG$10*$D383*INDEX(AG$18:AG$25,$E383)*INDEX(AG$27:AG$43,$F383)</f>
        <v/>
      </c>
      <c r="AH383" s="36">
        <f>AH$10*$D383*INDEX(AH$18:AH$25,$E383)*INDEX(AH$27:AH$43,$F383)</f>
        <v/>
      </c>
      <c r="AI383" s="36">
        <f>AI$10*$D383*INDEX(AI$18:AI$25,$E383)*INDEX(AI$27:AI$43,$F383)</f>
        <v/>
      </c>
      <c r="AJ383" s="36">
        <f>AJ$10*$D383*INDEX(AJ$18:AJ$25,$E383)*INDEX(AJ$27:AJ$43,$F383)</f>
        <v/>
      </c>
      <c r="AK383" s="36">
        <f>AK$10*$D383*INDEX(AK$18:AK$25,$E383)*INDEX(AK$27:AK$43,$F383)</f>
        <v/>
      </c>
      <c r="AL383" s="36">
        <f>AL$10*$D383*INDEX(AL$18:AL$25,$E383)*INDEX(AL$27:AL$43,$F383)</f>
        <v/>
      </c>
      <c r="AM383" s="36">
        <f>AM$10*$D383*INDEX(AM$18:AM$25,$E383)*INDEX(AM$27:AM$43,$F383)</f>
        <v/>
      </c>
      <c r="AN383" s="36">
        <f>AN$10*$D383*INDEX(AN$18:AN$25,$E383)*INDEX(AN$27:AN$43,$F383)</f>
        <v/>
      </c>
    </row>
    <row r="384" hidden="1" outlineLevel="2">
      <c r="A384" s="5" t="inlineStr">
        <is>
          <t>ctxnew</t>
        </is>
      </c>
      <c r="B384" s="5" t="inlineStr">
        <is>
          <t>lpg</t>
        </is>
      </c>
      <c r="C384" s="5" t="inlineStr">
        <is>
          <t>nav</t>
        </is>
      </c>
      <c r="D384" s="36">
        <f>INDEX(Inputs!$U$5:$U$132,MATCH($B384&amp;"|"&amp;$C384,Inputs!$A$5:$A$132,0))</f>
        <v/>
      </c>
      <c r="E384" s="36">
        <f>INDEX(Inputs!$J$5:$J$132,MATCH($B384&amp;"|"&amp;$C384,Inputs!$A$5:$A$132,0))</f>
        <v/>
      </c>
      <c r="F384" s="36">
        <f>INDEX(Inputs!$K$5:$K$132,MATCH($B384&amp;"|"&amp;$C384,Inputs!$A$5:$A$132,0))</f>
        <v/>
      </c>
      <c r="G384" s="37" t="n"/>
      <c r="H384" s="5">
        <f>INDEX(Variables!$B$5:$B$65,MATCH($A384,Variables!$A$5:$A$65,0))&amp;IF($C384="",""," | "&amp;INDEX(Mapping!$B$5:$B$25,MATCH($C384,Mapping!$A$5:$A$25,0))&amp;" | "&amp;INDEX(Mapping!$B$29:$B$38,MATCH($B384,Mapping!$A$29:$A$38,0)))</f>
        <v/>
      </c>
      <c r="I384" s="5">
        <f>INDEX(Variables!$C$5:$C$65,MATCH($A384,Variables!$A$5:$A$65,0))</f>
        <v/>
      </c>
      <c r="J384" s="5">
        <f>INDEX(Variables!$E$5:$E$65,MATCH($A384,Variables!$A$5:$A$65,0))</f>
        <v/>
      </c>
      <c r="K384" s="23">
        <f>LOWER(Settings!$C$4)&amp;".mit."&amp;$A384&amp;IF($C384="","","."&amp;$C384&amp;"."&amp;$B384)&amp;IF(INDEX(Variables!$D$5:$D$65,MATCH($A384,Variables!$A$5:$A$65,0))="","","."&amp;INDEX(Variables!$D$5:$D$65,MATCH($A384,Variables!$A$5:$A$65,0)))&amp;"."&amp;K$5</f>
        <v/>
      </c>
      <c r="L384" s="38">
        <f>L$10*$D384*INDEX(L$18:L$25,$E384)*INDEX(L$27:L$43,$F384)</f>
        <v/>
      </c>
      <c r="M384" s="36">
        <f>M$10*$D384*INDEX(M$18:M$25,$E384)*INDEX(M$27:M$43,$F384)</f>
        <v/>
      </c>
      <c r="N384" s="36">
        <f>N$10*$D384*INDEX(N$18:N$25,$E384)*INDEX(N$27:N$43,$F384)</f>
        <v/>
      </c>
      <c r="O384" s="36">
        <f>O$10*$D384*INDEX(O$18:O$25,$E384)*INDEX(O$27:O$43,$F384)</f>
        <v/>
      </c>
      <c r="P384" s="36">
        <f>P$10*$D384*INDEX(P$18:P$25,$E384)*INDEX(P$27:P$43,$F384)</f>
        <v/>
      </c>
      <c r="Q384" s="36">
        <f>Q$10*$D384*INDEX(Q$18:Q$25,$E384)*INDEX(Q$27:Q$43,$F384)</f>
        <v/>
      </c>
      <c r="R384" s="36">
        <f>R$10*$D384*INDEX(R$18:R$25,$E384)*INDEX(R$27:R$43,$F384)</f>
        <v/>
      </c>
      <c r="S384" s="36">
        <f>S$10*$D384*INDEX(S$18:S$25,$E384)*INDEX(S$27:S$43,$F384)</f>
        <v/>
      </c>
      <c r="T384" s="36">
        <f>T$10*$D384*INDEX(T$18:T$25,$E384)*INDEX(T$27:T$43,$F384)</f>
        <v/>
      </c>
      <c r="U384" s="36">
        <f>U$10*$D384*INDEX(U$18:U$25,$E384)*INDEX(U$27:U$43,$F384)</f>
        <v/>
      </c>
      <c r="V384" s="36">
        <f>V$10*$D384*INDEX(V$18:V$25,$E384)*INDEX(V$27:V$43,$F384)</f>
        <v/>
      </c>
      <c r="W384" s="36">
        <f>W$10*$D384*INDEX(W$18:W$25,$E384)*INDEX(W$27:W$43,$F384)</f>
        <v/>
      </c>
      <c r="X384" s="36">
        <f>X$10*$D384*INDEX(X$18:X$25,$E384)*INDEX(X$27:X$43,$F384)</f>
        <v/>
      </c>
      <c r="Y384" s="36">
        <f>Y$10*$D384*INDEX(Y$18:Y$25,$E384)*INDEX(Y$27:Y$43,$F384)</f>
        <v/>
      </c>
      <c r="Z384" s="23">
        <f>LOWER(Settings!$C$4)&amp;".mit."&amp;$A384&amp;IF($C384="","","."&amp;$C384&amp;"."&amp;$B384)&amp;IF(INDEX(Variables!$D$5:$D$65,MATCH($A384,Variables!$A$5:$A$65,0))="","","."&amp;INDEX(Variables!$D$5:$D$65,MATCH($A384,Variables!$A$5:$A$65,0)))&amp;"."&amp;Z$5</f>
        <v/>
      </c>
      <c r="AA384" s="38">
        <f>AA$10*$D384*INDEX(AA$18:AA$25,$E384)*INDEX(AA$27:AA$43,$F384)</f>
        <v/>
      </c>
      <c r="AB384" s="36">
        <f>AB$10*$D384*INDEX(AB$18:AB$25,$E384)*INDEX(AB$27:AB$43,$F384)</f>
        <v/>
      </c>
      <c r="AC384" s="36">
        <f>AC$10*$D384*INDEX(AC$18:AC$25,$E384)*INDEX(AC$27:AC$43,$F384)</f>
        <v/>
      </c>
      <c r="AD384" s="36">
        <f>AD$10*$D384*INDEX(AD$18:AD$25,$E384)*INDEX(AD$27:AD$43,$F384)</f>
        <v/>
      </c>
      <c r="AE384" s="36">
        <f>AE$10*$D384*INDEX(AE$18:AE$25,$E384)*INDEX(AE$27:AE$43,$F384)</f>
        <v/>
      </c>
      <c r="AF384" s="36">
        <f>AF$10*$D384*INDEX(AF$18:AF$25,$E384)*INDEX(AF$27:AF$43,$F384)</f>
        <v/>
      </c>
      <c r="AG384" s="36">
        <f>AG$10*$D384*INDEX(AG$18:AG$25,$E384)*INDEX(AG$27:AG$43,$F384)</f>
        <v/>
      </c>
      <c r="AH384" s="36">
        <f>AH$10*$D384*INDEX(AH$18:AH$25,$E384)*INDEX(AH$27:AH$43,$F384)</f>
        <v/>
      </c>
      <c r="AI384" s="36">
        <f>AI$10*$D384*INDEX(AI$18:AI$25,$E384)*INDEX(AI$27:AI$43,$F384)</f>
        <v/>
      </c>
      <c r="AJ384" s="36">
        <f>AJ$10*$D384*INDEX(AJ$18:AJ$25,$E384)*INDEX(AJ$27:AJ$43,$F384)</f>
        <v/>
      </c>
      <c r="AK384" s="36">
        <f>AK$10*$D384*INDEX(AK$18:AK$25,$E384)*INDEX(AK$27:AK$43,$F384)</f>
        <v/>
      </c>
      <c r="AL384" s="36">
        <f>AL$10*$D384*INDEX(AL$18:AL$25,$E384)*INDEX(AL$27:AL$43,$F384)</f>
        <v/>
      </c>
      <c r="AM384" s="36">
        <f>AM$10*$D384*INDEX(AM$18:AM$25,$E384)*INDEX(AM$27:AM$43,$F384)</f>
        <v/>
      </c>
      <c r="AN384" s="36">
        <f>AN$10*$D384*INDEX(AN$18:AN$25,$E384)*INDEX(AN$27:AN$43,$F384)</f>
        <v/>
      </c>
    </row>
    <row r="385" hidden="1" outlineLevel="2">
      <c r="A385" s="5" t="inlineStr">
        <is>
          <t>ctxnew</t>
        </is>
      </c>
      <c r="B385" s="5" t="inlineStr">
        <is>
          <t>ker</t>
        </is>
      </c>
      <c r="C385" s="5" t="inlineStr">
        <is>
          <t>nav</t>
        </is>
      </c>
      <c r="D385" s="36">
        <f>INDEX(Inputs!$U$5:$U$132,MATCH($B385&amp;"|"&amp;$C385,Inputs!$A$5:$A$132,0))</f>
        <v/>
      </c>
      <c r="E385" s="36">
        <f>INDEX(Inputs!$J$5:$J$132,MATCH($B385&amp;"|"&amp;$C385,Inputs!$A$5:$A$132,0))</f>
        <v/>
      </c>
      <c r="F385" s="36">
        <f>INDEX(Inputs!$K$5:$K$132,MATCH($B385&amp;"|"&amp;$C385,Inputs!$A$5:$A$132,0))</f>
        <v/>
      </c>
      <c r="G385" s="37" t="n"/>
      <c r="H385" s="5">
        <f>INDEX(Variables!$B$5:$B$65,MATCH($A385,Variables!$A$5:$A$65,0))&amp;IF($C385="",""," | "&amp;INDEX(Mapping!$B$5:$B$25,MATCH($C385,Mapping!$A$5:$A$25,0))&amp;" | "&amp;INDEX(Mapping!$B$29:$B$38,MATCH($B385,Mapping!$A$29:$A$38,0)))</f>
        <v/>
      </c>
      <c r="I385" s="5">
        <f>INDEX(Variables!$C$5:$C$65,MATCH($A385,Variables!$A$5:$A$65,0))</f>
        <v/>
      </c>
      <c r="J385" s="5">
        <f>INDEX(Variables!$E$5:$E$65,MATCH($A385,Variables!$A$5:$A$65,0))</f>
        <v/>
      </c>
      <c r="K385" s="23">
        <f>LOWER(Settings!$C$4)&amp;".mit."&amp;$A385&amp;IF($C385="","","."&amp;$C385&amp;"."&amp;$B385)&amp;IF(INDEX(Variables!$D$5:$D$65,MATCH($A385,Variables!$A$5:$A$65,0))="","","."&amp;INDEX(Variables!$D$5:$D$65,MATCH($A385,Variables!$A$5:$A$65,0)))&amp;"."&amp;K$5</f>
        <v/>
      </c>
      <c r="L385" s="38">
        <f>L$10*$D385*INDEX(L$18:L$25,$E385)*INDEX(L$27:L$43,$F385)</f>
        <v/>
      </c>
      <c r="M385" s="36">
        <f>M$10*$D385*INDEX(M$18:M$25,$E385)*INDEX(M$27:M$43,$F385)</f>
        <v/>
      </c>
      <c r="N385" s="36">
        <f>N$10*$D385*INDEX(N$18:N$25,$E385)*INDEX(N$27:N$43,$F385)</f>
        <v/>
      </c>
      <c r="O385" s="36">
        <f>O$10*$D385*INDEX(O$18:O$25,$E385)*INDEX(O$27:O$43,$F385)</f>
        <v/>
      </c>
      <c r="P385" s="36">
        <f>P$10*$D385*INDEX(P$18:P$25,$E385)*INDEX(P$27:P$43,$F385)</f>
        <v/>
      </c>
      <c r="Q385" s="36">
        <f>Q$10*$D385*INDEX(Q$18:Q$25,$E385)*INDEX(Q$27:Q$43,$F385)</f>
        <v/>
      </c>
      <c r="R385" s="36">
        <f>R$10*$D385*INDEX(R$18:R$25,$E385)*INDEX(R$27:R$43,$F385)</f>
        <v/>
      </c>
      <c r="S385" s="36">
        <f>S$10*$D385*INDEX(S$18:S$25,$E385)*INDEX(S$27:S$43,$F385)</f>
        <v/>
      </c>
      <c r="T385" s="36">
        <f>T$10*$D385*INDEX(T$18:T$25,$E385)*INDEX(T$27:T$43,$F385)</f>
        <v/>
      </c>
      <c r="U385" s="36">
        <f>U$10*$D385*INDEX(U$18:U$25,$E385)*INDEX(U$27:U$43,$F385)</f>
        <v/>
      </c>
      <c r="V385" s="36">
        <f>V$10*$D385*INDEX(V$18:V$25,$E385)*INDEX(V$27:V$43,$F385)</f>
        <v/>
      </c>
      <c r="W385" s="36">
        <f>W$10*$D385*INDEX(W$18:W$25,$E385)*INDEX(W$27:W$43,$F385)</f>
        <v/>
      </c>
      <c r="X385" s="36">
        <f>X$10*$D385*INDEX(X$18:X$25,$E385)*INDEX(X$27:X$43,$F385)</f>
        <v/>
      </c>
      <c r="Y385" s="36">
        <f>Y$10*$D385*INDEX(Y$18:Y$25,$E385)*INDEX(Y$27:Y$43,$F385)</f>
        <v/>
      </c>
      <c r="Z385" s="23">
        <f>LOWER(Settings!$C$4)&amp;".mit."&amp;$A385&amp;IF($C385="","","."&amp;$C385&amp;"."&amp;$B385)&amp;IF(INDEX(Variables!$D$5:$D$65,MATCH($A385,Variables!$A$5:$A$65,0))="","","."&amp;INDEX(Variables!$D$5:$D$65,MATCH($A385,Variables!$A$5:$A$65,0)))&amp;"."&amp;Z$5</f>
        <v/>
      </c>
      <c r="AA385" s="38">
        <f>AA$10*$D385*INDEX(AA$18:AA$25,$E385)*INDEX(AA$27:AA$43,$F385)</f>
        <v/>
      </c>
      <c r="AB385" s="36">
        <f>AB$10*$D385*INDEX(AB$18:AB$25,$E385)*INDEX(AB$27:AB$43,$F385)</f>
        <v/>
      </c>
      <c r="AC385" s="36">
        <f>AC$10*$D385*INDEX(AC$18:AC$25,$E385)*INDEX(AC$27:AC$43,$F385)</f>
        <v/>
      </c>
      <c r="AD385" s="36">
        <f>AD$10*$D385*INDEX(AD$18:AD$25,$E385)*INDEX(AD$27:AD$43,$F385)</f>
        <v/>
      </c>
      <c r="AE385" s="36">
        <f>AE$10*$D385*INDEX(AE$18:AE$25,$E385)*INDEX(AE$27:AE$43,$F385)</f>
        <v/>
      </c>
      <c r="AF385" s="36">
        <f>AF$10*$D385*INDEX(AF$18:AF$25,$E385)*INDEX(AF$27:AF$43,$F385)</f>
        <v/>
      </c>
      <c r="AG385" s="36">
        <f>AG$10*$D385*INDEX(AG$18:AG$25,$E385)*INDEX(AG$27:AG$43,$F385)</f>
        <v/>
      </c>
      <c r="AH385" s="36">
        <f>AH$10*$D385*INDEX(AH$18:AH$25,$E385)*INDEX(AH$27:AH$43,$F385)</f>
        <v/>
      </c>
      <c r="AI385" s="36">
        <f>AI$10*$D385*INDEX(AI$18:AI$25,$E385)*INDEX(AI$27:AI$43,$F385)</f>
        <v/>
      </c>
      <c r="AJ385" s="36">
        <f>AJ$10*$D385*INDEX(AJ$18:AJ$25,$E385)*INDEX(AJ$27:AJ$43,$F385)</f>
        <v/>
      </c>
      <c r="AK385" s="36">
        <f>AK$10*$D385*INDEX(AK$18:AK$25,$E385)*INDEX(AK$27:AK$43,$F385)</f>
        <v/>
      </c>
      <c r="AL385" s="36">
        <f>AL$10*$D385*INDEX(AL$18:AL$25,$E385)*INDEX(AL$27:AL$43,$F385)</f>
        <v/>
      </c>
      <c r="AM385" s="36">
        <f>AM$10*$D385*INDEX(AM$18:AM$25,$E385)*INDEX(AM$27:AM$43,$F385)</f>
        <v/>
      </c>
      <c r="AN385" s="36">
        <f>AN$10*$D385*INDEX(AN$18:AN$25,$E385)*INDEX(AN$27:AN$43,$F385)</f>
        <v/>
      </c>
    </row>
    <row r="386" hidden="1" outlineLevel="2">
      <c r="A386" s="5" t="inlineStr">
        <is>
          <t>ctxnew</t>
        </is>
      </c>
      <c r="B386" s="5" t="inlineStr">
        <is>
          <t>oop</t>
        </is>
      </c>
      <c r="C386" s="5" t="inlineStr">
        <is>
          <t>nav</t>
        </is>
      </c>
      <c r="D386" s="36">
        <f>INDEX(Inputs!$U$5:$U$132,MATCH($B386&amp;"|"&amp;$C386,Inputs!$A$5:$A$132,0))</f>
        <v/>
      </c>
      <c r="E386" s="36">
        <f>INDEX(Inputs!$J$5:$J$132,MATCH($B386&amp;"|"&amp;$C386,Inputs!$A$5:$A$132,0))</f>
        <v/>
      </c>
      <c r="F386" s="36">
        <f>INDEX(Inputs!$K$5:$K$132,MATCH($B386&amp;"|"&amp;$C386,Inputs!$A$5:$A$132,0))</f>
        <v/>
      </c>
      <c r="G386" s="37" t="n"/>
      <c r="H386" s="5">
        <f>INDEX(Variables!$B$5:$B$65,MATCH($A386,Variables!$A$5:$A$65,0))&amp;IF($C386="",""," | "&amp;INDEX(Mapping!$B$5:$B$25,MATCH($C386,Mapping!$A$5:$A$25,0))&amp;" | "&amp;INDEX(Mapping!$B$29:$B$38,MATCH($B386,Mapping!$A$29:$A$38,0)))</f>
        <v/>
      </c>
      <c r="I386" s="5">
        <f>INDEX(Variables!$C$5:$C$65,MATCH($A386,Variables!$A$5:$A$65,0))</f>
        <v/>
      </c>
      <c r="J386" s="5">
        <f>INDEX(Variables!$E$5:$E$65,MATCH($A386,Variables!$A$5:$A$65,0))</f>
        <v/>
      </c>
      <c r="K386" s="23">
        <f>LOWER(Settings!$C$4)&amp;".mit."&amp;$A386&amp;IF($C386="","","."&amp;$C386&amp;"."&amp;$B386)&amp;IF(INDEX(Variables!$D$5:$D$65,MATCH($A386,Variables!$A$5:$A$65,0))="","","."&amp;INDEX(Variables!$D$5:$D$65,MATCH($A386,Variables!$A$5:$A$65,0)))&amp;"."&amp;K$5</f>
        <v/>
      </c>
      <c r="L386" s="38">
        <f>L$10*$D386*INDEX(L$18:L$25,$E386)*INDEX(L$27:L$43,$F386)</f>
        <v/>
      </c>
      <c r="M386" s="36">
        <f>M$10*$D386*INDEX(M$18:M$25,$E386)*INDEX(M$27:M$43,$F386)</f>
        <v/>
      </c>
      <c r="N386" s="36">
        <f>N$10*$D386*INDEX(N$18:N$25,$E386)*INDEX(N$27:N$43,$F386)</f>
        <v/>
      </c>
      <c r="O386" s="36">
        <f>O$10*$D386*INDEX(O$18:O$25,$E386)*INDEX(O$27:O$43,$F386)</f>
        <v/>
      </c>
      <c r="P386" s="36">
        <f>P$10*$D386*INDEX(P$18:P$25,$E386)*INDEX(P$27:P$43,$F386)</f>
        <v/>
      </c>
      <c r="Q386" s="36">
        <f>Q$10*$D386*INDEX(Q$18:Q$25,$E386)*INDEX(Q$27:Q$43,$F386)</f>
        <v/>
      </c>
      <c r="R386" s="36">
        <f>R$10*$D386*INDEX(R$18:R$25,$E386)*INDEX(R$27:R$43,$F386)</f>
        <v/>
      </c>
      <c r="S386" s="36">
        <f>S$10*$D386*INDEX(S$18:S$25,$E386)*INDEX(S$27:S$43,$F386)</f>
        <v/>
      </c>
      <c r="T386" s="36">
        <f>T$10*$D386*INDEX(T$18:T$25,$E386)*INDEX(T$27:T$43,$F386)</f>
        <v/>
      </c>
      <c r="U386" s="36">
        <f>U$10*$D386*INDEX(U$18:U$25,$E386)*INDEX(U$27:U$43,$F386)</f>
        <v/>
      </c>
      <c r="V386" s="36">
        <f>V$10*$D386*INDEX(V$18:V$25,$E386)*INDEX(V$27:V$43,$F386)</f>
        <v/>
      </c>
      <c r="W386" s="36">
        <f>W$10*$D386*INDEX(W$18:W$25,$E386)*INDEX(W$27:W$43,$F386)</f>
        <v/>
      </c>
      <c r="X386" s="36">
        <f>X$10*$D386*INDEX(X$18:X$25,$E386)*INDEX(X$27:X$43,$F386)</f>
        <v/>
      </c>
      <c r="Y386" s="36">
        <f>Y$10*$D386*INDEX(Y$18:Y$25,$E386)*INDEX(Y$27:Y$43,$F386)</f>
        <v/>
      </c>
      <c r="Z386" s="23">
        <f>LOWER(Settings!$C$4)&amp;".mit."&amp;$A386&amp;IF($C386="","","."&amp;$C386&amp;"."&amp;$B386)&amp;IF(INDEX(Variables!$D$5:$D$65,MATCH($A386,Variables!$A$5:$A$65,0))="","","."&amp;INDEX(Variables!$D$5:$D$65,MATCH($A386,Variables!$A$5:$A$65,0)))&amp;"."&amp;Z$5</f>
        <v/>
      </c>
      <c r="AA386" s="38">
        <f>AA$10*$D386*INDEX(AA$18:AA$25,$E386)*INDEX(AA$27:AA$43,$F386)</f>
        <v/>
      </c>
      <c r="AB386" s="36">
        <f>AB$10*$D386*INDEX(AB$18:AB$25,$E386)*INDEX(AB$27:AB$43,$F386)</f>
        <v/>
      </c>
      <c r="AC386" s="36">
        <f>AC$10*$D386*INDEX(AC$18:AC$25,$E386)*INDEX(AC$27:AC$43,$F386)</f>
        <v/>
      </c>
      <c r="AD386" s="36">
        <f>AD$10*$D386*INDEX(AD$18:AD$25,$E386)*INDEX(AD$27:AD$43,$F386)</f>
        <v/>
      </c>
      <c r="AE386" s="36">
        <f>AE$10*$D386*INDEX(AE$18:AE$25,$E386)*INDEX(AE$27:AE$43,$F386)</f>
        <v/>
      </c>
      <c r="AF386" s="36">
        <f>AF$10*$D386*INDEX(AF$18:AF$25,$E386)*INDEX(AF$27:AF$43,$F386)</f>
        <v/>
      </c>
      <c r="AG386" s="36">
        <f>AG$10*$D386*INDEX(AG$18:AG$25,$E386)*INDEX(AG$27:AG$43,$F386)</f>
        <v/>
      </c>
      <c r="AH386" s="36">
        <f>AH$10*$D386*INDEX(AH$18:AH$25,$E386)*INDEX(AH$27:AH$43,$F386)</f>
        <v/>
      </c>
      <c r="AI386" s="36">
        <f>AI$10*$D386*INDEX(AI$18:AI$25,$E386)*INDEX(AI$27:AI$43,$F386)</f>
        <v/>
      </c>
      <c r="AJ386" s="36">
        <f>AJ$10*$D386*INDEX(AJ$18:AJ$25,$E386)*INDEX(AJ$27:AJ$43,$F386)</f>
        <v/>
      </c>
      <c r="AK386" s="36">
        <f>AK$10*$D386*INDEX(AK$18:AK$25,$E386)*INDEX(AK$27:AK$43,$F386)</f>
        <v/>
      </c>
      <c r="AL386" s="36">
        <f>AL$10*$D386*INDEX(AL$18:AL$25,$E386)*INDEX(AL$27:AL$43,$F386)</f>
        <v/>
      </c>
      <c r="AM386" s="36">
        <f>AM$10*$D386*INDEX(AM$18:AM$25,$E386)*INDEX(AM$27:AM$43,$F386)</f>
        <v/>
      </c>
      <c r="AN386" s="36">
        <f>AN$10*$D386*INDEX(AN$18:AN$25,$E386)*INDEX(AN$27:AN$43,$F386)</f>
        <v/>
      </c>
    </row>
    <row r="387" hidden="1" outlineLevel="2">
      <c r="A387" s="5" t="inlineStr">
        <is>
          <t>ctxnew</t>
        </is>
      </c>
      <c r="B387" s="5" t="inlineStr">
        <is>
          <t>bio</t>
        </is>
      </c>
      <c r="C387" s="5" t="inlineStr">
        <is>
          <t>nav</t>
        </is>
      </c>
      <c r="D387" s="36">
        <f>INDEX(Inputs!$U$5:$U$132,MATCH($B387&amp;"|"&amp;$C387,Inputs!$A$5:$A$132,0))</f>
        <v/>
      </c>
      <c r="E387" s="36">
        <f>INDEX(Inputs!$J$5:$J$132,MATCH($B387&amp;"|"&amp;$C387,Inputs!$A$5:$A$132,0))</f>
        <v/>
      </c>
      <c r="F387" s="36">
        <f>INDEX(Inputs!$K$5:$K$132,MATCH($B387&amp;"|"&amp;$C387,Inputs!$A$5:$A$132,0))</f>
        <v/>
      </c>
      <c r="G387" s="37" t="n"/>
      <c r="H387" s="5">
        <f>INDEX(Variables!$B$5:$B$65,MATCH($A387,Variables!$A$5:$A$65,0))&amp;IF($C387="",""," | "&amp;INDEX(Mapping!$B$5:$B$25,MATCH($C387,Mapping!$A$5:$A$25,0))&amp;" | "&amp;INDEX(Mapping!$B$29:$B$38,MATCH($B387,Mapping!$A$29:$A$38,0)))</f>
        <v/>
      </c>
      <c r="I387" s="5">
        <f>INDEX(Variables!$C$5:$C$65,MATCH($A387,Variables!$A$5:$A$65,0))</f>
        <v/>
      </c>
      <c r="J387" s="5">
        <f>INDEX(Variables!$E$5:$E$65,MATCH($A387,Variables!$A$5:$A$65,0))</f>
        <v/>
      </c>
      <c r="K387" s="23">
        <f>LOWER(Settings!$C$4)&amp;".mit."&amp;$A387&amp;IF($C387="","","."&amp;$C387&amp;"."&amp;$B387)&amp;IF(INDEX(Variables!$D$5:$D$65,MATCH($A387,Variables!$A$5:$A$65,0))="","","."&amp;INDEX(Variables!$D$5:$D$65,MATCH($A387,Variables!$A$5:$A$65,0)))&amp;"."&amp;K$5</f>
        <v/>
      </c>
      <c r="L387" s="38">
        <f>L$10*$D387*INDEX(L$18:L$25,$E387)*INDEX(L$27:L$43,$F387)</f>
        <v/>
      </c>
      <c r="M387" s="36">
        <f>M$10*$D387*INDEX(M$18:M$25,$E387)*INDEX(M$27:M$43,$F387)</f>
        <v/>
      </c>
      <c r="N387" s="36">
        <f>N$10*$D387*INDEX(N$18:N$25,$E387)*INDEX(N$27:N$43,$F387)</f>
        <v/>
      </c>
      <c r="O387" s="36">
        <f>O$10*$D387*INDEX(O$18:O$25,$E387)*INDEX(O$27:O$43,$F387)</f>
        <v/>
      </c>
      <c r="P387" s="36">
        <f>P$10*$D387*INDEX(P$18:P$25,$E387)*INDEX(P$27:P$43,$F387)</f>
        <v/>
      </c>
      <c r="Q387" s="36">
        <f>Q$10*$D387*INDEX(Q$18:Q$25,$E387)*INDEX(Q$27:Q$43,$F387)</f>
        <v/>
      </c>
      <c r="R387" s="36">
        <f>R$10*$D387*INDEX(R$18:R$25,$E387)*INDEX(R$27:R$43,$F387)</f>
        <v/>
      </c>
      <c r="S387" s="36">
        <f>S$10*$D387*INDEX(S$18:S$25,$E387)*INDEX(S$27:S$43,$F387)</f>
        <v/>
      </c>
      <c r="T387" s="36">
        <f>T$10*$D387*INDEX(T$18:T$25,$E387)*INDEX(T$27:T$43,$F387)</f>
        <v/>
      </c>
      <c r="U387" s="36">
        <f>U$10*$D387*INDEX(U$18:U$25,$E387)*INDEX(U$27:U$43,$F387)</f>
        <v/>
      </c>
      <c r="V387" s="36">
        <f>V$10*$D387*INDEX(V$18:V$25,$E387)*INDEX(V$27:V$43,$F387)</f>
        <v/>
      </c>
      <c r="W387" s="36">
        <f>W$10*$D387*INDEX(W$18:W$25,$E387)*INDEX(W$27:W$43,$F387)</f>
        <v/>
      </c>
      <c r="X387" s="36">
        <f>X$10*$D387*INDEX(X$18:X$25,$E387)*INDEX(X$27:X$43,$F387)</f>
        <v/>
      </c>
      <c r="Y387" s="36">
        <f>Y$10*$D387*INDEX(Y$18:Y$25,$E387)*INDEX(Y$27:Y$43,$F387)</f>
        <v/>
      </c>
      <c r="Z387" s="23">
        <f>LOWER(Settings!$C$4)&amp;".mit."&amp;$A387&amp;IF($C387="","","."&amp;$C387&amp;"."&amp;$B387)&amp;IF(INDEX(Variables!$D$5:$D$65,MATCH($A387,Variables!$A$5:$A$65,0))="","","."&amp;INDEX(Variables!$D$5:$D$65,MATCH($A387,Variables!$A$5:$A$65,0)))&amp;"."&amp;Z$5</f>
        <v/>
      </c>
      <c r="AA387" s="38">
        <f>AA$10*$D387*INDEX(AA$18:AA$25,$E387)*INDEX(AA$27:AA$43,$F387)</f>
        <v/>
      </c>
      <c r="AB387" s="36">
        <f>AB$10*$D387*INDEX(AB$18:AB$25,$E387)*INDEX(AB$27:AB$43,$F387)</f>
        <v/>
      </c>
      <c r="AC387" s="36">
        <f>AC$10*$D387*INDEX(AC$18:AC$25,$E387)*INDEX(AC$27:AC$43,$F387)</f>
        <v/>
      </c>
      <c r="AD387" s="36">
        <f>AD$10*$D387*INDEX(AD$18:AD$25,$E387)*INDEX(AD$27:AD$43,$F387)</f>
        <v/>
      </c>
      <c r="AE387" s="36">
        <f>AE$10*$D387*INDEX(AE$18:AE$25,$E387)*INDEX(AE$27:AE$43,$F387)</f>
        <v/>
      </c>
      <c r="AF387" s="36">
        <f>AF$10*$D387*INDEX(AF$18:AF$25,$E387)*INDEX(AF$27:AF$43,$F387)</f>
        <v/>
      </c>
      <c r="AG387" s="36">
        <f>AG$10*$D387*INDEX(AG$18:AG$25,$E387)*INDEX(AG$27:AG$43,$F387)</f>
        <v/>
      </c>
      <c r="AH387" s="36">
        <f>AH$10*$D387*INDEX(AH$18:AH$25,$E387)*INDEX(AH$27:AH$43,$F387)</f>
        <v/>
      </c>
      <c r="AI387" s="36">
        <f>AI$10*$D387*INDEX(AI$18:AI$25,$E387)*INDEX(AI$27:AI$43,$F387)</f>
        <v/>
      </c>
      <c r="AJ387" s="36">
        <f>AJ$10*$D387*INDEX(AJ$18:AJ$25,$E387)*INDEX(AJ$27:AJ$43,$F387)</f>
        <v/>
      </c>
      <c r="AK387" s="36">
        <f>AK$10*$D387*INDEX(AK$18:AK$25,$E387)*INDEX(AK$27:AK$43,$F387)</f>
        <v/>
      </c>
      <c r="AL387" s="36">
        <f>AL$10*$D387*INDEX(AL$18:AL$25,$E387)*INDEX(AL$27:AL$43,$F387)</f>
        <v/>
      </c>
      <c r="AM387" s="36">
        <f>AM$10*$D387*INDEX(AM$18:AM$25,$E387)*INDEX(AM$27:AM$43,$F387)</f>
        <v/>
      </c>
      <c r="AN387" s="36">
        <f>AN$10*$D387*INDEX(AN$18:AN$25,$E387)*INDEX(AN$27:AN$43,$F387)</f>
        <v/>
      </c>
    </row>
    <row r="388" hidden="1" outlineLevel="2"/>
    <row r="389" hidden="1" outlineLevel="2">
      <c r="A389" s="5" t="inlineStr">
        <is>
          <t>ntx</t>
        </is>
      </c>
      <c r="B389" s="5" t="inlineStr">
        <is>
          <t>coa</t>
        </is>
      </c>
      <c r="C389" s="5" t="inlineStr">
        <is>
          <t>nav</t>
        </is>
      </c>
      <c r="D389" s="36">
        <f>INDEX(Inputs!$L$5:$L$132,MATCH($B389&amp;"|"&amp;$C389,Inputs!$A$5:$A$132,0))</f>
        <v/>
      </c>
      <c r="E389" s="36">
        <f>INDEX(Inputs!$I$5:$I$132,MATCH($B389&amp;"|"&amp;$C389,Inputs!$A$5:$A$132,0))</f>
        <v/>
      </c>
      <c r="F389" s="37" t="n"/>
      <c r="G389" s="37" t="n"/>
      <c r="H389" s="5">
        <f>INDEX(Variables!$B$5:$B$65,MATCH($A389,Variables!$A$5:$A$65,0))&amp;IF($C389="",""," | "&amp;INDEX(Mapping!$B$5:$B$25,MATCH($C389,Mapping!$A$5:$A$25,0))&amp;" | "&amp;INDEX(Mapping!$B$29:$B$38,MATCH($B389,Mapping!$A$29:$A$38,0)))</f>
        <v/>
      </c>
      <c r="I389" s="5">
        <f>INDEX(Variables!$C$5:$C$65,MATCH($A389,Variables!$A$5:$A$65,0))</f>
        <v/>
      </c>
      <c r="J389" s="5">
        <f>INDEX(Variables!$E$5:$E$65,MATCH($A389,Variables!$A$5:$A$65,0))</f>
        <v/>
      </c>
      <c r="K389" s="23">
        <f>LOWER(Settings!$C$4)&amp;".mit."&amp;$A389&amp;IF($C389="","","."&amp;$C389&amp;"."&amp;$B389)&amp;IF(INDEX(Variables!$D$5:$D$65,MATCH($A389,Variables!$A$5:$A$65,0))="","","."&amp;INDEX(Variables!$D$5:$D$65,MATCH($A389,Variables!$A$5:$A$65,0)))&amp;"."&amp;K$5</f>
        <v/>
      </c>
      <c r="L389" s="38">
        <f>INDEX(L$75:L$88,$D389)/$E389</f>
        <v/>
      </c>
      <c r="M389" s="36">
        <f>INDEX(M$75:M$88,$D389)/$E389</f>
        <v/>
      </c>
      <c r="N389" s="36">
        <f>INDEX(N$75:N$88,$D389)/$E389</f>
        <v/>
      </c>
      <c r="O389" s="36">
        <f>INDEX(O$75:O$88,$D389)/$E389</f>
        <v/>
      </c>
      <c r="P389" s="36">
        <f>INDEX(P$75:P$88,$D389)/$E389</f>
        <v/>
      </c>
      <c r="Q389" s="36">
        <f>INDEX(Q$75:Q$88,$D389)/$E389</f>
        <v/>
      </c>
      <c r="R389" s="36">
        <f>INDEX(R$75:R$88,$D389)/$E389</f>
        <v/>
      </c>
      <c r="S389" s="36">
        <f>INDEX(S$75:S$88,$D389)/$E389</f>
        <v/>
      </c>
      <c r="T389" s="36">
        <f>INDEX(T$75:T$88,$D389)/$E389</f>
        <v/>
      </c>
      <c r="U389" s="36">
        <f>INDEX(U$75:U$88,$D389)/$E389</f>
        <v/>
      </c>
      <c r="V389" s="36">
        <f>INDEX(V$75:V$88,$D389)/$E389</f>
        <v/>
      </c>
      <c r="W389" s="36">
        <f>INDEX(W$75:W$88,$D389)/$E389</f>
        <v/>
      </c>
      <c r="X389" s="36">
        <f>INDEX(X$75:X$88,$D389)/$E389</f>
        <v/>
      </c>
      <c r="Y389" s="36">
        <f>INDEX(Y$75:Y$88,$D389)/$E389</f>
        <v/>
      </c>
      <c r="Z389" s="23">
        <f>LOWER(Settings!$C$4)&amp;".mit."&amp;$A389&amp;IF($C389="","","."&amp;$C389&amp;"."&amp;$B389)&amp;IF(INDEX(Variables!$D$5:$D$65,MATCH($A389,Variables!$A$5:$A$65,0))="","","."&amp;INDEX(Variables!$D$5:$D$65,MATCH($A389,Variables!$A$5:$A$65,0)))&amp;"."&amp;Z$5</f>
        <v/>
      </c>
      <c r="AA389" s="38">
        <f>INDEX(AA$75:AA$88,$D389)/$E389</f>
        <v/>
      </c>
      <c r="AB389" s="36">
        <f>INDEX(AB$75:AB$88,$D389)/$E389</f>
        <v/>
      </c>
      <c r="AC389" s="36">
        <f>INDEX(AC$75:AC$88,$D389)/$E389</f>
        <v/>
      </c>
      <c r="AD389" s="36">
        <f>INDEX(AD$75:AD$88,$D389)/$E389</f>
        <v/>
      </c>
      <c r="AE389" s="36">
        <f>INDEX(AE$75:AE$88,$D389)/$E389</f>
        <v/>
      </c>
      <c r="AF389" s="36">
        <f>INDEX(AF$75:AF$88,$D389)/$E389</f>
        <v/>
      </c>
      <c r="AG389" s="36">
        <f>INDEX(AG$75:AG$88,$D389)/$E389</f>
        <v/>
      </c>
      <c r="AH389" s="36">
        <f>INDEX(AH$75:AH$88,$D389)/$E389</f>
        <v/>
      </c>
      <c r="AI389" s="36">
        <f>INDEX(AI$75:AI$88,$D389)/$E389</f>
        <v/>
      </c>
      <c r="AJ389" s="36">
        <f>INDEX(AJ$75:AJ$88,$D389)/$E389</f>
        <v/>
      </c>
      <c r="AK389" s="36">
        <f>INDEX(AK$75:AK$88,$D389)/$E389</f>
        <v/>
      </c>
      <c r="AL389" s="36">
        <f>INDEX(AL$75:AL$88,$D389)/$E389</f>
        <v/>
      </c>
      <c r="AM389" s="36">
        <f>INDEX(AM$75:AM$88,$D389)/$E389</f>
        <v/>
      </c>
      <c r="AN389" s="36">
        <f>INDEX(AN$75:AN$88,$D389)/$E389</f>
        <v/>
      </c>
    </row>
    <row r="390" hidden="1" outlineLevel="2">
      <c r="A390" s="5" t="inlineStr">
        <is>
          <t>ntx</t>
        </is>
      </c>
      <c r="B390" s="5" t="inlineStr">
        <is>
          <t>nga</t>
        </is>
      </c>
      <c r="C390" s="5" t="inlineStr">
        <is>
          <t>nav</t>
        </is>
      </c>
      <c r="D390" s="36">
        <f>INDEX(Inputs!$L$5:$L$132,MATCH($B390&amp;"|"&amp;$C390,Inputs!$A$5:$A$132,0))</f>
        <v/>
      </c>
      <c r="E390" s="36">
        <f>INDEX(Inputs!$I$5:$I$132,MATCH($B390&amp;"|"&amp;$C390,Inputs!$A$5:$A$132,0))</f>
        <v/>
      </c>
      <c r="F390" s="37" t="n"/>
      <c r="G390" s="37" t="n"/>
      <c r="H390" s="5">
        <f>INDEX(Variables!$B$5:$B$65,MATCH($A390,Variables!$A$5:$A$65,0))&amp;IF($C390="",""," | "&amp;INDEX(Mapping!$B$5:$B$25,MATCH($C390,Mapping!$A$5:$A$25,0))&amp;" | "&amp;INDEX(Mapping!$B$29:$B$38,MATCH($B390,Mapping!$A$29:$A$38,0)))</f>
        <v/>
      </c>
      <c r="I390" s="5">
        <f>INDEX(Variables!$C$5:$C$65,MATCH($A390,Variables!$A$5:$A$65,0))</f>
        <v/>
      </c>
      <c r="J390" s="5">
        <f>INDEX(Variables!$E$5:$E$65,MATCH($A390,Variables!$A$5:$A$65,0))</f>
        <v/>
      </c>
      <c r="K390" s="23">
        <f>LOWER(Settings!$C$4)&amp;".mit."&amp;$A390&amp;IF($C390="","","."&amp;$C390&amp;"."&amp;$B390)&amp;IF(INDEX(Variables!$D$5:$D$65,MATCH($A390,Variables!$A$5:$A$65,0))="","","."&amp;INDEX(Variables!$D$5:$D$65,MATCH($A390,Variables!$A$5:$A$65,0)))&amp;"."&amp;K$5</f>
        <v/>
      </c>
      <c r="L390" s="38">
        <f>INDEX(L$75:L$88,$D390)/$E390</f>
        <v/>
      </c>
      <c r="M390" s="36">
        <f>INDEX(M$75:M$88,$D390)/$E390</f>
        <v/>
      </c>
      <c r="N390" s="36">
        <f>INDEX(N$75:N$88,$D390)/$E390</f>
        <v/>
      </c>
      <c r="O390" s="36">
        <f>INDEX(O$75:O$88,$D390)/$E390</f>
        <v/>
      </c>
      <c r="P390" s="36">
        <f>INDEX(P$75:P$88,$D390)/$E390</f>
        <v/>
      </c>
      <c r="Q390" s="36">
        <f>INDEX(Q$75:Q$88,$D390)/$E390</f>
        <v/>
      </c>
      <c r="R390" s="36">
        <f>INDEX(R$75:R$88,$D390)/$E390</f>
        <v/>
      </c>
      <c r="S390" s="36">
        <f>INDEX(S$75:S$88,$D390)/$E390</f>
        <v/>
      </c>
      <c r="T390" s="36">
        <f>INDEX(T$75:T$88,$D390)/$E390</f>
        <v/>
      </c>
      <c r="U390" s="36">
        <f>INDEX(U$75:U$88,$D390)/$E390</f>
        <v/>
      </c>
      <c r="V390" s="36">
        <f>INDEX(V$75:V$88,$D390)/$E390</f>
        <v/>
      </c>
      <c r="W390" s="36">
        <f>INDEX(W$75:W$88,$D390)/$E390</f>
        <v/>
      </c>
      <c r="X390" s="36">
        <f>INDEX(X$75:X$88,$D390)/$E390</f>
        <v/>
      </c>
      <c r="Y390" s="36">
        <f>INDEX(Y$75:Y$88,$D390)/$E390</f>
        <v/>
      </c>
      <c r="Z390" s="23">
        <f>LOWER(Settings!$C$4)&amp;".mit."&amp;$A390&amp;IF($C390="","","."&amp;$C390&amp;"."&amp;$B390)&amp;IF(INDEX(Variables!$D$5:$D$65,MATCH($A390,Variables!$A$5:$A$65,0))="","","."&amp;INDEX(Variables!$D$5:$D$65,MATCH($A390,Variables!$A$5:$A$65,0)))&amp;"."&amp;Z$5</f>
        <v/>
      </c>
      <c r="AA390" s="38">
        <f>INDEX(AA$75:AA$88,$D390)/$E390</f>
        <v/>
      </c>
      <c r="AB390" s="36">
        <f>INDEX(AB$75:AB$88,$D390)/$E390</f>
        <v/>
      </c>
      <c r="AC390" s="36">
        <f>INDEX(AC$75:AC$88,$D390)/$E390</f>
        <v/>
      </c>
      <c r="AD390" s="36">
        <f>INDEX(AD$75:AD$88,$D390)/$E390</f>
        <v/>
      </c>
      <c r="AE390" s="36">
        <f>INDEX(AE$75:AE$88,$D390)/$E390</f>
        <v/>
      </c>
      <c r="AF390" s="36">
        <f>INDEX(AF$75:AF$88,$D390)/$E390</f>
        <v/>
      </c>
      <c r="AG390" s="36">
        <f>INDEX(AG$75:AG$88,$D390)/$E390</f>
        <v/>
      </c>
      <c r="AH390" s="36">
        <f>INDEX(AH$75:AH$88,$D390)/$E390</f>
        <v/>
      </c>
      <c r="AI390" s="36">
        <f>INDEX(AI$75:AI$88,$D390)/$E390</f>
        <v/>
      </c>
      <c r="AJ390" s="36">
        <f>INDEX(AJ$75:AJ$88,$D390)/$E390</f>
        <v/>
      </c>
      <c r="AK390" s="36">
        <f>INDEX(AK$75:AK$88,$D390)/$E390</f>
        <v/>
      </c>
      <c r="AL390" s="36">
        <f>INDEX(AL$75:AL$88,$D390)/$E390</f>
        <v/>
      </c>
      <c r="AM390" s="36">
        <f>INDEX(AM$75:AM$88,$D390)/$E390</f>
        <v/>
      </c>
      <c r="AN390" s="36">
        <f>INDEX(AN$75:AN$88,$D390)/$E390</f>
        <v/>
      </c>
    </row>
    <row r="391" hidden="1" outlineLevel="2">
      <c r="A391" s="5" t="inlineStr">
        <is>
          <t>ntx</t>
        </is>
      </c>
      <c r="B391" s="5" t="inlineStr">
        <is>
          <t>gso</t>
        </is>
      </c>
      <c r="C391" s="5" t="inlineStr">
        <is>
          <t>nav</t>
        </is>
      </c>
      <c r="D391" s="36">
        <f>INDEX(Inputs!$L$5:$L$132,MATCH($B391&amp;"|"&amp;$C391,Inputs!$A$5:$A$132,0))</f>
        <v/>
      </c>
      <c r="E391" s="36">
        <f>INDEX(Inputs!$I$5:$I$132,MATCH($B391&amp;"|"&amp;$C391,Inputs!$A$5:$A$132,0))</f>
        <v/>
      </c>
      <c r="F391" s="37" t="n"/>
      <c r="G391" s="37" t="n"/>
      <c r="H391" s="5">
        <f>INDEX(Variables!$B$5:$B$65,MATCH($A391,Variables!$A$5:$A$65,0))&amp;IF($C391="",""," | "&amp;INDEX(Mapping!$B$5:$B$25,MATCH($C391,Mapping!$A$5:$A$25,0))&amp;" | "&amp;INDEX(Mapping!$B$29:$B$38,MATCH($B391,Mapping!$A$29:$A$38,0)))</f>
        <v/>
      </c>
      <c r="I391" s="5">
        <f>INDEX(Variables!$C$5:$C$65,MATCH($A391,Variables!$A$5:$A$65,0))</f>
        <v/>
      </c>
      <c r="J391" s="5">
        <f>INDEX(Variables!$E$5:$E$65,MATCH($A391,Variables!$A$5:$A$65,0))</f>
        <v/>
      </c>
      <c r="K391" s="23">
        <f>LOWER(Settings!$C$4)&amp;".mit."&amp;$A391&amp;IF($C391="","","."&amp;$C391&amp;"."&amp;$B391)&amp;IF(INDEX(Variables!$D$5:$D$65,MATCH($A391,Variables!$A$5:$A$65,0))="","","."&amp;INDEX(Variables!$D$5:$D$65,MATCH($A391,Variables!$A$5:$A$65,0)))&amp;"."&amp;K$5</f>
        <v/>
      </c>
      <c r="L391" s="38">
        <f>INDEX(L$75:L$88,$D391)/$E391</f>
        <v/>
      </c>
      <c r="M391" s="36">
        <f>INDEX(M$75:M$88,$D391)/$E391</f>
        <v/>
      </c>
      <c r="N391" s="36">
        <f>INDEX(N$75:N$88,$D391)/$E391</f>
        <v/>
      </c>
      <c r="O391" s="36">
        <f>INDEX(O$75:O$88,$D391)/$E391</f>
        <v/>
      </c>
      <c r="P391" s="36">
        <f>INDEX(P$75:P$88,$D391)/$E391</f>
        <v/>
      </c>
      <c r="Q391" s="36">
        <f>INDEX(Q$75:Q$88,$D391)/$E391</f>
        <v/>
      </c>
      <c r="R391" s="36">
        <f>INDEX(R$75:R$88,$D391)/$E391</f>
        <v/>
      </c>
      <c r="S391" s="36">
        <f>INDEX(S$75:S$88,$D391)/$E391</f>
        <v/>
      </c>
      <c r="T391" s="36">
        <f>INDEX(T$75:T$88,$D391)/$E391</f>
        <v/>
      </c>
      <c r="U391" s="36">
        <f>INDEX(U$75:U$88,$D391)/$E391</f>
        <v/>
      </c>
      <c r="V391" s="36">
        <f>INDEX(V$75:V$88,$D391)/$E391</f>
        <v/>
      </c>
      <c r="W391" s="36">
        <f>INDEX(W$75:W$88,$D391)/$E391</f>
        <v/>
      </c>
      <c r="X391" s="36">
        <f>INDEX(X$75:X$88,$D391)/$E391</f>
        <v/>
      </c>
      <c r="Y391" s="36">
        <f>INDEX(Y$75:Y$88,$D391)/$E391</f>
        <v/>
      </c>
      <c r="Z391" s="23">
        <f>LOWER(Settings!$C$4)&amp;".mit."&amp;$A391&amp;IF($C391="","","."&amp;$C391&amp;"."&amp;$B391)&amp;IF(INDEX(Variables!$D$5:$D$65,MATCH($A391,Variables!$A$5:$A$65,0))="","","."&amp;INDEX(Variables!$D$5:$D$65,MATCH($A391,Variables!$A$5:$A$65,0)))&amp;"."&amp;Z$5</f>
        <v/>
      </c>
      <c r="AA391" s="38">
        <f>INDEX(AA$75:AA$88,$D391)/$E391</f>
        <v/>
      </c>
      <c r="AB391" s="36">
        <f>INDEX(AB$75:AB$88,$D391)/$E391</f>
        <v/>
      </c>
      <c r="AC391" s="36">
        <f>INDEX(AC$75:AC$88,$D391)/$E391</f>
        <v/>
      </c>
      <c r="AD391" s="36">
        <f>INDEX(AD$75:AD$88,$D391)/$E391</f>
        <v/>
      </c>
      <c r="AE391" s="36">
        <f>INDEX(AE$75:AE$88,$D391)/$E391</f>
        <v/>
      </c>
      <c r="AF391" s="36">
        <f>INDEX(AF$75:AF$88,$D391)/$E391</f>
        <v/>
      </c>
      <c r="AG391" s="36">
        <f>INDEX(AG$75:AG$88,$D391)/$E391</f>
        <v/>
      </c>
      <c r="AH391" s="36">
        <f>INDEX(AH$75:AH$88,$D391)/$E391</f>
        <v/>
      </c>
      <c r="AI391" s="36">
        <f>INDEX(AI$75:AI$88,$D391)/$E391</f>
        <v/>
      </c>
      <c r="AJ391" s="36">
        <f>INDEX(AJ$75:AJ$88,$D391)/$E391</f>
        <v/>
      </c>
      <c r="AK391" s="36">
        <f>INDEX(AK$75:AK$88,$D391)/$E391</f>
        <v/>
      </c>
      <c r="AL391" s="36">
        <f>INDEX(AL$75:AL$88,$D391)/$E391</f>
        <v/>
      </c>
      <c r="AM391" s="36">
        <f>INDEX(AM$75:AM$88,$D391)/$E391</f>
        <v/>
      </c>
      <c r="AN391" s="36">
        <f>INDEX(AN$75:AN$88,$D391)/$E391</f>
        <v/>
      </c>
    </row>
    <row r="392" hidden="1" outlineLevel="2">
      <c r="A392" s="5" t="inlineStr">
        <is>
          <t>ntx</t>
        </is>
      </c>
      <c r="B392" s="5" t="inlineStr">
        <is>
          <t>die</t>
        </is>
      </c>
      <c r="C392" s="5" t="inlineStr">
        <is>
          <t>nav</t>
        </is>
      </c>
      <c r="D392" s="36">
        <f>INDEX(Inputs!$L$5:$L$132,MATCH($B392&amp;"|"&amp;$C392,Inputs!$A$5:$A$132,0))</f>
        <v/>
      </c>
      <c r="E392" s="36">
        <f>INDEX(Inputs!$I$5:$I$132,MATCH($B392&amp;"|"&amp;$C392,Inputs!$A$5:$A$132,0))</f>
        <v/>
      </c>
      <c r="F392" s="37" t="n"/>
      <c r="G392" s="37" t="n"/>
      <c r="H392" s="5">
        <f>INDEX(Variables!$B$5:$B$65,MATCH($A392,Variables!$A$5:$A$65,0))&amp;IF($C392="",""," | "&amp;INDEX(Mapping!$B$5:$B$25,MATCH($C392,Mapping!$A$5:$A$25,0))&amp;" | "&amp;INDEX(Mapping!$B$29:$B$38,MATCH($B392,Mapping!$A$29:$A$38,0)))</f>
        <v/>
      </c>
      <c r="I392" s="5">
        <f>INDEX(Variables!$C$5:$C$65,MATCH($A392,Variables!$A$5:$A$65,0))</f>
        <v/>
      </c>
      <c r="J392" s="5">
        <f>INDEX(Variables!$E$5:$E$65,MATCH($A392,Variables!$A$5:$A$65,0))</f>
        <v/>
      </c>
      <c r="K392" s="23">
        <f>LOWER(Settings!$C$4)&amp;".mit."&amp;$A392&amp;IF($C392="","","."&amp;$C392&amp;"."&amp;$B392)&amp;IF(INDEX(Variables!$D$5:$D$65,MATCH($A392,Variables!$A$5:$A$65,0))="","","."&amp;INDEX(Variables!$D$5:$D$65,MATCH($A392,Variables!$A$5:$A$65,0)))&amp;"."&amp;K$5</f>
        <v/>
      </c>
      <c r="L392" s="38">
        <f>INDEX(L$75:L$88,$D392)/$E392</f>
        <v/>
      </c>
      <c r="M392" s="36">
        <f>INDEX(M$75:M$88,$D392)/$E392</f>
        <v/>
      </c>
      <c r="N392" s="36">
        <f>INDEX(N$75:N$88,$D392)/$E392</f>
        <v/>
      </c>
      <c r="O392" s="36">
        <f>INDEX(O$75:O$88,$D392)/$E392</f>
        <v/>
      </c>
      <c r="P392" s="36">
        <f>INDEX(P$75:P$88,$D392)/$E392</f>
        <v/>
      </c>
      <c r="Q392" s="36">
        <f>INDEX(Q$75:Q$88,$D392)/$E392</f>
        <v/>
      </c>
      <c r="R392" s="36">
        <f>INDEX(R$75:R$88,$D392)/$E392</f>
        <v/>
      </c>
      <c r="S392" s="36">
        <f>INDEX(S$75:S$88,$D392)/$E392</f>
        <v/>
      </c>
      <c r="T392" s="36">
        <f>INDEX(T$75:T$88,$D392)/$E392</f>
        <v/>
      </c>
      <c r="U392" s="36">
        <f>INDEX(U$75:U$88,$D392)/$E392</f>
        <v/>
      </c>
      <c r="V392" s="36">
        <f>INDEX(V$75:V$88,$D392)/$E392</f>
        <v/>
      </c>
      <c r="W392" s="36">
        <f>INDEX(W$75:W$88,$D392)/$E392</f>
        <v/>
      </c>
      <c r="X392" s="36">
        <f>INDEX(X$75:X$88,$D392)/$E392</f>
        <v/>
      </c>
      <c r="Y392" s="36">
        <f>INDEX(Y$75:Y$88,$D392)/$E392</f>
        <v/>
      </c>
      <c r="Z392" s="23">
        <f>LOWER(Settings!$C$4)&amp;".mit."&amp;$A392&amp;IF($C392="","","."&amp;$C392&amp;"."&amp;$B392)&amp;IF(INDEX(Variables!$D$5:$D$65,MATCH($A392,Variables!$A$5:$A$65,0))="","","."&amp;INDEX(Variables!$D$5:$D$65,MATCH($A392,Variables!$A$5:$A$65,0)))&amp;"."&amp;Z$5</f>
        <v/>
      </c>
      <c r="AA392" s="38">
        <f>INDEX(AA$75:AA$88,$D392)/$E392</f>
        <v/>
      </c>
      <c r="AB392" s="36">
        <f>INDEX(AB$75:AB$88,$D392)/$E392</f>
        <v/>
      </c>
      <c r="AC392" s="36">
        <f>INDEX(AC$75:AC$88,$D392)/$E392</f>
        <v/>
      </c>
      <c r="AD392" s="36">
        <f>INDEX(AD$75:AD$88,$D392)/$E392</f>
        <v/>
      </c>
      <c r="AE392" s="36">
        <f>INDEX(AE$75:AE$88,$D392)/$E392</f>
        <v/>
      </c>
      <c r="AF392" s="36">
        <f>INDEX(AF$75:AF$88,$D392)/$E392</f>
        <v/>
      </c>
      <c r="AG392" s="36">
        <f>INDEX(AG$75:AG$88,$D392)/$E392</f>
        <v/>
      </c>
      <c r="AH392" s="36">
        <f>INDEX(AH$75:AH$88,$D392)/$E392</f>
        <v/>
      </c>
      <c r="AI392" s="36">
        <f>INDEX(AI$75:AI$88,$D392)/$E392</f>
        <v/>
      </c>
      <c r="AJ392" s="36">
        <f>INDEX(AJ$75:AJ$88,$D392)/$E392</f>
        <v/>
      </c>
      <c r="AK392" s="36">
        <f>INDEX(AK$75:AK$88,$D392)/$E392</f>
        <v/>
      </c>
      <c r="AL392" s="36">
        <f>INDEX(AL$75:AL$88,$D392)/$E392</f>
        <v/>
      </c>
      <c r="AM392" s="36">
        <f>INDEX(AM$75:AM$88,$D392)/$E392</f>
        <v/>
      </c>
      <c r="AN392" s="36">
        <f>INDEX(AN$75:AN$88,$D392)/$E392</f>
        <v/>
      </c>
    </row>
    <row r="393" hidden="1" outlineLevel="2">
      <c r="A393" s="5" t="inlineStr">
        <is>
          <t>ntx</t>
        </is>
      </c>
      <c r="B393" s="5" t="inlineStr">
        <is>
          <t>lpg</t>
        </is>
      </c>
      <c r="C393" s="5" t="inlineStr">
        <is>
          <t>nav</t>
        </is>
      </c>
      <c r="D393" s="36">
        <f>INDEX(Inputs!$L$5:$L$132,MATCH($B393&amp;"|"&amp;$C393,Inputs!$A$5:$A$132,0))</f>
        <v/>
      </c>
      <c r="E393" s="36">
        <f>INDEX(Inputs!$I$5:$I$132,MATCH($B393&amp;"|"&amp;$C393,Inputs!$A$5:$A$132,0))</f>
        <v/>
      </c>
      <c r="F393" s="37" t="n"/>
      <c r="G393" s="37" t="n"/>
      <c r="H393" s="5">
        <f>INDEX(Variables!$B$5:$B$65,MATCH($A393,Variables!$A$5:$A$65,0))&amp;IF($C393="",""," | "&amp;INDEX(Mapping!$B$5:$B$25,MATCH($C393,Mapping!$A$5:$A$25,0))&amp;" | "&amp;INDEX(Mapping!$B$29:$B$38,MATCH($B393,Mapping!$A$29:$A$38,0)))</f>
        <v/>
      </c>
      <c r="I393" s="5">
        <f>INDEX(Variables!$C$5:$C$65,MATCH($A393,Variables!$A$5:$A$65,0))</f>
        <v/>
      </c>
      <c r="J393" s="5">
        <f>INDEX(Variables!$E$5:$E$65,MATCH($A393,Variables!$A$5:$A$65,0))</f>
        <v/>
      </c>
      <c r="K393" s="23">
        <f>LOWER(Settings!$C$4)&amp;".mit."&amp;$A393&amp;IF($C393="","","."&amp;$C393&amp;"."&amp;$B393)&amp;IF(INDEX(Variables!$D$5:$D$65,MATCH($A393,Variables!$A$5:$A$65,0))="","","."&amp;INDEX(Variables!$D$5:$D$65,MATCH($A393,Variables!$A$5:$A$65,0)))&amp;"."&amp;K$5</f>
        <v/>
      </c>
      <c r="L393" s="38">
        <f>INDEX(L$75:L$88,$D393)/$E393</f>
        <v/>
      </c>
      <c r="M393" s="36">
        <f>INDEX(M$75:M$88,$D393)/$E393</f>
        <v/>
      </c>
      <c r="N393" s="36">
        <f>INDEX(N$75:N$88,$D393)/$E393</f>
        <v/>
      </c>
      <c r="O393" s="36">
        <f>INDEX(O$75:O$88,$D393)/$E393</f>
        <v/>
      </c>
      <c r="P393" s="36">
        <f>INDEX(P$75:P$88,$D393)/$E393</f>
        <v/>
      </c>
      <c r="Q393" s="36">
        <f>INDEX(Q$75:Q$88,$D393)/$E393</f>
        <v/>
      </c>
      <c r="R393" s="36">
        <f>INDEX(R$75:R$88,$D393)/$E393</f>
        <v/>
      </c>
      <c r="S393" s="36">
        <f>INDEX(S$75:S$88,$D393)/$E393</f>
        <v/>
      </c>
      <c r="T393" s="36">
        <f>INDEX(T$75:T$88,$D393)/$E393</f>
        <v/>
      </c>
      <c r="U393" s="36">
        <f>INDEX(U$75:U$88,$D393)/$E393</f>
        <v/>
      </c>
      <c r="V393" s="36">
        <f>INDEX(V$75:V$88,$D393)/$E393</f>
        <v/>
      </c>
      <c r="W393" s="36">
        <f>INDEX(W$75:W$88,$D393)/$E393</f>
        <v/>
      </c>
      <c r="X393" s="36">
        <f>INDEX(X$75:X$88,$D393)/$E393</f>
        <v/>
      </c>
      <c r="Y393" s="36">
        <f>INDEX(Y$75:Y$88,$D393)/$E393</f>
        <v/>
      </c>
      <c r="Z393" s="23">
        <f>LOWER(Settings!$C$4)&amp;".mit."&amp;$A393&amp;IF($C393="","","."&amp;$C393&amp;"."&amp;$B393)&amp;IF(INDEX(Variables!$D$5:$D$65,MATCH($A393,Variables!$A$5:$A$65,0))="","","."&amp;INDEX(Variables!$D$5:$D$65,MATCH($A393,Variables!$A$5:$A$65,0)))&amp;"."&amp;Z$5</f>
        <v/>
      </c>
      <c r="AA393" s="38">
        <f>INDEX(AA$75:AA$88,$D393)/$E393</f>
        <v/>
      </c>
      <c r="AB393" s="36">
        <f>INDEX(AB$75:AB$88,$D393)/$E393</f>
        <v/>
      </c>
      <c r="AC393" s="36">
        <f>INDEX(AC$75:AC$88,$D393)/$E393</f>
        <v/>
      </c>
      <c r="AD393" s="36">
        <f>INDEX(AD$75:AD$88,$D393)/$E393</f>
        <v/>
      </c>
      <c r="AE393" s="36">
        <f>INDEX(AE$75:AE$88,$D393)/$E393</f>
        <v/>
      </c>
      <c r="AF393" s="36">
        <f>INDEX(AF$75:AF$88,$D393)/$E393</f>
        <v/>
      </c>
      <c r="AG393" s="36">
        <f>INDEX(AG$75:AG$88,$D393)/$E393</f>
        <v/>
      </c>
      <c r="AH393" s="36">
        <f>INDEX(AH$75:AH$88,$D393)/$E393</f>
        <v/>
      </c>
      <c r="AI393" s="36">
        <f>INDEX(AI$75:AI$88,$D393)/$E393</f>
        <v/>
      </c>
      <c r="AJ393" s="36">
        <f>INDEX(AJ$75:AJ$88,$D393)/$E393</f>
        <v/>
      </c>
      <c r="AK393" s="36">
        <f>INDEX(AK$75:AK$88,$D393)/$E393</f>
        <v/>
      </c>
      <c r="AL393" s="36">
        <f>INDEX(AL$75:AL$88,$D393)/$E393</f>
        <v/>
      </c>
      <c r="AM393" s="36">
        <f>INDEX(AM$75:AM$88,$D393)/$E393</f>
        <v/>
      </c>
      <c r="AN393" s="36">
        <f>INDEX(AN$75:AN$88,$D393)/$E393</f>
        <v/>
      </c>
    </row>
    <row r="394" hidden="1" outlineLevel="2">
      <c r="A394" s="5" t="inlineStr">
        <is>
          <t>ntx</t>
        </is>
      </c>
      <c r="B394" s="5" t="inlineStr">
        <is>
          <t>ker</t>
        </is>
      </c>
      <c r="C394" s="5" t="inlineStr">
        <is>
          <t>nav</t>
        </is>
      </c>
      <c r="D394" s="36">
        <f>INDEX(Inputs!$L$5:$L$132,MATCH($B394&amp;"|"&amp;$C394,Inputs!$A$5:$A$132,0))</f>
        <v/>
      </c>
      <c r="E394" s="36">
        <f>INDEX(Inputs!$I$5:$I$132,MATCH($B394&amp;"|"&amp;$C394,Inputs!$A$5:$A$132,0))</f>
        <v/>
      </c>
      <c r="F394" s="37" t="n"/>
      <c r="G394" s="37" t="n"/>
      <c r="H394" s="5">
        <f>INDEX(Variables!$B$5:$B$65,MATCH($A394,Variables!$A$5:$A$65,0))&amp;IF($C394="",""," | "&amp;INDEX(Mapping!$B$5:$B$25,MATCH($C394,Mapping!$A$5:$A$25,0))&amp;" | "&amp;INDEX(Mapping!$B$29:$B$38,MATCH($B394,Mapping!$A$29:$A$38,0)))</f>
        <v/>
      </c>
      <c r="I394" s="5">
        <f>INDEX(Variables!$C$5:$C$65,MATCH($A394,Variables!$A$5:$A$65,0))</f>
        <v/>
      </c>
      <c r="J394" s="5">
        <f>INDEX(Variables!$E$5:$E$65,MATCH($A394,Variables!$A$5:$A$65,0))</f>
        <v/>
      </c>
      <c r="K394" s="23">
        <f>LOWER(Settings!$C$4)&amp;".mit."&amp;$A394&amp;IF($C394="","","."&amp;$C394&amp;"."&amp;$B394)&amp;IF(INDEX(Variables!$D$5:$D$65,MATCH($A394,Variables!$A$5:$A$65,0))="","","."&amp;INDEX(Variables!$D$5:$D$65,MATCH($A394,Variables!$A$5:$A$65,0)))&amp;"."&amp;K$5</f>
        <v/>
      </c>
      <c r="L394" s="38">
        <f>INDEX(L$75:L$88,$D394)/$E394</f>
        <v/>
      </c>
      <c r="M394" s="36">
        <f>INDEX(M$75:M$88,$D394)/$E394</f>
        <v/>
      </c>
      <c r="N394" s="36">
        <f>INDEX(N$75:N$88,$D394)/$E394</f>
        <v/>
      </c>
      <c r="O394" s="36">
        <f>INDEX(O$75:O$88,$D394)/$E394</f>
        <v/>
      </c>
      <c r="P394" s="36">
        <f>INDEX(P$75:P$88,$D394)/$E394</f>
        <v/>
      </c>
      <c r="Q394" s="36">
        <f>INDEX(Q$75:Q$88,$D394)/$E394</f>
        <v/>
      </c>
      <c r="R394" s="36">
        <f>INDEX(R$75:R$88,$D394)/$E394</f>
        <v/>
      </c>
      <c r="S394" s="36">
        <f>INDEX(S$75:S$88,$D394)/$E394</f>
        <v/>
      </c>
      <c r="T394" s="36">
        <f>INDEX(T$75:T$88,$D394)/$E394</f>
        <v/>
      </c>
      <c r="U394" s="36">
        <f>INDEX(U$75:U$88,$D394)/$E394</f>
        <v/>
      </c>
      <c r="V394" s="36">
        <f>INDEX(V$75:V$88,$D394)/$E394</f>
        <v/>
      </c>
      <c r="W394" s="36">
        <f>INDEX(W$75:W$88,$D394)/$E394</f>
        <v/>
      </c>
      <c r="X394" s="36">
        <f>INDEX(X$75:X$88,$D394)/$E394</f>
        <v/>
      </c>
      <c r="Y394" s="36">
        <f>INDEX(Y$75:Y$88,$D394)/$E394</f>
        <v/>
      </c>
      <c r="Z394" s="23">
        <f>LOWER(Settings!$C$4)&amp;".mit."&amp;$A394&amp;IF($C394="","","."&amp;$C394&amp;"."&amp;$B394)&amp;IF(INDEX(Variables!$D$5:$D$65,MATCH($A394,Variables!$A$5:$A$65,0))="","","."&amp;INDEX(Variables!$D$5:$D$65,MATCH($A394,Variables!$A$5:$A$65,0)))&amp;"."&amp;Z$5</f>
        <v/>
      </c>
      <c r="AA394" s="38">
        <f>INDEX(AA$75:AA$88,$D394)/$E394</f>
        <v/>
      </c>
      <c r="AB394" s="36">
        <f>INDEX(AB$75:AB$88,$D394)/$E394</f>
        <v/>
      </c>
      <c r="AC394" s="36">
        <f>INDEX(AC$75:AC$88,$D394)/$E394</f>
        <v/>
      </c>
      <c r="AD394" s="36">
        <f>INDEX(AD$75:AD$88,$D394)/$E394</f>
        <v/>
      </c>
      <c r="AE394" s="36">
        <f>INDEX(AE$75:AE$88,$D394)/$E394</f>
        <v/>
      </c>
      <c r="AF394" s="36">
        <f>INDEX(AF$75:AF$88,$D394)/$E394</f>
        <v/>
      </c>
      <c r="AG394" s="36">
        <f>INDEX(AG$75:AG$88,$D394)/$E394</f>
        <v/>
      </c>
      <c r="AH394" s="36">
        <f>INDEX(AH$75:AH$88,$D394)/$E394</f>
        <v/>
      </c>
      <c r="AI394" s="36">
        <f>INDEX(AI$75:AI$88,$D394)/$E394</f>
        <v/>
      </c>
      <c r="AJ394" s="36">
        <f>INDEX(AJ$75:AJ$88,$D394)/$E394</f>
        <v/>
      </c>
      <c r="AK394" s="36">
        <f>INDEX(AK$75:AK$88,$D394)/$E394</f>
        <v/>
      </c>
      <c r="AL394" s="36">
        <f>INDEX(AL$75:AL$88,$D394)/$E394</f>
        <v/>
      </c>
      <c r="AM394" s="36">
        <f>INDEX(AM$75:AM$88,$D394)/$E394</f>
        <v/>
      </c>
      <c r="AN394" s="36">
        <f>INDEX(AN$75:AN$88,$D394)/$E394</f>
        <v/>
      </c>
    </row>
    <row r="395" hidden="1" outlineLevel="2">
      <c r="A395" s="5" t="inlineStr">
        <is>
          <t>ntx</t>
        </is>
      </c>
      <c r="B395" s="5" t="inlineStr">
        <is>
          <t>oop</t>
        </is>
      </c>
      <c r="C395" s="5" t="inlineStr">
        <is>
          <t>nav</t>
        </is>
      </c>
      <c r="D395" s="36">
        <f>INDEX(Inputs!$L$5:$L$132,MATCH($B395&amp;"|"&amp;$C395,Inputs!$A$5:$A$132,0))</f>
        <v/>
      </c>
      <c r="E395" s="36">
        <f>INDEX(Inputs!$I$5:$I$132,MATCH($B395&amp;"|"&amp;$C395,Inputs!$A$5:$A$132,0))</f>
        <v/>
      </c>
      <c r="F395" s="37" t="n"/>
      <c r="G395" s="37" t="n"/>
      <c r="H395" s="5">
        <f>INDEX(Variables!$B$5:$B$65,MATCH($A395,Variables!$A$5:$A$65,0))&amp;IF($C395="",""," | "&amp;INDEX(Mapping!$B$5:$B$25,MATCH($C395,Mapping!$A$5:$A$25,0))&amp;" | "&amp;INDEX(Mapping!$B$29:$B$38,MATCH($B395,Mapping!$A$29:$A$38,0)))</f>
        <v/>
      </c>
      <c r="I395" s="5">
        <f>INDEX(Variables!$C$5:$C$65,MATCH($A395,Variables!$A$5:$A$65,0))</f>
        <v/>
      </c>
      <c r="J395" s="5">
        <f>INDEX(Variables!$E$5:$E$65,MATCH($A395,Variables!$A$5:$A$65,0))</f>
        <v/>
      </c>
      <c r="K395" s="23">
        <f>LOWER(Settings!$C$4)&amp;".mit."&amp;$A395&amp;IF($C395="","","."&amp;$C395&amp;"."&amp;$B395)&amp;IF(INDEX(Variables!$D$5:$D$65,MATCH($A395,Variables!$A$5:$A$65,0))="","","."&amp;INDEX(Variables!$D$5:$D$65,MATCH($A395,Variables!$A$5:$A$65,0)))&amp;"."&amp;K$5</f>
        <v/>
      </c>
      <c r="L395" s="38">
        <f>INDEX(L$75:L$88,$D395)/$E395</f>
        <v/>
      </c>
      <c r="M395" s="36">
        <f>INDEX(M$75:M$88,$D395)/$E395</f>
        <v/>
      </c>
      <c r="N395" s="36">
        <f>INDEX(N$75:N$88,$D395)/$E395</f>
        <v/>
      </c>
      <c r="O395" s="36">
        <f>INDEX(O$75:O$88,$D395)/$E395</f>
        <v/>
      </c>
      <c r="P395" s="36">
        <f>INDEX(P$75:P$88,$D395)/$E395</f>
        <v/>
      </c>
      <c r="Q395" s="36">
        <f>INDEX(Q$75:Q$88,$D395)/$E395</f>
        <v/>
      </c>
      <c r="R395" s="36">
        <f>INDEX(R$75:R$88,$D395)/$E395</f>
        <v/>
      </c>
      <c r="S395" s="36">
        <f>INDEX(S$75:S$88,$D395)/$E395</f>
        <v/>
      </c>
      <c r="T395" s="36">
        <f>INDEX(T$75:T$88,$D395)/$E395</f>
        <v/>
      </c>
      <c r="U395" s="36">
        <f>INDEX(U$75:U$88,$D395)/$E395</f>
        <v/>
      </c>
      <c r="V395" s="36">
        <f>INDEX(V$75:V$88,$D395)/$E395</f>
        <v/>
      </c>
      <c r="W395" s="36">
        <f>INDEX(W$75:W$88,$D395)/$E395</f>
        <v/>
      </c>
      <c r="X395" s="36">
        <f>INDEX(X$75:X$88,$D395)/$E395</f>
        <v/>
      </c>
      <c r="Y395" s="36">
        <f>INDEX(Y$75:Y$88,$D395)/$E395</f>
        <v/>
      </c>
      <c r="Z395" s="23">
        <f>LOWER(Settings!$C$4)&amp;".mit."&amp;$A395&amp;IF($C395="","","."&amp;$C395&amp;"."&amp;$B395)&amp;IF(INDEX(Variables!$D$5:$D$65,MATCH($A395,Variables!$A$5:$A$65,0))="","","."&amp;INDEX(Variables!$D$5:$D$65,MATCH($A395,Variables!$A$5:$A$65,0)))&amp;"."&amp;Z$5</f>
        <v/>
      </c>
      <c r="AA395" s="38">
        <f>INDEX(AA$75:AA$88,$D395)/$E395</f>
        <v/>
      </c>
      <c r="AB395" s="36">
        <f>INDEX(AB$75:AB$88,$D395)/$E395</f>
        <v/>
      </c>
      <c r="AC395" s="36">
        <f>INDEX(AC$75:AC$88,$D395)/$E395</f>
        <v/>
      </c>
      <c r="AD395" s="36">
        <f>INDEX(AD$75:AD$88,$D395)/$E395</f>
        <v/>
      </c>
      <c r="AE395" s="36">
        <f>INDEX(AE$75:AE$88,$D395)/$E395</f>
        <v/>
      </c>
      <c r="AF395" s="36">
        <f>INDEX(AF$75:AF$88,$D395)/$E395</f>
        <v/>
      </c>
      <c r="AG395" s="36">
        <f>INDEX(AG$75:AG$88,$D395)/$E395</f>
        <v/>
      </c>
      <c r="AH395" s="36">
        <f>INDEX(AH$75:AH$88,$D395)/$E395</f>
        <v/>
      </c>
      <c r="AI395" s="36">
        <f>INDEX(AI$75:AI$88,$D395)/$E395</f>
        <v/>
      </c>
      <c r="AJ395" s="36">
        <f>INDEX(AJ$75:AJ$88,$D395)/$E395</f>
        <v/>
      </c>
      <c r="AK395" s="36">
        <f>INDEX(AK$75:AK$88,$D395)/$E395</f>
        <v/>
      </c>
      <c r="AL395" s="36">
        <f>INDEX(AL$75:AL$88,$D395)/$E395</f>
        <v/>
      </c>
      <c r="AM395" s="36">
        <f>INDEX(AM$75:AM$88,$D395)/$E395</f>
        <v/>
      </c>
      <c r="AN395" s="36">
        <f>INDEX(AN$75:AN$88,$D395)/$E395</f>
        <v/>
      </c>
    </row>
    <row r="396" hidden="1" outlineLevel="2">
      <c r="A396" s="5" t="inlineStr">
        <is>
          <t>ntx</t>
        </is>
      </c>
      <c r="B396" s="5" t="inlineStr">
        <is>
          <t>bio</t>
        </is>
      </c>
      <c r="C396" s="5" t="inlineStr">
        <is>
          <t>nav</t>
        </is>
      </c>
      <c r="D396" s="36">
        <f>INDEX(Inputs!$L$5:$L$132,MATCH($B396&amp;"|"&amp;$C396,Inputs!$A$5:$A$132,0))</f>
        <v/>
      </c>
      <c r="E396" s="36">
        <f>INDEX(Inputs!$I$5:$I$132,MATCH($B396&amp;"|"&amp;$C396,Inputs!$A$5:$A$132,0))</f>
        <v/>
      </c>
      <c r="F396" s="37" t="n"/>
      <c r="G396" s="37" t="n"/>
      <c r="H396" s="5">
        <f>INDEX(Variables!$B$5:$B$65,MATCH($A396,Variables!$A$5:$A$65,0))&amp;IF($C396="",""," | "&amp;INDEX(Mapping!$B$5:$B$25,MATCH($C396,Mapping!$A$5:$A$25,0))&amp;" | "&amp;INDEX(Mapping!$B$29:$B$38,MATCH($B396,Mapping!$A$29:$A$38,0)))</f>
        <v/>
      </c>
      <c r="I396" s="5">
        <f>INDEX(Variables!$C$5:$C$65,MATCH($A396,Variables!$A$5:$A$65,0))</f>
        <v/>
      </c>
      <c r="J396" s="5">
        <f>INDEX(Variables!$E$5:$E$65,MATCH($A396,Variables!$A$5:$A$65,0))</f>
        <v/>
      </c>
      <c r="K396" s="23">
        <f>LOWER(Settings!$C$4)&amp;".mit."&amp;$A396&amp;IF($C396="","","."&amp;$C396&amp;"."&amp;$B396)&amp;IF(INDEX(Variables!$D$5:$D$65,MATCH($A396,Variables!$A$5:$A$65,0))="","","."&amp;INDEX(Variables!$D$5:$D$65,MATCH($A396,Variables!$A$5:$A$65,0)))&amp;"."&amp;K$5</f>
        <v/>
      </c>
      <c r="L396" s="38">
        <f>INDEX(L$75:L$88,$D396)/$E396</f>
        <v/>
      </c>
      <c r="M396" s="36">
        <f>INDEX(M$75:M$88,$D396)/$E396</f>
        <v/>
      </c>
      <c r="N396" s="36">
        <f>INDEX(N$75:N$88,$D396)/$E396</f>
        <v/>
      </c>
      <c r="O396" s="36">
        <f>INDEX(O$75:O$88,$D396)/$E396</f>
        <v/>
      </c>
      <c r="P396" s="36">
        <f>INDEX(P$75:P$88,$D396)/$E396</f>
        <v/>
      </c>
      <c r="Q396" s="36">
        <f>INDEX(Q$75:Q$88,$D396)/$E396</f>
        <v/>
      </c>
      <c r="R396" s="36">
        <f>INDEX(R$75:R$88,$D396)/$E396</f>
        <v/>
      </c>
      <c r="S396" s="36">
        <f>INDEX(S$75:S$88,$D396)/$E396</f>
        <v/>
      </c>
      <c r="T396" s="36">
        <f>INDEX(T$75:T$88,$D396)/$E396</f>
        <v/>
      </c>
      <c r="U396" s="36">
        <f>INDEX(U$75:U$88,$D396)/$E396</f>
        <v/>
      </c>
      <c r="V396" s="36">
        <f>INDEX(V$75:V$88,$D396)/$E396</f>
        <v/>
      </c>
      <c r="W396" s="36">
        <f>INDEX(W$75:W$88,$D396)/$E396</f>
        <v/>
      </c>
      <c r="X396" s="36">
        <f>INDEX(X$75:X$88,$D396)/$E396</f>
        <v/>
      </c>
      <c r="Y396" s="36">
        <f>INDEX(Y$75:Y$88,$D396)/$E396</f>
        <v/>
      </c>
      <c r="Z396" s="23">
        <f>LOWER(Settings!$C$4)&amp;".mit."&amp;$A396&amp;IF($C396="","","."&amp;$C396&amp;"."&amp;$B396)&amp;IF(INDEX(Variables!$D$5:$D$65,MATCH($A396,Variables!$A$5:$A$65,0))="","","."&amp;INDEX(Variables!$D$5:$D$65,MATCH($A396,Variables!$A$5:$A$65,0)))&amp;"."&amp;Z$5</f>
        <v/>
      </c>
      <c r="AA396" s="38">
        <f>INDEX(AA$75:AA$88,$D396)/$E396</f>
        <v/>
      </c>
      <c r="AB396" s="36">
        <f>INDEX(AB$75:AB$88,$D396)/$E396</f>
        <v/>
      </c>
      <c r="AC396" s="36">
        <f>INDEX(AC$75:AC$88,$D396)/$E396</f>
        <v/>
      </c>
      <c r="AD396" s="36">
        <f>INDEX(AD$75:AD$88,$D396)/$E396</f>
        <v/>
      </c>
      <c r="AE396" s="36">
        <f>INDEX(AE$75:AE$88,$D396)/$E396</f>
        <v/>
      </c>
      <c r="AF396" s="36">
        <f>INDEX(AF$75:AF$88,$D396)/$E396</f>
        <v/>
      </c>
      <c r="AG396" s="36">
        <f>INDEX(AG$75:AG$88,$D396)/$E396</f>
        <v/>
      </c>
      <c r="AH396" s="36">
        <f>INDEX(AH$75:AH$88,$D396)/$E396</f>
        <v/>
      </c>
      <c r="AI396" s="36">
        <f>INDEX(AI$75:AI$88,$D396)/$E396</f>
        <v/>
      </c>
      <c r="AJ396" s="36">
        <f>INDEX(AJ$75:AJ$88,$D396)/$E396</f>
        <v/>
      </c>
      <c r="AK396" s="36">
        <f>INDEX(AK$75:AK$88,$D396)/$E396</f>
        <v/>
      </c>
      <c r="AL396" s="36">
        <f>INDEX(AL$75:AL$88,$D396)/$E396</f>
        <v/>
      </c>
      <c r="AM396" s="36">
        <f>INDEX(AM$75:AM$88,$D396)/$E396</f>
        <v/>
      </c>
      <c r="AN396" s="36">
        <f>INDEX(AN$75:AN$88,$D396)/$E396</f>
        <v/>
      </c>
    </row>
    <row r="397" hidden="1" outlineLevel="2"/>
    <row r="398" hidden="1" outlineLevel="2">
      <c r="A398" s="5" t="inlineStr">
        <is>
          <t>nce</t>
        </is>
      </c>
      <c r="B398" s="5" t="inlineStr">
        <is>
          <t>coa</t>
        </is>
      </c>
      <c r="C398" s="5" t="inlineStr">
        <is>
          <t>nav</t>
        </is>
      </c>
      <c r="D398" s="37" t="n"/>
      <c r="E398" s="37" t="n"/>
      <c r="F398" s="37" t="n"/>
      <c r="G398" s="37" t="n"/>
      <c r="H398" s="5">
        <f>INDEX(Variables!$B$5:$B$65,MATCH($A398,Variables!$A$5:$A$65,0))&amp;IF($C398="",""," | "&amp;INDEX(Mapping!$B$5:$B$25,MATCH($C398,Mapping!$A$5:$A$25,0))&amp;" | "&amp;INDEX(Mapping!$B$29:$B$38,MATCH($B398,Mapping!$A$29:$A$38,0)))</f>
        <v/>
      </c>
      <c r="I398" s="5">
        <f>INDEX(Variables!$C$5:$C$65,MATCH($A398,Variables!$A$5:$A$65,0))</f>
        <v/>
      </c>
      <c r="J398" s="5">
        <f>INDEX(Variables!$E$5:$E$65,MATCH($A398,Variables!$A$5:$A$65,0))</f>
        <v/>
      </c>
      <c r="K398" s="23">
        <f>LOWER(Settings!$C$4)&amp;".mit."&amp;$A398&amp;IF($C398="","","."&amp;$C398&amp;"."&amp;$B398)&amp;IF(INDEX(Variables!$D$5:$D$65,MATCH($A398,Variables!$A$5:$A$65,0))="","","."&amp;INDEX(Variables!$D$5:$D$65,MATCH($A398,Variables!$A$5:$A$65,0)))&amp;"."&amp;K$5</f>
        <v/>
      </c>
      <c r="L398" s="38">
        <f>L380+L389</f>
        <v/>
      </c>
      <c r="M398" s="36">
        <f>M380+M389</f>
        <v/>
      </c>
      <c r="N398" s="36">
        <f>N380+N389</f>
        <v/>
      </c>
      <c r="O398" s="36">
        <f>O380+O389</f>
        <v/>
      </c>
      <c r="P398" s="36">
        <f>P380+P389</f>
        <v/>
      </c>
      <c r="Q398" s="36">
        <f>Q380+Q389</f>
        <v/>
      </c>
      <c r="R398" s="36">
        <f>R380+R389</f>
        <v/>
      </c>
      <c r="S398" s="36">
        <f>S380+S389</f>
        <v/>
      </c>
      <c r="T398" s="36">
        <f>T380+T389</f>
        <v/>
      </c>
      <c r="U398" s="36">
        <f>U380+U389</f>
        <v/>
      </c>
      <c r="V398" s="36">
        <f>V380+V389</f>
        <v/>
      </c>
      <c r="W398" s="36">
        <f>W380+W389</f>
        <v/>
      </c>
      <c r="X398" s="36">
        <f>X380+X389</f>
        <v/>
      </c>
      <c r="Y398" s="36">
        <f>Y380+Y389</f>
        <v/>
      </c>
      <c r="Z398" s="23">
        <f>LOWER(Settings!$C$4)&amp;".mit."&amp;$A398&amp;IF($C398="","","."&amp;$C398&amp;"."&amp;$B398)&amp;IF(INDEX(Variables!$D$5:$D$65,MATCH($A398,Variables!$A$5:$A$65,0))="","","."&amp;INDEX(Variables!$D$5:$D$65,MATCH($A398,Variables!$A$5:$A$65,0)))&amp;"."&amp;Z$5</f>
        <v/>
      </c>
      <c r="AA398" s="38">
        <f>AA380+AA389</f>
        <v/>
      </c>
      <c r="AB398" s="36">
        <f>AB380+AB389</f>
        <v/>
      </c>
      <c r="AC398" s="36">
        <f>AC380+AC389</f>
        <v/>
      </c>
      <c r="AD398" s="36">
        <f>AD380+AD389</f>
        <v/>
      </c>
      <c r="AE398" s="36">
        <f>AE380+AE389</f>
        <v/>
      </c>
      <c r="AF398" s="36">
        <f>AF380+AF389</f>
        <v/>
      </c>
      <c r="AG398" s="36">
        <f>AG380+AG389</f>
        <v/>
      </c>
      <c r="AH398" s="36">
        <f>AH380+AH389</f>
        <v/>
      </c>
      <c r="AI398" s="36">
        <f>AI380+AI389</f>
        <v/>
      </c>
      <c r="AJ398" s="36">
        <f>AJ380+AJ389</f>
        <v/>
      </c>
      <c r="AK398" s="36">
        <f>AK380+AK389</f>
        <v/>
      </c>
      <c r="AL398" s="36">
        <f>AL380+AL389</f>
        <v/>
      </c>
      <c r="AM398" s="36">
        <f>AM380+AM389</f>
        <v/>
      </c>
      <c r="AN398" s="36">
        <f>AN380+AN389</f>
        <v/>
      </c>
    </row>
    <row r="399" hidden="1" outlineLevel="2">
      <c r="A399" s="5" t="inlineStr">
        <is>
          <t>nce</t>
        </is>
      </c>
      <c r="B399" s="5" t="inlineStr">
        <is>
          <t>nga</t>
        </is>
      </c>
      <c r="C399" s="5" t="inlineStr">
        <is>
          <t>nav</t>
        </is>
      </c>
      <c r="D399" s="37" t="n"/>
      <c r="E399" s="37" t="n"/>
      <c r="F399" s="37" t="n"/>
      <c r="G399" s="37" t="n"/>
      <c r="H399" s="5">
        <f>INDEX(Variables!$B$5:$B$65,MATCH($A399,Variables!$A$5:$A$65,0))&amp;IF($C399="",""," | "&amp;INDEX(Mapping!$B$5:$B$25,MATCH($C399,Mapping!$A$5:$A$25,0))&amp;" | "&amp;INDEX(Mapping!$B$29:$B$38,MATCH($B399,Mapping!$A$29:$A$38,0)))</f>
        <v/>
      </c>
      <c r="I399" s="5">
        <f>INDEX(Variables!$C$5:$C$65,MATCH($A399,Variables!$A$5:$A$65,0))</f>
        <v/>
      </c>
      <c r="J399" s="5">
        <f>INDEX(Variables!$E$5:$E$65,MATCH($A399,Variables!$A$5:$A$65,0))</f>
        <v/>
      </c>
      <c r="K399" s="23">
        <f>LOWER(Settings!$C$4)&amp;".mit."&amp;$A399&amp;IF($C399="","","."&amp;$C399&amp;"."&amp;$B399)&amp;IF(INDEX(Variables!$D$5:$D$65,MATCH($A399,Variables!$A$5:$A$65,0))="","","."&amp;INDEX(Variables!$D$5:$D$65,MATCH($A399,Variables!$A$5:$A$65,0)))&amp;"."&amp;K$5</f>
        <v/>
      </c>
      <c r="L399" s="38">
        <f>L381+L390</f>
        <v/>
      </c>
      <c r="M399" s="36">
        <f>M381+M390</f>
        <v/>
      </c>
      <c r="N399" s="36">
        <f>N381+N390</f>
        <v/>
      </c>
      <c r="O399" s="36">
        <f>O381+O390</f>
        <v/>
      </c>
      <c r="P399" s="36">
        <f>P381+P390</f>
        <v/>
      </c>
      <c r="Q399" s="36">
        <f>Q381+Q390</f>
        <v/>
      </c>
      <c r="R399" s="36">
        <f>R381+R390</f>
        <v/>
      </c>
      <c r="S399" s="36">
        <f>S381+S390</f>
        <v/>
      </c>
      <c r="T399" s="36">
        <f>T381+T390</f>
        <v/>
      </c>
      <c r="U399" s="36">
        <f>U381+U390</f>
        <v/>
      </c>
      <c r="V399" s="36">
        <f>V381+V390</f>
        <v/>
      </c>
      <c r="W399" s="36">
        <f>W381+W390</f>
        <v/>
      </c>
      <c r="X399" s="36">
        <f>X381+X390</f>
        <v/>
      </c>
      <c r="Y399" s="36">
        <f>Y381+Y390</f>
        <v/>
      </c>
      <c r="Z399" s="23">
        <f>LOWER(Settings!$C$4)&amp;".mit."&amp;$A399&amp;IF($C399="","","."&amp;$C399&amp;"."&amp;$B399)&amp;IF(INDEX(Variables!$D$5:$D$65,MATCH($A399,Variables!$A$5:$A$65,0))="","","."&amp;INDEX(Variables!$D$5:$D$65,MATCH($A399,Variables!$A$5:$A$65,0)))&amp;"."&amp;Z$5</f>
        <v/>
      </c>
      <c r="AA399" s="38">
        <f>AA381+AA390</f>
        <v/>
      </c>
      <c r="AB399" s="36">
        <f>AB381+AB390</f>
        <v/>
      </c>
      <c r="AC399" s="36">
        <f>AC381+AC390</f>
        <v/>
      </c>
      <c r="AD399" s="36">
        <f>AD381+AD390</f>
        <v/>
      </c>
      <c r="AE399" s="36">
        <f>AE381+AE390</f>
        <v/>
      </c>
      <c r="AF399" s="36">
        <f>AF381+AF390</f>
        <v/>
      </c>
      <c r="AG399" s="36">
        <f>AG381+AG390</f>
        <v/>
      </c>
      <c r="AH399" s="36">
        <f>AH381+AH390</f>
        <v/>
      </c>
      <c r="AI399" s="36">
        <f>AI381+AI390</f>
        <v/>
      </c>
      <c r="AJ399" s="36">
        <f>AJ381+AJ390</f>
        <v/>
      </c>
      <c r="AK399" s="36">
        <f>AK381+AK390</f>
        <v/>
      </c>
      <c r="AL399" s="36">
        <f>AL381+AL390</f>
        <v/>
      </c>
      <c r="AM399" s="36">
        <f>AM381+AM390</f>
        <v/>
      </c>
      <c r="AN399" s="36">
        <f>AN381+AN390</f>
        <v/>
      </c>
    </row>
    <row r="400" hidden="1" outlineLevel="2">
      <c r="A400" s="5" t="inlineStr">
        <is>
          <t>nce</t>
        </is>
      </c>
      <c r="B400" s="5" t="inlineStr">
        <is>
          <t>gso</t>
        </is>
      </c>
      <c r="C400" s="5" t="inlineStr">
        <is>
          <t>nav</t>
        </is>
      </c>
      <c r="D400" s="37" t="n"/>
      <c r="E400" s="37" t="n"/>
      <c r="F400" s="37" t="n"/>
      <c r="G400" s="37" t="n"/>
      <c r="H400" s="5">
        <f>INDEX(Variables!$B$5:$B$65,MATCH($A400,Variables!$A$5:$A$65,0))&amp;IF($C400="",""," | "&amp;INDEX(Mapping!$B$5:$B$25,MATCH($C400,Mapping!$A$5:$A$25,0))&amp;" | "&amp;INDEX(Mapping!$B$29:$B$38,MATCH($B400,Mapping!$A$29:$A$38,0)))</f>
        <v/>
      </c>
      <c r="I400" s="5">
        <f>INDEX(Variables!$C$5:$C$65,MATCH($A400,Variables!$A$5:$A$65,0))</f>
        <v/>
      </c>
      <c r="J400" s="5">
        <f>INDEX(Variables!$E$5:$E$65,MATCH($A400,Variables!$A$5:$A$65,0))</f>
        <v/>
      </c>
      <c r="K400" s="23">
        <f>LOWER(Settings!$C$4)&amp;".mit."&amp;$A400&amp;IF($C400="","","."&amp;$C400&amp;"."&amp;$B400)&amp;IF(INDEX(Variables!$D$5:$D$65,MATCH($A400,Variables!$A$5:$A$65,0))="","","."&amp;INDEX(Variables!$D$5:$D$65,MATCH($A400,Variables!$A$5:$A$65,0)))&amp;"."&amp;K$5</f>
        <v/>
      </c>
      <c r="L400" s="38">
        <f>L382+L391</f>
        <v/>
      </c>
      <c r="M400" s="36">
        <f>M382+M391</f>
        <v/>
      </c>
      <c r="N400" s="36">
        <f>N382+N391</f>
        <v/>
      </c>
      <c r="O400" s="36">
        <f>O382+O391</f>
        <v/>
      </c>
      <c r="P400" s="36">
        <f>P382+P391</f>
        <v/>
      </c>
      <c r="Q400" s="36">
        <f>Q382+Q391</f>
        <v/>
      </c>
      <c r="R400" s="36">
        <f>R382+R391</f>
        <v/>
      </c>
      <c r="S400" s="36">
        <f>S382+S391</f>
        <v/>
      </c>
      <c r="T400" s="36">
        <f>T382+T391</f>
        <v/>
      </c>
      <c r="U400" s="36">
        <f>U382+U391</f>
        <v/>
      </c>
      <c r="V400" s="36">
        <f>V382+V391</f>
        <v/>
      </c>
      <c r="W400" s="36">
        <f>W382+W391</f>
        <v/>
      </c>
      <c r="X400" s="36">
        <f>X382+X391</f>
        <v/>
      </c>
      <c r="Y400" s="36">
        <f>Y382+Y391</f>
        <v/>
      </c>
      <c r="Z400" s="23">
        <f>LOWER(Settings!$C$4)&amp;".mit."&amp;$A400&amp;IF($C400="","","."&amp;$C400&amp;"."&amp;$B400)&amp;IF(INDEX(Variables!$D$5:$D$65,MATCH($A400,Variables!$A$5:$A$65,0))="","","."&amp;INDEX(Variables!$D$5:$D$65,MATCH($A400,Variables!$A$5:$A$65,0)))&amp;"."&amp;Z$5</f>
        <v/>
      </c>
      <c r="AA400" s="38">
        <f>AA382+AA391</f>
        <v/>
      </c>
      <c r="AB400" s="36">
        <f>AB382+AB391</f>
        <v/>
      </c>
      <c r="AC400" s="36">
        <f>AC382+AC391</f>
        <v/>
      </c>
      <c r="AD400" s="36">
        <f>AD382+AD391</f>
        <v/>
      </c>
      <c r="AE400" s="36">
        <f>AE382+AE391</f>
        <v/>
      </c>
      <c r="AF400" s="36">
        <f>AF382+AF391</f>
        <v/>
      </c>
      <c r="AG400" s="36">
        <f>AG382+AG391</f>
        <v/>
      </c>
      <c r="AH400" s="36">
        <f>AH382+AH391</f>
        <v/>
      </c>
      <c r="AI400" s="36">
        <f>AI382+AI391</f>
        <v/>
      </c>
      <c r="AJ400" s="36">
        <f>AJ382+AJ391</f>
        <v/>
      </c>
      <c r="AK400" s="36">
        <f>AK382+AK391</f>
        <v/>
      </c>
      <c r="AL400" s="36">
        <f>AL382+AL391</f>
        <v/>
      </c>
      <c r="AM400" s="36">
        <f>AM382+AM391</f>
        <v/>
      </c>
      <c r="AN400" s="36">
        <f>AN382+AN391</f>
        <v/>
      </c>
    </row>
    <row r="401" hidden="1" outlineLevel="2">
      <c r="A401" s="5" t="inlineStr">
        <is>
          <t>nce</t>
        </is>
      </c>
      <c r="B401" s="5" t="inlineStr">
        <is>
          <t>die</t>
        </is>
      </c>
      <c r="C401" s="5" t="inlineStr">
        <is>
          <t>nav</t>
        </is>
      </c>
      <c r="D401" s="37" t="n"/>
      <c r="E401" s="37" t="n"/>
      <c r="F401" s="37" t="n"/>
      <c r="G401" s="37" t="n"/>
      <c r="H401" s="5">
        <f>INDEX(Variables!$B$5:$B$65,MATCH($A401,Variables!$A$5:$A$65,0))&amp;IF($C401="",""," | "&amp;INDEX(Mapping!$B$5:$B$25,MATCH($C401,Mapping!$A$5:$A$25,0))&amp;" | "&amp;INDEX(Mapping!$B$29:$B$38,MATCH($B401,Mapping!$A$29:$A$38,0)))</f>
        <v/>
      </c>
      <c r="I401" s="5">
        <f>INDEX(Variables!$C$5:$C$65,MATCH($A401,Variables!$A$5:$A$65,0))</f>
        <v/>
      </c>
      <c r="J401" s="5">
        <f>INDEX(Variables!$E$5:$E$65,MATCH($A401,Variables!$A$5:$A$65,0))</f>
        <v/>
      </c>
      <c r="K401" s="23">
        <f>LOWER(Settings!$C$4)&amp;".mit."&amp;$A401&amp;IF($C401="","","."&amp;$C401&amp;"."&amp;$B401)&amp;IF(INDEX(Variables!$D$5:$D$65,MATCH($A401,Variables!$A$5:$A$65,0))="","","."&amp;INDEX(Variables!$D$5:$D$65,MATCH($A401,Variables!$A$5:$A$65,0)))&amp;"."&amp;K$5</f>
        <v/>
      </c>
      <c r="L401" s="38">
        <f>L383+L392</f>
        <v/>
      </c>
      <c r="M401" s="36">
        <f>M383+M392</f>
        <v/>
      </c>
      <c r="N401" s="36">
        <f>N383+N392</f>
        <v/>
      </c>
      <c r="O401" s="36">
        <f>O383+O392</f>
        <v/>
      </c>
      <c r="P401" s="36">
        <f>P383+P392</f>
        <v/>
      </c>
      <c r="Q401" s="36">
        <f>Q383+Q392</f>
        <v/>
      </c>
      <c r="R401" s="36">
        <f>R383+R392</f>
        <v/>
      </c>
      <c r="S401" s="36">
        <f>S383+S392</f>
        <v/>
      </c>
      <c r="T401" s="36">
        <f>T383+T392</f>
        <v/>
      </c>
      <c r="U401" s="36">
        <f>U383+U392</f>
        <v/>
      </c>
      <c r="V401" s="36">
        <f>V383+V392</f>
        <v/>
      </c>
      <c r="W401" s="36">
        <f>W383+W392</f>
        <v/>
      </c>
      <c r="X401" s="36">
        <f>X383+X392</f>
        <v/>
      </c>
      <c r="Y401" s="36">
        <f>Y383+Y392</f>
        <v/>
      </c>
      <c r="Z401" s="23">
        <f>LOWER(Settings!$C$4)&amp;".mit."&amp;$A401&amp;IF($C401="","","."&amp;$C401&amp;"."&amp;$B401)&amp;IF(INDEX(Variables!$D$5:$D$65,MATCH($A401,Variables!$A$5:$A$65,0))="","","."&amp;INDEX(Variables!$D$5:$D$65,MATCH($A401,Variables!$A$5:$A$65,0)))&amp;"."&amp;Z$5</f>
        <v/>
      </c>
      <c r="AA401" s="38">
        <f>AA383+AA392</f>
        <v/>
      </c>
      <c r="AB401" s="36">
        <f>AB383+AB392</f>
        <v/>
      </c>
      <c r="AC401" s="36">
        <f>AC383+AC392</f>
        <v/>
      </c>
      <c r="AD401" s="36">
        <f>AD383+AD392</f>
        <v/>
      </c>
      <c r="AE401" s="36">
        <f>AE383+AE392</f>
        <v/>
      </c>
      <c r="AF401" s="36">
        <f>AF383+AF392</f>
        <v/>
      </c>
      <c r="AG401" s="36">
        <f>AG383+AG392</f>
        <v/>
      </c>
      <c r="AH401" s="36">
        <f>AH383+AH392</f>
        <v/>
      </c>
      <c r="AI401" s="36">
        <f>AI383+AI392</f>
        <v/>
      </c>
      <c r="AJ401" s="36">
        <f>AJ383+AJ392</f>
        <v/>
      </c>
      <c r="AK401" s="36">
        <f>AK383+AK392</f>
        <v/>
      </c>
      <c r="AL401" s="36">
        <f>AL383+AL392</f>
        <v/>
      </c>
      <c r="AM401" s="36">
        <f>AM383+AM392</f>
        <v/>
      </c>
      <c r="AN401" s="36">
        <f>AN383+AN392</f>
        <v/>
      </c>
    </row>
    <row r="402" hidden="1" outlineLevel="2">
      <c r="A402" s="5" t="inlineStr">
        <is>
          <t>nce</t>
        </is>
      </c>
      <c r="B402" s="5" t="inlineStr">
        <is>
          <t>lpg</t>
        </is>
      </c>
      <c r="C402" s="5" t="inlineStr">
        <is>
          <t>nav</t>
        </is>
      </c>
      <c r="D402" s="37" t="n"/>
      <c r="E402" s="37" t="n"/>
      <c r="F402" s="37" t="n"/>
      <c r="G402" s="37" t="n"/>
      <c r="H402" s="5">
        <f>INDEX(Variables!$B$5:$B$65,MATCH($A402,Variables!$A$5:$A$65,0))&amp;IF($C402="",""," | "&amp;INDEX(Mapping!$B$5:$B$25,MATCH($C402,Mapping!$A$5:$A$25,0))&amp;" | "&amp;INDEX(Mapping!$B$29:$B$38,MATCH($B402,Mapping!$A$29:$A$38,0)))</f>
        <v/>
      </c>
      <c r="I402" s="5">
        <f>INDEX(Variables!$C$5:$C$65,MATCH($A402,Variables!$A$5:$A$65,0))</f>
        <v/>
      </c>
      <c r="J402" s="5">
        <f>INDEX(Variables!$E$5:$E$65,MATCH($A402,Variables!$A$5:$A$65,0))</f>
        <v/>
      </c>
      <c r="K402" s="23">
        <f>LOWER(Settings!$C$4)&amp;".mit."&amp;$A402&amp;IF($C402="","","."&amp;$C402&amp;"."&amp;$B402)&amp;IF(INDEX(Variables!$D$5:$D$65,MATCH($A402,Variables!$A$5:$A$65,0))="","","."&amp;INDEX(Variables!$D$5:$D$65,MATCH($A402,Variables!$A$5:$A$65,0)))&amp;"."&amp;K$5</f>
        <v/>
      </c>
      <c r="L402" s="38">
        <f>L384+L393</f>
        <v/>
      </c>
      <c r="M402" s="36">
        <f>M384+M393</f>
        <v/>
      </c>
      <c r="N402" s="36">
        <f>N384+N393</f>
        <v/>
      </c>
      <c r="O402" s="36">
        <f>O384+O393</f>
        <v/>
      </c>
      <c r="P402" s="36">
        <f>P384+P393</f>
        <v/>
      </c>
      <c r="Q402" s="36">
        <f>Q384+Q393</f>
        <v/>
      </c>
      <c r="R402" s="36">
        <f>R384+R393</f>
        <v/>
      </c>
      <c r="S402" s="36">
        <f>S384+S393</f>
        <v/>
      </c>
      <c r="T402" s="36">
        <f>T384+T393</f>
        <v/>
      </c>
      <c r="U402" s="36">
        <f>U384+U393</f>
        <v/>
      </c>
      <c r="V402" s="36">
        <f>V384+V393</f>
        <v/>
      </c>
      <c r="W402" s="36">
        <f>W384+W393</f>
        <v/>
      </c>
      <c r="X402" s="36">
        <f>X384+X393</f>
        <v/>
      </c>
      <c r="Y402" s="36">
        <f>Y384+Y393</f>
        <v/>
      </c>
      <c r="Z402" s="23">
        <f>LOWER(Settings!$C$4)&amp;".mit."&amp;$A402&amp;IF($C402="","","."&amp;$C402&amp;"."&amp;$B402)&amp;IF(INDEX(Variables!$D$5:$D$65,MATCH($A402,Variables!$A$5:$A$65,0))="","","."&amp;INDEX(Variables!$D$5:$D$65,MATCH($A402,Variables!$A$5:$A$65,0)))&amp;"."&amp;Z$5</f>
        <v/>
      </c>
      <c r="AA402" s="38">
        <f>AA384+AA393</f>
        <v/>
      </c>
      <c r="AB402" s="36">
        <f>AB384+AB393</f>
        <v/>
      </c>
      <c r="AC402" s="36">
        <f>AC384+AC393</f>
        <v/>
      </c>
      <c r="AD402" s="36">
        <f>AD384+AD393</f>
        <v/>
      </c>
      <c r="AE402" s="36">
        <f>AE384+AE393</f>
        <v/>
      </c>
      <c r="AF402" s="36">
        <f>AF384+AF393</f>
        <v/>
      </c>
      <c r="AG402" s="36">
        <f>AG384+AG393</f>
        <v/>
      </c>
      <c r="AH402" s="36">
        <f>AH384+AH393</f>
        <v/>
      </c>
      <c r="AI402" s="36">
        <f>AI384+AI393</f>
        <v/>
      </c>
      <c r="AJ402" s="36">
        <f>AJ384+AJ393</f>
        <v/>
      </c>
      <c r="AK402" s="36">
        <f>AK384+AK393</f>
        <v/>
      </c>
      <c r="AL402" s="36">
        <f>AL384+AL393</f>
        <v/>
      </c>
      <c r="AM402" s="36">
        <f>AM384+AM393</f>
        <v/>
      </c>
      <c r="AN402" s="36">
        <f>AN384+AN393</f>
        <v/>
      </c>
    </row>
    <row r="403" hidden="1" outlineLevel="2">
      <c r="A403" s="5" t="inlineStr">
        <is>
          <t>nce</t>
        </is>
      </c>
      <c r="B403" s="5" t="inlineStr">
        <is>
          <t>ker</t>
        </is>
      </c>
      <c r="C403" s="5" t="inlineStr">
        <is>
          <t>nav</t>
        </is>
      </c>
      <c r="D403" s="37" t="n"/>
      <c r="E403" s="37" t="n"/>
      <c r="F403" s="37" t="n"/>
      <c r="G403" s="37" t="n"/>
      <c r="H403" s="5">
        <f>INDEX(Variables!$B$5:$B$65,MATCH($A403,Variables!$A$5:$A$65,0))&amp;IF($C403="",""," | "&amp;INDEX(Mapping!$B$5:$B$25,MATCH($C403,Mapping!$A$5:$A$25,0))&amp;" | "&amp;INDEX(Mapping!$B$29:$B$38,MATCH($B403,Mapping!$A$29:$A$38,0)))</f>
        <v/>
      </c>
      <c r="I403" s="5">
        <f>INDEX(Variables!$C$5:$C$65,MATCH($A403,Variables!$A$5:$A$65,0))</f>
        <v/>
      </c>
      <c r="J403" s="5">
        <f>INDEX(Variables!$E$5:$E$65,MATCH($A403,Variables!$A$5:$A$65,0))</f>
        <v/>
      </c>
      <c r="K403" s="23">
        <f>LOWER(Settings!$C$4)&amp;".mit."&amp;$A403&amp;IF($C403="","","."&amp;$C403&amp;"."&amp;$B403)&amp;IF(INDEX(Variables!$D$5:$D$65,MATCH($A403,Variables!$A$5:$A$65,0))="","","."&amp;INDEX(Variables!$D$5:$D$65,MATCH($A403,Variables!$A$5:$A$65,0)))&amp;"."&amp;K$5</f>
        <v/>
      </c>
      <c r="L403" s="38">
        <f>L385+L394</f>
        <v/>
      </c>
      <c r="M403" s="36">
        <f>M385+M394</f>
        <v/>
      </c>
      <c r="N403" s="36">
        <f>N385+N394</f>
        <v/>
      </c>
      <c r="O403" s="36">
        <f>O385+O394</f>
        <v/>
      </c>
      <c r="P403" s="36">
        <f>P385+P394</f>
        <v/>
      </c>
      <c r="Q403" s="36">
        <f>Q385+Q394</f>
        <v/>
      </c>
      <c r="R403" s="36">
        <f>R385+R394</f>
        <v/>
      </c>
      <c r="S403" s="36">
        <f>S385+S394</f>
        <v/>
      </c>
      <c r="T403" s="36">
        <f>T385+T394</f>
        <v/>
      </c>
      <c r="U403" s="36">
        <f>U385+U394</f>
        <v/>
      </c>
      <c r="V403" s="36">
        <f>V385+V394</f>
        <v/>
      </c>
      <c r="W403" s="36">
        <f>W385+W394</f>
        <v/>
      </c>
      <c r="X403" s="36">
        <f>X385+X394</f>
        <v/>
      </c>
      <c r="Y403" s="36">
        <f>Y385+Y394</f>
        <v/>
      </c>
      <c r="Z403" s="23">
        <f>LOWER(Settings!$C$4)&amp;".mit."&amp;$A403&amp;IF($C403="","","."&amp;$C403&amp;"."&amp;$B403)&amp;IF(INDEX(Variables!$D$5:$D$65,MATCH($A403,Variables!$A$5:$A$65,0))="","","."&amp;INDEX(Variables!$D$5:$D$65,MATCH($A403,Variables!$A$5:$A$65,0)))&amp;"."&amp;Z$5</f>
        <v/>
      </c>
      <c r="AA403" s="38">
        <f>AA385+AA394</f>
        <v/>
      </c>
      <c r="AB403" s="36">
        <f>AB385+AB394</f>
        <v/>
      </c>
      <c r="AC403" s="36">
        <f>AC385+AC394</f>
        <v/>
      </c>
      <c r="AD403" s="36">
        <f>AD385+AD394</f>
        <v/>
      </c>
      <c r="AE403" s="36">
        <f>AE385+AE394</f>
        <v/>
      </c>
      <c r="AF403" s="36">
        <f>AF385+AF394</f>
        <v/>
      </c>
      <c r="AG403" s="36">
        <f>AG385+AG394</f>
        <v/>
      </c>
      <c r="AH403" s="36">
        <f>AH385+AH394</f>
        <v/>
      </c>
      <c r="AI403" s="36">
        <f>AI385+AI394</f>
        <v/>
      </c>
      <c r="AJ403" s="36">
        <f>AJ385+AJ394</f>
        <v/>
      </c>
      <c r="AK403" s="36">
        <f>AK385+AK394</f>
        <v/>
      </c>
      <c r="AL403" s="36">
        <f>AL385+AL394</f>
        <v/>
      </c>
      <c r="AM403" s="36">
        <f>AM385+AM394</f>
        <v/>
      </c>
      <c r="AN403" s="36">
        <f>AN385+AN394</f>
        <v/>
      </c>
    </row>
    <row r="404" hidden="1" outlineLevel="2">
      <c r="A404" s="5" t="inlineStr">
        <is>
          <t>nce</t>
        </is>
      </c>
      <c r="B404" s="5" t="inlineStr">
        <is>
          <t>oop</t>
        </is>
      </c>
      <c r="C404" s="5" t="inlineStr">
        <is>
          <t>nav</t>
        </is>
      </c>
      <c r="D404" s="37" t="n"/>
      <c r="E404" s="37" t="n"/>
      <c r="F404" s="37" t="n"/>
      <c r="G404" s="37" t="n"/>
      <c r="H404" s="5">
        <f>INDEX(Variables!$B$5:$B$65,MATCH($A404,Variables!$A$5:$A$65,0))&amp;IF($C404="",""," | "&amp;INDEX(Mapping!$B$5:$B$25,MATCH($C404,Mapping!$A$5:$A$25,0))&amp;" | "&amp;INDEX(Mapping!$B$29:$B$38,MATCH($B404,Mapping!$A$29:$A$38,0)))</f>
        <v/>
      </c>
      <c r="I404" s="5">
        <f>INDEX(Variables!$C$5:$C$65,MATCH($A404,Variables!$A$5:$A$65,0))</f>
        <v/>
      </c>
      <c r="J404" s="5">
        <f>INDEX(Variables!$E$5:$E$65,MATCH($A404,Variables!$A$5:$A$65,0))</f>
        <v/>
      </c>
      <c r="K404" s="23">
        <f>LOWER(Settings!$C$4)&amp;".mit."&amp;$A404&amp;IF($C404="","","."&amp;$C404&amp;"."&amp;$B404)&amp;IF(INDEX(Variables!$D$5:$D$65,MATCH($A404,Variables!$A$5:$A$65,0))="","","."&amp;INDEX(Variables!$D$5:$D$65,MATCH($A404,Variables!$A$5:$A$65,0)))&amp;"."&amp;K$5</f>
        <v/>
      </c>
      <c r="L404" s="38">
        <f>L386+L395</f>
        <v/>
      </c>
      <c r="M404" s="36">
        <f>M386+M395</f>
        <v/>
      </c>
      <c r="N404" s="36">
        <f>N386+N395</f>
        <v/>
      </c>
      <c r="O404" s="36">
        <f>O386+O395</f>
        <v/>
      </c>
      <c r="P404" s="36">
        <f>P386+P395</f>
        <v/>
      </c>
      <c r="Q404" s="36">
        <f>Q386+Q395</f>
        <v/>
      </c>
      <c r="R404" s="36">
        <f>R386+R395</f>
        <v/>
      </c>
      <c r="S404" s="36">
        <f>S386+S395</f>
        <v/>
      </c>
      <c r="T404" s="36">
        <f>T386+T395</f>
        <v/>
      </c>
      <c r="U404" s="36">
        <f>U386+U395</f>
        <v/>
      </c>
      <c r="V404" s="36">
        <f>V386+V395</f>
        <v/>
      </c>
      <c r="W404" s="36">
        <f>W386+W395</f>
        <v/>
      </c>
      <c r="X404" s="36">
        <f>X386+X395</f>
        <v/>
      </c>
      <c r="Y404" s="36">
        <f>Y386+Y395</f>
        <v/>
      </c>
      <c r="Z404" s="23">
        <f>LOWER(Settings!$C$4)&amp;".mit."&amp;$A404&amp;IF($C404="","","."&amp;$C404&amp;"."&amp;$B404)&amp;IF(INDEX(Variables!$D$5:$D$65,MATCH($A404,Variables!$A$5:$A$65,0))="","","."&amp;INDEX(Variables!$D$5:$D$65,MATCH($A404,Variables!$A$5:$A$65,0)))&amp;"."&amp;Z$5</f>
        <v/>
      </c>
      <c r="AA404" s="38">
        <f>AA386+AA395</f>
        <v/>
      </c>
      <c r="AB404" s="36">
        <f>AB386+AB395</f>
        <v/>
      </c>
      <c r="AC404" s="36">
        <f>AC386+AC395</f>
        <v/>
      </c>
      <c r="AD404" s="36">
        <f>AD386+AD395</f>
        <v/>
      </c>
      <c r="AE404" s="36">
        <f>AE386+AE395</f>
        <v/>
      </c>
      <c r="AF404" s="36">
        <f>AF386+AF395</f>
        <v/>
      </c>
      <c r="AG404" s="36">
        <f>AG386+AG395</f>
        <v/>
      </c>
      <c r="AH404" s="36">
        <f>AH386+AH395</f>
        <v/>
      </c>
      <c r="AI404" s="36">
        <f>AI386+AI395</f>
        <v/>
      </c>
      <c r="AJ404" s="36">
        <f>AJ386+AJ395</f>
        <v/>
      </c>
      <c r="AK404" s="36">
        <f>AK386+AK395</f>
        <v/>
      </c>
      <c r="AL404" s="36">
        <f>AL386+AL395</f>
        <v/>
      </c>
      <c r="AM404" s="36">
        <f>AM386+AM395</f>
        <v/>
      </c>
      <c r="AN404" s="36">
        <f>AN386+AN395</f>
        <v/>
      </c>
    </row>
    <row r="405" hidden="1" outlineLevel="2">
      <c r="A405" s="5" t="inlineStr">
        <is>
          <t>nce</t>
        </is>
      </c>
      <c r="B405" s="5" t="inlineStr">
        <is>
          <t>bio</t>
        </is>
      </c>
      <c r="C405" s="5" t="inlineStr">
        <is>
          <t>nav</t>
        </is>
      </c>
      <c r="D405" s="37" t="n"/>
      <c r="E405" s="37" t="n"/>
      <c r="F405" s="37" t="n"/>
      <c r="G405" s="37" t="n"/>
      <c r="H405" s="5">
        <f>INDEX(Variables!$B$5:$B$65,MATCH($A405,Variables!$A$5:$A$65,0))&amp;IF($C405="",""," | "&amp;INDEX(Mapping!$B$5:$B$25,MATCH($C405,Mapping!$A$5:$A$25,0))&amp;" | "&amp;INDEX(Mapping!$B$29:$B$38,MATCH($B405,Mapping!$A$29:$A$38,0)))</f>
        <v/>
      </c>
      <c r="I405" s="5">
        <f>INDEX(Variables!$C$5:$C$65,MATCH($A405,Variables!$A$5:$A$65,0))</f>
        <v/>
      </c>
      <c r="J405" s="5">
        <f>INDEX(Variables!$E$5:$E$65,MATCH($A405,Variables!$A$5:$A$65,0))</f>
        <v/>
      </c>
      <c r="K405" s="23">
        <f>LOWER(Settings!$C$4)&amp;".mit."&amp;$A405&amp;IF($C405="","","."&amp;$C405&amp;"."&amp;$B405)&amp;IF(INDEX(Variables!$D$5:$D$65,MATCH($A405,Variables!$A$5:$A$65,0))="","","."&amp;INDEX(Variables!$D$5:$D$65,MATCH($A405,Variables!$A$5:$A$65,0)))&amp;"."&amp;K$5</f>
        <v/>
      </c>
      <c r="L405" s="38">
        <f>L387+L396</f>
        <v/>
      </c>
      <c r="M405" s="36">
        <f>M387+M396</f>
        <v/>
      </c>
      <c r="N405" s="36">
        <f>N387+N396</f>
        <v/>
      </c>
      <c r="O405" s="36">
        <f>O387+O396</f>
        <v/>
      </c>
      <c r="P405" s="36">
        <f>P387+P396</f>
        <v/>
      </c>
      <c r="Q405" s="36">
        <f>Q387+Q396</f>
        <v/>
      </c>
      <c r="R405" s="36">
        <f>R387+R396</f>
        <v/>
      </c>
      <c r="S405" s="36">
        <f>S387+S396</f>
        <v/>
      </c>
      <c r="T405" s="36">
        <f>T387+T396</f>
        <v/>
      </c>
      <c r="U405" s="36">
        <f>U387+U396</f>
        <v/>
      </c>
      <c r="V405" s="36">
        <f>V387+V396</f>
        <v/>
      </c>
      <c r="W405" s="36">
        <f>W387+W396</f>
        <v/>
      </c>
      <c r="X405" s="36">
        <f>X387+X396</f>
        <v/>
      </c>
      <c r="Y405" s="36">
        <f>Y387+Y396</f>
        <v/>
      </c>
      <c r="Z405" s="23">
        <f>LOWER(Settings!$C$4)&amp;".mit."&amp;$A405&amp;IF($C405="","","."&amp;$C405&amp;"."&amp;$B405)&amp;IF(INDEX(Variables!$D$5:$D$65,MATCH($A405,Variables!$A$5:$A$65,0))="","","."&amp;INDEX(Variables!$D$5:$D$65,MATCH($A405,Variables!$A$5:$A$65,0)))&amp;"."&amp;Z$5</f>
        <v/>
      </c>
      <c r="AA405" s="38">
        <f>AA387+AA396</f>
        <v/>
      </c>
      <c r="AB405" s="36">
        <f>AB387+AB396</f>
        <v/>
      </c>
      <c r="AC405" s="36">
        <f>AC387+AC396</f>
        <v/>
      </c>
      <c r="AD405" s="36">
        <f>AD387+AD396</f>
        <v/>
      </c>
      <c r="AE405" s="36">
        <f>AE387+AE396</f>
        <v/>
      </c>
      <c r="AF405" s="36">
        <f>AF387+AF396</f>
        <v/>
      </c>
      <c r="AG405" s="36">
        <f>AG387+AG396</f>
        <v/>
      </c>
      <c r="AH405" s="36">
        <f>AH387+AH396</f>
        <v/>
      </c>
      <c r="AI405" s="36">
        <f>AI387+AI396</f>
        <v/>
      </c>
      <c r="AJ405" s="36">
        <f>AJ387+AJ396</f>
        <v/>
      </c>
      <c r="AK405" s="36">
        <f>AK387+AK396</f>
        <v/>
      </c>
      <c r="AL405" s="36">
        <f>AL387+AL396</f>
        <v/>
      </c>
      <c r="AM405" s="36">
        <f>AM387+AM396</f>
        <v/>
      </c>
      <c r="AN405" s="36">
        <f>AN387+AN396</f>
        <v/>
      </c>
    </row>
    <row r="406" hidden="1" outlineLevel="2"/>
    <row r="407" hidden="1" outlineLevel="2">
      <c r="A407" s="5" t="inlineStr">
        <is>
          <t>tax</t>
        </is>
      </c>
      <c r="B407" s="5" t="inlineStr">
        <is>
          <t>coa</t>
        </is>
      </c>
      <c r="C407" s="5" t="inlineStr">
        <is>
          <t>nav</t>
        </is>
      </c>
      <c r="D407" s="36">
        <f>INDEX(Inputs!$T$5:$T$132,MATCH($B407&amp;"|"&amp;$C407,Inputs!$A$5:$A$132,0))</f>
        <v/>
      </c>
      <c r="E407" s="37" t="n"/>
      <c r="F407" s="37" t="n"/>
      <c r="G407" s="37" t="n"/>
      <c r="H407" s="5">
        <f>INDEX(Variables!$B$5:$B$65,MATCH($A407,Variables!$A$5:$A$65,0))&amp;IF($C407="",""," | "&amp;INDEX(Mapping!$B$5:$B$25,MATCH($C407,Mapping!$A$5:$A$25,0))&amp;" | "&amp;INDEX(Mapping!$B$29:$B$38,MATCH($B407,Mapping!$A$29:$A$38,0)))</f>
        <v/>
      </c>
      <c r="I407" s="5">
        <f>INDEX(Variables!$C$5:$C$65,MATCH($A407,Variables!$A$5:$A$65,0))</f>
        <v/>
      </c>
      <c r="J407" s="5">
        <f>INDEX(Variables!$E$5:$E$65,MATCH($A407,Variables!$A$5:$A$65,0))</f>
        <v/>
      </c>
      <c r="K407" s="23">
        <f>LOWER(Settings!$C$4)&amp;".mit."&amp;$A407&amp;IF($C407="","","."&amp;$C407&amp;"."&amp;$B407)&amp;IF(INDEX(Variables!$D$5:$D$65,MATCH($A407,Variables!$A$5:$A$65,0))="","","."&amp;INDEX(Variables!$D$5:$D$65,MATCH($A407,Variables!$A$5:$A$65,0)))&amp;"."&amp;K$5</f>
        <v/>
      </c>
      <c r="L407" s="38">
        <f>$D407+L398</f>
        <v/>
      </c>
      <c r="M407" s="36">
        <f>$D407+M398</f>
        <v/>
      </c>
      <c r="N407" s="36">
        <f>$D407+N398</f>
        <v/>
      </c>
      <c r="O407" s="36">
        <f>$D407+O398</f>
        <v/>
      </c>
      <c r="P407" s="36">
        <f>$D407+P398</f>
        <v/>
      </c>
      <c r="Q407" s="36">
        <f>$D407+Q398</f>
        <v/>
      </c>
      <c r="R407" s="36">
        <f>$D407+R398</f>
        <v/>
      </c>
      <c r="S407" s="36">
        <f>$D407+S398</f>
        <v/>
      </c>
      <c r="T407" s="36">
        <f>$D407+T398</f>
        <v/>
      </c>
      <c r="U407" s="36">
        <f>$D407+U398</f>
        <v/>
      </c>
      <c r="V407" s="36">
        <f>$D407+V398</f>
        <v/>
      </c>
      <c r="W407" s="36">
        <f>$D407+W398</f>
        <v/>
      </c>
      <c r="X407" s="36">
        <f>$D407+X398</f>
        <v/>
      </c>
      <c r="Y407" s="39">
        <f>TAX($D407,Y398)</f>
        <v/>
      </c>
      <c r="Z407" s="23">
        <f>LOWER(Settings!$C$4)&amp;".mit."&amp;$A407&amp;IF($C407="","","."&amp;$C407&amp;"."&amp;$B407)&amp;IF(INDEX(Variables!$D$5:$D$65,MATCH($A407,Variables!$A$5:$A$65,0))="","","."&amp;INDEX(Variables!$D$5:$D$65,MATCH($A407,Variables!$A$5:$A$65,0)))&amp;"."&amp;Z$5</f>
        <v/>
      </c>
      <c r="AA407" s="38">
        <f>$D407+AA398</f>
        <v/>
      </c>
      <c r="AB407" s="36">
        <f>$D407+AB398</f>
        <v/>
      </c>
      <c r="AC407" s="36">
        <f>$D407+AC398</f>
        <v/>
      </c>
      <c r="AD407" s="36">
        <f>$D407+AD398</f>
        <v/>
      </c>
      <c r="AE407" s="36">
        <f>$D407+AE398</f>
        <v/>
      </c>
      <c r="AF407" s="36">
        <f>$D407+AF398</f>
        <v/>
      </c>
      <c r="AG407" s="36">
        <f>$D407+AG398</f>
        <v/>
      </c>
      <c r="AH407" s="36">
        <f>$D407+AH398</f>
        <v/>
      </c>
      <c r="AI407" s="36">
        <f>$D407+AI398</f>
        <v/>
      </c>
      <c r="AJ407" s="36">
        <f>$D407+AJ398</f>
        <v/>
      </c>
      <c r="AK407" s="36">
        <f>$D407+AK398</f>
        <v/>
      </c>
      <c r="AL407" s="36">
        <f>$D407+AL398</f>
        <v/>
      </c>
      <c r="AM407" s="36">
        <f>$D407+AM398</f>
        <v/>
      </c>
      <c r="AN407" s="39">
        <f>TAX($D407,AN398)</f>
        <v/>
      </c>
    </row>
    <row r="408" hidden="1" outlineLevel="2">
      <c r="A408" s="5" t="inlineStr">
        <is>
          <t>tax</t>
        </is>
      </c>
      <c r="B408" s="5" t="inlineStr">
        <is>
          <t>nga</t>
        </is>
      </c>
      <c r="C408" s="5" t="inlineStr">
        <is>
          <t>nav</t>
        </is>
      </c>
      <c r="D408" s="36">
        <f>INDEX(Inputs!$T$5:$T$132,MATCH($B408&amp;"|"&amp;$C408,Inputs!$A$5:$A$132,0))</f>
        <v/>
      </c>
      <c r="E408" s="37" t="n"/>
      <c r="F408" s="37" t="n"/>
      <c r="G408" s="37" t="n"/>
      <c r="H408" s="5">
        <f>INDEX(Variables!$B$5:$B$65,MATCH($A408,Variables!$A$5:$A$65,0))&amp;IF($C408="",""," | "&amp;INDEX(Mapping!$B$5:$B$25,MATCH($C408,Mapping!$A$5:$A$25,0))&amp;" | "&amp;INDEX(Mapping!$B$29:$B$38,MATCH($B408,Mapping!$A$29:$A$38,0)))</f>
        <v/>
      </c>
      <c r="I408" s="5">
        <f>INDEX(Variables!$C$5:$C$65,MATCH($A408,Variables!$A$5:$A$65,0))</f>
        <v/>
      </c>
      <c r="J408" s="5">
        <f>INDEX(Variables!$E$5:$E$65,MATCH($A408,Variables!$A$5:$A$65,0))</f>
        <v/>
      </c>
      <c r="K408" s="23">
        <f>LOWER(Settings!$C$4)&amp;".mit."&amp;$A408&amp;IF($C408="","","."&amp;$C408&amp;"."&amp;$B408)&amp;IF(INDEX(Variables!$D$5:$D$65,MATCH($A408,Variables!$A$5:$A$65,0))="","","."&amp;INDEX(Variables!$D$5:$D$65,MATCH($A408,Variables!$A$5:$A$65,0)))&amp;"."&amp;K$5</f>
        <v/>
      </c>
      <c r="L408" s="38">
        <f>$D408+L399</f>
        <v/>
      </c>
      <c r="M408" s="36">
        <f>$D408+M399</f>
        <v/>
      </c>
      <c r="N408" s="36">
        <f>$D408+N399</f>
        <v/>
      </c>
      <c r="O408" s="36">
        <f>$D408+O399</f>
        <v/>
      </c>
      <c r="P408" s="36">
        <f>$D408+P399</f>
        <v/>
      </c>
      <c r="Q408" s="36">
        <f>$D408+Q399</f>
        <v/>
      </c>
      <c r="R408" s="36">
        <f>$D408+R399</f>
        <v/>
      </c>
      <c r="S408" s="36">
        <f>$D408+S399</f>
        <v/>
      </c>
      <c r="T408" s="36">
        <f>$D408+T399</f>
        <v/>
      </c>
      <c r="U408" s="36">
        <f>$D408+U399</f>
        <v/>
      </c>
      <c r="V408" s="36">
        <f>$D408+V399</f>
        <v/>
      </c>
      <c r="W408" s="36">
        <f>$D408+W399</f>
        <v/>
      </c>
      <c r="X408" s="36">
        <f>$D408+X399</f>
        <v/>
      </c>
      <c r="Y408" s="39">
        <f>TAX($D408,Y399)</f>
        <v/>
      </c>
      <c r="Z408" s="23">
        <f>LOWER(Settings!$C$4)&amp;".mit."&amp;$A408&amp;IF($C408="","","."&amp;$C408&amp;"."&amp;$B408)&amp;IF(INDEX(Variables!$D$5:$D$65,MATCH($A408,Variables!$A$5:$A$65,0))="","","."&amp;INDEX(Variables!$D$5:$D$65,MATCH($A408,Variables!$A$5:$A$65,0)))&amp;"."&amp;Z$5</f>
        <v/>
      </c>
      <c r="AA408" s="38">
        <f>$D408+AA399</f>
        <v/>
      </c>
      <c r="AB408" s="36">
        <f>$D408+AB399</f>
        <v/>
      </c>
      <c r="AC408" s="36">
        <f>$D408+AC399</f>
        <v/>
      </c>
      <c r="AD408" s="36">
        <f>$D408+AD399</f>
        <v/>
      </c>
      <c r="AE408" s="36">
        <f>$D408+AE399</f>
        <v/>
      </c>
      <c r="AF408" s="36">
        <f>$D408+AF399</f>
        <v/>
      </c>
      <c r="AG408" s="36">
        <f>$D408+AG399</f>
        <v/>
      </c>
      <c r="AH408" s="36">
        <f>$D408+AH399</f>
        <v/>
      </c>
      <c r="AI408" s="36">
        <f>$D408+AI399</f>
        <v/>
      </c>
      <c r="AJ408" s="36">
        <f>$D408+AJ399</f>
        <v/>
      </c>
      <c r="AK408" s="36">
        <f>$D408+AK399</f>
        <v/>
      </c>
      <c r="AL408" s="36">
        <f>$D408+AL399</f>
        <v/>
      </c>
      <c r="AM408" s="36">
        <f>$D408+AM399</f>
        <v/>
      </c>
      <c r="AN408" s="39">
        <f>TAX($D408,AN399)</f>
        <v/>
      </c>
    </row>
    <row r="409" hidden="1" outlineLevel="2">
      <c r="A409" s="5" t="inlineStr">
        <is>
          <t>tax</t>
        </is>
      </c>
      <c r="B409" s="5" t="inlineStr">
        <is>
          <t>gso</t>
        </is>
      </c>
      <c r="C409" s="5" t="inlineStr">
        <is>
          <t>nav</t>
        </is>
      </c>
      <c r="D409" s="36">
        <f>INDEX(Inputs!$T$5:$T$132,MATCH($B409&amp;"|"&amp;$C409,Inputs!$A$5:$A$132,0))</f>
        <v/>
      </c>
      <c r="E409" s="37" t="n"/>
      <c r="F409" s="37" t="n"/>
      <c r="G409" s="37" t="n"/>
      <c r="H409" s="5">
        <f>INDEX(Variables!$B$5:$B$65,MATCH($A409,Variables!$A$5:$A$65,0))&amp;IF($C409="",""," | "&amp;INDEX(Mapping!$B$5:$B$25,MATCH($C409,Mapping!$A$5:$A$25,0))&amp;" | "&amp;INDEX(Mapping!$B$29:$B$38,MATCH($B409,Mapping!$A$29:$A$38,0)))</f>
        <v/>
      </c>
      <c r="I409" s="5">
        <f>INDEX(Variables!$C$5:$C$65,MATCH($A409,Variables!$A$5:$A$65,0))</f>
        <v/>
      </c>
      <c r="J409" s="5">
        <f>INDEX(Variables!$E$5:$E$65,MATCH($A409,Variables!$A$5:$A$65,0))</f>
        <v/>
      </c>
      <c r="K409" s="23">
        <f>LOWER(Settings!$C$4)&amp;".mit."&amp;$A409&amp;IF($C409="","","."&amp;$C409&amp;"."&amp;$B409)&amp;IF(INDEX(Variables!$D$5:$D$65,MATCH($A409,Variables!$A$5:$A$65,0))="","","."&amp;INDEX(Variables!$D$5:$D$65,MATCH($A409,Variables!$A$5:$A$65,0)))&amp;"."&amp;K$5</f>
        <v/>
      </c>
      <c r="L409" s="38">
        <f>$D409+L400</f>
        <v/>
      </c>
      <c r="M409" s="36">
        <f>$D409+M400</f>
        <v/>
      </c>
      <c r="N409" s="36">
        <f>$D409+N400</f>
        <v/>
      </c>
      <c r="O409" s="36">
        <f>$D409+O400</f>
        <v/>
      </c>
      <c r="P409" s="36">
        <f>$D409+P400</f>
        <v/>
      </c>
      <c r="Q409" s="36">
        <f>$D409+Q400</f>
        <v/>
      </c>
      <c r="R409" s="36">
        <f>$D409+R400</f>
        <v/>
      </c>
      <c r="S409" s="36">
        <f>$D409+S400</f>
        <v/>
      </c>
      <c r="T409" s="36">
        <f>$D409+T400</f>
        <v/>
      </c>
      <c r="U409" s="36">
        <f>$D409+U400</f>
        <v/>
      </c>
      <c r="V409" s="36">
        <f>$D409+V400</f>
        <v/>
      </c>
      <c r="W409" s="36">
        <f>$D409+W400</f>
        <v/>
      </c>
      <c r="X409" s="36">
        <f>$D409+X400</f>
        <v/>
      </c>
      <c r="Y409" s="39">
        <f>TAX($D409,Y400)</f>
        <v/>
      </c>
      <c r="Z409" s="23">
        <f>LOWER(Settings!$C$4)&amp;".mit."&amp;$A409&amp;IF($C409="","","."&amp;$C409&amp;"."&amp;$B409)&amp;IF(INDEX(Variables!$D$5:$D$65,MATCH($A409,Variables!$A$5:$A$65,0))="","","."&amp;INDEX(Variables!$D$5:$D$65,MATCH($A409,Variables!$A$5:$A$65,0)))&amp;"."&amp;Z$5</f>
        <v/>
      </c>
      <c r="AA409" s="38">
        <f>$D409+AA400</f>
        <v/>
      </c>
      <c r="AB409" s="36">
        <f>$D409+AB400</f>
        <v/>
      </c>
      <c r="AC409" s="36">
        <f>$D409+AC400</f>
        <v/>
      </c>
      <c r="AD409" s="36">
        <f>$D409+AD400</f>
        <v/>
      </c>
      <c r="AE409" s="36">
        <f>$D409+AE400</f>
        <v/>
      </c>
      <c r="AF409" s="36">
        <f>$D409+AF400</f>
        <v/>
      </c>
      <c r="AG409" s="36">
        <f>$D409+AG400</f>
        <v/>
      </c>
      <c r="AH409" s="36">
        <f>$D409+AH400</f>
        <v/>
      </c>
      <c r="AI409" s="36">
        <f>$D409+AI400</f>
        <v/>
      </c>
      <c r="AJ409" s="36">
        <f>$D409+AJ400</f>
        <v/>
      </c>
      <c r="AK409" s="36">
        <f>$D409+AK400</f>
        <v/>
      </c>
      <c r="AL409" s="36">
        <f>$D409+AL400</f>
        <v/>
      </c>
      <c r="AM409" s="36">
        <f>$D409+AM400</f>
        <v/>
      </c>
      <c r="AN409" s="39">
        <f>TAX($D409,AN400)</f>
        <v/>
      </c>
    </row>
    <row r="410" hidden="1" outlineLevel="2">
      <c r="A410" s="5" t="inlineStr">
        <is>
          <t>tax</t>
        </is>
      </c>
      <c r="B410" s="5" t="inlineStr">
        <is>
          <t>die</t>
        </is>
      </c>
      <c r="C410" s="5" t="inlineStr">
        <is>
          <t>nav</t>
        </is>
      </c>
      <c r="D410" s="36">
        <f>INDEX(Inputs!$T$5:$T$132,MATCH($B410&amp;"|"&amp;$C410,Inputs!$A$5:$A$132,0))</f>
        <v/>
      </c>
      <c r="E410" s="37" t="n"/>
      <c r="F410" s="37" t="n"/>
      <c r="G410" s="37" t="n"/>
      <c r="H410" s="5">
        <f>INDEX(Variables!$B$5:$B$65,MATCH($A410,Variables!$A$5:$A$65,0))&amp;IF($C410="",""," | "&amp;INDEX(Mapping!$B$5:$B$25,MATCH($C410,Mapping!$A$5:$A$25,0))&amp;" | "&amp;INDEX(Mapping!$B$29:$B$38,MATCH($B410,Mapping!$A$29:$A$38,0)))</f>
        <v/>
      </c>
      <c r="I410" s="5">
        <f>INDEX(Variables!$C$5:$C$65,MATCH($A410,Variables!$A$5:$A$65,0))</f>
        <v/>
      </c>
      <c r="J410" s="5">
        <f>INDEX(Variables!$E$5:$E$65,MATCH($A410,Variables!$A$5:$A$65,0))</f>
        <v/>
      </c>
      <c r="K410" s="23">
        <f>LOWER(Settings!$C$4)&amp;".mit."&amp;$A410&amp;IF($C410="","","."&amp;$C410&amp;"."&amp;$B410)&amp;IF(INDEX(Variables!$D$5:$D$65,MATCH($A410,Variables!$A$5:$A$65,0))="","","."&amp;INDEX(Variables!$D$5:$D$65,MATCH($A410,Variables!$A$5:$A$65,0)))&amp;"."&amp;K$5</f>
        <v/>
      </c>
      <c r="L410" s="38">
        <f>$D410+L401</f>
        <v/>
      </c>
      <c r="M410" s="36">
        <f>$D410+M401</f>
        <v/>
      </c>
      <c r="N410" s="36">
        <f>$D410+N401</f>
        <v/>
      </c>
      <c r="O410" s="36">
        <f>$D410+O401</f>
        <v/>
      </c>
      <c r="P410" s="36">
        <f>$D410+P401</f>
        <v/>
      </c>
      <c r="Q410" s="36">
        <f>$D410+Q401</f>
        <v/>
      </c>
      <c r="R410" s="36">
        <f>$D410+R401</f>
        <v/>
      </c>
      <c r="S410" s="36">
        <f>$D410+S401</f>
        <v/>
      </c>
      <c r="T410" s="36">
        <f>$D410+T401</f>
        <v/>
      </c>
      <c r="U410" s="36">
        <f>$D410+U401</f>
        <v/>
      </c>
      <c r="V410" s="36">
        <f>$D410+V401</f>
        <v/>
      </c>
      <c r="W410" s="36">
        <f>$D410+W401</f>
        <v/>
      </c>
      <c r="X410" s="36">
        <f>$D410+X401</f>
        <v/>
      </c>
      <c r="Y410" s="39">
        <f>TAX($D410,Y401)</f>
        <v/>
      </c>
      <c r="Z410" s="23">
        <f>LOWER(Settings!$C$4)&amp;".mit."&amp;$A410&amp;IF($C410="","","."&amp;$C410&amp;"."&amp;$B410)&amp;IF(INDEX(Variables!$D$5:$D$65,MATCH($A410,Variables!$A$5:$A$65,0))="","","."&amp;INDEX(Variables!$D$5:$D$65,MATCH($A410,Variables!$A$5:$A$65,0)))&amp;"."&amp;Z$5</f>
        <v/>
      </c>
      <c r="AA410" s="38">
        <f>$D410+AA401</f>
        <v/>
      </c>
      <c r="AB410" s="36">
        <f>$D410+AB401</f>
        <v/>
      </c>
      <c r="AC410" s="36">
        <f>$D410+AC401</f>
        <v/>
      </c>
      <c r="AD410" s="36">
        <f>$D410+AD401</f>
        <v/>
      </c>
      <c r="AE410" s="36">
        <f>$D410+AE401</f>
        <v/>
      </c>
      <c r="AF410" s="36">
        <f>$D410+AF401</f>
        <v/>
      </c>
      <c r="AG410" s="36">
        <f>$D410+AG401</f>
        <v/>
      </c>
      <c r="AH410" s="36">
        <f>$D410+AH401</f>
        <v/>
      </c>
      <c r="AI410" s="36">
        <f>$D410+AI401</f>
        <v/>
      </c>
      <c r="AJ410" s="36">
        <f>$D410+AJ401</f>
        <v/>
      </c>
      <c r="AK410" s="36">
        <f>$D410+AK401</f>
        <v/>
      </c>
      <c r="AL410" s="36">
        <f>$D410+AL401</f>
        <v/>
      </c>
      <c r="AM410" s="36">
        <f>$D410+AM401</f>
        <v/>
      </c>
      <c r="AN410" s="39">
        <f>TAX($D410,AN401)</f>
        <v/>
      </c>
    </row>
    <row r="411" hidden="1" outlineLevel="2">
      <c r="A411" s="5" t="inlineStr">
        <is>
          <t>tax</t>
        </is>
      </c>
      <c r="B411" s="5" t="inlineStr">
        <is>
          <t>lpg</t>
        </is>
      </c>
      <c r="C411" s="5" t="inlineStr">
        <is>
          <t>nav</t>
        </is>
      </c>
      <c r="D411" s="36">
        <f>INDEX(Inputs!$T$5:$T$132,MATCH($B411&amp;"|"&amp;$C411,Inputs!$A$5:$A$132,0))</f>
        <v/>
      </c>
      <c r="E411" s="37" t="n"/>
      <c r="F411" s="37" t="n"/>
      <c r="G411" s="37" t="n"/>
      <c r="H411" s="5">
        <f>INDEX(Variables!$B$5:$B$65,MATCH($A411,Variables!$A$5:$A$65,0))&amp;IF($C411="",""," | "&amp;INDEX(Mapping!$B$5:$B$25,MATCH($C411,Mapping!$A$5:$A$25,0))&amp;" | "&amp;INDEX(Mapping!$B$29:$B$38,MATCH($B411,Mapping!$A$29:$A$38,0)))</f>
        <v/>
      </c>
      <c r="I411" s="5">
        <f>INDEX(Variables!$C$5:$C$65,MATCH($A411,Variables!$A$5:$A$65,0))</f>
        <v/>
      </c>
      <c r="J411" s="5">
        <f>INDEX(Variables!$E$5:$E$65,MATCH($A411,Variables!$A$5:$A$65,0))</f>
        <v/>
      </c>
      <c r="K411" s="23">
        <f>LOWER(Settings!$C$4)&amp;".mit."&amp;$A411&amp;IF($C411="","","."&amp;$C411&amp;"."&amp;$B411)&amp;IF(INDEX(Variables!$D$5:$D$65,MATCH($A411,Variables!$A$5:$A$65,0))="","","."&amp;INDEX(Variables!$D$5:$D$65,MATCH($A411,Variables!$A$5:$A$65,0)))&amp;"."&amp;K$5</f>
        <v/>
      </c>
      <c r="L411" s="38">
        <f>$D411+L402</f>
        <v/>
      </c>
      <c r="M411" s="36">
        <f>$D411+M402</f>
        <v/>
      </c>
      <c r="N411" s="36">
        <f>$D411+N402</f>
        <v/>
      </c>
      <c r="O411" s="36">
        <f>$D411+O402</f>
        <v/>
      </c>
      <c r="P411" s="36">
        <f>$D411+P402</f>
        <v/>
      </c>
      <c r="Q411" s="36">
        <f>$D411+Q402</f>
        <v/>
      </c>
      <c r="R411" s="36">
        <f>$D411+R402</f>
        <v/>
      </c>
      <c r="S411" s="36">
        <f>$D411+S402</f>
        <v/>
      </c>
      <c r="T411" s="36">
        <f>$D411+T402</f>
        <v/>
      </c>
      <c r="U411" s="36">
        <f>$D411+U402</f>
        <v/>
      </c>
      <c r="V411" s="36">
        <f>$D411+V402</f>
        <v/>
      </c>
      <c r="W411" s="36">
        <f>$D411+W402</f>
        <v/>
      </c>
      <c r="X411" s="36">
        <f>$D411+X402</f>
        <v/>
      </c>
      <c r="Y411" s="39">
        <f>TAX($D411,Y402)</f>
        <v/>
      </c>
      <c r="Z411" s="23">
        <f>LOWER(Settings!$C$4)&amp;".mit."&amp;$A411&amp;IF($C411="","","."&amp;$C411&amp;"."&amp;$B411)&amp;IF(INDEX(Variables!$D$5:$D$65,MATCH($A411,Variables!$A$5:$A$65,0))="","","."&amp;INDEX(Variables!$D$5:$D$65,MATCH($A411,Variables!$A$5:$A$65,0)))&amp;"."&amp;Z$5</f>
        <v/>
      </c>
      <c r="AA411" s="38">
        <f>$D411+AA402</f>
        <v/>
      </c>
      <c r="AB411" s="36">
        <f>$D411+AB402</f>
        <v/>
      </c>
      <c r="AC411" s="36">
        <f>$D411+AC402</f>
        <v/>
      </c>
      <c r="AD411" s="36">
        <f>$D411+AD402</f>
        <v/>
      </c>
      <c r="AE411" s="36">
        <f>$D411+AE402</f>
        <v/>
      </c>
      <c r="AF411" s="36">
        <f>$D411+AF402</f>
        <v/>
      </c>
      <c r="AG411" s="36">
        <f>$D411+AG402</f>
        <v/>
      </c>
      <c r="AH411" s="36">
        <f>$D411+AH402</f>
        <v/>
      </c>
      <c r="AI411" s="36">
        <f>$D411+AI402</f>
        <v/>
      </c>
      <c r="AJ411" s="36">
        <f>$D411+AJ402</f>
        <v/>
      </c>
      <c r="AK411" s="36">
        <f>$D411+AK402</f>
        <v/>
      </c>
      <c r="AL411" s="36">
        <f>$D411+AL402</f>
        <v/>
      </c>
      <c r="AM411" s="36">
        <f>$D411+AM402</f>
        <v/>
      </c>
      <c r="AN411" s="39">
        <f>TAX($D411,AN402)</f>
        <v/>
      </c>
    </row>
    <row r="412" hidden="1" outlineLevel="2">
      <c r="A412" s="5" t="inlineStr">
        <is>
          <t>tax</t>
        </is>
      </c>
      <c r="B412" s="5" t="inlineStr">
        <is>
          <t>ker</t>
        </is>
      </c>
      <c r="C412" s="5" t="inlineStr">
        <is>
          <t>nav</t>
        </is>
      </c>
      <c r="D412" s="36">
        <f>INDEX(Inputs!$T$5:$T$132,MATCH($B412&amp;"|"&amp;$C412,Inputs!$A$5:$A$132,0))</f>
        <v/>
      </c>
      <c r="E412" s="37" t="n"/>
      <c r="F412" s="37" t="n"/>
      <c r="G412" s="37" t="n"/>
      <c r="H412" s="5">
        <f>INDEX(Variables!$B$5:$B$65,MATCH($A412,Variables!$A$5:$A$65,0))&amp;IF($C412="",""," | "&amp;INDEX(Mapping!$B$5:$B$25,MATCH($C412,Mapping!$A$5:$A$25,0))&amp;" | "&amp;INDEX(Mapping!$B$29:$B$38,MATCH($B412,Mapping!$A$29:$A$38,0)))</f>
        <v/>
      </c>
      <c r="I412" s="5">
        <f>INDEX(Variables!$C$5:$C$65,MATCH($A412,Variables!$A$5:$A$65,0))</f>
        <v/>
      </c>
      <c r="J412" s="5">
        <f>INDEX(Variables!$E$5:$E$65,MATCH($A412,Variables!$A$5:$A$65,0))</f>
        <v/>
      </c>
      <c r="K412" s="23">
        <f>LOWER(Settings!$C$4)&amp;".mit."&amp;$A412&amp;IF($C412="","","."&amp;$C412&amp;"."&amp;$B412)&amp;IF(INDEX(Variables!$D$5:$D$65,MATCH($A412,Variables!$A$5:$A$65,0))="","","."&amp;INDEX(Variables!$D$5:$D$65,MATCH($A412,Variables!$A$5:$A$65,0)))&amp;"."&amp;K$5</f>
        <v/>
      </c>
      <c r="L412" s="38">
        <f>$D412+L403</f>
        <v/>
      </c>
      <c r="M412" s="36">
        <f>$D412+M403</f>
        <v/>
      </c>
      <c r="N412" s="36">
        <f>$D412+N403</f>
        <v/>
      </c>
      <c r="O412" s="36">
        <f>$D412+O403</f>
        <v/>
      </c>
      <c r="P412" s="36">
        <f>$D412+P403</f>
        <v/>
      </c>
      <c r="Q412" s="36">
        <f>$D412+Q403</f>
        <v/>
      </c>
      <c r="R412" s="36">
        <f>$D412+R403</f>
        <v/>
      </c>
      <c r="S412" s="36">
        <f>$D412+S403</f>
        <v/>
      </c>
      <c r="T412" s="36">
        <f>$D412+T403</f>
        <v/>
      </c>
      <c r="U412" s="36">
        <f>$D412+U403</f>
        <v/>
      </c>
      <c r="V412" s="36">
        <f>$D412+V403</f>
        <v/>
      </c>
      <c r="W412" s="36">
        <f>$D412+W403</f>
        <v/>
      </c>
      <c r="X412" s="36">
        <f>$D412+X403</f>
        <v/>
      </c>
      <c r="Y412" s="39">
        <f>TAX($D412,Y403)</f>
        <v/>
      </c>
      <c r="Z412" s="23">
        <f>LOWER(Settings!$C$4)&amp;".mit."&amp;$A412&amp;IF($C412="","","."&amp;$C412&amp;"."&amp;$B412)&amp;IF(INDEX(Variables!$D$5:$D$65,MATCH($A412,Variables!$A$5:$A$65,0))="","","."&amp;INDEX(Variables!$D$5:$D$65,MATCH($A412,Variables!$A$5:$A$65,0)))&amp;"."&amp;Z$5</f>
        <v/>
      </c>
      <c r="AA412" s="38">
        <f>$D412+AA403</f>
        <v/>
      </c>
      <c r="AB412" s="36">
        <f>$D412+AB403</f>
        <v/>
      </c>
      <c r="AC412" s="36">
        <f>$D412+AC403</f>
        <v/>
      </c>
      <c r="AD412" s="36">
        <f>$D412+AD403</f>
        <v/>
      </c>
      <c r="AE412" s="36">
        <f>$D412+AE403</f>
        <v/>
      </c>
      <c r="AF412" s="36">
        <f>$D412+AF403</f>
        <v/>
      </c>
      <c r="AG412" s="36">
        <f>$D412+AG403</f>
        <v/>
      </c>
      <c r="AH412" s="36">
        <f>$D412+AH403</f>
        <v/>
      </c>
      <c r="AI412" s="36">
        <f>$D412+AI403</f>
        <v/>
      </c>
      <c r="AJ412" s="36">
        <f>$D412+AJ403</f>
        <v/>
      </c>
      <c r="AK412" s="36">
        <f>$D412+AK403</f>
        <v/>
      </c>
      <c r="AL412" s="36">
        <f>$D412+AL403</f>
        <v/>
      </c>
      <c r="AM412" s="36">
        <f>$D412+AM403</f>
        <v/>
      </c>
      <c r="AN412" s="39">
        <f>TAX($D412,AN403)</f>
        <v/>
      </c>
    </row>
    <row r="413" hidden="1" outlineLevel="2">
      <c r="A413" s="5" t="inlineStr">
        <is>
          <t>tax</t>
        </is>
      </c>
      <c r="B413" s="5" t="inlineStr">
        <is>
          <t>oop</t>
        </is>
      </c>
      <c r="C413" s="5" t="inlineStr">
        <is>
          <t>nav</t>
        </is>
      </c>
      <c r="D413" s="36">
        <f>INDEX(Inputs!$T$5:$T$132,MATCH($B413&amp;"|"&amp;$C413,Inputs!$A$5:$A$132,0))</f>
        <v/>
      </c>
      <c r="E413" s="37" t="n"/>
      <c r="F413" s="37" t="n"/>
      <c r="G413" s="37" t="n"/>
      <c r="H413" s="5">
        <f>INDEX(Variables!$B$5:$B$65,MATCH($A413,Variables!$A$5:$A$65,0))&amp;IF($C413="",""," | "&amp;INDEX(Mapping!$B$5:$B$25,MATCH($C413,Mapping!$A$5:$A$25,0))&amp;" | "&amp;INDEX(Mapping!$B$29:$B$38,MATCH($B413,Mapping!$A$29:$A$38,0)))</f>
        <v/>
      </c>
      <c r="I413" s="5">
        <f>INDEX(Variables!$C$5:$C$65,MATCH($A413,Variables!$A$5:$A$65,0))</f>
        <v/>
      </c>
      <c r="J413" s="5">
        <f>INDEX(Variables!$E$5:$E$65,MATCH($A413,Variables!$A$5:$A$65,0))</f>
        <v/>
      </c>
      <c r="K413" s="23">
        <f>LOWER(Settings!$C$4)&amp;".mit."&amp;$A413&amp;IF($C413="","","."&amp;$C413&amp;"."&amp;$B413)&amp;IF(INDEX(Variables!$D$5:$D$65,MATCH($A413,Variables!$A$5:$A$65,0))="","","."&amp;INDEX(Variables!$D$5:$D$65,MATCH($A413,Variables!$A$5:$A$65,0)))&amp;"."&amp;K$5</f>
        <v/>
      </c>
      <c r="L413" s="38">
        <f>$D413+L404</f>
        <v/>
      </c>
      <c r="M413" s="36">
        <f>$D413+M404</f>
        <v/>
      </c>
      <c r="N413" s="36">
        <f>$D413+N404</f>
        <v/>
      </c>
      <c r="O413" s="36">
        <f>$D413+O404</f>
        <v/>
      </c>
      <c r="P413" s="36">
        <f>$D413+P404</f>
        <v/>
      </c>
      <c r="Q413" s="36">
        <f>$D413+Q404</f>
        <v/>
      </c>
      <c r="R413" s="36">
        <f>$D413+R404</f>
        <v/>
      </c>
      <c r="S413" s="36">
        <f>$D413+S404</f>
        <v/>
      </c>
      <c r="T413" s="36">
        <f>$D413+T404</f>
        <v/>
      </c>
      <c r="U413" s="36">
        <f>$D413+U404</f>
        <v/>
      </c>
      <c r="V413" s="36">
        <f>$D413+V404</f>
        <v/>
      </c>
      <c r="W413" s="36">
        <f>$D413+W404</f>
        <v/>
      </c>
      <c r="X413" s="36">
        <f>$D413+X404</f>
        <v/>
      </c>
      <c r="Y413" s="39">
        <f>TAX($D413,Y404)</f>
        <v/>
      </c>
      <c r="Z413" s="23">
        <f>LOWER(Settings!$C$4)&amp;".mit."&amp;$A413&amp;IF($C413="","","."&amp;$C413&amp;"."&amp;$B413)&amp;IF(INDEX(Variables!$D$5:$D$65,MATCH($A413,Variables!$A$5:$A$65,0))="","","."&amp;INDEX(Variables!$D$5:$D$65,MATCH($A413,Variables!$A$5:$A$65,0)))&amp;"."&amp;Z$5</f>
        <v/>
      </c>
      <c r="AA413" s="38">
        <f>$D413+AA404</f>
        <v/>
      </c>
      <c r="AB413" s="36">
        <f>$D413+AB404</f>
        <v/>
      </c>
      <c r="AC413" s="36">
        <f>$D413+AC404</f>
        <v/>
      </c>
      <c r="AD413" s="36">
        <f>$D413+AD404</f>
        <v/>
      </c>
      <c r="AE413" s="36">
        <f>$D413+AE404</f>
        <v/>
      </c>
      <c r="AF413" s="36">
        <f>$D413+AF404</f>
        <v/>
      </c>
      <c r="AG413" s="36">
        <f>$D413+AG404</f>
        <v/>
      </c>
      <c r="AH413" s="36">
        <f>$D413+AH404</f>
        <v/>
      </c>
      <c r="AI413" s="36">
        <f>$D413+AI404</f>
        <v/>
      </c>
      <c r="AJ413" s="36">
        <f>$D413+AJ404</f>
        <v/>
      </c>
      <c r="AK413" s="36">
        <f>$D413+AK404</f>
        <v/>
      </c>
      <c r="AL413" s="36">
        <f>$D413+AL404</f>
        <v/>
      </c>
      <c r="AM413" s="36">
        <f>$D413+AM404</f>
        <v/>
      </c>
      <c r="AN413" s="39">
        <f>TAX($D413,AN404)</f>
        <v/>
      </c>
    </row>
    <row r="414" hidden="1" outlineLevel="2">
      <c r="A414" s="5" t="inlineStr">
        <is>
          <t>tax</t>
        </is>
      </c>
      <c r="B414" s="5" t="inlineStr">
        <is>
          <t>bio</t>
        </is>
      </c>
      <c r="C414" s="5" t="inlineStr">
        <is>
          <t>nav</t>
        </is>
      </c>
      <c r="D414" s="36">
        <f>INDEX(Inputs!$T$5:$T$132,MATCH($B414&amp;"|"&amp;$C414,Inputs!$A$5:$A$132,0))</f>
        <v/>
      </c>
      <c r="E414" s="37" t="n"/>
      <c r="F414" s="37" t="n"/>
      <c r="G414" s="37" t="n"/>
      <c r="H414" s="5">
        <f>INDEX(Variables!$B$5:$B$65,MATCH($A414,Variables!$A$5:$A$65,0))&amp;IF($C414="",""," | "&amp;INDEX(Mapping!$B$5:$B$25,MATCH($C414,Mapping!$A$5:$A$25,0))&amp;" | "&amp;INDEX(Mapping!$B$29:$B$38,MATCH($B414,Mapping!$A$29:$A$38,0)))</f>
        <v/>
      </c>
      <c r="I414" s="5">
        <f>INDEX(Variables!$C$5:$C$65,MATCH($A414,Variables!$A$5:$A$65,0))</f>
        <v/>
      </c>
      <c r="J414" s="5">
        <f>INDEX(Variables!$E$5:$E$65,MATCH($A414,Variables!$A$5:$A$65,0))</f>
        <v/>
      </c>
      <c r="K414" s="23">
        <f>LOWER(Settings!$C$4)&amp;".mit."&amp;$A414&amp;IF($C414="","","."&amp;$C414&amp;"."&amp;$B414)&amp;IF(INDEX(Variables!$D$5:$D$65,MATCH($A414,Variables!$A$5:$A$65,0))="","","."&amp;INDEX(Variables!$D$5:$D$65,MATCH($A414,Variables!$A$5:$A$65,0)))&amp;"."&amp;K$5</f>
        <v/>
      </c>
      <c r="L414" s="38">
        <f>$D414+L405</f>
        <v/>
      </c>
      <c r="M414" s="36">
        <f>$D414+M405</f>
        <v/>
      </c>
      <c r="N414" s="36">
        <f>$D414+N405</f>
        <v/>
      </c>
      <c r="O414" s="36">
        <f>$D414+O405</f>
        <v/>
      </c>
      <c r="P414" s="36">
        <f>$D414+P405</f>
        <v/>
      </c>
      <c r="Q414" s="36">
        <f>$D414+Q405</f>
        <v/>
      </c>
      <c r="R414" s="36">
        <f>$D414+R405</f>
        <v/>
      </c>
      <c r="S414" s="36">
        <f>$D414+S405</f>
        <v/>
      </c>
      <c r="T414" s="36">
        <f>$D414+T405</f>
        <v/>
      </c>
      <c r="U414" s="36">
        <f>$D414+U405</f>
        <v/>
      </c>
      <c r="V414" s="36">
        <f>$D414+V405</f>
        <v/>
      </c>
      <c r="W414" s="36">
        <f>$D414+W405</f>
        <v/>
      </c>
      <c r="X414" s="36">
        <f>$D414+X405</f>
        <v/>
      </c>
      <c r="Y414" s="39">
        <f>TAX($D414,Y405)</f>
        <v/>
      </c>
      <c r="Z414" s="23">
        <f>LOWER(Settings!$C$4)&amp;".mit."&amp;$A414&amp;IF($C414="","","."&amp;$C414&amp;"."&amp;$B414)&amp;IF(INDEX(Variables!$D$5:$D$65,MATCH($A414,Variables!$A$5:$A$65,0))="","","."&amp;INDEX(Variables!$D$5:$D$65,MATCH($A414,Variables!$A$5:$A$65,0)))&amp;"."&amp;Z$5</f>
        <v/>
      </c>
      <c r="AA414" s="38">
        <f>$D414+AA405</f>
        <v/>
      </c>
      <c r="AB414" s="36">
        <f>$D414+AB405</f>
        <v/>
      </c>
      <c r="AC414" s="36">
        <f>$D414+AC405</f>
        <v/>
      </c>
      <c r="AD414" s="36">
        <f>$D414+AD405</f>
        <v/>
      </c>
      <c r="AE414" s="36">
        <f>$D414+AE405</f>
        <v/>
      </c>
      <c r="AF414" s="36">
        <f>$D414+AF405</f>
        <v/>
      </c>
      <c r="AG414" s="36">
        <f>$D414+AG405</f>
        <v/>
      </c>
      <c r="AH414" s="36">
        <f>$D414+AH405</f>
        <v/>
      </c>
      <c r="AI414" s="36">
        <f>$D414+AI405</f>
        <v/>
      </c>
      <c r="AJ414" s="36">
        <f>$D414+AJ405</f>
        <v/>
      </c>
      <c r="AK414" s="36">
        <f>$D414+AK405</f>
        <v/>
      </c>
      <c r="AL414" s="36">
        <f>$D414+AL405</f>
        <v/>
      </c>
      <c r="AM414" s="36">
        <f>$D414+AM405</f>
        <v/>
      </c>
      <c r="AN414" s="39">
        <f>TAX($D414,AN405)</f>
        <v/>
      </c>
    </row>
    <row r="415" hidden="1" outlineLevel="2"/>
    <row r="416" hidden="1" outlineLevel="2">
      <c r="A416" s="5" t="inlineStr">
        <is>
          <t>atp</t>
        </is>
      </c>
      <c r="B416" s="5" t="inlineStr">
        <is>
          <t>coa</t>
        </is>
      </c>
      <c r="C416" s="5" t="inlineStr">
        <is>
          <t>nav</t>
        </is>
      </c>
      <c r="D416" s="37" t="n"/>
      <c r="E416" s="37" t="n"/>
      <c r="F416" s="37" t="n"/>
      <c r="G416" s="37" t="n"/>
      <c r="H416" s="5">
        <f>INDEX(Variables!$B$5:$B$65,MATCH($A416,Variables!$A$5:$A$65,0))&amp;IF($C416="",""," | "&amp;INDEX(Mapping!$B$5:$B$25,MATCH($C416,Mapping!$A$5:$A$25,0))&amp;" | "&amp;INDEX(Mapping!$B$29:$B$38,MATCH($B416,Mapping!$A$29:$A$38,0)))</f>
        <v/>
      </c>
      <c r="I416" s="5">
        <f>INDEX(Variables!$C$5:$C$65,MATCH($A416,Variables!$A$5:$A$65,0))</f>
        <v/>
      </c>
      <c r="J416" s="5">
        <f>INDEX(Variables!$E$5:$E$65,MATCH($A416,Variables!$A$5:$A$65,0))</f>
        <v/>
      </c>
      <c r="K416" s="23">
        <f>LOWER(Settings!$C$4)&amp;".mit."&amp;$A416&amp;IF($C416="","","."&amp;$C416&amp;"."&amp;$B416)&amp;IF(INDEX(Variables!$D$5:$D$65,MATCH($A416,Variables!$A$5:$A$65,0))="","","."&amp;INDEX(Variables!$D$5:$D$65,MATCH($A416,Variables!$A$5:$A$65,0)))&amp;"."&amp;K$5</f>
        <v/>
      </c>
      <c r="L416" s="38">
        <f>L371+L407</f>
        <v/>
      </c>
      <c r="M416" s="36">
        <f>M371+M407</f>
        <v/>
      </c>
      <c r="N416" s="36">
        <f>N371+N407</f>
        <v/>
      </c>
      <c r="O416" s="36">
        <f>O371+O407</f>
        <v/>
      </c>
      <c r="P416" s="36">
        <f>P371+P407</f>
        <v/>
      </c>
      <c r="Q416" s="36">
        <f>Q371+Q407</f>
        <v/>
      </c>
      <c r="R416" s="36">
        <f>R371+R407</f>
        <v/>
      </c>
      <c r="S416" s="36">
        <f>S371+S407</f>
        <v/>
      </c>
      <c r="T416" s="36">
        <f>T371+T407</f>
        <v/>
      </c>
      <c r="U416" s="36">
        <f>U371+U407</f>
        <v/>
      </c>
      <c r="V416" s="36">
        <f>V371+V407</f>
        <v/>
      </c>
      <c r="W416" s="36">
        <f>W371+W407</f>
        <v/>
      </c>
      <c r="X416" s="36">
        <f>X371+X407</f>
        <v/>
      </c>
      <c r="Y416" s="39">
        <f>POSTTAX(Y371,Y407)</f>
        <v/>
      </c>
      <c r="Z416" s="23">
        <f>LOWER(Settings!$C$4)&amp;".mit."&amp;$A416&amp;IF($C416="","","."&amp;$C416&amp;"."&amp;$B416)&amp;IF(INDEX(Variables!$D$5:$D$65,MATCH($A416,Variables!$A$5:$A$65,0))="","","."&amp;INDEX(Variables!$D$5:$D$65,MATCH($A416,Variables!$A$5:$A$65,0)))&amp;"."&amp;Z$5</f>
        <v/>
      </c>
      <c r="AA416" s="38">
        <f>AA371+AA407</f>
        <v/>
      </c>
      <c r="AB416" s="36">
        <f>AB371+AB407</f>
        <v/>
      </c>
      <c r="AC416" s="36">
        <f>AC371+AC407</f>
        <v/>
      </c>
      <c r="AD416" s="36">
        <f>AD371+AD407</f>
        <v/>
      </c>
      <c r="AE416" s="36">
        <f>AE371+AE407</f>
        <v/>
      </c>
      <c r="AF416" s="36">
        <f>AF371+AF407</f>
        <v/>
      </c>
      <c r="AG416" s="36">
        <f>AG371+AG407</f>
        <v/>
      </c>
      <c r="AH416" s="36">
        <f>AH371+AH407</f>
        <v/>
      </c>
      <c r="AI416" s="36">
        <f>AI371+AI407</f>
        <v/>
      </c>
      <c r="AJ416" s="36">
        <f>AJ371+AJ407</f>
        <v/>
      </c>
      <c r="AK416" s="36">
        <f>AK371+AK407</f>
        <v/>
      </c>
      <c r="AL416" s="36">
        <f>AL371+AL407</f>
        <v/>
      </c>
      <c r="AM416" s="36">
        <f>AM371+AM407</f>
        <v/>
      </c>
      <c r="AN416" s="39">
        <f>POSTTAX(AN371,AN407)</f>
        <v/>
      </c>
    </row>
    <row r="417" hidden="1" outlineLevel="2">
      <c r="A417" s="5" t="inlineStr">
        <is>
          <t>atp</t>
        </is>
      </c>
      <c r="B417" s="5" t="inlineStr">
        <is>
          <t>nga</t>
        </is>
      </c>
      <c r="C417" s="5" t="inlineStr">
        <is>
          <t>nav</t>
        </is>
      </c>
      <c r="D417" s="37" t="n"/>
      <c r="E417" s="37" t="n"/>
      <c r="F417" s="37" t="n"/>
      <c r="G417" s="37" t="n"/>
      <c r="H417" s="5">
        <f>INDEX(Variables!$B$5:$B$65,MATCH($A417,Variables!$A$5:$A$65,0))&amp;IF($C417="",""," | "&amp;INDEX(Mapping!$B$5:$B$25,MATCH($C417,Mapping!$A$5:$A$25,0))&amp;" | "&amp;INDEX(Mapping!$B$29:$B$38,MATCH($B417,Mapping!$A$29:$A$38,0)))</f>
        <v/>
      </c>
      <c r="I417" s="5">
        <f>INDEX(Variables!$C$5:$C$65,MATCH($A417,Variables!$A$5:$A$65,0))</f>
        <v/>
      </c>
      <c r="J417" s="5">
        <f>INDEX(Variables!$E$5:$E$65,MATCH($A417,Variables!$A$5:$A$65,0))</f>
        <v/>
      </c>
      <c r="K417" s="23">
        <f>LOWER(Settings!$C$4)&amp;".mit."&amp;$A417&amp;IF($C417="","","."&amp;$C417&amp;"."&amp;$B417)&amp;IF(INDEX(Variables!$D$5:$D$65,MATCH($A417,Variables!$A$5:$A$65,0))="","","."&amp;INDEX(Variables!$D$5:$D$65,MATCH($A417,Variables!$A$5:$A$65,0)))&amp;"."&amp;K$5</f>
        <v/>
      </c>
      <c r="L417" s="38">
        <f>L372+L408</f>
        <v/>
      </c>
      <c r="M417" s="36">
        <f>M372+M408</f>
        <v/>
      </c>
      <c r="N417" s="36">
        <f>N372+N408</f>
        <v/>
      </c>
      <c r="O417" s="36">
        <f>O372+O408</f>
        <v/>
      </c>
      <c r="P417" s="36">
        <f>P372+P408</f>
        <v/>
      </c>
      <c r="Q417" s="36">
        <f>Q372+Q408</f>
        <v/>
      </c>
      <c r="R417" s="36">
        <f>R372+R408</f>
        <v/>
      </c>
      <c r="S417" s="36">
        <f>S372+S408</f>
        <v/>
      </c>
      <c r="T417" s="36">
        <f>T372+T408</f>
        <v/>
      </c>
      <c r="U417" s="36">
        <f>U372+U408</f>
        <v/>
      </c>
      <c r="V417" s="36">
        <f>V372+V408</f>
        <v/>
      </c>
      <c r="W417" s="36">
        <f>W372+W408</f>
        <v/>
      </c>
      <c r="X417" s="36">
        <f>X372+X408</f>
        <v/>
      </c>
      <c r="Y417" s="39">
        <f>POSTTAX(Y372,Y408)</f>
        <v/>
      </c>
      <c r="Z417" s="23">
        <f>LOWER(Settings!$C$4)&amp;".mit."&amp;$A417&amp;IF($C417="","","."&amp;$C417&amp;"."&amp;$B417)&amp;IF(INDEX(Variables!$D$5:$D$65,MATCH($A417,Variables!$A$5:$A$65,0))="","","."&amp;INDEX(Variables!$D$5:$D$65,MATCH($A417,Variables!$A$5:$A$65,0)))&amp;"."&amp;Z$5</f>
        <v/>
      </c>
      <c r="AA417" s="38">
        <f>AA372+AA408</f>
        <v/>
      </c>
      <c r="AB417" s="36">
        <f>AB372+AB408</f>
        <v/>
      </c>
      <c r="AC417" s="36">
        <f>AC372+AC408</f>
        <v/>
      </c>
      <c r="AD417" s="36">
        <f>AD372+AD408</f>
        <v/>
      </c>
      <c r="AE417" s="36">
        <f>AE372+AE408</f>
        <v/>
      </c>
      <c r="AF417" s="36">
        <f>AF372+AF408</f>
        <v/>
      </c>
      <c r="AG417" s="36">
        <f>AG372+AG408</f>
        <v/>
      </c>
      <c r="AH417" s="36">
        <f>AH372+AH408</f>
        <v/>
      </c>
      <c r="AI417" s="36">
        <f>AI372+AI408</f>
        <v/>
      </c>
      <c r="AJ417" s="36">
        <f>AJ372+AJ408</f>
        <v/>
      </c>
      <c r="AK417" s="36">
        <f>AK372+AK408</f>
        <v/>
      </c>
      <c r="AL417" s="36">
        <f>AL372+AL408</f>
        <v/>
      </c>
      <c r="AM417" s="36">
        <f>AM372+AM408</f>
        <v/>
      </c>
      <c r="AN417" s="39">
        <f>POSTTAX(AN372,AN408)</f>
        <v/>
      </c>
    </row>
    <row r="418" hidden="1" outlineLevel="2">
      <c r="A418" s="5" t="inlineStr">
        <is>
          <t>atp</t>
        </is>
      </c>
      <c r="B418" s="5" t="inlineStr">
        <is>
          <t>gso</t>
        </is>
      </c>
      <c r="C418" s="5" t="inlineStr">
        <is>
          <t>nav</t>
        </is>
      </c>
      <c r="D418" s="37" t="n"/>
      <c r="E418" s="37" t="n"/>
      <c r="F418" s="37" t="n"/>
      <c r="G418" s="37" t="n"/>
      <c r="H418" s="5">
        <f>INDEX(Variables!$B$5:$B$65,MATCH($A418,Variables!$A$5:$A$65,0))&amp;IF($C418="",""," | "&amp;INDEX(Mapping!$B$5:$B$25,MATCH($C418,Mapping!$A$5:$A$25,0))&amp;" | "&amp;INDEX(Mapping!$B$29:$B$38,MATCH($B418,Mapping!$A$29:$A$38,0)))</f>
        <v/>
      </c>
      <c r="I418" s="5">
        <f>INDEX(Variables!$C$5:$C$65,MATCH($A418,Variables!$A$5:$A$65,0))</f>
        <v/>
      </c>
      <c r="J418" s="5">
        <f>INDEX(Variables!$E$5:$E$65,MATCH($A418,Variables!$A$5:$A$65,0))</f>
        <v/>
      </c>
      <c r="K418" s="23">
        <f>LOWER(Settings!$C$4)&amp;".mit."&amp;$A418&amp;IF($C418="","","."&amp;$C418&amp;"."&amp;$B418)&amp;IF(INDEX(Variables!$D$5:$D$65,MATCH($A418,Variables!$A$5:$A$65,0))="","","."&amp;INDEX(Variables!$D$5:$D$65,MATCH($A418,Variables!$A$5:$A$65,0)))&amp;"."&amp;K$5</f>
        <v/>
      </c>
      <c r="L418" s="38">
        <f>L373+L409</f>
        <v/>
      </c>
      <c r="M418" s="36">
        <f>M373+M409</f>
        <v/>
      </c>
      <c r="N418" s="36">
        <f>N373+N409</f>
        <v/>
      </c>
      <c r="O418" s="36">
        <f>O373+O409</f>
        <v/>
      </c>
      <c r="P418" s="36">
        <f>P373+P409</f>
        <v/>
      </c>
      <c r="Q418" s="36">
        <f>Q373+Q409</f>
        <v/>
      </c>
      <c r="R418" s="36">
        <f>R373+R409</f>
        <v/>
      </c>
      <c r="S418" s="36">
        <f>S373+S409</f>
        <v/>
      </c>
      <c r="T418" s="36">
        <f>T373+T409</f>
        <v/>
      </c>
      <c r="U418" s="36">
        <f>U373+U409</f>
        <v/>
      </c>
      <c r="V418" s="36">
        <f>V373+V409</f>
        <v/>
      </c>
      <c r="W418" s="36">
        <f>W373+W409</f>
        <v/>
      </c>
      <c r="X418" s="36">
        <f>X373+X409</f>
        <v/>
      </c>
      <c r="Y418" s="39">
        <f>POSTTAX(Y373,Y409)</f>
        <v/>
      </c>
      <c r="Z418" s="23">
        <f>LOWER(Settings!$C$4)&amp;".mit."&amp;$A418&amp;IF($C418="","","."&amp;$C418&amp;"."&amp;$B418)&amp;IF(INDEX(Variables!$D$5:$D$65,MATCH($A418,Variables!$A$5:$A$65,0))="","","."&amp;INDEX(Variables!$D$5:$D$65,MATCH($A418,Variables!$A$5:$A$65,0)))&amp;"."&amp;Z$5</f>
        <v/>
      </c>
      <c r="AA418" s="38">
        <f>AA373+AA409</f>
        <v/>
      </c>
      <c r="AB418" s="36">
        <f>AB373+AB409</f>
        <v/>
      </c>
      <c r="AC418" s="36">
        <f>AC373+AC409</f>
        <v/>
      </c>
      <c r="AD418" s="36">
        <f>AD373+AD409</f>
        <v/>
      </c>
      <c r="AE418" s="36">
        <f>AE373+AE409</f>
        <v/>
      </c>
      <c r="AF418" s="36">
        <f>AF373+AF409</f>
        <v/>
      </c>
      <c r="AG418" s="36">
        <f>AG373+AG409</f>
        <v/>
      </c>
      <c r="AH418" s="36">
        <f>AH373+AH409</f>
        <v/>
      </c>
      <c r="AI418" s="36">
        <f>AI373+AI409</f>
        <v/>
      </c>
      <c r="AJ418" s="36">
        <f>AJ373+AJ409</f>
        <v/>
      </c>
      <c r="AK418" s="36">
        <f>AK373+AK409</f>
        <v/>
      </c>
      <c r="AL418" s="36">
        <f>AL373+AL409</f>
        <v/>
      </c>
      <c r="AM418" s="36">
        <f>AM373+AM409</f>
        <v/>
      </c>
      <c r="AN418" s="39">
        <f>POSTTAX(AN373,AN409)</f>
        <v/>
      </c>
    </row>
    <row r="419" hidden="1" outlineLevel="2">
      <c r="A419" s="5" t="inlineStr">
        <is>
          <t>atp</t>
        </is>
      </c>
      <c r="B419" s="5" t="inlineStr">
        <is>
          <t>die</t>
        </is>
      </c>
      <c r="C419" s="5" t="inlineStr">
        <is>
          <t>nav</t>
        </is>
      </c>
      <c r="D419" s="37" t="n"/>
      <c r="E419" s="37" t="n"/>
      <c r="F419" s="37" t="n"/>
      <c r="G419" s="37" t="n"/>
      <c r="H419" s="5">
        <f>INDEX(Variables!$B$5:$B$65,MATCH($A419,Variables!$A$5:$A$65,0))&amp;IF($C419="",""," | "&amp;INDEX(Mapping!$B$5:$B$25,MATCH($C419,Mapping!$A$5:$A$25,0))&amp;" | "&amp;INDEX(Mapping!$B$29:$B$38,MATCH($B419,Mapping!$A$29:$A$38,0)))</f>
        <v/>
      </c>
      <c r="I419" s="5">
        <f>INDEX(Variables!$C$5:$C$65,MATCH($A419,Variables!$A$5:$A$65,0))</f>
        <v/>
      </c>
      <c r="J419" s="5">
        <f>INDEX(Variables!$E$5:$E$65,MATCH($A419,Variables!$A$5:$A$65,0))</f>
        <v/>
      </c>
      <c r="K419" s="23">
        <f>LOWER(Settings!$C$4)&amp;".mit."&amp;$A419&amp;IF($C419="","","."&amp;$C419&amp;"."&amp;$B419)&amp;IF(INDEX(Variables!$D$5:$D$65,MATCH($A419,Variables!$A$5:$A$65,0))="","","."&amp;INDEX(Variables!$D$5:$D$65,MATCH($A419,Variables!$A$5:$A$65,0)))&amp;"."&amp;K$5</f>
        <v/>
      </c>
      <c r="L419" s="38">
        <f>L374+L410</f>
        <v/>
      </c>
      <c r="M419" s="36">
        <f>M374+M410</f>
        <v/>
      </c>
      <c r="N419" s="36">
        <f>N374+N410</f>
        <v/>
      </c>
      <c r="O419" s="36">
        <f>O374+O410</f>
        <v/>
      </c>
      <c r="P419" s="36">
        <f>P374+P410</f>
        <v/>
      </c>
      <c r="Q419" s="36">
        <f>Q374+Q410</f>
        <v/>
      </c>
      <c r="R419" s="36">
        <f>R374+R410</f>
        <v/>
      </c>
      <c r="S419" s="36">
        <f>S374+S410</f>
        <v/>
      </c>
      <c r="T419" s="36">
        <f>T374+T410</f>
        <v/>
      </c>
      <c r="U419" s="36">
        <f>U374+U410</f>
        <v/>
      </c>
      <c r="V419" s="36">
        <f>V374+V410</f>
        <v/>
      </c>
      <c r="W419" s="36">
        <f>W374+W410</f>
        <v/>
      </c>
      <c r="X419" s="36">
        <f>X374+X410</f>
        <v/>
      </c>
      <c r="Y419" s="39">
        <f>POSTTAX(Y374,Y410)</f>
        <v/>
      </c>
      <c r="Z419" s="23">
        <f>LOWER(Settings!$C$4)&amp;".mit."&amp;$A419&amp;IF($C419="","","."&amp;$C419&amp;"."&amp;$B419)&amp;IF(INDEX(Variables!$D$5:$D$65,MATCH($A419,Variables!$A$5:$A$65,0))="","","."&amp;INDEX(Variables!$D$5:$D$65,MATCH($A419,Variables!$A$5:$A$65,0)))&amp;"."&amp;Z$5</f>
        <v/>
      </c>
      <c r="AA419" s="38">
        <f>AA374+AA410</f>
        <v/>
      </c>
      <c r="AB419" s="36">
        <f>AB374+AB410</f>
        <v/>
      </c>
      <c r="AC419" s="36">
        <f>AC374+AC410</f>
        <v/>
      </c>
      <c r="AD419" s="36">
        <f>AD374+AD410</f>
        <v/>
      </c>
      <c r="AE419" s="36">
        <f>AE374+AE410</f>
        <v/>
      </c>
      <c r="AF419" s="36">
        <f>AF374+AF410</f>
        <v/>
      </c>
      <c r="AG419" s="36">
        <f>AG374+AG410</f>
        <v/>
      </c>
      <c r="AH419" s="36">
        <f>AH374+AH410</f>
        <v/>
      </c>
      <c r="AI419" s="36">
        <f>AI374+AI410</f>
        <v/>
      </c>
      <c r="AJ419" s="36">
        <f>AJ374+AJ410</f>
        <v/>
      </c>
      <c r="AK419" s="36">
        <f>AK374+AK410</f>
        <v/>
      </c>
      <c r="AL419" s="36">
        <f>AL374+AL410</f>
        <v/>
      </c>
      <c r="AM419" s="36">
        <f>AM374+AM410</f>
        <v/>
      </c>
      <c r="AN419" s="39">
        <f>POSTTAX(AN374,AN410)</f>
        <v/>
      </c>
    </row>
    <row r="420" hidden="1" outlineLevel="2">
      <c r="A420" s="5" t="inlineStr">
        <is>
          <t>atp</t>
        </is>
      </c>
      <c r="B420" s="5" t="inlineStr">
        <is>
          <t>lpg</t>
        </is>
      </c>
      <c r="C420" s="5" t="inlineStr">
        <is>
          <t>nav</t>
        </is>
      </c>
      <c r="D420" s="37" t="n"/>
      <c r="E420" s="37" t="n"/>
      <c r="F420" s="37" t="n"/>
      <c r="G420" s="37" t="n"/>
      <c r="H420" s="5">
        <f>INDEX(Variables!$B$5:$B$65,MATCH($A420,Variables!$A$5:$A$65,0))&amp;IF($C420="",""," | "&amp;INDEX(Mapping!$B$5:$B$25,MATCH($C420,Mapping!$A$5:$A$25,0))&amp;" | "&amp;INDEX(Mapping!$B$29:$B$38,MATCH($B420,Mapping!$A$29:$A$38,0)))</f>
        <v/>
      </c>
      <c r="I420" s="5">
        <f>INDEX(Variables!$C$5:$C$65,MATCH($A420,Variables!$A$5:$A$65,0))</f>
        <v/>
      </c>
      <c r="J420" s="5">
        <f>INDEX(Variables!$E$5:$E$65,MATCH($A420,Variables!$A$5:$A$65,0))</f>
        <v/>
      </c>
      <c r="K420" s="23">
        <f>LOWER(Settings!$C$4)&amp;".mit."&amp;$A420&amp;IF($C420="","","."&amp;$C420&amp;"."&amp;$B420)&amp;IF(INDEX(Variables!$D$5:$D$65,MATCH($A420,Variables!$A$5:$A$65,0))="","","."&amp;INDEX(Variables!$D$5:$D$65,MATCH($A420,Variables!$A$5:$A$65,0)))&amp;"."&amp;K$5</f>
        <v/>
      </c>
      <c r="L420" s="38">
        <f>L375+L411</f>
        <v/>
      </c>
      <c r="M420" s="36">
        <f>M375+M411</f>
        <v/>
      </c>
      <c r="N420" s="36">
        <f>N375+N411</f>
        <v/>
      </c>
      <c r="O420" s="36">
        <f>O375+O411</f>
        <v/>
      </c>
      <c r="P420" s="36">
        <f>P375+P411</f>
        <v/>
      </c>
      <c r="Q420" s="36">
        <f>Q375+Q411</f>
        <v/>
      </c>
      <c r="R420" s="36">
        <f>R375+R411</f>
        <v/>
      </c>
      <c r="S420" s="36">
        <f>S375+S411</f>
        <v/>
      </c>
      <c r="T420" s="36">
        <f>T375+T411</f>
        <v/>
      </c>
      <c r="U420" s="36">
        <f>U375+U411</f>
        <v/>
      </c>
      <c r="V420" s="36">
        <f>V375+V411</f>
        <v/>
      </c>
      <c r="W420" s="36">
        <f>W375+W411</f>
        <v/>
      </c>
      <c r="X420" s="36">
        <f>X375+X411</f>
        <v/>
      </c>
      <c r="Y420" s="39">
        <f>POSTTAX(Y375,Y411)</f>
        <v/>
      </c>
      <c r="Z420" s="23">
        <f>LOWER(Settings!$C$4)&amp;".mit."&amp;$A420&amp;IF($C420="","","."&amp;$C420&amp;"."&amp;$B420)&amp;IF(INDEX(Variables!$D$5:$D$65,MATCH($A420,Variables!$A$5:$A$65,0))="","","."&amp;INDEX(Variables!$D$5:$D$65,MATCH($A420,Variables!$A$5:$A$65,0)))&amp;"."&amp;Z$5</f>
        <v/>
      </c>
      <c r="AA420" s="38">
        <f>AA375+AA411</f>
        <v/>
      </c>
      <c r="AB420" s="36">
        <f>AB375+AB411</f>
        <v/>
      </c>
      <c r="AC420" s="36">
        <f>AC375+AC411</f>
        <v/>
      </c>
      <c r="AD420" s="36">
        <f>AD375+AD411</f>
        <v/>
      </c>
      <c r="AE420" s="36">
        <f>AE375+AE411</f>
        <v/>
      </c>
      <c r="AF420" s="36">
        <f>AF375+AF411</f>
        <v/>
      </c>
      <c r="AG420" s="36">
        <f>AG375+AG411</f>
        <v/>
      </c>
      <c r="AH420" s="36">
        <f>AH375+AH411</f>
        <v/>
      </c>
      <c r="AI420" s="36">
        <f>AI375+AI411</f>
        <v/>
      </c>
      <c r="AJ420" s="36">
        <f>AJ375+AJ411</f>
        <v/>
      </c>
      <c r="AK420" s="36">
        <f>AK375+AK411</f>
        <v/>
      </c>
      <c r="AL420" s="36">
        <f>AL375+AL411</f>
        <v/>
      </c>
      <c r="AM420" s="36">
        <f>AM375+AM411</f>
        <v/>
      </c>
      <c r="AN420" s="39">
        <f>POSTTAX(AN375,AN411)</f>
        <v/>
      </c>
    </row>
    <row r="421" hidden="1" outlineLevel="2">
      <c r="A421" s="5" t="inlineStr">
        <is>
          <t>atp</t>
        </is>
      </c>
      <c r="B421" s="5" t="inlineStr">
        <is>
          <t>ker</t>
        </is>
      </c>
      <c r="C421" s="5" t="inlineStr">
        <is>
          <t>nav</t>
        </is>
      </c>
      <c r="D421" s="37" t="n"/>
      <c r="E421" s="37" t="n"/>
      <c r="F421" s="37" t="n"/>
      <c r="G421" s="37" t="n"/>
      <c r="H421" s="5">
        <f>INDEX(Variables!$B$5:$B$65,MATCH($A421,Variables!$A$5:$A$65,0))&amp;IF($C421="",""," | "&amp;INDEX(Mapping!$B$5:$B$25,MATCH($C421,Mapping!$A$5:$A$25,0))&amp;" | "&amp;INDEX(Mapping!$B$29:$B$38,MATCH($B421,Mapping!$A$29:$A$38,0)))</f>
        <v/>
      </c>
      <c r="I421" s="5">
        <f>INDEX(Variables!$C$5:$C$65,MATCH($A421,Variables!$A$5:$A$65,0))</f>
        <v/>
      </c>
      <c r="J421" s="5">
        <f>INDEX(Variables!$E$5:$E$65,MATCH($A421,Variables!$A$5:$A$65,0))</f>
        <v/>
      </c>
      <c r="K421" s="23">
        <f>LOWER(Settings!$C$4)&amp;".mit."&amp;$A421&amp;IF($C421="","","."&amp;$C421&amp;"."&amp;$B421)&amp;IF(INDEX(Variables!$D$5:$D$65,MATCH($A421,Variables!$A$5:$A$65,0))="","","."&amp;INDEX(Variables!$D$5:$D$65,MATCH($A421,Variables!$A$5:$A$65,0)))&amp;"."&amp;K$5</f>
        <v/>
      </c>
      <c r="L421" s="38">
        <f>L376+L412</f>
        <v/>
      </c>
      <c r="M421" s="36">
        <f>M376+M412</f>
        <v/>
      </c>
      <c r="N421" s="36">
        <f>N376+N412</f>
        <v/>
      </c>
      <c r="O421" s="36">
        <f>O376+O412</f>
        <v/>
      </c>
      <c r="P421" s="36">
        <f>P376+P412</f>
        <v/>
      </c>
      <c r="Q421" s="36">
        <f>Q376+Q412</f>
        <v/>
      </c>
      <c r="R421" s="36">
        <f>R376+R412</f>
        <v/>
      </c>
      <c r="S421" s="36">
        <f>S376+S412</f>
        <v/>
      </c>
      <c r="T421" s="36">
        <f>T376+T412</f>
        <v/>
      </c>
      <c r="U421" s="36">
        <f>U376+U412</f>
        <v/>
      </c>
      <c r="V421" s="36">
        <f>V376+V412</f>
        <v/>
      </c>
      <c r="W421" s="36">
        <f>W376+W412</f>
        <v/>
      </c>
      <c r="X421" s="36">
        <f>X376+X412</f>
        <v/>
      </c>
      <c r="Y421" s="39">
        <f>POSTTAX(Y376,Y412)</f>
        <v/>
      </c>
      <c r="Z421" s="23">
        <f>LOWER(Settings!$C$4)&amp;".mit."&amp;$A421&amp;IF($C421="","","."&amp;$C421&amp;"."&amp;$B421)&amp;IF(INDEX(Variables!$D$5:$D$65,MATCH($A421,Variables!$A$5:$A$65,0))="","","."&amp;INDEX(Variables!$D$5:$D$65,MATCH($A421,Variables!$A$5:$A$65,0)))&amp;"."&amp;Z$5</f>
        <v/>
      </c>
      <c r="AA421" s="38">
        <f>AA376+AA412</f>
        <v/>
      </c>
      <c r="AB421" s="36">
        <f>AB376+AB412</f>
        <v/>
      </c>
      <c r="AC421" s="36">
        <f>AC376+AC412</f>
        <v/>
      </c>
      <c r="AD421" s="36">
        <f>AD376+AD412</f>
        <v/>
      </c>
      <c r="AE421" s="36">
        <f>AE376+AE412</f>
        <v/>
      </c>
      <c r="AF421" s="36">
        <f>AF376+AF412</f>
        <v/>
      </c>
      <c r="AG421" s="36">
        <f>AG376+AG412</f>
        <v/>
      </c>
      <c r="AH421" s="36">
        <f>AH376+AH412</f>
        <v/>
      </c>
      <c r="AI421" s="36">
        <f>AI376+AI412</f>
        <v/>
      </c>
      <c r="AJ421" s="36">
        <f>AJ376+AJ412</f>
        <v/>
      </c>
      <c r="AK421" s="36">
        <f>AK376+AK412</f>
        <v/>
      </c>
      <c r="AL421" s="36">
        <f>AL376+AL412</f>
        <v/>
      </c>
      <c r="AM421" s="36">
        <f>AM376+AM412</f>
        <v/>
      </c>
      <c r="AN421" s="39">
        <f>POSTTAX(AN376,AN412)</f>
        <v/>
      </c>
    </row>
    <row r="422" hidden="1" outlineLevel="2">
      <c r="A422" s="5" t="inlineStr">
        <is>
          <t>atp</t>
        </is>
      </c>
      <c r="B422" s="5" t="inlineStr">
        <is>
          <t>oop</t>
        </is>
      </c>
      <c r="C422" s="5" t="inlineStr">
        <is>
          <t>nav</t>
        </is>
      </c>
      <c r="D422" s="37" t="n"/>
      <c r="E422" s="37" t="n"/>
      <c r="F422" s="37" t="n"/>
      <c r="G422" s="37" t="n"/>
      <c r="H422" s="5">
        <f>INDEX(Variables!$B$5:$B$65,MATCH($A422,Variables!$A$5:$A$65,0))&amp;IF($C422="",""," | "&amp;INDEX(Mapping!$B$5:$B$25,MATCH($C422,Mapping!$A$5:$A$25,0))&amp;" | "&amp;INDEX(Mapping!$B$29:$B$38,MATCH($B422,Mapping!$A$29:$A$38,0)))</f>
        <v/>
      </c>
      <c r="I422" s="5">
        <f>INDEX(Variables!$C$5:$C$65,MATCH($A422,Variables!$A$5:$A$65,0))</f>
        <v/>
      </c>
      <c r="J422" s="5">
        <f>INDEX(Variables!$E$5:$E$65,MATCH($A422,Variables!$A$5:$A$65,0))</f>
        <v/>
      </c>
      <c r="K422" s="23">
        <f>LOWER(Settings!$C$4)&amp;".mit."&amp;$A422&amp;IF($C422="","","."&amp;$C422&amp;"."&amp;$B422)&amp;IF(INDEX(Variables!$D$5:$D$65,MATCH($A422,Variables!$A$5:$A$65,0))="","","."&amp;INDEX(Variables!$D$5:$D$65,MATCH($A422,Variables!$A$5:$A$65,0)))&amp;"."&amp;K$5</f>
        <v/>
      </c>
      <c r="L422" s="38">
        <f>L377+L413</f>
        <v/>
      </c>
      <c r="M422" s="36">
        <f>M377+M413</f>
        <v/>
      </c>
      <c r="N422" s="36">
        <f>N377+N413</f>
        <v/>
      </c>
      <c r="O422" s="36">
        <f>O377+O413</f>
        <v/>
      </c>
      <c r="P422" s="36">
        <f>P377+P413</f>
        <v/>
      </c>
      <c r="Q422" s="36">
        <f>Q377+Q413</f>
        <v/>
      </c>
      <c r="R422" s="36">
        <f>R377+R413</f>
        <v/>
      </c>
      <c r="S422" s="36">
        <f>S377+S413</f>
        <v/>
      </c>
      <c r="T422" s="36">
        <f>T377+T413</f>
        <v/>
      </c>
      <c r="U422" s="36">
        <f>U377+U413</f>
        <v/>
      </c>
      <c r="V422" s="36">
        <f>V377+V413</f>
        <v/>
      </c>
      <c r="W422" s="36">
        <f>W377+W413</f>
        <v/>
      </c>
      <c r="X422" s="36">
        <f>X377+X413</f>
        <v/>
      </c>
      <c r="Y422" s="39">
        <f>POSTTAX(Y377,Y413)</f>
        <v/>
      </c>
      <c r="Z422" s="23">
        <f>LOWER(Settings!$C$4)&amp;".mit."&amp;$A422&amp;IF($C422="","","."&amp;$C422&amp;"."&amp;$B422)&amp;IF(INDEX(Variables!$D$5:$D$65,MATCH($A422,Variables!$A$5:$A$65,0))="","","."&amp;INDEX(Variables!$D$5:$D$65,MATCH($A422,Variables!$A$5:$A$65,0)))&amp;"."&amp;Z$5</f>
        <v/>
      </c>
      <c r="AA422" s="38">
        <f>AA377+AA413</f>
        <v/>
      </c>
      <c r="AB422" s="36">
        <f>AB377+AB413</f>
        <v/>
      </c>
      <c r="AC422" s="36">
        <f>AC377+AC413</f>
        <v/>
      </c>
      <c r="AD422" s="36">
        <f>AD377+AD413</f>
        <v/>
      </c>
      <c r="AE422" s="36">
        <f>AE377+AE413</f>
        <v/>
      </c>
      <c r="AF422" s="36">
        <f>AF377+AF413</f>
        <v/>
      </c>
      <c r="AG422" s="36">
        <f>AG377+AG413</f>
        <v/>
      </c>
      <c r="AH422" s="36">
        <f>AH377+AH413</f>
        <v/>
      </c>
      <c r="AI422" s="36">
        <f>AI377+AI413</f>
        <v/>
      </c>
      <c r="AJ422" s="36">
        <f>AJ377+AJ413</f>
        <v/>
      </c>
      <c r="AK422" s="36">
        <f>AK377+AK413</f>
        <v/>
      </c>
      <c r="AL422" s="36">
        <f>AL377+AL413</f>
        <v/>
      </c>
      <c r="AM422" s="36">
        <f>AM377+AM413</f>
        <v/>
      </c>
      <c r="AN422" s="39">
        <f>POSTTAX(AN377,AN413)</f>
        <v/>
      </c>
    </row>
    <row r="423" hidden="1" outlineLevel="2">
      <c r="A423" s="5" t="inlineStr">
        <is>
          <t>atp</t>
        </is>
      </c>
      <c r="B423" s="5" t="inlineStr">
        <is>
          <t>bio</t>
        </is>
      </c>
      <c r="C423" s="5" t="inlineStr">
        <is>
          <t>nav</t>
        </is>
      </c>
      <c r="D423" s="37" t="n"/>
      <c r="E423" s="37" t="n"/>
      <c r="F423" s="37" t="n"/>
      <c r="G423" s="37" t="n"/>
      <c r="H423" s="5">
        <f>INDEX(Variables!$B$5:$B$65,MATCH($A423,Variables!$A$5:$A$65,0))&amp;IF($C423="",""," | "&amp;INDEX(Mapping!$B$5:$B$25,MATCH($C423,Mapping!$A$5:$A$25,0))&amp;" | "&amp;INDEX(Mapping!$B$29:$B$38,MATCH($B423,Mapping!$A$29:$A$38,0)))</f>
        <v/>
      </c>
      <c r="I423" s="5">
        <f>INDEX(Variables!$C$5:$C$65,MATCH($A423,Variables!$A$5:$A$65,0))</f>
        <v/>
      </c>
      <c r="J423" s="5">
        <f>INDEX(Variables!$E$5:$E$65,MATCH($A423,Variables!$A$5:$A$65,0))</f>
        <v/>
      </c>
      <c r="K423" s="23">
        <f>LOWER(Settings!$C$4)&amp;".mit."&amp;$A423&amp;IF($C423="","","."&amp;$C423&amp;"."&amp;$B423)&amp;IF(INDEX(Variables!$D$5:$D$65,MATCH($A423,Variables!$A$5:$A$65,0))="","","."&amp;INDEX(Variables!$D$5:$D$65,MATCH($A423,Variables!$A$5:$A$65,0)))&amp;"."&amp;K$5</f>
        <v/>
      </c>
      <c r="L423" s="38">
        <f>L378+L414</f>
        <v/>
      </c>
      <c r="M423" s="36">
        <f>M378+M414</f>
        <v/>
      </c>
      <c r="N423" s="36">
        <f>N378+N414</f>
        <v/>
      </c>
      <c r="O423" s="36">
        <f>O378+O414</f>
        <v/>
      </c>
      <c r="P423" s="36">
        <f>P378+P414</f>
        <v/>
      </c>
      <c r="Q423" s="36">
        <f>Q378+Q414</f>
        <v/>
      </c>
      <c r="R423" s="36">
        <f>R378+R414</f>
        <v/>
      </c>
      <c r="S423" s="36">
        <f>S378+S414</f>
        <v/>
      </c>
      <c r="T423" s="36">
        <f>T378+T414</f>
        <v/>
      </c>
      <c r="U423" s="36">
        <f>U378+U414</f>
        <v/>
      </c>
      <c r="V423" s="36">
        <f>V378+V414</f>
        <v/>
      </c>
      <c r="W423" s="36">
        <f>W378+W414</f>
        <v/>
      </c>
      <c r="X423" s="36">
        <f>X378+X414</f>
        <v/>
      </c>
      <c r="Y423" s="39">
        <f>POSTTAX(Y378,Y414)</f>
        <v/>
      </c>
      <c r="Z423" s="23">
        <f>LOWER(Settings!$C$4)&amp;".mit."&amp;$A423&amp;IF($C423="","","."&amp;$C423&amp;"."&amp;$B423)&amp;IF(INDEX(Variables!$D$5:$D$65,MATCH($A423,Variables!$A$5:$A$65,0))="","","."&amp;INDEX(Variables!$D$5:$D$65,MATCH($A423,Variables!$A$5:$A$65,0)))&amp;"."&amp;Z$5</f>
        <v/>
      </c>
      <c r="AA423" s="38">
        <f>AA378+AA414</f>
        <v/>
      </c>
      <c r="AB423" s="36">
        <f>AB378+AB414</f>
        <v/>
      </c>
      <c r="AC423" s="36">
        <f>AC378+AC414</f>
        <v/>
      </c>
      <c r="AD423" s="36">
        <f>AD378+AD414</f>
        <v/>
      </c>
      <c r="AE423" s="36">
        <f>AE378+AE414</f>
        <v/>
      </c>
      <c r="AF423" s="36">
        <f>AF378+AF414</f>
        <v/>
      </c>
      <c r="AG423" s="36">
        <f>AG378+AG414</f>
        <v/>
      </c>
      <c r="AH423" s="36">
        <f>AH378+AH414</f>
        <v/>
      </c>
      <c r="AI423" s="36">
        <f>AI378+AI414</f>
        <v/>
      </c>
      <c r="AJ423" s="36">
        <f>AJ378+AJ414</f>
        <v/>
      </c>
      <c r="AK423" s="36">
        <f>AK378+AK414</f>
        <v/>
      </c>
      <c r="AL423" s="36">
        <f>AL378+AL414</f>
        <v/>
      </c>
      <c r="AM423" s="36">
        <f>AM378+AM414</f>
        <v/>
      </c>
      <c r="AN423" s="39">
        <f>POSTTAX(AN378,AN414)</f>
        <v/>
      </c>
    </row>
    <row r="424" hidden="1" outlineLevel="2"/>
    <row r="425" hidden="1" outlineLevel="2">
      <c r="A425" s="5" t="inlineStr">
        <is>
          <t>shp</t>
        </is>
      </c>
      <c r="B425" s="5" t="inlineStr">
        <is>
          <t>coa</t>
        </is>
      </c>
      <c r="C425" s="5" t="inlineStr">
        <is>
          <t>nav</t>
        </is>
      </c>
      <c r="D425" s="36">
        <f>INDEX(Inputs!$M$5:$M$132,MATCH($B425&amp;"|"&amp;$C425,Inputs!$A$5:$A$132,0))</f>
        <v/>
      </c>
      <c r="E425" s="36">
        <f>INDEX(Inputs!$U$5:$U$132,MATCH($B425&amp;"|"&amp;$C425,Inputs!$A$5:$A$132,0))</f>
        <v/>
      </c>
      <c r="F425" s="36">
        <f>INDEX(Inputs!$K$5:$K$132,MATCH($B425&amp;"|"&amp;$C425,Inputs!$A$5:$A$132,0))</f>
        <v/>
      </c>
      <c r="G425" s="37" t="n"/>
      <c r="H425" s="5">
        <f>INDEX(Variables!$B$5:$B$65,MATCH($A425,Variables!$A$5:$A$65,0))&amp;IF($C425="",""," | "&amp;INDEX(Mapping!$B$5:$B$25,MATCH($C425,Mapping!$A$5:$A$25,0))&amp;" | "&amp;INDEX(Mapping!$B$29:$B$38,MATCH($B425,Mapping!$A$29:$A$38,0)))</f>
        <v/>
      </c>
      <c r="I425" s="5">
        <f>INDEX(Variables!$C$5:$C$65,MATCH($A425,Variables!$A$5:$A$65,0))</f>
        <v/>
      </c>
      <c r="J425" s="5">
        <f>INDEX(Variables!$E$5:$E$65,MATCH($A425,Variables!$A$5:$A$65,0))</f>
        <v/>
      </c>
      <c r="K425" s="23">
        <f>LOWER(Settings!$C$4)&amp;".mit."&amp;$A425&amp;IF($C425="","","."&amp;$C425&amp;"."&amp;$B425)&amp;IF(INDEX(Variables!$D$5:$D$65,MATCH($A425,Variables!$A$5:$A$65,0))="","","."&amp;INDEX(Variables!$D$5:$D$65,MATCH($A425,Variables!$A$5:$A$65,0)))&amp;"."&amp;K$5</f>
        <v/>
      </c>
      <c r="L425" s="38">
        <f>INDEX(L$124:L$127,$D425)*$E425*INDEX(L$128:L$144,$F425)</f>
        <v/>
      </c>
      <c r="M425" s="36">
        <f>INDEX(M$124:M$127,$D425)*$E425*INDEX(M$128:M$144,$F425)</f>
        <v/>
      </c>
      <c r="N425" s="36">
        <f>INDEX(N$124:N$127,$D425)*$E425*INDEX(N$128:N$144,$F425)</f>
        <v/>
      </c>
      <c r="O425" s="36">
        <f>INDEX(O$124:O$127,$D425)*$E425*INDEX(O$128:O$144,$F425)</f>
        <v/>
      </c>
      <c r="P425" s="36">
        <f>INDEX(P$124:P$127,$D425)*$E425*INDEX(P$128:P$144,$F425)</f>
        <v/>
      </c>
      <c r="Q425" s="36">
        <f>INDEX(Q$124:Q$127,$D425)*$E425*INDEX(Q$128:Q$144,$F425)</f>
        <v/>
      </c>
      <c r="R425" s="36">
        <f>INDEX(R$124:R$127,$D425)*$E425*INDEX(R$128:R$144,$F425)</f>
        <v/>
      </c>
      <c r="S425" s="36">
        <f>INDEX(S$124:S$127,$D425)*$E425*INDEX(S$128:S$144,$F425)</f>
        <v/>
      </c>
      <c r="T425" s="36">
        <f>INDEX(T$124:T$127,$D425)*$E425*INDEX(T$128:T$144,$F425)</f>
        <v/>
      </c>
      <c r="U425" s="36">
        <f>INDEX(U$124:U$127,$D425)*$E425*INDEX(U$128:U$144,$F425)</f>
        <v/>
      </c>
      <c r="V425" s="36">
        <f>INDEX(V$124:V$127,$D425)*$E425*INDEX(V$128:V$144,$F425)</f>
        <v/>
      </c>
      <c r="W425" s="36">
        <f>INDEX(W$124:W$127,$D425)*$E425*INDEX(W$128:W$144,$F425)</f>
        <v/>
      </c>
      <c r="X425" s="36">
        <f>INDEX(X$124:X$127,$D425)*$E425*INDEX(X$128:X$144,$F425)</f>
        <v/>
      </c>
      <c r="Y425" s="36">
        <f>INDEX(Y$124:Y$127,$D425)*$E425*INDEX(Y$128:Y$144,$F425)</f>
        <v/>
      </c>
      <c r="Z425" s="23">
        <f>LOWER(Settings!$C$4)&amp;".mit."&amp;$A425&amp;IF($C425="","","."&amp;$C425&amp;"."&amp;$B425)&amp;IF(INDEX(Variables!$D$5:$D$65,MATCH($A425,Variables!$A$5:$A$65,0))="","","."&amp;INDEX(Variables!$D$5:$D$65,MATCH($A425,Variables!$A$5:$A$65,0)))&amp;"."&amp;Z$5</f>
        <v/>
      </c>
      <c r="AA425" s="38">
        <f>INDEX(AA$124:AA$127,$D425)*$E425*INDEX(AA$128:AA$144,$F425)</f>
        <v/>
      </c>
      <c r="AB425" s="36">
        <f>INDEX(AB$124:AB$127,$D425)*$E425*INDEX(AB$128:AB$144,$F425)</f>
        <v/>
      </c>
      <c r="AC425" s="36">
        <f>INDEX(AC$124:AC$127,$D425)*$E425*INDEX(AC$128:AC$144,$F425)</f>
        <v/>
      </c>
      <c r="AD425" s="36">
        <f>INDEX(AD$124:AD$127,$D425)*$E425*INDEX(AD$128:AD$144,$F425)</f>
        <v/>
      </c>
      <c r="AE425" s="36">
        <f>INDEX(AE$124:AE$127,$D425)*$E425*INDEX(AE$128:AE$144,$F425)</f>
        <v/>
      </c>
      <c r="AF425" s="36">
        <f>INDEX(AF$124:AF$127,$D425)*$E425*INDEX(AF$128:AF$144,$F425)</f>
        <v/>
      </c>
      <c r="AG425" s="36">
        <f>INDEX(AG$124:AG$127,$D425)*$E425*INDEX(AG$128:AG$144,$F425)</f>
        <v/>
      </c>
      <c r="AH425" s="36">
        <f>INDEX(AH$124:AH$127,$D425)*$E425*INDEX(AH$128:AH$144,$F425)</f>
        <v/>
      </c>
      <c r="AI425" s="36">
        <f>INDEX(AI$124:AI$127,$D425)*$E425*INDEX(AI$128:AI$144,$F425)</f>
        <v/>
      </c>
      <c r="AJ425" s="36">
        <f>INDEX(AJ$124:AJ$127,$D425)*$E425*INDEX(AJ$128:AJ$144,$F425)</f>
        <v/>
      </c>
      <c r="AK425" s="36">
        <f>INDEX(AK$124:AK$127,$D425)*$E425*INDEX(AK$128:AK$144,$F425)</f>
        <v/>
      </c>
      <c r="AL425" s="36">
        <f>INDEX(AL$124:AL$127,$D425)*$E425*INDEX(AL$128:AL$144,$F425)</f>
        <v/>
      </c>
      <c r="AM425" s="36">
        <f>INDEX(AM$124:AM$127,$D425)*$E425*INDEX(AM$128:AM$144,$F425)</f>
        <v/>
      </c>
      <c r="AN425" s="36">
        <f>INDEX(AN$124:AN$127,$D425)*$E425*INDEX(AN$128:AN$144,$F425)</f>
        <v/>
      </c>
    </row>
    <row r="426" hidden="1" outlineLevel="2">
      <c r="A426" s="5" t="inlineStr">
        <is>
          <t>shp</t>
        </is>
      </c>
      <c r="B426" s="5" t="inlineStr">
        <is>
          <t>nga</t>
        </is>
      </c>
      <c r="C426" s="5" t="inlineStr">
        <is>
          <t>nav</t>
        </is>
      </c>
      <c r="D426" s="36">
        <f>INDEX(Inputs!$M$5:$M$132,MATCH($B426&amp;"|"&amp;$C426,Inputs!$A$5:$A$132,0))</f>
        <v/>
      </c>
      <c r="E426" s="36">
        <f>INDEX(Inputs!$U$5:$U$132,MATCH($B426&amp;"|"&amp;$C426,Inputs!$A$5:$A$132,0))</f>
        <v/>
      </c>
      <c r="F426" s="36">
        <f>INDEX(Inputs!$K$5:$K$132,MATCH($B426&amp;"|"&amp;$C426,Inputs!$A$5:$A$132,0))</f>
        <v/>
      </c>
      <c r="G426" s="37" t="n"/>
      <c r="H426" s="5">
        <f>INDEX(Variables!$B$5:$B$65,MATCH($A426,Variables!$A$5:$A$65,0))&amp;IF($C426="",""," | "&amp;INDEX(Mapping!$B$5:$B$25,MATCH($C426,Mapping!$A$5:$A$25,0))&amp;" | "&amp;INDEX(Mapping!$B$29:$B$38,MATCH($B426,Mapping!$A$29:$A$38,0)))</f>
        <v/>
      </c>
      <c r="I426" s="5">
        <f>INDEX(Variables!$C$5:$C$65,MATCH($A426,Variables!$A$5:$A$65,0))</f>
        <v/>
      </c>
      <c r="J426" s="5">
        <f>INDEX(Variables!$E$5:$E$65,MATCH($A426,Variables!$A$5:$A$65,0))</f>
        <v/>
      </c>
      <c r="K426" s="23">
        <f>LOWER(Settings!$C$4)&amp;".mit."&amp;$A426&amp;IF($C426="","","."&amp;$C426&amp;"."&amp;$B426)&amp;IF(INDEX(Variables!$D$5:$D$65,MATCH($A426,Variables!$A$5:$A$65,0))="","","."&amp;INDEX(Variables!$D$5:$D$65,MATCH($A426,Variables!$A$5:$A$65,0)))&amp;"."&amp;K$5</f>
        <v/>
      </c>
      <c r="L426" s="38">
        <f>INDEX(L$124:L$127,$D426)*$E426*INDEX(L$128:L$144,$F426)</f>
        <v/>
      </c>
      <c r="M426" s="36">
        <f>INDEX(M$124:M$127,$D426)*$E426*INDEX(M$128:M$144,$F426)</f>
        <v/>
      </c>
      <c r="N426" s="36">
        <f>INDEX(N$124:N$127,$D426)*$E426*INDEX(N$128:N$144,$F426)</f>
        <v/>
      </c>
      <c r="O426" s="36">
        <f>INDEX(O$124:O$127,$D426)*$E426*INDEX(O$128:O$144,$F426)</f>
        <v/>
      </c>
      <c r="P426" s="36">
        <f>INDEX(P$124:P$127,$D426)*$E426*INDEX(P$128:P$144,$F426)</f>
        <v/>
      </c>
      <c r="Q426" s="36">
        <f>INDEX(Q$124:Q$127,$D426)*$E426*INDEX(Q$128:Q$144,$F426)</f>
        <v/>
      </c>
      <c r="R426" s="36">
        <f>INDEX(R$124:R$127,$D426)*$E426*INDEX(R$128:R$144,$F426)</f>
        <v/>
      </c>
      <c r="S426" s="36">
        <f>INDEX(S$124:S$127,$D426)*$E426*INDEX(S$128:S$144,$F426)</f>
        <v/>
      </c>
      <c r="T426" s="36">
        <f>INDEX(T$124:T$127,$D426)*$E426*INDEX(T$128:T$144,$F426)</f>
        <v/>
      </c>
      <c r="U426" s="36">
        <f>INDEX(U$124:U$127,$D426)*$E426*INDEX(U$128:U$144,$F426)</f>
        <v/>
      </c>
      <c r="V426" s="36">
        <f>INDEX(V$124:V$127,$D426)*$E426*INDEX(V$128:V$144,$F426)</f>
        <v/>
      </c>
      <c r="W426" s="36">
        <f>INDEX(W$124:W$127,$D426)*$E426*INDEX(W$128:W$144,$F426)</f>
        <v/>
      </c>
      <c r="X426" s="36">
        <f>INDEX(X$124:X$127,$D426)*$E426*INDEX(X$128:X$144,$F426)</f>
        <v/>
      </c>
      <c r="Y426" s="36">
        <f>INDEX(Y$124:Y$127,$D426)*$E426*INDEX(Y$128:Y$144,$F426)</f>
        <v/>
      </c>
      <c r="Z426" s="23">
        <f>LOWER(Settings!$C$4)&amp;".mit."&amp;$A426&amp;IF($C426="","","."&amp;$C426&amp;"."&amp;$B426)&amp;IF(INDEX(Variables!$D$5:$D$65,MATCH($A426,Variables!$A$5:$A$65,0))="","","."&amp;INDEX(Variables!$D$5:$D$65,MATCH($A426,Variables!$A$5:$A$65,0)))&amp;"."&amp;Z$5</f>
        <v/>
      </c>
      <c r="AA426" s="38">
        <f>INDEX(AA$124:AA$127,$D426)*$E426*INDEX(AA$128:AA$144,$F426)</f>
        <v/>
      </c>
      <c r="AB426" s="36">
        <f>INDEX(AB$124:AB$127,$D426)*$E426*INDEX(AB$128:AB$144,$F426)</f>
        <v/>
      </c>
      <c r="AC426" s="36">
        <f>INDEX(AC$124:AC$127,$D426)*$E426*INDEX(AC$128:AC$144,$F426)</f>
        <v/>
      </c>
      <c r="AD426" s="36">
        <f>INDEX(AD$124:AD$127,$D426)*$E426*INDEX(AD$128:AD$144,$F426)</f>
        <v/>
      </c>
      <c r="AE426" s="36">
        <f>INDEX(AE$124:AE$127,$D426)*$E426*INDEX(AE$128:AE$144,$F426)</f>
        <v/>
      </c>
      <c r="AF426" s="36">
        <f>INDEX(AF$124:AF$127,$D426)*$E426*INDEX(AF$128:AF$144,$F426)</f>
        <v/>
      </c>
      <c r="AG426" s="36">
        <f>INDEX(AG$124:AG$127,$D426)*$E426*INDEX(AG$128:AG$144,$F426)</f>
        <v/>
      </c>
      <c r="AH426" s="36">
        <f>INDEX(AH$124:AH$127,$D426)*$E426*INDEX(AH$128:AH$144,$F426)</f>
        <v/>
      </c>
      <c r="AI426" s="36">
        <f>INDEX(AI$124:AI$127,$D426)*$E426*INDEX(AI$128:AI$144,$F426)</f>
        <v/>
      </c>
      <c r="AJ426" s="36">
        <f>INDEX(AJ$124:AJ$127,$D426)*$E426*INDEX(AJ$128:AJ$144,$F426)</f>
        <v/>
      </c>
      <c r="AK426" s="36">
        <f>INDEX(AK$124:AK$127,$D426)*$E426*INDEX(AK$128:AK$144,$F426)</f>
        <v/>
      </c>
      <c r="AL426" s="36">
        <f>INDEX(AL$124:AL$127,$D426)*$E426*INDEX(AL$128:AL$144,$F426)</f>
        <v/>
      </c>
      <c r="AM426" s="36">
        <f>INDEX(AM$124:AM$127,$D426)*$E426*INDEX(AM$128:AM$144,$F426)</f>
        <v/>
      </c>
      <c r="AN426" s="36">
        <f>INDEX(AN$124:AN$127,$D426)*$E426*INDEX(AN$128:AN$144,$F426)</f>
        <v/>
      </c>
    </row>
    <row r="427" hidden="1" outlineLevel="2">
      <c r="A427" s="5" t="inlineStr">
        <is>
          <t>shp</t>
        </is>
      </c>
      <c r="B427" s="5" t="inlineStr">
        <is>
          <t>gso</t>
        </is>
      </c>
      <c r="C427" s="5" t="inlineStr">
        <is>
          <t>nav</t>
        </is>
      </c>
      <c r="D427" s="36">
        <f>INDEX(Inputs!$M$5:$M$132,MATCH($B427&amp;"|"&amp;$C427,Inputs!$A$5:$A$132,0))</f>
        <v/>
      </c>
      <c r="E427" s="36">
        <f>INDEX(Inputs!$U$5:$U$132,MATCH($B427&amp;"|"&amp;$C427,Inputs!$A$5:$A$132,0))</f>
        <v/>
      </c>
      <c r="F427" s="36">
        <f>INDEX(Inputs!$K$5:$K$132,MATCH($B427&amp;"|"&amp;$C427,Inputs!$A$5:$A$132,0))</f>
        <v/>
      </c>
      <c r="G427" s="37" t="n"/>
      <c r="H427" s="5">
        <f>INDEX(Variables!$B$5:$B$65,MATCH($A427,Variables!$A$5:$A$65,0))&amp;IF($C427="",""," | "&amp;INDEX(Mapping!$B$5:$B$25,MATCH($C427,Mapping!$A$5:$A$25,0))&amp;" | "&amp;INDEX(Mapping!$B$29:$B$38,MATCH($B427,Mapping!$A$29:$A$38,0)))</f>
        <v/>
      </c>
      <c r="I427" s="5">
        <f>INDEX(Variables!$C$5:$C$65,MATCH($A427,Variables!$A$5:$A$65,0))</f>
        <v/>
      </c>
      <c r="J427" s="5">
        <f>INDEX(Variables!$E$5:$E$65,MATCH($A427,Variables!$A$5:$A$65,0))</f>
        <v/>
      </c>
      <c r="K427" s="23">
        <f>LOWER(Settings!$C$4)&amp;".mit."&amp;$A427&amp;IF($C427="","","."&amp;$C427&amp;"."&amp;$B427)&amp;IF(INDEX(Variables!$D$5:$D$65,MATCH($A427,Variables!$A$5:$A$65,0))="","","."&amp;INDEX(Variables!$D$5:$D$65,MATCH($A427,Variables!$A$5:$A$65,0)))&amp;"."&amp;K$5</f>
        <v/>
      </c>
      <c r="L427" s="38">
        <f>INDEX(L$124:L$127,$D427)*$E427*INDEX(L$128:L$144,$F427)</f>
        <v/>
      </c>
      <c r="M427" s="36">
        <f>INDEX(M$124:M$127,$D427)*$E427*INDEX(M$128:M$144,$F427)</f>
        <v/>
      </c>
      <c r="N427" s="36">
        <f>INDEX(N$124:N$127,$D427)*$E427*INDEX(N$128:N$144,$F427)</f>
        <v/>
      </c>
      <c r="O427" s="36">
        <f>INDEX(O$124:O$127,$D427)*$E427*INDEX(O$128:O$144,$F427)</f>
        <v/>
      </c>
      <c r="P427" s="36">
        <f>INDEX(P$124:P$127,$D427)*$E427*INDEX(P$128:P$144,$F427)</f>
        <v/>
      </c>
      <c r="Q427" s="36">
        <f>INDEX(Q$124:Q$127,$D427)*$E427*INDEX(Q$128:Q$144,$F427)</f>
        <v/>
      </c>
      <c r="R427" s="36">
        <f>INDEX(R$124:R$127,$D427)*$E427*INDEX(R$128:R$144,$F427)</f>
        <v/>
      </c>
      <c r="S427" s="36">
        <f>INDEX(S$124:S$127,$D427)*$E427*INDEX(S$128:S$144,$F427)</f>
        <v/>
      </c>
      <c r="T427" s="36">
        <f>INDEX(T$124:T$127,$D427)*$E427*INDEX(T$128:T$144,$F427)</f>
        <v/>
      </c>
      <c r="U427" s="36">
        <f>INDEX(U$124:U$127,$D427)*$E427*INDEX(U$128:U$144,$F427)</f>
        <v/>
      </c>
      <c r="V427" s="36">
        <f>INDEX(V$124:V$127,$D427)*$E427*INDEX(V$128:V$144,$F427)</f>
        <v/>
      </c>
      <c r="W427" s="36">
        <f>INDEX(W$124:W$127,$D427)*$E427*INDEX(W$128:W$144,$F427)</f>
        <v/>
      </c>
      <c r="X427" s="36">
        <f>INDEX(X$124:X$127,$D427)*$E427*INDEX(X$128:X$144,$F427)</f>
        <v/>
      </c>
      <c r="Y427" s="36">
        <f>INDEX(Y$124:Y$127,$D427)*$E427*INDEX(Y$128:Y$144,$F427)</f>
        <v/>
      </c>
      <c r="Z427" s="23">
        <f>LOWER(Settings!$C$4)&amp;".mit."&amp;$A427&amp;IF($C427="","","."&amp;$C427&amp;"."&amp;$B427)&amp;IF(INDEX(Variables!$D$5:$D$65,MATCH($A427,Variables!$A$5:$A$65,0))="","","."&amp;INDEX(Variables!$D$5:$D$65,MATCH($A427,Variables!$A$5:$A$65,0)))&amp;"."&amp;Z$5</f>
        <v/>
      </c>
      <c r="AA427" s="38">
        <f>INDEX(AA$124:AA$127,$D427)*$E427*INDEX(AA$128:AA$144,$F427)</f>
        <v/>
      </c>
      <c r="AB427" s="36">
        <f>INDEX(AB$124:AB$127,$D427)*$E427*INDEX(AB$128:AB$144,$F427)</f>
        <v/>
      </c>
      <c r="AC427" s="36">
        <f>INDEX(AC$124:AC$127,$D427)*$E427*INDEX(AC$128:AC$144,$F427)</f>
        <v/>
      </c>
      <c r="AD427" s="36">
        <f>INDEX(AD$124:AD$127,$D427)*$E427*INDEX(AD$128:AD$144,$F427)</f>
        <v/>
      </c>
      <c r="AE427" s="36">
        <f>INDEX(AE$124:AE$127,$D427)*$E427*INDEX(AE$128:AE$144,$F427)</f>
        <v/>
      </c>
      <c r="AF427" s="36">
        <f>INDEX(AF$124:AF$127,$D427)*$E427*INDEX(AF$128:AF$144,$F427)</f>
        <v/>
      </c>
      <c r="AG427" s="36">
        <f>INDEX(AG$124:AG$127,$D427)*$E427*INDEX(AG$128:AG$144,$F427)</f>
        <v/>
      </c>
      <c r="AH427" s="36">
        <f>INDEX(AH$124:AH$127,$D427)*$E427*INDEX(AH$128:AH$144,$F427)</f>
        <v/>
      </c>
      <c r="AI427" s="36">
        <f>INDEX(AI$124:AI$127,$D427)*$E427*INDEX(AI$128:AI$144,$F427)</f>
        <v/>
      </c>
      <c r="AJ427" s="36">
        <f>INDEX(AJ$124:AJ$127,$D427)*$E427*INDEX(AJ$128:AJ$144,$F427)</f>
        <v/>
      </c>
      <c r="AK427" s="36">
        <f>INDEX(AK$124:AK$127,$D427)*$E427*INDEX(AK$128:AK$144,$F427)</f>
        <v/>
      </c>
      <c r="AL427" s="36">
        <f>INDEX(AL$124:AL$127,$D427)*$E427*INDEX(AL$128:AL$144,$F427)</f>
        <v/>
      </c>
      <c r="AM427" s="36">
        <f>INDEX(AM$124:AM$127,$D427)*$E427*INDEX(AM$128:AM$144,$F427)</f>
        <v/>
      </c>
      <c r="AN427" s="36">
        <f>INDEX(AN$124:AN$127,$D427)*$E427*INDEX(AN$128:AN$144,$F427)</f>
        <v/>
      </c>
    </row>
    <row r="428" hidden="1" outlineLevel="2">
      <c r="A428" s="5" t="inlineStr">
        <is>
          <t>shp</t>
        </is>
      </c>
      <c r="B428" s="5" t="inlineStr">
        <is>
          <t>die</t>
        </is>
      </c>
      <c r="C428" s="5" t="inlineStr">
        <is>
          <t>nav</t>
        </is>
      </c>
      <c r="D428" s="36">
        <f>INDEX(Inputs!$M$5:$M$132,MATCH($B428&amp;"|"&amp;$C428,Inputs!$A$5:$A$132,0))</f>
        <v/>
      </c>
      <c r="E428" s="36">
        <f>INDEX(Inputs!$U$5:$U$132,MATCH($B428&amp;"|"&amp;$C428,Inputs!$A$5:$A$132,0))</f>
        <v/>
      </c>
      <c r="F428" s="36">
        <f>INDEX(Inputs!$K$5:$K$132,MATCH($B428&amp;"|"&amp;$C428,Inputs!$A$5:$A$132,0))</f>
        <v/>
      </c>
      <c r="G428" s="37" t="n"/>
      <c r="H428" s="5">
        <f>INDEX(Variables!$B$5:$B$65,MATCH($A428,Variables!$A$5:$A$65,0))&amp;IF($C428="",""," | "&amp;INDEX(Mapping!$B$5:$B$25,MATCH($C428,Mapping!$A$5:$A$25,0))&amp;" | "&amp;INDEX(Mapping!$B$29:$B$38,MATCH($B428,Mapping!$A$29:$A$38,0)))</f>
        <v/>
      </c>
      <c r="I428" s="5">
        <f>INDEX(Variables!$C$5:$C$65,MATCH($A428,Variables!$A$5:$A$65,0))</f>
        <v/>
      </c>
      <c r="J428" s="5">
        <f>INDEX(Variables!$E$5:$E$65,MATCH($A428,Variables!$A$5:$A$65,0))</f>
        <v/>
      </c>
      <c r="K428" s="23">
        <f>LOWER(Settings!$C$4)&amp;".mit."&amp;$A428&amp;IF($C428="","","."&amp;$C428&amp;"."&amp;$B428)&amp;IF(INDEX(Variables!$D$5:$D$65,MATCH($A428,Variables!$A$5:$A$65,0))="","","."&amp;INDEX(Variables!$D$5:$D$65,MATCH($A428,Variables!$A$5:$A$65,0)))&amp;"."&amp;K$5</f>
        <v/>
      </c>
      <c r="L428" s="38">
        <f>INDEX(L$124:L$127,$D428)*$E428*INDEX(L$128:L$144,$F428)</f>
        <v/>
      </c>
      <c r="M428" s="36">
        <f>INDEX(M$124:M$127,$D428)*$E428*INDEX(M$128:M$144,$F428)</f>
        <v/>
      </c>
      <c r="N428" s="36">
        <f>INDEX(N$124:N$127,$D428)*$E428*INDEX(N$128:N$144,$F428)</f>
        <v/>
      </c>
      <c r="O428" s="36">
        <f>INDEX(O$124:O$127,$D428)*$E428*INDEX(O$128:O$144,$F428)</f>
        <v/>
      </c>
      <c r="P428" s="36">
        <f>INDEX(P$124:P$127,$D428)*$E428*INDEX(P$128:P$144,$F428)</f>
        <v/>
      </c>
      <c r="Q428" s="36">
        <f>INDEX(Q$124:Q$127,$D428)*$E428*INDEX(Q$128:Q$144,$F428)</f>
        <v/>
      </c>
      <c r="R428" s="36">
        <f>INDEX(R$124:R$127,$D428)*$E428*INDEX(R$128:R$144,$F428)</f>
        <v/>
      </c>
      <c r="S428" s="36">
        <f>INDEX(S$124:S$127,$D428)*$E428*INDEX(S$128:S$144,$F428)</f>
        <v/>
      </c>
      <c r="T428" s="36">
        <f>INDEX(T$124:T$127,$D428)*$E428*INDEX(T$128:T$144,$F428)</f>
        <v/>
      </c>
      <c r="U428" s="36">
        <f>INDEX(U$124:U$127,$D428)*$E428*INDEX(U$128:U$144,$F428)</f>
        <v/>
      </c>
      <c r="V428" s="36">
        <f>INDEX(V$124:V$127,$D428)*$E428*INDEX(V$128:V$144,$F428)</f>
        <v/>
      </c>
      <c r="W428" s="36">
        <f>INDEX(W$124:W$127,$D428)*$E428*INDEX(W$128:W$144,$F428)</f>
        <v/>
      </c>
      <c r="X428" s="36">
        <f>INDEX(X$124:X$127,$D428)*$E428*INDEX(X$128:X$144,$F428)</f>
        <v/>
      </c>
      <c r="Y428" s="36">
        <f>INDEX(Y$124:Y$127,$D428)*$E428*INDEX(Y$128:Y$144,$F428)</f>
        <v/>
      </c>
      <c r="Z428" s="23">
        <f>LOWER(Settings!$C$4)&amp;".mit."&amp;$A428&amp;IF($C428="","","."&amp;$C428&amp;"."&amp;$B428)&amp;IF(INDEX(Variables!$D$5:$D$65,MATCH($A428,Variables!$A$5:$A$65,0))="","","."&amp;INDEX(Variables!$D$5:$D$65,MATCH($A428,Variables!$A$5:$A$65,0)))&amp;"."&amp;Z$5</f>
        <v/>
      </c>
      <c r="AA428" s="38">
        <f>INDEX(AA$124:AA$127,$D428)*$E428*INDEX(AA$128:AA$144,$F428)</f>
        <v/>
      </c>
      <c r="AB428" s="36">
        <f>INDEX(AB$124:AB$127,$D428)*$E428*INDEX(AB$128:AB$144,$F428)</f>
        <v/>
      </c>
      <c r="AC428" s="36">
        <f>INDEX(AC$124:AC$127,$D428)*$E428*INDEX(AC$128:AC$144,$F428)</f>
        <v/>
      </c>
      <c r="AD428" s="36">
        <f>INDEX(AD$124:AD$127,$D428)*$E428*INDEX(AD$128:AD$144,$F428)</f>
        <v/>
      </c>
      <c r="AE428" s="36">
        <f>INDEX(AE$124:AE$127,$D428)*$E428*INDEX(AE$128:AE$144,$F428)</f>
        <v/>
      </c>
      <c r="AF428" s="36">
        <f>INDEX(AF$124:AF$127,$D428)*$E428*INDEX(AF$128:AF$144,$F428)</f>
        <v/>
      </c>
      <c r="AG428" s="36">
        <f>INDEX(AG$124:AG$127,$D428)*$E428*INDEX(AG$128:AG$144,$F428)</f>
        <v/>
      </c>
      <c r="AH428" s="36">
        <f>INDEX(AH$124:AH$127,$D428)*$E428*INDEX(AH$128:AH$144,$F428)</f>
        <v/>
      </c>
      <c r="AI428" s="36">
        <f>INDEX(AI$124:AI$127,$D428)*$E428*INDEX(AI$128:AI$144,$F428)</f>
        <v/>
      </c>
      <c r="AJ428" s="36">
        <f>INDEX(AJ$124:AJ$127,$D428)*$E428*INDEX(AJ$128:AJ$144,$F428)</f>
        <v/>
      </c>
      <c r="AK428" s="36">
        <f>INDEX(AK$124:AK$127,$D428)*$E428*INDEX(AK$128:AK$144,$F428)</f>
        <v/>
      </c>
      <c r="AL428" s="36">
        <f>INDEX(AL$124:AL$127,$D428)*$E428*INDEX(AL$128:AL$144,$F428)</f>
        <v/>
      </c>
      <c r="AM428" s="36">
        <f>INDEX(AM$124:AM$127,$D428)*$E428*INDEX(AM$128:AM$144,$F428)</f>
        <v/>
      </c>
      <c r="AN428" s="36">
        <f>INDEX(AN$124:AN$127,$D428)*$E428*INDEX(AN$128:AN$144,$F428)</f>
        <v/>
      </c>
    </row>
    <row r="429" hidden="1" outlineLevel="2">
      <c r="A429" s="5" t="inlineStr">
        <is>
          <t>shp</t>
        </is>
      </c>
      <c r="B429" s="5" t="inlineStr">
        <is>
          <t>lpg</t>
        </is>
      </c>
      <c r="C429" s="5" t="inlineStr">
        <is>
          <t>nav</t>
        </is>
      </c>
      <c r="D429" s="36">
        <f>INDEX(Inputs!$M$5:$M$132,MATCH($B429&amp;"|"&amp;$C429,Inputs!$A$5:$A$132,0))</f>
        <v/>
      </c>
      <c r="E429" s="36">
        <f>INDEX(Inputs!$U$5:$U$132,MATCH($B429&amp;"|"&amp;$C429,Inputs!$A$5:$A$132,0))</f>
        <v/>
      </c>
      <c r="F429" s="36">
        <f>INDEX(Inputs!$K$5:$K$132,MATCH($B429&amp;"|"&amp;$C429,Inputs!$A$5:$A$132,0))</f>
        <v/>
      </c>
      <c r="G429" s="37" t="n"/>
      <c r="H429" s="5">
        <f>INDEX(Variables!$B$5:$B$65,MATCH($A429,Variables!$A$5:$A$65,0))&amp;IF($C429="",""," | "&amp;INDEX(Mapping!$B$5:$B$25,MATCH($C429,Mapping!$A$5:$A$25,0))&amp;" | "&amp;INDEX(Mapping!$B$29:$B$38,MATCH($B429,Mapping!$A$29:$A$38,0)))</f>
        <v/>
      </c>
      <c r="I429" s="5">
        <f>INDEX(Variables!$C$5:$C$65,MATCH($A429,Variables!$A$5:$A$65,0))</f>
        <v/>
      </c>
      <c r="J429" s="5">
        <f>INDEX(Variables!$E$5:$E$65,MATCH($A429,Variables!$A$5:$A$65,0))</f>
        <v/>
      </c>
      <c r="K429" s="23">
        <f>LOWER(Settings!$C$4)&amp;".mit."&amp;$A429&amp;IF($C429="","","."&amp;$C429&amp;"."&amp;$B429)&amp;IF(INDEX(Variables!$D$5:$D$65,MATCH($A429,Variables!$A$5:$A$65,0))="","","."&amp;INDEX(Variables!$D$5:$D$65,MATCH($A429,Variables!$A$5:$A$65,0)))&amp;"."&amp;K$5</f>
        <v/>
      </c>
      <c r="L429" s="38">
        <f>INDEX(L$124:L$127,$D429)*$E429*INDEX(L$128:L$144,$F429)</f>
        <v/>
      </c>
      <c r="M429" s="36">
        <f>INDEX(M$124:M$127,$D429)*$E429*INDEX(M$128:M$144,$F429)</f>
        <v/>
      </c>
      <c r="N429" s="36">
        <f>INDEX(N$124:N$127,$D429)*$E429*INDEX(N$128:N$144,$F429)</f>
        <v/>
      </c>
      <c r="O429" s="36">
        <f>INDEX(O$124:O$127,$D429)*$E429*INDEX(O$128:O$144,$F429)</f>
        <v/>
      </c>
      <c r="P429" s="36">
        <f>INDEX(P$124:P$127,$D429)*$E429*INDEX(P$128:P$144,$F429)</f>
        <v/>
      </c>
      <c r="Q429" s="36">
        <f>INDEX(Q$124:Q$127,$D429)*$E429*INDEX(Q$128:Q$144,$F429)</f>
        <v/>
      </c>
      <c r="R429" s="36">
        <f>INDEX(R$124:R$127,$D429)*$E429*INDEX(R$128:R$144,$F429)</f>
        <v/>
      </c>
      <c r="S429" s="36">
        <f>INDEX(S$124:S$127,$D429)*$E429*INDEX(S$128:S$144,$F429)</f>
        <v/>
      </c>
      <c r="T429" s="36">
        <f>INDEX(T$124:T$127,$D429)*$E429*INDEX(T$128:T$144,$F429)</f>
        <v/>
      </c>
      <c r="U429" s="36">
        <f>INDEX(U$124:U$127,$D429)*$E429*INDEX(U$128:U$144,$F429)</f>
        <v/>
      </c>
      <c r="V429" s="36">
        <f>INDEX(V$124:V$127,$D429)*$E429*INDEX(V$128:V$144,$F429)</f>
        <v/>
      </c>
      <c r="W429" s="36">
        <f>INDEX(W$124:W$127,$D429)*$E429*INDEX(W$128:W$144,$F429)</f>
        <v/>
      </c>
      <c r="X429" s="36">
        <f>INDEX(X$124:X$127,$D429)*$E429*INDEX(X$128:X$144,$F429)</f>
        <v/>
      </c>
      <c r="Y429" s="36">
        <f>INDEX(Y$124:Y$127,$D429)*$E429*INDEX(Y$128:Y$144,$F429)</f>
        <v/>
      </c>
      <c r="Z429" s="23">
        <f>LOWER(Settings!$C$4)&amp;".mit."&amp;$A429&amp;IF($C429="","","."&amp;$C429&amp;"."&amp;$B429)&amp;IF(INDEX(Variables!$D$5:$D$65,MATCH($A429,Variables!$A$5:$A$65,0))="","","."&amp;INDEX(Variables!$D$5:$D$65,MATCH($A429,Variables!$A$5:$A$65,0)))&amp;"."&amp;Z$5</f>
        <v/>
      </c>
      <c r="AA429" s="38">
        <f>INDEX(AA$124:AA$127,$D429)*$E429*INDEX(AA$128:AA$144,$F429)</f>
        <v/>
      </c>
      <c r="AB429" s="36">
        <f>INDEX(AB$124:AB$127,$D429)*$E429*INDEX(AB$128:AB$144,$F429)</f>
        <v/>
      </c>
      <c r="AC429" s="36">
        <f>INDEX(AC$124:AC$127,$D429)*$E429*INDEX(AC$128:AC$144,$F429)</f>
        <v/>
      </c>
      <c r="AD429" s="36">
        <f>INDEX(AD$124:AD$127,$D429)*$E429*INDEX(AD$128:AD$144,$F429)</f>
        <v/>
      </c>
      <c r="AE429" s="36">
        <f>INDEX(AE$124:AE$127,$D429)*$E429*INDEX(AE$128:AE$144,$F429)</f>
        <v/>
      </c>
      <c r="AF429" s="36">
        <f>INDEX(AF$124:AF$127,$D429)*$E429*INDEX(AF$128:AF$144,$F429)</f>
        <v/>
      </c>
      <c r="AG429" s="36">
        <f>INDEX(AG$124:AG$127,$D429)*$E429*INDEX(AG$128:AG$144,$F429)</f>
        <v/>
      </c>
      <c r="AH429" s="36">
        <f>INDEX(AH$124:AH$127,$D429)*$E429*INDEX(AH$128:AH$144,$F429)</f>
        <v/>
      </c>
      <c r="AI429" s="36">
        <f>INDEX(AI$124:AI$127,$D429)*$E429*INDEX(AI$128:AI$144,$F429)</f>
        <v/>
      </c>
      <c r="AJ429" s="36">
        <f>INDEX(AJ$124:AJ$127,$D429)*$E429*INDEX(AJ$128:AJ$144,$F429)</f>
        <v/>
      </c>
      <c r="AK429" s="36">
        <f>INDEX(AK$124:AK$127,$D429)*$E429*INDEX(AK$128:AK$144,$F429)</f>
        <v/>
      </c>
      <c r="AL429" s="36">
        <f>INDEX(AL$124:AL$127,$D429)*$E429*INDEX(AL$128:AL$144,$F429)</f>
        <v/>
      </c>
      <c r="AM429" s="36">
        <f>INDEX(AM$124:AM$127,$D429)*$E429*INDEX(AM$128:AM$144,$F429)</f>
        <v/>
      </c>
      <c r="AN429" s="36">
        <f>INDEX(AN$124:AN$127,$D429)*$E429*INDEX(AN$128:AN$144,$F429)</f>
        <v/>
      </c>
    </row>
    <row r="430" hidden="1" outlineLevel="2">
      <c r="A430" s="5" t="inlineStr">
        <is>
          <t>shp</t>
        </is>
      </c>
      <c r="B430" s="5" t="inlineStr">
        <is>
          <t>ker</t>
        </is>
      </c>
      <c r="C430" s="5" t="inlineStr">
        <is>
          <t>nav</t>
        </is>
      </c>
      <c r="D430" s="36">
        <f>INDEX(Inputs!$M$5:$M$132,MATCH($B430&amp;"|"&amp;$C430,Inputs!$A$5:$A$132,0))</f>
        <v/>
      </c>
      <c r="E430" s="36">
        <f>INDEX(Inputs!$U$5:$U$132,MATCH($B430&amp;"|"&amp;$C430,Inputs!$A$5:$A$132,0))</f>
        <v/>
      </c>
      <c r="F430" s="36">
        <f>INDEX(Inputs!$K$5:$K$132,MATCH($B430&amp;"|"&amp;$C430,Inputs!$A$5:$A$132,0))</f>
        <v/>
      </c>
      <c r="G430" s="37" t="n"/>
      <c r="H430" s="5">
        <f>INDEX(Variables!$B$5:$B$65,MATCH($A430,Variables!$A$5:$A$65,0))&amp;IF($C430="",""," | "&amp;INDEX(Mapping!$B$5:$B$25,MATCH($C430,Mapping!$A$5:$A$25,0))&amp;" | "&amp;INDEX(Mapping!$B$29:$B$38,MATCH($B430,Mapping!$A$29:$A$38,0)))</f>
        <v/>
      </c>
      <c r="I430" s="5">
        <f>INDEX(Variables!$C$5:$C$65,MATCH($A430,Variables!$A$5:$A$65,0))</f>
        <v/>
      </c>
      <c r="J430" s="5">
        <f>INDEX(Variables!$E$5:$E$65,MATCH($A430,Variables!$A$5:$A$65,0))</f>
        <v/>
      </c>
      <c r="K430" s="23">
        <f>LOWER(Settings!$C$4)&amp;".mit."&amp;$A430&amp;IF($C430="","","."&amp;$C430&amp;"."&amp;$B430)&amp;IF(INDEX(Variables!$D$5:$D$65,MATCH($A430,Variables!$A$5:$A$65,0))="","","."&amp;INDEX(Variables!$D$5:$D$65,MATCH($A430,Variables!$A$5:$A$65,0)))&amp;"."&amp;K$5</f>
        <v/>
      </c>
      <c r="L430" s="38">
        <f>INDEX(L$124:L$127,$D430)*$E430*INDEX(L$128:L$144,$F430)</f>
        <v/>
      </c>
      <c r="M430" s="36">
        <f>INDEX(M$124:M$127,$D430)*$E430*INDEX(M$128:M$144,$F430)</f>
        <v/>
      </c>
      <c r="N430" s="36">
        <f>INDEX(N$124:N$127,$D430)*$E430*INDEX(N$128:N$144,$F430)</f>
        <v/>
      </c>
      <c r="O430" s="36">
        <f>INDEX(O$124:O$127,$D430)*$E430*INDEX(O$128:O$144,$F430)</f>
        <v/>
      </c>
      <c r="P430" s="36">
        <f>INDEX(P$124:P$127,$D430)*$E430*INDEX(P$128:P$144,$F430)</f>
        <v/>
      </c>
      <c r="Q430" s="36">
        <f>INDEX(Q$124:Q$127,$D430)*$E430*INDEX(Q$128:Q$144,$F430)</f>
        <v/>
      </c>
      <c r="R430" s="36">
        <f>INDEX(R$124:R$127,$D430)*$E430*INDEX(R$128:R$144,$F430)</f>
        <v/>
      </c>
      <c r="S430" s="36">
        <f>INDEX(S$124:S$127,$D430)*$E430*INDEX(S$128:S$144,$F430)</f>
        <v/>
      </c>
      <c r="T430" s="36">
        <f>INDEX(T$124:T$127,$D430)*$E430*INDEX(T$128:T$144,$F430)</f>
        <v/>
      </c>
      <c r="U430" s="36">
        <f>INDEX(U$124:U$127,$D430)*$E430*INDEX(U$128:U$144,$F430)</f>
        <v/>
      </c>
      <c r="V430" s="36">
        <f>INDEX(V$124:V$127,$D430)*$E430*INDEX(V$128:V$144,$F430)</f>
        <v/>
      </c>
      <c r="W430" s="36">
        <f>INDEX(W$124:W$127,$D430)*$E430*INDEX(W$128:W$144,$F430)</f>
        <v/>
      </c>
      <c r="X430" s="36">
        <f>INDEX(X$124:X$127,$D430)*$E430*INDEX(X$128:X$144,$F430)</f>
        <v/>
      </c>
      <c r="Y430" s="36">
        <f>INDEX(Y$124:Y$127,$D430)*$E430*INDEX(Y$128:Y$144,$F430)</f>
        <v/>
      </c>
      <c r="Z430" s="23">
        <f>LOWER(Settings!$C$4)&amp;".mit."&amp;$A430&amp;IF($C430="","","."&amp;$C430&amp;"."&amp;$B430)&amp;IF(INDEX(Variables!$D$5:$D$65,MATCH($A430,Variables!$A$5:$A$65,0))="","","."&amp;INDEX(Variables!$D$5:$D$65,MATCH($A430,Variables!$A$5:$A$65,0)))&amp;"."&amp;Z$5</f>
        <v/>
      </c>
      <c r="AA430" s="38">
        <f>INDEX(AA$124:AA$127,$D430)*$E430*INDEX(AA$128:AA$144,$F430)</f>
        <v/>
      </c>
      <c r="AB430" s="36">
        <f>INDEX(AB$124:AB$127,$D430)*$E430*INDEX(AB$128:AB$144,$F430)</f>
        <v/>
      </c>
      <c r="AC430" s="36">
        <f>INDEX(AC$124:AC$127,$D430)*$E430*INDEX(AC$128:AC$144,$F430)</f>
        <v/>
      </c>
      <c r="AD430" s="36">
        <f>INDEX(AD$124:AD$127,$D430)*$E430*INDEX(AD$128:AD$144,$F430)</f>
        <v/>
      </c>
      <c r="AE430" s="36">
        <f>INDEX(AE$124:AE$127,$D430)*$E430*INDEX(AE$128:AE$144,$F430)</f>
        <v/>
      </c>
      <c r="AF430" s="36">
        <f>INDEX(AF$124:AF$127,$D430)*$E430*INDEX(AF$128:AF$144,$F430)</f>
        <v/>
      </c>
      <c r="AG430" s="36">
        <f>INDEX(AG$124:AG$127,$D430)*$E430*INDEX(AG$128:AG$144,$F430)</f>
        <v/>
      </c>
      <c r="AH430" s="36">
        <f>INDEX(AH$124:AH$127,$D430)*$E430*INDEX(AH$128:AH$144,$F430)</f>
        <v/>
      </c>
      <c r="AI430" s="36">
        <f>INDEX(AI$124:AI$127,$D430)*$E430*INDEX(AI$128:AI$144,$F430)</f>
        <v/>
      </c>
      <c r="AJ430" s="36">
        <f>INDEX(AJ$124:AJ$127,$D430)*$E430*INDEX(AJ$128:AJ$144,$F430)</f>
        <v/>
      </c>
      <c r="AK430" s="36">
        <f>INDEX(AK$124:AK$127,$D430)*$E430*INDEX(AK$128:AK$144,$F430)</f>
        <v/>
      </c>
      <c r="AL430" s="36">
        <f>INDEX(AL$124:AL$127,$D430)*$E430*INDEX(AL$128:AL$144,$F430)</f>
        <v/>
      </c>
      <c r="AM430" s="36">
        <f>INDEX(AM$124:AM$127,$D430)*$E430*INDEX(AM$128:AM$144,$F430)</f>
        <v/>
      </c>
      <c r="AN430" s="36">
        <f>INDEX(AN$124:AN$127,$D430)*$E430*INDEX(AN$128:AN$144,$F430)</f>
        <v/>
      </c>
    </row>
    <row r="431" hidden="1" outlineLevel="2">
      <c r="A431" s="5" t="inlineStr">
        <is>
          <t>shp</t>
        </is>
      </c>
      <c r="B431" s="5" t="inlineStr">
        <is>
          <t>oop</t>
        </is>
      </c>
      <c r="C431" s="5" t="inlineStr">
        <is>
          <t>nav</t>
        </is>
      </c>
      <c r="D431" s="36">
        <f>INDEX(Inputs!$M$5:$M$132,MATCH($B431&amp;"|"&amp;$C431,Inputs!$A$5:$A$132,0))</f>
        <v/>
      </c>
      <c r="E431" s="36">
        <f>INDEX(Inputs!$U$5:$U$132,MATCH($B431&amp;"|"&amp;$C431,Inputs!$A$5:$A$132,0))</f>
        <v/>
      </c>
      <c r="F431" s="36">
        <f>INDEX(Inputs!$K$5:$K$132,MATCH($B431&amp;"|"&amp;$C431,Inputs!$A$5:$A$132,0))</f>
        <v/>
      </c>
      <c r="G431" s="37" t="n"/>
      <c r="H431" s="5">
        <f>INDEX(Variables!$B$5:$B$65,MATCH($A431,Variables!$A$5:$A$65,0))&amp;IF($C431="",""," | "&amp;INDEX(Mapping!$B$5:$B$25,MATCH($C431,Mapping!$A$5:$A$25,0))&amp;" | "&amp;INDEX(Mapping!$B$29:$B$38,MATCH($B431,Mapping!$A$29:$A$38,0)))</f>
        <v/>
      </c>
      <c r="I431" s="5">
        <f>INDEX(Variables!$C$5:$C$65,MATCH($A431,Variables!$A$5:$A$65,0))</f>
        <v/>
      </c>
      <c r="J431" s="5">
        <f>INDEX(Variables!$E$5:$E$65,MATCH($A431,Variables!$A$5:$A$65,0))</f>
        <v/>
      </c>
      <c r="K431" s="23">
        <f>LOWER(Settings!$C$4)&amp;".mit."&amp;$A431&amp;IF($C431="","","."&amp;$C431&amp;"."&amp;$B431)&amp;IF(INDEX(Variables!$D$5:$D$65,MATCH($A431,Variables!$A$5:$A$65,0))="","","."&amp;INDEX(Variables!$D$5:$D$65,MATCH($A431,Variables!$A$5:$A$65,0)))&amp;"."&amp;K$5</f>
        <v/>
      </c>
      <c r="L431" s="38">
        <f>INDEX(L$124:L$127,$D431)*$E431*INDEX(L$128:L$144,$F431)</f>
        <v/>
      </c>
      <c r="M431" s="36">
        <f>INDEX(M$124:M$127,$D431)*$E431*INDEX(M$128:M$144,$F431)</f>
        <v/>
      </c>
      <c r="N431" s="36">
        <f>INDEX(N$124:N$127,$D431)*$E431*INDEX(N$128:N$144,$F431)</f>
        <v/>
      </c>
      <c r="O431" s="36">
        <f>INDEX(O$124:O$127,$D431)*$E431*INDEX(O$128:O$144,$F431)</f>
        <v/>
      </c>
      <c r="P431" s="36">
        <f>INDEX(P$124:P$127,$D431)*$E431*INDEX(P$128:P$144,$F431)</f>
        <v/>
      </c>
      <c r="Q431" s="36">
        <f>INDEX(Q$124:Q$127,$D431)*$E431*INDEX(Q$128:Q$144,$F431)</f>
        <v/>
      </c>
      <c r="R431" s="36">
        <f>INDEX(R$124:R$127,$D431)*$E431*INDEX(R$128:R$144,$F431)</f>
        <v/>
      </c>
      <c r="S431" s="36">
        <f>INDEX(S$124:S$127,$D431)*$E431*INDEX(S$128:S$144,$F431)</f>
        <v/>
      </c>
      <c r="T431" s="36">
        <f>INDEX(T$124:T$127,$D431)*$E431*INDEX(T$128:T$144,$F431)</f>
        <v/>
      </c>
      <c r="U431" s="36">
        <f>INDEX(U$124:U$127,$D431)*$E431*INDEX(U$128:U$144,$F431)</f>
        <v/>
      </c>
      <c r="V431" s="36">
        <f>INDEX(V$124:V$127,$D431)*$E431*INDEX(V$128:V$144,$F431)</f>
        <v/>
      </c>
      <c r="W431" s="36">
        <f>INDEX(W$124:W$127,$D431)*$E431*INDEX(W$128:W$144,$F431)</f>
        <v/>
      </c>
      <c r="X431" s="36">
        <f>INDEX(X$124:X$127,$D431)*$E431*INDEX(X$128:X$144,$F431)</f>
        <v/>
      </c>
      <c r="Y431" s="36">
        <f>INDEX(Y$124:Y$127,$D431)*$E431*INDEX(Y$128:Y$144,$F431)</f>
        <v/>
      </c>
      <c r="Z431" s="23">
        <f>LOWER(Settings!$C$4)&amp;".mit."&amp;$A431&amp;IF($C431="","","."&amp;$C431&amp;"."&amp;$B431)&amp;IF(INDEX(Variables!$D$5:$D$65,MATCH($A431,Variables!$A$5:$A$65,0))="","","."&amp;INDEX(Variables!$D$5:$D$65,MATCH($A431,Variables!$A$5:$A$65,0)))&amp;"."&amp;Z$5</f>
        <v/>
      </c>
      <c r="AA431" s="38">
        <f>INDEX(AA$124:AA$127,$D431)*$E431*INDEX(AA$128:AA$144,$F431)</f>
        <v/>
      </c>
      <c r="AB431" s="36">
        <f>INDEX(AB$124:AB$127,$D431)*$E431*INDEX(AB$128:AB$144,$F431)</f>
        <v/>
      </c>
      <c r="AC431" s="36">
        <f>INDEX(AC$124:AC$127,$D431)*$E431*INDEX(AC$128:AC$144,$F431)</f>
        <v/>
      </c>
      <c r="AD431" s="36">
        <f>INDEX(AD$124:AD$127,$D431)*$E431*INDEX(AD$128:AD$144,$F431)</f>
        <v/>
      </c>
      <c r="AE431" s="36">
        <f>INDEX(AE$124:AE$127,$D431)*$E431*INDEX(AE$128:AE$144,$F431)</f>
        <v/>
      </c>
      <c r="AF431" s="36">
        <f>INDEX(AF$124:AF$127,$D431)*$E431*INDEX(AF$128:AF$144,$F431)</f>
        <v/>
      </c>
      <c r="AG431" s="36">
        <f>INDEX(AG$124:AG$127,$D431)*$E431*INDEX(AG$128:AG$144,$F431)</f>
        <v/>
      </c>
      <c r="AH431" s="36">
        <f>INDEX(AH$124:AH$127,$D431)*$E431*INDEX(AH$128:AH$144,$F431)</f>
        <v/>
      </c>
      <c r="AI431" s="36">
        <f>INDEX(AI$124:AI$127,$D431)*$E431*INDEX(AI$128:AI$144,$F431)</f>
        <v/>
      </c>
      <c r="AJ431" s="36">
        <f>INDEX(AJ$124:AJ$127,$D431)*$E431*INDEX(AJ$128:AJ$144,$F431)</f>
        <v/>
      </c>
      <c r="AK431" s="36">
        <f>INDEX(AK$124:AK$127,$D431)*$E431*INDEX(AK$128:AK$144,$F431)</f>
        <v/>
      </c>
      <c r="AL431" s="36">
        <f>INDEX(AL$124:AL$127,$D431)*$E431*INDEX(AL$128:AL$144,$F431)</f>
        <v/>
      </c>
      <c r="AM431" s="36">
        <f>INDEX(AM$124:AM$127,$D431)*$E431*INDEX(AM$128:AM$144,$F431)</f>
        <v/>
      </c>
      <c r="AN431" s="36">
        <f>INDEX(AN$124:AN$127,$D431)*$E431*INDEX(AN$128:AN$144,$F431)</f>
        <v/>
      </c>
    </row>
    <row r="432" hidden="1" outlineLevel="2">
      <c r="A432" s="5" t="inlineStr">
        <is>
          <t>shp</t>
        </is>
      </c>
      <c r="B432" s="5" t="inlineStr">
        <is>
          <t>bio</t>
        </is>
      </c>
      <c r="C432" s="5" t="inlineStr">
        <is>
          <t>nav</t>
        </is>
      </c>
      <c r="D432" s="36">
        <f>INDEX(Inputs!$M$5:$M$132,MATCH($B432&amp;"|"&amp;$C432,Inputs!$A$5:$A$132,0))</f>
        <v/>
      </c>
      <c r="E432" s="36">
        <f>INDEX(Inputs!$U$5:$U$132,MATCH($B432&amp;"|"&amp;$C432,Inputs!$A$5:$A$132,0))</f>
        <v/>
      </c>
      <c r="F432" s="36">
        <f>INDEX(Inputs!$K$5:$K$132,MATCH($B432&amp;"|"&amp;$C432,Inputs!$A$5:$A$132,0))</f>
        <v/>
      </c>
      <c r="G432" s="37" t="n"/>
      <c r="H432" s="5">
        <f>INDEX(Variables!$B$5:$B$65,MATCH($A432,Variables!$A$5:$A$65,0))&amp;IF($C432="",""," | "&amp;INDEX(Mapping!$B$5:$B$25,MATCH($C432,Mapping!$A$5:$A$25,0))&amp;" | "&amp;INDEX(Mapping!$B$29:$B$38,MATCH($B432,Mapping!$A$29:$A$38,0)))</f>
        <v/>
      </c>
      <c r="I432" s="5">
        <f>INDEX(Variables!$C$5:$C$65,MATCH($A432,Variables!$A$5:$A$65,0))</f>
        <v/>
      </c>
      <c r="J432" s="5">
        <f>INDEX(Variables!$E$5:$E$65,MATCH($A432,Variables!$A$5:$A$65,0))</f>
        <v/>
      </c>
      <c r="K432" s="23">
        <f>LOWER(Settings!$C$4)&amp;".mit."&amp;$A432&amp;IF($C432="","","."&amp;$C432&amp;"."&amp;$B432)&amp;IF(INDEX(Variables!$D$5:$D$65,MATCH($A432,Variables!$A$5:$A$65,0))="","","."&amp;INDEX(Variables!$D$5:$D$65,MATCH($A432,Variables!$A$5:$A$65,0)))&amp;"."&amp;K$5</f>
        <v/>
      </c>
      <c r="L432" s="38">
        <f>INDEX(L$124:L$127,$D432)*$E432*INDEX(L$128:L$144,$F432)</f>
        <v/>
      </c>
      <c r="M432" s="36">
        <f>INDEX(M$124:M$127,$D432)*$E432*INDEX(M$128:M$144,$F432)</f>
        <v/>
      </c>
      <c r="N432" s="36">
        <f>INDEX(N$124:N$127,$D432)*$E432*INDEX(N$128:N$144,$F432)</f>
        <v/>
      </c>
      <c r="O432" s="36">
        <f>INDEX(O$124:O$127,$D432)*$E432*INDEX(O$128:O$144,$F432)</f>
        <v/>
      </c>
      <c r="P432" s="36">
        <f>INDEX(P$124:P$127,$D432)*$E432*INDEX(P$128:P$144,$F432)</f>
        <v/>
      </c>
      <c r="Q432" s="36">
        <f>INDEX(Q$124:Q$127,$D432)*$E432*INDEX(Q$128:Q$144,$F432)</f>
        <v/>
      </c>
      <c r="R432" s="36">
        <f>INDEX(R$124:R$127,$D432)*$E432*INDEX(R$128:R$144,$F432)</f>
        <v/>
      </c>
      <c r="S432" s="36">
        <f>INDEX(S$124:S$127,$D432)*$E432*INDEX(S$128:S$144,$F432)</f>
        <v/>
      </c>
      <c r="T432" s="36">
        <f>INDEX(T$124:T$127,$D432)*$E432*INDEX(T$128:T$144,$F432)</f>
        <v/>
      </c>
      <c r="U432" s="36">
        <f>INDEX(U$124:U$127,$D432)*$E432*INDEX(U$128:U$144,$F432)</f>
        <v/>
      </c>
      <c r="V432" s="36">
        <f>INDEX(V$124:V$127,$D432)*$E432*INDEX(V$128:V$144,$F432)</f>
        <v/>
      </c>
      <c r="W432" s="36">
        <f>INDEX(W$124:W$127,$D432)*$E432*INDEX(W$128:W$144,$F432)</f>
        <v/>
      </c>
      <c r="X432" s="36">
        <f>INDEX(X$124:X$127,$D432)*$E432*INDEX(X$128:X$144,$F432)</f>
        <v/>
      </c>
      <c r="Y432" s="36">
        <f>INDEX(Y$124:Y$127,$D432)*$E432*INDEX(Y$128:Y$144,$F432)</f>
        <v/>
      </c>
      <c r="Z432" s="23">
        <f>LOWER(Settings!$C$4)&amp;".mit."&amp;$A432&amp;IF($C432="","","."&amp;$C432&amp;"."&amp;$B432)&amp;IF(INDEX(Variables!$D$5:$D$65,MATCH($A432,Variables!$A$5:$A$65,0))="","","."&amp;INDEX(Variables!$D$5:$D$65,MATCH($A432,Variables!$A$5:$A$65,0)))&amp;"."&amp;Z$5</f>
        <v/>
      </c>
      <c r="AA432" s="38">
        <f>INDEX(AA$124:AA$127,$D432)*$E432*INDEX(AA$128:AA$144,$F432)</f>
        <v/>
      </c>
      <c r="AB432" s="36">
        <f>INDEX(AB$124:AB$127,$D432)*$E432*INDEX(AB$128:AB$144,$F432)</f>
        <v/>
      </c>
      <c r="AC432" s="36">
        <f>INDEX(AC$124:AC$127,$D432)*$E432*INDEX(AC$128:AC$144,$F432)</f>
        <v/>
      </c>
      <c r="AD432" s="36">
        <f>INDEX(AD$124:AD$127,$D432)*$E432*INDEX(AD$128:AD$144,$F432)</f>
        <v/>
      </c>
      <c r="AE432" s="36">
        <f>INDEX(AE$124:AE$127,$D432)*$E432*INDEX(AE$128:AE$144,$F432)</f>
        <v/>
      </c>
      <c r="AF432" s="36">
        <f>INDEX(AF$124:AF$127,$D432)*$E432*INDEX(AF$128:AF$144,$F432)</f>
        <v/>
      </c>
      <c r="AG432" s="36">
        <f>INDEX(AG$124:AG$127,$D432)*$E432*INDEX(AG$128:AG$144,$F432)</f>
        <v/>
      </c>
      <c r="AH432" s="36">
        <f>INDEX(AH$124:AH$127,$D432)*$E432*INDEX(AH$128:AH$144,$F432)</f>
        <v/>
      </c>
      <c r="AI432" s="36">
        <f>INDEX(AI$124:AI$127,$D432)*$E432*INDEX(AI$128:AI$144,$F432)</f>
        <v/>
      </c>
      <c r="AJ432" s="36">
        <f>INDEX(AJ$124:AJ$127,$D432)*$E432*INDEX(AJ$128:AJ$144,$F432)</f>
        <v/>
      </c>
      <c r="AK432" s="36">
        <f>INDEX(AK$124:AK$127,$D432)*$E432*INDEX(AK$128:AK$144,$F432)</f>
        <v/>
      </c>
      <c r="AL432" s="36">
        <f>INDEX(AL$124:AL$127,$D432)*$E432*INDEX(AL$128:AL$144,$F432)</f>
        <v/>
      </c>
      <c r="AM432" s="36">
        <f>INDEX(AM$124:AM$127,$D432)*$E432*INDEX(AM$128:AM$144,$F432)</f>
        <v/>
      </c>
      <c r="AN432" s="36">
        <f>INDEX(AN$124:AN$127,$D432)*$E432*INDEX(AN$128:AN$144,$F432)</f>
        <v/>
      </c>
    </row>
    <row r="433" hidden="1" outlineLevel="2"/>
    <row r="434" hidden="1" outlineLevel="2">
      <c r="A434" s="5" t="inlineStr">
        <is>
          <t>ener</t>
        </is>
      </c>
      <c r="B434" s="5" t="inlineStr">
        <is>
          <t>coa</t>
        </is>
      </c>
      <c r="C434" s="5" t="inlineStr">
        <is>
          <t>nav</t>
        </is>
      </c>
      <c r="D434" s="36">
        <f>INDEX(Inputs!$N$5:$N$132,MATCH($B434&amp;"|"&amp;$C434,Inputs!$A$5:$A$132,0))</f>
        <v/>
      </c>
      <c r="E434" s="36">
        <f>INDEX(Inputs!$O$5:$O$132,MATCH($B434&amp;"|"&amp;$C434,Inputs!$A$5:$A$132,0))</f>
        <v/>
      </c>
      <c r="F434" s="36">
        <f>INDEX(Inputs!$P$5:$P$132,MATCH($B434&amp;"|"&amp;$C434,Inputs!$A$5:$A$132,0))</f>
        <v/>
      </c>
      <c r="G434" s="36">
        <f>INDEX(Inputs!$Q$5:$Q$132,MATCH($B434&amp;"|"&amp;$C434,Inputs!$A$5:$A$132,0))</f>
        <v/>
      </c>
      <c r="H434" s="5">
        <f>INDEX(Variables!$B$5:$B$65,MATCH($A434,Variables!$A$5:$A$65,0))&amp;IF($C434="",""," | "&amp;INDEX(Mapping!$B$5:$B$25,MATCH($C434,Mapping!$A$5:$A$25,0))&amp;" | "&amp;INDEX(Mapping!$B$29:$B$38,MATCH($B434,Mapping!$A$29:$A$38,0)))</f>
        <v/>
      </c>
      <c r="I434" s="5">
        <f>INDEX(Variables!$C$5:$C$65,MATCH($A434,Variables!$A$5:$A$65,0))</f>
        <v/>
      </c>
      <c r="J434" s="5">
        <f>INDEX(Variables!$E$5:$E$65,MATCH($A434,Variables!$A$5:$A$65,0))</f>
        <v/>
      </c>
      <c r="K434" s="23">
        <f>LOWER(Settings!$C$4)&amp;".mit."&amp;$A434&amp;IF($C434="","","."&amp;$C434&amp;"."&amp;$B434)&amp;IF(INDEX(Variables!$D$5:$D$65,MATCH($A434,Variables!$A$5:$A$65,0))="","","."&amp;INDEX(Variables!$D$5:$D$65,MATCH($A434,Variables!$A$5:$A$65,0)))&amp;"."&amp;K$5</f>
        <v/>
      </c>
      <c r="L434" s="40">
        <f>INDEX(Inputs!$V$5:$V$132,MATCH($B434&amp;"|"&amp;$C434,Inputs!$A$5:$A$132,0))</f>
        <v/>
      </c>
      <c r="M434" s="41">
        <f>L434*(1/(1+$G434))^(1+$E434)*(1+M$7)^$D434*(M416/L416)^$E434*((M416+M425)/(L416+L425))^($F434*(1+$E434))</f>
        <v/>
      </c>
      <c r="N434" s="41">
        <f>M434*(1/(1+$G434))^(1+$E434)*(1+N$7)^$D434*(N416/M416)^$E434*((N416+N425)/(M416+M425))^($F434*(1+$E434))</f>
        <v/>
      </c>
      <c r="O434" s="41">
        <f>N434*(1/(1+$G434))^(1+$E434)*(1+O$7)^$D434*(O416/N416)^$E434*((O416+O425)/(N416+N425))^($F434*(1+$E434))</f>
        <v/>
      </c>
      <c r="P434" s="41">
        <f>O434*(1/(1+$G434))^(1+$E434)*(1+P$7)^$D434*(P416/O416)^$E434*((P416+P425)/(O416+O425))^($F434*(1+$E434))</f>
        <v/>
      </c>
      <c r="Q434" s="41">
        <f>P434*(1/(1+$G434))^(1+$E434)*(1+Q$7)^$D434*(Q416/P416)^$E434*((Q416+Q425)/(P416+P425))^($F434*(1+$E434))</f>
        <v/>
      </c>
      <c r="R434" s="41">
        <f>Q434*(1/(1+$G434))^(1+$E434)*(1+R$7)^$D434*(R416/Q416)^$E434*((R416+R425)/(Q416+Q425))^($F434*(1+$E434))</f>
        <v/>
      </c>
      <c r="S434" s="41">
        <f>R434*(1/(1+$G434))^(1+$E434)*(1+S$7)^$D434*(S416/R416)^$E434*((S416+S425)/(R416+R425))^($F434*(1+$E434))</f>
        <v/>
      </c>
      <c r="T434" s="41">
        <f>S434*(1/(1+$G434))^(1+$E434)*(1+T$7)^$D434*(T416/S416)^$E434*((T416+T425)/(S416+S425))^($F434*(1+$E434))</f>
        <v/>
      </c>
      <c r="U434" s="41">
        <f>T434*(1/(1+$G434))^(1+$E434)*(1+U$7)^$D434*(U416/T416)^$E434*((U416+U425)/(T416+T425))^($F434*(1+$E434))</f>
        <v/>
      </c>
      <c r="V434" s="41">
        <f>U434*(1/(1+$G434))^(1+$E434)*(1+V$7)^$D434*(V416/U416)^$E434*((V416+V425)/(U416+U425))^($F434*(1+$E434))</f>
        <v/>
      </c>
      <c r="W434" s="41">
        <f>V434*(1/(1+$G434))^(1+$E434)*(1+W$7)^$D434*(W416/V416)^$E434*((W416+W425)/(V416+V425))^($F434*(1+$E434))</f>
        <v/>
      </c>
      <c r="X434" s="41">
        <f>W434*(1/(1+$G434))^(1+$E434)*(1+X$7)^$D434*(X416/W416)^$E434*((X416+X425)/(W416+W425))^($F434*(1+$E434))</f>
        <v/>
      </c>
      <c r="Y434" s="42">
        <f>FUELUSE(X434,Y416,X416,Y425,X425,Y$7,$D434,$E434,$F434,$G434)</f>
        <v/>
      </c>
      <c r="Z434" s="23">
        <f>LOWER(Settings!$C$4)&amp;".mit."&amp;$A434&amp;IF($C434="","","."&amp;$C434&amp;"."&amp;$B434)&amp;IF(INDEX(Variables!$D$5:$D$65,MATCH($A434,Variables!$A$5:$A$65,0))="","","."&amp;INDEX(Variables!$D$5:$D$65,MATCH($A434,Variables!$A$5:$A$65,0)))&amp;"."&amp;Z$5</f>
        <v/>
      </c>
      <c r="AA434" s="40">
        <f>INDEX(Inputs!$V$5:$V$132,MATCH($B434&amp;"|"&amp;$C434,Inputs!$A$5:$A$132,0))</f>
        <v/>
      </c>
      <c r="AB434" s="41">
        <f>AA434*(1/(1+$G434))^(1+$E434)*(1+AB$7)^$D434*(AB416/AA416)^$E434*((AB416+AB425)/(AA416+AA425))^($F434*(1+$E434))</f>
        <v/>
      </c>
      <c r="AC434" s="41">
        <f>AB434*(1/(1+$G434))^(1+$E434)*(1+AC$7)^$D434*(AC416/AB416)^$E434*((AC416+AC425)/(AB416+AB425))^($F434*(1+$E434))</f>
        <v/>
      </c>
      <c r="AD434" s="41">
        <f>AC434*(1/(1+$G434))^(1+$E434)*(1+AD$7)^$D434*(AD416/AC416)^$E434*((AD416+AD425)/(AC416+AC425))^($F434*(1+$E434))</f>
        <v/>
      </c>
      <c r="AE434" s="41">
        <f>AD434*(1/(1+$G434))^(1+$E434)*(1+AE$7)^$D434*(AE416/AD416)^$E434*((AE416+AE425)/(AD416+AD425))^($F434*(1+$E434))</f>
        <v/>
      </c>
      <c r="AF434" s="41">
        <f>AE434*(1/(1+$G434))^(1+$E434)*(1+AF$7)^$D434*(AF416/AE416)^$E434*((AF416+AF425)/(AE416+AE425))^($F434*(1+$E434))</f>
        <v/>
      </c>
      <c r="AG434" s="41">
        <f>AF434*(1/(1+$G434))^(1+$E434)*(1+AG$7)^$D434*(AG416/AF416)^$E434*((AG416+AG425)/(AF416+AF425))^($F434*(1+$E434))</f>
        <v/>
      </c>
      <c r="AH434" s="41">
        <f>AG434*(1/(1+$G434))^(1+$E434)*(1+AH$7)^$D434*(AH416/AG416)^$E434*((AH416+AH425)/(AG416+AG425))^($F434*(1+$E434))</f>
        <v/>
      </c>
      <c r="AI434" s="41">
        <f>AH434*(1/(1+$G434))^(1+$E434)*(1+AI$7)^$D434*(AI416/AH416)^$E434*((AI416+AI425)/(AH416+AH425))^($F434*(1+$E434))</f>
        <v/>
      </c>
      <c r="AJ434" s="41">
        <f>AI434*(1/(1+$G434))^(1+$E434)*(1+AJ$7)^$D434*(AJ416/AI416)^$E434*((AJ416+AJ425)/(AI416+AI425))^($F434*(1+$E434))</f>
        <v/>
      </c>
      <c r="AK434" s="41">
        <f>AJ434*(1/(1+$G434))^(1+$E434)*(1+AK$7)^$D434*(AK416/AJ416)^$E434*((AK416+AK425)/(AJ416+AJ425))^($F434*(1+$E434))</f>
        <v/>
      </c>
      <c r="AL434" s="41">
        <f>AK434*(1/(1+$G434))^(1+$E434)*(1+AL$7)^$D434*(AL416/AK416)^$E434*((AL416+AL425)/(AK416+AK425))^($F434*(1+$E434))</f>
        <v/>
      </c>
      <c r="AM434" s="41">
        <f>AL434*(1/(1+$G434))^(1+$E434)*(1+AM$7)^$D434*(AM416/AL416)^$E434*((AM416+AM425)/(AL416+AL425))^($F434*(1+$E434))</f>
        <v/>
      </c>
      <c r="AN434" s="42">
        <f>FUELUSE(AM434,AN416,AM416,AN425,AM425,AN$7,$D434,$E434,$F434,$G434)</f>
        <v/>
      </c>
    </row>
    <row r="435" hidden="1" outlineLevel="2">
      <c r="A435" s="5" t="inlineStr">
        <is>
          <t>ener</t>
        </is>
      </c>
      <c r="B435" s="5" t="inlineStr">
        <is>
          <t>nga</t>
        </is>
      </c>
      <c r="C435" s="5" t="inlineStr">
        <is>
          <t>nav</t>
        </is>
      </c>
      <c r="D435" s="36">
        <f>INDEX(Inputs!$N$5:$N$132,MATCH($B435&amp;"|"&amp;$C435,Inputs!$A$5:$A$132,0))</f>
        <v/>
      </c>
      <c r="E435" s="36">
        <f>INDEX(Inputs!$O$5:$O$132,MATCH($B435&amp;"|"&amp;$C435,Inputs!$A$5:$A$132,0))</f>
        <v/>
      </c>
      <c r="F435" s="36">
        <f>INDEX(Inputs!$P$5:$P$132,MATCH($B435&amp;"|"&amp;$C435,Inputs!$A$5:$A$132,0))</f>
        <v/>
      </c>
      <c r="G435" s="36">
        <f>INDEX(Inputs!$Q$5:$Q$132,MATCH($B435&amp;"|"&amp;$C435,Inputs!$A$5:$A$132,0))</f>
        <v/>
      </c>
      <c r="H435" s="5">
        <f>INDEX(Variables!$B$5:$B$65,MATCH($A435,Variables!$A$5:$A$65,0))&amp;IF($C435="",""," | "&amp;INDEX(Mapping!$B$5:$B$25,MATCH($C435,Mapping!$A$5:$A$25,0))&amp;" | "&amp;INDEX(Mapping!$B$29:$B$38,MATCH($B435,Mapping!$A$29:$A$38,0)))</f>
        <v/>
      </c>
      <c r="I435" s="5">
        <f>INDEX(Variables!$C$5:$C$65,MATCH($A435,Variables!$A$5:$A$65,0))</f>
        <v/>
      </c>
      <c r="J435" s="5">
        <f>INDEX(Variables!$E$5:$E$65,MATCH($A435,Variables!$A$5:$A$65,0))</f>
        <v/>
      </c>
      <c r="K435" s="23">
        <f>LOWER(Settings!$C$4)&amp;".mit."&amp;$A435&amp;IF($C435="","","."&amp;$C435&amp;"."&amp;$B435)&amp;IF(INDEX(Variables!$D$5:$D$65,MATCH($A435,Variables!$A$5:$A$65,0))="","","."&amp;INDEX(Variables!$D$5:$D$65,MATCH($A435,Variables!$A$5:$A$65,0)))&amp;"."&amp;K$5</f>
        <v/>
      </c>
      <c r="L435" s="40">
        <f>INDEX(Inputs!$V$5:$V$132,MATCH($B435&amp;"|"&amp;$C435,Inputs!$A$5:$A$132,0))</f>
        <v/>
      </c>
      <c r="M435" s="41">
        <f>L435*(1/(1+$G435))^(1+$E435)*(1+M$7)^$D435*(M417/L417)^$E435*((M417+M426)/(L417+L426))^($F435*(1+$E435))</f>
        <v/>
      </c>
      <c r="N435" s="41">
        <f>M435*(1/(1+$G435))^(1+$E435)*(1+N$7)^$D435*(N417/M417)^$E435*((N417+N426)/(M417+M426))^($F435*(1+$E435))</f>
        <v/>
      </c>
      <c r="O435" s="41">
        <f>N435*(1/(1+$G435))^(1+$E435)*(1+O$7)^$D435*(O417/N417)^$E435*((O417+O426)/(N417+N426))^($F435*(1+$E435))</f>
        <v/>
      </c>
      <c r="P435" s="41">
        <f>O435*(1/(1+$G435))^(1+$E435)*(1+P$7)^$D435*(P417/O417)^$E435*((P417+P426)/(O417+O426))^($F435*(1+$E435))</f>
        <v/>
      </c>
      <c r="Q435" s="41">
        <f>P435*(1/(1+$G435))^(1+$E435)*(1+Q$7)^$D435*(Q417/P417)^$E435*((Q417+Q426)/(P417+P426))^($F435*(1+$E435))</f>
        <v/>
      </c>
      <c r="R435" s="41">
        <f>Q435*(1/(1+$G435))^(1+$E435)*(1+R$7)^$D435*(R417/Q417)^$E435*((R417+R426)/(Q417+Q426))^($F435*(1+$E435))</f>
        <v/>
      </c>
      <c r="S435" s="41">
        <f>R435*(1/(1+$G435))^(1+$E435)*(1+S$7)^$D435*(S417/R417)^$E435*((S417+S426)/(R417+R426))^($F435*(1+$E435))</f>
        <v/>
      </c>
      <c r="T435" s="41">
        <f>S435*(1/(1+$G435))^(1+$E435)*(1+T$7)^$D435*(T417/S417)^$E435*((T417+T426)/(S417+S426))^($F435*(1+$E435))</f>
        <v/>
      </c>
      <c r="U435" s="41">
        <f>T435*(1/(1+$G435))^(1+$E435)*(1+U$7)^$D435*(U417/T417)^$E435*((U417+U426)/(T417+T426))^($F435*(1+$E435))</f>
        <v/>
      </c>
      <c r="V435" s="41">
        <f>U435*(1/(1+$G435))^(1+$E435)*(1+V$7)^$D435*(V417/U417)^$E435*((V417+V426)/(U417+U426))^($F435*(1+$E435))</f>
        <v/>
      </c>
      <c r="W435" s="41">
        <f>V435*(1/(1+$G435))^(1+$E435)*(1+W$7)^$D435*(W417/V417)^$E435*((W417+W426)/(V417+V426))^($F435*(1+$E435))</f>
        <v/>
      </c>
      <c r="X435" s="41">
        <f>W435*(1/(1+$G435))^(1+$E435)*(1+X$7)^$D435*(X417/W417)^$E435*((X417+X426)/(W417+W426))^($F435*(1+$E435))</f>
        <v/>
      </c>
      <c r="Y435" s="42">
        <f>FUELUSE(X435,Y417,X417,Y426,X426,Y$7,$D435,$E435,$F435,$G435)</f>
        <v/>
      </c>
      <c r="Z435" s="23">
        <f>LOWER(Settings!$C$4)&amp;".mit."&amp;$A435&amp;IF($C435="","","."&amp;$C435&amp;"."&amp;$B435)&amp;IF(INDEX(Variables!$D$5:$D$65,MATCH($A435,Variables!$A$5:$A$65,0))="","","."&amp;INDEX(Variables!$D$5:$D$65,MATCH($A435,Variables!$A$5:$A$65,0)))&amp;"."&amp;Z$5</f>
        <v/>
      </c>
      <c r="AA435" s="40">
        <f>INDEX(Inputs!$V$5:$V$132,MATCH($B435&amp;"|"&amp;$C435,Inputs!$A$5:$A$132,0))</f>
        <v/>
      </c>
      <c r="AB435" s="41">
        <f>AA435*(1/(1+$G435))^(1+$E435)*(1+AB$7)^$D435*(AB417/AA417)^$E435*((AB417+AB426)/(AA417+AA426))^($F435*(1+$E435))</f>
        <v/>
      </c>
      <c r="AC435" s="41">
        <f>AB435*(1/(1+$G435))^(1+$E435)*(1+AC$7)^$D435*(AC417/AB417)^$E435*((AC417+AC426)/(AB417+AB426))^($F435*(1+$E435))</f>
        <v/>
      </c>
      <c r="AD435" s="41">
        <f>AC435*(1/(1+$G435))^(1+$E435)*(1+AD$7)^$D435*(AD417/AC417)^$E435*((AD417+AD426)/(AC417+AC426))^($F435*(1+$E435))</f>
        <v/>
      </c>
      <c r="AE435" s="41">
        <f>AD435*(1/(1+$G435))^(1+$E435)*(1+AE$7)^$D435*(AE417/AD417)^$E435*((AE417+AE426)/(AD417+AD426))^($F435*(1+$E435))</f>
        <v/>
      </c>
      <c r="AF435" s="41">
        <f>AE435*(1/(1+$G435))^(1+$E435)*(1+AF$7)^$D435*(AF417/AE417)^$E435*((AF417+AF426)/(AE417+AE426))^($F435*(1+$E435))</f>
        <v/>
      </c>
      <c r="AG435" s="41">
        <f>AF435*(1/(1+$G435))^(1+$E435)*(1+AG$7)^$D435*(AG417/AF417)^$E435*((AG417+AG426)/(AF417+AF426))^($F435*(1+$E435))</f>
        <v/>
      </c>
      <c r="AH435" s="41">
        <f>AG435*(1/(1+$G435))^(1+$E435)*(1+AH$7)^$D435*(AH417/AG417)^$E435*((AH417+AH426)/(AG417+AG426))^($F435*(1+$E435))</f>
        <v/>
      </c>
      <c r="AI435" s="41">
        <f>AH435*(1/(1+$G435))^(1+$E435)*(1+AI$7)^$D435*(AI417/AH417)^$E435*((AI417+AI426)/(AH417+AH426))^($F435*(1+$E435))</f>
        <v/>
      </c>
      <c r="AJ435" s="41">
        <f>AI435*(1/(1+$G435))^(1+$E435)*(1+AJ$7)^$D435*(AJ417/AI417)^$E435*((AJ417+AJ426)/(AI417+AI426))^($F435*(1+$E435))</f>
        <v/>
      </c>
      <c r="AK435" s="41">
        <f>AJ435*(1/(1+$G435))^(1+$E435)*(1+AK$7)^$D435*(AK417/AJ417)^$E435*((AK417+AK426)/(AJ417+AJ426))^($F435*(1+$E435))</f>
        <v/>
      </c>
      <c r="AL435" s="41">
        <f>AK435*(1/(1+$G435))^(1+$E435)*(1+AL$7)^$D435*(AL417/AK417)^$E435*((AL417+AL426)/(AK417+AK426))^($F435*(1+$E435))</f>
        <v/>
      </c>
      <c r="AM435" s="41">
        <f>AL435*(1/(1+$G435))^(1+$E435)*(1+AM$7)^$D435*(AM417/AL417)^$E435*((AM417+AM426)/(AL417+AL426))^($F435*(1+$E435))</f>
        <v/>
      </c>
      <c r="AN435" s="42">
        <f>FUELUSE(AM435,AN417,AM417,AN426,AM426,AN$7,$D435,$E435,$F435,$G435)</f>
        <v/>
      </c>
    </row>
    <row r="436" hidden="1" outlineLevel="2">
      <c r="A436" s="5" t="inlineStr">
        <is>
          <t>ener</t>
        </is>
      </c>
      <c r="B436" s="5" t="inlineStr">
        <is>
          <t>gso</t>
        </is>
      </c>
      <c r="C436" s="5" t="inlineStr">
        <is>
          <t>nav</t>
        </is>
      </c>
      <c r="D436" s="36">
        <f>INDEX(Inputs!$N$5:$N$132,MATCH($B436&amp;"|"&amp;$C436,Inputs!$A$5:$A$132,0))</f>
        <v/>
      </c>
      <c r="E436" s="36">
        <f>INDEX(Inputs!$O$5:$O$132,MATCH($B436&amp;"|"&amp;$C436,Inputs!$A$5:$A$132,0))</f>
        <v/>
      </c>
      <c r="F436" s="36">
        <f>INDEX(Inputs!$P$5:$P$132,MATCH($B436&amp;"|"&amp;$C436,Inputs!$A$5:$A$132,0))</f>
        <v/>
      </c>
      <c r="G436" s="36">
        <f>INDEX(Inputs!$Q$5:$Q$132,MATCH($B436&amp;"|"&amp;$C436,Inputs!$A$5:$A$132,0))</f>
        <v/>
      </c>
      <c r="H436" s="5">
        <f>INDEX(Variables!$B$5:$B$65,MATCH($A436,Variables!$A$5:$A$65,0))&amp;IF($C436="",""," | "&amp;INDEX(Mapping!$B$5:$B$25,MATCH($C436,Mapping!$A$5:$A$25,0))&amp;" | "&amp;INDEX(Mapping!$B$29:$B$38,MATCH($B436,Mapping!$A$29:$A$38,0)))</f>
        <v/>
      </c>
      <c r="I436" s="5">
        <f>INDEX(Variables!$C$5:$C$65,MATCH($A436,Variables!$A$5:$A$65,0))</f>
        <v/>
      </c>
      <c r="J436" s="5">
        <f>INDEX(Variables!$E$5:$E$65,MATCH($A436,Variables!$A$5:$A$65,0))</f>
        <v/>
      </c>
      <c r="K436" s="23">
        <f>LOWER(Settings!$C$4)&amp;".mit."&amp;$A436&amp;IF($C436="","","."&amp;$C436&amp;"."&amp;$B436)&amp;IF(INDEX(Variables!$D$5:$D$65,MATCH($A436,Variables!$A$5:$A$65,0))="","","."&amp;INDEX(Variables!$D$5:$D$65,MATCH($A436,Variables!$A$5:$A$65,0)))&amp;"."&amp;K$5</f>
        <v/>
      </c>
      <c r="L436" s="40">
        <f>INDEX(Inputs!$V$5:$V$132,MATCH($B436&amp;"|"&amp;$C436,Inputs!$A$5:$A$132,0))</f>
        <v/>
      </c>
      <c r="M436" s="41">
        <f>L436*(1/(1+$G436))^(1+$E436)*(1+M$7)^$D436*(M418/L418)^$E436*((M418+M427)/(L418+L427))^($F436*(1+$E436))</f>
        <v/>
      </c>
      <c r="N436" s="41">
        <f>M436*(1/(1+$G436))^(1+$E436)*(1+N$7)^$D436*(N418/M418)^$E436*((N418+N427)/(M418+M427))^($F436*(1+$E436))</f>
        <v/>
      </c>
      <c r="O436" s="41">
        <f>N436*(1/(1+$G436))^(1+$E436)*(1+O$7)^$D436*(O418/N418)^$E436*((O418+O427)/(N418+N427))^($F436*(1+$E436))</f>
        <v/>
      </c>
      <c r="P436" s="41">
        <f>O436*(1/(1+$G436))^(1+$E436)*(1+P$7)^$D436*(P418/O418)^$E436*((P418+P427)/(O418+O427))^($F436*(1+$E436))</f>
        <v/>
      </c>
      <c r="Q436" s="41">
        <f>P436*(1/(1+$G436))^(1+$E436)*(1+Q$7)^$D436*(Q418/P418)^$E436*((Q418+Q427)/(P418+P427))^($F436*(1+$E436))</f>
        <v/>
      </c>
      <c r="R436" s="41">
        <f>Q436*(1/(1+$G436))^(1+$E436)*(1+R$7)^$D436*(R418/Q418)^$E436*((R418+R427)/(Q418+Q427))^($F436*(1+$E436))</f>
        <v/>
      </c>
      <c r="S436" s="41">
        <f>R436*(1/(1+$G436))^(1+$E436)*(1+S$7)^$D436*(S418/R418)^$E436*((S418+S427)/(R418+R427))^($F436*(1+$E436))</f>
        <v/>
      </c>
      <c r="T436" s="41">
        <f>S436*(1/(1+$G436))^(1+$E436)*(1+T$7)^$D436*(T418/S418)^$E436*((T418+T427)/(S418+S427))^($F436*(1+$E436))</f>
        <v/>
      </c>
      <c r="U436" s="41">
        <f>T436*(1/(1+$G436))^(1+$E436)*(1+U$7)^$D436*(U418/T418)^$E436*((U418+U427)/(T418+T427))^($F436*(1+$E436))</f>
        <v/>
      </c>
      <c r="V436" s="41">
        <f>U436*(1/(1+$G436))^(1+$E436)*(1+V$7)^$D436*(V418/U418)^$E436*((V418+V427)/(U418+U427))^($F436*(1+$E436))</f>
        <v/>
      </c>
      <c r="W436" s="41">
        <f>V436*(1/(1+$G436))^(1+$E436)*(1+W$7)^$D436*(W418/V418)^$E436*((W418+W427)/(V418+V427))^($F436*(1+$E436))</f>
        <v/>
      </c>
      <c r="X436" s="41">
        <f>W436*(1/(1+$G436))^(1+$E436)*(1+X$7)^$D436*(X418/W418)^$E436*((X418+X427)/(W418+W427))^($F436*(1+$E436))</f>
        <v/>
      </c>
      <c r="Y436" s="42">
        <f>FUELUSE(X436,Y418,X418,Y427,X427,Y$7,$D436,$E436,$F436,$G436)</f>
        <v/>
      </c>
      <c r="Z436" s="23">
        <f>LOWER(Settings!$C$4)&amp;".mit."&amp;$A436&amp;IF($C436="","","."&amp;$C436&amp;"."&amp;$B436)&amp;IF(INDEX(Variables!$D$5:$D$65,MATCH($A436,Variables!$A$5:$A$65,0))="","","."&amp;INDEX(Variables!$D$5:$D$65,MATCH($A436,Variables!$A$5:$A$65,0)))&amp;"."&amp;Z$5</f>
        <v/>
      </c>
      <c r="AA436" s="40">
        <f>INDEX(Inputs!$V$5:$V$132,MATCH($B436&amp;"|"&amp;$C436,Inputs!$A$5:$A$132,0))</f>
        <v/>
      </c>
      <c r="AB436" s="41">
        <f>AA436*(1/(1+$G436))^(1+$E436)*(1+AB$7)^$D436*(AB418/AA418)^$E436*((AB418+AB427)/(AA418+AA427))^($F436*(1+$E436))</f>
        <v/>
      </c>
      <c r="AC436" s="41">
        <f>AB436*(1/(1+$G436))^(1+$E436)*(1+AC$7)^$D436*(AC418/AB418)^$E436*((AC418+AC427)/(AB418+AB427))^($F436*(1+$E436))</f>
        <v/>
      </c>
      <c r="AD436" s="41">
        <f>AC436*(1/(1+$G436))^(1+$E436)*(1+AD$7)^$D436*(AD418/AC418)^$E436*((AD418+AD427)/(AC418+AC427))^($F436*(1+$E436))</f>
        <v/>
      </c>
      <c r="AE436" s="41">
        <f>AD436*(1/(1+$G436))^(1+$E436)*(1+AE$7)^$D436*(AE418/AD418)^$E436*((AE418+AE427)/(AD418+AD427))^($F436*(1+$E436))</f>
        <v/>
      </c>
      <c r="AF436" s="41">
        <f>AE436*(1/(1+$G436))^(1+$E436)*(1+AF$7)^$D436*(AF418/AE418)^$E436*((AF418+AF427)/(AE418+AE427))^($F436*(1+$E436))</f>
        <v/>
      </c>
      <c r="AG436" s="41">
        <f>AF436*(1/(1+$G436))^(1+$E436)*(1+AG$7)^$D436*(AG418/AF418)^$E436*((AG418+AG427)/(AF418+AF427))^($F436*(1+$E436))</f>
        <v/>
      </c>
      <c r="AH436" s="41">
        <f>AG436*(1/(1+$G436))^(1+$E436)*(1+AH$7)^$D436*(AH418/AG418)^$E436*((AH418+AH427)/(AG418+AG427))^($F436*(1+$E436))</f>
        <v/>
      </c>
      <c r="AI436" s="41">
        <f>AH436*(1/(1+$G436))^(1+$E436)*(1+AI$7)^$D436*(AI418/AH418)^$E436*((AI418+AI427)/(AH418+AH427))^($F436*(1+$E436))</f>
        <v/>
      </c>
      <c r="AJ436" s="41">
        <f>AI436*(1/(1+$G436))^(1+$E436)*(1+AJ$7)^$D436*(AJ418/AI418)^$E436*((AJ418+AJ427)/(AI418+AI427))^($F436*(1+$E436))</f>
        <v/>
      </c>
      <c r="AK436" s="41">
        <f>AJ436*(1/(1+$G436))^(1+$E436)*(1+AK$7)^$D436*(AK418/AJ418)^$E436*((AK418+AK427)/(AJ418+AJ427))^($F436*(1+$E436))</f>
        <v/>
      </c>
      <c r="AL436" s="41">
        <f>AK436*(1/(1+$G436))^(1+$E436)*(1+AL$7)^$D436*(AL418/AK418)^$E436*((AL418+AL427)/(AK418+AK427))^($F436*(1+$E436))</f>
        <v/>
      </c>
      <c r="AM436" s="41">
        <f>AL436*(1/(1+$G436))^(1+$E436)*(1+AM$7)^$D436*(AM418/AL418)^$E436*((AM418+AM427)/(AL418+AL427))^($F436*(1+$E436))</f>
        <v/>
      </c>
      <c r="AN436" s="42">
        <f>FUELUSE(AM436,AN418,AM418,AN427,AM427,AN$7,$D436,$E436,$F436,$G436)</f>
        <v/>
      </c>
    </row>
    <row r="437" hidden="1" outlineLevel="2">
      <c r="A437" s="5" t="inlineStr">
        <is>
          <t>ener</t>
        </is>
      </c>
      <c r="B437" s="5" t="inlineStr">
        <is>
          <t>die</t>
        </is>
      </c>
      <c r="C437" s="5" t="inlineStr">
        <is>
          <t>nav</t>
        </is>
      </c>
      <c r="D437" s="36">
        <f>INDEX(Inputs!$N$5:$N$132,MATCH($B437&amp;"|"&amp;$C437,Inputs!$A$5:$A$132,0))</f>
        <v/>
      </c>
      <c r="E437" s="36">
        <f>INDEX(Inputs!$O$5:$O$132,MATCH($B437&amp;"|"&amp;$C437,Inputs!$A$5:$A$132,0))</f>
        <v/>
      </c>
      <c r="F437" s="36">
        <f>INDEX(Inputs!$P$5:$P$132,MATCH($B437&amp;"|"&amp;$C437,Inputs!$A$5:$A$132,0))</f>
        <v/>
      </c>
      <c r="G437" s="36">
        <f>INDEX(Inputs!$Q$5:$Q$132,MATCH($B437&amp;"|"&amp;$C437,Inputs!$A$5:$A$132,0))</f>
        <v/>
      </c>
      <c r="H437" s="5">
        <f>INDEX(Variables!$B$5:$B$65,MATCH($A437,Variables!$A$5:$A$65,0))&amp;IF($C437="",""," | "&amp;INDEX(Mapping!$B$5:$B$25,MATCH($C437,Mapping!$A$5:$A$25,0))&amp;" | "&amp;INDEX(Mapping!$B$29:$B$38,MATCH($B437,Mapping!$A$29:$A$38,0)))</f>
        <v/>
      </c>
      <c r="I437" s="5">
        <f>INDEX(Variables!$C$5:$C$65,MATCH($A437,Variables!$A$5:$A$65,0))</f>
        <v/>
      </c>
      <c r="J437" s="5">
        <f>INDEX(Variables!$E$5:$E$65,MATCH($A437,Variables!$A$5:$A$65,0))</f>
        <v/>
      </c>
      <c r="K437" s="23">
        <f>LOWER(Settings!$C$4)&amp;".mit."&amp;$A437&amp;IF($C437="","","."&amp;$C437&amp;"."&amp;$B437)&amp;IF(INDEX(Variables!$D$5:$D$65,MATCH($A437,Variables!$A$5:$A$65,0))="","","."&amp;INDEX(Variables!$D$5:$D$65,MATCH($A437,Variables!$A$5:$A$65,0)))&amp;"."&amp;K$5</f>
        <v/>
      </c>
      <c r="L437" s="40">
        <f>INDEX(Inputs!$V$5:$V$132,MATCH($B437&amp;"|"&amp;$C437,Inputs!$A$5:$A$132,0))</f>
        <v/>
      </c>
      <c r="M437" s="41">
        <f>L437*(1/(1+$G437))^(1+$E437)*(1+M$7)^$D437*(M419/L419)^$E437*((M419+M428)/(L419+L428))^($F437*(1+$E437))</f>
        <v/>
      </c>
      <c r="N437" s="41">
        <f>M437*(1/(1+$G437))^(1+$E437)*(1+N$7)^$D437*(N419/M419)^$E437*((N419+N428)/(M419+M428))^($F437*(1+$E437))</f>
        <v/>
      </c>
      <c r="O437" s="41">
        <f>N437*(1/(1+$G437))^(1+$E437)*(1+O$7)^$D437*(O419/N419)^$E437*((O419+O428)/(N419+N428))^($F437*(1+$E437))</f>
        <v/>
      </c>
      <c r="P437" s="41">
        <f>O437*(1/(1+$G437))^(1+$E437)*(1+P$7)^$D437*(P419/O419)^$E437*((P419+P428)/(O419+O428))^($F437*(1+$E437))</f>
        <v/>
      </c>
      <c r="Q437" s="41">
        <f>P437*(1/(1+$G437))^(1+$E437)*(1+Q$7)^$D437*(Q419/P419)^$E437*((Q419+Q428)/(P419+P428))^($F437*(1+$E437))</f>
        <v/>
      </c>
      <c r="R437" s="41">
        <f>Q437*(1/(1+$G437))^(1+$E437)*(1+R$7)^$D437*(R419/Q419)^$E437*((R419+R428)/(Q419+Q428))^($F437*(1+$E437))</f>
        <v/>
      </c>
      <c r="S437" s="41">
        <f>R437*(1/(1+$G437))^(1+$E437)*(1+S$7)^$D437*(S419/R419)^$E437*((S419+S428)/(R419+R428))^($F437*(1+$E437))</f>
        <v/>
      </c>
      <c r="T437" s="41">
        <f>S437*(1/(1+$G437))^(1+$E437)*(1+T$7)^$D437*(T419/S419)^$E437*((T419+T428)/(S419+S428))^($F437*(1+$E437))</f>
        <v/>
      </c>
      <c r="U437" s="41">
        <f>T437*(1/(1+$G437))^(1+$E437)*(1+U$7)^$D437*(U419/T419)^$E437*((U419+U428)/(T419+T428))^($F437*(1+$E437))</f>
        <v/>
      </c>
      <c r="V437" s="41">
        <f>U437*(1/(1+$G437))^(1+$E437)*(1+V$7)^$D437*(V419/U419)^$E437*((V419+V428)/(U419+U428))^($F437*(1+$E437))</f>
        <v/>
      </c>
      <c r="W437" s="41">
        <f>V437*(1/(1+$G437))^(1+$E437)*(1+W$7)^$D437*(W419/V419)^$E437*((W419+W428)/(V419+V428))^($F437*(1+$E437))</f>
        <v/>
      </c>
      <c r="X437" s="41">
        <f>W437*(1/(1+$G437))^(1+$E437)*(1+X$7)^$D437*(X419/W419)^$E437*((X419+X428)/(W419+W428))^($F437*(1+$E437))</f>
        <v/>
      </c>
      <c r="Y437" s="42">
        <f>FUELUSE(X437,Y419,X419,Y428,X428,Y$7,$D437,$E437,$F437,$G437)</f>
        <v/>
      </c>
      <c r="Z437" s="23">
        <f>LOWER(Settings!$C$4)&amp;".mit."&amp;$A437&amp;IF($C437="","","."&amp;$C437&amp;"."&amp;$B437)&amp;IF(INDEX(Variables!$D$5:$D$65,MATCH($A437,Variables!$A$5:$A$65,0))="","","."&amp;INDEX(Variables!$D$5:$D$65,MATCH($A437,Variables!$A$5:$A$65,0)))&amp;"."&amp;Z$5</f>
        <v/>
      </c>
      <c r="AA437" s="40">
        <f>INDEX(Inputs!$V$5:$V$132,MATCH($B437&amp;"|"&amp;$C437,Inputs!$A$5:$A$132,0))</f>
        <v/>
      </c>
      <c r="AB437" s="41">
        <f>AA437*(1/(1+$G437))^(1+$E437)*(1+AB$7)^$D437*(AB419/AA419)^$E437*((AB419+AB428)/(AA419+AA428))^($F437*(1+$E437))</f>
        <v/>
      </c>
      <c r="AC437" s="41">
        <f>AB437*(1/(1+$G437))^(1+$E437)*(1+AC$7)^$D437*(AC419/AB419)^$E437*((AC419+AC428)/(AB419+AB428))^($F437*(1+$E437))</f>
        <v/>
      </c>
      <c r="AD437" s="41">
        <f>AC437*(1/(1+$G437))^(1+$E437)*(1+AD$7)^$D437*(AD419/AC419)^$E437*((AD419+AD428)/(AC419+AC428))^($F437*(1+$E437))</f>
        <v/>
      </c>
      <c r="AE437" s="41">
        <f>AD437*(1/(1+$G437))^(1+$E437)*(1+AE$7)^$D437*(AE419/AD419)^$E437*((AE419+AE428)/(AD419+AD428))^($F437*(1+$E437))</f>
        <v/>
      </c>
      <c r="AF437" s="41">
        <f>AE437*(1/(1+$G437))^(1+$E437)*(1+AF$7)^$D437*(AF419/AE419)^$E437*((AF419+AF428)/(AE419+AE428))^($F437*(1+$E437))</f>
        <v/>
      </c>
      <c r="AG437" s="41">
        <f>AF437*(1/(1+$G437))^(1+$E437)*(1+AG$7)^$D437*(AG419/AF419)^$E437*((AG419+AG428)/(AF419+AF428))^($F437*(1+$E437))</f>
        <v/>
      </c>
      <c r="AH437" s="41">
        <f>AG437*(1/(1+$G437))^(1+$E437)*(1+AH$7)^$D437*(AH419/AG419)^$E437*((AH419+AH428)/(AG419+AG428))^($F437*(1+$E437))</f>
        <v/>
      </c>
      <c r="AI437" s="41">
        <f>AH437*(1/(1+$G437))^(1+$E437)*(1+AI$7)^$D437*(AI419/AH419)^$E437*((AI419+AI428)/(AH419+AH428))^($F437*(1+$E437))</f>
        <v/>
      </c>
      <c r="AJ437" s="41">
        <f>AI437*(1/(1+$G437))^(1+$E437)*(1+AJ$7)^$D437*(AJ419/AI419)^$E437*((AJ419+AJ428)/(AI419+AI428))^($F437*(1+$E437))</f>
        <v/>
      </c>
      <c r="AK437" s="41">
        <f>AJ437*(1/(1+$G437))^(1+$E437)*(1+AK$7)^$D437*(AK419/AJ419)^$E437*((AK419+AK428)/(AJ419+AJ428))^($F437*(1+$E437))</f>
        <v/>
      </c>
      <c r="AL437" s="41">
        <f>AK437*(1/(1+$G437))^(1+$E437)*(1+AL$7)^$D437*(AL419/AK419)^$E437*((AL419+AL428)/(AK419+AK428))^($F437*(1+$E437))</f>
        <v/>
      </c>
      <c r="AM437" s="41">
        <f>AL437*(1/(1+$G437))^(1+$E437)*(1+AM$7)^$D437*(AM419/AL419)^$E437*((AM419+AM428)/(AL419+AL428))^($F437*(1+$E437))</f>
        <v/>
      </c>
      <c r="AN437" s="42">
        <f>FUELUSE(AM437,AN419,AM419,AN428,AM428,AN$7,$D437,$E437,$F437,$G437)</f>
        <v/>
      </c>
    </row>
    <row r="438" hidden="1" outlineLevel="2">
      <c r="A438" s="5" t="inlineStr">
        <is>
          <t>ener</t>
        </is>
      </c>
      <c r="B438" s="5" t="inlineStr">
        <is>
          <t>lpg</t>
        </is>
      </c>
      <c r="C438" s="5" t="inlineStr">
        <is>
          <t>nav</t>
        </is>
      </c>
      <c r="D438" s="36">
        <f>INDEX(Inputs!$N$5:$N$132,MATCH($B438&amp;"|"&amp;$C438,Inputs!$A$5:$A$132,0))</f>
        <v/>
      </c>
      <c r="E438" s="36">
        <f>INDEX(Inputs!$O$5:$O$132,MATCH($B438&amp;"|"&amp;$C438,Inputs!$A$5:$A$132,0))</f>
        <v/>
      </c>
      <c r="F438" s="36">
        <f>INDEX(Inputs!$P$5:$P$132,MATCH($B438&amp;"|"&amp;$C438,Inputs!$A$5:$A$132,0))</f>
        <v/>
      </c>
      <c r="G438" s="36">
        <f>INDEX(Inputs!$Q$5:$Q$132,MATCH($B438&amp;"|"&amp;$C438,Inputs!$A$5:$A$132,0))</f>
        <v/>
      </c>
      <c r="H438" s="5">
        <f>INDEX(Variables!$B$5:$B$65,MATCH($A438,Variables!$A$5:$A$65,0))&amp;IF($C438="",""," | "&amp;INDEX(Mapping!$B$5:$B$25,MATCH($C438,Mapping!$A$5:$A$25,0))&amp;" | "&amp;INDEX(Mapping!$B$29:$B$38,MATCH($B438,Mapping!$A$29:$A$38,0)))</f>
        <v/>
      </c>
      <c r="I438" s="5">
        <f>INDEX(Variables!$C$5:$C$65,MATCH($A438,Variables!$A$5:$A$65,0))</f>
        <v/>
      </c>
      <c r="J438" s="5">
        <f>INDEX(Variables!$E$5:$E$65,MATCH($A438,Variables!$A$5:$A$65,0))</f>
        <v/>
      </c>
      <c r="K438" s="23">
        <f>LOWER(Settings!$C$4)&amp;".mit."&amp;$A438&amp;IF($C438="","","."&amp;$C438&amp;"."&amp;$B438)&amp;IF(INDEX(Variables!$D$5:$D$65,MATCH($A438,Variables!$A$5:$A$65,0))="","","."&amp;INDEX(Variables!$D$5:$D$65,MATCH($A438,Variables!$A$5:$A$65,0)))&amp;"."&amp;K$5</f>
        <v/>
      </c>
      <c r="L438" s="40">
        <f>INDEX(Inputs!$V$5:$V$132,MATCH($B438&amp;"|"&amp;$C438,Inputs!$A$5:$A$132,0))</f>
        <v/>
      </c>
      <c r="M438" s="41">
        <f>L438*(1/(1+$G438))^(1+$E438)*(1+M$7)^$D438*(M420/L420)^$E438*((M420+M429)/(L420+L429))^($F438*(1+$E438))</f>
        <v/>
      </c>
      <c r="N438" s="41">
        <f>M438*(1/(1+$G438))^(1+$E438)*(1+N$7)^$D438*(N420/M420)^$E438*((N420+N429)/(M420+M429))^($F438*(1+$E438))</f>
        <v/>
      </c>
      <c r="O438" s="41">
        <f>N438*(1/(1+$G438))^(1+$E438)*(1+O$7)^$D438*(O420/N420)^$E438*((O420+O429)/(N420+N429))^($F438*(1+$E438))</f>
        <v/>
      </c>
      <c r="P438" s="41">
        <f>O438*(1/(1+$G438))^(1+$E438)*(1+P$7)^$D438*(P420/O420)^$E438*((P420+P429)/(O420+O429))^($F438*(1+$E438))</f>
        <v/>
      </c>
      <c r="Q438" s="41">
        <f>P438*(1/(1+$G438))^(1+$E438)*(1+Q$7)^$D438*(Q420/P420)^$E438*((Q420+Q429)/(P420+P429))^($F438*(1+$E438))</f>
        <v/>
      </c>
      <c r="R438" s="41">
        <f>Q438*(1/(1+$G438))^(1+$E438)*(1+R$7)^$D438*(R420/Q420)^$E438*((R420+R429)/(Q420+Q429))^($F438*(1+$E438))</f>
        <v/>
      </c>
      <c r="S438" s="41">
        <f>R438*(1/(1+$G438))^(1+$E438)*(1+S$7)^$D438*(S420/R420)^$E438*((S420+S429)/(R420+R429))^($F438*(1+$E438))</f>
        <v/>
      </c>
      <c r="T438" s="41">
        <f>S438*(1/(1+$G438))^(1+$E438)*(1+T$7)^$D438*(T420/S420)^$E438*((T420+T429)/(S420+S429))^($F438*(1+$E438))</f>
        <v/>
      </c>
      <c r="U438" s="41">
        <f>T438*(1/(1+$G438))^(1+$E438)*(1+U$7)^$D438*(U420/T420)^$E438*((U420+U429)/(T420+T429))^($F438*(1+$E438))</f>
        <v/>
      </c>
      <c r="V438" s="41">
        <f>U438*(1/(1+$G438))^(1+$E438)*(1+V$7)^$D438*(V420/U420)^$E438*((V420+V429)/(U420+U429))^($F438*(1+$E438))</f>
        <v/>
      </c>
      <c r="W438" s="41">
        <f>V438*(1/(1+$G438))^(1+$E438)*(1+W$7)^$D438*(W420/V420)^$E438*((W420+W429)/(V420+V429))^($F438*(1+$E438))</f>
        <v/>
      </c>
      <c r="X438" s="41">
        <f>W438*(1/(1+$G438))^(1+$E438)*(1+X$7)^$D438*(X420/W420)^$E438*((X420+X429)/(W420+W429))^($F438*(1+$E438))</f>
        <v/>
      </c>
      <c r="Y438" s="42">
        <f>FUELUSE(X438,Y420,X420,Y429,X429,Y$7,$D438,$E438,$F438,$G438)</f>
        <v/>
      </c>
      <c r="Z438" s="23">
        <f>LOWER(Settings!$C$4)&amp;".mit."&amp;$A438&amp;IF($C438="","","."&amp;$C438&amp;"."&amp;$B438)&amp;IF(INDEX(Variables!$D$5:$D$65,MATCH($A438,Variables!$A$5:$A$65,0))="","","."&amp;INDEX(Variables!$D$5:$D$65,MATCH($A438,Variables!$A$5:$A$65,0)))&amp;"."&amp;Z$5</f>
        <v/>
      </c>
      <c r="AA438" s="40">
        <f>INDEX(Inputs!$V$5:$V$132,MATCH($B438&amp;"|"&amp;$C438,Inputs!$A$5:$A$132,0))</f>
        <v/>
      </c>
      <c r="AB438" s="41">
        <f>AA438*(1/(1+$G438))^(1+$E438)*(1+AB$7)^$D438*(AB420/AA420)^$E438*((AB420+AB429)/(AA420+AA429))^($F438*(1+$E438))</f>
        <v/>
      </c>
      <c r="AC438" s="41">
        <f>AB438*(1/(1+$G438))^(1+$E438)*(1+AC$7)^$D438*(AC420/AB420)^$E438*((AC420+AC429)/(AB420+AB429))^($F438*(1+$E438))</f>
        <v/>
      </c>
      <c r="AD438" s="41">
        <f>AC438*(1/(1+$G438))^(1+$E438)*(1+AD$7)^$D438*(AD420/AC420)^$E438*((AD420+AD429)/(AC420+AC429))^($F438*(1+$E438))</f>
        <v/>
      </c>
      <c r="AE438" s="41">
        <f>AD438*(1/(1+$G438))^(1+$E438)*(1+AE$7)^$D438*(AE420/AD420)^$E438*((AE420+AE429)/(AD420+AD429))^($F438*(1+$E438))</f>
        <v/>
      </c>
      <c r="AF438" s="41">
        <f>AE438*(1/(1+$G438))^(1+$E438)*(1+AF$7)^$D438*(AF420/AE420)^$E438*((AF420+AF429)/(AE420+AE429))^($F438*(1+$E438))</f>
        <v/>
      </c>
      <c r="AG438" s="41">
        <f>AF438*(1/(1+$G438))^(1+$E438)*(1+AG$7)^$D438*(AG420/AF420)^$E438*((AG420+AG429)/(AF420+AF429))^($F438*(1+$E438))</f>
        <v/>
      </c>
      <c r="AH438" s="41">
        <f>AG438*(1/(1+$G438))^(1+$E438)*(1+AH$7)^$D438*(AH420/AG420)^$E438*((AH420+AH429)/(AG420+AG429))^($F438*(1+$E438))</f>
        <v/>
      </c>
      <c r="AI438" s="41">
        <f>AH438*(1/(1+$G438))^(1+$E438)*(1+AI$7)^$D438*(AI420/AH420)^$E438*((AI420+AI429)/(AH420+AH429))^($F438*(1+$E438))</f>
        <v/>
      </c>
      <c r="AJ438" s="41">
        <f>AI438*(1/(1+$G438))^(1+$E438)*(1+AJ$7)^$D438*(AJ420/AI420)^$E438*((AJ420+AJ429)/(AI420+AI429))^($F438*(1+$E438))</f>
        <v/>
      </c>
      <c r="AK438" s="41">
        <f>AJ438*(1/(1+$G438))^(1+$E438)*(1+AK$7)^$D438*(AK420/AJ420)^$E438*((AK420+AK429)/(AJ420+AJ429))^($F438*(1+$E438))</f>
        <v/>
      </c>
      <c r="AL438" s="41">
        <f>AK438*(1/(1+$G438))^(1+$E438)*(1+AL$7)^$D438*(AL420/AK420)^$E438*((AL420+AL429)/(AK420+AK429))^($F438*(1+$E438))</f>
        <v/>
      </c>
      <c r="AM438" s="41">
        <f>AL438*(1/(1+$G438))^(1+$E438)*(1+AM$7)^$D438*(AM420/AL420)^$E438*((AM420+AM429)/(AL420+AL429))^($F438*(1+$E438))</f>
        <v/>
      </c>
      <c r="AN438" s="42">
        <f>FUELUSE(AM438,AN420,AM420,AN429,AM429,AN$7,$D438,$E438,$F438,$G438)</f>
        <v/>
      </c>
    </row>
    <row r="439" hidden="1" outlineLevel="2">
      <c r="A439" s="5" t="inlineStr">
        <is>
          <t>ener</t>
        </is>
      </c>
      <c r="B439" s="5" t="inlineStr">
        <is>
          <t>ker</t>
        </is>
      </c>
      <c r="C439" s="5" t="inlineStr">
        <is>
          <t>nav</t>
        </is>
      </c>
      <c r="D439" s="36">
        <f>INDEX(Inputs!$N$5:$N$132,MATCH($B439&amp;"|"&amp;$C439,Inputs!$A$5:$A$132,0))</f>
        <v/>
      </c>
      <c r="E439" s="36">
        <f>INDEX(Inputs!$O$5:$O$132,MATCH($B439&amp;"|"&amp;$C439,Inputs!$A$5:$A$132,0))</f>
        <v/>
      </c>
      <c r="F439" s="36">
        <f>INDEX(Inputs!$P$5:$P$132,MATCH($B439&amp;"|"&amp;$C439,Inputs!$A$5:$A$132,0))</f>
        <v/>
      </c>
      <c r="G439" s="36">
        <f>INDEX(Inputs!$Q$5:$Q$132,MATCH($B439&amp;"|"&amp;$C439,Inputs!$A$5:$A$132,0))</f>
        <v/>
      </c>
      <c r="H439" s="5">
        <f>INDEX(Variables!$B$5:$B$65,MATCH($A439,Variables!$A$5:$A$65,0))&amp;IF($C439="",""," | "&amp;INDEX(Mapping!$B$5:$B$25,MATCH($C439,Mapping!$A$5:$A$25,0))&amp;" | "&amp;INDEX(Mapping!$B$29:$B$38,MATCH($B439,Mapping!$A$29:$A$38,0)))</f>
        <v/>
      </c>
      <c r="I439" s="5">
        <f>INDEX(Variables!$C$5:$C$65,MATCH($A439,Variables!$A$5:$A$65,0))</f>
        <v/>
      </c>
      <c r="J439" s="5">
        <f>INDEX(Variables!$E$5:$E$65,MATCH($A439,Variables!$A$5:$A$65,0))</f>
        <v/>
      </c>
      <c r="K439" s="23">
        <f>LOWER(Settings!$C$4)&amp;".mit."&amp;$A439&amp;IF($C439="","","."&amp;$C439&amp;"."&amp;$B439)&amp;IF(INDEX(Variables!$D$5:$D$65,MATCH($A439,Variables!$A$5:$A$65,0))="","","."&amp;INDEX(Variables!$D$5:$D$65,MATCH($A439,Variables!$A$5:$A$65,0)))&amp;"."&amp;K$5</f>
        <v/>
      </c>
      <c r="L439" s="40">
        <f>INDEX(Inputs!$V$5:$V$132,MATCH($B439&amp;"|"&amp;$C439,Inputs!$A$5:$A$132,0))</f>
        <v/>
      </c>
      <c r="M439" s="41">
        <f>L439*(1/(1+$G439))^(1+$E439)*(1+M$7)^$D439*(M421/L421)^$E439*((M421+M430)/(L421+L430))^($F439*(1+$E439))</f>
        <v/>
      </c>
      <c r="N439" s="41">
        <f>M439*(1/(1+$G439))^(1+$E439)*(1+N$7)^$D439*(N421/M421)^$E439*((N421+N430)/(M421+M430))^($F439*(1+$E439))</f>
        <v/>
      </c>
      <c r="O439" s="41">
        <f>N439*(1/(1+$G439))^(1+$E439)*(1+O$7)^$D439*(O421/N421)^$E439*((O421+O430)/(N421+N430))^($F439*(1+$E439))</f>
        <v/>
      </c>
      <c r="P439" s="41">
        <f>O439*(1/(1+$G439))^(1+$E439)*(1+P$7)^$D439*(P421/O421)^$E439*((P421+P430)/(O421+O430))^($F439*(1+$E439))</f>
        <v/>
      </c>
      <c r="Q439" s="41">
        <f>P439*(1/(1+$G439))^(1+$E439)*(1+Q$7)^$D439*(Q421/P421)^$E439*((Q421+Q430)/(P421+P430))^($F439*(1+$E439))</f>
        <v/>
      </c>
      <c r="R439" s="41">
        <f>Q439*(1/(1+$G439))^(1+$E439)*(1+R$7)^$D439*(R421/Q421)^$E439*((R421+R430)/(Q421+Q430))^($F439*(1+$E439))</f>
        <v/>
      </c>
      <c r="S439" s="41">
        <f>R439*(1/(1+$G439))^(1+$E439)*(1+S$7)^$D439*(S421/R421)^$E439*((S421+S430)/(R421+R430))^($F439*(1+$E439))</f>
        <v/>
      </c>
      <c r="T439" s="41">
        <f>S439*(1/(1+$G439))^(1+$E439)*(1+T$7)^$D439*(T421/S421)^$E439*((T421+T430)/(S421+S430))^($F439*(1+$E439))</f>
        <v/>
      </c>
      <c r="U439" s="41">
        <f>T439*(1/(1+$G439))^(1+$E439)*(1+U$7)^$D439*(U421/T421)^$E439*((U421+U430)/(T421+T430))^($F439*(1+$E439))</f>
        <v/>
      </c>
      <c r="V439" s="41">
        <f>U439*(1/(1+$G439))^(1+$E439)*(1+V$7)^$D439*(V421/U421)^$E439*((V421+V430)/(U421+U430))^($F439*(1+$E439))</f>
        <v/>
      </c>
      <c r="W439" s="41">
        <f>V439*(1/(1+$G439))^(1+$E439)*(1+W$7)^$D439*(W421/V421)^$E439*((W421+W430)/(V421+V430))^($F439*(1+$E439))</f>
        <v/>
      </c>
      <c r="X439" s="41">
        <f>W439*(1/(1+$G439))^(1+$E439)*(1+X$7)^$D439*(X421/W421)^$E439*((X421+X430)/(W421+W430))^($F439*(1+$E439))</f>
        <v/>
      </c>
      <c r="Y439" s="42">
        <f>FUELUSE(X439,Y421,X421,Y430,X430,Y$7,$D439,$E439,$F439,$G439)</f>
        <v/>
      </c>
      <c r="Z439" s="23">
        <f>LOWER(Settings!$C$4)&amp;".mit."&amp;$A439&amp;IF($C439="","","."&amp;$C439&amp;"."&amp;$B439)&amp;IF(INDEX(Variables!$D$5:$D$65,MATCH($A439,Variables!$A$5:$A$65,0))="","","."&amp;INDEX(Variables!$D$5:$D$65,MATCH($A439,Variables!$A$5:$A$65,0)))&amp;"."&amp;Z$5</f>
        <v/>
      </c>
      <c r="AA439" s="40">
        <f>INDEX(Inputs!$V$5:$V$132,MATCH($B439&amp;"|"&amp;$C439,Inputs!$A$5:$A$132,0))</f>
        <v/>
      </c>
      <c r="AB439" s="41">
        <f>AA439*(1/(1+$G439))^(1+$E439)*(1+AB$7)^$D439*(AB421/AA421)^$E439*((AB421+AB430)/(AA421+AA430))^($F439*(1+$E439))</f>
        <v/>
      </c>
      <c r="AC439" s="41">
        <f>AB439*(1/(1+$G439))^(1+$E439)*(1+AC$7)^$D439*(AC421/AB421)^$E439*((AC421+AC430)/(AB421+AB430))^($F439*(1+$E439))</f>
        <v/>
      </c>
      <c r="AD439" s="41">
        <f>AC439*(1/(1+$G439))^(1+$E439)*(1+AD$7)^$D439*(AD421/AC421)^$E439*((AD421+AD430)/(AC421+AC430))^($F439*(1+$E439))</f>
        <v/>
      </c>
      <c r="AE439" s="41">
        <f>AD439*(1/(1+$G439))^(1+$E439)*(1+AE$7)^$D439*(AE421/AD421)^$E439*((AE421+AE430)/(AD421+AD430))^($F439*(1+$E439))</f>
        <v/>
      </c>
      <c r="AF439" s="41">
        <f>AE439*(1/(1+$G439))^(1+$E439)*(1+AF$7)^$D439*(AF421/AE421)^$E439*((AF421+AF430)/(AE421+AE430))^($F439*(1+$E439))</f>
        <v/>
      </c>
      <c r="AG439" s="41">
        <f>AF439*(1/(1+$G439))^(1+$E439)*(1+AG$7)^$D439*(AG421/AF421)^$E439*((AG421+AG430)/(AF421+AF430))^($F439*(1+$E439))</f>
        <v/>
      </c>
      <c r="AH439" s="41">
        <f>AG439*(1/(1+$G439))^(1+$E439)*(1+AH$7)^$D439*(AH421/AG421)^$E439*((AH421+AH430)/(AG421+AG430))^($F439*(1+$E439))</f>
        <v/>
      </c>
      <c r="AI439" s="41">
        <f>AH439*(1/(1+$G439))^(1+$E439)*(1+AI$7)^$D439*(AI421/AH421)^$E439*((AI421+AI430)/(AH421+AH430))^($F439*(1+$E439))</f>
        <v/>
      </c>
      <c r="AJ439" s="41">
        <f>AI439*(1/(1+$G439))^(1+$E439)*(1+AJ$7)^$D439*(AJ421/AI421)^$E439*((AJ421+AJ430)/(AI421+AI430))^($F439*(1+$E439))</f>
        <v/>
      </c>
      <c r="AK439" s="41">
        <f>AJ439*(1/(1+$G439))^(1+$E439)*(1+AK$7)^$D439*(AK421/AJ421)^$E439*((AK421+AK430)/(AJ421+AJ430))^($F439*(1+$E439))</f>
        <v/>
      </c>
      <c r="AL439" s="41">
        <f>AK439*(1/(1+$G439))^(1+$E439)*(1+AL$7)^$D439*(AL421/AK421)^$E439*((AL421+AL430)/(AK421+AK430))^($F439*(1+$E439))</f>
        <v/>
      </c>
      <c r="AM439" s="41">
        <f>AL439*(1/(1+$G439))^(1+$E439)*(1+AM$7)^$D439*(AM421/AL421)^$E439*((AM421+AM430)/(AL421+AL430))^($F439*(1+$E439))</f>
        <v/>
      </c>
      <c r="AN439" s="42">
        <f>FUELUSE(AM439,AN421,AM421,AN430,AM430,AN$7,$D439,$E439,$F439,$G439)</f>
        <v/>
      </c>
    </row>
    <row r="440" hidden="1" outlineLevel="2">
      <c r="A440" s="5" t="inlineStr">
        <is>
          <t>ener</t>
        </is>
      </c>
      <c r="B440" s="5" t="inlineStr">
        <is>
          <t>oop</t>
        </is>
      </c>
      <c r="C440" s="5" t="inlineStr">
        <is>
          <t>nav</t>
        </is>
      </c>
      <c r="D440" s="36">
        <f>INDEX(Inputs!$N$5:$N$132,MATCH($B440&amp;"|"&amp;$C440,Inputs!$A$5:$A$132,0))</f>
        <v/>
      </c>
      <c r="E440" s="36">
        <f>INDEX(Inputs!$O$5:$O$132,MATCH($B440&amp;"|"&amp;$C440,Inputs!$A$5:$A$132,0))</f>
        <v/>
      </c>
      <c r="F440" s="36">
        <f>INDEX(Inputs!$P$5:$P$132,MATCH($B440&amp;"|"&amp;$C440,Inputs!$A$5:$A$132,0))</f>
        <v/>
      </c>
      <c r="G440" s="36">
        <f>INDEX(Inputs!$Q$5:$Q$132,MATCH($B440&amp;"|"&amp;$C440,Inputs!$A$5:$A$132,0))</f>
        <v/>
      </c>
      <c r="H440" s="5">
        <f>INDEX(Variables!$B$5:$B$65,MATCH($A440,Variables!$A$5:$A$65,0))&amp;IF($C440="",""," | "&amp;INDEX(Mapping!$B$5:$B$25,MATCH($C440,Mapping!$A$5:$A$25,0))&amp;" | "&amp;INDEX(Mapping!$B$29:$B$38,MATCH($B440,Mapping!$A$29:$A$38,0)))</f>
        <v/>
      </c>
      <c r="I440" s="5">
        <f>INDEX(Variables!$C$5:$C$65,MATCH($A440,Variables!$A$5:$A$65,0))</f>
        <v/>
      </c>
      <c r="J440" s="5">
        <f>INDEX(Variables!$E$5:$E$65,MATCH($A440,Variables!$A$5:$A$65,0))</f>
        <v/>
      </c>
      <c r="K440" s="23">
        <f>LOWER(Settings!$C$4)&amp;".mit."&amp;$A440&amp;IF($C440="","","."&amp;$C440&amp;"."&amp;$B440)&amp;IF(INDEX(Variables!$D$5:$D$65,MATCH($A440,Variables!$A$5:$A$65,0))="","","."&amp;INDEX(Variables!$D$5:$D$65,MATCH($A440,Variables!$A$5:$A$65,0)))&amp;"."&amp;K$5</f>
        <v/>
      </c>
      <c r="L440" s="40">
        <f>INDEX(Inputs!$V$5:$V$132,MATCH($B440&amp;"|"&amp;$C440,Inputs!$A$5:$A$132,0))</f>
        <v/>
      </c>
      <c r="M440" s="41">
        <f>L440*(1/(1+$G440))^(1+$E440)*(1+M$7)^$D440*(M422/L422)^$E440*((M422+M431)/(L422+L431))^($F440*(1+$E440))</f>
        <v/>
      </c>
      <c r="N440" s="41">
        <f>M440*(1/(1+$G440))^(1+$E440)*(1+N$7)^$D440*(N422/M422)^$E440*((N422+N431)/(M422+M431))^($F440*(1+$E440))</f>
        <v/>
      </c>
      <c r="O440" s="41">
        <f>N440*(1/(1+$G440))^(1+$E440)*(1+O$7)^$D440*(O422/N422)^$E440*((O422+O431)/(N422+N431))^($F440*(1+$E440))</f>
        <v/>
      </c>
      <c r="P440" s="41">
        <f>O440*(1/(1+$G440))^(1+$E440)*(1+P$7)^$D440*(P422/O422)^$E440*((P422+P431)/(O422+O431))^($F440*(1+$E440))</f>
        <v/>
      </c>
      <c r="Q440" s="41">
        <f>P440*(1/(1+$G440))^(1+$E440)*(1+Q$7)^$D440*(Q422/P422)^$E440*((Q422+Q431)/(P422+P431))^($F440*(1+$E440))</f>
        <v/>
      </c>
      <c r="R440" s="41">
        <f>Q440*(1/(1+$G440))^(1+$E440)*(1+R$7)^$D440*(R422/Q422)^$E440*((R422+R431)/(Q422+Q431))^($F440*(1+$E440))</f>
        <v/>
      </c>
      <c r="S440" s="41">
        <f>R440*(1/(1+$G440))^(1+$E440)*(1+S$7)^$D440*(S422/R422)^$E440*((S422+S431)/(R422+R431))^($F440*(1+$E440))</f>
        <v/>
      </c>
      <c r="T440" s="41">
        <f>S440*(1/(1+$G440))^(1+$E440)*(1+T$7)^$D440*(T422/S422)^$E440*((T422+T431)/(S422+S431))^($F440*(1+$E440))</f>
        <v/>
      </c>
      <c r="U440" s="41">
        <f>T440*(1/(1+$G440))^(1+$E440)*(1+U$7)^$D440*(U422/T422)^$E440*((U422+U431)/(T422+T431))^($F440*(1+$E440))</f>
        <v/>
      </c>
      <c r="V440" s="41">
        <f>U440*(1/(1+$G440))^(1+$E440)*(1+V$7)^$D440*(V422/U422)^$E440*((V422+V431)/(U422+U431))^($F440*(1+$E440))</f>
        <v/>
      </c>
      <c r="W440" s="41">
        <f>V440*(1/(1+$G440))^(1+$E440)*(1+W$7)^$D440*(W422/V422)^$E440*((W422+W431)/(V422+V431))^($F440*(1+$E440))</f>
        <v/>
      </c>
      <c r="X440" s="41">
        <f>W440*(1/(1+$G440))^(1+$E440)*(1+X$7)^$D440*(X422/W422)^$E440*((X422+X431)/(W422+W431))^($F440*(1+$E440))</f>
        <v/>
      </c>
      <c r="Y440" s="42">
        <f>FUELUSE(X440,Y422,X422,Y431,X431,Y$7,$D440,$E440,$F440,$G440)</f>
        <v/>
      </c>
      <c r="Z440" s="23">
        <f>LOWER(Settings!$C$4)&amp;".mit."&amp;$A440&amp;IF($C440="","","."&amp;$C440&amp;"."&amp;$B440)&amp;IF(INDEX(Variables!$D$5:$D$65,MATCH($A440,Variables!$A$5:$A$65,0))="","","."&amp;INDEX(Variables!$D$5:$D$65,MATCH($A440,Variables!$A$5:$A$65,0)))&amp;"."&amp;Z$5</f>
        <v/>
      </c>
      <c r="AA440" s="40">
        <f>INDEX(Inputs!$V$5:$V$132,MATCH($B440&amp;"|"&amp;$C440,Inputs!$A$5:$A$132,0))</f>
        <v/>
      </c>
      <c r="AB440" s="41">
        <f>AA440*(1/(1+$G440))^(1+$E440)*(1+AB$7)^$D440*(AB422/AA422)^$E440*((AB422+AB431)/(AA422+AA431))^($F440*(1+$E440))</f>
        <v/>
      </c>
      <c r="AC440" s="41">
        <f>AB440*(1/(1+$G440))^(1+$E440)*(1+AC$7)^$D440*(AC422/AB422)^$E440*((AC422+AC431)/(AB422+AB431))^($F440*(1+$E440))</f>
        <v/>
      </c>
      <c r="AD440" s="41">
        <f>AC440*(1/(1+$G440))^(1+$E440)*(1+AD$7)^$D440*(AD422/AC422)^$E440*((AD422+AD431)/(AC422+AC431))^($F440*(1+$E440))</f>
        <v/>
      </c>
      <c r="AE440" s="41">
        <f>AD440*(1/(1+$G440))^(1+$E440)*(1+AE$7)^$D440*(AE422/AD422)^$E440*((AE422+AE431)/(AD422+AD431))^($F440*(1+$E440))</f>
        <v/>
      </c>
      <c r="AF440" s="41">
        <f>AE440*(1/(1+$G440))^(1+$E440)*(1+AF$7)^$D440*(AF422/AE422)^$E440*((AF422+AF431)/(AE422+AE431))^($F440*(1+$E440))</f>
        <v/>
      </c>
      <c r="AG440" s="41">
        <f>AF440*(1/(1+$G440))^(1+$E440)*(1+AG$7)^$D440*(AG422/AF422)^$E440*((AG422+AG431)/(AF422+AF431))^($F440*(1+$E440))</f>
        <v/>
      </c>
      <c r="AH440" s="41">
        <f>AG440*(1/(1+$G440))^(1+$E440)*(1+AH$7)^$D440*(AH422/AG422)^$E440*((AH422+AH431)/(AG422+AG431))^($F440*(1+$E440))</f>
        <v/>
      </c>
      <c r="AI440" s="41">
        <f>AH440*(1/(1+$G440))^(1+$E440)*(1+AI$7)^$D440*(AI422/AH422)^$E440*((AI422+AI431)/(AH422+AH431))^($F440*(1+$E440))</f>
        <v/>
      </c>
      <c r="AJ440" s="41">
        <f>AI440*(1/(1+$G440))^(1+$E440)*(1+AJ$7)^$D440*(AJ422/AI422)^$E440*((AJ422+AJ431)/(AI422+AI431))^($F440*(1+$E440))</f>
        <v/>
      </c>
      <c r="AK440" s="41">
        <f>AJ440*(1/(1+$G440))^(1+$E440)*(1+AK$7)^$D440*(AK422/AJ422)^$E440*((AK422+AK431)/(AJ422+AJ431))^($F440*(1+$E440))</f>
        <v/>
      </c>
      <c r="AL440" s="41">
        <f>AK440*(1/(1+$G440))^(1+$E440)*(1+AL$7)^$D440*(AL422/AK422)^$E440*((AL422+AL431)/(AK422+AK431))^($F440*(1+$E440))</f>
        <v/>
      </c>
      <c r="AM440" s="41">
        <f>AL440*(1/(1+$G440))^(1+$E440)*(1+AM$7)^$D440*(AM422/AL422)^$E440*((AM422+AM431)/(AL422+AL431))^($F440*(1+$E440))</f>
        <v/>
      </c>
      <c r="AN440" s="42">
        <f>FUELUSE(AM440,AN422,AM422,AN431,AM431,AN$7,$D440,$E440,$F440,$G440)</f>
        <v/>
      </c>
    </row>
    <row r="441" hidden="1" outlineLevel="2">
      <c r="A441" s="5" t="inlineStr">
        <is>
          <t>ener</t>
        </is>
      </c>
      <c r="B441" s="5" t="inlineStr">
        <is>
          <t>bio</t>
        </is>
      </c>
      <c r="C441" s="5" t="inlineStr">
        <is>
          <t>nav</t>
        </is>
      </c>
      <c r="D441" s="36">
        <f>INDEX(Inputs!$N$5:$N$132,MATCH($B441&amp;"|"&amp;$C441,Inputs!$A$5:$A$132,0))</f>
        <v/>
      </c>
      <c r="E441" s="36">
        <f>INDEX(Inputs!$O$5:$O$132,MATCH($B441&amp;"|"&amp;$C441,Inputs!$A$5:$A$132,0))</f>
        <v/>
      </c>
      <c r="F441" s="36">
        <f>INDEX(Inputs!$P$5:$P$132,MATCH($B441&amp;"|"&amp;$C441,Inputs!$A$5:$A$132,0))</f>
        <v/>
      </c>
      <c r="G441" s="36">
        <f>INDEX(Inputs!$Q$5:$Q$132,MATCH($B441&amp;"|"&amp;$C441,Inputs!$A$5:$A$132,0))</f>
        <v/>
      </c>
      <c r="H441" s="5">
        <f>INDEX(Variables!$B$5:$B$65,MATCH($A441,Variables!$A$5:$A$65,0))&amp;IF($C441="",""," | "&amp;INDEX(Mapping!$B$5:$B$25,MATCH($C441,Mapping!$A$5:$A$25,0))&amp;" | "&amp;INDEX(Mapping!$B$29:$B$38,MATCH($B441,Mapping!$A$29:$A$38,0)))</f>
        <v/>
      </c>
      <c r="I441" s="5">
        <f>INDEX(Variables!$C$5:$C$65,MATCH($A441,Variables!$A$5:$A$65,0))</f>
        <v/>
      </c>
      <c r="J441" s="5">
        <f>INDEX(Variables!$E$5:$E$65,MATCH($A441,Variables!$A$5:$A$65,0))</f>
        <v/>
      </c>
      <c r="K441" s="23">
        <f>LOWER(Settings!$C$4)&amp;".mit."&amp;$A441&amp;IF($C441="","","."&amp;$C441&amp;"."&amp;$B441)&amp;IF(INDEX(Variables!$D$5:$D$65,MATCH($A441,Variables!$A$5:$A$65,0))="","","."&amp;INDEX(Variables!$D$5:$D$65,MATCH($A441,Variables!$A$5:$A$65,0)))&amp;"."&amp;K$5</f>
        <v/>
      </c>
      <c r="L441" s="40">
        <f>INDEX(Inputs!$V$5:$V$132,MATCH($B441&amp;"|"&amp;$C441,Inputs!$A$5:$A$132,0))</f>
        <v/>
      </c>
      <c r="M441" s="41">
        <f>L441*(1/(1+$G441))^(1+$E441)*(1+M$7)^$D441*(M423/L423)^$E441*((M423+M432)/(L423+L432))^($F441*(1+$E441))</f>
        <v/>
      </c>
      <c r="N441" s="41">
        <f>M441*(1/(1+$G441))^(1+$E441)*(1+N$7)^$D441*(N423/M423)^$E441*((N423+N432)/(M423+M432))^($F441*(1+$E441))</f>
        <v/>
      </c>
      <c r="O441" s="41">
        <f>N441*(1/(1+$G441))^(1+$E441)*(1+O$7)^$D441*(O423/N423)^$E441*((O423+O432)/(N423+N432))^($F441*(1+$E441))</f>
        <v/>
      </c>
      <c r="P441" s="41">
        <f>O441*(1/(1+$G441))^(1+$E441)*(1+P$7)^$D441*(P423/O423)^$E441*((P423+P432)/(O423+O432))^($F441*(1+$E441))</f>
        <v/>
      </c>
      <c r="Q441" s="41">
        <f>P441*(1/(1+$G441))^(1+$E441)*(1+Q$7)^$D441*(Q423/P423)^$E441*((Q423+Q432)/(P423+P432))^($F441*(1+$E441))</f>
        <v/>
      </c>
      <c r="R441" s="41">
        <f>Q441*(1/(1+$G441))^(1+$E441)*(1+R$7)^$D441*(R423/Q423)^$E441*((R423+R432)/(Q423+Q432))^($F441*(1+$E441))</f>
        <v/>
      </c>
      <c r="S441" s="41">
        <f>R441*(1/(1+$G441))^(1+$E441)*(1+S$7)^$D441*(S423/R423)^$E441*((S423+S432)/(R423+R432))^($F441*(1+$E441))</f>
        <v/>
      </c>
      <c r="T441" s="41">
        <f>S441*(1/(1+$G441))^(1+$E441)*(1+T$7)^$D441*(T423/S423)^$E441*((T423+T432)/(S423+S432))^($F441*(1+$E441))</f>
        <v/>
      </c>
      <c r="U441" s="41">
        <f>T441*(1/(1+$G441))^(1+$E441)*(1+U$7)^$D441*(U423/T423)^$E441*((U423+U432)/(T423+T432))^($F441*(1+$E441))</f>
        <v/>
      </c>
      <c r="V441" s="41">
        <f>U441*(1/(1+$G441))^(1+$E441)*(1+V$7)^$D441*(V423/U423)^$E441*((V423+V432)/(U423+U432))^($F441*(1+$E441))</f>
        <v/>
      </c>
      <c r="W441" s="41">
        <f>V441*(1/(1+$G441))^(1+$E441)*(1+W$7)^$D441*(W423/V423)^$E441*((W423+W432)/(V423+V432))^($F441*(1+$E441))</f>
        <v/>
      </c>
      <c r="X441" s="41">
        <f>W441*(1/(1+$G441))^(1+$E441)*(1+X$7)^$D441*(X423/W423)^$E441*((X423+X432)/(W423+W432))^($F441*(1+$E441))</f>
        <v/>
      </c>
      <c r="Y441" s="42">
        <f>FUELUSE(X441,Y423,X423,Y432,X432,Y$7,$D441,$E441,$F441,$G441)</f>
        <v/>
      </c>
      <c r="Z441" s="23">
        <f>LOWER(Settings!$C$4)&amp;".mit."&amp;$A441&amp;IF($C441="","","."&amp;$C441&amp;"."&amp;$B441)&amp;IF(INDEX(Variables!$D$5:$D$65,MATCH($A441,Variables!$A$5:$A$65,0))="","","."&amp;INDEX(Variables!$D$5:$D$65,MATCH($A441,Variables!$A$5:$A$65,0)))&amp;"."&amp;Z$5</f>
        <v/>
      </c>
      <c r="AA441" s="40">
        <f>INDEX(Inputs!$V$5:$V$132,MATCH($B441&amp;"|"&amp;$C441,Inputs!$A$5:$A$132,0))</f>
        <v/>
      </c>
      <c r="AB441" s="41">
        <f>AA441*(1/(1+$G441))^(1+$E441)*(1+AB$7)^$D441*(AB423/AA423)^$E441*((AB423+AB432)/(AA423+AA432))^($F441*(1+$E441))</f>
        <v/>
      </c>
      <c r="AC441" s="41">
        <f>AB441*(1/(1+$G441))^(1+$E441)*(1+AC$7)^$D441*(AC423/AB423)^$E441*((AC423+AC432)/(AB423+AB432))^($F441*(1+$E441))</f>
        <v/>
      </c>
      <c r="AD441" s="41">
        <f>AC441*(1/(1+$G441))^(1+$E441)*(1+AD$7)^$D441*(AD423/AC423)^$E441*((AD423+AD432)/(AC423+AC432))^($F441*(1+$E441))</f>
        <v/>
      </c>
      <c r="AE441" s="41">
        <f>AD441*(1/(1+$G441))^(1+$E441)*(1+AE$7)^$D441*(AE423/AD423)^$E441*((AE423+AE432)/(AD423+AD432))^($F441*(1+$E441))</f>
        <v/>
      </c>
      <c r="AF441" s="41">
        <f>AE441*(1/(1+$G441))^(1+$E441)*(1+AF$7)^$D441*(AF423/AE423)^$E441*((AF423+AF432)/(AE423+AE432))^($F441*(1+$E441))</f>
        <v/>
      </c>
      <c r="AG441" s="41">
        <f>AF441*(1/(1+$G441))^(1+$E441)*(1+AG$7)^$D441*(AG423/AF423)^$E441*((AG423+AG432)/(AF423+AF432))^($F441*(1+$E441))</f>
        <v/>
      </c>
      <c r="AH441" s="41">
        <f>AG441*(1/(1+$G441))^(1+$E441)*(1+AH$7)^$D441*(AH423/AG423)^$E441*((AH423+AH432)/(AG423+AG432))^($F441*(1+$E441))</f>
        <v/>
      </c>
      <c r="AI441" s="41">
        <f>AH441*(1/(1+$G441))^(1+$E441)*(1+AI$7)^$D441*(AI423/AH423)^$E441*((AI423+AI432)/(AH423+AH432))^($F441*(1+$E441))</f>
        <v/>
      </c>
      <c r="AJ441" s="41">
        <f>AI441*(1/(1+$G441))^(1+$E441)*(1+AJ$7)^$D441*(AJ423/AI423)^$E441*((AJ423+AJ432)/(AI423+AI432))^($F441*(1+$E441))</f>
        <v/>
      </c>
      <c r="AK441" s="41">
        <f>AJ441*(1/(1+$G441))^(1+$E441)*(1+AK$7)^$D441*(AK423/AJ423)^$E441*((AK423+AK432)/(AJ423+AJ432))^($F441*(1+$E441))</f>
        <v/>
      </c>
      <c r="AL441" s="41">
        <f>AK441*(1/(1+$G441))^(1+$E441)*(1+AL$7)^$D441*(AL423/AK423)^$E441*((AL423+AL432)/(AK423+AK432))^($F441*(1+$E441))</f>
        <v/>
      </c>
      <c r="AM441" s="41">
        <f>AL441*(1/(1+$G441))^(1+$E441)*(1+AM$7)^$D441*(AM423/AL423)^$E441*((AM423+AM432)/(AL423+AL432))^($F441*(1+$E441))</f>
        <v/>
      </c>
      <c r="AN441" s="42">
        <f>FUELUSE(AM441,AN423,AM423,AN432,AM432,AN$7,$D441,$E441,$F441,$G441)</f>
        <v/>
      </c>
    </row>
    <row r="442" hidden="1" outlineLevel="2"/>
    <row r="444">
      <c r="A444" s="18" t="inlineStr">
        <is>
          <t>6. Buildings sector</t>
        </is>
      </c>
      <c r="B444" s="19" t="n"/>
      <c r="C444" s="19" t="n"/>
      <c r="D444" s="19" t="n"/>
      <c r="E444" s="19" t="n"/>
      <c r="F444" s="19" t="n"/>
      <c r="G444" s="19" t="n"/>
      <c r="H444" s="19" t="n"/>
      <c r="I444" s="19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  <c r="AA444" s="19" t="n"/>
      <c r="AB444" s="19" t="n"/>
      <c r="AC444" s="19" t="n"/>
      <c r="AD444" s="19" t="n"/>
      <c r="AE444" s="19" t="n"/>
      <c r="AF444" s="19" t="n"/>
      <c r="AG444" s="19" t="n"/>
      <c r="AH444" s="19" t="n"/>
      <c r="AI444" s="19" t="n"/>
      <c r="AJ444" s="19" t="n"/>
      <c r="AK444" s="19" t="n"/>
      <c r="AL444" s="19" t="n"/>
      <c r="AM444" s="19" t="n"/>
      <c r="AN444" s="19" t="n"/>
    </row>
    <row r="445">
      <c r="A445" s="7" t="inlineStr">
        <is>
          <t>ener</t>
        </is>
      </c>
      <c r="B445" s="7" t="inlineStr">
        <is>
          <t>all</t>
        </is>
      </c>
      <c r="C445" s="7" t="inlineStr">
        <is>
          <t>bld</t>
        </is>
      </c>
      <c r="H445" s="7">
        <f>INDEX(Variables!$B$5:$B$65,MATCH($A445,Variables!$A$5:$A$65,0))&amp;IF($C445="",""," | "&amp;INDEX(Mapping!$B$5:$B$25,MATCH($C445,Mapping!$A$5:$A$25,0))&amp;" | "&amp;INDEX(Mapping!$B$29:$B$38,MATCH($B445,Mapping!$A$29:$A$38,0)))</f>
        <v/>
      </c>
      <c r="I445" s="7">
        <f>INDEX(Variables!$C$5:$C$65,MATCH($A445,Variables!$A$5:$A$65,0))</f>
        <v/>
      </c>
      <c r="J445" s="7">
        <f>INDEX(Variables!$E$5:$E$65,MATCH($A445,Variables!$A$5:$A$65,0))</f>
        <v/>
      </c>
      <c r="K445" s="26">
        <f>LOWER(Settings!$C$4)&amp;".mit."&amp;$A445&amp;IF($C445="","","."&amp;$C445&amp;"."&amp;$B445)&amp;IF(INDEX(Variables!$D$5:$D$65,MATCH($A445,Variables!$A$5:$A$65,0))="","","."&amp;INDEX(Variables!$D$5:$D$65,MATCH($A445,Variables!$A$5:$A$65,0)))&amp;"."&amp;K$5</f>
        <v/>
      </c>
      <c r="L445" s="34">
        <f>SUMIFS(L446:L664,$A446:$A664,"ener",$B446:$B664,"&lt;&gt;all")</f>
        <v/>
      </c>
      <c r="M445" s="35">
        <f>SUMIFS(M446:M664,$A446:$A664,"ener",$B446:$B664,"&lt;&gt;all")</f>
        <v/>
      </c>
      <c r="N445" s="35">
        <f>SUMIFS(N446:N664,$A446:$A664,"ener",$B446:$B664,"&lt;&gt;all")</f>
        <v/>
      </c>
      <c r="O445" s="35">
        <f>SUMIFS(O446:O664,$A446:$A664,"ener",$B446:$B664,"&lt;&gt;all")</f>
        <v/>
      </c>
      <c r="P445" s="35">
        <f>SUMIFS(P446:P664,$A446:$A664,"ener",$B446:$B664,"&lt;&gt;all")</f>
        <v/>
      </c>
      <c r="Q445" s="35">
        <f>SUMIFS(Q446:Q664,$A446:$A664,"ener",$B446:$B664,"&lt;&gt;all")</f>
        <v/>
      </c>
      <c r="R445" s="35">
        <f>SUMIFS(R446:R664,$A446:$A664,"ener",$B446:$B664,"&lt;&gt;all")</f>
        <v/>
      </c>
      <c r="S445" s="35">
        <f>SUMIFS(S446:S664,$A446:$A664,"ener",$B446:$B664,"&lt;&gt;all")</f>
        <v/>
      </c>
      <c r="T445" s="35">
        <f>SUMIFS(T446:T664,$A446:$A664,"ener",$B446:$B664,"&lt;&gt;all")</f>
        <v/>
      </c>
      <c r="U445" s="35">
        <f>SUMIFS(U446:U664,$A446:$A664,"ener",$B446:$B664,"&lt;&gt;all")</f>
        <v/>
      </c>
      <c r="V445" s="35">
        <f>SUMIFS(V446:V664,$A446:$A664,"ener",$B446:$B664,"&lt;&gt;all")</f>
        <v/>
      </c>
      <c r="W445" s="35">
        <f>SUMIFS(W446:W664,$A446:$A664,"ener",$B446:$B664,"&lt;&gt;all")</f>
        <v/>
      </c>
      <c r="X445" s="35">
        <f>SUMIFS(X446:X664,$A446:$A664,"ener",$B446:$B664,"&lt;&gt;all")</f>
        <v/>
      </c>
      <c r="Y445" s="35">
        <f>SUMIFS(Y446:Y664,$A446:$A664,"ener",$B446:$B664,"&lt;&gt;all")</f>
        <v/>
      </c>
      <c r="Z445" s="26">
        <f>LOWER(Settings!$C$4)&amp;".mit."&amp;$A445&amp;IF($C445="","","."&amp;$C445&amp;"."&amp;$B445)&amp;IF(INDEX(Variables!$D$5:$D$65,MATCH($A445,Variables!$A$5:$A$65,0))="","","."&amp;INDEX(Variables!$D$5:$D$65,MATCH($A445,Variables!$A$5:$A$65,0)))&amp;"."&amp;Z$5</f>
        <v/>
      </c>
      <c r="AA445" s="34">
        <f>SUMIFS(AA446:AA664,$A446:$A664,"ener",$B446:$B664,"&lt;&gt;all")</f>
        <v/>
      </c>
      <c r="AB445" s="35">
        <f>SUMIFS(AB446:AB664,$A446:$A664,"ener",$B446:$B664,"&lt;&gt;all")</f>
        <v/>
      </c>
      <c r="AC445" s="35">
        <f>SUMIFS(AC446:AC664,$A446:$A664,"ener",$B446:$B664,"&lt;&gt;all")</f>
        <v/>
      </c>
      <c r="AD445" s="35">
        <f>SUMIFS(AD446:AD664,$A446:$A664,"ener",$B446:$B664,"&lt;&gt;all")</f>
        <v/>
      </c>
      <c r="AE445" s="35">
        <f>SUMIFS(AE446:AE664,$A446:$A664,"ener",$B446:$B664,"&lt;&gt;all")</f>
        <v/>
      </c>
      <c r="AF445" s="35">
        <f>SUMIFS(AF446:AF664,$A446:$A664,"ener",$B446:$B664,"&lt;&gt;all")</f>
        <v/>
      </c>
      <c r="AG445" s="35">
        <f>SUMIFS(AG446:AG664,$A446:$A664,"ener",$B446:$B664,"&lt;&gt;all")</f>
        <v/>
      </c>
      <c r="AH445" s="35">
        <f>SUMIFS(AH446:AH664,$A446:$A664,"ener",$B446:$B664,"&lt;&gt;all")</f>
        <v/>
      </c>
      <c r="AI445" s="35">
        <f>SUMIFS(AI446:AI664,$A446:$A664,"ener",$B446:$B664,"&lt;&gt;all")</f>
        <v/>
      </c>
      <c r="AJ445" s="35">
        <f>SUMIFS(AJ446:AJ664,$A446:$A664,"ener",$B446:$B664,"&lt;&gt;all")</f>
        <v/>
      </c>
      <c r="AK445" s="35">
        <f>SUMIFS(AK446:AK664,$A446:$A664,"ener",$B446:$B664,"&lt;&gt;all")</f>
        <v/>
      </c>
      <c r="AL445" s="35">
        <f>SUMIFS(AL446:AL664,$A446:$A664,"ener",$B446:$B664,"&lt;&gt;all")</f>
        <v/>
      </c>
      <c r="AM445" s="35">
        <f>SUMIFS(AM446:AM664,$A446:$A664,"ener",$B446:$B664,"&lt;&gt;all")</f>
        <v/>
      </c>
      <c r="AN445" s="35">
        <f>SUMIFS(AN446:AN664,$A446:$A664,"ener",$B446:$B664,"&lt;&gt;all")</f>
        <v/>
      </c>
    </row>
    <row r="446" outlineLevel="1" collapsed="1">
      <c r="A446" s="7" t="inlineStr">
        <is>
          <t>ener</t>
        </is>
      </c>
      <c r="B446" s="7" t="inlineStr">
        <is>
          <t>all</t>
        </is>
      </c>
      <c r="C446" s="7" t="inlineStr">
        <is>
          <t>res</t>
        </is>
      </c>
      <c r="H446" s="7">
        <f>INDEX(Variables!$B$5:$B$65,MATCH($A446,Variables!$A$5:$A$65,0))&amp;IF($C446="",""," | "&amp;INDEX(Mapping!$B$5:$B$25,MATCH($C446,Mapping!$A$5:$A$25,0))&amp;" | "&amp;INDEX(Mapping!$B$29:$B$38,MATCH($B446,Mapping!$A$29:$A$38,0)))</f>
        <v/>
      </c>
      <c r="I446" s="7">
        <f>INDEX(Variables!$C$5:$C$65,MATCH($A446,Variables!$A$5:$A$65,0))</f>
        <v/>
      </c>
      <c r="J446" s="7">
        <f>INDEX(Variables!$E$5:$E$65,MATCH($A446,Variables!$A$5:$A$65,0))</f>
        <v/>
      </c>
      <c r="K446" s="26">
        <f>LOWER(Settings!$C$4)&amp;".mit."&amp;$A446&amp;IF($C446="","","."&amp;$C446&amp;"."&amp;$B446)&amp;IF(INDEX(Variables!$D$5:$D$65,MATCH($A446,Variables!$A$5:$A$65,0))="","","."&amp;INDEX(Variables!$D$5:$D$65,MATCH($A446,Variables!$A$5:$A$65,0)))&amp;"."&amp;K$5</f>
        <v/>
      </c>
      <c r="L446" s="34">
        <f>SUM(L510:L517)</f>
        <v/>
      </c>
      <c r="M446" s="35">
        <f>SUM(M510:M517)</f>
        <v/>
      </c>
      <c r="N446" s="35">
        <f>SUM(N510:N517)</f>
        <v/>
      </c>
      <c r="O446" s="35">
        <f>SUM(O510:O517)</f>
        <v/>
      </c>
      <c r="P446" s="35">
        <f>SUM(P510:P517)</f>
        <v/>
      </c>
      <c r="Q446" s="35">
        <f>SUM(Q510:Q517)</f>
        <v/>
      </c>
      <c r="R446" s="35">
        <f>SUM(R510:R517)</f>
        <v/>
      </c>
      <c r="S446" s="35">
        <f>SUM(S510:S517)</f>
        <v/>
      </c>
      <c r="T446" s="35">
        <f>SUM(T510:T517)</f>
        <v/>
      </c>
      <c r="U446" s="35">
        <f>SUM(U510:U517)</f>
        <v/>
      </c>
      <c r="V446" s="35">
        <f>SUM(V510:V517)</f>
        <v/>
      </c>
      <c r="W446" s="35">
        <f>SUM(W510:W517)</f>
        <v/>
      </c>
      <c r="X446" s="35">
        <f>SUM(X510:X517)</f>
        <v/>
      </c>
      <c r="Y446" s="35">
        <f>SUM(Y510:Y517)</f>
        <v/>
      </c>
      <c r="Z446" s="26">
        <f>LOWER(Settings!$C$4)&amp;".mit."&amp;$A446&amp;IF($C446="","","."&amp;$C446&amp;"."&amp;$B446)&amp;IF(INDEX(Variables!$D$5:$D$65,MATCH($A446,Variables!$A$5:$A$65,0))="","","."&amp;INDEX(Variables!$D$5:$D$65,MATCH($A446,Variables!$A$5:$A$65,0)))&amp;"."&amp;Z$5</f>
        <v/>
      </c>
      <c r="AA446" s="34">
        <f>SUM(AA510:AA517)</f>
        <v/>
      </c>
      <c r="AB446" s="35">
        <f>SUM(AB510:AB517)</f>
        <v/>
      </c>
      <c r="AC446" s="35">
        <f>SUM(AC510:AC517)</f>
        <v/>
      </c>
      <c r="AD446" s="35">
        <f>SUM(AD510:AD517)</f>
        <v/>
      </c>
      <c r="AE446" s="35">
        <f>SUM(AE510:AE517)</f>
        <v/>
      </c>
      <c r="AF446" s="35">
        <f>SUM(AF510:AF517)</f>
        <v/>
      </c>
      <c r="AG446" s="35">
        <f>SUM(AG510:AG517)</f>
        <v/>
      </c>
      <c r="AH446" s="35">
        <f>SUM(AH510:AH517)</f>
        <v/>
      </c>
      <c r="AI446" s="35">
        <f>SUM(AI510:AI517)</f>
        <v/>
      </c>
      <c r="AJ446" s="35">
        <f>SUM(AJ510:AJ517)</f>
        <v/>
      </c>
      <c r="AK446" s="35">
        <f>SUM(AK510:AK517)</f>
        <v/>
      </c>
      <c r="AL446" s="35">
        <f>SUM(AL510:AL517)</f>
        <v/>
      </c>
      <c r="AM446" s="35">
        <f>SUM(AM510:AM517)</f>
        <v/>
      </c>
      <c r="AN446" s="35">
        <f>SUM(AN510:AN517)</f>
        <v/>
      </c>
    </row>
    <row r="447" hidden="1" outlineLevel="2">
      <c r="A447" s="5" t="inlineStr">
        <is>
          <t>sp</t>
        </is>
      </c>
      <c r="B447" s="5" t="inlineStr">
        <is>
          <t>coa</t>
        </is>
      </c>
      <c r="C447" s="5" t="inlineStr">
        <is>
          <t>res</t>
        </is>
      </c>
      <c r="D447" s="36">
        <f>INDEX(Inputs!$R$5:$R$132,MATCH($B447&amp;"|"&amp;$C447,Inputs!$A$5:$A$132,0))</f>
        <v/>
      </c>
      <c r="E447" s="37" t="n"/>
      <c r="F447" s="37" t="n"/>
      <c r="G447" s="37" t="n"/>
      <c r="H447" s="5">
        <f>INDEX(Variables!$B$5:$B$65,MATCH($A447,Variables!$A$5:$A$65,0))&amp;IF($C447="",""," | "&amp;INDEX(Mapping!$B$5:$B$25,MATCH($C447,Mapping!$A$5:$A$25,0))&amp;" | "&amp;INDEX(Mapping!$B$29:$B$38,MATCH($B447,Mapping!$A$29:$A$38,0)))</f>
        <v/>
      </c>
      <c r="I447" s="5">
        <f>INDEX(Variables!$C$5:$C$65,MATCH($A447,Variables!$A$5:$A$65,0))</f>
        <v/>
      </c>
      <c r="J447" s="5">
        <f>INDEX(Variables!$E$5:$E$65,MATCH($A447,Variables!$A$5:$A$65,0))</f>
        <v/>
      </c>
      <c r="K447" s="23">
        <f>LOWER(Settings!$C$4)&amp;".mit."&amp;$A447&amp;IF($C447="","","."&amp;$C447&amp;"."&amp;$B447)&amp;IF(INDEX(Variables!$D$5:$D$65,MATCH($A447,Variables!$A$5:$A$65,0))="","","."&amp;INDEX(Variables!$D$5:$D$65,MATCH($A447,Variables!$A$5:$A$65,0)))&amp;"."&amp;K$5</f>
        <v/>
      </c>
      <c r="L447" s="38">
        <f>INDEX(Inputs!$S$5:$S$132,MATCH($B447&amp;"|"&amp;$C447,Inputs!$A$5:$A$132,0))</f>
        <v/>
      </c>
      <c r="M447" s="36">
        <f>L447*(1+$D447)</f>
        <v/>
      </c>
      <c r="N447" s="36">
        <f>M447*(1+$D447)</f>
        <v/>
      </c>
      <c r="O447" s="36">
        <f>N447*(1+$D447)</f>
        <v/>
      </c>
      <c r="P447" s="36">
        <f>O447*(1+$D447)</f>
        <v/>
      </c>
      <c r="Q447" s="36">
        <f>P447*(1+$D447)</f>
        <v/>
      </c>
      <c r="R447" s="36">
        <f>Q447*(1+$D447)</f>
        <v/>
      </c>
      <c r="S447" s="36">
        <f>R447*(1+$D447)</f>
        <v/>
      </c>
      <c r="T447" s="36">
        <f>S447*(1+$D447)</f>
        <v/>
      </c>
      <c r="U447" s="36">
        <f>T447*(1+$D447)</f>
        <v/>
      </c>
      <c r="V447" s="36">
        <f>U447*(1+$D447)</f>
        <v/>
      </c>
      <c r="W447" s="36">
        <f>V447*(1+$D447)</f>
        <v/>
      </c>
      <c r="X447" s="36">
        <f>W447*(1+$D447)</f>
        <v/>
      </c>
      <c r="Y447" s="39">
        <f>PRETAX(X447,$D447)</f>
        <v/>
      </c>
      <c r="Z447" s="23">
        <f>LOWER(Settings!$C$4)&amp;".mit."&amp;$A447&amp;IF($C447="","","."&amp;$C447&amp;"."&amp;$B447)&amp;IF(INDEX(Variables!$D$5:$D$65,MATCH($A447,Variables!$A$5:$A$65,0))="","","."&amp;INDEX(Variables!$D$5:$D$65,MATCH($A447,Variables!$A$5:$A$65,0)))&amp;"."&amp;Z$5</f>
        <v/>
      </c>
      <c r="AA447" s="38">
        <f>INDEX(Inputs!$S$5:$S$132,MATCH($B447&amp;"|"&amp;$C447,Inputs!$A$5:$A$132,0))</f>
        <v/>
      </c>
      <c r="AB447" s="36">
        <f>AA447*(1+$D447)</f>
        <v/>
      </c>
      <c r="AC447" s="36">
        <f>AB447*(1+$D447)</f>
        <v/>
      </c>
      <c r="AD447" s="36">
        <f>AC447*(1+$D447)</f>
        <v/>
      </c>
      <c r="AE447" s="36">
        <f>AD447*(1+$D447)</f>
        <v/>
      </c>
      <c r="AF447" s="36">
        <f>AE447*(1+$D447)</f>
        <v/>
      </c>
      <c r="AG447" s="36">
        <f>AF447*(1+$D447)</f>
        <v/>
      </c>
      <c r="AH447" s="36">
        <f>AG447*(1+$D447)</f>
        <v/>
      </c>
      <c r="AI447" s="36">
        <f>AH447*(1+$D447)</f>
        <v/>
      </c>
      <c r="AJ447" s="36">
        <f>AI447*(1+$D447)</f>
        <v/>
      </c>
      <c r="AK447" s="36">
        <f>AJ447*(1+$D447)</f>
        <v/>
      </c>
      <c r="AL447" s="36">
        <f>AK447*(1+$D447)</f>
        <v/>
      </c>
      <c r="AM447" s="36">
        <f>AL447*(1+$D447)</f>
        <v/>
      </c>
      <c r="AN447" s="39">
        <f>PRETAX(AM447,$D447)</f>
        <v/>
      </c>
    </row>
    <row r="448" hidden="1" outlineLevel="2">
      <c r="A448" s="5" t="inlineStr">
        <is>
          <t>sp</t>
        </is>
      </c>
      <c r="B448" s="5" t="inlineStr">
        <is>
          <t>nga</t>
        </is>
      </c>
      <c r="C448" s="5" t="inlineStr">
        <is>
          <t>res</t>
        </is>
      </c>
      <c r="D448" s="36">
        <f>INDEX(Inputs!$R$5:$R$132,MATCH($B448&amp;"|"&amp;$C448,Inputs!$A$5:$A$132,0))</f>
        <v/>
      </c>
      <c r="E448" s="37" t="n"/>
      <c r="F448" s="37" t="n"/>
      <c r="G448" s="37" t="n"/>
      <c r="H448" s="5">
        <f>INDEX(Variables!$B$5:$B$65,MATCH($A448,Variables!$A$5:$A$65,0))&amp;IF($C448="",""," | "&amp;INDEX(Mapping!$B$5:$B$25,MATCH($C448,Mapping!$A$5:$A$25,0))&amp;" | "&amp;INDEX(Mapping!$B$29:$B$38,MATCH($B448,Mapping!$A$29:$A$38,0)))</f>
        <v/>
      </c>
      <c r="I448" s="5">
        <f>INDEX(Variables!$C$5:$C$65,MATCH($A448,Variables!$A$5:$A$65,0))</f>
        <v/>
      </c>
      <c r="J448" s="5">
        <f>INDEX(Variables!$E$5:$E$65,MATCH($A448,Variables!$A$5:$A$65,0))</f>
        <v/>
      </c>
      <c r="K448" s="23">
        <f>LOWER(Settings!$C$4)&amp;".mit."&amp;$A448&amp;IF($C448="","","."&amp;$C448&amp;"."&amp;$B448)&amp;IF(INDEX(Variables!$D$5:$D$65,MATCH($A448,Variables!$A$5:$A$65,0))="","","."&amp;INDEX(Variables!$D$5:$D$65,MATCH($A448,Variables!$A$5:$A$65,0)))&amp;"."&amp;K$5</f>
        <v/>
      </c>
      <c r="L448" s="38">
        <f>INDEX(Inputs!$S$5:$S$132,MATCH($B448&amp;"|"&amp;$C448,Inputs!$A$5:$A$132,0))</f>
        <v/>
      </c>
      <c r="M448" s="36">
        <f>L448*(1+$D448)</f>
        <v/>
      </c>
      <c r="N448" s="36">
        <f>M448*(1+$D448)</f>
        <v/>
      </c>
      <c r="O448" s="36">
        <f>N448*(1+$D448)</f>
        <v/>
      </c>
      <c r="P448" s="36">
        <f>O448*(1+$D448)</f>
        <v/>
      </c>
      <c r="Q448" s="36">
        <f>P448*(1+$D448)</f>
        <v/>
      </c>
      <c r="R448" s="36">
        <f>Q448*(1+$D448)</f>
        <v/>
      </c>
      <c r="S448" s="36">
        <f>R448*(1+$D448)</f>
        <v/>
      </c>
      <c r="T448" s="36">
        <f>S448*(1+$D448)</f>
        <v/>
      </c>
      <c r="U448" s="36">
        <f>T448*(1+$D448)</f>
        <v/>
      </c>
      <c r="V448" s="36">
        <f>U448*(1+$D448)</f>
        <v/>
      </c>
      <c r="W448" s="36">
        <f>V448*(1+$D448)</f>
        <v/>
      </c>
      <c r="X448" s="36">
        <f>W448*(1+$D448)</f>
        <v/>
      </c>
      <c r="Y448" s="39">
        <f>PRETAX(X448,$D448)</f>
        <v/>
      </c>
      <c r="Z448" s="23">
        <f>LOWER(Settings!$C$4)&amp;".mit."&amp;$A448&amp;IF($C448="","","."&amp;$C448&amp;"."&amp;$B448)&amp;IF(INDEX(Variables!$D$5:$D$65,MATCH($A448,Variables!$A$5:$A$65,0))="","","."&amp;INDEX(Variables!$D$5:$D$65,MATCH($A448,Variables!$A$5:$A$65,0)))&amp;"."&amp;Z$5</f>
        <v/>
      </c>
      <c r="AA448" s="38">
        <f>INDEX(Inputs!$S$5:$S$132,MATCH($B448&amp;"|"&amp;$C448,Inputs!$A$5:$A$132,0))</f>
        <v/>
      </c>
      <c r="AB448" s="36">
        <f>AA448*(1+$D448)</f>
        <v/>
      </c>
      <c r="AC448" s="36">
        <f>AB448*(1+$D448)</f>
        <v/>
      </c>
      <c r="AD448" s="36">
        <f>AC448*(1+$D448)</f>
        <v/>
      </c>
      <c r="AE448" s="36">
        <f>AD448*(1+$D448)</f>
        <v/>
      </c>
      <c r="AF448" s="36">
        <f>AE448*(1+$D448)</f>
        <v/>
      </c>
      <c r="AG448" s="36">
        <f>AF448*(1+$D448)</f>
        <v/>
      </c>
      <c r="AH448" s="36">
        <f>AG448*(1+$D448)</f>
        <v/>
      </c>
      <c r="AI448" s="36">
        <f>AH448*(1+$D448)</f>
        <v/>
      </c>
      <c r="AJ448" s="36">
        <f>AI448*(1+$D448)</f>
        <v/>
      </c>
      <c r="AK448" s="36">
        <f>AJ448*(1+$D448)</f>
        <v/>
      </c>
      <c r="AL448" s="36">
        <f>AK448*(1+$D448)</f>
        <v/>
      </c>
      <c r="AM448" s="36">
        <f>AL448*(1+$D448)</f>
        <v/>
      </c>
      <c r="AN448" s="39">
        <f>PRETAX(AM448,$D448)</f>
        <v/>
      </c>
    </row>
    <row r="449" hidden="1" outlineLevel="2">
      <c r="A449" s="5" t="inlineStr">
        <is>
          <t>sp</t>
        </is>
      </c>
      <c r="B449" s="5" t="inlineStr">
        <is>
          <t>gso</t>
        </is>
      </c>
      <c r="C449" s="5" t="inlineStr">
        <is>
          <t>res</t>
        </is>
      </c>
      <c r="D449" s="36">
        <f>INDEX(Inputs!$R$5:$R$132,MATCH($B449&amp;"|"&amp;$C449,Inputs!$A$5:$A$132,0))</f>
        <v/>
      </c>
      <c r="E449" s="37" t="n"/>
      <c r="F449" s="37" t="n"/>
      <c r="G449" s="37" t="n"/>
      <c r="H449" s="5">
        <f>INDEX(Variables!$B$5:$B$65,MATCH($A449,Variables!$A$5:$A$65,0))&amp;IF($C449="",""," | "&amp;INDEX(Mapping!$B$5:$B$25,MATCH($C449,Mapping!$A$5:$A$25,0))&amp;" | "&amp;INDEX(Mapping!$B$29:$B$38,MATCH($B449,Mapping!$A$29:$A$38,0)))</f>
        <v/>
      </c>
      <c r="I449" s="5">
        <f>INDEX(Variables!$C$5:$C$65,MATCH($A449,Variables!$A$5:$A$65,0))</f>
        <v/>
      </c>
      <c r="J449" s="5">
        <f>INDEX(Variables!$E$5:$E$65,MATCH($A449,Variables!$A$5:$A$65,0))</f>
        <v/>
      </c>
      <c r="K449" s="23">
        <f>LOWER(Settings!$C$4)&amp;".mit."&amp;$A449&amp;IF($C449="","","."&amp;$C449&amp;"."&amp;$B449)&amp;IF(INDEX(Variables!$D$5:$D$65,MATCH($A449,Variables!$A$5:$A$65,0))="","","."&amp;INDEX(Variables!$D$5:$D$65,MATCH($A449,Variables!$A$5:$A$65,0)))&amp;"."&amp;K$5</f>
        <v/>
      </c>
      <c r="L449" s="38">
        <f>INDEX(Inputs!$S$5:$S$132,MATCH($B449&amp;"|"&amp;$C449,Inputs!$A$5:$A$132,0))</f>
        <v/>
      </c>
      <c r="M449" s="36">
        <f>L449*(1+$D449)</f>
        <v/>
      </c>
      <c r="N449" s="36">
        <f>M449*(1+$D449)</f>
        <v/>
      </c>
      <c r="O449" s="36">
        <f>N449*(1+$D449)</f>
        <v/>
      </c>
      <c r="P449" s="36">
        <f>O449*(1+$D449)</f>
        <v/>
      </c>
      <c r="Q449" s="36">
        <f>P449*(1+$D449)</f>
        <v/>
      </c>
      <c r="R449" s="36">
        <f>Q449*(1+$D449)</f>
        <v/>
      </c>
      <c r="S449" s="36">
        <f>R449*(1+$D449)</f>
        <v/>
      </c>
      <c r="T449" s="36">
        <f>S449*(1+$D449)</f>
        <v/>
      </c>
      <c r="U449" s="36">
        <f>T449*(1+$D449)</f>
        <v/>
      </c>
      <c r="V449" s="36">
        <f>U449*(1+$D449)</f>
        <v/>
      </c>
      <c r="W449" s="36">
        <f>V449*(1+$D449)</f>
        <v/>
      </c>
      <c r="X449" s="36">
        <f>W449*(1+$D449)</f>
        <v/>
      </c>
      <c r="Y449" s="39">
        <f>PRETAX(X449,$D449)</f>
        <v/>
      </c>
      <c r="Z449" s="23">
        <f>LOWER(Settings!$C$4)&amp;".mit."&amp;$A449&amp;IF($C449="","","."&amp;$C449&amp;"."&amp;$B449)&amp;IF(INDEX(Variables!$D$5:$D$65,MATCH($A449,Variables!$A$5:$A$65,0))="","","."&amp;INDEX(Variables!$D$5:$D$65,MATCH($A449,Variables!$A$5:$A$65,0)))&amp;"."&amp;Z$5</f>
        <v/>
      </c>
      <c r="AA449" s="38">
        <f>INDEX(Inputs!$S$5:$S$132,MATCH($B449&amp;"|"&amp;$C449,Inputs!$A$5:$A$132,0))</f>
        <v/>
      </c>
      <c r="AB449" s="36">
        <f>AA449*(1+$D449)</f>
        <v/>
      </c>
      <c r="AC449" s="36">
        <f>AB449*(1+$D449)</f>
        <v/>
      </c>
      <c r="AD449" s="36">
        <f>AC449*(1+$D449)</f>
        <v/>
      </c>
      <c r="AE449" s="36">
        <f>AD449*(1+$D449)</f>
        <v/>
      </c>
      <c r="AF449" s="36">
        <f>AE449*(1+$D449)</f>
        <v/>
      </c>
      <c r="AG449" s="36">
        <f>AF449*(1+$D449)</f>
        <v/>
      </c>
      <c r="AH449" s="36">
        <f>AG449*(1+$D449)</f>
        <v/>
      </c>
      <c r="AI449" s="36">
        <f>AH449*(1+$D449)</f>
        <v/>
      </c>
      <c r="AJ449" s="36">
        <f>AI449*(1+$D449)</f>
        <v/>
      </c>
      <c r="AK449" s="36">
        <f>AJ449*(1+$D449)</f>
        <v/>
      </c>
      <c r="AL449" s="36">
        <f>AK449*(1+$D449)</f>
        <v/>
      </c>
      <c r="AM449" s="36">
        <f>AL449*(1+$D449)</f>
        <v/>
      </c>
      <c r="AN449" s="39">
        <f>PRETAX(AM449,$D449)</f>
        <v/>
      </c>
    </row>
    <row r="450" hidden="1" outlineLevel="2">
      <c r="A450" s="5" t="inlineStr">
        <is>
          <t>sp</t>
        </is>
      </c>
      <c r="B450" s="5" t="inlineStr">
        <is>
          <t>die</t>
        </is>
      </c>
      <c r="C450" s="5" t="inlineStr">
        <is>
          <t>res</t>
        </is>
      </c>
      <c r="D450" s="36">
        <f>INDEX(Inputs!$R$5:$R$132,MATCH($B450&amp;"|"&amp;$C450,Inputs!$A$5:$A$132,0))</f>
        <v/>
      </c>
      <c r="E450" s="37" t="n"/>
      <c r="F450" s="37" t="n"/>
      <c r="G450" s="37" t="n"/>
      <c r="H450" s="5">
        <f>INDEX(Variables!$B$5:$B$65,MATCH($A450,Variables!$A$5:$A$65,0))&amp;IF($C450="",""," | "&amp;INDEX(Mapping!$B$5:$B$25,MATCH($C450,Mapping!$A$5:$A$25,0))&amp;" | "&amp;INDEX(Mapping!$B$29:$B$38,MATCH($B450,Mapping!$A$29:$A$38,0)))</f>
        <v/>
      </c>
      <c r="I450" s="5">
        <f>INDEX(Variables!$C$5:$C$65,MATCH($A450,Variables!$A$5:$A$65,0))</f>
        <v/>
      </c>
      <c r="J450" s="5">
        <f>INDEX(Variables!$E$5:$E$65,MATCH($A450,Variables!$A$5:$A$65,0))</f>
        <v/>
      </c>
      <c r="K450" s="23">
        <f>LOWER(Settings!$C$4)&amp;".mit."&amp;$A450&amp;IF($C450="","","."&amp;$C450&amp;"."&amp;$B450)&amp;IF(INDEX(Variables!$D$5:$D$65,MATCH($A450,Variables!$A$5:$A$65,0))="","","."&amp;INDEX(Variables!$D$5:$D$65,MATCH($A450,Variables!$A$5:$A$65,0)))&amp;"."&amp;K$5</f>
        <v/>
      </c>
      <c r="L450" s="38">
        <f>INDEX(Inputs!$S$5:$S$132,MATCH($B450&amp;"|"&amp;$C450,Inputs!$A$5:$A$132,0))</f>
        <v/>
      </c>
      <c r="M450" s="36">
        <f>L450*(1+$D450)</f>
        <v/>
      </c>
      <c r="N450" s="36">
        <f>M450*(1+$D450)</f>
        <v/>
      </c>
      <c r="O450" s="36">
        <f>N450*(1+$D450)</f>
        <v/>
      </c>
      <c r="P450" s="36">
        <f>O450*(1+$D450)</f>
        <v/>
      </c>
      <c r="Q450" s="36">
        <f>P450*(1+$D450)</f>
        <v/>
      </c>
      <c r="R450" s="36">
        <f>Q450*(1+$D450)</f>
        <v/>
      </c>
      <c r="S450" s="36">
        <f>R450*(1+$D450)</f>
        <v/>
      </c>
      <c r="T450" s="36">
        <f>S450*(1+$D450)</f>
        <v/>
      </c>
      <c r="U450" s="36">
        <f>T450*(1+$D450)</f>
        <v/>
      </c>
      <c r="V450" s="36">
        <f>U450*(1+$D450)</f>
        <v/>
      </c>
      <c r="W450" s="36">
        <f>V450*(1+$D450)</f>
        <v/>
      </c>
      <c r="X450" s="36">
        <f>W450*(1+$D450)</f>
        <v/>
      </c>
      <c r="Y450" s="39">
        <f>PRETAX(X450,$D450)</f>
        <v/>
      </c>
      <c r="Z450" s="23">
        <f>LOWER(Settings!$C$4)&amp;".mit."&amp;$A450&amp;IF($C450="","","."&amp;$C450&amp;"."&amp;$B450)&amp;IF(INDEX(Variables!$D$5:$D$65,MATCH($A450,Variables!$A$5:$A$65,0))="","","."&amp;INDEX(Variables!$D$5:$D$65,MATCH($A450,Variables!$A$5:$A$65,0)))&amp;"."&amp;Z$5</f>
        <v/>
      </c>
      <c r="AA450" s="38">
        <f>INDEX(Inputs!$S$5:$S$132,MATCH($B450&amp;"|"&amp;$C450,Inputs!$A$5:$A$132,0))</f>
        <v/>
      </c>
      <c r="AB450" s="36">
        <f>AA450*(1+$D450)</f>
        <v/>
      </c>
      <c r="AC450" s="36">
        <f>AB450*(1+$D450)</f>
        <v/>
      </c>
      <c r="AD450" s="36">
        <f>AC450*(1+$D450)</f>
        <v/>
      </c>
      <c r="AE450" s="36">
        <f>AD450*(1+$D450)</f>
        <v/>
      </c>
      <c r="AF450" s="36">
        <f>AE450*(1+$D450)</f>
        <v/>
      </c>
      <c r="AG450" s="36">
        <f>AF450*(1+$D450)</f>
        <v/>
      </c>
      <c r="AH450" s="36">
        <f>AG450*(1+$D450)</f>
        <v/>
      </c>
      <c r="AI450" s="36">
        <f>AH450*(1+$D450)</f>
        <v/>
      </c>
      <c r="AJ450" s="36">
        <f>AI450*(1+$D450)</f>
        <v/>
      </c>
      <c r="AK450" s="36">
        <f>AJ450*(1+$D450)</f>
        <v/>
      </c>
      <c r="AL450" s="36">
        <f>AK450*(1+$D450)</f>
        <v/>
      </c>
      <c r="AM450" s="36">
        <f>AL450*(1+$D450)</f>
        <v/>
      </c>
      <c r="AN450" s="39">
        <f>PRETAX(AM450,$D450)</f>
        <v/>
      </c>
    </row>
    <row r="451" hidden="1" outlineLevel="2">
      <c r="A451" s="5" t="inlineStr">
        <is>
          <t>sp</t>
        </is>
      </c>
      <c r="B451" s="5" t="inlineStr">
        <is>
          <t>lpg</t>
        </is>
      </c>
      <c r="C451" s="5" t="inlineStr">
        <is>
          <t>res</t>
        </is>
      </c>
      <c r="D451" s="36">
        <f>INDEX(Inputs!$R$5:$R$132,MATCH($B451&amp;"|"&amp;$C451,Inputs!$A$5:$A$132,0))</f>
        <v/>
      </c>
      <c r="E451" s="37" t="n"/>
      <c r="F451" s="37" t="n"/>
      <c r="G451" s="37" t="n"/>
      <c r="H451" s="5">
        <f>INDEX(Variables!$B$5:$B$65,MATCH($A451,Variables!$A$5:$A$65,0))&amp;IF($C451="",""," | "&amp;INDEX(Mapping!$B$5:$B$25,MATCH($C451,Mapping!$A$5:$A$25,0))&amp;" | "&amp;INDEX(Mapping!$B$29:$B$38,MATCH($B451,Mapping!$A$29:$A$38,0)))</f>
        <v/>
      </c>
      <c r="I451" s="5">
        <f>INDEX(Variables!$C$5:$C$65,MATCH($A451,Variables!$A$5:$A$65,0))</f>
        <v/>
      </c>
      <c r="J451" s="5">
        <f>INDEX(Variables!$E$5:$E$65,MATCH($A451,Variables!$A$5:$A$65,0))</f>
        <v/>
      </c>
      <c r="K451" s="23">
        <f>LOWER(Settings!$C$4)&amp;".mit."&amp;$A451&amp;IF($C451="","","."&amp;$C451&amp;"."&amp;$B451)&amp;IF(INDEX(Variables!$D$5:$D$65,MATCH($A451,Variables!$A$5:$A$65,0))="","","."&amp;INDEX(Variables!$D$5:$D$65,MATCH($A451,Variables!$A$5:$A$65,0)))&amp;"."&amp;K$5</f>
        <v/>
      </c>
      <c r="L451" s="38">
        <f>INDEX(Inputs!$S$5:$S$132,MATCH($B451&amp;"|"&amp;$C451,Inputs!$A$5:$A$132,0))</f>
        <v/>
      </c>
      <c r="M451" s="36">
        <f>L451*(1+$D451)</f>
        <v/>
      </c>
      <c r="N451" s="36">
        <f>M451*(1+$D451)</f>
        <v/>
      </c>
      <c r="O451" s="36">
        <f>N451*(1+$D451)</f>
        <v/>
      </c>
      <c r="P451" s="36">
        <f>O451*(1+$D451)</f>
        <v/>
      </c>
      <c r="Q451" s="36">
        <f>P451*(1+$D451)</f>
        <v/>
      </c>
      <c r="R451" s="36">
        <f>Q451*(1+$D451)</f>
        <v/>
      </c>
      <c r="S451" s="36">
        <f>R451*(1+$D451)</f>
        <v/>
      </c>
      <c r="T451" s="36">
        <f>S451*(1+$D451)</f>
        <v/>
      </c>
      <c r="U451" s="36">
        <f>T451*(1+$D451)</f>
        <v/>
      </c>
      <c r="V451" s="36">
        <f>U451*(1+$D451)</f>
        <v/>
      </c>
      <c r="W451" s="36">
        <f>V451*(1+$D451)</f>
        <v/>
      </c>
      <c r="X451" s="36">
        <f>W451*(1+$D451)</f>
        <v/>
      </c>
      <c r="Y451" s="39">
        <f>PRETAX(X451,$D451)</f>
        <v/>
      </c>
      <c r="Z451" s="23">
        <f>LOWER(Settings!$C$4)&amp;".mit."&amp;$A451&amp;IF($C451="","","."&amp;$C451&amp;"."&amp;$B451)&amp;IF(INDEX(Variables!$D$5:$D$65,MATCH($A451,Variables!$A$5:$A$65,0))="","","."&amp;INDEX(Variables!$D$5:$D$65,MATCH($A451,Variables!$A$5:$A$65,0)))&amp;"."&amp;Z$5</f>
        <v/>
      </c>
      <c r="AA451" s="38">
        <f>INDEX(Inputs!$S$5:$S$132,MATCH($B451&amp;"|"&amp;$C451,Inputs!$A$5:$A$132,0))</f>
        <v/>
      </c>
      <c r="AB451" s="36">
        <f>AA451*(1+$D451)</f>
        <v/>
      </c>
      <c r="AC451" s="36">
        <f>AB451*(1+$D451)</f>
        <v/>
      </c>
      <c r="AD451" s="36">
        <f>AC451*(1+$D451)</f>
        <v/>
      </c>
      <c r="AE451" s="36">
        <f>AD451*(1+$D451)</f>
        <v/>
      </c>
      <c r="AF451" s="36">
        <f>AE451*(1+$D451)</f>
        <v/>
      </c>
      <c r="AG451" s="36">
        <f>AF451*(1+$D451)</f>
        <v/>
      </c>
      <c r="AH451" s="36">
        <f>AG451*(1+$D451)</f>
        <v/>
      </c>
      <c r="AI451" s="36">
        <f>AH451*(1+$D451)</f>
        <v/>
      </c>
      <c r="AJ451" s="36">
        <f>AI451*(1+$D451)</f>
        <v/>
      </c>
      <c r="AK451" s="36">
        <f>AJ451*(1+$D451)</f>
        <v/>
      </c>
      <c r="AL451" s="36">
        <f>AK451*(1+$D451)</f>
        <v/>
      </c>
      <c r="AM451" s="36">
        <f>AL451*(1+$D451)</f>
        <v/>
      </c>
      <c r="AN451" s="39">
        <f>PRETAX(AM451,$D451)</f>
        <v/>
      </c>
    </row>
    <row r="452" hidden="1" outlineLevel="2">
      <c r="A452" s="5" t="inlineStr">
        <is>
          <t>sp</t>
        </is>
      </c>
      <c r="B452" s="5" t="inlineStr">
        <is>
          <t>ker</t>
        </is>
      </c>
      <c r="C452" s="5" t="inlineStr">
        <is>
          <t>res</t>
        </is>
      </c>
      <c r="D452" s="36">
        <f>INDEX(Inputs!$R$5:$R$132,MATCH($B452&amp;"|"&amp;$C452,Inputs!$A$5:$A$132,0))</f>
        <v/>
      </c>
      <c r="E452" s="37" t="n"/>
      <c r="F452" s="37" t="n"/>
      <c r="G452" s="37" t="n"/>
      <c r="H452" s="5">
        <f>INDEX(Variables!$B$5:$B$65,MATCH($A452,Variables!$A$5:$A$65,0))&amp;IF($C452="",""," | "&amp;INDEX(Mapping!$B$5:$B$25,MATCH($C452,Mapping!$A$5:$A$25,0))&amp;" | "&amp;INDEX(Mapping!$B$29:$B$38,MATCH($B452,Mapping!$A$29:$A$38,0)))</f>
        <v/>
      </c>
      <c r="I452" s="5">
        <f>INDEX(Variables!$C$5:$C$65,MATCH($A452,Variables!$A$5:$A$65,0))</f>
        <v/>
      </c>
      <c r="J452" s="5">
        <f>INDEX(Variables!$E$5:$E$65,MATCH($A452,Variables!$A$5:$A$65,0))</f>
        <v/>
      </c>
      <c r="K452" s="23">
        <f>LOWER(Settings!$C$4)&amp;".mit."&amp;$A452&amp;IF($C452="","","."&amp;$C452&amp;"."&amp;$B452)&amp;IF(INDEX(Variables!$D$5:$D$65,MATCH($A452,Variables!$A$5:$A$65,0))="","","."&amp;INDEX(Variables!$D$5:$D$65,MATCH($A452,Variables!$A$5:$A$65,0)))&amp;"."&amp;K$5</f>
        <v/>
      </c>
      <c r="L452" s="38">
        <f>INDEX(Inputs!$S$5:$S$132,MATCH($B452&amp;"|"&amp;$C452,Inputs!$A$5:$A$132,0))</f>
        <v/>
      </c>
      <c r="M452" s="36">
        <f>L452*(1+$D452)</f>
        <v/>
      </c>
      <c r="N452" s="36">
        <f>M452*(1+$D452)</f>
        <v/>
      </c>
      <c r="O452" s="36">
        <f>N452*(1+$D452)</f>
        <v/>
      </c>
      <c r="P452" s="36">
        <f>O452*(1+$D452)</f>
        <v/>
      </c>
      <c r="Q452" s="36">
        <f>P452*(1+$D452)</f>
        <v/>
      </c>
      <c r="R452" s="36">
        <f>Q452*(1+$D452)</f>
        <v/>
      </c>
      <c r="S452" s="36">
        <f>R452*(1+$D452)</f>
        <v/>
      </c>
      <c r="T452" s="36">
        <f>S452*(1+$D452)</f>
        <v/>
      </c>
      <c r="U452" s="36">
        <f>T452*(1+$D452)</f>
        <v/>
      </c>
      <c r="V452" s="36">
        <f>U452*(1+$D452)</f>
        <v/>
      </c>
      <c r="W452" s="36">
        <f>V452*(1+$D452)</f>
        <v/>
      </c>
      <c r="X452" s="36">
        <f>W452*(1+$D452)</f>
        <v/>
      </c>
      <c r="Y452" s="39">
        <f>PRETAX(X452,$D452)</f>
        <v/>
      </c>
      <c r="Z452" s="23">
        <f>LOWER(Settings!$C$4)&amp;".mit."&amp;$A452&amp;IF($C452="","","."&amp;$C452&amp;"."&amp;$B452)&amp;IF(INDEX(Variables!$D$5:$D$65,MATCH($A452,Variables!$A$5:$A$65,0))="","","."&amp;INDEX(Variables!$D$5:$D$65,MATCH($A452,Variables!$A$5:$A$65,0)))&amp;"."&amp;Z$5</f>
        <v/>
      </c>
      <c r="AA452" s="38">
        <f>INDEX(Inputs!$S$5:$S$132,MATCH($B452&amp;"|"&amp;$C452,Inputs!$A$5:$A$132,0))</f>
        <v/>
      </c>
      <c r="AB452" s="36">
        <f>AA452*(1+$D452)</f>
        <v/>
      </c>
      <c r="AC452" s="36">
        <f>AB452*(1+$D452)</f>
        <v/>
      </c>
      <c r="AD452" s="36">
        <f>AC452*(1+$D452)</f>
        <v/>
      </c>
      <c r="AE452" s="36">
        <f>AD452*(1+$D452)</f>
        <v/>
      </c>
      <c r="AF452" s="36">
        <f>AE452*(1+$D452)</f>
        <v/>
      </c>
      <c r="AG452" s="36">
        <f>AF452*(1+$D452)</f>
        <v/>
      </c>
      <c r="AH452" s="36">
        <f>AG452*(1+$D452)</f>
        <v/>
      </c>
      <c r="AI452" s="36">
        <f>AH452*(1+$D452)</f>
        <v/>
      </c>
      <c r="AJ452" s="36">
        <f>AI452*(1+$D452)</f>
        <v/>
      </c>
      <c r="AK452" s="36">
        <f>AJ452*(1+$D452)</f>
        <v/>
      </c>
      <c r="AL452" s="36">
        <f>AK452*(1+$D452)</f>
        <v/>
      </c>
      <c r="AM452" s="36">
        <f>AL452*(1+$D452)</f>
        <v/>
      </c>
      <c r="AN452" s="39">
        <f>PRETAX(AM452,$D452)</f>
        <v/>
      </c>
    </row>
    <row r="453" hidden="1" outlineLevel="2">
      <c r="A453" s="5" t="inlineStr">
        <is>
          <t>sp</t>
        </is>
      </c>
      <c r="B453" s="5" t="inlineStr">
        <is>
          <t>oop</t>
        </is>
      </c>
      <c r="C453" s="5" t="inlineStr">
        <is>
          <t>res</t>
        </is>
      </c>
      <c r="D453" s="36">
        <f>INDEX(Inputs!$R$5:$R$132,MATCH($B453&amp;"|"&amp;$C453,Inputs!$A$5:$A$132,0))</f>
        <v/>
      </c>
      <c r="E453" s="37" t="n"/>
      <c r="F453" s="37" t="n"/>
      <c r="G453" s="37" t="n"/>
      <c r="H453" s="5">
        <f>INDEX(Variables!$B$5:$B$65,MATCH($A453,Variables!$A$5:$A$65,0))&amp;IF($C453="",""," | "&amp;INDEX(Mapping!$B$5:$B$25,MATCH($C453,Mapping!$A$5:$A$25,0))&amp;" | "&amp;INDEX(Mapping!$B$29:$B$38,MATCH($B453,Mapping!$A$29:$A$38,0)))</f>
        <v/>
      </c>
      <c r="I453" s="5">
        <f>INDEX(Variables!$C$5:$C$65,MATCH($A453,Variables!$A$5:$A$65,0))</f>
        <v/>
      </c>
      <c r="J453" s="5">
        <f>INDEX(Variables!$E$5:$E$65,MATCH($A453,Variables!$A$5:$A$65,0))</f>
        <v/>
      </c>
      <c r="K453" s="23">
        <f>LOWER(Settings!$C$4)&amp;".mit."&amp;$A453&amp;IF($C453="","","."&amp;$C453&amp;"."&amp;$B453)&amp;IF(INDEX(Variables!$D$5:$D$65,MATCH($A453,Variables!$A$5:$A$65,0))="","","."&amp;INDEX(Variables!$D$5:$D$65,MATCH($A453,Variables!$A$5:$A$65,0)))&amp;"."&amp;K$5</f>
        <v/>
      </c>
      <c r="L453" s="38">
        <f>INDEX(Inputs!$S$5:$S$132,MATCH($B453&amp;"|"&amp;$C453,Inputs!$A$5:$A$132,0))</f>
        <v/>
      </c>
      <c r="M453" s="36">
        <f>L453*(1+$D453)</f>
        <v/>
      </c>
      <c r="N453" s="36">
        <f>M453*(1+$D453)</f>
        <v/>
      </c>
      <c r="O453" s="36">
        <f>N453*(1+$D453)</f>
        <v/>
      </c>
      <c r="P453" s="36">
        <f>O453*(1+$D453)</f>
        <v/>
      </c>
      <c r="Q453" s="36">
        <f>P453*(1+$D453)</f>
        <v/>
      </c>
      <c r="R453" s="36">
        <f>Q453*(1+$D453)</f>
        <v/>
      </c>
      <c r="S453" s="36">
        <f>R453*(1+$D453)</f>
        <v/>
      </c>
      <c r="T453" s="36">
        <f>S453*(1+$D453)</f>
        <v/>
      </c>
      <c r="U453" s="36">
        <f>T453*(1+$D453)</f>
        <v/>
      </c>
      <c r="V453" s="36">
        <f>U453*(1+$D453)</f>
        <v/>
      </c>
      <c r="W453" s="36">
        <f>V453*(1+$D453)</f>
        <v/>
      </c>
      <c r="X453" s="36">
        <f>W453*(1+$D453)</f>
        <v/>
      </c>
      <c r="Y453" s="39">
        <f>PRETAX(X453,$D453)</f>
        <v/>
      </c>
      <c r="Z453" s="23">
        <f>LOWER(Settings!$C$4)&amp;".mit."&amp;$A453&amp;IF($C453="","","."&amp;$C453&amp;"."&amp;$B453)&amp;IF(INDEX(Variables!$D$5:$D$65,MATCH($A453,Variables!$A$5:$A$65,0))="","","."&amp;INDEX(Variables!$D$5:$D$65,MATCH($A453,Variables!$A$5:$A$65,0)))&amp;"."&amp;Z$5</f>
        <v/>
      </c>
      <c r="AA453" s="38">
        <f>INDEX(Inputs!$S$5:$S$132,MATCH($B453&amp;"|"&amp;$C453,Inputs!$A$5:$A$132,0))</f>
        <v/>
      </c>
      <c r="AB453" s="36">
        <f>AA453*(1+$D453)</f>
        <v/>
      </c>
      <c r="AC453" s="36">
        <f>AB453*(1+$D453)</f>
        <v/>
      </c>
      <c r="AD453" s="36">
        <f>AC453*(1+$D453)</f>
        <v/>
      </c>
      <c r="AE453" s="36">
        <f>AD453*(1+$D453)</f>
        <v/>
      </c>
      <c r="AF453" s="36">
        <f>AE453*(1+$D453)</f>
        <v/>
      </c>
      <c r="AG453" s="36">
        <f>AF453*(1+$D453)</f>
        <v/>
      </c>
      <c r="AH453" s="36">
        <f>AG453*(1+$D453)</f>
        <v/>
      </c>
      <c r="AI453" s="36">
        <f>AH453*(1+$D453)</f>
        <v/>
      </c>
      <c r="AJ453" s="36">
        <f>AI453*(1+$D453)</f>
        <v/>
      </c>
      <c r="AK453" s="36">
        <f>AJ453*(1+$D453)</f>
        <v/>
      </c>
      <c r="AL453" s="36">
        <f>AK453*(1+$D453)</f>
        <v/>
      </c>
      <c r="AM453" s="36">
        <f>AL453*(1+$D453)</f>
        <v/>
      </c>
      <c r="AN453" s="39">
        <f>PRETAX(AM453,$D453)</f>
        <v/>
      </c>
    </row>
    <row r="454" hidden="1" outlineLevel="2">
      <c r="A454" s="5" t="inlineStr">
        <is>
          <t>sp</t>
        </is>
      </c>
      <c r="B454" s="5" t="inlineStr">
        <is>
          <t>bio</t>
        </is>
      </c>
      <c r="C454" s="5" t="inlineStr">
        <is>
          <t>res</t>
        </is>
      </c>
      <c r="D454" s="36">
        <f>INDEX(Inputs!$R$5:$R$132,MATCH($B454&amp;"|"&amp;$C454,Inputs!$A$5:$A$132,0))</f>
        <v/>
      </c>
      <c r="E454" s="37" t="n"/>
      <c r="F454" s="37" t="n"/>
      <c r="G454" s="37" t="n"/>
      <c r="H454" s="5">
        <f>INDEX(Variables!$B$5:$B$65,MATCH($A454,Variables!$A$5:$A$65,0))&amp;IF($C454="",""," | "&amp;INDEX(Mapping!$B$5:$B$25,MATCH($C454,Mapping!$A$5:$A$25,0))&amp;" | "&amp;INDEX(Mapping!$B$29:$B$38,MATCH($B454,Mapping!$A$29:$A$38,0)))</f>
        <v/>
      </c>
      <c r="I454" s="5">
        <f>INDEX(Variables!$C$5:$C$65,MATCH($A454,Variables!$A$5:$A$65,0))</f>
        <v/>
      </c>
      <c r="J454" s="5">
        <f>INDEX(Variables!$E$5:$E$65,MATCH($A454,Variables!$A$5:$A$65,0))</f>
        <v/>
      </c>
      <c r="K454" s="23">
        <f>LOWER(Settings!$C$4)&amp;".mit."&amp;$A454&amp;IF($C454="","","."&amp;$C454&amp;"."&amp;$B454)&amp;IF(INDEX(Variables!$D$5:$D$65,MATCH($A454,Variables!$A$5:$A$65,0))="","","."&amp;INDEX(Variables!$D$5:$D$65,MATCH($A454,Variables!$A$5:$A$65,0)))&amp;"."&amp;K$5</f>
        <v/>
      </c>
      <c r="L454" s="38">
        <f>INDEX(Inputs!$S$5:$S$132,MATCH($B454&amp;"|"&amp;$C454,Inputs!$A$5:$A$132,0))</f>
        <v/>
      </c>
      <c r="M454" s="36">
        <f>L454*(1+$D454)</f>
        <v/>
      </c>
      <c r="N454" s="36">
        <f>M454*(1+$D454)</f>
        <v/>
      </c>
      <c r="O454" s="36">
        <f>N454*(1+$D454)</f>
        <v/>
      </c>
      <c r="P454" s="36">
        <f>O454*(1+$D454)</f>
        <v/>
      </c>
      <c r="Q454" s="36">
        <f>P454*(1+$D454)</f>
        <v/>
      </c>
      <c r="R454" s="36">
        <f>Q454*(1+$D454)</f>
        <v/>
      </c>
      <c r="S454" s="36">
        <f>R454*(1+$D454)</f>
        <v/>
      </c>
      <c r="T454" s="36">
        <f>S454*(1+$D454)</f>
        <v/>
      </c>
      <c r="U454" s="36">
        <f>T454*(1+$D454)</f>
        <v/>
      </c>
      <c r="V454" s="36">
        <f>U454*(1+$D454)</f>
        <v/>
      </c>
      <c r="W454" s="36">
        <f>V454*(1+$D454)</f>
        <v/>
      </c>
      <c r="X454" s="36">
        <f>W454*(1+$D454)</f>
        <v/>
      </c>
      <c r="Y454" s="39">
        <f>PRETAX(X454,$D454)</f>
        <v/>
      </c>
      <c r="Z454" s="23">
        <f>LOWER(Settings!$C$4)&amp;".mit."&amp;$A454&amp;IF($C454="","","."&amp;$C454&amp;"."&amp;$B454)&amp;IF(INDEX(Variables!$D$5:$D$65,MATCH($A454,Variables!$A$5:$A$65,0))="","","."&amp;INDEX(Variables!$D$5:$D$65,MATCH($A454,Variables!$A$5:$A$65,0)))&amp;"."&amp;Z$5</f>
        <v/>
      </c>
      <c r="AA454" s="38">
        <f>INDEX(Inputs!$S$5:$S$132,MATCH($B454&amp;"|"&amp;$C454,Inputs!$A$5:$A$132,0))</f>
        <v/>
      </c>
      <c r="AB454" s="36">
        <f>AA454*(1+$D454)</f>
        <v/>
      </c>
      <c r="AC454" s="36">
        <f>AB454*(1+$D454)</f>
        <v/>
      </c>
      <c r="AD454" s="36">
        <f>AC454*(1+$D454)</f>
        <v/>
      </c>
      <c r="AE454" s="36">
        <f>AD454*(1+$D454)</f>
        <v/>
      </c>
      <c r="AF454" s="36">
        <f>AE454*(1+$D454)</f>
        <v/>
      </c>
      <c r="AG454" s="36">
        <f>AF454*(1+$D454)</f>
        <v/>
      </c>
      <c r="AH454" s="36">
        <f>AG454*(1+$D454)</f>
        <v/>
      </c>
      <c r="AI454" s="36">
        <f>AH454*(1+$D454)</f>
        <v/>
      </c>
      <c r="AJ454" s="36">
        <f>AI454*(1+$D454)</f>
        <v/>
      </c>
      <c r="AK454" s="36">
        <f>AJ454*(1+$D454)</f>
        <v/>
      </c>
      <c r="AL454" s="36">
        <f>AK454*(1+$D454)</f>
        <v/>
      </c>
      <c r="AM454" s="36">
        <f>AL454*(1+$D454)</f>
        <v/>
      </c>
      <c r="AN454" s="39">
        <f>PRETAX(AM454,$D454)</f>
        <v/>
      </c>
    </row>
    <row r="455" hidden="1" outlineLevel="2"/>
    <row r="456" hidden="1" outlineLevel="2">
      <c r="A456" s="5" t="inlineStr">
        <is>
          <t>ctxnew</t>
        </is>
      </c>
      <c r="B456" s="5" t="inlineStr">
        <is>
          <t>coa</t>
        </is>
      </c>
      <c r="C456" s="5" t="inlineStr">
        <is>
          <t>res</t>
        </is>
      </c>
      <c r="D456" s="36">
        <f>INDEX(Inputs!$U$5:$U$132,MATCH($B456&amp;"|"&amp;$C456,Inputs!$A$5:$A$132,0))</f>
        <v/>
      </c>
      <c r="E456" s="36">
        <f>INDEX(Inputs!$J$5:$J$132,MATCH($B456&amp;"|"&amp;$C456,Inputs!$A$5:$A$132,0))</f>
        <v/>
      </c>
      <c r="F456" s="36">
        <f>INDEX(Inputs!$K$5:$K$132,MATCH($B456&amp;"|"&amp;$C456,Inputs!$A$5:$A$132,0))</f>
        <v/>
      </c>
      <c r="G456" s="37" t="n"/>
      <c r="H456" s="5">
        <f>INDEX(Variables!$B$5:$B$65,MATCH($A456,Variables!$A$5:$A$65,0))&amp;IF($C456="",""," | "&amp;INDEX(Mapping!$B$5:$B$25,MATCH($C456,Mapping!$A$5:$A$25,0))&amp;" | "&amp;INDEX(Mapping!$B$29:$B$38,MATCH($B456,Mapping!$A$29:$A$38,0)))</f>
        <v/>
      </c>
      <c r="I456" s="5">
        <f>INDEX(Variables!$C$5:$C$65,MATCH($A456,Variables!$A$5:$A$65,0))</f>
        <v/>
      </c>
      <c r="J456" s="5">
        <f>INDEX(Variables!$E$5:$E$65,MATCH($A456,Variables!$A$5:$A$65,0))</f>
        <v/>
      </c>
      <c r="K456" s="23">
        <f>LOWER(Settings!$C$4)&amp;".mit."&amp;$A456&amp;IF($C456="","","."&amp;$C456&amp;"."&amp;$B456)&amp;IF(INDEX(Variables!$D$5:$D$65,MATCH($A456,Variables!$A$5:$A$65,0))="","","."&amp;INDEX(Variables!$D$5:$D$65,MATCH($A456,Variables!$A$5:$A$65,0)))&amp;"."&amp;K$5</f>
        <v/>
      </c>
      <c r="L456" s="38">
        <f>L$10*$D456*INDEX(L$18:L$25,$E456)*INDEX(L$27:L$43,$F456)</f>
        <v/>
      </c>
      <c r="M456" s="36">
        <f>M$10*$D456*INDEX(M$18:M$25,$E456)*INDEX(M$27:M$43,$F456)</f>
        <v/>
      </c>
      <c r="N456" s="36">
        <f>N$10*$D456*INDEX(N$18:N$25,$E456)*INDEX(N$27:N$43,$F456)</f>
        <v/>
      </c>
      <c r="O456" s="36">
        <f>O$10*$D456*INDEX(O$18:O$25,$E456)*INDEX(O$27:O$43,$F456)</f>
        <v/>
      </c>
      <c r="P456" s="36">
        <f>P$10*$D456*INDEX(P$18:P$25,$E456)*INDEX(P$27:P$43,$F456)</f>
        <v/>
      </c>
      <c r="Q456" s="36">
        <f>Q$10*$D456*INDEX(Q$18:Q$25,$E456)*INDEX(Q$27:Q$43,$F456)</f>
        <v/>
      </c>
      <c r="R456" s="36">
        <f>R$10*$D456*INDEX(R$18:R$25,$E456)*INDEX(R$27:R$43,$F456)</f>
        <v/>
      </c>
      <c r="S456" s="36">
        <f>S$10*$D456*INDEX(S$18:S$25,$E456)*INDEX(S$27:S$43,$F456)</f>
        <v/>
      </c>
      <c r="T456" s="36">
        <f>T$10*$D456*INDEX(T$18:T$25,$E456)*INDEX(T$27:T$43,$F456)</f>
        <v/>
      </c>
      <c r="U456" s="36">
        <f>U$10*$D456*INDEX(U$18:U$25,$E456)*INDEX(U$27:U$43,$F456)</f>
        <v/>
      </c>
      <c r="V456" s="36">
        <f>V$10*$D456*INDEX(V$18:V$25,$E456)*INDEX(V$27:V$43,$F456)</f>
        <v/>
      </c>
      <c r="W456" s="36">
        <f>W$10*$D456*INDEX(W$18:W$25,$E456)*INDEX(W$27:W$43,$F456)</f>
        <v/>
      </c>
      <c r="X456" s="36">
        <f>X$10*$D456*INDEX(X$18:X$25,$E456)*INDEX(X$27:X$43,$F456)</f>
        <v/>
      </c>
      <c r="Y456" s="36">
        <f>Y$10*$D456*INDEX(Y$18:Y$25,$E456)*INDEX(Y$27:Y$43,$F456)</f>
        <v/>
      </c>
      <c r="Z456" s="23">
        <f>LOWER(Settings!$C$4)&amp;".mit."&amp;$A456&amp;IF($C456="","","."&amp;$C456&amp;"."&amp;$B456)&amp;IF(INDEX(Variables!$D$5:$D$65,MATCH($A456,Variables!$A$5:$A$65,0))="","","."&amp;INDEX(Variables!$D$5:$D$65,MATCH($A456,Variables!$A$5:$A$65,0)))&amp;"."&amp;Z$5</f>
        <v/>
      </c>
      <c r="AA456" s="38">
        <f>AA$10*$D456*INDEX(AA$18:AA$25,$E456)*INDEX(AA$27:AA$43,$F456)</f>
        <v/>
      </c>
      <c r="AB456" s="36">
        <f>AB$10*$D456*INDEX(AB$18:AB$25,$E456)*INDEX(AB$27:AB$43,$F456)</f>
        <v/>
      </c>
      <c r="AC456" s="36">
        <f>AC$10*$D456*INDEX(AC$18:AC$25,$E456)*INDEX(AC$27:AC$43,$F456)</f>
        <v/>
      </c>
      <c r="AD456" s="36">
        <f>AD$10*$D456*INDEX(AD$18:AD$25,$E456)*INDEX(AD$27:AD$43,$F456)</f>
        <v/>
      </c>
      <c r="AE456" s="36">
        <f>AE$10*$D456*INDEX(AE$18:AE$25,$E456)*INDEX(AE$27:AE$43,$F456)</f>
        <v/>
      </c>
      <c r="AF456" s="36">
        <f>AF$10*$D456*INDEX(AF$18:AF$25,$E456)*INDEX(AF$27:AF$43,$F456)</f>
        <v/>
      </c>
      <c r="AG456" s="36">
        <f>AG$10*$D456*INDEX(AG$18:AG$25,$E456)*INDEX(AG$27:AG$43,$F456)</f>
        <v/>
      </c>
      <c r="AH456" s="36">
        <f>AH$10*$D456*INDEX(AH$18:AH$25,$E456)*INDEX(AH$27:AH$43,$F456)</f>
        <v/>
      </c>
      <c r="AI456" s="36">
        <f>AI$10*$D456*INDEX(AI$18:AI$25,$E456)*INDEX(AI$27:AI$43,$F456)</f>
        <v/>
      </c>
      <c r="AJ456" s="36">
        <f>AJ$10*$D456*INDEX(AJ$18:AJ$25,$E456)*INDEX(AJ$27:AJ$43,$F456)</f>
        <v/>
      </c>
      <c r="AK456" s="36">
        <f>AK$10*$D456*INDEX(AK$18:AK$25,$E456)*INDEX(AK$27:AK$43,$F456)</f>
        <v/>
      </c>
      <c r="AL456" s="36">
        <f>AL$10*$D456*INDEX(AL$18:AL$25,$E456)*INDEX(AL$27:AL$43,$F456)</f>
        <v/>
      </c>
      <c r="AM456" s="36">
        <f>AM$10*$D456*INDEX(AM$18:AM$25,$E456)*INDEX(AM$27:AM$43,$F456)</f>
        <v/>
      </c>
      <c r="AN456" s="36">
        <f>AN$10*$D456*INDEX(AN$18:AN$25,$E456)*INDEX(AN$27:AN$43,$F456)</f>
        <v/>
      </c>
    </row>
    <row r="457" hidden="1" outlineLevel="2">
      <c r="A457" s="5" t="inlineStr">
        <is>
          <t>ctxnew</t>
        </is>
      </c>
      <c r="B457" s="5" t="inlineStr">
        <is>
          <t>nga</t>
        </is>
      </c>
      <c r="C457" s="5" t="inlineStr">
        <is>
          <t>res</t>
        </is>
      </c>
      <c r="D457" s="36">
        <f>INDEX(Inputs!$U$5:$U$132,MATCH($B457&amp;"|"&amp;$C457,Inputs!$A$5:$A$132,0))</f>
        <v/>
      </c>
      <c r="E457" s="36">
        <f>INDEX(Inputs!$J$5:$J$132,MATCH($B457&amp;"|"&amp;$C457,Inputs!$A$5:$A$132,0))</f>
        <v/>
      </c>
      <c r="F457" s="36">
        <f>INDEX(Inputs!$K$5:$K$132,MATCH($B457&amp;"|"&amp;$C457,Inputs!$A$5:$A$132,0))</f>
        <v/>
      </c>
      <c r="G457" s="37" t="n"/>
      <c r="H457" s="5">
        <f>INDEX(Variables!$B$5:$B$65,MATCH($A457,Variables!$A$5:$A$65,0))&amp;IF($C457="",""," | "&amp;INDEX(Mapping!$B$5:$B$25,MATCH($C457,Mapping!$A$5:$A$25,0))&amp;" | "&amp;INDEX(Mapping!$B$29:$B$38,MATCH($B457,Mapping!$A$29:$A$38,0)))</f>
        <v/>
      </c>
      <c r="I457" s="5">
        <f>INDEX(Variables!$C$5:$C$65,MATCH($A457,Variables!$A$5:$A$65,0))</f>
        <v/>
      </c>
      <c r="J457" s="5">
        <f>INDEX(Variables!$E$5:$E$65,MATCH($A457,Variables!$A$5:$A$65,0))</f>
        <v/>
      </c>
      <c r="K457" s="23">
        <f>LOWER(Settings!$C$4)&amp;".mit."&amp;$A457&amp;IF($C457="","","."&amp;$C457&amp;"."&amp;$B457)&amp;IF(INDEX(Variables!$D$5:$D$65,MATCH($A457,Variables!$A$5:$A$65,0))="","","."&amp;INDEX(Variables!$D$5:$D$65,MATCH($A457,Variables!$A$5:$A$65,0)))&amp;"."&amp;K$5</f>
        <v/>
      </c>
      <c r="L457" s="38">
        <f>L$10*$D457*INDEX(L$18:L$25,$E457)*INDEX(L$27:L$43,$F457)</f>
        <v/>
      </c>
      <c r="M457" s="36">
        <f>M$10*$D457*INDEX(M$18:M$25,$E457)*INDEX(M$27:M$43,$F457)</f>
        <v/>
      </c>
      <c r="N457" s="36">
        <f>N$10*$D457*INDEX(N$18:N$25,$E457)*INDEX(N$27:N$43,$F457)</f>
        <v/>
      </c>
      <c r="O457" s="36">
        <f>O$10*$D457*INDEX(O$18:O$25,$E457)*INDEX(O$27:O$43,$F457)</f>
        <v/>
      </c>
      <c r="P457" s="36">
        <f>P$10*$D457*INDEX(P$18:P$25,$E457)*INDEX(P$27:P$43,$F457)</f>
        <v/>
      </c>
      <c r="Q457" s="36">
        <f>Q$10*$D457*INDEX(Q$18:Q$25,$E457)*INDEX(Q$27:Q$43,$F457)</f>
        <v/>
      </c>
      <c r="R457" s="36">
        <f>R$10*$D457*INDEX(R$18:R$25,$E457)*INDEX(R$27:R$43,$F457)</f>
        <v/>
      </c>
      <c r="S457" s="36">
        <f>S$10*$D457*INDEX(S$18:S$25,$E457)*INDEX(S$27:S$43,$F457)</f>
        <v/>
      </c>
      <c r="T457" s="36">
        <f>T$10*$D457*INDEX(T$18:T$25,$E457)*INDEX(T$27:T$43,$F457)</f>
        <v/>
      </c>
      <c r="U457" s="36">
        <f>U$10*$D457*INDEX(U$18:U$25,$E457)*INDEX(U$27:U$43,$F457)</f>
        <v/>
      </c>
      <c r="V457" s="36">
        <f>V$10*$D457*INDEX(V$18:V$25,$E457)*INDEX(V$27:V$43,$F457)</f>
        <v/>
      </c>
      <c r="W457" s="36">
        <f>W$10*$D457*INDEX(W$18:W$25,$E457)*INDEX(W$27:W$43,$F457)</f>
        <v/>
      </c>
      <c r="X457" s="36">
        <f>X$10*$D457*INDEX(X$18:X$25,$E457)*INDEX(X$27:X$43,$F457)</f>
        <v/>
      </c>
      <c r="Y457" s="36">
        <f>Y$10*$D457*INDEX(Y$18:Y$25,$E457)*INDEX(Y$27:Y$43,$F457)</f>
        <v/>
      </c>
      <c r="Z457" s="23">
        <f>LOWER(Settings!$C$4)&amp;".mit."&amp;$A457&amp;IF($C457="","","."&amp;$C457&amp;"."&amp;$B457)&amp;IF(INDEX(Variables!$D$5:$D$65,MATCH($A457,Variables!$A$5:$A$65,0))="","","."&amp;INDEX(Variables!$D$5:$D$65,MATCH($A457,Variables!$A$5:$A$65,0)))&amp;"."&amp;Z$5</f>
        <v/>
      </c>
      <c r="AA457" s="38">
        <f>AA$10*$D457*INDEX(AA$18:AA$25,$E457)*INDEX(AA$27:AA$43,$F457)</f>
        <v/>
      </c>
      <c r="AB457" s="36">
        <f>AB$10*$D457*INDEX(AB$18:AB$25,$E457)*INDEX(AB$27:AB$43,$F457)</f>
        <v/>
      </c>
      <c r="AC457" s="36">
        <f>AC$10*$D457*INDEX(AC$18:AC$25,$E457)*INDEX(AC$27:AC$43,$F457)</f>
        <v/>
      </c>
      <c r="AD457" s="36">
        <f>AD$10*$D457*INDEX(AD$18:AD$25,$E457)*INDEX(AD$27:AD$43,$F457)</f>
        <v/>
      </c>
      <c r="AE457" s="36">
        <f>AE$10*$D457*INDEX(AE$18:AE$25,$E457)*INDEX(AE$27:AE$43,$F457)</f>
        <v/>
      </c>
      <c r="AF457" s="36">
        <f>AF$10*$D457*INDEX(AF$18:AF$25,$E457)*INDEX(AF$27:AF$43,$F457)</f>
        <v/>
      </c>
      <c r="AG457" s="36">
        <f>AG$10*$D457*INDEX(AG$18:AG$25,$E457)*INDEX(AG$27:AG$43,$F457)</f>
        <v/>
      </c>
      <c r="AH457" s="36">
        <f>AH$10*$D457*INDEX(AH$18:AH$25,$E457)*INDEX(AH$27:AH$43,$F457)</f>
        <v/>
      </c>
      <c r="AI457" s="36">
        <f>AI$10*$D457*INDEX(AI$18:AI$25,$E457)*INDEX(AI$27:AI$43,$F457)</f>
        <v/>
      </c>
      <c r="AJ457" s="36">
        <f>AJ$10*$D457*INDEX(AJ$18:AJ$25,$E457)*INDEX(AJ$27:AJ$43,$F457)</f>
        <v/>
      </c>
      <c r="AK457" s="36">
        <f>AK$10*$D457*INDEX(AK$18:AK$25,$E457)*INDEX(AK$27:AK$43,$F457)</f>
        <v/>
      </c>
      <c r="AL457" s="36">
        <f>AL$10*$D457*INDEX(AL$18:AL$25,$E457)*INDEX(AL$27:AL$43,$F457)</f>
        <v/>
      </c>
      <c r="AM457" s="36">
        <f>AM$10*$D457*INDEX(AM$18:AM$25,$E457)*INDEX(AM$27:AM$43,$F457)</f>
        <v/>
      </c>
      <c r="AN457" s="36">
        <f>AN$10*$D457*INDEX(AN$18:AN$25,$E457)*INDEX(AN$27:AN$43,$F457)</f>
        <v/>
      </c>
    </row>
    <row r="458" hidden="1" outlineLevel="2">
      <c r="A458" s="5" t="inlineStr">
        <is>
          <t>ctxnew</t>
        </is>
      </c>
      <c r="B458" s="5" t="inlineStr">
        <is>
          <t>gso</t>
        </is>
      </c>
      <c r="C458" s="5" t="inlineStr">
        <is>
          <t>res</t>
        </is>
      </c>
      <c r="D458" s="36">
        <f>INDEX(Inputs!$U$5:$U$132,MATCH($B458&amp;"|"&amp;$C458,Inputs!$A$5:$A$132,0))</f>
        <v/>
      </c>
      <c r="E458" s="36">
        <f>INDEX(Inputs!$J$5:$J$132,MATCH($B458&amp;"|"&amp;$C458,Inputs!$A$5:$A$132,0))</f>
        <v/>
      </c>
      <c r="F458" s="36">
        <f>INDEX(Inputs!$K$5:$K$132,MATCH($B458&amp;"|"&amp;$C458,Inputs!$A$5:$A$132,0))</f>
        <v/>
      </c>
      <c r="G458" s="37" t="n"/>
      <c r="H458" s="5">
        <f>INDEX(Variables!$B$5:$B$65,MATCH($A458,Variables!$A$5:$A$65,0))&amp;IF($C458="",""," | "&amp;INDEX(Mapping!$B$5:$B$25,MATCH($C458,Mapping!$A$5:$A$25,0))&amp;" | "&amp;INDEX(Mapping!$B$29:$B$38,MATCH($B458,Mapping!$A$29:$A$38,0)))</f>
        <v/>
      </c>
      <c r="I458" s="5">
        <f>INDEX(Variables!$C$5:$C$65,MATCH($A458,Variables!$A$5:$A$65,0))</f>
        <v/>
      </c>
      <c r="J458" s="5">
        <f>INDEX(Variables!$E$5:$E$65,MATCH($A458,Variables!$A$5:$A$65,0))</f>
        <v/>
      </c>
      <c r="K458" s="23">
        <f>LOWER(Settings!$C$4)&amp;".mit."&amp;$A458&amp;IF($C458="","","."&amp;$C458&amp;"."&amp;$B458)&amp;IF(INDEX(Variables!$D$5:$D$65,MATCH($A458,Variables!$A$5:$A$65,0))="","","."&amp;INDEX(Variables!$D$5:$D$65,MATCH($A458,Variables!$A$5:$A$65,0)))&amp;"."&amp;K$5</f>
        <v/>
      </c>
      <c r="L458" s="38">
        <f>L$10*$D458*INDEX(L$18:L$25,$E458)*INDEX(L$27:L$43,$F458)</f>
        <v/>
      </c>
      <c r="M458" s="36">
        <f>M$10*$D458*INDEX(M$18:M$25,$E458)*INDEX(M$27:M$43,$F458)</f>
        <v/>
      </c>
      <c r="N458" s="36">
        <f>N$10*$D458*INDEX(N$18:N$25,$E458)*INDEX(N$27:N$43,$F458)</f>
        <v/>
      </c>
      <c r="O458" s="36">
        <f>O$10*$D458*INDEX(O$18:O$25,$E458)*INDEX(O$27:O$43,$F458)</f>
        <v/>
      </c>
      <c r="P458" s="36">
        <f>P$10*$D458*INDEX(P$18:P$25,$E458)*INDEX(P$27:P$43,$F458)</f>
        <v/>
      </c>
      <c r="Q458" s="36">
        <f>Q$10*$D458*INDEX(Q$18:Q$25,$E458)*INDEX(Q$27:Q$43,$F458)</f>
        <v/>
      </c>
      <c r="R458" s="36">
        <f>R$10*$D458*INDEX(R$18:R$25,$E458)*INDEX(R$27:R$43,$F458)</f>
        <v/>
      </c>
      <c r="S458" s="36">
        <f>S$10*$D458*INDEX(S$18:S$25,$E458)*INDEX(S$27:S$43,$F458)</f>
        <v/>
      </c>
      <c r="T458" s="36">
        <f>T$10*$D458*INDEX(T$18:T$25,$E458)*INDEX(T$27:T$43,$F458)</f>
        <v/>
      </c>
      <c r="U458" s="36">
        <f>U$10*$D458*INDEX(U$18:U$25,$E458)*INDEX(U$27:U$43,$F458)</f>
        <v/>
      </c>
      <c r="V458" s="36">
        <f>V$10*$D458*INDEX(V$18:V$25,$E458)*INDEX(V$27:V$43,$F458)</f>
        <v/>
      </c>
      <c r="W458" s="36">
        <f>W$10*$D458*INDEX(W$18:W$25,$E458)*INDEX(W$27:W$43,$F458)</f>
        <v/>
      </c>
      <c r="X458" s="36">
        <f>X$10*$D458*INDEX(X$18:X$25,$E458)*INDEX(X$27:X$43,$F458)</f>
        <v/>
      </c>
      <c r="Y458" s="36">
        <f>Y$10*$D458*INDEX(Y$18:Y$25,$E458)*INDEX(Y$27:Y$43,$F458)</f>
        <v/>
      </c>
      <c r="Z458" s="23">
        <f>LOWER(Settings!$C$4)&amp;".mit."&amp;$A458&amp;IF($C458="","","."&amp;$C458&amp;"."&amp;$B458)&amp;IF(INDEX(Variables!$D$5:$D$65,MATCH($A458,Variables!$A$5:$A$65,0))="","","."&amp;INDEX(Variables!$D$5:$D$65,MATCH($A458,Variables!$A$5:$A$65,0)))&amp;"."&amp;Z$5</f>
        <v/>
      </c>
      <c r="AA458" s="38">
        <f>AA$10*$D458*INDEX(AA$18:AA$25,$E458)*INDEX(AA$27:AA$43,$F458)</f>
        <v/>
      </c>
      <c r="AB458" s="36">
        <f>AB$10*$D458*INDEX(AB$18:AB$25,$E458)*INDEX(AB$27:AB$43,$F458)</f>
        <v/>
      </c>
      <c r="AC458" s="36">
        <f>AC$10*$D458*INDEX(AC$18:AC$25,$E458)*INDEX(AC$27:AC$43,$F458)</f>
        <v/>
      </c>
      <c r="AD458" s="36">
        <f>AD$10*$D458*INDEX(AD$18:AD$25,$E458)*INDEX(AD$27:AD$43,$F458)</f>
        <v/>
      </c>
      <c r="AE458" s="36">
        <f>AE$10*$D458*INDEX(AE$18:AE$25,$E458)*INDEX(AE$27:AE$43,$F458)</f>
        <v/>
      </c>
      <c r="AF458" s="36">
        <f>AF$10*$D458*INDEX(AF$18:AF$25,$E458)*INDEX(AF$27:AF$43,$F458)</f>
        <v/>
      </c>
      <c r="AG458" s="36">
        <f>AG$10*$D458*INDEX(AG$18:AG$25,$E458)*INDEX(AG$27:AG$43,$F458)</f>
        <v/>
      </c>
      <c r="AH458" s="36">
        <f>AH$10*$D458*INDEX(AH$18:AH$25,$E458)*INDEX(AH$27:AH$43,$F458)</f>
        <v/>
      </c>
      <c r="AI458" s="36">
        <f>AI$10*$D458*INDEX(AI$18:AI$25,$E458)*INDEX(AI$27:AI$43,$F458)</f>
        <v/>
      </c>
      <c r="AJ458" s="36">
        <f>AJ$10*$D458*INDEX(AJ$18:AJ$25,$E458)*INDEX(AJ$27:AJ$43,$F458)</f>
        <v/>
      </c>
      <c r="AK458" s="36">
        <f>AK$10*$D458*INDEX(AK$18:AK$25,$E458)*INDEX(AK$27:AK$43,$F458)</f>
        <v/>
      </c>
      <c r="AL458" s="36">
        <f>AL$10*$D458*INDEX(AL$18:AL$25,$E458)*INDEX(AL$27:AL$43,$F458)</f>
        <v/>
      </c>
      <c r="AM458" s="36">
        <f>AM$10*$D458*INDEX(AM$18:AM$25,$E458)*INDEX(AM$27:AM$43,$F458)</f>
        <v/>
      </c>
      <c r="AN458" s="36">
        <f>AN$10*$D458*INDEX(AN$18:AN$25,$E458)*INDEX(AN$27:AN$43,$F458)</f>
        <v/>
      </c>
    </row>
    <row r="459" hidden="1" outlineLevel="2">
      <c r="A459" s="5" t="inlineStr">
        <is>
          <t>ctxnew</t>
        </is>
      </c>
      <c r="B459" s="5" t="inlineStr">
        <is>
          <t>die</t>
        </is>
      </c>
      <c r="C459" s="5" t="inlineStr">
        <is>
          <t>res</t>
        </is>
      </c>
      <c r="D459" s="36">
        <f>INDEX(Inputs!$U$5:$U$132,MATCH($B459&amp;"|"&amp;$C459,Inputs!$A$5:$A$132,0))</f>
        <v/>
      </c>
      <c r="E459" s="36">
        <f>INDEX(Inputs!$J$5:$J$132,MATCH($B459&amp;"|"&amp;$C459,Inputs!$A$5:$A$132,0))</f>
        <v/>
      </c>
      <c r="F459" s="36">
        <f>INDEX(Inputs!$K$5:$K$132,MATCH($B459&amp;"|"&amp;$C459,Inputs!$A$5:$A$132,0))</f>
        <v/>
      </c>
      <c r="G459" s="37" t="n"/>
      <c r="H459" s="5">
        <f>INDEX(Variables!$B$5:$B$65,MATCH($A459,Variables!$A$5:$A$65,0))&amp;IF($C459="",""," | "&amp;INDEX(Mapping!$B$5:$B$25,MATCH($C459,Mapping!$A$5:$A$25,0))&amp;" | "&amp;INDEX(Mapping!$B$29:$B$38,MATCH($B459,Mapping!$A$29:$A$38,0)))</f>
        <v/>
      </c>
      <c r="I459" s="5">
        <f>INDEX(Variables!$C$5:$C$65,MATCH($A459,Variables!$A$5:$A$65,0))</f>
        <v/>
      </c>
      <c r="J459" s="5">
        <f>INDEX(Variables!$E$5:$E$65,MATCH($A459,Variables!$A$5:$A$65,0))</f>
        <v/>
      </c>
      <c r="K459" s="23">
        <f>LOWER(Settings!$C$4)&amp;".mit."&amp;$A459&amp;IF($C459="","","."&amp;$C459&amp;"."&amp;$B459)&amp;IF(INDEX(Variables!$D$5:$D$65,MATCH($A459,Variables!$A$5:$A$65,0))="","","."&amp;INDEX(Variables!$D$5:$D$65,MATCH($A459,Variables!$A$5:$A$65,0)))&amp;"."&amp;K$5</f>
        <v/>
      </c>
      <c r="L459" s="38">
        <f>L$10*$D459*INDEX(L$18:L$25,$E459)*INDEX(L$27:L$43,$F459)</f>
        <v/>
      </c>
      <c r="M459" s="36">
        <f>M$10*$D459*INDEX(M$18:M$25,$E459)*INDEX(M$27:M$43,$F459)</f>
        <v/>
      </c>
      <c r="N459" s="36">
        <f>N$10*$D459*INDEX(N$18:N$25,$E459)*INDEX(N$27:N$43,$F459)</f>
        <v/>
      </c>
      <c r="O459" s="36">
        <f>O$10*$D459*INDEX(O$18:O$25,$E459)*INDEX(O$27:O$43,$F459)</f>
        <v/>
      </c>
      <c r="P459" s="36">
        <f>P$10*$D459*INDEX(P$18:P$25,$E459)*INDEX(P$27:P$43,$F459)</f>
        <v/>
      </c>
      <c r="Q459" s="36">
        <f>Q$10*$D459*INDEX(Q$18:Q$25,$E459)*INDEX(Q$27:Q$43,$F459)</f>
        <v/>
      </c>
      <c r="R459" s="36">
        <f>R$10*$D459*INDEX(R$18:R$25,$E459)*INDEX(R$27:R$43,$F459)</f>
        <v/>
      </c>
      <c r="S459" s="36">
        <f>S$10*$D459*INDEX(S$18:S$25,$E459)*INDEX(S$27:S$43,$F459)</f>
        <v/>
      </c>
      <c r="T459" s="36">
        <f>T$10*$D459*INDEX(T$18:T$25,$E459)*INDEX(T$27:T$43,$F459)</f>
        <v/>
      </c>
      <c r="U459" s="36">
        <f>U$10*$D459*INDEX(U$18:U$25,$E459)*INDEX(U$27:U$43,$F459)</f>
        <v/>
      </c>
      <c r="V459" s="36">
        <f>V$10*$D459*INDEX(V$18:V$25,$E459)*INDEX(V$27:V$43,$F459)</f>
        <v/>
      </c>
      <c r="W459" s="36">
        <f>W$10*$D459*INDEX(W$18:W$25,$E459)*INDEX(W$27:W$43,$F459)</f>
        <v/>
      </c>
      <c r="X459" s="36">
        <f>X$10*$D459*INDEX(X$18:X$25,$E459)*INDEX(X$27:X$43,$F459)</f>
        <v/>
      </c>
      <c r="Y459" s="36">
        <f>Y$10*$D459*INDEX(Y$18:Y$25,$E459)*INDEX(Y$27:Y$43,$F459)</f>
        <v/>
      </c>
      <c r="Z459" s="23">
        <f>LOWER(Settings!$C$4)&amp;".mit."&amp;$A459&amp;IF($C459="","","."&amp;$C459&amp;"."&amp;$B459)&amp;IF(INDEX(Variables!$D$5:$D$65,MATCH($A459,Variables!$A$5:$A$65,0))="","","."&amp;INDEX(Variables!$D$5:$D$65,MATCH($A459,Variables!$A$5:$A$65,0)))&amp;"."&amp;Z$5</f>
        <v/>
      </c>
      <c r="AA459" s="38">
        <f>AA$10*$D459*INDEX(AA$18:AA$25,$E459)*INDEX(AA$27:AA$43,$F459)</f>
        <v/>
      </c>
      <c r="AB459" s="36">
        <f>AB$10*$D459*INDEX(AB$18:AB$25,$E459)*INDEX(AB$27:AB$43,$F459)</f>
        <v/>
      </c>
      <c r="AC459" s="36">
        <f>AC$10*$D459*INDEX(AC$18:AC$25,$E459)*INDEX(AC$27:AC$43,$F459)</f>
        <v/>
      </c>
      <c r="AD459" s="36">
        <f>AD$10*$D459*INDEX(AD$18:AD$25,$E459)*INDEX(AD$27:AD$43,$F459)</f>
        <v/>
      </c>
      <c r="AE459" s="36">
        <f>AE$10*$D459*INDEX(AE$18:AE$25,$E459)*INDEX(AE$27:AE$43,$F459)</f>
        <v/>
      </c>
      <c r="AF459" s="36">
        <f>AF$10*$D459*INDEX(AF$18:AF$25,$E459)*INDEX(AF$27:AF$43,$F459)</f>
        <v/>
      </c>
      <c r="AG459" s="36">
        <f>AG$10*$D459*INDEX(AG$18:AG$25,$E459)*INDEX(AG$27:AG$43,$F459)</f>
        <v/>
      </c>
      <c r="AH459" s="36">
        <f>AH$10*$D459*INDEX(AH$18:AH$25,$E459)*INDEX(AH$27:AH$43,$F459)</f>
        <v/>
      </c>
      <c r="AI459" s="36">
        <f>AI$10*$D459*INDEX(AI$18:AI$25,$E459)*INDEX(AI$27:AI$43,$F459)</f>
        <v/>
      </c>
      <c r="AJ459" s="36">
        <f>AJ$10*$D459*INDEX(AJ$18:AJ$25,$E459)*INDEX(AJ$27:AJ$43,$F459)</f>
        <v/>
      </c>
      <c r="AK459" s="36">
        <f>AK$10*$D459*INDEX(AK$18:AK$25,$E459)*INDEX(AK$27:AK$43,$F459)</f>
        <v/>
      </c>
      <c r="AL459" s="36">
        <f>AL$10*$D459*INDEX(AL$18:AL$25,$E459)*INDEX(AL$27:AL$43,$F459)</f>
        <v/>
      </c>
      <c r="AM459" s="36">
        <f>AM$10*$D459*INDEX(AM$18:AM$25,$E459)*INDEX(AM$27:AM$43,$F459)</f>
        <v/>
      </c>
      <c r="AN459" s="36">
        <f>AN$10*$D459*INDEX(AN$18:AN$25,$E459)*INDEX(AN$27:AN$43,$F459)</f>
        <v/>
      </c>
    </row>
    <row r="460" hidden="1" outlineLevel="2">
      <c r="A460" s="5" t="inlineStr">
        <is>
          <t>ctxnew</t>
        </is>
      </c>
      <c r="B460" s="5" t="inlineStr">
        <is>
          <t>lpg</t>
        </is>
      </c>
      <c r="C460" s="5" t="inlineStr">
        <is>
          <t>res</t>
        </is>
      </c>
      <c r="D460" s="36">
        <f>INDEX(Inputs!$U$5:$U$132,MATCH($B460&amp;"|"&amp;$C460,Inputs!$A$5:$A$132,0))</f>
        <v/>
      </c>
      <c r="E460" s="36">
        <f>INDEX(Inputs!$J$5:$J$132,MATCH($B460&amp;"|"&amp;$C460,Inputs!$A$5:$A$132,0))</f>
        <v/>
      </c>
      <c r="F460" s="36">
        <f>INDEX(Inputs!$K$5:$K$132,MATCH($B460&amp;"|"&amp;$C460,Inputs!$A$5:$A$132,0))</f>
        <v/>
      </c>
      <c r="G460" s="37" t="n"/>
      <c r="H460" s="5">
        <f>INDEX(Variables!$B$5:$B$65,MATCH($A460,Variables!$A$5:$A$65,0))&amp;IF($C460="",""," | "&amp;INDEX(Mapping!$B$5:$B$25,MATCH($C460,Mapping!$A$5:$A$25,0))&amp;" | "&amp;INDEX(Mapping!$B$29:$B$38,MATCH($B460,Mapping!$A$29:$A$38,0)))</f>
        <v/>
      </c>
      <c r="I460" s="5">
        <f>INDEX(Variables!$C$5:$C$65,MATCH($A460,Variables!$A$5:$A$65,0))</f>
        <v/>
      </c>
      <c r="J460" s="5">
        <f>INDEX(Variables!$E$5:$E$65,MATCH($A460,Variables!$A$5:$A$65,0))</f>
        <v/>
      </c>
      <c r="K460" s="23">
        <f>LOWER(Settings!$C$4)&amp;".mit."&amp;$A460&amp;IF($C460="","","."&amp;$C460&amp;"."&amp;$B460)&amp;IF(INDEX(Variables!$D$5:$D$65,MATCH($A460,Variables!$A$5:$A$65,0))="","","."&amp;INDEX(Variables!$D$5:$D$65,MATCH($A460,Variables!$A$5:$A$65,0)))&amp;"."&amp;K$5</f>
        <v/>
      </c>
      <c r="L460" s="38">
        <f>L$10*$D460*INDEX(L$18:L$25,$E460)*INDEX(L$27:L$43,$F460)</f>
        <v/>
      </c>
      <c r="M460" s="36">
        <f>M$10*$D460*INDEX(M$18:M$25,$E460)*INDEX(M$27:M$43,$F460)</f>
        <v/>
      </c>
      <c r="N460" s="36">
        <f>N$10*$D460*INDEX(N$18:N$25,$E460)*INDEX(N$27:N$43,$F460)</f>
        <v/>
      </c>
      <c r="O460" s="36">
        <f>O$10*$D460*INDEX(O$18:O$25,$E460)*INDEX(O$27:O$43,$F460)</f>
        <v/>
      </c>
      <c r="P460" s="36">
        <f>P$10*$D460*INDEX(P$18:P$25,$E460)*INDEX(P$27:P$43,$F460)</f>
        <v/>
      </c>
      <c r="Q460" s="36">
        <f>Q$10*$D460*INDEX(Q$18:Q$25,$E460)*INDEX(Q$27:Q$43,$F460)</f>
        <v/>
      </c>
      <c r="R460" s="36">
        <f>R$10*$D460*INDEX(R$18:R$25,$E460)*INDEX(R$27:R$43,$F460)</f>
        <v/>
      </c>
      <c r="S460" s="36">
        <f>S$10*$D460*INDEX(S$18:S$25,$E460)*INDEX(S$27:S$43,$F460)</f>
        <v/>
      </c>
      <c r="T460" s="36">
        <f>T$10*$D460*INDEX(T$18:T$25,$E460)*INDEX(T$27:T$43,$F460)</f>
        <v/>
      </c>
      <c r="U460" s="36">
        <f>U$10*$D460*INDEX(U$18:U$25,$E460)*INDEX(U$27:U$43,$F460)</f>
        <v/>
      </c>
      <c r="V460" s="36">
        <f>V$10*$D460*INDEX(V$18:V$25,$E460)*INDEX(V$27:V$43,$F460)</f>
        <v/>
      </c>
      <c r="W460" s="36">
        <f>W$10*$D460*INDEX(W$18:W$25,$E460)*INDEX(W$27:W$43,$F460)</f>
        <v/>
      </c>
      <c r="X460" s="36">
        <f>X$10*$D460*INDEX(X$18:X$25,$E460)*INDEX(X$27:X$43,$F460)</f>
        <v/>
      </c>
      <c r="Y460" s="36">
        <f>Y$10*$D460*INDEX(Y$18:Y$25,$E460)*INDEX(Y$27:Y$43,$F460)</f>
        <v/>
      </c>
      <c r="Z460" s="23">
        <f>LOWER(Settings!$C$4)&amp;".mit."&amp;$A460&amp;IF($C460="","","."&amp;$C460&amp;"."&amp;$B460)&amp;IF(INDEX(Variables!$D$5:$D$65,MATCH($A460,Variables!$A$5:$A$65,0))="","","."&amp;INDEX(Variables!$D$5:$D$65,MATCH($A460,Variables!$A$5:$A$65,0)))&amp;"."&amp;Z$5</f>
        <v/>
      </c>
      <c r="AA460" s="38">
        <f>AA$10*$D460*INDEX(AA$18:AA$25,$E460)*INDEX(AA$27:AA$43,$F460)</f>
        <v/>
      </c>
      <c r="AB460" s="36">
        <f>AB$10*$D460*INDEX(AB$18:AB$25,$E460)*INDEX(AB$27:AB$43,$F460)</f>
        <v/>
      </c>
      <c r="AC460" s="36">
        <f>AC$10*$D460*INDEX(AC$18:AC$25,$E460)*INDEX(AC$27:AC$43,$F460)</f>
        <v/>
      </c>
      <c r="AD460" s="36">
        <f>AD$10*$D460*INDEX(AD$18:AD$25,$E460)*INDEX(AD$27:AD$43,$F460)</f>
        <v/>
      </c>
      <c r="AE460" s="36">
        <f>AE$10*$D460*INDEX(AE$18:AE$25,$E460)*INDEX(AE$27:AE$43,$F460)</f>
        <v/>
      </c>
      <c r="AF460" s="36">
        <f>AF$10*$D460*INDEX(AF$18:AF$25,$E460)*INDEX(AF$27:AF$43,$F460)</f>
        <v/>
      </c>
      <c r="AG460" s="36">
        <f>AG$10*$D460*INDEX(AG$18:AG$25,$E460)*INDEX(AG$27:AG$43,$F460)</f>
        <v/>
      </c>
      <c r="AH460" s="36">
        <f>AH$10*$D460*INDEX(AH$18:AH$25,$E460)*INDEX(AH$27:AH$43,$F460)</f>
        <v/>
      </c>
      <c r="AI460" s="36">
        <f>AI$10*$D460*INDEX(AI$18:AI$25,$E460)*INDEX(AI$27:AI$43,$F460)</f>
        <v/>
      </c>
      <c r="AJ460" s="36">
        <f>AJ$10*$D460*INDEX(AJ$18:AJ$25,$E460)*INDEX(AJ$27:AJ$43,$F460)</f>
        <v/>
      </c>
      <c r="AK460" s="36">
        <f>AK$10*$D460*INDEX(AK$18:AK$25,$E460)*INDEX(AK$27:AK$43,$F460)</f>
        <v/>
      </c>
      <c r="AL460" s="36">
        <f>AL$10*$D460*INDEX(AL$18:AL$25,$E460)*INDEX(AL$27:AL$43,$F460)</f>
        <v/>
      </c>
      <c r="AM460" s="36">
        <f>AM$10*$D460*INDEX(AM$18:AM$25,$E460)*INDEX(AM$27:AM$43,$F460)</f>
        <v/>
      </c>
      <c r="AN460" s="36">
        <f>AN$10*$D460*INDEX(AN$18:AN$25,$E460)*INDEX(AN$27:AN$43,$F460)</f>
        <v/>
      </c>
    </row>
    <row r="461" hidden="1" outlineLevel="2">
      <c r="A461" s="5" t="inlineStr">
        <is>
          <t>ctxnew</t>
        </is>
      </c>
      <c r="B461" s="5" t="inlineStr">
        <is>
          <t>ker</t>
        </is>
      </c>
      <c r="C461" s="5" t="inlineStr">
        <is>
          <t>res</t>
        </is>
      </c>
      <c r="D461" s="36">
        <f>INDEX(Inputs!$U$5:$U$132,MATCH($B461&amp;"|"&amp;$C461,Inputs!$A$5:$A$132,0))</f>
        <v/>
      </c>
      <c r="E461" s="36">
        <f>INDEX(Inputs!$J$5:$J$132,MATCH($B461&amp;"|"&amp;$C461,Inputs!$A$5:$A$132,0))</f>
        <v/>
      </c>
      <c r="F461" s="36">
        <f>INDEX(Inputs!$K$5:$K$132,MATCH($B461&amp;"|"&amp;$C461,Inputs!$A$5:$A$132,0))</f>
        <v/>
      </c>
      <c r="G461" s="37" t="n"/>
      <c r="H461" s="5">
        <f>INDEX(Variables!$B$5:$B$65,MATCH($A461,Variables!$A$5:$A$65,0))&amp;IF($C461="",""," | "&amp;INDEX(Mapping!$B$5:$B$25,MATCH($C461,Mapping!$A$5:$A$25,0))&amp;" | "&amp;INDEX(Mapping!$B$29:$B$38,MATCH($B461,Mapping!$A$29:$A$38,0)))</f>
        <v/>
      </c>
      <c r="I461" s="5">
        <f>INDEX(Variables!$C$5:$C$65,MATCH($A461,Variables!$A$5:$A$65,0))</f>
        <v/>
      </c>
      <c r="J461" s="5">
        <f>INDEX(Variables!$E$5:$E$65,MATCH($A461,Variables!$A$5:$A$65,0))</f>
        <v/>
      </c>
      <c r="K461" s="23">
        <f>LOWER(Settings!$C$4)&amp;".mit."&amp;$A461&amp;IF($C461="","","."&amp;$C461&amp;"."&amp;$B461)&amp;IF(INDEX(Variables!$D$5:$D$65,MATCH($A461,Variables!$A$5:$A$65,0))="","","."&amp;INDEX(Variables!$D$5:$D$65,MATCH($A461,Variables!$A$5:$A$65,0)))&amp;"."&amp;K$5</f>
        <v/>
      </c>
      <c r="L461" s="38">
        <f>L$10*$D461*INDEX(L$18:L$25,$E461)*INDEX(L$27:L$43,$F461)</f>
        <v/>
      </c>
      <c r="M461" s="36">
        <f>M$10*$D461*INDEX(M$18:M$25,$E461)*INDEX(M$27:M$43,$F461)</f>
        <v/>
      </c>
      <c r="N461" s="36">
        <f>N$10*$D461*INDEX(N$18:N$25,$E461)*INDEX(N$27:N$43,$F461)</f>
        <v/>
      </c>
      <c r="O461" s="36">
        <f>O$10*$D461*INDEX(O$18:O$25,$E461)*INDEX(O$27:O$43,$F461)</f>
        <v/>
      </c>
      <c r="P461" s="36">
        <f>P$10*$D461*INDEX(P$18:P$25,$E461)*INDEX(P$27:P$43,$F461)</f>
        <v/>
      </c>
      <c r="Q461" s="36">
        <f>Q$10*$D461*INDEX(Q$18:Q$25,$E461)*INDEX(Q$27:Q$43,$F461)</f>
        <v/>
      </c>
      <c r="R461" s="36">
        <f>R$10*$D461*INDEX(R$18:R$25,$E461)*INDEX(R$27:R$43,$F461)</f>
        <v/>
      </c>
      <c r="S461" s="36">
        <f>S$10*$D461*INDEX(S$18:S$25,$E461)*INDEX(S$27:S$43,$F461)</f>
        <v/>
      </c>
      <c r="T461" s="36">
        <f>T$10*$D461*INDEX(T$18:T$25,$E461)*INDEX(T$27:T$43,$F461)</f>
        <v/>
      </c>
      <c r="U461" s="36">
        <f>U$10*$D461*INDEX(U$18:U$25,$E461)*INDEX(U$27:U$43,$F461)</f>
        <v/>
      </c>
      <c r="V461" s="36">
        <f>V$10*$D461*INDEX(V$18:V$25,$E461)*INDEX(V$27:V$43,$F461)</f>
        <v/>
      </c>
      <c r="W461" s="36">
        <f>W$10*$D461*INDEX(W$18:W$25,$E461)*INDEX(W$27:W$43,$F461)</f>
        <v/>
      </c>
      <c r="X461" s="36">
        <f>X$10*$D461*INDEX(X$18:X$25,$E461)*INDEX(X$27:X$43,$F461)</f>
        <v/>
      </c>
      <c r="Y461" s="36">
        <f>Y$10*$D461*INDEX(Y$18:Y$25,$E461)*INDEX(Y$27:Y$43,$F461)</f>
        <v/>
      </c>
      <c r="Z461" s="23">
        <f>LOWER(Settings!$C$4)&amp;".mit."&amp;$A461&amp;IF($C461="","","."&amp;$C461&amp;"."&amp;$B461)&amp;IF(INDEX(Variables!$D$5:$D$65,MATCH($A461,Variables!$A$5:$A$65,0))="","","."&amp;INDEX(Variables!$D$5:$D$65,MATCH($A461,Variables!$A$5:$A$65,0)))&amp;"."&amp;Z$5</f>
        <v/>
      </c>
      <c r="AA461" s="38">
        <f>AA$10*$D461*INDEX(AA$18:AA$25,$E461)*INDEX(AA$27:AA$43,$F461)</f>
        <v/>
      </c>
      <c r="AB461" s="36">
        <f>AB$10*$D461*INDEX(AB$18:AB$25,$E461)*INDEX(AB$27:AB$43,$F461)</f>
        <v/>
      </c>
      <c r="AC461" s="36">
        <f>AC$10*$D461*INDEX(AC$18:AC$25,$E461)*INDEX(AC$27:AC$43,$F461)</f>
        <v/>
      </c>
      <c r="AD461" s="36">
        <f>AD$10*$D461*INDEX(AD$18:AD$25,$E461)*INDEX(AD$27:AD$43,$F461)</f>
        <v/>
      </c>
      <c r="AE461" s="36">
        <f>AE$10*$D461*INDEX(AE$18:AE$25,$E461)*INDEX(AE$27:AE$43,$F461)</f>
        <v/>
      </c>
      <c r="AF461" s="36">
        <f>AF$10*$D461*INDEX(AF$18:AF$25,$E461)*INDEX(AF$27:AF$43,$F461)</f>
        <v/>
      </c>
      <c r="AG461" s="36">
        <f>AG$10*$D461*INDEX(AG$18:AG$25,$E461)*INDEX(AG$27:AG$43,$F461)</f>
        <v/>
      </c>
      <c r="AH461" s="36">
        <f>AH$10*$D461*INDEX(AH$18:AH$25,$E461)*INDEX(AH$27:AH$43,$F461)</f>
        <v/>
      </c>
      <c r="AI461" s="36">
        <f>AI$10*$D461*INDEX(AI$18:AI$25,$E461)*INDEX(AI$27:AI$43,$F461)</f>
        <v/>
      </c>
      <c r="AJ461" s="36">
        <f>AJ$10*$D461*INDEX(AJ$18:AJ$25,$E461)*INDEX(AJ$27:AJ$43,$F461)</f>
        <v/>
      </c>
      <c r="AK461" s="36">
        <f>AK$10*$D461*INDEX(AK$18:AK$25,$E461)*INDEX(AK$27:AK$43,$F461)</f>
        <v/>
      </c>
      <c r="AL461" s="36">
        <f>AL$10*$D461*INDEX(AL$18:AL$25,$E461)*INDEX(AL$27:AL$43,$F461)</f>
        <v/>
      </c>
      <c r="AM461" s="36">
        <f>AM$10*$D461*INDEX(AM$18:AM$25,$E461)*INDEX(AM$27:AM$43,$F461)</f>
        <v/>
      </c>
      <c r="AN461" s="36">
        <f>AN$10*$D461*INDEX(AN$18:AN$25,$E461)*INDEX(AN$27:AN$43,$F461)</f>
        <v/>
      </c>
    </row>
    <row r="462" hidden="1" outlineLevel="2">
      <c r="A462" s="5" t="inlineStr">
        <is>
          <t>ctxnew</t>
        </is>
      </c>
      <c r="B462" s="5" t="inlineStr">
        <is>
          <t>oop</t>
        </is>
      </c>
      <c r="C462" s="5" t="inlineStr">
        <is>
          <t>res</t>
        </is>
      </c>
      <c r="D462" s="36">
        <f>INDEX(Inputs!$U$5:$U$132,MATCH($B462&amp;"|"&amp;$C462,Inputs!$A$5:$A$132,0))</f>
        <v/>
      </c>
      <c r="E462" s="36">
        <f>INDEX(Inputs!$J$5:$J$132,MATCH($B462&amp;"|"&amp;$C462,Inputs!$A$5:$A$132,0))</f>
        <v/>
      </c>
      <c r="F462" s="36">
        <f>INDEX(Inputs!$K$5:$K$132,MATCH($B462&amp;"|"&amp;$C462,Inputs!$A$5:$A$132,0))</f>
        <v/>
      </c>
      <c r="G462" s="37" t="n"/>
      <c r="H462" s="5">
        <f>INDEX(Variables!$B$5:$B$65,MATCH($A462,Variables!$A$5:$A$65,0))&amp;IF($C462="",""," | "&amp;INDEX(Mapping!$B$5:$B$25,MATCH($C462,Mapping!$A$5:$A$25,0))&amp;" | "&amp;INDEX(Mapping!$B$29:$B$38,MATCH($B462,Mapping!$A$29:$A$38,0)))</f>
        <v/>
      </c>
      <c r="I462" s="5">
        <f>INDEX(Variables!$C$5:$C$65,MATCH($A462,Variables!$A$5:$A$65,0))</f>
        <v/>
      </c>
      <c r="J462" s="5">
        <f>INDEX(Variables!$E$5:$E$65,MATCH($A462,Variables!$A$5:$A$65,0))</f>
        <v/>
      </c>
      <c r="K462" s="23">
        <f>LOWER(Settings!$C$4)&amp;".mit."&amp;$A462&amp;IF($C462="","","."&amp;$C462&amp;"."&amp;$B462)&amp;IF(INDEX(Variables!$D$5:$D$65,MATCH($A462,Variables!$A$5:$A$65,0))="","","."&amp;INDEX(Variables!$D$5:$D$65,MATCH($A462,Variables!$A$5:$A$65,0)))&amp;"."&amp;K$5</f>
        <v/>
      </c>
      <c r="L462" s="38">
        <f>L$10*$D462*INDEX(L$18:L$25,$E462)*INDEX(L$27:L$43,$F462)</f>
        <v/>
      </c>
      <c r="M462" s="36">
        <f>M$10*$D462*INDEX(M$18:M$25,$E462)*INDEX(M$27:M$43,$F462)</f>
        <v/>
      </c>
      <c r="N462" s="36">
        <f>N$10*$D462*INDEX(N$18:N$25,$E462)*INDEX(N$27:N$43,$F462)</f>
        <v/>
      </c>
      <c r="O462" s="36">
        <f>O$10*$D462*INDEX(O$18:O$25,$E462)*INDEX(O$27:O$43,$F462)</f>
        <v/>
      </c>
      <c r="P462" s="36">
        <f>P$10*$D462*INDEX(P$18:P$25,$E462)*INDEX(P$27:P$43,$F462)</f>
        <v/>
      </c>
      <c r="Q462" s="36">
        <f>Q$10*$D462*INDEX(Q$18:Q$25,$E462)*INDEX(Q$27:Q$43,$F462)</f>
        <v/>
      </c>
      <c r="R462" s="36">
        <f>R$10*$D462*INDEX(R$18:R$25,$E462)*INDEX(R$27:R$43,$F462)</f>
        <v/>
      </c>
      <c r="S462" s="36">
        <f>S$10*$D462*INDEX(S$18:S$25,$E462)*INDEX(S$27:S$43,$F462)</f>
        <v/>
      </c>
      <c r="T462" s="36">
        <f>T$10*$D462*INDEX(T$18:T$25,$E462)*INDEX(T$27:T$43,$F462)</f>
        <v/>
      </c>
      <c r="U462" s="36">
        <f>U$10*$D462*INDEX(U$18:U$25,$E462)*INDEX(U$27:U$43,$F462)</f>
        <v/>
      </c>
      <c r="V462" s="36">
        <f>V$10*$D462*INDEX(V$18:V$25,$E462)*INDEX(V$27:V$43,$F462)</f>
        <v/>
      </c>
      <c r="W462" s="36">
        <f>W$10*$D462*INDEX(W$18:W$25,$E462)*INDEX(W$27:W$43,$F462)</f>
        <v/>
      </c>
      <c r="X462" s="36">
        <f>X$10*$D462*INDEX(X$18:X$25,$E462)*INDEX(X$27:X$43,$F462)</f>
        <v/>
      </c>
      <c r="Y462" s="36">
        <f>Y$10*$D462*INDEX(Y$18:Y$25,$E462)*INDEX(Y$27:Y$43,$F462)</f>
        <v/>
      </c>
      <c r="Z462" s="23">
        <f>LOWER(Settings!$C$4)&amp;".mit."&amp;$A462&amp;IF($C462="","","."&amp;$C462&amp;"."&amp;$B462)&amp;IF(INDEX(Variables!$D$5:$D$65,MATCH($A462,Variables!$A$5:$A$65,0))="","","."&amp;INDEX(Variables!$D$5:$D$65,MATCH($A462,Variables!$A$5:$A$65,0)))&amp;"."&amp;Z$5</f>
        <v/>
      </c>
      <c r="AA462" s="38">
        <f>AA$10*$D462*INDEX(AA$18:AA$25,$E462)*INDEX(AA$27:AA$43,$F462)</f>
        <v/>
      </c>
      <c r="AB462" s="36">
        <f>AB$10*$D462*INDEX(AB$18:AB$25,$E462)*INDEX(AB$27:AB$43,$F462)</f>
        <v/>
      </c>
      <c r="AC462" s="36">
        <f>AC$10*$D462*INDEX(AC$18:AC$25,$E462)*INDEX(AC$27:AC$43,$F462)</f>
        <v/>
      </c>
      <c r="AD462" s="36">
        <f>AD$10*$D462*INDEX(AD$18:AD$25,$E462)*INDEX(AD$27:AD$43,$F462)</f>
        <v/>
      </c>
      <c r="AE462" s="36">
        <f>AE$10*$D462*INDEX(AE$18:AE$25,$E462)*INDEX(AE$27:AE$43,$F462)</f>
        <v/>
      </c>
      <c r="AF462" s="36">
        <f>AF$10*$D462*INDEX(AF$18:AF$25,$E462)*INDEX(AF$27:AF$43,$F462)</f>
        <v/>
      </c>
      <c r="AG462" s="36">
        <f>AG$10*$D462*INDEX(AG$18:AG$25,$E462)*INDEX(AG$27:AG$43,$F462)</f>
        <v/>
      </c>
      <c r="AH462" s="36">
        <f>AH$10*$D462*INDEX(AH$18:AH$25,$E462)*INDEX(AH$27:AH$43,$F462)</f>
        <v/>
      </c>
      <c r="AI462" s="36">
        <f>AI$10*$D462*INDEX(AI$18:AI$25,$E462)*INDEX(AI$27:AI$43,$F462)</f>
        <v/>
      </c>
      <c r="AJ462" s="36">
        <f>AJ$10*$D462*INDEX(AJ$18:AJ$25,$E462)*INDEX(AJ$27:AJ$43,$F462)</f>
        <v/>
      </c>
      <c r="AK462" s="36">
        <f>AK$10*$D462*INDEX(AK$18:AK$25,$E462)*INDEX(AK$27:AK$43,$F462)</f>
        <v/>
      </c>
      <c r="AL462" s="36">
        <f>AL$10*$D462*INDEX(AL$18:AL$25,$E462)*INDEX(AL$27:AL$43,$F462)</f>
        <v/>
      </c>
      <c r="AM462" s="36">
        <f>AM$10*$D462*INDEX(AM$18:AM$25,$E462)*INDEX(AM$27:AM$43,$F462)</f>
        <v/>
      </c>
      <c r="AN462" s="36">
        <f>AN$10*$D462*INDEX(AN$18:AN$25,$E462)*INDEX(AN$27:AN$43,$F462)</f>
        <v/>
      </c>
    </row>
    <row r="463" hidden="1" outlineLevel="2">
      <c r="A463" s="5" t="inlineStr">
        <is>
          <t>ctxnew</t>
        </is>
      </c>
      <c r="B463" s="5" t="inlineStr">
        <is>
          <t>bio</t>
        </is>
      </c>
      <c r="C463" s="5" t="inlineStr">
        <is>
          <t>res</t>
        </is>
      </c>
      <c r="D463" s="36">
        <f>INDEX(Inputs!$U$5:$U$132,MATCH($B463&amp;"|"&amp;$C463,Inputs!$A$5:$A$132,0))</f>
        <v/>
      </c>
      <c r="E463" s="36">
        <f>INDEX(Inputs!$J$5:$J$132,MATCH($B463&amp;"|"&amp;$C463,Inputs!$A$5:$A$132,0))</f>
        <v/>
      </c>
      <c r="F463" s="36">
        <f>INDEX(Inputs!$K$5:$K$132,MATCH($B463&amp;"|"&amp;$C463,Inputs!$A$5:$A$132,0))</f>
        <v/>
      </c>
      <c r="G463" s="37" t="n"/>
      <c r="H463" s="5">
        <f>INDEX(Variables!$B$5:$B$65,MATCH($A463,Variables!$A$5:$A$65,0))&amp;IF($C463="",""," | "&amp;INDEX(Mapping!$B$5:$B$25,MATCH($C463,Mapping!$A$5:$A$25,0))&amp;" | "&amp;INDEX(Mapping!$B$29:$B$38,MATCH($B463,Mapping!$A$29:$A$38,0)))</f>
        <v/>
      </c>
      <c r="I463" s="5">
        <f>INDEX(Variables!$C$5:$C$65,MATCH($A463,Variables!$A$5:$A$65,0))</f>
        <v/>
      </c>
      <c r="J463" s="5">
        <f>INDEX(Variables!$E$5:$E$65,MATCH($A463,Variables!$A$5:$A$65,0))</f>
        <v/>
      </c>
      <c r="K463" s="23">
        <f>LOWER(Settings!$C$4)&amp;".mit."&amp;$A463&amp;IF($C463="","","."&amp;$C463&amp;"."&amp;$B463)&amp;IF(INDEX(Variables!$D$5:$D$65,MATCH($A463,Variables!$A$5:$A$65,0))="","","."&amp;INDEX(Variables!$D$5:$D$65,MATCH($A463,Variables!$A$5:$A$65,0)))&amp;"."&amp;K$5</f>
        <v/>
      </c>
      <c r="L463" s="38">
        <f>L$10*$D463*INDEX(L$18:L$25,$E463)*INDEX(L$27:L$43,$F463)</f>
        <v/>
      </c>
      <c r="M463" s="36">
        <f>M$10*$D463*INDEX(M$18:M$25,$E463)*INDEX(M$27:M$43,$F463)</f>
        <v/>
      </c>
      <c r="N463" s="36">
        <f>N$10*$D463*INDEX(N$18:N$25,$E463)*INDEX(N$27:N$43,$F463)</f>
        <v/>
      </c>
      <c r="O463" s="36">
        <f>O$10*$D463*INDEX(O$18:O$25,$E463)*INDEX(O$27:O$43,$F463)</f>
        <v/>
      </c>
      <c r="P463" s="36">
        <f>P$10*$D463*INDEX(P$18:P$25,$E463)*INDEX(P$27:P$43,$F463)</f>
        <v/>
      </c>
      <c r="Q463" s="36">
        <f>Q$10*$D463*INDEX(Q$18:Q$25,$E463)*INDEX(Q$27:Q$43,$F463)</f>
        <v/>
      </c>
      <c r="R463" s="36">
        <f>R$10*$D463*INDEX(R$18:R$25,$E463)*INDEX(R$27:R$43,$F463)</f>
        <v/>
      </c>
      <c r="S463" s="36">
        <f>S$10*$D463*INDEX(S$18:S$25,$E463)*INDEX(S$27:S$43,$F463)</f>
        <v/>
      </c>
      <c r="T463" s="36">
        <f>T$10*$D463*INDEX(T$18:T$25,$E463)*INDEX(T$27:T$43,$F463)</f>
        <v/>
      </c>
      <c r="U463" s="36">
        <f>U$10*$D463*INDEX(U$18:U$25,$E463)*INDEX(U$27:U$43,$F463)</f>
        <v/>
      </c>
      <c r="V463" s="36">
        <f>V$10*$D463*INDEX(V$18:V$25,$E463)*INDEX(V$27:V$43,$F463)</f>
        <v/>
      </c>
      <c r="W463" s="36">
        <f>W$10*$D463*INDEX(W$18:W$25,$E463)*INDEX(W$27:W$43,$F463)</f>
        <v/>
      </c>
      <c r="X463" s="36">
        <f>X$10*$D463*INDEX(X$18:X$25,$E463)*INDEX(X$27:X$43,$F463)</f>
        <v/>
      </c>
      <c r="Y463" s="36">
        <f>Y$10*$D463*INDEX(Y$18:Y$25,$E463)*INDEX(Y$27:Y$43,$F463)</f>
        <v/>
      </c>
      <c r="Z463" s="23">
        <f>LOWER(Settings!$C$4)&amp;".mit."&amp;$A463&amp;IF($C463="","","."&amp;$C463&amp;"."&amp;$B463)&amp;IF(INDEX(Variables!$D$5:$D$65,MATCH($A463,Variables!$A$5:$A$65,0))="","","."&amp;INDEX(Variables!$D$5:$D$65,MATCH($A463,Variables!$A$5:$A$65,0)))&amp;"."&amp;Z$5</f>
        <v/>
      </c>
      <c r="AA463" s="38">
        <f>AA$10*$D463*INDEX(AA$18:AA$25,$E463)*INDEX(AA$27:AA$43,$F463)</f>
        <v/>
      </c>
      <c r="AB463" s="36">
        <f>AB$10*$D463*INDEX(AB$18:AB$25,$E463)*INDEX(AB$27:AB$43,$F463)</f>
        <v/>
      </c>
      <c r="AC463" s="36">
        <f>AC$10*$D463*INDEX(AC$18:AC$25,$E463)*INDEX(AC$27:AC$43,$F463)</f>
        <v/>
      </c>
      <c r="AD463" s="36">
        <f>AD$10*$D463*INDEX(AD$18:AD$25,$E463)*INDEX(AD$27:AD$43,$F463)</f>
        <v/>
      </c>
      <c r="AE463" s="36">
        <f>AE$10*$D463*INDEX(AE$18:AE$25,$E463)*INDEX(AE$27:AE$43,$F463)</f>
        <v/>
      </c>
      <c r="AF463" s="36">
        <f>AF$10*$D463*INDEX(AF$18:AF$25,$E463)*INDEX(AF$27:AF$43,$F463)</f>
        <v/>
      </c>
      <c r="AG463" s="36">
        <f>AG$10*$D463*INDEX(AG$18:AG$25,$E463)*INDEX(AG$27:AG$43,$F463)</f>
        <v/>
      </c>
      <c r="AH463" s="36">
        <f>AH$10*$D463*INDEX(AH$18:AH$25,$E463)*INDEX(AH$27:AH$43,$F463)</f>
        <v/>
      </c>
      <c r="AI463" s="36">
        <f>AI$10*$D463*INDEX(AI$18:AI$25,$E463)*INDEX(AI$27:AI$43,$F463)</f>
        <v/>
      </c>
      <c r="AJ463" s="36">
        <f>AJ$10*$D463*INDEX(AJ$18:AJ$25,$E463)*INDEX(AJ$27:AJ$43,$F463)</f>
        <v/>
      </c>
      <c r="AK463" s="36">
        <f>AK$10*$D463*INDEX(AK$18:AK$25,$E463)*INDEX(AK$27:AK$43,$F463)</f>
        <v/>
      </c>
      <c r="AL463" s="36">
        <f>AL$10*$D463*INDEX(AL$18:AL$25,$E463)*INDEX(AL$27:AL$43,$F463)</f>
        <v/>
      </c>
      <c r="AM463" s="36">
        <f>AM$10*$D463*INDEX(AM$18:AM$25,$E463)*INDEX(AM$27:AM$43,$F463)</f>
        <v/>
      </c>
      <c r="AN463" s="36">
        <f>AN$10*$D463*INDEX(AN$18:AN$25,$E463)*INDEX(AN$27:AN$43,$F463)</f>
        <v/>
      </c>
    </row>
    <row r="464" hidden="1" outlineLevel="2"/>
    <row r="465" hidden="1" outlineLevel="2">
      <c r="A465" s="5" t="inlineStr">
        <is>
          <t>ntx</t>
        </is>
      </c>
      <c r="B465" s="5" t="inlineStr">
        <is>
          <t>coa</t>
        </is>
      </c>
      <c r="C465" s="5" t="inlineStr">
        <is>
          <t>res</t>
        </is>
      </c>
      <c r="D465" s="36">
        <f>INDEX(Inputs!$L$5:$L$132,MATCH($B465&amp;"|"&amp;$C465,Inputs!$A$5:$A$132,0))</f>
        <v/>
      </c>
      <c r="E465" s="36">
        <f>INDEX(Inputs!$I$5:$I$132,MATCH($B465&amp;"|"&amp;$C465,Inputs!$A$5:$A$132,0))</f>
        <v/>
      </c>
      <c r="F465" s="37" t="n"/>
      <c r="G465" s="37" t="n"/>
      <c r="H465" s="5">
        <f>INDEX(Variables!$B$5:$B$65,MATCH($A465,Variables!$A$5:$A$65,0))&amp;IF($C465="",""," | "&amp;INDEX(Mapping!$B$5:$B$25,MATCH($C465,Mapping!$A$5:$A$25,0))&amp;" | "&amp;INDEX(Mapping!$B$29:$B$38,MATCH($B465,Mapping!$A$29:$A$38,0)))</f>
        <v/>
      </c>
      <c r="I465" s="5">
        <f>INDEX(Variables!$C$5:$C$65,MATCH($A465,Variables!$A$5:$A$65,0))</f>
        <v/>
      </c>
      <c r="J465" s="5">
        <f>INDEX(Variables!$E$5:$E$65,MATCH($A465,Variables!$A$5:$A$65,0))</f>
        <v/>
      </c>
      <c r="K465" s="23">
        <f>LOWER(Settings!$C$4)&amp;".mit."&amp;$A465&amp;IF($C465="","","."&amp;$C465&amp;"."&amp;$B465)&amp;IF(INDEX(Variables!$D$5:$D$65,MATCH($A465,Variables!$A$5:$A$65,0))="","","."&amp;INDEX(Variables!$D$5:$D$65,MATCH($A465,Variables!$A$5:$A$65,0)))&amp;"."&amp;K$5</f>
        <v/>
      </c>
      <c r="L465" s="38">
        <f>INDEX(L$75:L$88,$D465)/$E465</f>
        <v/>
      </c>
      <c r="M465" s="36">
        <f>INDEX(M$75:M$88,$D465)/$E465</f>
        <v/>
      </c>
      <c r="N465" s="36">
        <f>INDEX(N$75:N$88,$D465)/$E465</f>
        <v/>
      </c>
      <c r="O465" s="36">
        <f>INDEX(O$75:O$88,$D465)/$E465</f>
        <v/>
      </c>
      <c r="P465" s="36">
        <f>INDEX(P$75:P$88,$D465)/$E465</f>
        <v/>
      </c>
      <c r="Q465" s="36">
        <f>INDEX(Q$75:Q$88,$D465)/$E465</f>
        <v/>
      </c>
      <c r="R465" s="36">
        <f>INDEX(R$75:R$88,$D465)/$E465</f>
        <v/>
      </c>
      <c r="S465" s="36">
        <f>INDEX(S$75:S$88,$D465)/$E465</f>
        <v/>
      </c>
      <c r="T465" s="36">
        <f>INDEX(T$75:T$88,$D465)/$E465</f>
        <v/>
      </c>
      <c r="U465" s="36">
        <f>INDEX(U$75:U$88,$D465)/$E465</f>
        <v/>
      </c>
      <c r="V465" s="36">
        <f>INDEX(V$75:V$88,$D465)/$E465</f>
        <v/>
      </c>
      <c r="W465" s="36">
        <f>INDEX(W$75:W$88,$D465)/$E465</f>
        <v/>
      </c>
      <c r="X465" s="36">
        <f>INDEX(X$75:X$88,$D465)/$E465</f>
        <v/>
      </c>
      <c r="Y465" s="36">
        <f>INDEX(Y$75:Y$88,$D465)/$E465</f>
        <v/>
      </c>
      <c r="Z465" s="23">
        <f>LOWER(Settings!$C$4)&amp;".mit."&amp;$A465&amp;IF($C465="","","."&amp;$C465&amp;"."&amp;$B465)&amp;IF(INDEX(Variables!$D$5:$D$65,MATCH($A465,Variables!$A$5:$A$65,0))="","","."&amp;INDEX(Variables!$D$5:$D$65,MATCH($A465,Variables!$A$5:$A$65,0)))&amp;"."&amp;Z$5</f>
        <v/>
      </c>
      <c r="AA465" s="38">
        <f>INDEX(AA$75:AA$88,$D465)/$E465</f>
        <v/>
      </c>
      <c r="AB465" s="36">
        <f>INDEX(AB$75:AB$88,$D465)/$E465</f>
        <v/>
      </c>
      <c r="AC465" s="36">
        <f>INDEX(AC$75:AC$88,$D465)/$E465</f>
        <v/>
      </c>
      <c r="AD465" s="36">
        <f>INDEX(AD$75:AD$88,$D465)/$E465</f>
        <v/>
      </c>
      <c r="AE465" s="36">
        <f>INDEX(AE$75:AE$88,$D465)/$E465</f>
        <v/>
      </c>
      <c r="AF465" s="36">
        <f>INDEX(AF$75:AF$88,$D465)/$E465</f>
        <v/>
      </c>
      <c r="AG465" s="36">
        <f>INDEX(AG$75:AG$88,$D465)/$E465</f>
        <v/>
      </c>
      <c r="AH465" s="36">
        <f>INDEX(AH$75:AH$88,$D465)/$E465</f>
        <v/>
      </c>
      <c r="AI465" s="36">
        <f>INDEX(AI$75:AI$88,$D465)/$E465</f>
        <v/>
      </c>
      <c r="AJ465" s="36">
        <f>INDEX(AJ$75:AJ$88,$D465)/$E465</f>
        <v/>
      </c>
      <c r="AK465" s="36">
        <f>INDEX(AK$75:AK$88,$D465)/$E465</f>
        <v/>
      </c>
      <c r="AL465" s="36">
        <f>INDEX(AL$75:AL$88,$D465)/$E465</f>
        <v/>
      </c>
      <c r="AM465" s="36">
        <f>INDEX(AM$75:AM$88,$D465)/$E465</f>
        <v/>
      </c>
      <c r="AN465" s="36">
        <f>INDEX(AN$75:AN$88,$D465)/$E465</f>
        <v/>
      </c>
    </row>
    <row r="466" hidden="1" outlineLevel="2">
      <c r="A466" s="5" t="inlineStr">
        <is>
          <t>ntx</t>
        </is>
      </c>
      <c r="B466" s="5" t="inlineStr">
        <is>
          <t>nga</t>
        </is>
      </c>
      <c r="C466" s="5" t="inlineStr">
        <is>
          <t>res</t>
        </is>
      </c>
      <c r="D466" s="36">
        <f>INDEX(Inputs!$L$5:$L$132,MATCH($B466&amp;"|"&amp;$C466,Inputs!$A$5:$A$132,0))</f>
        <v/>
      </c>
      <c r="E466" s="36">
        <f>INDEX(Inputs!$I$5:$I$132,MATCH($B466&amp;"|"&amp;$C466,Inputs!$A$5:$A$132,0))</f>
        <v/>
      </c>
      <c r="F466" s="37" t="n"/>
      <c r="G466" s="37" t="n"/>
      <c r="H466" s="5">
        <f>INDEX(Variables!$B$5:$B$65,MATCH($A466,Variables!$A$5:$A$65,0))&amp;IF($C466="",""," | "&amp;INDEX(Mapping!$B$5:$B$25,MATCH($C466,Mapping!$A$5:$A$25,0))&amp;" | "&amp;INDEX(Mapping!$B$29:$B$38,MATCH($B466,Mapping!$A$29:$A$38,0)))</f>
        <v/>
      </c>
      <c r="I466" s="5">
        <f>INDEX(Variables!$C$5:$C$65,MATCH($A466,Variables!$A$5:$A$65,0))</f>
        <v/>
      </c>
      <c r="J466" s="5">
        <f>INDEX(Variables!$E$5:$E$65,MATCH($A466,Variables!$A$5:$A$65,0))</f>
        <v/>
      </c>
      <c r="K466" s="23">
        <f>LOWER(Settings!$C$4)&amp;".mit."&amp;$A466&amp;IF($C466="","","."&amp;$C466&amp;"."&amp;$B466)&amp;IF(INDEX(Variables!$D$5:$D$65,MATCH($A466,Variables!$A$5:$A$65,0))="","","."&amp;INDEX(Variables!$D$5:$D$65,MATCH($A466,Variables!$A$5:$A$65,0)))&amp;"."&amp;K$5</f>
        <v/>
      </c>
      <c r="L466" s="38">
        <f>INDEX(L$75:L$88,$D466)/$E466</f>
        <v/>
      </c>
      <c r="M466" s="36">
        <f>INDEX(M$75:M$88,$D466)/$E466</f>
        <v/>
      </c>
      <c r="N466" s="36">
        <f>INDEX(N$75:N$88,$D466)/$E466</f>
        <v/>
      </c>
      <c r="O466" s="36">
        <f>INDEX(O$75:O$88,$D466)/$E466</f>
        <v/>
      </c>
      <c r="P466" s="36">
        <f>INDEX(P$75:P$88,$D466)/$E466</f>
        <v/>
      </c>
      <c r="Q466" s="36">
        <f>INDEX(Q$75:Q$88,$D466)/$E466</f>
        <v/>
      </c>
      <c r="R466" s="36">
        <f>INDEX(R$75:R$88,$D466)/$E466</f>
        <v/>
      </c>
      <c r="S466" s="36">
        <f>INDEX(S$75:S$88,$D466)/$E466</f>
        <v/>
      </c>
      <c r="T466" s="36">
        <f>INDEX(T$75:T$88,$D466)/$E466</f>
        <v/>
      </c>
      <c r="U466" s="36">
        <f>INDEX(U$75:U$88,$D466)/$E466</f>
        <v/>
      </c>
      <c r="V466" s="36">
        <f>INDEX(V$75:V$88,$D466)/$E466</f>
        <v/>
      </c>
      <c r="W466" s="36">
        <f>INDEX(W$75:W$88,$D466)/$E466</f>
        <v/>
      </c>
      <c r="X466" s="36">
        <f>INDEX(X$75:X$88,$D466)/$E466</f>
        <v/>
      </c>
      <c r="Y466" s="36">
        <f>INDEX(Y$75:Y$88,$D466)/$E466</f>
        <v/>
      </c>
      <c r="Z466" s="23">
        <f>LOWER(Settings!$C$4)&amp;".mit."&amp;$A466&amp;IF($C466="","","."&amp;$C466&amp;"."&amp;$B466)&amp;IF(INDEX(Variables!$D$5:$D$65,MATCH($A466,Variables!$A$5:$A$65,0))="","","."&amp;INDEX(Variables!$D$5:$D$65,MATCH($A466,Variables!$A$5:$A$65,0)))&amp;"."&amp;Z$5</f>
        <v/>
      </c>
      <c r="AA466" s="38">
        <f>INDEX(AA$75:AA$88,$D466)/$E466</f>
        <v/>
      </c>
      <c r="AB466" s="36">
        <f>INDEX(AB$75:AB$88,$D466)/$E466</f>
        <v/>
      </c>
      <c r="AC466" s="36">
        <f>INDEX(AC$75:AC$88,$D466)/$E466</f>
        <v/>
      </c>
      <c r="AD466" s="36">
        <f>INDEX(AD$75:AD$88,$D466)/$E466</f>
        <v/>
      </c>
      <c r="AE466" s="36">
        <f>INDEX(AE$75:AE$88,$D466)/$E466</f>
        <v/>
      </c>
      <c r="AF466" s="36">
        <f>INDEX(AF$75:AF$88,$D466)/$E466</f>
        <v/>
      </c>
      <c r="AG466" s="36">
        <f>INDEX(AG$75:AG$88,$D466)/$E466</f>
        <v/>
      </c>
      <c r="AH466" s="36">
        <f>INDEX(AH$75:AH$88,$D466)/$E466</f>
        <v/>
      </c>
      <c r="AI466" s="36">
        <f>INDEX(AI$75:AI$88,$D466)/$E466</f>
        <v/>
      </c>
      <c r="AJ466" s="36">
        <f>INDEX(AJ$75:AJ$88,$D466)/$E466</f>
        <v/>
      </c>
      <c r="AK466" s="36">
        <f>INDEX(AK$75:AK$88,$D466)/$E466</f>
        <v/>
      </c>
      <c r="AL466" s="36">
        <f>INDEX(AL$75:AL$88,$D466)/$E466</f>
        <v/>
      </c>
      <c r="AM466" s="36">
        <f>INDEX(AM$75:AM$88,$D466)/$E466</f>
        <v/>
      </c>
      <c r="AN466" s="36">
        <f>INDEX(AN$75:AN$88,$D466)/$E466</f>
        <v/>
      </c>
    </row>
    <row r="467" hidden="1" outlineLevel="2">
      <c r="A467" s="5" t="inlineStr">
        <is>
          <t>ntx</t>
        </is>
      </c>
      <c r="B467" s="5" t="inlineStr">
        <is>
          <t>gso</t>
        </is>
      </c>
      <c r="C467" s="5" t="inlineStr">
        <is>
          <t>res</t>
        </is>
      </c>
      <c r="D467" s="36">
        <f>INDEX(Inputs!$L$5:$L$132,MATCH($B467&amp;"|"&amp;$C467,Inputs!$A$5:$A$132,0))</f>
        <v/>
      </c>
      <c r="E467" s="36">
        <f>INDEX(Inputs!$I$5:$I$132,MATCH($B467&amp;"|"&amp;$C467,Inputs!$A$5:$A$132,0))</f>
        <v/>
      </c>
      <c r="F467" s="37" t="n"/>
      <c r="G467" s="37" t="n"/>
      <c r="H467" s="5">
        <f>INDEX(Variables!$B$5:$B$65,MATCH($A467,Variables!$A$5:$A$65,0))&amp;IF($C467="",""," | "&amp;INDEX(Mapping!$B$5:$B$25,MATCH($C467,Mapping!$A$5:$A$25,0))&amp;" | "&amp;INDEX(Mapping!$B$29:$B$38,MATCH($B467,Mapping!$A$29:$A$38,0)))</f>
        <v/>
      </c>
      <c r="I467" s="5">
        <f>INDEX(Variables!$C$5:$C$65,MATCH($A467,Variables!$A$5:$A$65,0))</f>
        <v/>
      </c>
      <c r="J467" s="5">
        <f>INDEX(Variables!$E$5:$E$65,MATCH($A467,Variables!$A$5:$A$65,0))</f>
        <v/>
      </c>
      <c r="K467" s="23">
        <f>LOWER(Settings!$C$4)&amp;".mit."&amp;$A467&amp;IF($C467="","","."&amp;$C467&amp;"."&amp;$B467)&amp;IF(INDEX(Variables!$D$5:$D$65,MATCH($A467,Variables!$A$5:$A$65,0))="","","."&amp;INDEX(Variables!$D$5:$D$65,MATCH($A467,Variables!$A$5:$A$65,0)))&amp;"."&amp;K$5</f>
        <v/>
      </c>
      <c r="L467" s="38">
        <f>INDEX(L$75:L$88,$D467)/$E467</f>
        <v/>
      </c>
      <c r="M467" s="36">
        <f>INDEX(M$75:M$88,$D467)/$E467</f>
        <v/>
      </c>
      <c r="N467" s="36">
        <f>INDEX(N$75:N$88,$D467)/$E467</f>
        <v/>
      </c>
      <c r="O467" s="36">
        <f>INDEX(O$75:O$88,$D467)/$E467</f>
        <v/>
      </c>
      <c r="P467" s="36">
        <f>INDEX(P$75:P$88,$D467)/$E467</f>
        <v/>
      </c>
      <c r="Q467" s="36">
        <f>INDEX(Q$75:Q$88,$D467)/$E467</f>
        <v/>
      </c>
      <c r="R467" s="36">
        <f>INDEX(R$75:R$88,$D467)/$E467</f>
        <v/>
      </c>
      <c r="S467" s="36">
        <f>INDEX(S$75:S$88,$D467)/$E467</f>
        <v/>
      </c>
      <c r="T467" s="36">
        <f>INDEX(T$75:T$88,$D467)/$E467</f>
        <v/>
      </c>
      <c r="U467" s="36">
        <f>INDEX(U$75:U$88,$D467)/$E467</f>
        <v/>
      </c>
      <c r="V467" s="36">
        <f>INDEX(V$75:V$88,$D467)/$E467</f>
        <v/>
      </c>
      <c r="W467" s="36">
        <f>INDEX(W$75:W$88,$D467)/$E467</f>
        <v/>
      </c>
      <c r="X467" s="36">
        <f>INDEX(X$75:X$88,$D467)/$E467</f>
        <v/>
      </c>
      <c r="Y467" s="36">
        <f>INDEX(Y$75:Y$88,$D467)/$E467</f>
        <v/>
      </c>
      <c r="Z467" s="23">
        <f>LOWER(Settings!$C$4)&amp;".mit."&amp;$A467&amp;IF($C467="","","."&amp;$C467&amp;"."&amp;$B467)&amp;IF(INDEX(Variables!$D$5:$D$65,MATCH($A467,Variables!$A$5:$A$65,0))="","","."&amp;INDEX(Variables!$D$5:$D$65,MATCH($A467,Variables!$A$5:$A$65,0)))&amp;"."&amp;Z$5</f>
        <v/>
      </c>
      <c r="AA467" s="38">
        <f>INDEX(AA$75:AA$88,$D467)/$E467</f>
        <v/>
      </c>
      <c r="AB467" s="36">
        <f>INDEX(AB$75:AB$88,$D467)/$E467</f>
        <v/>
      </c>
      <c r="AC467" s="36">
        <f>INDEX(AC$75:AC$88,$D467)/$E467</f>
        <v/>
      </c>
      <c r="AD467" s="36">
        <f>INDEX(AD$75:AD$88,$D467)/$E467</f>
        <v/>
      </c>
      <c r="AE467" s="36">
        <f>INDEX(AE$75:AE$88,$D467)/$E467</f>
        <v/>
      </c>
      <c r="AF467" s="36">
        <f>INDEX(AF$75:AF$88,$D467)/$E467</f>
        <v/>
      </c>
      <c r="AG467" s="36">
        <f>INDEX(AG$75:AG$88,$D467)/$E467</f>
        <v/>
      </c>
      <c r="AH467" s="36">
        <f>INDEX(AH$75:AH$88,$D467)/$E467</f>
        <v/>
      </c>
      <c r="AI467" s="36">
        <f>INDEX(AI$75:AI$88,$D467)/$E467</f>
        <v/>
      </c>
      <c r="AJ467" s="36">
        <f>INDEX(AJ$75:AJ$88,$D467)/$E467</f>
        <v/>
      </c>
      <c r="AK467" s="36">
        <f>INDEX(AK$75:AK$88,$D467)/$E467</f>
        <v/>
      </c>
      <c r="AL467" s="36">
        <f>INDEX(AL$75:AL$88,$D467)/$E467</f>
        <v/>
      </c>
      <c r="AM467" s="36">
        <f>INDEX(AM$75:AM$88,$D467)/$E467</f>
        <v/>
      </c>
      <c r="AN467" s="36">
        <f>INDEX(AN$75:AN$88,$D467)/$E467</f>
        <v/>
      </c>
    </row>
    <row r="468" hidden="1" outlineLevel="2">
      <c r="A468" s="5" t="inlineStr">
        <is>
          <t>ntx</t>
        </is>
      </c>
      <c r="B468" s="5" t="inlineStr">
        <is>
          <t>die</t>
        </is>
      </c>
      <c r="C468" s="5" t="inlineStr">
        <is>
          <t>res</t>
        </is>
      </c>
      <c r="D468" s="36">
        <f>INDEX(Inputs!$L$5:$L$132,MATCH($B468&amp;"|"&amp;$C468,Inputs!$A$5:$A$132,0))</f>
        <v/>
      </c>
      <c r="E468" s="36">
        <f>INDEX(Inputs!$I$5:$I$132,MATCH($B468&amp;"|"&amp;$C468,Inputs!$A$5:$A$132,0))</f>
        <v/>
      </c>
      <c r="F468" s="37" t="n"/>
      <c r="G468" s="37" t="n"/>
      <c r="H468" s="5">
        <f>INDEX(Variables!$B$5:$B$65,MATCH($A468,Variables!$A$5:$A$65,0))&amp;IF($C468="",""," | "&amp;INDEX(Mapping!$B$5:$B$25,MATCH($C468,Mapping!$A$5:$A$25,0))&amp;" | "&amp;INDEX(Mapping!$B$29:$B$38,MATCH($B468,Mapping!$A$29:$A$38,0)))</f>
        <v/>
      </c>
      <c r="I468" s="5">
        <f>INDEX(Variables!$C$5:$C$65,MATCH($A468,Variables!$A$5:$A$65,0))</f>
        <v/>
      </c>
      <c r="J468" s="5">
        <f>INDEX(Variables!$E$5:$E$65,MATCH($A468,Variables!$A$5:$A$65,0))</f>
        <v/>
      </c>
      <c r="K468" s="23">
        <f>LOWER(Settings!$C$4)&amp;".mit."&amp;$A468&amp;IF($C468="","","."&amp;$C468&amp;"."&amp;$B468)&amp;IF(INDEX(Variables!$D$5:$D$65,MATCH($A468,Variables!$A$5:$A$65,0))="","","."&amp;INDEX(Variables!$D$5:$D$65,MATCH($A468,Variables!$A$5:$A$65,0)))&amp;"."&amp;K$5</f>
        <v/>
      </c>
      <c r="L468" s="38">
        <f>INDEX(L$75:L$88,$D468)/$E468</f>
        <v/>
      </c>
      <c r="M468" s="36">
        <f>INDEX(M$75:M$88,$D468)/$E468</f>
        <v/>
      </c>
      <c r="N468" s="36">
        <f>INDEX(N$75:N$88,$D468)/$E468</f>
        <v/>
      </c>
      <c r="O468" s="36">
        <f>INDEX(O$75:O$88,$D468)/$E468</f>
        <v/>
      </c>
      <c r="P468" s="36">
        <f>INDEX(P$75:P$88,$D468)/$E468</f>
        <v/>
      </c>
      <c r="Q468" s="36">
        <f>INDEX(Q$75:Q$88,$D468)/$E468</f>
        <v/>
      </c>
      <c r="R468" s="36">
        <f>INDEX(R$75:R$88,$D468)/$E468</f>
        <v/>
      </c>
      <c r="S468" s="36">
        <f>INDEX(S$75:S$88,$D468)/$E468</f>
        <v/>
      </c>
      <c r="T468" s="36">
        <f>INDEX(T$75:T$88,$D468)/$E468</f>
        <v/>
      </c>
      <c r="U468" s="36">
        <f>INDEX(U$75:U$88,$D468)/$E468</f>
        <v/>
      </c>
      <c r="V468" s="36">
        <f>INDEX(V$75:V$88,$D468)/$E468</f>
        <v/>
      </c>
      <c r="W468" s="36">
        <f>INDEX(W$75:W$88,$D468)/$E468</f>
        <v/>
      </c>
      <c r="X468" s="36">
        <f>INDEX(X$75:X$88,$D468)/$E468</f>
        <v/>
      </c>
      <c r="Y468" s="36">
        <f>INDEX(Y$75:Y$88,$D468)/$E468</f>
        <v/>
      </c>
      <c r="Z468" s="23">
        <f>LOWER(Settings!$C$4)&amp;".mit."&amp;$A468&amp;IF($C468="","","."&amp;$C468&amp;"."&amp;$B468)&amp;IF(INDEX(Variables!$D$5:$D$65,MATCH($A468,Variables!$A$5:$A$65,0))="","","."&amp;INDEX(Variables!$D$5:$D$65,MATCH($A468,Variables!$A$5:$A$65,0)))&amp;"."&amp;Z$5</f>
        <v/>
      </c>
      <c r="AA468" s="38">
        <f>INDEX(AA$75:AA$88,$D468)/$E468</f>
        <v/>
      </c>
      <c r="AB468" s="36">
        <f>INDEX(AB$75:AB$88,$D468)/$E468</f>
        <v/>
      </c>
      <c r="AC468" s="36">
        <f>INDEX(AC$75:AC$88,$D468)/$E468</f>
        <v/>
      </c>
      <c r="AD468" s="36">
        <f>INDEX(AD$75:AD$88,$D468)/$E468</f>
        <v/>
      </c>
      <c r="AE468" s="36">
        <f>INDEX(AE$75:AE$88,$D468)/$E468</f>
        <v/>
      </c>
      <c r="AF468" s="36">
        <f>INDEX(AF$75:AF$88,$D468)/$E468</f>
        <v/>
      </c>
      <c r="AG468" s="36">
        <f>INDEX(AG$75:AG$88,$D468)/$E468</f>
        <v/>
      </c>
      <c r="AH468" s="36">
        <f>INDEX(AH$75:AH$88,$D468)/$E468</f>
        <v/>
      </c>
      <c r="AI468" s="36">
        <f>INDEX(AI$75:AI$88,$D468)/$E468</f>
        <v/>
      </c>
      <c r="AJ468" s="36">
        <f>INDEX(AJ$75:AJ$88,$D468)/$E468</f>
        <v/>
      </c>
      <c r="AK468" s="36">
        <f>INDEX(AK$75:AK$88,$D468)/$E468</f>
        <v/>
      </c>
      <c r="AL468" s="36">
        <f>INDEX(AL$75:AL$88,$D468)/$E468</f>
        <v/>
      </c>
      <c r="AM468" s="36">
        <f>INDEX(AM$75:AM$88,$D468)/$E468</f>
        <v/>
      </c>
      <c r="AN468" s="36">
        <f>INDEX(AN$75:AN$88,$D468)/$E468</f>
        <v/>
      </c>
    </row>
    <row r="469" hidden="1" outlineLevel="2">
      <c r="A469" s="5" t="inlineStr">
        <is>
          <t>ntx</t>
        </is>
      </c>
      <c r="B469" s="5" t="inlineStr">
        <is>
          <t>lpg</t>
        </is>
      </c>
      <c r="C469" s="5" t="inlineStr">
        <is>
          <t>res</t>
        </is>
      </c>
      <c r="D469" s="36">
        <f>INDEX(Inputs!$L$5:$L$132,MATCH($B469&amp;"|"&amp;$C469,Inputs!$A$5:$A$132,0))</f>
        <v/>
      </c>
      <c r="E469" s="36">
        <f>INDEX(Inputs!$I$5:$I$132,MATCH($B469&amp;"|"&amp;$C469,Inputs!$A$5:$A$132,0))</f>
        <v/>
      </c>
      <c r="F469" s="37" t="n"/>
      <c r="G469" s="37" t="n"/>
      <c r="H469" s="5">
        <f>INDEX(Variables!$B$5:$B$65,MATCH($A469,Variables!$A$5:$A$65,0))&amp;IF($C469="",""," | "&amp;INDEX(Mapping!$B$5:$B$25,MATCH($C469,Mapping!$A$5:$A$25,0))&amp;" | "&amp;INDEX(Mapping!$B$29:$B$38,MATCH($B469,Mapping!$A$29:$A$38,0)))</f>
        <v/>
      </c>
      <c r="I469" s="5">
        <f>INDEX(Variables!$C$5:$C$65,MATCH($A469,Variables!$A$5:$A$65,0))</f>
        <v/>
      </c>
      <c r="J469" s="5">
        <f>INDEX(Variables!$E$5:$E$65,MATCH($A469,Variables!$A$5:$A$65,0))</f>
        <v/>
      </c>
      <c r="K469" s="23">
        <f>LOWER(Settings!$C$4)&amp;".mit."&amp;$A469&amp;IF($C469="","","."&amp;$C469&amp;"."&amp;$B469)&amp;IF(INDEX(Variables!$D$5:$D$65,MATCH($A469,Variables!$A$5:$A$65,0))="","","."&amp;INDEX(Variables!$D$5:$D$65,MATCH($A469,Variables!$A$5:$A$65,0)))&amp;"."&amp;K$5</f>
        <v/>
      </c>
      <c r="L469" s="38">
        <f>INDEX(L$75:L$88,$D469)/$E469</f>
        <v/>
      </c>
      <c r="M469" s="36">
        <f>INDEX(M$75:M$88,$D469)/$E469</f>
        <v/>
      </c>
      <c r="N469" s="36">
        <f>INDEX(N$75:N$88,$D469)/$E469</f>
        <v/>
      </c>
      <c r="O469" s="36">
        <f>INDEX(O$75:O$88,$D469)/$E469</f>
        <v/>
      </c>
      <c r="P469" s="36">
        <f>INDEX(P$75:P$88,$D469)/$E469</f>
        <v/>
      </c>
      <c r="Q469" s="36">
        <f>INDEX(Q$75:Q$88,$D469)/$E469</f>
        <v/>
      </c>
      <c r="R469" s="36">
        <f>INDEX(R$75:R$88,$D469)/$E469</f>
        <v/>
      </c>
      <c r="S469" s="36">
        <f>INDEX(S$75:S$88,$D469)/$E469</f>
        <v/>
      </c>
      <c r="T469" s="36">
        <f>INDEX(T$75:T$88,$D469)/$E469</f>
        <v/>
      </c>
      <c r="U469" s="36">
        <f>INDEX(U$75:U$88,$D469)/$E469</f>
        <v/>
      </c>
      <c r="V469" s="36">
        <f>INDEX(V$75:V$88,$D469)/$E469</f>
        <v/>
      </c>
      <c r="W469" s="36">
        <f>INDEX(W$75:W$88,$D469)/$E469</f>
        <v/>
      </c>
      <c r="X469" s="36">
        <f>INDEX(X$75:X$88,$D469)/$E469</f>
        <v/>
      </c>
      <c r="Y469" s="36">
        <f>INDEX(Y$75:Y$88,$D469)/$E469</f>
        <v/>
      </c>
      <c r="Z469" s="23">
        <f>LOWER(Settings!$C$4)&amp;".mit."&amp;$A469&amp;IF($C469="","","."&amp;$C469&amp;"."&amp;$B469)&amp;IF(INDEX(Variables!$D$5:$D$65,MATCH($A469,Variables!$A$5:$A$65,0))="","","."&amp;INDEX(Variables!$D$5:$D$65,MATCH($A469,Variables!$A$5:$A$65,0)))&amp;"."&amp;Z$5</f>
        <v/>
      </c>
      <c r="AA469" s="38">
        <f>INDEX(AA$75:AA$88,$D469)/$E469</f>
        <v/>
      </c>
      <c r="AB469" s="36">
        <f>INDEX(AB$75:AB$88,$D469)/$E469</f>
        <v/>
      </c>
      <c r="AC469" s="36">
        <f>INDEX(AC$75:AC$88,$D469)/$E469</f>
        <v/>
      </c>
      <c r="AD469" s="36">
        <f>INDEX(AD$75:AD$88,$D469)/$E469</f>
        <v/>
      </c>
      <c r="AE469" s="36">
        <f>INDEX(AE$75:AE$88,$D469)/$E469</f>
        <v/>
      </c>
      <c r="AF469" s="36">
        <f>INDEX(AF$75:AF$88,$D469)/$E469</f>
        <v/>
      </c>
      <c r="AG469" s="36">
        <f>INDEX(AG$75:AG$88,$D469)/$E469</f>
        <v/>
      </c>
      <c r="AH469" s="36">
        <f>INDEX(AH$75:AH$88,$D469)/$E469</f>
        <v/>
      </c>
      <c r="AI469" s="36">
        <f>INDEX(AI$75:AI$88,$D469)/$E469</f>
        <v/>
      </c>
      <c r="AJ469" s="36">
        <f>INDEX(AJ$75:AJ$88,$D469)/$E469</f>
        <v/>
      </c>
      <c r="AK469" s="36">
        <f>INDEX(AK$75:AK$88,$D469)/$E469</f>
        <v/>
      </c>
      <c r="AL469" s="36">
        <f>INDEX(AL$75:AL$88,$D469)/$E469</f>
        <v/>
      </c>
      <c r="AM469" s="36">
        <f>INDEX(AM$75:AM$88,$D469)/$E469</f>
        <v/>
      </c>
      <c r="AN469" s="36">
        <f>INDEX(AN$75:AN$88,$D469)/$E469</f>
        <v/>
      </c>
    </row>
    <row r="470" hidden="1" outlineLevel="2">
      <c r="A470" s="5" t="inlineStr">
        <is>
          <t>ntx</t>
        </is>
      </c>
      <c r="B470" s="5" t="inlineStr">
        <is>
          <t>ker</t>
        </is>
      </c>
      <c r="C470" s="5" t="inlineStr">
        <is>
          <t>res</t>
        </is>
      </c>
      <c r="D470" s="36">
        <f>INDEX(Inputs!$L$5:$L$132,MATCH($B470&amp;"|"&amp;$C470,Inputs!$A$5:$A$132,0))</f>
        <v/>
      </c>
      <c r="E470" s="36">
        <f>INDEX(Inputs!$I$5:$I$132,MATCH($B470&amp;"|"&amp;$C470,Inputs!$A$5:$A$132,0))</f>
        <v/>
      </c>
      <c r="F470" s="37" t="n"/>
      <c r="G470" s="37" t="n"/>
      <c r="H470" s="5">
        <f>INDEX(Variables!$B$5:$B$65,MATCH($A470,Variables!$A$5:$A$65,0))&amp;IF($C470="",""," | "&amp;INDEX(Mapping!$B$5:$B$25,MATCH($C470,Mapping!$A$5:$A$25,0))&amp;" | "&amp;INDEX(Mapping!$B$29:$B$38,MATCH($B470,Mapping!$A$29:$A$38,0)))</f>
        <v/>
      </c>
      <c r="I470" s="5">
        <f>INDEX(Variables!$C$5:$C$65,MATCH($A470,Variables!$A$5:$A$65,0))</f>
        <v/>
      </c>
      <c r="J470" s="5">
        <f>INDEX(Variables!$E$5:$E$65,MATCH($A470,Variables!$A$5:$A$65,0))</f>
        <v/>
      </c>
      <c r="K470" s="23">
        <f>LOWER(Settings!$C$4)&amp;".mit."&amp;$A470&amp;IF($C470="","","."&amp;$C470&amp;"."&amp;$B470)&amp;IF(INDEX(Variables!$D$5:$D$65,MATCH($A470,Variables!$A$5:$A$65,0))="","","."&amp;INDEX(Variables!$D$5:$D$65,MATCH($A470,Variables!$A$5:$A$65,0)))&amp;"."&amp;K$5</f>
        <v/>
      </c>
      <c r="L470" s="38">
        <f>INDEX(L$75:L$88,$D470)/$E470</f>
        <v/>
      </c>
      <c r="M470" s="36">
        <f>INDEX(M$75:M$88,$D470)/$E470</f>
        <v/>
      </c>
      <c r="N470" s="36">
        <f>INDEX(N$75:N$88,$D470)/$E470</f>
        <v/>
      </c>
      <c r="O470" s="36">
        <f>INDEX(O$75:O$88,$D470)/$E470</f>
        <v/>
      </c>
      <c r="P470" s="36">
        <f>INDEX(P$75:P$88,$D470)/$E470</f>
        <v/>
      </c>
      <c r="Q470" s="36">
        <f>INDEX(Q$75:Q$88,$D470)/$E470</f>
        <v/>
      </c>
      <c r="R470" s="36">
        <f>INDEX(R$75:R$88,$D470)/$E470</f>
        <v/>
      </c>
      <c r="S470" s="36">
        <f>INDEX(S$75:S$88,$D470)/$E470</f>
        <v/>
      </c>
      <c r="T470" s="36">
        <f>INDEX(T$75:T$88,$D470)/$E470</f>
        <v/>
      </c>
      <c r="U470" s="36">
        <f>INDEX(U$75:U$88,$D470)/$E470</f>
        <v/>
      </c>
      <c r="V470" s="36">
        <f>INDEX(V$75:V$88,$D470)/$E470</f>
        <v/>
      </c>
      <c r="W470" s="36">
        <f>INDEX(W$75:W$88,$D470)/$E470</f>
        <v/>
      </c>
      <c r="X470" s="36">
        <f>INDEX(X$75:X$88,$D470)/$E470</f>
        <v/>
      </c>
      <c r="Y470" s="36">
        <f>INDEX(Y$75:Y$88,$D470)/$E470</f>
        <v/>
      </c>
      <c r="Z470" s="23">
        <f>LOWER(Settings!$C$4)&amp;".mit."&amp;$A470&amp;IF($C470="","","."&amp;$C470&amp;"."&amp;$B470)&amp;IF(INDEX(Variables!$D$5:$D$65,MATCH($A470,Variables!$A$5:$A$65,0))="","","."&amp;INDEX(Variables!$D$5:$D$65,MATCH($A470,Variables!$A$5:$A$65,0)))&amp;"."&amp;Z$5</f>
        <v/>
      </c>
      <c r="AA470" s="38">
        <f>INDEX(AA$75:AA$88,$D470)/$E470</f>
        <v/>
      </c>
      <c r="AB470" s="36">
        <f>INDEX(AB$75:AB$88,$D470)/$E470</f>
        <v/>
      </c>
      <c r="AC470" s="36">
        <f>INDEX(AC$75:AC$88,$D470)/$E470</f>
        <v/>
      </c>
      <c r="AD470" s="36">
        <f>INDEX(AD$75:AD$88,$D470)/$E470</f>
        <v/>
      </c>
      <c r="AE470" s="36">
        <f>INDEX(AE$75:AE$88,$D470)/$E470</f>
        <v/>
      </c>
      <c r="AF470" s="36">
        <f>INDEX(AF$75:AF$88,$D470)/$E470</f>
        <v/>
      </c>
      <c r="AG470" s="36">
        <f>INDEX(AG$75:AG$88,$D470)/$E470</f>
        <v/>
      </c>
      <c r="AH470" s="36">
        <f>INDEX(AH$75:AH$88,$D470)/$E470</f>
        <v/>
      </c>
      <c r="AI470" s="36">
        <f>INDEX(AI$75:AI$88,$D470)/$E470</f>
        <v/>
      </c>
      <c r="AJ470" s="36">
        <f>INDEX(AJ$75:AJ$88,$D470)/$E470</f>
        <v/>
      </c>
      <c r="AK470" s="36">
        <f>INDEX(AK$75:AK$88,$D470)/$E470</f>
        <v/>
      </c>
      <c r="AL470" s="36">
        <f>INDEX(AL$75:AL$88,$D470)/$E470</f>
        <v/>
      </c>
      <c r="AM470" s="36">
        <f>INDEX(AM$75:AM$88,$D470)/$E470</f>
        <v/>
      </c>
      <c r="AN470" s="36">
        <f>INDEX(AN$75:AN$88,$D470)/$E470</f>
        <v/>
      </c>
    </row>
    <row r="471" hidden="1" outlineLevel="2">
      <c r="A471" s="5" t="inlineStr">
        <is>
          <t>ntx</t>
        </is>
      </c>
      <c r="B471" s="5" t="inlineStr">
        <is>
          <t>oop</t>
        </is>
      </c>
      <c r="C471" s="5" t="inlineStr">
        <is>
          <t>res</t>
        </is>
      </c>
      <c r="D471" s="36">
        <f>INDEX(Inputs!$L$5:$L$132,MATCH($B471&amp;"|"&amp;$C471,Inputs!$A$5:$A$132,0))</f>
        <v/>
      </c>
      <c r="E471" s="36">
        <f>INDEX(Inputs!$I$5:$I$132,MATCH($B471&amp;"|"&amp;$C471,Inputs!$A$5:$A$132,0))</f>
        <v/>
      </c>
      <c r="F471" s="37" t="n"/>
      <c r="G471" s="37" t="n"/>
      <c r="H471" s="5">
        <f>INDEX(Variables!$B$5:$B$65,MATCH($A471,Variables!$A$5:$A$65,0))&amp;IF($C471="",""," | "&amp;INDEX(Mapping!$B$5:$B$25,MATCH($C471,Mapping!$A$5:$A$25,0))&amp;" | "&amp;INDEX(Mapping!$B$29:$B$38,MATCH($B471,Mapping!$A$29:$A$38,0)))</f>
        <v/>
      </c>
      <c r="I471" s="5">
        <f>INDEX(Variables!$C$5:$C$65,MATCH($A471,Variables!$A$5:$A$65,0))</f>
        <v/>
      </c>
      <c r="J471" s="5">
        <f>INDEX(Variables!$E$5:$E$65,MATCH($A471,Variables!$A$5:$A$65,0))</f>
        <v/>
      </c>
      <c r="K471" s="23">
        <f>LOWER(Settings!$C$4)&amp;".mit."&amp;$A471&amp;IF($C471="","","."&amp;$C471&amp;"."&amp;$B471)&amp;IF(INDEX(Variables!$D$5:$D$65,MATCH($A471,Variables!$A$5:$A$65,0))="","","."&amp;INDEX(Variables!$D$5:$D$65,MATCH($A471,Variables!$A$5:$A$65,0)))&amp;"."&amp;K$5</f>
        <v/>
      </c>
      <c r="L471" s="38">
        <f>INDEX(L$75:L$88,$D471)/$E471</f>
        <v/>
      </c>
      <c r="M471" s="36">
        <f>INDEX(M$75:M$88,$D471)/$E471</f>
        <v/>
      </c>
      <c r="N471" s="36">
        <f>INDEX(N$75:N$88,$D471)/$E471</f>
        <v/>
      </c>
      <c r="O471" s="36">
        <f>INDEX(O$75:O$88,$D471)/$E471</f>
        <v/>
      </c>
      <c r="P471" s="36">
        <f>INDEX(P$75:P$88,$D471)/$E471</f>
        <v/>
      </c>
      <c r="Q471" s="36">
        <f>INDEX(Q$75:Q$88,$D471)/$E471</f>
        <v/>
      </c>
      <c r="R471" s="36">
        <f>INDEX(R$75:R$88,$D471)/$E471</f>
        <v/>
      </c>
      <c r="S471" s="36">
        <f>INDEX(S$75:S$88,$D471)/$E471</f>
        <v/>
      </c>
      <c r="T471" s="36">
        <f>INDEX(T$75:T$88,$D471)/$E471</f>
        <v/>
      </c>
      <c r="U471" s="36">
        <f>INDEX(U$75:U$88,$D471)/$E471</f>
        <v/>
      </c>
      <c r="V471" s="36">
        <f>INDEX(V$75:V$88,$D471)/$E471</f>
        <v/>
      </c>
      <c r="W471" s="36">
        <f>INDEX(W$75:W$88,$D471)/$E471</f>
        <v/>
      </c>
      <c r="X471" s="36">
        <f>INDEX(X$75:X$88,$D471)/$E471</f>
        <v/>
      </c>
      <c r="Y471" s="36">
        <f>INDEX(Y$75:Y$88,$D471)/$E471</f>
        <v/>
      </c>
      <c r="Z471" s="23">
        <f>LOWER(Settings!$C$4)&amp;".mit."&amp;$A471&amp;IF($C471="","","."&amp;$C471&amp;"."&amp;$B471)&amp;IF(INDEX(Variables!$D$5:$D$65,MATCH($A471,Variables!$A$5:$A$65,0))="","","."&amp;INDEX(Variables!$D$5:$D$65,MATCH($A471,Variables!$A$5:$A$65,0)))&amp;"."&amp;Z$5</f>
        <v/>
      </c>
      <c r="AA471" s="38">
        <f>INDEX(AA$75:AA$88,$D471)/$E471</f>
        <v/>
      </c>
      <c r="AB471" s="36">
        <f>INDEX(AB$75:AB$88,$D471)/$E471</f>
        <v/>
      </c>
      <c r="AC471" s="36">
        <f>INDEX(AC$75:AC$88,$D471)/$E471</f>
        <v/>
      </c>
      <c r="AD471" s="36">
        <f>INDEX(AD$75:AD$88,$D471)/$E471</f>
        <v/>
      </c>
      <c r="AE471" s="36">
        <f>INDEX(AE$75:AE$88,$D471)/$E471</f>
        <v/>
      </c>
      <c r="AF471" s="36">
        <f>INDEX(AF$75:AF$88,$D471)/$E471</f>
        <v/>
      </c>
      <c r="AG471" s="36">
        <f>INDEX(AG$75:AG$88,$D471)/$E471</f>
        <v/>
      </c>
      <c r="AH471" s="36">
        <f>INDEX(AH$75:AH$88,$D471)/$E471</f>
        <v/>
      </c>
      <c r="AI471" s="36">
        <f>INDEX(AI$75:AI$88,$D471)/$E471</f>
        <v/>
      </c>
      <c r="AJ471" s="36">
        <f>INDEX(AJ$75:AJ$88,$D471)/$E471</f>
        <v/>
      </c>
      <c r="AK471" s="36">
        <f>INDEX(AK$75:AK$88,$D471)/$E471</f>
        <v/>
      </c>
      <c r="AL471" s="36">
        <f>INDEX(AL$75:AL$88,$D471)/$E471</f>
        <v/>
      </c>
      <c r="AM471" s="36">
        <f>INDEX(AM$75:AM$88,$D471)/$E471</f>
        <v/>
      </c>
      <c r="AN471" s="36">
        <f>INDEX(AN$75:AN$88,$D471)/$E471</f>
        <v/>
      </c>
    </row>
    <row r="472" hidden="1" outlineLevel="2">
      <c r="A472" s="5" t="inlineStr">
        <is>
          <t>ntx</t>
        </is>
      </c>
      <c r="B472" s="5" t="inlineStr">
        <is>
          <t>bio</t>
        </is>
      </c>
      <c r="C472" s="5" t="inlineStr">
        <is>
          <t>res</t>
        </is>
      </c>
      <c r="D472" s="36">
        <f>INDEX(Inputs!$L$5:$L$132,MATCH($B472&amp;"|"&amp;$C472,Inputs!$A$5:$A$132,0))</f>
        <v/>
      </c>
      <c r="E472" s="36">
        <f>INDEX(Inputs!$I$5:$I$132,MATCH($B472&amp;"|"&amp;$C472,Inputs!$A$5:$A$132,0))</f>
        <v/>
      </c>
      <c r="F472" s="37" t="n"/>
      <c r="G472" s="37" t="n"/>
      <c r="H472" s="5">
        <f>INDEX(Variables!$B$5:$B$65,MATCH($A472,Variables!$A$5:$A$65,0))&amp;IF($C472="",""," | "&amp;INDEX(Mapping!$B$5:$B$25,MATCH($C472,Mapping!$A$5:$A$25,0))&amp;" | "&amp;INDEX(Mapping!$B$29:$B$38,MATCH($B472,Mapping!$A$29:$A$38,0)))</f>
        <v/>
      </c>
      <c r="I472" s="5">
        <f>INDEX(Variables!$C$5:$C$65,MATCH($A472,Variables!$A$5:$A$65,0))</f>
        <v/>
      </c>
      <c r="J472" s="5">
        <f>INDEX(Variables!$E$5:$E$65,MATCH($A472,Variables!$A$5:$A$65,0))</f>
        <v/>
      </c>
      <c r="K472" s="23">
        <f>LOWER(Settings!$C$4)&amp;".mit."&amp;$A472&amp;IF($C472="","","."&amp;$C472&amp;"."&amp;$B472)&amp;IF(INDEX(Variables!$D$5:$D$65,MATCH($A472,Variables!$A$5:$A$65,0))="","","."&amp;INDEX(Variables!$D$5:$D$65,MATCH($A472,Variables!$A$5:$A$65,0)))&amp;"."&amp;K$5</f>
        <v/>
      </c>
      <c r="L472" s="38">
        <f>INDEX(L$75:L$88,$D472)/$E472</f>
        <v/>
      </c>
      <c r="M472" s="36">
        <f>INDEX(M$75:M$88,$D472)/$E472</f>
        <v/>
      </c>
      <c r="N472" s="36">
        <f>INDEX(N$75:N$88,$D472)/$E472</f>
        <v/>
      </c>
      <c r="O472" s="36">
        <f>INDEX(O$75:O$88,$D472)/$E472</f>
        <v/>
      </c>
      <c r="P472" s="36">
        <f>INDEX(P$75:P$88,$D472)/$E472</f>
        <v/>
      </c>
      <c r="Q472" s="36">
        <f>INDEX(Q$75:Q$88,$D472)/$E472</f>
        <v/>
      </c>
      <c r="R472" s="36">
        <f>INDEX(R$75:R$88,$D472)/$E472</f>
        <v/>
      </c>
      <c r="S472" s="36">
        <f>INDEX(S$75:S$88,$D472)/$E472</f>
        <v/>
      </c>
      <c r="T472" s="36">
        <f>INDEX(T$75:T$88,$D472)/$E472</f>
        <v/>
      </c>
      <c r="U472" s="36">
        <f>INDEX(U$75:U$88,$D472)/$E472</f>
        <v/>
      </c>
      <c r="V472" s="36">
        <f>INDEX(V$75:V$88,$D472)/$E472</f>
        <v/>
      </c>
      <c r="W472" s="36">
        <f>INDEX(W$75:W$88,$D472)/$E472</f>
        <v/>
      </c>
      <c r="X472" s="36">
        <f>INDEX(X$75:X$88,$D472)/$E472</f>
        <v/>
      </c>
      <c r="Y472" s="36">
        <f>INDEX(Y$75:Y$88,$D472)/$E472</f>
        <v/>
      </c>
      <c r="Z472" s="23">
        <f>LOWER(Settings!$C$4)&amp;".mit."&amp;$A472&amp;IF($C472="","","."&amp;$C472&amp;"."&amp;$B472)&amp;IF(INDEX(Variables!$D$5:$D$65,MATCH($A472,Variables!$A$5:$A$65,0))="","","."&amp;INDEX(Variables!$D$5:$D$65,MATCH($A472,Variables!$A$5:$A$65,0)))&amp;"."&amp;Z$5</f>
        <v/>
      </c>
      <c r="AA472" s="38">
        <f>INDEX(AA$75:AA$88,$D472)/$E472</f>
        <v/>
      </c>
      <c r="AB472" s="36">
        <f>INDEX(AB$75:AB$88,$D472)/$E472</f>
        <v/>
      </c>
      <c r="AC472" s="36">
        <f>INDEX(AC$75:AC$88,$D472)/$E472</f>
        <v/>
      </c>
      <c r="AD472" s="36">
        <f>INDEX(AD$75:AD$88,$D472)/$E472</f>
        <v/>
      </c>
      <c r="AE472" s="36">
        <f>INDEX(AE$75:AE$88,$D472)/$E472</f>
        <v/>
      </c>
      <c r="AF472" s="36">
        <f>INDEX(AF$75:AF$88,$D472)/$E472</f>
        <v/>
      </c>
      <c r="AG472" s="36">
        <f>INDEX(AG$75:AG$88,$D472)/$E472</f>
        <v/>
      </c>
      <c r="AH472" s="36">
        <f>INDEX(AH$75:AH$88,$D472)/$E472</f>
        <v/>
      </c>
      <c r="AI472" s="36">
        <f>INDEX(AI$75:AI$88,$D472)/$E472</f>
        <v/>
      </c>
      <c r="AJ472" s="36">
        <f>INDEX(AJ$75:AJ$88,$D472)/$E472</f>
        <v/>
      </c>
      <c r="AK472" s="36">
        <f>INDEX(AK$75:AK$88,$D472)/$E472</f>
        <v/>
      </c>
      <c r="AL472" s="36">
        <f>INDEX(AL$75:AL$88,$D472)/$E472</f>
        <v/>
      </c>
      <c r="AM472" s="36">
        <f>INDEX(AM$75:AM$88,$D472)/$E472</f>
        <v/>
      </c>
      <c r="AN472" s="36">
        <f>INDEX(AN$75:AN$88,$D472)/$E472</f>
        <v/>
      </c>
    </row>
    <row r="473" hidden="1" outlineLevel="2"/>
    <row r="474" hidden="1" outlineLevel="2">
      <c r="A474" s="5" t="inlineStr">
        <is>
          <t>nce</t>
        </is>
      </c>
      <c r="B474" s="5" t="inlineStr">
        <is>
          <t>coa</t>
        </is>
      </c>
      <c r="C474" s="5" t="inlineStr">
        <is>
          <t>res</t>
        </is>
      </c>
      <c r="D474" s="37" t="n"/>
      <c r="E474" s="37" t="n"/>
      <c r="F474" s="37" t="n"/>
      <c r="G474" s="37" t="n"/>
      <c r="H474" s="5">
        <f>INDEX(Variables!$B$5:$B$65,MATCH($A474,Variables!$A$5:$A$65,0))&amp;IF($C474="",""," | "&amp;INDEX(Mapping!$B$5:$B$25,MATCH($C474,Mapping!$A$5:$A$25,0))&amp;" | "&amp;INDEX(Mapping!$B$29:$B$38,MATCH($B474,Mapping!$A$29:$A$38,0)))</f>
        <v/>
      </c>
      <c r="I474" s="5">
        <f>INDEX(Variables!$C$5:$C$65,MATCH($A474,Variables!$A$5:$A$65,0))</f>
        <v/>
      </c>
      <c r="J474" s="5">
        <f>INDEX(Variables!$E$5:$E$65,MATCH($A474,Variables!$A$5:$A$65,0))</f>
        <v/>
      </c>
      <c r="K474" s="23">
        <f>LOWER(Settings!$C$4)&amp;".mit."&amp;$A474&amp;IF($C474="","","."&amp;$C474&amp;"."&amp;$B474)&amp;IF(INDEX(Variables!$D$5:$D$65,MATCH($A474,Variables!$A$5:$A$65,0))="","","."&amp;INDEX(Variables!$D$5:$D$65,MATCH($A474,Variables!$A$5:$A$65,0)))&amp;"."&amp;K$5</f>
        <v/>
      </c>
      <c r="L474" s="38">
        <f>L456+L465</f>
        <v/>
      </c>
      <c r="M474" s="36">
        <f>M456+M465</f>
        <v/>
      </c>
      <c r="N474" s="36">
        <f>N456+N465</f>
        <v/>
      </c>
      <c r="O474" s="36">
        <f>O456+O465</f>
        <v/>
      </c>
      <c r="P474" s="36">
        <f>P456+P465</f>
        <v/>
      </c>
      <c r="Q474" s="36">
        <f>Q456+Q465</f>
        <v/>
      </c>
      <c r="R474" s="36">
        <f>R456+R465</f>
        <v/>
      </c>
      <c r="S474" s="36">
        <f>S456+S465</f>
        <v/>
      </c>
      <c r="T474" s="36">
        <f>T456+T465</f>
        <v/>
      </c>
      <c r="U474" s="36">
        <f>U456+U465</f>
        <v/>
      </c>
      <c r="V474" s="36">
        <f>V456+V465</f>
        <v/>
      </c>
      <c r="W474" s="36">
        <f>W456+W465</f>
        <v/>
      </c>
      <c r="X474" s="36">
        <f>X456+X465</f>
        <v/>
      </c>
      <c r="Y474" s="36">
        <f>Y456+Y465</f>
        <v/>
      </c>
      <c r="Z474" s="23">
        <f>LOWER(Settings!$C$4)&amp;".mit."&amp;$A474&amp;IF($C474="","","."&amp;$C474&amp;"."&amp;$B474)&amp;IF(INDEX(Variables!$D$5:$D$65,MATCH($A474,Variables!$A$5:$A$65,0))="","","."&amp;INDEX(Variables!$D$5:$D$65,MATCH($A474,Variables!$A$5:$A$65,0)))&amp;"."&amp;Z$5</f>
        <v/>
      </c>
      <c r="AA474" s="38">
        <f>AA456+AA465</f>
        <v/>
      </c>
      <c r="AB474" s="36">
        <f>AB456+AB465</f>
        <v/>
      </c>
      <c r="AC474" s="36">
        <f>AC456+AC465</f>
        <v/>
      </c>
      <c r="AD474" s="36">
        <f>AD456+AD465</f>
        <v/>
      </c>
      <c r="AE474" s="36">
        <f>AE456+AE465</f>
        <v/>
      </c>
      <c r="AF474" s="36">
        <f>AF456+AF465</f>
        <v/>
      </c>
      <c r="AG474" s="36">
        <f>AG456+AG465</f>
        <v/>
      </c>
      <c r="AH474" s="36">
        <f>AH456+AH465</f>
        <v/>
      </c>
      <c r="AI474" s="36">
        <f>AI456+AI465</f>
        <v/>
      </c>
      <c r="AJ474" s="36">
        <f>AJ456+AJ465</f>
        <v/>
      </c>
      <c r="AK474" s="36">
        <f>AK456+AK465</f>
        <v/>
      </c>
      <c r="AL474" s="36">
        <f>AL456+AL465</f>
        <v/>
      </c>
      <c r="AM474" s="36">
        <f>AM456+AM465</f>
        <v/>
      </c>
      <c r="AN474" s="36">
        <f>AN456+AN465</f>
        <v/>
      </c>
    </row>
    <row r="475" hidden="1" outlineLevel="2">
      <c r="A475" s="5" t="inlineStr">
        <is>
          <t>nce</t>
        </is>
      </c>
      <c r="B475" s="5" t="inlineStr">
        <is>
          <t>nga</t>
        </is>
      </c>
      <c r="C475" s="5" t="inlineStr">
        <is>
          <t>res</t>
        </is>
      </c>
      <c r="D475" s="37" t="n"/>
      <c r="E475" s="37" t="n"/>
      <c r="F475" s="37" t="n"/>
      <c r="G475" s="37" t="n"/>
      <c r="H475" s="5">
        <f>INDEX(Variables!$B$5:$B$65,MATCH($A475,Variables!$A$5:$A$65,0))&amp;IF($C475="",""," | "&amp;INDEX(Mapping!$B$5:$B$25,MATCH($C475,Mapping!$A$5:$A$25,0))&amp;" | "&amp;INDEX(Mapping!$B$29:$B$38,MATCH($B475,Mapping!$A$29:$A$38,0)))</f>
        <v/>
      </c>
      <c r="I475" s="5">
        <f>INDEX(Variables!$C$5:$C$65,MATCH($A475,Variables!$A$5:$A$65,0))</f>
        <v/>
      </c>
      <c r="J475" s="5">
        <f>INDEX(Variables!$E$5:$E$65,MATCH($A475,Variables!$A$5:$A$65,0))</f>
        <v/>
      </c>
      <c r="K475" s="23">
        <f>LOWER(Settings!$C$4)&amp;".mit."&amp;$A475&amp;IF($C475="","","."&amp;$C475&amp;"."&amp;$B475)&amp;IF(INDEX(Variables!$D$5:$D$65,MATCH($A475,Variables!$A$5:$A$65,0))="","","."&amp;INDEX(Variables!$D$5:$D$65,MATCH($A475,Variables!$A$5:$A$65,0)))&amp;"."&amp;K$5</f>
        <v/>
      </c>
      <c r="L475" s="38">
        <f>L457+L466</f>
        <v/>
      </c>
      <c r="M475" s="36">
        <f>M457+M466</f>
        <v/>
      </c>
      <c r="N475" s="36">
        <f>N457+N466</f>
        <v/>
      </c>
      <c r="O475" s="36">
        <f>O457+O466</f>
        <v/>
      </c>
      <c r="P475" s="36">
        <f>P457+P466</f>
        <v/>
      </c>
      <c r="Q475" s="36">
        <f>Q457+Q466</f>
        <v/>
      </c>
      <c r="R475" s="36">
        <f>R457+R466</f>
        <v/>
      </c>
      <c r="S475" s="36">
        <f>S457+S466</f>
        <v/>
      </c>
      <c r="T475" s="36">
        <f>T457+T466</f>
        <v/>
      </c>
      <c r="U475" s="36">
        <f>U457+U466</f>
        <v/>
      </c>
      <c r="V475" s="36">
        <f>V457+V466</f>
        <v/>
      </c>
      <c r="W475" s="36">
        <f>W457+W466</f>
        <v/>
      </c>
      <c r="X475" s="36">
        <f>X457+X466</f>
        <v/>
      </c>
      <c r="Y475" s="36">
        <f>Y457+Y466</f>
        <v/>
      </c>
      <c r="Z475" s="23">
        <f>LOWER(Settings!$C$4)&amp;".mit."&amp;$A475&amp;IF($C475="","","."&amp;$C475&amp;"."&amp;$B475)&amp;IF(INDEX(Variables!$D$5:$D$65,MATCH($A475,Variables!$A$5:$A$65,0))="","","."&amp;INDEX(Variables!$D$5:$D$65,MATCH($A475,Variables!$A$5:$A$65,0)))&amp;"."&amp;Z$5</f>
        <v/>
      </c>
      <c r="AA475" s="38">
        <f>AA457+AA466</f>
        <v/>
      </c>
      <c r="AB475" s="36">
        <f>AB457+AB466</f>
        <v/>
      </c>
      <c r="AC475" s="36">
        <f>AC457+AC466</f>
        <v/>
      </c>
      <c r="AD475" s="36">
        <f>AD457+AD466</f>
        <v/>
      </c>
      <c r="AE475" s="36">
        <f>AE457+AE466</f>
        <v/>
      </c>
      <c r="AF475" s="36">
        <f>AF457+AF466</f>
        <v/>
      </c>
      <c r="AG475" s="36">
        <f>AG457+AG466</f>
        <v/>
      </c>
      <c r="AH475" s="36">
        <f>AH457+AH466</f>
        <v/>
      </c>
      <c r="AI475" s="36">
        <f>AI457+AI466</f>
        <v/>
      </c>
      <c r="AJ475" s="36">
        <f>AJ457+AJ466</f>
        <v/>
      </c>
      <c r="AK475" s="36">
        <f>AK457+AK466</f>
        <v/>
      </c>
      <c r="AL475" s="36">
        <f>AL457+AL466</f>
        <v/>
      </c>
      <c r="AM475" s="36">
        <f>AM457+AM466</f>
        <v/>
      </c>
      <c r="AN475" s="36">
        <f>AN457+AN466</f>
        <v/>
      </c>
    </row>
    <row r="476" hidden="1" outlineLevel="2">
      <c r="A476" s="5" t="inlineStr">
        <is>
          <t>nce</t>
        </is>
      </c>
      <c r="B476" s="5" t="inlineStr">
        <is>
          <t>gso</t>
        </is>
      </c>
      <c r="C476" s="5" t="inlineStr">
        <is>
          <t>res</t>
        </is>
      </c>
      <c r="D476" s="37" t="n"/>
      <c r="E476" s="37" t="n"/>
      <c r="F476" s="37" t="n"/>
      <c r="G476" s="37" t="n"/>
      <c r="H476" s="5">
        <f>INDEX(Variables!$B$5:$B$65,MATCH($A476,Variables!$A$5:$A$65,0))&amp;IF($C476="",""," | "&amp;INDEX(Mapping!$B$5:$B$25,MATCH($C476,Mapping!$A$5:$A$25,0))&amp;" | "&amp;INDEX(Mapping!$B$29:$B$38,MATCH($B476,Mapping!$A$29:$A$38,0)))</f>
        <v/>
      </c>
      <c r="I476" s="5">
        <f>INDEX(Variables!$C$5:$C$65,MATCH($A476,Variables!$A$5:$A$65,0))</f>
        <v/>
      </c>
      <c r="J476" s="5">
        <f>INDEX(Variables!$E$5:$E$65,MATCH($A476,Variables!$A$5:$A$65,0))</f>
        <v/>
      </c>
      <c r="K476" s="23">
        <f>LOWER(Settings!$C$4)&amp;".mit."&amp;$A476&amp;IF($C476="","","."&amp;$C476&amp;"."&amp;$B476)&amp;IF(INDEX(Variables!$D$5:$D$65,MATCH($A476,Variables!$A$5:$A$65,0))="","","."&amp;INDEX(Variables!$D$5:$D$65,MATCH($A476,Variables!$A$5:$A$65,0)))&amp;"."&amp;K$5</f>
        <v/>
      </c>
      <c r="L476" s="38">
        <f>L458+L467</f>
        <v/>
      </c>
      <c r="M476" s="36">
        <f>M458+M467</f>
        <v/>
      </c>
      <c r="N476" s="36">
        <f>N458+N467</f>
        <v/>
      </c>
      <c r="O476" s="36">
        <f>O458+O467</f>
        <v/>
      </c>
      <c r="P476" s="36">
        <f>P458+P467</f>
        <v/>
      </c>
      <c r="Q476" s="36">
        <f>Q458+Q467</f>
        <v/>
      </c>
      <c r="R476" s="36">
        <f>R458+R467</f>
        <v/>
      </c>
      <c r="S476" s="36">
        <f>S458+S467</f>
        <v/>
      </c>
      <c r="T476" s="36">
        <f>T458+T467</f>
        <v/>
      </c>
      <c r="U476" s="36">
        <f>U458+U467</f>
        <v/>
      </c>
      <c r="V476" s="36">
        <f>V458+V467</f>
        <v/>
      </c>
      <c r="W476" s="36">
        <f>W458+W467</f>
        <v/>
      </c>
      <c r="X476" s="36">
        <f>X458+X467</f>
        <v/>
      </c>
      <c r="Y476" s="36">
        <f>Y458+Y467</f>
        <v/>
      </c>
      <c r="Z476" s="23">
        <f>LOWER(Settings!$C$4)&amp;".mit."&amp;$A476&amp;IF($C476="","","."&amp;$C476&amp;"."&amp;$B476)&amp;IF(INDEX(Variables!$D$5:$D$65,MATCH($A476,Variables!$A$5:$A$65,0))="","","."&amp;INDEX(Variables!$D$5:$D$65,MATCH($A476,Variables!$A$5:$A$65,0)))&amp;"."&amp;Z$5</f>
        <v/>
      </c>
      <c r="AA476" s="38">
        <f>AA458+AA467</f>
        <v/>
      </c>
      <c r="AB476" s="36">
        <f>AB458+AB467</f>
        <v/>
      </c>
      <c r="AC476" s="36">
        <f>AC458+AC467</f>
        <v/>
      </c>
      <c r="AD476" s="36">
        <f>AD458+AD467</f>
        <v/>
      </c>
      <c r="AE476" s="36">
        <f>AE458+AE467</f>
        <v/>
      </c>
      <c r="AF476" s="36">
        <f>AF458+AF467</f>
        <v/>
      </c>
      <c r="AG476" s="36">
        <f>AG458+AG467</f>
        <v/>
      </c>
      <c r="AH476" s="36">
        <f>AH458+AH467</f>
        <v/>
      </c>
      <c r="AI476" s="36">
        <f>AI458+AI467</f>
        <v/>
      </c>
      <c r="AJ476" s="36">
        <f>AJ458+AJ467</f>
        <v/>
      </c>
      <c r="AK476" s="36">
        <f>AK458+AK467</f>
        <v/>
      </c>
      <c r="AL476" s="36">
        <f>AL458+AL467</f>
        <v/>
      </c>
      <c r="AM476" s="36">
        <f>AM458+AM467</f>
        <v/>
      </c>
      <c r="AN476" s="36">
        <f>AN458+AN467</f>
        <v/>
      </c>
    </row>
    <row r="477" hidden="1" outlineLevel="2">
      <c r="A477" s="5" t="inlineStr">
        <is>
          <t>nce</t>
        </is>
      </c>
      <c r="B477" s="5" t="inlineStr">
        <is>
          <t>die</t>
        </is>
      </c>
      <c r="C477" s="5" t="inlineStr">
        <is>
          <t>res</t>
        </is>
      </c>
      <c r="D477" s="37" t="n"/>
      <c r="E477" s="37" t="n"/>
      <c r="F477" s="37" t="n"/>
      <c r="G477" s="37" t="n"/>
      <c r="H477" s="5">
        <f>INDEX(Variables!$B$5:$B$65,MATCH($A477,Variables!$A$5:$A$65,0))&amp;IF($C477="",""," | "&amp;INDEX(Mapping!$B$5:$B$25,MATCH($C477,Mapping!$A$5:$A$25,0))&amp;" | "&amp;INDEX(Mapping!$B$29:$B$38,MATCH($B477,Mapping!$A$29:$A$38,0)))</f>
        <v/>
      </c>
      <c r="I477" s="5">
        <f>INDEX(Variables!$C$5:$C$65,MATCH($A477,Variables!$A$5:$A$65,0))</f>
        <v/>
      </c>
      <c r="J477" s="5">
        <f>INDEX(Variables!$E$5:$E$65,MATCH($A477,Variables!$A$5:$A$65,0))</f>
        <v/>
      </c>
      <c r="K477" s="23">
        <f>LOWER(Settings!$C$4)&amp;".mit."&amp;$A477&amp;IF($C477="","","."&amp;$C477&amp;"."&amp;$B477)&amp;IF(INDEX(Variables!$D$5:$D$65,MATCH($A477,Variables!$A$5:$A$65,0))="","","."&amp;INDEX(Variables!$D$5:$D$65,MATCH($A477,Variables!$A$5:$A$65,0)))&amp;"."&amp;K$5</f>
        <v/>
      </c>
      <c r="L477" s="38">
        <f>L459+L468</f>
        <v/>
      </c>
      <c r="M477" s="36">
        <f>M459+M468</f>
        <v/>
      </c>
      <c r="N477" s="36">
        <f>N459+N468</f>
        <v/>
      </c>
      <c r="O477" s="36">
        <f>O459+O468</f>
        <v/>
      </c>
      <c r="P477" s="36">
        <f>P459+P468</f>
        <v/>
      </c>
      <c r="Q477" s="36">
        <f>Q459+Q468</f>
        <v/>
      </c>
      <c r="R477" s="36">
        <f>R459+R468</f>
        <v/>
      </c>
      <c r="S477" s="36">
        <f>S459+S468</f>
        <v/>
      </c>
      <c r="T477" s="36">
        <f>T459+T468</f>
        <v/>
      </c>
      <c r="U477" s="36">
        <f>U459+U468</f>
        <v/>
      </c>
      <c r="V477" s="36">
        <f>V459+V468</f>
        <v/>
      </c>
      <c r="W477" s="36">
        <f>W459+W468</f>
        <v/>
      </c>
      <c r="X477" s="36">
        <f>X459+X468</f>
        <v/>
      </c>
      <c r="Y477" s="36">
        <f>Y459+Y468</f>
        <v/>
      </c>
      <c r="Z477" s="23">
        <f>LOWER(Settings!$C$4)&amp;".mit."&amp;$A477&amp;IF($C477="","","."&amp;$C477&amp;"."&amp;$B477)&amp;IF(INDEX(Variables!$D$5:$D$65,MATCH($A477,Variables!$A$5:$A$65,0))="","","."&amp;INDEX(Variables!$D$5:$D$65,MATCH($A477,Variables!$A$5:$A$65,0)))&amp;"."&amp;Z$5</f>
        <v/>
      </c>
      <c r="AA477" s="38">
        <f>AA459+AA468</f>
        <v/>
      </c>
      <c r="AB477" s="36">
        <f>AB459+AB468</f>
        <v/>
      </c>
      <c r="AC477" s="36">
        <f>AC459+AC468</f>
        <v/>
      </c>
      <c r="AD477" s="36">
        <f>AD459+AD468</f>
        <v/>
      </c>
      <c r="AE477" s="36">
        <f>AE459+AE468</f>
        <v/>
      </c>
      <c r="AF477" s="36">
        <f>AF459+AF468</f>
        <v/>
      </c>
      <c r="AG477" s="36">
        <f>AG459+AG468</f>
        <v/>
      </c>
      <c r="AH477" s="36">
        <f>AH459+AH468</f>
        <v/>
      </c>
      <c r="AI477" s="36">
        <f>AI459+AI468</f>
        <v/>
      </c>
      <c r="AJ477" s="36">
        <f>AJ459+AJ468</f>
        <v/>
      </c>
      <c r="AK477" s="36">
        <f>AK459+AK468</f>
        <v/>
      </c>
      <c r="AL477" s="36">
        <f>AL459+AL468</f>
        <v/>
      </c>
      <c r="AM477" s="36">
        <f>AM459+AM468</f>
        <v/>
      </c>
      <c r="AN477" s="36">
        <f>AN459+AN468</f>
        <v/>
      </c>
    </row>
    <row r="478" hidden="1" outlineLevel="2">
      <c r="A478" s="5" t="inlineStr">
        <is>
          <t>nce</t>
        </is>
      </c>
      <c r="B478" s="5" t="inlineStr">
        <is>
          <t>lpg</t>
        </is>
      </c>
      <c r="C478" s="5" t="inlineStr">
        <is>
          <t>res</t>
        </is>
      </c>
      <c r="D478" s="37" t="n"/>
      <c r="E478" s="37" t="n"/>
      <c r="F478" s="37" t="n"/>
      <c r="G478" s="37" t="n"/>
      <c r="H478" s="5">
        <f>INDEX(Variables!$B$5:$B$65,MATCH($A478,Variables!$A$5:$A$65,0))&amp;IF($C478="",""," | "&amp;INDEX(Mapping!$B$5:$B$25,MATCH($C478,Mapping!$A$5:$A$25,0))&amp;" | "&amp;INDEX(Mapping!$B$29:$B$38,MATCH($B478,Mapping!$A$29:$A$38,0)))</f>
        <v/>
      </c>
      <c r="I478" s="5">
        <f>INDEX(Variables!$C$5:$C$65,MATCH($A478,Variables!$A$5:$A$65,0))</f>
        <v/>
      </c>
      <c r="J478" s="5">
        <f>INDEX(Variables!$E$5:$E$65,MATCH($A478,Variables!$A$5:$A$65,0))</f>
        <v/>
      </c>
      <c r="K478" s="23">
        <f>LOWER(Settings!$C$4)&amp;".mit."&amp;$A478&amp;IF($C478="","","."&amp;$C478&amp;"."&amp;$B478)&amp;IF(INDEX(Variables!$D$5:$D$65,MATCH($A478,Variables!$A$5:$A$65,0))="","","."&amp;INDEX(Variables!$D$5:$D$65,MATCH($A478,Variables!$A$5:$A$65,0)))&amp;"."&amp;K$5</f>
        <v/>
      </c>
      <c r="L478" s="38">
        <f>L460+L469</f>
        <v/>
      </c>
      <c r="M478" s="36">
        <f>M460+M469</f>
        <v/>
      </c>
      <c r="N478" s="36">
        <f>N460+N469</f>
        <v/>
      </c>
      <c r="O478" s="36">
        <f>O460+O469</f>
        <v/>
      </c>
      <c r="P478" s="36">
        <f>P460+P469</f>
        <v/>
      </c>
      <c r="Q478" s="36">
        <f>Q460+Q469</f>
        <v/>
      </c>
      <c r="R478" s="36">
        <f>R460+R469</f>
        <v/>
      </c>
      <c r="S478" s="36">
        <f>S460+S469</f>
        <v/>
      </c>
      <c r="T478" s="36">
        <f>T460+T469</f>
        <v/>
      </c>
      <c r="U478" s="36">
        <f>U460+U469</f>
        <v/>
      </c>
      <c r="V478" s="36">
        <f>V460+V469</f>
        <v/>
      </c>
      <c r="W478" s="36">
        <f>W460+W469</f>
        <v/>
      </c>
      <c r="X478" s="36">
        <f>X460+X469</f>
        <v/>
      </c>
      <c r="Y478" s="36">
        <f>Y460+Y469</f>
        <v/>
      </c>
      <c r="Z478" s="23">
        <f>LOWER(Settings!$C$4)&amp;".mit."&amp;$A478&amp;IF($C478="","","."&amp;$C478&amp;"."&amp;$B478)&amp;IF(INDEX(Variables!$D$5:$D$65,MATCH($A478,Variables!$A$5:$A$65,0))="","","."&amp;INDEX(Variables!$D$5:$D$65,MATCH($A478,Variables!$A$5:$A$65,0)))&amp;"."&amp;Z$5</f>
        <v/>
      </c>
      <c r="AA478" s="38">
        <f>AA460+AA469</f>
        <v/>
      </c>
      <c r="AB478" s="36">
        <f>AB460+AB469</f>
        <v/>
      </c>
      <c r="AC478" s="36">
        <f>AC460+AC469</f>
        <v/>
      </c>
      <c r="AD478" s="36">
        <f>AD460+AD469</f>
        <v/>
      </c>
      <c r="AE478" s="36">
        <f>AE460+AE469</f>
        <v/>
      </c>
      <c r="AF478" s="36">
        <f>AF460+AF469</f>
        <v/>
      </c>
      <c r="AG478" s="36">
        <f>AG460+AG469</f>
        <v/>
      </c>
      <c r="AH478" s="36">
        <f>AH460+AH469</f>
        <v/>
      </c>
      <c r="AI478" s="36">
        <f>AI460+AI469</f>
        <v/>
      </c>
      <c r="AJ478" s="36">
        <f>AJ460+AJ469</f>
        <v/>
      </c>
      <c r="AK478" s="36">
        <f>AK460+AK469</f>
        <v/>
      </c>
      <c r="AL478" s="36">
        <f>AL460+AL469</f>
        <v/>
      </c>
      <c r="AM478" s="36">
        <f>AM460+AM469</f>
        <v/>
      </c>
      <c r="AN478" s="36">
        <f>AN460+AN469</f>
        <v/>
      </c>
    </row>
    <row r="479" hidden="1" outlineLevel="2">
      <c r="A479" s="5" t="inlineStr">
        <is>
          <t>nce</t>
        </is>
      </c>
      <c r="B479" s="5" t="inlineStr">
        <is>
          <t>ker</t>
        </is>
      </c>
      <c r="C479" s="5" t="inlineStr">
        <is>
          <t>res</t>
        </is>
      </c>
      <c r="D479" s="37" t="n"/>
      <c r="E479" s="37" t="n"/>
      <c r="F479" s="37" t="n"/>
      <c r="G479" s="37" t="n"/>
      <c r="H479" s="5">
        <f>INDEX(Variables!$B$5:$B$65,MATCH($A479,Variables!$A$5:$A$65,0))&amp;IF($C479="",""," | "&amp;INDEX(Mapping!$B$5:$B$25,MATCH($C479,Mapping!$A$5:$A$25,0))&amp;" | "&amp;INDEX(Mapping!$B$29:$B$38,MATCH($B479,Mapping!$A$29:$A$38,0)))</f>
        <v/>
      </c>
      <c r="I479" s="5">
        <f>INDEX(Variables!$C$5:$C$65,MATCH($A479,Variables!$A$5:$A$65,0))</f>
        <v/>
      </c>
      <c r="J479" s="5">
        <f>INDEX(Variables!$E$5:$E$65,MATCH($A479,Variables!$A$5:$A$65,0))</f>
        <v/>
      </c>
      <c r="K479" s="23">
        <f>LOWER(Settings!$C$4)&amp;".mit."&amp;$A479&amp;IF($C479="","","."&amp;$C479&amp;"."&amp;$B479)&amp;IF(INDEX(Variables!$D$5:$D$65,MATCH($A479,Variables!$A$5:$A$65,0))="","","."&amp;INDEX(Variables!$D$5:$D$65,MATCH($A479,Variables!$A$5:$A$65,0)))&amp;"."&amp;K$5</f>
        <v/>
      </c>
      <c r="L479" s="38">
        <f>L461+L470</f>
        <v/>
      </c>
      <c r="M479" s="36">
        <f>M461+M470</f>
        <v/>
      </c>
      <c r="N479" s="36">
        <f>N461+N470</f>
        <v/>
      </c>
      <c r="O479" s="36">
        <f>O461+O470</f>
        <v/>
      </c>
      <c r="P479" s="36">
        <f>P461+P470</f>
        <v/>
      </c>
      <c r="Q479" s="36">
        <f>Q461+Q470</f>
        <v/>
      </c>
      <c r="R479" s="36">
        <f>R461+R470</f>
        <v/>
      </c>
      <c r="S479" s="36">
        <f>S461+S470</f>
        <v/>
      </c>
      <c r="T479" s="36">
        <f>T461+T470</f>
        <v/>
      </c>
      <c r="U479" s="36">
        <f>U461+U470</f>
        <v/>
      </c>
      <c r="V479" s="36">
        <f>V461+V470</f>
        <v/>
      </c>
      <c r="W479" s="36">
        <f>W461+W470</f>
        <v/>
      </c>
      <c r="X479" s="36">
        <f>X461+X470</f>
        <v/>
      </c>
      <c r="Y479" s="36">
        <f>Y461+Y470</f>
        <v/>
      </c>
      <c r="Z479" s="23">
        <f>LOWER(Settings!$C$4)&amp;".mit."&amp;$A479&amp;IF($C479="","","."&amp;$C479&amp;"."&amp;$B479)&amp;IF(INDEX(Variables!$D$5:$D$65,MATCH($A479,Variables!$A$5:$A$65,0))="","","."&amp;INDEX(Variables!$D$5:$D$65,MATCH($A479,Variables!$A$5:$A$65,0)))&amp;"."&amp;Z$5</f>
        <v/>
      </c>
      <c r="AA479" s="38">
        <f>AA461+AA470</f>
        <v/>
      </c>
      <c r="AB479" s="36">
        <f>AB461+AB470</f>
        <v/>
      </c>
      <c r="AC479" s="36">
        <f>AC461+AC470</f>
        <v/>
      </c>
      <c r="AD479" s="36">
        <f>AD461+AD470</f>
        <v/>
      </c>
      <c r="AE479" s="36">
        <f>AE461+AE470</f>
        <v/>
      </c>
      <c r="AF479" s="36">
        <f>AF461+AF470</f>
        <v/>
      </c>
      <c r="AG479" s="36">
        <f>AG461+AG470</f>
        <v/>
      </c>
      <c r="AH479" s="36">
        <f>AH461+AH470</f>
        <v/>
      </c>
      <c r="AI479" s="36">
        <f>AI461+AI470</f>
        <v/>
      </c>
      <c r="AJ479" s="36">
        <f>AJ461+AJ470</f>
        <v/>
      </c>
      <c r="AK479" s="36">
        <f>AK461+AK470</f>
        <v/>
      </c>
      <c r="AL479" s="36">
        <f>AL461+AL470</f>
        <v/>
      </c>
      <c r="AM479" s="36">
        <f>AM461+AM470</f>
        <v/>
      </c>
      <c r="AN479" s="36">
        <f>AN461+AN470</f>
        <v/>
      </c>
    </row>
    <row r="480" hidden="1" outlineLevel="2">
      <c r="A480" s="5" t="inlineStr">
        <is>
          <t>nce</t>
        </is>
      </c>
      <c r="B480" s="5" t="inlineStr">
        <is>
          <t>oop</t>
        </is>
      </c>
      <c r="C480" s="5" t="inlineStr">
        <is>
          <t>res</t>
        </is>
      </c>
      <c r="D480" s="37" t="n"/>
      <c r="E480" s="37" t="n"/>
      <c r="F480" s="37" t="n"/>
      <c r="G480" s="37" t="n"/>
      <c r="H480" s="5">
        <f>INDEX(Variables!$B$5:$B$65,MATCH($A480,Variables!$A$5:$A$65,0))&amp;IF($C480="",""," | "&amp;INDEX(Mapping!$B$5:$B$25,MATCH($C480,Mapping!$A$5:$A$25,0))&amp;" | "&amp;INDEX(Mapping!$B$29:$B$38,MATCH($B480,Mapping!$A$29:$A$38,0)))</f>
        <v/>
      </c>
      <c r="I480" s="5">
        <f>INDEX(Variables!$C$5:$C$65,MATCH($A480,Variables!$A$5:$A$65,0))</f>
        <v/>
      </c>
      <c r="J480" s="5">
        <f>INDEX(Variables!$E$5:$E$65,MATCH($A480,Variables!$A$5:$A$65,0))</f>
        <v/>
      </c>
      <c r="K480" s="23">
        <f>LOWER(Settings!$C$4)&amp;".mit."&amp;$A480&amp;IF($C480="","","."&amp;$C480&amp;"."&amp;$B480)&amp;IF(INDEX(Variables!$D$5:$D$65,MATCH($A480,Variables!$A$5:$A$65,0))="","","."&amp;INDEX(Variables!$D$5:$D$65,MATCH($A480,Variables!$A$5:$A$65,0)))&amp;"."&amp;K$5</f>
        <v/>
      </c>
      <c r="L480" s="38">
        <f>L462+L471</f>
        <v/>
      </c>
      <c r="M480" s="36">
        <f>M462+M471</f>
        <v/>
      </c>
      <c r="N480" s="36">
        <f>N462+N471</f>
        <v/>
      </c>
      <c r="O480" s="36">
        <f>O462+O471</f>
        <v/>
      </c>
      <c r="P480" s="36">
        <f>P462+P471</f>
        <v/>
      </c>
      <c r="Q480" s="36">
        <f>Q462+Q471</f>
        <v/>
      </c>
      <c r="R480" s="36">
        <f>R462+R471</f>
        <v/>
      </c>
      <c r="S480" s="36">
        <f>S462+S471</f>
        <v/>
      </c>
      <c r="T480" s="36">
        <f>T462+T471</f>
        <v/>
      </c>
      <c r="U480" s="36">
        <f>U462+U471</f>
        <v/>
      </c>
      <c r="V480" s="36">
        <f>V462+V471</f>
        <v/>
      </c>
      <c r="W480" s="36">
        <f>W462+W471</f>
        <v/>
      </c>
      <c r="X480" s="36">
        <f>X462+X471</f>
        <v/>
      </c>
      <c r="Y480" s="36">
        <f>Y462+Y471</f>
        <v/>
      </c>
      <c r="Z480" s="23">
        <f>LOWER(Settings!$C$4)&amp;".mit."&amp;$A480&amp;IF($C480="","","."&amp;$C480&amp;"."&amp;$B480)&amp;IF(INDEX(Variables!$D$5:$D$65,MATCH($A480,Variables!$A$5:$A$65,0))="","","."&amp;INDEX(Variables!$D$5:$D$65,MATCH($A480,Variables!$A$5:$A$65,0)))&amp;"."&amp;Z$5</f>
        <v/>
      </c>
      <c r="AA480" s="38">
        <f>AA462+AA471</f>
        <v/>
      </c>
      <c r="AB480" s="36">
        <f>AB462+AB471</f>
        <v/>
      </c>
      <c r="AC480" s="36">
        <f>AC462+AC471</f>
        <v/>
      </c>
      <c r="AD480" s="36">
        <f>AD462+AD471</f>
        <v/>
      </c>
      <c r="AE480" s="36">
        <f>AE462+AE471</f>
        <v/>
      </c>
      <c r="AF480" s="36">
        <f>AF462+AF471</f>
        <v/>
      </c>
      <c r="AG480" s="36">
        <f>AG462+AG471</f>
        <v/>
      </c>
      <c r="AH480" s="36">
        <f>AH462+AH471</f>
        <v/>
      </c>
      <c r="AI480" s="36">
        <f>AI462+AI471</f>
        <v/>
      </c>
      <c r="AJ480" s="36">
        <f>AJ462+AJ471</f>
        <v/>
      </c>
      <c r="AK480" s="36">
        <f>AK462+AK471</f>
        <v/>
      </c>
      <c r="AL480" s="36">
        <f>AL462+AL471</f>
        <v/>
      </c>
      <c r="AM480" s="36">
        <f>AM462+AM471</f>
        <v/>
      </c>
      <c r="AN480" s="36">
        <f>AN462+AN471</f>
        <v/>
      </c>
    </row>
    <row r="481" hidden="1" outlineLevel="2">
      <c r="A481" s="5" t="inlineStr">
        <is>
          <t>nce</t>
        </is>
      </c>
      <c r="B481" s="5" t="inlineStr">
        <is>
          <t>bio</t>
        </is>
      </c>
      <c r="C481" s="5" t="inlineStr">
        <is>
          <t>res</t>
        </is>
      </c>
      <c r="D481" s="37" t="n"/>
      <c r="E481" s="37" t="n"/>
      <c r="F481" s="37" t="n"/>
      <c r="G481" s="37" t="n"/>
      <c r="H481" s="5">
        <f>INDEX(Variables!$B$5:$B$65,MATCH($A481,Variables!$A$5:$A$65,0))&amp;IF($C481="",""," | "&amp;INDEX(Mapping!$B$5:$B$25,MATCH($C481,Mapping!$A$5:$A$25,0))&amp;" | "&amp;INDEX(Mapping!$B$29:$B$38,MATCH($B481,Mapping!$A$29:$A$38,0)))</f>
        <v/>
      </c>
      <c r="I481" s="5">
        <f>INDEX(Variables!$C$5:$C$65,MATCH($A481,Variables!$A$5:$A$65,0))</f>
        <v/>
      </c>
      <c r="J481" s="5">
        <f>INDEX(Variables!$E$5:$E$65,MATCH($A481,Variables!$A$5:$A$65,0))</f>
        <v/>
      </c>
      <c r="K481" s="23">
        <f>LOWER(Settings!$C$4)&amp;".mit."&amp;$A481&amp;IF($C481="","","."&amp;$C481&amp;"."&amp;$B481)&amp;IF(INDEX(Variables!$D$5:$D$65,MATCH($A481,Variables!$A$5:$A$65,0))="","","."&amp;INDEX(Variables!$D$5:$D$65,MATCH($A481,Variables!$A$5:$A$65,0)))&amp;"."&amp;K$5</f>
        <v/>
      </c>
      <c r="L481" s="38">
        <f>L463+L472</f>
        <v/>
      </c>
      <c r="M481" s="36">
        <f>M463+M472</f>
        <v/>
      </c>
      <c r="N481" s="36">
        <f>N463+N472</f>
        <v/>
      </c>
      <c r="O481" s="36">
        <f>O463+O472</f>
        <v/>
      </c>
      <c r="P481" s="36">
        <f>P463+P472</f>
        <v/>
      </c>
      <c r="Q481" s="36">
        <f>Q463+Q472</f>
        <v/>
      </c>
      <c r="R481" s="36">
        <f>R463+R472</f>
        <v/>
      </c>
      <c r="S481" s="36">
        <f>S463+S472</f>
        <v/>
      </c>
      <c r="T481" s="36">
        <f>T463+T472</f>
        <v/>
      </c>
      <c r="U481" s="36">
        <f>U463+U472</f>
        <v/>
      </c>
      <c r="V481" s="36">
        <f>V463+V472</f>
        <v/>
      </c>
      <c r="W481" s="36">
        <f>W463+W472</f>
        <v/>
      </c>
      <c r="X481" s="36">
        <f>X463+X472</f>
        <v/>
      </c>
      <c r="Y481" s="36">
        <f>Y463+Y472</f>
        <v/>
      </c>
      <c r="Z481" s="23">
        <f>LOWER(Settings!$C$4)&amp;".mit."&amp;$A481&amp;IF($C481="","","."&amp;$C481&amp;"."&amp;$B481)&amp;IF(INDEX(Variables!$D$5:$D$65,MATCH($A481,Variables!$A$5:$A$65,0))="","","."&amp;INDEX(Variables!$D$5:$D$65,MATCH($A481,Variables!$A$5:$A$65,0)))&amp;"."&amp;Z$5</f>
        <v/>
      </c>
      <c r="AA481" s="38">
        <f>AA463+AA472</f>
        <v/>
      </c>
      <c r="AB481" s="36">
        <f>AB463+AB472</f>
        <v/>
      </c>
      <c r="AC481" s="36">
        <f>AC463+AC472</f>
        <v/>
      </c>
      <c r="AD481" s="36">
        <f>AD463+AD472</f>
        <v/>
      </c>
      <c r="AE481" s="36">
        <f>AE463+AE472</f>
        <v/>
      </c>
      <c r="AF481" s="36">
        <f>AF463+AF472</f>
        <v/>
      </c>
      <c r="AG481" s="36">
        <f>AG463+AG472</f>
        <v/>
      </c>
      <c r="AH481" s="36">
        <f>AH463+AH472</f>
        <v/>
      </c>
      <c r="AI481" s="36">
        <f>AI463+AI472</f>
        <v/>
      </c>
      <c r="AJ481" s="36">
        <f>AJ463+AJ472</f>
        <v/>
      </c>
      <c r="AK481" s="36">
        <f>AK463+AK472</f>
        <v/>
      </c>
      <c r="AL481" s="36">
        <f>AL463+AL472</f>
        <v/>
      </c>
      <c r="AM481" s="36">
        <f>AM463+AM472</f>
        <v/>
      </c>
      <c r="AN481" s="36">
        <f>AN463+AN472</f>
        <v/>
      </c>
    </row>
    <row r="482" hidden="1" outlineLevel="2"/>
    <row r="483" hidden="1" outlineLevel="2">
      <c r="A483" s="5" t="inlineStr">
        <is>
          <t>tax</t>
        </is>
      </c>
      <c r="B483" s="5" t="inlineStr">
        <is>
          <t>coa</t>
        </is>
      </c>
      <c r="C483" s="5" t="inlineStr">
        <is>
          <t>res</t>
        </is>
      </c>
      <c r="D483" s="36">
        <f>INDEX(Inputs!$T$5:$T$132,MATCH($B483&amp;"|"&amp;$C483,Inputs!$A$5:$A$132,0))</f>
        <v/>
      </c>
      <c r="E483" s="37" t="n"/>
      <c r="F483" s="37" t="n"/>
      <c r="G483" s="37" t="n"/>
      <c r="H483" s="5">
        <f>INDEX(Variables!$B$5:$B$65,MATCH($A483,Variables!$A$5:$A$65,0))&amp;IF($C483="",""," | "&amp;INDEX(Mapping!$B$5:$B$25,MATCH($C483,Mapping!$A$5:$A$25,0))&amp;" | "&amp;INDEX(Mapping!$B$29:$B$38,MATCH($B483,Mapping!$A$29:$A$38,0)))</f>
        <v/>
      </c>
      <c r="I483" s="5">
        <f>INDEX(Variables!$C$5:$C$65,MATCH($A483,Variables!$A$5:$A$65,0))</f>
        <v/>
      </c>
      <c r="J483" s="5">
        <f>INDEX(Variables!$E$5:$E$65,MATCH($A483,Variables!$A$5:$A$65,0))</f>
        <v/>
      </c>
      <c r="K483" s="23">
        <f>LOWER(Settings!$C$4)&amp;".mit."&amp;$A483&amp;IF($C483="","","."&amp;$C483&amp;"."&amp;$B483)&amp;IF(INDEX(Variables!$D$5:$D$65,MATCH($A483,Variables!$A$5:$A$65,0))="","","."&amp;INDEX(Variables!$D$5:$D$65,MATCH($A483,Variables!$A$5:$A$65,0)))&amp;"."&amp;K$5</f>
        <v/>
      </c>
      <c r="L483" s="38">
        <f>$D483+L474</f>
        <v/>
      </c>
      <c r="M483" s="36">
        <f>$D483+M474</f>
        <v/>
      </c>
      <c r="N483" s="36">
        <f>$D483+N474</f>
        <v/>
      </c>
      <c r="O483" s="36">
        <f>$D483+O474</f>
        <v/>
      </c>
      <c r="P483" s="36">
        <f>$D483+P474</f>
        <v/>
      </c>
      <c r="Q483" s="36">
        <f>$D483+Q474</f>
        <v/>
      </c>
      <c r="R483" s="36">
        <f>$D483+R474</f>
        <v/>
      </c>
      <c r="S483" s="36">
        <f>$D483+S474</f>
        <v/>
      </c>
      <c r="T483" s="36">
        <f>$D483+T474</f>
        <v/>
      </c>
      <c r="U483" s="36">
        <f>$D483+U474</f>
        <v/>
      </c>
      <c r="V483" s="36">
        <f>$D483+V474</f>
        <v/>
      </c>
      <c r="W483" s="36">
        <f>$D483+W474</f>
        <v/>
      </c>
      <c r="X483" s="36">
        <f>$D483+X474</f>
        <v/>
      </c>
      <c r="Y483" s="39">
        <f>TAX($D483,Y474)</f>
        <v/>
      </c>
      <c r="Z483" s="23">
        <f>LOWER(Settings!$C$4)&amp;".mit."&amp;$A483&amp;IF($C483="","","."&amp;$C483&amp;"."&amp;$B483)&amp;IF(INDEX(Variables!$D$5:$D$65,MATCH($A483,Variables!$A$5:$A$65,0))="","","."&amp;INDEX(Variables!$D$5:$D$65,MATCH($A483,Variables!$A$5:$A$65,0)))&amp;"."&amp;Z$5</f>
        <v/>
      </c>
      <c r="AA483" s="38">
        <f>$D483+AA474</f>
        <v/>
      </c>
      <c r="AB483" s="36">
        <f>$D483+AB474</f>
        <v/>
      </c>
      <c r="AC483" s="36">
        <f>$D483+AC474</f>
        <v/>
      </c>
      <c r="AD483" s="36">
        <f>$D483+AD474</f>
        <v/>
      </c>
      <c r="AE483" s="36">
        <f>$D483+AE474</f>
        <v/>
      </c>
      <c r="AF483" s="36">
        <f>$D483+AF474</f>
        <v/>
      </c>
      <c r="AG483" s="36">
        <f>$D483+AG474</f>
        <v/>
      </c>
      <c r="AH483" s="36">
        <f>$D483+AH474</f>
        <v/>
      </c>
      <c r="AI483" s="36">
        <f>$D483+AI474</f>
        <v/>
      </c>
      <c r="AJ483" s="36">
        <f>$D483+AJ474</f>
        <v/>
      </c>
      <c r="AK483" s="36">
        <f>$D483+AK474</f>
        <v/>
      </c>
      <c r="AL483" s="36">
        <f>$D483+AL474</f>
        <v/>
      </c>
      <c r="AM483" s="36">
        <f>$D483+AM474</f>
        <v/>
      </c>
      <c r="AN483" s="39">
        <f>TAX($D483,AN474)</f>
        <v/>
      </c>
    </row>
    <row r="484" hidden="1" outlineLevel="2">
      <c r="A484" s="5" t="inlineStr">
        <is>
          <t>tax</t>
        </is>
      </c>
      <c r="B484" s="5" t="inlineStr">
        <is>
          <t>nga</t>
        </is>
      </c>
      <c r="C484" s="5" t="inlineStr">
        <is>
          <t>res</t>
        </is>
      </c>
      <c r="D484" s="36">
        <f>INDEX(Inputs!$T$5:$T$132,MATCH($B484&amp;"|"&amp;$C484,Inputs!$A$5:$A$132,0))</f>
        <v/>
      </c>
      <c r="E484" s="37" t="n"/>
      <c r="F484" s="37" t="n"/>
      <c r="G484" s="37" t="n"/>
      <c r="H484" s="5">
        <f>INDEX(Variables!$B$5:$B$65,MATCH($A484,Variables!$A$5:$A$65,0))&amp;IF($C484="",""," | "&amp;INDEX(Mapping!$B$5:$B$25,MATCH($C484,Mapping!$A$5:$A$25,0))&amp;" | "&amp;INDEX(Mapping!$B$29:$B$38,MATCH($B484,Mapping!$A$29:$A$38,0)))</f>
        <v/>
      </c>
      <c r="I484" s="5">
        <f>INDEX(Variables!$C$5:$C$65,MATCH($A484,Variables!$A$5:$A$65,0))</f>
        <v/>
      </c>
      <c r="J484" s="5">
        <f>INDEX(Variables!$E$5:$E$65,MATCH($A484,Variables!$A$5:$A$65,0))</f>
        <v/>
      </c>
      <c r="K484" s="23">
        <f>LOWER(Settings!$C$4)&amp;".mit."&amp;$A484&amp;IF($C484="","","."&amp;$C484&amp;"."&amp;$B484)&amp;IF(INDEX(Variables!$D$5:$D$65,MATCH($A484,Variables!$A$5:$A$65,0))="","","."&amp;INDEX(Variables!$D$5:$D$65,MATCH($A484,Variables!$A$5:$A$65,0)))&amp;"."&amp;K$5</f>
        <v/>
      </c>
      <c r="L484" s="38">
        <f>$D484+L475</f>
        <v/>
      </c>
      <c r="M484" s="36">
        <f>$D484+M475</f>
        <v/>
      </c>
      <c r="N484" s="36">
        <f>$D484+N475</f>
        <v/>
      </c>
      <c r="O484" s="36">
        <f>$D484+O475</f>
        <v/>
      </c>
      <c r="P484" s="36">
        <f>$D484+P475</f>
        <v/>
      </c>
      <c r="Q484" s="36">
        <f>$D484+Q475</f>
        <v/>
      </c>
      <c r="R484" s="36">
        <f>$D484+R475</f>
        <v/>
      </c>
      <c r="S484" s="36">
        <f>$D484+S475</f>
        <v/>
      </c>
      <c r="T484" s="36">
        <f>$D484+T475</f>
        <v/>
      </c>
      <c r="U484" s="36">
        <f>$D484+U475</f>
        <v/>
      </c>
      <c r="V484" s="36">
        <f>$D484+V475</f>
        <v/>
      </c>
      <c r="W484" s="36">
        <f>$D484+W475</f>
        <v/>
      </c>
      <c r="X484" s="36">
        <f>$D484+X475</f>
        <v/>
      </c>
      <c r="Y484" s="39">
        <f>TAX($D484,Y475)</f>
        <v/>
      </c>
      <c r="Z484" s="23">
        <f>LOWER(Settings!$C$4)&amp;".mit."&amp;$A484&amp;IF($C484="","","."&amp;$C484&amp;"."&amp;$B484)&amp;IF(INDEX(Variables!$D$5:$D$65,MATCH($A484,Variables!$A$5:$A$65,0))="","","."&amp;INDEX(Variables!$D$5:$D$65,MATCH($A484,Variables!$A$5:$A$65,0)))&amp;"."&amp;Z$5</f>
        <v/>
      </c>
      <c r="AA484" s="38">
        <f>$D484+AA475</f>
        <v/>
      </c>
      <c r="AB484" s="36">
        <f>$D484+AB475</f>
        <v/>
      </c>
      <c r="AC484" s="36">
        <f>$D484+AC475</f>
        <v/>
      </c>
      <c r="AD484" s="36">
        <f>$D484+AD475</f>
        <v/>
      </c>
      <c r="AE484" s="36">
        <f>$D484+AE475</f>
        <v/>
      </c>
      <c r="AF484" s="36">
        <f>$D484+AF475</f>
        <v/>
      </c>
      <c r="AG484" s="36">
        <f>$D484+AG475</f>
        <v/>
      </c>
      <c r="AH484" s="36">
        <f>$D484+AH475</f>
        <v/>
      </c>
      <c r="AI484" s="36">
        <f>$D484+AI475</f>
        <v/>
      </c>
      <c r="AJ484" s="36">
        <f>$D484+AJ475</f>
        <v/>
      </c>
      <c r="AK484" s="36">
        <f>$D484+AK475</f>
        <v/>
      </c>
      <c r="AL484" s="36">
        <f>$D484+AL475</f>
        <v/>
      </c>
      <c r="AM484" s="36">
        <f>$D484+AM475</f>
        <v/>
      </c>
      <c r="AN484" s="39">
        <f>TAX($D484,AN475)</f>
        <v/>
      </c>
    </row>
    <row r="485" hidden="1" outlineLevel="2">
      <c r="A485" s="5" t="inlineStr">
        <is>
          <t>tax</t>
        </is>
      </c>
      <c r="B485" s="5" t="inlineStr">
        <is>
          <t>gso</t>
        </is>
      </c>
      <c r="C485" s="5" t="inlineStr">
        <is>
          <t>res</t>
        </is>
      </c>
      <c r="D485" s="36">
        <f>INDEX(Inputs!$T$5:$T$132,MATCH($B485&amp;"|"&amp;$C485,Inputs!$A$5:$A$132,0))</f>
        <v/>
      </c>
      <c r="E485" s="37" t="n"/>
      <c r="F485" s="37" t="n"/>
      <c r="G485" s="37" t="n"/>
      <c r="H485" s="5">
        <f>INDEX(Variables!$B$5:$B$65,MATCH($A485,Variables!$A$5:$A$65,0))&amp;IF($C485="",""," | "&amp;INDEX(Mapping!$B$5:$B$25,MATCH($C485,Mapping!$A$5:$A$25,0))&amp;" | "&amp;INDEX(Mapping!$B$29:$B$38,MATCH($B485,Mapping!$A$29:$A$38,0)))</f>
        <v/>
      </c>
      <c r="I485" s="5">
        <f>INDEX(Variables!$C$5:$C$65,MATCH($A485,Variables!$A$5:$A$65,0))</f>
        <v/>
      </c>
      <c r="J485" s="5">
        <f>INDEX(Variables!$E$5:$E$65,MATCH($A485,Variables!$A$5:$A$65,0))</f>
        <v/>
      </c>
      <c r="K485" s="23">
        <f>LOWER(Settings!$C$4)&amp;".mit."&amp;$A485&amp;IF($C485="","","."&amp;$C485&amp;"."&amp;$B485)&amp;IF(INDEX(Variables!$D$5:$D$65,MATCH($A485,Variables!$A$5:$A$65,0))="","","."&amp;INDEX(Variables!$D$5:$D$65,MATCH($A485,Variables!$A$5:$A$65,0)))&amp;"."&amp;K$5</f>
        <v/>
      </c>
      <c r="L485" s="38">
        <f>$D485+L476</f>
        <v/>
      </c>
      <c r="M485" s="36">
        <f>$D485+M476</f>
        <v/>
      </c>
      <c r="N485" s="36">
        <f>$D485+N476</f>
        <v/>
      </c>
      <c r="O485" s="36">
        <f>$D485+O476</f>
        <v/>
      </c>
      <c r="P485" s="36">
        <f>$D485+P476</f>
        <v/>
      </c>
      <c r="Q485" s="36">
        <f>$D485+Q476</f>
        <v/>
      </c>
      <c r="R485" s="36">
        <f>$D485+R476</f>
        <v/>
      </c>
      <c r="S485" s="36">
        <f>$D485+S476</f>
        <v/>
      </c>
      <c r="T485" s="36">
        <f>$D485+T476</f>
        <v/>
      </c>
      <c r="U485" s="36">
        <f>$D485+U476</f>
        <v/>
      </c>
      <c r="V485" s="36">
        <f>$D485+V476</f>
        <v/>
      </c>
      <c r="W485" s="36">
        <f>$D485+W476</f>
        <v/>
      </c>
      <c r="X485" s="36">
        <f>$D485+X476</f>
        <v/>
      </c>
      <c r="Y485" s="39">
        <f>TAX($D485,Y476)</f>
        <v/>
      </c>
      <c r="Z485" s="23">
        <f>LOWER(Settings!$C$4)&amp;".mit."&amp;$A485&amp;IF($C485="","","."&amp;$C485&amp;"."&amp;$B485)&amp;IF(INDEX(Variables!$D$5:$D$65,MATCH($A485,Variables!$A$5:$A$65,0))="","","."&amp;INDEX(Variables!$D$5:$D$65,MATCH($A485,Variables!$A$5:$A$65,0)))&amp;"."&amp;Z$5</f>
        <v/>
      </c>
      <c r="AA485" s="38">
        <f>$D485+AA476</f>
        <v/>
      </c>
      <c r="AB485" s="36">
        <f>$D485+AB476</f>
        <v/>
      </c>
      <c r="AC485" s="36">
        <f>$D485+AC476</f>
        <v/>
      </c>
      <c r="AD485" s="36">
        <f>$D485+AD476</f>
        <v/>
      </c>
      <c r="AE485" s="36">
        <f>$D485+AE476</f>
        <v/>
      </c>
      <c r="AF485" s="36">
        <f>$D485+AF476</f>
        <v/>
      </c>
      <c r="AG485" s="36">
        <f>$D485+AG476</f>
        <v/>
      </c>
      <c r="AH485" s="36">
        <f>$D485+AH476</f>
        <v/>
      </c>
      <c r="AI485" s="36">
        <f>$D485+AI476</f>
        <v/>
      </c>
      <c r="AJ485" s="36">
        <f>$D485+AJ476</f>
        <v/>
      </c>
      <c r="AK485" s="36">
        <f>$D485+AK476</f>
        <v/>
      </c>
      <c r="AL485" s="36">
        <f>$D485+AL476</f>
        <v/>
      </c>
      <c r="AM485" s="36">
        <f>$D485+AM476</f>
        <v/>
      </c>
      <c r="AN485" s="39">
        <f>TAX($D485,AN476)</f>
        <v/>
      </c>
    </row>
    <row r="486" hidden="1" outlineLevel="2">
      <c r="A486" s="5" t="inlineStr">
        <is>
          <t>tax</t>
        </is>
      </c>
      <c r="B486" s="5" t="inlineStr">
        <is>
          <t>die</t>
        </is>
      </c>
      <c r="C486" s="5" t="inlineStr">
        <is>
          <t>res</t>
        </is>
      </c>
      <c r="D486" s="36">
        <f>INDEX(Inputs!$T$5:$T$132,MATCH($B486&amp;"|"&amp;$C486,Inputs!$A$5:$A$132,0))</f>
        <v/>
      </c>
      <c r="E486" s="37" t="n"/>
      <c r="F486" s="37" t="n"/>
      <c r="G486" s="37" t="n"/>
      <c r="H486" s="5">
        <f>INDEX(Variables!$B$5:$B$65,MATCH($A486,Variables!$A$5:$A$65,0))&amp;IF($C486="",""," | "&amp;INDEX(Mapping!$B$5:$B$25,MATCH($C486,Mapping!$A$5:$A$25,0))&amp;" | "&amp;INDEX(Mapping!$B$29:$B$38,MATCH($B486,Mapping!$A$29:$A$38,0)))</f>
        <v/>
      </c>
      <c r="I486" s="5">
        <f>INDEX(Variables!$C$5:$C$65,MATCH($A486,Variables!$A$5:$A$65,0))</f>
        <v/>
      </c>
      <c r="J486" s="5">
        <f>INDEX(Variables!$E$5:$E$65,MATCH($A486,Variables!$A$5:$A$65,0))</f>
        <v/>
      </c>
      <c r="K486" s="23">
        <f>LOWER(Settings!$C$4)&amp;".mit."&amp;$A486&amp;IF($C486="","","."&amp;$C486&amp;"."&amp;$B486)&amp;IF(INDEX(Variables!$D$5:$D$65,MATCH($A486,Variables!$A$5:$A$65,0))="","","."&amp;INDEX(Variables!$D$5:$D$65,MATCH($A486,Variables!$A$5:$A$65,0)))&amp;"."&amp;K$5</f>
        <v/>
      </c>
      <c r="L486" s="38">
        <f>$D486+L477</f>
        <v/>
      </c>
      <c r="M486" s="36">
        <f>$D486+M477</f>
        <v/>
      </c>
      <c r="N486" s="36">
        <f>$D486+N477</f>
        <v/>
      </c>
      <c r="O486" s="36">
        <f>$D486+O477</f>
        <v/>
      </c>
      <c r="P486" s="36">
        <f>$D486+P477</f>
        <v/>
      </c>
      <c r="Q486" s="36">
        <f>$D486+Q477</f>
        <v/>
      </c>
      <c r="R486" s="36">
        <f>$D486+R477</f>
        <v/>
      </c>
      <c r="S486" s="36">
        <f>$D486+S477</f>
        <v/>
      </c>
      <c r="T486" s="36">
        <f>$D486+T477</f>
        <v/>
      </c>
      <c r="U486" s="36">
        <f>$D486+U477</f>
        <v/>
      </c>
      <c r="V486" s="36">
        <f>$D486+V477</f>
        <v/>
      </c>
      <c r="W486" s="36">
        <f>$D486+W477</f>
        <v/>
      </c>
      <c r="X486" s="36">
        <f>$D486+X477</f>
        <v/>
      </c>
      <c r="Y486" s="39">
        <f>TAX($D486,Y477)</f>
        <v/>
      </c>
      <c r="Z486" s="23">
        <f>LOWER(Settings!$C$4)&amp;".mit."&amp;$A486&amp;IF($C486="","","."&amp;$C486&amp;"."&amp;$B486)&amp;IF(INDEX(Variables!$D$5:$D$65,MATCH($A486,Variables!$A$5:$A$65,0))="","","."&amp;INDEX(Variables!$D$5:$D$65,MATCH($A486,Variables!$A$5:$A$65,0)))&amp;"."&amp;Z$5</f>
        <v/>
      </c>
      <c r="AA486" s="38">
        <f>$D486+AA477</f>
        <v/>
      </c>
      <c r="AB486" s="36">
        <f>$D486+AB477</f>
        <v/>
      </c>
      <c r="AC486" s="36">
        <f>$D486+AC477</f>
        <v/>
      </c>
      <c r="AD486" s="36">
        <f>$D486+AD477</f>
        <v/>
      </c>
      <c r="AE486" s="36">
        <f>$D486+AE477</f>
        <v/>
      </c>
      <c r="AF486" s="36">
        <f>$D486+AF477</f>
        <v/>
      </c>
      <c r="AG486" s="36">
        <f>$D486+AG477</f>
        <v/>
      </c>
      <c r="AH486" s="36">
        <f>$D486+AH477</f>
        <v/>
      </c>
      <c r="AI486" s="36">
        <f>$D486+AI477</f>
        <v/>
      </c>
      <c r="AJ486" s="36">
        <f>$D486+AJ477</f>
        <v/>
      </c>
      <c r="AK486" s="36">
        <f>$D486+AK477</f>
        <v/>
      </c>
      <c r="AL486" s="36">
        <f>$D486+AL477</f>
        <v/>
      </c>
      <c r="AM486" s="36">
        <f>$D486+AM477</f>
        <v/>
      </c>
      <c r="AN486" s="39">
        <f>TAX($D486,AN477)</f>
        <v/>
      </c>
    </row>
    <row r="487" hidden="1" outlineLevel="2">
      <c r="A487" s="5" t="inlineStr">
        <is>
          <t>tax</t>
        </is>
      </c>
      <c r="B487" s="5" t="inlineStr">
        <is>
          <t>lpg</t>
        </is>
      </c>
      <c r="C487" s="5" t="inlineStr">
        <is>
          <t>res</t>
        </is>
      </c>
      <c r="D487" s="36">
        <f>INDEX(Inputs!$T$5:$T$132,MATCH($B487&amp;"|"&amp;$C487,Inputs!$A$5:$A$132,0))</f>
        <v/>
      </c>
      <c r="E487" s="37" t="n"/>
      <c r="F487" s="37" t="n"/>
      <c r="G487" s="37" t="n"/>
      <c r="H487" s="5">
        <f>INDEX(Variables!$B$5:$B$65,MATCH($A487,Variables!$A$5:$A$65,0))&amp;IF($C487="",""," | "&amp;INDEX(Mapping!$B$5:$B$25,MATCH($C487,Mapping!$A$5:$A$25,0))&amp;" | "&amp;INDEX(Mapping!$B$29:$B$38,MATCH($B487,Mapping!$A$29:$A$38,0)))</f>
        <v/>
      </c>
      <c r="I487" s="5">
        <f>INDEX(Variables!$C$5:$C$65,MATCH($A487,Variables!$A$5:$A$65,0))</f>
        <v/>
      </c>
      <c r="J487" s="5">
        <f>INDEX(Variables!$E$5:$E$65,MATCH($A487,Variables!$A$5:$A$65,0))</f>
        <v/>
      </c>
      <c r="K487" s="23">
        <f>LOWER(Settings!$C$4)&amp;".mit."&amp;$A487&amp;IF($C487="","","."&amp;$C487&amp;"."&amp;$B487)&amp;IF(INDEX(Variables!$D$5:$D$65,MATCH($A487,Variables!$A$5:$A$65,0))="","","."&amp;INDEX(Variables!$D$5:$D$65,MATCH($A487,Variables!$A$5:$A$65,0)))&amp;"."&amp;K$5</f>
        <v/>
      </c>
      <c r="L487" s="38">
        <f>$D487+L478</f>
        <v/>
      </c>
      <c r="M487" s="36">
        <f>$D487+M478</f>
        <v/>
      </c>
      <c r="N487" s="36">
        <f>$D487+N478</f>
        <v/>
      </c>
      <c r="O487" s="36">
        <f>$D487+O478</f>
        <v/>
      </c>
      <c r="P487" s="36">
        <f>$D487+P478</f>
        <v/>
      </c>
      <c r="Q487" s="36">
        <f>$D487+Q478</f>
        <v/>
      </c>
      <c r="R487" s="36">
        <f>$D487+R478</f>
        <v/>
      </c>
      <c r="S487" s="36">
        <f>$D487+S478</f>
        <v/>
      </c>
      <c r="T487" s="36">
        <f>$D487+T478</f>
        <v/>
      </c>
      <c r="U487" s="36">
        <f>$D487+U478</f>
        <v/>
      </c>
      <c r="V487" s="36">
        <f>$D487+V478</f>
        <v/>
      </c>
      <c r="W487" s="36">
        <f>$D487+W478</f>
        <v/>
      </c>
      <c r="X487" s="36">
        <f>$D487+X478</f>
        <v/>
      </c>
      <c r="Y487" s="39">
        <f>TAX($D487,Y478)</f>
        <v/>
      </c>
      <c r="Z487" s="23">
        <f>LOWER(Settings!$C$4)&amp;".mit."&amp;$A487&amp;IF($C487="","","."&amp;$C487&amp;"."&amp;$B487)&amp;IF(INDEX(Variables!$D$5:$D$65,MATCH($A487,Variables!$A$5:$A$65,0))="","","."&amp;INDEX(Variables!$D$5:$D$65,MATCH($A487,Variables!$A$5:$A$65,0)))&amp;"."&amp;Z$5</f>
        <v/>
      </c>
      <c r="AA487" s="38">
        <f>$D487+AA478</f>
        <v/>
      </c>
      <c r="AB487" s="36">
        <f>$D487+AB478</f>
        <v/>
      </c>
      <c r="AC487" s="36">
        <f>$D487+AC478</f>
        <v/>
      </c>
      <c r="AD487" s="36">
        <f>$D487+AD478</f>
        <v/>
      </c>
      <c r="AE487" s="36">
        <f>$D487+AE478</f>
        <v/>
      </c>
      <c r="AF487" s="36">
        <f>$D487+AF478</f>
        <v/>
      </c>
      <c r="AG487" s="36">
        <f>$D487+AG478</f>
        <v/>
      </c>
      <c r="AH487" s="36">
        <f>$D487+AH478</f>
        <v/>
      </c>
      <c r="AI487" s="36">
        <f>$D487+AI478</f>
        <v/>
      </c>
      <c r="AJ487" s="36">
        <f>$D487+AJ478</f>
        <v/>
      </c>
      <c r="AK487" s="36">
        <f>$D487+AK478</f>
        <v/>
      </c>
      <c r="AL487" s="36">
        <f>$D487+AL478</f>
        <v/>
      </c>
      <c r="AM487" s="36">
        <f>$D487+AM478</f>
        <v/>
      </c>
      <c r="AN487" s="39">
        <f>TAX($D487,AN478)</f>
        <v/>
      </c>
    </row>
    <row r="488" hidden="1" outlineLevel="2">
      <c r="A488" s="5" t="inlineStr">
        <is>
          <t>tax</t>
        </is>
      </c>
      <c r="B488" s="5" t="inlineStr">
        <is>
          <t>ker</t>
        </is>
      </c>
      <c r="C488" s="5" t="inlineStr">
        <is>
          <t>res</t>
        </is>
      </c>
      <c r="D488" s="36">
        <f>INDEX(Inputs!$T$5:$T$132,MATCH($B488&amp;"|"&amp;$C488,Inputs!$A$5:$A$132,0))</f>
        <v/>
      </c>
      <c r="E488" s="37" t="n"/>
      <c r="F488" s="37" t="n"/>
      <c r="G488" s="37" t="n"/>
      <c r="H488" s="5">
        <f>INDEX(Variables!$B$5:$B$65,MATCH($A488,Variables!$A$5:$A$65,0))&amp;IF($C488="",""," | "&amp;INDEX(Mapping!$B$5:$B$25,MATCH($C488,Mapping!$A$5:$A$25,0))&amp;" | "&amp;INDEX(Mapping!$B$29:$B$38,MATCH($B488,Mapping!$A$29:$A$38,0)))</f>
        <v/>
      </c>
      <c r="I488" s="5">
        <f>INDEX(Variables!$C$5:$C$65,MATCH($A488,Variables!$A$5:$A$65,0))</f>
        <v/>
      </c>
      <c r="J488" s="5">
        <f>INDEX(Variables!$E$5:$E$65,MATCH($A488,Variables!$A$5:$A$65,0))</f>
        <v/>
      </c>
      <c r="K488" s="23">
        <f>LOWER(Settings!$C$4)&amp;".mit."&amp;$A488&amp;IF($C488="","","."&amp;$C488&amp;"."&amp;$B488)&amp;IF(INDEX(Variables!$D$5:$D$65,MATCH($A488,Variables!$A$5:$A$65,0))="","","."&amp;INDEX(Variables!$D$5:$D$65,MATCH($A488,Variables!$A$5:$A$65,0)))&amp;"."&amp;K$5</f>
        <v/>
      </c>
      <c r="L488" s="38">
        <f>$D488+L479</f>
        <v/>
      </c>
      <c r="M488" s="36">
        <f>$D488+M479</f>
        <v/>
      </c>
      <c r="N488" s="36">
        <f>$D488+N479</f>
        <v/>
      </c>
      <c r="O488" s="36">
        <f>$D488+O479</f>
        <v/>
      </c>
      <c r="P488" s="36">
        <f>$D488+P479</f>
        <v/>
      </c>
      <c r="Q488" s="36">
        <f>$D488+Q479</f>
        <v/>
      </c>
      <c r="R488" s="36">
        <f>$D488+R479</f>
        <v/>
      </c>
      <c r="S488" s="36">
        <f>$D488+S479</f>
        <v/>
      </c>
      <c r="T488" s="36">
        <f>$D488+T479</f>
        <v/>
      </c>
      <c r="U488" s="36">
        <f>$D488+U479</f>
        <v/>
      </c>
      <c r="V488" s="36">
        <f>$D488+V479</f>
        <v/>
      </c>
      <c r="W488" s="36">
        <f>$D488+W479</f>
        <v/>
      </c>
      <c r="X488" s="36">
        <f>$D488+X479</f>
        <v/>
      </c>
      <c r="Y488" s="39">
        <f>TAX($D488,Y479)</f>
        <v/>
      </c>
      <c r="Z488" s="23">
        <f>LOWER(Settings!$C$4)&amp;".mit."&amp;$A488&amp;IF($C488="","","."&amp;$C488&amp;"."&amp;$B488)&amp;IF(INDEX(Variables!$D$5:$D$65,MATCH($A488,Variables!$A$5:$A$65,0))="","","."&amp;INDEX(Variables!$D$5:$D$65,MATCH($A488,Variables!$A$5:$A$65,0)))&amp;"."&amp;Z$5</f>
        <v/>
      </c>
      <c r="AA488" s="38">
        <f>$D488+AA479</f>
        <v/>
      </c>
      <c r="AB488" s="36">
        <f>$D488+AB479</f>
        <v/>
      </c>
      <c r="AC488" s="36">
        <f>$D488+AC479</f>
        <v/>
      </c>
      <c r="AD488" s="36">
        <f>$D488+AD479</f>
        <v/>
      </c>
      <c r="AE488" s="36">
        <f>$D488+AE479</f>
        <v/>
      </c>
      <c r="AF488" s="36">
        <f>$D488+AF479</f>
        <v/>
      </c>
      <c r="AG488" s="36">
        <f>$D488+AG479</f>
        <v/>
      </c>
      <c r="AH488" s="36">
        <f>$D488+AH479</f>
        <v/>
      </c>
      <c r="AI488" s="36">
        <f>$D488+AI479</f>
        <v/>
      </c>
      <c r="AJ488" s="36">
        <f>$D488+AJ479</f>
        <v/>
      </c>
      <c r="AK488" s="36">
        <f>$D488+AK479</f>
        <v/>
      </c>
      <c r="AL488" s="36">
        <f>$D488+AL479</f>
        <v/>
      </c>
      <c r="AM488" s="36">
        <f>$D488+AM479</f>
        <v/>
      </c>
      <c r="AN488" s="39">
        <f>TAX($D488,AN479)</f>
        <v/>
      </c>
    </row>
    <row r="489" hidden="1" outlineLevel="2">
      <c r="A489" s="5" t="inlineStr">
        <is>
          <t>tax</t>
        </is>
      </c>
      <c r="B489" s="5" t="inlineStr">
        <is>
          <t>oop</t>
        </is>
      </c>
      <c r="C489" s="5" t="inlineStr">
        <is>
          <t>res</t>
        </is>
      </c>
      <c r="D489" s="36">
        <f>INDEX(Inputs!$T$5:$T$132,MATCH($B489&amp;"|"&amp;$C489,Inputs!$A$5:$A$132,0))</f>
        <v/>
      </c>
      <c r="E489" s="37" t="n"/>
      <c r="F489" s="37" t="n"/>
      <c r="G489" s="37" t="n"/>
      <c r="H489" s="5">
        <f>INDEX(Variables!$B$5:$B$65,MATCH($A489,Variables!$A$5:$A$65,0))&amp;IF($C489="",""," | "&amp;INDEX(Mapping!$B$5:$B$25,MATCH($C489,Mapping!$A$5:$A$25,0))&amp;" | "&amp;INDEX(Mapping!$B$29:$B$38,MATCH($B489,Mapping!$A$29:$A$38,0)))</f>
        <v/>
      </c>
      <c r="I489" s="5">
        <f>INDEX(Variables!$C$5:$C$65,MATCH($A489,Variables!$A$5:$A$65,0))</f>
        <v/>
      </c>
      <c r="J489" s="5">
        <f>INDEX(Variables!$E$5:$E$65,MATCH($A489,Variables!$A$5:$A$65,0))</f>
        <v/>
      </c>
      <c r="K489" s="23">
        <f>LOWER(Settings!$C$4)&amp;".mit."&amp;$A489&amp;IF($C489="","","."&amp;$C489&amp;"."&amp;$B489)&amp;IF(INDEX(Variables!$D$5:$D$65,MATCH($A489,Variables!$A$5:$A$65,0))="","","."&amp;INDEX(Variables!$D$5:$D$65,MATCH($A489,Variables!$A$5:$A$65,0)))&amp;"."&amp;K$5</f>
        <v/>
      </c>
      <c r="L489" s="38">
        <f>$D489+L480</f>
        <v/>
      </c>
      <c r="M489" s="36">
        <f>$D489+M480</f>
        <v/>
      </c>
      <c r="N489" s="36">
        <f>$D489+N480</f>
        <v/>
      </c>
      <c r="O489" s="36">
        <f>$D489+O480</f>
        <v/>
      </c>
      <c r="P489" s="36">
        <f>$D489+P480</f>
        <v/>
      </c>
      <c r="Q489" s="36">
        <f>$D489+Q480</f>
        <v/>
      </c>
      <c r="R489" s="36">
        <f>$D489+R480</f>
        <v/>
      </c>
      <c r="S489" s="36">
        <f>$D489+S480</f>
        <v/>
      </c>
      <c r="T489" s="36">
        <f>$D489+T480</f>
        <v/>
      </c>
      <c r="U489" s="36">
        <f>$D489+U480</f>
        <v/>
      </c>
      <c r="V489" s="36">
        <f>$D489+V480</f>
        <v/>
      </c>
      <c r="W489" s="36">
        <f>$D489+W480</f>
        <v/>
      </c>
      <c r="X489" s="36">
        <f>$D489+X480</f>
        <v/>
      </c>
      <c r="Y489" s="39">
        <f>TAX($D489,Y480)</f>
        <v/>
      </c>
      <c r="Z489" s="23">
        <f>LOWER(Settings!$C$4)&amp;".mit."&amp;$A489&amp;IF($C489="","","."&amp;$C489&amp;"."&amp;$B489)&amp;IF(INDEX(Variables!$D$5:$D$65,MATCH($A489,Variables!$A$5:$A$65,0))="","","."&amp;INDEX(Variables!$D$5:$D$65,MATCH($A489,Variables!$A$5:$A$65,0)))&amp;"."&amp;Z$5</f>
        <v/>
      </c>
      <c r="AA489" s="38">
        <f>$D489+AA480</f>
        <v/>
      </c>
      <c r="AB489" s="36">
        <f>$D489+AB480</f>
        <v/>
      </c>
      <c r="AC489" s="36">
        <f>$D489+AC480</f>
        <v/>
      </c>
      <c r="AD489" s="36">
        <f>$D489+AD480</f>
        <v/>
      </c>
      <c r="AE489" s="36">
        <f>$D489+AE480</f>
        <v/>
      </c>
      <c r="AF489" s="36">
        <f>$D489+AF480</f>
        <v/>
      </c>
      <c r="AG489" s="36">
        <f>$D489+AG480</f>
        <v/>
      </c>
      <c r="AH489" s="36">
        <f>$D489+AH480</f>
        <v/>
      </c>
      <c r="AI489" s="36">
        <f>$D489+AI480</f>
        <v/>
      </c>
      <c r="AJ489" s="36">
        <f>$D489+AJ480</f>
        <v/>
      </c>
      <c r="AK489" s="36">
        <f>$D489+AK480</f>
        <v/>
      </c>
      <c r="AL489" s="36">
        <f>$D489+AL480</f>
        <v/>
      </c>
      <c r="AM489" s="36">
        <f>$D489+AM480</f>
        <v/>
      </c>
      <c r="AN489" s="39">
        <f>TAX($D489,AN480)</f>
        <v/>
      </c>
    </row>
    <row r="490" hidden="1" outlineLevel="2">
      <c r="A490" s="5" t="inlineStr">
        <is>
          <t>tax</t>
        </is>
      </c>
      <c r="B490" s="5" t="inlineStr">
        <is>
          <t>bio</t>
        </is>
      </c>
      <c r="C490" s="5" t="inlineStr">
        <is>
          <t>res</t>
        </is>
      </c>
      <c r="D490" s="36">
        <f>INDEX(Inputs!$T$5:$T$132,MATCH($B490&amp;"|"&amp;$C490,Inputs!$A$5:$A$132,0))</f>
        <v/>
      </c>
      <c r="E490" s="37" t="n"/>
      <c r="F490" s="37" t="n"/>
      <c r="G490" s="37" t="n"/>
      <c r="H490" s="5">
        <f>INDEX(Variables!$B$5:$B$65,MATCH($A490,Variables!$A$5:$A$65,0))&amp;IF($C490="",""," | "&amp;INDEX(Mapping!$B$5:$B$25,MATCH($C490,Mapping!$A$5:$A$25,0))&amp;" | "&amp;INDEX(Mapping!$B$29:$B$38,MATCH($B490,Mapping!$A$29:$A$38,0)))</f>
        <v/>
      </c>
      <c r="I490" s="5">
        <f>INDEX(Variables!$C$5:$C$65,MATCH($A490,Variables!$A$5:$A$65,0))</f>
        <v/>
      </c>
      <c r="J490" s="5">
        <f>INDEX(Variables!$E$5:$E$65,MATCH($A490,Variables!$A$5:$A$65,0))</f>
        <v/>
      </c>
      <c r="K490" s="23">
        <f>LOWER(Settings!$C$4)&amp;".mit."&amp;$A490&amp;IF($C490="","","."&amp;$C490&amp;"."&amp;$B490)&amp;IF(INDEX(Variables!$D$5:$D$65,MATCH($A490,Variables!$A$5:$A$65,0))="","","."&amp;INDEX(Variables!$D$5:$D$65,MATCH($A490,Variables!$A$5:$A$65,0)))&amp;"."&amp;K$5</f>
        <v/>
      </c>
      <c r="L490" s="38">
        <f>$D490+L481</f>
        <v/>
      </c>
      <c r="M490" s="36">
        <f>$D490+M481</f>
        <v/>
      </c>
      <c r="N490" s="36">
        <f>$D490+N481</f>
        <v/>
      </c>
      <c r="O490" s="36">
        <f>$D490+O481</f>
        <v/>
      </c>
      <c r="P490" s="36">
        <f>$D490+P481</f>
        <v/>
      </c>
      <c r="Q490" s="36">
        <f>$D490+Q481</f>
        <v/>
      </c>
      <c r="R490" s="36">
        <f>$D490+R481</f>
        <v/>
      </c>
      <c r="S490" s="36">
        <f>$D490+S481</f>
        <v/>
      </c>
      <c r="T490" s="36">
        <f>$D490+T481</f>
        <v/>
      </c>
      <c r="U490" s="36">
        <f>$D490+U481</f>
        <v/>
      </c>
      <c r="V490" s="36">
        <f>$D490+V481</f>
        <v/>
      </c>
      <c r="W490" s="36">
        <f>$D490+W481</f>
        <v/>
      </c>
      <c r="X490" s="36">
        <f>$D490+X481</f>
        <v/>
      </c>
      <c r="Y490" s="39">
        <f>TAX($D490,Y481)</f>
        <v/>
      </c>
      <c r="Z490" s="23">
        <f>LOWER(Settings!$C$4)&amp;".mit."&amp;$A490&amp;IF($C490="","","."&amp;$C490&amp;"."&amp;$B490)&amp;IF(INDEX(Variables!$D$5:$D$65,MATCH($A490,Variables!$A$5:$A$65,0))="","","."&amp;INDEX(Variables!$D$5:$D$65,MATCH($A490,Variables!$A$5:$A$65,0)))&amp;"."&amp;Z$5</f>
        <v/>
      </c>
      <c r="AA490" s="38">
        <f>$D490+AA481</f>
        <v/>
      </c>
      <c r="AB490" s="36">
        <f>$D490+AB481</f>
        <v/>
      </c>
      <c r="AC490" s="36">
        <f>$D490+AC481</f>
        <v/>
      </c>
      <c r="AD490" s="36">
        <f>$D490+AD481</f>
        <v/>
      </c>
      <c r="AE490" s="36">
        <f>$D490+AE481</f>
        <v/>
      </c>
      <c r="AF490" s="36">
        <f>$D490+AF481</f>
        <v/>
      </c>
      <c r="AG490" s="36">
        <f>$D490+AG481</f>
        <v/>
      </c>
      <c r="AH490" s="36">
        <f>$D490+AH481</f>
        <v/>
      </c>
      <c r="AI490" s="36">
        <f>$D490+AI481</f>
        <v/>
      </c>
      <c r="AJ490" s="36">
        <f>$D490+AJ481</f>
        <v/>
      </c>
      <c r="AK490" s="36">
        <f>$D490+AK481</f>
        <v/>
      </c>
      <c r="AL490" s="36">
        <f>$D490+AL481</f>
        <v/>
      </c>
      <c r="AM490" s="36">
        <f>$D490+AM481</f>
        <v/>
      </c>
      <c r="AN490" s="39">
        <f>TAX($D490,AN481)</f>
        <v/>
      </c>
    </row>
    <row r="491" hidden="1" outlineLevel="2"/>
    <row r="492" hidden="1" outlineLevel="2">
      <c r="A492" s="5" t="inlineStr">
        <is>
          <t>atp</t>
        </is>
      </c>
      <c r="B492" s="5" t="inlineStr">
        <is>
          <t>coa</t>
        </is>
      </c>
      <c r="C492" s="5" t="inlineStr">
        <is>
          <t>res</t>
        </is>
      </c>
      <c r="D492" s="37" t="n"/>
      <c r="E492" s="37" t="n"/>
      <c r="F492" s="37" t="n"/>
      <c r="G492" s="37" t="n"/>
      <c r="H492" s="5">
        <f>INDEX(Variables!$B$5:$B$65,MATCH($A492,Variables!$A$5:$A$65,0))&amp;IF($C492="",""," | "&amp;INDEX(Mapping!$B$5:$B$25,MATCH($C492,Mapping!$A$5:$A$25,0))&amp;" | "&amp;INDEX(Mapping!$B$29:$B$38,MATCH($B492,Mapping!$A$29:$A$38,0)))</f>
        <v/>
      </c>
      <c r="I492" s="5">
        <f>INDEX(Variables!$C$5:$C$65,MATCH($A492,Variables!$A$5:$A$65,0))</f>
        <v/>
      </c>
      <c r="J492" s="5">
        <f>INDEX(Variables!$E$5:$E$65,MATCH($A492,Variables!$A$5:$A$65,0))</f>
        <v/>
      </c>
      <c r="K492" s="23">
        <f>LOWER(Settings!$C$4)&amp;".mit."&amp;$A492&amp;IF($C492="","","."&amp;$C492&amp;"."&amp;$B492)&amp;IF(INDEX(Variables!$D$5:$D$65,MATCH($A492,Variables!$A$5:$A$65,0))="","","."&amp;INDEX(Variables!$D$5:$D$65,MATCH($A492,Variables!$A$5:$A$65,0)))&amp;"."&amp;K$5</f>
        <v/>
      </c>
      <c r="L492" s="38">
        <f>L447+L483</f>
        <v/>
      </c>
      <c r="M492" s="36">
        <f>M447+M483</f>
        <v/>
      </c>
      <c r="N492" s="36">
        <f>N447+N483</f>
        <v/>
      </c>
      <c r="O492" s="36">
        <f>O447+O483</f>
        <v/>
      </c>
      <c r="P492" s="36">
        <f>P447+P483</f>
        <v/>
      </c>
      <c r="Q492" s="36">
        <f>Q447+Q483</f>
        <v/>
      </c>
      <c r="R492" s="36">
        <f>R447+R483</f>
        <v/>
      </c>
      <c r="S492" s="36">
        <f>S447+S483</f>
        <v/>
      </c>
      <c r="T492" s="36">
        <f>T447+T483</f>
        <v/>
      </c>
      <c r="U492" s="36">
        <f>U447+U483</f>
        <v/>
      </c>
      <c r="V492" s="36">
        <f>V447+V483</f>
        <v/>
      </c>
      <c r="W492" s="36">
        <f>W447+W483</f>
        <v/>
      </c>
      <c r="X492" s="36">
        <f>X447+X483</f>
        <v/>
      </c>
      <c r="Y492" s="39">
        <f>POSTTAX(Y447,Y483)</f>
        <v/>
      </c>
      <c r="Z492" s="23">
        <f>LOWER(Settings!$C$4)&amp;".mit."&amp;$A492&amp;IF($C492="","","."&amp;$C492&amp;"."&amp;$B492)&amp;IF(INDEX(Variables!$D$5:$D$65,MATCH($A492,Variables!$A$5:$A$65,0))="","","."&amp;INDEX(Variables!$D$5:$D$65,MATCH($A492,Variables!$A$5:$A$65,0)))&amp;"."&amp;Z$5</f>
        <v/>
      </c>
      <c r="AA492" s="38">
        <f>AA447+AA483</f>
        <v/>
      </c>
      <c r="AB492" s="36">
        <f>AB447+AB483</f>
        <v/>
      </c>
      <c r="AC492" s="36">
        <f>AC447+AC483</f>
        <v/>
      </c>
      <c r="AD492" s="36">
        <f>AD447+AD483</f>
        <v/>
      </c>
      <c r="AE492" s="36">
        <f>AE447+AE483</f>
        <v/>
      </c>
      <c r="AF492" s="36">
        <f>AF447+AF483</f>
        <v/>
      </c>
      <c r="AG492" s="36">
        <f>AG447+AG483</f>
        <v/>
      </c>
      <c r="AH492" s="36">
        <f>AH447+AH483</f>
        <v/>
      </c>
      <c r="AI492" s="36">
        <f>AI447+AI483</f>
        <v/>
      </c>
      <c r="AJ492" s="36">
        <f>AJ447+AJ483</f>
        <v/>
      </c>
      <c r="AK492" s="36">
        <f>AK447+AK483</f>
        <v/>
      </c>
      <c r="AL492" s="36">
        <f>AL447+AL483</f>
        <v/>
      </c>
      <c r="AM492" s="36">
        <f>AM447+AM483</f>
        <v/>
      </c>
      <c r="AN492" s="39">
        <f>POSTTAX(AN447,AN483)</f>
        <v/>
      </c>
    </row>
    <row r="493" hidden="1" outlineLevel="2">
      <c r="A493" s="5" t="inlineStr">
        <is>
          <t>atp</t>
        </is>
      </c>
      <c r="B493" s="5" t="inlineStr">
        <is>
          <t>nga</t>
        </is>
      </c>
      <c r="C493" s="5" t="inlineStr">
        <is>
          <t>res</t>
        </is>
      </c>
      <c r="D493" s="37" t="n"/>
      <c r="E493" s="37" t="n"/>
      <c r="F493" s="37" t="n"/>
      <c r="G493" s="37" t="n"/>
      <c r="H493" s="5">
        <f>INDEX(Variables!$B$5:$B$65,MATCH($A493,Variables!$A$5:$A$65,0))&amp;IF($C493="",""," | "&amp;INDEX(Mapping!$B$5:$B$25,MATCH($C493,Mapping!$A$5:$A$25,0))&amp;" | "&amp;INDEX(Mapping!$B$29:$B$38,MATCH($B493,Mapping!$A$29:$A$38,0)))</f>
        <v/>
      </c>
      <c r="I493" s="5">
        <f>INDEX(Variables!$C$5:$C$65,MATCH($A493,Variables!$A$5:$A$65,0))</f>
        <v/>
      </c>
      <c r="J493" s="5">
        <f>INDEX(Variables!$E$5:$E$65,MATCH($A493,Variables!$A$5:$A$65,0))</f>
        <v/>
      </c>
      <c r="K493" s="23">
        <f>LOWER(Settings!$C$4)&amp;".mit."&amp;$A493&amp;IF($C493="","","."&amp;$C493&amp;"."&amp;$B493)&amp;IF(INDEX(Variables!$D$5:$D$65,MATCH($A493,Variables!$A$5:$A$65,0))="","","."&amp;INDEX(Variables!$D$5:$D$65,MATCH($A493,Variables!$A$5:$A$65,0)))&amp;"."&amp;K$5</f>
        <v/>
      </c>
      <c r="L493" s="38">
        <f>L448+L484</f>
        <v/>
      </c>
      <c r="M493" s="36">
        <f>M448+M484</f>
        <v/>
      </c>
      <c r="N493" s="36">
        <f>N448+N484</f>
        <v/>
      </c>
      <c r="O493" s="36">
        <f>O448+O484</f>
        <v/>
      </c>
      <c r="P493" s="36">
        <f>P448+P484</f>
        <v/>
      </c>
      <c r="Q493" s="36">
        <f>Q448+Q484</f>
        <v/>
      </c>
      <c r="R493" s="36">
        <f>R448+R484</f>
        <v/>
      </c>
      <c r="S493" s="36">
        <f>S448+S484</f>
        <v/>
      </c>
      <c r="T493" s="36">
        <f>T448+T484</f>
        <v/>
      </c>
      <c r="U493" s="36">
        <f>U448+U484</f>
        <v/>
      </c>
      <c r="V493" s="36">
        <f>V448+V484</f>
        <v/>
      </c>
      <c r="W493" s="36">
        <f>W448+W484</f>
        <v/>
      </c>
      <c r="X493" s="36">
        <f>X448+X484</f>
        <v/>
      </c>
      <c r="Y493" s="39">
        <f>POSTTAX(Y448,Y484)</f>
        <v/>
      </c>
      <c r="Z493" s="23">
        <f>LOWER(Settings!$C$4)&amp;".mit."&amp;$A493&amp;IF($C493="","","."&amp;$C493&amp;"."&amp;$B493)&amp;IF(INDEX(Variables!$D$5:$D$65,MATCH($A493,Variables!$A$5:$A$65,0))="","","."&amp;INDEX(Variables!$D$5:$D$65,MATCH($A493,Variables!$A$5:$A$65,0)))&amp;"."&amp;Z$5</f>
        <v/>
      </c>
      <c r="AA493" s="38">
        <f>AA448+AA484</f>
        <v/>
      </c>
      <c r="AB493" s="36">
        <f>AB448+AB484</f>
        <v/>
      </c>
      <c r="AC493" s="36">
        <f>AC448+AC484</f>
        <v/>
      </c>
      <c r="AD493" s="36">
        <f>AD448+AD484</f>
        <v/>
      </c>
      <c r="AE493" s="36">
        <f>AE448+AE484</f>
        <v/>
      </c>
      <c r="AF493" s="36">
        <f>AF448+AF484</f>
        <v/>
      </c>
      <c r="AG493" s="36">
        <f>AG448+AG484</f>
        <v/>
      </c>
      <c r="AH493" s="36">
        <f>AH448+AH484</f>
        <v/>
      </c>
      <c r="AI493" s="36">
        <f>AI448+AI484</f>
        <v/>
      </c>
      <c r="AJ493" s="36">
        <f>AJ448+AJ484</f>
        <v/>
      </c>
      <c r="AK493" s="36">
        <f>AK448+AK484</f>
        <v/>
      </c>
      <c r="AL493" s="36">
        <f>AL448+AL484</f>
        <v/>
      </c>
      <c r="AM493" s="36">
        <f>AM448+AM484</f>
        <v/>
      </c>
      <c r="AN493" s="39">
        <f>POSTTAX(AN448,AN484)</f>
        <v/>
      </c>
    </row>
    <row r="494" hidden="1" outlineLevel="2">
      <c r="A494" s="5" t="inlineStr">
        <is>
          <t>atp</t>
        </is>
      </c>
      <c r="B494" s="5" t="inlineStr">
        <is>
          <t>gso</t>
        </is>
      </c>
      <c r="C494" s="5" t="inlineStr">
        <is>
          <t>res</t>
        </is>
      </c>
      <c r="D494" s="37" t="n"/>
      <c r="E494" s="37" t="n"/>
      <c r="F494" s="37" t="n"/>
      <c r="G494" s="37" t="n"/>
      <c r="H494" s="5">
        <f>INDEX(Variables!$B$5:$B$65,MATCH($A494,Variables!$A$5:$A$65,0))&amp;IF($C494="",""," | "&amp;INDEX(Mapping!$B$5:$B$25,MATCH($C494,Mapping!$A$5:$A$25,0))&amp;" | "&amp;INDEX(Mapping!$B$29:$B$38,MATCH($B494,Mapping!$A$29:$A$38,0)))</f>
        <v/>
      </c>
      <c r="I494" s="5">
        <f>INDEX(Variables!$C$5:$C$65,MATCH($A494,Variables!$A$5:$A$65,0))</f>
        <v/>
      </c>
      <c r="J494" s="5">
        <f>INDEX(Variables!$E$5:$E$65,MATCH($A494,Variables!$A$5:$A$65,0))</f>
        <v/>
      </c>
      <c r="K494" s="23">
        <f>LOWER(Settings!$C$4)&amp;".mit."&amp;$A494&amp;IF($C494="","","."&amp;$C494&amp;"."&amp;$B494)&amp;IF(INDEX(Variables!$D$5:$D$65,MATCH($A494,Variables!$A$5:$A$65,0))="","","."&amp;INDEX(Variables!$D$5:$D$65,MATCH($A494,Variables!$A$5:$A$65,0)))&amp;"."&amp;K$5</f>
        <v/>
      </c>
      <c r="L494" s="38">
        <f>L449+L485</f>
        <v/>
      </c>
      <c r="M494" s="36">
        <f>M449+M485</f>
        <v/>
      </c>
      <c r="N494" s="36">
        <f>N449+N485</f>
        <v/>
      </c>
      <c r="O494" s="36">
        <f>O449+O485</f>
        <v/>
      </c>
      <c r="P494" s="36">
        <f>P449+P485</f>
        <v/>
      </c>
      <c r="Q494" s="36">
        <f>Q449+Q485</f>
        <v/>
      </c>
      <c r="R494" s="36">
        <f>R449+R485</f>
        <v/>
      </c>
      <c r="S494" s="36">
        <f>S449+S485</f>
        <v/>
      </c>
      <c r="T494" s="36">
        <f>T449+T485</f>
        <v/>
      </c>
      <c r="U494" s="36">
        <f>U449+U485</f>
        <v/>
      </c>
      <c r="V494" s="36">
        <f>V449+V485</f>
        <v/>
      </c>
      <c r="W494" s="36">
        <f>W449+W485</f>
        <v/>
      </c>
      <c r="X494" s="36">
        <f>X449+X485</f>
        <v/>
      </c>
      <c r="Y494" s="39">
        <f>POSTTAX(Y449,Y485)</f>
        <v/>
      </c>
      <c r="Z494" s="23">
        <f>LOWER(Settings!$C$4)&amp;".mit."&amp;$A494&amp;IF($C494="","","."&amp;$C494&amp;"."&amp;$B494)&amp;IF(INDEX(Variables!$D$5:$D$65,MATCH($A494,Variables!$A$5:$A$65,0))="","","."&amp;INDEX(Variables!$D$5:$D$65,MATCH($A494,Variables!$A$5:$A$65,0)))&amp;"."&amp;Z$5</f>
        <v/>
      </c>
      <c r="AA494" s="38">
        <f>AA449+AA485</f>
        <v/>
      </c>
      <c r="AB494" s="36">
        <f>AB449+AB485</f>
        <v/>
      </c>
      <c r="AC494" s="36">
        <f>AC449+AC485</f>
        <v/>
      </c>
      <c r="AD494" s="36">
        <f>AD449+AD485</f>
        <v/>
      </c>
      <c r="AE494" s="36">
        <f>AE449+AE485</f>
        <v/>
      </c>
      <c r="AF494" s="36">
        <f>AF449+AF485</f>
        <v/>
      </c>
      <c r="AG494" s="36">
        <f>AG449+AG485</f>
        <v/>
      </c>
      <c r="AH494" s="36">
        <f>AH449+AH485</f>
        <v/>
      </c>
      <c r="AI494" s="36">
        <f>AI449+AI485</f>
        <v/>
      </c>
      <c r="AJ494" s="36">
        <f>AJ449+AJ485</f>
        <v/>
      </c>
      <c r="AK494" s="36">
        <f>AK449+AK485</f>
        <v/>
      </c>
      <c r="AL494" s="36">
        <f>AL449+AL485</f>
        <v/>
      </c>
      <c r="AM494" s="36">
        <f>AM449+AM485</f>
        <v/>
      </c>
      <c r="AN494" s="39">
        <f>POSTTAX(AN449,AN485)</f>
        <v/>
      </c>
    </row>
    <row r="495" hidden="1" outlineLevel="2">
      <c r="A495" s="5" t="inlineStr">
        <is>
          <t>atp</t>
        </is>
      </c>
      <c r="B495" s="5" t="inlineStr">
        <is>
          <t>die</t>
        </is>
      </c>
      <c r="C495" s="5" t="inlineStr">
        <is>
          <t>res</t>
        </is>
      </c>
      <c r="D495" s="37" t="n"/>
      <c r="E495" s="37" t="n"/>
      <c r="F495" s="37" t="n"/>
      <c r="G495" s="37" t="n"/>
      <c r="H495" s="5">
        <f>INDEX(Variables!$B$5:$B$65,MATCH($A495,Variables!$A$5:$A$65,0))&amp;IF($C495="",""," | "&amp;INDEX(Mapping!$B$5:$B$25,MATCH($C495,Mapping!$A$5:$A$25,0))&amp;" | "&amp;INDEX(Mapping!$B$29:$B$38,MATCH($B495,Mapping!$A$29:$A$38,0)))</f>
        <v/>
      </c>
      <c r="I495" s="5">
        <f>INDEX(Variables!$C$5:$C$65,MATCH($A495,Variables!$A$5:$A$65,0))</f>
        <v/>
      </c>
      <c r="J495" s="5">
        <f>INDEX(Variables!$E$5:$E$65,MATCH($A495,Variables!$A$5:$A$65,0))</f>
        <v/>
      </c>
      <c r="K495" s="23">
        <f>LOWER(Settings!$C$4)&amp;".mit."&amp;$A495&amp;IF($C495="","","."&amp;$C495&amp;"."&amp;$B495)&amp;IF(INDEX(Variables!$D$5:$D$65,MATCH($A495,Variables!$A$5:$A$65,0))="","","."&amp;INDEX(Variables!$D$5:$D$65,MATCH($A495,Variables!$A$5:$A$65,0)))&amp;"."&amp;K$5</f>
        <v/>
      </c>
      <c r="L495" s="38">
        <f>L450+L486</f>
        <v/>
      </c>
      <c r="M495" s="36">
        <f>M450+M486</f>
        <v/>
      </c>
      <c r="N495" s="36">
        <f>N450+N486</f>
        <v/>
      </c>
      <c r="O495" s="36">
        <f>O450+O486</f>
        <v/>
      </c>
      <c r="P495" s="36">
        <f>P450+P486</f>
        <v/>
      </c>
      <c r="Q495" s="36">
        <f>Q450+Q486</f>
        <v/>
      </c>
      <c r="R495" s="36">
        <f>R450+R486</f>
        <v/>
      </c>
      <c r="S495" s="36">
        <f>S450+S486</f>
        <v/>
      </c>
      <c r="T495" s="36">
        <f>T450+T486</f>
        <v/>
      </c>
      <c r="U495" s="36">
        <f>U450+U486</f>
        <v/>
      </c>
      <c r="V495" s="36">
        <f>V450+V486</f>
        <v/>
      </c>
      <c r="W495" s="36">
        <f>W450+W486</f>
        <v/>
      </c>
      <c r="X495" s="36">
        <f>X450+X486</f>
        <v/>
      </c>
      <c r="Y495" s="39">
        <f>POSTTAX(Y450,Y486)</f>
        <v/>
      </c>
      <c r="Z495" s="23">
        <f>LOWER(Settings!$C$4)&amp;".mit."&amp;$A495&amp;IF($C495="","","."&amp;$C495&amp;"."&amp;$B495)&amp;IF(INDEX(Variables!$D$5:$D$65,MATCH($A495,Variables!$A$5:$A$65,0))="","","."&amp;INDEX(Variables!$D$5:$D$65,MATCH($A495,Variables!$A$5:$A$65,0)))&amp;"."&amp;Z$5</f>
        <v/>
      </c>
      <c r="AA495" s="38">
        <f>AA450+AA486</f>
        <v/>
      </c>
      <c r="AB495" s="36">
        <f>AB450+AB486</f>
        <v/>
      </c>
      <c r="AC495" s="36">
        <f>AC450+AC486</f>
        <v/>
      </c>
      <c r="AD495" s="36">
        <f>AD450+AD486</f>
        <v/>
      </c>
      <c r="AE495" s="36">
        <f>AE450+AE486</f>
        <v/>
      </c>
      <c r="AF495" s="36">
        <f>AF450+AF486</f>
        <v/>
      </c>
      <c r="AG495" s="36">
        <f>AG450+AG486</f>
        <v/>
      </c>
      <c r="AH495" s="36">
        <f>AH450+AH486</f>
        <v/>
      </c>
      <c r="AI495" s="36">
        <f>AI450+AI486</f>
        <v/>
      </c>
      <c r="AJ495" s="36">
        <f>AJ450+AJ486</f>
        <v/>
      </c>
      <c r="AK495" s="36">
        <f>AK450+AK486</f>
        <v/>
      </c>
      <c r="AL495" s="36">
        <f>AL450+AL486</f>
        <v/>
      </c>
      <c r="AM495" s="36">
        <f>AM450+AM486</f>
        <v/>
      </c>
      <c r="AN495" s="39">
        <f>POSTTAX(AN450,AN486)</f>
        <v/>
      </c>
    </row>
    <row r="496" hidden="1" outlineLevel="2">
      <c r="A496" s="5" t="inlineStr">
        <is>
          <t>atp</t>
        </is>
      </c>
      <c r="B496" s="5" t="inlineStr">
        <is>
          <t>lpg</t>
        </is>
      </c>
      <c r="C496" s="5" t="inlineStr">
        <is>
          <t>res</t>
        </is>
      </c>
      <c r="D496" s="37" t="n"/>
      <c r="E496" s="37" t="n"/>
      <c r="F496" s="37" t="n"/>
      <c r="G496" s="37" t="n"/>
      <c r="H496" s="5">
        <f>INDEX(Variables!$B$5:$B$65,MATCH($A496,Variables!$A$5:$A$65,0))&amp;IF($C496="",""," | "&amp;INDEX(Mapping!$B$5:$B$25,MATCH($C496,Mapping!$A$5:$A$25,0))&amp;" | "&amp;INDEX(Mapping!$B$29:$B$38,MATCH($B496,Mapping!$A$29:$A$38,0)))</f>
        <v/>
      </c>
      <c r="I496" s="5">
        <f>INDEX(Variables!$C$5:$C$65,MATCH($A496,Variables!$A$5:$A$65,0))</f>
        <v/>
      </c>
      <c r="J496" s="5">
        <f>INDEX(Variables!$E$5:$E$65,MATCH($A496,Variables!$A$5:$A$65,0))</f>
        <v/>
      </c>
      <c r="K496" s="23">
        <f>LOWER(Settings!$C$4)&amp;".mit."&amp;$A496&amp;IF($C496="","","."&amp;$C496&amp;"."&amp;$B496)&amp;IF(INDEX(Variables!$D$5:$D$65,MATCH($A496,Variables!$A$5:$A$65,0))="","","."&amp;INDEX(Variables!$D$5:$D$65,MATCH($A496,Variables!$A$5:$A$65,0)))&amp;"."&amp;K$5</f>
        <v/>
      </c>
      <c r="L496" s="38">
        <f>L451+L487</f>
        <v/>
      </c>
      <c r="M496" s="36">
        <f>M451+M487</f>
        <v/>
      </c>
      <c r="N496" s="36">
        <f>N451+N487</f>
        <v/>
      </c>
      <c r="O496" s="36">
        <f>O451+O487</f>
        <v/>
      </c>
      <c r="P496" s="36">
        <f>P451+P487</f>
        <v/>
      </c>
      <c r="Q496" s="36">
        <f>Q451+Q487</f>
        <v/>
      </c>
      <c r="R496" s="36">
        <f>R451+R487</f>
        <v/>
      </c>
      <c r="S496" s="36">
        <f>S451+S487</f>
        <v/>
      </c>
      <c r="T496" s="36">
        <f>T451+T487</f>
        <v/>
      </c>
      <c r="U496" s="36">
        <f>U451+U487</f>
        <v/>
      </c>
      <c r="V496" s="36">
        <f>V451+V487</f>
        <v/>
      </c>
      <c r="W496" s="36">
        <f>W451+W487</f>
        <v/>
      </c>
      <c r="X496" s="36">
        <f>X451+X487</f>
        <v/>
      </c>
      <c r="Y496" s="39">
        <f>POSTTAX(Y451,Y487)</f>
        <v/>
      </c>
      <c r="Z496" s="23">
        <f>LOWER(Settings!$C$4)&amp;".mit."&amp;$A496&amp;IF($C496="","","."&amp;$C496&amp;"."&amp;$B496)&amp;IF(INDEX(Variables!$D$5:$D$65,MATCH($A496,Variables!$A$5:$A$65,0))="","","."&amp;INDEX(Variables!$D$5:$D$65,MATCH($A496,Variables!$A$5:$A$65,0)))&amp;"."&amp;Z$5</f>
        <v/>
      </c>
      <c r="AA496" s="38">
        <f>AA451+AA487</f>
        <v/>
      </c>
      <c r="AB496" s="36">
        <f>AB451+AB487</f>
        <v/>
      </c>
      <c r="AC496" s="36">
        <f>AC451+AC487</f>
        <v/>
      </c>
      <c r="AD496" s="36">
        <f>AD451+AD487</f>
        <v/>
      </c>
      <c r="AE496" s="36">
        <f>AE451+AE487</f>
        <v/>
      </c>
      <c r="AF496" s="36">
        <f>AF451+AF487</f>
        <v/>
      </c>
      <c r="AG496" s="36">
        <f>AG451+AG487</f>
        <v/>
      </c>
      <c r="AH496" s="36">
        <f>AH451+AH487</f>
        <v/>
      </c>
      <c r="AI496" s="36">
        <f>AI451+AI487</f>
        <v/>
      </c>
      <c r="AJ496" s="36">
        <f>AJ451+AJ487</f>
        <v/>
      </c>
      <c r="AK496" s="36">
        <f>AK451+AK487</f>
        <v/>
      </c>
      <c r="AL496" s="36">
        <f>AL451+AL487</f>
        <v/>
      </c>
      <c r="AM496" s="36">
        <f>AM451+AM487</f>
        <v/>
      </c>
      <c r="AN496" s="39">
        <f>POSTTAX(AN451,AN487)</f>
        <v/>
      </c>
    </row>
    <row r="497" hidden="1" outlineLevel="2">
      <c r="A497" s="5" t="inlineStr">
        <is>
          <t>atp</t>
        </is>
      </c>
      <c r="B497" s="5" t="inlineStr">
        <is>
          <t>ker</t>
        </is>
      </c>
      <c r="C497" s="5" t="inlineStr">
        <is>
          <t>res</t>
        </is>
      </c>
      <c r="D497" s="37" t="n"/>
      <c r="E497" s="37" t="n"/>
      <c r="F497" s="37" t="n"/>
      <c r="G497" s="37" t="n"/>
      <c r="H497" s="5">
        <f>INDEX(Variables!$B$5:$B$65,MATCH($A497,Variables!$A$5:$A$65,0))&amp;IF($C497="",""," | "&amp;INDEX(Mapping!$B$5:$B$25,MATCH($C497,Mapping!$A$5:$A$25,0))&amp;" | "&amp;INDEX(Mapping!$B$29:$B$38,MATCH($B497,Mapping!$A$29:$A$38,0)))</f>
        <v/>
      </c>
      <c r="I497" s="5">
        <f>INDEX(Variables!$C$5:$C$65,MATCH($A497,Variables!$A$5:$A$65,0))</f>
        <v/>
      </c>
      <c r="J497" s="5">
        <f>INDEX(Variables!$E$5:$E$65,MATCH($A497,Variables!$A$5:$A$65,0))</f>
        <v/>
      </c>
      <c r="K497" s="23">
        <f>LOWER(Settings!$C$4)&amp;".mit."&amp;$A497&amp;IF($C497="","","."&amp;$C497&amp;"."&amp;$B497)&amp;IF(INDEX(Variables!$D$5:$D$65,MATCH($A497,Variables!$A$5:$A$65,0))="","","."&amp;INDEX(Variables!$D$5:$D$65,MATCH($A497,Variables!$A$5:$A$65,0)))&amp;"."&amp;K$5</f>
        <v/>
      </c>
      <c r="L497" s="38">
        <f>L452+L488</f>
        <v/>
      </c>
      <c r="M497" s="36">
        <f>M452+M488</f>
        <v/>
      </c>
      <c r="N497" s="36">
        <f>N452+N488</f>
        <v/>
      </c>
      <c r="O497" s="36">
        <f>O452+O488</f>
        <v/>
      </c>
      <c r="P497" s="36">
        <f>P452+P488</f>
        <v/>
      </c>
      <c r="Q497" s="36">
        <f>Q452+Q488</f>
        <v/>
      </c>
      <c r="R497" s="36">
        <f>R452+R488</f>
        <v/>
      </c>
      <c r="S497" s="36">
        <f>S452+S488</f>
        <v/>
      </c>
      <c r="T497" s="36">
        <f>T452+T488</f>
        <v/>
      </c>
      <c r="U497" s="36">
        <f>U452+U488</f>
        <v/>
      </c>
      <c r="V497" s="36">
        <f>V452+V488</f>
        <v/>
      </c>
      <c r="W497" s="36">
        <f>W452+W488</f>
        <v/>
      </c>
      <c r="X497" s="36">
        <f>X452+X488</f>
        <v/>
      </c>
      <c r="Y497" s="39">
        <f>POSTTAX(Y452,Y488)</f>
        <v/>
      </c>
      <c r="Z497" s="23">
        <f>LOWER(Settings!$C$4)&amp;".mit."&amp;$A497&amp;IF($C497="","","."&amp;$C497&amp;"."&amp;$B497)&amp;IF(INDEX(Variables!$D$5:$D$65,MATCH($A497,Variables!$A$5:$A$65,0))="","","."&amp;INDEX(Variables!$D$5:$D$65,MATCH($A497,Variables!$A$5:$A$65,0)))&amp;"."&amp;Z$5</f>
        <v/>
      </c>
      <c r="AA497" s="38">
        <f>AA452+AA488</f>
        <v/>
      </c>
      <c r="AB497" s="36">
        <f>AB452+AB488</f>
        <v/>
      </c>
      <c r="AC497" s="36">
        <f>AC452+AC488</f>
        <v/>
      </c>
      <c r="AD497" s="36">
        <f>AD452+AD488</f>
        <v/>
      </c>
      <c r="AE497" s="36">
        <f>AE452+AE488</f>
        <v/>
      </c>
      <c r="AF497" s="36">
        <f>AF452+AF488</f>
        <v/>
      </c>
      <c r="AG497" s="36">
        <f>AG452+AG488</f>
        <v/>
      </c>
      <c r="AH497" s="36">
        <f>AH452+AH488</f>
        <v/>
      </c>
      <c r="AI497" s="36">
        <f>AI452+AI488</f>
        <v/>
      </c>
      <c r="AJ497" s="36">
        <f>AJ452+AJ488</f>
        <v/>
      </c>
      <c r="AK497" s="36">
        <f>AK452+AK488</f>
        <v/>
      </c>
      <c r="AL497" s="36">
        <f>AL452+AL488</f>
        <v/>
      </c>
      <c r="AM497" s="36">
        <f>AM452+AM488</f>
        <v/>
      </c>
      <c r="AN497" s="39">
        <f>POSTTAX(AN452,AN488)</f>
        <v/>
      </c>
    </row>
    <row r="498" hidden="1" outlineLevel="2">
      <c r="A498" s="5" t="inlineStr">
        <is>
          <t>atp</t>
        </is>
      </c>
      <c r="B498" s="5" t="inlineStr">
        <is>
          <t>oop</t>
        </is>
      </c>
      <c r="C498" s="5" t="inlineStr">
        <is>
          <t>res</t>
        </is>
      </c>
      <c r="D498" s="37" t="n"/>
      <c r="E498" s="37" t="n"/>
      <c r="F498" s="37" t="n"/>
      <c r="G498" s="37" t="n"/>
      <c r="H498" s="5">
        <f>INDEX(Variables!$B$5:$B$65,MATCH($A498,Variables!$A$5:$A$65,0))&amp;IF($C498="",""," | "&amp;INDEX(Mapping!$B$5:$B$25,MATCH($C498,Mapping!$A$5:$A$25,0))&amp;" | "&amp;INDEX(Mapping!$B$29:$B$38,MATCH($B498,Mapping!$A$29:$A$38,0)))</f>
        <v/>
      </c>
      <c r="I498" s="5">
        <f>INDEX(Variables!$C$5:$C$65,MATCH($A498,Variables!$A$5:$A$65,0))</f>
        <v/>
      </c>
      <c r="J498" s="5">
        <f>INDEX(Variables!$E$5:$E$65,MATCH($A498,Variables!$A$5:$A$65,0))</f>
        <v/>
      </c>
      <c r="K498" s="23">
        <f>LOWER(Settings!$C$4)&amp;".mit."&amp;$A498&amp;IF($C498="","","."&amp;$C498&amp;"."&amp;$B498)&amp;IF(INDEX(Variables!$D$5:$D$65,MATCH($A498,Variables!$A$5:$A$65,0))="","","."&amp;INDEX(Variables!$D$5:$D$65,MATCH($A498,Variables!$A$5:$A$65,0)))&amp;"."&amp;K$5</f>
        <v/>
      </c>
      <c r="L498" s="38">
        <f>L453+L489</f>
        <v/>
      </c>
      <c r="M498" s="36">
        <f>M453+M489</f>
        <v/>
      </c>
      <c r="N498" s="36">
        <f>N453+N489</f>
        <v/>
      </c>
      <c r="O498" s="36">
        <f>O453+O489</f>
        <v/>
      </c>
      <c r="P498" s="36">
        <f>P453+P489</f>
        <v/>
      </c>
      <c r="Q498" s="36">
        <f>Q453+Q489</f>
        <v/>
      </c>
      <c r="R498" s="36">
        <f>R453+R489</f>
        <v/>
      </c>
      <c r="S498" s="36">
        <f>S453+S489</f>
        <v/>
      </c>
      <c r="T498" s="36">
        <f>T453+T489</f>
        <v/>
      </c>
      <c r="U498" s="36">
        <f>U453+U489</f>
        <v/>
      </c>
      <c r="V498" s="36">
        <f>V453+V489</f>
        <v/>
      </c>
      <c r="W498" s="36">
        <f>W453+W489</f>
        <v/>
      </c>
      <c r="X498" s="36">
        <f>X453+X489</f>
        <v/>
      </c>
      <c r="Y498" s="39">
        <f>POSTTAX(Y453,Y489)</f>
        <v/>
      </c>
      <c r="Z498" s="23">
        <f>LOWER(Settings!$C$4)&amp;".mit."&amp;$A498&amp;IF($C498="","","."&amp;$C498&amp;"."&amp;$B498)&amp;IF(INDEX(Variables!$D$5:$D$65,MATCH($A498,Variables!$A$5:$A$65,0))="","","."&amp;INDEX(Variables!$D$5:$D$65,MATCH($A498,Variables!$A$5:$A$65,0)))&amp;"."&amp;Z$5</f>
        <v/>
      </c>
      <c r="AA498" s="38">
        <f>AA453+AA489</f>
        <v/>
      </c>
      <c r="AB498" s="36">
        <f>AB453+AB489</f>
        <v/>
      </c>
      <c r="AC498" s="36">
        <f>AC453+AC489</f>
        <v/>
      </c>
      <c r="AD498" s="36">
        <f>AD453+AD489</f>
        <v/>
      </c>
      <c r="AE498" s="36">
        <f>AE453+AE489</f>
        <v/>
      </c>
      <c r="AF498" s="36">
        <f>AF453+AF489</f>
        <v/>
      </c>
      <c r="AG498" s="36">
        <f>AG453+AG489</f>
        <v/>
      </c>
      <c r="AH498" s="36">
        <f>AH453+AH489</f>
        <v/>
      </c>
      <c r="AI498" s="36">
        <f>AI453+AI489</f>
        <v/>
      </c>
      <c r="AJ498" s="36">
        <f>AJ453+AJ489</f>
        <v/>
      </c>
      <c r="AK498" s="36">
        <f>AK453+AK489</f>
        <v/>
      </c>
      <c r="AL498" s="36">
        <f>AL453+AL489</f>
        <v/>
      </c>
      <c r="AM498" s="36">
        <f>AM453+AM489</f>
        <v/>
      </c>
      <c r="AN498" s="39">
        <f>POSTTAX(AN453,AN489)</f>
        <v/>
      </c>
    </row>
    <row r="499" hidden="1" outlineLevel="2">
      <c r="A499" s="5" t="inlineStr">
        <is>
          <t>atp</t>
        </is>
      </c>
      <c r="B499" s="5" t="inlineStr">
        <is>
          <t>bio</t>
        </is>
      </c>
      <c r="C499" s="5" t="inlineStr">
        <is>
          <t>res</t>
        </is>
      </c>
      <c r="D499" s="37" t="n"/>
      <c r="E499" s="37" t="n"/>
      <c r="F499" s="37" t="n"/>
      <c r="G499" s="37" t="n"/>
      <c r="H499" s="5">
        <f>INDEX(Variables!$B$5:$B$65,MATCH($A499,Variables!$A$5:$A$65,0))&amp;IF($C499="",""," | "&amp;INDEX(Mapping!$B$5:$B$25,MATCH($C499,Mapping!$A$5:$A$25,0))&amp;" | "&amp;INDEX(Mapping!$B$29:$B$38,MATCH($B499,Mapping!$A$29:$A$38,0)))</f>
        <v/>
      </c>
      <c r="I499" s="5">
        <f>INDEX(Variables!$C$5:$C$65,MATCH($A499,Variables!$A$5:$A$65,0))</f>
        <v/>
      </c>
      <c r="J499" s="5">
        <f>INDEX(Variables!$E$5:$E$65,MATCH($A499,Variables!$A$5:$A$65,0))</f>
        <v/>
      </c>
      <c r="K499" s="23">
        <f>LOWER(Settings!$C$4)&amp;".mit."&amp;$A499&amp;IF($C499="","","."&amp;$C499&amp;"."&amp;$B499)&amp;IF(INDEX(Variables!$D$5:$D$65,MATCH($A499,Variables!$A$5:$A$65,0))="","","."&amp;INDEX(Variables!$D$5:$D$65,MATCH($A499,Variables!$A$5:$A$65,0)))&amp;"."&amp;K$5</f>
        <v/>
      </c>
      <c r="L499" s="38">
        <f>L454+L490</f>
        <v/>
      </c>
      <c r="M499" s="36">
        <f>M454+M490</f>
        <v/>
      </c>
      <c r="N499" s="36">
        <f>N454+N490</f>
        <v/>
      </c>
      <c r="O499" s="36">
        <f>O454+O490</f>
        <v/>
      </c>
      <c r="P499" s="36">
        <f>P454+P490</f>
        <v/>
      </c>
      <c r="Q499" s="36">
        <f>Q454+Q490</f>
        <v/>
      </c>
      <c r="R499" s="36">
        <f>R454+R490</f>
        <v/>
      </c>
      <c r="S499" s="36">
        <f>S454+S490</f>
        <v/>
      </c>
      <c r="T499" s="36">
        <f>T454+T490</f>
        <v/>
      </c>
      <c r="U499" s="36">
        <f>U454+U490</f>
        <v/>
      </c>
      <c r="V499" s="36">
        <f>V454+V490</f>
        <v/>
      </c>
      <c r="W499" s="36">
        <f>W454+W490</f>
        <v/>
      </c>
      <c r="X499" s="36">
        <f>X454+X490</f>
        <v/>
      </c>
      <c r="Y499" s="39">
        <f>POSTTAX(Y454,Y490)</f>
        <v/>
      </c>
      <c r="Z499" s="23">
        <f>LOWER(Settings!$C$4)&amp;".mit."&amp;$A499&amp;IF($C499="","","."&amp;$C499&amp;"."&amp;$B499)&amp;IF(INDEX(Variables!$D$5:$D$65,MATCH($A499,Variables!$A$5:$A$65,0))="","","."&amp;INDEX(Variables!$D$5:$D$65,MATCH($A499,Variables!$A$5:$A$65,0)))&amp;"."&amp;Z$5</f>
        <v/>
      </c>
      <c r="AA499" s="38">
        <f>AA454+AA490</f>
        <v/>
      </c>
      <c r="AB499" s="36">
        <f>AB454+AB490</f>
        <v/>
      </c>
      <c r="AC499" s="36">
        <f>AC454+AC490</f>
        <v/>
      </c>
      <c r="AD499" s="36">
        <f>AD454+AD490</f>
        <v/>
      </c>
      <c r="AE499" s="36">
        <f>AE454+AE490</f>
        <v/>
      </c>
      <c r="AF499" s="36">
        <f>AF454+AF490</f>
        <v/>
      </c>
      <c r="AG499" s="36">
        <f>AG454+AG490</f>
        <v/>
      </c>
      <c r="AH499" s="36">
        <f>AH454+AH490</f>
        <v/>
      </c>
      <c r="AI499" s="36">
        <f>AI454+AI490</f>
        <v/>
      </c>
      <c r="AJ499" s="36">
        <f>AJ454+AJ490</f>
        <v/>
      </c>
      <c r="AK499" s="36">
        <f>AK454+AK490</f>
        <v/>
      </c>
      <c r="AL499" s="36">
        <f>AL454+AL490</f>
        <v/>
      </c>
      <c r="AM499" s="36">
        <f>AM454+AM490</f>
        <v/>
      </c>
      <c r="AN499" s="39">
        <f>POSTTAX(AN454,AN490)</f>
        <v/>
      </c>
    </row>
    <row r="500" hidden="1" outlineLevel="2"/>
    <row r="501" hidden="1" outlineLevel="2">
      <c r="A501" s="5" t="inlineStr">
        <is>
          <t>shp</t>
        </is>
      </c>
      <c r="B501" s="5" t="inlineStr">
        <is>
          <t>coa</t>
        </is>
      </c>
      <c r="C501" s="5" t="inlineStr">
        <is>
          <t>res</t>
        </is>
      </c>
      <c r="D501" s="36">
        <f>INDEX(Inputs!$M$5:$M$132,MATCH($B501&amp;"|"&amp;$C501,Inputs!$A$5:$A$132,0))</f>
        <v/>
      </c>
      <c r="E501" s="36">
        <f>INDEX(Inputs!$U$5:$U$132,MATCH($B501&amp;"|"&amp;$C501,Inputs!$A$5:$A$132,0))</f>
        <v/>
      </c>
      <c r="F501" s="36">
        <f>INDEX(Inputs!$K$5:$K$132,MATCH($B501&amp;"|"&amp;$C501,Inputs!$A$5:$A$132,0))</f>
        <v/>
      </c>
      <c r="G501" s="37" t="n"/>
      <c r="H501" s="5">
        <f>INDEX(Variables!$B$5:$B$65,MATCH($A501,Variables!$A$5:$A$65,0))&amp;IF($C501="",""," | "&amp;INDEX(Mapping!$B$5:$B$25,MATCH($C501,Mapping!$A$5:$A$25,0))&amp;" | "&amp;INDEX(Mapping!$B$29:$B$38,MATCH($B501,Mapping!$A$29:$A$38,0)))</f>
        <v/>
      </c>
      <c r="I501" s="5">
        <f>INDEX(Variables!$C$5:$C$65,MATCH($A501,Variables!$A$5:$A$65,0))</f>
        <v/>
      </c>
      <c r="J501" s="5">
        <f>INDEX(Variables!$E$5:$E$65,MATCH($A501,Variables!$A$5:$A$65,0))</f>
        <v/>
      </c>
      <c r="K501" s="23">
        <f>LOWER(Settings!$C$4)&amp;".mit."&amp;$A501&amp;IF($C501="","","."&amp;$C501&amp;"."&amp;$B501)&amp;IF(INDEX(Variables!$D$5:$D$65,MATCH($A501,Variables!$A$5:$A$65,0))="","","."&amp;INDEX(Variables!$D$5:$D$65,MATCH($A501,Variables!$A$5:$A$65,0)))&amp;"."&amp;K$5</f>
        <v/>
      </c>
      <c r="L501" s="38">
        <f>INDEX(L$124:L$127,$D501)*$E501*INDEX(L$128:L$144,$F501)</f>
        <v/>
      </c>
      <c r="M501" s="36">
        <f>INDEX(M$124:M$127,$D501)*$E501*INDEX(M$128:M$144,$F501)</f>
        <v/>
      </c>
      <c r="N501" s="36">
        <f>INDEX(N$124:N$127,$D501)*$E501*INDEX(N$128:N$144,$F501)</f>
        <v/>
      </c>
      <c r="O501" s="36">
        <f>INDEX(O$124:O$127,$D501)*$E501*INDEX(O$128:O$144,$F501)</f>
        <v/>
      </c>
      <c r="P501" s="36">
        <f>INDEX(P$124:P$127,$D501)*$E501*INDEX(P$128:P$144,$F501)</f>
        <v/>
      </c>
      <c r="Q501" s="36">
        <f>INDEX(Q$124:Q$127,$D501)*$E501*INDEX(Q$128:Q$144,$F501)</f>
        <v/>
      </c>
      <c r="R501" s="36">
        <f>INDEX(R$124:R$127,$D501)*$E501*INDEX(R$128:R$144,$F501)</f>
        <v/>
      </c>
      <c r="S501" s="36">
        <f>INDEX(S$124:S$127,$D501)*$E501*INDEX(S$128:S$144,$F501)</f>
        <v/>
      </c>
      <c r="T501" s="36">
        <f>INDEX(T$124:T$127,$D501)*$E501*INDEX(T$128:T$144,$F501)</f>
        <v/>
      </c>
      <c r="U501" s="36">
        <f>INDEX(U$124:U$127,$D501)*$E501*INDEX(U$128:U$144,$F501)</f>
        <v/>
      </c>
      <c r="V501" s="36">
        <f>INDEX(V$124:V$127,$D501)*$E501*INDEX(V$128:V$144,$F501)</f>
        <v/>
      </c>
      <c r="W501" s="36">
        <f>INDEX(W$124:W$127,$D501)*$E501*INDEX(W$128:W$144,$F501)</f>
        <v/>
      </c>
      <c r="X501" s="36">
        <f>INDEX(X$124:X$127,$D501)*$E501*INDEX(X$128:X$144,$F501)</f>
        <v/>
      </c>
      <c r="Y501" s="36">
        <f>INDEX(Y$124:Y$127,$D501)*$E501*INDEX(Y$128:Y$144,$F501)</f>
        <v/>
      </c>
      <c r="Z501" s="23">
        <f>LOWER(Settings!$C$4)&amp;".mit."&amp;$A501&amp;IF($C501="","","."&amp;$C501&amp;"."&amp;$B501)&amp;IF(INDEX(Variables!$D$5:$D$65,MATCH($A501,Variables!$A$5:$A$65,0))="","","."&amp;INDEX(Variables!$D$5:$D$65,MATCH($A501,Variables!$A$5:$A$65,0)))&amp;"."&amp;Z$5</f>
        <v/>
      </c>
      <c r="AA501" s="38">
        <f>INDEX(AA$124:AA$127,$D501)*$E501*INDEX(AA$128:AA$144,$F501)</f>
        <v/>
      </c>
      <c r="AB501" s="36">
        <f>INDEX(AB$124:AB$127,$D501)*$E501*INDEX(AB$128:AB$144,$F501)</f>
        <v/>
      </c>
      <c r="AC501" s="36">
        <f>INDEX(AC$124:AC$127,$D501)*$E501*INDEX(AC$128:AC$144,$F501)</f>
        <v/>
      </c>
      <c r="AD501" s="36">
        <f>INDEX(AD$124:AD$127,$D501)*$E501*INDEX(AD$128:AD$144,$F501)</f>
        <v/>
      </c>
      <c r="AE501" s="36">
        <f>INDEX(AE$124:AE$127,$D501)*$E501*INDEX(AE$128:AE$144,$F501)</f>
        <v/>
      </c>
      <c r="AF501" s="36">
        <f>INDEX(AF$124:AF$127,$D501)*$E501*INDEX(AF$128:AF$144,$F501)</f>
        <v/>
      </c>
      <c r="AG501" s="36">
        <f>INDEX(AG$124:AG$127,$D501)*$E501*INDEX(AG$128:AG$144,$F501)</f>
        <v/>
      </c>
      <c r="AH501" s="36">
        <f>INDEX(AH$124:AH$127,$D501)*$E501*INDEX(AH$128:AH$144,$F501)</f>
        <v/>
      </c>
      <c r="AI501" s="36">
        <f>INDEX(AI$124:AI$127,$D501)*$E501*INDEX(AI$128:AI$144,$F501)</f>
        <v/>
      </c>
      <c r="AJ501" s="36">
        <f>INDEX(AJ$124:AJ$127,$D501)*$E501*INDEX(AJ$128:AJ$144,$F501)</f>
        <v/>
      </c>
      <c r="AK501" s="36">
        <f>INDEX(AK$124:AK$127,$D501)*$E501*INDEX(AK$128:AK$144,$F501)</f>
        <v/>
      </c>
      <c r="AL501" s="36">
        <f>INDEX(AL$124:AL$127,$D501)*$E501*INDEX(AL$128:AL$144,$F501)</f>
        <v/>
      </c>
      <c r="AM501" s="36">
        <f>INDEX(AM$124:AM$127,$D501)*$E501*INDEX(AM$128:AM$144,$F501)</f>
        <v/>
      </c>
      <c r="AN501" s="36">
        <f>INDEX(AN$124:AN$127,$D501)*$E501*INDEX(AN$128:AN$144,$F501)</f>
        <v/>
      </c>
    </row>
    <row r="502" hidden="1" outlineLevel="2">
      <c r="A502" s="5" t="inlineStr">
        <is>
          <t>shp</t>
        </is>
      </c>
      <c r="B502" s="5" t="inlineStr">
        <is>
          <t>nga</t>
        </is>
      </c>
      <c r="C502" s="5" t="inlineStr">
        <is>
          <t>res</t>
        </is>
      </c>
      <c r="D502" s="36">
        <f>INDEX(Inputs!$M$5:$M$132,MATCH($B502&amp;"|"&amp;$C502,Inputs!$A$5:$A$132,0))</f>
        <v/>
      </c>
      <c r="E502" s="36">
        <f>INDEX(Inputs!$U$5:$U$132,MATCH($B502&amp;"|"&amp;$C502,Inputs!$A$5:$A$132,0))</f>
        <v/>
      </c>
      <c r="F502" s="36">
        <f>INDEX(Inputs!$K$5:$K$132,MATCH($B502&amp;"|"&amp;$C502,Inputs!$A$5:$A$132,0))</f>
        <v/>
      </c>
      <c r="G502" s="37" t="n"/>
      <c r="H502" s="5">
        <f>INDEX(Variables!$B$5:$B$65,MATCH($A502,Variables!$A$5:$A$65,0))&amp;IF($C502="",""," | "&amp;INDEX(Mapping!$B$5:$B$25,MATCH($C502,Mapping!$A$5:$A$25,0))&amp;" | "&amp;INDEX(Mapping!$B$29:$B$38,MATCH($B502,Mapping!$A$29:$A$38,0)))</f>
        <v/>
      </c>
      <c r="I502" s="5">
        <f>INDEX(Variables!$C$5:$C$65,MATCH($A502,Variables!$A$5:$A$65,0))</f>
        <v/>
      </c>
      <c r="J502" s="5">
        <f>INDEX(Variables!$E$5:$E$65,MATCH($A502,Variables!$A$5:$A$65,0))</f>
        <v/>
      </c>
      <c r="K502" s="23">
        <f>LOWER(Settings!$C$4)&amp;".mit."&amp;$A502&amp;IF($C502="","","."&amp;$C502&amp;"."&amp;$B502)&amp;IF(INDEX(Variables!$D$5:$D$65,MATCH($A502,Variables!$A$5:$A$65,0))="","","."&amp;INDEX(Variables!$D$5:$D$65,MATCH($A502,Variables!$A$5:$A$65,0)))&amp;"."&amp;K$5</f>
        <v/>
      </c>
      <c r="L502" s="38">
        <f>INDEX(L$124:L$127,$D502)*$E502*INDEX(L$128:L$144,$F502)</f>
        <v/>
      </c>
      <c r="M502" s="36">
        <f>INDEX(M$124:M$127,$D502)*$E502*INDEX(M$128:M$144,$F502)</f>
        <v/>
      </c>
      <c r="N502" s="36">
        <f>INDEX(N$124:N$127,$D502)*$E502*INDEX(N$128:N$144,$F502)</f>
        <v/>
      </c>
      <c r="O502" s="36">
        <f>INDEX(O$124:O$127,$D502)*$E502*INDEX(O$128:O$144,$F502)</f>
        <v/>
      </c>
      <c r="P502" s="36">
        <f>INDEX(P$124:P$127,$D502)*$E502*INDEX(P$128:P$144,$F502)</f>
        <v/>
      </c>
      <c r="Q502" s="36">
        <f>INDEX(Q$124:Q$127,$D502)*$E502*INDEX(Q$128:Q$144,$F502)</f>
        <v/>
      </c>
      <c r="R502" s="36">
        <f>INDEX(R$124:R$127,$D502)*$E502*INDEX(R$128:R$144,$F502)</f>
        <v/>
      </c>
      <c r="S502" s="36">
        <f>INDEX(S$124:S$127,$D502)*$E502*INDEX(S$128:S$144,$F502)</f>
        <v/>
      </c>
      <c r="T502" s="36">
        <f>INDEX(T$124:T$127,$D502)*$E502*INDEX(T$128:T$144,$F502)</f>
        <v/>
      </c>
      <c r="U502" s="36">
        <f>INDEX(U$124:U$127,$D502)*$E502*INDEX(U$128:U$144,$F502)</f>
        <v/>
      </c>
      <c r="V502" s="36">
        <f>INDEX(V$124:V$127,$D502)*$E502*INDEX(V$128:V$144,$F502)</f>
        <v/>
      </c>
      <c r="W502" s="36">
        <f>INDEX(W$124:W$127,$D502)*$E502*INDEX(W$128:W$144,$F502)</f>
        <v/>
      </c>
      <c r="X502" s="36">
        <f>INDEX(X$124:X$127,$D502)*$E502*INDEX(X$128:X$144,$F502)</f>
        <v/>
      </c>
      <c r="Y502" s="36">
        <f>INDEX(Y$124:Y$127,$D502)*$E502*INDEX(Y$128:Y$144,$F502)</f>
        <v/>
      </c>
      <c r="Z502" s="23">
        <f>LOWER(Settings!$C$4)&amp;".mit."&amp;$A502&amp;IF($C502="","","."&amp;$C502&amp;"."&amp;$B502)&amp;IF(INDEX(Variables!$D$5:$D$65,MATCH($A502,Variables!$A$5:$A$65,0))="","","."&amp;INDEX(Variables!$D$5:$D$65,MATCH($A502,Variables!$A$5:$A$65,0)))&amp;"."&amp;Z$5</f>
        <v/>
      </c>
      <c r="AA502" s="38">
        <f>INDEX(AA$124:AA$127,$D502)*$E502*INDEX(AA$128:AA$144,$F502)</f>
        <v/>
      </c>
      <c r="AB502" s="36">
        <f>INDEX(AB$124:AB$127,$D502)*$E502*INDEX(AB$128:AB$144,$F502)</f>
        <v/>
      </c>
      <c r="AC502" s="36">
        <f>INDEX(AC$124:AC$127,$D502)*$E502*INDEX(AC$128:AC$144,$F502)</f>
        <v/>
      </c>
      <c r="AD502" s="36">
        <f>INDEX(AD$124:AD$127,$D502)*$E502*INDEX(AD$128:AD$144,$F502)</f>
        <v/>
      </c>
      <c r="AE502" s="36">
        <f>INDEX(AE$124:AE$127,$D502)*$E502*INDEX(AE$128:AE$144,$F502)</f>
        <v/>
      </c>
      <c r="AF502" s="36">
        <f>INDEX(AF$124:AF$127,$D502)*$E502*INDEX(AF$128:AF$144,$F502)</f>
        <v/>
      </c>
      <c r="AG502" s="36">
        <f>INDEX(AG$124:AG$127,$D502)*$E502*INDEX(AG$128:AG$144,$F502)</f>
        <v/>
      </c>
      <c r="AH502" s="36">
        <f>INDEX(AH$124:AH$127,$D502)*$E502*INDEX(AH$128:AH$144,$F502)</f>
        <v/>
      </c>
      <c r="AI502" s="36">
        <f>INDEX(AI$124:AI$127,$D502)*$E502*INDEX(AI$128:AI$144,$F502)</f>
        <v/>
      </c>
      <c r="AJ502" s="36">
        <f>INDEX(AJ$124:AJ$127,$D502)*$E502*INDEX(AJ$128:AJ$144,$F502)</f>
        <v/>
      </c>
      <c r="AK502" s="36">
        <f>INDEX(AK$124:AK$127,$D502)*$E502*INDEX(AK$128:AK$144,$F502)</f>
        <v/>
      </c>
      <c r="AL502" s="36">
        <f>INDEX(AL$124:AL$127,$D502)*$E502*INDEX(AL$128:AL$144,$F502)</f>
        <v/>
      </c>
      <c r="AM502" s="36">
        <f>INDEX(AM$124:AM$127,$D502)*$E502*INDEX(AM$128:AM$144,$F502)</f>
        <v/>
      </c>
      <c r="AN502" s="36">
        <f>INDEX(AN$124:AN$127,$D502)*$E502*INDEX(AN$128:AN$144,$F502)</f>
        <v/>
      </c>
    </row>
    <row r="503" hidden="1" outlineLevel="2">
      <c r="A503" s="5" t="inlineStr">
        <is>
          <t>shp</t>
        </is>
      </c>
      <c r="B503" s="5" t="inlineStr">
        <is>
          <t>gso</t>
        </is>
      </c>
      <c r="C503" s="5" t="inlineStr">
        <is>
          <t>res</t>
        </is>
      </c>
      <c r="D503" s="36">
        <f>INDEX(Inputs!$M$5:$M$132,MATCH($B503&amp;"|"&amp;$C503,Inputs!$A$5:$A$132,0))</f>
        <v/>
      </c>
      <c r="E503" s="36">
        <f>INDEX(Inputs!$U$5:$U$132,MATCH($B503&amp;"|"&amp;$C503,Inputs!$A$5:$A$132,0))</f>
        <v/>
      </c>
      <c r="F503" s="36">
        <f>INDEX(Inputs!$K$5:$K$132,MATCH($B503&amp;"|"&amp;$C503,Inputs!$A$5:$A$132,0))</f>
        <v/>
      </c>
      <c r="G503" s="37" t="n"/>
      <c r="H503" s="5">
        <f>INDEX(Variables!$B$5:$B$65,MATCH($A503,Variables!$A$5:$A$65,0))&amp;IF($C503="",""," | "&amp;INDEX(Mapping!$B$5:$B$25,MATCH($C503,Mapping!$A$5:$A$25,0))&amp;" | "&amp;INDEX(Mapping!$B$29:$B$38,MATCH($B503,Mapping!$A$29:$A$38,0)))</f>
        <v/>
      </c>
      <c r="I503" s="5">
        <f>INDEX(Variables!$C$5:$C$65,MATCH($A503,Variables!$A$5:$A$65,0))</f>
        <v/>
      </c>
      <c r="J503" s="5">
        <f>INDEX(Variables!$E$5:$E$65,MATCH($A503,Variables!$A$5:$A$65,0))</f>
        <v/>
      </c>
      <c r="K503" s="23">
        <f>LOWER(Settings!$C$4)&amp;".mit."&amp;$A503&amp;IF($C503="","","."&amp;$C503&amp;"."&amp;$B503)&amp;IF(INDEX(Variables!$D$5:$D$65,MATCH($A503,Variables!$A$5:$A$65,0))="","","."&amp;INDEX(Variables!$D$5:$D$65,MATCH($A503,Variables!$A$5:$A$65,0)))&amp;"."&amp;K$5</f>
        <v/>
      </c>
      <c r="L503" s="38">
        <f>INDEX(L$124:L$127,$D503)*$E503*INDEX(L$128:L$144,$F503)</f>
        <v/>
      </c>
      <c r="M503" s="36">
        <f>INDEX(M$124:M$127,$D503)*$E503*INDEX(M$128:M$144,$F503)</f>
        <v/>
      </c>
      <c r="N503" s="36">
        <f>INDEX(N$124:N$127,$D503)*$E503*INDEX(N$128:N$144,$F503)</f>
        <v/>
      </c>
      <c r="O503" s="36">
        <f>INDEX(O$124:O$127,$D503)*$E503*INDEX(O$128:O$144,$F503)</f>
        <v/>
      </c>
      <c r="P503" s="36">
        <f>INDEX(P$124:P$127,$D503)*$E503*INDEX(P$128:P$144,$F503)</f>
        <v/>
      </c>
      <c r="Q503" s="36">
        <f>INDEX(Q$124:Q$127,$D503)*$E503*INDEX(Q$128:Q$144,$F503)</f>
        <v/>
      </c>
      <c r="R503" s="36">
        <f>INDEX(R$124:R$127,$D503)*$E503*INDEX(R$128:R$144,$F503)</f>
        <v/>
      </c>
      <c r="S503" s="36">
        <f>INDEX(S$124:S$127,$D503)*$E503*INDEX(S$128:S$144,$F503)</f>
        <v/>
      </c>
      <c r="T503" s="36">
        <f>INDEX(T$124:T$127,$D503)*$E503*INDEX(T$128:T$144,$F503)</f>
        <v/>
      </c>
      <c r="U503" s="36">
        <f>INDEX(U$124:U$127,$D503)*$E503*INDEX(U$128:U$144,$F503)</f>
        <v/>
      </c>
      <c r="V503" s="36">
        <f>INDEX(V$124:V$127,$D503)*$E503*INDEX(V$128:V$144,$F503)</f>
        <v/>
      </c>
      <c r="W503" s="36">
        <f>INDEX(W$124:W$127,$D503)*$E503*INDEX(W$128:W$144,$F503)</f>
        <v/>
      </c>
      <c r="X503" s="36">
        <f>INDEX(X$124:X$127,$D503)*$E503*INDEX(X$128:X$144,$F503)</f>
        <v/>
      </c>
      <c r="Y503" s="36">
        <f>INDEX(Y$124:Y$127,$D503)*$E503*INDEX(Y$128:Y$144,$F503)</f>
        <v/>
      </c>
      <c r="Z503" s="23">
        <f>LOWER(Settings!$C$4)&amp;".mit."&amp;$A503&amp;IF($C503="","","."&amp;$C503&amp;"."&amp;$B503)&amp;IF(INDEX(Variables!$D$5:$D$65,MATCH($A503,Variables!$A$5:$A$65,0))="","","."&amp;INDEX(Variables!$D$5:$D$65,MATCH($A503,Variables!$A$5:$A$65,0)))&amp;"."&amp;Z$5</f>
        <v/>
      </c>
      <c r="AA503" s="38">
        <f>INDEX(AA$124:AA$127,$D503)*$E503*INDEX(AA$128:AA$144,$F503)</f>
        <v/>
      </c>
      <c r="AB503" s="36">
        <f>INDEX(AB$124:AB$127,$D503)*$E503*INDEX(AB$128:AB$144,$F503)</f>
        <v/>
      </c>
      <c r="AC503" s="36">
        <f>INDEX(AC$124:AC$127,$D503)*$E503*INDEX(AC$128:AC$144,$F503)</f>
        <v/>
      </c>
      <c r="AD503" s="36">
        <f>INDEX(AD$124:AD$127,$D503)*$E503*INDEX(AD$128:AD$144,$F503)</f>
        <v/>
      </c>
      <c r="AE503" s="36">
        <f>INDEX(AE$124:AE$127,$D503)*$E503*INDEX(AE$128:AE$144,$F503)</f>
        <v/>
      </c>
      <c r="AF503" s="36">
        <f>INDEX(AF$124:AF$127,$D503)*$E503*INDEX(AF$128:AF$144,$F503)</f>
        <v/>
      </c>
      <c r="AG503" s="36">
        <f>INDEX(AG$124:AG$127,$D503)*$E503*INDEX(AG$128:AG$144,$F503)</f>
        <v/>
      </c>
      <c r="AH503" s="36">
        <f>INDEX(AH$124:AH$127,$D503)*$E503*INDEX(AH$128:AH$144,$F503)</f>
        <v/>
      </c>
      <c r="AI503" s="36">
        <f>INDEX(AI$124:AI$127,$D503)*$E503*INDEX(AI$128:AI$144,$F503)</f>
        <v/>
      </c>
      <c r="AJ503" s="36">
        <f>INDEX(AJ$124:AJ$127,$D503)*$E503*INDEX(AJ$128:AJ$144,$F503)</f>
        <v/>
      </c>
      <c r="AK503" s="36">
        <f>INDEX(AK$124:AK$127,$D503)*$E503*INDEX(AK$128:AK$144,$F503)</f>
        <v/>
      </c>
      <c r="AL503" s="36">
        <f>INDEX(AL$124:AL$127,$D503)*$E503*INDEX(AL$128:AL$144,$F503)</f>
        <v/>
      </c>
      <c r="AM503" s="36">
        <f>INDEX(AM$124:AM$127,$D503)*$E503*INDEX(AM$128:AM$144,$F503)</f>
        <v/>
      </c>
      <c r="AN503" s="36">
        <f>INDEX(AN$124:AN$127,$D503)*$E503*INDEX(AN$128:AN$144,$F503)</f>
        <v/>
      </c>
    </row>
    <row r="504" hidden="1" outlineLevel="2">
      <c r="A504" s="5" t="inlineStr">
        <is>
          <t>shp</t>
        </is>
      </c>
      <c r="B504" s="5" t="inlineStr">
        <is>
          <t>die</t>
        </is>
      </c>
      <c r="C504" s="5" t="inlineStr">
        <is>
          <t>res</t>
        </is>
      </c>
      <c r="D504" s="36">
        <f>INDEX(Inputs!$M$5:$M$132,MATCH($B504&amp;"|"&amp;$C504,Inputs!$A$5:$A$132,0))</f>
        <v/>
      </c>
      <c r="E504" s="36">
        <f>INDEX(Inputs!$U$5:$U$132,MATCH($B504&amp;"|"&amp;$C504,Inputs!$A$5:$A$132,0))</f>
        <v/>
      </c>
      <c r="F504" s="36">
        <f>INDEX(Inputs!$K$5:$K$132,MATCH($B504&amp;"|"&amp;$C504,Inputs!$A$5:$A$132,0))</f>
        <v/>
      </c>
      <c r="G504" s="37" t="n"/>
      <c r="H504" s="5">
        <f>INDEX(Variables!$B$5:$B$65,MATCH($A504,Variables!$A$5:$A$65,0))&amp;IF($C504="",""," | "&amp;INDEX(Mapping!$B$5:$B$25,MATCH($C504,Mapping!$A$5:$A$25,0))&amp;" | "&amp;INDEX(Mapping!$B$29:$B$38,MATCH($B504,Mapping!$A$29:$A$38,0)))</f>
        <v/>
      </c>
      <c r="I504" s="5">
        <f>INDEX(Variables!$C$5:$C$65,MATCH($A504,Variables!$A$5:$A$65,0))</f>
        <v/>
      </c>
      <c r="J504" s="5">
        <f>INDEX(Variables!$E$5:$E$65,MATCH($A504,Variables!$A$5:$A$65,0))</f>
        <v/>
      </c>
      <c r="K504" s="23">
        <f>LOWER(Settings!$C$4)&amp;".mit."&amp;$A504&amp;IF($C504="","","."&amp;$C504&amp;"."&amp;$B504)&amp;IF(INDEX(Variables!$D$5:$D$65,MATCH($A504,Variables!$A$5:$A$65,0))="","","."&amp;INDEX(Variables!$D$5:$D$65,MATCH($A504,Variables!$A$5:$A$65,0)))&amp;"."&amp;K$5</f>
        <v/>
      </c>
      <c r="L504" s="38">
        <f>INDEX(L$124:L$127,$D504)*$E504*INDEX(L$128:L$144,$F504)</f>
        <v/>
      </c>
      <c r="M504" s="36">
        <f>INDEX(M$124:M$127,$D504)*$E504*INDEX(M$128:M$144,$F504)</f>
        <v/>
      </c>
      <c r="N504" s="36">
        <f>INDEX(N$124:N$127,$D504)*$E504*INDEX(N$128:N$144,$F504)</f>
        <v/>
      </c>
      <c r="O504" s="36">
        <f>INDEX(O$124:O$127,$D504)*$E504*INDEX(O$128:O$144,$F504)</f>
        <v/>
      </c>
      <c r="P504" s="36">
        <f>INDEX(P$124:P$127,$D504)*$E504*INDEX(P$128:P$144,$F504)</f>
        <v/>
      </c>
      <c r="Q504" s="36">
        <f>INDEX(Q$124:Q$127,$D504)*$E504*INDEX(Q$128:Q$144,$F504)</f>
        <v/>
      </c>
      <c r="R504" s="36">
        <f>INDEX(R$124:R$127,$D504)*$E504*INDEX(R$128:R$144,$F504)</f>
        <v/>
      </c>
      <c r="S504" s="36">
        <f>INDEX(S$124:S$127,$D504)*$E504*INDEX(S$128:S$144,$F504)</f>
        <v/>
      </c>
      <c r="T504" s="36">
        <f>INDEX(T$124:T$127,$D504)*$E504*INDEX(T$128:T$144,$F504)</f>
        <v/>
      </c>
      <c r="U504" s="36">
        <f>INDEX(U$124:U$127,$D504)*$E504*INDEX(U$128:U$144,$F504)</f>
        <v/>
      </c>
      <c r="V504" s="36">
        <f>INDEX(V$124:V$127,$D504)*$E504*INDEX(V$128:V$144,$F504)</f>
        <v/>
      </c>
      <c r="W504" s="36">
        <f>INDEX(W$124:W$127,$D504)*$E504*INDEX(W$128:W$144,$F504)</f>
        <v/>
      </c>
      <c r="X504" s="36">
        <f>INDEX(X$124:X$127,$D504)*$E504*INDEX(X$128:X$144,$F504)</f>
        <v/>
      </c>
      <c r="Y504" s="36">
        <f>INDEX(Y$124:Y$127,$D504)*$E504*INDEX(Y$128:Y$144,$F504)</f>
        <v/>
      </c>
      <c r="Z504" s="23">
        <f>LOWER(Settings!$C$4)&amp;".mit."&amp;$A504&amp;IF($C504="","","."&amp;$C504&amp;"."&amp;$B504)&amp;IF(INDEX(Variables!$D$5:$D$65,MATCH($A504,Variables!$A$5:$A$65,0))="","","."&amp;INDEX(Variables!$D$5:$D$65,MATCH($A504,Variables!$A$5:$A$65,0)))&amp;"."&amp;Z$5</f>
        <v/>
      </c>
      <c r="AA504" s="38">
        <f>INDEX(AA$124:AA$127,$D504)*$E504*INDEX(AA$128:AA$144,$F504)</f>
        <v/>
      </c>
      <c r="AB504" s="36">
        <f>INDEX(AB$124:AB$127,$D504)*$E504*INDEX(AB$128:AB$144,$F504)</f>
        <v/>
      </c>
      <c r="AC504" s="36">
        <f>INDEX(AC$124:AC$127,$D504)*$E504*INDEX(AC$128:AC$144,$F504)</f>
        <v/>
      </c>
      <c r="AD504" s="36">
        <f>INDEX(AD$124:AD$127,$D504)*$E504*INDEX(AD$128:AD$144,$F504)</f>
        <v/>
      </c>
      <c r="AE504" s="36">
        <f>INDEX(AE$124:AE$127,$D504)*$E504*INDEX(AE$128:AE$144,$F504)</f>
        <v/>
      </c>
      <c r="AF504" s="36">
        <f>INDEX(AF$124:AF$127,$D504)*$E504*INDEX(AF$128:AF$144,$F504)</f>
        <v/>
      </c>
      <c r="AG504" s="36">
        <f>INDEX(AG$124:AG$127,$D504)*$E504*INDEX(AG$128:AG$144,$F504)</f>
        <v/>
      </c>
      <c r="AH504" s="36">
        <f>INDEX(AH$124:AH$127,$D504)*$E504*INDEX(AH$128:AH$144,$F504)</f>
        <v/>
      </c>
      <c r="AI504" s="36">
        <f>INDEX(AI$124:AI$127,$D504)*$E504*INDEX(AI$128:AI$144,$F504)</f>
        <v/>
      </c>
      <c r="AJ504" s="36">
        <f>INDEX(AJ$124:AJ$127,$D504)*$E504*INDEX(AJ$128:AJ$144,$F504)</f>
        <v/>
      </c>
      <c r="AK504" s="36">
        <f>INDEX(AK$124:AK$127,$D504)*$E504*INDEX(AK$128:AK$144,$F504)</f>
        <v/>
      </c>
      <c r="AL504" s="36">
        <f>INDEX(AL$124:AL$127,$D504)*$E504*INDEX(AL$128:AL$144,$F504)</f>
        <v/>
      </c>
      <c r="AM504" s="36">
        <f>INDEX(AM$124:AM$127,$D504)*$E504*INDEX(AM$128:AM$144,$F504)</f>
        <v/>
      </c>
      <c r="AN504" s="36">
        <f>INDEX(AN$124:AN$127,$D504)*$E504*INDEX(AN$128:AN$144,$F504)</f>
        <v/>
      </c>
    </row>
    <row r="505" hidden="1" outlineLevel="2">
      <c r="A505" s="5" t="inlineStr">
        <is>
          <t>shp</t>
        </is>
      </c>
      <c r="B505" s="5" t="inlineStr">
        <is>
          <t>lpg</t>
        </is>
      </c>
      <c r="C505" s="5" t="inlineStr">
        <is>
          <t>res</t>
        </is>
      </c>
      <c r="D505" s="36">
        <f>INDEX(Inputs!$M$5:$M$132,MATCH($B505&amp;"|"&amp;$C505,Inputs!$A$5:$A$132,0))</f>
        <v/>
      </c>
      <c r="E505" s="36">
        <f>INDEX(Inputs!$U$5:$U$132,MATCH($B505&amp;"|"&amp;$C505,Inputs!$A$5:$A$132,0))</f>
        <v/>
      </c>
      <c r="F505" s="36">
        <f>INDEX(Inputs!$K$5:$K$132,MATCH($B505&amp;"|"&amp;$C505,Inputs!$A$5:$A$132,0))</f>
        <v/>
      </c>
      <c r="G505" s="37" t="n"/>
      <c r="H505" s="5">
        <f>INDEX(Variables!$B$5:$B$65,MATCH($A505,Variables!$A$5:$A$65,0))&amp;IF($C505="",""," | "&amp;INDEX(Mapping!$B$5:$B$25,MATCH($C505,Mapping!$A$5:$A$25,0))&amp;" | "&amp;INDEX(Mapping!$B$29:$B$38,MATCH($B505,Mapping!$A$29:$A$38,0)))</f>
        <v/>
      </c>
      <c r="I505" s="5">
        <f>INDEX(Variables!$C$5:$C$65,MATCH($A505,Variables!$A$5:$A$65,0))</f>
        <v/>
      </c>
      <c r="J505" s="5">
        <f>INDEX(Variables!$E$5:$E$65,MATCH($A505,Variables!$A$5:$A$65,0))</f>
        <v/>
      </c>
      <c r="K505" s="23">
        <f>LOWER(Settings!$C$4)&amp;".mit."&amp;$A505&amp;IF($C505="","","."&amp;$C505&amp;"."&amp;$B505)&amp;IF(INDEX(Variables!$D$5:$D$65,MATCH($A505,Variables!$A$5:$A$65,0))="","","."&amp;INDEX(Variables!$D$5:$D$65,MATCH($A505,Variables!$A$5:$A$65,0)))&amp;"."&amp;K$5</f>
        <v/>
      </c>
      <c r="L505" s="38">
        <f>INDEX(L$124:L$127,$D505)*$E505*INDEX(L$128:L$144,$F505)</f>
        <v/>
      </c>
      <c r="M505" s="36">
        <f>INDEX(M$124:M$127,$D505)*$E505*INDEX(M$128:M$144,$F505)</f>
        <v/>
      </c>
      <c r="N505" s="36">
        <f>INDEX(N$124:N$127,$D505)*$E505*INDEX(N$128:N$144,$F505)</f>
        <v/>
      </c>
      <c r="O505" s="36">
        <f>INDEX(O$124:O$127,$D505)*$E505*INDEX(O$128:O$144,$F505)</f>
        <v/>
      </c>
      <c r="P505" s="36">
        <f>INDEX(P$124:P$127,$D505)*$E505*INDEX(P$128:P$144,$F505)</f>
        <v/>
      </c>
      <c r="Q505" s="36">
        <f>INDEX(Q$124:Q$127,$D505)*$E505*INDEX(Q$128:Q$144,$F505)</f>
        <v/>
      </c>
      <c r="R505" s="36">
        <f>INDEX(R$124:R$127,$D505)*$E505*INDEX(R$128:R$144,$F505)</f>
        <v/>
      </c>
      <c r="S505" s="36">
        <f>INDEX(S$124:S$127,$D505)*$E505*INDEX(S$128:S$144,$F505)</f>
        <v/>
      </c>
      <c r="T505" s="36">
        <f>INDEX(T$124:T$127,$D505)*$E505*INDEX(T$128:T$144,$F505)</f>
        <v/>
      </c>
      <c r="U505" s="36">
        <f>INDEX(U$124:U$127,$D505)*$E505*INDEX(U$128:U$144,$F505)</f>
        <v/>
      </c>
      <c r="V505" s="36">
        <f>INDEX(V$124:V$127,$D505)*$E505*INDEX(V$128:V$144,$F505)</f>
        <v/>
      </c>
      <c r="W505" s="36">
        <f>INDEX(W$124:W$127,$D505)*$E505*INDEX(W$128:W$144,$F505)</f>
        <v/>
      </c>
      <c r="X505" s="36">
        <f>INDEX(X$124:X$127,$D505)*$E505*INDEX(X$128:X$144,$F505)</f>
        <v/>
      </c>
      <c r="Y505" s="36">
        <f>INDEX(Y$124:Y$127,$D505)*$E505*INDEX(Y$128:Y$144,$F505)</f>
        <v/>
      </c>
      <c r="Z505" s="23">
        <f>LOWER(Settings!$C$4)&amp;".mit."&amp;$A505&amp;IF($C505="","","."&amp;$C505&amp;"."&amp;$B505)&amp;IF(INDEX(Variables!$D$5:$D$65,MATCH($A505,Variables!$A$5:$A$65,0))="","","."&amp;INDEX(Variables!$D$5:$D$65,MATCH($A505,Variables!$A$5:$A$65,0)))&amp;"."&amp;Z$5</f>
        <v/>
      </c>
      <c r="AA505" s="38">
        <f>INDEX(AA$124:AA$127,$D505)*$E505*INDEX(AA$128:AA$144,$F505)</f>
        <v/>
      </c>
      <c r="AB505" s="36">
        <f>INDEX(AB$124:AB$127,$D505)*$E505*INDEX(AB$128:AB$144,$F505)</f>
        <v/>
      </c>
      <c r="AC505" s="36">
        <f>INDEX(AC$124:AC$127,$D505)*$E505*INDEX(AC$128:AC$144,$F505)</f>
        <v/>
      </c>
      <c r="AD505" s="36">
        <f>INDEX(AD$124:AD$127,$D505)*$E505*INDEX(AD$128:AD$144,$F505)</f>
        <v/>
      </c>
      <c r="AE505" s="36">
        <f>INDEX(AE$124:AE$127,$D505)*$E505*INDEX(AE$128:AE$144,$F505)</f>
        <v/>
      </c>
      <c r="AF505" s="36">
        <f>INDEX(AF$124:AF$127,$D505)*$E505*INDEX(AF$128:AF$144,$F505)</f>
        <v/>
      </c>
      <c r="AG505" s="36">
        <f>INDEX(AG$124:AG$127,$D505)*$E505*INDEX(AG$128:AG$144,$F505)</f>
        <v/>
      </c>
      <c r="AH505" s="36">
        <f>INDEX(AH$124:AH$127,$D505)*$E505*INDEX(AH$128:AH$144,$F505)</f>
        <v/>
      </c>
      <c r="AI505" s="36">
        <f>INDEX(AI$124:AI$127,$D505)*$E505*INDEX(AI$128:AI$144,$F505)</f>
        <v/>
      </c>
      <c r="AJ505" s="36">
        <f>INDEX(AJ$124:AJ$127,$D505)*$E505*INDEX(AJ$128:AJ$144,$F505)</f>
        <v/>
      </c>
      <c r="AK505" s="36">
        <f>INDEX(AK$124:AK$127,$D505)*$E505*INDEX(AK$128:AK$144,$F505)</f>
        <v/>
      </c>
      <c r="AL505" s="36">
        <f>INDEX(AL$124:AL$127,$D505)*$E505*INDEX(AL$128:AL$144,$F505)</f>
        <v/>
      </c>
      <c r="AM505" s="36">
        <f>INDEX(AM$124:AM$127,$D505)*$E505*INDEX(AM$128:AM$144,$F505)</f>
        <v/>
      </c>
      <c r="AN505" s="36">
        <f>INDEX(AN$124:AN$127,$D505)*$E505*INDEX(AN$128:AN$144,$F505)</f>
        <v/>
      </c>
    </row>
    <row r="506" hidden="1" outlineLevel="2">
      <c r="A506" s="5" t="inlineStr">
        <is>
          <t>shp</t>
        </is>
      </c>
      <c r="B506" s="5" t="inlineStr">
        <is>
          <t>ker</t>
        </is>
      </c>
      <c r="C506" s="5" t="inlineStr">
        <is>
          <t>res</t>
        </is>
      </c>
      <c r="D506" s="36">
        <f>INDEX(Inputs!$M$5:$M$132,MATCH($B506&amp;"|"&amp;$C506,Inputs!$A$5:$A$132,0))</f>
        <v/>
      </c>
      <c r="E506" s="36">
        <f>INDEX(Inputs!$U$5:$U$132,MATCH($B506&amp;"|"&amp;$C506,Inputs!$A$5:$A$132,0))</f>
        <v/>
      </c>
      <c r="F506" s="36">
        <f>INDEX(Inputs!$K$5:$K$132,MATCH($B506&amp;"|"&amp;$C506,Inputs!$A$5:$A$132,0))</f>
        <v/>
      </c>
      <c r="G506" s="37" t="n"/>
      <c r="H506" s="5">
        <f>INDEX(Variables!$B$5:$B$65,MATCH($A506,Variables!$A$5:$A$65,0))&amp;IF($C506="",""," | "&amp;INDEX(Mapping!$B$5:$B$25,MATCH($C506,Mapping!$A$5:$A$25,0))&amp;" | "&amp;INDEX(Mapping!$B$29:$B$38,MATCH($B506,Mapping!$A$29:$A$38,0)))</f>
        <v/>
      </c>
      <c r="I506" s="5">
        <f>INDEX(Variables!$C$5:$C$65,MATCH($A506,Variables!$A$5:$A$65,0))</f>
        <v/>
      </c>
      <c r="J506" s="5">
        <f>INDEX(Variables!$E$5:$E$65,MATCH($A506,Variables!$A$5:$A$65,0))</f>
        <v/>
      </c>
      <c r="K506" s="23">
        <f>LOWER(Settings!$C$4)&amp;".mit."&amp;$A506&amp;IF($C506="","","."&amp;$C506&amp;"."&amp;$B506)&amp;IF(INDEX(Variables!$D$5:$D$65,MATCH($A506,Variables!$A$5:$A$65,0))="","","."&amp;INDEX(Variables!$D$5:$D$65,MATCH($A506,Variables!$A$5:$A$65,0)))&amp;"."&amp;K$5</f>
        <v/>
      </c>
      <c r="L506" s="38">
        <f>INDEX(L$124:L$127,$D506)*$E506*INDEX(L$128:L$144,$F506)</f>
        <v/>
      </c>
      <c r="M506" s="36">
        <f>INDEX(M$124:M$127,$D506)*$E506*INDEX(M$128:M$144,$F506)</f>
        <v/>
      </c>
      <c r="N506" s="36">
        <f>INDEX(N$124:N$127,$D506)*$E506*INDEX(N$128:N$144,$F506)</f>
        <v/>
      </c>
      <c r="O506" s="36">
        <f>INDEX(O$124:O$127,$D506)*$E506*INDEX(O$128:O$144,$F506)</f>
        <v/>
      </c>
      <c r="P506" s="36">
        <f>INDEX(P$124:P$127,$D506)*$E506*INDEX(P$128:P$144,$F506)</f>
        <v/>
      </c>
      <c r="Q506" s="36">
        <f>INDEX(Q$124:Q$127,$D506)*$E506*INDEX(Q$128:Q$144,$F506)</f>
        <v/>
      </c>
      <c r="R506" s="36">
        <f>INDEX(R$124:R$127,$D506)*$E506*INDEX(R$128:R$144,$F506)</f>
        <v/>
      </c>
      <c r="S506" s="36">
        <f>INDEX(S$124:S$127,$D506)*$E506*INDEX(S$128:S$144,$F506)</f>
        <v/>
      </c>
      <c r="T506" s="36">
        <f>INDEX(T$124:T$127,$D506)*$E506*INDEX(T$128:T$144,$F506)</f>
        <v/>
      </c>
      <c r="U506" s="36">
        <f>INDEX(U$124:U$127,$D506)*$E506*INDEX(U$128:U$144,$F506)</f>
        <v/>
      </c>
      <c r="V506" s="36">
        <f>INDEX(V$124:V$127,$D506)*$E506*INDEX(V$128:V$144,$F506)</f>
        <v/>
      </c>
      <c r="W506" s="36">
        <f>INDEX(W$124:W$127,$D506)*$E506*INDEX(W$128:W$144,$F506)</f>
        <v/>
      </c>
      <c r="X506" s="36">
        <f>INDEX(X$124:X$127,$D506)*$E506*INDEX(X$128:X$144,$F506)</f>
        <v/>
      </c>
      <c r="Y506" s="36">
        <f>INDEX(Y$124:Y$127,$D506)*$E506*INDEX(Y$128:Y$144,$F506)</f>
        <v/>
      </c>
      <c r="Z506" s="23">
        <f>LOWER(Settings!$C$4)&amp;".mit."&amp;$A506&amp;IF($C506="","","."&amp;$C506&amp;"."&amp;$B506)&amp;IF(INDEX(Variables!$D$5:$D$65,MATCH($A506,Variables!$A$5:$A$65,0))="","","."&amp;INDEX(Variables!$D$5:$D$65,MATCH($A506,Variables!$A$5:$A$65,0)))&amp;"."&amp;Z$5</f>
        <v/>
      </c>
      <c r="AA506" s="38">
        <f>INDEX(AA$124:AA$127,$D506)*$E506*INDEX(AA$128:AA$144,$F506)</f>
        <v/>
      </c>
      <c r="AB506" s="36">
        <f>INDEX(AB$124:AB$127,$D506)*$E506*INDEX(AB$128:AB$144,$F506)</f>
        <v/>
      </c>
      <c r="AC506" s="36">
        <f>INDEX(AC$124:AC$127,$D506)*$E506*INDEX(AC$128:AC$144,$F506)</f>
        <v/>
      </c>
      <c r="AD506" s="36">
        <f>INDEX(AD$124:AD$127,$D506)*$E506*INDEX(AD$128:AD$144,$F506)</f>
        <v/>
      </c>
      <c r="AE506" s="36">
        <f>INDEX(AE$124:AE$127,$D506)*$E506*INDEX(AE$128:AE$144,$F506)</f>
        <v/>
      </c>
      <c r="AF506" s="36">
        <f>INDEX(AF$124:AF$127,$D506)*$E506*INDEX(AF$128:AF$144,$F506)</f>
        <v/>
      </c>
      <c r="AG506" s="36">
        <f>INDEX(AG$124:AG$127,$D506)*$E506*INDEX(AG$128:AG$144,$F506)</f>
        <v/>
      </c>
      <c r="AH506" s="36">
        <f>INDEX(AH$124:AH$127,$D506)*$E506*INDEX(AH$128:AH$144,$F506)</f>
        <v/>
      </c>
      <c r="AI506" s="36">
        <f>INDEX(AI$124:AI$127,$D506)*$E506*INDEX(AI$128:AI$144,$F506)</f>
        <v/>
      </c>
      <c r="AJ506" s="36">
        <f>INDEX(AJ$124:AJ$127,$D506)*$E506*INDEX(AJ$128:AJ$144,$F506)</f>
        <v/>
      </c>
      <c r="AK506" s="36">
        <f>INDEX(AK$124:AK$127,$D506)*$E506*INDEX(AK$128:AK$144,$F506)</f>
        <v/>
      </c>
      <c r="AL506" s="36">
        <f>INDEX(AL$124:AL$127,$D506)*$E506*INDEX(AL$128:AL$144,$F506)</f>
        <v/>
      </c>
      <c r="AM506" s="36">
        <f>INDEX(AM$124:AM$127,$D506)*$E506*INDEX(AM$128:AM$144,$F506)</f>
        <v/>
      </c>
      <c r="AN506" s="36">
        <f>INDEX(AN$124:AN$127,$D506)*$E506*INDEX(AN$128:AN$144,$F506)</f>
        <v/>
      </c>
    </row>
    <row r="507" hidden="1" outlineLevel="2">
      <c r="A507" s="5" t="inlineStr">
        <is>
          <t>shp</t>
        </is>
      </c>
      <c r="B507" s="5" t="inlineStr">
        <is>
          <t>oop</t>
        </is>
      </c>
      <c r="C507" s="5" t="inlineStr">
        <is>
          <t>res</t>
        </is>
      </c>
      <c r="D507" s="36">
        <f>INDEX(Inputs!$M$5:$M$132,MATCH($B507&amp;"|"&amp;$C507,Inputs!$A$5:$A$132,0))</f>
        <v/>
      </c>
      <c r="E507" s="36">
        <f>INDEX(Inputs!$U$5:$U$132,MATCH($B507&amp;"|"&amp;$C507,Inputs!$A$5:$A$132,0))</f>
        <v/>
      </c>
      <c r="F507" s="36">
        <f>INDEX(Inputs!$K$5:$K$132,MATCH($B507&amp;"|"&amp;$C507,Inputs!$A$5:$A$132,0))</f>
        <v/>
      </c>
      <c r="G507" s="37" t="n"/>
      <c r="H507" s="5">
        <f>INDEX(Variables!$B$5:$B$65,MATCH($A507,Variables!$A$5:$A$65,0))&amp;IF($C507="",""," | "&amp;INDEX(Mapping!$B$5:$B$25,MATCH($C507,Mapping!$A$5:$A$25,0))&amp;" | "&amp;INDEX(Mapping!$B$29:$B$38,MATCH($B507,Mapping!$A$29:$A$38,0)))</f>
        <v/>
      </c>
      <c r="I507" s="5">
        <f>INDEX(Variables!$C$5:$C$65,MATCH($A507,Variables!$A$5:$A$65,0))</f>
        <v/>
      </c>
      <c r="J507" s="5">
        <f>INDEX(Variables!$E$5:$E$65,MATCH($A507,Variables!$A$5:$A$65,0))</f>
        <v/>
      </c>
      <c r="K507" s="23">
        <f>LOWER(Settings!$C$4)&amp;".mit."&amp;$A507&amp;IF($C507="","","."&amp;$C507&amp;"."&amp;$B507)&amp;IF(INDEX(Variables!$D$5:$D$65,MATCH($A507,Variables!$A$5:$A$65,0))="","","."&amp;INDEX(Variables!$D$5:$D$65,MATCH($A507,Variables!$A$5:$A$65,0)))&amp;"."&amp;K$5</f>
        <v/>
      </c>
      <c r="L507" s="38">
        <f>INDEX(L$124:L$127,$D507)*$E507*INDEX(L$128:L$144,$F507)</f>
        <v/>
      </c>
      <c r="M507" s="36">
        <f>INDEX(M$124:M$127,$D507)*$E507*INDEX(M$128:M$144,$F507)</f>
        <v/>
      </c>
      <c r="N507" s="36">
        <f>INDEX(N$124:N$127,$D507)*$E507*INDEX(N$128:N$144,$F507)</f>
        <v/>
      </c>
      <c r="O507" s="36">
        <f>INDEX(O$124:O$127,$D507)*$E507*INDEX(O$128:O$144,$F507)</f>
        <v/>
      </c>
      <c r="P507" s="36">
        <f>INDEX(P$124:P$127,$D507)*$E507*INDEX(P$128:P$144,$F507)</f>
        <v/>
      </c>
      <c r="Q507" s="36">
        <f>INDEX(Q$124:Q$127,$D507)*$E507*INDEX(Q$128:Q$144,$F507)</f>
        <v/>
      </c>
      <c r="R507" s="36">
        <f>INDEX(R$124:R$127,$D507)*$E507*INDEX(R$128:R$144,$F507)</f>
        <v/>
      </c>
      <c r="S507" s="36">
        <f>INDEX(S$124:S$127,$D507)*$E507*INDEX(S$128:S$144,$F507)</f>
        <v/>
      </c>
      <c r="T507" s="36">
        <f>INDEX(T$124:T$127,$D507)*$E507*INDEX(T$128:T$144,$F507)</f>
        <v/>
      </c>
      <c r="U507" s="36">
        <f>INDEX(U$124:U$127,$D507)*$E507*INDEX(U$128:U$144,$F507)</f>
        <v/>
      </c>
      <c r="V507" s="36">
        <f>INDEX(V$124:V$127,$D507)*$E507*INDEX(V$128:V$144,$F507)</f>
        <v/>
      </c>
      <c r="W507" s="36">
        <f>INDEX(W$124:W$127,$D507)*$E507*INDEX(W$128:W$144,$F507)</f>
        <v/>
      </c>
      <c r="X507" s="36">
        <f>INDEX(X$124:X$127,$D507)*$E507*INDEX(X$128:X$144,$F507)</f>
        <v/>
      </c>
      <c r="Y507" s="36">
        <f>INDEX(Y$124:Y$127,$D507)*$E507*INDEX(Y$128:Y$144,$F507)</f>
        <v/>
      </c>
      <c r="Z507" s="23">
        <f>LOWER(Settings!$C$4)&amp;".mit."&amp;$A507&amp;IF($C507="","","."&amp;$C507&amp;"."&amp;$B507)&amp;IF(INDEX(Variables!$D$5:$D$65,MATCH($A507,Variables!$A$5:$A$65,0))="","","."&amp;INDEX(Variables!$D$5:$D$65,MATCH($A507,Variables!$A$5:$A$65,0)))&amp;"."&amp;Z$5</f>
        <v/>
      </c>
      <c r="AA507" s="38">
        <f>INDEX(AA$124:AA$127,$D507)*$E507*INDEX(AA$128:AA$144,$F507)</f>
        <v/>
      </c>
      <c r="AB507" s="36">
        <f>INDEX(AB$124:AB$127,$D507)*$E507*INDEX(AB$128:AB$144,$F507)</f>
        <v/>
      </c>
      <c r="AC507" s="36">
        <f>INDEX(AC$124:AC$127,$D507)*$E507*INDEX(AC$128:AC$144,$F507)</f>
        <v/>
      </c>
      <c r="AD507" s="36">
        <f>INDEX(AD$124:AD$127,$D507)*$E507*INDEX(AD$128:AD$144,$F507)</f>
        <v/>
      </c>
      <c r="AE507" s="36">
        <f>INDEX(AE$124:AE$127,$D507)*$E507*INDEX(AE$128:AE$144,$F507)</f>
        <v/>
      </c>
      <c r="AF507" s="36">
        <f>INDEX(AF$124:AF$127,$D507)*$E507*INDEX(AF$128:AF$144,$F507)</f>
        <v/>
      </c>
      <c r="AG507" s="36">
        <f>INDEX(AG$124:AG$127,$D507)*$E507*INDEX(AG$128:AG$144,$F507)</f>
        <v/>
      </c>
      <c r="AH507" s="36">
        <f>INDEX(AH$124:AH$127,$D507)*$E507*INDEX(AH$128:AH$144,$F507)</f>
        <v/>
      </c>
      <c r="AI507" s="36">
        <f>INDEX(AI$124:AI$127,$D507)*$E507*INDEX(AI$128:AI$144,$F507)</f>
        <v/>
      </c>
      <c r="AJ507" s="36">
        <f>INDEX(AJ$124:AJ$127,$D507)*$E507*INDEX(AJ$128:AJ$144,$F507)</f>
        <v/>
      </c>
      <c r="AK507" s="36">
        <f>INDEX(AK$124:AK$127,$D507)*$E507*INDEX(AK$128:AK$144,$F507)</f>
        <v/>
      </c>
      <c r="AL507" s="36">
        <f>INDEX(AL$124:AL$127,$D507)*$E507*INDEX(AL$128:AL$144,$F507)</f>
        <v/>
      </c>
      <c r="AM507" s="36">
        <f>INDEX(AM$124:AM$127,$D507)*$E507*INDEX(AM$128:AM$144,$F507)</f>
        <v/>
      </c>
      <c r="AN507" s="36">
        <f>INDEX(AN$124:AN$127,$D507)*$E507*INDEX(AN$128:AN$144,$F507)</f>
        <v/>
      </c>
    </row>
    <row r="508" hidden="1" outlineLevel="2">
      <c r="A508" s="5" t="inlineStr">
        <is>
          <t>shp</t>
        </is>
      </c>
      <c r="B508" s="5" t="inlineStr">
        <is>
          <t>bio</t>
        </is>
      </c>
      <c r="C508" s="5" t="inlineStr">
        <is>
          <t>res</t>
        </is>
      </c>
      <c r="D508" s="36">
        <f>INDEX(Inputs!$M$5:$M$132,MATCH($B508&amp;"|"&amp;$C508,Inputs!$A$5:$A$132,0))</f>
        <v/>
      </c>
      <c r="E508" s="36">
        <f>INDEX(Inputs!$U$5:$U$132,MATCH($B508&amp;"|"&amp;$C508,Inputs!$A$5:$A$132,0))</f>
        <v/>
      </c>
      <c r="F508" s="36">
        <f>INDEX(Inputs!$K$5:$K$132,MATCH($B508&amp;"|"&amp;$C508,Inputs!$A$5:$A$132,0))</f>
        <v/>
      </c>
      <c r="G508" s="37" t="n"/>
      <c r="H508" s="5">
        <f>INDEX(Variables!$B$5:$B$65,MATCH($A508,Variables!$A$5:$A$65,0))&amp;IF($C508="",""," | "&amp;INDEX(Mapping!$B$5:$B$25,MATCH($C508,Mapping!$A$5:$A$25,0))&amp;" | "&amp;INDEX(Mapping!$B$29:$B$38,MATCH($B508,Mapping!$A$29:$A$38,0)))</f>
        <v/>
      </c>
      <c r="I508" s="5">
        <f>INDEX(Variables!$C$5:$C$65,MATCH($A508,Variables!$A$5:$A$65,0))</f>
        <v/>
      </c>
      <c r="J508" s="5">
        <f>INDEX(Variables!$E$5:$E$65,MATCH($A508,Variables!$A$5:$A$65,0))</f>
        <v/>
      </c>
      <c r="K508" s="23">
        <f>LOWER(Settings!$C$4)&amp;".mit."&amp;$A508&amp;IF($C508="","","."&amp;$C508&amp;"."&amp;$B508)&amp;IF(INDEX(Variables!$D$5:$D$65,MATCH($A508,Variables!$A$5:$A$65,0))="","","."&amp;INDEX(Variables!$D$5:$D$65,MATCH($A508,Variables!$A$5:$A$65,0)))&amp;"."&amp;K$5</f>
        <v/>
      </c>
      <c r="L508" s="38">
        <f>INDEX(L$124:L$127,$D508)*$E508*INDEX(L$128:L$144,$F508)</f>
        <v/>
      </c>
      <c r="M508" s="36">
        <f>INDEX(M$124:M$127,$D508)*$E508*INDEX(M$128:M$144,$F508)</f>
        <v/>
      </c>
      <c r="N508" s="36">
        <f>INDEX(N$124:N$127,$D508)*$E508*INDEX(N$128:N$144,$F508)</f>
        <v/>
      </c>
      <c r="O508" s="36">
        <f>INDEX(O$124:O$127,$D508)*$E508*INDEX(O$128:O$144,$F508)</f>
        <v/>
      </c>
      <c r="P508" s="36">
        <f>INDEX(P$124:P$127,$D508)*$E508*INDEX(P$128:P$144,$F508)</f>
        <v/>
      </c>
      <c r="Q508" s="36">
        <f>INDEX(Q$124:Q$127,$D508)*$E508*INDEX(Q$128:Q$144,$F508)</f>
        <v/>
      </c>
      <c r="R508" s="36">
        <f>INDEX(R$124:R$127,$D508)*$E508*INDEX(R$128:R$144,$F508)</f>
        <v/>
      </c>
      <c r="S508" s="36">
        <f>INDEX(S$124:S$127,$D508)*$E508*INDEX(S$128:S$144,$F508)</f>
        <v/>
      </c>
      <c r="T508" s="36">
        <f>INDEX(T$124:T$127,$D508)*$E508*INDEX(T$128:T$144,$F508)</f>
        <v/>
      </c>
      <c r="U508" s="36">
        <f>INDEX(U$124:U$127,$D508)*$E508*INDEX(U$128:U$144,$F508)</f>
        <v/>
      </c>
      <c r="V508" s="36">
        <f>INDEX(V$124:V$127,$D508)*$E508*INDEX(V$128:V$144,$F508)</f>
        <v/>
      </c>
      <c r="W508" s="36">
        <f>INDEX(W$124:W$127,$D508)*$E508*INDEX(W$128:W$144,$F508)</f>
        <v/>
      </c>
      <c r="X508" s="36">
        <f>INDEX(X$124:X$127,$D508)*$E508*INDEX(X$128:X$144,$F508)</f>
        <v/>
      </c>
      <c r="Y508" s="36">
        <f>INDEX(Y$124:Y$127,$D508)*$E508*INDEX(Y$128:Y$144,$F508)</f>
        <v/>
      </c>
      <c r="Z508" s="23">
        <f>LOWER(Settings!$C$4)&amp;".mit."&amp;$A508&amp;IF($C508="","","."&amp;$C508&amp;"."&amp;$B508)&amp;IF(INDEX(Variables!$D$5:$D$65,MATCH($A508,Variables!$A$5:$A$65,0))="","","."&amp;INDEX(Variables!$D$5:$D$65,MATCH($A508,Variables!$A$5:$A$65,0)))&amp;"."&amp;Z$5</f>
        <v/>
      </c>
      <c r="AA508" s="38">
        <f>INDEX(AA$124:AA$127,$D508)*$E508*INDEX(AA$128:AA$144,$F508)</f>
        <v/>
      </c>
      <c r="AB508" s="36">
        <f>INDEX(AB$124:AB$127,$D508)*$E508*INDEX(AB$128:AB$144,$F508)</f>
        <v/>
      </c>
      <c r="AC508" s="36">
        <f>INDEX(AC$124:AC$127,$D508)*$E508*INDEX(AC$128:AC$144,$F508)</f>
        <v/>
      </c>
      <c r="AD508" s="36">
        <f>INDEX(AD$124:AD$127,$D508)*$E508*INDEX(AD$128:AD$144,$F508)</f>
        <v/>
      </c>
      <c r="AE508" s="36">
        <f>INDEX(AE$124:AE$127,$D508)*$E508*INDEX(AE$128:AE$144,$F508)</f>
        <v/>
      </c>
      <c r="AF508" s="36">
        <f>INDEX(AF$124:AF$127,$D508)*$E508*INDEX(AF$128:AF$144,$F508)</f>
        <v/>
      </c>
      <c r="AG508" s="36">
        <f>INDEX(AG$124:AG$127,$D508)*$E508*INDEX(AG$128:AG$144,$F508)</f>
        <v/>
      </c>
      <c r="AH508" s="36">
        <f>INDEX(AH$124:AH$127,$D508)*$E508*INDEX(AH$128:AH$144,$F508)</f>
        <v/>
      </c>
      <c r="AI508" s="36">
        <f>INDEX(AI$124:AI$127,$D508)*$E508*INDEX(AI$128:AI$144,$F508)</f>
        <v/>
      </c>
      <c r="AJ508" s="36">
        <f>INDEX(AJ$124:AJ$127,$D508)*$E508*INDEX(AJ$128:AJ$144,$F508)</f>
        <v/>
      </c>
      <c r="AK508" s="36">
        <f>INDEX(AK$124:AK$127,$D508)*$E508*INDEX(AK$128:AK$144,$F508)</f>
        <v/>
      </c>
      <c r="AL508" s="36">
        <f>INDEX(AL$124:AL$127,$D508)*$E508*INDEX(AL$128:AL$144,$F508)</f>
        <v/>
      </c>
      <c r="AM508" s="36">
        <f>INDEX(AM$124:AM$127,$D508)*$E508*INDEX(AM$128:AM$144,$F508)</f>
        <v/>
      </c>
      <c r="AN508" s="36">
        <f>INDEX(AN$124:AN$127,$D508)*$E508*INDEX(AN$128:AN$144,$F508)</f>
        <v/>
      </c>
    </row>
    <row r="509" hidden="1" outlineLevel="2"/>
    <row r="510" hidden="1" outlineLevel="2">
      <c r="A510" s="5" t="inlineStr">
        <is>
          <t>ener</t>
        </is>
      </c>
      <c r="B510" s="5" t="inlineStr">
        <is>
          <t>coa</t>
        </is>
      </c>
      <c r="C510" s="5" t="inlineStr">
        <is>
          <t>res</t>
        </is>
      </c>
      <c r="D510" s="36">
        <f>INDEX(Inputs!$N$5:$N$132,MATCH($B510&amp;"|"&amp;$C510,Inputs!$A$5:$A$132,0))</f>
        <v/>
      </c>
      <c r="E510" s="36">
        <f>INDEX(Inputs!$O$5:$O$132,MATCH($B510&amp;"|"&amp;$C510,Inputs!$A$5:$A$132,0))</f>
        <v/>
      </c>
      <c r="F510" s="36">
        <f>INDEX(Inputs!$P$5:$P$132,MATCH($B510&amp;"|"&amp;$C510,Inputs!$A$5:$A$132,0))</f>
        <v/>
      </c>
      <c r="G510" s="36">
        <f>INDEX(Inputs!$Q$5:$Q$132,MATCH($B510&amp;"|"&amp;$C510,Inputs!$A$5:$A$132,0))</f>
        <v/>
      </c>
      <c r="H510" s="5">
        <f>INDEX(Variables!$B$5:$B$65,MATCH($A510,Variables!$A$5:$A$65,0))&amp;IF($C510="",""," | "&amp;INDEX(Mapping!$B$5:$B$25,MATCH($C510,Mapping!$A$5:$A$25,0))&amp;" | "&amp;INDEX(Mapping!$B$29:$B$38,MATCH($B510,Mapping!$A$29:$A$38,0)))</f>
        <v/>
      </c>
      <c r="I510" s="5">
        <f>INDEX(Variables!$C$5:$C$65,MATCH($A510,Variables!$A$5:$A$65,0))</f>
        <v/>
      </c>
      <c r="J510" s="5">
        <f>INDEX(Variables!$E$5:$E$65,MATCH($A510,Variables!$A$5:$A$65,0))</f>
        <v/>
      </c>
      <c r="K510" s="23">
        <f>LOWER(Settings!$C$4)&amp;".mit."&amp;$A510&amp;IF($C510="","","."&amp;$C510&amp;"."&amp;$B510)&amp;IF(INDEX(Variables!$D$5:$D$65,MATCH($A510,Variables!$A$5:$A$65,0))="","","."&amp;INDEX(Variables!$D$5:$D$65,MATCH($A510,Variables!$A$5:$A$65,0)))&amp;"."&amp;K$5</f>
        <v/>
      </c>
      <c r="L510" s="40">
        <f>INDEX(Inputs!$V$5:$V$132,MATCH($B510&amp;"|"&amp;$C510,Inputs!$A$5:$A$132,0))</f>
        <v/>
      </c>
      <c r="M510" s="41">
        <f>L510*(1/(1+$G510))^(1+$E510)*(1+M$7)^$D510*(M492/L492)^$E510*((M492+M501)/(L492+L501))^($F510*(1+$E510))</f>
        <v/>
      </c>
      <c r="N510" s="41">
        <f>M510*(1/(1+$G510))^(1+$E510)*(1+N$7)^$D510*(N492/M492)^$E510*((N492+N501)/(M492+M501))^($F510*(1+$E510))</f>
        <v/>
      </c>
      <c r="O510" s="41">
        <f>N510*(1/(1+$G510))^(1+$E510)*(1+O$7)^$D510*(O492/N492)^$E510*((O492+O501)/(N492+N501))^($F510*(1+$E510))</f>
        <v/>
      </c>
      <c r="P510" s="41">
        <f>O510*(1/(1+$G510))^(1+$E510)*(1+P$7)^$D510*(P492/O492)^$E510*((P492+P501)/(O492+O501))^($F510*(1+$E510))</f>
        <v/>
      </c>
      <c r="Q510" s="41">
        <f>P510*(1/(1+$G510))^(1+$E510)*(1+Q$7)^$D510*(Q492/P492)^$E510*((Q492+Q501)/(P492+P501))^($F510*(1+$E510))</f>
        <v/>
      </c>
      <c r="R510" s="41">
        <f>Q510*(1/(1+$G510))^(1+$E510)*(1+R$7)^$D510*(R492/Q492)^$E510*((R492+R501)/(Q492+Q501))^($F510*(1+$E510))</f>
        <v/>
      </c>
      <c r="S510" s="41">
        <f>R510*(1/(1+$G510))^(1+$E510)*(1+S$7)^$D510*(S492/R492)^$E510*((S492+S501)/(R492+R501))^($F510*(1+$E510))</f>
        <v/>
      </c>
      <c r="T510" s="41">
        <f>S510*(1/(1+$G510))^(1+$E510)*(1+T$7)^$D510*(T492/S492)^$E510*((T492+T501)/(S492+S501))^($F510*(1+$E510))</f>
        <v/>
      </c>
      <c r="U510" s="41">
        <f>T510*(1/(1+$G510))^(1+$E510)*(1+U$7)^$D510*(U492/T492)^$E510*((U492+U501)/(T492+T501))^($F510*(1+$E510))</f>
        <v/>
      </c>
      <c r="V510" s="41">
        <f>U510*(1/(1+$G510))^(1+$E510)*(1+V$7)^$D510*(V492/U492)^$E510*((V492+V501)/(U492+U501))^($F510*(1+$E510))</f>
        <v/>
      </c>
      <c r="W510" s="41">
        <f>V510*(1/(1+$G510))^(1+$E510)*(1+W$7)^$D510*(W492/V492)^$E510*((W492+W501)/(V492+V501))^($F510*(1+$E510))</f>
        <v/>
      </c>
      <c r="X510" s="41">
        <f>W510*(1/(1+$G510))^(1+$E510)*(1+X$7)^$D510*(X492/W492)^$E510*((X492+X501)/(W492+W501))^($F510*(1+$E510))</f>
        <v/>
      </c>
      <c r="Y510" s="42">
        <f>FUELUSE(X510,Y492,X492,Y501,X501,Y$7,$D510,$E510,$F510,$G510)</f>
        <v/>
      </c>
      <c r="Z510" s="23">
        <f>LOWER(Settings!$C$4)&amp;".mit."&amp;$A510&amp;IF($C510="","","."&amp;$C510&amp;"."&amp;$B510)&amp;IF(INDEX(Variables!$D$5:$D$65,MATCH($A510,Variables!$A$5:$A$65,0))="","","."&amp;INDEX(Variables!$D$5:$D$65,MATCH($A510,Variables!$A$5:$A$65,0)))&amp;"."&amp;Z$5</f>
        <v/>
      </c>
      <c r="AA510" s="40">
        <f>INDEX(Inputs!$V$5:$V$132,MATCH($B510&amp;"|"&amp;$C510,Inputs!$A$5:$A$132,0))</f>
        <v/>
      </c>
      <c r="AB510" s="41">
        <f>AA510*(1/(1+$G510))^(1+$E510)*(1+AB$7)^$D510*(AB492/AA492)^$E510*((AB492+AB501)/(AA492+AA501))^($F510*(1+$E510))</f>
        <v/>
      </c>
      <c r="AC510" s="41">
        <f>AB510*(1/(1+$G510))^(1+$E510)*(1+AC$7)^$D510*(AC492/AB492)^$E510*((AC492+AC501)/(AB492+AB501))^($F510*(1+$E510))</f>
        <v/>
      </c>
      <c r="AD510" s="41">
        <f>AC510*(1/(1+$G510))^(1+$E510)*(1+AD$7)^$D510*(AD492/AC492)^$E510*((AD492+AD501)/(AC492+AC501))^($F510*(1+$E510))</f>
        <v/>
      </c>
      <c r="AE510" s="41">
        <f>AD510*(1/(1+$G510))^(1+$E510)*(1+AE$7)^$D510*(AE492/AD492)^$E510*((AE492+AE501)/(AD492+AD501))^($F510*(1+$E510))</f>
        <v/>
      </c>
      <c r="AF510" s="41">
        <f>AE510*(1/(1+$G510))^(1+$E510)*(1+AF$7)^$D510*(AF492/AE492)^$E510*((AF492+AF501)/(AE492+AE501))^($F510*(1+$E510))</f>
        <v/>
      </c>
      <c r="AG510" s="41">
        <f>AF510*(1/(1+$G510))^(1+$E510)*(1+AG$7)^$D510*(AG492/AF492)^$E510*((AG492+AG501)/(AF492+AF501))^($F510*(1+$E510))</f>
        <v/>
      </c>
      <c r="AH510" s="41">
        <f>AG510*(1/(1+$G510))^(1+$E510)*(1+AH$7)^$D510*(AH492/AG492)^$E510*((AH492+AH501)/(AG492+AG501))^($F510*(1+$E510))</f>
        <v/>
      </c>
      <c r="AI510" s="41">
        <f>AH510*(1/(1+$G510))^(1+$E510)*(1+AI$7)^$D510*(AI492/AH492)^$E510*((AI492+AI501)/(AH492+AH501))^($F510*(1+$E510))</f>
        <v/>
      </c>
      <c r="AJ510" s="41">
        <f>AI510*(1/(1+$G510))^(1+$E510)*(1+AJ$7)^$D510*(AJ492/AI492)^$E510*((AJ492+AJ501)/(AI492+AI501))^($F510*(1+$E510))</f>
        <v/>
      </c>
      <c r="AK510" s="41">
        <f>AJ510*(1/(1+$G510))^(1+$E510)*(1+AK$7)^$D510*(AK492/AJ492)^$E510*((AK492+AK501)/(AJ492+AJ501))^($F510*(1+$E510))</f>
        <v/>
      </c>
      <c r="AL510" s="41">
        <f>AK510*(1/(1+$G510))^(1+$E510)*(1+AL$7)^$D510*(AL492/AK492)^$E510*((AL492+AL501)/(AK492+AK501))^($F510*(1+$E510))</f>
        <v/>
      </c>
      <c r="AM510" s="41">
        <f>AL510*(1/(1+$G510))^(1+$E510)*(1+AM$7)^$D510*(AM492/AL492)^$E510*((AM492+AM501)/(AL492+AL501))^($F510*(1+$E510))</f>
        <v/>
      </c>
      <c r="AN510" s="42">
        <f>FUELUSE(AM510,AN492,AM492,AN501,AM501,AN$7,$D510,$E510,$F510,$G510)</f>
        <v/>
      </c>
    </row>
    <row r="511" hidden="1" outlineLevel="2">
      <c r="A511" s="5" t="inlineStr">
        <is>
          <t>ener</t>
        </is>
      </c>
      <c r="B511" s="5" t="inlineStr">
        <is>
          <t>nga</t>
        </is>
      </c>
      <c r="C511" s="5" t="inlineStr">
        <is>
          <t>res</t>
        </is>
      </c>
      <c r="D511" s="36">
        <f>INDEX(Inputs!$N$5:$N$132,MATCH($B511&amp;"|"&amp;$C511,Inputs!$A$5:$A$132,0))</f>
        <v/>
      </c>
      <c r="E511" s="36">
        <f>INDEX(Inputs!$O$5:$O$132,MATCH($B511&amp;"|"&amp;$C511,Inputs!$A$5:$A$132,0))</f>
        <v/>
      </c>
      <c r="F511" s="36">
        <f>INDEX(Inputs!$P$5:$P$132,MATCH($B511&amp;"|"&amp;$C511,Inputs!$A$5:$A$132,0))</f>
        <v/>
      </c>
      <c r="G511" s="36">
        <f>INDEX(Inputs!$Q$5:$Q$132,MATCH($B511&amp;"|"&amp;$C511,Inputs!$A$5:$A$132,0))</f>
        <v/>
      </c>
      <c r="H511" s="5">
        <f>INDEX(Variables!$B$5:$B$65,MATCH($A511,Variables!$A$5:$A$65,0))&amp;IF($C511="",""," | "&amp;INDEX(Mapping!$B$5:$B$25,MATCH($C511,Mapping!$A$5:$A$25,0))&amp;" | "&amp;INDEX(Mapping!$B$29:$B$38,MATCH($B511,Mapping!$A$29:$A$38,0)))</f>
        <v/>
      </c>
      <c r="I511" s="5">
        <f>INDEX(Variables!$C$5:$C$65,MATCH($A511,Variables!$A$5:$A$65,0))</f>
        <v/>
      </c>
      <c r="J511" s="5">
        <f>INDEX(Variables!$E$5:$E$65,MATCH($A511,Variables!$A$5:$A$65,0))</f>
        <v/>
      </c>
      <c r="K511" s="23">
        <f>LOWER(Settings!$C$4)&amp;".mit."&amp;$A511&amp;IF($C511="","","."&amp;$C511&amp;"."&amp;$B511)&amp;IF(INDEX(Variables!$D$5:$D$65,MATCH($A511,Variables!$A$5:$A$65,0))="","","."&amp;INDEX(Variables!$D$5:$D$65,MATCH($A511,Variables!$A$5:$A$65,0)))&amp;"."&amp;K$5</f>
        <v/>
      </c>
      <c r="L511" s="40">
        <f>INDEX(Inputs!$V$5:$V$132,MATCH($B511&amp;"|"&amp;$C511,Inputs!$A$5:$A$132,0))</f>
        <v/>
      </c>
      <c r="M511" s="41">
        <f>L511*(1/(1+$G511))^(1+$E511)*(1+M$7)^$D511*(M493/L493)^$E511*((M493+M502)/(L493+L502))^($F511*(1+$E511))</f>
        <v/>
      </c>
      <c r="N511" s="41">
        <f>M511*(1/(1+$G511))^(1+$E511)*(1+N$7)^$D511*(N493/M493)^$E511*((N493+N502)/(M493+M502))^($F511*(1+$E511))</f>
        <v/>
      </c>
      <c r="O511" s="41">
        <f>N511*(1/(1+$G511))^(1+$E511)*(1+O$7)^$D511*(O493/N493)^$E511*((O493+O502)/(N493+N502))^($F511*(1+$E511))</f>
        <v/>
      </c>
      <c r="P511" s="41">
        <f>O511*(1/(1+$G511))^(1+$E511)*(1+P$7)^$D511*(P493/O493)^$E511*((P493+P502)/(O493+O502))^($F511*(1+$E511))</f>
        <v/>
      </c>
      <c r="Q511" s="41">
        <f>P511*(1/(1+$G511))^(1+$E511)*(1+Q$7)^$D511*(Q493/P493)^$E511*((Q493+Q502)/(P493+P502))^($F511*(1+$E511))</f>
        <v/>
      </c>
      <c r="R511" s="41">
        <f>Q511*(1/(1+$G511))^(1+$E511)*(1+R$7)^$D511*(R493/Q493)^$E511*((R493+R502)/(Q493+Q502))^($F511*(1+$E511))</f>
        <v/>
      </c>
      <c r="S511" s="41">
        <f>R511*(1/(1+$G511))^(1+$E511)*(1+S$7)^$D511*(S493/R493)^$E511*((S493+S502)/(R493+R502))^($F511*(1+$E511))</f>
        <v/>
      </c>
      <c r="T511" s="41">
        <f>S511*(1/(1+$G511))^(1+$E511)*(1+T$7)^$D511*(T493/S493)^$E511*((T493+T502)/(S493+S502))^($F511*(1+$E511))</f>
        <v/>
      </c>
      <c r="U511" s="41">
        <f>T511*(1/(1+$G511))^(1+$E511)*(1+U$7)^$D511*(U493/T493)^$E511*((U493+U502)/(T493+T502))^($F511*(1+$E511))</f>
        <v/>
      </c>
      <c r="V511" s="41">
        <f>U511*(1/(1+$G511))^(1+$E511)*(1+V$7)^$D511*(V493/U493)^$E511*((V493+V502)/(U493+U502))^($F511*(1+$E511))</f>
        <v/>
      </c>
      <c r="W511" s="41">
        <f>V511*(1/(1+$G511))^(1+$E511)*(1+W$7)^$D511*(W493/V493)^$E511*((W493+W502)/(V493+V502))^($F511*(1+$E511))</f>
        <v/>
      </c>
      <c r="X511" s="41">
        <f>W511*(1/(1+$G511))^(1+$E511)*(1+X$7)^$D511*(X493/W493)^$E511*((X493+X502)/(W493+W502))^($F511*(1+$E511))</f>
        <v/>
      </c>
      <c r="Y511" s="42">
        <f>FUELUSE(X511,Y493,X493,Y502,X502,Y$7,$D511,$E511,$F511,$G511)</f>
        <v/>
      </c>
      <c r="Z511" s="23">
        <f>LOWER(Settings!$C$4)&amp;".mit."&amp;$A511&amp;IF($C511="","","."&amp;$C511&amp;"."&amp;$B511)&amp;IF(INDEX(Variables!$D$5:$D$65,MATCH($A511,Variables!$A$5:$A$65,0))="","","."&amp;INDEX(Variables!$D$5:$D$65,MATCH($A511,Variables!$A$5:$A$65,0)))&amp;"."&amp;Z$5</f>
        <v/>
      </c>
      <c r="AA511" s="40">
        <f>INDEX(Inputs!$V$5:$V$132,MATCH($B511&amp;"|"&amp;$C511,Inputs!$A$5:$A$132,0))</f>
        <v/>
      </c>
      <c r="AB511" s="41">
        <f>AA511*(1/(1+$G511))^(1+$E511)*(1+AB$7)^$D511*(AB493/AA493)^$E511*((AB493+AB502)/(AA493+AA502))^($F511*(1+$E511))</f>
        <v/>
      </c>
      <c r="AC511" s="41">
        <f>AB511*(1/(1+$G511))^(1+$E511)*(1+AC$7)^$D511*(AC493/AB493)^$E511*((AC493+AC502)/(AB493+AB502))^($F511*(1+$E511))</f>
        <v/>
      </c>
      <c r="AD511" s="41">
        <f>AC511*(1/(1+$G511))^(1+$E511)*(1+AD$7)^$D511*(AD493/AC493)^$E511*((AD493+AD502)/(AC493+AC502))^($F511*(1+$E511))</f>
        <v/>
      </c>
      <c r="AE511" s="41">
        <f>AD511*(1/(1+$G511))^(1+$E511)*(1+AE$7)^$D511*(AE493/AD493)^$E511*((AE493+AE502)/(AD493+AD502))^($F511*(1+$E511))</f>
        <v/>
      </c>
      <c r="AF511" s="41">
        <f>AE511*(1/(1+$G511))^(1+$E511)*(1+AF$7)^$D511*(AF493/AE493)^$E511*((AF493+AF502)/(AE493+AE502))^($F511*(1+$E511))</f>
        <v/>
      </c>
      <c r="AG511" s="41">
        <f>AF511*(1/(1+$G511))^(1+$E511)*(1+AG$7)^$D511*(AG493/AF493)^$E511*((AG493+AG502)/(AF493+AF502))^($F511*(1+$E511))</f>
        <v/>
      </c>
      <c r="AH511" s="41">
        <f>AG511*(1/(1+$G511))^(1+$E511)*(1+AH$7)^$D511*(AH493/AG493)^$E511*((AH493+AH502)/(AG493+AG502))^($F511*(1+$E511))</f>
        <v/>
      </c>
      <c r="AI511" s="41">
        <f>AH511*(1/(1+$G511))^(1+$E511)*(1+AI$7)^$D511*(AI493/AH493)^$E511*((AI493+AI502)/(AH493+AH502))^($F511*(1+$E511))</f>
        <v/>
      </c>
      <c r="AJ511" s="41">
        <f>AI511*(1/(1+$G511))^(1+$E511)*(1+AJ$7)^$D511*(AJ493/AI493)^$E511*((AJ493+AJ502)/(AI493+AI502))^($F511*(1+$E511))</f>
        <v/>
      </c>
      <c r="AK511" s="41">
        <f>AJ511*(1/(1+$G511))^(1+$E511)*(1+AK$7)^$D511*(AK493/AJ493)^$E511*((AK493+AK502)/(AJ493+AJ502))^($F511*(1+$E511))</f>
        <v/>
      </c>
      <c r="AL511" s="41">
        <f>AK511*(1/(1+$G511))^(1+$E511)*(1+AL$7)^$D511*(AL493/AK493)^$E511*((AL493+AL502)/(AK493+AK502))^($F511*(1+$E511))</f>
        <v/>
      </c>
      <c r="AM511" s="41">
        <f>AL511*(1/(1+$G511))^(1+$E511)*(1+AM$7)^$D511*(AM493/AL493)^$E511*((AM493+AM502)/(AL493+AL502))^($F511*(1+$E511))</f>
        <v/>
      </c>
      <c r="AN511" s="42">
        <f>FUELUSE(AM511,AN493,AM493,AN502,AM502,AN$7,$D511,$E511,$F511,$G511)</f>
        <v/>
      </c>
    </row>
    <row r="512" hidden="1" outlineLevel="2">
      <c r="A512" s="5" t="inlineStr">
        <is>
          <t>ener</t>
        </is>
      </c>
      <c r="B512" s="5" t="inlineStr">
        <is>
          <t>gso</t>
        </is>
      </c>
      <c r="C512" s="5" t="inlineStr">
        <is>
          <t>res</t>
        </is>
      </c>
      <c r="D512" s="36">
        <f>INDEX(Inputs!$N$5:$N$132,MATCH($B512&amp;"|"&amp;$C512,Inputs!$A$5:$A$132,0))</f>
        <v/>
      </c>
      <c r="E512" s="36">
        <f>INDEX(Inputs!$O$5:$O$132,MATCH($B512&amp;"|"&amp;$C512,Inputs!$A$5:$A$132,0))</f>
        <v/>
      </c>
      <c r="F512" s="36">
        <f>INDEX(Inputs!$P$5:$P$132,MATCH($B512&amp;"|"&amp;$C512,Inputs!$A$5:$A$132,0))</f>
        <v/>
      </c>
      <c r="G512" s="36">
        <f>INDEX(Inputs!$Q$5:$Q$132,MATCH($B512&amp;"|"&amp;$C512,Inputs!$A$5:$A$132,0))</f>
        <v/>
      </c>
      <c r="H512" s="5">
        <f>INDEX(Variables!$B$5:$B$65,MATCH($A512,Variables!$A$5:$A$65,0))&amp;IF($C512="",""," | "&amp;INDEX(Mapping!$B$5:$B$25,MATCH($C512,Mapping!$A$5:$A$25,0))&amp;" | "&amp;INDEX(Mapping!$B$29:$B$38,MATCH($B512,Mapping!$A$29:$A$38,0)))</f>
        <v/>
      </c>
      <c r="I512" s="5">
        <f>INDEX(Variables!$C$5:$C$65,MATCH($A512,Variables!$A$5:$A$65,0))</f>
        <v/>
      </c>
      <c r="J512" s="5">
        <f>INDEX(Variables!$E$5:$E$65,MATCH($A512,Variables!$A$5:$A$65,0))</f>
        <v/>
      </c>
      <c r="K512" s="23">
        <f>LOWER(Settings!$C$4)&amp;".mit."&amp;$A512&amp;IF($C512="","","."&amp;$C512&amp;"."&amp;$B512)&amp;IF(INDEX(Variables!$D$5:$D$65,MATCH($A512,Variables!$A$5:$A$65,0))="","","."&amp;INDEX(Variables!$D$5:$D$65,MATCH($A512,Variables!$A$5:$A$65,0)))&amp;"."&amp;K$5</f>
        <v/>
      </c>
      <c r="L512" s="40">
        <f>INDEX(Inputs!$V$5:$V$132,MATCH($B512&amp;"|"&amp;$C512,Inputs!$A$5:$A$132,0))</f>
        <v/>
      </c>
      <c r="M512" s="41">
        <f>L512*(1/(1+$G512))^(1+$E512)*(1+M$7)^$D512*(M494/L494)^$E512*((M494+M503)/(L494+L503))^($F512*(1+$E512))</f>
        <v/>
      </c>
      <c r="N512" s="41">
        <f>M512*(1/(1+$G512))^(1+$E512)*(1+N$7)^$D512*(N494/M494)^$E512*((N494+N503)/(M494+M503))^($F512*(1+$E512))</f>
        <v/>
      </c>
      <c r="O512" s="41">
        <f>N512*(1/(1+$G512))^(1+$E512)*(1+O$7)^$D512*(O494/N494)^$E512*((O494+O503)/(N494+N503))^($F512*(1+$E512))</f>
        <v/>
      </c>
      <c r="P512" s="41">
        <f>O512*(1/(1+$G512))^(1+$E512)*(1+P$7)^$D512*(P494/O494)^$E512*((P494+P503)/(O494+O503))^($F512*(1+$E512))</f>
        <v/>
      </c>
      <c r="Q512" s="41">
        <f>P512*(1/(1+$G512))^(1+$E512)*(1+Q$7)^$D512*(Q494/P494)^$E512*((Q494+Q503)/(P494+P503))^($F512*(1+$E512))</f>
        <v/>
      </c>
      <c r="R512" s="41">
        <f>Q512*(1/(1+$G512))^(1+$E512)*(1+R$7)^$D512*(R494/Q494)^$E512*((R494+R503)/(Q494+Q503))^($F512*(1+$E512))</f>
        <v/>
      </c>
      <c r="S512" s="41">
        <f>R512*(1/(1+$G512))^(1+$E512)*(1+S$7)^$D512*(S494/R494)^$E512*((S494+S503)/(R494+R503))^($F512*(1+$E512))</f>
        <v/>
      </c>
      <c r="T512" s="41">
        <f>S512*(1/(1+$G512))^(1+$E512)*(1+T$7)^$D512*(T494/S494)^$E512*((T494+T503)/(S494+S503))^($F512*(1+$E512))</f>
        <v/>
      </c>
      <c r="U512" s="41">
        <f>T512*(1/(1+$G512))^(1+$E512)*(1+U$7)^$D512*(U494/T494)^$E512*((U494+U503)/(T494+T503))^($F512*(1+$E512))</f>
        <v/>
      </c>
      <c r="V512" s="41">
        <f>U512*(1/(1+$G512))^(1+$E512)*(1+V$7)^$D512*(V494/U494)^$E512*((V494+V503)/(U494+U503))^($F512*(1+$E512))</f>
        <v/>
      </c>
      <c r="W512" s="41">
        <f>V512*(1/(1+$G512))^(1+$E512)*(1+W$7)^$D512*(W494/V494)^$E512*((W494+W503)/(V494+V503))^($F512*(1+$E512))</f>
        <v/>
      </c>
      <c r="X512" s="41">
        <f>W512*(1/(1+$G512))^(1+$E512)*(1+X$7)^$D512*(X494/W494)^$E512*((X494+X503)/(W494+W503))^($F512*(1+$E512))</f>
        <v/>
      </c>
      <c r="Y512" s="42">
        <f>FUELUSE(X512,Y494,X494,Y503,X503,Y$7,$D512,$E512,$F512,$G512)</f>
        <v/>
      </c>
      <c r="Z512" s="23">
        <f>LOWER(Settings!$C$4)&amp;".mit."&amp;$A512&amp;IF($C512="","","."&amp;$C512&amp;"."&amp;$B512)&amp;IF(INDEX(Variables!$D$5:$D$65,MATCH($A512,Variables!$A$5:$A$65,0))="","","."&amp;INDEX(Variables!$D$5:$D$65,MATCH($A512,Variables!$A$5:$A$65,0)))&amp;"."&amp;Z$5</f>
        <v/>
      </c>
      <c r="AA512" s="40">
        <f>INDEX(Inputs!$V$5:$V$132,MATCH($B512&amp;"|"&amp;$C512,Inputs!$A$5:$A$132,0))</f>
        <v/>
      </c>
      <c r="AB512" s="41">
        <f>AA512*(1/(1+$G512))^(1+$E512)*(1+AB$7)^$D512*(AB494/AA494)^$E512*((AB494+AB503)/(AA494+AA503))^($F512*(1+$E512))</f>
        <v/>
      </c>
      <c r="AC512" s="41">
        <f>AB512*(1/(1+$G512))^(1+$E512)*(1+AC$7)^$D512*(AC494/AB494)^$E512*((AC494+AC503)/(AB494+AB503))^($F512*(1+$E512))</f>
        <v/>
      </c>
      <c r="AD512" s="41">
        <f>AC512*(1/(1+$G512))^(1+$E512)*(1+AD$7)^$D512*(AD494/AC494)^$E512*((AD494+AD503)/(AC494+AC503))^($F512*(1+$E512))</f>
        <v/>
      </c>
      <c r="AE512" s="41">
        <f>AD512*(1/(1+$G512))^(1+$E512)*(1+AE$7)^$D512*(AE494/AD494)^$E512*((AE494+AE503)/(AD494+AD503))^($F512*(1+$E512))</f>
        <v/>
      </c>
      <c r="AF512" s="41">
        <f>AE512*(1/(1+$G512))^(1+$E512)*(1+AF$7)^$D512*(AF494/AE494)^$E512*((AF494+AF503)/(AE494+AE503))^($F512*(1+$E512))</f>
        <v/>
      </c>
      <c r="AG512" s="41">
        <f>AF512*(1/(1+$G512))^(1+$E512)*(1+AG$7)^$D512*(AG494/AF494)^$E512*((AG494+AG503)/(AF494+AF503))^($F512*(1+$E512))</f>
        <v/>
      </c>
      <c r="AH512" s="41">
        <f>AG512*(1/(1+$G512))^(1+$E512)*(1+AH$7)^$D512*(AH494/AG494)^$E512*((AH494+AH503)/(AG494+AG503))^($F512*(1+$E512))</f>
        <v/>
      </c>
      <c r="AI512" s="41">
        <f>AH512*(1/(1+$G512))^(1+$E512)*(1+AI$7)^$D512*(AI494/AH494)^$E512*((AI494+AI503)/(AH494+AH503))^($F512*(1+$E512))</f>
        <v/>
      </c>
      <c r="AJ512" s="41">
        <f>AI512*(1/(1+$G512))^(1+$E512)*(1+AJ$7)^$D512*(AJ494/AI494)^$E512*((AJ494+AJ503)/(AI494+AI503))^($F512*(1+$E512))</f>
        <v/>
      </c>
      <c r="AK512" s="41">
        <f>AJ512*(1/(1+$G512))^(1+$E512)*(1+AK$7)^$D512*(AK494/AJ494)^$E512*((AK494+AK503)/(AJ494+AJ503))^($F512*(1+$E512))</f>
        <v/>
      </c>
      <c r="AL512" s="41">
        <f>AK512*(1/(1+$G512))^(1+$E512)*(1+AL$7)^$D512*(AL494/AK494)^$E512*((AL494+AL503)/(AK494+AK503))^($F512*(1+$E512))</f>
        <v/>
      </c>
      <c r="AM512" s="41">
        <f>AL512*(1/(1+$G512))^(1+$E512)*(1+AM$7)^$D512*(AM494/AL494)^$E512*((AM494+AM503)/(AL494+AL503))^($F512*(1+$E512))</f>
        <v/>
      </c>
      <c r="AN512" s="42">
        <f>FUELUSE(AM512,AN494,AM494,AN503,AM503,AN$7,$D512,$E512,$F512,$G512)</f>
        <v/>
      </c>
    </row>
    <row r="513" hidden="1" outlineLevel="2">
      <c r="A513" s="5" t="inlineStr">
        <is>
          <t>ener</t>
        </is>
      </c>
      <c r="B513" s="5" t="inlineStr">
        <is>
          <t>die</t>
        </is>
      </c>
      <c r="C513" s="5" t="inlineStr">
        <is>
          <t>res</t>
        </is>
      </c>
      <c r="D513" s="36">
        <f>INDEX(Inputs!$N$5:$N$132,MATCH($B513&amp;"|"&amp;$C513,Inputs!$A$5:$A$132,0))</f>
        <v/>
      </c>
      <c r="E513" s="36">
        <f>INDEX(Inputs!$O$5:$O$132,MATCH($B513&amp;"|"&amp;$C513,Inputs!$A$5:$A$132,0))</f>
        <v/>
      </c>
      <c r="F513" s="36">
        <f>INDEX(Inputs!$P$5:$P$132,MATCH($B513&amp;"|"&amp;$C513,Inputs!$A$5:$A$132,0))</f>
        <v/>
      </c>
      <c r="G513" s="36">
        <f>INDEX(Inputs!$Q$5:$Q$132,MATCH($B513&amp;"|"&amp;$C513,Inputs!$A$5:$A$132,0))</f>
        <v/>
      </c>
      <c r="H513" s="5">
        <f>INDEX(Variables!$B$5:$B$65,MATCH($A513,Variables!$A$5:$A$65,0))&amp;IF($C513="",""," | "&amp;INDEX(Mapping!$B$5:$B$25,MATCH($C513,Mapping!$A$5:$A$25,0))&amp;" | "&amp;INDEX(Mapping!$B$29:$B$38,MATCH($B513,Mapping!$A$29:$A$38,0)))</f>
        <v/>
      </c>
      <c r="I513" s="5">
        <f>INDEX(Variables!$C$5:$C$65,MATCH($A513,Variables!$A$5:$A$65,0))</f>
        <v/>
      </c>
      <c r="J513" s="5">
        <f>INDEX(Variables!$E$5:$E$65,MATCH($A513,Variables!$A$5:$A$65,0))</f>
        <v/>
      </c>
      <c r="K513" s="23">
        <f>LOWER(Settings!$C$4)&amp;".mit."&amp;$A513&amp;IF($C513="","","."&amp;$C513&amp;"."&amp;$B513)&amp;IF(INDEX(Variables!$D$5:$D$65,MATCH($A513,Variables!$A$5:$A$65,0))="","","."&amp;INDEX(Variables!$D$5:$D$65,MATCH($A513,Variables!$A$5:$A$65,0)))&amp;"."&amp;K$5</f>
        <v/>
      </c>
      <c r="L513" s="40">
        <f>INDEX(Inputs!$V$5:$V$132,MATCH($B513&amp;"|"&amp;$C513,Inputs!$A$5:$A$132,0))</f>
        <v/>
      </c>
      <c r="M513" s="41">
        <f>L513*(1/(1+$G513))^(1+$E513)*(1+M$7)^$D513*(M495/L495)^$E513*((M495+M504)/(L495+L504))^($F513*(1+$E513))</f>
        <v/>
      </c>
      <c r="N513" s="41">
        <f>M513*(1/(1+$G513))^(1+$E513)*(1+N$7)^$D513*(N495/M495)^$E513*((N495+N504)/(M495+M504))^($F513*(1+$E513))</f>
        <v/>
      </c>
      <c r="O513" s="41">
        <f>N513*(1/(1+$G513))^(1+$E513)*(1+O$7)^$D513*(O495/N495)^$E513*((O495+O504)/(N495+N504))^($F513*(1+$E513))</f>
        <v/>
      </c>
      <c r="P513" s="41">
        <f>O513*(1/(1+$G513))^(1+$E513)*(1+P$7)^$D513*(P495/O495)^$E513*((P495+P504)/(O495+O504))^($F513*(1+$E513))</f>
        <v/>
      </c>
      <c r="Q513" s="41">
        <f>P513*(1/(1+$G513))^(1+$E513)*(1+Q$7)^$D513*(Q495/P495)^$E513*((Q495+Q504)/(P495+P504))^($F513*(1+$E513))</f>
        <v/>
      </c>
      <c r="R513" s="41">
        <f>Q513*(1/(1+$G513))^(1+$E513)*(1+R$7)^$D513*(R495/Q495)^$E513*((R495+R504)/(Q495+Q504))^($F513*(1+$E513))</f>
        <v/>
      </c>
      <c r="S513" s="41">
        <f>R513*(1/(1+$G513))^(1+$E513)*(1+S$7)^$D513*(S495/R495)^$E513*((S495+S504)/(R495+R504))^($F513*(1+$E513))</f>
        <v/>
      </c>
      <c r="T513" s="41">
        <f>S513*(1/(1+$G513))^(1+$E513)*(1+T$7)^$D513*(T495/S495)^$E513*((T495+T504)/(S495+S504))^($F513*(1+$E513))</f>
        <v/>
      </c>
      <c r="U513" s="41">
        <f>T513*(1/(1+$G513))^(1+$E513)*(1+U$7)^$D513*(U495/T495)^$E513*((U495+U504)/(T495+T504))^($F513*(1+$E513))</f>
        <v/>
      </c>
      <c r="V513" s="41">
        <f>U513*(1/(1+$G513))^(1+$E513)*(1+V$7)^$D513*(V495/U495)^$E513*((V495+V504)/(U495+U504))^($F513*(1+$E513))</f>
        <v/>
      </c>
      <c r="W513" s="41">
        <f>V513*(1/(1+$G513))^(1+$E513)*(1+W$7)^$D513*(W495/V495)^$E513*((W495+W504)/(V495+V504))^($F513*(1+$E513))</f>
        <v/>
      </c>
      <c r="X513" s="41">
        <f>W513*(1/(1+$G513))^(1+$E513)*(1+X$7)^$D513*(X495/W495)^$E513*((X495+X504)/(W495+W504))^($F513*(1+$E513))</f>
        <v/>
      </c>
      <c r="Y513" s="42">
        <f>FUELUSE(X513,Y495,X495,Y504,X504,Y$7,$D513,$E513,$F513,$G513)</f>
        <v/>
      </c>
      <c r="Z513" s="23">
        <f>LOWER(Settings!$C$4)&amp;".mit."&amp;$A513&amp;IF($C513="","","."&amp;$C513&amp;"."&amp;$B513)&amp;IF(INDEX(Variables!$D$5:$D$65,MATCH($A513,Variables!$A$5:$A$65,0))="","","."&amp;INDEX(Variables!$D$5:$D$65,MATCH($A513,Variables!$A$5:$A$65,0)))&amp;"."&amp;Z$5</f>
        <v/>
      </c>
      <c r="AA513" s="40">
        <f>INDEX(Inputs!$V$5:$V$132,MATCH($B513&amp;"|"&amp;$C513,Inputs!$A$5:$A$132,0))</f>
        <v/>
      </c>
      <c r="AB513" s="41">
        <f>AA513*(1/(1+$G513))^(1+$E513)*(1+AB$7)^$D513*(AB495/AA495)^$E513*((AB495+AB504)/(AA495+AA504))^($F513*(1+$E513))</f>
        <v/>
      </c>
      <c r="AC513" s="41">
        <f>AB513*(1/(1+$G513))^(1+$E513)*(1+AC$7)^$D513*(AC495/AB495)^$E513*((AC495+AC504)/(AB495+AB504))^($F513*(1+$E513))</f>
        <v/>
      </c>
      <c r="AD513" s="41">
        <f>AC513*(1/(1+$G513))^(1+$E513)*(1+AD$7)^$D513*(AD495/AC495)^$E513*((AD495+AD504)/(AC495+AC504))^($F513*(1+$E513))</f>
        <v/>
      </c>
      <c r="AE513" s="41">
        <f>AD513*(1/(1+$G513))^(1+$E513)*(1+AE$7)^$D513*(AE495/AD495)^$E513*((AE495+AE504)/(AD495+AD504))^($F513*(1+$E513))</f>
        <v/>
      </c>
      <c r="AF513" s="41">
        <f>AE513*(1/(1+$G513))^(1+$E513)*(1+AF$7)^$D513*(AF495/AE495)^$E513*((AF495+AF504)/(AE495+AE504))^($F513*(1+$E513))</f>
        <v/>
      </c>
      <c r="AG513" s="41">
        <f>AF513*(1/(1+$G513))^(1+$E513)*(1+AG$7)^$D513*(AG495/AF495)^$E513*((AG495+AG504)/(AF495+AF504))^($F513*(1+$E513))</f>
        <v/>
      </c>
      <c r="AH513" s="41">
        <f>AG513*(1/(1+$G513))^(1+$E513)*(1+AH$7)^$D513*(AH495/AG495)^$E513*((AH495+AH504)/(AG495+AG504))^($F513*(1+$E513))</f>
        <v/>
      </c>
      <c r="AI513" s="41">
        <f>AH513*(1/(1+$G513))^(1+$E513)*(1+AI$7)^$D513*(AI495/AH495)^$E513*((AI495+AI504)/(AH495+AH504))^($F513*(1+$E513))</f>
        <v/>
      </c>
      <c r="AJ513" s="41">
        <f>AI513*(1/(1+$G513))^(1+$E513)*(1+AJ$7)^$D513*(AJ495/AI495)^$E513*((AJ495+AJ504)/(AI495+AI504))^($F513*(1+$E513))</f>
        <v/>
      </c>
      <c r="AK513" s="41">
        <f>AJ513*(1/(1+$G513))^(1+$E513)*(1+AK$7)^$D513*(AK495/AJ495)^$E513*((AK495+AK504)/(AJ495+AJ504))^($F513*(1+$E513))</f>
        <v/>
      </c>
      <c r="AL513" s="41">
        <f>AK513*(1/(1+$G513))^(1+$E513)*(1+AL$7)^$D513*(AL495/AK495)^$E513*((AL495+AL504)/(AK495+AK504))^($F513*(1+$E513))</f>
        <v/>
      </c>
      <c r="AM513" s="41">
        <f>AL513*(1/(1+$G513))^(1+$E513)*(1+AM$7)^$D513*(AM495/AL495)^$E513*((AM495+AM504)/(AL495+AL504))^($F513*(1+$E513))</f>
        <v/>
      </c>
      <c r="AN513" s="42">
        <f>FUELUSE(AM513,AN495,AM495,AN504,AM504,AN$7,$D513,$E513,$F513,$G513)</f>
        <v/>
      </c>
    </row>
    <row r="514" hidden="1" outlineLevel="2">
      <c r="A514" s="5" t="inlineStr">
        <is>
          <t>ener</t>
        </is>
      </c>
      <c r="B514" s="5" t="inlineStr">
        <is>
          <t>lpg</t>
        </is>
      </c>
      <c r="C514" s="5" t="inlineStr">
        <is>
          <t>res</t>
        </is>
      </c>
      <c r="D514" s="36">
        <f>INDEX(Inputs!$N$5:$N$132,MATCH($B514&amp;"|"&amp;$C514,Inputs!$A$5:$A$132,0))</f>
        <v/>
      </c>
      <c r="E514" s="36">
        <f>INDEX(Inputs!$O$5:$O$132,MATCH($B514&amp;"|"&amp;$C514,Inputs!$A$5:$A$132,0))</f>
        <v/>
      </c>
      <c r="F514" s="36">
        <f>INDEX(Inputs!$P$5:$P$132,MATCH($B514&amp;"|"&amp;$C514,Inputs!$A$5:$A$132,0))</f>
        <v/>
      </c>
      <c r="G514" s="36">
        <f>INDEX(Inputs!$Q$5:$Q$132,MATCH($B514&amp;"|"&amp;$C514,Inputs!$A$5:$A$132,0))</f>
        <v/>
      </c>
      <c r="H514" s="5">
        <f>INDEX(Variables!$B$5:$B$65,MATCH($A514,Variables!$A$5:$A$65,0))&amp;IF($C514="",""," | "&amp;INDEX(Mapping!$B$5:$B$25,MATCH($C514,Mapping!$A$5:$A$25,0))&amp;" | "&amp;INDEX(Mapping!$B$29:$B$38,MATCH($B514,Mapping!$A$29:$A$38,0)))</f>
        <v/>
      </c>
      <c r="I514" s="5">
        <f>INDEX(Variables!$C$5:$C$65,MATCH($A514,Variables!$A$5:$A$65,0))</f>
        <v/>
      </c>
      <c r="J514" s="5">
        <f>INDEX(Variables!$E$5:$E$65,MATCH($A514,Variables!$A$5:$A$65,0))</f>
        <v/>
      </c>
      <c r="K514" s="23">
        <f>LOWER(Settings!$C$4)&amp;".mit."&amp;$A514&amp;IF($C514="","","."&amp;$C514&amp;"."&amp;$B514)&amp;IF(INDEX(Variables!$D$5:$D$65,MATCH($A514,Variables!$A$5:$A$65,0))="","","."&amp;INDEX(Variables!$D$5:$D$65,MATCH($A514,Variables!$A$5:$A$65,0)))&amp;"."&amp;K$5</f>
        <v/>
      </c>
      <c r="L514" s="40">
        <f>INDEX(Inputs!$V$5:$V$132,MATCH($B514&amp;"|"&amp;$C514,Inputs!$A$5:$A$132,0))</f>
        <v/>
      </c>
      <c r="M514" s="41">
        <f>L514*(1/(1+$G514))^(1+$E514)*(1+M$7)^$D514*(M496/L496)^$E514*((M496+M505)/(L496+L505))^($F514*(1+$E514))</f>
        <v/>
      </c>
      <c r="N514" s="41">
        <f>M514*(1/(1+$G514))^(1+$E514)*(1+N$7)^$D514*(N496/M496)^$E514*((N496+N505)/(M496+M505))^($F514*(1+$E514))</f>
        <v/>
      </c>
      <c r="O514" s="41">
        <f>N514*(1/(1+$G514))^(1+$E514)*(1+O$7)^$D514*(O496/N496)^$E514*((O496+O505)/(N496+N505))^($F514*(1+$E514))</f>
        <v/>
      </c>
      <c r="P514" s="41">
        <f>O514*(1/(1+$G514))^(1+$E514)*(1+P$7)^$D514*(P496/O496)^$E514*((P496+P505)/(O496+O505))^($F514*(1+$E514))</f>
        <v/>
      </c>
      <c r="Q514" s="41">
        <f>P514*(1/(1+$G514))^(1+$E514)*(1+Q$7)^$D514*(Q496/P496)^$E514*((Q496+Q505)/(P496+P505))^($F514*(1+$E514))</f>
        <v/>
      </c>
      <c r="R514" s="41">
        <f>Q514*(1/(1+$G514))^(1+$E514)*(1+R$7)^$D514*(R496/Q496)^$E514*((R496+R505)/(Q496+Q505))^($F514*(1+$E514))</f>
        <v/>
      </c>
      <c r="S514" s="41">
        <f>R514*(1/(1+$G514))^(1+$E514)*(1+S$7)^$D514*(S496/R496)^$E514*((S496+S505)/(R496+R505))^($F514*(1+$E514))</f>
        <v/>
      </c>
      <c r="T514" s="41">
        <f>S514*(1/(1+$G514))^(1+$E514)*(1+T$7)^$D514*(T496/S496)^$E514*((T496+T505)/(S496+S505))^($F514*(1+$E514))</f>
        <v/>
      </c>
      <c r="U514" s="41">
        <f>T514*(1/(1+$G514))^(1+$E514)*(1+U$7)^$D514*(U496/T496)^$E514*((U496+U505)/(T496+T505))^($F514*(1+$E514))</f>
        <v/>
      </c>
      <c r="V514" s="41">
        <f>U514*(1/(1+$G514))^(1+$E514)*(1+V$7)^$D514*(V496/U496)^$E514*((V496+V505)/(U496+U505))^($F514*(1+$E514))</f>
        <v/>
      </c>
      <c r="W514" s="41">
        <f>V514*(1/(1+$G514))^(1+$E514)*(1+W$7)^$D514*(W496/V496)^$E514*((W496+W505)/(V496+V505))^($F514*(1+$E514))</f>
        <v/>
      </c>
      <c r="X514" s="41">
        <f>W514*(1/(1+$G514))^(1+$E514)*(1+X$7)^$D514*(X496/W496)^$E514*((X496+X505)/(W496+W505))^($F514*(1+$E514))</f>
        <v/>
      </c>
      <c r="Y514" s="42">
        <f>FUELUSE(X514,Y496,X496,Y505,X505,Y$7,$D514,$E514,$F514,$G514)</f>
        <v/>
      </c>
      <c r="Z514" s="23">
        <f>LOWER(Settings!$C$4)&amp;".mit."&amp;$A514&amp;IF($C514="","","."&amp;$C514&amp;"."&amp;$B514)&amp;IF(INDEX(Variables!$D$5:$D$65,MATCH($A514,Variables!$A$5:$A$65,0))="","","."&amp;INDEX(Variables!$D$5:$D$65,MATCH($A514,Variables!$A$5:$A$65,0)))&amp;"."&amp;Z$5</f>
        <v/>
      </c>
      <c r="AA514" s="40">
        <f>INDEX(Inputs!$V$5:$V$132,MATCH($B514&amp;"|"&amp;$C514,Inputs!$A$5:$A$132,0))</f>
        <v/>
      </c>
      <c r="AB514" s="41">
        <f>AA514*(1/(1+$G514))^(1+$E514)*(1+AB$7)^$D514*(AB496/AA496)^$E514*((AB496+AB505)/(AA496+AA505))^($F514*(1+$E514))</f>
        <v/>
      </c>
      <c r="AC514" s="41">
        <f>AB514*(1/(1+$G514))^(1+$E514)*(1+AC$7)^$D514*(AC496/AB496)^$E514*((AC496+AC505)/(AB496+AB505))^($F514*(1+$E514))</f>
        <v/>
      </c>
      <c r="AD514" s="41">
        <f>AC514*(1/(1+$G514))^(1+$E514)*(1+AD$7)^$D514*(AD496/AC496)^$E514*((AD496+AD505)/(AC496+AC505))^($F514*(1+$E514))</f>
        <v/>
      </c>
      <c r="AE514" s="41">
        <f>AD514*(1/(1+$G514))^(1+$E514)*(1+AE$7)^$D514*(AE496/AD496)^$E514*((AE496+AE505)/(AD496+AD505))^($F514*(1+$E514))</f>
        <v/>
      </c>
      <c r="AF514" s="41">
        <f>AE514*(1/(1+$G514))^(1+$E514)*(1+AF$7)^$D514*(AF496/AE496)^$E514*((AF496+AF505)/(AE496+AE505))^($F514*(1+$E514))</f>
        <v/>
      </c>
      <c r="AG514" s="41">
        <f>AF514*(1/(1+$G514))^(1+$E514)*(1+AG$7)^$D514*(AG496/AF496)^$E514*((AG496+AG505)/(AF496+AF505))^($F514*(1+$E514))</f>
        <v/>
      </c>
      <c r="AH514" s="41">
        <f>AG514*(1/(1+$G514))^(1+$E514)*(1+AH$7)^$D514*(AH496/AG496)^$E514*((AH496+AH505)/(AG496+AG505))^($F514*(1+$E514))</f>
        <v/>
      </c>
      <c r="AI514" s="41">
        <f>AH514*(1/(1+$G514))^(1+$E514)*(1+AI$7)^$D514*(AI496/AH496)^$E514*((AI496+AI505)/(AH496+AH505))^($F514*(1+$E514))</f>
        <v/>
      </c>
      <c r="AJ514" s="41">
        <f>AI514*(1/(1+$G514))^(1+$E514)*(1+AJ$7)^$D514*(AJ496/AI496)^$E514*((AJ496+AJ505)/(AI496+AI505))^($F514*(1+$E514))</f>
        <v/>
      </c>
      <c r="AK514" s="41">
        <f>AJ514*(1/(1+$G514))^(1+$E514)*(1+AK$7)^$D514*(AK496/AJ496)^$E514*((AK496+AK505)/(AJ496+AJ505))^($F514*(1+$E514))</f>
        <v/>
      </c>
      <c r="AL514" s="41">
        <f>AK514*(1/(1+$G514))^(1+$E514)*(1+AL$7)^$D514*(AL496/AK496)^$E514*((AL496+AL505)/(AK496+AK505))^($F514*(1+$E514))</f>
        <v/>
      </c>
      <c r="AM514" s="41">
        <f>AL514*(1/(1+$G514))^(1+$E514)*(1+AM$7)^$D514*(AM496/AL496)^$E514*((AM496+AM505)/(AL496+AL505))^($F514*(1+$E514))</f>
        <v/>
      </c>
      <c r="AN514" s="42">
        <f>FUELUSE(AM514,AN496,AM496,AN505,AM505,AN$7,$D514,$E514,$F514,$G514)</f>
        <v/>
      </c>
    </row>
    <row r="515" hidden="1" outlineLevel="2">
      <c r="A515" s="5" t="inlineStr">
        <is>
          <t>ener</t>
        </is>
      </c>
      <c r="B515" s="5" t="inlineStr">
        <is>
          <t>ker</t>
        </is>
      </c>
      <c r="C515" s="5" t="inlineStr">
        <is>
          <t>res</t>
        </is>
      </c>
      <c r="D515" s="36">
        <f>INDEX(Inputs!$N$5:$N$132,MATCH($B515&amp;"|"&amp;$C515,Inputs!$A$5:$A$132,0))</f>
        <v/>
      </c>
      <c r="E515" s="36">
        <f>INDEX(Inputs!$O$5:$O$132,MATCH($B515&amp;"|"&amp;$C515,Inputs!$A$5:$A$132,0))</f>
        <v/>
      </c>
      <c r="F515" s="36">
        <f>INDEX(Inputs!$P$5:$P$132,MATCH($B515&amp;"|"&amp;$C515,Inputs!$A$5:$A$132,0))</f>
        <v/>
      </c>
      <c r="G515" s="36">
        <f>INDEX(Inputs!$Q$5:$Q$132,MATCH($B515&amp;"|"&amp;$C515,Inputs!$A$5:$A$132,0))</f>
        <v/>
      </c>
      <c r="H515" s="5">
        <f>INDEX(Variables!$B$5:$B$65,MATCH($A515,Variables!$A$5:$A$65,0))&amp;IF($C515="",""," | "&amp;INDEX(Mapping!$B$5:$B$25,MATCH($C515,Mapping!$A$5:$A$25,0))&amp;" | "&amp;INDEX(Mapping!$B$29:$B$38,MATCH($B515,Mapping!$A$29:$A$38,0)))</f>
        <v/>
      </c>
      <c r="I515" s="5">
        <f>INDEX(Variables!$C$5:$C$65,MATCH($A515,Variables!$A$5:$A$65,0))</f>
        <v/>
      </c>
      <c r="J515" s="5">
        <f>INDEX(Variables!$E$5:$E$65,MATCH($A515,Variables!$A$5:$A$65,0))</f>
        <v/>
      </c>
      <c r="K515" s="23">
        <f>LOWER(Settings!$C$4)&amp;".mit."&amp;$A515&amp;IF($C515="","","."&amp;$C515&amp;"."&amp;$B515)&amp;IF(INDEX(Variables!$D$5:$D$65,MATCH($A515,Variables!$A$5:$A$65,0))="","","."&amp;INDEX(Variables!$D$5:$D$65,MATCH($A515,Variables!$A$5:$A$65,0)))&amp;"."&amp;K$5</f>
        <v/>
      </c>
      <c r="L515" s="40">
        <f>INDEX(Inputs!$V$5:$V$132,MATCH($B515&amp;"|"&amp;$C515,Inputs!$A$5:$A$132,0))</f>
        <v/>
      </c>
      <c r="M515" s="41">
        <f>L515*(1/(1+$G515))^(1+$E515)*(1+M$7)^$D515*(M497/L497)^$E515*((M497+M506)/(L497+L506))^($F515*(1+$E515))</f>
        <v/>
      </c>
      <c r="N515" s="41">
        <f>M515*(1/(1+$G515))^(1+$E515)*(1+N$7)^$D515*(N497/M497)^$E515*((N497+N506)/(M497+M506))^($F515*(1+$E515))</f>
        <v/>
      </c>
      <c r="O515" s="41">
        <f>N515*(1/(1+$G515))^(1+$E515)*(1+O$7)^$D515*(O497/N497)^$E515*((O497+O506)/(N497+N506))^($F515*(1+$E515))</f>
        <v/>
      </c>
      <c r="P515" s="41">
        <f>O515*(1/(1+$G515))^(1+$E515)*(1+P$7)^$D515*(P497/O497)^$E515*((P497+P506)/(O497+O506))^($F515*(1+$E515))</f>
        <v/>
      </c>
      <c r="Q515" s="41">
        <f>P515*(1/(1+$G515))^(1+$E515)*(1+Q$7)^$D515*(Q497/P497)^$E515*((Q497+Q506)/(P497+P506))^($F515*(1+$E515))</f>
        <v/>
      </c>
      <c r="R515" s="41">
        <f>Q515*(1/(1+$G515))^(1+$E515)*(1+R$7)^$D515*(R497/Q497)^$E515*((R497+R506)/(Q497+Q506))^($F515*(1+$E515))</f>
        <v/>
      </c>
      <c r="S515" s="41">
        <f>R515*(1/(1+$G515))^(1+$E515)*(1+S$7)^$D515*(S497/R497)^$E515*((S497+S506)/(R497+R506))^($F515*(1+$E515))</f>
        <v/>
      </c>
      <c r="T515" s="41">
        <f>S515*(1/(1+$G515))^(1+$E515)*(1+T$7)^$D515*(T497/S497)^$E515*((T497+T506)/(S497+S506))^($F515*(1+$E515))</f>
        <v/>
      </c>
      <c r="U515" s="41">
        <f>T515*(1/(1+$G515))^(1+$E515)*(1+U$7)^$D515*(U497/T497)^$E515*((U497+U506)/(T497+T506))^($F515*(1+$E515))</f>
        <v/>
      </c>
      <c r="V515" s="41">
        <f>U515*(1/(1+$G515))^(1+$E515)*(1+V$7)^$D515*(V497/U497)^$E515*((V497+V506)/(U497+U506))^($F515*(1+$E515))</f>
        <v/>
      </c>
      <c r="W515" s="41">
        <f>V515*(1/(1+$G515))^(1+$E515)*(1+W$7)^$D515*(W497/V497)^$E515*((W497+W506)/(V497+V506))^($F515*(1+$E515))</f>
        <v/>
      </c>
      <c r="X515" s="41">
        <f>W515*(1/(1+$G515))^(1+$E515)*(1+X$7)^$D515*(X497/W497)^$E515*((X497+X506)/(W497+W506))^($F515*(1+$E515))</f>
        <v/>
      </c>
      <c r="Y515" s="42">
        <f>FUELUSE(X515,Y497,X497,Y506,X506,Y$7,$D515,$E515,$F515,$G515)</f>
        <v/>
      </c>
      <c r="Z515" s="23">
        <f>LOWER(Settings!$C$4)&amp;".mit."&amp;$A515&amp;IF($C515="","","."&amp;$C515&amp;"."&amp;$B515)&amp;IF(INDEX(Variables!$D$5:$D$65,MATCH($A515,Variables!$A$5:$A$65,0))="","","."&amp;INDEX(Variables!$D$5:$D$65,MATCH($A515,Variables!$A$5:$A$65,0)))&amp;"."&amp;Z$5</f>
        <v/>
      </c>
      <c r="AA515" s="40">
        <f>INDEX(Inputs!$V$5:$V$132,MATCH($B515&amp;"|"&amp;$C515,Inputs!$A$5:$A$132,0))</f>
        <v/>
      </c>
      <c r="AB515" s="41">
        <f>AA515*(1/(1+$G515))^(1+$E515)*(1+AB$7)^$D515*(AB497/AA497)^$E515*((AB497+AB506)/(AA497+AA506))^($F515*(1+$E515))</f>
        <v/>
      </c>
      <c r="AC515" s="41">
        <f>AB515*(1/(1+$G515))^(1+$E515)*(1+AC$7)^$D515*(AC497/AB497)^$E515*((AC497+AC506)/(AB497+AB506))^($F515*(1+$E515))</f>
        <v/>
      </c>
      <c r="AD515" s="41">
        <f>AC515*(1/(1+$G515))^(1+$E515)*(1+AD$7)^$D515*(AD497/AC497)^$E515*((AD497+AD506)/(AC497+AC506))^($F515*(1+$E515))</f>
        <v/>
      </c>
      <c r="AE515" s="41">
        <f>AD515*(1/(1+$G515))^(1+$E515)*(1+AE$7)^$D515*(AE497/AD497)^$E515*((AE497+AE506)/(AD497+AD506))^($F515*(1+$E515))</f>
        <v/>
      </c>
      <c r="AF515" s="41">
        <f>AE515*(1/(1+$G515))^(1+$E515)*(1+AF$7)^$D515*(AF497/AE497)^$E515*((AF497+AF506)/(AE497+AE506))^($F515*(1+$E515))</f>
        <v/>
      </c>
      <c r="AG515" s="41">
        <f>AF515*(1/(1+$G515))^(1+$E515)*(1+AG$7)^$D515*(AG497/AF497)^$E515*((AG497+AG506)/(AF497+AF506))^($F515*(1+$E515))</f>
        <v/>
      </c>
      <c r="AH515" s="41">
        <f>AG515*(1/(1+$G515))^(1+$E515)*(1+AH$7)^$D515*(AH497/AG497)^$E515*((AH497+AH506)/(AG497+AG506))^($F515*(1+$E515))</f>
        <v/>
      </c>
      <c r="AI515" s="41">
        <f>AH515*(1/(1+$G515))^(1+$E515)*(1+AI$7)^$D515*(AI497/AH497)^$E515*((AI497+AI506)/(AH497+AH506))^($F515*(1+$E515))</f>
        <v/>
      </c>
      <c r="AJ515" s="41">
        <f>AI515*(1/(1+$G515))^(1+$E515)*(1+AJ$7)^$D515*(AJ497/AI497)^$E515*((AJ497+AJ506)/(AI497+AI506))^($F515*(1+$E515))</f>
        <v/>
      </c>
      <c r="AK515" s="41">
        <f>AJ515*(1/(1+$G515))^(1+$E515)*(1+AK$7)^$D515*(AK497/AJ497)^$E515*((AK497+AK506)/(AJ497+AJ506))^($F515*(1+$E515))</f>
        <v/>
      </c>
      <c r="AL515" s="41">
        <f>AK515*(1/(1+$G515))^(1+$E515)*(1+AL$7)^$D515*(AL497/AK497)^$E515*((AL497+AL506)/(AK497+AK506))^($F515*(1+$E515))</f>
        <v/>
      </c>
      <c r="AM515" s="41">
        <f>AL515*(1/(1+$G515))^(1+$E515)*(1+AM$7)^$D515*(AM497/AL497)^$E515*((AM497+AM506)/(AL497+AL506))^($F515*(1+$E515))</f>
        <v/>
      </c>
      <c r="AN515" s="42">
        <f>FUELUSE(AM515,AN497,AM497,AN506,AM506,AN$7,$D515,$E515,$F515,$G515)</f>
        <v/>
      </c>
    </row>
    <row r="516" hidden="1" outlineLevel="2">
      <c r="A516" s="5" t="inlineStr">
        <is>
          <t>ener</t>
        </is>
      </c>
      <c r="B516" s="5" t="inlineStr">
        <is>
          <t>oop</t>
        </is>
      </c>
      <c r="C516" s="5" t="inlineStr">
        <is>
          <t>res</t>
        </is>
      </c>
      <c r="D516" s="36">
        <f>INDEX(Inputs!$N$5:$N$132,MATCH($B516&amp;"|"&amp;$C516,Inputs!$A$5:$A$132,0))</f>
        <v/>
      </c>
      <c r="E516" s="36">
        <f>INDEX(Inputs!$O$5:$O$132,MATCH($B516&amp;"|"&amp;$C516,Inputs!$A$5:$A$132,0))</f>
        <v/>
      </c>
      <c r="F516" s="36">
        <f>INDEX(Inputs!$P$5:$P$132,MATCH($B516&amp;"|"&amp;$C516,Inputs!$A$5:$A$132,0))</f>
        <v/>
      </c>
      <c r="G516" s="36">
        <f>INDEX(Inputs!$Q$5:$Q$132,MATCH($B516&amp;"|"&amp;$C516,Inputs!$A$5:$A$132,0))</f>
        <v/>
      </c>
      <c r="H516" s="5">
        <f>INDEX(Variables!$B$5:$B$65,MATCH($A516,Variables!$A$5:$A$65,0))&amp;IF($C516="",""," | "&amp;INDEX(Mapping!$B$5:$B$25,MATCH($C516,Mapping!$A$5:$A$25,0))&amp;" | "&amp;INDEX(Mapping!$B$29:$B$38,MATCH($B516,Mapping!$A$29:$A$38,0)))</f>
        <v/>
      </c>
      <c r="I516" s="5">
        <f>INDEX(Variables!$C$5:$C$65,MATCH($A516,Variables!$A$5:$A$65,0))</f>
        <v/>
      </c>
      <c r="J516" s="5">
        <f>INDEX(Variables!$E$5:$E$65,MATCH($A516,Variables!$A$5:$A$65,0))</f>
        <v/>
      </c>
      <c r="K516" s="23">
        <f>LOWER(Settings!$C$4)&amp;".mit."&amp;$A516&amp;IF($C516="","","."&amp;$C516&amp;"."&amp;$B516)&amp;IF(INDEX(Variables!$D$5:$D$65,MATCH($A516,Variables!$A$5:$A$65,0))="","","."&amp;INDEX(Variables!$D$5:$D$65,MATCH($A516,Variables!$A$5:$A$65,0)))&amp;"."&amp;K$5</f>
        <v/>
      </c>
      <c r="L516" s="40">
        <f>INDEX(Inputs!$V$5:$V$132,MATCH($B516&amp;"|"&amp;$C516,Inputs!$A$5:$A$132,0))</f>
        <v/>
      </c>
      <c r="M516" s="41">
        <f>L516*(1/(1+$G516))^(1+$E516)*(1+M$7)^$D516*(M498/L498)^$E516*((M498+M507)/(L498+L507))^($F516*(1+$E516))</f>
        <v/>
      </c>
      <c r="N516" s="41">
        <f>M516*(1/(1+$G516))^(1+$E516)*(1+N$7)^$D516*(N498/M498)^$E516*((N498+N507)/(M498+M507))^($F516*(1+$E516))</f>
        <v/>
      </c>
      <c r="O516" s="41">
        <f>N516*(1/(1+$G516))^(1+$E516)*(1+O$7)^$D516*(O498/N498)^$E516*((O498+O507)/(N498+N507))^($F516*(1+$E516))</f>
        <v/>
      </c>
      <c r="P516" s="41">
        <f>O516*(1/(1+$G516))^(1+$E516)*(1+P$7)^$D516*(P498/O498)^$E516*((P498+P507)/(O498+O507))^($F516*(1+$E516))</f>
        <v/>
      </c>
      <c r="Q516" s="41">
        <f>P516*(1/(1+$G516))^(1+$E516)*(1+Q$7)^$D516*(Q498/P498)^$E516*((Q498+Q507)/(P498+P507))^($F516*(1+$E516))</f>
        <v/>
      </c>
      <c r="R516" s="41">
        <f>Q516*(1/(1+$G516))^(1+$E516)*(1+R$7)^$D516*(R498/Q498)^$E516*((R498+R507)/(Q498+Q507))^($F516*(1+$E516))</f>
        <v/>
      </c>
      <c r="S516" s="41">
        <f>R516*(1/(1+$G516))^(1+$E516)*(1+S$7)^$D516*(S498/R498)^$E516*((S498+S507)/(R498+R507))^($F516*(1+$E516))</f>
        <v/>
      </c>
      <c r="T516" s="41">
        <f>S516*(1/(1+$G516))^(1+$E516)*(1+T$7)^$D516*(T498/S498)^$E516*((T498+T507)/(S498+S507))^($F516*(1+$E516))</f>
        <v/>
      </c>
      <c r="U516" s="41">
        <f>T516*(1/(1+$G516))^(1+$E516)*(1+U$7)^$D516*(U498/T498)^$E516*((U498+U507)/(T498+T507))^($F516*(1+$E516))</f>
        <v/>
      </c>
      <c r="V516" s="41">
        <f>U516*(1/(1+$G516))^(1+$E516)*(1+V$7)^$D516*(V498/U498)^$E516*((V498+V507)/(U498+U507))^($F516*(1+$E516))</f>
        <v/>
      </c>
      <c r="W516" s="41">
        <f>V516*(1/(1+$G516))^(1+$E516)*(1+W$7)^$D516*(W498/V498)^$E516*((W498+W507)/(V498+V507))^($F516*(1+$E516))</f>
        <v/>
      </c>
      <c r="X516" s="41">
        <f>W516*(1/(1+$G516))^(1+$E516)*(1+X$7)^$D516*(X498/W498)^$E516*((X498+X507)/(W498+W507))^($F516*(1+$E516))</f>
        <v/>
      </c>
      <c r="Y516" s="42">
        <f>FUELUSE(X516,Y498,X498,Y507,X507,Y$7,$D516,$E516,$F516,$G516)</f>
        <v/>
      </c>
      <c r="Z516" s="23">
        <f>LOWER(Settings!$C$4)&amp;".mit."&amp;$A516&amp;IF($C516="","","."&amp;$C516&amp;"."&amp;$B516)&amp;IF(INDEX(Variables!$D$5:$D$65,MATCH($A516,Variables!$A$5:$A$65,0))="","","."&amp;INDEX(Variables!$D$5:$D$65,MATCH($A516,Variables!$A$5:$A$65,0)))&amp;"."&amp;Z$5</f>
        <v/>
      </c>
      <c r="AA516" s="40">
        <f>INDEX(Inputs!$V$5:$V$132,MATCH($B516&amp;"|"&amp;$C516,Inputs!$A$5:$A$132,0))</f>
        <v/>
      </c>
      <c r="AB516" s="41">
        <f>AA516*(1/(1+$G516))^(1+$E516)*(1+AB$7)^$D516*(AB498/AA498)^$E516*((AB498+AB507)/(AA498+AA507))^($F516*(1+$E516))</f>
        <v/>
      </c>
      <c r="AC516" s="41">
        <f>AB516*(1/(1+$G516))^(1+$E516)*(1+AC$7)^$D516*(AC498/AB498)^$E516*((AC498+AC507)/(AB498+AB507))^($F516*(1+$E516))</f>
        <v/>
      </c>
      <c r="AD516" s="41">
        <f>AC516*(1/(1+$G516))^(1+$E516)*(1+AD$7)^$D516*(AD498/AC498)^$E516*((AD498+AD507)/(AC498+AC507))^($F516*(1+$E516))</f>
        <v/>
      </c>
      <c r="AE516" s="41">
        <f>AD516*(1/(1+$G516))^(1+$E516)*(1+AE$7)^$D516*(AE498/AD498)^$E516*((AE498+AE507)/(AD498+AD507))^($F516*(1+$E516))</f>
        <v/>
      </c>
      <c r="AF516" s="41">
        <f>AE516*(1/(1+$G516))^(1+$E516)*(1+AF$7)^$D516*(AF498/AE498)^$E516*((AF498+AF507)/(AE498+AE507))^($F516*(1+$E516))</f>
        <v/>
      </c>
      <c r="AG516" s="41">
        <f>AF516*(1/(1+$G516))^(1+$E516)*(1+AG$7)^$D516*(AG498/AF498)^$E516*((AG498+AG507)/(AF498+AF507))^($F516*(1+$E516))</f>
        <v/>
      </c>
      <c r="AH516" s="41">
        <f>AG516*(1/(1+$G516))^(1+$E516)*(1+AH$7)^$D516*(AH498/AG498)^$E516*((AH498+AH507)/(AG498+AG507))^($F516*(1+$E516))</f>
        <v/>
      </c>
      <c r="AI516" s="41">
        <f>AH516*(1/(1+$G516))^(1+$E516)*(1+AI$7)^$D516*(AI498/AH498)^$E516*((AI498+AI507)/(AH498+AH507))^($F516*(1+$E516))</f>
        <v/>
      </c>
      <c r="AJ516" s="41">
        <f>AI516*(1/(1+$G516))^(1+$E516)*(1+AJ$7)^$D516*(AJ498/AI498)^$E516*((AJ498+AJ507)/(AI498+AI507))^($F516*(1+$E516))</f>
        <v/>
      </c>
      <c r="AK516" s="41">
        <f>AJ516*(1/(1+$G516))^(1+$E516)*(1+AK$7)^$D516*(AK498/AJ498)^$E516*((AK498+AK507)/(AJ498+AJ507))^($F516*(1+$E516))</f>
        <v/>
      </c>
      <c r="AL516" s="41">
        <f>AK516*(1/(1+$G516))^(1+$E516)*(1+AL$7)^$D516*(AL498/AK498)^$E516*((AL498+AL507)/(AK498+AK507))^($F516*(1+$E516))</f>
        <v/>
      </c>
      <c r="AM516" s="41">
        <f>AL516*(1/(1+$G516))^(1+$E516)*(1+AM$7)^$D516*(AM498/AL498)^$E516*((AM498+AM507)/(AL498+AL507))^($F516*(1+$E516))</f>
        <v/>
      </c>
      <c r="AN516" s="42">
        <f>FUELUSE(AM516,AN498,AM498,AN507,AM507,AN$7,$D516,$E516,$F516,$G516)</f>
        <v/>
      </c>
    </row>
    <row r="517" hidden="1" outlineLevel="2">
      <c r="A517" s="5" t="inlineStr">
        <is>
          <t>ener</t>
        </is>
      </c>
      <c r="B517" s="5" t="inlineStr">
        <is>
          <t>bio</t>
        </is>
      </c>
      <c r="C517" s="5" t="inlineStr">
        <is>
          <t>res</t>
        </is>
      </c>
      <c r="D517" s="36">
        <f>INDEX(Inputs!$N$5:$N$132,MATCH($B517&amp;"|"&amp;$C517,Inputs!$A$5:$A$132,0))</f>
        <v/>
      </c>
      <c r="E517" s="36">
        <f>INDEX(Inputs!$O$5:$O$132,MATCH($B517&amp;"|"&amp;$C517,Inputs!$A$5:$A$132,0))</f>
        <v/>
      </c>
      <c r="F517" s="36">
        <f>INDEX(Inputs!$P$5:$P$132,MATCH($B517&amp;"|"&amp;$C517,Inputs!$A$5:$A$132,0))</f>
        <v/>
      </c>
      <c r="G517" s="36">
        <f>INDEX(Inputs!$Q$5:$Q$132,MATCH($B517&amp;"|"&amp;$C517,Inputs!$A$5:$A$132,0))</f>
        <v/>
      </c>
      <c r="H517" s="5">
        <f>INDEX(Variables!$B$5:$B$65,MATCH($A517,Variables!$A$5:$A$65,0))&amp;IF($C517="",""," | "&amp;INDEX(Mapping!$B$5:$B$25,MATCH($C517,Mapping!$A$5:$A$25,0))&amp;" | "&amp;INDEX(Mapping!$B$29:$B$38,MATCH($B517,Mapping!$A$29:$A$38,0)))</f>
        <v/>
      </c>
      <c r="I517" s="5">
        <f>INDEX(Variables!$C$5:$C$65,MATCH($A517,Variables!$A$5:$A$65,0))</f>
        <v/>
      </c>
      <c r="J517" s="5">
        <f>INDEX(Variables!$E$5:$E$65,MATCH($A517,Variables!$A$5:$A$65,0))</f>
        <v/>
      </c>
      <c r="K517" s="23">
        <f>LOWER(Settings!$C$4)&amp;".mit."&amp;$A517&amp;IF($C517="","","."&amp;$C517&amp;"."&amp;$B517)&amp;IF(INDEX(Variables!$D$5:$D$65,MATCH($A517,Variables!$A$5:$A$65,0))="","","."&amp;INDEX(Variables!$D$5:$D$65,MATCH($A517,Variables!$A$5:$A$65,0)))&amp;"."&amp;K$5</f>
        <v/>
      </c>
      <c r="L517" s="40">
        <f>INDEX(Inputs!$V$5:$V$132,MATCH($B517&amp;"|"&amp;$C517,Inputs!$A$5:$A$132,0))</f>
        <v/>
      </c>
      <c r="M517" s="41">
        <f>L517*(1/(1+$G517))^(1+$E517)*(1+M$7)^$D517*(M499/L499)^$E517*((M499+M508)/(L499+L508))^($F517*(1+$E517))</f>
        <v/>
      </c>
      <c r="N517" s="41">
        <f>M517*(1/(1+$G517))^(1+$E517)*(1+N$7)^$D517*(N499/M499)^$E517*((N499+N508)/(M499+M508))^($F517*(1+$E517))</f>
        <v/>
      </c>
      <c r="O517" s="41">
        <f>N517*(1/(1+$G517))^(1+$E517)*(1+O$7)^$D517*(O499/N499)^$E517*((O499+O508)/(N499+N508))^($F517*(1+$E517))</f>
        <v/>
      </c>
      <c r="P517" s="41">
        <f>O517*(1/(1+$G517))^(1+$E517)*(1+P$7)^$D517*(P499/O499)^$E517*((P499+P508)/(O499+O508))^($F517*(1+$E517))</f>
        <v/>
      </c>
      <c r="Q517" s="41">
        <f>P517*(1/(1+$G517))^(1+$E517)*(1+Q$7)^$D517*(Q499/P499)^$E517*((Q499+Q508)/(P499+P508))^($F517*(1+$E517))</f>
        <v/>
      </c>
      <c r="R517" s="41">
        <f>Q517*(1/(1+$G517))^(1+$E517)*(1+R$7)^$D517*(R499/Q499)^$E517*((R499+R508)/(Q499+Q508))^($F517*(1+$E517))</f>
        <v/>
      </c>
      <c r="S517" s="41">
        <f>R517*(1/(1+$G517))^(1+$E517)*(1+S$7)^$D517*(S499/R499)^$E517*((S499+S508)/(R499+R508))^($F517*(1+$E517))</f>
        <v/>
      </c>
      <c r="T517" s="41">
        <f>S517*(1/(1+$G517))^(1+$E517)*(1+T$7)^$D517*(T499/S499)^$E517*((T499+T508)/(S499+S508))^($F517*(1+$E517))</f>
        <v/>
      </c>
      <c r="U517" s="41">
        <f>T517*(1/(1+$G517))^(1+$E517)*(1+U$7)^$D517*(U499/T499)^$E517*((U499+U508)/(T499+T508))^($F517*(1+$E517))</f>
        <v/>
      </c>
      <c r="V517" s="41">
        <f>U517*(1/(1+$G517))^(1+$E517)*(1+V$7)^$D517*(V499/U499)^$E517*((V499+V508)/(U499+U508))^($F517*(1+$E517))</f>
        <v/>
      </c>
      <c r="W517" s="41">
        <f>V517*(1/(1+$G517))^(1+$E517)*(1+W$7)^$D517*(W499/V499)^$E517*((W499+W508)/(V499+V508))^($F517*(1+$E517))</f>
        <v/>
      </c>
      <c r="X517" s="41">
        <f>W517*(1/(1+$G517))^(1+$E517)*(1+X$7)^$D517*(X499/W499)^$E517*((X499+X508)/(W499+W508))^($F517*(1+$E517))</f>
        <v/>
      </c>
      <c r="Y517" s="42">
        <f>FUELUSE(X517,Y499,X499,Y508,X508,Y$7,$D517,$E517,$F517,$G517)</f>
        <v/>
      </c>
      <c r="Z517" s="23">
        <f>LOWER(Settings!$C$4)&amp;".mit."&amp;$A517&amp;IF($C517="","","."&amp;$C517&amp;"."&amp;$B517)&amp;IF(INDEX(Variables!$D$5:$D$65,MATCH($A517,Variables!$A$5:$A$65,0))="","","."&amp;INDEX(Variables!$D$5:$D$65,MATCH($A517,Variables!$A$5:$A$65,0)))&amp;"."&amp;Z$5</f>
        <v/>
      </c>
      <c r="AA517" s="40">
        <f>INDEX(Inputs!$V$5:$V$132,MATCH($B517&amp;"|"&amp;$C517,Inputs!$A$5:$A$132,0))</f>
        <v/>
      </c>
      <c r="AB517" s="41">
        <f>AA517*(1/(1+$G517))^(1+$E517)*(1+AB$7)^$D517*(AB499/AA499)^$E517*((AB499+AB508)/(AA499+AA508))^($F517*(1+$E517))</f>
        <v/>
      </c>
      <c r="AC517" s="41">
        <f>AB517*(1/(1+$G517))^(1+$E517)*(1+AC$7)^$D517*(AC499/AB499)^$E517*((AC499+AC508)/(AB499+AB508))^($F517*(1+$E517))</f>
        <v/>
      </c>
      <c r="AD517" s="41">
        <f>AC517*(1/(1+$G517))^(1+$E517)*(1+AD$7)^$D517*(AD499/AC499)^$E517*((AD499+AD508)/(AC499+AC508))^($F517*(1+$E517))</f>
        <v/>
      </c>
      <c r="AE517" s="41">
        <f>AD517*(1/(1+$G517))^(1+$E517)*(1+AE$7)^$D517*(AE499/AD499)^$E517*((AE499+AE508)/(AD499+AD508))^($F517*(1+$E517))</f>
        <v/>
      </c>
      <c r="AF517" s="41">
        <f>AE517*(1/(1+$G517))^(1+$E517)*(1+AF$7)^$D517*(AF499/AE499)^$E517*((AF499+AF508)/(AE499+AE508))^($F517*(1+$E517))</f>
        <v/>
      </c>
      <c r="AG517" s="41">
        <f>AF517*(1/(1+$G517))^(1+$E517)*(1+AG$7)^$D517*(AG499/AF499)^$E517*((AG499+AG508)/(AF499+AF508))^($F517*(1+$E517))</f>
        <v/>
      </c>
      <c r="AH517" s="41">
        <f>AG517*(1/(1+$G517))^(1+$E517)*(1+AH$7)^$D517*(AH499/AG499)^$E517*((AH499+AH508)/(AG499+AG508))^($F517*(1+$E517))</f>
        <v/>
      </c>
      <c r="AI517" s="41">
        <f>AH517*(1/(1+$G517))^(1+$E517)*(1+AI$7)^$D517*(AI499/AH499)^$E517*((AI499+AI508)/(AH499+AH508))^($F517*(1+$E517))</f>
        <v/>
      </c>
      <c r="AJ517" s="41">
        <f>AI517*(1/(1+$G517))^(1+$E517)*(1+AJ$7)^$D517*(AJ499/AI499)^$E517*((AJ499+AJ508)/(AI499+AI508))^($F517*(1+$E517))</f>
        <v/>
      </c>
      <c r="AK517" s="41">
        <f>AJ517*(1/(1+$G517))^(1+$E517)*(1+AK$7)^$D517*(AK499/AJ499)^$E517*((AK499+AK508)/(AJ499+AJ508))^($F517*(1+$E517))</f>
        <v/>
      </c>
      <c r="AL517" s="41">
        <f>AK517*(1/(1+$G517))^(1+$E517)*(1+AL$7)^$D517*(AL499/AK499)^$E517*((AL499+AL508)/(AK499+AK508))^($F517*(1+$E517))</f>
        <v/>
      </c>
      <c r="AM517" s="41">
        <f>AL517*(1/(1+$G517))^(1+$E517)*(1+AM$7)^$D517*(AM499/AL499)^$E517*((AM499+AM508)/(AL499+AL508))^($F517*(1+$E517))</f>
        <v/>
      </c>
      <c r="AN517" s="42">
        <f>FUELUSE(AM517,AN499,AM499,AN508,AM508,AN$7,$D517,$E517,$F517,$G517)</f>
        <v/>
      </c>
    </row>
    <row r="518" hidden="1" outlineLevel="2"/>
    <row r="519" outlineLevel="1" collapsed="1">
      <c r="A519" s="7" t="inlineStr">
        <is>
          <t>ener</t>
        </is>
      </c>
      <c r="B519" s="7" t="inlineStr">
        <is>
          <t>all</t>
        </is>
      </c>
      <c r="C519" s="7" t="inlineStr">
        <is>
          <t>foo</t>
        </is>
      </c>
      <c r="H519" s="7">
        <f>INDEX(Variables!$B$5:$B$65,MATCH($A519,Variables!$A$5:$A$65,0))&amp;IF($C519="",""," | "&amp;INDEX(Mapping!$B$5:$B$25,MATCH($C519,Mapping!$A$5:$A$25,0))&amp;" | "&amp;INDEX(Mapping!$B$29:$B$38,MATCH($B519,Mapping!$A$29:$A$38,0)))</f>
        <v/>
      </c>
      <c r="I519" s="7">
        <f>INDEX(Variables!$C$5:$C$65,MATCH($A519,Variables!$A$5:$A$65,0))</f>
        <v/>
      </c>
      <c r="J519" s="7">
        <f>INDEX(Variables!$E$5:$E$65,MATCH($A519,Variables!$A$5:$A$65,0))</f>
        <v/>
      </c>
      <c r="K519" s="26">
        <f>LOWER(Settings!$C$4)&amp;".mit."&amp;$A519&amp;IF($C519="","","."&amp;$C519&amp;"."&amp;$B519)&amp;IF(INDEX(Variables!$D$5:$D$65,MATCH($A519,Variables!$A$5:$A$65,0))="","","."&amp;INDEX(Variables!$D$5:$D$65,MATCH($A519,Variables!$A$5:$A$65,0)))&amp;"."&amp;K$5</f>
        <v/>
      </c>
      <c r="L519" s="34">
        <f>SUM(L583:L590)</f>
        <v/>
      </c>
      <c r="M519" s="35">
        <f>SUM(M583:M590)</f>
        <v/>
      </c>
      <c r="N519" s="35">
        <f>SUM(N583:N590)</f>
        <v/>
      </c>
      <c r="O519" s="35">
        <f>SUM(O583:O590)</f>
        <v/>
      </c>
      <c r="P519" s="35">
        <f>SUM(P583:P590)</f>
        <v/>
      </c>
      <c r="Q519" s="35">
        <f>SUM(Q583:Q590)</f>
        <v/>
      </c>
      <c r="R519" s="35">
        <f>SUM(R583:R590)</f>
        <v/>
      </c>
      <c r="S519" s="35">
        <f>SUM(S583:S590)</f>
        <v/>
      </c>
      <c r="T519" s="35">
        <f>SUM(T583:T590)</f>
        <v/>
      </c>
      <c r="U519" s="35">
        <f>SUM(U583:U590)</f>
        <v/>
      </c>
      <c r="V519" s="35">
        <f>SUM(V583:V590)</f>
        <v/>
      </c>
      <c r="W519" s="35">
        <f>SUM(W583:W590)</f>
        <v/>
      </c>
      <c r="X519" s="35">
        <f>SUM(X583:X590)</f>
        <v/>
      </c>
      <c r="Y519" s="35">
        <f>SUM(Y583:Y590)</f>
        <v/>
      </c>
      <c r="Z519" s="26">
        <f>LOWER(Settings!$C$4)&amp;".mit."&amp;$A519&amp;IF($C519="","","."&amp;$C519&amp;"."&amp;$B519)&amp;IF(INDEX(Variables!$D$5:$D$65,MATCH($A519,Variables!$A$5:$A$65,0))="","","."&amp;INDEX(Variables!$D$5:$D$65,MATCH($A519,Variables!$A$5:$A$65,0)))&amp;"."&amp;Z$5</f>
        <v/>
      </c>
      <c r="AA519" s="34">
        <f>SUM(AA583:AA590)</f>
        <v/>
      </c>
      <c r="AB519" s="35">
        <f>SUM(AB583:AB590)</f>
        <v/>
      </c>
      <c r="AC519" s="35">
        <f>SUM(AC583:AC590)</f>
        <v/>
      </c>
      <c r="AD519" s="35">
        <f>SUM(AD583:AD590)</f>
        <v/>
      </c>
      <c r="AE519" s="35">
        <f>SUM(AE583:AE590)</f>
        <v/>
      </c>
      <c r="AF519" s="35">
        <f>SUM(AF583:AF590)</f>
        <v/>
      </c>
      <c r="AG519" s="35">
        <f>SUM(AG583:AG590)</f>
        <v/>
      </c>
      <c r="AH519" s="35">
        <f>SUM(AH583:AH590)</f>
        <v/>
      </c>
      <c r="AI519" s="35">
        <f>SUM(AI583:AI590)</f>
        <v/>
      </c>
      <c r="AJ519" s="35">
        <f>SUM(AJ583:AJ590)</f>
        <v/>
      </c>
      <c r="AK519" s="35">
        <f>SUM(AK583:AK590)</f>
        <v/>
      </c>
      <c r="AL519" s="35">
        <f>SUM(AL583:AL590)</f>
        <v/>
      </c>
      <c r="AM519" s="35">
        <f>SUM(AM583:AM590)</f>
        <v/>
      </c>
      <c r="AN519" s="35">
        <f>SUM(AN583:AN590)</f>
        <v/>
      </c>
    </row>
    <row r="520" hidden="1" outlineLevel="2">
      <c r="A520" s="5" t="inlineStr">
        <is>
          <t>sp</t>
        </is>
      </c>
      <c r="B520" s="5" t="inlineStr">
        <is>
          <t>coa</t>
        </is>
      </c>
      <c r="C520" s="5" t="inlineStr">
        <is>
          <t>foo</t>
        </is>
      </c>
      <c r="D520" s="36">
        <f>INDEX(Inputs!$R$5:$R$132,MATCH($B520&amp;"|"&amp;$C520,Inputs!$A$5:$A$132,0))</f>
        <v/>
      </c>
      <c r="E520" s="37" t="n"/>
      <c r="F520" s="37" t="n"/>
      <c r="G520" s="37" t="n"/>
      <c r="H520" s="5">
        <f>INDEX(Variables!$B$5:$B$65,MATCH($A520,Variables!$A$5:$A$65,0))&amp;IF($C520="",""," | "&amp;INDEX(Mapping!$B$5:$B$25,MATCH($C520,Mapping!$A$5:$A$25,0))&amp;" | "&amp;INDEX(Mapping!$B$29:$B$38,MATCH($B520,Mapping!$A$29:$A$38,0)))</f>
        <v/>
      </c>
      <c r="I520" s="5">
        <f>INDEX(Variables!$C$5:$C$65,MATCH($A520,Variables!$A$5:$A$65,0))</f>
        <v/>
      </c>
      <c r="J520" s="5">
        <f>INDEX(Variables!$E$5:$E$65,MATCH($A520,Variables!$A$5:$A$65,0))</f>
        <v/>
      </c>
      <c r="K520" s="23">
        <f>LOWER(Settings!$C$4)&amp;".mit."&amp;$A520&amp;IF($C520="","","."&amp;$C520&amp;"."&amp;$B520)&amp;IF(INDEX(Variables!$D$5:$D$65,MATCH($A520,Variables!$A$5:$A$65,0))="","","."&amp;INDEX(Variables!$D$5:$D$65,MATCH($A520,Variables!$A$5:$A$65,0)))&amp;"."&amp;K$5</f>
        <v/>
      </c>
      <c r="L520" s="38">
        <f>INDEX(Inputs!$S$5:$S$132,MATCH($B520&amp;"|"&amp;$C520,Inputs!$A$5:$A$132,0))</f>
        <v/>
      </c>
      <c r="M520" s="36">
        <f>L520*(1+$D520)</f>
        <v/>
      </c>
      <c r="N520" s="36">
        <f>M520*(1+$D520)</f>
        <v/>
      </c>
      <c r="O520" s="36">
        <f>N520*(1+$D520)</f>
        <v/>
      </c>
      <c r="P520" s="36">
        <f>O520*(1+$D520)</f>
        <v/>
      </c>
      <c r="Q520" s="36">
        <f>P520*(1+$D520)</f>
        <v/>
      </c>
      <c r="R520" s="36">
        <f>Q520*(1+$D520)</f>
        <v/>
      </c>
      <c r="S520" s="36">
        <f>R520*(1+$D520)</f>
        <v/>
      </c>
      <c r="T520" s="36">
        <f>S520*(1+$D520)</f>
        <v/>
      </c>
      <c r="U520" s="36">
        <f>T520*(1+$D520)</f>
        <v/>
      </c>
      <c r="V520" s="36">
        <f>U520*(1+$D520)</f>
        <v/>
      </c>
      <c r="W520" s="36">
        <f>V520*(1+$D520)</f>
        <v/>
      </c>
      <c r="X520" s="36">
        <f>W520*(1+$D520)</f>
        <v/>
      </c>
      <c r="Y520" s="39">
        <f>PRETAX(X520,$D520)</f>
        <v/>
      </c>
      <c r="Z520" s="23">
        <f>LOWER(Settings!$C$4)&amp;".mit."&amp;$A520&amp;IF($C520="","","."&amp;$C520&amp;"."&amp;$B520)&amp;IF(INDEX(Variables!$D$5:$D$65,MATCH($A520,Variables!$A$5:$A$65,0))="","","."&amp;INDEX(Variables!$D$5:$D$65,MATCH($A520,Variables!$A$5:$A$65,0)))&amp;"."&amp;Z$5</f>
        <v/>
      </c>
      <c r="AA520" s="38">
        <f>INDEX(Inputs!$S$5:$S$132,MATCH($B520&amp;"|"&amp;$C520,Inputs!$A$5:$A$132,0))</f>
        <v/>
      </c>
      <c r="AB520" s="36">
        <f>AA520*(1+$D520)</f>
        <v/>
      </c>
      <c r="AC520" s="36">
        <f>AB520*(1+$D520)</f>
        <v/>
      </c>
      <c r="AD520" s="36">
        <f>AC520*(1+$D520)</f>
        <v/>
      </c>
      <c r="AE520" s="36">
        <f>AD520*(1+$D520)</f>
        <v/>
      </c>
      <c r="AF520" s="36">
        <f>AE520*(1+$D520)</f>
        <v/>
      </c>
      <c r="AG520" s="36">
        <f>AF520*(1+$D520)</f>
        <v/>
      </c>
      <c r="AH520" s="36">
        <f>AG520*(1+$D520)</f>
        <v/>
      </c>
      <c r="AI520" s="36">
        <f>AH520*(1+$D520)</f>
        <v/>
      </c>
      <c r="AJ520" s="36">
        <f>AI520*(1+$D520)</f>
        <v/>
      </c>
      <c r="AK520" s="36">
        <f>AJ520*(1+$D520)</f>
        <v/>
      </c>
      <c r="AL520" s="36">
        <f>AK520*(1+$D520)</f>
        <v/>
      </c>
      <c r="AM520" s="36">
        <f>AL520*(1+$D520)</f>
        <v/>
      </c>
      <c r="AN520" s="39">
        <f>PRETAX(AM520,$D520)</f>
        <v/>
      </c>
    </row>
    <row r="521" hidden="1" outlineLevel="2">
      <c r="A521" s="5" t="inlineStr">
        <is>
          <t>sp</t>
        </is>
      </c>
      <c r="B521" s="5" t="inlineStr">
        <is>
          <t>nga</t>
        </is>
      </c>
      <c r="C521" s="5" t="inlineStr">
        <is>
          <t>foo</t>
        </is>
      </c>
      <c r="D521" s="36">
        <f>INDEX(Inputs!$R$5:$R$132,MATCH($B521&amp;"|"&amp;$C521,Inputs!$A$5:$A$132,0))</f>
        <v/>
      </c>
      <c r="E521" s="37" t="n"/>
      <c r="F521" s="37" t="n"/>
      <c r="G521" s="37" t="n"/>
      <c r="H521" s="5">
        <f>INDEX(Variables!$B$5:$B$65,MATCH($A521,Variables!$A$5:$A$65,0))&amp;IF($C521="",""," | "&amp;INDEX(Mapping!$B$5:$B$25,MATCH($C521,Mapping!$A$5:$A$25,0))&amp;" | "&amp;INDEX(Mapping!$B$29:$B$38,MATCH($B521,Mapping!$A$29:$A$38,0)))</f>
        <v/>
      </c>
      <c r="I521" s="5">
        <f>INDEX(Variables!$C$5:$C$65,MATCH($A521,Variables!$A$5:$A$65,0))</f>
        <v/>
      </c>
      <c r="J521" s="5">
        <f>INDEX(Variables!$E$5:$E$65,MATCH($A521,Variables!$A$5:$A$65,0))</f>
        <v/>
      </c>
      <c r="K521" s="23">
        <f>LOWER(Settings!$C$4)&amp;".mit."&amp;$A521&amp;IF($C521="","","."&amp;$C521&amp;"."&amp;$B521)&amp;IF(INDEX(Variables!$D$5:$D$65,MATCH($A521,Variables!$A$5:$A$65,0))="","","."&amp;INDEX(Variables!$D$5:$D$65,MATCH($A521,Variables!$A$5:$A$65,0)))&amp;"."&amp;K$5</f>
        <v/>
      </c>
      <c r="L521" s="38">
        <f>INDEX(Inputs!$S$5:$S$132,MATCH($B521&amp;"|"&amp;$C521,Inputs!$A$5:$A$132,0))</f>
        <v/>
      </c>
      <c r="M521" s="36">
        <f>L521*(1+$D521)</f>
        <v/>
      </c>
      <c r="N521" s="36">
        <f>M521*(1+$D521)</f>
        <v/>
      </c>
      <c r="O521" s="36">
        <f>N521*(1+$D521)</f>
        <v/>
      </c>
      <c r="P521" s="36">
        <f>O521*(1+$D521)</f>
        <v/>
      </c>
      <c r="Q521" s="36">
        <f>P521*(1+$D521)</f>
        <v/>
      </c>
      <c r="R521" s="36">
        <f>Q521*(1+$D521)</f>
        <v/>
      </c>
      <c r="S521" s="36">
        <f>R521*(1+$D521)</f>
        <v/>
      </c>
      <c r="T521" s="36">
        <f>S521*(1+$D521)</f>
        <v/>
      </c>
      <c r="U521" s="36">
        <f>T521*(1+$D521)</f>
        <v/>
      </c>
      <c r="V521" s="36">
        <f>U521*(1+$D521)</f>
        <v/>
      </c>
      <c r="W521" s="36">
        <f>V521*(1+$D521)</f>
        <v/>
      </c>
      <c r="X521" s="36">
        <f>W521*(1+$D521)</f>
        <v/>
      </c>
      <c r="Y521" s="39">
        <f>PRETAX(X521,$D521)</f>
        <v/>
      </c>
      <c r="Z521" s="23">
        <f>LOWER(Settings!$C$4)&amp;".mit."&amp;$A521&amp;IF($C521="","","."&amp;$C521&amp;"."&amp;$B521)&amp;IF(INDEX(Variables!$D$5:$D$65,MATCH($A521,Variables!$A$5:$A$65,0))="","","."&amp;INDEX(Variables!$D$5:$D$65,MATCH($A521,Variables!$A$5:$A$65,0)))&amp;"."&amp;Z$5</f>
        <v/>
      </c>
      <c r="AA521" s="38">
        <f>INDEX(Inputs!$S$5:$S$132,MATCH($B521&amp;"|"&amp;$C521,Inputs!$A$5:$A$132,0))</f>
        <v/>
      </c>
      <c r="AB521" s="36">
        <f>AA521*(1+$D521)</f>
        <v/>
      </c>
      <c r="AC521" s="36">
        <f>AB521*(1+$D521)</f>
        <v/>
      </c>
      <c r="AD521" s="36">
        <f>AC521*(1+$D521)</f>
        <v/>
      </c>
      <c r="AE521" s="36">
        <f>AD521*(1+$D521)</f>
        <v/>
      </c>
      <c r="AF521" s="36">
        <f>AE521*(1+$D521)</f>
        <v/>
      </c>
      <c r="AG521" s="36">
        <f>AF521*(1+$D521)</f>
        <v/>
      </c>
      <c r="AH521" s="36">
        <f>AG521*(1+$D521)</f>
        <v/>
      </c>
      <c r="AI521" s="36">
        <f>AH521*(1+$D521)</f>
        <v/>
      </c>
      <c r="AJ521" s="36">
        <f>AI521*(1+$D521)</f>
        <v/>
      </c>
      <c r="AK521" s="36">
        <f>AJ521*(1+$D521)</f>
        <v/>
      </c>
      <c r="AL521" s="36">
        <f>AK521*(1+$D521)</f>
        <v/>
      </c>
      <c r="AM521" s="36">
        <f>AL521*(1+$D521)</f>
        <v/>
      </c>
      <c r="AN521" s="39">
        <f>PRETAX(AM521,$D521)</f>
        <v/>
      </c>
    </row>
    <row r="522" hidden="1" outlineLevel="2">
      <c r="A522" s="5" t="inlineStr">
        <is>
          <t>sp</t>
        </is>
      </c>
      <c r="B522" s="5" t="inlineStr">
        <is>
          <t>gso</t>
        </is>
      </c>
      <c r="C522" s="5" t="inlineStr">
        <is>
          <t>foo</t>
        </is>
      </c>
      <c r="D522" s="36">
        <f>INDEX(Inputs!$R$5:$R$132,MATCH($B522&amp;"|"&amp;$C522,Inputs!$A$5:$A$132,0))</f>
        <v/>
      </c>
      <c r="E522" s="37" t="n"/>
      <c r="F522" s="37" t="n"/>
      <c r="G522" s="37" t="n"/>
      <c r="H522" s="5">
        <f>INDEX(Variables!$B$5:$B$65,MATCH($A522,Variables!$A$5:$A$65,0))&amp;IF($C522="",""," | "&amp;INDEX(Mapping!$B$5:$B$25,MATCH($C522,Mapping!$A$5:$A$25,0))&amp;" | "&amp;INDEX(Mapping!$B$29:$B$38,MATCH($B522,Mapping!$A$29:$A$38,0)))</f>
        <v/>
      </c>
      <c r="I522" s="5">
        <f>INDEX(Variables!$C$5:$C$65,MATCH($A522,Variables!$A$5:$A$65,0))</f>
        <v/>
      </c>
      <c r="J522" s="5">
        <f>INDEX(Variables!$E$5:$E$65,MATCH($A522,Variables!$A$5:$A$65,0))</f>
        <v/>
      </c>
      <c r="K522" s="23">
        <f>LOWER(Settings!$C$4)&amp;".mit."&amp;$A522&amp;IF($C522="","","."&amp;$C522&amp;"."&amp;$B522)&amp;IF(INDEX(Variables!$D$5:$D$65,MATCH($A522,Variables!$A$5:$A$65,0))="","","."&amp;INDEX(Variables!$D$5:$D$65,MATCH($A522,Variables!$A$5:$A$65,0)))&amp;"."&amp;K$5</f>
        <v/>
      </c>
      <c r="L522" s="38">
        <f>INDEX(Inputs!$S$5:$S$132,MATCH($B522&amp;"|"&amp;$C522,Inputs!$A$5:$A$132,0))</f>
        <v/>
      </c>
      <c r="M522" s="36">
        <f>L522*(1+$D522)</f>
        <v/>
      </c>
      <c r="N522" s="36">
        <f>M522*(1+$D522)</f>
        <v/>
      </c>
      <c r="O522" s="36">
        <f>N522*(1+$D522)</f>
        <v/>
      </c>
      <c r="P522" s="36">
        <f>O522*(1+$D522)</f>
        <v/>
      </c>
      <c r="Q522" s="36">
        <f>P522*(1+$D522)</f>
        <v/>
      </c>
      <c r="R522" s="36">
        <f>Q522*(1+$D522)</f>
        <v/>
      </c>
      <c r="S522" s="36">
        <f>R522*(1+$D522)</f>
        <v/>
      </c>
      <c r="T522" s="36">
        <f>S522*(1+$D522)</f>
        <v/>
      </c>
      <c r="U522" s="36">
        <f>T522*(1+$D522)</f>
        <v/>
      </c>
      <c r="V522" s="36">
        <f>U522*(1+$D522)</f>
        <v/>
      </c>
      <c r="W522" s="36">
        <f>V522*(1+$D522)</f>
        <v/>
      </c>
      <c r="X522" s="36">
        <f>W522*(1+$D522)</f>
        <v/>
      </c>
      <c r="Y522" s="39">
        <f>PRETAX(X522,$D522)</f>
        <v/>
      </c>
      <c r="Z522" s="23">
        <f>LOWER(Settings!$C$4)&amp;".mit."&amp;$A522&amp;IF($C522="","","."&amp;$C522&amp;"."&amp;$B522)&amp;IF(INDEX(Variables!$D$5:$D$65,MATCH($A522,Variables!$A$5:$A$65,0))="","","."&amp;INDEX(Variables!$D$5:$D$65,MATCH($A522,Variables!$A$5:$A$65,0)))&amp;"."&amp;Z$5</f>
        <v/>
      </c>
      <c r="AA522" s="38">
        <f>INDEX(Inputs!$S$5:$S$132,MATCH($B522&amp;"|"&amp;$C522,Inputs!$A$5:$A$132,0))</f>
        <v/>
      </c>
      <c r="AB522" s="36">
        <f>AA522*(1+$D522)</f>
        <v/>
      </c>
      <c r="AC522" s="36">
        <f>AB522*(1+$D522)</f>
        <v/>
      </c>
      <c r="AD522" s="36">
        <f>AC522*(1+$D522)</f>
        <v/>
      </c>
      <c r="AE522" s="36">
        <f>AD522*(1+$D522)</f>
        <v/>
      </c>
      <c r="AF522" s="36">
        <f>AE522*(1+$D522)</f>
        <v/>
      </c>
      <c r="AG522" s="36">
        <f>AF522*(1+$D522)</f>
        <v/>
      </c>
      <c r="AH522" s="36">
        <f>AG522*(1+$D522)</f>
        <v/>
      </c>
      <c r="AI522" s="36">
        <f>AH522*(1+$D522)</f>
        <v/>
      </c>
      <c r="AJ522" s="36">
        <f>AI522*(1+$D522)</f>
        <v/>
      </c>
      <c r="AK522" s="36">
        <f>AJ522*(1+$D522)</f>
        <v/>
      </c>
      <c r="AL522" s="36">
        <f>AK522*(1+$D522)</f>
        <v/>
      </c>
      <c r="AM522" s="36">
        <f>AL522*(1+$D522)</f>
        <v/>
      </c>
      <c r="AN522" s="39">
        <f>PRETAX(AM522,$D522)</f>
        <v/>
      </c>
    </row>
    <row r="523" hidden="1" outlineLevel="2">
      <c r="A523" s="5" t="inlineStr">
        <is>
          <t>sp</t>
        </is>
      </c>
      <c r="B523" s="5" t="inlineStr">
        <is>
          <t>die</t>
        </is>
      </c>
      <c r="C523" s="5" t="inlineStr">
        <is>
          <t>foo</t>
        </is>
      </c>
      <c r="D523" s="36">
        <f>INDEX(Inputs!$R$5:$R$132,MATCH($B523&amp;"|"&amp;$C523,Inputs!$A$5:$A$132,0))</f>
        <v/>
      </c>
      <c r="E523" s="37" t="n"/>
      <c r="F523" s="37" t="n"/>
      <c r="G523" s="37" t="n"/>
      <c r="H523" s="5">
        <f>INDEX(Variables!$B$5:$B$65,MATCH($A523,Variables!$A$5:$A$65,0))&amp;IF($C523="",""," | "&amp;INDEX(Mapping!$B$5:$B$25,MATCH($C523,Mapping!$A$5:$A$25,0))&amp;" | "&amp;INDEX(Mapping!$B$29:$B$38,MATCH($B523,Mapping!$A$29:$A$38,0)))</f>
        <v/>
      </c>
      <c r="I523" s="5">
        <f>INDEX(Variables!$C$5:$C$65,MATCH($A523,Variables!$A$5:$A$65,0))</f>
        <v/>
      </c>
      <c r="J523" s="5">
        <f>INDEX(Variables!$E$5:$E$65,MATCH($A523,Variables!$A$5:$A$65,0))</f>
        <v/>
      </c>
      <c r="K523" s="23">
        <f>LOWER(Settings!$C$4)&amp;".mit."&amp;$A523&amp;IF($C523="","","."&amp;$C523&amp;"."&amp;$B523)&amp;IF(INDEX(Variables!$D$5:$D$65,MATCH($A523,Variables!$A$5:$A$65,0))="","","."&amp;INDEX(Variables!$D$5:$D$65,MATCH($A523,Variables!$A$5:$A$65,0)))&amp;"."&amp;K$5</f>
        <v/>
      </c>
      <c r="L523" s="38">
        <f>INDEX(Inputs!$S$5:$S$132,MATCH($B523&amp;"|"&amp;$C523,Inputs!$A$5:$A$132,0))</f>
        <v/>
      </c>
      <c r="M523" s="36">
        <f>L523*(1+$D523)</f>
        <v/>
      </c>
      <c r="N523" s="36">
        <f>M523*(1+$D523)</f>
        <v/>
      </c>
      <c r="O523" s="36">
        <f>N523*(1+$D523)</f>
        <v/>
      </c>
      <c r="P523" s="36">
        <f>O523*(1+$D523)</f>
        <v/>
      </c>
      <c r="Q523" s="36">
        <f>P523*(1+$D523)</f>
        <v/>
      </c>
      <c r="R523" s="36">
        <f>Q523*(1+$D523)</f>
        <v/>
      </c>
      <c r="S523" s="36">
        <f>R523*(1+$D523)</f>
        <v/>
      </c>
      <c r="T523" s="36">
        <f>S523*(1+$D523)</f>
        <v/>
      </c>
      <c r="U523" s="36">
        <f>T523*(1+$D523)</f>
        <v/>
      </c>
      <c r="V523" s="36">
        <f>U523*(1+$D523)</f>
        <v/>
      </c>
      <c r="W523" s="36">
        <f>V523*(1+$D523)</f>
        <v/>
      </c>
      <c r="X523" s="36">
        <f>W523*(1+$D523)</f>
        <v/>
      </c>
      <c r="Y523" s="39">
        <f>PRETAX(X523,$D523)</f>
        <v/>
      </c>
      <c r="Z523" s="23">
        <f>LOWER(Settings!$C$4)&amp;".mit."&amp;$A523&amp;IF($C523="","","."&amp;$C523&amp;"."&amp;$B523)&amp;IF(INDEX(Variables!$D$5:$D$65,MATCH($A523,Variables!$A$5:$A$65,0))="","","."&amp;INDEX(Variables!$D$5:$D$65,MATCH($A523,Variables!$A$5:$A$65,0)))&amp;"."&amp;Z$5</f>
        <v/>
      </c>
      <c r="AA523" s="38">
        <f>INDEX(Inputs!$S$5:$S$132,MATCH($B523&amp;"|"&amp;$C523,Inputs!$A$5:$A$132,0))</f>
        <v/>
      </c>
      <c r="AB523" s="36">
        <f>AA523*(1+$D523)</f>
        <v/>
      </c>
      <c r="AC523" s="36">
        <f>AB523*(1+$D523)</f>
        <v/>
      </c>
      <c r="AD523" s="36">
        <f>AC523*(1+$D523)</f>
        <v/>
      </c>
      <c r="AE523" s="36">
        <f>AD523*(1+$D523)</f>
        <v/>
      </c>
      <c r="AF523" s="36">
        <f>AE523*(1+$D523)</f>
        <v/>
      </c>
      <c r="AG523" s="36">
        <f>AF523*(1+$D523)</f>
        <v/>
      </c>
      <c r="AH523" s="36">
        <f>AG523*(1+$D523)</f>
        <v/>
      </c>
      <c r="AI523" s="36">
        <f>AH523*(1+$D523)</f>
        <v/>
      </c>
      <c r="AJ523" s="36">
        <f>AI523*(1+$D523)</f>
        <v/>
      </c>
      <c r="AK523" s="36">
        <f>AJ523*(1+$D523)</f>
        <v/>
      </c>
      <c r="AL523" s="36">
        <f>AK523*(1+$D523)</f>
        <v/>
      </c>
      <c r="AM523" s="36">
        <f>AL523*(1+$D523)</f>
        <v/>
      </c>
      <c r="AN523" s="39">
        <f>PRETAX(AM523,$D523)</f>
        <v/>
      </c>
    </row>
    <row r="524" hidden="1" outlineLevel="2">
      <c r="A524" s="5" t="inlineStr">
        <is>
          <t>sp</t>
        </is>
      </c>
      <c r="B524" s="5" t="inlineStr">
        <is>
          <t>lpg</t>
        </is>
      </c>
      <c r="C524" s="5" t="inlineStr">
        <is>
          <t>foo</t>
        </is>
      </c>
      <c r="D524" s="36">
        <f>INDEX(Inputs!$R$5:$R$132,MATCH($B524&amp;"|"&amp;$C524,Inputs!$A$5:$A$132,0))</f>
        <v/>
      </c>
      <c r="E524" s="37" t="n"/>
      <c r="F524" s="37" t="n"/>
      <c r="G524" s="37" t="n"/>
      <c r="H524" s="5">
        <f>INDEX(Variables!$B$5:$B$65,MATCH($A524,Variables!$A$5:$A$65,0))&amp;IF($C524="",""," | "&amp;INDEX(Mapping!$B$5:$B$25,MATCH($C524,Mapping!$A$5:$A$25,0))&amp;" | "&amp;INDEX(Mapping!$B$29:$B$38,MATCH($B524,Mapping!$A$29:$A$38,0)))</f>
        <v/>
      </c>
      <c r="I524" s="5">
        <f>INDEX(Variables!$C$5:$C$65,MATCH($A524,Variables!$A$5:$A$65,0))</f>
        <v/>
      </c>
      <c r="J524" s="5">
        <f>INDEX(Variables!$E$5:$E$65,MATCH($A524,Variables!$A$5:$A$65,0))</f>
        <v/>
      </c>
      <c r="K524" s="23">
        <f>LOWER(Settings!$C$4)&amp;".mit."&amp;$A524&amp;IF($C524="","","."&amp;$C524&amp;"."&amp;$B524)&amp;IF(INDEX(Variables!$D$5:$D$65,MATCH($A524,Variables!$A$5:$A$65,0))="","","."&amp;INDEX(Variables!$D$5:$D$65,MATCH($A524,Variables!$A$5:$A$65,0)))&amp;"."&amp;K$5</f>
        <v/>
      </c>
      <c r="L524" s="38">
        <f>INDEX(Inputs!$S$5:$S$132,MATCH($B524&amp;"|"&amp;$C524,Inputs!$A$5:$A$132,0))</f>
        <v/>
      </c>
      <c r="M524" s="36">
        <f>L524*(1+$D524)</f>
        <v/>
      </c>
      <c r="N524" s="36">
        <f>M524*(1+$D524)</f>
        <v/>
      </c>
      <c r="O524" s="36">
        <f>N524*(1+$D524)</f>
        <v/>
      </c>
      <c r="P524" s="36">
        <f>O524*(1+$D524)</f>
        <v/>
      </c>
      <c r="Q524" s="36">
        <f>P524*(1+$D524)</f>
        <v/>
      </c>
      <c r="R524" s="36">
        <f>Q524*(1+$D524)</f>
        <v/>
      </c>
      <c r="S524" s="36">
        <f>R524*(1+$D524)</f>
        <v/>
      </c>
      <c r="T524" s="36">
        <f>S524*(1+$D524)</f>
        <v/>
      </c>
      <c r="U524" s="36">
        <f>T524*(1+$D524)</f>
        <v/>
      </c>
      <c r="V524" s="36">
        <f>U524*(1+$D524)</f>
        <v/>
      </c>
      <c r="W524" s="36">
        <f>V524*(1+$D524)</f>
        <v/>
      </c>
      <c r="X524" s="36">
        <f>W524*(1+$D524)</f>
        <v/>
      </c>
      <c r="Y524" s="39">
        <f>PRETAX(X524,$D524)</f>
        <v/>
      </c>
      <c r="Z524" s="23">
        <f>LOWER(Settings!$C$4)&amp;".mit."&amp;$A524&amp;IF($C524="","","."&amp;$C524&amp;"."&amp;$B524)&amp;IF(INDEX(Variables!$D$5:$D$65,MATCH($A524,Variables!$A$5:$A$65,0))="","","."&amp;INDEX(Variables!$D$5:$D$65,MATCH($A524,Variables!$A$5:$A$65,0)))&amp;"."&amp;Z$5</f>
        <v/>
      </c>
      <c r="AA524" s="38">
        <f>INDEX(Inputs!$S$5:$S$132,MATCH($B524&amp;"|"&amp;$C524,Inputs!$A$5:$A$132,0))</f>
        <v/>
      </c>
      <c r="AB524" s="36">
        <f>AA524*(1+$D524)</f>
        <v/>
      </c>
      <c r="AC524" s="36">
        <f>AB524*(1+$D524)</f>
        <v/>
      </c>
      <c r="AD524" s="36">
        <f>AC524*(1+$D524)</f>
        <v/>
      </c>
      <c r="AE524" s="36">
        <f>AD524*(1+$D524)</f>
        <v/>
      </c>
      <c r="AF524" s="36">
        <f>AE524*(1+$D524)</f>
        <v/>
      </c>
      <c r="AG524" s="36">
        <f>AF524*(1+$D524)</f>
        <v/>
      </c>
      <c r="AH524" s="36">
        <f>AG524*(1+$D524)</f>
        <v/>
      </c>
      <c r="AI524" s="36">
        <f>AH524*(1+$D524)</f>
        <v/>
      </c>
      <c r="AJ524" s="36">
        <f>AI524*(1+$D524)</f>
        <v/>
      </c>
      <c r="AK524" s="36">
        <f>AJ524*(1+$D524)</f>
        <v/>
      </c>
      <c r="AL524" s="36">
        <f>AK524*(1+$D524)</f>
        <v/>
      </c>
      <c r="AM524" s="36">
        <f>AL524*(1+$D524)</f>
        <v/>
      </c>
      <c r="AN524" s="39">
        <f>PRETAX(AM524,$D524)</f>
        <v/>
      </c>
    </row>
    <row r="525" hidden="1" outlineLevel="2">
      <c r="A525" s="5" t="inlineStr">
        <is>
          <t>sp</t>
        </is>
      </c>
      <c r="B525" s="5" t="inlineStr">
        <is>
          <t>ker</t>
        </is>
      </c>
      <c r="C525" s="5" t="inlineStr">
        <is>
          <t>foo</t>
        </is>
      </c>
      <c r="D525" s="36">
        <f>INDEX(Inputs!$R$5:$R$132,MATCH($B525&amp;"|"&amp;$C525,Inputs!$A$5:$A$132,0))</f>
        <v/>
      </c>
      <c r="E525" s="37" t="n"/>
      <c r="F525" s="37" t="n"/>
      <c r="G525" s="37" t="n"/>
      <c r="H525" s="5">
        <f>INDEX(Variables!$B$5:$B$65,MATCH($A525,Variables!$A$5:$A$65,0))&amp;IF($C525="",""," | "&amp;INDEX(Mapping!$B$5:$B$25,MATCH($C525,Mapping!$A$5:$A$25,0))&amp;" | "&amp;INDEX(Mapping!$B$29:$B$38,MATCH($B525,Mapping!$A$29:$A$38,0)))</f>
        <v/>
      </c>
      <c r="I525" s="5">
        <f>INDEX(Variables!$C$5:$C$65,MATCH($A525,Variables!$A$5:$A$65,0))</f>
        <v/>
      </c>
      <c r="J525" s="5">
        <f>INDEX(Variables!$E$5:$E$65,MATCH($A525,Variables!$A$5:$A$65,0))</f>
        <v/>
      </c>
      <c r="K525" s="23">
        <f>LOWER(Settings!$C$4)&amp;".mit."&amp;$A525&amp;IF($C525="","","."&amp;$C525&amp;"."&amp;$B525)&amp;IF(INDEX(Variables!$D$5:$D$65,MATCH($A525,Variables!$A$5:$A$65,0))="","","."&amp;INDEX(Variables!$D$5:$D$65,MATCH($A525,Variables!$A$5:$A$65,0)))&amp;"."&amp;K$5</f>
        <v/>
      </c>
      <c r="L525" s="38">
        <f>INDEX(Inputs!$S$5:$S$132,MATCH($B525&amp;"|"&amp;$C525,Inputs!$A$5:$A$132,0))</f>
        <v/>
      </c>
      <c r="M525" s="36">
        <f>L525*(1+$D525)</f>
        <v/>
      </c>
      <c r="N525" s="36">
        <f>M525*(1+$D525)</f>
        <v/>
      </c>
      <c r="O525" s="36">
        <f>N525*(1+$D525)</f>
        <v/>
      </c>
      <c r="P525" s="36">
        <f>O525*(1+$D525)</f>
        <v/>
      </c>
      <c r="Q525" s="36">
        <f>P525*(1+$D525)</f>
        <v/>
      </c>
      <c r="R525" s="36">
        <f>Q525*(1+$D525)</f>
        <v/>
      </c>
      <c r="S525" s="36">
        <f>R525*(1+$D525)</f>
        <v/>
      </c>
      <c r="T525" s="36">
        <f>S525*(1+$D525)</f>
        <v/>
      </c>
      <c r="U525" s="36">
        <f>T525*(1+$D525)</f>
        <v/>
      </c>
      <c r="V525" s="36">
        <f>U525*(1+$D525)</f>
        <v/>
      </c>
      <c r="W525" s="36">
        <f>V525*(1+$D525)</f>
        <v/>
      </c>
      <c r="X525" s="36">
        <f>W525*(1+$D525)</f>
        <v/>
      </c>
      <c r="Y525" s="39">
        <f>PRETAX(X525,$D525)</f>
        <v/>
      </c>
      <c r="Z525" s="23">
        <f>LOWER(Settings!$C$4)&amp;".mit."&amp;$A525&amp;IF($C525="","","."&amp;$C525&amp;"."&amp;$B525)&amp;IF(INDEX(Variables!$D$5:$D$65,MATCH($A525,Variables!$A$5:$A$65,0))="","","."&amp;INDEX(Variables!$D$5:$D$65,MATCH($A525,Variables!$A$5:$A$65,0)))&amp;"."&amp;Z$5</f>
        <v/>
      </c>
      <c r="AA525" s="38">
        <f>INDEX(Inputs!$S$5:$S$132,MATCH($B525&amp;"|"&amp;$C525,Inputs!$A$5:$A$132,0))</f>
        <v/>
      </c>
      <c r="AB525" s="36">
        <f>AA525*(1+$D525)</f>
        <v/>
      </c>
      <c r="AC525" s="36">
        <f>AB525*(1+$D525)</f>
        <v/>
      </c>
      <c r="AD525" s="36">
        <f>AC525*(1+$D525)</f>
        <v/>
      </c>
      <c r="AE525" s="36">
        <f>AD525*(1+$D525)</f>
        <v/>
      </c>
      <c r="AF525" s="36">
        <f>AE525*(1+$D525)</f>
        <v/>
      </c>
      <c r="AG525" s="36">
        <f>AF525*(1+$D525)</f>
        <v/>
      </c>
      <c r="AH525" s="36">
        <f>AG525*(1+$D525)</f>
        <v/>
      </c>
      <c r="AI525" s="36">
        <f>AH525*(1+$D525)</f>
        <v/>
      </c>
      <c r="AJ525" s="36">
        <f>AI525*(1+$D525)</f>
        <v/>
      </c>
      <c r="AK525" s="36">
        <f>AJ525*(1+$D525)</f>
        <v/>
      </c>
      <c r="AL525" s="36">
        <f>AK525*(1+$D525)</f>
        <v/>
      </c>
      <c r="AM525" s="36">
        <f>AL525*(1+$D525)</f>
        <v/>
      </c>
      <c r="AN525" s="39">
        <f>PRETAX(AM525,$D525)</f>
        <v/>
      </c>
    </row>
    <row r="526" hidden="1" outlineLevel="2">
      <c r="A526" s="5" t="inlineStr">
        <is>
          <t>sp</t>
        </is>
      </c>
      <c r="B526" s="5" t="inlineStr">
        <is>
          <t>oop</t>
        </is>
      </c>
      <c r="C526" s="5" t="inlineStr">
        <is>
          <t>foo</t>
        </is>
      </c>
      <c r="D526" s="36">
        <f>INDEX(Inputs!$R$5:$R$132,MATCH($B526&amp;"|"&amp;$C526,Inputs!$A$5:$A$132,0))</f>
        <v/>
      </c>
      <c r="E526" s="37" t="n"/>
      <c r="F526" s="37" t="n"/>
      <c r="G526" s="37" t="n"/>
      <c r="H526" s="5">
        <f>INDEX(Variables!$B$5:$B$65,MATCH($A526,Variables!$A$5:$A$65,0))&amp;IF($C526="",""," | "&amp;INDEX(Mapping!$B$5:$B$25,MATCH($C526,Mapping!$A$5:$A$25,0))&amp;" | "&amp;INDEX(Mapping!$B$29:$B$38,MATCH($B526,Mapping!$A$29:$A$38,0)))</f>
        <v/>
      </c>
      <c r="I526" s="5">
        <f>INDEX(Variables!$C$5:$C$65,MATCH($A526,Variables!$A$5:$A$65,0))</f>
        <v/>
      </c>
      <c r="J526" s="5">
        <f>INDEX(Variables!$E$5:$E$65,MATCH($A526,Variables!$A$5:$A$65,0))</f>
        <v/>
      </c>
      <c r="K526" s="23">
        <f>LOWER(Settings!$C$4)&amp;".mit."&amp;$A526&amp;IF($C526="","","."&amp;$C526&amp;"."&amp;$B526)&amp;IF(INDEX(Variables!$D$5:$D$65,MATCH($A526,Variables!$A$5:$A$65,0))="","","."&amp;INDEX(Variables!$D$5:$D$65,MATCH($A526,Variables!$A$5:$A$65,0)))&amp;"."&amp;K$5</f>
        <v/>
      </c>
      <c r="L526" s="38">
        <f>INDEX(Inputs!$S$5:$S$132,MATCH($B526&amp;"|"&amp;$C526,Inputs!$A$5:$A$132,0))</f>
        <v/>
      </c>
      <c r="M526" s="36">
        <f>L526*(1+$D526)</f>
        <v/>
      </c>
      <c r="N526" s="36">
        <f>M526*(1+$D526)</f>
        <v/>
      </c>
      <c r="O526" s="36">
        <f>N526*(1+$D526)</f>
        <v/>
      </c>
      <c r="P526" s="36">
        <f>O526*(1+$D526)</f>
        <v/>
      </c>
      <c r="Q526" s="36">
        <f>P526*(1+$D526)</f>
        <v/>
      </c>
      <c r="R526" s="36">
        <f>Q526*(1+$D526)</f>
        <v/>
      </c>
      <c r="S526" s="36">
        <f>R526*(1+$D526)</f>
        <v/>
      </c>
      <c r="T526" s="36">
        <f>S526*(1+$D526)</f>
        <v/>
      </c>
      <c r="U526" s="36">
        <f>T526*(1+$D526)</f>
        <v/>
      </c>
      <c r="V526" s="36">
        <f>U526*(1+$D526)</f>
        <v/>
      </c>
      <c r="W526" s="36">
        <f>V526*(1+$D526)</f>
        <v/>
      </c>
      <c r="X526" s="36">
        <f>W526*(1+$D526)</f>
        <v/>
      </c>
      <c r="Y526" s="39">
        <f>PRETAX(X526,$D526)</f>
        <v/>
      </c>
      <c r="Z526" s="23">
        <f>LOWER(Settings!$C$4)&amp;".mit."&amp;$A526&amp;IF($C526="","","."&amp;$C526&amp;"."&amp;$B526)&amp;IF(INDEX(Variables!$D$5:$D$65,MATCH($A526,Variables!$A$5:$A$65,0))="","","."&amp;INDEX(Variables!$D$5:$D$65,MATCH($A526,Variables!$A$5:$A$65,0)))&amp;"."&amp;Z$5</f>
        <v/>
      </c>
      <c r="AA526" s="38">
        <f>INDEX(Inputs!$S$5:$S$132,MATCH($B526&amp;"|"&amp;$C526,Inputs!$A$5:$A$132,0))</f>
        <v/>
      </c>
      <c r="AB526" s="36">
        <f>AA526*(1+$D526)</f>
        <v/>
      </c>
      <c r="AC526" s="36">
        <f>AB526*(1+$D526)</f>
        <v/>
      </c>
      <c r="AD526" s="36">
        <f>AC526*(1+$D526)</f>
        <v/>
      </c>
      <c r="AE526" s="36">
        <f>AD526*(1+$D526)</f>
        <v/>
      </c>
      <c r="AF526" s="36">
        <f>AE526*(1+$D526)</f>
        <v/>
      </c>
      <c r="AG526" s="36">
        <f>AF526*(1+$D526)</f>
        <v/>
      </c>
      <c r="AH526" s="36">
        <f>AG526*(1+$D526)</f>
        <v/>
      </c>
      <c r="AI526" s="36">
        <f>AH526*(1+$D526)</f>
        <v/>
      </c>
      <c r="AJ526" s="36">
        <f>AI526*(1+$D526)</f>
        <v/>
      </c>
      <c r="AK526" s="36">
        <f>AJ526*(1+$D526)</f>
        <v/>
      </c>
      <c r="AL526" s="36">
        <f>AK526*(1+$D526)</f>
        <v/>
      </c>
      <c r="AM526" s="36">
        <f>AL526*(1+$D526)</f>
        <v/>
      </c>
      <c r="AN526" s="39">
        <f>PRETAX(AM526,$D526)</f>
        <v/>
      </c>
    </row>
    <row r="527" hidden="1" outlineLevel="2">
      <c r="A527" s="5" t="inlineStr">
        <is>
          <t>sp</t>
        </is>
      </c>
      <c r="B527" s="5" t="inlineStr">
        <is>
          <t>bio</t>
        </is>
      </c>
      <c r="C527" s="5" t="inlineStr">
        <is>
          <t>foo</t>
        </is>
      </c>
      <c r="D527" s="36">
        <f>INDEX(Inputs!$R$5:$R$132,MATCH($B527&amp;"|"&amp;$C527,Inputs!$A$5:$A$132,0))</f>
        <v/>
      </c>
      <c r="E527" s="37" t="n"/>
      <c r="F527" s="37" t="n"/>
      <c r="G527" s="37" t="n"/>
      <c r="H527" s="5">
        <f>INDEX(Variables!$B$5:$B$65,MATCH($A527,Variables!$A$5:$A$65,0))&amp;IF($C527="",""," | "&amp;INDEX(Mapping!$B$5:$B$25,MATCH($C527,Mapping!$A$5:$A$25,0))&amp;" | "&amp;INDEX(Mapping!$B$29:$B$38,MATCH($B527,Mapping!$A$29:$A$38,0)))</f>
        <v/>
      </c>
      <c r="I527" s="5">
        <f>INDEX(Variables!$C$5:$C$65,MATCH($A527,Variables!$A$5:$A$65,0))</f>
        <v/>
      </c>
      <c r="J527" s="5">
        <f>INDEX(Variables!$E$5:$E$65,MATCH($A527,Variables!$A$5:$A$65,0))</f>
        <v/>
      </c>
      <c r="K527" s="23">
        <f>LOWER(Settings!$C$4)&amp;".mit."&amp;$A527&amp;IF($C527="","","."&amp;$C527&amp;"."&amp;$B527)&amp;IF(INDEX(Variables!$D$5:$D$65,MATCH($A527,Variables!$A$5:$A$65,0))="","","."&amp;INDEX(Variables!$D$5:$D$65,MATCH($A527,Variables!$A$5:$A$65,0)))&amp;"."&amp;K$5</f>
        <v/>
      </c>
      <c r="L527" s="38">
        <f>INDEX(Inputs!$S$5:$S$132,MATCH($B527&amp;"|"&amp;$C527,Inputs!$A$5:$A$132,0))</f>
        <v/>
      </c>
      <c r="M527" s="36">
        <f>L527*(1+$D527)</f>
        <v/>
      </c>
      <c r="N527" s="36">
        <f>M527*(1+$D527)</f>
        <v/>
      </c>
      <c r="O527" s="36">
        <f>N527*(1+$D527)</f>
        <v/>
      </c>
      <c r="P527" s="36">
        <f>O527*(1+$D527)</f>
        <v/>
      </c>
      <c r="Q527" s="36">
        <f>P527*(1+$D527)</f>
        <v/>
      </c>
      <c r="R527" s="36">
        <f>Q527*(1+$D527)</f>
        <v/>
      </c>
      <c r="S527" s="36">
        <f>R527*(1+$D527)</f>
        <v/>
      </c>
      <c r="T527" s="36">
        <f>S527*(1+$D527)</f>
        <v/>
      </c>
      <c r="U527" s="36">
        <f>T527*(1+$D527)</f>
        <v/>
      </c>
      <c r="V527" s="36">
        <f>U527*(1+$D527)</f>
        <v/>
      </c>
      <c r="W527" s="36">
        <f>V527*(1+$D527)</f>
        <v/>
      </c>
      <c r="X527" s="36">
        <f>W527*(1+$D527)</f>
        <v/>
      </c>
      <c r="Y527" s="39">
        <f>PRETAX(X527,$D527)</f>
        <v/>
      </c>
      <c r="Z527" s="23">
        <f>LOWER(Settings!$C$4)&amp;".mit."&amp;$A527&amp;IF($C527="","","."&amp;$C527&amp;"."&amp;$B527)&amp;IF(INDEX(Variables!$D$5:$D$65,MATCH($A527,Variables!$A$5:$A$65,0))="","","."&amp;INDEX(Variables!$D$5:$D$65,MATCH($A527,Variables!$A$5:$A$65,0)))&amp;"."&amp;Z$5</f>
        <v/>
      </c>
      <c r="AA527" s="38">
        <f>INDEX(Inputs!$S$5:$S$132,MATCH($B527&amp;"|"&amp;$C527,Inputs!$A$5:$A$132,0))</f>
        <v/>
      </c>
      <c r="AB527" s="36">
        <f>AA527*(1+$D527)</f>
        <v/>
      </c>
      <c r="AC527" s="36">
        <f>AB527*(1+$D527)</f>
        <v/>
      </c>
      <c r="AD527" s="36">
        <f>AC527*(1+$D527)</f>
        <v/>
      </c>
      <c r="AE527" s="36">
        <f>AD527*(1+$D527)</f>
        <v/>
      </c>
      <c r="AF527" s="36">
        <f>AE527*(1+$D527)</f>
        <v/>
      </c>
      <c r="AG527" s="36">
        <f>AF527*(1+$D527)</f>
        <v/>
      </c>
      <c r="AH527" s="36">
        <f>AG527*(1+$D527)</f>
        <v/>
      </c>
      <c r="AI527" s="36">
        <f>AH527*(1+$D527)</f>
        <v/>
      </c>
      <c r="AJ527" s="36">
        <f>AI527*(1+$D527)</f>
        <v/>
      </c>
      <c r="AK527" s="36">
        <f>AJ527*(1+$D527)</f>
        <v/>
      </c>
      <c r="AL527" s="36">
        <f>AK527*(1+$D527)</f>
        <v/>
      </c>
      <c r="AM527" s="36">
        <f>AL527*(1+$D527)</f>
        <v/>
      </c>
      <c r="AN527" s="39">
        <f>PRETAX(AM527,$D527)</f>
        <v/>
      </c>
    </row>
    <row r="528" hidden="1" outlineLevel="2"/>
    <row r="529" hidden="1" outlineLevel="2">
      <c r="A529" s="5" t="inlineStr">
        <is>
          <t>ctxnew</t>
        </is>
      </c>
      <c r="B529" s="5" t="inlineStr">
        <is>
          <t>coa</t>
        </is>
      </c>
      <c r="C529" s="5" t="inlineStr">
        <is>
          <t>foo</t>
        </is>
      </c>
      <c r="D529" s="36">
        <f>INDEX(Inputs!$U$5:$U$132,MATCH($B529&amp;"|"&amp;$C529,Inputs!$A$5:$A$132,0))</f>
        <v/>
      </c>
      <c r="E529" s="36">
        <f>INDEX(Inputs!$J$5:$J$132,MATCH($B529&amp;"|"&amp;$C529,Inputs!$A$5:$A$132,0))</f>
        <v/>
      </c>
      <c r="F529" s="36">
        <f>INDEX(Inputs!$K$5:$K$132,MATCH($B529&amp;"|"&amp;$C529,Inputs!$A$5:$A$132,0))</f>
        <v/>
      </c>
      <c r="G529" s="37" t="n"/>
      <c r="H529" s="5">
        <f>INDEX(Variables!$B$5:$B$65,MATCH($A529,Variables!$A$5:$A$65,0))&amp;IF($C529="",""," | "&amp;INDEX(Mapping!$B$5:$B$25,MATCH($C529,Mapping!$A$5:$A$25,0))&amp;" | "&amp;INDEX(Mapping!$B$29:$B$38,MATCH($B529,Mapping!$A$29:$A$38,0)))</f>
        <v/>
      </c>
      <c r="I529" s="5">
        <f>INDEX(Variables!$C$5:$C$65,MATCH($A529,Variables!$A$5:$A$65,0))</f>
        <v/>
      </c>
      <c r="J529" s="5">
        <f>INDEX(Variables!$E$5:$E$65,MATCH($A529,Variables!$A$5:$A$65,0))</f>
        <v/>
      </c>
      <c r="K529" s="23">
        <f>LOWER(Settings!$C$4)&amp;".mit."&amp;$A529&amp;IF($C529="","","."&amp;$C529&amp;"."&amp;$B529)&amp;IF(INDEX(Variables!$D$5:$D$65,MATCH($A529,Variables!$A$5:$A$65,0))="","","."&amp;INDEX(Variables!$D$5:$D$65,MATCH($A529,Variables!$A$5:$A$65,0)))&amp;"."&amp;K$5</f>
        <v/>
      </c>
      <c r="L529" s="38">
        <f>L$10*$D529*INDEX(L$18:L$25,$E529)*INDEX(L$27:L$43,$F529)</f>
        <v/>
      </c>
      <c r="M529" s="36">
        <f>M$10*$D529*INDEX(M$18:M$25,$E529)*INDEX(M$27:M$43,$F529)</f>
        <v/>
      </c>
      <c r="N529" s="36">
        <f>N$10*$D529*INDEX(N$18:N$25,$E529)*INDEX(N$27:N$43,$F529)</f>
        <v/>
      </c>
      <c r="O529" s="36">
        <f>O$10*$D529*INDEX(O$18:O$25,$E529)*INDEX(O$27:O$43,$F529)</f>
        <v/>
      </c>
      <c r="P529" s="36">
        <f>P$10*$D529*INDEX(P$18:P$25,$E529)*INDEX(P$27:P$43,$F529)</f>
        <v/>
      </c>
      <c r="Q529" s="36">
        <f>Q$10*$D529*INDEX(Q$18:Q$25,$E529)*INDEX(Q$27:Q$43,$F529)</f>
        <v/>
      </c>
      <c r="R529" s="36">
        <f>R$10*$D529*INDEX(R$18:R$25,$E529)*INDEX(R$27:R$43,$F529)</f>
        <v/>
      </c>
      <c r="S529" s="36">
        <f>S$10*$D529*INDEX(S$18:S$25,$E529)*INDEX(S$27:S$43,$F529)</f>
        <v/>
      </c>
      <c r="T529" s="36">
        <f>T$10*$D529*INDEX(T$18:T$25,$E529)*INDEX(T$27:T$43,$F529)</f>
        <v/>
      </c>
      <c r="U529" s="36">
        <f>U$10*$D529*INDEX(U$18:U$25,$E529)*INDEX(U$27:U$43,$F529)</f>
        <v/>
      </c>
      <c r="V529" s="36">
        <f>V$10*$D529*INDEX(V$18:V$25,$E529)*INDEX(V$27:V$43,$F529)</f>
        <v/>
      </c>
      <c r="W529" s="36">
        <f>W$10*$D529*INDEX(W$18:W$25,$E529)*INDEX(W$27:W$43,$F529)</f>
        <v/>
      </c>
      <c r="X529" s="36">
        <f>X$10*$D529*INDEX(X$18:X$25,$E529)*INDEX(X$27:X$43,$F529)</f>
        <v/>
      </c>
      <c r="Y529" s="36">
        <f>Y$10*$D529*INDEX(Y$18:Y$25,$E529)*INDEX(Y$27:Y$43,$F529)</f>
        <v/>
      </c>
      <c r="Z529" s="23">
        <f>LOWER(Settings!$C$4)&amp;".mit."&amp;$A529&amp;IF($C529="","","."&amp;$C529&amp;"."&amp;$B529)&amp;IF(INDEX(Variables!$D$5:$D$65,MATCH($A529,Variables!$A$5:$A$65,0))="","","."&amp;INDEX(Variables!$D$5:$D$65,MATCH($A529,Variables!$A$5:$A$65,0)))&amp;"."&amp;Z$5</f>
        <v/>
      </c>
      <c r="AA529" s="38">
        <f>AA$10*$D529*INDEX(AA$18:AA$25,$E529)*INDEX(AA$27:AA$43,$F529)</f>
        <v/>
      </c>
      <c r="AB529" s="36">
        <f>AB$10*$D529*INDEX(AB$18:AB$25,$E529)*INDEX(AB$27:AB$43,$F529)</f>
        <v/>
      </c>
      <c r="AC529" s="36">
        <f>AC$10*$D529*INDEX(AC$18:AC$25,$E529)*INDEX(AC$27:AC$43,$F529)</f>
        <v/>
      </c>
      <c r="AD529" s="36">
        <f>AD$10*$D529*INDEX(AD$18:AD$25,$E529)*INDEX(AD$27:AD$43,$F529)</f>
        <v/>
      </c>
      <c r="AE529" s="36">
        <f>AE$10*$D529*INDEX(AE$18:AE$25,$E529)*INDEX(AE$27:AE$43,$F529)</f>
        <v/>
      </c>
      <c r="AF529" s="36">
        <f>AF$10*$D529*INDEX(AF$18:AF$25,$E529)*INDEX(AF$27:AF$43,$F529)</f>
        <v/>
      </c>
      <c r="AG529" s="36">
        <f>AG$10*$D529*INDEX(AG$18:AG$25,$E529)*INDEX(AG$27:AG$43,$F529)</f>
        <v/>
      </c>
      <c r="AH529" s="36">
        <f>AH$10*$D529*INDEX(AH$18:AH$25,$E529)*INDEX(AH$27:AH$43,$F529)</f>
        <v/>
      </c>
      <c r="AI529" s="36">
        <f>AI$10*$D529*INDEX(AI$18:AI$25,$E529)*INDEX(AI$27:AI$43,$F529)</f>
        <v/>
      </c>
      <c r="AJ529" s="36">
        <f>AJ$10*$D529*INDEX(AJ$18:AJ$25,$E529)*INDEX(AJ$27:AJ$43,$F529)</f>
        <v/>
      </c>
      <c r="AK529" s="36">
        <f>AK$10*$D529*INDEX(AK$18:AK$25,$E529)*INDEX(AK$27:AK$43,$F529)</f>
        <v/>
      </c>
      <c r="AL529" s="36">
        <f>AL$10*$D529*INDEX(AL$18:AL$25,$E529)*INDEX(AL$27:AL$43,$F529)</f>
        <v/>
      </c>
      <c r="AM529" s="36">
        <f>AM$10*$D529*INDEX(AM$18:AM$25,$E529)*INDEX(AM$27:AM$43,$F529)</f>
        <v/>
      </c>
      <c r="AN529" s="36">
        <f>AN$10*$D529*INDEX(AN$18:AN$25,$E529)*INDEX(AN$27:AN$43,$F529)</f>
        <v/>
      </c>
    </row>
    <row r="530" hidden="1" outlineLevel="2">
      <c r="A530" s="5" t="inlineStr">
        <is>
          <t>ctxnew</t>
        </is>
      </c>
      <c r="B530" s="5" t="inlineStr">
        <is>
          <t>nga</t>
        </is>
      </c>
      <c r="C530" s="5" t="inlineStr">
        <is>
          <t>foo</t>
        </is>
      </c>
      <c r="D530" s="36">
        <f>INDEX(Inputs!$U$5:$U$132,MATCH($B530&amp;"|"&amp;$C530,Inputs!$A$5:$A$132,0))</f>
        <v/>
      </c>
      <c r="E530" s="36">
        <f>INDEX(Inputs!$J$5:$J$132,MATCH($B530&amp;"|"&amp;$C530,Inputs!$A$5:$A$132,0))</f>
        <v/>
      </c>
      <c r="F530" s="36">
        <f>INDEX(Inputs!$K$5:$K$132,MATCH($B530&amp;"|"&amp;$C530,Inputs!$A$5:$A$132,0))</f>
        <v/>
      </c>
      <c r="G530" s="37" t="n"/>
      <c r="H530" s="5">
        <f>INDEX(Variables!$B$5:$B$65,MATCH($A530,Variables!$A$5:$A$65,0))&amp;IF($C530="",""," | "&amp;INDEX(Mapping!$B$5:$B$25,MATCH($C530,Mapping!$A$5:$A$25,0))&amp;" | "&amp;INDEX(Mapping!$B$29:$B$38,MATCH($B530,Mapping!$A$29:$A$38,0)))</f>
        <v/>
      </c>
      <c r="I530" s="5">
        <f>INDEX(Variables!$C$5:$C$65,MATCH($A530,Variables!$A$5:$A$65,0))</f>
        <v/>
      </c>
      <c r="J530" s="5">
        <f>INDEX(Variables!$E$5:$E$65,MATCH($A530,Variables!$A$5:$A$65,0))</f>
        <v/>
      </c>
      <c r="K530" s="23">
        <f>LOWER(Settings!$C$4)&amp;".mit."&amp;$A530&amp;IF($C530="","","."&amp;$C530&amp;"."&amp;$B530)&amp;IF(INDEX(Variables!$D$5:$D$65,MATCH($A530,Variables!$A$5:$A$65,0))="","","."&amp;INDEX(Variables!$D$5:$D$65,MATCH($A530,Variables!$A$5:$A$65,0)))&amp;"."&amp;K$5</f>
        <v/>
      </c>
      <c r="L530" s="38">
        <f>L$10*$D530*INDEX(L$18:L$25,$E530)*INDEX(L$27:L$43,$F530)</f>
        <v/>
      </c>
      <c r="M530" s="36">
        <f>M$10*$D530*INDEX(M$18:M$25,$E530)*INDEX(M$27:M$43,$F530)</f>
        <v/>
      </c>
      <c r="N530" s="36">
        <f>N$10*$D530*INDEX(N$18:N$25,$E530)*INDEX(N$27:N$43,$F530)</f>
        <v/>
      </c>
      <c r="O530" s="36">
        <f>O$10*$D530*INDEX(O$18:O$25,$E530)*INDEX(O$27:O$43,$F530)</f>
        <v/>
      </c>
      <c r="P530" s="36">
        <f>P$10*$D530*INDEX(P$18:P$25,$E530)*INDEX(P$27:P$43,$F530)</f>
        <v/>
      </c>
      <c r="Q530" s="36">
        <f>Q$10*$D530*INDEX(Q$18:Q$25,$E530)*INDEX(Q$27:Q$43,$F530)</f>
        <v/>
      </c>
      <c r="R530" s="36">
        <f>R$10*$D530*INDEX(R$18:R$25,$E530)*INDEX(R$27:R$43,$F530)</f>
        <v/>
      </c>
      <c r="S530" s="36">
        <f>S$10*$D530*INDEX(S$18:S$25,$E530)*INDEX(S$27:S$43,$F530)</f>
        <v/>
      </c>
      <c r="T530" s="36">
        <f>T$10*$D530*INDEX(T$18:T$25,$E530)*INDEX(T$27:T$43,$F530)</f>
        <v/>
      </c>
      <c r="U530" s="36">
        <f>U$10*$D530*INDEX(U$18:U$25,$E530)*INDEX(U$27:U$43,$F530)</f>
        <v/>
      </c>
      <c r="V530" s="36">
        <f>V$10*$D530*INDEX(V$18:V$25,$E530)*INDEX(V$27:V$43,$F530)</f>
        <v/>
      </c>
      <c r="W530" s="36">
        <f>W$10*$D530*INDEX(W$18:W$25,$E530)*INDEX(W$27:W$43,$F530)</f>
        <v/>
      </c>
      <c r="X530" s="36">
        <f>X$10*$D530*INDEX(X$18:X$25,$E530)*INDEX(X$27:X$43,$F530)</f>
        <v/>
      </c>
      <c r="Y530" s="36">
        <f>Y$10*$D530*INDEX(Y$18:Y$25,$E530)*INDEX(Y$27:Y$43,$F530)</f>
        <v/>
      </c>
      <c r="Z530" s="23">
        <f>LOWER(Settings!$C$4)&amp;".mit."&amp;$A530&amp;IF($C530="","","."&amp;$C530&amp;"."&amp;$B530)&amp;IF(INDEX(Variables!$D$5:$D$65,MATCH($A530,Variables!$A$5:$A$65,0))="","","."&amp;INDEX(Variables!$D$5:$D$65,MATCH($A530,Variables!$A$5:$A$65,0)))&amp;"."&amp;Z$5</f>
        <v/>
      </c>
      <c r="AA530" s="38">
        <f>AA$10*$D530*INDEX(AA$18:AA$25,$E530)*INDEX(AA$27:AA$43,$F530)</f>
        <v/>
      </c>
      <c r="AB530" s="36">
        <f>AB$10*$D530*INDEX(AB$18:AB$25,$E530)*INDEX(AB$27:AB$43,$F530)</f>
        <v/>
      </c>
      <c r="AC530" s="36">
        <f>AC$10*$D530*INDEX(AC$18:AC$25,$E530)*INDEX(AC$27:AC$43,$F530)</f>
        <v/>
      </c>
      <c r="AD530" s="36">
        <f>AD$10*$D530*INDEX(AD$18:AD$25,$E530)*INDEX(AD$27:AD$43,$F530)</f>
        <v/>
      </c>
      <c r="AE530" s="36">
        <f>AE$10*$D530*INDEX(AE$18:AE$25,$E530)*INDEX(AE$27:AE$43,$F530)</f>
        <v/>
      </c>
      <c r="AF530" s="36">
        <f>AF$10*$D530*INDEX(AF$18:AF$25,$E530)*INDEX(AF$27:AF$43,$F530)</f>
        <v/>
      </c>
      <c r="AG530" s="36">
        <f>AG$10*$D530*INDEX(AG$18:AG$25,$E530)*INDEX(AG$27:AG$43,$F530)</f>
        <v/>
      </c>
      <c r="AH530" s="36">
        <f>AH$10*$D530*INDEX(AH$18:AH$25,$E530)*INDEX(AH$27:AH$43,$F530)</f>
        <v/>
      </c>
      <c r="AI530" s="36">
        <f>AI$10*$D530*INDEX(AI$18:AI$25,$E530)*INDEX(AI$27:AI$43,$F530)</f>
        <v/>
      </c>
      <c r="AJ530" s="36">
        <f>AJ$10*$D530*INDEX(AJ$18:AJ$25,$E530)*INDEX(AJ$27:AJ$43,$F530)</f>
        <v/>
      </c>
      <c r="AK530" s="36">
        <f>AK$10*$D530*INDEX(AK$18:AK$25,$E530)*INDEX(AK$27:AK$43,$F530)</f>
        <v/>
      </c>
      <c r="AL530" s="36">
        <f>AL$10*$D530*INDEX(AL$18:AL$25,$E530)*INDEX(AL$27:AL$43,$F530)</f>
        <v/>
      </c>
      <c r="AM530" s="36">
        <f>AM$10*$D530*INDEX(AM$18:AM$25,$E530)*INDEX(AM$27:AM$43,$F530)</f>
        <v/>
      </c>
      <c r="AN530" s="36">
        <f>AN$10*$D530*INDEX(AN$18:AN$25,$E530)*INDEX(AN$27:AN$43,$F530)</f>
        <v/>
      </c>
    </row>
    <row r="531" hidden="1" outlineLevel="2">
      <c r="A531" s="5" t="inlineStr">
        <is>
          <t>ctxnew</t>
        </is>
      </c>
      <c r="B531" s="5" t="inlineStr">
        <is>
          <t>gso</t>
        </is>
      </c>
      <c r="C531" s="5" t="inlineStr">
        <is>
          <t>foo</t>
        </is>
      </c>
      <c r="D531" s="36">
        <f>INDEX(Inputs!$U$5:$U$132,MATCH($B531&amp;"|"&amp;$C531,Inputs!$A$5:$A$132,0))</f>
        <v/>
      </c>
      <c r="E531" s="36">
        <f>INDEX(Inputs!$J$5:$J$132,MATCH($B531&amp;"|"&amp;$C531,Inputs!$A$5:$A$132,0))</f>
        <v/>
      </c>
      <c r="F531" s="36">
        <f>INDEX(Inputs!$K$5:$K$132,MATCH($B531&amp;"|"&amp;$C531,Inputs!$A$5:$A$132,0))</f>
        <v/>
      </c>
      <c r="G531" s="37" t="n"/>
      <c r="H531" s="5">
        <f>INDEX(Variables!$B$5:$B$65,MATCH($A531,Variables!$A$5:$A$65,0))&amp;IF($C531="",""," | "&amp;INDEX(Mapping!$B$5:$B$25,MATCH($C531,Mapping!$A$5:$A$25,0))&amp;" | "&amp;INDEX(Mapping!$B$29:$B$38,MATCH($B531,Mapping!$A$29:$A$38,0)))</f>
        <v/>
      </c>
      <c r="I531" s="5">
        <f>INDEX(Variables!$C$5:$C$65,MATCH($A531,Variables!$A$5:$A$65,0))</f>
        <v/>
      </c>
      <c r="J531" s="5">
        <f>INDEX(Variables!$E$5:$E$65,MATCH($A531,Variables!$A$5:$A$65,0))</f>
        <v/>
      </c>
      <c r="K531" s="23">
        <f>LOWER(Settings!$C$4)&amp;".mit."&amp;$A531&amp;IF($C531="","","."&amp;$C531&amp;"."&amp;$B531)&amp;IF(INDEX(Variables!$D$5:$D$65,MATCH($A531,Variables!$A$5:$A$65,0))="","","."&amp;INDEX(Variables!$D$5:$D$65,MATCH($A531,Variables!$A$5:$A$65,0)))&amp;"."&amp;K$5</f>
        <v/>
      </c>
      <c r="L531" s="38">
        <f>L$10*$D531*INDEX(L$18:L$25,$E531)*INDEX(L$27:L$43,$F531)</f>
        <v/>
      </c>
      <c r="M531" s="36">
        <f>M$10*$D531*INDEX(M$18:M$25,$E531)*INDEX(M$27:M$43,$F531)</f>
        <v/>
      </c>
      <c r="N531" s="36">
        <f>N$10*$D531*INDEX(N$18:N$25,$E531)*INDEX(N$27:N$43,$F531)</f>
        <v/>
      </c>
      <c r="O531" s="36">
        <f>O$10*$D531*INDEX(O$18:O$25,$E531)*INDEX(O$27:O$43,$F531)</f>
        <v/>
      </c>
      <c r="P531" s="36">
        <f>P$10*$D531*INDEX(P$18:P$25,$E531)*INDEX(P$27:P$43,$F531)</f>
        <v/>
      </c>
      <c r="Q531" s="36">
        <f>Q$10*$D531*INDEX(Q$18:Q$25,$E531)*INDEX(Q$27:Q$43,$F531)</f>
        <v/>
      </c>
      <c r="R531" s="36">
        <f>R$10*$D531*INDEX(R$18:R$25,$E531)*INDEX(R$27:R$43,$F531)</f>
        <v/>
      </c>
      <c r="S531" s="36">
        <f>S$10*$D531*INDEX(S$18:S$25,$E531)*INDEX(S$27:S$43,$F531)</f>
        <v/>
      </c>
      <c r="T531" s="36">
        <f>T$10*$D531*INDEX(T$18:T$25,$E531)*INDEX(T$27:T$43,$F531)</f>
        <v/>
      </c>
      <c r="U531" s="36">
        <f>U$10*$D531*INDEX(U$18:U$25,$E531)*INDEX(U$27:U$43,$F531)</f>
        <v/>
      </c>
      <c r="V531" s="36">
        <f>V$10*$D531*INDEX(V$18:V$25,$E531)*INDEX(V$27:V$43,$F531)</f>
        <v/>
      </c>
      <c r="W531" s="36">
        <f>W$10*$D531*INDEX(W$18:W$25,$E531)*INDEX(W$27:W$43,$F531)</f>
        <v/>
      </c>
      <c r="X531" s="36">
        <f>X$10*$D531*INDEX(X$18:X$25,$E531)*INDEX(X$27:X$43,$F531)</f>
        <v/>
      </c>
      <c r="Y531" s="36">
        <f>Y$10*$D531*INDEX(Y$18:Y$25,$E531)*INDEX(Y$27:Y$43,$F531)</f>
        <v/>
      </c>
      <c r="Z531" s="23">
        <f>LOWER(Settings!$C$4)&amp;".mit."&amp;$A531&amp;IF($C531="","","."&amp;$C531&amp;"."&amp;$B531)&amp;IF(INDEX(Variables!$D$5:$D$65,MATCH($A531,Variables!$A$5:$A$65,0))="","","."&amp;INDEX(Variables!$D$5:$D$65,MATCH($A531,Variables!$A$5:$A$65,0)))&amp;"."&amp;Z$5</f>
        <v/>
      </c>
      <c r="AA531" s="38">
        <f>AA$10*$D531*INDEX(AA$18:AA$25,$E531)*INDEX(AA$27:AA$43,$F531)</f>
        <v/>
      </c>
      <c r="AB531" s="36">
        <f>AB$10*$D531*INDEX(AB$18:AB$25,$E531)*INDEX(AB$27:AB$43,$F531)</f>
        <v/>
      </c>
      <c r="AC531" s="36">
        <f>AC$10*$D531*INDEX(AC$18:AC$25,$E531)*INDEX(AC$27:AC$43,$F531)</f>
        <v/>
      </c>
      <c r="AD531" s="36">
        <f>AD$10*$D531*INDEX(AD$18:AD$25,$E531)*INDEX(AD$27:AD$43,$F531)</f>
        <v/>
      </c>
      <c r="AE531" s="36">
        <f>AE$10*$D531*INDEX(AE$18:AE$25,$E531)*INDEX(AE$27:AE$43,$F531)</f>
        <v/>
      </c>
      <c r="AF531" s="36">
        <f>AF$10*$D531*INDEX(AF$18:AF$25,$E531)*INDEX(AF$27:AF$43,$F531)</f>
        <v/>
      </c>
      <c r="AG531" s="36">
        <f>AG$10*$D531*INDEX(AG$18:AG$25,$E531)*INDEX(AG$27:AG$43,$F531)</f>
        <v/>
      </c>
      <c r="AH531" s="36">
        <f>AH$10*$D531*INDEX(AH$18:AH$25,$E531)*INDEX(AH$27:AH$43,$F531)</f>
        <v/>
      </c>
      <c r="AI531" s="36">
        <f>AI$10*$D531*INDEX(AI$18:AI$25,$E531)*INDEX(AI$27:AI$43,$F531)</f>
        <v/>
      </c>
      <c r="AJ531" s="36">
        <f>AJ$10*$D531*INDEX(AJ$18:AJ$25,$E531)*INDEX(AJ$27:AJ$43,$F531)</f>
        <v/>
      </c>
      <c r="AK531" s="36">
        <f>AK$10*$D531*INDEX(AK$18:AK$25,$E531)*INDEX(AK$27:AK$43,$F531)</f>
        <v/>
      </c>
      <c r="AL531" s="36">
        <f>AL$10*$D531*INDEX(AL$18:AL$25,$E531)*INDEX(AL$27:AL$43,$F531)</f>
        <v/>
      </c>
      <c r="AM531" s="36">
        <f>AM$10*$D531*INDEX(AM$18:AM$25,$E531)*INDEX(AM$27:AM$43,$F531)</f>
        <v/>
      </c>
      <c r="AN531" s="36">
        <f>AN$10*$D531*INDEX(AN$18:AN$25,$E531)*INDEX(AN$27:AN$43,$F531)</f>
        <v/>
      </c>
    </row>
    <row r="532" hidden="1" outlineLevel="2">
      <c r="A532" s="5" t="inlineStr">
        <is>
          <t>ctxnew</t>
        </is>
      </c>
      <c r="B532" s="5" t="inlineStr">
        <is>
          <t>die</t>
        </is>
      </c>
      <c r="C532" s="5" t="inlineStr">
        <is>
          <t>foo</t>
        </is>
      </c>
      <c r="D532" s="36">
        <f>INDEX(Inputs!$U$5:$U$132,MATCH($B532&amp;"|"&amp;$C532,Inputs!$A$5:$A$132,0))</f>
        <v/>
      </c>
      <c r="E532" s="36">
        <f>INDEX(Inputs!$J$5:$J$132,MATCH($B532&amp;"|"&amp;$C532,Inputs!$A$5:$A$132,0))</f>
        <v/>
      </c>
      <c r="F532" s="36">
        <f>INDEX(Inputs!$K$5:$K$132,MATCH($B532&amp;"|"&amp;$C532,Inputs!$A$5:$A$132,0))</f>
        <v/>
      </c>
      <c r="G532" s="37" t="n"/>
      <c r="H532" s="5">
        <f>INDEX(Variables!$B$5:$B$65,MATCH($A532,Variables!$A$5:$A$65,0))&amp;IF($C532="",""," | "&amp;INDEX(Mapping!$B$5:$B$25,MATCH($C532,Mapping!$A$5:$A$25,0))&amp;" | "&amp;INDEX(Mapping!$B$29:$B$38,MATCH($B532,Mapping!$A$29:$A$38,0)))</f>
        <v/>
      </c>
      <c r="I532" s="5">
        <f>INDEX(Variables!$C$5:$C$65,MATCH($A532,Variables!$A$5:$A$65,0))</f>
        <v/>
      </c>
      <c r="J532" s="5">
        <f>INDEX(Variables!$E$5:$E$65,MATCH($A532,Variables!$A$5:$A$65,0))</f>
        <v/>
      </c>
      <c r="K532" s="23">
        <f>LOWER(Settings!$C$4)&amp;".mit."&amp;$A532&amp;IF($C532="","","."&amp;$C532&amp;"."&amp;$B532)&amp;IF(INDEX(Variables!$D$5:$D$65,MATCH($A532,Variables!$A$5:$A$65,0))="","","."&amp;INDEX(Variables!$D$5:$D$65,MATCH($A532,Variables!$A$5:$A$65,0)))&amp;"."&amp;K$5</f>
        <v/>
      </c>
      <c r="L532" s="38">
        <f>L$10*$D532*INDEX(L$18:L$25,$E532)*INDEX(L$27:L$43,$F532)</f>
        <v/>
      </c>
      <c r="M532" s="36">
        <f>M$10*$D532*INDEX(M$18:M$25,$E532)*INDEX(M$27:M$43,$F532)</f>
        <v/>
      </c>
      <c r="N532" s="36">
        <f>N$10*$D532*INDEX(N$18:N$25,$E532)*INDEX(N$27:N$43,$F532)</f>
        <v/>
      </c>
      <c r="O532" s="36">
        <f>O$10*$D532*INDEX(O$18:O$25,$E532)*INDEX(O$27:O$43,$F532)</f>
        <v/>
      </c>
      <c r="P532" s="36">
        <f>P$10*$D532*INDEX(P$18:P$25,$E532)*INDEX(P$27:P$43,$F532)</f>
        <v/>
      </c>
      <c r="Q532" s="36">
        <f>Q$10*$D532*INDEX(Q$18:Q$25,$E532)*INDEX(Q$27:Q$43,$F532)</f>
        <v/>
      </c>
      <c r="R532" s="36">
        <f>R$10*$D532*INDEX(R$18:R$25,$E532)*INDEX(R$27:R$43,$F532)</f>
        <v/>
      </c>
      <c r="S532" s="36">
        <f>S$10*$D532*INDEX(S$18:S$25,$E532)*INDEX(S$27:S$43,$F532)</f>
        <v/>
      </c>
      <c r="T532" s="36">
        <f>T$10*$D532*INDEX(T$18:T$25,$E532)*INDEX(T$27:T$43,$F532)</f>
        <v/>
      </c>
      <c r="U532" s="36">
        <f>U$10*$D532*INDEX(U$18:U$25,$E532)*INDEX(U$27:U$43,$F532)</f>
        <v/>
      </c>
      <c r="V532" s="36">
        <f>V$10*$D532*INDEX(V$18:V$25,$E532)*INDEX(V$27:V$43,$F532)</f>
        <v/>
      </c>
      <c r="W532" s="36">
        <f>W$10*$D532*INDEX(W$18:W$25,$E532)*INDEX(W$27:W$43,$F532)</f>
        <v/>
      </c>
      <c r="X532" s="36">
        <f>X$10*$D532*INDEX(X$18:X$25,$E532)*INDEX(X$27:X$43,$F532)</f>
        <v/>
      </c>
      <c r="Y532" s="36">
        <f>Y$10*$D532*INDEX(Y$18:Y$25,$E532)*INDEX(Y$27:Y$43,$F532)</f>
        <v/>
      </c>
      <c r="Z532" s="23">
        <f>LOWER(Settings!$C$4)&amp;".mit."&amp;$A532&amp;IF($C532="","","."&amp;$C532&amp;"."&amp;$B532)&amp;IF(INDEX(Variables!$D$5:$D$65,MATCH($A532,Variables!$A$5:$A$65,0))="","","."&amp;INDEX(Variables!$D$5:$D$65,MATCH($A532,Variables!$A$5:$A$65,0)))&amp;"."&amp;Z$5</f>
        <v/>
      </c>
      <c r="AA532" s="38">
        <f>AA$10*$D532*INDEX(AA$18:AA$25,$E532)*INDEX(AA$27:AA$43,$F532)</f>
        <v/>
      </c>
      <c r="AB532" s="36">
        <f>AB$10*$D532*INDEX(AB$18:AB$25,$E532)*INDEX(AB$27:AB$43,$F532)</f>
        <v/>
      </c>
      <c r="AC532" s="36">
        <f>AC$10*$D532*INDEX(AC$18:AC$25,$E532)*INDEX(AC$27:AC$43,$F532)</f>
        <v/>
      </c>
      <c r="AD532" s="36">
        <f>AD$10*$D532*INDEX(AD$18:AD$25,$E532)*INDEX(AD$27:AD$43,$F532)</f>
        <v/>
      </c>
      <c r="AE532" s="36">
        <f>AE$10*$D532*INDEX(AE$18:AE$25,$E532)*INDEX(AE$27:AE$43,$F532)</f>
        <v/>
      </c>
      <c r="AF532" s="36">
        <f>AF$10*$D532*INDEX(AF$18:AF$25,$E532)*INDEX(AF$27:AF$43,$F532)</f>
        <v/>
      </c>
      <c r="AG532" s="36">
        <f>AG$10*$D532*INDEX(AG$18:AG$25,$E532)*INDEX(AG$27:AG$43,$F532)</f>
        <v/>
      </c>
      <c r="AH532" s="36">
        <f>AH$10*$D532*INDEX(AH$18:AH$25,$E532)*INDEX(AH$27:AH$43,$F532)</f>
        <v/>
      </c>
      <c r="AI532" s="36">
        <f>AI$10*$D532*INDEX(AI$18:AI$25,$E532)*INDEX(AI$27:AI$43,$F532)</f>
        <v/>
      </c>
      <c r="AJ532" s="36">
        <f>AJ$10*$D532*INDEX(AJ$18:AJ$25,$E532)*INDEX(AJ$27:AJ$43,$F532)</f>
        <v/>
      </c>
      <c r="AK532" s="36">
        <f>AK$10*$D532*INDEX(AK$18:AK$25,$E532)*INDEX(AK$27:AK$43,$F532)</f>
        <v/>
      </c>
      <c r="AL532" s="36">
        <f>AL$10*$D532*INDEX(AL$18:AL$25,$E532)*INDEX(AL$27:AL$43,$F532)</f>
        <v/>
      </c>
      <c r="AM532" s="36">
        <f>AM$10*$D532*INDEX(AM$18:AM$25,$E532)*INDEX(AM$27:AM$43,$F532)</f>
        <v/>
      </c>
      <c r="AN532" s="36">
        <f>AN$10*$D532*INDEX(AN$18:AN$25,$E532)*INDEX(AN$27:AN$43,$F532)</f>
        <v/>
      </c>
    </row>
    <row r="533" hidden="1" outlineLevel="2">
      <c r="A533" s="5" t="inlineStr">
        <is>
          <t>ctxnew</t>
        </is>
      </c>
      <c r="B533" s="5" t="inlineStr">
        <is>
          <t>lpg</t>
        </is>
      </c>
      <c r="C533" s="5" t="inlineStr">
        <is>
          <t>foo</t>
        </is>
      </c>
      <c r="D533" s="36">
        <f>INDEX(Inputs!$U$5:$U$132,MATCH($B533&amp;"|"&amp;$C533,Inputs!$A$5:$A$132,0))</f>
        <v/>
      </c>
      <c r="E533" s="36">
        <f>INDEX(Inputs!$J$5:$J$132,MATCH($B533&amp;"|"&amp;$C533,Inputs!$A$5:$A$132,0))</f>
        <v/>
      </c>
      <c r="F533" s="36">
        <f>INDEX(Inputs!$K$5:$K$132,MATCH($B533&amp;"|"&amp;$C533,Inputs!$A$5:$A$132,0))</f>
        <v/>
      </c>
      <c r="G533" s="37" t="n"/>
      <c r="H533" s="5">
        <f>INDEX(Variables!$B$5:$B$65,MATCH($A533,Variables!$A$5:$A$65,0))&amp;IF($C533="",""," | "&amp;INDEX(Mapping!$B$5:$B$25,MATCH($C533,Mapping!$A$5:$A$25,0))&amp;" | "&amp;INDEX(Mapping!$B$29:$B$38,MATCH($B533,Mapping!$A$29:$A$38,0)))</f>
        <v/>
      </c>
      <c r="I533" s="5">
        <f>INDEX(Variables!$C$5:$C$65,MATCH($A533,Variables!$A$5:$A$65,0))</f>
        <v/>
      </c>
      <c r="J533" s="5">
        <f>INDEX(Variables!$E$5:$E$65,MATCH($A533,Variables!$A$5:$A$65,0))</f>
        <v/>
      </c>
      <c r="K533" s="23">
        <f>LOWER(Settings!$C$4)&amp;".mit."&amp;$A533&amp;IF($C533="","","."&amp;$C533&amp;"."&amp;$B533)&amp;IF(INDEX(Variables!$D$5:$D$65,MATCH($A533,Variables!$A$5:$A$65,0))="","","."&amp;INDEX(Variables!$D$5:$D$65,MATCH($A533,Variables!$A$5:$A$65,0)))&amp;"."&amp;K$5</f>
        <v/>
      </c>
      <c r="L533" s="38">
        <f>L$10*$D533*INDEX(L$18:L$25,$E533)*INDEX(L$27:L$43,$F533)</f>
        <v/>
      </c>
      <c r="M533" s="36">
        <f>M$10*$D533*INDEX(M$18:M$25,$E533)*INDEX(M$27:M$43,$F533)</f>
        <v/>
      </c>
      <c r="N533" s="36">
        <f>N$10*$D533*INDEX(N$18:N$25,$E533)*INDEX(N$27:N$43,$F533)</f>
        <v/>
      </c>
      <c r="O533" s="36">
        <f>O$10*$D533*INDEX(O$18:O$25,$E533)*INDEX(O$27:O$43,$F533)</f>
        <v/>
      </c>
      <c r="P533" s="36">
        <f>P$10*$D533*INDEX(P$18:P$25,$E533)*INDEX(P$27:P$43,$F533)</f>
        <v/>
      </c>
      <c r="Q533" s="36">
        <f>Q$10*$D533*INDEX(Q$18:Q$25,$E533)*INDEX(Q$27:Q$43,$F533)</f>
        <v/>
      </c>
      <c r="R533" s="36">
        <f>R$10*$D533*INDEX(R$18:R$25,$E533)*INDEX(R$27:R$43,$F533)</f>
        <v/>
      </c>
      <c r="S533" s="36">
        <f>S$10*$D533*INDEX(S$18:S$25,$E533)*INDEX(S$27:S$43,$F533)</f>
        <v/>
      </c>
      <c r="T533" s="36">
        <f>T$10*$D533*INDEX(T$18:T$25,$E533)*INDEX(T$27:T$43,$F533)</f>
        <v/>
      </c>
      <c r="U533" s="36">
        <f>U$10*$D533*INDEX(U$18:U$25,$E533)*INDEX(U$27:U$43,$F533)</f>
        <v/>
      </c>
      <c r="V533" s="36">
        <f>V$10*$D533*INDEX(V$18:V$25,$E533)*INDEX(V$27:V$43,$F533)</f>
        <v/>
      </c>
      <c r="W533" s="36">
        <f>W$10*$D533*INDEX(W$18:W$25,$E533)*INDEX(W$27:W$43,$F533)</f>
        <v/>
      </c>
      <c r="X533" s="36">
        <f>X$10*$D533*INDEX(X$18:X$25,$E533)*INDEX(X$27:X$43,$F533)</f>
        <v/>
      </c>
      <c r="Y533" s="36">
        <f>Y$10*$D533*INDEX(Y$18:Y$25,$E533)*INDEX(Y$27:Y$43,$F533)</f>
        <v/>
      </c>
      <c r="Z533" s="23">
        <f>LOWER(Settings!$C$4)&amp;".mit."&amp;$A533&amp;IF($C533="","","."&amp;$C533&amp;"."&amp;$B533)&amp;IF(INDEX(Variables!$D$5:$D$65,MATCH($A533,Variables!$A$5:$A$65,0))="","","."&amp;INDEX(Variables!$D$5:$D$65,MATCH($A533,Variables!$A$5:$A$65,0)))&amp;"."&amp;Z$5</f>
        <v/>
      </c>
      <c r="AA533" s="38">
        <f>AA$10*$D533*INDEX(AA$18:AA$25,$E533)*INDEX(AA$27:AA$43,$F533)</f>
        <v/>
      </c>
      <c r="AB533" s="36">
        <f>AB$10*$D533*INDEX(AB$18:AB$25,$E533)*INDEX(AB$27:AB$43,$F533)</f>
        <v/>
      </c>
      <c r="AC533" s="36">
        <f>AC$10*$D533*INDEX(AC$18:AC$25,$E533)*INDEX(AC$27:AC$43,$F533)</f>
        <v/>
      </c>
      <c r="AD533" s="36">
        <f>AD$10*$D533*INDEX(AD$18:AD$25,$E533)*INDEX(AD$27:AD$43,$F533)</f>
        <v/>
      </c>
      <c r="AE533" s="36">
        <f>AE$10*$D533*INDEX(AE$18:AE$25,$E533)*INDEX(AE$27:AE$43,$F533)</f>
        <v/>
      </c>
      <c r="AF533" s="36">
        <f>AF$10*$D533*INDEX(AF$18:AF$25,$E533)*INDEX(AF$27:AF$43,$F533)</f>
        <v/>
      </c>
      <c r="AG533" s="36">
        <f>AG$10*$D533*INDEX(AG$18:AG$25,$E533)*INDEX(AG$27:AG$43,$F533)</f>
        <v/>
      </c>
      <c r="AH533" s="36">
        <f>AH$10*$D533*INDEX(AH$18:AH$25,$E533)*INDEX(AH$27:AH$43,$F533)</f>
        <v/>
      </c>
      <c r="AI533" s="36">
        <f>AI$10*$D533*INDEX(AI$18:AI$25,$E533)*INDEX(AI$27:AI$43,$F533)</f>
        <v/>
      </c>
      <c r="AJ533" s="36">
        <f>AJ$10*$D533*INDEX(AJ$18:AJ$25,$E533)*INDEX(AJ$27:AJ$43,$F533)</f>
        <v/>
      </c>
      <c r="AK533" s="36">
        <f>AK$10*$D533*INDEX(AK$18:AK$25,$E533)*INDEX(AK$27:AK$43,$F533)</f>
        <v/>
      </c>
      <c r="AL533" s="36">
        <f>AL$10*$D533*INDEX(AL$18:AL$25,$E533)*INDEX(AL$27:AL$43,$F533)</f>
        <v/>
      </c>
      <c r="AM533" s="36">
        <f>AM$10*$D533*INDEX(AM$18:AM$25,$E533)*INDEX(AM$27:AM$43,$F533)</f>
        <v/>
      </c>
      <c r="AN533" s="36">
        <f>AN$10*$D533*INDEX(AN$18:AN$25,$E533)*INDEX(AN$27:AN$43,$F533)</f>
        <v/>
      </c>
    </row>
    <row r="534" hidden="1" outlineLevel="2">
      <c r="A534" s="5" t="inlineStr">
        <is>
          <t>ctxnew</t>
        </is>
      </c>
      <c r="B534" s="5" t="inlineStr">
        <is>
          <t>ker</t>
        </is>
      </c>
      <c r="C534" s="5" t="inlineStr">
        <is>
          <t>foo</t>
        </is>
      </c>
      <c r="D534" s="36">
        <f>INDEX(Inputs!$U$5:$U$132,MATCH($B534&amp;"|"&amp;$C534,Inputs!$A$5:$A$132,0))</f>
        <v/>
      </c>
      <c r="E534" s="36">
        <f>INDEX(Inputs!$J$5:$J$132,MATCH($B534&amp;"|"&amp;$C534,Inputs!$A$5:$A$132,0))</f>
        <v/>
      </c>
      <c r="F534" s="36">
        <f>INDEX(Inputs!$K$5:$K$132,MATCH($B534&amp;"|"&amp;$C534,Inputs!$A$5:$A$132,0))</f>
        <v/>
      </c>
      <c r="G534" s="37" t="n"/>
      <c r="H534" s="5">
        <f>INDEX(Variables!$B$5:$B$65,MATCH($A534,Variables!$A$5:$A$65,0))&amp;IF($C534="",""," | "&amp;INDEX(Mapping!$B$5:$B$25,MATCH($C534,Mapping!$A$5:$A$25,0))&amp;" | "&amp;INDEX(Mapping!$B$29:$B$38,MATCH($B534,Mapping!$A$29:$A$38,0)))</f>
        <v/>
      </c>
      <c r="I534" s="5">
        <f>INDEX(Variables!$C$5:$C$65,MATCH($A534,Variables!$A$5:$A$65,0))</f>
        <v/>
      </c>
      <c r="J534" s="5">
        <f>INDEX(Variables!$E$5:$E$65,MATCH($A534,Variables!$A$5:$A$65,0))</f>
        <v/>
      </c>
      <c r="K534" s="23">
        <f>LOWER(Settings!$C$4)&amp;".mit."&amp;$A534&amp;IF($C534="","","."&amp;$C534&amp;"."&amp;$B534)&amp;IF(INDEX(Variables!$D$5:$D$65,MATCH($A534,Variables!$A$5:$A$65,0))="","","."&amp;INDEX(Variables!$D$5:$D$65,MATCH($A534,Variables!$A$5:$A$65,0)))&amp;"."&amp;K$5</f>
        <v/>
      </c>
      <c r="L534" s="38">
        <f>L$10*$D534*INDEX(L$18:L$25,$E534)*INDEX(L$27:L$43,$F534)</f>
        <v/>
      </c>
      <c r="M534" s="36">
        <f>M$10*$D534*INDEX(M$18:M$25,$E534)*INDEX(M$27:M$43,$F534)</f>
        <v/>
      </c>
      <c r="N534" s="36">
        <f>N$10*$D534*INDEX(N$18:N$25,$E534)*INDEX(N$27:N$43,$F534)</f>
        <v/>
      </c>
      <c r="O534" s="36">
        <f>O$10*$D534*INDEX(O$18:O$25,$E534)*INDEX(O$27:O$43,$F534)</f>
        <v/>
      </c>
      <c r="P534" s="36">
        <f>P$10*$D534*INDEX(P$18:P$25,$E534)*INDEX(P$27:P$43,$F534)</f>
        <v/>
      </c>
      <c r="Q534" s="36">
        <f>Q$10*$D534*INDEX(Q$18:Q$25,$E534)*INDEX(Q$27:Q$43,$F534)</f>
        <v/>
      </c>
      <c r="R534" s="36">
        <f>R$10*$D534*INDEX(R$18:R$25,$E534)*INDEX(R$27:R$43,$F534)</f>
        <v/>
      </c>
      <c r="S534" s="36">
        <f>S$10*$D534*INDEX(S$18:S$25,$E534)*INDEX(S$27:S$43,$F534)</f>
        <v/>
      </c>
      <c r="T534" s="36">
        <f>T$10*$D534*INDEX(T$18:T$25,$E534)*INDEX(T$27:T$43,$F534)</f>
        <v/>
      </c>
      <c r="U534" s="36">
        <f>U$10*$D534*INDEX(U$18:U$25,$E534)*INDEX(U$27:U$43,$F534)</f>
        <v/>
      </c>
      <c r="V534" s="36">
        <f>V$10*$D534*INDEX(V$18:V$25,$E534)*INDEX(V$27:V$43,$F534)</f>
        <v/>
      </c>
      <c r="W534" s="36">
        <f>W$10*$D534*INDEX(W$18:W$25,$E534)*INDEX(W$27:W$43,$F534)</f>
        <v/>
      </c>
      <c r="X534" s="36">
        <f>X$10*$D534*INDEX(X$18:X$25,$E534)*INDEX(X$27:X$43,$F534)</f>
        <v/>
      </c>
      <c r="Y534" s="36">
        <f>Y$10*$D534*INDEX(Y$18:Y$25,$E534)*INDEX(Y$27:Y$43,$F534)</f>
        <v/>
      </c>
      <c r="Z534" s="23">
        <f>LOWER(Settings!$C$4)&amp;".mit."&amp;$A534&amp;IF($C534="","","."&amp;$C534&amp;"."&amp;$B534)&amp;IF(INDEX(Variables!$D$5:$D$65,MATCH($A534,Variables!$A$5:$A$65,0))="","","."&amp;INDEX(Variables!$D$5:$D$65,MATCH($A534,Variables!$A$5:$A$65,0)))&amp;"."&amp;Z$5</f>
        <v/>
      </c>
      <c r="AA534" s="38">
        <f>AA$10*$D534*INDEX(AA$18:AA$25,$E534)*INDEX(AA$27:AA$43,$F534)</f>
        <v/>
      </c>
      <c r="AB534" s="36">
        <f>AB$10*$D534*INDEX(AB$18:AB$25,$E534)*INDEX(AB$27:AB$43,$F534)</f>
        <v/>
      </c>
      <c r="AC534" s="36">
        <f>AC$10*$D534*INDEX(AC$18:AC$25,$E534)*INDEX(AC$27:AC$43,$F534)</f>
        <v/>
      </c>
      <c r="AD534" s="36">
        <f>AD$10*$D534*INDEX(AD$18:AD$25,$E534)*INDEX(AD$27:AD$43,$F534)</f>
        <v/>
      </c>
      <c r="AE534" s="36">
        <f>AE$10*$D534*INDEX(AE$18:AE$25,$E534)*INDEX(AE$27:AE$43,$F534)</f>
        <v/>
      </c>
      <c r="AF534" s="36">
        <f>AF$10*$D534*INDEX(AF$18:AF$25,$E534)*INDEX(AF$27:AF$43,$F534)</f>
        <v/>
      </c>
      <c r="AG534" s="36">
        <f>AG$10*$D534*INDEX(AG$18:AG$25,$E534)*INDEX(AG$27:AG$43,$F534)</f>
        <v/>
      </c>
      <c r="AH534" s="36">
        <f>AH$10*$D534*INDEX(AH$18:AH$25,$E534)*INDEX(AH$27:AH$43,$F534)</f>
        <v/>
      </c>
      <c r="AI534" s="36">
        <f>AI$10*$D534*INDEX(AI$18:AI$25,$E534)*INDEX(AI$27:AI$43,$F534)</f>
        <v/>
      </c>
      <c r="AJ534" s="36">
        <f>AJ$10*$D534*INDEX(AJ$18:AJ$25,$E534)*INDEX(AJ$27:AJ$43,$F534)</f>
        <v/>
      </c>
      <c r="AK534" s="36">
        <f>AK$10*$D534*INDEX(AK$18:AK$25,$E534)*INDEX(AK$27:AK$43,$F534)</f>
        <v/>
      </c>
      <c r="AL534" s="36">
        <f>AL$10*$D534*INDEX(AL$18:AL$25,$E534)*INDEX(AL$27:AL$43,$F534)</f>
        <v/>
      </c>
      <c r="AM534" s="36">
        <f>AM$10*$D534*INDEX(AM$18:AM$25,$E534)*INDEX(AM$27:AM$43,$F534)</f>
        <v/>
      </c>
      <c r="AN534" s="36">
        <f>AN$10*$D534*INDEX(AN$18:AN$25,$E534)*INDEX(AN$27:AN$43,$F534)</f>
        <v/>
      </c>
    </row>
    <row r="535" hidden="1" outlineLevel="2">
      <c r="A535" s="5" t="inlineStr">
        <is>
          <t>ctxnew</t>
        </is>
      </c>
      <c r="B535" s="5" t="inlineStr">
        <is>
          <t>oop</t>
        </is>
      </c>
      <c r="C535" s="5" t="inlineStr">
        <is>
          <t>foo</t>
        </is>
      </c>
      <c r="D535" s="36">
        <f>INDEX(Inputs!$U$5:$U$132,MATCH($B535&amp;"|"&amp;$C535,Inputs!$A$5:$A$132,0))</f>
        <v/>
      </c>
      <c r="E535" s="36">
        <f>INDEX(Inputs!$J$5:$J$132,MATCH($B535&amp;"|"&amp;$C535,Inputs!$A$5:$A$132,0))</f>
        <v/>
      </c>
      <c r="F535" s="36">
        <f>INDEX(Inputs!$K$5:$K$132,MATCH($B535&amp;"|"&amp;$C535,Inputs!$A$5:$A$132,0))</f>
        <v/>
      </c>
      <c r="G535" s="37" t="n"/>
      <c r="H535" s="5">
        <f>INDEX(Variables!$B$5:$B$65,MATCH($A535,Variables!$A$5:$A$65,0))&amp;IF($C535="",""," | "&amp;INDEX(Mapping!$B$5:$B$25,MATCH($C535,Mapping!$A$5:$A$25,0))&amp;" | "&amp;INDEX(Mapping!$B$29:$B$38,MATCH($B535,Mapping!$A$29:$A$38,0)))</f>
        <v/>
      </c>
      <c r="I535" s="5">
        <f>INDEX(Variables!$C$5:$C$65,MATCH($A535,Variables!$A$5:$A$65,0))</f>
        <v/>
      </c>
      <c r="J535" s="5">
        <f>INDEX(Variables!$E$5:$E$65,MATCH($A535,Variables!$A$5:$A$65,0))</f>
        <v/>
      </c>
      <c r="K535" s="23">
        <f>LOWER(Settings!$C$4)&amp;".mit."&amp;$A535&amp;IF($C535="","","."&amp;$C535&amp;"."&amp;$B535)&amp;IF(INDEX(Variables!$D$5:$D$65,MATCH($A535,Variables!$A$5:$A$65,0))="","","."&amp;INDEX(Variables!$D$5:$D$65,MATCH($A535,Variables!$A$5:$A$65,0)))&amp;"."&amp;K$5</f>
        <v/>
      </c>
      <c r="L535" s="38">
        <f>L$10*$D535*INDEX(L$18:L$25,$E535)*INDEX(L$27:L$43,$F535)</f>
        <v/>
      </c>
      <c r="M535" s="36">
        <f>M$10*$D535*INDEX(M$18:M$25,$E535)*INDEX(M$27:M$43,$F535)</f>
        <v/>
      </c>
      <c r="N535" s="36">
        <f>N$10*$D535*INDEX(N$18:N$25,$E535)*INDEX(N$27:N$43,$F535)</f>
        <v/>
      </c>
      <c r="O535" s="36">
        <f>O$10*$D535*INDEX(O$18:O$25,$E535)*INDEX(O$27:O$43,$F535)</f>
        <v/>
      </c>
      <c r="P535" s="36">
        <f>P$10*$D535*INDEX(P$18:P$25,$E535)*INDEX(P$27:P$43,$F535)</f>
        <v/>
      </c>
      <c r="Q535" s="36">
        <f>Q$10*$D535*INDEX(Q$18:Q$25,$E535)*INDEX(Q$27:Q$43,$F535)</f>
        <v/>
      </c>
      <c r="R535" s="36">
        <f>R$10*$D535*INDEX(R$18:R$25,$E535)*INDEX(R$27:R$43,$F535)</f>
        <v/>
      </c>
      <c r="S535" s="36">
        <f>S$10*$D535*INDEX(S$18:S$25,$E535)*INDEX(S$27:S$43,$F535)</f>
        <v/>
      </c>
      <c r="T535" s="36">
        <f>T$10*$D535*INDEX(T$18:T$25,$E535)*INDEX(T$27:T$43,$F535)</f>
        <v/>
      </c>
      <c r="U535" s="36">
        <f>U$10*$D535*INDEX(U$18:U$25,$E535)*INDEX(U$27:U$43,$F535)</f>
        <v/>
      </c>
      <c r="V535" s="36">
        <f>V$10*$D535*INDEX(V$18:V$25,$E535)*INDEX(V$27:V$43,$F535)</f>
        <v/>
      </c>
      <c r="W535" s="36">
        <f>W$10*$D535*INDEX(W$18:W$25,$E535)*INDEX(W$27:W$43,$F535)</f>
        <v/>
      </c>
      <c r="X535" s="36">
        <f>X$10*$D535*INDEX(X$18:X$25,$E535)*INDEX(X$27:X$43,$F535)</f>
        <v/>
      </c>
      <c r="Y535" s="36">
        <f>Y$10*$D535*INDEX(Y$18:Y$25,$E535)*INDEX(Y$27:Y$43,$F535)</f>
        <v/>
      </c>
      <c r="Z535" s="23">
        <f>LOWER(Settings!$C$4)&amp;".mit."&amp;$A535&amp;IF($C535="","","."&amp;$C535&amp;"."&amp;$B535)&amp;IF(INDEX(Variables!$D$5:$D$65,MATCH($A535,Variables!$A$5:$A$65,0))="","","."&amp;INDEX(Variables!$D$5:$D$65,MATCH($A535,Variables!$A$5:$A$65,0)))&amp;"."&amp;Z$5</f>
        <v/>
      </c>
      <c r="AA535" s="38">
        <f>AA$10*$D535*INDEX(AA$18:AA$25,$E535)*INDEX(AA$27:AA$43,$F535)</f>
        <v/>
      </c>
      <c r="AB535" s="36">
        <f>AB$10*$D535*INDEX(AB$18:AB$25,$E535)*INDEX(AB$27:AB$43,$F535)</f>
        <v/>
      </c>
      <c r="AC535" s="36">
        <f>AC$10*$D535*INDEX(AC$18:AC$25,$E535)*INDEX(AC$27:AC$43,$F535)</f>
        <v/>
      </c>
      <c r="AD535" s="36">
        <f>AD$10*$D535*INDEX(AD$18:AD$25,$E535)*INDEX(AD$27:AD$43,$F535)</f>
        <v/>
      </c>
      <c r="AE535" s="36">
        <f>AE$10*$D535*INDEX(AE$18:AE$25,$E535)*INDEX(AE$27:AE$43,$F535)</f>
        <v/>
      </c>
      <c r="AF535" s="36">
        <f>AF$10*$D535*INDEX(AF$18:AF$25,$E535)*INDEX(AF$27:AF$43,$F535)</f>
        <v/>
      </c>
      <c r="AG535" s="36">
        <f>AG$10*$D535*INDEX(AG$18:AG$25,$E535)*INDEX(AG$27:AG$43,$F535)</f>
        <v/>
      </c>
      <c r="AH535" s="36">
        <f>AH$10*$D535*INDEX(AH$18:AH$25,$E535)*INDEX(AH$27:AH$43,$F535)</f>
        <v/>
      </c>
      <c r="AI535" s="36">
        <f>AI$10*$D535*INDEX(AI$18:AI$25,$E535)*INDEX(AI$27:AI$43,$F535)</f>
        <v/>
      </c>
      <c r="AJ535" s="36">
        <f>AJ$10*$D535*INDEX(AJ$18:AJ$25,$E535)*INDEX(AJ$27:AJ$43,$F535)</f>
        <v/>
      </c>
      <c r="AK535" s="36">
        <f>AK$10*$D535*INDEX(AK$18:AK$25,$E535)*INDEX(AK$27:AK$43,$F535)</f>
        <v/>
      </c>
      <c r="AL535" s="36">
        <f>AL$10*$D535*INDEX(AL$18:AL$25,$E535)*INDEX(AL$27:AL$43,$F535)</f>
        <v/>
      </c>
      <c r="AM535" s="36">
        <f>AM$10*$D535*INDEX(AM$18:AM$25,$E535)*INDEX(AM$27:AM$43,$F535)</f>
        <v/>
      </c>
      <c r="AN535" s="36">
        <f>AN$10*$D535*INDEX(AN$18:AN$25,$E535)*INDEX(AN$27:AN$43,$F535)</f>
        <v/>
      </c>
    </row>
    <row r="536" hidden="1" outlineLevel="2">
      <c r="A536" s="5" t="inlineStr">
        <is>
          <t>ctxnew</t>
        </is>
      </c>
      <c r="B536" s="5" t="inlineStr">
        <is>
          <t>bio</t>
        </is>
      </c>
      <c r="C536" s="5" t="inlineStr">
        <is>
          <t>foo</t>
        </is>
      </c>
      <c r="D536" s="36">
        <f>INDEX(Inputs!$U$5:$U$132,MATCH($B536&amp;"|"&amp;$C536,Inputs!$A$5:$A$132,0))</f>
        <v/>
      </c>
      <c r="E536" s="36">
        <f>INDEX(Inputs!$J$5:$J$132,MATCH($B536&amp;"|"&amp;$C536,Inputs!$A$5:$A$132,0))</f>
        <v/>
      </c>
      <c r="F536" s="36">
        <f>INDEX(Inputs!$K$5:$K$132,MATCH($B536&amp;"|"&amp;$C536,Inputs!$A$5:$A$132,0))</f>
        <v/>
      </c>
      <c r="G536" s="37" t="n"/>
      <c r="H536" s="5">
        <f>INDEX(Variables!$B$5:$B$65,MATCH($A536,Variables!$A$5:$A$65,0))&amp;IF($C536="",""," | "&amp;INDEX(Mapping!$B$5:$B$25,MATCH($C536,Mapping!$A$5:$A$25,0))&amp;" | "&amp;INDEX(Mapping!$B$29:$B$38,MATCH($B536,Mapping!$A$29:$A$38,0)))</f>
        <v/>
      </c>
      <c r="I536" s="5">
        <f>INDEX(Variables!$C$5:$C$65,MATCH($A536,Variables!$A$5:$A$65,0))</f>
        <v/>
      </c>
      <c r="J536" s="5">
        <f>INDEX(Variables!$E$5:$E$65,MATCH($A536,Variables!$A$5:$A$65,0))</f>
        <v/>
      </c>
      <c r="K536" s="23">
        <f>LOWER(Settings!$C$4)&amp;".mit."&amp;$A536&amp;IF($C536="","","."&amp;$C536&amp;"."&amp;$B536)&amp;IF(INDEX(Variables!$D$5:$D$65,MATCH($A536,Variables!$A$5:$A$65,0))="","","."&amp;INDEX(Variables!$D$5:$D$65,MATCH($A536,Variables!$A$5:$A$65,0)))&amp;"."&amp;K$5</f>
        <v/>
      </c>
      <c r="L536" s="38">
        <f>L$10*$D536*INDEX(L$18:L$25,$E536)*INDEX(L$27:L$43,$F536)</f>
        <v/>
      </c>
      <c r="M536" s="36">
        <f>M$10*$D536*INDEX(M$18:M$25,$E536)*INDEX(M$27:M$43,$F536)</f>
        <v/>
      </c>
      <c r="N536" s="36">
        <f>N$10*$D536*INDEX(N$18:N$25,$E536)*INDEX(N$27:N$43,$F536)</f>
        <v/>
      </c>
      <c r="O536" s="36">
        <f>O$10*$D536*INDEX(O$18:O$25,$E536)*INDEX(O$27:O$43,$F536)</f>
        <v/>
      </c>
      <c r="P536" s="36">
        <f>P$10*$D536*INDEX(P$18:P$25,$E536)*INDEX(P$27:P$43,$F536)</f>
        <v/>
      </c>
      <c r="Q536" s="36">
        <f>Q$10*$D536*INDEX(Q$18:Q$25,$E536)*INDEX(Q$27:Q$43,$F536)</f>
        <v/>
      </c>
      <c r="R536" s="36">
        <f>R$10*$D536*INDEX(R$18:R$25,$E536)*INDEX(R$27:R$43,$F536)</f>
        <v/>
      </c>
      <c r="S536" s="36">
        <f>S$10*$D536*INDEX(S$18:S$25,$E536)*INDEX(S$27:S$43,$F536)</f>
        <v/>
      </c>
      <c r="T536" s="36">
        <f>T$10*$D536*INDEX(T$18:T$25,$E536)*INDEX(T$27:T$43,$F536)</f>
        <v/>
      </c>
      <c r="U536" s="36">
        <f>U$10*$D536*INDEX(U$18:U$25,$E536)*INDEX(U$27:U$43,$F536)</f>
        <v/>
      </c>
      <c r="V536" s="36">
        <f>V$10*$D536*INDEX(V$18:V$25,$E536)*INDEX(V$27:V$43,$F536)</f>
        <v/>
      </c>
      <c r="W536" s="36">
        <f>W$10*$D536*INDEX(W$18:W$25,$E536)*INDEX(W$27:W$43,$F536)</f>
        <v/>
      </c>
      <c r="X536" s="36">
        <f>X$10*$D536*INDEX(X$18:X$25,$E536)*INDEX(X$27:X$43,$F536)</f>
        <v/>
      </c>
      <c r="Y536" s="36">
        <f>Y$10*$D536*INDEX(Y$18:Y$25,$E536)*INDEX(Y$27:Y$43,$F536)</f>
        <v/>
      </c>
      <c r="Z536" s="23">
        <f>LOWER(Settings!$C$4)&amp;".mit."&amp;$A536&amp;IF($C536="","","."&amp;$C536&amp;"."&amp;$B536)&amp;IF(INDEX(Variables!$D$5:$D$65,MATCH($A536,Variables!$A$5:$A$65,0))="","","."&amp;INDEX(Variables!$D$5:$D$65,MATCH($A536,Variables!$A$5:$A$65,0)))&amp;"."&amp;Z$5</f>
        <v/>
      </c>
      <c r="AA536" s="38">
        <f>AA$10*$D536*INDEX(AA$18:AA$25,$E536)*INDEX(AA$27:AA$43,$F536)</f>
        <v/>
      </c>
      <c r="AB536" s="36">
        <f>AB$10*$D536*INDEX(AB$18:AB$25,$E536)*INDEX(AB$27:AB$43,$F536)</f>
        <v/>
      </c>
      <c r="AC536" s="36">
        <f>AC$10*$D536*INDEX(AC$18:AC$25,$E536)*INDEX(AC$27:AC$43,$F536)</f>
        <v/>
      </c>
      <c r="AD536" s="36">
        <f>AD$10*$D536*INDEX(AD$18:AD$25,$E536)*INDEX(AD$27:AD$43,$F536)</f>
        <v/>
      </c>
      <c r="AE536" s="36">
        <f>AE$10*$D536*INDEX(AE$18:AE$25,$E536)*INDEX(AE$27:AE$43,$F536)</f>
        <v/>
      </c>
      <c r="AF536" s="36">
        <f>AF$10*$D536*INDEX(AF$18:AF$25,$E536)*INDEX(AF$27:AF$43,$F536)</f>
        <v/>
      </c>
      <c r="AG536" s="36">
        <f>AG$10*$D536*INDEX(AG$18:AG$25,$E536)*INDEX(AG$27:AG$43,$F536)</f>
        <v/>
      </c>
      <c r="AH536" s="36">
        <f>AH$10*$D536*INDEX(AH$18:AH$25,$E536)*INDEX(AH$27:AH$43,$F536)</f>
        <v/>
      </c>
      <c r="AI536" s="36">
        <f>AI$10*$D536*INDEX(AI$18:AI$25,$E536)*INDEX(AI$27:AI$43,$F536)</f>
        <v/>
      </c>
      <c r="AJ536" s="36">
        <f>AJ$10*$D536*INDEX(AJ$18:AJ$25,$E536)*INDEX(AJ$27:AJ$43,$F536)</f>
        <v/>
      </c>
      <c r="AK536" s="36">
        <f>AK$10*$D536*INDEX(AK$18:AK$25,$E536)*INDEX(AK$27:AK$43,$F536)</f>
        <v/>
      </c>
      <c r="AL536" s="36">
        <f>AL$10*$D536*INDEX(AL$18:AL$25,$E536)*INDEX(AL$27:AL$43,$F536)</f>
        <v/>
      </c>
      <c r="AM536" s="36">
        <f>AM$10*$D536*INDEX(AM$18:AM$25,$E536)*INDEX(AM$27:AM$43,$F536)</f>
        <v/>
      </c>
      <c r="AN536" s="36">
        <f>AN$10*$D536*INDEX(AN$18:AN$25,$E536)*INDEX(AN$27:AN$43,$F536)</f>
        <v/>
      </c>
    </row>
    <row r="537" hidden="1" outlineLevel="2"/>
    <row r="538" hidden="1" outlineLevel="2">
      <c r="A538" s="5" t="inlineStr">
        <is>
          <t>ntx</t>
        </is>
      </c>
      <c r="B538" s="5" t="inlineStr">
        <is>
          <t>coa</t>
        </is>
      </c>
      <c r="C538" s="5" t="inlineStr">
        <is>
          <t>foo</t>
        </is>
      </c>
      <c r="D538" s="36">
        <f>INDEX(Inputs!$L$5:$L$132,MATCH($B538&amp;"|"&amp;$C538,Inputs!$A$5:$A$132,0))</f>
        <v/>
      </c>
      <c r="E538" s="36">
        <f>INDEX(Inputs!$I$5:$I$132,MATCH($B538&amp;"|"&amp;$C538,Inputs!$A$5:$A$132,0))</f>
        <v/>
      </c>
      <c r="F538" s="37" t="n"/>
      <c r="G538" s="37" t="n"/>
      <c r="H538" s="5">
        <f>INDEX(Variables!$B$5:$B$65,MATCH($A538,Variables!$A$5:$A$65,0))&amp;IF($C538="",""," | "&amp;INDEX(Mapping!$B$5:$B$25,MATCH($C538,Mapping!$A$5:$A$25,0))&amp;" | "&amp;INDEX(Mapping!$B$29:$B$38,MATCH($B538,Mapping!$A$29:$A$38,0)))</f>
        <v/>
      </c>
      <c r="I538" s="5">
        <f>INDEX(Variables!$C$5:$C$65,MATCH($A538,Variables!$A$5:$A$65,0))</f>
        <v/>
      </c>
      <c r="J538" s="5">
        <f>INDEX(Variables!$E$5:$E$65,MATCH($A538,Variables!$A$5:$A$65,0))</f>
        <v/>
      </c>
      <c r="K538" s="23">
        <f>LOWER(Settings!$C$4)&amp;".mit."&amp;$A538&amp;IF($C538="","","."&amp;$C538&amp;"."&amp;$B538)&amp;IF(INDEX(Variables!$D$5:$D$65,MATCH($A538,Variables!$A$5:$A$65,0))="","","."&amp;INDEX(Variables!$D$5:$D$65,MATCH($A538,Variables!$A$5:$A$65,0)))&amp;"."&amp;K$5</f>
        <v/>
      </c>
      <c r="L538" s="38">
        <f>INDEX(L$75:L$88,$D538)/$E538</f>
        <v/>
      </c>
      <c r="M538" s="36">
        <f>INDEX(M$75:M$88,$D538)/$E538</f>
        <v/>
      </c>
      <c r="N538" s="36">
        <f>INDEX(N$75:N$88,$D538)/$E538</f>
        <v/>
      </c>
      <c r="O538" s="36">
        <f>INDEX(O$75:O$88,$D538)/$E538</f>
        <v/>
      </c>
      <c r="P538" s="36">
        <f>INDEX(P$75:P$88,$D538)/$E538</f>
        <v/>
      </c>
      <c r="Q538" s="36">
        <f>INDEX(Q$75:Q$88,$D538)/$E538</f>
        <v/>
      </c>
      <c r="R538" s="36">
        <f>INDEX(R$75:R$88,$D538)/$E538</f>
        <v/>
      </c>
      <c r="S538" s="36">
        <f>INDEX(S$75:S$88,$D538)/$E538</f>
        <v/>
      </c>
      <c r="T538" s="36">
        <f>INDEX(T$75:T$88,$D538)/$E538</f>
        <v/>
      </c>
      <c r="U538" s="36">
        <f>INDEX(U$75:U$88,$D538)/$E538</f>
        <v/>
      </c>
      <c r="V538" s="36">
        <f>INDEX(V$75:V$88,$D538)/$E538</f>
        <v/>
      </c>
      <c r="W538" s="36">
        <f>INDEX(W$75:W$88,$D538)/$E538</f>
        <v/>
      </c>
      <c r="X538" s="36">
        <f>INDEX(X$75:X$88,$D538)/$E538</f>
        <v/>
      </c>
      <c r="Y538" s="36">
        <f>INDEX(Y$75:Y$88,$D538)/$E538</f>
        <v/>
      </c>
      <c r="Z538" s="23">
        <f>LOWER(Settings!$C$4)&amp;".mit."&amp;$A538&amp;IF($C538="","","."&amp;$C538&amp;"."&amp;$B538)&amp;IF(INDEX(Variables!$D$5:$D$65,MATCH($A538,Variables!$A$5:$A$65,0))="","","."&amp;INDEX(Variables!$D$5:$D$65,MATCH($A538,Variables!$A$5:$A$65,0)))&amp;"."&amp;Z$5</f>
        <v/>
      </c>
      <c r="AA538" s="38">
        <f>INDEX(AA$75:AA$88,$D538)/$E538</f>
        <v/>
      </c>
      <c r="AB538" s="36">
        <f>INDEX(AB$75:AB$88,$D538)/$E538</f>
        <v/>
      </c>
      <c r="AC538" s="36">
        <f>INDEX(AC$75:AC$88,$D538)/$E538</f>
        <v/>
      </c>
      <c r="AD538" s="36">
        <f>INDEX(AD$75:AD$88,$D538)/$E538</f>
        <v/>
      </c>
      <c r="AE538" s="36">
        <f>INDEX(AE$75:AE$88,$D538)/$E538</f>
        <v/>
      </c>
      <c r="AF538" s="36">
        <f>INDEX(AF$75:AF$88,$D538)/$E538</f>
        <v/>
      </c>
      <c r="AG538" s="36">
        <f>INDEX(AG$75:AG$88,$D538)/$E538</f>
        <v/>
      </c>
      <c r="AH538" s="36">
        <f>INDEX(AH$75:AH$88,$D538)/$E538</f>
        <v/>
      </c>
      <c r="AI538" s="36">
        <f>INDEX(AI$75:AI$88,$D538)/$E538</f>
        <v/>
      </c>
      <c r="AJ538" s="36">
        <f>INDEX(AJ$75:AJ$88,$D538)/$E538</f>
        <v/>
      </c>
      <c r="AK538" s="36">
        <f>INDEX(AK$75:AK$88,$D538)/$E538</f>
        <v/>
      </c>
      <c r="AL538" s="36">
        <f>INDEX(AL$75:AL$88,$D538)/$E538</f>
        <v/>
      </c>
      <c r="AM538" s="36">
        <f>INDEX(AM$75:AM$88,$D538)/$E538</f>
        <v/>
      </c>
      <c r="AN538" s="36">
        <f>INDEX(AN$75:AN$88,$D538)/$E538</f>
        <v/>
      </c>
    </row>
    <row r="539" hidden="1" outlineLevel="2">
      <c r="A539" s="5" t="inlineStr">
        <is>
          <t>ntx</t>
        </is>
      </c>
      <c r="B539" s="5" t="inlineStr">
        <is>
          <t>nga</t>
        </is>
      </c>
      <c r="C539" s="5" t="inlineStr">
        <is>
          <t>foo</t>
        </is>
      </c>
      <c r="D539" s="36">
        <f>INDEX(Inputs!$L$5:$L$132,MATCH($B539&amp;"|"&amp;$C539,Inputs!$A$5:$A$132,0))</f>
        <v/>
      </c>
      <c r="E539" s="36">
        <f>INDEX(Inputs!$I$5:$I$132,MATCH($B539&amp;"|"&amp;$C539,Inputs!$A$5:$A$132,0))</f>
        <v/>
      </c>
      <c r="F539" s="37" t="n"/>
      <c r="G539" s="37" t="n"/>
      <c r="H539" s="5">
        <f>INDEX(Variables!$B$5:$B$65,MATCH($A539,Variables!$A$5:$A$65,0))&amp;IF($C539="",""," | "&amp;INDEX(Mapping!$B$5:$B$25,MATCH($C539,Mapping!$A$5:$A$25,0))&amp;" | "&amp;INDEX(Mapping!$B$29:$B$38,MATCH($B539,Mapping!$A$29:$A$38,0)))</f>
        <v/>
      </c>
      <c r="I539" s="5">
        <f>INDEX(Variables!$C$5:$C$65,MATCH($A539,Variables!$A$5:$A$65,0))</f>
        <v/>
      </c>
      <c r="J539" s="5">
        <f>INDEX(Variables!$E$5:$E$65,MATCH($A539,Variables!$A$5:$A$65,0))</f>
        <v/>
      </c>
      <c r="K539" s="23">
        <f>LOWER(Settings!$C$4)&amp;".mit."&amp;$A539&amp;IF($C539="","","."&amp;$C539&amp;"."&amp;$B539)&amp;IF(INDEX(Variables!$D$5:$D$65,MATCH($A539,Variables!$A$5:$A$65,0))="","","."&amp;INDEX(Variables!$D$5:$D$65,MATCH($A539,Variables!$A$5:$A$65,0)))&amp;"."&amp;K$5</f>
        <v/>
      </c>
      <c r="L539" s="38">
        <f>INDEX(L$75:L$88,$D539)/$E539</f>
        <v/>
      </c>
      <c r="M539" s="36">
        <f>INDEX(M$75:M$88,$D539)/$E539</f>
        <v/>
      </c>
      <c r="N539" s="36">
        <f>INDEX(N$75:N$88,$D539)/$E539</f>
        <v/>
      </c>
      <c r="O539" s="36">
        <f>INDEX(O$75:O$88,$D539)/$E539</f>
        <v/>
      </c>
      <c r="P539" s="36">
        <f>INDEX(P$75:P$88,$D539)/$E539</f>
        <v/>
      </c>
      <c r="Q539" s="36">
        <f>INDEX(Q$75:Q$88,$D539)/$E539</f>
        <v/>
      </c>
      <c r="R539" s="36">
        <f>INDEX(R$75:R$88,$D539)/$E539</f>
        <v/>
      </c>
      <c r="S539" s="36">
        <f>INDEX(S$75:S$88,$D539)/$E539</f>
        <v/>
      </c>
      <c r="T539" s="36">
        <f>INDEX(T$75:T$88,$D539)/$E539</f>
        <v/>
      </c>
      <c r="U539" s="36">
        <f>INDEX(U$75:U$88,$D539)/$E539</f>
        <v/>
      </c>
      <c r="V539" s="36">
        <f>INDEX(V$75:V$88,$D539)/$E539</f>
        <v/>
      </c>
      <c r="W539" s="36">
        <f>INDEX(W$75:W$88,$D539)/$E539</f>
        <v/>
      </c>
      <c r="X539" s="36">
        <f>INDEX(X$75:X$88,$D539)/$E539</f>
        <v/>
      </c>
      <c r="Y539" s="36">
        <f>INDEX(Y$75:Y$88,$D539)/$E539</f>
        <v/>
      </c>
      <c r="Z539" s="23">
        <f>LOWER(Settings!$C$4)&amp;".mit."&amp;$A539&amp;IF($C539="","","."&amp;$C539&amp;"."&amp;$B539)&amp;IF(INDEX(Variables!$D$5:$D$65,MATCH($A539,Variables!$A$5:$A$65,0))="","","."&amp;INDEX(Variables!$D$5:$D$65,MATCH($A539,Variables!$A$5:$A$65,0)))&amp;"."&amp;Z$5</f>
        <v/>
      </c>
      <c r="AA539" s="38">
        <f>INDEX(AA$75:AA$88,$D539)/$E539</f>
        <v/>
      </c>
      <c r="AB539" s="36">
        <f>INDEX(AB$75:AB$88,$D539)/$E539</f>
        <v/>
      </c>
      <c r="AC539" s="36">
        <f>INDEX(AC$75:AC$88,$D539)/$E539</f>
        <v/>
      </c>
      <c r="AD539" s="36">
        <f>INDEX(AD$75:AD$88,$D539)/$E539</f>
        <v/>
      </c>
      <c r="AE539" s="36">
        <f>INDEX(AE$75:AE$88,$D539)/$E539</f>
        <v/>
      </c>
      <c r="AF539" s="36">
        <f>INDEX(AF$75:AF$88,$D539)/$E539</f>
        <v/>
      </c>
      <c r="AG539" s="36">
        <f>INDEX(AG$75:AG$88,$D539)/$E539</f>
        <v/>
      </c>
      <c r="AH539" s="36">
        <f>INDEX(AH$75:AH$88,$D539)/$E539</f>
        <v/>
      </c>
      <c r="AI539" s="36">
        <f>INDEX(AI$75:AI$88,$D539)/$E539</f>
        <v/>
      </c>
      <c r="AJ539" s="36">
        <f>INDEX(AJ$75:AJ$88,$D539)/$E539</f>
        <v/>
      </c>
      <c r="AK539" s="36">
        <f>INDEX(AK$75:AK$88,$D539)/$E539</f>
        <v/>
      </c>
      <c r="AL539" s="36">
        <f>INDEX(AL$75:AL$88,$D539)/$E539</f>
        <v/>
      </c>
      <c r="AM539" s="36">
        <f>INDEX(AM$75:AM$88,$D539)/$E539</f>
        <v/>
      </c>
      <c r="AN539" s="36">
        <f>INDEX(AN$75:AN$88,$D539)/$E539</f>
        <v/>
      </c>
    </row>
    <row r="540" hidden="1" outlineLevel="2">
      <c r="A540" s="5" t="inlineStr">
        <is>
          <t>ntx</t>
        </is>
      </c>
      <c r="B540" s="5" t="inlineStr">
        <is>
          <t>gso</t>
        </is>
      </c>
      <c r="C540" s="5" t="inlineStr">
        <is>
          <t>foo</t>
        </is>
      </c>
      <c r="D540" s="36">
        <f>INDEX(Inputs!$L$5:$L$132,MATCH($B540&amp;"|"&amp;$C540,Inputs!$A$5:$A$132,0))</f>
        <v/>
      </c>
      <c r="E540" s="36">
        <f>INDEX(Inputs!$I$5:$I$132,MATCH($B540&amp;"|"&amp;$C540,Inputs!$A$5:$A$132,0))</f>
        <v/>
      </c>
      <c r="F540" s="37" t="n"/>
      <c r="G540" s="37" t="n"/>
      <c r="H540" s="5">
        <f>INDEX(Variables!$B$5:$B$65,MATCH($A540,Variables!$A$5:$A$65,0))&amp;IF($C540="",""," | "&amp;INDEX(Mapping!$B$5:$B$25,MATCH($C540,Mapping!$A$5:$A$25,0))&amp;" | "&amp;INDEX(Mapping!$B$29:$B$38,MATCH($B540,Mapping!$A$29:$A$38,0)))</f>
        <v/>
      </c>
      <c r="I540" s="5">
        <f>INDEX(Variables!$C$5:$C$65,MATCH($A540,Variables!$A$5:$A$65,0))</f>
        <v/>
      </c>
      <c r="J540" s="5">
        <f>INDEX(Variables!$E$5:$E$65,MATCH($A540,Variables!$A$5:$A$65,0))</f>
        <v/>
      </c>
      <c r="K540" s="23">
        <f>LOWER(Settings!$C$4)&amp;".mit."&amp;$A540&amp;IF($C540="","","."&amp;$C540&amp;"."&amp;$B540)&amp;IF(INDEX(Variables!$D$5:$D$65,MATCH($A540,Variables!$A$5:$A$65,0))="","","."&amp;INDEX(Variables!$D$5:$D$65,MATCH($A540,Variables!$A$5:$A$65,0)))&amp;"."&amp;K$5</f>
        <v/>
      </c>
      <c r="L540" s="38">
        <f>INDEX(L$75:L$88,$D540)/$E540</f>
        <v/>
      </c>
      <c r="M540" s="36">
        <f>INDEX(M$75:M$88,$D540)/$E540</f>
        <v/>
      </c>
      <c r="N540" s="36">
        <f>INDEX(N$75:N$88,$D540)/$E540</f>
        <v/>
      </c>
      <c r="O540" s="36">
        <f>INDEX(O$75:O$88,$D540)/$E540</f>
        <v/>
      </c>
      <c r="P540" s="36">
        <f>INDEX(P$75:P$88,$D540)/$E540</f>
        <v/>
      </c>
      <c r="Q540" s="36">
        <f>INDEX(Q$75:Q$88,$D540)/$E540</f>
        <v/>
      </c>
      <c r="R540" s="36">
        <f>INDEX(R$75:R$88,$D540)/$E540</f>
        <v/>
      </c>
      <c r="S540" s="36">
        <f>INDEX(S$75:S$88,$D540)/$E540</f>
        <v/>
      </c>
      <c r="T540" s="36">
        <f>INDEX(T$75:T$88,$D540)/$E540</f>
        <v/>
      </c>
      <c r="U540" s="36">
        <f>INDEX(U$75:U$88,$D540)/$E540</f>
        <v/>
      </c>
      <c r="V540" s="36">
        <f>INDEX(V$75:V$88,$D540)/$E540</f>
        <v/>
      </c>
      <c r="W540" s="36">
        <f>INDEX(W$75:W$88,$D540)/$E540</f>
        <v/>
      </c>
      <c r="X540" s="36">
        <f>INDEX(X$75:X$88,$D540)/$E540</f>
        <v/>
      </c>
      <c r="Y540" s="36">
        <f>INDEX(Y$75:Y$88,$D540)/$E540</f>
        <v/>
      </c>
      <c r="Z540" s="23">
        <f>LOWER(Settings!$C$4)&amp;".mit."&amp;$A540&amp;IF($C540="","","."&amp;$C540&amp;"."&amp;$B540)&amp;IF(INDEX(Variables!$D$5:$D$65,MATCH($A540,Variables!$A$5:$A$65,0))="","","."&amp;INDEX(Variables!$D$5:$D$65,MATCH($A540,Variables!$A$5:$A$65,0)))&amp;"."&amp;Z$5</f>
        <v/>
      </c>
      <c r="AA540" s="38">
        <f>INDEX(AA$75:AA$88,$D540)/$E540</f>
        <v/>
      </c>
      <c r="AB540" s="36">
        <f>INDEX(AB$75:AB$88,$D540)/$E540</f>
        <v/>
      </c>
      <c r="AC540" s="36">
        <f>INDEX(AC$75:AC$88,$D540)/$E540</f>
        <v/>
      </c>
      <c r="AD540" s="36">
        <f>INDEX(AD$75:AD$88,$D540)/$E540</f>
        <v/>
      </c>
      <c r="AE540" s="36">
        <f>INDEX(AE$75:AE$88,$D540)/$E540</f>
        <v/>
      </c>
      <c r="AF540" s="36">
        <f>INDEX(AF$75:AF$88,$D540)/$E540</f>
        <v/>
      </c>
      <c r="AG540" s="36">
        <f>INDEX(AG$75:AG$88,$D540)/$E540</f>
        <v/>
      </c>
      <c r="AH540" s="36">
        <f>INDEX(AH$75:AH$88,$D540)/$E540</f>
        <v/>
      </c>
      <c r="AI540" s="36">
        <f>INDEX(AI$75:AI$88,$D540)/$E540</f>
        <v/>
      </c>
      <c r="AJ540" s="36">
        <f>INDEX(AJ$75:AJ$88,$D540)/$E540</f>
        <v/>
      </c>
      <c r="AK540" s="36">
        <f>INDEX(AK$75:AK$88,$D540)/$E540</f>
        <v/>
      </c>
      <c r="AL540" s="36">
        <f>INDEX(AL$75:AL$88,$D540)/$E540</f>
        <v/>
      </c>
      <c r="AM540" s="36">
        <f>INDEX(AM$75:AM$88,$D540)/$E540</f>
        <v/>
      </c>
      <c r="AN540" s="36">
        <f>INDEX(AN$75:AN$88,$D540)/$E540</f>
        <v/>
      </c>
    </row>
    <row r="541" hidden="1" outlineLevel="2">
      <c r="A541" s="5" t="inlineStr">
        <is>
          <t>ntx</t>
        </is>
      </c>
      <c r="B541" s="5" t="inlineStr">
        <is>
          <t>die</t>
        </is>
      </c>
      <c r="C541" s="5" t="inlineStr">
        <is>
          <t>foo</t>
        </is>
      </c>
      <c r="D541" s="36">
        <f>INDEX(Inputs!$L$5:$L$132,MATCH($B541&amp;"|"&amp;$C541,Inputs!$A$5:$A$132,0))</f>
        <v/>
      </c>
      <c r="E541" s="36">
        <f>INDEX(Inputs!$I$5:$I$132,MATCH($B541&amp;"|"&amp;$C541,Inputs!$A$5:$A$132,0))</f>
        <v/>
      </c>
      <c r="F541" s="37" t="n"/>
      <c r="G541" s="37" t="n"/>
      <c r="H541" s="5">
        <f>INDEX(Variables!$B$5:$B$65,MATCH($A541,Variables!$A$5:$A$65,0))&amp;IF($C541="",""," | "&amp;INDEX(Mapping!$B$5:$B$25,MATCH($C541,Mapping!$A$5:$A$25,0))&amp;" | "&amp;INDEX(Mapping!$B$29:$B$38,MATCH($B541,Mapping!$A$29:$A$38,0)))</f>
        <v/>
      </c>
      <c r="I541" s="5">
        <f>INDEX(Variables!$C$5:$C$65,MATCH($A541,Variables!$A$5:$A$65,0))</f>
        <v/>
      </c>
      <c r="J541" s="5">
        <f>INDEX(Variables!$E$5:$E$65,MATCH($A541,Variables!$A$5:$A$65,0))</f>
        <v/>
      </c>
      <c r="K541" s="23">
        <f>LOWER(Settings!$C$4)&amp;".mit."&amp;$A541&amp;IF($C541="","","."&amp;$C541&amp;"."&amp;$B541)&amp;IF(INDEX(Variables!$D$5:$D$65,MATCH($A541,Variables!$A$5:$A$65,0))="","","."&amp;INDEX(Variables!$D$5:$D$65,MATCH($A541,Variables!$A$5:$A$65,0)))&amp;"."&amp;K$5</f>
        <v/>
      </c>
      <c r="L541" s="38">
        <f>INDEX(L$75:L$88,$D541)/$E541</f>
        <v/>
      </c>
      <c r="M541" s="36">
        <f>INDEX(M$75:M$88,$D541)/$E541</f>
        <v/>
      </c>
      <c r="N541" s="36">
        <f>INDEX(N$75:N$88,$D541)/$E541</f>
        <v/>
      </c>
      <c r="O541" s="36">
        <f>INDEX(O$75:O$88,$D541)/$E541</f>
        <v/>
      </c>
      <c r="P541" s="36">
        <f>INDEX(P$75:P$88,$D541)/$E541</f>
        <v/>
      </c>
      <c r="Q541" s="36">
        <f>INDEX(Q$75:Q$88,$D541)/$E541</f>
        <v/>
      </c>
      <c r="R541" s="36">
        <f>INDEX(R$75:R$88,$D541)/$E541</f>
        <v/>
      </c>
      <c r="S541" s="36">
        <f>INDEX(S$75:S$88,$D541)/$E541</f>
        <v/>
      </c>
      <c r="T541" s="36">
        <f>INDEX(T$75:T$88,$D541)/$E541</f>
        <v/>
      </c>
      <c r="U541" s="36">
        <f>INDEX(U$75:U$88,$D541)/$E541</f>
        <v/>
      </c>
      <c r="V541" s="36">
        <f>INDEX(V$75:V$88,$D541)/$E541</f>
        <v/>
      </c>
      <c r="W541" s="36">
        <f>INDEX(W$75:W$88,$D541)/$E541</f>
        <v/>
      </c>
      <c r="X541" s="36">
        <f>INDEX(X$75:X$88,$D541)/$E541</f>
        <v/>
      </c>
      <c r="Y541" s="36">
        <f>INDEX(Y$75:Y$88,$D541)/$E541</f>
        <v/>
      </c>
      <c r="Z541" s="23">
        <f>LOWER(Settings!$C$4)&amp;".mit."&amp;$A541&amp;IF($C541="","","."&amp;$C541&amp;"."&amp;$B541)&amp;IF(INDEX(Variables!$D$5:$D$65,MATCH($A541,Variables!$A$5:$A$65,0))="","","."&amp;INDEX(Variables!$D$5:$D$65,MATCH($A541,Variables!$A$5:$A$65,0)))&amp;"."&amp;Z$5</f>
        <v/>
      </c>
      <c r="AA541" s="38">
        <f>INDEX(AA$75:AA$88,$D541)/$E541</f>
        <v/>
      </c>
      <c r="AB541" s="36">
        <f>INDEX(AB$75:AB$88,$D541)/$E541</f>
        <v/>
      </c>
      <c r="AC541" s="36">
        <f>INDEX(AC$75:AC$88,$D541)/$E541</f>
        <v/>
      </c>
      <c r="AD541" s="36">
        <f>INDEX(AD$75:AD$88,$D541)/$E541</f>
        <v/>
      </c>
      <c r="AE541" s="36">
        <f>INDEX(AE$75:AE$88,$D541)/$E541</f>
        <v/>
      </c>
      <c r="AF541" s="36">
        <f>INDEX(AF$75:AF$88,$D541)/$E541</f>
        <v/>
      </c>
      <c r="AG541" s="36">
        <f>INDEX(AG$75:AG$88,$D541)/$E541</f>
        <v/>
      </c>
      <c r="AH541" s="36">
        <f>INDEX(AH$75:AH$88,$D541)/$E541</f>
        <v/>
      </c>
      <c r="AI541" s="36">
        <f>INDEX(AI$75:AI$88,$D541)/$E541</f>
        <v/>
      </c>
      <c r="AJ541" s="36">
        <f>INDEX(AJ$75:AJ$88,$D541)/$E541</f>
        <v/>
      </c>
      <c r="AK541" s="36">
        <f>INDEX(AK$75:AK$88,$D541)/$E541</f>
        <v/>
      </c>
      <c r="AL541" s="36">
        <f>INDEX(AL$75:AL$88,$D541)/$E541</f>
        <v/>
      </c>
      <c r="AM541" s="36">
        <f>INDEX(AM$75:AM$88,$D541)/$E541</f>
        <v/>
      </c>
      <c r="AN541" s="36">
        <f>INDEX(AN$75:AN$88,$D541)/$E541</f>
        <v/>
      </c>
    </row>
    <row r="542" hidden="1" outlineLevel="2">
      <c r="A542" s="5" t="inlineStr">
        <is>
          <t>ntx</t>
        </is>
      </c>
      <c r="B542" s="5" t="inlineStr">
        <is>
          <t>lpg</t>
        </is>
      </c>
      <c r="C542" s="5" t="inlineStr">
        <is>
          <t>foo</t>
        </is>
      </c>
      <c r="D542" s="36">
        <f>INDEX(Inputs!$L$5:$L$132,MATCH($B542&amp;"|"&amp;$C542,Inputs!$A$5:$A$132,0))</f>
        <v/>
      </c>
      <c r="E542" s="36">
        <f>INDEX(Inputs!$I$5:$I$132,MATCH($B542&amp;"|"&amp;$C542,Inputs!$A$5:$A$132,0))</f>
        <v/>
      </c>
      <c r="F542" s="37" t="n"/>
      <c r="G542" s="37" t="n"/>
      <c r="H542" s="5">
        <f>INDEX(Variables!$B$5:$B$65,MATCH($A542,Variables!$A$5:$A$65,0))&amp;IF($C542="",""," | "&amp;INDEX(Mapping!$B$5:$B$25,MATCH($C542,Mapping!$A$5:$A$25,0))&amp;" | "&amp;INDEX(Mapping!$B$29:$B$38,MATCH($B542,Mapping!$A$29:$A$38,0)))</f>
        <v/>
      </c>
      <c r="I542" s="5">
        <f>INDEX(Variables!$C$5:$C$65,MATCH($A542,Variables!$A$5:$A$65,0))</f>
        <v/>
      </c>
      <c r="J542" s="5">
        <f>INDEX(Variables!$E$5:$E$65,MATCH($A542,Variables!$A$5:$A$65,0))</f>
        <v/>
      </c>
      <c r="K542" s="23">
        <f>LOWER(Settings!$C$4)&amp;".mit."&amp;$A542&amp;IF($C542="","","."&amp;$C542&amp;"."&amp;$B542)&amp;IF(INDEX(Variables!$D$5:$D$65,MATCH($A542,Variables!$A$5:$A$65,0))="","","."&amp;INDEX(Variables!$D$5:$D$65,MATCH($A542,Variables!$A$5:$A$65,0)))&amp;"."&amp;K$5</f>
        <v/>
      </c>
      <c r="L542" s="38">
        <f>INDEX(L$75:L$88,$D542)/$E542</f>
        <v/>
      </c>
      <c r="M542" s="36">
        <f>INDEX(M$75:M$88,$D542)/$E542</f>
        <v/>
      </c>
      <c r="N542" s="36">
        <f>INDEX(N$75:N$88,$D542)/$E542</f>
        <v/>
      </c>
      <c r="O542" s="36">
        <f>INDEX(O$75:O$88,$D542)/$E542</f>
        <v/>
      </c>
      <c r="P542" s="36">
        <f>INDEX(P$75:P$88,$D542)/$E542</f>
        <v/>
      </c>
      <c r="Q542" s="36">
        <f>INDEX(Q$75:Q$88,$D542)/$E542</f>
        <v/>
      </c>
      <c r="R542" s="36">
        <f>INDEX(R$75:R$88,$D542)/$E542</f>
        <v/>
      </c>
      <c r="S542" s="36">
        <f>INDEX(S$75:S$88,$D542)/$E542</f>
        <v/>
      </c>
      <c r="T542" s="36">
        <f>INDEX(T$75:T$88,$D542)/$E542</f>
        <v/>
      </c>
      <c r="U542" s="36">
        <f>INDEX(U$75:U$88,$D542)/$E542</f>
        <v/>
      </c>
      <c r="V542" s="36">
        <f>INDEX(V$75:V$88,$D542)/$E542</f>
        <v/>
      </c>
      <c r="W542" s="36">
        <f>INDEX(W$75:W$88,$D542)/$E542</f>
        <v/>
      </c>
      <c r="X542" s="36">
        <f>INDEX(X$75:X$88,$D542)/$E542</f>
        <v/>
      </c>
      <c r="Y542" s="36">
        <f>INDEX(Y$75:Y$88,$D542)/$E542</f>
        <v/>
      </c>
      <c r="Z542" s="23">
        <f>LOWER(Settings!$C$4)&amp;".mit."&amp;$A542&amp;IF($C542="","","."&amp;$C542&amp;"."&amp;$B542)&amp;IF(INDEX(Variables!$D$5:$D$65,MATCH($A542,Variables!$A$5:$A$65,0))="","","."&amp;INDEX(Variables!$D$5:$D$65,MATCH($A542,Variables!$A$5:$A$65,0)))&amp;"."&amp;Z$5</f>
        <v/>
      </c>
      <c r="AA542" s="38">
        <f>INDEX(AA$75:AA$88,$D542)/$E542</f>
        <v/>
      </c>
      <c r="AB542" s="36">
        <f>INDEX(AB$75:AB$88,$D542)/$E542</f>
        <v/>
      </c>
      <c r="AC542" s="36">
        <f>INDEX(AC$75:AC$88,$D542)/$E542</f>
        <v/>
      </c>
      <c r="AD542" s="36">
        <f>INDEX(AD$75:AD$88,$D542)/$E542</f>
        <v/>
      </c>
      <c r="AE542" s="36">
        <f>INDEX(AE$75:AE$88,$D542)/$E542</f>
        <v/>
      </c>
      <c r="AF542" s="36">
        <f>INDEX(AF$75:AF$88,$D542)/$E542</f>
        <v/>
      </c>
      <c r="AG542" s="36">
        <f>INDEX(AG$75:AG$88,$D542)/$E542</f>
        <v/>
      </c>
      <c r="AH542" s="36">
        <f>INDEX(AH$75:AH$88,$D542)/$E542</f>
        <v/>
      </c>
      <c r="AI542" s="36">
        <f>INDEX(AI$75:AI$88,$D542)/$E542</f>
        <v/>
      </c>
      <c r="AJ542" s="36">
        <f>INDEX(AJ$75:AJ$88,$D542)/$E542</f>
        <v/>
      </c>
      <c r="AK542" s="36">
        <f>INDEX(AK$75:AK$88,$D542)/$E542</f>
        <v/>
      </c>
      <c r="AL542" s="36">
        <f>INDEX(AL$75:AL$88,$D542)/$E542</f>
        <v/>
      </c>
      <c r="AM542" s="36">
        <f>INDEX(AM$75:AM$88,$D542)/$E542</f>
        <v/>
      </c>
      <c r="AN542" s="36">
        <f>INDEX(AN$75:AN$88,$D542)/$E542</f>
        <v/>
      </c>
    </row>
    <row r="543" hidden="1" outlineLevel="2">
      <c r="A543" s="5" t="inlineStr">
        <is>
          <t>ntx</t>
        </is>
      </c>
      <c r="B543" s="5" t="inlineStr">
        <is>
          <t>ker</t>
        </is>
      </c>
      <c r="C543" s="5" t="inlineStr">
        <is>
          <t>foo</t>
        </is>
      </c>
      <c r="D543" s="36">
        <f>INDEX(Inputs!$L$5:$L$132,MATCH($B543&amp;"|"&amp;$C543,Inputs!$A$5:$A$132,0))</f>
        <v/>
      </c>
      <c r="E543" s="36">
        <f>INDEX(Inputs!$I$5:$I$132,MATCH($B543&amp;"|"&amp;$C543,Inputs!$A$5:$A$132,0))</f>
        <v/>
      </c>
      <c r="F543" s="37" t="n"/>
      <c r="G543" s="37" t="n"/>
      <c r="H543" s="5">
        <f>INDEX(Variables!$B$5:$B$65,MATCH($A543,Variables!$A$5:$A$65,0))&amp;IF($C543="",""," | "&amp;INDEX(Mapping!$B$5:$B$25,MATCH($C543,Mapping!$A$5:$A$25,0))&amp;" | "&amp;INDEX(Mapping!$B$29:$B$38,MATCH($B543,Mapping!$A$29:$A$38,0)))</f>
        <v/>
      </c>
      <c r="I543" s="5">
        <f>INDEX(Variables!$C$5:$C$65,MATCH($A543,Variables!$A$5:$A$65,0))</f>
        <v/>
      </c>
      <c r="J543" s="5">
        <f>INDEX(Variables!$E$5:$E$65,MATCH($A543,Variables!$A$5:$A$65,0))</f>
        <v/>
      </c>
      <c r="K543" s="23">
        <f>LOWER(Settings!$C$4)&amp;".mit."&amp;$A543&amp;IF($C543="","","."&amp;$C543&amp;"."&amp;$B543)&amp;IF(INDEX(Variables!$D$5:$D$65,MATCH($A543,Variables!$A$5:$A$65,0))="","","."&amp;INDEX(Variables!$D$5:$D$65,MATCH($A543,Variables!$A$5:$A$65,0)))&amp;"."&amp;K$5</f>
        <v/>
      </c>
      <c r="L543" s="38">
        <f>INDEX(L$75:L$88,$D543)/$E543</f>
        <v/>
      </c>
      <c r="M543" s="36">
        <f>INDEX(M$75:M$88,$D543)/$E543</f>
        <v/>
      </c>
      <c r="N543" s="36">
        <f>INDEX(N$75:N$88,$D543)/$E543</f>
        <v/>
      </c>
      <c r="O543" s="36">
        <f>INDEX(O$75:O$88,$D543)/$E543</f>
        <v/>
      </c>
      <c r="P543" s="36">
        <f>INDEX(P$75:P$88,$D543)/$E543</f>
        <v/>
      </c>
      <c r="Q543" s="36">
        <f>INDEX(Q$75:Q$88,$D543)/$E543</f>
        <v/>
      </c>
      <c r="R543" s="36">
        <f>INDEX(R$75:R$88,$D543)/$E543</f>
        <v/>
      </c>
      <c r="S543" s="36">
        <f>INDEX(S$75:S$88,$D543)/$E543</f>
        <v/>
      </c>
      <c r="T543" s="36">
        <f>INDEX(T$75:T$88,$D543)/$E543</f>
        <v/>
      </c>
      <c r="U543" s="36">
        <f>INDEX(U$75:U$88,$D543)/$E543</f>
        <v/>
      </c>
      <c r="V543" s="36">
        <f>INDEX(V$75:V$88,$D543)/$E543</f>
        <v/>
      </c>
      <c r="W543" s="36">
        <f>INDEX(W$75:W$88,$D543)/$E543</f>
        <v/>
      </c>
      <c r="X543" s="36">
        <f>INDEX(X$75:X$88,$D543)/$E543</f>
        <v/>
      </c>
      <c r="Y543" s="36">
        <f>INDEX(Y$75:Y$88,$D543)/$E543</f>
        <v/>
      </c>
      <c r="Z543" s="23">
        <f>LOWER(Settings!$C$4)&amp;".mit."&amp;$A543&amp;IF($C543="","","."&amp;$C543&amp;"."&amp;$B543)&amp;IF(INDEX(Variables!$D$5:$D$65,MATCH($A543,Variables!$A$5:$A$65,0))="","","."&amp;INDEX(Variables!$D$5:$D$65,MATCH($A543,Variables!$A$5:$A$65,0)))&amp;"."&amp;Z$5</f>
        <v/>
      </c>
      <c r="AA543" s="38">
        <f>INDEX(AA$75:AA$88,$D543)/$E543</f>
        <v/>
      </c>
      <c r="AB543" s="36">
        <f>INDEX(AB$75:AB$88,$D543)/$E543</f>
        <v/>
      </c>
      <c r="AC543" s="36">
        <f>INDEX(AC$75:AC$88,$D543)/$E543</f>
        <v/>
      </c>
      <c r="AD543" s="36">
        <f>INDEX(AD$75:AD$88,$D543)/$E543</f>
        <v/>
      </c>
      <c r="AE543" s="36">
        <f>INDEX(AE$75:AE$88,$D543)/$E543</f>
        <v/>
      </c>
      <c r="AF543" s="36">
        <f>INDEX(AF$75:AF$88,$D543)/$E543</f>
        <v/>
      </c>
      <c r="AG543" s="36">
        <f>INDEX(AG$75:AG$88,$D543)/$E543</f>
        <v/>
      </c>
      <c r="AH543" s="36">
        <f>INDEX(AH$75:AH$88,$D543)/$E543</f>
        <v/>
      </c>
      <c r="AI543" s="36">
        <f>INDEX(AI$75:AI$88,$D543)/$E543</f>
        <v/>
      </c>
      <c r="AJ543" s="36">
        <f>INDEX(AJ$75:AJ$88,$D543)/$E543</f>
        <v/>
      </c>
      <c r="AK543" s="36">
        <f>INDEX(AK$75:AK$88,$D543)/$E543</f>
        <v/>
      </c>
      <c r="AL543" s="36">
        <f>INDEX(AL$75:AL$88,$D543)/$E543</f>
        <v/>
      </c>
      <c r="AM543" s="36">
        <f>INDEX(AM$75:AM$88,$D543)/$E543</f>
        <v/>
      </c>
      <c r="AN543" s="36">
        <f>INDEX(AN$75:AN$88,$D543)/$E543</f>
        <v/>
      </c>
    </row>
    <row r="544" hidden="1" outlineLevel="2">
      <c r="A544" s="5" t="inlineStr">
        <is>
          <t>ntx</t>
        </is>
      </c>
      <c r="B544" s="5" t="inlineStr">
        <is>
          <t>oop</t>
        </is>
      </c>
      <c r="C544" s="5" t="inlineStr">
        <is>
          <t>foo</t>
        </is>
      </c>
      <c r="D544" s="36">
        <f>INDEX(Inputs!$L$5:$L$132,MATCH($B544&amp;"|"&amp;$C544,Inputs!$A$5:$A$132,0))</f>
        <v/>
      </c>
      <c r="E544" s="36">
        <f>INDEX(Inputs!$I$5:$I$132,MATCH($B544&amp;"|"&amp;$C544,Inputs!$A$5:$A$132,0))</f>
        <v/>
      </c>
      <c r="F544" s="37" t="n"/>
      <c r="G544" s="37" t="n"/>
      <c r="H544" s="5">
        <f>INDEX(Variables!$B$5:$B$65,MATCH($A544,Variables!$A$5:$A$65,0))&amp;IF($C544="",""," | "&amp;INDEX(Mapping!$B$5:$B$25,MATCH($C544,Mapping!$A$5:$A$25,0))&amp;" | "&amp;INDEX(Mapping!$B$29:$B$38,MATCH($B544,Mapping!$A$29:$A$38,0)))</f>
        <v/>
      </c>
      <c r="I544" s="5">
        <f>INDEX(Variables!$C$5:$C$65,MATCH($A544,Variables!$A$5:$A$65,0))</f>
        <v/>
      </c>
      <c r="J544" s="5">
        <f>INDEX(Variables!$E$5:$E$65,MATCH($A544,Variables!$A$5:$A$65,0))</f>
        <v/>
      </c>
      <c r="K544" s="23">
        <f>LOWER(Settings!$C$4)&amp;".mit."&amp;$A544&amp;IF($C544="","","."&amp;$C544&amp;"."&amp;$B544)&amp;IF(INDEX(Variables!$D$5:$D$65,MATCH($A544,Variables!$A$5:$A$65,0))="","","."&amp;INDEX(Variables!$D$5:$D$65,MATCH($A544,Variables!$A$5:$A$65,0)))&amp;"."&amp;K$5</f>
        <v/>
      </c>
      <c r="L544" s="38">
        <f>INDEX(L$75:L$88,$D544)/$E544</f>
        <v/>
      </c>
      <c r="M544" s="36">
        <f>INDEX(M$75:M$88,$D544)/$E544</f>
        <v/>
      </c>
      <c r="N544" s="36">
        <f>INDEX(N$75:N$88,$D544)/$E544</f>
        <v/>
      </c>
      <c r="O544" s="36">
        <f>INDEX(O$75:O$88,$D544)/$E544</f>
        <v/>
      </c>
      <c r="P544" s="36">
        <f>INDEX(P$75:P$88,$D544)/$E544</f>
        <v/>
      </c>
      <c r="Q544" s="36">
        <f>INDEX(Q$75:Q$88,$D544)/$E544</f>
        <v/>
      </c>
      <c r="R544" s="36">
        <f>INDEX(R$75:R$88,$D544)/$E544</f>
        <v/>
      </c>
      <c r="S544" s="36">
        <f>INDEX(S$75:S$88,$D544)/$E544</f>
        <v/>
      </c>
      <c r="T544" s="36">
        <f>INDEX(T$75:T$88,$D544)/$E544</f>
        <v/>
      </c>
      <c r="U544" s="36">
        <f>INDEX(U$75:U$88,$D544)/$E544</f>
        <v/>
      </c>
      <c r="V544" s="36">
        <f>INDEX(V$75:V$88,$D544)/$E544</f>
        <v/>
      </c>
      <c r="W544" s="36">
        <f>INDEX(W$75:W$88,$D544)/$E544</f>
        <v/>
      </c>
      <c r="X544" s="36">
        <f>INDEX(X$75:X$88,$D544)/$E544</f>
        <v/>
      </c>
      <c r="Y544" s="36">
        <f>INDEX(Y$75:Y$88,$D544)/$E544</f>
        <v/>
      </c>
      <c r="Z544" s="23">
        <f>LOWER(Settings!$C$4)&amp;".mit."&amp;$A544&amp;IF($C544="","","."&amp;$C544&amp;"."&amp;$B544)&amp;IF(INDEX(Variables!$D$5:$D$65,MATCH($A544,Variables!$A$5:$A$65,0))="","","."&amp;INDEX(Variables!$D$5:$D$65,MATCH($A544,Variables!$A$5:$A$65,0)))&amp;"."&amp;Z$5</f>
        <v/>
      </c>
      <c r="AA544" s="38">
        <f>INDEX(AA$75:AA$88,$D544)/$E544</f>
        <v/>
      </c>
      <c r="AB544" s="36">
        <f>INDEX(AB$75:AB$88,$D544)/$E544</f>
        <v/>
      </c>
      <c r="AC544" s="36">
        <f>INDEX(AC$75:AC$88,$D544)/$E544</f>
        <v/>
      </c>
      <c r="AD544" s="36">
        <f>INDEX(AD$75:AD$88,$D544)/$E544</f>
        <v/>
      </c>
      <c r="AE544" s="36">
        <f>INDEX(AE$75:AE$88,$D544)/$E544</f>
        <v/>
      </c>
      <c r="AF544" s="36">
        <f>INDEX(AF$75:AF$88,$D544)/$E544</f>
        <v/>
      </c>
      <c r="AG544" s="36">
        <f>INDEX(AG$75:AG$88,$D544)/$E544</f>
        <v/>
      </c>
      <c r="AH544" s="36">
        <f>INDEX(AH$75:AH$88,$D544)/$E544</f>
        <v/>
      </c>
      <c r="AI544" s="36">
        <f>INDEX(AI$75:AI$88,$D544)/$E544</f>
        <v/>
      </c>
      <c r="AJ544" s="36">
        <f>INDEX(AJ$75:AJ$88,$D544)/$E544</f>
        <v/>
      </c>
      <c r="AK544" s="36">
        <f>INDEX(AK$75:AK$88,$D544)/$E544</f>
        <v/>
      </c>
      <c r="AL544" s="36">
        <f>INDEX(AL$75:AL$88,$D544)/$E544</f>
        <v/>
      </c>
      <c r="AM544" s="36">
        <f>INDEX(AM$75:AM$88,$D544)/$E544</f>
        <v/>
      </c>
      <c r="AN544" s="36">
        <f>INDEX(AN$75:AN$88,$D544)/$E544</f>
        <v/>
      </c>
    </row>
    <row r="545" hidden="1" outlineLevel="2">
      <c r="A545" s="5" t="inlineStr">
        <is>
          <t>ntx</t>
        </is>
      </c>
      <c r="B545" s="5" t="inlineStr">
        <is>
          <t>bio</t>
        </is>
      </c>
      <c r="C545" s="5" t="inlineStr">
        <is>
          <t>foo</t>
        </is>
      </c>
      <c r="D545" s="36">
        <f>INDEX(Inputs!$L$5:$L$132,MATCH($B545&amp;"|"&amp;$C545,Inputs!$A$5:$A$132,0))</f>
        <v/>
      </c>
      <c r="E545" s="36">
        <f>INDEX(Inputs!$I$5:$I$132,MATCH($B545&amp;"|"&amp;$C545,Inputs!$A$5:$A$132,0))</f>
        <v/>
      </c>
      <c r="F545" s="37" t="n"/>
      <c r="G545" s="37" t="n"/>
      <c r="H545" s="5">
        <f>INDEX(Variables!$B$5:$B$65,MATCH($A545,Variables!$A$5:$A$65,0))&amp;IF($C545="",""," | "&amp;INDEX(Mapping!$B$5:$B$25,MATCH($C545,Mapping!$A$5:$A$25,0))&amp;" | "&amp;INDEX(Mapping!$B$29:$B$38,MATCH($B545,Mapping!$A$29:$A$38,0)))</f>
        <v/>
      </c>
      <c r="I545" s="5">
        <f>INDEX(Variables!$C$5:$C$65,MATCH($A545,Variables!$A$5:$A$65,0))</f>
        <v/>
      </c>
      <c r="J545" s="5">
        <f>INDEX(Variables!$E$5:$E$65,MATCH($A545,Variables!$A$5:$A$65,0))</f>
        <v/>
      </c>
      <c r="K545" s="23">
        <f>LOWER(Settings!$C$4)&amp;".mit."&amp;$A545&amp;IF($C545="","","."&amp;$C545&amp;"."&amp;$B545)&amp;IF(INDEX(Variables!$D$5:$D$65,MATCH($A545,Variables!$A$5:$A$65,0))="","","."&amp;INDEX(Variables!$D$5:$D$65,MATCH($A545,Variables!$A$5:$A$65,0)))&amp;"."&amp;K$5</f>
        <v/>
      </c>
      <c r="L545" s="38">
        <f>INDEX(L$75:L$88,$D545)/$E545</f>
        <v/>
      </c>
      <c r="M545" s="36">
        <f>INDEX(M$75:M$88,$D545)/$E545</f>
        <v/>
      </c>
      <c r="N545" s="36">
        <f>INDEX(N$75:N$88,$D545)/$E545</f>
        <v/>
      </c>
      <c r="O545" s="36">
        <f>INDEX(O$75:O$88,$D545)/$E545</f>
        <v/>
      </c>
      <c r="P545" s="36">
        <f>INDEX(P$75:P$88,$D545)/$E545</f>
        <v/>
      </c>
      <c r="Q545" s="36">
        <f>INDEX(Q$75:Q$88,$D545)/$E545</f>
        <v/>
      </c>
      <c r="R545" s="36">
        <f>INDEX(R$75:R$88,$D545)/$E545</f>
        <v/>
      </c>
      <c r="S545" s="36">
        <f>INDEX(S$75:S$88,$D545)/$E545</f>
        <v/>
      </c>
      <c r="T545" s="36">
        <f>INDEX(T$75:T$88,$D545)/$E545</f>
        <v/>
      </c>
      <c r="U545" s="36">
        <f>INDEX(U$75:U$88,$D545)/$E545</f>
        <v/>
      </c>
      <c r="V545" s="36">
        <f>INDEX(V$75:V$88,$D545)/$E545</f>
        <v/>
      </c>
      <c r="W545" s="36">
        <f>INDEX(W$75:W$88,$D545)/$E545</f>
        <v/>
      </c>
      <c r="X545" s="36">
        <f>INDEX(X$75:X$88,$D545)/$E545</f>
        <v/>
      </c>
      <c r="Y545" s="36">
        <f>INDEX(Y$75:Y$88,$D545)/$E545</f>
        <v/>
      </c>
      <c r="Z545" s="23">
        <f>LOWER(Settings!$C$4)&amp;".mit."&amp;$A545&amp;IF($C545="","","."&amp;$C545&amp;"."&amp;$B545)&amp;IF(INDEX(Variables!$D$5:$D$65,MATCH($A545,Variables!$A$5:$A$65,0))="","","."&amp;INDEX(Variables!$D$5:$D$65,MATCH($A545,Variables!$A$5:$A$65,0)))&amp;"."&amp;Z$5</f>
        <v/>
      </c>
      <c r="AA545" s="38">
        <f>INDEX(AA$75:AA$88,$D545)/$E545</f>
        <v/>
      </c>
      <c r="AB545" s="36">
        <f>INDEX(AB$75:AB$88,$D545)/$E545</f>
        <v/>
      </c>
      <c r="AC545" s="36">
        <f>INDEX(AC$75:AC$88,$D545)/$E545</f>
        <v/>
      </c>
      <c r="AD545" s="36">
        <f>INDEX(AD$75:AD$88,$D545)/$E545</f>
        <v/>
      </c>
      <c r="AE545" s="36">
        <f>INDEX(AE$75:AE$88,$D545)/$E545</f>
        <v/>
      </c>
      <c r="AF545" s="36">
        <f>INDEX(AF$75:AF$88,$D545)/$E545</f>
        <v/>
      </c>
      <c r="AG545" s="36">
        <f>INDEX(AG$75:AG$88,$D545)/$E545</f>
        <v/>
      </c>
      <c r="AH545" s="36">
        <f>INDEX(AH$75:AH$88,$D545)/$E545</f>
        <v/>
      </c>
      <c r="AI545" s="36">
        <f>INDEX(AI$75:AI$88,$D545)/$E545</f>
        <v/>
      </c>
      <c r="AJ545" s="36">
        <f>INDEX(AJ$75:AJ$88,$D545)/$E545</f>
        <v/>
      </c>
      <c r="AK545" s="36">
        <f>INDEX(AK$75:AK$88,$D545)/$E545</f>
        <v/>
      </c>
      <c r="AL545" s="36">
        <f>INDEX(AL$75:AL$88,$D545)/$E545</f>
        <v/>
      </c>
      <c r="AM545" s="36">
        <f>INDEX(AM$75:AM$88,$D545)/$E545</f>
        <v/>
      </c>
      <c r="AN545" s="36">
        <f>INDEX(AN$75:AN$88,$D545)/$E545</f>
        <v/>
      </c>
    </row>
    <row r="546" hidden="1" outlineLevel="2"/>
    <row r="547" hidden="1" outlineLevel="2">
      <c r="A547" s="5" t="inlineStr">
        <is>
          <t>nce</t>
        </is>
      </c>
      <c r="B547" s="5" t="inlineStr">
        <is>
          <t>coa</t>
        </is>
      </c>
      <c r="C547" s="5" t="inlineStr">
        <is>
          <t>foo</t>
        </is>
      </c>
      <c r="D547" s="37" t="n"/>
      <c r="E547" s="37" t="n"/>
      <c r="F547" s="37" t="n"/>
      <c r="G547" s="37" t="n"/>
      <c r="H547" s="5">
        <f>INDEX(Variables!$B$5:$B$65,MATCH($A547,Variables!$A$5:$A$65,0))&amp;IF($C547="",""," | "&amp;INDEX(Mapping!$B$5:$B$25,MATCH($C547,Mapping!$A$5:$A$25,0))&amp;" | "&amp;INDEX(Mapping!$B$29:$B$38,MATCH($B547,Mapping!$A$29:$A$38,0)))</f>
        <v/>
      </c>
      <c r="I547" s="5">
        <f>INDEX(Variables!$C$5:$C$65,MATCH($A547,Variables!$A$5:$A$65,0))</f>
        <v/>
      </c>
      <c r="J547" s="5">
        <f>INDEX(Variables!$E$5:$E$65,MATCH($A547,Variables!$A$5:$A$65,0))</f>
        <v/>
      </c>
      <c r="K547" s="23">
        <f>LOWER(Settings!$C$4)&amp;".mit."&amp;$A547&amp;IF($C547="","","."&amp;$C547&amp;"."&amp;$B547)&amp;IF(INDEX(Variables!$D$5:$D$65,MATCH($A547,Variables!$A$5:$A$65,0))="","","."&amp;INDEX(Variables!$D$5:$D$65,MATCH($A547,Variables!$A$5:$A$65,0)))&amp;"."&amp;K$5</f>
        <v/>
      </c>
      <c r="L547" s="38">
        <f>L529+L538</f>
        <v/>
      </c>
      <c r="M547" s="36">
        <f>M529+M538</f>
        <v/>
      </c>
      <c r="N547" s="36">
        <f>N529+N538</f>
        <v/>
      </c>
      <c r="O547" s="36">
        <f>O529+O538</f>
        <v/>
      </c>
      <c r="P547" s="36">
        <f>P529+P538</f>
        <v/>
      </c>
      <c r="Q547" s="36">
        <f>Q529+Q538</f>
        <v/>
      </c>
      <c r="R547" s="36">
        <f>R529+R538</f>
        <v/>
      </c>
      <c r="S547" s="36">
        <f>S529+S538</f>
        <v/>
      </c>
      <c r="T547" s="36">
        <f>T529+T538</f>
        <v/>
      </c>
      <c r="U547" s="36">
        <f>U529+U538</f>
        <v/>
      </c>
      <c r="V547" s="36">
        <f>V529+V538</f>
        <v/>
      </c>
      <c r="W547" s="36">
        <f>W529+W538</f>
        <v/>
      </c>
      <c r="X547" s="36">
        <f>X529+X538</f>
        <v/>
      </c>
      <c r="Y547" s="36">
        <f>Y529+Y538</f>
        <v/>
      </c>
      <c r="Z547" s="23">
        <f>LOWER(Settings!$C$4)&amp;".mit."&amp;$A547&amp;IF($C547="","","."&amp;$C547&amp;"."&amp;$B547)&amp;IF(INDEX(Variables!$D$5:$D$65,MATCH($A547,Variables!$A$5:$A$65,0))="","","."&amp;INDEX(Variables!$D$5:$D$65,MATCH($A547,Variables!$A$5:$A$65,0)))&amp;"."&amp;Z$5</f>
        <v/>
      </c>
      <c r="AA547" s="38">
        <f>AA529+AA538</f>
        <v/>
      </c>
      <c r="AB547" s="36">
        <f>AB529+AB538</f>
        <v/>
      </c>
      <c r="AC547" s="36">
        <f>AC529+AC538</f>
        <v/>
      </c>
      <c r="AD547" s="36">
        <f>AD529+AD538</f>
        <v/>
      </c>
      <c r="AE547" s="36">
        <f>AE529+AE538</f>
        <v/>
      </c>
      <c r="AF547" s="36">
        <f>AF529+AF538</f>
        <v/>
      </c>
      <c r="AG547" s="36">
        <f>AG529+AG538</f>
        <v/>
      </c>
      <c r="AH547" s="36">
        <f>AH529+AH538</f>
        <v/>
      </c>
      <c r="AI547" s="36">
        <f>AI529+AI538</f>
        <v/>
      </c>
      <c r="AJ547" s="36">
        <f>AJ529+AJ538</f>
        <v/>
      </c>
      <c r="AK547" s="36">
        <f>AK529+AK538</f>
        <v/>
      </c>
      <c r="AL547" s="36">
        <f>AL529+AL538</f>
        <v/>
      </c>
      <c r="AM547" s="36">
        <f>AM529+AM538</f>
        <v/>
      </c>
      <c r="AN547" s="36">
        <f>AN529+AN538</f>
        <v/>
      </c>
    </row>
    <row r="548" hidden="1" outlineLevel="2">
      <c r="A548" s="5" t="inlineStr">
        <is>
          <t>nce</t>
        </is>
      </c>
      <c r="B548" s="5" t="inlineStr">
        <is>
          <t>nga</t>
        </is>
      </c>
      <c r="C548" s="5" t="inlineStr">
        <is>
          <t>foo</t>
        </is>
      </c>
      <c r="D548" s="37" t="n"/>
      <c r="E548" s="37" t="n"/>
      <c r="F548" s="37" t="n"/>
      <c r="G548" s="37" t="n"/>
      <c r="H548" s="5">
        <f>INDEX(Variables!$B$5:$B$65,MATCH($A548,Variables!$A$5:$A$65,0))&amp;IF($C548="",""," | "&amp;INDEX(Mapping!$B$5:$B$25,MATCH($C548,Mapping!$A$5:$A$25,0))&amp;" | "&amp;INDEX(Mapping!$B$29:$B$38,MATCH($B548,Mapping!$A$29:$A$38,0)))</f>
        <v/>
      </c>
      <c r="I548" s="5">
        <f>INDEX(Variables!$C$5:$C$65,MATCH($A548,Variables!$A$5:$A$65,0))</f>
        <v/>
      </c>
      <c r="J548" s="5">
        <f>INDEX(Variables!$E$5:$E$65,MATCH($A548,Variables!$A$5:$A$65,0))</f>
        <v/>
      </c>
      <c r="K548" s="23">
        <f>LOWER(Settings!$C$4)&amp;".mit."&amp;$A548&amp;IF($C548="","","."&amp;$C548&amp;"."&amp;$B548)&amp;IF(INDEX(Variables!$D$5:$D$65,MATCH($A548,Variables!$A$5:$A$65,0))="","","."&amp;INDEX(Variables!$D$5:$D$65,MATCH($A548,Variables!$A$5:$A$65,0)))&amp;"."&amp;K$5</f>
        <v/>
      </c>
      <c r="L548" s="38">
        <f>L530+L539</f>
        <v/>
      </c>
      <c r="M548" s="36">
        <f>M530+M539</f>
        <v/>
      </c>
      <c r="N548" s="36">
        <f>N530+N539</f>
        <v/>
      </c>
      <c r="O548" s="36">
        <f>O530+O539</f>
        <v/>
      </c>
      <c r="P548" s="36">
        <f>P530+P539</f>
        <v/>
      </c>
      <c r="Q548" s="36">
        <f>Q530+Q539</f>
        <v/>
      </c>
      <c r="R548" s="36">
        <f>R530+R539</f>
        <v/>
      </c>
      <c r="S548" s="36">
        <f>S530+S539</f>
        <v/>
      </c>
      <c r="T548" s="36">
        <f>T530+T539</f>
        <v/>
      </c>
      <c r="U548" s="36">
        <f>U530+U539</f>
        <v/>
      </c>
      <c r="V548" s="36">
        <f>V530+V539</f>
        <v/>
      </c>
      <c r="W548" s="36">
        <f>W530+W539</f>
        <v/>
      </c>
      <c r="X548" s="36">
        <f>X530+X539</f>
        <v/>
      </c>
      <c r="Y548" s="36">
        <f>Y530+Y539</f>
        <v/>
      </c>
      <c r="Z548" s="23">
        <f>LOWER(Settings!$C$4)&amp;".mit."&amp;$A548&amp;IF($C548="","","."&amp;$C548&amp;"."&amp;$B548)&amp;IF(INDEX(Variables!$D$5:$D$65,MATCH($A548,Variables!$A$5:$A$65,0))="","","."&amp;INDEX(Variables!$D$5:$D$65,MATCH($A548,Variables!$A$5:$A$65,0)))&amp;"."&amp;Z$5</f>
        <v/>
      </c>
      <c r="AA548" s="38">
        <f>AA530+AA539</f>
        <v/>
      </c>
      <c r="AB548" s="36">
        <f>AB530+AB539</f>
        <v/>
      </c>
      <c r="AC548" s="36">
        <f>AC530+AC539</f>
        <v/>
      </c>
      <c r="AD548" s="36">
        <f>AD530+AD539</f>
        <v/>
      </c>
      <c r="AE548" s="36">
        <f>AE530+AE539</f>
        <v/>
      </c>
      <c r="AF548" s="36">
        <f>AF530+AF539</f>
        <v/>
      </c>
      <c r="AG548" s="36">
        <f>AG530+AG539</f>
        <v/>
      </c>
      <c r="AH548" s="36">
        <f>AH530+AH539</f>
        <v/>
      </c>
      <c r="AI548" s="36">
        <f>AI530+AI539</f>
        <v/>
      </c>
      <c r="AJ548" s="36">
        <f>AJ530+AJ539</f>
        <v/>
      </c>
      <c r="AK548" s="36">
        <f>AK530+AK539</f>
        <v/>
      </c>
      <c r="AL548" s="36">
        <f>AL530+AL539</f>
        <v/>
      </c>
      <c r="AM548" s="36">
        <f>AM530+AM539</f>
        <v/>
      </c>
      <c r="AN548" s="36">
        <f>AN530+AN539</f>
        <v/>
      </c>
    </row>
    <row r="549" hidden="1" outlineLevel="2">
      <c r="A549" s="5" t="inlineStr">
        <is>
          <t>nce</t>
        </is>
      </c>
      <c r="B549" s="5" t="inlineStr">
        <is>
          <t>gso</t>
        </is>
      </c>
      <c r="C549" s="5" t="inlineStr">
        <is>
          <t>foo</t>
        </is>
      </c>
      <c r="D549" s="37" t="n"/>
      <c r="E549" s="37" t="n"/>
      <c r="F549" s="37" t="n"/>
      <c r="G549" s="37" t="n"/>
      <c r="H549" s="5">
        <f>INDEX(Variables!$B$5:$B$65,MATCH($A549,Variables!$A$5:$A$65,0))&amp;IF($C549="",""," | "&amp;INDEX(Mapping!$B$5:$B$25,MATCH($C549,Mapping!$A$5:$A$25,0))&amp;" | "&amp;INDEX(Mapping!$B$29:$B$38,MATCH($B549,Mapping!$A$29:$A$38,0)))</f>
        <v/>
      </c>
      <c r="I549" s="5">
        <f>INDEX(Variables!$C$5:$C$65,MATCH($A549,Variables!$A$5:$A$65,0))</f>
        <v/>
      </c>
      <c r="J549" s="5">
        <f>INDEX(Variables!$E$5:$E$65,MATCH($A549,Variables!$A$5:$A$65,0))</f>
        <v/>
      </c>
      <c r="K549" s="23">
        <f>LOWER(Settings!$C$4)&amp;".mit."&amp;$A549&amp;IF($C549="","","."&amp;$C549&amp;"."&amp;$B549)&amp;IF(INDEX(Variables!$D$5:$D$65,MATCH($A549,Variables!$A$5:$A$65,0))="","","."&amp;INDEX(Variables!$D$5:$D$65,MATCH($A549,Variables!$A$5:$A$65,0)))&amp;"."&amp;K$5</f>
        <v/>
      </c>
      <c r="L549" s="38">
        <f>L531+L540</f>
        <v/>
      </c>
      <c r="M549" s="36">
        <f>M531+M540</f>
        <v/>
      </c>
      <c r="N549" s="36">
        <f>N531+N540</f>
        <v/>
      </c>
      <c r="O549" s="36">
        <f>O531+O540</f>
        <v/>
      </c>
      <c r="P549" s="36">
        <f>P531+P540</f>
        <v/>
      </c>
      <c r="Q549" s="36">
        <f>Q531+Q540</f>
        <v/>
      </c>
      <c r="R549" s="36">
        <f>R531+R540</f>
        <v/>
      </c>
      <c r="S549" s="36">
        <f>S531+S540</f>
        <v/>
      </c>
      <c r="T549" s="36">
        <f>T531+T540</f>
        <v/>
      </c>
      <c r="U549" s="36">
        <f>U531+U540</f>
        <v/>
      </c>
      <c r="V549" s="36">
        <f>V531+V540</f>
        <v/>
      </c>
      <c r="W549" s="36">
        <f>W531+W540</f>
        <v/>
      </c>
      <c r="X549" s="36">
        <f>X531+X540</f>
        <v/>
      </c>
      <c r="Y549" s="36">
        <f>Y531+Y540</f>
        <v/>
      </c>
      <c r="Z549" s="23">
        <f>LOWER(Settings!$C$4)&amp;".mit."&amp;$A549&amp;IF($C549="","","."&amp;$C549&amp;"."&amp;$B549)&amp;IF(INDEX(Variables!$D$5:$D$65,MATCH($A549,Variables!$A$5:$A$65,0))="","","."&amp;INDEX(Variables!$D$5:$D$65,MATCH($A549,Variables!$A$5:$A$65,0)))&amp;"."&amp;Z$5</f>
        <v/>
      </c>
      <c r="AA549" s="38">
        <f>AA531+AA540</f>
        <v/>
      </c>
      <c r="AB549" s="36">
        <f>AB531+AB540</f>
        <v/>
      </c>
      <c r="AC549" s="36">
        <f>AC531+AC540</f>
        <v/>
      </c>
      <c r="AD549" s="36">
        <f>AD531+AD540</f>
        <v/>
      </c>
      <c r="AE549" s="36">
        <f>AE531+AE540</f>
        <v/>
      </c>
      <c r="AF549" s="36">
        <f>AF531+AF540</f>
        <v/>
      </c>
      <c r="AG549" s="36">
        <f>AG531+AG540</f>
        <v/>
      </c>
      <c r="AH549" s="36">
        <f>AH531+AH540</f>
        <v/>
      </c>
      <c r="AI549" s="36">
        <f>AI531+AI540</f>
        <v/>
      </c>
      <c r="AJ549" s="36">
        <f>AJ531+AJ540</f>
        <v/>
      </c>
      <c r="AK549" s="36">
        <f>AK531+AK540</f>
        <v/>
      </c>
      <c r="AL549" s="36">
        <f>AL531+AL540</f>
        <v/>
      </c>
      <c r="AM549" s="36">
        <f>AM531+AM540</f>
        <v/>
      </c>
      <c r="AN549" s="36">
        <f>AN531+AN540</f>
        <v/>
      </c>
    </row>
    <row r="550" hidden="1" outlineLevel="2">
      <c r="A550" s="5" t="inlineStr">
        <is>
          <t>nce</t>
        </is>
      </c>
      <c r="B550" s="5" t="inlineStr">
        <is>
          <t>die</t>
        </is>
      </c>
      <c r="C550" s="5" t="inlineStr">
        <is>
          <t>foo</t>
        </is>
      </c>
      <c r="D550" s="37" t="n"/>
      <c r="E550" s="37" t="n"/>
      <c r="F550" s="37" t="n"/>
      <c r="G550" s="37" t="n"/>
      <c r="H550" s="5">
        <f>INDEX(Variables!$B$5:$B$65,MATCH($A550,Variables!$A$5:$A$65,0))&amp;IF($C550="",""," | "&amp;INDEX(Mapping!$B$5:$B$25,MATCH($C550,Mapping!$A$5:$A$25,0))&amp;" | "&amp;INDEX(Mapping!$B$29:$B$38,MATCH($B550,Mapping!$A$29:$A$38,0)))</f>
        <v/>
      </c>
      <c r="I550" s="5">
        <f>INDEX(Variables!$C$5:$C$65,MATCH($A550,Variables!$A$5:$A$65,0))</f>
        <v/>
      </c>
      <c r="J550" s="5">
        <f>INDEX(Variables!$E$5:$E$65,MATCH($A550,Variables!$A$5:$A$65,0))</f>
        <v/>
      </c>
      <c r="K550" s="23">
        <f>LOWER(Settings!$C$4)&amp;".mit."&amp;$A550&amp;IF($C550="","","."&amp;$C550&amp;"."&amp;$B550)&amp;IF(INDEX(Variables!$D$5:$D$65,MATCH($A550,Variables!$A$5:$A$65,0))="","","."&amp;INDEX(Variables!$D$5:$D$65,MATCH($A550,Variables!$A$5:$A$65,0)))&amp;"."&amp;K$5</f>
        <v/>
      </c>
      <c r="L550" s="38">
        <f>L532+L541</f>
        <v/>
      </c>
      <c r="M550" s="36">
        <f>M532+M541</f>
        <v/>
      </c>
      <c r="N550" s="36">
        <f>N532+N541</f>
        <v/>
      </c>
      <c r="O550" s="36">
        <f>O532+O541</f>
        <v/>
      </c>
      <c r="P550" s="36">
        <f>P532+P541</f>
        <v/>
      </c>
      <c r="Q550" s="36">
        <f>Q532+Q541</f>
        <v/>
      </c>
      <c r="R550" s="36">
        <f>R532+R541</f>
        <v/>
      </c>
      <c r="S550" s="36">
        <f>S532+S541</f>
        <v/>
      </c>
      <c r="T550" s="36">
        <f>T532+T541</f>
        <v/>
      </c>
      <c r="U550" s="36">
        <f>U532+U541</f>
        <v/>
      </c>
      <c r="V550" s="36">
        <f>V532+V541</f>
        <v/>
      </c>
      <c r="W550" s="36">
        <f>W532+W541</f>
        <v/>
      </c>
      <c r="X550" s="36">
        <f>X532+X541</f>
        <v/>
      </c>
      <c r="Y550" s="36">
        <f>Y532+Y541</f>
        <v/>
      </c>
      <c r="Z550" s="23">
        <f>LOWER(Settings!$C$4)&amp;".mit."&amp;$A550&amp;IF($C550="","","."&amp;$C550&amp;"."&amp;$B550)&amp;IF(INDEX(Variables!$D$5:$D$65,MATCH($A550,Variables!$A$5:$A$65,0))="","","."&amp;INDEX(Variables!$D$5:$D$65,MATCH($A550,Variables!$A$5:$A$65,0)))&amp;"."&amp;Z$5</f>
        <v/>
      </c>
      <c r="AA550" s="38">
        <f>AA532+AA541</f>
        <v/>
      </c>
      <c r="AB550" s="36">
        <f>AB532+AB541</f>
        <v/>
      </c>
      <c r="AC550" s="36">
        <f>AC532+AC541</f>
        <v/>
      </c>
      <c r="AD550" s="36">
        <f>AD532+AD541</f>
        <v/>
      </c>
      <c r="AE550" s="36">
        <f>AE532+AE541</f>
        <v/>
      </c>
      <c r="AF550" s="36">
        <f>AF532+AF541</f>
        <v/>
      </c>
      <c r="AG550" s="36">
        <f>AG532+AG541</f>
        <v/>
      </c>
      <c r="AH550" s="36">
        <f>AH532+AH541</f>
        <v/>
      </c>
      <c r="AI550" s="36">
        <f>AI532+AI541</f>
        <v/>
      </c>
      <c r="AJ550" s="36">
        <f>AJ532+AJ541</f>
        <v/>
      </c>
      <c r="AK550" s="36">
        <f>AK532+AK541</f>
        <v/>
      </c>
      <c r="AL550" s="36">
        <f>AL532+AL541</f>
        <v/>
      </c>
      <c r="AM550" s="36">
        <f>AM532+AM541</f>
        <v/>
      </c>
      <c r="AN550" s="36">
        <f>AN532+AN541</f>
        <v/>
      </c>
    </row>
    <row r="551" hidden="1" outlineLevel="2">
      <c r="A551" s="5" t="inlineStr">
        <is>
          <t>nce</t>
        </is>
      </c>
      <c r="B551" s="5" t="inlineStr">
        <is>
          <t>lpg</t>
        </is>
      </c>
      <c r="C551" s="5" t="inlineStr">
        <is>
          <t>foo</t>
        </is>
      </c>
      <c r="D551" s="37" t="n"/>
      <c r="E551" s="37" t="n"/>
      <c r="F551" s="37" t="n"/>
      <c r="G551" s="37" t="n"/>
      <c r="H551" s="5">
        <f>INDEX(Variables!$B$5:$B$65,MATCH($A551,Variables!$A$5:$A$65,0))&amp;IF($C551="",""," | "&amp;INDEX(Mapping!$B$5:$B$25,MATCH($C551,Mapping!$A$5:$A$25,0))&amp;" | "&amp;INDEX(Mapping!$B$29:$B$38,MATCH($B551,Mapping!$A$29:$A$38,0)))</f>
        <v/>
      </c>
      <c r="I551" s="5">
        <f>INDEX(Variables!$C$5:$C$65,MATCH($A551,Variables!$A$5:$A$65,0))</f>
        <v/>
      </c>
      <c r="J551" s="5">
        <f>INDEX(Variables!$E$5:$E$65,MATCH($A551,Variables!$A$5:$A$65,0))</f>
        <v/>
      </c>
      <c r="K551" s="23">
        <f>LOWER(Settings!$C$4)&amp;".mit."&amp;$A551&amp;IF($C551="","","."&amp;$C551&amp;"."&amp;$B551)&amp;IF(INDEX(Variables!$D$5:$D$65,MATCH($A551,Variables!$A$5:$A$65,0))="","","."&amp;INDEX(Variables!$D$5:$D$65,MATCH($A551,Variables!$A$5:$A$65,0)))&amp;"."&amp;K$5</f>
        <v/>
      </c>
      <c r="L551" s="38">
        <f>L533+L542</f>
        <v/>
      </c>
      <c r="M551" s="36">
        <f>M533+M542</f>
        <v/>
      </c>
      <c r="N551" s="36">
        <f>N533+N542</f>
        <v/>
      </c>
      <c r="O551" s="36">
        <f>O533+O542</f>
        <v/>
      </c>
      <c r="P551" s="36">
        <f>P533+P542</f>
        <v/>
      </c>
      <c r="Q551" s="36">
        <f>Q533+Q542</f>
        <v/>
      </c>
      <c r="R551" s="36">
        <f>R533+R542</f>
        <v/>
      </c>
      <c r="S551" s="36">
        <f>S533+S542</f>
        <v/>
      </c>
      <c r="T551" s="36">
        <f>T533+T542</f>
        <v/>
      </c>
      <c r="U551" s="36">
        <f>U533+U542</f>
        <v/>
      </c>
      <c r="V551" s="36">
        <f>V533+V542</f>
        <v/>
      </c>
      <c r="W551" s="36">
        <f>W533+W542</f>
        <v/>
      </c>
      <c r="X551" s="36">
        <f>X533+X542</f>
        <v/>
      </c>
      <c r="Y551" s="36">
        <f>Y533+Y542</f>
        <v/>
      </c>
      <c r="Z551" s="23">
        <f>LOWER(Settings!$C$4)&amp;".mit."&amp;$A551&amp;IF($C551="","","."&amp;$C551&amp;"."&amp;$B551)&amp;IF(INDEX(Variables!$D$5:$D$65,MATCH($A551,Variables!$A$5:$A$65,0))="","","."&amp;INDEX(Variables!$D$5:$D$65,MATCH($A551,Variables!$A$5:$A$65,0)))&amp;"."&amp;Z$5</f>
        <v/>
      </c>
      <c r="AA551" s="38">
        <f>AA533+AA542</f>
        <v/>
      </c>
      <c r="AB551" s="36">
        <f>AB533+AB542</f>
        <v/>
      </c>
      <c r="AC551" s="36">
        <f>AC533+AC542</f>
        <v/>
      </c>
      <c r="AD551" s="36">
        <f>AD533+AD542</f>
        <v/>
      </c>
      <c r="AE551" s="36">
        <f>AE533+AE542</f>
        <v/>
      </c>
      <c r="AF551" s="36">
        <f>AF533+AF542</f>
        <v/>
      </c>
      <c r="AG551" s="36">
        <f>AG533+AG542</f>
        <v/>
      </c>
      <c r="AH551" s="36">
        <f>AH533+AH542</f>
        <v/>
      </c>
      <c r="AI551" s="36">
        <f>AI533+AI542</f>
        <v/>
      </c>
      <c r="AJ551" s="36">
        <f>AJ533+AJ542</f>
        <v/>
      </c>
      <c r="AK551" s="36">
        <f>AK533+AK542</f>
        <v/>
      </c>
      <c r="AL551" s="36">
        <f>AL533+AL542</f>
        <v/>
      </c>
      <c r="AM551" s="36">
        <f>AM533+AM542</f>
        <v/>
      </c>
      <c r="AN551" s="36">
        <f>AN533+AN542</f>
        <v/>
      </c>
    </row>
    <row r="552" hidden="1" outlineLevel="2">
      <c r="A552" s="5" t="inlineStr">
        <is>
          <t>nce</t>
        </is>
      </c>
      <c r="B552" s="5" t="inlineStr">
        <is>
          <t>ker</t>
        </is>
      </c>
      <c r="C552" s="5" t="inlineStr">
        <is>
          <t>foo</t>
        </is>
      </c>
      <c r="D552" s="37" t="n"/>
      <c r="E552" s="37" t="n"/>
      <c r="F552" s="37" t="n"/>
      <c r="G552" s="37" t="n"/>
      <c r="H552" s="5">
        <f>INDEX(Variables!$B$5:$B$65,MATCH($A552,Variables!$A$5:$A$65,0))&amp;IF($C552="",""," | "&amp;INDEX(Mapping!$B$5:$B$25,MATCH($C552,Mapping!$A$5:$A$25,0))&amp;" | "&amp;INDEX(Mapping!$B$29:$B$38,MATCH($B552,Mapping!$A$29:$A$38,0)))</f>
        <v/>
      </c>
      <c r="I552" s="5">
        <f>INDEX(Variables!$C$5:$C$65,MATCH($A552,Variables!$A$5:$A$65,0))</f>
        <v/>
      </c>
      <c r="J552" s="5">
        <f>INDEX(Variables!$E$5:$E$65,MATCH($A552,Variables!$A$5:$A$65,0))</f>
        <v/>
      </c>
      <c r="K552" s="23">
        <f>LOWER(Settings!$C$4)&amp;".mit."&amp;$A552&amp;IF($C552="","","."&amp;$C552&amp;"."&amp;$B552)&amp;IF(INDEX(Variables!$D$5:$D$65,MATCH($A552,Variables!$A$5:$A$65,0))="","","."&amp;INDEX(Variables!$D$5:$D$65,MATCH($A552,Variables!$A$5:$A$65,0)))&amp;"."&amp;K$5</f>
        <v/>
      </c>
      <c r="L552" s="38">
        <f>L534+L543</f>
        <v/>
      </c>
      <c r="M552" s="36">
        <f>M534+M543</f>
        <v/>
      </c>
      <c r="N552" s="36">
        <f>N534+N543</f>
        <v/>
      </c>
      <c r="O552" s="36">
        <f>O534+O543</f>
        <v/>
      </c>
      <c r="P552" s="36">
        <f>P534+P543</f>
        <v/>
      </c>
      <c r="Q552" s="36">
        <f>Q534+Q543</f>
        <v/>
      </c>
      <c r="R552" s="36">
        <f>R534+R543</f>
        <v/>
      </c>
      <c r="S552" s="36">
        <f>S534+S543</f>
        <v/>
      </c>
      <c r="T552" s="36">
        <f>T534+T543</f>
        <v/>
      </c>
      <c r="U552" s="36">
        <f>U534+U543</f>
        <v/>
      </c>
      <c r="V552" s="36">
        <f>V534+V543</f>
        <v/>
      </c>
      <c r="W552" s="36">
        <f>W534+W543</f>
        <v/>
      </c>
      <c r="X552" s="36">
        <f>X534+X543</f>
        <v/>
      </c>
      <c r="Y552" s="36">
        <f>Y534+Y543</f>
        <v/>
      </c>
      <c r="Z552" s="23">
        <f>LOWER(Settings!$C$4)&amp;".mit."&amp;$A552&amp;IF($C552="","","."&amp;$C552&amp;"."&amp;$B552)&amp;IF(INDEX(Variables!$D$5:$D$65,MATCH($A552,Variables!$A$5:$A$65,0))="","","."&amp;INDEX(Variables!$D$5:$D$65,MATCH($A552,Variables!$A$5:$A$65,0)))&amp;"."&amp;Z$5</f>
        <v/>
      </c>
      <c r="AA552" s="38">
        <f>AA534+AA543</f>
        <v/>
      </c>
      <c r="AB552" s="36">
        <f>AB534+AB543</f>
        <v/>
      </c>
      <c r="AC552" s="36">
        <f>AC534+AC543</f>
        <v/>
      </c>
      <c r="AD552" s="36">
        <f>AD534+AD543</f>
        <v/>
      </c>
      <c r="AE552" s="36">
        <f>AE534+AE543</f>
        <v/>
      </c>
      <c r="AF552" s="36">
        <f>AF534+AF543</f>
        <v/>
      </c>
      <c r="AG552" s="36">
        <f>AG534+AG543</f>
        <v/>
      </c>
      <c r="AH552" s="36">
        <f>AH534+AH543</f>
        <v/>
      </c>
      <c r="AI552" s="36">
        <f>AI534+AI543</f>
        <v/>
      </c>
      <c r="AJ552" s="36">
        <f>AJ534+AJ543</f>
        <v/>
      </c>
      <c r="AK552" s="36">
        <f>AK534+AK543</f>
        <v/>
      </c>
      <c r="AL552" s="36">
        <f>AL534+AL543</f>
        <v/>
      </c>
      <c r="AM552" s="36">
        <f>AM534+AM543</f>
        <v/>
      </c>
      <c r="AN552" s="36">
        <f>AN534+AN543</f>
        <v/>
      </c>
    </row>
    <row r="553" hidden="1" outlineLevel="2">
      <c r="A553" s="5" t="inlineStr">
        <is>
          <t>nce</t>
        </is>
      </c>
      <c r="B553" s="5" t="inlineStr">
        <is>
          <t>oop</t>
        </is>
      </c>
      <c r="C553" s="5" t="inlineStr">
        <is>
          <t>foo</t>
        </is>
      </c>
      <c r="D553" s="37" t="n"/>
      <c r="E553" s="37" t="n"/>
      <c r="F553" s="37" t="n"/>
      <c r="G553" s="37" t="n"/>
      <c r="H553" s="5">
        <f>INDEX(Variables!$B$5:$B$65,MATCH($A553,Variables!$A$5:$A$65,0))&amp;IF($C553="",""," | "&amp;INDEX(Mapping!$B$5:$B$25,MATCH($C553,Mapping!$A$5:$A$25,0))&amp;" | "&amp;INDEX(Mapping!$B$29:$B$38,MATCH($B553,Mapping!$A$29:$A$38,0)))</f>
        <v/>
      </c>
      <c r="I553" s="5">
        <f>INDEX(Variables!$C$5:$C$65,MATCH($A553,Variables!$A$5:$A$65,0))</f>
        <v/>
      </c>
      <c r="J553" s="5">
        <f>INDEX(Variables!$E$5:$E$65,MATCH($A553,Variables!$A$5:$A$65,0))</f>
        <v/>
      </c>
      <c r="K553" s="23">
        <f>LOWER(Settings!$C$4)&amp;".mit."&amp;$A553&amp;IF($C553="","","."&amp;$C553&amp;"."&amp;$B553)&amp;IF(INDEX(Variables!$D$5:$D$65,MATCH($A553,Variables!$A$5:$A$65,0))="","","."&amp;INDEX(Variables!$D$5:$D$65,MATCH($A553,Variables!$A$5:$A$65,0)))&amp;"."&amp;K$5</f>
        <v/>
      </c>
      <c r="L553" s="38">
        <f>L535+L544</f>
        <v/>
      </c>
      <c r="M553" s="36">
        <f>M535+M544</f>
        <v/>
      </c>
      <c r="N553" s="36">
        <f>N535+N544</f>
        <v/>
      </c>
      <c r="O553" s="36">
        <f>O535+O544</f>
        <v/>
      </c>
      <c r="P553" s="36">
        <f>P535+P544</f>
        <v/>
      </c>
      <c r="Q553" s="36">
        <f>Q535+Q544</f>
        <v/>
      </c>
      <c r="R553" s="36">
        <f>R535+R544</f>
        <v/>
      </c>
      <c r="S553" s="36">
        <f>S535+S544</f>
        <v/>
      </c>
      <c r="T553" s="36">
        <f>T535+T544</f>
        <v/>
      </c>
      <c r="U553" s="36">
        <f>U535+U544</f>
        <v/>
      </c>
      <c r="V553" s="36">
        <f>V535+V544</f>
        <v/>
      </c>
      <c r="W553" s="36">
        <f>W535+W544</f>
        <v/>
      </c>
      <c r="X553" s="36">
        <f>X535+X544</f>
        <v/>
      </c>
      <c r="Y553" s="36">
        <f>Y535+Y544</f>
        <v/>
      </c>
      <c r="Z553" s="23">
        <f>LOWER(Settings!$C$4)&amp;".mit."&amp;$A553&amp;IF($C553="","","."&amp;$C553&amp;"."&amp;$B553)&amp;IF(INDEX(Variables!$D$5:$D$65,MATCH($A553,Variables!$A$5:$A$65,0))="","","."&amp;INDEX(Variables!$D$5:$D$65,MATCH($A553,Variables!$A$5:$A$65,0)))&amp;"."&amp;Z$5</f>
        <v/>
      </c>
      <c r="AA553" s="38">
        <f>AA535+AA544</f>
        <v/>
      </c>
      <c r="AB553" s="36">
        <f>AB535+AB544</f>
        <v/>
      </c>
      <c r="AC553" s="36">
        <f>AC535+AC544</f>
        <v/>
      </c>
      <c r="AD553" s="36">
        <f>AD535+AD544</f>
        <v/>
      </c>
      <c r="AE553" s="36">
        <f>AE535+AE544</f>
        <v/>
      </c>
      <c r="AF553" s="36">
        <f>AF535+AF544</f>
        <v/>
      </c>
      <c r="AG553" s="36">
        <f>AG535+AG544</f>
        <v/>
      </c>
      <c r="AH553" s="36">
        <f>AH535+AH544</f>
        <v/>
      </c>
      <c r="AI553" s="36">
        <f>AI535+AI544</f>
        <v/>
      </c>
      <c r="AJ553" s="36">
        <f>AJ535+AJ544</f>
        <v/>
      </c>
      <c r="AK553" s="36">
        <f>AK535+AK544</f>
        <v/>
      </c>
      <c r="AL553" s="36">
        <f>AL535+AL544</f>
        <v/>
      </c>
      <c r="AM553" s="36">
        <f>AM535+AM544</f>
        <v/>
      </c>
      <c r="AN553" s="36">
        <f>AN535+AN544</f>
        <v/>
      </c>
    </row>
    <row r="554" hidden="1" outlineLevel="2">
      <c r="A554" s="5" t="inlineStr">
        <is>
          <t>nce</t>
        </is>
      </c>
      <c r="B554" s="5" t="inlineStr">
        <is>
          <t>bio</t>
        </is>
      </c>
      <c r="C554" s="5" t="inlineStr">
        <is>
          <t>foo</t>
        </is>
      </c>
      <c r="D554" s="37" t="n"/>
      <c r="E554" s="37" t="n"/>
      <c r="F554" s="37" t="n"/>
      <c r="G554" s="37" t="n"/>
      <c r="H554" s="5">
        <f>INDEX(Variables!$B$5:$B$65,MATCH($A554,Variables!$A$5:$A$65,0))&amp;IF($C554="",""," | "&amp;INDEX(Mapping!$B$5:$B$25,MATCH($C554,Mapping!$A$5:$A$25,0))&amp;" | "&amp;INDEX(Mapping!$B$29:$B$38,MATCH($B554,Mapping!$A$29:$A$38,0)))</f>
        <v/>
      </c>
      <c r="I554" s="5">
        <f>INDEX(Variables!$C$5:$C$65,MATCH($A554,Variables!$A$5:$A$65,0))</f>
        <v/>
      </c>
      <c r="J554" s="5">
        <f>INDEX(Variables!$E$5:$E$65,MATCH($A554,Variables!$A$5:$A$65,0))</f>
        <v/>
      </c>
      <c r="K554" s="23">
        <f>LOWER(Settings!$C$4)&amp;".mit."&amp;$A554&amp;IF($C554="","","."&amp;$C554&amp;"."&amp;$B554)&amp;IF(INDEX(Variables!$D$5:$D$65,MATCH($A554,Variables!$A$5:$A$65,0))="","","."&amp;INDEX(Variables!$D$5:$D$65,MATCH($A554,Variables!$A$5:$A$65,0)))&amp;"."&amp;K$5</f>
        <v/>
      </c>
      <c r="L554" s="38">
        <f>L536+L545</f>
        <v/>
      </c>
      <c r="M554" s="36">
        <f>M536+M545</f>
        <v/>
      </c>
      <c r="N554" s="36">
        <f>N536+N545</f>
        <v/>
      </c>
      <c r="O554" s="36">
        <f>O536+O545</f>
        <v/>
      </c>
      <c r="P554" s="36">
        <f>P536+P545</f>
        <v/>
      </c>
      <c r="Q554" s="36">
        <f>Q536+Q545</f>
        <v/>
      </c>
      <c r="R554" s="36">
        <f>R536+R545</f>
        <v/>
      </c>
      <c r="S554" s="36">
        <f>S536+S545</f>
        <v/>
      </c>
      <c r="T554" s="36">
        <f>T536+T545</f>
        <v/>
      </c>
      <c r="U554" s="36">
        <f>U536+U545</f>
        <v/>
      </c>
      <c r="V554" s="36">
        <f>V536+V545</f>
        <v/>
      </c>
      <c r="W554" s="36">
        <f>W536+W545</f>
        <v/>
      </c>
      <c r="X554" s="36">
        <f>X536+X545</f>
        <v/>
      </c>
      <c r="Y554" s="36">
        <f>Y536+Y545</f>
        <v/>
      </c>
      <c r="Z554" s="23">
        <f>LOWER(Settings!$C$4)&amp;".mit."&amp;$A554&amp;IF($C554="","","."&amp;$C554&amp;"."&amp;$B554)&amp;IF(INDEX(Variables!$D$5:$D$65,MATCH($A554,Variables!$A$5:$A$65,0))="","","."&amp;INDEX(Variables!$D$5:$D$65,MATCH($A554,Variables!$A$5:$A$65,0)))&amp;"."&amp;Z$5</f>
        <v/>
      </c>
      <c r="AA554" s="38">
        <f>AA536+AA545</f>
        <v/>
      </c>
      <c r="AB554" s="36">
        <f>AB536+AB545</f>
        <v/>
      </c>
      <c r="AC554" s="36">
        <f>AC536+AC545</f>
        <v/>
      </c>
      <c r="AD554" s="36">
        <f>AD536+AD545</f>
        <v/>
      </c>
      <c r="AE554" s="36">
        <f>AE536+AE545</f>
        <v/>
      </c>
      <c r="AF554" s="36">
        <f>AF536+AF545</f>
        <v/>
      </c>
      <c r="AG554" s="36">
        <f>AG536+AG545</f>
        <v/>
      </c>
      <c r="AH554" s="36">
        <f>AH536+AH545</f>
        <v/>
      </c>
      <c r="AI554" s="36">
        <f>AI536+AI545</f>
        <v/>
      </c>
      <c r="AJ554" s="36">
        <f>AJ536+AJ545</f>
        <v/>
      </c>
      <c r="AK554" s="36">
        <f>AK536+AK545</f>
        <v/>
      </c>
      <c r="AL554" s="36">
        <f>AL536+AL545</f>
        <v/>
      </c>
      <c r="AM554" s="36">
        <f>AM536+AM545</f>
        <v/>
      </c>
      <c r="AN554" s="36">
        <f>AN536+AN545</f>
        <v/>
      </c>
    </row>
    <row r="555" hidden="1" outlineLevel="2"/>
    <row r="556" hidden="1" outlineLevel="2">
      <c r="A556" s="5" t="inlineStr">
        <is>
          <t>tax</t>
        </is>
      </c>
      <c r="B556" s="5" t="inlineStr">
        <is>
          <t>coa</t>
        </is>
      </c>
      <c r="C556" s="5" t="inlineStr">
        <is>
          <t>foo</t>
        </is>
      </c>
      <c r="D556" s="36">
        <f>INDEX(Inputs!$T$5:$T$132,MATCH($B556&amp;"|"&amp;$C556,Inputs!$A$5:$A$132,0))</f>
        <v/>
      </c>
      <c r="E556" s="37" t="n"/>
      <c r="F556" s="37" t="n"/>
      <c r="G556" s="37" t="n"/>
      <c r="H556" s="5">
        <f>INDEX(Variables!$B$5:$B$65,MATCH($A556,Variables!$A$5:$A$65,0))&amp;IF($C556="",""," | "&amp;INDEX(Mapping!$B$5:$B$25,MATCH($C556,Mapping!$A$5:$A$25,0))&amp;" | "&amp;INDEX(Mapping!$B$29:$B$38,MATCH($B556,Mapping!$A$29:$A$38,0)))</f>
        <v/>
      </c>
      <c r="I556" s="5">
        <f>INDEX(Variables!$C$5:$C$65,MATCH($A556,Variables!$A$5:$A$65,0))</f>
        <v/>
      </c>
      <c r="J556" s="5">
        <f>INDEX(Variables!$E$5:$E$65,MATCH($A556,Variables!$A$5:$A$65,0))</f>
        <v/>
      </c>
      <c r="K556" s="23">
        <f>LOWER(Settings!$C$4)&amp;".mit."&amp;$A556&amp;IF($C556="","","."&amp;$C556&amp;"."&amp;$B556)&amp;IF(INDEX(Variables!$D$5:$D$65,MATCH($A556,Variables!$A$5:$A$65,0))="","","."&amp;INDEX(Variables!$D$5:$D$65,MATCH($A556,Variables!$A$5:$A$65,0)))&amp;"."&amp;K$5</f>
        <v/>
      </c>
      <c r="L556" s="38">
        <f>$D556+L547</f>
        <v/>
      </c>
      <c r="M556" s="36">
        <f>$D556+M547</f>
        <v/>
      </c>
      <c r="N556" s="36">
        <f>$D556+N547</f>
        <v/>
      </c>
      <c r="O556" s="36">
        <f>$D556+O547</f>
        <v/>
      </c>
      <c r="P556" s="36">
        <f>$D556+P547</f>
        <v/>
      </c>
      <c r="Q556" s="36">
        <f>$D556+Q547</f>
        <v/>
      </c>
      <c r="R556" s="36">
        <f>$D556+R547</f>
        <v/>
      </c>
      <c r="S556" s="36">
        <f>$D556+S547</f>
        <v/>
      </c>
      <c r="T556" s="36">
        <f>$D556+T547</f>
        <v/>
      </c>
      <c r="U556" s="36">
        <f>$D556+U547</f>
        <v/>
      </c>
      <c r="V556" s="36">
        <f>$D556+V547</f>
        <v/>
      </c>
      <c r="W556" s="36">
        <f>$D556+W547</f>
        <v/>
      </c>
      <c r="X556" s="36">
        <f>$D556+X547</f>
        <v/>
      </c>
      <c r="Y556" s="39">
        <f>TAX($D556,Y547)</f>
        <v/>
      </c>
      <c r="Z556" s="23">
        <f>LOWER(Settings!$C$4)&amp;".mit."&amp;$A556&amp;IF($C556="","","."&amp;$C556&amp;"."&amp;$B556)&amp;IF(INDEX(Variables!$D$5:$D$65,MATCH($A556,Variables!$A$5:$A$65,0))="","","."&amp;INDEX(Variables!$D$5:$D$65,MATCH($A556,Variables!$A$5:$A$65,0)))&amp;"."&amp;Z$5</f>
        <v/>
      </c>
      <c r="AA556" s="38">
        <f>$D556+AA547</f>
        <v/>
      </c>
      <c r="AB556" s="36">
        <f>$D556+AB547</f>
        <v/>
      </c>
      <c r="AC556" s="36">
        <f>$D556+AC547</f>
        <v/>
      </c>
      <c r="AD556" s="36">
        <f>$D556+AD547</f>
        <v/>
      </c>
      <c r="AE556" s="36">
        <f>$D556+AE547</f>
        <v/>
      </c>
      <c r="AF556" s="36">
        <f>$D556+AF547</f>
        <v/>
      </c>
      <c r="AG556" s="36">
        <f>$D556+AG547</f>
        <v/>
      </c>
      <c r="AH556" s="36">
        <f>$D556+AH547</f>
        <v/>
      </c>
      <c r="AI556" s="36">
        <f>$D556+AI547</f>
        <v/>
      </c>
      <c r="AJ556" s="36">
        <f>$D556+AJ547</f>
        <v/>
      </c>
      <c r="AK556" s="36">
        <f>$D556+AK547</f>
        <v/>
      </c>
      <c r="AL556" s="36">
        <f>$D556+AL547</f>
        <v/>
      </c>
      <c r="AM556" s="36">
        <f>$D556+AM547</f>
        <v/>
      </c>
      <c r="AN556" s="39">
        <f>TAX($D556,AN547)</f>
        <v/>
      </c>
    </row>
    <row r="557" hidden="1" outlineLevel="2">
      <c r="A557" s="5" t="inlineStr">
        <is>
          <t>tax</t>
        </is>
      </c>
      <c r="B557" s="5" t="inlineStr">
        <is>
          <t>nga</t>
        </is>
      </c>
      <c r="C557" s="5" t="inlineStr">
        <is>
          <t>foo</t>
        </is>
      </c>
      <c r="D557" s="36">
        <f>INDEX(Inputs!$T$5:$T$132,MATCH($B557&amp;"|"&amp;$C557,Inputs!$A$5:$A$132,0))</f>
        <v/>
      </c>
      <c r="E557" s="37" t="n"/>
      <c r="F557" s="37" t="n"/>
      <c r="G557" s="37" t="n"/>
      <c r="H557" s="5">
        <f>INDEX(Variables!$B$5:$B$65,MATCH($A557,Variables!$A$5:$A$65,0))&amp;IF($C557="",""," | "&amp;INDEX(Mapping!$B$5:$B$25,MATCH($C557,Mapping!$A$5:$A$25,0))&amp;" | "&amp;INDEX(Mapping!$B$29:$B$38,MATCH($B557,Mapping!$A$29:$A$38,0)))</f>
        <v/>
      </c>
      <c r="I557" s="5">
        <f>INDEX(Variables!$C$5:$C$65,MATCH($A557,Variables!$A$5:$A$65,0))</f>
        <v/>
      </c>
      <c r="J557" s="5">
        <f>INDEX(Variables!$E$5:$E$65,MATCH($A557,Variables!$A$5:$A$65,0))</f>
        <v/>
      </c>
      <c r="K557" s="23">
        <f>LOWER(Settings!$C$4)&amp;".mit."&amp;$A557&amp;IF($C557="","","."&amp;$C557&amp;"."&amp;$B557)&amp;IF(INDEX(Variables!$D$5:$D$65,MATCH($A557,Variables!$A$5:$A$65,0))="","","."&amp;INDEX(Variables!$D$5:$D$65,MATCH($A557,Variables!$A$5:$A$65,0)))&amp;"."&amp;K$5</f>
        <v/>
      </c>
      <c r="L557" s="38">
        <f>$D557+L548</f>
        <v/>
      </c>
      <c r="M557" s="36">
        <f>$D557+M548</f>
        <v/>
      </c>
      <c r="N557" s="36">
        <f>$D557+N548</f>
        <v/>
      </c>
      <c r="O557" s="36">
        <f>$D557+O548</f>
        <v/>
      </c>
      <c r="P557" s="36">
        <f>$D557+P548</f>
        <v/>
      </c>
      <c r="Q557" s="36">
        <f>$D557+Q548</f>
        <v/>
      </c>
      <c r="R557" s="36">
        <f>$D557+R548</f>
        <v/>
      </c>
      <c r="S557" s="36">
        <f>$D557+S548</f>
        <v/>
      </c>
      <c r="T557" s="36">
        <f>$D557+T548</f>
        <v/>
      </c>
      <c r="U557" s="36">
        <f>$D557+U548</f>
        <v/>
      </c>
      <c r="V557" s="36">
        <f>$D557+V548</f>
        <v/>
      </c>
      <c r="W557" s="36">
        <f>$D557+W548</f>
        <v/>
      </c>
      <c r="X557" s="36">
        <f>$D557+X548</f>
        <v/>
      </c>
      <c r="Y557" s="39">
        <f>TAX($D557,Y548)</f>
        <v/>
      </c>
      <c r="Z557" s="23">
        <f>LOWER(Settings!$C$4)&amp;".mit."&amp;$A557&amp;IF($C557="","","."&amp;$C557&amp;"."&amp;$B557)&amp;IF(INDEX(Variables!$D$5:$D$65,MATCH($A557,Variables!$A$5:$A$65,0))="","","."&amp;INDEX(Variables!$D$5:$D$65,MATCH($A557,Variables!$A$5:$A$65,0)))&amp;"."&amp;Z$5</f>
        <v/>
      </c>
      <c r="AA557" s="38">
        <f>$D557+AA548</f>
        <v/>
      </c>
      <c r="AB557" s="36">
        <f>$D557+AB548</f>
        <v/>
      </c>
      <c r="AC557" s="36">
        <f>$D557+AC548</f>
        <v/>
      </c>
      <c r="AD557" s="36">
        <f>$D557+AD548</f>
        <v/>
      </c>
      <c r="AE557" s="36">
        <f>$D557+AE548</f>
        <v/>
      </c>
      <c r="AF557" s="36">
        <f>$D557+AF548</f>
        <v/>
      </c>
      <c r="AG557" s="36">
        <f>$D557+AG548</f>
        <v/>
      </c>
      <c r="AH557" s="36">
        <f>$D557+AH548</f>
        <v/>
      </c>
      <c r="AI557" s="36">
        <f>$D557+AI548</f>
        <v/>
      </c>
      <c r="AJ557" s="36">
        <f>$D557+AJ548</f>
        <v/>
      </c>
      <c r="AK557" s="36">
        <f>$D557+AK548</f>
        <v/>
      </c>
      <c r="AL557" s="36">
        <f>$D557+AL548</f>
        <v/>
      </c>
      <c r="AM557" s="36">
        <f>$D557+AM548</f>
        <v/>
      </c>
      <c r="AN557" s="39">
        <f>TAX($D557,AN548)</f>
        <v/>
      </c>
    </row>
    <row r="558" hidden="1" outlineLevel="2">
      <c r="A558" s="5" t="inlineStr">
        <is>
          <t>tax</t>
        </is>
      </c>
      <c r="B558" s="5" t="inlineStr">
        <is>
          <t>gso</t>
        </is>
      </c>
      <c r="C558" s="5" t="inlineStr">
        <is>
          <t>foo</t>
        </is>
      </c>
      <c r="D558" s="36">
        <f>INDEX(Inputs!$T$5:$T$132,MATCH($B558&amp;"|"&amp;$C558,Inputs!$A$5:$A$132,0))</f>
        <v/>
      </c>
      <c r="E558" s="37" t="n"/>
      <c r="F558" s="37" t="n"/>
      <c r="G558" s="37" t="n"/>
      <c r="H558" s="5">
        <f>INDEX(Variables!$B$5:$B$65,MATCH($A558,Variables!$A$5:$A$65,0))&amp;IF($C558="",""," | "&amp;INDEX(Mapping!$B$5:$B$25,MATCH($C558,Mapping!$A$5:$A$25,0))&amp;" | "&amp;INDEX(Mapping!$B$29:$B$38,MATCH($B558,Mapping!$A$29:$A$38,0)))</f>
        <v/>
      </c>
      <c r="I558" s="5">
        <f>INDEX(Variables!$C$5:$C$65,MATCH($A558,Variables!$A$5:$A$65,0))</f>
        <v/>
      </c>
      <c r="J558" s="5">
        <f>INDEX(Variables!$E$5:$E$65,MATCH($A558,Variables!$A$5:$A$65,0))</f>
        <v/>
      </c>
      <c r="K558" s="23">
        <f>LOWER(Settings!$C$4)&amp;".mit."&amp;$A558&amp;IF($C558="","","."&amp;$C558&amp;"."&amp;$B558)&amp;IF(INDEX(Variables!$D$5:$D$65,MATCH($A558,Variables!$A$5:$A$65,0))="","","."&amp;INDEX(Variables!$D$5:$D$65,MATCH($A558,Variables!$A$5:$A$65,0)))&amp;"."&amp;K$5</f>
        <v/>
      </c>
      <c r="L558" s="38">
        <f>$D558+L549</f>
        <v/>
      </c>
      <c r="M558" s="36">
        <f>$D558+M549</f>
        <v/>
      </c>
      <c r="N558" s="36">
        <f>$D558+N549</f>
        <v/>
      </c>
      <c r="O558" s="36">
        <f>$D558+O549</f>
        <v/>
      </c>
      <c r="P558" s="36">
        <f>$D558+P549</f>
        <v/>
      </c>
      <c r="Q558" s="36">
        <f>$D558+Q549</f>
        <v/>
      </c>
      <c r="R558" s="36">
        <f>$D558+R549</f>
        <v/>
      </c>
      <c r="S558" s="36">
        <f>$D558+S549</f>
        <v/>
      </c>
      <c r="T558" s="36">
        <f>$D558+T549</f>
        <v/>
      </c>
      <c r="U558" s="36">
        <f>$D558+U549</f>
        <v/>
      </c>
      <c r="V558" s="36">
        <f>$D558+V549</f>
        <v/>
      </c>
      <c r="W558" s="36">
        <f>$D558+W549</f>
        <v/>
      </c>
      <c r="X558" s="36">
        <f>$D558+X549</f>
        <v/>
      </c>
      <c r="Y558" s="39">
        <f>TAX($D558,Y549)</f>
        <v/>
      </c>
      <c r="Z558" s="23">
        <f>LOWER(Settings!$C$4)&amp;".mit."&amp;$A558&amp;IF($C558="","","."&amp;$C558&amp;"."&amp;$B558)&amp;IF(INDEX(Variables!$D$5:$D$65,MATCH($A558,Variables!$A$5:$A$65,0))="","","."&amp;INDEX(Variables!$D$5:$D$65,MATCH($A558,Variables!$A$5:$A$65,0)))&amp;"."&amp;Z$5</f>
        <v/>
      </c>
      <c r="AA558" s="38">
        <f>$D558+AA549</f>
        <v/>
      </c>
      <c r="AB558" s="36">
        <f>$D558+AB549</f>
        <v/>
      </c>
      <c r="AC558" s="36">
        <f>$D558+AC549</f>
        <v/>
      </c>
      <c r="AD558" s="36">
        <f>$D558+AD549</f>
        <v/>
      </c>
      <c r="AE558" s="36">
        <f>$D558+AE549</f>
        <v/>
      </c>
      <c r="AF558" s="36">
        <f>$D558+AF549</f>
        <v/>
      </c>
      <c r="AG558" s="36">
        <f>$D558+AG549</f>
        <v/>
      </c>
      <c r="AH558" s="36">
        <f>$D558+AH549</f>
        <v/>
      </c>
      <c r="AI558" s="36">
        <f>$D558+AI549</f>
        <v/>
      </c>
      <c r="AJ558" s="36">
        <f>$D558+AJ549</f>
        <v/>
      </c>
      <c r="AK558" s="36">
        <f>$D558+AK549</f>
        <v/>
      </c>
      <c r="AL558" s="36">
        <f>$D558+AL549</f>
        <v/>
      </c>
      <c r="AM558" s="36">
        <f>$D558+AM549</f>
        <v/>
      </c>
      <c r="AN558" s="39">
        <f>TAX($D558,AN549)</f>
        <v/>
      </c>
    </row>
    <row r="559" hidden="1" outlineLevel="2">
      <c r="A559" s="5" t="inlineStr">
        <is>
          <t>tax</t>
        </is>
      </c>
      <c r="B559" s="5" t="inlineStr">
        <is>
          <t>die</t>
        </is>
      </c>
      <c r="C559" s="5" t="inlineStr">
        <is>
          <t>foo</t>
        </is>
      </c>
      <c r="D559" s="36">
        <f>INDEX(Inputs!$T$5:$T$132,MATCH($B559&amp;"|"&amp;$C559,Inputs!$A$5:$A$132,0))</f>
        <v/>
      </c>
      <c r="E559" s="37" t="n"/>
      <c r="F559" s="37" t="n"/>
      <c r="G559" s="37" t="n"/>
      <c r="H559" s="5">
        <f>INDEX(Variables!$B$5:$B$65,MATCH($A559,Variables!$A$5:$A$65,0))&amp;IF($C559="",""," | "&amp;INDEX(Mapping!$B$5:$B$25,MATCH($C559,Mapping!$A$5:$A$25,0))&amp;" | "&amp;INDEX(Mapping!$B$29:$B$38,MATCH($B559,Mapping!$A$29:$A$38,0)))</f>
        <v/>
      </c>
      <c r="I559" s="5">
        <f>INDEX(Variables!$C$5:$C$65,MATCH($A559,Variables!$A$5:$A$65,0))</f>
        <v/>
      </c>
      <c r="J559" s="5">
        <f>INDEX(Variables!$E$5:$E$65,MATCH($A559,Variables!$A$5:$A$65,0))</f>
        <v/>
      </c>
      <c r="K559" s="23">
        <f>LOWER(Settings!$C$4)&amp;".mit."&amp;$A559&amp;IF($C559="","","."&amp;$C559&amp;"."&amp;$B559)&amp;IF(INDEX(Variables!$D$5:$D$65,MATCH($A559,Variables!$A$5:$A$65,0))="","","."&amp;INDEX(Variables!$D$5:$D$65,MATCH($A559,Variables!$A$5:$A$65,0)))&amp;"."&amp;K$5</f>
        <v/>
      </c>
      <c r="L559" s="38">
        <f>$D559+L550</f>
        <v/>
      </c>
      <c r="M559" s="36">
        <f>$D559+M550</f>
        <v/>
      </c>
      <c r="N559" s="36">
        <f>$D559+N550</f>
        <v/>
      </c>
      <c r="O559" s="36">
        <f>$D559+O550</f>
        <v/>
      </c>
      <c r="P559" s="36">
        <f>$D559+P550</f>
        <v/>
      </c>
      <c r="Q559" s="36">
        <f>$D559+Q550</f>
        <v/>
      </c>
      <c r="R559" s="36">
        <f>$D559+R550</f>
        <v/>
      </c>
      <c r="S559" s="36">
        <f>$D559+S550</f>
        <v/>
      </c>
      <c r="T559" s="36">
        <f>$D559+T550</f>
        <v/>
      </c>
      <c r="U559" s="36">
        <f>$D559+U550</f>
        <v/>
      </c>
      <c r="V559" s="36">
        <f>$D559+V550</f>
        <v/>
      </c>
      <c r="W559" s="36">
        <f>$D559+W550</f>
        <v/>
      </c>
      <c r="X559" s="36">
        <f>$D559+X550</f>
        <v/>
      </c>
      <c r="Y559" s="39">
        <f>TAX($D559,Y550)</f>
        <v/>
      </c>
      <c r="Z559" s="23">
        <f>LOWER(Settings!$C$4)&amp;".mit."&amp;$A559&amp;IF($C559="","","."&amp;$C559&amp;"."&amp;$B559)&amp;IF(INDEX(Variables!$D$5:$D$65,MATCH($A559,Variables!$A$5:$A$65,0))="","","."&amp;INDEX(Variables!$D$5:$D$65,MATCH($A559,Variables!$A$5:$A$65,0)))&amp;"."&amp;Z$5</f>
        <v/>
      </c>
      <c r="AA559" s="38">
        <f>$D559+AA550</f>
        <v/>
      </c>
      <c r="AB559" s="36">
        <f>$D559+AB550</f>
        <v/>
      </c>
      <c r="AC559" s="36">
        <f>$D559+AC550</f>
        <v/>
      </c>
      <c r="AD559" s="36">
        <f>$D559+AD550</f>
        <v/>
      </c>
      <c r="AE559" s="36">
        <f>$D559+AE550</f>
        <v/>
      </c>
      <c r="AF559" s="36">
        <f>$D559+AF550</f>
        <v/>
      </c>
      <c r="AG559" s="36">
        <f>$D559+AG550</f>
        <v/>
      </c>
      <c r="AH559" s="36">
        <f>$D559+AH550</f>
        <v/>
      </c>
      <c r="AI559" s="36">
        <f>$D559+AI550</f>
        <v/>
      </c>
      <c r="AJ559" s="36">
        <f>$D559+AJ550</f>
        <v/>
      </c>
      <c r="AK559" s="36">
        <f>$D559+AK550</f>
        <v/>
      </c>
      <c r="AL559" s="36">
        <f>$D559+AL550</f>
        <v/>
      </c>
      <c r="AM559" s="36">
        <f>$D559+AM550</f>
        <v/>
      </c>
      <c r="AN559" s="39">
        <f>TAX($D559,AN550)</f>
        <v/>
      </c>
    </row>
    <row r="560" hidden="1" outlineLevel="2">
      <c r="A560" s="5" t="inlineStr">
        <is>
          <t>tax</t>
        </is>
      </c>
      <c r="B560" s="5" t="inlineStr">
        <is>
          <t>lpg</t>
        </is>
      </c>
      <c r="C560" s="5" t="inlineStr">
        <is>
          <t>foo</t>
        </is>
      </c>
      <c r="D560" s="36">
        <f>INDEX(Inputs!$T$5:$T$132,MATCH($B560&amp;"|"&amp;$C560,Inputs!$A$5:$A$132,0))</f>
        <v/>
      </c>
      <c r="E560" s="37" t="n"/>
      <c r="F560" s="37" t="n"/>
      <c r="G560" s="37" t="n"/>
      <c r="H560" s="5">
        <f>INDEX(Variables!$B$5:$B$65,MATCH($A560,Variables!$A$5:$A$65,0))&amp;IF($C560="",""," | "&amp;INDEX(Mapping!$B$5:$B$25,MATCH($C560,Mapping!$A$5:$A$25,0))&amp;" | "&amp;INDEX(Mapping!$B$29:$B$38,MATCH($B560,Mapping!$A$29:$A$38,0)))</f>
        <v/>
      </c>
      <c r="I560" s="5">
        <f>INDEX(Variables!$C$5:$C$65,MATCH($A560,Variables!$A$5:$A$65,0))</f>
        <v/>
      </c>
      <c r="J560" s="5">
        <f>INDEX(Variables!$E$5:$E$65,MATCH($A560,Variables!$A$5:$A$65,0))</f>
        <v/>
      </c>
      <c r="K560" s="23">
        <f>LOWER(Settings!$C$4)&amp;".mit."&amp;$A560&amp;IF($C560="","","."&amp;$C560&amp;"."&amp;$B560)&amp;IF(INDEX(Variables!$D$5:$D$65,MATCH($A560,Variables!$A$5:$A$65,0))="","","."&amp;INDEX(Variables!$D$5:$D$65,MATCH($A560,Variables!$A$5:$A$65,0)))&amp;"."&amp;K$5</f>
        <v/>
      </c>
      <c r="L560" s="38">
        <f>$D560+L551</f>
        <v/>
      </c>
      <c r="M560" s="36">
        <f>$D560+M551</f>
        <v/>
      </c>
      <c r="N560" s="36">
        <f>$D560+N551</f>
        <v/>
      </c>
      <c r="O560" s="36">
        <f>$D560+O551</f>
        <v/>
      </c>
      <c r="P560" s="36">
        <f>$D560+P551</f>
        <v/>
      </c>
      <c r="Q560" s="36">
        <f>$D560+Q551</f>
        <v/>
      </c>
      <c r="R560" s="36">
        <f>$D560+R551</f>
        <v/>
      </c>
      <c r="S560" s="36">
        <f>$D560+S551</f>
        <v/>
      </c>
      <c r="T560" s="36">
        <f>$D560+T551</f>
        <v/>
      </c>
      <c r="U560" s="36">
        <f>$D560+U551</f>
        <v/>
      </c>
      <c r="V560" s="36">
        <f>$D560+V551</f>
        <v/>
      </c>
      <c r="W560" s="36">
        <f>$D560+W551</f>
        <v/>
      </c>
      <c r="X560" s="36">
        <f>$D560+X551</f>
        <v/>
      </c>
      <c r="Y560" s="39">
        <f>TAX($D560,Y551)</f>
        <v/>
      </c>
      <c r="Z560" s="23">
        <f>LOWER(Settings!$C$4)&amp;".mit."&amp;$A560&amp;IF($C560="","","."&amp;$C560&amp;"."&amp;$B560)&amp;IF(INDEX(Variables!$D$5:$D$65,MATCH($A560,Variables!$A$5:$A$65,0))="","","."&amp;INDEX(Variables!$D$5:$D$65,MATCH($A560,Variables!$A$5:$A$65,0)))&amp;"."&amp;Z$5</f>
        <v/>
      </c>
      <c r="AA560" s="38">
        <f>$D560+AA551</f>
        <v/>
      </c>
      <c r="AB560" s="36">
        <f>$D560+AB551</f>
        <v/>
      </c>
      <c r="AC560" s="36">
        <f>$D560+AC551</f>
        <v/>
      </c>
      <c r="AD560" s="36">
        <f>$D560+AD551</f>
        <v/>
      </c>
      <c r="AE560" s="36">
        <f>$D560+AE551</f>
        <v/>
      </c>
      <c r="AF560" s="36">
        <f>$D560+AF551</f>
        <v/>
      </c>
      <c r="AG560" s="36">
        <f>$D560+AG551</f>
        <v/>
      </c>
      <c r="AH560" s="36">
        <f>$D560+AH551</f>
        <v/>
      </c>
      <c r="AI560" s="36">
        <f>$D560+AI551</f>
        <v/>
      </c>
      <c r="AJ560" s="36">
        <f>$D560+AJ551</f>
        <v/>
      </c>
      <c r="AK560" s="36">
        <f>$D560+AK551</f>
        <v/>
      </c>
      <c r="AL560" s="36">
        <f>$D560+AL551</f>
        <v/>
      </c>
      <c r="AM560" s="36">
        <f>$D560+AM551</f>
        <v/>
      </c>
      <c r="AN560" s="39">
        <f>TAX($D560,AN551)</f>
        <v/>
      </c>
    </row>
    <row r="561" hidden="1" outlineLevel="2">
      <c r="A561" s="5" t="inlineStr">
        <is>
          <t>tax</t>
        </is>
      </c>
      <c r="B561" s="5" t="inlineStr">
        <is>
          <t>ker</t>
        </is>
      </c>
      <c r="C561" s="5" t="inlineStr">
        <is>
          <t>foo</t>
        </is>
      </c>
      <c r="D561" s="36">
        <f>INDEX(Inputs!$T$5:$T$132,MATCH($B561&amp;"|"&amp;$C561,Inputs!$A$5:$A$132,0))</f>
        <v/>
      </c>
      <c r="E561" s="37" t="n"/>
      <c r="F561" s="37" t="n"/>
      <c r="G561" s="37" t="n"/>
      <c r="H561" s="5">
        <f>INDEX(Variables!$B$5:$B$65,MATCH($A561,Variables!$A$5:$A$65,0))&amp;IF($C561="",""," | "&amp;INDEX(Mapping!$B$5:$B$25,MATCH($C561,Mapping!$A$5:$A$25,0))&amp;" | "&amp;INDEX(Mapping!$B$29:$B$38,MATCH($B561,Mapping!$A$29:$A$38,0)))</f>
        <v/>
      </c>
      <c r="I561" s="5">
        <f>INDEX(Variables!$C$5:$C$65,MATCH($A561,Variables!$A$5:$A$65,0))</f>
        <v/>
      </c>
      <c r="J561" s="5">
        <f>INDEX(Variables!$E$5:$E$65,MATCH($A561,Variables!$A$5:$A$65,0))</f>
        <v/>
      </c>
      <c r="K561" s="23">
        <f>LOWER(Settings!$C$4)&amp;".mit."&amp;$A561&amp;IF($C561="","","."&amp;$C561&amp;"."&amp;$B561)&amp;IF(INDEX(Variables!$D$5:$D$65,MATCH($A561,Variables!$A$5:$A$65,0))="","","."&amp;INDEX(Variables!$D$5:$D$65,MATCH($A561,Variables!$A$5:$A$65,0)))&amp;"."&amp;K$5</f>
        <v/>
      </c>
      <c r="L561" s="38">
        <f>$D561+L552</f>
        <v/>
      </c>
      <c r="M561" s="36">
        <f>$D561+M552</f>
        <v/>
      </c>
      <c r="N561" s="36">
        <f>$D561+N552</f>
        <v/>
      </c>
      <c r="O561" s="36">
        <f>$D561+O552</f>
        <v/>
      </c>
      <c r="P561" s="36">
        <f>$D561+P552</f>
        <v/>
      </c>
      <c r="Q561" s="36">
        <f>$D561+Q552</f>
        <v/>
      </c>
      <c r="R561" s="36">
        <f>$D561+R552</f>
        <v/>
      </c>
      <c r="S561" s="36">
        <f>$D561+S552</f>
        <v/>
      </c>
      <c r="T561" s="36">
        <f>$D561+T552</f>
        <v/>
      </c>
      <c r="U561" s="36">
        <f>$D561+U552</f>
        <v/>
      </c>
      <c r="V561" s="36">
        <f>$D561+V552</f>
        <v/>
      </c>
      <c r="W561" s="36">
        <f>$D561+W552</f>
        <v/>
      </c>
      <c r="X561" s="36">
        <f>$D561+X552</f>
        <v/>
      </c>
      <c r="Y561" s="39">
        <f>TAX($D561,Y552)</f>
        <v/>
      </c>
      <c r="Z561" s="23">
        <f>LOWER(Settings!$C$4)&amp;".mit."&amp;$A561&amp;IF($C561="","","."&amp;$C561&amp;"."&amp;$B561)&amp;IF(INDEX(Variables!$D$5:$D$65,MATCH($A561,Variables!$A$5:$A$65,0))="","","."&amp;INDEX(Variables!$D$5:$D$65,MATCH($A561,Variables!$A$5:$A$65,0)))&amp;"."&amp;Z$5</f>
        <v/>
      </c>
      <c r="AA561" s="38">
        <f>$D561+AA552</f>
        <v/>
      </c>
      <c r="AB561" s="36">
        <f>$D561+AB552</f>
        <v/>
      </c>
      <c r="AC561" s="36">
        <f>$D561+AC552</f>
        <v/>
      </c>
      <c r="AD561" s="36">
        <f>$D561+AD552</f>
        <v/>
      </c>
      <c r="AE561" s="36">
        <f>$D561+AE552</f>
        <v/>
      </c>
      <c r="AF561" s="36">
        <f>$D561+AF552</f>
        <v/>
      </c>
      <c r="AG561" s="36">
        <f>$D561+AG552</f>
        <v/>
      </c>
      <c r="AH561" s="36">
        <f>$D561+AH552</f>
        <v/>
      </c>
      <c r="AI561" s="36">
        <f>$D561+AI552</f>
        <v/>
      </c>
      <c r="AJ561" s="36">
        <f>$D561+AJ552</f>
        <v/>
      </c>
      <c r="AK561" s="36">
        <f>$D561+AK552</f>
        <v/>
      </c>
      <c r="AL561" s="36">
        <f>$D561+AL552</f>
        <v/>
      </c>
      <c r="AM561" s="36">
        <f>$D561+AM552</f>
        <v/>
      </c>
      <c r="AN561" s="39">
        <f>TAX($D561,AN552)</f>
        <v/>
      </c>
    </row>
    <row r="562" hidden="1" outlineLevel="2">
      <c r="A562" s="5" t="inlineStr">
        <is>
          <t>tax</t>
        </is>
      </c>
      <c r="B562" s="5" t="inlineStr">
        <is>
          <t>oop</t>
        </is>
      </c>
      <c r="C562" s="5" t="inlineStr">
        <is>
          <t>foo</t>
        </is>
      </c>
      <c r="D562" s="36">
        <f>INDEX(Inputs!$T$5:$T$132,MATCH($B562&amp;"|"&amp;$C562,Inputs!$A$5:$A$132,0))</f>
        <v/>
      </c>
      <c r="E562" s="37" t="n"/>
      <c r="F562" s="37" t="n"/>
      <c r="G562" s="37" t="n"/>
      <c r="H562" s="5">
        <f>INDEX(Variables!$B$5:$B$65,MATCH($A562,Variables!$A$5:$A$65,0))&amp;IF($C562="",""," | "&amp;INDEX(Mapping!$B$5:$B$25,MATCH($C562,Mapping!$A$5:$A$25,0))&amp;" | "&amp;INDEX(Mapping!$B$29:$B$38,MATCH($B562,Mapping!$A$29:$A$38,0)))</f>
        <v/>
      </c>
      <c r="I562" s="5">
        <f>INDEX(Variables!$C$5:$C$65,MATCH($A562,Variables!$A$5:$A$65,0))</f>
        <v/>
      </c>
      <c r="J562" s="5">
        <f>INDEX(Variables!$E$5:$E$65,MATCH($A562,Variables!$A$5:$A$65,0))</f>
        <v/>
      </c>
      <c r="K562" s="23">
        <f>LOWER(Settings!$C$4)&amp;".mit."&amp;$A562&amp;IF($C562="","","."&amp;$C562&amp;"."&amp;$B562)&amp;IF(INDEX(Variables!$D$5:$D$65,MATCH($A562,Variables!$A$5:$A$65,0))="","","."&amp;INDEX(Variables!$D$5:$D$65,MATCH($A562,Variables!$A$5:$A$65,0)))&amp;"."&amp;K$5</f>
        <v/>
      </c>
      <c r="L562" s="38">
        <f>$D562+L553</f>
        <v/>
      </c>
      <c r="M562" s="36">
        <f>$D562+M553</f>
        <v/>
      </c>
      <c r="N562" s="36">
        <f>$D562+N553</f>
        <v/>
      </c>
      <c r="O562" s="36">
        <f>$D562+O553</f>
        <v/>
      </c>
      <c r="P562" s="36">
        <f>$D562+P553</f>
        <v/>
      </c>
      <c r="Q562" s="36">
        <f>$D562+Q553</f>
        <v/>
      </c>
      <c r="R562" s="36">
        <f>$D562+R553</f>
        <v/>
      </c>
      <c r="S562" s="36">
        <f>$D562+S553</f>
        <v/>
      </c>
      <c r="T562" s="36">
        <f>$D562+T553</f>
        <v/>
      </c>
      <c r="U562" s="36">
        <f>$D562+U553</f>
        <v/>
      </c>
      <c r="V562" s="36">
        <f>$D562+V553</f>
        <v/>
      </c>
      <c r="W562" s="36">
        <f>$D562+W553</f>
        <v/>
      </c>
      <c r="X562" s="36">
        <f>$D562+X553</f>
        <v/>
      </c>
      <c r="Y562" s="39">
        <f>TAX($D562,Y553)</f>
        <v/>
      </c>
      <c r="Z562" s="23">
        <f>LOWER(Settings!$C$4)&amp;".mit."&amp;$A562&amp;IF($C562="","","."&amp;$C562&amp;"."&amp;$B562)&amp;IF(INDEX(Variables!$D$5:$D$65,MATCH($A562,Variables!$A$5:$A$65,0))="","","."&amp;INDEX(Variables!$D$5:$D$65,MATCH($A562,Variables!$A$5:$A$65,0)))&amp;"."&amp;Z$5</f>
        <v/>
      </c>
      <c r="AA562" s="38">
        <f>$D562+AA553</f>
        <v/>
      </c>
      <c r="AB562" s="36">
        <f>$D562+AB553</f>
        <v/>
      </c>
      <c r="AC562" s="36">
        <f>$D562+AC553</f>
        <v/>
      </c>
      <c r="AD562" s="36">
        <f>$D562+AD553</f>
        <v/>
      </c>
      <c r="AE562" s="36">
        <f>$D562+AE553</f>
        <v/>
      </c>
      <c r="AF562" s="36">
        <f>$D562+AF553</f>
        <v/>
      </c>
      <c r="AG562" s="36">
        <f>$D562+AG553</f>
        <v/>
      </c>
      <c r="AH562" s="36">
        <f>$D562+AH553</f>
        <v/>
      </c>
      <c r="AI562" s="36">
        <f>$D562+AI553</f>
        <v/>
      </c>
      <c r="AJ562" s="36">
        <f>$D562+AJ553</f>
        <v/>
      </c>
      <c r="AK562" s="36">
        <f>$D562+AK553</f>
        <v/>
      </c>
      <c r="AL562" s="36">
        <f>$D562+AL553</f>
        <v/>
      </c>
      <c r="AM562" s="36">
        <f>$D562+AM553</f>
        <v/>
      </c>
      <c r="AN562" s="39">
        <f>TAX($D562,AN553)</f>
        <v/>
      </c>
    </row>
    <row r="563" hidden="1" outlineLevel="2">
      <c r="A563" s="5" t="inlineStr">
        <is>
          <t>tax</t>
        </is>
      </c>
      <c r="B563" s="5" t="inlineStr">
        <is>
          <t>bio</t>
        </is>
      </c>
      <c r="C563" s="5" t="inlineStr">
        <is>
          <t>foo</t>
        </is>
      </c>
      <c r="D563" s="36">
        <f>INDEX(Inputs!$T$5:$T$132,MATCH($B563&amp;"|"&amp;$C563,Inputs!$A$5:$A$132,0))</f>
        <v/>
      </c>
      <c r="E563" s="37" t="n"/>
      <c r="F563" s="37" t="n"/>
      <c r="G563" s="37" t="n"/>
      <c r="H563" s="5">
        <f>INDEX(Variables!$B$5:$B$65,MATCH($A563,Variables!$A$5:$A$65,0))&amp;IF($C563="",""," | "&amp;INDEX(Mapping!$B$5:$B$25,MATCH($C563,Mapping!$A$5:$A$25,0))&amp;" | "&amp;INDEX(Mapping!$B$29:$B$38,MATCH($B563,Mapping!$A$29:$A$38,0)))</f>
        <v/>
      </c>
      <c r="I563" s="5">
        <f>INDEX(Variables!$C$5:$C$65,MATCH($A563,Variables!$A$5:$A$65,0))</f>
        <v/>
      </c>
      <c r="J563" s="5">
        <f>INDEX(Variables!$E$5:$E$65,MATCH($A563,Variables!$A$5:$A$65,0))</f>
        <v/>
      </c>
      <c r="K563" s="23">
        <f>LOWER(Settings!$C$4)&amp;".mit."&amp;$A563&amp;IF($C563="","","."&amp;$C563&amp;"."&amp;$B563)&amp;IF(INDEX(Variables!$D$5:$D$65,MATCH($A563,Variables!$A$5:$A$65,0))="","","."&amp;INDEX(Variables!$D$5:$D$65,MATCH($A563,Variables!$A$5:$A$65,0)))&amp;"."&amp;K$5</f>
        <v/>
      </c>
      <c r="L563" s="38">
        <f>$D563+L554</f>
        <v/>
      </c>
      <c r="M563" s="36">
        <f>$D563+M554</f>
        <v/>
      </c>
      <c r="N563" s="36">
        <f>$D563+N554</f>
        <v/>
      </c>
      <c r="O563" s="36">
        <f>$D563+O554</f>
        <v/>
      </c>
      <c r="P563" s="36">
        <f>$D563+P554</f>
        <v/>
      </c>
      <c r="Q563" s="36">
        <f>$D563+Q554</f>
        <v/>
      </c>
      <c r="R563" s="36">
        <f>$D563+R554</f>
        <v/>
      </c>
      <c r="S563" s="36">
        <f>$D563+S554</f>
        <v/>
      </c>
      <c r="T563" s="36">
        <f>$D563+T554</f>
        <v/>
      </c>
      <c r="U563" s="36">
        <f>$D563+U554</f>
        <v/>
      </c>
      <c r="V563" s="36">
        <f>$D563+V554</f>
        <v/>
      </c>
      <c r="W563" s="36">
        <f>$D563+W554</f>
        <v/>
      </c>
      <c r="X563" s="36">
        <f>$D563+X554</f>
        <v/>
      </c>
      <c r="Y563" s="39">
        <f>TAX($D563,Y554)</f>
        <v/>
      </c>
      <c r="Z563" s="23">
        <f>LOWER(Settings!$C$4)&amp;".mit."&amp;$A563&amp;IF($C563="","","."&amp;$C563&amp;"."&amp;$B563)&amp;IF(INDEX(Variables!$D$5:$D$65,MATCH($A563,Variables!$A$5:$A$65,0))="","","."&amp;INDEX(Variables!$D$5:$D$65,MATCH($A563,Variables!$A$5:$A$65,0)))&amp;"."&amp;Z$5</f>
        <v/>
      </c>
      <c r="AA563" s="38">
        <f>$D563+AA554</f>
        <v/>
      </c>
      <c r="AB563" s="36">
        <f>$D563+AB554</f>
        <v/>
      </c>
      <c r="AC563" s="36">
        <f>$D563+AC554</f>
        <v/>
      </c>
      <c r="AD563" s="36">
        <f>$D563+AD554</f>
        <v/>
      </c>
      <c r="AE563" s="36">
        <f>$D563+AE554</f>
        <v/>
      </c>
      <c r="AF563" s="36">
        <f>$D563+AF554</f>
        <v/>
      </c>
      <c r="AG563" s="36">
        <f>$D563+AG554</f>
        <v/>
      </c>
      <c r="AH563" s="36">
        <f>$D563+AH554</f>
        <v/>
      </c>
      <c r="AI563" s="36">
        <f>$D563+AI554</f>
        <v/>
      </c>
      <c r="AJ563" s="36">
        <f>$D563+AJ554</f>
        <v/>
      </c>
      <c r="AK563" s="36">
        <f>$D563+AK554</f>
        <v/>
      </c>
      <c r="AL563" s="36">
        <f>$D563+AL554</f>
        <v/>
      </c>
      <c r="AM563" s="36">
        <f>$D563+AM554</f>
        <v/>
      </c>
      <c r="AN563" s="39">
        <f>TAX($D563,AN554)</f>
        <v/>
      </c>
    </row>
    <row r="564" hidden="1" outlineLevel="2"/>
    <row r="565" hidden="1" outlineLevel="2">
      <c r="A565" s="5" t="inlineStr">
        <is>
          <t>atp</t>
        </is>
      </c>
      <c r="B565" s="5" t="inlineStr">
        <is>
          <t>coa</t>
        </is>
      </c>
      <c r="C565" s="5" t="inlineStr">
        <is>
          <t>foo</t>
        </is>
      </c>
      <c r="D565" s="37" t="n"/>
      <c r="E565" s="37" t="n"/>
      <c r="F565" s="37" t="n"/>
      <c r="G565" s="37" t="n"/>
      <c r="H565" s="5">
        <f>INDEX(Variables!$B$5:$B$65,MATCH($A565,Variables!$A$5:$A$65,0))&amp;IF($C565="",""," | "&amp;INDEX(Mapping!$B$5:$B$25,MATCH($C565,Mapping!$A$5:$A$25,0))&amp;" | "&amp;INDEX(Mapping!$B$29:$B$38,MATCH($B565,Mapping!$A$29:$A$38,0)))</f>
        <v/>
      </c>
      <c r="I565" s="5">
        <f>INDEX(Variables!$C$5:$C$65,MATCH($A565,Variables!$A$5:$A$65,0))</f>
        <v/>
      </c>
      <c r="J565" s="5">
        <f>INDEX(Variables!$E$5:$E$65,MATCH($A565,Variables!$A$5:$A$65,0))</f>
        <v/>
      </c>
      <c r="K565" s="23">
        <f>LOWER(Settings!$C$4)&amp;".mit."&amp;$A565&amp;IF($C565="","","."&amp;$C565&amp;"."&amp;$B565)&amp;IF(INDEX(Variables!$D$5:$D$65,MATCH($A565,Variables!$A$5:$A$65,0))="","","."&amp;INDEX(Variables!$D$5:$D$65,MATCH($A565,Variables!$A$5:$A$65,0)))&amp;"."&amp;K$5</f>
        <v/>
      </c>
      <c r="L565" s="38">
        <f>L520+L556</f>
        <v/>
      </c>
      <c r="M565" s="36">
        <f>M520+M556</f>
        <v/>
      </c>
      <c r="N565" s="36">
        <f>N520+N556</f>
        <v/>
      </c>
      <c r="O565" s="36">
        <f>O520+O556</f>
        <v/>
      </c>
      <c r="P565" s="36">
        <f>P520+P556</f>
        <v/>
      </c>
      <c r="Q565" s="36">
        <f>Q520+Q556</f>
        <v/>
      </c>
      <c r="R565" s="36">
        <f>R520+R556</f>
        <v/>
      </c>
      <c r="S565" s="36">
        <f>S520+S556</f>
        <v/>
      </c>
      <c r="T565" s="36">
        <f>T520+T556</f>
        <v/>
      </c>
      <c r="U565" s="36">
        <f>U520+U556</f>
        <v/>
      </c>
      <c r="V565" s="36">
        <f>V520+V556</f>
        <v/>
      </c>
      <c r="W565" s="36">
        <f>W520+W556</f>
        <v/>
      </c>
      <c r="X565" s="36">
        <f>X520+X556</f>
        <v/>
      </c>
      <c r="Y565" s="39">
        <f>POSTTAX(Y520,Y556)</f>
        <v/>
      </c>
      <c r="Z565" s="23">
        <f>LOWER(Settings!$C$4)&amp;".mit."&amp;$A565&amp;IF($C565="","","."&amp;$C565&amp;"."&amp;$B565)&amp;IF(INDEX(Variables!$D$5:$D$65,MATCH($A565,Variables!$A$5:$A$65,0))="","","."&amp;INDEX(Variables!$D$5:$D$65,MATCH($A565,Variables!$A$5:$A$65,0)))&amp;"."&amp;Z$5</f>
        <v/>
      </c>
      <c r="AA565" s="38">
        <f>AA520+AA556</f>
        <v/>
      </c>
      <c r="AB565" s="36">
        <f>AB520+AB556</f>
        <v/>
      </c>
      <c r="AC565" s="36">
        <f>AC520+AC556</f>
        <v/>
      </c>
      <c r="AD565" s="36">
        <f>AD520+AD556</f>
        <v/>
      </c>
      <c r="AE565" s="36">
        <f>AE520+AE556</f>
        <v/>
      </c>
      <c r="AF565" s="36">
        <f>AF520+AF556</f>
        <v/>
      </c>
      <c r="AG565" s="36">
        <f>AG520+AG556</f>
        <v/>
      </c>
      <c r="AH565" s="36">
        <f>AH520+AH556</f>
        <v/>
      </c>
      <c r="AI565" s="36">
        <f>AI520+AI556</f>
        <v/>
      </c>
      <c r="AJ565" s="36">
        <f>AJ520+AJ556</f>
        <v/>
      </c>
      <c r="AK565" s="36">
        <f>AK520+AK556</f>
        <v/>
      </c>
      <c r="AL565" s="36">
        <f>AL520+AL556</f>
        <v/>
      </c>
      <c r="AM565" s="36">
        <f>AM520+AM556</f>
        <v/>
      </c>
      <c r="AN565" s="39">
        <f>POSTTAX(AN520,AN556)</f>
        <v/>
      </c>
    </row>
    <row r="566" hidden="1" outlineLevel="2">
      <c r="A566" s="5" t="inlineStr">
        <is>
          <t>atp</t>
        </is>
      </c>
      <c r="B566" s="5" t="inlineStr">
        <is>
          <t>nga</t>
        </is>
      </c>
      <c r="C566" s="5" t="inlineStr">
        <is>
          <t>foo</t>
        </is>
      </c>
      <c r="D566" s="37" t="n"/>
      <c r="E566" s="37" t="n"/>
      <c r="F566" s="37" t="n"/>
      <c r="G566" s="37" t="n"/>
      <c r="H566" s="5">
        <f>INDEX(Variables!$B$5:$B$65,MATCH($A566,Variables!$A$5:$A$65,0))&amp;IF($C566="",""," | "&amp;INDEX(Mapping!$B$5:$B$25,MATCH($C566,Mapping!$A$5:$A$25,0))&amp;" | "&amp;INDEX(Mapping!$B$29:$B$38,MATCH($B566,Mapping!$A$29:$A$38,0)))</f>
        <v/>
      </c>
      <c r="I566" s="5">
        <f>INDEX(Variables!$C$5:$C$65,MATCH($A566,Variables!$A$5:$A$65,0))</f>
        <v/>
      </c>
      <c r="J566" s="5">
        <f>INDEX(Variables!$E$5:$E$65,MATCH($A566,Variables!$A$5:$A$65,0))</f>
        <v/>
      </c>
      <c r="K566" s="23">
        <f>LOWER(Settings!$C$4)&amp;".mit."&amp;$A566&amp;IF($C566="","","."&amp;$C566&amp;"."&amp;$B566)&amp;IF(INDEX(Variables!$D$5:$D$65,MATCH($A566,Variables!$A$5:$A$65,0))="","","."&amp;INDEX(Variables!$D$5:$D$65,MATCH($A566,Variables!$A$5:$A$65,0)))&amp;"."&amp;K$5</f>
        <v/>
      </c>
      <c r="L566" s="38">
        <f>L521+L557</f>
        <v/>
      </c>
      <c r="M566" s="36">
        <f>M521+M557</f>
        <v/>
      </c>
      <c r="N566" s="36">
        <f>N521+N557</f>
        <v/>
      </c>
      <c r="O566" s="36">
        <f>O521+O557</f>
        <v/>
      </c>
      <c r="P566" s="36">
        <f>P521+P557</f>
        <v/>
      </c>
      <c r="Q566" s="36">
        <f>Q521+Q557</f>
        <v/>
      </c>
      <c r="R566" s="36">
        <f>R521+R557</f>
        <v/>
      </c>
      <c r="S566" s="36">
        <f>S521+S557</f>
        <v/>
      </c>
      <c r="T566" s="36">
        <f>T521+T557</f>
        <v/>
      </c>
      <c r="U566" s="36">
        <f>U521+U557</f>
        <v/>
      </c>
      <c r="V566" s="36">
        <f>V521+V557</f>
        <v/>
      </c>
      <c r="W566" s="36">
        <f>W521+W557</f>
        <v/>
      </c>
      <c r="X566" s="36">
        <f>X521+X557</f>
        <v/>
      </c>
      <c r="Y566" s="39">
        <f>POSTTAX(Y521,Y557)</f>
        <v/>
      </c>
      <c r="Z566" s="23">
        <f>LOWER(Settings!$C$4)&amp;".mit."&amp;$A566&amp;IF($C566="","","."&amp;$C566&amp;"."&amp;$B566)&amp;IF(INDEX(Variables!$D$5:$D$65,MATCH($A566,Variables!$A$5:$A$65,0))="","","."&amp;INDEX(Variables!$D$5:$D$65,MATCH($A566,Variables!$A$5:$A$65,0)))&amp;"."&amp;Z$5</f>
        <v/>
      </c>
      <c r="AA566" s="38">
        <f>AA521+AA557</f>
        <v/>
      </c>
      <c r="AB566" s="36">
        <f>AB521+AB557</f>
        <v/>
      </c>
      <c r="AC566" s="36">
        <f>AC521+AC557</f>
        <v/>
      </c>
      <c r="AD566" s="36">
        <f>AD521+AD557</f>
        <v/>
      </c>
      <c r="AE566" s="36">
        <f>AE521+AE557</f>
        <v/>
      </c>
      <c r="AF566" s="36">
        <f>AF521+AF557</f>
        <v/>
      </c>
      <c r="AG566" s="36">
        <f>AG521+AG557</f>
        <v/>
      </c>
      <c r="AH566" s="36">
        <f>AH521+AH557</f>
        <v/>
      </c>
      <c r="AI566" s="36">
        <f>AI521+AI557</f>
        <v/>
      </c>
      <c r="AJ566" s="36">
        <f>AJ521+AJ557</f>
        <v/>
      </c>
      <c r="AK566" s="36">
        <f>AK521+AK557</f>
        <v/>
      </c>
      <c r="AL566" s="36">
        <f>AL521+AL557</f>
        <v/>
      </c>
      <c r="AM566" s="36">
        <f>AM521+AM557</f>
        <v/>
      </c>
      <c r="AN566" s="39">
        <f>POSTTAX(AN521,AN557)</f>
        <v/>
      </c>
    </row>
    <row r="567" hidden="1" outlineLevel="2">
      <c r="A567" s="5" t="inlineStr">
        <is>
          <t>atp</t>
        </is>
      </c>
      <c r="B567" s="5" t="inlineStr">
        <is>
          <t>gso</t>
        </is>
      </c>
      <c r="C567" s="5" t="inlineStr">
        <is>
          <t>foo</t>
        </is>
      </c>
      <c r="D567" s="37" t="n"/>
      <c r="E567" s="37" t="n"/>
      <c r="F567" s="37" t="n"/>
      <c r="G567" s="37" t="n"/>
      <c r="H567" s="5">
        <f>INDEX(Variables!$B$5:$B$65,MATCH($A567,Variables!$A$5:$A$65,0))&amp;IF($C567="",""," | "&amp;INDEX(Mapping!$B$5:$B$25,MATCH($C567,Mapping!$A$5:$A$25,0))&amp;" | "&amp;INDEX(Mapping!$B$29:$B$38,MATCH($B567,Mapping!$A$29:$A$38,0)))</f>
        <v/>
      </c>
      <c r="I567" s="5">
        <f>INDEX(Variables!$C$5:$C$65,MATCH($A567,Variables!$A$5:$A$65,0))</f>
        <v/>
      </c>
      <c r="J567" s="5">
        <f>INDEX(Variables!$E$5:$E$65,MATCH($A567,Variables!$A$5:$A$65,0))</f>
        <v/>
      </c>
      <c r="K567" s="23">
        <f>LOWER(Settings!$C$4)&amp;".mit."&amp;$A567&amp;IF($C567="","","."&amp;$C567&amp;"."&amp;$B567)&amp;IF(INDEX(Variables!$D$5:$D$65,MATCH($A567,Variables!$A$5:$A$65,0))="","","."&amp;INDEX(Variables!$D$5:$D$65,MATCH($A567,Variables!$A$5:$A$65,0)))&amp;"."&amp;K$5</f>
        <v/>
      </c>
      <c r="L567" s="38">
        <f>L522+L558</f>
        <v/>
      </c>
      <c r="M567" s="36">
        <f>M522+M558</f>
        <v/>
      </c>
      <c r="N567" s="36">
        <f>N522+N558</f>
        <v/>
      </c>
      <c r="O567" s="36">
        <f>O522+O558</f>
        <v/>
      </c>
      <c r="P567" s="36">
        <f>P522+P558</f>
        <v/>
      </c>
      <c r="Q567" s="36">
        <f>Q522+Q558</f>
        <v/>
      </c>
      <c r="R567" s="36">
        <f>R522+R558</f>
        <v/>
      </c>
      <c r="S567" s="36">
        <f>S522+S558</f>
        <v/>
      </c>
      <c r="T567" s="36">
        <f>T522+T558</f>
        <v/>
      </c>
      <c r="U567" s="36">
        <f>U522+U558</f>
        <v/>
      </c>
      <c r="V567" s="36">
        <f>V522+V558</f>
        <v/>
      </c>
      <c r="W567" s="36">
        <f>W522+W558</f>
        <v/>
      </c>
      <c r="X567" s="36">
        <f>X522+X558</f>
        <v/>
      </c>
      <c r="Y567" s="39">
        <f>POSTTAX(Y522,Y558)</f>
        <v/>
      </c>
      <c r="Z567" s="23">
        <f>LOWER(Settings!$C$4)&amp;".mit."&amp;$A567&amp;IF($C567="","","."&amp;$C567&amp;"."&amp;$B567)&amp;IF(INDEX(Variables!$D$5:$D$65,MATCH($A567,Variables!$A$5:$A$65,0))="","","."&amp;INDEX(Variables!$D$5:$D$65,MATCH($A567,Variables!$A$5:$A$65,0)))&amp;"."&amp;Z$5</f>
        <v/>
      </c>
      <c r="AA567" s="38">
        <f>AA522+AA558</f>
        <v/>
      </c>
      <c r="AB567" s="36">
        <f>AB522+AB558</f>
        <v/>
      </c>
      <c r="AC567" s="36">
        <f>AC522+AC558</f>
        <v/>
      </c>
      <c r="AD567" s="36">
        <f>AD522+AD558</f>
        <v/>
      </c>
      <c r="AE567" s="36">
        <f>AE522+AE558</f>
        <v/>
      </c>
      <c r="AF567" s="36">
        <f>AF522+AF558</f>
        <v/>
      </c>
      <c r="AG567" s="36">
        <f>AG522+AG558</f>
        <v/>
      </c>
      <c r="AH567" s="36">
        <f>AH522+AH558</f>
        <v/>
      </c>
      <c r="AI567" s="36">
        <f>AI522+AI558</f>
        <v/>
      </c>
      <c r="AJ567" s="36">
        <f>AJ522+AJ558</f>
        <v/>
      </c>
      <c r="AK567" s="36">
        <f>AK522+AK558</f>
        <v/>
      </c>
      <c r="AL567" s="36">
        <f>AL522+AL558</f>
        <v/>
      </c>
      <c r="AM567" s="36">
        <f>AM522+AM558</f>
        <v/>
      </c>
      <c r="AN567" s="39">
        <f>POSTTAX(AN522,AN558)</f>
        <v/>
      </c>
    </row>
    <row r="568" hidden="1" outlineLevel="2">
      <c r="A568" s="5" t="inlineStr">
        <is>
          <t>atp</t>
        </is>
      </c>
      <c r="B568" s="5" t="inlineStr">
        <is>
          <t>die</t>
        </is>
      </c>
      <c r="C568" s="5" t="inlineStr">
        <is>
          <t>foo</t>
        </is>
      </c>
      <c r="D568" s="37" t="n"/>
      <c r="E568" s="37" t="n"/>
      <c r="F568" s="37" t="n"/>
      <c r="G568" s="37" t="n"/>
      <c r="H568" s="5">
        <f>INDEX(Variables!$B$5:$B$65,MATCH($A568,Variables!$A$5:$A$65,0))&amp;IF($C568="",""," | "&amp;INDEX(Mapping!$B$5:$B$25,MATCH($C568,Mapping!$A$5:$A$25,0))&amp;" | "&amp;INDEX(Mapping!$B$29:$B$38,MATCH($B568,Mapping!$A$29:$A$38,0)))</f>
        <v/>
      </c>
      <c r="I568" s="5">
        <f>INDEX(Variables!$C$5:$C$65,MATCH($A568,Variables!$A$5:$A$65,0))</f>
        <v/>
      </c>
      <c r="J568" s="5">
        <f>INDEX(Variables!$E$5:$E$65,MATCH($A568,Variables!$A$5:$A$65,0))</f>
        <v/>
      </c>
      <c r="K568" s="23">
        <f>LOWER(Settings!$C$4)&amp;".mit."&amp;$A568&amp;IF($C568="","","."&amp;$C568&amp;"."&amp;$B568)&amp;IF(INDEX(Variables!$D$5:$D$65,MATCH($A568,Variables!$A$5:$A$65,0))="","","."&amp;INDEX(Variables!$D$5:$D$65,MATCH($A568,Variables!$A$5:$A$65,0)))&amp;"."&amp;K$5</f>
        <v/>
      </c>
      <c r="L568" s="38">
        <f>L523+L559</f>
        <v/>
      </c>
      <c r="M568" s="36">
        <f>M523+M559</f>
        <v/>
      </c>
      <c r="N568" s="36">
        <f>N523+N559</f>
        <v/>
      </c>
      <c r="O568" s="36">
        <f>O523+O559</f>
        <v/>
      </c>
      <c r="P568" s="36">
        <f>P523+P559</f>
        <v/>
      </c>
      <c r="Q568" s="36">
        <f>Q523+Q559</f>
        <v/>
      </c>
      <c r="R568" s="36">
        <f>R523+R559</f>
        <v/>
      </c>
      <c r="S568" s="36">
        <f>S523+S559</f>
        <v/>
      </c>
      <c r="T568" s="36">
        <f>T523+T559</f>
        <v/>
      </c>
      <c r="U568" s="36">
        <f>U523+U559</f>
        <v/>
      </c>
      <c r="V568" s="36">
        <f>V523+V559</f>
        <v/>
      </c>
      <c r="W568" s="36">
        <f>W523+W559</f>
        <v/>
      </c>
      <c r="X568" s="36">
        <f>X523+X559</f>
        <v/>
      </c>
      <c r="Y568" s="39">
        <f>POSTTAX(Y523,Y559)</f>
        <v/>
      </c>
      <c r="Z568" s="23">
        <f>LOWER(Settings!$C$4)&amp;".mit."&amp;$A568&amp;IF($C568="","","."&amp;$C568&amp;"."&amp;$B568)&amp;IF(INDEX(Variables!$D$5:$D$65,MATCH($A568,Variables!$A$5:$A$65,0))="","","."&amp;INDEX(Variables!$D$5:$D$65,MATCH($A568,Variables!$A$5:$A$65,0)))&amp;"."&amp;Z$5</f>
        <v/>
      </c>
      <c r="AA568" s="38">
        <f>AA523+AA559</f>
        <v/>
      </c>
      <c r="AB568" s="36">
        <f>AB523+AB559</f>
        <v/>
      </c>
      <c r="AC568" s="36">
        <f>AC523+AC559</f>
        <v/>
      </c>
      <c r="AD568" s="36">
        <f>AD523+AD559</f>
        <v/>
      </c>
      <c r="AE568" s="36">
        <f>AE523+AE559</f>
        <v/>
      </c>
      <c r="AF568" s="36">
        <f>AF523+AF559</f>
        <v/>
      </c>
      <c r="AG568" s="36">
        <f>AG523+AG559</f>
        <v/>
      </c>
      <c r="AH568" s="36">
        <f>AH523+AH559</f>
        <v/>
      </c>
      <c r="AI568" s="36">
        <f>AI523+AI559</f>
        <v/>
      </c>
      <c r="AJ568" s="36">
        <f>AJ523+AJ559</f>
        <v/>
      </c>
      <c r="AK568" s="36">
        <f>AK523+AK559</f>
        <v/>
      </c>
      <c r="AL568" s="36">
        <f>AL523+AL559</f>
        <v/>
      </c>
      <c r="AM568" s="36">
        <f>AM523+AM559</f>
        <v/>
      </c>
      <c r="AN568" s="39">
        <f>POSTTAX(AN523,AN559)</f>
        <v/>
      </c>
    </row>
    <row r="569" hidden="1" outlineLevel="2">
      <c r="A569" s="5" t="inlineStr">
        <is>
          <t>atp</t>
        </is>
      </c>
      <c r="B569" s="5" t="inlineStr">
        <is>
          <t>lpg</t>
        </is>
      </c>
      <c r="C569" s="5" t="inlineStr">
        <is>
          <t>foo</t>
        </is>
      </c>
      <c r="D569" s="37" t="n"/>
      <c r="E569" s="37" t="n"/>
      <c r="F569" s="37" t="n"/>
      <c r="G569" s="37" t="n"/>
      <c r="H569" s="5">
        <f>INDEX(Variables!$B$5:$B$65,MATCH($A569,Variables!$A$5:$A$65,0))&amp;IF($C569="",""," | "&amp;INDEX(Mapping!$B$5:$B$25,MATCH($C569,Mapping!$A$5:$A$25,0))&amp;" | "&amp;INDEX(Mapping!$B$29:$B$38,MATCH($B569,Mapping!$A$29:$A$38,0)))</f>
        <v/>
      </c>
      <c r="I569" s="5">
        <f>INDEX(Variables!$C$5:$C$65,MATCH($A569,Variables!$A$5:$A$65,0))</f>
        <v/>
      </c>
      <c r="J569" s="5">
        <f>INDEX(Variables!$E$5:$E$65,MATCH($A569,Variables!$A$5:$A$65,0))</f>
        <v/>
      </c>
      <c r="K569" s="23">
        <f>LOWER(Settings!$C$4)&amp;".mit."&amp;$A569&amp;IF($C569="","","."&amp;$C569&amp;"."&amp;$B569)&amp;IF(INDEX(Variables!$D$5:$D$65,MATCH($A569,Variables!$A$5:$A$65,0))="","","."&amp;INDEX(Variables!$D$5:$D$65,MATCH($A569,Variables!$A$5:$A$65,0)))&amp;"."&amp;K$5</f>
        <v/>
      </c>
      <c r="L569" s="38">
        <f>L524+L560</f>
        <v/>
      </c>
      <c r="M569" s="36">
        <f>M524+M560</f>
        <v/>
      </c>
      <c r="N569" s="36">
        <f>N524+N560</f>
        <v/>
      </c>
      <c r="O569" s="36">
        <f>O524+O560</f>
        <v/>
      </c>
      <c r="P569" s="36">
        <f>P524+P560</f>
        <v/>
      </c>
      <c r="Q569" s="36">
        <f>Q524+Q560</f>
        <v/>
      </c>
      <c r="R569" s="36">
        <f>R524+R560</f>
        <v/>
      </c>
      <c r="S569" s="36">
        <f>S524+S560</f>
        <v/>
      </c>
      <c r="T569" s="36">
        <f>T524+T560</f>
        <v/>
      </c>
      <c r="U569" s="36">
        <f>U524+U560</f>
        <v/>
      </c>
      <c r="V569" s="36">
        <f>V524+V560</f>
        <v/>
      </c>
      <c r="W569" s="36">
        <f>W524+W560</f>
        <v/>
      </c>
      <c r="X569" s="36">
        <f>X524+X560</f>
        <v/>
      </c>
      <c r="Y569" s="39">
        <f>POSTTAX(Y524,Y560)</f>
        <v/>
      </c>
      <c r="Z569" s="23">
        <f>LOWER(Settings!$C$4)&amp;".mit."&amp;$A569&amp;IF($C569="","","."&amp;$C569&amp;"."&amp;$B569)&amp;IF(INDEX(Variables!$D$5:$D$65,MATCH($A569,Variables!$A$5:$A$65,0))="","","."&amp;INDEX(Variables!$D$5:$D$65,MATCH($A569,Variables!$A$5:$A$65,0)))&amp;"."&amp;Z$5</f>
        <v/>
      </c>
      <c r="AA569" s="38">
        <f>AA524+AA560</f>
        <v/>
      </c>
      <c r="AB569" s="36">
        <f>AB524+AB560</f>
        <v/>
      </c>
      <c r="AC569" s="36">
        <f>AC524+AC560</f>
        <v/>
      </c>
      <c r="AD569" s="36">
        <f>AD524+AD560</f>
        <v/>
      </c>
      <c r="AE569" s="36">
        <f>AE524+AE560</f>
        <v/>
      </c>
      <c r="AF569" s="36">
        <f>AF524+AF560</f>
        <v/>
      </c>
      <c r="AG569" s="36">
        <f>AG524+AG560</f>
        <v/>
      </c>
      <c r="AH569" s="36">
        <f>AH524+AH560</f>
        <v/>
      </c>
      <c r="AI569" s="36">
        <f>AI524+AI560</f>
        <v/>
      </c>
      <c r="AJ569" s="36">
        <f>AJ524+AJ560</f>
        <v/>
      </c>
      <c r="AK569" s="36">
        <f>AK524+AK560</f>
        <v/>
      </c>
      <c r="AL569" s="36">
        <f>AL524+AL560</f>
        <v/>
      </c>
      <c r="AM569" s="36">
        <f>AM524+AM560</f>
        <v/>
      </c>
      <c r="AN569" s="39">
        <f>POSTTAX(AN524,AN560)</f>
        <v/>
      </c>
    </row>
    <row r="570" hidden="1" outlineLevel="2">
      <c r="A570" s="5" t="inlineStr">
        <is>
          <t>atp</t>
        </is>
      </c>
      <c r="B570" s="5" t="inlineStr">
        <is>
          <t>ker</t>
        </is>
      </c>
      <c r="C570" s="5" t="inlineStr">
        <is>
          <t>foo</t>
        </is>
      </c>
      <c r="D570" s="37" t="n"/>
      <c r="E570" s="37" t="n"/>
      <c r="F570" s="37" t="n"/>
      <c r="G570" s="37" t="n"/>
      <c r="H570" s="5">
        <f>INDEX(Variables!$B$5:$B$65,MATCH($A570,Variables!$A$5:$A$65,0))&amp;IF($C570="",""," | "&amp;INDEX(Mapping!$B$5:$B$25,MATCH($C570,Mapping!$A$5:$A$25,0))&amp;" | "&amp;INDEX(Mapping!$B$29:$B$38,MATCH($B570,Mapping!$A$29:$A$38,0)))</f>
        <v/>
      </c>
      <c r="I570" s="5">
        <f>INDEX(Variables!$C$5:$C$65,MATCH($A570,Variables!$A$5:$A$65,0))</f>
        <v/>
      </c>
      <c r="J570" s="5">
        <f>INDEX(Variables!$E$5:$E$65,MATCH($A570,Variables!$A$5:$A$65,0))</f>
        <v/>
      </c>
      <c r="K570" s="23">
        <f>LOWER(Settings!$C$4)&amp;".mit."&amp;$A570&amp;IF($C570="","","."&amp;$C570&amp;"."&amp;$B570)&amp;IF(INDEX(Variables!$D$5:$D$65,MATCH($A570,Variables!$A$5:$A$65,0))="","","."&amp;INDEX(Variables!$D$5:$D$65,MATCH($A570,Variables!$A$5:$A$65,0)))&amp;"."&amp;K$5</f>
        <v/>
      </c>
      <c r="L570" s="38">
        <f>L525+L561</f>
        <v/>
      </c>
      <c r="M570" s="36">
        <f>M525+M561</f>
        <v/>
      </c>
      <c r="N570" s="36">
        <f>N525+N561</f>
        <v/>
      </c>
      <c r="O570" s="36">
        <f>O525+O561</f>
        <v/>
      </c>
      <c r="P570" s="36">
        <f>P525+P561</f>
        <v/>
      </c>
      <c r="Q570" s="36">
        <f>Q525+Q561</f>
        <v/>
      </c>
      <c r="R570" s="36">
        <f>R525+R561</f>
        <v/>
      </c>
      <c r="S570" s="36">
        <f>S525+S561</f>
        <v/>
      </c>
      <c r="T570" s="36">
        <f>T525+T561</f>
        <v/>
      </c>
      <c r="U570" s="36">
        <f>U525+U561</f>
        <v/>
      </c>
      <c r="V570" s="36">
        <f>V525+V561</f>
        <v/>
      </c>
      <c r="W570" s="36">
        <f>W525+W561</f>
        <v/>
      </c>
      <c r="X570" s="36">
        <f>X525+X561</f>
        <v/>
      </c>
      <c r="Y570" s="39">
        <f>POSTTAX(Y525,Y561)</f>
        <v/>
      </c>
      <c r="Z570" s="23">
        <f>LOWER(Settings!$C$4)&amp;".mit."&amp;$A570&amp;IF($C570="","","."&amp;$C570&amp;"."&amp;$B570)&amp;IF(INDEX(Variables!$D$5:$D$65,MATCH($A570,Variables!$A$5:$A$65,0))="","","."&amp;INDEX(Variables!$D$5:$D$65,MATCH($A570,Variables!$A$5:$A$65,0)))&amp;"."&amp;Z$5</f>
        <v/>
      </c>
      <c r="AA570" s="38">
        <f>AA525+AA561</f>
        <v/>
      </c>
      <c r="AB570" s="36">
        <f>AB525+AB561</f>
        <v/>
      </c>
      <c r="AC570" s="36">
        <f>AC525+AC561</f>
        <v/>
      </c>
      <c r="AD570" s="36">
        <f>AD525+AD561</f>
        <v/>
      </c>
      <c r="AE570" s="36">
        <f>AE525+AE561</f>
        <v/>
      </c>
      <c r="AF570" s="36">
        <f>AF525+AF561</f>
        <v/>
      </c>
      <c r="AG570" s="36">
        <f>AG525+AG561</f>
        <v/>
      </c>
      <c r="AH570" s="36">
        <f>AH525+AH561</f>
        <v/>
      </c>
      <c r="AI570" s="36">
        <f>AI525+AI561</f>
        <v/>
      </c>
      <c r="AJ570" s="36">
        <f>AJ525+AJ561</f>
        <v/>
      </c>
      <c r="AK570" s="36">
        <f>AK525+AK561</f>
        <v/>
      </c>
      <c r="AL570" s="36">
        <f>AL525+AL561</f>
        <v/>
      </c>
      <c r="AM570" s="36">
        <f>AM525+AM561</f>
        <v/>
      </c>
      <c r="AN570" s="39">
        <f>POSTTAX(AN525,AN561)</f>
        <v/>
      </c>
    </row>
    <row r="571" hidden="1" outlineLevel="2">
      <c r="A571" s="5" t="inlineStr">
        <is>
          <t>atp</t>
        </is>
      </c>
      <c r="B571" s="5" t="inlineStr">
        <is>
          <t>oop</t>
        </is>
      </c>
      <c r="C571" s="5" t="inlineStr">
        <is>
          <t>foo</t>
        </is>
      </c>
      <c r="D571" s="37" t="n"/>
      <c r="E571" s="37" t="n"/>
      <c r="F571" s="37" t="n"/>
      <c r="G571" s="37" t="n"/>
      <c r="H571" s="5">
        <f>INDEX(Variables!$B$5:$B$65,MATCH($A571,Variables!$A$5:$A$65,0))&amp;IF($C571="",""," | "&amp;INDEX(Mapping!$B$5:$B$25,MATCH($C571,Mapping!$A$5:$A$25,0))&amp;" | "&amp;INDEX(Mapping!$B$29:$B$38,MATCH($B571,Mapping!$A$29:$A$38,0)))</f>
        <v/>
      </c>
      <c r="I571" s="5">
        <f>INDEX(Variables!$C$5:$C$65,MATCH($A571,Variables!$A$5:$A$65,0))</f>
        <v/>
      </c>
      <c r="J571" s="5">
        <f>INDEX(Variables!$E$5:$E$65,MATCH($A571,Variables!$A$5:$A$65,0))</f>
        <v/>
      </c>
      <c r="K571" s="23">
        <f>LOWER(Settings!$C$4)&amp;".mit."&amp;$A571&amp;IF($C571="","","."&amp;$C571&amp;"."&amp;$B571)&amp;IF(INDEX(Variables!$D$5:$D$65,MATCH($A571,Variables!$A$5:$A$65,0))="","","."&amp;INDEX(Variables!$D$5:$D$65,MATCH($A571,Variables!$A$5:$A$65,0)))&amp;"."&amp;K$5</f>
        <v/>
      </c>
      <c r="L571" s="38">
        <f>L526+L562</f>
        <v/>
      </c>
      <c r="M571" s="36">
        <f>M526+M562</f>
        <v/>
      </c>
      <c r="N571" s="36">
        <f>N526+N562</f>
        <v/>
      </c>
      <c r="O571" s="36">
        <f>O526+O562</f>
        <v/>
      </c>
      <c r="P571" s="36">
        <f>P526+P562</f>
        <v/>
      </c>
      <c r="Q571" s="36">
        <f>Q526+Q562</f>
        <v/>
      </c>
      <c r="R571" s="36">
        <f>R526+R562</f>
        <v/>
      </c>
      <c r="S571" s="36">
        <f>S526+S562</f>
        <v/>
      </c>
      <c r="T571" s="36">
        <f>T526+T562</f>
        <v/>
      </c>
      <c r="U571" s="36">
        <f>U526+U562</f>
        <v/>
      </c>
      <c r="V571" s="36">
        <f>V526+V562</f>
        <v/>
      </c>
      <c r="W571" s="36">
        <f>W526+W562</f>
        <v/>
      </c>
      <c r="X571" s="36">
        <f>X526+X562</f>
        <v/>
      </c>
      <c r="Y571" s="39">
        <f>POSTTAX(Y526,Y562)</f>
        <v/>
      </c>
      <c r="Z571" s="23">
        <f>LOWER(Settings!$C$4)&amp;".mit."&amp;$A571&amp;IF($C571="","","."&amp;$C571&amp;"."&amp;$B571)&amp;IF(INDEX(Variables!$D$5:$D$65,MATCH($A571,Variables!$A$5:$A$65,0))="","","."&amp;INDEX(Variables!$D$5:$D$65,MATCH($A571,Variables!$A$5:$A$65,0)))&amp;"."&amp;Z$5</f>
        <v/>
      </c>
      <c r="AA571" s="38">
        <f>AA526+AA562</f>
        <v/>
      </c>
      <c r="AB571" s="36">
        <f>AB526+AB562</f>
        <v/>
      </c>
      <c r="AC571" s="36">
        <f>AC526+AC562</f>
        <v/>
      </c>
      <c r="AD571" s="36">
        <f>AD526+AD562</f>
        <v/>
      </c>
      <c r="AE571" s="36">
        <f>AE526+AE562</f>
        <v/>
      </c>
      <c r="AF571" s="36">
        <f>AF526+AF562</f>
        <v/>
      </c>
      <c r="AG571" s="36">
        <f>AG526+AG562</f>
        <v/>
      </c>
      <c r="AH571" s="36">
        <f>AH526+AH562</f>
        <v/>
      </c>
      <c r="AI571" s="36">
        <f>AI526+AI562</f>
        <v/>
      </c>
      <c r="AJ571" s="36">
        <f>AJ526+AJ562</f>
        <v/>
      </c>
      <c r="AK571" s="36">
        <f>AK526+AK562</f>
        <v/>
      </c>
      <c r="AL571" s="36">
        <f>AL526+AL562</f>
        <v/>
      </c>
      <c r="AM571" s="36">
        <f>AM526+AM562</f>
        <v/>
      </c>
      <c r="AN571" s="39">
        <f>POSTTAX(AN526,AN562)</f>
        <v/>
      </c>
    </row>
    <row r="572" hidden="1" outlineLevel="2">
      <c r="A572" s="5" t="inlineStr">
        <is>
          <t>atp</t>
        </is>
      </c>
      <c r="B572" s="5" t="inlineStr">
        <is>
          <t>bio</t>
        </is>
      </c>
      <c r="C572" s="5" t="inlineStr">
        <is>
          <t>foo</t>
        </is>
      </c>
      <c r="D572" s="37" t="n"/>
      <c r="E572" s="37" t="n"/>
      <c r="F572" s="37" t="n"/>
      <c r="G572" s="37" t="n"/>
      <c r="H572" s="5">
        <f>INDEX(Variables!$B$5:$B$65,MATCH($A572,Variables!$A$5:$A$65,0))&amp;IF($C572="",""," | "&amp;INDEX(Mapping!$B$5:$B$25,MATCH($C572,Mapping!$A$5:$A$25,0))&amp;" | "&amp;INDEX(Mapping!$B$29:$B$38,MATCH($B572,Mapping!$A$29:$A$38,0)))</f>
        <v/>
      </c>
      <c r="I572" s="5">
        <f>INDEX(Variables!$C$5:$C$65,MATCH($A572,Variables!$A$5:$A$65,0))</f>
        <v/>
      </c>
      <c r="J572" s="5">
        <f>INDEX(Variables!$E$5:$E$65,MATCH($A572,Variables!$A$5:$A$65,0))</f>
        <v/>
      </c>
      <c r="K572" s="23">
        <f>LOWER(Settings!$C$4)&amp;".mit."&amp;$A572&amp;IF($C572="","","."&amp;$C572&amp;"."&amp;$B572)&amp;IF(INDEX(Variables!$D$5:$D$65,MATCH($A572,Variables!$A$5:$A$65,0))="","","."&amp;INDEX(Variables!$D$5:$D$65,MATCH($A572,Variables!$A$5:$A$65,0)))&amp;"."&amp;K$5</f>
        <v/>
      </c>
      <c r="L572" s="38">
        <f>L527+L563</f>
        <v/>
      </c>
      <c r="M572" s="36">
        <f>M527+M563</f>
        <v/>
      </c>
      <c r="N572" s="36">
        <f>N527+N563</f>
        <v/>
      </c>
      <c r="O572" s="36">
        <f>O527+O563</f>
        <v/>
      </c>
      <c r="P572" s="36">
        <f>P527+P563</f>
        <v/>
      </c>
      <c r="Q572" s="36">
        <f>Q527+Q563</f>
        <v/>
      </c>
      <c r="R572" s="36">
        <f>R527+R563</f>
        <v/>
      </c>
      <c r="S572" s="36">
        <f>S527+S563</f>
        <v/>
      </c>
      <c r="T572" s="36">
        <f>T527+T563</f>
        <v/>
      </c>
      <c r="U572" s="36">
        <f>U527+U563</f>
        <v/>
      </c>
      <c r="V572" s="36">
        <f>V527+V563</f>
        <v/>
      </c>
      <c r="W572" s="36">
        <f>W527+W563</f>
        <v/>
      </c>
      <c r="X572" s="36">
        <f>X527+X563</f>
        <v/>
      </c>
      <c r="Y572" s="39">
        <f>POSTTAX(Y527,Y563)</f>
        <v/>
      </c>
      <c r="Z572" s="23">
        <f>LOWER(Settings!$C$4)&amp;".mit."&amp;$A572&amp;IF($C572="","","."&amp;$C572&amp;"."&amp;$B572)&amp;IF(INDEX(Variables!$D$5:$D$65,MATCH($A572,Variables!$A$5:$A$65,0))="","","."&amp;INDEX(Variables!$D$5:$D$65,MATCH($A572,Variables!$A$5:$A$65,0)))&amp;"."&amp;Z$5</f>
        <v/>
      </c>
      <c r="AA572" s="38">
        <f>AA527+AA563</f>
        <v/>
      </c>
      <c r="AB572" s="36">
        <f>AB527+AB563</f>
        <v/>
      </c>
      <c r="AC572" s="36">
        <f>AC527+AC563</f>
        <v/>
      </c>
      <c r="AD572" s="36">
        <f>AD527+AD563</f>
        <v/>
      </c>
      <c r="AE572" s="36">
        <f>AE527+AE563</f>
        <v/>
      </c>
      <c r="AF572" s="36">
        <f>AF527+AF563</f>
        <v/>
      </c>
      <c r="AG572" s="36">
        <f>AG527+AG563</f>
        <v/>
      </c>
      <c r="AH572" s="36">
        <f>AH527+AH563</f>
        <v/>
      </c>
      <c r="AI572" s="36">
        <f>AI527+AI563</f>
        <v/>
      </c>
      <c r="AJ572" s="36">
        <f>AJ527+AJ563</f>
        <v/>
      </c>
      <c r="AK572" s="36">
        <f>AK527+AK563</f>
        <v/>
      </c>
      <c r="AL572" s="36">
        <f>AL527+AL563</f>
        <v/>
      </c>
      <c r="AM572" s="36">
        <f>AM527+AM563</f>
        <v/>
      </c>
      <c r="AN572" s="39">
        <f>POSTTAX(AN527,AN563)</f>
        <v/>
      </c>
    </row>
    <row r="573" hidden="1" outlineLevel="2"/>
    <row r="574" hidden="1" outlineLevel="2">
      <c r="A574" s="5" t="inlineStr">
        <is>
          <t>shp</t>
        </is>
      </c>
      <c r="B574" s="5" t="inlineStr">
        <is>
          <t>coa</t>
        </is>
      </c>
      <c r="C574" s="5" t="inlineStr">
        <is>
          <t>foo</t>
        </is>
      </c>
      <c r="D574" s="36">
        <f>INDEX(Inputs!$M$5:$M$132,MATCH($B574&amp;"|"&amp;$C574,Inputs!$A$5:$A$132,0))</f>
        <v/>
      </c>
      <c r="E574" s="36">
        <f>INDEX(Inputs!$U$5:$U$132,MATCH($B574&amp;"|"&amp;$C574,Inputs!$A$5:$A$132,0))</f>
        <v/>
      </c>
      <c r="F574" s="36">
        <f>INDEX(Inputs!$K$5:$K$132,MATCH($B574&amp;"|"&amp;$C574,Inputs!$A$5:$A$132,0))</f>
        <v/>
      </c>
      <c r="G574" s="37" t="n"/>
      <c r="H574" s="5">
        <f>INDEX(Variables!$B$5:$B$65,MATCH($A574,Variables!$A$5:$A$65,0))&amp;IF($C574="",""," | "&amp;INDEX(Mapping!$B$5:$B$25,MATCH($C574,Mapping!$A$5:$A$25,0))&amp;" | "&amp;INDEX(Mapping!$B$29:$B$38,MATCH($B574,Mapping!$A$29:$A$38,0)))</f>
        <v/>
      </c>
      <c r="I574" s="5">
        <f>INDEX(Variables!$C$5:$C$65,MATCH($A574,Variables!$A$5:$A$65,0))</f>
        <v/>
      </c>
      <c r="J574" s="5">
        <f>INDEX(Variables!$E$5:$E$65,MATCH($A574,Variables!$A$5:$A$65,0))</f>
        <v/>
      </c>
      <c r="K574" s="23">
        <f>LOWER(Settings!$C$4)&amp;".mit."&amp;$A574&amp;IF($C574="","","."&amp;$C574&amp;"."&amp;$B574)&amp;IF(INDEX(Variables!$D$5:$D$65,MATCH($A574,Variables!$A$5:$A$65,0))="","","."&amp;INDEX(Variables!$D$5:$D$65,MATCH($A574,Variables!$A$5:$A$65,0)))&amp;"."&amp;K$5</f>
        <v/>
      </c>
      <c r="L574" s="38">
        <f>INDEX(L$124:L$127,$D574)*$E574*INDEX(L$128:L$144,$F574)</f>
        <v/>
      </c>
      <c r="M574" s="36">
        <f>INDEX(M$124:M$127,$D574)*$E574*INDEX(M$128:M$144,$F574)</f>
        <v/>
      </c>
      <c r="N574" s="36">
        <f>INDEX(N$124:N$127,$D574)*$E574*INDEX(N$128:N$144,$F574)</f>
        <v/>
      </c>
      <c r="O574" s="36">
        <f>INDEX(O$124:O$127,$D574)*$E574*INDEX(O$128:O$144,$F574)</f>
        <v/>
      </c>
      <c r="P574" s="36">
        <f>INDEX(P$124:P$127,$D574)*$E574*INDEX(P$128:P$144,$F574)</f>
        <v/>
      </c>
      <c r="Q574" s="36">
        <f>INDEX(Q$124:Q$127,$D574)*$E574*INDEX(Q$128:Q$144,$F574)</f>
        <v/>
      </c>
      <c r="R574" s="36">
        <f>INDEX(R$124:R$127,$D574)*$E574*INDEX(R$128:R$144,$F574)</f>
        <v/>
      </c>
      <c r="S574" s="36">
        <f>INDEX(S$124:S$127,$D574)*$E574*INDEX(S$128:S$144,$F574)</f>
        <v/>
      </c>
      <c r="T574" s="36">
        <f>INDEX(T$124:T$127,$D574)*$E574*INDEX(T$128:T$144,$F574)</f>
        <v/>
      </c>
      <c r="U574" s="36">
        <f>INDEX(U$124:U$127,$D574)*$E574*INDEX(U$128:U$144,$F574)</f>
        <v/>
      </c>
      <c r="V574" s="36">
        <f>INDEX(V$124:V$127,$D574)*$E574*INDEX(V$128:V$144,$F574)</f>
        <v/>
      </c>
      <c r="W574" s="36">
        <f>INDEX(W$124:W$127,$D574)*$E574*INDEX(W$128:W$144,$F574)</f>
        <v/>
      </c>
      <c r="X574" s="36">
        <f>INDEX(X$124:X$127,$D574)*$E574*INDEX(X$128:X$144,$F574)</f>
        <v/>
      </c>
      <c r="Y574" s="36">
        <f>INDEX(Y$124:Y$127,$D574)*$E574*INDEX(Y$128:Y$144,$F574)</f>
        <v/>
      </c>
      <c r="Z574" s="23">
        <f>LOWER(Settings!$C$4)&amp;".mit."&amp;$A574&amp;IF($C574="","","."&amp;$C574&amp;"."&amp;$B574)&amp;IF(INDEX(Variables!$D$5:$D$65,MATCH($A574,Variables!$A$5:$A$65,0))="","","."&amp;INDEX(Variables!$D$5:$D$65,MATCH($A574,Variables!$A$5:$A$65,0)))&amp;"."&amp;Z$5</f>
        <v/>
      </c>
      <c r="AA574" s="38">
        <f>INDEX(AA$124:AA$127,$D574)*$E574*INDEX(AA$128:AA$144,$F574)</f>
        <v/>
      </c>
      <c r="AB574" s="36">
        <f>INDEX(AB$124:AB$127,$D574)*$E574*INDEX(AB$128:AB$144,$F574)</f>
        <v/>
      </c>
      <c r="AC574" s="36">
        <f>INDEX(AC$124:AC$127,$D574)*$E574*INDEX(AC$128:AC$144,$F574)</f>
        <v/>
      </c>
      <c r="AD574" s="36">
        <f>INDEX(AD$124:AD$127,$D574)*$E574*INDEX(AD$128:AD$144,$F574)</f>
        <v/>
      </c>
      <c r="AE574" s="36">
        <f>INDEX(AE$124:AE$127,$D574)*$E574*INDEX(AE$128:AE$144,$F574)</f>
        <v/>
      </c>
      <c r="AF574" s="36">
        <f>INDEX(AF$124:AF$127,$D574)*$E574*INDEX(AF$128:AF$144,$F574)</f>
        <v/>
      </c>
      <c r="AG574" s="36">
        <f>INDEX(AG$124:AG$127,$D574)*$E574*INDEX(AG$128:AG$144,$F574)</f>
        <v/>
      </c>
      <c r="AH574" s="36">
        <f>INDEX(AH$124:AH$127,$D574)*$E574*INDEX(AH$128:AH$144,$F574)</f>
        <v/>
      </c>
      <c r="AI574" s="36">
        <f>INDEX(AI$124:AI$127,$D574)*$E574*INDEX(AI$128:AI$144,$F574)</f>
        <v/>
      </c>
      <c r="AJ574" s="36">
        <f>INDEX(AJ$124:AJ$127,$D574)*$E574*INDEX(AJ$128:AJ$144,$F574)</f>
        <v/>
      </c>
      <c r="AK574" s="36">
        <f>INDEX(AK$124:AK$127,$D574)*$E574*INDEX(AK$128:AK$144,$F574)</f>
        <v/>
      </c>
      <c r="AL574" s="36">
        <f>INDEX(AL$124:AL$127,$D574)*$E574*INDEX(AL$128:AL$144,$F574)</f>
        <v/>
      </c>
      <c r="AM574" s="36">
        <f>INDEX(AM$124:AM$127,$D574)*$E574*INDEX(AM$128:AM$144,$F574)</f>
        <v/>
      </c>
      <c r="AN574" s="36">
        <f>INDEX(AN$124:AN$127,$D574)*$E574*INDEX(AN$128:AN$144,$F574)</f>
        <v/>
      </c>
    </row>
    <row r="575" hidden="1" outlineLevel="2">
      <c r="A575" s="5" t="inlineStr">
        <is>
          <t>shp</t>
        </is>
      </c>
      <c r="B575" s="5" t="inlineStr">
        <is>
          <t>nga</t>
        </is>
      </c>
      <c r="C575" s="5" t="inlineStr">
        <is>
          <t>foo</t>
        </is>
      </c>
      <c r="D575" s="36">
        <f>INDEX(Inputs!$M$5:$M$132,MATCH($B575&amp;"|"&amp;$C575,Inputs!$A$5:$A$132,0))</f>
        <v/>
      </c>
      <c r="E575" s="36">
        <f>INDEX(Inputs!$U$5:$U$132,MATCH($B575&amp;"|"&amp;$C575,Inputs!$A$5:$A$132,0))</f>
        <v/>
      </c>
      <c r="F575" s="36">
        <f>INDEX(Inputs!$K$5:$K$132,MATCH($B575&amp;"|"&amp;$C575,Inputs!$A$5:$A$132,0))</f>
        <v/>
      </c>
      <c r="G575" s="37" t="n"/>
      <c r="H575" s="5">
        <f>INDEX(Variables!$B$5:$B$65,MATCH($A575,Variables!$A$5:$A$65,0))&amp;IF($C575="",""," | "&amp;INDEX(Mapping!$B$5:$B$25,MATCH($C575,Mapping!$A$5:$A$25,0))&amp;" | "&amp;INDEX(Mapping!$B$29:$B$38,MATCH($B575,Mapping!$A$29:$A$38,0)))</f>
        <v/>
      </c>
      <c r="I575" s="5">
        <f>INDEX(Variables!$C$5:$C$65,MATCH($A575,Variables!$A$5:$A$65,0))</f>
        <v/>
      </c>
      <c r="J575" s="5">
        <f>INDEX(Variables!$E$5:$E$65,MATCH($A575,Variables!$A$5:$A$65,0))</f>
        <v/>
      </c>
      <c r="K575" s="23">
        <f>LOWER(Settings!$C$4)&amp;".mit."&amp;$A575&amp;IF($C575="","","."&amp;$C575&amp;"."&amp;$B575)&amp;IF(INDEX(Variables!$D$5:$D$65,MATCH($A575,Variables!$A$5:$A$65,0))="","","."&amp;INDEX(Variables!$D$5:$D$65,MATCH($A575,Variables!$A$5:$A$65,0)))&amp;"."&amp;K$5</f>
        <v/>
      </c>
      <c r="L575" s="38">
        <f>INDEX(L$124:L$127,$D575)*$E575*INDEX(L$128:L$144,$F575)</f>
        <v/>
      </c>
      <c r="M575" s="36">
        <f>INDEX(M$124:M$127,$D575)*$E575*INDEX(M$128:M$144,$F575)</f>
        <v/>
      </c>
      <c r="N575" s="36">
        <f>INDEX(N$124:N$127,$D575)*$E575*INDEX(N$128:N$144,$F575)</f>
        <v/>
      </c>
      <c r="O575" s="36">
        <f>INDEX(O$124:O$127,$D575)*$E575*INDEX(O$128:O$144,$F575)</f>
        <v/>
      </c>
      <c r="P575" s="36">
        <f>INDEX(P$124:P$127,$D575)*$E575*INDEX(P$128:P$144,$F575)</f>
        <v/>
      </c>
      <c r="Q575" s="36">
        <f>INDEX(Q$124:Q$127,$D575)*$E575*INDEX(Q$128:Q$144,$F575)</f>
        <v/>
      </c>
      <c r="R575" s="36">
        <f>INDEX(R$124:R$127,$D575)*$E575*INDEX(R$128:R$144,$F575)</f>
        <v/>
      </c>
      <c r="S575" s="36">
        <f>INDEX(S$124:S$127,$D575)*$E575*INDEX(S$128:S$144,$F575)</f>
        <v/>
      </c>
      <c r="T575" s="36">
        <f>INDEX(T$124:T$127,$D575)*$E575*INDEX(T$128:T$144,$F575)</f>
        <v/>
      </c>
      <c r="U575" s="36">
        <f>INDEX(U$124:U$127,$D575)*$E575*INDEX(U$128:U$144,$F575)</f>
        <v/>
      </c>
      <c r="V575" s="36">
        <f>INDEX(V$124:V$127,$D575)*$E575*INDEX(V$128:V$144,$F575)</f>
        <v/>
      </c>
      <c r="W575" s="36">
        <f>INDEX(W$124:W$127,$D575)*$E575*INDEX(W$128:W$144,$F575)</f>
        <v/>
      </c>
      <c r="X575" s="36">
        <f>INDEX(X$124:X$127,$D575)*$E575*INDEX(X$128:X$144,$F575)</f>
        <v/>
      </c>
      <c r="Y575" s="36">
        <f>INDEX(Y$124:Y$127,$D575)*$E575*INDEX(Y$128:Y$144,$F575)</f>
        <v/>
      </c>
      <c r="Z575" s="23">
        <f>LOWER(Settings!$C$4)&amp;".mit."&amp;$A575&amp;IF($C575="","","."&amp;$C575&amp;"."&amp;$B575)&amp;IF(INDEX(Variables!$D$5:$D$65,MATCH($A575,Variables!$A$5:$A$65,0))="","","."&amp;INDEX(Variables!$D$5:$D$65,MATCH($A575,Variables!$A$5:$A$65,0)))&amp;"."&amp;Z$5</f>
        <v/>
      </c>
      <c r="AA575" s="38">
        <f>INDEX(AA$124:AA$127,$D575)*$E575*INDEX(AA$128:AA$144,$F575)</f>
        <v/>
      </c>
      <c r="AB575" s="36">
        <f>INDEX(AB$124:AB$127,$D575)*$E575*INDEX(AB$128:AB$144,$F575)</f>
        <v/>
      </c>
      <c r="AC575" s="36">
        <f>INDEX(AC$124:AC$127,$D575)*$E575*INDEX(AC$128:AC$144,$F575)</f>
        <v/>
      </c>
      <c r="AD575" s="36">
        <f>INDEX(AD$124:AD$127,$D575)*$E575*INDEX(AD$128:AD$144,$F575)</f>
        <v/>
      </c>
      <c r="AE575" s="36">
        <f>INDEX(AE$124:AE$127,$D575)*$E575*INDEX(AE$128:AE$144,$F575)</f>
        <v/>
      </c>
      <c r="AF575" s="36">
        <f>INDEX(AF$124:AF$127,$D575)*$E575*INDEX(AF$128:AF$144,$F575)</f>
        <v/>
      </c>
      <c r="AG575" s="36">
        <f>INDEX(AG$124:AG$127,$D575)*$E575*INDEX(AG$128:AG$144,$F575)</f>
        <v/>
      </c>
      <c r="AH575" s="36">
        <f>INDEX(AH$124:AH$127,$D575)*$E575*INDEX(AH$128:AH$144,$F575)</f>
        <v/>
      </c>
      <c r="AI575" s="36">
        <f>INDEX(AI$124:AI$127,$D575)*$E575*INDEX(AI$128:AI$144,$F575)</f>
        <v/>
      </c>
      <c r="AJ575" s="36">
        <f>INDEX(AJ$124:AJ$127,$D575)*$E575*INDEX(AJ$128:AJ$144,$F575)</f>
        <v/>
      </c>
      <c r="AK575" s="36">
        <f>INDEX(AK$124:AK$127,$D575)*$E575*INDEX(AK$128:AK$144,$F575)</f>
        <v/>
      </c>
      <c r="AL575" s="36">
        <f>INDEX(AL$124:AL$127,$D575)*$E575*INDEX(AL$128:AL$144,$F575)</f>
        <v/>
      </c>
      <c r="AM575" s="36">
        <f>INDEX(AM$124:AM$127,$D575)*$E575*INDEX(AM$128:AM$144,$F575)</f>
        <v/>
      </c>
      <c r="AN575" s="36">
        <f>INDEX(AN$124:AN$127,$D575)*$E575*INDEX(AN$128:AN$144,$F575)</f>
        <v/>
      </c>
    </row>
    <row r="576" hidden="1" outlineLevel="2">
      <c r="A576" s="5" t="inlineStr">
        <is>
          <t>shp</t>
        </is>
      </c>
      <c r="B576" s="5" t="inlineStr">
        <is>
          <t>gso</t>
        </is>
      </c>
      <c r="C576" s="5" t="inlineStr">
        <is>
          <t>foo</t>
        </is>
      </c>
      <c r="D576" s="36">
        <f>INDEX(Inputs!$M$5:$M$132,MATCH($B576&amp;"|"&amp;$C576,Inputs!$A$5:$A$132,0))</f>
        <v/>
      </c>
      <c r="E576" s="36">
        <f>INDEX(Inputs!$U$5:$U$132,MATCH($B576&amp;"|"&amp;$C576,Inputs!$A$5:$A$132,0))</f>
        <v/>
      </c>
      <c r="F576" s="36">
        <f>INDEX(Inputs!$K$5:$K$132,MATCH($B576&amp;"|"&amp;$C576,Inputs!$A$5:$A$132,0))</f>
        <v/>
      </c>
      <c r="G576" s="37" t="n"/>
      <c r="H576" s="5">
        <f>INDEX(Variables!$B$5:$B$65,MATCH($A576,Variables!$A$5:$A$65,0))&amp;IF($C576="",""," | "&amp;INDEX(Mapping!$B$5:$B$25,MATCH($C576,Mapping!$A$5:$A$25,0))&amp;" | "&amp;INDEX(Mapping!$B$29:$B$38,MATCH($B576,Mapping!$A$29:$A$38,0)))</f>
        <v/>
      </c>
      <c r="I576" s="5">
        <f>INDEX(Variables!$C$5:$C$65,MATCH($A576,Variables!$A$5:$A$65,0))</f>
        <v/>
      </c>
      <c r="J576" s="5">
        <f>INDEX(Variables!$E$5:$E$65,MATCH($A576,Variables!$A$5:$A$65,0))</f>
        <v/>
      </c>
      <c r="K576" s="23">
        <f>LOWER(Settings!$C$4)&amp;".mit."&amp;$A576&amp;IF($C576="","","."&amp;$C576&amp;"."&amp;$B576)&amp;IF(INDEX(Variables!$D$5:$D$65,MATCH($A576,Variables!$A$5:$A$65,0))="","","."&amp;INDEX(Variables!$D$5:$D$65,MATCH($A576,Variables!$A$5:$A$65,0)))&amp;"."&amp;K$5</f>
        <v/>
      </c>
      <c r="L576" s="38">
        <f>INDEX(L$124:L$127,$D576)*$E576*INDEX(L$128:L$144,$F576)</f>
        <v/>
      </c>
      <c r="M576" s="36">
        <f>INDEX(M$124:M$127,$D576)*$E576*INDEX(M$128:M$144,$F576)</f>
        <v/>
      </c>
      <c r="N576" s="36">
        <f>INDEX(N$124:N$127,$D576)*$E576*INDEX(N$128:N$144,$F576)</f>
        <v/>
      </c>
      <c r="O576" s="36">
        <f>INDEX(O$124:O$127,$D576)*$E576*INDEX(O$128:O$144,$F576)</f>
        <v/>
      </c>
      <c r="P576" s="36">
        <f>INDEX(P$124:P$127,$D576)*$E576*INDEX(P$128:P$144,$F576)</f>
        <v/>
      </c>
      <c r="Q576" s="36">
        <f>INDEX(Q$124:Q$127,$D576)*$E576*INDEX(Q$128:Q$144,$F576)</f>
        <v/>
      </c>
      <c r="R576" s="36">
        <f>INDEX(R$124:R$127,$D576)*$E576*INDEX(R$128:R$144,$F576)</f>
        <v/>
      </c>
      <c r="S576" s="36">
        <f>INDEX(S$124:S$127,$D576)*$E576*INDEX(S$128:S$144,$F576)</f>
        <v/>
      </c>
      <c r="T576" s="36">
        <f>INDEX(T$124:T$127,$D576)*$E576*INDEX(T$128:T$144,$F576)</f>
        <v/>
      </c>
      <c r="U576" s="36">
        <f>INDEX(U$124:U$127,$D576)*$E576*INDEX(U$128:U$144,$F576)</f>
        <v/>
      </c>
      <c r="V576" s="36">
        <f>INDEX(V$124:V$127,$D576)*$E576*INDEX(V$128:V$144,$F576)</f>
        <v/>
      </c>
      <c r="W576" s="36">
        <f>INDEX(W$124:W$127,$D576)*$E576*INDEX(W$128:W$144,$F576)</f>
        <v/>
      </c>
      <c r="X576" s="36">
        <f>INDEX(X$124:X$127,$D576)*$E576*INDEX(X$128:X$144,$F576)</f>
        <v/>
      </c>
      <c r="Y576" s="36">
        <f>INDEX(Y$124:Y$127,$D576)*$E576*INDEX(Y$128:Y$144,$F576)</f>
        <v/>
      </c>
      <c r="Z576" s="23">
        <f>LOWER(Settings!$C$4)&amp;".mit."&amp;$A576&amp;IF($C576="","","."&amp;$C576&amp;"."&amp;$B576)&amp;IF(INDEX(Variables!$D$5:$D$65,MATCH($A576,Variables!$A$5:$A$65,0))="","","."&amp;INDEX(Variables!$D$5:$D$65,MATCH($A576,Variables!$A$5:$A$65,0)))&amp;"."&amp;Z$5</f>
        <v/>
      </c>
      <c r="AA576" s="38">
        <f>INDEX(AA$124:AA$127,$D576)*$E576*INDEX(AA$128:AA$144,$F576)</f>
        <v/>
      </c>
      <c r="AB576" s="36">
        <f>INDEX(AB$124:AB$127,$D576)*$E576*INDEX(AB$128:AB$144,$F576)</f>
        <v/>
      </c>
      <c r="AC576" s="36">
        <f>INDEX(AC$124:AC$127,$D576)*$E576*INDEX(AC$128:AC$144,$F576)</f>
        <v/>
      </c>
      <c r="AD576" s="36">
        <f>INDEX(AD$124:AD$127,$D576)*$E576*INDEX(AD$128:AD$144,$F576)</f>
        <v/>
      </c>
      <c r="AE576" s="36">
        <f>INDEX(AE$124:AE$127,$D576)*$E576*INDEX(AE$128:AE$144,$F576)</f>
        <v/>
      </c>
      <c r="AF576" s="36">
        <f>INDEX(AF$124:AF$127,$D576)*$E576*INDEX(AF$128:AF$144,$F576)</f>
        <v/>
      </c>
      <c r="AG576" s="36">
        <f>INDEX(AG$124:AG$127,$D576)*$E576*INDEX(AG$128:AG$144,$F576)</f>
        <v/>
      </c>
      <c r="AH576" s="36">
        <f>INDEX(AH$124:AH$127,$D576)*$E576*INDEX(AH$128:AH$144,$F576)</f>
        <v/>
      </c>
      <c r="AI576" s="36">
        <f>INDEX(AI$124:AI$127,$D576)*$E576*INDEX(AI$128:AI$144,$F576)</f>
        <v/>
      </c>
      <c r="AJ576" s="36">
        <f>INDEX(AJ$124:AJ$127,$D576)*$E576*INDEX(AJ$128:AJ$144,$F576)</f>
        <v/>
      </c>
      <c r="AK576" s="36">
        <f>INDEX(AK$124:AK$127,$D576)*$E576*INDEX(AK$128:AK$144,$F576)</f>
        <v/>
      </c>
      <c r="AL576" s="36">
        <f>INDEX(AL$124:AL$127,$D576)*$E576*INDEX(AL$128:AL$144,$F576)</f>
        <v/>
      </c>
      <c r="AM576" s="36">
        <f>INDEX(AM$124:AM$127,$D576)*$E576*INDEX(AM$128:AM$144,$F576)</f>
        <v/>
      </c>
      <c r="AN576" s="36">
        <f>INDEX(AN$124:AN$127,$D576)*$E576*INDEX(AN$128:AN$144,$F576)</f>
        <v/>
      </c>
    </row>
    <row r="577" hidden="1" outlineLevel="2">
      <c r="A577" s="5" t="inlineStr">
        <is>
          <t>shp</t>
        </is>
      </c>
      <c r="B577" s="5" t="inlineStr">
        <is>
          <t>die</t>
        </is>
      </c>
      <c r="C577" s="5" t="inlineStr">
        <is>
          <t>foo</t>
        </is>
      </c>
      <c r="D577" s="36">
        <f>INDEX(Inputs!$M$5:$M$132,MATCH($B577&amp;"|"&amp;$C577,Inputs!$A$5:$A$132,0))</f>
        <v/>
      </c>
      <c r="E577" s="36">
        <f>INDEX(Inputs!$U$5:$U$132,MATCH($B577&amp;"|"&amp;$C577,Inputs!$A$5:$A$132,0))</f>
        <v/>
      </c>
      <c r="F577" s="36">
        <f>INDEX(Inputs!$K$5:$K$132,MATCH($B577&amp;"|"&amp;$C577,Inputs!$A$5:$A$132,0))</f>
        <v/>
      </c>
      <c r="G577" s="37" t="n"/>
      <c r="H577" s="5">
        <f>INDEX(Variables!$B$5:$B$65,MATCH($A577,Variables!$A$5:$A$65,0))&amp;IF($C577="",""," | "&amp;INDEX(Mapping!$B$5:$B$25,MATCH($C577,Mapping!$A$5:$A$25,0))&amp;" | "&amp;INDEX(Mapping!$B$29:$B$38,MATCH($B577,Mapping!$A$29:$A$38,0)))</f>
        <v/>
      </c>
      <c r="I577" s="5">
        <f>INDEX(Variables!$C$5:$C$65,MATCH($A577,Variables!$A$5:$A$65,0))</f>
        <v/>
      </c>
      <c r="J577" s="5">
        <f>INDEX(Variables!$E$5:$E$65,MATCH($A577,Variables!$A$5:$A$65,0))</f>
        <v/>
      </c>
      <c r="K577" s="23">
        <f>LOWER(Settings!$C$4)&amp;".mit."&amp;$A577&amp;IF($C577="","","."&amp;$C577&amp;"."&amp;$B577)&amp;IF(INDEX(Variables!$D$5:$D$65,MATCH($A577,Variables!$A$5:$A$65,0))="","","."&amp;INDEX(Variables!$D$5:$D$65,MATCH($A577,Variables!$A$5:$A$65,0)))&amp;"."&amp;K$5</f>
        <v/>
      </c>
      <c r="L577" s="38">
        <f>INDEX(L$124:L$127,$D577)*$E577*INDEX(L$128:L$144,$F577)</f>
        <v/>
      </c>
      <c r="M577" s="36">
        <f>INDEX(M$124:M$127,$D577)*$E577*INDEX(M$128:M$144,$F577)</f>
        <v/>
      </c>
      <c r="N577" s="36">
        <f>INDEX(N$124:N$127,$D577)*$E577*INDEX(N$128:N$144,$F577)</f>
        <v/>
      </c>
      <c r="O577" s="36">
        <f>INDEX(O$124:O$127,$D577)*$E577*INDEX(O$128:O$144,$F577)</f>
        <v/>
      </c>
      <c r="P577" s="36">
        <f>INDEX(P$124:P$127,$D577)*$E577*INDEX(P$128:P$144,$F577)</f>
        <v/>
      </c>
      <c r="Q577" s="36">
        <f>INDEX(Q$124:Q$127,$D577)*$E577*INDEX(Q$128:Q$144,$F577)</f>
        <v/>
      </c>
      <c r="R577" s="36">
        <f>INDEX(R$124:R$127,$D577)*$E577*INDEX(R$128:R$144,$F577)</f>
        <v/>
      </c>
      <c r="S577" s="36">
        <f>INDEX(S$124:S$127,$D577)*$E577*INDEX(S$128:S$144,$F577)</f>
        <v/>
      </c>
      <c r="T577" s="36">
        <f>INDEX(T$124:T$127,$D577)*$E577*INDEX(T$128:T$144,$F577)</f>
        <v/>
      </c>
      <c r="U577" s="36">
        <f>INDEX(U$124:U$127,$D577)*$E577*INDEX(U$128:U$144,$F577)</f>
        <v/>
      </c>
      <c r="V577" s="36">
        <f>INDEX(V$124:V$127,$D577)*$E577*INDEX(V$128:V$144,$F577)</f>
        <v/>
      </c>
      <c r="W577" s="36">
        <f>INDEX(W$124:W$127,$D577)*$E577*INDEX(W$128:W$144,$F577)</f>
        <v/>
      </c>
      <c r="X577" s="36">
        <f>INDEX(X$124:X$127,$D577)*$E577*INDEX(X$128:X$144,$F577)</f>
        <v/>
      </c>
      <c r="Y577" s="36">
        <f>INDEX(Y$124:Y$127,$D577)*$E577*INDEX(Y$128:Y$144,$F577)</f>
        <v/>
      </c>
      <c r="Z577" s="23">
        <f>LOWER(Settings!$C$4)&amp;".mit."&amp;$A577&amp;IF($C577="","","."&amp;$C577&amp;"."&amp;$B577)&amp;IF(INDEX(Variables!$D$5:$D$65,MATCH($A577,Variables!$A$5:$A$65,0))="","","."&amp;INDEX(Variables!$D$5:$D$65,MATCH($A577,Variables!$A$5:$A$65,0)))&amp;"."&amp;Z$5</f>
        <v/>
      </c>
      <c r="AA577" s="38">
        <f>INDEX(AA$124:AA$127,$D577)*$E577*INDEX(AA$128:AA$144,$F577)</f>
        <v/>
      </c>
      <c r="AB577" s="36">
        <f>INDEX(AB$124:AB$127,$D577)*$E577*INDEX(AB$128:AB$144,$F577)</f>
        <v/>
      </c>
      <c r="AC577" s="36">
        <f>INDEX(AC$124:AC$127,$D577)*$E577*INDEX(AC$128:AC$144,$F577)</f>
        <v/>
      </c>
      <c r="AD577" s="36">
        <f>INDEX(AD$124:AD$127,$D577)*$E577*INDEX(AD$128:AD$144,$F577)</f>
        <v/>
      </c>
      <c r="AE577" s="36">
        <f>INDEX(AE$124:AE$127,$D577)*$E577*INDEX(AE$128:AE$144,$F577)</f>
        <v/>
      </c>
      <c r="AF577" s="36">
        <f>INDEX(AF$124:AF$127,$D577)*$E577*INDEX(AF$128:AF$144,$F577)</f>
        <v/>
      </c>
      <c r="AG577" s="36">
        <f>INDEX(AG$124:AG$127,$D577)*$E577*INDEX(AG$128:AG$144,$F577)</f>
        <v/>
      </c>
      <c r="AH577" s="36">
        <f>INDEX(AH$124:AH$127,$D577)*$E577*INDEX(AH$128:AH$144,$F577)</f>
        <v/>
      </c>
      <c r="AI577" s="36">
        <f>INDEX(AI$124:AI$127,$D577)*$E577*INDEX(AI$128:AI$144,$F577)</f>
        <v/>
      </c>
      <c r="AJ577" s="36">
        <f>INDEX(AJ$124:AJ$127,$D577)*$E577*INDEX(AJ$128:AJ$144,$F577)</f>
        <v/>
      </c>
      <c r="AK577" s="36">
        <f>INDEX(AK$124:AK$127,$D577)*$E577*INDEX(AK$128:AK$144,$F577)</f>
        <v/>
      </c>
      <c r="AL577" s="36">
        <f>INDEX(AL$124:AL$127,$D577)*$E577*INDEX(AL$128:AL$144,$F577)</f>
        <v/>
      </c>
      <c r="AM577" s="36">
        <f>INDEX(AM$124:AM$127,$D577)*$E577*INDEX(AM$128:AM$144,$F577)</f>
        <v/>
      </c>
      <c r="AN577" s="36">
        <f>INDEX(AN$124:AN$127,$D577)*$E577*INDEX(AN$128:AN$144,$F577)</f>
        <v/>
      </c>
    </row>
    <row r="578" hidden="1" outlineLevel="2">
      <c r="A578" s="5" t="inlineStr">
        <is>
          <t>shp</t>
        </is>
      </c>
      <c r="B578" s="5" t="inlineStr">
        <is>
          <t>lpg</t>
        </is>
      </c>
      <c r="C578" s="5" t="inlineStr">
        <is>
          <t>foo</t>
        </is>
      </c>
      <c r="D578" s="36">
        <f>INDEX(Inputs!$M$5:$M$132,MATCH($B578&amp;"|"&amp;$C578,Inputs!$A$5:$A$132,0))</f>
        <v/>
      </c>
      <c r="E578" s="36">
        <f>INDEX(Inputs!$U$5:$U$132,MATCH($B578&amp;"|"&amp;$C578,Inputs!$A$5:$A$132,0))</f>
        <v/>
      </c>
      <c r="F578" s="36">
        <f>INDEX(Inputs!$K$5:$K$132,MATCH($B578&amp;"|"&amp;$C578,Inputs!$A$5:$A$132,0))</f>
        <v/>
      </c>
      <c r="G578" s="37" t="n"/>
      <c r="H578" s="5">
        <f>INDEX(Variables!$B$5:$B$65,MATCH($A578,Variables!$A$5:$A$65,0))&amp;IF($C578="",""," | "&amp;INDEX(Mapping!$B$5:$B$25,MATCH($C578,Mapping!$A$5:$A$25,0))&amp;" | "&amp;INDEX(Mapping!$B$29:$B$38,MATCH($B578,Mapping!$A$29:$A$38,0)))</f>
        <v/>
      </c>
      <c r="I578" s="5">
        <f>INDEX(Variables!$C$5:$C$65,MATCH($A578,Variables!$A$5:$A$65,0))</f>
        <v/>
      </c>
      <c r="J578" s="5">
        <f>INDEX(Variables!$E$5:$E$65,MATCH($A578,Variables!$A$5:$A$65,0))</f>
        <v/>
      </c>
      <c r="K578" s="23">
        <f>LOWER(Settings!$C$4)&amp;".mit."&amp;$A578&amp;IF($C578="","","."&amp;$C578&amp;"."&amp;$B578)&amp;IF(INDEX(Variables!$D$5:$D$65,MATCH($A578,Variables!$A$5:$A$65,0))="","","."&amp;INDEX(Variables!$D$5:$D$65,MATCH($A578,Variables!$A$5:$A$65,0)))&amp;"."&amp;K$5</f>
        <v/>
      </c>
      <c r="L578" s="38">
        <f>INDEX(L$124:L$127,$D578)*$E578*INDEX(L$128:L$144,$F578)</f>
        <v/>
      </c>
      <c r="M578" s="36">
        <f>INDEX(M$124:M$127,$D578)*$E578*INDEX(M$128:M$144,$F578)</f>
        <v/>
      </c>
      <c r="N578" s="36">
        <f>INDEX(N$124:N$127,$D578)*$E578*INDEX(N$128:N$144,$F578)</f>
        <v/>
      </c>
      <c r="O578" s="36">
        <f>INDEX(O$124:O$127,$D578)*$E578*INDEX(O$128:O$144,$F578)</f>
        <v/>
      </c>
      <c r="P578" s="36">
        <f>INDEX(P$124:P$127,$D578)*$E578*INDEX(P$128:P$144,$F578)</f>
        <v/>
      </c>
      <c r="Q578" s="36">
        <f>INDEX(Q$124:Q$127,$D578)*$E578*INDEX(Q$128:Q$144,$F578)</f>
        <v/>
      </c>
      <c r="R578" s="36">
        <f>INDEX(R$124:R$127,$D578)*$E578*INDEX(R$128:R$144,$F578)</f>
        <v/>
      </c>
      <c r="S578" s="36">
        <f>INDEX(S$124:S$127,$D578)*$E578*INDEX(S$128:S$144,$F578)</f>
        <v/>
      </c>
      <c r="T578" s="36">
        <f>INDEX(T$124:T$127,$D578)*$E578*INDEX(T$128:T$144,$F578)</f>
        <v/>
      </c>
      <c r="U578" s="36">
        <f>INDEX(U$124:U$127,$D578)*$E578*INDEX(U$128:U$144,$F578)</f>
        <v/>
      </c>
      <c r="V578" s="36">
        <f>INDEX(V$124:V$127,$D578)*$E578*INDEX(V$128:V$144,$F578)</f>
        <v/>
      </c>
      <c r="W578" s="36">
        <f>INDEX(W$124:W$127,$D578)*$E578*INDEX(W$128:W$144,$F578)</f>
        <v/>
      </c>
      <c r="X578" s="36">
        <f>INDEX(X$124:X$127,$D578)*$E578*INDEX(X$128:X$144,$F578)</f>
        <v/>
      </c>
      <c r="Y578" s="36">
        <f>INDEX(Y$124:Y$127,$D578)*$E578*INDEX(Y$128:Y$144,$F578)</f>
        <v/>
      </c>
      <c r="Z578" s="23">
        <f>LOWER(Settings!$C$4)&amp;".mit."&amp;$A578&amp;IF($C578="","","."&amp;$C578&amp;"."&amp;$B578)&amp;IF(INDEX(Variables!$D$5:$D$65,MATCH($A578,Variables!$A$5:$A$65,0))="","","."&amp;INDEX(Variables!$D$5:$D$65,MATCH($A578,Variables!$A$5:$A$65,0)))&amp;"."&amp;Z$5</f>
        <v/>
      </c>
      <c r="AA578" s="38">
        <f>INDEX(AA$124:AA$127,$D578)*$E578*INDEX(AA$128:AA$144,$F578)</f>
        <v/>
      </c>
      <c r="AB578" s="36">
        <f>INDEX(AB$124:AB$127,$D578)*$E578*INDEX(AB$128:AB$144,$F578)</f>
        <v/>
      </c>
      <c r="AC578" s="36">
        <f>INDEX(AC$124:AC$127,$D578)*$E578*INDEX(AC$128:AC$144,$F578)</f>
        <v/>
      </c>
      <c r="AD578" s="36">
        <f>INDEX(AD$124:AD$127,$D578)*$E578*INDEX(AD$128:AD$144,$F578)</f>
        <v/>
      </c>
      <c r="AE578" s="36">
        <f>INDEX(AE$124:AE$127,$D578)*$E578*INDEX(AE$128:AE$144,$F578)</f>
        <v/>
      </c>
      <c r="AF578" s="36">
        <f>INDEX(AF$124:AF$127,$D578)*$E578*INDEX(AF$128:AF$144,$F578)</f>
        <v/>
      </c>
      <c r="AG578" s="36">
        <f>INDEX(AG$124:AG$127,$D578)*$E578*INDEX(AG$128:AG$144,$F578)</f>
        <v/>
      </c>
      <c r="AH578" s="36">
        <f>INDEX(AH$124:AH$127,$D578)*$E578*INDEX(AH$128:AH$144,$F578)</f>
        <v/>
      </c>
      <c r="AI578" s="36">
        <f>INDEX(AI$124:AI$127,$D578)*$E578*INDEX(AI$128:AI$144,$F578)</f>
        <v/>
      </c>
      <c r="AJ578" s="36">
        <f>INDEX(AJ$124:AJ$127,$D578)*$E578*INDEX(AJ$128:AJ$144,$F578)</f>
        <v/>
      </c>
      <c r="AK578" s="36">
        <f>INDEX(AK$124:AK$127,$D578)*$E578*INDEX(AK$128:AK$144,$F578)</f>
        <v/>
      </c>
      <c r="AL578" s="36">
        <f>INDEX(AL$124:AL$127,$D578)*$E578*INDEX(AL$128:AL$144,$F578)</f>
        <v/>
      </c>
      <c r="AM578" s="36">
        <f>INDEX(AM$124:AM$127,$D578)*$E578*INDEX(AM$128:AM$144,$F578)</f>
        <v/>
      </c>
      <c r="AN578" s="36">
        <f>INDEX(AN$124:AN$127,$D578)*$E578*INDEX(AN$128:AN$144,$F578)</f>
        <v/>
      </c>
    </row>
    <row r="579" hidden="1" outlineLevel="2">
      <c r="A579" s="5" t="inlineStr">
        <is>
          <t>shp</t>
        </is>
      </c>
      <c r="B579" s="5" t="inlineStr">
        <is>
          <t>ker</t>
        </is>
      </c>
      <c r="C579" s="5" t="inlineStr">
        <is>
          <t>foo</t>
        </is>
      </c>
      <c r="D579" s="36">
        <f>INDEX(Inputs!$M$5:$M$132,MATCH($B579&amp;"|"&amp;$C579,Inputs!$A$5:$A$132,0))</f>
        <v/>
      </c>
      <c r="E579" s="36">
        <f>INDEX(Inputs!$U$5:$U$132,MATCH($B579&amp;"|"&amp;$C579,Inputs!$A$5:$A$132,0))</f>
        <v/>
      </c>
      <c r="F579" s="36">
        <f>INDEX(Inputs!$K$5:$K$132,MATCH($B579&amp;"|"&amp;$C579,Inputs!$A$5:$A$132,0))</f>
        <v/>
      </c>
      <c r="G579" s="37" t="n"/>
      <c r="H579" s="5">
        <f>INDEX(Variables!$B$5:$B$65,MATCH($A579,Variables!$A$5:$A$65,0))&amp;IF($C579="",""," | "&amp;INDEX(Mapping!$B$5:$B$25,MATCH($C579,Mapping!$A$5:$A$25,0))&amp;" | "&amp;INDEX(Mapping!$B$29:$B$38,MATCH($B579,Mapping!$A$29:$A$38,0)))</f>
        <v/>
      </c>
      <c r="I579" s="5">
        <f>INDEX(Variables!$C$5:$C$65,MATCH($A579,Variables!$A$5:$A$65,0))</f>
        <v/>
      </c>
      <c r="J579" s="5">
        <f>INDEX(Variables!$E$5:$E$65,MATCH($A579,Variables!$A$5:$A$65,0))</f>
        <v/>
      </c>
      <c r="K579" s="23">
        <f>LOWER(Settings!$C$4)&amp;".mit."&amp;$A579&amp;IF($C579="","","."&amp;$C579&amp;"."&amp;$B579)&amp;IF(INDEX(Variables!$D$5:$D$65,MATCH($A579,Variables!$A$5:$A$65,0))="","","."&amp;INDEX(Variables!$D$5:$D$65,MATCH($A579,Variables!$A$5:$A$65,0)))&amp;"."&amp;K$5</f>
        <v/>
      </c>
      <c r="L579" s="38">
        <f>INDEX(L$124:L$127,$D579)*$E579*INDEX(L$128:L$144,$F579)</f>
        <v/>
      </c>
      <c r="M579" s="36">
        <f>INDEX(M$124:M$127,$D579)*$E579*INDEX(M$128:M$144,$F579)</f>
        <v/>
      </c>
      <c r="N579" s="36">
        <f>INDEX(N$124:N$127,$D579)*$E579*INDEX(N$128:N$144,$F579)</f>
        <v/>
      </c>
      <c r="O579" s="36">
        <f>INDEX(O$124:O$127,$D579)*$E579*INDEX(O$128:O$144,$F579)</f>
        <v/>
      </c>
      <c r="P579" s="36">
        <f>INDEX(P$124:P$127,$D579)*$E579*INDEX(P$128:P$144,$F579)</f>
        <v/>
      </c>
      <c r="Q579" s="36">
        <f>INDEX(Q$124:Q$127,$D579)*$E579*INDEX(Q$128:Q$144,$F579)</f>
        <v/>
      </c>
      <c r="R579" s="36">
        <f>INDEX(R$124:R$127,$D579)*$E579*INDEX(R$128:R$144,$F579)</f>
        <v/>
      </c>
      <c r="S579" s="36">
        <f>INDEX(S$124:S$127,$D579)*$E579*INDEX(S$128:S$144,$F579)</f>
        <v/>
      </c>
      <c r="T579" s="36">
        <f>INDEX(T$124:T$127,$D579)*$E579*INDEX(T$128:T$144,$F579)</f>
        <v/>
      </c>
      <c r="U579" s="36">
        <f>INDEX(U$124:U$127,$D579)*$E579*INDEX(U$128:U$144,$F579)</f>
        <v/>
      </c>
      <c r="V579" s="36">
        <f>INDEX(V$124:V$127,$D579)*$E579*INDEX(V$128:V$144,$F579)</f>
        <v/>
      </c>
      <c r="W579" s="36">
        <f>INDEX(W$124:W$127,$D579)*$E579*INDEX(W$128:W$144,$F579)</f>
        <v/>
      </c>
      <c r="X579" s="36">
        <f>INDEX(X$124:X$127,$D579)*$E579*INDEX(X$128:X$144,$F579)</f>
        <v/>
      </c>
      <c r="Y579" s="36">
        <f>INDEX(Y$124:Y$127,$D579)*$E579*INDEX(Y$128:Y$144,$F579)</f>
        <v/>
      </c>
      <c r="Z579" s="23">
        <f>LOWER(Settings!$C$4)&amp;".mit."&amp;$A579&amp;IF($C579="","","."&amp;$C579&amp;"."&amp;$B579)&amp;IF(INDEX(Variables!$D$5:$D$65,MATCH($A579,Variables!$A$5:$A$65,0))="","","."&amp;INDEX(Variables!$D$5:$D$65,MATCH($A579,Variables!$A$5:$A$65,0)))&amp;"."&amp;Z$5</f>
        <v/>
      </c>
      <c r="AA579" s="38">
        <f>INDEX(AA$124:AA$127,$D579)*$E579*INDEX(AA$128:AA$144,$F579)</f>
        <v/>
      </c>
      <c r="AB579" s="36">
        <f>INDEX(AB$124:AB$127,$D579)*$E579*INDEX(AB$128:AB$144,$F579)</f>
        <v/>
      </c>
      <c r="AC579" s="36">
        <f>INDEX(AC$124:AC$127,$D579)*$E579*INDEX(AC$128:AC$144,$F579)</f>
        <v/>
      </c>
      <c r="AD579" s="36">
        <f>INDEX(AD$124:AD$127,$D579)*$E579*INDEX(AD$128:AD$144,$F579)</f>
        <v/>
      </c>
      <c r="AE579" s="36">
        <f>INDEX(AE$124:AE$127,$D579)*$E579*INDEX(AE$128:AE$144,$F579)</f>
        <v/>
      </c>
      <c r="AF579" s="36">
        <f>INDEX(AF$124:AF$127,$D579)*$E579*INDEX(AF$128:AF$144,$F579)</f>
        <v/>
      </c>
      <c r="AG579" s="36">
        <f>INDEX(AG$124:AG$127,$D579)*$E579*INDEX(AG$128:AG$144,$F579)</f>
        <v/>
      </c>
      <c r="AH579" s="36">
        <f>INDEX(AH$124:AH$127,$D579)*$E579*INDEX(AH$128:AH$144,$F579)</f>
        <v/>
      </c>
      <c r="AI579" s="36">
        <f>INDEX(AI$124:AI$127,$D579)*$E579*INDEX(AI$128:AI$144,$F579)</f>
        <v/>
      </c>
      <c r="AJ579" s="36">
        <f>INDEX(AJ$124:AJ$127,$D579)*$E579*INDEX(AJ$128:AJ$144,$F579)</f>
        <v/>
      </c>
      <c r="AK579" s="36">
        <f>INDEX(AK$124:AK$127,$D579)*$E579*INDEX(AK$128:AK$144,$F579)</f>
        <v/>
      </c>
      <c r="AL579" s="36">
        <f>INDEX(AL$124:AL$127,$D579)*$E579*INDEX(AL$128:AL$144,$F579)</f>
        <v/>
      </c>
      <c r="AM579" s="36">
        <f>INDEX(AM$124:AM$127,$D579)*$E579*INDEX(AM$128:AM$144,$F579)</f>
        <v/>
      </c>
      <c r="AN579" s="36">
        <f>INDEX(AN$124:AN$127,$D579)*$E579*INDEX(AN$128:AN$144,$F579)</f>
        <v/>
      </c>
    </row>
    <row r="580" hidden="1" outlineLevel="2">
      <c r="A580" s="5" t="inlineStr">
        <is>
          <t>shp</t>
        </is>
      </c>
      <c r="B580" s="5" t="inlineStr">
        <is>
          <t>oop</t>
        </is>
      </c>
      <c r="C580" s="5" t="inlineStr">
        <is>
          <t>foo</t>
        </is>
      </c>
      <c r="D580" s="36">
        <f>INDEX(Inputs!$M$5:$M$132,MATCH($B580&amp;"|"&amp;$C580,Inputs!$A$5:$A$132,0))</f>
        <v/>
      </c>
      <c r="E580" s="36">
        <f>INDEX(Inputs!$U$5:$U$132,MATCH($B580&amp;"|"&amp;$C580,Inputs!$A$5:$A$132,0))</f>
        <v/>
      </c>
      <c r="F580" s="36">
        <f>INDEX(Inputs!$K$5:$K$132,MATCH($B580&amp;"|"&amp;$C580,Inputs!$A$5:$A$132,0))</f>
        <v/>
      </c>
      <c r="G580" s="37" t="n"/>
      <c r="H580" s="5">
        <f>INDEX(Variables!$B$5:$B$65,MATCH($A580,Variables!$A$5:$A$65,0))&amp;IF($C580="",""," | "&amp;INDEX(Mapping!$B$5:$B$25,MATCH($C580,Mapping!$A$5:$A$25,0))&amp;" | "&amp;INDEX(Mapping!$B$29:$B$38,MATCH($B580,Mapping!$A$29:$A$38,0)))</f>
        <v/>
      </c>
      <c r="I580" s="5">
        <f>INDEX(Variables!$C$5:$C$65,MATCH($A580,Variables!$A$5:$A$65,0))</f>
        <v/>
      </c>
      <c r="J580" s="5">
        <f>INDEX(Variables!$E$5:$E$65,MATCH($A580,Variables!$A$5:$A$65,0))</f>
        <v/>
      </c>
      <c r="K580" s="23">
        <f>LOWER(Settings!$C$4)&amp;".mit."&amp;$A580&amp;IF($C580="","","."&amp;$C580&amp;"."&amp;$B580)&amp;IF(INDEX(Variables!$D$5:$D$65,MATCH($A580,Variables!$A$5:$A$65,0))="","","."&amp;INDEX(Variables!$D$5:$D$65,MATCH($A580,Variables!$A$5:$A$65,0)))&amp;"."&amp;K$5</f>
        <v/>
      </c>
      <c r="L580" s="38">
        <f>INDEX(L$124:L$127,$D580)*$E580*INDEX(L$128:L$144,$F580)</f>
        <v/>
      </c>
      <c r="M580" s="36">
        <f>INDEX(M$124:M$127,$D580)*$E580*INDEX(M$128:M$144,$F580)</f>
        <v/>
      </c>
      <c r="N580" s="36">
        <f>INDEX(N$124:N$127,$D580)*$E580*INDEX(N$128:N$144,$F580)</f>
        <v/>
      </c>
      <c r="O580" s="36">
        <f>INDEX(O$124:O$127,$D580)*$E580*INDEX(O$128:O$144,$F580)</f>
        <v/>
      </c>
      <c r="P580" s="36">
        <f>INDEX(P$124:P$127,$D580)*$E580*INDEX(P$128:P$144,$F580)</f>
        <v/>
      </c>
      <c r="Q580" s="36">
        <f>INDEX(Q$124:Q$127,$D580)*$E580*INDEX(Q$128:Q$144,$F580)</f>
        <v/>
      </c>
      <c r="R580" s="36">
        <f>INDEX(R$124:R$127,$D580)*$E580*INDEX(R$128:R$144,$F580)</f>
        <v/>
      </c>
      <c r="S580" s="36">
        <f>INDEX(S$124:S$127,$D580)*$E580*INDEX(S$128:S$144,$F580)</f>
        <v/>
      </c>
      <c r="T580" s="36">
        <f>INDEX(T$124:T$127,$D580)*$E580*INDEX(T$128:T$144,$F580)</f>
        <v/>
      </c>
      <c r="U580" s="36">
        <f>INDEX(U$124:U$127,$D580)*$E580*INDEX(U$128:U$144,$F580)</f>
        <v/>
      </c>
      <c r="V580" s="36">
        <f>INDEX(V$124:V$127,$D580)*$E580*INDEX(V$128:V$144,$F580)</f>
        <v/>
      </c>
      <c r="W580" s="36">
        <f>INDEX(W$124:W$127,$D580)*$E580*INDEX(W$128:W$144,$F580)</f>
        <v/>
      </c>
      <c r="X580" s="36">
        <f>INDEX(X$124:X$127,$D580)*$E580*INDEX(X$128:X$144,$F580)</f>
        <v/>
      </c>
      <c r="Y580" s="36">
        <f>INDEX(Y$124:Y$127,$D580)*$E580*INDEX(Y$128:Y$144,$F580)</f>
        <v/>
      </c>
      <c r="Z580" s="23">
        <f>LOWER(Settings!$C$4)&amp;".mit."&amp;$A580&amp;IF($C580="","","."&amp;$C580&amp;"."&amp;$B580)&amp;IF(INDEX(Variables!$D$5:$D$65,MATCH($A580,Variables!$A$5:$A$65,0))="","","."&amp;INDEX(Variables!$D$5:$D$65,MATCH($A580,Variables!$A$5:$A$65,0)))&amp;"."&amp;Z$5</f>
        <v/>
      </c>
      <c r="AA580" s="38">
        <f>INDEX(AA$124:AA$127,$D580)*$E580*INDEX(AA$128:AA$144,$F580)</f>
        <v/>
      </c>
      <c r="AB580" s="36">
        <f>INDEX(AB$124:AB$127,$D580)*$E580*INDEX(AB$128:AB$144,$F580)</f>
        <v/>
      </c>
      <c r="AC580" s="36">
        <f>INDEX(AC$124:AC$127,$D580)*$E580*INDEX(AC$128:AC$144,$F580)</f>
        <v/>
      </c>
      <c r="AD580" s="36">
        <f>INDEX(AD$124:AD$127,$D580)*$E580*INDEX(AD$128:AD$144,$F580)</f>
        <v/>
      </c>
      <c r="AE580" s="36">
        <f>INDEX(AE$124:AE$127,$D580)*$E580*INDEX(AE$128:AE$144,$F580)</f>
        <v/>
      </c>
      <c r="AF580" s="36">
        <f>INDEX(AF$124:AF$127,$D580)*$E580*INDEX(AF$128:AF$144,$F580)</f>
        <v/>
      </c>
      <c r="AG580" s="36">
        <f>INDEX(AG$124:AG$127,$D580)*$E580*INDEX(AG$128:AG$144,$F580)</f>
        <v/>
      </c>
      <c r="AH580" s="36">
        <f>INDEX(AH$124:AH$127,$D580)*$E580*INDEX(AH$128:AH$144,$F580)</f>
        <v/>
      </c>
      <c r="AI580" s="36">
        <f>INDEX(AI$124:AI$127,$D580)*$E580*INDEX(AI$128:AI$144,$F580)</f>
        <v/>
      </c>
      <c r="AJ580" s="36">
        <f>INDEX(AJ$124:AJ$127,$D580)*$E580*INDEX(AJ$128:AJ$144,$F580)</f>
        <v/>
      </c>
      <c r="AK580" s="36">
        <f>INDEX(AK$124:AK$127,$D580)*$E580*INDEX(AK$128:AK$144,$F580)</f>
        <v/>
      </c>
      <c r="AL580" s="36">
        <f>INDEX(AL$124:AL$127,$D580)*$E580*INDEX(AL$128:AL$144,$F580)</f>
        <v/>
      </c>
      <c r="AM580" s="36">
        <f>INDEX(AM$124:AM$127,$D580)*$E580*INDEX(AM$128:AM$144,$F580)</f>
        <v/>
      </c>
      <c r="AN580" s="36">
        <f>INDEX(AN$124:AN$127,$D580)*$E580*INDEX(AN$128:AN$144,$F580)</f>
        <v/>
      </c>
    </row>
    <row r="581" hidden="1" outlineLevel="2">
      <c r="A581" s="5" t="inlineStr">
        <is>
          <t>shp</t>
        </is>
      </c>
      <c r="B581" s="5" t="inlineStr">
        <is>
          <t>bio</t>
        </is>
      </c>
      <c r="C581" s="5" t="inlineStr">
        <is>
          <t>foo</t>
        </is>
      </c>
      <c r="D581" s="36">
        <f>INDEX(Inputs!$M$5:$M$132,MATCH($B581&amp;"|"&amp;$C581,Inputs!$A$5:$A$132,0))</f>
        <v/>
      </c>
      <c r="E581" s="36">
        <f>INDEX(Inputs!$U$5:$U$132,MATCH($B581&amp;"|"&amp;$C581,Inputs!$A$5:$A$132,0))</f>
        <v/>
      </c>
      <c r="F581" s="36">
        <f>INDEX(Inputs!$K$5:$K$132,MATCH($B581&amp;"|"&amp;$C581,Inputs!$A$5:$A$132,0))</f>
        <v/>
      </c>
      <c r="G581" s="37" t="n"/>
      <c r="H581" s="5">
        <f>INDEX(Variables!$B$5:$B$65,MATCH($A581,Variables!$A$5:$A$65,0))&amp;IF($C581="",""," | "&amp;INDEX(Mapping!$B$5:$B$25,MATCH($C581,Mapping!$A$5:$A$25,0))&amp;" | "&amp;INDEX(Mapping!$B$29:$B$38,MATCH($B581,Mapping!$A$29:$A$38,0)))</f>
        <v/>
      </c>
      <c r="I581" s="5">
        <f>INDEX(Variables!$C$5:$C$65,MATCH($A581,Variables!$A$5:$A$65,0))</f>
        <v/>
      </c>
      <c r="J581" s="5">
        <f>INDEX(Variables!$E$5:$E$65,MATCH($A581,Variables!$A$5:$A$65,0))</f>
        <v/>
      </c>
      <c r="K581" s="23">
        <f>LOWER(Settings!$C$4)&amp;".mit."&amp;$A581&amp;IF($C581="","","."&amp;$C581&amp;"."&amp;$B581)&amp;IF(INDEX(Variables!$D$5:$D$65,MATCH($A581,Variables!$A$5:$A$65,0))="","","."&amp;INDEX(Variables!$D$5:$D$65,MATCH($A581,Variables!$A$5:$A$65,0)))&amp;"."&amp;K$5</f>
        <v/>
      </c>
      <c r="L581" s="38">
        <f>INDEX(L$124:L$127,$D581)*$E581*INDEX(L$128:L$144,$F581)</f>
        <v/>
      </c>
      <c r="M581" s="36">
        <f>INDEX(M$124:M$127,$D581)*$E581*INDEX(M$128:M$144,$F581)</f>
        <v/>
      </c>
      <c r="N581" s="36">
        <f>INDEX(N$124:N$127,$D581)*$E581*INDEX(N$128:N$144,$F581)</f>
        <v/>
      </c>
      <c r="O581" s="36">
        <f>INDEX(O$124:O$127,$D581)*$E581*INDEX(O$128:O$144,$F581)</f>
        <v/>
      </c>
      <c r="P581" s="36">
        <f>INDEX(P$124:P$127,$D581)*$E581*INDEX(P$128:P$144,$F581)</f>
        <v/>
      </c>
      <c r="Q581" s="36">
        <f>INDEX(Q$124:Q$127,$D581)*$E581*INDEX(Q$128:Q$144,$F581)</f>
        <v/>
      </c>
      <c r="R581" s="36">
        <f>INDEX(R$124:R$127,$D581)*$E581*INDEX(R$128:R$144,$F581)</f>
        <v/>
      </c>
      <c r="S581" s="36">
        <f>INDEX(S$124:S$127,$D581)*$E581*INDEX(S$128:S$144,$F581)</f>
        <v/>
      </c>
      <c r="T581" s="36">
        <f>INDEX(T$124:T$127,$D581)*$E581*INDEX(T$128:T$144,$F581)</f>
        <v/>
      </c>
      <c r="U581" s="36">
        <f>INDEX(U$124:U$127,$D581)*$E581*INDEX(U$128:U$144,$F581)</f>
        <v/>
      </c>
      <c r="V581" s="36">
        <f>INDEX(V$124:V$127,$D581)*$E581*INDEX(V$128:V$144,$F581)</f>
        <v/>
      </c>
      <c r="W581" s="36">
        <f>INDEX(W$124:W$127,$D581)*$E581*INDEX(W$128:W$144,$F581)</f>
        <v/>
      </c>
      <c r="X581" s="36">
        <f>INDEX(X$124:X$127,$D581)*$E581*INDEX(X$128:X$144,$F581)</f>
        <v/>
      </c>
      <c r="Y581" s="36">
        <f>INDEX(Y$124:Y$127,$D581)*$E581*INDEX(Y$128:Y$144,$F581)</f>
        <v/>
      </c>
      <c r="Z581" s="23">
        <f>LOWER(Settings!$C$4)&amp;".mit."&amp;$A581&amp;IF($C581="","","."&amp;$C581&amp;"."&amp;$B581)&amp;IF(INDEX(Variables!$D$5:$D$65,MATCH($A581,Variables!$A$5:$A$65,0))="","","."&amp;INDEX(Variables!$D$5:$D$65,MATCH($A581,Variables!$A$5:$A$65,0)))&amp;"."&amp;Z$5</f>
        <v/>
      </c>
      <c r="AA581" s="38">
        <f>INDEX(AA$124:AA$127,$D581)*$E581*INDEX(AA$128:AA$144,$F581)</f>
        <v/>
      </c>
      <c r="AB581" s="36">
        <f>INDEX(AB$124:AB$127,$D581)*$E581*INDEX(AB$128:AB$144,$F581)</f>
        <v/>
      </c>
      <c r="AC581" s="36">
        <f>INDEX(AC$124:AC$127,$D581)*$E581*INDEX(AC$128:AC$144,$F581)</f>
        <v/>
      </c>
      <c r="AD581" s="36">
        <f>INDEX(AD$124:AD$127,$D581)*$E581*INDEX(AD$128:AD$144,$F581)</f>
        <v/>
      </c>
      <c r="AE581" s="36">
        <f>INDEX(AE$124:AE$127,$D581)*$E581*INDEX(AE$128:AE$144,$F581)</f>
        <v/>
      </c>
      <c r="AF581" s="36">
        <f>INDEX(AF$124:AF$127,$D581)*$E581*INDEX(AF$128:AF$144,$F581)</f>
        <v/>
      </c>
      <c r="AG581" s="36">
        <f>INDEX(AG$124:AG$127,$D581)*$E581*INDEX(AG$128:AG$144,$F581)</f>
        <v/>
      </c>
      <c r="AH581" s="36">
        <f>INDEX(AH$124:AH$127,$D581)*$E581*INDEX(AH$128:AH$144,$F581)</f>
        <v/>
      </c>
      <c r="AI581" s="36">
        <f>INDEX(AI$124:AI$127,$D581)*$E581*INDEX(AI$128:AI$144,$F581)</f>
        <v/>
      </c>
      <c r="AJ581" s="36">
        <f>INDEX(AJ$124:AJ$127,$D581)*$E581*INDEX(AJ$128:AJ$144,$F581)</f>
        <v/>
      </c>
      <c r="AK581" s="36">
        <f>INDEX(AK$124:AK$127,$D581)*$E581*INDEX(AK$128:AK$144,$F581)</f>
        <v/>
      </c>
      <c r="AL581" s="36">
        <f>INDEX(AL$124:AL$127,$D581)*$E581*INDEX(AL$128:AL$144,$F581)</f>
        <v/>
      </c>
      <c r="AM581" s="36">
        <f>INDEX(AM$124:AM$127,$D581)*$E581*INDEX(AM$128:AM$144,$F581)</f>
        <v/>
      </c>
      <c r="AN581" s="36">
        <f>INDEX(AN$124:AN$127,$D581)*$E581*INDEX(AN$128:AN$144,$F581)</f>
        <v/>
      </c>
    </row>
    <row r="582" hidden="1" outlineLevel="2"/>
    <row r="583" hidden="1" outlineLevel="2">
      <c r="A583" s="5" t="inlineStr">
        <is>
          <t>ener</t>
        </is>
      </c>
      <c r="B583" s="5" t="inlineStr">
        <is>
          <t>coa</t>
        </is>
      </c>
      <c r="C583" s="5" t="inlineStr">
        <is>
          <t>foo</t>
        </is>
      </c>
      <c r="D583" s="36">
        <f>INDEX(Inputs!$N$5:$N$132,MATCH($B583&amp;"|"&amp;$C583,Inputs!$A$5:$A$132,0))</f>
        <v/>
      </c>
      <c r="E583" s="36">
        <f>INDEX(Inputs!$O$5:$O$132,MATCH($B583&amp;"|"&amp;$C583,Inputs!$A$5:$A$132,0))</f>
        <v/>
      </c>
      <c r="F583" s="36">
        <f>INDEX(Inputs!$P$5:$P$132,MATCH($B583&amp;"|"&amp;$C583,Inputs!$A$5:$A$132,0))</f>
        <v/>
      </c>
      <c r="G583" s="36">
        <f>INDEX(Inputs!$Q$5:$Q$132,MATCH($B583&amp;"|"&amp;$C583,Inputs!$A$5:$A$132,0))</f>
        <v/>
      </c>
      <c r="H583" s="5">
        <f>INDEX(Variables!$B$5:$B$65,MATCH($A583,Variables!$A$5:$A$65,0))&amp;IF($C583="",""," | "&amp;INDEX(Mapping!$B$5:$B$25,MATCH($C583,Mapping!$A$5:$A$25,0))&amp;" | "&amp;INDEX(Mapping!$B$29:$B$38,MATCH($B583,Mapping!$A$29:$A$38,0)))</f>
        <v/>
      </c>
      <c r="I583" s="5">
        <f>INDEX(Variables!$C$5:$C$65,MATCH($A583,Variables!$A$5:$A$65,0))</f>
        <v/>
      </c>
      <c r="J583" s="5">
        <f>INDEX(Variables!$E$5:$E$65,MATCH($A583,Variables!$A$5:$A$65,0))</f>
        <v/>
      </c>
      <c r="K583" s="23">
        <f>LOWER(Settings!$C$4)&amp;".mit."&amp;$A583&amp;IF($C583="","","."&amp;$C583&amp;"."&amp;$B583)&amp;IF(INDEX(Variables!$D$5:$D$65,MATCH($A583,Variables!$A$5:$A$65,0))="","","."&amp;INDEX(Variables!$D$5:$D$65,MATCH($A583,Variables!$A$5:$A$65,0)))&amp;"."&amp;K$5</f>
        <v/>
      </c>
      <c r="L583" s="40">
        <f>INDEX(Inputs!$V$5:$V$132,MATCH($B583&amp;"|"&amp;$C583,Inputs!$A$5:$A$132,0))</f>
        <v/>
      </c>
      <c r="M583" s="41">
        <f>L583*(1/(1+$G583))^(1+$E583)*(1+M$7)^$D583*(M565/L565)^$E583*((M565+M574)/(L565+L574))^($F583*(1+$E583))</f>
        <v/>
      </c>
      <c r="N583" s="41">
        <f>M583*(1/(1+$G583))^(1+$E583)*(1+N$7)^$D583*(N565/M565)^$E583*((N565+N574)/(M565+M574))^($F583*(1+$E583))</f>
        <v/>
      </c>
      <c r="O583" s="41">
        <f>N583*(1/(1+$G583))^(1+$E583)*(1+O$7)^$D583*(O565/N565)^$E583*((O565+O574)/(N565+N574))^($F583*(1+$E583))</f>
        <v/>
      </c>
      <c r="P583" s="41">
        <f>O583*(1/(1+$G583))^(1+$E583)*(1+P$7)^$D583*(P565/O565)^$E583*((P565+P574)/(O565+O574))^($F583*(1+$E583))</f>
        <v/>
      </c>
      <c r="Q583" s="41">
        <f>P583*(1/(1+$G583))^(1+$E583)*(1+Q$7)^$D583*(Q565/P565)^$E583*((Q565+Q574)/(P565+P574))^($F583*(1+$E583))</f>
        <v/>
      </c>
      <c r="R583" s="41">
        <f>Q583*(1/(1+$G583))^(1+$E583)*(1+R$7)^$D583*(R565/Q565)^$E583*((R565+R574)/(Q565+Q574))^($F583*(1+$E583))</f>
        <v/>
      </c>
      <c r="S583" s="41">
        <f>R583*(1/(1+$G583))^(1+$E583)*(1+S$7)^$D583*(S565/R565)^$E583*((S565+S574)/(R565+R574))^($F583*(1+$E583))</f>
        <v/>
      </c>
      <c r="T583" s="41">
        <f>S583*(1/(1+$G583))^(1+$E583)*(1+T$7)^$D583*(T565/S565)^$E583*((T565+T574)/(S565+S574))^($F583*(1+$E583))</f>
        <v/>
      </c>
      <c r="U583" s="41">
        <f>T583*(1/(1+$G583))^(1+$E583)*(1+U$7)^$D583*(U565/T565)^$E583*((U565+U574)/(T565+T574))^($F583*(1+$E583))</f>
        <v/>
      </c>
      <c r="V583" s="41">
        <f>U583*(1/(1+$G583))^(1+$E583)*(1+V$7)^$D583*(V565/U565)^$E583*((V565+V574)/(U565+U574))^($F583*(1+$E583))</f>
        <v/>
      </c>
      <c r="W583" s="41">
        <f>V583*(1/(1+$G583))^(1+$E583)*(1+W$7)^$D583*(W565/V565)^$E583*((W565+W574)/(V565+V574))^($F583*(1+$E583))</f>
        <v/>
      </c>
      <c r="X583" s="41">
        <f>W583*(1/(1+$G583))^(1+$E583)*(1+X$7)^$D583*(X565/W565)^$E583*((X565+X574)/(W565+W574))^($F583*(1+$E583))</f>
        <v/>
      </c>
      <c r="Y583" s="42">
        <f>FUELUSE(X583,Y565,X565,Y574,X574,Y$7,$D583,$E583,$F583,$G583)</f>
        <v/>
      </c>
      <c r="Z583" s="23">
        <f>LOWER(Settings!$C$4)&amp;".mit."&amp;$A583&amp;IF($C583="","","."&amp;$C583&amp;"."&amp;$B583)&amp;IF(INDEX(Variables!$D$5:$D$65,MATCH($A583,Variables!$A$5:$A$65,0))="","","."&amp;INDEX(Variables!$D$5:$D$65,MATCH($A583,Variables!$A$5:$A$65,0)))&amp;"."&amp;Z$5</f>
        <v/>
      </c>
      <c r="AA583" s="40">
        <f>INDEX(Inputs!$V$5:$V$132,MATCH($B583&amp;"|"&amp;$C583,Inputs!$A$5:$A$132,0))</f>
        <v/>
      </c>
      <c r="AB583" s="41">
        <f>AA583*(1/(1+$G583))^(1+$E583)*(1+AB$7)^$D583*(AB565/AA565)^$E583*((AB565+AB574)/(AA565+AA574))^($F583*(1+$E583))</f>
        <v/>
      </c>
      <c r="AC583" s="41">
        <f>AB583*(1/(1+$G583))^(1+$E583)*(1+AC$7)^$D583*(AC565/AB565)^$E583*((AC565+AC574)/(AB565+AB574))^($F583*(1+$E583))</f>
        <v/>
      </c>
      <c r="AD583" s="41">
        <f>AC583*(1/(1+$G583))^(1+$E583)*(1+AD$7)^$D583*(AD565/AC565)^$E583*((AD565+AD574)/(AC565+AC574))^($F583*(1+$E583))</f>
        <v/>
      </c>
      <c r="AE583" s="41">
        <f>AD583*(1/(1+$G583))^(1+$E583)*(1+AE$7)^$D583*(AE565/AD565)^$E583*((AE565+AE574)/(AD565+AD574))^($F583*(1+$E583))</f>
        <v/>
      </c>
      <c r="AF583" s="41">
        <f>AE583*(1/(1+$G583))^(1+$E583)*(1+AF$7)^$D583*(AF565/AE565)^$E583*((AF565+AF574)/(AE565+AE574))^($F583*(1+$E583))</f>
        <v/>
      </c>
      <c r="AG583" s="41">
        <f>AF583*(1/(1+$G583))^(1+$E583)*(1+AG$7)^$D583*(AG565/AF565)^$E583*((AG565+AG574)/(AF565+AF574))^($F583*(1+$E583))</f>
        <v/>
      </c>
      <c r="AH583" s="41">
        <f>AG583*(1/(1+$G583))^(1+$E583)*(1+AH$7)^$D583*(AH565/AG565)^$E583*((AH565+AH574)/(AG565+AG574))^($F583*(1+$E583))</f>
        <v/>
      </c>
      <c r="AI583" s="41">
        <f>AH583*(1/(1+$G583))^(1+$E583)*(1+AI$7)^$D583*(AI565/AH565)^$E583*((AI565+AI574)/(AH565+AH574))^($F583*(1+$E583))</f>
        <v/>
      </c>
      <c r="AJ583" s="41">
        <f>AI583*(1/(1+$G583))^(1+$E583)*(1+AJ$7)^$D583*(AJ565/AI565)^$E583*((AJ565+AJ574)/(AI565+AI574))^($F583*(1+$E583))</f>
        <v/>
      </c>
      <c r="AK583" s="41">
        <f>AJ583*(1/(1+$G583))^(1+$E583)*(1+AK$7)^$D583*(AK565/AJ565)^$E583*((AK565+AK574)/(AJ565+AJ574))^($F583*(1+$E583))</f>
        <v/>
      </c>
      <c r="AL583" s="41">
        <f>AK583*(1/(1+$G583))^(1+$E583)*(1+AL$7)^$D583*(AL565/AK565)^$E583*((AL565+AL574)/(AK565+AK574))^($F583*(1+$E583))</f>
        <v/>
      </c>
      <c r="AM583" s="41">
        <f>AL583*(1/(1+$G583))^(1+$E583)*(1+AM$7)^$D583*(AM565/AL565)^$E583*((AM565+AM574)/(AL565+AL574))^($F583*(1+$E583))</f>
        <v/>
      </c>
      <c r="AN583" s="42">
        <f>FUELUSE(AM583,AN565,AM565,AN574,AM574,AN$7,$D583,$E583,$F583,$G583)</f>
        <v/>
      </c>
    </row>
    <row r="584" hidden="1" outlineLevel="2">
      <c r="A584" s="5" t="inlineStr">
        <is>
          <t>ener</t>
        </is>
      </c>
      <c r="B584" s="5" t="inlineStr">
        <is>
          <t>nga</t>
        </is>
      </c>
      <c r="C584" s="5" t="inlineStr">
        <is>
          <t>foo</t>
        </is>
      </c>
      <c r="D584" s="36">
        <f>INDEX(Inputs!$N$5:$N$132,MATCH($B584&amp;"|"&amp;$C584,Inputs!$A$5:$A$132,0))</f>
        <v/>
      </c>
      <c r="E584" s="36">
        <f>INDEX(Inputs!$O$5:$O$132,MATCH($B584&amp;"|"&amp;$C584,Inputs!$A$5:$A$132,0))</f>
        <v/>
      </c>
      <c r="F584" s="36">
        <f>INDEX(Inputs!$P$5:$P$132,MATCH($B584&amp;"|"&amp;$C584,Inputs!$A$5:$A$132,0))</f>
        <v/>
      </c>
      <c r="G584" s="36">
        <f>INDEX(Inputs!$Q$5:$Q$132,MATCH($B584&amp;"|"&amp;$C584,Inputs!$A$5:$A$132,0))</f>
        <v/>
      </c>
      <c r="H584" s="5">
        <f>INDEX(Variables!$B$5:$B$65,MATCH($A584,Variables!$A$5:$A$65,0))&amp;IF($C584="",""," | "&amp;INDEX(Mapping!$B$5:$B$25,MATCH($C584,Mapping!$A$5:$A$25,0))&amp;" | "&amp;INDEX(Mapping!$B$29:$B$38,MATCH($B584,Mapping!$A$29:$A$38,0)))</f>
        <v/>
      </c>
      <c r="I584" s="5">
        <f>INDEX(Variables!$C$5:$C$65,MATCH($A584,Variables!$A$5:$A$65,0))</f>
        <v/>
      </c>
      <c r="J584" s="5">
        <f>INDEX(Variables!$E$5:$E$65,MATCH($A584,Variables!$A$5:$A$65,0))</f>
        <v/>
      </c>
      <c r="K584" s="23">
        <f>LOWER(Settings!$C$4)&amp;".mit."&amp;$A584&amp;IF($C584="","","."&amp;$C584&amp;"."&amp;$B584)&amp;IF(INDEX(Variables!$D$5:$D$65,MATCH($A584,Variables!$A$5:$A$65,0))="","","."&amp;INDEX(Variables!$D$5:$D$65,MATCH($A584,Variables!$A$5:$A$65,0)))&amp;"."&amp;K$5</f>
        <v/>
      </c>
      <c r="L584" s="40">
        <f>INDEX(Inputs!$V$5:$V$132,MATCH($B584&amp;"|"&amp;$C584,Inputs!$A$5:$A$132,0))</f>
        <v/>
      </c>
      <c r="M584" s="41">
        <f>L584*(1/(1+$G584))^(1+$E584)*(1+M$7)^$D584*(M566/L566)^$E584*((M566+M575)/(L566+L575))^($F584*(1+$E584))</f>
        <v/>
      </c>
      <c r="N584" s="41">
        <f>M584*(1/(1+$G584))^(1+$E584)*(1+N$7)^$D584*(N566/M566)^$E584*((N566+N575)/(M566+M575))^($F584*(1+$E584))</f>
        <v/>
      </c>
      <c r="O584" s="41">
        <f>N584*(1/(1+$G584))^(1+$E584)*(1+O$7)^$D584*(O566/N566)^$E584*((O566+O575)/(N566+N575))^($F584*(1+$E584))</f>
        <v/>
      </c>
      <c r="P584" s="41">
        <f>O584*(1/(1+$G584))^(1+$E584)*(1+P$7)^$D584*(P566/O566)^$E584*((P566+P575)/(O566+O575))^($F584*(1+$E584))</f>
        <v/>
      </c>
      <c r="Q584" s="41">
        <f>P584*(1/(1+$G584))^(1+$E584)*(1+Q$7)^$D584*(Q566/P566)^$E584*((Q566+Q575)/(P566+P575))^($F584*(1+$E584))</f>
        <v/>
      </c>
      <c r="R584" s="41">
        <f>Q584*(1/(1+$G584))^(1+$E584)*(1+R$7)^$D584*(R566/Q566)^$E584*((R566+R575)/(Q566+Q575))^($F584*(1+$E584))</f>
        <v/>
      </c>
      <c r="S584" s="41">
        <f>R584*(1/(1+$G584))^(1+$E584)*(1+S$7)^$D584*(S566/R566)^$E584*((S566+S575)/(R566+R575))^($F584*(1+$E584))</f>
        <v/>
      </c>
      <c r="T584" s="41">
        <f>S584*(1/(1+$G584))^(1+$E584)*(1+T$7)^$D584*(T566/S566)^$E584*((T566+T575)/(S566+S575))^($F584*(1+$E584))</f>
        <v/>
      </c>
      <c r="U584" s="41">
        <f>T584*(1/(1+$G584))^(1+$E584)*(1+U$7)^$D584*(U566/T566)^$E584*((U566+U575)/(T566+T575))^($F584*(1+$E584))</f>
        <v/>
      </c>
      <c r="V584" s="41">
        <f>U584*(1/(1+$G584))^(1+$E584)*(1+V$7)^$D584*(V566/U566)^$E584*((V566+V575)/(U566+U575))^($F584*(1+$E584))</f>
        <v/>
      </c>
      <c r="W584" s="41">
        <f>V584*(1/(1+$G584))^(1+$E584)*(1+W$7)^$D584*(W566/V566)^$E584*((W566+W575)/(V566+V575))^($F584*(1+$E584))</f>
        <v/>
      </c>
      <c r="X584" s="41">
        <f>W584*(1/(1+$G584))^(1+$E584)*(1+X$7)^$D584*(X566/W566)^$E584*((X566+X575)/(W566+W575))^($F584*(1+$E584))</f>
        <v/>
      </c>
      <c r="Y584" s="42">
        <f>FUELUSE(X584,Y566,X566,Y575,X575,Y$7,$D584,$E584,$F584,$G584)</f>
        <v/>
      </c>
      <c r="Z584" s="23">
        <f>LOWER(Settings!$C$4)&amp;".mit."&amp;$A584&amp;IF($C584="","","."&amp;$C584&amp;"."&amp;$B584)&amp;IF(INDEX(Variables!$D$5:$D$65,MATCH($A584,Variables!$A$5:$A$65,0))="","","."&amp;INDEX(Variables!$D$5:$D$65,MATCH($A584,Variables!$A$5:$A$65,0)))&amp;"."&amp;Z$5</f>
        <v/>
      </c>
      <c r="AA584" s="40">
        <f>INDEX(Inputs!$V$5:$V$132,MATCH($B584&amp;"|"&amp;$C584,Inputs!$A$5:$A$132,0))</f>
        <v/>
      </c>
      <c r="AB584" s="41">
        <f>AA584*(1/(1+$G584))^(1+$E584)*(1+AB$7)^$D584*(AB566/AA566)^$E584*((AB566+AB575)/(AA566+AA575))^($F584*(1+$E584))</f>
        <v/>
      </c>
      <c r="AC584" s="41">
        <f>AB584*(1/(1+$G584))^(1+$E584)*(1+AC$7)^$D584*(AC566/AB566)^$E584*((AC566+AC575)/(AB566+AB575))^($F584*(1+$E584))</f>
        <v/>
      </c>
      <c r="AD584" s="41">
        <f>AC584*(1/(1+$G584))^(1+$E584)*(1+AD$7)^$D584*(AD566/AC566)^$E584*((AD566+AD575)/(AC566+AC575))^($F584*(1+$E584))</f>
        <v/>
      </c>
      <c r="AE584" s="41">
        <f>AD584*(1/(1+$G584))^(1+$E584)*(1+AE$7)^$D584*(AE566/AD566)^$E584*((AE566+AE575)/(AD566+AD575))^($F584*(1+$E584))</f>
        <v/>
      </c>
      <c r="AF584" s="41">
        <f>AE584*(1/(1+$G584))^(1+$E584)*(1+AF$7)^$D584*(AF566/AE566)^$E584*((AF566+AF575)/(AE566+AE575))^($F584*(1+$E584))</f>
        <v/>
      </c>
      <c r="AG584" s="41">
        <f>AF584*(1/(1+$G584))^(1+$E584)*(1+AG$7)^$D584*(AG566/AF566)^$E584*((AG566+AG575)/(AF566+AF575))^($F584*(1+$E584))</f>
        <v/>
      </c>
      <c r="AH584" s="41">
        <f>AG584*(1/(1+$G584))^(1+$E584)*(1+AH$7)^$D584*(AH566/AG566)^$E584*((AH566+AH575)/(AG566+AG575))^($F584*(1+$E584))</f>
        <v/>
      </c>
      <c r="AI584" s="41">
        <f>AH584*(1/(1+$G584))^(1+$E584)*(1+AI$7)^$D584*(AI566/AH566)^$E584*((AI566+AI575)/(AH566+AH575))^($F584*(1+$E584))</f>
        <v/>
      </c>
      <c r="AJ584" s="41">
        <f>AI584*(1/(1+$G584))^(1+$E584)*(1+AJ$7)^$D584*(AJ566/AI566)^$E584*((AJ566+AJ575)/(AI566+AI575))^($F584*(1+$E584))</f>
        <v/>
      </c>
      <c r="AK584" s="41">
        <f>AJ584*(1/(1+$G584))^(1+$E584)*(1+AK$7)^$D584*(AK566/AJ566)^$E584*((AK566+AK575)/(AJ566+AJ575))^($F584*(1+$E584))</f>
        <v/>
      </c>
      <c r="AL584" s="41">
        <f>AK584*(1/(1+$G584))^(1+$E584)*(1+AL$7)^$D584*(AL566/AK566)^$E584*((AL566+AL575)/(AK566+AK575))^($F584*(1+$E584))</f>
        <v/>
      </c>
      <c r="AM584" s="41">
        <f>AL584*(1/(1+$G584))^(1+$E584)*(1+AM$7)^$D584*(AM566/AL566)^$E584*((AM566+AM575)/(AL566+AL575))^($F584*(1+$E584))</f>
        <v/>
      </c>
      <c r="AN584" s="42">
        <f>FUELUSE(AM584,AN566,AM566,AN575,AM575,AN$7,$D584,$E584,$F584,$G584)</f>
        <v/>
      </c>
    </row>
    <row r="585" hidden="1" outlineLevel="2">
      <c r="A585" s="5" t="inlineStr">
        <is>
          <t>ener</t>
        </is>
      </c>
      <c r="B585" s="5" t="inlineStr">
        <is>
          <t>gso</t>
        </is>
      </c>
      <c r="C585" s="5" t="inlineStr">
        <is>
          <t>foo</t>
        </is>
      </c>
      <c r="D585" s="36">
        <f>INDEX(Inputs!$N$5:$N$132,MATCH($B585&amp;"|"&amp;$C585,Inputs!$A$5:$A$132,0))</f>
        <v/>
      </c>
      <c r="E585" s="36">
        <f>INDEX(Inputs!$O$5:$O$132,MATCH($B585&amp;"|"&amp;$C585,Inputs!$A$5:$A$132,0))</f>
        <v/>
      </c>
      <c r="F585" s="36">
        <f>INDEX(Inputs!$P$5:$P$132,MATCH($B585&amp;"|"&amp;$C585,Inputs!$A$5:$A$132,0))</f>
        <v/>
      </c>
      <c r="G585" s="36">
        <f>INDEX(Inputs!$Q$5:$Q$132,MATCH($B585&amp;"|"&amp;$C585,Inputs!$A$5:$A$132,0))</f>
        <v/>
      </c>
      <c r="H585" s="5">
        <f>INDEX(Variables!$B$5:$B$65,MATCH($A585,Variables!$A$5:$A$65,0))&amp;IF($C585="",""," | "&amp;INDEX(Mapping!$B$5:$B$25,MATCH($C585,Mapping!$A$5:$A$25,0))&amp;" | "&amp;INDEX(Mapping!$B$29:$B$38,MATCH($B585,Mapping!$A$29:$A$38,0)))</f>
        <v/>
      </c>
      <c r="I585" s="5">
        <f>INDEX(Variables!$C$5:$C$65,MATCH($A585,Variables!$A$5:$A$65,0))</f>
        <v/>
      </c>
      <c r="J585" s="5">
        <f>INDEX(Variables!$E$5:$E$65,MATCH($A585,Variables!$A$5:$A$65,0))</f>
        <v/>
      </c>
      <c r="K585" s="23">
        <f>LOWER(Settings!$C$4)&amp;".mit."&amp;$A585&amp;IF($C585="","","."&amp;$C585&amp;"."&amp;$B585)&amp;IF(INDEX(Variables!$D$5:$D$65,MATCH($A585,Variables!$A$5:$A$65,0))="","","."&amp;INDEX(Variables!$D$5:$D$65,MATCH($A585,Variables!$A$5:$A$65,0)))&amp;"."&amp;K$5</f>
        <v/>
      </c>
      <c r="L585" s="40">
        <f>INDEX(Inputs!$V$5:$V$132,MATCH($B585&amp;"|"&amp;$C585,Inputs!$A$5:$A$132,0))</f>
        <v/>
      </c>
      <c r="M585" s="41">
        <f>L585*(1/(1+$G585))^(1+$E585)*(1+M$7)^$D585*(M567/L567)^$E585*((M567+M576)/(L567+L576))^($F585*(1+$E585))</f>
        <v/>
      </c>
      <c r="N585" s="41">
        <f>M585*(1/(1+$G585))^(1+$E585)*(1+N$7)^$D585*(N567/M567)^$E585*((N567+N576)/(M567+M576))^($F585*(1+$E585))</f>
        <v/>
      </c>
      <c r="O585" s="41">
        <f>N585*(1/(1+$G585))^(1+$E585)*(1+O$7)^$D585*(O567/N567)^$E585*((O567+O576)/(N567+N576))^($F585*(1+$E585))</f>
        <v/>
      </c>
      <c r="P585" s="41">
        <f>O585*(1/(1+$G585))^(1+$E585)*(1+P$7)^$D585*(P567/O567)^$E585*((P567+P576)/(O567+O576))^($F585*(1+$E585))</f>
        <v/>
      </c>
      <c r="Q585" s="41">
        <f>P585*(1/(1+$G585))^(1+$E585)*(1+Q$7)^$D585*(Q567/P567)^$E585*((Q567+Q576)/(P567+P576))^($F585*(1+$E585))</f>
        <v/>
      </c>
      <c r="R585" s="41">
        <f>Q585*(1/(1+$G585))^(1+$E585)*(1+R$7)^$D585*(R567/Q567)^$E585*((R567+R576)/(Q567+Q576))^($F585*(1+$E585))</f>
        <v/>
      </c>
      <c r="S585" s="41">
        <f>R585*(1/(1+$G585))^(1+$E585)*(1+S$7)^$D585*(S567/R567)^$E585*((S567+S576)/(R567+R576))^($F585*(1+$E585))</f>
        <v/>
      </c>
      <c r="T585" s="41">
        <f>S585*(1/(1+$G585))^(1+$E585)*(1+T$7)^$D585*(T567/S567)^$E585*((T567+T576)/(S567+S576))^($F585*(1+$E585))</f>
        <v/>
      </c>
      <c r="U585" s="41">
        <f>T585*(1/(1+$G585))^(1+$E585)*(1+U$7)^$D585*(U567/T567)^$E585*((U567+U576)/(T567+T576))^($F585*(1+$E585))</f>
        <v/>
      </c>
      <c r="V585" s="41">
        <f>U585*(1/(1+$G585))^(1+$E585)*(1+V$7)^$D585*(V567/U567)^$E585*((V567+V576)/(U567+U576))^($F585*(1+$E585))</f>
        <v/>
      </c>
      <c r="W585" s="41">
        <f>V585*(1/(1+$G585))^(1+$E585)*(1+W$7)^$D585*(W567/V567)^$E585*((W567+W576)/(V567+V576))^($F585*(1+$E585))</f>
        <v/>
      </c>
      <c r="X585" s="41">
        <f>W585*(1/(1+$G585))^(1+$E585)*(1+X$7)^$D585*(X567/W567)^$E585*((X567+X576)/(W567+W576))^($F585*(1+$E585))</f>
        <v/>
      </c>
      <c r="Y585" s="42">
        <f>FUELUSE(X585,Y567,X567,Y576,X576,Y$7,$D585,$E585,$F585,$G585)</f>
        <v/>
      </c>
      <c r="Z585" s="23">
        <f>LOWER(Settings!$C$4)&amp;".mit."&amp;$A585&amp;IF($C585="","","."&amp;$C585&amp;"."&amp;$B585)&amp;IF(INDEX(Variables!$D$5:$D$65,MATCH($A585,Variables!$A$5:$A$65,0))="","","."&amp;INDEX(Variables!$D$5:$D$65,MATCH($A585,Variables!$A$5:$A$65,0)))&amp;"."&amp;Z$5</f>
        <v/>
      </c>
      <c r="AA585" s="40">
        <f>INDEX(Inputs!$V$5:$V$132,MATCH($B585&amp;"|"&amp;$C585,Inputs!$A$5:$A$132,0))</f>
        <v/>
      </c>
      <c r="AB585" s="41">
        <f>AA585*(1/(1+$G585))^(1+$E585)*(1+AB$7)^$D585*(AB567/AA567)^$E585*((AB567+AB576)/(AA567+AA576))^($F585*(1+$E585))</f>
        <v/>
      </c>
      <c r="AC585" s="41">
        <f>AB585*(1/(1+$G585))^(1+$E585)*(1+AC$7)^$D585*(AC567/AB567)^$E585*((AC567+AC576)/(AB567+AB576))^($F585*(1+$E585))</f>
        <v/>
      </c>
      <c r="AD585" s="41">
        <f>AC585*(1/(1+$G585))^(1+$E585)*(1+AD$7)^$D585*(AD567/AC567)^$E585*((AD567+AD576)/(AC567+AC576))^($F585*(1+$E585))</f>
        <v/>
      </c>
      <c r="AE585" s="41">
        <f>AD585*(1/(1+$G585))^(1+$E585)*(1+AE$7)^$D585*(AE567/AD567)^$E585*((AE567+AE576)/(AD567+AD576))^($F585*(1+$E585))</f>
        <v/>
      </c>
      <c r="AF585" s="41">
        <f>AE585*(1/(1+$G585))^(1+$E585)*(1+AF$7)^$D585*(AF567/AE567)^$E585*((AF567+AF576)/(AE567+AE576))^($F585*(1+$E585))</f>
        <v/>
      </c>
      <c r="AG585" s="41">
        <f>AF585*(1/(1+$G585))^(1+$E585)*(1+AG$7)^$D585*(AG567/AF567)^$E585*((AG567+AG576)/(AF567+AF576))^($F585*(1+$E585))</f>
        <v/>
      </c>
      <c r="AH585" s="41">
        <f>AG585*(1/(1+$G585))^(1+$E585)*(1+AH$7)^$D585*(AH567/AG567)^$E585*((AH567+AH576)/(AG567+AG576))^($F585*(1+$E585))</f>
        <v/>
      </c>
      <c r="AI585" s="41">
        <f>AH585*(1/(1+$G585))^(1+$E585)*(1+AI$7)^$D585*(AI567/AH567)^$E585*((AI567+AI576)/(AH567+AH576))^($F585*(1+$E585))</f>
        <v/>
      </c>
      <c r="AJ585" s="41">
        <f>AI585*(1/(1+$G585))^(1+$E585)*(1+AJ$7)^$D585*(AJ567/AI567)^$E585*((AJ567+AJ576)/(AI567+AI576))^($F585*(1+$E585))</f>
        <v/>
      </c>
      <c r="AK585" s="41">
        <f>AJ585*(1/(1+$G585))^(1+$E585)*(1+AK$7)^$D585*(AK567/AJ567)^$E585*((AK567+AK576)/(AJ567+AJ576))^($F585*(1+$E585))</f>
        <v/>
      </c>
      <c r="AL585" s="41">
        <f>AK585*(1/(1+$G585))^(1+$E585)*(1+AL$7)^$D585*(AL567/AK567)^$E585*((AL567+AL576)/(AK567+AK576))^($F585*(1+$E585))</f>
        <v/>
      </c>
      <c r="AM585" s="41">
        <f>AL585*(1/(1+$G585))^(1+$E585)*(1+AM$7)^$D585*(AM567/AL567)^$E585*((AM567+AM576)/(AL567+AL576))^($F585*(1+$E585))</f>
        <v/>
      </c>
      <c r="AN585" s="42">
        <f>FUELUSE(AM585,AN567,AM567,AN576,AM576,AN$7,$D585,$E585,$F585,$G585)</f>
        <v/>
      </c>
    </row>
    <row r="586" hidden="1" outlineLevel="2">
      <c r="A586" s="5" t="inlineStr">
        <is>
          <t>ener</t>
        </is>
      </c>
      <c r="B586" s="5" t="inlineStr">
        <is>
          <t>die</t>
        </is>
      </c>
      <c r="C586" s="5" t="inlineStr">
        <is>
          <t>foo</t>
        </is>
      </c>
      <c r="D586" s="36">
        <f>INDEX(Inputs!$N$5:$N$132,MATCH($B586&amp;"|"&amp;$C586,Inputs!$A$5:$A$132,0))</f>
        <v/>
      </c>
      <c r="E586" s="36">
        <f>INDEX(Inputs!$O$5:$O$132,MATCH($B586&amp;"|"&amp;$C586,Inputs!$A$5:$A$132,0))</f>
        <v/>
      </c>
      <c r="F586" s="36">
        <f>INDEX(Inputs!$P$5:$P$132,MATCH($B586&amp;"|"&amp;$C586,Inputs!$A$5:$A$132,0))</f>
        <v/>
      </c>
      <c r="G586" s="36">
        <f>INDEX(Inputs!$Q$5:$Q$132,MATCH($B586&amp;"|"&amp;$C586,Inputs!$A$5:$A$132,0))</f>
        <v/>
      </c>
      <c r="H586" s="5">
        <f>INDEX(Variables!$B$5:$B$65,MATCH($A586,Variables!$A$5:$A$65,0))&amp;IF($C586="",""," | "&amp;INDEX(Mapping!$B$5:$B$25,MATCH($C586,Mapping!$A$5:$A$25,0))&amp;" | "&amp;INDEX(Mapping!$B$29:$B$38,MATCH($B586,Mapping!$A$29:$A$38,0)))</f>
        <v/>
      </c>
      <c r="I586" s="5">
        <f>INDEX(Variables!$C$5:$C$65,MATCH($A586,Variables!$A$5:$A$65,0))</f>
        <v/>
      </c>
      <c r="J586" s="5">
        <f>INDEX(Variables!$E$5:$E$65,MATCH($A586,Variables!$A$5:$A$65,0))</f>
        <v/>
      </c>
      <c r="K586" s="23">
        <f>LOWER(Settings!$C$4)&amp;".mit."&amp;$A586&amp;IF($C586="","","."&amp;$C586&amp;"."&amp;$B586)&amp;IF(INDEX(Variables!$D$5:$D$65,MATCH($A586,Variables!$A$5:$A$65,0))="","","."&amp;INDEX(Variables!$D$5:$D$65,MATCH($A586,Variables!$A$5:$A$65,0)))&amp;"."&amp;K$5</f>
        <v/>
      </c>
      <c r="L586" s="40">
        <f>INDEX(Inputs!$V$5:$V$132,MATCH($B586&amp;"|"&amp;$C586,Inputs!$A$5:$A$132,0))</f>
        <v/>
      </c>
      <c r="M586" s="41">
        <f>L586*(1/(1+$G586))^(1+$E586)*(1+M$7)^$D586*(M568/L568)^$E586*((M568+M577)/(L568+L577))^($F586*(1+$E586))</f>
        <v/>
      </c>
      <c r="N586" s="41">
        <f>M586*(1/(1+$G586))^(1+$E586)*(1+N$7)^$D586*(N568/M568)^$E586*((N568+N577)/(M568+M577))^($F586*(1+$E586))</f>
        <v/>
      </c>
      <c r="O586" s="41">
        <f>N586*(1/(1+$G586))^(1+$E586)*(1+O$7)^$D586*(O568/N568)^$E586*((O568+O577)/(N568+N577))^($F586*(1+$E586))</f>
        <v/>
      </c>
      <c r="P586" s="41">
        <f>O586*(1/(1+$G586))^(1+$E586)*(1+P$7)^$D586*(P568/O568)^$E586*((P568+P577)/(O568+O577))^($F586*(1+$E586))</f>
        <v/>
      </c>
      <c r="Q586" s="41">
        <f>P586*(1/(1+$G586))^(1+$E586)*(1+Q$7)^$D586*(Q568/P568)^$E586*((Q568+Q577)/(P568+P577))^($F586*(1+$E586))</f>
        <v/>
      </c>
      <c r="R586" s="41">
        <f>Q586*(1/(1+$G586))^(1+$E586)*(1+R$7)^$D586*(R568/Q568)^$E586*((R568+R577)/(Q568+Q577))^($F586*(1+$E586))</f>
        <v/>
      </c>
      <c r="S586" s="41">
        <f>R586*(1/(1+$G586))^(1+$E586)*(1+S$7)^$D586*(S568/R568)^$E586*((S568+S577)/(R568+R577))^($F586*(1+$E586))</f>
        <v/>
      </c>
      <c r="T586" s="41">
        <f>S586*(1/(1+$G586))^(1+$E586)*(1+T$7)^$D586*(T568/S568)^$E586*((T568+T577)/(S568+S577))^($F586*(1+$E586))</f>
        <v/>
      </c>
      <c r="U586" s="41">
        <f>T586*(1/(1+$G586))^(1+$E586)*(1+U$7)^$D586*(U568/T568)^$E586*((U568+U577)/(T568+T577))^($F586*(1+$E586))</f>
        <v/>
      </c>
      <c r="V586" s="41">
        <f>U586*(1/(1+$G586))^(1+$E586)*(1+V$7)^$D586*(V568/U568)^$E586*((V568+V577)/(U568+U577))^($F586*(1+$E586))</f>
        <v/>
      </c>
      <c r="W586" s="41">
        <f>V586*(1/(1+$G586))^(1+$E586)*(1+W$7)^$D586*(W568/V568)^$E586*((W568+W577)/(V568+V577))^($F586*(1+$E586))</f>
        <v/>
      </c>
      <c r="X586" s="41">
        <f>W586*(1/(1+$G586))^(1+$E586)*(1+X$7)^$D586*(X568/W568)^$E586*((X568+X577)/(W568+W577))^($F586*(1+$E586))</f>
        <v/>
      </c>
      <c r="Y586" s="42">
        <f>FUELUSE(X586,Y568,X568,Y577,X577,Y$7,$D586,$E586,$F586,$G586)</f>
        <v/>
      </c>
      <c r="Z586" s="23">
        <f>LOWER(Settings!$C$4)&amp;".mit."&amp;$A586&amp;IF($C586="","","."&amp;$C586&amp;"."&amp;$B586)&amp;IF(INDEX(Variables!$D$5:$D$65,MATCH($A586,Variables!$A$5:$A$65,0))="","","."&amp;INDEX(Variables!$D$5:$D$65,MATCH($A586,Variables!$A$5:$A$65,0)))&amp;"."&amp;Z$5</f>
        <v/>
      </c>
      <c r="AA586" s="40">
        <f>INDEX(Inputs!$V$5:$V$132,MATCH($B586&amp;"|"&amp;$C586,Inputs!$A$5:$A$132,0))</f>
        <v/>
      </c>
      <c r="AB586" s="41">
        <f>AA586*(1/(1+$G586))^(1+$E586)*(1+AB$7)^$D586*(AB568/AA568)^$E586*((AB568+AB577)/(AA568+AA577))^($F586*(1+$E586))</f>
        <v/>
      </c>
      <c r="AC586" s="41">
        <f>AB586*(1/(1+$G586))^(1+$E586)*(1+AC$7)^$D586*(AC568/AB568)^$E586*((AC568+AC577)/(AB568+AB577))^($F586*(1+$E586))</f>
        <v/>
      </c>
      <c r="AD586" s="41">
        <f>AC586*(1/(1+$G586))^(1+$E586)*(1+AD$7)^$D586*(AD568/AC568)^$E586*((AD568+AD577)/(AC568+AC577))^($F586*(1+$E586))</f>
        <v/>
      </c>
      <c r="AE586" s="41">
        <f>AD586*(1/(1+$G586))^(1+$E586)*(1+AE$7)^$D586*(AE568/AD568)^$E586*((AE568+AE577)/(AD568+AD577))^($F586*(1+$E586))</f>
        <v/>
      </c>
      <c r="AF586" s="41">
        <f>AE586*(1/(1+$G586))^(1+$E586)*(1+AF$7)^$D586*(AF568/AE568)^$E586*((AF568+AF577)/(AE568+AE577))^($F586*(1+$E586))</f>
        <v/>
      </c>
      <c r="AG586" s="41">
        <f>AF586*(1/(1+$G586))^(1+$E586)*(1+AG$7)^$D586*(AG568/AF568)^$E586*((AG568+AG577)/(AF568+AF577))^($F586*(1+$E586))</f>
        <v/>
      </c>
      <c r="AH586" s="41">
        <f>AG586*(1/(1+$G586))^(1+$E586)*(1+AH$7)^$D586*(AH568/AG568)^$E586*((AH568+AH577)/(AG568+AG577))^($F586*(1+$E586))</f>
        <v/>
      </c>
      <c r="AI586" s="41">
        <f>AH586*(1/(1+$G586))^(1+$E586)*(1+AI$7)^$D586*(AI568/AH568)^$E586*((AI568+AI577)/(AH568+AH577))^($F586*(1+$E586))</f>
        <v/>
      </c>
      <c r="AJ586" s="41">
        <f>AI586*(1/(1+$G586))^(1+$E586)*(1+AJ$7)^$D586*(AJ568/AI568)^$E586*((AJ568+AJ577)/(AI568+AI577))^($F586*(1+$E586))</f>
        <v/>
      </c>
      <c r="AK586" s="41">
        <f>AJ586*(1/(1+$G586))^(1+$E586)*(1+AK$7)^$D586*(AK568/AJ568)^$E586*((AK568+AK577)/(AJ568+AJ577))^($F586*(1+$E586))</f>
        <v/>
      </c>
      <c r="AL586" s="41">
        <f>AK586*(1/(1+$G586))^(1+$E586)*(1+AL$7)^$D586*(AL568/AK568)^$E586*((AL568+AL577)/(AK568+AK577))^($F586*(1+$E586))</f>
        <v/>
      </c>
      <c r="AM586" s="41">
        <f>AL586*(1/(1+$G586))^(1+$E586)*(1+AM$7)^$D586*(AM568/AL568)^$E586*((AM568+AM577)/(AL568+AL577))^($F586*(1+$E586))</f>
        <v/>
      </c>
      <c r="AN586" s="42">
        <f>FUELUSE(AM586,AN568,AM568,AN577,AM577,AN$7,$D586,$E586,$F586,$G586)</f>
        <v/>
      </c>
    </row>
    <row r="587" hidden="1" outlineLevel="2">
      <c r="A587" s="5" t="inlineStr">
        <is>
          <t>ener</t>
        </is>
      </c>
      <c r="B587" s="5" t="inlineStr">
        <is>
          <t>lpg</t>
        </is>
      </c>
      <c r="C587" s="5" t="inlineStr">
        <is>
          <t>foo</t>
        </is>
      </c>
      <c r="D587" s="36">
        <f>INDEX(Inputs!$N$5:$N$132,MATCH($B587&amp;"|"&amp;$C587,Inputs!$A$5:$A$132,0))</f>
        <v/>
      </c>
      <c r="E587" s="36">
        <f>INDEX(Inputs!$O$5:$O$132,MATCH($B587&amp;"|"&amp;$C587,Inputs!$A$5:$A$132,0))</f>
        <v/>
      </c>
      <c r="F587" s="36">
        <f>INDEX(Inputs!$P$5:$P$132,MATCH($B587&amp;"|"&amp;$C587,Inputs!$A$5:$A$132,0))</f>
        <v/>
      </c>
      <c r="G587" s="36">
        <f>INDEX(Inputs!$Q$5:$Q$132,MATCH($B587&amp;"|"&amp;$C587,Inputs!$A$5:$A$132,0))</f>
        <v/>
      </c>
      <c r="H587" s="5">
        <f>INDEX(Variables!$B$5:$B$65,MATCH($A587,Variables!$A$5:$A$65,0))&amp;IF($C587="",""," | "&amp;INDEX(Mapping!$B$5:$B$25,MATCH($C587,Mapping!$A$5:$A$25,0))&amp;" | "&amp;INDEX(Mapping!$B$29:$B$38,MATCH($B587,Mapping!$A$29:$A$38,0)))</f>
        <v/>
      </c>
      <c r="I587" s="5">
        <f>INDEX(Variables!$C$5:$C$65,MATCH($A587,Variables!$A$5:$A$65,0))</f>
        <v/>
      </c>
      <c r="J587" s="5">
        <f>INDEX(Variables!$E$5:$E$65,MATCH($A587,Variables!$A$5:$A$65,0))</f>
        <v/>
      </c>
      <c r="K587" s="23">
        <f>LOWER(Settings!$C$4)&amp;".mit."&amp;$A587&amp;IF($C587="","","."&amp;$C587&amp;"."&amp;$B587)&amp;IF(INDEX(Variables!$D$5:$D$65,MATCH($A587,Variables!$A$5:$A$65,0))="","","."&amp;INDEX(Variables!$D$5:$D$65,MATCH($A587,Variables!$A$5:$A$65,0)))&amp;"."&amp;K$5</f>
        <v/>
      </c>
      <c r="L587" s="40">
        <f>INDEX(Inputs!$V$5:$V$132,MATCH($B587&amp;"|"&amp;$C587,Inputs!$A$5:$A$132,0))</f>
        <v/>
      </c>
      <c r="M587" s="41">
        <f>L587*(1/(1+$G587))^(1+$E587)*(1+M$7)^$D587*(M569/L569)^$E587*((M569+M578)/(L569+L578))^($F587*(1+$E587))</f>
        <v/>
      </c>
      <c r="N587" s="41">
        <f>M587*(1/(1+$G587))^(1+$E587)*(1+N$7)^$D587*(N569/M569)^$E587*((N569+N578)/(M569+M578))^($F587*(1+$E587))</f>
        <v/>
      </c>
      <c r="O587" s="41">
        <f>N587*(1/(1+$G587))^(1+$E587)*(1+O$7)^$D587*(O569/N569)^$E587*((O569+O578)/(N569+N578))^($F587*(1+$E587))</f>
        <v/>
      </c>
      <c r="P587" s="41">
        <f>O587*(1/(1+$G587))^(1+$E587)*(1+P$7)^$D587*(P569/O569)^$E587*((P569+P578)/(O569+O578))^($F587*(1+$E587))</f>
        <v/>
      </c>
      <c r="Q587" s="41">
        <f>P587*(1/(1+$G587))^(1+$E587)*(1+Q$7)^$D587*(Q569/P569)^$E587*((Q569+Q578)/(P569+P578))^($F587*(1+$E587))</f>
        <v/>
      </c>
      <c r="R587" s="41">
        <f>Q587*(1/(1+$G587))^(1+$E587)*(1+R$7)^$D587*(R569/Q569)^$E587*((R569+R578)/(Q569+Q578))^($F587*(1+$E587))</f>
        <v/>
      </c>
      <c r="S587" s="41">
        <f>R587*(1/(1+$G587))^(1+$E587)*(1+S$7)^$D587*(S569/R569)^$E587*((S569+S578)/(R569+R578))^($F587*(1+$E587))</f>
        <v/>
      </c>
      <c r="T587" s="41">
        <f>S587*(1/(1+$G587))^(1+$E587)*(1+T$7)^$D587*(T569/S569)^$E587*((T569+T578)/(S569+S578))^($F587*(1+$E587))</f>
        <v/>
      </c>
      <c r="U587" s="41">
        <f>T587*(1/(1+$G587))^(1+$E587)*(1+U$7)^$D587*(U569/T569)^$E587*((U569+U578)/(T569+T578))^($F587*(1+$E587))</f>
        <v/>
      </c>
      <c r="V587" s="41">
        <f>U587*(1/(1+$G587))^(1+$E587)*(1+V$7)^$D587*(V569/U569)^$E587*((V569+V578)/(U569+U578))^($F587*(1+$E587))</f>
        <v/>
      </c>
      <c r="W587" s="41">
        <f>V587*(1/(1+$G587))^(1+$E587)*(1+W$7)^$D587*(W569/V569)^$E587*((W569+W578)/(V569+V578))^($F587*(1+$E587))</f>
        <v/>
      </c>
      <c r="X587" s="41">
        <f>W587*(1/(1+$G587))^(1+$E587)*(1+X$7)^$D587*(X569/W569)^$E587*((X569+X578)/(W569+W578))^($F587*(1+$E587))</f>
        <v/>
      </c>
      <c r="Y587" s="42">
        <f>FUELUSE(X587,Y569,X569,Y578,X578,Y$7,$D587,$E587,$F587,$G587)</f>
        <v/>
      </c>
      <c r="Z587" s="23">
        <f>LOWER(Settings!$C$4)&amp;".mit."&amp;$A587&amp;IF($C587="","","."&amp;$C587&amp;"."&amp;$B587)&amp;IF(INDEX(Variables!$D$5:$D$65,MATCH($A587,Variables!$A$5:$A$65,0))="","","."&amp;INDEX(Variables!$D$5:$D$65,MATCH($A587,Variables!$A$5:$A$65,0)))&amp;"."&amp;Z$5</f>
        <v/>
      </c>
      <c r="AA587" s="40">
        <f>INDEX(Inputs!$V$5:$V$132,MATCH($B587&amp;"|"&amp;$C587,Inputs!$A$5:$A$132,0))</f>
        <v/>
      </c>
      <c r="AB587" s="41">
        <f>AA587*(1/(1+$G587))^(1+$E587)*(1+AB$7)^$D587*(AB569/AA569)^$E587*((AB569+AB578)/(AA569+AA578))^($F587*(1+$E587))</f>
        <v/>
      </c>
      <c r="AC587" s="41">
        <f>AB587*(1/(1+$G587))^(1+$E587)*(1+AC$7)^$D587*(AC569/AB569)^$E587*((AC569+AC578)/(AB569+AB578))^($F587*(1+$E587))</f>
        <v/>
      </c>
      <c r="AD587" s="41">
        <f>AC587*(1/(1+$G587))^(1+$E587)*(1+AD$7)^$D587*(AD569/AC569)^$E587*((AD569+AD578)/(AC569+AC578))^($F587*(1+$E587))</f>
        <v/>
      </c>
      <c r="AE587" s="41">
        <f>AD587*(1/(1+$G587))^(1+$E587)*(1+AE$7)^$D587*(AE569/AD569)^$E587*((AE569+AE578)/(AD569+AD578))^($F587*(1+$E587))</f>
        <v/>
      </c>
      <c r="AF587" s="41">
        <f>AE587*(1/(1+$G587))^(1+$E587)*(1+AF$7)^$D587*(AF569/AE569)^$E587*((AF569+AF578)/(AE569+AE578))^($F587*(1+$E587))</f>
        <v/>
      </c>
      <c r="AG587" s="41">
        <f>AF587*(1/(1+$G587))^(1+$E587)*(1+AG$7)^$D587*(AG569/AF569)^$E587*((AG569+AG578)/(AF569+AF578))^($F587*(1+$E587))</f>
        <v/>
      </c>
      <c r="AH587" s="41">
        <f>AG587*(1/(1+$G587))^(1+$E587)*(1+AH$7)^$D587*(AH569/AG569)^$E587*((AH569+AH578)/(AG569+AG578))^($F587*(1+$E587))</f>
        <v/>
      </c>
      <c r="AI587" s="41">
        <f>AH587*(1/(1+$G587))^(1+$E587)*(1+AI$7)^$D587*(AI569/AH569)^$E587*((AI569+AI578)/(AH569+AH578))^($F587*(1+$E587))</f>
        <v/>
      </c>
      <c r="AJ587" s="41">
        <f>AI587*(1/(1+$G587))^(1+$E587)*(1+AJ$7)^$D587*(AJ569/AI569)^$E587*((AJ569+AJ578)/(AI569+AI578))^($F587*(1+$E587))</f>
        <v/>
      </c>
      <c r="AK587" s="41">
        <f>AJ587*(1/(1+$G587))^(1+$E587)*(1+AK$7)^$D587*(AK569/AJ569)^$E587*((AK569+AK578)/(AJ569+AJ578))^($F587*(1+$E587))</f>
        <v/>
      </c>
      <c r="AL587" s="41">
        <f>AK587*(1/(1+$G587))^(1+$E587)*(1+AL$7)^$D587*(AL569/AK569)^$E587*((AL569+AL578)/(AK569+AK578))^($F587*(1+$E587))</f>
        <v/>
      </c>
      <c r="AM587" s="41">
        <f>AL587*(1/(1+$G587))^(1+$E587)*(1+AM$7)^$D587*(AM569/AL569)^$E587*((AM569+AM578)/(AL569+AL578))^($F587*(1+$E587))</f>
        <v/>
      </c>
      <c r="AN587" s="42">
        <f>FUELUSE(AM587,AN569,AM569,AN578,AM578,AN$7,$D587,$E587,$F587,$G587)</f>
        <v/>
      </c>
    </row>
    <row r="588" hidden="1" outlineLevel="2">
      <c r="A588" s="5" t="inlineStr">
        <is>
          <t>ener</t>
        </is>
      </c>
      <c r="B588" s="5" t="inlineStr">
        <is>
          <t>ker</t>
        </is>
      </c>
      <c r="C588" s="5" t="inlineStr">
        <is>
          <t>foo</t>
        </is>
      </c>
      <c r="D588" s="36">
        <f>INDEX(Inputs!$N$5:$N$132,MATCH($B588&amp;"|"&amp;$C588,Inputs!$A$5:$A$132,0))</f>
        <v/>
      </c>
      <c r="E588" s="36">
        <f>INDEX(Inputs!$O$5:$O$132,MATCH($B588&amp;"|"&amp;$C588,Inputs!$A$5:$A$132,0))</f>
        <v/>
      </c>
      <c r="F588" s="36">
        <f>INDEX(Inputs!$P$5:$P$132,MATCH($B588&amp;"|"&amp;$C588,Inputs!$A$5:$A$132,0))</f>
        <v/>
      </c>
      <c r="G588" s="36">
        <f>INDEX(Inputs!$Q$5:$Q$132,MATCH($B588&amp;"|"&amp;$C588,Inputs!$A$5:$A$132,0))</f>
        <v/>
      </c>
      <c r="H588" s="5">
        <f>INDEX(Variables!$B$5:$B$65,MATCH($A588,Variables!$A$5:$A$65,0))&amp;IF($C588="",""," | "&amp;INDEX(Mapping!$B$5:$B$25,MATCH($C588,Mapping!$A$5:$A$25,0))&amp;" | "&amp;INDEX(Mapping!$B$29:$B$38,MATCH($B588,Mapping!$A$29:$A$38,0)))</f>
        <v/>
      </c>
      <c r="I588" s="5">
        <f>INDEX(Variables!$C$5:$C$65,MATCH($A588,Variables!$A$5:$A$65,0))</f>
        <v/>
      </c>
      <c r="J588" s="5">
        <f>INDEX(Variables!$E$5:$E$65,MATCH($A588,Variables!$A$5:$A$65,0))</f>
        <v/>
      </c>
      <c r="K588" s="23">
        <f>LOWER(Settings!$C$4)&amp;".mit."&amp;$A588&amp;IF($C588="","","."&amp;$C588&amp;"."&amp;$B588)&amp;IF(INDEX(Variables!$D$5:$D$65,MATCH($A588,Variables!$A$5:$A$65,0))="","","."&amp;INDEX(Variables!$D$5:$D$65,MATCH($A588,Variables!$A$5:$A$65,0)))&amp;"."&amp;K$5</f>
        <v/>
      </c>
      <c r="L588" s="40">
        <f>INDEX(Inputs!$V$5:$V$132,MATCH($B588&amp;"|"&amp;$C588,Inputs!$A$5:$A$132,0))</f>
        <v/>
      </c>
      <c r="M588" s="41">
        <f>L588*(1/(1+$G588))^(1+$E588)*(1+M$7)^$D588*(M570/L570)^$E588*((M570+M579)/(L570+L579))^($F588*(1+$E588))</f>
        <v/>
      </c>
      <c r="N588" s="41">
        <f>M588*(1/(1+$G588))^(1+$E588)*(1+N$7)^$D588*(N570/M570)^$E588*((N570+N579)/(M570+M579))^($F588*(1+$E588))</f>
        <v/>
      </c>
      <c r="O588" s="41">
        <f>N588*(1/(1+$G588))^(1+$E588)*(1+O$7)^$D588*(O570/N570)^$E588*((O570+O579)/(N570+N579))^($F588*(1+$E588))</f>
        <v/>
      </c>
      <c r="P588" s="41">
        <f>O588*(1/(1+$G588))^(1+$E588)*(1+P$7)^$D588*(P570/O570)^$E588*((P570+P579)/(O570+O579))^($F588*(1+$E588))</f>
        <v/>
      </c>
      <c r="Q588" s="41">
        <f>P588*(1/(1+$G588))^(1+$E588)*(1+Q$7)^$D588*(Q570/P570)^$E588*((Q570+Q579)/(P570+P579))^($F588*(1+$E588))</f>
        <v/>
      </c>
      <c r="R588" s="41">
        <f>Q588*(1/(1+$G588))^(1+$E588)*(1+R$7)^$D588*(R570/Q570)^$E588*((R570+R579)/(Q570+Q579))^($F588*(1+$E588))</f>
        <v/>
      </c>
      <c r="S588" s="41">
        <f>R588*(1/(1+$G588))^(1+$E588)*(1+S$7)^$D588*(S570/R570)^$E588*((S570+S579)/(R570+R579))^($F588*(1+$E588))</f>
        <v/>
      </c>
      <c r="T588" s="41">
        <f>S588*(1/(1+$G588))^(1+$E588)*(1+T$7)^$D588*(T570/S570)^$E588*((T570+T579)/(S570+S579))^($F588*(1+$E588))</f>
        <v/>
      </c>
      <c r="U588" s="41">
        <f>T588*(1/(1+$G588))^(1+$E588)*(1+U$7)^$D588*(U570/T570)^$E588*((U570+U579)/(T570+T579))^($F588*(1+$E588))</f>
        <v/>
      </c>
      <c r="V588" s="41">
        <f>U588*(1/(1+$G588))^(1+$E588)*(1+V$7)^$D588*(V570/U570)^$E588*((V570+V579)/(U570+U579))^($F588*(1+$E588))</f>
        <v/>
      </c>
      <c r="W588" s="41">
        <f>V588*(1/(1+$G588))^(1+$E588)*(1+W$7)^$D588*(W570/V570)^$E588*((W570+W579)/(V570+V579))^($F588*(1+$E588))</f>
        <v/>
      </c>
      <c r="X588" s="41">
        <f>W588*(1/(1+$G588))^(1+$E588)*(1+X$7)^$D588*(X570/W570)^$E588*((X570+X579)/(W570+W579))^($F588*(1+$E588))</f>
        <v/>
      </c>
      <c r="Y588" s="42">
        <f>FUELUSE(X588,Y570,X570,Y579,X579,Y$7,$D588,$E588,$F588,$G588)</f>
        <v/>
      </c>
      <c r="Z588" s="23">
        <f>LOWER(Settings!$C$4)&amp;".mit."&amp;$A588&amp;IF($C588="","","."&amp;$C588&amp;"."&amp;$B588)&amp;IF(INDEX(Variables!$D$5:$D$65,MATCH($A588,Variables!$A$5:$A$65,0))="","","."&amp;INDEX(Variables!$D$5:$D$65,MATCH($A588,Variables!$A$5:$A$65,0)))&amp;"."&amp;Z$5</f>
        <v/>
      </c>
      <c r="AA588" s="40">
        <f>INDEX(Inputs!$V$5:$V$132,MATCH($B588&amp;"|"&amp;$C588,Inputs!$A$5:$A$132,0))</f>
        <v/>
      </c>
      <c r="AB588" s="41">
        <f>AA588*(1/(1+$G588))^(1+$E588)*(1+AB$7)^$D588*(AB570/AA570)^$E588*((AB570+AB579)/(AA570+AA579))^($F588*(1+$E588))</f>
        <v/>
      </c>
      <c r="AC588" s="41">
        <f>AB588*(1/(1+$G588))^(1+$E588)*(1+AC$7)^$D588*(AC570/AB570)^$E588*((AC570+AC579)/(AB570+AB579))^($F588*(1+$E588))</f>
        <v/>
      </c>
      <c r="AD588" s="41">
        <f>AC588*(1/(1+$G588))^(1+$E588)*(1+AD$7)^$D588*(AD570/AC570)^$E588*((AD570+AD579)/(AC570+AC579))^($F588*(1+$E588))</f>
        <v/>
      </c>
      <c r="AE588" s="41">
        <f>AD588*(1/(1+$G588))^(1+$E588)*(1+AE$7)^$D588*(AE570/AD570)^$E588*((AE570+AE579)/(AD570+AD579))^($F588*(1+$E588))</f>
        <v/>
      </c>
      <c r="AF588" s="41">
        <f>AE588*(1/(1+$G588))^(1+$E588)*(1+AF$7)^$D588*(AF570/AE570)^$E588*((AF570+AF579)/(AE570+AE579))^($F588*(1+$E588))</f>
        <v/>
      </c>
      <c r="AG588" s="41">
        <f>AF588*(1/(1+$G588))^(1+$E588)*(1+AG$7)^$D588*(AG570/AF570)^$E588*((AG570+AG579)/(AF570+AF579))^($F588*(1+$E588))</f>
        <v/>
      </c>
      <c r="AH588" s="41">
        <f>AG588*(1/(1+$G588))^(1+$E588)*(1+AH$7)^$D588*(AH570/AG570)^$E588*((AH570+AH579)/(AG570+AG579))^($F588*(1+$E588))</f>
        <v/>
      </c>
      <c r="AI588" s="41">
        <f>AH588*(1/(1+$G588))^(1+$E588)*(1+AI$7)^$D588*(AI570/AH570)^$E588*((AI570+AI579)/(AH570+AH579))^($F588*(1+$E588))</f>
        <v/>
      </c>
      <c r="AJ588" s="41">
        <f>AI588*(1/(1+$G588))^(1+$E588)*(1+AJ$7)^$D588*(AJ570/AI570)^$E588*((AJ570+AJ579)/(AI570+AI579))^($F588*(1+$E588))</f>
        <v/>
      </c>
      <c r="AK588" s="41">
        <f>AJ588*(1/(1+$G588))^(1+$E588)*(1+AK$7)^$D588*(AK570/AJ570)^$E588*((AK570+AK579)/(AJ570+AJ579))^($F588*(1+$E588))</f>
        <v/>
      </c>
      <c r="AL588" s="41">
        <f>AK588*(1/(1+$G588))^(1+$E588)*(1+AL$7)^$D588*(AL570/AK570)^$E588*((AL570+AL579)/(AK570+AK579))^($F588*(1+$E588))</f>
        <v/>
      </c>
      <c r="AM588" s="41">
        <f>AL588*(1/(1+$G588))^(1+$E588)*(1+AM$7)^$D588*(AM570/AL570)^$E588*((AM570+AM579)/(AL570+AL579))^($F588*(1+$E588))</f>
        <v/>
      </c>
      <c r="AN588" s="42">
        <f>FUELUSE(AM588,AN570,AM570,AN579,AM579,AN$7,$D588,$E588,$F588,$G588)</f>
        <v/>
      </c>
    </row>
    <row r="589" hidden="1" outlineLevel="2">
      <c r="A589" s="5" t="inlineStr">
        <is>
          <t>ener</t>
        </is>
      </c>
      <c r="B589" s="5" t="inlineStr">
        <is>
          <t>oop</t>
        </is>
      </c>
      <c r="C589" s="5" t="inlineStr">
        <is>
          <t>foo</t>
        </is>
      </c>
      <c r="D589" s="36">
        <f>INDEX(Inputs!$N$5:$N$132,MATCH($B589&amp;"|"&amp;$C589,Inputs!$A$5:$A$132,0))</f>
        <v/>
      </c>
      <c r="E589" s="36">
        <f>INDEX(Inputs!$O$5:$O$132,MATCH($B589&amp;"|"&amp;$C589,Inputs!$A$5:$A$132,0))</f>
        <v/>
      </c>
      <c r="F589" s="36">
        <f>INDEX(Inputs!$P$5:$P$132,MATCH($B589&amp;"|"&amp;$C589,Inputs!$A$5:$A$132,0))</f>
        <v/>
      </c>
      <c r="G589" s="36">
        <f>INDEX(Inputs!$Q$5:$Q$132,MATCH($B589&amp;"|"&amp;$C589,Inputs!$A$5:$A$132,0))</f>
        <v/>
      </c>
      <c r="H589" s="5">
        <f>INDEX(Variables!$B$5:$B$65,MATCH($A589,Variables!$A$5:$A$65,0))&amp;IF($C589="",""," | "&amp;INDEX(Mapping!$B$5:$B$25,MATCH($C589,Mapping!$A$5:$A$25,0))&amp;" | "&amp;INDEX(Mapping!$B$29:$B$38,MATCH($B589,Mapping!$A$29:$A$38,0)))</f>
        <v/>
      </c>
      <c r="I589" s="5">
        <f>INDEX(Variables!$C$5:$C$65,MATCH($A589,Variables!$A$5:$A$65,0))</f>
        <v/>
      </c>
      <c r="J589" s="5">
        <f>INDEX(Variables!$E$5:$E$65,MATCH($A589,Variables!$A$5:$A$65,0))</f>
        <v/>
      </c>
      <c r="K589" s="23">
        <f>LOWER(Settings!$C$4)&amp;".mit."&amp;$A589&amp;IF($C589="","","."&amp;$C589&amp;"."&amp;$B589)&amp;IF(INDEX(Variables!$D$5:$D$65,MATCH($A589,Variables!$A$5:$A$65,0))="","","."&amp;INDEX(Variables!$D$5:$D$65,MATCH($A589,Variables!$A$5:$A$65,0)))&amp;"."&amp;K$5</f>
        <v/>
      </c>
      <c r="L589" s="40">
        <f>INDEX(Inputs!$V$5:$V$132,MATCH($B589&amp;"|"&amp;$C589,Inputs!$A$5:$A$132,0))</f>
        <v/>
      </c>
      <c r="M589" s="41">
        <f>L589*(1/(1+$G589))^(1+$E589)*(1+M$7)^$D589*(M571/L571)^$E589*((M571+M580)/(L571+L580))^($F589*(1+$E589))</f>
        <v/>
      </c>
      <c r="N589" s="41">
        <f>M589*(1/(1+$G589))^(1+$E589)*(1+N$7)^$D589*(N571/M571)^$E589*((N571+N580)/(M571+M580))^($F589*(1+$E589))</f>
        <v/>
      </c>
      <c r="O589" s="41">
        <f>N589*(1/(1+$G589))^(1+$E589)*(1+O$7)^$D589*(O571/N571)^$E589*((O571+O580)/(N571+N580))^($F589*(1+$E589))</f>
        <v/>
      </c>
      <c r="P589" s="41">
        <f>O589*(1/(1+$G589))^(1+$E589)*(1+P$7)^$D589*(P571/O571)^$E589*((P571+P580)/(O571+O580))^($F589*(1+$E589))</f>
        <v/>
      </c>
      <c r="Q589" s="41">
        <f>P589*(1/(1+$G589))^(1+$E589)*(1+Q$7)^$D589*(Q571/P571)^$E589*((Q571+Q580)/(P571+P580))^($F589*(1+$E589))</f>
        <v/>
      </c>
      <c r="R589" s="41">
        <f>Q589*(1/(1+$G589))^(1+$E589)*(1+R$7)^$D589*(R571/Q571)^$E589*((R571+R580)/(Q571+Q580))^($F589*(1+$E589))</f>
        <v/>
      </c>
      <c r="S589" s="41">
        <f>R589*(1/(1+$G589))^(1+$E589)*(1+S$7)^$D589*(S571/R571)^$E589*((S571+S580)/(R571+R580))^($F589*(1+$E589))</f>
        <v/>
      </c>
      <c r="T589" s="41">
        <f>S589*(1/(1+$G589))^(1+$E589)*(1+T$7)^$D589*(T571/S571)^$E589*((T571+T580)/(S571+S580))^($F589*(1+$E589))</f>
        <v/>
      </c>
      <c r="U589" s="41">
        <f>T589*(1/(1+$G589))^(1+$E589)*(1+U$7)^$D589*(U571/T571)^$E589*((U571+U580)/(T571+T580))^($F589*(1+$E589))</f>
        <v/>
      </c>
      <c r="V589" s="41">
        <f>U589*(1/(1+$G589))^(1+$E589)*(1+V$7)^$D589*(V571/U571)^$E589*((V571+V580)/(U571+U580))^($F589*(1+$E589))</f>
        <v/>
      </c>
      <c r="W589" s="41">
        <f>V589*(1/(1+$G589))^(1+$E589)*(1+W$7)^$D589*(W571/V571)^$E589*((W571+W580)/(V571+V580))^($F589*(1+$E589))</f>
        <v/>
      </c>
      <c r="X589" s="41">
        <f>W589*(1/(1+$G589))^(1+$E589)*(1+X$7)^$D589*(X571/W571)^$E589*((X571+X580)/(W571+W580))^($F589*(1+$E589))</f>
        <v/>
      </c>
      <c r="Y589" s="42">
        <f>FUELUSE(X589,Y571,X571,Y580,X580,Y$7,$D589,$E589,$F589,$G589)</f>
        <v/>
      </c>
      <c r="Z589" s="23">
        <f>LOWER(Settings!$C$4)&amp;".mit."&amp;$A589&amp;IF($C589="","","."&amp;$C589&amp;"."&amp;$B589)&amp;IF(INDEX(Variables!$D$5:$D$65,MATCH($A589,Variables!$A$5:$A$65,0))="","","."&amp;INDEX(Variables!$D$5:$D$65,MATCH($A589,Variables!$A$5:$A$65,0)))&amp;"."&amp;Z$5</f>
        <v/>
      </c>
      <c r="AA589" s="40">
        <f>INDEX(Inputs!$V$5:$V$132,MATCH($B589&amp;"|"&amp;$C589,Inputs!$A$5:$A$132,0))</f>
        <v/>
      </c>
      <c r="AB589" s="41">
        <f>AA589*(1/(1+$G589))^(1+$E589)*(1+AB$7)^$D589*(AB571/AA571)^$E589*((AB571+AB580)/(AA571+AA580))^($F589*(1+$E589))</f>
        <v/>
      </c>
      <c r="AC589" s="41">
        <f>AB589*(1/(1+$G589))^(1+$E589)*(1+AC$7)^$D589*(AC571/AB571)^$E589*((AC571+AC580)/(AB571+AB580))^($F589*(1+$E589))</f>
        <v/>
      </c>
      <c r="AD589" s="41">
        <f>AC589*(1/(1+$G589))^(1+$E589)*(1+AD$7)^$D589*(AD571/AC571)^$E589*((AD571+AD580)/(AC571+AC580))^($F589*(1+$E589))</f>
        <v/>
      </c>
      <c r="AE589" s="41">
        <f>AD589*(1/(1+$G589))^(1+$E589)*(1+AE$7)^$D589*(AE571/AD571)^$E589*((AE571+AE580)/(AD571+AD580))^($F589*(1+$E589))</f>
        <v/>
      </c>
      <c r="AF589" s="41">
        <f>AE589*(1/(1+$G589))^(1+$E589)*(1+AF$7)^$D589*(AF571/AE571)^$E589*((AF571+AF580)/(AE571+AE580))^($F589*(1+$E589))</f>
        <v/>
      </c>
      <c r="AG589" s="41">
        <f>AF589*(1/(1+$G589))^(1+$E589)*(1+AG$7)^$D589*(AG571/AF571)^$E589*((AG571+AG580)/(AF571+AF580))^($F589*(1+$E589))</f>
        <v/>
      </c>
      <c r="AH589" s="41">
        <f>AG589*(1/(1+$G589))^(1+$E589)*(1+AH$7)^$D589*(AH571/AG571)^$E589*((AH571+AH580)/(AG571+AG580))^($F589*(1+$E589))</f>
        <v/>
      </c>
      <c r="AI589" s="41">
        <f>AH589*(1/(1+$G589))^(1+$E589)*(1+AI$7)^$D589*(AI571/AH571)^$E589*((AI571+AI580)/(AH571+AH580))^($F589*(1+$E589))</f>
        <v/>
      </c>
      <c r="AJ589" s="41">
        <f>AI589*(1/(1+$G589))^(1+$E589)*(1+AJ$7)^$D589*(AJ571/AI571)^$E589*((AJ571+AJ580)/(AI571+AI580))^($F589*(1+$E589))</f>
        <v/>
      </c>
      <c r="AK589" s="41">
        <f>AJ589*(1/(1+$G589))^(1+$E589)*(1+AK$7)^$D589*(AK571/AJ571)^$E589*((AK571+AK580)/(AJ571+AJ580))^($F589*(1+$E589))</f>
        <v/>
      </c>
      <c r="AL589" s="41">
        <f>AK589*(1/(1+$G589))^(1+$E589)*(1+AL$7)^$D589*(AL571/AK571)^$E589*((AL571+AL580)/(AK571+AK580))^($F589*(1+$E589))</f>
        <v/>
      </c>
      <c r="AM589" s="41">
        <f>AL589*(1/(1+$G589))^(1+$E589)*(1+AM$7)^$D589*(AM571/AL571)^$E589*((AM571+AM580)/(AL571+AL580))^($F589*(1+$E589))</f>
        <v/>
      </c>
      <c r="AN589" s="42">
        <f>FUELUSE(AM589,AN571,AM571,AN580,AM580,AN$7,$D589,$E589,$F589,$G589)</f>
        <v/>
      </c>
    </row>
    <row r="590" hidden="1" outlineLevel="2">
      <c r="A590" s="5" t="inlineStr">
        <is>
          <t>ener</t>
        </is>
      </c>
      <c r="B590" s="5" t="inlineStr">
        <is>
          <t>bio</t>
        </is>
      </c>
      <c r="C590" s="5" t="inlineStr">
        <is>
          <t>foo</t>
        </is>
      </c>
      <c r="D590" s="36">
        <f>INDEX(Inputs!$N$5:$N$132,MATCH($B590&amp;"|"&amp;$C590,Inputs!$A$5:$A$132,0))</f>
        <v/>
      </c>
      <c r="E590" s="36">
        <f>INDEX(Inputs!$O$5:$O$132,MATCH($B590&amp;"|"&amp;$C590,Inputs!$A$5:$A$132,0))</f>
        <v/>
      </c>
      <c r="F590" s="36">
        <f>INDEX(Inputs!$P$5:$P$132,MATCH($B590&amp;"|"&amp;$C590,Inputs!$A$5:$A$132,0))</f>
        <v/>
      </c>
      <c r="G590" s="36">
        <f>INDEX(Inputs!$Q$5:$Q$132,MATCH($B590&amp;"|"&amp;$C590,Inputs!$A$5:$A$132,0))</f>
        <v/>
      </c>
      <c r="H590" s="5">
        <f>INDEX(Variables!$B$5:$B$65,MATCH($A590,Variables!$A$5:$A$65,0))&amp;IF($C590="",""," | "&amp;INDEX(Mapping!$B$5:$B$25,MATCH($C590,Mapping!$A$5:$A$25,0))&amp;" | "&amp;INDEX(Mapping!$B$29:$B$38,MATCH($B590,Mapping!$A$29:$A$38,0)))</f>
        <v/>
      </c>
      <c r="I590" s="5">
        <f>INDEX(Variables!$C$5:$C$65,MATCH($A590,Variables!$A$5:$A$65,0))</f>
        <v/>
      </c>
      <c r="J590" s="5">
        <f>INDEX(Variables!$E$5:$E$65,MATCH($A590,Variables!$A$5:$A$65,0))</f>
        <v/>
      </c>
      <c r="K590" s="23">
        <f>LOWER(Settings!$C$4)&amp;".mit."&amp;$A590&amp;IF($C590="","","."&amp;$C590&amp;"."&amp;$B590)&amp;IF(INDEX(Variables!$D$5:$D$65,MATCH($A590,Variables!$A$5:$A$65,0))="","","."&amp;INDEX(Variables!$D$5:$D$65,MATCH($A590,Variables!$A$5:$A$65,0)))&amp;"."&amp;K$5</f>
        <v/>
      </c>
      <c r="L590" s="40">
        <f>INDEX(Inputs!$V$5:$V$132,MATCH($B590&amp;"|"&amp;$C590,Inputs!$A$5:$A$132,0))</f>
        <v/>
      </c>
      <c r="M590" s="41">
        <f>L590*(1/(1+$G590))^(1+$E590)*(1+M$7)^$D590*(M572/L572)^$E590*((M572+M581)/(L572+L581))^($F590*(1+$E590))</f>
        <v/>
      </c>
      <c r="N590" s="41">
        <f>M590*(1/(1+$G590))^(1+$E590)*(1+N$7)^$D590*(N572/M572)^$E590*((N572+N581)/(M572+M581))^($F590*(1+$E590))</f>
        <v/>
      </c>
      <c r="O590" s="41">
        <f>N590*(1/(1+$G590))^(1+$E590)*(1+O$7)^$D590*(O572/N572)^$E590*((O572+O581)/(N572+N581))^($F590*(1+$E590))</f>
        <v/>
      </c>
      <c r="P590" s="41">
        <f>O590*(1/(1+$G590))^(1+$E590)*(1+P$7)^$D590*(P572/O572)^$E590*((P572+P581)/(O572+O581))^($F590*(1+$E590))</f>
        <v/>
      </c>
      <c r="Q590" s="41">
        <f>P590*(1/(1+$G590))^(1+$E590)*(1+Q$7)^$D590*(Q572/P572)^$E590*((Q572+Q581)/(P572+P581))^($F590*(1+$E590))</f>
        <v/>
      </c>
      <c r="R590" s="41">
        <f>Q590*(1/(1+$G590))^(1+$E590)*(1+R$7)^$D590*(R572/Q572)^$E590*((R572+R581)/(Q572+Q581))^($F590*(1+$E590))</f>
        <v/>
      </c>
      <c r="S590" s="41">
        <f>R590*(1/(1+$G590))^(1+$E590)*(1+S$7)^$D590*(S572/R572)^$E590*((S572+S581)/(R572+R581))^($F590*(1+$E590))</f>
        <v/>
      </c>
      <c r="T590" s="41">
        <f>S590*(1/(1+$G590))^(1+$E590)*(1+T$7)^$D590*(T572/S572)^$E590*((T572+T581)/(S572+S581))^($F590*(1+$E590))</f>
        <v/>
      </c>
      <c r="U590" s="41">
        <f>T590*(1/(1+$G590))^(1+$E590)*(1+U$7)^$D590*(U572/T572)^$E590*((U572+U581)/(T572+T581))^($F590*(1+$E590))</f>
        <v/>
      </c>
      <c r="V590" s="41">
        <f>U590*(1/(1+$G590))^(1+$E590)*(1+V$7)^$D590*(V572/U572)^$E590*((V572+V581)/(U572+U581))^($F590*(1+$E590))</f>
        <v/>
      </c>
      <c r="W590" s="41">
        <f>V590*(1/(1+$G590))^(1+$E590)*(1+W$7)^$D590*(W572/V572)^$E590*((W572+W581)/(V572+V581))^($F590*(1+$E590))</f>
        <v/>
      </c>
      <c r="X590" s="41">
        <f>W590*(1/(1+$G590))^(1+$E590)*(1+X$7)^$D590*(X572/W572)^$E590*((X572+X581)/(W572+W581))^($F590*(1+$E590))</f>
        <v/>
      </c>
      <c r="Y590" s="42">
        <f>FUELUSE(X590,Y572,X572,Y581,X581,Y$7,$D590,$E590,$F590,$G590)</f>
        <v/>
      </c>
      <c r="Z590" s="23">
        <f>LOWER(Settings!$C$4)&amp;".mit."&amp;$A590&amp;IF($C590="","","."&amp;$C590&amp;"."&amp;$B590)&amp;IF(INDEX(Variables!$D$5:$D$65,MATCH($A590,Variables!$A$5:$A$65,0))="","","."&amp;INDEX(Variables!$D$5:$D$65,MATCH($A590,Variables!$A$5:$A$65,0)))&amp;"."&amp;Z$5</f>
        <v/>
      </c>
      <c r="AA590" s="40">
        <f>INDEX(Inputs!$V$5:$V$132,MATCH($B590&amp;"|"&amp;$C590,Inputs!$A$5:$A$132,0))</f>
        <v/>
      </c>
      <c r="AB590" s="41">
        <f>AA590*(1/(1+$G590))^(1+$E590)*(1+AB$7)^$D590*(AB572/AA572)^$E590*((AB572+AB581)/(AA572+AA581))^($F590*(1+$E590))</f>
        <v/>
      </c>
      <c r="AC590" s="41">
        <f>AB590*(1/(1+$G590))^(1+$E590)*(1+AC$7)^$D590*(AC572/AB572)^$E590*((AC572+AC581)/(AB572+AB581))^($F590*(1+$E590))</f>
        <v/>
      </c>
      <c r="AD590" s="41">
        <f>AC590*(1/(1+$G590))^(1+$E590)*(1+AD$7)^$D590*(AD572/AC572)^$E590*((AD572+AD581)/(AC572+AC581))^($F590*(1+$E590))</f>
        <v/>
      </c>
      <c r="AE590" s="41">
        <f>AD590*(1/(1+$G590))^(1+$E590)*(1+AE$7)^$D590*(AE572/AD572)^$E590*((AE572+AE581)/(AD572+AD581))^($F590*(1+$E590))</f>
        <v/>
      </c>
      <c r="AF590" s="41">
        <f>AE590*(1/(1+$G590))^(1+$E590)*(1+AF$7)^$D590*(AF572/AE572)^$E590*((AF572+AF581)/(AE572+AE581))^($F590*(1+$E590))</f>
        <v/>
      </c>
      <c r="AG590" s="41">
        <f>AF590*(1/(1+$G590))^(1+$E590)*(1+AG$7)^$D590*(AG572/AF572)^$E590*((AG572+AG581)/(AF572+AF581))^($F590*(1+$E590))</f>
        <v/>
      </c>
      <c r="AH590" s="41">
        <f>AG590*(1/(1+$G590))^(1+$E590)*(1+AH$7)^$D590*(AH572/AG572)^$E590*((AH572+AH581)/(AG572+AG581))^($F590*(1+$E590))</f>
        <v/>
      </c>
      <c r="AI590" s="41">
        <f>AH590*(1/(1+$G590))^(1+$E590)*(1+AI$7)^$D590*(AI572/AH572)^$E590*((AI572+AI581)/(AH572+AH581))^($F590*(1+$E590))</f>
        <v/>
      </c>
      <c r="AJ590" s="41">
        <f>AI590*(1/(1+$G590))^(1+$E590)*(1+AJ$7)^$D590*(AJ572/AI572)^$E590*((AJ572+AJ581)/(AI572+AI581))^($F590*(1+$E590))</f>
        <v/>
      </c>
      <c r="AK590" s="41">
        <f>AJ590*(1/(1+$G590))^(1+$E590)*(1+AK$7)^$D590*(AK572/AJ572)^$E590*((AK572+AK581)/(AJ572+AJ581))^($F590*(1+$E590))</f>
        <v/>
      </c>
      <c r="AL590" s="41">
        <f>AK590*(1/(1+$G590))^(1+$E590)*(1+AL$7)^$D590*(AL572/AK572)^$E590*((AL572+AL581)/(AK572+AK581))^($F590*(1+$E590))</f>
        <v/>
      </c>
      <c r="AM590" s="41">
        <f>AL590*(1/(1+$G590))^(1+$E590)*(1+AM$7)^$D590*(AM572/AL572)^$E590*((AM572+AM581)/(AL572+AL581))^($F590*(1+$E590))</f>
        <v/>
      </c>
      <c r="AN590" s="42">
        <f>FUELUSE(AM590,AN572,AM572,AN581,AM581,AN$7,$D590,$E590,$F590,$G590)</f>
        <v/>
      </c>
    </row>
    <row r="591" hidden="1" outlineLevel="2"/>
    <row r="592" outlineLevel="1" collapsed="1">
      <c r="A592" s="7" t="inlineStr">
        <is>
          <t>ener</t>
        </is>
      </c>
      <c r="B592" s="7" t="inlineStr">
        <is>
          <t>all</t>
        </is>
      </c>
      <c r="C592" s="7" t="inlineStr">
        <is>
          <t>srv</t>
        </is>
      </c>
      <c r="H592" s="7">
        <f>INDEX(Variables!$B$5:$B$65,MATCH($A592,Variables!$A$5:$A$65,0))&amp;IF($C592="",""," | "&amp;INDEX(Mapping!$B$5:$B$25,MATCH($C592,Mapping!$A$5:$A$25,0))&amp;" | "&amp;INDEX(Mapping!$B$29:$B$38,MATCH($B592,Mapping!$A$29:$A$38,0)))</f>
        <v/>
      </c>
      <c r="I592" s="7">
        <f>INDEX(Variables!$C$5:$C$65,MATCH($A592,Variables!$A$5:$A$65,0))</f>
        <v/>
      </c>
      <c r="J592" s="7">
        <f>INDEX(Variables!$E$5:$E$65,MATCH($A592,Variables!$A$5:$A$65,0))</f>
        <v/>
      </c>
      <c r="K592" s="26">
        <f>LOWER(Settings!$C$4)&amp;".mit."&amp;$A592&amp;IF($C592="","","."&amp;$C592&amp;"."&amp;$B592)&amp;IF(INDEX(Variables!$D$5:$D$65,MATCH($A592,Variables!$A$5:$A$65,0))="","","."&amp;INDEX(Variables!$D$5:$D$65,MATCH($A592,Variables!$A$5:$A$65,0)))&amp;"."&amp;K$5</f>
        <v/>
      </c>
      <c r="L592" s="34">
        <f>SUM(L656:L663)</f>
        <v/>
      </c>
      <c r="M592" s="35">
        <f>SUM(M656:M663)</f>
        <v/>
      </c>
      <c r="N592" s="35">
        <f>SUM(N656:N663)</f>
        <v/>
      </c>
      <c r="O592" s="35">
        <f>SUM(O656:O663)</f>
        <v/>
      </c>
      <c r="P592" s="35">
        <f>SUM(P656:P663)</f>
        <v/>
      </c>
      <c r="Q592" s="35">
        <f>SUM(Q656:Q663)</f>
        <v/>
      </c>
      <c r="R592" s="35">
        <f>SUM(R656:R663)</f>
        <v/>
      </c>
      <c r="S592" s="35">
        <f>SUM(S656:S663)</f>
        <v/>
      </c>
      <c r="T592" s="35">
        <f>SUM(T656:T663)</f>
        <v/>
      </c>
      <c r="U592" s="35">
        <f>SUM(U656:U663)</f>
        <v/>
      </c>
      <c r="V592" s="35">
        <f>SUM(V656:V663)</f>
        <v/>
      </c>
      <c r="W592" s="35">
        <f>SUM(W656:W663)</f>
        <v/>
      </c>
      <c r="X592" s="35">
        <f>SUM(X656:X663)</f>
        <v/>
      </c>
      <c r="Y592" s="35">
        <f>SUM(Y656:Y663)</f>
        <v/>
      </c>
      <c r="Z592" s="26">
        <f>LOWER(Settings!$C$4)&amp;".mit."&amp;$A592&amp;IF($C592="","","."&amp;$C592&amp;"."&amp;$B592)&amp;IF(INDEX(Variables!$D$5:$D$65,MATCH($A592,Variables!$A$5:$A$65,0))="","","."&amp;INDEX(Variables!$D$5:$D$65,MATCH($A592,Variables!$A$5:$A$65,0)))&amp;"."&amp;Z$5</f>
        <v/>
      </c>
      <c r="AA592" s="34">
        <f>SUM(AA656:AA663)</f>
        <v/>
      </c>
      <c r="AB592" s="35">
        <f>SUM(AB656:AB663)</f>
        <v/>
      </c>
      <c r="AC592" s="35">
        <f>SUM(AC656:AC663)</f>
        <v/>
      </c>
      <c r="AD592" s="35">
        <f>SUM(AD656:AD663)</f>
        <v/>
      </c>
      <c r="AE592" s="35">
        <f>SUM(AE656:AE663)</f>
        <v/>
      </c>
      <c r="AF592" s="35">
        <f>SUM(AF656:AF663)</f>
        <v/>
      </c>
      <c r="AG592" s="35">
        <f>SUM(AG656:AG663)</f>
        <v/>
      </c>
      <c r="AH592" s="35">
        <f>SUM(AH656:AH663)</f>
        <v/>
      </c>
      <c r="AI592" s="35">
        <f>SUM(AI656:AI663)</f>
        <v/>
      </c>
      <c r="AJ592" s="35">
        <f>SUM(AJ656:AJ663)</f>
        <v/>
      </c>
      <c r="AK592" s="35">
        <f>SUM(AK656:AK663)</f>
        <v/>
      </c>
      <c r="AL592" s="35">
        <f>SUM(AL656:AL663)</f>
        <v/>
      </c>
      <c r="AM592" s="35">
        <f>SUM(AM656:AM663)</f>
        <v/>
      </c>
      <c r="AN592" s="35">
        <f>SUM(AN656:AN663)</f>
        <v/>
      </c>
    </row>
    <row r="593" hidden="1" outlineLevel="2">
      <c r="A593" s="5" t="inlineStr">
        <is>
          <t>sp</t>
        </is>
      </c>
      <c r="B593" s="5" t="inlineStr">
        <is>
          <t>coa</t>
        </is>
      </c>
      <c r="C593" s="5" t="inlineStr">
        <is>
          <t>srv</t>
        </is>
      </c>
      <c r="D593" s="36">
        <f>INDEX(Inputs!$R$5:$R$132,MATCH($B593&amp;"|"&amp;$C593,Inputs!$A$5:$A$132,0))</f>
        <v/>
      </c>
      <c r="E593" s="37" t="n"/>
      <c r="F593" s="37" t="n"/>
      <c r="G593" s="37" t="n"/>
      <c r="H593" s="5">
        <f>INDEX(Variables!$B$5:$B$65,MATCH($A593,Variables!$A$5:$A$65,0))&amp;IF($C593="",""," | "&amp;INDEX(Mapping!$B$5:$B$25,MATCH($C593,Mapping!$A$5:$A$25,0))&amp;" | "&amp;INDEX(Mapping!$B$29:$B$38,MATCH($B593,Mapping!$A$29:$A$38,0)))</f>
        <v/>
      </c>
      <c r="I593" s="5">
        <f>INDEX(Variables!$C$5:$C$65,MATCH($A593,Variables!$A$5:$A$65,0))</f>
        <v/>
      </c>
      <c r="J593" s="5">
        <f>INDEX(Variables!$E$5:$E$65,MATCH($A593,Variables!$A$5:$A$65,0))</f>
        <v/>
      </c>
      <c r="K593" s="23">
        <f>LOWER(Settings!$C$4)&amp;".mit."&amp;$A593&amp;IF($C593="","","."&amp;$C593&amp;"."&amp;$B593)&amp;IF(INDEX(Variables!$D$5:$D$65,MATCH($A593,Variables!$A$5:$A$65,0))="","","."&amp;INDEX(Variables!$D$5:$D$65,MATCH($A593,Variables!$A$5:$A$65,0)))&amp;"."&amp;K$5</f>
        <v/>
      </c>
      <c r="L593" s="38">
        <f>INDEX(Inputs!$S$5:$S$132,MATCH($B593&amp;"|"&amp;$C593,Inputs!$A$5:$A$132,0))</f>
        <v/>
      </c>
      <c r="M593" s="36">
        <f>L593*(1+$D593)</f>
        <v/>
      </c>
      <c r="N593" s="36">
        <f>M593*(1+$D593)</f>
        <v/>
      </c>
      <c r="O593" s="36">
        <f>N593*(1+$D593)</f>
        <v/>
      </c>
      <c r="P593" s="36">
        <f>O593*(1+$D593)</f>
        <v/>
      </c>
      <c r="Q593" s="36">
        <f>P593*(1+$D593)</f>
        <v/>
      </c>
      <c r="R593" s="36">
        <f>Q593*(1+$D593)</f>
        <v/>
      </c>
      <c r="S593" s="36">
        <f>R593*(1+$D593)</f>
        <v/>
      </c>
      <c r="T593" s="36">
        <f>S593*(1+$D593)</f>
        <v/>
      </c>
      <c r="U593" s="36">
        <f>T593*(1+$D593)</f>
        <v/>
      </c>
      <c r="V593" s="36">
        <f>U593*(1+$D593)</f>
        <v/>
      </c>
      <c r="W593" s="36">
        <f>V593*(1+$D593)</f>
        <v/>
      </c>
      <c r="X593" s="36">
        <f>W593*(1+$D593)</f>
        <v/>
      </c>
      <c r="Y593" s="39">
        <f>PRETAX(X593,$D593)</f>
        <v/>
      </c>
      <c r="Z593" s="23">
        <f>LOWER(Settings!$C$4)&amp;".mit."&amp;$A593&amp;IF($C593="","","."&amp;$C593&amp;"."&amp;$B593)&amp;IF(INDEX(Variables!$D$5:$D$65,MATCH($A593,Variables!$A$5:$A$65,0))="","","."&amp;INDEX(Variables!$D$5:$D$65,MATCH($A593,Variables!$A$5:$A$65,0)))&amp;"."&amp;Z$5</f>
        <v/>
      </c>
      <c r="AA593" s="38">
        <f>INDEX(Inputs!$S$5:$S$132,MATCH($B593&amp;"|"&amp;$C593,Inputs!$A$5:$A$132,0))</f>
        <v/>
      </c>
      <c r="AB593" s="36">
        <f>AA593*(1+$D593)</f>
        <v/>
      </c>
      <c r="AC593" s="36">
        <f>AB593*(1+$D593)</f>
        <v/>
      </c>
      <c r="AD593" s="36">
        <f>AC593*(1+$D593)</f>
        <v/>
      </c>
      <c r="AE593" s="36">
        <f>AD593*(1+$D593)</f>
        <v/>
      </c>
      <c r="AF593" s="36">
        <f>AE593*(1+$D593)</f>
        <v/>
      </c>
      <c r="AG593" s="36">
        <f>AF593*(1+$D593)</f>
        <v/>
      </c>
      <c r="AH593" s="36">
        <f>AG593*(1+$D593)</f>
        <v/>
      </c>
      <c r="AI593" s="36">
        <f>AH593*(1+$D593)</f>
        <v/>
      </c>
      <c r="AJ593" s="36">
        <f>AI593*(1+$D593)</f>
        <v/>
      </c>
      <c r="AK593" s="36">
        <f>AJ593*(1+$D593)</f>
        <v/>
      </c>
      <c r="AL593" s="36">
        <f>AK593*(1+$D593)</f>
        <v/>
      </c>
      <c r="AM593" s="36">
        <f>AL593*(1+$D593)</f>
        <v/>
      </c>
      <c r="AN593" s="39">
        <f>PRETAX(AM593,$D593)</f>
        <v/>
      </c>
    </row>
    <row r="594" hidden="1" outlineLevel="2">
      <c r="A594" s="5" t="inlineStr">
        <is>
          <t>sp</t>
        </is>
      </c>
      <c r="B594" s="5" t="inlineStr">
        <is>
          <t>nga</t>
        </is>
      </c>
      <c r="C594" s="5" t="inlineStr">
        <is>
          <t>srv</t>
        </is>
      </c>
      <c r="D594" s="36">
        <f>INDEX(Inputs!$R$5:$R$132,MATCH($B594&amp;"|"&amp;$C594,Inputs!$A$5:$A$132,0))</f>
        <v/>
      </c>
      <c r="E594" s="37" t="n"/>
      <c r="F594" s="37" t="n"/>
      <c r="G594" s="37" t="n"/>
      <c r="H594" s="5">
        <f>INDEX(Variables!$B$5:$B$65,MATCH($A594,Variables!$A$5:$A$65,0))&amp;IF($C594="",""," | "&amp;INDEX(Mapping!$B$5:$B$25,MATCH($C594,Mapping!$A$5:$A$25,0))&amp;" | "&amp;INDEX(Mapping!$B$29:$B$38,MATCH($B594,Mapping!$A$29:$A$38,0)))</f>
        <v/>
      </c>
      <c r="I594" s="5">
        <f>INDEX(Variables!$C$5:$C$65,MATCH($A594,Variables!$A$5:$A$65,0))</f>
        <v/>
      </c>
      <c r="J594" s="5">
        <f>INDEX(Variables!$E$5:$E$65,MATCH($A594,Variables!$A$5:$A$65,0))</f>
        <v/>
      </c>
      <c r="K594" s="23">
        <f>LOWER(Settings!$C$4)&amp;".mit."&amp;$A594&amp;IF($C594="","","."&amp;$C594&amp;"."&amp;$B594)&amp;IF(INDEX(Variables!$D$5:$D$65,MATCH($A594,Variables!$A$5:$A$65,0))="","","."&amp;INDEX(Variables!$D$5:$D$65,MATCH($A594,Variables!$A$5:$A$65,0)))&amp;"."&amp;K$5</f>
        <v/>
      </c>
      <c r="L594" s="38">
        <f>INDEX(Inputs!$S$5:$S$132,MATCH($B594&amp;"|"&amp;$C594,Inputs!$A$5:$A$132,0))</f>
        <v/>
      </c>
      <c r="M594" s="36">
        <f>L594*(1+$D594)</f>
        <v/>
      </c>
      <c r="N594" s="36">
        <f>M594*(1+$D594)</f>
        <v/>
      </c>
      <c r="O594" s="36">
        <f>N594*(1+$D594)</f>
        <v/>
      </c>
      <c r="P594" s="36">
        <f>O594*(1+$D594)</f>
        <v/>
      </c>
      <c r="Q594" s="36">
        <f>P594*(1+$D594)</f>
        <v/>
      </c>
      <c r="R594" s="36">
        <f>Q594*(1+$D594)</f>
        <v/>
      </c>
      <c r="S594" s="36">
        <f>R594*(1+$D594)</f>
        <v/>
      </c>
      <c r="T594" s="36">
        <f>S594*(1+$D594)</f>
        <v/>
      </c>
      <c r="U594" s="36">
        <f>T594*(1+$D594)</f>
        <v/>
      </c>
      <c r="V594" s="36">
        <f>U594*(1+$D594)</f>
        <v/>
      </c>
      <c r="W594" s="36">
        <f>V594*(1+$D594)</f>
        <v/>
      </c>
      <c r="X594" s="36">
        <f>W594*(1+$D594)</f>
        <v/>
      </c>
      <c r="Y594" s="39">
        <f>PRETAX(X594,$D594)</f>
        <v/>
      </c>
      <c r="Z594" s="23">
        <f>LOWER(Settings!$C$4)&amp;".mit."&amp;$A594&amp;IF($C594="","","."&amp;$C594&amp;"."&amp;$B594)&amp;IF(INDEX(Variables!$D$5:$D$65,MATCH($A594,Variables!$A$5:$A$65,0))="","","."&amp;INDEX(Variables!$D$5:$D$65,MATCH($A594,Variables!$A$5:$A$65,0)))&amp;"."&amp;Z$5</f>
        <v/>
      </c>
      <c r="AA594" s="38">
        <f>INDEX(Inputs!$S$5:$S$132,MATCH($B594&amp;"|"&amp;$C594,Inputs!$A$5:$A$132,0))</f>
        <v/>
      </c>
      <c r="AB594" s="36">
        <f>AA594*(1+$D594)</f>
        <v/>
      </c>
      <c r="AC594" s="36">
        <f>AB594*(1+$D594)</f>
        <v/>
      </c>
      <c r="AD594" s="36">
        <f>AC594*(1+$D594)</f>
        <v/>
      </c>
      <c r="AE594" s="36">
        <f>AD594*(1+$D594)</f>
        <v/>
      </c>
      <c r="AF594" s="36">
        <f>AE594*(1+$D594)</f>
        <v/>
      </c>
      <c r="AG594" s="36">
        <f>AF594*(1+$D594)</f>
        <v/>
      </c>
      <c r="AH594" s="36">
        <f>AG594*(1+$D594)</f>
        <v/>
      </c>
      <c r="AI594" s="36">
        <f>AH594*(1+$D594)</f>
        <v/>
      </c>
      <c r="AJ594" s="36">
        <f>AI594*(1+$D594)</f>
        <v/>
      </c>
      <c r="AK594" s="36">
        <f>AJ594*(1+$D594)</f>
        <v/>
      </c>
      <c r="AL594" s="36">
        <f>AK594*(1+$D594)</f>
        <v/>
      </c>
      <c r="AM594" s="36">
        <f>AL594*(1+$D594)</f>
        <v/>
      </c>
      <c r="AN594" s="39">
        <f>PRETAX(AM594,$D594)</f>
        <v/>
      </c>
    </row>
    <row r="595" hidden="1" outlineLevel="2">
      <c r="A595" s="5" t="inlineStr">
        <is>
          <t>sp</t>
        </is>
      </c>
      <c r="B595" s="5" t="inlineStr">
        <is>
          <t>gso</t>
        </is>
      </c>
      <c r="C595" s="5" t="inlineStr">
        <is>
          <t>srv</t>
        </is>
      </c>
      <c r="D595" s="36">
        <f>INDEX(Inputs!$R$5:$R$132,MATCH($B595&amp;"|"&amp;$C595,Inputs!$A$5:$A$132,0))</f>
        <v/>
      </c>
      <c r="E595" s="37" t="n"/>
      <c r="F595" s="37" t="n"/>
      <c r="G595" s="37" t="n"/>
      <c r="H595" s="5">
        <f>INDEX(Variables!$B$5:$B$65,MATCH($A595,Variables!$A$5:$A$65,0))&amp;IF($C595="",""," | "&amp;INDEX(Mapping!$B$5:$B$25,MATCH($C595,Mapping!$A$5:$A$25,0))&amp;" | "&amp;INDEX(Mapping!$B$29:$B$38,MATCH($B595,Mapping!$A$29:$A$38,0)))</f>
        <v/>
      </c>
      <c r="I595" s="5">
        <f>INDEX(Variables!$C$5:$C$65,MATCH($A595,Variables!$A$5:$A$65,0))</f>
        <v/>
      </c>
      <c r="J595" s="5">
        <f>INDEX(Variables!$E$5:$E$65,MATCH($A595,Variables!$A$5:$A$65,0))</f>
        <v/>
      </c>
      <c r="K595" s="23">
        <f>LOWER(Settings!$C$4)&amp;".mit."&amp;$A595&amp;IF($C595="","","."&amp;$C595&amp;"."&amp;$B595)&amp;IF(INDEX(Variables!$D$5:$D$65,MATCH($A595,Variables!$A$5:$A$65,0))="","","."&amp;INDEX(Variables!$D$5:$D$65,MATCH($A595,Variables!$A$5:$A$65,0)))&amp;"."&amp;K$5</f>
        <v/>
      </c>
      <c r="L595" s="38">
        <f>INDEX(Inputs!$S$5:$S$132,MATCH($B595&amp;"|"&amp;$C595,Inputs!$A$5:$A$132,0))</f>
        <v/>
      </c>
      <c r="M595" s="36">
        <f>L595*(1+$D595)</f>
        <v/>
      </c>
      <c r="N595" s="36">
        <f>M595*(1+$D595)</f>
        <v/>
      </c>
      <c r="O595" s="36">
        <f>N595*(1+$D595)</f>
        <v/>
      </c>
      <c r="P595" s="36">
        <f>O595*(1+$D595)</f>
        <v/>
      </c>
      <c r="Q595" s="36">
        <f>P595*(1+$D595)</f>
        <v/>
      </c>
      <c r="R595" s="36">
        <f>Q595*(1+$D595)</f>
        <v/>
      </c>
      <c r="S595" s="36">
        <f>R595*(1+$D595)</f>
        <v/>
      </c>
      <c r="T595" s="36">
        <f>S595*(1+$D595)</f>
        <v/>
      </c>
      <c r="U595" s="36">
        <f>T595*(1+$D595)</f>
        <v/>
      </c>
      <c r="V595" s="36">
        <f>U595*(1+$D595)</f>
        <v/>
      </c>
      <c r="W595" s="36">
        <f>V595*(1+$D595)</f>
        <v/>
      </c>
      <c r="X595" s="36">
        <f>W595*(1+$D595)</f>
        <v/>
      </c>
      <c r="Y595" s="39">
        <f>PRETAX(X595,$D595)</f>
        <v/>
      </c>
      <c r="Z595" s="23">
        <f>LOWER(Settings!$C$4)&amp;".mit."&amp;$A595&amp;IF($C595="","","."&amp;$C595&amp;"."&amp;$B595)&amp;IF(INDEX(Variables!$D$5:$D$65,MATCH($A595,Variables!$A$5:$A$65,0))="","","."&amp;INDEX(Variables!$D$5:$D$65,MATCH($A595,Variables!$A$5:$A$65,0)))&amp;"."&amp;Z$5</f>
        <v/>
      </c>
      <c r="AA595" s="38">
        <f>INDEX(Inputs!$S$5:$S$132,MATCH($B595&amp;"|"&amp;$C595,Inputs!$A$5:$A$132,0))</f>
        <v/>
      </c>
      <c r="AB595" s="36">
        <f>AA595*(1+$D595)</f>
        <v/>
      </c>
      <c r="AC595" s="36">
        <f>AB595*(1+$D595)</f>
        <v/>
      </c>
      <c r="AD595" s="36">
        <f>AC595*(1+$D595)</f>
        <v/>
      </c>
      <c r="AE595" s="36">
        <f>AD595*(1+$D595)</f>
        <v/>
      </c>
      <c r="AF595" s="36">
        <f>AE595*(1+$D595)</f>
        <v/>
      </c>
      <c r="AG595" s="36">
        <f>AF595*(1+$D595)</f>
        <v/>
      </c>
      <c r="AH595" s="36">
        <f>AG595*(1+$D595)</f>
        <v/>
      </c>
      <c r="AI595" s="36">
        <f>AH595*(1+$D595)</f>
        <v/>
      </c>
      <c r="AJ595" s="36">
        <f>AI595*(1+$D595)</f>
        <v/>
      </c>
      <c r="AK595" s="36">
        <f>AJ595*(1+$D595)</f>
        <v/>
      </c>
      <c r="AL595" s="36">
        <f>AK595*(1+$D595)</f>
        <v/>
      </c>
      <c r="AM595" s="36">
        <f>AL595*(1+$D595)</f>
        <v/>
      </c>
      <c r="AN595" s="39">
        <f>PRETAX(AM595,$D595)</f>
        <v/>
      </c>
    </row>
    <row r="596" hidden="1" outlineLevel="2">
      <c r="A596" s="5" t="inlineStr">
        <is>
          <t>sp</t>
        </is>
      </c>
      <c r="B596" s="5" t="inlineStr">
        <is>
          <t>die</t>
        </is>
      </c>
      <c r="C596" s="5" t="inlineStr">
        <is>
          <t>srv</t>
        </is>
      </c>
      <c r="D596" s="36">
        <f>INDEX(Inputs!$R$5:$R$132,MATCH($B596&amp;"|"&amp;$C596,Inputs!$A$5:$A$132,0))</f>
        <v/>
      </c>
      <c r="E596" s="37" t="n"/>
      <c r="F596" s="37" t="n"/>
      <c r="G596" s="37" t="n"/>
      <c r="H596" s="5">
        <f>INDEX(Variables!$B$5:$B$65,MATCH($A596,Variables!$A$5:$A$65,0))&amp;IF($C596="",""," | "&amp;INDEX(Mapping!$B$5:$B$25,MATCH($C596,Mapping!$A$5:$A$25,0))&amp;" | "&amp;INDEX(Mapping!$B$29:$B$38,MATCH($B596,Mapping!$A$29:$A$38,0)))</f>
        <v/>
      </c>
      <c r="I596" s="5">
        <f>INDEX(Variables!$C$5:$C$65,MATCH($A596,Variables!$A$5:$A$65,0))</f>
        <v/>
      </c>
      <c r="J596" s="5">
        <f>INDEX(Variables!$E$5:$E$65,MATCH($A596,Variables!$A$5:$A$65,0))</f>
        <v/>
      </c>
      <c r="K596" s="23">
        <f>LOWER(Settings!$C$4)&amp;".mit."&amp;$A596&amp;IF($C596="","","."&amp;$C596&amp;"."&amp;$B596)&amp;IF(INDEX(Variables!$D$5:$D$65,MATCH($A596,Variables!$A$5:$A$65,0))="","","."&amp;INDEX(Variables!$D$5:$D$65,MATCH($A596,Variables!$A$5:$A$65,0)))&amp;"."&amp;K$5</f>
        <v/>
      </c>
      <c r="L596" s="38">
        <f>INDEX(Inputs!$S$5:$S$132,MATCH($B596&amp;"|"&amp;$C596,Inputs!$A$5:$A$132,0))</f>
        <v/>
      </c>
      <c r="M596" s="36">
        <f>L596*(1+$D596)</f>
        <v/>
      </c>
      <c r="N596" s="36">
        <f>M596*(1+$D596)</f>
        <v/>
      </c>
      <c r="O596" s="36">
        <f>N596*(1+$D596)</f>
        <v/>
      </c>
      <c r="P596" s="36">
        <f>O596*(1+$D596)</f>
        <v/>
      </c>
      <c r="Q596" s="36">
        <f>P596*(1+$D596)</f>
        <v/>
      </c>
      <c r="R596" s="36">
        <f>Q596*(1+$D596)</f>
        <v/>
      </c>
      <c r="S596" s="36">
        <f>R596*(1+$D596)</f>
        <v/>
      </c>
      <c r="T596" s="36">
        <f>S596*(1+$D596)</f>
        <v/>
      </c>
      <c r="U596" s="36">
        <f>T596*(1+$D596)</f>
        <v/>
      </c>
      <c r="V596" s="36">
        <f>U596*(1+$D596)</f>
        <v/>
      </c>
      <c r="W596" s="36">
        <f>V596*(1+$D596)</f>
        <v/>
      </c>
      <c r="X596" s="36">
        <f>W596*(1+$D596)</f>
        <v/>
      </c>
      <c r="Y596" s="39">
        <f>PRETAX(X596,$D596)</f>
        <v/>
      </c>
      <c r="Z596" s="23">
        <f>LOWER(Settings!$C$4)&amp;".mit."&amp;$A596&amp;IF($C596="","","."&amp;$C596&amp;"."&amp;$B596)&amp;IF(INDEX(Variables!$D$5:$D$65,MATCH($A596,Variables!$A$5:$A$65,0))="","","."&amp;INDEX(Variables!$D$5:$D$65,MATCH($A596,Variables!$A$5:$A$65,0)))&amp;"."&amp;Z$5</f>
        <v/>
      </c>
      <c r="AA596" s="38">
        <f>INDEX(Inputs!$S$5:$S$132,MATCH($B596&amp;"|"&amp;$C596,Inputs!$A$5:$A$132,0))</f>
        <v/>
      </c>
      <c r="AB596" s="36">
        <f>AA596*(1+$D596)</f>
        <v/>
      </c>
      <c r="AC596" s="36">
        <f>AB596*(1+$D596)</f>
        <v/>
      </c>
      <c r="AD596" s="36">
        <f>AC596*(1+$D596)</f>
        <v/>
      </c>
      <c r="AE596" s="36">
        <f>AD596*(1+$D596)</f>
        <v/>
      </c>
      <c r="AF596" s="36">
        <f>AE596*(1+$D596)</f>
        <v/>
      </c>
      <c r="AG596" s="36">
        <f>AF596*(1+$D596)</f>
        <v/>
      </c>
      <c r="AH596" s="36">
        <f>AG596*(1+$D596)</f>
        <v/>
      </c>
      <c r="AI596" s="36">
        <f>AH596*(1+$D596)</f>
        <v/>
      </c>
      <c r="AJ596" s="36">
        <f>AI596*(1+$D596)</f>
        <v/>
      </c>
      <c r="AK596" s="36">
        <f>AJ596*(1+$D596)</f>
        <v/>
      </c>
      <c r="AL596" s="36">
        <f>AK596*(1+$D596)</f>
        <v/>
      </c>
      <c r="AM596" s="36">
        <f>AL596*(1+$D596)</f>
        <v/>
      </c>
      <c r="AN596" s="39">
        <f>PRETAX(AM596,$D596)</f>
        <v/>
      </c>
    </row>
    <row r="597" hidden="1" outlineLevel="2">
      <c r="A597" s="5" t="inlineStr">
        <is>
          <t>sp</t>
        </is>
      </c>
      <c r="B597" s="5" t="inlineStr">
        <is>
          <t>lpg</t>
        </is>
      </c>
      <c r="C597" s="5" t="inlineStr">
        <is>
          <t>srv</t>
        </is>
      </c>
      <c r="D597" s="36">
        <f>INDEX(Inputs!$R$5:$R$132,MATCH($B597&amp;"|"&amp;$C597,Inputs!$A$5:$A$132,0))</f>
        <v/>
      </c>
      <c r="E597" s="37" t="n"/>
      <c r="F597" s="37" t="n"/>
      <c r="G597" s="37" t="n"/>
      <c r="H597" s="5">
        <f>INDEX(Variables!$B$5:$B$65,MATCH($A597,Variables!$A$5:$A$65,0))&amp;IF($C597="",""," | "&amp;INDEX(Mapping!$B$5:$B$25,MATCH($C597,Mapping!$A$5:$A$25,0))&amp;" | "&amp;INDEX(Mapping!$B$29:$B$38,MATCH($B597,Mapping!$A$29:$A$38,0)))</f>
        <v/>
      </c>
      <c r="I597" s="5">
        <f>INDEX(Variables!$C$5:$C$65,MATCH($A597,Variables!$A$5:$A$65,0))</f>
        <v/>
      </c>
      <c r="J597" s="5">
        <f>INDEX(Variables!$E$5:$E$65,MATCH($A597,Variables!$A$5:$A$65,0))</f>
        <v/>
      </c>
      <c r="K597" s="23">
        <f>LOWER(Settings!$C$4)&amp;".mit."&amp;$A597&amp;IF($C597="","","."&amp;$C597&amp;"."&amp;$B597)&amp;IF(INDEX(Variables!$D$5:$D$65,MATCH($A597,Variables!$A$5:$A$65,0))="","","."&amp;INDEX(Variables!$D$5:$D$65,MATCH($A597,Variables!$A$5:$A$65,0)))&amp;"."&amp;K$5</f>
        <v/>
      </c>
      <c r="L597" s="38">
        <f>INDEX(Inputs!$S$5:$S$132,MATCH($B597&amp;"|"&amp;$C597,Inputs!$A$5:$A$132,0))</f>
        <v/>
      </c>
      <c r="M597" s="36">
        <f>L597*(1+$D597)</f>
        <v/>
      </c>
      <c r="N597" s="36">
        <f>M597*(1+$D597)</f>
        <v/>
      </c>
      <c r="O597" s="36">
        <f>N597*(1+$D597)</f>
        <v/>
      </c>
      <c r="P597" s="36">
        <f>O597*(1+$D597)</f>
        <v/>
      </c>
      <c r="Q597" s="36">
        <f>P597*(1+$D597)</f>
        <v/>
      </c>
      <c r="R597" s="36">
        <f>Q597*(1+$D597)</f>
        <v/>
      </c>
      <c r="S597" s="36">
        <f>R597*(1+$D597)</f>
        <v/>
      </c>
      <c r="T597" s="36">
        <f>S597*(1+$D597)</f>
        <v/>
      </c>
      <c r="U597" s="36">
        <f>T597*(1+$D597)</f>
        <v/>
      </c>
      <c r="V597" s="36">
        <f>U597*(1+$D597)</f>
        <v/>
      </c>
      <c r="W597" s="36">
        <f>V597*(1+$D597)</f>
        <v/>
      </c>
      <c r="X597" s="36">
        <f>W597*(1+$D597)</f>
        <v/>
      </c>
      <c r="Y597" s="39">
        <f>PRETAX(X597,$D597)</f>
        <v/>
      </c>
      <c r="Z597" s="23">
        <f>LOWER(Settings!$C$4)&amp;".mit."&amp;$A597&amp;IF($C597="","","."&amp;$C597&amp;"."&amp;$B597)&amp;IF(INDEX(Variables!$D$5:$D$65,MATCH($A597,Variables!$A$5:$A$65,0))="","","."&amp;INDEX(Variables!$D$5:$D$65,MATCH($A597,Variables!$A$5:$A$65,0)))&amp;"."&amp;Z$5</f>
        <v/>
      </c>
      <c r="AA597" s="38">
        <f>INDEX(Inputs!$S$5:$S$132,MATCH($B597&amp;"|"&amp;$C597,Inputs!$A$5:$A$132,0))</f>
        <v/>
      </c>
      <c r="AB597" s="36">
        <f>AA597*(1+$D597)</f>
        <v/>
      </c>
      <c r="AC597" s="36">
        <f>AB597*(1+$D597)</f>
        <v/>
      </c>
      <c r="AD597" s="36">
        <f>AC597*(1+$D597)</f>
        <v/>
      </c>
      <c r="AE597" s="36">
        <f>AD597*(1+$D597)</f>
        <v/>
      </c>
      <c r="AF597" s="36">
        <f>AE597*(1+$D597)</f>
        <v/>
      </c>
      <c r="AG597" s="36">
        <f>AF597*(1+$D597)</f>
        <v/>
      </c>
      <c r="AH597" s="36">
        <f>AG597*(1+$D597)</f>
        <v/>
      </c>
      <c r="AI597" s="36">
        <f>AH597*(1+$D597)</f>
        <v/>
      </c>
      <c r="AJ597" s="36">
        <f>AI597*(1+$D597)</f>
        <v/>
      </c>
      <c r="AK597" s="36">
        <f>AJ597*(1+$D597)</f>
        <v/>
      </c>
      <c r="AL597" s="36">
        <f>AK597*(1+$D597)</f>
        <v/>
      </c>
      <c r="AM597" s="36">
        <f>AL597*(1+$D597)</f>
        <v/>
      </c>
      <c r="AN597" s="39">
        <f>PRETAX(AM597,$D597)</f>
        <v/>
      </c>
    </row>
    <row r="598" hidden="1" outlineLevel="2">
      <c r="A598" s="5" t="inlineStr">
        <is>
          <t>sp</t>
        </is>
      </c>
      <c r="B598" s="5" t="inlineStr">
        <is>
          <t>ker</t>
        </is>
      </c>
      <c r="C598" s="5" t="inlineStr">
        <is>
          <t>srv</t>
        </is>
      </c>
      <c r="D598" s="36">
        <f>INDEX(Inputs!$R$5:$R$132,MATCH($B598&amp;"|"&amp;$C598,Inputs!$A$5:$A$132,0))</f>
        <v/>
      </c>
      <c r="E598" s="37" t="n"/>
      <c r="F598" s="37" t="n"/>
      <c r="G598" s="37" t="n"/>
      <c r="H598" s="5">
        <f>INDEX(Variables!$B$5:$B$65,MATCH($A598,Variables!$A$5:$A$65,0))&amp;IF($C598="",""," | "&amp;INDEX(Mapping!$B$5:$B$25,MATCH($C598,Mapping!$A$5:$A$25,0))&amp;" | "&amp;INDEX(Mapping!$B$29:$B$38,MATCH($B598,Mapping!$A$29:$A$38,0)))</f>
        <v/>
      </c>
      <c r="I598" s="5">
        <f>INDEX(Variables!$C$5:$C$65,MATCH($A598,Variables!$A$5:$A$65,0))</f>
        <v/>
      </c>
      <c r="J598" s="5">
        <f>INDEX(Variables!$E$5:$E$65,MATCH($A598,Variables!$A$5:$A$65,0))</f>
        <v/>
      </c>
      <c r="K598" s="23">
        <f>LOWER(Settings!$C$4)&amp;".mit."&amp;$A598&amp;IF($C598="","","."&amp;$C598&amp;"."&amp;$B598)&amp;IF(INDEX(Variables!$D$5:$D$65,MATCH($A598,Variables!$A$5:$A$65,0))="","","."&amp;INDEX(Variables!$D$5:$D$65,MATCH($A598,Variables!$A$5:$A$65,0)))&amp;"."&amp;K$5</f>
        <v/>
      </c>
      <c r="L598" s="38">
        <f>INDEX(Inputs!$S$5:$S$132,MATCH($B598&amp;"|"&amp;$C598,Inputs!$A$5:$A$132,0))</f>
        <v/>
      </c>
      <c r="M598" s="36">
        <f>L598*(1+$D598)</f>
        <v/>
      </c>
      <c r="N598" s="36">
        <f>M598*(1+$D598)</f>
        <v/>
      </c>
      <c r="O598" s="36">
        <f>N598*(1+$D598)</f>
        <v/>
      </c>
      <c r="P598" s="36">
        <f>O598*(1+$D598)</f>
        <v/>
      </c>
      <c r="Q598" s="36">
        <f>P598*(1+$D598)</f>
        <v/>
      </c>
      <c r="R598" s="36">
        <f>Q598*(1+$D598)</f>
        <v/>
      </c>
      <c r="S598" s="36">
        <f>R598*(1+$D598)</f>
        <v/>
      </c>
      <c r="T598" s="36">
        <f>S598*(1+$D598)</f>
        <v/>
      </c>
      <c r="U598" s="36">
        <f>T598*(1+$D598)</f>
        <v/>
      </c>
      <c r="V598" s="36">
        <f>U598*(1+$D598)</f>
        <v/>
      </c>
      <c r="W598" s="36">
        <f>V598*(1+$D598)</f>
        <v/>
      </c>
      <c r="X598" s="36">
        <f>W598*(1+$D598)</f>
        <v/>
      </c>
      <c r="Y598" s="39">
        <f>PRETAX(X598,$D598)</f>
        <v/>
      </c>
      <c r="Z598" s="23">
        <f>LOWER(Settings!$C$4)&amp;".mit."&amp;$A598&amp;IF($C598="","","."&amp;$C598&amp;"."&amp;$B598)&amp;IF(INDEX(Variables!$D$5:$D$65,MATCH($A598,Variables!$A$5:$A$65,0))="","","."&amp;INDEX(Variables!$D$5:$D$65,MATCH($A598,Variables!$A$5:$A$65,0)))&amp;"."&amp;Z$5</f>
        <v/>
      </c>
      <c r="AA598" s="38">
        <f>INDEX(Inputs!$S$5:$S$132,MATCH($B598&amp;"|"&amp;$C598,Inputs!$A$5:$A$132,0))</f>
        <v/>
      </c>
      <c r="AB598" s="36">
        <f>AA598*(1+$D598)</f>
        <v/>
      </c>
      <c r="AC598" s="36">
        <f>AB598*(1+$D598)</f>
        <v/>
      </c>
      <c r="AD598" s="36">
        <f>AC598*(1+$D598)</f>
        <v/>
      </c>
      <c r="AE598" s="36">
        <f>AD598*(1+$D598)</f>
        <v/>
      </c>
      <c r="AF598" s="36">
        <f>AE598*(1+$D598)</f>
        <v/>
      </c>
      <c r="AG598" s="36">
        <f>AF598*(1+$D598)</f>
        <v/>
      </c>
      <c r="AH598" s="36">
        <f>AG598*(1+$D598)</f>
        <v/>
      </c>
      <c r="AI598" s="36">
        <f>AH598*(1+$D598)</f>
        <v/>
      </c>
      <c r="AJ598" s="36">
        <f>AI598*(1+$D598)</f>
        <v/>
      </c>
      <c r="AK598" s="36">
        <f>AJ598*(1+$D598)</f>
        <v/>
      </c>
      <c r="AL598" s="36">
        <f>AK598*(1+$D598)</f>
        <v/>
      </c>
      <c r="AM598" s="36">
        <f>AL598*(1+$D598)</f>
        <v/>
      </c>
      <c r="AN598" s="39">
        <f>PRETAX(AM598,$D598)</f>
        <v/>
      </c>
    </row>
    <row r="599" hidden="1" outlineLevel="2">
      <c r="A599" s="5" t="inlineStr">
        <is>
          <t>sp</t>
        </is>
      </c>
      <c r="B599" s="5" t="inlineStr">
        <is>
          <t>oop</t>
        </is>
      </c>
      <c r="C599" s="5" t="inlineStr">
        <is>
          <t>srv</t>
        </is>
      </c>
      <c r="D599" s="36">
        <f>INDEX(Inputs!$R$5:$R$132,MATCH($B599&amp;"|"&amp;$C599,Inputs!$A$5:$A$132,0))</f>
        <v/>
      </c>
      <c r="E599" s="37" t="n"/>
      <c r="F599" s="37" t="n"/>
      <c r="G599" s="37" t="n"/>
      <c r="H599" s="5">
        <f>INDEX(Variables!$B$5:$B$65,MATCH($A599,Variables!$A$5:$A$65,0))&amp;IF($C599="",""," | "&amp;INDEX(Mapping!$B$5:$B$25,MATCH($C599,Mapping!$A$5:$A$25,0))&amp;" | "&amp;INDEX(Mapping!$B$29:$B$38,MATCH($B599,Mapping!$A$29:$A$38,0)))</f>
        <v/>
      </c>
      <c r="I599" s="5">
        <f>INDEX(Variables!$C$5:$C$65,MATCH($A599,Variables!$A$5:$A$65,0))</f>
        <v/>
      </c>
      <c r="J599" s="5">
        <f>INDEX(Variables!$E$5:$E$65,MATCH($A599,Variables!$A$5:$A$65,0))</f>
        <v/>
      </c>
      <c r="K599" s="23">
        <f>LOWER(Settings!$C$4)&amp;".mit."&amp;$A599&amp;IF($C599="","","."&amp;$C599&amp;"."&amp;$B599)&amp;IF(INDEX(Variables!$D$5:$D$65,MATCH($A599,Variables!$A$5:$A$65,0))="","","."&amp;INDEX(Variables!$D$5:$D$65,MATCH($A599,Variables!$A$5:$A$65,0)))&amp;"."&amp;K$5</f>
        <v/>
      </c>
      <c r="L599" s="38">
        <f>INDEX(Inputs!$S$5:$S$132,MATCH($B599&amp;"|"&amp;$C599,Inputs!$A$5:$A$132,0))</f>
        <v/>
      </c>
      <c r="M599" s="36">
        <f>L599*(1+$D599)</f>
        <v/>
      </c>
      <c r="N599" s="36">
        <f>M599*(1+$D599)</f>
        <v/>
      </c>
      <c r="O599" s="36">
        <f>N599*(1+$D599)</f>
        <v/>
      </c>
      <c r="P599" s="36">
        <f>O599*(1+$D599)</f>
        <v/>
      </c>
      <c r="Q599" s="36">
        <f>P599*(1+$D599)</f>
        <v/>
      </c>
      <c r="R599" s="36">
        <f>Q599*(1+$D599)</f>
        <v/>
      </c>
      <c r="S599" s="36">
        <f>R599*(1+$D599)</f>
        <v/>
      </c>
      <c r="T599" s="36">
        <f>S599*(1+$D599)</f>
        <v/>
      </c>
      <c r="U599" s="36">
        <f>T599*(1+$D599)</f>
        <v/>
      </c>
      <c r="V599" s="36">
        <f>U599*(1+$D599)</f>
        <v/>
      </c>
      <c r="W599" s="36">
        <f>V599*(1+$D599)</f>
        <v/>
      </c>
      <c r="X599" s="36">
        <f>W599*(1+$D599)</f>
        <v/>
      </c>
      <c r="Y599" s="39">
        <f>PRETAX(X599,$D599)</f>
        <v/>
      </c>
      <c r="Z599" s="23">
        <f>LOWER(Settings!$C$4)&amp;".mit."&amp;$A599&amp;IF($C599="","","."&amp;$C599&amp;"."&amp;$B599)&amp;IF(INDEX(Variables!$D$5:$D$65,MATCH($A599,Variables!$A$5:$A$65,0))="","","."&amp;INDEX(Variables!$D$5:$D$65,MATCH($A599,Variables!$A$5:$A$65,0)))&amp;"."&amp;Z$5</f>
        <v/>
      </c>
      <c r="AA599" s="38">
        <f>INDEX(Inputs!$S$5:$S$132,MATCH($B599&amp;"|"&amp;$C599,Inputs!$A$5:$A$132,0))</f>
        <v/>
      </c>
      <c r="AB599" s="36">
        <f>AA599*(1+$D599)</f>
        <v/>
      </c>
      <c r="AC599" s="36">
        <f>AB599*(1+$D599)</f>
        <v/>
      </c>
      <c r="AD599" s="36">
        <f>AC599*(1+$D599)</f>
        <v/>
      </c>
      <c r="AE599" s="36">
        <f>AD599*(1+$D599)</f>
        <v/>
      </c>
      <c r="AF599" s="36">
        <f>AE599*(1+$D599)</f>
        <v/>
      </c>
      <c r="AG599" s="36">
        <f>AF599*(1+$D599)</f>
        <v/>
      </c>
      <c r="AH599" s="36">
        <f>AG599*(1+$D599)</f>
        <v/>
      </c>
      <c r="AI599" s="36">
        <f>AH599*(1+$D599)</f>
        <v/>
      </c>
      <c r="AJ599" s="36">
        <f>AI599*(1+$D599)</f>
        <v/>
      </c>
      <c r="AK599" s="36">
        <f>AJ599*(1+$D599)</f>
        <v/>
      </c>
      <c r="AL599" s="36">
        <f>AK599*(1+$D599)</f>
        <v/>
      </c>
      <c r="AM599" s="36">
        <f>AL599*(1+$D599)</f>
        <v/>
      </c>
      <c r="AN599" s="39">
        <f>PRETAX(AM599,$D599)</f>
        <v/>
      </c>
    </row>
    <row r="600" hidden="1" outlineLevel="2">
      <c r="A600" s="5" t="inlineStr">
        <is>
          <t>sp</t>
        </is>
      </c>
      <c r="B600" s="5" t="inlineStr">
        <is>
          <t>bio</t>
        </is>
      </c>
      <c r="C600" s="5" t="inlineStr">
        <is>
          <t>srv</t>
        </is>
      </c>
      <c r="D600" s="36">
        <f>INDEX(Inputs!$R$5:$R$132,MATCH($B600&amp;"|"&amp;$C600,Inputs!$A$5:$A$132,0))</f>
        <v/>
      </c>
      <c r="E600" s="37" t="n"/>
      <c r="F600" s="37" t="n"/>
      <c r="G600" s="37" t="n"/>
      <c r="H600" s="5">
        <f>INDEX(Variables!$B$5:$B$65,MATCH($A600,Variables!$A$5:$A$65,0))&amp;IF($C600="",""," | "&amp;INDEX(Mapping!$B$5:$B$25,MATCH($C600,Mapping!$A$5:$A$25,0))&amp;" | "&amp;INDEX(Mapping!$B$29:$B$38,MATCH($B600,Mapping!$A$29:$A$38,0)))</f>
        <v/>
      </c>
      <c r="I600" s="5">
        <f>INDEX(Variables!$C$5:$C$65,MATCH($A600,Variables!$A$5:$A$65,0))</f>
        <v/>
      </c>
      <c r="J600" s="5">
        <f>INDEX(Variables!$E$5:$E$65,MATCH($A600,Variables!$A$5:$A$65,0))</f>
        <v/>
      </c>
      <c r="K600" s="23">
        <f>LOWER(Settings!$C$4)&amp;".mit."&amp;$A600&amp;IF($C600="","","."&amp;$C600&amp;"."&amp;$B600)&amp;IF(INDEX(Variables!$D$5:$D$65,MATCH($A600,Variables!$A$5:$A$65,0))="","","."&amp;INDEX(Variables!$D$5:$D$65,MATCH($A600,Variables!$A$5:$A$65,0)))&amp;"."&amp;K$5</f>
        <v/>
      </c>
      <c r="L600" s="38">
        <f>INDEX(Inputs!$S$5:$S$132,MATCH($B600&amp;"|"&amp;$C600,Inputs!$A$5:$A$132,0))</f>
        <v/>
      </c>
      <c r="M600" s="36">
        <f>L600*(1+$D600)</f>
        <v/>
      </c>
      <c r="N600" s="36">
        <f>M600*(1+$D600)</f>
        <v/>
      </c>
      <c r="O600" s="36">
        <f>N600*(1+$D600)</f>
        <v/>
      </c>
      <c r="P600" s="36">
        <f>O600*(1+$D600)</f>
        <v/>
      </c>
      <c r="Q600" s="36">
        <f>P600*(1+$D600)</f>
        <v/>
      </c>
      <c r="R600" s="36">
        <f>Q600*(1+$D600)</f>
        <v/>
      </c>
      <c r="S600" s="36">
        <f>R600*(1+$D600)</f>
        <v/>
      </c>
      <c r="T600" s="36">
        <f>S600*(1+$D600)</f>
        <v/>
      </c>
      <c r="U600" s="36">
        <f>T600*(1+$D600)</f>
        <v/>
      </c>
      <c r="V600" s="36">
        <f>U600*(1+$D600)</f>
        <v/>
      </c>
      <c r="W600" s="36">
        <f>V600*(1+$D600)</f>
        <v/>
      </c>
      <c r="X600" s="36">
        <f>W600*(1+$D600)</f>
        <v/>
      </c>
      <c r="Y600" s="39">
        <f>PRETAX(X600,$D600)</f>
        <v/>
      </c>
      <c r="Z600" s="23">
        <f>LOWER(Settings!$C$4)&amp;".mit."&amp;$A600&amp;IF($C600="","","."&amp;$C600&amp;"."&amp;$B600)&amp;IF(INDEX(Variables!$D$5:$D$65,MATCH($A600,Variables!$A$5:$A$65,0))="","","."&amp;INDEX(Variables!$D$5:$D$65,MATCH($A600,Variables!$A$5:$A$65,0)))&amp;"."&amp;Z$5</f>
        <v/>
      </c>
      <c r="AA600" s="38">
        <f>INDEX(Inputs!$S$5:$S$132,MATCH($B600&amp;"|"&amp;$C600,Inputs!$A$5:$A$132,0))</f>
        <v/>
      </c>
      <c r="AB600" s="36">
        <f>AA600*(1+$D600)</f>
        <v/>
      </c>
      <c r="AC600" s="36">
        <f>AB600*(1+$D600)</f>
        <v/>
      </c>
      <c r="AD600" s="36">
        <f>AC600*(1+$D600)</f>
        <v/>
      </c>
      <c r="AE600" s="36">
        <f>AD600*(1+$D600)</f>
        <v/>
      </c>
      <c r="AF600" s="36">
        <f>AE600*(1+$D600)</f>
        <v/>
      </c>
      <c r="AG600" s="36">
        <f>AF600*(1+$D600)</f>
        <v/>
      </c>
      <c r="AH600" s="36">
        <f>AG600*(1+$D600)</f>
        <v/>
      </c>
      <c r="AI600" s="36">
        <f>AH600*(1+$D600)</f>
        <v/>
      </c>
      <c r="AJ600" s="36">
        <f>AI600*(1+$D600)</f>
        <v/>
      </c>
      <c r="AK600" s="36">
        <f>AJ600*(1+$D600)</f>
        <v/>
      </c>
      <c r="AL600" s="36">
        <f>AK600*(1+$D600)</f>
        <v/>
      </c>
      <c r="AM600" s="36">
        <f>AL600*(1+$D600)</f>
        <v/>
      </c>
      <c r="AN600" s="39">
        <f>PRETAX(AM600,$D600)</f>
        <v/>
      </c>
    </row>
    <row r="601" hidden="1" outlineLevel="2"/>
    <row r="602" hidden="1" outlineLevel="2">
      <c r="A602" s="5" t="inlineStr">
        <is>
          <t>ctxnew</t>
        </is>
      </c>
      <c r="B602" s="5" t="inlineStr">
        <is>
          <t>coa</t>
        </is>
      </c>
      <c r="C602" s="5" t="inlineStr">
        <is>
          <t>srv</t>
        </is>
      </c>
      <c r="D602" s="36">
        <f>INDEX(Inputs!$U$5:$U$132,MATCH($B602&amp;"|"&amp;$C602,Inputs!$A$5:$A$132,0))</f>
        <v/>
      </c>
      <c r="E602" s="36">
        <f>INDEX(Inputs!$J$5:$J$132,MATCH($B602&amp;"|"&amp;$C602,Inputs!$A$5:$A$132,0))</f>
        <v/>
      </c>
      <c r="F602" s="36">
        <f>INDEX(Inputs!$K$5:$K$132,MATCH($B602&amp;"|"&amp;$C602,Inputs!$A$5:$A$132,0))</f>
        <v/>
      </c>
      <c r="G602" s="37" t="n"/>
      <c r="H602" s="5">
        <f>INDEX(Variables!$B$5:$B$65,MATCH($A602,Variables!$A$5:$A$65,0))&amp;IF($C602="",""," | "&amp;INDEX(Mapping!$B$5:$B$25,MATCH($C602,Mapping!$A$5:$A$25,0))&amp;" | "&amp;INDEX(Mapping!$B$29:$B$38,MATCH($B602,Mapping!$A$29:$A$38,0)))</f>
        <v/>
      </c>
      <c r="I602" s="5">
        <f>INDEX(Variables!$C$5:$C$65,MATCH($A602,Variables!$A$5:$A$65,0))</f>
        <v/>
      </c>
      <c r="J602" s="5">
        <f>INDEX(Variables!$E$5:$E$65,MATCH($A602,Variables!$A$5:$A$65,0))</f>
        <v/>
      </c>
      <c r="K602" s="23">
        <f>LOWER(Settings!$C$4)&amp;".mit."&amp;$A602&amp;IF($C602="","","."&amp;$C602&amp;"."&amp;$B602)&amp;IF(INDEX(Variables!$D$5:$D$65,MATCH($A602,Variables!$A$5:$A$65,0))="","","."&amp;INDEX(Variables!$D$5:$D$65,MATCH($A602,Variables!$A$5:$A$65,0)))&amp;"."&amp;K$5</f>
        <v/>
      </c>
      <c r="L602" s="38">
        <f>L$10*$D602*INDEX(L$18:L$25,$E602)*INDEX(L$27:L$43,$F602)</f>
        <v/>
      </c>
      <c r="M602" s="36">
        <f>M$10*$D602*INDEX(M$18:M$25,$E602)*INDEX(M$27:M$43,$F602)</f>
        <v/>
      </c>
      <c r="N602" s="36">
        <f>N$10*$D602*INDEX(N$18:N$25,$E602)*INDEX(N$27:N$43,$F602)</f>
        <v/>
      </c>
      <c r="O602" s="36">
        <f>O$10*$D602*INDEX(O$18:O$25,$E602)*INDEX(O$27:O$43,$F602)</f>
        <v/>
      </c>
      <c r="P602" s="36">
        <f>P$10*$D602*INDEX(P$18:P$25,$E602)*INDEX(P$27:P$43,$F602)</f>
        <v/>
      </c>
      <c r="Q602" s="36">
        <f>Q$10*$D602*INDEX(Q$18:Q$25,$E602)*INDEX(Q$27:Q$43,$F602)</f>
        <v/>
      </c>
      <c r="R602" s="36">
        <f>R$10*$D602*INDEX(R$18:R$25,$E602)*INDEX(R$27:R$43,$F602)</f>
        <v/>
      </c>
      <c r="S602" s="36">
        <f>S$10*$D602*INDEX(S$18:S$25,$E602)*INDEX(S$27:S$43,$F602)</f>
        <v/>
      </c>
      <c r="T602" s="36">
        <f>T$10*$D602*INDEX(T$18:T$25,$E602)*INDEX(T$27:T$43,$F602)</f>
        <v/>
      </c>
      <c r="U602" s="36">
        <f>U$10*$D602*INDEX(U$18:U$25,$E602)*INDEX(U$27:U$43,$F602)</f>
        <v/>
      </c>
      <c r="V602" s="36">
        <f>V$10*$D602*INDEX(V$18:V$25,$E602)*INDEX(V$27:V$43,$F602)</f>
        <v/>
      </c>
      <c r="W602" s="36">
        <f>W$10*$D602*INDEX(W$18:W$25,$E602)*INDEX(W$27:W$43,$F602)</f>
        <v/>
      </c>
      <c r="X602" s="36">
        <f>X$10*$D602*INDEX(X$18:X$25,$E602)*INDEX(X$27:X$43,$F602)</f>
        <v/>
      </c>
      <c r="Y602" s="36">
        <f>Y$10*$D602*INDEX(Y$18:Y$25,$E602)*INDEX(Y$27:Y$43,$F602)</f>
        <v/>
      </c>
      <c r="Z602" s="23">
        <f>LOWER(Settings!$C$4)&amp;".mit."&amp;$A602&amp;IF($C602="","","."&amp;$C602&amp;"."&amp;$B602)&amp;IF(INDEX(Variables!$D$5:$D$65,MATCH($A602,Variables!$A$5:$A$65,0))="","","."&amp;INDEX(Variables!$D$5:$D$65,MATCH($A602,Variables!$A$5:$A$65,0)))&amp;"."&amp;Z$5</f>
        <v/>
      </c>
      <c r="AA602" s="38">
        <f>AA$10*$D602*INDEX(AA$18:AA$25,$E602)*INDEX(AA$27:AA$43,$F602)</f>
        <v/>
      </c>
      <c r="AB602" s="36">
        <f>AB$10*$D602*INDEX(AB$18:AB$25,$E602)*INDEX(AB$27:AB$43,$F602)</f>
        <v/>
      </c>
      <c r="AC602" s="36">
        <f>AC$10*$D602*INDEX(AC$18:AC$25,$E602)*INDEX(AC$27:AC$43,$F602)</f>
        <v/>
      </c>
      <c r="AD602" s="36">
        <f>AD$10*$D602*INDEX(AD$18:AD$25,$E602)*INDEX(AD$27:AD$43,$F602)</f>
        <v/>
      </c>
      <c r="AE602" s="36">
        <f>AE$10*$D602*INDEX(AE$18:AE$25,$E602)*INDEX(AE$27:AE$43,$F602)</f>
        <v/>
      </c>
      <c r="AF602" s="36">
        <f>AF$10*$D602*INDEX(AF$18:AF$25,$E602)*INDEX(AF$27:AF$43,$F602)</f>
        <v/>
      </c>
      <c r="AG602" s="36">
        <f>AG$10*$D602*INDEX(AG$18:AG$25,$E602)*INDEX(AG$27:AG$43,$F602)</f>
        <v/>
      </c>
      <c r="AH602" s="36">
        <f>AH$10*$D602*INDEX(AH$18:AH$25,$E602)*INDEX(AH$27:AH$43,$F602)</f>
        <v/>
      </c>
      <c r="AI602" s="36">
        <f>AI$10*$D602*INDEX(AI$18:AI$25,$E602)*INDEX(AI$27:AI$43,$F602)</f>
        <v/>
      </c>
      <c r="AJ602" s="36">
        <f>AJ$10*$D602*INDEX(AJ$18:AJ$25,$E602)*INDEX(AJ$27:AJ$43,$F602)</f>
        <v/>
      </c>
      <c r="AK602" s="36">
        <f>AK$10*$D602*INDEX(AK$18:AK$25,$E602)*INDEX(AK$27:AK$43,$F602)</f>
        <v/>
      </c>
      <c r="AL602" s="36">
        <f>AL$10*$D602*INDEX(AL$18:AL$25,$E602)*INDEX(AL$27:AL$43,$F602)</f>
        <v/>
      </c>
      <c r="AM602" s="36">
        <f>AM$10*$D602*INDEX(AM$18:AM$25,$E602)*INDEX(AM$27:AM$43,$F602)</f>
        <v/>
      </c>
      <c r="AN602" s="36">
        <f>AN$10*$D602*INDEX(AN$18:AN$25,$E602)*INDEX(AN$27:AN$43,$F602)</f>
        <v/>
      </c>
    </row>
    <row r="603" hidden="1" outlineLevel="2">
      <c r="A603" s="5" t="inlineStr">
        <is>
          <t>ctxnew</t>
        </is>
      </c>
      <c r="B603" s="5" t="inlineStr">
        <is>
          <t>nga</t>
        </is>
      </c>
      <c r="C603" s="5" t="inlineStr">
        <is>
          <t>srv</t>
        </is>
      </c>
      <c r="D603" s="36">
        <f>INDEX(Inputs!$U$5:$U$132,MATCH($B603&amp;"|"&amp;$C603,Inputs!$A$5:$A$132,0))</f>
        <v/>
      </c>
      <c r="E603" s="36">
        <f>INDEX(Inputs!$J$5:$J$132,MATCH($B603&amp;"|"&amp;$C603,Inputs!$A$5:$A$132,0))</f>
        <v/>
      </c>
      <c r="F603" s="36">
        <f>INDEX(Inputs!$K$5:$K$132,MATCH($B603&amp;"|"&amp;$C603,Inputs!$A$5:$A$132,0))</f>
        <v/>
      </c>
      <c r="G603" s="37" t="n"/>
      <c r="H603" s="5">
        <f>INDEX(Variables!$B$5:$B$65,MATCH($A603,Variables!$A$5:$A$65,0))&amp;IF($C603="",""," | "&amp;INDEX(Mapping!$B$5:$B$25,MATCH($C603,Mapping!$A$5:$A$25,0))&amp;" | "&amp;INDEX(Mapping!$B$29:$B$38,MATCH($B603,Mapping!$A$29:$A$38,0)))</f>
        <v/>
      </c>
      <c r="I603" s="5">
        <f>INDEX(Variables!$C$5:$C$65,MATCH($A603,Variables!$A$5:$A$65,0))</f>
        <v/>
      </c>
      <c r="J603" s="5">
        <f>INDEX(Variables!$E$5:$E$65,MATCH($A603,Variables!$A$5:$A$65,0))</f>
        <v/>
      </c>
      <c r="K603" s="23">
        <f>LOWER(Settings!$C$4)&amp;".mit."&amp;$A603&amp;IF($C603="","","."&amp;$C603&amp;"."&amp;$B603)&amp;IF(INDEX(Variables!$D$5:$D$65,MATCH($A603,Variables!$A$5:$A$65,0))="","","."&amp;INDEX(Variables!$D$5:$D$65,MATCH($A603,Variables!$A$5:$A$65,0)))&amp;"."&amp;K$5</f>
        <v/>
      </c>
      <c r="L603" s="38">
        <f>L$10*$D603*INDEX(L$18:L$25,$E603)*INDEX(L$27:L$43,$F603)</f>
        <v/>
      </c>
      <c r="M603" s="36">
        <f>M$10*$D603*INDEX(M$18:M$25,$E603)*INDEX(M$27:M$43,$F603)</f>
        <v/>
      </c>
      <c r="N603" s="36">
        <f>N$10*$D603*INDEX(N$18:N$25,$E603)*INDEX(N$27:N$43,$F603)</f>
        <v/>
      </c>
      <c r="O603" s="36">
        <f>O$10*$D603*INDEX(O$18:O$25,$E603)*INDEX(O$27:O$43,$F603)</f>
        <v/>
      </c>
      <c r="P603" s="36">
        <f>P$10*$D603*INDEX(P$18:P$25,$E603)*INDEX(P$27:P$43,$F603)</f>
        <v/>
      </c>
      <c r="Q603" s="36">
        <f>Q$10*$D603*INDEX(Q$18:Q$25,$E603)*INDEX(Q$27:Q$43,$F603)</f>
        <v/>
      </c>
      <c r="R603" s="36">
        <f>R$10*$D603*INDEX(R$18:R$25,$E603)*INDEX(R$27:R$43,$F603)</f>
        <v/>
      </c>
      <c r="S603" s="36">
        <f>S$10*$D603*INDEX(S$18:S$25,$E603)*INDEX(S$27:S$43,$F603)</f>
        <v/>
      </c>
      <c r="T603" s="36">
        <f>T$10*$D603*INDEX(T$18:T$25,$E603)*INDEX(T$27:T$43,$F603)</f>
        <v/>
      </c>
      <c r="U603" s="36">
        <f>U$10*$D603*INDEX(U$18:U$25,$E603)*INDEX(U$27:U$43,$F603)</f>
        <v/>
      </c>
      <c r="V603" s="36">
        <f>V$10*$D603*INDEX(V$18:V$25,$E603)*INDEX(V$27:V$43,$F603)</f>
        <v/>
      </c>
      <c r="W603" s="36">
        <f>W$10*$D603*INDEX(W$18:W$25,$E603)*INDEX(W$27:W$43,$F603)</f>
        <v/>
      </c>
      <c r="X603" s="36">
        <f>X$10*$D603*INDEX(X$18:X$25,$E603)*INDEX(X$27:X$43,$F603)</f>
        <v/>
      </c>
      <c r="Y603" s="36">
        <f>Y$10*$D603*INDEX(Y$18:Y$25,$E603)*INDEX(Y$27:Y$43,$F603)</f>
        <v/>
      </c>
      <c r="Z603" s="23">
        <f>LOWER(Settings!$C$4)&amp;".mit."&amp;$A603&amp;IF($C603="","","."&amp;$C603&amp;"."&amp;$B603)&amp;IF(INDEX(Variables!$D$5:$D$65,MATCH($A603,Variables!$A$5:$A$65,0))="","","."&amp;INDEX(Variables!$D$5:$D$65,MATCH($A603,Variables!$A$5:$A$65,0)))&amp;"."&amp;Z$5</f>
        <v/>
      </c>
      <c r="AA603" s="38">
        <f>AA$10*$D603*INDEX(AA$18:AA$25,$E603)*INDEX(AA$27:AA$43,$F603)</f>
        <v/>
      </c>
      <c r="AB603" s="36">
        <f>AB$10*$D603*INDEX(AB$18:AB$25,$E603)*INDEX(AB$27:AB$43,$F603)</f>
        <v/>
      </c>
      <c r="AC603" s="36">
        <f>AC$10*$D603*INDEX(AC$18:AC$25,$E603)*INDEX(AC$27:AC$43,$F603)</f>
        <v/>
      </c>
      <c r="AD603" s="36">
        <f>AD$10*$D603*INDEX(AD$18:AD$25,$E603)*INDEX(AD$27:AD$43,$F603)</f>
        <v/>
      </c>
      <c r="AE603" s="36">
        <f>AE$10*$D603*INDEX(AE$18:AE$25,$E603)*INDEX(AE$27:AE$43,$F603)</f>
        <v/>
      </c>
      <c r="AF603" s="36">
        <f>AF$10*$D603*INDEX(AF$18:AF$25,$E603)*INDEX(AF$27:AF$43,$F603)</f>
        <v/>
      </c>
      <c r="AG603" s="36">
        <f>AG$10*$D603*INDEX(AG$18:AG$25,$E603)*INDEX(AG$27:AG$43,$F603)</f>
        <v/>
      </c>
      <c r="AH603" s="36">
        <f>AH$10*$D603*INDEX(AH$18:AH$25,$E603)*INDEX(AH$27:AH$43,$F603)</f>
        <v/>
      </c>
      <c r="AI603" s="36">
        <f>AI$10*$D603*INDEX(AI$18:AI$25,$E603)*INDEX(AI$27:AI$43,$F603)</f>
        <v/>
      </c>
      <c r="AJ603" s="36">
        <f>AJ$10*$D603*INDEX(AJ$18:AJ$25,$E603)*INDEX(AJ$27:AJ$43,$F603)</f>
        <v/>
      </c>
      <c r="AK603" s="36">
        <f>AK$10*$D603*INDEX(AK$18:AK$25,$E603)*INDEX(AK$27:AK$43,$F603)</f>
        <v/>
      </c>
      <c r="AL603" s="36">
        <f>AL$10*$D603*INDEX(AL$18:AL$25,$E603)*INDEX(AL$27:AL$43,$F603)</f>
        <v/>
      </c>
      <c r="AM603" s="36">
        <f>AM$10*$D603*INDEX(AM$18:AM$25,$E603)*INDEX(AM$27:AM$43,$F603)</f>
        <v/>
      </c>
      <c r="AN603" s="36">
        <f>AN$10*$D603*INDEX(AN$18:AN$25,$E603)*INDEX(AN$27:AN$43,$F603)</f>
        <v/>
      </c>
    </row>
    <row r="604" hidden="1" outlineLevel="2">
      <c r="A604" s="5" t="inlineStr">
        <is>
          <t>ctxnew</t>
        </is>
      </c>
      <c r="B604" s="5" t="inlineStr">
        <is>
          <t>gso</t>
        </is>
      </c>
      <c r="C604" s="5" t="inlineStr">
        <is>
          <t>srv</t>
        </is>
      </c>
      <c r="D604" s="36">
        <f>INDEX(Inputs!$U$5:$U$132,MATCH($B604&amp;"|"&amp;$C604,Inputs!$A$5:$A$132,0))</f>
        <v/>
      </c>
      <c r="E604" s="36">
        <f>INDEX(Inputs!$J$5:$J$132,MATCH($B604&amp;"|"&amp;$C604,Inputs!$A$5:$A$132,0))</f>
        <v/>
      </c>
      <c r="F604" s="36">
        <f>INDEX(Inputs!$K$5:$K$132,MATCH($B604&amp;"|"&amp;$C604,Inputs!$A$5:$A$132,0))</f>
        <v/>
      </c>
      <c r="G604" s="37" t="n"/>
      <c r="H604" s="5">
        <f>INDEX(Variables!$B$5:$B$65,MATCH($A604,Variables!$A$5:$A$65,0))&amp;IF($C604="",""," | "&amp;INDEX(Mapping!$B$5:$B$25,MATCH($C604,Mapping!$A$5:$A$25,0))&amp;" | "&amp;INDEX(Mapping!$B$29:$B$38,MATCH($B604,Mapping!$A$29:$A$38,0)))</f>
        <v/>
      </c>
      <c r="I604" s="5">
        <f>INDEX(Variables!$C$5:$C$65,MATCH($A604,Variables!$A$5:$A$65,0))</f>
        <v/>
      </c>
      <c r="J604" s="5">
        <f>INDEX(Variables!$E$5:$E$65,MATCH($A604,Variables!$A$5:$A$65,0))</f>
        <v/>
      </c>
      <c r="K604" s="23">
        <f>LOWER(Settings!$C$4)&amp;".mit."&amp;$A604&amp;IF($C604="","","."&amp;$C604&amp;"."&amp;$B604)&amp;IF(INDEX(Variables!$D$5:$D$65,MATCH($A604,Variables!$A$5:$A$65,0))="","","."&amp;INDEX(Variables!$D$5:$D$65,MATCH($A604,Variables!$A$5:$A$65,0)))&amp;"."&amp;K$5</f>
        <v/>
      </c>
      <c r="L604" s="38">
        <f>L$10*$D604*INDEX(L$18:L$25,$E604)*INDEX(L$27:L$43,$F604)</f>
        <v/>
      </c>
      <c r="M604" s="36">
        <f>M$10*$D604*INDEX(M$18:M$25,$E604)*INDEX(M$27:M$43,$F604)</f>
        <v/>
      </c>
      <c r="N604" s="36">
        <f>N$10*$D604*INDEX(N$18:N$25,$E604)*INDEX(N$27:N$43,$F604)</f>
        <v/>
      </c>
      <c r="O604" s="36">
        <f>O$10*$D604*INDEX(O$18:O$25,$E604)*INDEX(O$27:O$43,$F604)</f>
        <v/>
      </c>
      <c r="P604" s="36">
        <f>P$10*$D604*INDEX(P$18:P$25,$E604)*INDEX(P$27:P$43,$F604)</f>
        <v/>
      </c>
      <c r="Q604" s="36">
        <f>Q$10*$D604*INDEX(Q$18:Q$25,$E604)*INDEX(Q$27:Q$43,$F604)</f>
        <v/>
      </c>
      <c r="R604" s="36">
        <f>R$10*$D604*INDEX(R$18:R$25,$E604)*INDEX(R$27:R$43,$F604)</f>
        <v/>
      </c>
      <c r="S604" s="36">
        <f>S$10*$D604*INDEX(S$18:S$25,$E604)*INDEX(S$27:S$43,$F604)</f>
        <v/>
      </c>
      <c r="T604" s="36">
        <f>T$10*$D604*INDEX(T$18:T$25,$E604)*INDEX(T$27:T$43,$F604)</f>
        <v/>
      </c>
      <c r="U604" s="36">
        <f>U$10*$D604*INDEX(U$18:U$25,$E604)*INDEX(U$27:U$43,$F604)</f>
        <v/>
      </c>
      <c r="V604" s="36">
        <f>V$10*$D604*INDEX(V$18:V$25,$E604)*INDEX(V$27:V$43,$F604)</f>
        <v/>
      </c>
      <c r="W604" s="36">
        <f>W$10*$D604*INDEX(W$18:W$25,$E604)*INDEX(W$27:W$43,$F604)</f>
        <v/>
      </c>
      <c r="X604" s="36">
        <f>X$10*$D604*INDEX(X$18:X$25,$E604)*INDEX(X$27:X$43,$F604)</f>
        <v/>
      </c>
      <c r="Y604" s="36">
        <f>Y$10*$D604*INDEX(Y$18:Y$25,$E604)*INDEX(Y$27:Y$43,$F604)</f>
        <v/>
      </c>
      <c r="Z604" s="23">
        <f>LOWER(Settings!$C$4)&amp;".mit."&amp;$A604&amp;IF($C604="","","."&amp;$C604&amp;"."&amp;$B604)&amp;IF(INDEX(Variables!$D$5:$D$65,MATCH($A604,Variables!$A$5:$A$65,0))="","","."&amp;INDEX(Variables!$D$5:$D$65,MATCH($A604,Variables!$A$5:$A$65,0)))&amp;"."&amp;Z$5</f>
        <v/>
      </c>
      <c r="AA604" s="38">
        <f>AA$10*$D604*INDEX(AA$18:AA$25,$E604)*INDEX(AA$27:AA$43,$F604)</f>
        <v/>
      </c>
      <c r="AB604" s="36">
        <f>AB$10*$D604*INDEX(AB$18:AB$25,$E604)*INDEX(AB$27:AB$43,$F604)</f>
        <v/>
      </c>
      <c r="AC604" s="36">
        <f>AC$10*$D604*INDEX(AC$18:AC$25,$E604)*INDEX(AC$27:AC$43,$F604)</f>
        <v/>
      </c>
      <c r="AD604" s="36">
        <f>AD$10*$D604*INDEX(AD$18:AD$25,$E604)*INDEX(AD$27:AD$43,$F604)</f>
        <v/>
      </c>
      <c r="AE604" s="36">
        <f>AE$10*$D604*INDEX(AE$18:AE$25,$E604)*INDEX(AE$27:AE$43,$F604)</f>
        <v/>
      </c>
      <c r="AF604" s="36">
        <f>AF$10*$D604*INDEX(AF$18:AF$25,$E604)*INDEX(AF$27:AF$43,$F604)</f>
        <v/>
      </c>
      <c r="AG604" s="36">
        <f>AG$10*$D604*INDEX(AG$18:AG$25,$E604)*INDEX(AG$27:AG$43,$F604)</f>
        <v/>
      </c>
      <c r="AH604" s="36">
        <f>AH$10*$D604*INDEX(AH$18:AH$25,$E604)*INDEX(AH$27:AH$43,$F604)</f>
        <v/>
      </c>
      <c r="AI604" s="36">
        <f>AI$10*$D604*INDEX(AI$18:AI$25,$E604)*INDEX(AI$27:AI$43,$F604)</f>
        <v/>
      </c>
      <c r="AJ604" s="36">
        <f>AJ$10*$D604*INDEX(AJ$18:AJ$25,$E604)*INDEX(AJ$27:AJ$43,$F604)</f>
        <v/>
      </c>
      <c r="AK604" s="36">
        <f>AK$10*$D604*INDEX(AK$18:AK$25,$E604)*INDEX(AK$27:AK$43,$F604)</f>
        <v/>
      </c>
      <c r="AL604" s="36">
        <f>AL$10*$D604*INDEX(AL$18:AL$25,$E604)*INDEX(AL$27:AL$43,$F604)</f>
        <v/>
      </c>
      <c r="AM604" s="36">
        <f>AM$10*$D604*INDEX(AM$18:AM$25,$E604)*INDEX(AM$27:AM$43,$F604)</f>
        <v/>
      </c>
      <c r="AN604" s="36">
        <f>AN$10*$D604*INDEX(AN$18:AN$25,$E604)*INDEX(AN$27:AN$43,$F604)</f>
        <v/>
      </c>
    </row>
    <row r="605" hidden="1" outlineLevel="2">
      <c r="A605" s="5" t="inlineStr">
        <is>
          <t>ctxnew</t>
        </is>
      </c>
      <c r="B605" s="5" t="inlineStr">
        <is>
          <t>die</t>
        </is>
      </c>
      <c r="C605" s="5" t="inlineStr">
        <is>
          <t>srv</t>
        </is>
      </c>
      <c r="D605" s="36">
        <f>INDEX(Inputs!$U$5:$U$132,MATCH($B605&amp;"|"&amp;$C605,Inputs!$A$5:$A$132,0))</f>
        <v/>
      </c>
      <c r="E605" s="36">
        <f>INDEX(Inputs!$J$5:$J$132,MATCH($B605&amp;"|"&amp;$C605,Inputs!$A$5:$A$132,0))</f>
        <v/>
      </c>
      <c r="F605" s="36">
        <f>INDEX(Inputs!$K$5:$K$132,MATCH($B605&amp;"|"&amp;$C605,Inputs!$A$5:$A$132,0))</f>
        <v/>
      </c>
      <c r="G605" s="37" t="n"/>
      <c r="H605" s="5">
        <f>INDEX(Variables!$B$5:$B$65,MATCH($A605,Variables!$A$5:$A$65,0))&amp;IF($C605="",""," | "&amp;INDEX(Mapping!$B$5:$B$25,MATCH($C605,Mapping!$A$5:$A$25,0))&amp;" | "&amp;INDEX(Mapping!$B$29:$B$38,MATCH($B605,Mapping!$A$29:$A$38,0)))</f>
        <v/>
      </c>
      <c r="I605" s="5">
        <f>INDEX(Variables!$C$5:$C$65,MATCH($A605,Variables!$A$5:$A$65,0))</f>
        <v/>
      </c>
      <c r="J605" s="5">
        <f>INDEX(Variables!$E$5:$E$65,MATCH($A605,Variables!$A$5:$A$65,0))</f>
        <v/>
      </c>
      <c r="K605" s="23">
        <f>LOWER(Settings!$C$4)&amp;".mit."&amp;$A605&amp;IF($C605="","","."&amp;$C605&amp;"."&amp;$B605)&amp;IF(INDEX(Variables!$D$5:$D$65,MATCH($A605,Variables!$A$5:$A$65,0))="","","."&amp;INDEX(Variables!$D$5:$D$65,MATCH($A605,Variables!$A$5:$A$65,0)))&amp;"."&amp;K$5</f>
        <v/>
      </c>
      <c r="L605" s="38">
        <f>L$10*$D605*INDEX(L$18:L$25,$E605)*INDEX(L$27:L$43,$F605)</f>
        <v/>
      </c>
      <c r="M605" s="36">
        <f>M$10*$D605*INDEX(M$18:M$25,$E605)*INDEX(M$27:M$43,$F605)</f>
        <v/>
      </c>
      <c r="N605" s="36">
        <f>N$10*$D605*INDEX(N$18:N$25,$E605)*INDEX(N$27:N$43,$F605)</f>
        <v/>
      </c>
      <c r="O605" s="36">
        <f>O$10*$D605*INDEX(O$18:O$25,$E605)*INDEX(O$27:O$43,$F605)</f>
        <v/>
      </c>
      <c r="P605" s="36">
        <f>P$10*$D605*INDEX(P$18:P$25,$E605)*INDEX(P$27:P$43,$F605)</f>
        <v/>
      </c>
      <c r="Q605" s="36">
        <f>Q$10*$D605*INDEX(Q$18:Q$25,$E605)*INDEX(Q$27:Q$43,$F605)</f>
        <v/>
      </c>
      <c r="R605" s="36">
        <f>R$10*$D605*INDEX(R$18:R$25,$E605)*INDEX(R$27:R$43,$F605)</f>
        <v/>
      </c>
      <c r="S605" s="36">
        <f>S$10*$D605*INDEX(S$18:S$25,$E605)*INDEX(S$27:S$43,$F605)</f>
        <v/>
      </c>
      <c r="T605" s="36">
        <f>T$10*$D605*INDEX(T$18:T$25,$E605)*INDEX(T$27:T$43,$F605)</f>
        <v/>
      </c>
      <c r="U605" s="36">
        <f>U$10*$D605*INDEX(U$18:U$25,$E605)*INDEX(U$27:U$43,$F605)</f>
        <v/>
      </c>
      <c r="V605" s="36">
        <f>V$10*$D605*INDEX(V$18:V$25,$E605)*INDEX(V$27:V$43,$F605)</f>
        <v/>
      </c>
      <c r="W605" s="36">
        <f>W$10*$D605*INDEX(W$18:W$25,$E605)*INDEX(W$27:W$43,$F605)</f>
        <v/>
      </c>
      <c r="X605" s="36">
        <f>X$10*$D605*INDEX(X$18:X$25,$E605)*INDEX(X$27:X$43,$F605)</f>
        <v/>
      </c>
      <c r="Y605" s="36">
        <f>Y$10*$D605*INDEX(Y$18:Y$25,$E605)*INDEX(Y$27:Y$43,$F605)</f>
        <v/>
      </c>
      <c r="Z605" s="23">
        <f>LOWER(Settings!$C$4)&amp;".mit."&amp;$A605&amp;IF($C605="","","."&amp;$C605&amp;"."&amp;$B605)&amp;IF(INDEX(Variables!$D$5:$D$65,MATCH($A605,Variables!$A$5:$A$65,0))="","","."&amp;INDEX(Variables!$D$5:$D$65,MATCH($A605,Variables!$A$5:$A$65,0)))&amp;"."&amp;Z$5</f>
        <v/>
      </c>
      <c r="AA605" s="38">
        <f>AA$10*$D605*INDEX(AA$18:AA$25,$E605)*INDEX(AA$27:AA$43,$F605)</f>
        <v/>
      </c>
      <c r="AB605" s="36">
        <f>AB$10*$D605*INDEX(AB$18:AB$25,$E605)*INDEX(AB$27:AB$43,$F605)</f>
        <v/>
      </c>
      <c r="AC605" s="36">
        <f>AC$10*$D605*INDEX(AC$18:AC$25,$E605)*INDEX(AC$27:AC$43,$F605)</f>
        <v/>
      </c>
      <c r="AD605" s="36">
        <f>AD$10*$D605*INDEX(AD$18:AD$25,$E605)*INDEX(AD$27:AD$43,$F605)</f>
        <v/>
      </c>
      <c r="AE605" s="36">
        <f>AE$10*$D605*INDEX(AE$18:AE$25,$E605)*INDEX(AE$27:AE$43,$F605)</f>
        <v/>
      </c>
      <c r="AF605" s="36">
        <f>AF$10*$D605*INDEX(AF$18:AF$25,$E605)*INDEX(AF$27:AF$43,$F605)</f>
        <v/>
      </c>
      <c r="AG605" s="36">
        <f>AG$10*$D605*INDEX(AG$18:AG$25,$E605)*INDEX(AG$27:AG$43,$F605)</f>
        <v/>
      </c>
      <c r="AH605" s="36">
        <f>AH$10*$D605*INDEX(AH$18:AH$25,$E605)*INDEX(AH$27:AH$43,$F605)</f>
        <v/>
      </c>
      <c r="AI605" s="36">
        <f>AI$10*$D605*INDEX(AI$18:AI$25,$E605)*INDEX(AI$27:AI$43,$F605)</f>
        <v/>
      </c>
      <c r="AJ605" s="36">
        <f>AJ$10*$D605*INDEX(AJ$18:AJ$25,$E605)*INDEX(AJ$27:AJ$43,$F605)</f>
        <v/>
      </c>
      <c r="AK605" s="36">
        <f>AK$10*$D605*INDEX(AK$18:AK$25,$E605)*INDEX(AK$27:AK$43,$F605)</f>
        <v/>
      </c>
      <c r="AL605" s="36">
        <f>AL$10*$D605*INDEX(AL$18:AL$25,$E605)*INDEX(AL$27:AL$43,$F605)</f>
        <v/>
      </c>
      <c r="AM605" s="36">
        <f>AM$10*$D605*INDEX(AM$18:AM$25,$E605)*INDEX(AM$27:AM$43,$F605)</f>
        <v/>
      </c>
      <c r="AN605" s="36">
        <f>AN$10*$D605*INDEX(AN$18:AN$25,$E605)*INDEX(AN$27:AN$43,$F605)</f>
        <v/>
      </c>
    </row>
    <row r="606" hidden="1" outlineLevel="2">
      <c r="A606" s="5" t="inlineStr">
        <is>
          <t>ctxnew</t>
        </is>
      </c>
      <c r="B606" s="5" t="inlineStr">
        <is>
          <t>lpg</t>
        </is>
      </c>
      <c r="C606" s="5" t="inlineStr">
        <is>
          <t>srv</t>
        </is>
      </c>
      <c r="D606" s="36">
        <f>INDEX(Inputs!$U$5:$U$132,MATCH($B606&amp;"|"&amp;$C606,Inputs!$A$5:$A$132,0))</f>
        <v/>
      </c>
      <c r="E606" s="36">
        <f>INDEX(Inputs!$J$5:$J$132,MATCH($B606&amp;"|"&amp;$C606,Inputs!$A$5:$A$132,0))</f>
        <v/>
      </c>
      <c r="F606" s="36">
        <f>INDEX(Inputs!$K$5:$K$132,MATCH($B606&amp;"|"&amp;$C606,Inputs!$A$5:$A$132,0))</f>
        <v/>
      </c>
      <c r="G606" s="37" t="n"/>
      <c r="H606" s="5">
        <f>INDEX(Variables!$B$5:$B$65,MATCH($A606,Variables!$A$5:$A$65,0))&amp;IF($C606="",""," | "&amp;INDEX(Mapping!$B$5:$B$25,MATCH($C606,Mapping!$A$5:$A$25,0))&amp;" | "&amp;INDEX(Mapping!$B$29:$B$38,MATCH($B606,Mapping!$A$29:$A$38,0)))</f>
        <v/>
      </c>
      <c r="I606" s="5">
        <f>INDEX(Variables!$C$5:$C$65,MATCH($A606,Variables!$A$5:$A$65,0))</f>
        <v/>
      </c>
      <c r="J606" s="5">
        <f>INDEX(Variables!$E$5:$E$65,MATCH($A606,Variables!$A$5:$A$65,0))</f>
        <v/>
      </c>
      <c r="K606" s="23">
        <f>LOWER(Settings!$C$4)&amp;".mit."&amp;$A606&amp;IF($C606="","","."&amp;$C606&amp;"."&amp;$B606)&amp;IF(INDEX(Variables!$D$5:$D$65,MATCH($A606,Variables!$A$5:$A$65,0))="","","."&amp;INDEX(Variables!$D$5:$D$65,MATCH($A606,Variables!$A$5:$A$65,0)))&amp;"."&amp;K$5</f>
        <v/>
      </c>
      <c r="L606" s="38">
        <f>L$10*$D606*INDEX(L$18:L$25,$E606)*INDEX(L$27:L$43,$F606)</f>
        <v/>
      </c>
      <c r="M606" s="36">
        <f>M$10*$D606*INDEX(M$18:M$25,$E606)*INDEX(M$27:M$43,$F606)</f>
        <v/>
      </c>
      <c r="N606" s="36">
        <f>N$10*$D606*INDEX(N$18:N$25,$E606)*INDEX(N$27:N$43,$F606)</f>
        <v/>
      </c>
      <c r="O606" s="36">
        <f>O$10*$D606*INDEX(O$18:O$25,$E606)*INDEX(O$27:O$43,$F606)</f>
        <v/>
      </c>
      <c r="P606" s="36">
        <f>P$10*$D606*INDEX(P$18:P$25,$E606)*INDEX(P$27:P$43,$F606)</f>
        <v/>
      </c>
      <c r="Q606" s="36">
        <f>Q$10*$D606*INDEX(Q$18:Q$25,$E606)*INDEX(Q$27:Q$43,$F606)</f>
        <v/>
      </c>
      <c r="R606" s="36">
        <f>R$10*$D606*INDEX(R$18:R$25,$E606)*INDEX(R$27:R$43,$F606)</f>
        <v/>
      </c>
      <c r="S606" s="36">
        <f>S$10*$D606*INDEX(S$18:S$25,$E606)*INDEX(S$27:S$43,$F606)</f>
        <v/>
      </c>
      <c r="T606" s="36">
        <f>T$10*$D606*INDEX(T$18:T$25,$E606)*INDEX(T$27:T$43,$F606)</f>
        <v/>
      </c>
      <c r="U606" s="36">
        <f>U$10*$D606*INDEX(U$18:U$25,$E606)*INDEX(U$27:U$43,$F606)</f>
        <v/>
      </c>
      <c r="V606" s="36">
        <f>V$10*$D606*INDEX(V$18:V$25,$E606)*INDEX(V$27:V$43,$F606)</f>
        <v/>
      </c>
      <c r="W606" s="36">
        <f>W$10*$D606*INDEX(W$18:W$25,$E606)*INDEX(W$27:W$43,$F606)</f>
        <v/>
      </c>
      <c r="X606" s="36">
        <f>X$10*$D606*INDEX(X$18:X$25,$E606)*INDEX(X$27:X$43,$F606)</f>
        <v/>
      </c>
      <c r="Y606" s="36">
        <f>Y$10*$D606*INDEX(Y$18:Y$25,$E606)*INDEX(Y$27:Y$43,$F606)</f>
        <v/>
      </c>
      <c r="Z606" s="23">
        <f>LOWER(Settings!$C$4)&amp;".mit."&amp;$A606&amp;IF($C606="","","."&amp;$C606&amp;"."&amp;$B606)&amp;IF(INDEX(Variables!$D$5:$D$65,MATCH($A606,Variables!$A$5:$A$65,0))="","","."&amp;INDEX(Variables!$D$5:$D$65,MATCH($A606,Variables!$A$5:$A$65,0)))&amp;"."&amp;Z$5</f>
        <v/>
      </c>
      <c r="AA606" s="38">
        <f>AA$10*$D606*INDEX(AA$18:AA$25,$E606)*INDEX(AA$27:AA$43,$F606)</f>
        <v/>
      </c>
      <c r="AB606" s="36">
        <f>AB$10*$D606*INDEX(AB$18:AB$25,$E606)*INDEX(AB$27:AB$43,$F606)</f>
        <v/>
      </c>
      <c r="AC606" s="36">
        <f>AC$10*$D606*INDEX(AC$18:AC$25,$E606)*INDEX(AC$27:AC$43,$F606)</f>
        <v/>
      </c>
      <c r="AD606" s="36">
        <f>AD$10*$D606*INDEX(AD$18:AD$25,$E606)*INDEX(AD$27:AD$43,$F606)</f>
        <v/>
      </c>
      <c r="AE606" s="36">
        <f>AE$10*$D606*INDEX(AE$18:AE$25,$E606)*INDEX(AE$27:AE$43,$F606)</f>
        <v/>
      </c>
      <c r="AF606" s="36">
        <f>AF$10*$D606*INDEX(AF$18:AF$25,$E606)*INDEX(AF$27:AF$43,$F606)</f>
        <v/>
      </c>
      <c r="AG606" s="36">
        <f>AG$10*$D606*INDEX(AG$18:AG$25,$E606)*INDEX(AG$27:AG$43,$F606)</f>
        <v/>
      </c>
      <c r="AH606" s="36">
        <f>AH$10*$D606*INDEX(AH$18:AH$25,$E606)*INDEX(AH$27:AH$43,$F606)</f>
        <v/>
      </c>
      <c r="AI606" s="36">
        <f>AI$10*$D606*INDEX(AI$18:AI$25,$E606)*INDEX(AI$27:AI$43,$F606)</f>
        <v/>
      </c>
      <c r="AJ606" s="36">
        <f>AJ$10*$D606*INDEX(AJ$18:AJ$25,$E606)*INDEX(AJ$27:AJ$43,$F606)</f>
        <v/>
      </c>
      <c r="AK606" s="36">
        <f>AK$10*$D606*INDEX(AK$18:AK$25,$E606)*INDEX(AK$27:AK$43,$F606)</f>
        <v/>
      </c>
      <c r="AL606" s="36">
        <f>AL$10*$D606*INDEX(AL$18:AL$25,$E606)*INDEX(AL$27:AL$43,$F606)</f>
        <v/>
      </c>
      <c r="AM606" s="36">
        <f>AM$10*$D606*INDEX(AM$18:AM$25,$E606)*INDEX(AM$27:AM$43,$F606)</f>
        <v/>
      </c>
      <c r="AN606" s="36">
        <f>AN$10*$D606*INDEX(AN$18:AN$25,$E606)*INDEX(AN$27:AN$43,$F606)</f>
        <v/>
      </c>
    </row>
    <row r="607" hidden="1" outlineLevel="2">
      <c r="A607" s="5" t="inlineStr">
        <is>
          <t>ctxnew</t>
        </is>
      </c>
      <c r="B607" s="5" t="inlineStr">
        <is>
          <t>ker</t>
        </is>
      </c>
      <c r="C607" s="5" t="inlineStr">
        <is>
          <t>srv</t>
        </is>
      </c>
      <c r="D607" s="36">
        <f>INDEX(Inputs!$U$5:$U$132,MATCH($B607&amp;"|"&amp;$C607,Inputs!$A$5:$A$132,0))</f>
        <v/>
      </c>
      <c r="E607" s="36">
        <f>INDEX(Inputs!$J$5:$J$132,MATCH($B607&amp;"|"&amp;$C607,Inputs!$A$5:$A$132,0))</f>
        <v/>
      </c>
      <c r="F607" s="36">
        <f>INDEX(Inputs!$K$5:$K$132,MATCH($B607&amp;"|"&amp;$C607,Inputs!$A$5:$A$132,0))</f>
        <v/>
      </c>
      <c r="G607" s="37" t="n"/>
      <c r="H607" s="5">
        <f>INDEX(Variables!$B$5:$B$65,MATCH($A607,Variables!$A$5:$A$65,0))&amp;IF($C607="",""," | "&amp;INDEX(Mapping!$B$5:$B$25,MATCH($C607,Mapping!$A$5:$A$25,0))&amp;" | "&amp;INDEX(Mapping!$B$29:$B$38,MATCH($B607,Mapping!$A$29:$A$38,0)))</f>
        <v/>
      </c>
      <c r="I607" s="5">
        <f>INDEX(Variables!$C$5:$C$65,MATCH($A607,Variables!$A$5:$A$65,0))</f>
        <v/>
      </c>
      <c r="J607" s="5">
        <f>INDEX(Variables!$E$5:$E$65,MATCH($A607,Variables!$A$5:$A$65,0))</f>
        <v/>
      </c>
      <c r="K607" s="23">
        <f>LOWER(Settings!$C$4)&amp;".mit."&amp;$A607&amp;IF($C607="","","."&amp;$C607&amp;"."&amp;$B607)&amp;IF(INDEX(Variables!$D$5:$D$65,MATCH($A607,Variables!$A$5:$A$65,0))="","","."&amp;INDEX(Variables!$D$5:$D$65,MATCH($A607,Variables!$A$5:$A$65,0)))&amp;"."&amp;K$5</f>
        <v/>
      </c>
      <c r="L607" s="38">
        <f>L$10*$D607*INDEX(L$18:L$25,$E607)*INDEX(L$27:L$43,$F607)</f>
        <v/>
      </c>
      <c r="M607" s="36">
        <f>M$10*$D607*INDEX(M$18:M$25,$E607)*INDEX(M$27:M$43,$F607)</f>
        <v/>
      </c>
      <c r="N607" s="36">
        <f>N$10*$D607*INDEX(N$18:N$25,$E607)*INDEX(N$27:N$43,$F607)</f>
        <v/>
      </c>
      <c r="O607" s="36">
        <f>O$10*$D607*INDEX(O$18:O$25,$E607)*INDEX(O$27:O$43,$F607)</f>
        <v/>
      </c>
      <c r="P607" s="36">
        <f>P$10*$D607*INDEX(P$18:P$25,$E607)*INDEX(P$27:P$43,$F607)</f>
        <v/>
      </c>
      <c r="Q607" s="36">
        <f>Q$10*$D607*INDEX(Q$18:Q$25,$E607)*INDEX(Q$27:Q$43,$F607)</f>
        <v/>
      </c>
      <c r="R607" s="36">
        <f>R$10*$D607*INDEX(R$18:R$25,$E607)*INDEX(R$27:R$43,$F607)</f>
        <v/>
      </c>
      <c r="S607" s="36">
        <f>S$10*$D607*INDEX(S$18:S$25,$E607)*INDEX(S$27:S$43,$F607)</f>
        <v/>
      </c>
      <c r="T607" s="36">
        <f>T$10*$D607*INDEX(T$18:T$25,$E607)*INDEX(T$27:T$43,$F607)</f>
        <v/>
      </c>
      <c r="U607" s="36">
        <f>U$10*$D607*INDEX(U$18:U$25,$E607)*INDEX(U$27:U$43,$F607)</f>
        <v/>
      </c>
      <c r="V607" s="36">
        <f>V$10*$D607*INDEX(V$18:V$25,$E607)*INDEX(V$27:V$43,$F607)</f>
        <v/>
      </c>
      <c r="W607" s="36">
        <f>W$10*$D607*INDEX(W$18:W$25,$E607)*INDEX(W$27:W$43,$F607)</f>
        <v/>
      </c>
      <c r="X607" s="36">
        <f>X$10*$D607*INDEX(X$18:X$25,$E607)*INDEX(X$27:X$43,$F607)</f>
        <v/>
      </c>
      <c r="Y607" s="36">
        <f>Y$10*$D607*INDEX(Y$18:Y$25,$E607)*INDEX(Y$27:Y$43,$F607)</f>
        <v/>
      </c>
      <c r="Z607" s="23">
        <f>LOWER(Settings!$C$4)&amp;".mit."&amp;$A607&amp;IF($C607="","","."&amp;$C607&amp;"."&amp;$B607)&amp;IF(INDEX(Variables!$D$5:$D$65,MATCH($A607,Variables!$A$5:$A$65,0))="","","."&amp;INDEX(Variables!$D$5:$D$65,MATCH($A607,Variables!$A$5:$A$65,0)))&amp;"."&amp;Z$5</f>
        <v/>
      </c>
      <c r="AA607" s="38">
        <f>AA$10*$D607*INDEX(AA$18:AA$25,$E607)*INDEX(AA$27:AA$43,$F607)</f>
        <v/>
      </c>
      <c r="AB607" s="36">
        <f>AB$10*$D607*INDEX(AB$18:AB$25,$E607)*INDEX(AB$27:AB$43,$F607)</f>
        <v/>
      </c>
      <c r="AC607" s="36">
        <f>AC$10*$D607*INDEX(AC$18:AC$25,$E607)*INDEX(AC$27:AC$43,$F607)</f>
        <v/>
      </c>
      <c r="AD607" s="36">
        <f>AD$10*$D607*INDEX(AD$18:AD$25,$E607)*INDEX(AD$27:AD$43,$F607)</f>
        <v/>
      </c>
      <c r="AE607" s="36">
        <f>AE$10*$D607*INDEX(AE$18:AE$25,$E607)*INDEX(AE$27:AE$43,$F607)</f>
        <v/>
      </c>
      <c r="AF607" s="36">
        <f>AF$10*$D607*INDEX(AF$18:AF$25,$E607)*INDEX(AF$27:AF$43,$F607)</f>
        <v/>
      </c>
      <c r="AG607" s="36">
        <f>AG$10*$D607*INDEX(AG$18:AG$25,$E607)*INDEX(AG$27:AG$43,$F607)</f>
        <v/>
      </c>
      <c r="AH607" s="36">
        <f>AH$10*$D607*INDEX(AH$18:AH$25,$E607)*INDEX(AH$27:AH$43,$F607)</f>
        <v/>
      </c>
      <c r="AI607" s="36">
        <f>AI$10*$D607*INDEX(AI$18:AI$25,$E607)*INDEX(AI$27:AI$43,$F607)</f>
        <v/>
      </c>
      <c r="AJ607" s="36">
        <f>AJ$10*$D607*INDEX(AJ$18:AJ$25,$E607)*INDEX(AJ$27:AJ$43,$F607)</f>
        <v/>
      </c>
      <c r="AK607" s="36">
        <f>AK$10*$D607*INDEX(AK$18:AK$25,$E607)*INDEX(AK$27:AK$43,$F607)</f>
        <v/>
      </c>
      <c r="AL607" s="36">
        <f>AL$10*$D607*INDEX(AL$18:AL$25,$E607)*INDEX(AL$27:AL$43,$F607)</f>
        <v/>
      </c>
      <c r="AM607" s="36">
        <f>AM$10*$D607*INDEX(AM$18:AM$25,$E607)*INDEX(AM$27:AM$43,$F607)</f>
        <v/>
      </c>
      <c r="AN607" s="36">
        <f>AN$10*$D607*INDEX(AN$18:AN$25,$E607)*INDEX(AN$27:AN$43,$F607)</f>
        <v/>
      </c>
    </row>
    <row r="608" hidden="1" outlineLevel="2">
      <c r="A608" s="5" t="inlineStr">
        <is>
          <t>ctxnew</t>
        </is>
      </c>
      <c r="B608" s="5" t="inlineStr">
        <is>
          <t>oop</t>
        </is>
      </c>
      <c r="C608" s="5" t="inlineStr">
        <is>
          <t>srv</t>
        </is>
      </c>
      <c r="D608" s="36">
        <f>INDEX(Inputs!$U$5:$U$132,MATCH($B608&amp;"|"&amp;$C608,Inputs!$A$5:$A$132,0))</f>
        <v/>
      </c>
      <c r="E608" s="36">
        <f>INDEX(Inputs!$J$5:$J$132,MATCH($B608&amp;"|"&amp;$C608,Inputs!$A$5:$A$132,0))</f>
        <v/>
      </c>
      <c r="F608" s="36">
        <f>INDEX(Inputs!$K$5:$K$132,MATCH($B608&amp;"|"&amp;$C608,Inputs!$A$5:$A$132,0))</f>
        <v/>
      </c>
      <c r="G608" s="37" t="n"/>
      <c r="H608" s="5">
        <f>INDEX(Variables!$B$5:$B$65,MATCH($A608,Variables!$A$5:$A$65,0))&amp;IF($C608="",""," | "&amp;INDEX(Mapping!$B$5:$B$25,MATCH($C608,Mapping!$A$5:$A$25,0))&amp;" | "&amp;INDEX(Mapping!$B$29:$B$38,MATCH($B608,Mapping!$A$29:$A$38,0)))</f>
        <v/>
      </c>
      <c r="I608" s="5">
        <f>INDEX(Variables!$C$5:$C$65,MATCH($A608,Variables!$A$5:$A$65,0))</f>
        <v/>
      </c>
      <c r="J608" s="5">
        <f>INDEX(Variables!$E$5:$E$65,MATCH($A608,Variables!$A$5:$A$65,0))</f>
        <v/>
      </c>
      <c r="K608" s="23">
        <f>LOWER(Settings!$C$4)&amp;".mit."&amp;$A608&amp;IF($C608="","","."&amp;$C608&amp;"."&amp;$B608)&amp;IF(INDEX(Variables!$D$5:$D$65,MATCH($A608,Variables!$A$5:$A$65,0))="","","."&amp;INDEX(Variables!$D$5:$D$65,MATCH($A608,Variables!$A$5:$A$65,0)))&amp;"."&amp;K$5</f>
        <v/>
      </c>
      <c r="L608" s="38">
        <f>L$10*$D608*INDEX(L$18:L$25,$E608)*INDEX(L$27:L$43,$F608)</f>
        <v/>
      </c>
      <c r="M608" s="36">
        <f>M$10*$D608*INDEX(M$18:M$25,$E608)*INDEX(M$27:M$43,$F608)</f>
        <v/>
      </c>
      <c r="N608" s="36">
        <f>N$10*$D608*INDEX(N$18:N$25,$E608)*INDEX(N$27:N$43,$F608)</f>
        <v/>
      </c>
      <c r="O608" s="36">
        <f>O$10*$D608*INDEX(O$18:O$25,$E608)*INDEX(O$27:O$43,$F608)</f>
        <v/>
      </c>
      <c r="P608" s="36">
        <f>P$10*$D608*INDEX(P$18:P$25,$E608)*INDEX(P$27:P$43,$F608)</f>
        <v/>
      </c>
      <c r="Q608" s="36">
        <f>Q$10*$D608*INDEX(Q$18:Q$25,$E608)*INDEX(Q$27:Q$43,$F608)</f>
        <v/>
      </c>
      <c r="R608" s="36">
        <f>R$10*$D608*INDEX(R$18:R$25,$E608)*INDEX(R$27:R$43,$F608)</f>
        <v/>
      </c>
      <c r="S608" s="36">
        <f>S$10*$D608*INDEX(S$18:S$25,$E608)*INDEX(S$27:S$43,$F608)</f>
        <v/>
      </c>
      <c r="T608" s="36">
        <f>T$10*$D608*INDEX(T$18:T$25,$E608)*INDEX(T$27:T$43,$F608)</f>
        <v/>
      </c>
      <c r="U608" s="36">
        <f>U$10*$D608*INDEX(U$18:U$25,$E608)*INDEX(U$27:U$43,$F608)</f>
        <v/>
      </c>
      <c r="V608" s="36">
        <f>V$10*$D608*INDEX(V$18:V$25,$E608)*INDEX(V$27:V$43,$F608)</f>
        <v/>
      </c>
      <c r="W608" s="36">
        <f>W$10*$D608*INDEX(W$18:W$25,$E608)*INDEX(W$27:W$43,$F608)</f>
        <v/>
      </c>
      <c r="X608" s="36">
        <f>X$10*$D608*INDEX(X$18:X$25,$E608)*INDEX(X$27:X$43,$F608)</f>
        <v/>
      </c>
      <c r="Y608" s="36">
        <f>Y$10*$D608*INDEX(Y$18:Y$25,$E608)*INDEX(Y$27:Y$43,$F608)</f>
        <v/>
      </c>
      <c r="Z608" s="23">
        <f>LOWER(Settings!$C$4)&amp;".mit."&amp;$A608&amp;IF($C608="","","."&amp;$C608&amp;"."&amp;$B608)&amp;IF(INDEX(Variables!$D$5:$D$65,MATCH($A608,Variables!$A$5:$A$65,0))="","","."&amp;INDEX(Variables!$D$5:$D$65,MATCH($A608,Variables!$A$5:$A$65,0)))&amp;"."&amp;Z$5</f>
        <v/>
      </c>
      <c r="AA608" s="38">
        <f>AA$10*$D608*INDEX(AA$18:AA$25,$E608)*INDEX(AA$27:AA$43,$F608)</f>
        <v/>
      </c>
      <c r="AB608" s="36">
        <f>AB$10*$D608*INDEX(AB$18:AB$25,$E608)*INDEX(AB$27:AB$43,$F608)</f>
        <v/>
      </c>
      <c r="AC608" s="36">
        <f>AC$10*$D608*INDEX(AC$18:AC$25,$E608)*INDEX(AC$27:AC$43,$F608)</f>
        <v/>
      </c>
      <c r="AD608" s="36">
        <f>AD$10*$D608*INDEX(AD$18:AD$25,$E608)*INDEX(AD$27:AD$43,$F608)</f>
        <v/>
      </c>
      <c r="AE608" s="36">
        <f>AE$10*$D608*INDEX(AE$18:AE$25,$E608)*INDEX(AE$27:AE$43,$F608)</f>
        <v/>
      </c>
      <c r="AF608" s="36">
        <f>AF$10*$D608*INDEX(AF$18:AF$25,$E608)*INDEX(AF$27:AF$43,$F608)</f>
        <v/>
      </c>
      <c r="AG608" s="36">
        <f>AG$10*$D608*INDEX(AG$18:AG$25,$E608)*INDEX(AG$27:AG$43,$F608)</f>
        <v/>
      </c>
      <c r="AH608" s="36">
        <f>AH$10*$D608*INDEX(AH$18:AH$25,$E608)*INDEX(AH$27:AH$43,$F608)</f>
        <v/>
      </c>
      <c r="AI608" s="36">
        <f>AI$10*$D608*INDEX(AI$18:AI$25,$E608)*INDEX(AI$27:AI$43,$F608)</f>
        <v/>
      </c>
      <c r="AJ608" s="36">
        <f>AJ$10*$D608*INDEX(AJ$18:AJ$25,$E608)*INDEX(AJ$27:AJ$43,$F608)</f>
        <v/>
      </c>
      <c r="AK608" s="36">
        <f>AK$10*$D608*INDEX(AK$18:AK$25,$E608)*INDEX(AK$27:AK$43,$F608)</f>
        <v/>
      </c>
      <c r="AL608" s="36">
        <f>AL$10*$D608*INDEX(AL$18:AL$25,$E608)*INDEX(AL$27:AL$43,$F608)</f>
        <v/>
      </c>
      <c r="AM608" s="36">
        <f>AM$10*$D608*INDEX(AM$18:AM$25,$E608)*INDEX(AM$27:AM$43,$F608)</f>
        <v/>
      </c>
      <c r="AN608" s="36">
        <f>AN$10*$D608*INDEX(AN$18:AN$25,$E608)*INDEX(AN$27:AN$43,$F608)</f>
        <v/>
      </c>
    </row>
    <row r="609" hidden="1" outlineLevel="2">
      <c r="A609" s="5" t="inlineStr">
        <is>
          <t>ctxnew</t>
        </is>
      </c>
      <c r="B609" s="5" t="inlineStr">
        <is>
          <t>bio</t>
        </is>
      </c>
      <c r="C609" s="5" t="inlineStr">
        <is>
          <t>srv</t>
        </is>
      </c>
      <c r="D609" s="36">
        <f>INDEX(Inputs!$U$5:$U$132,MATCH($B609&amp;"|"&amp;$C609,Inputs!$A$5:$A$132,0))</f>
        <v/>
      </c>
      <c r="E609" s="36">
        <f>INDEX(Inputs!$J$5:$J$132,MATCH($B609&amp;"|"&amp;$C609,Inputs!$A$5:$A$132,0))</f>
        <v/>
      </c>
      <c r="F609" s="36">
        <f>INDEX(Inputs!$K$5:$K$132,MATCH($B609&amp;"|"&amp;$C609,Inputs!$A$5:$A$132,0))</f>
        <v/>
      </c>
      <c r="G609" s="37" t="n"/>
      <c r="H609" s="5">
        <f>INDEX(Variables!$B$5:$B$65,MATCH($A609,Variables!$A$5:$A$65,0))&amp;IF($C609="",""," | "&amp;INDEX(Mapping!$B$5:$B$25,MATCH($C609,Mapping!$A$5:$A$25,0))&amp;" | "&amp;INDEX(Mapping!$B$29:$B$38,MATCH($B609,Mapping!$A$29:$A$38,0)))</f>
        <v/>
      </c>
      <c r="I609" s="5">
        <f>INDEX(Variables!$C$5:$C$65,MATCH($A609,Variables!$A$5:$A$65,0))</f>
        <v/>
      </c>
      <c r="J609" s="5">
        <f>INDEX(Variables!$E$5:$E$65,MATCH($A609,Variables!$A$5:$A$65,0))</f>
        <v/>
      </c>
      <c r="K609" s="23">
        <f>LOWER(Settings!$C$4)&amp;".mit."&amp;$A609&amp;IF($C609="","","."&amp;$C609&amp;"."&amp;$B609)&amp;IF(INDEX(Variables!$D$5:$D$65,MATCH($A609,Variables!$A$5:$A$65,0))="","","."&amp;INDEX(Variables!$D$5:$D$65,MATCH($A609,Variables!$A$5:$A$65,0)))&amp;"."&amp;K$5</f>
        <v/>
      </c>
      <c r="L609" s="38">
        <f>L$10*$D609*INDEX(L$18:L$25,$E609)*INDEX(L$27:L$43,$F609)</f>
        <v/>
      </c>
      <c r="M609" s="36">
        <f>M$10*$D609*INDEX(M$18:M$25,$E609)*INDEX(M$27:M$43,$F609)</f>
        <v/>
      </c>
      <c r="N609" s="36">
        <f>N$10*$D609*INDEX(N$18:N$25,$E609)*INDEX(N$27:N$43,$F609)</f>
        <v/>
      </c>
      <c r="O609" s="36">
        <f>O$10*$D609*INDEX(O$18:O$25,$E609)*INDEX(O$27:O$43,$F609)</f>
        <v/>
      </c>
      <c r="P609" s="36">
        <f>P$10*$D609*INDEX(P$18:P$25,$E609)*INDEX(P$27:P$43,$F609)</f>
        <v/>
      </c>
      <c r="Q609" s="36">
        <f>Q$10*$D609*INDEX(Q$18:Q$25,$E609)*INDEX(Q$27:Q$43,$F609)</f>
        <v/>
      </c>
      <c r="R609" s="36">
        <f>R$10*$D609*INDEX(R$18:R$25,$E609)*INDEX(R$27:R$43,$F609)</f>
        <v/>
      </c>
      <c r="S609" s="36">
        <f>S$10*$D609*INDEX(S$18:S$25,$E609)*INDEX(S$27:S$43,$F609)</f>
        <v/>
      </c>
      <c r="T609" s="36">
        <f>T$10*$D609*INDEX(T$18:T$25,$E609)*INDEX(T$27:T$43,$F609)</f>
        <v/>
      </c>
      <c r="U609" s="36">
        <f>U$10*$D609*INDEX(U$18:U$25,$E609)*INDEX(U$27:U$43,$F609)</f>
        <v/>
      </c>
      <c r="V609" s="36">
        <f>V$10*$D609*INDEX(V$18:V$25,$E609)*INDEX(V$27:V$43,$F609)</f>
        <v/>
      </c>
      <c r="W609" s="36">
        <f>W$10*$D609*INDEX(W$18:W$25,$E609)*INDEX(W$27:W$43,$F609)</f>
        <v/>
      </c>
      <c r="X609" s="36">
        <f>X$10*$D609*INDEX(X$18:X$25,$E609)*INDEX(X$27:X$43,$F609)</f>
        <v/>
      </c>
      <c r="Y609" s="36">
        <f>Y$10*$D609*INDEX(Y$18:Y$25,$E609)*INDEX(Y$27:Y$43,$F609)</f>
        <v/>
      </c>
      <c r="Z609" s="23">
        <f>LOWER(Settings!$C$4)&amp;".mit."&amp;$A609&amp;IF($C609="","","."&amp;$C609&amp;"."&amp;$B609)&amp;IF(INDEX(Variables!$D$5:$D$65,MATCH($A609,Variables!$A$5:$A$65,0))="","","."&amp;INDEX(Variables!$D$5:$D$65,MATCH($A609,Variables!$A$5:$A$65,0)))&amp;"."&amp;Z$5</f>
        <v/>
      </c>
      <c r="AA609" s="38">
        <f>AA$10*$D609*INDEX(AA$18:AA$25,$E609)*INDEX(AA$27:AA$43,$F609)</f>
        <v/>
      </c>
      <c r="AB609" s="36">
        <f>AB$10*$D609*INDEX(AB$18:AB$25,$E609)*INDEX(AB$27:AB$43,$F609)</f>
        <v/>
      </c>
      <c r="AC609" s="36">
        <f>AC$10*$D609*INDEX(AC$18:AC$25,$E609)*INDEX(AC$27:AC$43,$F609)</f>
        <v/>
      </c>
      <c r="AD609" s="36">
        <f>AD$10*$D609*INDEX(AD$18:AD$25,$E609)*INDEX(AD$27:AD$43,$F609)</f>
        <v/>
      </c>
      <c r="AE609" s="36">
        <f>AE$10*$D609*INDEX(AE$18:AE$25,$E609)*INDEX(AE$27:AE$43,$F609)</f>
        <v/>
      </c>
      <c r="AF609" s="36">
        <f>AF$10*$D609*INDEX(AF$18:AF$25,$E609)*INDEX(AF$27:AF$43,$F609)</f>
        <v/>
      </c>
      <c r="AG609" s="36">
        <f>AG$10*$D609*INDEX(AG$18:AG$25,$E609)*INDEX(AG$27:AG$43,$F609)</f>
        <v/>
      </c>
      <c r="AH609" s="36">
        <f>AH$10*$D609*INDEX(AH$18:AH$25,$E609)*INDEX(AH$27:AH$43,$F609)</f>
        <v/>
      </c>
      <c r="AI609" s="36">
        <f>AI$10*$D609*INDEX(AI$18:AI$25,$E609)*INDEX(AI$27:AI$43,$F609)</f>
        <v/>
      </c>
      <c r="AJ609" s="36">
        <f>AJ$10*$D609*INDEX(AJ$18:AJ$25,$E609)*INDEX(AJ$27:AJ$43,$F609)</f>
        <v/>
      </c>
      <c r="AK609" s="36">
        <f>AK$10*$D609*INDEX(AK$18:AK$25,$E609)*INDEX(AK$27:AK$43,$F609)</f>
        <v/>
      </c>
      <c r="AL609" s="36">
        <f>AL$10*$D609*INDEX(AL$18:AL$25,$E609)*INDEX(AL$27:AL$43,$F609)</f>
        <v/>
      </c>
      <c r="AM609" s="36">
        <f>AM$10*$D609*INDEX(AM$18:AM$25,$E609)*INDEX(AM$27:AM$43,$F609)</f>
        <v/>
      </c>
      <c r="AN609" s="36">
        <f>AN$10*$D609*INDEX(AN$18:AN$25,$E609)*INDEX(AN$27:AN$43,$F609)</f>
        <v/>
      </c>
    </row>
    <row r="610" hidden="1" outlineLevel="2"/>
    <row r="611" hidden="1" outlineLevel="2">
      <c r="A611" s="5" t="inlineStr">
        <is>
          <t>ntx</t>
        </is>
      </c>
      <c r="B611" s="5" t="inlineStr">
        <is>
          <t>coa</t>
        </is>
      </c>
      <c r="C611" s="5" t="inlineStr">
        <is>
          <t>srv</t>
        </is>
      </c>
      <c r="D611" s="36">
        <f>INDEX(Inputs!$L$5:$L$132,MATCH($B611&amp;"|"&amp;$C611,Inputs!$A$5:$A$132,0))</f>
        <v/>
      </c>
      <c r="E611" s="36">
        <f>INDEX(Inputs!$I$5:$I$132,MATCH($B611&amp;"|"&amp;$C611,Inputs!$A$5:$A$132,0))</f>
        <v/>
      </c>
      <c r="F611" s="37" t="n"/>
      <c r="G611" s="37" t="n"/>
      <c r="H611" s="5">
        <f>INDEX(Variables!$B$5:$B$65,MATCH($A611,Variables!$A$5:$A$65,0))&amp;IF($C611="",""," | "&amp;INDEX(Mapping!$B$5:$B$25,MATCH($C611,Mapping!$A$5:$A$25,0))&amp;" | "&amp;INDEX(Mapping!$B$29:$B$38,MATCH($B611,Mapping!$A$29:$A$38,0)))</f>
        <v/>
      </c>
      <c r="I611" s="5">
        <f>INDEX(Variables!$C$5:$C$65,MATCH($A611,Variables!$A$5:$A$65,0))</f>
        <v/>
      </c>
      <c r="J611" s="5">
        <f>INDEX(Variables!$E$5:$E$65,MATCH($A611,Variables!$A$5:$A$65,0))</f>
        <v/>
      </c>
      <c r="K611" s="23">
        <f>LOWER(Settings!$C$4)&amp;".mit."&amp;$A611&amp;IF($C611="","","."&amp;$C611&amp;"."&amp;$B611)&amp;IF(INDEX(Variables!$D$5:$D$65,MATCH($A611,Variables!$A$5:$A$65,0))="","","."&amp;INDEX(Variables!$D$5:$D$65,MATCH($A611,Variables!$A$5:$A$65,0)))&amp;"."&amp;K$5</f>
        <v/>
      </c>
      <c r="L611" s="38">
        <f>INDEX(L$75:L$88,$D611)/$E611</f>
        <v/>
      </c>
      <c r="M611" s="36">
        <f>INDEX(M$75:M$88,$D611)/$E611</f>
        <v/>
      </c>
      <c r="N611" s="36">
        <f>INDEX(N$75:N$88,$D611)/$E611</f>
        <v/>
      </c>
      <c r="O611" s="36">
        <f>INDEX(O$75:O$88,$D611)/$E611</f>
        <v/>
      </c>
      <c r="P611" s="36">
        <f>INDEX(P$75:P$88,$D611)/$E611</f>
        <v/>
      </c>
      <c r="Q611" s="36">
        <f>INDEX(Q$75:Q$88,$D611)/$E611</f>
        <v/>
      </c>
      <c r="R611" s="36">
        <f>INDEX(R$75:R$88,$D611)/$E611</f>
        <v/>
      </c>
      <c r="S611" s="36">
        <f>INDEX(S$75:S$88,$D611)/$E611</f>
        <v/>
      </c>
      <c r="T611" s="36">
        <f>INDEX(T$75:T$88,$D611)/$E611</f>
        <v/>
      </c>
      <c r="U611" s="36">
        <f>INDEX(U$75:U$88,$D611)/$E611</f>
        <v/>
      </c>
      <c r="V611" s="36">
        <f>INDEX(V$75:V$88,$D611)/$E611</f>
        <v/>
      </c>
      <c r="W611" s="36">
        <f>INDEX(W$75:W$88,$D611)/$E611</f>
        <v/>
      </c>
      <c r="X611" s="36">
        <f>INDEX(X$75:X$88,$D611)/$E611</f>
        <v/>
      </c>
      <c r="Y611" s="36">
        <f>INDEX(Y$75:Y$88,$D611)/$E611</f>
        <v/>
      </c>
      <c r="Z611" s="23">
        <f>LOWER(Settings!$C$4)&amp;".mit."&amp;$A611&amp;IF($C611="","","."&amp;$C611&amp;"."&amp;$B611)&amp;IF(INDEX(Variables!$D$5:$D$65,MATCH($A611,Variables!$A$5:$A$65,0))="","","."&amp;INDEX(Variables!$D$5:$D$65,MATCH($A611,Variables!$A$5:$A$65,0)))&amp;"."&amp;Z$5</f>
        <v/>
      </c>
      <c r="AA611" s="38">
        <f>INDEX(AA$75:AA$88,$D611)/$E611</f>
        <v/>
      </c>
      <c r="AB611" s="36">
        <f>INDEX(AB$75:AB$88,$D611)/$E611</f>
        <v/>
      </c>
      <c r="AC611" s="36">
        <f>INDEX(AC$75:AC$88,$D611)/$E611</f>
        <v/>
      </c>
      <c r="AD611" s="36">
        <f>INDEX(AD$75:AD$88,$D611)/$E611</f>
        <v/>
      </c>
      <c r="AE611" s="36">
        <f>INDEX(AE$75:AE$88,$D611)/$E611</f>
        <v/>
      </c>
      <c r="AF611" s="36">
        <f>INDEX(AF$75:AF$88,$D611)/$E611</f>
        <v/>
      </c>
      <c r="AG611" s="36">
        <f>INDEX(AG$75:AG$88,$D611)/$E611</f>
        <v/>
      </c>
      <c r="AH611" s="36">
        <f>INDEX(AH$75:AH$88,$D611)/$E611</f>
        <v/>
      </c>
      <c r="AI611" s="36">
        <f>INDEX(AI$75:AI$88,$D611)/$E611</f>
        <v/>
      </c>
      <c r="AJ611" s="36">
        <f>INDEX(AJ$75:AJ$88,$D611)/$E611</f>
        <v/>
      </c>
      <c r="AK611" s="36">
        <f>INDEX(AK$75:AK$88,$D611)/$E611</f>
        <v/>
      </c>
      <c r="AL611" s="36">
        <f>INDEX(AL$75:AL$88,$D611)/$E611</f>
        <v/>
      </c>
      <c r="AM611" s="36">
        <f>INDEX(AM$75:AM$88,$D611)/$E611</f>
        <v/>
      </c>
      <c r="AN611" s="36">
        <f>INDEX(AN$75:AN$88,$D611)/$E611</f>
        <v/>
      </c>
    </row>
    <row r="612" hidden="1" outlineLevel="2">
      <c r="A612" s="5" t="inlineStr">
        <is>
          <t>ntx</t>
        </is>
      </c>
      <c r="B612" s="5" t="inlineStr">
        <is>
          <t>nga</t>
        </is>
      </c>
      <c r="C612" s="5" t="inlineStr">
        <is>
          <t>srv</t>
        </is>
      </c>
      <c r="D612" s="36">
        <f>INDEX(Inputs!$L$5:$L$132,MATCH($B612&amp;"|"&amp;$C612,Inputs!$A$5:$A$132,0))</f>
        <v/>
      </c>
      <c r="E612" s="36">
        <f>INDEX(Inputs!$I$5:$I$132,MATCH($B612&amp;"|"&amp;$C612,Inputs!$A$5:$A$132,0))</f>
        <v/>
      </c>
      <c r="F612" s="37" t="n"/>
      <c r="G612" s="37" t="n"/>
      <c r="H612" s="5">
        <f>INDEX(Variables!$B$5:$B$65,MATCH($A612,Variables!$A$5:$A$65,0))&amp;IF($C612="",""," | "&amp;INDEX(Mapping!$B$5:$B$25,MATCH($C612,Mapping!$A$5:$A$25,0))&amp;" | "&amp;INDEX(Mapping!$B$29:$B$38,MATCH($B612,Mapping!$A$29:$A$38,0)))</f>
        <v/>
      </c>
      <c r="I612" s="5">
        <f>INDEX(Variables!$C$5:$C$65,MATCH($A612,Variables!$A$5:$A$65,0))</f>
        <v/>
      </c>
      <c r="J612" s="5">
        <f>INDEX(Variables!$E$5:$E$65,MATCH($A612,Variables!$A$5:$A$65,0))</f>
        <v/>
      </c>
      <c r="K612" s="23">
        <f>LOWER(Settings!$C$4)&amp;".mit."&amp;$A612&amp;IF($C612="","","."&amp;$C612&amp;"."&amp;$B612)&amp;IF(INDEX(Variables!$D$5:$D$65,MATCH($A612,Variables!$A$5:$A$65,0))="","","."&amp;INDEX(Variables!$D$5:$D$65,MATCH($A612,Variables!$A$5:$A$65,0)))&amp;"."&amp;K$5</f>
        <v/>
      </c>
      <c r="L612" s="38">
        <f>INDEX(L$75:L$88,$D612)/$E612</f>
        <v/>
      </c>
      <c r="M612" s="36">
        <f>INDEX(M$75:M$88,$D612)/$E612</f>
        <v/>
      </c>
      <c r="N612" s="36">
        <f>INDEX(N$75:N$88,$D612)/$E612</f>
        <v/>
      </c>
      <c r="O612" s="36">
        <f>INDEX(O$75:O$88,$D612)/$E612</f>
        <v/>
      </c>
      <c r="P612" s="36">
        <f>INDEX(P$75:P$88,$D612)/$E612</f>
        <v/>
      </c>
      <c r="Q612" s="36">
        <f>INDEX(Q$75:Q$88,$D612)/$E612</f>
        <v/>
      </c>
      <c r="R612" s="36">
        <f>INDEX(R$75:R$88,$D612)/$E612</f>
        <v/>
      </c>
      <c r="S612" s="36">
        <f>INDEX(S$75:S$88,$D612)/$E612</f>
        <v/>
      </c>
      <c r="T612" s="36">
        <f>INDEX(T$75:T$88,$D612)/$E612</f>
        <v/>
      </c>
      <c r="U612" s="36">
        <f>INDEX(U$75:U$88,$D612)/$E612</f>
        <v/>
      </c>
      <c r="V612" s="36">
        <f>INDEX(V$75:V$88,$D612)/$E612</f>
        <v/>
      </c>
      <c r="W612" s="36">
        <f>INDEX(W$75:W$88,$D612)/$E612</f>
        <v/>
      </c>
      <c r="X612" s="36">
        <f>INDEX(X$75:X$88,$D612)/$E612</f>
        <v/>
      </c>
      <c r="Y612" s="36">
        <f>INDEX(Y$75:Y$88,$D612)/$E612</f>
        <v/>
      </c>
      <c r="Z612" s="23">
        <f>LOWER(Settings!$C$4)&amp;".mit."&amp;$A612&amp;IF($C612="","","."&amp;$C612&amp;"."&amp;$B612)&amp;IF(INDEX(Variables!$D$5:$D$65,MATCH($A612,Variables!$A$5:$A$65,0))="","","."&amp;INDEX(Variables!$D$5:$D$65,MATCH($A612,Variables!$A$5:$A$65,0)))&amp;"."&amp;Z$5</f>
        <v/>
      </c>
      <c r="AA612" s="38">
        <f>INDEX(AA$75:AA$88,$D612)/$E612</f>
        <v/>
      </c>
      <c r="AB612" s="36">
        <f>INDEX(AB$75:AB$88,$D612)/$E612</f>
        <v/>
      </c>
      <c r="AC612" s="36">
        <f>INDEX(AC$75:AC$88,$D612)/$E612</f>
        <v/>
      </c>
      <c r="AD612" s="36">
        <f>INDEX(AD$75:AD$88,$D612)/$E612</f>
        <v/>
      </c>
      <c r="AE612" s="36">
        <f>INDEX(AE$75:AE$88,$D612)/$E612</f>
        <v/>
      </c>
      <c r="AF612" s="36">
        <f>INDEX(AF$75:AF$88,$D612)/$E612</f>
        <v/>
      </c>
      <c r="AG612" s="36">
        <f>INDEX(AG$75:AG$88,$D612)/$E612</f>
        <v/>
      </c>
      <c r="AH612" s="36">
        <f>INDEX(AH$75:AH$88,$D612)/$E612</f>
        <v/>
      </c>
      <c r="AI612" s="36">
        <f>INDEX(AI$75:AI$88,$D612)/$E612</f>
        <v/>
      </c>
      <c r="AJ612" s="36">
        <f>INDEX(AJ$75:AJ$88,$D612)/$E612</f>
        <v/>
      </c>
      <c r="AK612" s="36">
        <f>INDEX(AK$75:AK$88,$D612)/$E612</f>
        <v/>
      </c>
      <c r="AL612" s="36">
        <f>INDEX(AL$75:AL$88,$D612)/$E612</f>
        <v/>
      </c>
      <c r="AM612" s="36">
        <f>INDEX(AM$75:AM$88,$D612)/$E612</f>
        <v/>
      </c>
      <c r="AN612" s="36">
        <f>INDEX(AN$75:AN$88,$D612)/$E612</f>
        <v/>
      </c>
    </row>
    <row r="613" hidden="1" outlineLevel="2">
      <c r="A613" s="5" t="inlineStr">
        <is>
          <t>ntx</t>
        </is>
      </c>
      <c r="B613" s="5" t="inlineStr">
        <is>
          <t>gso</t>
        </is>
      </c>
      <c r="C613" s="5" t="inlineStr">
        <is>
          <t>srv</t>
        </is>
      </c>
      <c r="D613" s="36">
        <f>INDEX(Inputs!$L$5:$L$132,MATCH($B613&amp;"|"&amp;$C613,Inputs!$A$5:$A$132,0))</f>
        <v/>
      </c>
      <c r="E613" s="36">
        <f>INDEX(Inputs!$I$5:$I$132,MATCH($B613&amp;"|"&amp;$C613,Inputs!$A$5:$A$132,0))</f>
        <v/>
      </c>
      <c r="F613" s="37" t="n"/>
      <c r="G613" s="37" t="n"/>
      <c r="H613" s="5">
        <f>INDEX(Variables!$B$5:$B$65,MATCH($A613,Variables!$A$5:$A$65,0))&amp;IF($C613="",""," | "&amp;INDEX(Mapping!$B$5:$B$25,MATCH($C613,Mapping!$A$5:$A$25,0))&amp;" | "&amp;INDEX(Mapping!$B$29:$B$38,MATCH($B613,Mapping!$A$29:$A$38,0)))</f>
        <v/>
      </c>
      <c r="I613" s="5">
        <f>INDEX(Variables!$C$5:$C$65,MATCH($A613,Variables!$A$5:$A$65,0))</f>
        <v/>
      </c>
      <c r="J613" s="5">
        <f>INDEX(Variables!$E$5:$E$65,MATCH($A613,Variables!$A$5:$A$65,0))</f>
        <v/>
      </c>
      <c r="K613" s="23">
        <f>LOWER(Settings!$C$4)&amp;".mit."&amp;$A613&amp;IF($C613="","","."&amp;$C613&amp;"."&amp;$B613)&amp;IF(INDEX(Variables!$D$5:$D$65,MATCH($A613,Variables!$A$5:$A$65,0))="","","."&amp;INDEX(Variables!$D$5:$D$65,MATCH($A613,Variables!$A$5:$A$65,0)))&amp;"."&amp;K$5</f>
        <v/>
      </c>
      <c r="L613" s="38">
        <f>INDEX(L$75:L$88,$D613)/$E613</f>
        <v/>
      </c>
      <c r="M613" s="36">
        <f>INDEX(M$75:M$88,$D613)/$E613</f>
        <v/>
      </c>
      <c r="N613" s="36">
        <f>INDEX(N$75:N$88,$D613)/$E613</f>
        <v/>
      </c>
      <c r="O613" s="36">
        <f>INDEX(O$75:O$88,$D613)/$E613</f>
        <v/>
      </c>
      <c r="P613" s="36">
        <f>INDEX(P$75:P$88,$D613)/$E613</f>
        <v/>
      </c>
      <c r="Q613" s="36">
        <f>INDEX(Q$75:Q$88,$D613)/$E613</f>
        <v/>
      </c>
      <c r="R613" s="36">
        <f>INDEX(R$75:R$88,$D613)/$E613</f>
        <v/>
      </c>
      <c r="S613" s="36">
        <f>INDEX(S$75:S$88,$D613)/$E613</f>
        <v/>
      </c>
      <c r="T613" s="36">
        <f>INDEX(T$75:T$88,$D613)/$E613</f>
        <v/>
      </c>
      <c r="U613" s="36">
        <f>INDEX(U$75:U$88,$D613)/$E613</f>
        <v/>
      </c>
      <c r="V613" s="36">
        <f>INDEX(V$75:V$88,$D613)/$E613</f>
        <v/>
      </c>
      <c r="W613" s="36">
        <f>INDEX(W$75:W$88,$D613)/$E613</f>
        <v/>
      </c>
      <c r="X613" s="36">
        <f>INDEX(X$75:X$88,$D613)/$E613</f>
        <v/>
      </c>
      <c r="Y613" s="36">
        <f>INDEX(Y$75:Y$88,$D613)/$E613</f>
        <v/>
      </c>
      <c r="Z613" s="23">
        <f>LOWER(Settings!$C$4)&amp;".mit."&amp;$A613&amp;IF($C613="","","."&amp;$C613&amp;"."&amp;$B613)&amp;IF(INDEX(Variables!$D$5:$D$65,MATCH($A613,Variables!$A$5:$A$65,0))="","","."&amp;INDEX(Variables!$D$5:$D$65,MATCH($A613,Variables!$A$5:$A$65,0)))&amp;"."&amp;Z$5</f>
        <v/>
      </c>
      <c r="AA613" s="38">
        <f>INDEX(AA$75:AA$88,$D613)/$E613</f>
        <v/>
      </c>
      <c r="AB613" s="36">
        <f>INDEX(AB$75:AB$88,$D613)/$E613</f>
        <v/>
      </c>
      <c r="AC613" s="36">
        <f>INDEX(AC$75:AC$88,$D613)/$E613</f>
        <v/>
      </c>
      <c r="AD613" s="36">
        <f>INDEX(AD$75:AD$88,$D613)/$E613</f>
        <v/>
      </c>
      <c r="AE613" s="36">
        <f>INDEX(AE$75:AE$88,$D613)/$E613</f>
        <v/>
      </c>
      <c r="AF613" s="36">
        <f>INDEX(AF$75:AF$88,$D613)/$E613</f>
        <v/>
      </c>
      <c r="AG613" s="36">
        <f>INDEX(AG$75:AG$88,$D613)/$E613</f>
        <v/>
      </c>
      <c r="AH613" s="36">
        <f>INDEX(AH$75:AH$88,$D613)/$E613</f>
        <v/>
      </c>
      <c r="AI613" s="36">
        <f>INDEX(AI$75:AI$88,$D613)/$E613</f>
        <v/>
      </c>
      <c r="AJ613" s="36">
        <f>INDEX(AJ$75:AJ$88,$D613)/$E613</f>
        <v/>
      </c>
      <c r="AK613" s="36">
        <f>INDEX(AK$75:AK$88,$D613)/$E613</f>
        <v/>
      </c>
      <c r="AL613" s="36">
        <f>INDEX(AL$75:AL$88,$D613)/$E613</f>
        <v/>
      </c>
      <c r="AM613" s="36">
        <f>INDEX(AM$75:AM$88,$D613)/$E613</f>
        <v/>
      </c>
      <c r="AN613" s="36">
        <f>INDEX(AN$75:AN$88,$D613)/$E613</f>
        <v/>
      </c>
    </row>
    <row r="614" hidden="1" outlineLevel="2">
      <c r="A614" s="5" t="inlineStr">
        <is>
          <t>ntx</t>
        </is>
      </c>
      <c r="B614" s="5" t="inlineStr">
        <is>
          <t>die</t>
        </is>
      </c>
      <c r="C614" s="5" t="inlineStr">
        <is>
          <t>srv</t>
        </is>
      </c>
      <c r="D614" s="36">
        <f>INDEX(Inputs!$L$5:$L$132,MATCH($B614&amp;"|"&amp;$C614,Inputs!$A$5:$A$132,0))</f>
        <v/>
      </c>
      <c r="E614" s="36">
        <f>INDEX(Inputs!$I$5:$I$132,MATCH($B614&amp;"|"&amp;$C614,Inputs!$A$5:$A$132,0))</f>
        <v/>
      </c>
      <c r="F614" s="37" t="n"/>
      <c r="G614" s="37" t="n"/>
      <c r="H614" s="5">
        <f>INDEX(Variables!$B$5:$B$65,MATCH($A614,Variables!$A$5:$A$65,0))&amp;IF($C614="",""," | "&amp;INDEX(Mapping!$B$5:$B$25,MATCH($C614,Mapping!$A$5:$A$25,0))&amp;" | "&amp;INDEX(Mapping!$B$29:$B$38,MATCH($B614,Mapping!$A$29:$A$38,0)))</f>
        <v/>
      </c>
      <c r="I614" s="5">
        <f>INDEX(Variables!$C$5:$C$65,MATCH($A614,Variables!$A$5:$A$65,0))</f>
        <v/>
      </c>
      <c r="J614" s="5">
        <f>INDEX(Variables!$E$5:$E$65,MATCH($A614,Variables!$A$5:$A$65,0))</f>
        <v/>
      </c>
      <c r="K614" s="23">
        <f>LOWER(Settings!$C$4)&amp;".mit."&amp;$A614&amp;IF($C614="","","."&amp;$C614&amp;"."&amp;$B614)&amp;IF(INDEX(Variables!$D$5:$D$65,MATCH($A614,Variables!$A$5:$A$65,0))="","","."&amp;INDEX(Variables!$D$5:$D$65,MATCH($A614,Variables!$A$5:$A$65,0)))&amp;"."&amp;K$5</f>
        <v/>
      </c>
      <c r="L614" s="38">
        <f>INDEX(L$75:L$88,$D614)/$E614</f>
        <v/>
      </c>
      <c r="M614" s="36">
        <f>INDEX(M$75:M$88,$D614)/$E614</f>
        <v/>
      </c>
      <c r="N614" s="36">
        <f>INDEX(N$75:N$88,$D614)/$E614</f>
        <v/>
      </c>
      <c r="O614" s="36">
        <f>INDEX(O$75:O$88,$D614)/$E614</f>
        <v/>
      </c>
      <c r="P614" s="36">
        <f>INDEX(P$75:P$88,$D614)/$E614</f>
        <v/>
      </c>
      <c r="Q614" s="36">
        <f>INDEX(Q$75:Q$88,$D614)/$E614</f>
        <v/>
      </c>
      <c r="R614" s="36">
        <f>INDEX(R$75:R$88,$D614)/$E614</f>
        <v/>
      </c>
      <c r="S614" s="36">
        <f>INDEX(S$75:S$88,$D614)/$E614</f>
        <v/>
      </c>
      <c r="T614" s="36">
        <f>INDEX(T$75:T$88,$D614)/$E614</f>
        <v/>
      </c>
      <c r="U614" s="36">
        <f>INDEX(U$75:U$88,$D614)/$E614</f>
        <v/>
      </c>
      <c r="V614" s="36">
        <f>INDEX(V$75:V$88,$D614)/$E614</f>
        <v/>
      </c>
      <c r="W614" s="36">
        <f>INDEX(W$75:W$88,$D614)/$E614</f>
        <v/>
      </c>
      <c r="X614" s="36">
        <f>INDEX(X$75:X$88,$D614)/$E614</f>
        <v/>
      </c>
      <c r="Y614" s="36">
        <f>INDEX(Y$75:Y$88,$D614)/$E614</f>
        <v/>
      </c>
      <c r="Z614" s="23">
        <f>LOWER(Settings!$C$4)&amp;".mit."&amp;$A614&amp;IF($C614="","","."&amp;$C614&amp;"."&amp;$B614)&amp;IF(INDEX(Variables!$D$5:$D$65,MATCH($A614,Variables!$A$5:$A$65,0))="","","."&amp;INDEX(Variables!$D$5:$D$65,MATCH($A614,Variables!$A$5:$A$65,0)))&amp;"."&amp;Z$5</f>
        <v/>
      </c>
      <c r="AA614" s="38">
        <f>INDEX(AA$75:AA$88,$D614)/$E614</f>
        <v/>
      </c>
      <c r="AB614" s="36">
        <f>INDEX(AB$75:AB$88,$D614)/$E614</f>
        <v/>
      </c>
      <c r="AC614" s="36">
        <f>INDEX(AC$75:AC$88,$D614)/$E614</f>
        <v/>
      </c>
      <c r="AD614" s="36">
        <f>INDEX(AD$75:AD$88,$D614)/$E614</f>
        <v/>
      </c>
      <c r="AE614" s="36">
        <f>INDEX(AE$75:AE$88,$D614)/$E614</f>
        <v/>
      </c>
      <c r="AF614" s="36">
        <f>INDEX(AF$75:AF$88,$D614)/$E614</f>
        <v/>
      </c>
      <c r="AG614" s="36">
        <f>INDEX(AG$75:AG$88,$D614)/$E614</f>
        <v/>
      </c>
      <c r="AH614" s="36">
        <f>INDEX(AH$75:AH$88,$D614)/$E614</f>
        <v/>
      </c>
      <c r="AI614" s="36">
        <f>INDEX(AI$75:AI$88,$D614)/$E614</f>
        <v/>
      </c>
      <c r="AJ614" s="36">
        <f>INDEX(AJ$75:AJ$88,$D614)/$E614</f>
        <v/>
      </c>
      <c r="AK614" s="36">
        <f>INDEX(AK$75:AK$88,$D614)/$E614</f>
        <v/>
      </c>
      <c r="AL614" s="36">
        <f>INDEX(AL$75:AL$88,$D614)/$E614</f>
        <v/>
      </c>
      <c r="AM614" s="36">
        <f>INDEX(AM$75:AM$88,$D614)/$E614</f>
        <v/>
      </c>
      <c r="AN614" s="36">
        <f>INDEX(AN$75:AN$88,$D614)/$E614</f>
        <v/>
      </c>
    </row>
    <row r="615" hidden="1" outlineLevel="2">
      <c r="A615" s="5" t="inlineStr">
        <is>
          <t>ntx</t>
        </is>
      </c>
      <c r="B615" s="5" t="inlineStr">
        <is>
          <t>lpg</t>
        </is>
      </c>
      <c r="C615" s="5" t="inlineStr">
        <is>
          <t>srv</t>
        </is>
      </c>
      <c r="D615" s="36">
        <f>INDEX(Inputs!$L$5:$L$132,MATCH($B615&amp;"|"&amp;$C615,Inputs!$A$5:$A$132,0))</f>
        <v/>
      </c>
      <c r="E615" s="36">
        <f>INDEX(Inputs!$I$5:$I$132,MATCH($B615&amp;"|"&amp;$C615,Inputs!$A$5:$A$132,0))</f>
        <v/>
      </c>
      <c r="F615" s="37" t="n"/>
      <c r="G615" s="37" t="n"/>
      <c r="H615" s="5">
        <f>INDEX(Variables!$B$5:$B$65,MATCH($A615,Variables!$A$5:$A$65,0))&amp;IF($C615="",""," | "&amp;INDEX(Mapping!$B$5:$B$25,MATCH($C615,Mapping!$A$5:$A$25,0))&amp;" | "&amp;INDEX(Mapping!$B$29:$B$38,MATCH($B615,Mapping!$A$29:$A$38,0)))</f>
        <v/>
      </c>
      <c r="I615" s="5">
        <f>INDEX(Variables!$C$5:$C$65,MATCH($A615,Variables!$A$5:$A$65,0))</f>
        <v/>
      </c>
      <c r="J615" s="5">
        <f>INDEX(Variables!$E$5:$E$65,MATCH($A615,Variables!$A$5:$A$65,0))</f>
        <v/>
      </c>
      <c r="K615" s="23">
        <f>LOWER(Settings!$C$4)&amp;".mit."&amp;$A615&amp;IF($C615="","","."&amp;$C615&amp;"."&amp;$B615)&amp;IF(INDEX(Variables!$D$5:$D$65,MATCH($A615,Variables!$A$5:$A$65,0))="","","."&amp;INDEX(Variables!$D$5:$D$65,MATCH($A615,Variables!$A$5:$A$65,0)))&amp;"."&amp;K$5</f>
        <v/>
      </c>
      <c r="L615" s="38">
        <f>INDEX(L$75:L$88,$D615)/$E615</f>
        <v/>
      </c>
      <c r="M615" s="36">
        <f>INDEX(M$75:M$88,$D615)/$E615</f>
        <v/>
      </c>
      <c r="N615" s="36">
        <f>INDEX(N$75:N$88,$D615)/$E615</f>
        <v/>
      </c>
      <c r="O615" s="36">
        <f>INDEX(O$75:O$88,$D615)/$E615</f>
        <v/>
      </c>
      <c r="P615" s="36">
        <f>INDEX(P$75:P$88,$D615)/$E615</f>
        <v/>
      </c>
      <c r="Q615" s="36">
        <f>INDEX(Q$75:Q$88,$D615)/$E615</f>
        <v/>
      </c>
      <c r="R615" s="36">
        <f>INDEX(R$75:R$88,$D615)/$E615</f>
        <v/>
      </c>
      <c r="S615" s="36">
        <f>INDEX(S$75:S$88,$D615)/$E615</f>
        <v/>
      </c>
      <c r="T615" s="36">
        <f>INDEX(T$75:T$88,$D615)/$E615</f>
        <v/>
      </c>
      <c r="U615" s="36">
        <f>INDEX(U$75:U$88,$D615)/$E615</f>
        <v/>
      </c>
      <c r="V615" s="36">
        <f>INDEX(V$75:V$88,$D615)/$E615</f>
        <v/>
      </c>
      <c r="W615" s="36">
        <f>INDEX(W$75:W$88,$D615)/$E615</f>
        <v/>
      </c>
      <c r="X615" s="36">
        <f>INDEX(X$75:X$88,$D615)/$E615</f>
        <v/>
      </c>
      <c r="Y615" s="36">
        <f>INDEX(Y$75:Y$88,$D615)/$E615</f>
        <v/>
      </c>
      <c r="Z615" s="23">
        <f>LOWER(Settings!$C$4)&amp;".mit."&amp;$A615&amp;IF($C615="","","."&amp;$C615&amp;"."&amp;$B615)&amp;IF(INDEX(Variables!$D$5:$D$65,MATCH($A615,Variables!$A$5:$A$65,0))="","","."&amp;INDEX(Variables!$D$5:$D$65,MATCH($A615,Variables!$A$5:$A$65,0)))&amp;"."&amp;Z$5</f>
        <v/>
      </c>
      <c r="AA615" s="38">
        <f>INDEX(AA$75:AA$88,$D615)/$E615</f>
        <v/>
      </c>
      <c r="AB615" s="36">
        <f>INDEX(AB$75:AB$88,$D615)/$E615</f>
        <v/>
      </c>
      <c r="AC615" s="36">
        <f>INDEX(AC$75:AC$88,$D615)/$E615</f>
        <v/>
      </c>
      <c r="AD615" s="36">
        <f>INDEX(AD$75:AD$88,$D615)/$E615</f>
        <v/>
      </c>
      <c r="AE615" s="36">
        <f>INDEX(AE$75:AE$88,$D615)/$E615</f>
        <v/>
      </c>
      <c r="AF615" s="36">
        <f>INDEX(AF$75:AF$88,$D615)/$E615</f>
        <v/>
      </c>
      <c r="AG615" s="36">
        <f>INDEX(AG$75:AG$88,$D615)/$E615</f>
        <v/>
      </c>
      <c r="AH615" s="36">
        <f>INDEX(AH$75:AH$88,$D615)/$E615</f>
        <v/>
      </c>
      <c r="AI615" s="36">
        <f>INDEX(AI$75:AI$88,$D615)/$E615</f>
        <v/>
      </c>
      <c r="AJ615" s="36">
        <f>INDEX(AJ$75:AJ$88,$D615)/$E615</f>
        <v/>
      </c>
      <c r="AK615" s="36">
        <f>INDEX(AK$75:AK$88,$D615)/$E615</f>
        <v/>
      </c>
      <c r="AL615" s="36">
        <f>INDEX(AL$75:AL$88,$D615)/$E615</f>
        <v/>
      </c>
      <c r="AM615" s="36">
        <f>INDEX(AM$75:AM$88,$D615)/$E615</f>
        <v/>
      </c>
      <c r="AN615" s="36">
        <f>INDEX(AN$75:AN$88,$D615)/$E615</f>
        <v/>
      </c>
    </row>
    <row r="616" hidden="1" outlineLevel="2">
      <c r="A616" s="5" t="inlineStr">
        <is>
          <t>ntx</t>
        </is>
      </c>
      <c r="B616" s="5" t="inlineStr">
        <is>
          <t>ker</t>
        </is>
      </c>
      <c r="C616" s="5" t="inlineStr">
        <is>
          <t>srv</t>
        </is>
      </c>
      <c r="D616" s="36">
        <f>INDEX(Inputs!$L$5:$L$132,MATCH($B616&amp;"|"&amp;$C616,Inputs!$A$5:$A$132,0))</f>
        <v/>
      </c>
      <c r="E616" s="36">
        <f>INDEX(Inputs!$I$5:$I$132,MATCH($B616&amp;"|"&amp;$C616,Inputs!$A$5:$A$132,0))</f>
        <v/>
      </c>
      <c r="F616" s="37" t="n"/>
      <c r="G616" s="37" t="n"/>
      <c r="H616" s="5">
        <f>INDEX(Variables!$B$5:$B$65,MATCH($A616,Variables!$A$5:$A$65,0))&amp;IF($C616="",""," | "&amp;INDEX(Mapping!$B$5:$B$25,MATCH($C616,Mapping!$A$5:$A$25,0))&amp;" | "&amp;INDEX(Mapping!$B$29:$B$38,MATCH($B616,Mapping!$A$29:$A$38,0)))</f>
        <v/>
      </c>
      <c r="I616" s="5">
        <f>INDEX(Variables!$C$5:$C$65,MATCH($A616,Variables!$A$5:$A$65,0))</f>
        <v/>
      </c>
      <c r="J616" s="5">
        <f>INDEX(Variables!$E$5:$E$65,MATCH($A616,Variables!$A$5:$A$65,0))</f>
        <v/>
      </c>
      <c r="K616" s="23">
        <f>LOWER(Settings!$C$4)&amp;".mit."&amp;$A616&amp;IF($C616="","","."&amp;$C616&amp;"."&amp;$B616)&amp;IF(INDEX(Variables!$D$5:$D$65,MATCH($A616,Variables!$A$5:$A$65,0))="","","."&amp;INDEX(Variables!$D$5:$D$65,MATCH($A616,Variables!$A$5:$A$65,0)))&amp;"."&amp;K$5</f>
        <v/>
      </c>
      <c r="L616" s="38">
        <f>INDEX(L$75:L$88,$D616)/$E616</f>
        <v/>
      </c>
      <c r="M616" s="36">
        <f>INDEX(M$75:M$88,$D616)/$E616</f>
        <v/>
      </c>
      <c r="N616" s="36">
        <f>INDEX(N$75:N$88,$D616)/$E616</f>
        <v/>
      </c>
      <c r="O616" s="36">
        <f>INDEX(O$75:O$88,$D616)/$E616</f>
        <v/>
      </c>
      <c r="P616" s="36">
        <f>INDEX(P$75:P$88,$D616)/$E616</f>
        <v/>
      </c>
      <c r="Q616" s="36">
        <f>INDEX(Q$75:Q$88,$D616)/$E616</f>
        <v/>
      </c>
      <c r="R616" s="36">
        <f>INDEX(R$75:R$88,$D616)/$E616</f>
        <v/>
      </c>
      <c r="S616" s="36">
        <f>INDEX(S$75:S$88,$D616)/$E616</f>
        <v/>
      </c>
      <c r="T616" s="36">
        <f>INDEX(T$75:T$88,$D616)/$E616</f>
        <v/>
      </c>
      <c r="U616" s="36">
        <f>INDEX(U$75:U$88,$D616)/$E616</f>
        <v/>
      </c>
      <c r="V616" s="36">
        <f>INDEX(V$75:V$88,$D616)/$E616</f>
        <v/>
      </c>
      <c r="W616" s="36">
        <f>INDEX(W$75:W$88,$D616)/$E616</f>
        <v/>
      </c>
      <c r="X616" s="36">
        <f>INDEX(X$75:X$88,$D616)/$E616</f>
        <v/>
      </c>
      <c r="Y616" s="36">
        <f>INDEX(Y$75:Y$88,$D616)/$E616</f>
        <v/>
      </c>
      <c r="Z616" s="23">
        <f>LOWER(Settings!$C$4)&amp;".mit."&amp;$A616&amp;IF($C616="","","."&amp;$C616&amp;"."&amp;$B616)&amp;IF(INDEX(Variables!$D$5:$D$65,MATCH($A616,Variables!$A$5:$A$65,0))="","","."&amp;INDEX(Variables!$D$5:$D$65,MATCH($A616,Variables!$A$5:$A$65,0)))&amp;"."&amp;Z$5</f>
        <v/>
      </c>
      <c r="AA616" s="38">
        <f>INDEX(AA$75:AA$88,$D616)/$E616</f>
        <v/>
      </c>
      <c r="AB616" s="36">
        <f>INDEX(AB$75:AB$88,$D616)/$E616</f>
        <v/>
      </c>
      <c r="AC616" s="36">
        <f>INDEX(AC$75:AC$88,$D616)/$E616</f>
        <v/>
      </c>
      <c r="AD616" s="36">
        <f>INDEX(AD$75:AD$88,$D616)/$E616</f>
        <v/>
      </c>
      <c r="AE616" s="36">
        <f>INDEX(AE$75:AE$88,$D616)/$E616</f>
        <v/>
      </c>
      <c r="AF616" s="36">
        <f>INDEX(AF$75:AF$88,$D616)/$E616</f>
        <v/>
      </c>
      <c r="AG616" s="36">
        <f>INDEX(AG$75:AG$88,$D616)/$E616</f>
        <v/>
      </c>
      <c r="AH616" s="36">
        <f>INDEX(AH$75:AH$88,$D616)/$E616</f>
        <v/>
      </c>
      <c r="AI616" s="36">
        <f>INDEX(AI$75:AI$88,$D616)/$E616</f>
        <v/>
      </c>
      <c r="AJ616" s="36">
        <f>INDEX(AJ$75:AJ$88,$D616)/$E616</f>
        <v/>
      </c>
      <c r="AK616" s="36">
        <f>INDEX(AK$75:AK$88,$D616)/$E616</f>
        <v/>
      </c>
      <c r="AL616" s="36">
        <f>INDEX(AL$75:AL$88,$D616)/$E616</f>
        <v/>
      </c>
      <c r="AM616" s="36">
        <f>INDEX(AM$75:AM$88,$D616)/$E616</f>
        <v/>
      </c>
      <c r="AN616" s="36">
        <f>INDEX(AN$75:AN$88,$D616)/$E616</f>
        <v/>
      </c>
    </row>
    <row r="617" hidden="1" outlineLevel="2">
      <c r="A617" s="5" t="inlineStr">
        <is>
          <t>ntx</t>
        </is>
      </c>
      <c r="B617" s="5" t="inlineStr">
        <is>
          <t>oop</t>
        </is>
      </c>
      <c r="C617" s="5" t="inlineStr">
        <is>
          <t>srv</t>
        </is>
      </c>
      <c r="D617" s="36">
        <f>INDEX(Inputs!$L$5:$L$132,MATCH($B617&amp;"|"&amp;$C617,Inputs!$A$5:$A$132,0))</f>
        <v/>
      </c>
      <c r="E617" s="36">
        <f>INDEX(Inputs!$I$5:$I$132,MATCH($B617&amp;"|"&amp;$C617,Inputs!$A$5:$A$132,0))</f>
        <v/>
      </c>
      <c r="F617" s="37" t="n"/>
      <c r="G617" s="37" t="n"/>
      <c r="H617" s="5">
        <f>INDEX(Variables!$B$5:$B$65,MATCH($A617,Variables!$A$5:$A$65,0))&amp;IF($C617="",""," | "&amp;INDEX(Mapping!$B$5:$B$25,MATCH($C617,Mapping!$A$5:$A$25,0))&amp;" | "&amp;INDEX(Mapping!$B$29:$B$38,MATCH($B617,Mapping!$A$29:$A$38,0)))</f>
        <v/>
      </c>
      <c r="I617" s="5">
        <f>INDEX(Variables!$C$5:$C$65,MATCH($A617,Variables!$A$5:$A$65,0))</f>
        <v/>
      </c>
      <c r="J617" s="5">
        <f>INDEX(Variables!$E$5:$E$65,MATCH($A617,Variables!$A$5:$A$65,0))</f>
        <v/>
      </c>
      <c r="K617" s="23">
        <f>LOWER(Settings!$C$4)&amp;".mit."&amp;$A617&amp;IF($C617="","","."&amp;$C617&amp;"."&amp;$B617)&amp;IF(INDEX(Variables!$D$5:$D$65,MATCH($A617,Variables!$A$5:$A$65,0))="","","."&amp;INDEX(Variables!$D$5:$D$65,MATCH($A617,Variables!$A$5:$A$65,0)))&amp;"."&amp;K$5</f>
        <v/>
      </c>
      <c r="L617" s="38">
        <f>INDEX(L$75:L$88,$D617)/$E617</f>
        <v/>
      </c>
      <c r="M617" s="36">
        <f>INDEX(M$75:M$88,$D617)/$E617</f>
        <v/>
      </c>
      <c r="N617" s="36">
        <f>INDEX(N$75:N$88,$D617)/$E617</f>
        <v/>
      </c>
      <c r="O617" s="36">
        <f>INDEX(O$75:O$88,$D617)/$E617</f>
        <v/>
      </c>
      <c r="P617" s="36">
        <f>INDEX(P$75:P$88,$D617)/$E617</f>
        <v/>
      </c>
      <c r="Q617" s="36">
        <f>INDEX(Q$75:Q$88,$D617)/$E617</f>
        <v/>
      </c>
      <c r="R617" s="36">
        <f>INDEX(R$75:R$88,$D617)/$E617</f>
        <v/>
      </c>
      <c r="S617" s="36">
        <f>INDEX(S$75:S$88,$D617)/$E617</f>
        <v/>
      </c>
      <c r="T617" s="36">
        <f>INDEX(T$75:T$88,$D617)/$E617</f>
        <v/>
      </c>
      <c r="U617" s="36">
        <f>INDEX(U$75:U$88,$D617)/$E617</f>
        <v/>
      </c>
      <c r="V617" s="36">
        <f>INDEX(V$75:V$88,$D617)/$E617</f>
        <v/>
      </c>
      <c r="W617" s="36">
        <f>INDEX(W$75:W$88,$D617)/$E617</f>
        <v/>
      </c>
      <c r="X617" s="36">
        <f>INDEX(X$75:X$88,$D617)/$E617</f>
        <v/>
      </c>
      <c r="Y617" s="36">
        <f>INDEX(Y$75:Y$88,$D617)/$E617</f>
        <v/>
      </c>
      <c r="Z617" s="23">
        <f>LOWER(Settings!$C$4)&amp;".mit."&amp;$A617&amp;IF($C617="","","."&amp;$C617&amp;"."&amp;$B617)&amp;IF(INDEX(Variables!$D$5:$D$65,MATCH($A617,Variables!$A$5:$A$65,0))="","","."&amp;INDEX(Variables!$D$5:$D$65,MATCH($A617,Variables!$A$5:$A$65,0)))&amp;"."&amp;Z$5</f>
        <v/>
      </c>
      <c r="AA617" s="38">
        <f>INDEX(AA$75:AA$88,$D617)/$E617</f>
        <v/>
      </c>
      <c r="AB617" s="36">
        <f>INDEX(AB$75:AB$88,$D617)/$E617</f>
        <v/>
      </c>
      <c r="AC617" s="36">
        <f>INDEX(AC$75:AC$88,$D617)/$E617</f>
        <v/>
      </c>
      <c r="AD617" s="36">
        <f>INDEX(AD$75:AD$88,$D617)/$E617</f>
        <v/>
      </c>
      <c r="AE617" s="36">
        <f>INDEX(AE$75:AE$88,$D617)/$E617</f>
        <v/>
      </c>
      <c r="AF617" s="36">
        <f>INDEX(AF$75:AF$88,$D617)/$E617</f>
        <v/>
      </c>
      <c r="AG617" s="36">
        <f>INDEX(AG$75:AG$88,$D617)/$E617</f>
        <v/>
      </c>
      <c r="AH617" s="36">
        <f>INDEX(AH$75:AH$88,$D617)/$E617</f>
        <v/>
      </c>
      <c r="AI617" s="36">
        <f>INDEX(AI$75:AI$88,$D617)/$E617</f>
        <v/>
      </c>
      <c r="AJ617" s="36">
        <f>INDEX(AJ$75:AJ$88,$D617)/$E617</f>
        <v/>
      </c>
      <c r="AK617" s="36">
        <f>INDEX(AK$75:AK$88,$D617)/$E617</f>
        <v/>
      </c>
      <c r="AL617" s="36">
        <f>INDEX(AL$75:AL$88,$D617)/$E617</f>
        <v/>
      </c>
      <c r="AM617" s="36">
        <f>INDEX(AM$75:AM$88,$D617)/$E617</f>
        <v/>
      </c>
      <c r="AN617" s="36">
        <f>INDEX(AN$75:AN$88,$D617)/$E617</f>
        <v/>
      </c>
    </row>
    <row r="618" hidden="1" outlineLevel="2">
      <c r="A618" s="5" t="inlineStr">
        <is>
          <t>ntx</t>
        </is>
      </c>
      <c r="B618" s="5" t="inlineStr">
        <is>
          <t>bio</t>
        </is>
      </c>
      <c r="C618" s="5" t="inlineStr">
        <is>
          <t>srv</t>
        </is>
      </c>
      <c r="D618" s="36">
        <f>INDEX(Inputs!$L$5:$L$132,MATCH($B618&amp;"|"&amp;$C618,Inputs!$A$5:$A$132,0))</f>
        <v/>
      </c>
      <c r="E618" s="36">
        <f>INDEX(Inputs!$I$5:$I$132,MATCH($B618&amp;"|"&amp;$C618,Inputs!$A$5:$A$132,0))</f>
        <v/>
      </c>
      <c r="F618" s="37" t="n"/>
      <c r="G618" s="37" t="n"/>
      <c r="H618" s="5">
        <f>INDEX(Variables!$B$5:$B$65,MATCH($A618,Variables!$A$5:$A$65,0))&amp;IF($C618="",""," | "&amp;INDEX(Mapping!$B$5:$B$25,MATCH($C618,Mapping!$A$5:$A$25,0))&amp;" | "&amp;INDEX(Mapping!$B$29:$B$38,MATCH($B618,Mapping!$A$29:$A$38,0)))</f>
        <v/>
      </c>
      <c r="I618" s="5">
        <f>INDEX(Variables!$C$5:$C$65,MATCH($A618,Variables!$A$5:$A$65,0))</f>
        <v/>
      </c>
      <c r="J618" s="5">
        <f>INDEX(Variables!$E$5:$E$65,MATCH($A618,Variables!$A$5:$A$65,0))</f>
        <v/>
      </c>
      <c r="K618" s="23">
        <f>LOWER(Settings!$C$4)&amp;".mit."&amp;$A618&amp;IF($C618="","","."&amp;$C618&amp;"."&amp;$B618)&amp;IF(INDEX(Variables!$D$5:$D$65,MATCH($A618,Variables!$A$5:$A$65,0))="","","."&amp;INDEX(Variables!$D$5:$D$65,MATCH($A618,Variables!$A$5:$A$65,0)))&amp;"."&amp;K$5</f>
        <v/>
      </c>
      <c r="L618" s="38">
        <f>INDEX(L$75:L$88,$D618)/$E618</f>
        <v/>
      </c>
      <c r="M618" s="36">
        <f>INDEX(M$75:M$88,$D618)/$E618</f>
        <v/>
      </c>
      <c r="N618" s="36">
        <f>INDEX(N$75:N$88,$D618)/$E618</f>
        <v/>
      </c>
      <c r="O618" s="36">
        <f>INDEX(O$75:O$88,$D618)/$E618</f>
        <v/>
      </c>
      <c r="P618" s="36">
        <f>INDEX(P$75:P$88,$D618)/$E618</f>
        <v/>
      </c>
      <c r="Q618" s="36">
        <f>INDEX(Q$75:Q$88,$D618)/$E618</f>
        <v/>
      </c>
      <c r="R618" s="36">
        <f>INDEX(R$75:R$88,$D618)/$E618</f>
        <v/>
      </c>
      <c r="S618" s="36">
        <f>INDEX(S$75:S$88,$D618)/$E618</f>
        <v/>
      </c>
      <c r="T618" s="36">
        <f>INDEX(T$75:T$88,$D618)/$E618</f>
        <v/>
      </c>
      <c r="U618" s="36">
        <f>INDEX(U$75:U$88,$D618)/$E618</f>
        <v/>
      </c>
      <c r="V618" s="36">
        <f>INDEX(V$75:V$88,$D618)/$E618</f>
        <v/>
      </c>
      <c r="W618" s="36">
        <f>INDEX(W$75:W$88,$D618)/$E618</f>
        <v/>
      </c>
      <c r="X618" s="36">
        <f>INDEX(X$75:X$88,$D618)/$E618</f>
        <v/>
      </c>
      <c r="Y618" s="36">
        <f>INDEX(Y$75:Y$88,$D618)/$E618</f>
        <v/>
      </c>
      <c r="Z618" s="23">
        <f>LOWER(Settings!$C$4)&amp;".mit."&amp;$A618&amp;IF($C618="","","."&amp;$C618&amp;"."&amp;$B618)&amp;IF(INDEX(Variables!$D$5:$D$65,MATCH($A618,Variables!$A$5:$A$65,0))="","","."&amp;INDEX(Variables!$D$5:$D$65,MATCH($A618,Variables!$A$5:$A$65,0)))&amp;"."&amp;Z$5</f>
        <v/>
      </c>
      <c r="AA618" s="38">
        <f>INDEX(AA$75:AA$88,$D618)/$E618</f>
        <v/>
      </c>
      <c r="AB618" s="36">
        <f>INDEX(AB$75:AB$88,$D618)/$E618</f>
        <v/>
      </c>
      <c r="AC618" s="36">
        <f>INDEX(AC$75:AC$88,$D618)/$E618</f>
        <v/>
      </c>
      <c r="AD618" s="36">
        <f>INDEX(AD$75:AD$88,$D618)/$E618</f>
        <v/>
      </c>
      <c r="AE618" s="36">
        <f>INDEX(AE$75:AE$88,$D618)/$E618</f>
        <v/>
      </c>
      <c r="AF618" s="36">
        <f>INDEX(AF$75:AF$88,$D618)/$E618</f>
        <v/>
      </c>
      <c r="AG618" s="36">
        <f>INDEX(AG$75:AG$88,$D618)/$E618</f>
        <v/>
      </c>
      <c r="AH618" s="36">
        <f>INDEX(AH$75:AH$88,$D618)/$E618</f>
        <v/>
      </c>
      <c r="AI618" s="36">
        <f>INDEX(AI$75:AI$88,$D618)/$E618</f>
        <v/>
      </c>
      <c r="AJ618" s="36">
        <f>INDEX(AJ$75:AJ$88,$D618)/$E618</f>
        <v/>
      </c>
      <c r="AK618" s="36">
        <f>INDEX(AK$75:AK$88,$D618)/$E618</f>
        <v/>
      </c>
      <c r="AL618" s="36">
        <f>INDEX(AL$75:AL$88,$D618)/$E618</f>
        <v/>
      </c>
      <c r="AM618" s="36">
        <f>INDEX(AM$75:AM$88,$D618)/$E618</f>
        <v/>
      </c>
      <c r="AN618" s="36">
        <f>INDEX(AN$75:AN$88,$D618)/$E618</f>
        <v/>
      </c>
    </row>
    <row r="619" hidden="1" outlineLevel="2"/>
    <row r="620" hidden="1" outlineLevel="2">
      <c r="A620" s="5" t="inlineStr">
        <is>
          <t>nce</t>
        </is>
      </c>
      <c r="B620" s="5" t="inlineStr">
        <is>
          <t>coa</t>
        </is>
      </c>
      <c r="C620" s="5" t="inlineStr">
        <is>
          <t>srv</t>
        </is>
      </c>
      <c r="D620" s="37" t="n"/>
      <c r="E620" s="37" t="n"/>
      <c r="F620" s="37" t="n"/>
      <c r="G620" s="37" t="n"/>
      <c r="H620" s="5">
        <f>INDEX(Variables!$B$5:$B$65,MATCH($A620,Variables!$A$5:$A$65,0))&amp;IF($C620="",""," | "&amp;INDEX(Mapping!$B$5:$B$25,MATCH($C620,Mapping!$A$5:$A$25,0))&amp;" | "&amp;INDEX(Mapping!$B$29:$B$38,MATCH($B620,Mapping!$A$29:$A$38,0)))</f>
        <v/>
      </c>
      <c r="I620" s="5">
        <f>INDEX(Variables!$C$5:$C$65,MATCH($A620,Variables!$A$5:$A$65,0))</f>
        <v/>
      </c>
      <c r="J620" s="5">
        <f>INDEX(Variables!$E$5:$E$65,MATCH($A620,Variables!$A$5:$A$65,0))</f>
        <v/>
      </c>
      <c r="K620" s="23">
        <f>LOWER(Settings!$C$4)&amp;".mit."&amp;$A620&amp;IF($C620="","","."&amp;$C620&amp;"."&amp;$B620)&amp;IF(INDEX(Variables!$D$5:$D$65,MATCH($A620,Variables!$A$5:$A$65,0))="","","."&amp;INDEX(Variables!$D$5:$D$65,MATCH($A620,Variables!$A$5:$A$65,0)))&amp;"."&amp;K$5</f>
        <v/>
      </c>
      <c r="L620" s="38">
        <f>L602+L611</f>
        <v/>
      </c>
      <c r="M620" s="36">
        <f>M602+M611</f>
        <v/>
      </c>
      <c r="N620" s="36">
        <f>N602+N611</f>
        <v/>
      </c>
      <c r="O620" s="36">
        <f>O602+O611</f>
        <v/>
      </c>
      <c r="P620" s="36">
        <f>P602+P611</f>
        <v/>
      </c>
      <c r="Q620" s="36">
        <f>Q602+Q611</f>
        <v/>
      </c>
      <c r="R620" s="36">
        <f>R602+R611</f>
        <v/>
      </c>
      <c r="S620" s="36">
        <f>S602+S611</f>
        <v/>
      </c>
      <c r="T620" s="36">
        <f>T602+T611</f>
        <v/>
      </c>
      <c r="U620" s="36">
        <f>U602+U611</f>
        <v/>
      </c>
      <c r="V620" s="36">
        <f>V602+V611</f>
        <v/>
      </c>
      <c r="W620" s="36">
        <f>W602+W611</f>
        <v/>
      </c>
      <c r="X620" s="36">
        <f>X602+X611</f>
        <v/>
      </c>
      <c r="Y620" s="36">
        <f>Y602+Y611</f>
        <v/>
      </c>
      <c r="Z620" s="23">
        <f>LOWER(Settings!$C$4)&amp;".mit."&amp;$A620&amp;IF($C620="","","."&amp;$C620&amp;"."&amp;$B620)&amp;IF(INDEX(Variables!$D$5:$D$65,MATCH($A620,Variables!$A$5:$A$65,0))="","","."&amp;INDEX(Variables!$D$5:$D$65,MATCH($A620,Variables!$A$5:$A$65,0)))&amp;"."&amp;Z$5</f>
        <v/>
      </c>
      <c r="AA620" s="38">
        <f>AA602+AA611</f>
        <v/>
      </c>
      <c r="AB620" s="36">
        <f>AB602+AB611</f>
        <v/>
      </c>
      <c r="AC620" s="36">
        <f>AC602+AC611</f>
        <v/>
      </c>
      <c r="AD620" s="36">
        <f>AD602+AD611</f>
        <v/>
      </c>
      <c r="AE620" s="36">
        <f>AE602+AE611</f>
        <v/>
      </c>
      <c r="AF620" s="36">
        <f>AF602+AF611</f>
        <v/>
      </c>
      <c r="AG620" s="36">
        <f>AG602+AG611</f>
        <v/>
      </c>
      <c r="AH620" s="36">
        <f>AH602+AH611</f>
        <v/>
      </c>
      <c r="AI620" s="36">
        <f>AI602+AI611</f>
        <v/>
      </c>
      <c r="AJ620" s="36">
        <f>AJ602+AJ611</f>
        <v/>
      </c>
      <c r="AK620" s="36">
        <f>AK602+AK611</f>
        <v/>
      </c>
      <c r="AL620" s="36">
        <f>AL602+AL611</f>
        <v/>
      </c>
      <c r="AM620" s="36">
        <f>AM602+AM611</f>
        <v/>
      </c>
      <c r="AN620" s="36">
        <f>AN602+AN611</f>
        <v/>
      </c>
    </row>
    <row r="621" hidden="1" outlineLevel="2">
      <c r="A621" s="5" t="inlineStr">
        <is>
          <t>nce</t>
        </is>
      </c>
      <c r="B621" s="5" t="inlineStr">
        <is>
          <t>nga</t>
        </is>
      </c>
      <c r="C621" s="5" t="inlineStr">
        <is>
          <t>srv</t>
        </is>
      </c>
      <c r="D621" s="37" t="n"/>
      <c r="E621" s="37" t="n"/>
      <c r="F621" s="37" t="n"/>
      <c r="G621" s="37" t="n"/>
      <c r="H621" s="5">
        <f>INDEX(Variables!$B$5:$B$65,MATCH($A621,Variables!$A$5:$A$65,0))&amp;IF($C621="",""," | "&amp;INDEX(Mapping!$B$5:$B$25,MATCH($C621,Mapping!$A$5:$A$25,0))&amp;" | "&amp;INDEX(Mapping!$B$29:$B$38,MATCH($B621,Mapping!$A$29:$A$38,0)))</f>
        <v/>
      </c>
      <c r="I621" s="5">
        <f>INDEX(Variables!$C$5:$C$65,MATCH($A621,Variables!$A$5:$A$65,0))</f>
        <v/>
      </c>
      <c r="J621" s="5">
        <f>INDEX(Variables!$E$5:$E$65,MATCH($A621,Variables!$A$5:$A$65,0))</f>
        <v/>
      </c>
      <c r="K621" s="23">
        <f>LOWER(Settings!$C$4)&amp;".mit."&amp;$A621&amp;IF($C621="","","."&amp;$C621&amp;"."&amp;$B621)&amp;IF(INDEX(Variables!$D$5:$D$65,MATCH($A621,Variables!$A$5:$A$65,0))="","","."&amp;INDEX(Variables!$D$5:$D$65,MATCH($A621,Variables!$A$5:$A$65,0)))&amp;"."&amp;K$5</f>
        <v/>
      </c>
      <c r="L621" s="38">
        <f>L603+L612</f>
        <v/>
      </c>
      <c r="M621" s="36">
        <f>M603+M612</f>
        <v/>
      </c>
      <c r="N621" s="36">
        <f>N603+N612</f>
        <v/>
      </c>
      <c r="O621" s="36">
        <f>O603+O612</f>
        <v/>
      </c>
      <c r="P621" s="36">
        <f>P603+P612</f>
        <v/>
      </c>
      <c r="Q621" s="36">
        <f>Q603+Q612</f>
        <v/>
      </c>
      <c r="R621" s="36">
        <f>R603+R612</f>
        <v/>
      </c>
      <c r="S621" s="36">
        <f>S603+S612</f>
        <v/>
      </c>
      <c r="T621" s="36">
        <f>T603+T612</f>
        <v/>
      </c>
      <c r="U621" s="36">
        <f>U603+U612</f>
        <v/>
      </c>
      <c r="V621" s="36">
        <f>V603+V612</f>
        <v/>
      </c>
      <c r="W621" s="36">
        <f>W603+W612</f>
        <v/>
      </c>
      <c r="X621" s="36">
        <f>X603+X612</f>
        <v/>
      </c>
      <c r="Y621" s="36">
        <f>Y603+Y612</f>
        <v/>
      </c>
      <c r="Z621" s="23">
        <f>LOWER(Settings!$C$4)&amp;".mit."&amp;$A621&amp;IF($C621="","","."&amp;$C621&amp;"."&amp;$B621)&amp;IF(INDEX(Variables!$D$5:$D$65,MATCH($A621,Variables!$A$5:$A$65,0))="","","."&amp;INDEX(Variables!$D$5:$D$65,MATCH($A621,Variables!$A$5:$A$65,0)))&amp;"."&amp;Z$5</f>
        <v/>
      </c>
      <c r="AA621" s="38">
        <f>AA603+AA612</f>
        <v/>
      </c>
      <c r="AB621" s="36">
        <f>AB603+AB612</f>
        <v/>
      </c>
      <c r="AC621" s="36">
        <f>AC603+AC612</f>
        <v/>
      </c>
      <c r="AD621" s="36">
        <f>AD603+AD612</f>
        <v/>
      </c>
      <c r="AE621" s="36">
        <f>AE603+AE612</f>
        <v/>
      </c>
      <c r="AF621" s="36">
        <f>AF603+AF612</f>
        <v/>
      </c>
      <c r="AG621" s="36">
        <f>AG603+AG612</f>
        <v/>
      </c>
      <c r="AH621" s="36">
        <f>AH603+AH612</f>
        <v/>
      </c>
      <c r="AI621" s="36">
        <f>AI603+AI612</f>
        <v/>
      </c>
      <c r="AJ621" s="36">
        <f>AJ603+AJ612</f>
        <v/>
      </c>
      <c r="AK621" s="36">
        <f>AK603+AK612</f>
        <v/>
      </c>
      <c r="AL621" s="36">
        <f>AL603+AL612</f>
        <v/>
      </c>
      <c r="AM621" s="36">
        <f>AM603+AM612</f>
        <v/>
      </c>
      <c r="AN621" s="36">
        <f>AN603+AN612</f>
        <v/>
      </c>
    </row>
    <row r="622" hidden="1" outlineLevel="2">
      <c r="A622" s="5" t="inlineStr">
        <is>
          <t>nce</t>
        </is>
      </c>
      <c r="B622" s="5" t="inlineStr">
        <is>
          <t>gso</t>
        </is>
      </c>
      <c r="C622" s="5" t="inlineStr">
        <is>
          <t>srv</t>
        </is>
      </c>
      <c r="D622" s="37" t="n"/>
      <c r="E622" s="37" t="n"/>
      <c r="F622" s="37" t="n"/>
      <c r="G622" s="37" t="n"/>
      <c r="H622" s="5">
        <f>INDEX(Variables!$B$5:$B$65,MATCH($A622,Variables!$A$5:$A$65,0))&amp;IF($C622="",""," | "&amp;INDEX(Mapping!$B$5:$B$25,MATCH($C622,Mapping!$A$5:$A$25,0))&amp;" | "&amp;INDEX(Mapping!$B$29:$B$38,MATCH($B622,Mapping!$A$29:$A$38,0)))</f>
        <v/>
      </c>
      <c r="I622" s="5">
        <f>INDEX(Variables!$C$5:$C$65,MATCH($A622,Variables!$A$5:$A$65,0))</f>
        <v/>
      </c>
      <c r="J622" s="5">
        <f>INDEX(Variables!$E$5:$E$65,MATCH($A622,Variables!$A$5:$A$65,0))</f>
        <v/>
      </c>
      <c r="K622" s="23">
        <f>LOWER(Settings!$C$4)&amp;".mit."&amp;$A622&amp;IF($C622="","","."&amp;$C622&amp;"."&amp;$B622)&amp;IF(INDEX(Variables!$D$5:$D$65,MATCH($A622,Variables!$A$5:$A$65,0))="","","."&amp;INDEX(Variables!$D$5:$D$65,MATCH($A622,Variables!$A$5:$A$65,0)))&amp;"."&amp;K$5</f>
        <v/>
      </c>
      <c r="L622" s="38">
        <f>L604+L613</f>
        <v/>
      </c>
      <c r="M622" s="36">
        <f>M604+M613</f>
        <v/>
      </c>
      <c r="N622" s="36">
        <f>N604+N613</f>
        <v/>
      </c>
      <c r="O622" s="36">
        <f>O604+O613</f>
        <v/>
      </c>
      <c r="P622" s="36">
        <f>P604+P613</f>
        <v/>
      </c>
      <c r="Q622" s="36">
        <f>Q604+Q613</f>
        <v/>
      </c>
      <c r="R622" s="36">
        <f>R604+R613</f>
        <v/>
      </c>
      <c r="S622" s="36">
        <f>S604+S613</f>
        <v/>
      </c>
      <c r="T622" s="36">
        <f>T604+T613</f>
        <v/>
      </c>
      <c r="U622" s="36">
        <f>U604+U613</f>
        <v/>
      </c>
      <c r="V622" s="36">
        <f>V604+V613</f>
        <v/>
      </c>
      <c r="W622" s="36">
        <f>W604+W613</f>
        <v/>
      </c>
      <c r="X622" s="36">
        <f>X604+X613</f>
        <v/>
      </c>
      <c r="Y622" s="36">
        <f>Y604+Y613</f>
        <v/>
      </c>
      <c r="Z622" s="23">
        <f>LOWER(Settings!$C$4)&amp;".mit."&amp;$A622&amp;IF($C622="","","."&amp;$C622&amp;"."&amp;$B622)&amp;IF(INDEX(Variables!$D$5:$D$65,MATCH($A622,Variables!$A$5:$A$65,0))="","","."&amp;INDEX(Variables!$D$5:$D$65,MATCH($A622,Variables!$A$5:$A$65,0)))&amp;"."&amp;Z$5</f>
        <v/>
      </c>
      <c r="AA622" s="38">
        <f>AA604+AA613</f>
        <v/>
      </c>
      <c r="AB622" s="36">
        <f>AB604+AB613</f>
        <v/>
      </c>
      <c r="AC622" s="36">
        <f>AC604+AC613</f>
        <v/>
      </c>
      <c r="AD622" s="36">
        <f>AD604+AD613</f>
        <v/>
      </c>
      <c r="AE622" s="36">
        <f>AE604+AE613</f>
        <v/>
      </c>
      <c r="AF622" s="36">
        <f>AF604+AF613</f>
        <v/>
      </c>
      <c r="AG622" s="36">
        <f>AG604+AG613</f>
        <v/>
      </c>
      <c r="AH622" s="36">
        <f>AH604+AH613</f>
        <v/>
      </c>
      <c r="AI622" s="36">
        <f>AI604+AI613</f>
        <v/>
      </c>
      <c r="AJ622" s="36">
        <f>AJ604+AJ613</f>
        <v/>
      </c>
      <c r="AK622" s="36">
        <f>AK604+AK613</f>
        <v/>
      </c>
      <c r="AL622" s="36">
        <f>AL604+AL613</f>
        <v/>
      </c>
      <c r="AM622" s="36">
        <f>AM604+AM613</f>
        <v/>
      </c>
      <c r="AN622" s="36">
        <f>AN604+AN613</f>
        <v/>
      </c>
    </row>
    <row r="623" hidden="1" outlineLevel="2">
      <c r="A623" s="5" t="inlineStr">
        <is>
          <t>nce</t>
        </is>
      </c>
      <c r="B623" s="5" t="inlineStr">
        <is>
          <t>die</t>
        </is>
      </c>
      <c r="C623" s="5" t="inlineStr">
        <is>
          <t>srv</t>
        </is>
      </c>
      <c r="D623" s="37" t="n"/>
      <c r="E623" s="37" t="n"/>
      <c r="F623" s="37" t="n"/>
      <c r="G623" s="37" t="n"/>
      <c r="H623" s="5">
        <f>INDEX(Variables!$B$5:$B$65,MATCH($A623,Variables!$A$5:$A$65,0))&amp;IF($C623="",""," | "&amp;INDEX(Mapping!$B$5:$B$25,MATCH($C623,Mapping!$A$5:$A$25,0))&amp;" | "&amp;INDEX(Mapping!$B$29:$B$38,MATCH($B623,Mapping!$A$29:$A$38,0)))</f>
        <v/>
      </c>
      <c r="I623" s="5">
        <f>INDEX(Variables!$C$5:$C$65,MATCH($A623,Variables!$A$5:$A$65,0))</f>
        <v/>
      </c>
      <c r="J623" s="5">
        <f>INDEX(Variables!$E$5:$E$65,MATCH($A623,Variables!$A$5:$A$65,0))</f>
        <v/>
      </c>
      <c r="K623" s="23">
        <f>LOWER(Settings!$C$4)&amp;".mit."&amp;$A623&amp;IF($C623="","","."&amp;$C623&amp;"."&amp;$B623)&amp;IF(INDEX(Variables!$D$5:$D$65,MATCH($A623,Variables!$A$5:$A$65,0))="","","."&amp;INDEX(Variables!$D$5:$D$65,MATCH($A623,Variables!$A$5:$A$65,0)))&amp;"."&amp;K$5</f>
        <v/>
      </c>
      <c r="L623" s="38">
        <f>L605+L614</f>
        <v/>
      </c>
      <c r="M623" s="36">
        <f>M605+M614</f>
        <v/>
      </c>
      <c r="N623" s="36">
        <f>N605+N614</f>
        <v/>
      </c>
      <c r="O623" s="36">
        <f>O605+O614</f>
        <v/>
      </c>
      <c r="P623" s="36">
        <f>P605+P614</f>
        <v/>
      </c>
      <c r="Q623" s="36">
        <f>Q605+Q614</f>
        <v/>
      </c>
      <c r="R623" s="36">
        <f>R605+R614</f>
        <v/>
      </c>
      <c r="S623" s="36">
        <f>S605+S614</f>
        <v/>
      </c>
      <c r="T623" s="36">
        <f>T605+T614</f>
        <v/>
      </c>
      <c r="U623" s="36">
        <f>U605+U614</f>
        <v/>
      </c>
      <c r="V623" s="36">
        <f>V605+V614</f>
        <v/>
      </c>
      <c r="W623" s="36">
        <f>W605+W614</f>
        <v/>
      </c>
      <c r="X623" s="36">
        <f>X605+X614</f>
        <v/>
      </c>
      <c r="Y623" s="36">
        <f>Y605+Y614</f>
        <v/>
      </c>
      <c r="Z623" s="23">
        <f>LOWER(Settings!$C$4)&amp;".mit."&amp;$A623&amp;IF($C623="","","."&amp;$C623&amp;"."&amp;$B623)&amp;IF(INDEX(Variables!$D$5:$D$65,MATCH($A623,Variables!$A$5:$A$65,0))="","","."&amp;INDEX(Variables!$D$5:$D$65,MATCH($A623,Variables!$A$5:$A$65,0)))&amp;"."&amp;Z$5</f>
        <v/>
      </c>
      <c r="AA623" s="38">
        <f>AA605+AA614</f>
        <v/>
      </c>
      <c r="AB623" s="36">
        <f>AB605+AB614</f>
        <v/>
      </c>
      <c r="AC623" s="36">
        <f>AC605+AC614</f>
        <v/>
      </c>
      <c r="AD623" s="36">
        <f>AD605+AD614</f>
        <v/>
      </c>
      <c r="AE623" s="36">
        <f>AE605+AE614</f>
        <v/>
      </c>
      <c r="AF623" s="36">
        <f>AF605+AF614</f>
        <v/>
      </c>
      <c r="AG623" s="36">
        <f>AG605+AG614</f>
        <v/>
      </c>
      <c r="AH623" s="36">
        <f>AH605+AH614</f>
        <v/>
      </c>
      <c r="AI623" s="36">
        <f>AI605+AI614</f>
        <v/>
      </c>
      <c r="AJ623" s="36">
        <f>AJ605+AJ614</f>
        <v/>
      </c>
      <c r="AK623" s="36">
        <f>AK605+AK614</f>
        <v/>
      </c>
      <c r="AL623" s="36">
        <f>AL605+AL614</f>
        <v/>
      </c>
      <c r="AM623" s="36">
        <f>AM605+AM614</f>
        <v/>
      </c>
      <c r="AN623" s="36">
        <f>AN605+AN614</f>
        <v/>
      </c>
    </row>
    <row r="624" hidden="1" outlineLevel="2">
      <c r="A624" s="5" t="inlineStr">
        <is>
          <t>nce</t>
        </is>
      </c>
      <c r="B624" s="5" t="inlineStr">
        <is>
          <t>lpg</t>
        </is>
      </c>
      <c r="C624" s="5" t="inlineStr">
        <is>
          <t>srv</t>
        </is>
      </c>
      <c r="D624" s="37" t="n"/>
      <c r="E624" s="37" t="n"/>
      <c r="F624" s="37" t="n"/>
      <c r="G624" s="37" t="n"/>
      <c r="H624" s="5">
        <f>INDEX(Variables!$B$5:$B$65,MATCH($A624,Variables!$A$5:$A$65,0))&amp;IF($C624="",""," | "&amp;INDEX(Mapping!$B$5:$B$25,MATCH($C624,Mapping!$A$5:$A$25,0))&amp;" | "&amp;INDEX(Mapping!$B$29:$B$38,MATCH($B624,Mapping!$A$29:$A$38,0)))</f>
        <v/>
      </c>
      <c r="I624" s="5">
        <f>INDEX(Variables!$C$5:$C$65,MATCH($A624,Variables!$A$5:$A$65,0))</f>
        <v/>
      </c>
      <c r="J624" s="5">
        <f>INDEX(Variables!$E$5:$E$65,MATCH($A624,Variables!$A$5:$A$65,0))</f>
        <v/>
      </c>
      <c r="K624" s="23">
        <f>LOWER(Settings!$C$4)&amp;".mit."&amp;$A624&amp;IF($C624="","","."&amp;$C624&amp;"."&amp;$B624)&amp;IF(INDEX(Variables!$D$5:$D$65,MATCH($A624,Variables!$A$5:$A$65,0))="","","."&amp;INDEX(Variables!$D$5:$D$65,MATCH($A624,Variables!$A$5:$A$65,0)))&amp;"."&amp;K$5</f>
        <v/>
      </c>
      <c r="L624" s="38">
        <f>L606+L615</f>
        <v/>
      </c>
      <c r="M624" s="36">
        <f>M606+M615</f>
        <v/>
      </c>
      <c r="N624" s="36">
        <f>N606+N615</f>
        <v/>
      </c>
      <c r="O624" s="36">
        <f>O606+O615</f>
        <v/>
      </c>
      <c r="P624" s="36">
        <f>P606+P615</f>
        <v/>
      </c>
      <c r="Q624" s="36">
        <f>Q606+Q615</f>
        <v/>
      </c>
      <c r="R624" s="36">
        <f>R606+R615</f>
        <v/>
      </c>
      <c r="S624" s="36">
        <f>S606+S615</f>
        <v/>
      </c>
      <c r="T624" s="36">
        <f>T606+T615</f>
        <v/>
      </c>
      <c r="U624" s="36">
        <f>U606+U615</f>
        <v/>
      </c>
      <c r="V624" s="36">
        <f>V606+V615</f>
        <v/>
      </c>
      <c r="W624" s="36">
        <f>W606+W615</f>
        <v/>
      </c>
      <c r="X624" s="36">
        <f>X606+X615</f>
        <v/>
      </c>
      <c r="Y624" s="36">
        <f>Y606+Y615</f>
        <v/>
      </c>
      <c r="Z624" s="23">
        <f>LOWER(Settings!$C$4)&amp;".mit."&amp;$A624&amp;IF($C624="","","."&amp;$C624&amp;"."&amp;$B624)&amp;IF(INDEX(Variables!$D$5:$D$65,MATCH($A624,Variables!$A$5:$A$65,0))="","","."&amp;INDEX(Variables!$D$5:$D$65,MATCH($A624,Variables!$A$5:$A$65,0)))&amp;"."&amp;Z$5</f>
        <v/>
      </c>
      <c r="AA624" s="38">
        <f>AA606+AA615</f>
        <v/>
      </c>
      <c r="AB624" s="36">
        <f>AB606+AB615</f>
        <v/>
      </c>
      <c r="AC624" s="36">
        <f>AC606+AC615</f>
        <v/>
      </c>
      <c r="AD624" s="36">
        <f>AD606+AD615</f>
        <v/>
      </c>
      <c r="AE624" s="36">
        <f>AE606+AE615</f>
        <v/>
      </c>
      <c r="AF624" s="36">
        <f>AF606+AF615</f>
        <v/>
      </c>
      <c r="AG624" s="36">
        <f>AG606+AG615</f>
        <v/>
      </c>
      <c r="AH624" s="36">
        <f>AH606+AH615</f>
        <v/>
      </c>
      <c r="AI624" s="36">
        <f>AI606+AI615</f>
        <v/>
      </c>
      <c r="AJ624" s="36">
        <f>AJ606+AJ615</f>
        <v/>
      </c>
      <c r="AK624" s="36">
        <f>AK606+AK615</f>
        <v/>
      </c>
      <c r="AL624" s="36">
        <f>AL606+AL615</f>
        <v/>
      </c>
      <c r="AM624" s="36">
        <f>AM606+AM615</f>
        <v/>
      </c>
      <c r="AN624" s="36">
        <f>AN606+AN615</f>
        <v/>
      </c>
    </row>
    <row r="625" hidden="1" outlineLevel="2">
      <c r="A625" s="5" t="inlineStr">
        <is>
          <t>nce</t>
        </is>
      </c>
      <c r="B625" s="5" t="inlineStr">
        <is>
          <t>ker</t>
        </is>
      </c>
      <c r="C625" s="5" t="inlineStr">
        <is>
          <t>srv</t>
        </is>
      </c>
      <c r="D625" s="37" t="n"/>
      <c r="E625" s="37" t="n"/>
      <c r="F625" s="37" t="n"/>
      <c r="G625" s="37" t="n"/>
      <c r="H625" s="5">
        <f>INDEX(Variables!$B$5:$B$65,MATCH($A625,Variables!$A$5:$A$65,0))&amp;IF($C625="",""," | "&amp;INDEX(Mapping!$B$5:$B$25,MATCH($C625,Mapping!$A$5:$A$25,0))&amp;" | "&amp;INDEX(Mapping!$B$29:$B$38,MATCH($B625,Mapping!$A$29:$A$38,0)))</f>
        <v/>
      </c>
      <c r="I625" s="5">
        <f>INDEX(Variables!$C$5:$C$65,MATCH($A625,Variables!$A$5:$A$65,0))</f>
        <v/>
      </c>
      <c r="J625" s="5">
        <f>INDEX(Variables!$E$5:$E$65,MATCH($A625,Variables!$A$5:$A$65,0))</f>
        <v/>
      </c>
      <c r="K625" s="23">
        <f>LOWER(Settings!$C$4)&amp;".mit."&amp;$A625&amp;IF($C625="","","."&amp;$C625&amp;"."&amp;$B625)&amp;IF(INDEX(Variables!$D$5:$D$65,MATCH($A625,Variables!$A$5:$A$65,0))="","","."&amp;INDEX(Variables!$D$5:$D$65,MATCH($A625,Variables!$A$5:$A$65,0)))&amp;"."&amp;K$5</f>
        <v/>
      </c>
      <c r="L625" s="38">
        <f>L607+L616</f>
        <v/>
      </c>
      <c r="M625" s="36">
        <f>M607+M616</f>
        <v/>
      </c>
      <c r="N625" s="36">
        <f>N607+N616</f>
        <v/>
      </c>
      <c r="O625" s="36">
        <f>O607+O616</f>
        <v/>
      </c>
      <c r="P625" s="36">
        <f>P607+P616</f>
        <v/>
      </c>
      <c r="Q625" s="36">
        <f>Q607+Q616</f>
        <v/>
      </c>
      <c r="R625" s="36">
        <f>R607+R616</f>
        <v/>
      </c>
      <c r="S625" s="36">
        <f>S607+S616</f>
        <v/>
      </c>
      <c r="T625" s="36">
        <f>T607+T616</f>
        <v/>
      </c>
      <c r="U625" s="36">
        <f>U607+U616</f>
        <v/>
      </c>
      <c r="V625" s="36">
        <f>V607+V616</f>
        <v/>
      </c>
      <c r="W625" s="36">
        <f>W607+W616</f>
        <v/>
      </c>
      <c r="X625" s="36">
        <f>X607+X616</f>
        <v/>
      </c>
      <c r="Y625" s="36">
        <f>Y607+Y616</f>
        <v/>
      </c>
      <c r="Z625" s="23">
        <f>LOWER(Settings!$C$4)&amp;".mit."&amp;$A625&amp;IF($C625="","","."&amp;$C625&amp;"."&amp;$B625)&amp;IF(INDEX(Variables!$D$5:$D$65,MATCH($A625,Variables!$A$5:$A$65,0))="","","."&amp;INDEX(Variables!$D$5:$D$65,MATCH($A625,Variables!$A$5:$A$65,0)))&amp;"."&amp;Z$5</f>
        <v/>
      </c>
      <c r="AA625" s="38">
        <f>AA607+AA616</f>
        <v/>
      </c>
      <c r="AB625" s="36">
        <f>AB607+AB616</f>
        <v/>
      </c>
      <c r="AC625" s="36">
        <f>AC607+AC616</f>
        <v/>
      </c>
      <c r="AD625" s="36">
        <f>AD607+AD616</f>
        <v/>
      </c>
      <c r="AE625" s="36">
        <f>AE607+AE616</f>
        <v/>
      </c>
      <c r="AF625" s="36">
        <f>AF607+AF616</f>
        <v/>
      </c>
      <c r="AG625" s="36">
        <f>AG607+AG616</f>
        <v/>
      </c>
      <c r="AH625" s="36">
        <f>AH607+AH616</f>
        <v/>
      </c>
      <c r="AI625" s="36">
        <f>AI607+AI616</f>
        <v/>
      </c>
      <c r="AJ625" s="36">
        <f>AJ607+AJ616</f>
        <v/>
      </c>
      <c r="AK625" s="36">
        <f>AK607+AK616</f>
        <v/>
      </c>
      <c r="AL625" s="36">
        <f>AL607+AL616</f>
        <v/>
      </c>
      <c r="AM625" s="36">
        <f>AM607+AM616</f>
        <v/>
      </c>
      <c r="AN625" s="36">
        <f>AN607+AN616</f>
        <v/>
      </c>
    </row>
    <row r="626" hidden="1" outlineLevel="2">
      <c r="A626" s="5" t="inlineStr">
        <is>
          <t>nce</t>
        </is>
      </c>
      <c r="B626" s="5" t="inlineStr">
        <is>
          <t>oop</t>
        </is>
      </c>
      <c r="C626" s="5" t="inlineStr">
        <is>
          <t>srv</t>
        </is>
      </c>
      <c r="D626" s="37" t="n"/>
      <c r="E626" s="37" t="n"/>
      <c r="F626" s="37" t="n"/>
      <c r="G626" s="37" t="n"/>
      <c r="H626" s="5">
        <f>INDEX(Variables!$B$5:$B$65,MATCH($A626,Variables!$A$5:$A$65,0))&amp;IF($C626="",""," | "&amp;INDEX(Mapping!$B$5:$B$25,MATCH($C626,Mapping!$A$5:$A$25,0))&amp;" | "&amp;INDEX(Mapping!$B$29:$B$38,MATCH($B626,Mapping!$A$29:$A$38,0)))</f>
        <v/>
      </c>
      <c r="I626" s="5">
        <f>INDEX(Variables!$C$5:$C$65,MATCH($A626,Variables!$A$5:$A$65,0))</f>
        <v/>
      </c>
      <c r="J626" s="5">
        <f>INDEX(Variables!$E$5:$E$65,MATCH($A626,Variables!$A$5:$A$65,0))</f>
        <v/>
      </c>
      <c r="K626" s="23">
        <f>LOWER(Settings!$C$4)&amp;".mit."&amp;$A626&amp;IF($C626="","","."&amp;$C626&amp;"."&amp;$B626)&amp;IF(INDEX(Variables!$D$5:$D$65,MATCH($A626,Variables!$A$5:$A$65,0))="","","."&amp;INDEX(Variables!$D$5:$D$65,MATCH($A626,Variables!$A$5:$A$65,0)))&amp;"."&amp;K$5</f>
        <v/>
      </c>
      <c r="L626" s="38">
        <f>L608+L617</f>
        <v/>
      </c>
      <c r="M626" s="36">
        <f>M608+M617</f>
        <v/>
      </c>
      <c r="N626" s="36">
        <f>N608+N617</f>
        <v/>
      </c>
      <c r="O626" s="36">
        <f>O608+O617</f>
        <v/>
      </c>
      <c r="P626" s="36">
        <f>P608+P617</f>
        <v/>
      </c>
      <c r="Q626" s="36">
        <f>Q608+Q617</f>
        <v/>
      </c>
      <c r="R626" s="36">
        <f>R608+R617</f>
        <v/>
      </c>
      <c r="S626" s="36">
        <f>S608+S617</f>
        <v/>
      </c>
      <c r="T626" s="36">
        <f>T608+T617</f>
        <v/>
      </c>
      <c r="U626" s="36">
        <f>U608+U617</f>
        <v/>
      </c>
      <c r="V626" s="36">
        <f>V608+V617</f>
        <v/>
      </c>
      <c r="W626" s="36">
        <f>W608+W617</f>
        <v/>
      </c>
      <c r="X626" s="36">
        <f>X608+X617</f>
        <v/>
      </c>
      <c r="Y626" s="36">
        <f>Y608+Y617</f>
        <v/>
      </c>
      <c r="Z626" s="23">
        <f>LOWER(Settings!$C$4)&amp;".mit."&amp;$A626&amp;IF($C626="","","."&amp;$C626&amp;"."&amp;$B626)&amp;IF(INDEX(Variables!$D$5:$D$65,MATCH($A626,Variables!$A$5:$A$65,0))="","","."&amp;INDEX(Variables!$D$5:$D$65,MATCH($A626,Variables!$A$5:$A$65,0)))&amp;"."&amp;Z$5</f>
        <v/>
      </c>
      <c r="AA626" s="38">
        <f>AA608+AA617</f>
        <v/>
      </c>
      <c r="AB626" s="36">
        <f>AB608+AB617</f>
        <v/>
      </c>
      <c r="AC626" s="36">
        <f>AC608+AC617</f>
        <v/>
      </c>
      <c r="AD626" s="36">
        <f>AD608+AD617</f>
        <v/>
      </c>
      <c r="AE626" s="36">
        <f>AE608+AE617</f>
        <v/>
      </c>
      <c r="AF626" s="36">
        <f>AF608+AF617</f>
        <v/>
      </c>
      <c r="AG626" s="36">
        <f>AG608+AG617</f>
        <v/>
      </c>
      <c r="AH626" s="36">
        <f>AH608+AH617</f>
        <v/>
      </c>
      <c r="AI626" s="36">
        <f>AI608+AI617</f>
        <v/>
      </c>
      <c r="AJ626" s="36">
        <f>AJ608+AJ617</f>
        <v/>
      </c>
      <c r="AK626" s="36">
        <f>AK608+AK617</f>
        <v/>
      </c>
      <c r="AL626" s="36">
        <f>AL608+AL617</f>
        <v/>
      </c>
      <c r="AM626" s="36">
        <f>AM608+AM617</f>
        <v/>
      </c>
      <c r="AN626" s="36">
        <f>AN608+AN617</f>
        <v/>
      </c>
    </row>
    <row r="627" hidden="1" outlineLevel="2">
      <c r="A627" s="5" t="inlineStr">
        <is>
          <t>nce</t>
        </is>
      </c>
      <c r="B627" s="5" t="inlineStr">
        <is>
          <t>bio</t>
        </is>
      </c>
      <c r="C627" s="5" t="inlineStr">
        <is>
          <t>srv</t>
        </is>
      </c>
      <c r="D627" s="37" t="n"/>
      <c r="E627" s="37" t="n"/>
      <c r="F627" s="37" t="n"/>
      <c r="G627" s="37" t="n"/>
      <c r="H627" s="5">
        <f>INDEX(Variables!$B$5:$B$65,MATCH($A627,Variables!$A$5:$A$65,0))&amp;IF($C627="",""," | "&amp;INDEX(Mapping!$B$5:$B$25,MATCH($C627,Mapping!$A$5:$A$25,0))&amp;" | "&amp;INDEX(Mapping!$B$29:$B$38,MATCH($B627,Mapping!$A$29:$A$38,0)))</f>
        <v/>
      </c>
      <c r="I627" s="5">
        <f>INDEX(Variables!$C$5:$C$65,MATCH($A627,Variables!$A$5:$A$65,0))</f>
        <v/>
      </c>
      <c r="J627" s="5">
        <f>INDEX(Variables!$E$5:$E$65,MATCH($A627,Variables!$A$5:$A$65,0))</f>
        <v/>
      </c>
      <c r="K627" s="23">
        <f>LOWER(Settings!$C$4)&amp;".mit."&amp;$A627&amp;IF($C627="","","."&amp;$C627&amp;"."&amp;$B627)&amp;IF(INDEX(Variables!$D$5:$D$65,MATCH($A627,Variables!$A$5:$A$65,0))="","","."&amp;INDEX(Variables!$D$5:$D$65,MATCH($A627,Variables!$A$5:$A$65,0)))&amp;"."&amp;K$5</f>
        <v/>
      </c>
      <c r="L627" s="38">
        <f>L609+L618</f>
        <v/>
      </c>
      <c r="M627" s="36">
        <f>M609+M618</f>
        <v/>
      </c>
      <c r="N627" s="36">
        <f>N609+N618</f>
        <v/>
      </c>
      <c r="O627" s="36">
        <f>O609+O618</f>
        <v/>
      </c>
      <c r="P627" s="36">
        <f>P609+P618</f>
        <v/>
      </c>
      <c r="Q627" s="36">
        <f>Q609+Q618</f>
        <v/>
      </c>
      <c r="R627" s="36">
        <f>R609+R618</f>
        <v/>
      </c>
      <c r="S627" s="36">
        <f>S609+S618</f>
        <v/>
      </c>
      <c r="T627" s="36">
        <f>T609+T618</f>
        <v/>
      </c>
      <c r="U627" s="36">
        <f>U609+U618</f>
        <v/>
      </c>
      <c r="V627" s="36">
        <f>V609+V618</f>
        <v/>
      </c>
      <c r="W627" s="36">
        <f>W609+W618</f>
        <v/>
      </c>
      <c r="X627" s="36">
        <f>X609+X618</f>
        <v/>
      </c>
      <c r="Y627" s="36">
        <f>Y609+Y618</f>
        <v/>
      </c>
      <c r="Z627" s="23">
        <f>LOWER(Settings!$C$4)&amp;".mit."&amp;$A627&amp;IF($C627="","","."&amp;$C627&amp;"."&amp;$B627)&amp;IF(INDEX(Variables!$D$5:$D$65,MATCH($A627,Variables!$A$5:$A$65,0))="","","."&amp;INDEX(Variables!$D$5:$D$65,MATCH($A627,Variables!$A$5:$A$65,0)))&amp;"."&amp;Z$5</f>
        <v/>
      </c>
      <c r="AA627" s="38">
        <f>AA609+AA618</f>
        <v/>
      </c>
      <c r="AB627" s="36">
        <f>AB609+AB618</f>
        <v/>
      </c>
      <c r="AC627" s="36">
        <f>AC609+AC618</f>
        <v/>
      </c>
      <c r="AD627" s="36">
        <f>AD609+AD618</f>
        <v/>
      </c>
      <c r="AE627" s="36">
        <f>AE609+AE618</f>
        <v/>
      </c>
      <c r="AF627" s="36">
        <f>AF609+AF618</f>
        <v/>
      </c>
      <c r="AG627" s="36">
        <f>AG609+AG618</f>
        <v/>
      </c>
      <c r="AH627" s="36">
        <f>AH609+AH618</f>
        <v/>
      </c>
      <c r="AI627" s="36">
        <f>AI609+AI618</f>
        <v/>
      </c>
      <c r="AJ627" s="36">
        <f>AJ609+AJ618</f>
        <v/>
      </c>
      <c r="AK627" s="36">
        <f>AK609+AK618</f>
        <v/>
      </c>
      <c r="AL627" s="36">
        <f>AL609+AL618</f>
        <v/>
      </c>
      <c r="AM627" s="36">
        <f>AM609+AM618</f>
        <v/>
      </c>
      <c r="AN627" s="36">
        <f>AN609+AN618</f>
        <v/>
      </c>
    </row>
    <row r="628" hidden="1" outlineLevel="2"/>
    <row r="629" hidden="1" outlineLevel="2">
      <c r="A629" s="5" t="inlineStr">
        <is>
          <t>tax</t>
        </is>
      </c>
      <c r="B629" s="5" t="inlineStr">
        <is>
          <t>coa</t>
        </is>
      </c>
      <c r="C629" s="5" t="inlineStr">
        <is>
          <t>srv</t>
        </is>
      </c>
      <c r="D629" s="36">
        <f>INDEX(Inputs!$T$5:$T$132,MATCH($B629&amp;"|"&amp;$C629,Inputs!$A$5:$A$132,0))</f>
        <v/>
      </c>
      <c r="E629" s="37" t="n"/>
      <c r="F629" s="37" t="n"/>
      <c r="G629" s="37" t="n"/>
      <c r="H629" s="5">
        <f>INDEX(Variables!$B$5:$B$65,MATCH($A629,Variables!$A$5:$A$65,0))&amp;IF($C629="",""," | "&amp;INDEX(Mapping!$B$5:$B$25,MATCH($C629,Mapping!$A$5:$A$25,0))&amp;" | "&amp;INDEX(Mapping!$B$29:$B$38,MATCH($B629,Mapping!$A$29:$A$38,0)))</f>
        <v/>
      </c>
      <c r="I629" s="5">
        <f>INDEX(Variables!$C$5:$C$65,MATCH($A629,Variables!$A$5:$A$65,0))</f>
        <v/>
      </c>
      <c r="J629" s="5">
        <f>INDEX(Variables!$E$5:$E$65,MATCH($A629,Variables!$A$5:$A$65,0))</f>
        <v/>
      </c>
      <c r="K629" s="23">
        <f>LOWER(Settings!$C$4)&amp;".mit."&amp;$A629&amp;IF($C629="","","."&amp;$C629&amp;"."&amp;$B629)&amp;IF(INDEX(Variables!$D$5:$D$65,MATCH($A629,Variables!$A$5:$A$65,0))="","","."&amp;INDEX(Variables!$D$5:$D$65,MATCH($A629,Variables!$A$5:$A$65,0)))&amp;"."&amp;K$5</f>
        <v/>
      </c>
      <c r="L629" s="38">
        <f>$D629+L620</f>
        <v/>
      </c>
      <c r="M629" s="36">
        <f>$D629+M620</f>
        <v/>
      </c>
      <c r="N629" s="36">
        <f>$D629+N620</f>
        <v/>
      </c>
      <c r="O629" s="36">
        <f>$D629+O620</f>
        <v/>
      </c>
      <c r="P629" s="36">
        <f>$D629+P620</f>
        <v/>
      </c>
      <c r="Q629" s="36">
        <f>$D629+Q620</f>
        <v/>
      </c>
      <c r="R629" s="36">
        <f>$D629+R620</f>
        <v/>
      </c>
      <c r="S629" s="36">
        <f>$D629+S620</f>
        <v/>
      </c>
      <c r="T629" s="36">
        <f>$D629+T620</f>
        <v/>
      </c>
      <c r="U629" s="36">
        <f>$D629+U620</f>
        <v/>
      </c>
      <c r="V629" s="36">
        <f>$D629+V620</f>
        <v/>
      </c>
      <c r="W629" s="36">
        <f>$D629+W620</f>
        <v/>
      </c>
      <c r="X629" s="36">
        <f>$D629+X620</f>
        <v/>
      </c>
      <c r="Y629" s="39">
        <f>TAX($D629,Y620)</f>
        <v/>
      </c>
      <c r="Z629" s="23">
        <f>LOWER(Settings!$C$4)&amp;".mit."&amp;$A629&amp;IF($C629="","","."&amp;$C629&amp;"."&amp;$B629)&amp;IF(INDEX(Variables!$D$5:$D$65,MATCH($A629,Variables!$A$5:$A$65,0))="","","."&amp;INDEX(Variables!$D$5:$D$65,MATCH($A629,Variables!$A$5:$A$65,0)))&amp;"."&amp;Z$5</f>
        <v/>
      </c>
      <c r="AA629" s="38">
        <f>$D629+AA620</f>
        <v/>
      </c>
      <c r="AB629" s="36">
        <f>$D629+AB620</f>
        <v/>
      </c>
      <c r="AC629" s="36">
        <f>$D629+AC620</f>
        <v/>
      </c>
      <c r="AD629" s="36">
        <f>$D629+AD620</f>
        <v/>
      </c>
      <c r="AE629" s="36">
        <f>$D629+AE620</f>
        <v/>
      </c>
      <c r="AF629" s="36">
        <f>$D629+AF620</f>
        <v/>
      </c>
      <c r="AG629" s="36">
        <f>$D629+AG620</f>
        <v/>
      </c>
      <c r="AH629" s="36">
        <f>$D629+AH620</f>
        <v/>
      </c>
      <c r="AI629" s="36">
        <f>$D629+AI620</f>
        <v/>
      </c>
      <c r="AJ629" s="36">
        <f>$D629+AJ620</f>
        <v/>
      </c>
      <c r="AK629" s="36">
        <f>$D629+AK620</f>
        <v/>
      </c>
      <c r="AL629" s="36">
        <f>$D629+AL620</f>
        <v/>
      </c>
      <c r="AM629" s="36">
        <f>$D629+AM620</f>
        <v/>
      </c>
      <c r="AN629" s="39">
        <f>TAX($D629,AN620)</f>
        <v/>
      </c>
    </row>
    <row r="630" hidden="1" outlineLevel="2">
      <c r="A630" s="5" t="inlineStr">
        <is>
          <t>tax</t>
        </is>
      </c>
      <c r="B630" s="5" t="inlineStr">
        <is>
          <t>nga</t>
        </is>
      </c>
      <c r="C630" s="5" t="inlineStr">
        <is>
          <t>srv</t>
        </is>
      </c>
      <c r="D630" s="36">
        <f>INDEX(Inputs!$T$5:$T$132,MATCH($B630&amp;"|"&amp;$C630,Inputs!$A$5:$A$132,0))</f>
        <v/>
      </c>
      <c r="E630" s="37" t="n"/>
      <c r="F630" s="37" t="n"/>
      <c r="G630" s="37" t="n"/>
      <c r="H630" s="5">
        <f>INDEX(Variables!$B$5:$B$65,MATCH($A630,Variables!$A$5:$A$65,0))&amp;IF($C630="",""," | "&amp;INDEX(Mapping!$B$5:$B$25,MATCH($C630,Mapping!$A$5:$A$25,0))&amp;" | "&amp;INDEX(Mapping!$B$29:$B$38,MATCH($B630,Mapping!$A$29:$A$38,0)))</f>
        <v/>
      </c>
      <c r="I630" s="5">
        <f>INDEX(Variables!$C$5:$C$65,MATCH($A630,Variables!$A$5:$A$65,0))</f>
        <v/>
      </c>
      <c r="J630" s="5">
        <f>INDEX(Variables!$E$5:$E$65,MATCH($A630,Variables!$A$5:$A$65,0))</f>
        <v/>
      </c>
      <c r="K630" s="23">
        <f>LOWER(Settings!$C$4)&amp;".mit."&amp;$A630&amp;IF($C630="","","."&amp;$C630&amp;"."&amp;$B630)&amp;IF(INDEX(Variables!$D$5:$D$65,MATCH($A630,Variables!$A$5:$A$65,0))="","","."&amp;INDEX(Variables!$D$5:$D$65,MATCH($A630,Variables!$A$5:$A$65,0)))&amp;"."&amp;K$5</f>
        <v/>
      </c>
      <c r="L630" s="38">
        <f>$D630+L621</f>
        <v/>
      </c>
      <c r="M630" s="36">
        <f>$D630+M621</f>
        <v/>
      </c>
      <c r="N630" s="36">
        <f>$D630+N621</f>
        <v/>
      </c>
      <c r="O630" s="36">
        <f>$D630+O621</f>
        <v/>
      </c>
      <c r="P630" s="36">
        <f>$D630+P621</f>
        <v/>
      </c>
      <c r="Q630" s="36">
        <f>$D630+Q621</f>
        <v/>
      </c>
      <c r="R630" s="36">
        <f>$D630+R621</f>
        <v/>
      </c>
      <c r="S630" s="36">
        <f>$D630+S621</f>
        <v/>
      </c>
      <c r="T630" s="36">
        <f>$D630+T621</f>
        <v/>
      </c>
      <c r="U630" s="36">
        <f>$D630+U621</f>
        <v/>
      </c>
      <c r="V630" s="36">
        <f>$D630+V621</f>
        <v/>
      </c>
      <c r="W630" s="36">
        <f>$D630+W621</f>
        <v/>
      </c>
      <c r="X630" s="36">
        <f>$D630+X621</f>
        <v/>
      </c>
      <c r="Y630" s="39">
        <f>TAX($D630,Y621)</f>
        <v/>
      </c>
      <c r="Z630" s="23">
        <f>LOWER(Settings!$C$4)&amp;".mit."&amp;$A630&amp;IF($C630="","","."&amp;$C630&amp;"."&amp;$B630)&amp;IF(INDEX(Variables!$D$5:$D$65,MATCH($A630,Variables!$A$5:$A$65,0))="","","."&amp;INDEX(Variables!$D$5:$D$65,MATCH($A630,Variables!$A$5:$A$65,0)))&amp;"."&amp;Z$5</f>
        <v/>
      </c>
      <c r="AA630" s="38">
        <f>$D630+AA621</f>
        <v/>
      </c>
      <c r="AB630" s="36">
        <f>$D630+AB621</f>
        <v/>
      </c>
      <c r="AC630" s="36">
        <f>$D630+AC621</f>
        <v/>
      </c>
      <c r="AD630" s="36">
        <f>$D630+AD621</f>
        <v/>
      </c>
      <c r="AE630" s="36">
        <f>$D630+AE621</f>
        <v/>
      </c>
      <c r="AF630" s="36">
        <f>$D630+AF621</f>
        <v/>
      </c>
      <c r="AG630" s="36">
        <f>$D630+AG621</f>
        <v/>
      </c>
      <c r="AH630" s="36">
        <f>$D630+AH621</f>
        <v/>
      </c>
      <c r="AI630" s="36">
        <f>$D630+AI621</f>
        <v/>
      </c>
      <c r="AJ630" s="36">
        <f>$D630+AJ621</f>
        <v/>
      </c>
      <c r="AK630" s="36">
        <f>$D630+AK621</f>
        <v/>
      </c>
      <c r="AL630" s="36">
        <f>$D630+AL621</f>
        <v/>
      </c>
      <c r="AM630" s="36">
        <f>$D630+AM621</f>
        <v/>
      </c>
      <c r="AN630" s="39">
        <f>TAX($D630,AN621)</f>
        <v/>
      </c>
    </row>
    <row r="631" hidden="1" outlineLevel="2">
      <c r="A631" s="5" t="inlineStr">
        <is>
          <t>tax</t>
        </is>
      </c>
      <c r="B631" s="5" t="inlineStr">
        <is>
          <t>gso</t>
        </is>
      </c>
      <c r="C631" s="5" t="inlineStr">
        <is>
          <t>srv</t>
        </is>
      </c>
      <c r="D631" s="36">
        <f>INDEX(Inputs!$T$5:$T$132,MATCH($B631&amp;"|"&amp;$C631,Inputs!$A$5:$A$132,0))</f>
        <v/>
      </c>
      <c r="E631" s="37" t="n"/>
      <c r="F631" s="37" t="n"/>
      <c r="G631" s="37" t="n"/>
      <c r="H631" s="5">
        <f>INDEX(Variables!$B$5:$B$65,MATCH($A631,Variables!$A$5:$A$65,0))&amp;IF($C631="",""," | "&amp;INDEX(Mapping!$B$5:$B$25,MATCH($C631,Mapping!$A$5:$A$25,0))&amp;" | "&amp;INDEX(Mapping!$B$29:$B$38,MATCH($B631,Mapping!$A$29:$A$38,0)))</f>
        <v/>
      </c>
      <c r="I631" s="5">
        <f>INDEX(Variables!$C$5:$C$65,MATCH($A631,Variables!$A$5:$A$65,0))</f>
        <v/>
      </c>
      <c r="J631" s="5">
        <f>INDEX(Variables!$E$5:$E$65,MATCH($A631,Variables!$A$5:$A$65,0))</f>
        <v/>
      </c>
      <c r="K631" s="23">
        <f>LOWER(Settings!$C$4)&amp;".mit."&amp;$A631&amp;IF($C631="","","."&amp;$C631&amp;"."&amp;$B631)&amp;IF(INDEX(Variables!$D$5:$D$65,MATCH($A631,Variables!$A$5:$A$65,0))="","","."&amp;INDEX(Variables!$D$5:$D$65,MATCH($A631,Variables!$A$5:$A$65,0)))&amp;"."&amp;K$5</f>
        <v/>
      </c>
      <c r="L631" s="38">
        <f>$D631+L622</f>
        <v/>
      </c>
      <c r="M631" s="36">
        <f>$D631+M622</f>
        <v/>
      </c>
      <c r="N631" s="36">
        <f>$D631+N622</f>
        <v/>
      </c>
      <c r="O631" s="36">
        <f>$D631+O622</f>
        <v/>
      </c>
      <c r="P631" s="36">
        <f>$D631+P622</f>
        <v/>
      </c>
      <c r="Q631" s="36">
        <f>$D631+Q622</f>
        <v/>
      </c>
      <c r="R631" s="36">
        <f>$D631+R622</f>
        <v/>
      </c>
      <c r="S631" s="36">
        <f>$D631+S622</f>
        <v/>
      </c>
      <c r="T631" s="36">
        <f>$D631+T622</f>
        <v/>
      </c>
      <c r="U631" s="36">
        <f>$D631+U622</f>
        <v/>
      </c>
      <c r="V631" s="36">
        <f>$D631+V622</f>
        <v/>
      </c>
      <c r="W631" s="36">
        <f>$D631+W622</f>
        <v/>
      </c>
      <c r="X631" s="36">
        <f>$D631+X622</f>
        <v/>
      </c>
      <c r="Y631" s="39">
        <f>TAX($D631,Y622)</f>
        <v/>
      </c>
      <c r="Z631" s="23">
        <f>LOWER(Settings!$C$4)&amp;".mit."&amp;$A631&amp;IF($C631="","","."&amp;$C631&amp;"."&amp;$B631)&amp;IF(INDEX(Variables!$D$5:$D$65,MATCH($A631,Variables!$A$5:$A$65,0))="","","."&amp;INDEX(Variables!$D$5:$D$65,MATCH($A631,Variables!$A$5:$A$65,0)))&amp;"."&amp;Z$5</f>
        <v/>
      </c>
      <c r="AA631" s="38">
        <f>$D631+AA622</f>
        <v/>
      </c>
      <c r="AB631" s="36">
        <f>$D631+AB622</f>
        <v/>
      </c>
      <c r="AC631" s="36">
        <f>$D631+AC622</f>
        <v/>
      </c>
      <c r="AD631" s="36">
        <f>$D631+AD622</f>
        <v/>
      </c>
      <c r="AE631" s="36">
        <f>$D631+AE622</f>
        <v/>
      </c>
      <c r="AF631" s="36">
        <f>$D631+AF622</f>
        <v/>
      </c>
      <c r="AG631" s="36">
        <f>$D631+AG622</f>
        <v/>
      </c>
      <c r="AH631" s="36">
        <f>$D631+AH622</f>
        <v/>
      </c>
      <c r="AI631" s="36">
        <f>$D631+AI622</f>
        <v/>
      </c>
      <c r="AJ631" s="36">
        <f>$D631+AJ622</f>
        <v/>
      </c>
      <c r="AK631" s="36">
        <f>$D631+AK622</f>
        <v/>
      </c>
      <c r="AL631" s="36">
        <f>$D631+AL622</f>
        <v/>
      </c>
      <c r="AM631" s="36">
        <f>$D631+AM622</f>
        <v/>
      </c>
      <c r="AN631" s="39">
        <f>TAX($D631,AN622)</f>
        <v/>
      </c>
    </row>
    <row r="632" hidden="1" outlineLevel="2">
      <c r="A632" s="5" t="inlineStr">
        <is>
          <t>tax</t>
        </is>
      </c>
      <c r="B632" s="5" t="inlineStr">
        <is>
          <t>die</t>
        </is>
      </c>
      <c r="C632" s="5" t="inlineStr">
        <is>
          <t>srv</t>
        </is>
      </c>
      <c r="D632" s="36">
        <f>INDEX(Inputs!$T$5:$T$132,MATCH($B632&amp;"|"&amp;$C632,Inputs!$A$5:$A$132,0))</f>
        <v/>
      </c>
      <c r="E632" s="37" t="n"/>
      <c r="F632" s="37" t="n"/>
      <c r="G632" s="37" t="n"/>
      <c r="H632" s="5">
        <f>INDEX(Variables!$B$5:$B$65,MATCH($A632,Variables!$A$5:$A$65,0))&amp;IF($C632="",""," | "&amp;INDEX(Mapping!$B$5:$B$25,MATCH($C632,Mapping!$A$5:$A$25,0))&amp;" | "&amp;INDEX(Mapping!$B$29:$B$38,MATCH($B632,Mapping!$A$29:$A$38,0)))</f>
        <v/>
      </c>
      <c r="I632" s="5">
        <f>INDEX(Variables!$C$5:$C$65,MATCH($A632,Variables!$A$5:$A$65,0))</f>
        <v/>
      </c>
      <c r="J632" s="5">
        <f>INDEX(Variables!$E$5:$E$65,MATCH($A632,Variables!$A$5:$A$65,0))</f>
        <v/>
      </c>
      <c r="K632" s="23">
        <f>LOWER(Settings!$C$4)&amp;".mit."&amp;$A632&amp;IF($C632="","","."&amp;$C632&amp;"."&amp;$B632)&amp;IF(INDEX(Variables!$D$5:$D$65,MATCH($A632,Variables!$A$5:$A$65,0))="","","."&amp;INDEX(Variables!$D$5:$D$65,MATCH($A632,Variables!$A$5:$A$65,0)))&amp;"."&amp;K$5</f>
        <v/>
      </c>
      <c r="L632" s="38">
        <f>$D632+L623</f>
        <v/>
      </c>
      <c r="M632" s="36">
        <f>$D632+M623</f>
        <v/>
      </c>
      <c r="N632" s="36">
        <f>$D632+N623</f>
        <v/>
      </c>
      <c r="O632" s="36">
        <f>$D632+O623</f>
        <v/>
      </c>
      <c r="P632" s="36">
        <f>$D632+P623</f>
        <v/>
      </c>
      <c r="Q632" s="36">
        <f>$D632+Q623</f>
        <v/>
      </c>
      <c r="R632" s="36">
        <f>$D632+R623</f>
        <v/>
      </c>
      <c r="S632" s="36">
        <f>$D632+S623</f>
        <v/>
      </c>
      <c r="T632" s="36">
        <f>$D632+T623</f>
        <v/>
      </c>
      <c r="U632" s="36">
        <f>$D632+U623</f>
        <v/>
      </c>
      <c r="V632" s="36">
        <f>$D632+V623</f>
        <v/>
      </c>
      <c r="W632" s="36">
        <f>$D632+W623</f>
        <v/>
      </c>
      <c r="X632" s="36">
        <f>$D632+X623</f>
        <v/>
      </c>
      <c r="Y632" s="39">
        <f>TAX($D632,Y623)</f>
        <v/>
      </c>
      <c r="Z632" s="23">
        <f>LOWER(Settings!$C$4)&amp;".mit."&amp;$A632&amp;IF($C632="","","."&amp;$C632&amp;"."&amp;$B632)&amp;IF(INDEX(Variables!$D$5:$D$65,MATCH($A632,Variables!$A$5:$A$65,0))="","","."&amp;INDEX(Variables!$D$5:$D$65,MATCH($A632,Variables!$A$5:$A$65,0)))&amp;"."&amp;Z$5</f>
        <v/>
      </c>
      <c r="AA632" s="38">
        <f>$D632+AA623</f>
        <v/>
      </c>
      <c r="AB632" s="36">
        <f>$D632+AB623</f>
        <v/>
      </c>
      <c r="AC632" s="36">
        <f>$D632+AC623</f>
        <v/>
      </c>
      <c r="AD632" s="36">
        <f>$D632+AD623</f>
        <v/>
      </c>
      <c r="AE632" s="36">
        <f>$D632+AE623</f>
        <v/>
      </c>
      <c r="AF632" s="36">
        <f>$D632+AF623</f>
        <v/>
      </c>
      <c r="AG632" s="36">
        <f>$D632+AG623</f>
        <v/>
      </c>
      <c r="AH632" s="36">
        <f>$D632+AH623</f>
        <v/>
      </c>
      <c r="AI632" s="36">
        <f>$D632+AI623</f>
        <v/>
      </c>
      <c r="AJ632" s="36">
        <f>$D632+AJ623</f>
        <v/>
      </c>
      <c r="AK632" s="36">
        <f>$D632+AK623</f>
        <v/>
      </c>
      <c r="AL632" s="36">
        <f>$D632+AL623</f>
        <v/>
      </c>
      <c r="AM632" s="36">
        <f>$D632+AM623</f>
        <v/>
      </c>
      <c r="AN632" s="39">
        <f>TAX($D632,AN623)</f>
        <v/>
      </c>
    </row>
    <row r="633" hidden="1" outlineLevel="2">
      <c r="A633" s="5" t="inlineStr">
        <is>
          <t>tax</t>
        </is>
      </c>
      <c r="B633" s="5" t="inlineStr">
        <is>
          <t>lpg</t>
        </is>
      </c>
      <c r="C633" s="5" t="inlineStr">
        <is>
          <t>srv</t>
        </is>
      </c>
      <c r="D633" s="36">
        <f>INDEX(Inputs!$T$5:$T$132,MATCH($B633&amp;"|"&amp;$C633,Inputs!$A$5:$A$132,0))</f>
        <v/>
      </c>
      <c r="E633" s="37" t="n"/>
      <c r="F633" s="37" t="n"/>
      <c r="G633" s="37" t="n"/>
      <c r="H633" s="5">
        <f>INDEX(Variables!$B$5:$B$65,MATCH($A633,Variables!$A$5:$A$65,0))&amp;IF($C633="",""," | "&amp;INDEX(Mapping!$B$5:$B$25,MATCH($C633,Mapping!$A$5:$A$25,0))&amp;" | "&amp;INDEX(Mapping!$B$29:$B$38,MATCH($B633,Mapping!$A$29:$A$38,0)))</f>
        <v/>
      </c>
      <c r="I633" s="5">
        <f>INDEX(Variables!$C$5:$C$65,MATCH($A633,Variables!$A$5:$A$65,0))</f>
        <v/>
      </c>
      <c r="J633" s="5">
        <f>INDEX(Variables!$E$5:$E$65,MATCH($A633,Variables!$A$5:$A$65,0))</f>
        <v/>
      </c>
      <c r="K633" s="23">
        <f>LOWER(Settings!$C$4)&amp;".mit."&amp;$A633&amp;IF($C633="","","."&amp;$C633&amp;"."&amp;$B633)&amp;IF(INDEX(Variables!$D$5:$D$65,MATCH($A633,Variables!$A$5:$A$65,0))="","","."&amp;INDEX(Variables!$D$5:$D$65,MATCH($A633,Variables!$A$5:$A$65,0)))&amp;"."&amp;K$5</f>
        <v/>
      </c>
      <c r="L633" s="38">
        <f>$D633+L624</f>
        <v/>
      </c>
      <c r="M633" s="36">
        <f>$D633+M624</f>
        <v/>
      </c>
      <c r="N633" s="36">
        <f>$D633+N624</f>
        <v/>
      </c>
      <c r="O633" s="36">
        <f>$D633+O624</f>
        <v/>
      </c>
      <c r="P633" s="36">
        <f>$D633+P624</f>
        <v/>
      </c>
      <c r="Q633" s="36">
        <f>$D633+Q624</f>
        <v/>
      </c>
      <c r="R633" s="36">
        <f>$D633+R624</f>
        <v/>
      </c>
      <c r="S633" s="36">
        <f>$D633+S624</f>
        <v/>
      </c>
      <c r="T633" s="36">
        <f>$D633+T624</f>
        <v/>
      </c>
      <c r="U633" s="36">
        <f>$D633+U624</f>
        <v/>
      </c>
      <c r="V633" s="36">
        <f>$D633+V624</f>
        <v/>
      </c>
      <c r="W633" s="36">
        <f>$D633+W624</f>
        <v/>
      </c>
      <c r="X633" s="36">
        <f>$D633+X624</f>
        <v/>
      </c>
      <c r="Y633" s="39">
        <f>TAX($D633,Y624)</f>
        <v/>
      </c>
      <c r="Z633" s="23">
        <f>LOWER(Settings!$C$4)&amp;".mit."&amp;$A633&amp;IF($C633="","","."&amp;$C633&amp;"."&amp;$B633)&amp;IF(INDEX(Variables!$D$5:$D$65,MATCH($A633,Variables!$A$5:$A$65,0))="","","."&amp;INDEX(Variables!$D$5:$D$65,MATCH($A633,Variables!$A$5:$A$65,0)))&amp;"."&amp;Z$5</f>
        <v/>
      </c>
      <c r="AA633" s="38">
        <f>$D633+AA624</f>
        <v/>
      </c>
      <c r="AB633" s="36">
        <f>$D633+AB624</f>
        <v/>
      </c>
      <c r="AC633" s="36">
        <f>$D633+AC624</f>
        <v/>
      </c>
      <c r="AD633" s="36">
        <f>$D633+AD624</f>
        <v/>
      </c>
      <c r="AE633" s="36">
        <f>$D633+AE624</f>
        <v/>
      </c>
      <c r="AF633" s="36">
        <f>$D633+AF624</f>
        <v/>
      </c>
      <c r="AG633" s="36">
        <f>$D633+AG624</f>
        <v/>
      </c>
      <c r="AH633" s="36">
        <f>$D633+AH624</f>
        <v/>
      </c>
      <c r="AI633" s="36">
        <f>$D633+AI624</f>
        <v/>
      </c>
      <c r="AJ633" s="36">
        <f>$D633+AJ624</f>
        <v/>
      </c>
      <c r="AK633" s="36">
        <f>$D633+AK624</f>
        <v/>
      </c>
      <c r="AL633" s="36">
        <f>$D633+AL624</f>
        <v/>
      </c>
      <c r="AM633" s="36">
        <f>$D633+AM624</f>
        <v/>
      </c>
      <c r="AN633" s="39">
        <f>TAX($D633,AN624)</f>
        <v/>
      </c>
    </row>
    <row r="634" hidden="1" outlineLevel="2">
      <c r="A634" s="5" t="inlineStr">
        <is>
          <t>tax</t>
        </is>
      </c>
      <c r="B634" s="5" t="inlineStr">
        <is>
          <t>ker</t>
        </is>
      </c>
      <c r="C634" s="5" t="inlineStr">
        <is>
          <t>srv</t>
        </is>
      </c>
      <c r="D634" s="36">
        <f>INDEX(Inputs!$T$5:$T$132,MATCH($B634&amp;"|"&amp;$C634,Inputs!$A$5:$A$132,0))</f>
        <v/>
      </c>
      <c r="E634" s="37" t="n"/>
      <c r="F634" s="37" t="n"/>
      <c r="G634" s="37" t="n"/>
      <c r="H634" s="5">
        <f>INDEX(Variables!$B$5:$B$65,MATCH($A634,Variables!$A$5:$A$65,0))&amp;IF($C634="",""," | "&amp;INDEX(Mapping!$B$5:$B$25,MATCH($C634,Mapping!$A$5:$A$25,0))&amp;" | "&amp;INDEX(Mapping!$B$29:$B$38,MATCH($B634,Mapping!$A$29:$A$38,0)))</f>
        <v/>
      </c>
      <c r="I634" s="5">
        <f>INDEX(Variables!$C$5:$C$65,MATCH($A634,Variables!$A$5:$A$65,0))</f>
        <v/>
      </c>
      <c r="J634" s="5">
        <f>INDEX(Variables!$E$5:$E$65,MATCH($A634,Variables!$A$5:$A$65,0))</f>
        <v/>
      </c>
      <c r="K634" s="23">
        <f>LOWER(Settings!$C$4)&amp;".mit."&amp;$A634&amp;IF($C634="","","."&amp;$C634&amp;"."&amp;$B634)&amp;IF(INDEX(Variables!$D$5:$D$65,MATCH($A634,Variables!$A$5:$A$65,0))="","","."&amp;INDEX(Variables!$D$5:$D$65,MATCH($A634,Variables!$A$5:$A$65,0)))&amp;"."&amp;K$5</f>
        <v/>
      </c>
      <c r="L634" s="38">
        <f>$D634+L625</f>
        <v/>
      </c>
      <c r="M634" s="36">
        <f>$D634+M625</f>
        <v/>
      </c>
      <c r="N634" s="36">
        <f>$D634+N625</f>
        <v/>
      </c>
      <c r="O634" s="36">
        <f>$D634+O625</f>
        <v/>
      </c>
      <c r="P634" s="36">
        <f>$D634+P625</f>
        <v/>
      </c>
      <c r="Q634" s="36">
        <f>$D634+Q625</f>
        <v/>
      </c>
      <c r="R634" s="36">
        <f>$D634+R625</f>
        <v/>
      </c>
      <c r="S634" s="36">
        <f>$D634+S625</f>
        <v/>
      </c>
      <c r="T634" s="36">
        <f>$D634+T625</f>
        <v/>
      </c>
      <c r="U634" s="36">
        <f>$D634+U625</f>
        <v/>
      </c>
      <c r="V634" s="36">
        <f>$D634+V625</f>
        <v/>
      </c>
      <c r="W634" s="36">
        <f>$D634+W625</f>
        <v/>
      </c>
      <c r="X634" s="36">
        <f>$D634+X625</f>
        <v/>
      </c>
      <c r="Y634" s="39">
        <f>TAX($D634,Y625)</f>
        <v/>
      </c>
      <c r="Z634" s="23">
        <f>LOWER(Settings!$C$4)&amp;".mit."&amp;$A634&amp;IF($C634="","","."&amp;$C634&amp;"."&amp;$B634)&amp;IF(INDEX(Variables!$D$5:$D$65,MATCH($A634,Variables!$A$5:$A$65,0))="","","."&amp;INDEX(Variables!$D$5:$D$65,MATCH($A634,Variables!$A$5:$A$65,0)))&amp;"."&amp;Z$5</f>
        <v/>
      </c>
      <c r="AA634" s="38">
        <f>$D634+AA625</f>
        <v/>
      </c>
      <c r="AB634" s="36">
        <f>$D634+AB625</f>
        <v/>
      </c>
      <c r="AC634" s="36">
        <f>$D634+AC625</f>
        <v/>
      </c>
      <c r="AD634" s="36">
        <f>$D634+AD625</f>
        <v/>
      </c>
      <c r="AE634" s="36">
        <f>$D634+AE625</f>
        <v/>
      </c>
      <c r="AF634" s="36">
        <f>$D634+AF625</f>
        <v/>
      </c>
      <c r="AG634" s="36">
        <f>$D634+AG625</f>
        <v/>
      </c>
      <c r="AH634" s="36">
        <f>$D634+AH625</f>
        <v/>
      </c>
      <c r="AI634" s="36">
        <f>$D634+AI625</f>
        <v/>
      </c>
      <c r="AJ634" s="36">
        <f>$D634+AJ625</f>
        <v/>
      </c>
      <c r="AK634" s="36">
        <f>$D634+AK625</f>
        <v/>
      </c>
      <c r="AL634" s="36">
        <f>$D634+AL625</f>
        <v/>
      </c>
      <c r="AM634" s="36">
        <f>$D634+AM625</f>
        <v/>
      </c>
      <c r="AN634" s="39">
        <f>TAX($D634,AN625)</f>
        <v/>
      </c>
    </row>
    <row r="635" hidden="1" outlineLevel="2">
      <c r="A635" s="5" t="inlineStr">
        <is>
          <t>tax</t>
        </is>
      </c>
      <c r="B635" s="5" t="inlineStr">
        <is>
          <t>oop</t>
        </is>
      </c>
      <c r="C635" s="5" t="inlineStr">
        <is>
          <t>srv</t>
        </is>
      </c>
      <c r="D635" s="36">
        <f>INDEX(Inputs!$T$5:$T$132,MATCH($B635&amp;"|"&amp;$C635,Inputs!$A$5:$A$132,0))</f>
        <v/>
      </c>
      <c r="E635" s="37" t="n"/>
      <c r="F635" s="37" t="n"/>
      <c r="G635" s="37" t="n"/>
      <c r="H635" s="5">
        <f>INDEX(Variables!$B$5:$B$65,MATCH($A635,Variables!$A$5:$A$65,0))&amp;IF($C635="",""," | "&amp;INDEX(Mapping!$B$5:$B$25,MATCH($C635,Mapping!$A$5:$A$25,0))&amp;" | "&amp;INDEX(Mapping!$B$29:$B$38,MATCH($B635,Mapping!$A$29:$A$38,0)))</f>
        <v/>
      </c>
      <c r="I635" s="5">
        <f>INDEX(Variables!$C$5:$C$65,MATCH($A635,Variables!$A$5:$A$65,0))</f>
        <v/>
      </c>
      <c r="J635" s="5">
        <f>INDEX(Variables!$E$5:$E$65,MATCH($A635,Variables!$A$5:$A$65,0))</f>
        <v/>
      </c>
      <c r="K635" s="23">
        <f>LOWER(Settings!$C$4)&amp;".mit."&amp;$A635&amp;IF($C635="","","."&amp;$C635&amp;"."&amp;$B635)&amp;IF(INDEX(Variables!$D$5:$D$65,MATCH($A635,Variables!$A$5:$A$65,0))="","","."&amp;INDEX(Variables!$D$5:$D$65,MATCH($A635,Variables!$A$5:$A$65,0)))&amp;"."&amp;K$5</f>
        <v/>
      </c>
      <c r="L635" s="38">
        <f>$D635+L626</f>
        <v/>
      </c>
      <c r="M635" s="36">
        <f>$D635+M626</f>
        <v/>
      </c>
      <c r="N635" s="36">
        <f>$D635+N626</f>
        <v/>
      </c>
      <c r="O635" s="36">
        <f>$D635+O626</f>
        <v/>
      </c>
      <c r="P635" s="36">
        <f>$D635+P626</f>
        <v/>
      </c>
      <c r="Q635" s="36">
        <f>$D635+Q626</f>
        <v/>
      </c>
      <c r="R635" s="36">
        <f>$D635+R626</f>
        <v/>
      </c>
      <c r="S635" s="36">
        <f>$D635+S626</f>
        <v/>
      </c>
      <c r="T635" s="36">
        <f>$D635+T626</f>
        <v/>
      </c>
      <c r="U635" s="36">
        <f>$D635+U626</f>
        <v/>
      </c>
      <c r="V635" s="36">
        <f>$D635+V626</f>
        <v/>
      </c>
      <c r="W635" s="36">
        <f>$D635+W626</f>
        <v/>
      </c>
      <c r="X635" s="36">
        <f>$D635+X626</f>
        <v/>
      </c>
      <c r="Y635" s="39">
        <f>TAX($D635,Y626)</f>
        <v/>
      </c>
      <c r="Z635" s="23">
        <f>LOWER(Settings!$C$4)&amp;".mit."&amp;$A635&amp;IF($C635="","","."&amp;$C635&amp;"."&amp;$B635)&amp;IF(INDEX(Variables!$D$5:$D$65,MATCH($A635,Variables!$A$5:$A$65,0))="","","."&amp;INDEX(Variables!$D$5:$D$65,MATCH($A635,Variables!$A$5:$A$65,0)))&amp;"."&amp;Z$5</f>
        <v/>
      </c>
      <c r="AA635" s="38">
        <f>$D635+AA626</f>
        <v/>
      </c>
      <c r="AB635" s="36">
        <f>$D635+AB626</f>
        <v/>
      </c>
      <c r="AC635" s="36">
        <f>$D635+AC626</f>
        <v/>
      </c>
      <c r="AD635" s="36">
        <f>$D635+AD626</f>
        <v/>
      </c>
      <c r="AE635" s="36">
        <f>$D635+AE626</f>
        <v/>
      </c>
      <c r="AF635" s="36">
        <f>$D635+AF626</f>
        <v/>
      </c>
      <c r="AG635" s="36">
        <f>$D635+AG626</f>
        <v/>
      </c>
      <c r="AH635" s="36">
        <f>$D635+AH626</f>
        <v/>
      </c>
      <c r="AI635" s="36">
        <f>$D635+AI626</f>
        <v/>
      </c>
      <c r="AJ635" s="36">
        <f>$D635+AJ626</f>
        <v/>
      </c>
      <c r="AK635" s="36">
        <f>$D635+AK626</f>
        <v/>
      </c>
      <c r="AL635" s="36">
        <f>$D635+AL626</f>
        <v/>
      </c>
      <c r="AM635" s="36">
        <f>$D635+AM626</f>
        <v/>
      </c>
      <c r="AN635" s="39">
        <f>TAX($D635,AN626)</f>
        <v/>
      </c>
    </row>
    <row r="636" hidden="1" outlineLevel="2">
      <c r="A636" s="5" t="inlineStr">
        <is>
          <t>tax</t>
        </is>
      </c>
      <c r="B636" s="5" t="inlineStr">
        <is>
          <t>bio</t>
        </is>
      </c>
      <c r="C636" s="5" t="inlineStr">
        <is>
          <t>srv</t>
        </is>
      </c>
      <c r="D636" s="36">
        <f>INDEX(Inputs!$T$5:$T$132,MATCH($B636&amp;"|"&amp;$C636,Inputs!$A$5:$A$132,0))</f>
        <v/>
      </c>
      <c r="E636" s="37" t="n"/>
      <c r="F636" s="37" t="n"/>
      <c r="G636" s="37" t="n"/>
      <c r="H636" s="5">
        <f>INDEX(Variables!$B$5:$B$65,MATCH($A636,Variables!$A$5:$A$65,0))&amp;IF($C636="",""," | "&amp;INDEX(Mapping!$B$5:$B$25,MATCH($C636,Mapping!$A$5:$A$25,0))&amp;" | "&amp;INDEX(Mapping!$B$29:$B$38,MATCH($B636,Mapping!$A$29:$A$38,0)))</f>
        <v/>
      </c>
      <c r="I636" s="5">
        <f>INDEX(Variables!$C$5:$C$65,MATCH($A636,Variables!$A$5:$A$65,0))</f>
        <v/>
      </c>
      <c r="J636" s="5">
        <f>INDEX(Variables!$E$5:$E$65,MATCH($A636,Variables!$A$5:$A$65,0))</f>
        <v/>
      </c>
      <c r="K636" s="23">
        <f>LOWER(Settings!$C$4)&amp;".mit."&amp;$A636&amp;IF($C636="","","."&amp;$C636&amp;"."&amp;$B636)&amp;IF(INDEX(Variables!$D$5:$D$65,MATCH($A636,Variables!$A$5:$A$65,0))="","","."&amp;INDEX(Variables!$D$5:$D$65,MATCH($A636,Variables!$A$5:$A$65,0)))&amp;"."&amp;K$5</f>
        <v/>
      </c>
      <c r="L636" s="38">
        <f>$D636+L627</f>
        <v/>
      </c>
      <c r="M636" s="36">
        <f>$D636+M627</f>
        <v/>
      </c>
      <c r="N636" s="36">
        <f>$D636+N627</f>
        <v/>
      </c>
      <c r="O636" s="36">
        <f>$D636+O627</f>
        <v/>
      </c>
      <c r="P636" s="36">
        <f>$D636+P627</f>
        <v/>
      </c>
      <c r="Q636" s="36">
        <f>$D636+Q627</f>
        <v/>
      </c>
      <c r="R636" s="36">
        <f>$D636+R627</f>
        <v/>
      </c>
      <c r="S636" s="36">
        <f>$D636+S627</f>
        <v/>
      </c>
      <c r="T636" s="36">
        <f>$D636+T627</f>
        <v/>
      </c>
      <c r="U636" s="36">
        <f>$D636+U627</f>
        <v/>
      </c>
      <c r="V636" s="36">
        <f>$D636+V627</f>
        <v/>
      </c>
      <c r="W636" s="36">
        <f>$D636+W627</f>
        <v/>
      </c>
      <c r="X636" s="36">
        <f>$D636+X627</f>
        <v/>
      </c>
      <c r="Y636" s="39">
        <f>TAX($D636,Y627)</f>
        <v/>
      </c>
      <c r="Z636" s="23">
        <f>LOWER(Settings!$C$4)&amp;".mit."&amp;$A636&amp;IF($C636="","","."&amp;$C636&amp;"."&amp;$B636)&amp;IF(INDEX(Variables!$D$5:$D$65,MATCH($A636,Variables!$A$5:$A$65,0))="","","."&amp;INDEX(Variables!$D$5:$D$65,MATCH($A636,Variables!$A$5:$A$65,0)))&amp;"."&amp;Z$5</f>
        <v/>
      </c>
      <c r="AA636" s="38">
        <f>$D636+AA627</f>
        <v/>
      </c>
      <c r="AB636" s="36">
        <f>$D636+AB627</f>
        <v/>
      </c>
      <c r="AC636" s="36">
        <f>$D636+AC627</f>
        <v/>
      </c>
      <c r="AD636" s="36">
        <f>$D636+AD627</f>
        <v/>
      </c>
      <c r="AE636" s="36">
        <f>$D636+AE627</f>
        <v/>
      </c>
      <c r="AF636" s="36">
        <f>$D636+AF627</f>
        <v/>
      </c>
      <c r="AG636" s="36">
        <f>$D636+AG627</f>
        <v/>
      </c>
      <c r="AH636" s="36">
        <f>$D636+AH627</f>
        <v/>
      </c>
      <c r="AI636" s="36">
        <f>$D636+AI627</f>
        <v/>
      </c>
      <c r="AJ636" s="36">
        <f>$D636+AJ627</f>
        <v/>
      </c>
      <c r="AK636" s="36">
        <f>$D636+AK627</f>
        <v/>
      </c>
      <c r="AL636" s="36">
        <f>$D636+AL627</f>
        <v/>
      </c>
      <c r="AM636" s="36">
        <f>$D636+AM627</f>
        <v/>
      </c>
      <c r="AN636" s="39">
        <f>TAX($D636,AN627)</f>
        <v/>
      </c>
    </row>
    <row r="637" hidden="1" outlineLevel="2"/>
    <row r="638" hidden="1" outlineLevel="2">
      <c r="A638" s="5" t="inlineStr">
        <is>
          <t>atp</t>
        </is>
      </c>
      <c r="B638" s="5" t="inlineStr">
        <is>
          <t>coa</t>
        </is>
      </c>
      <c r="C638" s="5" t="inlineStr">
        <is>
          <t>srv</t>
        </is>
      </c>
      <c r="D638" s="37" t="n"/>
      <c r="E638" s="37" t="n"/>
      <c r="F638" s="37" t="n"/>
      <c r="G638" s="37" t="n"/>
      <c r="H638" s="5">
        <f>INDEX(Variables!$B$5:$B$65,MATCH($A638,Variables!$A$5:$A$65,0))&amp;IF($C638="",""," | "&amp;INDEX(Mapping!$B$5:$B$25,MATCH($C638,Mapping!$A$5:$A$25,0))&amp;" | "&amp;INDEX(Mapping!$B$29:$B$38,MATCH($B638,Mapping!$A$29:$A$38,0)))</f>
        <v/>
      </c>
      <c r="I638" s="5">
        <f>INDEX(Variables!$C$5:$C$65,MATCH($A638,Variables!$A$5:$A$65,0))</f>
        <v/>
      </c>
      <c r="J638" s="5">
        <f>INDEX(Variables!$E$5:$E$65,MATCH($A638,Variables!$A$5:$A$65,0))</f>
        <v/>
      </c>
      <c r="K638" s="23">
        <f>LOWER(Settings!$C$4)&amp;".mit."&amp;$A638&amp;IF($C638="","","."&amp;$C638&amp;"."&amp;$B638)&amp;IF(INDEX(Variables!$D$5:$D$65,MATCH($A638,Variables!$A$5:$A$65,0))="","","."&amp;INDEX(Variables!$D$5:$D$65,MATCH($A638,Variables!$A$5:$A$65,0)))&amp;"."&amp;K$5</f>
        <v/>
      </c>
      <c r="L638" s="38">
        <f>L593+L629</f>
        <v/>
      </c>
      <c r="M638" s="36">
        <f>M593+M629</f>
        <v/>
      </c>
      <c r="N638" s="36">
        <f>N593+N629</f>
        <v/>
      </c>
      <c r="O638" s="36">
        <f>O593+O629</f>
        <v/>
      </c>
      <c r="P638" s="36">
        <f>P593+P629</f>
        <v/>
      </c>
      <c r="Q638" s="36">
        <f>Q593+Q629</f>
        <v/>
      </c>
      <c r="R638" s="36">
        <f>R593+R629</f>
        <v/>
      </c>
      <c r="S638" s="36">
        <f>S593+S629</f>
        <v/>
      </c>
      <c r="T638" s="36">
        <f>T593+T629</f>
        <v/>
      </c>
      <c r="U638" s="36">
        <f>U593+U629</f>
        <v/>
      </c>
      <c r="V638" s="36">
        <f>V593+V629</f>
        <v/>
      </c>
      <c r="W638" s="36">
        <f>W593+W629</f>
        <v/>
      </c>
      <c r="X638" s="36">
        <f>X593+X629</f>
        <v/>
      </c>
      <c r="Y638" s="39">
        <f>POSTTAX(Y593,Y629)</f>
        <v/>
      </c>
      <c r="Z638" s="23">
        <f>LOWER(Settings!$C$4)&amp;".mit."&amp;$A638&amp;IF($C638="","","."&amp;$C638&amp;"."&amp;$B638)&amp;IF(INDEX(Variables!$D$5:$D$65,MATCH($A638,Variables!$A$5:$A$65,0))="","","."&amp;INDEX(Variables!$D$5:$D$65,MATCH($A638,Variables!$A$5:$A$65,0)))&amp;"."&amp;Z$5</f>
        <v/>
      </c>
      <c r="AA638" s="38">
        <f>AA593+AA629</f>
        <v/>
      </c>
      <c r="AB638" s="36">
        <f>AB593+AB629</f>
        <v/>
      </c>
      <c r="AC638" s="36">
        <f>AC593+AC629</f>
        <v/>
      </c>
      <c r="AD638" s="36">
        <f>AD593+AD629</f>
        <v/>
      </c>
      <c r="AE638" s="36">
        <f>AE593+AE629</f>
        <v/>
      </c>
      <c r="AF638" s="36">
        <f>AF593+AF629</f>
        <v/>
      </c>
      <c r="AG638" s="36">
        <f>AG593+AG629</f>
        <v/>
      </c>
      <c r="AH638" s="36">
        <f>AH593+AH629</f>
        <v/>
      </c>
      <c r="AI638" s="36">
        <f>AI593+AI629</f>
        <v/>
      </c>
      <c r="AJ638" s="36">
        <f>AJ593+AJ629</f>
        <v/>
      </c>
      <c r="AK638" s="36">
        <f>AK593+AK629</f>
        <v/>
      </c>
      <c r="AL638" s="36">
        <f>AL593+AL629</f>
        <v/>
      </c>
      <c r="AM638" s="36">
        <f>AM593+AM629</f>
        <v/>
      </c>
      <c r="AN638" s="39">
        <f>POSTTAX(AN593,AN629)</f>
        <v/>
      </c>
    </row>
    <row r="639" hidden="1" outlineLevel="2">
      <c r="A639" s="5" t="inlineStr">
        <is>
          <t>atp</t>
        </is>
      </c>
      <c r="B639" s="5" t="inlineStr">
        <is>
          <t>nga</t>
        </is>
      </c>
      <c r="C639" s="5" t="inlineStr">
        <is>
          <t>srv</t>
        </is>
      </c>
      <c r="D639" s="37" t="n"/>
      <c r="E639" s="37" t="n"/>
      <c r="F639" s="37" t="n"/>
      <c r="G639" s="37" t="n"/>
      <c r="H639" s="5">
        <f>INDEX(Variables!$B$5:$B$65,MATCH($A639,Variables!$A$5:$A$65,0))&amp;IF($C639="",""," | "&amp;INDEX(Mapping!$B$5:$B$25,MATCH($C639,Mapping!$A$5:$A$25,0))&amp;" | "&amp;INDEX(Mapping!$B$29:$B$38,MATCH($B639,Mapping!$A$29:$A$38,0)))</f>
        <v/>
      </c>
      <c r="I639" s="5">
        <f>INDEX(Variables!$C$5:$C$65,MATCH($A639,Variables!$A$5:$A$65,0))</f>
        <v/>
      </c>
      <c r="J639" s="5">
        <f>INDEX(Variables!$E$5:$E$65,MATCH($A639,Variables!$A$5:$A$65,0))</f>
        <v/>
      </c>
      <c r="K639" s="23">
        <f>LOWER(Settings!$C$4)&amp;".mit."&amp;$A639&amp;IF($C639="","","."&amp;$C639&amp;"."&amp;$B639)&amp;IF(INDEX(Variables!$D$5:$D$65,MATCH($A639,Variables!$A$5:$A$65,0))="","","."&amp;INDEX(Variables!$D$5:$D$65,MATCH($A639,Variables!$A$5:$A$65,0)))&amp;"."&amp;K$5</f>
        <v/>
      </c>
      <c r="L639" s="38">
        <f>L594+L630</f>
        <v/>
      </c>
      <c r="M639" s="36">
        <f>M594+M630</f>
        <v/>
      </c>
      <c r="N639" s="36">
        <f>N594+N630</f>
        <v/>
      </c>
      <c r="O639" s="36">
        <f>O594+O630</f>
        <v/>
      </c>
      <c r="P639" s="36">
        <f>P594+P630</f>
        <v/>
      </c>
      <c r="Q639" s="36">
        <f>Q594+Q630</f>
        <v/>
      </c>
      <c r="R639" s="36">
        <f>R594+R630</f>
        <v/>
      </c>
      <c r="S639" s="36">
        <f>S594+S630</f>
        <v/>
      </c>
      <c r="T639" s="36">
        <f>T594+T630</f>
        <v/>
      </c>
      <c r="U639" s="36">
        <f>U594+U630</f>
        <v/>
      </c>
      <c r="V639" s="36">
        <f>V594+V630</f>
        <v/>
      </c>
      <c r="W639" s="36">
        <f>W594+W630</f>
        <v/>
      </c>
      <c r="X639" s="36">
        <f>X594+X630</f>
        <v/>
      </c>
      <c r="Y639" s="39">
        <f>POSTTAX(Y594,Y630)</f>
        <v/>
      </c>
      <c r="Z639" s="23">
        <f>LOWER(Settings!$C$4)&amp;".mit."&amp;$A639&amp;IF($C639="","","."&amp;$C639&amp;"."&amp;$B639)&amp;IF(INDEX(Variables!$D$5:$D$65,MATCH($A639,Variables!$A$5:$A$65,0))="","","."&amp;INDEX(Variables!$D$5:$D$65,MATCH($A639,Variables!$A$5:$A$65,0)))&amp;"."&amp;Z$5</f>
        <v/>
      </c>
      <c r="AA639" s="38">
        <f>AA594+AA630</f>
        <v/>
      </c>
      <c r="AB639" s="36">
        <f>AB594+AB630</f>
        <v/>
      </c>
      <c r="AC639" s="36">
        <f>AC594+AC630</f>
        <v/>
      </c>
      <c r="AD639" s="36">
        <f>AD594+AD630</f>
        <v/>
      </c>
      <c r="AE639" s="36">
        <f>AE594+AE630</f>
        <v/>
      </c>
      <c r="AF639" s="36">
        <f>AF594+AF630</f>
        <v/>
      </c>
      <c r="AG639" s="36">
        <f>AG594+AG630</f>
        <v/>
      </c>
      <c r="AH639" s="36">
        <f>AH594+AH630</f>
        <v/>
      </c>
      <c r="AI639" s="36">
        <f>AI594+AI630</f>
        <v/>
      </c>
      <c r="AJ639" s="36">
        <f>AJ594+AJ630</f>
        <v/>
      </c>
      <c r="AK639" s="36">
        <f>AK594+AK630</f>
        <v/>
      </c>
      <c r="AL639" s="36">
        <f>AL594+AL630</f>
        <v/>
      </c>
      <c r="AM639" s="36">
        <f>AM594+AM630</f>
        <v/>
      </c>
      <c r="AN639" s="39">
        <f>POSTTAX(AN594,AN630)</f>
        <v/>
      </c>
    </row>
    <row r="640" hidden="1" outlineLevel="2">
      <c r="A640" s="5" t="inlineStr">
        <is>
          <t>atp</t>
        </is>
      </c>
      <c r="B640" s="5" t="inlineStr">
        <is>
          <t>gso</t>
        </is>
      </c>
      <c r="C640" s="5" t="inlineStr">
        <is>
          <t>srv</t>
        </is>
      </c>
      <c r="D640" s="37" t="n"/>
      <c r="E640" s="37" t="n"/>
      <c r="F640" s="37" t="n"/>
      <c r="G640" s="37" t="n"/>
      <c r="H640" s="5">
        <f>INDEX(Variables!$B$5:$B$65,MATCH($A640,Variables!$A$5:$A$65,0))&amp;IF($C640="",""," | "&amp;INDEX(Mapping!$B$5:$B$25,MATCH($C640,Mapping!$A$5:$A$25,0))&amp;" | "&amp;INDEX(Mapping!$B$29:$B$38,MATCH($B640,Mapping!$A$29:$A$38,0)))</f>
        <v/>
      </c>
      <c r="I640" s="5">
        <f>INDEX(Variables!$C$5:$C$65,MATCH($A640,Variables!$A$5:$A$65,0))</f>
        <v/>
      </c>
      <c r="J640" s="5">
        <f>INDEX(Variables!$E$5:$E$65,MATCH($A640,Variables!$A$5:$A$65,0))</f>
        <v/>
      </c>
      <c r="K640" s="23">
        <f>LOWER(Settings!$C$4)&amp;".mit."&amp;$A640&amp;IF($C640="","","."&amp;$C640&amp;"."&amp;$B640)&amp;IF(INDEX(Variables!$D$5:$D$65,MATCH($A640,Variables!$A$5:$A$65,0))="","","."&amp;INDEX(Variables!$D$5:$D$65,MATCH($A640,Variables!$A$5:$A$65,0)))&amp;"."&amp;K$5</f>
        <v/>
      </c>
      <c r="L640" s="38">
        <f>L595+L631</f>
        <v/>
      </c>
      <c r="M640" s="36">
        <f>M595+M631</f>
        <v/>
      </c>
      <c r="N640" s="36">
        <f>N595+N631</f>
        <v/>
      </c>
      <c r="O640" s="36">
        <f>O595+O631</f>
        <v/>
      </c>
      <c r="P640" s="36">
        <f>P595+P631</f>
        <v/>
      </c>
      <c r="Q640" s="36">
        <f>Q595+Q631</f>
        <v/>
      </c>
      <c r="R640" s="36">
        <f>R595+R631</f>
        <v/>
      </c>
      <c r="S640" s="36">
        <f>S595+S631</f>
        <v/>
      </c>
      <c r="T640" s="36">
        <f>T595+T631</f>
        <v/>
      </c>
      <c r="U640" s="36">
        <f>U595+U631</f>
        <v/>
      </c>
      <c r="V640" s="36">
        <f>V595+V631</f>
        <v/>
      </c>
      <c r="W640" s="36">
        <f>W595+W631</f>
        <v/>
      </c>
      <c r="X640" s="36">
        <f>X595+X631</f>
        <v/>
      </c>
      <c r="Y640" s="39">
        <f>POSTTAX(Y595,Y631)</f>
        <v/>
      </c>
      <c r="Z640" s="23">
        <f>LOWER(Settings!$C$4)&amp;".mit."&amp;$A640&amp;IF($C640="","","."&amp;$C640&amp;"."&amp;$B640)&amp;IF(INDEX(Variables!$D$5:$D$65,MATCH($A640,Variables!$A$5:$A$65,0))="","","."&amp;INDEX(Variables!$D$5:$D$65,MATCH($A640,Variables!$A$5:$A$65,0)))&amp;"."&amp;Z$5</f>
        <v/>
      </c>
      <c r="AA640" s="38">
        <f>AA595+AA631</f>
        <v/>
      </c>
      <c r="AB640" s="36">
        <f>AB595+AB631</f>
        <v/>
      </c>
      <c r="AC640" s="36">
        <f>AC595+AC631</f>
        <v/>
      </c>
      <c r="AD640" s="36">
        <f>AD595+AD631</f>
        <v/>
      </c>
      <c r="AE640" s="36">
        <f>AE595+AE631</f>
        <v/>
      </c>
      <c r="AF640" s="36">
        <f>AF595+AF631</f>
        <v/>
      </c>
      <c r="AG640" s="36">
        <f>AG595+AG631</f>
        <v/>
      </c>
      <c r="AH640" s="36">
        <f>AH595+AH631</f>
        <v/>
      </c>
      <c r="AI640" s="36">
        <f>AI595+AI631</f>
        <v/>
      </c>
      <c r="AJ640" s="36">
        <f>AJ595+AJ631</f>
        <v/>
      </c>
      <c r="AK640" s="36">
        <f>AK595+AK631</f>
        <v/>
      </c>
      <c r="AL640" s="36">
        <f>AL595+AL631</f>
        <v/>
      </c>
      <c r="AM640" s="36">
        <f>AM595+AM631</f>
        <v/>
      </c>
      <c r="AN640" s="39">
        <f>POSTTAX(AN595,AN631)</f>
        <v/>
      </c>
    </row>
    <row r="641" hidden="1" outlineLevel="2">
      <c r="A641" s="5" t="inlineStr">
        <is>
          <t>atp</t>
        </is>
      </c>
      <c r="B641" s="5" t="inlineStr">
        <is>
          <t>die</t>
        </is>
      </c>
      <c r="C641" s="5" t="inlineStr">
        <is>
          <t>srv</t>
        </is>
      </c>
      <c r="D641" s="37" t="n"/>
      <c r="E641" s="37" t="n"/>
      <c r="F641" s="37" t="n"/>
      <c r="G641" s="37" t="n"/>
      <c r="H641" s="5">
        <f>INDEX(Variables!$B$5:$B$65,MATCH($A641,Variables!$A$5:$A$65,0))&amp;IF($C641="",""," | "&amp;INDEX(Mapping!$B$5:$B$25,MATCH($C641,Mapping!$A$5:$A$25,0))&amp;" | "&amp;INDEX(Mapping!$B$29:$B$38,MATCH($B641,Mapping!$A$29:$A$38,0)))</f>
        <v/>
      </c>
      <c r="I641" s="5">
        <f>INDEX(Variables!$C$5:$C$65,MATCH($A641,Variables!$A$5:$A$65,0))</f>
        <v/>
      </c>
      <c r="J641" s="5">
        <f>INDEX(Variables!$E$5:$E$65,MATCH($A641,Variables!$A$5:$A$65,0))</f>
        <v/>
      </c>
      <c r="K641" s="23">
        <f>LOWER(Settings!$C$4)&amp;".mit."&amp;$A641&amp;IF($C641="","","."&amp;$C641&amp;"."&amp;$B641)&amp;IF(INDEX(Variables!$D$5:$D$65,MATCH($A641,Variables!$A$5:$A$65,0))="","","."&amp;INDEX(Variables!$D$5:$D$65,MATCH($A641,Variables!$A$5:$A$65,0)))&amp;"."&amp;K$5</f>
        <v/>
      </c>
      <c r="L641" s="38">
        <f>L596+L632</f>
        <v/>
      </c>
      <c r="M641" s="36">
        <f>M596+M632</f>
        <v/>
      </c>
      <c r="N641" s="36">
        <f>N596+N632</f>
        <v/>
      </c>
      <c r="O641" s="36">
        <f>O596+O632</f>
        <v/>
      </c>
      <c r="P641" s="36">
        <f>P596+P632</f>
        <v/>
      </c>
      <c r="Q641" s="36">
        <f>Q596+Q632</f>
        <v/>
      </c>
      <c r="R641" s="36">
        <f>R596+R632</f>
        <v/>
      </c>
      <c r="S641" s="36">
        <f>S596+S632</f>
        <v/>
      </c>
      <c r="T641" s="36">
        <f>T596+T632</f>
        <v/>
      </c>
      <c r="U641" s="36">
        <f>U596+U632</f>
        <v/>
      </c>
      <c r="V641" s="36">
        <f>V596+V632</f>
        <v/>
      </c>
      <c r="W641" s="36">
        <f>W596+W632</f>
        <v/>
      </c>
      <c r="X641" s="36">
        <f>X596+X632</f>
        <v/>
      </c>
      <c r="Y641" s="39">
        <f>POSTTAX(Y596,Y632)</f>
        <v/>
      </c>
      <c r="Z641" s="23">
        <f>LOWER(Settings!$C$4)&amp;".mit."&amp;$A641&amp;IF($C641="","","."&amp;$C641&amp;"."&amp;$B641)&amp;IF(INDEX(Variables!$D$5:$D$65,MATCH($A641,Variables!$A$5:$A$65,0))="","","."&amp;INDEX(Variables!$D$5:$D$65,MATCH($A641,Variables!$A$5:$A$65,0)))&amp;"."&amp;Z$5</f>
        <v/>
      </c>
      <c r="AA641" s="38">
        <f>AA596+AA632</f>
        <v/>
      </c>
      <c r="AB641" s="36">
        <f>AB596+AB632</f>
        <v/>
      </c>
      <c r="AC641" s="36">
        <f>AC596+AC632</f>
        <v/>
      </c>
      <c r="AD641" s="36">
        <f>AD596+AD632</f>
        <v/>
      </c>
      <c r="AE641" s="36">
        <f>AE596+AE632</f>
        <v/>
      </c>
      <c r="AF641" s="36">
        <f>AF596+AF632</f>
        <v/>
      </c>
      <c r="AG641" s="36">
        <f>AG596+AG632</f>
        <v/>
      </c>
      <c r="AH641" s="36">
        <f>AH596+AH632</f>
        <v/>
      </c>
      <c r="AI641" s="36">
        <f>AI596+AI632</f>
        <v/>
      </c>
      <c r="AJ641" s="36">
        <f>AJ596+AJ632</f>
        <v/>
      </c>
      <c r="AK641" s="36">
        <f>AK596+AK632</f>
        <v/>
      </c>
      <c r="AL641" s="36">
        <f>AL596+AL632</f>
        <v/>
      </c>
      <c r="AM641" s="36">
        <f>AM596+AM632</f>
        <v/>
      </c>
      <c r="AN641" s="39">
        <f>POSTTAX(AN596,AN632)</f>
        <v/>
      </c>
    </row>
    <row r="642" hidden="1" outlineLevel="2">
      <c r="A642" s="5" t="inlineStr">
        <is>
          <t>atp</t>
        </is>
      </c>
      <c r="B642" s="5" t="inlineStr">
        <is>
          <t>lpg</t>
        </is>
      </c>
      <c r="C642" s="5" t="inlineStr">
        <is>
          <t>srv</t>
        </is>
      </c>
      <c r="D642" s="37" t="n"/>
      <c r="E642" s="37" t="n"/>
      <c r="F642" s="37" t="n"/>
      <c r="G642" s="37" t="n"/>
      <c r="H642" s="5">
        <f>INDEX(Variables!$B$5:$B$65,MATCH($A642,Variables!$A$5:$A$65,0))&amp;IF($C642="",""," | "&amp;INDEX(Mapping!$B$5:$B$25,MATCH($C642,Mapping!$A$5:$A$25,0))&amp;" | "&amp;INDEX(Mapping!$B$29:$B$38,MATCH($B642,Mapping!$A$29:$A$38,0)))</f>
        <v/>
      </c>
      <c r="I642" s="5">
        <f>INDEX(Variables!$C$5:$C$65,MATCH($A642,Variables!$A$5:$A$65,0))</f>
        <v/>
      </c>
      <c r="J642" s="5">
        <f>INDEX(Variables!$E$5:$E$65,MATCH($A642,Variables!$A$5:$A$65,0))</f>
        <v/>
      </c>
      <c r="K642" s="23">
        <f>LOWER(Settings!$C$4)&amp;".mit."&amp;$A642&amp;IF($C642="","","."&amp;$C642&amp;"."&amp;$B642)&amp;IF(INDEX(Variables!$D$5:$D$65,MATCH($A642,Variables!$A$5:$A$65,0))="","","."&amp;INDEX(Variables!$D$5:$D$65,MATCH($A642,Variables!$A$5:$A$65,0)))&amp;"."&amp;K$5</f>
        <v/>
      </c>
      <c r="L642" s="38">
        <f>L597+L633</f>
        <v/>
      </c>
      <c r="M642" s="36">
        <f>M597+M633</f>
        <v/>
      </c>
      <c r="N642" s="36">
        <f>N597+N633</f>
        <v/>
      </c>
      <c r="O642" s="36">
        <f>O597+O633</f>
        <v/>
      </c>
      <c r="P642" s="36">
        <f>P597+P633</f>
        <v/>
      </c>
      <c r="Q642" s="36">
        <f>Q597+Q633</f>
        <v/>
      </c>
      <c r="R642" s="36">
        <f>R597+R633</f>
        <v/>
      </c>
      <c r="S642" s="36">
        <f>S597+S633</f>
        <v/>
      </c>
      <c r="T642" s="36">
        <f>T597+T633</f>
        <v/>
      </c>
      <c r="U642" s="36">
        <f>U597+U633</f>
        <v/>
      </c>
      <c r="V642" s="36">
        <f>V597+V633</f>
        <v/>
      </c>
      <c r="W642" s="36">
        <f>W597+W633</f>
        <v/>
      </c>
      <c r="X642" s="36">
        <f>X597+X633</f>
        <v/>
      </c>
      <c r="Y642" s="39">
        <f>POSTTAX(Y597,Y633)</f>
        <v/>
      </c>
      <c r="Z642" s="23">
        <f>LOWER(Settings!$C$4)&amp;".mit."&amp;$A642&amp;IF($C642="","","."&amp;$C642&amp;"."&amp;$B642)&amp;IF(INDEX(Variables!$D$5:$D$65,MATCH($A642,Variables!$A$5:$A$65,0))="","","."&amp;INDEX(Variables!$D$5:$D$65,MATCH($A642,Variables!$A$5:$A$65,0)))&amp;"."&amp;Z$5</f>
        <v/>
      </c>
      <c r="AA642" s="38">
        <f>AA597+AA633</f>
        <v/>
      </c>
      <c r="AB642" s="36">
        <f>AB597+AB633</f>
        <v/>
      </c>
      <c r="AC642" s="36">
        <f>AC597+AC633</f>
        <v/>
      </c>
      <c r="AD642" s="36">
        <f>AD597+AD633</f>
        <v/>
      </c>
      <c r="AE642" s="36">
        <f>AE597+AE633</f>
        <v/>
      </c>
      <c r="AF642" s="36">
        <f>AF597+AF633</f>
        <v/>
      </c>
      <c r="AG642" s="36">
        <f>AG597+AG633</f>
        <v/>
      </c>
      <c r="AH642" s="36">
        <f>AH597+AH633</f>
        <v/>
      </c>
      <c r="AI642" s="36">
        <f>AI597+AI633</f>
        <v/>
      </c>
      <c r="AJ642" s="36">
        <f>AJ597+AJ633</f>
        <v/>
      </c>
      <c r="AK642" s="36">
        <f>AK597+AK633</f>
        <v/>
      </c>
      <c r="AL642" s="36">
        <f>AL597+AL633</f>
        <v/>
      </c>
      <c r="AM642" s="36">
        <f>AM597+AM633</f>
        <v/>
      </c>
      <c r="AN642" s="39">
        <f>POSTTAX(AN597,AN633)</f>
        <v/>
      </c>
    </row>
    <row r="643" hidden="1" outlineLevel="2">
      <c r="A643" s="5" t="inlineStr">
        <is>
          <t>atp</t>
        </is>
      </c>
      <c r="B643" s="5" t="inlineStr">
        <is>
          <t>ker</t>
        </is>
      </c>
      <c r="C643" s="5" t="inlineStr">
        <is>
          <t>srv</t>
        </is>
      </c>
      <c r="D643" s="37" t="n"/>
      <c r="E643" s="37" t="n"/>
      <c r="F643" s="37" t="n"/>
      <c r="G643" s="37" t="n"/>
      <c r="H643" s="5">
        <f>INDEX(Variables!$B$5:$B$65,MATCH($A643,Variables!$A$5:$A$65,0))&amp;IF($C643="",""," | "&amp;INDEX(Mapping!$B$5:$B$25,MATCH($C643,Mapping!$A$5:$A$25,0))&amp;" | "&amp;INDEX(Mapping!$B$29:$B$38,MATCH($B643,Mapping!$A$29:$A$38,0)))</f>
        <v/>
      </c>
      <c r="I643" s="5">
        <f>INDEX(Variables!$C$5:$C$65,MATCH($A643,Variables!$A$5:$A$65,0))</f>
        <v/>
      </c>
      <c r="J643" s="5">
        <f>INDEX(Variables!$E$5:$E$65,MATCH($A643,Variables!$A$5:$A$65,0))</f>
        <v/>
      </c>
      <c r="K643" s="23">
        <f>LOWER(Settings!$C$4)&amp;".mit."&amp;$A643&amp;IF($C643="","","."&amp;$C643&amp;"."&amp;$B643)&amp;IF(INDEX(Variables!$D$5:$D$65,MATCH($A643,Variables!$A$5:$A$65,0))="","","."&amp;INDEX(Variables!$D$5:$D$65,MATCH($A643,Variables!$A$5:$A$65,0)))&amp;"."&amp;K$5</f>
        <v/>
      </c>
      <c r="L643" s="38">
        <f>L598+L634</f>
        <v/>
      </c>
      <c r="M643" s="36">
        <f>M598+M634</f>
        <v/>
      </c>
      <c r="N643" s="36">
        <f>N598+N634</f>
        <v/>
      </c>
      <c r="O643" s="36">
        <f>O598+O634</f>
        <v/>
      </c>
      <c r="P643" s="36">
        <f>P598+P634</f>
        <v/>
      </c>
      <c r="Q643" s="36">
        <f>Q598+Q634</f>
        <v/>
      </c>
      <c r="R643" s="36">
        <f>R598+R634</f>
        <v/>
      </c>
      <c r="S643" s="36">
        <f>S598+S634</f>
        <v/>
      </c>
      <c r="T643" s="36">
        <f>T598+T634</f>
        <v/>
      </c>
      <c r="U643" s="36">
        <f>U598+U634</f>
        <v/>
      </c>
      <c r="V643" s="36">
        <f>V598+V634</f>
        <v/>
      </c>
      <c r="W643" s="36">
        <f>W598+W634</f>
        <v/>
      </c>
      <c r="X643" s="36">
        <f>X598+X634</f>
        <v/>
      </c>
      <c r="Y643" s="39">
        <f>POSTTAX(Y598,Y634)</f>
        <v/>
      </c>
      <c r="Z643" s="23">
        <f>LOWER(Settings!$C$4)&amp;".mit."&amp;$A643&amp;IF($C643="","","."&amp;$C643&amp;"."&amp;$B643)&amp;IF(INDEX(Variables!$D$5:$D$65,MATCH($A643,Variables!$A$5:$A$65,0))="","","."&amp;INDEX(Variables!$D$5:$D$65,MATCH($A643,Variables!$A$5:$A$65,0)))&amp;"."&amp;Z$5</f>
        <v/>
      </c>
      <c r="AA643" s="38">
        <f>AA598+AA634</f>
        <v/>
      </c>
      <c r="AB643" s="36">
        <f>AB598+AB634</f>
        <v/>
      </c>
      <c r="AC643" s="36">
        <f>AC598+AC634</f>
        <v/>
      </c>
      <c r="AD643" s="36">
        <f>AD598+AD634</f>
        <v/>
      </c>
      <c r="AE643" s="36">
        <f>AE598+AE634</f>
        <v/>
      </c>
      <c r="AF643" s="36">
        <f>AF598+AF634</f>
        <v/>
      </c>
      <c r="AG643" s="36">
        <f>AG598+AG634</f>
        <v/>
      </c>
      <c r="AH643" s="36">
        <f>AH598+AH634</f>
        <v/>
      </c>
      <c r="AI643" s="36">
        <f>AI598+AI634</f>
        <v/>
      </c>
      <c r="AJ643" s="36">
        <f>AJ598+AJ634</f>
        <v/>
      </c>
      <c r="AK643" s="36">
        <f>AK598+AK634</f>
        <v/>
      </c>
      <c r="AL643" s="36">
        <f>AL598+AL634</f>
        <v/>
      </c>
      <c r="AM643" s="36">
        <f>AM598+AM634</f>
        <v/>
      </c>
      <c r="AN643" s="39">
        <f>POSTTAX(AN598,AN634)</f>
        <v/>
      </c>
    </row>
    <row r="644" hidden="1" outlineLevel="2">
      <c r="A644" s="5" t="inlineStr">
        <is>
          <t>atp</t>
        </is>
      </c>
      <c r="B644" s="5" t="inlineStr">
        <is>
          <t>oop</t>
        </is>
      </c>
      <c r="C644" s="5" t="inlineStr">
        <is>
          <t>srv</t>
        </is>
      </c>
      <c r="D644" s="37" t="n"/>
      <c r="E644" s="37" t="n"/>
      <c r="F644" s="37" t="n"/>
      <c r="G644" s="37" t="n"/>
      <c r="H644" s="5">
        <f>INDEX(Variables!$B$5:$B$65,MATCH($A644,Variables!$A$5:$A$65,0))&amp;IF($C644="",""," | "&amp;INDEX(Mapping!$B$5:$B$25,MATCH($C644,Mapping!$A$5:$A$25,0))&amp;" | "&amp;INDEX(Mapping!$B$29:$B$38,MATCH($B644,Mapping!$A$29:$A$38,0)))</f>
        <v/>
      </c>
      <c r="I644" s="5">
        <f>INDEX(Variables!$C$5:$C$65,MATCH($A644,Variables!$A$5:$A$65,0))</f>
        <v/>
      </c>
      <c r="J644" s="5">
        <f>INDEX(Variables!$E$5:$E$65,MATCH($A644,Variables!$A$5:$A$65,0))</f>
        <v/>
      </c>
      <c r="K644" s="23">
        <f>LOWER(Settings!$C$4)&amp;".mit."&amp;$A644&amp;IF($C644="","","."&amp;$C644&amp;"."&amp;$B644)&amp;IF(INDEX(Variables!$D$5:$D$65,MATCH($A644,Variables!$A$5:$A$65,0))="","","."&amp;INDEX(Variables!$D$5:$D$65,MATCH($A644,Variables!$A$5:$A$65,0)))&amp;"."&amp;K$5</f>
        <v/>
      </c>
      <c r="L644" s="38">
        <f>L599+L635</f>
        <v/>
      </c>
      <c r="M644" s="36">
        <f>M599+M635</f>
        <v/>
      </c>
      <c r="N644" s="36">
        <f>N599+N635</f>
        <v/>
      </c>
      <c r="O644" s="36">
        <f>O599+O635</f>
        <v/>
      </c>
      <c r="P644" s="36">
        <f>P599+P635</f>
        <v/>
      </c>
      <c r="Q644" s="36">
        <f>Q599+Q635</f>
        <v/>
      </c>
      <c r="R644" s="36">
        <f>R599+R635</f>
        <v/>
      </c>
      <c r="S644" s="36">
        <f>S599+S635</f>
        <v/>
      </c>
      <c r="T644" s="36">
        <f>T599+T635</f>
        <v/>
      </c>
      <c r="U644" s="36">
        <f>U599+U635</f>
        <v/>
      </c>
      <c r="V644" s="36">
        <f>V599+V635</f>
        <v/>
      </c>
      <c r="W644" s="36">
        <f>W599+W635</f>
        <v/>
      </c>
      <c r="X644" s="36">
        <f>X599+X635</f>
        <v/>
      </c>
      <c r="Y644" s="39">
        <f>POSTTAX(Y599,Y635)</f>
        <v/>
      </c>
      <c r="Z644" s="23">
        <f>LOWER(Settings!$C$4)&amp;".mit."&amp;$A644&amp;IF($C644="","","."&amp;$C644&amp;"."&amp;$B644)&amp;IF(INDEX(Variables!$D$5:$D$65,MATCH($A644,Variables!$A$5:$A$65,0))="","","."&amp;INDEX(Variables!$D$5:$D$65,MATCH($A644,Variables!$A$5:$A$65,0)))&amp;"."&amp;Z$5</f>
        <v/>
      </c>
      <c r="AA644" s="38">
        <f>AA599+AA635</f>
        <v/>
      </c>
      <c r="AB644" s="36">
        <f>AB599+AB635</f>
        <v/>
      </c>
      <c r="AC644" s="36">
        <f>AC599+AC635</f>
        <v/>
      </c>
      <c r="AD644" s="36">
        <f>AD599+AD635</f>
        <v/>
      </c>
      <c r="AE644" s="36">
        <f>AE599+AE635</f>
        <v/>
      </c>
      <c r="AF644" s="36">
        <f>AF599+AF635</f>
        <v/>
      </c>
      <c r="AG644" s="36">
        <f>AG599+AG635</f>
        <v/>
      </c>
      <c r="AH644" s="36">
        <f>AH599+AH635</f>
        <v/>
      </c>
      <c r="AI644" s="36">
        <f>AI599+AI635</f>
        <v/>
      </c>
      <c r="AJ644" s="36">
        <f>AJ599+AJ635</f>
        <v/>
      </c>
      <c r="AK644" s="36">
        <f>AK599+AK635</f>
        <v/>
      </c>
      <c r="AL644" s="36">
        <f>AL599+AL635</f>
        <v/>
      </c>
      <c r="AM644" s="36">
        <f>AM599+AM635</f>
        <v/>
      </c>
      <c r="AN644" s="39">
        <f>POSTTAX(AN599,AN635)</f>
        <v/>
      </c>
    </row>
    <row r="645" hidden="1" outlineLevel="2">
      <c r="A645" s="5" t="inlineStr">
        <is>
          <t>atp</t>
        </is>
      </c>
      <c r="B645" s="5" t="inlineStr">
        <is>
          <t>bio</t>
        </is>
      </c>
      <c r="C645" s="5" t="inlineStr">
        <is>
          <t>srv</t>
        </is>
      </c>
      <c r="D645" s="37" t="n"/>
      <c r="E645" s="37" t="n"/>
      <c r="F645" s="37" t="n"/>
      <c r="G645" s="37" t="n"/>
      <c r="H645" s="5">
        <f>INDEX(Variables!$B$5:$B$65,MATCH($A645,Variables!$A$5:$A$65,0))&amp;IF($C645="",""," | "&amp;INDEX(Mapping!$B$5:$B$25,MATCH($C645,Mapping!$A$5:$A$25,0))&amp;" | "&amp;INDEX(Mapping!$B$29:$B$38,MATCH($B645,Mapping!$A$29:$A$38,0)))</f>
        <v/>
      </c>
      <c r="I645" s="5">
        <f>INDEX(Variables!$C$5:$C$65,MATCH($A645,Variables!$A$5:$A$65,0))</f>
        <v/>
      </c>
      <c r="J645" s="5">
        <f>INDEX(Variables!$E$5:$E$65,MATCH($A645,Variables!$A$5:$A$65,0))</f>
        <v/>
      </c>
      <c r="K645" s="23">
        <f>LOWER(Settings!$C$4)&amp;".mit."&amp;$A645&amp;IF($C645="","","."&amp;$C645&amp;"."&amp;$B645)&amp;IF(INDEX(Variables!$D$5:$D$65,MATCH($A645,Variables!$A$5:$A$65,0))="","","."&amp;INDEX(Variables!$D$5:$D$65,MATCH($A645,Variables!$A$5:$A$65,0)))&amp;"."&amp;K$5</f>
        <v/>
      </c>
      <c r="L645" s="38">
        <f>L600+L636</f>
        <v/>
      </c>
      <c r="M645" s="36">
        <f>M600+M636</f>
        <v/>
      </c>
      <c r="N645" s="36">
        <f>N600+N636</f>
        <v/>
      </c>
      <c r="O645" s="36">
        <f>O600+O636</f>
        <v/>
      </c>
      <c r="P645" s="36">
        <f>P600+P636</f>
        <v/>
      </c>
      <c r="Q645" s="36">
        <f>Q600+Q636</f>
        <v/>
      </c>
      <c r="R645" s="36">
        <f>R600+R636</f>
        <v/>
      </c>
      <c r="S645" s="36">
        <f>S600+S636</f>
        <v/>
      </c>
      <c r="T645" s="36">
        <f>T600+T636</f>
        <v/>
      </c>
      <c r="U645" s="36">
        <f>U600+U636</f>
        <v/>
      </c>
      <c r="V645" s="36">
        <f>V600+V636</f>
        <v/>
      </c>
      <c r="W645" s="36">
        <f>W600+W636</f>
        <v/>
      </c>
      <c r="X645" s="36">
        <f>X600+X636</f>
        <v/>
      </c>
      <c r="Y645" s="39">
        <f>POSTTAX(Y600,Y636)</f>
        <v/>
      </c>
      <c r="Z645" s="23">
        <f>LOWER(Settings!$C$4)&amp;".mit."&amp;$A645&amp;IF($C645="","","."&amp;$C645&amp;"."&amp;$B645)&amp;IF(INDEX(Variables!$D$5:$D$65,MATCH($A645,Variables!$A$5:$A$65,0))="","","."&amp;INDEX(Variables!$D$5:$D$65,MATCH($A645,Variables!$A$5:$A$65,0)))&amp;"."&amp;Z$5</f>
        <v/>
      </c>
      <c r="AA645" s="38">
        <f>AA600+AA636</f>
        <v/>
      </c>
      <c r="AB645" s="36">
        <f>AB600+AB636</f>
        <v/>
      </c>
      <c r="AC645" s="36">
        <f>AC600+AC636</f>
        <v/>
      </c>
      <c r="AD645" s="36">
        <f>AD600+AD636</f>
        <v/>
      </c>
      <c r="AE645" s="36">
        <f>AE600+AE636</f>
        <v/>
      </c>
      <c r="AF645" s="36">
        <f>AF600+AF636</f>
        <v/>
      </c>
      <c r="AG645" s="36">
        <f>AG600+AG636</f>
        <v/>
      </c>
      <c r="AH645" s="36">
        <f>AH600+AH636</f>
        <v/>
      </c>
      <c r="AI645" s="36">
        <f>AI600+AI636</f>
        <v/>
      </c>
      <c r="AJ645" s="36">
        <f>AJ600+AJ636</f>
        <v/>
      </c>
      <c r="AK645" s="36">
        <f>AK600+AK636</f>
        <v/>
      </c>
      <c r="AL645" s="36">
        <f>AL600+AL636</f>
        <v/>
      </c>
      <c r="AM645" s="36">
        <f>AM600+AM636</f>
        <v/>
      </c>
      <c r="AN645" s="39">
        <f>POSTTAX(AN600,AN636)</f>
        <v/>
      </c>
    </row>
    <row r="646" hidden="1" outlineLevel="2"/>
    <row r="647" hidden="1" outlineLevel="2">
      <c r="A647" s="5" t="inlineStr">
        <is>
          <t>shp</t>
        </is>
      </c>
      <c r="B647" s="5" t="inlineStr">
        <is>
          <t>coa</t>
        </is>
      </c>
      <c r="C647" s="5" t="inlineStr">
        <is>
          <t>srv</t>
        </is>
      </c>
      <c r="D647" s="36">
        <f>INDEX(Inputs!$M$5:$M$132,MATCH($B647&amp;"|"&amp;$C647,Inputs!$A$5:$A$132,0))</f>
        <v/>
      </c>
      <c r="E647" s="36">
        <f>INDEX(Inputs!$U$5:$U$132,MATCH($B647&amp;"|"&amp;$C647,Inputs!$A$5:$A$132,0))</f>
        <v/>
      </c>
      <c r="F647" s="36">
        <f>INDEX(Inputs!$K$5:$K$132,MATCH($B647&amp;"|"&amp;$C647,Inputs!$A$5:$A$132,0))</f>
        <v/>
      </c>
      <c r="G647" s="37" t="n"/>
      <c r="H647" s="5">
        <f>INDEX(Variables!$B$5:$B$65,MATCH($A647,Variables!$A$5:$A$65,0))&amp;IF($C647="",""," | "&amp;INDEX(Mapping!$B$5:$B$25,MATCH($C647,Mapping!$A$5:$A$25,0))&amp;" | "&amp;INDEX(Mapping!$B$29:$B$38,MATCH($B647,Mapping!$A$29:$A$38,0)))</f>
        <v/>
      </c>
      <c r="I647" s="5">
        <f>INDEX(Variables!$C$5:$C$65,MATCH($A647,Variables!$A$5:$A$65,0))</f>
        <v/>
      </c>
      <c r="J647" s="5">
        <f>INDEX(Variables!$E$5:$E$65,MATCH($A647,Variables!$A$5:$A$65,0))</f>
        <v/>
      </c>
      <c r="K647" s="23">
        <f>LOWER(Settings!$C$4)&amp;".mit."&amp;$A647&amp;IF($C647="","","."&amp;$C647&amp;"."&amp;$B647)&amp;IF(INDEX(Variables!$D$5:$D$65,MATCH($A647,Variables!$A$5:$A$65,0))="","","."&amp;INDEX(Variables!$D$5:$D$65,MATCH($A647,Variables!$A$5:$A$65,0)))&amp;"."&amp;K$5</f>
        <v/>
      </c>
      <c r="L647" s="38">
        <f>INDEX(L$124:L$127,$D647)*$E647*INDEX(L$128:L$144,$F647)</f>
        <v/>
      </c>
      <c r="M647" s="36">
        <f>INDEX(M$124:M$127,$D647)*$E647*INDEX(M$128:M$144,$F647)</f>
        <v/>
      </c>
      <c r="N647" s="36">
        <f>INDEX(N$124:N$127,$D647)*$E647*INDEX(N$128:N$144,$F647)</f>
        <v/>
      </c>
      <c r="O647" s="36">
        <f>INDEX(O$124:O$127,$D647)*$E647*INDEX(O$128:O$144,$F647)</f>
        <v/>
      </c>
      <c r="P647" s="36">
        <f>INDEX(P$124:P$127,$D647)*$E647*INDEX(P$128:P$144,$F647)</f>
        <v/>
      </c>
      <c r="Q647" s="36">
        <f>INDEX(Q$124:Q$127,$D647)*$E647*INDEX(Q$128:Q$144,$F647)</f>
        <v/>
      </c>
      <c r="R647" s="36">
        <f>INDEX(R$124:R$127,$D647)*$E647*INDEX(R$128:R$144,$F647)</f>
        <v/>
      </c>
      <c r="S647" s="36">
        <f>INDEX(S$124:S$127,$D647)*$E647*INDEX(S$128:S$144,$F647)</f>
        <v/>
      </c>
      <c r="T647" s="36">
        <f>INDEX(T$124:T$127,$D647)*$E647*INDEX(T$128:T$144,$F647)</f>
        <v/>
      </c>
      <c r="U647" s="36">
        <f>INDEX(U$124:U$127,$D647)*$E647*INDEX(U$128:U$144,$F647)</f>
        <v/>
      </c>
      <c r="V647" s="36">
        <f>INDEX(V$124:V$127,$D647)*$E647*INDEX(V$128:V$144,$F647)</f>
        <v/>
      </c>
      <c r="W647" s="36">
        <f>INDEX(W$124:W$127,$D647)*$E647*INDEX(W$128:W$144,$F647)</f>
        <v/>
      </c>
      <c r="X647" s="36">
        <f>INDEX(X$124:X$127,$D647)*$E647*INDEX(X$128:X$144,$F647)</f>
        <v/>
      </c>
      <c r="Y647" s="36">
        <f>INDEX(Y$124:Y$127,$D647)*$E647*INDEX(Y$128:Y$144,$F647)</f>
        <v/>
      </c>
      <c r="Z647" s="23">
        <f>LOWER(Settings!$C$4)&amp;".mit."&amp;$A647&amp;IF($C647="","","."&amp;$C647&amp;"."&amp;$B647)&amp;IF(INDEX(Variables!$D$5:$D$65,MATCH($A647,Variables!$A$5:$A$65,0))="","","."&amp;INDEX(Variables!$D$5:$D$65,MATCH($A647,Variables!$A$5:$A$65,0)))&amp;"."&amp;Z$5</f>
        <v/>
      </c>
      <c r="AA647" s="38">
        <f>INDEX(AA$124:AA$127,$D647)*$E647*INDEX(AA$128:AA$144,$F647)</f>
        <v/>
      </c>
      <c r="AB647" s="36">
        <f>INDEX(AB$124:AB$127,$D647)*$E647*INDEX(AB$128:AB$144,$F647)</f>
        <v/>
      </c>
      <c r="AC647" s="36">
        <f>INDEX(AC$124:AC$127,$D647)*$E647*INDEX(AC$128:AC$144,$F647)</f>
        <v/>
      </c>
      <c r="AD647" s="36">
        <f>INDEX(AD$124:AD$127,$D647)*$E647*INDEX(AD$128:AD$144,$F647)</f>
        <v/>
      </c>
      <c r="AE647" s="36">
        <f>INDEX(AE$124:AE$127,$D647)*$E647*INDEX(AE$128:AE$144,$F647)</f>
        <v/>
      </c>
      <c r="AF647" s="36">
        <f>INDEX(AF$124:AF$127,$D647)*$E647*INDEX(AF$128:AF$144,$F647)</f>
        <v/>
      </c>
      <c r="AG647" s="36">
        <f>INDEX(AG$124:AG$127,$D647)*$E647*INDEX(AG$128:AG$144,$F647)</f>
        <v/>
      </c>
      <c r="AH647" s="36">
        <f>INDEX(AH$124:AH$127,$D647)*$E647*INDEX(AH$128:AH$144,$F647)</f>
        <v/>
      </c>
      <c r="AI647" s="36">
        <f>INDEX(AI$124:AI$127,$D647)*$E647*INDEX(AI$128:AI$144,$F647)</f>
        <v/>
      </c>
      <c r="AJ647" s="36">
        <f>INDEX(AJ$124:AJ$127,$D647)*$E647*INDEX(AJ$128:AJ$144,$F647)</f>
        <v/>
      </c>
      <c r="AK647" s="36">
        <f>INDEX(AK$124:AK$127,$D647)*$E647*INDEX(AK$128:AK$144,$F647)</f>
        <v/>
      </c>
      <c r="AL647" s="36">
        <f>INDEX(AL$124:AL$127,$D647)*$E647*INDEX(AL$128:AL$144,$F647)</f>
        <v/>
      </c>
      <c r="AM647" s="36">
        <f>INDEX(AM$124:AM$127,$D647)*$E647*INDEX(AM$128:AM$144,$F647)</f>
        <v/>
      </c>
      <c r="AN647" s="36">
        <f>INDEX(AN$124:AN$127,$D647)*$E647*INDEX(AN$128:AN$144,$F647)</f>
        <v/>
      </c>
    </row>
    <row r="648" hidden="1" outlineLevel="2">
      <c r="A648" s="5" t="inlineStr">
        <is>
          <t>shp</t>
        </is>
      </c>
      <c r="B648" s="5" t="inlineStr">
        <is>
          <t>nga</t>
        </is>
      </c>
      <c r="C648" s="5" t="inlineStr">
        <is>
          <t>srv</t>
        </is>
      </c>
      <c r="D648" s="36">
        <f>INDEX(Inputs!$M$5:$M$132,MATCH($B648&amp;"|"&amp;$C648,Inputs!$A$5:$A$132,0))</f>
        <v/>
      </c>
      <c r="E648" s="36">
        <f>INDEX(Inputs!$U$5:$U$132,MATCH($B648&amp;"|"&amp;$C648,Inputs!$A$5:$A$132,0))</f>
        <v/>
      </c>
      <c r="F648" s="36">
        <f>INDEX(Inputs!$K$5:$K$132,MATCH($B648&amp;"|"&amp;$C648,Inputs!$A$5:$A$132,0))</f>
        <v/>
      </c>
      <c r="G648" s="37" t="n"/>
      <c r="H648" s="5">
        <f>INDEX(Variables!$B$5:$B$65,MATCH($A648,Variables!$A$5:$A$65,0))&amp;IF($C648="",""," | "&amp;INDEX(Mapping!$B$5:$B$25,MATCH($C648,Mapping!$A$5:$A$25,0))&amp;" | "&amp;INDEX(Mapping!$B$29:$B$38,MATCH($B648,Mapping!$A$29:$A$38,0)))</f>
        <v/>
      </c>
      <c r="I648" s="5">
        <f>INDEX(Variables!$C$5:$C$65,MATCH($A648,Variables!$A$5:$A$65,0))</f>
        <v/>
      </c>
      <c r="J648" s="5">
        <f>INDEX(Variables!$E$5:$E$65,MATCH($A648,Variables!$A$5:$A$65,0))</f>
        <v/>
      </c>
      <c r="K648" s="23">
        <f>LOWER(Settings!$C$4)&amp;".mit."&amp;$A648&amp;IF($C648="","","."&amp;$C648&amp;"."&amp;$B648)&amp;IF(INDEX(Variables!$D$5:$D$65,MATCH($A648,Variables!$A$5:$A$65,0))="","","."&amp;INDEX(Variables!$D$5:$D$65,MATCH($A648,Variables!$A$5:$A$65,0)))&amp;"."&amp;K$5</f>
        <v/>
      </c>
      <c r="L648" s="38">
        <f>INDEX(L$124:L$127,$D648)*$E648*INDEX(L$128:L$144,$F648)</f>
        <v/>
      </c>
      <c r="M648" s="36">
        <f>INDEX(M$124:M$127,$D648)*$E648*INDEX(M$128:M$144,$F648)</f>
        <v/>
      </c>
      <c r="N648" s="36">
        <f>INDEX(N$124:N$127,$D648)*$E648*INDEX(N$128:N$144,$F648)</f>
        <v/>
      </c>
      <c r="O648" s="36">
        <f>INDEX(O$124:O$127,$D648)*$E648*INDEX(O$128:O$144,$F648)</f>
        <v/>
      </c>
      <c r="P648" s="36">
        <f>INDEX(P$124:P$127,$D648)*$E648*INDEX(P$128:P$144,$F648)</f>
        <v/>
      </c>
      <c r="Q648" s="36">
        <f>INDEX(Q$124:Q$127,$D648)*$E648*INDEX(Q$128:Q$144,$F648)</f>
        <v/>
      </c>
      <c r="R648" s="36">
        <f>INDEX(R$124:R$127,$D648)*$E648*INDEX(R$128:R$144,$F648)</f>
        <v/>
      </c>
      <c r="S648" s="36">
        <f>INDEX(S$124:S$127,$D648)*$E648*INDEX(S$128:S$144,$F648)</f>
        <v/>
      </c>
      <c r="T648" s="36">
        <f>INDEX(T$124:T$127,$D648)*$E648*INDEX(T$128:T$144,$F648)</f>
        <v/>
      </c>
      <c r="U648" s="36">
        <f>INDEX(U$124:U$127,$D648)*$E648*INDEX(U$128:U$144,$F648)</f>
        <v/>
      </c>
      <c r="V648" s="36">
        <f>INDEX(V$124:V$127,$D648)*$E648*INDEX(V$128:V$144,$F648)</f>
        <v/>
      </c>
      <c r="W648" s="36">
        <f>INDEX(W$124:W$127,$D648)*$E648*INDEX(W$128:W$144,$F648)</f>
        <v/>
      </c>
      <c r="X648" s="36">
        <f>INDEX(X$124:X$127,$D648)*$E648*INDEX(X$128:X$144,$F648)</f>
        <v/>
      </c>
      <c r="Y648" s="36">
        <f>INDEX(Y$124:Y$127,$D648)*$E648*INDEX(Y$128:Y$144,$F648)</f>
        <v/>
      </c>
      <c r="Z648" s="23">
        <f>LOWER(Settings!$C$4)&amp;".mit."&amp;$A648&amp;IF($C648="","","."&amp;$C648&amp;"."&amp;$B648)&amp;IF(INDEX(Variables!$D$5:$D$65,MATCH($A648,Variables!$A$5:$A$65,0))="","","."&amp;INDEX(Variables!$D$5:$D$65,MATCH($A648,Variables!$A$5:$A$65,0)))&amp;"."&amp;Z$5</f>
        <v/>
      </c>
      <c r="AA648" s="38">
        <f>INDEX(AA$124:AA$127,$D648)*$E648*INDEX(AA$128:AA$144,$F648)</f>
        <v/>
      </c>
      <c r="AB648" s="36">
        <f>INDEX(AB$124:AB$127,$D648)*$E648*INDEX(AB$128:AB$144,$F648)</f>
        <v/>
      </c>
      <c r="AC648" s="36">
        <f>INDEX(AC$124:AC$127,$D648)*$E648*INDEX(AC$128:AC$144,$F648)</f>
        <v/>
      </c>
      <c r="AD648" s="36">
        <f>INDEX(AD$124:AD$127,$D648)*$E648*INDEX(AD$128:AD$144,$F648)</f>
        <v/>
      </c>
      <c r="AE648" s="36">
        <f>INDEX(AE$124:AE$127,$D648)*$E648*INDEX(AE$128:AE$144,$F648)</f>
        <v/>
      </c>
      <c r="AF648" s="36">
        <f>INDEX(AF$124:AF$127,$D648)*$E648*INDEX(AF$128:AF$144,$F648)</f>
        <v/>
      </c>
      <c r="AG648" s="36">
        <f>INDEX(AG$124:AG$127,$D648)*$E648*INDEX(AG$128:AG$144,$F648)</f>
        <v/>
      </c>
      <c r="AH648" s="36">
        <f>INDEX(AH$124:AH$127,$D648)*$E648*INDEX(AH$128:AH$144,$F648)</f>
        <v/>
      </c>
      <c r="AI648" s="36">
        <f>INDEX(AI$124:AI$127,$D648)*$E648*INDEX(AI$128:AI$144,$F648)</f>
        <v/>
      </c>
      <c r="AJ648" s="36">
        <f>INDEX(AJ$124:AJ$127,$D648)*$E648*INDEX(AJ$128:AJ$144,$F648)</f>
        <v/>
      </c>
      <c r="AK648" s="36">
        <f>INDEX(AK$124:AK$127,$D648)*$E648*INDEX(AK$128:AK$144,$F648)</f>
        <v/>
      </c>
      <c r="AL648" s="36">
        <f>INDEX(AL$124:AL$127,$D648)*$E648*INDEX(AL$128:AL$144,$F648)</f>
        <v/>
      </c>
      <c r="AM648" s="36">
        <f>INDEX(AM$124:AM$127,$D648)*$E648*INDEX(AM$128:AM$144,$F648)</f>
        <v/>
      </c>
      <c r="AN648" s="36">
        <f>INDEX(AN$124:AN$127,$D648)*$E648*INDEX(AN$128:AN$144,$F648)</f>
        <v/>
      </c>
    </row>
    <row r="649" hidden="1" outlineLevel="2">
      <c r="A649" s="5" t="inlineStr">
        <is>
          <t>shp</t>
        </is>
      </c>
      <c r="B649" s="5" t="inlineStr">
        <is>
          <t>gso</t>
        </is>
      </c>
      <c r="C649" s="5" t="inlineStr">
        <is>
          <t>srv</t>
        </is>
      </c>
      <c r="D649" s="36">
        <f>INDEX(Inputs!$M$5:$M$132,MATCH($B649&amp;"|"&amp;$C649,Inputs!$A$5:$A$132,0))</f>
        <v/>
      </c>
      <c r="E649" s="36">
        <f>INDEX(Inputs!$U$5:$U$132,MATCH($B649&amp;"|"&amp;$C649,Inputs!$A$5:$A$132,0))</f>
        <v/>
      </c>
      <c r="F649" s="36">
        <f>INDEX(Inputs!$K$5:$K$132,MATCH($B649&amp;"|"&amp;$C649,Inputs!$A$5:$A$132,0))</f>
        <v/>
      </c>
      <c r="G649" s="37" t="n"/>
      <c r="H649" s="5">
        <f>INDEX(Variables!$B$5:$B$65,MATCH($A649,Variables!$A$5:$A$65,0))&amp;IF($C649="",""," | "&amp;INDEX(Mapping!$B$5:$B$25,MATCH($C649,Mapping!$A$5:$A$25,0))&amp;" | "&amp;INDEX(Mapping!$B$29:$B$38,MATCH($B649,Mapping!$A$29:$A$38,0)))</f>
        <v/>
      </c>
      <c r="I649" s="5">
        <f>INDEX(Variables!$C$5:$C$65,MATCH($A649,Variables!$A$5:$A$65,0))</f>
        <v/>
      </c>
      <c r="J649" s="5">
        <f>INDEX(Variables!$E$5:$E$65,MATCH($A649,Variables!$A$5:$A$65,0))</f>
        <v/>
      </c>
      <c r="K649" s="23">
        <f>LOWER(Settings!$C$4)&amp;".mit."&amp;$A649&amp;IF($C649="","","."&amp;$C649&amp;"."&amp;$B649)&amp;IF(INDEX(Variables!$D$5:$D$65,MATCH($A649,Variables!$A$5:$A$65,0))="","","."&amp;INDEX(Variables!$D$5:$D$65,MATCH($A649,Variables!$A$5:$A$65,0)))&amp;"."&amp;K$5</f>
        <v/>
      </c>
      <c r="L649" s="38">
        <f>INDEX(L$124:L$127,$D649)*$E649*INDEX(L$128:L$144,$F649)</f>
        <v/>
      </c>
      <c r="M649" s="36">
        <f>INDEX(M$124:M$127,$D649)*$E649*INDEX(M$128:M$144,$F649)</f>
        <v/>
      </c>
      <c r="N649" s="36">
        <f>INDEX(N$124:N$127,$D649)*$E649*INDEX(N$128:N$144,$F649)</f>
        <v/>
      </c>
      <c r="O649" s="36">
        <f>INDEX(O$124:O$127,$D649)*$E649*INDEX(O$128:O$144,$F649)</f>
        <v/>
      </c>
      <c r="P649" s="36">
        <f>INDEX(P$124:P$127,$D649)*$E649*INDEX(P$128:P$144,$F649)</f>
        <v/>
      </c>
      <c r="Q649" s="36">
        <f>INDEX(Q$124:Q$127,$D649)*$E649*INDEX(Q$128:Q$144,$F649)</f>
        <v/>
      </c>
      <c r="R649" s="36">
        <f>INDEX(R$124:R$127,$D649)*$E649*INDEX(R$128:R$144,$F649)</f>
        <v/>
      </c>
      <c r="S649" s="36">
        <f>INDEX(S$124:S$127,$D649)*$E649*INDEX(S$128:S$144,$F649)</f>
        <v/>
      </c>
      <c r="T649" s="36">
        <f>INDEX(T$124:T$127,$D649)*$E649*INDEX(T$128:T$144,$F649)</f>
        <v/>
      </c>
      <c r="U649" s="36">
        <f>INDEX(U$124:U$127,$D649)*$E649*INDEX(U$128:U$144,$F649)</f>
        <v/>
      </c>
      <c r="V649" s="36">
        <f>INDEX(V$124:V$127,$D649)*$E649*INDEX(V$128:V$144,$F649)</f>
        <v/>
      </c>
      <c r="W649" s="36">
        <f>INDEX(W$124:W$127,$D649)*$E649*INDEX(W$128:W$144,$F649)</f>
        <v/>
      </c>
      <c r="X649" s="36">
        <f>INDEX(X$124:X$127,$D649)*$E649*INDEX(X$128:X$144,$F649)</f>
        <v/>
      </c>
      <c r="Y649" s="36">
        <f>INDEX(Y$124:Y$127,$D649)*$E649*INDEX(Y$128:Y$144,$F649)</f>
        <v/>
      </c>
      <c r="Z649" s="23">
        <f>LOWER(Settings!$C$4)&amp;".mit."&amp;$A649&amp;IF($C649="","","."&amp;$C649&amp;"."&amp;$B649)&amp;IF(INDEX(Variables!$D$5:$D$65,MATCH($A649,Variables!$A$5:$A$65,0))="","","."&amp;INDEX(Variables!$D$5:$D$65,MATCH($A649,Variables!$A$5:$A$65,0)))&amp;"."&amp;Z$5</f>
        <v/>
      </c>
      <c r="AA649" s="38">
        <f>INDEX(AA$124:AA$127,$D649)*$E649*INDEX(AA$128:AA$144,$F649)</f>
        <v/>
      </c>
      <c r="AB649" s="36">
        <f>INDEX(AB$124:AB$127,$D649)*$E649*INDEX(AB$128:AB$144,$F649)</f>
        <v/>
      </c>
      <c r="AC649" s="36">
        <f>INDEX(AC$124:AC$127,$D649)*$E649*INDEX(AC$128:AC$144,$F649)</f>
        <v/>
      </c>
      <c r="AD649" s="36">
        <f>INDEX(AD$124:AD$127,$D649)*$E649*INDEX(AD$128:AD$144,$F649)</f>
        <v/>
      </c>
      <c r="AE649" s="36">
        <f>INDEX(AE$124:AE$127,$D649)*$E649*INDEX(AE$128:AE$144,$F649)</f>
        <v/>
      </c>
      <c r="AF649" s="36">
        <f>INDEX(AF$124:AF$127,$D649)*$E649*INDEX(AF$128:AF$144,$F649)</f>
        <v/>
      </c>
      <c r="AG649" s="36">
        <f>INDEX(AG$124:AG$127,$D649)*$E649*INDEX(AG$128:AG$144,$F649)</f>
        <v/>
      </c>
      <c r="AH649" s="36">
        <f>INDEX(AH$124:AH$127,$D649)*$E649*INDEX(AH$128:AH$144,$F649)</f>
        <v/>
      </c>
      <c r="AI649" s="36">
        <f>INDEX(AI$124:AI$127,$D649)*$E649*INDEX(AI$128:AI$144,$F649)</f>
        <v/>
      </c>
      <c r="AJ649" s="36">
        <f>INDEX(AJ$124:AJ$127,$D649)*$E649*INDEX(AJ$128:AJ$144,$F649)</f>
        <v/>
      </c>
      <c r="AK649" s="36">
        <f>INDEX(AK$124:AK$127,$D649)*$E649*INDEX(AK$128:AK$144,$F649)</f>
        <v/>
      </c>
      <c r="AL649" s="36">
        <f>INDEX(AL$124:AL$127,$D649)*$E649*INDEX(AL$128:AL$144,$F649)</f>
        <v/>
      </c>
      <c r="AM649" s="36">
        <f>INDEX(AM$124:AM$127,$D649)*$E649*INDEX(AM$128:AM$144,$F649)</f>
        <v/>
      </c>
      <c r="AN649" s="36">
        <f>INDEX(AN$124:AN$127,$D649)*$E649*INDEX(AN$128:AN$144,$F649)</f>
        <v/>
      </c>
    </row>
    <row r="650" hidden="1" outlineLevel="2">
      <c r="A650" s="5" t="inlineStr">
        <is>
          <t>shp</t>
        </is>
      </c>
      <c r="B650" s="5" t="inlineStr">
        <is>
          <t>die</t>
        </is>
      </c>
      <c r="C650" s="5" t="inlineStr">
        <is>
          <t>srv</t>
        </is>
      </c>
      <c r="D650" s="36">
        <f>INDEX(Inputs!$M$5:$M$132,MATCH($B650&amp;"|"&amp;$C650,Inputs!$A$5:$A$132,0))</f>
        <v/>
      </c>
      <c r="E650" s="36">
        <f>INDEX(Inputs!$U$5:$U$132,MATCH($B650&amp;"|"&amp;$C650,Inputs!$A$5:$A$132,0))</f>
        <v/>
      </c>
      <c r="F650" s="36">
        <f>INDEX(Inputs!$K$5:$K$132,MATCH($B650&amp;"|"&amp;$C650,Inputs!$A$5:$A$132,0))</f>
        <v/>
      </c>
      <c r="G650" s="37" t="n"/>
      <c r="H650" s="5">
        <f>INDEX(Variables!$B$5:$B$65,MATCH($A650,Variables!$A$5:$A$65,0))&amp;IF($C650="",""," | "&amp;INDEX(Mapping!$B$5:$B$25,MATCH($C650,Mapping!$A$5:$A$25,0))&amp;" | "&amp;INDEX(Mapping!$B$29:$B$38,MATCH($B650,Mapping!$A$29:$A$38,0)))</f>
        <v/>
      </c>
      <c r="I650" s="5">
        <f>INDEX(Variables!$C$5:$C$65,MATCH($A650,Variables!$A$5:$A$65,0))</f>
        <v/>
      </c>
      <c r="J650" s="5">
        <f>INDEX(Variables!$E$5:$E$65,MATCH($A650,Variables!$A$5:$A$65,0))</f>
        <v/>
      </c>
      <c r="K650" s="23">
        <f>LOWER(Settings!$C$4)&amp;".mit."&amp;$A650&amp;IF($C650="","","."&amp;$C650&amp;"."&amp;$B650)&amp;IF(INDEX(Variables!$D$5:$D$65,MATCH($A650,Variables!$A$5:$A$65,0))="","","."&amp;INDEX(Variables!$D$5:$D$65,MATCH($A650,Variables!$A$5:$A$65,0)))&amp;"."&amp;K$5</f>
        <v/>
      </c>
      <c r="L650" s="38">
        <f>INDEX(L$124:L$127,$D650)*$E650*INDEX(L$128:L$144,$F650)</f>
        <v/>
      </c>
      <c r="M650" s="36">
        <f>INDEX(M$124:M$127,$D650)*$E650*INDEX(M$128:M$144,$F650)</f>
        <v/>
      </c>
      <c r="N650" s="36">
        <f>INDEX(N$124:N$127,$D650)*$E650*INDEX(N$128:N$144,$F650)</f>
        <v/>
      </c>
      <c r="O650" s="36">
        <f>INDEX(O$124:O$127,$D650)*$E650*INDEX(O$128:O$144,$F650)</f>
        <v/>
      </c>
      <c r="P650" s="36">
        <f>INDEX(P$124:P$127,$D650)*$E650*INDEX(P$128:P$144,$F650)</f>
        <v/>
      </c>
      <c r="Q650" s="36">
        <f>INDEX(Q$124:Q$127,$D650)*$E650*INDEX(Q$128:Q$144,$F650)</f>
        <v/>
      </c>
      <c r="R650" s="36">
        <f>INDEX(R$124:R$127,$D650)*$E650*INDEX(R$128:R$144,$F650)</f>
        <v/>
      </c>
      <c r="S650" s="36">
        <f>INDEX(S$124:S$127,$D650)*$E650*INDEX(S$128:S$144,$F650)</f>
        <v/>
      </c>
      <c r="T650" s="36">
        <f>INDEX(T$124:T$127,$D650)*$E650*INDEX(T$128:T$144,$F650)</f>
        <v/>
      </c>
      <c r="U650" s="36">
        <f>INDEX(U$124:U$127,$D650)*$E650*INDEX(U$128:U$144,$F650)</f>
        <v/>
      </c>
      <c r="V650" s="36">
        <f>INDEX(V$124:V$127,$D650)*$E650*INDEX(V$128:V$144,$F650)</f>
        <v/>
      </c>
      <c r="W650" s="36">
        <f>INDEX(W$124:W$127,$D650)*$E650*INDEX(W$128:W$144,$F650)</f>
        <v/>
      </c>
      <c r="X650" s="36">
        <f>INDEX(X$124:X$127,$D650)*$E650*INDEX(X$128:X$144,$F650)</f>
        <v/>
      </c>
      <c r="Y650" s="36">
        <f>INDEX(Y$124:Y$127,$D650)*$E650*INDEX(Y$128:Y$144,$F650)</f>
        <v/>
      </c>
      <c r="Z650" s="23">
        <f>LOWER(Settings!$C$4)&amp;".mit."&amp;$A650&amp;IF($C650="","","."&amp;$C650&amp;"."&amp;$B650)&amp;IF(INDEX(Variables!$D$5:$D$65,MATCH($A650,Variables!$A$5:$A$65,0))="","","."&amp;INDEX(Variables!$D$5:$D$65,MATCH($A650,Variables!$A$5:$A$65,0)))&amp;"."&amp;Z$5</f>
        <v/>
      </c>
      <c r="AA650" s="38">
        <f>INDEX(AA$124:AA$127,$D650)*$E650*INDEX(AA$128:AA$144,$F650)</f>
        <v/>
      </c>
      <c r="AB650" s="36">
        <f>INDEX(AB$124:AB$127,$D650)*$E650*INDEX(AB$128:AB$144,$F650)</f>
        <v/>
      </c>
      <c r="AC650" s="36">
        <f>INDEX(AC$124:AC$127,$D650)*$E650*INDEX(AC$128:AC$144,$F650)</f>
        <v/>
      </c>
      <c r="AD650" s="36">
        <f>INDEX(AD$124:AD$127,$D650)*$E650*INDEX(AD$128:AD$144,$F650)</f>
        <v/>
      </c>
      <c r="AE650" s="36">
        <f>INDEX(AE$124:AE$127,$D650)*$E650*INDEX(AE$128:AE$144,$F650)</f>
        <v/>
      </c>
      <c r="AF650" s="36">
        <f>INDEX(AF$124:AF$127,$D650)*$E650*INDEX(AF$128:AF$144,$F650)</f>
        <v/>
      </c>
      <c r="AG650" s="36">
        <f>INDEX(AG$124:AG$127,$D650)*$E650*INDEX(AG$128:AG$144,$F650)</f>
        <v/>
      </c>
      <c r="AH650" s="36">
        <f>INDEX(AH$124:AH$127,$D650)*$E650*INDEX(AH$128:AH$144,$F650)</f>
        <v/>
      </c>
      <c r="AI650" s="36">
        <f>INDEX(AI$124:AI$127,$D650)*$E650*INDEX(AI$128:AI$144,$F650)</f>
        <v/>
      </c>
      <c r="AJ650" s="36">
        <f>INDEX(AJ$124:AJ$127,$D650)*$E650*INDEX(AJ$128:AJ$144,$F650)</f>
        <v/>
      </c>
      <c r="AK650" s="36">
        <f>INDEX(AK$124:AK$127,$D650)*$E650*INDEX(AK$128:AK$144,$F650)</f>
        <v/>
      </c>
      <c r="AL650" s="36">
        <f>INDEX(AL$124:AL$127,$D650)*$E650*INDEX(AL$128:AL$144,$F650)</f>
        <v/>
      </c>
      <c r="AM650" s="36">
        <f>INDEX(AM$124:AM$127,$D650)*$E650*INDEX(AM$128:AM$144,$F650)</f>
        <v/>
      </c>
      <c r="AN650" s="36">
        <f>INDEX(AN$124:AN$127,$D650)*$E650*INDEX(AN$128:AN$144,$F650)</f>
        <v/>
      </c>
    </row>
    <row r="651" hidden="1" outlineLevel="2">
      <c r="A651" s="5" t="inlineStr">
        <is>
          <t>shp</t>
        </is>
      </c>
      <c r="B651" s="5" t="inlineStr">
        <is>
          <t>lpg</t>
        </is>
      </c>
      <c r="C651" s="5" t="inlineStr">
        <is>
          <t>srv</t>
        </is>
      </c>
      <c r="D651" s="36">
        <f>INDEX(Inputs!$M$5:$M$132,MATCH($B651&amp;"|"&amp;$C651,Inputs!$A$5:$A$132,0))</f>
        <v/>
      </c>
      <c r="E651" s="36">
        <f>INDEX(Inputs!$U$5:$U$132,MATCH($B651&amp;"|"&amp;$C651,Inputs!$A$5:$A$132,0))</f>
        <v/>
      </c>
      <c r="F651" s="36">
        <f>INDEX(Inputs!$K$5:$K$132,MATCH($B651&amp;"|"&amp;$C651,Inputs!$A$5:$A$132,0))</f>
        <v/>
      </c>
      <c r="G651" s="37" t="n"/>
      <c r="H651" s="5">
        <f>INDEX(Variables!$B$5:$B$65,MATCH($A651,Variables!$A$5:$A$65,0))&amp;IF($C651="",""," | "&amp;INDEX(Mapping!$B$5:$B$25,MATCH($C651,Mapping!$A$5:$A$25,0))&amp;" | "&amp;INDEX(Mapping!$B$29:$B$38,MATCH($B651,Mapping!$A$29:$A$38,0)))</f>
        <v/>
      </c>
      <c r="I651" s="5">
        <f>INDEX(Variables!$C$5:$C$65,MATCH($A651,Variables!$A$5:$A$65,0))</f>
        <v/>
      </c>
      <c r="J651" s="5">
        <f>INDEX(Variables!$E$5:$E$65,MATCH($A651,Variables!$A$5:$A$65,0))</f>
        <v/>
      </c>
      <c r="K651" s="23">
        <f>LOWER(Settings!$C$4)&amp;".mit."&amp;$A651&amp;IF($C651="","","."&amp;$C651&amp;"."&amp;$B651)&amp;IF(INDEX(Variables!$D$5:$D$65,MATCH($A651,Variables!$A$5:$A$65,0))="","","."&amp;INDEX(Variables!$D$5:$D$65,MATCH($A651,Variables!$A$5:$A$65,0)))&amp;"."&amp;K$5</f>
        <v/>
      </c>
      <c r="L651" s="38">
        <f>INDEX(L$124:L$127,$D651)*$E651*INDEX(L$128:L$144,$F651)</f>
        <v/>
      </c>
      <c r="M651" s="36">
        <f>INDEX(M$124:M$127,$D651)*$E651*INDEX(M$128:M$144,$F651)</f>
        <v/>
      </c>
      <c r="N651" s="36">
        <f>INDEX(N$124:N$127,$D651)*$E651*INDEX(N$128:N$144,$F651)</f>
        <v/>
      </c>
      <c r="O651" s="36">
        <f>INDEX(O$124:O$127,$D651)*$E651*INDEX(O$128:O$144,$F651)</f>
        <v/>
      </c>
      <c r="P651" s="36">
        <f>INDEX(P$124:P$127,$D651)*$E651*INDEX(P$128:P$144,$F651)</f>
        <v/>
      </c>
      <c r="Q651" s="36">
        <f>INDEX(Q$124:Q$127,$D651)*$E651*INDEX(Q$128:Q$144,$F651)</f>
        <v/>
      </c>
      <c r="R651" s="36">
        <f>INDEX(R$124:R$127,$D651)*$E651*INDEX(R$128:R$144,$F651)</f>
        <v/>
      </c>
      <c r="S651" s="36">
        <f>INDEX(S$124:S$127,$D651)*$E651*INDEX(S$128:S$144,$F651)</f>
        <v/>
      </c>
      <c r="T651" s="36">
        <f>INDEX(T$124:T$127,$D651)*$E651*INDEX(T$128:T$144,$F651)</f>
        <v/>
      </c>
      <c r="U651" s="36">
        <f>INDEX(U$124:U$127,$D651)*$E651*INDEX(U$128:U$144,$F651)</f>
        <v/>
      </c>
      <c r="V651" s="36">
        <f>INDEX(V$124:V$127,$D651)*$E651*INDEX(V$128:V$144,$F651)</f>
        <v/>
      </c>
      <c r="W651" s="36">
        <f>INDEX(W$124:W$127,$D651)*$E651*INDEX(W$128:W$144,$F651)</f>
        <v/>
      </c>
      <c r="X651" s="36">
        <f>INDEX(X$124:X$127,$D651)*$E651*INDEX(X$128:X$144,$F651)</f>
        <v/>
      </c>
      <c r="Y651" s="36">
        <f>INDEX(Y$124:Y$127,$D651)*$E651*INDEX(Y$128:Y$144,$F651)</f>
        <v/>
      </c>
      <c r="Z651" s="23">
        <f>LOWER(Settings!$C$4)&amp;".mit."&amp;$A651&amp;IF($C651="","","."&amp;$C651&amp;"."&amp;$B651)&amp;IF(INDEX(Variables!$D$5:$D$65,MATCH($A651,Variables!$A$5:$A$65,0))="","","."&amp;INDEX(Variables!$D$5:$D$65,MATCH($A651,Variables!$A$5:$A$65,0)))&amp;"."&amp;Z$5</f>
        <v/>
      </c>
      <c r="AA651" s="38">
        <f>INDEX(AA$124:AA$127,$D651)*$E651*INDEX(AA$128:AA$144,$F651)</f>
        <v/>
      </c>
      <c r="AB651" s="36">
        <f>INDEX(AB$124:AB$127,$D651)*$E651*INDEX(AB$128:AB$144,$F651)</f>
        <v/>
      </c>
      <c r="AC651" s="36">
        <f>INDEX(AC$124:AC$127,$D651)*$E651*INDEX(AC$128:AC$144,$F651)</f>
        <v/>
      </c>
      <c r="AD651" s="36">
        <f>INDEX(AD$124:AD$127,$D651)*$E651*INDEX(AD$128:AD$144,$F651)</f>
        <v/>
      </c>
      <c r="AE651" s="36">
        <f>INDEX(AE$124:AE$127,$D651)*$E651*INDEX(AE$128:AE$144,$F651)</f>
        <v/>
      </c>
      <c r="AF651" s="36">
        <f>INDEX(AF$124:AF$127,$D651)*$E651*INDEX(AF$128:AF$144,$F651)</f>
        <v/>
      </c>
      <c r="AG651" s="36">
        <f>INDEX(AG$124:AG$127,$D651)*$E651*INDEX(AG$128:AG$144,$F651)</f>
        <v/>
      </c>
      <c r="AH651" s="36">
        <f>INDEX(AH$124:AH$127,$D651)*$E651*INDEX(AH$128:AH$144,$F651)</f>
        <v/>
      </c>
      <c r="AI651" s="36">
        <f>INDEX(AI$124:AI$127,$D651)*$E651*INDEX(AI$128:AI$144,$F651)</f>
        <v/>
      </c>
      <c r="AJ651" s="36">
        <f>INDEX(AJ$124:AJ$127,$D651)*$E651*INDEX(AJ$128:AJ$144,$F651)</f>
        <v/>
      </c>
      <c r="AK651" s="36">
        <f>INDEX(AK$124:AK$127,$D651)*$E651*INDEX(AK$128:AK$144,$F651)</f>
        <v/>
      </c>
      <c r="AL651" s="36">
        <f>INDEX(AL$124:AL$127,$D651)*$E651*INDEX(AL$128:AL$144,$F651)</f>
        <v/>
      </c>
      <c r="AM651" s="36">
        <f>INDEX(AM$124:AM$127,$D651)*$E651*INDEX(AM$128:AM$144,$F651)</f>
        <v/>
      </c>
      <c r="AN651" s="36">
        <f>INDEX(AN$124:AN$127,$D651)*$E651*INDEX(AN$128:AN$144,$F651)</f>
        <v/>
      </c>
    </row>
    <row r="652" hidden="1" outlineLevel="2">
      <c r="A652" s="5" t="inlineStr">
        <is>
          <t>shp</t>
        </is>
      </c>
      <c r="B652" s="5" t="inlineStr">
        <is>
          <t>ker</t>
        </is>
      </c>
      <c r="C652" s="5" t="inlineStr">
        <is>
          <t>srv</t>
        </is>
      </c>
      <c r="D652" s="36">
        <f>INDEX(Inputs!$M$5:$M$132,MATCH($B652&amp;"|"&amp;$C652,Inputs!$A$5:$A$132,0))</f>
        <v/>
      </c>
      <c r="E652" s="36">
        <f>INDEX(Inputs!$U$5:$U$132,MATCH($B652&amp;"|"&amp;$C652,Inputs!$A$5:$A$132,0))</f>
        <v/>
      </c>
      <c r="F652" s="36">
        <f>INDEX(Inputs!$K$5:$K$132,MATCH($B652&amp;"|"&amp;$C652,Inputs!$A$5:$A$132,0))</f>
        <v/>
      </c>
      <c r="G652" s="37" t="n"/>
      <c r="H652" s="5">
        <f>INDEX(Variables!$B$5:$B$65,MATCH($A652,Variables!$A$5:$A$65,0))&amp;IF($C652="",""," | "&amp;INDEX(Mapping!$B$5:$B$25,MATCH($C652,Mapping!$A$5:$A$25,0))&amp;" | "&amp;INDEX(Mapping!$B$29:$B$38,MATCH($B652,Mapping!$A$29:$A$38,0)))</f>
        <v/>
      </c>
      <c r="I652" s="5">
        <f>INDEX(Variables!$C$5:$C$65,MATCH($A652,Variables!$A$5:$A$65,0))</f>
        <v/>
      </c>
      <c r="J652" s="5">
        <f>INDEX(Variables!$E$5:$E$65,MATCH($A652,Variables!$A$5:$A$65,0))</f>
        <v/>
      </c>
      <c r="K652" s="23">
        <f>LOWER(Settings!$C$4)&amp;".mit."&amp;$A652&amp;IF($C652="","","."&amp;$C652&amp;"."&amp;$B652)&amp;IF(INDEX(Variables!$D$5:$D$65,MATCH($A652,Variables!$A$5:$A$65,0))="","","."&amp;INDEX(Variables!$D$5:$D$65,MATCH($A652,Variables!$A$5:$A$65,0)))&amp;"."&amp;K$5</f>
        <v/>
      </c>
      <c r="L652" s="38">
        <f>INDEX(L$124:L$127,$D652)*$E652*INDEX(L$128:L$144,$F652)</f>
        <v/>
      </c>
      <c r="M652" s="36">
        <f>INDEX(M$124:M$127,$D652)*$E652*INDEX(M$128:M$144,$F652)</f>
        <v/>
      </c>
      <c r="N652" s="36">
        <f>INDEX(N$124:N$127,$D652)*$E652*INDEX(N$128:N$144,$F652)</f>
        <v/>
      </c>
      <c r="O652" s="36">
        <f>INDEX(O$124:O$127,$D652)*$E652*INDEX(O$128:O$144,$F652)</f>
        <v/>
      </c>
      <c r="P652" s="36">
        <f>INDEX(P$124:P$127,$D652)*$E652*INDEX(P$128:P$144,$F652)</f>
        <v/>
      </c>
      <c r="Q652" s="36">
        <f>INDEX(Q$124:Q$127,$D652)*$E652*INDEX(Q$128:Q$144,$F652)</f>
        <v/>
      </c>
      <c r="R652" s="36">
        <f>INDEX(R$124:R$127,$D652)*$E652*INDEX(R$128:R$144,$F652)</f>
        <v/>
      </c>
      <c r="S652" s="36">
        <f>INDEX(S$124:S$127,$D652)*$E652*INDEX(S$128:S$144,$F652)</f>
        <v/>
      </c>
      <c r="T652" s="36">
        <f>INDEX(T$124:T$127,$D652)*$E652*INDEX(T$128:T$144,$F652)</f>
        <v/>
      </c>
      <c r="U652" s="36">
        <f>INDEX(U$124:U$127,$D652)*$E652*INDEX(U$128:U$144,$F652)</f>
        <v/>
      </c>
      <c r="V652" s="36">
        <f>INDEX(V$124:V$127,$D652)*$E652*INDEX(V$128:V$144,$F652)</f>
        <v/>
      </c>
      <c r="W652" s="36">
        <f>INDEX(W$124:W$127,$D652)*$E652*INDEX(W$128:W$144,$F652)</f>
        <v/>
      </c>
      <c r="X652" s="36">
        <f>INDEX(X$124:X$127,$D652)*$E652*INDEX(X$128:X$144,$F652)</f>
        <v/>
      </c>
      <c r="Y652" s="36">
        <f>INDEX(Y$124:Y$127,$D652)*$E652*INDEX(Y$128:Y$144,$F652)</f>
        <v/>
      </c>
      <c r="Z652" s="23">
        <f>LOWER(Settings!$C$4)&amp;".mit."&amp;$A652&amp;IF($C652="","","."&amp;$C652&amp;"."&amp;$B652)&amp;IF(INDEX(Variables!$D$5:$D$65,MATCH($A652,Variables!$A$5:$A$65,0))="","","."&amp;INDEX(Variables!$D$5:$D$65,MATCH($A652,Variables!$A$5:$A$65,0)))&amp;"."&amp;Z$5</f>
        <v/>
      </c>
      <c r="AA652" s="38">
        <f>INDEX(AA$124:AA$127,$D652)*$E652*INDEX(AA$128:AA$144,$F652)</f>
        <v/>
      </c>
      <c r="AB652" s="36">
        <f>INDEX(AB$124:AB$127,$D652)*$E652*INDEX(AB$128:AB$144,$F652)</f>
        <v/>
      </c>
      <c r="AC652" s="36">
        <f>INDEX(AC$124:AC$127,$D652)*$E652*INDEX(AC$128:AC$144,$F652)</f>
        <v/>
      </c>
      <c r="AD652" s="36">
        <f>INDEX(AD$124:AD$127,$D652)*$E652*INDEX(AD$128:AD$144,$F652)</f>
        <v/>
      </c>
      <c r="AE652" s="36">
        <f>INDEX(AE$124:AE$127,$D652)*$E652*INDEX(AE$128:AE$144,$F652)</f>
        <v/>
      </c>
      <c r="AF652" s="36">
        <f>INDEX(AF$124:AF$127,$D652)*$E652*INDEX(AF$128:AF$144,$F652)</f>
        <v/>
      </c>
      <c r="AG652" s="36">
        <f>INDEX(AG$124:AG$127,$D652)*$E652*INDEX(AG$128:AG$144,$F652)</f>
        <v/>
      </c>
      <c r="AH652" s="36">
        <f>INDEX(AH$124:AH$127,$D652)*$E652*INDEX(AH$128:AH$144,$F652)</f>
        <v/>
      </c>
      <c r="AI652" s="36">
        <f>INDEX(AI$124:AI$127,$D652)*$E652*INDEX(AI$128:AI$144,$F652)</f>
        <v/>
      </c>
      <c r="AJ652" s="36">
        <f>INDEX(AJ$124:AJ$127,$D652)*$E652*INDEX(AJ$128:AJ$144,$F652)</f>
        <v/>
      </c>
      <c r="AK652" s="36">
        <f>INDEX(AK$124:AK$127,$D652)*$E652*INDEX(AK$128:AK$144,$F652)</f>
        <v/>
      </c>
      <c r="AL652" s="36">
        <f>INDEX(AL$124:AL$127,$D652)*$E652*INDEX(AL$128:AL$144,$F652)</f>
        <v/>
      </c>
      <c r="AM652" s="36">
        <f>INDEX(AM$124:AM$127,$D652)*$E652*INDEX(AM$128:AM$144,$F652)</f>
        <v/>
      </c>
      <c r="AN652" s="36">
        <f>INDEX(AN$124:AN$127,$D652)*$E652*INDEX(AN$128:AN$144,$F652)</f>
        <v/>
      </c>
    </row>
    <row r="653" hidden="1" outlineLevel="2">
      <c r="A653" s="5" t="inlineStr">
        <is>
          <t>shp</t>
        </is>
      </c>
      <c r="B653" s="5" t="inlineStr">
        <is>
          <t>oop</t>
        </is>
      </c>
      <c r="C653" s="5" t="inlineStr">
        <is>
          <t>srv</t>
        </is>
      </c>
      <c r="D653" s="36">
        <f>INDEX(Inputs!$M$5:$M$132,MATCH($B653&amp;"|"&amp;$C653,Inputs!$A$5:$A$132,0))</f>
        <v/>
      </c>
      <c r="E653" s="36">
        <f>INDEX(Inputs!$U$5:$U$132,MATCH($B653&amp;"|"&amp;$C653,Inputs!$A$5:$A$132,0))</f>
        <v/>
      </c>
      <c r="F653" s="36">
        <f>INDEX(Inputs!$K$5:$K$132,MATCH($B653&amp;"|"&amp;$C653,Inputs!$A$5:$A$132,0))</f>
        <v/>
      </c>
      <c r="G653" s="37" t="n"/>
      <c r="H653" s="5">
        <f>INDEX(Variables!$B$5:$B$65,MATCH($A653,Variables!$A$5:$A$65,0))&amp;IF($C653="",""," | "&amp;INDEX(Mapping!$B$5:$B$25,MATCH($C653,Mapping!$A$5:$A$25,0))&amp;" | "&amp;INDEX(Mapping!$B$29:$B$38,MATCH($B653,Mapping!$A$29:$A$38,0)))</f>
        <v/>
      </c>
      <c r="I653" s="5">
        <f>INDEX(Variables!$C$5:$C$65,MATCH($A653,Variables!$A$5:$A$65,0))</f>
        <v/>
      </c>
      <c r="J653" s="5">
        <f>INDEX(Variables!$E$5:$E$65,MATCH($A653,Variables!$A$5:$A$65,0))</f>
        <v/>
      </c>
      <c r="K653" s="23">
        <f>LOWER(Settings!$C$4)&amp;".mit."&amp;$A653&amp;IF($C653="","","."&amp;$C653&amp;"."&amp;$B653)&amp;IF(INDEX(Variables!$D$5:$D$65,MATCH($A653,Variables!$A$5:$A$65,0))="","","."&amp;INDEX(Variables!$D$5:$D$65,MATCH($A653,Variables!$A$5:$A$65,0)))&amp;"."&amp;K$5</f>
        <v/>
      </c>
      <c r="L653" s="38">
        <f>INDEX(L$124:L$127,$D653)*$E653*INDEX(L$128:L$144,$F653)</f>
        <v/>
      </c>
      <c r="M653" s="36">
        <f>INDEX(M$124:M$127,$D653)*$E653*INDEX(M$128:M$144,$F653)</f>
        <v/>
      </c>
      <c r="N653" s="36">
        <f>INDEX(N$124:N$127,$D653)*$E653*INDEX(N$128:N$144,$F653)</f>
        <v/>
      </c>
      <c r="O653" s="36">
        <f>INDEX(O$124:O$127,$D653)*$E653*INDEX(O$128:O$144,$F653)</f>
        <v/>
      </c>
      <c r="P653" s="36">
        <f>INDEX(P$124:P$127,$D653)*$E653*INDEX(P$128:P$144,$F653)</f>
        <v/>
      </c>
      <c r="Q653" s="36">
        <f>INDEX(Q$124:Q$127,$D653)*$E653*INDEX(Q$128:Q$144,$F653)</f>
        <v/>
      </c>
      <c r="R653" s="36">
        <f>INDEX(R$124:R$127,$D653)*$E653*INDEX(R$128:R$144,$F653)</f>
        <v/>
      </c>
      <c r="S653" s="36">
        <f>INDEX(S$124:S$127,$D653)*$E653*INDEX(S$128:S$144,$F653)</f>
        <v/>
      </c>
      <c r="T653" s="36">
        <f>INDEX(T$124:T$127,$D653)*$E653*INDEX(T$128:T$144,$F653)</f>
        <v/>
      </c>
      <c r="U653" s="36">
        <f>INDEX(U$124:U$127,$D653)*$E653*INDEX(U$128:U$144,$F653)</f>
        <v/>
      </c>
      <c r="V653" s="36">
        <f>INDEX(V$124:V$127,$D653)*$E653*INDEX(V$128:V$144,$F653)</f>
        <v/>
      </c>
      <c r="W653" s="36">
        <f>INDEX(W$124:W$127,$D653)*$E653*INDEX(W$128:W$144,$F653)</f>
        <v/>
      </c>
      <c r="X653" s="36">
        <f>INDEX(X$124:X$127,$D653)*$E653*INDEX(X$128:X$144,$F653)</f>
        <v/>
      </c>
      <c r="Y653" s="36">
        <f>INDEX(Y$124:Y$127,$D653)*$E653*INDEX(Y$128:Y$144,$F653)</f>
        <v/>
      </c>
      <c r="Z653" s="23">
        <f>LOWER(Settings!$C$4)&amp;".mit."&amp;$A653&amp;IF($C653="","","."&amp;$C653&amp;"."&amp;$B653)&amp;IF(INDEX(Variables!$D$5:$D$65,MATCH($A653,Variables!$A$5:$A$65,0))="","","."&amp;INDEX(Variables!$D$5:$D$65,MATCH($A653,Variables!$A$5:$A$65,0)))&amp;"."&amp;Z$5</f>
        <v/>
      </c>
      <c r="AA653" s="38">
        <f>INDEX(AA$124:AA$127,$D653)*$E653*INDEX(AA$128:AA$144,$F653)</f>
        <v/>
      </c>
      <c r="AB653" s="36">
        <f>INDEX(AB$124:AB$127,$D653)*$E653*INDEX(AB$128:AB$144,$F653)</f>
        <v/>
      </c>
      <c r="AC653" s="36">
        <f>INDEX(AC$124:AC$127,$D653)*$E653*INDEX(AC$128:AC$144,$F653)</f>
        <v/>
      </c>
      <c r="AD653" s="36">
        <f>INDEX(AD$124:AD$127,$D653)*$E653*INDEX(AD$128:AD$144,$F653)</f>
        <v/>
      </c>
      <c r="AE653" s="36">
        <f>INDEX(AE$124:AE$127,$D653)*$E653*INDEX(AE$128:AE$144,$F653)</f>
        <v/>
      </c>
      <c r="AF653" s="36">
        <f>INDEX(AF$124:AF$127,$D653)*$E653*INDEX(AF$128:AF$144,$F653)</f>
        <v/>
      </c>
      <c r="AG653" s="36">
        <f>INDEX(AG$124:AG$127,$D653)*$E653*INDEX(AG$128:AG$144,$F653)</f>
        <v/>
      </c>
      <c r="AH653" s="36">
        <f>INDEX(AH$124:AH$127,$D653)*$E653*INDEX(AH$128:AH$144,$F653)</f>
        <v/>
      </c>
      <c r="AI653" s="36">
        <f>INDEX(AI$124:AI$127,$D653)*$E653*INDEX(AI$128:AI$144,$F653)</f>
        <v/>
      </c>
      <c r="AJ653" s="36">
        <f>INDEX(AJ$124:AJ$127,$D653)*$E653*INDEX(AJ$128:AJ$144,$F653)</f>
        <v/>
      </c>
      <c r="AK653" s="36">
        <f>INDEX(AK$124:AK$127,$D653)*$E653*INDEX(AK$128:AK$144,$F653)</f>
        <v/>
      </c>
      <c r="AL653" s="36">
        <f>INDEX(AL$124:AL$127,$D653)*$E653*INDEX(AL$128:AL$144,$F653)</f>
        <v/>
      </c>
      <c r="AM653" s="36">
        <f>INDEX(AM$124:AM$127,$D653)*$E653*INDEX(AM$128:AM$144,$F653)</f>
        <v/>
      </c>
      <c r="AN653" s="36">
        <f>INDEX(AN$124:AN$127,$D653)*$E653*INDEX(AN$128:AN$144,$F653)</f>
        <v/>
      </c>
    </row>
    <row r="654" hidden="1" outlineLevel="2">
      <c r="A654" s="5" t="inlineStr">
        <is>
          <t>shp</t>
        </is>
      </c>
      <c r="B654" s="5" t="inlineStr">
        <is>
          <t>bio</t>
        </is>
      </c>
      <c r="C654" s="5" t="inlineStr">
        <is>
          <t>srv</t>
        </is>
      </c>
      <c r="D654" s="36">
        <f>INDEX(Inputs!$M$5:$M$132,MATCH($B654&amp;"|"&amp;$C654,Inputs!$A$5:$A$132,0))</f>
        <v/>
      </c>
      <c r="E654" s="36">
        <f>INDEX(Inputs!$U$5:$U$132,MATCH($B654&amp;"|"&amp;$C654,Inputs!$A$5:$A$132,0))</f>
        <v/>
      </c>
      <c r="F654" s="36">
        <f>INDEX(Inputs!$K$5:$K$132,MATCH($B654&amp;"|"&amp;$C654,Inputs!$A$5:$A$132,0))</f>
        <v/>
      </c>
      <c r="G654" s="37" t="n"/>
      <c r="H654" s="5">
        <f>INDEX(Variables!$B$5:$B$65,MATCH($A654,Variables!$A$5:$A$65,0))&amp;IF($C654="",""," | "&amp;INDEX(Mapping!$B$5:$B$25,MATCH($C654,Mapping!$A$5:$A$25,0))&amp;" | "&amp;INDEX(Mapping!$B$29:$B$38,MATCH($B654,Mapping!$A$29:$A$38,0)))</f>
        <v/>
      </c>
      <c r="I654" s="5">
        <f>INDEX(Variables!$C$5:$C$65,MATCH($A654,Variables!$A$5:$A$65,0))</f>
        <v/>
      </c>
      <c r="J654" s="5">
        <f>INDEX(Variables!$E$5:$E$65,MATCH($A654,Variables!$A$5:$A$65,0))</f>
        <v/>
      </c>
      <c r="K654" s="23">
        <f>LOWER(Settings!$C$4)&amp;".mit."&amp;$A654&amp;IF($C654="","","."&amp;$C654&amp;"."&amp;$B654)&amp;IF(INDEX(Variables!$D$5:$D$65,MATCH($A654,Variables!$A$5:$A$65,0))="","","."&amp;INDEX(Variables!$D$5:$D$65,MATCH($A654,Variables!$A$5:$A$65,0)))&amp;"."&amp;K$5</f>
        <v/>
      </c>
      <c r="L654" s="38">
        <f>INDEX(L$124:L$127,$D654)*$E654*INDEX(L$128:L$144,$F654)</f>
        <v/>
      </c>
      <c r="M654" s="36">
        <f>INDEX(M$124:M$127,$D654)*$E654*INDEX(M$128:M$144,$F654)</f>
        <v/>
      </c>
      <c r="N654" s="36">
        <f>INDEX(N$124:N$127,$D654)*$E654*INDEX(N$128:N$144,$F654)</f>
        <v/>
      </c>
      <c r="O654" s="36">
        <f>INDEX(O$124:O$127,$D654)*$E654*INDEX(O$128:O$144,$F654)</f>
        <v/>
      </c>
      <c r="P654" s="36">
        <f>INDEX(P$124:P$127,$D654)*$E654*INDEX(P$128:P$144,$F654)</f>
        <v/>
      </c>
      <c r="Q654" s="36">
        <f>INDEX(Q$124:Q$127,$D654)*$E654*INDEX(Q$128:Q$144,$F654)</f>
        <v/>
      </c>
      <c r="R654" s="36">
        <f>INDEX(R$124:R$127,$D654)*$E654*INDEX(R$128:R$144,$F654)</f>
        <v/>
      </c>
      <c r="S654" s="36">
        <f>INDEX(S$124:S$127,$D654)*$E654*INDEX(S$128:S$144,$F654)</f>
        <v/>
      </c>
      <c r="T654" s="36">
        <f>INDEX(T$124:T$127,$D654)*$E654*INDEX(T$128:T$144,$F654)</f>
        <v/>
      </c>
      <c r="U654" s="36">
        <f>INDEX(U$124:U$127,$D654)*$E654*INDEX(U$128:U$144,$F654)</f>
        <v/>
      </c>
      <c r="V654" s="36">
        <f>INDEX(V$124:V$127,$D654)*$E654*INDEX(V$128:V$144,$F654)</f>
        <v/>
      </c>
      <c r="W654" s="36">
        <f>INDEX(W$124:W$127,$D654)*$E654*INDEX(W$128:W$144,$F654)</f>
        <v/>
      </c>
      <c r="X654" s="36">
        <f>INDEX(X$124:X$127,$D654)*$E654*INDEX(X$128:X$144,$F654)</f>
        <v/>
      </c>
      <c r="Y654" s="36">
        <f>INDEX(Y$124:Y$127,$D654)*$E654*INDEX(Y$128:Y$144,$F654)</f>
        <v/>
      </c>
      <c r="Z654" s="23">
        <f>LOWER(Settings!$C$4)&amp;".mit."&amp;$A654&amp;IF($C654="","","."&amp;$C654&amp;"."&amp;$B654)&amp;IF(INDEX(Variables!$D$5:$D$65,MATCH($A654,Variables!$A$5:$A$65,0))="","","."&amp;INDEX(Variables!$D$5:$D$65,MATCH($A654,Variables!$A$5:$A$65,0)))&amp;"."&amp;Z$5</f>
        <v/>
      </c>
      <c r="AA654" s="38">
        <f>INDEX(AA$124:AA$127,$D654)*$E654*INDEX(AA$128:AA$144,$F654)</f>
        <v/>
      </c>
      <c r="AB654" s="36">
        <f>INDEX(AB$124:AB$127,$D654)*$E654*INDEX(AB$128:AB$144,$F654)</f>
        <v/>
      </c>
      <c r="AC654" s="36">
        <f>INDEX(AC$124:AC$127,$D654)*$E654*INDEX(AC$128:AC$144,$F654)</f>
        <v/>
      </c>
      <c r="AD654" s="36">
        <f>INDEX(AD$124:AD$127,$D654)*$E654*INDEX(AD$128:AD$144,$F654)</f>
        <v/>
      </c>
      <c r="AE654" s="36">
        <f>INDEX(AE$124:AE$127,$D654)*$E654*INDEX(AE$128:AE$144,$F654)</f>
        <v/>
      </c>
      <c r="AF654" s="36">
        <f>INDEX(AF$124:AF$127,$D654)*$E654*INDEX(AF$128:AF$144,$F654)</f>
        <v/>
      </c>
      <c r="AG654" s="36">
        <f>INDEX(AG$124:AG$127,$D654)*$E654*INDEX(AG$128:AG$144,$F654)</f>
        <v/>
      </c>
      <c r="AH654" s="36">
        <f>INDEX(AH$124:AH$127,$D654)*$E654*INDEX(AH$128:AH$144,$F654)</f>
        <v/>
      </c>
      <c r="AI654" s="36">
        <f>INDEX(AI$124:AI$127,$D654)*$E654*INDEX(AI$128:AI$144,$F654)</f>
        <v/>
      </c>
      <c r="AJ654" s="36">
        <f>INDEX(AJ$124:AJ$127,$D654)*$E654*INDEX(AJ$128:AJ$144,$F654)</f>
        <v/>
      </c>
      <c r="AK654" s="36">
        <f>INDEX(AK$124:AK$127,$D654)*$E654*INDEX(AK$128:AK$144,$F654)</f>
        <v/>
      </c>
      <c r="AL654" s="36">
        <f>INDEX(AL$124:AL$127,$D654)*$E654*INDEX(AL$128:AL$144,$F654)</f>
        <v/>
      </c>
      <c r="AM654" s="36">
        <f>INDEX(AM$124:AM$127,$D654)*$E654*INDEX(AM$128:AM$144,$F654)</f>
        <v/>
      </c>
      <c r="AN654" s="36">
        <f>INDEX(AN$124:AN$127,$D654)*$E654*INDEX(AN$128:AN$144,$F654)</f>
        <v/>
      </c>
    </row>
    <row r="655" hidden="1" outlineLevel="2"/>
    <row r="656" hidden="1" outlineLevel="2">
      <c r="A656" s="5" t="inlineStr">
        <is>
          <t>ener</t>
        </is>
      </c>
      <c r="B656" s="5" t="inlineStr">
        <is>
          <t>coa</t>
        </is>
      </c>
      <c r="C656" s="5" t="inlineStr">
        <is>
          <t>srv</t>
        </is>
      </c>
      <c r="D656" s="36">
        <f>INDEX(Inputs!$N$5:$N$132,MATCH($B656&amp;"|"&amp;$C656,Inputs!$A$5:$A$132,0))</f>
        <v/>
      </c>
      <c r="E656" s="36">
        <f>INDEX(Inputs!$O$5:$O$132,MATCH($B656&amp;"|"&amp;$C656,Inputs!$A$5:$A$132,0))</f>
        <v/>
      </c>
      <c r="F656" s="36">
        <f>INDEX(Inputs!$P$5:$P$132,MATCH($B656&amp;"|"&amp;$C656,Inputs!$A$5:$A$132,0))</f>
        <v/>
      </c>
      <c r="G656" s="36">
        <f>INDEX(Inputs!$Q$5:$Q$132,MATCH($B656&amp;"|"&amp;$C656,Inputs!$A$5:$A$132,0))</f>
        <v/>
      </c>
      <c r="H656" s="5">
        <f>INDEX(Variables!$B$5:$B$65,MATCH($A656,Variables!$A$5:$A$65,0))&amp;IF($C656="",""," | "&amp;INDEX(Mapping!$B$5:$B$25,MATCH($C656,Mapping!$A$5:$A$25,0))&amp;" | "&amp;INDEX(Mapping!$B$29:$B$38,MATCH($B656,Mapping!$A$29:$A$38,0)))</f>
        <v/>
      </c>
      <c r="I656" s="5">
        <f>INDEX(Variables!$C$5:$C$65,MATCH($A656,Variables!$A$5:$A$65,0))</f>
        <v/>
      </c>
      <c r="J656" s="5">
        <f>INDEX(Variables!$E$5:$E$65,MATCH($A656,Variables!$A$5:$A$65,0))</f>
        <v/>
      </c>
      <c r="K656" s="23">
        <f>LOWER(Settings!$C$4)&amp;".mit."&amp;$A656&amp;IF($C656="","","."&amp;$C656&amp;"."&amp;$B656)&amp;IF(INDEX(Variables!$D$5:$D$65,MATCH($A656,Variables!$A$5:$A$65,0))="","","."&amp;INDEX(Variables!$D$5:$D$65,MATCH($A656,Variables!$A$5:$A$65,0)))&amp;"."&amp;K$5</f>
        <v/>
      </c>
      <c r="L656" s="40">
        <f>INDEX(Inputs!$V$5:$V$132,MATCH($B656&amp;"|"&amp;$C656,Inputs!$A$5:$A$132,0))</f>
        <v/>
      </c>
      <c r="M656" s="41">
        <f>L656*(1/(1+$G656))^(1+$E656)*(1+M$7)^$D656*(M638/L638)^$E656*((M638+M647)/(L638+L647))^($F656*(1+$E656))</f>
        <v/>
      </c>
      <c r="N656" s="41">
        <f>M656*(1/(1+$G656))^(1+$E656)*(1+N$7)^$D656*(N638/M638)^$E656*((N638+N647)/(M638+M647))^($F656*(1+$E656))</f>
        <v/>
      </c>
      <c r="O656" s="41">
        <f>N656*(1/(1+$G656))^(1+$E656)*(1+O$7)^$D656*(O638/N638)^$E656*((O638+O647)/(N638+N647))^($F656*(1+$E656))</f>
        <v/>
      </c>
      <c r="P656" s="41">
        <f>O656*(1/(1+$G656))^(1+$E656)*(1+P$7)^$D656*(P638/O638)^$E656*((P638+P647)/(O638+O647))^($F656*(1+$E656))</f>
        <v/>
      </c>
      <c r="Q656" s="41">
        <f>P656*(1/(1+$G656))^(1+$E656)*(1+Q$7)^$D656*(Q638/P638)^$E656*((Q638+Q647)/(P638+P647))^($F656*(1+$E656))</f>
        <v/>
      </c>
      <c r="R656" s="41">
        <f>Q656*(1/(1+$G656))^(1+$E656)*(1+R$7)^$D656*(R638/Q638)^$E656*((R638+R647)/(Q638+Q647))^($F656*(1+$E656))</f>
        <v/>
      </c>
      <c r="S656" s="41">
        <f>R656*(1/(1+$G656))^(1+$E656)*(1+S$7)^$D656*(S638/R638)^$E656*((S638+S647)/(R638+R647))^($F656*(1+$E656))</f>
        <v/>
      </c>
      <c r="T656" s="41">
        <f>S656*(1/(1+$G656))^(1+$E656)*(1+T$7)^$D656*(T638/S638)^$E656*((T638+T647)/(S638+S647))^($F656*(1+$E656))</f>
        <v/>
      </c>
      <c r="U656" s="41">
        <f>T656*(1/(1+$G656))^(1+$E656)*(1+U$7)^$D656*(U638/T638)^$E656*((U638+U647)/(T638+T647))^($F656*(1+$E656))</f>
        <v/>
      </c>
      <c r="V656" s="41">
        <f>U656*(1/(1+$G656))^(1+$E656)*(1+V$7)^$D656*(V638/U638)^$E656*((V638+V647)/(U638+U647))^($F656*(1+$E656))</f>
        <v/>
      </c>
      <c r="W656" s="41">
        <f>V656*(1/(1+$G656))^(1+$E656)*(1+W$7)^$D656*(W638/V638)^$E656*((W638+W647)/(V638+V647))^($F656*(1+$E656))</f>
        <v/>
      </c>
      <c r="X656" s="41">
        <f>W656*(1/(1+$G656))^(1+$E656)*(1+X$7)^$D656*(X638/W638)^$E656*((X638+X647)/(W638+W647))^($F656*(1+$E656))</f>
        <v/>
      </c>
      <c r="Y656" s="42">
        <f>FUELUSE(X656,Y638,X638,Y647,X647,Y$7,$D656,$E656,$F656,$G656)</f>
        <v/>
      </c>
      <c r="Z656" s="23">
        <f>LOWER(Settings!$C$4)&amp;".mit."&amp;$A656&amp;IF($C656="","","."&amp;$C656&amp;"."&amp;$B656)&amp;IF(INDEX(Variables!$D$5:$D$65,MATCH($A656,Variables!$A$5:$A$65,0))="","","."&amp;INDEX(Variables!$D$5:$D$65,MATCH($A656,Variables!$A$5:$A$65,0)))&amp;"."&amp;Z$5</f>
        <v/>
      </c>
      <c r="AA656" s="40">
        <f>INDEX(Inputs!$V$5:$V$132,MATCH($B656&amp;"|"&amp;$C656,Inputs!$A$5:$A$132,0))</f>
        <v/>
      </c>
      <c r="AB656" s="41">
        <f>AA656*(1/(1+$G656))^(1+$E656)*(1+AB$7)^$D656*(AB638/AA638)^$E656*((AB638+AB647)/(AA638+AA647))^($F656*(1+$E656))</f>
        <v/>
      </c>
      <c r="AC656" s="41">
        <f>AB656*(1/(1+$G656))^(1+$E656)*(1+AC$7)^$D656*(AC638/AB638)^$E656*((AC638+AC647)/(AB638+AB647))^($F656*(1+$E656))</f>
        <v/>
      </c>
      <c r="AD656" s="41">
        <f>AC656*(1/(1+$G656))^(1+$E656)*(1+AD$7)^$D656*(AD638/AC638)^$E656*((AD638+AD647)/(AC638+AC647))^($F656*(1+$E656))</f>
        <v/>
      </c>
      <c r="AE656" s="41">
        <f>AD656*(1/(1+$G656))^(1+$E656)*(1+AE$7)^$D656*(AE638/AD638)^$E656*((AE638+AE647)/(AD638+AD647))^($F656*(1+$E656))</f>
        <v/>
      </c>
      <c r="AF656" s="41">
        <f>AE656*(1/(1+$G656))^(1+$E656)*(1+AF$7)^$D656*(AF638/AE638)^$E656*((AF638+AF647)/(AE638+AE647))^($F656*(1+$E656))</f>
        <v/>
      </c>
      <c r="AG656" s="41">
        <f>AF656*(1/(1+$G656))^(1+$E656)*(1+AG$7)^$D656*(AG638/AF638)^$E656*((AG638+AG647)/(AF638+AF647))^($F656*(1+$E656))</f>
        <v/>
      </c>
      <c r="AH656" s="41">
        <f>AG656*(1/(1+$G656))^(1+$E656)*(1+AH$7)^$D656*(AH638/AG638)^$E656*((AH638+AH647)/(AG638+AG647))^($F656*(1+$E656))</f>
        <v/>
      </c>
      <c r="AI656" s="41">
        <f>AH656*(1/(1+$G656))^(1+$E656)*(1+AI$7)^$D656*(AI638/AH638)^$E656*((AI638+AI647)/(AH638+AH647))^($F656*(1+$E656))</f>
        <v/>
      </c>
      <c r="AJ656" s="41">
        <f>AI656*(1/(1+$G656))^(1+$E656)*(1+AJ$7)^$D656*(AJ638/AI638)^$E656*((AJ638+AJ647)/(AI638+AI647))^($F656*(1+$E656))</f>
        <v/>
      </c>
      <c r="AK656" s="41">
        <f>AJ656*(1/(1+$G656))^(1+$E656)*(1+AK$7)^$D656*(AK638/AJ638)^$E656*((AK638+AK647)/(AJ638+AJ647))^($F656*(1+$E656))</f>
        <v/>
      </c>
      <c r="AL656" s="41">
        <f>AK656*(1/(1+$G656))^(1+$E656)*(1+AL$7)^$D656*(AL638/AK638)^$E656*((AL638+AL647)/(AK638+AK647))^($F656*(1+$E656))</f>
        <v/>
      </c>
      <c r="AM656" s="41">
        <f>AL656*(1/(1+$G656))^(1+$E656)*(1+AM$7)^$D656*(AM638/AL638)^$E656*((AM638+AM647)/(AL638+AL647))^($F656*(1+$E656))</f>
        <v/>
      </c>
      <c r="AN656" s="42">
        <f>FUELUSE(AM656,AN638,AM638,AN647,AM647,AN$7,$D656,$E656,$F656,$G656)</f>
        <v/>
      </c>
    </row>
    <row r="657" hidden="1" outlineLevel="2">
      <c r="A657" s="5" t="inlineStr">
        <is>
          <t>ener</t>
        </is>
      </c>
      <c r="B657" s="5" t="inlineStr">
        <is>
          <t>nga</t>
        </is>
      </c>
      <c r="C657" s="5" t="inlineStr">
        <is>
          <t>srv</t>
        </is>
      </c>
      <c r="D657" s="36">
        <f>INDEX(Inputs!$N$5:$N$132,MATCH($B657&amp;"|"&amp;$C657,Inputs!$A$5:$A$132,0))</f>
        <v/>
      </c>
      <c r="E657" s="36">
        <f>INDEX(Inputs!$O$5:$O$132,MATCH($B657&amp;"|"&amp;$C657,Inputs!$A$5:$A$132,0))</f>
        <v/>
      </c>
      <c r="F657" s="36">
        <f>INDEX(Inputs!$P$5:$P$132,MATCH($B657&amp;"|"&amp;$C657,Inputs!$A$5:$A$132,0))</f>
        <v/>
      </c>
      <c r="G657" s="36">
        <f>INDEX(Inputs!$Q$5:$Q$132,MATCH($B657&amp;"|"&amp;$C657,Inputs!$A$5:$A$132,0))</f>
        <v/>
      </c>
      <c r="H657" s="5">
        <f>INDEX(Variables!$B$5:$B$65,MATCH($A657,Variables!$A$5:$A$65,0))&amp;IF($C657="",""," | "&amp;INDEX(Mapping!$B$5:$B$25,MATCH($C657,Mapping!$A$5:$A$25,0))&amp;" | "&amp;INDEX(Mapping!$B$29:$B$38,MATCH($B657,Mapping!$A$29:$A$38,0)))</f>
        <v/>
      </c>
      <c r="I657" s="5">
        <f>INDEX(Variables!$C$5:$C$65,MATCH($A657,Variables!$A$5:$A$65,0))</f>
        <v/>
      </c>
      <c r="J657" s="5">
        <f>INDEX(Variables!$E$5:$E$65,MATCH($A657,Variables!$A$5:$A$65,0))</f>
        <v/>
      </c>
      <c r="K657" s="23">
        <f>LOWER(Settings!$C$4)&amp;".mit."&amp;$A657&amp;IF($C657="","","."&amp;$C657&amp;"."&amp;$B657)&amp;IF(INDEX(Variables!$D$5:$D$65,MATCH($A657,Variables!$A$5:$A$65,0))="","","."&amp;INDEX(Variables!$D$5:$D$65,MATCH($A657,Variables!$A$5:$A$65,0)))&amp;"."&amp;K$5</f>
        <v/>
      </c>
      <c r="L657" s="40">
        <f>INDEX(Inputs!$V$5:$V$132,MATCH($B657&amp;"|"&amp;$C657,Inputs!$A$5:$A$132,0))</f>
        <v/>
      </c>
      <c r="M657" s="41">
        <f>L657*(1/(1+$G657))^(1+$E657)*(1+M$7)^$D657*(M639/L639)^$E657*((M639+M648)/(L639+L648))^($F657*(1+$E657))</f>
        <v/>
      </c>
      <c r="N657" s="41">
        <f>M657*(1/(1+$G657))^(1+$E657)*(1+N$7)^$D657*(N639/M639)^$E657*((N639+N648)/(M639+M648))^($F657*(1+$E657))</f>
        <v/>
      </c>
      <c r="O657" s="41">
        <f>N657*(1/(1+$G657))^(1+$E657)*(1+O$7)^$D657*(O639/N639)^$E657*((O639+O648)/(N639+N648))^($F657*(1+$E657))</f>
        <v/>
      </c>
      <c r="P657" s="41">
        <f>O657*(1/(1+$G657))^(1+$E657)*(1+P$7)^$D657*(P639/O639)^$E657*((P639+P648)/(O639+O648))^($F657*(1+$E657))</f>
        <v/>
      </c>
      <c r="Q657" s="41">
        <f>P657*(1/(1+$G657))^(1+$E657)*(1+Q$7)^$D657*(Q639/P639)^$E657*((Q639+Q648)/(P639+P648))^($F657*(1+$E657))</f>
        <v/>
      </c>
      <c r="R657" s="41">
        <f>Q657*(1/(1+$G657))^(1+$E657)*(1+R$7)^$D657*(R639/Q639)^$E657*((R639+R648)/(Q639+Q648))^($F657*(1+$E657))</f>
        <v/>
      </c>
      <c r="S657" s="41">
        <f>R657*(1/(1+$G657))^(1+$E657)*(1+S$7)^$D657*(S639/R639)^$E657*((S639+S648)/(R639+R648))^($F657*(1+$E657))</f>
        <v/>
      </c>
      <c r="T657" s="41">
        <f>S657*(1/(1+$G657))^(1+$E657)*(1+T$7)^$D657*(T639/S639)^$E657*((T639+T648)/(S639+S648))^($F657*(1+$E657))</f>
        <v/>
      </c>
      <c r="U657" s="41">
        <f>T657*(1/(1+$G657))^(1+$E657)*(1+U$7)^$D657*(U639/T639)^$E657*((U639+U648)/(T639+T648))^($F657*(1+$E657))</f>
        <v/>
      </c>
      <c r="V657" s="41">
        <f>U657*(1/(1+$G657))^(1+$E657)*(1+V$7)^$D657*(V639/U639)^$E657*((V639+V648)/(U639+U648))^($F657*(1+$E657))</f>
        <v/>
      </c>
      <c r="W657" s="41">
        <f>V657*(1/(1+$G657))^(1+$E657)*(1+W$7)^$D657*(W639/V639)^$E657*((W639+W648)/(V639+V648))^($F657*(1+$E657))</f>
        <v/>
      </c>
      <c r="X657" s="41">
        <f>W657*(1/(1+$G657))^(1+$E657)*(1+X$7)^$D657*(X639/W639)^$E657*((X639+X648)/(W639+W648))^($F657*(1+$E657))</f>
        <v/>
      </c>
      <c r="Y657" s="42">
        <f>FUELUSE(X657,Y639,X639,Y648,X648,Y$7,$D657,$E657,$F657,$G657)</f>
        <v/>
      </c>
      <c r="Z657" s="23">
        <f>LOWER(Settings!$C$4)&amp;".mit."&amp;$A657&amp;IF($C657="","","."&amp;$C657&amp;"."&amp;$B657)&amp;IF(INDEX(Variables!$D$5:$D$65,MATCH($A657,Variables!$A$5:$A$65,0))="","","."&amp;INDEX(Variables!$D$5:$D$65,MATCH($A657,Variables!$A$5:$A$65,0)))&amp;"."&amp;Z$5</f>
        <v/>
      </c>
      <c r="AA657" s="40">
        <f>INDEX(Inputs!$V$5:$V$132,MATCH($B657&amp;"|"&amp;$C657,Inputs!$A$5:$A$132,0))</f>
        <v/>
      </c>
      <c r="AB657" s="41">
        <f>AA657*(1/(1+$G657))^(1+$E657)*(1+AB$7)^$D657*(AB639/AA639)^$E657*((AB639+AB648)/(AA639+AA648))^($F657*(1+$E657))</f>
        <v/>
      </c>
      <c r="AC657" s="41">
        <f>AB657*(1/(1+$G657))^(1+$E657)*(1+AC$7)^$D657*(AC639/AB639)^$E657*((AC639+AC648)/(AB639+AB648))^($F657*(1+$E657))</f>
        <v/>
      </c>
      <c r="AD657" s="41">
        <f>AC657*(1/(1+$G657))^(1+$E657)*(1+AD$7)^$D657*(AD639/AC639)^$E657*((AD639+AD648)/(AC639+AC648))^($F657*(1+$E657))</f>
        <v/>
      </c>
      <c r="AE657" s="41">
        <f>AD657*(1/(1+$G657))^(1+$E657)*(1+AE$7)^$D657*(AE639/AD639)^$E657*((AE639+AE648)/(AD639+AD648))^($F657*(1+$E657))</f>
        <v/>
      </c>
      <c r="AF657" s="41">
        <f>AE657*(1/(1+$G657))^(1+$E657)*(1+AF$7)^$D657*(AF639/AE639)^$E657*((AF639+AF648)/(AE639+AE648))^($F657*(1+$E657))</f>
        <v/>
      </c>
      <c r="AG657" s="41">
        <f>AF657*(1/(1+$G657))^(1+$E657)*(1+AG$7)^$D657*(AG639/AF639)^$E657*((AG639+AG648)/(AF639+AF648))^($F657*(1+$E657))</f>
        <v/>
      </c>
      <c r="AH657" s="41">
        <f>AG657*(1/(1+$G657))^(1+$E657)*(1+AH$7)^$D657*(AH639/AG639)^$E657*((AH639+AH648)/(AG639+AG648))^($F657*(1+$E657))</f>
        <v/>
      </c>
      <c r="AI657" s="41">
        <f>AH657*(1/(1+$G657))^(1+$E657)*(1+AI$7)^$D657*(AI639/AH639)^$E657*((AI639+AI648)/(AH639+AH648))^($F657*(1+$E657))</f>
        <v/>
      </c>
      <c r="AJ657" s="41">
        <f>AI657*(1/(1+$G657))^(1+$E657)*(1+AJ$7)^$D657*(AJ639/AI639)^$E657*((AJ639+AJ648)/(AI639+AI648))^($F657*(1+$E657))</f>
        <v/>
      </c>
      <c r="AK657" s="41">
        <f>AJ657*(1/(1+$G657))^(1+$E657)*(1+AK$7)^$D657*(AK639/AJ639)^$E657*((AK639+AK648)/(AJ639+AJ648))^($F657*(1+$E657))</f>
        <v/>
      </c>
      <c r="AL657" s="41">
        <f>AK657*(1/(1+$G657))^(1+$E657)*(1+AL$7)^$D657*(AL639/AK639)^$E657*((AL639+AL648)/(AK639+AK648))^($F657*(1+$E657))</f>
        <v/>
      </c>
      <c r="AM657" s="41">
        <f>AL657*(1/(1+$G657))^(1+$E657)*(1+AM$7)^$D657*(AM639/AL639)^$E657*((AM639+AM648)/(AL639+AL648))^($F657*(1+$E657))</f>
        <v/>
      </c>
      <c r="AN657" s="42">
        <f>FUELUSE(AM657,AN639,AM639,AN648,AM648,AN$7,$D657,$E657,$F657,$G657)</f>
        <v/>
      </c>
    </row>
    <row r="658" hidden="1" outlineLevel="2">
      <c r="A658" s="5" t="inlineStr">
        <is>
          <t>ener</t>
        </is>
      </c>
      <c r="B658" s="5" t="inlineStr">
        <is>
          <t>gso</t>
        </is>
      </c>
      <c r="C658" s="5" t="inlineStr">
        <is>
          <t>srv</t>
        </is>
      </c>
      <c r="D658" s="36">
        <f>INDEX(Inputs!$N$5:$N$132,MATCH($B658&amp;"|"&amp;$C658,Inputs!$A$5:$A$132,0))</f>
        <v/>
      </c>
      <c r="E658" s="36">
        <f>INDEX(Inputs!$O$5:$O$132,MATCH($B658&amp;"|"&amp;$C658,Inputs!$A$5:$A$132,0))</f>
        <v/>
      </c>
      <c r="F658" s="36">
        <f>INDEX(Inputs!$P$5:$P$132,MATCH($B658&amp;"|"&amp;$C658,Inputs!$A$5:$A$132,0))</f>
        <v/>
      </c>
      <c r="G658" s="36">
        <f>INDEX(Inputs!$Q$5:$Q$132,MATCH($B658&amp;"|"&amp;$C658,Inputs!$A$5:$A$132,0))</f>
        <v/>
      </c>
      <c r="H658" s="5">
        <f>INDEX(Variables!$B$5:$B$65,MATCH($A658,Variables!$A$5:$A$65,0))&amp;IF($C658="",""," | "&amp;INDEX(Mapping!$B$5:$B$25,MATCH($C658,Mapping!$A$5:$A$25,0))&amp;" | "&amp;INDEX(Mapping!$B$29:$B$38,MATCH($B658,Mapping!$A$29:$A$38,0)))</f>
        <v/>
      </c>
      <c r="I658" s="5">
        <f>INDEX(Variables!$C$5:$C$65,MATCH($A658,Variables!$A$5:$A$65,0))</f>
        <v/>
      </c>
      <c r="J658" s="5">
        <f>INDEX(Variables!$E$5:$E$65,MATCH($A658,Variables!$A$5:$A$65,0))</f>
        <v/>
      </c>
      <c r="K658" s="23">
        <f>LOWER(Settings!$C$4)&amp;".mit."&amp;$A658&amp;IF($C658="","","."&amp;$C658&amp;"."&amp;$B658)&amp;IF(INDEX(Variables!$D$5:$D$65,MATCH($A658,Variables!$A$5:$A$65,0))="","","."&amp;INDEX(Variables!$D$5:$D$65,MATCH($A658,Variables!$A$5:$A$65,0)))&amp;"."&amp;K$5</f>
        <v/>
      </c>
      <c r="L658" s="40">
        <f>INDEX(Inputs!$V$5:$V$132,MATCH($B658&amp;"|"&amp;$C658,Inputs!$A$5:$A$132,0))</f>
        <v/>
      </c>
      <c r="M658" s="41">
        <f>L658*(1/(1+$G658))^(1+$E658)*(1+M$7)^$D658*(M640/L640)^$E658*((M640+M649)/(L640+L649))^($F658*(1+$E658))</f>
        <v/>
      </c>
      <c r="N658" s="41">
        <f>M658*(1/(1+$G658))^(1+$E658)*(1+N$7)^$D658*(N640/M640)^$E658*((N640+N649)/(M640+M649))^($F658*(1+$E658))</f>
        <v/>
      </c>
      <c r="O658" s="41">
        <f>N658*(1/(1+$G658))^(1+$E658)*(1+O$7)^$D658*(O640/N640)^$E658*((O640+O649)/(N640+N649))^($F658*(1+$E658))</f>
        <v/>
      </c>
      <c r="P658" s="41">
        <f>O658*(1/(1+$G658))^(1+$E658)*(1+P$7)^$D658*(P640/O640)^$E658*((P640+P649)/(O640+O649))^($F658*(1+$E658))</f>
        <v/>
      </c>
      <c r="Q658" s="41">
        <f>P658*(1/(1+$G658))^(1+$E658)*(1+Q$7)^$D658*(Q640/P640)^$E658*((Q640+Q649)/(P640+P649))^($F658*(1+$E658))</f>
        <v/>
      </c>
      <c r="R658" s="41">
        <f>Q658*(1/(1+$G658))^(1+$E658)*(1+R$7)^$D658*(R640/Q640)^$E658*((R640+R649)/(Q640+Q649))^($F658*(1+$E658))</f>
        <v/>
      </c>
      <c r="S658" s="41">
        <f>R658*(1/(1+$G658))^(1+$E658)*(1+S$7)^$D658*(S640/R640)^$E658*((S640+S649)/(R640+R649))^($F658*(1+$E658))</f>
        <v/>
      </c>
      <c r="T658" s="41">
        <f>S658*(1/(1+$G658))^(1+$E658)*(1+T$7)^$D658*(T640/S640)^$E658*((T640+T649)/(S640+S649))^($F658*(1+$E658))</f>
        <v/>
      </c>
      <c r="U658" s="41">
        <f>T658*(1/(1+$G658))^(1+$E658)*(1+U$7)^$D658*(U640/T640)^$E658*((U640+U649)/(T640+T649))^($F658*(1+$E658))</f>
        <v/>
      </c>
      <c r="V658" s="41">
        <f>U658*(1/(1+$G658))^(1+$E658)*(1+V$7)^$D658*(V640/U640)^$E658*((V640+V649)/(U640+U649))^($F658*(1+$E658))</f>
        <v/>
      </c>
      <c r="W658" s="41">
        <f>V658*(1/(1+$G658))^(1+$E658)*(1+W$7)^$D658*(W640/V640)^$E658*((W640+W649)/(V640+V649))^($F658*(1+$E658))</f>
        <v/>
      </c>
      <c r="X658" s="41">
        <f>W658*(1/(1+$G658))^(1+$E658)*(1+X$7)^$D658*(X640/W640)^$E658*((X640+X649)/(W640+W649))^($F658*(1+$E658))</f>
        <v/>
      </c>
      <c r="Y658" s="42">
        <f>FUELUSE(X658,Y640,X640,Y649,X649,Y$7,$D658,$E658,$F658,$G658)</f>
        <v/>
      </c>
      <c r="Z658" s="23">
        <f>LOWER(Settings!$C$4)&amp;".mit."&amp;$A658&amp;IF($C658="","","."&amp;$C658&amp;"."&amp;$B658)&amp;IF(INDEX(Variables!$D$5:$D$65,MATCH($A658,Variables!$A$5:$A$65,0))="","","."&amp;INDEX(Variables!$D$5:$D$65,MATCH($A658,Variables!$A$5:$A$65,0)))&amp;"."&amp;Z$5</f>
        <v/>
      </c>
      <c r="AA658" s="40">
        <f>INDEX(Inputs!$V$5:$V$132,MATCH($B658&amp;"|"&amp;$C658,Inputs!$A$5:$A$132,0))</f>
        <v/>
      </c>
      <c r="AB658" s="41">
        <f>AA658*(1/(1+$G658))^(1+$E658)*(1+AB$7)^$D658*(AB640/AA640)^$E658*((AB640+AB649)/(AA640+AA649))^($F658*(1+$E658))</f>
        <v/>
      </c>
      <c r="AC658" s="41">
        <f>AB658*(1/(1+$G658))^(1+$E658)*(1+AC$7)^$D658*(AC640/AB640)^$E658*((AC640+AC649)/(AB640+AB649))^($F658*(1+$E658))</f>
        <v/>
      </c>
      <c r="AD658" s="41">
        <f>AC658*(1/(1+$G658))^(1+$E658)*(1+AD$7)^$D658*(AD640/AC640)^$E658*((AD640+AD649)/(AC640+AC649))^($F658*(1+$E658))</f>
        <v/>
      </c>
      <c r="AE658" s="41">
        <f>AD658*(1/(1+$G658))^(1+$E658)*(1+AE$7)^$D658*(AE640/AD640)^$E658*((AE640+AE649)/(AD640+AD649))^($F658*(1+$E658))</f>
        <v/>
      </c>
      <c r="AF658" s="41">
        <f>AE658*(1/(1+$G658))^(1+$E658)*(1+AF$7)^$D658*(AF640/AE640)^$E658*((AF640+AF649)/(AE640+AE649))^($F658*(1+$E658))</f>
        <v/>
      </c>
      <c r="AG658" s="41">
        <f>AF658*(1/(1+$G658))^(1+$E658)*(1+AG$7)^$D658*(AG640/AF640)^$E658*((AG640+AG649)/(AF640+AF649))^($F658*(1+$E658))</f>
        <v/>
      </c>
      <c r="AH658" s="41">
        <f>AG658*(1/(1+$G658))^(1+$E658)*(1+AH$7)^$D658*(AH640/AG640)^$E658*((AH640+AH649)/(AG640+AG649))^($F658*(1+$E658))</f>
        <v/>
      </c>
      <c r="AI658" s="41">
        <f>AH658*(1/(1+$G658))^(1+$E658)*(1+AI$7)^$D658*(AI640/AH640)^$E658*((AI640+AI649)/(AH640+AH649))^($F658*(1+$E658))</f>
        <v/>
      </c>
      <c r="AJ658" s="41">
        <f>AI658*(1/(1+$G658))^(1+$E658)*(1+AJ$7)^$D658*(AJ640/AI640)^$E658*((AJ640+AJ649)/(AI640+AI649))^($F658*(1+$E658))</f>
        <v/>
      </c>
      <c r="AK658" s="41">
        <f>AJ658*(1/(1+$G658))^(1+$E658)*(1+AK$7)^$D658*(AK640/AJ640)^$E658*((AK640+AK649)/(AJ640+AJ649))^($F658*(1+$E658))</f>
        <v/>
      </c>
      <c r="AL658" s="41">
        <f>AK658*(1/(1+$G658))^(1+$E658)*(1+AL$7)^$D658*(AL640/AK640)^$E658*((AL640+AL649)/(AK640+AK649))^($F658*(1+$E658))</f>
        <v/>
      </c>
      <c r="AM658" s="41">
        <f>AL658*(1/(1+$G658))^(1+$E658)*(1+AM$7)^$D658*(AM640/AL640)^$E658*((AM640+AM649)/(AL640+AL649))^($F658*(1+$E658))</f>
        <v/>
      </c>
      <c r="AN658" s="42">
        <f>FUELUSE(AM658,AN640,AM640,AN649,AM649,AN$7,$D658,$E658,$F658,$G658)</f>
        <v/>
      </c>
    </row>
    <row r="659" hidden="1" outlineLevel="2">
      <c r="A659" s="5" t="inlineStr">
        <is>
          <t>ener</t>
        </is>
      </c>
      <c r="B659" s="5" t="inlineStr">
        <is>
          <t>die</t>
        </is>
      </c>
      <c r="C659" s="5" t="inlineStr">
        <is>
          <t>srv</t>
        </is>
      </c>
      <c r="D659" s="36">
        <f>INDEX(Inputs!$N$5:$N$132,MATCH($B659&amp;"|"&amp;$C659,Inputs!$A$5:$A$132,0))</f>
        <v/>
      </c>
      <c r="E659" s="36">
        <f>INDEX(Inputs!$O$5:$O$132,MATCH($B659&amp;"|"&amp;$C659,Inputs!$A$5:$A$132,0))</f>
        <v/>
      </c>
      <c r="F659" s="36">
        <f>INDEX(Inputs!$P$5:$P$132,MATCH($B659&amp;"|"&amp;$C659,Inputs!$A$5:$A$132,0))</f>
        <v/>
      </c>
      <c r="G659" s="36">
        <f>INDEX(Inputs!$Q$5:$Q$132,MATCH($B659&amp;"|"&amp;$C659,Inputs!$A$5:$A$132,0))</f>
        <v/>
      </c>
      <c r="H659" s="5">
        <f>INDEX(Variables!$B$5:$B$65,MATCH($A659,Variables!$A$5:$A$65,0))&amp;IF($C659="",""," | "&amp;INDEX(Mapping!$B$5:$B$25,MATCH($C659,Mapping!$A$5:$A$25,0))&amp;" | "&amp;INDEX(Mapping!$B$29:$B$38,MATCH($B659,Mapping!$A$29:$A$38,0)))</f>
        <v/>
      </c>
      <c r="I659" s="5">
        <f>INDEX(Variables!$C$5:$C$65,MATCH($A659,Variables!$A$5:$A$65,0))</f>
        <v/>
      </c>
      <c r="J659" s="5">
        <f>INDEX(Variables!$E$5:$E$65,MATCH($A659,Variables!$A$5:$A$65,0))</f>
        <v/>
      </c>
      <c r="K659" s="23">
        <f>LOWER(Settings!$C$4)&amp;".mit."&amp;$A659&amp;IF($C659="","","."&amp;$C659&amp;"."&amp;$B659)&amp;IF(INDEX(Variables!$D$5:$D$65,MATCH($A659,Variables!$A$5:$A$65,0))="","","."&amp;INDEX(Variables!$D$5:$D$65,MATCH($A659,Variables!$A$5:$A$65,0)))&amp;"."&amp;K$5</f>
        <v/>
      </c>
      <c r="L659" s="40">
        <f>INDEX(Inputs!$V$5:$V$132,MATCH($B659&amp;"|"&amp;$C659,Inputs!$A$5:$A$132,0))</f>
        <v/>
      </c>
      <c r="M659" s="41">
        <f>L659*(1/(1+$G659))^(1+$E659)*(1+M$7)^$D659*(M641/L641)^$E659*((M641+M650)/(L641+L650))^($F659*(1+$E659))</f>
        <v/>
      </c>
      <c r="N659" s="41">
        <f>M659*(1/(1+$G659))^(1+$E659)*(1+N$7)^$D659*(N641/M641)^$E659*((N641+N650)/(M641+M650))^($F659*(1+$E659))</f>
        <v/>
      </c>
      <c r="O659" s="41">
        <f>N659*(1/(1+$G659))^(1+$E659)*(1+O$7)^$D659*(O641/N641)^$E659*((O641+O650)/(N641+N650))^($F659*(1+$E659))</f>
        <v/>
      </c>
      <c r="P659" s="41">
        <f>O659*(1/(1+$G659))^(1+$E659)*(1+P$7)^$D659*(P641/O641)^$E659*((P641+P650)/(O641+O650))^($F659*(1+$E659))</f>
        <v/>
      </c>
      <c r="Q659" s="41">
        <f>P659*(1/(1+$G659))^(1+$E659)*(1+Q$7)^$D659*(Q641/P641)^$E659*((Q641+Q650)/(P641+P650))^($F659*(1+$E659))</f>
        <v/>
      </c>
      <c r="R659" s="41">
        <f>Q659*(1/(1+$G659))^(1+$E659)*(1+R$7)^$D659*(R641/Q641)^$E659*((R641+R650)/(Q641+Q650))^($F659*(1+$E659))</f>
        <v/>
      </c>
      <c r="S659" s="41">
        <f>R659*(1/(1+$G659))^(1+$E659)*(1+S$7)^$D659*(S641/R641)^$E659*((S641+S650)/(R641+R650))^($F659*(1+$E659))</f>
        <v/>
      </c>
      <c r="T659" s="41">
        <f>S659*(1/(1+$G659))^(1+$E659)*(1+T$7)^$D659*(T641/S641)^$E659*((T641+T650)/(S641+S650))^($F659*(1+$E659))</f>
        <v/>
      </c>
      <c r="U659" s="41">
        <f>T659*(1/(1+$G659))^(1+$E659)*(1+U$7)^$D659*(U641/T641)^$E659*((U641+U650)/(T641+T650))^($F659*(1+$E659))</f>
        <v/>
      </c>
      <c r="V659" s="41">
        <f>U659*(1/(1+$G659))^(1+$E659)*(1+V$7)^$D659*(V641/U641)^$E659*((V641+V650)/(U641+U650))^($F659*(1+$E659))</f>
        <v/>
      </c>
      <c r="W659" s="41">
        <f>V659*(1/(1+$G659))^(1+$E659)*(1+W$7)^$D659*(W641/V641)^$E659*((W641+W650)/(V641+V650))^($F659*(1+$E659))</f>
        <v/>
      </c>
      <c r="X659" s="41">
        <f>W659*(1/(1+$G659))^(1+$E659)*(1+X$7)^$D659*(X641/W641)^$E659*((X641+X650)/(W641+W650))^($F659*(1+$E659))</f>
        <v/>
      </c>
      <c r="Y659" s="42">
        <f>FUELUSE(X659,Y641,X641,Y650,X650,Y$7,$D659,$E659,$F659,$G659)</f>
        <v/>
      </c>
      <c r="Z659" s="23">
        <f>LOWER(Settings!$C$4)&amp;".mit."&amp;$A659&amp;IF($C659="","","."&amp;$C659&amp;"."&amp;$B659)&amp;IF(INDEX(Variables!$D$5:$D$65,MATCH($A659,Variables!$A$5:$A$65,0))="","","."&amp;INDEX(Variables!$D$5:$D$65,MATCH($A659,Variables!$A$5:$A$65,0)))&amp;"."&amp;Z$5</f>
        <v/>
      </c>
      <c r="AA659" s="40">
        <f>INDEX(Inputs!$V$5:$V$132,MATCH($B659&amp;"|"&amp;$C659,Inputs!$A$5:$A$132,0))</f>
        <v/>
      </c>
      <c r="AB659" s="41">
        <f>AA659*(1/(1+$G659))^(1+$E659)*(1+AB$7)^$D659*(AB641/AA641)^$E659*((AB641+AB650)/(AA641+AA650))^($F659*(1+$E659))</f>
        <v/>
      </c>
      <c r="AC659" s="41">
        <f>AB659*(1/(1+$G659))^(1+$E659)*(1+AC$7)^$D659*(AC641/AB641)^$E659*((AC641+AC650)/(AB641+AB650))^($F659*(1+$E659))</f>
        <v/>
      </c>
      <c r="AD659" s="41">
        <f>AC659*(1/(1+$G659))^(1+$E659)*(1+AD$7)^$D659*(AD641/AC641)^$E659*((AD641+AD650)/(AC641+AC650))^($F659*(1+$E659))</f>
        <v/>
      </c>
      <c r="AE659" s="41">
        <f>AD659*(1/(1+$G659))^(1+$E659)*(1+AE$7)^$D659*(AE641/AD641)^$E659*((AE641+AE650)/(AD641+AD650))^($F659*(1+$E659))</f>
        <v/>
      </c>
      <c r="AF659" s="41">
        <f>AE659*(1/(1+$G659))^(1+$E659)*(1+AF$7)^$D659*(AF641/AE641)^$E659*((AF641+AF650)/(AE641+AE650))^($F659*(1+$E659))</f>
        <v/>
      </c>
      <c r="AG659" s="41">
        <f>AF659*(1/(1+$G659))^(1+$E659)*(1+AG$7)^$D659*(AG641/AF641)^$E659*((AG641+AG650)/(AF641+AF650))^($F659*(1+$E659))</f>
        <v/>
      </c>
      <c r="AH659" s="41">
        <f>AG659*(1/(1+$G659))^(1+$E659)*(1+AH$7)^$D659*(AH641/AG641)^$E659*((AH641+AH650)/(AG641+AG650))^($F659*(1+$E659))</f>
        <v/>
      </c>
      <c r="AI659" s="41">
        <f>AH659*(1/(1+$G659))^(1+$E659)*(1+AI$7)^$D659*(AI641/AH641)^$E659*((AI641+AI650)/(AH641+AH650))^($F659*(1+$E659))</f>
        <v/>
      </c>
      <c r="AJ659" s="41">
        <f>AI659*(1/(1+$G659))^(1+$E659)*(1+AJ$7)^$D659*(AJ641/AI641)^$E659*((AJ641+AJ650)/(AI641+AI650))^($F659*(1+$E659))</f>
        <v/>
      </c>
      <c r="AK659" s="41">
        <f>AJ659*(1/(1+$G659))^(1+$E659)*(1+AK$7)^$D659*(AK641/AJ641)^$E659*((AK641+AK650)/(AJ641+AJ650))^($F659*(1+$E659))</f>
        <v/>
      </c>
      <c r="AL659" s="41">
        <f>AK659*(1/(1+$G659))^(1+$E659)*(1+AL$7)^$D659*(AL641/AK641)^$E659*((AL641+AL650)/(AK641+AK650))^($F659*(1+$E659))</f>
        <v/>
      </c>
      <c r="AM659" s="41">
        <f>AL659*(1/(1+$G659))^(1+$E659)*(1+AM$7)^$D659*(AM641/AL641)^$E659*((AM641+AM650)/(AL641+AL650))^($F659*(1+$E659))</f>
        <v/>
      </c>
      <c r="AN659" s="42">
        <f>FUELUSE(AM659,AN641,AM641,AN650,AM650,AN$7,$D659,$E659,$F659,$G659)</f>
        <v/>
      </c>
    </row>
    <row r="660" hidden="1" outlineLevel="2">
      <c r="A660" s="5" t="inlineStr">
        <is>
          <t>ener</t>
        </is>
      </c>
      <c r="B660" s="5" t="inlineStr">
        <is>
          <t>lpg</t>
        </is>
      </c>
      <c r="C660" s="5" t="inlineStr">
        <is>
          <t>srv</t>
        </is>
      </c>
      <c r="D660" s="36">
        <f>INDEX(Inputs!$N$5:$N$132,MATCH($B660&amp;"|"&amp;$C660,Inputs!$A$5:$A$132,0))</f>
        <v/>
      </c>
      <c r="E660" s="36">
        <f>INDEX(Inputs!$O$5:$O$132,MATCH($B660&amp;"|"&amp;$C660,Inputs!$A$5:$A$132,0))</f>
        <v/>
      </c>
      <c r="F660" s="36">
        <f>INDEX(Inputs!$P$5:$P$132,MATCH($B660&amp;"|"&amp;$C660,Inputs!$A$5:$A$132,0))</f>
        <v/>
      </c>
      <c r="G660" s="36">
        <f>INDEX(Inputs!$Q$5:$Q$132,MATCH($B660&amp;"|"&amp;$C660,Inputs!$A$5:$A$132,0))</f>
        <v/>
      </c>
      <c r="H660" s="5">
        <f>INDEX(Variables!$B$5:$B$65,MATCH($A660,Variables!$A$5:$A$65,0))&amp;IF($C660="",""," | "&amp;INDEX(Mapping!$B$5:$B$25,MATCH($C660,Mapping!$A$5:$A$25,0))&amp;" | "&amp;INDEX(Mapping!$B$29:$B$38,MATCH($B660,Mapping!$A$29:$A$38,0)))</f>
        <v/>
      </c>
      <c r="I660" s="5">
        <f>INDEX(Variables!$C$5:$C$65,MATCH($A660,Variables!$A$5:$A$65,0))</f>
        <v/>
      </c>
      <c r="J660" s="5">
        <f>INDEX(Variables!$E$5:$E$65,MATCH($A660,Variables!$A$5:$A$65,0))</f>
        <v/>
      </c>
      <c r="K660" s="23">
        <f>LOWER(Settings!$C$4)&amp;".mit."&amp;$A660&amp;IF($C660="","","."&amp;$C660&amp;"."&amp;$B660)&amp;IF(INDEX(Variables!$D$5:$D$65,MATCH($A660,Variables!$A$5:$A$65,0))="","","."&amp;INDEX(Variables!$D$5:$D$65,MATCH($A660,Variables!$A$5:$A$65,0)))&amp;"."&amp;K$5</f>
        <v/>
      </c>
      <c r="L660" s="40">
        <f>INDEX(Inputs!$V$5:$V$132,MATCH($B660&amp;"|"&amp;$C660,Inputs!$A$5:$A$132,0))</f>
        <v/>
      </c>
      <c r="M660" s="41">
        <f>L660*(1/(1+$G660))^(1+$E660)*(1+M$7)^$D660*(M642/L642)^$E660*((M642+M651)/(L642+L651))^($F660*(1+$E660))</f>
        <v/>
      </c>
      <c r="N660" s="41">
        <f>M660*(1/(1+$G660))^(1+$E660)*(1+N$7)^$D660*(N642/M642)^$E660*((N642+N651)/(M642+M651))^($F660*(1+$E660))</f>
        <v/>
      </c>
      <c r="O660" s="41">
        <f>N660*(1/(1+$G660))^(1+$E660)*(1+O$7)^$D660*(O642/N642)^$E660*((O642+O651)/(N642+N651))^($F660*(1+$E660))</f>
        <v/>
      </c>
      <c r="P660" s="41">
        <f>O660*(1/(1+$G660))^(1+$E660)*(1+P$7)^$D660*(P642/O642)^$E660*((P642+P651)/(O642+O651))^($F660*(1+$E660))</f>
        <v/>
      </c>
      <c r="Q660" s="41">
        <f>P660*(1/(1+$G660))^(1+$E660)*(1+Q$7)^$D660*(Q642/P642)^$E660*((Q642+Q651)/(P642+P651))^($F660*(1+$E660))</f>
        <v/>
      </c>
      <c r="R660" s="41">
        <f>Q660*(1/(1+$G660))^(1+$E660)*(1+R$7)^$D660*(R642/Q642)^$E660*((R642+R651)/(Q642+Q651))^($F660*(1+$E660))</f>
        <v/>
      </c>
      <c r="S660" s="41">
        <f>R660*(1/(1+$G660))^(1+$E660)*(1+S$7)^$D660*(S642/R642)^$E660*((S642+S651)/(R642+R651))^($F660*(1+$E660))</f>
        <v/>
      </c>
      <c r="T660" s="41">
        <f>S660*(1/(1+$G660))^(1+$E660)*(1+T$7)^$D660*(T642/S642)^$E660*((T642+T651)/(S642+S651))^($F660*(1+$E660))</f>
        <v/>
      </c>
      <c r="U660" s="41">
        <f>T660*(1/(1+$G660))^(1+$E660)*(1+U$7)^$D660*(U642/T642)^$E660*((U642+U651)/(T642+T651))^($F660*(1+$E660))</f>
        <v/>
      </c>
      <c r="V660" s="41">
        <f>U660*(1/(1+$G660))^(1+$E660)*(1+V$7)^$D660*(V642/U642)^$E660*((V642+V651)/(U642+U651))^($F660*(1+$E660))</f>
        <v/>
      </c>
      <c r="W660" s="41">
        <f>V660*(1/(1+$G660))^(1+$E660)*(1+W$7)^$D660*(W642/V642)^$E660*((W642+W651)/(V642+V651))^($F660*(1+$E660))</f>
        <v/>
      </c>
      <c r="X660" s="41">
        <f>W660*(1/(1+$G660))^(1+$E660)*(1+X$7)^$D660*(X642/W642)^$E660*((X642+X651)/(W642+W651))^($F660*(1+$E660))</f>
        <v/>
      </c>
      <c r="Y660" s="42">
        <f>FUELUSE(X660,Y642,X642,Y651,X651,Y$7,$D660,$E660,$F660,$G660)</f>
        <v/>
      </c>
      <c r="Z660" s="23">
        <f>LOWER(Settings!$C$4)&amp;".mit."&amp;$A660&amp;IF($C660="","","."&amp;$C660&amp;"."&amp;$B660)&amp;IF(INDEX(Variables!$D$5:$D$65,MATCH($A660,Variables!$A$5:$A$65,0))="","","."&amp;INDEX(Variables!$D$5:$D$65,MATCH($A660,Variables!$A$5:$A$65,0)))&amp;"."&amp;Z$5</f>
        <v/>
      </c>
      <c r="AA660" s="40">
        <f>INDEX(Inputs!$V$5:$V$132,MATCH($B660&amp;"|"&amp;$C660,Inputs!$A$5:$A$132,0))</f>
        <v/>
      </c>
      <c r="AB660" s="41">
        <f>AA660*(1/(1+$G660))^(1+$E660)*(1+AB$7)^$D660*(AB642/AA642)^$E660*((AB642+AB651)/(AA642+AA651))^($F660*(1+$E660))</f>
        <v/>
      </c>
      <c r="AC660" s="41">
        <f>AB660*(1/(1+$G660))^(1+$E660)*(1+AC$7)^$D660*(AC642/AB642)^$E660*((AC642+AC651)/(AB642+AB651))^($F660*(1+$E660))</f>
        <v/>
      </c>
      <c r="AD660" s="41">
        <f>AC660*(1/(1+$G660))^(1+$E660)*(1+AD$7)^$D660*(AD642/AC642)^$E660*((AD642+AD651)/(AC642+AC651))^($F660*(1+$E660))</f>
        <v/>
      </c>
      <c r="AE660" s="41">
        <f>AD660*(1/(1+$G660))^(1+$E660)*(1+AE$7)^$D660*(AE642/AD642)^$E660*((AE642+AE651)/(AD642+AD651))^($F660*(1+$E660))</f>
        <v/>
      </c>
      <c r="AF660" s="41">
        <f>AE660*(1/(1+$G660))^(1+$E660)*(1+AF$7)^$D660*(AF642/AE642)^$E660*((AF642+AF651)/(AE642+AE651))^($F660*(1+$E660))</f>
        <v/>
      </c>
      <c r="AG660" s="41">
        <f>AF660*(1/(1+$G660))^(1+$E660)*(1+AG$7)^$D660*(AG642/AF642)^$E660*((AG642+AG651)/(AF642+AF651))^($F660*(1+$E660))</f>
        <v/>
      </c>
      <c r="AH660" s="41">
        <f>AG660*(1/(1+$G660))^(1+$E660)*(1+AH$7)^$D660*(AH642/AG642)^$E660*((AH642+AH651)/(AG642+AG651))^($F660*(1+$E660))</f>
        <v/>
      </c>
      <c r="AI660" s="41">
        <f>AH660*(1/(1+$G660))^(1+$E660)*(1+AI$7)^$D660*(AI642/AH642)^$E660*((AI642+AI651)/(AH642+AH651))^($F660*(1+$E660))</f>
        <v/>
      </c>
      <c r="AJ660" s="41">
        <f>AI660*(1/(1+$G660))^(1+$E660)*(1+AJ$7)^$D660*(AJ642/AI642)^$E660*((AJ642+AJ651)/(AI642+AI651))^($F660*(1+$E660))</f>
        <v/>
      </c>
      <c r="AK660" s="41">
        <f>AJ660*(1/(1+$G660))^(1+$E660)*(1+AK$7)^$D660*(AK642/AJ642)^$E660*((AK642+AK651)/(AJ642+AJ651))^($F660*(1+$E660))</f>
        <v/>
      </c>
      <c r="AL660" s="41">
        <f>AK660*(1/(1+$G660))^(1+$E660)*(1+AL$7)^$D660*(AL642/AK642)^$E660*((AL642+AL651)/(AK642+AK651))^($F660*(1+$E660))</f>
        <v/>
      </c>
      <c r="AM660" s="41">
        <f>AL660*(1/(1+$G660))^(1+$E660)*(1+AM$7)^$D660*(AM642/AL642)^$E660*((AM642+AM651)/(AL642+AL651))^($F660*(1+$E660))</f>
        <v/>
      </c>
      <c r="AN660" s="42">
        <f>FUELUSE(AM660,AN642,AM642,AN651,AM651,AN$7,$D660,$E660,$F660,$G660)</f>
        <v/>
      </c>
    </row>
    <row r="661" hidden="1" outlineLevel="2">
      <c r="A661" s="5" t="inlineStr">
        <is>
          <t>ener</t>
        </is>
      </c>
      <c r="B661" s="5" t="inlineStr">
        <is>
          <t>ker</t>
        </is>
      </c>
      <c r="C661" s="5" t="inlineStr">
        <is>
          <t>srv</t>
        </is>
      </c>
      <c r="D661" s="36">
        <f>INDEX(Inputs!$N$5:$N$132,MATCH($B661&amp;"|"&amp;$C661,Inputs!$A$5:$A$132,0))</f>
        <v/>
      </c>
      <c r="E661" s="36">
        <f>INDEX(Inputs!$O$5:$O$132,MATCH($B661&amp;"|"&amp;$C661,Inputs!$A$5:$A$132,0))</f>
        <v/>
      </c>
      <c r="F661" s="36">
        <f>INDEX(Inputs!$P$5:$P$132,MATCH($B661&amp;"|"&amp;$C661,Inputs!$A$5:$A$132,0))</f>
        <v/>
      </c>
      <c r="G661" s="36">
        <f>INDEX(Inputs!$Q$5:$Q$132,MATCH($B661&amp;"|"&amp;$C661,Inputs!$A$5:$A$132,0))</f>
        <v/>
      </c>
      <c r="H661" s="5">
        <f>INDEX(Variables!$B$5:$B$65,MATCH($A661,Variables!$A$5:$A$65,0))&amp;IF($C661="",""," | "&amp;INDEX(Mapping!$B$5:$B$25,MATCH($C661,Mapping!$A$5:$A$25,0))&amp;" | "&amp;INDEX(Mapping!$B$29:$B$38,MATCH($B661,Mapping!$A$29:$A$38,0)))</f>
        <v/>
      </c>
      <c r="I661" s="5">
        <f>INDEX(Variables!$C$5:$C$65,MATCH($A661,Variables!$A$5:$A$65,0))</f>
        <v/>
      </c>
      <c r="J661" s="5">
        <f>INDEX(Variables!$E$5:$E$65,MATCH($A661,Variables!$A$5:$A$65,0))</f>
        <v/>
      </c>
      <c r="K661" s="23">
        <f>LOWER(Settings!$C$4)&amp;".mit."&amp;$A661&amp;IF($C661="","","."&amp;$C661&amp;"."&amp;$B661)&amp;IF(INDEX(Variables!$D$5:$D$65,MATCH($A661,Variables!$A$5:$A$65,0))="","","."&amp;INDEX(Variables!$D$5:$D$65,MATCH($A661,Variables!$A$5:$A$65,0)))&amp;"."&amp;K$5</f>
        <v/>
      </c>
      <c r="L661" s="40">
        <f>INDEX(Inputs!$V$5:$V$132,MATCH($B661&amp;"|"&amp;$C661,Inputs!$A$5:$A$132,0))</f>
        <v/>
      </c>
      <c r="M661" s="41">
        <f>L661*(1/(1+$G661))^(1+$E661)*(1+M$7)^$D661*(M643/L643)^$E661*((M643+M652)/(L643+L652))^($F661*(1+$E661))</f>
        <v/>
      </c>
      <c r="N661" s="41">
        <f>M661*(1/(1+$G661))^(1+$E661)*(1+N$7)^$D661*(N643/M643)^$E661*((N643+N652)/(M643+M652))^($F661*(1+$E661))</f>
        <v/>
      </c>
      <c r="O661" s="41">
        <f>N661*(1/(1+$G661))^(1+$E661)*(1+O$7)^$D661*(O643/N643)^$E661*((O643+O652)/(N643+N652))^($F661*(1+$E661))</f>
        <v/>
      </c>
      <c r="P661" s="41">
        <f>O661*(1/(1+$G661))^(1+$E661)*(1+P$7)^$D661*(P643/O643)^$E661*((P643+P652)/(O643+O652))^($F661*(1+$E661))</f>
        <v/>
      </c>
      <c r="Q661" s="41">
        <f>P661*(1/(1+$G661))^(1+$E661)*(1+Q$7)^$D661*(Q643/P643)^$E661*((Q643+Q652)/(P643+P652))^($F661*(1+$E661))</f>
        <v/>
      </c>
      <c r="R661" s="41">
        <f>Q661*(1/(1+$G661))^(1+$E661)*(1+R$7)^$D661*(R643/Q643)^$E661*((R643+R652)/(Q643+Q652))^($F661*(1+$E661))</f>
        <v/>
      </c>
      <c r="S661" s="41">
        <f>R661*(1/(1+$G661))^(1+$E661)*(1+S$7)^$D661*(S643/R643)^$E661*((S643+S652)/(R643+R652))^($F661*(1+$E661))</f>
        <v/>
      </c>
      <c r="T661" s="41">
        <f>S661*(1/(1+$G661))^(1+$E661)*(1+T$7)^$D661*(T643/S643)^$E661*((T643+T652)/(S643+S652))^($F661*(1+$E661))</f>
        <v/>
      </c>
      <c r="U661" s="41">
        <f>T661*(1/(1+$G661))^(1+$E661)*(1+U$7)^$D661*(U643/T643)^$E661*((U643+U652)/(T643+T652))^($F661*(1+$E661))</f>
        <v/>
      </c>
      <c r="V661" s="41">
        <f>U661*(1/(1+$G661))^(1+$E661)*(1+V$7)^$D661*(V643/U643)^$E661*((V643+V652)/(U643+U652))^($F661*(1+$E661))</f>
        <v/>
      </c>
      <c r="W661" s="41">
        <f>V661*(1/(1+$G661))^(1+$E661)*(1+W$7)^$D661*(W643/V643)^$E661*((W643+W652)/(V643+V652))^($F661*(1+$E661))</f>
        <v/>
      </c>
      <c r="X661" s="41">
        <f>W661*(1/(1+$G661))^(1+$E661)*(1+X$7)^$D661*(X643/W643)^$E661*((X643+X652)/(W643+W652))^($F661*(1+$E661))</f>
        <v/>
      </c>
      <c r="Y661" s="42">
        <f>FUELUSE(X661,Y643,X643,Y652,X652,Y$7,$D661,$E661,$F661,$G661)</f>
        <v/>
      </c>
      <c r="Z661" s="23">
        <f>LOWER(Settings!$C$4)&amp;".mit."&amp;$A661&amp;IF($C661="","","."&amp;$C661&amp;"."&amp;$B661)&amp;IF(INDEX(Variables!$D$5:$D$65,MATCH($A661,Variables!$A$5:$A$65,0))="","","."&amp;INDEX(Variables!$D$5:$D$65,MATCH($A661,Variables!$A$5:$A$65,0)))&amp;"."&amp;Z$5</f>
        <v/>
      </c>
      <c r="AA661" s="40">
        <f>INDEX(Inputs!$V$5:$V$132,MATCH($B661&amp;"|"&amp;$C661,Inputs!$A$5:$A$132,0))</f>
        <v/>
      </c>
      <c r="AB661" s="41">
        <f>AA661*(1/(1+$G661))^(1+$E661)*(1+AB$7)^$D661*(AB643/AA643)^$E661*((AB643+AB652)/(AA643+AA652))^($F661*(1+$E661))</f>
        <v/>
      </c>
      <c r="AC661" s="41">
        <f>AB661*(1/(1+$G661))^(1+$E661)*(1+AC$7)^$D661*(AC643/AB643)^$E661*((AC643+AC652)/(AB643+AB652))^($F661*(1+$E661))</f>
        <v/>
      </c>
      <c r="AD661" s="41">
        <f>AC661*(1/(1+$G661))^(1+$E661)*(1+AD$7)^$D661*(AD643/AC643)^$E661*((AD643+AD652)/(AC643+AC652))^($F661*(1+$E661))</f>
        <v/>
      </c>
      <c r="AE661" s="41">
        <f>AD661*(1/(1+$G661))^(1+$E661)*(1+AE$7)^$D661*(AE643/AD643)^$E661*((AE643+AE652)/(AD643+AD652))^($F661*(1+$E661))</f>
        <v/>
      </c>
      <c r="AF661" s="41">
        <f>AE661*(1/(1+$G661))^(1+$E661)*(1+AF$7)^$D661*(AF643/AE643)^$E661*((AF643+AF652)/(AE643+AE652))^($F661*(1+$E661))</f>
        <v/>
      </c>
      <c r="AG661" s="41">
        <f>AF661*(1/(1+$G661))^(1+$E661)*(1+AG$7)^$D661*(AG643/AF643)^$E661*((AG643+AG652)/(AF643+AF652))^($F661*(1+$E661))</f>
        <v/>
      </c>
      <c r="AH661" s="41">
        <f>AG661*(1/(1+$G661))^(1+$E661)*(1+AH$7)^$D661*(AH643/AG643)^$E661*((AH643+AH652)/(AG643+AG652))^($F661*(1+$E661))</f>
        <v/>
      </c>
      <c r="AI661" s="41">
        <f>AH661*(1/(1+$G661))^(1+$E661)*(1+AI$7)^$D661*(AI643/AH643)^$E661*((AI643+AI652)/(AH643+AH652))^($F661*(1+$E661))</f>
        <v/>
      </c>
      <c r="AJ661" s="41">
        <f>AI661*(1/(1+$G661))^(1+$E661)*(1+AJ$7)^$D661*(AJ643/AI643)^$E661*((AJ643+AJ652)/(AI643+AI652))^($F661*(1+$E661))</f>
        <v/>
      </c>
      <c r="AK661" s="41">
        <f>AJ661*(1/(1+$G661))^(1+$E661)*(1+AK$7)^$D661*(AK643/AJ643)^$E661*((AK643+AK652)/(AJ643+AJ652))^($F661*(1+$E661))</f>
        <v/>
      </c>
      <c r="AL661" s="41">
        <f>AK661*(1/(1+$G661))^(1+$E661)*(1+AL$7)^$D661*(AL643/AK643)^$E661*((AL643+AL652)/(AK643+AK652))^($F661*(1+$E661))</f>
        <v/>
      </c>
      <c r="AM661" s="41">
        <f>AL661*(1/(1+$G661))^(1+$E661)*(1+AM$7)^$D661*(AM643/AL643)^$E661*((AM643+AM652)/(AL643+AL652))^($F661*(1+$E661))</f>
        <v/>
      </c>
      <c r="AN661" s="42">
        <f>FUELUSE(AM661,AN643,AM643,AN652,AM652,AN$7,$D661,$E661,$F661,$G661)</f>
        <v/>
      </c>
    </row>
    <row r="662" hidden="1" outlineLevel="2">
      <c r="A662" s="5" t="inlineStr">
        <is>
          <t>ener</t>
        </is>
      </c>
      <c r="B662" s="5" t="inlineStr">
        <is>
          <t>oop</t>
        </is>
      </c>
      <c r="C662" s="5" t="inlineStr">
        <is>
          <t>srv</t>
        </is>
      </c>
      <c r="D662" s="36">
        <f>INDEX(Inputs!$N$5:$N$132,MATCH($B662&amp;"|"&amp;$C662,Inputs!$A$5:$A$132,0))</f>
        <v/>
      </c>
      <c r="E662" s="36">
        <f>INDEX(Inputs!$O$5:$O$132,MATCH($B662&amp;"|"&amp;$C662,Inputs!$A$5:$A$132,0))</f>
        <v/>
      </c>
      <c r="F662" s="36">
        <f>INDEX(Inputs!$P$5:$P$132,MATCH($B662&amp;"|"&amp;$C662,Inputs!$A$5:$A$132,0))</f>
        <v/>
      </c>
      <c r="G662" s="36">
        <f>INDEX(Inputs!$Q$5:$Q$132,MATCH($B662&amp;"|"&amp;$C662,Inputs!$A$5:$A$132,0))</f>
        <v/>
      </c>
      <c r="H662" s="5">
        <f>INDEX(Variables!$B$5:$B$65,MATCH($A662,Variables!$A$5:$A$65,0))&amp;IF($C662="",""," | "&amp;INDEX(Mapping!$B$5:$B$25,MATCH($C662,Mapping!$A$5:$A$25,0))&amp;" | "&amp;INDEX(Mapping!$B$29:$B$38,MATCH($B662,Mapping!$A$29:$A$38,0)))</f>
        <v/>
      </c>
      <c r="I662" s="5">
        <f>INDEX(Variables!$C$5:$C$65,MATCH($A662,Variables!$A$5:$A$65,0))</f>
        <v/>
      </c>
      <c r="J662" s="5">
        <f>INDEX(Variables!$E$5:$E$65,MATCH($A662,Variables!$A$5:$A$65,0))</f>
        <v/>
      </c>
      <c r="K662" s="23">
        <f>LOWER(Settings!$C$4)&amp;".mit."&amp;$A662&amp;IF($C662="","","."&amp;$C662&amp;"."&amp;$B662)&amp;IF(INDEX(Variables!$D$5:$D$65,MATCH($A662,Variables!$A$5:$A$65,0))="","","."&amp;INDEX(Variables!$D$5:$D$65,MATCH($A662,Variables!$A$5:$A$65,0)))&amp;"."&amp;K$5</f>
        <v/>
      </c>
      <c r="L662" s="40">
        <f>INDEX(Inputs!$V$5:$V$132,MATCH($B662&amp;"|"&amp;$C662,Inputs!$A$5:$A$132,0))</f>
        <v/>
      </c>
      <c r="M662" s="41">
        <f>L662*(1/(1+$G662))^(1+$E662)*(1+M$7)^$D662*(M644/L644)^$E662*((M644+M653)/(L644+L653))^($F662*(1+$E662))</f>
        <v/>
      </c>
      <c r="N662" s="41">
        <f>M662*(1/(1+$G662))^(1+$E662)*(1+N$7)^$D662*(N644/M644)^$E662*((N644+N653)/(M644+M653))^($F662*(1+$E662))</f>
        <v/>
      </c>
      <c r="O662" s="41">
        <f>N662*(1/(1+$G662))^(1+$E662)*(1+O$7)^$D662*(O644/N644)^$E662*((O644+O653)/(N644+N653))^($F662*(1+$E662))</f>
        <v/>
      </c>
      <c r="P662" s="41">
        <f>O662*(1/(1+$G662))^(1+$E662)*(1+P$7)^$D662*(P644/O644)^$E662*((P644+P653)/(O644+O653))^($F662*(1+$E662))</f>
        <v/>
      </c>
      <c r="Q662" s="41">
        <f>P662*(1/(1+$G662))^(1+$E662)*(1+Q$7)^$D662*(Q644/P644)^$E662*((Q644+Q653)/(P644+P653))^($F662*(1+$E662))</f>
        <v/>
      </c>
      <c r="R662" s="41">
        <f>Q662*(1/(1+$G662))^(1+$E662)*(1+R$7)^$D662*(R644/Q644)^$E662*((R644+R653)/(Q644+Q653))^($F662*(1+$E662))</f>
        <v/>
      </c>
      <c r="S662" s="41">
        <f>R662*(1/(1+$G662))^(1+$E662)*(1+S$7)^$D662*(S644/R644)^$E662*((S644+S653)/(R644+R653))^($F662*(1+$E662))</f>
        <v/>
      </c>
      <c r="T662" s="41">
        <f>S662*(1/(1+$G662))^(1+$E662)*(1+T$7)^$D662*(T644/S644)^$E662*((T644+T653)/(S644+S653))^($F662*(1+$E662))</f>
        <v/>
      </c>
      <c r="U662" s="41">
        <f>T662*(1/(1+$G662))^(1+$E662)*(1+U$7)^$D662*(U644/T644)^$E662*((U644+U653)/(T644+T653))^($F662*(1+$E662))</f>
        <v/>
      </c>
      <c r="V662" s="41">
        <f>U662*(1/(1+$G662))^(1+$E662)*(1+V$7)^$D662*(V644/U644)^$E662*((V644+V653)/(U644+U653))^($F662*(1+$E662))</f>
        <v/>
      </c>
      <c r="W662" s="41">
        <f>V662*(1/(1+$G662))^(1+$E662)*(1+W$7)^$D662*(W644/V644)^$E662*((W644+W653)/(V644+V653))^($F662*(1+$E662))</f>
        <v/>
      </c>
      <c r="X662" s="41">
        <f>W662*(1/(1+$G662))^(1+$E662)*(1+X$7)^$D662*(X644/W644)^$E662*((X644+X653)/(W644+W653))^($F662*(1+$E662))</f>
        <v/>
      </c>
      <c r="Y662" s="42">
        <f>FUELUSE(X662,Y644,X644,Y653,X653,Y$7,$D662,$E662,$F662,$G662)</f>
        <v/>
      </c>
      <c r="Z662" s="23">
        <f>LOWER(Settings!$C$4)&amp;".mit."&amp;$A662&amp;IF($C662="","","."&amp;$C662&amp;"."&amp;$B662)&amp;IF(INDEX(Variables!$D$5:$D$65,MATCH($A662,Variables!$A$5:$A$65,0))="","","."&amp;INDEX(Variables!$D$5:$D$65,MATCH($A662,Variables!$A$5:$A$65,0)))&amp;"."&amp;Z$5</f>
        <v/>
      </c>
      <c r="AA662" s="40">
        <f>INDEX(Inputs!$V$5:$V$132,MATCH($B662&amp;"|"&amp;$C662,Inputs!$A$5:$A$132,0))</f>
        <v/>
      </c>
      <c r="AB662" s="41">
        <f>AA662*(1/(1+$G662))^(1+$E662)*(1+AB$7)^$D662*(AB644/AA644)^$E662*((AB644+AB653)/(AA644+AA653))^($F662*(1+$E662))</f>
        <v/>
      </c>
      <c r="AC662" s="41">
        <f>AB662*(1/(1+$G662))^(1+$E662)*(1+AC$7)^$D662*(AC644/AB644)^$E662*((AC644+AC653)/(AB644+AB653))^($F662*(1+$E662))</f>
        <v/>
      </c>
      <c r="AD662" s="41">
        <f>AC662*(1/(1+$G662))^(1+$E662)*(1+AD$7)^$D662*(AD644/AC644)^$E662*((AD644+AD653)/(AC644+AC653))^($F662*(1+$E662))</f>
        <v/>
      </c>
      <c r="AE662" s="41">
        <f>AD662*(1/(1+$G662))^(1+$E662)*(1+AE$7)^$D662*(AE644/AD644)^$E662*((AE644+AE653)/(AD644+AD653))^($F662*(1+$E662))</f>
        <v/>
      </c>
      <c r="AF662" s="41">
        <f>AE662*(1/(1+$G662))^(1+$E662)*(1+AF$7)^$D662*(AF644/AE644)^$E662*((AF644+AF653)/(AE644+AE653))^($F662*(1+$E662))</f>
        <v/>
      </c>
      <c r="AG662" s="41">
        <f>AF662*(1/(1+$G662))^(1+$E662)*(1+AG$7)^$D662*(AG644/AF644)^$E662*((AG644+AG653)/(AF644+AF653))^($F662*(1+$E662))</f>
        <v/>
      </c>
      <c r="AH662" s="41">
        <f>AG662*(1/(1+$G662))^(1+$E662)*(1+AH$7)^$D662*(AH644/AG644)^$E662*((AH644+AH653)/(AG644+AG653))^($F662*(1+$E662))</f>
        <v/>
      </c>
      <c r="AI662" s="41">
        <f>AH662*(1/(1+$G662))^(1+$E662)*(1+AI$7)^$D662*(AI644/AH644)^$E662*((AI644+AI653)/(AH644+AH653))^($F662*(1+$E662))</f>
        <v/>
      </c>
      <c r="AJ662" s="41">
        <f>AI662*(1/(1+$G662))^(1+$E662)*(1+AJ$7)^$D662*(AJ644/AI644)^$E662*((AJ644+AJ653)/(AI644+AI653))^($F662*(1+$E662))</f>
        <v/>
      </c>
      <c r="AK662" s="41">
        <f>AJ662*(1/(1+$G662))^(1+$E662)*(1+AK$7)^$D662*(AK644/AJ644)^$E662*((AK644+AK653)/(AJ644+AJ653))^($F662*(1+$E662))</f>
        <v/>
      </c>
      <c r="AL662" s="41">
        <f>AK662*(1/(1+$G662))^(1+$E662)*(1+AL$7)^$D662*(AL644/AK644)^$E662*((AL644+AL653)/(AK644+AK653))^($F662*(1+$E662))</f>
        <v/>
      </c>
      <c r="AM662" s="41">
        <f>AL662*(1/(1+$G662))^(1+$E662)*(1+AM$7)^$D662*(AM644/AL644)^$E662*((AM644+AM653)/(AL644+AL653))^($F662*(1+$E662))</f>
        <v/>
      </c>
      <c r="AN662" s="42">
        <f>FUELUSE(AM662,AN644,AM644,AN653,AM653,AN$7,$D662,$E662,$F662,$G662)</f>
        <v/>
      </c>
    </row>
    <row r="663" hidden="1" outlineLevel="2">
      <c r="A663" s="5" t="inlineStr">
        <is>
          <t>ener</t>
        </is>
      </c>
      <c r="B663" s="5" t="inlineStr">
        <is>
          <t>bio</t>
        </is>
      </c>
      <c r="C663" s="5" t="inlineStr">
        <is>
          <t>srv</t>
        </is>
      </c>
      <c r="D663" s="36">
        <f>INDEX(Inputs!$N$5:$N$132,MATCH($B663&amp;"|"&amp;$C663,Inputs!$A$5:$A$132,0))</f>
        <v/>
      </c>
      <c r="E663" s="36">
        <f>INDEX(Inputs!$O$5:$O$132,MATCH($B663&amp;"|"&amp;$C663,Inputs!$A$5:$A$132,0))</f>
        <v/>
      </c>
      <c r="F663" s="36">
        <f>INDEX(Inputs!$P$5:$P$132,MATCH($B663&amp;"|"&amp;$C663,Inputs!$A$5:$A$132,0))</f>
        <v/>
      </c>
      <c r="G663" s="36">
        <f>INDEX(Inputs!$Q$5:$Q$132,MATCH($B663&amp;"|"&amp;$C663,Inputs!$A$5:$A$132,0))</f>
        <v/>
      </c>
      <c r="H663" s="5">
        <f>INDEX(Variables!$B$5:$B$65,MATCH($A663,Variables!$A$5:$A$65,0))&amp;IF($C663="",""," | "&amp;INDEX(Mapping!$B$5:$B$25,MATCH($C663,Mapping!$A$5:$A$25,0))&amp;" | "&amp;INDEX(Mapping!$B$29:$B$38,MATCH($B663,Mapping!$A$29:$A$38,0)))</f>
        <v/>
      </c>
      <c r="I663" s="5">
        <f>INDEX(Variables!$C$5:$C$65,MATCH($A663,Variables!$A$5:$A$65,0))</f>
        <v/>
      </c>
      <c r="J663" s="5">
        <f>INDEX(Variables!$E$5:$E$65,MATCH($A663,Variables!$A$5:$A$65,0))</f>
        <v/>
      </c>
      <c r="K663" s="23">
        <f>LOWER(Settings!$C$4)&amp;".mit."&amp;$A663&amp;IF($C663="","","."&amp;$C663&amp;"."&amp;$B663)&amp;IF(INDEX(Variables!$D$5:$D$65,MATCH($A663,Variables!$A$5:$A$65,0))="","","."&amp;INDEX(Variables!$D$5:$D$65,MATCH($A663,Variables!$A$5:$A$65,0)))&amp;"."&amp;K$5</f>
        <v/>
      </c>
      <c r="L663" s="40">
        <f>INDEX(Inputs!$V$5:$V$132,MATCH($B663&amp;"|"&amp;$C663,Inputs!$A$5:$A$132,0))</f>
        <v/>
      </c>
      <c r="M663" s="41">
        <f>L663*(1/(1+$G663))^(1+$E663)*(1+M$7)^$D663*(M645/L645)^$E663*((M645+M654)/(L645+L654))^($F663*(1+$E663))</f>
        <v/>
      </c>
      <c r="N663" s="41">
        <f>M663*(1/(1+$G663))^(1+$E663)*(1+N$7)^$D663*(N645/M645)^$E663*((N645+N654)/(M645+M654))^($F663*(1+$E663))</f>
        <v/>
      </c>
      <c r="O663" s="41">
        <f>N663*(1/(1+$G663))^(1+$E663)*(1+O$7)^$D663*(O645/N645)^$E663*((O645+O654)/(N645+N654))^($F663*(1+$E663))</f>
        <v/>
      </c>
      <c r="P663" s="41">
        <f>O663*(1/(1+$G663))^(1+$E663)*(1+P$7)^$D663*(P645/O645)^$E663*((P645+P654)/(O645+O654))^($F663*(1+$E663))</f>
        <v/>
      </c>
      <c r="Q663" s="41">
        <f>P663*(1/(1+$G663))^(1+$E663)*(1+Q$7)^$D663*(Q645/P645)^$E663*((Q645+Q654)/(P645+P654))^($F663*(1+$E663))</f>
        <v/>
      </c>
      <c r="R663" s="41">
        <f>Q663*(1/(1+$G663))^(1+$E663)*(1+R$7)^$D663*(R645/Q645)^$E663*((R645+R654)/(Q645+Q654))^($F663*(1+$E663))</f>
        <v/>
      </c>
      <c r="S663" s="41">
        <f>R663*(1/(1+$G663))^(1+$E663)*(1+S$7)^$D663*(S645/R645)^$E663*((S645+S654)/(R645+R654))^($F663*(1+$E663))</f>
        <v/>
      </c>
      <c r="T663" s="41">
        <f>S663*(1/(1+$G663))^(1+$E663)*(1+T$7)^$D663*(T645/S645)^$E663*((T645+T654)/(S645+S654))^($F663*(1+$E663))</f>
        <v/>
      </c>
      <c r="U663" s="41">
        <f>T663*(1/(1+$G663))^(1+$E663)*(1+U$7)^$D663*(U645/T645)^$E663*((U645+U654)/(T645+T654))^($F663*(1+$E663))</f>
        <v/>
      </c>
      <c r="V663" s="41">
        <f>U663*(1/(1+$G663))^(1+$E663)*(1+V$7)^$D663*(V645/U645)^$E663*((V645+V654)/(U645+U654))^($F663*(1+$E663))</f>
        <v/>
      </c>
      <c r="W663" s="41">
        <f>V663*(1/(1+$G663))^(1+$E663)*(1+W$7)^$D663*(W645/V645)^$E663*((W645+W654)/(V645+V654))^($F663*(1+$E663))</f>
        <v/>
      </c>
      <c r="X663" s="41">
        <f>W663*(1/(1+$G663))^(1+$E663)*(1+X$7)^$D663*(X645/W645)^$E663*((X645+X654)/(W645+W654))^($F663*(1+$E663))</f>
        <v/>
      </c>
      <c r="Y663" s="42">
        <f>FUELUSE(X663,Y645,X645,Y654,X654,Y$7,$D663,$E663,$F663,$G663)</f>
        <v/>
      </c>
      <c r="Z663" s="23">
        <f>LOWER(Settings!$C$4)&amp;".mit."&amp;$A663&amp;IF($C663="","","."&amp;$C663&amp;"."&amp;$B663)&amp;IF(INDEX(Variables!$D$5:$D$65,MATCH($A663,Variables!$A$5:$A$65,0))="","","."&amp;INDEX(Variables!$D$5:$D$65,MATCH($A663,Variables!$A$5:$A$65,0)))&amp;"."&amp;Z$5</f>
        <v/>
      </c>
      <c r="AA663" s="40">
        <f>INDEX(Inputs!$V$5:$V$132,MATCH($B663&amp;"|"&amp;$C663,Inputs!$A$5:$A$132,0))</f>
        <v/>
      </c>
      <c r="AB663" s="41">
        <f>AA663*(1/(1+$G663))^(1+$E663)*(1+AB$7)^$D663*(AB645/AA645)^$E663*((AB645+AB654)/(AA645+AA654))^($F663*(1+$E663))</f>
        <v/>
      </c>
      <c r="AC663" s="41">
        <f>AB663*(1/(1+$G663))^(1+$E663)*(1+AC$7)^$D663*(AC645/AB645)^$E663*((AC645+AC654)/(AB645+AB654))^($F663*(1+$E663))</f>
        <v/>
      </c>
      <c r="AD663" s="41">
        <f>AC663*(1/(1+$G663))^(1+$E663)*(1+AD$7)^$D663*(AD645/AC645)^$E663*((AD645+AD654)/(AC645+AC654))^($F663*(1+$E663))</f>
        <v/>
      </c>
      <c r="AE663" s="41">
        <f>AD663*(1/(1+$G663))^(1+$E663)*(1+AE$7)^$D663*(AE645/AD645)^$E663*((AE645+AE654)/(AD645+AD654))^($F663*(1+$E663))</f>
        <v/>
      </c>
      <c r="AF663" s="41">
        <f>AE663*(1/(1+$G663))^(1+$E663)*(1+AF$7)^$D663*(AF645/AE645)^$E663*((AF645+AF654)/(AE645+AE654))^($F663*(1+$E663))</f>
        <v/>
      </c>
      <c r="AG663" s="41">
        <f>AF663*(1/(1+$G663))^(1+$E663)*(1+AG$7)^$D663*(AG645/AF645)^$E663*((AG645+AG654)/(AF645+AF654))^($F663*(1+$E663))</f>
        <v/>
      </c>
      <c r="AH663" s="41">
        <f>AG663*(1/(1+$G663))^(1+$E663)*(1+AH$7)^$D663*(AH645/AG645)^$E663*((AH645+AH654)/(AG645+AG654))^($F663*(1+$E663))</f>
        <v/>
      </c>
      <c r="AI663" s="41">
        <f>AH663*(1/(1+$G663))^(1+$E663)*(1+AI$7)^$D663*(AI645/AH645)^$E663*((AI645+AI654)/(AH645+AH654))^($F663*(1+$E663))</f>
        <v/>
      </c>
      <c r="AJ663" s="41">
        <f>AI663*(1/(1+$G663))^(1+$E663)*(1+AJ$7)^$D663*(AJ645/AI645)^$E663*((AJ645+AJ654)/(AI645+AI654))^($F663*(1+$E663))</f>
        <v/>
      </c>
      <c r="AK663" s="41">
        <f>AJ663*(1/(1+$G663))^(1+$E663)*(1+AK$7)^$D663*(AK645/AJ645)^$E663*((AK645+AK654)/(AJ645+AJ654))^($F663*(1+$E663))</f>
        <v/>
      </c>
      <c r="AL663" s="41">
        <f>AK663*(1/(1+$G663))^(1+$E663)*(1+AL$7)^$D663*(AL645/AK645)^$E663*((AL645+AL654)/(AK645+AK654))^($F663*(1+$E663))</f>
        <v/>
      </c>
      <c r="AM663" s="41">
        <f>AL663*(1/(1+$G663))^(1+$E663)*(1+AM$7)^$D663*(AM645/AL645)^$E663*((AM645+AM654)/(AL645+AL654))^($F663*(1+$E663))</f>
        <v/>
      </c>
      <c r="AN663" s="42">
        <f>FUELUSE(AM663,AN645,AM645,AN654,AM654,AN$7,$D663,$E663,$F663,$G663)</f>
        <v/>
      </c>
    </row>
    <row r="664" hidden="1" outlineLevel="2"/>
    <row r="666">
      <c r="A666" s="18" t="inlineStr">
        <is>
          <t>7. Industrial sector</t>
        </is>
      </c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  <c r="AA666" s="19" t="n"/>
      <c r="AB666" s="19" t="n"/>
      <c r="AC666" s="19" t="n"/>
      <c r="AD666" s="19" t="n"/>
      <c r="AE666" s="19" t="n"/>
      <c r="AF666" s="19" t="n"/>
      <c r="AG666" s="19" t="n"/>
      <c r="AH666" s="19" t="n"/>
      <c r="AI666" s="19" t="n"/>
      <c r="AJ666" s="19" t="n"/>
      <c r="AK666" s="19" t="n"/>
      <c r="AL666" s="19" t="n"/>
      <c r="AM666" s="19" t="n"/>
      <c r="AN666" s="19" t="n"/>
    </row>
    <row r="667">
      <c r="A667" s="7" t="inlineStr">
        <is>
          <t>ener</t>
        </is>
      </c>
      <c r="B667" s="7" t="inlineStr">
        <is>
          <t>all</t>
        </is>
      </c>
      <c r="C667" s="7" t="inlineStr">
        <is>
          <t>ind</t>
        </is>
      </c>
      <c r="H667" s="7">
        <f>INDEX(Variables!$B$5:$B$65,MATCH($A667,Variables!$A$5:$A$65,0))&amp;IF($C667="",""," | "&amp;INDEX(Mapping!$B$5:$B$25,MATCH($C667,Mapping!$A$5:$A$25,0))&amp;" | "&amp;INDEX(Mapping!$B$29:$B$38,MATCH($B667,Mapping!$A$29:$A$38,0)))</f>
        <v/>
      </c>
      <c r="I667" s="7">
        <f>INDEX(Variables!$C$5:$C$65,MATCH($A667,Variables!$A$5:$A$65,0))</f>
        <v/>
      </c>
      <c r="J667" s="7">
        <f>INDEX(Variables!$E$5:$E$65,MATCH($A667,Variables!$A$5:$A$65,0))</f>
        <v/>
      </c>
      <c r="K667" s="26">
        <f>LOWER(Settings!$C$4)&amp;".mit."&amp;$A667&amp;IF($C667="","","."&amp;$C667&amp;"."&amp;$B667)&amp;IF(INDEX(Variables!$D$5:$D$65,MATCH($A667,Variables!$A$5:$A$65,0))="","","."&amp;INDEX(Variables!$D$5:$D$65,MATCH($A667,Variables!$A$5:$A$65,0)))&amp;"."&amp;K$5</f>
        <v/>
      </c>
      <c r="L667" s="34">
        <f>SUMIFS(L668:L1251,$A668:$A1251,"ener",$B668:$B1251,"&lt;&gt;all")</f>
        <v/>
      </c>
      <c r="M667" s="35">
        <f>SUMIFS(M668:M1251,$A668:$A1251,"ener",$B668:$B1251,"&lt;&gt;all")</f>
        <v/>
      </c>
      <c r="N667" s="35">
        <f>SUMIFS(N668:N1251,$A668:$A1251,"ener",$B668:$B1251,"&lt;&gt;all")</f>
        <v/>
      </c>
      <c r="O667" s="35">
        <f>SUMIFS(O668:O1251,$A668:$A1251,"ener",$B668:$B1251,"&lt;&gt;all")</f>
        <v/>
      </c>
      <c r="P667" s="35">
        <f>SUMIFS(P668:P1251,$A668:$A1251,"ener",$B668:$B1251,"&lt;&gt;all")</f>
        <v/>
      </c>
      <c r="Q667" s="35">
        <f>SUMIFS(Q668:Q1251,$A668:$A1251,"ener",$B668:$B1251,"&lt;&gt;all")</f>
        <v/>
      </c>
      <c r="R667" s="35">
        <f>SUMIFS(R668:R1251,$A668:$A1251,"ener",$B668:$B1251,"&lt;&gt;all")</f>
        <v/>
      </c>
      <c r="S667" s="35">
        <f>SUMIFS(S668:S1251,$A668:$A1251,"ener",$B668:$B1251,"&lt;&gt;all")</f>
        <v/>
      </c>
      <c r="T667" s="35">
        <f>SUMIFS(T668:T1251,$A668:$A1251,"ener",$B668:$B1251,"&lt;&gt;all")</f>
        <v/>
      </c>
      <c r="U667" s="35">
        <f>SUMIFS(U668:U1251,$A668:$A1251,"ener",$B668:$B1251,"&lt;&gt;all")</f>
        <v/>
      </c>
      <c r="V667" s="35">
        <f>SUMIFS(V668:V1251,$A668:$A1251,"ener",$B668:$B1251,"&lt;&gt;all")</f>
        <v/>
      </c>
      <c r="W667" s="35">
        <f>SUMIFS(W668:W1251,$A668:$A1251,"ener",$B668:$B1251,"&lt;&gt;all")</f>
        <v/>
      </c>
      <c r="X667" s="35">
        <f>SUMIFS(X668:X1251,$A668:$A1251,"ener",$B668:$B1251,"&lt;&gt;all")</f>
        <v/>
      </c>
      <c r="Y667" s="35">
        <f>SUMIFS(Y668:Y1251,$A668:$A1251,"ener",$B668:$B1251,"&lt;&gt;all")</f>
        <v/>
      </c>
      <c r="Z667" s="26">
        <f>LOWER(Settings!$C$4)&amp;".mit."&amp;$A667&amp;IF($C667="","","."&amp;$C667&amp;"."&amp;$B667)&amp;IF(INDEX(Variables!$D$5:$D$65,MATCH($A667,Variables!$A$5:$A$65,0))="","","."&amp;INDEX(Variables!$D$5:$D$65,MATCH($A667,Variables!$A$5:$A$65,0)))&amp;"."&amp;Z$5</f>
        <v/>
      </c>
      <c r="AA667" s="34">
        <f>SUMIFS(AA668:AA1251,$A668:$A1251,"ener",$B668:$B1251,"&lt;&gt;all")</f>
        <v/>
      </c>
      <c r="AB667" s="35">
        <f>SUMIFS(AB668:AB1251,$A668:$A1251,"ener",$B668:$B1251,"&lt;&gt;all")</f>
        <v/>
      </c>
      <c r="AC667" s="35">
        <f>SUMIFS(AC668:AC1251,$A668:$A1251,"ener",$B668:$B1251,"&lt;&gt;all")</f>
        <v/>
      </c>
      <c r="AD667" s="35">
        <f>SUMIFS(AD668:AD1251,$A668:$A1251,"ener",$B668:$B1251,"&lt;&gt;all")</f>
        <v/>
      </c>
      <c r="AE667" s="35">
        <f>SUMIFS(AE668:AE1251,$A668:$A1251,"ener",$B668:$B1251,"&lt;&gt;all")</f>
        <v/>
      </c>
      <c r="AF667" s="35">
        <f>SUMIFS(AF668:AF1251,$A668:$A1251,"ener",$B668:$B1251,"&lt;&gt;all")</f>
        <v/>
      </c>
      <c r="AG667" s="35">
        <f>SUMIFS(AG668:AG1251,$A668:$A1251,"ener",$B668:$B1251,"&lt;&gt;all")</f>
        <v/>
      </c>
      <c r="AH667" s="35">
        <f>SUMIFS(AH668:AH1251,$A668:$A1251,"ener",$B668:$B1251,"&lt;&gt;all")</f>
        <v/>
      </c>
      <c r="AI667" s="35">
        <f>SUMIFS(AI668:AI1251,$A668:$A1251,"ener",$B668:$B1251,"&lt;&gt;all")</f>
        <v/>
      </c>
      <c r="AJ667" s="35">
        <f>SUMIFS(AJ668:AJ1251,$A668:$A1251,"ener",$B668:$B1251,"&lt;&gt;all")</f>
        <v/>
      </c>
      <c r="AK667" s="35">
        <f>SUMIFS(AK668:AK1251,$A668:$A1251,"ener",$B668:$B1251,"&lt;&gt;all")</f>
        <v/>
      </c>
      <c r="AL667" s="35">
        <f>SUMIFS(AL668:AL1251,$A668:$A1251,"ener",$B668:$B1251,"&lt;&gt;all")</f>
        <v/>
      </c>
      <c r="AM667" s="35">
        <f>SUMIFS(AM668:AM1251,$A668:$A1251,"ener",$B668:$B1251,"&lt;&gt;all")</f>
        <v/>
      </c>
      <c r="AN667" s="35">
        <f>SUMIFS(AN668:AN1251,$A668:$A1251,"ener",$B668:$B1251,"&lt;&gt;all")</f>
        <v/>
      </c>
    </row>
    <row r="668" outlineLevel="1" collapsed="1">
      <c r="A668" s="7" t="inlineStr">
        <is>
          <t>ener</t>
        </is>
      </c>
      <c r="B668" s="7" t="inlineStr">
        <is>
          <t>all</t>
        </is>
      </c>
      <c r="C668" s="7" t="inlineStr">
        <is>
          <t>mch</t>
        </is>
      </c>
      <c r="H668" s="7">
        <f>INDEX(Variables!$B$5:$B$65,MATCH($A668,Variables!$A$5:$A$65,0))&amp;IF($C668="",""," | "&amp;INDEX(Mapping!$B$5:$B$25,MATCH($C668,Mapping!$A$5:$A$25,0))&amp;" | "&amp;INDEX(Mapping!$B$29:$B$38,MATCH($B668,Mapping!$A$29:$A$38,0)))</f>
        <v/>
      </c>
      <c r="I668" s="7">
        <f>INDEX(Variables!$C$5:$C$65,MATCH($A668,Variables!$A$5:$A$65,0))</f>
        <v/>
      </c>
      <c r="J668" s="7">
        <f>INDEX(Variables!$E$5:$E$65,MATCH($A668,Variables!$A$5:$A$65,0))</f>
        <v/>
      </c>
      <c r="K668" s="26">
        <f>LOWER(Settings!$C$4)&amp;".mit."&amp;$A668&amp;IF($C668="","","."&amp;$C668&amp;"."&amp;$B668)&amp;IF(INDEX(Variables!$D$5:$D$65,MATCH($A668,Variables!$A$5:$A$65,0))="","","."&amp;INDEX(Variables!$D$5:$D$65,MATCH($A668,Variables!$A$5:$A$65,0)))&amp;"."&amp;K$5</f>
        <v/>
      </c>
      <c r="L668" s="34">
        <f>SUM(L732:L739)</f>
        <v/>
      </c>
      <c r="M668" s="35">
        <f>SUM(M732:M739)</f>
        <v/>
      </c>
      <c r="N668" s="35">
        <f>SUM(N732:N739)</f>
        <v/>
      </c>
      <c r="O668" s="35">
        <f>SUM(O732:O739)</f>
        <v/>
      </c>
      <c r="P668" s="35">
        <f>SUM(P732:P739)</f>
        <v/>
      </c>
      <c r="Q668" s="35">
        <f>SUM(Q732:Q739)</f>
        <v/>
      </c>
      <c r="R668" s="35">
        <f>SUM(R732:R739)</f>
        <v/>
      </c>
      <c r="S668" s="35">
        <f>SUM(S732:S739)</f>
        <v/>
      </c>
      <c r="T668" s="35">
        <f>SUM(T732:T739)</f>
        <v/>
      </c>
      <c r="U668" s="35">
        <f>SUM(U732:U739)</f>
        <v/>
      </c>
      <c r="V668" s="35">
        <f>SUM(V732:V739)</f>
        <v/>
      </c>
      <c r="W668" s="35">
        <f>SUM(W732:W739)</f>
        <v/>
      </c>
      <c r="X668" s="35">
        <f>SUM(X732:X739)</f>
        <v/>
      </c>
      <c r="Y668" s="35">
        <f>SUM(Y732:Y739)</f>
        <v/>
      </c>
      <c r="Z668" s="26">
        <f>LOWER(Settings!$C$4)&amp;".mit."&amp;$A668&amp;IF($C668="","","."&amp;$C668&amp;"."&amp;$B668)&amp;IF(INDEX(Variables!$D$5:$D$65,MATCH($A668,Variables!$A$5:$A$65,0))="","","."&amp;INDEX(Variables!$D$5:$D$65,MATCH($A668,Variables!$A$5:$A$65,0)))&amp;"."&amp;Z$5</f>
        <v/>
      </c>
      <c r="AA668" s="34">
        <f>SUM(AA732:AA739)</f>
        <v/>
      </c>
      <c r="AB668" s="35">
        <f>SUM(AB732:AB739)</f>
        <v/>
      </c>
      <c r="AC668" s="35">
        <f>SUM(AC732:AC739)</f>
        <v/>
      </c>
      <c r="AD668" s="35">
        <f>SUM(AD732:AD739)</f>
        <v/>
      </c>
      <c r="AE668" s="35">
        <f>SUM(AE732:AE739)</f>
        <v/>
      </c>
      <c r="AF668" s="35">
        <f>SUM(AF732:AF739)</f>
        <v/>
      </c>
      <c r="AG668" s="35">
        <f>SUM(AG732:AG739)</f>
        <v/>
      </c>
      <c r="AH668" s="35">
        <f>SUM(AH732:AH739)</f>
        <v/>
      </c>
      <c r="AI668" s="35">
        <f>SUM(AI732:AI739)</f>
        <v/>
      </c>
      <c r="AJ668" s="35">
        <f>SUM(AJ732:AJ739)</f>
        <v/>
      </c>
      <c r="AK668" s="35">
        <f>SUM(AK732:AK739)</f>
        <v/>
      </c>
      <c r="AL668" s="35">
        <f>SUM(AL732:AL739)</f>
        <v/>
      </c>
      <c r="AM668" s="35">
        <f>SUM(AM732:AM739)</f>
        <v/>
      </c>
      <c r="AN668" s="35">
        <f>SUM(AN732:AN739)</f>
        <v/>
      </c>
    </row>
    <row r="669" hidden="1" outlineLevel="2">
      <c r="A669" s="5" t="inlineStr">
        <is>
          <t>sp</t>
        </is>
      </c>
      <c r="B669" s="5" t="inlineStr">
        <is>
          <t>coa</t>
        </is>
      </c>
      <c r="C669" s="5" t="inlineStr">
        <is>
          <t>mch</t>
        </is>
      </c>
      <c r="D669" s="36">
        <f>INDEX(Inputs!$R$5:$R$132,MATCH($B669&amp;"|"&amp;$C669,Inputs!$A$5:$A$132,0))</f>
        <v/>
      </c>
      <c r="E669" s="37" t="n"/>
      <c r="F669" s="37" t="n"/>
      <c r="G669" s="37" t="n"/>
      <c r="H669" s="5">
        <f>INDEX(Variables!$B$5:$B$65,MATCH($A669,Variables!$A$5:$A$65,0))&amp;IF($C669="",""," | "&amp;INDEX(Mapping!$B$5:$B$25,MATCH($C669,Mapping!$A$5:$A$25,0))&amp;" | "&amp;INDEX(Mapping!$B$29:$B$38,MATCH($B669,Mapping!$A$29:$A$38,0)))</f>
        <v/>
      </c>
      <c r="I669" s="5">
        <f>INDEX(Variables!$C$5:$C$65,MATCH($A669,Variables!$A$5:$A$65,0))</f>
        <v/>
      </c>
      <c r="J669" s="5">
        <f>INDEX(Variables!$E$5:$E$65,MATCH($A669,Variables!$A$5:$A$65,0))</f>
        <v/>
      </c>
      <c r="K669" s="23">
        <f>LOWER(Settings!$C$4)&amp;".mit."&amp;$A669&amp;IF($C669="","","."&amp;$C669&amp;"."&amp;$B669)&amp;IF(INDEX(Variables!$D$5:$D$65,MATCH($A669,Variables!$A$5:$A$65,0))="","","."&amp;INDEX(Variables!$D$5:$D$65,MATCH($A669,Variables!$A$5:$A$65,0)))&amp;"."&amp;K$5</f>
        <v/>
      </c>
      <c r="L669" s="38">
        <f>INDEX(Inputs!$S$5:$S$132,MATCH($B669&amp;"|"&amp;$C669,Inputs!$A$5:$A$132,0))</f>
        <v/>
      </c>
      <c r="M669" s="36">
        <f>L669*(1+$D669)</f>
        <v/>
      </c>
      <c r="N669" s="36">
        <f>M669*(1+$D669)</f>
        <v/>
      </c>
      <c r="O669" s="36">
        <f>N669*(1+$D669)</f>
        <v/>
      </c>
      <c r="P669" s="36">
        <f>O669*(1+$D669)</f>
        <v/>
      </c>
      <c r="Q669" s="36">
        <f>P669*(1+$D669)</f>
        <v/>
      </c>
      <c r="R669" s="36">
        <f>Q669*(1+$D669)</f>
        <v/>
      </c>
      <c r="S669" s="36">
        <f>R669*(1+$D669)</f>
        <v/>
      </c>
      <c r="T669" s="36">
        <f>S669*(1+$D669)</f>
        <v/>
      </c>
      <c r="U669" s="36">
        <f>T669*(1+$D669)</f>
        <v/>
      </c>
      <c r="V669" s="36">
        <f>U669*(1+$D669)</f>
        <v/>
      </c>
      <c r="W669" s="36">
        <f>V669*(1+$D669)</f>
        <v/>
      </c>
      <c r="X669" s="36">
        <f>W669*(1+$D669)</f>
        <v/>
      </c>
      <c r="Y669" s="39">
        <f>PRETAX(X669,$D669)</f>
        <v/>
      </c>
      <c r="Z669" s="23">
        <f>LOWER(Settings!$C$4)&amp;".mit."&amp;$A669&amp;IF($C669="","","."&amp;$C669&amp;"."&amp;$B669)&amp;IF(INDEX(Variables!$D$5:$D$65,MATCH($A669,Variables!$A$5:$A$65,0))="","","."&amp;INDEX(Variables!$D$5:$D$65,MATCH($A669,Variables!$A$5:$A$65,0)))&amp;"."&amp;Z$5</f>
        <v/>
      </c>
      <c r="AA669" s="38">
        <f>INDEX(Inputs!$S$5:$S$132,MATCH($B669&amp;"|"&amp;$C669,Inputs!$A$5:$A$132,0))</f>
        <v/>
      </c>
      <c r="AB669" s="36">
        <f>AA669*(1+$D669)</f>
        <v/>
      </c>
      <c r="AC669" s="36">
        <f>AB669*(1+$D669)</f>
        <v/>
      </c>
      <c r="AD669" s="36">
        <f>AC669*(1+$D669)</f>
        <v/>
      </c>
      <c r="AE669" s="36">
        <f>AD669*(1+$D669)</f>
        <v/>
      </c>
      <c r="AF669" s="36">
        <f>AE669*(1+$D669)</f>
        <v/>
      </c>
      <c r="AG669" s="36">
        <f>AF669*(1+$D669)</f>
        <v/>
      </c>
      <c r="AH669" s="36">
        <f>AG669*(1+$D669)</f>
        <v/>
      </c>
      <c r="AI669" s="36">
        <f>AH669*(1+$D669)</f>
        <v/>
      </c>
      <c r="AJ669" s="36">
        <f>AI669*(1+$D669)</f>
        <v/>
      </c>
      <c r="AK669" s="36">
        <f>AJ669*(1+$D669)</f>
        <v/>
      </c>
      <c r="AL669" s="36">
        <f>AK669*(1+$D669)</f>
        <v/>
      </c>
      <c r="AM669" s="36">
        <f>AL669*(1+$D669)</f>
        <v/>
      </c>
      <c r="AN669" s="39">
        <f>PRETAX(AM669,$D669)</f>
        <v/>
      </c>
    </row>
    <row r="670" hidden="1" outlineLevel="2">
      <c r="A670" s="5" t="inlineStr">
        <is>
          <t>sp</t>
        </is>
      </c>
      <c r="B670" s="5" t="inlineStr">
        <is>
          <t>nga</t>
        </is>
      </c>
      <c r="C670" s="5" t="inlineStr">
        <is>
          <t>mch</t>
        </is>
      </c>
      <c r="D670" s="36">
        <f>INDEX(Inputs!$R$5:$R$132,MATCH($B670&amp;"|"&amp;$C670,Inputs!$A$5:$A$132,0))</f>
        <v/>
      </c>
      <c r="E670" s="37" t="n"/>
      <c r="F670" s="37" t="n"/>
      <c r="G670" s="37" t="n"/>
      <c r="H670" s="5">
        <f>INDEX(Variables!$B$5:$B$65,MATCH($A670,Variables!$A$5:$A$65,0))&amp;IF($C670="",""," | "&amp;INDEX(Mapping!$B$5:$B$25,MATCH($C670,Mapping!$A$5:$A$25,0))&amp;" | "&amp;INDEX(Mapping!$B$29:$B$38,MATCH($B670,Mapping!$A$29:$A$38,0)))</f>
        <v/>
      </c>
      <c r="I670" s="5">
        <f>INDEX(Variables!$C$5:$C$65,MATCH($A670,Variables!$A$5:$A$65,0))</f>
        <v/>
      </c>
      <c r="J670" s="5">
        <f>INDEX(Variables!$E$5:$E$65,MATCH($A670,Variables!$A$5:$A$65,0))</f>
        <v/>
      </c>
      <c r="K670" s="23">
        <f>LOWER(Settings!$C$4)&amp;".mit."&amp;$A670&amp;IF($C670="","","."&amp;$C670&amp;"."&amp;$B670)&amp;IF(INDEX(Variables!$D$5:$D$65,MATCH($A670,Variables!$A$5:$A$65,0))="","","."&amp;INDEX(Variables!$D$5:$D$65,MATCH($A670,Variables!$A$5:$A$65,0)))&amp;"."&amp;K$5</f>
        <v/>
      </c>
      <c r="L670" s="38">
        <f>INDEX(Inputs!$S$5:$S$132,MATCH($B670&amp;"|"&amp;$C670,Inputs!$A$5:$A$132,0))</f>
        <v/>
      </c>
      <c r="M670" s="36">
        <f>L670*(1+$D670)</f>
        <v/>
      </c>
      <c r="N670" s="36">
        <f>M670*(1+$D670)</f>
        <v/>
      </c>
      <c r="O670" s="36">
        <f>N670*(1+$D670)</f>
        <v/>
      </c>
      <c r="P670" s="36">
        <f>O670*(1+$D670)</f>
        <v/>
      </c>
      <c r="Q670" s="36">
        <f>P670*(1+$D670)</f>
        <v/>
      </c>
      <c r="R670" s="36">
        <f>Q670*(1+$D670)</f>
        <v/>
      </c>
      <c r="S670" s="36">
        <f>R670*(1+$D670)</f>
        <v/>
      </c>
      <c r="T670" s="36">
        <f>S670*(1+$D670)</f>
        <v/>
      </c>
      <c r="U670" s="36">
        <f>T670*(1+$D670)</f>
        <v/>
      </c>
      <c r="V670" s="36">
        <f>U670*(1+$D670)</f>
        <v/>
      </c>
      <c r="W670" s="36">
        <f>V670*(1+$D670)</f>
        <v/>
      </c>
      <c r="X670" s="36">
        <f>W670*(1+$D670)</f>
        <v/>
      </c>
      <c r="Y670" s="39">
        <f>PRETAX(X670,$D670)</f>
        <v/>
      </c>
      <c r="Z670" s="23">
        <f>LOWER(Settings!$C$4)&amp;".mit."&amp;$A670&amp;IF($C670="","","."&amp;$C670&amp;"."&amp;$B670)&amp;IF(INDEX(Variables!$D$5:$D$65,MATCH($A670,Variables!$A$5:$A$65,0))="","","."&amp;INDEX(Variables!$D$5:$D$65,MATCH($A670,Variables!$A$5:$A$65,0)))&amp;"."&amp;Z$5</f>
        <v/>
      </c>
      <c r="AA670" s="38">
        <f>INDEX(Inputs!$S$5:$S$132,MATCH($B670&amp;"|"&amp;$C670,Inputs!$A$5:$A$132,0))</f>
        <v/>
      </c>
      <c r="AB670" s="36">
        <f>AA670*(1+$D670)</f>
        <v/>
      </c>
      <c r="AC670" s="36">
        <f>AB670*(1+$D670)</f>
        <v/>
      </c>
      <c r="AD670" s="36">
        <f>AC670*(1+$D670)</f>
        <v/>
      </c>
      <c r="AE670" s="36">
        <f>AD670*(1+$D670)</f>
        <v/>
      </c>
      <c r="AF670" s="36">
        <f>AE670*(1+$D670)</f>
        <v/>
      </c>
      <c r="AG670" s="36">
        <f>AF670*(1+$D670)</f>
        <v/>
      </c>
      <c r="AH670" s="36">
        <f>AG670*(1+$D670)</f>
        <v/>
      </c>
      <c r="AI670" s="36">
        <f>AH670*(1+$D670)</f>
        <v/>
      </c>
      <c r="AJ670" s="36">
        <f>AI670*(1+$D670)</f>
        <v/>
      </c>
      <c r="AK670" s="36">
        <f>AJ670*(1+$D670)</f>
        <v/>
      </c>
      <c r="AL670" s="36">
        <f>AK670*(1+$D670)</f>
        <v/>
      </c>
      <c r="AM670" s="36">
        <f>AL670*(1+$D670)</f>
        <v/>
      </c>
      <c r="AN670" s="39">
        <f>PRETAX(AM670,$D670)</f>
        <v/>
      </c>
    </row>
    <row r="671" hidden="1" outlineLevel="2">
      <c r="A671" s="5" t="inlineStr">
        <is>
          <t>sp</t>
        </is>
      </c>
      <c r="B671" s="5" t="inlineStr">
        <is>
          <t>gso</t>
        </is>
      </c>
      <c r="C671" s="5" t="inlineStr">
        <is>
          <t>mch</t>
        </is>
      </c>
      <c r="D671" s="36">
        <f>INDEX(Inputs!$R$5:$R$132,MATCH($B671&amp;"|"&amp;$C671,Inputs!$A$5:$A$132,0))</f>
        <v/>
      </c>
      <c r="E671" s="37" t="n"/>
      <c r="F671" s="37" t="n"/>
      <c r="G671" s="37" t="n"/>
      <c r="H671" s="5">
        <f>INDEX(Variables!$B$5:$B$65,MATCH($A671,Variables!$A$5:$A$65,0))&amp;IF($C671="",""," | "&amp;INDEX(Mapping!$B$5:$B$25,MATCH($C671,Mapping!$A$5:$A$25,0))&amp;" | "&amp;INDEX(Mapping!$B$29:$B$38,MATCH($B671,Mapping!$A$29:$A$38,0)))</f>
        <v/>
      </c>
      <c r="I671" s="5">
        <f>INDEX(Variables!$C$5:$C$65,MATCH($A671,Variables!$A$5:$A$65,0))</f>
        <v/>
      </c>
      <c r="J671" s="5">
        <f>INDEX(Variables!$E$5:$E$65,MATCH($A671,Variables!$A$5:$A$65,0))</f>
        <v/>
      </c>
      <c r="K671" s="23">
        <f>LOWER(Settings!$C$4)&amp;".mit."&amp;$A671&amp;IF($C671="","","."&amp;$C671&amp;"."&amp;$B671)&amp;IF(INDEX(Variables!$D$5:$D$65,MATCH($A671,Variables!$A$5:$A$65,0))="","","."&amp;INDEX(Variables!$D$5:$D$65,MATCH($A671,Variables!$A$5:$A$65,0)))&amp;"."&amp;K$5</f>
        <v/>
      </c>
      <c r="L671" s="38">
        <f>INDEX(Inputs!$S$5:$S$132,MATCH($B671&amp;"|"&amp;$C671,Inputs!$A$5:$A$132,0))</f>
        <v/>
      </c>
      <c r="M671" s="36">
        <f>L671*(1+$D671)</f>
        <v/>
      </c>
      <c r="N671" s="36">
        <f>M671*(1+$D671)</f>
        <v/>
      </c>
      <c r="O671" s="36">
        <f>N671*(1+$D671)</f>
        <v/>
      </c>
      <c r="P671" s="36">
        <f>O671*(1+$D671)</f>
        <v/>
      </c>
      <c r="Q671" s="36">
        <f>P671*(1+$D671)</f>
        <v/>
      </c>
      <c r="R671" s="36">
        <f>Q671*(1+$D671)</f>
        <v/>
      </c>
      <c r="S671" s="36">
        <f>R671*(1+$D671)</f>
        <v/>
      </c>
      <c r="T671" s="36">
        <f>S671*(1+$D671)</f>
        <v/>
      </c>
      <c r="U671" s="36">
        <f>T671*(1+$D671)</f>
        <v/>
      </c>
      <c r="V671" s="36">
        <f>U671*(1+$D671)</f>
        <v/>
      </c>
      <c r="W671" s="36">
        <f>V671*(1+$D671)</f>
        <v/>
      </c>
      <c r="X671" s="36">
        <f>W671*(1+$D671)</f>
        <v/>
      </c>
      <c r="Y671" s="39">
        <f>PRETAX(X671,$D671)</f>
        <v/>
      </c>
      <c r="Z671" s="23">
        <f>LOWER(Settings!$C$4)&amp;".mit."&amp;$A671&amp;IF($C671="","","."&amp;$C671&amp;"."&amp;$B671)&amp;IF(INDEX(Variables!$D$5:$D$65,MATCH($A671,Variables!$A$5:$A$65,0))="","","."&amp;INDEX(Variables!$D$5:$D$65,MATCH($A671,Variables!$A$5:$A$65,0)))&amp;"."&amp;Z$5</f>
        <v/>
      </c>
      <c r="AA671" s="38">
        <f>INDEX(Inputs!$S$5:$S$132,MATCH($B671&amp;"|"&amp;$C671,Inputs!$A$5:$A$132,0))</f>
        <v/>
      </c>
      <c r="AB671" s="36">
        <f>AA671*(1+$D671)</f>
        <v/>
      </c>
      <c r="AC671" s="36">
        <f>AB671*(1+$D671)</f>
        <v/>
      </c>
      <c r="AD671" s="36">
        <f>AC671*(1+$D671)</f>
        <v/>
      </c>
      <c r="AE671" s="36">
        <f>AD671*(1+$D671)</f>
        <v/>
      </c>
      <c r="AF671" s="36">
        <f>AE671*(1+$D671)</f>
        <v/>
      </c>
      <c r="AG671" s="36">
        <f>AF671*(1+$D671)</f>
        <v/>
      </c>
      <c r="AH671" s="36">
        <f>AG671*(1+$D671)</f>
        <v/>
      </c>
      <c r="AI671" s="36">
        <f>AH671*(1+$D671)</f>
        <v/>
      </c>
      <c r="AJ671" s="36">
        <f>AI671*(1+$D671)</f>
        <v/>
      </c>
      <c r="AK671" s="36">
        <f>AJ671*(1+$D671)</f>
        <v/>
      </c>
      <c r="AL671" s="36">
        <f>AK671*(1+$D671)</f>
        <v/>
      </c>
      <c r="AM671" s="36">
        <f>AL671*(1+$D671)</f>
        <v/>
      </c>
      <c r="AN671" s="39">
        <f>PRETAX(AM671,$D671)</f>
        <v/>
      </c>
    </row>
    <row r="672" hidden="1" outlineLevel="2">
      <c r="A672" s="5" t="inlineStr">
        <is>
          <t>sp</t>
        </is>
      </c>
      <c r="B672" s="5" t="inlineStr">
        <is>
          <t>die</t>
        </is>
      </c>
      <c r="C672" s="5" t="inlineStr">
        <is>
          <t>mch</t>
        </is>
      </c>
      <c r="D672" s="36">
        <f>INDEX(Inputs!$R$5:$R$132,MATCH($B672&amp;"|"&amp;$C672,Inputs!$A$5:$A$132,0))</f>
        <v/>
      </c>
      <c r="E672" s="37" t="n"/>
      <c r="F672" s="37" t="n"/>
      <c r="G672" s="37" t="n"/>
      <c r="H672" s="5">
        <f>INDEX(Variables!$B$5:$B$65,MATCH($A672,Variables!$A$5:$A$65,0))&amp;IF($C672="",""," | "&amp;INDEX(Mapping!$B$5:$B$25,MATCH($C672,Mapping!$A$5:$A$25,0))&amp;" | "&amp;INDEX(Mapping!$B$29:$B$38,MATCH($B672,Mapping!$A$29:$A$38,0)))</f>
        <v/>
      </c>
      <c r="I672" s="5">
        <f>INDEX(Variables!$C$5:$C$65,MATCH($A672,Variables!$A$5:$A$65,0))</f>
        <v/>
      </c>
      <c r="J672" s="5">
        <f>INDEX(Variables!$E$5:$E$65,MATCH($A672,Variables!$A$5:$A$65,0))</f>
        <v/>
      </c>
      <c r="K672" s="23">
        <f>LOWER(Settings!$C$4)&amp;".mit."&amp;$A672&amp;IF($C672="","","."&amp;$C672&amp;"."&amp;$B672)&amp;IF(INDEX(Variables!$D$5:$D$65,MATCH($A672,Variables!$A$5:$A$65,0))="","","."&amp;INDEX(Variables!$D$5:$D$65,MATCH($A672,Variables!$A$5:$A$65,0)))&amp;"."&amp;K$5</f>
        <v/>
      </c>
      <c r="L672" s="38">
        <f>INDEX(Inputs!$S$5:$S$132,MATCH($B672&amp;"|"&amp;$C672,Inputs!$A$5:$A$132,0))</f>
        <v/>
      </c>
      <c r="M672" s="36">
        <f>L672*(1+$D672)</f>
        <v/>
      </c>
      <c r="N672" s="36">
        <f>M672*(1+$D672)</f>
        <v/>
      </c>
      <c r="O672" s="36">
        <f>N672*(1+$D672)</f>
        <v/>
      </c>
      <c r="P672" s="36">
        <f>O672*(1+$D672)</f>
        <v/>
      </c>
      <c r="Q672" s="36">
        <f>P672*(1+$D672)</f>
        <v/>
      </c>
      <c r="R672" s="36">
        <f>Q672*(1+$D672)</f>
        <v/>
      </c>
      <c r="S672" s="36">
        <f>R672*(1+$D672)</f>
        <v/>
      </c>
      <c r="T672" s="36">
        <f>S672*(1+$D672)</f>
        <v/>
      </c>
      <c r="U672" s="36">
        <f>T672*(1+$D672)</f>
        <v/>
      </c>
      <c r="V672" s="36">
        <f>U672*(1+$D672)</f>
        <v/>
      </c>
      <c r="W672" s="36">
        <f>V672*(1+$D672)</f>
        <v/>
      </c>
      <c r="X672" s="36">
        <f>W672*(1+$D672)</f>
        <v/>
      </c>
      <c r="Y672" s="39">
        <f>PRETAX(X672,$D672)</f>
        <v/>
      </c>
      <c r="Z672" s="23">
        <f>LOWER(Settings!$C$4)&amp;".mit."&amp;$A672&amp;IF($C672="","","."&amp;$C672&amp;"."&amp;$B672)&amp;IF(INDEX(Variables!$D$5:$D$65,MATCH($A672,Variables!$A$5:$A$65,0))="","","."&amp;INDEX(Variables!$D$5:$D$65,MATCH($A672,Variables!$A$5:$A$65,0)))&amp;"."&amp;Z$5</f>
        <v/>
      </c>
      <c r="AA672" s="38">
        <f>INDEX(Inputs!$S$5:$S$132,MATCH($B672&amp;"|"&amp;$C672,Inputs!$A$5:$A$132,0))</f>
        <v/>
      </c>
      <c r="AB672" s="36">
        <f>AA672*(1+$D672)</f>
        <v/>
      </c>
      <c r="AC672" s="36">
        <f>AB672*(1+$D672)</f>
        <v/>
      </c>
      <c r="AD672" s="36">
        <f>AC672*(1+$D672)</f>
        <v/>
      </c>
      <c r="AE672" s="36">
        <f>AD672*(1+$D672)</f>
        <v/>
      </c>
      <c r="AF672" s="36">
        <f>AE672*(1+$D672)</f>
        <v/>
      </c>
      <c r="AG672" s="36">
        <f>AF672*(1+$D672)</f>
        <v/>
      </c>
      <c r="AH672" s="36">
        <f>AG672*(1+$D672)</f>
        <v/>
      </c>
      <c r="AI672" s="36">
        <f>AH672*(1+$D672)</f>
        <v/>
      </c>
      <c r="AJ672" s="36">
        <f>AI672*(1+$D672)</f>
        <v/>
      </c>
      <c r="AK672" s="36">
        <f>AJ672*(1+$D672)</f>
        <v/>
      </c>
      <c r="AL672" s="36">
        <f>AK672*(1+$D672)</f>
        <v/>
      </c>
      <c r="AM672" s="36">
        <f>AL672*(1+$D672)</f>
        <v/>
      </c>
      <c r="AN672" s="39">
        <f>PRETAX(AM672,$D672)</f>
        <v/>
      </c>
    </row>
    <row r="673" hidden="1" outlineLevel="2">
      <c r="A673" s="5" t="inlineStr">
        <is>
          <t>sp</t>
        </is>
      </c>
      <c r="B673" s="5" t="inlineStr">
        <is>
          <t>lpg</t>
        </is>
      </c>
      <c r="C673" s="5" t="inlineStr">
        <is>
          <t>mch</t>
        </is>
      </c>
      <c r="D673" s="36">
        <f>INDEX(Inputs!$R$5:$R$132,MATCH($B673&amp;"|"&amp;$C673,Inputs!$A$5:$A$132,0))</f>
        <v/>
      </c>
      <c r="E673" s="37" t="n"/>
      <c r="F673" s="37" t="n"/>
      <c r="G673" s="37" t="n"/>
      <c r="H673" s="5">
        <f>INDEX(Variables!$B$5:$B$65,MATCH($A673,Variables!$A$5:$A$65,0))&amp;IF($C673="",""," | "&amp;INDEX(Mapping!$B$5:$B$25,MATCH($C673,Mapping!$A$5:$A$25,0))&amp;" | "&amp;INDEX(Mapping!$B$29:$B$38,MATCH($B673,Mapping!$A$29:$A$38,0)))</f>
        <v/>
      </c>
      <c r="I673" s="5">
        <f>INDEX(Variables!$C$5:$C$65,MATCH($A673,Variables!$A$5:$A$65,0))</f>
        <v/>
      </c>
      <c r="J673" s="5">
        <f>INDEX(Variables!$E$5:$E$65,MATCH($A673,Variables!$A$5:$A$65,0))</f>
        <v/>
      </c>
      <c r="K673" s="23">
        <f>LOWER(Settings!$C$4)&amp;".mit."&amp;$A673&amp;IF($C673="","","."&amp;$C673&amp;"."&amp;$B673)&amp;IF(INDEX(Variables!$D$5:$D$65,MATCH($A673,Variables!$A$5:$A$65,0))="","","."&amp;INDEX(Variables!$D$5:$D$65,MATCH($A673,Variables!$A$5:$A$65,0)))&amp;"."&amp;K$5</f>
        <v/>
      </c>
      <c r="L673" s="38">
        <f>INDEX(Inputs!$S$5:$S$132,MATCH($B673&amp;"|"&amp;$C673,Inputs!$A$5:$A$132,0))</f>
        <v/>
      </c>
      <c r="M673" s="36">
        <f>L673*(1+$D673)</f>
        <v/>
      </c>
      <c r="N673" s="36">
        <f>M673*(1+$D673)</f>
        <v/>
      </c>
      <c r="O673" s="36">
        <f>N673*(1+$D673)</f>
        <v/>
      </c>
      <c r="P673" s="36">
        <f>O673*(1+$D673)</f>
        <v/>
      </c>
      <c r="Q673" s="36">
        <f>P673*(1+$D673)</f>
        <v/>
      </c>
      <c r="R673" s="36">
        <f>Q673*(1+$D673)</f>
        <v/>
      </c>
      <c r="S673" s="36">
        <f>R673*(1+$D673)</f>
        <v/>
      </c>
      <c r="T673" s="36">
        <f>S673*(1+$D673)</f>
        <v/>
      </c>
      <c r="U673" s="36">
        <f>T673*(1+$D673)</f>
        <v/>
      </c>
      <c r="V673" s="36">
        <f>U673*(1+$D673)</f>
        <v/>
      </c>
      <c r="W673" s="36">
        <f>V673*(1+$D673)</f>
        <v/>
      </c>
      <c r="X673" s="36">
        <f>W673*(1+$D673)</f>
        <v/>
      </c>
      <c r="Y673" s="39">
        <f>PRETAX(X673,$D673)</f>
        <v/>
      </c>
      <c r="Z673" s="23">
        <f>LOWER(Settings!$C$4)&amp;".mit."&amp;$A673&amp;IF($C673="","","."&amp;$C673&amp;"."&amp;$B673)&amp;IF(INDEX(Variables!$D$5:$D$65,MATCH($A673,Variables!$A$5:$A$65,0))="","","."&amp;INDEX(Variables!$D$5:$D$65,MATCH($A673,Variables!$A$5:$A$65,0)))&amp;"."&amp;Z$5</f>
        <v/>
      </c>
      <c r="AA673" s="38">
        <f>INDEX(Inputs!$S$5:$S$132,MATCH($B673&amp;"|"&amp;$C673,Inputs!$A$5:$A$132,0))</f>
        <v/>
      </c>
      <c r="AB673" s="36">
        <f>AA673*(1+$D673)</f>
        <v/>
      </c>
      <c r="AC673" s="36">
        <f>AB673*(1+$D673)</f>
        <v/>
      </c>
      <c r="AD673" s="36">
        <f>AC673*(1+$D673)</f>
        <v/>
      </c>
      <c r="AE673" s="36">
        <f>AD673*(1+$D673)</f>
        <v/>
      </c>
      <c r="AF673" s="36">
        <f>AE673*(1+$D673)</f>
        <v/>
      </c>
      <c r="AG673" s="36">
        <f>AF673*(1+$D673)</f>
        <v/>
      </c>
      <c r="AH673" s="36">
        <f>AG673*(1+$D673)</f>
        <v/>
      </c>
      <c r="AI673" s="36">
        <f>AH673*(1+$D673)</f>
        <v/>
      </c>
      <c r="AJ673" s="36">
        <f>AI673*(1+$D673)</f>
        <v/>
      </c>
      <c r="AK673" s="36">
        <f>AJ673*(1+$D673)</f>
        <v/>
      </c>
      <c r="AL673" s="36">
        <f>AK673*(1+$D673)</f>
        <v/>
      </c>
      <c r="AM673" s="36">
        <f>AL673*(1+$D673)</f>
        <v/>
      </c>
      <c r="AN673" s="39">
        <f>PRETAX(AM673,$D673)</f>
        <v/>
      </c>
    </row>
    <row r="674" hidden="1" outlineLevel="2">
      <c r="A674" s="5" t="inlineStr">
        <is>
          <t>sp</t>
        </is>
      </c>
      <c r="B674" s="5" t="inlineStr">
        <is>
          <t>ker</t>
        </is>
      </c>
      <c r="C674" s="5" t="inlineStr">
        <is>
          <t>mch</t>
        </is>
      </c>
      <c r="D674" s="36">
        <f>INDEX(Inputs!$R$5:$R$132,MATCH($B674&amp;"|"&amp;$C674,Inputs!$A$5:$A$132,0))</f>
        <v/>
      </c>
      <c r="E674" s="37" t="n"/>
      <c r="F674" s="37" t="n"/>
      <c r="G674" s="37" t="n"/>
      <c r="H674" s="5">
        <f>INDEX(Variables!$B$5:$B$65,MATCH($A674,Variables!$A$5:$A$65,0))&amp;IF($C674="",""," | "&amp;INDEX(Mapping!$B$5:$B$25,MATCH($C674,Mapping!$A$5:$A$25,0))&amp;" | "&amp;INDEX(Mapping!$B$29:$B$38,MATCH($B674,Mapping!$A$29:$A$38,0)))</f>
        <v/>
      </c>
      <c r="I674" s="5">
        <f>INDEX(Variables!$C$5:$C$65,MATCH($A674,Variables!$A$5:$A$65,0))</f>
        <v/>
      </c>
      <c r="J674" s="5">
        <f>INDEX(Variables!$E$5:$E$65,MATCH($A674,Variables!$A$5:$A$65,0))</f>
        <v/>
      </c>
      <c r="K674" s="23">
        <f>LOWER(Settings!$C$4)&amp;".mit."&amp;$A674&amp;IF($C674="","","."&amp;$C674&amp;"."&amp;$B674)&amp;IF(INDEX(Variables!$D$5:$D$65,MATCH($A674,Variables!$A$5:$A$65,0))="","","."&amp;INDEX(Variables!$D$5:$D$65,MATCH($A674,Variables!$A$5:$A$65,0)))&amp;"."&amp;K$5</f>
        <v/>
      </c>
      <c r="L674" s="38">
        <f>INDEX(Inputs!$S$5:$S$132,MATCH($B674&amp;"|"&amp;$C674,Inputs!$A$5:$A$132,0))</f>
        <v/>
      </c>
      <c r="M674" s="36">
        <f>L674*(1+$D674)</f>
        <v/>
      </c>
      <c r="N674" s="36">
        <f>M674*(1+$D674)</f>
        <v/>
      </c>
      <c r="O674" s="36">
        <f>N674*(1+$D674)</f>
        <v/>
      </c>
      <c r="P674" s="36">
        <f>O674*(1+$D674)</f>
        <v/>
      </c>
      <c r="Q674" s="36">
        <f>P674*(1+$D674)</f>
        <v/>
      </c>
      <c r="R674" s="36">
        <f>Q674*(1+$D674)</f>
        <v/>
      </c>
      <c r="S674" s="36">
        <f>R674*(1+$D674)</f>
        <v/>
      </c>
      <c r="T674" s="36">
        <f>S674*(1+$D674)</f>
        <v/>
      </c>
      <c r="U674" s="36">
        <f>T674*(1+$D674)</f>
        <v/>
      </c>
      <c r="V674" s="36">
        <f>U674*(1+$D674)</f>
        <v/>
      </c>
      <c r="W674" s="36">
        <f>V674*(1+$D674)</f>
        <v/>
      </c>
      <c r="X674" s="36">
        <f>W674*(1+$D674)</f>
        <v/>
      </c>
      <c r="Y674" s="39">
        <f>PRETAX(X674,$D674)</f>
        <v/>
      </c>
      <c r="Z674" s="23">
        <f>LOWER(Settings!$C$4)&amp;".mit."&amp;$A674&amp;IF($C674="","","."&amp;$C674&amp;"."&amp;$B674)&amp;IF(INDEX(Variables!$D$5:$D$65,MATCH($A674,Variables!$A$5:$A$65,0))="","","."&amp;INDEX(Variables!$D$5:$D$65,MATCH($A674,Variables!$A$5:$A$65,0)))&amp;"."&amp;Z$5</f>
        <v/>
      </c>
      <c r="AA674" s="38">
        <f>INDEX(Inputs!$S$5:$S$132,MATCH($B674&amp;"|"&amp;$C674,Inputs!$A$5:$A$132,0))</f>
        <v/>
      </c>
      <c r="AB674" s="36">
        <f>AA674*(1+$D674)</f>
        <v/>
      </c>
      <c r="AC674" s="36">
        <f>AB674*(1+$D674)</f>
        <v/>
      </c>
      <c r="AD674" s="36">
        <f>AC674*(1+$D674)</f>
        <v/>
      </c>
      <c r="AE674" s="36">
        <f>AD674*(1+$D674)</f>
        <v/>
      </c>
      <c r="AF674" s="36">
        <f>AE674*(1+$D674)</f>
        <v/>
      </c>
      <c r="AG674" s="36">
        <f>AF674*(1+$D674)</f>
        <v/>
      </c>
      <c r="AH674" s="36">
        <f>AG674*(1+$D674)</f>
        <v/>
      </c>
      <c r="AI674" s="36">
        <f>AH674*(1+$D674)</f>
        <v/>
      </c>
      <c r="AJ674" s="36">
        <f>AI674*(1+$D674)</f>
        <v/>
      </c>
      <c r="AK674" s="36">
        <f>AJ674*(1+$D674)</f>
        <v/>
      </c>
      <c r="AL674" s="36">
        <f>AK674*(1+$D674)</f>
        <v/>
      </c>
      <c r="AM674" s="36">
        <f>AL674*(1+$D674)</f>
        <v/>
      </c>
      <c r="AN674" s="39">
        <f>PRETAX(AM674,$D674)</f>
        <v/>
      </c>
    </row>
    <row r="675" hidden="1" outlineLevel="2">
      <c r="A675" s="5" t="inlineStr">
        <is>
          <t>sp</t>
        </is>
      </c>
      <c r="B675" s="5" t="inlineStr">
        <is>
          <t>oop</t>
        </is>
      </c>
      <c r="C675" s="5" t="inlineStr">
        <is>
          <t>mch</t>
        </is>
      </c>
      <c r="D675" s="36">
        <f>INDEX(Inputs!$R$5:$R$132,MATCH($B675&amp;"|"&amp;$C675,Inputs!$A$5:$A$132,0))</f>
        <v/>
      </c>
      <c r="E675" s="37" t="n"/>
      <c r="F675" s="37" t="n"/>
      <c r="G675" s="37" t="n"/>
      <c r="H675" s="5">
        <f>INDEX(Variables!$B$5:$B$65,MATCH($A675,Variables!$A$5:$A$65,0))&amp;IF($C675="",""," | "&amp;INDEX(Mapping!$B$5:$B$25,MATCH($C675,Mapping!$A$5:$A$25,0))&amp;" | "&amp;INDEX(Mapping!$B$29:$B$38,MATCH($B675,Mapping!$A$29:$A$38,0)))</f>
        <v/>
      </c>
      <c r="I675" s="5">
        <f>INDEX(Variables!$C$5:$C$65,MATCH($A675,Variables!$A$5:$A$65,0))</f>
        <v/>
      </c>
      <c r="J675" s="5">
        <f>INDEX(Variables!$E$5:$E$65,MATCH($A675,Variables!$A$5:$A$65,0))</f>
        <v/>
      </c>
      <c r="K675" s="23">
        <f>LOWER(Settings!$C$4)&amp;".mit."&amp;$A675&amp;IF($C675="","","."&amp;$C675&amp;"."&amp;$B675)&amp;IF(INDEX(Variables!$D$5:$D$65,MATCH($A675,Variables!$A$5:$A$65,0))="","","."&amp;INDEX(Variables!$D$5:$D$65,MATCH($A675,Variables!$A$5:$A$65,0)))&amp;"."&amp;K$5</f>
        <v/>
      </c>
      <c r="L675" s="38">
        <f>INDEX(Inputs!$S$5:$S$132,MATCH($B675&amp;"|"&amp;$C675,Inputs!$A$5:$A$132,0))</f>
        <v/>
      </c>
      <c r="M675" s="36">
        <f>L675*(1+$D675)</f>
        <v/>
      </c>
      <c r="N675" s="36">
        <f>M675*(1+$D675)</f>
        <v/>
      </c>
      <c r="O675" s="36">
        <f>N675*(1+$D675)</f>
        <v/>
      </c>
      <c r="P675" s="36">
        <f>O675*(1+$D675)</f>
        <v/>
      </c>
      <c r="Q675" s="36">
        <f>P675*(1+$D675)</f>
        <v/>
      </c>
      <c r="R675" s="36">
        <f>Q675*(1+$D675)</f>
        <v/>
      </c>
      <c r="S675" s="36">
        <f>R675*(1+$D675)</f>
        <v/>
      </c>
      <c r="T675" s="36">
        <f>S675*(1+$D675)</f>
        <v/>
      </c>
      <c r="U675" s="36">
        <f>T675*(1+$D675)</f>
        <v/>
      </c>
      <c r="V675" s="36">
        <f>U675*(1+$D675)</f>
        <v/>
      </c>
      <c r="W675" s="36">
        <f>V675*(1+$D675)</f>
        <v/>
      </c>
      <c r="X675" s="36">
        <f>W675*(1+$D675)</f>
        <v/>
      </c>
      <c r="Y675" s="39">
        <f>PRETAX(X675,$D675)</f>
        <v/>
      </c>
      <c r="Z675" s="23">
        <f>LOWER(Settings!$C$4)&amp;".mit."&amp;$A675&amp;IF($C675="","","."&amp;$C675&amp;"."&amp;$B675)&amp;IF(INDEX(Variables!$D$5:$D$65,MATCH($A675,Variables!$A$5:$A$65,0))="","","."&amp;INDEX(Variables!$D$5:$D$65,MATCH($A675,Variables!$A$5:$A$65,0)))&amp;"."&amp;Z$5</f>
        <v/>
      </c>
      <c r="AA675" s="38">
        <f>INDEX(Inputs!$S$5:$S$132,MATCH($B675&amp;"|"&amp;$C675,Inputs!$A$5:$A$132,0))</f>
        <v/>
      </c>
      <c r="AB675" s="36">
        <f>AA675*(1+$D675)</f>
        <v/>
      </c>
      <c r="AC675" s="36">
        <f>AB675*(1+$D675)</f>
        <v/>
      </c>
      <c r="AD675" s="36">
        <f>AC675*(1+$D675)</f>
        <v/>
      </c>
      <c r="AE675" s="36">
        <f>AD675*(1+$D675)</f>
        <v/>
      </c>
      <c r="AF675" s="36">
        <f>AE675*(1+$D675)</f>
        <v/>
      </c>
      <c r="AG675" s="36">
        <f>AF675*(1+$D675)</f>
        <v/>
      </c>
      <c r="AH675" s="36">
        <f>AG675*(1+$D675)</f>
        <v/>
      </c>
      <c r="AI675" s="36">
        <f>AH675*(1+$D675)</f>
        <v/>
      </c>
      <c r="AJ675" s="36">
        <f>AI675*(1+$D675)</f>
        <v/>
      </c>
      <c r="AK675" s="36">
        <f>AJ675*(1+$D675)</f>
        <v/>
      </c>
      <c r="AL675" s="36">
        <f>AK675*(1+$D675)</f>
        <v/>
      </c>
      <c r="AM675" s="36">
        <f>AL675*(1+$D675)</f>
        <v/>
      </c>
      <c r="AN675" s="39">
        <f>PRETAX(AM675,$D675)</f>
        <v/>
      </c>
    </row>
    <row r="676" hidden="1" outlineLevel="2">
      <c r="A676" s="5" t="inlineStr">
        <is>
          <t>sp</t>
        </is>
      </c>
      <c r="B676" s="5" t="inlineStr">
        <is>
          <t>bio</t>
        </is>
      </c>
      <c r="C676" s="5" t="inlineStr">
        <is>
          <t>mch</t>
        </is>
      </c>
      <c r="D676" s="36">
        <f>INDEX(Inputs!$R$5:$R$132,MATCH($B676&amp;"|"&amp;$C676,Inputs!$A$5:$A$132,0))</f>
        <v/>
      </c>
      <c r="E676" s="37" t="n"/>
      <c r="F676" s="37" t="n"/>
      <c r="G676" s="37" t="n"/>
      <c r="H676" s="5">
        <f>INDEX(Variables!$B$5:$B$65,MATCH($A676,Variables!$A$5:$A$65,0))&amp;IF($C676="",""," | "&amp;INDEX(Mapping!$B$5:$B$25,MATCH($C676,Mapping!$A$5:$A$25,0))&amp;" | "&amp;INDEX(Mapping!$B$29:$B$38,MATCH($B676,Mapping!$A$29:$A$38,0)))</f>
        <v/>
      </c>
      <c r="I676" s="5">
        <f>INDEX(Variables!$C$5:$C$65,MATCH($A676,Variables!$A$5:$A$65,0))</f>
        <v/>
      </c>
      <c r="J676" s="5">
        <f>INDEX(Variables!$E$5:$E$65,MATCH($A676,Variables!$A$5:$A$65,0))</f>
        <v/>
      </c>
      <c r="K676" s="23">
        <f>LOWER(Settings!$C$4)&amp;".mit."&amp;$A676&amp;IF($C676="","","."&amp;$C676&amp;"."&amp;$B676)&amp;IF(INDEX(Variables!$D$5:$D$65,MATCH($A676,Variables!$A$5:$A$65,0))="","","."&amp;INDEX(Variables!$D$5:$D$65,MATCH($A676,Variables!$A$5:$A$65,0)))&amp;"."&amp;K$5</f>
        <v/>
      </c>
      <c r="L676" s="38">
        <f>INDEX(Inputs!$S$5:$S$132,MATCH($B676&amp;"|"&amp;$C676,Inputs!$A$5:$A$132,0))</f>
        <v/>
      </c>
      <c r="M676" s="36">
        <f>L676*(1+$D676)</f>
        <v/>
      </c>
      <c r="N676" s="36">
        <f>M676*(1+$D676)</f>
        <v/>
      </c>
      <c r="O676" s="36">
        <f>N676*(1+$D676)</f>
        <v/>
      </c>
      <c r="P676" s="36">
        <f>O676*(1+$D676)</f>
        <v/>
      </c>
      <c r="Q676" s="36">
        <f>P676*(1+$D676)</f>
        <v/>
      </c>
      <c r="R676" s="36">
        <f>Q676*(1+$D676)</f>
        <v/>
      </c>
      <c r="S676" s="36">
        <f>R676*(1+$D676)</f>
        <v/>
      </c>
      <c r="T676" s="36">
        <f>S676*(1+$D676)</f>
        <v/>
      </c>
      <c r="U676" s="36">
        <f>T676*(1+$D676)</f>
        <v/>
      </c>
      <c r="V676" s="36">
        <f>U676*(1+$D676)</f>
        <v/>
      </c>
      <c r="W676" s="36">
        <f>V676*(1+$D676)</f>
        <v/>
      </c>
      <c r="X676" s="36">
        <f>W676*(1+$D676)</f>
        <v/>
      </c>
      <c r="Y676" s="39">
        <f>PRETAX(X676,$D676)</f>
        <v/>
      </c>
      <c r="Z676" s="23">
        <f>LOWER(Settings!$C$4)&amp;".mit."&amp;$A676&amp;IF($C676="","","."&amp;$C676&amp;"."&amp;$B676)&amp;IF(INDEX(Variables!$D$5:$D$65,MATCH($A676,Variables!$A$5:$A$65,0))="","","."&amp;INDEX(Variables!$D$5:$D$65,MATCH($A676,Variables!$A$5:$A$65,0)))&amp;"."&amp;Z$5</f>
        <v/>
      </c>
      <c r="AA676" s="38">
        <f>INDEX(Inputs!$S$5:$S$132,MATCH($B676&amp;"|"&amp;$C676,Inputs!$A$5:$A$132,0))</f>
        <v/>
      </c>
      <c r="AB676" s="36">
        <f>AA676*(1+$D676)</f>
        <v/>
      </c>
      <c r="AC676" s="36">
        <f>AB676*(1+$D676)</f>
        <v/>
      </c>
      <c r="AD676" s="36">
        <f>AC676*(1+$D676)</f>
        <v/>
      </c>
      <c r="AE676" s="36">
        <f>AD676*(1+$D676)</f>
        <v/>
      </c>
      <c r="AF676" s="36">
        <f>AE676*(1+$D676)</f>
        <v/>
      </c>
      <c r="AG676" s="36">
        <f>AF676*(1+$D676)</f>
        <v/>
      </c>
      <c r="AH676" s="36">
        <f>AG676*(1+$D676)</f>
        <v/>
      </c>
      <c r="AI676" s="36">
        <f>AH676*(1+$D676)</f>
        <v/>
      </c>
      <c r="AJ676" s="36">
        <f>AI676*(1+$D676)</f>
        <v/>
      </c>
      <c r="AK676" s="36">
        <f>AJ676*(1+$D676)</f>
        <v/>
      </c>
      <c r="AL676" s="36">
        <f>AK676*(1+$D676)</f>
        <v/>
      </c>
      <c r="AM676" s="36">
        <f>AL676*(1+$D676)</f>
        <v/>
      </c>
      <c r="AN676" s="39">
        <f>PRETAX(AM676,$D676)</f>
        <v/>
      </c>
    </row>
    <row r="677" hidden="1" outlineLevel="2"/>
    <row r="678" hidden="1" outlineLevel="2">
      <c r="A678" s="5" t="inlineStr">
        <is>
          <t>ctxnew</t>
        </is>
      </c>
      <c r="B678" s="5" t="inlineStr">
        <is>
          <t>coa</t>
        </is>
      </c>
      <c r="C678" s="5" t="inlineStr">
        <is>
          <t>mch</t>
        </is>
      </c>
      <c r="D678" s="36">
        <f>INDEX(Inputs!$U$5:$U$132,MATCH($B678&amp;"|"&amp;$C678,Inputs!$A$5:$A$132,0))</f>
        <v/>
      </c>
      <c r="E678" s="36">
        <f>INDEX(Inputs!$J$5:$J$132,MATCH($B678&amp;"|"&amp;$C678,Inputs!$A$5:$A$132,0))</f>
        <v/>
      </c>
      <c r="F678" s="36">
        <f>INDEX(Inputs!$K$5:$K$132,MATCH($B678&amp;"|"&amp;$C678,Inputs!$A$5:$A$132,0))</f>
        <v/>
      </c>
      <c r="G678" s="37" t="n"/>
      <c r="H678" s="5">
        <f>INDEX(Variables!$B$5:$B$65,MATCH($A678,Variables!$A$5:$A$65,0))&amp;IF($C678="",""," | "&amp;INDEX(Mapping!$B$5:$B$25,MATCH($C678,Mapping!$A$5:$A$25,0))&amp;" | "&amp;INDEX(Mapping!$B$29:$B$38,MATCH($B678,Mapping!$A$29:$A$38,0)))</f>
        <v/>
      </c>
      <c r="I678" s="5">
        <f>INDEX(Variables!$C$5:$C$65,MATCH($A678,Variables!$A$5:$A$65,0))</f>
        <v/>
      </c>
      <c r="J678" s="5">
        <f>INDEX(Variables!$E$5:$E$65,MATCH($A678,Variables!$A$5:$A$65,0))</f>
        <v/>
      </c>
      <c r="K678" s="23">
        <f>LOWER(Settings!$C$4)&amp;".mit."&amp;$A678&amp;IF($C678="","","."&amp;$C678&amp;"."&amp;$B678)&amp;IF(INDEX(Variables!$D$5:$D$65,MATCH($A678,Variables!$A$5:$A$65,0))="","","."&amp;INDEX(Variables!$D$5:$D$65,MATCH($A678,Variables!$A$5:$A$65,0)))&amp;"."&amp;K$5</f>
        <v/>
      </c>
      <c r="L678" s="38">
        <f>L$10*$D678*INDEX(L$18:L$25,$E678)*INDEX(L$27:L$43,$F678)</f>
        <v/>
      </c>
      <c r="M678" s="36">
        <f>M$10*$D678*INDEX(M$18:M$25,$E678)*INDEX(M$27:M$43,$F678)</f>
        <v/>
      </c>
      <c r="N678" s="36">
        <f>N$10*$D678*INDEX(N$18:N$25,$E678)*INDEX(N$27:N$43,$F678)</f>
        <v/>
      </c>
      <c r="O678" s="36">
        <f>O$10*$D678*INDEX(O$18:O$25,$E678)*INDEX(O$27:O$43,$F678)</f>
        <v/>
      </c>
      <c r="P678" s="36">
        <f>P$10*$D678*INDEX(P$18:P$25,$E678)*INDEX(P$27:P$43,$F678)</f>
        <v/>
      </c>
      <c r="Q678" s="36">
        <f>Q$10*$D678*INDEX(Q$18:Q$25,$E678)*INDEX(Q$27:Q$43,$F678)</f>
        <v/>
      </c>
      <c r="R678" s="36">
        <f>R$10*$D678*INDEX(R$18:R$25,$E678)*INDEX(R$27:R$43,$F678)</f>
        <v/>
      </c>
      <c r="S678" s="36">
        <f>S$10*$D678*INDEX(S$18:S$25,$E678)*INDEX(S$27:S$43,$F678)</f>
        <v/>
      </c>
      <c r="T678" s="36">
        <f>T$10*$D678*INDEX(T$18:T$25,$E678)*INDEX(T$27:T$43,$F678)</f>
        <v/>
      </c>
      <c r="U678" s="36">
        <f>U$10*$D678*INDEX(U$18:U$25,$E678)*INDEX(U$27:U$43,$F678)</f>
        <v/>
      </c>
      <c r="V678" s="36">
        <f>V$10*$D678*INDEX(V$18:V$25,$E678)*INDEX(V$27:V$43,$F678)</f>
        <v/>
      </c>
      <c r="W678" s="36">
        <f>W$10*$D678*INDEX(W$18:W$25,$E678)*INDEX(W$27:W$43,$F678)</f>
        <v/>
      </c>
      <c r="X678" s="36">
        <f>X$10*$D678*INDEX(X$18:X$25,$E678)*INDEX(X$27:X$43,$F678)</f>
        <v/>
      </c>
      <c r="Y678" s="36">
        <f>Y$10*$D678*INDEX(Y$18:Y$25,$E678)*INDEX(Y$27:Y$43,$F678)</f>
        <v/>
      </c>
      <c r="Z678" s="23">
        <f>LOWER(Settings!$C$4)&amp;".mit."&amp;$A678&amp;IF($C678="","","."&amp;$C678&amp;"."&amp;$B678)&amp;IF(INDEX(Variables!$D$5:$D$65,MATCH($A678,Variables!$A$5:$A$65,0))="","","."&amp;INDEX(Variables!$D$5:$D$65,MATCH($A678,Variables!$A$5:$A$65,0)))&amp;"."&amp;Z$5</f>
        <v/>
      </c>
      <c r="AA678" s="38">
        <f>AA$10*$D678*INDEX(AA$18:AA$25,$E678)*INDEX(AA$27:AA$43,$F678)</f>
        <v/>
      </c>
      <c r="AB678" s="36">
        <f>AB$10*$D678*INDEX(AB$18:AB$25,$E678)*INDEX(AB$27:AB$43,$F678)</f>
        <v/>
      </c>
      <c r="AC678" s="36">
        <f>AC$10*$D678*INDEX(AC$18:AC$25,$E678)*INDEX(AC$27:AC$43,$F678)</f>
        <v/>
      </c>
      <c r="AD678" s="36">
        <f>AD$10*$D678*INDEX(AD$18:AD$25,$E678)*INDEX(AD$27:AD$43,$F678)</f>
        <v/>
      </c>
      <c r="AE678" s="36">
        <f>AE$10*$D678*INDEX(AE$18:AE$25,$E678)*INDEX(AE$27:AE$43,$F678)</f>
        <v/>
      </c>
      <c r="AF678" s="36">
        <f>AF$10*$D678*INDEX(AF$18:AF$25,$E678)*INDEX(AF$27:AF$43,$F678)</f>
        <v/>
      </c>
      <c r="AG678" s="36">
        <f>AG$10*$D678*INDEX(AG$18:AG$25,$E678)*INDEX(AG$27:AG$43,$F678)</f>
        <v/>
      </c>
      <c r="AH678" s="36">
        <f>AH$10*$D678*INDEX(AH$18:AH$25,$E678)*INDEX(AH$27:AH$43,$F678)</f>
        <v/>
      </c>
      <c r="AI678" s="36">
        <f>AI$10*$D678*INDEX(AI$18:AI$25,$E678)*INDEX(AI$27:AI$43,$F678)</f>
        <v/>
      </c>
      <c r="AJ678" s="36">
        <f>AJ$10*$D678*INDEX(AJ$18:AJ$25,$E678)*INDEX(AJ$27:AJ$43,$F678)</f>
        <v/>
      </c>
      <c r="AK678" s="36">
        <f>AK$10*$D678*INDEX(AK$18:AK$25,$E678)*INDEX(AK$27:AK$43,$F678)</f>
        <v/>
      </c>
      <c r="AL678" s="36">
        <f>AL$10*$D678*INDEX(AL$18:AL$25,$E678)*INDEX(AL$27:AL$43,$F678)</f>
        <v/>
      </c>
      <c r="AM678" s="36">
        <f>AM$10*$D678*INDEX(AM$18:AM$25,$E678)*INDEX(AM$27:AM$43,$F678)</f>
        <v/>
      </c>
      <c r="AN678" s="36">
        <f>AN$10*$D678*INDEX(AN$18:AN$25,$E678)*INDEX(AN$27:AN$43,$F678)</f>
        <v/>
      </c>
    </row>
    <row r="679" hidden="1" outlineLevel="2">
      <c r="A679" s="5" t="inlineStr">
        <is>
          <t>ctxnew</t>
        </is>
      </c>
      <c r="B679" s="5" t="inlineStr">
        <is>
          <t>nga</t>
        </is>
      </c>
      <c r="C679" s="5" t="inlineStr">
        <is>
          <t>mch</t>
        </is>
      </c>
      <c r="D679" s="36">
        <f>INDEX(Inputs!$U$5:$U$132,MATCH($B679&amp;"|"&amp;$C679,Inputs!$A$5:$A$132,0))</f>
        <v/>
      </c>
      <c r="E679" s="36">
        <f>INDEX(Inputs!$J$5:$J$132,MATCH($B679&amp;"|"&amp;$C679,Inputs!$A$5:$A$132,0))</f>
        <v/>
      </c>
      <c r="F679" s="36">
        <f>INDEX(Inputs!$K$5:$K$132,MATCH($B679&amp;"|"&amp;$C679,Inputs!$A$5:$A$132,0))</f>
        <v/>
      </c>
      <c r="G679" s="37" t="n"/>
      <c r="H679" s="5">
        <f>INDEX(Variables!$B$5:$B$65,MATCH($A679,Variables!$A$5:$A$65,0))&amp;IF($C679="",""," | "&amp;INDEX(Mapping!$B$5:$B$25,MATCH($C679,Mapping!$A$5:$A$25,0))&amp;" | "&amp;INDEX(Mapping!$B$29:$B$38,MATCH($B679,Mapping!$A$29:$A$38,0)))</f>
        <v/>
      </c>
      <c r="I679" s="5">
        <f>INDEX(Variables!$C$5:$C$65,MATCH($A679,Variables!$A$5:$A$65,0))</f>
        <v/>
      </c>
      <c r="J679" s="5">
        <f>INDEX(Variables!$E$5:$E$65,MATCH($A679,Variables!$A$5:$A$65,0))</f>
        <v/>
      </c>
      <c r="K679" s="23">
        <f>LOWER(Settings!$C$4)&amp;".mit."&amp;$A679&amp;IF($C679="","","."&amp;$C679&amp;"."&amp;$B679)&amp;IF(INDEX(Variables!$D$5:$D$65,MATCH($A679,Variables!$A$5:$A$65,0))="","","."&amp;INDEX(Variables!$D$5:$D$65,MATCH($A679,Variables!$A$5:$A$65,0)))&amp;"."&amp;K$5</f>
        <v/>
      </c>
      <c r="L679" s="38">
        <f>L$10*$D679*INDEX(L$18:L$25,$E679)*INDEX(L$27:L$43,$F679)</f>
        <v/>
      </c>
      <c r="M679" s="36">
        <f>M$10*$D679*INDEX(M$18:M$25,$E679)*INDEX(M$27:M$43,$F679)</f>
        <v/>
      </c>
      <c r="N679" s="36">
        <f>N$10*$D679*INDEX(N$18:N$25,$E679)*INDEX(N$27:N$43,$F679)</f>
        <v/>
      </c>
      <c r="O679" s="36">
        <f>O$10*$D679*INDEX(O$18:O$25,$E679)*INDEX(O$27:O$43,$F679)</f>
        <v/>
      </c>
      <c r="P679" s="36">
        <f>P$10*$D679*INDEX(P$18:P$25,$E679)*INDEX(P$27:P$43,$F679)</f>
        <v/>
      </c>
      <c r="Q679" s="36">
        <f>Q$10*$D679*INDEX(Q$18:Q$25,$E679)*INDEX(Q$27:Q$43,$F679)</f>
        <v/>
      </c>
      <c r="R679" s="36">
        <f>R$10*$D679*INDEX(R$18:R$25,$E679)*INDEX(R$27:R$43,$F679)</f>
        <v/>
      </c>
      <c r="S679" s="36">
        <f>S$10*$D679*INDEX(S$18:S$25,$E679)*INDEX(S$27:S$43,$F679)</f>
        <v/>
      </c>
      <c r="T679" s="36">
        <f>T$10*$D679*INDEX(T$18:T$25,$E679)*INDEX(T$27:T$43,$F679)</f>
        <v/>
      </c>
      <c r="U679" s="36">
        <f>U$10*$D679*INDEX(U$18:U$25,$E679)*INDEX(U$27:U$43,$F679)</f>
        <v/>
      </c>
      <c r="V679" s="36">
        <f>V$10*$D679*INDEX(V$18:V$25,$E679)*INDEX(V$27:V$43,$F679)</f>
        <v/>
      </c>
      <c r="W679" s="36">
        <f>W$10*$D679*INDEX(W$18:W$25,$E679)*INDEX(W$27:W$43,$F679)</f>
        <v/>
      </c>
      <c r="X679" s="36">
        <f>X$10*$D679*INDEX(X$18:X$25,$E679)*INDEX(X$27:X$43,$F679)</f>
        <v/>
      </c>
      <c r="Y679" s="36">
        <f>Y$10*$D679*INDEX(Y$18:Y$25,$E679)*INDEX(Y$27:Y$43,$F679)</f>
        <v/>
      </c>
      <c r="Z679" s="23">
        <f>LOWER(Settings!$C$4)&amp;".mit."&amp;$A679&amp;IF($C679="","","."&amp;$C679&amp;"."&amp;$B679)&amp;IF(INDEX(Variables!$D$5:$D$65,MATCH($A679,Variables!$A$5:$A$65,0))="","","."&amp;INDEX(Variables!$D$5:$D$65,MATCH($A679,Variables!$A$5:$A$65,0)))&amp;"."&amp;Z$5</f>
        <v/>
      </c>
      <c r="AA679" s="38">
        <f>AA$10*$D679*INDEX(AA$18:AA$25,$E679)*INDEX(AA$27:AA$43,$F679)</f>
        <v/>
      </c>
      <c r="AB679" s="36">
        <f>AB$10*$D679*INDEX(AB$18:AB$25,$E679)*INDEX(AB$27:AB$43,$F679)</f>
        <v/>
      </c>
      <c r="AC679" s="36">
        <f>AC$10*$D679*INDEX(AC$18:AC$25,$E679)*INDEX(AC$27:AC$43,$F679)</f>
        <v/>
      </c>
      <c r="AD679" s="36">
        <f>AD$10*$D679*INDEX(AD$18:AD$25,$E679)*INDEX(AD$27:AD$43,$F679)</f>
        <v/>
      </c>
      <c r="AE679" s="36">
        <f>AE$10*$D679*INDEX(AE$18:AE$25,$E679)*INDEX(AE$27:AE$43,$F679)</f>
        <v/>
      </c>
      <c r="AF679" s="36">
        <f>AF$10*$D679*INDEX(AF$18:AF$25,$E679)*INDEX(AF$27:AF$43,$F679)</f>
        <v/>
      </c>
      <c r="AG679" s="36">
        <f>AG$10*$D679*INDEX(AG$18:AG$25,$E679)*INDEX(AG$27:AG$43,$F679)</f>
        <v/>
      </c>
      <c r="AH679" s="36">
        <f>AH$10*$D679*INDEX(AH$18:AH$25,$E679)*INDEX(AH$27:AH$43,$F679)</f>
        <v/>
      </c>
      <c r="AI679" s="36">
        <f>AI$10*$D679*INDEX(AI$18:AI$25,$E679)*INDEX(AI$27:AI$43,$F679)</f>
        <v/>
      </c>
      <c r="AJ679" s="36">
        <f>AJ$10*$D679*INDEX(AJ$18:AJ$25,$E679)*INDEX(AJ$27:AJ$43,$F679)</f>
        <v/>
      </c>
      <c r="AK679" s="36">
        <f>AK$10*$D679*INDEX(AK$18:AK$25,$E679)*INDEX(AK$27:AK$43,$F679)</f>
        <v/>
      </c>
      <c r="AL679" s="36">
        <f>AL$10*$D679*INDEX(AL$18:AL$25,$E679)*INDEX(AL$27:AL$43,$F679)</f>
        <v/>
      </c>
      <c r="AM679" s="36">
        <f>AM$10*$D679*INDEX(AM$18:AM$25,$E679)*INDEX(AM$27:AM$43,$F679)</f>
        <v/>
      </c>
      <c r="AN679" s="36">
        <f>AN$10*$D679*INDEX(AN$18:AN$25,$E679)*INDEX(AN$27:AN$43,$F679)</f>
        <v/>
      </c>
    </row>
    <row r="680" hidden="1" outlineLevel="2">
      <c r="A680" s="5" t="inlineStr">
        <is>
          <t>ctxnew</t>
        </is>
      </c>
      <c r="B680" s="5" t="inlineStr">
        <is>
          <t>gso</t>
        </is>
      </c>
      <c r="C680" s="5" t="inlineStr">
        <is>
          <t>mch</t>
        </is>
      </c>
      <c r="D680" s="36">
        <f>INDEX(Inputs!$U$5:$U$132,MATCH($B680&amp;"|"&amp;$C680,Inputs!$A$5:$A$132,0))</f>
        <v/>
      </c>
      <c r="E680" s="36">
        <f>INDEX(Inputs!$J$5:$J$132,MATCH($B680&amp;"|"&amp;$C680,Inputs!$A$5:$A$132,0))</f>
        <v/>
      </c>
      <c r="F680" s="36">
        <f>INDEX(Inputs!$K$5:$K$132,MATCH($B680&amp;"|"&amp;$C680,Inputs!$A$5:$A$132,0))</f>
        <v/>
      </c>
      <c r="G680" s="37" t="n"/>
      <c r="H680" s="5">
        <f>INDEX(Variables!$B$5:$B$65,MATCH($A680,Variables!$A$5:$A$65,0))&amp;IF($C680="",""," | "&amp;INDEX(Mapping!$B$5:$B$25,MATCH($C680,Mapping!$A$5:$A$25,0))&amp;" | "&amp;INDEX(Mapping!$B$29:$B$38,MATCH($B680,Mapping!$A$29:$A$38,0)))</f>
        <v/>
      </c>
      <c r="I680" s="5">
        <f>INDEX(Variables!$C$5:$C$65,MATCH($A680,Variables!$A$5:$A$65,0))</f>
        <v/>
      </c>
      <c r="J680" s="5">
        <f>INDEX(Variables!$E$5:$E$65,MATCH($A680,Variables!$A$5:$A$65,0))</f>
        <v/>
      </c>
      <c r="K680" s="23">
        <f>LOWER(Settings!$C$4)&amp;".mit."&amp;$A680&amp;IF($C680="","","."&amp;$C680&amp;"."&amp;$B680)&amp;IF(INDEX(Variables!$D$5:$D$65,MATCH($A680,Variables!$A$5:$A$65,0))="","","."&amp;INDEX(Variables!$D$5:$D$65,MATCH($A680,Variables!$A$5:$A$65,0)))&amp;"."&amp;K$5</f>
        <v/>
      </c>
      <c r="L680" s="38">
        <f>L$10*$D680*INDEX(L$18:L$25,$E680)*INDEX(L$27:L$43,$F680)</f>
        <v/>
      </c>
      <c r="M680" s="36">
        <f>M$10*$D680*INDEX(M$18:M$25,$E680)*INDEX(M$27:M$43,$F680)</f>
        <v/>
      </c>
      <c r="N680" s="36">
        <f>N$10*$D680*INDEX(N$18:N$25,$E680)*INDEX(N$27:N$43,$F680)</f>
        <v/>
      </c>
      <c r="O680" s="36">
        <f>O$10*$D680*INDEX(O$18:O$25,$E680)*INDEX(O$27:O$43,$F680)</f>
        <v/>
      </c>
      <c r="P680" s="36">
        <f>P$10*$D680*INDEX(P$18:P$25,$E680)*INDEX(P$27:P$43,$F680)</f>
        <v/>
      </c>
      <c r="Q680" s="36">
        <f>Q$10*$D680*INDEX(Q$18:Q$25,$E680)*INDEX(Q$27:Q$43,$F680)</f>
        <v/>
      </c>
      <c r="R680" s="36">
        <f>R$10*$D680*INDEX(R$18:R$25,$E680)*INDEX(R$27:R$43,$F680)</f>
        <v/>
      </c>
      <c r="S680" s="36">
        <f>S$10*$D680*INDEX(S$18:S$25,$E680)*INDEX(S$27:S$43,$F680)</f>
        <v/>
      </c>
      <c r="T680" s="36">
        <f>T$10*$D680*INDEX(T$18:T$25,$E680)*INDEX(T$27:T$43,$F680)</f>
        <v/>
      </c>
      <c r="U680" s="36">
        <f>U$10*$D680*INDEX(U$18:U$25,$E680)*INDEX(U$27:U$43,$F680)</f>
        <v/>
      </c>
      <c r="V680" s="36">
        <f>V$10*$D680*INDEX(V$18:V$25,$E680)*INDEX(V$27:V$43,$F680)</f>
        <v/>
      </c>
      <c r="W680" s="36">
        <f>W$10*$D680*INDEX(W$18:W$25,$E680)*INDEX(W$27:W$43,$F680)</f>
        <v/>
      </c>
      <c r="X680" s="36">
        <f>X$10*$D680*INDEX(X$18:X$25,$E680)*INDEX(X$27:X$43,$F680)</f>
        <v/>
      </c>
      <c r="Y680" s="36">
        <f>Y$10*$D680*INDEX(Y$18:Y$25,$E680)*INDEX(Y$27:Y$43,$F680)</f>
        <v/>
      </c>
      <c r="Z680" s="23">
        <f>LOWER(Settings!$C$4)&amp;".mit."&amp;$A680&amp;IF($C680="","","."&amp;$C680&amp;"."&amp;$B680)&amp;IF(INDEX(Variables!$D$5:$D$65,MATCH($A680,Variables!$A$5:$A$65,0))="","","."&amp;INDEX(Variables!$D$5:$D$65,MATCH($A680,Variables!$A$5:$A$65,0)))&amp;"."&amp;Z$5</f>
        <v/>
      </c>
      <c r="AA680" s="38">
        <f>AA$10*$D680*INDEX(AA$18:AA$25,$E680)*INDEX(AA$27:AA$43,$F680)</f>
        <v/>
      </c>
      <c r="AB680" s="36">
        <f>AB$10*$D680*INDEX(AB$18:AB$25,$E680)*INDEX(AB$27:AB$43,$F680)</f>
        <v/>
      </c>
      <c r="AC680" s="36">
        <f>AC$10*$D680*INDEX(AC$18:AC$25,$E680)*INDEX(AC$27:AC$43,$F680)</f>
        <v/>
      </c>
      <c r="AD680" s="36">
        <f>AD$10*$D680*INDEX(AD$18:AD$25,$E680)*INDEX(AD$27:AD$43,$F680)</f>
        <v/>
      </c>
      <c r="AE680" s="36">
        <f>AE$10*$D680*INDEX(AE$18:AE$25,$E680)*INDEX(AE$27:AE$43,$F680)</f>
        <v/>
      </c>
      <c r="AF680" s="36">
        <f>AF$10*$D680*INDEX(AF$18:AF$25,$E680)*INDEX(AF$27:AF$43,$F680)</f>
        <v/>
      </c>
      <c r="AG680" s="36">
        <f>AG$10*$D680*INDEX(AG$18:AG$25,$E680)*INDEX(AG$27:AG$43,$F680)</f>
        <v/>
      </c>
      <c r="AH680" s="36">
        <f>AH$10*$D680*INDEX(AH$18:AH$25,$E680)*INDEX(AH$27:AH$43,$F680)</f>
        <v/>
      </c>
      <c r="AI680" s="36">
        <f>AI$10*$D680*INDEX(AI$18:AI$25,$E680)*INDEX(AI$27:AI$43,$F680)</f>
        <v/>
      </c>
      <c r="AJ680" s="36">
        <f>AJ$10*$D680*INDEX(AJ$18:AJ$25,$E680)*INDEX(AJ$27:AJ$43,$F680)</f>
        <v/>
      </c>
      <c r="AK680" s="36">
        <f>AK$10*$D680*INDEX(AK$18:AK$25,$E680)*INDEX(AK$27:AK$43,$F680)</f>
        <v/>
      </c>
      <c r="AL680" s="36">
        <f>AL$10*$D680*INDEX(AL$18:AL$25,$E680)*INDEX(AL$27:AL$43,$F680)</f>
        <v/>
      </c>
      <c r="AM680" s="36">
        <f>AM$10*$D680*INDEX(AM$18:AM$25,$E680)*INDEX(AM$27:AM$43,$F680)</f>
        <v/>
      </c>
      <c r="AN680" s="36">
        <f>AN$10*$D680*INDEX(AN$18:AN$25,$E680)*INDEX(AN$27:AN$43,$F680)</f>
        <v/>
      </c>
    </row>
    <row r="681" hidden="1" outlineLevel="2">
      <c r="A681" s="5" t="inlineStr">
        <is>
          <t>ctxnew</t>
        </is>
      </c>
      <c r="B681" s="5" t="inlineStr">
        <is>
          <t>die</t>
        </is>
      </c>
      <c r="C681" s="5" t="inlineStr">
        <is>
          <t>mch</t>
        </is>
      </c>
      <c r="D681" s="36">
        <f>INDEX(Inputs!$U$5:$U$132,MATCH($B681&amp;"|"&amp;$C681,Inputs!$A$5:$A$132,0))</f>
        <v/>
      </c>
      <c r="E681" s="36">
        <f>INDEX(Inputs!$J$5:$J$132,MATCH($B681&amp;"|"&amp;$C681,Inputs!$A$5:$A$132,0))</f>
        <v/>
      </c>
      <c r="F681" s="36">
        <f>INDEX(Inputs!$K$5:$K$132,MATCH($B681&amp;"|"&amp;$C681,Inputs!$A$5:$A$132,0))</f>
        <v/>
      </c>
      <c r="G681" s="37" t="n"/>
      <c r="H681" s="5">
        <f>INDEX(Variables!$B$5:$B$65,MATCH($A681,Variables!$A$5:$A$65,0))&amp;IF($C681="",""," | "&amp;INDEX(Mapping!$B$5:$B$25,MATCH($C681,Mapping!$A$5:$A$25,0))&amp;" | "&amp;INDEX(Mapping!$B$29:$B$38,MATCH($B681,Mapping!$A$29:$A$38,0)))</f>
        <v/>
      </c>
      <c r="I681" s="5">
        <f>INDEX(Variables!$C$5:$C$65,MATCH($A681,Variables!$A$5:$A$65,0))</f>
        <v/>
      </c>
      <c r="J681" s="5">
        <f>INDEX(Variables!$E$5:$E$65,MATCH($A681,Variables!$A$5:$A$65,0))</f>
        <v/>
      </c>
      <c r="K681" s="23">
        <f>LOWER(Settings!$C$4)&amp;".mit."&amp;$A681&amp;IF($C681="","","."&amp;$C681&amp;"."&amp;$B681)&amp;IF(INDEX(Variables!$D$5:$D$65,MATCH($A681,Variables!$A$5:$A$65,0))="","","."&amp;INDEX(Variables!$D$5:$D$65,MATCH($A681,Variables!$A$5:$A$65,0)))&amp;"."&amp;K$5</f>
        <v/>
      </c>
      <c r="L681" s="38">
        <f>L$10*$D681*INDEX(L$18:L$25,$E681)*INDEX(L$27:L$43,$F681)</f>
        <v/>
      </c>
      <c r="M681" s="36">
        <f>M$10*$D681*INDEX(M$18:M$25,$E681)*INDEX(M$27:M$43,$F681)</f>
        <v/>
      </c>
      <c r="N681" s="36">
        <f>N$10*$D681*INDEX(N$18:N$25,$E681)*INDEX(N$27:N$43,$F681)</f>
        <v/>
      </c>
      <c r="O681" s="36">
        <f>O$10*$D681*INDEX(O$18:O$25,$E681)*INDEX(O$27:O$43,$F681)</f>
        <v/>
      </c>
      <c r="P681" s="36">
        <f>P$10*$D681*INDEX(P$18:P$25,$E681)*INDEX(P$27:P$43,$F681)</f>
        <v/>
      </c>
      <c r="Q681" s="36">
        <f>Q$10*$D681*INDEX(Q$18:Q$25,$E681)*INDEX(Q$27:Q$43,$F681)</f>
        <v/>
      </c>
      <c r="R681" s="36">
        <f>R$10*$D681*INDEX(R$18:R$25,$E681)*INDEX(R$27:R$43,$F681)</f>
        <v/>
      </c>
      <c r="S681" s="36">
        <f>S$10*$D681*INDEX(S$18:S$25,$E681)*INDEX(S$27:S$43,$F681)</f>
        <v/>
      </c>
      <c r="T681" s="36">
        <f>T$10*$D681*INDEX(T$18:T$25,$E681)*INDEX(T$27:T$43,$F681)</f>
        <v/>
      </c>
      <c r="U681" s="36">
        <f>U$10*$D681*INDEX(U$18:U$25,$E681)*INDEX(U$27:U$43,$F681)</f>
        <v/>
      </c>
      <c r="V681" s="36">
        <f>V$10*$D681*INDEX(V$18:V$25,$E681)*INDEX(V$27:V$43,$F681)</f>
        <v/>
      </c>
      <c r="W681" s="36">
        <f>W$10*$D681*INDEX(W$18:W$25,$E681)*INDEX(W$27:W$43,$F681)</f>
        <v/>
      </c>
      <c r="X681" s="36">
        <f>X$10*$D681*INDEX(X$18:X$25,$E681)*INDEX(X$27:X$43,$F681)</f>
        <v/>
      </c>
      <c r="Y681" s="36">
        <f>Y$10*$D681*INDEX(Y$18:Y$25,$E681)*INDEX(Y$27:Y$43,$F681)</f>
        <v/>
      </c>
      <c r="Z681" s="23">
        <f>LOWER(Settings!$C$4)&amp;".mit."&amp;$A681&amp;IF($C681="","","."&amp;$C681&amp;"."&amp;$B681)&amp;IF(INDEX(Variables!$D$5:$D$65,MATCH($A681,Variables!$A$5:$A$65,0))="","","."&amp;INDEX(Variables!$D$5:$D$65,MATCH($A681,Variables!$A$5:$A$65,0)))&amp;"."&amp;Z$5</f>
        <v/>
      </c>
      <c r="AA681" s="38">
        <f>AA$10*$D681*INDEX(AA$18:AA$25,$E681)*INDEX(AA$27:AA$43,$F681)</f>
        <v/>
      </c>
      <c r="AB681" s="36">
        <f>AB$10*$D681*INDEX(AB$18:AB$25,$E681)*INDEX(AB$27:AB$43,$F681)</f>
        <v/>
      </c>
      <c r="AC681" s="36">
        <f>AC$10*$D681*INDEX(AC$18:AC$25,$E681)*INDEX(AC$27:AC$43,$F681)</f>
        <v/>
      </c>
      <c r="AD681" s="36">
        <f>AD$10*$D681*INDEX(AD$18:AD$25,$E681)*INDEX(AD$27:AD$43,$F681)</f>
        <v/>
      </c>
      <c r="AE681" s="36">
        <f>AE$10*$D681*INDEX(AE$18:AE$25,$E681)*INDEX(AE$27:AE$43,$F681)</f>
        <v/>
      </c>
      <c r="AF681" s="36">
        <f>AF$10*$D681*INDEX(AF$18:AF$25,$E681)*INDEX(AF$27:AF$43,$F681)</f>
        <v/>
      </c>
      <c r="AG681" s="36">
        <f>AG$10*$D681*INDEX(AG$18:AG$25,$E681)*INDEX(AG$27:AG$43,$F681)</f>
        <v/>
      </c>
      <c r="AH681" s="36">
        <f>AH$10*$D681*INDEX(AH$18:AH$25,$E681)*INDEX(AH$27:AH$43,$F681)</f>
        <v/>
      </c>
      <c r="AI681" s="36">
        <f>AI$10*$D681*INDEX(AI$18:AI$25,$E681)*INDEX(AI$27:AI$43,$F681)</f>
        <v/>
      </c>
      <c r="AJ681" s="36">
        <f>AJ$10*$D681*INDEX(AJ$18:AJ$25,$E681)*INDEX(AJ$27:AJ$43,$F681)</f>
        <v/>
      </c>
      <c r="AK681" s="36">
        <f>AK$10*$D681*INDEX(AK$18:AK$25,$E681)*INDEX(AK$27:AK$43,$F681)</f>
        <v/>
      </c>
      <c r="AL681" s="36">
        <f>AL$10*$D681*INDEX(AL$18:AL$25,$E681)*INDEX(AL$27:AL$43,$F681)</f>
        <v/>
      </c>
      <c r="AM681" s="36">
        <f>AM$10*$D681*INDEX(AM$18:AM$25,$E681)*INDEX(AM$27:AM$43,$F681)</f>
        <v/>
      </c>
      <c r="AN681" s="36">
        <f>AN$10*$D681*INDEX(AN$18:AN$25,$E681)*INDEX(AN$27:AN$43,$F681)</f>
        <v/>
      </c>
    </row>
    <row r="682" hidden="1" outlineLevel="2">
      <c r="A682" s="5" t="inlineStr">
        <is>
          <t>ctxnew</t>
        </is>
      </c>
      <c r="B682" s="5" t="inlineStr">
        <is>
          <t>lpg</t>
        </is>
      </c>
      <c r="C682" s="5" t="inlineStr">
        <is>
          <t>mch</t>
        </is>
      </c>
      <c r="D682" s="36">
        <f>INDEX(Inputs!$U$5:$U$132,MATCH($B682&amp;"|"&amp;$C682,Inputs!$A$5:$A$132,0))</f>
        <v/>
      </c>
      <c r="E682" s="36">
        <f>INDEX(Inputs!$J$5:$J$132,MATCH($B682&amp;"|"&amp;$C682,Inputs!$A$5:$A$132,0))</f>
        <v/>
      </c>
      <c r="F682" s="36">
        <f>INDEX(Inputs!$K$5:$K$132,MATCH($B682&amp;"|"&amp;$C682,Inputs!$A$5:$A$132,0))</f>
        <v/>
      </c>
      <c r="G682" s="37" t="n"/>
      <c r="H682" s="5">
        <f>INDEX(Variables!$B$5:$B$65,MATCH($A682,Variables!$A$5:$A$65,0))&amp;IF($C682="",""," | "&amp;INDEX(Mapping!$B$5:$B$25,MATCH($C682,Mapping!$A$5:$A$25,0))&amp;" | "&amp;INDEX(Mapping!$B$29:$B$38,MATCH($B682,Mapping!$A$29:$A$38,0)))</f>
        <v/>
      </c>
      <c r="I682" s="5">
        <f>INDEX(Variables!$C$5:$C$65,MATCH($A682,Variables!$A$5:$A$65,0))</f>
        <v/>
      </c>
      <c r="J682" s="5">
        <f>INDEX(Variables!$E$5:$E$65,MATCH($A682,Variables!$A$5:$A$65,0))</f>
        <v/>
      </c>
      <c r="K682" s="23">
        <f>LOWER(Settings!$C$4)&amp;".mit."&amp;$A682&amp;IF($C682="","","."&amp;$C682&amp;"."&amp;$B682)&amp;IF(INDEX(Variables!$D$5:$D$65,MATCH($A682,Variables!$A$5:$A$65,0))="","","."&amp;INDEX(Variables!$D$5:$D$65,MATCH($A682,Variables!$A$5:$A$65,0)))&amp;"."&amp;K$5</f>
        <v/>
      </c>
      <c r="L682" s="38">
        <f>L$10*$D682*INDEX(L$18:L$25,$E682)*INDEX(L$27:L$43,$F682)</f>
        <v/>
      </c>
      <c r="M682" s="36">
        <f>M$10*$D682*INDEX(M$18:M$25,$E682)*INDEX(M$27:M$43,$F682)</f>
        <v/>
      </c>
      <c r="N682" s="36">
        <f>N$10*$D682*INDEX(N$18:N$25,$E682)*INDEX(N$27:N$43,$F682)</f>
        <v/>
      </c>
      <c r="O682" s="36">
        <f>O$10*$D682*INDEX(O$18:O$25,$E682)*INDEX(O$27:O$43,$F682)</f>
        <v/>
      </c>
      <c r="P682" s="36">
        <f>P$10*$D682*INDEX(P$18:P$25,$E682)*INDEX(P$27:P$43,$F682)</f>
        <v/>
      </c>
      <c r="Q682" s="36">
        <f>Q$10*$D682*INDEX(Q$18:Q$25,$E682)*INDEX(Q$27:Q$43,$F682)</f>
        <v/>
      </c>
      <c r="R682" s="36">
        <f>R$10*$D682*INDEX(R$18:R$25,$E682)*INDEX(R$27:R$43,$F682)</f>
        <v/>
      </c>
      <c r="S682" s="36">
        <f>S$10*$D682*INDEX(S$18:S$25,$E682)*INDEX(S$27:S$43,$F682)</f>
        <v/>
      </c>
      <c r="T682" s="36">
        <f>T$10*$D682*INDEX(T$18:T$25,$E682)*INDEX(T$27:T$43,$F682)</f>
        <v/>
      </c>
      <c r="U682" s="36">
        <f>U$10*$D682*INDEX(U$18:U$25,$E682)*INDEX(U$27:U$43,$F682)</f>
        <v/>
      </c>
      <c r="V682" s="36">
        <f>V$10*$D682*INDEX(V$18:V$25,$E682)*INDEX(V$27:V$43,$F682)</f>
        <v/>
      </c>
      <c r="W682" s="36">
        <f>W$10*$D682*INDEX(W$18:W$25,$E682)*INDEX(W$27:W$43,$F682)</f>
        <v/>
      </c>
      <c r="X682" s="36">
        <f>X$10*$D682*INDEX(X$18:X$25,$E682)*INDEX(X$27:X$43,$F682)</f>
        <v/>
      </c>
      <c r="Y682" s="36">
        <f>Y$10*$D682*INDEX(Y$18:Y$25,$E682)*INDEX(Y$27:Y$43,$F682)</f>
        <v/>
      </c>
      <c r="Z682" s="23">
        <f>LOWER(Settings!$C$4)&amp;".mit."&amp;$A682&amp;IF($C682="","","."&amp;$C682&amp;"."&amp;$B682)&amp;IF(INDEX(Variables!$D$5:$D$65,MATCH($A682,Variables!$A$5:$A$65,0))="","","."&amp;INDEX(Variables!$D$5:$D$65,MATCH($A682,Variables!$A$5:$A$65,0)))&amp;"."&amp;Z$5</f>
        <v/>
      </c>
      <c r="AA682" s="38">
        <f>AA$10*$D682*INDEX(AA$18:AA$25,$E682)*INDEX(AA$27:AA$43,$F682)</f>
        <v/>
      </c>
      <c r="AB682" s="36">
        <f>AB$10*$D682*INDEX(AB$18:AB$25,$E682)*INDEX(AB$27:AB$43,$F682)</f>
        <v/>
      </c>
      <c r="AC682" s="36">
        <f>AC$10*$D682*INDEX(AC$18:AC$25,$E682)*INDEX(AC$27:AC$43,$F682)</f>
        <v/>
      </c>
      <c r="AD682" s="36">
        <f>AD$10*$D682*INDEX(AD$18:AD$25,$E682)*INDEX(AD$27:AD$43,$F682)</f>
        <v/>
      </c>
      <c r="AE682" s="36">
        <f>AE$10*$D682*INDEX(AE$18:AE$25,$E682)*INDEX(AE$27:AE$43,$F682)</f>
        <v/>
      </c>
      <c r="AF682" s="36">
        <f>AF$10*$D682*INDEX(AF$18:AF$25,$E682)*INDEX(AF$27:AF$43,$F682)</f>
        <v/>
      </c>
      <c r="AG682" s="36">
        <f>AG$10*$D682*INDEX(AG$18:AG$25,$E682)*INDEX(AG$27:AG$43,$F682)</f>
        <v/>
      </c>
      <c r="AH682" s="36">
        <f>AH$10*$D682*INDEX(AH$18:AH$25,$E682)*INDEX(AH$27:AH$43,$F682)</f>
        <v/>
      </c>
      <c r="AI682" s="36">
        <f>AI$10*$D682*INDEX(AI$18:AI$25,$E682)*INDEX(AI$27:AI$43,$F682)</f>
        <v/>
      </c>
      <c r="AJ682" s="36">
        <f>AJ$10*$D682*INDEX(AJ$18:AJ$25,$E682)*INDEX(AJ$27:AJ$43,$F682)</f>
        <v/>
      </c>
      <c r="AK682" s="36">
        <f>AK$10*$D682*INDEX(AK$18:AK$25,$E682)*INDEX(AK$27:AK$43,$F682)</f>
        <v/>
      </c>
      <c r="AL682" s="36">
        <f>AL$10*$D682*INDEX(AL$18:AL$25,$E682)*INDEX(AL$27:AL$43,$F682)</f>
        <v/>
      </c>
      <c r="AM682" s="36">
        <f>AM$10*$D682*INDEX(AM$18:AM$25,$E682)*INDEX(AM$27:AM$43,$F682)</f>
        <v/>
      </c>
      <c r="AN682" s="36">
        <f>AN$10*$D682*INDEX(AN$18:AN$25,$E682)*INDEX(AN$27:AN$43,$F682)</f>
        <v/>
      </c>
    </row>
    <row r="683" hidden="1" outlineLevel="2">
      <c r="A683" s="5" t="inlineStr">
        <is>
          <t>ctxnew</t>
        </is>
      </c>
      <c r="B683" s="5" t="inlineStr">
        <is>
          <t>ker</t>
        </is>
      </c>
      <c r="C683" s="5" t="inlineStr">
        <is>
          <t>mch</t>
        </is>
      </c>
      <c r="D683" s="36">
        <f>INDEX(Inputs!$U$5:$U$132,MATCH($B683&amp;"|"&amp;$C683,Inputs!$A$5:$A$132,0))</f>
        <v/>
      </c>
      <c r="E683" s="36">
        <f>INDEX(Inputs!$J$5:$J$132,MATCH($B683&amp;"|"&amp;$C683,Inputs!$A$5:$A$132,0))</f>
        <v/>
      </c>
      <c r="F683" s="36">
        <f>INDEX(Inputs!$K$5:$K$132,MATCH($B683&amp;"|"&amp;$C683,Inputs!$A$5:$A$132,0))</f>
        <v/>
      </c>
      <c r="G683" s="37" t="n"/>
      <c r="H683" s="5">
        <f>INDEX(Variables!$B$5:$B$65,MATCH($A683,Variables!$A$5:$A$65,0))&amp;IF($C683="",""," | "&amp;INDEX(Mapping!$B$5:$B$25,MATCH($C683,Mapping!$A$5:$A$25,0))&amp;" | "&amp;INDEX(Mapping!$B$29:$B$38,MATCH($B683,Mapping!$A$29:$A$38,0)))</f>
        <v/>
      </c>
      <c r="I683" s="5">
        <f>INDEX(Variables!$C$5:$C$65,MATCH($A683,Variables!$A$5:$A$65,0))</f>
        <v/>
      </c>
      <c r="J683" s="5">
        <f>INDEX(Variables!$E$5:$E$65,MATCH($A683,Variables!$A$5:$A$65,0))</f>
        <v/>
      </c>
      <c r="K683" s="23">
        <f>LOWER(Settings!$C$4)&amp;".mit."&amp;$A683&amp;IF($C683="","","."&amp;$C683&amp;"."&amp;$B683)&amp;IF(INDEX(Variables!$D$5:$D$65,MATCH($A683,Variables!$A$5:$A$65,0))="","","."&amp;INDEX(Variables!$D$5:$D$65,MATCH($A683,Variables!$A$5:$A$65,0)))&amp;"."&amp;K$5</f>
        <v/>
      </c>
      <c r="L683" s="38">
        <f>L$10*$D683*INDEX(L$18:L$25,$E683)*INDEX(L$27:L$43,$F683)</f>
        <v/>
      </c>
      <c r="M683" s="36">
        <f>M$10*$D683*INDEX(M$18:M$25,$E683)*INDEX(M$27:M$43,$F683)</f>
        <v/>
      </c>
      <c r="N683" s="36">
        <f>N$10*$D683*INDEX(N$18:N$25,$E683)*INDEX(N$27:N$43,$F683)</f>
        <v/>
      </c>
      <c r="O683" s="36">
        <f>O$10*$D683*INDEX(O$18:O$25,$E683)*INDEX(O$27:O$43,$F683)</f>
        <v/>
      </c>
      <c r="P683" s="36">
        <f>P$10*$D683*INDEX(P$18:P$25,$E683)*INDEX(P$27:P$43,$F683)</f>
        <v/>
      </c>
      <c r="Q683" s="36">
        <f>Q$10*$D683*INDEX(Q$18:Q$25,$E683)*INDEX(Q$27:Q$43,$F683)</f>
        <v/>
      </c>
      <c r="R683" s="36">
        <f>R$10*$D683*INDEX(R$18:R$25,$E683)*INDEX(R$27:R$43,$F683)</f>
        <v/>
      </c>
      <c r="S683" s="36">
        <f>S$10*$D683*INDEX(S$18:S$25,$E683)*INDEX(S$27:S$43,$F683)</f>
        <v/>
      </c>
      <c r="T683" s="36">
        <f>T$10*$D683*INDEX(T$18:T$25,$E683)*INDEX(T$27:T$43,$F683)</f>
        <v/>
      </c>
      <c r="U683" s="36">
        <f>U$10*$D683*INDEX(U$18:U$25,$E683)*INDEX(U$27:U$43,$F683)</f>
        <v/>
      </c>
      <c r="V683" s="36">
        <f>V$10*$D683*INDEX(V$18:V$25,$E683)*INDEX(V$27:V$43,$F683)</f>
        <v/>
      </c>
      <c r="W683" s="36">
        <f>W$10*$D683*INDEX(W$18:W$25,$E683)*INDEX(W$27:W$43,$F683)</f>
        <v/>
      </c>
      <c r="X683" s="36">
        <f>X$10*$D683*INDEX(X$18:X$25,$E683)*INDEX(X$27:X$43,$F683)</f>
        <v/>
      </c>
      <c r="Y683" s="36">
        <f>Y$10*$D683*INDEX(Y$18:Y$25,$E683)*INDEX(Y$27:Y$43,$F683)</f>
        <v/>
      </c>
      <c r="Z683" s="23">
        <f>LOWER(Settings!$C$4)&amp;".mit."&amp;$A683&amp;IF($C683="","","."&amp;$C683&amp;"."&amp;$B683)&amp;IF(INDEX(Variables!$D$5:$D$65,MATCH($A683,Variables!$A$5:$A$65,0))="","","."&amp;INDEX(Variables!$D$5:$D$65,MATCH($A683,Variables!$A$5:$A$65,0)))&amp;"."&amp;Z$5</f>
        <v/>
      </c>
      <c r="AA683" s="38">
        <f>AA$10*$D683*INDEX(AA$18:AA$25,$E683)*INDEX(AA$27:AA$43,$F683)</f>
        <v/>
      </c>
      <c r="AB683" s="36">
        <f>AB$10*$D683*INDEX(AB$18:AB$25,$E683)*INDEX(AB$27:AB$43,$F683)</f>
        <v/>
      </c>
      <c r="AC683" s="36">
        <f>AC$10*$D683*INDEX(AC$18:AC$25,$E683)*INDEX(AC$27:AC$43,$F683)</f>
        <v/>
      </c>
      <c r="AD683" s="36">
        <f>AD$10*$D683*INDEX(AD$18:AD$25,$E683)*INDEX(AD$27:AD$43,$F683)</f>
        <v/>
      </c>
      <c r="AE683" s="36">
        <f>AE$10*$D683*INDEX(AE$18:AE$25,$E683)*INDEX(AE$27:AE$43,$F683)</f>
        <v/>
      </c>
      <c r="AF683" s="36">
        <f>AF$10*$D683*INDEX(AF$18:AF$25,$E683)*INDEX(AF$27:AF$43,$F683)</f>
        <v/>
      </c>
      <c r="AG683" s="36">
        <f>AG$10*$D683*INDEX(AG$18:AG$25,$E683)*INDEX(AG$27:AG$43,$F683)</f>
        <v/>
      </c>
      <c r="AH683" s="36">
        <f>AH$10*$D683*INDEX(AH$18:AH$25,$E683)*INDEX(AH$27:AH$43,$F683)</f>
        <v/>
      </c>
      <c r="AI683" s="36">
        <f>AI$10*$D683*INDEX(AI$18:AI$25,$E683)*INDEX(AI$27:AI$43,$F683)</f>
        <v/>
      </c>
      <c r="AJ683" s="36">
        <f>AJ$10*$D683*INDEX(AJ$18:AJ$25,$E683)*INDEX(AJ$27:AJ$43,$F683)</f>
        <v/>
      </c>
      <c r="AK683" s="36">
        <f>AK$10*$D683*INDEX(AK$18:AK$25,$E683)*INDEX(AK$27:AK$43,$F683)</f>
        <v/>
      </c>
      <c r="AL683" s="36">
        <f>AL$10*$D683*INDEX(AL$18:AL$25,$E683)*INDEX(AL$27:AL$43,$F683)</f>
        <v/>
      </c>
      <c r="AM683" s="36">
        <f>AM$10*$D683*INDEX(AM$18:AM$25,$E683)*INDEX(AM$27:AM$43,$F683)</f>
        <v/>
      </c>
      <c r="AN683" s="36">
        <f>AN$10*$D683*INDEX(AN$18:AN$25,$E683)*INDEX(AN$27:AN$43,$F683)</f>
        <v/>
      </c>
    </row>
    <row r="684" hidden="1" outlineLevel="2">
      <c r="A684" s="5" t="inlineStr">
        <is>
          <t>ctxnew</t>
        </is>
      </c>
      <c r="B684" s="5" t="inlineStr">
        <is>
          <t>oop</t>
        </is>
      </c>
      <c r="C684" s="5" t="inlineStr">
        <is>
          <t>mch</t>
        </is>
      </c>
      <c r="D684" s="36">
        <f>INDEX(Inputs!$U$5:$U$132,MATCH($B684&amp;"|"&amp;$C684,Inputs!$A$5:$A$132,0))</f>
        <v/>
      </c>
      <c r="E684" s="36">
        <f>INDEX(Inputs!$J$5:$J$132,MATCH($B684&amp;"|"&amp;$C684,Inputs!$A$5:$A$132,0))</f>
        <v/>
      </c>
      <c r="F684" s="36">
        <f>INDEX(Inputs!$K$5:$K$132,MATCH($B684&amp;"|"&amp;$C684,Inputs!$A$5:$A$132,0))</f>
        <v/>
      </c>
      <c r="G684" s="37" t="n"/>
      <c r="H684" s="5">
        <f>INDEX(Variables!$B$5:$B$65,MATCH($A684,Variables!$A$5:$A$65,0))&amp;IF($C684="",""," | "&amp;INDEX(Mapping!$B$5:$B$25,MATCH($C684,Mapping!$A$5:$A$25,0))&amp;" | "&amp;INDEX(Mapping!$B$29:$B$38,MATCH($B684,Mapping!$A$29:$A$38,0)))</f>
        <v/>
      </c>
      <c r="I684" s="5">
        <f>INDEX(Variables!$C$5:$C$65,MATCH($A684,Variables!$A$5:$A$65,0))</f>
        <v/>
      </c>
      <c r="J684" s="5">
        <f>INDEX(Variables!$E$5:$E$65,MATCH($A684,Variables!$A$5:$A$65,0))</f>
        <v/>
      </c>
      <c r="K684" s="23">
        <f>LOWER(Settings!$C$4)&amp;".mit."&amp;$A684&amp;IF($C684="","","."&amp;$C684&amp;"."&amp;$B684)&amp;IF(INDEX(Variables!$D$5:$D$65,MATCH($A684,Variables!$A$5:$A$65,0))="","","."&amp;INDEX(Variables!$D$5:$D$65,MATCH($A684,Variables!$A$5:$A$65,0)))&amp;"."&amp;K$5</f>
        <v/>
      </c>
      <c r="L684" s="38">
        <f>L$10*$D684*INDEX(L$18:L$25,$E684)*INDEX(L$27:L$43,$F684)</f>
        <v/>
      </c>
      <c r="M684" s="36">
        <f>M$10*$D684*INDEX(M$18:M$25,$E684)*INDEX(M$27:M$43,$F684)</f>
        <v/>
      </c>
      <c r="N684" s="36">
        <f>N$10*$D684*INDEX(N$18:N$25,$E684)*INDEX(N$27:N$43,$F684)</f>
        <v/>
      </c>
      <c r="O684" s="36">
        <f>O$10*$D684*INDEX(O$18:O$25,$E684)*INDEX(O$27:O$43,$F684)</f>
        <v/>
      </c>
      <c r="P684" s="36">
        <f>P$10*$D684*INDEX(P$18:P$25,$E684)*INDEX(P$27:P$43,$F684)</f>
        <v/>
      </c>
      <c r="Q684" s="36">
        <f>Q$10*$D684*INDEX(Q$18:Q$25,$E684)*INDEX(Q$27:Q$43,$F684)</f>
        <v/>
      </c>
      <c r="R684" s="36">
        <f>R$10*$D684*INDEX(R$18:R$25,$E684)*INDEX(R$27:R$43,$F684)</f>
        <v/>
      </c>
      <c r="S684" s="36">
        <f>S$10*$D684*INDEX(S$18:S$25,$E684)*INDEX(S$27:S$43,$F684)</f>
        <v/>
      </c>
      <c r="T684" s="36">
        <f>T$10*$D684*INDEX(T$18:T$25,$E684)*INDEX(T$27:T$43,$F684)</f>
        <v/>
      </c>
      <c r="U684" s="36">
        <f>U$10*$D684*INDEX(U$18:U$25,$E684)*INDEX(U$27:U$43,$F684)</f>
        <v/>
      </c>
      <c r="V684" s="36">
        <f>V$10*$D684*INDEX(V$18:V$25,$E684)*INDEX(V$27:V$43,$F684)</f>
        <v/>
      </c>
      <c r="W684" s="36">
        <f>W$10*$D684*INDEX(W$18:W$25,$E684)*INDEX(W$27:W$43,$F684)</f>
        <v/>
      </c>
      <c r="X684" s="36">
        <f>X$10*$D684*INDEX(X$18:X$25,$E684)*INDEX(X$27:X$43,$F684)</f>
        <v/>
      </c>
      <c r="Y684" s="36">
        <f>Y$10*$D684*INDEX(Y$18:Y$25,$E684)*INDEX(Y$27:Y$43,$F684)</f>
        <v/>
      </c>
      <c r="Z684" s="23">
        <f>LOWER(Settings!$C$4)&amp;".mit."&amp;$A684&amp;IF($C684="","","."&amp;$C684&amp;"."&amp;$B684)&amp;IF(INDEX(Variables!$D$5:$D$65,MATCH($A684,Variables!$A$5:$A$65,0))="","","."&amp;INDEX(Variables!$D$5:$D$65,MATCH($A684,Variables!$A$5:$A$65,0)))&amp;"."&amp;Z$5</f>
        <v/>
      </c>
      <c r="AA684" s="38">
        <f>AA$10*$D684*INDEX(AA$18:AA$25,$E684)*INDEX(AA$27:AA$43,$F684)</f>
        <v/>
      </c>
      <c r="AB684" s="36">
        <f>AB$10*$D684*INDEX(AB$18:AB$25,$E684)*INDEX(AB$27:AB$43,$F684)</f>
        <v/>
      </c>
      <c r="AC684" s="36">
        <f>AC$10*$D684*INDEX(AC$18:AC$25,$E684)*INDEX(AC$27:AC$43,$F684)</f>
        <v/>
      </c>
      <c r="AD684" s="36">
        <f>AD$10*$D684*INDEX(AD$18:AD$25,$E684)*INDEX(AD$27:AD$43,$F684)</f>
        <v/>
      </c>
      <c r="AE684" s="36">
        <f>AE$10*$D684*INDEX(AE$18:AE$25,$E684)*INDEX(AE$27:AE$43,$F684)</f>
        <v/>
      </c>
      <c r="AF684" s="36">
        <f>AF$10*$D684*INDEX(AF$18:AF$25,$E684)*INDEX(AF$27:AF$43,$F684)</f>
        <v/>
      </c>
      <c r="AG684" s="36">
        <f>AG$10*$D684*INDEX(AG$18:AG$25,$E684)*INDEX(AG$27:AG$43,$F684)</f>
        <v/>
      </c>
      <c r="AH684" s="36">
        <f>AH$10*$D684*INDEX(AH$18:AH$25,$E684)*INDEX(AH$27:AH$43,$F684)</f>
        <v/>
      </c>
      <c r="AI684" s="36">
        <f>AI$10*$D684*INDEX(AI$18:AI$25,$E684)*INDEX(AI$27:AI$43,$F684)</f>
        <v/>
      </c>
      <c r="AJ684" s="36">
        <f>AJ$10*$D684*INDEX(AJ$18:AJ$25,$E684)*INDEX(AJ$27:AJ$43,$F684)</f>
        <v/>
      </c>
      <c r="AK684" s="36">
        <f>AK$10*$D684*INDEX(AK$18:AK$25,$E684)*INDEX(AK$27:AK$43,$F684)</f>
        <v/>
      </c>
      <c r="AL684" s="36">
        <f>AL$10*$D684*INDEX(AL$18:AL$25,$E684)*INDEX(AL$27:AL$43,$F684)</f>
        <v/>
      </c>
      <c r="AM684" s="36">
        <f>AM$10*$D684*INDEX(AM$18:AM$25,$E684)*INDEX(AM$27:AM$43,$F684)</f>
        <v/>
      </c>
      <c r="AN684" s="36">
        <f>AN$10*$D684*INDEX(AN$18:AN$25,$E684)*INDEX(AN$27:AN$43,$F684)</f>
        <v/>
      </c>
    </row>
    <row r="685" hidden="1" outlineLevel="2">
      <c r="A685" s="5" t="inlineStr">
        <is>
          <t>ctxnew</t>
        </is>
      </c>
      <c r="B685" s="5" t="inlineStr">
        <is>
          <t>bio</t>
        </is>
      </c>
      <c r="C685" s="5" t="inlineStr">
        <is>
          <t>mch</t>
        </is>
      </c>
      <c r="D685" s="36">
        <f>INDEX(Inputs!$U$5:$U$132,MATCH($B685&amp;"|"&amp;$C685,Inputs!$A$5:$A$132,0))</f>
        <v/>
      </c>
      <c r="E685" s="36">
        <f>INDEX(Inputs!$J$5:$J$132,MATCH($B685&amp;"|"&amp;$C685,Inputs!$A$5:$A$132,0))</f>
        <v/>
      </c>
      <c r="F685" s="36">
        <f>INDEX(Inputs!$K$5:$K$132,MATCH($B685&amp;"|"&amp;$C685,Inputs!$A$5:$A$132,0))</f>
        <v/>
      </c>
      <c r="G685" s="37" t="n"/>
      <c r="H685" s="5">
        <f>INDEX(Variables!$B$5:$B$65,MATCH($A685,Variables!$A$5:$A$65,0))&amp;IF($C685="",""," | "&amp;INDEX(Mapping!$B$5:$B$25,MATCH($C685,Mapping!$A$5:$A$25,0))&amp;" | "&amp;INDEX(Mapping!$B$29:$B$38,MATCH($B685,Mapping!$A$29:$A$38,0)))</f>
        <v/>
      </c>
      <c r="I685" s="5">
        <f>INDEX(Variables!$C$5:$C$65,MATCH($A685,Variables!$A$5:$A$65,0))</f>
        <v/>
      </c>
      <c r="J685" s="5">
        <f>INDEX(Variables!$E$5:$E$65,MATCH($A685,Variables!$A$5:$A$65,0))</f>
        <v/>
      </c>
      <c r="K685" s="23">
        <f>LOWER(Settings!$C$4)&amp;".mit."&amp;$A685&amp;IF($C685="","","."&amp;$C685&amp;"."&amp;$B685)&amp;IF(INDEX(Variables!$D$5:$D$65,MATCH($A685,Variables!$A$5:$A$65,0))="","","."&amp;INDEX(Variables!$D$5:$D$65,MATCH($A685,Variables!$A$5:$A$65,0)))&amp;"."&amp;K$5</f>
        <v/>
      </c>
      <c r="L685" s="38">
        <f>L$10*$D685*INDEX(L$18:L$25,$E685)*INDEX(L$27:L$43,$F685)</f>
        <v/>
      </c>
      <c r="M685" s="36">
        <f>M$10*$D685*INDEX(M$18:M$25,$E685)*INDEX(M$27:M$43,$F685)</f>
        <v/>
      </c>
      <c r="N685" s="36">
        <f>N$10*$D685*INDEX(N$18:N$25,$E685)*INDEX(N$27:N$43,$F685)</f>
        <v/>
      </c>
      <c r="O685" s="36">
        <f>O$10*$D685*INDEX(O$18:O$25,$E685)*INDEX(O$27:O$43,$F685)</f>
        <v/>
      </c>
      <c r="P685" s="36">
        <f>P$10*$D685*INDEX(P$18:P$25,$E685)*INDEX(P$27:P$43,$F685)</f>
        <v/>
      </c>
      <c r="Q685" s="36">
        <f>Q$10*$D685*INDEX(Q$18:Q$25,$E685)*INDEX(Q$27:Q$43,$F685)</f>
        <v/>
      </c>
      <c r="R685" s="36">
        <f>R$10*$D685*INDEX(R$18:R$25,$E685)*INDEX(R$27:R$43,$F685)</f>
        <v/>
      </c>
      <c r="S685" s="36">
        <f>S$10*$D685*INDEX(S$18:S$25,$E685)*INDEX(S$27:S$43,$F685)</f>
        <v/>
      </c>
      <c r="T685" s="36">
        <f>T$10*$D685*INDEX(T$18:T$25,$E685)*INDEX(T$27:T$43,$F685)</f>
        <v/>
      </c>
      <c r="U685" s="36">
        <f>U$10*$D685*INDEX(U$18:U$25,$E685)*INDEX(U$27:U$43,$F685)</f>
        <v/>
      </c>
      <c r="V685" s="36">
        <f>V$10*$D685*INDEX(V$18:V$25,$E685)*INDEX(V$27:V$43,$F685)</f>
        <v/>
      </c>
      <c r="W685" s="36">
        <f>W$10*$D685*INDEX(W$18:W$25,$E685)*INDEX(W$27:W$43,$F685)</f>
        <v/>
      </c>
      <c r="X685" s="36">
        <f>X$10*$D685*INDEX(X$18:X$25,$E685)*INDEX(X$27:X$43,$F685)</f>
        <v/>
      </c>
      <c r="Y685" s="36">
        <f>Y$10*$D685*INDEX(Y$18:Y$25,$E685)*INDEX(Y$27:Y$43,$F685)</f>
        <v/>
      </c>
      <c r="Z685" s="23">
        <f>LOWER(Settings!$C$4)&amp;".mit."&amp;$A685&amp;IF($C685="","","."&amp;$C685&amp;"."&amp;$B685)&amp;IF(INDEX(Variables!$D$5:$D$65,MATCH($A685,Variables!$A$5:$A$65,0))="","","."&amp;INDEX(Variables!$D$5:$D$65,MATCH($A685,Variables!$A$5:$A$65,0)))&amp;"."&amp;Z$5</f>
        <v/>
      </c>
      <c r="AA685" s="38">
        <f>AA$10*$D685*INDEX(AA$18:AA$25,$E685)*INDEX(AA$27:AA$43,$F685)</f>
        <v/>
      </c>
      <c r="AB685" s="36">
        <f>AB$10*$D685*INDEX(AB$18:AB$25,$E685)*INDEX(AB$27:AB$43,$F685)</f>
        <v/>
      </c>
      <c r="AC685" s="36">
        <f>AC$10*$D685*INDEX(AC$18:AC$25,$E685)*INDEX(AC$27:AC$43,$F685)</f>
        <v/>
      </c>
      <c r="AD685" s="36">
        <f>AD$10*$D685*INDEX(AD$18:AD$25,$E685)*INDEX(AD$27:AD$43,$F685)</f>
        <v/>
      </c>
      <c r="AE685" s="36">
        <f>AE$10*$D685*INDEX(AE$18:AE$25,$E685)*INDEX(AE$27:AE$43,$F685)</f>
        <v/>
      </c>
      <c r="AF685" s="36">
        <f>AF$10*$D685*INDEX(AF$18:AF$25,$E685)*INDEX(AF$27:AF$43,$F685)</f>
        <v/>
      </c>
      <c r="AG685" s="36">
        <f>AG$10*$D685*INDEX(AG$18:AG$25,$E685)*INDEX(AG$27:AG$43,$F685)</f>
        <v/>
      </c>
      <c r="AH685" s="36">
        <f>AH$10*$D685*INDEX(AH$18:AH$25,$E685)*INDEX(AH$27:AH$43,$F685)</f>
        <v/>
      </c>
      <c r="AI685" s="36">
        <f>AI$10*$D685*INDEX(AI$18:AI$25,$E685)*INDEX(AI$27:AI$43,$F685)</f>
        <v/>
      </c>
      <c r="AJ685" s="36">
        <f>AJ$10*$D685*INDEX(AJ$18:AJ$25,$E685)*INDEX(AJ$27:AJ$43,$F685)</f>
        <v/>
      </c>
      <c r="AK685" s="36">
        <f>AK$10*$D685*INDEX(AK$18:AK$25,$E685)*INDEX(AK$27:AK$43,$F685)</f>
        <v/>
      </c>
      <c r="AL685" s="36">
        <f>AL$10*$D685*INDEX(AL$18:AL$25,$E685)*INDEX(AL$27:AL$43,$F685)</f>
        <v/>
      </c>
      <c r="AM685" s="36">
        <f>AM$10*$D685*INDEX(AM$18:AM$25,$E685)*INDEX(AM$27:AM$43,$F685)</f>
        <v/>
      </c>
      <c r="AN685" s="36">
        <f>AN$10*$D685*INDEX(AN$18:AN$25,$E685)*INDEX(AN$27:AN$43,$F685)</f>
        <v/>
      </c>
    </row>
    <row r="686" hidden="1" outlineLevel="2"/>
    <row r="687" hidden="1" outlineLevel="2">
      <c r="A687" s="5" t="inlineStr">
        <is>
          <t>ntx</t>
        </is>
      </c>
      <c r="B687" s="5" t="inlineStr">
        <is>
          <t>coa</t>
        </is>
      </c>
      <c r="C687" s="5" t="inlineStr">
        <is>
          <t>mch</t>
        </is>
      </c>
      <c r="D687" s="36">
        <f>INDEX(Inputs!$L$5:$L$132,MATCH($B687&amp;"|"&amp;$C687,Inputs!$A$5:$A$132,0))</f>
        <v/>
      </c>
      <c r="E687" s="36">
        <f>INDEX(Inputs!$I$5:$I$132,MATCH($B687&amp;"|"&amp;$C687,Inputs!$A$5:$A$132,0))</f>
        <v/>
      </c>
      <c r="F687" s="37" t="n"/>
      <c r="G687" s="37" t="n"/>
      <c r="H687" s="5">
        <f>INDEX(Variables!$B$5:$B$65,MATCH($A687,Variables!$A$5:$A$65,0))&amp;IF($C687="",""," | "&amp;INDEX(Mapping!$B$5:$B$25,MATCH($C687,Mapping!$A$5:$A$25,0))&amp;" | "&amp;INDEX(Mapping!$B$29:$B$38,MATCH($B687,Mapping!$A$29:$A$38,0)))</f>
        <v/>
      </c>
      <c r="I687" s="5">
        <f>INDEX(Variables!$C$5:$C$65,MATCH($A687,Variables!$A$5:$A$65,0))</f>
        <v/>
      </c>
      <c r="J687" s="5">
        <f>INDEX(Variables!$E$5:$E$65,MATCH($A687,Variables!$A$5:$A$65,0))</f>
        <v/>
      </c>
      <c r="K687" s="23">
        <f>LOWER(Settings!$C$4)&amp;".mit."&amp;$A687&amp;IF($C687="","","."&amp;$C687&amp;"."&amp;$B687)&amp;IF(INDEX(Variables!$D$5:$D$65,MATCH($A687,Variables!$A$5:$A$65,0))="","","."&amp;INDEX(Variables!$D$5:$D$65,MATCH($A687,Variables!$A$5:$A$65,0)))&amp;"."&amp;K$5</f>
        <v/>
      </c>
      <c r="L687" s="38">
        <f>INDEX(L$75:L$88,$D687)/$E687</f>
        <v/>
      </c>
      <c r="M687" s="36">
        <f>INDEX(M$75:M$88,$D687)/$E687</f>
        <v/>
      </c>
      <c r="N687" s="36">
        <f>INDEX(N$75:N$88,$D687)/$E687</f>
        <v/>
      </c>
      <c r="O687" s="36">
        <f>INDEX(O$75:O$88,$D687)/$E687</f>
        <v/>
      </c>
      <c r="P687" s="36">
        <f>INDEX(P$75:P$88,$D687)/$E687</f>
        <v/>
      </c>
      <c r="Q687" s="36">
        <f>INDEX(Q$75:Q$88,$D687)/$E687</f>
        <v/>
      </c>
      <c r="R687" s="36">
        <f>INDEX(R$75:R$88,$D687)/$E687</f>
        <v/>
      </c>
      <c r="S687" s="36">
        <f>INDEX(S$75:S$88,$D687)/$E687</f>
        <v/>
      </c>
      <c r="T687" s="36">
        <f>INDEX(T$75:T$88,$D687)/$E687</f>
        <v/>
      </c>
      <c r="U687" s="36">
        <f>INDEX(U$75:U$88,$D687)/$E687</f>
        <v/>
      </c>
      <c r="V687" s="36">
        <f>INDEX(V$75:V$88,$D687)/$E687</f>
        <v/>
      </c>
      <c r="W687" s="36">
        <f>INDEX(W$75:W$88,$D687)/$E687</f>
        <v/>
      </c>
      <c r="X687" s="36">
        <f>INDEX(X$75:X$88,$D687)/$E687</f>
        <v/>
      </c>
      <c r="Y687" s="36">
        <f>INDEX(Y$75:Y$88,$D687)/$E687</f>
        <v/>
      </c>
      <c r="Z687" s="23">
        <f>LOWER(Settings!$C$4)&amp;".mit."&amp;$A687&amp;IF($C687="","","."&amp;$C687&amp;"."&amp;$B687)&amp;IF(INDEX(Variables!$D$5:$D$65,MATCH($A687,Variables!$A$5:$A$65,0))="","","."&amp;INDEX(Variables!$D$5:$D$65,MATCH($A687,Variables!$A$5:$A$65,0)))&amp;"."&amp;Z$5</f>
        <v/>
      </c>
      <c r="AA687" s="38">
        <f>INDEX(AA$75:AA$88,$D687)/$E687</f>
        <v/>
      </c>
      <c r="AB687" s="36">
        <f>INDEX(AB$75:AB$88,$D687)/$E687</f>
        <v/>
      </c>
      <c r="AC687" s="36">
        <f>INDEX(AC$75:AC$88,$D687)/$E687</f>
        <v/>
      </c>
      <c r="AD687" s="36">
        <f>INDEX(AD$75:AD$88,$D687)/$E687</f>
        <v/>
      </c>
      <c r="AE687" s="36">
        <f>INDEX(AE$75:AE$88,$D687)/$E687</f>
        <v/>
      </c>
      <c r="AF687" s="36">
        <f>INDEX(AF$75:AF$88,$D687)/$E687</f>
        <v/>
      </c>
      <c r="AG687" s="36">
        <f>INDEX(AG$75:AG$88,$D687)/$E687</f>
        <v/>
      </c>
      <c r="AH687" s="36">
        <f>INDEX(AH$75:AH$88,$D687)/$E687</f>
        <v/>
      </c>
      <c r="AI687" s="36">
        <f>INDEX(AI$75:AI$88,$D687)/$E687</f>
        <v/>
      </c>
      <c r="AJ687" s="36">
        <f>INDEX(AJ$75:AJ$88,$D687)/$E687</f>
        <v/>
      </c>
      <c r="AK687" s="36">
        <f>INDEX(AK$75:AK$88,$D687)/$E687</f>
        <v/>
      </c>
      <c r="AL687" s="36">
        <f>INDEX(AL$75:AL$88,$D687)/$E687</f>
        <v/>
      </c>
      <c r="AM687" s="36">
        <f>INDEX(AM$75:AM$88,$D687)/$E687</f>
        <v/>
      </c>
      <c r="AN687" s="36">
        <f>INDEX(AN$75:AN$88,$D687)/$E687</f>
        <v/>
      </c>
    </row>
    <row r="688" hidden="1" outlineLevel="2">
      <c r="A688" s="5" t="inlineStr">
        <is>
          <t>ntx</t>
        </is>
      </c>
      <c r="B688" s="5" t="inlineStr">
        <is>
          <t>nga</t>
        </is>
      </c>
      <c r="C688" s="5" t="inlineStr">
        <is>
          <t>mch</t>
        </is>
      </c>
      <c r="D688" s="36">
        <f>INDEX(Inputs!$L$5:$L$132,MATCH($B688&amp;"|"&amp;$C688,Inputs!$A$5:$A$132,0))</f>
        <v/>
      </c>
      <c r="E688" s="36">
        <f>INDEX(Inputs!$I$5:$I$132,MATCH($B688&amp;"|"&amp;$C688,Inputs!$A$5:$A$132,0))</f>
        <v/>
      </c>
      <c r="F688" s="37" t="n"/>
      <c r="G688" s="37" t="n"/>
      <c r="H688" s="5">
        <f>INDEX(Variables!$B$5:$B$65,MATCH($A688,Variables!$A$5:$A$65,0))&amp;IF($C688="",""," | "&amp;INDEX(Mapping!$B$5:$B$25,MATCH($C688,Mapping!$A$5:$A$25,0))&amp;" | "&amp;INDEX(Mapping!$B$29:$B$38,MATCH($B688,Mapping!$A$29:$A$38,0)))</f>
        <v/>
      </c>
      <c r="I688" s="5">
        <f>INDEX(Variables!$C$5:$C$65,MATCH($A688,Variables!$A$5:$A$65,0))</f>
        <v/>
      </c>
      <c r="J688" s="5">
        <f>INDEX(Variables!$E$5:$E$65,MATCH($A688,Variables!$A$5:$A$65,0))</f>
        <v/>
      </c>
      <c r="K688" s="23">
        <f>LOWER(Settings!$C$4)&amp;".mit."&amp;$A688&amp;IF($C688="","","."&amp;$C688&amp;"."&amp;$B688)&amp;IF(INDEX(Variables!$D$5:$D$65,MATCH($A688,Variables!$A$5:$A$65,0))="","","."&amp;INDEX(Variables!$D$5:$D$65,MATCH($A688,Variables!$A$5:$A$65,0)))&amp;"."&amp;K$5</f>
        <v/>
      </c>
      <c r="L688" s="38">
        <f>INDEX(L$75:L$88,$D688)/$E688</f>
        <v/>
      </c>
      <c r="M688" s="36">
        <f>INDEX(M$75:M$88,$D688)/$E688</f>
        <v/>
      </c>
      <c r="N688" s="36">
        <f>INDEX(N$75:N$88,$D688)/$E688</f>
        <v/>
      </c>
      <c r="O688" s="36">
        <f>INDEX(O$75:O$88,$D688)/$E688</f>
        <v/>
      </c>
      <c r="P688" s="36">
        <f>INDEX(P$75:P$88,$D688)/$E688</f>
        <v/>
      </c>
      <c r="Q688" s="36">
        <f>INDEX(Q$75:Q$88,$D688)/$E688</f>
        <v/>
      </c>
      <c r="R688" s="36">
        <f>INDEX(R$75:R$88,$D688)/$E688</f>
        <v/>
      </c>
      <c r="S688" s="36">
        <f>INDEX(S$75:S$88,$D688)/$E688</f>
        <v/>
      </c>
      <c r="T688" s="36">
        <f>INDEX(T$75:T$88,$D688)/$E688</f>
        <v/>
      </c>
      <c r="U688" s="36">
        <f>INDEX(U$75:U$88,$D688)/$E688</f>
        <v/>
      </c>
      <c r="V688" s="36">
        <f>INDEX(V$75:V$88,$D688)/$E688</f>
        <v/>
      </c>
      <c r="W688" s="36">
        <f>INDEX(W$75:W$88,$D688)/$E688</f>
        <v/>
      </c>
      <c r="X688" s="36">
        <f>INDEX(X$75:X$88,$D688)/$E688</f>
        <v/>
      </c>
      <c r="Y688" s="36">
        <f>INDEX(Y$75:Y$88,$D688)/$E688</f>
        <v/>
      </c>
      <c r="Z688" s="23">
        <f>LOWER(Settings!$C$4)&amp;".mit."&amp;$A688&amp;IF($C688="","","."&amp;$C688&amp;"."&amp;$B688)&amp;IF(INDEX(Variables!$D$5:$D$65,MATCH($A688,Variables!$A$5:$A$65,0))="","","."&amp;INDEX(Variables!$D$5:$D$65,MATCH($A688,Variables!$A$5:$A$65,0)))&amp;"."&amp;Z$5</f>
        <v/>
      </c>
      <c r="AA688" s="38">
        <f>INDEX(AA$75:AA$88,$D688)/$E688</f>
        <v/>
      </c>
      <c r="AB688" s="36">
        <f>INDEX(AB$75:AB$88,$D688)/$E688</f>
        <v/>
      </c>
      <c r="AC688" s="36">
        <f>INDEX(AC$75:AC$88,$D688)/$E688</f>
        <v/>
      </c>
      <c r="AD688" s="36">
        <f>INDEX(AD$75:AD$88,$D688)/$E688</f>
        <v/>
      </c>
      <c r="AE688" s="36">
        <f>INDEX(AE$75:AE$88,$D688)/$E688</f>
        <v/>
      </c>
      <c r="AF688" s="36">
        <f>INDEX(AF$75:AF$88,$D688)/$E688</f>
        <v/>
      </c>
      <c r="AG688" s="36">
        <f>INDEX(AG$75:AG$88,$D688)/$E688</f>
        <v/>
      </c>
      <c r="AH688" s="36">
        <f>INDEX(AH$75:AH$88,$D688)/$E688</f>
        <v/>
      </c>
      <c r="AI688" s="36">
        <f>INDEX(AI$75:AI$88,$D688)/$E688</f>
        <v/>
      </c>
      <c r="AJ688" s="36">
        <f>INDEX(AJ$75:AJ$88,$D688)/$E688</f>
        <v/>
      </c>
      <c r="AK688" s="36">
        <f>INDEX(AK$75:AK$88,$D688)/$E688</f>
        <v/>
      </c>
      <c r="AL688" s="36">
        <f>INDEX(AL$75:AL$88,$D688)/$E688</f>
        <v/>
      </c>
      <c r="AM688" s="36">
        <f>INDEX(AM$75:AM$88,$D688)/$E688</f>
        <v/>
      </c>
      <c r="AN688" s="36">
        <f>INDEX(AN$75:AN$88,$D688)/$E688</f>
        <v/>
      </c>
    </row>
    <row r="689" hidden="1" outlineLevel="2">
      <c r="A689" s="5" t="inlineStr">
        <is>
          <t>ntx</t>
        </is>
      </c>
      <c r="B689" s="5" t="inlineStr">
        <is>
          <t>gso</t>
        </is>
      </c>
      <c r="C689" s="5" t="inlineStr">
        <is>
          <t>mch</t>
        </is>
      </c>
      <c r="D689" s="36">
        <f>INDEX(Inputs!$L$5:$L$132,MATCH($B689&amp;"|"&amp;$C689,Inputs!$A$5:$A$132,0))</f>
        <v/>
      </c>
      <c r="E689" s="36">
        <f>INDEX(Inputs!$I$5:$I$132,MATCH($B689&amp;"|"&amp;$C689,Inputs!$A$5:$A$132,0))</f>
        <v/>
      </c>
      <c r="F689" s="37" t="n"/>
      <c r="G689" s="37" t="n"/>
      <c r="H689" s="5">
        <f>INDEX(Variables!$B$5:$B$65,MATCH($A689,Variables!$A$5:$A$65,0))&amp;IF($C689="",""," | "&amp;INDEX(Mapping!$B$5:$B$25,MATCH($C689,Mapping!$A$5:$A$25,0))&amp;" | "&amp;INDEX(Mapping!$B$29:$B$38,MATCH($B689,Mapping!$A$29:$A$38,0)))</f>
        <v/>
      </c>
      <c r="I689" s="5">
        <f>INDEX(Variables!$C$5:$C$65,MATCH($A689,Variables!$A$5:$A$65,0))</f>
        <v/>
      </c>
      <c r="J689" s="5">
        <f>INDEX(Variables!$E$5:$E$65,MATCH($A689,Variables!$A$5:$A$65,0))</f>
        <v/>
      </c>
      <c r="K689" s="23">
        <f>LOWER(Settings!$C$4)&amp;".mit."&amp;$A689&amp;IF($C689="","","."&amp;$C689&amp;"."&amp;$B689)&amp;IF(INDEX(Variables!$D$5:$D$65,MATCH($A689,Variables!$A$5:$A$65,0))="","","."&amp;INDEX(Variables!$D$5:$D$65,MATCH($A689,Variables!$A$5:$A$65,0)))&amp;"."&amp;K$5</f>
        <v/>
      </c>
      <c r="L689" s="38">
        <f>INDEX(L$75:L$88,$D689)/$E689</f>
        <v/>
      </c>
      <c r="M689" s="36">
        <f>INDEX(M$75:M$88,$D689)/$E689</f>
        <v/>
      </c>
      <c r="N689" s="36">
        <f>INDEX(N$75:N$88,$D689)/$E689</f>
        <v/>
      </c>
      <c r="O689" s="36">
        <f>INDEX(O$75:O$88,$D689)/$E689</f>
        <v/>
      </c>
      <c r="P689" s="36">
        <f>INDEX(P$75:P$88,$D689)/$E689</f>
        <v/>
      </c>
      <c r="Q689" s="36">
        <f>INDEX(Q$75:Q$88,$D689)/$E689</f>
        <v/>
      </c>
      <c r="R689" s="36">
        <f>INDEX(R$75:R$88,$D689)/$E689</f>
        <v/>
      </c>
      <c r="S689" s="36">
        <f>INDEX(S$75:S$88,$D689)/$E689</f>
        <v/>
      </c>
      <c r="T689" s="36">
        <f>INDEX(T$75:T$88,$D689)/$E689</f>
        <v/>
      </c>
      <c r="U689" s="36">
        <f>INDEX(U$75:U$88,$D689)/$E689</f>
        <v/>
      </c>
      <c r="V689" s="36">
        <f>INDEX(V$75:V$88,$D689)/$E689</f>
        <v/>
      </c>
      <c r="W689" s="36">
        <f>INDEX(W$75:W$88,$D689)/$E689</f>
        <v/>
      </c>
      <c r="X689" s="36">
        <f>INDEX(X$75:X$88,$D689)/$E689</f>
        <v/>
      </c>
      <c r="Y689" s="36">
        <f>INDEX(Y$75:Y$88,$D689)/$E689</f>
        <v/>
      </c>
      <c r="Z689" s="23">
        <f>LOWER(Settings!$C$4)&amp;".mit."&amp;$A689&amp;IF($C689="","","."&amp;$C689&amp;"."&amp;$B689)&amp;IF(INDEX(Variables!$D$5:$D$65,MATCH($A689,Variables!$A$5:$A$65,0))="","","."&amp;INDEX(Variables!$D$5:$D$65,MATCH($A689,Variables!$A$5:$A$65,0)))&amp;"."&amp;Z$5</f>
        <v/>
      </c>
      <c r="AA689" s="38">
        <f>INDEX(AA$75:AA$88,$D689)/$E689</f>
        <v/>
      </c>
      <c r="AB689" s="36">
        <f>INDEX(AB$75:AB$88,$D689)/$E689</f>
        <v/>
      </c>
      <c r="AC689" s="36">
        <f>INDEX(AC$75:AC$88,$D689)/$E689</f>
        <v/>
      </c>
      <c r="AD689" s="36">
        <f>INDEX(AD$75:AD$88,$D689)/$E689</f>
        <v/>
      </c>
      <c r="AE689" s="36">
        <f>INDEX(AE$75:AE$88,$D689)/$E689</f>
        <v/>
      </c>
      <c r="AF689" s="36">
        <f>INDEX(AF$75:AF$88,$D689)/$E689</f>
        <v/>
      </c>
      <c r="AG689" s="36">
        <f>INDEX(AG$75:AG$88,$D689)/$E689</f>
        <v/>
      </c>
      <c r="AH689" s="36">
        <f>INDEX(AH$75:AH$88,$D689)/$E689</f>
        <v/>
      </c>
      <c r="AI689" s="36">
        <f>INDEX(AI$75:AI$88,$D689)/$E689</f>
        <v/>
      </c>
      <c r="AJ689" s="36">
        <f>INDEX(AJ$75:AJ$88,$D689)/$E689</f>
        <v/>
      </c>
      <c r="AK689" s="36">
        <f>INDEX(AK$75:AK$88,$D689)/$E689</f>
        <v/>
      </c>
      <c r="AL689" s="36">
        <f>INDEX(AL$75:AL$88,$D689)/$E689</f>
        <v/>
      </c>
      <c r="AM689" s="36">
        <f>INDEX(AM$75:AM$88,$D689)/$E689</f>
        <v/>
      </c>
      <c r="AN689" s="36">
        <f>INDEX(AN$75:AN$88,$D689)/$E689</f>
        <v/>
      </c>
    </row>
    <row r="690" hidden="1" outlineLevel="2">
      <c r="A690" s="5" t="inlineStr">
        <is>
          <t>ntx</t>
        </is>
      </c>
      <c r="B690" s="5" t="inlineStr">
        <is>
          <t>die</t>
        </is>
      </c>
      <c r="C690" s="5" t="inlineStr">
        <is>
          <t>mch</t>
        </is>
      </c>
      <c r="D690" s="36">
        <f>INDEX(Inputs!$L$5:$L$132,MATCH($B690&amp;"|"&amp;$C690,Inputs!$A$5:$A$132,0))</f>
        <v/>
      </c>
      <c r="E690" s="36">
        <f>INDEX(Inputs!$I$5:$I$132,MATCH($B690&amp;"|"&amp;$C690,Inputs!$A$5:$A$132,0))</f>
        <v/>
      </c>
      <c r="F690" s="37" t="n"/>
      <c r="G690" s="37" t="n"/>
      <c r="H690" s="5">
        <f>INDEX(Variables!$B$5:$B$65,MATCH($A690,Variables!$A$5:$A$65,0))&amp;IF($C690="",""," | "&amp;INDEX(Mapping!$B$5:$B$25,MATCH($C690,Mapping!$A$5:$A$25,0))&amp;" | "&amp;INDEX(Mapping!$B$29:$B$38,MATCH($B690,Mapping!$A$29:$A$38,0)))</f>
        <v/>
      </c>
      <c r="I690" s="5">
        <f>INDEX(Variables!$C$5:$C$65,MATCH($A690,Variables!$A$5:$A$65,0))</f>
        <v/>
      </c>
      <c r="J690" s="5">
        <f>INDEX(Variables!$E$5:$E$65,MATCH($A690,Variables!$A$5:$A$65,0))</f>
        <v/>
      </c>
      <c r="K690" s="23">
        <f>LOWER(Settings!$C$4)&amp;".mit."&amp;$A690&amp;IF($C690="","","."&amp;$C690&amp;"."&amp;$B690)&amp;IF(INDEX(Variables!$D$5:$D$65,MATCH($A690,Variables!$A$5:$A$65,0))="","","."&amp;INDEX(Variables!$D$5:$D$65,MATCH($A690,Variables!$A$5:$A$65,0)))&amp;"."&amp;K$5</f>
        <v/>
      </c>
      <c r="L690" s="38">
        <f>INDEX(L$75:L$88,$D690)/$E690</f>
        <v/>
      </c>
      <c r="M690" s="36">
        <f>INDEX(M$75:M$88,$D690)/$E690</f>
        <v/>
      </c>
      <c r="N690" s="36">
        <f>INDEX(N$75:N$88,$D690)/$E690</f>
        <v/>
      </c>
      <c r="O690" s="36">
        <f>INDEX(O$75:O$88,$D690)/$E690</f>
        <v/>
      </c>
      <c r="P690" s="36">
        <f>INDEX(P$75:P$88,$D690)/$E690</f>
        <v/>
      </c>
      <c r="Q690" s="36">
        <f>INDEX(Q$75:Q$88,$D690)/$E690</f>
        <v/>
      </c>
      <c r="R690" s="36">
        <f>INDEX(R$75:R$88,$D690)/$E690</f>
        <v/>
      </c>
      <c r="S690" s="36">
        <f>INDEX(S$75:S$88,$D690)/$E690</f>
        <v/>
      </c>
      <c r="T690" s="36">
        <f>INDEX(T$75:T$88,$D690)/$E690</f>
        <v/>
      </c>
      <c r="U690" s="36">
        <f>INDEX(U$75:U$88,$D690)/$E690</f>
        <v/>
      </c>
      <c r="V690" s="36">
        <f>INDEX(V$75:V$88,$D690)/$E690</f>
        <v/>
      </c>
      <c r="W690" s="36">
        <f>INDEX(W$75:W$88,$D690)/$E690</f>
        <v/>
      </c>
      <c r="X690" s="36">
        <f>INDEX(X$75:X$88,$D690)/$E690</f>
        <v/>
      </c>
      <c r="Y690" s="36">
        <f>INDEX(Y$75:Y$88,$D690)/$E690</f>
        <v/>
      </c>
      <c r="Z690" s="23">
        <f>LOWER(Settings!$C$4)&amp;".mit."&amp;$A690&amp;IF($C690="","","."&amp;$C690&amp;"."&amp;$B690)&amp;IF(INDEX(Variables!$D$5:$D$65,MATCH($A690,Variables!$A$5:$A$65,0))="","","."&amp;INDEX(Variables!$D$5:$D$65,MATCH($A690,Variables!$A$5:$A$65,0)))&amp;"."&amp;Z$5</f>
        <v/>
      </c>
      <c r="AA690" s="38">
        <f>INDEX(AA$75:AA$88,$D690)/$E690</f>
        <v/>
      </c>
      <c r="AB690" s="36">
        <f>INDEX(AB$75:AB$88,$D690)/$E690</f>
        <v/>
      </c>
      <c r="AC690" s="36">
        <f>INDEX(AC$75:AC$88,$D690)/$E690</f>
        <v/>
      </c>
      <c r="AD690" s="36">
        <f>INDEX(AD$75:AD$88,$D690)/$E690</f>
        <v/>
      </c>
      <c r="AE690" s="36">
        <f>INDEX(AE$75:AE$88,$D690)/$E690</f>
        <v/>
      </c>
      <c r="AF690" s="36">
        <f>INDEX(AF$75:AF$88,$D690)/$E690</f>
        <v/>
      </c>
      <c r="AG690" s="36">
        <f>INDEX(AG$75:AG$88,$D690)/$E690</f>
        <v/>
      </c>
      <c r="AH690" s="36">
        <f>INDEX(AH$75:AH$88,$D690)/$E690</f>
        <v/>
      </c>
      <c r="AI690" s="36">
        <f>INDEX(AI$75:AI$88,$D690)/$E690</f>
        <v/>
      </c>
      <c r="AJ690" s="36">
        <f>INDEX(AJ$75:AJ$88,$D690)/$E690</f>
        <v/>
      </c>
      <c r="AK690" s="36">
        <f>INDEX(AK$75:AK$88,$D690)/$E690</f>
        <v/>
      </c>
      <c r="AL690" s="36">
        <f>INDEX(AL$75:AL$88,$D690)/$E690</f>
        <v/>
      </c>
      <c r="AM690" s="36">
        <f>INDEX(AM$75:AM$88,$D690)/$E690</f>
        <v/>
      </c>
      <c r="AN690" s="36">
        <f>INDEX(AN$75:AN$88,$D690)/$E690</f>
        <v/>
      </c>
    </row>
    <row r="691" hidden="1" outlineLevel="2">
      <c r="A691" s="5" t="inlineStr">
        <is>
          <t>ntx</t>
        </is>
      </c>
      <c r="B691" s="5" t="inlineStr">
        <is>
          <t>lpg</t>
        </is>
      </c>
      <c r="C691" s="5" t="inlineStr">
        <is>
          <t>mch</t>
        </is>
      </c>
      <c r="D691" s="36">
        <f>INDEX(Inputs!$L$5:$L$132,MATCH($B691&amp;"|"&amp;$C691,Inputs!$A$5:$A$132,0))</f>
        <v/>
      </c>
      <c r="E691" s="36">
        <f>INDEX(Inputs!$I$5:$I$132,MATCH($B691&amp;"|"&amp;$C691,Inputs!$A$5:$A$132,0))</f>
        <v/>
      </c>
      <c r="F691" s="37" t="n"/>
      <c r="G691" s="37" t="n"/>
      <c r="H691" s="5">
        <f>INDEX(Variables!$B$5:$B$65,MATCH($A691,Variables!$A$5:$A$65,0))&amp;IF($C691="",""," | "&amp;INDEX(Mapping!$B$5:$B$25,MATCH($C691,Mapping!$A$5:$A$25,0))&amp;" | "&amp;INDEX(Mapping!$B$29:$B$38,MATCH($B691,Mapping!$A$29:$A$38,0)))</f>
        <v/>
      </c>
      <c r="I691" s="5">
        <f>INDEX(Variables!$C$5:$C$65,MATCH($A691,Variables!$A$5:$A$65,0))</f>
        <v/>
      </c>
      <c r="J691" s="5">
        <f>INDEX(Variables!$E$5:$E$65,MATCH($A691,Variables!$A$5:$A$65,0))</f>
        <v/>
      </c>
      <c r="K691" s="23">
        <f>LOWER(Settings!$C$4)&amp;".mit."&amp;$A691&amp;IF($C691="","","."&amp;$C691&amp;"."&amp;$B691)&amp;IF(INDEX(Variables!$D$5:$D$65,MATCH($A691,Variables!$A$5:$A$65,0))="","","."&amp;INDEX(Variables!$D$5:$D$65,MATCH($A691,Variables!$A$5:$A$65,0)))&amp;"."&amp;K$5</f>
        <v/>
      </c>
      <c r="L691" s="38">
        <f>INDEX(L$75:L$88,$D691)/$E691</f>
        <v/>
      </c>
      <c r="M691" s="36">
        <f>INDEX(M$75:M$88,$D691)/$E691</f>
        <v/>
      </c>
      <c r="N691" s="36">
        <f>INDEX(N$75:N$88,$D691)/$E691</f>
        <v/>
      </c>
      <c r="O691" s="36">
        <f>INDEX(O$75:O$88,$D691)/$E691</f>
        <v/>
      </c>
      <c r="P691" s="36">
        <f>INDEX(P$75:P$88,$D691)/$E691</f>
        <v/>
      </c>
      <c r="Q691" s="36">
        <f>INDEX(Q$75:Q$88,$D691)/$E691</f>
        <v/>
      </c>
      <c r="R691" s="36">
        <f>INDEX(R$75:R$88,$D691)/$E691</f>
        <v/>
      </c>
      <c r="S691" s="36">
        <f>INDEX(S$75:S$88,$D691)/$E691</f>
        <v/>
      </c>
      <c r="T691" s="36">
        <f>INDEX(T$75:T$88,$D691)/$E691</f>
        <v/>
      </c>
      <c r="U691" s="36">
        <f>INDEX(U$75:U$88,$D691)/$E691</f>
        <v/>
      </c>
      <c r="V691" s="36">
        <f>INDEX(V$75:V$88,$D691)/$E691</f>
        <v/>
      </c>
      <c r="W691" s="36">
        <f>INDEX(W$75:W$88,$D691)/$E691</f>
        <v/>
      </c>
      <c r="X691" s="36">
        <f>INDEX(X$75:X$88,$D691)/$E691</f>
        <v/>
      </c>
      <c r="Y691" s="36">
        <f>INDEX(Y$75:Y$88,$D691)/$E691</f>
        <v/>
      </c>
      <c r="Z691" s="23">
        <f>LOWER(Settings!$C$4)&amp;".mit."&amp;$A691&amp;IF($C691="","","."&amp;$C691&amp;"."&amp;$B691)&amp;IF(INDEX(Variables!$D$5:$D$65,MATCH($A691,Variables!$A$5:$A$65,0))="","","."&amp;INDEX(Variables!$D$5:$D$65,MATCH($A691,Variables!$A$5:$A$65,0)))&amp;"."&amp;Z$5</f>
        <v/>
      </c>
      <c r="AA691" s="38">
        <f>INDEX(AA$75:AA$88,$D691)/$E691</f>
        <v/>
      </c>
      <c r="AB691" s="36">
        <f>INDEX(AB$75:AB$88,$D691)/$E691</f>
        <v/>
      </c>
      <c r="AC691" s="36">
        <f>INDEX(AC$75:AC$88,$D691)/$E691</f>
        <v/>
      </c>
      <c r="AD691" s="36">
        <f>INDEX(AD$75:AD$88,$D691)/$E691</f>
        <v/>
      </c>
      <c r="AE691" s="36">
        <f>INDEX(AE$75:AE$88,$D691)/$E691</f>
        <v/>
      </c>
      <c r="AF691" s="36">
        <f>INDEX(AF$75:AF$88,$D691)/$E691</f>
        <v/>
      </c>
      <c r="AG691" s="36">
        <f>INDEX(AG$75:AG$88,$D691)/$E691</f>
        <v/>
      </c>
      <c r="AH691" s="36">
        <f>INDEX(AH$75:AH$88,$D691)/$E691</f>
        <v/>
      </c>
      <c r="AI691" s="36">
        <f>INDEX(AI$75:AI$88,$D691)/$E691</f>
        <v/>
      </c>
      <c r="AJ691" s="36">
        <f>INDEX(AJ$75:AJ$88,$D691)/$E691</f>
        <v/>
      </c>
      <c r="AK691" s="36">
        <f>INDEX(AK$75:AK$88,$D691)/$E691</f>
        <v/>
      </c>
      <c r="AL691" s="36">
        <f>INDEX(AL$75:AL$88,$D691)/$E691</f>
        <v/>
      </c>
      <c r="AM691" s="36">
        <f>INDEX(AM$75:AM$88,$D691)/$E691</f>
        <v/>
      </c>
      <c r="AN691" s="36">
        <f>INDEX(AN$75:AN$88,$D691)/$E691</f>
        <v/>
      </c>
    </row>
    <row r="692" hidden="1" outlineLevel="2">
      <c r="A692" s="5" t="inlineStr">
        <is>
          <t>ntx</t>
        </is>
      </c>
      <c r="B692" s="5" t="inlineStr">
        <is>
          <t>ker</t>
        </is>
      </c>
      <c r="C692" s="5" t="inlineStr">
        <is>
          <t>mch</t>
        </is>
      </c>
      <c r="D692" s="36">
        <f>INDEX(Inputs!$L$5:$L$132,MATCH($B692&amp;"|"&amp;$C692,Inputs!$A$5:$A$132,0))</f>
        <v/>
      </c>
      <c r="E692" s="36">
        <f>INDEX(Inputs!$I$5:$I$132,MATCH($B692&amp;"|"&amp;$C692,Inputs!$A$5:$A$132,0))</f>
        <v/>
      </c>
      <c r="F692" s="37" t="n"/>
      <c r="G692" s="37" t="n"/>
      <c r="H692" s="5">
        <f>INDEX(Variables!$B$5:$B$65,MATCH($A692,Variables!$A$5:$A$65,0))&amp;IF($C692="",""," | "&amp;INDEX(Mapping!$B$5:$B$25,MATCH($C692,Mapping!$A$5:$A$25,0))&amp;" | "&amp;INDEX(Mapping!$B$29:$B$38,MATCH($B692,Mapping!$A$29:$A$38,0)))</f>
        <v/>
      </c>
      <c r="I692" s="5">
        <f>INDEX(Variables!$C$5:$C$65,MATCH($A692,Variables!$A$5:$A$65,0))</f>
        <v/>
      </c>
      <c r="J692" s="5">
        <f>INDEX(Variables!$E$5:$E$65,MATCH($A692,Variables!$A$5:$A$65,0))</f>
        <v/>
      </c>
      <c r="K692" s="23">
        <f>LOWER(Settings!$C$4)&amp;".mit."&amp;$A692&amp;IF($C692="","","."&amp;$C692&amp;"."&amp;$B692)&amp;IF(INDEX(Variables!$D$5:$D$65,MATCH($A692,Variables!$A$5:$A$65,0))="","","."&amp;INDEX(Variables!$D$5:$D$65,MATCH($A692,Variables!$A$5:$A$65,0)))&amp;"."&amp;K$5</f>
        <v/>
      </c>
      <c r="L692" s="38">
        <f>INDEX(L$75:L$88,$D692)/$E692</f>
        <v/>
      </c>
      <c r="M692" s="36">
        <f>INDEX(M$75:M$88,$D692)/$E692</f>
        <v/>
      </c>
      <c r="N692" s="36">
        <f>INDEX(N$75:N$88,$D692)/$E692</f>
        <v/>
      </c>
      <c r="O692" s="36">
        <f>INDEX(O$75:O$88,$D692)/$E692</f>
        <v/>
      </c>
      <c r="P692" s="36">
        <f>INDEX(P$75:P$88,$D692)/$E692</f>
        <v/>
      </c>
      <c r="Q692" s="36">
        <f>INDEX(Q$75:Q$88,$D692)/$E692</f>
        <v/>
      </c>
      <c r="R692" s="36">
        <f>INDEX(R$75:R$88,$D692)/$E692</f>
        <v/>
      </c>
      <c r="S692" s="36">
        <f>INDEX(S$75:S$88,$D692)/$E692</f>
        <v/>
      </c>
      <c r="T692" s="36">
        <f>INDEX(T$75:T$88,$D692)/$E692</f>
        <v/>
      </c>
      <c r="U692" s="36">
        <f>INDEX(U$75:U$88,$D692)/$E692</f>
        <v/>
      </c>
      <c r="V692" s="36">
        <f>INDEX(V$75:V$88,$D692)/$E692</f>
        <v/>
      </c>
      <c r="W692" s="36">
        <f>INDEX(W$75:W$88,$D692)/$E692</f>
        <v/>
      </c>
      <c r="X692" s="36">
        <f>INDEX(X$75:X$88,$D692)/$E692</f>
        <v/>
      </c>
      <c r="Y692" s="36">
        <f>INDEX(Y$75:Y$88,$D692)/$E692</f>
        <v/>
      </c>
      <c r="Z692" s="23">
        <f>LOWER(Settings!$C$4)&amp;".mit."&amp;$A692&amp;IF($C692="","","."&amp;$C692&amp;"."&amp;$B692)&amp;IF(INDEX(Variables!$D$5:$D$65,MATCH($A692,Variables!$A$5:$A$65,0))="","","."&amp;INDEX(Variables!$D$5:$D$65,MATCH($A692,Variables!$A$5:$A$65,0)))&amp;"."&amp;Z$5</f>
        <v/>
      </c>
      <c r="AA692" s="38">
        <f>INDEX(AA$75:AA$88,$D692)/$E692</f>
        <v/>
      </c>
      <c r="AB692" s="36">
        <f>INDEX(AB$75:AB$88,$D692)/$E692</f>
        <v/>
      </c>
      <c r="AC692" s="36">
        <f>INDEX(AC$75:AC$88,$D692)/$E692</f>
        <v/>
      </c>
      <c r="AD692" s="36">
        <f>INDEX(AD$75:AD$88,$D692)/$E692</f>
        <v/>
      </c>
      <c r="AE692" s="36">
        <f>INDEX(AE$75:AE$88,$D692)/$E692</f>
        <v/>
      </c>
      <c r="AF692" s="36">
        <f>INDEX(AF$75:AF$88,$D692)/$E692</f>
        <v/>
      </c>
      <c r="AG692" s="36">
        <f>INDEX(AG$75:AG$88,$D692)/$E692</f>
        <v/>
      </c>
      <c r="AH692" s="36">
        <f>INDEX(AH$75:AH$88,$D692)/$E692</f>
        <v/>
      </c>
      <c r="AI692" s="36">
        <f>INDEX(AI$75:AI$88,$D692)/$E692</f>
        <v/>
      </c>
      <c r="AJ692" s="36">
        <f>INDEX(AJ$75:AJ$88,$D692)/$E692</f>
        <v/>
      </c>
      <c r="AK692" s="36">
        <f>INDEX(AK$75:AK$88,$D692)/$E692</f>
        <v/>
      </c>
      <c r="AL692" s="36">
        <f>INDEX(AL$75:AL$88,$D692)/$E692</f>
        <v/>
      </c>
      <c r="AM692" s="36">
        <f>INDEX(AM$75:AM$88,$D692)/$E692</f>
        <v/>
      </c>
      <c r="AN692" s="36">
        <f>INDEX(AN$75:AN$88,$D692)/$E692</f>
        <v/>
      </c>
    </row>
    <row r="693" hidden="1" outlineLevel="2">
      <c r="A693" s="5" t="inlineStr">
        <is>
          <t>ntx</t>
        </is>
      </c>
      <c r="B693" s="5" t="inlineStr">
        <is>
          <t>oop</t>
        </is>
      </c>
      <c r="C693" s="5" t="inlineStr">
        <is>
          <t>mch</t>
        </is>
      </c>
      <c r="D693" s="36">
        <f>INDEX(Inputs!$L$5:$L$132,MATCH($B693&amp;"|"&amp;$C693,Inputs!$A$5:$A$132,0))</f>
        <v/>
      </c>
      <c r="E693" s="36">
        <f>INDEX(Inputs!$I$5:$I$132,MATCH($B693&amp;"|"&amp;$C693,Inputs!$A$5:$A$132,0))</f>
        <v/>
      </c>
      <c r="F693" s="37" t="n"/>
      <c r="G693" s="37" t="n"/>
      <c r="H693" s="5">
        <f>INDEX(Variables!$B$5:$B$65,MATCH($A693,Variables!$A$5:$A$65,0))&amp;IF($C693="",""," | "&amp;INDEX(Mapping!$B$5:$B$25,MATCH($C693,Mapping!$A$5:$A$25,0))&amp;" | "&amp;INDEX(Mapping!$B$29:$B$38,MATCH($B693,Mapping!$A$29:$A$38,0)))</f>
        <v/>
      </c>
      <c r="I693" s="5">
        <f>INDEX(Variables!$C$5:$C$65,MATCH($A693,Variables!$A$5:$A$65,0))</f>
        <v/>
      </c>
      <c r="J693" s="5">
        <f>INDEX(Variables!$E$5:$E$65,MATCH($A693,Variables!$A$5:$A$65,0))</f>
        <v/>
      </c>
      <c r="K693" s="23">
        <f>LOWER(Settings!$C$4)&amp;".mit."&amp;$A693&amp;IF($C693="","","."&amp;$C693&amp;"."&amp;$B693)&amp;IF(INDEX(Variables!$D$5:$D$65,MATCH($A693,Variables!$A$5:$A$65,0))="","","."&amp;INDEX(Variables!$D$5:$D$65,MATCH($A693,Variables!$A$5:$A$65,0)))&amp;"."&amp;K$5</f>
        <v/>
      </c>
      <c r="L693" s="38">
        <f>INDEX(L$75:L$88,$D693)/$E693</f>
        <v/>
      </c>
      <c r="M693" s="36">
        <f>INDEX(M$75:M$88,$D693)/$E693</f>
        <v/>
      </c>
      <c r="N693" s="36">
        <f>INDEX(N$75:N$88,$D693)/$E693</f>
        <v/>
      </c>
      <c r="O693" s="36">
        <f>INDEX(O$75:O$88,$D693)/$E693</f>
        <v/>
      </c>
      <c r="P693" s="36">
        <f>INDEX(P$75:P$88,$D693)/$E693</f>
        <v/>
      </c>
      <c r="Q693" s="36">
        <f>INDEX(Q$75:Q$88,$D693)/$E693</f>
        <v/>
      </c>
      <c r="R693" s="36">
        <f>INDEX(R$75:R$88,$D693)/$E693</f>
        <v/>
      </c>
      <c r="S693" s="36">
        <f>INDEX(S$75:S$88,$D693)/$E693</f>
        <v/>
      </c>
      <c r="T693" s="36">
        <f>INDEX(T$75:T$88,$D693)/$E693</f>
        <v/>
      </c>
      <c r="U693" s="36">
        <f>INDEX(U$75:U$88,$D693)/$E693</f>
        <v/>
      </c>
      <c r="V693" s="36">
        <f>INDEX(V$75:V$88,$D693)/$E693</f>
        <v/>
      </c>
      <c r="W693" s="36">
        <f>INDEX(W$75:W$88,$D693)/$E693</f>
        <v/>
      </c>
      <c r="X693" s="36">
        <f>INDEX(X$75:X$88,$D693)/$E693</f>
        <v/>
      </c>
      <c r="Y693" s="36">
        <f>INDEX(Y$75:Y$88,$D693)/$E693</f>
        <v/>
      </c>
      <c r="Z693" s="23">
        <f>LOWER(Settings!$C$4)&amp;".mit."&amp;$A693&amp;IF($C693="","","."&amp;$C693&amp;"."&amp;$B693)&amp;IF(INDEX(Variables!$D$5:$D$65,MATCH($A693,Variables!$A$5:$A$65,0))="","","."&amp;INDEX(Variables!$D$5:$D$65,MATCH($A693,Variables!$A$5:$A$65,0)))&amp;"."&amp;Z$5</f>
        <v/>
      </c>
      <c r="AA693" s="38">
        <f>INDEX(AA$75:AA$88,$D693)/$E693</f>
        <v/>
      </c>
      <c r="AB693" s="36">
        <f>INDEX(AB$75:AB$88,$D693)/$E693</f>
        <v/>
      </c>
      <c r="AC693" s="36">
        <f>INDEX(AC$75:AC$88,$D693)/$E693</f>
        <v/>
      </c>
      <c r="AD693" s="36">
        <f>INDEX(AD$75:AD$88,$D693)/$E693</f>
        <v/>
      </c>
      <c r="AE693" s="36">
        <f>INDEX(AE$75:AE$88,$D693)/$E693</f>
        <v/>
      </c>
      <c r="AF693" s="36">
        <f>INDEX(AF$75:AF$88,$D693)/$E693</f>
        <v/>
      </c>
      <c r="AG693" s="36">
        <f>INDEX(AG$75:AG$88,$D693)/$E693</f>
        <v/>
      </c>
      <c r="AH693" s="36">
        <f>INDEX(AH$75:AH$88,$D693)/$E693</f>
        <v/>
      </c>
      <c r="AI693" s="36">
        <f>INDEX(AI$75:AI$88,$D693)/$E693</f>
        <v/>
      </c>
      <c r="AJ693" s="36">
        <f>INDEX(AJ$75:AJ$88,$D693)/$E693</f>
        <v/>
      </c>
      <c r="AK693" s="36">
        <f>INDEX(AK$75:AK$88,$D693)/$E693</f>
        <v/>
      </c>
      <c r="AL693" s="36">
        <f>INDEX(AL$75:AL$88,$D693)/$E693</f>
        <v/>
      </c>
      <c r="AM693" s="36">
        <f>INDEX(AM$75:AM$88,$D693)/$E693</f>
        <v/>
      </c>
      <c r="AN693" s="36">
        <f>INDEX(AN$75:AN$88,$D693)/$E693</f>
        <v/>
      </c>
    </row>
    <row r="694" hidden="1" outlineLevel="2">
      <c r="A694" s="5" t="inlineStr">
        <is>
          <t>ntx</t>
        </is>
      </c>
      <c r="B694" s="5" t="inlineStr">
        <is>
          <t>bio</t>
        </is>
      </c>
      <c r="C694" s="5" t="inlineStr">
        <is>
          <t>mch</t>
        </is>
      </c>
      <c r="D694" s="36">
        <f>INDEX(Inputs!$L$5:$L$132,MATCH($B694&amp;"|"&amp;$C694,Inputs!$A$5:$A$132,0))</f>
        <v/>
      </c>
      <c r="E694" s="36">
        <f>INDEX(Inputs!$I$5:$I$132,MATCH($B694&amp;"|"&amp;$C694,Inputs!$A$5:$A$132,0))</f>
        <v/>
      </c>
      <c r="F694" s="37" t="n"/>
      <c r="G694" s="37" t="n"/>
      <c r="H694" s="5">
        <f>INDEX(Variables!$B$5:$B$65,MATCH($A694,Variables!$A$5:$A$65,0))&amp;IF($C694="",""," | "&amp;INDEX(Mapping!$B$5:$B$25,MATCH($C694,Mapping!$A$5:$A$25,0))&amp;" | "&amp;INDEX(Mapping!$B$29:$B$38,MATCH($B694,Mapping!$A$29:$A$38,0)))</f>
        <v/>
      </c>
      <c r="I694" s="5">
        <f>INDEX(Variables!$C$5:$C$65,MATCH($A694,Variables!$A$5:$A$65,0))</f>
        <v/>
      </c>
      <c r="J694" s="5">
        <f>INDEX(Variables!$E$5:$E$65,MATCH($A694,Variables!$A$5:$A$65,0))</f>
        <v/>
      </c>
      <c r="K694" s="23">
        <f>LOWER(Settings!$C$4)&amp;".mit."&amp;$A694&amp;IF($C694="","","."&amp;$C694&amp;"."&amp;$B694)&amp;IF(INDEX(Variables!$D$5:$D$65,MATCH($A694,Variables!$A$5:$A$65,0))="","","."&amp;INDEX(Variables!$D$5:$D$65,MATCH($A694,Variables!$A$5:$A$65,0)))&amp;"."&amp;K$5</f>
        <v/>
      </c>
      <c r="L694" s="38">
        <f>INDEX(L$75:L$88,$D694)/$E694</f>
        <v/>
      </c>
      <c r="M694" s="36">
        <f>INDEX(M$75:M$88,$D694)/$E694</f>
        <v/>
      </c>
      <c r="N694" s="36">
        <f>INDEX(N$75:N$88,$D694)/$E694</f>
        <v/>
      </c>
      <c r="O694" s="36">
        <f>INDEX(O$75:O$88,$D694)/$E694</f>
        <v/>
      </c>
      <c r="P694" s="36">
        <f>INDEX(P$75:P$88,$D694)/$E694</f>
        <v/>
      </c>
      <c r="Q694" s="36">
        <f>INDEX(Q$75:Q$88,$D694)/$E694</f>
        <v/>
      </c>
      <c r="R694" s="36">
        <f>INDEX(R$75:R$88,$D694)/$E694</f>
        <v/>
      </c>
      <c r="S694" s="36">
        <f>INDEX(S$75:S$88,$D694)/$E694</f>
        <v/>
      </c>
      <c r="T694" s="36">
        <f>INDEX(T$75:T$88,$D694)/$E694</f>
        <v/>
      </c>
      <c r="U694" s="36">
        <f>INDEX(U$75:U$88,$D694)/$E694</f>
        <v/>
      </c>
      <c r="V694" s="36">
        <f>INDEX(V$75:V$88,$D694)/$E694</f>
        <v/>
      </c>
      <c r="W694" s="36">
        <f>INDEX(W$75:W$88,$D694)/$E694</f>
        <v/>
      </c>
      <c r="X694" s="36">
        <f>INDEX(X$75:X$88,$D694)/$E694</f>
        <v/>
      </c>
      <c r="Y694" s="36">
        <f>INDEX(Y$75:Y$88,$D694)/$E694</f>
        <v/>
      </c>
      <c r="Z694" s="23">
        <f>LOWER(Settings!$C$4)&amp;".mit."&amp;$A694&amp;IF($C694="","","."&amp;$C694&amp;"."&amp;$B694)&amp;IF(INDEX(Variables!$D$5:$D$65,MATCH($A694,Variables!$A$5:$A$65,0))="","","."&amp;INDEX(Variables!$D$5:$D$65,MATCH($A694,Variables!$A$5:$A$65,0)))&amp;"."&amp;Z$5</f>
        <v/>
      </c>
      <c r="AA694" s="38">
        <f>INDEX(AA$75:AA$88,$D694)/$E694</f>
        <v/>
      </c>
      <c r="AB694" s="36">
        <f>INDEX(AB$75:AB$88,$D694)/$E694</f>
        <v/>
      </c>
      <c r="AC694" s="36">
        <f>INDEX(AC$75:AC$88,$D694)/$E694</f>
        <v/>
      </c>
      <c r="AD694" s="36">
        <f>INDEX(AD$75:AD$88,$D694)/$E694</f>
        <v/>
      </c>
      <c r="AE694" s="36">
        <f>INDEX(AE$75:AE$88,$D694)/$E694</f>
        <v/>
      </c>
      <c r="AF694" s="36">
        <f>INDEX(AF$75:AF$88,$D694)/$E694</f>
        <v/>
      </c>
      <c r="AG694" s="36">
        <f>INDEX(AG$75:AG$88,$D694)/$E694</f>
        <v/>
      </c>
      <c r="AH694" s="36">
        <f>INDEX(AH$75:AH$88,$D694)/$E694</f>
        <v/>
      </c>
      <c r="AI694" s="36">
        <f>INDEX(AI$75:AI$88,$D694)/$E694</f>
        <v/>
      </c>
      <c r="AJ694" s="36">
        <f>INDEX(AJ$75:AJ$88,$D694)/$E694</f>
        <v/>
      </c>
      <c r="AK694" s="36">
        <f>INDEX(AK$75:AK$88,$D694)/$E694</f>
        <v/>
      </c>
      <c r="AL694" s="36">
        <f>INDEX(AL$75:AL$88,$D694)/$E694</f>
        <v/>
      </c>
      <c r="AM694" s="36">
        <f>INDEX(AM$75:AM$88,$D694)/$E694</f>
        <v/>
      </c>
      <c r="AN694" s="36">
        <f>INDEX(AN$75:AN$88,$D694)/$E694</f>
        <v/>
      </c>
    </row>
    <row r="695" hidden="1" outlineLevel="2"/>
    <row r="696" hidden="1" outlineLevel="2">
      <c r="A696" s="5" t="inlineStr">
        <is>
          <t>nce</t>
        </is>
      </c>
      <c r="B696" s="5" t="inlineStr">
        <is>
          <t>coa</t>
        </is>
      </c>
      <c r="C696" s="5" t="inlineStr">
        <is>
          <t>mch</t>
        </is>
      </c>
      <c r="D696" s="37" t="n"/>
      <c r="E696" s="37" t="n"/>
      <c r="F696" s="37" t="n"/>
      <c r="G696" s="37" t="n"/>
      <c r="H696" s="5">
        <f>INDEX(Variables!$B$5:$B$65,MATCH($A696,Variables!$A$5:$A$65,0))&amp;IF($C696="",""," | "&amp;INDEX(Mapping!$B$5:$B$25,MATCH($C696,Mapping!$A$5:$A$25,0))&amp;" | "&amp;INDEX(Mapping!$B$29:$B$38,MATCH($B696,Mapping!$A$29:$A$38,0)))</f>
        <v/>
      </c>
      <c r="I696" s="5">
        <f>INDEX(Variables!$C$5:$C$65,MATCH($A696,Variables!$A$5:$A$65,0))</f>
        <v/>
      </c>
      <c r="J696" s="5">
        <f>INDEX(Variables!$E$5:$E$65,MATCH($A696,Variables!$A$5:$A$65,0))</f>
        <v/>
      </c>
      <c r="K696" s="23">
        <f>LOWER(Settings!$C$4)&amp;".mit."&amp;$A696&amp;IF($C696="","","."&amp;$C696&amp;"."&amp;$B696)&amp;IF(INDEX(Variables!$D$5:$D$65,MATCH($A696,Variables!$A$5:$A$65,0))="","","."&amp;INDEX(Variables!$D$5:$D$65,MATCH($A696,Variables!$A$5:$A$65,0)))&amp;"."&amp;K$5</f>
        <v/>
      </c>
      <c r="L696" s="38">
        <f>L678+L687</f>
        <v/>
      </c>
      <c r="M696" s="36">
        <f>M678+M687</f>
        <v/>
      </c>
      <c r="N696" s="36">
        <f>N678+N687</f>
        <v/>
      </c>
      <c r="O696" s="36">
        <f>O678+O687</f>
        <v/>
      </c>
      <c r="P696" s="36">
        <f>P678+P687</f>
        <v/>
      </c>
      <c r="Q696" s="36">
        <f>Q678+Q687</f>
        <v/>
      </c>
      <c r="R696" s="36">
        <f>R678+R687</f>
        <v/>
      </c>
      <c r="S696" s="36">
        <f>S678+S687</f>
        <v/>
      </c>
      <c r="T696" s="36">
        <f>T678+T687</f>
        <v/>
      </c>
      <c r="U696" s="36">
        <f>U678+U687</f>
        <v/>
      </c>
      <c r="V696" s="36">
        <f>V678+V687</f>
        <v/>
      </c>
      <c r="W696" s="36">
        <f>W678+W687</f>
        <v/>
      </c>
      <c r="X696" s="36">
        <f>X678+X687</f>
        <v/>
      </c>
      <c r="Y696" s="36">
        <f>Y678+Y687</f>
        <v/>
      </c>
      <c r="Z696" s="23">
        <f>LOWER(Settings!$C$4)&amp;".mit."&amp;$A696&amp;IF($C696="","","."&amp;$C696&amp;"."&amp;$B696)&amp;IF(INDEX(Variables!$D$5:$D$65,MATCH($A696,Variables!$A$5:$A$65,0))="","","."&amp;INDEX(Variables!$D$5:$D$65,MATCH($A696,Variables!$A$5:$A$65,0)))&amp;"."&amp;Z$5</f>
        <v/>
      </c>
      <c r="AA696" s="38">
        <f>AA678+AA687</f>
        <v/>
      </c>
      <c r="AB696" s="36">
        <f>AB678+AB687</f>
        <v/>
      </c>
      <c r="AC696" s="36">
        <f>AC678+AC687</f>
        <v/>
      </c>
      <c r="AD696" s="36">
        <f>AD678+AD687</f>
        <v/>
      </c>
      <c r="AE696" s="36">
        <f>AE678+AE687</f>
        <v/>
      </c>
      <c r="AF696" s="36">
        <f>AF678+AF687</f>
        <v/>
      </c>
      <c r="AG696" s="36">
        <f>AG678+AG687</f>
        <v/>
      </c>
      <c r="AH696" s="36">
        <f>AH678+AH687</f>
        <v/>
      </c>
      <c r="AI696" s="36">
        <f>AI678+AI687</f>
        <v/>
      </c>
      <c r="AJ696" s="36">
        <f>AJ678+AJ687</f>
        <v/>
      </c>
      <c r="AK696" s="36">
        <f>AK678+AK687</f>
        <v/>
      </c>
      <c r="AL696" s="36">
        <f>AL678+AL687</f>
        <v/>
      </c>
      <c r="AM696" s="36">
        <f>AM678+AM687</f>
        <v/>
      </c>
      <c r="AN696" s="36">
        <f>AN678+AN687</f>
        <v/>
      </c>
    </row>
    <row r="697" hidden="1" outlineLevel="2">
      <c r="A697" s="5" t="inlineStr">
        <is>
          <t>nce</t>
        </is>
      </c>
      <c r="B697" s="5" t="inlineStr">
        <is>
          <t>nga</t>
        </is>
      </c>
      <c r="C697" s="5" t="inlineStr">
        <is>
          <t>mch</t>
        </is>
      </c>
      <c r="D697" s="37" t="n"/>
      <c r="E697" s="37" t="n"/>
      <c r="F697" s="37" t="n"/>
      <c r="G697" s="37" t="n"/>
      <c r="H697" s="5">
        <f>INDEX(Variables!$B$5:$B$65,MATCH($A697,Variables!$A$5:$A$65,0))&amp;IF($C697="",""," | "&amp;INDEX(Mapping!$B$5:$B$25,MATCH($C697,Mapping!$A$5:$A$25,0))&amp;" | "&amp;INDEX(Mapping!$B$29:$B$38,MATCH($B697,Mapping!$A$29:$A$38,0)))</f>
        <v/>
      </c>
      <c r="I697" s="5">
        <f>INDEX(Variables!$C$5:$C$65,MATCH($A697,Variables!$A$5:$A$65,0))</f>
        <v/>
      </c>
      <c r="J697" s="5">
        <f>INDEX(Variables!$E$5:$E$65,MATCH($A697,Variables!$A$5:$A$65,0))</f>
        <v/>
      </c>
      <c r="K697" s="23">
        <f>LOWER(Settings!$C$4)&amp;".mit."&amp;$A697&amp;IF($C697="","","."&amp;$C697&amp;"."&amp;$B697)&amp;IF(INDEX(Variables!$D$5:$D$65,MATCH($A697,Variables!$A$5:$A$65,0))="","","."&amp;INDEX(Variables!$D$5:$D$65,MATCH($A697,Variables!$A$5:$A$65,0)))&amp;"."&amp;K$5</f>
        <v/>
      </c>
      <c r="L697" s="38">
        <f>L679+L688</f>
        <v/>
      </c>
      <c r="M697" s="36">
        <f>M679+M688</f>
        <v/>
      </c>
      <c r="N697" s="36">
        <f>N679+N688</f>
        <v/>
      </c>
      <c r="O697" s="36">
        <f>O679+O688</f>
        <v/>
      </c>
      <c r="P697" s="36">
        <f>P679+P688</f>
        <v/>
      </c>
      <c r="Q697" s="36">
        <f>Q679+Q688</f>
        <v/>
      </c>
      <c r="R697" s="36">
        <f>R679+R688</f>
        <v/>
      </c>
      <c r="S697" s="36">
        <f>S679+S688</f>
        <v/>
      </c>
      <c r="T697" s="36">
        <f>T679+T688</f>
        <v/>
      </c>
      <c r="U697" s="36">
        <f>U679+U688</f>
        <v/>
      </c>
      <c r="V697" s="36">
        <f>V679+V688</f>
        <v/>
      </c>
      <c r="W697" s="36">
        <f>W679+W688</f>
        <v/>
      </c>
      <c r="X697" s="36">
        <f>X679+X688</f>
        <v/>
      </c>
      <c r="Y697" s="36">
        <f>Y679+Y688</f>
        <v/>
      </c>
      <c r="Z697" s="23">
        <f>LOWER(Settings!$C$4)&amp;".mit."&amp;$A697&amp;IF($C697="","","."&amp;$C697&amp;"."&amp;$B697)&amp;IF(INDEX(Variables!$D$5:$D$65,MATCH($A697,Variables!$A$5:$A$65,0))="","","."&amp;INDEX(Variables!$D$5:$D$65,MATCH($A697,Variables!$A$5:$A$65,0)))&amp;"."&amp;Z$5</f>
        <v/>
      </c>
      <c r="AA697" s="38">
        <f>AA679+AA688</f>
        <v/>
      </c>
      <c r="AB697" s="36">
        <f>AB679+AB688</f>
        <v/>
      </c>
      <c r="AC697" s="36">
        <f>AC679+AC688</f>
        <v/>
      </c>
      <c r="AD697" s="36">
        <f>AD679+AD688</f>
        <v/>
      </c>
      <c r="AE697" s="36">
        <f>AE679+AE688</f>
        <v/>
      </c>
      <c r="AF697" s="36">
        <f>AF679+AF688</f>
        <v/>
      </c>
      <c r="AG697" s="36">
        <f>AG679+AG688</f>
        <v/>
      </c>
      <c r="AH697" s="36">
        <f>AH679+AH688</f>
        <v/>
      </c>
      <c r="AI697" s="36">
        <f>AI679+AI688</f>
        <v/>
      </c>
      <c r="AJ697" s="36">
        <f>AJ679+AJ688</f>
        <v/>
      </c>
      <c r="AK697" s="36">
        <f>AK679+AK688</f>
        <v/>
      </c>
      <c r="AL697" s="36">
        <f>AL679+AL688</f>
        <v/>
      </c>
      <c r="AM697" s="36">
        <f>AM679+AM688</f>
        <v/>
      </c>
      <c r="AN697" s="36">
        <f>AN679+AN688</f>
        <v/>
      </c>
    </row>
    <row r="698" hidden="1" outlineLevel="2">
      <c r="A698" s="5" t="inlineStr">
        <is>
          <t>nce</t>
        </is>
      </c>
      <c r="B698" s="5" t="inlineStr">
        <is>
          <t>gso</t>
        </is>
      </c>
      <c r="C698" s="5" t="inlineStr">
        <is>
          <t>mch</t>
        </is>
      </c>
      <c r="D698" s="37" t="n"/>
      <c r="E698" s="37" t="n"/>
      <c r="F698" s="37" t="n"/>
      <c r="G698" s="37" t="n"/>
      <c r="H698" s="5">
        <f>INDEX(Variables!$B$5:$B$65,MATCH($A698,Variables!$A$5:$A$65,0))&amp;IF($C698="",""," | "&amp;INDEX(Mapping!$B$5:$B$25,MATCH($C698,Mapping!$A$5:$A$25,0))&amp;" | "&amp;INDEX(Mapping!$B$29:$B$38,MATCH($B698,Mapping!$A$29:$A$38,0)))</f>
        <v/>
      </c>
      <c r="I698" s="5">
        <f>INDEX(Variables!$C$5:$C$65,MATCH($A698,Variables!$A$5:$A$65,0))</f>
        <v/>
      </c>
      <c r="J698" s="5">
        <f>INDEX(Variables!$E$5:$E$65,MATCH($A698,Variables!$A$5:$A$65,0))</f>
        <v/>
      </c>
      <c r="K698" s="23">
        <f>LOWER(Settings!$C$4)&amp;".mit."&amp;$A698&amp;IF($C698="","","."&amp;$C698&amp;"."&amp;$B698)&amp;IF(INDEX(Variables!$D$5:$D$65,MATCH($A698,Variables!$A$5:$A$65,0))="","","."&amp;INDEX(Variables!$D$5:$D$65,MATCH($A698,Variables!$A$5:$A$65,0)))&amp;"."&amp;K$5</f>
        <v/>
      </c>
      <c r="L698" s="38">
        <f>L680+L689</f>
        <v/>
      </c>
      <c r="M698" s="36">
        <f>M680+M689</f>
        <v/>
      </c>
      <c r="N698" s="36">
        <f>N680+N689</f>
        <v/>
      </c>
      <c r="O698" s="36">
        <f>O680+O689</f>
        <v/>
      </c>
      <c r="P698" s="36">
        <f>P680+P689</f>
        <v/>
      </c>
      <c r="Q698" s="36">
        <f>Q680+Q689</f>
        <v/>
      </c>
      <c r="R698" s="36">
        <f>R680+R689</f>
        <v/>
      </c>
      <c r="S698" s="36">
        <f>S680+S689</f>
        <v/>
      </c>
      <c r="T698" s="36">
        <f>T680+T689</f>
        <v/>
      </c>
      <c r="U698" s="36">
        <f>U680+U689</f>
        <v/>
      </c>
      <c r="V698" s="36">
        <f>V680+V689</f>
        <v/>
      </c>
      <c r="W698" s="36">
        <f>W680+W689</f>
        <v/>
      </c>
      <c r="X698" s="36">
        <f>X680+X689</f>
        <v/>
      </c>
      <c r="Y698" s="36">
        <f>Y680+Y689</f>
        <v/>
      </c>
      <c r="Z698" s="23">
        <f>LOWER(Settings!$C$4)&amp;".mit."&amp;$A698&amp;IF($C698="","","."&amp;$C698&amp;"."&amp;$B698)&amp;IF(INDEX(Variables!$D$5:$D$65,MATCH($A698,Variables!$A$5:$A$65,0))="","","."&amp;INDEX(Variables!$D$5:$D$65,MATCH($A698,Variables!$A$5:$A$65,0)))&amp;"."&amp;Z$5</f>
        <v/>
      </c>
      <c r="AA698" s="38">
        <f>AA680+AA689</f>
        <v/>
      </c>
      <c r="AB698" s="36">
        <f>AB680+AB689</f>
        <v/>
      </c>
      <c r="AC698" s="36">
        <f>AC680+AC689</f>
        <v/>
      </c>
      <c r="AD698" s="36">
        <f>AD680+AD689</f>
        <v/>
      </c>
      <c r="AE698" s="36">
        <f>AE680+AE689</f>
        <v/>
      </c>
      <c r="AF698" s="36">
        <f>AF680+AF689</f>
        <v/>
      </c>
      <c r="AG698" s="36">
        <f>AG680+AG689</f>
        <v/>
      </c>
      <c r="AH698" s="36">
        <f>AH680+AH689</f>
        <v/>
      </c>
      <c r="AI698" s="36">
        <f>AI680+AI689</f>
        <v/>
      </c>
      <c r="AJ698" s="36">
        <f>AJ680+AJ689</f>
        <v/>
      </c>
      <c r="AK698" s="36">
        <f>AK680+AK689</f>
        <v/>
      </c>
      <c r="AL698" s="36">
        <f>AL680+AL689</f>
        <v/>
      </c>
      <c r="AM698" s="36">
        <f>AM680+AM689</f>
        <v/>
      </c>
      <c r="AN698" s="36">
        <f>AN680+AN689</f>
        <v/>
      </c>
    </row>
    <row r="699" hidden="1" outlineLevel="2">
      <c r="A699" s="5" t="inlineStr">
        <is>
          <t>nce</t>
        </is>
      </c>
      <c r="B699" s="5" t="inlineStr">
        <is>
          <t>die</t>
        </is>
      </c>
      <c r="C699" s="5" t="inlineStr">
        <is>
          <t>mch</t>
        </is>
      </c>
      <c r="D699" s="37" t="n"/>
      <c r="E699" s="37" t="n"/>
      <c r="F699" s="37" t="n"/>
      <c r="G699" s="37" t="n"/>
      <c r="H699" s="5">
        <f>INDEX(Variables!$B$5:$B$65,MATCH($A699,Variables!$A$5:$A$65,0))&amp;IF($C699="",""," | "&amp;INDEX(Mapping!$B$5:$B$25,MATCH($C699,Mapping!$A$5:$A$25,0))&amp;" | "&amp;INDEX(Mapping!$B$29:$B$38,MATCH($B699,Mapping!$A$29:$A$38,0)))</f>
        <v/>
      </c>
      <c r="I699" s="5">
        <f>INDEX(Variables!$C$5:$C$65,MATCH($A699,Variables!$A$5:$A$65,0))</f>
        <v/>
      </c>
      <c r="J699" s="5">
        <f>INDEX(Variables!$E$5:$E$65,MATCH($A699,Variables!$A$5:$A$65,0))</f>
        <v/>
      </c>
      <c r="K699" s="23">
        <f>LOWER(Settings!$C$4)&amp;".mit."&amp;$A699&amp;IF($C699="","","."&amp;$C699&amp;"."&amp;$B699)&amp;IF(INDEX(Variables!$D$5:$D$65,MATCH($A699,Variables!$A$5:$A$65,0))="","","."&amp;INDEX(Variables!$D$5:$D$65,MATCH($A699,Variables!$A$5:$A$65,0)))&amp;"."&amp;K$5</f>
        <v/>
      </c>
      <c r="L699" s="38">
        <f>L681+L690</f>
        <v/>
      </c>
      <c r="M699" s="36">
        <f>M681+M690</f>
        <v/>
      </c>
      <c r="N699" s="36">
        <f>N681+N690</f>
        <v/>
      </c>
      <c r="O699" s="36">
        <f>O681+O690</f>
        <v/>
      </c>
      <c r="P699" s="36">
        <f>P681+P690</f>
        <v/>
      </c>
      <c r="Q699" s="36">
        <f>Q681+Q690</f>
        <v/>
      </c>
      <c r="R699" s="36">
        <f>R681+R690</f>
        <v/>
      </c>
      <c r="S699" s="36">
        <f>S681+S690</f>
        <v/>
      </c>
      <c r="T699" s="36">
        <f>T681+T690</f>
        <v/>
      </c>
      <c r="U699" s="36">
        <f>U681+U690</f>
        <v/>
      </c>
      <c r="V699" s="36">
        <f>V681+V690</f>
        <v/>
      </c>
      <c r="W699" s="36">
        <f>W681+W690</f>
        <v/>
      </c>
      <c r="X699" s="36">
        <f>X681+X690</f>
        <v/>
      </c>
      <c r="Y699" s="36">
        <f>Y681+Y690</f>
        <v/>
      </c>
      <c r="Z699" s="23">
        <f>LOWER(Settings!$C$4)&amp;".mit."&amp;$A699&amp;IF($C699="","","."&amp;$C699&amp;"."&amp;$B699)&amp;IF(INDEX(Variables!$D$5:$D$65,MATCH($A699,Variables!$A$5:$A$65,0))="","","."&amp;INDEX(Variables!$D$5:$D$65,MATCH($A699,Variables!$A$5:$A$65,0)))&amp;"."&amp;Z$5</f>
        <v/>
      </c>
      <c r="AA699" s="38">
        <f>AA681+AA690</f>
        <v/>
      </c>
      <c r="AB699" s="36">
        <f>AB681+AB690</f>
        <v/>
      </c>
      <c r="AC699" s="36">
        <f>AC681+AC690</f>
        <v/>
      </c>
      <c r="AD699" s="36">
        <f>AD681+AD690</f>
        <v/>
      </c>
      <c r="AE699" s="36">
        <f>AE681+AE690</f>
        <v/>
      </c>
      <c r="AF699" s="36">
        <f>AF681+AF690</f>
        <v/>
      </c>
      <c r="AG699" s="36">
        <f>AG681+AG690</f>
        <v/>
      </c>
      <c r="AH699" s="36">
        <f>AH681+AH690</f>
        <v/>
      </c>
      <c r="AI699" s="36">
        <f>AI681+AI690</f>
        <v/>
      </c>
      <c r="AJ699" s="36">
        <f>AJ681+AJ690</f>
        <v/>
      </c>
      <c r="AK699" s="36">
        <f>AK681+AK690</f>
        <v/>
      </c>
      <c r="AL699" s="36">
        <f>AL681+AL690</f>
        <v/>
      </c>
      <c r="AM699" s="36">
        <f>AM681+AM690</f>
        <v/>
      </c>
      <c r="AN699" s="36">
        <f>AN681+AN690</f>
        <v/>
      </c>
    </row>
    <row r="700" hidden="1" outlineLevel="2">
      <c r="A700" s="5" t="inlineStr">
        <is>
          <t>nce</t>
        </is>
      </c>
      <c r="B700" s="5" t="inlineStr">
        <is>
          <t>lpg</t>
        </is>
      </c>
      <c r="C700" s="5" t="inlineStr">
        <is>
          <t>mch</t>
        </is>
      </c>
      <c r="D700" s="37" t="n"/>
      <c r="E700" s="37" t="n"/>
      <c r="F700" s="37" t="n"/>
      <c r="G700" s="37" t="n"/>
      <c r="H700" s="5">
        <f>INDEX(Variables!$B$5:$B$65,MATCH($A700,Variables!$A$5:$A$65,0))&amp;IF($C700="",""," | "&amp;INDEX(Mapping!$B$5:$B$25,MATCH($C700,Mapping!$A$5:$A$25,0))&amp;" | "&amp;INDEX(Mapping!$B$29:$B$38,MATCH($B700,Mapping!$A$29:$A$38,0)))</f>
        <v/>
      </c>
      <c r="I700" s="5">
        <f>INDEX(Variables!$C$5:$C$65,MATCH($A700,Variables!$A$5:$A$65,0))</f>
        <v/>
      </c>
      <c r="J700" s="5">
        <f>INDEX(Variables!$E$5:$E$65,MATCH($A700,Variables!$A$5:$A$65,0))</f>
        <v/>
      </c>
      <c r="K700" s="23">
        <f>LOWER(Settings!$C$4)&amp;".mit."&amp;$A700&amp;IF($C700="","","."&amp;$C700&amp;"."&amp;$B700)&amp;IF(INDEX(Variables!$D$5:$D$65,MATCH($A700,Variables!$A$5:$A$65,0))="","","."&amp;INDEX(Variables!$D$5:$D$65,MATCH($A700,Variables!$A$5:$A$65,0)))&amp;"."&amp;K$5</f>
        <v/>
      </c>
      <c r="L700" s="38">
        <f>L682+L691</f>
        <v/>
      </c>
      <c r="M700" s="36">
        <f>M682+M691</f>
        <v/>
      </c>
      <c r="N700" s="36">
        <f>N682+N691</f>
        <v/>
      </c>
      <c r="O700" s="36">
        <f>O682+O691</f>
        <v/>
      </c>
      <c r="P700" s="36">
        <f>P682+P691</f>
        <v/>
      </c>
      <c r="Q700" s="36">
        <f>Q682+Q691</f>
        <v/>
      </c>
      <c r="R700" s="36">
        <f>R682+R691</f>
        <v/>
      </c>
      <c r="S700" s="36">
        <f>S682+S691</f>
        <v/>
      </c>
      <c r="T700" s="36">
        <f>T682+T691</f>
        <v/>
      </c>
      <c r="U700" s="36">
        <f>U682+U691</f>
        <v/>
      </c>
      <c r="V700" s="36">
        <f>V682+V691</f>
        <v/>
      </c>
      <c r="W700" s="36">
        <f>W682+W691</f>
        <v/>
      </c>
      <c r="X700" s="36">
        <f>X682+X691</f>
        <v/>
      </c>
      <c r="Y700" s="36">
        <f>Y682+Y691</f>
        <v/>
      </c>
      <c r="Z700" s="23">
        <f>LOWER(Settings!$C$4)&amp;".mit."&amp;$A700&amp;IF($C700="","","."&amp;$C700&amp;"."&amp;$B700)&amp;IF(INDEX(Variables!$D$5:$D$65,MATCH($A700,Variables!$A$5:$A$65,0))="","","."&amp;INDEX(Variables!$D$5:$D$65,MATCH($A700,Variables!$A$5:$A$65,0)))&amp;"."&amp;Z$5</f>
        <v/>
      </c>
      <c r="AA700" s="38">
        <f>AA682+AA691</f>
        <v/>
      </c>
      <c r="AB700" s="36">
        <f>AB682+AB691</f>
        <v/>
      </c>
      <c r="AC700" s="36">
        <f>AC682+AC691</f>
        <v/>
      </c>
      <c r="AD700" s="36">
        <f>AD682+AD691</f>
        <v/>
      </c>
      <c r="AE700" s="36">
        <f>AE682+AE691</f>
        <v/>
      </c>
      <c r="AF700" s="36">
        <f>AF682+AF691</f>
        <v/>
      </c>
      <c r="AG700" s="36">
        <f>AG682+AG691</f>
        <v/>
      </c>
      <c r="AH700" s="36">
        <f>AH682+AH691</f>
        <v/>
      </c>
      <c r="AI700" s="36">
        <f>AI682+AI691</f>
        <v/>
      </c>
      <c r="AJ700" s="36">
        <f>AJ682+AJ691</f>
        <v/>
      </c>
      <c r="AK700" s="36">
        <f>AK682+AK691</f>
        <v/>
      </c>
      <c r="AL700" s="36">
        <f>AL682+AL691</f>
        <v/>
      </c>
      <c r="AM700" s="36">
        <f>AM682+AM691</f>
        <v/>
      </c>
      <c r="AN700" s="36">
        <f>AN682+AN691</f>
        <v/>
      </c>
    </row>
    <row r="701" hidden="1" outlineLevel="2">
      <c r="A701" s="5" t="inlineStr">
        <is>
          <t>nce</t>
        </is>
      </c>
      <c r="B701" s="5" t="inlineStr">
        <is>
          <t>ker</t>
        </is>
      </c>
      <c r="C701" s="5" t="inlineStr">
        <is>
          <t>mch</t>
        </is>
      </c>
      <c r="D701" s="37" t="n"/>
      <c r="E701" s="37" t="n"/>
      <c r="F701" s="37" t="n"/>
      <c r="G701" s="37" t="n"/>
      <c r="H701" s="5">
        <f>INDEX(Variables!$B$5:$B$65,MATCH($A701,Variables!$A$5:$A$65,0))&amp;IF($C701="",""," | "&amp;INDEX(Mapping!$B$5:$B$25,MATCH($C701,Mapping!$A$5:$A$25,0))&amp;" | "&amp;INDEX(Mapping!$B$29:$B$38,MATCH($B701,Mapping!$A$29:$A$38,0)))</f>
        <v/>
      </c>
      <c r="I701" s="5">
        <f>INDEX(Variables!$C$5:$C$65,MATCH($A701,Variables!$A$5:$A$65,0))</f>
        <v/>
      </c>
      <c r="J701" s="5">
        <f>INDEX(Variables!$E$5:$E$65,MATCH($A701,Variables!$A$5:$A$65,0))</f>
        <v/>
      </c>
      <c r="K701" s="23">
        <f>LOWER(Settings!$C$4)&amp;".mit."&amp;$A701&amp;IF($C701="","","."&amp;$C701&amp;"."&amp;$B701)&amp;IF(INDEX(Variables!$D$5:$D$65,MATCH($A701,Variables!$A$5:$A$65,0))="","","."&amp;INDEX(Variables!$D$5:$D$65,MATCH($A701,Variables!$A$5:$A$65,0)))&amp;"."&amp;K$5</f>
        <v/>
      </c>
      <c r="L701" s="38">
        <f>L683+L692</f>
        <v/>
      </c>
      <c r="M701" s="36">
        <f>M683+M692</f>
        <v/>
      </c>
      <c r="N701" s="36">
        <f>N683+N692</f>
        <v/>
      </c>
      <c r="O701" s="36">
        <f>O683+O692</f>
        <v/>
      </c>
      <c r="P701" s="36">
        <f>P683+P692</f>
        <v/>
      </c>
      <c r="Q701" s="36">
        <f>Q683+Q692</f>
        <v/>
      </c>
      <c r="R701" s="36">
        <f>R683+R692</f>
        <v/>
      </c>
      <c r="S701" s="36">
        <f>S683+S692</f>
        <v/>
      </c>
      <c r="T701" s="36">
        <f>T683+T692</f>
        <v/>
      </c>
      <c r="U701" s="36">
        <f>U683+U692</f>
        <v/>
      </c>
      <c r="V701" s="36">
        <f>V683+V692</f>
        <v/>
      </c>
      <c r="W701" s="36">
        <f>W683+W692</f>
        <v/>
      </c>
      <c r="X701" s="36">
        <f>X683+X692</f>
        <v/>
      </c>
      <c r="Y701" s="36">
        <f>Y683+Y692</f>
        <v/>
      </c>
      <c r="Z701" s="23">
        <f>LOWER(Settings!$C$4)&amp;".mit."&amp;$A701&amp;IF($C701="","","."&amp;$C701&amp;"."&amp;$B701)&amp;IF(INDEX(Variables!$D$5:$D$65,MATCH($A701,Variables!$A$5:$A$65,0))="","","."&amp;INDEX(Variables!$D$5:$D$65,MATCH($A701,Variables!$A$5:$A$65,0)))&amp;"."&amp;Z$5</f>
        <v/>
      </c>
      <c r="AA701" s="38">
        <f>AA683+AA692</f>
        <v/>
      </c>
      <c r="AB701" s="36">
        <f>AB683+AB692</f>
        <v/>
      </c>
      <c r="AC701" s="36">
        <f>AC683+AC692</f>
        <v/>
      </c>
      <c r="AD701" s="36">
        <f>AD683+AD692</f>
        <v/>
      </c>
      <c r="AE701" s="36">
        <f>AE683+AE692</f>
        <v/>
      </c>
      <c r="AF701" s="36">
        <f>AF683+AF692</f>
        <v/>
      </c>
      <c r="AG701" s="36">
        <f>AG683+AG692</f>
        <v/>
      </c>
      <c r="AH701" s="36">
        <f>AH683+AH692</f>
        <v/>
      </c>
      <c r="AI701" s="36">
        <f>AI683+AI692</f>
        <v/>
      </c>
      <c r="AJ701" s="36">
        <f>AJ683+AJ692</f>
        <v/>
      </c>
      <c r="AK701" s="36">
        <f>AK683+AK692</f>
        <v/>
      </c>
      <c r="AL701" s="36">
        <f>AL683+AL692</f>
        <v/>
      </c>
      <c r="AM701" s="36">
        <f>AM683+AM692</f>
        <v/>
      </c>
      <c r="AN701" s="36">
        <f>AN683+AN692</f>
        <v/>
      </c>
    </row>
    <row r="702" hidden="1" outlineLevel="2">
      <c r="A702" s="5" t="inlineStr">
        <is>
          <t>nce</t>
        </is>
      </c>
      <c r="B702" s="5" t="inlineStr">
        <is>
          <t>oop</t>
        </is>
      </c>
      <c r="C702" s="5" t="inlineStr">
        <is>
          <t>mch</t>
        </is>
      </c>
      <c r="D702" s="37" t="n"/>
      <c r="E702" s="37" t="n"/>
      <c r="F702" s="37" t="n"/>
      <c r="G702" s="37" t="n"/>
      <c r="H702" s="5">
        <f>INDEX(Variables!$B$5:$B$65,MATCH($A702,Variables!$A$5:$A$65,0))&amp;IF($C702="",""," | "&amp;INDEX(Mapping!$B$5:$B$25,MATCH($C702,Mapping!$A$5:$A$25,0))&amp;" | "&amp;INDEX(Mapping!$B$29:$B$38,MATCH($B702,Mapping!$A$29:$A$38,0)))</f>
        <v/>
      </c>
      <c r="I702" s="5">
        <f>INDEX(Variables!$C$5:$C$65,MATCH($A702,Variables!$A$5:$A$65,0))</f>
        <v/>
      </c>
      <c r="J702" s="5">
        <f>INDEX(Variables!$E$5:$E$65,MATCH($A702,Variables!$A$5:$A$65,0))</f>
        <v/>
      </c>
      <c r="K702" s="23">
        <f>LOWER(Settings!$C$4)&amp;".mit."&amp;$A702&amp;IF($C702="","","."&amp;$C702&amp;"."&amp;$B702)&amp;IF(INDEX(Variables!$D$5:$D$65,MATCH($A702,Variables!$A$5:$A$65,0))="","","."&amp;INDEX(Variables!$D$5:$D$65,MATCH($A702,Variables!$A$5:$A$65,0)))&amp;"."&amp;K$5</f>
        <v/>
      </c>
      <c r="L702" s="38">
        <f>L684+L693</f>
        <v/>
      </c>
      <c r="M702" s="36">
        <f>M684+M693</f>
        <v/>
      </c>
      <c r="N702" s="36">
        <f>N684+N693</f>
        <v/>
      </c>
      <c r="O702" s="36">
        <f>O684+O693</f>
        <v/>
      </c>
      <c r="P702" s="36">
        <f>P684+P693</f>
        <v/>
      </c>
      <c r="Q702" s="36">
        <f>Q684+Q693</f>
        <v/>
      </c>
      <c r="R702" s="36">
        <f>R684+R693</f>
        <v/>
      </c>
      <c r="S702" s="36">
        <f>S684+S693</f>
        <v/>
      </c>
      <c r="T702" s="36">
        <f>T684+T693</f>
        <v/>
      </c>
      <c r="U702" s="36">
        <f>U684+U693</f>
        <v/>
      </c>
      <c r="V702" s="36">
        <f>V684+V693</f>
        <v/>
      </c>
      <c r="W702" s="36">
        <f>W684+W693</f>
        <v/>
      </c>
      <c r="X702" s="36">
        <f>X684+X693</f>
        <v/>
      </c>
      <c r="Y702" s="36">
        <f>Y684+Y693</f>
        <v/>
      </c>
      <c r="Z702" s="23">
        <f>LOWER(Settings!$C$4)&amp;".mit."&amp;$A702&amp;IF($C702="","","."&amp;$C702&amp;"."&amp;$B702)&amp;IF(INDEX(Variables!$D$5:$D$65,MATCH($A702,Variables!$A$5:$A$65,0))="","","."&amp;INDEX(Variables!$D$5:$D$65,MATCH($A702,Variables!$A$5:$A$65,0)))&amp;"."&amp;Z$5</f>
        <v/>
      </c>
      <c r="AA702" s="38">
        <f>AA684+AA693</f>
        <v/>
      </c>
      <c r="AB702" s="36">
        <f>AB684+AB693</f>
        <v/>
      </c>
      <c r="AC702" s="36">
        <f>AC684+AC693</f>
        <v/>
      </c>
      <c r="AD702" s="36">
        <f>AD684+AD693</f>
        <v/>
      </c>
      <c r="AE702" s="36">
        <f>AE684+AE693</f>
        <v/>
      </c>
      <c r="AF702" s="36">
        <f>AF684+AF693</f>
        <v/>
      </c>
      <c r="AG702" s="36">
        <f>AG684+AG693</f>
        <v/>
      </c>
      <c r="AH702" s="36">
        <f>AH684+AH693</f>
        <v/>
      </c>
      <c r="AI702" s="36">
        <f>AI684+AI693</f>
        <v/>
      </c>
      <c r="AJ702" s="36">
        <f>AJ684+AJ693</f>
        <v/>
      </c>
      <c r="AK702" s="36">
        <f>AK684+AK693</f>
        <v/>
      </c>
      <c r="AL702" s="36">
        <f>AL684+AL693</f>
        <v/>
      </c>
      <c r="AM702" s="36">
        <f>AM684+AM693</f>
        <v/>
      </c>
      <c r="AN702" s="36">
        <f>AN684+AN693</f>
        <v/>
      </c>
    </row>
    <row r="703" hidden="1" outlineLevel="2">
      <c r="A703" s="5" t="inlineStr">
        <is>
          <t>nce</t>
        </is>
      </c>
      <c r="B703" s="5" t="inlineStr">
        <is>
          <t>bio</t>
        </is>
      </c>
      <c r="C703" s="5" t="inlineStr">
        <is>
          <t>mch</t>
        </is>
      </c>
      <c r="D703" s="37" t="n"/>
      <c r="E703" s="37" t="n"/>
      <c r="F703" s="37" t="n"/>
      <c r="G703" s="37" t="n"/>
      <c r="H703" s="5">
        <f>INDEX(Variables!$B$5:$B$65,MATCH($A703,Variables!$A$5:$A$65,0))&amp;IF($C703="",""," | "&amp;INDEX(Mapping!$B$5:$B$25,MATCH($C703,Mapping!$A$5:$A$25,0))&amp;" | "&amp;INDEX(Mapping!$B$29:$B$38,MATCH($B703,Mapping!$A$29:$A$38,0)))</f>
        <v/>
      </c>
      <c r="I703" s="5">
        <f>INDEX(Variables!$C$5:$C$65,MATCH($A703,Variables!$A$5:$A$65,0))</f>
        <v/>
      </c>
      <c r="J703" s="5">
        <f>INDEX(Variables!$E$5:$E$65,MATCH($A703,Variables!$A$5:$A$65,0))</f>
        <v/>
      </c>
      <c r="K703" s="23">
        <f>LOWER(Settings!$C$4)&amp;".mit."&amp;$A703&amp;IF($C703="","","."&amp;$C703&amp;"."&amp;$B703)&amp;IF(INDEX(Variables!$D$5:$D$65,MATCH($A703,Variables!$A$5:$A$65,0))="","","."&amp;INDEX(Variables!$D$5:$D$65,MATCH($A703,Variables!$A$5:$A$65,0)))&amp;"."&amp;K$5</f>
        <v/>
      </c>
      <c r="L703" s="38">
        <f>L685+L694</f>
        <v/>
      </c>
      <c r="M703" s="36">
        <f>M685+M694</f>
        <v/>
      </c>
      <c r="N703" s="36">
        <f>N685+N694</f>
        <v/>
      </c>
      <c r="O703" s="36">
        <f>O685+O694</f>
        <v/>
      </c>
      <c r="P703" s="36">
        <f>P685+P694</f>
        <v/>
      </c>
      <c r="Q703" s="36">
        <f>Q685+Q694</f>
        <v/>
      </c>
      <c r="R703" s="36">
        <f>R685+R694</f>
        <v/>
      </c>
      <c r="S703" s="36">
        <f>S685+S694</f>
        <v/>
      </c>
      <c r="T703" s="36">
        <f>T685+T694</f>
        <v/>
      </c>
      <c r="U703" s="36">
        <f>U685+U694</f>
        <v/>
      </c>
      <c r="V703" s="36">
        <f>V685+V694</f>
        <v/>
      </c>
      <c r="W703" s="36">
        <f>W685+W694</f>
        <v/>
      </c>
      <c r="X703" s="36">
        <f>X685+X694</f>
        <v/>
      </c>
      <c r="Y703" s="36">
        <f>Y685+Y694</f>
        <v/>
      </c>
      <c r="Z703" s="23">
        <f>LOWER(Settings!$C$4)&amp;".mit."&amp;$A703&amp;IF($C703="","","."&amp;$C703&amp;"."&amp;$B703)&amp;IF(INDEX(Variables!$D$5:$D$65,MATCH($A703,Variables!$A$5:$A$65,0))="","","."&amp;INDEX(Variables!$D$5:$D$65,MATCH($A703,Variables!$A$5:$A$65,0)))&amp;"."&amp;Z$5</f>
        <v/>
      </c>
      <c r="AA703" s="38">
        <f>AA685+AA694</f>
        <v/>
      </c>
      <c r="AB703" s="36">
        <f>AB685+AB694</f>
        <v/>
      </c>
      <c r="AC703" s="36">
        <f>AC685+AC694</f>
        <v/>
      </c>
      <c r="AD703" s="36">
        <f>AD685+AD694</f>
        <v/>
      </c>
      <c r="AE703" s="36">
        <f>AE685+AE694</f>
        <v/>
      </c>
      <c r="AF703" s="36">
        <f>AF685+AF694</f>
        <v/>
      </c>
      <c r="AG703" s="36">
        <f>AG685+AG694</f>
        <v/>
      </c>
      <c r="AH703" s="36">
        <f>AH685+AH694</f>
        <v/>
      </c>
      <c r="AI703" s="36">
        <f>AI685+AI694</f>
        <v/>
      </c>
      <c r="AJ703" s="36">
        <f>AJ685+AJ694</f>
        <v/>
      </c>
      <c r="AK703" s="36">
        <f>AK685+AK694</f>
        <v/>
      </c>
      <c r="AL703" s="36">
        <f>AL685+AL694</f>
        <v/>
      </c>
      <c r="AM703" s="36">
        <f>AM685+AM694</f>
        <v/>
      </c>
      <c r="AN703" s="36">
        <f>AN685+AN694</f>
        <v/>
      </c>
    </row>
    <row r="704" hidden="1" outlineLevel="2"/>
    <row r="705" hidden="1" outlineLevel="2">
      <c r="A705" s="5" t="inlineStr">
        <is>
          <t>tax</t>
        </is>
      </c>
      <c r="B705" s="5" t="inlineStr">
        <is>
          <t>coa</t>
        </is>
      </c>
      <c r="C705" s="5" t="inlineStr">
        <is>
          <t>mch</t>
        </is>
      </c>
      <c r="D705" s="36">
        <f>INDEX(Inputs!$T$5:$T$132,MATCH($B705&amp;"|"&amp;$C705,Inputs!$A$5:$A$132,0))</f>
        <v/>
      </c>
      <c r="E705" s="37" t="n"/>
      <c r="F705" s="37" t="n"/>
      <c r="G705" s="37" t="n"/>
      <c r="H705" s="5">
        <f>INDEX(Variables!$B$5:$B$65,MATCH($A705,Variables!$A$5:$A$65,0))&amp;IF($C705="",""," | "&amp;INDEX(Mapping!$B$5:$B$25,MATCH($C705,Mapping!$A$5:$A$25,0))&amp;" | "&amp;INDEX(Mapping!$B$29:$B$38,MATCH($B705,Mapping!$A$29:$A$38,0)))</f>
        <v/>
      </c>
      <c r="I705" s="5">
        <f>INDEX(Variables!$C$5:$C$65,MATCH($A705,Variables!$A$5:$A$65,0))</f>
        <v/>
      </c>
      <c r="J705" s="5">
        <f>INDEX(Variables!$E$5:$E$65,MATCH($A705,Variables!$A$5:$A$65,0))</f>
        <v/>
      </c>
      <c r="K705" s="23">
        <f>LOWER(Settings!$C$4)&amp;".mit."&amp;$A705&amp;IF($C705="","","."&amp;$C705&amp;"."&amp;$B705)&amp;IF(INDEX(Variables!$D$5:$D$65,MATCH($A705,Variables!$A$5:$A$65,0))="","","."&amp;INDEX(Variables!$D$5:$D$65,MATCH($A705,Variables!$A$5:$A$65,0)))&amp;"."&amp;K$5</f>
        <v/>
      </c>
      <c r="L705" s="38">
        <f>$D705+L696</f>
        <v/>
      </c>
      <c r="M705" s="36">
        <f>$D705+M696</f>
        <v/>
      </c>
      <c r="N705" s="36">
        <f>$D705+N696</f>
        <v/>
      </c>
      <c r="O705" s="36">
        <f>$D705+O696</f>
        <v/>
      </c>
      <c r="P705" s="36">
        <f>$D705+P696</f>
        <v/>
      </c>
      <c r="Q705" s="36">
        <f>$D705+Q696</f>
        <v/>
      </c>
      <c r="R705" s="36">
        <f>$D705+R696</f>
        <v/>
      </c>
      <c r="S705" s="36">
        <f>$D705+S696</f>
        <v/>
      </c>
      <c r="T705" s="36">
        <f>$D705+T696</f>
        <v/>
      </c>
      <c r="U705" s="36">
        <f>$D705+U696</f>
        <v/>
      </c>
      <c r="V705" s="36">
        <f>$D705+V696</f>
        <v/>
      </c>
      <c r="W705" s="36">
        <f>$D705+W696</f>
        <v/>
      </c>
      <c r="X705" s="36">
        <f>$D705+X696</f>
        <v/>
      </c>
      <c r="Y705" s="39">
        <f>TAX($D705,Y696)</f>
        <v/>
      </c>
      <c r="Z705" s="23">
        <f>LOWER(Settings!$C$4)&amp;".mit."&amp;$A705&amp;IF($C705="","","."&amp;$C705&amp;"."&amp;$B705)&amp;IF(INDEX(Variables!$D$5:$D$65,MATCH($A705,Variables!$A$5:$A$65,0))="","","."&amp;INDEX(Variables!$D$5:$D$65,MATCH($A705,Variables!$A$5:$A$65,0)))&amp;"."&amp;Z$5</f>
        <v/>
      </c>
      <c r="AA705" s="38">
        <f>$D705+AA696</f>
        <v/>
      </c>
      <c r="AB705" s="36">
        <f>$D705+AB696</f>
        <v/>
      </c>
      <c r="AC705" s="36">
        <f>$D705+AC696</f>
        <v/>
      </c>
      <c r="AD705" s="36">
        <f>$D705+AD696</f>
        <v/>
      </c>
      <c r="AE705" s="36">
        <f>$D705+AE696</f>
        <v/>
      </c>
      <c r="AF705" s="36">
        <f>$D705+AF696</f>
        <v/>
      </c>
      <c r="AG705" s="36">
        <f>$D705+AG696</f>
        <v/>
      </c>
      <c r="AH705" s="36">
        <f>$D705+AH696</f>
        <v/>
      </c>
      <c r="AI705" s="36">
        <f>$D705+AI696</f>
        <v/>
      </c>
      <c r="AJ705" s="36">
        <f>$D705+AJ696</f>
        <v/>
      </c>
      <c r="AK705" s="36">
        <f>$D705+AK696</f>
        <v/>
      </c>
      <c r="AL705" s="36">
        <f>$D705+AL696</f>
        <v/>
      </c>
      <c r="AM705" s="36">
        <f>$D705+AM696</f>
        <v/>
      </c>
      <c r="AN705" s="39">
        <f>TAX($D705,AN696)</f>
        <v/>
      </c>
    </row>
    <row r="706" hidden="1" outlineLevel="2">
      <c r="A706" s="5" t="inlineStr">
        <is>
          <t>tax</t>
        </is>
      </c>
      <c r="B706" s="5" t="inlineStr">
        <is>
          <t>nga</t>
        </is>
      </c>
      <c r="C706" s="5" t="inlineStr">
        <is>
          <t>mch</t>
        </is>
      </c>
      <c r="D706" s="36">
        <f>INDEX(Inputs!$T$5:$T$132,MATCH($B706&amp;"|"&amp;$C706,Inputs!$A$5:$A$132,0))</f>
        <v/>
      </c>
      <c r="E706" s="37" t="n"/>
      <c r="F706" s="37" t="n"/>
      <c r="G706" s="37" t="n"/>
      <c r="H706" s="5">
        <f>INDEX(Variables!$B$5:$B$65,MATCH($A706,Variables!$A$5:$A$65,0))&amp;IF($C706="",""," | "&amp;INDEX(Mapping!$B$5:$B$25,MATCH($C706,Mapping!$A$5:$A$25,0))&amp;" | "&amp;INDEX(Mapping!$B$29:$B$38,MATCH($B706,Mapping!$A$29:$A$38,0)))</f>
        <v/>
      </c>
      <c r="I706" s="5">
        <f>INDEX(Variables!$C$5:$C$65,MATCH($A706,Variables!$A$5:$A$65,0))</f>
        <v/>
      </c>
      <c r="J706" s="5">
        <f>INDEX(Variables!$E$5:$E$65,MATCH($A706,Variables!$A$5:$A$65,0))</f>
        <v/>
      </c>
      <c r="K706" s="23">
        <f>LOWER(Settings!$C$4)&amp;".mit."&amp;$A706&amp;IF($C706="","","."&amp;$C706&amp;"."&amp;$B706)&amp;IF(INDEX(Variables!$D$5:$D$65,MATCH($A706,Variables!$A$5:$A$65,0))="","","."&amp;INDEX(Variables!$D$5:$D$65,MATCH($A706,Variables!$A$5:$A$65,0)))&amp;"."&amp;K$5</f>
        <v/>
      </c>
      <c r="L706" s="38">
        <f>$D706+L697</f>
        <v/>
      </c>
      <c r="M706" s="36">
        <f>$D706+M697</f>
        <v/>
      </c>
      <c r="N706" s="36">
        <f>$D706+N697</f>
        <v/>
      </c>
      <c r="O706" s="36">
        <f>$D706+O697</f>
        <v/>
      </c>
      <c r="P706" s="36">
        <f>$D706+P697</f>
        <v/>
      </c>
      <c r="Q706" s="36">
        <f>$D706+Q697</f>
        <v/>
      </c>
      <c r="R706" s="36">
        <f>$D706+R697</f>
        <v/>
      </c>
      <c r="S706" s="36">
        <f>$D706+S697</f>
        <v/>
      </c>
      <c r="T706" s="36">
        <f>$D706+T697</f>
        <v/>
      </c>
      <c r="U706" s="36">
        <f>$D706+U697</f>
        <v/>
      </c>
      <c r="V706" s="36">
        <f>$D706+V697</f>
        <v/>
      </c>
      <c r="W706" s="36">
        <f>$D706+W697</f>
        <v/>
      </c>
      <c r="X706" s="36">
        <f>$D706+X697</f>
        <v/>
      </c>
      <c r="Y706" s="39">
        <f>TAX($D706,Y697)</f>
        <v/>
      </c>
      <c r="Z706" s="23">
        <f>LOWER(Settings!$C$4)&amp;".mit."&amp;$A706&amp;IF($C706="","","."&amp;$C706&amp;"."&amp;$B706)&amp;IF(INDEX(Variables!$D$5:$D$65,MATCH($A706,Variables!$A$5:$A$65,0))="","","."&amp;INDEX(Variables!$D$5:$D$65,MATCH($A706,Variables!$A$5:$A$65,0)))&amp;"."&amp;Z$5</f>
        <v/>
      </c>
      <c r="AA706" s="38">
        <f>$D706+AA697</f>
        <v/>
      </c>
      <c r="AB706" s="36">
        <f>$D706+AB697</f>
        <v/>
      </c>
      <c r="AC706" s="36">
        <f>$D706+AC697</f>
        <v/>
      </c>
      <c r="AD706" s="36">
        <f>$D706+AD697</f>
        <v/>
      </c>
      <c r="AE706" s="36">
        <f>$D706+AE697</f>
        <v/>
      </c>
      <c r="AF706" s="36">
        <f>$D706+AF697</f>
        <v/>
      </c>
      <c r="AG706" s="36">
        <f>$D706+AG697</f>
        <v/>
      </c>
      <c r="AH706" s="36">
        <f>$D706+AH697</f>
        <v/>
      </c>
      <c r="AI706" s="36">
        <f>$D706+AI697</f>
        <v/>
      </c>
      <c r="AJ706" s="36">
        <f>$D706+AJ697</f>
        <v/>
      </c>
      <c r="AK706" s="36">
        <f>$D706+AK697</f>
        <v/>
      </c>
      <c r="AL706" s="36">
        <f>$D706+AL697</f>
        <v/>
      </c>
      <c r="AM706" s="36">
        <f>$D706+AM697</f>
        <v/>
      </c>
      <c r="AN706" s="39">
        <f>TAX($D706,AN697)</f>
        <v/>
      </c>
    </row>
    <row r="707" hidden="1" outlineLevel="2">
      <c r="A707" s="5" t="inlineStr">
        <is>
          <t>tax</t>
        </is>
      </c>
      <c r="B707" s="5" t="inlineStr">
        <is>
          <t>gso</t>
        </is>
      </c>
      <c r="C707" s="5" t="inlineStr">
        <is>
          <t>mch</t>
        </is>
      </c>
      <c r="D707" s="36">
        <f>INDEX(Inputs!$T$5:$T$132,MATCH($B707&amp;"|"&amp;$C707,Inputs!$A$5:$A$132,0))</f>
        <v/>
      </c>
      <c r="E707" s="37" t="n"/>
      <c r="F707" s="37" t="n"/>
      <c r="G707" s="37" t="n"/>
      <c r="H707" s="5">
        <f>INDEX(Variables!$B$5:$B$65,MATCH($A707,Variables!$A$5:$A$65,0))&amp;IF($C707="",""," | "&amp;INDEX(Mapping!$B$5:$B$25,MATCH($C707,Mapping!$A$5:$A$25,0))&amp;" | "&amp;INDEX(Mapping!$B$29:$B$38,MATCH($B707,Mapping!$A$29:$A$38,0)))</f>
        <v/>
      </c>
      <c r="I707" s="5">
        <f>INDEX(Variables!$C$5:$C$65,MATCH($A707,Variables!$A$5:$A$65,0))</f>
        <v/>
      </c>
      <c r="J707" s="5">
        <f>INDEX(Variables!$E$5:$E$65,MATCH($A707,Variables!$A$5:$A$65,0))</f>
        <v/>
      </c>
      <c r="K707" s="23">
        <f>LOWER(Settings!$C$4)&amp;".mit."&amp;$A707&amp;IF($C707="","","."&amp;$C707&amp;"."&amp;$B707)&amp;IF(INDEX(Variables!$D$5:$D$65,MATCH($A707,Variables!$A$5:$A$65,0))="","","."&amp;INDEX(Variables!$D$5:$D$65,MATCH($A707,Variables!$A$5:$A$65,0)))&amp;"."&amp;K$5</f>
        <v/>
      </c>
      <c r="L707" s="38">
        <f>$D707+L698</f>
        <v/>
      </c>
      <c r="M707" s="36">
        <f>$D707+M698</f>
        <v/>
      </c>
      <c r="N707" s="36">
        <f>$D707+N698</f>
        <v/>
      </c>
      <c r="O707" s="36">
        <f>$D707+O698</f>
        <v/>
      </c>
      <c r="P707" s="36">
        <f>$D707+P698</f>
        <v/>
      </c>
      <c r="Q707" s="36">
        <f>$D707+Q698</f>
        <v/>
      </c>
      <c r="R707" s="36">
        <f>$D707+R698</f>
        <v/>
      </c>
      <c r="S707" s="36">
        <f>$D707+S698</f>
        <v/>
      </c>
      <c r="T707" s="36">
        <f>$D707+T698</f>
        <v/>
      </c>
      <c r="U707" s="36">
        <f>$D707+U698</f>
        <v/>
      </c>
      <c r="V707" s="36">
        <f>$D707+V698</f>
        <v/>
      </c>
      <c r="W707" s="36">
        <f>$D707+W698</f>
        <v/>
      </c>
      <c r="X707" s="36">
        <f>$D707+X698</f>
        <v/>
      </c>
      <c r="Y707" s="39">
        <f>TAX($D707,Y698)</f>
        <v/>
      </c>
      <c r="Z707" s="23">
        <f>LOWER(Settings!$C$4)&amp;".mit."&amp;$A707&amp;IF($C707="","","."&amp;$C707&amp;"."&amp;$B707)&amp;IF(INDEX(Variables!$D$5:$D$65,MATCH($A707,Variables!$A$5:$A$65,0))="","","."&amp;INDEX(Variables!$D$5:$D$65,MATCH($A707,Variables!$A$5:$A$65,0)))&amp;"."&amp;Z$5</f>
        <v/>
      </c>
      <c r="AA707" s="38">
        <f>$D707+AA698</f>
        <v/>
      </c>
      <c r="AB707" s="36">
        <f>$D707+AB698</f>
        <v/>
      </c>
      <c r="AC707" s="36">
        <f>$D707+AC698</f>
        <v/>
      </c>
      <c r="AD707" s="36">
        <f>$D707+AD698</f>
        <v/>
      </c>
      <c r="AE707" s="36">
        <f>$D707+AE698</f>
        <v/>
      </c>
      <c r="AF707" s="36">
        <f>$D707+AF698</f>
        <v/>
      </c>
      <c r="AG707" s="36">
        <f>$D707+AG698</f>
        <v/>
      </c>
      <c r="AH707" s="36">
        <f>$D707+AH698</f>
        <v/>
      </c>
      <c r="AI707" s="36">
        <f>$D707+AI698</f>
        <v/>
      </c>
      <c r="AJ707" s="36">
        <f>$D707+AJ698</f>
        <v/>
      </c>
      <c r="AK707" s="36">
        <f>$D707+AK698</f>
        <v/>
      </c>
      <c r="AL707" s="36">
        <f>$D707+AL698</f>
        <v/>
      </c>
      <c r="AM707" s="36">
        <f>$D707+AM698</f>
        <v/>
      </c>
      <c r="AN707" s="39">
        <f>TAX($D707,AN698)</f>
        <v/>
      </c>
    </row>
    <row r="708" hidden="1" outlineLevel="2">
      <c r="A708" s="5" t="inlineStr">
        <is>
          <t>tax</t>
        </is>
      </c>
      <c r="B708" s="5" t="inlineStr">
        <is>
          <t>die</t>
        </is>
      </c>
      <c r="C708" s="5" t="inlineStr">
        <is>
          <t>mch</t>
        </is>
      </c>
      <c r="D708" s="36">
        <f>INDEX(Inputs!$T$5:$T$132,MATCH($B708&amp;"|"&amp;$C708,Inputs!$A$5:$A$132,0))</f>
        <v/>
      </c>
      <c r="E708" s="37" t="n"/>
      <c r="F708" s="37" t="n"/>
      <c r="G708" s="37" t="n"/>
      <c r="H708" s="5">
        <f>INDEX(Variables!$B$5:$B$65,MATCH($A708,Variables!$A$5:$A$65,0))&amp;IF($C708="",""," | "&amp;INDEX(Mapping!$B$5:$B$25,MATCH($C708,Mapping!$A$5:$A$25,0))&amp;" | "&amp;INDEX(Mapping!$B$29:$B$38,MATCH($B708,Mapping!$A$29:$A$38,0)))</f>
        <v/>
      </c>
      <c r="I708" s="5">
        <f>INDEX(Variables!$C$5:$C$65,MATCH($A708,Variables!$A$5:$A$65,0))</f>
        <v/>
      </c>
      <c r="J708" s="5">
        <f>INDEX(Variables!$E$5:$E$65,MATCH($A708,Variables!$A$5:$A$65,0))</f>
        <v/>
      </c>
      <c r="K708" s="23">
        <f>LOWER(Settings!$C$4)&amp;".mit."&amp;$A708&amp;IF($C708="","","."&amp;$C708&amp;"."&amp;$B708)&amp;IF(INDEX(Variables!$D$5:$D$65,MATCH($A708,Variables!$A$5:$A$65,0))="","","."&amp;INDEX(Variables!$D$5:$D$65,MATCH($A708,Variables!$A$5:$A$65,0)))&amp;"."&amp;K$5</f>
        <v/>
      </c>
      <c r="L708" s="38">
        <f>$D708+L699</f>
        <v/>
      </c>
      <c r="M708" s="36">
        <f>$D708+M699</f>
        <v/>
      </c>
      <c r="N708" s="36">
        <f>$D708+N699</f>
        <v/>
      </c>
      <c r="O708" s="36">
        <f>$D708+O699</f>
        <v/>
      </c>
      <c r="P708" s="36">
        <f>$D708+P699</f>
        <v/>
      </c>
      <c r="Q708" s="36">
        <f>$D708+Q699</f>
        <v/>
      </c>
      <c r="R708" s="36">
        <f>$D708+R699</f>
        <v/>
      </c>
      <c r="S708" s="36">
        <f>$D708+S699</f>
        <v/>
      </c>
      <c r="T708" s="36">
        <f>$D708+T699</f>
        <v/>
      </c>
      <c r="U708" s="36">
        <f>$D708+U699</f>
        <v/>
      </c>
      <c r="V708" s="36">
        <f>$D708+V699</f>
        <v/>
      </c>
      <c r="W708" s="36">
        <f>$D708+W699</f>
        <v/>
      </c>
      <c r="X708" s="36">
        <f>$D708+X699</f>
        <v/>
      </c>
      <c r="Y708" s="39">
        <f>TAX($D708,Y699)</f>
        <v/>
      </c>
      <c r="Z708" s="23">
        <f>LOWER(Settings!$C$4)&amp;".mit."&amp;$A708&amp;IF($C708="","","."&amp;$C708&amp;"."&amp;$B708)&amp;IF(INDEX(Variables!$D$5:$D$65,MATCH($A708,Variables!$A$5:$A$65,0))="","","."&amp;INDEX(Variables!$D$5:$D$65,MATCH($A708,Variables!$A$5:$A$65,0)))&amp;"."&amp;Z$5</f>
        <v/>
      </c>
      <c r="AA708" s="38">
        <f>$D708+AA699</f>
        <v/>
      </c>
      <c r="AB708" s="36">
        <f>$D708+AB699</f>
        <v/>
      </c>
      <c r="AC708" s="36">
        <f>$D708+AC699</f>
        <v/>
      </c>
      <c r="AD708" s="36">
        <f>$D708+AD699</f>
        <v/>
      </c>
      <c r="AE708" s="36">
        <f>$D708+AE699</f>
        <v/>
      </c>
      <c r="AF708" s="36">
        <f>$D708+AF699</f>
        <v/>
      </c>
      <c r="AG708" s="36">
        <f>$D708+AG699</f>
        <v/>
      </c>
      <c r="AH708" s="36">
        <f>$D708+AH699</f>
        <v/>
      </c>
      <c r="AI708" s="36">
        <f>$D708+AI699</f>
        <v/>
      </c>
      <c r="AJ708" s="36">
        <f>$D708+AJ699</f>
        <v/>
      </c>
      <c r="AK708" s="36">
        <f>$D708+AK699</f>
        <v/>
      </c>
      <c r="AL708" s="36">
        <f>$D708+AL699</f>
        <v/>
      </c>
      <c r="AM708" s="36">
        <f>$D708+AM699</f>
        <v/>
      </c>
      <c r="AN708" s="39">
        <f>TAX($D708,AN699)</f>
        <v/>
      </c>
    </row>
    <row r="709" hidden="1" outlineLevel="2">
      <c r="A709" s="5" t="inlineStr">
        <is>
          <t>tax</t>
        </is>
      </c>
      <c r="B709" s="5" t="inlineStr">
        <is>
          <t>lpg</t>
        </is>
      </c>
      <c r="C709" s="5" t="inlineStr">
        <is>
          <t>mch</t>
        </is>
      </c>
      <c r="D709" s="36">
        <f>INDEX(Inputs!$T$5:$T$132,MATCH($B709&amp;"|"&amp;$C709,Inputs!$A$5:$A$132,0))</f>
        <v/>
      </c>
      <c r="E709" s="37" t="n"/>
      <c r="F709" s="37" t="n"/>
      <c r="G709" s="37" t="n"/>
      <c r="H709" s="5">
        <f>INDEX(Variables!$B$5:$B$65,MATCH($A709,Variables!$A$5:$A$65,0))&amp;IF($C709="",""," | "&amp;INDEX(Mapping!$B$5:$B$25,MATCH($C709,Mapping!$A$5:$A$25,0))&amp;" | "&amp;INDEX(Mapping!$B$29:$B$38,MATCH($B709,Mapping!$A$29:$A$38,0)))</f>
        <v/>
      </c>
      <c r="I709" s="5">
        <f>INDEX(Variables!$C$5:$C$65,MATCH($A709,Variables!$A$5:$A$65,0))</f>
        <v/>
      </c>
      <c r="J709" s="5">
        <f>INDEX(Variables!$E$5:$E$65,MATCH($A709,Variables!$A$5:$A$65,0))</f>
        <v/>
      </c>
      <c r="K709" s="23">
        <f>LOWER(Settings!$C$4)&amp;".mit."&amp;$A709&amp;IF($C709="","","."&amp;$C709&amp;"."&amp;$B709)&amp;IF(INDEX(Variables!$D$5:$D$65,MATCH($A709,Variables!$A$5:$A$65,0))="","","."&amp;INDEX(Variables!$D$5:$D$65,MATCH($A709,Variables!$A$5:$A$65,0)))&amp;"."&amp;K$5</f>
        <v/>
      </c>
      <c r="L709" s="38">
        <f>$D709+L700</f>
        <v/>
      </c>
      <c r="M709" s="36">
        <f>$D709+M700</f>
        <v/>
      </c>
      <c r="N709" s="36">
        <f>$D709+N700</f>
        <v/>
      </c>
      <c r="O709" s="36">
        <f>$D709+O700</f>
        <v/>
      </c>
      <c r="P709" s="36">
        <f>$D709+P700</f>
        <v/>
      </c>
      <c r="Q709" s="36">
        <f>$D709+Q700</f>
        <v/>
      </c>
      <c r="R709" s="36">
        <f>$D709+R700</f>
        <v/>
      </c>
      <c r="S709" s="36">
        <f>$D709+S700</f>
        <v/>
      </c>
      <c r="T709" s="36">
        <f>$D709+T700</f>
        <v/>
      </c>
      <c r="U709" s="36">
        <f>$D709+U700</f>
        <v/>
      </c>
      <c r="V709" s="36">
        <f>$D709+V700</f>
        <v/>
      </c>
      <c r="W709" s="36">
        <f>$D709+W700</f>
        <v/>
      </c>
      <c r="X709" s="36">
        <f>$D709+X700</f>
        <v/>
      </c>
      <c r="Y709" s="39">
        <f>TAX($D709,Y700)</f>
        <v/>
      </c>
      <c r="Z709" s="23">
        <f>LOWER(Settings!$C$4)&amp;".mit."&amp;$A709&amp;IF($C709="","","."&amp;$C709&amp;"."&amp;$B709)&amp;IF(INDEX(Variables!$D$5:$D$65,MATCH($A709,Variables!$A$5:$A$65,0))="","","."&amp;INDEX(Variables!$D$5:$D$65,MATCH($A709,Variables!$A$5:$A$65,0)))&amp;"."&amp;Z$5</f>
        <v/>
      </c>
      <c r="AA709" s="38">
        <f>$D709+AA700</f>
        <v/>
      </c>
      <c r="AB709" s="36">
        <f>$D709+AB700</f>
        <v/>
      </c>
      <c r="AC709" s="36">
        <f>$D709+AC700</f>
        <v/>
      </c>
      <c r="AD709" s="36">
        <f>$D709+AD700</f>
        <v/>
      </c>
      <c r="AE709" s="36">
        <f>$D709+AE700</f>
        <v/>
      </c>
      <c r="AF709" s="36">
        <f>$D709+AF700</f>
        <v/>
      </c>
      <c r="AG709" s="36">
        <f>$D709+AG700</f>
        <v/>
      </c>
      <c r="AH709" s="36">
        <f>$D709+AH700</f>
        <v/>
      </c>
      <c r="AI709" s="36">
        <f>$D709+AI700</f>
        <v/>
      </c>
      <c r="AJ709" s="36">
        <f>$D709+AJ700</f>
        <v/>
      </c>
      <c r="AK709" s="36">
        <f>$D709+AK700</f>
        <v/>
      </c>
      <c r="AL709" s="36">
        <f>$D709+AL700</f>
        <v/>
      </c>
      <c r="AM709" s="36">
        <f>$D709+AM700</f>
        <v/>
      </c>
      <c r="AN709" s="39">
        <f>TAX($D709,AN700)</f>
        <v/>
      </c>
    </row>
    <row r="710" hidden="1" outlineLevel="2">
      <c r="A710" s="5" t="inlineStr">
        <is>
          <t>tax</t>
        </is>
      </c>
      <c r="B710" s="5" t="inlineStr">
        <is>
          <t>ker</t>
        </is>
      </c>
      <c r="C710" s="5" t="inlineStr">
        <is>
          <t>mch</t>
        </is>
      </c>
      <c r="D710" s="36">
        <f>INDEX(Inputs!$T$5:$T$132,MATCH($B710&amp;"|"&amp;$C710,Inputs!$A$5:$A$132,0))</f>
        <v/>
      </c>
      <c r="E710" s="37" t="n"/>
      <c r="F710" s="37" t="n"/>
      <c r="G710" s="37" t="n"/>
      <c r="H710" s="5">
        <f>INDEX(Variables!$B$5:$B$65,MATCH($A710,Variables!$A$5:$A$65,0))&amp;IF($C710="",""," | "&amp;INDEX(Mapping!$B$5:$B$25,MATCH($C710,Mapping!$A$5:$A$25,0))&amp;" | "&amp;INDEX(Mapping!$B$29:$B$38,MATCH($B710,Mapping!$A$29:$A$38,0)))</f>
        <v/>
      </c>
      <c r="I710" s="5">
        <f>INDEX(Variables!$C$5:$C$65,MATCH($A710,Variables!$A$5:$A$65,0))</f>
        <v/>
      </c>
      <c r="J710" s="5">
        <f>INDEX(Variables!$E$5:$E$65,MATCH($A710,Variables!$A$5:$A$65,0))</f>
        <v/>
      </c>
      <c r="K710" s="23">
        <f>LOWER(Settings!$C$4)&amp;".mit."&amp;$A710&amp;IF($C710="","","."&amp;$C710&amp;"."&amp;$B710)&amp;IF(INDEX(Variables!$D$5:$D$65,MATCH($A710,Variables!$A$5:$A$65,0))="","","."&amp;INDEX(Variables!$D$5:$D$65,MATCH($A710,Variables!$A$5:$A$65,0)))&amp;"."&amp;K$5</f>
        <v/>
      </c>
      <c r="L710" s="38">
        <f>$D710+L701</f>
        <v/>
      </c>
      <c r="M710" s="36">
        <f>$D710+M701</f>
        <v/>
      </c>
      <c r="N710" s="36">
        <f>$D710+N701</f>
        <v/>
      </c>
      <c r="O710" s="36">
        <f>$D710+O701</f>
        <v/>
      </c>
      <c r="P710" s="36">
        <f>$D710+P701</f>
        <v/>
      </c>
      <c r="Q710" s="36">
        <f>$D710+Q701</f>
        <v/>
      </c>
      <c r="R710" s="36">
        <f>$D710+R701</f>
        <v/>
      </c>
      <c r="S710" s="36">
        <f>$D710+S701</f>
        <v/>
      </c>
      <c r="T710" s="36">
        <f>$D710+T701</f>
        <v/>
      </c>
      <c r="U710" s="36">
        <f>$D710+U701</f>
        <v/>
      </c>
      <c r="V710" s="36">
        <f>$D710+V701</f>
        <v/>
      </c>
      <c r="W710" s="36">
        <f>$D710+W701</f>
        <v/>
      </c>
      <c r="X710" s="36">
        <f>$D710+X701</f>
        <v/>
      </c>
      <c r="Y710" s="39">
        <f>TAX($D710,Y701)</f>
        <v/>
      </c>
      <c r="Z710" s="23">
        <f>LOWER(Settings!$C$4)&amp;".mit."&amp;$A710&amp;IF($C710="","","."&amp;$C710&amp;"."&amp;$B710)&amp;IF(INDEX(Variables!$D$5:$D$65,MATCH($A710,Variables!$A$5:$A$65,0))="","","."&amp;INDEX(Variables!$D$5:$D$65,MATCH($A710,Variables!$A$5:$A$65,0)))&amp;"."&amp;Z$5</f>
        <v/>
      </c>
      <c r="AA710" s="38">
        <f>$D710+AA701</f>
        <v/>
      </c>
      <c r="AB710" s="36">
        <f>$D710+AB701</f>
        <v/>
      </c>
      <c r="AC710" s="36">
        <f>$D710+AC701</f>
        <v/>
      </c>
      <c r="AD710" s="36">
        <f>$D710+AD701</f>
        <v/>
      </c>
      <c r="AE710" s="36">
        <f>$D710+AE701</f>
        <v/>
      </c>
      <c r="AF710" s="36">
        <f>$D710+AF701</f>
        <v/>
      </c>
      <c r="AG710" s="36">
        <f>$D710+AG701</f>
        <v/>
      </c>
      <c r="AH710" s="36">
        <f>$D710+AH701</f>
        <v/>
      </c>
      <c r="AI710" s="36">
        <f>$D710+AI701</f>
        <v/>
      </c>
      <c r="AJ710" s="36">
        <f>$D710+AJ701</f>
        <v/>
      </c>
      <c r="AK710" s="36">
        <f>$D710+AK701</f>
        <v/>
      </c>
      <c r="AL710" s="36">
        <f>$D710+AL701</f>
        <v/>
      </c>
      <c r="AM710" s="36">
        <f>$D710+AM701</f>
        <v/>
      </c>
      <c r="AN710" s="39">
        <f>TAX($D710,AN701)</f>
        <v/>
      </c>
    </row>
    <row r="711" hidden="1" outlineLevel="2">
      <c r="A711" s="5" t="inlineStr">
        <is>
          <t>tax</t>
        </is>
      </c>
      <c r="B711" s="5" t="inlineStr">
        <is>
          <t>oop</t>
        </is>
      </c>
      <c r="C711" s="5" t="inlineStr">
        <is>
          <t>mch</t>
        </is>
      </c>
      <c r="D711" s="36">
        <f>INDEX(Inputs!$T$5:$T$132,MATCH($B711&amp;"|"&amp;$C711,Inputs!$A$5:$A$132,0))</f>
        <v/>
      </c>
      <c r="E711" s="37" t="n"/>
      <c r="F711" s="37" t="n"/>
      <c r="G711" s="37" t="n"/>
      <c r="H711" s="5">
        <f>INDEX(Variables!$B$5:$B$65,MATCH($A711,Variables!$A$5:$A$65,0))&amp;IF($C711="",""," | "&amp;INDEX(Mapping!$B$5:$B$25,MATCH($C711,Mapping!$A$5:$A$25,0))&amp;" | "&amp;INDEX(Mapping!$B$29:$B$38,MATCH($B711,Mapping!$A$29:$A$38,0)))</f>
        <v/>
      </c>
      <c r="I711" s="5">
        <f>INDEX(Variables!$C$5:$C$65,MATCH($A711,Variables!$A$5:$A$65,0))</f>
        <v/>
      </c>
      <c r="J711" s="5">
        <f>INDEX(Variables!$E$5:$E$65,MATCH($A711,Variables!$A$5:$A$65,0))</f>
        <v/>
      </c>
      <c r="K711" s="23">
        <f>LOWER(Settings!$C$4)&amp;".mit."&amp;$A711&amp;IF($C711="","","."&amp;$C711&amp;"."&amp;$B711)&amp;IF(INDEX(Variables!$D$5:$D$65,MATCH($A711,Variables!$A$5:$A$65,0))="","","."&amp;INDEX(Variables!$D$5:$D$65,MATCH($A711,Variables!$A$5:$A$65,0)))&amp;"."&amp;K$5</f>
        <v/>
      </c>
      <c r="L711" s="38">
        <f>$D711+L702</f>
        <v/>
      </c>
      <c r="M711" s="36">
        <f>$D711+M702</f>
        <v/>
      </c>
      <c r="N711" s="36">
        <f>$D711+N702</f>
        <v/>
      </c>
      <c r="O711" s="36">
        <f>$D711+O702</f>
        <v/>
      </c>
      <c r="P711" s="36">
        <f>$D711+P702</f>
        <v/>
      </c>
      <c r="Q711" s="36">
        <f>$D711+Q702</f>
        <v/>
      </c>
      <c r="R711" s="36">
        <f>$D711+R702</f>
        <v/>
      </c>
      <c r="S711" s="36">
        <f>$D711+S702</f>
        <v/>
      </c>
      <c r="T711" s="36">
        <f>$D711+T702</f>
        <v/>
      </c>
      <c r="U711" s="36">
        <f>$D711+U702</f>
        <v/>
      </c>
      <c r="V711" s="36">
        <f>$D711+V702</f>
        <v/>
      </c>
      <c r="W711" s="36">
        <f>$D711+W702</f>
        <v/>
      </c>
      <c r="X711" s="36">
        <f>$D711+X702</f>
        <v/>
      </c>
      <c r="Y711" s="39">
        <f>TAX($D711,Y702)</f>
        <v/>
      </c>
      <c r="Z711" s="23">
        <f>LOWER(Settings!$C$4)&amp;".mit."&amp;$A711&amp;IF($C711="","","."&amp;$C711&amp;"."&amp;$B711)&amp;IF(INDEX(Variables!$D$5:$D$65,MATCH($A711,Variables!$A$5:$A$65,0))="","","."&amp;INDEX(Variables!$D$5:$D$65,MATCH($A711,Variables!$A$5:$A$65,0)))&amp;"."&amp;Z$5</f>
        <v/>
      </c>
      <c r="AA711" s="38">
        <f>$D711+AA702</f>
        <v/>
      </c>
      <c r="AB711" s="36">
        <f>$D711+AB702</f>
        <v/>
      </c>
      <c r="AC711" s="36">
        <f>$D711+AC702</f>
        <v/>
      </c>
      <c r="AD711" s="36">
        <f>$D711+AD702</f>
        <v/>
      </c>
      <c r="AE711" s="36">
        <f>$D711+AE702</f>
        <v/>
      </c>
      <c r="AF711" s="36">
        <f>$D711+AF702</f>
        <v/>
      </c>
      <c r="AG711" s="36">
        <f>$D711+AG702</f>
        <v/>
      </c>
      <c r="AH711" s="36">
        <f>$D711+AH702</f>
        <v/>
      </c>
      <c r="AI711" s="36">
        <f>$D711+AI702</f>
        <v/>
      </c>
      <c r="AJ711" s="36">
        <f>$D711+AJ702</f>
        <v/>
      </c>
      <c r="AK711" s="36">
        <f>$D711+AK702</f>
        <v/>
      </c>
      <c r="AL711" s="36">
        <f>$D711+AL702</f>
        <v/>
      </c>
      <c r="AM711" s="36">
        <f>$D711+AM702</f>
        <v/>
      </c>
      <c r="AN711" s="39">
        <f>TAX($D711,AN702)</f>
        <v/>
      </c>
    </row>
    <row r="712" hidden="1" outlineLevel="2">
      <c r="A712" s="5" t="inlineStr">
        <is>
          <t>tax</t>
        </is>
      </c>
      <c r="B712" s="5" t="inlineStr">
        <is>
          <t>bio</t>
        </is>
      </c>
      <c r="C712" s="5" t="inlineStr">
        <is>
          <t>mch</t>
        </is>
      </c>
      <c r="D712" s="36">
        <f>INDEX(Inputs!$T$5:$T$132,MATCH($B712&amp;"|"&amp;$C712,Inputs!$A$5:$A$132,0))</f>
        <v/>
      </c>
      <c r="E712" s="37" t="n"/>
      <c r="F712" s="37" t="n"/>
      <c r="G712" s="37" t="n"/>
      <c r="H712" s="5">
        <f>INDEX(Variables!$B$5:$B$65,MATCH($A712,Variables!$A$5:$A$65,0))&amp;IF($C712="",""," | "&amp;INDEX(Mapping!$B$5:$B$25,MATCH($C712,Mapping!$A$5:$A$25,0))&amp;" | "&amp;INDEX(Mapping!$B$29:$B$38,MATCH($B712,Mapping!$A$29:$A$38,0)))</f>
        <v/>
      </c>
      <c r="I712" s="5">
        <f>INDEX(Variables!$C$5:$C$65,MATCH($A712,Variables!$A$5:$A$65,0))</f>
        <v/>
      </c>
      <c r="J712" s="5">
        <f>INDEX(Variables!$E$5:$E$65,MATCH($A712,Variables!$A$5:$A$65,0))</f>
        <v/>
      </c>
      <c r="K712" s="23">
        <f>LOWER(Settings!$C$4)&amp;".mit."&amp;$A712&amp;IF($C712="","","."&amp;$C712&amp;"."&amp;$B712)&amp;IF(INDEX(Variables!$D$5:$D$65,MATCH($A712,Variables!$A$5:$A$65,0))="","","."&amp;INDEX(Variables!$D$5:$D$65,MATCH($A712,Variables!$A$5:$A$65,0)))&amp;"."&amp;K$5</f>
        <v/>
      </c>
      <c r="L712" s="38">
        <f>$D712+L703</f>
        <v/>
      </c>
      <c r="M712" s="36">
        <f>$D712+M703</f>
        <v/>
      </c>
      <c r="N712" s="36">
        <f>$D712+N703</f>
        <v/>
      </c>
      <c r="O712" s="36">
        <f>$D712+O703</f>
        <v/>
      </c>
      <c r="P712" s="36">
        <f>$D712+P703</f>
        <v/>
      </c>
      <c r="Q712" s="36">
        <f>$D712+Q703</f>
        <v/>
      </c>
      <c r="R712" s="36">
        <f>$D712+R703</f>
        <v/>
      </c>
      <c r="S712" s="36">
        <f>$D712+S703</f>
        <v/>
      </c>
      <c r="T712" s="36">
        <f>$D712+T703</f>
        <v/>
      </c>
      <c r="U712" s="36">
        <f>$D712+U703</f>
        <v/>
      </c>
      <c r="V712" s="36">
        <f>$D712+V703</f>
        <v/>
      </c>
      <c r="W712" s="36">
        <f>$D712+W703</f>
        <v/>
      </c>
      <c r="X712" s="36">
        <f>$D712+X703</f>
        <v/>
      </c>
      <c r="Y712" s="39">
        <f>TAX($D712,Y703)</f>
        <v/>
      </c>
      <c r="Z712" s="23">
        <f>LOWER(Settings!$C$4)&amp;".mit."&amp;$A712&amp;IF($C712="","","."&amp;$C712&amp;"."&amp;$B712)&amp;IF(INDEX(Variables!$D$5:$D$65,MATCH($A712,Variables!$A$5:$A$65,0))="","","."&amp;INDEX(Variables!$D$5:$D$65,MATCH($A712,Variables!$A$5:$A$65,0)))&amp;"."&amp;Z$5</f>
        <v/>
      </c>
      <c r="AA712" s="38">
        <f>$D712+AA703</f>
        <v/>
      </c>
      <c r="AB712" s="36">
        <f>$D712+AB703</f>
        <v/>
      </c>
      <c r="AC712" s="36">
        <f>$D712+AC703</f>
        <v/>
      </c>
      <c r="AD712" s="36">
        <f>$D712+AD703</f>
        <v/>
      </c>
      <c r="AE712" s="36">
        <f>$D712+AE703</f>
        <v/>
      </c>
      <c r="AF712" s="36">
        <f>$D712+AF703</f>
        <v/>
      </c>
      <c r="AG712" s="36">
        <f>$D712+AG703</f>
        <v/>
      </c>
      <c r="AH712" s="36">
        <f>$D712+AH703</f>
        <v/>
      </c>
      <c r="AI712" s="36">
        <f>$D712+AI703</f>
        <v/>
      </c>
      <c r="AJ712" s="36">
        <f>$D712+AJ703</f>
        <v/>
      </c>
      <c r="AK712" s="36">
        <f>$D712+AK703</f>
        <v/>
      </c>
      <c r="AL712" s="36">
        <f>$D712+AL703</f>
        <v/>
      </c>
      <c r="AM712" s="36">
        <f>$D712+AM703</f>
        <v/>
      </c>
      <c r="AN712" s="39">
        <f>TAX($D712,AN703)</f>
        <v/>
      </c>
    </row>
    <row r="713" hidden="1" outlineLevel="2"/>
    <row r="714" hidden="1" outlineLevel="2">
      <c r="A714" s="5" t="inlineStr">
        <is>
          <t>atp</t>
        </is>
      </c>
      <c r="B714" s="5" t="inlineStr">
        <is>
          <t>coa</t>
        </is>
      </c>
      <c r="C714" s="5" t="inlineStr">
        <is>
          <t>mch</t>
        </is>
      </c>
      <c r="D714" s="37" t="n"/>
      <c r="E714" s="37" t="n"/>
      <c r="F714" s="37" t="n"/>
      <c r="G714" s="37" t="n"/>
      <c r="H714" s="5">
        <f>INDEX(Variables!$B$5:$B$65,MATCH($A714,Variables!$A$5:$A$65,0))&amp;IF($C714="",""," | "&amp;INDEX(Mapping!$B$5:$B$25,MATCH($C714,Mapping!$A$5:$A$25,0))&amp;" | "&amp;INDEX(Mapping!$B$29:$B$38,MATCH($B714,Mapping!$A$29:$A$38,0)))</f>
        <v/>
      </c>
      <c r="I714" s="5">
        <f>INDEX(Variables!$C$5:$C$65,MATCH($A714,Variables!$A$5:$A$65,0))</f>
        <v/>
      </c>
      <c r="J714" s="5">
        <f>INDEX(Variables!$E$5:$E$65,MATCH($A714,Variables!$A$5:$A$65,0))</f>
        <v/>
      </c>
      <c r="K714" s="23">
        <f>LOWER(Settings!$C$4)&amp;".mit."&amp;$A714&amp;IF($C714="","","."&amp;$C714&amp;"."&amp;$B714)&amp;IF(INDEX(Variables!$D$5:$D$65,MATCH($A714,Variables!$A$5:$A$65,0))="","","."&amp;INDEX(Variables!$D$5:$D$65,MATCH($A714,Variables!$A$5:$A$65,0)))&amp;"."&amp;K$5</f>
        <v/>
      </c>
      <c r="L714" s="38">
        <f>L669+L705</f>
        <v/>
      </c>
      <c r="M714" s="36">
        <f>M669+M705</f>
        <v/>
      </c>
      <c r="N714" s="36">
        <f>N669+N705</f>
        <v/>
      </c>
      <c r="O714" s="36">
        <f>O669+O705</f>
        <v/>
      </c>
      <c r="P714" s="36">
        <f>P669+P705</f>
        <v/>
      </c>
      <c r="Q714" s="36">
        <f>Q669+Q705</f>
        <v/>
      </c>
      <c r="R714" s="36">
        <f>R669+R705</f>
        <v/>
      </c>
      <c r="S714" s="36">
        <f>S669+S705</f>
        <v/>
      </c>
      <c r="T714" s="36">
        <f>T669+T705</f>
        <v/>
      </c>
      <c r="U714" s="36">
        <f>U669+U705</f>
        <v/>
      </c>
      <c r="V714" s="36">
        <f>V669+V705</f>
        <v/>
      </c>
      <c r="W714" s="36">
        <f>W669+W705</f>
        <v/>
      </c>
      <c r="X714" s="36">
        <f>X669+X705</f>
        <v/>
      </c>
      <c r="Y714" s="39">
        <f>POSTTAX(Y669,Y705)</f>
        <v/>
      </c>
      <c r="Z714" s="23">
        <f>LOWER(Settings!$C$4)&amp;".mit."&amp;$A714&amp;IF($C714="","","."&amp;$C714&amp;"."&amp;$B714)&amp;IF(INDEX(Variables!$D$5:$D$65,MATCH($A714,Variables!$A$5:$A$65,0))="","","."&amp;INDEX(Variables!$D$5:$D$65,MATCH($A714,Variables!$A$5:$A$65,0)))&amp;"."&amp;Z$5</f>
        <v/>
      </c>
      <c r="AA714" s="38">
        <f>AA669+AA705</f>
        <v/>
      </c>
      <c r="AB714" s="36">
        <f>AB669+AB705</f>
        <v/>
      </c>
      <c r="AC714" s="36">
        <f>AC669+AC705</f>
        <v/>
      </c>
      <c r="AD714" s="36">
        <f>AD669+AD705</f>
        <v/>
      </c>
      <c r="AE714" s="36">
        <f>AE669+AE705</f>
        <v/>
      </c>
      <c r="AF714" s="36">
        <f>AF669+AF705</f>
        <v/>
      </c>
      <c r="AG714" s="36">
        <f>AG669+AG705</f>
        <v/>
      </c>
      <c r="AH714" s="36">
        <f>AH669+AH705</f>
        <v/>
      </c>
      <c r="AI714" s="36">
        <f>AI669+AI705</f>
        <v/>
      </c>
      <c r="AJ714" s="36">
        <f>AJ669+AJ705</f>
        <v/>
      </c>
      <c r="AK714" s="36">
        <f>AK669+AK705</f>
        <v/>
      </c>
      <c r="AL714" s="36">
        <f>AL669+AL705</f>
        <v/>
      </c>
      <c r="AM714" s="36">
        <f>AM669+AM705</f>
        <v/>
      </c>
      <c r="AN714" s="39">
        <f>POSTTAX(AN669,AN705)</f>
        <v/>
      </c>
    </row>
    <row r="715" hidden="1" outlineLevel="2">
      <c r="A715" s="5" t="inlineStr">
        <is>
          <t>atp</t>
        </is>
      </c>
      <c r="B715" s="5" t="inlineStr">
        <is>
          <t>nga</t>
        </is>
      </c>
      <c r="C715" s="5" t="inlineStr">
        <is>
          <t>mch</t>
        </is>
      </c>
      <c r="D715" s="37" t="n"/>
      <c r="E715" s="37" t="n"/>
      <c r="F715" s="37" t="n"/>
      <c r="G715" s="37" t="n"/>
      <c r="H715" s="5">
        <f>INDEX(Variables!$B$5:$B$65,MATCH($A715,Variables!$A$5:$A$65,0))&amp;IF($C715="",""," | "&amp;INDEX(Mapping!$B$5:$B$25,MATCH($C715,Mapping!$A$5:$A$25,0))&amp;" | "&amp;INDEX(Mapping!$B$29:$B$38,MATCH($B715,Mapping!$A$29:$A$38,0)))</f>
        <v/>
      </c>
      <c r="I715" s="5">
        <f>INDEX(Variables!$C$5:$C$65,MATCH($A715,Variables!$A$5:$A$65,0))</f>
        <v/>
      </c>
      <c r="J715" s="5">
        <f>INDEX(Variables!$E$5:$E$65,MATCH($A715,Variables!$A$5:$A$65,0))</f>
        <v/>
      </c>
      <c r="K715" s="23">
        <f>LOWER(Settings!$C$4)&amp;".mit."&amp;$A715&amp;IF($C715="","","."&amp;$C715&amp;"."&amp;$B715)&amp;IF(INDEX(Variables!$D$5:$D$65,MATCH($A715,Variables!$A$5:$A$65,0))="","","."&amp;INDEX(Variables!$D$5:$D$65,MATCH($A715,Variables!$A$5:$A$65,0)))&amp;"."&amp;K$5</f>
        <v/>
      </c>
      <c r="L715" s="38">
        <f>L670+L706</f>
        <v/>
      </c>
      <c r="M715" s="36">
        <f>M670+M706</f>
        <v/>
      </c>
      <c r="N715" s="36">
        <f>N670+N706</f>
        <v/>
      </c>
      <c r="O715" s="36">
        <f>O670+O706</f>
        <v/>
      </c>
      <c r="P715" s="36">
        <f>P670+P706</f>
        <v/>
      </c>
      <c r="Q715" s="36">
        <f>Q670+Q706</f>
        <v/>
      </c>
      <c r="R715" s="36">
        <f>R670+R706</f>
        <v/>
      </c>
      <c r="S715" s="36">
        <f>S670+S706</f>
        <v/>
      </c>
      <c r="T715" s="36">
        <f>T670+T706</f>
        <v/>
      </c>
      <c r="U715" s="36">
        <f>U670+U706</f>
        <v/>
      </c>
      <c r="V715" s="36">
        <f>V670+V706</f>
        <v/>
      </c>
      <c r="W715" s="36">
        <f>W670+W706</f>
        <v/>
      </c>
      <c r="X715" s="36">
        <f>X670+X706</f>
        <v/>
      </c>
      <c r="Y715" s="39">
        <f>POSTTAX(Y670,Y706)</f>
        <v/>
      </c>
      <c r="Z715" s="23">
        <f>LOWER(Settings!$C$4)&amp;".mit."&amp;$A715&amp;IF($C715="","","."&amp;$C715&amp;"."&amp;$B715)&amp;IF(INDEX(Variables!$D$5:$D$65,MATCH($A715,Variables!$A$5:$A$65,0))="","","."&amp;INDEX(Variables!$D$5:$D$65,MATCH($A715,Variables!$A$5:$A$65,0)))&amp;"."&amp;Z$5</f>
        <v/>
      </c>
      <c r="AA715" s="38">
        <f>AA670+AA706</f>
        <v/>
      </c>
      <c r="AB715" s="36">
        <f>AB670+AB706</f>
        <v/>
      </c>
      <c r="AC715" s="36">
        <f>AC670+AC706</f>
        <v/>
      </c>
      <c r="AD715" s="36">
        <f>AD670+AD706</f>
        <v/>
      </c>
      <c r="AE715" s="36">
        <f>AE670+AE706</f>
        <v/>
      </c>
      <c r="AF715" s="36">
        <f>AF670+AF706</f>
        <v/>
      </c>
      <c r="AG715" s="36">
        <f>AG670+AG706</f>
        <v/>
      </c>
      <c r="AH715" s="36">
        <f>AH670+AH706</f>
        <v/>
      </c>
      <c r="AI715" s="36">
        <f>AI670+AI706</f>
        <v/>
      </c>
      <c r="AJ715" s="36">
        <f>AJ670+AJ706</f>
        <v/>
      </c>
      <c r="AK715" s="36">
        <f>AK670+AK706</f>
        <v/>
      </c>
      <c r="AL715" s="36">
        <f>AL670+AL706</f>
        <v/>
      </c>
      <c r="AM715" s="36">
        <f>AM670+AM706</f>
        <v/>
      </c>
      <c r="AN715" s="39">
        <f>POSTTAX(AN670,AN706)</f>
        <v/>
      </c>
    </row>
    <row r="716" hidden="1" outlineLevel="2">
      <c r="A716" s="5" t="inlineStr">
        <is>
          <t>atp</t>
        </is>
      </c>
      <c r="B716" s="5" t="inlineStr">
        <is>
          <t>gso</t>
        </is>
      </c>
      <c r="C716" s="5" t="inlineStr">
        <is>
          <t>mch</t>
        </is>
      </c>
      <c r="D716" s="37" t="n"/>
      <c r="E716" s="37" t="n"/>
      <c r="F716" s="37" t="n"/>
      <c r="G716" s="37" t="n"/>
      <c r="H716" s="5">
        <f>INDEX(Variables!$B$5:$B$65,MATCH($A716,Variables!$A$5:$A$65,0))&amp;IF($C716="",""," | "&amp;INDEX(Mapping!$B$5:$B$25,MATCH($C716,Mapping!$A$5:$A$25,0))&amp;" | "&amp;INDEX(Mapping!$B$29:$B$38,MATCH($B716,Mapping!$A$29:$A$38,0)))</f>
        <v/>
      </c>
      <c r="I716" s="5">
        <f>INDEX(Variables!$C$5:$C$65,MATCH($A716,Variables!$A$5:$A$65,0))</f>
        <v/>
      </c>
      <c r="J716" s="5">
        <f>INDEX(Variables!$E$5:$E$65,MATCH($A716,Variables!$A$5:$A$65,0))</f>
        <v/>
      </c>
      <c r="K716" s="23">
        <f>LOWER(Settings!$C$4)&amp;".mit."&amp;$A716&amp;IF($C716="","","."&amp;$C716&amp;"."&amp;$B716)&amp;IF(INDEX(Variables!$D$5:$D$65,MATCH($A716,Variables!$A$5:$A$65,0))="","","."&amp;INDEX(Variables!$D$5:$D$65,MATCH($A716,Variables!$A$5:$A$65,0)))&amp;"."&amp;K$5</f>
        <v/>
      </c>
      <c r="L716" s="38">
        <f>L671+L707</f>
        <v/>
      </c>
      <c r="M716" s="36">
        <f>M671+M707</f>
        <v/>
      </c>
      <c r="N716" s="36">
        <f>N671+N707</f>
        <v/>
      </c>
      <c r="O716" s="36">
        <f>O671+O707</f>
        <v/>
      </c>
      <c r="P716" s="36">
        <f>P671+P707</f>
        <v/>
      </c>
      <c r="Q716" s="36">
        <f>Q671+Q707</f>
        <v/>
      </c>
      <c r="R716" s="36">
        <f>R671+R707</f>
        <v/>
      </c>
      <c r="S716" s="36">
        <f>S671+S707</f>
        <v/>
      </c>
      <c r="T716" s="36">
        <f>T671+T707</f>
        <v/>
      </c>
      <c r="U716" s="36">
        <f>U671+U707</f>
        <v/>
      </c>
      <c r="V716" s="36">
        <f>V671+V707</f>
        <v/>
      </c>
      <c r="W716" s="36">
        <f>W671+W707</f>
        <v/>
      </c>
      <c r="X716" s="36">
        <f>X671+X707</f>
        <v/>
      </c>
      <c r="Y716" s="39">
        <f>POSTTAX(Y671,Y707)</f>
        <v/>
      </c>
      <c r="Z716" s="23">
        <f>LOWER(Settings!$C$4)&amp;".mit."&amp;$A716&amp;IF($C716="","","."&amp;$C716&amp;"."&amp;$B716)&amp;IF(INDEX(Variables!$D$5:$D$65,MATCH($A716,Variables!$A$5:$A$65,0))="","","."&amp;INDEX(Variables!$D$5:$D$65,MATCH($A716,Variables!$A$5:$A$65,0)))&amp;"."&amp;Z$5</f>
        <v/>
      </c>
      <c r="AA716" s="38">
        <f>AA671+AA707</f>
        <v/>
      </c>
      <c r="AB716" s="36">
        <f>AB671+AB707</f>
        <v/>
      </c>
      <c r="AC716" s="36">
        <f>AC671+AC707</f>
        <v/>
      </c>
      <c r="AD716" s="36">
        <f>AD671+AD707</f>
        <v/>
      </c>
      <c r="AE716" s="36">
        <f>AE671+AE707</f>
        <v/>
      </c>
      <c r="AF716" s="36">
        <f>AF671+AF707</f>
        <v/>
      </c>
      <c r="AG716" s="36">
        <f>AG671+AG707</f>
        <v/>
      </c>
      <c r="AH716" s="36">
        <f>AH671+AH707</f>
        <v/>
      </c>
      <c r="AI716" s="36">
        <f>AI671+AI707</f>
        <v/>
      </c>
      <c r="AJ716" s="36">
        <f>AJ671+AJ707</f>
        <v/>
      </c>
      <c r="AK716" s="36">
        <f>AK671+AK707</f>
        <v/>
      </c>
      <c r="AL716" s="36">
        <f>AL671+AL707</f>
        <v/>
      </c>
      <c r="AM716" s="36">
        <f>AM671+AM707</f>
        <v/>
      </c>
      <c r="AN716" s="39">
        <f>POSTTAX(AN671,AN707)</f>
        <v/>
      </c>
    </row>
    <row r="717" hidden="1" outlineLevel="2">
      <c r="A717" s="5" t="inlineStr">
        <is>
          <t>atp</t>
        </is>
      </c>
      <c r="B717" s="5" t="inlineStr">
        <is>
          <t>die</t>
        </is>
      </c>
      <c r="C717" s="5" t="inlineStr">
        <is>
          <t>mch</t>
        </is>
      </c>
      <c r="D717" s="37" t="n"/>
      <c r="E717" s="37" t="n"/>
      <c r="F717" s="37" t="n"/>
      <c r="G717" s="37" t="n"/>
      <c r="H717" s="5">
        <f>INDEX(Variables!$B$5:$B$65,MATCH($A717,Variables!$A$5:$A$65,0))&amp;IF($C717="",""," | "&amp;INDEX(Mapping!$B$5:$B$25,MATCH($C717,Mapping!$A$5:$A$25,0))&amp;" | "&amp;INDEX(Mapping!$B$29:$B$38,MATCH($B717,Mapping!$A$29:$A$38,0)))</f>
        <v/>
      </c>
      <c r="I717" s="5">
        <f>INDEX(Variables!$C$5:$C$65,MATCH($A717,Variables!$A$5:$A$65,0))</f>
        <v/>
      </c>
      <c r="J717" s="5">
        <f>INDEX(Variables!$E$5:$E$65,MATCH($A717,Variables!$A$5:$A$65,0))</f>
        <v/>
      </c>
      <c r="K717" s="23">
        <f>LOWER(Settings!$C$4)&amp;".mit."&amp;$A717&amp;IF($C717="","","."&amp;$C717&amp;"."&amp;$B717)&amp;IF(INDEX(Variables!$D$5:$D$65,MATCH($A717,Variables!$A$5:$A$65,0))="","","."&amp;INDEX(Variables!$D$5:$D$65,MATCH($A717,Variables!$A$5:$A$65,0)))&amp;"."&amp;K$5</f>
        <v/>
      </c>
      <c r="L717" s="38">
        <f>L672+L708</f>
        <v/>
      </c>
      <c r="M717" s="36">
        <f>M672+M708</f>
        <v/>
      </c>
      <c r="N717" s="36">
        <f>N672+N708</f>
        <v/>
      </c>
      <c r="O717" s="36">
        <f>O672+O708</f>
        <v/>
      </c>
      <c r="P717" s="36">
        <f>P672+P708</f>
        <v/>
      </c>
      <c r="Q717" s="36">
        <f>Q672+Q708</f>
        <v/>
      </c>
      <c r="R717" s="36">
        <f>R672+R708</f>
        <v/>
      </c>
      <c r="S717" s="36">
        <f>S672+S708</f>
        <v/>
      </c>
      <c r="T717" s="36">
        <f>T672+T708</f>
        <v/>
      </c>
      <c r="U717" s="36">
        <f>U672+U708</f>
        <v/>
      </c>
      <c r="V717" s="36">
        <f>V672+V708</f>
        <v/>
      </c>
      <c r="W717" s="36">
        <f>W672+W708</f>
        <v/>
      </c>
      <c r="X717" s="36">
        <f>X672+X708</f>
        <v/>
      </c>
      <c r="Y717" s="39">
        <f>POSTTAX(Y672,Y708)</f>
        <v/>
      </c>
      <c r="Z717" s="23">
        <f>LOWER(Settings!$C$4)&amp;".mit."&amp;$A717&amp;IF($C717="","","."&amp;$C717&amp;"."&amp;$B717)&amp;IF(INDEX(Variables!$D$5:$D$65,MATCH($A717,Variables!$A$5:$A$65,0))="","","."&amp;INDEX(Variables!$D$5:$D$65,MATCH($A717,Variables!$A$5:$A$65,0)))&amp;"."&amp;Z$5</f>
        <v/>
      </c>
      <c r="AA717" s="38">
        <f>AA672+AA708</f>
        <v/>
      </c>
      <c r="AB717" s="36">
        <f>AB672+AB708</f>
        <v/>
      </c>
      <c r="AC717" s="36">
        <f>AC672+AC708</f>
        <v/>
      </c>
      <c r="AD717" s="36">
        <f>AD672+AD708</f>
        <v/>
      </c>
      <c r="AE717" s="36">
        <f>AE672+AE708</f>
        <v/>
      </c>
      <c r="AF717" s="36">
        <f>AF672+AF708</f>
        <v/>
      </c>
      <c r="AG717" s="36">
        <f>AG672+AG708</f>
        <v/>
      </c>
      <c r="AH717" s="36">
        <f>AH672+AH708</f>
        <v/>
      </c>
      <c r="AI717" s="36">
        <f>AI672+AI708</f>
        <v/>
      </c>
      <c r="AJ717" s="36">
        <f>AJ672+AJ708</f>
        <v/>
      </c>
      <c r="AK717" s="36">
        <f>AK672+AK708</f>
        <v/>
      </c>
      <c r="AL717" s="36">
        <f>AL672+AL708</f>
        <v/>
      </c>
      <c r="AM717" s="36">
        <f>AM672+AM708</f>
        <v/>
      </c>
      <c r="AN717" s="39">
        <f>POSTTAX(AN672,AN708)</f>
        <v/>
      </c>
    </row>
    <row r="718" hidden="1" outlineLevel="2">
      <c r="A718" s="5" t="inlineStr">
        <is>
          <t>atp</t>
        </is>
      </c>
      <c r="B718" s="5" t="inlineStr">
        <is>
          <t>lpg</t>
        </is>
      </c>
      <c r="C718" s="5" t="inlineStr">
        <is>
          <t>mch</t>
        </is>
      </c>
      <c r="D718" s="37" t="n"/>
      <c r="E718" s="37" t="n"/>
      <c r="F718" s="37" t="n"/>
      <c r="G718" s="37" t="n"/>
      <c r="H718" s="5">
        <f>INDEX(Variables!$B$5:$B$65,MATCH($A718,Variables!$A$5:$A$65,0))&amp;IF($C718="",""," | "&amp;INDEX(Mapping!$B$5:$B$25,MATCH($C718,Mapping!$A$5:$A$25,0))&amp;" | "&amp;INDEX(Mapping!$B$29:$B$38,MATCH($B718,Mapping!$A$29:$A$38,0)))</f>
        <v/>
      </c>
      <c r="I718" s="5">
        <f>INDEX(Variables!$C$5:$C$65,MATCH($A718,Variables!$A$5:$A$65,0))</f>
        <v/>
      </c>
      <c r="J718" s="5">
        <f>INDEX(Variables!$E$5:$E$65,MATCH($A718,Variables!$A$5:$A$65,0))</f>
        <v/>
      </c>
      <c r="K718" s="23">
        <f>LOWER(Settings!$C$4)&amp;".mit."&amp;$A718&amp;IF($C718="","","."&amp;$C718&amp;"."&amp;$B718)&amp;IF(INDEX(Variables!$D$5:$D$65,MATCH($A718,Variables!$A$5:$A$65,0))="","","."&amp;INDEX(Variables!$D$5:$D$65,MATCH($A718,Variables!$A$5:$A$65,0)))&amp;"."&amp;K$5</f>
        <v/>
      </c>
      <c r="L718" s="38">
        <f>L673+L709</f>
        <v/>
      </c>
      <c r="M718" s="36">
        <f>M673+M709</f>
        <v/>
      </c>
      <c r="N718" s="36">
        <f>N673+N709</f>
        <v/>
      </c>
      <c r="O718" s="36">
        <f>O673+O709</f>
        <v/>
      </c>
      <c r="P718" s="36">
        <f>P673+P709</f>
        <v/>
      </c>
      <c r="Q718" s="36">
        <f>Q673+Q709</f>
        <v/>
      </c>
      <c r="R718" s="36">
        <f>R673+R709</f>
        <v/>
      </c>
      <c r="S718" s="36">
        <f>S673+S709</f>
        <v/>
      </c>
      <c r="T718" s="36">
        <f>T673+T709</f>
        <v/>
      </c>
      <c r="U718" s="36">
        <f>U673+U709</f>
        <v/>
      </c>
      <c r="V718" s="36">
        <f>V673+V709</f>
        <v/>
      </c>
      <c r="W718" s="36">
        <f>W673+W709</f>
        <v/>
      </c>
      <c r="X718" s="36">
        <f>X673+X709</f>
        <v/>
      </c>
      <c r="Y718" s="39">
        <f>POSTTAX(Y673,Y709)</f>
        <v/>
      </c>
      <c r="Z718" s="23">
        <f>LOWER(Settings!$C$4)&amp;".mit."&amp;$A718&amp;IF($C718="","","."&amp;$C718&amp;"."&amp;$B718)&amp;IF(INDEX(Variables!$D$5:$D$65,MATCH($A718,Variables!$A$5:$A$65,0))="","","."&amp;INDEX(Variables!$D$5:$D$65,MATCH($A718,Variables!$A$5:$A$65,0)))&amp;"."&amp;Z$5</f>
        <v/>
      </c>
      <c r="AA718" s="38">
        <f>AA673+AA709</f>
        <v/>
      </c>
      <c r="AB718" s="36">
        <f>AB673+AB709</f>
        <v/>
      </c>
      <c r="AC718" s="36">
        <f>AC673+AC709</f>
        <v/>
      </c>
      <c r="AD718" s="36">
        <f>AD673+AD709</f>
        <v/>
      </c>
      <c r="AE718" s="36">
        <f>AE673+AE709</f>
        <v/>
      </c>
      <c r="AF718" s="36">
        <f>AF673+AF709</f>
        <v/>
      </c>
      <c r="AG718" s="36">
        <f>AG673+AG709</f>
        <v/>
      </c>
      <c r="AH718" s="36">
        <f>AH673+AH709</f>
        <v/>
      </c>
      <c r="AI718" s="36">
        <f>AI673+AI709</f>
        <v/>
      </c>
      <c r="AJ718" s="36">
        <f>AJ673+AJ709</f>
        <v/>
      </c>
      <c r="AK718" s="36">
        <f>AK673+AK709</f>
        <v/>
      </c>
      <c r="AL718" s="36">
        <f>AL673+AL709</f>
        <v/>
      </c>
      <c r="AM718" s="36">
        <f>AM673+AM709</f>
        <v/>
      </c>
      <c r="AN718" s="39">
        <f>POSTTAX(AN673,AN709)</f>
        <v/>
      </c>
    </row>
    <row r="719" hidden="1" outlineLevel="2">
      <c r="A719" s="5" t="inlineStr">
        <is>
          <t>atp</t>
        </is>
      </c>
      <c r="B719" s="5" t="inlineStr">
        <is>
          <t>ker</t>
        </is>
      </c>
      <c r="C719" s="5" t="inlineStr">
        <is>
          <t>mch</t>
        </is>
      </c>
      <c r="D719" s="37" t="n"/>
      <c r="E719" s="37" t="n"/>
      <c r="F719" s="37" t="n"/>
      <c r="G719" s="37" t="n"/>
      <c r="H719" s="5">
        <f>INDEX(Variables!$B$5:$B$65,MATCH($A719,Variables!$A$5:$A$65,0))&amp;IF($C719="",""," | "&amp;INDEX(Mapping!$B$5:$B$25,MATCH($C719,Mapping!$A$5:$A$25,0))&amp;" | "&amp;INDEX(Mapping!$B$29:$B$38,MATCH($B719,Mapping!$A$29:$A$38,0)))</f>
        <v/>
      </c>
      <c r="I719" s="5">
        <f>INDEX(Variables!$C$5:$C$65,MATCH($A719,Variables!$A$5:$A$65,0))</f>
        <v/>
      </c>
      <c r="J719" s="5">
        <f>INDEX(Variables!$E$5:$E$65,MATCH($A719,Variables!$A$5:$A$65,0))</f>
        <v/>
      </c>
      <c r="K719" s="23">
        <f>LOWER(Settings!$C$4)&amp;".mit."&amp;$A719&amp;IF($C719="","","."&amp;$C719&amp;"."&amp;$B719)&amp;IF(INDEX(Variables!$D$5:$D$65,MATCH($A719,Variables!$A$5:$A$65,0))="","","."&amp;INDEX(Variables!$D$5:$D$65,MATCH($A719,Variables!$A$5:$A$65,0)))&amp;"."&amp;K$5</f>
        <v/>
      </c>
      <c r="L719" s="38">
        <f>L674+L710</f>
        <v/>
      </c>
      <c r="M719" s="36">
        <f>M674+M710</f>
        <v/>
      </c>
      <c r="N719" s="36">
        <f>N674+N710</f>
        <v/>
      </c>
      <c r="O719" s="36">
        <f>O674+O710</f>
        <v/>
      </c>
      <c r="P719" s="36">
        <f>P674+P710</f>
        <v/>
      </c>
      <c r="Q719" s="36">
        <f>Q674+Q710</f>
        <v/>
      </c>
      <c r="R719" s="36">
        <f>R674+R710</f>
        <v/>
      </c>
      <c r="S719" s="36">
        <f>S674+S710</f>
        <v/>
      </c>
      <c r="T719" s="36">
        <f>T674+T710</f>
        <v/>
      </c>
      <c r="U719" s="36">
        <f>U674+U710</f>
        <v/>
      </c>
      <c r="V719" s="36">
        <f>V674+V710</f>
        <v/>
      </c>
      <c r="W719" s="36">
        <f>W674+W710</f>
        <v/>
      </c>
      <c r="X719" s="36">
        <f>X674+X710</f>
        <v/>
      </c>
      <c r="Y719" s="39">
        <f>POSTTAX(Y674,Y710)</f>
        <v/>
      </c>
      <c r="Z719" s="23">
        <f>LOWER(Settings!$C$4)&amp;".mit."&amp;$A719&amp;IF($C719="","","."&amp;$C719&amp;"."&amp;$B719)&amp;IF(INDEX(Variables!$D$5:$D$65,MATCH($A719,Variables!$A$5:$A$65,0))="","","."&amp;INDEX(Variables!$D$5:$D$65,MATCH($A719,Variables!$A$5:$A$65,0)))&amp;"."&amp;Z$5</f>
        <v/>
      </c>
      <c r="AA719" s="38">
        <f>AA674+AA710</f>
        <v/>
      </c>
      <c r="AB719" s="36">
        <f>AB674+AB710</f>
        <v/>
      </c>
      <c r="AC719" s="36">
        <f>AC674+AC710</f>
        <v/>
      </c>
      <c r="AD719" s="36">
        <f>AD674+AD710</f>
        <v/>
      </c>
      <c r="AE719" s="36">
        <f>AE674+AE710</f>
        <v/>
      </c>
      <c r="AF719" s="36">
        <f>AF674+AF710</f>
        <v/>
      </c>
      <c r="AG719" s="36">
        <f>AG674+AG710</f>
        <v/>
      </c>
      <c r="AH719" s="36">
        <f>AH674+AH710</f>
        <v/>
      </c>
      <c r="AI719" s="36">
        <f>AI674+AI710</f>
        <v/>
      </c>
      <c r="AJ719" s="36">
        <f>AJ674+AJ710</f>
        <v/>
      </c>
      <c r="AK719" s="36">
        <f>AK674+AK710</f>
        <v/>
      </c>
      <c r="AL719" s="36">
        <f>AL674+AL710</f>
        <v/>
      </c>
      <c r="AM719" s="36">
        <f>AM674+AM710</f>
        <v/>
      </c>
      <c r="AN719" s="39">
        <f>POSTTAX(AN674,AN710)</f>
        <v/>
      </c>
    </row>
    <row r="720" hidden="1" outlineLevel="2">
      <c r="A720" s="5" t="inlineStr">
        <is>
          <t>atp</t>
        </is>
      </c>
      <c r="B720" s="5" t="inlineStr">
        <is>
          <t>oop</t>
        </is>
      </c>
      <c r="C720" s="5" t="inlineStr">
        <is>
          <t>mch</t>
        </is>
      </c>
      <c r="D720" s="37" t="n"/>
      <c r="E720" s="37" t="n"/>
      <c r="F720" s="37" t="n"/>
      <c r="G720" s="37" t="n"/>
      <c r="H720" s="5">
        <f>INDEX(Variables!$B$5:$B$65,MATCH($A720,Variables!$A$5:$A$65,0))&amp;IF($C720="",""," | "&amp;INDEX(Mapping!$B$5:$B$25,MATCH($C720,Mapping!$A$5:$A$25,0))&amp;" | "&amp;INDEX(Mapping!$B$29:$B$38,MATCH($B720,Mapping!$A$29:$A$38,0)))</f>
        <v/>
      </c>
      <c r="I720" s="5">
        <f>INDEX(Variables!$C$5:$C$65,MATCH($A720,Variables!$A$5:$A$65,0))</f>
        <v/>
      </c>
      <c r="J720" s="5">
        <f>INDEX(Variables!$E$5:$E$65,MATCH($A720,Variables!$A$5:$A$65,0))</f>
        <v/>
      </c>
      <c r="K720" s="23">
        <f>LOWER(Settings!$C$4)&amp;".mit."&amp;$A720&amp;IF($C720="","","."&amp;$C720&amp;"."&amp;$B720)&amp;IF(INDEX(Variables!$D$5:$D$65,MATCH($A720,Variables!$A$5:$A$65,0))="","","."&amp;INDEX(Variables!$D$5:$D$65,MATCH($A720,Variables!$A$5:$A$65,0)))&amp;"."&amp;K$5</f>
        <v/>
      </c>
      <c r="L720" s="38">
        <f>L675+L711</f>
        <v/>
      </c>
      <c r="M720" s="36">
        <f>M675+M711</f>
        <v/>
      </c>
      <c r="N720" s="36">
        <f>N675+N711</f>
        <v/>
      </c>
      <c r="O720" s="36">
        <f>O675+O711</f>
        <v/>
      </c>
      <c r="P720" s="36">
        <f>P675+P711</f>
        <v/>
      </c>
      <c r="Q720" s="36">
        <f>Q675+Q711</f>
        <v/>
      </c>
      <c r="R720" s="36">
        <f>R675+R711</f>
        <v/>
      </c>
      <c r="S720" s="36">
        <f>S675+S711</f>
        <v/>
      </c>
      <c r="T720" s="36">
        <f>T675+T711</f>
        <v/>
      </c>
      <c r="U720" s="36">
        <f>U675+U711</f>
        <v/>
      </c>
      <c r="V720" s="36">
        <f>V675+V711</f>
        <v/>
      </c>
      <c r="W720" s="36">
        <f>W675+W711</f>
        <v/>
      </c>
      <c r="X720" s="36">
        <f>X675+X711</f>
        <v/>
      </c>
      <c r="Y720" s="39">
        <f>POSTTAX(Y675,Y711)</f>
        <v/>
      </c>
      <c r="Z720" s="23">
        <f>LOWER(Settings!$C$4)&amp;".mit."&amp;$A720&amp;IF($C720="","","."&amp;$C720&amp;"."&amp;$B720)&amp;IF(INDEX(Variables!$D$5:$D$65,MATCH($A720,Variables!$A$5:$A$65,0))="","","."&amp;INDEX(Variables!$D$5:$D$65,MATCH($A720,Variables!$A$5:$A$65,0)))&amp;"."&amp;Z$5</f>
        <v/>
      </c>
      <c r="AA720" s="38">
        <f>AA675+AA711</f>
        <v/>
      </c>
      <c r="AB720" s="36">
        <f>AB675+AB711</f>
        <v/>
      </c>
      <c r="AC720" s="36">
        <f>AC675+AC711</f>
        <v/>
      </c>
      <c r="AD720" s="36">
        <f>AD675+AD711</f>
        <v/>
      </c>
      <c r="AE720" s="36">
        <f>AE675+AE711</f>
        <v/>
      </c>
      <c r="AF720" s="36">
        <f>AF675+AF711</f>
        <v/>
      </c>
      <c r="AG720" s="36">
        <f>AG675+AG711</f>
        <v/>
      </c>
      <c r="AH720" s="36">
        <f>AH675+AH711</f>
        <v/>
      </c>
      <c r="AI720" s="36">
        <f>AI675+AI711</f>
        <v/>
      </c>
      <c r="AJ720" s="36">
        <f>AJ675+AJ711</f>
        <v/>
      </c>
      <c r="AK720" s="36">
        <f>AK675+AK711</f>
        <v/>
      </c>
      <c r="AL720" s="36">
        <f>AL675+AL711</f>
        <v/>
      </c>
      <c r="AM720" s="36">
        <f>AM675+AM711</f>
        <v/>
      </c>
      <c r="AN720" s="39">
        <f>POSTTAX(AN675,AN711)</f>
        <v/>
      </c>
    </row>
    <row r="721" hidden="1" outlineLevel="2">
      <c r="A721" s="5" t="inlineStr">
        <is>
          <t>atp</t>
        </is>
      </c>
      <c r="B721" s="5" t="inlineStr">
        <is>
          <t>bio</t>
        </is>
      </c>
      <c r="C721" s="5" t="inlineStr">
        <is>
          <t>mch</t>
        </is>
      </c>
      <c r="D721" s="37" t="n"/>
      <c r="E721" s="37" t="n"/>
      <c r="F721" s="37" t="n"/>
      <c r="G721" s="37" t="n"/>
      <c r="H721" s="5">
        <f>INDEX(Variables!$B$5:$B$65,MATCH($A721,Variables!$A$5:$A$65,0))&amp;IF($C721="",""," | "&amp;INDEX(Mapping!$B$5:$B$25,MATCH($C721,Mapping!$A$5:$A$25,0))&amp;" | "&amp;INDEX(Mapping!$B$29:$B$38,MATCH($B721,Mapping!$A$29:$A$38,0)))</f>
        <v/>
      </c>
      <c r="I721" s="5">
        <f>INDEX(Variables!$C$5:$C$65,MATCH($A721,Variables!$A$5:$A$65,0))</f>
        <v/>
      </c>
      <c r="J721" s="5">
        <f>INDEX(Variables!$E$5:$E$65,MATCH($A721,Variables!$A$5:$A$65,0))</f>
        <v/>
      </c>
      <c r="K721" s="23">
        <f>LOWER(Settings!$C$4)&amp;".mit."&amp;$A721&amp;IF($C721="","","."&amp;$C721&amp;"."&amp;$B721)&amp;IF(INDEX(Variables!$D$5:$D$65,MATCH($A721,Variables!$A$5:$A$65,0))="","","."&amp;INDEX(Variables!$D$5:$D$65,MATCH($A721,Variables!$A$5:$A$65,0)))&amp;"."&amp;K$5</f>
        <v/>
      </c>
      <c r="L721" s="38">
        <f>L676+L712</f>
        <v/>
      </c>
      <c r="M721" s="36">
        <f>M676+M712</f>
        <v/>
      </c>
      <c r="N721" s="36">
        <f>N676+N712</f>
        <v/>
      </c>
      <c r="O721" s="36">
        <f>O676+O712</f>
        <v/>
      </c>
      <c r="P721" s="36">
        <f>P676+P712</f>
        <v/>
      </c>
      <c r="Q721" s="36">
        <f>Q676+Q712</f>
        <v/>
      </c>
      <c r="R721" s="36">
        <f>R676+R712</f>
        <v/>
      </c>
      <c r="S721" s="36">
        <f>S676+S712</f>
        <v/>
      </c>
      <c r="T721" s="36">
        <f>T676+T712</f>
        <v/>
      </c>
      <c r="U721" s="36">
        <f>U676+U712</f>
        <v/>
      </c>
      <c r="V721" s="36">
        <f>V676+V712</f>
        <v/>
      </c>
      <c r="W721" s="36">
        <f>W676+W712</f>
        <v/>
      </c>
      <c r="X721" s="36">
        <f>X676+X712</f>
        <v/>
      </c>
      <c r="Y721" s="39">
        <f>POSTTAX(Y676,Y712)</f>
        <v/>
      </c>
      <c r="Z721" s="23">
        <f>LOWER(Settings!$C$4)&amp;".mit."&amp;$A721&amp;IF($C721="","","."&amp;$C721&amp;"."&amp;$B721)&amp;IF(INDEX(Variables!$D$5:$D$65,MATCH($A721,Variables!$A$5:$A$65,0))="","","."&amp;INDEX(Variables!$D$5:$D$65,MATCH($A721,Variables!$A$5:$A$65,0)))&amp;"."&amp;Z$5</f>
        <v/>
      </c>
      <c r="AA721" s="38">
        <f>AA676+AA712</f>
        <v/>
      </c>
      <c r="AB721" s="36">
        <f>AB676+AB712</f>
        <v/>
      </c>
      <c r="AC721" s="36">
        <f>AC676+AC712</f>
        <v/>
      </c>
      <c r="AD721" s="36">
        <f>AD676+AD712</f>
        <v/>
      </c>
      <c r="AE721" s="36">
        <f>AE676+AE712</f>
        <v/>
      </c>
      <c r="AF721" s="36">
        <f>AF676+AF712</f>
        <v/>
      </c>
      <c r="AG721" s="36">
        <f>AG676+AG712</f>
        <v/>
      </c>
      <c r="AH721" s="36">
        <f>AH676+AH712</f>
        <v/>
      </c>
      <c r="AI721" s="36">
        <f>AI676+AI712</f>
        <v/>
      </c>
      <c r="AJ721" s="36">
        <f>AJ676+AJ712</f>
        <v/>
      </c>
      <c r="AK721" s="36">
        <f>AK676+AK712</f>
        <v/>
      </c>
      <c r="AL721" s="36">
        <f>AL676+AL712</f>
        <v/>
      </c>
      <c r="AM721" s="36">
        <f>AM676+AM712</f>
        <v/>
      </c>
      <c r="AN721" s="39">
        <f>POSTTAX(AN676,AN712)</f>
        <v/>
      </c>
    </row>
    <row r="722" hidden="1" outlineLevel="2"/>
    <row r="723" hidden="1" outlineLevel="2">
      <c r="A723" s="5" t="inlineStr">
        <is>
          <t>shp</t>
        </is>
      </c>
      <c r="B723" s="5" t="inlineStr">
        <is>
          <t>coa</t>
        </is>
      </c>
      <c r="C723" s="5" t="inlineStr">
        <is>
          <t>mch</t>
        </is>
      </c>
      <c r="D723" s="36">
        <f>INDEX(Inputs!$M$5:$M$132,MATCH($B723&amp;"|"&amp;$C723,Inputs!$A$5:$A$132,0))</f>
        <v/>
      </c>
      <c r="E723" s="36">
        <f>INDEX(Inputs!$U$5:$U$132,MATCH($B723&amp;"|"&amp;$C723,Inputs!$A$5:$A$132,0))</f>
        <v/>
      </c>
      <c r="F723" s="36">
        <f>INDEX(Inputs!$K$5:$K$132,MATCH($B723&amp;"|"&amp;$C723,Inputs!$A$5:$A$132,0))</f>
        <v/>
      </c>
      <c r="G723" s="37" t="n"/>
      <c r="H723" s="5">
        <f>INDEX(Variables!$B$5:$B$65,MATCH($A723,Variables!$A$5:$A$65,0))&amp;IF($C723="",""," | "&amp;INDEX(Mapping!$B$5:$B$25,MATCH($C723,Mapping!$A$5:$A$25,0))&amp;" | "&amp;INDEX(Mapping!$B$29:$B$38,MATCH($B723,Mapping!$A$29:$A$38,0)))</f>
        <v/>
      </c>
      <c r="I723" s="5">
        <f>INDEX(Variables!$C$5:$C$65,MATCH($A723,Variables!$A$5:$A$65,0))</f>
        <v/>
      </c>
      <c r="J723" s="5">
        <f>INDEX(Variables!$E$5:$E$65,MATCH($A723,Variables!$A$5:$A$65,0))</f>
        <v/>
      </c>
      <c r="K723" s="23">
        <f>LOWER(Settings!$C$4)&amp;".mit."&amp;$A723&amp;IF($C723="","","."&amp;$C723&amp;"."&amp;$B723)&amp;IF(INDEX(Variables!$D$5:$D$65,MATCH($A723,Variables!$A$5:$A$65,0))="","","."&amp;INDEX(Variables!$D$5:$D$65,MATCH($A723,Variables!$A$5:$A$65,0)))&amp;"."&amp;K$5</f>
        <v/>
      </c>
      <c r="L723" s="38">
        <f>INDEX(L$124:L$127,$D723)*$E723*INDEX(L$128:L$144,$F723)</f>
        <v/>
      </c>
      <c r="M723" s="36">
        <f>INDEX(M$124:M$127,$D723)*$E723*INDEX(M$128:M$144,$F723)</f>
        <v/>
      </c>
      <c r="N723" s="36">
        <f>INDEX(N$124:N$127,$D723)*$E723*INDEX(N$128:N$144,$F723)</f>
        <v/>
      </c>
      <c r="O723" s="36">
        <f>INDEX(O$124:O$127,$D723)*$E723*INDEX(O$128:O$144,$F723)</f>
        <v/>
      </c>
      <c r="P723" s="36">
        <f>INDEX(P$124:P$127,$D723)*$E723*INDEX(P$128:P$144,$F723)</f>
        <v/>
      </c>
      <c r="Q723" s="36">
        <f>INDEX(Q$124:Q$127,$D723)*$E723*INDEX(Q$128:Q$144,$F723)</f>
        <v/>
      </c>
      <c r="R723" s="36">
        <f>INDEX(R$124:R$127,$D723)*$E723*INDEX(R$128:R$144,$F723)</f>
        <v/>
      </c>
      <c r="S723" s="36">
        <f>INDEX(S$124:S$127,$D723)*$E723*INDEX(S$128:S$144,$F723)</f>
        <v/>
      </c>
      <c r="T723" s="36">
        <f>INDEX(T$124:T$127,$D723)*$E723*INDEX(T$128:T$144,$F723)</f>
        <v/>
      </c>
      <c r="U723" s="36">
        <f>INDEX(U$124:U$127,$D723)*$E723*INDEX(U$128:U$144,$F723)</f>
        <v/>
      </c>
      <c r="V723" s="36">
        <f>INDEX(V$124:V$127,$D723)*$E723*INDEX(V$128:V$144,$F723)</f>
        <v/>
      </c>
      <c r="W723" s="36">
        <f>INDEX(W$124:W$127,$D723)*$E723*INDEX(W$128:W$144,$F723)</f>
        <v/>
      </c>
      <c r="X723" s="36">
        <f>INDEX(X$124:X$127,$D723)*$E723*INDEX(X$128:X$144,$F723)</f>
        <v/>
      </c>
      <c r="Y723" s="36">
        <f>INDEX(Y$124:Y$127,$D723)*$E723*INDEX(Y$128:Y$144,$F723)</f>
        <v/>
      </c>
      <c r="Z723" s="23">
        <f>LOWER(Settings!$C$4)&amp;".mit."&amp;$A723&amp;IF($C723="","","."&amp;$C723&amp;"."&amp;$B723)&amp;IF(INDEX(Variables!$D$5:$D$65,MATCH($A723,Variables!$A$5:$A$65,0))="","","."&amp;INDEX(Variables!$D$5:$D$65,MATCH($A723,Variables!$A$5:$A$65,0)))&amp;"."&amp;Z$5</f>
        <v/>
      </c>
      <c r="AA723" s="38">
        <f>INDEX(AA$124:AA$127,$D723)*$E723*INDEX(AA$128:AA$144,$F723)</f>
        <v/>
      </c>
      <c r="AB723" s="36">
        <f>INDEX(AB$124:AB$127,$D723)*$E723*INDEX(AB$128:AB$144,$F723)</f>
        <v/>
      </c>
      <c r="AC723" s="36">
        <f>INDEX(AC$124:AC$127,$D723)*$E723*INDEX(AC$128:AC$144,$F723)</f>
        <v/>
      </c>
      <c r="AD723" s="36">
        <f>INDEX(AD$124:AD$127,$D723)*$E723*INDEX(AD$128:AD$144,$F723)</f>
        <v/>
      </c>
      <c r="AE723" s="36">
        <f>INDEX(AE$124:AE$127,$D723)*$E723*INDEX(AE$128:AE$144,$F723)</f>
        <v/>
      </c>
      <c r="AF723" s="36">
        <f>INDEX(AF$124:AF$127,$D723)*$E723*INDEX(AF$128:AF$144,$F723)</f>
        <v/>
      </c>
      <c r="AG723" s="36">
        <f>INDEX(AG$124:AG$127,$D723)*$E723*INDEX(AG$128:AG$144,$F723)</f>
        <v/>
      </c>
      <c r="AH723" s="36">
        <f>INDEX(AH$124:AH$127,$D723)*$E723*INDEX(AH$128:AH$144,$F723)</f>
        <v/>
      </c>
      <c r="AI723" s="36">
        <f>INDEX(AI$124:AI$127,$D723)*$E723*INDEX(AI$128:AI$144,$F723)</f>
        <v/>
      </c>
      <c r="AJ723" s="36">
        <f>INDEX(AJ$124:AJ$127,$D723)*$E723*INDEX(AJ$128:AJ$144,$F723)</f>
        <v/>
      </c>
      <c r="AK723" s="36">
        <f>INDEX(AK$124:AK$127,$D723)*$E723*INDEX(AK$128:AK$144,$F723)</f>
        <v/>
      </c>
      <c r="AL723" s="36">
        <f>INDEX(AL$124:AL$127,$D723)*$E723*INDEX(AL$128:AL$144,$F723)</f>
        <v/>
      </c>
      <c r="AM723" s="36">
        <f>INDEX(AM$124:AM$127,$D723)*$E723*INDEX(AM$128:AM$144,$F723)</f>
        <v/>
      </c>
      <c r="AN723" s="36">
        <f>INDEX(AN$124:AN$127,$D723)*$E723*INDEX(AN$128:AN$144,$F723)</f>
        <v/>
      </c>
    </row>
    <row r="724" hidden="1" outlineLevel="2">
      <c r="A724" s="5" t="inlineStr">
        <is>
          <t>shp</t>
        </is>
      </c>
      <c r="B724" s="5" t="inlineStr">
        <is>
          <t>nga</t>
        </is>
      </c>
      <c r="C724" s="5" t="inlineStr">
        <is>
          <t>mch</t>
        </is>
      </c>
      <c r="D724" s="36">
        <f>INDEX(Inputs!$M$5:$M$132,MATCH($B724&amp;"|"&amp;$C724,Inputs!$A$5:$A$132,0))</f>
        <v/>
      </c>
      <c r="E724" s="36">
        <f>INDEX(Inputs!$U$5:$U$132,MATCH($B724&amp;"|"&amp;$C724,Inputs!$A$5:$A$132,0))</f>
        <v/>
      </c>
      <c r="F724" s="36">
        <f>INDEX(Inputs!$K$5:$K$132,MATCH($B724&amp;"|"&amp;$C724,Inputs!$A$5:$A$132,0))</f>
        <v/>
      </c>
      <c r="G724" s="37" t="n"/>
      <c r="H724" s="5">
        <f>INDEX(Variables!$B$5:$B$65,MATCH($A724,Variables!$A$5:$A$65,0))&amp;IF($C724="",""," | "&amp;INDEX(Mapping!$B$5:$B$25,MATCH($C724,Mapping!$A$5:$A$25,0))&amp;" | "&amp;INDEX(Mapping!$B$29:$B$38,MATCH($B724,Mapping!$A$29:$A$38,0)))</f>
        <v/>
      </c>
      <c r="I724" s="5">
        <f>INDEX(Variables!$C$5:$C$65,MATCH($A724,Variables!$A$5:$A$65,0))</f>
        <v/>
      </c>
      <c r="J724" s="5">
        <f>INDEX(Variables!$E$5:$E$65,MATCH($A724,Variables!$A$5:$A$65,0))</f>
        <v/>
      </c>
      <c r="K724" s="23">
        <f>LOWER(Settings!$C$4)&amp;".mit."&amp;$A724&amp;IF($C724="","","."&amp;$C724&amp;"."&amp;$B724)&amp;IF(INDEX(Variables!$D$5:$D$65,MATCH($A724,Variables!$A$5:$A$65,0))="","","."&amp;INDEX(Variables!$D$5:$D$65,MATCH($A724,Variables!$A$5:$A$65,0)))&amp;"."&amp;K$5</f>
        <v/>
      </c>
      <c r="L724" s="38">
        <f>INDEX(L$124:L$127,$D724)*$E724*INDEX(L$128:L$144,$F724)</f>
        <v/>
      </c>
      <c r="M724" s="36">
        <f>INDEX(M$124:M$127,$D724)*$E724*INDEX(M$128:M$144,$F724)</f>
        <v/>
      </c>
      <c r="N724" s="36">
        <f>INDEX(N$124:N$127,$D724)*$E724*INDEX(N$128:N$144,$F724)</f>
        <v/>
      </c>
      <c r="O724" s="36">
        <f>INDEX(O$124:O$127,$D724)*$E724*INDEX(O$128:O$144,$F724)</f>
        <v/>
      </c>
      <c r="P724" s="36">
        <f>INDEX(P$124:P$127,$D724)*$E724*INDEX(P$128:P$144,$F724)</f>
        <v/>
      </c>
      <c r="Q724" s="36">
        <f>INDEX(Q$124:Q$127,$D724)*$E724*INDEX(Q$128:Q$144,$F724)</f>
        <v/>
      </c>
      <c r="R724" s="36">
        <f>INDEX(R$124:R$127,$D724)*$E724*INDEX(R$128:R$144,$F724)</f>
        <v/>
      </c>
      <c r="S724" s="36">
        <f>INDEX(S$124:S$127,$D724)*$E724*INDEX(S$128:S$144,$F724)</f>
        <v/>
      </c>
      <c r="T724" s="36">
        <f>INDEX(T$124:T$127,$D724)*$E724*INDEX(T$128:T$144,$F724)</f>
        <v/>
      </c>
      <c r="U724" s="36">
        <f>INDEX(U$124:U$127,$D724)*$E724*INDEX(U$128:U$144,$F724)</f>
        <v/>
      </c>
      <c r="V724" s="36">
        <f>INDEX(V$124:V$127,$D724)*$E724*INDEX(V$128:V$144,$F724)</f>
        <v/>
      </c>
      <c r="W724" s="36">
        <f>INDEX(W$124:W$127,$D724)*$E724*INDEX(W$128:W$144,$F724)</f>
        <v/>
      </c>
      <c r="X724" s="36">
        <f>INDEX(X$124:X$127,$D724)*$E724*INDEX(X$128:X$144,$F724)</f>
        <v/>
      </c>
      <c r="Y724" s="36">
        <f>INDEX(Y$124:Y$127,$D724)*$E724*INDEX(Y$128:Y$144,$F724)</f>
        <v/>
      </c>
      <c r="Z724" s="23">
        <f>LOWER(Settings!$C$4)&amp;".mit."&amp;$A724&amp;IF($C724="","","."&amp;$C724&amp;"."&amp;$B724)&amp;IF(INDEX(Variables!$D$5:$D$65,MATCH($A724,Variables!$A$5:$A$65,0))="","","."&amp;INDEX(Variables!$D$5:$D$65,MATCH($A724,Variables!$A$5:$A$65,0)))&amp;"."&amp;Z$5</f>
        <v/>
      </c>
      <c r="AA724" s="38">
        <f>INDEX(AA$124:AA$127,$D724)*$E724*INDEX(AA$128:AA$144,$F724)</f>
        <v/>
      </c>
      <c r="AB724" s="36">
        <f>INDEX(AB$124:AB$127,$D724)*$E724*INDEX(AB$128:AB$144,$F724)</f>
        <v/>
      </c>
      <c r="AC724" s="36">
        <f>INDEX(AC$124:AC$127,$D724)*$E724*INDEX(AC$128:AC$144,$F724)</f>
        <v/>
      </c>
      <c r="AD724" s="36">
        <f>INDEX(AD$124:AD$127,$D724)*$E724*INDEX(AD$128:AD$144,$F724)</f>
        <v/>
      </c>
      <c r="AE724" s="36">
        <f>INDEX(AE$124:AE$127,$D724)*$E724*INDEX(AE$128:AE$144,$F724)</f>
        <v/>
      </c>
      <c r="AF724" s="36">
        <f>INDEX(AF$124:AF$127,$D724)*$E724*INDEX(AF$128:AF$144,$F724)</f>
        <v/>
      </c>
      <c r="AG724" s="36">
        <f>INDEX(AG$124:AG$127,$D724)*$E724*INDEX(AG$128:AG$144,$F724)</f>
        <v/>
      </c>
      <c r="AH724" s="36">
        <f>INDEX(AH$124:AH$127,$D724)*$E724*INDEX(AH$128:AH$144,$F724)</f>
        <v/>
      </c>
      <c r="AI724" s="36">
        <f>INDEX(AI$124:AI$127,$D724)*$E724*INDEX(AI$128:AI$144,$F724)</f>
        <v/>
      </c>
      <c r="AJ724" s="36">
        <f>INDEX(AJ$124:AJ$127,$D724)*$E724*INDEX(AJ$128:AJ$144,$F724)</f>
        <v/>
      </c>
      <c r="AK724" s="36">
        <f>INDEX(AK$124:AK$127,$D724)*$E724*INDEX(AK$128:AK$144,$F724)</f>
        <v/>
      </c>
      <c r="AL724" s="36">
        <f>INDEX(AL$124:AL$127,$D724)*$E724*INDEX(AL$128:AL$144,$F724)</f>
        <v/>
      </c>
      <c r="AM724" s="36">
        <f>INDEX(AM$124:AM$127,$D724)*$E724*INDEX(AM$128:AM$144,$F724)</f>
        <v/>
      </c>
      <c r="AN724" s="36">
        <f>INDEX(AN$124:AN$127,$D724)*$E724*INDEX(AN$128:AN$144,$F724)</f>
        <v/>
      </c>
    </row>
    <row r="725" hidden="1" outlineLevel="2">
      <c r="A725" s="5" t="inlineStr">
        <is>
          <t>shp</t>
        </is>
      </c>
      <c r="B725" s="5" t="inlineStr">
        <is>
          <t>gso</t>
        </is>
      </c>
      <c r="C725" s="5" t="inlineStr">
        <is>
          <t>mch</t>
        </is>
      </c>
      <c r="D725" s="36">
        <f>INDEX(Inputs!$M$5:$M$132,MATCH($B725&amp;"|"&amp;$C725,Inputs!$A$5:$A$132,0))</f>
        <v/>
      </c>
      <c r="E725" s="36">
        <f>INDEX(Inputs!$U$5:$U$132,MATCH($B725&amp;"|"&amp;$C725,Inputs!$A$5:$A$132,0))</f>
        <v/>
      </c>
      <c r="F725" s="36">
        <f>INDEX(Inputs!$K$5:$K$132,MATCH($B725&amp;"|"&amp;$C725,Inputs!$A$5:$A$132,0))</f>
        <v/>
      </c>
      <c r="G725" s="37" t="n"/>
      <c r="H725" s="5">
        <f>INDEX(Variables!$B$5:$B$65,MATCH($A725,Variables!$A$5:$A$65,0))&amp;IF($C725="",""," | "&amp;INDEX(Mapping!$B$5:$B$25,MATCH($C725,Mapping!$A$5:$A$25,0))&amp;" | "&amp;INDEX(Mapping!$B$29:$B$38,MATCH($B725,Mapping!$A$29:$A$38,0)))</f>
        <v/>
      </c>
      <c r="I725" s="5">
        <f>INDEX(Variables!$C$5:$C$65,MATCH($A725,Variables!$A$5:$A$65,0))</f>
        <v/>
      </c>
      <c r="J725" s="5">
        <f>INDEX(Variables!$E$5:$E$65,MATCH($A725,Variables!$A$5:$A$65,0))</f>
        <v/>
      </c>
      <c r="K725" s="23">
        <f>LOWER(Settings!$C$4)&amp;".mit."&amp;$A725&amp;IF($C725="","","."&amp;$C725&amp;"."&amp;$B725)&amp;IF(INDEX(Variables!$D$5:$D$65,MATCH($A725,Variables!$A$5:$A$65,0))="","","."&amp;INDEX(Variables!$D$5:$D$65,MATCH($A725,Variables!$A$5:$A$65,0)))&amp;"."&amp;K$5</f>
        <v/>
      </c>
      <c r="L725" s="38">
        <f>INDEX(L$124:L$127,$D725)*$E725*INDEX(L$128:L$144,$F725)</f>
        <v/>
      </c>
      <c r="M725" s="36">
        <f>INDEX(M$124:M$127,$D725)*$E725*INDEX(M$128:M$144,$F725)</f>
        <v/>
      </c>
      <c r="N725" s="36">
        <f>INDEX(N$124:N$127,$D725)*$E725*INDEX(N$128:N$144,$F725)</f>
        <v/>
      </c>
      <c r="O725" s="36">
        <f>INDEX(O$124:O$127,$D725)*$E725*INDEX(O$128:O$144,$F725)</f>
        <v/>
      </c>
      <c r="P725" s="36">
        <f>INDEX(P$124:P$127,$D725)*$E725*INDEX(P$128:P$144,$F725)</f>
        <v/>
      </c>
      <c r="Q725" s="36">
        <f>INDEX(Q$124:Q$127,$D725)*$E725*INDEX(Q$128:Q$144,$F725)</f>
        <v/>
      </c>
      <c r="R725" s="36">
        <f>INDEX(R$124:R$127,$D725)*$E725*INDEX(R$128:R$144,$F725)</f>
        <v/>
      </c>
      <c r="S725" s="36">
        <f>INDEX(S$124:S$127,$D725)*$E725*INDEX(S$128:S$144,$F725)</f>
        <v/>
      </c>
      <c r="T725" s="36">
        <f>INDEX(T$124:T$127,$D725)*$E725*INDEX(T$128:T$144,$F725)</f>
        <v/>
      </c>
      <c r="U725" s="36">
        <f>INDEX(U$124:U$127,$D725)*$E725*INDEX(U$128:U$144,$F725)</f>
        <v/>
      </c>
      <c r="V725" s="36">
        <f>INDEX(V$124:V$127,$D725)*$E725*INDEX(V$128:V$144,$F725)</f>
        <v/>
      </c>
      <c r="W725" s="36">
        <f>INDEX(W$124:W$127,$D725)*$E725*INDEX(W$128:W$144,$F725)</f>
        <v/>
      </c>
      <c r="X725" s="36">
        <f>INDEX(X$124:X$127,$D725)*$E725*INDEX(X$128:X$144,$F725)</f>
        <v/>
      </c>
      <c r="Y725" s="36">
        <f>INDEX(Y$124:Y$127,$D725)*$E725*INDEX(Y$128:Y$144,$F725)</f>
        <v/>
      </c>
      <c r="Z725" s="23">
        <f>LOWER(Settings!$C$4)&amp;".mit."&amp;$A725&amp;IF($C725="","","."&amp;$C725&amp;"."&amp;$B725)&amp;IF(INDEX(Variables!$D$5:$D$65,MATCH($A725,Variables!$A$5:$A$65,0))="","","."&amp;INDEX(Variables!$D$5:$D$65,MATCH($A725,Variables!$A$5:$A$65,0)))&amp;"."&amp;Z$5</f>
        <v/>
      </c>
      <c r="AA725" s="38">
        <f>INDEX(AA$124:AA$127,$D725)*$E725*INDEX(AA$128:AA$144,$F725)</f>
        <v/>
      </c>
      <c r="AB725" s="36">
        <f>INDEX(AB$124:AB$127,$D725)*$E725*INDEX(AB$128:AB$144,$F725)</f>
        <v/>
      </c>
      <c r="AC725" s="36">
        <f>INDEX(AC$124:AC$127,$D725)*$E725*INDEX(AC$128:AC$144,$F725)</f>
        <v/>
      </c>
      <c r="AD725" s="36">
        <f>INDEX(AD$124:AD$127,$D725)*$E725*INDEX(AD$128:AD$144,$F725)</f>
        <v/>
      </c>
      <c r="AE725" s="36">
        <f>INDEX(AE$124:AE$127,$D725)*$E725*INDEX(AE$128:AE$144,$F725)</f>
        <v/>
      </c>
      <c r="AF725" s="36">
        <f>INDEX(AF$124:AF$127,$D725)*$E725*INDEX(AF$128:AF$144,$F725)</f>
        <v/>
      </c>
      <c r="AG725" s="36">
        <f>INDEX(AG$124:AG$127,$D725)*$E725*INDEX(AG$128:AG$144,$F725)</f>
        <v/>
      </c>
      <c r="AH725" s="36">
        <f>INDEX(AH$124:AH$127,$D725)*$E725*INDEX(AH$128:AH$144,$F725)</f>
        <v/>
      </c>
      <c r="AI725" s="36">
        <f>INDEX(AI$124:AI$127,$D725)*$E725*INDEX(AI$128:AI$144,$F725)</f>
        <v/>
      </c>
      <c r="AJ725" s="36">
        <f>INDEX(AJ$124:AJ$127,$D725)*$E725*INDEX(AJ$128:AJ$144,$F725)</f>
        <v/>
      </c>
      <c r="AK725" s="36">
        <f>INDEX(AK$124:AK$127,$D725)*$E725*INDEX(AK$128:AK$144,$F725)</f>
        <v/>
      </c>
      <c r="AL725" s="36">
        <f>INDEX(AL$124:AL$127,$D725)*$E725*INDEX(AL$128:AL$144,$F725)</f>
        <v/>
      </c>
      <c r="AM725" s="36">
        <f>INDEX(AM$124:AM$127,$D725)*$E725*INDEX(AM$128:AM$144,$F725)</f>
        <v/>
      </c>
      <c r="AN725" s="36">
        <f>INDEX(AN$124:AN$127,$D725)*$E725*INDEX(AN$128:AN$144,$F725)</f>
        <v/>
      </c>
    </row>
    <row r="726" hidden="1" outlineLevel="2">
      <c r="A726" s="5" t="inlineStr">
        <is>
          <t>shp</t>
        </is>
      </c>
      <c r="B726" s="5" t="inlineStr">
        <is>
          <t>die</t>
        </is>
      </c>
      <c r="C726" s="5" t="inlineStr">
        <is>
          <t>mch</t>
        </is>
      </c>
      <c r="D726" s="36">
        <f>INDEX(Inputs!$M$5:$M$132,MATCH($B726&amp;"|"&amp;$C726,Inputs!$A$5:$A$132,0))</f>
        <v/>
      </c>
      <c r="E726" s="36">
        <f>INDEX(Inputs!$U$5:$U$132,MATCH($B726&amp;"|"&amp;$C726,Inputs!$A$5:$A$132,0))</f>
        <v/>
      </c>
      <c r="F726" s="36">
        <f>INDEX(Inputs!$K$5:$K$132,MATCH($B726&amp;"|"&amp;$C726,Inputs!$A$5:$A$132,0))</f>
        <v/>
      </c>
      <c r="G726" s="37" t="n"/>
      <c r="H726" s="5">
        <f>INDEX(Variables!$B$5:$B$65,MATCH($A726,Variables!$A$5:$A$65,0))&amp;IF($C726="",""," | "&amp;INDEX(Mapping!$B$5:$B$25,MATCH($C726,Mapping!$A$5:$A$25,0))&amp;" | "&amp;INDEX(Mapping!$B$29:$B$38,MATCH($B726,Mapping!$A$29:$A$38,0)))</f>
        <v/>
      </c>
      <c r="I726" s="5">
        <f>INDEX(Variables!$C$5:$C$65,MATCH($A726,Variables!$A$5:$A$65,0))</f>
        <v/>
      </c>
      <c r="J726" s="5">
        <f>INDEX(Variables!$E$5:$E$65,MATCH($A726,Variables!$A$5:$A$65,0))</f>
        <v/>
      </c>
      <c r="K726" s="23">
        <f>LOWER(Settings!$C$4)&amp;".mit."&amp;$A726&amp;IF($C726="","","."&amp;$C726&amp;"."&amp;$B726)&amp;IF(INDEX(Variables!$D$5:$D$65,MATCH($A726,Variables!$A$5:$A$65,0))="","","."&amp;INDEX(Variables!$D$5:$D$65,MATCH($A726,Variables!$A$5:$A$65,0)))&amp;"."&amp;K$5</f>
        <v/>
      </c>
      <c r="L726" s="38">
        <f>INDEX(L$124:L$127,$D726)*$E726*INDEX(L$128:L$144,$F726)</f>
        <v/>
      </c>
      <c r="M726" s="36">
        <f>INDEX(M$124:M$127,$D726)*$E726*INDEX(M$128:M$144,$F726)</f>
        <v/>
      </c>
      <c r="N726" s="36">
        <f>INDEX(N$124:N$127,$D726)*$E726*INDEX(N$128:N$144,$F726)</f>
        <v/>
      </c>
      <c r="O726" s="36">
        <f>INDEX(O$124:O$127,$D726)*$E726*INDEX(O$128:O$144,$F726)</f>
        <v/>
      </c>
      <c r="P726" s="36">
        <f>INDEX(P$124:P$127,$D726)*$E726*INDEX(P$128:P$144,$F726)</f>
        <v/>
      </c>
      <c r="Q726" s="36">
        <f>INDEX(Q$124:Q$127,$D726)*$E726*INDEX(Q$128:Q$144,$F726)</f>
        <v/>
      </c>
      <c r="R726" s="36">
        <f>INDEX(R$124:R$127,$D726)*$E726*INDEX(R$128:R$144,$F726)</f>
        <v/>
      </c>
      <c r="S726" s="36">
        <f>INDEX(S$124:S$127,$D726)*$E726*INDEX(S$128:S$144,$F726)</f>
        <v/>
      </c>
      <c r="T726" s="36">
        <f>INDEX(T$124:T$127,$D726)*$E726*INDEX(T$128:T$144,$F726)</f>
        <v/>
      </c>
      <c r="U726" s="36">
        <f>INDEX(U$124:U$127,$D726)*$E726*INDEX(U$128:U$144,$F726)</f>
        <v/>
      </c>
      <c r="V726" s="36">
        <f>INDEX(V$124:V$127,$D726)*$E726*INDEX(V$128:V$144,$F726)</f>
        <v/>
      </c>
      <c r="W726" s="36">
        <f>INDEX(W$124:W$127,$D726)*$E726*INDEX(W$128:W$144,$F726)</f>
        <v/>
      </c>
      <c r="X726" s="36">
        <f>INDEX(X$124:X$127,$D726)*$E726*INDEX(X$128:X$144,$F726)</f>
        <v/>
      </c>
      <c r="Y726" s="36">
        <f>INDEX(Y$124:Y$127,$D726)*$E726*INDEX(Y$128:Y$144,$F726)</f>
        <v/>
      </c>
      <c r="Z726" s="23">
        <f>LOWER(Settings!$C$4)&amp;".mit."&amp;$A726&amp;IF($C726="","","."&amp;$C726&amp;"."&amp;$B726)&amp;IF(INDEX(Variables!$D$5:$D$65,MATCH($A726,Variables!$A$5:$A$65,0))="","","."&amp;INDEX(Variables!$D$5:$D$65,MATCH($A726,Variables!$A$5:$A$65,0)))&amp;"."&amp;Z$5</f>
        <v/>
      </c>
      <c r="AA726" s="38">
        <f>INDEX(AA$124:AA$127,$D726)*$E726*INDEX(AA$128:AA$144,$F726)</f>
        <v/>
      </c>
      <c r="AB726" s="36">
        <f>INDEX(AB$124:AB$127,$D726)*$E726*INDEX(AB$128:AB$144,$F726)</f>
        <v/>
      </c>
      <c r="AC726" s="36">
        <f>INDEX(AC$124:AC$127,$D726)*$E726*INDEX(AC$128:AC$144,$F726)</f>
        <v/>
      </c>
      <c r="AD726" s="36">
        <f>INDEX(AD$124:AD$127,$D726)*$E726*INDEX(AD$128:AD$144,$F726)</f>
        <v/>
      </c>
      <c r="AE726" s="36">
        <f>INDEX(AE$124:AE$127,$D726)*$E726*INDEX(AE$128:AE$144,$F726)</f>
        <v/>
      </c>
      <c r="AF726" s="36">
        <f>INDEX(AF$124:AF$127,$D726)*$E726*INDEX(AF$128:AF$144,$F726)</f>
        <v/>
      </c>
      <c r="AG726" s="36">
        <f>INDEX(AG$124:AG$127,$D726)*$E726*INDEX(AG$128:AG$144,$F726)</f>
        <v/>
      </c>
      <c r="AH726" s="36">
        <f>INDEX(AH$124:AH$127,$D726)*$E726*INDEX(AH$128:AH$144,$F726)</f>
        <v/>
      </c>
      <c r="AI726" s="36">
        <f>INDEX(AI$124:AI$127,$D726)*$E726*INDEX(AI$128:AI$144,$F726)</f>
        <v/>
      </c>
      <c r="AJ726" s="36">
        <f>INDEX(AJ$124:AJ$127,$D726)*$E726*INDEX(AJ$128:AJ$144,$F726)</f>
        <v/>
      </c>
      <c r="AK726" s="36">
        <f>INDEX(AK$124:AK$127,$D726)*$E726*INDEX(AK$128:AK$144,$F726)</f>
        <v/>
      </c>
      <c r="AL726" s="36">
        <f>INDEX(AL$124:AL$127,$D726)*$E726*INDEX(AL$128:AL$144,$F726)</f>
        <v/>
      </c>
      <c r="AM726" s="36">
        <f>INDEX(AM$124:AM$127,$D726)*$E726*INDEX(AM$128:AM$144,$F726)</f>
        <v/>
      </c>
      <c r="AN726" s="36">
        <f>INDEX(AN$124:AN$127,$D726)*$E726*INDEX(AN$128:AN$144,$F726)</f>
        <v/>
      </c>
    </row>
    <row r="727" hidden="1" outlineLevel="2">
      <c r="A727" s="5" t="inlineStr">
        <is>
          <t>shp</t>
        </is>
      </c>
      <c r="B727" s="5" t="inlineStr">
        <is>
          <t>lpg</t>
        </is>
      </c>
      <c r="C727" s="5" t="inlineStr">
        <is>
          <t>mch</t>
        </is>
      </c>
      <c r="D727" s="36">
        <f>INDEX(Inputs!$M$5:$M$132,MATCH($B727&amp;"|"&amp;$C727,Inputs!$A$5:$A$132,0))</f>
        <v/>
      </c>
      <c r="E727" s="36">
        <f>INDEX(Inputs!$U$5:$U$132,MATCH($B727&amp;"|"&amp;$C727,Inputs!$A$5:$A$132,0))</f>
        <v/>
      </c>
      <c r="F727" s="36">
        <f>INDEX(Inputs!$K$5:$K$132,MATCH($B727&amp;"|"&amp;$C727,Inputs!$A$5:$A$132,0))</f>
        <v/>
      </c>
      <c r="G727" s="37" t="n"/>
      <c r="H727" s="5">
        <f>INDEX(Variables!$B$5:$B$65,MATCH($A727,Variables!$A$5:$A$65,0))&amp;IF($C727="",""," | "&amp;INDEX(Mapping!$B$5:$B$25,MATCH($C727,Mapping!$A$5:$A$25,0))&amp;" | "&amp;INDEX(Mapping!$B$29:$B$38,MATCH($B727,Mapping!$A$29:$A$38,0)))</f>
        <v/>
      </c>
      <c r="I727" s="5">
        <f>INDEX(Variables!$C$5:$C$65,MATCH($A727,Variables!$A$5:$A$65,0))</f>
        <v/>
      </c>
      <c r="J727" s="5">
        <f>INDEX(Variables!$E$5:$E$65,MATCH($A727,Variables!$A$5:$A$65,0))</f>
        <v/>
      </c>
      <c r="K727" s="23">
        <f>LOWER(Settings!$C$4)&amp;".mit."&amp;$A727&amp;IF($C727="","","."&amp;$C727&amp;"."&amp;$B727)&amp;IF(INDEX(Variables!$D$5:$D$65,MATCH($A727,Variables!$A$5:$A$65,0))="","","."&amp;INDEX(Variables!$D$5:$D$65,MATCH($A727,Variables!$A$5:$A$65,0)))&amp;"."&amp;K$5</f>
        <v/>
      </c>
      <c r="L727" s="38">
        <f>INDEX(L$124:L$127,$D727)*$E727*INDEX(L$128:L$144,$F727)</f>
        <v/>
      </c>
      <c r="M727" s="36">
        <f>INDEX(M$124:M$127,$D727)*$E727*INDEX(M$128:M$144,$F727)</f>
        <v/>
      </c>
      <c r="N727" s="36">
        <f>INDEX(N$124:N$127,$D727)*$E727*INDEX(N$128:N$144,$F727)</f>
        <v/>
      </c>
      <c r="O727" s="36">
        <f>INDEX(O$124:O$127,$D727)*$E727*INDEX(O$128:O$144,$F727)</f>
        <v/>
      </c>
      <c r="P727" s="36">
        <f>INDEX(P$124:P$127,$D727)*$E727*INDEX(P$128:P$144,$F727)</f>
        <v/>
      </c>
      <c r="Q727" s="36">
        <f>INDEX(Q$124:Q$127,$D727)*$E727*INDEX(Q$128:Q$144,$F727)</f>
        <v/>
      </c>
      <c r="R727" s="36">
        <f>INDEX(R$124:R$127,$D727)*$E727*INDEX(R$128:R$144,$F727)</f>
        <v/>
      </c>
      <c r="S727" s="36">
        <f>INDEX(S$124:S$127,$D727)*$E727*INDEX(S$128:S$144,$F727)</f>
        <v/>
      </c>
      <c r="T727" s="36">
        <f>INDEX(T$124:T$127,$D727)*$E727*INDEX(T$128:T$144,$F727)</f>
        <v/>
      </c>
      <c r="U727" s="36">
        <f>INDEX(U$124:U$127,$D727)*$E727*INDEX(U$128:U$144,$F727)</f>
        <v/>
      </c>
      <c r="V727" s="36">
        <f>INDEX(V$124:V$127,$D727)*$E727*INDEX(V$128:V$144,$F727)</f>
        <v/>
      </c>
      <c r="W727" s="36">
        <f>INDEX(W$124:W$127,$D727)*$E727*INDEX(W$128:W$144,$F727)</f>
        <v/>
      </c>
      <c r="X727" s="36">
        <f>INDEX(X$124:X$127,$D727)*$E727*INDEX(X$128:X$144,$F727)</f>
        <v/>
      </c>
      <c r="Y727" s="36">
        <f>INDEX(Y$124:Y$127,$D727)*$E727*INDEX(Y$128:Y$144,$F727)</f>
        <v/>
      </c>
      <c r="Z727" s="23">
        <f>LOWER(Settings!$C$4)&amp;".mit."&amp;$A727&amp;IF($C727="","","."&amp;$C727&amp;"."&amp;$B727)&amp;IF(INDEX(Variables!$D$5:$D$65,MATCH($A727,Variables!$A$5:$A$65,0))="","","."&amp;INDEX(Variables!$D$5:$D$65,MATCH($A727,Variables!$A$5:$A$65,0)))&amp;"."&amp;Z$5</f>
        <v/>
      </c>
      <c r="AA727" s="38">
        <f>INDEX(AA$124:AA$127,$D727)*$E727*INDEX(AA$128:AA$144,$F727)</f>
        <v/>
      </c>
      <c r="AB727" s="36">
        <f>INDEX(AB$124:AB$127,$D727)*$E727*INDEX(AB$128:AB$144,$F727)</f>
        <v/>
      </c>
      <c r="AC727" s="36">
        <f>INDEX(AC$124:AC$127,$D727)*$E727*INDEX(AC$128:AC$144,$F727)</f>
        <v/>
      </c>
      <c r="AD727" s="36">
        <f>INDEX(AD$124:AD$127,$D727)*$E727*INDEX(AD$128:AD$144,$F727)</f>
        <v/>
      </c>
      <c r="AE727" s="36">
        <f>INDEX(AE$124:AE$127,$D727)*$E727*INDEX(AE$128:AE$144,$F727)</f>
        <v/>
      </c>
      <c r="AF727" s="36">
        <f>INDEX(AF$124:AF$127,$D727)*$E727*INDEX(AF$128:AF$144,$F727)</f>
        <v/>
      </c>
      <c r="AG727" s="36">
        <f>INDEX(AG$124:AG$127,$D727)*$E727*INDEX(AG$128:AG$144,$F727)</f>
        <v/>
      </c>
      <c r="AH727" s="36">
        <f>INDEX(AH$124:AH$127,$D727)*$E727*INDEX(AH$128:AH$144,$F727)</f>
        <v/>
      </c>
      <c r="AI727" s="36">
        <f>INDEX(AI$124:AI$127,$D727)*$E727*INDEX(AI$128:AI$144,$F727)</f>
        <v/>
      </c>
      <c r="AJ727" s="36">
        <f>INDEX(AJ$124:AJ$127,$D727)*$E727*INDEX(AJ$128:AJ$144,$F727)</f>
        <v/>
      </c>
      <c r="AK727" s="36">
        <f>INDEX(AK$124:AK$127,$D727)*$E727*INDEX(AK$128:AK$144,$F727)</f>
        <v/>
      </c>
      <c r="AL727" s="36">
        <f>INDEX(AL$124:AL$127,$D727)*$E727*INDEX(AL$128:AL$144,$F727)</f>
        <v/>
      </c>
      <c r="AM727" s="36">
        <f>INDEX(AM$124:AM$127,$D727)*$E727*INDEX(AM$128:AM$144,$F727)</f>
        <v/>
      </c>
      <c r="AN727" s="36">
        <f>INDEX(AN$124:AN$127,$D727)*$E727*INDEX(AN$128:AN$144,$F727)</f>
        <v/>
      </c>
    </row>
    <row r="728" hidden="1" outlineLevel="2">
      <c r="A728" s="5" t="inlineStr">
        <is>
          <t>shp</t>
        </is>
      </c>
      <c r="B728" s="5" t="inlineStr">
        <is>
          <t>ker</t>
        </is>
      </c>
      <c r="C728" s="5" t="inlineStr">
        <is>
          <t>mch</t>
        </is>
      </c>
      <c r="D728" s="36">
        <f>INDEX(Inputs!$M$5:$M$132,MATCH($B728&amp;"|"&amp;$C728,Inputs!$A$5:$A$132,0))</f>
        <v/>
      </c>
      <c r="E728" s="36">
        <f>INDEX(Inputs!$U$5:$U$132,MATCH($B728&amp;"|"&amp;$C728,Inputs!$A$5:$A$132,0))</f>
        <v/>
      </c>
      <c r="F728" s="36">
        <f>INDEX(Inputs!$K$5:$K$132,MATCH($B728&amp;"|"&amp;$C728,Inputs!$A$5:$A$132,0))</f>
        <v/>
      </c>
      <c r="G728" s="37" t="n"/>
      <c r="H728" s="5">
        <f>INDEX(Variables!$B$5:$B$65,MATCH($A728,Variables!$A$5:$A$65,0))&amp;IF($C728="",""," | "&amp;INDEX(Mapping!$B$5:$B$25,MATCH($C728,Mapping!$A$5:$A$25,0))&amp;" | "&amp;INDEX(Mapping!$B$29:$B$38,MATCH($B728,Mapping!$A$29:$A$38,0)))</f>
        <v/>
      </c>
      <c r="I728" s="5">
        <f>INDEX(Variables!$C$5:$C$65,MATCH($A728,Variables!$A$5:$A$65,0))</f>
        <v/>
      </c>
      <c r="J728" s="5">
        <f>INDEX(Variables!$E$5:$E$65,MATCH($A728,Variables!$A$5:$A$65,0))</f>
        <v/>
      </c>
      <c r="K728" s="23">
        <f>LOWER(Settings!$C$4)&amp;".mit."&amp;$A728&amp;IF($C728="","","."&amp;$C728&amp;"."&amp;$B728)&amp;IF(INDEX(Variables!$D$5:$D$65,MATCH($A728,Variables!$A$5:$A$65,0))="","","."&amp;INDEX(Variables!$D$5:$D$65,MATCH($A728,Variables!$A$5:$A$65,0)))&amp;"."&amp;K$5</f>
        <v/>
      </c>
      <c r="L728" s="38">
        <f>INDEX(L$124:L$127,$D728)*$E728*INDEX(L$128:L$144,$F728)</f>
        <v/>
      </c>
      <c r="M728" s="36">
        <f>INDEX(M$124:M$127,$D728)*$E728*INDEX(M$128:M$144,$F728)</f>
        <v/>
      </c>
      <c r="N728" s="36">
        <f>INDEX(N$124:N$127,$D728)*$E728*INDEX(N$128:N$144,$F728)</f>
        <v/>
      </c>
      <c r="O728" s="36">
        <f>INDEX(O$124:O$127,$D728)*$E728*INDEX(O$128:O$144,$F728)</f>
        <v/>
      </c>
      <c r="P728" s="36">
        <f>INDEX(P$124:P$127,$D728)*$E728*INDEX(P$128:P$144,$F728)</f>
        <v/>
      </c>
      <c r="Q728" s="36">
        <f>INDEX(Q$124:Q$127,$D728)*$E728*INDEX(Q$128:Q$144,$F728)</f>
        <v/>
      </c>
      <c r="R728" s="36">
        <f>INDEX(R$124:R$127,$D728)*$E728*INDEX(R$128:R$144,$F728)</f>
        <v/>
      </c>
      <c r="S728" s="36">
        <f>INDEX(S$124:S$127,$D728)*$E728*INDEX(S$128:S$144,$F728)</f>
        <v/>
      </c>
      <c r="T728" s="36">
        <f>INDEX(T$124:T$127,$D728)*$E728*INDEX(T$128:T$144,$F728)</f>
        <v/>
      </c>
      <c r="U728" s="36">
        <f>INDEX(U$124:U$127,$D728)*$E728*INDEX(U$128:U$144,$F728)</f>
        <v/>
      </c>
      <c r="V728" s="36">
        <f>INDEX(V$124:V$127,$D728)*$E728*INDEX(V$128:V$144,$F728)</f>
        <v/>
      </c>
      <c r="W728" s="36">
        <f>INDEX(W$124:W$127,$D728)*$E728*INDEX(W$128:W$144,$F728)</f>
        <v/>
      </c>
      <c r="X728" s="36">
        <f>INDEX(X$124:X$127,$D728)*$E728*INDEX(X$128:X$144,$F728)</f>
        <v/>
      </c>
      <c r="Y728" s="36">
        <f>INDEX(Y$124:Y$127,$D728)*$E728*INDEX(Y$128:Y$144,$F728)</f>
        <v/>
      </c>
      <c r="Z728" s="23">
        <f>LOWER(Settings!$C$4)&amp;".mit."&amp;$A728&amp;IF($C728="","","."&amp;$C728&amp;"."&amp;$B728)&amp;IF(INDEX(Variables!$D$5:$D$65,MATCH($A728,Variables!$A$5:$A$65,0))="","","."&amp;INDEX(Variables!$D$5:$D$65,MATCH($A728,Variables!$A$5:$A$65,0)))&amp;"."&amp;Z$5</f>
        <v/>
      </c>
      <c r="AA728" s="38">
        <f>INDEX(AA$124:AA$127,$D728)*$E728*INDEX(AA$128:AA$144,$F728)</f>
        <v/>
      </c>
      <c r="AB728" s="36">
        <f>INDEX(AB$124:AB$127,$D728)*$E728*INDEX(AB$128:AB$144,$F728)</f>
        <v/>
      </c>
      <c r="AC728" s="36">
        <f>INDEX(AC$124:AC$127,$D728)*$E728*INDEX(AC$128:AC$144,$F728)</f>
        <v/>
      </c>
      <c r="AD728" s="36">
        <f>INDEX(AD$124:AD$127,$D728)*$E728*INDEX(AD$128:AD$144,$F728)</f>
        <v/>
      </c>
      <c r="AE728" s="36">
        <f>INDEX(AE$124:AE$127,$D728)*$E728*INDEX(AE$128:AE$144,$F728)</f>
        <v/>
      </c>
      <c r="AF728" s="36">
        <f>INDEX(AF$124:AF$127,$D728)*$E728*INDEX(AF$128:AF$144,$F728)</f>
        <v/>
      </c>
      <c r="AG728" s="36">
        <f>INDEX(AG$124:AG$127,$D728)*$E728*INDEX(AG$128:AG$144,$F728)</f>
        <v/>
      </c>
      <c r="AH728" s="36">
        <f>INDEX(AH$124:AH$127,$D728)*$E728*INDEX(AH$128:AH$144,$F728)</f>
        <v/>
      </c>
      <c r="AI728" s="36">
        <f>INDEX(AI$124:AI$127,$D728)*$E728*INDEX(AI$128:AI$144,$F728)</f>
        <v/>
      </c>
      <c r="AJ728" s="36">
        <f>INDEX(AJ$124:AJ$127,$D728)*$E728*INDEX(AJ$128:AJ$144,$F728)</f>
        <v/>
      </c>
      <c r="AK728" s="36">
        <f>INDEX(AK$124:AK$127,$D728)*$E728*INDEX(AK$128:AK$144,$F728)</f>
        <v/>
      </c>
      <c r="AL728" s="36">
        <f>INDEX(AL$124:AL$127,$D728)*$E728*INDEX(AL$128:AL$144,$F728)</f>
        <v/>
      </c>
      <c r="AM728" s="36">
        <f>INDEX(AM$124:AM$127,$D728)*$E728*INDEX(AM$128:AM$144,$F728)</f>
        <v/>
      </c>
      <c r="AN728" s="36">
        <f>INDEX(AN$124:AN$127,$D728)*$E728*INDEX(AN$128:AN$144,$F728)</f>
        <v/>
      </c>
    </row>
    <row r="729" hidden="1" outlineLevel="2">
      <c r="A729" s="5" t="inlineStr">
        <is>
          <t>shp</t>
        </is>
      </c>
      <c r="B729" s="5" t="inlineStr">
        <is>
          <t>oop</t>
        </is>
      </c>
      <c r="C729" s="5" t="inlineStr">
        <is>
          <t>mch</t>
        </is>
      </c>
      <c r="D729" s="36">
        <f>INDEX(Inputs!$M$5:$M$132,MATCH($B729&amp;"|"&amp;$C729,Inputs!$A$5:$A$132,0))</f>
        <v/>
      </c>
      <c r="E729" s="36">
        <f>INDEX(Inputs!$U$5:$U$132,MATCH($B729&amp;"|"&amp;$C729,Inputs!$A$5:$A$132,0))</f>
        <v/>
      </c>
      <c r="F729" s="36">
        <f>INDEX(Inputs!$K$5:$K$132,MATCH($B729&amp;"|"&amp;$C729,Inputs!$A$5:$A$132,0))</f>
        <v/>
      </c>
      <c r="G729" s="37" t="n"/>
      <c r="H729" s="5">
        <f>INDEX(Variables!$B$5:$B$65,MATCH($A729,Variables!$A$5:$A$65,0))&amp;IF($C729="",""," | "&amp;INDEX(Mapping!$B$5:$B$25,MATCH($C729,Mapping!$A$5:$A$25,0))&amp;" | "&amp;INDEX(Mapping!$B$29:$B$38,MATCH($B729,Mapping!$A$29:$A$38,0)))</f>
        <v/>
      </c>
      <c r="I729" s="5">
        <f>INDEX(Variables!$C$5:$C$65,MATCH($A729,Variables!$A$5:$A$65,0))</f>
        <v/>
      </c>
      <c r="J729" s="5">
        <f>INDEX(Variables!$E$5:$E$65,MATCH($A729,Variables!$A$5:$A$65,0))</f>
        <v/>
      </c>
      <c r="K729" s="23">
        <f>LOWER(Settings!$C$4)&amp;".mit."&amp;$A729&amp;IF($C729="","","."&amp;$C729&amp;"."&amp;$B729)&amp;IF(INDEX(Variables!$D$5:$D$65,MATCH($A729,Variables!$A$5:$A$65,0))="","","."&amp;INDEX(Variables!$D$5:$D$65,MATCH($A729,Variables!$A$5:$A$65,0)))&amp;"."&amp;K$5</f>
        <v/>
      </c>
      <c r="L729" s="38">
        <f>INDEX(L$124:L$127,$D729)*$E729*INDEX(L$128:L$144,$F729)</f>
        <v/>
      </c>
      <c r="M729" s="36">
        <f>INDEX(M$124:M$127,$D729)*$E729*INDEX(M$128:M$144,$F729)</f>
        <v/>
      </c>
      <c r="N729" s="36">
        <f>INDEX(N$124:N$127,$D729)*$E729*INDEX(N$128:N$144,$F729)</f>
        <v/>
      </c>
      <c r="O729" s="36">
        <f>INDEX(O$124:O$127,$D729)*$E729*INDEX(O$128:O$144,$F729)</f>
        <v/>
      </c>
      <c r="P729" s="36">
        <f>INDEX(P$124:P$127,$D729)*$E729*INDEX(P$128:P$144,$F729)</f>
        <v/>
      </c>
      <c r="Q729" s="36">
        <f>INDEX(Q$124:Q$127,$D729)*$E729*INDEX(Q$128:Q$144,$F729)</f>
        <v/>
      </c>
      <c r="R729" s="36">
        <f>INDEX(R$124:R$127,$D729)*$E729*INDEX(R$128:R$144,$F729)</f>
        <v/>
      </c>
      <c r="S729" s="36">
        <f>INDEX(S$124:S$127,$D729)*$E729*INDEX(S$128:S$144,$F729)</f>
        <v/>
      </c>
      <c r="T729" s="36">
        <f>INDEX(T$124:T$127,$D729)*$E729*INDEX(T$128:T$144,$F729)</f>
        <v/>
      </c>
      <c r="U729" s="36">
        <f>INDEX(U$124:U$127,$D729)*$E729*INDEX(U$128:U$144,$F729)</f>
        <v/>
      </c>
      <c r="V729" s="36">
        <f>INDEX(V$124:V$127,$D729)*$E729*INDEX(V$128:V$144,$F729)</f>
        <v/>
      </c>
      <c r="W729" s="36">
        <f>INDEX(W$124:W$127,$D729)*$E729*INDEX(W$128:W$144,$F729)</f>
        <v/>
      </c>
      <c r="X729" s="36">
        <f>INDEX(X$124:X$127,$D729)*$E729*INDEX(X$128:X$144,$F729)</f>
        <v/>
      </c>
      <c r="Y729" s="36">
        <f>INDEX(Y$124:Y$127,$D729)*$E729*INDEX(Y$128:Y$144,$F729)</f>
        <v/>
      </c>
      <c r="Z729" s="23">
        <f>LOWER(Settings!$C$4)&amp;".mit."&amp;$A729&amp;IF($C729="","","."&amp;$C729&amp;"."&amp;$B729)&amp;IF(INDEX(Variables!$D$5:$D$65,MATCH($A729,Variables!$A$5:$A$65,0))="","","."&amp;INDEX(Variables!$D$5:$D$65,MATCH($A729,Variables!$A$5:$A$65,0)))&amp;"."&amp;Z$5</f>
        <v/>
      </c>
      <c r="AA729" s="38">
        <f>INDEX(AA$124:AA$127,$D729)*$E729*INDEX(AA$128:AA$144,$F729)</f>
        <v/>
      </c>
      <c r="AB729" s="36">
        <f>INDEX(AB$124:AB$127,$D729)*$E729*INDEX(AB$128:AB$144,$F729)</f>
        <v/>
      </c>
      <c r="AC729" s="36">
        <f>INDEX(AC$124:AC$127,$D729)*$E729*INDEX(AC$128:AC$144,$F729)</f>
        <v/>
      </c>
      <c r="AD729" s="36">
        <f>INDEX(AD$124:AD$127,$D729)*$E729*INDEX(AD$128:AD$144,$F729)</f>
        <v/>
      </c>
      <c r="AE729" s="36">
        <f>INDEX(AE$124:AE$127,$D729)*$E729*INDEX(AE$128:AE$144,$F729)</f>
        <v/>
      </c>
      <c r="AF729" s="36">
        <f>INDEX(AF$124:AF$127,$D729)*$E729*INDEX(AF$128:AF$144,$F729)</f>
        <v/>
      </c>
      <c r="AG729" s="36">
        <f>INDEX(AG$124:AG$127,$D729)*$E729*INDEX(AG$128:AG$144,$F729)</f>
        <v/>
      </c>
      <c r="AH729" s="36">
        <f>INDEX(AH$124:AH$127,$D729)*$E729*INDEX(AH$128:AH$144,$F729)</f>
        <v/>
      </c>
      <c r="AI729" s="36">
        <f>INDEX(AI$124:AI$127,$D729)*$E729*INDEX(AI$128:AI$144,$F729)</f>
        <v/>
      </c>
      <c r="AJ729" s="36">
        <f>INDEX(AJ$124:AJ$127,$D729)*$E729*INDEX(AJ$128:AJ$144,$F729)</f>
        <v/>
      </c>
      <c r="AK729" s="36">
        <f>INDEX(AK$124:AK$127,$D729)*$E729*INDEX(AK$128:AK$144,$F729)</f>
        <v/>
      </c>
      <c r="AL729" s="36">
        <f>INDEX(AL$124:AL$127,$D729)*$E729*INDEX(AL$128:AL$144,$F729)</f>
        <v/>
      </c>
      <c r="AM729" s="36">
        <f>INDEX(AM$124:AM$127,$D729)*$E729*INDEX(AM$128:AM$144,$F729)</f>
        <v/>
      </c>
      <c r="AN729" s="36">
        <f>INDEX(AN$124:AN$127,$D729)*$E729*INDEX(AN$128:AN$144,$F729)</f>
        <v/>
      </c>
    </row>
    <row r="730" hidden="1" outlineLevel="2">
      <c r="A730" s="5" t="inlineStr">
        <is>
          <t>shp</t>
        </is>
      </c>
      <c r="B730" s="5" t="inlineStr">
        <is>
          <t>bio</t>
        </is>
      </c>
      <c r="C730" s="5" t="inlineStr">
        <is>
          <t>mch</t>
        </is>
      </c>
      <c r="D730" s="36">
        <f>INDEX(Inputs!$M$5:$M$132,MATCH($B730&amp;"|"&amp;$C730,Inputs!$A$5:$A$132,0))</f>
        <v/>
      </c>
      <c r="E730" s="36">
        <f>INDEX(Inputs!$U$5:$U$132,MATCH($B730&amp;"|"&amp;$C730,Inputs!$A$5:$A$132,0))</f>
        <v/>
      </c>
      <c r="F730" s="36">
        <f>INDEX(Inputs!$K$5:$K$132,MATCH($B730&amp;"|"&amp;$C730,Inputs!$A$5:$A$132,0))</f>
        <v/>
      </c>
      <c r="G730" s="37" t="n"/>
      <c r="H730" s="5">
        <f>INDEX(Variables!$B$5:$B$65,MATCH($A730,Variables!$A$5:$A$65,0))&amp;IF($C730="",""," | "&amp;INDEX(Mapping!$B$5:$B$25,MATCH($C730,Mapping!$A$5:$A$25,0))&amp;" | "&amp;INDEX(Mapping!$B$29:$B$38,MATCH($B730,Mapping!$A$29:$A$38,0)))</f>
        <v/>
      </c>
      <c r="I730" s="5">
        <f>INDEX(Variables!$C$5:$C$65,MATCH($A730,Variables!$A$5:$A$65,0))</f>
        <v/>
      </c>
      <c r="J730" s="5">
        <f>INDEX(Variables!$E$5:$E$65,MATCH($A730,Variables!$A$5:$A$65,0))</f>
        <v/>
      </c>
      <c r="K730" s="23">
        <f>LOWER(Settings!$C$4)&amp;".mit."&amp;$A730&amp;IF($C730="","","."&amp;$C730&amp;"."&amp;$B730)&amp;IF(INDEX(Variables!$D$5:$D$65,MATCH($A730,Variables!$A$5:$A$65,0))="","","."&amp;INDEX(Variables!$D$5:$D$65,MATCH($A730,Variables!$A$5:$A$65,0)))&amp;"."&amp;K$5</f>
        <v/>
      </c>
      <c r="L730" s="38">
        <f>INDEX(L$124:L$127,$D730)*$E730*INDEX(L$128:L$144,$F730)</f>
        <v/>
      </c>
      <c r="M730" s="36">
        <f>INDEX(M$124:M$127,$D730)*$E730*INDEX(M$128:M$144,$F730)</f>
        <v/>
      </c>
      <c r="N730" s="36">
        <f>INDEX(N$124:N$127,$D730)*$E730*INDEX(N$128:N$144,$F730)</f>
        <v/>
      </c>
      <c r="O730" s="36">
        <f>INDEX(O$124:O$127,$D730)*$E730*INDEX(O$128:O$144,$F730)</f>
        <v/>
      </c>
      <c r="P730" s="36">
        <f>INDEX(P$124:P$127,$D730)*$E730*INDEX(P$128:P$144,$F730)</f>
        <v/>
      </c>
      <c r="Q730" s="36">
        <f>INDEX(Q$124:Q$127,$D730)*$E730*INDEX(Q$128:Q$144,$F730)</f>
        <v/>
      </c>
      <c r="R730" s="36">
        <f>INDEX(R$124:R$127,$D730)*$E730*INDEX(R$128:R$144,$F730)</f>
        <v/>
      </c>
      <c r="S730" s="36">
        <f>INDEX(S$124:S$127,$D730)*$E730*INDEX(S$128:S$144,$F730)</f>
        <v/>
      </c>
      <c r="T730" s="36">
        <f>INDEX(T$124:T$127,$D730)*$E730*INDEX(T$128:T$144,$F730)</f>
        <v/>
      </c>
      <c r="U730" s="36">
        <f>INDEX(U$124:U$127,$D730)*$E730*INDEX(U$128:U$144,$F730)</f>
        <v/>
      </c>
      <c r="V730" s="36">
        <f>INDEX(V$124:V$127,$D730)*$E730*INDEX(V$128:V$144,$F730)</f>
        <v/>
      </c>
      <c r="W730" s="36">
        <f>INDEX(W$124:W$127,$D730)*$E730*INDEX(W$128:W$144,$F730)</f>
        <v/>
      </c>
      <c r="X730" s="36">
        <f>INDEX(X$124:X$127,$D730)*$E730*INDEX(X$128:X$144,$F730)</f>
        <v/>
      </c>
      <c r="Y730" s="36">
        <f>INDEX(Y$124:Y$127,$D730)*$E730*INDEX(Y$128:Y$144,$F730)</f>
        <v/>
      </c>
      <c r="Z730" s="23">
        <f>LOWER(Settings!$C$4)&amp;".mit."&amp;$A730&amp;IF($C730="","","."&amp;$C730&amp;"."&amp;$B730)&amp;IF(INDEX(Variables!$D$5:$D$65,MATCH($A730,Variables!$A$5:$A$65,0))="","","."&amp;INDEX(Variables!$D$5:$D$65,MATCH($A730,Variables!$A$5:$A$65,0)))&amp;"."&amp;Z$5</f>
        <v/>
      </c>
      <c r="AA730" s="38">
        <f>INDEX(AA$124:AA$127,$D730)*$E730*INDEX(AA$128:AA$144,$F730)</f>
        <v/>
      </c>
      <c r="AB730" s="36">
        <f>INDEX(AB$124:AB$127,$D730)*$E730*INDEX(AB$128:AB$144,$F730)</f>
        <v/>
      </c>
      <c r="AC730" s="36">
        <f>INDEX(AC$124:AC$127,$D730)*$E730*INDEX(AC$128:AC$144,$F730)</f>
        <v/>
      </c>
      <c r="AD730" s="36">
        <f>INDEX(AD$124:AD$127,$D730)*$E730*INDEX(AD$128:AD$144,$F730)</f>
        <v/>
      </c>
      <c r="AE730" s="36">
        <f>INDEX(AE$124:AE$127,$D730)*$E730*INDEX(AE$128:AE$144,$F730)</f>
        <v/>
      </c>
      <c r="AF730" s="36">
        <f>INDEX(AF$124:AF$127,$D730)*$E730*INDEX(AF$128:AF$144,$F730)</f>
        <v/>
      </c>
      <c r="AG730" s="36">
        <f>INDEX(AG$124:AG$127,$D730)*$E730*INDEX(AG$128:AG$144,$F730)</f>
        <v/>
      </c>
      <c r="AH730" s="36">
        <f>INDEX(AH$124:AH$127,$D730)*$E730*INDEX(AH$128:AH$144,$F730)</f>
        <v/>
      </c>
      <c r="AI730" s="36">
        <f>INDEX(AI$124:AI$127,$D730)*$E730*INDEX(AI$128:AI$144,$F730)</f>
        <v/>
      </c>
      <c r="AJ730" s="36">
        <f>INDEX(AJ$124:AJ$127,$D730)*$E730*INDEX(AJ$128:AJ$144,$F730)</f>
        <v/>
      </c>
      <c r="AK730" s="36">
        <f>INDEX(AK$124:AK$127,$D730)*$E730*INDEX(AK$128:AK$144,$F730)</f>
        <v/>
      </c>
      <c r="AL730" s="36">
        <f>INDEX(AL$124:AL$127,$D730)*$E730*INDEX(AL$128:AL$144,$F730)</f>
        <v/>
      </c>
      <c r="AM730" s="36">
        <f>INDEX(AM$124:AM$127,$D730)*$E730*INDEX(AM$128:AM$144,$F730)</f>
        <v/>
      </c>
      <c r="AN730" s="36">
        <f>INDEX(AN$124:AN$127,$D730)*$E730*INDEX(AN$128:AN$144,$F730)</f>
        <v/>
      </c>
    </row>
    <row r="731" hidden="1" outlineLevel="2"/>
    <row r="732" hidden="1" outlineLevel="2">
      <c r="A732" s="5" t="inlineStr">
        <is>
          <t>ener</t>
        </is>
      </c>
      <c r="B732" s="5" t="inlineStr">
        <is>
          <t>coa</t>
        </is>
      </c>
      <c r="C732" s="5" t="inlineStr">
        <is>
          <t>mch</t>
        </is>
      </c>
      <c r="D732" s="36">
        <f>INDEX(Inputs!$N$5:$N$132,MATCH($B732&amp;"|"&amp;$C732,Inputs!$A$5:$A$132,0))</f>
        <v/>
      </c>
      <c r="E732" s="36">
        <f>INDEX(Inputs!$O$5:$O$132,MATCH($B732&amp;"|"&amp;$C732,Inputs!$A$5:$A$132,0))</f>
        <v/>
      </c>
      <c r="F732" s="36">
        <f>INDEX(Inputs!$P$5:$P$132,MATCH($B732&amp;"|"&amp;$C732,Inputs!$A$5:$A$132,0))</f>
        <v/>
      </c>
      <c r="G732" s="36">
        <f>INDEX(Inputs!$Q$5:$Q$132,MATCH($B732&amp;"|"&amp;$C732,Inputs!$A$5:$A$132,0))</f>
        <v/>
      </c>
      <c r="H732" s="5">
        <f>INDEX(Variables!$B$5:$B$65,MATCH($A732,Variables!$A$5:$A$65,0))&amp;IF($C732="",""," | "&amp;INDEX(Mapping!$B$5:$B$25,MATCH($C732,Mapping!$A$5:$A$25,0))&amp;" | "&amp;INDEX(Mapping!$B$29:$B$38,MATCH($B732,Mapping!$A$29:$A$38,0)))</f>
        <v/>
      </c>
      <c r="I732" s="5">
        <f>INDEX(Variables!$C$5:$C$65,MATCH($A732,Variables!$A$5:$A$65,0))</f>
        <v/>
      </c>
      <c r="J732" s="5">
        <f>INDEX(Variables!$E$5:$E$65,MATCH($A732,Variables!$A$5:$A$65,0))</f>
        <v/>
      </c>
      <c r="K732" s="23">
        <f>LOWER(Settings!$C$4)&amp;".mit."&amp;$A732&amp;IF($C732="","","."&amp;$C732&amp;"."&amp;$B732)&amp;IF(INDEX(Variables!$D$5:$D$65,MATCH($A732,Variables!$A$5:$A$65,0))="","","."&amp;INDEX(Variables!$D$5:$D$65,MATCH($A732,Variables!$A$5:$A$65,0)))&amp;"."&amp;K$5</f>
        <v/>
      </c>
      <c r="L732" s="40">
        <f>INDEX(Inputs!$V$5:$V$132,MATCH($B732&amp;"|"&amp;$C732,Inputs!$A$5:$A$132,0))</f>
        <v/>
      </c>
      <c r="M732" s="41">
        <f>L732*(1/(1+$G732))^(1+$E732)*(1+M$7)^$D732*(M714/L714)^$E732*((M714+M723)/(L714+L723))^($F732*(1+$E732))</f>
        <v/>
      </c>
      <c r="N732" s="41">
        <f>M732*(1/(1+$G732))^(1+$E732)*(1+N$7)^$D732*(N714/M714)^$E732*((N714+N723)/(M714+M723))^($F732*(1+$E732))</f>
        <v/>
      </c>
      <c r="O732" s="41">
        <f>N732*(1/(1+$G732))^(1+$E732)*(1+O$7)^$D732*(O714/N714)^$E732*((O714+O723)/(N714+N723))^($F732*(1+$E732))</f>
        <v/>
      </c>
      <c r="P732" s="41">
        <f>O732*(1/(1+$G732))^(1+$E732)*(1+P$7)^$D732*(P714/O714)^$E732*((P714+P723)/(O714+O723))^($F732*(1+$E732))</f>
        <v/>
      </c>
      <c r="Q732" s="41">
        <f>P732*(1/(1+$G732))^(1+$E732)*(1+Q$7)^$D732*(Q714/P714)^$E732*((Q714+Q723)/(P714+P723))^($F732*(1+$E732))</f>
        <v/>
      </c>
      <c r="R732" s="41">
        <f>Q732*(1/(1+$G732))^(1+$E732)*(1+R$7)^$D732*(R714/Q714)^$E732*((R714+R723)/(Q714+Q723))^($F732*(1+$E732))</f>
        <v/>
      </c>
      <c r="S732" s="41">
        <f>R732*(1/(1+$G732))^(1+$E732)*(1+S$7)^$D732*(S714/R714)^$E732*((S714+S723)/(R714+R723))^($F732*(1+$E732))</f>
        <v/>
      </c>
      <c r="T732" s="41">
        <f>S732*(1/(1+$G732))^(1+$E732)*(1+T$7)^$D732*(T714/S714)^$E732*((T714+T723)/(S714+S723))^($F732*(1+$E732))</f>
        <v/>
      </c>
      <c r="U732" s="41">
        <f>T732*(1/(1+$G732))^(1+$E732)*(1+U$7)^$D732*(U714/T714)^$E732*((U714+U723)/(T714+T723))^($F732*(1+$E732))</f>
        <v/>
      </c>
      <c r="V732" s="41">
        <f>U732*(1/(1+$G732))^(1+$E732)*(1+V$7)^$D732*(V714/U714)^$E732*((V714+V723)/(U714+U723))^($F732*(1+$E732))</f>
        <v/>
      </c>
      <c r="W732" s="41">
        <f>V732*(1/(1+$G732))^(1+$E732)*(1+W$7)^$D732*(W714/V714)^$E732*((W714+W723)/(V714+V723))^($F732*(1+$E732))</f>
        <v/>
      </c>
      <c r="X732" s="41">
        <f>W732*(1/(1+$G732))^(1+$E732)*(1+X$7)^$D732*(X714/W714)^$E732*((X714+X723)/(W714+W723))^($F732*(1+$E732))</f>
        <v/>
      </c>
      <c r="Y732" s="42">
        <f>FUELUSE(X732,Y714,X714,Y723,X723,Y$7,$D732,$E732,$F732,$G732)</f>
        <v/>
      </c>
      <c r="Z732" s="23">
        <f>LOWER(Settings!$C$4)&amp;".mit."&amp;$A732&amp;IF($C732="","","."&amp;$C732&amp;"."&amp;$B732)&amp;IF(INDEX(Variables!$D$5:$D$65,MATCH($A732,Variables!$A$5:$A$65,0))="","","."&amp;INDEX(Variables!$D$5:$D$65,MATCH($A732,Variables!$A$5:$A$65,0)))&amp;"."&amp;Z$5</f>
        <v/>
      </c>
      <c r="AA732" s="40">
        <f>INDEX(Inputs!$V$5:$V$132,MATCH($B732&amp;"|"&amp;$C732,Inputs!$A$5:$A$132,0))</f>
        <v/>
      </c>
      <c r="AB732" s="41">
        <f>AA732*(1/(1+$G732))^(1+$E732)*(1+AB$7)^$D732*(AB714/AA714)^$E732*((AB714+AB723)/(AA714+AA723))^($F732*(1+$E732))</f>
        <v/>
      </c>
      <c r="AC732" s="41">
        <f>AB732*(1/(1+$G732))^(1+$E732)*(1+AC$7)^$D732*(AC714/AB714)^$E732*((AC714+AC723)/(AB714+AB723))^($F732*(1+$E732))</f>
        <v/>
      </c>
      <c r="AD732" s="41">
        <f>AC732*(1/(1+$G732))^(1+$E732)*(1+AD$7)^$D732*(AD714/AC714)^$E732*((AD714+AD723)/(AC714+AC723))^($F732*(1+$E732))</f>
        <v/>
      </c>
      <c r="AE732" s="41">
        <f>AD732*(1/(1+$G732))^(1+$E732)*(1+AE$7)^$D732*(AE714/AD714)^$E732*((AE714+AE723)/(AD714+AD723))^($F732*(1+$E732))</f>
        <v/>
      </c>
      <c r="AF732" s="41">
        <f>AE732*(1/(1+$G732))^(1+$E732)*(1+AF$7)^$D732*(AF714/AE714)^$E732*((AF714+AF723)/(AE714+AE723))^($F732*(1+$E732))</f>
        <v/>
      </c>
      <c r="AG732" s="41">
        <f>AF732*(1/(1+$G732))^(1+$E732)*(1+AG$7)^$D732*(AG714/AF714)^$E732*((AG714+AG723)/(AF714+AF723))^($F732*(1+$E732))</f>
        <v/>
      </c>
      <c r="AH732" s="41">
        <f>AG732*(1/(1+$G732))^(1+$E732)*(1+AH$7)^$D732*(AH714/AG714)^$E732*((AH714+AH723)/(AG714+AG723))^($F732*(1+$E732))</f>
        <v/>
      </c>
      <c r="AI732" s="41">
        <f>AH732*(1/(1+$G732))^(1+$E732)*(1+AI$7)^$D732*(AI714/AH714)^$E732*((AI714+AI723)/(AH714+AH723))^($F732*(1+$E732))</f>
        <v/>
      </c>
      <c r="AJ732" s="41">
        <f>AI732*(1/(1+$G732))^(1+$E732)*(1+AJ$7)^$D732*(AJ714/AI714)^$E732*((AJ714+AJ723)/(AI714+AI723))^($F732*(1+$E732))</f>
        <v/>
      </c>
      <c r="AK732" s="41">
        <f>AJ732*(1/(1+$G732))^(1+$E732)*(1+AK$7)^$D732*(AK714/AJ714)^$E732*((AK714+AK723)/(AJ714+AJ723))^($F732*(1+$E732))</f>
        <v/>
      </c>
      <c r="AL732" s="41">
        <f>AK732*(1/(1+$G732))^(1+$E732)*(1+AL$7)^$D732*(AL714/AK714)^$E732*((AL714+AL723)/(AK714+AK723))^($F732*(1+$E732))</f>
        <v/>
      </c>
      <c r="AM732" s="41">
        <f>AL732*(1/(1+$G732))^(1+$E732)*(1+AM$7)^$D732*(AM714/AL714)^$E732*((AM714+AM723)/(AL714+AL723))^($F732*(1+$E732))</f>
        <v/>
      </c>
      <c r="AN732" s="42">
        <f>FUELUSE(AM732,AN714,AM714,AN723,AM723,AN$7,$D732,$E732,$F732,$G732)</f>
        <v/>
      </c>
    </row>
    <row r="733" hidden="1" outlineLevel="2">
      <c r="A733" s="5" t="inlineStr">
        <is>
          <t>ener</t>
        </is>
      </c>
      <c r="B733" s="5" t="inlineStr">
        <is>
          <t>nga</t>
        </is>
      </c>
      <c r="C733" s="5" t="inlineStr">
        <is>
          <t>mch</t>
        </is>
      </c>
      <c r="D733" s="36">
        <f>INDEX(Inputs!$N$5:$N$132,MATCH($B733&amp;"|"&amp;$C733,Inputs!$A$5:$A$132,0))</f>
        <v/>
      </c>
      <c r="E733" s="36">
        <f>INDEX(Inputs!$O$5:$O$132,MATCH($B733&amp;"|"&amp;$C733,Inputs!$A$5:$A$132,0))</f>
        <v/>
      </c>
      <c r="F733" s="36">
        <f>INDEX(Inputs!$P$5:$P$132,MATCH($B733&amp;"|"&amp;$C733,Inputs!$A$5:$A$132,0))</f>
        <v/>
      </c>
      <c r="G733" s="36">
        <f>INDEX(Inputs!$Q$5:$Q$132,MATCH($B733&amp;"|"&amp;$C733,Inputs!$A$5:$A$132,0))</f>
        <v/>
      </c>
      <c r="H733" s="5">
        <f>INDEX(Variables!$B$5:$B$65,MATCH($A733,Variables!$A$5:$A$65,0))&amp;IF($C733="",""," | "&amp;INDEX(Mapping!$B$5:$B$25,MATCH($C733,Mapping!$A$5:$A$25,0))&amp;" | "&amp;INDEX(Mapping!$B$29:$B$38,MATCH($B733,Mapping!$A$29:$A$38,0)))</f>
        <v/>
      </c>
      <c r="I733" s="5">
        <f>INDEX(Variables!$C$5:$C$65,MATCH($A733,Variables!$A$5:$A$65,0))</f>
        <v/>
      </c>
      <c r="J733" s="5">
        <f>INDEX(Variables!$E$5:$E$65,MATCH($A733,Variables!$A$5:$A$65,0))</f>
        <v/>
      </c>
      <c r="K733" s="23">
        <f>LOWER(Settings!$C$4)&amp;".mit."&amp;$A733&amp;IF($C733="","","."&amp;$C733&amp;"."&amp;$B733)&amp;IF(INDEX(Variables!$D$5:$D$65,MATCH($A733,Variables!$A$5:$A$65,0))="","","."&amp;INDEX(Variables!$D$5:$D$65,MATCH($A733,Variables!$A$5:$A$65,0)))&amp;"."&amp;K$5</f>
        <v/>
      </c>
      <c r="L733" s="40">
        <f>INDEX(Inputs!$V$5:$V$132,MATCH($B733&amp;"|"&amp;$C733,Inputs!$A$5:$A$132,0))</f>
        <v/>
      </c>
      <c r="M733" s="41">
        <f>L733*(1/(1+$G733))^(1+$E733)*(1+M$7)^$D733*(M715/L715)^$E733*((M715+M724)/(L715+L724))^($F733*(1+$E733))</f>
        <v/>
      </c>
      <c r="N733" s="41">
        <f>M733*(1/(1+$G733))^(1+$E733)*(1+N$7)^$D733*(N715/M715)^$E733*((N715+N724)/(M715+M724))^($F733*(1+$E733))</f>
        <v/>
      </c>
      <c r="O733" s="41">
        <f>N733*(1/(1+$G733))^(1+$E733)*(1+O$7)^$D733*(O715/N715)^$E733*((O715+O724)/(N715+N724))^($F733*(1+$E733))</f>
        <v/>
      </c>
      <c r="P733" s="41">
        <f>O733*(1/(1+$G733))^(1+$E733)*(1+P$7)^$D733*(P715/O715)^$E733*((P715+P724)/(O715+O724))^($F733*(1+$E733))</f>
        <v/>
      </c>
      <c r="Q733" s="41">
        <f>P733*(1/(1+$G733))^(1+$E733)*(1+Q$7)^$D733*(Q715/P715)^$E733*((Q715+Q724)/(P715+P724))^($F733*(1+$E733))</f>
        <v/>
      </c>
      <c r="R733" s="41">
        <f>Q733*(1/(1+$G733))^(1+$E733)*(1+R$7)^$D733*(R715/Q715)^$E733*((R715+R724)/(Q715+Q724))^($F733*(1+$E733))</f>
        <v/>
      </c>
      <c r="S733" s="41">
        <f>R733*(1/(1+$G733))^(1+$E733)*(1+S$7)^$D733*(S715/R715)^$E733*((S715+S724)/(R715+R724))^($F733*(1+$E733))</f>
        <v/>
      </c>
      <c r="T733" s="41">
        <f>S733*(1/(1+$G733))^(1+$E733)*(1+T$7)^$D733*(T715/S715)^$E733*((T715+T724)/(S715+S724))^($F733*(1+$E733))</f>
        <v/>
      </c>
      <c r="U733" s="41">
        <f>T733*(1/(1+$G733))^(1+$E733)*(1+U$7)^$D733*(U715/T715)^$E733*((U715+U724)/(T715+T724))^($F733*(1+$E733))</f>
        <v/>
      </c>
      <c r="V733" s="41">
        <f>U733*(1/(1+$G733))^(1+$E733)*(1+V$7)^$D733*(V715/U715)^$E733*((V715+V724)/(U715+U724))^($F733*(1+$E733))</f>
        <v/>
      </c>
      <c r="W733" s="41">
        <f>V733*(1/(1+$G733))^(1+$E733)*(1+W$7)^$D733*(W715/V715)^$E733*((W715+W724)/(V715+V724))^($F733*(1+$E733))</f>
        <v/>
      </c>
      <c r="X733" s="41">
        <f>W733*(1/(1+$G733))^(1+$E733)*(1+X$7)^$D733*(X715/W715)^$E733*((X715+X724)/(W715+W724))^($F733*(1+$E733))</f>
        <v/>
      </c>
      <c r="Y733" s="42">
        <f>FUELUSE(X733,Y715,X715,Y724,X724,Y$7,$D733,$E733,$F733,$G733)</f>
        <v/>
      </c>
      <c r="Z733" s="23">
        <f>LOWER(Settings!$C$4)&amp;".mit."&amp;$A733&amp;IF($C733="","","."&amp;$C733&amp;"."&amp;$B733)&amp;IF(INDEX(Variables!$D$5:$D$65,MATCH($A733,Variables!$A$5:$A$65,0))="","","."&amp;INDEX(Variables!$D$5:$D$65,MATCH($A733,Variables!$A$5:$A$65,0)))&amp;"."&amp;Z$5</f>
        <v/>
      </c>
      <c r="AA733" s="40">
        <f>INDEX(Inputs!$V$5:$V$132,MATCH($B733&amp;"|"&amp;$C733,Inputs!$A$5:$A$132,0))</f>
        <v/>
      </c>
      <c r="AB733" s="41">
        <f>AA733*(1/(1+$G733))^(1+$E733)*(1+AB$7)^$D733*(AB715/AA715)^$E733*((AB715+AB724)/(AA715+AA724))^($F733*(1+$E733))</f>
        <v/>
      </c>
      <c r="AC733" s="41">
        <f>AB733*(1/(1+$G733))^(1+$E733)*(1+AC$7)^$D733*(AC715/AB715)^$E733*((AC715+AC724)/(AB715+AB724))^($F733*(1+$E733))</f>
        <v/>
      </c>
      <c r="AD733" s="41">
        <f>AC733*(1/(1+$G733))^(1+$E733)*(1+AD$7)^$D733*(AD715/AC715)^$E733*((AD715+AD724)/(AC715+AC724))^($F733*(1+$E733))</f>
        <v/>
      </c>
      <c r="AE733" s="41">
        <f>AD733*(1/(1+$G733))^(1+$E733)*(1+AE$7)^$D733*(AE715/AD715)^$E733*((AE715+AE724)/(AD715+AD724))^($F733*(1+$E733))</f>
        <v/>
      </c>
      <c r="AF733" s="41">
        <f>AE733*(1/(1+$G733))^(1+$E733)*(1+AF$7)^$D733*(AF715/AE715)^$E733*((AF715+AF724)/(AE715+AE724))^($F733*(1+$E733))</f>
        <v/>
      </c>
      <c r="AG733" s="41">
        <f>AF733*(1/(1+$G733))^(1+$E733)*(1+AG$7)^$D733*(AG715/AF715)^$E733*((AG715+AG724)/(AF715+AF724))^($F733*(1+$E733))</f>
        <v/>
      </c>
      <c r="AH733" s="41">
        <f>AG733*(1/(1+$G733))^(1+$E733)*(1+AH$7)^$D733*(AH715/AG715)^$E733*((AH715+AH724)/(AG715+AG724))^($F733*(1+$E733))</f>
        <v/>
      </c>
      <c r="AI733" s="41">
        <f>AH733*(1/(1+$G733))^(1+$E733)*(1+AI$7)^$D733*(AI715/AH715)^$E733*((AI715+AI724)/(AH715+AH724))^($F733*(1+$E733))</f>
        <v/>
      </c>
      <c r="AJ733" s="41">
        <f>AI733*(1/(1+$G733))^(1+$E733)*(1+AJ$7)^$D733*(AJ715/AI715)^$E733*((AJ715+AJ724)/(AI715+AI724))^($F733*(1+$E733))</f>
        <v/>
      </c>
      <c r="AK733" s="41">
        <f>AJ733*(1/(1+$G733))^(1+$E733)*(1+AK$7)^$D733*(AK715/AJ715)^$E733*((AK715+AK724)/(AJ715+AJ724))^($F733*(1+$E733))</f>
        <v/>
      </c>
      <c r="AL733" s="41">
        <f>AK733*(1/(1+$G733))^(1+$E733)*(1+AL$7)^$D733*(AL715/AK715)^$E733*((AL715+AL724)/(AK715+AK724))^($F733*(1+$E733))</f>
        <v/>
      </c>
      <c r="AM733" s="41">
        <f>AL733*(1/(1+$G733))^(1+$E733)*(1+AM$7)^$D733*(AM715/AL715)^$E733*((AM715+AM724)/(AL715+AL724))^($F733*(1+$E733))</f>
        <v/>
      </c>
      <c r="AN733" s="42">
        <f>FUELUSE(AM733,AN715,AM715,AN724,AM724,AN$7,$D733,$E733,$F733,$G733)</f>
        <v/>
      </c>
    </row>
    <row r="734" hidden="1" outlineLevel="2">
      <c r="A734" s="5" t="inlineStr">
        <is>
          <t>ener</t>
        </is>
      </c>
      <c r="B734" s="5" t="inlineStr">
        <is>
          <t>gso</t>
        </is>
      </c>
      <c r="C734" s="5" t="inlineStr">
        <is>
          <t>mch</t>
        </is>
      </c>
      <c r="D734" s="36">
        <f>INDEX(Inputs!$N$5:$N$132,MATCH($B734&amp;"|"&amp;$C734,Inputs!$A$5:$A$132,0))</f>
        <v/>
      </c>
      <c r="E734" s="36">
        <f>INDEX(Inputs!$O$5:$O$132,MATCH($B734&amp;"|"&amp;$C734,Inputs!$A$5:$A$132,0))</f>
        <v/>
      </c>
      <c r="F734" s="36">
        <f>INDEX(Inputs!$P$5:$P$132,MATCH($B734&amp;"|"&amp;$C734,Inputs!$A$5:$A$132,0))</f>
        <v/>
      </c>
      <c r="G734" s="36">
        <f>INDEX(Inputs!$Q$5:$Q$132,MATCH($B734&amp;"|"&amp;$C734,Inputs!$A$5:$A$132,0))</f>
        <v/>
      </c>
      <c r="H734" s="5">
        <f>INDEX(Variables!$B$5:$B$65,MATCH($A734,Variables!$A$5:$A$65,0))&amp;IF($C734="",""," | "&amp;INDEX(Mapping!$B$5:$B$25,MATCH($C734,Mapping!$A$5:$A$25,0))&amp;" | "&amp;INDEX(Mapping!$B$29:$B$38,MATCH($B734,Mapping!$A$29:$A$38,0)))</f>
        <v/>
      </c>
      <c r="I734" s="5">
        <f>INDEX(Variables!$C$5:$C$65,MATCH($A734,Variables!$A$5:$A$65,0))</f>
        <v/>
      </c>
      <c r="J734" s="5">
        <f>INDEX(Variables!$E$5:$E$65,MATCH($A734,Variables!$A$5:$A$65,0))</f>
        <v/>
      </c>
      <c r="K734" s="23">
        <f>LOWER(Settings!$C$4)&amp;".mit."&amp;$A734&amp;IF($C734="","","."&amp;$C734&amp;"."&amp;$B734)&amp;IF(INDEX(Variables!$D$5:$D$65,MATCH($A734,Variables!$A$5:$A$65,0))="","","."&amp;INDEX(Variables!$D$5:$D$65,MATCH($A734,Variables!$A$5:$A$65,0)))&amp;"."&amp;K$5</f>
        <v/>
      </c>
      <c r="L734" s="40">
        <f>INDEX(Inputs!$V$5:$V$132,MATCH($B734&amp;"|"&amp;$C734,Inputs!$A$5:$A$132,0))</f>
        <v/>
      </c>
      <c r="M734" s="41">
        <f>L734*(1/(1+$G734))^(1+$E734)*(1+M$7)^$D734*(M716/L716)^$E734*((M716+M725)/(L716+L725))^($F734*(1+$E734))</f>
        <v/>
      </c>
      <c r="N734" s="41">
        <f>M734*(1/(1+$G734))^(1+$E734)*(1+N$7)^$D734*(N716/M716)^$E734*((N716+N725)/(M716+M725))^($F734*(1+$E734))</f>
        <v/>
      </c>
      <c r="O734" s="41">
        <f>N734*(1/(1+$G734))^(1+$E734)*(1+O$7)^$D734*(O716/N716)^$E734*((O716+O725)/(N716+N725))^($F734*(1+$E734))</f>
        <v/>
      </c>
      <c r="P734" s="41">
        <f>O734*(1/(1+$G734))^(1+$E734)*(1+P$7)^$D734*(P716/O716)^$E734*((P716+P725)/(O716+O725))^($F734*(1+$E734))</f>
        <v/>
      </c>
      <c r="Q734" s="41">
        <f>P734*(1/(1+$G734))^(1+$E734)*(1+Q$7)^$D734*(Q716/P716)^$E734*((Q716+Q725)/(P716+P725))^($F734*(1+$E734))</f>
        <v/>
      </c>
      <c r="R734" s="41">
        <f>Q734*(1/(1+$G734))^(1+$E734)*(1+R$7)^$D734*(R716/Q716)^$E734*((R716+R725)/(Q716+Q725))^($F734*(1+$E734))</f>
        <v/>
      </c>
      <c r="S734" s="41">
        <f>R734*(1/(1+$G734))^(1+$E734)*(1+S$7)^$D734*(S716/R716)^$E734*((S716+S725)/(R716+R725))^($F734*(1+$E734))</f>
        <v/>
      </c>
      <c r="T734" s="41">
        <f>S734*(1/(1+$G734))^(1+$E734)*(1+T$7)^$D734*(T716/S716)^$E734*((T716+T725)/(S716+S725))^($F734*(1+$E734))</f>
        <v/>
      </c>
      <c r="U734" s="41">
        <f>T734*(1/(1+$G734))^(1+$E734)*(1+U$7)^$D734*(U716/T716)^$E734*((U716+U725)/(T716+T725))^($F734*(1+$E734))</f>
        <v/>
      </c>
      <c r="V734" s="41">
        <f>U734*(1/(1+$G734))^(1+$E734)*(1+V$7)^$D734*(V716/U716)^$E734*((V716+V725)/(U716+U725))^($F734*(1+$E734))</f>
        <v/>
      </c>
      <c r="W734" s="41">
        <f>V734*(1/(1+$G734))^(1+$E734)*(1+W$7)^$D734*(W716/V716)^$E734*((W716+W725)/(V716+V725))^($F734*(1+$E734))</f>
        <v/>
      </c>
      <c r="X734" s="41">
        <f>W734*(1/(1+$G734))^(1+$E734)*(1+X$7)^$D734*(X716/W716)^$E734*((X716+X725)/(W716+W725))^($F734*(1+$E734))</f>
        <v/>
      </c>
      <c r="Y734" s="42">
        <f>FUELUSE(X734,Y716,X716,Y725,X725,Y$7,$D734,$E734,$F734,$G734)</f>
        <v/>
      </c>
      <c r="Z734" s="23">
        <f>LOWER(Settings!$C$4)&amp;".mit."&amp;$A734&amp;IF($C734="","","."&amp;$C734&amp;"."&amp;$B734)&amp;IF(INDEX(Variables!$D$5:$D$65,MATCH($A734,Variables!$A$5:$A$65,0))="","","."&amp;INDEX(Variables!$D$5:$D$65,MATCH($A734,Variables!$A$5:$A$65,0)))&amp;"."&amp;Z$5</f>
        <v/>
      </c>
      <c r="AA734" s="40">
        <f>INDEX(Inputs!$V$5:$V$132,MATCH($B734&amp;"|"&amp;$C734,Inputs!$A$5:$A$132,0))</f>
        <v/>
      </c>
      <c r="AB734" s="41">
        <f>AA734*(1/(1+$G734))^(1+$E734)*(1+AB$7)^$D734*(AB716/AA716)^$E734*((AB716+AB725)/(AA716+AA725))^($F734*(1+$E734))</f>
        <v/>
      </c>
      <c r="AC734" s="41">
        <f>AB734*(1/(1+$G734))^(1+$E734)*(1+AC$7)^$D734*(AC716/AB716)^$E734*((AC716+AC725)/(AB716+AB725))^($F734*(1+$E734))</f>
        <v/>
      </c>
      <c r="AD734" s="41">
        <f>AC734*(1/(1+$G734))^(1+$E734)*(1+AD$7)^$D734*(AD716/AC716)^$E734*((AD716+AD725)/(AC716+AC725))^($F734*(1+$E734))</f>
        <v/>
      </c>
      <c r="AE734" s="41">
        <f>AD734*(1/(1+$G734))^(1+$E734)*(1+AE$7)^$D734*(AE716/AD716)^$E734*((AE716+AE725)/(AD716+AD725))^($F734*(1+$E734))</f>
        <v/>
      </c>
      <c r="AF734" s="41">
        <f>AE734*(1/(1+$G734))^(1+$E734)*(1+AF$7)^$D734*(AF716/AE716)^$E734*((AF716+AF725)/(AE716+AE725))^($F734*(1+$E734))</f>
        <v/>
      </c>
      <c r="AG734" s="41">
        <f>AF734*(1/(1+$G734))^(1+$E734)*(1+AG$7)^$D734*(AG716/AF716)^$E734*((AG716+AG725)/(AF716+AF725))^($F734*(1+$E734))</f>
        <v/>
      </c>
      <c r="AH734" s="41">
        <f>AG734*(1/(1+$G734))^(1+$E734)*(1+AH$7)^$D734*(AH716/AG716)^$E734*((AH716+AH725)/(AG716+AG725))^($F734*(1+$E734))</f>
        <v/>
      </c>
      <c r="AI734" s="41">
        <f>AH734*(1/(1+$G734))^(1+$E734)*(1+AI$7)^$D734*(AI716/AH716)^$E734*((AI716+AI725)/(AH716+AH725))^($F734*(1+$E734))</f>
        <v/>
      </c>
      <c r="AJ734" s="41">
        <f>AI734*(1/(1+$G734))^(1+$E734)*(1+AJ$7)^$D734*(AJ716/AI716)^$E734*((AJ716+AJ725)/(AI716+AI725))^($F734*(1+$E734))</f>
        <v/>
      </c>
      <c r="AK734" s="41">
        <f>AJ734*(1/(1+$G734))^(1+$E734)*(1+AK$7)^$D734*(AK716/AJ716)^$E734*((AK716+AK725)/(AJ716+AJ725))^($F734*(1+$E734))</f>
        <v/>
      </c>
      <c r="AL734" s="41">
        <f>AK734*(1/(1+$G734))^(1+$E734)*(1+AL$7)^$D734*(AL716/AK716)^$E734*((AL716+AL725)/(AK716+AK725))^($F734*(1+$E734))</f>
        <v/>
      </c>
      <c r="AM734" s="41">
        <f>AL734*(1/(1+$G734))^(1+$E734)*(1+AM$7)^$D734*(AM716/AL716)^$E734*((AM716+AM725)/(AL716+AL725))^($F734*(1+$E734))</f>
        <v/>
      </c>
      <c r="AN734" s="42">
        <f>FUELUSE(AM734,AN716,AM716,AN725,AM725,AN$7,$D734,$E734,$F734,$G734)</f>
        <v/>
      </c>
    </row>
    <row r="735" hidden="1" outlineLevel="2">
      <c r="A735" s="5" t="inlineStr">
        <is>
          <t>ener</t>
        </is>
      </c>
      <c r="B735" s="5" t="inlineStr">
        <is>
          <t>die</t>
        </is>
      </c>
      <c r="C735" s="5" t="inlineStr">
        <is>
          <t>mch</t>
        </is>
      </c>
      <c r="D735" s="36">
        <f>INDEX(Inputs!$N$5:$N$132,MATCH($B735&amp;"|"&amp;$C735,Inputs!$A$5:$A$132,0))</f>
        <v/>
      </c>
      <c r="E735" s="36">
        <f>INDEX(Inputs!$O$5:$O$132,MATCH($B735&amp;"|"&amp;$C735,Inputs!$A$5:$A$132,0))</f>
        <v/>
      </c>
      <c r="F735" s="36">
        <f>INDEX(Inputs!$P$5:$P$132,MATCH($B735&amp;"|"&amp;$C735,Inputs!$A$5:$A$132,0))</f>
        <v/>
      </c>
      <c r="G735" s="36">
        <f>INDEX(Inputs!$Q$5:$Q$132,MATCH($B735&amp;"|"&amp;$C735,Inputs!$A$5:$A$132,0))</f>
        <v/>
      </c>
      <c r="H735" s="5">
        <f>INDEX(Variables!$B$5:$B$65,MATCH($A735,Variables!$A$5:$A$65,0))&amp;IF($C735="",""," | "&amp;INDEX(Mapping!$B$5:$B$25,MATCH($C735,Mapping!$A$5:$A$25,0))&amp;" | "&amp;INDEX(Mapping!$B$29:$B$38,MATCH($B735,Mapping!$A$29:$A$38,0)))</f>
        <v/>
      </c>
      <c r="I735" s="5">
        <f>INDEX(Variables!$C$5:$C$65,MATCH($A735,Variables!$A$5:$A$65,0))</f>
        <v/>
      </c>
      <c r="J735" s="5">
        <f>INDEX(Variables!$E$5:$E$65,MATCH($A735,Variables!$A$5:$A$65,0))</f>
        <v/>
      </c>
      <c r="K735" s="23">
        <f>LOWER(Settings!$C$4)&amp;".mit."&amp;$A735&amp;IF($C735="","","."&amp;$C735&amp;"."&amp;$B735)&amp;IF(INDEX(Variables!$D$5:$D$65,MATCH($A735,Variables!$A$5:$A$65,0))="","","."&amp;INDEX(Variables!$D$5:$D$65,MATCH($A735,Variables!$A$5:$A$65,0)))&amp;"."&amp;K$5</f>
        <v/>
      </c>
      <c r="L735" s="40">
        <f>INDEX(Inputs!$V$5:$V$132,MATCH($B735&amp;"|"&amp;$C735,Inputs!$A$5:$A$132,0))</f>
        <v/>
      </c>
      <c r="M735" s="41">
        <f>L735*(1/(1+$G735))^(1+$E735)*(1+M$7)^$D735*(M717/L717)^$E735*((M717+M726)/(L717+L726))^($F735*(1+$E735))</f>
        <v/>
      </c>
      <c r="N735" s="41">
        <f>M735*(1/(1+$G735))^(1+$E735)*(1+N$7)^$D735*(N717/M717)^$E735*((N717+N726)/(M717+M726))^($F735*(1+$E735))</f>
        <v/>
      </c>
      <c r="O735" s="41">
        <f>N735*(1/(1+$G735))^(1+$E735)*(1+O$7)^$D735*(O717/N717)^$E735*((O717+O726)/(N717+N726))^($F735*(1+$E735))</f>
        <v/>
      </c>
      <c r="P735" s="41">
        <f>O735*(1/(1+$G735))^(1+$E735)*(1+P$7)^$D735*(P717/O717)^$E735*((P717+P726)/(O717+O726))^($F735*(1+$E735))</f>
        <v/>
      </c>
      <c r="Q735" s="41">
        <f>P735*(1/(1+$G735))^(1+$E735)*(1+Q$7)^$D735*(Q717/P717)^$E735*((Q717+Q726)/(P717+P726))^($F735*(1+$E735))</f>
        <v/>
      </c>
      <c r="R735" s="41">
        <f>Q735*(1/(1+$G735))^(1+$E735)*(1+R$7)^$D735*(R717/Q717)^$E735*((R717+R726)/(Q717+Q726))^($F735*(1+$E735))</f>
        <v/>
      </c>
      <c r="S735" s="41">
        <f>R735*(1/(1+$G735))^(1+$E735)*(1+S$7)^$D735*(S717/R717)^$E735*((S717+S726)/(R717+R726))^($F735*(1+$E735))</f>
        <v/>
      </c>
      <c r="T735" s="41">
        <f>S735*(1/(1+$G735))^(1+$E735)*(1+T$7)^$D735*(T717/S717)^$E735*((T717+T726)/(S717+S726))^($F735*(1+$E735))</f>
        <v/>
      </c>
      <c r="U735" s="41">
        <f>T735*(1/(1+$G735))^(1+$E735)*(1+U$7)^$D735*(U717/T717)^$E735*((U717+U726)/(T717+T726))^($F735*(1+$E735))</f>
        <v/>
      </c>
      <c r="V735" s="41">
        <f>U735*(1/(1+$G735))^(1+$E735)*(1+V$7)^$D735*(V717/U717)^$E735*((V717+V726)/(U717+U726))^($F735*(1+$E735))</f>
        <v/>
      </c>
      <c r="W735" s="41">
        <f>V735*(1/(1+$G735))^(1+$E735)*(1+W$7)^$D735*(W717/V717)^$E735*((W717+W726)/(V717+V726))^($F735*(1+$E735))</f>
        <v/>
      </c>
      <c r="X735" s="41">
        <f>W735*(1/(1+$G735))^(1+$E735)*(1+X$7)^$D735*(X717/W717)^$E735*((X717+X726)/(W717+W726))^($F735*(1+$E735))</f>
        <v/>
      </c>
      <c r="Y735" s="42">
        <f>FUELUSE(X735,Y717,X717,Y726,X726,Y$7,$D735,$E735,$F735,$G735)</f>
        <v/>
      </c>
      <c r="Z735" s="23">
        <f>LOWER(Settings!$C$4)&amp;".mit."&amp;$A735&amp;IF($C735="","","."&amp;$C735&amp;"."&amp;$B735)&amp;IF(INDEX(Variables!$D$5:$D$65,MATCH($A735,Variables!$A$5:$A$65,0))="","","."&amp;INDEX(Variables!$D$5:$D$65,MATCH($A735,Variables!$A$5:$A$65,0)))&amp;"."&amp;Z$5</f>
        <v/>
      </c>
      <c r="AA735" s="40">
        <f>INDEX(Inputs!$V$5:$V$132,MATCH($B735&amp;"|"&amp;$C735,Inputs!$A$5:$A$132,0))</f>
        <v/>
      </c>
      <c r="AB735" s="41">
        <f>AA735*(1/(1+$G735))^(1+$E735)*(1+AB$7)^$D735*(AB717/AA717)^$E735*((AB717+AB726)/(AA717+AA726))^($F735*(1+$E735))</f>
        <v/>
      </c>
      <c r="AC735" s="41">
        <f>AB735*(1/(1+$G735))^(1+$E735)*(1+AC$7)^$D735*(AC717/AB717)^$E735*((AC717+AC726)/(AB717+AB726))^($F735*(1+$E735))</f>
        <v/>
      </c>
      <c r="AD735" s="41">
        <f>AC735*(1/(1+$G735))^(1+$E735)*(1+AD$7)^$D735*(AD717/AC717)^$E735*((AD717+AD726)/(AC717+AC726))^($F735*(1+$E735))</f>
        <v/>
      </c>
      <c r="AE735" s="41">
        <f>AD735*(1/(1+$G735))^(1+$E735)*(1+AE$7)^$D735*(AE717/AD717)^$E735*((AE717+AE726)/(AD717+AD726))^($F735*(1+$E735))</f>
        <v/>
      </c>
      <c r="AF735" s="41">
        <f>AE735*(1/(1+$G735))^(1+$E735)*(1+AF$7)^$D735*(AF717/AE717)^$E735*((AF717+AF726)/(AE717+AE726))^($F735*(1+$E735))</f>
        <v/>
      </c>
      <c r="AG735" s="41">
        <f>AF735*(1/(1+$G735))^(1+$E735)*(1+AG$7)^$D735*(AG717/AF717)^$E735*((AG717+AG726)/(AF717+AF726))^($F735*(1+$E735))</f>
        <v/>
      </c>
      <c r="AH735" s="41">
        <f>AG735*(1/(1+$G735))^(1+$E735)*(1+AH$7)^$D735*(AH717/AG717)^$E735*((AH717+AH726)/(AG717+AG726))^($F735*(1+$E735))</f>
        <v/>
      </c>
      <c r="AI735" s="41">
        <f>AH735*(1/(1+$G735))^(1+$E735)*(1+AI$7)^$D735*(AI717/AH717)^$E735*((AI717+AI726)/(AH717+AH726))^($F735*(1+$E735))</f>
        <v/>
      </c>
      <c r="AJ735" s="41">
        <f>AI735*(1/(1+$G735))^(1+$E735)*(1+AJ$7)^$D735*(AJ717/AI717)^$E735*((AJ717+AJ726)/(AI717+AI726))^($F735*(1+$E735))</f>
        <v/>
      </c>
      <c r="AK735" s="41">
        <f>AJ735*(1/(1+$G735))^(1+$E735)*(1+AK$7)^$D735*(AK717/AJ717)^$E735*((AK717+AK726)/(AJ717+AJ726))^($F735*(1+$E735))</f>
        <v/>
      </c>
      <c r="AL735" s="41">
        <f>AK735*(1/(1+$G735))^(1+$E735)*(1+AL$7)^$D735*(AL717/AK717)^$E735*((AL717+AL726)/(AK717+AK726))^($F735*(1+$E735))</f>
        <v/>
      </c>
      <c r="AM735" s="41">
        <f>AL735*(1/(1+$G735))^(1+$E735)*(1+AM$7)^$D735*(AM717/AL717)^$E735*((AM717+AM726)/(AL717+AL726))^($F735*(1+$E735))</f>
        <v/>
      </c>
      <c r="AN735" s="42">
        <f>FUELUSE(AM735,AN717,AM717,AN726,AM726,AN$7,$D735,$E735,$F735,$G735)</f>
        <v/>
      </c>
    </row>
    <row r="736" hidden="1" outlineLevel="2">
      <c r="A736" s="5" t="inlineStr">
        <is>
          <t>ener</t>
        </is>
      </c>
      <c r="B736" s="5" t="inlineStr">
        <is>
          <t>lpg</t>
        </is>
      </c>
      <c r="C736" s="5" t="inlineStr">
        <is>
          <t>mch</t>
        </is>
      </c>
      <c r="D736" s="36">
        <f>INDEX(Inputs!$N$5:$N$132,MATCH($B736&amp;"|"&amp;$C736,Inputs!$A$5:$A$132,0))</f>
        <v/>
      </c>
      <c r="E736" s="36">
        <f>INDEX(Inputs!$O$5:$O$132,MATCH($B736&amp;"|"&amp;$C736,Inputs!$A$5:$A$132,0))</f>
        <v/>
      </c>
      <c r="F736" s="36">
        <f>INDEX(Inputs!$P$5:$P$132,MATCH($B736&amp;"|"&amp;$C736,Inputs!$A$5:$A$132,0))</f>
        <v/>
      </c>
      <c r="G736" s="36">
        <f>INDEX(Inputs!$Q$5:$Q$132,MATCH($B736&amp;"|"&amp;$C736,Inputs!$A$5:$A$132,0))</f>
        <v/>
      </c>
      <c r="H736" s="5">
        <f>INDEX(Variables!$B$5:$B$65,MATCH($A736,Variables!$A$5:$A$65,0))&amp;IF($C736="",""," | "&amp;INDEX(Mapping!$B$5:$B$25,MATCH($C736,Mapping!$A$5:$A$25,0))&amp;" | "&amp;INDEX(Mapping!$B$29:$B$38,MATCH($B736,Mapping!$A$29:$A$38,0)))</f>
        <v/>
      </c>
      <c r="I736" s="5">
        <f>INDEX(Variables!$C$5:$C$65,MATCH($A736,Variables!$A$5:$A$65,0))</f>
        <v/>
      </c>
      <c r="J736" s="5">
        <f>INDEX(Variables!$E$5:$E$65,MATCH($A736,Variables!$A$5:$A$65,0))</f>
        <v/>
      </c>
      <c r="K736" s="23">
        <f>LOWER(Settings!$C$4)&amp;".mit."&amp;$A736&amp;IF($C736="","","."&amp;$C736&amp;"."&amp;$B736)&amp;IF(INDEX(Variables!$D$5:$D$65,MATCH($A736,Variables!$A$5:$A$65,0))="","","."&amp;INDEX(Variables!$D$5:$D$65,MATCH($A736,Variables!$A$5:$A$65,0)))&amp;"."&amp;K$5</f>
        <v/>
      </c>
      <c r="L736" s="40">
        <f>INDEX(Inputs!$V$5:$V$132,MATCH($B736&amp;"|"&amp;$C736,Inputs!$A$5:$A$132,0))</f>
        <v/>
      </c>
      <c r="M736" s="41">
        <f>L736*(1/(1+$G736))^(1+$E736)*(1+M$7)^$D736*(M718/L718)^$E736*((M718+M727)/(L718+L727))^($F736*(1+$E736))</f>
        <v/>
      </c>
      <c r="N736" s="41">
        <f>M736*(1/(1+$G736))^(1+$E736)*(1+N$7)^$D736*(N718/M718)^$E736*((N718+N727)/(M718+M727))^($F736*(1+$E736))</f>
        <v/>
      </c>
      <c r="O736" s="41">
        <f>N736*(1/(1+$G736))^(1+$E736)*(1+O$7)^$D736*(O718/N718)^$E736*((O718+O727)/(N718+N727))^($F736*(1+$E736))</f>
        <v/>
      </c>
      <c r="P736" s="41">
        <f>O736*(1/(1+$G736))^(1+$E736)*(1+P$7)^$D736*(P718/O718)^$E736*((P718+P727)/(O718+O727))^($F736*(1+$E736))</f>
        <v/>
      </c>
      <c r="Q736" s="41">
        <f>P736*(1/(1+$G736))^(1+$E736)*(1+Q$7)^$D736*(Q718/P718)^$E736*((Q718+Q727)/(P718+P727))^($F736*(1+$E736))</f>
        <v/>
      </c>
      <c r="R736" s="41">
        <f>Q736*(1/(1+$G736))^(1+$E736)*(1+R$7)^$D736*(R718/Q718)^$E736*((R718+R727)/(Q718+Q727))^($F736*(1+$E736))</f>
        <v/>
      </c>
      <c r="S736" s="41">
        <f>R736*(1/(1+$G736))^(1+$E736)*(1+S$7)^$D736*(S718/R718)^$E736*((S718+S727)/(R718+R727))^($F736*(1+$E736))</f>
        <v/>
      </c>
      <c r="T736" s="41">
        <f>S736*(1/(1+$G736))^(1+$E736)*(1+T$7)^$D736*(T718/S718)^$E736*((T718+T727)/(S718+S727))^($F736*(1+$E736))</f>
        <v/>
      </c>
      <c r="U736" s="41">
        <f>T736*(1/(1+$G736))^(1+$E736)*(1+U$7)^$D736*(U718/T718)^$E736*((U718+U727)/(T718+T727))^($F736*(1+$E736))</f>
        <v/>
      </c>
      <c r="V736" s="41">
        <f>U736*(1/(1+$G736))^(1+$E736)*(1+V$7)^$D736*(V718/U718)^$E736*((V718+V727)/(U718+U727))^($F736*(1+$E736))</f>
        <v/>
      </c>
      <c r="W736" s="41">
        <f>V736*(1/(1+$G736))^(1+$E736)*(1+W$7)^$D736*(W718/V718)^$E736*((W718+W727)/(V718+V727))^($F736*(1+$E736))</f>
        <v/>
      </c>
      <c r="X736" s="41">
        <f>W736*(1/(1+$G736))^(1+$E736)*(1+X$7)^$D736*(X718/W718)^$E736*((X718+X727)/(W718+W727))^($F736*(1+$E736))</f>
        <v/>
      </c>
      <c r="Y736" s="42">
        <f>FUELUSE(X736,Y718,X718,Y727,X727,Y$7,$D736,$E736,$F736,$G736)</f>
        <v/>
      </c>
      <c r="Z736" s="23">
        <f>LOWER(Settings!$C$4)&amp;".mit."&amp;$A736&amp;IF($C736="","","."&amp;$C736&amp;"."&amp;$B736)&amp;IF(INDEX(Variables!$D$5:$D$65,MATCH($A736,Variables!$A$5:$A$65,0))="","","."&amp;INDEX(Variables!$D$5:$D$65,MATCH($A736,Variables!$A$5:$A$65,0)))&amp;"."&amp;Z$5</f>
        <v/>
      </c>
      <c r="AA736" s="40">
        <f>INDEX(Inputs!$V$5:$V$132,MATCH($B736&amp;"|"&amp;$C736,Inputs!$A$5:$A$132,0))</f>
        <v/>
      </c>
      <c r="AB736" s="41">
        <f>AA736*(1/(1+$G736))^(1+$E736)*(1+AB$7)^$D736*(AB718/AA718)^$E736*((AB718+AB727)/(AA718+AA727))^($F736*(1+$E736))</f>
        <v/>
      </c>
      <c r="AC736" s="41">
        <f>AB736*(1/(1+$G736))^(1+$E736)*(1+AC$7)^$D736*(AC718/AB718)^$E736*((AC718+AC727)/(AB718+AB727))^($F736*(1+$E736))</f>
        <v/>
      </c>
      <c r="AD736" s="41">
        <f>AC736*(1/(1+$G736))^(1+$E736)*(1+AD$7)^$D736*(AD718/AC718)^$E736*((AD718+AD727)/(AC718+AC727))^($F736*(1+$E736))</f>
        <v/>
      </c>
      <c r="AE736" s="41">
        <f>AD736*(1/(1+$G736))^(1+$E736)*(1+AE$7)^$D736*(AE718/AD718)^$E736*((AE718+AE727)/(AD718+AD727))^($F736*(1+$E736))</f>
        <v/>
      </c>
      <c r="AF736" s="41">
        <f>AE736*(1/(1+$G736))^(1+$E736)*(1+AF$7)^$D736*(AF718/AE718)^$E736*((AF718+AF727)/(AE718+AE727))^($F736*(1+$E736))</f>
        <v/>
      </c>
      <c r="AG736" s="41">
        <f>AF736*(1/(1+$G736))^(1+$E736)*(1+AG$7)^$D736*(AG718/AF718)^$E736*((AG718+AG727)/(AF718+AF727))^($F736*(1+$E736))</f>
        <v/>
      </c>
      <c r="AH736" s="41">
        <f>AG736*(1/(1+$G736))^(1+$E736)*(1+AH$7)^$D736*(AH718/AG718)^$E736*((AH718+AH727)/(AG718+AG727))^($F736*(1+$E736))</f>
        <v/>
      </c>
      <c r="AI736" s="41">
        <f>AH736*(1/(1+$G736))^(1+$E736)*(1+AI$7)^$D736*(AI718/AH718)^$E736*((AI718+AI727)/(AH718+AH727))^($F736*(1+$E736))</f>
        <v/>
      </c>
      <c r="AJ736" s="41">
        <f>AI736*(1/(1+$G736))^(1+$E736)*(1+AJ$7)^$D736*(AJ718/AI718)^$E736*((AJ718+AJ727)/(AI718+AI727))^($F736*(1+$E736))</f>
        <v/>
      </c>
      <c r="AK736" s="41">
        <f>AJ736*(1/(1+$G736))^(1+$E736)*(1+AK$7)^$D736*(AK718/AJ718)^$E736*((AK718+AK727)/(AJ718+AJ727))^($F736*(1+$E736))</f>
        <v/>
      </c>
      <c r="AL736" s="41">
        <f>AK736*(1/(1+$G736))^(1+$E736)*(1+AL$7)^$D736*(AL718/AK718)^$E736*((AL718+AL727)/(AK718+AK727))^($F736*(1+$E736))</f>
        <v/>
      </c>
      <c r="AM736" s="41">
        <f>AL736*(1/(1+$G736))^(1+$E736)*(1+AM$7)^$D736*(AM718/AL718)^$E736*((AM718+AM727)/(AL718+AL727))^($F736*(1+$E736))</f>
        <v/>
      </c>
      <c r="AN736" s="42">
        <f>FUELUSE(AM736,AN718,AM718,AN727,AM727,AN$7,$D736,$E736,$F736,$G736)</f>
        <v/>
      </c>
    </row>
    <row r="737" hidden="1" outlineLevel="2">
      <c r="A737" s="5" t="inlineStr">
        <is>
          <t>ener</t>
        </is>
      </c>
      <c r="B737" s="5" t="inlineStr">
        <is>
          <t>ker</t>
        </is>
      </c>
      <c r="C737" s="5" t="inlineStr">
        <is>
          <t>mch</t>
        </is>
      </c>
      <c r="D737" s="36">
        <f>INDEX(Inputs!$N$5:$N$132,MATCH($B737&amp;"|"&amp;$C737,Inputs!$A$5:$A$132,0))</f>
        <v/>
      </c>
      <c r="E737" s="36">
        <f>INDEX(Inputs!$O$5:$O$132,MATCH($B737&amp;"|"&amp;$C737,Inputs!$A$5:$A$132,0))</f>
        <v/>
      </c>
      <c r="F737" s="36">
        <f>INDEX(Inputs!$P$5:$P$132,MATCH($B737&amp;"|"&amp;$C737,Inputs!$A$5:$A$132,0))</f>
        <v/>
      </c>
      <c r="G737" s="36">
        <f>INDEX(Inputs!$Q$5:$Q$132,MATCH($B737&amp;"|"&amp;$C737,Inputs!$A$5:$A$132,0))</f>
        <v/>
      </c>
      <c r="H737" s="5">
        <f>INDEX(Variables!$B$5:$B$65,MATCH($A737,Variables!$A$5:$A$65,0))&amp;IF($C737="",""," | "&amp;INDEX(Mapping!$B$5:$B$25,MATCH($C737,Mapping!$A$5:$A$25,0))&amp;" | "&amp;INDEX(Mapping!$B$29:$B$38,MATCH($B737,Mapping!$A$29:$A$38,0)))</f>
        <v/>
      </c>
      <c r="I737" s="5">
        <f>INDEX(Variables!$C$5:$C$65,MATCH($A737,Variables!$A$5:$A$65,0))</f>
        <v/>
      </c>
      <c r="J737" s="5">
        <f>INDEX(Variables!$E$5:$E$65,MATCH($A737,Variables!$A$5:$A$65,0))</f>
        <v/>
      </c>
      <c r="K737" s="23">
        <f>LOWER(Settings!$C$4)&amp;".mit."&amp;$A737&amp;IF($C737="","","."&amp;$C737&amp;"."&amp;$B737)&amp;IF(INDEX(Variables!$D$5:$D$65,MATCH($A737,Variables!$A$5:$A$65,0))="","","."&amp;INDEX(Variables!$D$5:$D$65,MATCH($A737,Variables!$A$5:$A$65,0)))&amp;"."&amp;K$5</f>
        <v/>
      </c>
      <c r="L737" s="40">
        <f>INDEX(Inputs!$V$5:$V$132,MATCH($B737&amp;"|"&amp;$C737,Inputs!$A$5:$A$132,0))</f>
        <v/>
      </c>
      <c r="M737" s="41">
        <f>L737*(1/(1+$G737))^(1+$E737)*(1+M$7)^$D737*(M719/L719)^$E737*((M719+M728)/(L719+L728))^($F737*(1+$E737))</f>
        <v/>
      </c>
      <c r="N737" s="41">
        <f>M737*(1/(1+$G737))^(1+$E737)*(1+N$7)^$D737*(N719/M719)^$E737*((N719+N728)/(M719+M728))^($F737*(1+$E737))</f>
        <v/>
      </c>
      <c r="O737" s="41">
        <f>N737*(1/(1+$G737))^(1+$E737)*(1+O$7)^$D737*(O719/N719)^$E737*((O719+O728)/(N719+N728))^($F737*(1+$E737))</f>
        <v/>
      </c>
      <c r="P737" s="41">
        <f>O737*(1/(1+$G737))^(1+$E737)*(1+P$7)^$D737*(P719/O719)^$E737*((P719+P728)/(O719+O728))^($F737*(1+$E737))</f>
        <v/>
      </c>
      <c r="Q737" s="41">
        <f>P737*(1/(1+$G737))^(1+$E737)*(1+Q$7)^$D737*(Q719/P719)^$E737*((Q719+Q728)/(P719+P728))^($F737*(1+$E737))</f>
        <v/>
      </c>
      <c r="R737" s="41">
        <f>Q737*(1/(1+$G737))^(1+$E737)*(1+R$7)^$D737*(R719/Q719)^$E737*((R719+R728)/(Q719+Q728))^($F737*(1+$E737))</f>
        <v/>
      </c>
      <c r="S737" s="41">
        <f>R737*(1/(1+$G737))^(1+$E737)*(1+S$7)^$D737*(S719/R719)^$E737*((S719+S728)/(R719+R728))^($F737*(1+$E737))</f>
        <v/>
      </c>
      <c r="T737" s="41">
        <f>S737*(1/(1+$G737))^(1+$E737)*(1+T$7)^$D737*(T719/S719)^$E737*((T719+T728)/(S719+S728))^($F737*(1+$E737))</f>
        <v/>
      </c>
      <c r="U737" s="41">
        <f>T737*(1/(1+$G737))^(1+$E737)*(1+U$7)^$D737*(U719/T719)^$E737*((U719+U728)/(T719+T728))^($F737*(1+$E737))</f>
        <v/>
      </c>
      <c r="V737" s="41">
        <f>U737*(1/(1+$G737))^(1+$E737)*(1+V$7)^$D737*(V719/U719)^$E737*((V719+V728)/(U719+U728))^($F737*(1+$E737))</f>
        <v/>
      </c>
      <c r="W737" s="41">
        <f>V737*(1/(1+$G737))^(1+$E737)*(1+W$7)^$D737*(W719/V719)^$E737*((W719+W728)/(V719+V728))^($F737*(1+$E737))</f>
        <v/>
      </c>
      <c r="X737" s="41">
        <f>W737*(1/(1+$G737))^(1+$E737)*(1+X$7)^$D737*(X719/W719)^$E737*((X719+X728)/(W719+W728))^($F737*(1+$E737))</f>
        <v/>
      </c>
      <c r="Y737" s="42">
        <f>FUELUSE(X737,Y719,X719,Y728,X728,Y$7,$D737,$E737,$F737,$G737)</f>
        <v/>
      </c>
      <c r="Z737" s="23">
        <f>LOWER(Settings!$C$4)&amp;".mit."&amp;$A737&amp;IF($C737="","","."&amp;$C737&amp;"."&amp;$B737)&amp;IF(INDEX(Variables!$D$5:$D$65,MATCH($A737,Variables!$A$5:$A$65,0))="","","."&amp;INDEX(Variables!$D$5:$D$65,MATCH($A737,Variables!$A$5:$A$65,0)))&amp;"."&amp;Z$5</f>
        <v/>
      </c>
      <c r="AA737" s="40">
        <f>INDEX(Inputs!$V$5:$V$132,MATCH($B737&amp;"|"&amp;$C737,Inputs!$A$5:$A$132,0))</f>
        <v/>
      </c>
      <c r="AB737" s="41">
        <f>AA737*(1/(1+$G737))^(1+$E737)*(1+AB$7)^$D737*(AB719/AA719)^$E737*((AB719+AB728)/(AA719+AA728))^($F737*(1+$E737))</f>
        <v/>
      </c>
      <c r="AC737" s="41">
        <f>AB737*(1/(1+$G737))^(1+$E737)*(1+AC$7)^$D737*(AC719/AB719)^$E737*((AC719+AC728)/(AB719+AB728))^($F737*(1+$E737))</f>
        <v/>
      </c>
      <c r="AD737" s="41">
        <f>AC737*(1/(1+$G737))^(1+$E737)*(1+AD$7)^$D737*(AD719/AC719)^$E737*((AD719+AD728)/(AC719+AC728))^($F737*(1+$E737))</f>
        <v/>
      </c>
      <c r="AE737" s="41">
        <f>AD737*(1/(1+$G737))^(1+$E737)*(1+AE$7)^$D737*(AE719/AD719)^$E737*((AE719+AE728)/(AD719+AD728))^($F737*(1+$E737))</f>
        <v/>
      </c>
      <c r="AF737" s="41">
        <f>AE737*(1/(1+$G737))^(1+$E737)*(1+AF$7)^$D737*(AF719/AE719)^$E737*((AF719+AF728)/(AE719+AE728))^($F737*(1+$E737))</f>
        <v/>
      </c>
      <c r="AG737" s="41">
        <f>AF737*(1/(1+$G737))^(1+$E737)*(1+AG$7)^$D737*(AG719/AF719)^$E737*((AG719+AG728)/(AF719+AF728))^($F737*(1+$E737))</f>
        <v/>
      </c>
      <c r="AH737" s="41">
        <f>AG737*(1/(1+$G737))^(1+$E737)*(1+AH$7)^$D737*(AH719/AG719)^$E737*((AH719+AH728)/(AG719+AG728))^($F737*(1+$E737))</f>
        <v/>
      </c>
      <c r="AI737" s="41">
        <f>AH737*(1/(1+$G737))^(1+$E737)*(1+AI$7)^$D737*(AI719/AH719)^$E737*((AI719+AI728)/(AH719+AH728))^($F737*(1+$E737))</f>
        <v/>
      </c>
      <c r="AJ737" s="41">
        <f>AI737*(1/(1+$G737))^(1+$E737)*(1+AJ$7)^$D737*(AJ719/AI719)^$E737*((AJ719+AJ728)/(AI719+AI728))^($F737*(1+$E737))</f>
        <v/>
      </c>
      <c r="AK737" s="41">
        <f>AJ737*(1/(1+$G737))^(1+$E737)*(1+AK$7)^$D737*(AK719/AJ719)^$E737*((AK719+AK728)/(AJ719+AJ728))^($F737*(1+$E737))</f>
        <v/>
      </c>
      <c r="AL737" s="41">
        <f>AK737*(1/(1+$G737))^(1+$E737)*(1+AL$7)^$D737*(AL719/AK719)^$E737*((AL719+AL728)/(AK719+AK728))^($F737*(1+$E737))</f>
        <v/>
      </c>
      <c r="AM737" s="41">
        <f>AL737*(1/(1+$G737))^(1+$E737)*(1+AM$7)^$D737*(AM719/AL719)^$E737*((AM719+AM728)/(AL719+AL728))^($F737*(1+$E737))</f>
        <v/>
      </c>
      <c r="AN737" s="42">
        <f>FUELUSE(AM737,AN719,AM719,AN728,AM728,AN$7,$D737,$E737,$F737,$G737)</f>
        <v/>
      </c>
    </row>
    <row r="738" hidden="1" outlineLevel="2">
      <c r="A738" s="5" t="inlineStr">
        <is>
          <t>ener</t>
        </is>
      </c>
      <c r="B738" s="5" t="inlineStr">
        <is>
          <t>oop</t>
        </is>
      </c>
      <c r="C738" s="5" t="inlineStr">
        <is>
          <t>mch</t>
        </is>
      </c>
      <c r="D738" s="36">
        <f>INDEX(Inputs!$N$5:$N$132,MATCH($B738&amp;"|"&amp;$C738,Inputs!$A$5:$A$132,0))</f>
        <v/>
      </c>
      <c r="E738" s="36">
        <f>INDEX(Inputs!$O$5:$O$132,MATCH($B738&amp;"|"&amp;$C738,Inputs!$A$5:$A$132,0))</f>
        <v/>
      </c>
      <c r="F738" s="36">
        <f>INDEX(Inputs!$P$5:$P$132,MATCH($B738&amp;"|"&amp;$C738,Inputs!$A$5:$A$132,0))</f>
        <v/>
      </c>
      <c r="G738" s="36">
        <f>INDEX(Inputs!$Q$5:$Q$132,MATCH($B738&amp;"|"&amp;$C738,Inputs!$A$5:$A$132,0))</f>
        <v/>
      </c>
      <c r="H738" s="5">
        <f>INDEX(Variables!$B$5:$B$65,MATCH($A738,Variables!$A$5:$A$65,0))&amp;IF($C738="",""," | "&amp;INDEX(Mapping!$B$5:$B$25,MATCH($C738,Mapping!$A$5:$A$25,0))&amp;" | "&amp;INDEX(Mapping!$B$29:$B$38,MATCH($B738,Mapping!$A$29:$A$38,0)))</f>
        <v/>
      </c>
      <c r="I738" s="5">
        <f>INDEX(Variables!$C$5:$C$65,MATCH($A738,Variables!$A$5:$A$65,0))</f>
        <v/>
      </c>
      <c r="J738" s="5">
        <f>INDEX(Variables!$E$5:$E$65,MATCH($A738,Variables!$A$5:$A$65,0))</f>
        <v/>
      </c>
      <c r="K738" s="23">
        <f>LOWER(Settings!$C$4)&amp;".mit."&amp;$A738&amp;IF($C738="","","."&amp;$C738&amp;"."&amp;$B738)&amp;IF(INDEX(Variables!$D$5:$D$65,MATCH($A738,Variables!$A$5:$A$65,0))="","","."&amp;INDEX(Variables!$D$5:$D$65,MATCH($A738,Variables!$A$5:$A$65,0)))&amp;"."&amp;K$5</f>
        <v/>
      </c>
      <c r="L738" s="40">
        <f>INDEX(Inputs!$V$5:$V$132,MATCH($B738&amp;"|"&amp;$C738,Inputs!$A$5:$A$132,0))</f>
        <v/>
      </c>
      <c r="M738" s="41">
        <f>L738*(1/(1+$G738))^(1+$E738)*(1+M$7)^$D738*(M720/L720)^$E738*((M720+M729)/(L720+L729))^($F738*(1+$E738))</f>
        <v/>
      </c>
      <c r="N738" s="41">
        <f>M738*(1/(1+$G738))^(1+$E738)*(1+N$7)^$D738*(N720/M720)^$E738*((N720+N729)/(M720+M729))^($F738*(1+$E738))</f>
        <v/>
      </c>
      <c r="O738" s="41">
        <f>N738*(1/(1+$G738))^(1+$E738)*(1+O$7)^$D738*(O720/N720)^$E738*((O720+O729)/(N720+N729))^($F738*(1+$E738))</f>
        <v/>
      </c>
      <c r="P738" s="41">
        <f>O738*(1/(1+$G738))^(1+$E738)*(1+P$7)^$D738*(P720/O720)^$E738*((P720+P729)/(O720+O729))^($F738*(1+$E738))</f>
        <v/>
      </c>
      <c r="Q738" s="41">
        <f>P738*(1/(1+$G738))^(1+$E738)*(1+Q$7)^$D738*(Q720/P720)^$E738*((Q720+Q729)/(P720+P729))^($F738*(1+$E738))</f>
        <v/>
      </c>
      <c r="R738" s="41">
        <f>Q738*(1/(1+$G738))^(1+$E738)*(1+R$7)^$D738*(R720/Q720)^$E738*((R720+R729)/(Q720+Q729))^($F738*(1+$E738))</f>
        <v/>
      </c>
      <c r="S738" s="41">
        <f>R738*(1/(1+$G738))^(1+$E738)*(1+S$7)^$D738*(S720/R720)^$E738*((S720+S729)/(R720+R729))^($F738*(1+$E738))</f>
        <v/>
      </c>
      <c r="T738" s="41">
        <f>S738*(1/(1+$G738))^(1+$E738)*(1+T$7)^$D738*(T720/S720)^$E738*((T720+T729)/(S720+S729))^($F738*(1+$E738))</f>
        <v/>
      </c>
      <c r="U738" s="41">
        <f>T738*(1/(1+$G738))^(1+$E738)*(1+U$7)^$D738*(U720/T720)^$E738*((U720+U729)/(T720+T729))^($F738*(1+$E738))</f>
        <v/>
      </c>
      <c r="V738" s="41">
        <f>U738*(1/(1+$G738))^(1+$E738)*(1+V$7)^$D738*(V720/U720)^$E738*((V720+V729)/(U720+U729))^($F738*(1+$E738))</f>
        <v/>
      </c>
      <c r="W738" s="41">
        <f>V738*(1/(1+$G738))^(1+$E738)*(1+W$7)^$D738*(W720/V720)^$E738*((W720+W729)/(V720+V729))^($F738*(1+$E738))</f>
        <v/>
      </c>
      <c r="X738" s="41">
        <f>W738*(1/(1+$G738))^(1+$E738)*(1+X$7)^$D738*(X720/W720)^$E738*((X720+X729)/(W720+W729))^($F738*(1+$E738))</f>
        <v/>
      </c>
      <c r="Y738" s="42">
        <f>FUELUSE(X738,Y720,X720,Y729,X729,Y$7,$D738,$E738,$F738,$G738)</f>
        <v/>
      </c>
      <c r="Z738" s="23">
        <f>LOWER(Settings!$C$4)&amp;".mit."&amp;$A738&amp;IF($C738="","","."&amp;$C738&amp;"."&amp;$B738)&amp;IF(INDEX(Variables!$D$5:$D$65,MATCH($A738,Variables!$A$5:$A$65,0))="","","."&amp;INDEX(Variables!$D$5:$D$65,MATCH($A738,Variables!$A$5:$A$65,0)))&amp;"."&amp;Z$5</f>
        <v/>
      </c>
      <c r="AA738" s="40">
        <f>INDEX(Inputs!$V$5:$V$132,MATCH($B738&amp;"|"&amp;$C738,Inputs!$A$5:$A$132,0))</f>
        <v/>
      </c>
      <c r="AB738" s="41">
        <f>AA738*(1/(1+$G738))^(1+$E738)*(1+AB$7)^$D738*(AB720/AA720)^$E738*((AB720+AB729)/(AA720+AA729))^($F738*(1+$E738))</f>
        <v/>
      </c>
      <c r="AC738" s="41">
        <f>AB738*(1/(1+$G738))^(1+$E738)*(1+AC$7)^$D738*(AC720/AB720)^$E738*((AC720+AC729)/(AB720+AB729))^($F738*(1+$E738))</f>
        <v/>
      </c>
      <c r="AD738" s="41">
        <f>AC738*(1/(1+$G738))^(1+$E738)*(1+AD$7)^$D738*(AD720/AC720)^$E738*((AD720+AD729)/(AC720+AC729))^($F738*(1+$E738))</f>
        <v/>
      </c>
      <c r="AE738" s="41">
        <f>AD738*(1/(1+$G738))^(1+$E738)*(1+AE$7)^$D738*(AE720/AD720)^$E738*((AE720+AE729)/(AD720+AD729))^($F738*(1+$E738))</f>
        <v/>
      </c>
      <c r="AF738" s="41">
        <f>AE738*(1/(1+$G738))^(1+$E738)*(1+AF$7)^$D738*(AF720/AE720)^$E738*((AF720+AF729)/(AE720+AE729))^($F738*(1+$E738))</f>
        <v/>
      </c>
      <c r="AG738" s="41">
        <f>AF738*(1/(1+$G738))^(1+$E738)*(1+AG$7)^$D738*(AG720/AF720)^$E738*((AG720+AG729)/(AF720+AF729))^($F738*(1+$E738))</f>
        <v/>
      </c>
      <c r="AH738" s="41">
        <f>AG738*(1/(1+$G738))^(1+$E738)*(1+AH$7)^$D738*(AH720/AG720)^$E738*((AH720+AH729)/(AG720+AG729))^($F738*(1+$E738))</f>
        <v/>
      </c>
      <c r="AI738" s="41">
        <f>AH738*(1/(1+$G738))^(1+$E738)*(1+AI$7)^$D738*(AI720/AH720)^$E738*((AI720+AI729)/(AH720+AH729))^($F738*(1+$E738))</f>
        <v/>
      </c>
      <c r="AJ738" s="41">
        <f>AI738*(1/(1+$G738))^(1+$E738)*(1+AJ$7)^$D738*(AJ720/AI720)^$E738*((AJ720+AJ729)/(AI720+AI729))^($F738*(1+$E738))</f>
        <v/>
      </c>
      <c r="AK738" s="41">
        <f>AJ738*(1/(1+$G738))^(1+$E738)*(1+AK$7)^$D738*(AK720/AJ720)^$E738*((AK720+AK729)/(AJ720+AJ729))^($F738*(1+$E738))</f>
        <v/>
      </c>
      <c r="AL738" s="41">
        <f>AK738*(1/(1+$G738))^(1+$E738)*(1+AL$7)^$D738*(AL720/AK720)^$E738*((AL720+AL729)/(AK720+AK729))^($F738*(1+$E738))</f>
        <v/>
      </c>
      <c r="AM738" s="41">
        <f>AL738*(1/(1+$G738))^(1+$E738)*(1+AM$7)^$D738*(AM720/AL720)^$E738*((AM720+AM729)/(AL720+AL729))^($F738*(1+$E738))</f>
        <v/>
      </c>
      <c r="AN738" s="42">
        <f>FUELUSE(AM738,AN720,AM720,AN729,AM729,AN$7,$D738,$E738,$F738,$G738)</f>
        <v/>
      </c>
    </row>
    <row r="739" hidden="1" outlineLevel="2">
      <c r="A739" s="5" t="inlineStr">
        <is>
          <t>ener</t>
        </is>
      </c>
      <c r="B739" s="5" t="inlineStr">
        <is>
          <t>bio</t>
        </is>
      </c>
      <c r="C739" s="5" t="inlineStr">
        <is>
          <t>mch</t>
        </is>
      </c>
      <c r="D739" s="36">
        <f>INDEX(Inputs!$N$5:$N$132,MATCH($B739&amp;"|"&amp;$C739,Inputs!$A$5:$A$132,0))</f>
        <v/>
      </c>
      <c r="E739" s="36">
        <f>INDEX(Inputs!$O$5:$O$132,MATCH($B739&amp;"|"&amp;$C739,Inputs!$A$5:$A$132,0))</f>
        <v/>
      </c>
      <c r="F739" s="36">
        <f>INDEX(Inputs!$P$5:$P$132,MATCH($B739&amp;"|"&amp;$C739,Inputs!$A$5:$A$132,0))</f>
        <v/>
      </c>
      <c r="G739" s="36">
        <f>INDEX(Inputs!$Q$5:$Q$132,MATCH($B739&amp;"|"&amp;$C739,Inputs!$A$5:$A$132,0))</f>
        <v/>
      </c>
      <c r="H739" s="5">
        <f>INDEX(Variables!$B$5:$B$65,MATCH($A739,Variables!$A$5:$A$65,0))&amp;IF($C739="",""," | "&amp;INDEX(Mapping!$B$5:$B$25,MATCH($C739,Mapping!$A$5:$A$25,0))&amp;" | "&amp;INDEX(Mapping!$B$29:$B$38,MATCH($B739,Mapping!$A$29:$A$38,0)))</f>
        <v/>
      </c>
      <c r="I739" s="5">
        <f>INDEX(Variables!$C$5:$C$65,MATCH($A739,Variables!$A$5:$A$65,0))</f>
        <v/>
      </c>
      <c r="J739" s="5">
        <f>INDEX(Variables!$E$5:$E$65,MATCH($A739,Variables!$A$5:$A$65,0))</f>
        <v/>
      </c>
      <c r="K739" s="23">
        <f>LOWER(Settings!$C$4)&amp;".mit."&amp;$A739&amp;IF($C739="","","."&amp;$C739&amp;"."&amp;$B739)&amp;IF(INDEX(Variables!$D$5:$D$65,MATCH($A739,Variables!$A$5:$A$65,0))="","","."&amp;INDEX(Variables!$D$5:$D$65,MATCH($A739,Variables!$A$5:$A$65,0)))&amp;"."&amp;K$5</f>
        <v/>
      </c>
      <c r="L739" s="40">
        <f>INDEX(Inputs!$V$5:$V$132,MATCH($B739&amp;"|"&amp;$C739,Inputs!$A$5:$A$132,0))</f>
        <v/>
      </c>
      <c r="M739" s="41">
        <f>L739*(1/(1+$G739))^(1+$E739)*(1+M$7)^$D739*(M721/L721)^$E739*((M721+M730)/(L721+L730))^($F739*(1+$E739))</f>
        <v/>
      </c>
      <c r="N739" s="41">
        <f>M739*(1/(1+$G739))^(1+$E739)*(1+N$7)^$D739*(N721/M721)^$E739*((N721+N730)/(M721+M730))^($F739*(1+$E739))</f>
        <v/>
      </c>
      <c r="O739" s="41">
        <f>N739*(1/(1+$G739))^(1+$E739)*(1+O$7)^$D739*(O721/N721)^$E739*((O721+O730)/(N721+N730))^($F739*(1+$E739))</f>
        <v/>
      </c>
      <c r="P739" s="41">
        <f>O739*(1/(1+$G739))^(1+$E739)*(1+P$7)^$D739*(P721/O721)^$E739*((P721+P730)/(O721+O730))^($F739*(1+$E739))</f>
        <v/>
      </c>
      <c r="Q739" s="41">
        <f>P739*(1/(1+$G739))^(1+$E739)*(1+Q$7)^$D739*(Q721/P721)^$E739*((Q721+Q730)/(P721+P730))^($F739*(1+$E739))</f>
        <v/>
      </c>
      <c r="R739" s="41">
        <f>Q739*(1/(1+$G739))^(1+$E739)*(1+R$7)^$D739*(R721/Q721)^$E739*((R721+R730)/(Q721+Q730))^($F739*(1+$E739))</f>
        <v/>
      </c>
      <c r="S739" s="41">
        <f>R739*(1/(1+$G739))^(1+$E739)*(1+S$7)^$D739*(S721/R721)^$E739*((S721+S730)/(R721+R730))^($F739*(1+$E739))</f>
        <v/>
      </c>
      <c r="T739" s="41">
        <f>S739*(1/(1+$G739))^(1+$E739)*(1+T$7)^$D739*(T721/S721)^$E739*((T721+T730)/(S721+S730))^($F739*(1+$E739))</f>
        <v/>
      </c>
      <c r="U739" s="41">
        <f>T739*(1/(1+$G739))^(1+$E739)*(1+U$7)^$D739*(U721/T721)^$E739*((U721+U730)/(T721+T730))^($F739*(1+$E739))</f>
        <v/>
      </c>
      <c r="V739" s="41">
        <f>U739*(1/(1+$G739))^(1+$E739)*(1+V$7)^$D739*(V721/U721)^$E739*((V721+V730)/(U721+U730))^($F739*(1+$E739))</f>
        <v/>
      </c>
      <c r="W739" s="41">
        <f>V739*(1/(1+$G739))^(1+$E739)*(1+W$7)^$D739*(W721/V721)^$E739*((W721+W730)/(V721+V730))^($F739*(1+$E739))</f>
        <v/>
      </c>
      <c r="X739" s="41">
        <f>W739*(1/(1+$G739))^(1+$E739)*(1+X$7)^$D739*(X721/W721)^$E739*((X721+X730)/(W721+W730))^($F739*(1+$E739))</f>
        <v/>
      </c>
      <c r="Y739" s="42">
        <f>FUELUSE(X739,Y721,X721,Y730,X730,Y$7,$D739,$E739,$F739,$G739)</f>
        <v/>
      </c>
      <c r="Z739" s="23">
        <f>LOWER(Settings!$C$4)&amp;".mit."&amp;$A739&amp;IF($C739="","","."&amp;$C739&amp;"."&amp;$B739)&amp;IF(INDEX(Variables!$D$5:$D$65,MATCH($A739,Variables!$A$5:$A$65,0))="","","."&amp;INDEX(Variables!$D$5:$D$65,MATCH($A739,Variables!$A$5:$A$65,0)))&amp;"."&amp;Z$5</f>
        <v/>
      </c>
      <c r="AA739" s="40">
        <f>INDEX(Inputs!$V$5:$V$132,MATCH($B739&amp;"|"&amp;$C739,Inputs!$A$5:$A$132,0))</f>
        <v/>
      </c>
      <c r="AB739" s="41">
        <f>AA739*(1/(1+$G739))^(1+$E739)*(1+AB$7)^$D739*(AB721/AA721)^$E739*((AB721+AB730)/(AA721+AA730))^($F739*(1+$E739))</f>
        <v/>
      </c>
      <c r="AC739" s="41">
        <f>AB739*(1/(1+$G739))^(1+$E739)*(1+AC$7)^$D739*(AC721/AB721)^$E739*((AC721+AC730)/(AB721+AB730))^($F739*(1+$E739))</f>
        <v/>
      </c>
      <c r="AD739" s="41">
        <f>AC739*(1/(1+$G739))^(1+$E739)*(1+AD$7)^$D739*(AD721/AC721)^$E739*((AD721+AD730)/(AC721+AC730))^($F739*(1+$E739))</f>
        <v/>
      </c>
      <c r="AE739" s="41">
        <f>AD739*(1/(1+$G739))^(1+$E739)*(1+AE$7)^$D739*(AE721/AD721)^$E739*((AE721+AE730)/(AD721+AD730))^($F739*(1+$E739))</f>
        <v/>
      </c>
      <c r="AF739" s="41">
        <f>AE739*(1/(1+$G739))^(1+$E739)*(1+AF$7)^$D739*(AF721/AE721)^$E739*((AF721+AF730)/(AE721+AE730))^($F739*(1+$E739))</f>
        <v/>
      </c>
      <c r="AG739" s="41">
        <f>AF739*(1/(1+$G739))^(1+$E739)*(1+AG$7)^$D739*(AG721/AF721)^$E739*((AG721+AG730)/(AF721+AF730))^($F739*(1+$E739))</f>
        <v/>
      </c>
      <c r="AH739" s="41">
        <f>AG739*(1/(1+$G739))^(1+$E739)*(1+AH$7)^$D739*(AH721/AG721)^$E739*((AH721+AH730)/(AG721+AG730))^($F739*(1+$E739))</f>
        <v/>
      </c>
      <c r="AI739" s="41">
        <f>AH739*(1/(1+$G739))^(1+$E739)*(1+AI$7)^$D739*(AI721/AH721)^$E739*((AI721+AI730)/(AH721+AH730))^($F739*(1+$E739))</f>
        <v/>
      </c>
      <c r="AJ739" s="41">
        <f>AI739*(1/(1+$G739))^(1+$E739)*(1+AJ$7)^$D739*(AJ721/AI721)^$E739*((AJ721+AJ730)/(AI721+AI730))^($F739*(1+$E739))</f>
        <v/>
      </c>
      <c r="AK739" s="41">
        <f>AJ739*(1/(1+$G739))^(1+$E739)*(1+AK$7)^$D739*(AK721/AJ721)^$E739*((AK721+AK730)/(AJ721+AJ730))^($F739*(1+$E739))</f>
        <v/>
      </c>
      <c r="AL739" s="41">
        <f>AK739*(1/(1+$G739))^(1+$E739)*(1+AL$7)^$D739*(AL721/AK721)^$E739*((AL721+AL730)/(AK721+AK730))^($F739*(1+$E739))</f>
        <v/>
      </c>
      <c r="AM739" s="41">
        <f>AL739*(1/(1+$G739))^(1+$E739)*(1+AM$7)^$D739*(AM721/AL721)^$E739*((AM721+AM730)/(AL721+AL730))^($F739*(1+$E739))</f>
        <v/>
      </c>
      <c r="AN739" s="42">
        <f>FUELUSE(AM739,AN721,AM721,AN730,AM730,AN$7,$D739,$E739,$F739,$G739)</f>
        <v/>
      </c>
    </row>
    <row r="740" hidden="1" outlineLevel="2"/>
    <row r="741" outlineLevel="1" collapsed="1">
      <c r="A741" s="7" t="inlineStr">
        <is>
          <t>ener</t>
        </is>
      </c>
      <c r="B741" s="7" t="inlineStr">
        <is>
          <t>all</t>
        </is>
      </c>
      <c r="C741" s="7" t="inlineStr">
        <is>
          <t>irn</t>
        </is>
      </c>
      <c r="H741" s="7">
        <f>INDEX(Variables!$B$5:$B$65,MATCH($A741,Variables!$A$5:$A$65,0))&amp;IF($C741="",""," | "&amp;INDEX(Mapping!$B$5:$B$25,MATCH($C741,Mapping!$A$5:$A$25,0))&amp;" | "&amp;INDEX(Mapping!$B$29:$B$38,MATCH($B741,Mapping!$A$29:$A$38,0)))</f>
        <v/>
      </c>
      <c r="I741" s="7">
        <f>INDEX(Variables!$C$5:$C$65,MATCH($A741,Variables!$A$5:$A$65,0))</f>
        <v/>
      </c>
      <c r="J741" s="7">
        <f>INDEX(Variables!$E$5:$E$65,MATCH($A741,Variables!$A$5:$A$65,0))</f>
        <v/>
      </c>
      <c r="K741" s="26">
        <f>LOWER(Settings!$C$4)&amp;".mit."&amp;$A741&amp;IF($C741="","","."&amp;$C741&amp;"."&amp;$B741)&amp;IF(INDEX(Variables!$D$5:$D$65,MATCH($A741,Variables!$A$5:$A$65,0))="","","."&amp;INDEX(Variables!$D$5:$D$65,MATCH($A741,Variables!$A$5:$A$65,0)))&amp;"."&amp;K$5</f>
        <v/>
      </c>
      <c r="L741" s="34">
        <f>SUM(L805:L812)</f>
        <v/>
      </c>
      <c r="M741" s="35">
        <f>SUM(M805:M812)</f>
        <v/>
      </c>
      <c r="N741" s="35">
        <f>SUM(N805:N812)</f>
        <v/>
      </c>
      <c r="O741" s="35">
        <f>SUM(O805:O812)</f>
        <v/>
      </c>
      <c r="P741" s="35">
        <f>SUM(P805:P812)</f>
        <v/>
      </c>
      <c r="Q741" s="35">
        <f>SUM(Q805:Q812)</f>
        <v/>
      </c>
      <c r="R741" s="35">
        <f>SUM(R805:R812)</f>
        <v/>
      </c>
      <c r="S741" s="35">
        <f>SUM(S805:S812)</f>
        <v/>
      </c>
      <c r="T741" s="35">
        <f>SUM(T805:T812)</f>
        <v/>
      </c>
      <c r="U741" s="35">
        <f>SUM(U805:U812)</f>
        <v/>
      </c>
      <c r="V741" s="35">
        <f>SUM(V805:V812)</f>
        <v/>
      </c>
      <c r="W741" s="35">
        <f>SUM(W805:W812)</f>
        <v/>
      </c>
      <c r="X741" s="35">
        <f>SUM(X805:X812)</f>
        <v/>
      </c>
      <c r="Y741" s="35">
        <f>SUM(Y805:Y812)</f>
        <v/>
      </c>
      <c r="Z741" s="26">
        <f>LOWER(Settings!$C$4)&amp;".mit."&amp;$A741&amp;IF($C741="","","."&amp;$C741&amp;"."&amp;$B741)&amp;IF(INDEX(Variables!$D$5:$D$65,MATCH($A741,Variables!$A$5:$A$65,0))="","","."&amp;INDEX(Variables!$D$5:$D$65,MATCH($A741,Variables!$A$5:$A$65,0)))&amp;"."&amp;Z$5</f>
        <v/>
      </c>
      <c r="AA741" s="34">
        <f>SUM(AA805:AA812)</f>
        <v/>
      </c>
      <c r="AB741" s="35">
        <f>SUM(AB805:AB812)</f>
        <v/>
      </c>
      <c r="AC741" s="35">
        <f>SUM(AC805:AC812)</f>
        <v/>
      </c>
      <c r="AD741" s="35">
        <f>SUM(AD805:AD812)</f>
        <v/>
      </c>
      <c r="AE741" s="35">
        <f>SUM(AE805:AE812)</f>
        <v/>
      </c>
      <c r="AF741" s="35">
        <f>SUM(AF805:AF812)</f>
        <v/>
      </c>
      <c r="AG741" s="35">
        <f>SUM(AG805:AG812)</f>
        <v/>
      </c>
      <c r="AH741" s="35">
        <f>SUM(AH805:AH812)</f>
        <v/>
      </c>
      <c r="AI741" s="35">
        <f>SUM(AI805:AI812)</f>
        <v/>
      </c>
      <c r="AJ741" s="35">
        <f>SUM(AJ805:AJ812)</f>
        <v/>
      </c>
      <c r="AK741" s="35">
        <f>SUM(AK805:AK812)</f>
        <v/>
      </c>
      <c r="AL741" s="35">
        <f>SUM(AL805:AL812)</f>
        <v/>
      </c>
      <c r="AM741" s="35">
        <f>SUM(AM805:AM812)</f>
        <v/>
      </c>
      <c r="AN741" s="35">
        <f>SUM(AN805:AN812)</f>
        <v/>
      </c>
    </row>
    <row r="742" hidden="1" outlineLevel="2">
      <c r="A742" s="5" t="inlineStr">
        <is>
          <t>sp</t>
        </is>
      </c>
      <c r="B742" s="5" t="inlineStr">
        <is>
          <t>coa</t>
        </is>
      </c>
      <c r="C742" s="5" t="inlineStr">
        <is>
          <t>irn</t>
        </is>
      </c>
      <c r="D742" s="36">
        <f>INDEX(Inputs!$R$5:$R$132,MATCH($B742&amp;"|"&amp;$C742,Inputs!$A$5:$A$132,0))</f>
        <v/>
      </c>
      <c r="E742" s="37" t="n"/>
      <c r="F742" s="37" t="n"/>
      <c r="G742" s="37" t="n"/>
      <c r="H742" s="5">
        <f>INDEX(Variables!$B$5:$B$65,MATCH($A742,Variables!$A$5:$A$65,0))&amp;IF($C742="",""," | "&amp;INDEX(Mapping!$B$5:$B$25,MATCH($C742,Mapping!$A$5:$A$25,0))&amp;" | "&amp;INDEX(Mapping!$B$29:$B$38,MATCH($B742,Mapping!$A$29:$A$38,0)))</f>
        <v/>
      </c>
      <c r="I742" s="5">
        <f>INDEX(Variables!$C$5:$C$65,MATCH($A742,Variables!$A$5:$A$65,0))</f>
        <v/>
      </c>
      <c r="J742" s="5">
        <f>INDEX(Variables!$E$5:$E$65,MATCH($A742,Variables!$A$5:$A$65,0))</f>
        <v/>
      </c>
      <c r="K742" s="23">
        <f>LOWER(Settings!$C$4)&amp;".mit."&amp;$A742&amp;IF($C742="","","."&amp;$C742&amp;"."&amp;$B742)&amp;IF(INDEX(Variables!$D$5:$D$65,MATCH($A742,Variables!$A$5:$A$65,0))="","","."&amp;INDEX(Variables!$D$5:$D$65,MATCH($A742,Variables!$A$5:$A$65,0)))&amp;"."&amp;K$5</f>
        <v/>
      </c>
      <c r="L742" s="38">
        <f>INDEX(Inputs!$S$5:$S$132,MATCH($B742&amp;"|"&amp;$C742,Inputs!$A$5:$A$132,0))</f>
        <v/>
      </c>
      <c r="M742" s="36">
        <f>L742*(1+$D742)</f>
        <v/>
      </c>
      <c r="N742" s="36">
        <f>M742*(1+$D742)</f>
        <v/>
      </c>
      <c r="O742" s="36">
        <f>N742*(1+$D742)</f>
        <v/>
      </c>
      <c r="P742" s="36">
        <f>O742*(1+$D742)</f>
        <v/>
      </c>
      <c r="Q742" s="36">
        <f>P742*(1+$D742)</f>
        <v/>
      </c>
      <c r="R742" s="36">
        <f>Q742*(1+$D742)</f>
        <v/>
      </c>
      <c r="S742" s="36">
        <f>R742*(1+$D742)</f>
        <v/>
      </c>
      <c r="T742" s="36">
        <f>S742*(1+$D742)</f>
        <v/>
      </c>
      <c r="U742" s="36">
        <f>T742*(1+$D742)</f>
        <v/>
      </c>
      <c r="V742" s="36">
        <f>U742*(1+$D742)</f>
        <v/>
      </c>
      <c r="W742" s="36">
        <f>V742*(1+$D742)</f>
        <v/>
      </c>
      <c r="X742" s="36">
        <f>W742*(1+$D742)</f>
        <v/>
      </c>
      <c r="Y742" s="39">
        <f>PRETAX(X742,$D742)</f>
        <v/>
      </c>
      <c r="Z742" s="23">
        <f>LOWER(Settings!$C$4)&amp;".mit."&amp;$A742&amp;IF($C742="","","."&amp;$C742&amp;"."&amp;$B742)&amp;IF(INDEX(Variables!$D$5:$D$65,MATCH($A742,Variables!$A$5:$A$65,0))="","","."&amp;INDEX(Variables!$D$5:$D$65,MATCH($A742,Variables!$A$5:$A$65,0)))&amp;"."&amp;Z$5</f>
        <v/>
      </c>
      <c r="AA742" s="38">
        <f>INDEX(Inputs!$S$5:$S$132,MATCH($B742&amp;"|"&amp;$C742,Inputs!$A$5:$A$132,0))</f>
        <v/>
      </c>
      <c r="AB742" s="36">
        <f>AA742*(1+$D742)</f>
        <v/>
      </c>
      <c r="AC742" s="36">
        <f>AB742*(1+$D742)</f>
        <v/>
      </c>
      <c r="AD742" s="36">
        <f>AC742*(1+$D742)</f>
        <v/>
      </c>
      <c r="AE742" s="36">
        <f>AD742*(1+$D742)</f>
        <v/>
      </c>
      <c r="AF742" s="36">
        <f>AE742*(1+$D742)</f>
        <v/>
      </c>
      <c r="AG742" s="36">
        <f>AF742*(1+$D742)</f>
        <v/>
      </c>
      <c r="AH742" s="36">
        <f>AG742*(1+$D742)</f>
        <v/>
      </c>
      <c r="AI742" s="36">
        <f>AH742*(1+$D742)</f>
        <v/>
      </c>
      <c r="AJ742" s="36">
        <f>AI742*(1+$D742)</f>
        <v/>
      </c>
      <c r="AK742" s="36">
        <f>AJ742*(1+$D742)</f>
        <v/>
      </c>
      <c r="AL742" s="36">
        <f>AK742*(1+$D742)</f>
        <v/>
      </c>
      <c r="AM742" s="36">
        <f>AL742*(1+$D742)</f>
        <v/>
      </c>
      <c r="AN742" s="39">
        <f>PRETAX(AM742,$D742)</f>
        <v/>
      </c>
    </row>
    <row r="743" hidden="1" outlineLevel="2">
      <c r="A743" s="5" t="inlineStr">
        <is>
          <t>sp</t>
        </is>
      </c>
      <c r="B743" s="5" t="inlineStr">
        <is>
          <t>nga</t>
        </is>
      </c>
      <c r="C743" s="5" t="inlineStr">
        <is>
          <t>irn</t>
        </is>
      </c>
      <c r="D743" s="36">
        <f>INDEX(Inputs!$R$5:$R$132,MATCH($B743&amp;"|"&amp;$C743,Inputs!$A$5:$A$132,0))</f>
        <v/>
      </c>
      <c r="E743" s="37" t="n"/>
      <c r="F743" s="37" t="n"/>
      <c r="G743" s="37" t="n"/>
      <c r="H743" s="5">
        <f>INDEX(Variables!$B$5:$B$65,MATCH($A743,Variables!$A$5:$A$65,0))&amp;IF($C743="",""," | "&amp;INDEX(Mapping!$B$5:$B$25,MATCH($C743,Mapping!$A$5:$A$25,0))&amp;" | "&amp;INDEX(Mapping!$B$29:$B$38,MATCH($B743,Mapping!$A$29:$A$38,0)))</f>
        <v/>
      </c>
      <c r="I743" s="5">
        <f>INDEX(Variables!$C$5:$C$65,MATCH($A743,Variables!$A$5:$A$65,0))</f>
        <v/>
      </c>
      <c r="J743" s="5">
        <f>INDEX(Variables!$E$5:$E$65,MATCH($A743,Variables!$A$5:$A$65,0))</f>
        <v/>
      </c>
      <c r="K743" s="23">
        <f>LOWER(Settings!$C$4)&amp;".mit."&amp;$A743&amp;IF($C743="","","."&amp;$C743&amp;"."&amp;$B743)&amp;IF(INDEX(Variables!$D$5:$D$65,MATCH($A743,Variables!$A$5:$A$65,0))="","","."&amp;INDEX(Variables!$D$5:$D$65,MATCH($A743,Variables!$A$5:$A$65,0)))&amp;"."&amp;K$5</f>
        <v/>
      </c>
      <c r="L743" s="38">
        <f>INDEX(Inputs!$S$5:$S$132,MATCH($B743&amp;"|"&amp;$C743,Inputs!$A$5:$A$132,0))</f>
        <v/>
      </c>
      <c r="M743" s="36">
        <f>L743*(1+$D743)</f>
        <v/>
      </c>
      <c r="N743" s="36">
        <f>M743*(1+$D743)</f>
        <v/>
      </c>
      <c r="O743" s="36">
        <f>N743*(1+$D743)</f>
        <v/>
      </c>
      <c r="P743" s="36">
        <f>O743*(1+$D743)</f>
        <v/>
      </c>
      <c r="Q743" s="36">
        <f>P743*(1+$D743)</f>
        <v/>
      </c>
      <c r="R743" s="36">
        <f>Q743*(1+$D743)</f>
        <v/>
      </c>
      <c r="S743" s="36">
        <f>R743*(1+$D743)</f>
        <v/>
      </c>
      <c r="T743" s="36">
        <f>S743*(1+$D743)</f>
        <v/>
      </c>
      <c r="U743" s="36">
        <f>T743*(1+$D743)</f>
        <v/>
      </c>
      <c r="V743" s="36">
        <f>U743*(1+$D743)</f>
        <v/>
      </c>
      <c r="W743" s="36">
        <f>V743*(1+$D743)</f>
        <v/>
      </c>
      <c r="X743" s="36">
        <f>W743*(1+$D743)</f>
        <v/>
      </c>
      <c r="Y743" s="39">
        <f>PRETAX(X743,$D743)</f>
        <v/>
      </c>
      <c r="Z743" s="23">
        <f>LOWER(Settings!$C$4)&amp;".mit."&amp;$A743&amp;IF($C743="","","."&amp;$C743&amp;"."&amp;$B743)&amp;IF(INDEX(Variables!$D$5:$D$65,MATCH($A743,Variables!$A$5:$A$65,0))="","","."&amp;INDEX(Variables!$D$5:$D$65,MATCH($A743,Variables!$A$5:$A$65,0)))&amp;"."&amp;Z$5</f>
        <v/>
      </c>
      <c r="AA743" s="38">
        <f>INDEX(Inputs!$S$5:$S$132,MATCH($B743&amp;"|"&amp;$C743,Inputs!$A$5:$A$132,0))</f>
        <v/>
      </c>
      <c r="AB743" s="36">
        <f>AA743*(1+$D743)</f>
        <v/>
      </c>
      <c r="AC743" s="36">
        <f>AB743*(1+$D743)</f>
        <v/>
      </c>
      <c r="AD743" s="36">
        <f>AC743*(1+$D743)</f>
        <v/>
      </c>
      <c r="AE743" s="36">
        <f>AD743*(1+$D743)</f>
        <v/>
      </c>
      <c r="AF743" s="36">
        <f>AE743*(1+$D743)</f>
        <v/>
      </c>
      <c r="AG743" s="36">
        <f>AF743*(1+$D743)</f>
        <v/>
      </c>
      <c r="AH743" s="36">
        <f>AG743*(1+$D743)</f>
        <v/>
      </c>
      <c r="AI743" s="36">
        <f>AH743*(1+$D743)</f>
        <v/>
      </c>
      <c r="AJ743" s="36">
        <f>AI743*(1+$D743)</f>
        <v/>
      </c>
      <c r="AK743" s="36">
        <f>AJ743*(1+$D743)</f>
        <v/>
      </c>
      <c r="AL743" s="36">
        <f>AK743*(1+$D743)</f>
        <v/>
      </c>
      <c r="AM743" s="36">
        <f>AL743*(1+$D743)</f>
        <v/>
      </c>
      <c r="AN743" s="39">
        <f>PRETAX(AM743,$D743)</f>
        <v/>
      </c>
    </row>
    <row r="744" hidden="1" outlineLevel="2">
      <c r="A744" s="5" t="inlineStr">
        <is>
          <t>sp</t>
        </is>
      </c>
      <c r="B744" s="5" t="inlineStr">
        <is>
          <t>gso</t>
        </is>
      </c>
      <c r="C744" s="5" t="inlineStr">
        <is>
          <t>irn</t>
        </is>
      </c>
      <c r="D744" s="36">
        <f>INDEX(Inputs!$R$5:$R$132,MATCH($B744&amp;"|"&amp;$C744,Inputs!$A$5:$A$132,0))</f>
        <v/>
      </c>
      <c r="E744" s="37" t="n"/>
      <c r="F744" s="37" t="n"/>
      <c r="G744" s="37" t="n"/>
      <c r="H744" s="5">
        <f>INDEX(Variables!$B$5:$B$65,MATCH($A744,Variables!$A$5:$A$65,0))&amp;IF($C744="",""," | "&amp;INDEX(Mapping!$B$5:$B$25,MATCH($C744,Mapping!$A$5:$A$25,0))&amp;" | "&amp;INDEX(Mapping!$B$29:$B$38,MATCH($B744,Mapping!$A$29:$A$38,0)))</f>
        <v/>
      </c>
      <c r="I744" s="5">
        <f>INDEX(Variables!$C$5:$C$65,MATCH($A744,Variables!$A$5:$A$65,0))</f>
        <v/>
      </c>
      <c r="J744" s="5">
        <f>INDEX(Variables!$E$5:$E$65,MATCH($A744,Variables!$A$5:$A$65,0))</f>
        <v/>
      </c>
      <c r="K744" s="23">
        <f>LOWER(Settings!$C$4)&amp;".mit."&amp;$A744&amp;IF($C744="","","."&amp;$C744&amp;"."&amp;$B744)&amp;IF(INDEX(Variables!$D$5:$D$65,MATCH($A744,Variables!$A$5:$A$65,0))="","","."&amp;INDEX(Variables!$D$5:$D$65,MATCH($A744,Variables!$A$5:$A$65,0)))&amp;"."&amp;K$5</f>
        <v/>
      </c>
      <c r="L744" s="38">
        <f>INDEX(Inputs!$S$5:$S$132,MATCH($B744&amp;"|"&amp;$C744,Inputs!$A$5:$A$132,0))</f>
        <v/>
      </c>
      <c r="M744" s="36">
        <f>L744*(1+$D744)</f>
        <v/>
      </c>
      <c r="N744" s="36">
        <f>M744*(1+$D744)</f>
        <v/>
      </c>
      <c r="O744" s="36">
        <f>N744*(1+$D744)</f>
        <v/>
      </c>
      <c r="P744" s="36">
        <f>O744*(1+$D744)</f>
        <v/>
      </c>
      <c r="Q744" s="36">
        <f>P744*(1+$D744)</f>
        <v/>
      </c>
      <c r="R744" s="36">
        <f>Q744*(1+$D744)</f>
        <v/>
      </c>
      <c r="S744" s="36">
        <f>R744*(1+$D744)</f>
        <v/>
      </c>
      <c r="T744" s="36">
        <f>S744*(1+$D744)</f>
        <v/>
      </c>
      <c r="U744" s="36">
        <f>T744*(1+$D744)</f>
        <v/>
      </c>
      <c r="V744" s="36">
        <f>U744*(1+$D744)</f>
        <v/>
      </c>
      <c r="W744" s="36">
        <f>V744*(1+$D744)</f>
        <v/>
      </c>
      <c r="X744" s="36">
        <f>W744*(1+$D744)</f>
        <v/>
      </c>
      <c r="Y744" s="39">
        <f>PRETAX(X744,$D744)</f>
        <v/>
      </c>
      <c r="Z744" s="23">
        <f>LOWER(Settings!$C$4)&amp;".mit."&amp;$A744&amp;IF($C744="","","."&amp;$C744&amp;"."&amp;$B744)&amp;IF(INDEX(Variables!$D$5:$D$65,MATCH($A744,Variables!$A$5:$A$65,0))="","","."&amp;INDEX(Variables!$D$5:$D$65,MATCH($A744,Variables!$A$5:$A$65,0)))&amp;"."&amp;Z$5</f>
        <v/>
      </c>
      <c r="AA744" s="38">
        <f>INDEX(Inputs!$S$5:$S$132,MATCH($B744&amp;"|"&amp;$C744,Inputs!$A$5:$A$132,0))</f>
        <v/>
      </c>
      <c r="AB744" s="36">
        <f>AA744*(1+$D744)</f>
        <v/>
      </c>
      <c r="AC744" s="36">
        <f>AB744*(1+$D744)</f>
        <v/>
      </c>
      <c r="AD744" s="36">
        <f>AC744*(1+$D744)</f>
        <v/>
      </c>
      <c r="AE744" s="36">
        <f>AD744*(1+$D744)</f>
        <v/>
      </c>
      <c r="AF744" s="36">
        <f>AE744*(1+$D744)</f>
        <v/>
      </c>
      <c r="AG744" s="36">
        <f>AF744*(1+$D744)</f>
        <v/>
      </c>
      <c r="AH744" s="36">
        <f>AG744*(1+$D744)</f>
        <v/>
      </c>
      <c r="AI744" s="36">
        <f>AH744*(1+$D744)</f>
        <v/>
      </c>
      <c r="AJ744" s="36">
        <f>AI744*(1+$D744)</f>
        <v/>
      </c>
      <c r="AK744" s="36">
        <f>AJ744*(1+$D744)</f>
        <v/>
      </c>
      <c r="AL744" s="36">
        <f>AK744*(1+$D744)</f>
        <v/>
      </c>
      <c r="AM744" s="36">
        <f>AL744*(1+$D744)</f>
        <v/>
      </c>
      <c r="AN744" s="39">
        <f>PRETAX(AM744,$D744)</f>
        <v/>
      </c>
    </row>
    <row r="745" hidden="1" outlineLevel="2">
      <c r="A745" s="5" t="inlineStr">
        <is>
          <t>sp</t>
        </is>
      </c>
      <c r="B745" s="5" t="inlineStr">
        <is>
          <t>die</t>
        </is>
      </c>
      <c r="C745" s="5" t="inlineStr">
        <is>
          <t>irn</t>
        </is>
      </c>
      <c r="D745" s="36">
        <f>INDEX(Inputs!$R$5:$R$132,MATCH($B745&amp;"|"&amp;$C745,Inputs!$A$5:$A$132,0))</f>
        <v/>
      </c>
      <c r="E745" s="37" t="n"/>
      <c r="F745" s="37" t="n"/>
      <c r="G745" s="37" t="n"/>
      <c r="H745" s="5">
        <f>INDEX(Variables!$B$5:$B$65,MATCH($A745,Variables!$A$5:$A$65,0))&amp;IF($C745="",""," | "&amp;INDEX(Mapping!$B$5:$B$25,MATCH($C745,Mapping!$A$5:$A$25,0))&amp;" | "&amp;INDEX(Mapping!$B$29:$B$38,MATCH($B745,Mapping!$A$29:$A$38,0)))</f>
        <v/>
      </c>
      <c r="I745" s="5">
        <f>INDEX(Variables!$C$5:$C$65,MATCH($A745,Variables!$A$5:$A$65,0))</f>
        <v/>
      </c>
      <c r="J745" s="5">
        <f>INDEX(Variables!$E$5:$E$65,MATCH($A745,Variables!$A$5:$A$65,0))</f>
        <v/>
      </c>
      <c r="K745" s="23">
        <f>LOWER(Settings!$C$4)&amp;".mit."&amp;$A745&amp;IF($C745="","","."&amp;$C745&amp;"."&amp;$B745)&amp;IF(INDEX(Variables!$D$5:$D$65,MATCH($A745,Variables!$A$5:$A$65,0))="","","."&amp;INDEX(Variables!$D$5:$D$65,MATCH($A745,Variables!$A$5:$A$65,0)))&amp;"."&amp;K$5</f>
        <v/>
      </c>
      <c r="L745" s="38">
        <f>INDEX(Inputs!$S$5:$S$132,MATCH($B745&amp;"|"&amp;$C745,Inputs!$A$5:$A$132,0))</f>
        <v/>
      </c>
      <c r="M745" s="36">
        <f>L745*(1+$D745)</f>
        <v/>
      </c>
      <c r="N745" s="36">
        <f>M745*(1+$D745)</f>
        <v/>
      </c>
      <c r="O745" s="36">
        <f>N745*(1+$D745)</f>
        <v/>
      </c>
      <c r="P745" s="36">
        <f>O745*(1+$D745)</f>
        <v/>
      </c>
      <c r="Q745" s="36">
        <f>P745*(1+$D745)</f>
        <v/>
      </c>
      <c r="R745" s="36">
        <f>Q745*(1+$D745)</f>
        <v/>
      </c>
      <c r="S745" s="36">
        <f>R745*(1+$D745)</f>
        <v/>
      </c>
      <c r="T745" s="36">
        <f>S745*(1+$D745)</f>
        <v/>
      </c>
      <c r="U745" s="36">
        <f>T745*(1+$D745)</f>
        <v/>
      </c>
      <c r="V745" s="36">
        <f>U745*(1+$D745)</f>
        <v/>
      </c>
      <c r="W745" s="36">
        <f>V745*(1+$D745)</f>
        <v/>
      </c>
      <c r="X745" s="36">
        <f>W745*(1+$D745)</f>
        <v/>
      </c>
      <c r="Y745" s="39">
        <f>PRETAX(X745,$D745)</f>
        <v/>
      </c>
      <c r="Z745" s="23">
        <f>LOWER(Settings!$C$4)&amp;".mit."&amp;$A745&amp;IF($C745="","","."&amp;$C745&amp;"."&amp;$B745)&amp;IF(INDEX(Variables!$D$5:$D$65,MATCH($A745,Variables!$A$5:$A$65,0))="","","."&amp;INDEX(Variables!$D$5:$D$65,MATCH($A745,Variables!$A$5:$A$65,0)))&amp;"."&amp;Z$5</f>
        <v/>
      </c>
      <c r="AA745" s="38">
        <f>INDEX(Inputs!$S$5:$S$132,MATCH($B745&amp;"|"&amp;$C745,Inputs!$A$5:$A$132,0))</f>
        <v/>
      </c>
      <c r="AB745" s="36">
        <f>AA745*(1+$D745)</f>
        <v/>
      </c>
      <c r="AC745" s="36">
        <f>AB745*(1+$D745)</f>
        <v/>
      </c>
      <c r="AD745" s="36">
        <f>AC745*(1+$D745)</f>
        <v/>
      </c>
      <c r="AE745" s="36">
        <f>AD745*(1+$D745)</f>
        <v/>
      </c>
      <c r="AF745" s="36">
        <f>AE745*(1+$D745)</f>
        <v/>
      </c>
      <c r="AG745" s="36">
        <f>AF745*(1+$D745)</f>
        <v/>
      </c>
      <c r="AH745" s="36">
        <f>AG745*(1+$D745)</f>
        <v/>
      </c>
      <c r="AI745" s="36">
        <f>AH745*(1+$D745)</f>
        <v/>
      </c>
      <c r="AJ745" s="36">
        <f>AI745*(1+$D745)</f>
        <v/>
      </c>
      <c r="AK745" s="36">
        <f>AJ745*(1+$D745)</f>
        <v/>
      </c>
      <c r="AL745" s="36">
        <f>AK745*(1+$D745)</f>
        <v/>
      </c>
      <c r="AM745" s="36">
        <f>AL745*(1+$D745)</f>
        <v/>
      </c>
      <c r="AN745" s="39">
        <f>PRETAX(AM745,$D745)</f>
        <v/>
      </c>
    </row>
    <row r="746" hidden="1" outlineLevel="2">
      <c r="A746" s="5" t="inlineStr">
        <is>
          <t>sp</t>
        </is>
      </c>
      <c r="B746" s="5" t="inlineStr">
        <is>
          <t>lpg</t>
        </is>
      </c>
      <c r="C746" s="5" t="inlineStr">
        <is>
          <t>irn</t>
        </is>
      </c>
      <c r="D746" s="36">
        <f>INDEX(Inputs!$R$5:$R$132,MATCH($B746&amp;"|"&amp;$C746,Inputs!$A$5:$A$132,0))</f>
        <v/>
      </c>
      <c r="E746" s="37" t="n"/>
      <c r="F746" s="37" t="n"/>
      <c r="G746" s="37" t="n"/>
      <c r="H746" s="5">
        <f>INDEX(Variables!$B$5:$B$65,MATCH($A746,Variables!$A$5:$A$65,0))&amp;IF($C746="",""," | "&amp;INDEX(Mapping!$B$5:$B$25,MATCH($C746,Mapping!$A$5:$A$25,0))&amp;" | "&amp;INDEX(Mapping!$B$29:$B$38,MATCH($B746,Mapping!$A$29:$A$38,0)))</f>
        <v/>
      </c>
      <c r="I746" s="5">
        <f>INDEX(Variables!$C$5:$C$65,MATCH($A746,Variables!$A$5:$A$65,0))</f>
        <v/>
      </c>
      <c r="J746" s="5">
        <f>INDEX(Variables!$E$5:$E$65,MATCH($A746,Variables!$A$5:$A$65,0))</f>
        <v/>
      </c>
      <c r="K746" s="23">
        <f>LOWER(Settings!$C$4)&amp;".mit."&amp;$A746&amp;IF($C746="","","."&amp;$C746&amp;"."&amp;$B746)&amp;IF(INDEX(Variables!$D$5:$D$65,MATCH($A746,Variables!$A$5:$A$65,0))="","","."&amp;INDEX(Variables!$D$5:$D$65,MATCH($A746,Variables!$A$5:$A$65,0)))&amp;"."&amp;K$5</f>
        <v/>
      </c>
      <c r="L746" s="38">
        <f>INDEX(Inputs!$S$5:$S$132,MATCH($B746&amp;"|"&amp;$C746,Inputs!$A$5:$A$132,0))</f>
        <v/>
      </c>
      <c r="M746" s="36">
        <f>L746*(1+$D746)</f>
        <v/>
      </c>
      <c r="N746" s="36">
        <f>M746*(1+$D746)</f>
        <v/>
      </c>
      <c r="O746" s="36">
        <f>N746*(1+$D746)</f>
        <v/>
      </c>
      <c r="P746" s="36">
        <f>O746*(1+$D746)</f>
        <v/>
      </c>
      <c r="Q746" s="36">
        <f>P746*(1+$D746)</f>
        <v/>
      </c>
      <c r="R746" s="36">
        <f>Q746*(1+$D746)</f>
        <v/>
      </c>
      <c r="S746" s="36">
        <f>R746*(1+$D746)</f>
        <v/>
      </c>
      <c r="T746" s="36">
        <f>S746*(1+$D746)</f>
        <v/>
      </c>
      <c r="U746" s="36">
        <f>T746*(1+$D746)</f>
        <v/>
      </c>
      <c r="V746" s="36">
        <f>U746*(1+$D746)</f>
        <v/>
      </c>
      <c r="W746" s="36">
        <f>V746*(1+$D746)</f>
        <v/>
      </c>
      <c r="X746" s="36">
        <f>W746*(1+$D746)</f>
        <v/>
      </c>
      <c r="Y746" s="39">
        <f>PRETAX(X746,$D746)</f>
        <v/>
      </c>
      <c r="Z746" s="23">
        <f>LOWER(Settings!$C$4)&amp;".mit."&amp;$A746&amp;IF($C746="","","."&amp;$C746&amp;"."&amp;$B746)&amp;IF(INDEX(Variables!$D$5:$D$65,MATCH($A746,Variables!$A$5:$A$65,0))="","","."&amp;INDEX(Variables!$D$5:$D$65,MATCH($A746,Variables!$A$5:$A$65,0)))&amp;"."&amp;Z$5</f>
        <v/>
      </c>
      <c r="AA746" s="38">
        <f>INDEX(Inputs!$S$5:$S$132,MATCH($B746&amp;"|"&amp;$C746,Inputs!$A$5:$A$132,0))</f>
        <v/>
      </c>
      <c r="AB746" s="36">
        <f>AA746*(1+$D746)</f>
        <v/>
      </c>
      <c r="AC746" s="36">
        <f>AB746*(1+$D746)</f>
        <v/>
      </c>
      <c r="AD746" s="36">
        <f>AC746*(1+$D746)</f>
        <v/>
      </c>
      <c r="AE746" s="36">
        <f>AD746*(1+$D746)</f>
        <v/>
      </c>
      <c r="AF746" s="36">
        <f>AE746*(1+$D746)</f>
        <v/>
      </c>
      <c r="AG746" s="36">
        <f>AF746*(1+$D746)</f>
        <v/>
      </c>
      <c r="AH746" s="36">
        <f>AG746*(1+$D746)</f>
        <v/>
      </c>
      <c r="AI746" s="36">
        <f>AH746*(1+$D746)</f>
        <v/>
      </c>
      <c r="AJ746" s="36">
        <f>AI746*(1+$D746)</f>
        <v/>
      </c>
      <c r="AK746" s="36">
        <f>AJ746*(1+$D746)</f>
        <v/>
      </c>
      <c r="AL746" s="36">
        <f>AK746*(1+$D746)</f>
        <v/>
      </c>
      <c r="AM746" s="36">
        <f>AL746*(1+$D746)</f>
        <v/>
      </c>
      <c r="AN746" s="39">
        <f>PRETAX(AM746,$D746)</f>
        <v/>
      </c>
    </row>
    <row r="747" hidden="1" outlineLevel="2">
      <c r="A747" s="5" t="inlineStr">
        <is>
          <t>sp</t>
        </is>
      </c>
      <c r="B747" s="5" t="inlineStr">
        <is>
          <t>ker</t>
        </is>
      </c>
      <c r="C747" s="5" t="inlineStr">
        <is>
          <t>irn</t>
        </is>
      </c>
      <c r="D747" s="36">
        <f>INDEX(Inputs!$R$5:$R$132,MATCH($B747&amp;"|"&amp;$C747,Inputs!$A$5:$A$132,0))</f>
        <v/>
      </c>
      <c r="E747" s="37" t="n"/>
      <c r="F747" s="37" t="n"/>
      <c r="G747" s="37" t="n"/>
      <c r="H747" s="5">
        <f>INDEX(Variables!$B$5:$B$65,MATCH($A747,Variables!$A$5:$A$65,0))&amp;IF($C747="",""," | "&amp;INDEX(Mapping!$B$5:$B$25,MATCH($C747,Mapping!$A$5:$A$25,0))&amp;" | "&amp;INDEX(Mapping!$B$29:$B$38,MATCH($B747,Mapping!$A$29:$A$38,0)))</f>
        <v/>
      </c>
      <c r="I747" s="5">
        <f>INDEX(Variables!$C$5:$C$65,MATCH($A747,Variables!$A$5:$A$65,0))</f>
        <v/>
      </c>
      <c r="J747" s="5">
        <f>INDEX(Variables!$E$5:$E$65,MATCH($A747,Variables!$A$5:$A$65,0))</f>
        <v/>
      </c>
      <c r="K747" s="23">
        <f>LOWER(Settings!$C$4)&amp;".mit."&amp;$A747&amp;IF($C747="","","."&amp;$C747&amp;"."&amp;$B747)&amp;IF(INDEX(Variables!$D$5:$D$65,MATCH($A747,Variables!$A$5:$A$65,0))="","","."&amp;INDEX(Variables!$D$5:$D$65,MATCH($A747,Variables!$A$5:$A$65,0)))&amp;"."&amp;K$5</f>
        <v/>
      </c>
      <c r="L747" s="38">
        <f>INDEX(Inputs!$S$5:$S$132,MATCH($B747&amp;"|"&amp;$C747,Inputs!$A$5:$A$132,0))</f>
        <v/>
      </c>
      <c r="M747" s="36">
        <f>L747*(1+$D747)</f>
        <v/>
      </c>
      <c r="N747" s="36">
        <f>M747*(1+$D747)</f>
        <v/>
      </c>
      <c r="O747" s="36">
        <f>N747*(1+$D747)</f>
        <v/>
      </c>
      <c r="P747" s="36">
        <f>O747*(1+$D747)</f>
        <v/>
      </c>
      <c r="Q747" s="36">
        <f>P747*(1+$D747)</f>
        <v/>
      </c>
      <c r="R747" s="36">
        <f>Q747*(1+$D747)</f>
        <v/>
      </c>
      <c r="S747" s="36">
        <f>R747*(1+$D747)</f>
        <v/>
      </c>
      <c r="T747" s="36">
        <f>S747*(1+$D747)</f>
        <v/>
      </c>
      <c r="U747" s="36">
        <f>T747*(1+$D747)</f>
        <v/>
      </c>
      <c r="V747" s="36">
        <f>U747*(1+$D747)</f>
        <v/>
      </c>
      <c r="W747" s="36">
        <f>V747*(1+$D747)</f>
        <v/>
      </c>
      <c r="X747" s="36">
        <f>W747*(1+$D747)</f>
        <v/>
      </c>
      <c r="Y747" s="39">
        <f>PRETAX(X747,$D747)</f>
        <v/>
      </c>
      <c r="Z747" s="23">
        <f>LOWER(Settings!$C$4)&amp;".mit."&amp;$A747&amp;IF($C747="","","."&amp;$C747&amp;"."&amp;$B747)&amp;IF(INDEX(Variables!$D$5:$D$65,MATCH($A747,Variables!$A$5:$A$65,0))="","","."&amp;INDEX(Variables!$D$5:$D$65,MATCH($A747,Variables!$A$5:$A$65,0)))&amp;"."&amp;Z$5</f>
        <v/>
      </c>
      <c r="AA747" s="38">
        <f>INDEX(Inputs!$S$5:$S$132,MATCH($B747&amp;"|"&amp;$C747,Inputs!$A$5:$A$132,0))</f>
        <v/>
      </c>
      <c r="AB747" s="36">
        <f>AA747*(1+$D747)</f>
        <v/>
      </c>
      <c r="AC747" s="36">
        <f>AB747*(1+$D747)</f>
        <v/>
      </c>
      <c r="AD747" s="36">
        <f>AC747*(1+$D747)</f>
        <v/>
      </c>
      <c r="AE747" s="36">
        <f>AD747*(1+$D747)</f>
        <v/>
      </c>
      <c r="AF747" s="36">
        <f>AE747*(1+$D747)</f>
        <v/>
      </c>
      <c r="AG747" s="36">
        <f>AF747*(1+$D747)</f>
        <v/>
      </c>
      <c r="AH747" s="36">
        <f>AG747*(1+$D747)</f>
        <v/>
      </c>
      <c r="AI747" s="36">
        <f>AH747*(1+$D747)</f>
        <v/>
      </c>
      <c r="AJ747" s="36">
        <f>AI747*(1+$D747)</f>
        <v/>
      </c>
      <c r="AK747" s="36">
        <f>AJ747*(1+$D747)</f>
        <v/>
      </c>
      <c r="AL747" s="36">
        <f>AK747*(1+$D747)</f>
        <v/>
      </c>
      <c r="AM747" s="36">
        <f>AL747*(1+$D747)</f>
        <v/>
      </c>
      <c r="AN747" s="39">
        <f>PRETAX(AM747,$D747)</f>
        <v/>
      </c>
    </row>
    <row r="748" hidden="1" outlineLevel="2">
      <c r="A748" s="5" t="inlineStr">
        <is>
          <t>sp</t>
        </is>
      </c>
      <c r="B748" s="5" t="inlineStr">
        <is>
          <t>oop</t>
        </is>
      </c>
      <c r="C748" s="5" t="inlineStr">
        <is>
          <t>irn</t>
        </is>
      </c>
      <c r="D748" s="36">
        <f>INDEX(Inputs!$R$5:$R$132,MATCH($B748&amp;"|"&amp;$C748,Inputs!$A$5:$A$132,0))</f>
        <v/>
      </c>
      <c r="E748" s="37" t="n"/>
      <c r="F748" s="37" t="n"/>
      <c r="G748" s="37" t="n"/>
      <c r="H748" s="5">
        <f>INDEX(Variables!$B$5:$B$65,MATCH($A748,Variables!$A$5:$A$65,0))&amp;IF($C748="",""," | "&amp;INDEX(Mapping!$B$5:$B$25,MATCH($C748,Mapping!$A$5:$A$25,0))&amp;" | "&amp;INDEX(Mapping!$B$29:$B$38,MATCH($B748,Mapping!$A$29:$A$38,0)))</f>
        <v/>
      </c>
      <c r="I748" s="5">
        <f>INDEX(Variables!$C$5:$C$65,MATCH($A748,Variables!$A$5:$A$65,0))</f>
        <v/>
      </c>
      <c r="J748" s="5">
        <f>INDEX(Variables!$E$5:$E$65,MATCH($A748,Variables!$A$5:$A$65,0))</f>
        <v/>
      </c>
      <c r="K748" s="23">
        <f>LOWER(Settings!$C$4)&amp;".mit."&amp;$A748&amp;IF($C748="","","."&amp;$C748&amp;"."&amp;$B748)&amp;IF(INDEX(Variables!$D$5:$D$65,MATCH($A748,Variables!$A$5:$A$65,0))="","","."&amp;INDEX(Variables!$D$5:$D$65,MATCH($A748,Variables!$A$5:$A$65,0)))&amp;"."&amp;K$5</f>
        <v/>
      </c>
      <c r="L748" s="38">
        <f>INDEX(Inputs!$S$5:$S$132,MATCH($B748&amp;"|"&amp;$C748,Inputs!$A$5:$A$132,0))</f>
        <v/>
      </c>
      <c r="M748" s="36">
        <f>L748*(1+$D748)</f>
        <v/>
      </c>
      <c r="N748" s="36">
        <f>M748*(1+$D748)</f>
        <v/>
      </c>
      <c r="O748" s="36">
        <f>N748*(1+$D748)</f>
        <v/>
      </c>
      <c r="P748" s="36">
        <f>O748*(1+$D748)</f>
        <v/>
      </c>
      <c r="Q748" s="36">
        <f>P748*(1+$D748)</f>
        <v/>
      </c>
      <c r="R748" s="36">
        <f>Q748*(1+$D748)</f>
        <v/>
      </c>
      <c r="S748" s="36">
        <f>R748*(1+$D748)</f>
        <v/>
      </c>
      <c r="T748" s="36">
        <f>S748*(1+$D748)</f>
        <v/>
      </c>
      <c r="U748" s="36">
        <f>T748*(1+$D748)</f>
        <v/>
      </c>
      <c r="V748" s="36">
        <f>U748*(1+$D748)</f>
        <v/>
      </c>
      <c r="W748" s="36">
        <f>V748*(1+$D748)</f>
        <v/>
      </c>
      <c r="X748" s="36">
        <f>W748*(1+$D748)</f>
        <v/>
      </c>
      <c r="Y748" s="39">
        <f>PRETAX(X748,$D748)</f>
        <v/>
      </c>
      <c r="Z748" s="23">
        <f>LOWER(Settings!$C$4)&amp;".mit."&amp;$A748&amp;IF($C748="","","."&amp;$C748&amp;"."&amp;$B748)&amp;IF(INDEX(Variables!$D$5:$D$65,MATCH($A748,Variables!$A$5:$A$65,0))="","","."&amp;INDEX(Variables!$D$5:$D$65,MATCH($A748,Variables!$A$5:$A$65,0)))&amp;"."&amp;Z$5</f>
        <v/>
      </c>
      <c r="AA748" s="38">
        <f>INDEX(Inputs!$S$5:$S$132,MATCH($B748&amp;"|"&amp;$C748,Inputs!$A$5:$A$132,0))</f>
        <v/>
      </c>
      <c r="AB748" s="36">
        <f>AA748*(1+$D748)</f>
        <v/>
      </c>
      <c r="AC748" s="36">
        <f>AB748*(1+$D748)</f>
        <v/>
      </c>
      <c r="AD748" s="36">
        <f>AC748*(1+$D748)</f>
        <v/>
      </c>
      <c r="AE748" s="36">
        <f>AD748*(1+$D748)</f>
        <v/>
      </c>
      <c r="AF748" s="36">
        <f>AE748*(1+$D748)</f>
        <v/>
      </c>
      <c r="AG748" s="36">
        <f>AF748*(1+$D748)</f>
        <v/>
      </c>
      <c r="AH748" s="36">
        <f>AG748*(1+$D748)</f>
        <v/>
      </c>
      <c r="AI748" s="36">
        <f>AH748*(1+$D748)</f>
        <v/>
      </c>
      <c r="AJ748" s="36">
        <f>AI748*(1+$D748)</f>
        <v/>
      </c>
      <c r="AK748" s="36">
        <f>AJ748*(1+$D748)</f>
        <v/>
      </c>
      <c r="AL748" s="36">
        <f>AK748*(1+$D748)</f>
        <v/>
      </c>
      <c r="AM748" s="36">
        <f>AL748*(1+$D748)</f>
        <v/>
      </c>
      <c r="AN748" s="39">
        <f>PRETAX(AM748,$D748)</f>
        <v/>
      </c>
    </row>
    <row r="749" hidden="1" outlineLevel="2">
      <c r="A749" s="5" t="inlineStr">
        <is>
          <t>sp</t>
        </is>
      </c>
      <c r="B749" s="5" t="inlineStr">
        <is>
          <t>bio</t>
        </is>
      </c>
      <c r="C749" s="5" t="inlineStr">
        <is>
          <t>irn</t>
        </is>
      </c>
      <c r="D749" s="36">
        <f>INDEX(Inputs!$R$5:$R$132,MATCH($B749&amp;"|"&amp;$C749,Inputs!$A$5:$A$132,0))</f>
        <v/>
      </c>
      <c r="E749" s="37" t="n"/>
      <c r="F749" s="37" t="n"/>
      <c r="G749" s="37" t="n"/>
      <c r="H749" s="5">
        <f>INDEX(Variables!$B$5:$B$65,MATCH($A749,Variables!$A$5:$A$65,0))&amp;IF($C749="",""," | "&amp;INDEX(Mapping!$B$5:$B$25,MATCH($C749,Mapping!$A$5:$A$25,0))&amp;" | "&amp;INDEX(Mapping!$B$29:$B$38,MATCH($B749,Mapping!$A$29:$A$38,0)))</f>
        <v/>
      </c>
      <c r="I749" s="5">
        <f>INDEX(Variables!$C$5:$C$65,MATCH($A749,Variables!$A$5:$A$65,0))</f>
        <v/>
      </c>
      <c r="J749" s="5">
        <f>INDEX(Variables!$E$5:$E$65,MATCH($A749,Variables!$A$5:$A$65,0))</f>
        <v/>
      </c>
      <c r="K749" s="23">
        <f>LOWER(Settings!$C$4)&amp;".mit."&amp;$A749&amp;IF($C749="","","."&amp;$C749&amp;"."&amp;$B749)&amp;IF(INDEX(Variables!$D$5:$D$65,MATCH($A749,Variables!$A$5:$A$65,0))="","","."&amp;INDEX(Variables!$D$5:$D$65,MATCH($A749,Variables!$A$5:$A$65,0)))&amp;"."&amp;K$5</f>
        <v/>
      </c>
      <c r="L749" s="38">
        <f>INDEX(Inputs!$S$5:$S$132,MATCH($B749&amp;"|"&amp;$C749,Inputs!$A$5:$A$132,0))</f>
        <v/>
      </c>
      <c r="M749" s="36">
        <f>L749*(1+$D749)</f>
        <v/>
      </c>
      <c r="N749" s="36">
        <f>M749*(1+$D749)</f>
        <v/>
      </c>
      <c r="O749" s="36">
        <f>N749*(1+$D749)</f>
        <v/>
      </c>
      <c r="P749" s="36">
        <f>O749*(1+$D749)</f>
        <v/>
      </c>
      <c r="Q749" s="36">
        <f>P749*(1+$D749)</f>
        <v/>
      </c>
      <c r="R749" s="36">
        <f>Q749*(1+$D749)</f>
        <v/>
      </c>
      <c r="S749" s="36">
        <f>R749*(1+$D749)</f>
        <v/>
      </c>
      <c r="T749" s="36">
        <f>S749*(1+$D749)</f>
        <v/>
      </c>
      <c r="U749" s="36">
        <f>T749*(1+$D749)</f>
        <v/>
      </c>
      <c r="V749" s="36">
        <f>U749*(1+$D749)</f>
        <v/>
      </c>
      <c r="W749" s="36">
        <f>V749*(1+$D749)</f>
        <v/>
      </c>
      <c r="X749" s="36">
        <f>W749*(1+$D749)</f>
        <v/>
      </c>
      <c r="Y749" s="39">
        <f>PRETAX(X749,$D749)</f>
        <v/>
      </c>
      <c r="Z749" s="23">
        <f>LOWER(Settings!$C$4)&amp;".mit."&amp;$A749&amp;IF($C749="","","."&amp;$C749&amp;"."&amp;$B749)&amp;IF(INDEX(Variables!$D$5:$D$65,MATCH($A749,Variables!$A$5:$A$65,0))="","","."&amp;INDEX(Variables!$D$5:$D$65,MATCH($A749,Variables!$A$5:$A$65,0)))&amp;"."&amp;Z$5</f>
        <v/>
      </c>
      <c r="AA749" s="38">
        <f>INDEX(Inputs!$S$5:$S$132,MATCH($B749&amp;"|"&amp;$C749,Inputs!$A$5:$A$132,0))</f>
        <v/>
      </c>
      <c r="AB749" s="36">
        <f>AA749*(1+$D749)</f>
        <v/>
      </c>
      <c r="AC749" s="36">
        <f>AB749*(1+$D749)</f>
        <v/>
      </c>
      <c r="AD749" s="36">
        <f>AC749*(1+$D749)</f>
        <v/>
      </c>
      <c r="AE749" s="36">
        <f>AD749*(1+$D749)</f>
        <v/>
      </c>
      <c r="AF749" s="36">
        <f>AE749*(1+$D749)</f>
        <v/>
      </c>
      <c r="AG749" s="36">
        <f>AF749*(1+$D749)</f>
        <v/>
      </c>
      <c r="AH749" s="36">
        <f>AG749*(1+$D749)</f>
        <v/>
      </c>
      <c r="AI749" s="36">
        <f>AH749*(1+$D749)</f>
        <v/>
      </c>
      <c r="AJ749" s="36">
        <f>AI749*(1+$D749)</f>
        <v/>
      </c>
      <c r="AK749" s="36">
        <f>AJ749*(1+$D749)</f>
        <v/>
      </c>
      <c r="AL749" s="36">
        <f>AK749*(1+$D749)</f>
        <v/>
      </c>
      <c r="AM749" s="36">
        <f>AL749*(1+$D749)</f>
        <v/>
      </c>
      <c r="AN749" s="39">
        <f>PRETAX(AM749,$D749)</f>
        <v/>
      </c>
    </row>
    <row r="750" hidden="1" outlineLevel="2"/>
    <row r="751" hidden="1" outlineLevel="2">
      <c r="A751" s="5" t="inlineStr">
        <is>
          <t>ctxnew</t>
        </is>
      </c>
      <c r="B751" s="5" t="inlineStr">
        <is>
          <t>coa</t>
        </is>
      </c>
      <c r="C751" s="5" t="inlineStr">
        <is>
          <t>irn</t>
        </is>
      </c>
      <c r="D751" s="36">
        <f>INDEX(Inputs!$U$5:$U$132,MATCH($B751&amp;"|"&amp;$C751,Inputs!$A$5:$A$132,0))</f>
        <v/>
      </c>
      <c r="E751" s="36">
        <f>INDEX(Inputs!$J$5:$J$132,MATCH($B751&amp;"|"&amp;$C751,Inputs!$A$5:$A$132,0))</f>
        <v/>
      </c>
      <c r="F751" s="36">
        <f>INDEX(Inputs!$K$5:$K$132,MATCH($B751&amp;"|"&amp;$C751,Inputs!$A$5:$A$132,0))</f>
        <v/>
      </c>
      <c r="G751" s="37" t="n"/>
      <c r="H751" s="5">
        <f>INDEX(Variables!$B$5:$B$65,MATCH($A751,Variables!$A$5:$A$65,0))&amp;IF($C751="",""," | "&amp;INDEX(Mapping!$B$5:$B$25,MATCH($C751,Mapping!$A$5:$A$25,0))&amp;" | "&amp;INDEX(Mapping!$B$29:$B$38,MATCH($B751,Mapping!$A$29:$A$38,0)))</f>
        <v/>
      </c>
      <c r="I751" s="5">
        <f>INDEX(Variables!$C$5:$C$65,MATCH($A751,Variables!$A$5:$A$65,0))</f>
        <v/>
      </c>
      <c r="J751" s="5">
        <f>INDEX(Variables!$E$5:$E$65,MATCH($A751,Variables!$A$5:$A$65,0))</f>
        <v/>
      </c>
      <c r="K751" s="23">
        <f>LOWER(Settings!$C$4)&amp;".mit."&amp;$A751&amp;IF($C751="","","."&amp;$C751&amp;"."&amp;$B751)&amp;IF(INDEX(Variables!$D$5:$D$65,MATCH($A751,Variables!$A$5:$A$65,0))="","","."&amp;INDEX(Variables!$D$5:$D$65,MATCH($A751,Variables!$A$5:$A$65,0)))&amp;"."&amp;K$5</f>
        <v/>
      </c>
      <c r="L751" s="38">
        <f>L$10*$D751*INDEX(L$18:L$25,$E751)*INDEX(L$27:L$43,$F751)</f>
        <v/>
      </c>
      <c r="M751" s="36">
        <f>M$10*$D751*INDEX(M$18:M$25,$E751)*INDEX(M$27:M$43,$F751)</f>
        <v/>
      </c>
      <c r="N751" s="36">
        <f>N$10*$D751*INDEX(N$18:N$25,$E751)*INDEX(N$27:N$43,$F751)</f>
        <v/>
      </c>
      <c r="O751" s="36">
        <f>O$10*$D751*INDEX(O$18:O$25,$E751)*INDEX(O$27:O$43,$F751)</f>
        <v/>
      </c>
      <c r="P751" s="36">
        <f>P$10*$D751*INDEX(P$18:P$25,$E751)*INDEX(P$27:P$43,$F751)</f>
        <v/>
      </c>
      <c r="Q751" s="36">
        <f>Q$10*$D751*INDEX(Q$18:Q$25,$E751)*INDEX(Q$27:Q$43,$F751)</f>
        <v/>
      </c>
      <c r="R751" s="36">
        <f>R$10*$D751*INDEX(R$18:R$25,$E751)*INDEX(R$27:R$43,$F751)</f>
        <v/>
      </c>
      <c r="S751" s="36">
        <f>S$10*$D751*INDEX(S$18:S$25,$E751)*INDEX(S$27:S$43,$F751)</f>
        <v/>
      </c>
      <c r="T751" s="36">
        <f>T$10*$D751*INDEX(T$18:T$25,$E751)*INDEX(T$27:T$43,$F751)</f>
        <v/>
      </c>
      <c r="U751" s="36">
        <f>U$10*$D751*INDEX(U$18:U$25,$E751)*INDEX(U$27:U$43,$F751)</f>
        <v/>
      </c>
      <c r="V751" s="36">
        <f>V$10*$D751*INDEX(V$18:V$25,$E751)*INDEX(V$27:V$43,$F751)</f>
        <v/>
      </c>
      <c r="W751" s="36">
        <f>W$10*$D751*INDEX(W$18:W$25,$E751)*INDEX(W$27:W$43,$F751)</f>
        <v/>
      </c>
      <c r="X751" s="36">
        <f>X$10*$D751*INDEX(X$18:X$25,$E751)*INDEX(X$27:X$43,$F751)</f>
        <v/>
      </c>
      <c r="Y751" s="36">
        <f>Y$10*$D751*INDEX(Y$18:Y$25,$E751)*INDEX(Y$27:Y$43,$F751)</f>
        <v/>
      </c>
      <c r="Z751" s="23">
        <f>LOWER(Settings!$C$4)&amp;".mit."&amp;$A751&amp;IF($C751="","","."&amp;$C751&amp;"."&amp;$B751)&amp;IF(INDEX(Variables!$D$5:$D$65,MATCH($A751,Variables!$A$5:$A$65,0))="","","."&amp;INDEX(Variables!$D$5:$D$65,MATCH($A751,Variables!$A$5:$A$65,0)))&amp;"."&amp;Z$5</f>
        <v/>
      </c>
      <c r="AA751" s="38">
        <f>AA$10*$D751*INDEX(AA$18:AA$25,$E751)*INDEX(AA$27:AA$43,$F751)</f>
        <v/>
      </c>
      <c r="AB751" s="36">
        <f>AB$10*$D751*INDEX(AB$18:AB$25,$E751)*INDEX(AB$27:AB$43,$F751)</f>
        <v/>
      </c>
      <c r="AC751" s="36">
        <f>AC$10*$D751*INDEX(AC$18:AC$25,$E751)*INDEX(AC$27:AC$43,$F751)</f>
        <v/>
      </c>
      <c r="AD751" s="36">
        <f>AD$10*$D751*INDEX(AD$18:AD$25,$E751)*INDEX(AD$27:AD$43,$F751)</f>
        <v/>
      </c>
      <c r="AE751" s="36">
        <f>AE$10*$D751*INDEX(AE$18:AE$25,$E751)*INDEX(AE$27:AE$43,$F751)</f>
        <v/>
      </c>
      <c r="AF751" s="36">
        <f>AF$10*$D751*INDEX(AF$18:AF$25,$E751)*INDEX(AF$27:AF$43,$F751)</f>
        <v/>
      </c>
      <c r="AG751" s="36">
        <f>AG$10*$D751*INDEX(AG$18:AG$25,$E751)*INDEX(AG$27:AG$43,$F751)</f>
        <v/>
      </c>
      <c r="AH751" s="36">
        <f>AH$10*$D751*INDEX(AH$18:AH$25,$E751)*INDEX(AH$27:AH$43,$F751)</f>
        <v/>
      </c>
      <c r="AI751" s="36">
        <f>AI$10*$D751*INDEX(AI$18:AI$25,$E751)*INDEX(AI$27:AI$43,$F751)</f>
        <v/>
      </c>
      <c r="AJ751" s="36">
        <f>AJ$10*$D751*INDEX(AJ$18:AJ$25,$E751)*INDEX(AJ$27:AJ$43,$F751)</f>
        <v/>
      </c>
      <c r="AK751" s="36">
        <f>AK$10*$D751*INDEX(AK$18:AK$25,$E751)*INDEX(AK$27:AK$43,$F751)</f>
        <v/>
      </c>
      <c r="AL751" s="36">
        <f>AL$10*$D751*INDEX(AL$18:AL$25,$E751)*INDEX(AL$27:AL$43,$F751)</f>
        <v/>
      </c>
      <c r="AM751" s="36">
        <f>AM$10*$D751*INDEX(AM$18:AM$25,$E751)*INDEX(AM$27:AM$43,$F751)</f>
        <v/>
      </c>
      <c r="AN751" s="36">
        <f>AN$10*$D751*INDEX(AN$18:AN$25,$E751)*INDEX(AN$27:AN$43,$F751)</f>
        <v/>
      </c>
    </row>
    <row r="752" hidden="1" outlineLevel="2">
      <c r="A752" s="5" t="inlineStr">
        <is>
          <t>ctxnew</t>
        </is>
      </c>
      <c r="B752" s="5" t="inlineStr">
        <is>
          <t>nga</t>
        </is>
      </c>
      <c r="C752" s="5" t="inlineStr">
        <is>
          <t>irn</t>
        </is>
      </c>
      <c r="D752" s="36">
        <f>INDEX(Inputs!$U$5:$U$132,MATCH($B752&amp;"|"&amp;$C752,Inputs!$A$5:$A$132,0))</f>
        <v/>
      </c>
      <c r="E752" s="36">
        <f>INDEX(Inputs!$J$5:$J$132,MATCH($B752&amp;"|"&amp;$C752,Inputs!$A$5:$A$132,0))</f>
        <v/>
      </c>
      <c r="F752" s="36">
        <f>INDEX(Inputs!$K$5:$K$132,MATCH($B752&amp;"|"&amp;$C752,Inputs!$A$5:$A$132,0))</f>
        <v/>
      </c>
      <c r="G752" s="37" t="n"/>
      <c r="H752" s="5">
        <f>INDEX(Variables!$B$5:$B$65,MATCH($A752,Variables!$A$5:$A$65,0))&amp;IF($C752="",""," | "&amp;INDEX(Mapping!$B$5:$B$25,MATCH($C752,Mapping!$A$5:$A$25,0))&amp;" | "&amp;INDEX(Mapping!$B$29:$B$38,MATCH($B752,Mapping!$A$29:$A$38,0)))</f>
        <v/>
      </c>
      <c r="I752" s="5">
        <f>INDEX(Variables!$C$5:$C$65,MATCH($A752,Variables!$A$5:$A$65,0))</f>
        <v/>
      </c>
      <c r="J752" s="5">
        <f>INDEX(Variables!$E$5:$E$65,MATCH($A752,Variables!$A$5:$A$65,0))</f>
        <v/>
      </c>
      <c r="K752" s="23">
        <f>LOWER(Settings!$C$4)&amp;".mit."&amp;$A752&amp;IF($C752="","","."&amp;$C752&amp;"."&amp;$B752)&amp;IF(INDEX(Variables!$D$5:$D$65,MATCH($A752,Variables!$A$5:$A$65,0))="","","."&amp;INDEX(Variables!$D$5:$D$65,MATCH($A752,Variables!$A$5:$A$65,0)))&amp;"."&amp;K$5</f>
        <v/>
      </c>
      <c r="L752" s="38">
        <f>L$10*$D752*INDEX(L$18:L$25,$E752)*INDEX(L$27:L$43,$F752)</f>
        <v/>
      </c>
      <c r="M752" s="36">
        <f>M$10*$D752*INDEX(M$18:M$25,$E752)*INDEX(M$27:M$43,$F752)</f>
        <v/>
      </c>
      <c r="N752" s="36">
        <f>N$10*$D752*INDEX(N$18:N$25,$E752)*INDEX(N$27:N$43,$F752)</f>
        <v/>
      </c>
      <c r="O752" s="36">
        <f>O$10*$D752*INDEX(O$18:O$25,$E752)*INDEX(O$27:O$43,$F752)</f>
        <v/>
      </c>
      <c r="P752" s="36">
        <f>P$10*$D752*INDEX(P$18:P$25,$E752)*INDEX(P$27:P$43,$F752)</f>
        <v/>
      </c>
      <c r="Q752" s="36">
        <f>Q$10*$D752*INDEX(Q$18:Q$25,$E752)*INDEX(Q$27:Q$43,$F752)</f>
        <v/>
      </c>
      <c r="R752" s="36">
        <f>R$10*$D752*INDEX(R$18:R$25,$E752)*INDEX(R$27:R$43,$F752)</f>
        <v/>
      </c>
      <c r="S752" s="36">
        <f>S$10*$D752*INDEX(S$18:S$25,$E752)*INDEX(S$27:S$43,$F752)</f>
        <v/>
      </c>
      <c r="T752" s="36">
        <f>T$10*$D752*INDEX(T$18:T$25,$E752)*INDEX(T$27:T$43,$F752)</f>
        <v/>
      </c>
      <c r="U752" s="36">
        <f>U$10*$D752*INDEX(U$18:U$25,$E752)*INDEX(U$27:U$43,$F752)</f>
        <v/>
      </c>
      <c r="V752" s="36">
        <f>V$10*$D752*INDEX(V$18:V$25,$E752)*INDEX(V$27:V$43,$F752)</f>
        <v/>
      </c>
      <c r="W752" s="36">
        <f>W$10*$D752*INDEX(W$18:W$25,$E752)*INDEX(W$27:W$43,$F752)</f>
        <v/>
      </c>
      <c r="X752" s="36">
        <f>X$10*$D752*INDEX(X$18:X$25,$E752)*INDEX(X$27:X$43,$F752)</f>
        <v/>
      </c>
      <c r="Y752" s="36">
        <f>Y$10*$D752*INDEX(Y$18:Y$25,$E752)*INDEX(Y$27:Y$43,$F752)</f>
        <v/>
      </c>
      <c r="Z752" s="23">
        <f>LOWER(Settings!$C$4)&amp;".mit."&amp;$A752&amp;IF($C752="","","."&amp;$C752&amp;"."&amp;$B752)&amp;IF(INDEX(Variables!$D$5:$D$65,MATCH($A752,Variables!$A$5:$A$65,0))="","","."&amp;INDEX(Variables!$D$5:$D$65,MATCH($A752,Variables!$A$5:$A$65,0)))&amp;"."&amp;Z$5</f>
        <v/>
      </c>
      <c r="AA752" s="38">
        <f>AA$10*$D752*INDEX(AA$18:AA$25,$E752)*INDEX(AA$27:AA$43,$F752)</f>
        <v/>
      </c>
      <c r="AB752" s="36">
        <f>AB$10*$D752*INDEX(AB$18:AB$25,$E752)*INDEX(AB$27:AB$43,$F752)</f>
        <v/>
      </c>
      <c r="AC752" s="36">
        <f>AC$10*$D752*INDEX(AC$18:AC$25,$E752)*INDEX(AC$27:AC$43,$F752)</f>
        <v/>
      </c>
      <c r="AD752" s="36">
        <f>AD$10*$D752*INDEX(AD$18:AD$25,$E752)*INDEX(AD$27:AD$43,$F752)</f>
        <v/>
      </c>
      <c r="AE752" s="36">
        <f>AE$10*$D752*INDEX(AE$18:AE$25,$E752)*INDEX(AE$27:AE$43,$F752)</f>
        <v/>
      </c>
      <c r="AF752" s="36">
        <f>AF$10*$D752*INDEX(AF$18:AF$25,$E752)*INDEX(AF$27:AF$43,$F752)</f>
        <v/>
      </c>
      <c r="AG752" s="36">
        <f>AG$10*$D752*INDEX(AG$18:AG$25,$E752)*INDEX(AG$27:AG$43,$F752)</f>
        <v/>
      </c>
      <c r="AH752" s="36">
        <f>AH$10*$D752*INDEX(AH$18:AH$25,$E752)*INDEX(AH$27:AH$43,$F752)</f>
        <v/>
      </c>
      <c r="AI752" s="36">
        <f>AI$10*$D752*INDEX(AI$18:AI$25,$E752)*INDEX(AI$27:AI$43,$F752)</f>
        <v/>
      </c>
      <c r="AJ752" s="36">
        <f>AJ$10*$D752*INDEX(AJ$18:AJ$25,$E752)*INDEX(AJ$27:AJ$43,$F752)</f>
        <v/>
      </c>
      <c r="AK752" s="36">
        <f>AK$10*$D752*INDEX(AK$18:AK$25,$E752)*INDEX(AK$27:AK$43,$F752)</f>
        <v/>
      </c>
      <c r="AL752" s="36">
        <f>AL$10*$D752*INDEX(AL$18:AL$25,$E752)*INDEX(AL$27:AL$43,$F752)</f>
        <v/>
      </c>
      <c r="AM752" s="36">
        <f>AM$10*$D752*INDEX(AM$18:AM$25,$E752)*INDEX(AM$27:AM$43,$F752)</f>
        <v/>
      </c>
      <c r="AN752" s="36">
        <f>AN$10*$D752*INDEX(AN$18:AN$25,$E752)*INDEX(AN$27:AN$43,$F752)</f>
        <v/>
      </c>
    </row>
    <row r="753" hidden="1" outlineLevel="2">
      <c r="A753" s="5" t="inlineStr">
        <is>
          <t>ctxnew</t>
        </is>
      </c>
      <c r="B753" s="5" t="inlineStr">
        <is>
          <t>gso</t>
        </is>
      </c>
      <c r="C753" s="5" t="inlineStr">
        <is>
          <t>irn</t>
        </is>
      </c>
      <c r="D753" s="36">
        <f>INDEX(Inputs!$U$5:$U$132,MATCH($B753&amp;"|"&amp;$C753,Inputs!$A$5:$A$132,0))</f>
        <v/>
      </c>
      <c r="E753" s="36">
        <f>INDEX(Inputs!$J$5:$J$132,MATCH($B753&amp;"|"&amp;$C753,Inputs!$A$5:$A$132,0))</f>
        <v/>
      </c>
      <c r="F753" s="36">
        <f>INDEX(Inputs!$K$5:$K$132,MATCH($B753&amp;"|"&amp;$C753,Inputs!$A$5:$A$132,0))</f>
        <v/>
      </c>
      <c r="G753" s="37" t="n"/>
      <c r="H753" s="5">
        <f>INDEX(Variables!$B$5:$B$65,MATCH($A753,Variables!$A$5:$A$65,0))&amp;IF($C753="",""," | "&amp;INDEX(Mapping!$B$5:$B$25,MATCH($C753,Mapping!$A$5:$A$25,0))&amp;" | "&amp;INDEX(Mapping!$B$29:$B$38,MATCH($B753,Mapping!$A$29:$A$38,0)))</f>
        <v/>
      </c>
      <c r="I753" s="5">
        <f>INDEX(Variables!$C$5:$C$65,MATCH($A753,Variables!$A$5:$A$65,0))</f>
        <v/>
      </c>
      <c r="J753" s="5">
        <f>INDEX(Variables!$E$5:$E$65,MATCH($A753,Variables!$A$5:$A$65,0))</f>
        <v/>
      </c>
      <c r="K753" s="23">
        <f>LOWER(Settings!$C$4)&amp;".mit."&amp;$A753&amp;IF($C753="","","."&amp;$C753&amp;"."&amp;$B753)&amp;IF(INDEX(Variables!$D$5:$D$65,MATCH($A753,Variables!$A$5:$A$65,0))="","","."&amp;INDEX(Variables!$D$5:$D$65,MATCH($A753,Variables!$A$5:$A$65,0)))&amp;"."&amp;K$5</f>
        <v/>
      </c>
      <c r="L753" s="38">
        <f>L$10*$D753*INDEX(L$18:L$25,$E753)*INDEX(L$27:L$43,$F753)</f>
        <v/>
      </c>
      <c r="M753" s="36">
        <f>M$10*$D753*INDEX(M$18:M$25,$E753)*INDEX(M$27:M$43,$F753)</f>
        <v/>
      </c>
      <c r="N753" s="36">
        <f>N$10*$D753*INDEX(N$18:N$25,$E753)*INDEX(N$27:N$43,$F753)</f>
        <v/>
      </c>
      <c r="O753" s="36">
        <f>O$10*$D753*INDEX(O$18:O$25,$E753)*INDEX(O$27:O$43,$F753)</f>
        <v/>
      </c>
      <c r="P753" s="36">
        <f>P$10*$D753*INDEX(P$18:P$25,$E753)*INDEX(P$27:P$43,$F753)</f>
        <v/>
      </c>
      <c r="Q753" s="36">
        <f>Q$10*$D753*INDEX(Q$18:Q$25,$E753)*INDEX(Q$27:Q$43,$F753)</f>
        <v/>
      </c>
      <c r="R753" s="36">
        <f>R$10*$D753*INDEX(R$18:R$25,$E753)*INDEX(R$27:R$43,$F753)</f>
        <v/>
      </c>
      <c r="S753" s="36">
        <f>S$10*$D753*INDEX(S$18:S$25,$E753)*INDEX(S$27:S$43,$F753)</f>
        <v/>
      </c>
      <c r="T753" s="36">
        <f>T$10*$D753*INDEX(T$18:T$25,$E753)*INDEX(T$27:T$43,$F753)</f>
        <v/>
      </c>
      <c r="U753" s="36">
        <f>U$10*$D753*INDEX(U$18:U$25,$E753)*INDEX(U$27:U$43,$F753)</f>
        <v/>
      </c>
      <c r="V753" s="36">
        <f>V$10*$D753*INDEX(V$18:V$25,$E753)*INDEX(V$27:V$43,$F753)</f>
        <v/>
      </c>
      <c r="W753" s="36">
        <f>W$10*$D753*INDEX(W$18:W$25,$E753)*INDEX(W$27:W$43,$F753)</f>
        <v/>
      </c>
      <c r="X753" s="36">
        <f>X$10*$D753*INDEX(X$18:X$25,$E753)*INDEX(X$27:X$43,$F753)</f>
        <v/>
      </c>
      <c r="Y753" s="36">
        <f>Y$10*$D753*INDEX(Y$18:Y$25,$E753)*INDEX(Y$27:Y$43,$F753)</f>
        <v/>
      </c>
      <c r="Z753" s="23">
        <f>LOWER(Settings!$C$4)&amp;".mit."&amp;$A753&amp;IF($C753="","","."&amp;$C753&amp;"."&amp;$B753)&amp;IF(INDEX(Variables!$D$5:$D$65,MATCH($A753,Variables!$A$5:$A$65,0))="","","."&amp;INDEX(Variables!$D$5:$D$65,MATCH($A753,Variables!$A$5:$A$65,0)))&amp;"."&amp;Z$5</f>
        <v/>
      </c>
      <c r="AA753" s="38">
        <f>AA$10*$D753*INDEX(AA$18:AA$25,$E753)*INDEX(AA$27:AA$43,$F753)</f>
        <v/>
      </c>
      <c r="AB753" s="36">
        <f>AB$10*$D753*INDEX(AB$18:AB$25,$E753)*INDEX(AB$27:AB$43,$F753)</f>
        <v/>
      </c>
      <c r="AC753" s="36">
        <f>AC$10*$D753*INDEX(AC$18:AC$25,$E753)*INDEX(AC$27:AC$43,$F753)</f>
        <v/>
      </c>
      <c r="AD753" s="36">
        <f>AD$10*$D753*INDEX(AD$18:AD$25,$E753)*INDEX(AD$27:AD$43,$F753)</f>
        <v/>
      </c>
      <c r="AE753" s="36">
        <f>AE$10*$D753*INDEX(AE$18:AE$25,$E753)*INDEX(AE$27:AE$43,$F753)</f>
        <v/>
      </c>
      <c r="AF753" s="36">
        <f>AF$10*$D753*INDEX(AF$18:AF$25,$E753)*INDEX(AF$27:AF$43,$F753)</f>
        <v/>
      </c>
      <c r="AG753" s="36">
        <f>AG$10*$D753*INDEX(AG$18:AG$25,$E753)*INDEX(AG$27:AG$43,$F753)</f>
        <v/>
      </c>
      <c r="AH753" s="36">
        <f>AH$10*$D753*INDEX(AH$18:AH$25,$E753)*INDEX(AH$27:AH$43,$F753)</f>
        <v/>
      </c>
      <c r="AI753" s="36">
        <f>AI$10*$D753*INDEX(AI$18:AI$25,$E753)*INDEX(AI$27:AI$43,$F753)</f>
        <v/>
      </c>
      <c r="AJ753" s="36">
        <f>AJ$10*$D753*INDEX(AJ$18:AJ$25,$E753)*INDEX(AJ$27:AJ$43,$F753)</f>
        <v/>
      </c>
      <c r="AK753" s="36">
        <f>AK$10*$D753*INDEX(AK$18:AK$25,$E753)*INDEX(AK$27:AK$43,$F753)</f>
        <v/>
      </c>
      <c r="AL753" s="36">
        <f>AL$10*$D753*INDEX(AL$18:AL$25,$E753)*INDEX(AL$27:AL$43,$F753)</f>
        <v/>
      </c>
      <c r="AM753" s="36">
        <f>AM$10*$D753*INDEX(AM$18:AM$25,$E753)*INDEX(AM$27:AM$43,$F753)</f>
        <v/>
      </c>
      <c r="AN753" s="36">
        <f>AN$10*$D753*INDEX(AN$18:AN$25,$E753)*INDEX(AN$27:AN$43,$F753)</f>
        <v/>
      </c>
    </row>
    <row r="754" hidden="1" outlineLevel="2">
      <c r="A754" s="5" t="inlineStr">
        <is>
          <t>ctxnew</t>
        </is>
      </c>
      <c r="B754" s="5" t="inlineStr">
        <is>
          <t>die</t>
        </is>
      </c>
      <c r="C754" s="5" t="inlineStr">
        <is>
          <t>irn</t>
        </is>
      </c>
      <c r="D754" s="36">
        <f>INDEX(Inputs!$U$5:$U$132,MATCH($B754&amp;"|"&amp;$C754,Inputs!$A$5:$A$132,0))</f>
        <v/>
      </c>
      <c r="E754" s="36">
        <f>INDEX(Inputs!$J$5:$J$132,MATCH($B754&amp;"|"&amp;$C754,Inputs!$A$5:$A$132,0))</f>
        <v/>
      </c>
      <c r="F754" s="36">
        <f>INDEX(Inputs!$K$5:$K$132,MATCH($B754&amp;"|"&amp;$C754,Inputs!$A$5:$A$132,0))</f>
        <v/>
      </c>
      <c r="G754" s="37" t="n"/>
      <c r="H754" s="5">
        <f>INDEX(Variables!$B$5:$B$65,MATCH($A754,Variables!$A$5:$A$65,0))&amp;IF($C754="",""," | "&amp;INDEX(Mapping!$B$5:$B$25,MATCH($C754,Mapping!$A$5:$A$25,0))&amp;" | "&amp;INDEX(Mapping!$B$29:$B$38,MATCH($B754,Mapping!$A$29:$A$38,0)))</f>
        <v/>
      </c>
      <c r="I754" s="5">
        <f>INDEX(Variables!$C$5:$C$65,MATCH($A754,Variables!$A$5:$A$65,0))</f>
        <v/>
      </c>
      <c r="J754" s="5">
        <f>INDEX(Variables!$E$5:$E$65,MATCH($A754,Variables!$A$5:$A$65,0))</f>
        <v/>
      </c>
      <c r="K754" s="23">
        <f>LOWER(Settings!$C$4)&amp;".mit."&amp;$A754&amp;IF($C754="","","."&amp;$C754&amp;"."&amp;$B754)&amp;IF(INDEX(Variables!$D$5:$D$65,MATCH($A754,Variables!$A$5:$A$65,0))="","","."&amp;INDEX(Variables!$D$5:$D$65,MATCH($A754,Variables!$A$5:$A$65,0)))&amp;"."&amp;K$5</f>
        <v/>
      </c>
      <c r="L754" s="38">
        <f>L$10*$D754*INDEX(L$18:L$25,$E754)*INDEX(L$27:L$43,$F754)</f>
        <v/>
      </c>
      <c r="M754" s="36">
        <f>M$10*$D754*INDEX(M$18:M$25,$E754)*INDEX(M$27:M$43,$F754)</f>
        <v/>
      </c>
      <c r="N754" s="36">
        <f>N$10*$D754*INDEX(N$18:N$25,$E754)*INDEX(N$27:N$43,$F754)</f>
        <v/>
      </c>
      <c r="O754" s="36">
        <f>O$10*$D754*INDEX(O$18:O$25,$E754)*INDEX(O$27:O$43,$F754)</f>
        <v/>
      </c>
      <c r="P754" s="36">
        <f>P$10*$D754*INDEX(P$18:P$25,$E754)*INDEX(P$27:P$43,$F754)</f>
        <v/>
      </c>
      <c r="Q754" s="36">
        <f>Q$10*$D754*INDEX(Q$18:Q$25,$E754)*INDEX(Q$27:Q$43,$F754)</f>
        <v/>
      </c>
      <c r="R754" s="36">
        <f>R$10*$D754*INDEX(R$18:R$25,$E754)*INDEX(R$27:R$43,$F754)</f>
        <v/>
      </c>
      <c r="S754" s="36">
        <f>S$10*$D754*INDEX(S$18:S$25,$E754)*INDEX(S$27:S$43,$F754)</f>
        <v/>
      </c>
      <c r="T754" s="36">
        <f>T$10*$D754*INDEX(T$18:T$25,$E754)*INDEX(T$27:T$43,$F754)</f>
        <v/>
      </c>
      <c r="U754" s="36">
        <f>U$10*$D754*INDEX(U$18:U$25,$E754)*INDEX(U$27:U$43,$F754)</f>
        <v/>
      </c>
      <c r="V754" s="36">
        <f>V$10*$D754*INDEX(V$18:V$25,$E754)*INDEX(V$27:V$43,$F754)</f>
        <v/>
      </c>
      <c r="W754" s="36">
        <f>W$10*$D754*INDEX(W$18:W$25,$E754)*INDEX(W$27:W$43,$F754)</f>
        <v/>
      </c>
      <c r="X754" s="36">
        <f>X$10*$D754*INDEX(X$18:X$25,$E754)*INDEX(X$27:X$43,$F754)</f>
        <v/>
      </c>
      <c r="Y754" s="36">
        <f>Y$10*$D754*INDEX(Y$18:Y$25,$E754)*INDEX(Y$27:Y$43,$F754)</f>
        <v/>
      </c>
      <c r="Z754" s="23">
        <f>LOWER(Settings!$C$4)&amp;".mit."&amp;$A754&amp;IF($C754="","","."&amp;$C754&amp;"."&amp;$B754)&amp;IF(INDEX(Variables!$D$5:$D$65,MATCH($A754,Variables!$A$5:$A$65,0))="","","."&amp;INDEX(Variables!$D$5:$D$65,MATCH($A754,Variables!$A$5:$A$65,0)))&amp;"."&amp;Z$5</f>
        <v/>
      </c>
      <c r="AA754" s="38">
        <f>AA$10*$D754*INDEX(AA$18:AA$25,$E754)*INDEX(AA$27:AA$43,$F754)</f>
        <v/>
      </c>
      <c r="AB754" s="36">
        <f>AB$10*$D754*INDEX(AB$18:AB$25,$E754)*INDEX(AB$27:AB$43,$F754)</f>
        <v/>
      </c>
      <c r="AC754" s="36">
        <f>AC$10*$D754*INDEX(AC$18:AC$25,$E754)*INDEX(AC$27:AC$43,$F754)</f>
        <v/>
      </c>
      <c r="AD754" s="36">
        <f>AD$10*$D754*INDEX(AD$18:AD$25,$E754)*INDEX(AD$27:AD$43,$F754)</f>
        <v/>
      </c>
      <c r="AE754" s="36">
        <f>AE$10*$D754*INDEX(AE$18:AE$25,$E754)*INDEX(AE$27:AE$43,$F754)</f>
        <v/>
      </c>
      <c r="AF754" s="36">
        <f>AF$10*$D754*INDEX(AF$18:AF$25,$E754)*INDEX(AF$27:AF$43,$F754)</f>
        <v/>
      </c>
      <c r="AG754" s="36">
        <f>AG$10*$D754*INDEX(AG$18:AG$25,$E754)*INDEX(AG$27:AG$43,$F754)</f>
        <v/>
      </c>
      <c r="AH754" s="36">
        <f>AH$10*$D754*INDEX(AH$18:AH$25,$E754)*INDEX(AH$27:AH$43,$F754)</f>
        <v/>
      </c>
      <c r="AI754" s="36">
        <f>AI$10*$D754*INDEX(AI$18:AI$25,$E754)*INDEX(AI$27:AI$43,$F754)</f>
        <v/>
      </c>
      <c r="AJ754" s="36">
        <f>AJ$10*$D754*INDEX(AJ$18:AJ$25,$E754)*INDEX(AJ$27:AJ$43,$F754)</f>
        <v/>
      </c>
      <c r="AK754" s="36">
        <f>AK$10*$D754*INDEX(AK$18:AK$25,$E754)*INDEX(AK$27:AK$43,$F754)</f>
        <v/>
      </c>
      <c r="AL754" s="36">
        <f>AL$10*$D754*INDEX(AL$18:AL$25,$E754)*INDEX(AL$27:AL$43,$F754)</f>
        <v/>
      </c>
      <c r="AM754" s="36">
        <f>AM$10*$D754*INDEX(AM$18:AM$25,$E754)*INDEX(AM$27:AM$43,$F754)</f>
        <v/>
      </c>
      <c r="AN754" s="36">
        <f>AN$10*$D754*INDEX(AN$18:AN$25,$E754)*INDEX(AN$27:AN$43,$F754)</f>
        <v/>
      </c>
    </row>
    <row r="755" hidden="1" outlineLevel="2">
      <c r="A755" s="5" t="inlineStr">
        <is>
          <t>ctxnew</t>
        </is>
      </c>
      <c r="B755" s="5" t="inlineStr">
        <is>
          <t>lpg</t>
        </is>
      </c>
      <c r="C755" s="5" t="inlineStr">
        <is>
          <t>irn</t>
        </is>
      </c>
      <c r="D755" s="36">
        <f>INDEX(Inputs!$U$5:$U$132,MATCH($B755&amp;"|"&amp;$C755,Inputs!$A$5:$A$132,0))</f>
        <v/>
      </c>
      <c r="E755" s="36">
        <f>INDEX(Inputs!$J$5:$J$132,MATCH($B755&amp;"|"&amp;$C755,Inputs!$A$5:$A$132,0))</f>
        <v/>
      </c>
      <c r="F755" s="36">
        <f>INDEX(Inputs!$K$5:$K$132,MATCH($B755&amp;"|"&amp;$C755,Inputs!$A$5:$A$132,0))</f>
        <v/>
      </c>
      <c r="G755" s="37" t="n"/>
      <c r="H755" s="5">
        <f>INDEX(Variables!$B$5:$B$65,MATCH($A755,Variables!$A$5:$A$65,0))&amp;IF($C755="",""," | "&amp;INDEX(Mapping!$B$5:$B$25,MATCH($C755,Mapping!$A$5:$A$25,0))&amp;" | "&amp;INDEX(Mapping!$B$29:$B$38,MATCH($B755,Mapping!$A$29:$A$38,0)))</f>
        <v/>
      </c>
      <c r="I755" s="5">
        <f>INDEX(Variables!$C$5:$C$65,MATCH($A755,Variables!$A$5:$A$65,0))</f>
        <v/>
      </c>
      <c r="J755" s="5">
        <f>INDEX(Variables!$E$5:$E$65,MATCH($A755,Variables!$A$5:$A$65,0))</f>
        <v/>
      </c>
      <c r="K755" s="23">
        <f>LOWER(Settings!$C$4)&amp;".mit."&amp;$A755&amp;IF($C755="","","."&amp;$C755&amp;"."&amp;$B755)&amp;IF(INDEX(Variables!$D$5:$D$65,MATCH($A755,Variables!$A$5:$A$65,0))="","","."&amp;INDEX(Variables!$D$5:$D$65,MATCH($A755,Variables!$A$5:$A$65,0)))&amp;"."&amp;K$5</f>
        <v/>
      </c>
      <c r="L755" s="38">
        <f>L$10*$D755*INDEX(L$18:L$25,$E755)*INDEX(L$27:L$43,$F755)</f>
        <v/>
      </c>
      <c r="M755" s="36">
        <f>M$10*$D755*INDEX(M$18:M$25,$E755)*INDEX(M$27:M$43,$F755)</f>
        <v/>
      </c>
      <c r="N755" s="36">
        <f>N$10*$D755*INDEX(N$18:N$25,$E755)*INDEX(N$27:N$43,$F755)</f>
        <v/>
      </c>
      <c r="O755" s="36">
        <f>O$10*$D755*INDEX(O$18:O$25,$E755)*INDEX(O$27:O$43,$F755)</f>
        <v/>
      </c>
      <c r="P755" s="36">
        <f>P$10*$D755*INDEX(P$18:P$25,$E755)*INDEX(P$27:P$43,$F755)</f>
        <v/>
      </c>
      <c r="Q755" s="36">
        <f>Q$10*$D755*INDEX(Q$18:Q$25,$E755)*INDEX(Q$27:Q$43,$F755)</f>
        <v/>
      </c>
      <c r="R755" s="36">
        <f>R$10*$D755*INDEX(R$18:R$25,$E755)*INDEX(R$27:R$43,$F755)</f>
        <v/>
      </c>
      <c r="S755" s="36">
        <f>S$10*$D755*INDEX(S$18:S$25,$E755)*INDEX(S$27:S$43,$F755)</f>
        <v/>
      </c>
      <c r="T755" s="36">
        <f>T$10*$D755*INDEX(T$18:T$25,$E755)*INDEX(T$27:T$43,$F755)</f>
        <v/>
      </c>
      <c r="U755" s="36">
        <f>U$10*$D755*INDEX(U$18:U$25,$E755)*INDEX(U$27:U$43,$F755)</f>
        <v/>
      </c>
      <c r="V755" s="36">
        <f>V$10*$D755*INDEX(V$18:V$25,$E755)*INDEX(V$27:V$43,$F755)</f>
        <v/>
      </c>
      <c r="W755" s="36">
        <f>W$10*$D755*INDEX(W$18:W$25,$E755)*INDEX(W$27:W$43,$F755)</f>
        <v/>
      </c>
      <c r="X755" s="36">
        <f>X$10*$D755*INDEX(X$18:X$25,$E755)*INDEX(X$27:X$43,$F755)</f>
        <v/>
      </c>
      <c r="Y755" s="36">
        <f>Y$10*$D755*INDEX(Y$18:Y$25,$E755)*INDEX(Y$27:Y$43,$F755)</f>
        <v/>
      </c>
      <c r="Z755" s="23">
        <f>LOWER(Settings!$C$4)&amp;".mit."&amp;$A755&amp;IF($C755="","","."&amp;$C755&amp;"."&amp;$B755)&amp;IF(INDEX(Variables!$D$5:$D$65,MATCH($A755,Variables!$A$5:$A$65,0))="","","."&amp;INDEX(Variables!$D$5:$D$65,MATCH($A755,Variables!$A$5:$A$65,0)))&amp;"."&amp;Z$5</f>
        <v/>
      </c>
      <c r="AA755" s="38">
        <f>AA$10*$D755*INDEX(AA$18:AA$25,$E755)*INDEX(AA$27:AA$43,$F755)</f>
        <v/>
      </c>
      <c r="AB755" s="36">
        <f>AB$10*$D755*INDEX(AB$18:AB$25,$E755)*INDEX(AB$27:AB$43,$F755)</f>
        <v/>
      </c>
      <c r="AC755" s="36">
        <f>AC$10*$D755*INDEX(AC$18:AC$25,$E755)*INDEX(AC$27:AC$43,$F755)</f>
        <v/>
      </c>
      <c r="AD755" s="36">
        <f>AD$10*$D755*INDEX(AD$18:AD$25,$E755)*INDEX(AD$27:AD$43,$F755)</f>
        <v/>
      </c>
      <c r="AE755" s="36">
        <f>AE$10*$D755*INDEX(AE$18:AE$25,$E755)*INDEX(AE$27:AE$43,$F755)</f>
        <v/>
      </c>
      <c r="AF755" s="36">
        <f>AF$10*$D755*INDEX(AF$18:AF$25,$E755)*INDEX(AF$27:AF$43,$F755)</f>
        <v/>
      </c>
      <c r="AG755" s="36">
        <f>AG$10*$D755*INDEX(AG$18:AG$25,$E755)*INDEX(AG$27:AG$43,$F755)</f>
        <v/>
      </c>
      <c r="AH755" s="36">
        <f>AH$10*$D755*INDEX(AH$18:AH$25,$E755)*INDEX(AH$27:AH$43,$F755)</f>
        <v/>
      </c>
      <c r="AI755" s="36">
        <f>AI$10*$D755*INDEX(AI$18:AI$25,$E755)*INDEX(AI$27:AI$43,$F755)</f>
        <v/>
      </c>
      <c r="AJ755" s="36">
        <f>AJ$10*$D755*INDEX(AJ$18:AJ$25,$E755)*INDEX(AJ$27:AJ$43,$F755)</f>
        <v/>
      </c>
      <c r="AK755" s="36">
        <f>AK$10*$D755*INDEX(AK$18:AK$25,$E755)*INDEX(AK$27:AK$43,$F755)</f>
        <v/>
      </c>
      <c r="AL755" s="36">
        <f>AL$10*$D755*INDEX(AL$18:AL$25,$E755)*INDEX(AL$27:AL$43,$F755)</f>
        <v/>
      </c>
      <c r="AM755" s="36">
        <f>AM$10*$D755*INDEX(AM$18:AM$25,$E755)*INDEX(AM$27:AM$43,$F755)</f>
        <v/>
      </c>
      <c r="AN755" s="36">
        <f>AN$10*$D755*INDEX(AN$18:AN$25,$E755)*INDEX(AN$27:AN$43,$F755)</f>
        <v/>
      </c>
    </row>
    <row r="756" hidden="1" outlineLevel="2">
      <c r="A756" s="5" t="inlineStr">
        <is>
          <t>ctxnew</t>
        </is>
      </c>
      <c r="B756" s="5" t="inlineStr">
        <is>
          <t>ker</t>
        </is>
      </c>
      <c r="C756" s="5" t="inlineStr">
        <is>
          <t>irn</t>
        </is>
      </c>
      <c r="D756" s="36">
        <f>INDEX(Inputs!$U$5:$U$132,MATCH($B756&amp;"|"&amp;$C756,Inputs!$A$5:$A$132,0))</f>
        <v/>
      </c>
      <c r="E756" s="36">
        <f>INDEX(Inputs!$J$5:$J$132,MATCH($B756&amp;"|"&amp;$C756,Inputs!$A$5:$A$132,0))</f>
        <v/>
      </c>
      <c r="F756" s="36">
        <f>INDEX(Inputs!$K$5:$K$132,MATCH($B756&amp;"|"&amp;$C756,Inputs!$A$5:$A$132,0))</f>
        <v/>
      </c>
      <c r="G756" s="37" t="n"/>
      <c r="H756" s="5">
        <f>INDEX(Variables!$B$5:$B$65,MATCH($A756,Variables!$A$5:$A$65,0))&amp;IF($C756="",""," | "&amp;INDEX(Mapping!$B$5:$B$25,MATCH($C756,Mapping!$A$5:$A$25,0))&amp;" | "&amp;INDEX(Mapping!$B$29:$B$38,MATCH($B756,Mapping!$A$29:$A$38,0)))</f>
        <v/>
      </c>
      <c r="I756" s="5">
        <f>INDEX(Variables!$C$5:$C$65,MATCH($A756,Variables!$A$5:$A$65,0))</f>
        <v/>
      </c>
      <c r="J756" s="5">
        <f>INDEX(Variables!$E$5:$E$65,MATCH($A756,Variables!$A$5:$A$65,0))</f>
        <v/>
      </c>
      <c r="K756" s="23">
        <f>LOWER(Settings!$C$4)&amp;".mit."&amp;$A756&amp;IF($C756="","","."&amp;$C756&amp;"."&amp;$B756)&amp;IF(INDEX(Variables!$D$5:$D$65,MATCH($A756,Variables!$A$5:$A$65,0))="","","."&amp;INDEX(Variables!$D$5:$D$65,MATCH($A756,Variables!$A$5:$A$65,0)))&amp;"."&amp;K$5</f>
        <v/>
      </c>
      <c r="L756" s="38">
        <f>L$10*$D756*INDEX(L$18:L$25,$E756)*INDEX(L$27:L$43,$F756)</f>
        <v/>
      </c>
      <c r="M756" s="36">
        <f>M$10*$D756*INDEX(M$18:M$25,$E756)*INDEX(M$27:M$43,$F756)</f>
        <v/>
      </c>
      <c r="N756" s="36">
        <f>N$10*$D756*INDEX(N$18:N$25,$E756)*INDEX(N$27:N$43,$F756)</f>
        <v/>
      </c>
      <c r="O756" s="36">
        <f>O$10*$D756*INDEX(O$18:O$25,$E756)*INDEX(O$27:O$43,$F756)</f>
        <v/>
      </c>
      <c r="P756" s="36">
        <f>P$10*$D756*INDEX(P$18:P$25,$E756)*INDEX(P$27:P$43,$F756)</f>
        <v/>
      </c>
      <c r="Q756" s="36">
        <f>Q$10*$D756*INDEX(Q$18:Q$25,$E756)*INDEX(Q$27:Q$43,$F756)</f>
        <v/>
      </c>
      <c r="R756" s="36">
        <f>R$10*$D756*INDEX(R$18:R$25,$E756)*INDEX(R$27:R$43,$F756)</f>
        <v/>
      </c>
      <c r="S756" s="36">
        <f>S$10*$D756*INDEX(S$18:S$25,$E756)*INDEX(S$27:S$43,$F756)</f>
        <v/>
      </c>
      <c r="T756" s="36">
        <f>T$10*$D756*INDEX(T$18:T$25,$E756)*INDEX(T$27:T$43,$F756)</f>
        <v/>
      </c>
      <c r="U756" s="36">
        <f>U$10*$D756*INDEX(U$18:U$25,$E756)*INDEX(U$27:U$43,$F756)</f>
        <v/>
      </c>
      <c r="V756" s="36">
        <f>V$10*$D756*INDEX(V$18:V$25,$E756)*INDEX(V$27:V$43,$F756)</f>
        <v/>
      </c>
      <c r="W756" s="36">
        <f>W$10*$D756*INDEX(W$18:W$25,$E756)*INDEX(W$27:W$43,$F756)</f>
        <v/>
      </c>
      <c r="X756" s="36">
        <f>X$10*$D756*INDEX(X$18:X$25,$E756)*INDEX(X$27:X$43,$F756)</f>
        <v/>
      </c>
      <c r="Y756" s="36">
        <f>Y$10*$D756*INDEX(Y$18:Y$25,$E756)*INDEX(Y$27:Y$43,$F756)</f>
        <v/>
      </c>
      <c r="Z756" s="23">
        <f>LOWER(Settings!$C$4)&amp;".mit."&amp;$A756&amp;IF($C756="","","."&amp;$C756&amp;"."&amp;$B756)&amp;IF(INDEX(Variables!$D$5:$D$65,MATCH($A756,Variables!$A$5:$A$65,0))="","","."&amp;INDEX(Variables!$D$5:$D$65,MATCH($A756,Variables!$A$5:$A$65,0)))&amp;"."&amp;Z$5</f>
        <v/>
      </c>
      <c r="AA756" s="38">
        <f>AA$10*$D756*INDEX(AA$18:AA$25,$E756)*INDEX(AA$27:AA$43,$F756)</f>
        <v/>
      </c>
      <c r="AB756" s="36">
        <f>AB$10*$D756*INDEX(AB$18:AB$25,$E756)*INDEX(AB$27:AB$43,$F756)</f>
        <v/>
      </c>
      <c r="AC756" s="36">
        <f>AC$10*$D756*INDEX(AC$18:AC$25,$E756)*INDEX(AC$27:AC$43,$F756)</f>
        <v/>
      </c>
      <c r="AD756" s="36">
        <f>AD$10*$D756*INDEX(AD$18:AD$25,$E756)*INDEX(AD$27:AD$43,$F756)</f>
        <v/>
      </c>
      <c r="AE756" s="36">
        <f>AE$10*$D756*INDEX(AE$18:AE$25,$E756)*INDEX(AE$27:AE$43,$F756)</f>
        <v/>
      </c>
      <c r="AF756" s="36">
        <f>AF$10*$D756*INDEX(AF$18:AF$25,$E756)*INDEX(AF$27:AF$43,$F756)</f>
        <v/>
      </c>
      <c r="AG756" s="36">
        <f>AG$10*$D756*INDEX(AG$18:AG$25,$E756)*INDEX(AG$27:AG$43,$F756)</f>
        <v/>
      </c>
      <c r="AH756" s="36">
        <f>AH$10*$D756*INDEX(AH$18:AH$25,$E756)*INDEX(AH$27:AH$43,$F756)</f>
        <v/>
      </c>
      <c r="AI756" s="36">
        <f>AI$10*$D756*INDEX(AI$18:AI$25,$E756)*INDEX(AI$27:AI$43,$F756)</f>
        <v/>
      </c>
      <c r="AJ756" s="36">
        <f>AJ$10*$D756*INDEX(AJ$18:AJ$25,$E756)*INDEX(AJ$27:AJ$43,$F756)</f>
        <v/>
      </c>
      <c r="AK756" s="36">
        <f>AK$10*$D756*INDEX(AK$18:AK$25,$E756)*INDEX(AK$27:AK$43,$F756)</f>
        <v/>
      </c>
      <c r="AL756" s="36">
        <f>AL$10*$D756*INDEX(AL$18:AL$25,$E756)*INDEX(AL$27:AL$43,$F756)</f>
        <v/>
      </c>
      <c r="AM756" s="36">
        <f>AM$10*$D756*INDEX(AM$18:AM$25,$E756)*INDEX(AM$27:AM$43,$F756)</f>
        <v/>
      </c>
      <c r="AN756" s="36">
        <f>AN$10*$D756*INDEX(AN$18:AN$25,$E756)*INDEX(AN$27:AN$43,$F756)</f>
        <v/>
      </c>
    </row>
    <row r="757" hidden="1" outlineLevel="2">
      <c r="A757" s="5" t="inlineStr">
        <is>
          <t>ctxnew</t>
        </is>
      </c>
      <c r="B757" s="5" t="inlineStr">
        <is>
          <t>oop</t>
        </is>
      </c>
      <c r="C757" s="5" t="inlineStr">
        <is>
          <t>irn</t>
        </is>
      </c>
      <c r="D757" s="36">
        <f>INDEX(Inputs!$U$5:$U$132,MATCH($B757&amp;"|"&amp;$C757,Inputs!$A$5:$A$132,0))</f>
        <v/>
      </c>
      <c r="E757" s="36">
        <f>INDEX(Inputs!$J$5:$J$132,MATCH($B757&amp;"|"&amp;$C757,Inputs!$A$5:$A$132,0))</f>
        <v/>
      </c>
      <c r="F757" s="36">
        <f>INDEX(Inputs!$K$5:$K$132,MATCH($B757&amp;"|"&amp;$C757,Inputs!$A$5:$A$132,0))</f>
        <v/>
      </c>
      <c r="G757" s="37" t="n"/>
      <c r="H757" s="5">
        <f>INDEX(Variables!$B$5:$B$65,MATCH($A757,Variables!$A$5:$A$65,0))&amp;IF($C757="",""," | "&amp;INDEX(Mapping!$B$5:$B$25,MATCH($C757,Mapping!$A$5:$A$25,0))&amp;" | "&amp;INDEX(Mapping!$B$29:$B$38,MATCH($B757,Mapping!$A$29:$A$38,0)))</f>
        <v/>
      </c>
      <c r="I757" s="5">
        <f>INDEX(Variables!$C$5:$C$65,MATCH($A757,Variables!$A$5:$A$65,0))</f>
        <v/>
      </c>
      <c r="J757" s="5">
        <f>INDEX(Variables!$E$5:$E$65,MATCH($A757,Variables!$A$5:$A$65,0))</f>
        <v/>
      </c>
      <c r="K757" s="23">
        <f>LOWER(Settings!$C$4)&amp;".mit."&amp;$A757&amp;IF($C757="","","."&amp;$C757&amp;"."&amp;$B757)&amp;IF(INDEX(Variables!$D$5:$D$65,MATCH($A757,Variables!$A$5:$A$65,0))="","","."&amp;INDEX(Variables!$D$5:$D$65,MATCH($A757,Variables!$A$5:$A$65,0)))&amp;"."&amp;K$5</f>
        <v/>
      </c>
      <c r="L757" s="38">
        <f>L$10*$D757*INDEX(L$18:L$25,$E757)*INDEX(L$27:L$43,$F757)</f>
        <v/>
      </c>
      <c r="M757" s="36">
        <f>M$10*$D757*INDEX(M$18:M$25,$E757)*INDEX(M$27:M$43,$F757)</f>
        <v/>
      </c>
      <c r="N757" s="36">
        <f>N$10*$D757*INDEX(N$18:N$25,$E757)*INDEX(N$27:N$43,$F757)</f>
        <v/>
      </c>
      <c r="O757" s="36">
        <f>O$10*$D757*INDEX(O$18:O$25,$E757)*INDEX(O$27:O$43,$F757)</f>
        <v/>
      </c>
      <c r="P757" s="36">
        <f>P$10*$D757*INDEX(P$18:P$25,$E757)*INDEX(P$27:P$43,$F757)</f>
        <v/>
      </c>
      <c r="Q757" s="36">
        <f>Q$10*$D757*INDEX(Q$18:Q$25,$E757)*INDEX(Q$27:Q$43,$F757)</f>
        <v/>
      </c>
      <c r="R757" s="36">
        <f>R$10*$D757*INDEX(R$18:R$25,$E757)*INDEX(R$27:R$43,$F757)</f>
        <v/>
      </c>
      <c r="S757" s="36">
        <f>S$10*$D757*INDEX(S$18:S$25,$E757)*INDEX(S$27:S$43,$F757)</f>
        <v/>
      </c>
      <c r="T757" s="36">
        <f>T$10*$D757*INDEX(T$18:T$25,$E757)*INDEX(T$27:T$43,$F757)</f>
        <v/>
      </c>
      <c r="U757" s="36">
        <f>U$10*$D757*INDEX(U$18:U$25,$E757)*INDEX(U$27:U$43,$F757)</f>
        <v/>
      </c>
      <c r="V757" s="36">
        <f>V$10*$D757*INDEX(V$18:V$25,$E757)*INDEX(V$27:V$43,$F757)</f>
        <v/>
      </c>
      <c r="W757" s="36">
        <f>W$10*$D757*INDEX(W$18:W$25,$E757)*INDEX(W$27:W$43,$F757)</f>
        <v/>
      </c>
      <c r="X757" s="36">
        <f>X$10*$D757*INDEX(X$18:X$25,$E757)*INDEX(X$27:X$43,$F757)</f>
        <v/>
      </c>
      <c r="Y757" s="36">
        <f>Y$10*$D757*INDEX(Y$18:Y$25,$E757)*INDEX(Y$27:Y$43,$F757)</f>
        <v/>
      </c>
      <c r="Z757" s="23">
        <f>LOWER(Settings!$C$4)&amp;".mit."&amp;$A757&amp;IF($C757="","","."&amp;$C757&amp;"."&amp;$B757)&amp;IF(INDEX(Variables!$D$5:$D$65,MATCH($A757,Variables!$A$5:$A$65,0))="","","."&amp;INDEX(Variables!$D$5:$D$65,MATCH($A757,Variables!$A$5:$A$65,0)))&amp;"."&amp;Z$5</f>
        <v/>
      </c>
      <c r="AA757" s="38">
        <f>AA$10*$D757*INDEX(AA$18:AA$25,$E757)*INDEX(AA$27:AA$43,$F757)</f>
        <v/>
      </c>
      <c r="AB757" s="36">
        <f>AB$10*$D757*INDEX(AB$18:AB$25,$E757)*INDEX(AB$27:AB$43,$F757)</f>
        <v/>
      </c>
      <c r="AC757" s="36">
        <f>AC$10*$D757*INDEX(AC$18:AC$25,$E757)*INDEX(AC$27:AC$43,$F757)</f>
        <v/>
      </c>
      <c r="AD757" s="36">
        <f>AD$10*$D757*INDEX(AD$18:AD$25,$E757)*INDEX(AD$27:AD$43,$F757)</f>
        <v/>
      </c>
      <c r="AE757" s="36">
        <f>AE$10*$D757*INDEX(AE$18:AE$25,$E757)*INDEX(AE$27:AE$43,$F757)</f>
        <v/>
      </c>
      <c r="AF757" s="36">
        <f>AF$10*$D757*INDEX(AF$18:AF$25,$E757)*INDEX(AF$27:AF$43,$F757)</f>
        <v/>
      </c>
      <c r="AG757" s="36">
        <f>AG$10*$D757*INDEX(AG$18:AG$25,$E757)*INDEX(AG$27:AG$43,$F757)</f>
        <v/>
      </c>
      <c r="AH757" s="36">
        <f>AH$10*$D757*INDEX(AH$18:AH$25,$E757)*INDEX(AH$27:AH$43,$F757)</f>
        <v/>
      </c>
      <c r="AI757" s="36">
        <f>AI$10*$D757*INDEX(AI$18:AI$25,$E757)*INDEX(AI$27:AI$43,$F757)</f>
        <v/>
      </c>
      <c r="AJ757" s="36">
        <f>AJ$10*$D757*INDEX(AJ$18:AJ$25,$E757)*INDEX(AJ$27:AJ$43,$F757)</f>
        <v/>
      </c>
      <c r="AK757" s="36">
        <f>AK$10*$D757*INDEX(AK$18:AK$25,$E757)*INDEX(AK$27:AK$43,$F757)</f>
        <v/>
      </c>
      <c r="AL757" s="36">
        <f>AL$10*$D757*INDEX(AL$18:AL$25,$E757)*INDEX(AL$27:AL$43,$F757)</f>
        <v/>
      </c>
      <c r="AM757" s="36">
        <f>AM$10*$D757*INDEX(AM$18:AM$25,$E757)*INDEX(AM$27:AM$43,$F757)</f>
        <v/>
      </c>
      <c r="AN757" s="36">
        <f>AN$10*$D757*INDEX(AN$18:AN$25,$E757)*INDEX(AN$27:AN$43,$F757)</f>
        <v/>
      </c>
    </row>
    <row r="758" hidden="1" outlineLevel="2">
      <c r="A758" s="5" t="inlineStr">
        <is>
          <t>ctxnew</t>
        </is>
      </c>
      <c r="B758" s="5" t="inlineStr">
        <is>
          <t>bio</t>
        </is>
      </c>
      <c r="C758" s="5" t="inlineStr">
        <is>
          <t>irn</t>
        </is>
      </c>
      <c r="D758" s="36">
        <f>INDEX(Inputs!$U$5:$U$132,MATCH($B758&amp;"|"&amp;$C758,Inputs!$A$5:$A$132,0))</f>
        <v/>
      </c>
      <c r="E758" s="36">
        <f>INDEX(Inputs!$J$5:$J$132,MATCH($B758&amp;"|"&amp;$C758,Inputs!$A$5:$A$132,0))</f>
        <v/>
      </c>
      <c r="F758" s="36">
        <f>INDEX(Inputs!$K$5:$K$132,MATCH($B758&amp;"|"&amp;$C758,Inputs!$A$5:$A$132,0))</f>
        <v/>
      </c>
      <c r="G758" s="37" t="n"/>
      <c r="H758" s="5">
        <f>INDEX(Variables!$B$5:$B$65,MATCH($A758,Variables!$A$5:$A$65,0))&amp;IF($C758="",""," | "&amp;INDEX(Mapping!$B$5:$B$25,MATCH($C758,Mapping!$A$5:$A$25,0))&amp;" | "&amp;INDEX(Mapping!$B$29:$B$38,MATCH($B758,Mapping!$A$29:$A$38,0)))</f>
        <v/>
      </c>
      <c r="I758" s="5">
        <f>INDEX(Variables!$C$5:$C$65,MATCH($A758,Variables!$A$5:$A$65,0))</f>
        <v/>
      </c>
      <c r="J758" s="5">
        <f>INDEX(Variables!$E$5:$E$65,MATCH($A758,Variables!$A$5:$A$65,0))</f>
        <v/>
      </c>
      <c r="K758" s="23">
        <f>LOWER(Settings!$C$4)&amp;".mit."&amp;$A758&amp;IF($C758="","","."&amp;$C758&amp;"."&amp;$B758)&amp;IF(INDEX(Variables!$D$5:$D$65,MATCH($A758,Variables!$A$5:$A$65,0))="","","."&amp;INDEX(Variables!$D$5:$D$65,MATCH($A758,Variables!$A$5:$A$65,0)))&amp;"."&amp;K$5</f>
        <v/>
      </c>
      <c r="L758" s="38">
        <f>L$10*$D758*INDEX(L$18:L$25,$E758)*INDEX(L$27:L$43,$F758)</f>
        <v/>
      </c>
      <c r="M758" s="36">
        <f>M$10*$D758*INDEX(M$18:M$25,$E758)*INDEX(M$27:M$43,$F758)</f>
        <v/>
      </c>
      <c r="N758" s="36">
        <f>N$10*$D758*INDEX(N$18:N$25,$E758)*INDEX(N$27:N$43,$F758)</f>
        <v/>
      </c>
      <c r="O758" s="36">
        <f>O$10*$D758*INDEX(O$18:O$25,$E758)*INDEX(O$27:O$43,$F758)</f>
        <v/>
      </c>
      <c r="P758" s="36">
        <f>P$10*$D758*INDEX(P$18:P$25,$E758)*INDEX(P$27:P$43,$F758)</f>
        <v/>
      </c>
      <c r="Q758" s="36">
        <f>Q$10*$D758*INDEX(Q$18:Q$25,$E758)*INDEX(Q$27:Q$43,$F758)</f>
        <v/>
      </c>
      <c r="R758" s="36">
        <f>R$10*$D758*INDEX(R$18:R$25,$E758)*INDEX(R$27:R$43,$F758)</f>
        <v/>
      </c>
      <c r="S758" s="36">
        <f>S$10*$D758*INDEX(S$18:S$25,$E758)*INDEX(S$27:S$43,$F758)</f>
        <v/>
      </c>
      <c r="T758" s="36">
        <f>T$10*$D758*INDEX(T$18:T$25,$E758)*INDEX(T$27:T$43,$F758)</f>
        <v/>
      </c>
      <c r="U758" s="36">
        <f>U$10*$D758*INDEX(U$18:U$25,$E758)*INDEX(U$27:U$43,$F758)</f>
        <v/>
      </c>
      <c r="V758" s="36">
        <f>V$10*$D758*INDEX(V$18:V$25,$E758)*INDEX(V$27:V$43,$F758)</f>
        <v/>
      </c>
      <c r="W758" s="36">
        <f>W$10*$D758*INDEX(W$18:W$25,$E758)*INDEX(W$27:W$43,$F758)</f>
        <v/>
      </c>
      <c r="X758" s="36">
        <f>X$10*$D758*INDEX(X$18:X$25,$E758)*INDEX(X$27:X$43,$F758)</f>
        <v/>
      </c>
      <c r="Y758" s="36">
        <f>Y$10*$D758*INDEX(Y$18:Y$25,$E758)*INDEX(Y$27:Y$43,$F758)</f>
        <v/>
      </c>
      <c r="Z758" s="23">
        <f>LOWER(Settings!$C$4)&amp;".mit."&amp;$A758&amp;IF($C758="","","."&amp;$C758&amp;"."&amp;$B758)&amp;IF(INDEX(Variables!$D$5:$D$65,MATCH($A758,Variables!$A$5:$A$65,0))="","","."&amp;INDEX(Variables!$D$5:$D$65,MATCH($A758,Variables!$A$5:$A$65,0)))&amp;"."&amp;Z$5</f>
        <v/>
      </c>
      <c r="AA758" s="38">
        <f>AA$10*$D758*INDEX(AA$18:AA$25,$E758)*INDEX(AA$27:AA$43,$F758)</f>
        <v/>
      </c>
      <c r="AB758" s="36">
        <f>AB$10*$D758*INDEX(AB$18:AB$25,$E758)*INDEX(AB$27:AB$43,$F758)</f>
        <v/>
      </c>
      <c r="AC758" s="36">
        <f>AC$10*$D758*INDEX(AC$18:AC$25,$E758)*INDEX(AC$27:AC$43,$F758)</f>
        <v/>
      </c>
      <c r="AD758" s="36">
        <f>AD$10*$D758*INDEX(AD$18:AD$25,$E758)*INDEX(AD$27:AD$43,$F758)</f>
        <v/>
      </c>
      <c r="AE758" s="36">
        <f>AE$10*$D758*INDEX(AE$18:AE$25,$E758)*INDEX(AE$27:AE$43,$F758)</f>
        <v/>
      </c>
      <c r="AF758" s="36">
        <f>AF$10*$D758*INDEX(AF$18:AF$25,$E758)*INDEX(AF$27:AF$43,$F758)</f>
        <v/>
      </c>
      <c r="AG758" s="36">
        <f>AG$10*$D758*INDEX(AG$18:AG$25,$E758)*INDEX(AG$27:AG$43,$F758)</f>
        <v/>
      </c>
      <c r="AH758" s="36">
        <f>AH$10*$D758*INDEX(AH$18:AH$25,$E758)*INDEX(AH$27:AH$43,$F758)</f>
        <v/>
      </c>
      <c r="AI758" s="36">
        <f>AI$10*$D758*INDEX(AI$18:AI$25,$E758)*INDEX(AI$27:AI$43,$F758)</f>
        <v/>
      </c>
      <c r="AJ758" s="36">
        <f>AJ$10*$D758*INDEX(AJ$18:AJ$25,$E758)*INDEX(AJ$27:AJ$43,$F758)</f>
        <v/>
      </c>
      <c r="AK758" s="36">
        <f>AK$10*$D758*INDEX(AK$18:AK$25,$E758)*INDEX(AK$27:AK$43,$F758)</f>
        <v/>
      </c>
      <c r="AL758" s="36">
        <f>AL$10*$D758*INDEX(AL$18:AL$25,$E758)*INDEX(AL$27:AL$43,$F758)</f>
        <v/>
      </c>
      <c r="AM758" s="36">
        <f>AM$10*$D758*INDEX(AM$18:AM$25,$E758)*INDEX(AM$27:AM$43,$F758)</f>
        <v/>
      </c>
      <c r="AN758" s="36">
        <f>AN$10*$D758*INDEX(AN$18:AN$25,$E758)*INDEX(AN$27:AN$43,$F758)</f>
        <v/>
      </c>
    </row>
    <row r="759" hidden="1" outlineLevel="2"/>
    <row r="760" hidden="1" outlineLevel="2">
      <c r="A760" s="5" t="inlineStr">
        <is>
          <t>ntx</t>
        </is>
      </c>
      <c r="B760" s="5" t="inlineStr">
        <is>
          <t>coa</t>
        </is>
      </c>
      <c r="C760" s="5" t="inlineStr">
        <is>
          <t>irn</t>
        </is>
      </c>
      <c r="D760" s="36">
        <f>INDEX(Inputs!$L$5:$L$132,MATCH($B760&amp;"|"&amp;$C760,Inputs!$A$5:$A$132,0))</f>
        <v/>
      </c>
      <c r="E760" s="36">
        <f>INDEX(Inputs!$I$5:$I$132,MATCH($B760&amp;"|"&amp;$C760,Inputs!$A$5:$A$132,0))</f>
        <v/>
      </c>
      <c r="F760" s="37" t="n"/>
      <c r="G760" s="37" t="n"/>
      <c r="H760" s="5">
        <f>INDEX(Variables!$B$5:$B$65,MATCH($A760,Variables!$A$5:$A$65,0))&amp;IF($C760="",""," | "&amp;INDEX(Mapping!$B$5:$B$25,MATCH($C760,Mapping!$A$5:$A$25,0))&amp;" | "&amp;INDEX(Mapping!$B$29:$B$38,MATCH($B760,Mapping!$A$29:$A$38,0)))</f>
        <v/>
      </c>
      <c r="I760" s="5">
        <f>INDEX(Variables!$C$5:$C$65,MATCH($A760,Variables!$A$5:$A$65,0))</f>
        <v/>
      </c>
      <c r="J760" s="5">
        <f>INDEX(Variables!$E$5:$E$65,MATCH($A760,Variables!$A$5:$A$65,0))</f>
        <v/>
      </c>
      <c r="K760" s="23">
        <f>LOWER(Settings!$C$4)&amp;".mit."&amp;$A760&amp;IF($C760="","","."&amp;$C760&amp;"."&amp;$B760)&amp;IF(INDEX(Variables!$D$5:$D$65,MATCH($A760,Variables!$A$5:$A$65,0))="","","."&amp;INDEX(Variables!$D$5:$D$65,MATCH($A760,Variables!$A$5:$A$65,0)))&amp;"."&amp;K$5</f>
        <v/>
      </c>
      <c r="L760" s="38">
        <f>INDEX(L$75:L$88,$D760)/$E760</f>
        <v/>
      </c>
      <c r="M760" s="36">
        <f>INDEX(M$75:M$88,$D760)/$E760</f>
        <v/>
      </c>
      <c r="N760" s="36">
        <f>INDEX(N$75:N$88,$D760)/$E760</f>
        <v/>
      </c>
      <c r="O760" s="36">
        <f>INDEX(O$75:O$88,$D760)/$E760</f>
        <v/>
      </c>
      <c r="P760" s="36">
        <f>INDEX(P$75:P$88,$D760)/$E760</f>
        <v/>
      </c>
      <c r="Q760" s="36">
        <f>INDEX(Q$75:Q$88,$D760)/$E760</f>
        <v/>
      </c>
      <c r="R760" s="36">
        <f>INDEX(R$75:R$88,$D760)/$E760</f>
        <v/>
      </c>
      <c r="S760" s="36">
        <f>INDEX(S$75:S$88,$D760)/$E760</f>
        <v/>
      </c>
      <c r="T760" s="36">
        <f>INDEX(T$75:T$88,$D760)/$E760</f>
        <v/>
      </c>
      <c r="U760" s="36">
        <f>INDEX(U$75:U$88,$D760)/$E760</f>
        <v/>
      </c>
      <c r="V760" s="36">
        <f>INDEX(V$75:V$88,$D760)/$E760</f>
        <v/>
      </c>
      <c r="W760" s="36">
        <f>INDEX(W$75:W$88,$D760)/$E760</f>
        <v/>
      </c>
      <c r="X760" s="36">
        <f>INDEX(X$75:X$88,$D760)/$E760</f>
        <v/>
      </c>
      <c r="Y760" s="36">
        <f>INDEX(Y$75:Y$88,$D760)/$E760</f>
        <v/>
      </c>
      <c r="Z760" s="23">
        <f>LOWER(Settings!$C$4)&amp;".mit."&amp;$A760&amp;IF($C760="","","."&amp;$C760&amp;"."&amp;$B760)&amp;IF(INDEX(Variables!$D$5:$D$65,MATCH($A760,Variables!$A$5:$A$65,0))="","","."&amp;INDEX(Variables!$D$5:$D$65,MATCH($A760,Variables!$A$5:$A$65,0)))&amp;"."&amp;Z$5</f>
        <v/>
      </c>
      <c r="AA760" s="38">
        <f>INDEX(AA$75:AA$88,$D760)/$E760</f>
        <v/>
      </c>
      <c r="AB760" s="36">
        <f>INDEX(AB$75:AB$88,$D760)/$E760</f>
        <v/>
      </c>
      <c r="AC760" s="36">
        <f>INDEX(AC$75:AC$88,$D760)/$E760</f>
        <v/>
      </c>
      <c r="AD760" s="36">
        <f>INDEX(AD$75:AD$88,$D760)/$E760</f>
        <v/>
      </c>
      <c r="AE760" s="36">
        <f>INDEX(AE$75:AE$88,$D760)/$E760</f>
        <v/>
      </c>
      <c r="AF760" s="36">
        <f>INDEX(AF$75:AF$88,$D760)/$E760</f>
        <v/>
      </c>
      <c r="AG760" s="36">
        <f>INDEX(AG$75:AG$88,$D760)/$E760</f>
        <v/>
      </c>
      <c r="AH760" s="36">
        <f>INDEX(AH$75:AH$88,$D760)/$E760</f>
        <v/>
      </c>
      <c r="AI760" s="36">
        <f>INDEX(AI$75:AI$88,$D760)/$E760</f>
        <v/>
      </c>
      <c r="AJ760" s="36">
        <f>INDEX(AJ$75:AJ$88,$D760)/$E760</f>
        <v/>
      </c>
      <c r="AK760" s="36">
        <f>INDEX(AK$75:AK$88,$D760)/$E760</f>
        <v/>
      </c>
      <c r="AL760" s="36">
        <f>INDEX(AL$75:AL$88,$D760)/$E760</f>
        <v/>
      </c>
      <c r="AM760" s="36">
        <f>INDEX(AM$75:AM$88,$D760)/$E760</f>
        <v/>
      </c>
      <c r="AN760" s="36">
        <f>INDEX(AN$75:AN$88,$D760)/$E760</f>
        <v/>
      </c>
    </row>
    <row r="761" hidden="1" outlineLevel="2">
      <c r="A761" s="5" t="inlineStr">
        <is>
          <t>ntx</t>
        </is>
      </c>
      <c r="B761" s="5" t="inlineStr">
        <is>
          <t>nga</t>
        </is>
      </c>
      <c r="C761" s="5" t="inlineStr">
        <is>
          <t>irn</t>
        </is>
      </c>
      <c r="D761" s="36">
        <f>INDEX(Inputs!$L$5:$L$132,MATCH($B761&amp;"|"&amp;$C761,Inputs!$A$5:$A$132,0))</f>
        <v/>
      </c>
      <c r="E761" s="36">
        <f>INDEX(Inputs!$I$5:$I$132,MATCH($B761&amp;"|"&amp;$C761,Inputs!$A$5:$A$132,0))</f>
        <v/>
      </c>
      <c r="F761" s="37" t="n"/>
      <c r="G761" s="37" t="n"/>
      <c r="H761" s="5">
        <f>INDEX(Variables!$B$5:$B$65,MATCH($A761,Variables!$A$5:$A$65,0))&amp;IF($C761="",""," | "&amp;INDEX(Mapping!$B$5:$B$25,MATCH($C761,Mapping!$A$5:$A$25,0))&amp;" | "&amp;INDEX(Mapping!$B$29:$B$38,MATCH($B761,Mapping!$A$29:$A$38,0)))</f>
        <v/>
      </c>
      <c r="I761" s="5">
        <f>INDEX(Variables!$C$5:$C$65,MATCH($A761,Variables!$A$5:$A$65,0))</f>
        <v/>
      </c>
      <c r="J761" s="5">
        <f>INDEX(Variables!$E$5:$E$65,MATCH($A761,Variables!$A$5:$A$65,0))</f>
        <v/>
      </c>
      <c r="K761" s="23">
        <f>LOWER(Settings!$C$4)&amp;".mit."&amp;$A761&amp;IF($C761="","","."&amp;$C761&amp;"."&amp;$B761)&amp;IF(INDEX(Variables!$D$5:$D$65,MATCH($A761,Variables!$A$5:$A$65,0))="","","."&amp;INDEX(Variables!$D$5:$D$65,MATCH($A761,Variables!$A$5:$A$65,0)))&amp;"."&amp;K$5</f>
        <v/>
      </c>
      <c r="L761" s="38">
        <f>INDEX(L$75:L$88,$D761)/$E761</f>
        <v/>
      </c>
      <c r="M761" s="36">
        <f>INDEX(M$75:M$88,$D761)/$E761</f>
        <v/>
      </c>
      <c r="N761" s="36">
        <f>INDEX(N$75:N$88,$D761)/$E761</f>
        <v/>
      </c>
      <c r="O761" s="36">
        <f>INDEX(O$75:O$88,$D761)/$E761</f>
        <v/>
      </c>
      <c r="P761" s="36">
        <f>INDEX(P$75:P$88,$D761)/$E761</f>
        <v/>
      </c>
      <c r="Q761" s="36">
        <f>INDEX(Q$75:Q$88,$D761)/$E761</f>
        <v/>
      </c>
      <c r="R761" s="36">
        <f>INDEX(R$75:R$88,$D761)/$E761</f>
        <v/>
      </c>
      <c r="S761" s="36">
        <f>INDEX(S$75:S$88,$D761)/$E761</f>
        <v/>
      </c>
      <c r="T761" s="36">
        <f>INDEX(T$75:T$88,$D761)/$E761</f>
        <v/>
      </c>
      <c r="U761" s="36">
        <f>INDEX(U$75:U$88,$D761)/$E761</f>
        <v/>
      </c>
      <c r="V761" s="36">
        <f>INDEX(V$75:V$88,$D761)/$E761</f>
        <v/>
      </c>
      <c r="W761" s="36">
        <f>INDEX(W$75:W$88,$D761)/$E761</f>
        <v/>
      </c>
      <c r="X761" s="36">
        <f>INDEX(X$75:X$88,$D761)/$E761</f>
        <v/>
      </c>
      <c r="Y761" s="36">
        <f>INDEX(Y$75:Y$88,$D761)/$E761</f>
        <v/>
      </c>
      <c r="Z761" s="23">
        <f>LOWER(Settings!$C$4)&amp;".mit."&amp;$A761&amp;IF($C761="","","."&amp;$C761&amp;"."&amp;$B761)&amp;IF(INDEX(Variables!$D$5:$D$65,MATCH($A761,Variables!$A$5:$A$65,0))="","","."&amp;INDEX(Variables!$D$5:$D$65,MATCH($A761,Variables!$A$5:$A$65,0)))&amp;"."&amp;Z$5</f>
        <v/>
      </c>
      <c r="AA761" s="38">
        <f>INDEX(AA$75:AA$88,$D761)/$E761</f>
        <v/>
      </c>
      <c r="AB761" s="36">
        <f>INDEX(AB$75:AB$88,$D761)/$E761</f>
        <v/>
      </c>
      <c r="AC761" s="36">
        <f>INDEX(AC$75:AC$88,$D761)/$E761</f>
        <v/>
      </c>
      <c r="AD761" s="36">
        <f>INDEX(AD$75:AD$88,$D761)/$E761</f>
        <v/>
      </c>
      <c r="AE761" s="36">
        <f>INDEX(AE$75:AE$88,$D761)/$E761</f>
        <v/>
      </c>
      <c r="AF761" s="36">
        <f>INDEX(AF$75:AF$88,$D761)/$E761</f>
        <v/>
      </c>
      <c r="AG761" s="36">
        <f>INDEX(AG$75:AG$88,$D761)/$E761</f>
        <v/>
      </c>
      <c r="AH761" s="36">
        <f>INDEX(AH$75:AH$88,$D761)/$E761</f>
        <v/>
      </c>
      <c r="AI761" s="36">
        <f>INDEX(AI$75:AI$88,$D761)/$E761</f>
        <v/>
      </c>
      <c r="AJ761" s="36">
        <f>INDEX(AJ$75:AJ$88,$D761)/$E761</f>
        <v/>
      </c>
      <c r="AK761" s="36">
        <f>INDEX(AK$75:AK$88,$D761)/$E761</f>
        <v/>
      </c>
      <c r="AL761" s="36">
        <f>INDEX(AL$75:AL$88,$D761)/$E761</f>
        <v/>
      </c>
      <c r="AM761" s="36">
        <f>INDEX(AM$75:AM$88,$D761)/$E761</f>
        <v/>
      </c>
      <c r="AN761" s="36">
        <f>INDEX(AN$75:AN$88,$D761)/$E761</f>
        <v/>
      </c>
    </row>
    <row r="762" hidden="1" outlineLevel="2">
      <c r="A762" s="5" t="inlineStr">
        <is>
          <t>ntx</t>
        </is>
      </c>
      <c r="B762" s="5" t="inlineStr">
        <is>
          <t>gso</t>
        </is>
      </c>
      <c r="C762" s="5" t="inlineStr">
        <is>
          <t>irn</t>
        </is>
      </c>
      <c r="D762" s="36">
        <f>INDEX(Inputs!$L$5:$L$132,MATCH($B762&amp;"|"&amp;$C762,Inputs!$A$5:$A$132,0))</f>
        <v/>
      </c>
      <c r="E762" s="36">
        <f>INDEX(Inputs!$I$5:$I$132,MATCH($B762&amp;"|"&amp;$C762,Inputs!$A$5:$A$132,0))</f>
        <v/>
      </c>
      <c r="F762" s="37" t="n"/>
      <c r="G762" s="37" t="n"/>
      <c r="H762" s="5">
        <f>INDEX(Variables!$B$5:$B$65,MATCH($A762,Variables!$A$5:$A$65,0))&amp;IF($C762="",""," | "&amp;INDEX(Mapping!$B$5:$B$25,MATCH($C762,Mapping!$A$5:$A$25,0))&amp;" | "&amp;INDEX(Mapping!$B$29:$B$38,MATCH($B762,Mapping!$A$29:$A$38,0)))</f>
        <v/>
      </c>
      <c r="I762" s="5">
        <f>INDEX(Variables!$C$5:$C$65,MATCH($A762,Variables!$A$5:$A$65,0))</f>
        <v/>
      </c>
      <c r="J762" s="5">
        <f>INDEX(Variables!$E$5:$E$65,MATCH($A762,Variables!$A$5:$A$65,0))</f>
        <v/>
      </c>
      <c r="K762" s="23">
        <f>LOWER(Settings!$C$4)&amp;".mit."&amp;$A762&amp;IF($C762="","","."&amp;$C762&amp;"."&amp;$B762)&amp;IF(INDEX(Variables!$D$5:$D$65,MATCH($A762,Variables!$A$5:$A$65,0))="","","."&amp;INDEX(Variables!$D$5:$D$65,MATCH($A762,Variables!$A$5:$A$65,0)))&amp;"."&amp;K$5</f>
        <v/>
      </c>
      <c r="L762" s="38">
        <f>INDEX(L$75:L$88,$D762)/$E762</f>
        <v/>
      </c>
      <c r="M762" s="36">
        <f>INDEX(M$75:M$88,$D762)/$E762</f>
        <v/>
      </c>
      <c r="N762" s="36">
        <f>INDEX(N$75:N$88,$D762)/$E762</f>
        <v/>
      </c>
      <c r="O762" s="36">
        <f>INDEX(O$75:O$88,$D762)/$E762</f>
        <v/>
      </c>
      <c r="P762" s="36">
        <f>INDEX(P$75:P$88,$D762)/$E762</f>
        <v/>
      </c>
      <c r="Q762" s="36">
        <f>INDEX(Q$75:Q$88,$D762)/$E762</f>
        <v/>
      </c>
      <c r="R762" s="36">
        <f>INDEX(R$75:R$88,$D762)/$E762</f>
        <v/>
      </c>
      <c r="S762" s="36">
        <f>INDEX(S$75:S$88,$D762)/$E762</f>
        <v/>
      </c>
      <c r="T762" s="36">
        <f>INDEX(T$75:T$88,$D762)/$E762</f>
        <v/>
      </c>
      <c r="U762" s="36">
        <f>INDEX(U$75:U$88,$D762)/$E762</f>
        <v/>
      </c>
      <c r="V762" s="36">
        <f>INDEX(V$75:V$88,$D762)/$E762</f>
        <v/>
      </c>
      <c r="W762" s="36">
        <f>INDEX(W$75:W$88,$D762)/$E762</f>
        <v/>
      </c>
      <c r="X762" s="36">
        <f>INDEX(X$75:X$88,$D762)/$E762</f>
        <v/>
      </c>
      <c r="Y762" s="36">
        <f>INDEX(Y$75:Y$88,$D762)/$E762</f>
        <v/>
      </c>
      <c r="Z762" s="23">
        <f>LOWER(Settings!$C$4)&amp;".mit."&amp;$A762&amp;IF($C762="","","."&amp;$C762&amp;"."&amp;$B762)&amp;IF(INDEX(Variables!$D$5:$D$65,MATCH($A762,Variables!$A$5:$A$65,0))="","","."&amp;INDEX(Variables!$D$5:$D$65,MATCH($A762,Variables!$A$5:$A$65,0)))&amp;"."&amp;Z$5</f>
        <v/>
      </c>
      <c r="AA762" s="38">
        <f>INDEX(AA$75:AA$88,$D762)/$E762</f>
        <v/>
      </c>
      <c r="AB762" s="36">
        <f>INDEX(AB$75:AB$88,$D762)/$E762</f>
        <v/>
      </c>
      <c r="AC762" s="36">
        <f>INDEX(AC$75:AC$88,$D762)/$E762</f>
        <v/>
      </c>
      <c r="AD762" s="36">
        <f>INDEX(AD$75:AD$88,$D762)/$E762</f>
        <v/>
      </c>
      <c r="AE762" s="36">
        <f>INDEX(AE$75:AE$88,$D762)/$E762</f>
        <v/>
      </c>
      <c r="AF762" s="36">
        <f>INDEX(AF$75:AF$88,$D762)/$E762</f>
        <v/>
      </c>
      <c r="AG762" s="36">
        <f>INDEX(AG$75:AG$88,$D762)/$E762</f>
        <v/>
      </c>
      <c r="AH762" s="36">
        <f>INDEX(AH$75:AH$88,$D762)/$E762</f>
        <v/>
      </c>
      <c r="AI762" s="36">
        <f>INDEX(AI$75:AI$88,$D762)/$E762</f>
        <v/>
      </c>
      <c r="AJ762" s="36">
        <f>INDEX(AJ$75:AJ$88,$D762)/$E762</f>
        <v/>
      </c>
      <c r="AK762" s="36">
        <f>INDEX(AK$75:AK$88,$D762)/$E762</f>
        <v/>
      </c>
      <c r="AL762" s="36">
        <f>INDEX(AL$75:AL$88,$D762)/$E762</f>
        <v/>
      </c>
      <c r="AM762" s="36">
        <f>INDEX(AM$75:AM$88,$D762)/$E762</f>
        <v/>
      </c>
      <c r="AN762" s="36">
        <f>INDEX(AN$75:AN$88,$D762)/$E762</f>
        <v/>
      </c>
    </row>
    <row r="763" hidden="1" outlineLevel="2">
      <c r="A763" s="5" t="inlineStr">
        <is>
          <t>ntx</t>
        </is>
      </c>
      <c r="B763" s="5" t="inlineStr">
        <is>
          <t>die</t>
        </is>
      </c>
      <c r="C763" s="5" t="inlineStr">
        <is>
          <t>irn</t>
        </is>
      </c>
      <c r="D763" s="36">
        <f>INDEX(Inputs!$L$5:$L$132,MATCH($B763&amp;"|"&amp;$C763,Inputs!$A$5:$A$132,0))</f>
        <v/>
      </c>
      <c r="E763" s="36">
        <f>INDEX(Inputs!$I$5:$I$132,MATCH($B763&amp;"|"&amp;$C763,Inputs!$A$5:$A$132,0))</f>
        <v/>
      </c>
      <c r="F763" s="37" t="n"/>
      <c r="G763" s="37" t="n"/>
      <c r="H763" s="5">
        <f>INDEX(Variables!$B$5:$B$65,MATCH($A763,Variables!$A$5:$A$65,0))&amp;IF($C763="",""," | "&amp;INDEX(Mapping!$B$5:$B$25,MATCH($C763,Mapping!$A$5:$A$25,0))&amp;" | "&amp;INDEX(Mapping!$B$29:$B$38,MATCH($B763,Mapping!$A$29:$A$38,0)))</f>
        <v/>
      </c>
      <c r="I763" s="5">
        <f>INDEX(Variables!$C$5:$C$65,MATCH($A763,Variables!$A$5:$A$65,0))</f>
        <v/>
      </c>
      <c r="J763" s="5">
        <f>INDEX(Variables!$E$5:$E$65,MATCH($A763,Variables!$A$5:$A$65,0))</f>
        <v/>
      </c>
      <c r="K763" s="23">
        <f>LOWER(Settings!$C$4)&amp;".mit."&amp;$A763&amp;IF($C763="","","."&amp;$C763&amp;"."&amp;$B763)&amp;IF(INDEX(Variables!$D$5:$D$65,MATCH($A763,Variables!$A$5:$A$65,0))="","","."&amp;INDEX(Variables!$D$5:$D$65,MATCH($A763,Variables!$A$5:$A$65,0)))&amp;"."&amp;K$5</f>
        <v/>
      </c>
      <c r="L763" s="38">
        <f>INDEX(L$75:L$88,$D763)/$E763</f>
        <v/>
      </c>
      <c r="M763" s="36">
        <f>INDEX(M$75:M$88,$D763)/$E763</f>
        <v/>
      </c>
      <c r="N763" s="36">
        <f>INDEX(N$75:N$88,$D763)/$E763</f>
        <v/>
      </c>
      <c r="O763" s="36">
        <f>INDEX(O$75:O$88,$D763)/$E763</f>
        <v/>
      </c>
      <c r="P763" s="36">
        <f>INDEX(P$75:P$88,$D763)/$E763</f>
        <v/>
      </c>
      <c r="Q763" s="36">
        <f>INDEX(Q$75:Q$88,$D763)/$E763</f>
        <v/>
      </c>
      <c r="R763" s="36">
        <f>INDEX(R$75:R$88,$D763)/$E763</f>
        <v/>
      </c>
      <c r="S763" s="36">
        <f>INDEX(S$75:S$88,$D763)/$E763</f>
        <v/>
      </c>
      <c r="T763" s="36">
        <f>INDEX(T$75:T$88,$D763)/$E763</f>
        <v/>
      </c>
      <c r="U763" s="36">
        <f>INDEX(U$75:U$88,$D763)/$E763</f>
        <v/>
      </c>
      <c r="V763" s="36">
        <f>INDEX(V$75:V$88,$D763)/$E763</f>
        <v/>
      </c>
      <c r="W763" s="36">
        <f>INDEX(W$75:W$88,$D763)/$E763</f>
        <v/>
      </c>
      <c r="X763" s="36">
        <f>INDEX(X$75:X$88,$D763)/$E763</f>
        <v/>
      </c>
      <c r="Y763" s="36">
        <f>INDEX(Y$75:Y$88,$D763)/$E763</f>
        <v/>
      </c>
      <c r="Z763" s="23">
        <f>LOWER(Settings!$C$4)&amp;".mit."&amp;$A763&amp;IF($C763="","","."&amp;$C763&amp;"."&amp;$B763)&amp;IF(INDEX(Variables!$D$5:$D$65,MATCH($A763,Variables!$A$5:$A$65,0))="","","."&amp;INDEX(Variables!$D$5:$D$65,MATCH($A763,Variables!$A$5:$A$65,0)))&amp;"."&amp;Z$5</f>
        <v/>
      </c>
      <c r="AA763" s="38">
        <f>INDEX(AA$75:AA$88,$D763)/$E763</f>
        <v/>
      </c>
      <c r="AB763" s="36">
        <f>INDEX(AB$75:AB$88,$D763)/$E763</f>
        <v/>
      </c>
      <c r="AC763" s="36">
        <f>INDEX(AC$75:AC$88,$D763)/$E763</f>
        <v/>
      </c>
      <c r="AD763" s="36">
        <f>INDEX(AD$75:AD$88,$D763)/$E763</f>
        <v/>
      </c>
      <c r="AE763" s="36">
        <f>INDEX(AE$75:AE$88,$D763)/$E763</f>
        <v/>
      </c>
      <c r="AF763" s="36">
        <f>INDEX(AF$75:AF$88,$D763)/$E763</f>
        <v/>
      </c>
      <c r="AG763" s="36">
        <f>INDEX(AG$75:AG$88,$D763)/$E763</f>
        <v/>
      </c>
      <c r="AH763" s="36">
        <f>INDEX(AH$75:AH$88,$D763)/$E763</f>
        <v/>
      </c>
      <c r="AI763" s="36">
        <f>INDEX(AI$75:AI$88,$D763)/$E763</f>
        <v/>
      </c>
      <c r="AJ763" s="36">
        <f>INDEX(AJ$75:AJ$88,$D763)/$E763</f>
        <v/>
      </c>
      <c r="AK763" s="36">
        <f>INDEX(AK$75:AK$88,$D763)/$E763</f>
        <v/>
      </c>
      <c r="AL763" s="36">
        <f>INDEX(AL$75:AL$88,$D763)/$E763</f>
        <v/>
      </c>
      <c r="AM763" s="36">
        <f>INDEX(AM$75:AM$88,$D763)/$E763</f>
        <v/>
      </c>
      <c r="AN763" s="36">
        <f>INDEX(AN$75:AN$88,$D763)/$E763</f>
        <v/>
      </c>
    </row>
    <row r="764" hidden="1" outlineLevel="2">
      <c r="A764" s="5" t="inlineStr">
        <is>
          <t>ntx</t>
        </is>
      </c>
      <c r="B764" s="5" t="inlineStr">
        <is>
          <t>lpg</t>
        </is>
      </c>
      <c r="C764" s="5" t="inlineStr">
        <is>
          <t>irn</t>
        </is>
      </c>
      <c r="D764" s="36">
        <f>INDEX(Inputs!$L$5:$L$132,MATCH($B764&amp;"|"&amp;$C764,Inputs!$A$5:$A$132,0))</f>
        <v/>
      </c>
      <c r="E764" s="36">
        <f>INDEX(Inputs!$I$5:$I$132,MATCH($B764&amp;"|"&amp;$C764,Inputs!$A$5:$A$132,0))</f>
        <v/>
      </c>
      <c r="F764" s="37" t="n"/>
      <c r="G764" s="37" t="n"/>
      <c r="H764" s="5">
        <f>INDEX(Variables!$B$5:$B$65,MATCH($A764,Variables!$A$5:$A$65,0))&amp;IF($C764="",""," | "&amp;INDEX(Mapping!$B$5:$B$25,MATCH($C764,Mapping!$A$5:$A$25,0))&amp;" | "&amp;INDEX(Mapping!$B$29:$B$38,MATCH($B764,Mapping!$A$29:$A$38,0)))</f>
        <v/>
      </c>
      <c r="I764" s="5">
        <f>INDEX(Variables!$C$5:$C$65,MATCH($A764,Variables!$A$5:$A$65,0))</f>
        <v/>
      </c>
      <c r="J764" s="5">
        <f>INDEX(Variables!$E$5:$E$65,MATCH($A764,Variables!$A$5:$A$65,0))</f>
        <v/>
      </c>
      <c r="K764" s="23">
        <f>LOWER(Settings!$C$4)&amp;".mit."&amp;$A764&amp;IF($C764="","","."&amp;$C764&amp;"."&amp;$B764)&amp;IF(INDEX(Variables!$D$5:$D$65,MATCH($A764,Variables!$A$5:$A$65,0))="","","."&amp;INDEX(Variables!$D$5:$D$65,MATCH($A764,Variables!$A$5:$A$65,0)))&amp;"."&amp;K$5</f>
        <v/>
      </c>
      <c r="L764" s="38">
        <f>INDEX(L$75:L$88,$D764)/$E764</f>
        <v/>
      </c>
      <c r="M764" s="36">
        <f>INDEX(M$75:M$88,$D764)/$E764</f>
        <v/>
      </c>
      <c r="N764" s="36">
        <f>INDEX(N$75:N$88,$D764)/$E764</f>
        <v/>
      </c>
      <c r="O764" s="36">
        <f>INDEX(O$75:O$88,$D764)/$E764</f>
        <v/>
      </c>
      <c r="P764" s="36">
        <f>INDEX(P$75:P$88,$D764)/$E764</f>
        <v/>
      </c>
      <c r="Q764" s="36">
        <f>INDEX(Q$75:Q$88,$D764)/$E764</f>
        <v/>
      </c>
      <c r="R764" s="36">
        <f>INDEX(R$75:R$88,$D764)/$E764</f>
        <v/>
      </c>
      <c r="S764" s="36">
        <f>INDEX(S$75:S$88,$D764)/$E764</f>
        <v/>
      </c>
      <c r="T764" s="36">
        <f>INDEX(T$75:T$88,$D764)/$E764</f>
        <v/>
      </c>
      <c r="U764" s="36">
        <f>INDEX(U$75:U$88,$D764)/$E764</f>
        <v/>
      </c>
      <c r="V764" s="36">
        <f>INDEX(V$75:V$88,$D764)/$E764</f>
        <v/>
      </c>
      <c r="W764" s="36">
        <f>INDEX(W$75:W$88,$D764)/$E764</f>
        <v/>
      </c>
      <c r="X764" s="36">
        <f>INDEX(X$75:X$88,$D764)/$E764</f>
        <v/>
      </c>
      <c r="Y764" s="36">
        <f>INDEX(Y$75:Y$88,$D764)/$E764</f>
        <v/>
      </c>
      <c r="Z764" s="23">
        <f>LOWER(Settings!$C$4)&amp;".mit."&amp;$A764&amp;IF($C764="","","."&amp;$C764&amp;"."&amp;$B764)&amp;IF(INDEX(Variables!$D$5:$D$65,MATCH($A764,Variables!$A$5:$A$65,0))="","","."&amp;INDEX(Variables!$D$5:$D$65,MATCH($A764,Variables!$A$5:$A$65,0)))&amp;"."&amp;Z$5</f>
        <v/>
      </c>
      <c r="AA764" s="38">
        <f>INDEX(AA$75:AA$88,$D764)/$E764</f>
        <v/>
      </c>
      <c r="AB764" s="36">
        <f>INDEX(AB$75:AB$88,$D764)/$E764</f>
        <v/>
      </c>
      <c r="AC764" s="36">
        <f>INDEX(AC$75:AC$88,$D764)/$E764</f>
        <v/>
      </c>
      <c r="AD764" s="36">
        <f>INDEX(AD$75:AD$88,$D764)/$E764</f>
        <v/>
      </c>
      <c r="AE764" s="36">
        <f>INDEX(AE$75:AE$88,$D764)/$E764</f>
        <v/>
      </c>
      <c r="AF764" s="36">
        <f>INDEX(AF$75:AF$88,$D764)/$E764</f>
        <v/>
      </c>
      <c r="AG764" s="36">
        <f>INDEX(AG$75:AG$88,$D764)/$E764</f>
        <v/>
      </c>
      <c r="AH764" s="36">
        <f>INDEX(AH$75:AH$88,$D764)/$E764</f>
        <v/>
      </c>
      <c r="AI764" s="36">
        <f>INDEX(AI$75:AI$88,$D764)/$E764</f>
        <v/>
      </c>
      <c r="AJ764" s="36">
        <f>INDEX(AJ$75:AJ$88,$D764)/$E764</f>
        <v/>
      </c>
      <c r="AK764" s="36">
        <f>INDEX(AK$75:AK$88,$D764)/$E764</f>
        <v/>
      </c>
      <c r="AL764" s="36">
        <f>INDEX(AL$75:AL$88,$D764)/$E764</f>
        <v/>
      </c>
      <c r="AM764" s="36">
        <f>INDEX(AM$75:AM$88,$D764)/$E764</f>
        <v/>
      </c>
      <c r="AN764" s="36">
        <f>INDEX(AN$75:AN$88,$D764)/$E764</f>
        <v/>
      </c>
    </row>
    <row r="765" hidden="1" outlineLevel="2">
      <c r="A765" s="5" t="inlineStr">
        <is>
          <t>ntx</t>
        </is>
      </c>
      <c r="B765" s="5" t="inlineStr">
        <is>
          <t>ker</t>
        </is>
      </c>
      <c r="C765" s="5" t="inlineStr">
        <is>
          <t>irn</t>
        </is>
      </c>
      <c r="D765" s="36">
        <f>INDEX(Inputs!$L$5:$L$132,MATCH($B765&amp;"|"&amp;$C765,Inputs!$A$5:$A$132,0))</f>
        <v/>
      </c>
      <c r="E765" s="36">
        <f>INDEX(Inputs!$I$5:$I$132,MATCH($B765&amp;"|"&amp;$C765,Inputs!$A$5:$A$132,0))</f>
        <v/>
      </c>
      <c r="F765" s="37" t="n"/>
      <c r="G765" s="37" t="n"/>
      <c r="H765" s="5">
        <f>INDEX(Variables!$B$5:$B$65,MATCH($A765,Variables!$A$5:$A$65,0))&amp;IF($C765="",""," | "&amp;INDEX(Mapping!$B$5:$B$25,MATCH($C765,Mapping!$A$5:$A$25,0))&amp;" | "&amp;INDEX(Mapping!$B$29:$B$38,MATCH($B765,Mapping!$A$29:$A$38,0)))</f>
        <v/>
      </c>
      <c r="I765" s="5">
        <f>INDEX(Variables!$C$5:$C$65,MATCH($A765,Variables!$A$5:$A$65,0))</f>
        <v/>
      </c>
      <c r="J765" s="5">
        <f>INDEX(Variables!$E$5:$E$65,MATCH($A765,Variables!$A$5:$A$65,0))</f>
        <v/>
      </c>
      <c r="K765" s="23">
        <f>LOWER(Settings!$C$4)&amp;".mit."&amp;$A765&amp;IF($C765="","","."&amp;$C765&amp;"."&amp;$B765)&amp;IF(INDEX(Variables!$D$5:$D$65,MATCH($A765,Variables!$A$5:$A$65,0))="","","."&amp;INDEX(Variables!$D$5:$D$65,MATCH($A765,Variables!$A$5:$A$65,0)))&amp;"."&amp;K$5</f>
        <v/>
      </c>
      <c r="L765" s="38">
        <f>INDEX(L$75:L$88,$D765)/$E765</f>
        <v/>
      </c>
      <c r="M765" s="36">
        <f>INDEX(M$75:M$88,$D765)/$E765</f>
        <v/>
      </c>
      <c r="N765" s="36">
        <f>INDEX(N$75:N$88,$D765)/$E765</f>
        <v/>
      </c>
      <c r="O765" s="36">
        <f>INDEX(O$75:O$88,$D765)/$E765</f>
        <v/>
      </c>
      <c r="P765" s="36">
        <f>INDEX(P$75:P$88,$D765)/$E765</f>
        <v/>
      </c>
      <c r="Q765" s="36">
        <f>INDEX(Q$75:Q$88,$D765)/$E765</f>
        <v/>
      </c>
      <c r="R765" s="36">
        <f>INDEX(R$75:R$88,$D765)/$E765</f>
        <v/>
      </c>
      <c r="S765" s="36">
        <f>INDEX(S$75:S$88,$D765)/$E765</f>
        <v/>
      </c>
      <c r="T765" s="36">
        <f>INDEX(T$75:T$88,$D765)/$E765</f>
        <v/>
      </c>
      <c r="U765" s="36">
        <f>INDEX(U$75:U$88,$D765)/$E765</f>
        <v/>
      </c>
      <c r="V765" s="36">
        <f>INDEX(V$75:V$88,$D765)/$E765</f>
        <v/>
      </c>
      <c r="W765" s="36">
        <f>INDEX(W$75:W$88,$D765)/$E765</f>
        <v/>
      </c>
      <c r="X765" s="36">
        <f>INDEX(X$75:X$88,$D765)/$E765</f>
        <v/>
      </c>
      <c r="Y765" s="36">
        <f>INDEX(Y$75:Y$88,$D765)/$E765</f>
        <v/>
      </c>
      <c r="Z765" s="23">
        <f>LOWER(Settings!$C$4)&amp;".mit."&amp;$A765&amp;IF($C765="","","."&amp;$C765&amp;"."&amp;$B765)&amp;IF(INDEX(Variables!$D$5:$D$65,MATCH($A765,Variables!$A$5:$A$65,0))="","","."&amp;INDEX(Variables!$D$5:$D$65,MATCH($A765,Variables!$A$5:$A$65,0)))&amp;"."&amp;Z$5</f>
        <v/>
      </c>
      <c r="AA765" s="38">
        <f>INDEX(AA$75:AA$88,$D765)/$E765</f>
        <v/>
      </c>
      <c r="AB765" s="36">
        <f>INDEX(AB$75:AB$88,$D765)/$E765</f>
        <v/>
      </c>
      <c r="AC765" s="36">
        <f>INDEX(AC$75:AC$88,$D765)/$E765</f>
        <v/>
      </c>
      <c r="AD765" s="36">
        <f>INDEX(AD$75:AD$88,$D765)/$E765</f>
        <v/>
      </c>
      <c r="AE765" s="36">
        <f>INDEX(AE$75:AE$88,$D765)/$E765</f>
        <v/>
      </c>
      <c r="AF765" s="36">
        <f>INDEX(AF$75:AF$88,$D765)/$E765</f>
        <v/>
      </c>
      <c r="AG765" s="36">
        <f>INDEX(AG$75:AG$88,$D765)/$E765</f>
        <v/>
      </c>
      <c r="AH765" s="36">
        <f>INDEX(AH$75:AH$88,$D765)/$E765</f>
        <v/>
      </c>
      <c r="AI765" s="36">
        <f>INDEX(AI$75:AI$88,$D765)/$E765</f>
        <v/>
      </c>
      <c r="AJ765" s="36">
        <f>INDEX(AJ$75:AJ$88,$D765)/$E765</f>
        <v/>
      </c>
      <c r="AK765" s="36">
        <f>INDEX(AK$75:AK$88,$D765)/$E765</f>
        <v/>
      </c>
      <c r="AL765" s="36">
        <f>INDEX(AL$75:AL$88,$D765)/$E765</f>
        <v/>
      </c>
      <c r="AM765" s="36">
        <f>INDEX(AM$75:AM$88,$D765)/$E765</f>
        <v/>
      </c>
      <c r="AN765" s="36">
        <f>INDEX(AN$75:AN$88,$D765)/$E765</f>
        <v/>
      </c>
    </row>
    <row r="766" hidden="1" outlineLevel="2">
      <c r="A766" s="5" t="inlineStr">
        <is>
          <t>ntx</t>
        </is>
      </c>
      <c r="B766" s="5" t="inlineStr">
        <is>
          <t>oop</t>
        </is>
      </c>
      <c r="C766" s="5" t="inlineStr">
        <is>
          <t>irn</t>
        </is>
      </c>
      <c r="D766" s="36">
        <f>INDEX(Inputs!$L$5:$L$132,MATCH($B766&amp;"|"&amp;$C766,Inputs!$A$5:$A$132,0))</f>
        <v/>
      </c>
      <c r="E766" s="36">
        <f>INDEX(Inputs!$I$5:$I$132,MATCH($B766&amp;"|"&amp;$C766,Inputs!$A$5:$A$132,0))</f>
        <v/>
      </c>
      <c r="F766" s="37" t="n"/>
      <c r="G766" s="37" t="n"/>
      <c r="H766" s="5">
        <f>INDEX(Variables!$B$5:$B$65,MATCH($A766,Variables!$A$5:$A$65,0))&amp;IF($C766="",""," | "&amp;INDEX(Mapping!$B$5:$B$25,MATCH($C766,Mapping!$A$5:$A$25,0))&amp;" | "&amp;INDEX(Mapping!$B$29:$B$38,MATCH($B766,Mapping!$A$29:$A$38,0)))</f>
        <v/>
      </c>
      <c r="I766" s="5">
        <f>INDEX(Variables!$C$5:$C$65,MATCH($A766,Variables!$A$5:$A$65,0))</f>
        <v/>
      </c>
      <c r="J766" s="5">
        <f>INDEX(Variables!$E$5:$E$65,MATCH($A766,Variables!$A$5:$A$65,0))</f>
        <v/>
      </c>
      <c r="K766" s="23">
        <f>LOWER(Settings!$C$4)&amp;".mit."&amp;$A766&amp;IF($C766="","","."&amp;$C766&amp;"."&amp;$B766)&amp;IF(INDEX(Variables!$D$5:$D$65,MATCH($A766,Variables!$A$5:$A$65,0))="","","."&amp;INDEX(Variables!$D$5:$D$65,MATCH($A766,Variables!$A$5:$A$65,0)))&amp;"."&amp;K$5</f>
        <v/>
      </c>
      <c r="L766" s="38">
        <f>INDEX(L$75:L$88,$D766)/$E766</f>
        <v/>
      </c>
      <c r="M766" s="36">
        <f>INDEX(M$75:M$88,$D766)/$E766</f>
        <v/>
      </c>
      <c r="N766" s="36">
        <f>INDEX(N$75:N$88,$D766)/$E766</f>
        <v/>
      </c>
      <c r="O766" s="36">
        <f>INDEX(O$75:O$88,$D766)/$E766</f>
        <v/>
      </c>
      <c r="P766" s="36">
        <f>INDEX(P$75:P$88,$D766)/$E766</f>
        <v/>
      </c>
      <c r="Q766" s="36">
        <f>INDEX(Q$75:Q$88,$D766)/$E766</f>
        <v/>
      </c>
      <c r="R766" s="36">
        <f>INDEX(R$75:R$88,$D766)/$E766</f>
        <v/>
      </c>
      <c r="S766" s="36">
        <f>INDEX(S$75:S$88,$D766)/$E766</f>
        <v/>
      </c>
      <c r="T766" s="36">
        <f>INDEX(T$75:T$88,$D766)/$E766</f>
        <v/>
      </c>
      <c r="U766" s="36">
        <f>INDEX(U$75:U$88,$D766)/$E766</f>
        <v/>
      </c>
      <c r="V766" s="36">
        <f>INDEX(V$75:V$88,$D766)/$E766</f>
        <v/>
      </c>
      <c r="W766" s="36">
        <f>INDEX(W$75:W$88,$D766)/$E766</f>
        <v/>
      </c>
      <c r="X766" s="36">
        <f>INDEX(X$75:X$88,$D766)/$E766</f>
        <v/>
      </c>
      <c r="Y766" s="36">
        <f>INDEX(Y$75:Y$88,$D766)/$E766</f>
        <v/>
      </c>
      <c r="Z766" s="23">
        <f>LOWER(Settings!$C$4)&amp;".mit."&amp;$A766&amp;IF($C766="","","."&amp;$C766&amp;"."&amp;$B766)&amp;IF(INDEX(Variables!$D$5:$D$65,MATCH($A766,Variables!$A$5:$A$65,0))="","","."&amp;INDEX(Variables!$D$5:$D$65,MATCH($A766,Variables!$A$5:$A$65,0)))&amp;"."&amp;Z$5</f>
        <v/>
      </c>
      <c r="AA766" s="38">
        <f>INDEX(AA$75:AA$88,$D766)/$E766</f>
        <v/>
      </c>
      <c r="AB766" s="36">
        <f>INDEX(AB$75:AB$88,$D766)/$E766</f>
        <v/>
      </c>
      <c r="AC766" s="36">
        <f>INDEX(AC$75:AC$88,$D766)/$E766</f>
        <v/>
      </c>
      <c r="AD766" s="36">
        <f>INDEX(AD$75:AD$88,$D766)/$E766</f>
        <v/>
      </c>
      <c r="AE766" s="36">
        <f>INDEX(AE$75:AE$88,$D766)/$E766</f>
        <v/>
      </c>
      <c r="AF766" s="36">
        <f>INDEX(AF$75:AF$88,$D766)/$E766</f>
        <v/>
      </c>
      <c r="AG766" s="36">
        <f>INDEX(AG$75:AG$88,$D766)/$E766</f>
        <v/>
      </c>
      <c r="AH766" s="36">
        <f>INDEX(AH$75:AH$88,$D766)/$E766</f>
        <v/>
      </c>
      <c r="AI766" s="36">
        <f>INDEX(AI$75:AI$88,$D766)/$E766</f>
        <v/>
      </c>
      <c r="AJ766" s="36">
        <f>INDEX(AJ$75:AJ$88,$D766)/$E766</f>
        <v/>
      </c>
      <c r="AK766" s="36">
        <f>INDEX(AK$75:AK$88,$D766)/$E766</f>
        <v/>
      </c>
      <c r="AL766" s="36">
        <f>INDEX(AL$75:AL$88,$D766)/$E766</f>
        <v/>
      </c>
      <c r="AM766" s="36">
        <f>INDEX(AM$75:AM$88,$D766)/$E766</f>
        <v/>
      </c>
      <c r="AN766" s="36">
        <f>INDEX(AN$75:AN$88,$D766)/$E766</f>
        <v/>
      </c>
    </row>
    <row r="767" hidden="1" outlineLevel="2">
      <c r="A767" s="5" t="inlineStr">
        <is>
          <t>ntx</t>
        </is>
      </c>
      <c r="B767" s="5" t="inlineStr">
        <is>
          <t>bio</t>
        </is>
      </c>
      <c r="C767" s="5" t="inlineStr">
        <is>
          <t>irn</t>
        </is>
      </c>
      <c r="D767" s="36">
        <f>INDEX(Inputs!$L$5:$L$132,MATCH($B767&amp;"|"&amp;$C767,Inputs!$A$5:$A$132,0))</f>
        <v/>
      </c>
      <c r="E767" s="36">
        <f>INDEX(Inputs!$I$5:$I$132,MATCH($B767&amp;"|"&amp;$C767,Inputs!$A$5:$A$132,0))</f>
        <v/>
      </c>
      <c r="F767" s="37" t="n"/>
      <c r="G767" s="37" t="n"/>
      <c r="H767" s="5">
        <f>INDEX(Variables!$B$5:$B$65,MATCH($A767,Variables!$A$5:$A$65,0))&amp;IF($C767="",""," | "&amp;INDEX(Mapping!$B$5:$B$25,MATCH($C767,Mapping!$A$5:$A$25,0))&amp;" | "&amp;INDEX(Mapping!$B$29:$B$38,MATCH($B767,Mapping!$A$29:$A$38,0)))</f>
        <v/>
      </c>
      <c r="I767" s="5">
        <f>INDEX(Variables!$C$5:$C$65,MATCH($A767,Variables!$A$5:$A$65,0))</f>
        <v/>
      </c>
      <c r="J767" s="5">
        <f>INDEX(Variables!$E$5:$E$65,MATCH($A767,Variables!$A$5:$A$65,0))</f>
        <v/>
      </c>
      <c r="K767" s="23">
        <f>LOWER(Settings!$C$4)&amp;".mit."&amp;$A767&amp;IF($C767="","","."&amp;$C767&amp;"."&amp;$B767)&amp;IF(INDEX(Variables!$D$5:$D$65,MATCH($A767,Variables!$A$5:$A$65,0))="","","."&amp;INDEX(Variables!$D$5:$D$65,MATCH($A767,Variables!$A$5:$A$65,0)))&amp;"."&amp;K$5</f>
        <v/>
      </c>
      <c r="L767" s="38">
        <f>INDEX(L$75:L$88,$D767)/$E767</f>
        <v/>
      </c>
      <c r="M767" s="36">
        <f>INDEX(M$75:M$88,$D767)/$E767</f>
        <v/>
      </c>
      <c r="N767" s="36">
        <f>INDEX(N$75:N$88,$D767)/$E767</f>
        <v/>
      </c>
      <c r="O767" s="36">
        <f>INDEX(O$75:O$88,$D767)/$E767</f>
        <v/>
      </c>
      <c r="P767" s="36">
        <f>INDEX(P$75:P$88,$D767)/$E767</f>
        <v/>
      </c>
      <c r="Q767" s="36">
        <f>INDEX(Q$75:Q$88,$D767)/$E767</f>
        <v/>
      </c>
      <c r="R767" s="36">
        <f>INDEX(R$75:R$88,$D767)/$E767</f>
        <v/>
      </c>
      <c r="S767" s="36">
        <f>INDEX(S$75:S$88,$D767)/$E767</f>
        <v/>
      </c>
      <c r="T767" s="36">
        <f>INDEX(T$75:T$88,$D767)/$E767</f>
        <v/>
      </c>
      <c r="U767" s="36">
        <f>INDEX(U$75:U$88,$D767)/$E767</f>
        <v/>
      </c>
      <c r="V767" s="36">
        <f>INDEX(V$75:V$88,$D767)/$E767</f>
        <v/>
      </c>
      <c r="W767" s="36">
        <f>INDEX(W$75:W$88,$D767)/$E767</f>
        <v/>
      </c>
      <c r="X767" s="36">
        <f>INDEX(X$75:X$88,$D767)/$E767</f>
        <v/>
      </c>
      <c r="Y767" s="36">
        <f>INDEX(Y$75:Y$88,$D767)/$E767</f>
        <v/>
      </c>
      <c r="Z767" s="23">
        <f>LOWER(Settings!$C$4)&amp;".mit."&amp;$A767&amp;IF($C767="","","."&amp;$C767&amp;"."&amp;$B767)&amp;IF(INDEX(Variables!$D$5:$D$65,MATCH($A767,Variables!$A$5:$A$65,0))="","","."&amp;INDEX(Variables!$D$5:$D$65,MATCH($A767,Variables!$A$5:$A$65,0)))&amp;"."&amp;Z$5</f>
        <v/>
      </c>
      <c r="AA767" s="38">
        <f>INDEX(AA$75:AA$88,$D767)/$E767</f>
        <v/>
      </c>
      <c r="AB767" s="36">
        <f>INDEX(AB$75:AB$88,$D767)/$E767</f>
        <v/>
      </c>
      <c r="AC767" s="36">
        <f>INDEX(AC$75:AC$88,$D767)/$E767</f>
        <v/>
      </c>
      <c r="AD767" s="36">
        <f>INDEX(AD$75:AD$88,$D767)/$E767</f>
        <v/>
      </c>
      <c r="AE767" s="36">
        <f>INDEX(AE$75:AE$88,$D767)/$E767</f>
        <v/>
      </c>
      <c r="AF767" s="36">
        <f>INDEX(AF$75:AF$88,$D767)/$E767</f>
        <v/>
      </c>
      <c r="AG767" s="36">
        <f>INDEX(AG$75:AG$88,$D767)/$E767</f>
        <v/>
      </c>
      <c r="AH767" s="36">
        <f>INDEX(AH$75:AH$88,$D767)/$E767</f>
        <v/>
      </c>
      <c r="AI767" s="36">
        <f>INDEX(AI$75:AI$88,$D767)/$E767</f>
        <v/>
      </c>
      <c r="AJ767" s="36">
        <f>INDEX(AJ$75:AJ$88,$D767)/$E767</f>
        <v/>
      </c>
      <c r="AK767" s="36">
        <f>INDEX(AK$75:AK$88,$D767)/$E767</f>
        <v/>
      </c>
      <c r="AL767" s="36">
        <f>INDEX(AL$75:AL$88,$D767)/$E767</f>
        <v/>
      </c>
      <c r="AM767" s="36">
        <f>INDEX(AM$75:AM$88,$D767)/$E767</f>
        <v/>
      </c>
      <c r="AN767" s="36">
        <f>INDEX(AN$75:AN$88,$D767)/$E767</f>
        <v/>
      </c>
    </row>
    <row r="768" hidden="1" outlineLevel="2"/>
    <row r="769" hidden="1" outlineLevel="2">
      <c r="A769" s="5" t="inlineStr">
        <is>
          <t>nce</t>
        </is>
      </c>
      <c r="B769" s="5" t="inlineStr">
        <is>
          <t>coa</t>
        </is>
      </c>
      <c r="C769" s="5" t="inlineStr">
        <is>
          <t>irn</t>
        </is>
      </c>
      <c r="D769" s="37" t="n"/>
      <c r="E769" s="37" t="n"/>
      <c r="F769" s="37" t="n"/>
      <c r="G769" s="37" t="n"/>
      <c r="H769" s="5">
        <f>INDEX(Variables!$B$5:$B$65,MATCH($A769,Variables!$A$5:$A$65,0))&amp;IF($C769="",""," | "&amp;INDEX(Mapping!$B$5:$B$25,MATCH($C769,Mapping!$A$5:$A$25,0))&amp;" | "&amp;INDEX(Mapping!$B$29:$B$38,MATCH($B769,Mapping!$A$29:$A$38,0)))</f>
        <v/>
      </c>
      <c r="I769" s="5">
        <f>INDEX(Variables!$C$5:$C$65,MATCH($A769,Variables!$A$5:$A$65,0))</f>
        <v/>
      </c>
      <c r="J769" s="5">
        <f>INDEX(Variables!$E$5:$E$65,MATCH($A769,Variables!$A$5:$A$65,0))</f>
        <v/>
      </c>
      <c r="K769" s="23">
        <f>LOWER(Settings!$C$4)&amp;".mit."&amp;$A769&amp;IF($C769="","","."&amp;$C769&amp;"."&amp;$B769)&amp;IF(INDEX(Variables!$D$5:$D$65,MATCH($A769,Variables!$A$5:$A$65,0))="","","."&amp;INDEX(Variables!$D$5:$D$65,MATCH($A769,Variables!$A$5:$A$65,0)))&amp;"."&amp;K$5</f>
        <v/>
      </c>
      <c r="L769" s="38">
        <f>L751+L760</f>
        <v/>
      </c>
      <c r="M769" s="36">
        <f>M751+M760</f>
        <v/>
      </c>
      <c r="N769" s="36">
        <f>N751+N760</f>
        <v/>
      </c>
      <c r="O769" s="36">
        <f>O751+O760</f>
        <v/>
      </c>
      <c r="P769" s="36">
        <f>P751+P760</f>
        <v/>
      </c>
      <c r="Q769" s="36">
        <f>Q751+Q760</f>
        <v/>
      </c>
      <c r="R769" s="36">
        <f>R751+R760</f>
        <v/>
      </c>
      <c r="S769" s="36">
        <f>S751+S760</f>
        <v/>
      </c>
      <c r="T769" s="36">
        <f>T751+T760</f>
        <v/>
      </c>
      <c r="U769" s="36">
        <f>U751+U760</f>
        <v/>
      </c>
      <c r="V769" s="36">
        <f>V751+V760</f>
        <v/>
      </c>
      <c r="W769" s="36">
        <f>W751+W760</f>
        <v/>
      </c>
      <c r="X769" s="36">
        <f>X751+X760</f>
        <v/>
      </c>
      <c r="Y769" s="36">
        <f>Y751+Y760</f>
        <v/>
      </c>
      <c r="Z769" s="23">
        <f>LOWER(Settings!$C$4)&amp;".mit."&amp;$A769&amp;IF($C769="","","."&amp;$C769&amp;"."&amp;$B769)&amp;IF(INDEX(Variables!$D$5:$D$65,MATCH($A769,Variables!$A$5:$A$65,0))="","","."&amp;INDEX(Variables!$D$5:$D$65,MATCH($A769,Variables!$A$5:$A$65,0)))&amp;"."&amp;Z$5</f>
        <v/>
      </c>
      <c r="AA769" s="38">
        <f>AA751+AA760</f>
        <v/>
      </c>
      <c r="AB769" s="36">
        <f>AB751+AB760</f>
        <v/>
      </c>
      <c r="AC769" s="36">
        <f>AC751+AC760</f>
        <v/>
      </c>
      <c r="AD769" s="36">
        <f>AD751+AD760</f>
        <v/>
      </c>
      <c r="AE769" s="36">
        <f>AE751+AE760</f>
        <v/>
      </c>
      <c r="AF769" s="36">
        <f>AF751+AF760</f>
        <v/>
      </c>
      <c r="AG769" s="36">
        <f>AG751+AG760</f>
        <v/>
      </c>
      <c r="AH769" s="36">
        <f>AH751+AH760</f>
        <v/>
      </c>
      <c r="AI769" s="36">
        <f>AI751+AI760</f>
        <v/>
      </c>
      <c r="AJ769" s="36">
        <f>AJ751+AJ760</f>
        <v/>
      </c>
      <c r="AK769" s="36">
        <f>AK751+AK760</f>
        <v/>
      </c>
      <c r="AL769" s="36">
        <f>AL751+AL760</f>
        <v/>
      </c>
      <c r="AM769" s="36">
        <f>AM751+AM760</f>
        <v/>
      </c>
      <c r="AN769" s="36">
        <f>AN751+AN760</f>
        <v/>
      </c>
    </row>
    <row r="770" hidden="1" outlineLevel="2">
      <c r="A770" s="5" t="inlineStr">
        <is>
          <t>nce</t>
        </is>
      </c>
      <c r="B770" s="5" t="inlineStr">
        <is>
          <t>nga</t>
        </is>
      </c>
      <c r="C770" s="5" t="inlineStr">
        <is>
          <t>irn</t>
        </is>
      </c>
      <c r="D770" s="37" t="n"/>
      <c r="E770" s="37" t="n"/>
      <c r="F770" s="37" t="n"/>
      <c r="G770" s="37" t="n"/>
      <c r="H770" s="5">
        <f>INDEX(Variables!$B$5:$B$65,MATCH($A770,Variables!$A$5:$A$65,0))&amp;IF($C770="",""," | "&amp;INDEX(Mapping!$B$5:$B$25,MATCH($C770,Mapping!$A$5:$A$25,0))&amp;" | "&amp;INDEX(Mapping!$B$29:$B$38,MATCH($B770,Mapping!$A$29:$A$38,0)))</f>
        <v/>
      </c>
      <c r="I770" s="5">
        <f>INDEX(Variables!$C$5:$C$65,MATCH($A770,Variables!$A$5:$A$65,0))</f>
        <v/>
      </c>
      <c r="J770" s="5">
        <f>INDEX(Variables!$E$5:$E$65,MATCH($A770,Variables!$A$5:$A$65,0))</f>
        <v/>
      </c>
      <c r="K770" s="23">
        <f>LOWER(Settings!$C$4)&amp;".mit."&amp;$A770&amp;IF($C770="","","."&amp;$C770&amp;"."&amp;$B770)&amp;IF(INDEX(Variables!$D$5:$D$65,MATCH($A770,Variables!$A$5:$A$65,0))="","","."&amp;INDEX(Variables!$D$5:$D$65,MATCH($A770,Variables!$A$5:$A$65,0)))&amp;"."&amp;K$5</f>
        <v/>
      </c>
      <c r="L770" s="38">
        <f>L752+L761</f>
        <v/>
      </c>
      <c r="M770" s="36">
        <f>M752+M761</f>
        <v/>
      </c>
      <c r="N770" s="36">
        <f>N752+N761</f>
        <v/>
      </c>
      <c r="O770" s="36">
        <f>O752+O761</f>
        <v/>
      </c>
      <c r="P770" s="36">
        <f>P752+P761</f>
        <v/>
      </c>
      <c r="Q770" s="36">
        <f>Q752+Q761</f>
        <v/>
      </c>
      <c r="R770" s="36">
        <f>R752+R761</f>
        <v/>
      </c>
      <c r="S770" s="36">
        <f>S752+S761</f>
        <v/>
      </c>
      <c r="T770" s="36">
        <f>T752+T761</f>
        <v/>
      </c>
      <c r="U770" s="36">
        <f>U752+U761</f>
        <v/>
      </c>
      <c r="V770" s="36">
        <f>V752+V761</f>
        <v/>
      </c>
      <c r="W770" s="36">
        <f>W752+W761</f>
        <v/>
      </c>
      <c r="X770" s="36">
        <f>X752+X761</f>
        <v/>
      </c>
      <c r="Y770" s="36">
        <f>Y752+Y761</f>
        <v/>
      </c>
      <c r="Z770" s="23">
        <f>LOWER(Settings!$C$4)&amp;".mit."&amp;$A770&amp;IF($C770="","","."&amp;$C770&amp;"."&amp;$B770)&amp;IF(INDEX(Variables!$D$5:$D$65,MATCH($A770,Variables!$A$5:$A$65,0))="","","."&amp;INDEX(Variables!$D$5:$D$65,MATCH($A770,Variables!$A$5:$A$65,0)))&amp;"."&amp;Z$5</f>
        <v/>
      </c>
      <c r="AA770" s="38">
        <f>AA752+AA761</f>
        <v/>
      </c>
      <c r="AB770" s="36">
        <f>AB752+AB761</f>
        <v/>
      </c>
      <c r="AC770" s="36">
        <f>AC752+AC761</f>
        <v/>
      </c>
      <c r="AD770" s="36">
        <f>AD752+AD761</f>
        <v/>
      </c>
      <c r="AE770" s="36">
        <f>AE752+AE761</f>
        <v/>
      </c>
      <c r="AF770" s="36">
        <f>AF752+AF761</f>
        <v/>
      </c>
      <c r="AG770" s="36">
        <f>AG752+AG761</f>
        <v/>
      </c>
      <c r="AH770" s="36">
        <f>AH752+AH761</f>
        <v/>
      </c>
      <c r="AI770" s="36">
        <f>AI752+AI761</f>
        <v/>
      </c>
      <c r="AJ770" s="36">
        <f>AJ752+AJ761</f>
        <v/>
      </c>
      <c r="AK770" s="36">
        <f>AK752+AK761</f>
        <v/>
      </c>
      <c r="AL770" s="36">
        <f>AL752+AL761</f>
        <v/>
      </c>
      <c r="AM770" s="36">
        <f>AM752+AM761</f>
        <v/>
      </c>
      <c r="AN770" s="36">
        <f>AN752+AN761</f>
        <v/>
      </c>
    </row>
    <row r="771" hidden="1" outlineLevel="2">
      <c r="A771" s="5" t="inlineStr">
        <is>
          <t>nce</t>
        </is>
      </c>
      <c r="B771" s="5" t="inlineStr">
        <is>
          <t>gso</t>
        </is>
      </c>
      <c r="C771" s="5" t="inlineStr">
        <is>
          <t>irn</t>
        </is>
      </c>
      <c r="D771" s="37" t="n"/>
      <c r="E771" s="37" t="n"/>
      <c r="F771" s="37" t="n"/>
      <c r="G771" s="37" t="n"/>
      <c r="H771" s="5">
        <f>INDEX(Variables!$B$5:$B$65,MATCH($A771,Variables!$A$5:$A$65,0))&amp;IF($C771="",""," | "&amp;INDEX(Mapping!$B$5:$B$25,MATCH($C771,Mapping!$A$5:$A$25,0))&amp;" | "&amp;INDEX(Mapping!$B$29:$B$38,MATCH($B771,Mapping!$A$29:$A$38,0)))</f>
        <v/>
      </c>
      <c r="I771" s="5">
        <f>INDEX(Variables!$C$5:$C$65,MATCH($A771,Variables!$A$5:$A$65,0))</f>
        <v/>
      </c>
      <c r="J771" s="5">
        <f>INDEX(Variables!$E$5:$E$65,MATCH($A771,Variables!$A$5:$A$65,0))</f>
        <v/>
      </c>
      <c r="K771" s="23">
        <f>LOWER(Settings!$C$4)&amp;".mit."&amp;$A771&amp;IF($C771="","","."&amp;$C771&amp;"."&amp;$B771)&amp;IF(INDEX(Variables!$D$5:$D$65,MATCH($A771,Variables!$A$5:$A$65,0))="","","."&amp;INDEX(Variables!$D$5:$D$65,MATCH($A771,Variables!$A$5:$A$65,0)))&amp;"."&amp;K$5</f>
        <v/>
      </c>
      <c r="L771" s="38">
        <f>L753+L762</f>
        <v/>
      </c>
      <c r="M771" s="36">
        <f>M753+M762</f>
        <v/>
      </c>
      <c r="N771" s="36">
        <f>N753+N762</f>
        <v/>
      </c>
      <c r="O771" s="36">
        <f>O753+O762</f>
        <v/>
      </c>
      <c r="P771" s="36">
        <f>P753+P762</f>
        <v/>
      </c>
      <c r="Q771" s="36">
        <f>Q753+Q762</f>
        <v/>
      </c>
      <c r="R771" s="36">
        <f>R753+R762</f>
        <v/>
      </c>
      <c r="S771" s="36">
        <f>S753+S762</f>
        <v/>
      </c>
      <c r="T771" s="36">
        <f>T753+T762</f>
        <v/>
      </c>
      <c r="U771" s="36">
        <f>U753+U762</f>
        <v/>
      </c>
      <c r="V771" s="36">
        <f>V753+V762</f>
        <v/>
      </c>
      <c r="W771" s="36">
        <f>W753+W762</f>
        <v/>
      </c>
      <c r="X771" s="36">
        <f>X753+X762</f>
        <v/>
      </c>
      <c r="Y771" s="36">
        <f>Y753+Y762</f>
        <v/>
      </c>
      <c r="Z771" s="23">
        <f>LOWER(Settings!$C$4)&amp;".mit."&amp;$A771&amp;IF($C771="","","."&amp;$C771&amp;"."&amp;$B771)&amp;IF(INDEX(Variables!$D$5:$D$65,MATCH($A771,Variables!$A$5:$A$65,0))="","","."&amp;INDEX(Variables!$D$5:$D$65,MATCH($A771,Variables!$A$5:$A$65,0)))&amp;"."&amp;Z$5</f>
        <v/>
      </c>
      <c r="AA771" s="38">
        <f>AA753+AA762</f>
        <v/>
      </c>
      <c r="AB771" s="36">
        <f>AB753+AB762</f>
        <v/>
      </c>
      <c r="AC771" s="36">
        <f>AC753+AC762</f>
        <v/>
      </c>
      <c r="AD771" s="36">
        <f>AD753+AD762</f>
        <v/>
      </c>
      <c r="AE771" s="36">
        <f>AE753+AE762</f>
        <v/>
      </c>
      <c r="AF771" s="36">
        <f>AF753+AF762</f>
        <v/>
      </c>
      <c r="AG771" s="36">
        <f>AG753+AG762</f>
        <v/>
      </c>
      <c r="AH771" s="36">
        <f>AH753+AH762</f>
        <v/>
      </c>
      <c r="AI771" s="36">
        <f>AI753+AI762</f>
        <v/>
      </c>
      <c r="AJ771" s="36">
        <f>AJ753+AJ762</f>
        <v/>
      </c>
      <c r="AK771" s="36">
        <f>AK753+AK762</f>
        <v/>
      </c>
      <c r="AL771" s="36">
        <f>AL753+AL762</f>
        <v/>
      </c>
      <c r="AM771" s="36">
        <f>AM753+AM762</f>
        <v/>
      </c>
      <c r="AN771" s="36">
        <f>AN753+AN762</f>
        <v/>
      </c>
    </row>
    <row r="772" hidden="1" outlineLevel="2">
      <c r="A772" s="5" t="inlineStr">
        <is>
          <t>nce</t>
        </is>
      </c>
      <c r="B772" s="5" t="inlineStr">
        <is>
          <t>die</t>
        </is>
      </c>
      <c r="C772" s="5" t="inlineStr">
        <is>
          <t>irn</t>
        </is>
      </c>
      <c r="D772" s="37" t="n"/>
      <c r="E772" s="37" t="n"/>
      <c r="F772" s="37" t="n"/>
      <c r="G772" s="37" t="n"/>
      <c r="H772" s="5">
        <f>INDEX(Variables!$B$5:$B$65,MATCH($A772,Variables!$A$5:$A$65,0))&amp;IF($C772="",""," | "&amp;INDEX(Mapping!$B$5:$B$25,MATCH($C772,Mapping!$A$5:$A$25,0))&amp;" | "&amp;INDEX(Mapping!$B$29:$B$38,MATCH($B772,Mapping!$A$29:$A$38,0)))</f>
        <v/>
      </c>
      <c r="I772" s="5">
        <f>INDEX(Variables!$C$5:$C$65,MATCH($A772,Variables!$A$5:$A$65,0))</f>
        <v/>
      </c>
      <c r="J772" s="5">
        <f>INDEX(Variables!$E$5:$E$65,MATCH($A772,Variables!$A$5:$A$65,0))</f>
        <v/>
      </c>
      <c r="K772" s="23">
        <f>LOWER(Settings!$C$4)&amp;".mit."&amp;$A772&amp;IF($C772="","","."&amp;$C772&amp;"."&amp;$B772)&amp;IF(INDEX(Variables!$D$5:$D$65,MATCH($A772,Variables!$A$5:$A$65,0))="","","."&amp;INDEX(Variables!$D$5:$D$65,MATCH($A772,Variables!$A$5:$A$65,0)))&amp;"."&amp;K$5</f>
        <v/>
      </c>
      <c r="L772" s="38">
        <f>L754+L763</f>
        <v/>
      </c>
      <c r="M772" s="36">
        <f>M754+M763</f>
        <v/>
      </c>
      <c r="N772" s="36">
        <f>N754+N763</f>
        <v/>
      </c>
      <c r="O772" s="36">
        <f>O754+O763</f>
        <v/>
      </c>
      <c r="P772" s="36">
        <f>P754+P763</f>
        <v/>
      </c>
      <c r="Q772" s="36">
        <f>Q754+Q763</f>
        <v/>
      </c>
      <c r="R772" s="36">
        <f>R754+R763</f>
        <v/>
      </c>
      <c r="S772" s="36">
        <f>S754+S763</f>
        <v/>
      </c>
      <c r="T772" s="36">
        <f>T754+T763</f>
        <v/>
      </c>
      <c r="U772" s="36">
        <f>U754+U763</f>
        <v/>
      </c>
      <c r="V772" s="36">
        <f>V754+V763</f>
        <v/>
      </c>
      <c r="W772" s="36">
        <f>W754+W763</f>
        <v/>
      </c>
      <c r="X772" s="36">
        <f>X754+X763</f>
        <v/>
      </c>
      <c r="Y772" s="36">
        <f>Y754+Y763</f>
        <v/>
      </c>
      <c r="Z772" s="23">
        <f>LOWER(Settings!$C$4)&amp;".mit."&amp;$A772&amp;IF($C772="","","."&amp;$C772&amp;"."&amp;$B772)&amp;IF(INDEX(Variables!$D$5:$D$65,MATCH($A772,Variables!$A$5:$A$65,0))="","","."&amp;INDEX(Variables!$D$5:$D$65,MATCH($A772,Variables!$A$5:$A$65,0)))&amp;"."&amp;Z$5</f>
        <v/>
      </c>
      <c r="AA772" s="38">
        <f>AA754+AA763</f>
        <v/>
      </c>
      <c r="AB772" s="36">
        <f>AB754+AB763</f>
        <v/>
      </c>
      <c r="AC772" s="36">
        <f>AC754+AC763</f>
        <v/>
      </c>
      <c r="AD772" s="36">
        <f>AD754+AD763</f>
        <v/>
      </c>
      <c r="AE772" s="36">
        <f>AE754+AE763</f>
        <v/>
      </c>
      <c r="AF772" s="36">
        <f>AF754+AF763</f>
        <v/>
      </c>
      <c r="AG772" s="36">
        <f>AG754+AG763</f>
        <v/>
      </c>
      <c r="AH772" s="36">
        <f>AH754+AH763</f>
        <v/>
      </c>
      <c r="AI772" s="36">
        <f>AI754+AI763</f>
        <v/>
      </c>
      <c r="AJ772" s="36">
        <f>AJ754+AJ763</f>
        <v/>
      </c>
      <c r="AK772" s="36">
        <f>AK754+AK763</f>
        <v/>
      </c>
      <c r="AL772" s="36">
        <f>AL754+AL763</f>
        <v/>
      </c>
      <c r="AM772" s="36">
        <f>AM754+AM763</f>
        <v/>
      </c>
      <c r="AN772" s="36">
        <f>AN754+AN763</f>
        <v/>
      </c>
    </row>
    <row r="773" hidden="1" outlineLevel="2">
      <c r="A773" s="5" t="inlineStr">
        <is>
          <t>nce</t>
        </is>
      </c>
      <c r="B773" s="5" t="inlineStr">
        <is>
          <t>lpg</t>
        </is>
      </c>
      <c r="C773" s="5" t="inlineStr">
        <is>
          <t>irn</t>
        </is>
      </c>
      <c r="D773" s="37" t="n"/>
      <c r="E773" s="37" t="n"/>
      <c r="F773" s="37" t="n"/>
      <c r="G773" s="37" t="n"/>
      <c r="H773" s="5">
        <f>INDEX(Variables!$B$5:$B$65,MATCH($A773,Variables!$A$5:$A$65,0))&amp;IF($C773="",""," | "&amp;INDEX(Mapping!$B$5:$B$25,MATCH($C773,Mapping!$A$5:$A$25,0))&amp;" | "&amp;INDEX(Mapping!$B$29:$B$38,MATCH($B773,Mapping!$A$29:$A$38,0)))</f>
        <v/>
      </c>
      <c r="I773" s="5">
        <f>INDEX(Variables!$C$5:$C$65,MATCH($A773,Variables!$A$5:$A$65,0))</f>
        <v/>
      </c>
      <c r="J773" s="5">
        <f>INDEX(Variables!$E$5:$E$65,MATCH($A773,Variables!$A$5:$A$65,0))</f>
        <v/>
      </c>
      <c r="K773" s="23">
        <f>LOWER(Settings!$C$4)&amp;".mit."&amp;$A773&amp;IF($C773="","","."&amp;$C773&amp;"."&amp;$B773)&amp;IF(INDEX(Variables!$D$5:$D$65,MATCH($A773,Variables!$A$5:$A$65,0))="","","."&amp;INDEX(Variables!$D$5:$D$65,MATCH($A773,Variables!$A$5:$A$65,0)))&amp;"."&amp;K$5</f>
        <v/>
      </c>
      <c r="L773" s="38">
        <f>L755+L764</f>
        <v/>
      </c>
      <c r="M773" s="36">
        <f>M755+M764</f>
        <v/>
      </c>
      <c r="N773" s="36">
        <f>N755+N764</f>
        <v/>
      </c>
      <c r="O773" s="36">
        <f>O755+O764</f>
        <v/>
      </c>
      <c r="P773" s="36">
        <f>P755+P764</f>
        <v/>
      </c>
      <c r="Q773" s="36">
        <f>Q755+Q764</f>
        <v/>
      </c>
      <c r="R773" s="36">
        <f>R755+R764</f>
        <v/>
      </c>
      <c r="S773" s="36">
        <f>S755+S764</f>
        <v/>
      </c>
      <c r="T773" s="36">
        <f>T755+T764</f>
        <v/>
      </c>
      <c r="U773" s="36">
        <f>U755+U764</f>
        <v/>
      </c>
      <c r="V773" s="36">
        <f>V755+V764</f>
        <v/>
      </c>
      <c r="W773" s="36">
        <f>W755+W764</f>
        <v/>
      </c>
      <c r="X773" s="36">
        <f>X755+X764</f>
        <v/>
      </c>
      <c r="Y773" s="36">
        <f>Y755+Y764</f>
        <v/>
      </c>
      <c r="Z773" s="23">
        <f>LOWER(Settings!$C$4)&amp;".mit."&amp;$A773&amp;IF($C773="","","."&amp;$C773&amp;"."&amp;$B773)&amp;IF(INDEX(Variables!$D$5:$D$65,MATCH($A773,Variables!$A$5:$A$65,0))="","","."&amp;INDEX(Variables!$D$5:$D$65,MATCH($A773,Variables!$A$5:$A$65,0)))&amp;"."&amp;Z$5</f>
        <v/>
      </c>
      <c r="AA773" s="38">
        <f>AA755+AA764</f>
        <v/>
      </c>
      <c r="AB773" s="36">
        <f>AB755+AB764</f>
        <v/>
      </c>
      <c r="AC773" s="36">
        <f>AC755+AC764</f>
        <v/>
      </c>
      <c r="AD773" s="36">
        <f>AD755+AD764</f>
        <v/>
      </c>
      <c r="AE773" s="36">
        <f>AE755+AE764</f>
        <v/>
      </c>
      <c r="AF773" s="36">
        <f>AF755+AF764</f>
        <v/>
      </c>
      <c r="AG773" s="36">
        <f>AG755+AG764</f>
        <v/>
      </c>
      <c r="AH773" s="36">
        <f>AH755+AH764</f>
        <v/>
      </c>
      <c r="AI773" s="36">
        <f>AI755+AI764</f>
        <v/>
      </c>
      <c r="AJ773" s="36">
        <f>AJ755+AJ764</f>
        <v/>
      </c>
      <c r="AK773" s="36">
        <f>AK755+AK764</f>
        <v/>
      </c>
      <c r="AL773" s="36">
        <f>AL755+AL764</f>
        <v/>
      </c>
      <c r="AM773" s="36">
        <f>AM755+AM764</f>
        <v/>
      </c>
      <c r="AN773" s="36">
        <f>AN755+AN764</f>
        <v/>
      </c>
    </row>
    <row r="774" hidden="1" outlineLevel="2">
      <c r="A774" s="5" t="inlineStr">
        <is>
          <t>nce</t>
        </is>
      </c>
      <c r="B774" s="5" t="inlineStr">
        <is>
          <t>ker</t>
        </is>
      </c>
      <c r="C774" s="5" t="inlineStr">
        <is>
          <t>irn</t>
        </is>
      </c>
      <c r="D774" s="37" t="n"/>
      <c r="E774" s="37" t="n"/>
      <c r="F774" s="37" t="n"/>
      <c r="G774" s="37" t="n"/>
      <c r="H774" s="5">
        <f>INDEX(Variables!$B$5:$B$65,MATCH($A774,Variables!$A$5:$A$65,0))&amp;IF($C774="",""," | "&amp;INDEX(Mapping!$B$5:$B$25,MATCH($C774,Mapping!$A$5:$A$25,0))&amp;" | "&amp;INDEX(Mapping!$B$29:$B$38,MATCH($B774,Mapping!$A$29:$A$38,0)))</f>
        <v/>
      </c>
      <c r="I774" s="5">
        <f>INDEX(Variables!$C$5:$C$65,MATCH($A774,Variables!$A$5:$A$65,0))</f>
        <v/>
      </c>
      <c r="J774" s="5">
        <f>INDEX(Variables!$E$5:$E$65,MATCH($A774,Variables!$A$5:$A$65,0))</f>
        <v/>
      </c>
      <c r="K774" s="23">
        <f>LOWER(Settings!$C$4)&amp;".mit."&amp;$A774&amp;IF($C774="","","."&amp;$C774&amp;"."&amp;$B774)&amp;IF(INDEX(Variables!$D$5:$D$65,MATCH($A774,Variables!$A$5:$A$65,0))="","","."&amp;INDEX(Variables!$D$5:$D$65,MATCH($A774,Variables!$A$5:$A$65,0)))&amp;"."&amp;K$5</f>
        <v/>
      </c>
      <c r="L774" s="38">
        <f>L756+L765</f>
        <v/>
      </c>
      <c r="M774" s="36">
        <f>M756+M765</f>
        <v/>
      </c>
      <c r="N774" s="36">
        <f>N756+N765</f>
        <v/>
      </c>
      <c r="O774" s="36">
        <f>O756+O765</f>
        <v/>
      </c>
      <c r="P774" s="36">
        <f>P756+P765</f>
        <v/>
      </c>
      <c r="Q774" s="36">
        <f>Q756+Q765</f>
        <v/>
      </c>
      <c r="R774" s="36">
        <f>R756+R765</f>
        <v/>
      </c>
      <c r="S774" s="36">
        <f>S756+S765</f>
        <v/>
      </c>
      <c r="T774" s="36">
        <f>T756+T765</f>
        <v/>
      </c>
      <c r="U774" s="36">
        <f>U756+U765</f>
        <v/>
      </c>
      <c r="V774" s="36">
        <f>V756+V765</f>
        <v/>
      </c>
      <c r="W774" s="36">
        <f>W756+W765</f>
        <v/>
      </c>
      <c r="X774" s="36">
        <f>X756+X765</f>
        <v/>
      </c>
      <c r="Y774" s="36">
        <f>Y756+Y765</f>
        <v/>
      </c>
      <c r="Z774" s="23">
        <f>LOWER(Settings!$C$4)&amp;".mit."&amp;$A774&amp;IF($C774="","","."&amp;$C774&amp;"."&amp;$B774)&amp;IF(INDEX(Variables!$D$5:$D$65,MATCH($A774,Variables!$A$5:$A$65,0))="","","."&amp;INDEX(Variables!$D$5:$D$65,MATCH($A774,Variables!$A$5:$A$65,0)))&amp;"."&amp;Z$5</f>
        <v/>
      </c>
      <c r="AA774" s="38">
        <f>AA756+AA765</f>
        <v/>
      </c>
      <c r="AB774" s="36">
        <f>AB756+AB765</f>
        <v/>
      </c>
      <c r="AC774" s="36">
        <f>AC756+AC765</f>
        <v/>
      </c>
      <c r="AD774" s="36">
        <f>AD756+AD765</f>
        <v/>
      </c>
      <c r="AE774" s="36">
        <f>AE756+AE765</f>
        <v/>
      </c>
      <c r="AF774" s="36">
        <f>AF756+AF765</f>
        <v/>
      </c>
      <c r="AG774" s="36">
        <f>AG756+AG765</f>
        <v/>
      </c>
      <c r="AH774" s="36">
        <f>AH756+AH765</f>
        <v/>
      </c>
      <c r="AI774" s="36">
        <f>AI756+AI765</f>
        <v/>
      </c>
      <c r="AJ774" s="36">
        <f>AJ756+AJ765</f>
        <v/>
      </c>
      <c r="AK774" s="36">
        <f>AK756+AK765</f>
        <v/>
      </c>
      <c r="AL774" s="36">
        <f>AL756+AL765</f>
        <v/>
      </c>
      <c r="AM774" s="36">
        <f>AM756+AM765</f>
        <v/>
      </c>
      <c r="AN774" s="36">
        <f>AN756+AN765</f>
        <v/>
      </c>
    </row>
    <row r="775" hidden="1" outlineLevel="2">
      <c r="A775" s="5" t="inlineStr">
        <is>
          <t>nce</t>
        </is>
      </c>
      <c r="B775" s="5" t="inlineStr">
        <is>
          <t>oop</t>
        </is>
      </c>
      <c r="C775" s="5" t="inlineStr">
        <is>
          <t>irn</t>
        </is>
      </c>
      <c r="D775" s="37" t="n"/>
      <c r="E775" s="37" t="n"/>
      <c r="F775" s="37" t="n"/>
      <c r="G775" s="37" t="n"/>
      <c r="H775" s="5">
        <f>INDEX(Variables!$B$5:$B$65,MATCH($A775,Variables!$A$5:$A$65,0))&amp;IF($C775="",""," | "&amp;INDEX(Mapping!$B$5:$B$25,MATCH($C775,Mapping!$A$5:$A$25,0))&amp;" | "&amp;INDEX(Mapping!$B$29:$B$38,MATCH($B775,Mapping!$A$29:$A$38,0)))</f>
        <v/>
      </c>
      <c r="I775" s="5">
        <f>INDEX(Variables!$C$5:$C$65,MATCH($A775,Variables!$A$5:$A$65,0))</f>
        <v/>
      </c>
      <c r="J775" s="5">
        <f>INDEX(Variables!$E$5:$E$65,MATCH($A775,Variables!$A$5:$A$65,0))</f>
        <v/>
      </c>
      <c r="K775" s="23">
        <f>LOWER(Settings!$C$4)&amp;".mit."&amp;$A775&amp;IF($C775="","","."&amp;$C775&amp;"."&amp;$B775)&amp;IF(INDEX(Variables!$D$5:$D$65,MATCH($A775,Variables!$A$5:$A$65,0))="","","."&amp;INDEX(Variables!$D$5:$D$65,MATCH($A775,Variables!$A$5:$A$65,0)))&amp;"."&amp;K$5</f>
        <v/>
      </c>
      <c r="L775" s="38">
        <f>L757+L766</f>
        <v/>
      </c>
      <c r="M775" s="36">
        <f>M757+M766</f>
        <v/>
      </c>
      <c r="N775" s="36">
        <f>N757+N766</f>
        <v/>
      </c>
      <c r="O775" s="36">
        <f>O757+O766</f>
        <v/>
      </c>
      <c r="P775" s="36">
        <f>P757+P766</f>
        <v/>
      </c>
      <c r="Q775" s="36">
        <f>Q757+Q766</f>
        <v/>
      </c>
      <c r="R775" s="36">
        <f>R757+R766</f>
        <v/>
      </c>
      <c r="S775" s="36">
        <f>S757+S766</f>
        <v/>
      </c>
      <c r="T775" s="36">
        <f>T757+T766</f>
        <v/>
      </c>
      <c r="U775" s="36">
        <f>U757+U766</f>
        <v/>
      </c>
      <c r="V775" s="36">
        <f>V757+V766</f>
        <v/>
      </c>
      <c r="W775" s="36">
        <f>W757+W766</f>
        <v/>
      </c>
      <c r="X775" s="36">
        <f>X757+X766</f>
        <v/>
      </c>
      <c r="Y775" s="36">
        <f>Y757+Y766</f>
        <v/>
      </c>
      <c r="Z775" s="23">
        <f>LOWER(Settings!$C$4)&amp;".mit."&amp;$A775&amp;IF($C775="","","."&amp;$C775&amp;"."&amp;$B775)&amp;IF(INDEX(Variables!$D$5:$D$65,MATCH($A775,Variables!$A$5:$A$65,0))="","","."&amp;INDEX(Variables!$D$5:$D$65,MATCH($A775,Variables!$A$5:$A$65,0)))&amp;"."&amp;Z$5</f>
        <v/>
      </c>
      <c r="AA775" s="38">
        <f>AA757+AA766</f>
        <v/>
      </c>
      <c r="AB775" s="36">
        <f>AB757+AB766</f>
        <v/>
      </c>
      <c r="AC775" s="36">
        <f>AC757+AC766</f>
        <v/>
      </c>
      <c r="AD775" s="36">
        <f>AD757+AD766</f>
        <v/>
      </c>
      <c r="AE775" s="36">
        <f>AE757+AE766</f>
        <v/>
      </c>
      <c r="AF775" s="36">
        <f>AF757+AF766</f>
        <v/>
      </c>
      <c r="AG775" s="36">
        <f>AG757+AG766</f>
        <v/>
      </c>
      <c r="AH775" s="36">
        <f>AH757+AH766</f>
        <v/>
      </c>
      <c r="AI775" s="36">
        <f>AI757+AI766</f>
        <v/>
      </c>
      <c r="AJ775" s="36">
        <f>AJ757+AJ766</f>
        <v/>
      </c>
      <c r="AK775" s="36">
        <f>AK757+AK766</f>
        <v/>
      </c>
      <c r="AL775" s="36">
        <f>AL757+AL766</f>
        <v/>
      </c>
      <c r="AM775" s="36">
        <f>AM757+AM766</f>
        <v/>
      </c>
      <c r="AN775" s="36">
        <f>AN757+AN766</f>
        <v/>
      </c>
    </row>
    <row r="776" hidden="1" outlineLevel="2">
      <c r="A776" s="5" t="inlineStr">
        <is>
          <t>nce</t>
        </is>
      </c>
      <c r="B776" s="5" t="inlineStr">
        <is>
          <t>bio</t>
        </is>
      </c>
      <c r="C776" s="5" t="inlineStr">
        <is>
          <t>irn</t>
        </is>
      </c>
      <c r="D776" s="37" t="n"/>
      <c r="E776" s="37" t="n"/>
      <c r="F776" s="37" t="n"/>
      <c r="G776" s="37" t="n"/>
      <c r="H776" s="5">
        <f>INDEX(Variables!$B$5:$B$65,MATCH($A776,Variables!$A$5:$A$65,0))&amp;IF($C776="",""," | "&amp;INDEX(Mapping!$B$5:$B$25,MATCH($C776,Mapping!$A$5:$A$25,0))&amp;" | "&amp;INDEX(Mapping!$B$29:$B$38,MATCH($B776,Mapping!$A$29:$A$38,0)))</f>
        <v/>
      </c>
      <c r="I776" s="5">
        <f>INDEX(Variables!$C$5:$C$65,MATCH($A776,Variables!$A$5:$A$65,0))</f>
        <v/>
      </c>
      <c r="J776" s="5">
        <f>INDEX(Variables!$E$5:$E$65,MATCH($A776,Variables!$A$5:$A$65,0))</f>
        <v/>
      </c>
      <c r="K776" s="23">
        <f>LOWER(Settings!$C$4)&amp;".mit."&amp;$A776&amp;IF($C776="","","."&amp;$C776&amp;"."&amp;$B776)&amp;IF(INDEX(Variables!$D$5:$D$65,MATCH($A776,Variables!$A$5:$A$65,0))="","","."&amp;INDEX(Variables!$D$5:$D$65,MATCH($A776,Variables!$A$5:$A$65,0)))&amp;"."&amp;K$5</f>
        <v/>
      </c>
      <c r="L776" s="38">
        <f>L758+L767</f>
        <v/>
      </c>
      <c r="M776" s="36">
        <f>M758+M767</f>
        <v/>
      </c>
      <c r="N776" s="36">
        <f>N758+N767</f>
        <v/>
      </c>
      <c r="O776" s="36">
        <f>O758+O767</f>
        <v/>
      </c>
      <c r="P776" s="36">
        <f>P758+P767</f>
        <v/>
      </c>
      <c r="Q776" s="36">
        <f>Q758+Q767</f>
        <v/>
      </c>
      <c r="R776" s="36">
        <f>R758+R767</f>
        <v/>
      </c>
      <c r="S776" s="36">
        <f>S758+S767</f>
        <v/>
      </c>
      <c r="T776" s="36">
        <f>T758+T767</f>
        <v/>
      </c>
      <c r="U776" s="36">
        <f>U758+U767</f>
        <v/>
      </c>
      <c r="V776" s="36">
        <f>V758+V767</f>
        <v/>
      </c>
      <c r="W776" s="36">
        <f>W758+W767</f>
        <v/>
      </c>
      <c r="X776" s="36">
        <f>X758+X767</f>
        <v/>
      </c>
      <c r="Y776" s="36">
        <f>Y758+Y767</f>
        <v/>
      </c>
      <c r="Z776" s="23">
        <f>LOWER(Settings!$C$4)&amp;".mit."&amp;$A776&amp;IF($C776="","","."&amp;$C776&amp;"."&amp;$B776)&amp;IF(INDEX(Variables!$D$5:$D$65,MATCH($A776,Variables!$A$5:$A$65,0))="","","."&amp;INDEX(Variables!$D$5:$D$65,MATCH($A776,Variables!$A$5:$A$65,0)))&amp;"."&amp;Z$5</f>
        <v/>
      </c>
      <c r="AA776" s="38">
        <f>AA758+AA767</f>
        <v/>
      </c>
      <c r="AB776" s="36">
        <f>AB758+AB767</f>
        <v/>
      </c>
      <c r="AC776" s="36">
        <f>AC758+AC767</f>
        <v/>
      </c>
      <c r="AD776" s="36">
        <f>AD758+AD767</f>
        <v/>
      </c>
      <c r="AE776" s="36">
        <f>AE758+AE767</f>
        <v/>
      </c>
      <c r="AF776" s="36">
        <f>AF758+AF767</f>
        <v/>
      </c>
      <c r="AG776" s="36">
        <f>AG758+AG767</f>
        <v/>
      </c>
      <c r="AH776" s="36">
        <f>AH758+AH767</f>
        <v/>
      </c>
      <c r="AI776" s="36">
        <f>AI758+AI767</f>
        <v/>
      </c>
      <c r="AJ776" s="36">
        <f>AJ758+AJ767</f>
        <v/>
      </c>
      <c r="AK776" s="36">
        <f>AK758+AK767</f>
        <v/>
      </c>
      <c r="AL776" s="36">
        <f>AL758+AL767</f>
        <v/>
      </c>
      <c r="AM776" s="36">
        <f>AM758+AM767</f>
        <v/>
      </c>
      <c r="AN776" s="36">
        <f>AN758+AN767</f>
        <v/>
      </c>
    </row>
    <row r="777" hidden="1" outlineLevel="2"/>
    <row r="778" hidden="1" outlineLevel="2">
      <c r="A778" s="5" t="inlineStr">
        <is>
          <t>tax</t>
        </is>
      </c>
      <c r="B778" s="5" t="inlineStr">
        <is>
          <t>coa</t>
        </is>
      </c>
      <c r="C778" s="5" t="inlineStr">
        <is>
          <t>irn</t>
        </is>
      </c>
      <c r="D778" s="36">
        <f>INDEX(Inputs!$T$5:$T$132,MATCH($B778&amp;"|"&amp;$C778,Inputs!$A$5:$A$132,0))</f>
        <v/>
      </c>
      <c r="E778" s="37" t="n"/>
      <c r="F778" s="37" t="n"/>
      <c r="G778" s="37" t="n"/>
      <c r="H778" s="5">
        <f>INDEX(Variables!$B$5:$B$65,MATCH($A778,Variables!$A$5:$A$65,0))&amp;IF($C778="",""," | "&amp;INDEX(Mapping!$B$5:$B$25,MATCH($C778,Mapping!$A$5:$A$25,0))&amp;" | "&amp;INDEX(Mapping!$B$29:$B$38,MATCH($B778,Mapping!$A$29:$A$38,0)))</f>
        <v/>
      </c>
      <c r="I778" s="5">
        <f>INDEX(Variables!$C$5:$C$65,MATCH($A778,Variables!$A$5:$A$65,0))</f>
        <v/>
      </c>
      <c r="J778" s="5">
        <f>INDEX(Variables!$E$5:$E$65,MATCH($A778,Variables!$A$5:$A$65,0))</f>
        <v/>
      </c>
      <c r="K778" s="23">
        <f>LOWER(Settings!$C$4)&amp;".mit."&amp;$A778&amp;IF($C778="","","."&amp;$C778&amp;"."&amp;$B778)&amp;IF(INDEX(Variables!$D$5:$D$65,MATCH($A778,Variables!$A$5:$A$65,0))="","","."&amp;INDEX(Variables!$D$5:$D$65,MATCH($A778,Variables!$A$5:$A$65,0)))&amp;"."&amp;K$5</f>
        <v/>
      </c>
      <c r="L778" s="38">
        <f>$D778+L769</f>
        <v/>
      </c>
      <c r="M778" s="36">
        <f>$D778+M769</f>
        <v/>
      </c>
      <c r="N778" s="36">
        <f>$D778+N769</f>
        <v/>
      </c>
      <c r="O778" s="36">
        <f>$D778+O769</f>
        <v/>
      </c>
      <c r="P778" s="36">
        <f>$D778+P769</f>
        <v/>
      </c>
      <c r="Q778" s="36">
        <f>$D778+Q769</f>
        <v/>
      </c>
      <c r="R778" s="36">
        <f>$D778+R769</f>
        <v/>
      </c>
      <c r="S778" s="36">
        <f>$D778+S769</f>
        <v/>
      </c>
      <c r="T778" s="36">
        <f>$D778+T769</f>
        <v/>
      </c>
      <c r="U778" s="36">
        <f>$D778+U769</f>
        <v/>
      </c>
      <c r="V778" s="36">
        <f>$D778+V769</f>
        <v/>
      </c>
      <c r="W778" s="36">
        <f>$D778+W769</f>
        <v/>
      </c>
      <c r="X778" s="36">
        <f>$D778+X769</f>
        <v/>
      </c>
      <c r="Y778" s="39">
        <f>TAX($D778,Y769)</f>
        <v/>
      </c>
      <c r="Z778" s="23">
        <f>LOWER(Settings!$C$4)&amp;".mit."&amp;$A778&amp;IF($C778="","","."&amp;$C778&amp;"."&amp;$B778)&amp;IF(INDEX(Variables!$D$5:$D$65,MATCH($A778,Variables!$A$5:$A$65,0))="","","."&amp;INDEX(Variables!$D$5:$D$65,MATCH($A778,Variables!$A$5:$A$65,0)))&amp;"."&amp;Z$5</f>
        <v/>
      </c>
      <c r="AA778" s="38">
        <f>$D778+AA769</f>
        <v/>
      </c>
      <c r="AB778" s="36">
        <f>$D778+AB769</f>
        <v/>
      </c>
      <c r="AC778" s="36">
        <f>$D778+AC769</f>
        <v/>
      </c>
      <c r="AD778" s="36">
        <f>$D778+AD769</f>
        <v/>
      </c>
      <c r="AE778" s="36">
        <f>$D778+AE769</f>
        <v/>
      </c>
      <c r="AF778" s="36">
        <f>$D778+AF769</f>
        <v/>
      </c>
      <c r="AG778" s="36">
        <f>$D778+AG769</f>
        <v/>
      </c>
      <c r="AH778" s="36">
        <f>$D778+AH769</f>
        <v/>
      </c>
      <c r="AI778" s="36">
        <f>$D778+AI769</f>
        <v/>
      </c>
      <c r="AJ778" s="36">
        <f>$D778+AJ769</f>
        <v/>
      </c>
      <c r="AK778" s="36">
        <f>$D778+AK769</f>
        <v/>
      </c>
      <c r="AL778" s="36">
        <f>$D778+AL769</f>
        <v/>
      </c>
      <c r="AM778" s="36">
        <f>$D778+AM769</f>
        <v/>
      </c>
      <c r="AN778" s="39">
        <f>TAX($D778,AN769)</f>
        <v/>
      </c>
    </row>
    <row r="779" hidden="1" outlineLevel="2">
      <c r="A779" s="5" t="inlineStr">
        <is>
          <t>tax</t>
        </is>
      </c>
      <c r="B779" s="5" t="inlineStr">
        <is>
          <t>nga</t>
        </is>
      </c>
      <c r="C779" s="5" t="inlineStr">
        <is>
          <t>irn</t>
        </is>
      </c>
      <c r="D779" s="36">
        <f>INDEX(Inputs!$T$5:$T$132,MATCH($B779&amp;"|"&amp;$C779,Inputs!$A$5:$A$132,0))</f>
        <v/>
      </c>
      <c r="E779" s="37" t="n"/>
      <c r="F779" s="37" t="n"/>
      <c r="G779" s="37" t="n"/>
      <c r="H779" s="5">
        <f>INDEX(Variables!$B$5:$B$65,MATCH($A779,Variables!$A$5:$A$65,0))&amp;IF($C779="",""," | "&amp;INDEX(Mapping!$B$5:$B$25,MATCH($C779,Mapping!$A$5:$A$25,0))&amp;" | "&amp;INDEX(Mapping!$B$29:$B$38,MATCH($B779,Mapping!$A$29:$A$38,0)))</f>
        <v/>
      </c>
      <c r="I779" s="5">
        <f>INDEX(Variables!$C$5:$C$65,MATCH($A779,Variables!$A$5:$A$65,0))</f>
        <v/>
      </c>
      <c r="J779" s="5">
        <f>INDEX(Variables!$E$5:$E$65,MATCH($A779,Variables!$A$5:$A$65,0))</f>
        <v/>
      </c>
      <c r="K779" s="23">
        <f>LOWER(Settings!$C$4)&amp;".mit."&amp;$A779&amp;IF($C779="","","."&amp;$C779&amp;"."&amp;$B779)&amp;IF(INDEX(Variables!$D$5:$D$65,MATCH($A779,Variables!$A$5:$A$65,0))="","","."&amp;INDEX(Variables!$D$5:$D$65,MATCH($A779,Variables!$A$5:$A$65,0)))&amp;"."&amp;K$5</f>
        <v/>
      </c>
      <c r="L779" s="38">
        <f>$D779+L770</f>
        <v/>
      </c>
      <c r="M779" s="36">
        <f>$D779+M770</f>
        <v/>
      </c>
      <c r="N779" s="36">
        <f>$D779+N770</f>
        <v/>
      </c>
      <c r="O779" s="36">
        <f>$D779+O770</f>
        <v/>
      </c>
      <c r="P779" s="36">
        <f>$D779+P770</f>
        <v/>
      </c>
      <c r="Q779" s="36">
        <f>$D779+Q770</f>
        <v/>
      </c>
      <c r="R779" s="36">
        <f>$D779+R770</f>
        <v/>
      </c>
      <c r="S779" s="36">
        <f>$D779+S770</f>
        <v/>
      </c>
      <c r="T779" s="36">
        <f>$D779+T770</f>
        <v/>
      </c>
      <c r="U779" s="36">
        <f>$D779+U770</f>
        <v/>
      </c>
      <c r="V779" s="36">
        <f>$D779+V770</f>
        <v/>
      </c>
      <c r="W779" s="36">
        <f>$D779+W770</f>
        <v/>
      </c>
      <c r="X779" s="36">
        <f>$D779+X770</f>
        <v/>
      </c>
      <c r="Y779" s="39">
        <f>TAX($D779,Y770)</f>
        <v/>
      </c>
      <c r="Z779" s="23">
        <f>LOWER(Settings!$C$4)&amp;".mit."&amp;$A779&amp;IF($C779="","","."&amp;$C779&amp;"."&amp;$B779)&amp;IF(INDEX(Variables!$D$5:$D$65,MATCH($A779,Variables!$A$5:$A$65,0))="","","."&amp;INDEX(Variables!$D$5:$D$65,MATCH($A779,Variables!$A$5:$A$65,0)))&amp;"."&amp;Z$5</f>
        <v/>
      </c>
      <c r="AA779" s="38">
        <f>$D779+AA770</f>
        <v/>
      </c>
      <c r="AB779" s="36">
        <f>$D779+AB770</f>
        <v/>
      </c>
      <c r="AC779" s="36">
        <f>$D779+AC770</f>
        <v/>
      </c>
      <c r="AD779" s="36">
        <f>$D779+AD770</f>
        <v/>
      </c>
      <c r="AE779" s="36">
        <f>$D779+AE770</f>
        <v/>
      </c>
      <c r="AF779" s="36">
        <f>$D779+AF770</f>
        <v/>
      </c>
      <c r="AG779" s="36">
        <f>$D779+AG770</f>
        <v/>
      </c>
      <c r="AH779" s="36">
        <f>$D779+AH770</f>
        <v/>
      </c>
      <c r="AI779" s="36">
        <f>$D779+AI770</f>
        <v/>
      </c>
      <c r="AJ779" s="36">
        <f>$D779+AJ770</f>
        <v/>
      </c>
      <c r="AK779" s="36">
        <f>$D779+AK770</f>
        <v/>
      </c>
      <c r="AL779" s="36">
        <f>$D779+AL770</f>
        <v/>
      </c>
      <c r="AM779" s="36">
        <f>$D779+AM770</f>
        <v/>
      </c>
      <c r="AN779" s="39">
        <f>TAX($D779,AN770)</f>
        <v/>
      </c>
    </row>
    <row r="780" hidden="1" outlineLevel="2">
      <c r="A780" s="5" t="inlineStr">
        <is>
          <t>tax</t>
        </is>
      </c>
      <c r="B780" s="5" t="inlineStr">
        <is>
          <t>gso</t>
        </is>
      </c>
      <c r="C780" s="5" t="inlineStr">
        <is>
          <t>irn</t>
        </is>
      </c>
      <c r="D780" s="36">
        <f>INDEX(Inputs!$T$5:$T$132,MATCH($B780&amp;"|"&amp;$C780,Inputs!$A$5:$A$132,0))</f>
        <v/>
      </c>
      <c r="E780" s="37" t="n"/>
      <c r="F780" s="37" t="n"/>
      <c r="G780" s="37" t="n"/>
      <c r="H780" s="5">
        <f>INDEX(Variables!$B$5:$B$65,MATCH($A780,Variables!$A$5:$A$65,0))&amp;IF($C780="",""," | "&amp;INDEX(Mapping!$B$5:$B$25,MATCH($C780,Mapping!$A$5:$A$25,0))&amp;" | "&amp;INDEX(Mapping!$B$29:$B$38,MATCH($B780,Mapping!$A$29:$A$38,0)))</f>
        <v/>
      </c>
      <c r="I780" s="5">
        <f>INDEX(Variables!$C$5:$C$65,MATCH($A780,Variables!$A$5:$A$65,0))</f>
        <v/>
      </c>
      <c r="J780" s="5">
        <f>INDEX(Variables!$E$5:$E$65,MATCH($A780,Variables!$A$5:$A$65,0))</f>
        <v/>
      </c>
      <c r="K780" s="23">
        <f>LOWER(Settings!$C$4)&amp;".mit."&amp;$A780&amp;IF($C780="","","."&amp;$C780&amp;"."&amp;$B780)&amp;IF(INDEX(Variables!$D$5:$D$65,MATCH($A780,Variables!$A$5:$A$65,0))="","","."&amp;INDEX(Variables!$D$5:$D$65,MATCH($A780,Variables!$A$5:$A$65,0)))&amp;"."&amp;K$5</f>
        <v/>
      </c>
      <c r="L780" s="38">
        <f>$D780+L771</f>
        <v/>
      </c>
      <c r="M780" s="36">
        <f>$D780+M771</f>
        <v/>
      </c>
      <c r="N780" s="36">
        <f>$D780+N771</f>
        <v/>
      </c>
      <c r="O780" s="36">
        <f>$D780+O771</f>
        <v/>
      </c>
      <c r="P780" s="36">
        <f>$D780+P771</f>
        <v/>
      </c>
      <c r="Q780" s="36">
        <f>$D780+Q771</f>
        <v/>
      </c>
      <c r="R780" s="36">
        <f>$D780+R771</f>
        <v/>
      </c>
      <c r="S780" s="36">
        <f>$D780+S771</f>
        <v/>
      </c>
      <c r="T780" s="36">
        <f>$D780+T771</f>
        <v/>
      </c>
      <c r="U780" s="36">
        <f>$D780+U771</f>
        <v/>
      </c>
      <c r="V780" s="36">
        <f>$D780+V771</f>
        <v/>
      </c>
      <c r="W780" s="36">
        <f>$D780+W771</f>
        <v/>
      </c>
      <c r="X780" s="36">
        <f>$D780+X771</f>
        <v/>
      </c>
      <c r="Y780" s="39">
        <f>TAX($D780,Y771)</f>
        <v/>
      </c>
      <c r="Z780" s="23">
        <f>LOWER(Settings!$C$4)&amp;".mit."&amp;$A780&amp;IF($C780="","","."&amp;$C780&amp;"."&amp;$B780)&amp;IF(INDEX(Variables!$D$5:$D$65,MATCH($A780,Variables!$A$5:$A$65,0))="","","."&amp;INDEX(Variables!$D$5:$D$65,MATCH($A780,Variables!$A$5:$A$65,0)))&amp;"."&amp;Z$5</f>
        <v/>
      </c>
      <c r="AA780" s="38">
        <f>$D780+AA771</f>
        <v/>
      </c>
      <c r="AB780" s="36">
        <f>$D780+AB771</f>
        <v/>
      </c>
      <c r="AC780" s="36">
        <f>$D780+AC771</f>
        <v/>
      </c>
      <c r="AD780" s="36">
        <f>$D780+AD771</f>
        <v/>
      </c>
      <c r="AE780" s="36">
        <f>$D780+AE771</f>
        <v/>
      </c>
      <c r="AF780" s="36">
        <f>$D780+AF771</f>
        <v/>
      </c>
      <c r="AG780" s="36">
        <f>$D780+AG771</f>
        <v/>
      </c>
      <c r="AH780" s="36">
        <f>$D780+AH771</f>
        <v/>
      </c>
      <c r="AI780" s="36">
        <f>$D780+AI771</f>
        <v/>
      </c>
      <c r="AJ780" s="36">
        <f>$D780+AJ771</f>
        <v/>
      </c>
      <c r="AK780" s="36">
        <f>$D780+AK771</f>
        <v/>
      </c>
      <c r="AL780" s="36">
        <f>$D780+AL771</f>
        <v/>
      </c>
      <c r="AM780" s="36">
        <f>$D780+AM771</f>
        <v/>
      </c>
      <c r="AN780" s="39">
        <f>TAX($D780,AN771)</f>
        <v/>
      </c>
    </row>
    <row r="781" hidden="1" outlineLevel="2">
      <c r="A781" s="5" t="inlineStr">
        <is>
          <t>tax</t>
        </is>
      </c>
      <c r="B781" s="5" t="inlineStr">
        <is>
          <t>die</t>
        </is>
      </c>
      <c r="C781" s="5" t="inlineStr">
        <is>
          <t>irn</t>
        </is>
      </c>
      <c r="D781" s="36">
        <f>INDEX(Inputs!$T$5:$T$132,MATCH($B781&amp;"|"&amp;$C781,Inputs!$A$5:$A$132,0))</f>
        <v/>
      </c>
      <c r="E781" s="37" t="n"/>
      <c r="F781" s="37" t="n"/>
      <c r="G781" s="37" t="n"/>
      <c r="H781" s="5">
        <f>INDEX(Variables!$B$5:$B$65,MATCH($A781,Variables!$A$5:$A$65,0))&amp;IF($C781="",""," | "&amp;INDEX(Mapping!$B$5:$B$25,MATCH($C781,Mapping!$A$5:$A$25,0))&amp;" | "&amp;INDEX(Mapping!$B$29:$B$38,MATCH($B781,Mapping!$A$29:$A$38,0)))</f>
        <v/>
      </c>
      <c r="I781" s="5">
        <f>INDEX(Variables!$C$5:$C$65,MATCH($A781,Variables!$A$5:$A$65,0))</f>
        <v/>
      </c>
      <c r="J781" s="5">
        <f>INDEX(Variables!$E$5:$E$65,MATCH($A781,Variables!$A$5:$A$65,0))</f>
        <v/>
      </c>
      <c r="K781" s="23">
        <f>LOWER(Settings!$C$4)&amp;".mit."&amp;$A781&amp;IF($C781="","","."&amp;$C781&amp;"."&amp;$B781)&amp;IF(INDEX(Variables!$D$5:$D$65,MATCH($A781,Variables!$A$5:$A$65,0))="","","."&amp;INDEX(Variables!$D$5:$D$65,MATCH($A781,Variables!$A$5:$A$65,0)))&amp;"."&amp;K$5</f>
        <v/>
      </c>
      <c r="L781" s="38">
        <f>$D781+L772</f>
        <v/>
      </c>
      <c r="M781" s="36">
        <f>$D781+M772</f>
        <v/>
      </c>
      <c r="N781" s="36">
        <f>$D781+N772</f>
        <v/>
      </c>
      <c r="O781" s="36">
        <f>$D781+O772</f>
        <v/>
      </c>
      <c r="P781" s="36">
        <f>$D781+P772</f>
        <v/>
      </c>
      <c r="Q781" s="36">
        <f>$D781+Q772</f>
        <v/>
      </c>
      <c r="R781" s="36">
        <f>$D781+R772</f>
        <v/>
      </c>
      <c r="S781" s="36">
        <f>$D781+S772</f>
        <v/>
      </c>
      <c r="T781" s="36">
        <f>$D781+T772</f>
        <v/>
      </c>
      <c r="U781" s="36">
        <f>$D781+U772</f>
        <v/>
      </c>
      <c r="V781" s="36">
        <f>$D781+V772</f>
        <v/>
      </c>
      <c r="W781" s="36">
        <f>$D781+W772</f>
        <v/>
      </c>
      <c r="X781" s="36">
        <f>$D781+X772</f>
        <v/>
      </c>
      <c r="Y781" s="39">
        <f>TAX($D781,Y772)</f>
        <v/>
      </c>
      <c r="Z781" s="23">
        <f>LOWER(Settings!$C$4)&amp;".mit."&amp;$A781&amp;IF($C781="","","."&amp;$C781&amp;"."&amp;$B781)&amp;IF(INDEX(Variables!$D$5:$D$65,MATCH($A781,Variables!$A$5:$A$65,0))="","","."&amp;INDEX(Variables!$D$5:$D$65,MATCH($A781,Variables!$A$5:$A$65,0)))&amp;"."&amp;Z$5</f>
        <v/>
      </c>
      <c r="AA781" s="38">
        <f>$D781+AA772</f>
        <v/>
      </c>
      <c r="AB781" s="36">
        <f>$D781+AB772</f>
        <v/>
      </c>
      <c r="AC781" s="36">
        <f>$D781+AC772</f>
        <v/>
      </c>
      <c r="AD781" s="36">
        <f>$D781+AD772</f>
        <v/>
      </c>
      <c r="AE781" s="36">
        <f>$D781+AE772</f>
        <v/>
      </c>
      <c r="AF781" s="36">
        <f>$D781+AF772</f>
        <v/>
      </c>
      <c r="AG781" s="36">
        <f>$D781+AG772</f>
        <v/>
      </c>
      <c r="AH781" s="36">
        <f>$D781+AH772</f>
        <v/>
      </c>
      <c r="AI781" s="36">
        <f>$D781+AI772</f>
        <v/>
      </c>
      <c r="AJ781" s="36">
        <f>$D781+AJ772</f>
        <v/>
      </c>
      <c r="AK781" s="36">
        <f>$D781+AK772</f>
        <v/>
      </c>
      <c r="AL781" s="36">
        <f>$D781+AL772</f>
        <v/>
      </c>
      <c r="AM781" s="36">
        <f>$D781+AM772</f>
        <v/>
      </c>
      <c r="AN781" s="39">
        <f>TAX($D781,AN772)</f>
        <v/>
      </c>
    </row>
    <row r="782" hidden="1" outlineLevel="2">
      <c r="A782" s="5" t="inlineStr">
        <is>
          <t>tax</t>
        </is>
      </c>
      <c r="B782" s="5" t="inlineStr">
        <is>
          <t>lpg</t>
        </is>
      </c>
      <c r="C782" s="5" t="inlineStr">
        <is>
          <t>irn</t>
        </is>
      </c>
      <c r="D782" s="36">
        <f>INDEX(Inputs!$T$5:$T$132,MATCH($B782&amp;"|"&amp;$C782,Inputs!$A$5:$A$132,0))</f>
        <v/>
      </c>
      <c r="E782" s="37" t="n"/>
      <c r="F782" s="37" t="n"/>
      <c r="G782" s="37" t="n"/>
      <c r="H782" s="5">
        <f>INDEX(Variables!$B$5:$B$65,MATCH($A782,Variables!$A$5:$A$65,0))&amp;IF($C782="",""," | "&amp;INDEX(Mapping!$B$5:$B$25,MATCH($C782,Mapping!$A$5:$A$25,0))&amp;" | "&amp;INDEX(Mapping!$B$29:$B$38,MATCH($B782,Mapping!$A$29:$A$38,0)))</f>
        <v/>
      </c>
      <c r="I782" s="5">
        <f>INDEX(Variables!$C$5:$C$65,MATCH($A782,Variables!$A$5:$A$65,0))</f>
        <v/>
      </c>
      <c r="J782" s="5">
        <f>INDEX(Variables!$E$5:$E$65,MATCH($A782,Variables!$A$5:$A$65,0))</f>
        <v/>
      </c>
      <c r="K782" s="23">
        <f>LOWER(Settings!$C$4)&amp;".mit."&amp;$A782&amp;IF($C782="","","."&amp;$C782&amp;"."&amp;$B782)&amp;IF(INDEX(Variables!$D$5:$D$65,MATCH($A782,Variables!$A$5:$A$65,0))="","","."&amp;INDEX(Variables!$D$5:$D$65,MATCH($A782,Variables!$A$5:$A$65,0)))&amp;"."&amp;K$5</f>
        <v/>
      </c>
      <c r="L782" s="38">
        <f>$D782+L773</f>
        <v/>
      </c>
      <c r="M782" s="36">
        <f>$D782+M773</f>
        <v/>
      </c>
      <c r="N782" s="36">
        <f>$D782+N773</f>
        <v/>
      </c>
      <c r="O782" s="36">
        <f>$D782+O773</f>
        <v/>
      </c>
      <c r="P782" s="36">
        <f>$D782+P773</f>
        <v/>
      </c>
      <c r="Q782" s="36">
        <f>$D782+Q773</f>
        <v/>
      </c>
      <c r="R782" s="36">
        <f>$D782+R773</f>
        <v/>
      </c>
      <c r="S782" s="36">
        <f>$D782+S773</f>
        <v/>
      </c>
      <c r="T782" s="36">
        <f>$D782+T773</f>
        <v/>
      </c>
      <c r="U782" s="36">
        <f>$D782+U773</f>
        <v/>
      </c>
      <c r="V782" s="36">
        <f>$D782+V773</f>
        <v/>
      </c>
      <c r="W782" s="36">
        <f>$D782+W773</f>
        <v/>
      </c>
      <c r="X782" s="36">
        <f>$D782+X773</f>
        <v/>
      </c>
      <c r="Y782" s="39">
        <f>TAX($D782,Y773)</f>
        <v/>
      </c>
      <c r="Z782" s="23">
        <f>LOWER(Settings!$C$4)&amp;".mit."&amp;$A782&amp;IF($C782="","","."&amp;$C782&amp;"."&amp;$B782)&amp;IF(INDEX(Variables!$D$5:$D$65,MATCH($A782,Variables!$A$5:$A$65,0))="","","."&amp;INDEX(Variables!$D$5:$D$65,MATCH($A782,Variables!$A$5:$A$65,0)))&amp;"."&amp;Z$5</f>
        <v/>
      </c>
      <c r="AA782" s="38">
        <f>$D782+AA773</f>
        <v/>
      </c>
      <c r="AB782" s="36">
        <f>$D782+AB773</f>
        <v/>
      </c>
      <c r="AC782" s="36">
        <f>$D782+AC773</f>
        <v/>
      </c>
      <c r="AD782" s="36">
        <f>$D782+AD773</f>
        <v/>
      </c>
      <c r="AE782" s="36">
        <f>$D782+AE773</f>
        <v/>
      </c>
      <c r="AF782" s="36">
        <f>$D782+AF773</f>
        <v/>
      </c>
      <c r="AG782" s="36">
        <f>$D782+AG773</f>
        <v/>
      </c>
      <c r="AH782" s="36">
        <f>$D782+AH773</f>
        <v/>
      </c>
      <c r="AI782" s="36">
        <f>$D782+AI773</f>
        <v/>
      </c>
      <c r="AJ782" s="36">
        <f>$D782+AJ773</f>
        <v/>
      </c>
      <c r="AK782" s="36">
        <f>$D782+AK773</f>
        <v/>
      </c>
      <c r="AL782" s="36">
        <f>$D782+AL773</f>
        <v/>
      </c>
      <c r="AM782" s="36">
        <f>$D782+AM773</f>
        <v/>
      </c>
      <c r="AN782" s="39">
        <f>TAX($D782,AN773)</f>
        <v/>
      </c>
    </row>
    <row r="783" hidden="1" outlineLevel="2">
      <c r="A783" s="5" t="inlineStr">
        <is>
          <t>tax</t>
        </is>
      </c>
      <c r="B783" s="5" t="inlineStr">
        <is>
          <t>ker</t>
        </is>
      </c>
      <c r="C783" s="5" t="inlineStr">
        <is>
          <t>irn</t>
        </is>
      </c>
      <c r="D783" s="36">
        <f>INDEX(Inputs!$T$5:$T$132,MATCH($B783&amp;"|"&amp;$C783,Inputs!$A$5:$A$132,0))</f>
        <v/>
      </c>
      <c r="E783" s="37" t="n"/>
      <c r="F783" s="37" t="n"/>
      <c r="G783" s="37" t="n"/>
      <c r="H783" s="5">
        <f>INDEX(Variables!$B$5:$B$65,MATCH($A783,Variables!$A$5:$A$65,0))&amp;IF($C783="",""," | "&amp;INDEX(Mapping!$B$5:$B$25,MATCH($C783,Mapping!$A$5:$A$25,0))&amp;" | "&amp;INDEX(Mapping!$B$29:$B$38,MATCH($B783,Mapping!$A$29:$A$38,0)))</f>
        <v/>
      </c>
      <c r="I783" s="5">
        <f>INDEX(Variables!$C$5:$C$65,MATCH($A783,Variables!$A$5:$A$65,0))</f>
        <v/>
      </c>
      <c r="J783" s="5">
        <f>INDEX(Variables!$E$5:$E$65,MATCH($A783,Variables!$A$5:$A$65,0))</f>
        <v/>
      </c>
      <c r="K783" s="23">
        <f>LOWER(Settings!$C$4)&amp;".mit."&amp;$A783&amp;IF($C783="","","."&amp;$C783&amp;"."&amp;$B783)&amp;IF(INDEX(Variables!$D$5:$D$65,MATCH($A783,Variables!$A$5:$A$65,0))="","","."&amp;INDEX(Variables!$D$5:$D$65,MATCH($A783,Variables!$A$5:$A$65,0)))&amp;"."&amp;K$5</f>
        <v/>
      </c>
      <c r="L783" s="38">
        <f>$D783+L774</f>
        <v/>
      </c>
      <c r="M783" s="36">
        <f>$D783+M774</f>
        <v/>
      </c>
      <c r="N783" s="36">
        <f>$D783+N774</f>
        <v/>
      </c>
      <c r="O783" s="36">
        <f>$D783+O774</f>
        <v/>
      </c>
      <c r="P783" s="36">
        <f>$D783+P774</f>
        <v/>
      </c>
      <c r="Q783" s="36">
        <f>$D783+Q774</f>
        <v/>
      </c>
      <c r="R783" s="36">
        <f>$D783+R774</f>
        <v/>
      </c>
      <c r="S783" s="36">
        <f>$D783+S774</f>
        <v/>
      </c>
      <c r="T783" s="36">
        <f>$D783+T774</f>
        <v/>
      </c>
      <c r="U783" s="36">
        <f>$D783+U774</f>
        <v/>
      </c>
      <c r="V783" s="36">
        <f>$D783+V774</f>
        <v/>
      </c>
      <c r="W783" s="36">
        <f>$D783+W774</f>
        <v/>
      </c>
      <c r="X783" s="36">
        <f>$D783+X774</f>
        <v/>
      </c>
      <c r="Y783" s="39">
        <f>TAX($D783,Y774)</f>
        <v/>
      </c>
      <c r="Z783" s="23">
        <f>LOWER(Settings!$C$4)&amp;".mit."&amp;$A783&amp;IF($C783="","","."&amp;$C783&amp;"."&amp;$B783)&amp;IF(INDEX(Variables!$D$5:$D$65,MATCH($A783,Variables!$A$5:$A$65,0))="","","."&amp;INDEX(Variables!$D$5:$D$65,MATCH($A783,Variables!$A$5:$A$65,0)))&amp;"."&amp;Z$5</f>
        <v/>
      </c>
      <c r="AA783" s="38">
        <f>$D783+AA774</f>
        <v/>
      </c>
      <c r="AB783" s="36">
        <f>$D783+AB774</f>
        <v/>
      </c>
      <c r="AC783" s="36">
        <f>$D783+AC774</f>
        <v/>
      </c>
      <c r="AD783" s="36">
        <f>$D783+AD774</f>
        <v/>
      </c>
      <c r="AE783" s="36">
        <f>$D783+AE774</f>
        <v/>
      </c>
      <c r="AF783" s="36">
        <f>$D783+AF774</f>
        <v/>
      </c>
      <c r="AG783" s="36">
        <f>$D783+AG774</f>
        <v/>
      </c>
      <c r="AH783" s="36">
        <f>$D783+AH774</f>
        <v/>
      </c>
      <c r="AI783" s="36">
        <f>$D783+AI774</f>
        <v/>
      </c>
      <c r="AJ783" s="36">
        <f>$D783+AJ774</f>
        <v/>
      </c>
      <c r="AK783" s="36">
        <f>$D783+AK774</f>
        <v/>
      </c>
      <c r="AL783" s="36">
        <f>$D783+AL774</f>
        <v/>
      </c>
      <c r="AM783" s="36">
        <f>$D783+AM774</f>
        <v/>
      </c>
      <c r="AN783" s="39">
        <f>TAX($D783,AN774)</f>
        <v/>
      </c>
    </row>
    <row r="784" hidden="1" outlineLevel="2">
      <c r="A784" s="5" t="inlineStr">
        <is>
          <t>tax</t>
        </is>
      </c>
      <c r="B784" s="5" t="inlineStr">
        <is>
          <t>oop</t>
        </is>
      </c>
      <c r="C784" s="5" t="inlineStr">
        <is>
          <t>irn</t>
        </is>
      </c>
      <c r="D784" s="36">
        <f>INDEX(Inputs!$T$5:$T$132,MATCH($B784&amp;"|"&amp;$C784,Inputs!$A$5:$A$132,0))</f>
        <v/>
      </c>
      <c r="E784" s="37" t="n"/>
      <c r="F784" s="37" t="n"/>
      <c r="G784" s="37" t="n"/>
      <c r="H784" s="5">
        <f>INDEX(Variables!$B$5:$B$65,MATCH($A784,Variables!$A$5:$A$65,0))&amp;IF($C784="",""," | "&amp;INDEX(Mapping!$B$5:$B$25,MATCH($C784,Mapping!$A$5:$A$25,0))&amp;" | "&amp;INDEX(Mapping!$B$29:$B$38,MATCH($B784,Mapping!$A$29:$A$38,0)))</f>
        <v/>
      </c>
      <c r="I784" s="5">
        <f>INDEX(Variables!$C$5:$C$65,MATCH($A784,Variables!$A$5:$A$65,0))</f>
        <v/>
      </c>
      <c r="J784" s="5">
        <f>INDEX(Variables!$E$5:$E$65,MATCH($A784,Variables!$A$5:$A$65,0))</f>
        <v/>
      </c>
      <c r="K784" s="23">
        <f>LOWER(Settings!$C$4)&amp;".mit."&amp;$A784&amp;IF($C784="","","."&amp;$C784&amp;"."&amp;$B784)&amp;IF(INDEX(Variables!$D$5:$D$65,MATCH($A784,Variables!$A$5:$A$65,0))="","","."&amp;INDEX(Variables!$D$5:$D$65,MATCH($A784,Variables!$A$5:$A$65,0)))&amp;"."&amp;K$5</f>
        <v/>
      </c>
      <c r="L784" s="38">
        <f>$D784+L775</f>
        <v/>
      </c>
      <c r="M784" s="36">
        <f>$D784+M775</f>
        <v/>
      </c>
      <c r="N784" s="36">
        <f>$D784+N775</f>
        <v/>
      </c>
      <c r="O784" s="36">
        <f>$D784+O775</f>
        <v/>
      </c>
      <c r="P784" s="36">
        <f>$D784+P775</f>
        <v/>
      </c>
      <c r="Q784" s="36">
        <f>$D784+Q775</f>
        <v/>
      </c>
      <c r="R784" s="36">
        <f>$D784+R775</f>
        <v/>
      </c>
      <c r="S784" s="36">
        <f>$D784+S775</f>
        <v/>
      </c>
      <c r="T784" s="36">
        <f>$D784+T775</f>
        <v/>
      </c>
      <c r="U784" s="36">
        <f>$D784+U775</f>
        <v/>
      </c>
      <c r="V784" s="36">
        <f>$D784+V775</f>
        <v/>
      </c>
      <c r="W784" s="36">
        <f>$D784+W775</f>
        <v/>
      </c>
      <c r="X784" s="36">
        <f>$D784+X775</f>
        <v/>
      </c>
      <c r="Y784" s="39">
        <f>TAX($D784,Y775)</f>
        <v/>
      </c>
      <c r="Z784" s="23">
        <f>LOWER(Settings!$C$4)&amp;".mit."&amp;$A784&amp;IF($C784="","","."&amp;$C784&amp;"."&amp;$B784)&amp;IF(INDEX(Variables!$D$5:$D$65,MATCH($A784,Variables!$A$5:$A$65,0))="","","."&amp;INDEX(Variables!$D$5:$D$65,MATCH($A784,Variables!$A$5:$A$65,0)))&amp;"."&amp;Z$5</f>
        <v/>
      </c>
      <c r="AA784" s="38">
        <f>$D784+AA775</f>
        <v/>
      </c>
      <c r="AB784" s="36">
        <f>$D784+AB775</f>
        <v/>
      </c>
      <c r="AC784" s="36">
        <f>$D784+AC775</f>
        <v/>
      </c>
      <c r="AD784" s="36">
        <f>$D784+AD775</f>
        <v/>
      </c>
      <c r="AE784" s="36">
        <f>$D784+AE775</f>
        <v/>
      </c>
      <c r="AF784" s="36">
        <f>$D784+AF775</f>
        <v/>
      </c>
      <c r="AG784" s="36">
        <f>$D784+AG775</f>
        <v/>
      </c>
      <c r="AH784" s="36">
        <f>$D784+AH775</f>
        <v/>
      </c>
      <c r="AI784" s="36">
        <f>$D784+AI775</f>
        <v/>
      </c>
      <c r="AJ784" s="36">
        <f>$D784+AJ775</f>
        <v/>
      </c>
      <c r="AK784" s="36">
        <f>$D784+AK775</f>
        <v/>
      </c>
      <c r="AL784" s="36">
        <f>$D784+AL775</f>
        <v/>
      </c>
      <c r="AM784" s="36">
        <f>$D784+AM775</f>
        <v/>
      </c>
      <c r="AN784" s="39">
        <f>TAX($D784,AN775)</f>
        <v/>
      </c>
    </row>
    <row r="785" hidden="1" outlineLevel="2">
      <c r="A785" s="5" t="inlineStr">
        <is>
          <t>tax</t>
        </is>
      </c>
      <c r="B785" s="5" t="inlineStr">
        <is>
          <t>bio</t>
        </is>
      </c>
      <c r="C785" s="5" t="inlineStr">
        <is>
          <t>irn</t>
        </is>
      </c>
      <c r="D785" s="36">
        <f>INDEX(Inputs!$T$5:$T$132,MATCH($B785&amp;"|"&amp;$C785,Inputs!$A$5:$A$132,0))</f>
        <v/>
      </c>
      <c r="E785" s="37" t="n"/>
      <c r="F785" s="37" t="n"/>
      <c r="G785" s="37" t="n"/>
      <c r="H785" s="5">
        <f>INDEX(Variables!$B$5:$B$65,MATCH($A785,Variables!$A$5:$A$65,0))&amp;IF($C785="",""," | "&amp;INDEX(Mapping!$B$5:$B$25,MATCH($C785,Mapping!$A$5:$A$25,0))&amp;" | "&amp;INDEX(Mapping!$B$29:$B$38,MATCH($B785,Mapping!$A$29:$A$38,0)))</f>
        <v/>
      </c>
      <c r="I785" s="5">
        <f>INDEX(Variables!$C$5:$C$65,MATCH($A785,Variables!$A$5:$A$65,0))</f>
        <v/>
      </c>
      <c r="J785" s="5">
        <f>INDEX(Variables!$E$5:$E$65,MATCH($A785,Variables!$A$5:$A$65,0))</f>
        <v/>
      </c>
      <c r="K785" s="23">
        <f>LOWER(Settings!$C$4)&amp;".mit."&amp;$A785&amp;IF($C785="","","."&amp;$C785&amp;"."&amp;$B785)&amp;IF(INDEX(Variables!$D$5:$D$65,MATCH($A785,Variables!$A$5:$A$65,0))="","","."&amp;INDEX(Variables!$D$5:$D$65,MATCH($A785,Variables!$A$5:$A$65,0)))&amp;"."&amp;K$5</f>
        <v/>
      </c>
      <c r="L785" s="38">
        <f>$D785+L776</f>
        <v/>
      </c>
      <c r="M785" s="36">
        <f>$D785+M776</f>
        <v/>
      </c>
      <c r="N785" s="36">
        <f>$D785+N776</f>
        <v/>
      </c>
      <c r="O785" s="36">
        <f>$D785+O776</f>
        <v/>
      </c>
      <c r="P785" s="36">
        <f>$D785+P776</f>
        <v/>
      </c>
      <c r="Q785" s="36">
        <f>$D785+Q776</f>
        <v/>
      </c>
      <c r="R785" s="36">
        <f>$D785+R776</f>
        <v/>
      </c>
      <c r="S785" s="36">
        <f>$D785+S776</f>
        <v/>
      </c>
      <c r="T785" s="36">
        <f>$D785+T776</f>
        <v/>
      </c>
      <c r="U785" s="36">
        <f>$D785+U776</f>
        <v/>
      </c>
      <c r="V785" s="36">
        <f>$D785+V776</f>
        <v/>
      </c>
      <c r="W785" s="36">
        <f>$D785+W776</f>
        <v/>
      </c>
      <c r="X785" s="36">
        <f>$D785+X776</f>
        <v/>
      </c>
      <c r="Y785" s="39">
        <f>TAX($D785,Y776)</f>
        <v/>
      </c>
      <c r="Z785" s="23">
        <f>LOWER(Settings!$C$4)&amp;".mit."&amp;$A785&amp;IF($C785="","","."&amp;$C785&amp;"."&amp;$B785)&amp;IF(INDEX(Variables!$D$5:$D$65,MATCH($A785,Variables!$A$5:$A$65,0))="","","."&amp;INDEX(Variables!$D$5:$D$65,MATCH($A785,Variables!$A$5:$A$65,0)))&amp;"."&amp;Z$5</f>
        <v/>
      </c>
      <c r="AA785" s="38">
        <f>$D785+AA776</f>
        <v/>
      </c>
      <c r="AB785" s="36">
        <f>$D785+AB776</f>
        <v/>
      </c>
      <c r="AC785" s="36">
        <f>$D785+AC776</f>
        <v/>
      </c>
      <c r="AD785" s="36">
        <f>$D785+AD776</f>
        <v/>
      </c>
      <c r="AE785" s="36">
        <f>$D785+AE776</f>
        <v/>
      </c>
      <c r="AF785" s="36">
        <f>$D785+AF776</f>
        <v/>
      </c>
      <c r="AG785" s="36">
        <f>$D785+AG776</f>
        <v/>
      </c>
      <c r="AH785" s="36">
        <f>$D785+AH776</f>
        <v/>
      </c>
      <c r="AI785" s="36">
        <f>$D785+AI776</f>
        <v/>
      </c>
      <c r="AJ785" s="36">
        <f>$D785+AJ776</f>
        <v/>
      </c>
      <c r="AK785" s="36">
        <f>$D785+AK776</f>
        <v/>
      </c>
      <c r="AL785" s="36">
        <f>$D785+AL776</f>
        <v/>
      </c>
      <c r="AM785" s="36">
        <f>$D785+AM776</f>
        <v/>
      </c>
      <c r="AN785" s="39">
        <f>TAX($D785,AN776)</f>
        <v/>
      </c>
    </row>
    <row r="786" hidden="1" outlineLevel="2"/>
    <row r="787" hidden="1" outlineLevel="2">
      <c r="A787" s="5" t="inlineStr">
        <is>
          <t>atp</t>
        </is>
      </c>
      <c r="B787" s="5" t="inlineStr">
        <is>
          <t>coa</t>
        </is>
      </c>
      <c r="C787" s="5" t="inlineStr">
        <is>
          <t>irn</t>
        </is>
      </c>
      <c r="D787" s="37" t="n"/>
      <c r="E787" s="37" t="n"/>
      <c r="F787" s="37" t="n"/>
      <c r="G787" s="37" t="n"/>
      <c r="H787" s="5">
        <f>INDEX(Variables!$B$5:$B$65,MATCH($A787,Variables!$A$5:$A$65,0))&amp;IF($C787="",""," | "&amp;INDEX(Mapping!$B$5:$B$25,MATCH($C787,Mapping!$A$5:$A$25,0))&amp;" | "&amp;INDEX(Mapping!$B$29:$B$38,MATCH($B787,Mapping!$A$29:$A$38,0)))</f>
        <v/>
      </c>
      <c r="I787" s="5">
        <f>INDEX(Variables!$C$5:$C$65,MATCH($A787,Variables!$A$5:$A$65,0))</f>
        <v/>
      </c>
      <c r="J787" s="5">
        <f>INDEX(Variables!$E$5:$E$65,MATCH($A787,Variables!$A$5:$A$65,0))</f>
        <v/>
      </c>
      <c r="K787" s="23">
        <f>LOWER(Settings!$C$4)&amp;".mit."&amp;$A787&amp;IF($C787="","","."&amp;$C787&amp;"."&amp;$B787)&amp;IF(INDEX(Variables!$D$5:$D$65,MATCH($A787,Variables!$A$5:$A$65,0))="","","."&amp;INDEX(Variables!$D$5:$D$65,MATCH($A787,Variables!$A$5:$A$65,0)))&amp;"."&amp;K$5</f>
        <v/>
      </c>
      <c r="L787" s="38">
        <f>L742+L778</f>
        <v/>
      </c>
      <c r="M787" s="36">
        <f>M742+M778</f>
        <v/>
      </c>
      <c r="N787" s="36">
        <f>N742+N778</f>
        <v/>
      </c>
      <c r="O787" s="36">
        <f>O742+O778</f>
        <v/>
      </c>
      <c r="P787" s="36">
        <f>P742+P778</f>
        <v/>
      </c>
      <c r="Q787" s="36">
        <f>Q742+Q778</f>
        <v/>
      </c>
      <c r="R787" s="36">
        <f>R742+R778</f>
        <v/>
      </c>
      <c r="S787" s="36">
        <f>S742+S778</f>
        <v/>
      </c>
      <c r="T787" s="36">
        <f>T742+T778</f>
        <v/>
      </c>
      <c r="U787" s="36">
        <f>U742+U778</f>
        <v/>
      </c>
      <c r="V787" s="36">
        <f>V742+V778</f>
        <v/>
      </c>
      <c r="W787" s="36">
        <f>W742+W778</f>
        <v/>
      </c>
      <c r="X787" s="36">
        <f>X742+X778</f>
        <v/>
      </c>
      <c r="Y787" s="39">
        <f>POSTTAX(Y742,Y778)</f>
        <v/>
      </c>
      <c r="Z787" s="23">
        <f>LOWER(Settings!$C$4)&amp;".mit."&amp;$A787&amp;IF($C787="","","."&amp;$C787&amp;"."&amp;$B787)&amp;IF(INDEX(Variables!$D$5:$D$65,MATCH($A787,Variables!$A$5:$A$65,0))="","","."&amp;INDEX(Variables!$D$5:$D$65,MATCH($A787,Variables!$A$5:$A$65,0)))&amp;"."&amp;Z$5</f>
        <v/>
      </c>
      <c r="AA787" s="38">
        <f>AA742+AA778</f>
        <v/>
      </c>
      <c r="AB787" s="36">
        <f>AB742+AB778</f>
        <v/>
      </c>
      <c r="AC787" s="36">
        <f>AC742+AC778</f>
        <v/>
      </c>
      <c r="AD787" s="36">
        <f>AD742+AD778</f>
        <v/>
      </c>
      <c r="AE787" s="36">
        <f>AE742+AE778</f>
        <v/>
      </c>
      <c r="AF787" s="36">
        <f>AF742+AF778</f>
        <v/>
      </c>
      <c r="AG787" s="36">
        <f>AG742+AG778</f>
        <v/>
      </c>
      <c r="AH787" s="36">
        <f>AH742+AH778</f>
        <v/>
      </c>
      <c r="AI787" s="36">
        <f>AI742+AI778</f>
        <v/>
      </c>
      <c r="AJ787" s="36">
        <f>AJ742+AJ778</f>
        <v/>
      </c>
      <c r="AK787" s="36">
        <f>AK742+AK778</f>
        <v/>
      </c>
      <c r="AL787" s="36">
        <f>AL742+AL778</f>
        <v/>
      </c>
      <c r="AM787" s="36">
        <f>AM742+AM778</f>
        <v/>
      </c>
      <c r="AN787" s="39">
        <f>POSTTAX(AN742,AN778)</f>
        <v/>
      </c>
    </row>
    <row r="788" hidden="1" outlineLevel="2">
      <c r="A788" s="5" t="inlineStr">
        <is>
          <t>atp</t>
        </is>
      </c>
      <c r="B788" s="5" t="inlineStr">
        <is>
          <t>nga</t>
        </is>
      </c>
      <c r="C788" s="5" t="inlineStr">
        <is>
          <t>irn</t>
        </is>
      </c>
      <c r="D788" s="37" t="n"/>
      <c r="E788" s="37" t="n"/>
      <c r="F788" s="37" t="n"/>
      <c r="G788" s="37" t="n"/>
      <c r="H788" s="5">
        <f>INDEX(Variables!$B$5:$B$65,MATCH($A788,Variables!$A$5:$A$65,0))&amp;IF($C788="",""," | "&amp;INDEX(Mapping!$B$5:$B$25,MATCH($C788,Mapping!$A$5:$A$25,0))&amp;" | "&amp;INDEX(Mapping!$B$29:$B$38,MATCH($B788,Mapping!$A$29:$A$38,0)))</f>
        <v/>
      </c>
      <c r="I788" s="5">
        <f>INDEX(Variables!$C$5:$C$65,MATCH($A788,Variables!$A$5:$A$65,0))</f>
        <v/>
      </c>
      <c r="J788" s="5">
        <f>INDEX(Variables!$E$5:$E$65,MATCH($A788,Variables!$A$5:$A$65,0))</f>
        <v/>
      </c>
      <c r="K788" s="23">
        <f>LOWER(Settings!$C$4)&amp;".mit."&amp;$A788&amp;IF($C788="","","."&amp;$C788&amp;"."&amp;$B788)&amp;IF(INDEX(Variables!$D$5:$D$65,MATCH($A788,Variables!$A$5:$A$65,0))="","","."&amp;INDEX(Variables!$D$5:$D$65,MATCH($A788,Variables!$A$5:$A$65,0)))&amp;"."&amp;K$5</f>
        <v/>
      </c>
      <c r="L788" s="38">
        <f>L743+L779</f>
        <v/>
      </c>
      <c r="M788" s="36">
        <f>M743+M779</f>
        <v/>
      </c>
      <c r="N788" s="36">
        <f>N743+N779</f>
        <v/>
      </c>
      <c r="O788" s="36">
        <f>O743+O779</f>
        <v/>
      </c>
      <c r="P788" s="36">
        <f>P743+P779</f>
        <v/>
      </c>
      <c r="Q788" s="36">
        <f>Q743+Q779</f>
        <v/>
      </c>
      <c r="R788" s="36">
        <f>R743+R779</f>
        <v/>
      </c>
      <c r="S788" s="36">
        <f>S743+S779</f>
        <v/>
      </c>
      <c r="T788" s="36">
        <f>T743+T779</f>
        <v/>
      </c>
      <c r="U788" s="36">
        <f>U743+U779</f>
        <v/>
      </c>
      <c r="V788" s="36">
        <f>V743+V779</f>
        <v/>
      </c>
      <c r="W788" s="36">
        <f>W743+W779</f>
        <v/>
      </c>
      <c r="X788" s="36">
        <f>X743+X779</f>
        <v/>
      </c>
      <c r="Y788" s="39">
        <f>POSTTAX(Y743,Y779)</f>
        <v/>
      </c>
      <c r="Z788" s="23">
        <f>LOWER(Settings!$C$4)&amp;".mit."&amp;$A788&amp;IF($C788="","","."&amp;$C788&amp;"."&amp;$B788)&amp;IF(INDEX(Variables!$D$5:$D$65,MATCH($A788,Variables!$A$5:$A$65,0))="","","."&amp;INDEX(Variables!$D$5:$D$65,MATCH($A788,Variables!$A$5:$A$65,0)))&amp;"."&amp;Z$5</f>
        <v/>
      </c>
      <c r="AA788" s="38">
        <f>AA743+AA779</f>
        <v/>
      </c>
      <c r="AB788" s="36">
        <f>AB743+AB779</f>
        <v/>
      </c>
      <c r="AC788" s="36">
        <f>AC743+AC779</f>
        <v/>
      </c>
      <c r="AD788" s="36">
        <f>AD743+AD779</f>
        <v/>
      </c>
      <c r="AE788" s="36">
        <f>AE743+AE779</f>
        <v/>
      </c>
      <c r="AF788" s="36">
        <f>AF743+AF779</f>
        <v/>
      </c>
      <c r="AG788" s="36">
        <f>AG743+AG779</f>
        <v/>
      </c>
      <c r="AH788" s="36">
        <f>AH743+AH779</f>
        <v/>
      </c>
      <c r="AI788" s="36">
        <f>AI743+AI779</f>
        <v/>
      </c>
      <c r="AJ788" s="36">
        <f>AJ743+AJ779</f>
        <v/>
      </c>
      <c r="AK788" s="36">
        <f>AK743+AK779</f>
        <v/>
      </c>
      <c r="AL788" s="36">
        <f>AL743+AL779</f>
        <v/>
      </c>
      <c r="AM788" s="36">
        <f>AM743+AM779</f>
        <v/>
      </c>
      <c r="AN788" s="39">
        <f>POSTTAX(AN743,AN779)</f>
        <v/>
      </c>
    </row>
    <row r="789" hidden="1" outlineLevel="2">
      <c r="A789" s="5" t="inlineStr">
        <is>
          <t>atp</t>
        </is>
      </c>
      <c r="B789" s="5" t="inlineStr">
        <is>
          <t>gso</t>
        </is>
      </c>
      <c r="C789" s="5" t="inlineStr">
        <is>
          <t>irn</t>
        </is>
      </c>
      <c r="D789" s="37" t="n"/>
      <c r="E789" s="37" t="n"/>
      <c r="F789" s="37" t="n"/>
      <c r="G789" s="37" t="n"/>
      <c r="H789" s="5">
        <f>INDEX(Variables!$B$5:$B$65,MATCH($A789,Variables!$A$5:$A$65,0))&amp;IF($C789="",""," | "&amp;INDEX(Mapping!$B$5:$B$25,MATCH($C789,Mapping!$A$5:$A$25,0))&amp;" | "&amp;INDEX(Mapping!$B$29:$B$38,MATCH($B789,Mapping!$A$29:$A$38,0)))</f>
        <v/>
      </c>
      <c r="I789" s="5">
        <f>INDEX(Variables!$C$5:$C$65,MATCH($A789,Variables!$A$5:$A$65,0))</f>
        <v/>
      </c>
      <c r="J789" s="5">
        <f>INDEX(Variables!$E$5:$E$65,MATCH($A789,Variables!$A$5:$A$65,0))</f>
        <v/>
      </c>
      <c r="K789" s="23">
        <f>LOWER(Settings!$C$4)&amp;".mit."&amp;$A789&amp;IF($C789="","","."&amp;$C789&amp;"."&amp;$B789)&amp;IF(INDEX(Variables!$D$5:$D$65,MATCH($A789,Variables!$A$5:$A$65,0))="","","."&amp;INDEX(Variables!$D$5:$D$65,MATCH($A789,Variables!$A$5:$A$65,0)))&amp;"."&amp;K$5</f>
        <v/>
      </c>
      <c r="L789" s="38">
        <f>L744+L780</f>
        <v/>
      </c>
      <c r="M789" s="36">
        <f>M744+M780</f>
        <v/>
      </c>
      <c r="N789" s="36">
        <f>N744+N780</f>
        <v/>
      </c>
      <c r="O789" s="36">
        <f>O744+O780</f>
        <v/>
      </c>
      <c r="P789" s="36">
        <f>P744+P780</f>
        <v/>
      </c>
      <c r="Q789" s="36">
        <f>Q744+Q780</f>
        <v/>
      </c>
      <c r="R789" s="36">
        <f>R744+R780</f>
        <v/>
      </c>
      <c r="S789" s="36">
        <f>S744+S780</f>
        <v/>
      </c>
      <c r="T789" s="36">
        <f>T744+T780</f>
        <v/>
      </c>
      <c r="U789" s="36">
        <f>U744+U780</f>
        <v/>
      </c>
      <c r="V789" s="36">
        <f>V744+V780</f>
        <v/>
      </c>
      <c r="W789" s="36">
        <f>W744+W780</f>
        <v/>
      </c>
      <c r="X789" s="36">
        <f>X744+X780</f>
        <v/>
      </c>
      <c r="Y789" s="39">
        <f>POSTTAX(Y744,Y780)</f>
        <v/>
      </c>
      <c r="Z789" s="23">
        <f>LOWER(Settings!$C$4)&amp;".mit."&amp;$A789&amp;IF($C789="","","."&amp;$C789&amp;"."&amp;$B789)&amp;IF(INDEX(Variables!$D$5:$D$65,MATCH($A789,Variables!$A$5:$A$65,0))="","","."&amp;INDEX(Variables!$D$5:$D$65,MATCH($A789,Variables!$A$5:$A$65,0)))&amp;"."&amp;Z$5</f>
        <v/>
      </c>
      <c r="AA789" s="38">
        <f>AA744+AA780</f>
        <v/>
      </c>
      <c r="AB789" s="36">
        <f>AB744+AB780</f>
        <v/>
      </c>
      <c r="AC789" s="36">
        <f>AC744+AC780</f>
        <v/>
      </c>
      <c r="AD789" s="36">
        <f>AD744+AD780</f>
        <v/>
      </c>
      <c r="AE789" s="36">
        <f>AE744+AE780</f>
        <v/>
      </c>
      <c r="AF789" s="36">
        <f>AF744+AF780</f>
        <v/>
      </c>
      <c r="AG789" s="36">
        <f>AG744+AG780</f>
        <v/>
      </c>
      <c r="AH789" s="36">
        <f>AH744+AH780</f>
        <v/>
      </c>
      <c r="AI789" s="36">
        <f>AI744+AI780</f>
        <v/>
      </c>
      <c r="AJ789" s="36">
        <f>AJ744+AJ780</f>
        <v/>
      </c>
      <c r="AK789" s="36">
        <f>AK744+AK780</f>
        <v/>
      </c>
      <c r="AL789" s="36">
        <f>AL744+AL780</f>
        <v/>
      </c>
      <c r="AM789" s="36">
        <f>AM744+AM780</f>
        <v/>
      </c>
      <c r="AN789" s="39">
        <f>POSTTAX(AN744,AN780)</f>
        <v/>
      </c>
    </row>
    <row r="790" hidden="1" outlineLevel="2">
      <c r="A790" s="5" t="inlineStr">
        <is>
          <t>atp</t>
        </is>
      </c>
      <c r="B790" s="5" t="inlineStr">
        <is>
          <t>die</t>
        </is>
      </c>
      <c r="C790" s="5" t="inlineStr">
        <is>
          <t>irn</t>
        </is>
      </c>
      <c r="D790" s="37" t="n"/>
      <c r="E790" s="37" t="n"/>
      <c r="F790" s="37" t="n"/>
      <c r="G790" s="37" t="n"/>
      <c r="H790" s="5">
        <f>INDEX(Variables!$B$5:$B$65,MATCH($A790,Variables!$A$5:$A$65,0))&amp;IF($C790="",""," | "&amp;INDEX(Mapping!$B$5:$B$25,MATCH($C790,Mapping!$A$5:$A$25,0))&amp;" | "&amp;INDEX(Mapping!$B$29:$B$38,MATCH($B790,Mapping!$A$29:$A$38,0)))</f>
        <v/>
      </c>
      <c r="I790" s="5">
        <f>INDEX(Variables!$C$5:$C$65,MATCH($A790,Variables!$A$5:$A$65,0))</f>
        <v/>
      </c>
      <c r="J790" s="5">
        <f>INDEX(Variables!$E$5:$E$65,MATCH($A790,Variables!$A$5:$A$65,0))</f>
        <v/>
      </c>
      <c r="K790" s="23">
        <f>LOWER(Settings!$C$4)&amp;".mit."&amp;$A790&amp;IF($C790="","","."&amp;$C790&amp;"."&amp;$B790)&amp;IF(INDEX(Variables!$D$5:$D$65,MATCH($A790,Variables!$A$5:$A$65,0))="","","."&amp;INDEX(Variables!$D$5:$D$65,MATCH($A790,Variables!$A$5:$A$65,0)))&amp;"."&amp;K$5</f>
        <v/>
      </c>
      <c r="L790" s="38">
        <f>L745+L781</f>
        <v/>
      </c>
      <c r="M790" s="36">
        <f>M745+M781</f>
        <v/>
      </c>
      <c r="N790" s="36">
        <f>N745+N781</f>
        <v/>
      </c>
      <c r="O790" s="36">
        <f>O745+O781</f>
        <v/>
      </c>
      <c r="P790" s="36">
        <f>P745+P781</f>
        <v/>
      </c>
      <c r="Q790" s="36">
        <f>Q745+Q781</f>
        <v/>
      </c>
      <c r="R790" s="36">
        <f>R745+R781</f>
        <v/>
      </c>
      <c r="S790" s="36">
        <f>S745+S781</f>
        <v/>
      </c>
      <c r="T790" s="36">
        <f>T745+T781</f>
        <v/>
      </c>
      <c r="U790" s="36">
        <f>U745+U781</f>
        <v/>
      </c>
      <c r="V790" s="36">
        <f>V745+V781</f>
        <v/>
      </c>
      <c r="W790" s="36">
        <f>W745+W781</f>
        <v/>
      </c>
      <c r="X790" s="36">
        <f>X745+X781</f>
        <v/>
      </c>
      <c r="Y790" s="39">
        <f>POSTTAX(Y745,Y781)</f>
        <v/>
      </c>
      <c r="Z790" s="23">
        <f>LOWER(Settings!$C$4)&amp;".mit."&amp;$A790&amp;IF($C790="","","."&amp;$C790&amp;"."&amp;$B790)&amp;IF(INDEX(Variables!$D$5:$D$65,MATCH($A790,Variables!$A$5:$A$65,0))="","","."&amp;INDEX(Variables!$D$5:$D$65,MATCH($A790,Variables!$A$5:$A$65,0)))&amp;"."&amp;Z$5</f>
        <v/>
      </c>
      <c r="AA790" s="38">
        <f>AA745+AA781</f>
        <v/>
      </c>
      <c r="AB790" s="36">
        <f>AB745+AB781</f>
        <v/>
      </c>
      <c r="AC790" s="36">
        <f>AC745+AC781</f>
        <v/>
      </c>
      <c r="AD790" s="36">
        <f>AD745+AD781</f>
        <v/>
      </c>
      <c r="AE790" s="36">
        <f>AE745+AE781</f>
        <v/>
      </c>
      <c r="AF790" s="36">
        <f>AF745+AF781</f>
        <v/>
      </c>
      <c r="AG790" s="36">
        <f>AG745+AG781</f>
        <v/>
      </c>
      <c r="AH790" s="36">
        <f>AH745+AH781</f>
        <v/>
      </c>
      <c r="AI790" s="36">
        <f>AI745+AI781</f>
        <v/>
      </c>
      <c r="AJ790" s="36">
        <f>AJ745+AJ781</f>
        <v/>
      </c>
      <c r="AK790" s="36">
        <f>AK745+AK781</f>
        <v/>
      </c>
      <c r="AL790" s="36">
        <f>AL745+AL781</f>
        <v/>
      </c>
      <c r="AM790" s="36">
        <f>AM745+AM781</f>
        <v/>
      </c>
      <c r="AN790" s="39">
        <f>POSTTAX(AN745,AN781)</f>
        <v/>
      </c>
    </row>
    <row r="791" hidden="1" outlineLevel="2">
      <c r="A791" s="5" t="inlineStr">
        <is>
          <t>atp</t>
        </is>
      </c>
      <c r="B791" s="5" t="inlineStr">
        <is>
          <t>lpg</t>
        </is>
      </c>
      <c r="C791" s="5" t="inlineStr">
        <is>
          <t>irn</t>
        </is>
      </c>
      <c r="D791" s="37" t="n"/>
      <c r="E791" s="37" t="n"/>
      <c r="F791" s="37" t="n"/>
      <c r="G791" s="37" t="n"/>
      <c r="H791" s="5">
        <f>INDEX(Variables!$B$5:$B$65,MATCH($A791,Variables!$A$5:$A$65,0))&amp;IF($C791="",""," | "&amp;INDEX(Mapping!$B$5:$B$25,MATCH($C791,Mapping!$A$5:$A$25,0))&amp;" | "&amp;INDEX(Mapping!$B$29:$B$38,MATCH($B791,Mapping!$A$29:$A$38,0)))</f>
        <v/>
      </c>
      <c r="I791" s="5">
        <f>INDEX(Variables!$C$5:$C$65,MATCH($A791,Variables!$A$5:$A$65,0))</f>
        <v/>
      </c>
      <c r="J791" s="5">
        <f>INDEX(Variables!$E$5:$E$65,MATCH($A791,Variables!$A$5:$A$65,0))</f>
        <v/>
      </c>
      <c r="K791" s="23">
        <f>LOWER(Settings!$C$4)&amp;".mit."&amp;$A791&amp;IF($C791="","","."&amp;$C791&amp;"."&amp;$B791)&amp;IF(INDEX(Variables!$D$5:$D$65,MATCH($A791,Variables!$A$5:$A$65,0))="","","."&amp;INDEX(Variables!$D$5:$D$65,MATCH($A791,Variables!$A$5:$A$65,0)))&amp;"."&amp;K$5</f>
        <v/>
      </c>
      <c r="L791" s="38">
        <f>L746+L782</f>
        <v/>
      </c>
      <c r="M791" s="36">
        <f>M746+M782</f>
        <v/>
      </c>
      <c r="N791" s="36">
        <f>N746+N782</f>
        <v/>
      </c>
      <c r="O791" s="36">
        <f>O746+O782</f>
        <v/>
      </c>
      <c r="P791" s="36">
        <f>P746+P782</f>
        <v/>
      </c>
      <c r="Q791" s="36">
        <f>Q746+Q782</f>
        <v/>
      </c>
      <c r="R791" s="36">
        <f>R746+R782</f>
        <v/>
      </c>
      <c r="S791" s="36">
        <f>S746+S782</f>
        <v/>
      </c>
      <c r="T791" s="36">
        <f>T746+T782</f>
        <v/>
      </c>
      <c r="U791" s="36">
        <f>U746+U782</f>
        <v/>
      </c>
      <c r="V791" s="36">
        <f>V746+V782</f>
        <v/>
      </c>
      <c r="W791" s="36">
        <f>W746+W782</f>
        <v/>
      </c>
      <c r="X791" s="36">
        <f>X746+X782</f>
        <v/>
      </c>
      <c r="Y791" s="39">
        <f>POSTTAX(Y746,Y782)</f>
        <v/>
      </c>
      <c r="Z791" s="23">
        <f>LOWER(Settings!$C$4)&amp;".mit."&amp;$A791&amp;IF($C791="","","."&amp;$C791&amp;"."&amp;$B791)&amp;IF(INDEX(Variables!$D$5:$D$65,MATCH($A791,Variables!$A$5:$A$65,0))="","","."&amp;INDEX(Variables!$D$5:$D$65,MATCH($A791,Variables!$A$5:$A$65,0)))&amp;"."&amp;Z$5</f>
        <v/>
      </c>
      <c r="AA791" s="38">
        <f>AA746+AA782</f>
        <v/>
      </c>
      <c r="AB791" s="36">
        <f>AB746+AB782</f>
        <v/>
      </c>
      <c r="AC791" s="36">
        <f>AC746+AC782</f>
        <v/>
      </c>
      <c r="AD791" s="36">
        <f>AD746+AD782</f>
        <v/>
      </c>
      <c r="AE791" s="36">
        <f>AE746+AE782</f>
        <v/>
      </c>
      <c r="AF791" s="36">
        <f>AF746+AF782</f>
        <v/>
      </c>
      <c r="AG791" s="36">
        <f>AG746+AG782</f>
        <v/>
      </c>
      <c r="AH791" s="36">
        <f>AH746+AH782</f>
        <v/>
      </c>
      <c r="AI791" s="36">
        <f>AI746+AI782</f>
        <v/>
      </c>
      <c r="AJ791" s="36">
        <f>AJ746+AJ782</f>
        <v/>
      </c>
      <c r="AK791" s="36">
        <f>AK746+AK782</f>
        <v/>
      </c>
      <c r="AL791" s="36">
        <f>AL746+AL782</f>
        <v/>
      </c>
      <c r="AM791" s="36">
        <f>AM746+AM782</f>
        <v/>
      </c>
      <c r="AN791" s="39">
        <f>POSTTAX(AN746,AN782)</f>
        <v/>
      </c>
    </row>
    <row r="792" hidden="1" outlineLevel="2">
      <c r="A792" s="5" t="inlineStr">
        <is>
          <t>atp</t>
        </is>
      </c>
      <c r="B792" s="5" t="inlineStr">
        <is>
          <t>ker</t>
        </is>
      </c>
      <c r="C792" s="5" t="inlineStr">
        <is>
          <t>irn</t>
        </is>
      </c>
      <c r="D792" s="37" t="n"/>
      <c r="E792" s="37" t="n"/>
      <c r="F792" s="37" t="n"/>
      <c r="G792" s="37" t="n"/>
      <c r="H792" s="5">
        <f>INDEX(Variables!$B$5:$B$65,MATCH($A792,Variables!$A$5:$A$65,0))&amp;IF($C792="",""," | "&amp;INDEX(Mapping!$B$5:$B$25,MATCH($C792,Mapping!$A$5:$A$25,0))&amp;" | "&amp;INDEX(Mapping!$B$29:$B$38,MATCH($B792,Mapping!$A$29:$A$38,0)))</f>
        <v/>
      </c>
      <c r="I792" s="5">
        <f>INDEX(Variables!$C$5:$C$65,MATCH($A792,Variables!$A$5:$A$65,0))</f>
        <v/>
      </c>
      <c r="J792" s="5">
        <f>INDEX(Variables!$E$5:$E$65,MATCH($A792,Variables!$A$5:$A$65,0))</f>
        <v/>
      </c>
      <c r="K792" s="23">
        <f>LOWER(Settings!$C$4)&amp;".mit."&amp;$A792&amp;IF($C792="","","."&amp;$C792&amp;"."&amp;$B792)&amp;IF(INDEX(Variables!$D$5:$D$65,MATCH($A792,Variables!$A$5:$A$65,0))="","","."&amp;INDEX(Variables!$D$5:$D$65,MATCH($A792,Variables!$A$5:$A$65,0)))&amp;"."&amp;K$5</f>
        <v/>
      </c>
      <c r="L792" s="38">
        <f>L747+L783</f>
        <v/>
      </c>
      <c r="M792" s="36">
        <f>M747+M783</f>
        <v/>
      </c>
      <c r="N792" s="36">
        <f>N747+N783</f>
        <v/>
      </c>
      <c r="O792" s="36">
        <f>O747+O783</f>
        <v/>
      </c>
      <c r="P792" s="36">
        <f>P747+P783</f>
        <v/>
      </c>
      <c r="Q792" s="36">
        <f>Q747+Q783</f>
        <v/>
      </c>
      <c r="R792" s="36">
        <f>R747+R783</f>
        <v/>
      </c>
      <c r="S792" s="36">
        <f>S747+S783</f>
        <v/>
      </c>
      <c r="T792" s="36">
        <f>T747+T783</f>
        <v/>
      </c>
      <c r="U792" s="36">
        <f>U747+U783</f>
        <v/>
      </c>
      <c r="V792" s="36">
        <f>V747+V783</f>
        <v/>
      </c>
      <c r="W792" s="36">
        <f>W747+W783</f>
        <v/>
      </c>
      <c r="X792" s="36">
        <f>X747+X783</f>
        <v/>
      </c>
      <c r="Y792" s="39">
        <f>POSTTAX(Y747,Y783)</f>
        <v/>
      </c>
      <c r="Z792" s="23">
        <f>LOWER(Settings!$C$4)&amp;".mit."&amp;$A792&amp;IF($C792="","","."&amp;$C792&amp;"."&amp;$B792)&amp;IF(INDEX(Variables!$D$5:$D$65,MATCH($A792,Variables!$A$5:$A$65,0))="","","."&amp;INDEX(Variables!$D$5:$D$65,MATCH($A792,Variables!$A$5:$A$65,0)))&amp;"."&amp;Z$5</f>
        <v/>
      </c>
      <c r="AA792" s="38">
        <f>AA747+AA783</f>
        <v/>
      </c>
      <c r="AB792" s="36">
        <f>AB747+AB783</f>
        <v/>
      </c>
      <c r="AC792" s="36">
        <f>AC747+AC783</f>
        <v/>
      </c>
      <c r="AD792" s="36">
        <f>AD747+AD783</f>
        <v/>
      </c>
      <c r="AE792" s="36">
        <f>AE747+AE783</f>
        <v/>
      </c>
      <c r="AF792" s="36">
        <f>AF747+AF783</f>
        <v/>
      </c>
      <c r="AG792" s="36">
        <f>AG747+AG783</f>
        <v/>
      </c>
      <c r="AH792" s="36">
        <f>AH747+AH783</f>
        <v/>
      </c>
      <c r="AI792" s="36">
        <f>AI747+AI783</f>
        <v/>
      </c>
      <c r="AJ792" s="36">
        <f>AJ747+AJ783</f>
        <v/>
      </c>
      <c r="AK792" s="36">
        <f>AK747+AK783</f>
        <v/>
      </c>
      <c r="AL792" s="36">
        <f>AL747+AL783</f>
        <v/>
      </c>
      <c r="AM792" s="36">
        <f>AM747+AM783</f>
        <v/>
      </c>
      <c r="AN792" s="39">
        <f>POSTTAX(AN747,AN783)</f>
        <v/>
      </c>
    </row>
    <row r="793" hidden="1" outlineLevel="2">
      <c r="A793" s="5" t="inlineStr">
        <is>
          <t>atp</t>
        </is>
      </c>
      <c r="B793" s="5" t="inlineStr">
        <is>
          <t>oop</t>
        </is>
      </c>
      <c r="C793" s="5" t="inlineStr">
        <is>
          <t>irn</t>
        </is>
      </c>
      <c r="D793" s="37" t="n"/>
      <c r="E793" s="37" t="n"/>
      <c r="F793" s="37" t="n"/>
      <c r="G793" s="37" t="n"/>
      <c r="H793" s="5">
        <f>INDEX(Variables!$B$5:$B$65,MATCH($A793,Variables!$A$5:$A$65,0))&amp;IF($C793="",""," | "&amp;INDEX(Mapping!$B$5:$B$25,MATCH($C793,Mapping!$A$5:$A$25,0))&amp;" | "&amp;INDEX(Mapping!$B$29:$B$38,MATCH($B793,Mapping!$A$29:$A$38,0)))</f>
        <v/>
      </c>
      <c r="I793" s="5">
        <f>INDEX(Variables!$C$5:$C$65,MATCH($A793,Variables!$A$5:$A$65,0))</f>
        <v/>
      </c>
      <c r="J793" s="5">
        <f>INDEX(Variables!$E$5:$E$65,MATCH($A793,Variables!$A$5:$A$65,0))</f>
        <v/>
      </c>
      <c r="K793" s="23">
        <f>LOWER(Settings!$C$4)&amp;".mit."&amp;$A793&amp;IF($C793="","","."&amp;$C793&amp;"."&amp;$B793)&amp;IF(INDEX(Variables!$D$5:$D$65,MATCH($A793,Variables!$A$5:$A$65,0))="","","."&amp;INDEX(Variables!$D$5:$D$65,MATCH($A793,Variables!$A$5:$A$65,0)))&amp;"."&amp;K$5</f>
        <v/>
      </c>
      <c r="L793" s="38">
        <f>L748+L784</f>
        <v/>
      </c>
      <c r="M793" s="36">
        <f>M748+M784</f>
        <v/>
      </c>
      <c r="N793" s="36">
        <f>N748+N784</f>
        <v/>
      </c>
      <c r="O793" s="36">
        <f>O748+O784</f>
        <v/>
      </c>
      <c r="P793" s="36">
        <f>P748+P784</f>
        <v/>
      </c>
      <c r="Q793" s="36">
        <f>Q748+Q784</f>
        <v/>
      </c>
      <c r="R793" s="36">
        <f>R748+R784</f>
        <v/>
      </c>
      <c r="S793" s="36">
        <f>S748+S784</f>
        <v/>
      </c>
      <c r="T793" s="36">
        <f>T748+T784</f>
        <v/>
      </c>
      <c r="U793" s="36">
        <f>U748+U784</f>
        <v/>
      </c>
      <c r="V793" s="36">
        <f>V748+V784</f>
        <v/>
      </c>
      <c r="W793" s="36">
        <f>W748+W784</f>
        <v/>
      </c>
      <c r="X793" s="36">
        <f>X748+X784</f>
        <v/>
      </c>
      <c r="Y793" s="39">
        <f>POSTTAX(Y748,Y784)</f>
        <v/>
      </c>
      <c r="Z793" s="23">
        <f>LOWER(Settings!$C$4)&amp;".mit."&amp;$A793&amp;IF($C793="","","."&amp;$C793&amp;"."&amp;$B793)&amp;IF(INDEX(Variables!$D$5:$D$65,MATCH($A793,Variables!$A$5:$A$65,0))="","","."&amp;INDEX(Variables!$D$5:$D$65,MATCH($A793,Variables!$A$5:$A$65,0)))&amp;"."&amp;Z$5</f>
        <v/>
      </c>
      <c r="AA793" s="38">
        <f>AA748+AA784</f>
        <v/>
      </c>
      <c r="AB793" s="36">
        <f>AB748+AB784</f>
        <v/>
      </c>
      <c r="AC793" s="36">
        <f>AC748+AC784</f>
        <v/>
      </c>
      <c r="AD793" s="36">
        <f>AD748+AD784</f>
        <v/>
      </c>
      <c r="AE793" s="36">
        <f>AE748+AE784</f>
        <v/>
      </c>
      <c r="AF793" s="36">
        <f>AF748+AF784</f>
        <v/>
      </c>
      <c r="AG793" s="36">
        <f>AG748+AG784</f>
        <v/>
      </c>
      <c r="AH793" s="36">
        <f>AH748+AH784</f>
        <v/>
      </c>
      <c r="AI793" s="36">
        <f>AI748+AI784</f>
        <v/>
      </c>
      <c r="AJ793" s="36">
        <f>AJ748+AJ784</f>
        <v/>
      </c>
      <c r="AK793" s="36">
        <f>AK748+AK784</f>
        <v/>
      </c>
      <c r="AL793" s="36">
        <f>AL748+AL784</f>
        <v/>
      </c>
      <c r="AM793" s="36">
        <f>AM748+AM784</f>
        <v/>
      </c>
      <c r="AN793" s="39">
        <f>POSTTAX(AN748,AN784)</f>
        <v/>
      </c>
    </row>
    <row r="794" hidden="1" outlineLevel="2">
      <c r="A794" s="5" t="inlineStr">
        <is>
          <t>atp</t>
        </is>
      </c>
      <c r="B794" s="5" t="inlineStr">
        <is>
          <t>bio</t>
        </is>
      </c>
      <c r="C794" s="5" t="inlineStr">
        <is>
          <t>irn</t>
        </is>
      </c>
      <c r="D794" s="37" t="n"/>
      <c r="E794" s="37" t="n"/>
      <c r="F794" s="37" t="n"/>
      <c r="G794" s="37" t="n"/>
      <c r="H794" s="5">
        <f>INDEX(Variables!$B$5:$B$65,MATCH($A794,Variables!$A$5:$A$65,0))&amp;IF($C794="",""," | "&amp;INDEX(Mapping!$B$5:$B$25,MATCH($C794,Mapping!$A$5:$A$25,0))&amp;" | "&amp;INDEX(Mapping!$B$29:$B$38,MATCH($B794,Mapping!$A$29:$A$38,0)))</f>
        <v/>
      </c>
      <c r="I794" s="5">
        <f>INDEX(Variables!$C$5:$C$65,MATCH($A794,Variables!$A$5:$A$65,0))</f>
        <v/>
      </c>
      <c r="J794" s="5">
        <f>INDEX(Variables!$E$5:$E$65,MATCH($A794,Variables!$A$5:$A$65,0))</f>
        <v/>
      </c>
      <c r="K794" s="23">
        <f>LOWER(Settings!$C$4)&amp;".mit."&amp;$A794&amp;IF($C794="","","."&amp;$C794&amp;"."&amp;$B794)&amp;IF(INDEX(Variables!$D$5:$D$65,MATCH($A794,Variables!$A$5:$A$65,0))="","","."&amp;INDEX(Variables!$D$5:$D$65,MATCH($A794,Variables!$A$5:$A$65,0)))&amp;"."&amp;K$5</f>
        <v/>
      </c>
      <c r="L794" s="38">
        <f>L749+L785</f>
        <v/>
      </c>
      <c r="M794" s="36">
        <f>M749+M785</f>
        <v/>
      </c>
      <c r="N794" s="36">
        <f>N749+N785</f>
        <v/>
      </c>
      <c r="O794" s="36">
        <f>O749+O785</f>
        <v/>
      </c>
      <c r="P794" s="36">
        <f>P749+P785</f>
        <v/>
      </c>
      <c r="Q794" s="36">
        <f>Q749+Q785</f>
        <v/>
      </c>
      <c r="R794" s="36">
        <f>R749+R785</f>
        <v/>
      </c>
      <c r="S794" s="36">
        <f>S749+S785</f>
        <v/>
      </c>
      <c r="T794" s="36">
        <f>T749+T785</f>
        <v/>
      </c>
      <c r="U794" s="36">
        <f>U749+U785</f>
        <v/>
      </c>
      <c r="V794" s="36">
        <f>V749+V785</f>
        <v/>
      </c>
      <c r="W794" s="36">
        <f>W749+W785</f>
        <v/>
      </c>
      <c r="X794" s="36">
        <f>X749+X785</f>
        <v/>
      </c>
      <c r="Y794" s="39">
        <f>POSTTAX(Y749,Y785)</f>
        <v/>
      </c>
      <c r="Z794" s="23">
        <f>LOWER(Settings!$C$4)&amp;".mit."&amp;$A794&amp;IF($C794="","","."&amp;$C794&amp;"."&amp;$B794)&amp;IF(INDEX(Variables!$D$5:$D$65,MATCH($A794,Variables!$A$5:$A$65,0))="","","."&amp;INDEX(Variables!$D$5:$D$65,MATCH($A794,Variables!$A$5:$A$65,0)))&amp;"."&amp;Z$5</f>
        <v/>
      </c>
      <c r="AA794" s="38">
        <f>AA749+AA785</f>
        <v/>
      </c>
      <c r="AB794" s="36">
        <f>AB749+AB785</f>
        <v/>
      </c>
      <c r="AC794" s="36">
        <f>AC749+AC785</f>
        <v/>
      </c>
      <c r="AD794" s="36">
        <f>AD749+AD785</f>
        <v/>
      </c>
      <c r="AE794" s="36">
        <f>AE749+AE785</f>
        <v/>
      </c>
      <c r="AF794" s="36">
        <f>AF749+AF785</f>
        <v/>
      </c>
      <c r="AG794" s="36">
        <f>AG749+AG785</f>
        <v/>
      </c>
      <c r="AH794" s="36">
        <f>AH749+AH785</f>
        <v/>
      </c>
      <c r="AI794" s="36">
        <f>AI749+AI785</f>
        <v/>
      </c>
      <c r="AJ794" s="36">
        <f>AJ749+AJ785</f>
        <v/>
      </c>
      <c r="AK794" s="36">
        <f>AK749+AK785</f>
        <v/>
      </c>
      <c r="AL794" s="36">
        <f>AL749+AL785</f>
        <v/>
      </c>
      <c r="AM794" s="36">
        <f>AM749+AM785</f>
        <v/>
      </c>
      <c r="AN794" s="39">
        <f>POSTTAX(AN749,AN785)</f>
        <v/>
      </c>
    </row>
    <row r="795" hidden="1" outlineLevel="2"/>
    <row r="796" hidden="1" outlineLevel="2">
      <c r="A796" s="5" t="inlineStr">
        <is>
          <t>shp</t>
        </is>
      </c>
      <c r="B796" s="5" t="inlineStr">
        <is>
          <t>coa</t>
        </is>
      </c>
      <c r="C796" s="5" t="inlineStr">
        <is>
          <t>irn</t>
        </is>
      </c>
      <c r="D796" s="36">
        <f>INDEX(Inputs!$M$5:$M$132,MATCH($B796&amp;"|"&amp;$C796,Inputs!$A$5:$A$132,0))</f>
        <v/>
      </c>
      <c r="E796" s="36">
        <f>INDEX(Inputs!$U$5:$U$132,MATCH($B796&amp;"|"&amp;$C796,Inputs!$A$5:$A$132,0))</f>
        <v/>
      </c>
      <c r="F796" s="36">
        <f>INDEX(Inputs!$K$5:$K$132,MATCH($B796&amp;"|"&amp;$C796,Inputs!$A$5:$A$132,0))</f>
        <v/>
      </c>
      <c r="G796" s="37" t="n"/>
      <c r="H796" s="5">
        <f>INDEX(Variables!$B$5:$B$65,MATCH($A796,Variables!$A$5:$A$65,0))&amp;IF($C796="",""," | "&amp;INDEX(Mapping!$B$5:$B$25,MATCH($C796,Mapping!$A$5:$A$25,0))&amp;" | "&amp;INDEX(Mapping!$B$29:$B$38,MATCH($B796,Mapping!$A$29:$A$38,0)))</f>
        <v/>
      </c>
      <c r="I796" s="5">
        <f>INDEX(Variables!$C$5:$C$65,MATCH($A796,Variables!$A$5:$A$65,0))</f>
        <v/>
      </c>
      <c r="J796" s="5">
        <f>INDEX(Variables!$E$5:$E$65,MATCH($A796,Variables!$A$5:$A$65,0))</f>
        <v/>
      </c>
      <c r="K796" s="23">
        <f>LOWER(Settings!$C$4)&amp;".mit."&amp;$A796&amp;IF($C796="","","."&amp;$C796&amp;"."&amp;$B796)&amp;IF(INDEX(Variables!$D$5:$D$65,MATCH($A796,Variables!$A$5:$A$65,0))="","","."&amp;INDEX(Variables!$D$5:$D$65,MATCH($A796,Variables!$A$5:$A$65,0)))&amp;"."&amp;K$5</f>
        <v/>
      </c>
      <c r="L796" s="38">
        <f>INDEX(L$124:L$127,$D796)*$E796*INDEX(L$128:L$144,$F796)</f>
        <v/>
      </c>
      <c r="M796" s="36">
        <f>INDEX(M$124:M$127,$D796)*$E796*INDEX(M$128:M$144,$F796)</f>
        <v/>
      </c>
      <c r="N796" s="36">
        <f>INDEX(N$124:N$127,$D796)*$E796*INDEX(N$128:N$144,$F796)</f>
        <v/>
      </c>
      <c r="O796" s="36">
        <f>INDEX(O$124:O$127,$D796)*$E796*INDEX(O$128:O$144,$F796)</f>
        <v/>
      </c>
      <c r="P796" s="36">
        <f>INDEX(P$124:P$127,$D796)*$E796*INDEX(P$128:P$144,$F796)</f>
        <v/>
      </c>
      <c r="Q796" s="36">
        <f>INDEX(Q$124:Q$127,$D796)*$E796*INDEX(Q$128:Q$144,$F796)</f>
        <v/>
      </c>
      <c r="R796" s="36">
        <f>INDEX(R$124:R$127,$D796)*$E796*INDEX(R$128:R$144,$F796)</f>
        <v/>
      </c>
      <c r="S796" s="36">
        <f>INDEX(S$124:S$127,$D796)*$E796*INDEX(S$128:S$144,$F796)</f>
        <v/>
      </c>
      <c r="T796" s="36">
        <f>INDEX(T$124:T$127,$D796)*$E796*INDEX(T$128:T$144,$F796)</f>
        <v/>
      </c>
      <c r="U796" s="36">
        <f>INDEX(U$124:U$127,$D796)*$E796*INDEX(U$128:U$144,$F796)</f>
        <v/>
      </c>
      <c r="V796" s="36">
        <f>INDEX(V$124:V$127,$D796)*$E796*INDEX(V$128:V$144,$F796)</f>
        <v/>
      </c>
      <c r="W796" s="36">
        <f>INDEX(W$124:W$127,$D796)*$E796*INDEX(W$128:W$144,$F796)</f>
        <v/>
      </c>
      <c r="X796" s="36">
        <f>INDEX(X$124:X$127,$D796)*$E796*INDEX(X$128:X$144,$F796)</f>
        <v/>
      </c>
      <c r="Y796" s="36">
        <f>INDEX(Y$124:Y$127,$D796)*$E796*INDEX(Y$128:Y$144,$F796)</f>
        <v/>
      </c>
      <c r="Z796" s="23">
        <f>LOWER(Settings!$C$4)&amp;".mit."&amp;$A796&amp;IF($C796="","","."&amp;$C796&amp;"."&amp;$B796)&amp;IF(INDEX(Variables!$D$5:$D$65,MATCH($A796,Variables!$A$5:$A$65,0))="","","."&amp;INDEX(Variables!$D$5:$D$65,MATCH($A796,Variables!$A$5:$A$65,0)))&amp;"."&amp;Z$5</f>
        <v/>
      </c>
      <c r="AA796" s="38">
        <f>INDEX(AA$124:AA$127,$D796)*$E796*INDEX(AA$128:AA$144,$F796)</f>
        <v/>
      </c>
      <c r="AB796" s="36">
        <f>INDEX(AB$124:AB$127,$D796)*$E796*INDEX(AB$128:AB$144,$F796)</f>
        <v/>
      </c>
      <c r="AC796" s="36">
        <f>INDEX(AC$124:AC$127,$D796)*$E796*INDEX(AC$128:AC$144,$F796)</f>
        <v/>
      </c>
      <c r="AD796" s="36">
        <f>INDEX(AD$124:AD$127,$D796)*$E796*INDEX(AD$128:AD$144,$F796)</f>
        <v/>
      </c>
      <c r="AE796" s="36">
        <f>INDEX(AE$124:AE$127,$D796)*$E796*INDEX(AE$128:AE$144,$F796)</f>
        <v/>
      </c>
      <c r="AF796" s="36">
        <f>INDEX(AF$124:AF$127,$D796)*$E796*INDEX(AF$128:AF$144,$F796)</f>
        <v/>
      </c>
      <c r="AG796" s="36">
        <f>INDEX(AG$124:AG$127,$D796)*$E796*INDEX(AG$128:AG$144,$F796)</f>
        <v/>
      </c>
      <c r="AH796" s="36">
        <f>INDEX(AH$124:AH$127,$D796)*$E796*INDEX(AH$128:AH$144,$F796)</f>
        <v/>
      </c>
      <c r="AI796" s="36">
        <f>INDEX(AI$124:AI$127,$D796)*$E796*INDEX(AI$128:AI$144,$F796)</f>
        <v/>
      </c>
      <c r="AJ796" s="36">
        <f>INDEX(AJ$124:AJ$127,$D796)*$E796*INDEX(AJ$128:AJ$144,$F796)</f>
        <v/>
      </c>
      <c r="AK796" s="36">
        <f>INDEX(AK$124:AK$127,$D796)*$E796*INDEX(AK$128:AK$144,$F796)</f>
        <v/>
      </c>
      <c r="AL796" s="36">
        <f>INDEX(AL$124:AL$127,$D796)*$E796*INDEX(AL$128:AL$144,$F796)</f>
        <v/>
      </c>
      <c r="AM796" s="36">
        <f>INDEX(AM$124:AM$127,$D796)*$E796*INDEX(AM$128:AM$144,$F796)</f>
        <v/>
      </c>
      <c r="AN796" s="36">
        <f>INDEX(AN$124:AN$127,$D796)*$E796*INDEX(AN$128:AN$144,$F796)</f>
        <v/>
      </c>
    </row>
    <row r="797" hidden="1" outlineLevel="2">
      <c r="A797" s="5" t="inlineStr">
        <is>
          <t>shp</t>
        </is>
      </c>
      <c r="B797" s="5" t="inlineStr">
        <is>
          <t>nga</t>
        </is>
      </c>
      <c r="C797" s="5" t="inlineStr">
        <is>
          <t>irn</t>
        </is>
      </c>
      <c r="D797" s="36">
        <f>INDEX(Inputs!$M$5:$M$132,MATCH($B797&amp;"|"&amp;$C797,Inputs!$A$5:$A$132,0))</f>
        <v/>
      </c>
      <c r="E797" s="36">
        <f>INDEX(Inputs!$U$5:$U$132,MATCH($B797&amp;"|"&amp;$C797,Inputs!$A$5:$A$132,0))</f>
        <v/>
      </c>
      <c r="F797" s="36">
        <f>INDEX(Inputs!$K$5:$K$132,MATCH($B797&amp;"|"&amp;$C797,Inputs!$A$5:$A$132,0))</f>
        <v/>
      </c>
      <c r="G797" s="37" t="n"/>
      <c r="H797" s="5">
        <f>INDEX(Variables!$B$5:$B$65,MATCH($A797,Variables!$A$5:$A$65,0))&amp;IF($C797="",""," | "&amp;INDEX(Mapping!$B$5:$B$25,MATCH($C797,Mapping!$A$5:$A$25,0))&amp;" | "&amp;INDEX(Mapping!$B$29:$B$38,MATCH($B797,Mapping!$A$29:$A$38,0)))</f>
        <v/>
      </c>
      <c r="I797" s="5">
        <f>INDEX(Variables!$C$5:$C$65,MATCH($A797,Variables!$A$5:$A$65,0))</f>
        <v/>
      </c>
      <c r="J797" s="5">
        <f>INDEX(Variables!$E$5:$E$65,MATCH($A797,Variables!$A$5:$A$65,0))</f>
        <v/>
      </c>
      <c r="K797" s="23">
        <f>LOWER(Settings!$C$4)&amp;".mit."&amp;$A797&amp;IF($C797="","","."&amp;$C797&amp;"."&amp;$B797)&amp;IF(INDEX(Variables!$D$5:$D$65,MATCH($A797,Variables!$A$5:$A$65,0))="","","."&amp;INDEX(Variables!$D$5:$D$65,MATCH($A797,Variables!$A$5:$A$65,0)))&amp;"."&amp;K$5</f>
        <v/>
      </c>
      <c r="L797" s="38">
        <f>INDEX(L$124:L$127,$D797)*$E797*INDEX(L$128:L$144,$F797)</f>
        <v/>
      </c>
      <c r="M797" s="36">
        <f>INDEX(M$124:M$127,$D797)*$E797*INDEX(M$128:M$144,$F797)</f>
        <v/>
      </c>
      <c r="N797" s="36">
        <f>INDEX(N$124:N$127,$D797)*$E797*INDEX(N$128:N$144,$F797)</f>
        <v/>
      </c>
      <c r="O797" s="36">
        <f>INDEX(O$124:O$127,$D797)*$E797*INDEX(O$128:O$144,$F797)</f>
        <v/>
      </c>
      <c r="P797" s="36">
        <f>INDEX(P$124:P$127,$D797)*$E797*INDEX(P$128:P$144,$F797)</f>
        <v/>
      </c>
      <c r="Q797" s="36">
        <f>INDEX(Q$124:Q$127,$D797)*$E797*INDEX(Q$128:Q$144,$F797)</f>
        <v/>
      </c>
      <c r="R797" s="36">
        <f>INDEX(R$124:R$127,$D797)*$E797*INDEX(R$128:R$144,$F797)</f>
        <v/>
      </c>
      <c r="S797" s="36">
        <f>INDEX(S$124:S$127,$D797)*$E797*INDEX(S$128:S$144,$F797)</f>
        <v/>
      </c>
      <c r="T797" s="36">
        <f>INDEX(T$124:T$127,$D797)*$E797*INDEX(T$128:T$144,$F797)</f>
        <v/>
      </c>
      <c r="U797" s="36">
        <f>INDEX(U$124:U$127,$D797)*$E797*INDEX(U$128:U$144,$F797)</f>
        <v/>
      </c>
      <c r="V797" s="36">
        <f>INDEX(V$124:V$127,$D797)*$E797*INDEX(V$128:V$144,$F797)</f>
        <v/>
      </c>
      <c r="W797" s="36">
        <f>INDEX(W$124:W$127,$D797)*$E797*INDEX(W$128:W$144,$F797)</f>
        <v/>
      </c>
      <c r="X797" s="36">
        <f>INDEX(X$124:X$127,$D797)*$E797*INDEX(X$128:X$144,$F797)</f>
        <v/>
      </c>
      <c r="Y797" s="36">
        <f>INDEX(Y$124:Y$127,$D797)*$E797*INDEX(Y$128:Y$144,$F797)</f>
        <v/>
      </c>
      <c r="Z797" s="23">
        <f>LOWER(Settings!$C$4)&amp;".mit."&amp;$A797&amp;IF($C797="","","."&amp;$C797&amp;"."&amp;$B797)&amp;IF(INDEX(Variables!$D$5:$D$65,MATCH($A797,Variables!$A$5:$A$65,0))="","","."&amp;INDEX(Variables!$D$5:$D$65,MATCH($A797,Variables!$A$5:$A$65,0)))&amp;"."&amp;Z$5</f>
        <v/>
      </c>
      <c r="AA797" s="38">
        <f>INDEX(AA$124:AA$127,$D797)*$E797*INDEX(AA$128:AA$144,$F797)</f>
        <v/>
      </c>
      <c r="AB797" s="36">
        <f>INDEX(AB$124:AB$127,$D797)*$E797*INDEX(AB$128:AB$144,$F797)</f>
        <v/>
      </c>
      <c r="AC797" s="36">
        <f>INDEX(AC$124:AC$127,$D797)*$E797*INDEX(AC$128:AC$144,$F797)</f>
        <v/>
      </c>
      <c r="AD797" s="36">
        <f>INDEX(AD$124:AD$127,$D797)*$E797*INDEX(AD$128:AD$144,$F797)</f>
        <v/>
      </c>
      <c r="AE797" s="36">
        <f>INDEX(AE$124:AE$127,$D797)*$E797*INDEX(AE$128:AE$144,$F797)</f>
        <v/>
      </c>
      <c r="AF797" s="36">
        <f>INDEX(AF$124:AF$127,$D797)*$E797*INDEX(AF$128:AF$144,$F797)</f>
        <v/>
      </c>
      <c r="AG797" s="36">
        <f>INDEX(AG$124:AG$127,$D797)*$E797*INDEX(AG$128:AG$144,$F797)</f>
        <v/>
      </c>
      <c r="AH797" s="36">
        <f>INDEX(AH$124:AH$127,$D797)*$E797*INDEX(AH$128:AH$144,$F797)</f>
        <v/>
      </c>
      <c r="AI797" s="36">
        <f>INDEX(AI$124:AI$127,$D797)*$E797*INDEX(AI$128:AI$144,$F797)</f>
        <v/>
      </c>
      <c r="AJ797" s="36">
        <f>INDEX(AJ$124:AJ$127,$D797)*$E797*INDEX(AJ$128:AJ$144,$F797)</f>
        <v/>
      </c>
      <c r="AK797" s="36">
        <f>INDEX(AK$124:AK$127,$D797)*$E797*INDEX(AK$128:AK$144,$F797)</f>
        <v/>
      </c>
      <c r="AL797" s="36">
        <f>INDEX(AL$124:AL$127,$D797)*$E797*INDEX(AL$128:AL$144,$F797)</f>
        <v/>
      </c>
      <c r="AM797" s="36">
        <f>INDEX(AM$124:AM$127,$D797)*$E797*INDEX(AM$128:AM$144,$F797)</f>
        <v/>
      </c>
      <c r="AN797" s="36">
        <f>INDEX(AN$124:AN$127,$D797)*$E797*INDEX(AN$128:AN$144,$F797)</f>
        <v/>
      </c>
    </row>
    <row r="798" hidden="1" outlineLevel="2">
      <c r="A798" s="5" t="inlineStr">
        <is>
          <t>shp</t>
        </is>
      </c>
      <c r="B798" s="5" t="inlineStr">
        <is>
          <t>gso</t>
        </is>
      </c>
      <c r="C798" s="5" t="inlineStr">
        <is>
          <t>irn</t>
        </is>
      </c>
      <c r="D798" s="36">
        <f>INDEX(Inputs!$M$5:$M$132,MATCH($B798&amp;"|"&amp;$C798,Inputs!$A$5:$A$132,0))</f>
        <v/>
      </c>
      <c r="E798" s="36">
        <f>INDEX(Inputs!$U$5:$U$132,MATCH($B798&amp;"|"&amp;$C798,Inputs!$A$5:$A$132,0))</f>
        <v/>
      </c>
      <c r="F798" s="36">
        <f>INDEX(Inputs!$K$5:$K$132,MATCH($B798&amp;"|"&amp;$C798,Inputs!$A$5:$A$132,0))</f>
        <v/>
      </c>
      <c r="G798" s="37" t="n"/>
      <c r="H798" s="5">
        <f>INDEX(Variables!$B$5:$B$65,MATCH($A798,Variables!$A$5:$A$65,0))&amp;IF($C798="",""," | "&amp;INDEX(Mapping!$B$5:$B$25,MATCH($C798,Mapping!$A$5:$A$25,0))&amp;" | "&amp;INDEX(Mapping!$B$29:$B$38,MATCH($B798,Mapping!$A$29:$A$38,0)))</f>
        <v/>
      </c>
      <c r="I798" s="5">
        <f>INDEX(Variables!$C$5:$C$65,MATCH($A798,Variables!$A$5:$A$65,0))</f>
        <v/>
      </c>
      <c r="J798" s="5">
        <f>INDEX(Variables!$E$5:$E$65,MATCH($A798,Variables!$A$5:$A$65,0))</f>
        <v/>
      </c>
      <c r="K798" s="23">
        <f>LOWER(Settings!$C$4)&amp;".mit."&amp;$A798&amp;IF($C798="","","."&amp;$C798&amp;"."&amp;$B798)&amp;IF(INDEX(Variables!$D$5:$D$65,MATCH($A798,Variables!$A$5:$A$65,0))="","","."&amp;INDEX(Variables!$D$5:$D$65,MATCH($A798,Variables!$A$5:$A$65,0)))&amp;"."&amp;K$5</f>
        <v/>
      </c>
      <c r="L798" s="38">
        <f>INDEX(L$124:L$127,$D798)*$E798*INDEX(L$128:L$144,$F798)</f>
        <v/>
      </c>
      <c r="M798" s="36">
        <f>INDEX(M$124:M$127,$D798)*$E798*INDEX(M$128:M$144,$F798)</f>
        <v/>
      </c>
      <c r="N798" s="36">
        <f>INDEX(N$124:N$127,$D798)*$E798*INDEX(N$128:N$144,$F798)</f>
        <v/>
      </c>
      <c r="O798" s="36">
        <f>INDEX(O$124:O$127,$D798)*$E798*INDEX(O$128:O$144,$F798)</f>
        <v/>
      </c>
      <c r="P798" s="36">
        <f>INDEX(P$124:P$127,$D798)*$E798*INDEX(P$128:P$144,$F798)</f>
        <v/>
      </c>
      <c r="Q798" s="36">
        <f>INDEX(Q$124:Q$127,$D798)*$E798*INDEX(Q$128:Q$144,$F798)</f>
        <v/>
      </c>
      <c r="R798" s="36">
        <f>INDEX(R$124:R$127,$D798)*$E798*INDEX(R$128:R$144,$F798)</f>
        <v/>
      </c>
      <c r="S798" s="36">
        <f>INDEX(S$124:S$127,$D798)*$E798*INDEX(S$128:S$144,$F798)</f>
        <v/>
      </c>
      <c r="T798" s="36">
        <f>INDEX(T$124:T$127,$D798)*$E798*INDEX(T$128:T$144,$F798)</f>
        <v/>
      </c>
      <c r="U798" s="36">
        <f>INDEX(U$124:U$127,$D798)*$E798*INDEX(U$128:U$144,$F798)</f>
        <v/>
      </c>
      <c r="V798" s="36">
        <f>INDEX(V$124:V$127,$D798)*$E798*INDEX(V$128:V$144,$F798)</f>
        <v/>
      </c>
      <c r="W798" s="36">
        <f>INDEX(W$124:W$127,$D798)*$E798*INDEX(W$128:W$144,$F798)</f>
        <v/>
      </c>
      <c r="X798" s="36">
        <f>INDEX(X$124:X$127,$D798)*$E798*INDEX(X$128:X$144,$F798)</f>
        <v/>
      </c>
      <c r="Y798" s="36">
        <f>INDEX(Y$124:Y$127,$D798)*$E798*INDEX(Y$128:Y$144,$F798)</f>
        <v/>
      </c>
      <c r="Z798" s="23">
        <f>LOWER(Settings!$C$4)&amp;".mit."&amp;$A798&amp;IF($C798="","","."&amp;$C798&amp;"."&amp;$B798)&amp;IF(INDEX(Variables!$D$5:$D$65,MATCH($A798,Variables!$A$5:$A$65,0))="","","."&amp;INDEX(Variables!$D$5:$D$65,MATCH($A798,Variables!$A$5:$A$65,0)))&amp;"."&amp;Z$5</f>
        <v/>
      </c>
      <c r="AA798" s="38">
        <f>INDEX(AA$124:AA$127,$D798)*$E798*INDEX(AA$128:AA$144,$F798)</f>
        <v/>
      </c>
      <c r="AB798" s="36">
        <f>INDEX(AB$124:AB$127,$D798)*$E798*INDEX(AB$128:AB$144,$F798)</f>
        <v/>
      </c>
      <c r="AC798" s="36">
        <f>INDEX(AC$124:AC$127,$D798)*$E798*INDEX(AC$128:AC$144,$F798)</f>
        <v/>
      </c>
      <c r="AD798" s="36">
        <f>INDEX(AD$124:AD$127,$D798)*$E798*INDEX(AD$128:AD$144,$F798)</f>
        <v/>
      </c>
      <c r="AE798" s="36">
        <f>INDEX(AE$124:AE$127,$D798)*$E798*INDEX(AE$128:AE$144,$F798)</f>
        <v/>
      </c>
      <c r="AF798" s="36">
        <f>INDEX(AF$124:AF$127,$D798)*$E798*INDEX(AF$128:AF$144,$F798)</f>
        <v/>
      </c>
      <c r="AG798" s="36">
        <f>INDEX(AG$124:AG$127,$D798)*$E798*INDEX(AG$128:AG$144,$F798)</f>
        <v/>
      </c>
      <c r="AH798" s="36">
        <f>INDEX(AH$124:AH$127,$D798)*$E798*INDEX(AH$128:AH$144,$F798)</f>
        <v/>
      </c>
      <c r="AI798" s="36">
        <f>INDEX(AI$124:AI$127,$D798)*$E798*INDEX(AI$128:AI$144,$F798)</f>
        <v/>
      </c>
      <c r="AJ798" s="36">
        <f>INDEX(AJ$124:AJ$127,$D798)*$E798*INDEX(AJ$128:AJ$144,$F798)</f>
        <v/>
      </c>
      <c r="AK798" s="36">
        <f>INDEX(AK$124:AK$127,$D798)*$E798*INDEX(AK$128:AK$144,$F798)</f>
        <v/>
      </c>
      <c r="AL798" s="36">
        <f>INDEX(AL$124:AL$127,$D798)*$E798*INDEX(AL$128:AL$144,$F798)</f>
        <v/>
      </c>
      <c r="AM798" s="36">
        <f>INDEX(AM$124:AM$127,$D798)*$E798*INDEX(AM$128:AM$144,$F798)</f>
        <v/>
      </c>
      <c r="AN798" s="36">
        <f>INDEX(AN$124:AN$127,$D798)*$E798*INDEX(AN$128:AN$144,$F798)</f>
        <v/>
      </c>
    </row>
    <row r="799" hidden="1" outlineLevel="2">
      <c r="A799" s="5" t="inlineStr">
        <is>
          <t>shp</t>
        </is>
      </c>
      <c r="B799" s="5" t="inlineStr">
        <is>
          <t>die</t>
        </is>
      </c>
      <c r="C799" s="5" t="inlineStr">
        <is>
          <t>irn</t>
        </is>
      </c>
      <c r="D799" s="36">
        <f>INDEX(Inputs!$M$5:$M$132,MATCH($B799&amp;"|"&amp;$C799,Inputs!$A$5:$A$132,0))</f>
        <v/>
      </c>
      <c r="E799" s="36">
        <f>INDEX(Inputs!$U$5:$U$132,MATCH($B799&amp;"|"&amp;$C799,Inputs!$A$5:$A$132,0))</f>
        <v/>
      </c>
      <c r="F799" s="36">
        <f>INDEX(Inputs!$K$5:$K$132,MATCH($B799&amp;"|"&amp;$C799,Inputs!$A$5:$A$132,0))</f>
        <v/>
      </c>
      <c r="G799" s="37" t="n"/>
      <c r="H799" s="5">
        <f>INDEX(Variables!$B$5:$B$65,MATCH($A799,Variables!$A$5:$A$65,0))&amp;IF($C799="",""," | "&amp;INDEX(Mapping!$B$5:$B$25,MATCH($C799,Mapping!$A$5:$A$25,0))&amp;" | "&amp;INDEX(Mapping!$B$29:$B$38,MATCH($B799,Mapping!$A$29:$A$38,0)))</f>
        <v/>
      </c>
      <c r="I799" s="5">
        <f>INDEX(Variables!$C$5:$C$65,MATCH($A799,Variables!$A$5:$A$65,0))</f>
        <v/>
      </c>
      <c r="J799" s="5">
        <f>INDEX(Variables!$E$5:$E$65,MATCH($A799,Variables!$A$5:$A$65,0))</f>
        <v/>
      </c>
      <c r="K799" s="23">
        <f>LOWER(Settings!$C$4)&amp;".mit."&amp;$A799&amp;IF($C799="","","."&amp;$C799&amp;"."&amp;$B799)&amp;IF(INDEX(Variables!$D$5:$D$65,MATCH($A799,Variables!$A$5:$A$65,0))="","","."&amp;INDEX(Variables!$D$5:$D$65,MATCH($A799,Variables!$A$5:$A$65,0)))&amp;"."&amp;K$5</f>
        <v/>
      </c>
      <c r="L799" s="38">
        <f>INDEX(L$124:L$127,$D799)*$E799*INDEX(L$128:L$144,$F799)</f>
        <v/>
      </c>
      <c r="M799" s="36">
        <f>INDEX(M$124:M$127,$D799)*$E799*INDEX(M$128:M$144,$F799)</f>
        <v/>
      </c>
      <c r="N799" s="36">
        <f>INDEX(N$124:N$127,$D799)*$E799*INDEX(N$128:N$144,$F799)</f>
        <v/>
      </c>
      <c r="O799" s="36">
        <f>INDEX(O$124:O$127,$D799)*$E799*INDEX(O$128:O$144,$F799)</f>
        <v/>
      </c>
      <c r="P799" s="36">
        <f>INDEX(P$124:P$127,$D799)*$E799*INDEX(P$128:P$144,$F799)</f>
        <v/>
      </c>
      <c r="Q799" s="36">
        <f>INDEX(Q$124:Q$127,$D799)*$E799*INDEX(Q$128:Q$144,$F799)</f>
        <v/>
      </c>
      <c r="R799" s="36">
        <f>INDEX(R$124:R$127,$D799)*$E799*INDEX(R$128:R$144,$F799)</f>
        <v/>
      </c>
      <c r="S799" s="36">
        <f>INDEX(S$124:S$127,$D799)*$E799*INDEX(S$128:S$144,$F799)</f>
        <v/>
      </c>
      <c r="T799" s="36">
        <f>INDEX(T$124:T$127,$D799)*$E799*INDEX(T$128:T$144,$F799)</f>
        <v/>
      </c>
      <c r="U799" s="36">
        <f>INDEX(U$124:U$127,$D799)*$E799*INDEX(U$128:U$144,$F799)</f>
        <v/>
      </c>
      <c r="V799" s="36">
        <f>INDEX(V$124:V$127,$D799)*$E799*INDEX(V$128:V$144,$F799)</f>
        <v/>
      </c>
      <c r="W799" s="36">
        <f>INDEX(W$124:W$127,$D799)*$E799*INDEX(W$128:W$144,$F799)</f>
        <v/>
      </c>
      <c r="X799" s="36">
        <f>INDEX(X$124:X$127,$D799)*$E799*INDEX(X$128:X$144,$F799)</f>
        <v/>
      </c>
      <c r="Y799" s="36">
        <f>INDEX(Y$124:Y$127,$D799)*$E799*INDEX(Y$128:Y$144,$F799)</f>
        <v/>
      </c>
      <c r="Z799" s="23">
        <f>LOWER(Settings!$C$4)&amp;".mit."&amp;$A799&amp;IF($C799="","","."&amp;$C799&amp;"."&amp;$B799)&amp;IF(INDEX(Variables!$D$5:$D$65,MATCH($A799,Variables!$A$5:$A$65,0))="","","."&amp;INDEX(Variables!$D$5:$D$65,MATCH($A799,Variables!$A$5:$A$65,0)))&amp;"."&amp;Z$5</f>
        <v/>
      </c>
      <c r="AA799" s="38">
        <f>INDEX(AA$124:AA$127,$D799)*$E799*INDEX(AA$128:AA$144,$F799)</f>
        <v/>
      </c>
      <c r="AB799" s="36">
        <f>INDEX(AB$124:AB$127,$D799)*$E799*INDEX(AB$128:AB$144,$F799)</f>
        <v/>
      </c>
      <c r="AC799" s="36">
        <f>INDEX(AC$124:AC$127,$D799)*$E799*INDEX(AC$128:AC$144,$F799)</f>
        <v/>
      </c>
      <c r="AD799" s="36">
        <f>INDEX(AD$124:AD$127,$D799)*$E799*INDEX(AD$128:AD$144,$F799)</f>
        <v/>
      </c>
      <c r="AE799" s="36">
        <f>INDEX(AE$124:AE$127,$D799)*$E799*INDEX(AE$128:AE$144,$F799)</f>
        <v/>
      </c>
      <c r="AF799" s="36">
        <f>INDEX(AF$124:AF$127,$D799)*$E799*INDEX(AF$128:AF$144,$F799)</f>
        <v/>
      </c>
      <c r="AG799" s="36">
        <f>INDEX(AG$124:AG$127,$D799)*$E799*INDEX(AG$128:AG$144,$F799)</f>
        <v/>
      </c>
      <c r="AH799" s="36">
        <f>INDEX(AH$124:AH$127,$D799)*$E799*INDEX(AH$128:AH$144,$F799)</f>
        <v/>
      </c>
      <c r="AI799" s="36">
        <f>INDEX(AI$124:AI$127,$D799)*$E799*INDEX(AI$128:AI$144,$F799)</f>
        <v/>
      </c>
      <c r="AJ799" s="36">
        <f>INDEX(AJ$124:AJ$127,$D799)*$E799*INDEX(AJ$128:AJ$144,$F799)</f>
        <v/>
      </c>
      <c r="AK799" s="36">
        <f>INDEX(AK$124:AK$127,$D799)*$E799*INDEX(AK$128:AK$144,$F799)</f>
        <v/>
      </c>
      <c r="AL799" s="36">
        <f>INDEX(AL$124:AL$127,$D799)*$E799*INDEX(AL$128:AL$144,$F799)</f>
        <v/>
      </c>
      <c r="AM799" s="36">
        <f>INDEX(AM$124:AM$127,$D799)*$E799*INDEX(AM$128:AM$144,$F799)</f>
        <v/>
      </c>
      <c r="AN799" s="36">
        <f>INDEX(AN$124:AN$127,$D799)*$E799*INDEX(AN$128:AN$144,$F799)</f>
        <v/>
      </c>
    </row>
    <row r="800" hidden="1" outlineLevel="2">
      <c r="A800" s="5" t="inlineStr">
        <is>
          <t>shp</t>
        </is>
      </c>
      <c r="B800" s="5" t="inlineStr">
        <is>
          <t>lpg</t>
        </is>
      </c>
      <c r="C800" s="5" t="inlineStr">
        <is>
          <t>irn</t>
        </is>
      </c>
      <c r="D800" s="36">
        <f>INDEX(Inputs!$M$5:$M$132,MATCH($B800&amp;"|"&amp;$C800,Inputs!$A$5:$A$132,0))</f>
        <v/>
      </c>
      <c r="E800" s="36">
        <f>INDEX(Inputs!$U$5:$U$132,MATCH($B800&amp;"|"&amp;$C800,Inputs!$A$5:$A$132,0))</f>
        <v/>
      </c>
      <c r="F800" s="36">
        <f>INDEX(Inputs!$K$5:$K$132,MATCH($B800&amp;"|"&amp;$C800,Inputs!$A$5:$A$132,0))</f>
        <v/>
      </c>
      <c r="G800" s="37" t="n"/>
      <c r="H800" s="5">
        <f>INDEX(Variables!$B$5:$B$65,MATCH($A800,Variables!$A$5:$A$65,0))&amp;IF($C800="",""," | "&amp;INDEX(Mapping!$B$5:$B$25,MATCH($C800,Mapping!$A$5:$A$25,0))&amp;" | "&amp;INDEX(Mapping!$B$29:$B$38,MATCH($B800,Mapping!$A$29:$A$38,0)))</f>
        <v/>
      </c>
      <c r="I800" s="5">
        <f>INDEX(Variables!$C$5:$C$65,MATCH($A800,Variables!$A$5:$A$65,0))</f>
        <v/>
      </c>
      <c r="J800" s="5">
        <f>INDEX(Variables!$E$5:$E$65,MATCH($A800,Variables!$A$5:$A$65,0))</f>
        <v/>
      </c>
      <c r="K800" s="23">
        <f>LOWER(Settings!$C$4)&amp;".mit."&amp;$A800&amp;IF($C800="","","."&amp;$C800&amp;"."&amp;$B800)&amp;IF(INDEX(Variables!$D$5:$D$65,MATCH($A800,Variables!$A$5:$A$65,0))="","","."&amp;INDEX(Variables!$D$5:$D$65,MATCH($A800,Variables!$A$5:$A$65,0)))&amp;"."&amp;K$5</f>
        <v/>
      </c>
      <c r="L800" s="38">
        <f>INDEX(L$124:L$127,$D800)*$E800*INDEX(L$128:L$144,$F800)</f>
        <v/>
      </c>
      <c r="M800" s="36">
        <f>INDEX(M$124:M$127,$D800)*$E800*INDEX(M$128:M$144,$F800)</f>
        <v/>
      </c>
      <c r="N800" s="36">
        <f>INDEX(N$124:N$127,$D800)*$E800*INDEX(N$128:N$144,$F800)</f>
        <v/>
      </c>
      <c r="O800" s="36">
        <f>INDEX(O$124:O$127,$D800)*$E800*INDEX(O$128:O$144,$F800)</f>
        <v/>
      </c>
      <c r="P800" s="36">
        <f>INDEX(P$124:P$127,$D800)*$E800*INDEX(P$128:P$144,$F800)</f>
        <v/>
      </c>
      <c r="Q800" s="36">
        <f>INDEX(Q$124:Q$127,$D800)*$E800*INDEX(Q$128:Q$144,$F800)</f>
        <v/>
      </c>
      <c r="R800" s="36">
        <f>INDEX(R$124:R$127,$D800)*$E800*INDEX(R$128:R$144,$F800)</f>
        <v/>
      </c>
      <c r="S800" s="36">
        <f>INDEX(S$124:S$127,$D800)*$E800*INDEX(S$128:S$144,$F800)</f>
        <v/>
      </c>
      <c r="T800" s="36">
        <f>INDEX(T$124:T$127,$D800)*$E800*INDEX(T$128:T$144,$F800)</f>
        <v/>
      </c>
      <c r="U800" s="36">
        <f>INDEX(U$124:U$127,$D800)*$E800*INDEX(U$128:U$144,$F800)</f>
        <v/>
      </c>
      <c r="V800" s="36">
        <f>INDEX(V$124:V$127,$D800)*$E800*INDEX(V$128:V$144,$F800)</f>
        <v/>
      </c>
      <c r="W800" s="36">
        <f>INDEX(W$124:W$127,$D800)*$E800*INDEX(W$128:W$144,$F800)</f>
        <v/>
      </c>
      <c r="X800" s="36">
        <f>INDEX(X$124:X$127,$D800)*$E800*INDEX(X$128:X$144,$F800)</f>
        <v/>
      </c>
      <c r="Y800" s="36">
        <f>INDEX(Y$124:Y$127,$D800)*$E800*INDEX(Y$128:Y$144,$F800)</f>
        <v/>
      </c>
      <c r="Z800" s="23">
        <f>LOWER(Settings!$C$4)&amp;".mit."&amp;$A800&amp;IF($C800="","","."&amp;$C800&amp;"."&amp;$B800)&amp;IF(INDEX(Variables!$D$5:$D$65,MATCH($A800,Variables!$A$5:$A$65,0))="","","."&amp;INDEX(Variables!$D$5:$D$65,MATCH($A800,Variables!$A$5:$A$65,0)))&amp;"."&amp;Z$5</f>
        <v/>
      </c>
      <c r="AA800" s="38">
        <f>INDEX(AA$124:AA$127,$D800)*$E800*INDEX(AA$128:AA$144,$F800)</f>
        <v/>
      </c>
      <c r="AB800" s="36">
        <f>INDEX(AB$124:AB$127,$D800)*$E800*INDEX(AB$128:AB$144,$F800)</f>
        <v/>
      </c>
      <c r="AC800" s="36">
        <f>INDEX(AC$124:AC$127,$D800)*$E800*INDEX(AC$128:AC$144,$F800)</f>
        <v/>
      </c>
      <c r="AD800" s="36">
        <f>INDEX(AD$124:AD$127,$D800)*$E800*INDEX(AD$128:AD$144,$F800)</f>
        <v/>
      </c>
      <c r="AE800" s="36">
        <f>INDEX(AE$124:AE$127,$D800)*$E800*INDEX(AE$128:AE$144,$F800)</f>
        <v/>
      </c>
      <c r="AF800" s="36">
        <f>INDEX(AF$124:AF$127,$D800)*$E800*INDEX(AF$128:AF$144,$F800)</f>
        <v/>
      </c>
      <c r="AG800" s="36">
        <f>INDEX(AG$124:AG$127,$D800)*$E800*INDEX(AG$128:AG$144,$F800)</f>
        <v/>
      </c>
      <c r="AH800" s="36">
        <f>INDEX(AH$124:AH$127,$D800)*$E800*INDEX(AH$128:AH$144,$F800)</f>
        <v/>
      </c>
      <c r="AI800" s="36">
        <f>INDEX(AI$124:AI$127,$D800)*$E800*INDEX(AI$128:AI$144,$F800)</f>
        <v/>
      </c>
      <c r="AJ800" s="36">
        <f>INDEX(AJ$124:AJ$127,$D800)*$E800*INDEX(AJ$128:AJ$144,$F800)</f>
        <v/>
      </c>
      <c r="AK800" s="36">
        <f>INDEX(AK$124:AK$127,$D800)*$E800*INDEX(AK$128:AK$144,$F800)</f>
        <v/>
      </c>
      <c r="AL800" s="36">
        <f>INDEX(AL$124:AL$127,$D800)*$E800*INDEX(AL$128:AL$144,$F800)</f>
        <v/>
      </c>
      <c r="AM800" s="36">
        <f>INDEX(AM$124:AM$127,$D800)*$E800*INDEX(AM$128:AM$144,$F800)</f>
        <v/>
      </c>
      <c r="AN800" s="36">
        <f>INDEX(AN$124:AN$127,$D800)*$E800*INDEX(AN$128:AN$144,$F800)</f>
        <v/>
      </c>
    </row>
    <row r="801" hidden="1" outlineLevel="2">
      <c r="A801" s="5" t="inlineStr">
        <is>
          <t>shp</t>
        </is>
      </c>
      <c r="B801" s="5" t="inlineStr">
        <is>
          <t>ker</t>
        </is>
      </c>
      <c r="C801" s="5" t="inlineStr">
        <is>
          <t>irn</t>
        </is>
      </c>
      <c r="D801" s="36">
        <f>INDEX(Inputs!$M$5:$M$132,MATCH($B801&amp;"|"&amp;$C801,Inputs!$A$5:$A$132,0))</f>
        <v/>
      </c>
      <c r="E801" s="36">
        <f>INDEX(Inputs!$U$5:$U$132,MATCH($B801&amp;"|"&amp;$C801,Inputs!$A$5:$A$132,0))</f>
        <v/>
      </c>
      <c r="F801" s="36">
        <f>INDEX(Inputs!$K$5:$K$132,MATCH($B801&amp;"|"&amp;$C801,Inputs!$A$5:$A$132,0))</f>
        <v/>
      </c>
      <c r="G801" s="37" t="n"/>
      <c r="H801" s="5">
        <f>INDEX(Variables!$B$5:$B$65,MATCH($A801,Variables!$A$5:$A$65,0))&amp;IF($C801="",""," | "&amp;INDEX(Mapping!$B$5:$B$25,MATCH($C801,Mapping!$A$5:$A$25,0))&amp;" | "&amp;INDEX(Mapping!$B$29:$B$38,MATCH($B801,Mapping!$A$29:$A$38,0)))</f>
        <v/>
      </c>
      <c r="I801" s="5">
        <f>INDEX(Variables!$C$5:$C$65,MATCH($A801,Variables!$A$5:$A$65,0))</f>
        <v/>
      </c>
      <c r="J801" s="5">
        <f>INDEX(Variables!$E$5:$E$65,MATCH($A801,Variables!$A$5:$A$65,0))</f>
        <v/>
      </c>
      <c r="K801" s="23">
        <f>LOWER(Settings!$C$4)&amp;".mit."&amp;$A801&amp;IF($C801="","","."&amp;$C801&amp;"."&amp;$B801)&amp;IF(INDEX(Variables!$D$5:$D$65,MATCH($A801,Variables!$A$5:$A$65,0))="","","."&amp;INDEX(Variables!$D$5:$D$65,MATCH($A801,Variables!$A$5:$A$65,0)))&amp;"."&amp;K$5</f>
        <v/>
      </c>
      <c r="L801" s="38">
        <f>INDEX(L$124:L$127,$D801)*$E801*INDEX(L$128:L$144,$F801)</f>
        <v/>
      </c>
      <c r="M801" s="36">
        <f>INDEX(M$124:M$127,$D801)*$E801*INDEX(M$128:M$144,$F801)</f>
        <v/>
      </c>
      <c r="N801" s="36">
        <f>INDEX(N$124:N$127,$D801)*$E801*INDEX(N$128:N$144,$F801)</f>
        <v/>
      </c>
      <c r="O801" s="36">
        <f>INDEX(O$124:O$127,$D801)*$E801*INDEX(O$128:O$144,$F801)</f>
        <v/>
      </c>
      <c r="P801" s="36">
        <f>INDEX(P$124:P$127,$D801)*$E801*INDEX(P$128:P$144,$F801)</f>
        <v/>
      </c>
      <c r="Q801" s="36">
        <f>INDEX(Q$124:Q$127,$D801)*$E801*INDEX(Q$128:Q$144,$F801)</f>
        <v/>
      </c>
      <c r="R801" s="36">
        <f>INDEX(R$124:R$127,$D801)*$E801*INDEX(R$128:R$144,$F801)</f>
        <v/>
      </c>
      <c r="S801" s="36">
        <f>INDEX(S$124:S$127,$D801)*$E801*INDEX(S$128:S$144,$F801)</f>
        <v/>
      </c>
      <c r="T801" s="36">
        <f>INDEX(T$124:T$127,$D801)*$E801*INDEX(T$128:T$144,$F801)</f>
        <v/>
      </c>
      <c r="U801" s="36">
        <f>INDEX(U$124:U$127,$D801)*$E801*INDEX(U$128:U$144,$F801)</f>
        <v/>
      </c>
      <c r="V801" s="36">
        <f>INDEX(V$124:V$127,$D801)*$E801*INDEX(V$128:V$144,$F801)</f>
        <v/>
      </c>
      <c r="W801" s="36">
        <f>INDEX(W$124:W$127,$D801)*$E801*INDEX(W$128:W$144,$F801)</f>
        <v/>
      </c>
      <c r="X801" s="36">
        <f>INDEX(X$124:X$127,$D801)*$E801*INDEX(X$128:X$144,$F801)</f>
        <v/>
      </c>
      <c r="Y801" s="36">
        <f>INDEX(Y$124:Y$127,$D801)*$E801*INDEX(Y$128:Y$144,$F801)</f>
        <v/>
      </c>
      <c r="Z801" s="23">
        <f>LOWER(Settings!$C$4)&amp;".mit."&amp;$A801&amp;IF($C801="","","."&amp;$C801&amp;"."&amp;$B801)&amp;IF(INDEX(Variables!$D$5:$D$65,MATCH($A801,Variables!$A$5:$A$65,0))="","","."&amp;INDEX(Variables!$D$5:$D$65,MATCH($A801,Variables!$A$5:$A$65,0)))&amp;"."&amp;Z$5</f>
        <v/>
      </c>
      <c r="AA801" s="38">
        <f>INDEX(AA$124:AA$127,$D801)*$E801*INDEX(AA$128:AA$144,$F801)</f>
        <v/>
      </c>
      <c r="AB801" s="36">
        <f>INDEX(AB$124:AB$127,$D801)*$E801*INDEX(AB$128:AB$144,$F801)</f>
        <v/>
      </c>
      <c r="AC801" s="36">
        <f>INDEX(AC$124:AC$127,$D801)*$E801*INDEX(AC$128:AC$144,$F801)</f>
        <v/>
      </c>
      <c r="AD801" s="36">
        <f>INDEX(AD$124:AD$127,$D801)*$E801*INDEX(AD$128:AD$144,$F801)</f>
        <v/>
      </c>
      <c r="AE801" s="36">
        <f>INDEX(AE$124:AE$127,$D801)*$E801*INDEX(AE$128:AE$144,$F801)</f>
        <v/>
      </c>
      <c r="AF801" s="36">
        <f>INDEX(AF$124:AF$127,$D801)*$E801*INDEX(AF$128:AF$144,$F801)</f>
        <v/>
      </c>
      <c r="AG801" s="36">
        <f>INDEX(AG$124:AG$127,$D801)*$E801*INDEX(AG$128:AG$144,$F801)</f>
        <v/>
      </c>
      <c r="AH801" s="36">
        <f>INDEX(AH$124:AH$127,$D801)*$E801*INDEX(AH$128:AH$144,$F801)</f>
        <v/>
      </c>
      <c r="AI801" s="36">
        <f>INDEX(AI$124:AI$127,$D801)*$E801*INDEX(AI$128:AI$144,$F801)</f>
        <v/>
      </c>
      <c r="AJ801" s="36">
        <f>INDEX(AJ$124:AJ$127,$D801)*$E801*INDEX(AJ$128:AJ$144,$F801)</f>
        <v/>
      </c>
      <c r="AK801" s="36">
        <f>INDEX(AK$124:AK$127,$D801)*$E801*INDEX(AK$128:AK$144,$F801)</f>
        <v/>
      </c>
      <c r="AL801" s="36">
        <f>INDEX(AL$124:AL$127,$D801)*$E801*INDEX(AL$128:AL$144,$F801)</f>
        <v/>
      </c>
      <c r="AM801" s="36">
        <f>INDEX(AM$124:AM$127,$D801)*$E801*INDEX(AM$128:AM$144,$F801)</f>
        <v/>
      </c>
      <c r="AN801" s="36">
        <f>INDEX(AN$124:AN$127,$D801)*$E801*INDEX(AN$128:AN$144,$F801)</f>
        <v/>
      </c>
    </row>
    <row r="802" hidden="1" outlineLevel="2">
      <c r="A802" s="5" t="inlineStr">
        <is>
          <t>shp</t>
        </is>
      </c>
      <c r="B802" s="5" t="inlineStr">
        <is>
          <t>oop</t>
        </is>
      </c>
      <c r="C802" s="5" t="inlineStr">
        <is>
          <t>irn</t>
        </is>
      </c>
      <c r="D802" s="36">
        <f>INDEX(Inputs!$M$5:$M$132,MATCH($B802&amp;"|"&amp;$C802,Inputs!$A$5:$A$132,0))</f>
        <v/>
      </c>
      <c r="E802" s="36">
        <f>INDEX(Inputs!$U$5:$U$132,MATCH($B802&amp;"|"&amp;$C802,Inputs!$A$5:$A$132,0))</f>
        <v/>
      </c>
      <c r="F802" s="36">
        <f>INDEX(Inputs!$K$5:$K$132,MATCH($B802&amp;"|"&amp;$C802,Inputs!$A$5:$A$132,0))</f>
        <v/>
      </c>
      <c r="G802" s="37" t="n"/>
      <c r="H802" s="5">
        <f>INDEX(Variables!$B$5:$B$65,MATCH($A802,Variables!$A$5:$A$65,0))&amp;IF($C802="",""," | "&amp;INDEX(Mapping!$B$5:$B$25,MATCH($C802,Mapping!$A$5:$A$25,0))&amp;" | "&amp;INDEX(Mapping!$B$29:$B$38,MATCH($B802,Mapping!$A$29:$A$38,0)))</f>
        <v/>
      </c>
      <c r="I802" s="5">
        <f>INDEX(Variables!$C$5:$C$65,MATCH($A802,Variables!$A$5:$A$65,0))</f>
        <v/>
      </c>
      <c r="J802" s="5">
        <f>INDEX(Variables!$E$5:$E$65,MATCH($A802,Variables!$A$5:$A$65,0))</f>
        <v/>
      </c>
      <c r="K802" s="23">
        <f>LOWER(Settings!$C$4)&amp;".mit."&amp;$A802&amp;IF($C802="","","."&amp;$C802&amp;"."&amp;$B802)&amp;IF(INDEX(Variables!$D$5:$D$65,MATCH($A802,Variables!$A$5:$A$65,0))="","","."&amp;INDEX(Variables!$D$5:$D$65,MATCH($A802,Variables!$A$5:$A$65,0)))&amp;"."&amp;K$5</f>
        <v/>
      </c>
      <c r="L802" s="38">
        <f>INDEX(L$124:L$127,$D802)*$E802*INDEX(L$128:L$144,$F802)</f>
        <v/>
      </c>
      <c r="M802" s="36">
        <f>INDEX(M$124:M$127,$D802)*$E802*INDEX(M$128:M$144,$F802)</f>
        <v/>
      </c>
      <c r="N802" s="36">
        <f>INDEX(N$124:N$127,$D802)*$E802*INDEX(N$128:N$144,$F802)</f>
        <v/>
      </c>
      <c r="O802" s="36">
        <f>INDEX(O$124:O$127,$D802)*$E802*INDEX(O$128:O$144,$F802)</f>
        <v/>
      </c>
      <c r="P802" s="36">
        <f>INDEX(P$124:P$127,$D802)*$E802*INDEX(P$128:P$144,$F802)</f>
        <v/>
      </c>
      <c r="Q802" s="36">
        <f>INDEX(Q$124:Q$127,$D802)*$E802*INDEX(Q$128:Q$144,$F802)</f>
        <v/>
      </c>
      <c r="R802" s="36">
        <f>INDEX(R$124:R$127,$D802)*$E802*INDEX(R$128:R$144,$F802)</f>
        <v/>
      </c>
      <c r="S802" s="36">
        <f>INDEX(S$124:S$127,$D802)*$E802*INDEX(S$128:S$144,$F802)</f>
        <v/>
      </c>
      <c r="T802" s="36">
        <f>INDEX(T$124:T$127,$D802)*$E802*INDEX(T$128:T$144,$F802)</f>
        <v/>
      </c>
      <c r="U802" s="36">
        <f>INDEX(U$124:U$127,$D802)*$E802*INDEX(U$128:U$144,$F802)</f>
        <v/>
      </c>
      <c r="V802" s="36">
        <f>INDEX(V$124:V$127,$D802)*$E802*INDEX(V$128:V$144,$F802)</f>
        <v/>
      </c>
      <c r="W802" s="36">
        <f>INDEX(W$124:W$127,$D802)*$E802*INDEX(W$128:W$144,$F802)</f>
        <v/>
      </c>
      <c r="X802" s="36">
        <f>INDEX(X$124:X$127,$D802)*$E802*INDEX(X$128:X$144,$F802)</f>
        <v/>
      </c>
      <c r="Y802" s="36">
        <f>INDEX(Y$124:Y$127,$D802)*$E802*INDEX(Y$128:Y$144,$F802)</f>
        <v/>
      </c>
      <c r="Z802" s="23">
        <f>LOWER(Settings!$C$4)&amp;".mit."&amp;$A802&amp;IF($C802="","","."&amp;$C802&amp;"."&amp;$B802)&amp;IF(INDEX(Variables!$D$5:$D$65,MATCH($A802,Variables!$A$5:$A$65,0))="","","."&amp;INDEX(Variables!$D$5:$D$65,MATCH($A802,Variables!$A$5:$A$65,0)))&amp;"."&amp;Z$5</f>
        <v/>
      </c>
      <c r="AA802" s="38">
        <f>INDEX(AA$124:AA$127,$D802)*$E802*INDEX(AA$128:AA$144,$F802)</f>
        <v/>
      </c>
      <c r="AB802" s="36">
        <f>INDEX(AB$124:AB$127,$D802)*$E802*INDEX(AB$128:AB$144,$F802)</f>
        <v/>
      </c>
      <c r="AC802" s="36">
        <f>INDEX(AC$124:AC$127,$D802)*$E802*INDEX(AC$128:AC$144,$F802)</f>
        <v/>
      </c>
      <c r="AD802" s="36">
        <f>INDEX(AD$124:AD$127,$D802)*$E802*INDEX(AD$128:AD$144,$F802)</f>
        <v/>
      </c>
      <c r="AE802" s="36">
        <f>INDEX(AE$124:AE$127,$D802)*$E802*INDEX(AE$128:AE$144,$F802)</f>
        <v/>
      </c>
      <c r="AF802" s="36">
        <f>INDEX(AF$124:AF$127,$D802)*$E802*INDEX(AF$128:AF$144,$F802)</f>
        <v/>
      </c>
      <c r="AG802" s="36">
        <f>INDEX(AG$124:AG$127,$D802)*$E802*INDEX(AG$128:AG$144,$F802)</f>
        <v/>
      </c>
      <c r="AH802" s="36">
        <f>INDEX(AH$124:AH$127,$D802)*$E802*INDEX(AH$128:AH$144,$F802)</f>
        <v/>
      </c>
      <c r="AI802" s="36">
        <f>INDEX(AI$124:AI$127,$D802)*$E802*INDEX(AI$128:AI$144,$F802)</f>
        <v/>
      </c>
      <c r="AJ802" s="36">
        <f>INDEX(AJ$124:AJ$127,$D802)*$E802*INDEX(AJ$128:AJ$144,$F802)</f>
        <v/>
      </c>
      <c r="AK802" s="36">
        <f>INDEX(AK$124:AK$127,$D802)*$E802*INDEX(AK$128:AK$144,$F802)</f>
        <v/>
      </c>
      <c r="AL802" s="36">
        <f>INDEX(AL$124:AL$127,$D802)*$E802*INDEX(AL$128:AL$144,$F802)</f>
        <v/>
      </c>
      <c r="AM802" s="36">
        <f>INDEX(AM$124:AM$127,$D802)*$E802*INDEX(AM$128:AM$144,$F802)</f>
        <v/>
      </c>
      <c r="AN802" s="36">
        <f>INDEX(AN$124:AN$127,$D802)*$E802*INDEX(AN$128:AN$144,$F802)</f>
        <v/>
      </c>
    </row>
    <row r="803" hidden="1" outlineLevel="2">
      <c r="A803" s="5" t="inlineStr">
        <is>
          <t>shp</t>
        </is>
      </c>
      <c r="B803" s="5" t="inlineStr">
        <is>
          <t>bio</t>
        </is>
      </c>
      <c r="C803" s="5" t="inlineStr">
        <is>
          <t>irn</t>
        </is>
      </c>
      <c r="D803" s="36">
        <f>INDEX(Inputs!$M$5:$M$132,MATCH($B803&amp;"|"&amp;$C803,Inputs!$A$5:$A$132,0))</f>
        <v/>
      </c>
      <c r="E803" s="36">
        <f>INDEX(Inputs!$U$5:$U$132,MATCH($B803&amp;"|"&amp;$C803,Inputs!$A$5:$A$132,0))</f>
        <v/>
      </c>
      <c r="F803" s="36">
        <f>INDEX(Inputs!$K$5:$K$132,MATCH($B803&amp;"|"&amp;$C803,Inputs!$A$5:$A$132,0))</f>
        <v/>
      </c>
      <c r="G803" s="37" t="n"/>
      <c r="H803" s="5">
        <f>INDEX(Variables!$B$5:$B$65,MATCH($A803,Variables!$A$5:$A$65,0))&amp;IF($C803="",""," | "&amp;INDEX(Mapping!$B$5:$B$25,MATCH($C803,Mapping!$A$5:$A$25,0))&amp;" | "&amp;INDEX(Mapping!$B$29:$B$38,MATCH($B803,Mapping!$A$29:$A$38,0)))</f>
        <v/>
      </c>
      <c r="I803" s="5">
        <f>INDEX(Variables!$C$5:$C$65,MATCH($A803,Variables!$A$5:$A$65,0))</f>
        <v/>
      </c>
      <c r="J803" s="5">
        <f>INDEX(Variables!$E$5:$E$65,MATCH($A803,Variables!$A$5:$A$65,0))</f>
        <v/>
      </c>
      <c r="K803" s="23">
        <f>LOWER(Settings!$C$4)&amp;".mit."&amp;$A803&amp;IF($C803="","","."&amp;$C803&amp;"."&amp;$B803)&amp;IF(INDEX(Variables!$D$5:$D$65,MATCH($A803,Variables!$A$5:$A$65,0))="","","."&amp;INDEX(Variables!$D$5:$D$65,MATCH($A803,Variables!$A$5:$A$65,0)))&amp;"."&amp;K$5</f>
        <v/>
      </c>
      <c r="L803" s="38">
        <f>INDEX(L$124:L$127,$D803)*$E803*INDEX(L$128:L$144,$F803)</f>
        <v/>
      </c>
      <c r="M803" s="36">
        <f>INDEX(M$124:M$127,$D803)*$E803*INDEX(M$128:M$144,$F803)</f>
        <v/>
      </c>
      <c r="N803" s="36">
        <f>INDEX(N$124:N$127,$D803)*$E803*INDEX(N$128:N$144,$F803)</f>
        <v/>
      </c>
      <c r="O803" s="36">
        <f>INDEX(O$124:O$127,$D803)*$E803*INDEX(O$128:O$144,$F803)</f>
        <v/>
      </c>
      <c r="P803" s="36">
        <f>INDEX(P$124:P$127,$D803)*$E803*INDEX(P$128:P$144,$F803)</f>
        <v/>
      </c>
      <c r="Q803" s="36">
        <f>INDEX(Q$124:Q$127,$D803)*$E803*INDEX(Q$128:Q$144,$F803)</f>
        <v/>
      </c>
      <c r="R803" s="36">
        <f>INDEX(R$124:R$127,$D803)*$E803*INDEX(R$128:R$144,$F803)</f>
        <v/>
      </c>
      <c r="S803" s="36">
        <f>INDEX(S$124:S$127,$D803)*$E803*INDEX(S$128:S$144,$F803)</f>
        <v/>
      </c>
      <c r="T803" s="36">
        <f>INDEX(T$124:T$127,$D803)*$E803*INDEX(T$128:T$144,$F803)</f>
        <v/>
      </c>
      <c r="U803" s="36">
        <f>INDEX(U$124:U$127,$D803)*$E803*INDEX(U$128:U$144,$F803)</f>
        <v/>
      </c>
      <c r="V803" s="36">
        <f>INDEX(V$124:V$127,$D803)*$E803*INDEX(V$128:V$144,$F803)</f>
        <v/>
      </c>
      <c r="W803" s="36">
        <f>INDEX(W$124:W$127,$D803)*$E803*INDEX(W$128:W$144,$F803)</f>
        <v/>
      </c>
      <c r="X803" s="36">
        <f>INDEX(X$124:X$127,$D803)*$E803*INDEX(X$128:X$144,$F803)</f>
        <v/>
      </c>
      <c r="Y803" s="36">
        <f>INDEX(Y$124:Y$127,$D803)*$E803*INDEX(Y$128:Y$144,$F803)</f>
        <v/>
      </c>
      <c r="Z803" s="23">
        <f>LOWER(Settings!$C$4)&amp;".mit."&amp;$A803&amp;IF($C803="","","."&amp;$C803&amp;"."&amp;$B803)&amp;IF(INDEX(Variables!$D$5:$D$65,MATCH($A803,Variables!$A$5:$A$65,0))="","","."&amp;INDEX(Variables!$D$5:$D$65,MATCH($A803,Variables!$A$5:$A$65,0)))&amp;"."&amp;Z$5</f>
        <v/>
      </c>
      <c r="AA803" s="38">
        <f>INDEX(AA$124:AA$127,$D803)*$E803*INDEX(AA$128:AA$144,$F803)</f>
        <v/>
      </c>
      <c r="AB803" s="36">
        <f>INDEX(AB$124:AB$127,$D803)*$E803*INDEX(AB$128:AB$144,$F803)</f>
        <v/>
      </c>
      <c r="AC803" s="36">
        <f>INDEX(AC$124:AC$127,$D803)*$E803*INDEX(AC$128:AC$144,$F803)</f>
        <v/>
      </c>
      <c r="AD803" s="36">
        <f>INDEX(AD$124:AD$127,$D803)*$E803*INDEX(AD$128:AD$144,$F803)</f>
        <v/>
      </c>
      <c r="AE803" s="36">
        <f>INDEX(AE$124:AE$127,$D803)*$E803*INDEX(AE$128:AE$144,$F803)</f>
        <v/>
      </c>
      <c r="AF803" s="36">
        <f>INDEX(AF$124:AF$127,$D803)*$E803*INDEX(AF$128:AF$144,$F803)</f>
        <v/>
      </c>
      <c r="AG803" s="36">
        <f>INDEX(AG$124:AG$127,$D803)*$E803*INDEX(AG$128:AG$144,$F803)</f>
        <v/>
      </c>
      <c r="AH803" s="36">
        <f>INDEX(AH$124:AH$127,$D803)*$E803*INDEX(AH$128:AH$144,$F803)</f>
        <v/>
      </c>
      <c r="AI803" s="36">
        <f>INDEX(AI$124:AI$127,$D803)*$E803*INDEX(AI$128:AI$144,$F803)</f>
        <v/>
      </c>
      <c r="AJ803" s="36">
        <f>INDEX(AJ$124:AJ$127,$D803)*$E803*INDEX(AJ$128:AJ$144,$F803)</f>
        <v/>
      </c>
      <c r="AK803" s="36">
        <f>INDEX(AK$124:AK$127,$D803)*$E803*INDEX(AK$128:AK$144,$F803)</f>
        <v/>
      </c>
      <c r="AL803" s="36">
        <f>INDEX(AL$124:AL$127,$D803)*$E803*INDEX(AL$128:AL$144,$F803)</f>
        <v/>
      </c>
      <c r="AM803" s="36">
        <f>INDEX(AM$124:AM$127,$D803)*$E803*INDEX(AM$128:AM$144,$F803)</f>
        <v/>
      </c>
      <c r="AN803" s="36">
        <f>INDEX(AN$124:AN$127,$D803)*$E803*INDEX(AN$128:AN$144,$F803)</f>
        <v/>
      </c>
    </row>
    <row r="804" hidden="1" outlineLevel="2"/>
    <row r="805" hidden="1" outlineLevel="2">
      <c r="A805" s="5" t="inlineStr">
        <is>
          <t>ener</t>
        </is>
      </c>
      <c r="B805" s="5" t="inlineStr">
        <is>
          <t>coa</t>
        </is>
      </c>
      <c r="C805" s="5" t="inlineStr">
        <is>
          <t>irn</t>
        </is>
      </c>
      <c r="D805" s="36">
        <f>INDEX(Inputs!$N$5:$N$132,MATCH($B805&amp;"|"&amp;$C805,Inputs!$A$5:$A$132,0))</f>
        <v/>
      </c>
      <c r="E805" s="36">
        <f>INDEX(Inputs!$O$5:$O$132,MATCH($B805&amp;"|"&amp;$C805,Inputs!$A$5:$A$132,0))</f>
        <v/>
      </c>
      <c r="F805" s="36">
        <f>INDEX(Inputs!$P$5:$P$132,MATCH($B805&amp;"|"&amp;$C805,Inputs!$A$5:$A$132,0))</f>
        <v/>
      </c>
      <c r="G805" s="36">
        <f>INDEX(Inputs!$Q$5:$Q$132,MATCH($B805&amp;"|"&amp;$C805,Inputs!$A$5:$A$132,0))</f>
        <v/>
      </c>
      <c r="H805" s="5">
        <f>INDEX(Variables!$B$5:$B$65,MATCH($A805,Variables!$A$5:$A$65,0))&amp;IF($C805="",""," | "&amp;INDEX(Mapping!$B$5:$B$25,MATCH($C805,Mapping!$A$5:$A$25,0))&amp;" | "&amp;INDEX(Mapping!$B$29:$B$38,MATCH($B805,Mapping!$A$29:$A$38,0)))</f>
        <v/>
      </c>
      <c r="I805" s="5">
        <f>INDEX(Variables!$C$5:$C$65,MATCH($A805,Variables!$A$5:$A$65,0))</f>
        <v/>
      </c>
      <c r="J805" s="5">
        <f>INDEX(Variables!$E$5:$E$65,MATCH($A805,Variables!$A$5:$A$65,0))</f>
        <v/>
      </c>
      <c r="K805" s="23">
        <f>LOWER(Settings!$C$4)&amp;".mit."&amp;$A805&amp;IF($C805="","","."&amp;$C805&amp;"."&amp;$B805)&amp;IF(INDEX(Variables!$D$5:$D$65,MATCH($A805,Variables!$A$5:$A$65,0))="","","."&amp;INDEX(Variables!$D$5:$D$65,MATCH($A805,Variables!$A$5:$A$65,0)))&amp;"."&amp;K$5</f>
        <v/>
      </c>
      <c r="L805" s="40">
        <f>INDEX(Inputs!$V$5:$V$132,MATCH($B805&amp;"|"&amp;$C805,Inputs!$A$5:$A$132,0))</f>
        <v/>
      </c>
      <c r="M805" s="41">
        <f>L805*(1/(1+$G805))^(1+$E805)*(1+M$7)^$D805*(M787/L787)^$E805*((M787+M796)/(L787+L796))^($F805*(1+$E805))</f>
        <v/>
      </c>
      <c r="N805" s="41">
        <f>M805*(1/(1+$G805))^(1+$E805)*(1+N$7)^$D805*(N787/M787)^$E805*((N787+N796)/(M787+M796))^($F805*(1+$E805))</f>
        <v/>
      </c>
      <c r="O805" s="41">
        <f>N805*(1/(1+$G805))^(1+$E805)*(1+O$7)^$D805*(O787/N787)^$E805*((O787+O796)/(N787+N796))^($F805*(1+$E805))</f>
        <v/>
      </c>
      <c r="P805" s="41">
        <f>O805*(1/(1+$G805))^(1+$E805)*(1+P$7)^$D805*(P787/O787)^$E805*((P787+P796)/(O787+O796))^($F805*(1+$E805))</f>
        <v/>
      </c>
      <c r="Q805" s="41">
        <f>P805*(1/(1+$G805))^(1+$E805)*(1+Q$7)^$D805*(Q787/P787)^$E805*((Q787+Q796)/(P787+P796))^($F805*(1+$E805))</f>
        <v/>
      </c>
      <c r="R805" s="41">
        <f>Q805*(1/(1+$G805))^(1+$E805)*(1+R$7)^$D805*(R787/Q787)^$E805*((R787+R796)/(Q787+Q796))^($F805*(1+$E805))</f>
        <v/>
      </c>
      <c r="S805" s="41">
        <f>R805*(1/(1+$G805))^(1+$E805)*(1+S$7)^$D805*(S787/R787)^$E805*((S787+S796)/(R787+R796))^($F805*(1+$E805))</f>
        <v/>
      </c>
      <c r="T805" s="41">
        <f>S805*(1/(1+$G805))^(1+$E805)*(1+T$7)^$D805*(T787/S787)^$E805*((T787+T796)/(S787+S796))^($F805*(1+$E805))</f>
        <v/>
      </c>
      <c r="U805" s="41">
        <f>T805*(1/(1+$G805))^(1+$E805)*(1+U$7)^$D805*(U787/T787)^$E805*((U787+U796)/(T787+T796))^($F805*(1+$E805))</f>
        <v/>
      </c>
      <c r="V805" s="41">
        <f>U805*(1/(1+$G805))^(1+$E805)*(1+V$7)^$D805*(V787/U787)^$E805*((V787+V796)/(U787+U796))^($F805*(1+$E805))</f>
        <v/>
      </c>
      <c r="W805" s="41">
        <f>V805*(1/(1+$G805))^(1+$E805)*(1+W$7)^$D805*(W787/V787)^$E805*((W787+W796)/(V787+V796))^($F805*(1+$E805))</f>
        <v/>
      </c>
      <c r="X805" s="41">
        <f>W805*(1/(1+$G805))^(1+$E805)*(1+X$7)^$D805*(X787/W787)^$E805*((X787+X796)/(W787+W796))^($F805*(1+$E805))</f>
        <v/>
      </c>
      <c r="Y805" s="42">
        <f>FUELUSE(X805,Y787,X787,Y796,X796,Y$7,$D805,$E805,$F805,$G805)</f>
        <v/>
      </c>
      <c r="Z805" s="23">
        <f>LOWER(Settings!$C$4)&amp;".mit."&amp;$A805&amp;IF($C805="","","."&amp;$C805&amp;"."&amp;$B805)&amp;IF(INDEX(Variables!$D$5:$D$65,MATCH($A805,Variables!$A$5:$A$65,0))="","","."&amp;INDEX(Variables!$D$5:$D$65,MATCH($A805,Variables!$A$5:$A$65,0)))&amp;"."&amp;Z$5</f>
        <v/>
      </c>
      <c r="AA805" s="40">
        <f>INDEX(Inputs!$V$5:$V$132,MATCH($B805&amp;"|"&amp;$C805,Inputs!$A$5:$A$132,0))</f>
        <v/>
      </c>
      <c r="AB805" s="41">
        <f>AA805*(1/(1+$G805))^(1+$E805)*(1+AB$7)^$D805*(AB787/AA787)^$E805*((AB787+AB796)/(AA787+AA796))^($F805*(1+$E805))</f>
        <v/>
      </c>
      <c r="AC805" s="41">
        <f>AB805*(1/(1+$G805))^(1+$E805)*(1+AC$7)^$D805*(AC787/AB787)^$E805*((AC787+AC796)/(AB787+AB796))^($F805*(1+$E805))</f>
        <v/>
      </c>
      <c r="AD805" s="41">
        <f>AC805*(1/(1+$G805))^(1+$E805)*(1+AD$7)^$D805*(AD787/AC787)^$E805*((AD787+AD796)/(AC787+AC796))^($F805*(1+$E805))</f>
        <v/>
      </c>
      <c r="AE805" s="41">
        <f>AD805*(1/(1+$G805))^(1+$E805)*(1+AE$7)^$D805*(AE787/AD787)^$E805*((AE787+AE796)/(AD787+AD796))^($F805*(1+$E805))</f>
        <v/>
      </c>
      <c r="AF805" s="41">
        <f>AE805*(1/(1+$G805))^(1+$E805)*(1+AF$7)^$D805*(AF787/AE787)^$E805*((AF787+AF796)/(AE787+AE796))^($F805*(1+$E805))</f>
        <v/>
      </c>
      <c r="AG805" s="41">
        <f>AF805*(1/(1+$G805))^(1+$E805)*(1+AG$7)^$D805*(AG787/AF787)^$E805*((AG787+AG796)/(AF787+AF796))^($F805*(1+$E805))</f>
        <v/>
      </c>
      <c r="AH805" s="41">
        <f>AG805*(1/(1+$G805))^(1+$E805)*(1+AH$7)^$D805*(AH787/AG787)^$E805*((AH787+AH796)/(AG787+AG796))^($F805*(1+$E805))</f>
        <v/>
      </c>
      <c r="AI805" s="41">
        <f>AH805*(1/(1+$G805))^(1+$E805)*(1+AI$7)^$D805*(AI787/AH787)^$E805*((AI787+AI796)/(AH787+AH796))^($F805*(1+$E805))</f>
        <v/>
      </c>
      <c r="AJ805" s="41">
        <f>AI805*(1/(1+$G805))^(1+$E805)*(1+AJ$7)^$D805*(AJ787/AI787)^$E805*((AJ787+AJ796)/(AI787+AI796))^($F805*(1+$E805))</f>
        <v/>
      </c>
      <c r="AK805" s="41">
        <f>AJ805*(1/(1+$G805))^(1+$E805)*(1+AK$7)^$D805*(AK787/AJ787)^$E805*((AK787+AK796)/(AJ787+AJ796))^($F805*(1+$E805))</f>
        <v/>
      </c>
      <c r="AL805" s="41">
        <f>AK805*(1/(1+$G805))^(1+$E805)*(1+AL$7)^$D805*(AL787/AK787)^$E805*((AL787+AL796)/(AK787+AK796))^($F805*(1+$E805))</f>
        <v/>
      </c>
      <c r="AM805" s="41">
        <f>AL805*(1/(1+$G805))^(1+$E805)*(1+AM$7)^$D805*(AM787/AL787)^$E805*((AM787+AM796)/(AL787+AL796))^($F805*(1+$E805))</f>
        <v/>
      </c>
      <c r="AN805" s="42">
        <f>FUELUSE(AM805,AN787,AM787,AN796,AM796,AN$7,$D805,$E805,$F805,$G805)</f>
        <v/>
      </c>
    </row>
    <row r="806" hidden="1" outlineLevel="2">
      <c r="A806" s="5" t="inlineStr">
        <is>
          <t>ener</t>
        </is>
      </c>
      <c r="B806" s="5" t="inlineStr">
        <is>
          <t>nga</t>
        </is>
      </c>
      <c r="C806" s="5" t="inlineStr">
        <is>
          <t>irn</t>
        </is>
      </c>
      <c r="D806" s="36">
        <f>INDEX(Inputs!$N$5:$N$132,MATCH($B806&amp;"|"&amp;$C806,Inputs!$A$5:$A$132,0))</f>
        <v/>
      </c>
      <c r="E806" s="36">
        <f>INDEX(Inputs!$O$5:$O$132,MATCH($B806&amp;"|"&amp;$C806,Inputs!$A$5:$A$132,0))</f>
        <v/>
      </c>
      <c r="F806" s="36">
        <f>INDEX(Inputs!$P$5:$P$132,MATCH($B806&amp;"|"&amp;$C806,Inputs!$A$5:$A$132,0))</f>
        <v/>
      </c>
      <c r="G806" s="36">
        <f>INDEX(Inputs!$Q$5:$Q$132,MATCH($B806&amp;"|"&amp;$C806,Inputs!$A$5:$A$132,0))</f>
        <v/>
      </c>
      <c r="H806" s="5">
        <f>INDEX(Variables!$B$5:$B$65,MATCH($A806,Variables!$A$5:$A$65,0))&amp;IF($C806="",""," | "&amp;INDEX(Mapping!$B$5:$B$25,MATCH($C806,Mapping!$A$5:$A$25,0))&amp;" | "&amp;INDEX(Mapping!$B$29:$B$38,MATCH($B806,Mapping!$A$29:$A$38,0)))</f>
        <v/>
      </c>
      <c r="I806" s="5">
        <f>INDEX(Variables!$C$5:$C$65,MATCH($A806,Variables!$A$5:$A$65,0))</f>
        <v/>
      </c>
      <c r="J806" s="5">
        <f>INDEX(Variables!$E$5:$E$65,MATCH($A806,Variables!$A$5:$A$65,0))</f>
        <v/>
      </c>
      <c r="K806" s="23">
        <f>LOWER(Settings!$C$4)&amp;".mit."&amp;$A806&amp;IF($C806="","","."&amp;$C806&amp;"."&amp;$B806)&amp;IF(INDEX(Variables!$D$5:$D$65,MATCH($A806,Variables!$A$5:$A$65,0))="","","."&amp;INDEX(Variables!$D$5:$D$65,MATCH($A806,Variables!$A$5:$A$65,0)))&amp;"."&amp;K$5</f>
        <v/>
      </c>
      <c r="L806" s="40">
        <f>INDEX(Inputs!$V$5:$V$132,MATCH($B806&amp;"|"&amp;$C806,Inputs!$A$5:$A$132,0))</f>
        <v/>
      </c>
      <c r="M806" s="41">
        <f>L806*(1/(1+$G806))^(1+$E806)*(1+M$7)^$D806*(M788/L788)^$E806*((M788+M797)/(L788+L797))^($F806*(1+$E806))</f>
        <v/>
      </c>
      <c r="N806" s="41">
        <f>M806*(1/(1+$G806))^(1+$E806)*(1+N$7)^$D806*(N788/M788)^$E806*((N788+N797)/(M788+M797))^($F806*(1+$E806))</f>
        <v/>
      </c>
      <c r="O806" s="41">
        <f>N806*(1/(1+$G806))^(1+$E806)*(1+O$7)^$D806*(O788/N788)^$E806*((O788+O797)/(N788+N797))^($F806*(1+$E806))</f>
        <v/>
      </c>
      <c r="P806" s="41">
        <f>O806*(1/(1+$G806))^(1+$E806)*(1+P$7)^$D806*(P788/O788)^$E806*((P788+P797)/(O788+O797))^($F806*(1+$E806))</f>
        <v/>
      </c>
      <c r="Q806" s="41">
        <f>P806*(1/(1+$G806))^(1+$E806)*(1+Q$7)^$D806*(Q788/P788)^$E806*((Q788+Q797)/(P788+P797))^($F806*(1+$E806))</f>
        <v/>
      </c>
      <c r="R806" s="41">
        <f>Q806*(1/(1+$G806))^(1+$E806)*(1+R$7)^$D806*(R788/Q788)^$E806*((R788+R797)/(Q788+Q797))^($F806*(1+$E806))</f>
        <v/>
      </c>
      <c r="S806" s="41">
        <f>R806*(1/(1+$G806))^(1+$E806)*(1+S$7)^$D806*(S788/R788)^$E806*((S788+S797)/(R788+R797))^($F806*(1+$E806))</f>
        <v/>
      </c>
      <c r="T806" s="41">
        <f>S806*(1/(1+$G806))^(1+$E806)*(1+T$7)^$D806*(T788/S788)^$E806*((T788+T797)/(S788+S797))^($F806*(1+$E806))</f>
        <v/>
      </c>
      <c r="U806" s="41">
        <f>T806*(1/(1+$G806))^(1+$E806)*(1+U$7)^$D806*(U788/T788)^$E806*((U788+U797)/(T788+T797))^($F806*(1+$E806))</f>
        <v/>
      </c>
      <c r="V806" s="41">
        <f>U806*(1/(1+$G806))^(1+$E806)*(1+V$7)^$D806*(V788/U788)^$E806*((V788+V797)/(U788+U797))^($F806*(1+$E806))</f>
        <v/>
      </c>
      <c r="W806" s="41">
        <f>V806*(1/(1+$G806))^(1+$E806)*(1+W$7)^$D806*(W788/V788)^$E806*((W788+W797)/(V788+V797))^($F806*(1+$E806))</f>
        <v/>
      </c>
      <c r="X806" s="41">
        <f>W806*(1/(1+$G806))^(1+$E806)*(1+X$7)^$D806*(X788/W788)^$E806*((X788+X797)/(W788+W797))^($F806*(1+$E806))</f>
        <v/>
      </c>
      <c r="Y806" s="42">
        <f>FUELUSE(X806,Y788,X788,Y797,X797,Y$7,$D806,$E806,$F806,$G806)</f>
        <v/>
      </c>
      <c r="Z806" s="23">
        <f>LOWER(Settings!$C$4)&amp;".mit."&amp;$A806&amp;IF($C806="","","."&amp;$C806&amp;"."&amp;$B806)&amp;IF(INDEX(Variables!$D$5:$D$65,MATCH($A806,Variables!$A$5:$A$65,0))="","","."&amp;INDEX(Variables!$D$5:$D$65,MATCH($A806,Variables!$A$5:$A$65,0)))&amp;"."&amp;Z$5</f>
        <v/>
      </c>
      <c r="AA806" s="40">
        <f>INDEX(Inputs!$V$5:$V$132,MATCH($B806&amp;"|"&amp;$C806,Inputs!$A$5:$A$132,0))</f>
        <v/>
      </c>
      <c r="AB806" s="41">
        <f>AA806*(1/(1+$G806))^(1+$E806)*(1+AB$7)^$D806*(AB788/AA788)^$E806*((AB788+AB797)/(AA788+AA797))^($F806*(1+$E806))</f>
        <v/>
      </c>
      <c r="AC806" s="41">
        <f>AB806*(1/(1+$G806))^(1+$E806)*(1+AC$7)^$D806*(AC788/AB788)^$E806*((AC788+AC797)/(AB788+AB797))^($F806*(1+$E806))</f>
        <v/>
      </c>
      <c r="AD806" s="41">
        <f>AC806*(1/(1+$G806))^(1+$E806)*(1+AD$7)^$D806*(AD788/AC788)^$E806*((AD788+AD797)/(AC788+AC797))^($F806*(1+$E806))</f>
        <v/>
      </c>
      <c r="AE806" s="41">
        <f>AD806*(1/(1+$G806))^(1+$E806)*(1+AE$7)^$D806*(AE788/AD788)^$E806*((AE788+AE797)/(AD788+AD797))^($F806*(1+$E806))</f>
        <v/>
      </c>
      <c r="AF806" s="41">
        <f>AE806*(1/(1+$G806))^(1+$E806)*(1+AF$7)^$D806*(AF788/AE788)^$E806*((AF788+AF797)/(AE788+AE797))^($F806*(1+$E806))</f>
        <v/>
      </c>
      <c r="AG806" s="41">
        <f>AF806*(1/(1+$G806))^(1+$E806)*(1+AG$7)^$D806*(AG788/AF788)^$E806*((AG788+AG797)/(AF788+AF797))^($F806*(1+$E806))</f>
        <v/>
      </c>
      <c r="AH806" s="41">
        <f>AG806*(1/(1+$G806))^(1+$E806)*(1+AH$7)^$D806*(AH788/AG788)^$E806*((AH788+AH797)/(AG788+AG797))^($F806*(1+$E806))</f>
        <v/>
      </c>
      <c r="AI806" s="41">
        <f>AH806*(1/(1+$G806))^(1+$E806)*(1+AI$7)^$D806*(AI788/AH788)^$E806*((AI788+AI797)/(AH788+AH797))^($F806*(1+$E806))</f>
        <v/>
      </c>
      <c r="AJ806" s="41">
        <f>AI806*(1/(1+$G806))^(1+$E806)*(1+AJ$7)^$D806*(AJ788/AI788)^$E806*((AJ788+AJ797)/(AI788+AI797))^($F806*(1+$E806))</f>
        <v/>
      </c>
      <c r="AK806" s="41">
        <f>AJ806*(1/(1+$G806))^(1+$E806)*(1+AK$7)^$D806*(AK788/AJ788)^$E806*((AK788+AK797)/(AJ788+AJ797))^($F806*(1+$E806))</f>
        <v/>
      </c>
      <c r="AL806" s="41">
        <f>AK806*(1/(1+$G806))^(1+$E806)*(1+AL$7)^$D806*(AL788/AK788)^$E806*((AL788+AL797)/(AK788+AK797))^($F806*(1+$E806))</f>
        <v/>
      </c>
      <c r="AM806" s="41">
        <f>AL806*(1/(1+$G806))^(1+$E806)*(1+AM$7)^$D806*(AM788/AL788)^$E806*((AM788+AM797)/(AL788+AL797))^($F806*(1+$E806))</f>
        <v/>
      </c>
      <c r="AN806" s="42">
        <f>FUELUSE(AM806,AN788,AM788,AN797,AM797,AN$7,$D806,$E806,$F806,$G806)</f>
        <v/>
      </c>
    </row>
    <row r="807" hidden="1" outlineLevel="2">
      <c r="A807" s="5" t="inlineStr">
        <is>
          <t>ener</t>
        </is>
      </c>
      <c r="B807" s="5" t="inlineStr">
        <is>
          <t>gso</t>
        </is>
      </c>
      <c r="C807" s="5" t="inlineStr">
        <is>
          <t>irn</t>
        </is>
      </c>
      <c r="D807" s="36">
        <f>INDEX(Inputs!$N$5:$N$132,MATCH($B807&amp;"|"&amp;$C807,Inputs!$A$5:$A$132,0))</f>
        <v/>
      </c>
      <c r="E807" s="36">
        <f>INDEX(Inputs!$O$5:$O$132,MATCH($B807&amp;"|"&amp;$C807,Inputs!$A$5:$A$132,0))</f>
        <v/>
      </c>
      <c r="F807" s="36">
        <f>INDEX(Inputs!$P$5:$P$132,MATCH($B807&amp;"|"&amp;$C807,Inputs!$A$5:$A$132,0))</f>
        <v/>
      </c>
      <c r="G807" s="36">
        <f>INDEX(Inputs!$Q$5:$Q$132,MATCH($B807&amp;"|"&amp;$C807,Inputs!$A$5:$A$132,0))</f>
        <v/>
      </c>
      <c r="H807" s="5">
        <f>INDEX(Variables!$B$5:$B$65,MATCH($A807,Variables!$A$5:$A$65,0))&amp;IF($C807="",""," | "&amp;INDEX(Mapping!$B$5:$B$25,MATCH($C807,Mapping!$A$5:$A$25,0))&amp;" | "&amp;INDEX(Mapping!$B$29:$B$38,MATCH($B807,Mapping!$A$29:$A$38,0)))</f>
        <v/>
      </c>
      <c r="I807" s="5">
        <f>INDEX(Variables!$C$5:$C$65,MATCH($A807,Variables!$A$5:$A$65,0))</f>
        <v/>
      </c>
      <c r="J807" s="5">
        <f>INDEX(Variables!$E$5:$E$65,MATCH($A807,Variables!$A$5:$A$65,0))</f>
        <v/>
      </c>
      <c r="K807" s="23">
        <f>LOWER(Settings!$C$4)&amp;".mit."&amp;$A807&amp;IF($C807="","","."&amp;$C807&amp;"."&amp;$B807)&amp;IF(INDEX(Variables!$D$5:$D$65,MATCH($A807,Variables!$A$5:$A$65,0))="","","."&amp;INDEX(Variables!$D$5:$D$65,MATCH($A807,Variables!$A$5:$A$65,0)))&amp;"."&amp;K$5</f>
        <v/>
      </c>
      <c r="L807" s="40">
        <f>INDEX(Inputs!$V$5:$V$132,MATCH($B807&amp;"|"&amp;$C807,Inputs!$A$5:$A$132,0))</f>
        <v/>
      </c>
      <c r="M807" s="41">
        <f>L807*(1/(1+$G807))^(1+$E807)*(1+M$7)^$D807*(M789/L789)^$E807*((M789+M798)/(L789+L798))^($F807*(1+$E807))</f>
        <v/>
      </c>
      <c r="N807" s="41">
        <f>M807*(1/(1+$G807))^(1+$E807)*(1+N$7)^$D807*(N789/M789)^$E807*((N789+N798)/(M789+M798))^($F807*(1+$E807))</f>
        <v/>
      </c>
      <c r="O807" s="41">
        <f>N807*(1/(1+$G807))^(1+$E807)*(1+O$7)^$D807*(O789/N789)^$E807*((O789+O798)/(N789+N798))^($F807*(1+$E807))</f>
        <v/>
      </c>
      <c r="P807" s="41">
        <f>O807*(1/(1+$G807))^(1+$E807)*(1+P$7)^$D807*(P789/O789)^$E807*((P789+P798)/(O789+O798))^($F807*(1+$E807))</f>
        <v/>
      </c>
      <c r="Q807" s="41">
        <f>P807*(1/(1+$G807))^(1+$E807)*(1+Q$7)^$D807*(Q789/P789)^$E807*((Q789+Q798)/(P789+P798))^($F807*(1+$E807))</f>
        <v/>
      </c>
      <c r="R807" s="41">
        <f>Q807*(1/(1+$G807))^(1+$E807)*(1+R$7)^$D807*(R789/Q789)^$E807*((R789+R798)/(Q789+Q798))^($F807*(1+$E807))</f>
        <v/>
      </c>
      <c r="S807" s="41">
        <f>R807*(1/(1+$G807))^(1+$E807)*(1+S$7)^$D807*(S789/R789)^$E807*((S789+S798)/(R789+R798))^($F807*(1+$E807))</f>
        <v/>
      </c>
      <c r="T807" s="41">
        <f>S807*(1/(1+$G807))^(1+$E807)*(1+T$7)^$D807*(T789/S789)^$E807*((T789+T798)/(S789+S798))^($F807*(1+$E807))</f>
        <v/>
      </c>
      <c r="U807" s="41">
        <f>T807*(1/(1+$G807))^(1+$E807)*(1+U$7)^$D807*(U789/T789)^$E807*((U789+U798)/(T789+T798))^($F807*(1+$E807))</f>
        <v/>
      </c>
      <c r="V807" s="41">
        <f>U807*(1/(1+$G807))^(1+$E807)*(1+V$7)^$D807*(V789/U789)^$E807*((V789+V798)/(U789+U798))^($F807*(1+$E807))</f>
        <v/>
      </c>
      <c r="W807" s="41">
        <f>V807*(1/(1+$G807))^(1+$E807)*(1+W$7)^$D807*(W789/V789)^$E807*((W789+W798)/(V789+V798))^($F807*(1+$E807))</f>
        <v/>
      </c>
      <c r="X807" s="41">
        <f>W807*(1/(1+$G807))^(1+$E807)*(1+X$7)^$D807*(X789/W789)^$E807*((X789+X798)/(W789+W798))^($F807*(1+$E807))</f>
        <v/>
      </c>
      <c r="Y807" s="42">
        <f>FUELUSE(X807,Y789,X789,Y798,X798,Y$7,$D807,$E807,$F807,$G807)</f>
        <v/>
      </c>
      <c r="Z807" s="23">
        <f>LOWER(Settings!$C$4)&amp;".mit."&amp;$A807&amp;IF($C807="","","."&amp;$C807&amp;"."&amp;$B807)&amp;IF(INDEX(Variables!$D$5:$D$65,MATCH($A807,Variables!$A$5:$A$65,0))="","","."&amp;INDEX(Variables!$D$5:$D$65,MATCH($A807,Variables!$A$5:$A$65,0)))&amp;"."&amp;Z$5</f>
        <v/>
      </c>
      <c r="AA807" s="40">
        <f>INDEX(Inputs!$V$5:$V$132,MATCH($B807&amp;"|"&amp;$C807,Inputs!$A$5:$A$132,0))</f>
        <v/>
      </c>
      <c r="AB807" s="41">
        <f>AA807*(1/(1+$G807))^(1+$E807)*(1+AB$7)^$D807*(AB789/AA789)^$E807*((AB789+AB798)/(AA789+AA798))^($F807*(1+$E807))</f>
        <v/>
      </c>
      <c r="AC807" s="41">
        <f>AB807*(1/(1+$G807))^(1+$E807)*(1+AC$7)^$D807*(AC789/AB789)^$E807*((AC789+AC798)/(AB789+AB798))^($F807*(1+$E807))</f>
        <v/>
      </c>
      <c r="AD807" s="41">
        <f>AC807*(1/(1+$G807))^(1+$E807)*(1+AD$7)^$D807*(AD789/AC789)^$E807*((AD789+AD798)/(AC789+AC798))^($F807*(1+$E807))</f>
        <v/>
      </c>
      <c r="AE807" s="41">
        <f>AD807*(1/(1+$G807))^(1+$E807)*(1+AE$7)^$D807*(AE789/AD789)^$E807*((AE789+AE798)/(AD789+AD798))^($F807*(1+$E807))</f>
        <v/>
      </c>
      <c r="AF807" s="41">
        <f>AE807*(1/(1+$G807))^(1+$E807)*(1+AF$7)^$D807*(AF789/AE789)^$E807*((AF789+AF798)/(AE789+AE798))^($F807*(1+$E807))</f>
        <v/>
      </c>
      <c r="AG807" s="41">
        <f>AF807*(1/(1+$G807))^(1+$E807)*(1+AG$7)^$D807*(AG789/AF789)^$E807*((AG789+AG798)/(AF789+AF798))^($F807*(1+$E807))</f>
        <v/>
      </c>
      <c r="AH807" s="41">
        <f>AG807*(1/(1+$G807))^(1+$E807)*(1+AH$7)^$D807*(AH789/AG789)^$E807*((AH789+AH798)/(AG789+AG798))^($F807*(1+$E807))</f>
        <v/>
      </c>
      <c r="AI807" s="41">
        <f>AH807*(1/(1+$G807))^(1+$E807)*(1+AI$7)^$D807*(AI789/AH789)^$E807*((AI789+AI798)/(AH789+AH798))^($F807*(1+$E807))</f>
        <v/>
      </c>
      <c r="AJ807" s="41">
        <f>AI807*(1/(1+$G807))^(1+$E807)*(1+AJ$7)^$D807*(AJ789/AI789)^$E807*((AJ789+AJ798)/(AI789+AI798))^($F807*(1+$E807))</f>
        <v/>
      </c>
      <c r="AK807" s="41">
        <f>AJ807*(1/(1+$G807))^(1+$E807)*(1+AK$7)^$D807*(AK789/AJ789)^$E807*((AK789+AK798)/(AJ789+AJ798))^($F807*(1+$E807))</f>
        <v/>
      </c>
      <c r="AL807" s="41">
        <f>AK807*(1/(1+$G807))^(1+$E807)*(1+AL$7)^$D807*(AL789/AK789)^$E807*((AL789+AL798)/(AK789+AK798))^($F807*(1+$E807))</f>
        <v/>
      </c>
      <c r="AM807" s="41">
        <f>AL807*(1/(1+$G807))^(1+$E807)*(1+AM$7)^$D807*(AM789/AL789)^$E807*((AM789+AM798)/(AL789+AL798))^($F807*(1+$E807))</f>
        <v/>
      </c>
      <c r="AN807" s="42">
        <f>FUELUSE(AM807,AN789,AM789,AN798,AM798,AN$7,$D807,$E807,$F807,$G807)</f>
        <v/>
      </c>
    </row>
    <row r="808" hidden="1" outlineLevel="2">
      <c r="A808" s="5" t="inlineStr">
        <is>
          <t>ener</t>
        </is>
      </c>
      <c r="B808" s="5" t="inlineStr">
        <is>
          <t>die</t>
        </is>
      </c>
      <c r="C808" s="5" t="inlineStr">
        <is>
          <t>irn</t>
        </is>
      </c>
      <c r="D808" s="36">
        <f>INDEX(Inputs!$N$5:$N$132,MATCH($B808&amp;"|"&amp;$C808,Inputs!$A$5:$A$132,0))</f>
        <v/>
      </c>
      <c r="E808" s="36">
        <f>INDEX(Inputs!$O$5:$O$132,MATCH($B808&amp;"|"&amp;$C808,Inputs!$A$5:$A$132,0))</f>
        <v/>
      </c>
      <c r="F808" s="36">
        <f>INDEX(Inputs!$P$5:$P$132,MATCH($B808&amp;"|"&amp;$C808,Inputs!$A$5:$A$132,0))</f>
        <v/>
      </c>
      <c r="G808" s="36">
        <f>INDEX(Inputs!$Q$5:$Q$132,MATCH($B808&amp;"|"&amp;$C808,Inputs!$A$5:$A$132,0))</f>
        <v/>
      </c>
      <c r="H808" s="5">
        <f>INDEX(Variables!$B$5:$B$65,MATCH($A808,Variables!$A$5:$A$65,0))&amp;IF($C808="",""," | "&amp;INDEX(Mapping!$B$5:$B$25,MATCH($C808,Mapping!$A$5:$A$25,0))&amp;" | "&amp;INDEX(Mapping!$B$29:$B$38,MATCH($B808,Mapping!$A$29:$A$38,0)))</f>
        <v/>
      </c>
      <c r="I808" s="5">
        <f>INDEX(Variables!$C$5:$C$65,MATCH($A808,Variables!$A$5:$A$65,0))</f>
        <v/>
      </c>
      <c r="J808" s="5">
        <f>INDEX(Variables!$E$5:$E$65,MATCH($A808,Variables!$A$5:$A$65,0))</f>
        <v/>
      </c>
      <c r="K808" s="23">
        <f>LOWER(Settings!$C$4)&amp;".mit."&amp;$A808&amp;IF($C808="","","."&amp;$C808&amp;"."&amp;$B808)&amp;IF(INDEX(Variables!$D$5:$D$65,MATCH($A808,Variables!$A$5:$A$65,0))="","","."&amp;INDEX(Variables!$D$5:$D$65,MATCH($A808,Variables!$A$5:$A$65,0)))&amp;"."&amp;K$5</f>
        <v/>
      </c>
      <c r="L808" s="40">
        <f>INDEX(Inputs!$V$5:$V$132,MATCH($B808&amp;"|"&amp;$C808,Inputs!$A$5:$A$132,0))</f>
        <v/>
      </c>
      <c r="M808" s="41">
        <f>L808*(1/(1+$G808))^(1+$E808)*(1+M$7)^$D808*(M790/L790)^$E808*((M790+M799)/(L790+L799))^($F808*(1+$E808))</f>
        <v/>
      </c>
      <c r="N808" s="41">
        <f>M808*(1/(1+$G808))^(1+$E808)*(1+N$7)^$D808*(N790/M790)^$E808*((N790+N799)/(M790+M799))^($F808*(1+$E808))</f>
        <v/>
      </c>
      <c r="O808" s="41">
        <f>N808*(1/(1+$G808))^(1+$E808)*(1+O$7)^$D808*(O790/N790)^$E808*((O790+O799)/(N790+N799))^($F808*(1+$E808))</f>
        <v/>
      </c>
      <c r="P808" s="41">
        <f>O808*(1/(1+$G808))^(1+$E808)*(1+P$7)^$D808*(P790/O790)^$E808*((P790+P799)/(O790+O799))^($F808*(1+$E808))</f>
        <v/>
      </c>
      <c r="Q808" s="41">
        <f>P808*(1/(1+$G808))^(1+$E808)*(1+Q$7)^$D808*(Q790/P790)^$E808*((Q790+Q799)/(P790+P799))^($F808*(1+$E808))</f>
        <v/>
      </c>
      <c r="R808" s="41">
        <f>Q808*(1/(1+$G808))^(1+$E808)*(1+R$7)^$D808*(R790/Q790)^$E808*((R790+R799)/(Q790+Q799))^($F808*(1+$E808))</f>
        <v/>
      </c>
      <c r="S808" s="41">
        <f>R808*(1/(1+$G808))^(1+$E808)*(1+S$7)^$D808*(S790/R790)^$E808*((S790+S799)/(R790+R799))^($F808*(1+$E808))</f>
        <v/>
      </c>
      <c r="T808" s="41">
        <f>S808*(1/(1+$G808))^(1+$E808)*(1+T$7)^$D808*(T790/S790)^$E808*((T790+T799)/(S790+S799))^($F808*(1+$E808))</f>
        <v/>
      </c>
      <c r="U808" s="41">
        <f>T808*(1/(1+$G808))^(1+$E808)*(1+U$7)^$D808*(U790/T790)^$E808*((U790+U799)/(T790+T799))^($F808*(1+$E808))</f>
        <v/>
      </c>
      <c r="V808" s="41">
        <f>U808*(1/(1+$G808))^(1+$E808)*(1+V$7)^$D808*(V790/U790)^$E808*((V790+V799)/(U790+U799))^($F808*(1+$E808))</f>
        <v/>
      </c>
      <c r="W808" s="41">
        <f>V808*(1/(1+$G808))^(1+$E808)*(1+W$7)^$D808*(W790/V790)^$E808*((W790+W799)/(V790+V799))^($F808*(1+$E808))</f>
        <v/>
      </c>
      <c r="X808" s="41">
        <f>W808*(1/(1+$G808))^(1+$E808)*(1+X$7)^$D808*(X790/W790)^$E808*((X790+X799)/(W790+W799))^($F808*(1+$E808))</f>
        <v/>
      </c>
      <c r="Y808" s="42">
        <f>FUELUSE(X808,Y790,X790,Y799,X799,Y$7,$D808,$E808,$F808,$G808)</f>
        <v/>
      </c>
      <c r="Z808" s="23">
        <f>LOWER(Settings!$C$4)&amp;".mit."&amp;$A808&amp;IF($C808="","","."&amp;$C808&amp;"."&amp;$B808)&amp;IF(INDEX(Variables!$D$5:$D$65,MATCH($A808,Variables!$A$5:$A$65,0))="","","."&amp;INDEX(Variables!$D$5:$D$65,MATCH($A808,Variables!$A$5:$A$65,0)))&amp;"."&amp;Z$5</f>
        <v/>
      </c>
      <c r="AA808" s="40">
        <f>INDEX(Inputs!$V$5:$V$132,MATCH($B808&amp;"|"&amp;$C808,Inputs!$A$5:$A$132,0))</f>
        <v/>
      </c>
      <c r="AB808" s="41">
        <f>AA808*(1/(1+$G808))^(1+$E808)*(1+AB$7)^$D808*(AB790/AA790)^$E808*((AB790+AB799)/(AA790+AA799))^($F808*(1+$E808))</f>
        <v/>
      </c>
      <c r="AC808" s="41">
        <f>AB808*(1/(1+$G808))^(1+$E808)*(1+AC$7)^$D808*(AC790/AB790)^$E808*((AC790+AC799)/(AB790+AB799))^($F808*(1+$E808))</f>
        <v/>
      </c>
      <c r="AD808" s="41">
        <f>AC808*(1/(1+$G808))^(1+$E808)*(1+AD$7)^$D808*(AD790/AC790)^$E808*((AD790+AD799)/(AC790+AC799))^($F808*(1+$E808))</f>
        <v/>
      </c>
      <c r="AE808" s="41">
        <f>AD808*(1/(1+$G808))^(1+$E808)*(1+AE$7)^$D808*(AE790/AD790)^$E808*((AE790+AE799)/(AD790+AD799))^($F808*(1+$E808))</f>
        <v/>
      </c>
      <c r="AF808" s="41">
        <f>AE808*(1/(1+$G808))^(1+$E808)*(1+AF$7)^$D808*(AF790/AE790)^$E808*((AF790+AF799)/(AE790+AE799))^($F808*(1+$E808))</f>
        <v/>
      </c>
      <c r="AG808" s="41">
        <f>AF808*(1/(1+$G808))^(1+$E808)*(1+AG$7)^$D808*(AG790/AF790)^$E808*((AG790+AG799)/(AF790+AF799))^($F808*(1+$E808))</f>
        <v/>
      </c>
      <c r="AH808" s="41">
        <f>AG808*(1/(1+$G808))^(1+$E808)*(1+AH$7)^$D808*(AH790/AG790)^$E808*((AH790+AH799)/(AG790+AG799))^($F808*(1+$E808))</f>
        <v/>
      </c>
      <c r="AI808" s="41">
        <f>AH808*(1/(1+$G808))^(1+$E808)*(1+AI$7)^$D808*(AI790/AH790)^$E808*((AI790+AI799)/(AH790+AH799))^($F808*(1+$E808))</f>
        <v/>
      </c>
      <c r="AJ808" s="41">
        <f>AI808*(1/(1+$G808))^(1+$E808)*(1+AJ$7)^$D808*(AJ790/AI790)^$E808*((AJ790+AJ799)/(AI790+AI799))^($F808*(1+$E808))</f>
        <v/>
      </c>
      <c r="AK808" s="41">
        <f>AJ808*(1/(1+$G808))^(1+$E808)*(1+AK$7)^$D808*(AK790/AJ790)^$E808*((AK790+AK799)/(AJ790+AJ799))^($F808*(1+$E808))</f>
        <v/>
      </c>
      <c r="AL808" s="41">
        <f>AK808*(1/(1+$G808))^(1+$E808)*(1+AL$7)^$D808*(AL790/AK790)^$E808*((AL790+AL799)/(AK790+AK799))^($F808*(1+$E808))</f>
        <v/>
      </c>
      <c r="AM808" s="41">
        <f>AL808*(1/(1+$G808))^(1+$E808)*(1+AM$7)^$D808*(AM790/AL790)^$E808*((AM790+AM799)/(AL790+AL799))^($F808*(1+$E808))</f>
        <v/>
      </c>
      <c r="AN808" s="42">
        <f>FUELUSE(AM808,AN790,AM790,AN799,AM799,AN$7,$D808,$E808,$F808,$G808)</f>
        <v/>
      </c>
    </row>
    <row r="809" hidden="1" outlineLevel="2">
      <c r="A809" s="5" t="inlineStr">
        <is>
          <t>ener</t>
        </is>
      </c>
      <c r="B809" s="5" t="inlineStr">
        <is>
          <t>lpg</t>
        </is>
      </c>
      <c r="C809" s="5" t="inlineStr">
        <is>
          <t>irn</t>
        </is>
      </c>
      <c r="D809" s="36">
        <f>INDEX(Inputs!$N$5:$N$132,MATCH($B809&amp;"|"&amp;$C809,Inputs!$A$5:$A$132,0))</f>
        <v/>
      </c>
      <c r="E809" s="36">
        <f>INDEX(Inputs!$O$5:$O$132,MATCH($B809&amp;"|"&amp;$C809,Inputs!$A$5:$A$132,0))</f>
        <v/>
      </c>
      <c r="F809" s="36">
        <f>INDEX(Inputs!$P$5:$P$132,MATCH($B809&amp;"|"&amp;$C809,Inputs!$A$5:$A$132,0))</f>
        <v/>
      </c>
      <c r="G809" s="36">
        <f>INDEX(Inputs!$Q$5:$Q$132,MATCH($B809&amp;"|"&amp;$C809,Inputs!$A$5:$A$132,0))</f>
        <v/>
      </c>
      <c r="H809" s="5">
        <f>INDEX(Variables!$B$5:$B$65,MATCH($A809,Variables!$A$5:$A$65,0))&amp;IF($C809="",""," | "&amp;INDEX(Mapping!$B$5:$B$25,MATCH($C809,Mapping!$A$5:$A$25,0))&amp;" | "&amp;INDEX(Mapping!$B$29:$B$38,MATCH($B809,Mapping!$A$29:$A$38,0)))</f>
        <v/>
      </c>
      <c r="I809" s="5">
        <f>INDEX(Variables!$C$5:$C$65,MATCH($A809,Variables!$A$5:$A$65,0))</f>
        <v/>
      </c>
      <c r="J809" s="5">
        <f>INDEX(Variables!$E$5:$E$65,MATCH($A809,Variables!$A$5:$A$65,0))</f>
        <v/>
      </c>
      <c r="K809" s="23">
        <f>LOWER(Settings!$C$4)&amp;".mit."&amp;$A809&amp;IF($C809="","","."&amp;$C809&amp;"."&amp;$B809)&amp;IF(INDEX(Variables!$D$5:$D$65,MATCH($A809,Variables!$A$5:$A$65,0))="","","."&amp;INDEX(Variables!$D$5:$D$65,MATCH($A809,Variables!$A$5:$A$65,0)))&amp;"."&amp;K$5</f>
        <v/>
      </c>
      <c r="L809" s="40">
        <f>INDEX(Inputs!$V$5:$V$132,MATCH($B809&amp;"|"&amp;$C809,Inputs!$A$5:$A$132,0))</f>
        <v/>
      </c>
      <c r="M809" s="41">
        <f>L809*(1/(1+$G809))^(1+$E809)*(1+M$7)^$D809*(M791/L791)^$E809*((M791+M800)/(L791+L800))^($F809*(1+$E809))</f>
        <v/>
      </c>
      <c r="N809" s="41">
        <f>M809*(1/(1+$G809))^(1+$E809)*(1+N$7)^$D809*(N791/M791)^$E809*((N791+N800)/(M791+M800))^($F809*(1+$E809))</f>
        <v/>
      </c>
      <c r="O809" s="41">
        <f>N809*(1/(1+$G809))^(1+$E809)*(1+O$7)^$D809*(O791/N791)^$E809*((O791+O800)/(N791+N800))^($F809*(1+$E809))</f>
        <v/>
      </c>
      <c r="P809" s="41">
        <f>O809*(1/(1+$G809))^(1+$E809)*(1+P$7)^$D809*(P791/O791)^$E809*((P791+P800)/(O791+O800))^($F809*(1+$E809))</f>
        <v/>
      </c>
      <c r="Q809" s="41">
        <f>P809*(1/(1+$G809))^(1+$E809)*(1+Q$7)^$D809*(Q791/P791)^$E809*((Q791+Q800)/(P791+P800))^($F809*(1+$E809))</f>
        <v/>
      </c>
      <c r="R809" s="41">
        <f>Q809*(1/(1+$G809))^(1+$E809)*(1+R$7)^$D809*(R791/Q791)^$E809*((R791+R800)/(Q791+Q800))^($F809*(1+$E809))</f>
        <v/>
      </c>
      <c r="S809" s="41">
        <f>R809*(1/(1+$G809))^(1+$E809)*(1+S$7)^$D809*(S791/R791)^$E809*((S791+S800)/(R791+R800))^($F809*(1+$E809))</f>
        <v/>
      </c>
      <c r="T809" s="41">
        <f>S809*(1/(1+$G809))^(1+$E809)*(1+T$7)^$D809*(T791/S791)^$E809*((T791+T800)/(S791+S800))^($F809*(1+$E809))</f>
        <v/>
      </c>
      <c r="U809" s="41">
        <f>T809*(1/(1+$G809))^(1+$E809)*(1+U$7)^$D809*(U791/T791)^$E809*((U791+U800)/(T791+T800))^($F809*(1+$E809))</f>
        <v/>
      </c>
      <c r="V809" s="41">
        <f>U809*(1/(1+$G809))^(1+$E809)*(1+V$7)^$D809*(V791/U791)^$E809*((V791+V800)/(U791+U800))^($F809*(1+$E809))</f>
        <v/>
      </c>
      <c r="W809" s="41">
        <f>V809*(1/(1+$G809))^(1+$E809)*(1+W$7)^$D809*(W791/V791)^$E809*((W791+W800)/(V791+V800))^($F809*(1+$E809))</f>
        <v/>
      </c>
      <c r="X809" s="41">
        <f>W809*(1/(1+$G809))^(1+$E809)*(1+X$7)^$D809*(X791/W791)^$E809*((X791+X800)/(W791+W800))^($F809*(1+$E809))</f>
        <v/>
      </c>
      <c r="Y809" s="42">
        <f>FUELUSE(X809,Y791,X791,Y800,X800,Y$7,$D809,$E809,$F809,$G809)</f>
        <v/>
      </c>
      <c r="Z809" s="23">
        <f>LOWER(Settings!$C$4)&amp;".mit."&amp;$A809&amp;IF($C809="","","."&amp;$C809&amp;"."&amp;$B809)&amp;IF(INDEX(Variables!$D$5:$D$65,MATCH($A809,Variables!$A$5:$A$65,0))="","","."&amp;INDEX(Variables!$D$5:$D$65,MATCH($A809,Variables!$A$5:$A$65,0)))&amp;"."&amp;Z$5</f>
        <v/>
      </c>
      <c r="AA809" s="40">
        <f>INDEX(Inputs!$V$5:$V$132,MATCH($B809&amp;"|"&amp;$C809,Inputs!$A$5:$A$132,0))</f>
        <v/>
      </c>
      <c r="AB809" s="41">
        <f>AA809*(1/(1+$G809))^(1+$E809)*(1+AB$7)^$D809*(AB791/AA791)^$E809*((AB791+AB800)/(AA791+AA800))^($F809*(1+$E809))</f>
        <v/>
      </c>
      <c r="AC809" s="41">
        <f>AB809*(1/(1+$G809))^(1+$E809)*(1+AC$7)^$D809*(AC791/AB791)^$E809*((AC791+AC800)/(AB791+AB800))^($F809*(1+$E809))</f>
        <v/>
      </c>
      <c r="AD809" s="41">
        <f>AC809*(1/(1+$G809))^(1+$E809)*(1+AD$7)^$D809*(AD791/AC791)^$E809*((AD791+AD800)/(AC791+AC800))^($F809*(1+$E809))</f>
        <v/>
      </c>
      <c r="AE809" s="41">
        <f>AD809*(1/(1+$G809))^(1+$E809)*(1+AE$7)^$D809*(AE791/AD791)^$E809*((AE791+AE800)/(AD791+AD800))^($F809*(1+$E809))</f>
        <v/>
      </c>
      <c r="AF809" s="41">
        <f>AE809*(1/(1+$G809))^(1+$E809)*(1+AF$7)^$D809*(AF791/AE791)^$E809*((AF791+AF800)/(AE791+AE800))^($F809*(1+$E809))</f>
        <v/>
      </c>
      <c r="AG809" s="41">
        <f>AF809*(1/(1+$G809))^(1+$E809)*(1+AG$7)^$D809*(AG791/AF791)^$E809*((AG791+AG800)/(AF791+AF800))^($F809*(1+$E809))</f>
        <v/>
      </c>
      <c r="AH809" s="41">
        <f>AG809*(1/(1+$G809))^(1+$E809)*(1+AH$7)^$D809*(AH791/AG791)^$E809*((AH791+AH800)/(AG791+AG800))^($F809*(1+$E809))</f>
        <v/>
      </c>
      <c r="AI809" s="41">
        <f>AH809*(1/(1+$G809))^(1+$E809)*(1+AI$7)^$D809*(AI791/AH791)^$E809*((AI791+AI800)/(AH791+AH800))^($F809*(1+$E809))</f>
        <v/>
      </c>
      <c r="AJ809" s="41">
        <f>AI809*(1/(1+$G809))^(1+$E809)*(1+AJ$7)^$D809*(AJ791/AI791)^$E809*((AJ791+AJ800)/(AI791+AI800))^($F809*(1+$E809))</f>
        <v/>
      </c>
      <c r="AK809" s="41">
        <f>AJ809*(1/(1+$G809))^(1+$E809)*(1+AK$7)^$D809*(AK791/AJ791)^$E809*((AK791+AK800)/(AJ791+AJ800))^($F809*(1+$E809))</f>
        <v/>
      </c>
      <c r="AL809" s="41">
        <f>AK809*(1/(1+$G809))^(1+$E809)*(1+AL$7)^$D809*(AL791/AK791)^$E809*((AL791+AL800)/(AK791+AK800))^($F809*(1+$E809))</f>
        <v/>
      </c>
      <c r="AM809" s="41">
        <f>AL809*(1/(1+$G809))^(1+$E809)*(1+AM$7)^$D809*(AM791/AL791)^$E809*((AM791+AM800)/(AL791+AL800))^($F809*(1+$E809))</f>
        <v/>
      </c>
      <c r="AN809" s="42">
        <f>FUELUSE(AM809,AN791,AM791,AN800,AM800,AN$7,$D809,$E809,$F809,$G809)</f>
        <v/>
      </c>
    </row>
    <row r="810" hidden="1" outlineLevel="2">
      <c r="A810" s="5" t="inlineStr">
        <is>
          <t>ener</t>
        </is>
      </c>
      <c r="B810" s="5" t="inlineStr">
        <is>
          <t>ker</t>
        </is>
      </c>
      <c r="C810" s="5" t="inlineStr">
        <is>
          <t>irn</t>
        </is>
      </c>
      <c r="D810" s="36">
        <f>INDEX(Inputs!$N$5:$N$132,MATCH($B810&amp;"|"&amp;$C810,Inputs!$A$5:$A$132,0))</f>
        <v/>
      </c>
      <c r="E810" s="36">
        <f>INDEX(Inputs!$O$5:$O$132,MATCH($B810&amp;"|"&amp;$C810,Inputs!$A$5:$A$132,0))</f>
        <v/>
      </c>
      <c r="F810" s="36">
        <f>INDEX(Inputs!$P$5:$P$132,MATCH($B810&amp;"|"&amp;$C810,Inputs!$A$5:$A$132,0))</f>
        <v/>
      </c>
      <c r="G810" s="36">
        <f>INDEX(Inputs!$Q$5:$Q$132,MATCH($B810&amp;"|"&amp;$C810,Inputs!$A$5:$A$132,0))</f>
        <v/>
      </c>
      <c r="H810" s="5">
        <f>INDEX(Variables!$B$5:$B$65,MATCH($A810,Variables!$A$5:$A$65,0))&amp;IF($C810="",""," | "&amp;INDEX(Mapping!$B$5:$B$25,MATCH($C810,Mapping!$A$5:$A$25,0))&amp;" | "&amp;INDEX(Mapping!$B$29:$B$38,MATCH($B810,Mapping!$A$29:$A$38,0)))</f>
        <v/>
      </c>
      <c r="I810" s="5">
        <f>INDEX(Variables!$C$5:$C$65,MATCH($A810,Variables!$A$5:$A$65,0))</f>
        <v/>
      </c>
      <c r="J810" s="5">
        <f>INDEX(Variables!$E$5:$E$65,MATCH($A810,Variables!$A$5:$A$65,0))</f>
        <v/>
      </c>
      <c r="K810" s="23">
        <f>LOWER(Settings!$C$4)&amp;".mit."&amp;$A810&amp;IF($C810="","","."&amp;$C810&amp;"."&amp;$B810)&amp;IF(INDEX(Variables!$D$5:$D$65,MATCH($A810,Variables!$A$5:$A$65,0))="","","."&amp;INDEX(Variables!$D$5:$D$65,MATCH($A810,Variables!$A$5:$A$65,0)))&amp;"."&amp;K$5</f>
        <v/>
      </c>
      <c r="L810" s="40">
        <f>INDEX(Inputs!$V$5:$V$132,MATCH($B810&amp;"|"&amp;$C810,Inputs!$A$5:$A$132,0))</f>
        <v/>
      </c>
      <c r="M810" s="41">
        <f>L810*(1/(1+$G810))^(1+$E810)*(1+M$7)^$D810*(M792/L792)^$E810*((M792+M801)/(L792+L801))^($F810*(1+$E810))</f>
        <v/>
      </c>
      <c r="N810" s="41">
        <f>M810*(1/(1+$G810))^(1+$E810)*(1+N$7)^$D810*(N792/M792)^$E810*((N792+N801)/(M792+M801))^($F810*(1+$E810))</f>
        <v/>
      </c>
      <c r="O810" s="41">
        <f>N810*(1/(1+$G810))^(1+$E810)*(1+O$7)^$D810*(O792/N792)^$E810*((O792+O801)/(N792+N801))^($F810*(1+$E810))</f>
        <v/>
      </c>
      <c r="P810" s="41">
        <f>O810*(1/(1+$G810))^(1+$E810)*(1+P$7)^$D810*(P792/O792)^$E810*((P792+P801)/(O792+O801))^($F810*(1+$E810))</f>
        <v/>
      </c>
      <c r="Q810" s="41">
        <f>P810*(1/(1+$G810))^(1+$E810)*(1+Q$7)^$D810*(Q792/P792)^$E810*((Q792+Q801)/(P792+P801))^($F810*(1+$E810))</f>
        <v/>
      </c>
      <c r="R810" s="41">
        <f>Q810*(1/(1+$G810))^(1+$E810)*(1+R$7)^$D810*(R792/Q792)^$E810*((R792+R801)/(Q792+Q801))^($F810*(1+$E810))</f>
        <v/>
      </c>
      <c r="S810" s="41">
        <f>R810*(1/(1+$G810))^(1+$E810)*(1+S$7)^$D810*(S792/R792)^$E810*((S792+S801)/(R792+R801))^($F810*(1+$E810))</f>
        <v/>
      </c>
      <c r="T810" s="41">
        <f>S810*(1/(1+$G810))^(1+$E810)*(1+T$7)^$D810*(T792/S792)^$E810*((T792+T801)/(S792+S801))^($F810*(1+$E810))</f>
        <v/>
      </c>
      <c r="U810" s="41">
        <f>T810*(1/(1+$G810))^(1+$E810)*(1+U$7)^$D810*(U792/T792)^$E810*((U792+U801)/(T792+T801))^($F810*(1+$E810))</f>
        <v/>
      </c>
      <c r="V810" s="41">
        <f>U810*(1/(1+$G810))^(1+$E810)*(1+V$7)^$D810*(V792/U792)^$E810*((V792+V801)/(U792+U801))^($F810*(1+$E810))</f>
        <v/>
      </c>
      <c r="W810" s="41">
        <f>V810*(1/(1+$G810))^(1+$E810)*(1+W$7)^$D810*(W792/V792)^$E810*((W792+W801)/(V792+V801))^($F810*(1+$E810))</f>
        <v/>
      </c>
      <c r="X810" s="41">
        <f>W810*(1/(1+$G810))^(1+$E810)*(1+X$7)^$D810*(X792/W792)^$E810*((X792+X801)/(W792+W801))^($F810*(1+$E810))</f>
        <v/>
      </c>
      <c r="Y810" s="42">
        <f>FUELUSE(X810,Y792,X792,Y801,X801,Y$7,$D810,$E810,$F810,$G810)</f>
        <v/>
      </c>
      <c r="Z810" s="23">
        <f>LOWER(Settings!$C$4)&amp;".mit."&amp;$A810&amp;IF($C810="","","."&amp;$C810&amp;"."&amp;$B810)&amp;IF(INDEX(Variables!$D$5:$D$65,MATCH($A810,Variables!$A$5:$A$65,0))="","","."&amp;INDEX(Variables!$D$5:$D$65,MATCH($A810,Variables!$A$5:$A$65,0)))&amp;"."&amp;Z$5</f>
        <v/>
      </c>
      <c r="AA810" s="40">
        <f>INDEX(Inputs!$V$5:$V$132,MATCH($B810&amp;"|"&amp;$C810,Inputs!$A$5:$A$132,0))</f>
        <v/>
      </c>
      <c r="AB810" s="41">
        <f>AA810*(1/(1+$G810))^(1+$E810)*(1+AB$7)^$D810*(AB792/AA792)^$E810*((AB792+AB801)/(AA792+AA801))^($F810*(1+$E810))</f>
        <v/>
      </c>
      <c r="AC810" s="41">
        <f>AB810*(1/(1+$G810))^(1+$E810)*(1+AC$7)^$D810*(AC792/AB792)^$E810*((AC792+AC801)/(AB792+AB801))^($F810*(1+$E810))</f>
        <v/>
      </c>
      <c r="AD810" s="41">
        <f>AC810*(1/(1+$G810))^(1+$E810)*(1+AD$7)^$D810*(AD792/AC792)^$E810*((AD792+AD801)/(AC792+AC801))^($F810*(1+$E810))</f>
        <v/>
      </c>
      <c r="AE810" s="41">
        <f>AD810*(1/(1+$G810))^(1+$E810)*(1+AE$7)^$D810*(AE792/AD792)^$E810*((AE792+AE801)/(AD792+AD801))^($F810*(1+$E810))</f>
        <v/>
      </c>
      <c r="AF810" s="41">
        <f>AE810*(1/(1+$G810))^(1+$E810)*(1+AF$7)^$D810*(AF792/AE792)^$E810*((AF792+AF801)/(AE792+AE801))^($F810*(1+$E810))</f>
        <v/>
      </c>
      <c r="AG810" s="41">
        <f>AF810*(1/(1+$G810))^(1+$E810)*(1+AG$7)^$D810*(AG792/AF792)^$E810*((AG792+AG801)/(AF792+AF801))^($F810*(1+$E810))</f>
        <v/>
      </c>
      <c r="AH810" s="41">
        <f>AG810*(1/(1+$G810))^(1+$E810)*(1+AH$7)^$D810*(AH792/AG792)^$E810*((AH792+AH801)/(AG792+AG801))^($F810*(1+$E810))</f>
        <v/>
      </c>
      <c r="AI810" s="41">
        <f>AH810*(1/(1+$G810))^(1+$E810)*(1+AI$7)^$D810*(AI792/AH792)^$E810*((AI792+AI801)/(AH792+AH801))^($F810*(1+$E810))</f>
        <v/>
      </c>
      <c r="AJ810" s="41">
        <f>AI810*(1/(1+$G810))^(1+$E810)*(1+AJ$7)^$D810*(AJ792/AI792)^$E810*((AJ792+AJ801)/(AI792+AI801))^($F810*(1+$E810))</f>
        <v/>
      </c>
      <c r="AK810" s="41">
        <f>AJ810*(1/(1+$G810))^(1+$E810)*(1+AK$7)^$D810*(AK792/AJ792)^$E810*((AK792+AK801)/(AJ792+AJ801))^($F810*(1+$E810))</f>
        <v/>
      </c>
      <c r="AL810" s="41">
        <f>AK810*(1/(1+$G810))^(1+$E810)*(1+AL$7)^$D810*(AL792/AK792)^$E810*((AL792+AL801)/(AK792+AK801))^($F810*(1+$E810))</f>
        <v/>
      </c>
      <c r="AM810" s="41">
        <f>AL810*(1/(1+$G810))^(1+$E810)*(1+AM$7)^$D810*(AM792/AL792)^$E810*((AM792+AM801)/(AL792+AL801))^($F810*(1+$E810))</f>
        <v/>
      </c>
      <c r="AN810" s="42">
        <f>FUELUSE(AM810,AN792,AM792,AN801,AM801,AN$7,$D810,$E810,$F810,$G810)</f>
        <v/>
      </c>
    </row>
    <row r="811" hidden="1" outlineLevel="2">
      <c r="A811" s="5" t="inlineStr">
        <is>
          <t>ener</t>
        </is>
      </c>
      <c r="B811" s="5" t="inlineStr">
        <is>
          <t>oop</t>
        </is>
      </c>
      <c r="C811" s="5" t="inlineStr">
        <is>
          <t>irn</t>
        </is>
      </c>
      <c r="D811" s="36">
        <f>INDEX(Inputs!$N$5:$N$132,MATCH($B811&amp;"|"&amp;$C811,Inputs!$A$5:$A$132,0))</f>
        <v/>
      </c>
      <c r="E811" s="36">
        <f>INDEX(Inputs!$O$5:$O$132,MATCH($B811&amp;"|"&amp;$C811,Inputs!$A$5:$A$132,0))</f>
        <v/>
      </c>
      <c r="F811" s="36">
        <f>INDEX(Inputs!$P$5:$P$132,MATCH($B811&amp;"|"&amp;$C811,Inputs!$A$5:$A$132,0))</f>
        <v/>
      </c>
      <c r="G811" s="36">
        <f>INDEX(Inputs!$Q$5:$Q$132,MATCH($B811&amp;"|"&amp;$C811,Inputs!$A$5:$A$132,0))</f>
        <v/>
      </c>
      <c r="H811" s="5">
        <f>INDEX(Variables!$B$5:$B$65,MATCH($A811,Variables!$A$5:$A$65,0))&amp;IF($C811="",""," | "&amp;INDEX(Mapping!$B$5:$B$25,MATCH($C811,Mapping!$A$5:$A$25,0))&amp;" | "&amp;INDEX(Mapping!$B$29:$B$38,MATCH($B811,Mapping!$A$29:$A$38,0)))</f>
        <v/>
      </c>
      <c r="I811" s="5">
        <f>INDEX(Variables!$C$5:$C$65,MATCH($A811,Variables!$A$5:$A$65,0))</f>
        <v/>
      </c>
      <c r="J811" s="5">
        <f>INDEX(Variables!$E$5:$E$65,MATCH($A811,Variables!$A$5:$A$65,0))</f>
        <v/>
      </c>
      <c r="K811" s="23">
        <f>LOWER(Settings!$C$4)&amp;".mit."&amp;$A811&amp;IF($C811="","","."&amp;$C811&amp;"."&amp;$B811)&amp;IF(INDEX(Variables!$D$5:$D$65,MATCH($A811,Variables!$A$5:$A$65,0))="","","."&amp;INDEX(Variables!$D$5:$D$65,MATCH($A811,Variables!$A$5:$A$65,0)))&amp;"."&amp;K$5</f>
        <v/>
      </c>
      <c r="L811" s="40">
        <f>INDEX(Inputs!$V$5:$V$132,MATCH($B811&amp;"|"&amp;$C811,Inputs!$A$5:$A$132,0))</f>
        <v/>
      </c>
      <c r="M811" s="41">
        <f>L811*(1/(1+$G811))^(1+$E811)*(1+M$7)^$D811*(M793/L793)^$E811*((M793+M802)/(L793+L802))^($F811*(1+$E811))</f>
        <v/>
      </c>
      <c r="N811" s="41">
        <f>M811*(1/(1+$G811))^(1+$E811)*(1+N$7)^$D811*(N793/M793)^$E811*((N793+N802)/(M793+M802))^($F811*(1+$E811))</f>
        <v/>
      </c>
      <c r="O811" s="41">
        <f>N811*(1/(1+$G811))^(1+$E811)*(1+O$7)^$D811*(O793/N793)^$E811*((O793+O802)/(N793+N802))^($F811*(1+$E811))</f>
        <v/>
      </c>
      <c r="P811" s="41">
        <f>O811*(1/(1+$G811))^(1+$E811)*(1+P$7)^$D811*(P793/O793)^$E811*((P793+P802)/(O793+O802))^($F811*(1+$E811))</f>
        <v/>
      </c>
      <c r="Q811" s="41">
        <f>P811*(1/(1+$G811))^(1+$E811)*(1+Q$7)^$D811*(Q793/P793)^$E811*((Q793+Q802)/(P793+P802))^($F811*(1+$E811))</f>
        <v/>
      </c>
      <c r="R811" s="41">
        <f>Q811*(1/(1+$G811))^(1+$E811)*(1+R$7)^$D811*(R793/Q793)^$E811*((R793+R802)/(Q793+Q802))^($F811*(1+$E811))</f>
        <v/>
      </c>
      <c r="S811" s="41">
        <f>R811*(1/(1+$G811))^(1+$E811)*(1+S$7)^$D811*(S793/R793)^$E811*((S793+S802)/(R793+R802))^($F811*(1+$E811))</f>
        <v/>
      </c>
      <c r="T811" s="41">
        <f>S811*(1/(1+$G811))^(1+$E811)*(1+T$7)^$D811*(T793/S793)^$E811*((T793+T802)/(S793+S802))^($F811*(1+$E811))</f>
        <v/>
      </c>
      <c r="U811" s="41">
        <f>T811*(1/(1+$G811))^(1+$E811)*(1+U$7)^$D811*(U793/T793)^$E811*((U793+U802)/(T793+T802))^($F811*(1+$E811))</f>
        <v/>
      </c>
      <c r="V811" s="41">
        <f>U811*(1/(1+$G811))^(1+$E811)*(1+V$7)^$D811*(V793/U793)^$E811*((V793+V802)/(U793+U802))^($F811*(1+$E811))</f>
        <v/>
      </c>
      <c r="W811" s="41">
        <f>V811*(1/(1+$G811))^(1+$E811)*(1+W$7)^$D811*(W793/V793)^$E811*((W793+W802)/(V793+V802))^($F811*(1+$E811))</f>
        <v/>
      </c>
      <c r="X811" s="41">
        <f>W811*(1/(1+$G811))^(1+$E811)*(1+X$7)^$D811*(X793/W793)^$E811*((X793+X802)/(W793+W802))^($F811*(1+$E811))</f>
        <v/>
      </c>
      <c r="Y811" s="42">
        <f>FUELUSE(X811,Y793,X793,Y802,X802,Y$7,$D811,$E811,$F811,$G811)</f>
        <v/>
      </c>
      <c r="Z811" s="23">
        <f>LOWER(Settings!$C$4)&amp;".mit."&amp;$A811&amp;IF($C811="","","."&amp;$C811&amp;"."&amp;$B811)&amp;IF(INDEX(Variables!$D$5:$D$65,MATCH($A811,Variables!$A$5:$A$65,0))="","","."&amp;INDEX(Variables!$D$5:$D$65,MATCH($A811,Variables!$A$5:$A$65,0)))&amp;"."&amp;Z$5</f>
        <v/>
      </c>
      <c r="AA811" s="40">
        <f>INDEX(Inputs!$V$5:$V$132,MATCH($B811&amp;"|"&amp;$C811,Inputs!$A$5:$A$132,0))</f>
        <v/>
      </c>
      <c r="AB811" s="41">
        <f>AA811*(1/(1+$G811))^(1+$E811)*(1+AB$7)^$D811*(AB793/AA793)^$E811*((AB793+AB802)/(AA793+AA802))^($F811*(1+$E811))</f>
        <v/>
      </c>
      <c r="AC811" s="41">
        <f>AB811*(1/(1+$G811))^(1+$E811)*(1+AC$7)^$D811*(AC793/AB793)^$E811*((AC793+AC802)/(AB793+AB802))^($F811*(1+$E811))</f>
        <v/>
      </c>
      <c r="AD811" s="41">
        <f>AC811*(1/(1+$G811))^(1+$E811)*(1+AD$7)^$D811*(AD793/AC793)^$E811*((AD793+AD802)/(AC793+AC802))^($F811*(1+$E811))</f>
        <v/>
      </c>
      <c r="AE811" s="41">
        <f>AD811*(1/(1+$G811))^(1+$E811)*(1+AE$7)^$D811*(AE793/AD793)^$E811*((AE793+AE802)/(AD793+AD802))^($F811*(1+$E811))</f>
        <v/>
      </c>
      <c r="AF811" s="41">
        <f>AE811*(1/(1+$G811))^(1+$E811)*(1+AF$7)^$D811*(AF793/AE793)^$E811*((AF793+AF802)/(AE793+AE802))^($F811*(1+$E811))</f>
        <v/>
      </c>
      <c r="AG811" s="41">
        <f>AF811*(1/(1+$G811))^(1+$E811)*(1+AG$7)^$D811*(AG793/AF793)^$E811*((AG793+AG802)/(AF793+AF802))^($F811*(1+$E811))</f>
        <v/>
      </c>
      <c r="AH811" s="41">
        <f>AG811*(1/(1+$G811))^(1+$E811)*(1+AH$7)^$D811*(AH793/AG793)^$E811*((AH793+AH802)/(AG793+AG802))^($F811*(1+$E811))</f>
        <v/>
      </c>
      <c r="AI811" s="41">
        <f>AH811*(1/(1+$G811))^(1+$E811)*(1+AI$7)^$D811*(AI793/AH793)^$E811*((AI793+AI802)/(AH793+AH802))^($F811*(1+$E811))</f>
        <v/>
      </c>
      <c r="AJ811" s="41">
        <f>AI811*(1/(1+$G811))^(1+$E811)*(1+AJ$7)^$D811*(AJ793/AI793)^$E811*((AJ793+AJ802)/(AI793+AI802))^($F811*(1+$E811))</f>
        <v/>
      </c>
      <c r="AK811" s="41">
        <f>AJ811*(1/(1+$G811))^(1+$E811)*(1+AK$7)^$D811*(AK793/AJ793)^$E811*((AK793+AK802)/(AJ793+AJ802))^($F811*(1+$E811))</f>
        <v/>
      </c>
      <c r="AL811" s="41">
        <f>AK811*(1/(1+$G811))^(1+$E811)*(1+AL$7)^$D811*(AL793/AK793)^$E811*((AL793+AL802)/(AK793+AK802))^($F811*(1+$E811))</f>
        <v/>
      </c>
      <c r="AM811" s="41">
        <f>AL811*(1/(1+$G811))^(1+$E811)*(1+AM$7)^$D811*(AM793/AL793)^$E811*((AM793+AM802)/(AL793+AL802))^($F811*(1+$E811))</f>
        <v/>
      </c>
      <c r="AN811" s="42">
        <f>FUELUSE(AM811,AN793,AM793,AN802,AM802,AN$7,$D811,$E811,$F811,$G811)</f>
        <v/>
      </c>
    </row>
    <row r="812" hidden="1" outlineLevel="2">
      <c r="A812" s="5" t="inlineStr">
        <is>
          <t>ener</t>
        </is>
      </c>
      <c r="B812" s="5" t="inlineStr">
        <is>
          <t>bio</t>
        </is>
      </c>
      <c r="C812" s="5" t="inlineStr">
        <is>
          <t>irn</t>
        </is>
      </c>
      <c r="D812" s="36">
        <f>INDEX(Inputs!$N$5:$N$132,MATCH($B812&amp;"|"&amp;$C812,Inputs!$A$5:$A$132,0))</f>
        <v/>
      </c>
      <c r="E812" s="36">
        <f>INDEX(Inputs!$O$5:$O$132,MATCH($B812&amp;"|"&amp;$C812,Inputs!$A$5:$A$132,0))</f>
        <v/>
      </c>
      <c r="F812" s="36">
        <f>INDEX(Inputs!$P$5:$P$132,MATCH($B812&amp;"|"&amp;$C812,Inputs!$A$5:$A$132,0))</f>
        <v/>
      </c>
      <c r="G812" s="36">
        <f>INDEX(Inputs!$Q$5:$Q$132,MATCH($B812&amp;"|"&amp;$C812,Inputs!$A$5:$A$132,0))</f>
        <v/>
      </c>
      <c r="H812" s="5">
        <f>INDEX(Variables!$B$5:$B$65,MATCH($A812,Variables!$A$5:$A$65,0))&amp;IF($C812="",""," | "&amp;INDEX(Mapping!$B$5:$B$25,MATCH($C812,Mapping!$A$5:$A$25,0))&amp;" | "&amp;INDEX(Mapping!$B$29:$B$38,MATCH($B812,Mapping!$A$29:$A$38,0)))</f>
        <v/>
      </c>
      <c r="I812" s="5">
        <f>INDEX(Variables!$C$5:$C$65,MATCH($A812,Variables!$A$5:$A$65,0))</f>
        <v/>
      </c>
      <c r="J812" s="5">
        <f>INDEX(Variables!$E$5:$E$65,MATCH($A812,Variables!$A$5:$A$65,0))</f>
        <v/>
      </c>
      <c r="K812" s="23">
        <f>LOWER(Settings!$C$4)&amp;".mit."&amp;$A812&amp;IF($C812="","","."&amp;$C812&amp;"."&amp;$B812)&amp;IF(INDEX(Variables!$D$5:$D$65,MATCH($A812,Variables!$A$5:$A$65,0))="","","."&amp;INDEX(Variables!$D$5:$D$65,MATCH($A812,Variables!$A$5:$A$65,0)))&amp;"."&amp;K$5</f>
        <v/>
      </c>
      <c r="L812" s="40">
        <f>INDEX(Inputs!$V$5:$V$132,MATCH($B812&amp;"|"&amp;$C812,Inputs!$A$5:$A$132,0))</f>
        <v/>
      </c>
      <c r="M812" s="41">
        <f>L812*(1/(1+$G812))^(1+$E812)*(1+M$7)^$D812*(M794/L794)^$E812*((M794+M803)/(L794+L803))^($F812*(1+$E812))</f>
        <v/>
      </c>
      <c r="N812" s="41">
        <f>M812*(1/(1+$G812))^(1+$E812)*(1+N$7)^$D812*(N794/M794)^$E812*((N794+N803)/(M794+M803))^($F812*(1+$E812))</f>
        <v/>
      </c>
      <c r="O812" s="41">
        <f>N812*(1/(1+$G812))^(1+$E812)*(1+O$7)^$D812*(O794/N794)^$E812*((O794+O803)/(N794+N803))^($F812*(1+$E812))</f>
        <v/>
      </c>
      <c r="P812" s="41">
        <f>O812*(1/(1+$G812))^(1+$E812)*(1+P$7)^$D812*(P794/O794)^$E812*((P794+P803)/(O794+O803))^($F812*(1+$E812))</f>
        <v/>
      </c>
      <c r="Q812" s="41">
        <f>P812*(1/(1+$G812))^(1+$E812)*(1+Q$7)^$D812*(Q794/P794)^$E812*((Q794+Q803)/(P794+P803))^($F812*(1+$E812))</f>
        <v/>
      </c>
      <c r="R812" s="41">
        <f>Q812*(1/(1+$G812))^(1+$E812)*(1+R$7)^$D812*(R794/Q794)^$E812*((R794+R803)/(Q794+Q803))^($F812*(1+$E812))</f>
        <v/>
      </c>
      <c r="S812" s="41">
        <f>R812*(1/(1+$G812))^(1+$E812)*(1+S$7)^$D812*(S794/R794)^$E812*((S794+S803)/(R794+R803))^($F812*(1+$E812))</f>
        <v/>
      </c>
      <c r="T812" s="41">
        <f>S812*(1/(1+$G812))^(1+$E812)*(1+T$7)^$D812*(T794/S794)^$E812*((T794+T803)/(S794+S803))^($F812*(1+$E812))</f>
        <v/>
      </c>
      <c r="U812" s="41">
        <f>T812*(1/(1+$G812))^(1+$E812)*(1+U$7)^$D812*(U794/T794)^$E812*((U794+U803)/(T794+T803))^($F812*(1+$E812))</f>
        <v/>
      </c>
      <c r="V812" s="41">
        <f>U812*(1/(1+$G812))^(1+$E812)*(1+V$7)^$D812*(V794/U794)^$E812*((V794+V803)/(U794+U803))^($F812*(1+$E812))</f>
        <v/>
      </c>
      <c r="W812" s="41">
        <f>V812*(1/(1+$G812))^(1+$E812)*(1+W$7)^$D812*(W794/V794)^$E812*((W794+W803)/(V794+V803))^($F812*(1+$E812))</f>
        <v/>
      </c>
      <c r="X812" s="41">
        <f>W812*(1/(1+$G812))^(1+$E812)*(1+X$7)^$D812*(X794/W794)^$E812*((X794+X803)/(W794+W803))^($F812*(1+$E812))</f>
        <v/>
      </c>
      <c r="Y812" s="42">
        <f>FUELUSE(X812,Y794,X794,Y803,X803,Y$7,$D812,$E812,$F812,$G812)</f>
        <v/>
      </c>
      <c r="Z812" s="23">
        <f>LOWER(Settings!$C$4)&amp;".mit."&amp;$A812&amp;IF($C812="","","."&amp;$C812&amp;"."&amp;$B812)&amp;IF(INDEX(Variables!$D$5:$D$65,MATCH($A812,Variables!$A$5:$A$65,0))="","","."&amp;INDEX(Variables!$D$5:$D$65,MATCH($A812,Variables!$A$5:$A$65,0)))&amp;"."&amp;Z$5</f>
        <v/>
      </c>
      <c r="AA812" s="40">
        <f>INDEX(Inputs!$V$5:$V$132,MATCH($B812&amp;"|"&amp;$C812,Inputs!$A$5:$A$132,0))</f>
        <v/>
      </c>
      <c r="AB812" s="41">
        <f>AA812*(1/(1+$G812))^(1+$E812)*(1+AB$7)^$D812*(AB794/AA794)^$E812*((AB794+AB803)/(AA794+AA803))^($F812*(1+$E812))</f>
        <v/>
      </c>
      <c r="AC812" s="41">
        <f>AB812*(1/(1+$G812))^(1+$E812)*(1+AC$7)^$D812*(AC794/AB794)^$E812*((AC794+AC803)/(AB794+AB803))^($F812*(1+$E812))</f>
        <v/>
      </c>
      <c r="AD812" s="41">
        <f>AC812*(1/(1+$G812))^(1+$E812)*(1+AD$7)^$D812*(AD794/AC794)^$E812*((AD794+AD803)/(AC794+AC803))^($F812*(1+$E812))</f>
        <v/>
      </c>
      <c r="AE812" s="41">
        <f>AD812*(1/(1+$G812))^(1+$E812)*(1+AE$7)^$D812*(AE794/AD794)^$E812*((AE794+AE803)/(AD794+AD803))^($F812*(1+$E812))</f>
        <v/>
      </c>
      <c r="AF812" s="41">
        <f>AE812*(1/(1+$G812))^(1+$E812)*(1+AF$7)^$D812*(AF794/AE794)^$E812*((AF794+AF803)/(AE794+AE803))^($F812*(1+$E812))</f>
        <v/>
      </c>
      <c r="AG812" s="41">
        <f>AF812*(1/(1+$G812))^(1+$E812)*(1+AG$7)^$D812*(AG794/AF794)^$E812*((AG794+AG803)/(AF794+AF803))^($F812*(1+$E812))</f>
        <v/>
      </c>
      <c r="AH812" s="41">
        <f>AG812*(1/(1+$G812))^(1+$E812)*(1+AH$7)^$D812*(AH794/AG794)^$E812*((AH794+AH803)/(AG794+AG803))^($F812*(1+$E812))</f>
        <v/>
      </c>
      <c r="AI812" s="41">
        <f>AH812*(1/(1+$G812))^(1+$E812)*(1+AI$7)^$D812*(AI794/AH794)^$E812*((AI794+AI803)/(AH794+AH803))^($F812*(1+$E812))</f>
        <v/>
      </c>
      <c r="AJ812" s="41">
        <f>AI812*(1/(1+$G812))^(1+$E812)*(1+AJ$7)^$D812*(AJ794/AI794)^$E812*((AJ794+AJ803)/(AI794+AI803))^($F812*(1+$E812))</f>
        <v/>
      </c>
      <c r="AK812" s="41">
        <f>AJ812*(1/(1+$G812))^(1+$E812)*(1+AK$7)^$D812*(AK794/AJ794)^$E812*((AK794+AK803)/(AJ794+AJ803))^($F812*(1+$E812))</f>
        <v/>
      </c>
      <c r="AL812" s="41">
        <f>AK812*(1/(1+$G812))^(1+$E812)*(1+AL$7)^$D812*(AL794/AK794)^$E812*((AL794+AL803)/(AK794+AK803))^($F812*(1+$E812))</f>
        <v/>
      </c>
      <c r="AM812" s="41">
        <f>AL812*(1/(1+$G812))^(1+$E812)*(1+AM$7)^$D812*(AM794/AL794)^$E812*((AM794+AM803)/(AL794+AL803))^($F812*(1+$E812))</f>
        <v/>
      </c>
      <c r="AN812" s="42">
        <f>FUELUSE(AM812,AN794,AM794,AN803,AM803,AN$7,$D812,$E812,$F812,$G812)</f>
        <v/>
      </c>
    </row>
    <row r="813" hidden="1" outlineLevel="2"/>
    <row r="814" outlineLevel="1" collapsed="1">
      <c r="A814" s="7" t="inlineStr">
        <is>
          <t>ener</t>
        </is>
      </c>
      <c r="B814" s="7" t="inlineStr">
        <is>
          <t>all</t>
        </is>
      </c>
      <c r="C814" s="7" t="inlineStr">
        <is>
          <t>nfm</t>
        </is>
      </c>
      <c r="H814" s="7">
        <f>INDEX(Variables!$B$5:$B$65,MATCH($A814,Variables!$A$5:$A$65,0))&amp;IF($C814="",""," | "&amp;INDEX(Mapping!$B$5:$B$25,MATCH($C814,Mapping!$A$5:$A$25,0))&amp;" | "&amp;INDEX(Mapping!$B$29:$B$38,MATCH($B814,Mapping!$A$29:$A$38,0)))</f>
        <v/>
      </c>
      <c r="I814" s="7">
        <f>INDEX(Variables!$C$5:$C$65,MATCH($A814,Variables!$A$5:$A$65,0))</f>
        <v/>
      </c>
      <c r="J814" s="7">
        <f>INDEX(Variables!$E$5:$E$65,MATCH($A814,Variables!$A$5:$A$65,0))</f>
        <v/>
      </c>
      <c r="K814" s="26">
        <f>LOWER(Settings!$C$4)&amp;".mit."&amp;$A814&amp;IF($C814="","","."&amp;$C814&amp;"."&amp;$B814)&amp;IF(INDEX(Variables!$D$5:$D$65,MATCH($A814,Variables!$A$5:$A$65,0))="","","."&amp;INDEX(Variables!$D$5:$D$65,MATCH($A814,Variables!$A$5:$A$65,0)))&amp;"."&amp;K$5</f>
        <v/>
      </c>
      <c r="L814" s="34">
        <f>SUM(L878:L885)</f>
        <v/>
      </c>
      <c r="M814" s="35">
        <f>SUM(M878:M885)</f>
        <v/>
      </c>
      <c r="N814" s="35">
        <f>SUM(N878:N885)</f>
        <v/>
      </c>
      <c r="O814" s="35">
        <f>SUM(O878:O885)</f>
        <v/>
      </c>
      <c r="P814" s="35">
        <f>SUM(P878:P885)</f>
        <v/>
      </c>
      <c r="Q814" s="35">
        <f>SUM(Q878:Q885)</f>
        <v/>
      </c>
      <c r="R814" s="35">
        <f>SUM(R878:R885)</f>
        <v/>
      </c>
      <c r="S814" s="35">
        <f>SUM(S878:S885)</f>
        <v/>
      </c>
      <c r="T814" s="35">
        <f>SUM(T878:T885)</f>
        <v/>
      </c>
      <c r="U814" s="35">
        <f>SUM(U878:U885)</f>
        <v/>
      </c>
      <c r="V814" s="35">
        <f>SUM(V878:V885)</f>
        <v/>
      </c>
      <c r="W814" s="35">
        <f>SUM(W878:W885)</f>
        <v/>
      </c>
      <c r="X814" s="35">
        <f>SUM(X878:X885)</f>
        <v/>
      </c>
      <c r="Y814" s="35">
        <f>SUM(Y878:Y885)</f>
        <v/>
      </c>
      <c r="Z814" s="26">
        <f>LOWER(Settings!$C$4)&amp;".mit."&amp;$A814&amp;IF($C814="","","."&amp;$C814&amp;"."&amp;$B814)&amp;IF(INDEX(Variables!$D$5:$D$65,MATCH($A814,Variables!$A$5:$A$65,0))="","","."&amp;INDEX(Variables!$D$5:$D$65,MATCH($A814,Variables!$A$5:$A$65,0)))&amp;"."&amp;Z$5</f>
        <v/>
      </c>
      <c r="AA814" s="34">
        <f>SUM(AA878:AA885)</f>
        <v/>
      </c>
      <c r="AB814" s="35">
        <f>SUM(AB878:AB885)</f>
        <v/>
      </c>
      <c r="AC814" s="35">
        <f>SUM(AC878:AC885)</f>
        <v/>
      </c>
      <c r="AD814" s="35">
        <f>SUM(AD878:AD885)</f>
        <v/>
      </c>
      <c r="AE814" s="35">
        <f>SUM(AE878:AE885)</f>
        <v/>
      </c>
      <c r="AF814" s="35">
        <f>SUM(AF878:AF885)</f>
        <v/>
      </c>
      <c r="AG814" s="35">
        <f>SUM(AG878:AG885)</f>
        <v/>
      </c>
      <c r="AH814" s="35">
        <f>SUM(AH878:AH885)</f>
        <v/>
      </c>
      <c r="AI814" s="35">
        <f>SUM(AI878:AI885)</f>
        <v/>
      </c>
      <c r="AJ814" s="35">
        <f>SUM(AJ878:AJ885)</f>
        <v/>
      </c>
      <c r="AK814" s="35">
        <f>SUM(AK878:AK885)</f>
        <v/>
      </c>
      <c r="AL814" s="35">
        <f>SUM(AL878:AL885)</f>
        <v/>
      </c>
      <c r="AM814" s="35">
        <f>SUM(AM878:AM885)</f>
        <v/>
      </c>
      <c r="AN814" s="35">
        <f>SUM(AN878:AN885)</f>
        <v/>
      </c>
    </row>
    <row r="815" hidden="1" outlineLevel="2">
      <c r="A815" s="5" t="inlineStr">
        <is>
          <t>sp</t>
        </is>
      </c>
      <c r="B815" s="5" t="inlineStr">
        <is>
          <t>coa</t>
        </is>
      </c>
      <c r="C815" s="5" t="inlineStr">
        <is>
          <t>nfm</t>
        </is>
      </c>
      <c r="D815" s="36">
        <f>INDEX(Inputs!$R$5:$R$132,MATCH($B815&amp;"|"&amp;$C815,Inputs!$A$5:$A$132,0))</f>
        <v/>
      </c>
      <c r="E815" s="37" t="n"/>
      <c r="F815" s="37" t="n"/>
      <c r="G815" s="37" t="n"/>
      <c r="H815" s="5">
        <f>INDEX(Variables!$B$5:$B$65,MATCH($A815,Variables!$A$5:$A$65,0))&amp;IF($C815="",""," | "&amp;INDEX(Mapping!$B$5:$B$25,MATCH($C815,Mapping!$A$5:$A$25,0))&amp;" | "&amp;INDEX(Mapping!$B$29:$B$38,MATCH($B815,Mapping!$A$29:$A$38,0)))</f>
        <v/>
      </c>
      <c r="I815" s="5">
        <f>INDEX(Variables!$C$5:$C$65,MATCH($A815,Variables!$A$5:$A$65,0))</f>
        <v/>
      </c>
      <c r="J815" s="5">
        <f>INDEX(Variables!$E$5:$E$65,MATCH($A815,Variables!$A$5:$A$65,0))</f>
        <v/>
      </c>
      <c r="K815" s="23">
        <f>LOWER(Settings!$C$4)&amp;".mit."&amp;$A815&amp;IF($C815="","","."&amp;$C815&amp;"."&amp;$B815)&amp;IF(INDEX(Variables!$D$5:$D$65,MATCH($A815,Variables!$A$5:$A$65,0))="","","."&amp;INDEX(Variables!$D$5:$D$65,MATCH($A815,Variables!$A$5:$A$65,0)))&amp;"."&amp;K$5</f>
        <v/>
      </c>
      <c r="L815" s="38">
        <f>INDEX(Inputs!$S$5:$S$132,MATCH($B815&amp;"|"&amp;$C815,Inputs!$A$5:$A$132,0))</f>
        <v/>
      </c>
      <c r="M815" s="36">
        <f>L815*(1+$D815)</f>
        <v/>
      </c>
      <c r="N815" s="36">
        <f>M815*(1+$D815)</f>
        <v/>
      </c>
      <c r="O815" s="36">
        <f>N815*(1+$D815)</f>
        <v/>
      </c>
      <c r="P815" s="36">
        <f>O815*(1+$D815)</f>
        <v/>
      </c>
      <c r="Q815" s="36">
        <f>P815*(1+$D815)</f>
        <v/>
      </c>
      <c r="R815" s="36">
        <f>Q815*(1+$D815)</f>
        <v/>
      </c>
      <c r="S815" s="36">
        <f>R815*(1+$D815)</f>
        <v/>
      </c>
      <c r="T815" s="36">
        <f>S815*(1+$D815)</f>
        <v/>
      </c>
      <c r="U815" s="36">
        <f>T815*(1+$D815)</f>
        <v/>
      </c>
      <c r="V815" s="36">
        <f>U815*(1+$D815)</f>
        <v/>
      </c>
      <c r="W815" s="36">
        <f>V815*(1+$D815)</f>
        <v/>
      </c>
      <c r="X815" s="36">
        <f>W815*(1+$D815)</f>
        <v/>
      </c>
      <c r="Y815" s="39">
        <f>PRETAX(X815,$D815)</f>
        <v/>
      </c>
      <c r="Z815" s="23">
        <f>LOWER(Settings!$C$4)&amp;".mit."&amp;$A815&amp;IF($C815="","","."&amp;$C815&amp;"."&amp;$B815)&amp;IF(INDEX(Variables!$D$5:$D$65,MATCH($A815,Variables!$A$5:$A$65,0))="","","."&amp;INDEX(Variables!$D$5:$D$65,MATCH($A815,Variables!$A$5:$A$65,0)))&amp;"."&amp;Z$5</f>
        <v/>
      </c>
      <c r="AA815" s="38">
        <f>INDEX(Inputs!$S$5:$S$132,MATCH($B815&amp;"|"&amp;$C815,Inputs!$A$5:$A$132,0))</f>
        <v/>
      </c>
      <c r="AB815" s="36">
        <f>AA815*(1+$D815)</f>
        <v/>
      </c>
      <c r="AC815" s="36">
        <f>AB815*(1+$D815)</f>
        <v/>
      </c>
      <c r="AD815" s="36">
        <f>AC815*(1+$D815)</f>
        <v/>
      </c>
      <c r="AE815" s="36">
        <f>AD815*(1+$D815)</f>
        <v/>
      </c>
      <c r="AF815" s="36">
        <f>AE815*(1+$D815)</f>
        <v/>
      </c>
      <c r="AG815" s="36">
        <f>AF815*(1+$D815)</f>
        <v/>
      </c>
      <c r="AH815" s="36">
        <f>AG815*(1+$D815)</f>
        <v/>
      </c>
      <c r="AI815" s="36">
        <f>AH815*(1+$D815)</f>
        <v/>
      </c>
      <c r="AJ815" s="36">
        <f>AI815*(1+$D815)</f>
        <v/>
      </c>
      <c r="AK815" s="36">
        <f>AJ815*(1+$D815)</f>
        <v/>
      </c>
      <c r="AL815" s="36">
        <f>AK815*(1+$D815)</f>
        <v/>
      </c>
      <c r="AM815" s="36">
        <f>AL815*(1+$D815)</f>
        <v/>
      </c>
      <c r="AN815" s="39">
        <f>PRETAX(AM815,$D815)</f>
        <v/>
      </c>
    </row>
    <row r="816" hidden="1" outlineLevel="2">
      <c r="A816" s="5" t="inlineStr">
        <is>
          <t>sp</t>
        </is>
      </c>
      <c r="B816" s="5" t="inlineStr">
        <is>
          <t>nga</t>
        </is>
      </c>
      <c r="C816" s="5" t="inlineStr">
        <is>
          <t>nfm</t>
        </is>
      </c>
      <c r="D816" s="36">
        <f>INDEX(Inputs!$R$5:$R$132,MATCH($B816&amp;"|"&amp;$C816,Inputs!$A$5:$A$132,0))</f>
        <v/>
      </c>
      <c r="E816" s="37" t="n"/>
      <c r="F816" s="37" t="n"/>
      <c r="G816" s="37" t="n"/>
      <c r="H816" s="5">
        <f>INDEX(Variables!$B$5:$B$65,MATCH($A816,Variables!$A$5:$A$65,0))&amp;IF($C816="",""," | "&amp;INDEX(Mapping!$B$5:$B$25,MATCH($C816,Mapping!$A$5:$A$25,0))&amp;" | "&amp;INDEX(Mapping!$B$29:$B$38,MATCH($B816,Mapping!$A$29:$A$38,0)))</f>
        <v/>
      </c>
      <c r="I816" s="5">
        <f>INDEX(Variables!$C$5:$C$65,MATCH($A816,Variables!$A$5:$A$65,0))</f>
        <v/>
      </c>
      <c r="J816" s="5">
        <f>INDEX(Variables!$E$5:$E$65,MATCH($A816,Variables!$A$5:$A$65,0))</f>
        <v/>
      </c>
      <c r="K816" s="23">
        <f>LOWER(Settings!$C$4)&amp;".mit."&amp;$A816&amp;IF($C816="","","."&amp;$C816&amp;"."&amp;$B816)&amp;IF(INDEX(Variables!$D$5:$D$65,MATCH($A816,Variables!$A$5:$A$65,0))="","","."&amp;INDEX(Variables!$D$5:$D$65,MATCH($A816,Variables!$A$5:$A$65,0)))&amp;"."&amp;K$5</f>
        <v/>
      </c>
      <c r="L816" s="38">
        <f>INDEX(Inputs!$S$5:$S$132,MATCH($B816&amp;"|"&amp;$C816,Inputs!$A$5:$A$132,0))</f>
        <v/>
      </c>
      <c r="M816" s="36">
        <f>L816*(1+$D816)</f>
        <v/>
      </c>
      <c r="N816" s="36">
        <f>M816*(1+$D816)</f>
        <v/>
      </c>
      <c r="O816" s="36">
        <f>N816*(1+$D816)</f>
        <v/>
      </c>
      <c r="P816" s="36">
        <f>O816*(1+$D816)</f>
        <v/>
      </c>
      <c r="Q816" s="36">
        <f>P816*(1+$D816)</f>
        <v/>
      </c>
      <c r="R816" s="36">
        <f>Q816*(1+$D816)</f>
        <v/>
      </c>
      <c r="S816" s="36">
        <f>R816*(1+$D816)</f>
        <v/>
      </c>
      <c r="T816" s="36">
        <f>S816*(1+$D816)</f>
        <v/>
      </c>
      <c r="U816" s="36">
        <f>T816*(1+$D816)</f>
        <v/>
      </c>
      <c r="V816" s="36">
        <f>U816*(1+$D816)</f>
        <v/>
      </c>
      <c r="W816" s="36">
        <f>V816*(1+$D816)</f>
        <v/>
      </c>
      <c r="X816" s="36">
        <f>W816*(1+$D816)</f>
        <v/>
      </c>
      <c r="Y816" s="39">
        <f>PRETAX(X816,$D816)</f>
        <v/>
      </c>
      <c r="Z816" s="23">
        <f>LOWER(Settings!$C$4)&amp;".mit."&amp;$A816&amp;IF($C816="","","."&amp;$C816&amp;"."&amp;$B816)&amp;IF(INDEX(Variables!$D$5:$D$65,MATCH($A816,Variables!$A$5:$A$65,0))="","","."&amp;INDEX(Variables!$D$5:$D$65,MATCH($A816,Variables!$A$5:$A$65,0)))&amp;"."&amp;Z$5</f>
        <v/>
      </c>
      <c r="AA816" s="38">
        <f>INDEX(Inputs!$S$5:$S$132,MATCH($B816&amp;"|"&amp;$C816,Inputs!$A$5:$A$132,0))</f>
        <v/>
      </c>
      <c r="AB816" s="36">
        <f>AA816*(1+$D816)</f>
        <v/>
      </c>
      <c r="AC816" s="36">
        <f>AB816*(1+$D816)</f>
        <v/>
      </c>
      <c r="AD816" s="36">
        <f>AC816*(1+$D816)</f>
        <v/>
      </c>
      <c r="AE816" s="36">
        <f>AD816*(1+$D816)</f>
        <v/>
      </c>
      <c r="AF816" s="36">
        <f>AE816*(1+$D816)</f>
        <v/>
      </c>
      <c r="AG816" s="36">
        <f>AF816*(1+$D816)</f>
        <v/>
      </c>
      <c r="AH816" s="36">
        <f>AG816*(1+$D816)</f>
        <v/>
      </c>
      <c r="AI816" s="36">
        <f>AH816*(1+$D816)</f>
        <v/>
      </c>
      <c r="AJ816" s="36">
        <f>AI816*(1+$D816)</f>
        <v/>
      </c>
      <c r="AK816" s="36">
        <f>AJ816*(1+$D816)</f>
        <v/>
      </c>
      <c r="AL816" s="36">
        <f>AK816*(1+$D816)</f>
        <v/>
      </c>
      <c r="AM816" s="36">
        <f>AL816*(1+$D816)</f>
        <v/>
      </c>
      <c r="AN816" s="39">
        <f>PRETAX(AM816,$D816)</f>
        <v/>
      </c>
    </row>
    <row r="817" hidden="1" outlineLevel="2">
      <c r="A817" s="5" t="inlineStr">
        <is>
          <t>sp</t>
        </is>
      </c>
      <c r="B817" s="5" t="inlineStr">
        <is>
          <t>gso</t>
        </is>
      </c>
      <c r="C817" s="5" t="inlineStr">
        <is>
          <t>nfm</t>
        </is>
      </c>
      <c r="D817" s="36">
        <f>INDEX(Inputs!$R$5:$R$132,MATCH($B817&amp;"|"&amp;$C817,Inputs!$A$5:$A$132,0))</f>
        <v/>
      </c>
      <c r="E817" s="37" t="n"/>
      <c r="F817" s="37" t="n"/>
      <c r="G817" s="37" t="n"/>
      <c r="H817" s="5">
        <f>INDEX(Variables!$B$5:$B$65,MATCH($A817,Variables!$A$5:$A$65,0))&amp;IF($C817="",""," | "&amp;INDEX(Mapping!$B$5:$B$25,MATCH($C817,Mapping!$A$5:$A$25,0))&amp;" | "&amp;INDEX(Mapping!$B$29:$B$38,MATCH($B817,Mapping!$A$29:$A$38,0)))</f>
        <v/>
      </c>
      <c r="I817" s="5">
        <f>INDEX(Variables!$C$5:$C$65,MATCH($A817,Variables!$A$5:$A$65,0))</f>
        <v/>
      </c>
      <c r="J817" s="5">
        <f>INDEX(Variables!$E$5:$E$65,MATCH($A817,Variables!$A$5:$A$65,0))</f>
        <v/>
      </c>
      <c r="K817" s="23">
        <f>LOWER(Settings!$C$4)&amp;".mit."&amp;$A817&amp;IF($C817="","","."&amp;$C817&amp;"."&amp;$B817)&amp;IF(INDEX(Variables!$D$5:$D$65,MATCH($A817,Variables!$A$5:$A$65,0))="","","."&amp;INDEX(Variables!$D$5:$D$65,MATCH($A817,Variables!$A$5:$A$65,0)))&amp;"."&amp;K$5</f>
        <v/>
      </c>
      <c r="L817" s="38">
        <f>INDEX(Inputs!$S$5:$S$132,MATCH($B817&amp;"|"&amp;$C817,Inputs!$A$5:$A$132,0))</f>
        <v/>
      </c>
      <c r="M817" s="36">
        <f>L817*(1+$D817)</f>
        <v/>
      </c>
      <c r="N817" s="36">
        <f>M817*(1+$D817)</f>
        <v/>
      </c>
      <c r="O817" s="36">
        <f>N817*(1+$D817)</f>
        <v/>
      </c>
      <c r="P817" s="36">
        <f>O817*(1+$D817)</f>
        <v/>
      </c>
      <c r="Q817" s="36">
        <f>P817*(1+$D817)</f>
        <v/>
      </c>
      <c r="R817" s="36">
        <f>Q817*(1+$D817)</f>
        <v/>
      </c>
      <c r="S817" s="36">
        <f>R817*(1+$D817)</f>
        <v/>
      </c>
      <c r="T817" s="36">
        <f>S817*(1+$D817)</f>
        <v/>
      </c>
      <c r="U817" s="36">
        <f>T817*(1+$D817)</f>
        <v/>
      </c>
      <c r="V817" s="36">
        <f>U817*(1+$D817)</f>
        <v/>
      </c>
      <c r="W817" s="36">
        <f>V817*(1+$D817)</f>
        <v/>
      </c>
      <c r="X817" s="36">
        <f>W817*(1+$D817)</f>
        <v/>
      </c>
      <c r="Y817" s="39">
        <f>PRETAX(X817,$D817)</f>
        <v/>
      </c>
      <c r="Z817" s="23">
        <f>LOWER(Settings!$C$4)&amp;".mit."&amp;$A817&amp;IF($C817="","","."&amp;$C817&amp;"."&amp;$B817)&amp;IF(INDEX(Variables!$D$5:$D$65,MATCH($A817,Variables!$A$5:$A$65,0))="","","."&amp;INDEX(Variables!$D$5:$D$65,MATCH($A817,Variables!$A$5:$A$65,0)))&amp;"."&amp;Z$5</f>
        <v/>
      </c>
      <c r="AA817" s="38">
        <f>INDEX(Inputs!$S$5:$S$132,MATCH($B817&amp;"|"&amp;$C817,Inputs!$A$5:$A$132,0))</f>
        <v/>
      </c>
      <c r="AB817" s="36">
        <f>AA817*(1+$D817)</f>
        <v/>
      </c>
      <c r="AC817" s="36">
        <f>AB817*(1+$D817)</f>
        <v/>
      </c>
      <c r="AD817" s="36">
        <f>AC817*(1+$D817)</f>
        <v/>
      </c>
      <c r="AE817" s="36">
        <f>AD817*(1+$D817)</f>
        <v/>
      </c>
      <c r="AF817" s="36">
        <f>AE817*(1+$D817)</f>
        <v/>
      </c>
      <c r="AG817" s="36">
        <f>AF817*(1+$D817)</f>
        <v/>
      </c>
      <c r="AH817" s="36">
        <f>AG817*(1+$D817)</f>
        <v/>
      </c>
      <c r="AI817" s="36">
        <f>AH817*(1+$D817)</f>
        <v/>
      </c>
      <c r="AJ817" s="36">
        <f>AI817*(1+$D817)</f>
        <v/>
      </c>
      <c r="AK817" s="36">
        <f>AJ817*(1+$D817)</f>
        <v/>
      </c>
      <c r="AL817" s="36">
        <f>AK817*(1+$D817)</f>
        <v/>
      </c>
      <c r="AM817" s="36">
        <f>AL817*(1+$D817)</f>
        <v/>
      </c>
      <c r="AN817" s="39">
        <f>PRETAX(AM817,$D817)</f>
        <v/>
      </c>
    </row>
    <row r="818" hidden="1" outlineLevel="2">
      <c r="A818" s="5" t="inlineStr">
        <is>
          <t>sp</t>
        </is>
      </c>
      <c r="B818" s="5" t="inlineStr">
        <is>
          <t>die</t>
        </is>
      </c>
      <c r="C818" s="5" t="inlineStr">
        <is>
          <t>nfm</t>
        </is>
      </c>
      <c r="D818" s="36">
        <f>INDEX(Inputs!$R$5:$R$132,MATCH($B818&amp;"|"&amp;$C818,Inputs!$A$5:$A$132,0))</f>
        <v/>
      </c>
      <c r="E818" s="37" t="n"/>
      <c r="F818" s="37" t="n"/>
      <c r="G818" s="37" t="n"/>
      <c r="H818" s="5">
        <f>INDEX(Variables!$B$5:$B$65,MATCH($A818,Variables!$A$5:$A$65,0))&amp;IF($C818="",""," | "&amp;INDEX(Mapping!$B$5:$B$25,MATCH($C818,Mapping!$A$5:$A$25,0))&amp;" | "&amp;INDEX(Mapping!$B$29:$B$38,MATCH($B818,Mapping!$A$29:$A$38,0)))</f>
        <v/>
      </c>
      <c r="I818" s="5">
        <f>INDEX(Variables!$C$5:$C$65,MATCH($A818,Variables!$A$5:$A$65,0))</f>
        <v/>
      </c>
      <c r="J818" s="5">
        <f>INDEX(Variables!$E$5:$E$65,MATCH($A818,Variables!$A$5:$A$65,0))</f>
        <v/>
      </c>
      <c r="K818" s="23">
        <f>LOWER(Settings!$C$4)&amp;".mit."&amp;$A818&amp;IF($C818="","","."&amp;$C818&amp;"."&amp;$B818)&amp;IF(INDEX(Variables!$D$5:$D$65,MATCH($A818,Variables!$A$5:$A$65,0))="","","."&amp;INDEX(Variables!$D$5:$D$65,MATCH($A818,Variables!$A$5:$A$65,0)))&amp;"."&amp;K$5</f>
        <v/>
      </c>
      <c r="L818" s="38">
        <f>INDEX(Inputs!$S$5:$S$132,MATCH($B818&amp;"|"&amp;$C818,Inputs!$A$5:$A$132,0))</f>
        <v/>
      </c>
      <c r="M818" s="36">
        <f>L818*(1+$D818)</f>
        <v/>
      </c>
      <c r="N818" s="36">
        <f>M818*(1+$D818)</f>
        <v/>
      </c>
      <c r="O818" s="36">
        <f>N818*(1+$D818)</f>
        <v/>
      </c>
      <c r="P818" s="36">
        <f>O818*(1+$D818)</f>
        <v/>
      </c>
      <c r="Q818" s="36">
        <f>P818*(1+$D818)</f>
        <v/>
      </c>
      <c r="R818" s="36">
        <f>Q818*(1+$D818)</f>
        <v/>
      </c>
      <c r="S818" s="36">
        <f>R818*(1+$D818)</f>
        <v/>
      </c>
      <c r="T818" s="36">
        <f>S818*(1+$D818)</f>
        <v/>
      </c>
      <c r="U818" s="36">
        <f>T818*(1+$D818)</f>
        <v/>
      </c>
      <c r="V818" s="36">
        <f>U818*(1+$D818)</f>
        <v/>
      </c>
      <c r="W818" s="36">
        <f>V818*(1+$D818)</f>
        <v/>
      </c>
      <c r="X818" s="36">
        <f>W818*(1+$D818)</f>
        <v/>
      </c>
      <c r="Y818" s="39">
        <f>PRETAX(X818,$D818)</f>
        <v/>
      </c>
      <c r="Z818" s="23">
        <f>LOWER(Settings!$C$4)&amp;".mit."&amp;$A818&amp;IF($C818="","","."&amp;$C818&amp;"."&amp;$B818)&amp;IF(INDEX(Variables!$D$5:$D$65,MATCH($A818,Variables!$A$5:$A$65,0))="","","."&amp;INDEX(Variables!$D$5:$D$65,MATCH($A818,Variables!$A$5:$A$65,0)))&amp;"."&amp;Z$5</f>
        <v/>
      </c>
      <c r="AA818" s="38">
        <f>INDEX(Inputs!$S$5:$S$132,MATCH($B818&amp;"|"&amp;$C818,Inputs!$A$5:$A$132,0))</f>
        <v/>
      </c>
      <c r="AB818" s="36">
        <f>AA818*(1+$D818)</f>
        <v/>
      </c>
      <c r="AC818" s="36">
        <f>AB818*(1+$D818)</f>
        <v/>
      </c>
      <c r="AD818" s="36">
        <f>AC818*(1+$D818)</f>
        <v/>
      </c>
      <c r="AE818" s="36">
        <f>AD818*(1+$D818)</f>
        <v/>
      </c>
      <c r="AF818" s="36">
        <f>AE818*(1+$D818)</f>
        <v/>
      </c>
      <c r="AG818" s="36">
        <f>AF818*(1+$D818)</f>
        <v/>
      </c>
      <c r="AH818" s="36">
        <f>AG818*(1+$D818)</f>
        <v/>
      </c>
      <c r="AI818" s="36">
        <f>AH818*(1+$D818)</f>
        <v/>
      </c>
      <c r="AJ818" s="36">
        <f>AI818*(1+$D818)</f>
        <v/>
      </c>
      <c r="AK818" s="36">
        <f>AJ818*(1+$D818)</f>
        <v/>
      </c>
      <c r="AL818" s="36">
        <f>AK818*(1+$D818)</f>
        <v/>
      </c>
      <c r="AM818" s="36">
        <f>AL818*(1+$D818)</f>
        <v/>
      </c>
      <c r="AN818" s="39">
        <f>PRETAX(AM818,$D818)</f>
        <v/>
      </c>
    </row>
    <row r="819" hidden="1" outlineLevel="2">
      <c r="A819" s="5" t="inlineStr">
        <is>
          <t>sp</t>
        </is>
      </c>
      <c r="B819" s="5" t="inlineStr">
        <is>
          <t>lpg</t>
        </is>
      </c>
      <c r="C819" s="5" t="inlineStr">
        <is>
          <t>nfm</t>
        </is>
      </c>
      <c r="D819" s="36">
        <f>INDEX(Inputs!$R$5:$R$132,MATCH($B819&amp;"|"&amp;$C819,Inputs!$A$5:$A$132,0))</f>
        <v/>
      </c>
      <c r="E819" s="37" t="n"/>
      <c r="F819" s="37" t="n"/>
      <c r="G819" s="37" t="n"/>
      <c r="H819" s="5">
        <f>INDEX(Variables!$B$5:$B$65,MATCH($A819,Variables!$A$5:$A$65,0))&amp;IF($C819="",""," | "&amp;INDEX(Mapping!$B$5:$B$25,MATCH($C819,Mapping!$A$5:$A$25,0))&amp;" | "&amp;INDEX(Mapping!$B$29:$B$38,MATCH($B819,Mapping!$A$29:$A$38,0)))</f>
        <v/>
      </c>
      <c r="I819" s="5">
        <f>INDEX(Variables!$C$5:$C$65,MATCH($A819,Variables!$A$5:$A$65,0))</f>
        <v/>
      </c>
      <c r="J819" s="5">
        <f>INDEX(Variables!$E$5:$E$65,MATCH($A819,Variables!$A$5:$A$65,0))</f>
        <v/>
      </c>
      <c r="K819" s="23">
        <f>LOWER(Settings!$C$4)&amp;".mit."&amp;$A819&amp;IF($C819="","","."&amp;$C819&amp;"."&amp;$B819)&amp;IF(INDEX(Variables!$D$5:$D$65,MATCH($A819,Variables!$A$5:$A$65,0))="","","."&amp;INDEX(Variables!$D$5:$D$65,MATCH($A819,Variables!$A$5:$A$65,0)))&amp;"."&amp;K$5</f>
        <v/>
      </c>
      <c r="L819" s="38">
        <f>INDEX(Inputs!$S$5:$S$132,MATCH($B819&amp;"|"&amp;$C819,Inputs!$A$5:$A$132,0))</f>
        <v/>
      </c>
      <c r="M819" s="36">
        <f>L819*(1+$D819)</f>
        <v/>
      </c>
      <c r="N819" s="36">
        <f>M819*(1+$D819)</f>
        <v/>
      </c>
      <c r="O819" s="36">
        <f>N819*(1+$D819)</f>
        <v/>
      </c>
      <c r="P819" s="36">
        <f>O819*(1+$D819)</f>
        <v/>
      </c>
      <c r="Q819" s="36">
        <f>P819*(1+$D819)</f>
        <v/>
      </c>
      <c r="R819" s="36">
        <f>Q819*(1+$D819)</f>
        <v/>
      </c>
      <c r="S819" s="36">
        <f>R819*(1+$D819)</f>
        <v/>
      </c>
      <c r="T819" s="36">
        <f>S819*(1+$D819)</f>
        <v/>
      </c>
      <c r="U819" s="36">
        <f>T819*(1+$D819)</f>
        <v/>
      </c>
      <c r="V819" s="36">
        <f>U819*(1+$D819)</f>
        <v/>
      </c>
      <c r="W819" s="36">
        <f>V819*(1+$D819)</f>
        <v/>
      </c>
      <c r="X819" s="36">
        <f>W819*(1+$D819)</f>
        <v/>
      </c>
      <c r="Y819" s="39">
        <f>PRETAX(X819,$D819)</f>
        <v/>
      </c>
      <c r="Z819" s="23">
        <f>LOWER(Settings!$C$4)&amp;".mit."&amp;$A819&amp;IF($C819="","","."&amp;$C819&amp;"."&amp;$B819)&amp;IF(INDEX(Variables!$D$5:$D$65,MATCH($A819,Variables!$A$5:$A$65,0))="","","."&amp;INDEX(Variables!$D$5:$D$65,MATCH($A819,Variables!$A$5:$A$65,0)))&amp;"."&amp;Z$5</f>
        <v/>
      </c>
      <c r="AA819" s="38">
        <f>INDEX(Inputs!$S$5:$S$132,MATCH($B819&amp;"|"&amp;$C819,Inputs!$A$5:$A$132,0))</f>
        <v/>
      </c>
      <c r="AB819" s="36">
        <f>AA819*(1+$D819)</f>
        <v/>
      </c>
      <c r="AC819" s="36">
        <f>AB819*(1+$D819)</f>
        <v/>
      </c>
      <c r="AD819" s="36">
        <f>AC819*(1+$D819)</f>
        <v/>
      </c>
      <c r="AE819" s="36">
        <f>AD819*(1+$D819)</f>
        <v/>
      </c>
      <c r="AF819" s="36">
        <f>AE819*(1+$D819)</f>
        <v/>
      </c>
      <c r="AG819" s="36">
        <f>AF819*(1+$D819)</f>
        <v/>
      </c>
      <c r="AH819" s="36">
        <f>AG819*(1+$D819)</f>
        <v/>
      </c>
      <c r="AI819" s="36">
        <f>AH819*(1+$D819)</f>
        <v/>
      </c>
      <c r="AJ819" s="36">
        <f>AI819*(1+$D819)</f>
        <v/>
      </c>
      <c r="AK819" s="36">
        <f>AJ819*(1+$D819)</f>
        <v/>
      </c>
      <c r="AL819" s="36">
        <f>AK819*(1+$D819)</f>
        <v/>
      </c>
      <c r="AM819" s="36">
        <f>AL819*(1+$D819)</f>
        <v/>
      </c>
      <c r="AN819" s="39">
        <f>PRETAX(AM819,$D819)</f>
        <v/>
      </c>
    </row>
    <row r="820" hidden="1" outlineLevel="2">
      <c r="A820" s="5" t="inlineStr">
        <is>
          <t>sp</t>
        </is>
      </c>
      <c r="B820" s="5" t="inlineStr">
        <is>
          <t>ker</t>
        </is>
      </c>
      <c r="C820" s="5" t="inlineStr">
        <is>
          <t>nfm</t>
        </is>
      </c>
      <c r="D820" s="36">
        <f>INDEX(Inputs!$R$5:$R$132,MATCH($B820&amp;"|"&amp;$C820,Inputs!$A$5:$A$132,0))</f>
        <v/>
      </c>
      <c r="E820" s="37" t="n"/>
      <c r="F820" s="37" t="n"/>
      <c r="G820" s="37" t="n"/>
      <c r="H820" s="5">
        <f>INDEX(Variables!$B$5:$B$65,MATCH($A820,Variables!$A$5:$A$65,0))&amp;IF($C820="",""," | "&amp;INDEX(Mapping!$B$5:$B$25,MATCH($C820,Mapping!$A$5:$A$25,0))&amp;" | "&amp;INDEX(Mapping!$B$29:$B$38,MATCH($B820,Mapping!$A$29:$A$38,0)))</f>
        <v/>
      </c>
      <c r="I820" s="5">
        <f>INDEX(Variables!$C$5:$C$65,MATCH($A820,Variables!$A$5:$A$65,0))</f>
        <v/>
      </c>
      <c r="J820" s="5">
        <f>INDEX(Variables!$E$5:$E$65,MATCH($A820,Variables!$A$5:$A$65,0))</f>
        <v/>
      </c>
      <c r="K820" s="23">
        <f>LOWER(Settings!$C$4)&amp;".mit."&amp;$A820&amp;IF($C820="","","."&amp;$C820&amp;"."&amp;$B820)&amp;IF(INDEX(Variables!$D$5:$D$65,MATCH($A820,Variables!$A$5:$A$65,0))="","","."&amp;INDEX(Variables!$D$5:$D$65,MATCH($A820,Variables!$A$5:$A$65,0)))&amp;"."&amp;K$5</f>
        <v/>
      </c>
      <c r="L820" s="38">
        <f>INDEX(Inputs!$S$5:$S$132,MATCH($B820&amp;"|"&amp;$C820,Inputs!$A$5:$A$132,0))</f>
        <v/>
      </c>
      <c r="M820" s="36">
        <f>L820*(1+$D820)</f>
        <v/>
      </c>
      <c r="N820" s="36">
        <f>M820*(1+$D820)</f>
        <v/>
      </c>
      <c r="O820" s="36">
        <f>N820*(1+$D820)</f>
        <v/>
      </c>
      <c r="P820" s="36">
        <f>O820*(1+$D820)</f>
        <v/>
      </c>
      <c r="Q820" s="36">
        <f>P820*(1+$D820)</f>
        <v/>
      </c>
      <c r="R820" s="36">
        <f>Q820*(1+$D820)</f>
        <v/>
      </c>
      <c r="S820" s="36">
        <f>R820*(1+$D820)</f>
        <v/>
      </c>
      <c r="T820" s="36">
        <f>S820*(1+$D820)</f>
        <v/>
      </c>
      <c r="U820" s="36">
        <f>T820*(1+$D820)</f>
        <v/>
      </c>
      <c r="V820" s="36">
        <f>U820*(1+$D820)</f>
        <v/>
      </c>
      <c r="W820" s="36">
        <f>V820*(1+$D820)</f>
        <v/>
      </c>
      <c r="X820" s="36">
        <f>W820*(1+$D820)</f>
        <v/>
      </c>
      <c r="Y820" s="39">
        <f>PRETAX(X820,$D820)</f>
        <v/>
      </c>
      <c r="Z820" s="23">
        <f>LOWER(Settings!$C$4)&amp;".mit."&amp;$A820&amp;IF($C820="","","."&amp;$C820&amp;"."&amp;$B820)&amp;IF(INDEX(Variables!$D$5:$D$65,MATCH($A820,Variables!$A$5:$A$65,0))="","","."&amp;INDEX(Variables!$D$5:$D$65,MATCH($A820,Variables!$A$5:$A$65,0)))&amp;"."&amp;Z$5</f>
        <v/>
      </c>
      <c r="AA820" s="38">
        <f>INDEX(Inputs!$S$5:$S$132,MATCH($B820&amp;"|"&amp;$C820,Inputs!$A$5:$A$132,0))</f>
        <v/>
      </c>
      <c r="AB820" s="36">
        <f>AA820*(1+$D820)</f>
        <v/>
      </c>
      <c r="AC820" s="36">
        <f>AB820*(1+$D820)</f>
        <v/>
      </c>
      <c r="AD820" s="36">
        <f>AC820*(1+$D820)</f>
        <v/>
      </c>
      <c r="AE820" s="36">
        <f>AD820*(1+$D820)</f>
        <v/>
      </c>
      <c r="AF820" s="36">
        <f>AE820*(1+$D820)</f>
        <v/>
      </c>
      <c r="AG820" s="36">
        <f>AF820*(1+$D820)</f>
        <v/>
      </c>
      <c r="AH820" s="36">
        <f>AG820*(1+$D820)</f>
        <v/>
      </c>
      <c r="AI820" s="36">
        <f>AH820*(1+$D820)</f>
        <v/>
      </c>
      <c r="AJ820" s="36">
        <f>AI820*(1+$D820)</f>
        <v/>
      </c>
      <c r="AK820" s="36">
        <f>AJ820*(1+$D820)</f>
        <v/>
      </c>
      <c r="AL820" s="36">
        <f>AK820*(1+$D820)</f>
        <v/>
      </c>
      <c r="AM820" s="36">
        <f>AL820*(1+$D820)</f>
        <v/>
      </c>
      <c r="AN820" s="39">
        <f>PRETAX(AM820,$D820)</f>
        <v/>
      </c>
    </row>
    <row r="821" hidden="1" outlineLevel="2">
      <c r="A821" s="5" t="inlineStr">
        <is>
          <t>sp</t>
        </is>
      </c>
      <c r="B821" s="5" t="inlineStr">
        <is>
          <t>oop</t>
        </is>
      </c>
      <c r="C821" s="5" t="inlineStr">
        <is>
          <t>nfm</t>
        </is>
      </c>
      <c r="D821" s="36">
        <f>INDEX(Inputs!$R$5:$R$132,MATCH($B821&amp;"|"&amp;$C821,Inputs!$A$5:$A$132,0))</f>
        <v/>
      </c>
      <c r="E821" s="37" t="n"/>
      <c r="F821" s="37" t="n"/>
      <c r="G821" s="37" t="n"/>
      <c r="H821" s="5">
        <f>INDEX(Variables!$B$5:$B$65,MATCH($A821,Variables!$A$5:$A$65,0))&amp;IF($C821="",""," | "&amp;INDEX(Mapping!$B$5:$B$25,MATCH($C821,Mapping!$A$5:$A$25,0))&amp;" | "&amp;INDEX(Mapping!$B$29:$B$38,MATCH($B821,Mapping!$A$29:$A$38,0)))</f>
        <v/>
      </c>
      <c r="I821" s="5">
        <f>INDEX(Variables!$C$5:$C$65,MATCH($A821,Variables!$A$5:$A$65,0))</f>
        <v/>
      </c>
      <c r="J821" s="5">
        <f>INDEX(Variables!$E$5:$E$65,MATCH($A821,Variables!$A$5:$A$65,0))</f>
        <v/>
      </c>
      <c r="K821" s="23">
        <f>LOWER(Settings!$C$4)&amp;".mit."&amp;$A821&amp;IF($C821="","","."&amp;$C821&amp;"."&amp;$B821)&amp;IF(INDEX(Variables!$D$5:$D$65,MATCH($A821,Variables!$A$5:$A$65,0))="","","."&amp;INDEX(Variables!$D$5:$D$65,MATCH($A821,Variables!$A$5:$A$65,0)))&amp;"."&amp;K$5</f>
        <v/>
      </c>
      <c r="L821" s="38">
        <f>INDEX(Inputs!$S$5:$S$132,MATCH($B821&amp;"|"&amp;$C821,Inputs!$A$5:$A$132,0))</f>
        <v/>
      </c>
      <c r="M821" s="36">
        <f>L821*(1+$D821)</f>
        <v/>
      </c>
      <c r="N821" s="36">
        <f>M821*(1+$D821)</f>
        <v/>
      </c>
      <c r="O821" s="36">
        <f>N821*(1+$D821)</f>
        <v/>
      </c>
      <c r="P821" s="36">
        <f>O821*(1+$D821)</f>
        <v/>
      </c>
      <c r="Q821" s="36">
        <f>P821*(1+$D821)</f>
        <v/>
      </c>
      <c r="R821" s="36">
        <f>Q821*(1+$D821)</f>
        <v/>
      </c>
      <c r="S821" s="36">
        <f>R821*(1+$D821)</f>
        <v/>
      </c>
      <c r="T821" s="36">
        <f>S821*(1+$D821)</f>
        <v/>
      </c>
      <c r="U821" s="36">
        <f>T821*(1+$D821)</f>
        <v/>
      </c>
      <c r="V821" s="36">
        <f>U821*(1+$D821)</f>
        <v/>
      </c>
      <c r="W821" s="36">
        <f>V821*(1+$D821)</f>
        <v/>
      </c>
      <c r="X821" s="36">
        <f>W821*(1+$D821)</f>
        <v/>
      </c>
      <c r="Y821" s="39">
        <f>PRETAX(X821,$D821)</f>
        <v/>
      </c>
      <c r="Z821" s="23">
        <f>LOWER(Settings!$C$4)&amp;".mit."&amp;$A821&amp;IF($C821="","","."&amp;$C821&amp;"."&amp;$B821)&amp;IF(INDEX(Variables!$D$5:$D$65,MATCH($A821,Variables!$A$5:$A$65,0))="","","."&amp;INDEX(Variables!$D$5:$D$65,MATCH($A821,Variables!$A$5:$A$65,0)))&amp;"."&amp;Z$5</f>
        <v/>
      </c>
      <c r="AA821" s="38">
        <f>INDEX(Inputs!$S$5:$S$132,MATCH($B821&amp;"|"&amp;$C821,Inputs!$A$5:$A$132,0))</f>
        <v/>
      </c>
      <c r="AB821" s="36">
        <f>AA821*(1+$D821)</f>
        <v/>
      </c>
      <c r="AC821" s="36">
        <f>AB821*(1+$D821)</f>
        <v/>
      </c>
      <c r="AD821" s="36">
        <f>AC821*(1+$D821)</f>
        <v/>
      </c>
      <c r="AE821" s="36">
        <f>AD821*(1+$D821)</f>
        <v/>
      </c>
      <c r="AF821" s="36">
        <f>AE821*(1+$D821)</f>
        <v/>
      </c>
      <c r="AG821" s="36">
        <f>AF821*(1+$D821)</f>
        <v/>
      </c>
      <c r="AH821" s="36">
        <f>AG821*(1+$D821)</f>
        <v/>
      </c>
      <c r="AI821" s="36">
        <f>AH821*(1+$D821)</f>
        <v/>
      </c>
      <c r="AJ821" s="36">
        <f>AI821*(1+$D821)</f>
        <v/>
      </c>
      <c r="AK821" s="36">
        <f>AJ821*(1+$D821)</f>
        <v/>
      </c>
      <c r="AL821" s="36">
        <f>AK821*(1+$D821)</f>
        <v/>
      </c>
      <c r="AM821" s="36">
        <f>AL821*(1+$D821)</f>
        <v/>
      </c>
      <c r="AN821" s="39">
        <f>PRETAX(AM821,$D821)</f>
        <v/>
      </c>
    </row>
    <row r="822" hidden="1" outlineLevel="2">
      <c r="A822" s="5" t="inlineStr">
        <is>
          <t>sp</t>
        </is>
      </c>
      <c r="B822" s="5" t="inlineStr">
        <is>
          <t>bio</t>
        </is>
      </c>
      <c r="C822" s="5" t="inlineStr">
        <is>
          <t>nfm</t>
        </is>
      </c>
      <c r="D822" s="36">
        <f>INDEX(Inputs!$R$5:$R$132,MATCH($B822&amp;"|"&amp;$C822,Inputs!$A$5:$A$132,0))</f>
        <v/>
      </c>
      <c r="E822" s="37" t="n"/>
      <c r="F822" s="37" t="n"/>
      <c r="G822" s="37" t="n"/>
      <c r="H822" s="5">
        <f>INDEX(Variables!$B$5:$B$65,MATCH($A822,Variables!$A$5:$A$65,0))&amp;IF($C822="",""," | "&amp;INDEX(Mapping!$B$5:$B$25,MATCH($C822,Mapping!$A$5:$A$25,0))&amp;" | "&amp;INDEX(Mapping!$B$29:$B$38,MATCH($B822,Mapping!$A$29:$A$38,0)))</f>
        <v/>
      </c>
      <c r="I822" s="5">
        <f>INDEX(Variables!$C$5:$C$65,MATCH($A822,Variables!$A$5:$A$65,0))</f>
        <v/>
      </c>
      <c r="J822" s="5">
        <f>INDEX(Variables!$E$5:$E$65,MATCH($A822,Variables!$A$5:$A$65,0))</f>
        <v/>
      </c>
      <c r="K822" s="23">
        <f>LOWER(Settings!$C$4)&amp;".mit."&amp;$A822&amp;IF($C822="","","."&amp;$C822&amp;"."&amp;$B822)&amp;IF(INDEX(Variables!$D$5:$D$65,MATCH($A822,Variables!$A$5:$A$65,0))="","","."&amp;INDEX(Variables!$D$5:$D$65,MATCH($A822,Variables!$A$5:$A$65,0)))&amp;"."&amp;K$5</f>
        <v/>
      </c>
      <c r="L822" s="38">
        <f>INDEX(Inputs!$S$5:$S$132,MATCH($B822&amp;"|"&amp;$C822,Inputs!$A$5:$A$132,0))</f>
        <v/>
      </c>
      <c r="M822" s="36">
        <f>L822*(1+$D822)</f>
        <v/>
      </c>
      <c r="N822" s="36">
        <f>M822*(1+$D822)</f>
        <v/>
      </c>
      <c r="O822" s="36">
        <f>N822*(1+$D822)</f>
        <v/>
      </c>
      <c r="P822" s="36">
        <f>O822*(1+$D822)</f>
        <v/>
      </c>
      <c r="Q822" s="36">
        <f>P822*(1+$D822)</f>
        <v/>
      </c>
      <c r="R822" s="36">
        <f>Q822*(1+$D822)</f>
        <v/>
      </c>
      <c r="S822" s="36">
        <f>R822*(1+$D822)</f>
        <v/>
      </c>
      <c r="T822" s="36">
        <f>S822*(1+$D822)</f>
        <v/>
      </c>
      <c r="U822" s="36">
        <f>T822*(1+$D822)</f>
        <v/>
      </c>
      <c r="V822" s="36">
        <f>U822*(1+$D822)</f>
        <v/>
      </c>
      <c r="W822" s="36">
        <f>V822*(1+$D822)</f>
        <v/>
      </c>
      <c r="X822" s="36">
        <f>W822*(1+$D822)</f>
        <v/>
      </c>
      <c r="Y822" s="39">
        <f>PRETAX(X822,$D822)</f>
        <v/>
      </c>
      <c r="Z822" s="23">
        <f>LOWER(Settings!$C$4)&amp;".mit."&amp;$A822&amp;IF($C822="","","."&amp;$C822&amp;"."&amp;$B822)&amp;IF(INDEX(Variables!$D$5:$D$65,MATCH($A822,Variables!$A$5:$A$65,0))="","","."&amp;INDEX(Variables!$D$5:$D$65,MATCH($A822,Variables!$A$5:$A$65,0)))&amp;"."&amp;Z$5</f>
        <v/>
      </c>
      <c r="AA822" s="38">
        <f>INDEX(Inputs!$S$5:$S$132,MATCH($B822&amp;"|"&amp;$C822,Inputs!$A$5:$A$132,0))</f>
        <v/>
      </c>
      <c r="AB822" s="36">
        <f>AA822*(1+$D822)</f>
        <v/>
      </c>
      <c r="AC822" s="36">
        <f>AB822*(1+$D822)</f>
        <v/>
      </c>
      <c r="AD822" s="36">
        <f>AC822*(1+$D822)</f>
        <v/>
      </c>
      <c r="AE822" s="36">
        <f>AD822*(1+$D822)</f>
        <v/>
      </c>
      <c r="AF822" s="36">
        <f>AE822*(1+$D822)</f>
        <v/>
      </c>
      <c r="AG822" s="36">
        <f>AF822*(1+$D822)</f>
        <v/>
      </c>
      <c r="AH822" s="36">
        <f>AG822*(1+$D822)</f>
        <v/>
      </c>
      <c r="AI822" s="36">
        <f>AH822*(1+$D822)</f>
        <v/>
      </c>
      <c r="AJ822" s="36">
        <f>AI822*(1+$D822)</f>
        <v/>
      </c>
      <c r="AK822" s="36">
        <f>AJ822*(1+$D822)</f>
        <v/>
      </c>
      <c r="AL822" s="36">
        <f>AK822*(1+$D822)</f>
        <v/>
      </c>
      <c r="AM822" s="36">
        <f>AL822*(1+$D822)</f>
        <v/>
      </c>
      <c r="AN822" s="39">
        <f>PRETAX(AM822,$D822)</f>
        <v/>
      </c>
    </row>
    <row r="823" hidden="1" outlineLevel="2"/>
    <row r="824" hidden="1" outlineLevel="2">
      <c r="A824" s="5" t="inlineStr">
        <is>
          <t>ctxnew</t>
        </is>
      </c>
      <c r="B824" s="5" t="inlineStr">
        <is>
          <t>coa</t>
        </is>
      </c>
      <c r="C824" s="5" t="inlineStr">
        <is>
          <t>nfm</t>
        </is>
      </c>
      <c r="D824" s="36">
        <f>INDEX(Inputs!$U$5:$U$132,MATCH($B824&amp;"|"&amp;$C824,Inputs!$A$5:$A$132,0))</f>
        <v/>
      </c>
      <c r="E824" s="36">
        <f>INDEX(Inputs!$J$5:$J$132,MATCH($B824&amp;"|"&amp;$C824,Inputs!$A$5:$A$132,0))</f>
        <v/>
      </c>
      <c r="F824" s="36">
        <f>INDEX(Inputs!$K$5:$K$132,MATCH($B824&amp;"|"&amp;$C824,Inputs!$A$5:$A$132,0))</f>
        <v/>
      </c>
      <c r="G824" s="37" t="n"/>
      <c r="H824" s="5">
        <f>INDEX(Variables!$B$5:$B$65,MATCH($A824,Variables!$A$5:$A$65,0))&amp;IF($C824="",""," | "&amp;INDEX(Mapping!$B$5:$B$25,MATCH($C824,Mapping!$A$5:$A$25,0))&amp;" | "&amp;INDEX(Mapping!$B$29:$B$38,MATCH($B824,Mapping!$A$29:$A$38,0)))</f>
        <v/>
      </c>
      <c r="I824" s="5">
        <f>INDEX(Variables!$C$5:$C$65,MATCH($A824,Variables!$A$5:$A$65,0))</f>
        <v/>
      </c>
      <c r="J824" s="5">
        <f>INDEX(Variables!$E$5:$E$65,MATCH($A824,Variables!$A$5:$A$65,0))</f>
        <v/>
      </c>
      <c r="K824" s="23">
        <f>LOWER(Settings!$C$4)&amp;".mit."&amp;$A824&amp;IF($C824="","","."&amp;$C824&amp;"."&amp;$B824)&amp;IF(INDEX(Variables!$D$5:$D$65,MATCH($A824,Variables!$A$5:$A$65,0))="","","."&amp;INDEX(Variables!$D$5:$D$65,MATCH($A824,Variables!$A$5:$A$65,0)))&amp;"."&amp;K$5</f>
        <v/>
      </c>
      <c r="L824" s="38">
        <f>L$10*$D824*INDEX(L$18:L$25,$E824)*INDEX(L$27:L$43,$F824)</f>
        <v/>
      </c>
      <c r="M824" s="36">
        <f>M$10*$D824*INDEX(M$18:M$25,$E824)*INDEX(M$27:M$43,$F824)</f>
        <v/>
      </c>
      <c r="N824" s="36">
        <f>N$10*$D824*INDEX(N$18:N$25,$E824)*INDEX(N$27:N$43,$F824)</f>
        <v/>
      </c>
      <c r="O824" s="36">
        <f>O$10*$D824*INDEX(O$18:O$25,$E824)*INDEX(O$27:O$43,$F824)</f>
        <v/>
      </c>
      <c r="P824" s="36">
        <f>P$10*$D824*INDEX(P$18:P$25,$E824)*INDEX(P$27:P$43,$F824)</f>
        <v/>
      </c>
      <c r="Q824" s="36">
        <f>Q$10*$D824*INDEX(Q$18:Q$25,$E824)*INDEX(Q$27:Q$43,$F824)</f>
        <v/>
      </c>
      <c r="R824" s="36">
        <f>R$10*$D824*INDEX(R$18:R$25,$E824)*INDEX(R$27:R$43,$F824)</f>
        <v/>
      </c>
      <c r="S824" s="36">
        <f>S$10*$D824*INDEX(S$18:S$25,$E824)*INDEX(S$27:S$43,$F824)</f>
        <v/>
      </c>
      <c r="T824" s="36">
        <f>T$10*$D824*INDEX(T$18:T$25,$E824)*INDEX(T$27:T$43,$F824)</f>
        <v/>
      </c>
      <c r="U824" s="36">
        <f>U$10*$D824*INDEX(U$18:U$25,$E824)*INDEX(U$27:U$43,$F824)</f>
        <v/>
      </c>
      <c r="V824" s="36">
        <f>V$10*$D824*INDEX(V$18:V$25,$E824)*INDEX(V$27:V$43,$F824)</f>
        <v/>
      </c>
      <c r="W824" s="36">
        <f>W$10*$D824*INDEX(W$18:W$25,$E824)*INDEX(W$27:W$43,$F824)</f>
        <v/>
      </c>
      <c r="X824" s="36">
        <f>X$10*$D824*INDEX(X$18:X$25,$E824)*INDEX(X$27:X$43,$F824)</f>
        <v/>
      </c>
      <c r="Y824" s="36">
        <f>Y$10*$D824*INDEX(Y$18:Y$25,$E824)*INDEX(Y$27:Y$43,$F824)</f>
        <v/>
      </c>
      <c r="Z824" s="23">
        <f>LOWER(Settings!$C$4)&amp;".mit."&amp;$A824&amp;IF($C824="","","."&amp;$C824&amp;"."&amp;$B824)&amp;IF(INDEX(Variables!$D$5:$D$65,MATCH($A824,Variables!$A$5:$A$65,0))="","","."&amp;INDEX(Variables!$D$5:$D$65,MATCH($A824,Variables!$A$5:$A$65,0)))&amp;"."&amp;Z$5</f>
        <v/>
      </c>
      <c r="AA824" s="38">
        <f>AA$10*$D824*INDEX(AA$18:AA$25,$E824)*INDEX(AA$27:AA$43,$F824)</f>
        <v/>
      </c>
      <c r="AB824" s="36">
        <f>AB$10*$D824*INDEX(AB$18:AB$25,$E824)*INDEX(AB$27:AB$43,$F824)</f>
        <v/>
      </c>
      <c r="AC824" s="36">
        <f>AC$10*$D824*INDEX(AC$18:AC$25,$E824)*INDEX(AC$27:AC$43,$F824)</f>
        <v/>
      </c>
      <c r="AD824" s="36">
        <f>AD$10*$D824*INDEX(AD$18:AD$25,$E824)*INDEX(AD$27:AD$43,$F824)</f>
        <v/>
      </c>
      <c r="AE824" s="36">
        <f>AE$10*$D824*INDEX(AE$18:AE$25,$E824)*INDEX(AE$27:AE$43,$F824)</f>
        <v/>
      </c>
      <c r="AF824" s="36">
        <f>AF$10*$D824*INDEX(AF$18:AF$25,$E824)*INDEX(AF$27:AF$43,$F824)</f>
        <v/>
      </c>
      <c r="AG824" s="36">
        <f>AG$10*$D824*INDEX(AG$18:AG$25,$E824)*INDEX(AG$27:AG$43,$F824)</f>
        <v/>
      </c>
      <c r="AH824" s="36">
        <f>AH$10*$D824*INDEX(AH$18:AH$25,$E824)*INDEX(AH$27:AH$43,$F824)</f>
        <v/>
      </c>
      <c r="AI824" s="36">
        <f>AI$10*$D824*INDEX(AI$18:AI$25,$E824)*INDEX(AI$27:AI$43,$F824)</f>
        <v/>
      </c>
      <c r="AJ824" s="36">
        <f>AJ$10*$D824*INDEX(AJ$18:AJ$25,$E824)*INDEX(AJ$27:AJ$43,$F824)</f>
        <v/>
      </c>
      <c r="AK824" s="36">
        <f>AK$10*$D824*INDEX(AK$18:AK$25,$E824)*INDEX(AK$27:AK$43,$F824)</f>
        <v/>
      </c>
      <c r="AL824" s="36">
        <f>AL$10*$D824*INDEX(AL$18:AL$25,$E824)*INDEX(AL$27:AL$43,$F824)</f>
        <v/>
      </c>
      <c r="AM824" s="36">
        <f>AM$10*$D824*INDEX(AM$18:AM$25,$E824)*INDEX(AM$27:AM$43,$F824)</f>
        <v/>
      </c>
      <c r="AN824" s="36">
        <f>AN$10*$D824*INDEX(AN$18:AN$25,$E824)*INDEX(AN$27:AN$43,$F824)</f>
        <v/>
      </c>
    </row>
    <row r="825" hidden="1" outlineLevel="2">
      <c r="A825" s="5" t="inlineStr">
        <is>
          <t>ctxnew</t>
        </is>
      </c>
      <c r="B825" s="5" t="inlineStr">
        <is>
          <t>nga</t>
        </is>
      </c>
      <c r="C825" s="5" t="inlineStr">
        <is>
          <t>nfm</t>
        </is>
      </c>
      <c r="D825" s="36">
        <f>INDEX(Inputs!$U$5:$U$132,MATCH($B825&amp;"|"&amp;$C825,Inputs!$A$5:$A$132,0))</f>
        <v/>
      </c>
      <c r="E825" s="36">
        <f>INDEX(Inputs!$J$5:$J$132,MATCH($B825&amp;"|"&amp;$C825,Inputs!$A$5:$A$132,0))</f>
        <v/>
      </c>
      <c r="F825" s="36">
        <f>INDEX(Inputs!$K$5:$K$132,MATCH($B825&amp;"|"&amp;$C825,Inputs!$A$5:$A$132,0))</f>
        <v/>
      </c>
      <c r="G825" s="37" t="n"/>
      <c r="H825" s="5">
        <f>INDEX(Variables!$B$5:$B$65,MATCH($A825,Variables!$A$5:$A$65,0))&amp;IF($C825="",""," | "&amp;INDEX(Mapping!$B$5:$B$25,MATCH($C825,Mapping!$A$5:$A$25,0))&amp;" | "&amp;INDEX(Mapping!$B$29:$B$38,MATCH($B825,Mapping!$A$29:$A$38,0)))</f>
        <v/>
      </c>
      <c r="I825" s="5">
        <f>INDEX(Variables!$C$5:$C$65,MATCH($A825,Variables!$A$5:$A$65,0))</f>
        <v/>
      </c>
      <c r="J825" s="5">
        <f>INDEX(Variables!$E$5:$E$65,MATCH($A825,Variables!$A$5:$A$65,0))</f>
        <v/>
      </c>
      <c r="K825" s="23">
        <f>LOWER(Settings!$C$4)&amp;".mit."&amp;$A825&amp;IF($C825="","","."&amp;$C825&amp;"."&amp;$B825)&amp;IF(INDEX(Variables!$D$5:$D$65,MATCH($A825,Variables!$A$5:$A$65,0))="","","."&amp;INDEX(Variables!$D$5:$D$65,MATCH($A825,Variables!$A$5:$A$65,0)))&amp;"."&amp;K$5</f>
        <v/>
      </c>
      <c r="L825" s="38">
        <f>L$10*$D825*INDEX(L$18:L$25,$E825)*INDEX(L$27:L$43,$F825)</f>
        <v/>
      </c>
      <c r="M825" s="36">
        <f>M$10*$D825*INDEX(M$18:M$25,$E825)*INDEX(M$27:M$43,$F825)</f>
        <v/>
      </c>
      <c r="N825" s="36">
        <f>N$10*$D825*INDEX(N$18:N$25,$E825)*INDEX(N$27:N$43,$F825)</f>
        <v/>
      </c>
      <c r="O825" s="36">
        <f>O$10*$D825*INDEX(O$18:O$25,$E825)*INDEX(O$27:O$43,$F825)</f>
        <v/>
      </c>
      <c r="P825" s="36">
        <f>P$10*$D825*INDEX(P$18:P$25,$E825)*INDEX(P$27:P$43,$F825)</f>
        <v/>
      </c>
      <c r="Q825" s="36">
        <f>Q$10*$D825*INDEX(Q$18:Q$25,$E825)*INDEX(Q$27:Q$43,$F825)</f>
        <v/>
      </c>
      <c r="R825" s="36">
        <f>R$10*$D825*INDEX(R$18:R$25,$E825)*INDEX(R$27:R$43,$F825)</f>
        <v/>
      </c>
      <c r="S825" s="36">
        <f>S$10*$D825*INDEX(S$18:S$25,$E825)*INDEX(S$27:S$43,$F825)</f>
        <v/>
      </c>
      <c r="T825" s="36">
        <f>T$10*$D825*INDEX(T$18:T$25,$E825)*INDEX(T$27:T$43,$F825)</f>
        <v/>
      </c>
      <c r="U825" s="36">
        <f>U$10*$D825*INDEX(U$18:U$25,$E825)*INDEX(U$27:U$43,$F825)</f>
        <v/>
      </c>
      <c r="V825" s="36">
        <f>V$10*$D825*INDEX(V$18:V$25,$E825)*INDEX(V$27:V$43,$F825)</f>
        <v/>
      </c>
      <c r="W825" s="36">
        <f>W$10*$D825*INDEX(W$18:W$25,$E825)*INDEX(W$27:W$43,$F825)</f>
        <v/>
      </c>
      <c r="X825" s="36">
        <f>X$10*$D825*INDEX(X$18:X$25,$E825)*INDEX(X$27:X$43,$F825)</f>
        <v/>
      </c>
      <c r="Y825" s="36">
        <f>Y$10*$D825*INDEX(Y$18:Y$25,$E825)*INDEX(Y$27:Y$43,$F825)</f>
        <v/>
      </c>
      <c r="Z825" s="23">
        <f>LOWER(Settings!$C$4)&amp;".mit."&amp;$A825&amp;IF($C825="","","."&amp;$C825&amp;"."&amp;$B825)&amp;IF(INDEX(Variables!$D$5:$D$65,MATCH($A825,Variables!$A$5:$A$65,0))="","","."&amp;INDEX(Variables!$D$5:$D$65,MATCH($A825,Variables!$A$5:$A$65,0)))&amp;"."&amp;Z$5</f>
        <v/>
      </c>
      <c r="AA825" s="38">
        <f>AA$10*$D825*INDEX(AA$18:AA$25,$E825)*INDEX(AA$27:AA$43,$F825)</f>
        <v/>
      </c>
      <c r="AB825" s="36">
        <f>AB$10*$D825*INDEX(AB$18:AB$25,$E825)*INDEX(AB$27:AB$43,$F825)</f>
        <v/>
      </c>
      <c r="AC825" s="36">
        <f>AC$10*$D825*INDEX(AC$18:AC$25,$E825)*INDEX(AC$27:AC$43,$F825)</f>
        <v/>
      </c>
      <c r="AD825" s="36">
        <f>AD$10*$D825*INDEX(AD$18:AD$25,$E825)*INDEX(AD$27:AD$43,$F825)</f>
        <v/>
      </c>
      <c r="AE825" s="36">
        <f>AE$10*$D825*INDEX(AE$18:AE$25,$E825)*INDEX(AE$27:AE$43,$F825)</f>
        <v/>
      </c>
      <c r="AF825" s="36">
        <f>AF$10*$D825*INDEX(AF$18:AF$25,$E825)*INDEX(AF$27:AF$43,$F825)</f>
        <v/>
      </c>
      <c r="AG825" s="36">
        <f>AG$10*$D825*INDEX(AG$18:AG$25,$E825)*INDEX(AG$27:AG$43,$F825)</f>
        <v/>
      </c>
      <c r="AH825" s="36">
        <f>AH$10*$D825*INDEX(AH$18:AH$25,$E825)*INDEX(AH$27:AH$43,$F825)</f>
        <v/>
      </c>
      <c r="AI825" s="36">
        <f>AI$10*$D825*INDEX(AI$18:AI$25,$E825)*INDEX(AI$27:AI$43,$F825)</f>
        <v/>
      </c>
      <c r="AJ825" s="36">
        <f>AJ$10*$D825*INDEX(AJ$18:AJ$25,$E825)*INDEX(AJ$27:AJ$43,$F825)</f>
        <v/>
      </c>
      <c r="AK825" s="36">
        <f>AK$10*$D825*INDEX(AK$18:AK$25,$E825)*INDEX(AK$27:AK$43,$F825)</f>
        <v/>
      </c>
      <c r="AL825" s="36">
        <f>AL$10*$D825*INDEX(AL$18:AL$25,$E825)*INDEX(AL$27:AL$43,$F825)</f>
        <v/>
      </c>
      <c r="AM825" s="36">
        <f>AM$10*$D825*INDEX(AM$18:AM$25,$E825)*INDEX(AM$27:AM$43,$F825)</f>
        <v/>
      </c>
      <c r="AN825" s="36">
        <f>AN$10*$D825*INDEX(AN$18:AN$25,$E825)*INDEX(AN$27:AN$43,$F825)</f>
        <v/>
      </c>
    </row>
    <row r="826" hidden="1" outlineLevel="2">
      <c r="A826" s="5" t="inlineStr">
        <is>
          <t>ctxnew</t>
        </is>
      </c>
      <c r="B826" s="5" t="inlineStr">
        <is>
          <t>gso</t>
        </is>
      </c>
      <c r="C826" s="5" t="inlineStr">
        <is>
          <t>nfm</t>
        </is>
      </c>
      <c r="D826" s="36">
        <f>INDEX(Inputs!$U$5:$U$132,MATCH($B826&amp;"|"&amp;$C826,Inputs!$A$5:$A$132,0))</f>
        <v/>
      </c>
      <c r="E826" s="36">
        <f>INDEX(Inputs!$J$5:$J$132,MATCH($B826&amp;"|"&amp;$C826,Inputs!$A$5:$A$132,0))</f>
        <v/>
      </c>
      <c r="F826" s="36">
        <f>INDEX(Inputs!$K$5:$K$132,MATCH($B826&amp;"|"&amp;$C826,Inputs!$A$5:$A$132,0))</f>
        <v/>
      </c>
      <c r="G826" s="37" t="n"/>
      <c r="H826" s="5">
        <f>INDEX(Variables!$B$5:$B$65,MATCH($A826,Variables!$A$5:$A$65,0))&amp;IF($C826="",""," | "&amp;INDEX(Mapping!$B$5:$B$25,MATCH($C826,Mapping!$A$5:$A$25,0))&amp;" | "&amp;INDEX(Mapping!$B$29:$B$38,MATCH($B826,Mapping!$A$29:$A$38,0)))</f>
        <v/>
      </c>
      <c r="I826" s="5">
        <f>INDEX(Variables!$C$5:$C$65,MATCH($A826,Variables!$A$5:$A$65,0))</f>
        <v/>
      </c>
      <c r="J826" s="5">
        <f>INDEX(Variables!$E$5:$E$65,MATCH($A826,Variables!$A$5:$A$65,0))</f>
        <v/>
      </c>
      <c r="K826" s="23">
        <f>LOWER(Settings!$C$4)&amp;".mit."&amp;$A826&amp;IF($C826="","","."&amp;$C826&amp;"."&amp;$B826)&amp;IF(INDEX(Variables!$D$5:$D$65,MATCH($A826,Variables!$A$5:$A$65,0))="","","."&amp;INDEX(Variables!$D$5:$D$65,MATCH($A826,Variables!$A$5:$A$65,0)))&amp;"."&amp;K$5</f>
        <v/>
      </c>
      <c r="L826" s="38">
        <f>L$10*$D826*INDEX(L$18:L$25,$E826)*INDEX(L$27:L$43,$F826)</f>
        <v/>
      </c>
      <c r="M826" s="36">
        <f>M$10*$D826*INDEX(M$18:M$25,$E826)*INDEX(M$27:M$43,$F826)</f>
        <v/>
      </c>
      <c r="N826" s="36">
        <f>N$10*$D826*INDEX(N$18:N$25,$E826)*INDEX(N$27:N$43,$F826)</f>
        <v/>
      </c>
      <c r="O826" s="36">
        <f>O$10*$D826*INDEX(O$18:O$25,$E826)*INDEX(O$27:O$43,$F826)</f>
        <v/>
      </c>
      <c r="P826" s="36">
        <f>P$10*$D826*INDEX(P$18:P$25,$E826)*INDEX(P$27:P$43,$F826)</f>
        <v/>
      </c>
      <c r="Q826" s="36">
        <f>Q$10*$D826*INDEX(Q$18:Q$25,$E826)*INDEX(Q$27:Q$43,$F826)</f>
        <v/>
      </c>
      <c r="R826" s="36">
        <f>R$10*$D826*INDEX(R$18:R$25,$E826)*INDEX(R$27:R$43,$F826)</f>
        <v/>
      </c>
      <c r="S826" s="36">
        <f>S$10*$D826*INDEX(S$18:S$25,$E826)*INDEX(S$27:S$43,$F826)</f>
        <v/>
      </c>
      <c r="T826" s="36">
        <f>T$10*$D826*INDEX(T$18:T$25,$E826)*INDEX(T$27:T$43,$F826)</f>
        <v/>
      </c>
      <c r="U826" s="36">
        <f>U$10*$D826*INDEX(U$18:U$25,$E826)*INDEX(U$27:U$43,$F826)</f>
        <v/>
      </c>
      <c r="V826" s="36">
        <f>V$10*$D826*INDEX(V$18:V$25,$E826)*INDEX(V$27:V$43,$F826)</f>
        <v/>
      </c>
      <c r="W826" s="36">
        <f>W$10*$D826*INDEX(W$18:W$25,$E826)*INDEX(W$27:W$43,$F826)</f>
        <v/>
      </c>
      <c r="X826" s="36">
        <f>X$10*$D826*INDEX(X$18:X$25,$E826)*INDEX(X$27:X$43,$F826)</f>
        <v/>
      </c>
      <c r="Y826" s="36">
        <f>Y$10*$D826*INDEX(Y$18:Y$25,$E826)*INDEX(Y$27:Y$43,$F826)</f>
        <v/>
      </c>
      <c r="Z826" s="23">
        <f>LOWER(Settings!$C$4)&amp;".mit."&amp;$A826&amp;IF($C826="","","."&amp;$C826&amp;"."&amp;$B826)&amp;IF(INDEX(Variables!$D$5:$D$65,MATCH($A826,Variables!$A$5:$A$65,0))="","","."&amp;INDEX(Variables!$D$5:$D$65,MATCH($A826,Variables!$A$5:$A$65,0)))&amp;"."&amp;Z$5</f>
        <v/>
      </c>
      <c r="AA826" s="38">
        <f>AA$10*$D826*INDEX(AA$18:AA$25,$E826)*INDEX(AA$27:AA$43,$F826)</f>
        <v/>
      </c>
      <c r="AB826" s="36">
        <f>AB$10*$D826*INDEX(AB$18:AB$25,$E826)*INDEX(AB$27:AB$43,$F826)</f>
        <v/>
      </c>
      <c r="AC826" s="36">
        <f>AC$10*$D826*INDEX(AC$18:AC$25,$E826)*INDEX(AC$27:AC$43,$F826)</f>
        <v/>
      </c>
      <c r="AD826" s="36">
        <f>AD$10*$D826*INDEX(AD$18:AD$25,$E826)*INDEX(AD$27:AD$43,$F826)</f>
        <v/>
      </c>
      <c r="AE826" s="36">
        <f>AE$10*$D826*INDEX(AE$18:AE$25,$E826)*INDEX(AE$27:AE$43,$F826)</f>
        <v/>
      </c>
      <c r="AF826" s="36">
        <f>AF$10*$D826*INDEX(AF$18:AF$25,$E826)*INDEX(AF$27:AF$43,$F826)</f>
        <v/>
      </c>
      <c r="AG826" s="36">
        <f>AG$10*$D826*INDEX(AG$18:AG$25,$E826)*INDEX(AG$27:AG$43,$F826)</f>
        <v/>
      </c>
      <c r="AH826" s="36">
        <f>AH$10*$D826*INDEX(AH$18:AH$25,$E826)*INDEX(AH$27:AH$43,$F826)</f>
        <v/>
      </c>
      <c r="AI826" s="36">
        <f>AI$10*$D826*INDEX(AI$18:AI$25,$E826)*INDEX(AI$27:AI$43,$F826)</f>
        <v/>
      </c>
      <c r="AJ826" s="36">
        <f>AJ$10*$D826*INDEX(AJ$18:AJ$25,$E826)*INDEX(AJ$27:AJ$43,$F826)</f>
        <v/>
      </c>
      <c r="AK826" s="36">
        <f>AK$10*$D826*INDEX(AK$18:AK$25,$E826)*INDEX(AK$27:AK$43,$F826)</f>
        <v/>
      </c>
      <c r="AL826" s="36">
        <f>AL$10*$D826*INDEX(AL$18:AL$25,$E826)*INDEX(AL$27:AL$43,$F826)</f>
        <v/>
      </c>
      <c r="AM826" s="36">
        <f>AM$10*$D826*INDEX(AM$18:AM$25,$E826)*INDEX(AM$27:AM$43,$F826)</f>
        <v/>
      </c>
      <c r="AN826" s="36">
        <f>AN$10*$D826*INDEX(AN$18:AN$25,$E826)*INDEX(AN$27:AN$43,$F826)</f>
        <v/>
      </c>
    </row>
    <row r="827" hidden="1" outlineLevel="2">
      <c r="A827" s="5" t="inlineStr">
        <is>
          <t>ctxnew</t>
        </is>
      </c>
      <c r="B827" s="5" t="inlineStr">
        <is>
          <t>die</t>
        </is>
      </c>
      <c r="C827" s="5" t="inlineStr">
        <is>
          <t>nfm</t>
        </is>
      </c>
      <c r="D827" s="36">
        <f>INDEX(Inputs!$U$5:$U$132,MATCH($B827&amp;"|"&amp;$C827,Inputs!$A$5:$A$132,0))</f>
        <v/>
      </c>
      <c r="E827" s="36">
        <f>INDEX(Inputs!$J$5:$J$132,MATCH($B827&amp;"|"&amp;$C827,Inputs!$A$5:$A$132,0))</f>
        <v/>
      </c>
      <c r="F827" s="36">
        <f>INDEX(Inputs!$K$5:$K$132,MATCH($B827&amp;"|"&amp;$C827,Inputs!$A$5:$A$132,0))</f>
        <v/>
      </c>
      <c r="G827" s="37" t="n"/>
      <c r="H827" s="5">
        <f>INDEX(Variables!$B$5:$B$65,MATCH($A827,Variables!$A$5:$A$65,0))&amp;IF($C827="",""," | "&amp;INDEX(Mapping!$B$5:$B$25,MATCH($C827,Mapping!$A$5:$A$25,0))&amp;" | "&amp;INDEX(Mapping!$B$29:$B$38,MATCH($B827,Mapping!$A$29:$A$38,0)))</f>
        <v/>
      </c>
      <c r="I827" s="5">
        <f>INDEX(Variables!$C$5:$C$65,MATCH($A827,Variables!$A$5:$A$65,0))</f>
        <v/>
      </c>
      <c r="J827" s="5">
        <f>INDEX(Variables!$E$5:$E$65,MATCH($A827,Variables!$A$5:$A$65,0))</f>
        <v/>
      </c>
      <c r="K827" s="23">
        <f>LOWER(Settings!$C$4)&amp;".mit."&amp;$A827&amp;IF($C827="","","."&amp;$C827&amp;"."&amp;$B827)&amp;IF(INDEX(Variables!$D$5:$D$65,MATCH($A827,Variables!$A$5:$A$65,0))="","","."&amp;INDEX(Variables!$D$5:$D$65,MATCH($A827,Variables!$A$5:$A$65,0)))&amp;"."&amp;K$5</f>
        <v/>
      </c>
      <c r="L827" s="38">
        <f>L$10*$D827*INDEX(L$18:L$25,$E827)*INDEX(L$27:L$43,$F827)</f>
        <v/>
      </c>
      <c r="M827" s="36">
        <f>M$10*$D827*INDEX(M$18:M$25,$E827)*INDEX(M$27:M$43,$F827)</f>
        <v/>
      </c>
      <c r="N827" s="36">
        <f>N$10*$D827*INDEX(N$18:N$25,$E827)*INDEX(N$27:N$43,$F827)</f>
        <v/>
      </c>
      <c r="O827" s="36">
        <f>O$10*$D827*INDEX(O$18:O$25,$E827)*INDEX(O$27:O$43,$F827)</f>
        <v/>
      </c>
      <c r="P827" s="36">
        <f>P$10*$D827*INDEX(P$18:P$25,$E827)*INDEX(P$27:P$43,$F827)</f>
        <v/>
      </c>
      <c r="Q827" s="36">
        <f>Q$10*$D827*INDEX(Q$18:Q$25,$E827)*INDEX(Q$27:Q$43,$F827)</f>
        <v/>
      </c>
      <c r="R827" s="36">
        <f>R$10*$D827*INDEX(R$18:R$25,$E827)*INDEX(R$27:R$43,$F827)</f>
        <v/>
      </c>
      <c r="S827" s="36">
        <f>S$10*$D827*INDEX(S$18:S$25,$E827)*INDEX(S$27:S$43,$F827)</f>
        <v/>
      </c>
      <c r="T827" s="36">
        <f>T$10*$D827*INDEX(T$18:T$25,$E827)*INDEX(T$27:T$43,$F827)</f>
        <v/>
      </c>
      <c r="U827" s="36">
        <f>U$10*$D827*INDEX(U$18:U$25,$E827)*INDEX(U$27:U$43,$F827)</f>
        <v/>
      </c>
      <c r="V827" s="36">
        <f>V$10*$D827*INDEX(V$18:V$25,$E827)*INDEX(V$27:V$43,$F827)</f>
        <v/>
      </c>
      <c r="W827" s="36">
        <f>W$10*$D827*INDEX(W$18:W$25,$E827)*INDEX(W$27:W$43,$F827)</f>
        <v/>
      </c>
      <c r="X827" s="36">
        <f>X$10*$D827*INDEX(X$18:X$25,$E827)*INDEX(X$27:X$43,$F827)</f>
        <v/>
      </c>
      <c r="Y827" s="36">
        <f>Y$10*$D827*INDEX(Y$18:Y$25,$E827)*INDEX(Y$27:Y$43,$F827)</f>
        <v/>
      </c>
      <c r="Z827" s="23">
        <f>LOWER(Settings!$C$4)&amp;".mit."&amp;$A827&amp;IF($C827="","","."&amp;$C827&amp;"."&amp;$B827)&amp;IF(INDEX(Variables!$D$5:$D$65,MATCH($A827,Variables!$A$5:$A$65,0))="","","."&amp;INDEX(Variables!$D$5:$D$65,MATCH($A827,Variables!$A$5:$A$65,0)))&amp;"."&amp;Z$5</f>
        <v/>
      </c>
      <c r="AA827" s="38">
        <f>AA$10*$D827*INDEX(AA$18:AA$25,$E827)*INDEX(AA$27:AA$43,$F827)</f>
        <v/>
      </c>
      <c r="AB827" s="36">
        <f>AB$10*$D827*INDEX(AB$18:AB$25,$E827)*INDEX(AB$27:AB$43,$F827)</f>
        <v/>
      </c>
      <c r="AC827" s="36">
        <f>AC$10*$D827*INDEX(AC$18:AC$25,$E827)*INDEX(AC$27:AC$43,$F827)</f>
        <v/>
      </c>
      <c r="AD827" s="36">
        <f>AD$10*$D827*INDEX(AD$18:AD$25,$E827)*INDEX(AD$27:AD$43,$F827)</f>
        <v/>
      </c>
      <c r="AE827" s="36">
        <f>AE$10*$D827*INDEX(AE$18:AE$25,$E827)*INDEX(AE$27:AE$43,$F827)</f>
        <v/>
      </c>
      <c r="AF827" s="36">
        <f>AF$10*$D827*INDEX(AF$18:AF$25,$E827)*INDEX(AF$27:AF$43,$F827)</f>
        <v/>
      </c>
      <c r="AG827" s="36">
        <f>AG$10*$D827*INDEX(AG$18:AG$25,$E827)*INDEX(AG$27:AG$43,$F827)</f>
        <v/>
      </c>
      <c r="AH827" s="36">
        <f>AH$10*$D827*INDEX(AH$18:AH$25,$E827)*INDEX(AH$27:AH$43,$F827)</f>
        <v/>
      </c>
      <c r="AI827" s="36">
        <f>AI$10*$D827*INDEX(AI$18:AI$25,$E827)*INDEX(AI$27:AI$43,$F827)</f>
        <v/>
      </c>
      <c r="AJ827" s="36">
        <f>AJ$10*$D827*INDEX(AJ$18:AJ$25,$E827)*INDEX(AJ$27:AJ$43,$F827)</f>
        <v/>
      </c>
      <c r="AK827" s="36">
        <f>AK$10*$D827*INDEX(AK$18:AK$25,$E827)*INDEX(AK$27:AK$43,$F827)</f>
        <v/>
      </c>
      <c r="AL827" s="36">
        <f>AL$10*$D827*INDEX(AL$18:AL$25,$E827)*INDEX(AL$27:AL$43,$F827)</f>
        <v/>
      </c>
      <c r="AM827" s="36">
        <f>AM$10*$D827*INDEX(AM$18:AM$25,$E827)*INDEX(AM$27:AM$43,$F827)</f>
        <v/>
      </c>
      <c r="AN827" s="36">
        <f>AN$10*$D827*INDEX(AN$18:AN$25,$E827)*INDEX(AN$27:AN$43,$F827)</f>
        <v/>
      </c>
    </row>
    <row r="828" hidden="1" outlineLevel="2">
      <c r="A828" s="5" t="inlineStr">
        <is>
          <t>ctxnew</t>
        </is>
      </c>
      <c r="B828" s="5" t="inlineStr">
        <is>
          <t>lpg</t>
        </is>
      </c>
      <c r="C828" s="5" t="inlineStr">
        <is>
          <t>nfm</t>
        </is>
      </c>
      <c r="D828" s="36">
        <f>INDEX(Inputs!$U$5:$U$132,MATCH($B828&amp;"|"&amp;$C828,Inputs!$A$5:$A$132,0))</f>
        <v/>
      </c>
      <c r="E828" s="36">
        <f>INDEX(Inputs!$J$5:$J$132,MATCH($B828&amp;"|"&amp;$C828,Inputs!$A$5:$A$132,0))</f>
        <v/>
      </c>
      <c r="F828" s="36">
        <f>INDEX(Inputs!$K$5:$K$132,MATCH($B828&amp;"|"&amp;$C828,Inputs!$A$5:$A$132,0))</f>
        <v/>
      </c>
      <c r="G828" s="37" t="n"/>
      <c r="H828" s="5">
        <f>INDEX(Variables!$B$5:$B$65,MATCH($A828,Variables!$A$5:$A$65,0))&amp;IF($C828="",""," | "&amp;INDEX(Mapping!$B$5:$B$25,MATCH($C828,Mapping!$A$5:$A$25,0))&amp;" | "&amp;INDEX(Mapping!$B$29:$B$38,MATCH($B828,Mapping!$A$29:$A$38,0)))</f>
        <v/>
      </c>
      <c r="I828" s="5">
        <f>INDEX(Variables!$C$5:$C$65,MATCH($A828,Variables!$A$5:$A$65,0))</f>
        <v/>
      </c>
      <c r="J828" s="5">
        <f>INDEX(Variables!$E$5:$E$65,MATCH($A828,Variables!$A$5:$A$65,0))</f>
        <v/>
      </c>
      <c r="K828" s="23">
        <f>LOWER(Settings!$C$4)&amp;".mit."&amp;$A828&amp;IF($C828="","","."&amp;$C828&amp;"."&amp;$B828)&amp;IF(INDEX(Variables!$D$5:$D$65,MATCH($A828,Variables!$A$5:$A$65,0))="","","."&amp;INDEX(Variables!$D$5:$D$65,MATCH($A828,Variables!$A$5:$A$65,0)))&amp;"."&amp;K$5</f>
        <v/>
      </c>
      <c r="L828" s="38">
        <f>L$10*$D828*INDEX(L$18:L$25,$E828)*INDEX(L$27:L$43,$F828)</f>
        <v/>
      </c>
      <c r="M828" s="36">
        <f>M$10*$D828*INDEX(M$18:M$25,$E828)*INDEX(M$27:M$43,$F828)</f>
        <v/>
      </c>
      <c r="N828" s="36">
        <f>N$10*$D828*INDEX(N$18:N$25,$E828)*INDEX(N$27:N$43,$F828)</f>
        <v/>
      </c>
      <c r="O828" s="36">
        <f>O$10*$D828*INDEX(O$18:O$25,$E828)*INDEX(O$27:O$43,$F828)</f>
        <v/>
      </c>
      <c r="P828" s="36">
        <f>P$10*$D828*INDEX(P$18:P$25,$E828)*INDEX(P$27:P$43,$F828)</f>
        <v/>
      </c>
      <c r="Q828" s="36">
        <f>Q$10*$D828*INDEX(Q$18:Q$25,$E828)*INDEX(Q$27:Q$43,$F828)</f>
        <v/>
      </c>
      <c r="R828" s="36">
        <f>R$10*$D828*INDEX(R$18:R$25,$E828)*INDEX(R$27:R$43,$F828)</f>
        <v/>
      </c>
      <c r="S828" s="36">
        <f>S$10*$D828*INDEX(S$18:S$25,$E828)*INDEX(S$27:S$43,$F828)</f>
        <v/>
      </c>
      <c r="T828" s="36">
        <f>T$10*$D828*INDEX(T$18:T$25,$E828)*INDEX(T$27:T$43,$F828)</f>
        <v/>
      </c>
      <c r="U828" s="36">
        <f>U$10*$D828*INDEX(U$18:U$25,$E828)*INDEX(U$27:U$43,$F828)</f>
        <v/>
      </c>
      <c r="V828" s="36">
        <f>V$10*$D828*INDEX(V$18:V$25,$E828)*INDEX(V$27:V$43,$F828)</f>
        <v/>
      </c>
      <c r="W828" s="36">
        <f>W$10*$D828*INDEX(W$18:W$25,$E828)*INDEX(W$27:W$43,$F828)</f>
        <v/>
      </c>
      <c r="X828" s="36">
        <f>X$10*$D828*INDEX(X$18:X$25,$E828)*INDEX(X$27:X$43,$F828)</f>
        <v/>
      </c>
      <c r="Y828" s="36">
        <f>Y$10*$D828*INDEX(Y$18:Y$25,$E828)*INDEX(Y$27:Y$43,$F828)</f>
        <v/>
      </c>
      <c r="Z828" s="23">
        <f>LOWER(Settings!$C$4)&amp;".mit."&amp;$A828&amp;IF($C828="","","."&amp;$C828&amp;"."&amp;$B828)&amp;IF(INDEX(Variables!$D$5:$D$65,MATCH($A828,Variables!$A$5:$A$65,0))="","","."&amp;INDEX(Variables!$D$5:$D$65,MATCH($A828,Variables!$A$5:$A$65,0)))&amp;"."&amp;Z$5</f>
        <v/>
      </c>
      <c r="AA828" s="38">
        <f>AA$10*$D828*INDEX(AA$18:AA$25,$E828)*INDEX(AA$27:AA$43,$F828)</f>
        <v/>
      </c>
      <c r="AB828" s="36">
        <f>AB$10*$D828*INDEX(AB$18:AB$25,$E828)*INDEX(AB$27:AB$43,$F828)</f>
        <v/>
      </c>
      <c r="AC828" s="36">
        <f>AC$10*$D828*INDEX(AC$18:AC$25,$E828)*INDEX(AC$27:AC$43,$F828)</f>
        <v/>
      </c>
      <c r="AD828" s="36">
        <f>AD$10*$D828*INDEX(AD$18:AD$25,$E828)*INDEX(AD$27:AD$43,$F828)</f>
        <v/>
      </c>
      <c r="AE828" s="36">
        <f>AE$10*$D828*INDEX(AE$18:AE$25,$E828)*INDEX(AE$27:AE$43,$F828)</f>
        <v/>
      </c>
      <c r="AF828" s="36">
        <f>AF$10*$D828*INDEX(AF$18:AF$25,$E828)*INDEX(AF$27:AF$43,$F828)</f>
        <v/>
      </c>
      <c r="AG828" s="36">
        <f>AG$10*$D828*INDEX(AG$18:AG$25,$E828)*INDEX(AG$27:AG$43,$F828)</f>
        <v/>
      </c>
      <c r="AH828" s="36">
        <f>AH$10*$D828*INDEX(AH$18:AH$25,$E828)*INDEX(AH$27:AH$43,$F828)</f>
        <v/>
      </c>
      <c r="AI828" s="36">
        <f>AI$10*$D828*INDEX(AI$18:AI$25,$E828)*INDEX(AI$27:AI$43,$F828)</f>
        <v/>
      </c>
      <c r="AJ828" s="36">
        <f>AJ$10*$D828*INDEX(AJ$18:AJ$25,$E828)*INDEX(AJ$27:AJ$43,$F828)</f>
        <v/>
      </c>
      <c r="AK828" s="36">
        <f>AK$10*$D828*INDEX(AK$18:AK$25,$E828)*INDEX(AK$27:AK$43,$F828)</f>
        <v/>
      </c>
      <c r="AL828" s="36">
        <f>AL$10*$D828*INDEX(AL$18:AL$25,$E828)*INDEX(AL$27:AL$43,$F828)</f>
        <v/>
      </c>
      <c r="AM828" s="36">
        <f>AM$10*$D828*INDEX(AM$18:AM$25,$E828)*INDEX(AM$27:AM$43,$F828)</f>
        <v/>
      </c>
      <c r="AN828" s="36">
        <f>AN$10*$D828*INDEX(AN$18:AN$25,$E828)*INDEX(AN$27:AN$43,$F828)</f>
        <v/>
      </c>
    </row>
    <row r="829" hidden="1" outlineLevel="2">
      <c r="A829" s="5" t="inlineStr">
        <is>
          <t>ctxnew</t>
        </is>
      </c>
      <c r="B829" s="5" t="inlineStr">
        <is>
          <t>ker</t>
        </is>
      </c>
      <c r="C829" s="5" t="inlineStr">
        <is>
          <t>nfm</t>
        </is>
      </c>
      <c r="D829" s="36">
        <f>INDEX(Inputs!$U$5:$U$132,MATCH($B829&amp;"|"&amp;$C829,Inputs!$A$5:$A$132,0))</f>
        <v/>
      </c>
      <c r="E829" s="36">
        <f>INDEX(Inputs!$J$5:$J$132,MATCH($B829&amp;"|"&amp;$C829,Inputs!$A$5:$A$132,0))</f>
        <v/>
      </c>
      <c r="F829" s="36">
        <f>INDEX(Inputs!$K$5:$K$132,MATCH($B829&amp;"|"&amp;$C829,Inputs!$A$5:$A$132,0))</f>
        <v/>
      </c>
      <c r="G829" s="37" t="n"/>
      <c r="H829" s="5">
        <f>INDEX(Variables!$B$5:$B$65,MATCH($A829,Variables!$A$5:$A$65,0))&amp;IF($C829="",""," | "&amp;INDEX(Mapping!$B$5:$B$25,MATCH($C829,Mapping!$A$5:$A$25,0))&amp;" | "&amp;INDEX(Mapping!$B$29:$B$38,MATCH($B829,Mapping!$A$29:$A$38,0)))</f>
        <v/>
      </c>
      <c r="I829" s="5">
        <f>INDEX(Variables!$C$5:$C$65,MATCH($A829,Variables!$A$5:$A$65,0))</f>
        <v/>
      </c>
      <c r="J829" s="5">
        <f>INDEX(Variables!$E$5:$E$65,MATCH($A829,Variables!$A$5:$A$65,0))</f>
        <v/>
      </c>
      <c r="K829" s="23">
        <f>LOWER(Settings!$C$4)&amp;".mit."&amp;$A829&amp;IF($C829="","","."&amp;$C829&amp;"."&amp;$B829)&amp;IF(INDEX(Variables!$D$5:$D$65,MATCH($A829,Variables!$A$5:$A$65,0))="","","."&amp;INDEX(Variables!$D$5:$D$65,MATCH($A829,Variables!$A$5:$A$65,0)))&amp;"."&amp;K$5</f>
        <v/>
      </c>
      <c r="L829" s="38">
        <f>L$10*$D829*INDEX(L$18:L$25,$E829)*INDEX(L$27:L$43,$F829)</f>
        <v/>
      </c>
      <c r="M829" s="36">
        <f>M$10*$D829*INDEX(M$18:M$25,$E829)*INDEX(M$27:M$43,$F829)</f>
        <v/>
      </c>
      <c r="N829" s="36">
        <f>N$10*$D829*INDEX(N$18:N$25,$E829)*INDEX(N$27:N$43,$F829)</f>
        <v/>
      </c>
      <c r="O829" s="36">
        <f>O$10*$D829*INDEX(O$18:O$25,$E829)*INDEX(O$27:O$43,$F829)</f>
        <v/>
      </c>
      <c r="P829" s="36">
        <f>P$10*$D829*INDEX(P$18:P$25,$E829)*INDEX(P$27:P$43,$F829)</f>
        <v/>
      </c>
      <c r="Q829" s="36">
        <f>Q$10*$D829*INDEX(Q$18:Q$25,$E829)*INDEX(Q$27:Q$43,$F829)</f>
        <v/>
      </c>
      <c r="R829" s="36">
        <f>R$10*$D829*INDEX(R$18:R$25,$E829)*INDEX(R$27:R$43,$F829)</f>
        <v/>
      </c>
      <c r="S829" s="36">
        <f>S$10*$D829*INDEX(S$18:S$25,$E829)*INDEX(S$27:S$43,$F829)</f>
        <v/>
      </c>
      <c r="T829" s="36">
        <f>T$10*$D829*INDEX(T$18:T$25,$E829)*INDEX(T$27:T$43,$F829)</f>
        <v/>
      </c>
      <c r="U829" s="36">
        <f>U$10*$D829*INDEX(U$18:U$25,$E829)*INDEX(U$27:U$43,$F829)</f>
        <v/>
      </c>
      <c r="V829" s="36">
        <f>V$10*$D829*INDEX(V$18:V$25,$E829)*INDEX(V$27:V$43,$F829)</f>
        <v/>
      </c>
      <c r="W829" s="36">
        <f>W$10*$D829*INDEX(W$18:W$25,$E829)*INDEX(W$27:W$43,$F829)</f>
        <v/>
      </c>
      <c r="X829" s="36">
        <f>X$10*$D829*INDEX(X$18:X$25,$E829)*INDEX(X$27:X$43,$F829)</f>
        <v/>
      </c>
      <c r="Y829" s="36">
        <f>Y$10*$D829*INDEX(Y$18:Y$25,$E829)*INDEX(Y$27:Y$43,$F829)</f>
        <v/>
      </c>
      <c r="Z829" s="23">
        <f>LOWER(Settings!$C$4)&amp;".mit."&amp;$A829&amp;IF($C829="","","."&amp;$C829&amp;"."&amp;$B829)&amp;IF(INDEX(Variables!$D$5:$D$65,MATCH($A829,Variables!$A$5:$A$65,0))="","","."&amp;INDEX(Variables!$D$5:$D$65,MATCH($A829,Variables!$A$5:$A$65,0)))&amp;"."&amp;Z$5</f>
        <v/>
      </c>
      <c r="AA829" s="38">
        <f>AA$10*$D829*INDEX(AA$18:AA$25,$E829)*INDEX(AA$27:AA$43,$F829)</f>
        <v/>
      </c>
      <c r="AB829" s="36">
        <f>AB$10*$D829*INDEX(AB$18:AB$25,$E829)*INDEX(AB$27:AB$43,$F829)</f>
        <v/>
      </c>
      <c r="AC829" s="36">
        <f>AC$10*$D829*INDEX(AC$18:AC$25,$E829)*INDEX(AC$27:AC$43,$F829)</f>
        <v/>
      </c>
      <c r="AD829" s="36">
        <f>AD$10*$D829*INDEX(AD$18:AD$25,$E829)*INDEX(AD$27:AD$43,$F829)</f>
        <v/>
      </c>
      <c r="AE829" s="36">
        <f>AE$10*$D829*INDEX(AE$18:AE$25,$E829)*INDEX(AE$27:AE$43,$F829)</f>
        <v/>
      </c>
      <c r="AF829" s="36">
        <f>AF$10*$D829*INDEX(AF$18:AF$25,$E829)*INDEX(AF$27:AF$43,$F829)</f>
        <v/>
      </c>
      <c r="AG829" s="36">
        <f>AG$10*$D829*INDEX(AG$18:AG$25,$E829)*INDEX(AG$27:AG$43,$F829)</f>
        <v/>
      </c>
      <c r="AH829" s="36">
        <f>AH$10*$D829*INDEX(AH$18:AH$25,$E829)*INDEX(AH$27:AH$43,$F829)</f>
        <v/>
      </c>
      <c r="AI829" s="36">
        <f>AI$10*$D829*INDEX(AI$18:AI$25,$E829)*INDEX(AI$27:AI$43,$F829)</f>
        <v/>
      </c>
      <c r="AJ829" s="36">
        <f>AJ$10*$D829*INDEX(AJ$18:AJ$25,$E829)*INDEX(AJ$27:AJ$43,$F829)</f>
        <v/>
      </c>
      <c r="AK829" s="36">
        <f>AK$10*$D829*INDEX(AK$18:AK$25,$E829)*INDEX(AK$27:AK$43,$F829)</f>
        <v/>
      </c>
      <c r="AL829" s="36">
        <f>AL$10*$D829*INDEX(AL$18:AL$25,$E829)*INDEX(AL$27:AL$43,$F829)</f>
        <v/>
      </c>
      <c r="AM829" s="36">
        <f>AM$10*$D829*INDEX(AM$18:AM$25,$E829)*INDEX(AM$27:AM$43,$F829)</f>
        <v/>
      </c>
      <c r="AN829" s="36">
        <f>AN$10*$D829*INDEX(AN$18:AN$25,$E829)*INDEX(AN$27:AN$43,$F829)</f>
        <v/>
      </c>
    </row>
    <row r="830" hidden="1" outlineLevel="2">
      <c r="A830" s="5" t="inlineStr">
        <is>
          <t>ctxnew</t>
        </is>
      </c>
      <c r="B830" s="5" t="inlineStr">
        <is>
          <t>oop</t>
        </is>
      </c>
      <c r="C830" s="5" t="inlineStr">
        <is>
          <t>nfm</t>
        </is>
      </c>
      <c r="D830" s="36">
        <f>INDEX(Inputs!$U$5:$U$132,MATCH($B830&amp;"|"&amp;$C830,Inputs!$A$5:$A$132,0))</f>
        <v/>
      </c>
      <c r="E830" s="36">
        <f>INDEX(Inputs!$J$5:$J$132,MATCH($B830&amp;"|"&amp;$C830,Inputs!$A$5:$A$132,0))</f>
        <v/>
      </c>
      <c r="F830" s="36">
        <f>INDEX(Inputs!$K$5:$K$132,MATCH($B830&amp;"|"&amp;$C830,Inputs!$A$5:$A$132,0))</f>
        <v/>
      </c>
      <c r="G830" s="37" t="n"/>
      <c r="H830" s="5">
        <f>INDEX(Variables!$B$5:$B$65,MATCH($A830,Variables!$A$5:$A$65,0))&amp;IF($C830="",""," | "&amp;INDEX(Mapping!$B$5:$B$25,MATCH($C830,Mapping!$A$5:$A$25,0))&amp;" | "&amp;INDEX(Mapping!$B$29:$B$38,MATCH($B830,Mapping!$A$29:$A$38,0)))</f>
        <v/>
      </c>
      <c r="I830" s="5">
        <f>INDEX(Variables!$C$5:$C$65,MATCH($A830,Variables!$A$5:$A$65,0))</f>
        <v/>
      </c>
      <c r="J830" s="5">
        <f>INDEX(Variables!$E$5:$E$65,MATCH($A830,Variables!$A$5:$A$65,0))</f>
        <v/>
      </c>
      <c r="K830" s="23">
        <f>LOWER(Settings!$C$4)&amp;".mit."&amp;$A830&amp;IF($C830="","","."&amp;$C830&amp;"."&amp;$B830)&amp;IF(INDEX(Variables!$D$5:$D$65,MATCH($A830,Variables!$A$5:$A$65,0))="","","."&amp;INDEX(Variables!$D$5:$D$65,MATCH($A830,Variables!$A$5:$A$65,0)))&amp;"."&amp;K$5</f>
        <v/>
      </c>
      <c r="L830" s="38">
        <f>L$10*$D830*INDEX(L$18:L$25,$E830)*INDEX(L$27:L$43,$F830)</f>
        <v/>
      </c>
      <c r="M830" s="36">
        <f>M$10*$D830*INDEX(M$18:M$25,$E830)*INDEX(M$27:M$43,$F830)</f>
        <v/>
      </c>
      <c r="N830" s="36">
        <f>N$10*$D830*INDEX(N$18:N$25,$E830)*INDEX(N$27:N$43,$F830)</f>
        <v/>
      </c>
      <c r="O830" s="36">
        <f>O$10*$D830*INDEX(O$18:O$25,$E830)*INDEX(O$27:O$43,$F830)</f>
        <v/>
      </c>
      <c r="P830" s="36">
        <f>P$10*$D830*INDEX(P$18:P$25,$E830)*INDEX(P$27:P$43,$F830)</f>
        <v/>
      </c>
      <c r="Q830" s="36">
        <f>Q$10*$D830*INDEX(Q$18:Q$25,$E830)*INDEX(Q$27:Q$43,$F830)</f>
        <v/>
      </c>
      <c r="R830" s="36">
        <f>R$10*$D830*INDEX(R$18:R$25,$E830)*INDEX(R$27:R$43,$F830)</f>
        <v/>
      </c>
      <c r="S830" s="36">
        <f>S$10*$D830*INDEX(S$18:S$25,$E830)*INDEX(S$27:S$43,$F830)</f>
        <v/>
      </c>
      <c r="T830" s="36">
        <f>T$10*$D830*INDEX(T$18:T$25,$E830)*INDEX(T$27:T$43,$F830)</f>
        <v/>
      </c>
      <c r="U830" s="36">
        <f>U$10*$D830*INDEX(U$18:U$25,$E830)*INDEX(U$27:U$43,$F830)</f>
        <v/>
      </c>
      <c r="V830" s="36">
        <f>V$10*$D830*INDEX(V$18:V$25,$E830)*INDEX(V$27:V$43,$F830)</f>
        <v/>
      </c>
      <c r="W830" s="36">
        <f>W$10*$D830*INDEX(W$18:W$25,$E830)*INDEX(W$27:W$43,$F830)</f>
        <v/>
      </c>
      <c r="X830" s="36">
        <f>X$10*$D830*INDEX(X$18:X$25,$E830)*INDEX(X$27:X$43,$F830)</f>
        <v/>
      </c>
      <c r="Y830" s="36">
        <f>Y$10*$D830*INDEX(Y$18:Y$25,$E830)*INDEX(Y$27:Y$43,$F830)</f>
        <v/>
      </c>
      <c r="Z830" s="23">
        <f>LOWER(Settings!$C$4)&amp;".mit."&amp;$A830&amp;IF($C830="","","."&amp;$C830&amp;"."&amp;$B830)&amp;IF(INDEX(Variables!$D$5:$D$65,MATCH($A830,Variables!$A$5:$A$65,0))="","","."&amp;INDEX(Variables!$D$5:$D$65,MATCH($A830,Variables!$A$5:$A$65,0)))&amp;"."&amp;Z$5</f>
        <v/>
      </c>
      <c r="AA830" s="38">
        <f>AA$10*$D830*INDEX(AA$18:AA$25,$E830)*INDEX(AA$27:AA$43,$F830)</f>
        <v/>
      </c>
      <c r="AB830" s="36">
        <f>AB$10*$D830*INDEX(AB$18:AB$25,$E830)*INDEX(AB$27:AB$43,$F830)</f>
        <v/>
      </c>
      <c r="AC830" s="36">
        <f>AC$10*$D830*INDEX(AC$18:AC$25,$E830)*INDEX(AC$27:AC$43,$F830)</f>
        <v/>
      </c>
      <c r="AD830" s="36">
        <f>AD$10*$D830*INDEX(AD$18:AD$25,$E830)*INDEX(AD$27:AD$43,$F830)</f>
        <v/>
      </c>
      <c r="AE830" s="36">
        <f>AE$10*$D830*INDEX(AE$18:AE$25,$E830)*INDEX(AE$27:AE$43,$F830)</f>
        <v/>
      </c>
      <c r="AF830" s="36">
        <f>AF$10*$D830*INDEX(AF$18:AF$25,$E830)*INDEX(AF$27:AF$43,$F830)</f>
        <v/>
      </c>
      <c r="AG830" s="36">
        <f>AG$10*$D830*INDEX(AG$18:AG$25,$E830)*INDEX(AG$27:AG$43,$F830)</f>
        <v/>
      </c>
      <c r="AH830" s="36">
        <f>AH$10*$D830*INDEX(AH$18:AH$25,$E830)*INDEX(AH$27:AH$43,$F830)</f>
        <v/>
      </c>
      <c r="AI830" s="36">
        <f>AI$10*$D830*INDEX(AI$18:AI$25,$E830)*INDEX(AI$27:AI$43,$F830)</f>
        <v/>
      </c>
      <c r="AJ830" s="36">
        <f>AJ$10*$D830*INDEX(AJ$18:AJ$25,$E830)*INDEX(AJ$27:AJ$43,$F830)</f>
        <v/>
      </c>
      <c r="AK830" s="36">
        <f>AK$10*$D830*INDEX(AK$18:AK$25,$E830)*INDEX(AK$27:AK$43,$F830)</f>
        <v/>
      </c>
      <c r="AL830" s="36">
        <f>AL$10*$D830*INDEX(AL$18:AL$25,$E830)*INDEX(AL$27:AL$43,$F830)</f>
        <v/>
      </c>
      <c r="AM830" s="36">
        <f>AM$10*$D830*INDEX(AM$18:AM$25,$E830)*INDEX(AM$27:AM$43,$F830)</f>
        <v/>
      </c>
      <c r="AN830" s="36">
        <f>AN$10*$D830*INDEX(AN$18:AN$25,$E830)*INDEX(AN$27:AN$43,$F830)</f>
        <v/>
      </c>
    </row>
    <row r="831" hidden="1" outlineLevel="2">
      <c r="A831" s="5" t="inlineStr">
        <is>
          <t>ctxnew</t>
        </is>
      </c>
      <c r="B831" s="5" t="inlineStr">
        <is>
          <t>bio</t>
        </is>
      </c>
      <c r="C831" s="5" t="inlineStr">
        <is>
          <t>nfm</t>
        </is>
      </c>
      <c r="D831" s="36">
        <f>INDEX(Inputs!$U$5:$U$132,MATCH($B831&amp;"|"&amp;$C831,Inputs!$A$5:$A$132,0))</f>
        <v/>
      </c>
      <c r="E831" s="36">
        <f>INDEX(Inputs!$J$5:$J$132,MATCH($B831&amp;"|"&amp;$C831,Inputs!$A$5:$A$132,0))</f>
        <v/>
      </c>
      <c r="F831" s="36">
        <f>INDEX(Inputs!$K$5:$K$132,MATCH($B831&amp;"|"&amp;$C831,Inputs!$A$5:$A$132,0))</f>
        <v/>
      </c>
      <c r="G831" s="37" t="n"/>
      <c r="H831" s="5">
        <f>INDEX(Variables!$B$5:$B$65,MATCH($A831,Variables!$A$5:$A$65,0))&amp;IF($C831="",""," | "&amp;INDEX(Mapping!$B$5:$B$25,MATCH($C831,Mapping!$A$5:$A$25,0))&amp;" | "&amp;INDEX(Mapping!$B$29:$B$38,MATCH($B831,Mapping!$A$29:$A$38,0)))</f>
        <v/>
      </c>
      <c r="I831" s="5">
        <f>INDEX(Variables!$C$5:$C$65,MATCH($A831,Variables!$A$5:$A$65,0))</f>
        <v/>
      </c>
      <c r="J831" s="5">
        <f>INDEX(Variables!$E$5:$E$65,MATCH($A831,Variables!$A$5:$A$65,0))</f>
        <v/>
      </c>
      <c r="K831" s="23">
        <f>LOWER(Settings!$C$4)&amp;".mit."&amp;$A831&amp;IF($C831="","","."&amp;$C831&amp;"."&amp;$B831)&amp;IF(INDEX(Variables!$D$5:$D$65,MATCH($A831,Variables!$A$5:$A$65,0))="","","."&amp;INDEX(Variables!$D$5:$D$65,MATCH($A831,Variables!$A$5:$A$65,0)))&amp;"."&amp;K$5</f>
        <v/>
      </c>
      <c r="L831" s="38">
        <f>L$10*$D831*INDEX(L$18:L$25,$E831)*INDEX(L$27:L$43,$F831)</f>
        <v/>
      </c>
      <c r="M831" s="36">
        <f>M$10*$D831*INDEX(M$18:M$25,$E831)*INDEX(M$27:M$43,$F831)</f>
        <v/>
      </c>
      <c r="N831" s="36">
        <f>N$10*$D831*INDEX(N$18:N$25,$E831)*INDEX(N$27:N$43,$F831)</f>
        <v/>
      </c>
      <c r="O831" s="36">
        <f>O$10*$D831*INDEX(O$18:O$25,$E831)*INDEX(O$27:O$43,$F831)</f>
        <v/>
      </c>
      <c r="P831" s="36">
        <f>P$10*$D831*INDEX(P$18:P$25,$E831)*INDEX(P$27:P$43,$F831)</f>
        <v/>
      </c>
      <c r="Q831" s="36">
        <f>Q$10*$D831*INDEX(Q$18:Q$25,$E831)*INDEX(Q$27:Q$43,$F831)</f>
        <v/>
      </c>
      <c r="R831" s="36">
        <f>R$10*$D831*INDEX(R$18:R$25,$E831)*INDEX(R$27:R$43,$F831)</f>
        <v/>
      </c>
      <c r="S831" s="36">
        <f>S$10*$D831*INDEX(S$18:S$25,$E831)*INDEX(S$27:S$43,$F831)</f>
        <v/>
      </c>
      <c r="T831" s="36">
        <f>T$10*$D831*INDEX(T$18:T$25,$E831)*INDEX(T$27:T$43,$F831)</f>
        <v/>
      </c>
      <c r="U831" s="36">
        <f>U$10*$D831*INDEX(U$18:U$25,$E831)*INDEX(U$27:U$43,$F831)</f>
        <v/>
      </c>
      <c r="V831" s="36">
        <f>V$10*$D831*INDEX(V$18:V$25,$E831)*INDEX(V$27:V$43,$F831)</f>
        <v/>
      </c>
      <c r="W831" s="36">
        <f>W$10*$D831*INDEX(W$18:W$25,$E831)*INDEX(W$27:W$43,$F831)</f>
        <v/>
      </c>
      <c r="X831" s="36">
        <f>X$10*$D831*INDEX(X$18:X$25,$E831)*INDEX(X$27:X$43,$F831)</f>
        <v/>
      </c>
      <c r="Y831" s="36">
        <f>Y$10*$D831*INDEX(Y$18:Y$25,$E831)*INDEX(Y$27:Y$43,$F831)</f>
        <v/>
      </c>
      <c r="Z831" s="23">
        <f>LOWER(Settings!$C$4)&amp;".mit."&amp;$A831&amp;IF($C831="","","."&amp;$C831&amp;"."&amp;$B831)&amp;IF(INDEX(Variables!$D$5:$D$65,MATCH($A831,Variables!$A$5:$A$65,0))="","","."&amp;INDEX(Variables!$D$5:$D$65,MATCH($A831,Variables!$A$5:$A$65,0)))&amp;"."&amp;Z$5</f>
        <v/>
      </c>
      <c r="AA831" s="38">
        <f>AA$10*$D831*INDEX(AA$18:AA$25,$E831)*INDEX(AA$27:AA$43,$F831)</f>
        <v/>
      </c>
      <c r="AB831" s="36">
        <f>AB$10*$D831*INDEX(AB$18:AB$25,$E831)*INDEX(AB$27:AB$43,$F831)</f>
        <v/>
      </c>
      <c r="AC831" s="36">
        <f>AC$10*$D831*INDEX(AC$18:AC$25,$E831)*INDEX(AC$27:AC$43,$F831)</f>
        <v/>
      </c>
      <c r="AD831" s="36">
        <f>AD$10*$D831*INDEX(AD$18:AD$25,$E831)*INDEX(AD$27:AD$43,$F831)</f>
        <v/>
      </c>
      <c r="AE831" s="36">
        <f>AE$10*$D831*INDEX(AE$18:AE$25,$E831)*INDEX(AE$27:AE$43,$F831)</f>
        <v/>
      </c>
      <c r="AF831" s="36">
        <f>AF$10*$D831*INDEX(AF$18:AF$25,$E831)*INDEX(AF$27:AF$43,$F831)</f>
        <v/>
      </c>
      <c r="AG831" s="36">
        <f>AG$10*$D831*INDEX(AG$18:AG$25,$E831)*INDEX(AG$27:AG$43,$F831)</f>
        <v/>
      </c>
      <c r="AH831" s="36">
        <f>AH$10*$D831*INDEX(AH$18:AH$25,$E831)*INDEX(AH$27:AH$43,$F831)</f>
        <v/>
      </c>
      <c r="AI831" s="36">
        <f>AI$10*$D831*INDEX(AI$18:AI$25,$E831)*INDEX(AI$27:AI$43,$F831)</f>
        <v/>
      </c>
      <c r="AJ831" s="36">
        <f>AJ$10*$D831*INDEX(AJ$18:AJ$25,$E831)*INDEX(AJ$27:AJ$43,$F831)</f>
        <v/>
      </c>
      <c r="AK831" s="36">
        <f>AK$10*$D831*INDEX(AK$18:AK$25,$E831)*INDEX(AK$27:AK$43,$F831)</f>
        <v/>
      </c>
      <c r="AL831" s="36">
        <f>AL$10*$D831*INDEX(AL$18:AL$25,$E831)*INDEX(AL$27:AL$43,$F831)</f>
        <v/>
      </c>
      <c r="AM831" s="36">
        <f>AM$10*$D831*INDEX(AM$18:AM$25,$E831)*INDEX(AM$27:AM$43,$F831)</f>
        <v/>
      </c>
      <c r="AN831" s="36">
        <f>AN$10*$D831*INDEX(AN$18:AN$25,$E831)*INDEX(AN$27:AN$43,$F831)</f>
        <v/>
      </c>
    </row>
    <row r="832" hidden="1" outlineLevel="2"/>
    <row r="833" hidden="1" outlineLevel="2">
      <c r="A833" s="5" t="inlineStr">
        <is>
          <t>ntx</t>
        </is>
      </c>
      <c r="B833" s="5" t="inlineStr">
        <is>
          <t>coa</t>
        </is>
      </c>
      <c r="C833" s="5" t="inlineStr">
        <is>
          <t>nfm</t>
        </is>
      </c>
      <c r="D833" s="36">
        <f>INDEX(Inputs!$L$5:$L$132,MATCH($B833&amp;"|"&amp;$C833,Inputs!$A$5:$A$132,0))</f>
        <v/>
      </c>
      <c r="E833" s="36">
        <f>INDEX(Inputs!$I$5:$I$132,MATCH($B833&amp;"|"&amp;$C833,Inputs!$A$5:$A$132,0))</f>
        <v/>
      </c>
      <c r="F833" s="37" t="n"/>
      <c r="G833" s="37" t="n"/>
      <c r="H833" s="5">
        <f>INDEX(Variables!$B$5:$B$65,MATCH($A833,Variables!$A$5:$A$65,0))&amp;IF($C833="",""," | "&amp;INDEX(Mapping!$B$5:$B$25,MATCH($C833,Mapping!$A$5:$A$25,0))&amp;" | "&amp;INDEX(Mapping!$B$29:$B$38,MATCH($B833,Mapping!$A$29:$A$38,0)))</f>
        <v/>
      </c>
      <c r="I833" s="5">
        <f>INDEX(Variables!$C$5:$C$65,MATCH($A833,Variables!$A$5:$A$65,0))</f>
        <v/>
      </c>
      <c r="J833" s="5">
        <f>INDEX(Variables!$E$5:$E$65,MATCH($A833,Variables!$A$5:$A$65,0))</f>
        <v/>
      </c>
      <c r="K833" s="23">
        <f>LOWER(Settings!$C$4)&amp;".mit."&amp;$A833&amp;IF($C833="","","."&amp;$C833&amp;"."&amp;$B833)&amp;IF(INDEX(Variables!$D$5:$D$65,MATCH($A833,Variables!$A$5:$A$65,0))="","","."&amp;INDEX(Variables!$D$5:$D$65,MATCH($A833,Variables!$A$5:$A$65,0)))&amp;"."&amp;K$5</f>
        <v/>
      </c>
      <c r="L833" s="38">
        <f>INDEX(L$75:L$88,$D833)/$E833</f>
        <v/>
      </c>
      <c r="M833" s="36">
        <f>INDEX(M$75:M$88,$D833)/$E833</f>
        <v/>
      </c>
      <c r="N833" s="36">
        <f>INDEX(N$75:N$88,$D833)/$E833</f>
        <v/>
      </c>
      <c r="O833" s="36">
        <f>INDEX(O$75:O$88,$D833)/$E833</f>
        <v/>
      </c>
      <c r="P833" s="36">
        <f>INDEX(P$75:P$88,$D833)/$E833</f>
        <v/>
      </c>
      <c r="Q833" s="36">
        <f>INDEX(Q$75:Q$88,$D833)/$E833</f>
        <v/>
      </c>
      <c r="R833" s="36">
        <f>INDEX(R$75:R$88,$D833)/$E833</f>
        <v/>
      </c>
      <c r="S833" s="36">
        <f>INDEX(S$75:S$88,$D833)/$E833</f>
        <v/>
      </c>
      <c r="T833" s="36">
        <f>INDEX(T$75:T$88,$D833)/$E833</f>
        <v/>
      </c>
      <c r="U833" s="36">
        <f>INDEX(U$75:U$88,$D833)/$E833</f>
        <v/>
      </c>
      <c r="V833" s="36">
        <f>INDEX(V$75:V$88,$D833)/$E833</f>
        <v/>
      </c>
      <c r="W833" s="36">
        <f>INDEX(W$75:W$88,$D833)/$E833</f>
        <v/>
      </c>
      <c r="X833" s="36">
        <f>INDEX(X$75:X$88,$D833)/$E833</f>
        <v/>
      </c>
      <c r="Y833" s="36">
        <f>INDEX(Y$75:Y$88,$D833)/$E833</f>
        <v/>
      </c>
      <c r="Z833" s="23">
        <f>LOWER(Settings!$C$4)&amp;".mit."&amp;$A833&amp;IF($C833="","","."&amp;$C833&amp;"."&amp;$B833)&amp;IF(INDEX(Variables!$D$5:$D$65,MATCH($A833,Variables!$A$5:$A$65,0))="","","."&amp;INDEX(Variables!$D$5:$D$65,MATCH($A833,Variables!$A$5:$A$65,0)))&amp;"."&amp;Z$5</f>
        <v/>
      </c>
      <c r="AA833" s="38">
        <f>INDEX(AA$75:AA$88,$D833)/$E833</f>
        <v/>
      </c>
      <c r="AB833" s="36">
        <f>INDEX(AB$75:AB$88,$D833)/$E833</f>
        <v/>
      </c>
      <c r="AC833" s="36">
        <f>INDEX(AC$75:AC$88,$D833)/$E833</f>
        <v/>
      </c>
      <c r="AD833" s="36">
        <f>INDEX(AD$75:AD$88,$D833)/$E833</f>
        <v/>
      </c>
      <c r="AE833" s="36">
        <f>INDEX(AE$75:AE$88,$D833)/$E833</f>
        <v/>
      </c>
      <c r="AF833" s="36">
        <f>INDEX(AF$75:AF$88,$D833)/$E833</f>
        <v/>
      </c>
      <c r="AG833" s="36">
        <f>INDEX(AG$75:AG$88,$D833)/$E833</f>
        <v/>
      </c>
      <c r="AH833" s="36">
        <f>INDEX(AH$75:AH$88,$D833)/$E833</f>
        <v/>
      </c>
      <c r="AI833" s="36">
        <f>INDEX(AI$75:AI$88,$D833)/$E833</f>
        <v/>
      </c>
      <c r="AJ833" s="36">
        <f>INDEX(AJ$75:AJ$88,$D833)/$E833</f>
        <v/>
      </c>
      <c r="AK833" s="36">
        <f>INDEX(AK$75:AK$88,$D833)/$E833</f>
        <v/>
      </c>
      <c r="AL833" s="36">
        <f>INDEX(AL$75:AL$88,$D833)/$E833</f>
        <v/>
      </c>
      <c r="AM833" s="36">
        <f>INDEX(AM$75:AM$88,$D833)/$E833</f>
        <v/>
      </c>
      <c r="AN833" s="36">
        <f>INDEX(AN$75:AN$88,$D833)/$E833</f>
        <v/>
      </c>
    </row>
    <row r="834" hidden="1" outlineLevel="2">
      <c r="A834" s="5" t="inlineStr">
        <is>
          <t>ntx</t>
        </is>
      </c>
      <c r="B834" s="5" t="inlineStr">
        <is>
          <t>nga</t>
        </is>
      </c>
      <c r="C834" s="5" t="inlineStr">
        <is>
          <t>nfm</t>
        </is>
      </c>
      <c r="D834" s="36">
        <f>INDEX(Inputs!$L$5:$L$132,MATCH($B834&amp;"|"&amp;$C834,Inputs!$A$5:$A$132,0))</f>
        <v/>
      </c>
      <c r="E834" s="36">
        <f>INDEX(Inputs!$I$5:$I$132,MATCH($B834&amp;"|"&amp;$C834,Inputs!$A$5:$A$132,0))</f>
        <v/>
      </c>
      <c r="F834" s="37" t="n"/>
      <c r="G834" s="37" t="n"/>
      <c r="H834" s="5">
        <f>INDEX(Variables!$B$5:$B$65,MATCH($A834,Variables!$A$5:$A$65,0))&amp;IF($C834="",""," | "&amp;INDEX(Mapping!$B$5:$B$25,MATCH($C834,Mapping!$A$5:$A$25,0))&amp;" | "&amp;INDEX(Mapping!$B$29:$B$38,MATCH($B834,Mapping!$A$29:$A$38,0)))</f>
        <v/>
      </c>
      <c r="I834" s="5">
        <f>INDEX(Variables!$C$5:$C$65,MATCH($A834,Variables!$A$5:$A$65,0))</f>
        <v/>
      </c>
      <c r="J834" s="5">
        <f>INDEX(Variables!$E$5:$E$65,MATCH($A834,Variables!$A$5:$A$65,0))</f>
        <v/>
      </c>
      <c r="K834" s="23">
        <f>LOWER(Settings!$C$4)&amp;".mit."&amp;$A834&amp;IF($C834="","","."&amp;$C834&amp;"."&amp;$B834)&amp;IF(INDEX(Variables!$D$5:$D$65,MATCH($A834,Variables!$A$5:$A$65,0))="","","."&amp;INDEX(Variables!$D$5:$D$65,MATCH($A834,Variables!$A$5:$A$65,0)))&amp;"."&amp;K$5</f>
        <v/>
      </c>
      <c r="L834" s="38">
        <f>INDEX(L$75:L$88,$D834)/$E834</f>
        <v/>
      </c>
      <c r="M834" s="36">
        <f>INDEX(M$75:M$88,$D834)/$E834</f>
        <v/>
      </c>
      <c r="N834" s="36">
        <f>INDEX(N$75:N$88,$D834)/$E834</f>
        <v/>
      </c>
      <c r="O834" s="36">
        <f>INDEX(O$75:O$88,$D834)/$E834</f>
        <v/>
      </c>
      <c r="P834" s="36">
        <f>INDEX(P$75:P$88,$D834)/$E834</f>
        <v/>
      </c>
      <c r="Q834" s="36">
        <f>INDEX(Q$75:Q$88,$D834)/$E834</f>
        <v/>
      </c>
      <c r="R834" s="36">
        <f>INDEX(R$75:R$88,$D834)/$E834</f>
        <v/>
      </c>
      <c r="S834" s="36">
        <f>INDEX(S$75:S$88,$D834)/$E834</f>
        <v/>
      </c>
      <c r="T834" s="36">
        <f>INDEX(T$75:T$88,$D834)/$E834</f>
        <v/>
      </c>
      <c r="U834" s="36">
        <f>INDEX(U$75:U$88,$D834)/$E834</f>
        <v/>
      </c>
      <c r="V834" s="36">
        <f>INDEX(V$75:V$88,$D834)/$E834</f>
        <v/>
      </c>
      <c r="W834" s="36">
        <f>INDEX(W$75:W$88,$D834)/$E834</f>
        <v/>
      </c>
      <c r="X834" s="36">
        <f>INDEX(X$75:X$88,$D834)/$E834</f>
        <v/>
      </c>
      <c r="Y834" s="36">
        <f>INDEX(Y$75:Y$88,$D834)/$E834</f>
        <v/>
      </c>
      <c r="Z834" s="23">
        <f>LOWER(Settings!$C$4)&amp;".mit."&amp;$A834&amp;IF($C834="","","."&amp;$C834&amp;"."&amp;$B834)&amp;IF(INDEX(Variables!$D$5:$D$65,MATCH($A834,Variables!$A$5:$A$65,0))="","","."&amp;INDEX(Variables!$D$5:$D$65,MATCH($A834,Variables!$A$5:$A$65,0)))&amp;"."&amp;Z$5</f>
        <v/>
      </c>
      <c r="AA834" s="38">
        <f>INDEX(AA$75:AA$88,$D834)/$E834</f>
        <v/>
      </c>
      <c r="AB834" s="36">
        <f>INDEX(AB$75:AB$88,$D834)/$E834</f>
        <v/>
      </c>
      <c r="AC834" s="36">
        <f>INDEX(AC$75:AC$88,$D834)/$E834</f>
        <v/>
      </c>
      <c r="AD834" s="36">
        <f>INDEX(AD$75:AD$88,$D834)/$E834</f>
        <v/>
      </c>
      <c r="AE834" s="36">
        <f>INDEX(AE$75:AE$88,$D834)/$E834</f>
        <v/>
      </c>
      <c r="AF834" s="36">
        <f>INDEX(AF$75:AF$88,$D834)/$E834</f>
        <v/>
      </c>
      <c r="AG834" s="36">
        <f>INDEX(AG$75:AG$88,$D834)/$E834</f>
        <v/>
      </c>
      <c r="AH834" s="36">
        <f>INDEX(AH$75:AH$88,$D834)/$E834</f>
        <v/>
      </c>
      <c r="AI834" s="36">
        <f>INDEX(AI$75:AI$88,$D834)/$E834</f>
        <v/>
      </c>
      <c r="AJ834" s="36">
        <f>INDEX(AJ$75:AJ$88,$D834)/$E834</f>
        <v/>
      </c>
      <c r="AK834" s="36">
        <f>INDEX(AK$75:AK$88,$D834)/$E834</f>
        <v/>
      </c>
      <c r="AL834" s="36">
        <f>INDEX(AL$75:AL$88,$D834)/$E834</f>
        <v/>
      </c>
      <c r="AM834" s="36">
        <f>INDEX(AM$75:AM$88,$D834)/$E834</f>
        <v/>
      </c>
      <c r="AN834" s="36">
        <f>INDEX(AN$75:AN$88,$D834)/$E834</f>
        <v/>
      </c>
    </row>
    <row r="835" hidden="1" outlineLevel="2">
      <c r="A835" s="5" t="inlineStr">
        <is>
          <t>ntx</t>
        </is>
      </c>
      <c r="B835" s="5" t="inlineStr">
        <is>
          <t>gso</t>
        </is>
      </c>
      <c r="C835" s="5" t="inlineStr">
        <is>
          <t>nfm</t>
        </is>
      </c>
      <c r="D835" s="36">
        <f>INDEX(Inputs!$L$5:$L$132,MATCH($B835&amp;"|"&amp;$C835,Inputs!$A$5:$A$132,0))</f>
        <v/>
      </c>
      <c r="E835" s="36">
        <f>INDEX(Inputs!$I$5:$I$132,MATCH($B835&amp;"|"&amp;$C835,Inputs!$A$5:$A$132,0))</f>
        <v/>
      </c>
      <c r="F835" s="37" t="n"/>
      <c r="G835" s="37" t="n"/>
      <c r="H835" s="5">
        <f>INDEX(Variables!$B$5:$B$65,MATCH($A835,Variables!$A$5:$A$65,0))&amp;IF($C835="",""," | "&amp;INDEX(Mapping!$B$5:$B$25,MATCH($C835,Mapping!$A$5:$A$25,0))&amp;" | "&amp;INDEX(Mapping!$B$29:$B$38,MATCH($B835,Mapping!$A$29:$A$38,0)))</f>
        <v/>
      </c>
      <c r="I835" s="5">
        <f>INDEX(Variables!$C$5:$C$65,MATCH($A835,Variables!$A$5:$A$65,0))</f>
        <v/>
      </c>
      <c r="J835" s="5">
        <f>INDEX(Variables!$E$5:$E$65,MATCH($A835,Variables!$A$5:$A$65,0))</f>
        <v/>
      </c>
      <c r="K835" s="23">
        <f>LOWER(Settings!$C$4)&amp;".mit."&amp;$A835&amp;IF($C835="","","."&amp;$C835&amp;"."&amp;$B835)&amp;IF(INDEX(Variables!$D$5:$D$65,MATCH($A835,Variables!$A$5:$A$65,0))="","","."&amp;INDEX(Variables!$D$5:$D$65,MATCH($A835,Variables!$A$5:$A$65,0)))&amp;"."&amp;K$5</f>
        <v/>
      </c>
      <c r="L835" s="38">
        <f>INDEX(L$75:L$88,$D835)/$E835</f>
        <v/>
      </c>
      <c r="M835" s="36">
        <f>INDEX(M$75:M$88,$D835)/$E835</f>
        <v/>
      </c>
      <c r="N835" s="36">
        <f>INDEX(N$75:N$88,$D835)/$E835</f>
        <v/>
      </c>
      <c r="O835" s="36">
        <f>INDEX(O$75:O$88,$D835)/$E835</f>
        <v/>
      </c>
      <c r="P835" s="36">
        <f>INDEX(P$75:P$88,$D835)/$E835</f>
        <v/>
      </c>
      <c r="Q835" s="36">
        <f>INDEX(Q$75:Q$88,$D835)/$E835</f>
        <v/>
      </c>
      <c r="R835" s="36">
        <f>INDEX(R$75:R$88,$D835)/$E835</f>
        <v/>
      </c>
      <c r="S835" s="36">
        <f>INDEX(S$75:S$88,$D835)/$E835</f>
        <v/>
      </c>
      <c r="T835" s="36">
        <f>INDEX(T$75:T$88,$D835)/$E835</f>
        <v/>
      </c>
      <c r="U835" s="36">
        <f>INDEX(U$75:U$88,$D835)/$E835</f>
        <v/>
      </c>
      <c r="V835" s="36">
        <f>INDEX(V$75:V$88,$D835)/$E835</f>
        <v/>
      </c>
      <c r="W835" s="36">
        <f>INDEX(W$75:W$88,$D835)/$E835</f>
        <v/>
      </c>
      <c r="X835" s="36">
        <f>INDEX(X$75:X$88,$D835)/$E835</f>
        <v/>
      </c>
      <c r="Y835" s="36">
        <f>INDEX(Y$75:Y$88,$D835)/$E835</f>
        <v/>
      </c>
      <c r="Z835" s="23">
        <f>LOWER(Settings!$C$4)&amp;".mit."&amp;$A835&amp;IF($C835="","","."&amp;$C835&amp;"."&amp;$B835)&amp;IF(INDEX(Variables!$D$5:$D$65,MATCH($A835,Variables!$A$5:$A$65,0))="","","."&amp;INDEX(Variables!$D$5:$D$65,MATCH($A835,Variables!$A$5:$A$65,0)))&amp;"."&amp;Z$5</f>
        <v/>
      </c>
      <c r="AA835" s="38">
        <f>INDEX(AA$75:AA$88,$D835)/$E835</f>
        <v/>
      </c>
      <c r="AB835" s="36">
        <f>INDEX(AB$75:AB$88,$D835)/$E835</f>
        <v/>
      </c>
      <c r="AC835" s="36">
        <f>INDEX(AC$75:AC$88,$D835)/$E835</f>
        <v/>
      </c>
      <c r="AD835" s="36">
        <f>INDEX(AD$75:AD$88,$D835)/$E835</f>
        <v/>
      </c>
      <c r="AE835" s="36">
        <f>INDEX(AE$75:AE$88,$D835)/$E835</f>
        <v/>
      </c>
      <c r="AF835" s="36">
        <f>INDEX(AF$75:AF$88,$D835)/$E835</f>
        <v/>
      </c>
      <c r="AG835" s="36">
        <f>INDEX(AG$75:AG$88,$D835)/$E835</f>
        <v/>
      </c>
      <c r="AH835" s="36">
        <f>INDEX(AH$75:AH$88,$D835)/$E835</f>
        <v/>
      </c>
      <c r="AI835" s="36">
        <f>INDEX(AI$75:AI$88,$D835)/$E835</f>
        <v/>
      </c>
      <c r="AJ835" s="36">
        <f>INDEX(AJ$75:AJ$88,$D835)/$E835</f>
        <v/>
      </c>
      <c r="AK835" s="36">
        <f>INDEX(AK$75:AK$88,$D835)/$E835</f>
        <v/>
      </c>
      <c r="AL835" s="36">
        <f>INDEX(AL$75:AL$88,$D835)/$E835</f>
        <v/>
      </c>
      <c r="AM835" s="36">
        <f>INDEX(AM$75:AM$88,$D835)/$E835</f>
        <v/>
      </c>
      <c r="AN835" s="36">
        <f>INDEX(AN$75:AN$88,$D835)/$E835</f>
        <v/>
      </c>
    </row>
    <row r="836" hidden="1" outlineLevel="2">
      <c r="A836" s="5" t="inlineStr">
        <is>
          <t>ntx</t>
        </is>
      </c>
      <c r="B836" s="5" t="inlineStr">
        <is>
          <t>die</t>
        </is>
      </c>
      <c r="C836" s="5" t="inlineStr">
        <is>
          <t>nfm</t>
        </is>
      </c>
      <c r="D836" s="36">
        <f>INDEX(Inputs!$L$5:$L$132,MATCH($B836&amp;"|"&amp;$C836,Inputs!$A$5:$A$132,0))</f>
        <v/>
      </c>
      <c r="E836" s="36">
        <f>INDEX(Inputs!$I$5:$I$132,MATCH($B836&amp;"|"&amp;$C836,Inputs!$A$5:$A$132,0))</f>
        <v/>
      </c>
      <c r="F836" s="37" t="n"/>
      <c r="G836" s="37" t="n"/>
      <c r="H836" s="5">
        <f>INDEX(Variables!$B$5:$B$65,MATCH($A836,Variables!$A$5:$A$65,0))&amp;IF($C836="",""," | "&amp;INDEX(Mapping!$B$5:$B$25,MATCH($C836,Mapping!$A$5:$A$25,0))&amp;" | "&amp;INDEX(Mapping!$B$29:$B$38,MATCH($B836,Mapping!$A$29:$A$38,0)))</f>
        <v/>
      </c>
      <c r="I836" s="5">
        <f>INDEX(Variables!$C$5:$C$65,MATCH($A836,Variables!$A$5:$A$65,0))</f>
        <v/>
      </c>
      <c r="J836" s="5">
        <f>INDEX(Variables!$E$5:$E$65,MATCH($A836,Variables!$A$5:$A$65,0))</f>
        <v/>
      </c>
      <c r="K836" s="23">
        <f>LOWER(Settings!$C$4)&amp;".mit."&amp;$A836&amp;IF($C836="","","."&amp;$C836&amp;"."&amp;$B836)&amp;IF(INDEX(Variables!$D$5:$D$65,MATCH($A836,Variables!$A$5:$A$65,0))="","","."&amp;INDEX(Variables!$D$5:$D$65,MATCH($A836,Variables!$A$5:$A$65,0)))&amp;"."&amp;K$5</f>
        <v/>
      </c>
      <c r="L836" s="38">
        <f>INDEX(L$75:L$88,$D836)/$E836</f>
        <v/>
      </c>
      <c r="M836" s="36">
        <f>INDEX(M$75:M$88,$D836)/$E836</f>
        <v/>
      </c>
      <c r="N836" s="36">
        <f>INDEX(N$75:N$88,$D836)/$E836</f>
        <v/>
      </c>
      <c r="O836" s="36">
        <f>INDEX(O$75:O$88,$D836)/$E836</f>
        <v/>
      </c>
      <c r="P836" s="36">
        <f>INDEX(P$75:P$88,$D836)/$E836</f>
        <v/>
      </c>
      <c r="Q836" s="36">
        <f>INDEX(Q$75:Q$88,$D836)/$E836</f>
        <v/>
      </c>
      <c r="R836" s="36">
        <f>INDEX(R$75:R$88,$D836)/$E836</f>
        <v/>
      </c>
      <c r="S836" s="36">
        <f>INDEX(S$75:S$88,$D836)/$E836</f>
        <v/>
      </c>
      <c r="T836" s="36">
        <f>INDEX(T$75:T$88,$D836)/$E836</f>
        <v/>
      </c>
      <c r="U836" s="36">
        <f>INDEX(U$75:U$88,$D836)/$E836</f>
        <v/>
      </c>
      <c r="V836" s="36">
        <f>INDEX(V$75:V$88,$D836)/$E836</f>
        <v/>
      </c>
      <c r="W836" s="36">
        <f>INDEX(W$75:W$88,$D836)/$E836</f>
        <v/>
      </c>
      <c r="X836" s="36">
        <f>INDEX(X$75:X$88,$D836)/$E836</f>
        <v/>
      </c>
      <c r="Y836" s="36">
        <f>INDEX(Y$75:Y$88,$D836)/$E836</f>
        <v/>
      </c>
      <c r="Z836" s="23">
        <f>LOWER(Settings!$C$4)&amp;".mit."&amp;$A836&amp;IF($C836="","","."&amp;$C836&amp;"."&amp;$B836)&amp;IF(INDEX(Variables!$D$5:$D$65,MATCH($A836,Variables!$A$5:$A$65,0))="","","."&amp;INDEX(Variables!$D$5:$D$65,MATCH($A836,Variables!$A$5:$A$65,0)))&amp;"."&amp;Z$5</f>
        <v/>
      </c>
      <c r="AA836" s="38">
        <f>INDEX(AA$75:AA$88,$D836)/$E836</f>
        <v/>
      </c>
      <c r="AB836" s="36">
        <f>INDEX(AB$75:AB$88,$D836)/$E836</f>
        <v/>
      </c>
      <c r="AC836" s="36">
        <f>INDEX(AC$75:AC$88,$D836)/$E836</f>
        <v/>
      </c>
      <c r="AD836" s="36">
        <f>INDEX(AD$75:AD$88,$D836)/$E836</f>
        <v/>
      </c>
      <c r="AE836" s="36">
        <f>INDEX(AE$75:AE$88,$D836)/$E836</f>
        <v/>
      </c>
      <c r="AF836" s="36">
        <f>INDEX(AF$75:AF$88,$D836)/$E836</f>
        <v/>
      </c>
      <c r="AG836" s="36">
        <f>INDEX(AG$75:AG$88,$D836)/$E836</f>
        <v/>
      </c>
      <c r="AH836" s="36">
        <f>INDEX(AH$75:AH$88,$D836)/$E836</f>
        <v/>
      </c>
      <c r="AI836" s="36">
        <f>INDEX(AI$75:AI$88,$D836)/$E836</f>
        <v/>
      </c>
      <c r="AJ836" s="36">
        <f>INDEX(AJ$75:AJ$88,$D836)/$E836</f>
        <v/>
      </c>
      <c r="AK836" s="36">
        <f>INDEX(AK$75:AK$88,$D836)/$E836</f>
        <v/>
      </c>
      <c r="AL836" s="36">
        <f>INDEX(AL$75:AL$88,$D836)/$E836</f>
        <v/>
      </c>
      <c r="AM836" s="36">
        <f>INDEX(AM$75:AM$88,$D836)/$E836</f>
        <v/>
      </c>
      <c r="AN836" s="36">
        <f>INDEX(AN$75:AN$88,$D836)/$E836</f>
        <v/>
      </c>
    </row>
    <row r="837" hidden="1" outlineLevel="2">
      <c r="A837" s="5" t="inlineStr">
        <is>
          <t>ntx</t>
        </is>
      </c>
      <c r="B837" s="5" t="inlineStr">
        <is>
          <t>lpg</t>
        </is>
      </c>
      <c r="C837" s="5" t="inlineStr">
        <is>
          <t>nfm</t>
        </is>
      </c>
      <c r="D837" s="36">
        <f>INDEX(Inputs!$L$5:$L$132,MATCH($B837&amp;"|"&amp;$C837,Inputs!$A$5:$A$132,0))</f>
        <v/>
      </c>
      <c r="E837" s="36">
        <f>INDEX(Inputs!$I$5:$I$132,MATCH($B837&amp;"|"&amp;$C837,Inputs!$A$5:$A$132,0))</f>
        <v/>
      </c>
      <c r="F837" s="37" t="n"/>
      <c r="G837" s="37" t="n"/>
      <c r="H837" s="5">
        <f>INDEX(Variables!$B$5:$B$65,MATCH($A837,Variables!$A$5:$A$65,0))&amp;IF($C837="",""," | "&amp;INDEX(Mapping!$B$5:$B$25,MATCH($C837,Mapping!$A$5:$A$25,0))&amp;" | "&amp;INDEX(Mapping!$B$29:$B$38,MATCH($B837,Mapping!$A$29:$A$38,0)))</f>
        <v/>
      </c>
      <c r="I837" s="5">
        <f>INDEX(Variables!$C$5:$C$65,MATCH($A837,Variables!$A$5:$A$65,0))</f>
        <v/>
      </c>
      <c r="J837" s="5">
        <f>INDEX(Variables!$E$5:$E$65,MATCH($A837,Variables!$A$5:$A$65,0))</f>
        <v/>
      </c>
      <c r="K837" s="23">
        <f>LOWER(Settings!$C$4)&amp;".mit."&amp;$A837&amp;IF($C837="","","."&amp;$C837&amp;"."&amp;$B837)&amp;IF(INDEX(Variables!$D$5:$D$65,MATCH($A837,Variables!$A$5:$A$65,0))="","","."&amp;INDEX(Variables!$D$5:$D$65,MATCH($A837,Variables!$A$5:$A$65,0)))&amp;"."&amp;K$5</f>
        <v/>
      </c>
      <c r="L837" s="38">
        <f>INDEX(L$75:L$88,$D837)/$E837</f>
        <v/>
      </c>
      <c r="M837" s="36">
        <f>INDEX(M$75:M$88,$D837)/$E837</f>
        <v/>
      </c>
      <c r="N837" s="36">
        <f>INDEX(N$75:N$88,$D837)/$E837</f>
        <v/>
      </c>
      <c r="O837" s="36">
        <f>INDEX(O$75:O$88,$D837)/$E837</f>
        <v/>
      </c>
      <c r="P837" s="36">
        <f>INDEX(P$75:P$88,$D837)/$E837</f>
        <v/>
      </c>
      <c r="Q837" s="36">
        <f>INDEX(Q$75:Q$88,$D837)/$E837</f>
        <v/>
      </c>
      <c r="R837" s="36">
        <f>INDEX(R$75:R$88,$D837)/$E837</f>
        <v/>
      </c>
      <c r="S837" s="36">
        <f>INDEX(S$75:S$88,$D837)/$E837</f>
        <v/>
      </c>
      <c r="T837" s="36">
        <f>INDEX(T$75:T$88,$D837)/$E837</f>
        <v/>
      </c>
      <c r="U837" s="36">
        <f>INDEX(U$75:U$88,$D837)/$E837</f>
        <v/>
      </c>
      <c r="V837" s="36">
        <f>INDEX(V$75:V$88,$D837)/$E837</f>
        <v/>
      </c>
      <c r="W837" s="36">
        <f>INDEX(W$75:W$88,$D837)/$E837</f>
        <v/>
      </c>
      <c r="X837" s="36">
        <f>INDEX(X$75:X$88,$D837)/$E837</f>
        <v/>
      </c>
      <c r="Y837" s="36">
        <f>INDEX(Y$75:Y$88,$D837)/$E837</f>
        <v/>
      </c>
      <c r="Z837" s="23">
        <f>LOWER(Settings!$C$4)&amp;".mit."&amp;$A837&amp;IF($C837="","","."&amp;$C837&amp;"."&amp;$B837)&amp;IF(INDEX(Variables!$D$5:$D$65,MATCH($A837,Variables!$A$5:$A$65,0))="","","."&amp;INDEX(Variables!$D$5:$D$65,MATCH($A837,Variables!$A$5:$A$65,0)))&amp;"."&amp;Z$5</f>
        <v/>
      </c>
      <c r="AA837" s="38">
        <f>INDEX(AA$75:AA$88,$D837)/$E837</f>
        <v/>
      </c>
      <c r="AB837" s="36">
        <f>INDEX(AB$75:AB$88,$D837)/$E837</f>
        <v/>
      </c>
      <c r="AC837" s="36">
        <f>INDEX(AC$75:AC$88,$D837)/$E837</f>
        <v/>
      </c>
      <c r="AD837" s="36">
        <f>INDEX(AD$75:AD$88,$D837)/$E837</f>
        <v/>
      </c>
      <c r="AE837" s="36">
        <f>INDEX(AE$75:AE$88,$D837)/$E837</f>
        <v/>
      </c>
      <c r="AF837" s="36">
        <f>INDEX(AF$75:AF$88,$D837)/$E837</f>
        <v/>
      </c>
      <c r="AG837" s="36">
        <f>INDEX(AG$75:AG$88,$D837)/$E837</f>
        <v/>
      </c>
      <c r="AH837" s="36">
        <f>INDEX(AH$75:AH$88,$D837)/$E837</f>
        <v/>
      </c>
      <c r="AI837" s="36">
        <f>INDEX(AI$75:AI$88,$D837)/$E837</f>
        <v/>
      </c>
      <c r="AJ837" s="36">
        <f>INDEX(AJ$75:AJ$88,$D837)/$E837</f>
        <v/>
      </c>
      <c r="AK837" s="36">
        <f>INDEX(AK$75:AK$88,$D837)/$E837</f>
        <v/>
      </c>
      <c r="AL837" s="36">
        <f>INDEX(AL$75:AL$88,$D837)/$E837</f>
        <v/>
      </c>
      <c r="AM837" s="36">
        <f>INDEX(AM$75:AM$88,$D837)/$E837</f>
        <v/>
      </c>
      <c r="AN837" s="36">
        <f>INDEX(AN$75:AN$88,$D837)/$E837</f>
        <v/>
      </c>
    </row>
    <row r="838" hidden="1" outlineLevel="2">
      <c r="A838" s="5" t="inlineStr">
        <is>
          <t>ntx</t>
        </is>
      </c>
      <c r="B838" s="5" t="inlineStr">
        <is>
          <t>ker</t>
        </is>
      </c>
      <c r="C838" s="5" t="inlineStr">
        <is>
          <t>nfm</t>
        </is>
      </c>
      <c r="D838" s="36">
        <f>INDEX(Inputs!$L$5:$L$132,MATCH($B838&amp;"|"&amp;$C838,Inputs!$A$5:$A$132,0))</f>
        <v/>
      </c>
      <c r="E838" s="36">
        <f>INDEX(Inputs!$I$5:$I$132,MATCH($B838&amp;"|"&amp;$C838,Inputs!$A$5:$A$132,0))</f>
        <v/>
      </c>
      <c r="F838" s="37" t="n"/>
      <c r="G838" s="37" t="n"/>
      <c r="H838" s="5">
        <f>INDEX(Variables!$B$5:$B$65,MATCH($A838,Variables!$A$5:$A$65,0))&amp;IF($C838="",""," | "&amp;INDEX(Mapping!$B$5:$B$25,MATCH($C838,Mapping!$A$5:$A$25,0))&amp;" | "&amp;INDEX(Mapping!$B$29:$B$38,MATCH($B838,Mapping!$A$29:$A$38,0)))</f>
        <v/>
      </c>
      <c r="I838" s="5">
        <f>INDEX(Variables!$C$5:$C$65,MATCH($A838,Variables!$A$5:$A$65,0))</f>
        <v/>
      </c>
      <c r="J838" s="5">
        <f>INDEX(Variables!$E$5:$E$65,MATCH($A838,Variables!$A$5:$A$65,0))</f>
        <v/>
      </c>
      <c r="K838" s="23">
        <f>LOWER(Settings!$C$4)&amp;".mit."&amp;$A838&amp;IF($C838="","","."&amp;$C838&amp;"."&amp;$B838)&amp;IF(INDEX(Variables!$D$5:$D$65,MATCH($A838,Variables!$A$5:$A$65,0))="","","."&amp;INDEX(Variables!$D$5:$D$65,MATCH($A838,Variables!$A$5:$A$65,0)))&amp;"."&amp;K$5</f>
        <v/>
      </c>
      <c r="L838" s="38">
        <f>INDEX(L$75:L$88,$D838)/$E838</f>
        <v/>
      </c>
      <c r="M838" s="36">
        <f>INDEX(M$75:M$88,$D838)/$E838</f>
        <v/>
      </c>
      <c r="N838" s="36">
        <f>INDEX(N$75:N$88,$D838)/$E838</f>
        <v/>
      </c>
      <c r="O838" s="36">
        <f>INDEX(O$75:O$88,$D838)/$E838</f>
        <v/>
      </c>
      <c r="P838" s="36">
        <f>INDEX(P$75:P$88,$D838)/$E838</f>
        <v/>
      </c>
      <c r="Q838" s="36">
        <f>INDEX(Q$75:Q$88,$D838)/$E838</f>
        <v/>
      </c>
      <c r="R838" s="36">
        <f>INDEX(R$75:R$88,$D838)/$E838</f>
        <v/>
      </c>
      <c r="S838" s="36">
        <f>INDEX(S$75:S$88,$D838)/$E838</f>
        <v/>
      </c>
      <c r="T838" s="36">
        <f>INDEX(T$75:T$88,$D838)/$E838</f>
        <v/>
      </c>
      <c r="U838" s="36">
        <f>INDEX(U$75:U$88,$D838)/$E838</f>
        <v/>
      </c>
      <c r="V838" s="36">
        <f>INDEX(V$75:V$88,$D838)/$E838</f>
        <v/>
      </c>
      <c r="W838" s="36">
        <f>INDEX(W$75:W$88,$D838)/$E838</f>
        <v/>
      </c>
      <c r="X838" s="36">
        <f>INDEX(X$75:X$88,$D838)/$E838</f>
        <v/>
      </c>
      <c r="Y838" s="36">
        <f>INDEX(Y$75:Y$88,$D838)/$E838</f>
        <v/>
      </c>
      <c r="Z838" s="23">
        <f>LOWER(Settings!$C$4)&amp;".mit."&amp;$A838&amp;IF($C838="","","."&amp;$C838&amp;"."&amp;$B838)&amp;IF(INDEX(Variables!$D$5:$D$65,MATCH($A838,Variables!$A$5:$A$65,0))="","","."&amp;INDEX(Variables!$D$5:$D$65,MATCH($A838,Variables!$A$5:$A$65,0)))&amp;"."&amp;Z$5</f>
        <v/>
      </c>
      <c r="AA838" s="38">
        <f>INDEX(AA$75:AA$88,$D838)/$E838</f>
        <v/>
      </c>
      <c r="AB838" s="36">
        <f>INDEX(AB$75:AB$88,$D838)/$E838</f>
        <v/>
      </c>
      <c r="AC838" s="36">
        <f>INDEX(AC$75:AC$88,$D838)/$E838</f>
        <v/>
      </c>
      <c r="AD838" s="36">
        <f>INDEX(AD$75:AD$88,$D838)/$E838</f>
        <v/>
      </c>
      <c r="AE838" s="36">
        <f>INDEX(AE$75:AE$88,$D838)/$E838</f>
        <v/>
      </c>
      <c r="AF838" s="36">
        <f>INDEX(AF$75:AF$88,$D838)/$E838</f>
        <v/>
      </c>
      <c r="AG838" s="36">
        <f>INDEX(AG$75:AG$88,$D838)/$E838</f>
        <v/>
      </c>
      <c r="AH838" s="36">
        <f>INDEX(AH$75:AH$88,$D838)/$E838</f>
        <v/>
      </c>
      <c r="AI838" s="36">
        <f>INDEX(AI$75:AI$88,$D838)/$E838</f>
        <v/>
      </c>
      <c r="AJ838" s="36">
        <f>INDEX(AJ$75:AJ$88,$D838)/$E838</f>
        <v/>
      </c>
      <c r="AK838" s="36">
        <f>INDEX(AK$75:AK$88,$D838)/$E838</f>
        <v/>
      </c>
      <c r="AL838" s="36">
        <f>INDEX(AL$75:AL$88,$D838)/$E838</f>
        <v/>
      </c>
      <c r="AM838" s="36">
        <f>INDEX(AM$75:AM$88,$D838)/$E838</f>
        <v/>
      </c>
      <c r="AN838" s="36">
        <f>INDEX(AN$75:AN$88,$D838)/$E838</f>
        <v/>
      </c>
    </row>
    <row r="839" hidden="1" outlineLevel="2">
      <c r="A839" s="5" t="inlineStr">
        <is>
          <t>ntx</t>
        </is>
      </c>
      <c r="B839" s="5" t="inlineStr">
        <is>
          <t>oop</t>
        </is>
      </c>
      <c r="C839" s="5" t="inlineStr">
        <is>
          <t>nfm</t>
        </is>
      </c>
      <c r="D839" s="36">
        <f>INDEX(Inputs!$L$5:$L$132,MATCH($B839&amp;"|"&amp;$C839,Inputs!$A$5:$A$132,0))</f>
        <v/>
      </c>
      <c r="E839" s="36">
        <f>INDEX(Inputs!$I$5:$I$132,MATCH($B839&amp;"|"&amp;$C839,Inputs!$A$5:$A$132,0))</f>
        <v/>
      </c>
      <c r="F839" s="37" t="n"/>
      <c r="G839" s="37" t="n"/>
      <c r="H839" s="5">
        <f>INDEX(Variables!$B$5:$B$65,MATCH($A839,Variables!$A$5:$A$65,0))&amp;IF($C839="",""," | "&amp;INDEX(Mapping!$B$5:$B$25,MATCH($C839,Mapping!$A$5:$A$25,0))&amp;" | "&amp;INDEX(Mapping!$B$29:$B$38,MATCH($B839,Mapping!$A$29:$A$38,0)))</f>
        <v/>
      </c>
      <c r="I839" s="5">
        <f>INDEX(Variables!$C$5:$C$65,MATCH($A839,Variables!$A$5:$A$65,0))</f>
        <v/>
      </c>
      <c r="J839" s="5">
        <f>INDEX(Variables!$E$5:$E$65,MATCH($A839,Variables!$A$5:$A$65,0))</f>
        <v/>
      </c>
      <c r="K839" s="23">
        <f>LOWER(Settings!$C$4)&amp;".mit."&amp;$A839&amp;IF($C839="","","."&amp;$C839&amp;"."&amp;$B839)&amp;IF(INDEX(Variables!$D$5:$D$65,MATCH($A839,Variables!$A$5:$A$65,0))="","","."&amp;INDEX(Variables!$D$5:$D$65,MATCH($A839,Variables!$A$5:$A$65,0)))&amp;"."&amp;K$5</f>
        <v/>
      </c>
      <c r="L839" s="38">
        <f>INDEX(L$75:L$88,$D839)/$E839</f>
        <v/>
      </c>
      <c r="M839" s="36">
        <f>INDEX(M$75:M$88,$D839)/$E839</f>
        <v/>
      </c>
      <c r="N839" s="36">
        <f>INDEX(N$75:N$88,$D839)/$E839</f>
        <v/>
      </c>
      <c r="O839" s="36">
        <f>INDEX(O$75:O$88,$D839)/$E839</f>
        <v/>
      </c>
      <c r="P839" s="36">
        <f>INDEX(P$75:P$88,$D839)/$E839</f>
        <v/>
      </c>
      <c r="Q839" s="36">
        <f>INDEX(Q$75:Q$88,$D839)/$E839</f>
        <v/>
      </c>
      <c r="R839" s="36">
        <f>INDEX(R$75:R$88,$D839)/$E839</f>
        <v/>
      </c>
      <c r="S839" s="36">
        <f>INDEX(S$75:S$88,$D839)/$E839</f>
        <v/>
      </c>
      <c r="T839" s="36">
        <f>INDEX(T$75:T$88,$D839)/$E839</f>
        <v/>
      </c>
      <c r="U839" s="36">
        <f>INDEX(U$75:U$88,$D839)/$E839</f>
        <v/>
      </c>
      <c r="V839" s="36">
        <f>INDEX(V$75:V$88,$D839)/$E839</f>
        <v/>
      </c>
      <c r="W839" s="36">
        <f>INDEX(W$75:W$88,$D839)/$E839</f>
        <v/>
      </c>
      <c r="X839" s="36">
        <f>INDEX(X$75:X$88,$D839)/$E839</f>
        <v/>
      </c>
      <c r="Y839" s="36">
        <f>INDEX(Y$75:Y$88,$D839)/$E839</f>
        <v/>
      </c>
      <c r="Z839" s="23">
        <f>LOWER(Settings!$C$4)&amp;".mit."&amp;$A839&amp;IF($C839="","","."&amp;$C839&amp;"."&amp;$B839)&amp;IF(INDEX(Variables!$D$5:$D$65,MATCH($A839,Variables!$A$5:$A$65,0))="","","."&amp;INDEX(Variables!$D$5:$D$65,MATCH($A839,Variables!$A$5:$A$65,0)))&amp;"."&amp;Z$5</f>
        <v/>
      </c>
      <c r="AA839" s="38">
        <f>INDEX(AA$75:AA$88,$D839)/$E839</f>
        <v/>
      </c>
      <c r="AB839" s="36">
        <f>INDEX(AB$75:AB$88,$D839)/$E839</f>
        <v/>
      </c>
      <c r="AC839" s="36">
        <f>INDEX(AC$75:AC$88,$D839)/$E839</f>
        <v/>
      </c>
      <c r="AD839" s="36">
        <f>INDEX(AD$75:AD$88,$D839)/$E839</f>
        <v/>
      </c>
      <c r="AE839" s="36">
        <f>INDEX(AE$75:AE$88,$D839)/$E839</f>
        <v/>
      </c>
      <c r="AF839" s="36">
        <f>INDEX(AF$75:AF$88,$D839)/$E839</f>
        <v/>
      </c>
      <c r="AG839" s="36">
        <f>INDEX(AG$75:AG$88,$D839)/$E839</f>
        <v/>
      </c>
      <c r="AH839" s="36">
        <f>INDEX(AH$75:AH$88,$D839)/$E839</f>
        <v/>
      </c>
      <c r="AI839" s="36">
        <f>INDEX(AI$75:AI$88,$D839)/$E839</f>
        <v/>
      </c>
      <c r="AJ839" s="36">
        <f>INDEX(AJ$75:AJ$88,$D839)/$E839</f>
        <v/>
      </c>
      <c r="AK839" s="36">
        <f>INDEX(AK$75:AK$88,$D839)/$E839</f>
        <v/>
      </c>
      <c r="AL839" s="36">
        <f>INDEX(AL$75:AL$88,$D839)/$E839</f>
        <v/>
      </c>
      <c r="AM839" s="36">
        <f>INDEX(AM$75:AM$88,$D839)/$E839</f>
        <v/>
      </c>
      <c r="AN839" s="36">
        <f>INDEX(AN$75:AN$88,$D839)/$E839</f>
        <v/>
      </c>
    </row>
    <row r="840" hidden="1" outlineLevel="2">
      <c r="A840" s="5" t="inlineStr">
        <is>
          <t>ntx</t>
        </is>
      </c>
      <c r="B840" s="5" t="inlineStr">
        <is>
          <t>bio</t>
        </is>
      </c>
      <c r="C840" s="5" t="inlineStr">
        <is>
          <t>nfm</t>
        </is>
      </c>
      <c r="D840" s="36">
        <f>INDEX(Inputs!$L$5:$L$132,MATCH($B840&amp;"|"&amp;$C840,Inputs!$A$5:$A$132,0))</f>
        <v/>
      </c>
      <c r="E840" s="36">
        <f>INDEX(Inputs!$I$5:$I$132,MATCH($B840&amp;"|"&amp;$C840,Inputs!$A$5:$A$132,0))</f>
        <v/>
      </c>
      <c r="F840" s="37" t="n"/>
      <c r="G840" s="37" t="n"/>
      <c r="H840" s="5">
        <f>INDEX(Variables!$B$5:$B$65,MATCH($A840,Variables!$A$5:$A$65,0))&amp;IF($C840="",""," | "&amp;INDEX(Mapping!$B$5:$B$25,MATCH($C840,Mapping!$A$5:$A$25,0))&amp;" | "&amp;INDEX(Mapping!$B$29:$B$38,MATCH($B840,Mapping!$A$29:$A$38,0)))</f>
        <v/>
      </c>
      <c r="I840" s="5">
        <f>INDEX(Variables!$C$5:$C$65,MATCH($A840,Variables!$A$5:$A$65,0))</f>
        <v/>
      </c>
      <c r="J840" s="5">
        <f>INDEX(Variables!$E$5:$E$65,MATCH($A840,Variables!$A$5:$A$65,0))</f>
        <v/>
      </c>
      <c r="K840" s="23">
        <f>LOWER(Settings!$C$4)&amp;".mit."&amp;$A840&amp;IF($C840="","","."&amp;$C840&amp;"."&amp;$B840)&amp;IF(INDEX(Variables!$D$5:$D$65,MATCH($A840,Variables!$A$5:$A$65,0))="","","."&amp;INDEX(Variables!$D$5:$D$65,MATCH($A840,Variables!$A$5:$A$65,0)))&amp;"."&amp;K$5</f>
        <v/>
      </c>
      <c r="L840" s="38">
        <f>INDEX(L$75:L$88,$D840)/$E840</f>
        <v/>
      </c>
      <c r="M840" s="36">
        <f>INDEX(M$75:M$88,$D840)/$E840</f>
        <v/>
      </c>
      <c r="N840" s="36">
        <f>INDEX(N$75:N$88,$D840)/$E840</f>
        <v/>
      </c>
      <c r="O840" s="36">
        <f>INDEX(O$75:O$88,$D840)/$E840</f>
        <v/>
      </c>
      <c r="P840" s="36">
        <f>INDEX(P$75:P$88,$D840)/$E840</f>
        <v/>
      </c>
      <c r="Q840" s="36">
        <f>INDEX(Q$75:Q$88,$D840)/$E840</f>
        <v/>
      </c>
      <c r="R840" s="36">
        <f>INDEX(R$75:R$88,$D840)/$E840</f>
        <v/>
      </c>
      <c r="S840" s="36">
        <f>INDEX(S$75:S$88,$D840)/$E840</f>
        <v/>
      </c>
      <c r="T840" s="36">
        <f>INDEX(T$75:T$88,$D840)/$E840</f>
        <v/>
      </c>
      <c r="U840" s="36">
        <f>INDEX(U$75:U$88,$D840)/$E840</f>
        <v/>
      </c>
      <c r="V840" s="36">
        <f>INDEX(V$75:V$88,$D840)/$E840</f>
        <v/>
      </c>
      <c r="W840" s="36">
        <f>INDEX(W$75:W$88,$D840)/$E840</f>
        <v/>
      </c>
      <c r="X840" s="36">
        <f>INDEX(X$75:X$88,$D840)/$E840</f>
        <v/>
      </c>
      <c r="Y840" s="36">
        <f>INDEX(Y$75:Y$88,$D840)/$E840</f>
        <v/>
      </c>
      <c r="Z840" s="23">
        <f>LOWER(Settings!$C$4)&amp;".mit."&amp;$A840&amp;IF($C840="","","."&amp;$C840&amp;"."&amp;$B840)&amp;IF(INDEX(Variables!$D$5:$D$65,MATCH($A840,Variables!$A$5:$A$65,0))="","","."&amp;INDEX(Variables!$D$5:$D$65,MATCH($A840,Variables!$A$5:$A$65,0)))&amp;"."&amp;Z$5</f>
        <v/>
      </c>
      <c r="AA840" s="38">
        <f>INDEX(AA$75:AA$88,$D840)/$E840</f>
        <v/>
      </c>
      <c r="AB840" s="36">
        <f>INDEX(AB$75:AB$88,$D840)/$E840</f>
        <v/>
      </c>
      <c r="AC840" s="36">
        <f>INDEX(AC$75:AC$88,$D840)/$E840</f>
        <v/>
      </c>
      <c r="AD840" s="36">
        <f>INDEX(AD$75:AD$88,$D840)/$E840</f>
        <v/>
      </c>
      <c r="AE840" s="36">
        <f>INDEX(AE$75:AE$88,$D840)/$E840</f>
        <v/>
      </c>
      <c r="AF840" s="36">
        <f>INDEX(AF$75:AF$88,$D840)/$E840</f>
        <v/>
      </c>
      <c r="AG840" s="36">
        <f>INDEX(AG$75:AG$88,$D840)/$E840</f>
        <v/>
      </c>
      <c r="AH840" s="36">
        <f>INDEX(AH$75:AH$88,$D840)/$E840</f>
        <v/>
      </c>
      <c r="AI840" s="36">
        <f>INDEX(AI$75:AI$88,$D840)/$E840</f>
        <v/>
      </c>
      <c r="AJ840" s="36">
        <f>INDEX(AJ$75:AJ$88,$D840)/$E840</f>
        <v/>
      </c>
      <c r="AK840" s="36">
        <f>INDEX(AK$75:AK$88,$D840)/$E840</f>
        <v/>
      </c>
      <c r="AL840" s="36">
        <f>INDEX(AL$75:AL$88,$D840)/$E840</f>
        <v/>
      </c>
      <c r="AM840" s="36">
        <f>INDEX(AM$75:AM$88,$D840)/$E840</f>
        <v/>
      </c>
      <c r="AN840" s="36">
        <f>INDEX(AN$75:AN$88,$D840)/$E840</f>
        <v/>
      </c>
    </row>
    <row r="841" hidden="1" outlineLevel="2"/>
    <row r="842" hidden="1" outlineLevel="2">
      <c r="A842" s="5" t="inlineStr">
        <is>
          <t>nce</t>
        </is>
      </c>
      <c r="B842" s="5" t="inlineStr">
        <is>
          <t>coa</t>
        </is>
      </c>
      <c r="C842" s="5" t="inlineStr">
        <is>
          <t>nfm</t>
        </is>
      </c>
      <c r="D842" s="37" t="n"/>
      <c r="E842" s="37" t="n"/>
      <c r="F842" s="37" t="n"/>
      <c r="G842" s="37" t="n"/>
      <c r="H842" s="5">
        <f>INDEX(Variables!$B$5:$B$65,MATCH($A842,Variables!$A$5:$A$65,0))&amp;IF($C842="",""," | "&amp;INDEX(Mapping!$B$5:$B$25,MATCH($C842,Mapping!$A$5:$A$25,0))&amp;" | "&amp;INDEX(Mapping!$B$29:$B$38,MATCH($B842,Mapping!$A$29:$A$38,0)))</f>
        <v/>
      </c>
      <c r="I842" s="5">
        <f>INDEX(Variables!$C$5:$C$65,MATCH($A842,Variables!$A$5:$A$65,0))</f>
        <v/>
      </c>
      <c r="J842" s="5">
        <f>INDEX(Variables!$E$5:$E$65,MATCH($A842,Variables!$A$5:$A$65,0))</f>
        <v/>
      </c>
      <c r="K842" s="23">
        <f>LOWER(Settings!$C$4)&amp;".mit."&amp;$A842&amp;IF($C842="","","."&amp;$C842&amp;"."&amp;$B842)&amp;IF(INDEX(Variables!$D$5:$D$65,MATCH($A842,Variables!$A$5:$A$65,0))="","","."&amp;INDEX(Variables!$D$5:$D$65,MATCH($A842,Variables!$A$5:$A$65,0)))&amp;"."&amp;K$5</f>
        <v/>
      </c>
      <c r="L842" s="38">
        <f>L824+L833</f>
        <v/>
      </c>
      <c r="M842" s="36">
        <f>M824+M833</f>
        <v/>
      </c>
      <c r="N842" s="36">
        <f>N824+N833</f>
        <v/>
      </c>
      <c r="O842" s="36">
        <f>O824+O833</f>
        <v/>
      </c>
      <c r="P842" s="36">
        <f>P824+P833</f>
        <v/>
      </c>
      <c r="Q842" s="36">
        <f>Q824+Q833</f>
        <v/>
      </c>
      <c r="R842" s="36">
        <f>R824+R833</f>
        <v/>
      </c>
      <c r="S842" s="36">
        <f>S824+S833</f>
        <v/>
      </c>
      <c r="T842" s="36">
        <f>T824+T833</f>
        <v/>
      </c>
      <c r="U842" s="36">
        <f>U824+U833</f>
        <v/>
      </c>
      <c r="V842" s="36">
        <f>V824+V833</f>
        <v/>
      </c>
      <c r="W842" s="36">
        <f>W824+W833</f>
        <v/>
      </c>
      <c r="X842" s="36">
        <f>X824+X833</f>
        <v/>
      </c>
      <c r="Y842" s="36">
        <f>Y824+Y833</f>
        <v/>
      </c>
      <c r="Z842" s="23">
        <f>LOWER(Settings!$C$4)&amp;".mit."&amp;$A842&amp;IF($C842="","","."&amp;$C842&amp;"."&amp;$B842)&amp;IF(INDEX(Variables!$D$5:$D$65,MATCH($A842,Variables!$A$5:$A$65,0))="","","."&amp;INDEX(Variables!$D$5:$D$65,MATCH($A842,Variables!$A$5:$A$65,0)))&amp;"."&amp;Z$5</f>
        <v/>
      </c>
      <c r="AA842" s="38">
        <f>AA824+AA833</f>
        <v/>
      </c>
      <c r="AB842" s="36">
        <f>AB824+AB833</f>
        <v/>
      </c>
      <c r="AC842" s="36">
        <f>AC824+AC833</f>
        <v/>
      </c>
      <c r="AD842" s="36">
        <f>AD824+AD833</f>
        <v/>
      </c>
      <c r="AE842" s="36">
        <f>AE824+AE833</f>
        <v/>
      </c>
      <c r="AF842" s="36">
        <f>AF824+AF833</f>
        <v/>
      </c>
      <c r="AG842" s="36">
        <f>AG824+AG833</f>
        <v/>
      </c>
      <c r="AH842" s="36">
        <f>AH824+AH833</f>
        <v/>
      </c>
      <c r="AI842" s="36">
        <f>AI824+AI833</f>
        <v/>
      </c>
      <c r="AJ842" s="36">
        <f>AJ824+AJ833</f>
        <v/>
      </c>
      <c r="AK842" s="36">
        <f>AK824+AK833</f>
        <v/>
      </c>
      <c r="AL842" s="36">
        <f>AL824+AL833</f>
        <v/>
      </c>
      <c r="AM842" s="36">
        <f>AM824+AM833</f>
        <v/>
      </c>
      <c r="AN842" s="36">
        <f>AN824+AN833</f>
        <v/>
      </c>
    </row>
    <row r="843" hidden="1" outlineLevel="2">
      <c r="A843" s="5" t="inlineStr">
        <is>
          <t>nce</t>
        </is>
      </c>
      <c r="B843" s="5" t="inlineStr">
        <is>
          <t>nga</t>
        </is>
      </c>
      <c r="C843" s="5" t="inlineStr">
        <is>
          <t>nfm</t>
        </is>
      </c>
      <c r="D843" s="37" t="n"/>
      <c r="E843" s="37" t="n"/>
      <c r="F843" s="37" t="n"/>
      <c r="G843" s="37" t="n"/>
      <c r="H843" s="5">
        <f>INDEX(Variables!$B$5:$B$65,MATCH($A843,Variables!$A$5:$A$65,0))&amp;IF($C843="",""," | "&amp;INDEX(Mapping!$B$5:$B$25,MATCH($C843,Mapping!$A$5:$A$25,0))&amp;" | "&amp;INDEX(Mapping!$B$29:$B$38,MATCH($B843,Mapping!$A$29:$A$38,0)))</f>
        <v/>
      </c>
      <c r="I843" s="5">
        <f>INDEX(Variables!$C$5:$C$65,MATCH($A843,Variables!$A$5:$A$65,0))</f>
        <v/>
      </c>
      <c r="J843" s="5">
        <f>INDEX(Variables!$E$5:$E$65,MATCH($A843,Variables!$A$5:$A$65,0))</f>
        <v/>
      </c>
      <c r="K843" s="23">
        <f>LOWER(Settings!$C$4)&amp;".mit."&amp;$A843&amp;IF($C843="","","."&amp;$C843&amp;"."&amp;$B843)&amp;IF(INDEX(Variables!$D$5:$D$65,MATCH($A843,Variables!$A$5:$A$65,0))="","","."&amp;INDEX(Variables!$D$5:$D$65,MATCH($A843,Variables!$A$5:$A$65,0)))&amp;"."&amp;K$5</f>
        <v/>
      </c>
      <c r="L843" s="38">
        <f>L825+L834</f>
        <v/>
      </c>
      <c r="M843" s="36">
        <f>M825+M834</f>
        <v/>
      </c>
      <c r="N843" s="36">
        <f>N825+N834</f>
        <v/>
      </c>
      <c r="O843" s="36">
        <f>O825+O834</f>
        <v/>
      </c>
      <c r="P843" s="36">
        <f>P825+P834</f>
        <v/>
      </c>
      <c r="Q843" s="36">
        <f>Q825+Q834</f>
        <v/>
      </c>
      <c r="R843" s="36">
        <f>R825+R834</f>
        <v/>
      </c>
      <c r="S843" s="36">
        <f>S825+S834</f>
        <v/>
      </c>
      <c r="T843" s="36">
        <f>T825+T834</f>
        <v/>
      </c>
      <c r="U843" s="36">
        <f>U825+U834</f>
        <v/>
      </c>
      <c r="V843" s="36">
        <f>V825+V834</f>
        <v/>
      </c>
      <c r="W843" s="36">
        <f>W825+W834</f>
        <v/>
      </c>
      <c r="X843" s="36">
        <f>X825+X834</f>
        <v/>
      </c>
      <c r="Y843" s="36">
        <f>Y825+Y834</f>
        <v/>
      </c>
      <c r="Z843" s="23">
        <f>LOWER(Settings!$C$4)&amp;".mit."&amp;$A843&amp;IF($C843="","","."&amp;$C843&amp;"."&amp;$B843)&amp;IF(INDEX(Variables!$D$5:$D$65,MATCH($A843,Variables!$A$5:$A$65,0))="","","."&amp;INDEX(Variables!$D$5:$D$65,MATCH($A843,Variables!$A$5:$A$65,0)))&amp;"."&amp;Z$5</f>
        <v/>
      </c>
      <c r="AA843" s="38">
        <f>AA825+AA834</f>
        <v/>
      </c>
      <c r="AB843" s="36">
        <f>AB825+AB834</f>
        <v/>
      </c>
      <c r="AC843" s="36">
        <f>AC825+AC834</f>
        <v/>
      </c>
      <c r="AD843" s="36">
        <f>AD825+AD834</f>
        <v/>
      </c>
      <c r="AE843" s="36">
        <f>AE825+AE834</f>
        <v/>
      </c>
      <c r="AF843" s="36">
        <f>AF825+AF834</f>
        <v/>
      </c>
      <c r="AG843" s="36">
        <f>AG825+AG834</f>
        <v/>
      </c>
      <c r="AH843" s="36">
        <f>AH825+AH834</f>
        <v/>
      </c>
      <c r="AI843" s="36">
        <f>AI825+AI834</f>
        <v/>
      </c>
      <c r="AJ843" s="36">
        <f>AJ825+AJ834</f>
        <v/>
      </c>
      <c r="AK843" s="36">
        <f>AK825+AK834</f>
        <v/>
      </c>
      <c r="AL843" s="36">
        <f>AL825+AL834</f>
        <v/>
      </c>
      <c r="AM843" s="36">
        <f>AM825+AM834</f>
        <v/>
      </c>
      <c r="AN843" s="36">
        <f>AN825+AN834</f>
        <v/>
      </c>
    </row>
    <row r="844" hidden="1" outlineLevel="2">
      <c r="A844" s="5" t="inlineStr">
        <is>
          <t>nce</t>
        </is>
      </c>
      <c r="B844" s="5" t="inlineStr">
        <is>
          <t>gso</t>
        </is>
      </c>
      <c r="C844" s="5" t="inlineStr">
        <is>
          <t>nfm</t>
        </is>
      </c>
      <c r="D844" s="37" t="n"/>
      <c r="E844" s="37" t="n"/>
      <c r="F844" s="37" t="n"/>
      <c r="G844" s="37" t="n"/>
      <c r="H844" s="5">
        <f>INDEX(Variables!$B$5:$B$65,MATCH($A844,Variables!$A$5:$A$65,0))&amp;IF($C844="",""," | "&amp;INDEX(Mapping!$B$5:$B$25,MATCH($C844,Mapping!$A$5:$A$25,0))&amp;" | "&amp;INDEX(Mapping!$B$29:$B$38,MATCH($B844,Mapping!$A$29:$A$38,0)))</f>
        <v/>
      </c>
      <c r="I844" s="5">
        <f>INDEX(Variables!$C$5:$C$65,MATCH($A844,Variables!$A$5:$A$65,0))</f>
        <v/>
      </c>
      <c r="J844" s="5">
        <f>INDEX(Variables!$E$5:$E$65,MATCH($A844,Variables!$A$5:$A$65,0))</f>
        <v/>
      </c>
      <c r="K844" s="23">
        <f>LOWER(Settings!$C$4)&amp;".mit."&amp;$A844&amp;IF($C844="","","."&amp;$C844&amp;"."&amp;$B844)&amp;IF(INDEX(Variables!$D$5:$D$65,MATCH($A844,Variables!$A$5:$A$65,0))="","","."&amp;INDEX(Variables!$D$5:$D$65,MATCH($A844,Variables!$A$5:$A$65,0)))&amp;"."&amp;K$5</f>
        <v/>
      </c>
      <c r="L844" s="38">
        <f>L826+L835</f>
        <v/>
      </c>
      <c r="M844" s="36">
        <f>M826+M835</f>
        <v/>
      </c>
      <c r="N844" s="36">
        <f>N826+N835</f>
        <v/>
      </c>
      <c r="O844" s="36">
        <f>O826+O835</f>
        <v/>
      </c>
      <c r="P844" s="36">
        <f>P826+P835</f>
        <v/>
      </c>
      <c r="Q844" s="36">
        <f>Q826+Q835</f>
        <v/>
      </c>
      <c r="R844" s="36">
        <f>R826+R835</f>
        <v/>
      </c>
      <c r="S844" s="36">
        <f>S826+S835</f>
        <v/>
      </c>
      <c r="T844" s="36">
        <f>T826+T835</f>
        <v/>
      </c>
      <c r="U844" s="36">
        <f>U826+U835</f>
        <v/>
      </c>
      <c r="V844" s="36">
        <f>V826+V835</f>
        <v/>
      </c>
      <c r="W844" s="36">
        <f>W826+W835</f>
        <v/>
      </c>
      <c r="X844" s="36">
        <f>X826+X835</f>
        <v/>
      </c>
      <c r="Y844" s="36">
        <f>Y826+Y835</f>
        <v/>
      </c>
      <c r="Z844" s="23">
        <f>LOWER(Settings!$C$4)&amp;".mit."&amp;$A844&amp;IF($C844="","","."&amp;$C844&amp;"."&amp;$B844)&amp;IF(INDEX(Variables!$D$5:$D$65,MATCH($A844,Variables!$A$5:$A$65,0))="","","."&amp;INDEX(Variables!$D$5:$D$65,MATCH($A844,Variables!$A$5:$A$65,0)))&amp;"."&amp;Z$5</f>
        <v/>
      </c>
      <c r="AA844" s="38">
        <f>AA826+AA835</f>
        <v/>
      </c>
      <c r="AB844" s="36">
        <f>AB826+AB835</f>
        <v/>
      </c>
      <c r="AC844" s="36">
        <f>AC826+AC835</f>
        <v/>
      </c>
      <c r="AD844" s="36">
        <f>AD826+AD835</f>
        <v/>
      </c>
      <c r="AE844" s="36">
        <f>AE826+AE835</f>
        <v/>
      </c>
      <c r="AF844" s="36">
        <f>AF826+AF835</f>
        <v/>
      </c>
      <c r="AG844" s="36">
        <f>AG826+AG835</f>
        <v/>
      </c>
      <c r="AH844" s="36">
        <f>AH826+AH835</f>
        <v/>
      </c>
      <c r="AI844" s="36">
        <f>AI826+AI835</f>
        <v/>
      </c>
      <c r="AJ844" s="36">
        <f>AJ826+AJ835</f>
        <v/>
      </c>
      <c r="AK844" s="36">
        <f>AK826+AK835</f>
        <v/>
      </c>
      <c r="AL844" s="36">
        <f>AL826+AL835</f>
        <v/>
      </c>
      <c r="AM844" s="36">
        <f>AM826+AM835</f>
        <v/>
      </c>
      <c r="AN844" s="36">
        <f>AN826+AN835</f>
        <v/>
      </c>
    </row>
    <row r="845" hidden="1" outlineLevel="2">
      <c r="A845" s="5" t="inlineStr">
        <is>
          <t>nce</t>
        </is>
      </c>
      <c r="B845" s="5" t="inlineStr">
        <is>
          <t>die</t>
        </is>
      </c>
      <c r="C845" s="5" t="inlineStr">
        <is>
          <t>nfm</t>
        </is>
      </c>
      <c r="D845" s="37" t="n"/>
      <c r="E845" s="37" t="n"/>
      <c r="F845" s="37" t="n"/>
      <c r="G845" s="37" t="n"/>
      <c r="H845" s="5">
        <f>INDEX(Variables!$B$5:$B$65,MATCH($A845,Variables!$A$5:$A$65,0))&amp;IF($C845="",""," | "&amp;INDEX(Mapping!$B$5:$B$25,MATCH($C845,Mapping!$A$5:$A$25,0))&amp;" | "&amp;INDEX(Mapping!$B$29:$B$38,MATCH($B845,Mapping!$A$29:$A$38,0)))</f>
        <v/>
      </c>
      <c r="I845" s="5">
        <f>INDEX(Variables!$C$5:$C$65,MATCH($A845,Variables!$A$5:$A$65,0))</f>
        <v/>
      </c>
      <c r="J845" s="5">
        <f>INDEX(Variables!$E$5:$E$65,MATCH($A845,Variables!$A$5:$A$65,0))</f>
        <v/>
      </c>
      <c r="K845" s="23">
        <f>LOWER(Settings!$C$4)&amp;".mit."&amp;$A845&amp;IF($C845="","","."&amp;$C845&amp;"."&amp;$B845)&amp;IF(INDEX(Variables!$D$5:$D$65,MATCH($A845,Variables!$A$5:$A$65,0))="","","."&amp;INDEX(Variables!$D$5:$D$65,MATCH($A845,Variables!$A$5:$A$65,0)))&amp;"."&amp;K$5</f>
        <v/>
      </c>
      <c r="L845" s="38">
        <f>L827+L836</f>
        <v/>
      </c>
      <c r="M845" s="36">
        <f>M827+M836</f>
        <v/>
      </c>
      <c r="N845" s="36">
        <f>N827+N836</f>
        <v/>
      </c>
      <c r="O845" s="36">
        <f>O827+O836</f>
        <v/>
      </c>
      <c r="P845" s="36">
        <f>P827+P836</f>
        <v/>
      </c>
      <c r="Q845" s="36">
        <f>Q827+Q836</f>
        <v/>
      </c>
      <c r="R845" s="36">
        <f>R827+R836</f>
        <v/>
      </c>
      <c r="S845" s="36">
        <f>S827+S836</f>
        <v/>
      </c>
      <c r="T845" s="36">
        <f>T827+T836</f>
        <v/>
      </c>
      <c r="U845" s="36">
        <f>U827+U836</f>
        <v/>
      </c>
      <c r="V845" s="36">
        <f>V827+V836</f>
        <v/>
      </c>
      <c r="W845" s="36">
        <f>W827+W836</f>
        <v/>
      </c>
      <c r="X845" s="36">
        <f>X827+X836</f>
        <v/>
      </c>
      <c r="Y845" s="36">
        <f>Y827+Y836</f>
        <v/>
      </c>
      <c r="Z845" s="23">
        <f>LOWER(Settings!$C$4)&amp;".mit."&amp;$A845&amp;IF($C845="","","."&amp;$C845&amp;"."&amp;$B845)&amp;IF(INDEX(Variables!$D$5:$D$65,MATCH($A845,Variables!$A$5:$A$65,0))="","","."&amp;INDEX(Variables!$D$5:$D$65,MATCH($A845,Variables!$A$5:$A$65,0)))&amp;"."&amp;Z$5</f>
        <v/>
      </c>
      <c r="AA845" s="38">
        <f>AA827+AA836</f>
        <v/>
      </c>
      <c r="AB845" s="36">
        <f>AB827+AB836</f>
        <v/>
      </c>
      <c r="AC845" s="36">
        <f>AC827+AC836</f>
        <v/>
      </c>
      <c r="AD845" s="36">
        <f>AD827+AD836</f>
        <v/>
      </c>
      <c r="AE845" s="36">
        <f>AE827+AE836</f>
        <v/>
      </c>
      <c r="AF845" s="36">
        <f>AF827+AF836</f>
        <v/>
      </c>
      <c r="AG845" s="36">
        <f>AG827+AG836</f>
        <v/>
      </c>
      <c r="AH845" s="36">
        <f>AH827+AH836</f>
        <v/>
      </c>
      <c r="AI845" s="36">
        <f>AI827+AI836</f>
        <v/>
      </c>
      <c r="AJ845" s="36">
        <f>AJ827+AJ836</f>
        <v/>
      </c>
      <c r="AK845" s="36">
        <f>AK827+AK836</f>
        <v/>
      </c>
      <c r="AL845" s="36">
        <f>AL827+AL836</f>
        <v/>
      </c>
      <c r="AM845" s="36">
        <f>AM827+AM836</f>
        <v/>
      </c>
      <c r="AN845" s="36">
        <f>AN827+AN836</f>
        <v/>
      </c>
    </row>
    <row r="846" hidden="1" outlineLevel="2">
      <c r="A846" s="5" t="inlineStr">
        <is>
          <t>nce</t>
        </is>
      </c>
      <c r="B846" s="5" t="inlineStr">
        <is>
          <t>lpg</t>
        </is>
      </c>
      <c r="C846" s="5" t="inlineStr">
        <is>
          <t>nfm</t>
        </is>
      </c>
      <c r="D846" s="37" t="n"/>
      <c r="E846" s="37" t="n"/>
      <c r="F846" s="37" t="n"/>
      <c r="G846" s="37" t="n"/>
      <c r="H846" s="5">
        <f>INDEX(Variables!$B$5:$B$65,MATCH($A846,Variables!$A$5:$A$65,0))&amp;IF($C846="",""," | "&amp;INDEX(Mapping!$B$5:$B$25,MATCH($C846,Mapping!$A$5:$A$25,0))&amp;" | "&amp;INDEX(Mapping!$B$29:$B$38,MATCH($B846,Mapping!$A$29:$A$38,0)))</f>
        <v/>
      </c>
      <c r="I846" s="5">
        <f>INDEX(Variables!$C$5:$C$65,MATCH($A846,Variables!$A$5:$A$65,0))</f>
        <v/>
      </c>
      <c r="J846" s="5">
        <f>INDEX(Variables!$E$5:$E$65,MATCH($A846,Variables!$A$5:$A$65,0))</f>
        <v/>
      </c>
      <c r="K846" s="23">
        <f>LOWER(Settings!$C$4)&amp;".mit."&amp;$A846&amp;IF($C846="","","."&amp;$C846&amp;"."&amp;$B846)&amp;IF(INDEX(Variables!$D$5:$D$65,MATCH($A846,Variables!$A$5:$A$65,0))="","","."&amp;INDEX(Variables!$D$5:$D$65,MATCH($A846,Variables!$A$5:$A$65,0)))&amp;"."&amp;K$5</f>
        <v/>
      </c>
      <c r="L846" s="38">
        <f>L828+L837</f>
        <v/>
      </c>
      <c r="M846" s="36">
        <f>M828+M837</f>
        <v/>
      </c>
      <c r="N846" s="36">
        <f>N828+N837</f>
        <v/>
      </c>
      <c r="O846" s="36">
        <f>O828+O837</f>
        <v/>
      </c>
      <c r="P846" s="36">
        <f>P828+P837</f>
        <v/>
      </c>
      <c r="Q846" s="36">
        <f>Q828+Q837</f>
        <v/>
      </c>
      <c r="R846" s="36">
        <f>R828+R837</f>
        <v/>
      </c>
      <c r="S846" s="36">
        <f>S828+S837</f>
        <v/>
      </c>
      <c r="T846" s="36">
        <f>T828+T837</f>
        <v/>
      </c>
      <c r="U846" s="36">
        <f>U828+U837</f>
        <v/>
      </c>
      <c r="V846" s="36">
        <f>V828+V837</f>
        <v/>
      </c>
      <c r="W846" s="36">
        <f>W828+W837</f>
        <v/>
      </c>
      <c r="X846" s="36">
        <f>X828+X837</f>
        <v/>
      </c>
      <c r="Y846" s="36">
        <f>Y828+Y837</f>
        <v/>
      </c>
      <c r="Z846" s="23">
        <f>LOWER(Settings!$C$4)&amp;".mit."&amp;$A846&amp;IF($C846="","","."&amp;$C846&amp;"."&amp;$B846)&amp;IF(INDEX(Variables!$D$5:$D$65,MATCH($A846,Variables!$A$5:$A$65,0))="","","."&amp;INDEX(Variables!$D$5:$D$65,MATCH($A846,Variables!$A$5:$A$65,0)))&amp;"."&amp;Z$5</f>
        <v/>
      </c>
      <c r="AA846" s="38">
        <f>AA828+AA837</f>
        <v/>
      </c>
      <c r="AB846" s="36">
        <f>AB828+AB837</f>
        <v/>
      </c>
      <c r="AC846" s="36">
        <f>AC828+AC837</f>
        <v/>
      </c>
      <c r="AD846" s="36">
        <f>AD828+AD837</f>
        <v/>
      </c>
      <c r="AE846" s="36">
        <f>AE828+AE837</f>
        <v/>
      </c>
      <c r="AF846" s="36">
        <f>AF828+AF837</f>
        <v/>
      </c>
      <c r="AG846" s="36">
        <f>AG828+AG837</f>
        <v/>
      </c>
      <c r="AH846" s="36">
        <f>AH828+AH837</f>
        <v/>
      </c>
      <c r="AI846" s="36">
        <f>AI828+AI837</f>
        <v/>
      </c>
      <c r="AJ846" s="36">
        <f>AJ828+AJ837</f>
        <v/>
      </c>
      <c r="AK846" s="36">
        <f>AK828+AK837</f>
        <v/>
      </c>
      <c r="AL846" s="36">
        <f>AL828+AL837</f>
        <v/>
      </c>
      <c r="AM846" s="36">
        <f>AM828+AM837</f>
        <v/>
      </c>
      <c r="AN846" s="36">
        <f>AN828+AN837</f>
        <v/>
      </c>
    </row>
    <row r="847" hidden="1" outlineLevel="2">
      <c r="A847" s="5" t="inlineStr">
        <is>
          <t>nce</t>
        </is>
      </c>
      <c r="B847" s="5" t="inlineStr">
        <is>
          <t>ker</t>
        </is>
      </c>
      <c r="C847" s="5" t="inlineStr">
        <is>
          <t>nfm</t>
        </is>
      </c>
      <c r="D847" s="37" t="n"/>
      <c r="E847" s="37" t="n"/>
      <c r="F847" s="37" t="n"/>
      <c r="G847" s="37" t="n"/>
      <c r="H847" s="5">
        <f>INDEX(Variables!$B$5:$B$65,MATCH($A847,Variables!$A$5:$A$65,0))&amp;IF($C847="",""," | "&amp;INDEX(Mapping!$B$5:$B$25,MATCH($C847,Mapping!$A$5:$A$25,0))&amp;" | "&amp;INDEX(Mapping!$B$29:$B$38,MATCH($B847,Mapping!$A$29:$A$38,0)))</f>
        <v/>
      </c>
      <c r="I847" s="5">
        <f>INDEX(Variables!$C$5:$C$65,MATCH($A847,Variables!$A$5:$A$65,0))</f>
        <v/>
      </c>
      <c r="J847" s="5">
        <f>INDEX(Variables!$E$5:$E$65,MATCH($A847,Variables!$A$5:$A$65,0))</f>
        <v/>
      </c>
      <c r="K847" s="23">
        <f>LOWER(Settings!$C$4)&amp;".mit."&amp;$A847&amp;IF($C847="","","."&amp;$C847&amp;"."&amp;$B847)&amp;IF(INDEX(Variables!$D$5:$D$65,MATCH($A847,Variables!$A$5:$A$65,0))="","","."&amp;INDEX(Variables!$D$5:$D$65,MATCH($A847,Variables!$A$5:$A$65,0)))&amp;"."&amp;K$5</f>
        <v/>
      </c>
      <c r="L847" s="38">
        <f>L829+L838</f>
        <v/>
      </c>
      <c r="M847" s="36">
        <f>M829+M838</f>
        <v/>
      </c>
      <c r="N847" s="36">
        <f>N829+N838</f>
        <v/>
      </c>
      <c r="O847" s="36">
        <f>O829+O838</f>
        <v/>
      </c>
      <c r="P847" s="36">
        <f>P829+P838</f>
        <v/>
      </c>
      <c r="Q847" s="36">
        <f>Q829+Q838</f>
        <v/>
      </c>
      <c r="R847" s="36">
        <f>R829+R838</f>
        <v/>
      </c>
      <c r="S847" s="36">
        <f>S829+S838</f>
        <v/>
      </c>
      <c r="T847" s="36">
        <f>T829+T838</f>
        <v/>
      </c>
      <c r="U847" s="36">
        <f>U829+U838</f>
        <v/>
      </c>
      <c r="V847" s="36">
        <f>V829+V838</f>
        <v/>
      </c>
      <c r="W847" s="36">
        <f>W829+W838</f>
        <v/>
      </c>
      <c r="X847" s="36">
        <f>X829+X838</f>
        <v/>
      </c>
      <c r="Y847" s="36">
        <f>Y829+Y838</f>
        <v/>
      </c>
      <c r="Z847" s="23">
        <f>LOWER(Settings!$C$4)&amp;".mit."&amp;$A847&amp;IF($C847="","","."&amp;$C847&amp;"."&amp;$B847)&amp;IF(INDEX(Variables!$D$5:$D$65,MATCH($A847,Variables!$A$5:$A$65,0))="","","."&amp;INDEX(Variables!$D$5:$D$65,MATCH($A847,Variables!$A$5:$A$65,0)))&amp;"."&amp;Z$5</f>
        <v/>
      </c>
      <c r="AA847" s="38">
        <f>AA829+AA838</f>
        <v/>
      </c>
      <c r="AB847" s="36">
        <f>AB829+AB838</f>
        <v/>
      </c>
      <c r="AC847" s="36">
        <f>AC829+AC838</f>
        <v/>
      </c>
      <c r="AD847" s="36">
        <f>AD829+AD838</f>
        <v/>
      </c>
      <c r="AE847" s="36">
        <f>AE829+AE838</f>
        <v/>
      </c>
      <c r="AF847" s="36">
        <f>AF829+AF838</f>
        <v/>
      </c>
      <c r="AG847" s="36">
        <f>AG829+AG838</f>
        <v/>
      </c>
      <c r="AH847" s="36">
        <f>AH829+AH838</f>
        <v/>
      </c>
      <c r="AI847" s="36">
        <f>AI829+AI838</f>
        <v/>
      </c>
      <c r="AJ847" s="36">
        <f>AJ829+AJ838</f>
        <v/>
      </c>
      <c r="AK847" s="36">
        <f>AK829+AK838</f>
        <v/>
      </c>
      <c r="AL847" s="36">
        <f>AL829+AL838</f>
        <v/>
      </c>
      <c r="AM847" s="36">
        <f>AM829+AM838</f>
        <v/>
      </c>
      <c r="AN847" s="36">
        <f>AN829+AN838</f>
        <v/>
      </c>
    </row>
    <row r="848" hidden="1" outlineLevel="2">
      <c r="A848" s="5" t="inlineStr">
        <is>
          <t>nce</t>
        </is>
      </c>
      <c r="B848" s="5" t="inlineStr">
        <is>
          <t>oop</t>
        </is>
      </c>
      <c r="C848" s="5" t="inlineStr">
        <is>
          <t>nfm</t>
        </is>
      </c>
      <c r="D848" s="37" t="n"/>
      <c r="E848" s="37" t="n"/>
      <c r="F848" s="37" t="n"/>
      <c r="G848" s="37" t="n"/>
      <c r="H848" s="5">
        <f>INDEX(Variables!$B$5:$B$65,MATCH($A848,Variables!$A$5:$A$65,0))&amp;IF($C848="",""," | "&amp;INDEX(Mapping!$B$5:$B$25,MATCH($C848,Mapping!$A$5:$A$25,0))&amp;" | "&amp;INDEX(Mapping!$B$29:$B$38,MATCH($B848,Mapping!$A$29:$A$38,0)))</f>
        <v/>
      </c>
      <c r="I848" s="5">
        <f>INDEX(Variables!$C$5:$C$65,MATCH($A848,Variables!$A$5:$A$65,0))</f>
        <v/>
      </c>
      <c r="J848" s="5">
        <f>INDEX(Variables!$E$5:$E$65,MATCH($A848,Variables!$A$5:$A$65,0))</f>
        <v/>
      </c>
      <c r="K848" s="23">
        <f>LOWER(Settings!$C$4)&amp;".mit."&amp;$A848&amp;IF($C848="","","."&amp;$C848&amp;"."&amp;$B848)&amp;IF(INDEX(Variables!$D$5:$D$65,MATCH($A848,Variables!$A$5:$A$65,0))="","","."&amp;INDEX(Variables!$D$5:$D$65,MATCH($A848,Variables!$A$5:$A$65,0)))&amp;"."&amp;K$5</f>
        <v/>
      </c>
      <c r="L848" s="38">
        <f>L830+L839</f>
        <v/>
      </c>
      <c r="M848" s="36">
        <f>M830+M839</f>
        <v/>
      </c>
      <c r="N848" s="36">
        <f>N830+N839</f>
        <v/>
      </c>
      <c r="O848" s="36">
        <f>O830+O839</f>
        <v/>
      </c>
      <c r="P848" s="36">
        <f>P830+P839</f>
        <v/>
      </c>
      <c r="Q848" s="36">
        <f>Q830+Q839</f>
        <v/>
      </c>
      <c r="R848" s="36">
        <f>R830+R839</f>
        <v/>
      </c>
      <c r="S848" s="36">
        <f>S830+S839</f>
        <v/>
      </c>
      <c r="T848" s="36">
        <f>T830+T839</f>
        <v/>
      </c>
      <c r="U848" s="36">
        <f>U830+U839</f>
        <v/>
      </c>
      <c r="V848" s="36">
        <f>V830+V839</f>
        <v/>
      </c>
      <c r="W848" s="36">
        <f>W830+W839</f>
        <v/>
      </c>
      <c r="X848" s="36">
        <f>X830+X839</f>
        <v/>
      </c>
      <c r="Y848" s="36">
        <f>Y830+Y839</f>
        <v/>
      </c>
      <c r="Z848" s="23">
        <f>LOWER(Settings!$C$4)&amp;".mit."&amp;$A848&amp;IF($C848="","","."&amp;$C848&amp;"."&amp;$B848)&amp;IF(INDEX(Variables!$D$5:$D$65,MATCH($A848,Variables!$A$5:$A$65,0))="","","."&amp;INDEX(Variables!$D$5:$D$65,MATCH($A848,Variables!$A$5:$A$65,0)))&amp;"."&amp;Z$5</f>
        <v/>
      </c>
      <c r="AA848" s="38">
        <f>AA830+AA839</f>
        <v/>
      </c>
      <c r="AB848" s="36">
        <f>AB830+AB839</f>
        <v/>
      </c>
      <c r="AC848" s="36">
        <f>AC830+AC839</f>
        <v/>
      </c>
      <c r="AD848" s="36">
        <f>AD830+AD839</f>
        <v/>
      </c>
      <c r="AE848" s="36">
        <f>AE830+AE839</f>
        <v/>
      </c>
      <c r="AF848" s="36">
        <f>AF830+AF839</f>
        <v/>
      </c>
      <c r="AG848" s="36">
        <f>AG830+AG839</f>
        <v/>
      </c>
      <c r="AH848" s="36">
        <f>AH830+AH839</f>
        <v/>
      </c>
      <c r="AI848" s="36">
        <f>AI830+AI839</f>
        <v/>
      </c>
      <c r="AJ848" s="36">
        <f>AJ830+AJ839</f>
        <v/>
      </c>
      <c r="AK848" s="36">
        <f>AK830+AK839</f>
        <v/>
      </c>
      <c r="AL848" s="36">
        <f>AL830+AL839</f>
        <v/>
      </c>
      <c r="AM848" s="36">
        <f>AM830+AM839</f>
        <v/>
      </c>
      <c r="AN848" s="36">
        <f>AN830+AN839</f>
        <v/>
      </c>
    </row>
    <row r="849" hidden="1" outlineLevel="2">
      <c r="A849" s="5" t="inlineStr">
        <is>
          <t>nce</t>
        </is>
      </c>
      <c r="B849" s="5" t="inlineStr">
        <is>
          <t>bio</t>
        </is>
      </c>
      <c r="C849" s="5" t="inlineStr">
        <is>
          <t>nfm</t>
        </is>
      </c>
      <c r="D849" s="37" t="n"/>
      <c r="E849" s="37" t="n"/>
      <c r="F849" s="37" t="n"/>
      <c r="G849" s="37" t="n"/>
      <c r="H849" s="5">
        <f>INDEX(Variables!$B$5:$B$65,MATCH($A849,Variables!$A$5:$A$65,0))&amp;IF($C849="",""," | "&amp;INDEX(Mapping!$B$5:$B$25,MATCH($C849,Mapping!$A$5:$A$25,0))&amp;" | "&amp;INDEX(Mapping!$B$29:$B$38,MATCH($B849,Mapping!$A$29:$A$38,0)))</f>
        <v/>
      </c>
      <c r="I849" s="5">
        <f>INDEX(Variables!$C$5:$C$65,MATCH($A849,Variables!$A$5:$A$65,0))</f>
        <v/>
      </c>
      <c r="J849" s="5">
        <f>INDEX(Variables!$E$5:$E$65,MATCH($A849,Variables!$A$5:$A$65,0))</f>
        <v/>
      </c>
      <c r="K849" s="23">
        <f>LOWER(Settings!$C$4)&amp;".mit."&amp;$A849&amp;IF($C849="","","."&amp;$C849&amp;"."&amp;$B849)&amp;IF(INDEX(Variables!$D$5:$D$65,MATCH($A849,Variables!$A$5:$A$65,0))="","","."&amp;INDEX(Variables!$D$5:$D$65,MATCH($A849,Variables!$A$5:$A$65,0)))&amp;"."&amp;K$5</f>
        <v/>
      </c>
      <c r="L849" s="38">
        <f>L831+L840</f>
        <v/>
      </c>
      <c r="M849" s="36">
        <f>M831+M840</f>
        <v/>
      </c>
      <c r="N849" s="36">
        <f>N831+N840</f>
        <v/>
      </c>
      <c r="O849" s="36">
        <f>O831+O840</f>
        <v/>
      </c>
      <c r="P849" s="36">
        <f>P831+P840</f>
        <v/>
      </c>
      <c r="Q849" s="36">
        <f>Q831+Q840</f>
        <v/>
      </c>
      <c r="R849" s="36">
        <f>R831+R840</f>
        <v/>
      </c>
      <c r="S849" s="36">
        <f>S831+S840</f>
        <v/>
      </c>
      <c r="T849" s="36">
        <f>T831+T840</f>
        <v/>
      </c>
      <c r="U849" s="36">
        <f>U831+U840</f>
        <v/>
      </c>
      <c r="V849" s="36">
        <f>V831+V840</f>
        <v/>
      </c>
      <c r="W849" s="36">
        <f>W831+W840</f>
        <v/>
      </c>
      <c r="X849" s="36">
        <f>X831+X840</f>
        <v/>
      </c>
      <c r="Y849" s="36">
        <f>Y831+Y840</f>
        <v/>
      </c>
      <c r="Z849" s="23">
        <f>LOWER(Settings!$C$4)&amp;".mit."&amp;$A849&amp;IF($C849="","","."&amp;$C849&amp;"."&amp;$B849)&amp;IF(INDEX(Variables!$D$5:$D$65,MATCH($A849,Variables!$A$5:$A$65,0))="","","."&amp;INDEX(Variables!$D$5:$D$65,MATCH($A849,Variables!$A$5:$A$65,0)))&amp;"."&amp;Z$5</f>
        <v/>
      </c>
      <c r="AA849" s="38">
        <f>AA831+AA840</f>
        <v/>
      </c>
      <c r="AB849" s="36">
        <f>AB831+AB840</f>
        <v/>
      </c>
      <c r="AC849" s="36">
        <f>AC831+AC840</f>
        <v/>
      </c>
      <c r="AD849" s="36">
        <f>AD831+AD840</f>
        <v/>
      </c>
      <c r="AE849" s="36">
        <f>AE831+AE840</f>
        <v/>
      </c>
      <c r="AF849" s="36">
        <f>AF831+AF840</f>
        <v/>
      </c>
      <c r="AG849" s="36">
        <f>AG831+AG840</f>
        <v/>
      </c>
      <c r="AH849" s="36">
        <f>AH831+AH840</f>
        <v/>
      </c>
      <c r="AI849" s="36">
        <f>AI831+AI840</f>
        <v/>
      </c>
      <c r="AJ849" s="36">
        <f>AJ831+AJ840</f>
        <v/>
      </c>
      <c r="AK849" s="36">
        <f>AK831+AK840</f>
        <v/>
      </c>
      <c r="AL849" s="36">
        <f>AL831+AL840</f>
        <v/>
      </c>
      <c r="AM849" s="36">
        <f>AM831+AM840</f>
        <v/>
      </c>
      <c r="AN849" s="36">
        <f>AN831+AN840</f>
        <v/>
      </c>
    </row>
    <row r="850" hidden="1" outlineLevel="2"/>
    <row r="851" hidden="1" outlineLevel="2">
      <c r="A851" s="5" t="inlineStr">
        <is>
          <t>tax</t>
        </is>
      </c>
      <c r="B851" s="5" t="inlineStr">
        <is>
          <t>coa</t>
        </is>
      </c>
      <c r="C851" s="5" t="inlineStr">
        <is>
          <t>nfm</t>
        </is>
      </c>
      <c r="D851" s="36">
        <f>INDEX(Inputs!$T$5:$T$132,MATCH($B851&amp;"|"&amp;$C851,Inputs!$A$5:$A$132,0))</f>
        <v/>
      </c>
      <c r="E851" s="37" t="n"/>
      <c r="F851" s="37" t="n"/>
      <c r="G851" s="37" t="n"/>
      <c r="H851" s="5">
        <f>INDEX(Variables!$B$5:$B$65,MATCH($A851,Variables!$A$5:$A$65,0))&amp;IF($C851="",""," | "&amp;INDEX(Mapping!$B$5:$B$25,MATCH($C851,Mapping!$A$5:$A$25,0))&amp;" | "&amp;INDEX(Mapping!$B$29:$B$38,MATCH($B851,Mapping!$A$29:$A$38,0)))</f>
        <v/>
      </c>
      <c r="I851" s="5">
        <f>INDEX(Variables!$C$5:$C$65,MATCH($A851,Variables!$A$5:$A$65,0))</f>
        <v/>
      </c>
      <c r="J851" s="5">
        <f>INDEX(Variables!$E$5:$E$65,MATCH($A851,Variables!$A$5:$A$65,0))</f>
        <v/>
      </c>
      <c r="K851" s="23">
        <f>LOWER(Settings!$C$4)&amp;".mit."&amp;$A851&amp;IF($C851="","","."&amp;$C851&amp;"."&amp;$B851)&amp;IF(INDEX(Variables!$D$5:$D$65,MATCH($A851,Variables!$A$5:$A$65,0))="","","."&amp;INDEX(Variables!$D$5:$D$65,MATCH($A851,Variables!$A$5:$A$65,0)))&amp;"."&amp;K$5</f>
        <v/>
      </c>
      <c r="L851" s="38">
        <f>$D851+L842</f>
        <v/>
      </c>
      <c r="M851" s="36">
        <f>$D851+M842</f>
        <v/>
      </c>
      <c r="N851" s="36">
        <f>$D851+N842</f>
        <v/>
      </c>
      <c r="O851" s="36">
        <f>$D851+O842</f>
        <v/>
      </c>
      <c r="P851" s="36">
        <f>$D851+P842</f>
        <v/>
      </c>
      <c r="Q851" s="36">
        <f>$D851+Q842</f>
        <v/>
      </c>
      <c r="R851" s="36">
        <f>$D851+R842</f>
        <v/>
      </c>
      <c r="S851" s="36">
        <f>$D851+S842</f>
        <v/>
      </c>
      <c r="T851" s="36">
        <f>$D851+T842</f>
        <v/>
      </c>
      <c r="U851" s="36">
        <f>$D851+U842</f>
        <v/>
      </c>
      <c r="V851" s="36">
        <f>$D851+V842</f>
        <v/>
      </c>
      <c r="W851" s="36">
        <f>$D851+W842</f>
        <v/>
      </c>
      <c r="X851" s="36">
        <f>$D851+X842</f>
        <v/>
      </c>
      <c r="Y851" s="39">
        <f>TAX($D851,Y842)</f>
        <v/>
      </c>
      <c r="Z851" s="23">
        <f>LOWER(Settings!$C$4)&amp;".mit."&amp;$A851&amp;IF($C851="","","."&amp;$C851&amp;"."&amp;$B851)&amp;IF(INDEX(Variables!$D$5:$D$65,MATCH($A851,Variables!$A$5:$A$65,0))="","","."&amp;INDEX(Variables!$D$5:$D$65,MATCH($A851,Variables!$A$5:$A$65,0)))&amp;"."&amp;Z$5</f>
        <v/>
      </c>
      <c r="AA851" s="38">
        <f>$D851+AA842</f>
        <v/>
      </c>
      <c r="AB851" s="36">
        <f>$D851+AB842</f>
        <v/>
      </c>
      <c r="AC851" s="36">
        <f>$D851+AC842</f>
        <v/>
      </c>
      <c r="AD851" s="36">
        <f>$D851+AD842</f>
        <v/>
      </c>
      <c r="AE851" s="36">
        <f>$D851+AE842</f>
        <v/>
      </c>
      <c r="AF851" s="36">
        <f>$D851+AF842</f>
        <v/>
      </c>
      <c r="AG851" s="36">
        <f>$D851+AG842</f>
        <v/>
      </c>
      <c r="AH851" s="36">
        <f>$D851+AH842</f>
        <v/>
      </c>
      <c r="AI851" s="36">
        <f>$D851+AI842</f>
        <v/>
      </c>
      <c r="AJ851" s="36">
        <f>$D851+AJ842</f>
        <v/>
      </c>
      <c r="AK851" s="36">
        <f>$D851+AK842</f>
        <v/>
      </c>
      <c r="AL851" s="36">
        <f>$D851+AL842</f>
        <v/>
      </c>
      <c r="AM851" s="36">
        <f>$D851+AM842</f>
        <v/>
      </c>
      <c r="AN851" s="39">
        <f>TAX($D851,AN842)</f>
        <v/>
      </c>
    </row>
    <row r="852" hidden="1" outlineLevel="2">
      <c r="A852" s="5" t="inlineStr">
        <is>
          <t>tax</t>
        </is>
      </c>
      <c r="B852" s="5" t="inlineStr">
        <is>
          <t>nga</t>
        </is>
      </c>
      <c r="C852" s="5" t="inlineStr">
        <is>
          <t>nfm</t>
        </is>
      </c>
      <c r="D852" s="36">
        <f>INDEX(Inputs!$T$5:$T$132,MATCH($B852&amp;"|"&amp;$C852,Inputs!$A$5:$A$132,0))</f>
        <v/>
      </c>
      <c r="E852" s="37" t="n"/>
      <c r="F852" s="37" t="n"/>
      <c r="G852" s="37" t="n"/>
      <c r="H852" s="5">
        <f>INDEX(Variables!$B$5:$B$65,MATCH($A852,Variables!$A$5:$A$65,0))&amp;IF($C852="",""," | "&amp;INDEX(Mapping!$B$5:$B$25,MATCH($C852,Mapping!$A$5:$A$25,0))&amp;" | "&amp;INDEX(Mapping!$B$29:$B$38,MATCH($B852,Mapping!$A$29:$A$38,0)))</f>
        <v/>
      </c>
      <c r="I852" s="5">
        <f>INDEX(Variables!$C$5:$C$65,MATCH($A852,Variables!$A$5:$A$65,0))</f>
        <v/>
      </c>
      <c r="J852" s="5">
        <f>INDEX(Variables!$E$5:$E$65,MATCH($A852,Variables!$A$5:$A$65,0))</f>
        <v/>
      </c>
      <c r="K852" s="23">
        <f>LOWER(Settings!$C$4)&amp;".mit."&amp;$A852&amp;IF($C852="","","."&amp;$C852&amp;"."&amp;$B852)&amp;IF(INDEX(Variables!$D$5:$D$65,MATCH($A852,Variables!$A$5:$A$65,0))="","","."&amp;INDEX(Variables!$D$5:$D$65,MATCH($A852,Variables!$A$5:$A$65,0)))&amp;"."&amp;K$5</f>
        <v/>
      </c>
      <c r="L852" s="38">
        <f>$D852+L843</f>
        <v/>
      </c>
      <c r="M852" s="36">
        <f>$D852+M843</f>
        <v/>
      </c>
      <c r="N852" s="36">
        <f>$D852+N843</f>
        <v/>
      </c>
      <c r="O852" s="36">
        <f>$D852+O843</f>
        <v/>
      </c>
      <c r="P852" s="36">
        <f>$D852+P843</f>
        <v/>
      </c>
      <c r="Q852" s="36">
        <f>$D852+Q843</f>
        <v/>
      </c>
      <c r="R852" s="36">
        <f>$D852+R843</f>
        <v/>
      </c>
      <c r="S852" s="36">
        <f>$D852+S843</f>
        <v/>
      </c>
      <c r="T852" s="36">
        <f>$D852+T843</f>
        <v/>
      </c>
      <c r="U852" s="36">
        <f>$D852+U843</f>
        <v/>
      </c>
      <c r="V852" s="36">
        <f>$D852+V843</f>
        <v/>
      </c>
      <c r="W852" s="36">
        <f>$D852+W843</f>
        <v/>
      </c>
      <c r="X852" s="36">
        <f>$D852+X843</f>
        <v/>
      </c>
      <c r="Y852" s="39">
        <f>TAX($D852,Y843)</f>
        <v/>
      </c>
      <c r="Z852" s="23">
        <f>LOWER(Settings!$C$4)&amp;".mit."&amp;$A852&amp;IF($C852="","","."&amp;$C852&amp;"."&amp;$B852)&amp;IF(INDEX(Variables!$D$5:$D$65,MATCH($A852,Variables!$A$5:$A$65,0))="","","."&amp;INDEX(Variables!$D$5:$D$65,MATCH($A852,Variables!$A$5:$A$65,0)))&amp;"."&amp;Z$5</f>
        <v/>
      </c>
      <c r="AA852" s="38">
        <f>$D852+AA843</f>
        <v/>
      </c>
      <c r="AB852" s="36">
        <f>$D852+AB843</f>
        <v/>
      </c>
      <c r="AC852" s="36">
        <f>$D852+AC843</f>
        <v/>
      </c>
      <c r="AD852" s="36">
        <f>$D852+AD843</f>
        <v/>
      </c>
      <c r="AE852" s="36">
        <f>$D852+AE843</f>
        <v/>
      </c>
      <c r="AF852" s="36">
        <f>$D852+AF843</f>
        <v/>
      </c>
      <c r="AG852" s="36">
        <f>$D852+AG843</f>
        <v/>
      </c>
      <c r="AH852" s="36">
        <f>$D852+AH843</f>
        <v/>
      </c>
      <c r="AI852" s="36">
        <f>$D852+AI843</f>
        <v/>
      </c>
      <c r="AJ852" s="36">
        <f>$D852+AJ843</f>
        <v/>
      </c>
      <c r="AK852" s="36">
        <f>$D852+AK843</f>
        <v/>
      </c>
      <c r="AL852" s="36">
        <f>$D852+AL843</f>
        <v/>
      </c>
      <c r="AM852" s="36">
        <f>$D852+AM843</f>
        <v/>
      </c>
      <c r="AN852" s="39">
        <f>TAX($D852,AN843)</f>
        <v/>
      </c>
    </row>
    <row r="853" hidden="1" outlineLevel="2">
      <c r="A853" s="5" t="inlineStr">
        <is>
          <t>tax</t>
        </is>
      </c>
      <c r="B853" s="5" t="inlineStr">
        <is>
          <t>gso</t>
        </is>
      </c>
      <c r="C853" s="5" t="inlineStr">
        <is>
          <t>nfm</t>
        </is>
      </c>
      <c r="D853" s="36">
        <f>INDEX(Inputs!$T$5:$T$132,MATCH($B853&amp;"|"&amp;$C853,Inputs!$A$5:$A$132,0))</f>
        <v/>
      </c>
      <c r="E853" s="37" t="n"/>
      <c r="F853" s="37" t="n"/>
      <c r="G853" s="37" t="n"/>
      <c r="H853" s="5">
        <f>INDEX(Variables!$B$5:$B$65,MATCH($A853,Variables!$A$5:$A$65,0))&amp;IF($C853="",""," | "&amp;INDEX(Mapping!$B$5:$B$25,MATCH($C853,Mapping!$A$5:$A$25,0))&amp;" | "&amp;INDEX(Mapping!$B$29:$B$38,MATCH($B853,Mapping!$A$29:$A$38,0)))</f>
        <v/>
      </c>
      <c r="I853" s="5">
        <f>INDEX(Variables!$C$5:$C$65,MATCH($A853,Variables!$A$5:$A$65,0))</f>
        <v/>
      </c>
      <c r="J853" s="5">
        <f>INDEX(Variables!$E$5:$E$65,MATCH($A853,Variables!$A$5:$A$65,0))</f>
        <v/>
      </c>
      <c r="K853" s="23">
        <f>LOWER(Settings!$C$4)&amp;".mit."&amp;$A853&amp;IF($C853="","","."&amp;$C853&amp;"."&amp;$B853)&amp;IF(INDEX(Variables!$D$5:$D$65,MATCH($A853,Variables!$A$5:$A$65,0))="","","."&amp;INDEX(Variables!$D$5:$D$65,MATCH($A853,Variables!$A$5:$A$65,0)))&amp;"."&amp;K$5</f>
        <v/>
      </c>
      <c r="L853" s="38">
        <f>$D853+L844</f>
        <v/>
      </c>
      <c r="M853" s="36">
        <f>$D853+M844</f>
        <v/>
      </c>
      <c r="N853" s="36">
        <f>$D853+N844</f>
        <v/>
      </c>
      <c r="O853" s="36">
        <f>$D853+O844</f>
        <v/>
      </c>
      <c r="P853" s="36">
        <f>$D853+P844</f>
        <v/>
      </c>
      <c r="Q853" s="36">
        <f>$D853+Q844</f>
        <v/>
      </c>
      <c r="R853" s="36">
        <f>$D853+R844</f>
        <v/>
      </c>
      <c r="S853" s="36">
        <f>$D853+S844</f>
        <v/>
      </c>
      <c r="T853" s="36">
        <f>$D853+T844</f>
        <v/>
      </c>
      <c r="U853" s="36">
        <f>$D853+U844</f>
        <v/>
      </c>
      <c r="V853" s="36">
        <f>$D853+V844</f>
        <v/>
      </c>
      <c r="W853" s="36">
        <f>$D853+W844</f>
        <v/>
      </c>
      <c r="X853" s="36">
        <f>$D853+X844</f>
        <v/>
      </c>
      <c r="Y853" s="39">
        <f>TAX($D853,Y844)</f>
        <v/>
      </c>
      <c r="Z853" s="23">
        <f>LOWER(Settings!$C$4)&amp;".mit."&amp;$A853&amp;IF($C853="","","."&amp;$C853&amp;"."&amp;$B853)&amp;IF(INDEX(Variables!$D$5:$D$65,MATCH($A853,Variables!$A$5:$A$65,0))="","","."&amp;INDEX(Variables!$D$5:$D$65,MATCH($A853,Variables!$A$5:$A$65,0)))&amp;"."&amp;Z$5</f>
        <v/>
      </c>
      <c r="AA853" s="38">
        <f>$D853+AA844</f>
        <v/>
      </c>
      <c r="AB853" s="36">
        <f>$D853+AB844</f>
        <v/>
      </c>
      <c r="AC853" s="36">
        <f>$D853+AC844</f>
        <v/>
      </c>
      <c r="AD853" s="36">
        <f>$D853+AD844</f>
        <v/>
      </c>
      <c r="AE853" s="36">
        <f>$D853+AE844</f>
        <v/>
      </c>
      <c r="AF853" s="36">
        <f>$D853+AF844</f>
        <v/>
      </c>
      <c r="AG853" s="36">
        <f>$D853+AG844</f>
        <v/>
      </c>
      <c r="AH853" s="36">
        <f>$D853+AH844</f>
        <v/>
      </c>
      <c r="AI853" s="36">
        <f>$D853+AI844</f>
        <v/>
      </c>
      <c r="AJ853" s="36">
        <f>$D853+AJ844</f>
        <v/>
      </c>
      <c r="AK853" s="36">
        <f>$D853+AK844</f>
        <v/>
      </c>
      <c r="AL853" s="36">
        <f>$D853+AL844</f>
        <v/>
      </c>
      <c r="AM853" s="36">
        <f>$D853+AM844</f>
        <v/>
      </c>
      <c r="AN853" s="39">
        <f>TAX($D853,AN844)</f>
        <v/>
      </c>
    </row>
    <row r="854" hidden="1" outlineLevel="2">
      <c r="A854" s="5" t="inlineStr">
        <is>
          <t>tax</t>
        </is>
      </c>
      <c r="B854" s="5" t="inlineStr">
        <is>
          <t>die</t>
        </is>
      </c>
      <c r="C854" s="5" t="inlineStr">
        <is>
          <t>nfm</t>
        </is>
      </c>
      <c r="D854" s="36">
        <f>INDEX(Inputs!$T$5:$T$132,MATCH($B854&amp;"|"&amp;$C854,Inputs!$A$5:$A$132,0))</f>
        <v/>
      </c>
      <c r="E854" s="37" t="n"/>
      <c r="F854" s="37" t="n"/>
      <c r="G854" s="37" t="n"/>
      <c r="H854" s="5">
        <f>INDEX(Variables!$B$5:$B$65,MATCH($A854,Variables!$A$5:$A$65,0))&amp;IF($C854="",""," | "&amp;INDEX(Mapping!$B$5:$B$25,MATCH($C854,Mapping!$A$5:$A$25,0))&amp;" | "&amp;INDEX(Mapping!$B$29:$B$38,MATCH($B854,Mapping!$A$29:$A$38,0)))</f>
        <v/>
      </c>
      <c r="I854" s="5">
        <f>INDEX(Variables!$C$5:$C$65,MATCH($A854,Variables!$A$5:$A$65,0))</f>
        <v/>
      </c>
      <c r="J854" s="5">
        <f>INDEX(Variables!$E$5:$E$65,MATCH($A854,Variables!$A$5:$A$65,0))</f>
        <v/>
      </c>
      <c r="K854" s="23">
        <f>LOWER(Settings!$C$4)&amp;".mit."&amp;$A854&amp;IF($C854="","","."&amp;$C854&amp;"."&amp;$B854)&amp;IF(INDEX(Variables!$D$5:$D$65,MATCH($A854,Variables!$A$5:$A$65,0))="","","."&amp;INDEX(Variables!$D$5:$D$65,MATCH($A854,Variables!$A$5:$A$65,0)))&amp;"."&amp;K$5</f>
        <v/>
      </c>
      <c r="L854" s="38">
        <f>$D854+L845</f>
        <v/>
      </c>
      <c r="M854" s="36">
        <f>$D854+M845</f>
        <v/>
      </c>
      <c r="N854" s="36">
        <f>$D854+N845</f>
        <v/>
      </c>
      <c r="O854" s="36">
        <f>$D854+O845</f>
        <v/>
      </c>
      <c r="P854" s="36">
        <f>$D854+P845</f>
        <v/>
      </c>
      <c r="Q854" s="36">
        <f>$D854+Q845</f>
        <v/>
      </c>
      <c r="R854" s="36">
        <f>$D854+R845</f>
        <v/>
      </c>
      <c r="S854" s="36">
        <f>$D854+S845</f>
        <v/>
      </c>
      <c r="T854" s="36">
        <f>$D854+T845</f>
        <v/>
      </c>
      <c r="U854" s="36">
        <f>$D854+U845</f>
        <v/>
      </c>
      <c r="V854" s="36">
        <f>$D854+V845</f>
        <v/>
      </c>
      <c r="W854" s="36">
        <f>$D854+W845</f>
        <v/>
      </c>
      <c r="X854" s="36">
        <f>$D854+X845</f>
        <v/>
      </c>
      <c r="Y854" s="39">
        <f>TAX($D854,Y845)</f>
        <v/>
      </c>
      <c r="Z854" s="23">
        <f>LOWER(Settings!$C$4)&amp;".mit."&amp;$A854&amp;IF($C854="","","."&amp;$C854&amp;"."&amp;$B854)&amp;IF(INDEX(Variables!$D$5:$D$65,MATCH($A854,Variables!$A$5:$A$65,0))="","","."&amp;INDEX(Variables!$D$5:$D$65,MATCH($A854,Variables!$A$5:$A$65,0)))&amp;"."&amp;Z$5</f>
        <v/>
      </c>
      <c r="AA854" s="38">
        <f>$D854+AA845</f>
        <v/>
      </c>
      <c r="AB854" s="36">
        <f>$D854+AB845</f>
        <v/>
      </c>
      <c r="AC854" s="36">
        <f>$D854+AC845</f>
        <v/>
      </c>
      <c r="AD854" s="36">
        <f>$D854+AD845</f>
        <v/>
      </c>
      <c r="AE854" s="36">
        <f>$D854+AE845</f>
        <v/>
      </c>
      <c r="AF854" s="36">
        <f>$D854+AF845</f>
        <v/>
      </c>
      <c r="AG854" s="36">
        <f>$D854+AG845</f>
        <v/>
      </c>
      <c r="AH854" s="36">
        <f>$D854+AH845</f>
        <v/>
      </c>
      <c r="AI854" s="36">
        <f>$D854+AI845</f>
        <v/>
      </c>
      <c r="AJ854" s="36">
        <f>$D854+AJ845</f>
        <v/>
      </c>
      <c r="AK854" s="36">
        <f>$D854+AK845</f>
        <v/>
      </c>
      <c r="AL854" s="36">
        <f>$D854+AL845</f>
        <v/>
      </c>
      <c r="AM854" s="36">
        <f>$D854+AM845</f>
        <v/>
      </c>
      <c r="AN854" s="39">
        <f>TAX($D854,AN845)</f>
        <v/>
      </c>
    </row>
    <row r="855" hidden="1" outlineLevel="2">
      <c r="A855" s="5" t="inlineStr">
        <is>
          <t>tax</t>
        </is>
      </c>
      <c r="B855" s="5" t="inlineStr">
        <is>
          <t>lpg</t>
        </is>
      </c>
      <c r="C855" s="5" t="inlineStr">
        <is>
          <t>nfm</t>
        </is>
      </c>
      <c r="D855" s="36">
        <f>INDEX(Inputs!$T$5:$T$132,MATCH($B855&amp;"|"&amp;$C855,Inputs!$A$5:$A$132,0))</f>
        <v/>
      </c>
      <c r="E855" s="37" t="n"/>
      <c r="F855" s="37" t="n"/>
      <c r="G855" s="37" t="n"/>
      <c r="H855" s="5">
        <f>INDEX(Variables!$B$5:$B$65,MATCH($A855,Variables!$A$5:$A$65,0))&amp;IF($C855="",""," | "&amp;INDEX(Mapping!$B$5:$B$25,MATCH($C855,Mapping!$A$5:$A$25,0))&amp;" | "&amp;INDEX(Mapping!$B$29:$B$38,MATCH($B855,Mapping!$A$29:$A$38,0)))</f>
        <v/>
      </c>
      <c r="I855" s="5">
        <f>INDEX(Variables!$C$5:$C$65,MATCH($A855,Variables!$A$5:$A$65,0))</f>
        <v/>
      </c>
      <c r="J855" s="5">
        <f>INDEX(Variables!$E$5:$E$65,MATCH($A855,Variables!$A$5:$A$65,0))</f>
        <v/>
      </c>
      <c r="K855" s="23">
        <f>LOWER(Settings!$C$4)&amp;".mit."&amp;$A855&amp;IF($C855="","","."&amp;$C855&amp;"."&amp;$B855)&amp;IF(INDEX(Variables!$D$5:$D$65,MATCH($A855,Variables!$A$5:$A$65,0))="","","."&amp;INDEX(Variables!$D$5:$D$65,MATCH($A855,Variables!$A$5:$A$65,0)))&amp;"."&amp;K$5</f>
        <v/>
      </c>
      <c r="L855" s="38">
        <f>$D855+L846</f>
        <v/>
      </c>
      <c r="M855" s="36">
        <f>$D855+M846</f>
        <v/>
      </c>
      <c r="N855" s="36">
        <f>$D855+N846</f>
        <v/>
      </c>
      <c r="O855" s="36">
        <f>$D855+O846</f>
        <v/>
      </c>
      <c r="P855" s="36">
        <f>$D855+P846</f>
        <v/>
      </c>
      <c r="Q855" s="36">
        <f>$D855+Q846</f>
        <v/>
      </c>
      <c r="R855" s="36">
        <f>$D855+R846</f>
        <v/>
      </c>
      <c r="S855" s="36">
        <f>$D855+S846</f>
        <v/>
      </c>
      <c r="T855" s="36">
        <f>$D855+T846</f>
        <v/>
      </c>
      <c r="U855" s="36">
        <f>$D855+U846</f>
        <v/>
      </c>
      <c r="V855" s="36">
        <f>$D855+V846</f>
        <v/>
      </c>
      <c r="W855" s="36">
        <f>$D855+W846</f>
        <v/>
      </c>
      <c r="X855" s="36">
        <f>$D855+X846</f>
        <v/>
      </c>
      <c r="Y855" s="39">
        <f>TAX($D855,Y846)</f>
        <v/>
      </c>
      <c r="Z855" s="23">
        <f>LOWER(Settings!$C$4)&amp;".mit."&amp;$A855&amp;IF($C855="","","."&amp;$C855&amp;"."&amp;$B855)&amp;IF(INDEX(Variables!$D$5:$D$65,MATCH($A855,Variables!$A$5:$A$65,0))="","","."&amp;INDEX(Variables!$D$5:$D$65,MATCH($A855,Variables!$A$5:$A$65,0)))&amp;"."&amp;Z$5</f>
        <v/>
      </c>
      <c r="AA855" s="38">
        <f>$D855+AA846</f>
        <v/>
      </c>
      <c r="AB855" s="36">
        <f>$D855+AB846</f>
        <v/>
      </c>
      <c r="AC855" s="36">
        <f>$D855+AC846</f>
        <v/>
      </c>
      <c r="AD855" s="36">
        <f>$D855+AD846</f>
        <v/>
      </c>
      <c r="AE855" s="36">
        <f>$D855+AE846</f>
        <v/>
      </c>
      <c r="AF855" s="36">
        <f>$D855+AF846</f>
        <v/>
      </c>
      <c r="AG855" s="36">
        <f>$D855+AG846</f>
        <v/>
      </c>
      <c r="AH855" s="36">
        <f>$D855+AH846</f>
        <v/>
      </c>
      <c r="AI855" s="36">
        <f>$D855+AI846</f>
        <v/>
      </c>
      <c r="AJ855" s="36">
        <f>$D855+AJ846</f>
        <v/>
      </c>
      <c r="AK855" s="36">
        <f>$D855+AK846</f>
        <v/>
      </c>
      <c r="AL855" s="36">
        <f>$D855+AL846</f>
        <v/>
      </c>
      <c r="AM855" s="36">
        <f>$D855+AM846</f>
        <v/>
      </c>
      <c r="AN855" s="39">
        <f>TAX($D855,AN846)</f>
        <v/>
      </c>
    </row>
    <row r="856" hidden="1" outlineLevel="2">
      <c r="A856" s="5" t="inlineStr">
        <is>
          <t>tax</t>
        </is>
      </c>
      <c r="B856" s="5" t="inlineStr">
        <is>
          <t>ker</t>
        </is>
      </c>
      <c r="C856" s="5" t="inlineStr">
        <is>
          <t>nfm</t>
        </is>
      </c>
      <c r="D856" s="36">
        <f>INDEX(Inputs!$T$5:$T$132,MATCH($B856&amp;"|"&amp;$C856,Inputs!$A$5:$A$132,0))</f>
        <v/>
      </c>
      <c r="E856" s="37" t="n"/>
      <c r="F856" s="37" t="n"/>
      <c r="G856" s="37" t="n"/>
      <c r="H856" s="5">
        <f>INDEX(Variables!$B$5:$B$65,MATCH($A856,Variables!$A$5:$A$65,0))&amp;IF($C856="",""," | "&amp;INDEX(Mapping!$B$5:$B$25,MATCH($C856,Mapping!$A$5:$A$25,0))&amp;" | "&amp;INDEX(Mapping!$B$29:$B$38,MATCH($B856,Mapping!$A$29:$A$38,0)))</f>
        <v/>
      </c>
      <c r="I856" s="5">
        <f>INDEX(Variables!$C$5:$C$65,MATCH($A856,Variables!$A$5:$A$65,0))</f>
        <v/>
      </c>
      <c r="J856" s="5">
        <f>INDEX(Variables!$E$5:$E$65,MATCH($A856,Variables!$A$5:$A$65,0))</f>
        <v/>
      </c>
      <c r="K856" s="23">
        <f>LOWER(Settings!$C$4)&amp;".mit."&amp;$A856&amp;IF($C856="","","."&amp;$C856&amp;"."&amp;$B856)&amp;IF(INDEX(Variables!$D$5:$D$65,MATCH($A856,Variables!$A$5:$A$65,0))="","","."&amp;INDEX(Variables!$D$5:$D$65,MATCH($A856,Variables!$A$5:$A$65,0)))&amp;"."&amp;K$5</f>
        <v/>
      </c>
      <c r="L856" s="38">
        <f>$D856+L847</f>
        <v/>
      </c>
      <c r="M856" s="36">
        <f>$D856+M847</f>
        <v/>
      </c>
      <c r="N856" s="36">
        <f>$D856+N847</f>
        <v/>
      </c>
      <c r="O856" s="36">
        <f>$D856+O847</f>
        <v/>
      </c>
      <c r="P856" s="36">
        <f>$D856+P847</f>
        <v/>
      </c>
      <c r="Q856" s="36">
        <f>$D856+Q847</f>
        <v/>
      </c>
      <c r="R856" s="36">
        <f>$D856+R847</f>
        <v/>
      </c>
      <c r="S856" s="36">
        <f>$D856+S847</f>
        <v/>
      </c>
      <c r="T856" s="36">
        <f>$D856+T847</f>
        <v/>
      </c>
      <c r="U856" s="36">
        <f>$D856+U847</f>
        <v/>
      </c>
      <c r="V856" s="36">
        <f>$D856+V847</f>
        <v/>
      </c>
      <c r="W856" s="36">
        <f>$D856+W847</f>
        <v/>
      </c>
      <c r="X856" s="36">
        <f>$D856+X847</f>
        <v/>
      </c>
      <c r="Y856" s="39">
        <f>TAX($D856,Y847)</f>
        <v/>
      </c>
      <c r="Z856" s="23">
        <f>LOWER(Settings!$C$4)&amp;".mit."&amp;$A856&amp;IF($C856="","","."&amp;$C856&amp;"."&amp;$B856)&amp;IF(INDEX(Variables!$D$5:$D$65,MATCH($A856,Variables!$A$5:$A$65,0))="","","."&amp;INDEX(Variables!$D$5:$D$65,MATCH($A856,Variables!$A$5:$A$65,0)))&amp;"."&amp;Z$5</f>
        <v/>
      </c>
      <c r="AA856" s="38">
        <f>$D856+AA847</f>
        <v/>
      </c>
      <c r="AB856" s="36">
        <f>$D856+AB847</f>
        <v/>
      </c>
      <c r="AC856" s="36">
        <f>$D856+AC847</f>
        <v/>
      </c>
      <c r="AD856" s="36">
        <f>$D856+AD847</f>
        <v/>
      </c>
      <c r="AE856" s="36">
        <f>$D856+AE847</f>
        <v/>
      </c>
      <c r="AF856" s="36">
        <f>$D856+AF847</f>
        <v/>
      </c>
      <c r="AG856" s="36">
        <f>$D856+AG847</f>
        <v/>
      </c>
      <c r="AH856" s="36">
        <f>$D856+AH847</f>
        <v/>
      </c>
      <c r="AI856" s="36">
        <f>$D856+AI847</f>
        <v/>
      </c>
      <c r="AJ856" s="36">
        <f>$D856+AJ847</f>
        <v/>
      </c>
      <c r="AK856" s="36">
        <f>$D856+AK847</f>
        <v/>
      </c>
      <c r="AL856" s="36">
        <f>$D856+AL847</f>
        <v/>
      </c>
      <c r="AM856" s="36">
        <f>$D856+AM847</f>
        <v/>
      </c>
      <c r="AN856" s="39">
        <f>TAX($D856,AN847)</f>
        <v/>
      </c>
    </row>
    <row r="857" hidden="1" outlineLevel="2">
      <c r="A857" s="5" t="inlineStr">
        <is>
          <t>tax</t>
        </is>
      </c>
      <c r="B857" s="5" t="inlineStr">
        <is>
          <t>oop</t>
        </is>
      </c>
      <c r="C857" s="5" t="inlineStr">
        <is>
          <t>nfm</t>
        </is>
      </c>
      <c r="D857" s="36">
        <f>INDEX(Inputs!$T$5:$T$132,MATCH($B857&amp;"|"&amp;$C857,Inputs!$A$5:$A$132,0))</f>
        <v/>
      </c>
      <c r="E857" s="37" t="n"/>
      <c r="F857" s="37" t="n"/>
      <c r="G857" s="37" t="n"/>
      <c r="H857" s="5">
        <f>INDEX(Variables!$B$5:$B$65,MATCH($A857,Variables!$A$5:$A$65,0))&amp;IF($C857="",""," | "&amp;INDEX(Mapping!$B$5:$B$25,MATCH($C857,Mapping!$A$5:$A$25,0))&amp;" | "&amp;INDEX(Mapping!$B$29:$B$38,MATCH($B857,Mapping!$A$29:$A$38,0)))</f>
        <v/>
      </c>
      <c r="I857" s="5">
        <f>INDEX(Variables!$C$5:$C$65,MATCH($A857,Variables!$A$5:$A$65,0))</f>
        <v/>
      </c>
      <c r="J857" s="5">
        <f>INDEX(Variables!$E$5:$E$65,MATCH($A857,Variables!$A$5:$A$65,0))</f>
        <v/>
      </c>
      <c r="K857" s="23">
        <f>LOWER(Settings!$C$4)&amp;".mit."&amp;$A857&amp;IF($C857="","","."&amp;$C857&amp;"."&amp;$B857)&amp;IF(INDEX(Variables!$D$5:$D$65,MATCH($A857,Variables!$A$5:$A$65,0))="","","."&amp;INDEX(Variables!$D$5:$D$65,MATCH($A857,Variables!$A$5:$A$65,0)))&amp;"."&amp;K$5</f>
        <v/>
      </c>
      <c r="L857" s="38">
        <f>$D857+L848</f>
        <v/>
      </c>
      <c r="M857" s="36">
        <f>$D857+M848</f>
        <v/>
      </c>
      <c r="N857" s="36">
        <f>$D857+N848</f>
        <v/>
      </c>
      <c r="O857" s="36">
        <f>$D857+O848</f>
        <v/>
      </c>
      <c r="P857" s="36">
        <f>$D857+P848</f>
        <v/>
      </c>
      <c r="Q857" s="36">
        <f>$D857+Q848</f>
        <v/>
      </c>
      <c r="R857" s="36">
        <f>$D857+R848</f>
        <v/>
      </c>
      <c r="S857" s="36">
        <f>$D857+S848</f>
        <v/>
      </c>
      <c r="T857" s="36">
        <f>$D857+T848</f>
        <v/>
      </c>
      <c r="U857" s="36">
        <f>$D857+U848</f>
        <v/>
      </c>
      <c r="V857" s="36">
        <f>$D857+V848</f>
        <v/>
      </c>
      <c r="W857" s="36">
        <f>$D857+W848</f>
        <v/>
      </c>
      <c r="X857" s="36">
        <f>$D857+X848</f>
        <v/>
      </c>
      <c r="Y857" s="39">
        <f>TAX($D857,Y848)</f>
        <v/>
      </c>
      <c r="Z857" s="23">
        <f>LOWER(Settings!$C$4)&amp;".mit."&amp;$A857&amp;IF($C857="","","."&amp;$C857&amp;"."&amp;$B857)&amp;IF(INDEX(Variables!$D$5:$D$65,MATCH($A857,Variables!$A$5:$A$65,0))="","","."&amp;INDEX(Variables!$D$5:$D$65,MATCH($A857,Variables!$A$5:$A$65,0)))&amp;"."&amp;Z$5</f>
        <v/>
      </c>
      <c r="AA857" s="38">
        <f>$D857+AA848</f>
        <v/>
      </c>
      <c r="AB857" s="36">
        <f>$D857+AB848</f>
        <v/>
      </c>
      <c r="AC857" s="36">
        <f>$D857+AC848</f>
        <v/>
      </c>
      <c r="AD857" s="36">
        <f>$D857+AD848</f>
        <v/>
      </c>
      <c r="AE857" s="36">
        <f>$D857+AE848</f>
        <v/>
      </c>
      <c r="AF857" s="36">
        <f>$D857+AF848</f>
        <v/>
      </c>
      <c r="AG857" s="36">
        <f>$D857+AG848</f>
        <v/>
      </c>
      <c r="AH857" s="36">
        <f>$D857+AH848</f>
        <v/>
      </c>
      <c r="AI857" s="36">
        <f>$D857+AI848</f>
        <v/>
      </c>
      <c r="AJ857" s="36">
        <f>$D857+AJ848</f>
        <v/>
      </c>
      <c r="AK857" s="36">
        <f>$D857+AK848</f>
        <v/>
      </c>
      <c r="AL857" s="36">
        <f>$D857+AL848</f>
        <v/>
      </c>
      <c r="AM857" s="36">
        <f>$D857+AM848</f>
        <v/>
      </c>
      <c r="AN857" s="39">
        <f>TAX($D857,AN848)</f>
        <v/>
      </c>
    </row>
    <row r="858" hidden="1" outlineLevel="2">
      <c r="A858" s="5" t="inlineStr">
        <is>
          <t>tax</t>
        </is>
      </c>
      <c r="B858" s="5" t="inlineStr">
        <is>
          <t>bio</t>
        </is>
      </c>
      <c r="C858" s="5" t="inlineStr">
        <is>
          <t>nfm</t>
        </is>
      </c>
      <c r="D858" s="36">
        <f>INDEX(Inputs!$T$5:$T$132,MATCH($B858&amp;"|"&amp;$C858,Inputs!$A$5:$A$132,0))</f>
        <v/>
      </c>
      <c r="E858" s="37" t="n"/>
      <c r="F858" s="37" t="n"/>
      <c r="G858" s="37" t="n"/>
      <c r="H858" s="5">
        <f>INDEX(Variables!$B$5:$B$65,MATCH($A858,Variables!$A$5:$A$65,0))&amp;IF($C858="",""," | "&amp;INDEX(Mapping!$B$5:$B$25,MATCH($C858,Mapping!$A$5:$A$25,0))&amp;" | "&amp;INDEX(Mapping!$B$29:$B$38,MATCH($B858,Mapping!$A$29:$A$38,0)))</f>
        <v/>
      </c>
      <c r="I858" s="5">
        <f>INDEX(Variables!$C$5:$C$65,MATCH($A858,Variables!$A$5:$A$65,0))</f>
        <v/>
      </c>
      <c r="J858" s="5">
        <f>INDEX(Variables!$E$5:$E$65,MATCH($A858,Variables!$A$5:$A$65,0))</f>
        <v/>
      </c>
      <c r="K858" s="23">
        <f>LOWER(Settings!$C$4)&amp;".mit."&amp;$A858&amp;IF($C858="","","."&amp;$C858&amp;"."&amp;$B858)&amp;IF(INDEX(Variables!$D$5:$D$65,MATCH($A858,Variables!$A$5:$A$65,0))="","","."&amp;INDEX(Variables!$D$5:$D$65,MATCH($A858,Variables!$A$5:$A$65,0)))&amp;"."&amp;K$5</f>
        <v/>
      </c>
      <c r="L858" s="38">
        <f>$D858+L849</f>
        <v/>
      </c>
      <c r="M858" s="36">
        <f>$D858+M849</f>
        <v/>
      </c>
      <c r="N858" s="36">
        <f>$D858+N849</f>
        <v/>
      </c>
      <c r="O858" s="36">
        <f>$D858+O849</f>
        <v/>
      </c>
      <c r="P858" s="36">
        <f>$D858+P849</f>
        <v/>
      </c>
      <c r="Q858" s="36">
        <f>$D858+Q849</f>
        <v/>
      </c>
      <c r="R858" s="36">
        <f>$D858+R849</f>
        <v/>
      </c>
      <c r="S858" s="36">
        <f>$D858+S849</f>
        <v/>
      </c>
      <c r="T858" s="36">
        <f>$D858+T849</f>
        <v/>
      </c>
      <c r="U858" s="36">
        <f>$D858+U849</f>
        <v/>
      </c>
      <c r="V858" s="36">
        <f>$D858+V849</f>
        <v/>
      </c>
      <c r="W858" s="36">
        <f>$D858+W849</f>
        <v/>
      </c>
      <c r="X858" s="36">
        <f>$D858+X849</f>
        <v/>
      </c>
      <c r="Y858" s="39">
        <f>TAX($D858,Y849)</f>
        <v/>
      </c>
      <c r="Z858" s="23">
        <f>LOWER(Settings!$C$4)&amp;".mit."&amp;$A858&amp;IF($C858="","","."&amp;$C858&amp;"."&amp;$B858)&amp;IF(INDEX(Variables!$D$5:$D$65,MATCH($A858,Variables!$A$5:$A$65,0))="","","."&amp;INDEX(Variables!$D$5:$D$65,MATCH($A858,Variables!$A$5:$A$65,0)))&amp;"."&amp;Z$5</f>
        <v/>
      </c>
      <c r="AA858" s="38">
        <f>$D858+AA849</f>
        <v/>
      </c>
      <c r="AB858" s="36">
        <f>$D858+AB849</f>
        <v/>
      </c>
      <c r="AC858" s="36">
        <f>$D858+AC849</f>
        <v/>
      </c>
      <c r="AD858" s="36">
        <f>$D858+AD849</f>
        <v/>
      </c>
      <c r="AE858" s="36">
        <f>$D858+AE849</f>
        <v/>
      </c>
      <c r="AF858" s="36">
        <f>$D858+AF849</f>
        <v/>
      </c>
      <c r="AG858" s="36">
        <f>$D858+AG849</f>
        <v/>
      </c>
      <c r="AH858" s="36">
        <f>$D858+AH849</f>
        <v/>
      </c>
      <c r="AI858" s="36">
        <f>$D858+AI849</f>
        <v/>
      </c>
      <c r="AJ858" s="36">
        <f>$D858+AJ849</f>
        <v/>
      </c>
      <c r="AK858" s="36">
        <f>$D858+AK849</f>
        <v/>
      </c>
      <c r="AL858" s="36">
        <f>$D858+AL849</f>
        <v/>
      </c>
      <c r="AM858" s="36">
        <f>$D858+AM849</f>
        <v/>
      </c>
      <c r="AN858" s="39">
        <f>TAX($D858,AN849)</f>
        <v/>
      </c>
    </row>
    <row r="859" hidden="1" outlineLevel="2"/>
    <row r="860" hidden="1" outlineLevel="2">
      <c r="A860" s="5" t="inlineStr">
        <is>
          <t>atp</t>
        </is>
      </c>
      <c r="B860" s="5" t="inlineStr">
        <is>
          <t>coa</t>
        </is>
      </c>
      <c r="C860" s="5" t="inlineStr">
        <is>
          <t>nfm</t>
        </is>
      </c>
      <c r="D860" s="37" t="n"/>
      <c r="E860" s="37" t="n"/>
      <c r="F860" s="37" t="n"/>
      <c r="G860" s="37" t="n"/>
      <c r="H860" s="5">
        <f>INDEX(Variables!$B$5:$B$65,MATCH($A860,Variables!$A$5:$A$65,0))&amp;IF($C860="",""," | "&amp;INDEX(Mapping!$B$5:$B$25,MATCH($C860,Mapping!$A$5:$A$25,0))&amp;" | "&amp;INDEX(Mapping!$B$29:$B$38,MATCH($B860,Mapping!$A$29:$A$38,0)))</f>
        <v/>
      </c>
      <c r="I860" s="5">
        <f>INDEX(Variables!$C$5:$C$65,MATCH($A860,Variables!$A$5:$A$65,0))</f>
        <v/>
      </c>
      <c r="J860" s="5">
        <f>INDEX(Variables!$E$5:$E$65,MATCH($A860,Variables!$A$5:$A$65,0))</f>
        <v/>
      </c>
      <c r="K860" s="23">
        <f>LOWER(Settings!$C$4)&amp;".mit."&amp;$A860&amp;IF($C860="","","."&amp;$C860&amp;"."&amp;$B860)&amp;IF(INDEX(Variables!$D$5:$D$65,MATCH($A860,Variables!$A$5:$A$65,0))="","","."&amp;INDEX(Variables!$D$5:$D$65,MATCH($A860,Variables!$A$5:$A$65,0)))&amp;"."&amp;K$5</f>
        <v/>
      </c>
      <c r="L860" s="38">
        <f>L815+L851</f>
        <v/>
      </c>
      <c r="M860" s="36">
        <f>M815+M851</f>
        <v/>
      </c>
      <c r="N860" s="36">
        <f>N815+N851</f>
        <v/>
      </c>
      <c r="O860" s="36">
        <f>O815+O851</f>
        <v/>
      </c>
      <c r="P860" s="36">
        <f>P815+P851</f>
        <v/>
      </c>
      <c r="Q860" s="36">
        <f>Q815+Q851</f>
        <v/>
      </c>
      <c r="R860" s="36">
        <f>R815+R851</f>
        <v/>
      </c>
      <c r="S860" s="36">
        <f>S815+S851</f>
        <v/>
      </c>
      <c r="T860" s="36">
        <f>T815+T851</f>
        <v/>
      </c>
      <c r="U860" s="36">
        <f>U815+U851</f>
        <v/>
      </c>
      <c r="V860" s="36">
        <f>V815+V851</f>
        <v/>
      </c>
      <c r="W860" s="36">
        <f>W815+W851</f>
        <v/>
      </c>
      <c r="X860" s="36">
        <f>X815+X851</f>
        <v/>
      </c>
      <c r="Y860" s="39">
        <f>POSTTAX(Y815,Y851)</f>
        <v/>
      </c>
      <c r="Z860" s="23">
        <f>LOWER(Settings!$C$4)&amp;".mit."&amp;$A860&amp;IF($C860="","","."&amp;$C860&amp;"."&amp;$B860)&amp;IF(INDEX(Variables!$D$5:$D$65,MATCH($A860,Variables!$A$5:$A$65,0))="","","."&amp;INDEX(Variables!$D$5:$D$65,MATCH($A860,Variables!$A$5:$A$65,0)))&amp;"."&amp;Z$5</f>
        <v/>
      </c>
      <c r="AA860" s="38">
        <f>AA815+AA851</f>
        <v/>
      </c>
      <c r="AB860" s="36">
        <f>AB815+AB851</f>
        <v/>
      </c>
      <c r="AC860" s="36">
        <f>AC815+AC851</f>
        <v/>
      </c>
      <c r="AD860" s="36">
        <f>AD815+AD851</f>
        <v/>
      </c>
      <c r="AE860" s="36">
        <f>AE815+AE851</f>
        <v/>
      </c>
      <c r="AF860" s="36">
        <f>AF815+AF851</f>
        <v/>
      </c>
      <c r="AG860" s="36">
        <f>AG815+AG851</f>
        <v/>
      </c>
      <c r="AH860" s="36">
        <f>AH815+AH851</f>
        <v/>
      </c>
      <c r="AI860" s="36">
        <f>AI815+AI851</f>
        <v/>
      </c>
      <c r="AJ860" s="36">
        <f>AJ815+AJ851</f>
        <v/>
      </c>
      <c r="AK860" s="36">
        <f>AK815+AK851</f>
        <v/>
      </c>
      <c r="AL860" s="36">
        <f>AL815+AL851</f>
        <v/>
      </c>
      <c r="AM860" s="36">
        <f>AM815+AM851</f>
        <v/>
      </c>
      <c r="AN860" s="39">
        <f>POSTTAX(AN815,AN851)</f>
        <v/>
      </c>
    </row>
    <row r="861" hidden="1" outlineLevel="2">
      <c r="A861" s="5" t="inlineStr">
        <is>
          <t>atp</t>
        </is>
      </c>
      <c r="B861" s="5" t="inlineStr">
        <is>
          <t>nga</t>
        </is>
      </c>
      <c r="C861" s="5" t="inlineStr">
        <is>
          <t>nfm</t>
        </is>
      </c>
      <c r="D861" s="37" t="n"/>
      <c r="E861" s="37" t="n"/>
      <c r="F861" s="37" t="n"/>
      <c r="G861" s="37" t="n"/>
      <c r="H861" s="5">
        <f>INDEX(Variables!$B$5:$B$65,MATCH($A861,Variables!$A$5:$A$65,0))&amp;IF($C861="",""," | "&amp;INDEX(Mapping!$B$5:$B$25,MATCH($C861,Mapping!$A$5:$A$25,0))&amp;" | "&amp;INDEX(Mapping!$B$29:$B$38,MATCH($B861,Mapping!$A$29:$A$38,0)))</f>
        <v/>
      </c>
      <c r="I861" s="5">
        <f>INDEX(Variables!$C$5:$C$65,MATCH($A861,Variables!$A$5:$A$65,0))</f>
        <v/>
      </c>
      <c r="J861" s="5">
        <f>INDEX(Variables!$E$5:$E$65,MATCH($A861,Variables!$A$5:$A$65,0))</f>
        <v/>
      </c>
      <c r="K861" s="23">
        <f>LOWER(Settings!$C$4)&amp;".mit."&amp;$A861&amp;IF($C861="","","."&amp;$C861&amp;"."&amp;$B861)&amp;IF(INDEX(Variables!$D$5:$D$65,MATCH($A861,Variables!$A$5:$A$65,0))="","","."&amp;INDEX(Variables!$D$5:$D$65,MATCH($A861,Variables!$A$5:$A$65,0)))&amp;"."&amp;K$5</f>
        <v/>
      </c>
      <c r="L861" s="38">
        <f>L816+L852</f>
        <v/>
      </c>
      <c r="M861" s="36">
        <f>M816+M852</f>
        <v/>
      </c>
      <c r="N861" s="36">
        <f>N816+N852</f>
        <v/>
      </c>
      <c r="O861" s="36">
        <f>O816+O852</f>
        <v/>
      </c>
      <c r="P861" s="36">
        <f>P816+P852</f>
        <v/>
      </c>
      <c r="Q861" s="36">
        <f>Q816+Q852</f>
        <v/>
      </c>
      <c r="R861" s="36">
        <f>R816+R852</f>
        <v/>
      </c>
      <c r="S861" s="36">
        <f>S816+S852</f>
        <v/>
      </c>
      <c r="T861" s="36">
        <f>T816+T852</f>
        <v/>
      </c>
      <c r="U861" s="36">
        <f>U816+U852</f>
        <v/>
      </c>
      <c r="V861" s="36">
        <f>V816+V852</f>
        <v/>
      </c>
      <c r="W861" s="36">
        <f>W816+W852</f>
        <v/>
      </c>
      <c r="X861" s="36">
        <f>X816+X852</f>
        <v/>
      </c>
      <c r="Y861" s="39">
        <f>POSTTAX(Y816,Y852)</f>
        <v/>
      </c>
      <c r="Z861" s="23">
        <f>LOWER(Settings!$C$4)&amp;".mit."&amp;$A861&amp;IF($C861="","","."&amp;$C861&amp;"."&amp;$B861)&amp;IF(INDEX(Variables!$D$5:$D$65,MATCH($A861,Variables!$A$5:$A$65,0))="","","."&amp;INDEX(Variables!$D$5:$D$65,MATCH($A861,Variables!$A$5:$A$65,0)))&amp;"."&amp;Z$5</f>
        <v/>
      </c>
      <c r="AA861" s="38">
        <f>AA816+AA852</f>
        <v/>
      </c>
      <c r="AB861" s="36">
        <f>AB816+AB852</f>
        <v/>
      </c>
      <c r="AC861" s="36">
        <f>AC816+AC852</f>
        <v/>
      </c>
      <c r="AD861" s="36">
        <f>AD816+AD852</f>
        <v/>
      </c>
      <c r="AE861" s="36">
        <f>AE816+AE852</f>
        <v/>
      </c>
      <c r="AF861" s="36">
        <f>AF816+AF852</f>
        <v/>
      </c>
      <c r="AG861" s="36">
        <f>AG816+AG852</f>
        <v/>
      </c>
      <c r="AH861" s="36">
        <f>AH816+AH852</f>
        <v/>
      </c>
      <c r="AI861" s="36">
        <f>AI816+AI852</f>
        <v/>
      </c>
      <c r="AJ861" s="36">
        <f>AJ816+AJ852</f>
        <v/>
      </c>
      <c r="AK861" s="36">
        <f>AK816+AK852</f>
        <v/>
      </c>
      <c r="AL861" s="36">
        <f>AL816+AL852</f>
        <v/>
      </c>
      <c r="AM861" s="36">
        <f>AM816+AM852</f>
        <v/>
      </c>
      <c r="AN861" s="39">
        <f>POSTTAX(AN816,AN852)</f>
        <v/>
      </c>
    </row>
    <row r="862" hidden="1" outlineLevel="2">
      <c r="A862" s="5" t="inlineStr">
        <is>
          <t>atp</t>
        </is>
      </c>
      <c r="B862" s="5" t="inlineStr">
        <is>
          <t>gso</t>
        </is>
      </c>
      <c r="C862" s="5" t="inlineStr">
        <is>
          <t>nfm</t>
        </is>
      </c>
      <c r="D862" s="37" t="n"/>
      <c r="E862" s="37" t="n"/>
      <c r="F862" s="37" t="n"/>
      <c r="G862" s="37" t="n"/>
      <c r="H862" s="5">
        <f>INDEX(Variables!$B$5:$B$65,MATCH($A862,Variables!$A$5:$A$65,0))&amp;IF($C862="",""," | "&amp;INDEX(Mapping!$B$5:$B$25,MATCH($C862,Mapping!$A$5:$A$25,0))&amp;" | "&amp;INDEX(Mapping!$B$29:$B$38,MATCH($B862,Mapping!$A$29:$A$38,0)))</f>
        <v/>
      </c>
      <c r="I862" s="5">
        <f>INDEX(Variables!$C$5:$C$65,MATCH($A862,Variables!$A$5:$A$65,0))</f>
        <v/>
      </c>
      <c r="J862" s="5">
        <f>INDEX(Variables!$E$5:$E$65,MATCH($A862,Variables!$A$5:$A$65,0))</f>
        <v/>
      </c>
      <c r="K862" s="23">
        <f>LOWER(Settings!$C$4)&amp;".mit."&amp;$A862&amp;IF($C862="","","."&amp;$C862&amp;"."&amp;$B862)&amp;IF(INDEX(Variables!$D$5:$D$65,MATCH($A862,Variables!$A$5:$A$65,0))="","","."&amp;INDEX(Variables!$D$5:$D$65,MATCH($A862,Variables!$A$5:$A$65,0)))&amp;"."&amp;K$5</f>
        <v/>
      </c>
      <c r="L862" s="38">
        <f>L817+L853</f>
        <v/>
      </c>
      <c r="M862" s="36">
        <f>M817+M853</f>
        <v/>
      </c>
      <c r="N862" s="36">
        <f>N817+N853</f>
        <v/>
      </c>
      <c r="O862" s="36">
        <f>O817+O853</f>
        <v/>
      </c>
      <c r="P862" s="36">
        <f>P817+P853</f>
        <v/>
      </c>
      <c r="Q862" s="36">
        <f>Q817+Q853</f>
        <v/>
      </c>
      <c r="R862" s="36">
        <f>R817+R853</f>
        <v/>
      </c>
      <c r="S862" s="36">
        <f>S817+S853</f>
        <v/>
      </c>
      <c r="T862" s="36">
        <f>T817+T853</f>
        <v/>
      </c>
      <c r="U862" s="36">
        <f>U817+U853</f>
        <v/>
      </c>
      <c r="V862" s="36">
        <f>V817+V853</f>
        <v/>
      </c>
      <c r="W862" s="36">
        <f>W817+W853</f>
        <v/>
      </c>
      <c r="X862" s="36">
        <f>X817+X853</f>
        <v/>
      </c>
      <c r="Y862" s="39">
        <f>POSTTAX(Y817,Y853)</f>
        <v/>
      </c>
      <c r="Z862" s="23">
        <f>LOWER(Settings!$C$4)&amp;".mit."&amp;$A862&amp;IF($C862="","","."&amp;$C862&amp;"."&amp;$B862)&amp;IF(INDEX(Variables!$D$5:$D$65,MATCH($A862,Variables!$A$5:$A$65,0))="","","."&amp;INDEX(Variables!$D$5:$D$65,MATCH($A862,Variables!$A$5:$A$65,0)))&amp;"."&amp;Z$5</f>
        <v/>
      </c>
      <c r="AA862" s="38">
        <f>AA817+AA853</f>
        <v/>
      </c>
      <c r="AB862" s="36">
        <f>AB817+AB853</f>
        <v/>
      </c>
      <c r="AC862" s="36">
        <f>AC817+AC853</f>
        <v/>
      </c>
      <c r="AD862" s="36">
        <f>AD817+AD853</f>
        <v/>
      </c>
      <c r="AE862" s="36">
        <f>AE817+AE853</f>
        <v/>
      </c>
      <c r="AF862" s="36">
        <f>AF817+AF853</f>
        <v/>
      </c>
      <c r="AG862" s="36">
        <f>AG817+AG853</f>
        <v/>
      </c>
      <c r="AH862" s="36">
        <f>AH817+AH853</f>
        <v/>
      </c>
      <c r="AI862" s="36">
        <f>AI817+AI853</f>
        <v/>
      </c>
      <c r="AJ862" s="36">
        <f>AJ817+AJ853</f>
        <v/>
      </c>
      <c r="AK862" s="36">
        <f>AK817+AK853</f>
        <v/>
      </c>
      <c r="AL862" s="36">
        <f>AL817+AL853</f>
        <v/>
      </c>
      <c r="AM862" s="36">
        <f>AM817+AM853</f>
        <v/>
      </c>
      <c r="AN862" s="39">
        <f>POSTTAX(AN817,AN853)</f>
        <v/>
      </c>
    </row>
    <row r="863" hidden="1" outlineLevel="2">
      <c r="A863" s="5" t="inlineStr">
        <is>
          <t>atp</t>
        </is>
      </c>
      <c r="B863" s="5" t="inlineStr">
        <is>
          <t>die</t>
        </is>
      </c>
      <c r="C863" s="5" t="inlineStr">
        <is>
          <t>nfm</t>
        </is>
      </c>
      <c r="D863" s="37" t="n"/>
      <c r="E863" s="37" t="n"/>
      <c r="F863" s="37" t="n"/>
      <c r="G863" s="37" t="n"/>
      <c r="H863" s="5">
        <f>INDEX(Variables!$B$5:$B$65,MATCH($A863,Variables!$A$5:$A$65,0))&amp;IF($C863="",""," | "&amp;INDEX(Mapping!$B$5:$B$25,MATCH($C863,Mapping!$A$5:$A$25,0))&amp;" | "&amp;INDEX(Mapping!$B$29:$B$38,MATCH($B863,Mapping!$A$29:$A$38,0)))</f>
        <v/>
      </c>
      <c r="I863" s="5">
        <f>INDEX(Variables!$C$5:$C$65,MATCH($A863,Variables!$A$5:$A$65,0))</f>
        <v/>
      </c>
      <c r="J863" s="5">
        <f>INDEX(Variables!$E$5:$E$65,MATCH($A863,Variables!$A$5:$A$65,0))</f>
        <v/>
      </c>
      <c r="K863" s="23">
        <f>LOWER(Settings!$C$4)&amp;".mit."&amp;$A863&amp;IF($C863="","","."&amp;$C863&amp;"."&amp;$B863)&amp;IF(INDEX(Variables!$D$5:$D$65,MATCH($A863,Variables!$A$5:$A$65,0))="","","."&amp;INDEX(Variables!$D$5:$D$65,MATCH($A863,Variables!$A$5:$A$65,0)))&amp;"."&amp;K$5</f>
        <v/>
      </c>
      <c r="L863" s="38">
        <f>L818+L854</f>
        <v/>
      </c>
      <c r="M863" s="36">
        <f>M818+M854</f>
        <v/>
      </c>
      <c r="N863" s="36">
        <f>N818+N854</f>
        <v/>
      </c>
      <c r="O863" s="36">
        <f>O818+O854</f>
        <v/>
      </c>
      <c r="P863" s="36">
        <f>P818+P854</f>
        <v/>
      </c>
      <c r="Q863" s="36">
        <f>Q818+Q854</f>
        <v/>
      </c>
      <c r="R863" s="36">
        <f>R818+R854</f>
        <v/>
      </c>
      <c r="S863" s="36">
        <f>S818+S854</f>
        <v/>
      </c>
      <c r="T863" s="36">
        <f>T818+T854</f>
        <v/>
      </c>
      <c r="U863" s="36">
        <f>U818+U854</f>
        <v/>
      </c>
      <c r="V863" s="36">
        <f>V818+V854</f>
        <v/>
      </c>
      <c r="W863" s="36">
        <f>W818+W854</f>
        <v/>
      </c>
      <c r="X863" s="36">
        <f>X818+X854</f>
        <v/>
      </c>
      <c r="Y863" s="39">
        <f>POSTTAX(Y818,Y854)</f>
        <v/>
      </c>
      <c r="Z863" s="23">
        <f>LOWER(Settings!$C$4)&amp;".mit."&amp;$A863&amp;IF($C863="","","."&amp;$C863&amp;"."&amp;$B863)&amp;IF(INDEX(Variables!$D$5:$D$65,MATCH($A863,Variables!$A$5:$A$65,0))="","","."&amp;INDEX(Variables!$D$5:$D$65,MATCH($A863,Variables!$A$5:$A$65,0)))&amp;"."&amp;Z$5</f>
        <v/>
      </c>
      <c r="AA863" s="38">
        <f>AA818+AA854</f>
        <v/>
      </c>
      <c r="AB863" s="36">
        <f>AB818+AB854</f>
        <v/>
      </c>
      <c r="AC863" s="36">
        <f>AC818+AC854</f>
        <v/>
      </c>
      <c r="AD863" s="36">
        <f>AD818+AD854</f>
        <v/>
      </c>
      <c r="AE863" s="36">
        <f>AE818+AE854</f>
        <v/>
      </c>
      <c r="AF863" s="36">
        <f>AF818+AF854</f>
        <v/>
      </c>
      <c r="AG863" s="36">
        <f>AG818+AG854</f>
        <v/>
      </c>
      <c r="AH863" s="36">
        <f>AH818+AH854</f>
        <v/>
      </c>
      <c r="AI863" s="36">
        <f>AI818+AI854</f>
        <v/>
      </c>
      <c r="AJ863" s="36">
        <f>AJ818+AJ854</f>
        <v/>
      </c>
      <c r="AK863" s="36">
        <f>AK818+AK854</f>
        <v/>
      </c>
      <c r="AL863" s="36">
        <f>AL818+AL854</f>
        <v/>
      </c>
      <c r="AM863" s="36">
        <f>AM818+AM854</f>
        <v/>
      </c>
      <c r="AN863" s="39">
        <f>POSTTAX(AN818,AN854)</f>
        <v/>
      </c>
    </row>
    <row r="864" hidden="1" outlineLevel="2">
      <c r="A864" s="5" t="inlineStr">
        <is>
          <t>atp</t>
        </is>
      </c>
      <c r="B864" s="5" t="inlineStr">
        <is>
          <t>lpg</t>
        </is>
      </c>
      <c r="C864" s="5" t="inlineStr">
        <is>
          <t>nfm</t>
        </is>
      </c>
      <c r="D864" s="37" t="n"/>
      <c r="E864" s="37" t="n"/>
      <c r="F864" s="37" t="n"/>
      <c r="G864" s="37" t="n"/>
      <c r="H864" s="5">
        <f>INDEX(Variables!$B$5:$B$65,MATCH($A864,Variables!$A$5:$A$65,0))&amp;IF($C864="",""," | "&amp;INDEX(Mapping!$B$5:$B$25,MATCH($C864,Mapping!$A$5:$A$25,0))&amp;" | "&amp;INDEX(Mapping!$B$29:$B$38,MATCH($B864,Mapping!$A$29:$A$38,0)))</f>
        <v/>
      </c>
      <c r="I864" s="5">
        <f>INDEX(Variables!$C$5:$C$65,MATCH($A864,Variables!$A$5:$A$65,0))</f>
        <v/>
      </c>
      <c r="J864" s="5">
        <f>INDEX(Variables!$E$5:$E$65,MATCH($A864,Variables!$A$5:$A$65,0))</f>
        <v/>
      </c>
      <c r="K864" s="23">
        <f>LOWER(Settings!$C$4)&amp;".mit."&amp;$A864&amp;IF($C864="","","."&amp;$C864&amp;"."&amp;$B864)&amp;IF(INDEX(Variables!$D$5:$D$65,MATCH($A864,Variables!$A$5:$A$65,0))="","","."&amp;INDEX(Variables!$D$5:$D$65,MATCH($A864,Variables!$A$5:$A$65,0)))&amp;"."&amp;K$5</f>
        <v/>
      </c>
      <c r="L864" s="38">
        <f>L819+L855</f>
        <v/>
      </c>
      <c r="M864" s="36">
        <f>M819+M855</f>
        <v/>
      </c>
      <c r="N864" s="36">
        <f>N819+N855</f>
        <v/>
      </c>
      <c r="O864" s="36">
        <f>O819+O855</f>
        <v/>
      </c>
      <c r="P864" s="36">
        <f>P819+P855</f>
        <v/>
      </c>
      <c r="Q864" s="36">
        <f>Q819+Q855</f>
        <v/>
      </c>
      <c r="R864" s="36">
        <f>R819+R855</f>
        <v/>
      </c>
      <c r="S864" s="36">
        <f>S819+S855</f>
        <v/>
      </c>
      <c r="T864" s="36">
        <f>T819+T855</f>
        <v/>
      </c>
      <c r="U864" s="36">
        <f>U819+U855</f>
        <v/>
      </c>
      <c r="V864" s="36">
        <f>V819+V855</f>
        <v/>
      </c>
      <c r="W864" s="36">
        <f>W819+W855</f>
        <v/>
      </c>
      <c r="X864" s="36">
        <f>X819+X855</f>
        <v/>
      </c>
      <c r="Y864" s="39">
        <f>POSTTAX(Y819,Y855)</f>
        <v/>
      </c>
      <c r="Z864" s="23">
        <f>LOWER(Settings!$C$4)&amp;".mit."&amp;$A864&amp;IF($C864="","","."&amp;$C864&amp;"."&amp;$B864)&amp;IF(INDEX(Variables!$D$5:$D$65,MATCH($A864,Variables!$A$5:$A$65,0))="","","."&amp;INDEX(Variables!$D$5:$D$65,MATCH($A864,Variables!$A$5:$A$65,0)))&amp;"."&amp;Z$5</f>
        <v/>
      </c>
      <c r="AA864" s="38">
        <f>AA819+AA855</f>
        <v/>
      </c>
      <c r="AB864" s="36">
        <f>AB819+AB855</f>
        <v/>
      </c>
      <c r="AC864" s="36">
        <f>AC819+AC855</f>
        <v/>
      </c>
      <c r="AD864" s="36">
        <f>AD819+AD855</f>
        <v/>
      </c>
      <c r="AE864" s="36">
        <f>AE819+AE855</f>
        <v/>
      </c>
      <c r="AF864" s="36">
        <f>AF819+AF855</f>
        <v/>
      </c>
      <c r="AG864" s="36">
        <f>AG819+AG855</f>
        <v/>
      </c>
      <c r="AH864" s="36">
        <f>AH819+AH855</f>
        <v/>
      </c>
      <c r="AI864" s="36">
        <f>AI819+AI855</f>
        <v/>
      </c>
      <c r="AJ864" s="36">
        <f>AJ819+AJ855</f>
        <v/>
      </c>
      <c r="AK864" s="36">
        <f>AK819+AK855</f>
        <v/>
      </c>
      <c r="AL864" s="36">
        <f>AL819+AL855</f>
        <v/>
      </c>
      <c r="AM864" s="36">
        <f>AM819+AM855</f>
        <v/>
      </c>
      <c r="AN864" s="39">
        <f>POSTTAX(AN819,AN855)</f>
        <v/>
      </c>
    </row>
    <row r="865" hidden="1" outlineLevel="2">
      <c r="A865" s="5" t="inlineStr">
        <is>
          <t>atp</t>
        </is>
      </c>
      <c r="B865" s="5" t="inlineStr">
        <is>
          <t>ker</t>
        </is>
      </c>
      <c r="C865" s="5" t="inlineStr">
        <is>
          <t>nfm</t>
        </is>
      </c>
      <c r="D865" s="37" t="n"/>
      <c r="E865" s="37" t="n"/>
      <c r="F865" s="37" t="n"/>
      <c r="G865" s="37" t="n"/>
      <c r="H865" s="5">
        <f>INDEX(Variables!$B$5:$B$65,MATCH($A865,Variables!$A$5:$A$65,0))&amp;IF($C865="",""," | "&amp;INDEX(Mapping!$B$5:$B$25,MATCH($C865,Mapping!$A$5:$A$25,0))&amp;" | "&amp;INDEX(Mapping!$B$29:$B$38,MATCH($B865,Mapping!$A$29:$A$38,0)))</f>
        <v/>
      </c>
      <c r="I865" s="5">
        <f>INDEX(Variables!$C$5:$C$65,MATCH($A865,Variables!$A$5:$A$65,0))</f>
        <v/>
      </c>
      <c r="J865" s="5">
        <f>INDEX(Variables!$E$5:$E$65,MATCH($A865,Variables!$A$5:$A$65,0))</f>
        <v/>
      </c>
      <c r="K865" s="23">
        <f>LOWER(Settings!$C$4)&amp;".mit."&amp;$A865&amp;IF($C865="","","."&amp;$C865&amp;"."&amp;$B865)&amp;IF(INDEX(Variables!$D$5:$D$65,MATCH($A865,Variables!$A$5:$A$65,0))="","","."&amp;INDEX(Variables!$D$5:$D$65,MATCH($A865,Variables!$A$5:$A$65,0)))&amp;"."&amp;K$5</f>
        <v/>
      </c>
      <c r="L865" s="38">
        <f>L820+L856</f>
        <v/>
      </c>
      <c r="M865" s="36">
        <f>M820+M856</f>
        <v/>
      </c>
      <c r="N865" s="36">
        <f>N820+N856</f>
        <v/>
      </c>
      <c r="O865" s="36">
        <f>O820+O856</f>
        <v/>
      </c>
      <c r="P865" s="36">
        <f>P820+P856</f>
        <v/>
      </c>
      <c r="Q865" s="36">
        <f>Q820+Q856</f>
        <v/>
      </c>
      <c r="R865" s="36">
        <f>R820+R856</f>
        <v/>
      </c>
      <c r="S865" s="36">
        <f>S820+S856</f>
        <v/>
      </c>
      <c r="T865" s="36">
        <f>T820+T856</f>
        <v/>
      </c>
      <c r="U865" s="36">
        <f>U820+U856</f>
        <v/>
      </c>
      <c r="V865" s="36">
        <f>V820+V856</f>
        <v/>
      </c>
      <c r="W865" s="36">
        <f>W820+W856</f>
        <v/>
      </c>
      <c r="X865" s="36">
        <f>X820+X856</f>
        <v/>
      </c>
      <c r="Y865" s="39">
        <f>POSTTAX(Y820,Y856)</f>
        <v/>
      </c>
      <c r="Z865" s="23">
        <f>LOWER(Settings!$C$4)&amp;".mit."&amp;$A865&amp;IF($C865="","","."&amp;$C865&amp;"."&amp;$B865)&amp;IF(INDEX(Variables!$D$5:$D$65,MATCH($A865,Variables!$A$5:$A$65,0))="","","."&amp;INDEX(Variables!$D$5:$D$65,MATCH($A865,Variables!$A$5:$A$65,0)))&amp;"."&amp;Z$5</f>
        <v/>
      </c>
      <c r="AA865" s="38">
        <f>AA820+AA856</f>
        <v/>
      </c>
      <c r="AB865" s="36">
        <f>AB820+AB856</f>
        <v/>
      </c>
      <c r="AC865" s="36">
        <f>AC820+AC856</f>
        <v/>
      </c>
      <c r="AD865" s="36">
        <f>AD820+AD856</f>
        <v/>
      </c>
      <c r="AE865" s="36">
        <f>AE820+AE856</f>
        <v/>
      </c>
      <c r="AF865" s="36">
        <f>AF820+AF856</f>
        <v/>
      </c>
      <c r="AG865" s="36">
        <f>AG820+AG856</f>
        <v/>
      </c>
      <c r="AH865" s="36">
        <f>AH820+AH856</f>
        <v/>
      </c>
      <c r="AI865" s="36">
        <f>AI820+AI856</f>
        <v/>
      </c>
      <c r="AJ865" s="36">
        <f>AJ820+AJ856</f>
        <v/>
      </c>
      <c r="AK865" s="36">
        <f>AK820+AK856</f>
        <v/>
      </c>
      <c r="AL865" s="36">
        <f>AL820+AL856</f>
        <v/>
      </c>
      <c r="AM865" s="36">
        <f>AM820+AM856</f>
        <v/>
      </c>
      <c r="AN865" s="39">
        <f>POSTTAX(AN820,AN856)</f>
        <v/>
      </c>
    </row>
    <row r="866" hidden="1" outlineLevel="2">
      <c r="A866" s="5" t="inlineStr">
        <is>
          <t>atp</t>
        </is>
      </c>
      <c r="B866" s="5" t="inlineStr">
        <is>
          <t>oop</t>
        </is>
      </c>
      <c r="C866" s="5" t="inlineStr">
        <is>
          <t>nfm</t>
        </is>
      </c>
      <c r="D866" s="37" t="n"/>
      <c r="E866" s="37" t="n"/>
      <c r="F866" s="37" t="n"/>
      <c r="G866" s="37" t="n"/>
      <c r="H866" s="5">
        <f>INDEX(Variables!$B$5:$B$65,MATCH($A866,Variables!$A$5:$A$65,0))&amp;IF($C866="",""," | "&amp;INDEX(Mapping!$B$5:$B$25,MATCH($C866,Mapping!$A$5:$A$25,0))&amp;" | "&amp;INDEX(Mapping!$B$29:$B$38,MATCH($B866,Mapping!$A$29:$A$38,0)))</f>
        <v/>
      </c>
      <c r="I866" s="5">
        <f>INDEX(Variables!$C$5:$C$65,MATCH($A866,Variables!$A$5:$A$65,0))</f>
        <v/>
      </c>
      <c r="J866" s="5">
        <f>INDEX(Variables!$E$5:$E$65,MATCH($A866,Variables!$A$5:$A$65,0))</f>
        <v/>
      </c>
      <c r="K866" s="23">
        <f>LOWER(Settings!$C$4)&amp;".mit."&amp;$A866&amp;IF($C866="","","."&amp;$C866&amp;"."&amp;$B866)&amp;IF(INDEX(Variables!$D$5:$D$65,MATCH($A866,Variables!$A$5:$A$65,0))="","","."&amp;INDEX(Variables!$D$5:$D$65,MATCH($A866,Variables!$A$5:$A$65,0)))&amp;"."&amp;K$5</f>
        <v/>
      </c>
      <c r="L866" s="38">
        <f>L821+L857</f>
        <v/>
      </c>
      <c r="M866" s="36">
        <f>M821+M857</f>
        <v/>
      </c>
      <c r="N866" s="36">
        <f>N821+N857</f>
        <v/>
      </c>
      <c r="O866" s="36">
        <f>O821+O857</f>
        <v/>
      </c>
      <c r="P866" s="36">
        <f>P821+P857</f>
        <v/>
      </c>
      <c r="Q866" s="36">
        <f>Q821+Q857</f>
        <v/>
      </c>
      <c r="R866" s="36">
        <f>R821+R857</f>
        <v/>
      </c>
      <c r="S866" s="36">
        <f>S821+S857</f>
        <v/>
      </c>
      <c r="T866" s="36">
        <f>T821+T857</f>
        <v/>
      </c>
      <c r="U866" s="36">
        <f>U821+U857</f>
        <v/>
      </c>
      <c r="V866" s="36">
        <f>V821+V857</f>
        <v/>
      </c>
      <c r="W866" s="36">
        <f>W821+W857</f>
        <v/>
      </c>
      <c r="X866" s="36">
        <f>X821+X857</f>
        <v/>
      </c>
      <c r="Y866" s="39">
        <f>POSTTAX(Y821,Y857)</f>
        <v/>
      </c>
      <c r="Z866" s="23">
        <f>LOWER(Settings!$C$4)&amp;".mit."&amp;$A866&amp;IF($C866="","","."&amp;$C866&amp;"."&amp;$B866)&amp;IF(INDEX(Variables!$D$5:$D$65,MATCH($A866,Variables!$A$5:$A$65,0))="","","."&amp;INDEX(Variables!$D$5:$D$65,MATCH($A866,Variables!$A$5:$A$65,0)))&amp;"."&amp;Z$5</f>
        <v/>
      </c>
      <c r="AA866" s="38">
        <f>AA821+AA857</f>
        <v/>
      </c>
      <c r="AB866" s="36">
        <f>AB821+AB857</f>
        <v/>
      </c>
      <c r="AC866" s="36">
        <f>AC821+AC857</f>
        <v/>
      </c>
      <c r="AD866" s="36">
        <f>AD821+AD857</f>
        <v/>
      </c>
      <c r="AE866" s="36">
        <f>AE821+AE857</f>
        <v/>
      </c>
      <c r="AF866" s="36">
        <f>AF821+AF857</f>
        <v/>
      </c>
      <c r="AG866" s="36">
        <f>AG821+AG857</f>
        <v/>
      </c>
      <c r="AH866" s="36">
        <f>AH821+AH857</f>
        <v/>
      </c>
      <c r="AI866" s="36">
        <f>AI821+AI857</f>
        <v/>
      </c>
      <c r="AJ866" s="36">
        <f>AJ821+AJ857</f>
        <v/>
      </c>
      <c r="AK866" s="36">
        <f>AK821+AK857</f>
        <v/>
      </c>
      <c r="AL866" s="36">
        <f>AL821+AL857</f>
        <v/>
      </c>
      <c r="AM866" s="36">
        <f>AM821+AM857</f>
        <v/>
      </c>
      <c r="AN866" s="39">
        <f>POSTTAX(AN821,AN857)</f>
        <v/>
      </c>
    </row>
    <row r="867" hidden="1" outlineLevel="2">
      <c r="A867" s="5" t="inlineStr">
        <is>
          <t>atp</t>
        </is>
      </c>
      <c r="B867" s="5" t="inlineStr">
        <is>
          <t>bio</t>
        </is>
      </c>
      <c r="C867" s="5" t="inlineStr">
        <is>
          <t>nfm</t>
        </is>
      </c>
      <c r="D867" s="37" t="n"/>
      <c r="E867" s="37" t="n"/>
      <c r="F867" s="37" t="n"/>
      <c r="G867" s="37" t="n"/>
      <c r="H867" s="5">
        <f>INDEX(Variables!$B$5:$B$65,MATCH($A867,Variables!$A$5:$A$65,0))&amp;IF($C867="",""," | "&amp;INDEX(Mapping!$B$5:$B$25,MATCH($C867,Mapping!$A$5:$A$25,0))&amp;" | "&amp;INDEX(Mapping!$B$29:$B$38,MATCH($B867,Mapping!$A$29:$A$38,0)))</f>
        <v/>
      </c>
      <c r="I867" s="5">
        <f>INDEX(Variables!$C$5:$C$65,MATCH($A867,Variables!$A$5:$A$65,0))</f>
        <v/>
      </c>
      <c r="J867" s="5">
        <f>INDEX(Variables!$E$5:$E$65,MATCH($A867,Variables!$A$5:$A$65,0))</f>
        <v/>
      </c>
      <c r="K867" s="23">
        <f>LOWER(Settings!$C$4)&amp;".mit."&amp;$A867&amp;IF($C867="","","."&amp;$C867&amp;"."&amp;$B867)&amp;IF(INDEX(Variables!$D$5:$D$65,MATCH($A867,Variables!$A$5:$A$65,0))="","","."&amp;INDEX(Variables!$D$5:$D$65,MATCH($A867,Variables!$A$5:$A$65,0)))&amp;"."&amp;K$5</f>
        <v/>
      </c>
      <c r="L867" s="38">
        <f>L822+L858</f>
        <v/>
      </c>
      <c r="M867" s="36">
        <f>M822+M858</f>
        <v/>
      </c>
      <c r="N867" s="36">
        <f>N822+N858</f>
        <v/>
      </c>
      <c r="O867" s="36">
        <f>O822+O858</f>
        <v/>
      </c>
      <c r="P867" s="36">
        <f>P822+P858</f>
        <v/>
      </c>
      <c r="Q867" s="36">
        <f>Q822+Q858</f>
        <v/>
      </c>
      <c r="R867" s="36">
        <f>R822+R858</f>
        <v/>
      </c>
      <c r="S867" s="36">
        <f>S822+S858</f>
        <v/>
      </c>
      <c r="T867" s="36">
        <f>T822+T858</f>
        <v/>
      </c>
      <c r="U867" s="36">
        <f>U822+U858</f>
        <v/>
      </c>
      <c r="V867" s="36">
        <f>V822+V858</f>
        <v/>
      </c>
      <c r="W867" s="36">
        <f>W822+W858</f>
        <v/>
      </c>
      <c r="X867" s="36">
        <f>X822+X858</f>
        <v/>
      </c>
      <c r="Y867" s="39">
        <f>POSTTAX(Y822,Y858)</f>
        <v/>
      </c>
      <c r="Z867" s="23">
        <f>LOWER(Settings!$C$4)&amp;".mit."&amp;$A867&amp;IF($C867="","","."&amp;$C867&amp;"."&amp;$B867)&amp;IF(INDEX(Variables!$D$5:$D$65,MATCH($A867,Variables!$A$5:$A$65,0))="","","."&amp;INDEX(Variables!$D$5:$D$65,MATCH($A867,Variables!$A$5:$A$65,0)))&amp;"."&amp;Z$5</f>
        <v/>
      </c>
      <c r="AA867" s="38">
        <f>AA822+AA858</f>
        <v/>
      </c>
      <c r="AB867" s="36">
        <f>AB822+AB858</f>
        <v/>
      </c>
      <c r="AC867" s="36">
        <f>AC822+AC858</f>
        <v/>
      </c>
      <c r="AD867" s="36">
        <f>AD822+AD858</f>
        <v/>
      </c>
      <c r="AE867" s="36">
        <f>AE822+AE858</f>
        <v/>
      </c>
      <c r="AF867" s="36">
        <f>AF822+AF858</f>
        <v/>
      </c>
      <c r="AG867" s="36">
        <f>AG822+AG858</f>
        <v/>
      </c>
      <c r="AH867" s="36">
        <f>AH822+AH858</f>
        <v/>
      </c>
      <c r="AI867" s="36">
        <f>AI822+AI858</f>
        <v/>
      </c>
      <c r="AJ867" s="36">
        <f>AJ822+AJ858</f>
        <v/>
      </c>
      <c r="AK867" s="36">
        <f>AK822+AK858</f>
        <v/>
      </c>
      <c r="AL867" s="36">
        <f>AL822+AL858</f>
        <v/>
      </c>
      <c r="AM867" s="36">
        <f>AM822+AM858</f>
        <v/>
      </c>
      <c r="AN867" s="39">
        <f>POSTTAX(AN822,AN858)</f>
        <v/>
      </c>
    </row>
    <row r="868" hidden="1" outlineLevel="2"/>
    <row r="869" hidden="1" outlineLevel="2">
      <c r="A869" s="5" t="inlineStr">
        <is>
          <t>shp</t>
        </is>
      </c>
      <c r="B869" s="5" t="inlineStr">
        <is>
          <t>coa</t>
        </is>
      </c>
      <c r="C869" s="5" t="inlineStr">
        <is>
          <t>nfm</t>
        </is>
      </c>
      <c r="D869" s="36">
        <f>INDEX(Inputs!$M$5:$M$132,MATCH($B869&amp;"|"&amp;$C869,Inputs!$A$5:$A$132,0))</f>
        <v/>
      </c>
      <c r="E869" s="36">
        <f>INDEX(Inputs!$U$5:$U$132,MATCH($B869&amp;"|"&amp;$C869,Inputs!$A$5:$A$132,0))</f>
        <v/>
      </c>
      <c r="F869" s="36">
        <f>INDEX(Inputs!$K$5:$K$132,MATCH($B869&amp;"|"&amp;$C869,Inputs!$A$5:$A$132,0))</f>
        <v/>
      </c>
      <c r="G869" s="37" t="n"/>
      <c r="H869" s="5">
        <f>INDEX(Variables!$B$5:$B$65,MATCH($A869,Variables!$A$5:$A$65,0))&amp;IF($C869="",""," | "&amp;INDEX(Mapping!$B$5:$B$25,MATCH($C869,Mapping!$A$5:$A$25,0))&amp;" | "&amp;INDEX(Mapping!$B$29:$B$38,MATCH($B869,Mapping!$A$29:$A$38,0)))</f>
        <v/>
      </c>
      <c r="I869" s="5">
        <f>INDEX(Variables!$C$5:$C$65,MATCH($A869,Variables!$A$5:$A$65,0))</f>
        <v/>
      </c>
      <c r="J869" s="5">
        <f>INDEX(Variables!$E$5:$E$65,MATCH($A869,Variables!$A$5:$A$65,0))</f>
        <v/>
      </c>
      <c r="K869" s="23">
        <f>LOWER(Settings!$C$4)&amp;".mit."&amp;$A869&amp;IF($C869="","","."&amp;$C869&amp;"."&amp;$B869)&amp;IF(INDEX(Variables!$D$5:$D$65,MATCH($A869,Variables!$A$5:$A$65,0))="","","."&amp;INDEX(Variables!$D$5:$D$65,MATCH($A869,Variables!$A$5:$A$65,0)))&amp;"."&amp;K$5</f>
        <v/>
      </c>
      <c r="L869" s="38">
        <f>INDEX(L$124:L$127,$D869)*$E869*INDEX(L$128:L$144,$F869)</f>
        <v/>
      </c>
      <c r="M869" s="36">
        <f>INDEX(M$124:M$127,$D869)*$E869*INDEX(M$128:M$144,$F869)</f>
        <v/>
      </c>
      <c r="N869" s="36">
        <f>INDEX(N$124:N$127,$D869)*$E869*INDEX(N$128:N$144,$F869)</f>
        <v/>
      </c>
      <c r="O869" s="36">
        <f>INDEX(O$124:O$127,$D869)*$E869*INDEX(O$128:O$144,$F869)</f>
        <v/>
      </c>
      <c r="P869" s="36">
        <f>INDEX(P$124:P$127,$D869)*$E869*INDEX(P$128:P$144,$F869)</f>
        <v/>
      </c>
      <c r="Q869" s="36">
        <f>INDEX(Q$124:Q$127,$D869)*$E869*INDEX(Q$128:Q$144,$F869)</f>
        <v/>
      </c>
      <c r="R869" s="36">
        <f>INDEX(R$124:R$127,$D869)*$E869*INDEX(R$128:R$144,$F869)</f>
        <v/>
      </c>
      <c r="S869" s="36">
        <f>INDEX(S$124:S$127,$D869)*$E869*INDEX(S$128:S$144,$F869)</f>
        <v/>
      </c>
      <c r="T869" s="36">
        <f>INDEX(T$124:T$127,$D869)*$E869*INDEX(T$128:T$144,$F869)</f>
        <v/>
      </c>
      <c r="U869" s="36">
        <f>INDEX(U$124:U$127,$D869)*$E869*INDEX(U$128:U$144,$F869)</f>
        <v/>
      </c>
      <c r="V869" s="36">
        <f>INDEX(V$124:V$127,$D869)*$E869*INDEX(V$128:V$144,$F869)</f>
        <v/>
      </c>
      <c r="W869" s="36">
        <f>INDEX(W$124:W$127,$D869)*$E869*INDEX(W$128:W$144,$F869)</f>
        <v/>
      </c>
      <c r="X869" s="36">
        <f>INDEX(X$124:X$127,$D869)*$E869*INDEX(X$128:X$144,$F869)</f>
        <v/>
      </c>
      <c r="Y869" s="36">
        <f>INDEX(Y$124:Y$127,$D869)*$E869*INDEX(Y$128:Y$144,$F869)</f>
        <v/>
      </c>
      <c r="Z869" s="23">
        <f>LOWER(Settings!$C$4)&amp;".mit."&amp;$A869&amp;IF($C869="","","."&amp;$C869&amp;"."&amp;$B869)&amp;IF(INDEX(Variables!$D$5:$D$65,MATCH($A869,Variables!$A$5:$A$65,0))="","","."&amp;INDEX(Variables!$D$5:$D$65,MATCH($A869,Variables!$A$5:$A$65,0)))&amp;"."&amp;Z$5</f>
        <v/>
      </c>
      <c r="AA869" s="38">
        <f>INDEX(AA$124:AA$127,$D869)*$E869*INDEX(AA$128:AA$144,$F869)</f>
        <v/>
      </c>
      <c r="AB869" s="36">
        <f>INDEX(AB$124:AB$127,$D869)*$E869*INDEX(AB$128:AB$144,$F869)</f>
        <v/>
      </c>
      <c r="AC869" s="36">
        <f>INDEX(AC$124:AC$127,$D869)*$E869*INDEX(AC$128:AC$144,$F869)</f>
        <v/>
      </c>
      <c r="AD869" s="36">
        <f>INDEX(AD$124:AD$127,$D869)*$E869*INDEX(AD$128:AD$144,$F869)</f>
        <v/>
      </c>
      <c r="AE869" s="36">
        <f>INDEX(AE$124:AE$127,$D869)*$E869*INDEX(AE$128:AE$144,$F869)</f>
        <v/>
      </c>
      <c r="AF869" s="36">
        <f>INDEX(AF$124:AF$127,$D869)*$E869*INDEX(AF$128:AF$144,$F869)</f>
        <v/>
      </c>
      <c r="AG869" s="36">
        <f>INDEX(AG$124:AG$127,$D869)*$E869*INDEX(AG$128:AG$144,$F869)</f>
        <v/>
      </c>
      <c r="AH869" s="36">
        <f>INDEX(AH$124:AH$127,$D869)*$E869*INDEX(AH$128:AH$144,$F869)</f>
        <v/>
      </c>
      <c r="AI869" s="36">
        <f>INDEX(AI$124:AI$127,$D869)*$E869*INDEX(AI$128:AI$144,$F869)</f>
        <v/>
      </c>
      <c r="AJ869" s="36">
        <f>INDEX(AJ$124:AJ$127,$D869)*$E869*INDEX(AJ$128:AJ$144,$F869)</f>
        <v/>
      </c>
      <c r="AK869" s="36">
        <f>INDEX(AK$124:AK$127,$D869)*$E869*INDEX(AK$128:AK$144,$F869)</f>
        <v/>
      </c>
      <c r="AL869" s="36">
        <f>INDEX(AL$124:AL$127,$D869)*$E869*INDEX(AL$128:AL$144,$F869)</f>
        <v/>
      </c>
      <c r="AM869" s="36">
        <f>INDEX(AM$124:AM$127,$D869)*$E869*INDEX(AM$128:AM$144,$F869)</f>
        <v/>
      </c>
      <c r="AN869" s="36">
        <f>INDEX(AN$124:AN$127,$D869)*$E869*INDEX(AN$128:AN$144,$F869)</f>
        <v/>
      </c>
    </row>
    <row r="870" hidden="1" outlineLevel="2">
      <c r="A870" s="5" t="inlineStr">
        <is>
          <t>shp</t>
        </is>
      </c>
      <c r="B870" s="5" t="inlineStr">
        <is>
          <t>nga</t>
        </is>
      </c>
      <c r="C870" s="5" t="inlineStr">
        <is>
          <t>nfm</t>
        </is>
      </c>
      <c r="D870" s="36">
        <f>INDEX(Inputs!$M$5:$M$132,MATCH($B870&amp;"|"&amp;$C870,Inputs!$A$5:$A$132,0))</f>
        <v/>
      </c>
      <c r="E870" s="36">
        <f>INDEX(Inputs!$U$5:$U$132,MATCH($B870&amp;"|"&amp;$C870,Inputs!$A$5:$A$132,0))</f>
        <v/>
      </c>
      <c r="F870" s="36">
        <f>INDEX(Inputs!$K$5:$K$132,MATCH($B870&amp;"|"&amp;$C870,Inputs!$A$5:$A$132,0))</f>
        <v/>
      </c>
      <c r="G870" s="37" t="n"/>
      <c r="H870" s="5">
        <f>INDEX(Variables!$B$5:$B$65,MATCH($A870,Variables!$A$5:$A$65,0))&amp;IF($C870="",""," | "&amp;INDEX(Mapping!$B$5:$B$25,MATCH($C870,Mapping!$A$5:$A$25,0))&amp;" | "&amp;INDEX(Mapping!$B$29:$B$38,MATCH($B870,Mapping!$A$29:$A$38,0)))</f>
        <v/>
      </c>
      <c r="I870" s="5">
        <f>INDEX(Variables!$C$5:$C$65,MATCH($A870,Variables!$A$5:$A$65,0))</f>
        <v/>
      </c>
      <c r="J870" s="5">
        <f>INDEX(Variables!$E$5:$E$65,MATCH($A870,Variables!$A$5:$A$65,0))</f>
        <v/>
      </c>
      <c r="K870" s="23">
        <f>LOWER(Settings!$C$4)&amp;".mit."&amp;$A870&amp;IF($C870="","","."&amp;$C870&amp;"."&amp;$B870)&amp;IF(INDEX(Variables!$D$5:$D$65,MATCH($A870,Variables!$A$5:$A$65,0))="","","."&amp;INDEX(Variables!$D$5:$D$65,MATCH($A870,Variables!$A$5:$A$65,0)))&amp;"."&amp;K$5</f>
        <v/>
      </c>
      <c r="L870" s="38">
        <f>INDEX(L$124:L$127,$D870)*$E870*INDEX(L$128:L$144,$F870)</f>
        <v/>
      </c>
      <c r="M870" s="36">
        <f>INDEX(M$124:M$127,$D870)*$E870*INDEX(M$128:M$144,$F870)</f>
        <v/>
      </c>
      <c r="N870" s="36">
        <f>INDEX(N$124:N$127,$D870)*$E870*INDEX(N$128:N$144,$F870)</f>
        <v/>
      </c>
      <c r="O870" s="36">
        <f>INDEX(O$124:O$127,$D870)*$E870*INDEX(O$128:O$144,$F870)</f>
        <v/>
      </c>
      <c r="P870" s="36">
        <f>INDEX(P$124:P$127,$D870)*$E870*INDEX(P$128:P$144,$F870)</f>
        <v/>
      </c>
      <c r="Q870" s="36">
        <f>INDEX(Q$124:Q$127,$D870)*$E870*INDEX(Q$128:Q$144,$F870)</f>
        <v/>
      </c>
      <c r="R870" s="36">
        <f>INDEX(R$124:R$127,$D870)*$E870*INDEX(R$128:R$144,$F870)</f>
        <v/>
      </c>
      <c r="S870" s="36">
        <f>INDEX(S$124:S$127,$D870)*$E870*INDEX(S$128:S$144,$F870)</f>
        <v/>
      </c>
      <c r="T870" s="36">
        <f>INDEX(T$124:T$127,$D870)*$E870*INDEX(T$128:T$144,$F870)</f>
        <v/>
      </c>
      <c r="U870" s="36">
        <f>INDEX(U$124:U$127,$D870)*$E870*INDEX(U$128:U$144,$F870)</f>
        <v/>
      </c>
      <c r="V870" s="36">
        <f>INDEX(V$124:V$127,$D870)*$E870*INDEX(V$128:V$144,$F870)</f>
        <v/>
      </c>
      <c r="W870" s="36">
        <f>INDEX(W$124:W$127,$D870)*$E870*INDEX(W$128:W$144,$F870)</f>
        <v/>
      </c>
      <c r="X870" s="36">
        <f>INDEX(X$124:X$127,$D870)*$E870*INDEX(X$128:X$144,$F870)</f>
        <v/>
      </c>
      <c r="Y870" s="36">
        <f>INDEX(Y$124:Y$127,$D870)*$E870*INDEX(Y$128:Y$144,$F870)</f>
        <v/>
      </c>
      <c r="Z870" s="23">
        <f>LOWER(Settings!$C$4)&amp;".mit."&amp;$A870&amp;IF($C870="","","."&amp;$C870&amp;"."&amp;$B870)&amp;IF(INDEX(Variables!$D$5:$D$65,MATCH($A870,Variables!$A$5:$A$65,0))="","","."&amp;INDEX(Variables!$D$5:$D$65,MATCH($A870,Variables!$A$5:$A$65,0)))&amp;"."&amp;Z$5</f>
        <v/>
      </c>
      <c r="AA870" s="38">
        <f>INDEX(AA$124:AA$127,$D870)*$E870*INDEX(AA$128:AA$144,$F870)</f>
        <v/>
      </c>
      <c r="AB870" s="36">
        <f>INDEX(AB$124:AB$127,$D870)*$E870*INDEX(AB$128:AB$144,$F870)</f>
        <v/>
      </c>
      <c r="AC870" s="36">
        <f>INDEX(AC$124:AC$127,$D870)*$E870*INDEX(AC$128:AC$144,$F870)</f>
        <v/>
      </c>
      <c r="AD870" s="36">
        <f>INDEX(AD$124:AD$127,$D870)*$E870*INDEX(AD$128:AD$144,$F870)</f>
        <v/>
      </c>
      <c r="AE870" s="36">
        <f>INDEX(AE$124:AE$127,$D870)*$E870*INDEX(AE$128:AE$144,$F870)</f>
        <v/>
      </c>
      <c r="AF870" s="36">
        <f>INDEX(AF$124:AF$127,$D870)*$E870*INDEX(AF$128:AF$144,$F870)</f>
        <v/>
      </c>
      <c r="AG870" s="36">
        <f>INDEX(AG$124:AG$127,$D870)*$E870*INDEX(AG$128:AG$144,$F870)</f>
        <v/>
      </c>
      <c r="AH870" s="36">
        <f>INDEX(AH$124:AH$127,$D870)*$E870*INDEX(AH$128:AH$144,$F870)</f>
        <v/>
      </c>
      <c r="AI870" s="36">
        <f>INDEX(AI$124:AI$127,$D870)*$E870*INDEX(AI$128:AI$144,$F870)</f>
        <v/>
      </c>
      <c r="AJ870" s="36">
        <f>INDEX(AJ$124:AJ$127,$D870)*$E870*INDEX(AJ$128:AJ$144,$F870)</f>
        <v/>
      </c>
      <c r="AK870" s="36">
        <f>INDEX(AK$124:AK$127,$D870)*$E870*INDEX(AK$128:AK$144,$F870)</f>
        <v/>
      </c>
      <c r="AL870" s="36">
        <f>INDEX(AL$124:AL$127,$D870)*$E870*INDEX(AL$128:AL$144,$F870)</f>
        <v/>
      </c>
      <c r="AM870" s="36">
        <f>INDEX(AM$124:AM$127,$D870)*$E870*INDEX(AM$128:AM$144,$F870)</f>
        <v/>
      </c>
      <c r="AN870" s="36">
        <f>INDEX(AN$124:AN$127,$D870)*$E870*INDEX(AN$128:AN$144,$F870)</f>
        <v/>
      </c>
    </row>
    <row r="871" hidden="1" outlineLevel="2">
      <c r="A871" s="5" t="inlineStr">
        <is>
          <t>shp</t>
        </is>
      </c>
      <c r="B871" s="5" t="inlineStr">
        <is>
          <t>gso</t>
        </is>
      </c>
      <c r="C871" s="5" t="inlineStr">
        <is>
          <t>nfm</t>
        </is>
      </c>
      <c r="D871" s="36">
        <f>INDEX(Inputs!$M$5:$M$132,MATCH($B871&amp;"|"&amp;$C871,Inputs!$A$5:$A$132,0))</f>
        <v/>
      </c>
      <c r="E871" s="36">
        <f>INDEX(Inputs!$U$5:$U$132,MATCH($B871&amp;"|"&amp;$C871,Inputs!$A$5:$A$132,0))</f>
        <v/>
      </c>
      <c r="F871" s="36">
        <f>INDEX(Inputs!$K$5:$K$132,MATCH($B871&amp;"|"&amp;$C871,Inputs!$A$5:$A$132,0))</f>
        <v/>
      </c>
      <c r="G871" s="37" t="n"/>
      <c r="H871" s="5">
        <f>INDEX(Variables!$B$5:$B$65,MATCH($A871,Variables!$A$5:$A$65,0))&amp;IF($C871="",""," | "&amp;INDEX(Mapping!$B$5:$B$25,MATCH($C871,Mapping!$A$5:$A$25,0))&amp;" | "&amp;INDEX(Mapping!$B$29:$B$38,MATCH($B871,Mapping!$A$29:$A$38,0)))</f>
        <v/>
      </c>
      <c r="I871" s="5">
        <f>INDEX(Variables!$C$5:$C$65,MATCH($A871,Variables!$A$5:$A$65,0))</f>
        <v/>
      </c>
      <c r="J871" s="5">
        <f>INDEX(Variables!$E$5:$E$65,MATCH($A871,Variables!$A$5:$A$65,0))</f>
        <v/>
      </c>
      <c r="K871" s="23">
        <f>LOWER(Settings!$C$4)&amp;".mit."&amp;$A871&amp;IF($C871="","","."&amp;$C871&amp;"."&amp;$B871)&amp;IF(INDEX(Variables!$D$5:$D$65,MATCH($A871,Variables!$A$5:$A$65,0))="","","."&amp;INDEX(Variables!$D$5:$D$65,MATCH($A871,Variables!$A$5:$A$65,0)))&amp;"."&amp;K$5</f>
        <v/>
      </c>
      <c r="L871" s="38">
        <f>INDEX(L$124:L$127,$D871)*$E871*INDEX(L$128:L$144,$F871)</f>
        <v/>
      </c>
      <c r="M871" s="36">
        <f>INDEX(M$124:M$127,$D871)*$E871*INDEX(M$128:M$144,$F871)</f>
        <v/>
      </c>
      <c r="N871" s="36">
        <f>INDEX(N$124:N$127,$D871)*$E871*INDEX(N$128:N$144,$F871)</f>
        <v/>
      </c>
      <c r="O871" s="36">
        <f>INDEX(O$124:O$127,$D871)*$E871*INDEX(O$128:O$144,$F871)</f>
        <v/>
      </c>
      <c r="P871" s="36">
        <f>INDEX(P$124:P$127,$D871)*$E871*INDEX(P$128:P$144,$F871)</f>
        <v/>
      </c>
      <c r="Q871" s="36">
        <f>INDEX(Q$124:Q$127,$D871)*$E871*INDEX(Q$128:Q$144,$F871)</f>
        <v/>
      </c>
      <c r="R871" s="36">
        <f>INDEX(R$124:R$127,$D871)*$E871*INDEX(R$128:R$144,$F871)</f>
        <v/>
      </c>
      <c r="S871" s="36">
        <f>INDEX(S$124:S$127,$D871)*$E871*INDEX(S$128:S$144,$F871)</f>
        <v/>
      </c>
      <c r="T871" s="36">
        <f>INDEX(T$124:T$127,$D871)*$E871*INDEX(T$128:T$144,$F871)</f>
        <v/>
      </c>
      <c r="U871" s="36">
        <f>INDEX(U$124:U$127,$D871)*$E871*INDEX(U$128:U$144,$F871)</f>
        <v/>
      </c>
      <c r="V871" s="36">
        <f>INDEX(V$124:V$127,$D871)*$E871*INDEX(V$128:V$144,$F871)</f>
        <v/>
      </c>
      <c r="W871" s="36">
        <f>INDEX(W$124:W$127,$D871)*$E871*INDEX(W$128:W$144,$F871)</f>
        <v/>
      </c>
      <c r="X871" s="36">
        <f>INDEX(X$124:X$127,$D871)*$E871*INDEX(X$128:X$144,$F871)</f>
        <v/>
      </c>
      <c r="Y871" s="36">
        <f>INDEX(Y$124:Y$127,$D871)*$E871*INDEX(Y$128:Y$144,$F871)</f>
        <v/>
      </c>
      <c r="Z871" s="23">
        <f>LOWER(Settings!$C$4)&amp;".mit."&amp;$A871&amp;IF($C871="","","."&amp;$C871&amp;"."&amp;$B871)&amp;IF(INDEX(Variables!$D$5:$D$65,MATCH($A871,Variables!$A$5:$A$65,0))="","","."&amp;INDEX(Variables!$D$5:$D$65,MATCH($A871,Variables!$A$5:$A$65,0)))&amp;"."&amp;Z$5</f>
        <v/>
      </c>
      <c r="AA871" s="38">
        <f>INDEX(AA$124:AA$127,$D871)*$E871*INDEX(AA$128:AA$144,$F871)</f>
        <v/>
      </c>
      <c r="AB871" s="36">
        <f>INDEX(AB$124:AB$127,$D871)*$E871*INDEX(AB$128:AB$144,$F871)</f>
        <v/>
      </c>
      <c r="AC871" s="36">
        <f>INDEX(AC$124:AC$127,$D871)*$E871*INDEX(AC$128:AC$144,$F871)</f>
        <v/>
      </c>
      <c r="AD871" s="36">
        <f>INDEX(AD$124:AD$127,$D871)*$E871*INDEX(AD$128:AD$144,$F871)</f>
        <v/>
      </c>
      <c r="AE871" s="36">
        <f>INDEX(AE$124:AE$127,$D871)*$E871*INDEX(AE$128:AE$144,$F871)</f>
        <v/>
      </c>
      <c r="AF871" s="36">
        <f>INDEX(AF$124:AF$127,$D871)*$E871*INDEX(AF$128:AF$144,$F871)</f>
        <v/>
      </c>
      <c r="AG871" s="36">
        <f>INDEX(AG$124:AG$127,$D871)*$E871*INDEX(AG$128:AG$144,$F871)</f>
        <v/>
      </c>
      <c r="AH871" s="36">
        <f>INDEX(AH$124:AH$127,$D871)*$E871*INDEX(AH$128:AH$144,$F871)</f>
        <v/>
      </c>
      <c r="AI871" s="36">
        <f>INDEX(AI$124:AI$127,$D871)*$E871*INDEX(AI$128:AI$144,$F871)</f>
        <v/>
      </c>
      <c r="AJ871" s="36">
        <f>INDEX(AJ$124:AJ$127,$D871)*$E871*INDEX(AJ$128:AJ$144,$F871)</f>
        <v/>
      </c>
      <c r="AK871" s="36">
        <f>INDEX(AK$124:AK$127,$D871)*$E871*INDEX(AK$128:AK$144,$F871)</f>
        <v/>
      </c>
      <c r="AL871" s="36">
        <f>INDEX(AL$124:AL$127,$D871)*$E871*INDEX(AL$128:AL$144,$F871)</f>
        <v/>
      </c>
      <c r="AM871" s="36">
        <f>INDEX(AM$124:AM$127,$D871)*$E871*INDEX(AM$128:AM$144,$F871)</f>
        <v/>
      </c>
      <c r="AN871" s="36">
        <f>INDEX(AN$124:AN$127,$D871)*$E871*INDEX(AN$128:AN$144,$F871)</f>
        <v/>
      </c>
    </row>
    <row r="872" hidden="1" outlineLevel="2">
      <c r="A872" s="5" t="inlineStr">
        <is>
          <t>shp</t>
        </is>
      </c>
      <c r="B872" s="5" t="inlineStr">
        <is>
          <t>die</t>
        </is>
      </c>
      <c r="C872" s="5" t="inlineStr">
        <is>
          <t>nfm</t>
        </is>
      </c>
      <c r="D872" s="36">
        <f>INDEX(Inputs!$M$5:$M$132,MATCH($B872&amp;"|"&amp;$C872,Inputs!$A$5:$A$132,0))</f>
        <v/>
      </c>
      <c r="E872" s="36">
        <f>INDEX(Inputs!$U$5:$U$132,MATCH($B872&amp;"|"&amp;$C872,Inputs!$A$5:$A$132,0))</f>
        <v/>
      </c>
      <c r="F872" s="36">
        <f>INDEX(Inputs!$K$5:$K$132,MATCH($B872&amp;"|"&amp;$C872,Inputs!$A$5:$A$132,0))</f>
        <v/>
      </c>
      <c r="G872" s="37" t="n"/>
      <c r="H872" s="5">
        <f>INDEX(Variables!$B$5:$B$65,MATCH($A872,Variables!$A$5:$A$65,0))&amp;IF($C872="",""," | "&amp;INDEX(Mapping!$B$5:$B$25,MATCH($C872,Mapping!$A$5:$A$25,0))&amp;" | "&amp;INDEX(Mapping!$B$29:$B$38,MATCH($B872,Mapping!$A$29:$A$38,0)))</f>
        <v/>
      </c>
      <c r="I872" s="5">
        <f>INDEX(Variables!$C$5:$C$65,MATCH($A872,Variables!$A$5:$A$65,0))</f>
        <v/>
      </c>
      <c r="J872" s="5">
        <f>INDEX(Variables!$E$5:$E$65,MATCH($A872,Variables!$A$5:$A$65,0))</f>
        <v/>
      </c>
      <c r="K872" s="23">
        <f>LOWER(Settings!$C$4)&amp;".mit."&amp;$A872&amp;IF($C872="","","."&amp;$C872&amp;"."&amp;$B872)&amp;IF(INDEX(Variables!$D$5:$D$65,MATCH($A872,Variables!$A$5:$A$65,0))="","","."&amp;INDEX(Variables!$D$5:$D$65,MATCH($A872,Variables!$A$5:$A$65,0)))&amp;"."&amp;K$5</f>
        <v/>
      </c>
      <c r="L872" s="38">
        <f>INDEX(L$124:L$127,$D872)*$E872*INDEX(L$128:L$144,$F872)</f>
        <v/>
      </c>
      <c r="M872" s="36">
        <f>INDEX(M$124:M$127,$D872)*$E872*INDEX(M$128:M$144,$F872)</f>
        <v/>
      </c>
      <c r="N872" s="36">
        <f>INDEX(N$124:N$127,$D872)*$E872*INDEX(N$128:N$144,$F872)</f>
        <v/>
      </c>
      <c r="O872" s="36">
        <f>INDEX(O$124:O$127,$D872)*$E872*INDEX(O$128:O$144,$F872)</f>
        <v/>
      </c>
      <c r="P872" s="36">
        <f>INDEX(P$124:P$127,$D872)*$E872*INDEX(P$128:P$144,$F872)</f>
        <v/>
      </c>
      <c r="Q872" s="36">
        <f>INDEX(Q$124:Q$127,$D872)*$E872*INDEX(Q$128:Q$144,$F872)</f>
        <v/>
      </c>
      <c r="R872" s="36">
        <f>INDEX(R$124:R$127,$D872)*$E872*INDEX(R$128:R$144,$F872)</f>
        <v/>
      </c>
      <c r="S872" s="36">
        <f>INDEX(S$124:S$127,$D872)*$E872*INDEX(S$128:S$144,$F872)</f>
        <v/>
      </c>
      <c r="T872" s="36">
        <f>INDEX(T$124:T$127,$D872)*$E872*INDEX(T$128:T$144,$F872)</f>
        <v/>
      </c>
      <c r="U872" s="36">
        <f>INDEX(U$124:U$127,$D872)*$E872*INDEX(U$128:U$144,$F872)</f>
        <v/>
      </c>
      <c r="V872" s="36">
        <f>INDEX(V$124:V$127,$D872)*$E872*INDEX(V$128:V$144,$F872)</f>
        <v/>
      </c>
      <c r="W872" s="36">
        <f>INDEX(W$124:W$127,$D872)*$E872*INDEX(W$128:W$144,$F872)</f>
        <v/>
      </c>
      <c r="X872" s="36">
        <f>INDEX(X$124:X$127,$D872)*$E872*INDEX(X$128:X$144,$F872)</f>
        <v/>
      </c>
      <c r="Y872" s="36">
        <f>INDEX(Y$124:Y$127,$D872)*$E872*INDEX(Y$128:Y$144,$F872)</f>
        <v/>
      </c>
      <c r="Z872" s="23">
        <f>LOWER(Settings!$C$4)&amp;".mit."&amp;$A872&amp;IF($C872="","","."&amp;$C872&amp;"."&amp;$B872)&amp;IF(INDEX(Variables!$D$5:$D$65,MATCH($A872,Variables!$A$5:$A$65,0))="","","."&amp;INDEX(Variables!$D$5:$D$65,MATCH($A872,Variables!$A$5:$A$65,0)))&amp;"."&amp;Z$5</f>
        <v/>
      </c>
      <c r="AA872" s="38">
        <f>INDEX(AA$124:AA$127,$D872)*$E872*INDEX(AA$128:AA$144,$F872)</f>
        <v/>
      </c>
      <c r="AB872" s="36">
        <f>INDEX(AB$124:AB$127,$D872)*$E872*INDEX(AB$128:AB$144,$F872)</f>
        <v/>
      </c>
      <c r="AC872" s="36">
        <f>INDEX(AC$124:AC$127,$D872)*$E872*INDEX(AC$128:AC$144,$F872)</f>
        <v/>
      </c>
      <c r="AD872" s="36">
        <f>INDEX(AD$124:AD$127,$D872)*$E872*INDEX(AD$128:AD$144,$F872)</f>
        <v/>
      </c>
      <c r="AE872" s="36">
        <f>INDEX(AE$124:AE$127,$D872)*$E872*INDEX(AE$128:AE$144,$F872)</f>
        <v/>
      </c>
      <c r="AF872" s="36">
        <f>INDEX(AF$124:AF$127,$D872)*$E872*INDEX(AF$128:AF$144,$F872)</f>
        <v/>
      </c>
      <c r="AG872" s="36">
        <f>INDEX(AG$124:AG$127,$D872)*$E872*INDEX(AG$128:AG$144,$F872)</f>
        <v/>
      </c>
      <c r="AH872" s="36">
        <f>INDEX(AH$124:AH$127,$D872)*$E872*INDEX(AH$128:AH$144,$F872)</f>
        <v/>
      </c>
      <c r="AI872" s="36">
        <f>INDEX(AI$124:AI$127,$D872)*$E872*INDEX(AI$128:AI$144,$F872)</f>
        <v/>
      </c>
      <c r="AJ872" s="36">
        <f>INDEX(AJ$124:AJ$127,$D872)*$E872*INDEX(AJ$128:AJ$144,$F872)</f>
        <v/>
      </c>
      <c r="AK872" s="36">
        <f>INDEX(AK$124:AK$127,$D872)*$E872*INDEX(AK$128:AK$144,$F872)</f>
        <v/>
      </c>
      <c r="AL872" s="36">
        <f>INDEX(AL$124:AL$127,$D872)*$E872*INDEX(AL$128:AL$144,$F872)</f>
        <v/>
      </c>
      <c r="AM872" s="36">
        <f>INDEX(AM$124:AM$127,$D872)*$E872*INDEX(AM$128:AM$144,$F872)</f>
        <v/>
      </c>
      <c r="AN872" s="36">
        <f>INDEX(AN$124:AN$127,$D872)*$E872*INDEX(AN$128:AN$144,$F872)</f>
        <v/>
      </c>
    </row>
    <row r="873" hidden="1" outlineLevel="2">
      <c r="A873" s="5" t="inlineStr">
        <is>
          <t>shp</t>
        </is>
      </c>
      <c r="B873" s="5" t="inlineStr">
        <is>
          <t>lpg</t>
        </is>
      </c>
      <c r="C873" s="5" t="inlineStr">
        <is>
          <t>nfm</t>
        </is>
      </c>
      <c r="D873" s="36">
        <f>INDEX(Inputs!$M$5:$M$132,MATCH($B873&amp;"|"&amp;$C873,Inputs!$A$5:$A$132,0))</f>
        <v/>
      </c>
      <c r="E873" s="36">
        <f>INDEX(Inputs!$U$5:$U$132,MATCH($B873&amp;"|"&amp;$C873,Inputs!$A$5:$A$132,0))</f>
        <v/>
      </c>
      <c r="F873" s="36">
        <f>INDEX(Inputs!$K$5:$K$132,MATCH($B873&amp;"|"&amp;$C873,Inputs!$A$5:$A$132,0))</f>
        <v/>
      </c>
      <c r="G873" s="37" t="n"/>
      <c r="H873" s="5">
        <f>INDEX(Variables!$B$5:$B$65,MATCH($A873,Variables!$A$5:$A$65,0))&amp;IF($C873="",""," | "&amp;INDEX(Mapping!$B$5:$B$25,MATCH($C873,Mapping!$A$5:$A$25,0))&amp;" | "&amp;INDEX(Mapping!$B$29:$B$38,MATCH($B873,Mapping!$A$29:$A$38,0)))</f>
        <v/>
      </c>
      <c r="I873" s="5">
        <f>INDEX(Variables!$C$5:$C$65,MATCH($A873,Variables!$A$5:$A$65,0))</f>
        <v/>
      </c>
      <c r="J873" s="5">
        <f>INDEX(Variables!$E$5:$E$65,MATCH($A873,Variables!$A$5:$A$65,0))</f>
        <v/>
      </c>
      <c r="K873" s="23">
        <f>LOWER(Settings!$C$4)&amp;".mit."&amp;$A873&amp;IF($C873="","","."&amp;$C873&amp;"."&amp;$B873)&amp;IF(INDEX(Variables!$D$5:$D$65,MATCH($A873,Variables!$A$5:$A$65,0))="","","."&amp;INDEX(Variables!$D$5:$D$65,MATCH($A873,Variables!$A$5:$A$65,0)))&amp;"."&amp;K$5</f>
        <v/>
      </c>
      <c r="L873" s="38">
        <f>INDEX(L$124:L$127,$D873)*$E873*INDEX(L$128:L$144,$F873)</f>
        <v/>
      </c>
      <c r="M873" s="36">
        <f>INDEX(M$124:M$127,$D873)*$E873*INDEX(M$128:M$144,$F873)</f>
        <v/>
      </c>
      <c r="N873" s="36">
        <f>INDEX(N$124:N$127,$D873)*$E873*INDEX(N$128:N$144,$F873)</f>
        <v/>
      </c>
      <c r="O873" s="36">
        <f>INDEX(O$124:O$127,$D873)*$E873*INDEX(O$128:O$144,$F873)</f>
        <v/>
      </c>
      <c r="P873" s="36">
        <f>INDEX(P$124:P$127,$D873)*$E873*INDEX(P$128:P$144,$F873)</f>
        <v/>
      </c>
      <c r="Q873" s="36">
        <f>INDEX(Q$124:Q$127,$D873)*$E873*INDEX(Q$128:Q$144,$F873)</f>
        <v/>
      </c>
      <c r="R873" s="36">
        <f>INDEX(R$124:R$127,$D873)*$E873*INDEX(R$128:R$144,$F873)</f>
        <v/>
      </c>
      <c r="S873" s="36">
        <f>INDEX(S$124:S$127,$D873)*$E873*INDEX(S$128:S$144,$F873)</f>
        <v/>
      </c>
      <c r="T873" s="36">
        <f>INDEX(T$124:T$127,$D873)*$E873*INDEX(T$128:T$144,$F873)</f>
        <v/>
      </c>
      <c r="U873" s="36">
        <f>INDEX(U$124:U$127,$D873)*$E873*INDEX(U$128:U$144,$F873)</f>
        <v/>
      </c>
      <c r="V873" s="36">
        <f>INDEX(V$124:V$127,$D873)*$E873*INDEX(V$128:V$144,$F873)</f>
        <v/>
      </c>
      <c r="W873" s="36">
        <f>INDEX(W$124:W$127,$D873)*$E873*INDEX(W$128:W$144,$F873)</f>
        <v/>
      </c>
      <c r="X873" s="36">
        <f>INDEX(X$124:X$127,$D873)*$E873*INDEX(X$128:X$144,$F873)</f>
        <v/>
      </c>
      <c r="Y873" s="36">
        <f>INDEX(Y$124:Y$127,$D873)*$E873*INDEX(Y$128:Y$144,$F873)</f>
        <v/>
      </c>
      <c r="Z873" s="23">
        <f>LOWER(Settings!$C$4)&amp;".mit."&amp;$A873&amp;IF($C873="","","."&amp;$C873&amp;"."&amp;$B873)&amp;IF(INDEX(Variables!$D$5:$D$65,MATCH($A873,Variables!$A$5:$A$65,0))="","","."&amp;INDEX(Variables!$D$5:$D$65,MATCH($A873,Variables!$A$5:$A$65,0)))&amp;"."&amp;Z$5</f>
        <v/>
      </c>
      <c r="AA873" s="38">
        <f>INDEX(AA$124:AA$127,$D873)*$E873*INDEX(AA$128:AA$144,$F873)</f>
        <v/>
      </c>
      <c r="AB873" s="36">
        <f>INDEX(AB$124:AB$127,$D873)*$E873*INDEX(AB$128:AB$144,$F873)</f>
        <v/>
      </c>
      <c r="AC873" s="36">
        <f>INDEX(AC$124:AC$127,$D873)*$E873*INDEX(AC$128:AC$144,$F873)</f>
        <v/>
      </c>
      <c r="AD873" s="36">
        <f>INDEX(AD$124:AD$127,$D873)*$E873*INDEX(AD$128:AD$144,$F873)</f>
        <v/>
      </c>
      <c r="AE873" s="36">
        <f>INDEX(AE$124:AE$127,$D873)*$E873*INDEX(AE$128:AE$144,$F873)</f>
        <v/>
      </c>
      <c r="AF873" s="36">
        <f>INDEX(AF$124:AF$127,$D873)*$E873*INDEX(AF$128:AF$144,$F873)</f>
        <v/>
      </c>
      <c r="AG873" s="36">
        <f>INDEX(AG$124:AG$127,$D873)*$E873*INDEX(AG$128:AG$144,$F873)</f>
        <v/>
      </c>
      <c r="AH873" s="36">
        <f>INDEX(AH$124:AH$127,$D873)*$E873*INDEX(AH$128:AH$144,$F873)</f>
        <v/>
      </c>
      <c r="AI873" s="36">
        <f>INDEX(AI$124:AI$127,$D873)*$E873*INDEX(AI$128:AI$144,$F873)</f>
        <v/>
      </c>
      <c r="AJ873" s="36">
        <f>INDEX(AJ$124:AJ$127,$D873)*$E873*INDEX(AJ$128:AJ$144,$F873)</f>
        <v/>
      </c>
      <c r="AK873" s="36">
        <f>INDEX(AK$124:AK$127,$D873)*$E873*INDEX(AK$128:AK$144,$F873)</f>
        <v/>
      </c>
      <c r="AL873" s="36">
        <f>INDEX(AL$124:AL$127,$D873)*$E873*INDEX(AL$128:AL$144,$F873)</f>
        <v/>
      </c>
      <c r="AM873" s="36">
        <f>INDEX(AM$124:AM$127,$D873)*$E873*INDEX(AM$128:AM$144,$F873)</f>
        <v/>
      </c>
      <c r="AN873" s="36">
        <f>INDEX(AN$124:AN$127,$D873)*$E873*INDEX(AN$128:AN$144,$F873)</f>
        <v/>
      </c>
    </row>
    <row r="874" hidden="1" outlineLevel="2">
      <c r="A874" s="5" t="inlineStr">
        <is>
          <t>shp</t>
        </is>
      </c>
      <c r="B874" s="5" t="inlineStr">
        <is>
          <t>ker</t>
        </is>
      </c>
      <c r="C874" s="5" t="inlineStr">
        <is>
          <t>nfm</t>
        </is>
      </c>
      <c r="D874" s="36">
        <f>INDEX(Inputs!$M$5:$M$132,MATCH($B874&amp;"|"&amp;$C874,Inputs!$A$5:$A$132,0))</f>
        <v/>
      </c>
      <c r="E874" s="36">
        <f>INDEX(Inputs!$U$5:$U$132,MATCH($B874&amp;"|"&amp;$C874,Inputs!$A$5:$A$132,0))</f>
        <v/>
      </c>
      <c r="F874" s="36">
        <f>INDEX(Inputs!$K$5:$K$132,MATCH($B874&amp;"|"&amp;$C874,Inputs!$A$5:$A$132,0))</f>
        <v/>
      </c>
      <c r="G874" s="37" t="n"/>
      <c r="H874" s="5">
        <f>INDEX(Variables!$B$5:$B$65,MATCH($A874,Variables!$A$5:$A$65,0))&amp;IF($C874="",""," | "&amp;INDEX(Mapping!$B$5:$B$25,MATCH($C874,Mapping!$A$5:$A$25,0))&amp;" | "&amp;INDEX(Mapping!$B$29:$B$38,MATCH($B874,Mapping!$A$29:$A$38,0)))</f>
        <v/>
      </c>
      <c r="I874" s="5">
        <f>INDEX(Variables!$C$5:$C$65,MATCH($A874,Variables!$A$5:$A$65,0))</f>
        <v/>
      </c>
      <c r="J874" s="5">
        <f>INDEX(Variables!$E$5:$E$65,MATCH($A874,Variables!$A$5:$A$65,0))</f>
        <v/>
      </c>
      <c r="K874" s="23">
        <f>LOWER(Settings!$C$4)&amp;".mit."&amp;$A874&amp;IF($C874="","","."&amp;$C874&amp;"."&amp;$B874)&amp;IF(INDEX(Variables!$D$5:$D$65,MATCH($A874,Variables!$A$5:$A$65,0))="","","."&amp;INDEX(Variables!$D$5:$D$65,MATCH($A874,Variables!$A$5:$A$65,0)))&amp;"."&amp;K$5</f>
        <v/>
      </c>
      <c r="L874" s="38">
        <f>INDEX(L$124:L$127,$D874)*$E874*INDEX(L$128:L$144,$F874)</f>
        <v/>
      </c>
      <c r="M874" s="36">
        <f>INDEX(M$124:M$127,$D874)*$E874*INDEX(M$128:M$144,$F874)</f>
        <v/>
      </c>
      <c r="N874" s="36">
        <f>INDEX(N$124:N$127,$D874)*$E874*INDEX(N$128:N$144,$F874)</f>
        <v/>
      </c>
      <c r="O874" s="36">
        <f>INDEX(O$124:O$127,$D874)*$E874*INDEX(O$128:O$144,$F874)</f>
        <v/>
      </c>
      <c r="P874" s="36">
        <f>INDEX(P$124:P$127,$D874)*$E874*INDEX(P$128:P$144,$F874)</f>
        <v/>
      </c>
      <c r="Q874" s="36">
        <f>INDEX(Q$124:Q$127,$D874)*$E874*INDEX(Q$128:Q$144,$F874)</f>
        <v/>
      </c>
      <c r="R874" s="36">
        <f>INDEX(R$124:R$127,$D874)*$E874*INDEX(R$128:R$144,$F874)</f>
        <v/>
      </c>
      <c r="S874" s="36">
        <f>INDEX(S$124:S$127,$D874)*$E874*INDEX(S$128:S$144,$F874)</f>
        <v/>
      </c>
      <c r="T874" s="36">
        <f>INDEX(T$124:T$127,$D874)*$E874*INDEX(T$128:T$144,$F874)</f>
        <v/>
      </c>
      <c r="U874" s="36">
        <f>INDEX(U$124:U$127,$D874)*$E874*INDEX(U$128:U$144,$F874)</f>
        <v/>
      </c>
      <c r="V874" s="36">
        <f>INDEX(V$124:V$127,$D874)*$E874*INDEX(V$128:V$144,$F874)</f>
        <v/>
      </c>
      <c r="W874" s="36">
        <f>INDEX(W$124:W$127,$D874)*$E874*INDEX(W$128:W$144,$F874)</f>
        <v/>
      </c>
      <c r="X874" s="36">
        <f>INDEX(X$124:X$127,$D874)*$E874*INDEX(X$128:X$144,$F874)</f>
        <v/>
      </c>
      <c r="Y874" s="36">
        <f>INDEX(Y$124:Y$127,$D874)*$E874*INDEX(Y$128:Y$144,$F874)</f>
        <v/>
      </c>
      <c r="Z874" s="23">
        <f>LOWER(Settings!$C$4)&amp;".mit."&amp;$A874&amp;IF($C874="","","."&amp;$C874&amp;"."&amp;$B874)&amp;IF(INDEX(Variables!$D$5:$D$65,MATCH($A874,Variables!$A$5:$A$65,0))="","","."&amp;INDEX(Variables!$D$5:$D$65,MATCH($A874,Variables!$A$5:$A$65,0)))&amp;"."&amp;Z$5</f>
        <v/>
      </c>
      <c r="AA874" s="38">
        <f>INDEX(AA$124:AA$127,$D874)*$E874*INDEX(AA$128:AA$144,$F874)</f>
        <v/>
      </c>
      <c r="AB874" s="36">
        <f>INDEX(AB$124:AB$127,$D874)*$E874*INDEX(AB$128:AB$144,$F874)</f>
        <v/>
      </c>
      <c r="AC874" s="36">
        <f>INDEX(AC$124:AC$127,$D874)*$E874*INDEX(AC$128:AC$144,$F874)</f>
        <v/>
      </c>
      <c r="AD874" s="36">
        <f>INDEX(AD$124:AD$127,$D874)*$E874*INDEX(AD$128:AD$144,$F874)</f>
        <v/>
      </c>
      <c r="AE874" s="36">
        <f>INDEX(AE$124:AE$127,$D874)*$E874*INDEX(AE$128:AE$144,$F874)</f>
        <v/>
      </c>
      <c r="AF874" s="36">
        <f>INDEX(AF$124:AF$127,$D874)*$E874*INDEX(AF$128:AF$144,$F874)</f>
        <v/>
      </c>
      <c r="AG874" s="36">
        <f>INDEX(AG$124:AG$127,$D874)*$E874*INDEX(AG$128:AG$144,$F874)</f>
        <v/>
      </c>
      <c r="AH874" s="36">
        <f>INDEX(AH$124:AH$127,$D874)*$E874*INDEX(AH$128:AH$144,$F874)</f>
        <v/>
      </c>
      <c r="AI874" s="36">
        <f>INDEX(AI$124:AI$127,$D874)*$E874*INDEX(AI$128:AI$144,$F874)</f>
        <v/>
      </c>
      <c r="AJ874" s="36">
        <f>INDEX(AJ$124:AJ$127,$D874)*$E874*INDEX(AJ$128:AJ$144,$F874)</f>
        <v/>
      </c>
      <c r="AK874" s="36">
        <f>INDEX(AK$124:AK$127,$D874)*$E874*INDEX(AK$128:AK$144,$F874)</f>
        <v/>
      </c>
      <c r="AL874" s="36">
        <f>INDEX(AL$124:AL$127,$D874)*$E874*INDEX(AL$128:AL$144,$F874)</f>
        <v/>
      </c>
      <c r="AM874" s="36">
        <f>INDEX(AM$124:AM$127,$D874)*$E874*INDEX(AM$128:AM$144,$F874)</f>
        <v/>
      </c>
      <c r="AN874" s="36">
        <f>INDEX(AN$124:AN$127,$D874)*$E874*INDEX(AN$128:AN$144,$F874)</f>
        <v/>
      </c>
    </row>
    <row r="875" hidden="1" outlineLevel="2">
      <c r="A875" s="5" t="inlineStr">
        <is>
          <t>shp</t>
        </is>
      </c>
      <c r="B875" s="5" t="inlineStr">
        <is>
          <t>oop</t>
        </is>
      </c>
      <c r="C875" s="5" t="inlineStr">
        <is>
          <t>nfm</t>
        </is>
      </c>
      <c r="D875" s="36">
        <f>INDEX(Inputs!$M$5:$M$132,MATCH($B875&amp;"|"&amp;$C875,Inputs!$A$5:$A$132,0))</f>
        <v/>
      </c>
      <c r="E875" s="36">
        <f>INDEX(Inputs!$U$5:$U$132,MATCH($B875&amp;"|"&amp;$C875,Inputs!$A$5:$A$132,0))</f>
        <v/>
      </c>
      <c r="F875" s="36">
        <f>INDEX(Inputs!$K$5:$K$132,MATCH($B875&amp;"|"&amp;$C875,Inputs!$A$5:$A$132,0))</f>
        <v/>
      </c>
      <c r="G875" s="37" t="n"/>
      <c r="H875" s="5">
        <f>INDEX(Variables!$B$5:$B$65,MATCH($A875,Variables!$A$5:$A$65,0))&amp;IF($C875="",""," | "&amp;INDEX(Mapping!$B$5:$B$25,MATCH($C875,Mapping!$A$5:$A$25,0))&amp;" | "&amp;INDEX(Mapping!$B$29:$B$38,MATCH($B875,Mapping!$A$29:$A$38,0)))</f>
        <v/>
      </c>
      <c r="I875" s="5">
        <f>INDEX(Variables!$C$5:$C$65,MATCH($A875,Variables!$A$5:$A$65,0))</f>
        <v/>
      </c>
      <c r="J875" s="5">
        <f>INDEX(Variables!$E$5:$E$65,MATCH($A875,Variables!$A$5:$A$65,0))</f>
        <v/>
      </c>
      <c r="K875" s="23">
        <f>LOWER(Settings!$C$4)&amp;".mit."&amp;$A875&amp;IF($C875="","","."&amp;$C875&amp;"."&amp;$B875)&amp;IF(INDEX(Variables!$D$5:$D$65,MATCH($A875,Variables!$A$5:$A$65,0))="","","."&amp;INDEX(Variables!$D$5:$D$65,MATCH($A875,Variables!$A$5:$A$65,0)))&amp;"."&amp;K$5</f>
        <v/>
      </c>
      <c r="L875" s="38">
        <f>INDEX(L$124:L$127,$D875)*$E875*INDEX(L$128:L$144,$F875)</f>
        <v/>
      </c>
      <c r="M875" s="36">
        <f>INDEX(M$124:M$127,$D875)*$E875*INDEX(M$128:M$144,$F875)</f>
        <v/>
      </c>
      <c r="N875" s="36">
        <f>INDEX(N$124:N$127,$D875)*$E875*INDEX(N$128:N$144,$F875)</f>
        <v/>
      </c>
      <c r="O875" s="36">
        <f>INDEX(O$124:O$127,$D875)*$E875*INDEX(O$128:O$144,$F875)</f>
        <v/>
      </c>
      <c r="P875" s="36">
        <f>INDEX(P$124:P$127,$D875)*$E875*INDEX(P$128:P$144,$F875)</f>
        <v/>
      </c>
      <c r="Q875" s="36">
        <f>INDEX(Q$124:Q$127,$D875)*$E875*INDEX(Q$128:Q$144,$F875)</f>
        <v/>
      </c>
      <c r="R875" s="36">
        <f>INDEX(R$124:R$127,$D875)*$E875*INDEX(R$128:R$144,$F875)</f>
        <v/>
      </c>
      <c r="S875" s="36">
        <f>INDEX(S$124:S$127,$D875)*$E875*INDEX(S$128:S$144,$F875)</f>
        <v/>
      </c>
      <c r="T875" s="36">
        <f>INDEX(T$124:T$127,$D875)*$E875*INDEX(T$128:T$144,$F875)</f>
        <v/>
      </c>
      <c r="U875" s="36">
        <f>INDEX(U$124:U$127,$D875)*$E875*INDEX(U$128:U$144,$F875)</f>
        <v/>
      </c>
      <c r="V875" s="36">
        <f>INDEX(V$124:V$127,$D875)*$E875*INDEX(V$128:V$144,$F875)</f>
        <v/>
      </c>
      <c r="W875" s="36">
        <f>INDEX(W$124:W$127,$D875)*$E875*INDEX(W$128:W$144,$F875)</f>
        <v/>
      </c>
      <c r="X875" s="36">
        <f>INDEX(X$124:X$127,$D875)*$E875*INDEX(X$128:X$144,$F875)</f>
        <v/>
      </c>
      <c r="Y875" s="36">
        <f>INDEX(Y$124:Y$127,$D875)*$E875*INDEX(Y$128:Y$144,$F875)</f>
        <v/>
      </c>
      <c r="Z875" s="23">
        <f>LOWER(Settings!$C$4)&amp;".mit."&amp;$A875&amp;IF($C875="","","."&amp;$C875&amp;"."&amp;$B875)&amp;IF(INDEX(Variables!$D$5:$D$65,MATCH($A875,Variables!$A$5:$A$65,0))="","","."&amp;INDEX(Variables!$D$5:$D$65,MATCH($A875,Variables!$A$5:$A$65,0)))&amp;"."&amp;Z$5</f>
        <v/>
      </c>
      <c r="AA875" s="38">
        <f>INDEX(AA$124:AA$127,$D875)*$E875*INDEX(AA$128:AA$144,$F875)</f>
        <v/>
      </c>
      <c r="AB875" s="36">
        <f>INDEX(AB$124:AB$127,$D875)*$E875*INDEX(AB$128:AB$144,$F875)</f>
        <v/>
      </c>
      <c r="AC875" s="36">
        <f>INDEX(AC$124:AC$127,$D875)*$E875*INDEX(AC$128:AC$144,$F875)</f>
        <v/>
      </c>
      <c r="AD875" s="36">
        <f>INDEX(AD$124:AD$127,$D875)*$E875*INDEX(AD$128:AD$144,$F875)</f>
        <v/>
      </c>
      <c r="AE875" s="36">
        <f>INDEX(AE$124:AE$127,$D875)*$E875*INDEX(AE$128:AE$144,$F875)</f>
        <v/>
      </c>
      <c r="AF875" s="36">
        <f>INDEX(AF$124:AF$127,$D875)*$E875*INDEX(AF$128:AF$144,$F875)</f>
        <v/>
      </c>
      <c r="AG875" s="36">
        <f>INDEX(AG$124:AG$127,$D875)*$E875*INDEX(AG$128:AG$144,$F875)</f>
        <v/>
      </c>
      <c r="AH875" s="36">
        <f>INDEX(AH$124:AH$127,$D875)*$E875*INDEX(AH$128:AH$144,$F875)</f>
        <v/>
      </c>
      <c r="AI875" s="36">
        <f>INDEX(AI$124:AI$127,$D875)*$E875*INDEX(AI$128:AI$144,$F875)</f>
        <v/>
      </c>
      <c r="AJ875" s="36">
        <f>INDEX(AJ$124:AJ$127,$D875)*$E875*INDEX(AJ$128:AJ$144,$F875)</f>
        <v/>
      </c>
      <c r="AK875" s="36">
        <f>INDEX(AK$124:AK$127,$D875)*$E875*INDEX(AK$128:AK$144,$F875)</f>
        <v/>
      </c>
      <c r="AL875" s="36">
        <f>INDEX(AL$124:AL$127,$D875)*$E875*INDEX(AL$128:AL$144,$F875)</f>
        <v/>
      </c>
      <c r="AM875" s="36">
        <f>INDEX(AM$124:AM$127,$D875)*$E875*INDEX(AM$128:AM$144,$F875)</f>
        <v/>
      </c>
      <c r="AN875" s="36">
        <f>INDEX(AN$124:AN$127,$D875)*$E875*INDEX(AN$128:AN$144,$F875)</f>
        <v/>
      </c>
    </row>
    <row r="876" hidden="1" outlineLevel="2">
      <c r="A876" s="5" t="inlineStr">
        <is>
          <t>shp</t>
        </is>
      </c>
      <c r="B876" s="5" t="inlineStr">
        <is>
          <t>bio</t>
        </is>
      </c>
      <c r="C876" s="5" t="inlineStr">
        <is>
          <t>nfm</t>
        </is>
      </c>
      <c r="D876" s="36">
        <f>INDEX(Inputs!$M$5:$M$132,MATCH($B876&amp;"|"&amp;$C876,Inputs!$A$5:$A$132,0))</f>
        <v/>
      </c>
      <c r="E876" s="36">
        <f>INDEX(Inputs!$U$5:$U$132,MATCH($B876&amp;"|"&amp;$C876,Inputs!$A$5:$A$132,0))</f>
        <v/>
      </c>
      <c r="F876" s="36">
        <f>INDEX(Inputs!$K$5:$K$132,MATCH($B876&amp;"|"&amp;$C876,Inputs!$A$5:$A$132,0))</f>
        <v/>
      </c>
      <c r="G876" s="37" t="n"/>
      <c r="H876" s="5">
        <f>INDEX(Variables!$B$5:$B$65,MATCH($A876,Variables!$A$5:$A$65,0))&amp;IF($C876="",""," | "&amp;INDEX(Mapping!$B$5:$B$25,MATCH($C876,Mapping!$A$5:$A$25,0))&amp;" | "&amp;INDEX(Mapping!$B$29:$B$38,MATCH($B876,Mapping!$A$29:$A$38,0)))</f>
        <v/>
      </c>
      <c r="I876" s="5">
        <f>INDEX(Variables!$C$5:$C$65,MATCH($A876,Variables!$A$5:$A$65,0))</f>
        <v/>
      </c>
      <c r="J876" s="5">
        <f>INDEX(Variables!$E$5:$E$65,MATCH($A876,Variables!$A$5:$A$65,0))</f>
        <v/>
      </c>
      <c r="K876" s="23">
        <f>LOWER(Settings!$C$4)&amp;".mit."&amp;$A876&amp;IF($C876="","","."&amp;$C876&amp;"."&amp;$B876)&amp;IF(INDEX(Variables!$D$5:$D$65,MATCH($A876,Variables!$A$5:$A$65,0))="","","."&amp;INDEX(Variables!$D$5:$D$65,MATCH($A876,Variables!$A$5:$A$65,0)))&amp;"."&amp;K$5</f>
        <v/>
      </c>
      <c r="L876" s="38">
        <f>INDEX(L$124:L$127,$D876)*$E876*INDEX(L$128:L$144,$F876)</f>
        <v/>
      </c>
      <c r="M876" s="36">
        <f>INDEX(M$124:M$127,$D876)*$E876*INDEX(M$128:M$144,$F876)</f>
        <v/>
      </c>
      <c r="N876" s="36">
        <f>INDEX(N$124:N$127,$D876)*$E876*INDEX(N$128:N$144,$F876)</f>
        <v/>
      </c>
      <c r="O876" s="36">
        <f>INDEX(O$124:O$127,$D876)*$E876*INDEX(O$128:O$144,$F876)</f>
        <v/>
      </c>
      <c r="P876" s="36">
        <f>INDEX(P$124:P$127,$D876)*$E876*INDEX(P$128:P$144,$F876)</f>
        <v/>
      </c>
      <c r="Q876" s="36">
        <f>INDEX(Q$124:Q$127,$D876)*$E876*INDEX(Q$128:Q$144,$F876)</f>
        <v/>
      </c>
      <c r="R876" s="36">
        <f>INDEX(R$124:R$127,$D876)*$E876*INDEX(R$128:R$144,$F876)</f>
        <v/>
      </c>
      <c r="S876" s="36">
        <f>INDEX(S$124:S$127,$D876)*$E876*INDEX(S$128:S$144,$F876)</f>
        <v/>
      </c>
      <c r="T876" s="36">
        <f>INDEX(T$124:T$127,$D876)*$E876*INDEX(T$128:T$144,$F876)</f>
        <v/>
      </c>
      <c r="U876" s="36">
        <f>INDEX(U$124:U$127,$D876)*$E876*INDEX(U$128:U$144,$F876)</f>
        <v/>
      </c>
      <c r="V876" s="36">
        <f>INDEX(V$124:V$127,$D876)*$E876*INDEX(V$128:V$144,$F876)</f>
        <v/>
      </c>
      <c r="W876" s="36">
        <f>INDEX(W$124:W$127,$D876)*$E876*INDEX(W$128:W$144,$F876)</f>
        <v/>
      </c>
      <c r="X876" s="36">
        <f>INDEX(X$124:X$127,$D876)*$E876*INDEX(X$128:X$144,$F876)</f>
        <v/>
      </c>
      <c r="Y876" s="36">
        <f>INDEX(Y$124:Y$127,$D876)*$E876*INDEX(Y$128:Y$144,$F876)</f>
        <v/>
      </c>
      <c r="Z876" s="23">
        <f>LOWER(Settings!$C$4)&amp;".mit."&amp;$A876&amp;IF($C876="","","."&amp;$C876&amp;"."&amp;$B876)&amp;IF(INDEX(Variables!$D$5:$D$65,MATCH($A876,Variables!$A$5:$A$65,0))="","","."&amp;INDEX(Variables!$D$5:$D$65,MATCH($A876,Variables!$A$5:$A$65,0)))&amp;"."&amp;Z$5</f>
        <v/>
      </c>
      <c r="AA876" s="38">
        <f>INDEX(AA$124:AA$127,$D876)*$E876*INDEX(AA$128:AA$144,$F876)</f>
        <v/>
      </c>
      <c r="AB876" s="36">
        <f>INDEX(AB$124:AB$127,$D876)*$E876*INDEX(AB$128:AB$144,$F876)</f>
        <v/>
      </c>
      <c r="AC876" s="36">
        <f>INDEX(AC$124:AC$127,$D876)*$E876*INDEX(AC$128:AC$144,$F876)</f>
        <v/>
      </c>
      <c r="AD876" s="36">
        <f>INDEX(AD$124:AD$127,$D876)*$E876*INDEX(AD$128:AD$144,$F876)</f>
        <v/>
      </c>
      <c r="AE876" s="36">
        <f>INDEX(AE$124:AE$127,$D876)*$E876*INDEX(AE$128:AE$144,$F876)</f>
        <v/>
      </c>
      <c r="AF876" s="36">
        <f>INDEX(AF$124:AF$127,$D876)*$E876*INDEX(AF$128:AF$144,$F876)</f>
        <v/>
      </c>
      <c r="AG876" s="36">
        <f>INDEX(AG$124:AG$127,$D876)*$E876*INDEX(AG$128:AG$144,$F876)</f>
        <v/>
      </c>
      <c r="AH876" s="36">
        <f>INDEX(AH$124:AH$127,$D876)*$E876*INDEX(AH$128:AH$144,$F876)</f>
        <v/>
      </c>
      <c r="AI876" s="36">
        <f>INDEX(AI$124:AI$127,$D876)*$E876*INDEX(AI$128:AI$144,$F876)</f>
        <v/>
      </c>
      <c r="AJ876" s="36">
        <f>INDEX(AJ$124:AJ$127,$D876)*$E876*INDEX(AJ$128:AJ$144,$F876)</f>
        <v/>
      </c>
      <c r="AK876" s="36">
        <f>INDEX(AK$124:AK$127,$D876)*$E876*INDEX(AK$128:AK$144,$F876)</f>
        <v/>
      </c>
      <c r="AL876" s="36">
        <f>INDEX(AL$124:AL$127,$D876)*$E876*INDEX(AL$128:AL$144,$F876)</f>
        <v/>
      </c>
      <c r="AM876" s="36">
        <f>INDEX(AM$124:AM$127,$D876)*$E876*INDEX(AM$128:AM$144,$F876)</f>
        <v/>
      </c>
      <c r="AN876" s="36">
        <f>INDEX(AN$124:AN$127,$D876)*$E876*INDEX(AN$128:AN$144,$F876)</f>
        <v/>
      </c>
    </row>
    <row r="877" hidden="1" outlineLevel="2"/>
    <row r="878" hidden="1" outlineLevel="2">
      <c r="A878" s="5" t="inlineStr">
        <is>
          <t>ener</t>
        </is>
      </c>
      <c r="B878" s="5" t="inlineStr">
        <is>
          <t>coa</t>
        </is>
      </c>
      <c r="C878" s="5" t="inlineStr">
        <is>
          <t>nfm</t>
        </is>
      </c>
      <c r="D878" s="36">
        <f>INDEX(Inputs!$N$5:$N$132,MATCH($B878&amp;"|"&amp;$C878,Inputs!$A$5:$A$132,0))</f>
        <v/>
      </c>
      <c r="E878" s="36">
        <f>INDEX(Inputs!$O$5:$O$132,MATCH($B878&amp;"|"&amp;$C878,Inputs!$A$5:$A$132,0))</f>
        <v/>
      </c>
      <c r="F878" s="36">
        <f>INDEX(Inputs!$P$5:$P$132,MATCH($B878&amp;"|"&amp;$C878,Inputs!$A$5:$A$132,0))</f>
        <v/>
      </c>
      <c r="G878" s="36">
        <f>INDEX(Inputs!$Q$5:$Q$132,MATCH($B878&amp;"|"&amp;$C878,Inputs!$A$5:$A$132,0))</f>
        <v/>
      </c>
      <c r="H878" s="5">
        <f>INDEX(Variables!$B$5:$B$65,MATCH($A878,Variables!$A$5:$A$65,0))&amp;IF($C878="",""," | "&amp;INDEX(Mapping!$B$5:$B$25,MATCH($C878,Mapping!$A$5:$A$25,0))&amp;" | "&amp;INDEX(Mapping!$B$29:$B$38,MATCH($B878,Mapping!$A$29:$A$38,0)))</f>
        <v/>
      </c>
      <c r="I878" s="5">
        <f>INDEX(Variables!$C$5:$C$65,MATCH($A878,Variables!$A$5:$A$65,0))</f>
        <v/>
      </c>
      <c r="J878" s="5">
        <f>INDEX(Variables!$E$5:$E$65,MATCH($A878,Variables!$A$5:$A$65,0))</f>
        <v/>
      </c>
      <c r="K878" s="23">
        <f>LOWER(Settings!$C$4)&amp;".mit."&amp;$A878&amp;IF($C878="","","."&amp;$C878&amp;"."&amp;$B878)&amp;IF(INDEX(Variables!$D$5:$D$65,MATCH($A878,Variables!$A$5:$A$65,0))="","","."&amp;INDEX(Variables!$D$5:$D$65,MATCH($A878,Variables!$A$5:$A$65,0)))&amp;"."&amp;K$5</f>
        <v/>
      </c>
      <c r="L878" s="40">
        <f>INDEX(Inputs!$V$5:$V$132,MATCH($B878&amp;"|"&amp;$C878,Inputs!$A$5:$A$132,0))</f>
        <v/>
      </c>
      <c r="M878" s="41">
        <f>L878*(1/(1+$G878))^(1+$E878)*(1+M$7)^$D878*(M860/L860)^$E878*((M860+M869)/(L860+L869))^($F878*(1+$E878))</f>
        <v/>
      </c>
      <c r="N878" s="41">
        <f>M878*(1/(1+$G878))^(1+$E878)*(1+N$7)^$D878*(N860/M860)^$E878*((N860+N869)/(M860+M869))^($F878*(1+$E878))</f>
        <v/>
      </c>
      <c r="O878" s="41">
        <f>N878*(1/(1+$G878))^(1+$E878)*(1+O$7)^$D878*(O860/N860)^$E878*((O860+O869)/(N860+N869))^($F878*(1+$E878))</f>
        <v/>
      </c>
      <c r="P878" s="41">
        <f>O878*(1/(1+$G878))^(1+$E878)*(1+P$7)^$D878*(P860/O860)^$E878*((P860+P869)/(O860+O869))^($F878*(1+$E878))</f>
        <v/>
      </c>
      <c r="Q878" s="41">
        <f>P878*(1/(1+$G878))^(1+$E878)*(1+Q$7)^$D878*(Q860/P860)^$E878*((Q860+Q869)/(P860+P869))^($F878*(1+$E878))</f>
        <v/>
      </c>
      <c r="R878" s="41">
        <f>Q878*(1/(1+$G878))^(1+$E878)*(1+R$7)^$D878*(R860/Q860)^$E878*((R860+R869)/(Q860+Q869))^($F878*(1+$E878))</f>
        <v/>
      </c>
      <c r="S878" s="41">
        <f>R878*(1/(1+$G878))^(1+$E878)*(1+S$7)^$D878*(S860/R860)^$E878*((S860+S869)/(R860+R869))^($F878*(1+$E878))</f>
        <v/>
      </c>
      <c r="T878" s="41">
        <f>S878*(1/(1+$G878))^(1+$E878)*(1+T$7)^$D878*(T860/S860)^$E878*((T860+T869)/(S860+S869))^($F878*(1+$E878))</f>
        <v/>
      </c>
      <c r="U878" s="41">
        <f>T878*(1/(1+$G878))^(1+$E878)*(1+U$7)^$D878*(U860/T860)^$E878*((U860+U869)/(T860+T869))^($F878*(1+$E878))</f>
        <v/>
      </c>
      <c r="V878" s="41">
        <f>U878*(1/(1+$G878))^(1+$E878)*(1+V$7)^$D878*(V860/U860)^$E878*((V860+V869)/(U860+U869))^($F878*(1+$E878))</f>
        <v/>
      </c>
      <c r="W878" s="41">
        <f>V878*(1/(1+$G878))^(1+$E878)*(1+W$7)^$D878*(W860/V860)^$E878*((W860+W869)/(V860+V869))^($F878*(1+$E878))</f>
        <v/>
      </c>
      <c r="X878" s="41">
        <f>W878*(1/(1+$G878))^(1+$E878)*(1+X$7)^$D878*(X860/W860)^$E878*((X860+X869)/(W860+W869))^($F878*(1+$E878))</f>
        <v/>
      </c>
      <c r="Y878" s="42">
        <f>FUELUSE(X878,Y860,X860,Y869,X869,Y$7,$D878,$E878,$F878,$G878)</f>
        <v/>
      </c>
      <c r="Z878" s="23">
        <f>LOWER(Settings!$C$4)&amp;".mit."&amp;$A878&amp;IF($C878="","","."&amp;$C878&amp;"."&amp;$B878)&amp;IF(INDEX(Variables!$D$5:$D$65,MATCH($A878,Variables!$A$5:$A$65,0))="","","."&amp;INDEX(Variables!$D$5:$D$65,MATCH($A878,Variables!$A$5:$A$65,0)))&amp;"."&amp;Z$5</f>
        <v/>
      </c>
      <c r="AA878" s="40">
        <f>INDEX(Inputs!$V$5:$V$132,MATCH($B878&amp;"|"&amp;$C878,Inputs!$A$5:$A$132,0))</f>
        <v/>
      </c>
      <c r="AB878" s="41">
        <f>AA878*(1/(1+$G878))^(1+$E878)*(1+AB$7)^$D878*(AB860/AA860)^$E878*((AB860+AB869)/(AA860+AA869))^($F878*(1+$E878))</f>
        <v/>
      </c>
      <c r="AC878" s="41">
        <f>AB878*(1/(1+$G878))^(1+$E878)*(1+AC$7)^$D878*(AC860/AB860)^$E878*((AC860+AC869)/(AB860+AB869))^($F878*(1+$E878))</f>
        <v/>
      </c>
      <c r="AD878" s="41">
        <f>AC878*(1/(1+$G878))^(1+$E878)*(1+AD$7)^$D878*(AD860/AC860)^$E878*((AD860+AD869)/(AC860+AC869))^($F878*(1+$E878))</f>
        <v/>
      </c>
      <c r="AE878" s="41">
        <f>AD878*(1/(1+$G878))^(1+$E878)*(1+AE$7)^$D878*(AE860/AD860)^$E878*((AE860+AE869)/(AD860+AD869))^($F878*(1+$E878))</f>
        <v/>
      </c>
      <c r="AF878" s="41">
        <f>AE878*(1/(1+$G878))^(1+$E878)*(1+AF$7)^$D878*(AF860/AE860)^$E878*((AF860+AF869)/(AE860+AE869))^($F878*(1+$E878))</f>
        <v/>
      </c>
      <c r="AG878" s="41">
        <f>AF878*(1/(1+$G878))^(1+$E878)*(1+AG$7)^$D878*(AG860/AF860)^$E878*((AG860+AG869)/(AF860+AF869))^($F878*(1+$E878))</f>
        <v/>
      </c>
      <c r="AH878" s="41">
        <f>AG878*(1/(1+$G878))^(1+$E878)*(1+AH$7)^$D878*(AH860/AG860)^$E878*((AH860+AH869)/(AG860+AG869))^($F878*(1+$E878))</f>
        <v/>
      </c>
      <c r="AI878" s="41">
        <f>AH878*(1/(1+$G878))^(1+$E878)*(1+AI$7)^$D878*(AI860/AH860)^$E878*((AI860+AI869)/(AH860+AH869))^($F878*(1+$E878))</f>
        <v/>
      </c>
      <c r="AJ878" s="41">
        <f>AI878*(1/(1+$G878))^(1+$E878)*(1+AJ$7)^$D878*(AJ860/AI860)^$E878*((AJ860+AJ869)/(AI860+AI869))^($F878*(1+$E878))</f>
        <v/>
      </c>
      <c r="AK878" s="41">
        <f>AJ878*(1/(1+$G878))^(1+$E878)*(1+AK$7)^$D878*(AK860/AJ860)^$E878*((AK860+AK869)/(AJ860+AJ869))^($F878*(1+$E878))</f>
        <v/>
      </c>
      <c r="AL878" s="41">
        <f>AK878*(1/(1+$G878))^(1+$E878)*(1+AL$7)^$D878*(AL860/AK860)^$E878*((AL860+AL869)/(AK860+AK869))^($F878*(1+$E878))</f>
        <v/>
      </c>
      <c r="AM878" s="41">
        <f>AL878*(1/(1+$G878))^(1+$E878)*(1+AM$7)^$D878*(AM860/AL860)^$E878*((AM860+AM869)/(AL860+AL869))^($F878*(1+$E878))</f>
        <v/>
      </c>
      <c r="AN878" s="42">
        <f>FUELUSE(AM878,AN860,AM860,AN869,AM869,AN$7,$D878,$E878,$F878,$G878)</f>
        <v/>
      </c>
    </row>
    <row r="879" hidden="1" outlineLevel="2">
      <c r="A879" s="5" t="inlineStr">
        <is>
          <t>ener</t>
        </is>
      </c>
      <c r="B879" s="5" t="inlineStr">
        <is>
          <t>nga</t>
        </is>
      </c>
      <c r="C879" s="5" t="inlineStr">
        <is>
          <t>nfm</t>
        </is>
      </c>
      <c r="D879" s="36">
        <f>INDEX(Inputs!$N$5:$N$132,MATCH($B879&amp;"|"&amp;$C879,Inputs!$A$5:$A$132,0))</f>
        <v/>
      </c>
      <c r="E879" s="36">
        <f>INDEX(Inputs!$O$5:$O$132,MATCH($B879&amp;"|"&amp;$C879,Inputs!$A$5:$A$132,0))</f>
        <v/>
      </c>
      <c r="F879" s="36">
        <f>INDEX(Inputs!$P$5:$P$132,MATCH($B879&amp;"|"&amp;$C879,Inputs!$A$5:$A$132,0))</f>
        <v/>
      </c>
      <c r="G879" s="36">
        <f>INDEX(Inputs!$Q$5:$Q$132,MATCH($B879&amp;"|"&amp;$C879,Inputs!$A$5:$A$132,0))</f>
        <v/>
      </c>
      <c r="H879" s="5">
        <f>INDEX(Variables!$B$5:$B$65,MATCH($A879,Variables!$A$5:$A$65,0))&amp;IF($C879="",""," | "&amp;INDEX(Mapping!$B$5:$B$25,MATCH($C879,Mapping!$A$5:$A$25,0))&amp;" | "&amp;INDEX(Mapping!$B$29:$B$38,MATCH($B879,Mapping!$A$29:$A$38,0)))</f>
        <v/>
      </c>
      <c r="I879" s="5">
        <f>INDEX(Variables!$C$5:$C$65,MATCH($A879,Variables!$A$5:$A$65,0))</f>
        <v/>
      </c>
      <c r="J879" s="5">
        <f>INDEX(Variables!$E$5:$E$65,MATCH($A879,Variables!$A$5:$A$65,0))</f>
        <v/>
      </c>
      <c r="K879" s="23">
        <f>LOWER(Settings!$C$4)&amp;".mit."&amp;$A879&amp;IF($C879="","","."&amp;$C879&amp;"."&amp;$B879)&amp;IF(INDEX(Variables!$D$5:$D$65,MATCH($A879,Variables!$A$5:$A$65,0))="","","."&amp;INDEX(Variables!$D$5:$D$65,MATCH($A879,Variables!$A$5:$A$65,0)))&amp;"."&amp;K$5</f>
        <v/>
      </c>
      <c r="L879" s="40">
        <f>INDEX(Inputs!$V$5:$V$132,MATCH($B879&amp;"|"&amp;$C879,Inputs!$A$5:$A$132,0))</f>
        <v/>
      </c>
      <c r="M879" s="41">
        <f>L879*(1/(1+$G879))^(1+$E879)*(1+M$7)^$D879*(M861/L861)^$E879*((M861+M870)/(L861+L870))^($F879*(1+$E879))</f>
        <v/>
      </c>
      <c r="N879" s="41">
        <f>M879*(1/(1+$G879))^(1+$E879)*(1+N$7)^$D879*(N861/M861)^$E879*((N861+N870)/(M861+M870))^($F879*(1+$E879))</f>
        <v/>
      </c>
      <c r="O879" s="41">
        <f>N879*(1/(1+$G879))^(1+$E879)*(1+O$7)^$D879*(O861/N861)^$E879*((O861+O870)/(N861+N870))^($F879*(1+$E879))</f>
        <v/>
      </c>
      <c r="P879" s="41">
        <f>O879*(1/(1+$G879))^(1+$E879)*(1+P$7)^$D879*(P861/O861)^$E879*((P861+P870)/(O861+O870))^($F879*(1+$E879))</f>
        <v/>
      </c>
      <c r="Q879" s="41">
        <f>P879*(1/(1+$G879))^(1+$E879)*(1+Q$7)^$D879*(Q861/P861)^$E879*((Q861+Q870)/(P861+P870))^($F879*(1+$E879))</f>
        <v/>
      </c>
      <c r="R879" s="41">
        <f>Q879*(1/(1+$G879))^(1+$E879)*(1+R$7)^$D879*(R861/Q861)^$E879*((R861+R870)/(Q861+Q870))^($F879*(1+$E879))</f>
        <v/>
      </c>
      <c r="S879" s="41">
        <f>R879*(1/(1+$G879))^(1+$E879)*(1+S$7)^$D879*(S861/R861)^$E879*((S861+S870)/(R861+R870))^($F879*(1+$E879))</f>
        <v/>
      </c>
      <c r="T879" s="41">
        <f>S879*(1/(1+$G879))^(1+$E879)*(1+T$7)^$D879*(T861/S861)^$E879*((T861+T870)/(S861+S870))^($F879*(1+$E879))</f>
        <v/>
      </c>
      <c r="U879" s="41">
        <f>T879*(1/(1+$G879))^(1+$E879)*(1+U$7)^$D879*(U861/T861)^$E879*((U861+U870)/(T861+T870))^($F879*(1+$E879))</f>
        <v/>
      </c>
      <c r="V879" s="41">
        <f>U879*(1/(1+$G879))^(1+$E879)*(1+V$7)^$D879*(V861/U861)^$E879*((V861+V870)/(U861+U870))^($F879*(1+$E879))</f>
        <v/>
      </c>
      <c r="W879" s="41">
        <f>V879*(1/(1+$G879))^(1+$E879)*(1+W$7)^$D879*(W861/V861)^$E879*((W861+W870)/(V861+V870))^($F879*(1+$E879))</f>
        <v/>
      </c>
      <c r="X879" s="41">
        <f>W879*(1/(1+$G879))^(1+$E879)*(1+X$7)^$D879*(X861/W861)^$E879*((X861+X870)/(W861+W870))^($F879*(1+$E879))</f>
        <v/>
      </c>
      <c r="Y879" s="42">
        <f>FUELUSE(X879,Y861,X861,Y870,X870,Y$7,$D879,$E879,$F879,$G879)</f>
        <v/>
      </c>
      <c r="Z879" s="23">
        <f>LOWER(Settings!$C$4)&amp;".mit."&amp;$A879&amp;IF($C879="","","."&amp;$C879&amp;"."&amp;$B879)&amp;IF(INDEX(Variables!$D$5:$D$65,MATCH($A879,Variables!$A$5:$A$65,0))="","","."&amp;INDEX(Variables!$D$5:$D$65,MATCH($A879,Variables!$A$5:$A$65,0)))&amp;"."&amp;Z$5</f>
        <v/>
      </c>
      <c r="AA879" s="40">
        <f>INDEX(Inputs!$V$5:$V$132,MATCH($B879&amp;"|"&amp;$C879,Inputs!$A$5:$A$132,0))</f>
        <v/>
      </c>
      <c r="AB879" s="41">
        <f>AA879*(1/(1+$G879))^(1+$E879)*(1+AB$7)^$D879*(AB861/AA861)^$E879*((AB861+AB870)/(AA861+AA870))^($F879*(1+$E879))</f>
        <v/>
      </c>
      <c r="AC879" s="41">
        <f>AB879*(1/(1+$G879))^(1+$E879)*(1+AC$7)^$D879*(AC861/AB861)^$E879*((AC861+AC870)/(AB861+AB870))^($F879*(1+$E879))</f>
        <v/>
      </c>
      <c r="AD879" s="41">
        <f>AC879*(1/(1+$G879))^(1+$E879)*(1+AD$7)^$D879*(AD861/AC861)^$E879*((AD861+AD870)/(AC861+AC870))^($F879*(1+$E879))</f>
        <v/>
      </c>
      <c r="AE879" s="41">
        <f>AD879*(1/(1+$G879))^(1+$E879)*(1+AE$7)^$D879*(AE861/AD861)^$E879*((AE861+AE870)/(AD861+AD870))^($F879*(1+$E879))</f>
        <v/>
      </c>
      <c r="AF879" s="41">
        <f>AE879*(1/(1+$G879))^(1+$E879)*(1+AF$7)^$D879*(AF861/AE861)^$E879*((AF861+AF870)/(AE861+AE870))^($F879*(1+$E879))</f>
        <v/>
      </c>
      <c r="AG879" s="41">
        <f>AF879*(1/(1+$G879))^(1+$E879)*(1+AG$7)^$D879*(AG861/AF861)^$E879*((AG861+AG870)/(AF861+AF870))^($F879*(1+$E879))</f>
        <v/>
      </c>
      <c r="AH879" s="41">
        <f>AG879*(1/(1+$G879))^(1+$E879)*(1+AH$7)^$D879*(AH861/AG861)^$E879*((AH861+AH870)/(AG861+AG870))^($F879*(1+$E879))</f>
        <v/>
      </c>
      <c r="AI879" s="41">
        <f>AH879*(1/(1+$G879))^(1+$E879)*(1+AI$7)^$D879*(AI861/AH861)^$E879*((AI861+AI870)/(AH861+AH870))^($F879*(1+$E879))</f>
        <v/>
      </c>
      <c r="AJ879" s="41">
        <f>AI879*(1/(1+$G879))^(1+$E879)*(1+AJ$7)^$D879*(AJ861/AI861)^$E879*((AJ861+AJ870)/(AI861+AI870))^($F879*(1+$E879))</f>
        <v/>
      </c>
      <c r="AK879" s="41">
        <f>AJ879*(1/(1+$G879))^(1+$E879)*(1+AK$7)^$D879*(AK861/AJ861)^$E879*((AK861+AK870)/(AJ861+AJ870))^($F879*(1+$E879))</f>
        <v/>
      </c>
      <c r="AL879" s="41">
        <f>AK879*(1/(1+$G879))^(1+$E879)*(1+AL$7)^$D879*(AL861/AK861)^$E879*((AL861+AL870)/(AK861+AK870))^($F879*(1+$E879))</f>
        <v/>
      </c>
      <c r="AM879" s="41">
        <f>AL879*(1/(1+$G879))^(1+$E879)*(1+AM$7)^$D879*(AM861/AL861)^$E879*((AM861+AM870)/(AL861+AL870))^($F879*(1+$E879))</f>
        <v/>
      </c>
      <c r="AN879" s="42">
        <f>FUELUSE(AM879,AN861,AM861,AN870,AM870,AN$7,$D879,$E879,$F879,$G879)</f>
        <v/>
      </c>
    </row>
    <row r="880" hidden="1" outlineLevel="2">
      <c r="A880" s="5" t="inlineStr">
        <is>
          <t>ener</t>
        </is>
      </c>
      <c r="B880" s="5" t="inlineStr">
        <is>
          <t>gso</t>
        </is>
      </c>
      <c r="C880" s="5" t="inlineStr">
        <is>
          <t>nfm</t>
        </is>
      </c>
      <c r="D880" s="36">
        <f>INDEX(Inputs!$N$5:$N$132,MATCH($B880&amp;"|"&amp;$C880,Inputs!$A$5:$A$132,0))</f>
        <v/>
      </c>
      <c r="E880" s="36">
        <f>INDEX(Inputs!$O$5:$O$132,MATCH($B880&amp;"|"&amp;$C880,Inputs!$A$5:$A$132,0))</f>
        <v/>
      </c>
      <c r="F880" s="36">
        <f>INDEX(Inputs!$P$5:$P$132,MATCH($B880&amp;"|"&amp;$C880,Inputs!$A$5:$A$132,0))</f>
        <v/>
      </c>
      <c r="G880" s="36">
        <f>INDEX(Inputs!$Q$5:$Q$132,MATCH($B880&amp;"|"&amp;$C880,Inputs!$A$5:$A$132,0))</f>
        <v/>
      </c>
      <c r="H880" s="5">
        <f>INDEX(Variables!$B$5:$B$65,MATCH($A880,Variables!$A$5:$A$65,0))&amp;IF($C880="",""," | "&amp;INDEX(Mapping!$B$5:$B$25,MATCH($C880,Mapping!$A$5:$A$25,0))&amp;" | "&amp;INDEX(Mapping!$B$29:$B$38,MATCH($B880,Mapping!$A$29:$A$38,0)))</f>
        <v/>
      </c>
      <c r="I880" s="5">
        <f>INDEX(Variables!$C$5:$C$65,MATCH($A880,Variables!$A$5:$A$65,0))</f>
        <v/>
      </c>
      <c r="J880" s="5">
        <f>INDEX(Variables!$E$5:$E$65,MATCH($A880,Variables!$A$5:$A$65,0))</f>
        <v/>
      </c>
      <c r="K880" s="23">
        <f>LOWER(Settings!$C$4)&amp;".mit."&amp;$A880&amp;IF($C880="","","."&amp;$C880&amp;"."&amp;$B880)&amp;IF(INDEX(Variables!$D$5:$D$65,MATCH($A880,Variables!$A$5:$A$65,0))="","","."&amp;INDEX(Variables!$D$5:$D$65,MATCH($A880,Variables!$A$5:$A$65,0)))&amp;"."&amp;K$5</f>
        <v/>
      </c>
      <c r="L880" s="40">
        <f>INDEX(Inputs!$V$5:$V$132,MATCH($B880&amp;"|"&amp;$C880,Inputs!$A$5:$A$132,0))</f>
        <v/>
      </c>
      <c r="M880" s="41">
        <f>L880*(1/(1+$G880))^(1+$E880)*(1+M$7)^$D880*(M862/L862)^$E880*((M862+M871)/(L862+L871))^($F880*(1+$E880))</f>
        <v/>
      </c>
      <c r="N880" s="41">
        <f>M880*(1/(1+$G880))^(1+$E880)*(1+N$7)^$D880*(N862/M862)^$E880*((N862+N871)/(M862+M871))^($F880*(1+$E880))</f>
        <v/>
      </c>
      <c r="O880" s="41">
        <f>N880*(1/(1+$G880))^(1+$E880)*(1+O$7)^$D880*(O862/N862)^$E880*((O862+O871)/(N862+N871))^($F880*(1+$E880))</f>
        <v/>
      </c>
      <c r="P880" s="41">
        <f>O880*(1/(1+$G880))^(1+$E880)*(1+P$7)^$D880*(P862/O862)^$E880*((P862+P871)/(O862+O871))^($F880*(1+$E880))</f>
        <v/>
      </c>
      <c r="Q880" s="41">
        <f>P880*(1/(1+$G880))^(1+$E880)*(1+Q$7)^$D880*(Q862/P862)^$E880*((Q862+Q871)/(P862+P871))^($F880*(1+$E880))</f>
        <v/>
      </c>
      <c r="R880" s="41">
        <f>Q880*(1/(1+$G880))^(1+$E880)*(1+R$7)^$D880*(R862/Q862)^$E880*((R862+R871)/(Q862+Q871))^($F880*(1+$E880))</f>
        <v/>
      </c>
      <c r="S880" s="41">
        <f>R880*(1/(1+$G880))^(1+$E880)*(1+S$7)^$D880*(S862/R862)^$E880*((S862+S871)/(R862+R871))^($F880*(1+$E880))</f>
        <v/>
      </c>
      <c r="T880" s="41">
        <f>S880*(1/(1+$G880))^(1+$E880)*(1+T$7)^$D880*(T862/S862)^$E880*((T862+T871)/(S862+S871))^($F880*(1+$E880))</f>
        <v/>
      </c>
      <c r="U880" s="41">
        <f>T880*(1/(1+$G880))^(1+$E880)*(1+U$7)^$D880*(U862/T862)^$E880*((U862+U871)/(T862+T871))^($F880*(1+$E880))</f>
        <v/>
      </c>
      <c r="V880" s="41">
        <f>U880*(1/(1+$G880))^(1+$E880)*(1+V$7)^$D880*(V862/U862)^$E880*((V862+V871)/(U862+U871))^($F880*(1+$E880))</f>
        <v/>
      </c>
      <c r="W880" s="41">
        <f>V880*(1/(1+$G880))^(1+$E880)*(1+W$7)^$D880*(W862/V862)^$E880*((W862+W871)/(V862+V871))^($F880*(1+$E880))</f>
        <v/>
      </c>
      <c r="X880" s="41">
        <f>W880*(1/(1+$G880))^(1+$E880)*(1+X$7)^$D880*(X862/W862)^$E880*((X862+X871)/(W862+W871))^($F880*(1+$E880))</f>
        <v/>
      </c>
      <c r="Y880" s="42">
        <f>FUELUSE(X880,Y862,X862,Y871,X871,Y$7,$D880,$E880,$F880,$G880)</f>
        <v/>
      </c>
      <c r="Z880" s="23">
        <f>LOWER(Settings!$C$4)&amp;".mit."&amp;$A880&amp;IF($C880="","","."&amp;$C880&amp;"."&amp;$B880)&amp;IF(INDEX(Variables!$D$5:$D$65,MATCH($A880,Variables!$A$5:$A$65,0))="","","."&amp;INDEX(Variables!$D$5:$D$65,MATCH($A880,Variables!$A$5:$A$65,0)))&amp;"."&amp;Z$5</f>
        <v/>
      </c>
      <c r="AA880" s="40">
        <f>INDEX(Inputs!$V$5:$V$132,MATCH($B880&amp;"|"&amp;$C880,Inputs!$A$5:$A$132,0))</f>
        <v/>
      </c>
      <c r="AB880" s="41">
        <f>AA880*(1/(1+$G880))^(1+$E880)*(1+AB$7)^$D880*(AB862/AA862)^$E880*((AB862+AB871)/(AA862+AA871))^($F880*(1+$E880))</f>
        <v/>
      </c>
      <c r="AC880" s="41">
        <f>AB880*(1/(1+$G880))^(1+$E880)*(1+AC$7)^$D880*(AC862/AB862)^$E880*((AC862+AC871)/(AB862+AB871))^($F880*(1+$E880))</f>
        <v/>
      </c>
      <c r="AD880" s="41">
        <f>AC880*(1/(1+$G880))^(1+$E880)*(1+AD$7)^$D880*(AD862/AC862)^$E880*((AD862+AD871)/(AC862+AC871))^($F880*(1+$E880))</f>
        <v/>
      </c>
      <c r="AE880" s="41">
        <f>AD880*(1/(1+$G880))^(1+$E880)*(1+AE$7)^$D880*(AE862/AD862)^$E880*((AE862+AE871)/(AD862+AD871))^($F880*(1+$E880))</f>
        <v/>
      </c>
      <c r="AF880" s="41">
        <f>AE880*(1/(1+$G880))^(1+$E880)*(1+AF$7)^$D880*(AF862/AE862)^$E880*((AF862+AF871)/(AE862+AE871))^($F880*(1+$E880))</f>
        <v/>
      </c>
      <c r="AG880" s="41">
        <f>AF880*(1/(1+$G880))^(1+$E880)*(1+AG$7)^$D880*(AG862/AF862)^$E880*((AG862+AG871)/(AF862+AF871))^($F880*(1+$E880))</f>
        <v/>
      </c>
      <c r="AH880" s="41">
        <f>AG880*(1/(1+$G880))^(1+$E880)*(1+AH$7)^$D880*(AH862/AG862)^$E880*((AH862+AH871)/(AG862+AG871))^($F880*(1+$E880))</f>
        <v/>
      </c>
      <c r="AI880" s="41">
        <f>AH880*(1/(1+$G880))^(1+$E880)*(1+AI$7)^$D880*(AI862/AH862)^$E880*((AI862+AI871)/(AH862+AH871))^($F880*(1+$E880))</f>
        <v/>
      </c>
      <c r="AJ880" s="41">
        <f>AI880*(1/(1+$G880))^(1+$E880)*(1+AJ$7)^$D880*(AJ862/AI862)^$E880*((AJ862+AJ871)/(AI862+AI871))^($F880*(1+$E880))</f>
        <v/>
      </c>
      <c r="AK880" s="41">
        <f>AJ880*(1/(1+$G880))^(1+$E880)*(1+AK$7)^$D880*(AK862/AJ862)^$E880*((AK862+AK871)/(AJ862+AJ871))^($F880*(1+$E880))</f>
        <v/>
      </c>
      <c r="AL880" s="41">
        <f>AK880*(1/(1+$G880))^(1+$E880)*(1+AL$7)^$D880*(AL862/AK862)^$E880*((AL862+AL871)/(AK862+AK871))^($F880*(1+$E880))</f>
        <v/>
      </c>
      <c r="AM880" s="41">
        <f>AL880*(1/(1+$G880))^(1+$E880)*(1+AM$7)^$D880*(AM862/AL862)^$E880*((AM862+AM871)/(AL862+AL871))^($F880*(1+$E880))</f>
        <v/>
      </c>
      <c r="AN880" s="42">
        <f>FUELUSE(AM880,AN862,AM862,AN871,AM871,AN$7,$D880,$E880,$F880,$G880)</f>
        <v/>
      </c>
    </row>
    <row r="881" hidden="1" outlineLevel="2">
      <c r="A881" s="5" t="inlineStr">
        <is>
          <t>ener</t>
        </is>
      </c>
      <c r="B881" s="5" t="inlineStr">
        <is>
          <t>die</t>
        </is>
      </c>
      <c r="C881" s="5" t="inlineStr">
        <is>
          <t>nfm</t>
        </is>
      </c>
      <c r="D881" s="36">
        <f>INDEX(Inputs!$N$5:$N$132,MATCH($B881&amp;"|"&amp;$C881,Inputs!$A$5:$A$132,0))</f>
        <v/>
      </c>
      <c r="E881" s="36">
        <f>INDEX(Inputs!$O$5:$O$132,MATCH($B881&amp;"|"&amp;$C881,Inputs!$A$5:$A$132,0))</f>
        <v/>
      </c>
      <c r="F881" s="36">
        <f>INDEX(Inputs!$P$5:$P$132,MATCH($B881&amp;"|"&amp;$C881,Inputs!$A$5:$A$132,0))</f>
        <v/>
      </c>
      <c r="G881" s="36">
        <f>INDEX(Inputs!$Q$5:$Q$132,MATCH($B881&amp;"|"&amp;$C881,Inputs!$A$5:$A$132,0))</f>
        <v/>
      </c>
      <c r="H881" s="5">
        <f>INDEX(Variables!$B$5:$B$65,MATCH($A881,Variables!$A$5:$A$65,0))&amp;IF($C881="",""," | "&amp;INDEX(Mapping!$B$5:$B$25,MATCH($C881,Mapping!$A$5:$A$25,0))&amp;" | "&amp;INDEX(Mapping!$B$29:$B$38,MATCH($B881,Mapping!$A$29:$A$38,0)))</f>
        <v/>
      </c>
      <c r="I881" s="5">
        <f>INDEX(Variables!$C$5:$C$65,MATCH($A881,Variables!$A$5:$A$65,0))</f>
        <v/>
      </c>
      <c r="J881" s="5">
        <f>INDEX(Variables!$E$5:$E$65,MATCH($A881,Variables!$A$5:$A$65,0))</f>
        <v/>
      </c>
      <c r="K881" s="23">
        <f>LOWER(Settings!$C$4)&amp;".mit."&amp;$A881&amp;IF($C881="","","."&amp;$C881&amp;"."&amp;$B881)&amp;IF(INDEX(Variables!$D$5:$D$65,MATCH($A881,Variables!$A$5:$A$65,0))="","","."&amp;INDEX(Variables!$D$5:$D$65,MATCH($A881,Variables!$A$5:$A$65,0)))&amp;"."&amp;K$5</f>
        <v/>
      </c>
      <c r="L881" s="40">
        <f>INDEX(Inputs!$V$5:$V$132,MATCH($B881&amp;"|"&amp;$C881,Inputs!$A$5:$A$132,0))</f>
        <v/>
      </c>
      <c r="M881" s="41">
        <f>L881*(1/(1+$G881))^(1+$E881)*(1+M$7)^$D881*(M863/L863)^$E881*((M863+M872)/(L863+L872))^($F881*(1+$E881))</f>
        <v/>
      </c>
      <c r="N881" s="41">
        <f>M881*(1/(1+$G881))^(1+$E881)*(1+N$7)^$D881*(N863/M863)^$E881*((N863+N872)/(M863+M872))^($F881*(1+$E881))</f>
        <v/>
      </c>
      <c r="O881" s="41">
        <f>N881*(1/(1+$G881))^(1+$E881)*(1+O$7)^$D881*(O863/N863)^$E881*((O863+O872)/(N863+N872))^($F881*(1+$E881))</f>
        <v/>
      </c>
      <c r="P881" s="41">
        <f>O881*(1/(1+$G881))^(1+$E881)*(1+P$7)^$D881*(P863/O863)^$E881*((P863+P872)/(O863+O872))^($F881*(1+$E881))</f>
        <v/>
      </c>
      <c r="Q881" s="41">
        <f>P881*(1/(1+$G881))^(1+$E881)*(1+Q$7)^$D881*(Q863/P863)^$E881*((Q863+Q872)/(P863+P872))^($F881*(1+$E881))</f>
        <v/>
      </c>
      <c r="R881" s="41">
        <f>Q881*(1/(1+$G881))^(1+$E881)*(1+R$7)^$D881*(R863/Q863)^$E881*((R863+R872)/(Q863+Q872))^($F881*(1+$E881))</f>
        <v/>
      </c>
      <c r="S881" s="41">
        <f>R881*(1/(1+$G881))^(1+$E881)*(1+S$7)^$D881*(S863/R863)^$E881*((S863+S872)/(R863+R872))^($F881*(1+$E881))</f>
        <v/>
      </c>
      <c r="T881" s="41">
        <f>S881*(1/(1+$G881))^(1+$E881)*(1+T$7)^$D881*(T863/S863)^$E881*((T863+T872)/(S863+S872))^($F881*(1+$E881))</f>
        <v/>
      </c>
      <c r="U881" s="41">
        <f>T881*(1/(1+$G881))^(1+$E881)*(1+U$7)^$D881*(U863/T863)^$E881*((U863+U872)/(T863+T872))^($F881*(1+$E881))</f>
        <v/>
      </c>
      <c r="V881" s="41">
        <f>U881*(1/(1+$G881))^(1+$E881)*(1+V$7)^$D881*(V863/U863)^$E881*((V863+V872)/(U863+U872))^($F881*(1+$E881))</f>
        <v/>
      </c>
      <c r="W881" s="41">
        <f>V881*(1/(1+$G881))^(1+$E881)*(1+W$7)^$D881*(W863/V863)^$E881*((W863+W872)/(V863+V872))^($F881*(1+$E881))</f>
        <v/>
      </c>
      <c r="X881" s="41">
        <f>W881*(1/(1+$G881))^(1+$E881)*(1+X$7)^$D881*(X863/W863)^$E881*((X863+X872)/(W863+W872))^($F881*(1+$E881))</f>
        <v/>
      </c>
      <c r="Y881" s="42">
        <f>FUELUSE(X881,Y863,X863,Y872,X872,Y$7,$D881,$E881,$F881,$G881)</f>
        <v/>
      </c>
      <c r="Z881" s="23">
        <f>LOWER(Settings!$C$4)&amp;".mit."&amp;$A881&amp;IF($C881="","","."&amp;$C881&amp;"."&amp;$B881)&amp;IF(INDEX(Variables!$D$5:$D$65,MATCH($A881,Variables!$A$5:$A$65,0))="","","."&amp;INDEX(Variables!$D$5:$D$65,MATCH($A881,Variables!$A$5:$A$65,0)))&amp;"."&amp;Z$5</f>
        <v/>
      </c>
      <c r="AA881" s="40">
        <f>INDEX(Inputs!$V$5:$V$132,MATCH($B881&amp;"|"&amp;$C881,Inputs!$A$5:$A$132,0))</f>
        <v/>
      </c>
      <c r="AB881" s="41">
        <f>AA881*(1/(1+$G881))^(1+$E881)*(1+AB$7)^$D881*(AB863/AA863)^$E881*((AB863+AB872)/(AA863+AA872))^($F881*(1+$E881))</f>
        <v/>
      </c>
      <c r="AC881" s="41">
        <f>AB881*(1/(1+$G881))^(1+$E881)*(1+AC$7)^$D881*(AC863/AB863)^$E881*((AC863+AC872)/(AB863+AB872))^($F881*(1+$E881))</f>
        <v/>
      </c>
      <c r="AD881" s="41">
        <f>AC881*(1/(1+$G881))^(1+$E881)*(1+AD$7)^$D881*(AD863/AC863)^$E881*((AD863+AD872)/(AC863+AC872))^($F881*(1+$E881))</f>
        <v/>
      </c>
      <c r="AE881" s="41">
        <f>AD881*(1/(1+$G881))^(1+$E881)*(1+AE$7)^$D881*(AE863/AD863)^$E881*((AE863+AE872)/(AD863+AD872))^($F881*(1+$E881))</f>
        <v/>
      </c>
      <c r="AF881" s="41">
        <f>AE881*(1/(1+$G881))^(1+$E881)*(1+AF$7)^$D881*(AF863/AE863)^$E881*((AF863+AF872)/(AE863+AE872))^($F881*(1+$E881))</f>
        <v/>
      </c>
      <c r="AG881" s="41">
        <f>AF881*(1/(1+$G881))^(1+$E881)*(1+AG$7)^$D881*(AG863/AF863)^$E881*((AG863+AG872)/(AF863+AF872))^($F881*(1+$E881))</f>
        <v/>
      </c>
      <c r="AH881" s="41">
        <f>AG881*(1/(1+$G881))^(1+$E881)*(1+AH$7)^$D881*(AH863/AG863)^$E881*((AH863+AH872)/(AG863+AG872))^($F881*(1+$E881))</f>
        <v/>
      </c>
      <c r="AI881" s="41">
        <f>AH881*(1/(1+$G881))^(1+$E881)*(1+AI$7)^$D881*(AI863/AH863)^$E881*((AI863+AI872)/(AH863+AH872))^($F881*(1+$E881))</f>
        <v/>
      </c>
      <c r="AJ881" s="41">
        <f>AI881*(1/(1+$G881))^(1+$E881)*(1+AJ$7)^$D881*(AJ863/AI863)^$E881*((AJ863+AJ872)/(AI863+AI872))^($F881*(1+$E881))</f>
        <v/>
      </c>
      <c r="AK881" s="41">
        <f>AJ881*(1/(1+$G881))^(1+$E881)*(1+AK$7)^$D881*(AK863/AJ863)^$E881*((AK863+AK872)/(AJ863+AJ872))^($F881*(1+$E881))</f>
        <v/>
      </c>
      <c r="AL881" s="41">
        <f>AK881*(1/(1+$G881))^(1+$E881)*(1+AL$7)^$D881*(AL863/AK863)^$E881*((AL863+AL872)/(AK863+AK872))^($F881*(1+$E881))</f>
        <v/>
      </c>
      <c r="AM881" s="41">
        <f>AL881*(1/(1+$G881))^(1+$E881)*(1+AM$7)^$D881*(AM863/AL863)^$E881*((AM863+AM872)/(AL863+AL872))^($F881*(1+$E881))</f>
        <v/>
      </c>
      <c r="AN881" s="42">
        <f>FUELUSE(AM881,AN863,AM863,AN872,AM872,AN$7,$D881,$E881,$F881,$G881)</f>
        <v/>
      </c>
    </row>
    <row r="882" hidden="1" outlineLevel="2">
      <c r="A882" s="5" t="inlineStr">
        <is>
          <t>ener</t>
        </is>
      </c>
      <c r="B882" s="5" t="inlineStr">
        <is>
          <t>lpg</t>
        </is>
      </c>
      <c r="C882" s="5" t="inlineStr">
        <is>
          <t>nfm</t>
        </is>
      </c>
      <c r="D882" s="36">
        <f>INDEX(Inputs!$N$5:$N$132,MATCH($B882&amp;"|"&amp;$C882,Inputs!$A$5:$A$132,0))</f>
        <v/>
      </c>
      <c r="E882" s="36">
        <f>INDEX(Inputs!$O$5:$O$132,MATCH($B882&amp;"|"&amp;$C882,Inputs!$A$5:$A$132,0))</f>
        <v/>
      </c>
      <c r="F882" s="36">
        <f>INDEX(Inputs!$P$5:$P$132,MATCH($B882&amp;"|"&amp;$C882,Inputs!$A$5:$A$132,0))</f>
        <v/>
      </c>
      <c r="G882" s="36">
        <f>INDEX(Inputs!$Q$5:$Q$132,MATCH($B882&amp;"|"&amp;$C882,Inputs!$A$5:$A$132,0))</f>
        <v/>
      </c>
      <c r="H882" s="5">
        <f>INDEX(Variables!$B$5:$B$65,MATCH($A882,Variables!$A$5:$A$65,0))&amp;IF($C882="",""," | "&amp;INDEX(Mapping!$B$5:$B$25,MATCH($C882,Mapping!$A$5:$A$25,0))&amp;" | "&amp;INDEX(Mapping!$B$29:$B$38,MATCH($B882,Mapping!$A$29:$A$38,0)))</f>
        <v/>
      </c>
      <c r="I882" s="5">
        <f>INDEX(Variables!$C$5:$C$65,MATCH($A882,Variables!$A$5:$A$65,0))</f>
        <v/>
      </c>
      <c r="J882" s="5">
        <f>INDEX(Variables!$E$5:$E$65,MATCH($A882,Variables!$A$5:$A$65,0))</f>
        <v/>
      </c>
      <c r="K882" s="23">
        <f>LOWER(Settings!$C$4)&amp;".mit."&amp;$A882&amp;IF($C882="","","."&amp;$C882&amp;"."&amp;$B882)&amp;IF(INDEX(Variables!$D$5:$D$65,MATCH($A882,Variables!$A$5:$A$65,0))="","","."&amp;INDEX(Variables!$D$5:$D$65,MATCH($A882,Variables!$A$5:$A$65,0)))&amp;"."&amp;K$5</f>
        <v/>
      </c>
      <c r="L882" s="40">
        <f>INDEX(Inputs!$V$5:$V$132,MATCH($B882&amp;"|"&amp;$C882,Inputs!$A$5:$A$132,0))</f>
        <v/>
      </c>
      <c r="M882" s="41">
        <f>L882*(1/(1+$G882))^(1+$E882)*(1+M$7)^$D882*(M864/L864)^$E882*((M864+M873)/(L864+L873))^($F882*(1+$E882))</f>
        <v/>
      </c>
      <c r="N882" s="41">
        <f>M882*(1/(1+$G882))^(1+$E882)*(1+N$7)^$D882*(N864/M864)^$E882*((N864+N873)/(M864+M873))^($F882*(1+$E882))</f>
        <v/>
      </c>
      <c r="O882" s="41">
        <f>N882*(1/(1+$G882))^(1+$E882)*(1+O$7)^$D882*(O864/N864)^$E882*((O864+O873)/(N864+N873))^($F882*(1+$E882))</f>
        <v/>
      </c>
      <c r="P882" s="41">
        <f>O882*(1/(1+$G882))^(1+$E882)*(1+P$7)^$D882*(P864/O864)^$E882*((P864+P873)/(O864+O873))^($F882*(1+$E882))</f>
        <v/>
      </c>
      <c r="Q882" s="41">
        <f>P882*(1/(1+$G882))^(1+$E882)*(1+Q$7)^$D882*(Q864/P864)^$E882*((Q864+Q873)/(P864+P873))^($F882*(1+$E882))</f>
        <v/>
      </c>
      <c r="R882" s="41">
        <f>Q882*(1/(1+$G882))^(1+$E882)*(1+R$7)^$D882*(R864/Q864)^$E882*((R864+R873)/(Q864+Q873))^($F882*(1+$E882))</f>
        <v/>
      </c>
      <c r="S882" s="41">
        <f>R882*(1/(1+$G882))^(1+$E882)*(1+S$7)^$D882*(S864/R864)^$E882*((S864+S873)/(R864+R873))^($F882*(1+$E882))</f>
        <v/>
      </c>
      <c r="T882" s="41">
        <f>S882*(1/(1+$G882))^(1+$E882)*(1+T$7)^$D882*(T864/S864)^$E882*((T864+T873)/(S864+S873))^($F882*(1+$E882))</f>
        <v/>
      </c>
      <c r="U882" s="41">
        <f>T882*(1/(1+$G882))^(1+$E882)*(1+U$7)^$D882*(U864/T864)^$E882*((U864+U873)/(T864+T873))^($F882*(1+$E882))</f>
        <v/>
      </c>
      <c r="V882" s="41">
        <f>U882*(1/(1+$G882))^(1+$E882)*(1+V$7)^$D882*(V864/U864)^$E882*((V864+V873)/(U864+U873))^($F882*(1+$E882))</f>
        <v/>
      </c>
      <c r="W882" s="41">
        <f>V882*(1/(1+$G882))^(1+$E882)*(1+W$7)^$D882*(W864/V864)^$E882*((W864+W873)/(V864+V873))^($F882*(1+$E882))</f>
        <v/>
      </c>
      <c r="X882" s="41">
        <f>W882*(1/(1+$G882))^(1+$E882)*(1+X$7)^$D882*(X864/W864)^$E882*((X864+X873)/(W864+W873))^($F882*(1+$E882))</f>
        <v/>
      </c>
      <c r="Y882" s="42">
        <f>FUELUSE(X882,Y864,X864,Y873,X873,Y$7,$D882,$E882,$F882,$G882)</f>
        <v/>
      </c>
      <c r="Z882" s="23">
        <f>LOWER(Settings!$C$4)&amp;".mit."&amp;$A882&amp;IF($C882="","","."&amp;$C882&amp;"."&amp;$B882)&amp;IF(INDEX(Variables!$D$5:$D$65,MATCH($A882,Variables!$A$5:$A$65,0))="","","."&amp;INDEX(Variables!$D$5:$D$65,MATCH($A882,Variables!$A$5:$A$65,0)))&amp;"."&amp;Z$5</f>
        <v/>
      </c>
      <c r="AA882" s="40">
        <f>INDEX(Inputs!$V$5:$V$132,MATCH($B882&amp;"|"&amp;$C882,Inputs!$A$5:$A$132,0))</f>
        <v/>
      </c>
      <c r="AB882" s="41">
        <f>AA882*(1/(1+$G882))^(1+$E882)*(1+AB$7)^$D882*(AB864/AA864)^$E882*((AB864+AB873)/(AA864+AA873))^($F882*(1+$E882))</f>
        <v/>
      </c>
      <c r="AC882" s="41">
        <f>AB882*(1/(1+$G882))^(1+$E882)*(1+AC$7)^$D882*(AC864/AB864)^$E882*((AC864+AC873)/(AB864+AB873))^($F882*(1+$E882))</f>
        <v/>
      </c>
      <c r="AD882" s="41">
        <f>AC882*(1/(1+$G882))^(1+$E882)*(1+AD$7)^$D882*(AD864/AC864)^$E882*((AD864+AD873)/(AC864+AC873))^($F882*(1+$E882))</f>
        <v/>
      </c>
      <c r="AE882" s="41">
        <f>AD882*(1/(1+$G882))^(1+$E882)*(1+AE$7)^$D882*(AE864/AD864)^$E882*((AE864+AE873)/(AD864+AD873))^($F882*(1+$E882))</f>
        <v/>
      </c>
      <c r="AF882" s="41">
        <f>AE882*(1/(1+$G882))^(1+$E882)*(1+AF$7)^$D882*(AF864/AE864)^$E882*((AF864+AF873)/(AE864+AE873))^($F882*(1+$E882))</f>
        <v/>
      </c>
      <c r="AG882" s="41">
        <f>AF882*(1/(1+$G882))^(1+$E882)*(1+AG$7)^$D882*(AG864/AF864)^$E882*((AG864+AG873)/(AF864+AF873))^($F882*(1+$E882))</f>
        <v/>
      </c>
      <c r="AH882" s="41">
        <f>AG882*(1/(1+$G882))^(1+$E882)*(1+AH$7)^$D882*(AH864/AG864)^$E882*((AH864+AH873)/(AG864+AG873))^($F882*(1+$E882))</f>
        <v/>
      </c>
      <c r="AI882" s="41">
        <f>AH882*(1/(1+$G882))^(1+$E882)*(1+AI$7)^$D882*(AI864/AH864)^$E882*((AI864+AI873)/(AH864+AH873))^($F882*(1+$E882))</f>
        <v/>
      </c>
      <c r="AJ882" s="41">
        <f>AI882*(1/(1+$G882))^(1+$E882)*(1+AJ$7)^$D882*(AJ864/AI864)^$E882*((AJ864+AJ873)/(AI864+AI873))^($F882*(1+$E882))</f>
        <v/>
      </c>
      <c r="AK882" s="41">
        <f>AJ882*(1/(1+$G882))^(1+$E882)*(1+AK$7)^$D882*(AK864/AJ864)^$E882*((AK864+AK873)/(AJ864+AJ873))^($F882*(1+$E882))</f>
        <v/>
      </c>
      <c r="AL882" s="41">
        <f>AK882*(1/(1+$G882))^(1+$E882)*(1+AL$7)^$D882*(AL864/AK864)^$E882*((AL864+AL873)/(AK864+AK873))^($F882*(1+$E882))</f>
        <v/>
      </c>
      <c r="AM882" s="41">
        <f>AL882*(1/(1+$G882))^(1+$E882)*(1+AM$7)^$D882*(AM864/AL864)^$E882*((AM864+AM873)/(AL864+AL873))^($F882*(1+$E882))</f>
        <v/>
      </c>
      <c r="AN882" s="42">
        <f>FUELUSE(AM882,AN864,AM864,AN873,AM873,AN$7,$D882,$E882,$F882,$G882)</f>
        <v/>
      </c>
    </row>
    <row r="883" hidden="1" outlineLevel="2">
      <c r="A883" s="5" t="inlineStr">
        <is>
          <t>ener</t>
        </is>
      </c>
      <c r="B883" s="5" t="inlineStr">
        <is>
          <t>ker</t>
        </is>
      </c>
      <c r="C883" s="5" t="inlineStr">
        <is>
          <t>nfm</t>
        </is>
      </c>
      <c r="D883" s="36">
        <f>INDEX(Inputs!$N$5:$N$132,MATCH($B883&amp;"|"&amp;$C883,Inputs!$A$5:$A$132,0))</f>
        <v/>
      </c>
      <c r="E883" s="36">
        <f>INDEX(Inputs!$O$5:$O$132,MATCH($B883&amp;"|"&amp;$C883,Inputs!$A$5:$A$132,0))</f>
        <v/>
      </c>
      <c r="F883" s="36">
        <f>INDEX(Inputs!$P$5:$P$132,MATCH($B883&amp;"|"&amp;$C883,Inputs!$A$5:$A$132,0))</f>
        <v/>
      </c>
      <c r="G883" s="36">
        <f>INDEX(Inputs!$Q$5:$Q$132,MATCH($B883&amp;"|"&amp;$C883,Inputs!$A$5:$A$132,0))</f>
        <v/>
      </c>
      <c r="H883" s="5">
        <f>INDEX(Variables!$B$5:$B$65,MATCH($A883,Variables!$A$5:$A$65,0))&amp;IF($C883="",""," | "&amp;INDEX(Mapping!$B$5:$B$25,MATCH($C883,Mapping!$A$5:$A$25,0))&amp;" | "&amp;INDEX(Mapping!$B$29:$B$38,MATCH($B883,Mapping!$A$29:$A$38,0)))</f>
        <v/>
      </c>
      <c r="I883" s="5">
        <f>INDEX(Variables!$C$5:$C$65,MATCH($A883,Variables!$A$5:$A$65,0))</f>
        <v/>
      </c>
      <c r="J883" s="5">
        <f>INDEX(Variables!$E$5:$E$65,MATCH($A883,Variables!$A$5:$A$65,0))</f>
        <v/>
      </c>
      <c r="K883" s="23">
        <f>LOWER(Settings!$C$4)&amp;".mit."&amp;$A883&amp;IF($C883="","","."&amp;$C883&amp;"."&amp;$B883)&amp;IF(INDEX(Variables!$D$5:$D$65,MATCH($A883,Variables!$A$5:$A$65,0))="","","."&amp;INDEX(Variables!$D$5:$D$65,MATCH($A883,Variables!$A$5:$A$65,0)))&amp;"."&amp;K$5</f>
        <v/>
      </c>
      <c r="L883" s="40">
        <f>INDEX(Inputs!$V$5:$V$132,MATCH($B883&amp;"|"&amp;$C883,Inputs!$A$5:$A$132,0))</f>
        <v/>
      </c>
      <c r="M883" s="41">
        <f>L883*(1/(1+$G883))^(1+$E883)*(1+M$7)^$D883*(M865/L865)^$E883*((M865+M874)/(L865+L874))^($F883*(1+$E883))</f>
        <v/>
      </c>
      <c r="N883" s="41">
        <f>M883*(1/(1+$G883))^(1+$E883)*(1+N$7)^$D883*(N865/M865)^$E883*((N865+N874)/(M865+M874))^($F883*(1+$E883))</f>
        <v/>
      </c>
      <c r="O883" s="41">
        <f>N883*(1/(1+$G883))^(1+$E883)*(1+O$7)^$D883*(O865/N865)^$E883*((O865+O874)/(N865+N874))^($F883*(1+$E883))</f>
        <v/>
      </c>
      <c r="P883" s="41">
        <f>O883*(1/(1+$G883))^(1+$E883)*(1+P$7)^$D883*(P865/O865)^$E883*((P865+P874)/(O865+O874))^($F883*(1+$E883))</f>
        <v/>
      </c>
      <c r="Q883" s="41">
        <f>P883*(1/(1+$G883))^(1+$E883)*(1+Q$7)^$D883*(Q865/P865)^$E883*((Q865+Q874)/(P865+P874))^($F883*(1+$E883))</f>
        <v/>
      </c>
      <c r="R883" s="41">
        <f>Q883*(1/(1+$G883))^(1+$E883)*(1+R$7)^$D883*(R865/Q865)^$E883*((R865+R874)/(Q865+Q874))^($F883*(1+$E883))</f>
        <v/>
      </c>
      <c r="S883" s="41">
        <f>R883*(1/(1+$G883))^(1+$E883)*(1+S$7)^$D883*(S865/R865)^$E883*((S865+S874)/(R865+R874))^($F883*(1+$E883))</f>
        <v/>
      </c>
      <c r="T883" s="41">
        <f>S883*(1/(1+$G883))^(1+$E883)*(1+T$7)^$D883*(T865/S865)^$E883*((T865+T874)/(S865+S874))^($F883*(1+$E883))</f>
        <v/>
      </c>
      <c r="U883" s="41">
        <f>T883*(1/(1+$G883))^(1+$E883)*(1+U$7)^$D883*(U865/T865)^$E883*((U865+U874)/(T865+T874))^($F883*(1+$E883))</f>
        <v/>
      </c>
      <c r="V883" s="41">
        <f>U883*(1/(1+$G883))^(1+$E883)*(1+V$7)^$D883*(V865/U865)^$E883*((V865+V874)/(U865+U874))^($F883*(1+$E883))</f>
        <v/>
      </c>
      <c r="W883" s="41">
        <f>V883*(1/(1+$G883))^(1+$E883)*(1+W$7)^$D883*(W865/V865)^$E883*((W865+W874)/(V865+V874))^($F883*(1+$E883))</f>
        <v/>
      </c>
      <c r="X883" s="41">
        <f>W883*(1/(1+$G883))^(1+$E883)*(1+X$7)^$D883*(X865/W865)^$E883*((X865+X874)/(W865+W874))^($F883*(1+$E883))</f>
        <v/>
      </c>
      <c r="Y883" s="42">
        <f>FUELUSE(X883,Y865,X865,Y874,X874,Y$7,$D883,$E883,$F883,$G883)</f>
        <v/>
      </c>
      <c r="Z883" s="23">
        <f>LOWER(Settings!$C$4)&amp;".mit."&amp;$A883&amp;IF($C883="","","."&amp;$C883&amp;"."&amp;$B883)&amp;IF(INDEX(Variables!$D$5:$D$65,MATCH($A883,Variables!$A$5:$A$65,0))="","","."&amp;INDEX(Variables!$D$5:$D$65,MATCH($A883,Variables!$A$5:$A$65,0)))&amp;"."&amp;Z$5</f>
        <v/>
      </c>
      <c r="AA883" s="40">
        <f>INDEX(Inputs!$V$5:$V$132,MATCH($B883&amp;"|"&amp;$C883,Inputs!$A$5:$A$132,0))</f>
        <v/>
      </c>
      <c r="AB883" s="41">
        <f>AA883*(1/(1+$G883))^(1+$E883)*(1+AB$7)^$D883*(AB865/AA865)^$E883*((AB865+AB874)/(AA865+AA874))^($F883*(1+$E883))</f>
        <v/>
      </c>
      <c r="AC883" s="41">
        <f>AB883*(1/(1+$G883))^(1+$E883)*(1+AC$7)^$D883*(AC865/AB865)^$E883*((AC865+AC874)/(AB865+AB874))^($F883*(1+$E883))</f>
        <v/>
      </c>
      <c r="AD883" s="41">
        <f>AC883*(1/(1+$G883))^(1+$E883)*(1+AD$7)^$D883*(AD865/AC865)^$E883*((AD865+AD874)/(AC865+AC874))^($F883*(1+$E883))</f>
        <v/>
      </c>
      <c r="AE883" s="41">
        <f>AD883*(1/(1+$G883))^(1+$E883)*(1+AE$7)^$D883*(AE865/AD865)^$E883*((AE865+AE874)/(AD865+AD874))^($F883*(1+$E883))</f>
        <v/>
      </c>
      <c r="AF883" s="41">
        <f>AE883*(1/(1+$G883))^(1+$E883)*(1+AF$7)^$D883*(AF865/AE865)^$E883*((AF865+AF874)/(AE865+AE874))^($F883*(1+$E883))</f>
        <v/>
      </c>
      <c r="AG883" s="41">
        <f>AF883*(1/(1+$G883))^(1+$E883)*(1+AG$7)^$D883*(AG865/AF865)^$E883*((AG865+AG874)/(AF865+AF874))^($F883*(1+$E883))</f>
        <v/>
      </c>
      <c r="AH883" s="41">
        <f>AG883*(1/(1+$G883))^(1+$E883)*(1+AH$7)^$D883*(AH865/AG865)^$E883*((AH865+AH874)/(AG865+AG874))^($F883*(1+$E883))</f>
        <v/>
      </c>
      <c r="AI883" s="41">
        <f>AH883*(1/(1+$G883))^(1+$E883)*(1+AI$7)^$D883*(AI865/AH865)^$E883*((AI865+AI874)/(AH865+AH874))^($F883*(1+$E883))</f>
        <v/>
      </c>
      <c r="AJ883" s="41">
        <f>AI883*(1/(1+$G883))^(1+$E883)*(1+AJ$7)^$D883*(AJ865/AI865)^$E883*((AJ865+AJ874)/(AI865+AI874))^($F883*(1+$E883))</f>
        <v/>
      </c>
      <c r="AK883" s="41">
        <f>AJ883*(1/(1+$G883))^(1+$E883)*(1+AK$7)^$D883*(AK865/AJ865)^$E883*((AK865+AK874)/(AJ865+AJ874))^($F883*(1+$E883))</f>
        <v/>
      </c>
      <c r="AL883" s="41">
        <f>AK883*(1/(1+$G883))^(1+$E883)*(1+AL$7)^$D883*(AL865/AK865)^$E883*((AL865+AL874)/(AK865+AK874))^($F883*(1+$E883))</f>
        <v/>
      </c>
      <c r="AM883" s="41">
        <f>AL883*(1/(1+$G883))^(1+$E883)*(1+AM$7)^$D883*(AM865/AL865)^$E883*((AM865+AM874)/(AL865+AL874))^($F883*(1+$E883))</f>
        <v/>
      </c>
      <c r="AN883" s="42">
        <f>FUELUSE(AM883,AN865,AM865,AN874,AM874,AN$7,$D883,$E883,$F883,$G883)</f>
        <v/>
      </c>
    </row>
    <row r="884" hidden="1" outlineLevel="2">
      <c r="A884" s="5" t="inlineStr">
        <is>
          <t>ener</t>
        </is>
      </c>
      <c r="B884" s="5" t="inlineStr">
        <is>
          <t>oop</t>
        </is>
      </c>
      <c r="C884" s="5" t="inlineStr">
        <is>
          <t>nfm</t>
        </is>
      </c>
      <c r="D884" s="36">
        <f>INDEX(Inputs!$N$5:$N$132,MATCH($B884&amp;"|"&amp;$C884,Inputs!$A$5:$A$132,0))</f>
        <v/>
      </c>
      <c r="E884" s="36">
        <f>INDEX(Inputs!$O$5:$O$132,MATCH($B884&amp;"|"&amp;$C884,Inputs!$A$5:$A$132,0))</f>
        <v/>
      </c>
      <c r="F884" s="36">
        <f>INDEX(Inputs!$P$5:$P$132,MATCH($B884&amp;"|"&amp;$C884,Inputs!$A$5:$A$132,0))</f>
        <v/>
      </c>
      <c r="G884" s="36">
        <f>INDEX(Inputs!$Q$5:$Q$132,MATCH($B884&amp;"|"&amp;$C884,Inputs!$A$5:$A$132,0))</f>
        <v/>
      </c>
      <c r="H884" s="5">
        <f>INDEX(Variables!$B$5:$B$65,MATCH($A884,Variables!$A$5:$A$65,0))&amp;IF($C884="",""," | "&amp;INDEX(Mapping!$B$5:$B$25,MATCH($C884,Mapping!$A$5:$A$25,0))&amp;" | "&amp;INDEX(Mapping!$B$29:$B$38,MATCH($B884,Mapping!$A$29:$A$38,0)))</f>
        <v/>
      </c>
      <c r="I884" s="5">
        <f>INDEX(Variables!$C$5:$C$65,MATCH($A884,Variables!$A$5:$A$65,0))</f>
        <v/>
      </c>
      <c r="J884" s="5">
        <f>INDEX(Variables!$E$5:$E$65,MATCH($A884,Variables!$A$5:$A$65,0))</f>
        <v/>
      </c>
      <c r="K884" s="23">
        <f>LOWER(Settings!$C$4)&amp;".mit."&amp;$A884&amp;IF($C884="","","."&amp;$C884&amp;"."&amp;$B884)&amp;IF(INDEX(Variables!$D$5:$D$65,MATCH($A884,Variables!$A$5:$A$65,0))="","","."&amp;INDEX(Variables!$D$5:$D$65,MATCH($A884,Variables!$A$5:$A$65,0)))&amp;"."&amp;K$5</f>
        <v/>
      </c>
      <c r="L884" s="40">
        <f>INDEX(Inputs!$V$5:$V$132,MATCH($B884&amp;"|"&amp;$C884,Inputs!$A$5:$A$132,0))</f>
        <v/>
      </c>
      <c r="M884" s="41">
        <f>L884*(1/(1+$G884))^(1+$E884)*(1+M$7)^$D884*(M866/L866)^$E884*((M866+M875)/(L866+L875))^($F884*(1+$E884))</f>
        <v/>
      </c>
      <c r="N884" s="41">
        <f>M884*(1/(1+$G884))^(1+$E884)*(1+N$7)^$D884*(N866/M866)^$E884*((N866+N875)/(M866+M875))^($F884*(1+$E884))</f>
        <v/>
      </c>
      <c r="O884" s="41">
        <f>N884*(1/(1+$G884))^(1+$E884)*(1+O$7)^$D884*(O866/N866)^$E884*((O866+O875)/(N866+N875))^($F884*(1+$E884))</f>
        <v/>
      </c>
      <c r="P884" s="41">
        <f>O884*(1/(1+$G884))^(1+$E884)*(1+P$7)^$D884*(P866/O866)^$E884*((P866+P875)/(O866+O875))^($F884*(1+$E884))</f>
        <v/>
      </c>
      <c r="Q884" s="41">
        <f>P884*(1/(1+$G884))^(1+$E884)*(1+Q$7)^$D884*(Q866/P866)^$E884*((Q866+Q875)/(P866+P875))^($F884*(1+$E884))</f>
        <v/>
      </c>
      <c r="R884" s="41">
        <f>Q884*(1/(1+$G884))^(1+$E884)*(1+R$7)^$D884*(R866/Q866)^$E884*((R866+R875)/(Q866+Q875))^($F884*(1+$E884))</f>
        <v/>
      </c>
      <c r="S884" s="41">
        <f>R884*(1/(1+$G884))^(1+$E884)*(1+S$7)^$D884*(S866/R866)^$E884*((S866+S875)/(R866+R875))^($F884*(1+$E884))</f>
        <v/>
      </c>
      <c r="T884" s="41">
        <f>S884*(1/(1+$G884))^(1+$E884)*(1+T$7)^$D884*(T866/S866)^$E884*((T866+T875)/(S866+S875))^($F884*(1+$E884))</f>
        <v/>
      </c>
      <c r="U884" s="41">
        <f>T884*(1/(1+$G884))^(1+$E884)*(1+U$7)^$D884*(U866/T866)^$E884*((U866+U875)/(T866+T875))^($F884*(1+$E884))</f>
        <v/>
      </c>
      <c r="V884" s="41">
        <f>U884*(1/(1+$G884))^(1+$E884)*(1+V$7)^$D884*(V866/U866)^$E884*((V866+V875)/(U866+U875))^($F884*(1+$E884))</f>
        <v/>
      </c>
      <c r="W884" s="41">
        <f>V884*(1/(1+$G884))^(1+$E884)*(1+W$7)^$D884*(W866/V866)^$E884*((W866+W875)/(V866+V875))^($F884*(1+$E884))</f>
        <v/>
      </c>
      <c r="X884" s="41">
        <f>W884*(1/(1+$G884))^(1+$E884)*(1+X$7)^$D884*(X866/W866)^$E884*((X866+X875)/(W866+W875))^($F884*(1+$E884))</f>
        <v/>
      </c>
      <c r="Y884" s="42">
        <f>FUELUSE(X884,Y866,X866,Y875,X875,Y$7,$D884,$E884,$F884,$G884)</f>
        <v/>
      </c>
      <c r="Z884" s="23">
        <f>LOWER(Settings!$C$4)&amp;".mit."&amp;$A884&amp;IF($C884="","","."&amp;$C884&amp;"."&amp;$B884)&amp;IF(INDEX(Variables!$D$5:$D$65,MATCH($A884,Variables!$A$5:$A$65,0))="","","."&amp;INDEX(Variables!$D$5:$D$65,MATCH($A884,Variables!$A$5:$A$65,0)))&amp;"."&amp;Z$5</f>
        <v/>
      </c>
      <c r="AA884" s="40">
        <f>INDEX(Inputs!$V$5:$V$132,MATCH($B884&amp;"|"&amp;$C884,Inputs!$A$5:$A$132,0))</f>
        <v/>
      </c>
      <c r="AB884" s="41">
        <f>AA884*(1/(1+$G884))^(1+$E884)*(1+AB$7)^$D884*(AB866/AA866)^$E884*((AB866+AB875)/(AA866+AA875))^($F884*(1+$E884))</f>
        <v/>
      </c>
      <c r="AC884" s="41">
        <f>AB884*(1/(1+$G884))^(1+$E884)*(1+AC$7)^$D884*(AC866/AB866)^$E884*((AC866+AC875)/(AB866+AB875))^($F884*(1+$E884))</f>
        <v/>
      </c>
      <c r="AD884" s="41">
        <f>AC884*(1/(1+$G884))^(1+$E884)*(1+AD$7)^$D884*(AD866/AC866)^$E884*((AD866+AD875)/(AC866+AC875))^($F884*(1+$E884))</f>
        <v/>
      </c>
      <c r="AE884" s="41">
        <f>AD884*(1/(1+$G884))^(1+$E884)*(1+AE$7)^$D884*(AE866/AD866)^$E884*((AE866+AE875)/(AD866+AD875))^($F884*(1+$E884))</f>
        <v/>
      </c>
      <c r="AF884" s="41">
        <f>AE884*(1/(1+$G884))^(1+$E884)*(1+AF$7)^$D884*(AF866/AE866)^$E884*((AF866+AF875)/(AE866+AE875))^($F884*(1+$E884))</f>
        <v/>
      </c>
      <c r="AG884" s="41">
        <f>AF884*(1/(1+$G884))^(1+$E884)*(1+AG$7)^$D884*(AG866/AF866)^$E884*((AG866+AG875)/(AF866+AF875))^($F884*(1+$E884))</f>
        <v/>
      </c>
      <c r="AH884" s="41">
        <f>AG884*(1/(1+$G884))^(1+$E884)*(1+AH$7)^$D884*(AH866/AG866)^$E884*((AH866+AH875)/(AG866+AG875))^($F884*(1+$E884))</f>
        <v/>
      </c>
      <c r="AI884" s="41">
        <f>AH884*(1/(1+$G884))^(1+$E884)*(1+AI$7)^$D884*(AI866/AH866)^$E884*((AI866+AI875)/(AH866+AH875))^($F884*(1+$E884))</f>
        <v/>
      </c>
      <c r="AJ884" s="41">
        <f>AI884*(1/(1+$G884))^(1+$E884)*(1+AJ$7)^$D884*(AJ866/AI866)^$E884*((AJ866+AJ875)/(AI866+AI875))^($F884*(1+$E884))</f>
        <v/>
      </c>
      <c r="AK884" s="41">
        <f>AJ884*(1/(1+$G884))^(1+$E884)*(1+AK$7)^$D884*(AK866/AJ866)^$E884*((AK866+AK875)/(AJ866+AJ875))^($F884*(1+$E884))</f>
        <v/>
      </c>
      <c r="AL884" s="41">
        <f>AK884*(1/(1+$G884))^(1+$E884)*(1+AL$7)^$D884*(AL866/AK866)^$E884*((AL866+AL875)/(AK866+AK875))^($F884*(1+$E884))</f>
        <v/>
      </c>
      <c r="AM884" s="41">
        <f>AL884*(1/(1+$G884))^(1+$E884)*(1+AM$7)^$D884*(AM866/AL866)^$E884*((AM866+AM875)/(AL866+AL875))^($F884*(1+$E884))</f>
        <v/>
      </c>
      <c r="AN884" s="42">
        <f>FUELUSE(AM884,AN866,AM866,AN875,AM875,AN$7,$D884,$E884,$F884,$G884)</f>
        <v/>
      </c>
    </row>
    <row r="885" hidden="1" outlineLevel="2">
      <c r="A885" s="5" t="inlineStr">
        <is>
          <t>ener</t>
        </is>
      </c>
      <c r="B885" s="5" t="inlineStr">
        <is>
          <t>bio</t>
        </is>
      </c>
      <c r="C885" s="5" t="inlineStr">
        <is>
          <t>nfm</t>
        </is>
      </c>
      <c r="D885" s="36">
        <f>INDEX(Inputs!$N$5:$N$132,MATCH($B885&amp;"|"&amp;$C885,Inputs!$A$5:$A$132,0))</f>
        <v/>
      </c>
      <c r="E885" s="36">
        <f>INDEX(Inputs!$O$5:$O$132,MATCH($B885&amp;"|"&amp;$C885,Inputs!$A$5:$A$132,0))</f>
        <v/>
      </c>
      <c r="F885" s="36">
        <f>INDEX(Inputs!$P$5:$P$132,MATCH($B885&amp;"|"&amp;$C885,Inputs!$A$5:$A$132,0))</f>
        <v/>
      </c>
      <c r="G885" s="36">
        <f>INDEX(Inputs!$Q$5:$Q$132,MATCH($B885&amp;"|"&amp;$C885,Inputs!$A$5:$A$132,0))</f>
        <v/>
      </c>
      <c r="H885" s="5">
        <f>INDEX(Variables!$B$5:$B$65,MATCH($A885,Variables!$A$5:$A$65,0))&amp;IF($C885="",""," | "&amp;INDEX(Mapping!$B$5:$B$25,MATCH($C885,Mapping!$A$5:$A$25,0))&amp;" | "&amp;INDEX(Mapping!$B$29:$B$38,MATCH($B885,Mapping!$A$29:$A$38,0)))</f>
        <v/>
      </c>
      <c r="I885" s="5">
        <f>INDEX(Variables!$C$5:$C$65,MATCH($A885,Variables!$A$5:$A$65,0))</f>
        <v/>
      </c>
      <c r="J885" s="5">
        <f>INDEX(Variables!$E$5:$E$65,MATCH($A885,Variables!$A$5:$A$65,0))</f>
        <v/>
      </c>
      <c r="K885" s="23">
        <f>LOWER(Settings!$C$4)&amp;".mit."&amp;$A885&amp;IF($C885="","","."&amp;$C885&amp;"."&amp;$B885)&amp;IF(INDEX(Variables!$D$5:$D$65,MATCH($A885,Variables!$A$5:$A$65,0))="","","."&amp;INDEX(Variables!$D$5:$D$65,MATCH($A885,Variables!$A$5:$A$65,0)))&amp;"."&amp;K$5</f>
        <v/>
      </c>
      <c r="L885" s="40">
        <f>INDEX(Inputs!$V$5:$V$132,MATCH($B885&amp;"|"&amp;$C885,Inputs!$A$5:$A$132,0))</f>
        <v/>
      </c>
      <c r="M885" s="41">
        <f>L885*(1/(1+$G885))^(1+$E885)*(1+M$7)^$D885*(M867/L867)^$E885*((M867+M876)/(L867+L876))^($F885*(1+$E885))</f>
        <v/>
      </c>
      <c r="N885" s="41">
        <f>M885*(1/(1+$G885))^(1+$E885)*(1+N$7)^$D885*(N867/M867)^$E885*((N867+N876)/(M867+M876))^($F885*(1+$E885))</f>
        <v/>
      </c>
      <c r="O885" s="41">
        <f>N885*(1/(1+$G885))^(1+$E885)*(1+O$7)^$D885*(O867/N867)^$E885*((O867+O876)/(N867+N876))^($F885*(1+$E885))</f>
        <v/>
      </c>
      <c r="P885" s="41">
        <f>O885*(1/(1+$G885))^(1+$E885)*(1+P$7)^$D885*(P867/O867)^$E885*((P867+P876)/(O867+O876))^($F885*(1+$E885))</f>
        <v/>
      </c>
      <c r="Q885" s="41">
        <f>P885*(1/(1+$G885))^(1+$E885)*(1+Q$7)^$D885*(Q867/P867)^$E885*((Q867+Q876)/(P867+P876))^($F885*(1+$E885))</f>
        <v/>
      </c>
      <c r="R885" s="41">
        <f>Q885*(1/(1+$G885))^(1+$E885)*(1+R$7)^$D885*(R867/Q867)^$E885*((R867+R876)/(Q867+Q876))^($F885*(1+$E885))</f>
        <v/>
      </c>
      <c r="S885" s="41">
        <f>R885*(1/(1+$G885))^(1+$E885)*(1+S$7)^$D885*(S867/R867)^$E885*((S867+S876)/(R867+R876))^($F885*(1+$E885))</f>
        <v/>
      </c>
      <c r="T885" s="41">
        <f>S885*(1/(1+$G885))^(1+$E885)*(1+T$7)^$D885*(T867/S867)^$E885*((T867+T876)/(S867+S876))^($F885*(1+$E885))</f>
        <v/>
      </c>
      <c r="U885" s="41">
        <f>T885*(1/(1+$G885))^(1+$E885)*(1+U$7)^$D885*(U867/T867)^$E885*((U867+U876)/(T867+T876))^($F885*(1+$E885))</f>
        <v/>
      </c>
      <c r="V885" s="41">
        <f>U885*(1/(1+$G885))^(1+$E885)*(1+V$7)^$D885*(V867/U867)^$E885*((V867+V876)/(U867+U876))^($F885*(1+$E885))</f>
        <v/>
      </c>
      <c r="W885" s="41">
        <f>V885*(1/(1+$G885))^(1+$E885)*(1+W$7)^$D885*(W867/V867)^$E885*((W867+W876)/(V867+V876))^($F885*(1+$E885))</f>
        <v/>
      </c>
      <c r="X885" s="41">
        <f>W885*(1/(1+$G885))^(1+$E885)*(1+X$7)^$D885*(X867/W867)^$E885*((X867+X876)/(W867+W876))^($F885*(1+$E885))</f>
        <v/>
      </c>
      <c r="Y885" s="42">
        <f>FUELUSE(X885,Y867,X867,Y876,X876,Y$7,$D885,$E885,$F885,$G885)</f>
        <v/>
      </c>
      <c r="Z885" s="23">
        <f>LOWER(Settings!$C$4)&amp;".mit."&amp;$A885&amp;IF($C885="","","."&amp;$C885&amp;"."&amp;$B885)&amp;IF(INDEX(Variables!$D$5:$D$65,MATCH($A885,Variables!$A$5:$A$65,0))="","","."&amp;INDEX(Variables!$D$5:$D$65,MATCH($A885,Variables!$A$5:$A$65,0)))&amp;"."&amp;Z$5</f>
        <v/>
      </c>
      <c r="AA885" s="40">
        <f>INDEX(Inputs!$V$5:$V$132,MATCH($B885&amp;"|"&amp;$C885,Inputs!$A$5:$A$132,0))</f>
        <v/>
      </c>
      <c r="AB885" s="41">
        <f>AA885*(1/(1+$G885))^(1+$E885)*(1+AB$7)^$D885*(AB867/AA867)^$E885*((AB867+AB876)/(AA867+AA876))^($F885*(1+$E885))</f>
        <v/>
      </c>
      <c r="AC885" s="41">
        <f>AB885*(1/(1+$G885))^(1+$E885)*(1+AC$7)^$D885*(AC867/AB867)^$E885*((AC867+AC876)/(AB867+AB876))^($F885*(1+$E885))</f>
        <v/>
      </c>
      <c r="AD885" s="41">
        <f>AC885*(1/(1+$G885))^(1+$E885)*(1+AD$7)^$D885*(AD867/AC867)^$E885*((AD867+AD876)/(AC867+AC876))^($F885*(1+$E885))</f>
        <v/>
      </c>
      <c r="AE885" s="41">
        <f>AD885*(1/(1+$G885))^(1+$E885)*(1+AE$7)^$D885*(AE867/AD867)^$E885*((AE867+AE876)/(AD867+AD876))^($F885*(1+$E885))</f>
        <v/>
      </c>
      <c r="AF885" s="41">
        <f>AE885*(1/(1+$G885))^(1+$E885)*(1+AF$7)^$D885*(AF867/AE867)^$E885*((AF867+AF876)/(AE867+AE876))^($F885*(1+$E885))</f>
        <v/>
      </c>
      <c r="AG885" s="41">
        <f>AF885*(1/(1+$G885))^(1+$E885)*(1+AG$7)^$D885*(AG867/AF867)^$E885*((AG867+AG876)/(AF867+AF876))^($F885*(1+$E885))</f>
        <v/>
      </c>
      <c r="AH885" s="41">
        <f>AG885*(1/(1+$G885))^(1+$E885)*(1+AH$7)^$D885*(AH867/AG867)^$E885*((AH867+AH876)/(AG867+AG876))^($F885*(1+$E885))</f>
        <v/>
      </c>
      <c r="AI885" s="41">
        <f>AH885*(1/(1+$G885))^(1+$E885)*(1+AI$7)^$D885*(AI867/AH867)^$E885*((AI867+AI876)/(AH867+AH876))^($F885*(1+$E885))</f>
        <v/>
      </c>
      <c r="AJ885" s="41">
        <f>AI885*(1/(1+$G885))^(1+$E885)*(1+AJ$7)^$D885*(AJ867/AI867)^$E885*((AJ867+AJ876)/(AI867+AI876))^($F885*(1+$E885))</f>
        <v/>
      </c>
      <c r="AK885" s="41">
        <f>AJ885*(1/(1+$G885))^(1+$E885)*(1+AK$7)^$D885*(AK867/AJ867)^$E885*((AK867+AK876)/(AJ867+AJ876))^($F885*(1+$E885))</f>
        <v/>
      </c>
      <c r="AL885" s="41">
        <f>AK885*(1/(1+$G885))^(1+$E885)*(1+AL$7)^$D885*(AL867/AK867)^$E885*((AL867+AL876)/(AK867+AK876))^($F885*(1+$E885))</f>
        <v/>
      </c>
      <c r="AM885" s="41">
        <f>AL885*(1/(1+$G885))^(1+$E885)*(1+AM$7)^$D885*(AM867/AL867)^$E885*((AM867+AM876)/(AL867+AL876))^($F885*(1+$E885))</f>
        <v/>
      </c>
      <c r="AN885" s="42">
        <f>FUELUSE(AM885,AN867,AM867,AN876,AM876,AN$7,$D885,$E885,$F885,$G885)</f>
        <v/>
      </c>
    </row>
    <row r="886" hidden="1" outlineLevel="2"/>
    <row r="887" outlineLevel="1" collapsed="1">
      <c r="A887" s="7" t="inlineStr">
        <is>
          <t>ener</t>
        </is>
      </c>
      <c r="B887" s="7" t="inlineStr">
        <is>
          <t>all</t>
        </is>
      </c>
      <c r="C887" s="7" t="inlineStr">
        <is>
          <t>mac</t>
        </is>
      </c>
      <c r="H887" s="7">
        <f>INDEX(Variables!$B$5:$B$65,MATCH($A887,Variables!$A$5:$A$65,0))&amp;IF($C887="",""," | "&amp;INDEX(Mapping!$B$5:$B$25,MATCH($C887,Mapping!$A$5:$A$25,0))&amp;" | "&amp;INDEX(Mapping!$B$29:$B$38,MATCH($B887,Mapping!$A$29:$A$38,0)))</f>
        <v/>
      </c>
      <c r="I887" s="7">
        <f>INDEX(Variables!$C$5:$C$65,MATCH($A887,Variables!$A$5:$A$65,0))</f>
        <v/>
      </c>
      <c r="J887" s="7">
        <f>INDEX(Variables!$E$5:$E$65,MATCH($A887,Variables!$A$5:$A$65,0))</f>
        <v/>
      </c>
      <c r="K887" s="26">
        <f>LOWER(Settings!$C$4)&amp;".mit."&amp;$A887&amp;IF($C887="","","."&amp;$C887&amp;"."&amp;$B887)&amp;IF(INDEX(Variables!$D$5:$D$65,MATCH($A887,Variables!$A$5:$A$65,0))="","","."&amp;INDEX(Variables!$D$5:$D$65,MATCH($A887,Variables!$A$5:$A$65,0)))&amp;"."&amp;K$5</f>
        <v/>
      </c>
      <c r="L887" s="34">
        <f>SUM(L951:L958)</f>
        <v/>
      </c>
      <c r="M887" s="35">
        <f>SUM(M951:M958)</f>
        <v/>
      </c>
      <c r="N887" s="35">
        <f>SUM(N951:N958)</f>
        <v/>
      </c>
      <c r="O887" s="35">
        <f>SUM(O951:O958)</f>
        <v/>
      </c>
      <c r="P887" s="35">
        <f>SUM(P951:P958)</f>
        <v/>
      </c>
      <c r="Q887" s="35">
        <f>SUM(Q951:Q958)</f>
        <v/>
      </c>
      <c r="R887" s="35">
        <f>SUM(R951:R958)</f>
        <v/>
      </c>
      <c r="S887" s="35">
        <f>SUM(S951:S958)</f>
        <v/>
      </c>
      <c r="T887" s="35">
        <f>SUM(T951:T958)</f>
        <v/>
      </c>
      <c r="U887" s="35">
        <f>SUM(U951:U958)</f>
        <v/>
      </c>
      <c r="V887" s="35">
        <f>SUM(V951:V958)</f>
        <v/>
      </c>
      <c r="W887" s="35">
        <f>SUM(W951:W958)</f>
        <v/>
      </c>
      <c r="X887" s="35">
        <f>SUM(X951:X958)</f>
        <v/>
      </c>
      <c r="Y887" s="35">
        <f>SUM(Y951:Y958)</f>
        <v/>
      </c>
      <c r="Z887" s="26">
        <f>LOWER(Settings!$C$4)&amp;".mit."&amp;$A887&amp;IF($C887="","","."&amp;$C887&amp;"."&amp;$B887)&amp;IF(INDEX(Variables!$D$5:$D$65,MATCH($A887,Variables!$A$5:$A$65,0))="","","."&amp;INDEX(Variables!$D$5:$D$65,MATCH($A887,Variables!$A$5:$A$65,0)))&amp;"."&amp;Z$5</f>
        <v/>
      </c>
      <c r="AA887" s="34">
        <f>SUM(AA951:AA958)</f>
        <v/>
      </c>
      <c r="AB887" s="35">
        <f>SUM(AB951:AB958)</f>
        <v/>
      </c>
      <c r="AC887" s="35">
        <f>SUM(AC951:AC958)</f>
        <v/>
      </c>
      <c r="AD887" s="35">
        <f>SUM(AD951:AD958)</f>
        <v/>
      </c>
      <c r="AE887" s="35">
        <f>SUM(AE951:AE958)</f>
        <v/>
      </c>
      <c r="AF887" s="35">
        <f>SUM(AF951:AF958)</f>
        <v/>
      </c>
      <c r="AG887" s="35">
        <f>SUM(AG951:AG958)</f>
        <v/>
      </c>
      <c r="AH887" s="35">
        <f>SUM(AH951:AH958)</f>
        <v/>
      </c>
      <c r="AI887" s="35">
        <f>SUM(AI951:AI958)</f>
        <v/>
      </c>
      <c r="AJ887" s="35">
        <f>SUM(AJ951:AJ958)</f>
        <v/>
      </c>
      <c r="AK887" s="35">
        <f>SUM(AK951:AK958)</f>
        <v/>
      </c>
      <c r="AL887" s="35">
        <f>SUM(AL951:AL958)</f>
        <v/>
      </c>
      <c r="AM887" s="35">
        <f>SUM(AM951:AM958)</f>
        <v/>
      </c>
      <c r="AN887" s="35">
        <f>SUM(AN951:AN958)</f>
        <v/>
      </c>
    </row>
    <row r="888" hidden="1" outlineLevel="2">
      <c r="A888" s="5" t="inlineStr">
        <is>
          <t>sp</t>
        </is>
      </c>
      <c r="B888" s="5" t="inlineStr">
        <is>
          <t>coa</t>
        </is>
      </c>
      <c r="C888" s="5" t="inlineStr">
        <is>
          <t>mac</t>
        </is>
      </c>
      <c r="D888" s="36">
        <f>INDEX(Inputs!$R$5:$R$132,MATCH($B888&amp;"|"&amp;$C888,Inputs!$A$5:$A$132,0))</f>
        <v/>
      </c>
      <c r="E888" s="37" t="n"/>
      <c r="F888" s="37" t="n"/>
      <c r="G888" s="37" t="n"/>
      <c r="H888" s="5">
        <f>INDEX(Variables!$B$5:$B$65,MATCH($A888,Variables!$A$5:$A$65,0))&amp;IF($C888="",""," | "&amp;INDEX(Mapping!$B$5:$B$25,MATCH($C888,Mapping!$A$5:$A$25,0))&amp;" | "&amp;INDEX(Mapping!$B$29:$B$38,MATCH($B888,Mapping!$A$29:$A$38,0)))</f>
        <v/>
      </c>
      <c r="I888" s="5">
        <f>INDEX(Variables!$C$5:$C$65,MATCH($A888,Variables!$A$5:$A$65,0))</f>
        <v/>
      </c>
      <c r="J888" s="5">
        <f>INDEX(Variables!$E$5:$E$65,MATCH($A888,Variables!$A$5:$A$65,0))</f>
        <v/>
      </c>
      <c r="K888" s="23">
        <f>LOWER(Settings!$C$4)&amp;".mit."&amp;$A888&amp;IF($C888="","","."&amp;$C888&amp;"."&amp;$B888)&amp;IF(INDEX(Variables!$D$5:$D$65,MATCH($A888,Variables!$A$5:$A$65,0))="","","."&amp;INDEX(Variables!$D$5:$D$65,MATCH($A888,Variables!$A$5:$A$65,0)))&amp;"."&amp;K$5</f>
        <v/>
      </c>
      <c r="L888" s="38">
        <f>INDEX(Inputs!$S$5:$S$132,MATCH($B888&amp;"|"&amp;$C888,Inputs!$A$5:$A$132,0))</f>
        <v/>
      </c>
      <c r="M888" s="36">
        <f>L888*(1+$D888)</f>
        <v/>
      </c>
      <c r="N888" s="36">
        <f>M888*(1+$D888)</f>
        <v/>
      </c>
      <c r="O888" s="36">
        <f>N888*(1+$D888)</f>
        <v/>
      </c>
      <c r="P888" s="36">
        <f>O888*(1+$D888)</f>
        <v/>
      </c>
      <c r="Q888" s="36">
        <f>P888*(1+$D888)</f>
        <v/>
      </c>
      <c r="R888" s="36">
        <f>Q888*(1+$D888)</f>
        <v/>
      </c>
      <c r="S888" s="36">
        <f>R888*(1+$D888)</f>
        <v/>
      </c>
      <c r="T888" s="36">
        <f>S888*(1+$D888)</f>
        <v/>
      </c>
      <c r="U888" s="36">
        <f>T888*(1+$D888)</f>
        <v/>
      </c>
      <c r="V888" s="36">
        <f>U888*(1+$D888)</f>
        <v/>
      </c>
      <c r="W888" s="36">
        <f>V888*(1+$D888)</f>
        <v/>
      </c>
      <c r="X888" s="36">
        <f>W888*(1+$D888)</f>
        <v/>
      </c>
      <c r="Y888" s="39">
        <f>PRETAX(X888,$D888)</f>
        <v/>
      </c>
      <c r="Z888" s="23">
        <f>LOWER(Settings!$C$4)&amp;".mit."&amp;$A888&amp;IF($C888="","","."&amp;$C888&amp;"."&amp;$B888)&amp;IF(INDEX(Variables!$D$5:$D$65,MATCH($A888,Variables!$A$5:$A$65,0))="","","."&amp;INDEX(Variables!$D$5:$D$65,MATCH($A888,Variables!$A$5:$A$65,0)))&amp;"."&amp;Z$5</f>
        <v/>
      </c>
      <c r="AA888" s="38">
        <f>INDEX(Inputs!$S$5:$S$132,MATCH($B888&amp;"|"&amp;$C888,Inputs!$A$5:$A$132,0))</f>
        <v/>
      </c>
      <c r="AB888" s="36">
        <f>AA888*(1+$D888)</f>
        <v/>
      </c>
      <c r="AC888" s="36">
        <f>AB888*(1+$D888)</f>
        <v/>
      </c>
      <c r="AD888" s="36">
        <f>AC888*(1+$D888)</f>
        <v/>
      </c>
      <c r="AE888" s="36">
        <f>AD888*(1+$D888)</f>
        <v/>
      </c>
      <c r="AF888" s="36">
        <f>AE888*(1+$D888)</f>
        <v/>
      </c>
      <c r="AG888" s="36">
        <f>AF888*(1+$D888)</f>
        <v/>
      </c>
      <c r="AH888" s="36">
        <f>AG888*(1+$D888)</f>
        <v/>
      </c>
      <c r="AI888" s="36">
        <f>AH888*(1+$D888)</f>
        <v/>
      </c>
      <c r="AJ888" s="36">
        <f>AI888*(1+$D888)</f>
        <v/>
      </c>
      <c r="AK888" s="36">
        <f>AJ888*(1+$D888)</f>
        <v/>
      </c>
      <c r="AL888" s="36">
        <f>AK888*(1+$D888)</f>
        <v/>
      </c>
      <c r="AM888" s="36">
        <f>AL888*(1+$D888)</f>
        <v/>
      </c>
      <c r="AN888" s="39">
        <f>PRETAX(AM888,$D888)</f>
        <v/>
      </c>
    </row>
    <row r="889" hidden="1" outlineLevel="2">
      <c r="A889" s="5" t="inlineStr">
        <is>
          <t>sp</t>
        </is>
      </c>
      <c r="B889" s="5" t="inlineStr">
        <is>
          <t>nga</t>
        </is>
      </c>
      <c r="C889" s="5" t="inlineStr">
        <is>
          <t>mac</t>
        </is>
      </c>
      <c r="D889" s="36">
        <f>INDEX(Inputs!$R$5:$R$132,MATCH($B889&amp;"|"&amp;$C889,Inputs!$A$5:$A$132,0))</f>
        <v/>
      </c>
      <c r="E889" s="37" t="n"/>
      <c r="F889" s="37" t="n"/>
      <c r="G889" s="37" t="n"/>
      <c r="H889" s="5">
        <f>INDEX(Variables!$B$5:$B$65,MATCH($A889,Variables!$A$5:$A$65,0))&amp;IF($C889="",""," | "&amp;INDEX(Mapping!$B$5:$B$25,MATCH($C889,Mapping!$A$5:$A$25,0))&amp;" | "&amp;INDEX(Mapping!$B$29:$B$38,MATCH($B889,Mapping!$A$29:$A$38,0)))</f>
        <v/>
      </c>
      <c r="I889" s="5">
        <f>INDEX(Variables!$C$5:$C$65,MATCH($A889,Variables!$A$5:$A$65,0))</f>
        <v/>
      </c>
      <c r="J889" s="5">
        <f>INDEX(Variables!$E$5:$E$65,MATCH($A889,Variables!$A$5:$A$65,0))</f>
        <v/>
      </c>
      <c r="K889" s="23">
        <f>LOWER(Settings!$C$4)&amp;".mit."&amp;$A889&amp;IF($C889="","","."&amp;$C889&amp;"."&amp;$B889)&amp;IF(INDEX(Variables!$D$5:$D$65,MATCH($A889,Variables!$A$5:$A$65,0))="","","."&amp;INDEX(Variables!$D$5:$D$65,MATCH($A889,Variables!$A$5:$A$65,0)))&amp;"."&amp;K$5</f>
        <v/>
      </c>
      <c r="L889" s="38">
        <f>INDEX(Inputs!$S$5:$S$132,MATCH($B889&amp;"|"&amp;$C889,Inputs!$A$5:$A$132,0))</f>
        <v/>
      </c>
      <c r="M889" s="36">
        <f>L889*(1+$D889)</f>
        <v/>
      </c>
      <c r="N889" s="36">
        <f>M889*(1+$D889)</f>
        <v/>
      </c>
      <c r="O889" s="36">
        <f>N889*(1+$D889)</f>
        <v/>
      </c>
      <c r="P889" s="36">
        <f>O889*(1+$D889)</f>
        <v/>
      </c>
      <c r="Q889" s="36">
        <f>P889*(1+$D889)</f>
        <v/>
      </c>
      <c r="R889" s="36">
        <f>Q889*(1+$D889)</f>
        <v/>
      </c>
      <c r="S889" s="36">
        <f>R889*(1+$D889)</f>
        <v/>
      </c>
      <c r="T889" s="36">
        <f>S889*(1+$D889)</f>
        <v/>
      </c>
      <c r="U889" s="36">
        <f>T889*(1+$D889)</f>
        <v/>
      </c>
      <c r="V889" s="36">
        <f>U889*(1+$D889)</f>
        <v/>
      </c>
      <c r="W889" s="36">
        <f>V889*(1+$D889)</f>
        <v/>
      </c>
      <c r="X889" s="36">
        <f>W889*(1+$D889)</f>
        <v/>
      </c>
      <c r="Y889" s="39">
        <f>PRETAX(X889,$D889)</f>
        <v/>
      </c>
      <c r="Z889" s="23">
        <f>LOWER(Settings!$C$4)&amp;".mit."&amp;$A889&amp;IF($C889="","","."&amp;$C889&amp;"."&amp;$B889)&amp;IF(INDEX(Variables!$D$5:$D$65,MATCH($A889,Variables!$A$5:$A$65,0))="","","."&amp;INDEX(Variables!$D$5:$D$65,MATCH($A889,Variables!$A$5:$A$65,0)))&amp;"."&amp;Z$5</f>
        <v/>
      </c>
      <c r="AA889" s="38">
        <f>INDEX(Inputs!$S$5:$S$132,MATCH($B889&amp;"|"&amp;$C889,Inputs!$A$5:$A$132,0))</f>
        <v/>
      </c>
      <c r="AB889" s="36">
        <f>AA889*(1+$D889)</f>
        <v/>
      </c>
      <c r="AC889" s="36">
        <f>AB889*(1+$D889)</f>
        <v/>
      </c>
      <c r="AD889" s="36">
        <f>AC889*(1+$D889)</f>
        <v/>
      </c>
      <c r="AE889" s="36">
        <f>AD889*(1+$D889)</f>
        <v/>
      </c>
      <c r="AF889" s="36">
        <f>AE889*(1+$D889)</f>
        <v/>
      </c>
      <c r="AG889" s="36">
        <f>AF889*(1+$D889)</f>
        <v/>
      </c>
      <c r="AH889" s="36">
        <f>AG889*(1+$D889)</f>
        <v/>
      </c>
      <c r="AI889" s="36">
        <f>AH889*(1+$D889)</f>
        <v/>
      </c>
      <c r="AJ889" s="36">
        <f>AI889*(1+$D889)</f>
        <v/>
      </c>
      <c r="AK889" s="36">
        <f>AJ889*(1+$D889)</f>
        <v/>
      </c>
      <c r="AL889" s="36">
        <f>AK889*(1+$D889)</f>
        <v/>
      </c>
      <c r="AM889" s="36">
        <f>AL889*(1+$D889)</f>
        <v/>
      </c>
      <c r="AN889" s="39">
        <f>PRETAX(AM889,$D889)</f>
        <v/>
      </c>
    </row>
    <row r="890" hidden="1" outlineLevel="2">
      <c r="A890" s="5" t="inlineStr">
        <is>
          <t>sp</t>
        </is>
      </c>
      <c r="B890" s="5" t="inlineStr">
        <is>
          <t>gso</t>
        </is>
      </c>
      <c r="C890" s="5" t="inlineStr">
        <is>
          <t>mac</t>
        </is>
      </c>
      <c r="D890" s="36">
        <f>INDEX(Inputs!$R$5:$R$132,MATCH($B890&amp;"|"&amp;$C890,Inputs!$A$5:$A$132,0))</f>
        <v/>
      </c>
      <c r="E890" s="37" t="n"/>
      <c r="F890" s="37" t="n"/>
      <c r="G890" s="37" t="n"/>
      <c r="H890" s="5">
        <f>INDEX(Variables!$B$5:$B$65,MATCH($A890,Variables!$A$5:$A$65,0))&amp;IF($C890="",""," | "&amp;INDEX(Mapping!$B$5:$B$25,MATCH($C890,Mapping!$A$5:$A$25,0))&amp;" | "&amp;INDEX(Mapping!$B$29:$B$38,MATCH($B890,Mapping!$A$29:$A$38,0)))</f>
        <v/>
      </c>
      <c r="I890" s="5">
        <f>INDEX(Variables!$C$5:$C$65,MATCH($A890,Variables!$A$5:$A$65,0))</f>
        <v/>
      </c>
      <c r="J890" s="5">
        <f>INDEX(Variables!$E$5:$E$65,MATCH($A890,Variables!$A$5:$A$65,0))</f>
        <v/>
      </c>
      <c r="K890" s="23">
        <f>LOWER(Settings!$C$4)&amp;".mit."&amp;$A890&amp;IF($C890="","","."&amp;$C890&amp;"."&amp;$B890)&amp;IF(INDEX(Variables!$D$5:$D$65,MATCH($A890,Variables!$A$5:$A$65,0))="","","."&amp;INDEX(Variables!$D$5:$D$65,MATCH($A890,Variables!$A$5:$A$65,0)))&amp;"."&amp;K$5</f>
        <v/>
      </c>
      <c r="L890" s="38">
        <f>INDEX(Inputs!$S$5:$S$132,MATCH($B890&amp;"|"&amp;$C890,Inputs!$A$5:$A$132,0))</f>
        <v/>
      </c>
      <c r="M890" s="36">
        <f>L890*(1+$D890)</f>
        <v/>
      </c>
      <c r="N890" s="36">
        <f>M890*(1+$D890)</f>
        <v/>
      </c>
      <c r="O890" s="36">
        <f>N890*(1+$D890)</f>
        <v/>
      </c>
      <c r="P890" s="36">
        <f>O890*(1+$D890)</f>
        <v/>
      </c>
      <c r="Q890" s="36">
        <f>P890*(1+$D890)</f>
        <v/>
      </c>
      <c r="R890" s="36">
        <f>Q890*(1+$D890)</f>
        <v/>
      </c>
      <c r="S890" s="36">
        <f>R890*(1+$D890)</f>
        <v/>
      </c>
      <c r="T890" s="36">
        <f>S890*(1+$D890)</f>
        <v/>
      </c>
      <c r="U890" s="36">
        <f>T890*(1+$D890)</f>
        <v/>
      </c>
      <c r="V890" s="36">
        <f>U890*(1+$D890)</f>
        <v/>
      </c>
      <c r="W890" s="36">
        <f>V890*(1+$D890)</f>
        <v/>
      </c>
      <c r="X890" s="36">
        <f>W890*(1+$D890)</f>
        <v/>
      </c>
      <c r="Y890" s="39">
        <f>PRETAX(X890,$D890)</f>
        <v/>
      </c>
      <c r="Z890" s="23">
        <f>LOWER(Settings!$C$4)&amp;".mit."&amp;$A890&amp;IF($C890="","","."&amp;$C890&amp;"."&amp;$B890)&amp;IF(INDEX(Variables!$D$5:$D$65,MATCH($A890,Variables!$A$5:$A$65,0))="","","."&amp;INDEX(Variables!$D$5:$D$65,MATCH($A890,Variables!$A$5:$A$65,0)))&amp;"."&amp;Z$5</f>
        <v/>
      </c>
      <c r="AA890" s="38">
        <f>INDEX(Inputs!$S$5:$S$132,MATCH($B890&amp;"|"&amp;$C890,Inputs!$A$5:$A$132,0))</f>
        <v/>
      </c>
      <c r="AB890" s="36">
        <f>AA890*(1+$D890)</f>
        <v/>
      </c>
      <c r="AC890" s="36">
        <f>AB890*(1+$D890)</f>
        <v/>
      </c>
      <c r="AD890" s="36">
        <f>AC890*(1+$D890)</f>
        <v/>
      </c>
      <c r="AE890" s="36">
        <f>AD890*(1+$D890)</f>
        <v/>
      </c>
      <c r="AF890" s="36">
        <f>AE890*(1+$D890)</f>
        <v/>
      </c>
      <c r="AG890" s="36">
        <f>AF890*(1+$D890)</f>
        <v/>
      </c>
      <c r="AH890" s="36">
        <f>AG890*(1+$D890)</f>
        <v/>
      </c>
      <c r="AI890" s="36">
        <f>AH890*(1+$D890)</f>
        <v/>
      </c>
      <c r="AJ890" s="36">
        <f>AI890*(1+$D890)</f>
        <v/>
      </c>
      <c r="AK890" s="36">
        <f>AJ890*(1+$D890)</f>
        <v/>
      </c>
      <c r="AL890" s="36">
        <f>AK890*(1+$D890)</f>
        <v/>
      </c>
      <c r="AM890" s="36">
        <f>AL890*(1+$D890)</f>
        <v/>
      </c>
      <c r="AN890" s="39">
        <f>PRETAX(AM890,$D890)</f>
        <v/>
      </c>
    </row>
    <row r="891" hidden="1" outlineLevel="2">
      <c r="A891" s="5" t="inlineStr">
        <is>
          <t>sp</t>
        </is>
      </c>
      <c r="B891" s="5" t="inlineStr">
        <is>
          <t>die</t>
        </is>
      </c>
      <c r="C891" s="5" t="inlineStr">
        <is>
          <t>mac</t>
        </is>
      </c>
      <c r="D891" s="36">
        <f>INDEX(Inputs!$R$5:$R$132,MATCH($B891&amp;"|"&amp;$C891,Inputs!$A$5:$A$132,0))</f>
        <v/>
      </c>
      <c r="E891" s="37" t="n"/>
      <c r="F891" s="37" t="n"/>
      <c r="G891" s="37" t="n"/>
      <c r="H891" s="5">
        <f>INDEX(Variables!$B$5:$B$65,MATCH($A891,Variables!$A$5:$A$65,0))&amp;IF($C891="",""," | "&amp;INDEX(Mapping!$B$5:$B$25,MATCH($C891,Mapping!$A$5:$A$25,0))&amp;" | "&amp;INDEX(Mapping!$B$29:$B$38,MATCH($B891,Mapping!$A$29:$A$38,0)))</f>
        <v/>
      </c>
      <c r="I891" s="5">
        <f>INDEX(Variables!$C$5:$C$65,MATCH($A891,Variables!$A$5:$A$65,0))</f>
        <v/>
      </c>
      <c r="J891" s="5">
        <f>INDEX(Variables!$E$5:$E$65,MATCH($A891,Variables!$A$5:$A$65,0))</f>
        <v/>
      </c>
      <c r="K891" s="23">
        <f>LOWER(Settings!$C$4)&amp;".mit."&amp;$A891&amp;IF($C891="","","."&amp;$C891&amp;"."&amp;$B891)&amp;IF(INDEX(Variables!$D$5:$D$65,MATCH($A891,Variables!$A$5:$A$65,0))="","","."&amp;INDEX(Variables!$D$5:$D$65,MATCH($A891,Variables!$A$5:$A$65,0)))&amp;"."&amp;K$5</f>
        <v/>
      </c>
      <c r="L891" s="38">
        <f>INDEX(Inputs!$S$5:$S$132,MATCH($B891&amp;"|"&amp;$C891,Inputs!$A$5:$A$132,0))</f>
        <v/>
      </c>
      <c r="M891" s="36">
        <f>L891*(1+$D891)</f>
        <v/>
      </c>
      <c r="N891" s="36">
        <f>M891*(1+$D891)</f>
        <v/>
      </c>
      <c r="O891" s="36">
        <f>N891*(1+$D891)</f>
        <v/>
      </c>
      <c r="P891" s="36">
        <f>O891*(1+$D891)</f>
        <v/>
      </c>
      <c r="Q891" s="36">
        <f>P891*(1+$D891)</f>
        <v/>
      </c>
      <c r="R891" s="36">
        <f>Q891*(1+$D891)</f>
        <v/>
      </c>
      <c r="S891" s="36">
        <f>R891*(1+$D891)</f>
        <v/>
      </c>
      <c r="T891" s="36">
        <f>S891*(1+$D891)</f>
        <v/>
      </c>
      <c r="U891" s="36">
        <f>T891*(1+$D891)</f>
        <v/>
      </c>
      <c r="V891" s="36">
        <f>U891*(1+$D891)</f>
        <v/>
      </c>
      <c r="W891" s="36">
        <f>V891*(1+$D891)</f>
        <v/>
      </c>
      <c r="X891" s="36">
        <f>W891*(1+$D891)</f>
        <v/>
      </c>
      <c r="Y891" s="39">
        <f>PRETAX(X891,$D891)</f>
        <v/>
      </c>
      <c r="Z891" s="23">
        <f>LOWER(Settings!$C$4)&amp;".mit."&amp;$A891&amp;IF($C891="","","."&amp;$C891&amp;"."&amp;$B891)&amp;IF(INDEX(Variables!$D$5:$D$65,MATCH($A891,Variables!$A$5:$A$65,0))="","","."&amp;INDEX(Variables!$D$5:$D$65,MATCH($A891,Variables!$A$5:$A$65,0)))&amp;"."&amp;Z$5</f>
        <v/>
      </c>
      <c r="AA891" s="38">
        <f>INDEX(Inputs!$S$5:$S$132,MATCH($B891&amp;"|"&amp;$C891,Inputs!$A$5:$A$132,0))</f>
        <v/>
      </c>
      <c r="AB891" s="36">
        <f>AA891*(1+$D891)</f>
        <v/>
      </c>
      <c r="AC891" s="36">
        <f>AB891*(1+$D891)</f>
        <v/>
      </c>
      <c r="AD891" s="36">
        <f>AC891*(1+$D891)</f>
        <v/>
      </c>
      <c r="AE891" s="36">
        <f>AD891*(1+$D891)</f>
        <v/>
      </c>
      <c r="AF891" s="36">
        <f>AE891*(1+$D891)</f>
        <v/>
      </c>
      <c r="AG891" s="36">
        <f>AF891*(1+$D891)</f>
        <v/>
      </c>
      <c r="AH891" s="36">
        <f>AG891*(1+$D891)</f>
        <v/>
      </c>
      <c r="AI891" s="36">
        <f>AH891*(1+$D891)</f>
        <v/>
      </c>
      <c r="AJ891" s="36">
        <f>AI891*(1+$D891)</f>
        <v/>
      </c>
      <c r="AK891" s="36">
        <f>AJ891*(1+$D891)</f>
        <v/>
      </c>
      <c r="AL891" s="36">
        <f>AK891*(1+$D891)</f>
        <v/>
      </c>
      <c r="AM891" s="36">
        <f>AL891*(1+$D891)</f>
        <v/>
      </c>
      <c r="AN891" s="39">
        <f>PRETAX(AM891,$D891)</f>
        <v/>
      </c>
    </row>
    <row r="892" hidden="1" outlineLevel="2">
      <c r="A892" s="5" t="inlineStr">
        <is>
          <t>sp</t>
        </is>
      </c>
      <c r="B892" s="5" t="inlineStr">
        <is>
          <t>lpg</t>
        </is>
      </c>
      <c r="C892" s="5" t="inlineStr">
        <is>
          <t>mac</t>
        </is>
      </c>
      <c r="D892" s="36">
        <f>INDEX(Inputs!$R$5:$R$132,MATCH($B892&amp;"|"&amp;$C892,Inputs!$A$5:$A$132,0))</f>
        <v/>
      </c>
      <c r="E892" s="37" t="n"/>
      <c r="F892" s="37" t="n"/>
      <c r="G892" s="37" t="n"/>
      <c r="H892" s="5">
        <f>INDEX(Variables!$B$5:$B$65,MATCH($A892,Variables!$A$5:$A$65,0))&amp;IF($C892="",""," | "&amp;INDEX(Mapping!$B$5:$B$25,MATCH($C892,Mapping!$A$5:$A$25,0))&amp;" | "&amp;INDEX(Mapping!$B$29:$B$38,MATCH($B892,Mapping!$A$29:$A$38,0)))</f>
        <v/>
      </c>
      <c r="I892" s="5">
        <f>INDEX(Variables!$C$5:$C$65,MATCH($A892,Variables!$A$5:$A$65,0))</f>
        <v/>
      </c>
      <c r="J892" s="5">
        <f>INDEX(Variables!$E$5:$E$65,MATCH($A892,Variables!$A$5:$A$65,0))</f>
        <v/>
      </c>
      <c r="K892" s="23">
        <f>LOWER(Settings!$C$4)&amp;".mit."&amp;$A892&amp;IF($C892="","","."&amp;$C892&amp;"."&amp;$B892)&amp;IF(INDEX(Variables!$D$5:$D$65,MATCH($A892,Variables!$A$5:$A$65,0))="","","."&amp;INDEX(Variables!$D$5:$D$65,MATCH($A892,Variables!$A$5:$A$65,0)))&amp;"."&amp;K$5</f>
        <v/>
      </c>
      <c r="L892" s="38">
        <f>INDEX(Inputs!$S$5:$S$132,MATCH($B892&amp;"|"&amp;$C892,Inputs!$A$5:$A$132,0))</f>
        <v/>
      </c>
      <c r="M892" s="36">
        <f>L892*(1+$D892)</f>
        <v/>
      </c>
      <c r="N892" s="36">
        <f>M892*(1+$D892)</f>
        <v/>
      </c>
      <c r="O892" s="36">
        <f>N892*(1+$D892)</f>
        <v/>
      </c>
      <c r="P892" s="36">
        <f>O892*(1+$D892)</f>
        <v/>
      </c>
      <c r="Q892" s="36">
        <f>P892*(1+$D892)</f>
        <v/>
      </c>
      <c r="R892" s="36">
        <f>Q892*(1+$D892)</f>
        <v/>
      </c>
      <c r="S892" s="36">
        <f>R892*(1+$D892)</f>
        <v/>
      </c>
      <c r="T892" s="36">
        <f>S892*(1+$D892)</f>
        <v/>
      </c>
      <c r="U892" s="36">
        <f>T892*(1+$D892)</f>
        <v/>
      </c>
      <c r="V892" s="36">
        <f>U892*(1+$D892)</f>
        <v/>
      </c>
      <c r="W892" s="36">
        <f>V892*(1+$D892)</f>
        <v/>
      </c>
      <c r="X892" s="36">
        <f>W892*(1+$D892)</f>
        <v/>
      </c>
      <c r="Y892" s="39">
        <f>PRETAX(X892,$D892)</f>
        <v/>
      </c>
      <c r="Z892" s="23">
        <f>LOWER(Settings!$C$4)&amp;".mit."&amp;$A892&amp;IF($C892="","","."&amp;$C892&amp;"."&amp;$B892)&amp;IF(INDEX(Variables!$D$5:$D$65,MATCH($A892,Variables!$A$5:$A$65,0))="","","."&amp;INDEX(Variables!$D$5:$D$65,MATCH($A892,Variables!$A$5:$A$65,0)))&amp;"."&amp;Z$5</f>
        <v/>
      </c>
      <c r="AA892" s="38">
        <f>INDEX(Inputs!$S$5:$S$132,MATCH($B892&amp;"|"&amp;$C892,Inputs!$A$5:$A$132,0))</f>
        <v/>
      </c>
      <c r="AB892" s="36">
        <f>AA892*(1+$D892)</f>
        <v/>
      </c>
      <c r="AC892" s="36">
        <f>AB892*(1+$D892)</f>
        <v/>
      </c>
      <c r="AD892" s="36">
        <f>AC892*(1+$D892)</f>
        <v/>
      </c>
      <c r="AE892" s="36">
        <f>AD892*(1+$D892)</f>
        <v/>
      </c>
      <c r="AF892" s="36">
        <f>AE892*(1+$D892)</f>
        <v/>
      </c>
      <c r="AG892" s="36">
        <f>AF892*(1+$D892)</f>
        <v/>
      </c>
      <c r="AH892" s="36">
        <f>AG892*(1+$D892)</f>
        <v/>
      </c>
      <c r="AI892" s="36">
        <f>AH892*(1+$D892)</f>
        <v/>
      </c>
      <c r="AJ892" s="36">
        <f>AI892*(1+$D892)</f>
        <v/>
      </c>
      <c r="AK892" s="36">
        <f>AJ892*(1+$D892)</f>
        <v/>
      </c>
      <c r="AL892" s="36">
        <f>AK892*(1+$D892)</f>
        <v/>
      </c>
      <c r="AM892" s="36">
        <f>AL892*(1+$D892)</f>
        <v/>
      </c>
      <c r="AN892" s="39">
        <f>PRETAX(AM892,$D892)</f>
        <v/>
      </c>
    </row>
    <row r="893" hidden="1" outlineLevel="2">
      <c r="A893" s="5" t="inlineStr">
        <is>
          <t>sp</t>
        </is>
      </c>
      <c r="B893" s="5" t="inlineStr">
        <is>
          <t>ker</t>
        </is>
      </c>
      <c r="C893" s="5" t="inlineStr">
        <is>
          <t>mac</t>
        </is>
      </c>
      <c r="D893" s="36">
        <f>INDEX(Inputs!$R$5:$R$132,MATCH($B893&amp;"|"&amp;$C893,Inputs!$A$5:$A$132,0))</f>
        <v/>
      </c>
      <c r="E893" s="37" t="n"/>
      <c r="F893" s="37" t="n"/>
      <c r="G893" s="37" t="n"/>
      <c r="H893" s="5">
        <f>INDEX(Variables!$B$5:$B$65,MATCH($A893,Variables!$A$5:$A$65,0))&amp;IF($C893="",""," | "&amp;INDEX(Mapping!$B$5:$B$25,MATCH($C893,Mapping!$A$5:$A$25,0))&amp;" | "&amp;INDEX(Mapping!$B$29:$B$38,MATCH($B893,Mapping!$A$29:$A$38,0)))</f>
        <v/>
      </c>
      <c r="I893" s="5">
        <f>INDEX(Variables!$C$5:$C$65,MATCH($A893,Variables!$A$5:$A$65,0))</f>
        <v/>
      </c>
      <c r="J893" s="5">
        <f>INDEX(Variables!$E$5:$E$65,MATCH($A893,Variables!$A$5:$A$65,0))</f>
        <v/>
      </c>
      <c r="K893" s="23">
        <f>LOWER(Settings!$C$4)&amp;".mit."&amp;$A893&amp;IF($C893="","","."&amp;$C893&amp;"."&amp;$B893)&amp;IF(INDEX(Variables!$D$5:$D$65,MATCH($A893,Variables!$A$5:$A$65,0))="","","."&amp;INDEX(Variables!$D$5:$D$65,MATCH($A893,Variables!$A$5:$A$65,0)))&amp;"."&amp;K$5</f>
        <v/>
      </c>
      <c r="L893" s="38">
        <f>INDEX(Inputs!$S$5:$S$132,MATCH($B893&amp;"|"&amp;$C893,Inputs!$A$5:$A$132,0))</f>
        <v/>
      </c>
      <c r="M893" s="36">
        <f>L893*(1+$D893)</f>
        <v/>
      </c>
      <c r="N893" s="36">
        <f>M893*(1+$D893)</f>
        <v/>
      </c>
      <c r="O893" s="36">
        <f>N893*(1+$D893)</f>
        <v/>
      </c>
      <c r="P893" s="36">
        <f>O893*(1+$D893)</f>
        <v/>
      </c>
      <c r="Q893" s="36">
        <f>P893*(1+$D893)</f>
        <v/>
      </c>
      <c r="R893" s="36">
        <f>Q893*(1+$D893)</f>
        <v/>
      </c>
      <c r="S893" s="36">
        <f>R893*(1+$D893)</f>
        <v/>
      </c>
      <c r="T893" s="36">
        <f>S893*(1+$D893)</f>
        <v/>
      </c>
      <c r="U893" s="36">
        <f>T893*(1+$D893)</f>
        <v/>
      </c>
      <c r="V893" s="36">
        <f>U893*(1+$D893)</f>
        <v/>
      </c>
      <c r="W893" s="36">
        <f>V893*(1+$D893)</f>
        <v/>
      </c>
      <c r="X893" s="36">
        <f>W893*(1+$D893)</f>
        <v/>
      </c>
      <c r="Y893" s="39">
        <f>PRETAX(X893,$D893)</f>
        <v/>
      </c>
      <c r="Z893" s="23">
        <f>LOWER(Settings!$C$4)&amp;".mit."&amp;$A893&amp;IF($C893="","","."&amp;$C893&amp;"."&amp;$B893)&amp;IF(INDEX(Variables!$D$5:$D$65,MATCH($A893,Variables!$A$5:$A$65,0))="","","."&amp;INDEX(Variables!$D$5:$D$65,MATCH($A893,Variables!$A$5:$A$65,0)))&amp;"."&amp;Z$5</f>
        <v/>
      </c>
      <c r="AA893" s="38">
        <f>INDEX(Inputs!$S$5:$S$132,MATCH($B893&amp;"|"&amp;$C893,Inputs!$A$5:$A$132,0))</f>
        <v/>
      </c>
      <c r="AB893" s="36">
        <f>AA893*(1+$D893)</f>
        <v/>
      </c>
      <c r="AC893" s="36">
        <f>AB893*(1+$D893)</f>
        <v/>
      </c>
      <c r="AD893" s="36">
        <f>AC893*(1+$D893)</f>
        <v/>
      </c>
      <c r="AE893" s="36">
        <f>AD893*(1+$D893)</f>
        <v/>
      </c>
      <c r="AF893" s="36">
        <f>AE893*(1+$D893)</f>
        <v/>
      </c>
      <c r="AG893" s="36">
        <f>AF893*(1+$D893)</f>
        <v/>
      </c>
      <c r="AH893" s="36">
        <f>AG893*(1+$D893)</f>
        <v/>
      </c>
      <c r="AI893" s="36">
        <f>AH893*(1+$D893)</f>
        <v/>
      </c>
      <c r="AJ893" s="36">
        <f>AI893*(1+$D893)</f>
        <v/>
      </c>
      <c r="AK893" s="36">
        <f>AJ893*(1+$D893)</f>
        <v/>
      </c>
      <c r="AL893" s="36">
        <f>AK893*(1+$D893)</f>
        <v/>
      </c>
      <c r="AM893" s="36">
        <f>AL893*(1+$D893)</f>
        <v/>
      </c>
      <c r="AN893" s="39">
        <f>PRETAX(AM893,$D893)</f>
        <v/>
      </c>
    </row>
    <row r="894" hidden="1" outlineLevel="2">
      <c r="A894" s="5" t="inlineStr">
        <is>
          <t>sp</t>
        </is>
      </c>
      <c r="B894" s="5" t="inlineStr">
        <is>
          <t>oop</t>
        </is>
      </c>
      <c r="C894" s="5" t="inlineStr">
        <is>
          <t>mac</t>
        </is>
      </c>
      <c r="D894" s="36">
        <f>INDEX(Inputs!$R$5:$R$132,MATCH($B894&amp;"|"&amp;$C894,Inputs!$A$5:$A$132,0))</f>
        <v/>
      </c>
      <c r="E894" s="37" t="n"/>
      <c r="F894" s="37" t="n"/>
      <c r="G894" s="37" t="n"/>
      <c r="H894" s="5">
        <f>INDEX(Variables!$B$5:$B$65,MATCH($A894,Variables!$A$5:$A$65,0))&amp;IF($C894="",""," | "&amp;INDEX(Mapping!$B$5:$B$25,MATCH($C894,Mapping!$A$5:$A$25,0))&amp;" | "&amp;INDEX(Mapping!$B$29:$B$38,MATCH($B894,Mapping!$A$29:$A$38,0)))</f>
        <v/>
      </c>
      <c r="I894" s="5">
        <f>INDEX(Variables!$C$5:$C$65,MATCH($A894,Variables!$A$5:$A$65,0))</f>
        <v/>
      </c>
      <c r="J894" s="5">
        <f>INDEX(Variables!$E$5:$E$65,MATCH($A894,Variables!$A$5:$A$65,0))</f>
        <v/>
      </c>
      <c r="K894" s="23">
        <f>LOWER(Settings!$C$4)&amp;".mit."&amp;$A894&amp;IF($C894="","","."&amp;$C894&amp;"."&amp;$B894)&amp;IF(INDEX(Variables!$D$5:$D$65,MATCH($A894,Variables!$A$5:$A$65,0))="","","."&amp;INDEX(Variables!$D$5:$D$65,MATCH($A894,Variables!$A$5:$A$65,0)))&amp;"."&amp;K$5</f>
        <v/>
      </c>
      <c r="L894" s="38">
        <f>INDEX(Inputs!$S$5:$S$132,MATCH($B894&amp;"|"&amp;$C894,Inputs!$A$5:$A$132,0))</f>
        <v/>
      </c>
      <c r="M894" s="36">
        <f>L894*(1+$D894)</f>
        <v/>
      </c>
      <c r="N894" s="36">
        <f>M894*(1+$D894)</f>
        <v/>
      </c>
      <c r="O894" s="36">
        <f>N894*(1+$D894)</f>
        <v/>
      </c>
      <c r="P894" s="36">
        <f>O894*(1+$D894)</f>
        <v/>
      </c>
      <c r="Q894" s="36">
        <f>P894*(1+$D894)</f>
        <v/>
      </c>
      <c r="R894" s="36">
        <f>Q894*(1+$D894)</f>
        <v/>
      </c>
      <c r="S894" s="36">
        <f>R894*(1+$D894)</f>
        <v/>
      </c>
      <c r="T894" s="36">
        <f>S894*(1+$D894)</f>
        <v/>
      </c>
      <c r="U894" s="36">
        <f>T894*(1+$D894)</f>
        <v/>
      </c>
      <c r="V894" s="36">
        <f>U894*(1+$D894)</f>
        <v/>
      </c>
      <c r="W894" s="36">
        <f>V894*(1+$D894)</f>
        <v/>
      </c>
      <c r="X894" s="36">
        <f>W894*(1+$D894)</f>
        <v/>
      </c>
      <c r="Y894" s="39">
        <f>PRETAX(X894,$D894)</f>
        <v/>
      </c>
      <c r="Z894" s="23">
        <f>LOWER(Settings!$C$4)&amp;".mit."&amp;$A894&amp;IF($C894="","","."&amp;$C894&amp;"."&amp;$B894)&amp;IF(INDEX(Variables!$D$5:$D$65,MATCH($A894,Variables!$A$5:$A$65,0))="","","."&amp;INDEX(Variables!$D$5:$D$65,MATCH($A894,Variables!$A$5:$A$65,0)))&amp;"."&amp;Z$5</f>
        <v/>
      </c>
      <c r="AA894" s="38">
        <f>INDEX(Inputs!$S$5:$S$132,MATCH($B894&amp;"|"&amp;$C894,Inputs!$A$5:$A$132,0))</f>
        <v/>
      </c>
      <c r="AB894" s="36">
        <f>AA894*(1+$D894)</f>
        <v/>
      </c>
      <c r="AC894" s="36">
        <f>AB894*(1+$D894)</f>
        <v/>
      </c>
      <c r="AD894" s="36">
        <f>AC894*(1+$D894)</f>
        <v/>
      </c>
      <c r="AE894" s="36">
        <f>AD894*(1+$D894)</f>
        <v/>
      </c>
      <c r="AF894" s="36">
        <f>AE894*(1+$D894)</f>
        <v/>
      </c>
      <c r="AG894" s="36">
        <f>AF894*(1+$D894)</f>
        <v/>
      </c>
      <c r="AH894" s="36">
        <f>AG894*(1+$D894)</f>
        <v/>
      </c>
      <c r="AI894" s="36">
        <f>AH894*(1+$D894)</f>
        <v/>
      </c>
      <c r="AJ894" s="36">
        <f>AI894*(1+$D894)</f>
        <v/>
      </c>
      <c r="AK894" s="36">
        <f>AJ894*(1+$D894)</f>
        <v/>
      </c>
      <c r="AL894" s="36">
        <f>AK894*(1+$D894)</f>
        <v/>
      </c>
      <c r="AM894" s="36">
        <f>AL894*(1+$D894)</f>
        <v/>
      </c>
      <c r="AN894" s="39">
        <f>PRETAX(AM894,$D894)</f>
        <v/>
      </c>
    </row>
    <row r="895" hidden="1" outlineLevel="2">
      <c r="A895" s="5" t="inlineStr">
        <is>
          <t>sp</t>
        </is>
      </c>
      <c r="B895" s="5" t="inlineStr">
        <is>
          <t>bio</t>
        </is>
      </c>
      <c r="C895" s="5" t="inlineStr">
        <is>
          <t>mac</t>
        </is>
      </c>
      <c r="D895" s="36">
        <f>INDEX(Inputs!$R$5:$R$132,MATCH($B895&amp;"|"&amp;$C895,Inputs!$A$5:$A$132,0))</f>
        <v/>
      </c>
      <c r="E895" s="37" t="n"/>
      <c r="F895" s="37" t="n"/>
      <c r="G895" s="37" t="n"/>
      <c r="H895" s="5">
        <f>INDEX(Variables!$B$5:$B$65,MATCH($A895,Variables!$A$5:$A$65,0))&amp;IF($C895="",""," | "&amp;INDEX(Mapping!$B$5:$B$25,MATCH($C895,Mapping!$A$5:$A$25,0))&amp;" | "&amp;INDEX(Mapping!$B$29:$B$38,MATCH($B895,Mapping!$A$29:$A$38,0)))</f>
        <v/>
      </c>
      <c r="I895" s="5">
        <f>INDEX(Variables!$C$5:$C$65,MATCH($A895,Variables!$A$5:$A$65,0))</f>
        <v/>
      </c>
      <c r="J895" s="5">
        <f>INDEX(Variables!$E$5:$E$65,MATCH($A895,Variables!$A$5:$A$65,0))</f>
        <v/>
      </c>
      <c r="K895" s="23">
        <f>LOWER(Settings!$C$4)&amp;".mit."&amp;$A895&amp;IF($C895="","","."&amp;$C895&amp;"."&amp;$B895)&amp;IF(INDEX(Variables!$D$5:$D$65,MATCH($A895,Variables!$A$5:$A$65,0))="","","."&amp;INDEX(Variables!$D$5:$D$65,MATCH($A895,Variables!$A$5:$A$65,0)))&amp;"."&amp;K$5</f>
        <v/>
      </c>
      <c r="L895" s="38">
        <f>INDEX(Inputs!$S$5:$S$132,MATCH($B895&amp;"|"&amp;$C895,Inputs!$A$5:$A$132,0))</f>
        <v/>
      </c>
      <c r="M895" s="36">
        <f>L895*(1+$D895)</f>
        <v/>
      </c>
      <c r="N895" s="36">
        <f>M895*(1+$D895)</f>
        <v/>
      </c>
      <c r="O895" s="36">
        <f>N895*(1+$D895)</f>
        <v/>
      </c>
      <c r="P895" s="36">
        <f>O895*(1+$D895)</f>
        <v/>
      </c>
      <c r="Q895" s="36">
        <f>P895*(1+$D895)</f>
        <v/>
      </c>
      <c r="R895" s="36">
        <f>Q895*(1+$D895)</f>
        <v/>
      </c>
      <c r="S895" s="36">
        <f>R895*(1+$D895)</f>
        <v/>
      </c>
      <c r="T895" s="36">
        <f>S895*(1+$D895)</f>
        <v/>
      </c>
      <c r="U895" s="36">
        <f>T895*(1+$D895)</f>
        <v/>
      </c>
      <c r="V895" s="36">
        <f>U895*(1+$D895)</f>
        <v/>
      </c>
      <c r="W895" s="36">
        <f>V895*(1+$D895)</f>
        <v/>
      </c>
      <c r="X895" s="36">
        <f>W895*(1+$D895)</f>
        <v/>
      </c>
      <c r="Y895" s="39">
        <f>PRETAX(X895,$D895)</f>
        <v/>
      </c>
      <c r="Z895" s="23">
        <f>LOWER(Settings!$C$4)&amp;".mit."&amp;$A895&amp;IF($C895="","","."&amp;$C895&amp;"."&amp;$B895)&amp;IF(INDEX(Variables!$D$5:$D$65,MATCH($A895,Variables!$A$5:$A$65,0))="","","."&amp;INDEX(Variables!$D$5:$D$65,MATCH($A895,Variables!$A$5:$A$65,0)))&amp;"."&amp;Z$5</f>
        <v/>
      </c>
      <c r="AA895" s="38">
        <f>INDEX(Inputs!$S$5:$S$132,MATCH($B895&amp;"|"&amp;$C895,Inputs!$A$5:$A$132,0))</f>
        <v/>
      </c>
      <c r="AB895" s="36">
        <f>AA895*(1+$D895)</f>
        <v/>
      </c>
      <c r="AC895" s="36">
        <f>AB895*(1+$D895)</f>
        <v/>
      </c>
      <c r="AD895" s="36">
        <f>AC895*(1+$D895)</f>
        <v/>
      </c>
      <c r="AE895" s="36">
        <f>AD895*(1+$D895)</f>
        <v/>
      </c>
      <c r="AF895" s="36">
        <f>AE895*(1+$D895)</f>
        <v/>
      </c>
      <c r="AG895" s="36">
        <f>AF895*(1+$D895)</f>
        <v/>
      </c>
      <c r="AH895" s="36">
        <f>AG895*(1+$D895)</f>
        <v/>
      </c>
      <c r="AI895" s="36">
        <f>AH895*(1+$D895)</f>
        <v/>
      </c>
      <c r="AJ895" s="36">
        <f>AI895*(1+$D895)</f>
        <v/>
      </c>
      <c r="AK895" s="36">
        <f>AJ895*(1+$D895)</f>
        <v/>
      </c>
      <c r="AL895" s="36">
        <f>AK895*(1+$D895)</f>
        <v/>
      </c>
      <c r="AM895" s="36">
        <f>AL895*(1+$D895)</f>
        <v/>
      </c>
      <c r="AN895" s="39">
        <f>PRETAX(AM895,$D895)</f>
        <v/>
      </c>
    </row>
    <row r="896" hidden="1" outlineLevel="2"/>
    <row r="897" hidden="1" outlineLevel="2">
      <c r="A897" s="5" t="inlineStr">
        <is>
          <t>ctxnew</t>
        </is>
      </c>
      <c r="B897" s="5" t="inlineStr">
        <is>
          <t>coa</t>
        </is>
      </c>
      <c r="C897" s="5" t="inlineStr">
        <is>
          <t>mac</t>
        </is>
      </c>
      <c r="D897" s="36">
        <f>INDEX(Inputs!$U$5:$U$132,MATCH($B897&amp;"|"&amp;$C897,Inputs!$A$5:$A$132,0))</f>
        <v/>
      </c>
      <c r="E897" s="36">
        <f>INDEX(Inputs!$J$5:$J$132,MATCH($B897&amp;"|"&amp;$C897,Inputs!$A$5:$A$132,0))</f>
        <v/>
      </c>
      <c r="F897" s="36">
        <f>INDEX(Inputs!$K$5:$K$132,MATCH($B897&amp;"|"&amp;$C897,Inputs!$A$5:$A$132,0))</f>
        <v/>
      </c>
      <c r="G897" s="37" t="n"/>
      <c r="H897" s="5">
        <f>INDEX(Variables!$B$5:$B$65,MATCH($A897,Variables!$A$5:$A$65,0))&amp;IF($C897="",""," | "&amp;INDEX(Mapping!$B$5:$B$25,MATCH($C897,Mapping!$A$5:$A$25,0))&amp;" | "&amp;INDEX(Mapping!$B$29:$B$38,MATCH($B897,Mapping!$A$29:$A$38,0)))</f>
        <v/>
      </c>
      <c r="I897" s="5">
        <f>INDEX(Variables!$C$5:$C$65,MATCH($A897,Variables!$A$5:$A$65,0))</f>
        <v/>
      </c>
      <c r="J897" s="5">
        <f>INDEX(Variables!$E$5:$E$65,MATCH($A897,Variables!$A$5:$A$65,0))</f>
        <v/>
      </c>
      <c r="K897" s="23">
        <f>LOWER(Settings!$C$4)&amp;".mit."&amp;$A897&amp;IF($C897="","","."&amp;$C897&amp;"."&amp;$B897)&amp;IF(INDEX(Variables!$D$5:$D$65,MATCH($A897,Variables!$A$5:$A$65,0))="","","."&amp;INDEX(Variables!$D$5:$D$65,MATCH($A897,Variables!$A$5:$A$65,0)))&amp;"."&amp;K$5</f>
        <v/>
      </c>
      <c r="L897" s="38">
        <f>L$10*$D897*INDEX(L$18:L$25,$E897)*INDEX(L$27:L$43,$F897)</f>
        <v/>
      </c>
      <c r="M897" s="36">
        <f>M$10*$D897*INDEX(M$18:M$25,$E897)*INDEX(M$27:M$43,$F897)</f>
        <v/>
      </c>
      <c r="N897" s="36">
        <f>N$10*$D897*INDEX(N$18:N$25,$E897)*INDEX(N$27:N$43,$F897)</f>
        <v/>
      </c>
      <c r="O897" s="36">
        <f>O$10*$D897*INDEX(O$18:O$25,$E897)*INDEX(O$27:O$43,$F897)</f>
        <v/>
      </c>
      <c r="P897" s="36">
        <f>P$10*$D897*INDEX(P$18:P$25,$E897)*INDEX(P$27:P$43,$F897)</f>
        <v/>
      </c>
      <c r="Q897" s="36">
        <f>Q$10*$D897*INDEX(Q$18:Q$25,$E897)*INDEX(Q$27:Q$43,$F897)</f>
        <v/>
      </c>
      <c r="R897" s="36">
        <f>R$10*$D897*INDEX(R$18:R$25,$E897)*INDEX(R$27:R$43,$F897)</f>
        <v/>
      </c>
      <c r="S897" s="36">
        <f>S$10*$D897*INDEX(S$18:S$25,$E897)*INDEX(S$27:S$43,$F897)</f>
        <v/>
      </c>
      <c r="T897" s="36">
        <f>T$10*$D897*INDEX(T$18:T$25,$E897)*INDEX(T$27:T$43,$F897)</f>
        <v/>
      </c>
      <c r="U897" s="36">
        <f>U$10*$D897*INDEX(U$18:U$25,$E897)*INDEX(U$27:U$43,$F897)</f>
        <v/>
      </c>
      <c r="V897" s="36">
        <f>V$10*$D897*INDEX(V$18:V$25,$E897)*INDEX(V$27:V$43,$F897)</f>
        <v/>
      </c>
      <c r="W897" s="36">
        <f>W$10*$D897*INDEX(W$18:W$25,$E897)*INDEX(W$27:W$43,$F897)</f>
        <v/>
      </c>
      <c r="X897" s="36">
        <f>X$10*$D897*INDEX(X$18:X$25,$E897)*INDEX(X$27:X$43,$F897)</f>
        <v/>
      </c>
      <c r="Y897" s="36">
        <f>Y$10*$D897*INDEX(Y$18:Y$25,$E897)*INDEX(Y$27:Y$43,$F897)</f>
        <v/>
      </c>
      <c r="Z897" s="23">
        <f>LOWER(Settings!$C$4)&amp;".mit."&amp;$A897&amp;IF($C897="","","."&amp;$C897&amp;"."&amp;$B897)&amp;IF(INDEX(Variables!$D$5:$D$65,MATCH($A897,Variables!$A$5:$A$65,0))="","","."&amp;INDEX(Variables!$D$5:$D$65,MATCH($A897,Variables!$A$5:$A$65,0)))&amp;"."&amp;Z$5</f>
        <v/>
      </c>
      <c r="AA897" s="38">
        <f>AA$10*$D897*INDEX(AA$18:AA$25,$E897)*INDEX(AA$27:AA$43,$F897)</f>
        <v/>
      </c>
      <c r="AB897" s="36">
        <f>AB$10*$D897*INDEX(AB$18:AB$25,$E897)*INDEX(AB$27:AB$43,$F897)</f>
        <v/>
      </c>
      <c r="AC897" s="36">
        <f>AC$10*$D897*INDEX(AC$18:AC$25,$E897)*INDEX(AC$27:AC$43,$F897)</f>
        <v/>
      </c>
      <c r="AD897" s="36">
        <f>AD$10*$D897*INDEX(AD$18:AD$25,$E897)*INDEX(AD$27:AD$43,$F897)</f>
        <v/>
      </c>
      <c r="AE897" s="36">
        <f>AE$10*$D897*INDEX(AE$18:AE$25,$E897)*INDEX(AE$27:AE$43,$F897)</f>
        <v/>
      </c>
      <c r="AF897" s="36">
        <f>AF$10*$D897*INDEX(AF$18:AF$25,$E897)*INDEX(AF$27:AF$43,$F897)</f>
        <v/>
      </c>
      <c r="AG897" s="36">
        <f>AG$10*$D897*INDEX(AG$18:AG$25,$E897)*INDEX(AG$27:AG$43,$F897)</f>
        <v/>
      </c>
      <c r="AH897" s="36">
        <f>AH$10*$D897*INDEX(AH$18:AH$25,$E897)*INDEX(AH$27:AH$43,$F897)</f>
        <v/>
      </c>
      <c r="AI897" s="36">
        <f>AI$10*$D897*INDEX(AI$18:AI$25,$E897)*INDEX(AI$27:AI$43,$F897)</f>
        <v/>
      </c>
      <c r="AJ897" s="36">
        <f>AJ$10*$D897*INDEX(AJ$18:AJ$25,$E897)*INDEX(AJ$27:AJ$43,$F897)</f>
        <v/>
      </c>
      <c r="AK897" s="36">
        <f>AK$10*$D897*INDEX(AK$18:AK$25,$E897)*INDEX(AK$27:AK$43,$F897)</f>
        <v/>
      </c>
      <c r="AL897" s="36">
        <f>AL$10*$D897*INDEX(AL$18:AL$25,$E897)*INDEX(AL$27:AL$43,$F897)</f>
        <v/>
      </c>
      <c r="AM897" s="36">
        <f>AM$10*$D897*INDEX(AM$18:AM$25,$E897)*INDEX(AM$27:AM$43,$F897)</f>
        <v/>
      </c>
      <c r="AN897" s="36">
        <f>AN$10*$D897*INDEX(AN$18:AN$25,$E897)*INDEX(AN$27:AN$43,$F897)</f>
        <v/>
      </c>
    </row>
    <row r="898" hidden="1" outlineLevel="2">
      <c r="A898" s="5" t="inlineStr">
        <is>
          <t>ctxnew</t>
        </is>
      </c>
      <c r="B898" s="5" t="inlineStr">
        <is>
          <t>nga</t>
        </is>
      </c>
      <c r="C898" s="5" t="inlineStr">
        <is>
          <t>mac</t>
        </is>
      </c>
      <c r="D898" s="36">
        <f>INDEX(Inputs!$U$5:$U$132,MATCH($B898&amp;"|"&amp;$C898,Inputs!$A$5:$A$132,0))</f>
        <v/>
      </c>
      <c r="E898" s="36">
        <f>INDEX(Inputs!$J$5:$J$132,MATCH($B898&amp;"|"&amp;$C898,Inputs!$A$5:$A$132,0))</f>
        <v/>
      </c>
      <c r="F898" s="36">
        <f>INDEX(Inputs!$K$5:$K$132,MATCH($B898&amp;"|"&amp;$C898,Inputs!$A$5:$A$132,0))</f>
        <v/>
      </c>
      <c r="G898" s="37" t="n"/>
      <c r="H898" s="5">
        <f>INDEX(Variables!$B$5:$B$65,MATCH($A898,Variables!$A$5:$A$65,0))&amp;IF($C898="",""," | "&amp;INDEX(Mapping!$B$5:$B$25,MATCH($C898,Mapping!$A$5:$A$25,0))&amp;" | "&amp;INDEX(Mapping!$B$29:$B$38,MATCH($B898,Mapping!$A$29:$A$38,0)))</f>
        <v/>
      </c>
      <c r="I898" s="5">
        <f>INDEX(Variables!$C$5:$C$65,MATCH($A898,Variables!$A$5:$A$65,0))</f>
        <v/>
      </c>
      <c r="J898" s="5">
        <f>INDEX(Variables!$E$5:$E$65,MATCH($A898,Variables!$A$5:$A$65,0))</f>
        <v/>
      </c>
      <c r="K898" s="23">
        <f>LOWER(Settings!$C$4)&amp;".mit."&amp;$A898&amp;IF($C898="","","."&amp;$C898&amp;"."&amp;$B898)&amp;IF(INDEX(Variables!$D$5:$D$65,MATCH($A898,Variables!$A$5:$A$65,0))="","","."&amp;INDEX(Variables!$D$5:$D$65,MATCH($A898,Variables!$A$5:$A$65,0)))&amp;"."&amp;K$5</f>
        <v/>
      </c>
      <c r="L898" s="38">
        <f>L$10*$D898*INDEX(L$18:L$25,$E898)*INDEX(L$27:L$43,$F898)</f>
        <v/>
      </c>
      <c r="M898" s="36">
        <f>M$10*$D898*INDEX(M$18:M$25,$E898)*INDEX(M$27:M$43,$F898)</f>
        <v/>
      </c>
      <c r="N898" s="36">
        <f>N$10*$D898*INDEX(N$18:N$25,$E898)*INDEX(N$27:N$43,$F898)</f>
        <v/>
      </c>
      <c r="O898" s="36">
        <f>O$10*$D898*INDEX(O$18:O$25,$E898)*INDEX(O$27:O$43,$F898)</f>
        <v/>
      </c>
      <c r="P898" s="36">
        <f>P$10*$D898*INDEX(P$18:P$25,$E898)*INDEX(P$27:P$43,$F898)</f>
        <v/>
      </c>
      <c r="Q898" s="36">
        <f>Q$10*$D898*INDEX(Q$18:Q$25,$E898)*INDEX(Q$27:Q$43,$F898)</f>
        <v/>
      </c>
      <c r="R898" s="36">
        <f>R$10*$D898*INDEX(R$18:R$25,$E898)*INDEX(R$27:R$43,$F898)</f>
        <v/>
      </c>
      <c r="S898" s="36">
        <f>S$10*$D898*INDEX(S$18:S$25,$E898)*INDEX(S$27:S$43,$F898)</f>
        <v/>
      </c>
      <c r="T898" s="36">
        <f>T$10*$D898*INDEX(T$18:T$25,$E898)*INDEX(T$27:T$43,$F898)</f>
        <v/>
      </c>
      <c r="U898" s="36">
        <f>U$10*$D898*INDEX(U$18:U$25,$E898)*INDEX(U$27:U$43,$F898)</f>
        <v/>
      </c>
      <c r="V898" s="36">
        <f>V$10*$D898*INDEX(V$18:V$25,$E898)*INDEX(V$27:V$43,$F898)</f>
        <v/>
      </c>
      <c r="W898" s="36">
        <f>W$10*$D898*INDEX(W$18:W$25,$E898)*INDEX(W$27:W$43,$F898)</f>
        <v/>
      </c>
      <c r="X898" s="36">
        <f>X$10*$D898*INDEX(X$18:X$25,$E898)*INDEX(X$27:X$43,$F898)</f>
        <v/>
      </c>
      <c r="Y898" s="36">
        <f>Y$10*$D898*INDEX(Y$18:Y$25,$E898)*INDEX(Y$27:Y$43,$F898)</f>
        <v/>
      </c>
      <c r="Z898" s="23">
        <f>LOWER(Settings!$C$4)&amp;".mit."&amp;$A898&amp;IF($C898="","","."&amp;$C898&amp;"."&amp;$B898)&amp;IF(INDEX(Variables!$D$5:$D$65,MATCH($A898,Variables!$A$5:$A$65,0))="","","."&amp;INDEX(Variables!$D$5:$D$65,MATCH($A898,Variables!$A$5:$A$65,0)))&amp;"."&amp;Z$5</f>
        <v/>
      </c>
      <c r="AA898" s="38">
        <f>AA$10*$D898*INDEX(AA$18:AA$25,$E898)*INDEX(AA$27:AA$43,$F898)</f>
        <v/>
      </c>
      <c r="AB898" s="36">
        <f>AB$10*$D898*INDEX(AB$18:AB$25,$E898)*INDEX(AB$27:AB$43,$F898)</f>
        <v/>
      </c>
      <c r="AC898" s="36">
        <f>AC$10*$D898*INDEX(AC$18:AC$25,$E898)*INDEX(AC$27:AC$43,$F898)</f>
        <v/>
      </c>
      <c r="AD898" s="36">
        <f>AD$10*$D898*INDEX(AD$18:AD$25,$E898)*INDEX(AD$27:AD$43,$F898)</f>
        <v/>
      </c>
      <c r="AE898" s="36">
        <f>AE$10*$D898*INDEX(AE$18:AE$25,$E898)*INDEX(AE$27:AE$43,$F898)</f>
        <v/>
      </c>
      <c r="AF898" s="36">
        <f>AF$10*$D898*INDEX(AF$18:AF$25,$E898)*INDEX(AF$27:AF$43,$F898)</f>
        <v/>
      </c>
      <c r="AG898" s="36">
        <f>AG$10*$D898*INDEX(AG$18:AG$25,$E898)*INDEX(AG$27:AG$43,$F898)</f>
        <v/>
      </c>
      <c r="AH898" s="36">
        <f>AH$10*$D898*INDEX(AH$18:AH$25,$E898)*INDEX(AH$27:AH$43,$F898)</f>
        <v/>
      </c>
      <c r="AI898" s="36">
        <f>AI$10*$D898*INDEX(AI$18:AI$25,$E898)*INDEX(AI$27:AI$43,$F898)</f>
        <v/>
      </c>
      <c r="AJ898" s="36">
        <f>AJ$10*$D898*INDEX(AJ$18:AJ$25,$E898)*INDEX(AJ$27:AJ$43,$F898)</f>
        <v/>
      </c>
      <c r="AK898" s="36">
        <f>AK$10*$D898*INDEX(AK$18:AK$25,$E898)*INDEX(AK$27:AK$43,$F898)</f>
        <v/>
      </c>
      <c r="AL898" s="36">
        <f>AL$10*$D898*INDEX(AL$18:AL$25,$E898)*INDEX(AL$27:AL$43,$F898)</f>
        <v/>
      </c>
      <c r="AM898" s="36">
        <f>AM$10*$D898*INDEX(AM$18:AM$25,$E898)*INDEX(AM$27:AM$43,$F898)</f>
        <v/>
      </c>
      <c r="AN898" s="36">
        <f>AN$10*$D898*INDEX(AN$18:AN$25,$E898)*INDEX(AN$27:AN$43,$F898)</f>
        <v/>
      </c>
    </row>
    <row r="899" hidden="1" outlineLevel="2">
      <c r="A899" s="5" t="inlineStr">
        <is>
          <t>ctxnew</t>
        </is>
      </c>
      <c r="B899" s="5" t="inlineStr">
        <is>
          <t>gso</t>
        </is>
      </c>
      <c r="C899" s="5" t="inlineStr">
        <is>
          <t>mac</t>
        </is>
      </c>
      <c r="D899" s="36">
        <f>INDEX(Inputs!$U$5:$U$132,MATCH($B899&amp;"|"&amp;$C899,Inputs!$A$5:$A$132,0))</f>
        <v/>
      </c>
      <c r="E899" s="36">
        <f>INDEX(Inputs!$J$5:$J$132,MATCH($B899&amp;"|"&amp;$C899,Inputs!$A$5:$A$132,0))</f>
        <v/>
      </c>
      <c r="F899" s="36">
        <f>INDEX(Inputs!$K$5:$K$132,MATCH($B899&amp;"|"&amp;$C899,Inputs!$A$5:$A$132,0))</f>
        <v/>
      </c>
      <c r="G899" s="37" t="n"/>
      <c r="H899" s="5">
        <f>INDEX(Variables!$B$5:$B$65,MATCH($A899,Variables!$A$5:$A$65,0))&amp;IF($C899="",""," | "&amp;INDEX(Mapping!$B$5:$B$25,MATCH($C899,Mapping!$A$5:$A$25,0))&amp;" | "&amp;INDEX(Mapping!$B$29:$B$38,MATCH($B899,Mapping!$A$29:$A$38,0)))</f>
        <v/>
      </c>
      <c r="I899" s="5">
        <f>INDEX(Variables!$C$5:$C$65,MATCH($A899,Variables!$A$5:$A$65,0))</f>
        <v/>
      </c>
      <c r="J899" s="5">
        <f>INDEX(Variables!$E$5:$E$65,MATCH($A899,Variables!$A$5:$A$65,0))</f>
        <v/>
      </c>
      <c r="K899" s="23">
        <f>LOWER(Settings!$C$4)&amp;".mit."&amp;$A899&amp;IF($C899="","","."&amp;$C899&amp;"."&amp;$B899)&amp;IF(INDEX(Variables!$D$5:$D$65,MATCH($A899,Variables!$A$5:$A$65,0))="","","."&amp;INDEX(Variables!$D$5:$D$65,MATCH($A899,Variables!$A$5:$A$65,0)))&amp;"."&amp;K$5</f>
        <v/>
      </c>
      <c r="L899" s="38">
        <f>L$10*$D899*INDEX(L$18:L$25,$E899)*INDEX(L$27:L$43,$F899)</f>
        <v/>
      </c>
      <c r="M899" s="36">
        <f>M$10*$D899*INDEX(M$18:M$25,$E899)*INDEX(M$27:M$43,$F899)</f>
        <v/>
      </c>
      <c r="N899" s="36">
        <f>N$10*$D899*INDEX(N$18:N$25,$E899)*INDEX(N$27:N$43,$F899)</f>
        <v/>
      </c>
      <c r="O899" s="36">
        <f>O$10*$D899*INDEX(O$18:O$25,$E899)*INDEX(O$27:O$43,$F899)</f>
        <v/>
      </c>
      <c r="P899" s="36">
        <f>P$10*$D899*INDEX(P$18:P$25,$E899)*INDEX(P$27:P$43,$F899)</f>
        <v/>
      </c>
      <c r="Q899" s="36">
        <f>Q$10*$D899*INDEX(Q$18:Q$25,$E899)*INDEX(Q$27:Q$43,$F899)</f>
        <v/>
      </c>
      <c r="R899" s="36">
        <f>R$10*$D899*INDEX(R$18:R$25,$E899)*INDEX(R$27:R$43,$F899)</f>
        <v/>
      </c>
      <c r="S899" s="36">
        <f>S$10*$D899*INDEX(S$18:S$25,$E899)*INDEX(S$27:S$43,$F899)</f>
        <v/>
      </c>
      <c r="T899" s="36">
        <f>T$10*$D899*INDEX(T$18:T$25,$E899)*INDEX(T$27:T$43,$F899)</f>
        <v/>
      </c>
      <c r="U899" s="36">
        <f>U$10*$D899*INDEX(U$18:U$25,$E899)*INDEX(U$27:U$43,$F899)</f>
        <v/>
      </c>
      <c r="V899" s="36">
        <f>V$10*$D899*INDEX(V$18:V$25,$E899)*INDEX(V$27:V$43,$F899)</f>
        <v/>
      </c>
      <c r="W899" s="36">
        <f>W$10*$D899*INDEX(W$18:W$25,$E899)*INDEX(W$27:W$43,$F899)</f>
        <v/>
      </c>
      <c r="X899" s="36">
        <f>X$10*$D899*INDEX(X$18:X$25,$E899)*INDEX(X$27:X$43,$F899)</f>
        <v/>
      </c>
      <c r="Y899" s="36">
        <f>Y$10*$D899*INDEX(Y$18:Y$25,$E899)*INDEX(Y$27:Y$43,$F899)</f>
        <v/>
      </c>
      <c r="Z899" s="23">
        <f>LOWER(Settings!$C$4)&amp;".mit."&amp;$A899&amp;IF($C899="","","."&amp;$C899&amp;"."&amp;$B899)&amp;IF(INDEX(Variables!$D$5:$D$65,MATCH($A899,Variables!$A$5:$A$65,0))="","","."&amp;INDEX(Variables!$D$5:$D$65,MATCH($A899,Variables!$A$5:$A$65,0)))&amp;"."&amp;Z$5</f>
        <v/>
      </c>
      <c r="AA899" s="38">
        <f>AA$10*$D899*INDEX(AA$18:AA$25,$E899)*INDEX(AA$27:AA$43,$F899)</f>
        <v/>
      </c>
      <c r="AB899" s="36">
        <f>AB$10*$D899*INDEX(AB$18:AB$25,$E899)*INDEX(AB$27:AB$43,$F899)</f>
        <v/>
      </c>
      <c r="AC899" s="36">
        <f>AC$10*$D899*INDEX(AC$18:AC$25,$E899)*INDEX(AC$27:AC$43,$F899)</f>
        <v/>
      </c>
      <c r="AD899" s="36">
        <f>AD$10*$D899*INDEX(AD$18:AD$25,$E899)*INDEX(AD$27:AD$43,$F899)</f>
        <v/>
      </c>
      <c r="AE899" s="36">
        <f>AE$10*$D899*INDEX(AE$18:AE$25,$E899)*INDEX(AE$27:AE$43,$F899)</f>
        <v/>
      </c>
      <c r="AF899" s="36">
        <f>AF$10*$D899*INDEX(AF$18:AF$25,$E899)*INDEX(AF$27:AF$43,$F899)</f>
        <v/>
      </c>
      <c r="AG899" s="36">
        <f>AG$10*$D899*INDEX(AG$18:AG$25,$E899)*INDEX(AG$27:AG$43,$F899)</f>
        <v/>
      </c>
      <c r="AH899" s="36">
        <f>AH$10*$D899*INDEX(AH$18:AH$25,$E899)*INDEX(AH$27:AH$43,$F899)</f>
        <v/>
      </c>
      <c r="AI899" s="36">
        <f>AI$10*$D899*INDEX(AI$18:AI$25,$E899)*INDEX(AI$27:AI$43,$F899)</f>
        <v/>
      </c>
      <c r="AJ899" s="36">
        <f>AJ$10*$D899*INDEX(AJ$18:AJ$25,$E899)*INDEX(AJ$27:AJ$43,$F899)</f>
        <v/>
      </c>
      <c r="AK899" s="36">
        <f>AK$10*$D899*INDEX(AK$18:AK$25,$E899)*INDEX(AK$27:AK$43,$F899)</f>
        <v/>
      </c>
      <c r="AL899" s="36">
        <f>AL$10*$D899*INDEX(AL$18:AL$25,$E899)*INDEX(AL$27:AL$43,$F899)</f>
        <v/>
      </c>
      <c r="AM899" s="36">
        <f>AM$10*$D899*INDEX(AM$18:AM$25,$E899)*INDEX(AM$27:AM$43,$F899)</f>
        <v/>
      </c>
      <c r="AN899" s="36">
        <f>AN$10*$D899*INDEX(AN$18:AN$25,$E899)*INDEX(AN$27:AN$43,$F899)</f>
        <v/>
      </c>
    </row>
    <row r="900" hidden="1" outlineLevel="2">
      <c r="A900" s="5" t="inlineStr">
        <is>
          <t>ctxnew</t>
        </is>
      </c>
      <c r="B900" s="5" t="inlineStr">
        <is>
          <t>die</t>
        </is>
      </c>
      <c r="C900" s="5" t="inlineStr">
        <is>
          <t>mac</t>
        </is>
      </c>
      <c r="D900" s="36">
        <f>INDEX(Inputs!$U$5:$U$132,MATCH($B900&amp;"|"&amp;$C900,Inputs!$A$5:$A$132,0))</f>
        <v/>
      </c>
      <c r="E900" s="36">
        <f>INDEX(Inputs!$J$5:$J$132,MATCH($B900&amp;"|"&amp;$C900,Inputs!$A$5:$A$132,0))</f>
        <v/>
      </c>
      <c r="F900" s="36">
        <f>INDEX(Inputs!$K$5:$K$132,MATCH($B900&amp;"|"&amp;$C900,Inputs!$A$5:$A$132,0))</f>
        <v/>
      </c>
      <c r="G900" s="37" t="n"/>
      <c r="H900" s="5">
        <f>INDEX(Variables!$B$5:$B$65,MATCH($A900,Variables!$A$5:$A$65,0))&amp;IF($C900="",""," | "&amp;INDEX(Mapping!$B$5:$B$25,MATCH($C900,Mapping!$A$5:$A$25,0))&amp;" | "&amp;INDEX(Mapping!$B$29:$B$38,MATCH($B900,Mapping!$A$29:$A$38,0)))</f>
        <v/>
      </c>
      <c r="I900" s="5">
        <f>INDEX(Variables!$C$5:$C$65,MATCH($A900,Variables!$A$5:$A$65,0))</f>
        <v/>
      </c>
      <c r="J900" s="5">
        <f>INDEX(Variables!$E$5:$E$65,MATCH($A900,Variables!$A$5:$A$65,0))</f>
        <v/>
      </c>
      <c r="K900" s="23">
        <f>LOWER(Settings!$C$4)&amp;".mit."&amp;$A900&amp;IF($C900="","","."&amp;$C900&amp;"."&amp;$B900)&amp;IF(INDEX(Variables!$D$5:$D$65,MATCH($A900,Variables!$A$5:$A$65,0))="","","."&amp;INDEX(Variables!$D$5:$D$65,MATCH($A900,Variables!$A$5:$A$65,0)))&amp;"."&amp;K$5</f>
        <v/>
      </c>
      <c r="L900" s="38">
        <f>L$10*$D900*INDEX(L$18:L$25,$E900)*INDEX(L$27:L$43,$F900)</f>
        <v/>
      </c>
      <c r="M900" s="36">
        <f>M$10*$D900*INDEX(M$18:M$25,$E900)*INDEX(M$27:M$43,$F900)</f>
        <v/>
      </c>
      <c r="N900" s="36">
        <f>N$10*$D900*INDEX(N$18:N$25,$E900)*INDEX(N$27:N$43,$F900)</f>
        <v/>
      </c>
      <c r="O900" s="36">
        <f>O$10*$D900*INDEX(O$18:O$25,$E900)*INDEX(O$27:O$43,$F900)</f>
        <v/>
      </c>
      <c r="P900" s="36">
        <f>P$10*$D900*INDEX(P$18:P$25,$E900)*INDEX(P$27:P$43,$F900)</f>
        <v/>
      </c>
      <c r="Q900" s="36">
        <f>Q$10*$D900*INDEX(Q$18:Q$25,$E900)*INDEX(Q$27:Q$43,$F900)</f>
        <v/>
      </c>
      <c r="R900" s="36">
        <f>R$10*$D900*INDEX(R$18:R$25,$E900)*INDEX(R$27:R$43,$F900)</f>
        <v/>
      </c>
      <c r="S900" s="36">
        <f>S$10*$D900*INDEX(S$18:S$25,$E900)*INDEX(S$27:S$43,$F900)</f>
        <v/>
      </c>
      <c r="T900" s="36">
        <f>T$10*$D900*INDEX(T$18:T$25,$E900)*INDEX(T$27:T$43,$F900)</f>
        <v/>
      </c>
      <c r="U900" s="36">
        <f>U$10*$D900*INDEX(U$18:U$25,$E900)*INDEX(U$27:U$43,$F900)</f>
        <v/>
      </c>
      <c r="V900" s="36">
        <f>V$10*$D900*INDEX(V$18:V$25,$E900)*INDEX(V$27:V$43,$F900)</f>
        <v/>
      </c>
      <c r="W900" s="36">
        <f>W$10*$D900*INDEX(W$18:W$25,$E900)*INDEX(W$27:W$43,$F900)</f>
        <v/>
      </c>
      <c r="X900" s="36">
        <f>X$10*$D900*INDEX(X$18:X$25,$E900)*INDEX(X$27:X$43,$F900)</f>
        <v/>
      </c>
      <c r="Y900" s="36">
        <f>Y$10*$D900*INDEX(Y$18:Y$25,$E900)*INDEX(Y$27:Y$43,$F900)</f>
        <v/>
      </c>
      <c r="Z900" s="23">
        <f>LOWER(Settings!$C$4)&amp;".mit."&amp;$A900&amp;IF($C900="","","."&amp;$C900&amp;"."&amp;$B900)&amp;IF(INDEX(Variables!$D$5:$D$65,MATCH($A900,Variables!$A$5:$A$65,0))="","","."&amp;INDEX(Variables!$D$5:$D$65,MATCH($A900,Variables!$A$5:$A$65,0)))&amp;"."&amp;Z$5</f>
        <v/>
      </c>
      <c r="AA900" s="38">
        <f>AA$10*$D900*INDEX(AA$18:AA$25,$E900)*INDEX(AA$27:AA$43,$F900)</f>
        <v/>
      </c>
      <c r="AB900" s="36">
        <f>AB$10*$D900*INDEX(AB$18:AB$25,$E900)*INDEX(AB$27:AB$43,$F900)</f>
        <v/>
      </c>
      <c r="AC900" s="36">
        <f>AC$10*$D900*INDEX(AC$18:AC$25,$E900)*INDEX(AC$27:AC$43,$F900)</f>
        <v/>
      </c>
      <c r="AD900" s="36">
        <f>AD$10*$D900*INDEX(AD$18:AD$25,$E900)*INDEX(AD$27:AD$43,$F900)</f>
        <v/>
      </c>
      <c r="AE900" s="36">
        <f>AE$10*$D900*INDEX(AE$18:AE$25,$E900)*INDEX(AE$27:AE$43,$F900)</f>
        <v/>
      </c>
      <c r="AF900" s="36">
        <f>AF$10*$D900*INDEX(AF$18:AF$25,$E900)*INDEX(AF$27:AF$43,$F900)</f>
        <v/>
      </c>
      <c r="AG900" s="36">
        <f>AG$10*$D900*INDEX(AG$18:AG$25,$E900)*INDEX(AG$27:AG$43,$F900)</f>
        <v/>
      </c>
      <c r="AH900" s="36">
        <f>AH$10*$D900*INDEX(AH$18:AH$25,$E900)*INDEX(AH$27:AH$43,$F900)</f>
        <v/>
      </c>
      <c r="AI900" s="36">
        <f>AI$10*$D900*INDEX(AI$18:AI$25,$E900)*INDEX(AI$27:AI$43,$F900)</f>
        <v/>
      </c>
      <c r="AJ900" s="36">
        <f>AJ$10*$D900*INDEX(AJ$18:AJ$25,$E900)*INDEX(AJ$27:AJ$43,$F900)</f>
        <v/>
      </c>
      <c r="AK900" s="36">
        <f>AK$10*$D900*INDEX(AK$18:AK$25,$E900)*INDEX(AK$27:AK$43,$F900)</f>
        <v/>
      </c>
      <c r="AL900" s="36">
        <f>AL$10*$D900*INDEX(AL$18:AL$25,$E900)*INDEX(AL$27:AL$43,$F900)</f>
        <v/>
      </c>
      <c r="AM900" s="36">
        <f>AM$10*$D900*INDEX(AM$18:AM$25,$E900)*INDEX(AM$27:AM$43,$F900)</f>
        <v/>
      </c>
      <c r="AN900" s="36">
        <f>AN$10*$D900*INDEX(AN$18:AN$25,$E900)*INDEX(AN$27:AN$43,$F900)</f>
        <v/>
      </c>
    </row>
    <row r="901" hidden="1" outlineLevel="2">
      <c r="A901" s="5" t="inlineStr">
        <is>
          <t>ctxnew</t>
        </is>
      </c>
      <c r="B901" s="5" t="inlineStr">
        <is>
          <t>lpg</t>
        </is>
      </c>
      <c r="C901" s="5" t="inlineStr">
        <is>
          <t>mac</t>
        </is>
      </c>
      <c r="D901" s="36">
        <f>INDEX(Inputs!$U$5:$U$132,MATCH($B901&amp;"|"&amp;$C901,Inputs!$A$5:$A$132,0))</f>
        <v/>
      </c>
      <c r="E901" s="36">
        <f>INDEX(Inputs!$J$5:$J$132,MATCH($B901&amp;"|"&amp;$C901,Inputs!$A$5:$A$132,0))</f>
        <v/>
      </c>
      <c r="F901" s="36">
        <f>INDEX(Inputs!$K$5:$K$132,MATCH($B901&amp;"|"&amp;$C901,Inputs!$A$5:$A$132,0))</f>
        <v/>
      </c>
      <c r="G901" s="37" t="n"/>
      <c r="H901" s="5">
        <f>INDEX(Variables!$B$5:$B$65,MATCH($A901,Variables!$A$5:$A$65,0))&amp;IF($C901="",""," | "&amp;INDEX(Mapping!$B$5:$B$25,MATCH($C901,Mapping!$A$5:$A$25,0))&amp;" | "&amp;INDEX(Mapping!$B$29:$B$38,MATCH($B901,Mapping!$A$29:$A$38,0)))</f>
        <v/>
      </c>
      <c r="I901" s="5">
        <f>INDEX(Variables!$C$5:$C$65,MATCH($A901,Variables!$A$5:$A$65,0))</f>
        <v/>
      </c>
      <c r="J901" s="5">
        <f>INDEX(Variables!$E$5:$E$65,MATCH($A901,Variables!$A$5:$A$65,0))</f>
        <v/>
      </c>
      <c r="K901" s="23">
        <f>LOWER(Settings!$C$4)&amp;".mit."&amp;$A901&amp;IF($C901="","","."&amp;$C901&amp;"."&amp;$B901)&amp;IF(INDEX(Variables!$D$5:$D$65,MATCH($A901,Variables!$A$5:$A$65,0))="","","."&amp;INDEX(Variables!$D$5:$D$65,MATCH($A901,Variables!$A$5:$A$65,0)))&amp;"."&amp;K$5</f>
        <v/>
      </c>
      <c r="L901" s="38">
        <f>L$10*$D901*INDEX(L$18:L$25,$E901)*INDEX(L$27:L$43,$F901)</f>
        <v/>
      </c>
      <c r="M901" s="36">
        <f>M$10*$D901*INDEX(M$18:M$25,$E901)*INDEX(M$27:M$43,$F901)</f>
        <v/>
      </c>
      <c r="N901" s="36">
        <f>N$10*$D901*INDEX(N$18:N$25,$E901)*INDEX(N$27:N$43,$F901)</f>
        <v/>
      </c>
      <c r="O901" s="36">
        <f>O$10*$D901*INDEX(O$18:O$25,$E901)*INDEX(O$27:O$43,$F901)</f>
        <v/>
      </c>
      <c r="P901" s="36">
        <f>P$10*$D901*INDEX(P$18:P$25,$E901)*INDEX(P$27:P$43,$F901)</f>
        <v/>
      </c>
      <c r="Q901" s="36">
        <f>Q$10*$D901*INDEX(Q$18:Q$25,$E901)*INDEX(Q$27:Q$43,$F901)</f>
        <v/>
      </c>
      <c r="R901" s="36">
        <f>R$10*$D901*INDEX(R$18:R$25,$E901)*INDEX(R$27:R$43,$F901)</f>
        <v/>
      </c>
      <c r="S901" s="36">
        <f>S$10*$D901*INDEX(S$18:S$25,$E901)*INDEX(S$27:S$43,$F901)</f>
        <v/>
      </c>
      <c r="T901" s="36">
        <f>T$10*$D901*INDEX(T$18:T$25,$E901)*INDEX(T$27:T$43,$F901)</f>
        <v/>
      </c>
      <c r="U901" s="36">
        <f>U$10*$D901*INDEX(U$18:U$25,$E901)*INDEX(U$27:U$43,$F901)</f>
        <v/>
      </c>
      <c r="V901" s="36">
        <f>V$10*$D901*INDEX(V$18:V$25,$E901)*INDEX(V$27:V$43,$F901)</f>
        <v/>
      </c>
      <c r="W901" s="36">
        <f>W$10*$D901*INDEX(W$18:W$25,$E901)*INDEX(W$27:W$43,$F901)</f>
        <v/>
      </c>
      <c r="X901" s="36">
        <f>X$10*$D901*INDEX(X$18:X$25,$E901)*INDEX(X$27:X$43,$F901)</f>
        <v/>
      </c>
      <c r="Y901" s="36">
        <f>Y$10*$D901*INDEX(Y$18:Y$25,$E901)*INDEX(Y$27:Y$43,$F901)</f>
        <v/>
      </c>
      <c r="Z901" s="23">
        <f>LOWER(Settings!$C$4)&amp;".mit."&amp;$A901&amp;IF($C901="","","."&amp;$C901&amp;"."&amp;$B901)&amp;IF(INDEX(Variables!$D$5:$D$65,MATCH($A901,Variables!$A$5:$A$65,0))="","","."&amp;INDEX(Variables!$D$5:$D$65,MATCH($A901,Variables!$A$5:$A$65,0)))&amp;"."&amp;Z$5</f>
        <v/>
      </c>
      <c r="AA901" s="38">
        <f>AA$10*$D901*INDEX(AA$18:AA$25,$E901)*INDEX(AA$27:AA$43,$F901)</f>
        <v/>
      </c>
      <c r="AB901" s="36">
        <f>AB$10*$D901*INDEX(AB$18:AB$25,$E901)*INDEX(AB$27:AB$43,$F901)</f>
        <v/>
      </c>
      <c r="AC901" s="36">
        <f>AC$10*$D901*INDEX(AC$18:AC$25,$E901)*INDEX(AC$27:AC$43,$F901)</f>
        <v/>
      </c>
      <c r="AD901" s="36">
        <f>AD$10*$D901*INDEX(AD$18:AD$25,$E901)*INDEX(AD$27:AD$43,$F901)</f>
        <v/>
      </c>
      <c r="AE901" s="36">
        <f>AE$10*$D901*INDEX(AE$18:AE$25,$E901)*INDEX(AE$27:AE$43,$F901)</f>
        <v/>
      </c>
      <c r="AF901" s="36">
        <f>AF$10*$D901*INDEX(AF$18:AF$25,$E901)*INDEX(AF$27:AF$43,$F901)</f>
        <v/>
      </c>
      <c r="AG901" s="36">
        <f>AG$10*$D901*INDEX(AG$18:AG$25,$E901)*INDEX(AG$27:AG$43,$F901)</f>
        <v/>
      </c>
      <c r="AH901" s="36">
        <f>AH$10*$D901*INDEX(AH$18:AH$25,$E901)*INDEX(AH$27:AH$43,$F901)</f>
        <v/>
      </c>
      <c r="AI901" s="36">
        <f>AI$10*$D901*INDEX(AI$18:AI$25,$E901)*INDEX(AI$27:AI$43,$F901)</f>
        <v/>
      </c>
      <c r="AJ901" s="36">
        <f>AJ$10*$D901*INDEX(AJ$18:AJ$25,$E901)*INDEX(AJ$27:AJ$43,$F901)</f>
        <v/>
      </c>
      <c r="AK901" s="36">
        <f>AK$10*$D901*INDEX(AK$18:AK$25,$E901)*INDEX(AK$27:AK$43,$F901)</f>
        <v/>
      </c>
      <c r="AL901" s="36">
        <f>AL$10*$D901*INDEX(AL$18:AL$25,$E901)*INDEX(AL$27:AL$43,$F901)</f>
        <v/>
      </c>
      <c r="AM901" s="36">
        <f>AM$10*$D901*INDEX(AM$18:AM$25,$E901)*INDEX(AM$27:AM$43,$F901)</f>
        <v/>
      </c>
      <c r="AN901" s="36">
        <f>AN$10*$D901*INDEX(AN$18:AN$25,$E901)*INDEX(AN$27:AN$43,$F901)</f>
        <v/>
      </c>
    </row>
    <row r="902" hidden="1" outlineLevel="2">
      <c r="A902" s="5" t="inlineStr">
        <is>
          <t>ctxnew</t>
        </is>
      </c>
      <c r="B902" s="5" t="inlineStr">
        <is>
          <t>ker</t>
        </is>
      </c>
      <c r="C902" s="5" t="inlineStr">
        <is>
          <t>mac</t>
        </is>
      </c>
      <c r="D902" s="36">
        <f>INDEX(Inputs!$U$5:$U$132,MATCH($B902&amp;"|"&amp;$C902,Inputs!$A$5:$A$132,0))</f>
        <v/>
      </c>
      <c r="E902" s="36">
        <f>INDEX(Inputs!$J$5:$J$132,MATCH($B902&amp;"|"&amp;$C902,Inputs!$A$5:$A$132,0))</f>
        <v/>
      </c>
      <c r="F902" s="36">
        <f>INDEX(Inputs!$K$5:$K$132,MATCH($B902&amp;"|"&amp;$C902,Inputs!$A$5:$A$132,0))</f>
        <v/>
      </c>
      <c r="G902" s="37" t="n"/>
      <c r="H902" s="5">
        <f>INDEX(Variables!$B$5:$B$65,MATCH($A902,Variables!$A$5:$A$65,0))&amp;IF($C902="",""," | "&amp;INDEX(Mapping!$B$5:$B$25,MATCH($C902,Mapping!$A$5:$A$25,0))&amp;" | "&amp;INDEX(Mapping!$B$29:$B$38,MATCH($B902,Mapping!$A$29:$A$38,0)))</f>
        <v/>
      </c>
      <c r="I902" s="5">
        <f>INDEX(Variables!$C$5:$C$65,MATCH($A902,Variables!$A$5:$A$65,0))</f>
        <v/>
      </c>
      <c r="J902" s="5">
        <f>INDEX(Variables!$E$5:$E$65,MATCH($A902,Variables!$A$5:$A$65,0))</f>
        <v/>
      </c>
      <c r="K902" s="23">
        <f>LOWER(Settings!$C$4)&amp;".mit."&amp;$A902&amp;IF($C902="","","."&amp;$C902&amp;"."&amp;$B902)&amp;IF(INDEX(Variables!$D$5:$D$65,MATCH($A902,Variables!$A$5:$A$65,0))="","","."&amp;INDEX(Variables!$D$5:$D$65,MATCH($A902,Variables!$A$5:$A$65,0)))&amp;"."&amp;K$5</f>
        <v/>
      </c>
      <c r="L902" s="38">
        <f>L$10*$D902*INDEX(L$18:L$25,$E902)*INDEX(L$27:L$43,$F902)</f>
        <v/>
      </c>
      <c r="M902" s="36">
        <f>M$10*$D902*INDEX(M$18:M$25,$E902)*INDEX(M$27:M$43,$F902)</f>
        <v/>
      </c>
      <c r="N902" s="36">
        <f>N$10*$D902*INDEX(N$18:N$25,$E902)*INDEX(N$27:N$43,$F902)</f>
        <v/>
      </c>
      <c r="O902" s="36">
        <f>O$10*$D902*INDEX(O$18:O$25,$E902)*INDEX(O$27:O$43,$F902)</f>
        <v/>
      </c>
      <c r="P902" s="36">
        <f>P$10*$D902*INDEX(P$18:P$25,$E902)*INDEX(P$27:P$43,$F902)</f>
        <v/>
      </c>
      <c r="Q902" s="36">
        <f>Q$10*$D902*INDEX(Q$18:Q$25,$E902)*INDEX(Q$27:Q$43,$F902)</f>
        <v/>
      </c>
      <c r="R902" s="36">
        <f>R$10*$D902*INDEX(R$18:R$25,$E902)*INDEX(R$27:R$43,$F902)</f>
        <v/>
      </c>
      <c r="S902" s="36">
        <f>S$10*$D902*INDEX(S$18:S$25,$E902)*INDEX(S$27:S$43,$F902)</f>
        <v/>
      </c>
      <c r="T902" s="36">
        <f>T$10*$D902*INDEX(T$18:T$25,$E902)*INDEX(T$27:T$43,$F902)</f>
        <v/>
      </c>
      <c r="U902" s="36">
        <f>U$10*$D902*INDEX(U$18:U$25,$E902)*INDEX(U$27:U$43,$F902)</f>
        <v/>
      </c>
      <c r="V902" s="36">
        <f>V$10*$D902*INDEX(V$18:V$25,$E902)*INDEX(V$27:V$43,$F902)</f>
        <v/>
      </c>
      <c r="W902" s="36">
        <f>W$10*$D902*INDEX(W$18:W$25,$E902)*INDEX(W$27:W$43,$F902)</f>
        <v/>
      </c>
      <c r="X902" s="36">
        <f>X$10*$D902*INDEX(X$18:X$25,$E902)*INDEX(X$27:X$43,$F902)</f>
        <v/>
      </c>
      <c r="Y902" s="36">
        <f>Y$10*$D902*INDEX(Y$18:Y$25,$E902)*INDEX(Y$27:Y$43,$F902)</f>
        <v/>
      </c>
      <c r="Z902" s="23">
        <f>LOWER(Settings!$C$4)&amp;".mit."&amp;$A902&amp;IF($C902="","","."&amp;$C902&amp;"."&amp;$B902)&amp;IF(INDEX(Variables!$D$5:$D$65,MATCH($A902,Variables!$A$5:$A$65,0))="","","."&amp;INDEX(Variables!$D$5:$D$65,MATCH($A902,Variables!$A$5:$A$65,0)))&amp;"."&amp;Z$5</f>
        <v/>
      </c>
      <c r="AA902" s="38">
        <f>AA$10*$D902*INDEX(AA$18:AA$25,$E902)*INDEX(AA$27:AA$43,$F902)</f>
        <v/>
      </c>
      <c r="AB902" s="36">
        <f>AB$10*$D902*INDEX(AB$18:AB$25,$E902)*INDEX(AB$27:AB$43,$F902)</f>
        <v/>
      </c>
      <c r="AC902" s="36">
        <f>AC$10*$D902*INDEX(AC$18:AC$25,$E902)*INDEX(AC$27:AC$43,$F902)</f>
        <v/>
      </c>
      <c r="AD902" s="36">
        <f>AD$10*$D902*INDEX(AD$18:AD$25,$E902)*INDEX(AD$27:AD$43,$F902)</f>
        <v/>
      </c>
      <c r="AE902" s="36">
        <f>AE$10*$D902*INDEX(AE$18:AE$25,$E902)*INDEX(AE$27:AE$43,$F902)</f>
        <v/>
      </c>
      <c r="AF902" s="36">
        <f>AF$10*$D902*INDEX(AF$18:AF$25,$E902)*INDEX(AF$27:AF$43,$F902)</f>
        <v/>
      </c>
      <c r="AG902" s="36">
        <f>AG$10*$D902*INDEX(AG$18:AG$25,$E902)*INDEX(AG$27:AG$43,$F902)</f>
        <v/>
      </c>
      <c r="AH902" s="36">
        <f>AH$10*$D902*INDEX(AH$18:AH$25,$E902)*INDEX(AH$27:AH$43,$F902)</f>
        <v/>
      </c>
      <c r="AI902" s="36">
        <f>AI$10*$D902*INDEX(AI$18:AI$25,$E902)*INDEX(AI$27:AI$43,$F902)</f>
        <v/>
      </c>
      <c r="AJ902" s="36">
        <f>AJ$10*$D902*INDEX(AJ$18:AJ$25,$E902)*INDEX(AJ$27:AJ$43,$F902)</f>
        <v/>
      </c>
      <c r="AK902" s="36">
        <f>AK$10*$D902*INDEX(AK$18:AK$25,$E902)*INDEX(AK$27:AK$43,$F902)</f>
        <v/>
      </c>
      <c r="AL902" s="36">
        <f>AL$10*$D902*INDEX(AL$18:AL$25,$E902)*INDEX(AL$27:AL$43,$F902)</f>
        <v/>
      </c>
      <c r="AM902" s="36">
        <f>AM$10*$D902*INDEX(AM$18:AM$25,$E902)*INDEX(AM$27:AM$43,$F902)</f>
        <v/>
      </c>
      <c r="AN902" s="36">
        <f>AN$10*$D902*INDEX(AN$18:AN$25,$E902)*INDEX(AN$27:AN$43,$F902)</f>
        <v/>
      </c>
    </row>
    <row r="903" hidden="1" outlineLevel="2">
      <c r="A903" s="5" t="inlineStr">
        <is>
          <t>ctxnew</t>
        </is>
      </c>
      <c r="B903" s="5" t="inlineStr">
        <is>
          <t>oop</t>
        </is>
      </c>
      <c r="C903" s="5" t="inlineStr">
        <is>
          <t>mac</t>
        </is>
      </c>
      <c r="D903" s="36">
        <f>INDEX(Inputs!$U$5:$U$132,MATCH($B903&amp;"|"&amp;$C903,Inputs!$A$5:$A$132,0))</f>
        <v/>
      </c>
      <c r="E903" s="36">
        <f>INDEX(Inputs!$J$5:$J$132,MATCH($B903&amp;"|"&amp;$C903,Inputs!$A$5:$A$132,0))</f>
        <v/>
      </c>
      <c r="F903" s="36">
        <f>INDEX(Inputs!$K$5:$K$132,MATCH($B903&amp;"|"&amp;$C903,Inputs!$A$5:$A$132,0))</f>
        <v/>
      </c>
      <c r="G903" s="37" t="n"/>
      <c r="H903" s="5">
        <f>INDEX(Variables!$B$5:$B$65,MATCH($A903,Variables!$A$5:$A$65,0))&amp;IF($C903="",""," | "&amp;INDEX(Mapping!$B$5:$B$25,MATCH($C903,Mapping!$A$5:$A$25,0))&amp;" | "&amp;INDEX(Mapping!$B$29:$B$38,MATCH($B903,Mapping!$A$29:$A$38,0)))</f>
        <v/>
      </c>
      <c r="I903" s="5">
        <f>INDEX(Variables!$C$5:$C$65,MATCH($A903,Variables!$A$5:$A$65,0))</f>
        <v/>
      </c>
      <c r="J903" s="5">
        <f>INDEX(Variables!$E$5:$E$65,MATCH($A903,Variables!$A$5:$A$65,0))</f>
        <v/>
      </c>
      <c r="K903" s="23">
        <f>LOWER(Settings!$C$4)&amp;".mit."&amp;$A903&amp;IF($C903="","","."&amp;$C903&amp;"."&amp;$B903)&amp;IF(INDEX(Variables!$D$5:$D$65,MATCH($A903,Variables!$A$5:$A$65,0))="","","."&amp;INDEX(Variables!$D$5:$D$65,MATCH($A903,Variables!$A$5:$A$65,0)))&amp;"."&amp;K$5</f>
        <v/>
      </c>
      <c r="L903" s="38">
        <f>L$10*$D903*INDEX(L$18:L$25,$E903)*INDEX(L$27:L$43,$F903)</f>
        <v/>
      </c>
      <c r="M903" s="36">
        <f>M$10*$D903*INDEX(M$18:M$25,$E903)*INDEX(M$27:M$43,$F903)</f>
        <v/>
      </c>
      <c r="N903" s="36">
        <f>N$10*$D903*INDEX(N$18:N$25,$E903)*INDEX(N$27:N$43,$F903)</f>
        <v/>
      </c>
      <c r="O903" s="36">
        <f>O$10*$D903*INDEX(O$18:O$25,$E903)*INDEX(O$27:O$43,$F903)</f>
        <v/>
      </c>
      <c r="P903" s="36">
        <f>P$10*$D903*INDEX(P$18:P$25,$E903)*INDEX(P$27:P$43,$F903)</f>
        <v/>
      </c>
      <c r="Q903" s="36">
        <f>Q$10*$D903*INDEX(Q$18:Q$25,$E903)*INDEX(Q$27:Q$43,$F903)</f>
        <v/>
      </c>
      <c r="R903" s="36">
        <f>R$10*$D903*INDEX(R$18:R$25,$E903)*INDEX(R$27:R$43,$F903)</f>
        <v/>
      </c>
      <c r="S903" s="36">
        <f>S$10*$D903*INDEX(S$18:S$25,$E903)*INDEX(S$27:S$43,$F903)</f>
        <v/>
      </c>
      <c r="T903" s="36">
        <f>T$10*$D903*INDEX(T$18:T$25,$E903)*INDEX(T$27:T$43,$F903)</f>
        <v/>
      </c>
      <c r="U903" s="36">
        <f>U$10*$D903*INDEX(U$18:U$25,$E903)*INDEX(U$27:U$43,$F903)</f>
        <v/>
      </c>
      <c r="V903" s="36">
        <f>V$10*$D903*INDEX(V$18:V$25,$E903)*INDEX(V$27:V$43,$F903)</f>
        <v/>
      </c>
      <c r="W903" s="36">
        <f>W$10*$D903*INDEX(W$18:W$25,$E903)*INDEX(W$27:W$43,$F903)</f>
        <v/>
      </c>
      <c r="X903" s="36">
        <f>X$10*$D903*INDEX(X$18:X$25,$E903)*INDEX(X$27:X$43,$F903)</f>
        <v/>
      </c>
      <c r="Y903" s="36">
        <f>Y$10*$D903*INDEX(Y$18:Y$25,$E903)*INDEX(Y$27:Y$43,$F903)</f>
        <v/>
      </c>
      <c r="Z903" s="23">
        <f>LOWER(Settings!$C$4)&amp;".mit."&amp;$A903&amp;IF($C903="","","."&amp;$C903&amp;"."&amp;$B903)&amp;IF(INDEX(Variables!$D$5:$D$65,MATCH($A903,Variables!$A$5:$A$65,0))="","","."&amp;INDEX(Variables!$D$5:$D$65,MATCH($A903,Variables!$A$5:$A$65,0)))&amp;"."&amp;Z$5</f>
        <v/>
      </c>
      <c r="AA903" s="38">
        <f>AA$10*$D903*INDEX(AA$18:AA$25,$E903)*INDEX(AA$27:AA$43,$F903)</f>
        <v/>
      </c>
      <c r="AB903" s="36">
        <f>AB$10*$D903*INDEX(AB$18:AB$25,$E903)*INDEX(AB$27:AB$43,$F903)</f>
        <v/>
      </c>
      <c r="AC903" s="36">
        <f>AC$10*$D903*INDEX(AC$18:AC$25,$E903)*INDEX(AC$27:AC$43,$F903)</f>
        <v/>
      </c>
      <c r="AD903" s="36">
        <f>AD$10*$D903*INDEX(AD$18:AD$25,$E903)*INDEX(AD$27:AD$43,$F903)</f>
        <v/>
      </c>
      <c r="AE903" s="36">
        <f>AE$10*$D903*INDEX(AE$18:AE$25,$E903)*INDEX(AE$27:AE$43,$F903)</f>
        <v/>
      </c>
      <c r="AF903" s="36">
        <f>AF$10*$D903*INDEX(AF$18:AF$25,$E903)*INDEX(AF$27:AF$43,$F903)</f>
        <v/>
      </c>
      <c r="AG903" s="36">
        <f>AG$10*$D903*INDEX(AG$18:AG$25,$E903)*INDEX(AG$27:AG$43,$F903)</f>
        <v/>
      </c>
      <c r="AH903" s="36">
        <f>AH$10*$D903*INDEX(AH$18:AH$25,$E903)*INDEX(AH$27:AH$43,$F903)</f>
        <v/>
      </c>
      <c r="AI903" s="36">
        <f>AI$10*$D903*INDEX(AI$18:AI$25,$E903)*INDEX(AI$27:AI$43,$F903)</f>
        <v/>
      </c>
      <c r="AJ903" s="36">
        <f>AJ$10*$D903*INDEX(AJ$18:AJ$25,$E903)*INDEX(AJ$27:AJ$43,$F903)</f>
        <v/>
      </c>
      <c r="AK903" s="36">
        <f>AK$10*$D903*INDEX(AK$18:AK$25,$E903)*INDEX(AK$27:AK$43,$F903)</f>
        <v/>
      </c>
      <c r="AL903" s="36">
        <f>AL$10*$D903*INDEX(AL$18:AL$25,$E903)*INDEX(AL$27:AL$43,$F903)</f>
        <v/>
      </c>
      <c r="AM903" s="36">
        <f>AM$10*$D903*INDEX(AM$18:AM$25,$E903)*INDEX(AM$27:AM$43,$F903)</f>
        <v/>
      </c>
      <c r="AN903" s="36">
        <f>AN$10*$D903*INDEX(AN$18:AN$25,$E903)*INDEX(AN$27:AN$43,$F903)</f>
        <v/>
      </c>
    </row>
    <row r="904" hidden="1" outlineLevel="2">
      <c r="A904" s="5" t="inlineStr">
        <is>
          <t>ctxnew</t>
        </is>
      </c>
      <c r="B904" s="5" t="inlineStr">
        <is>
          <t>bio</t>
        </is>
      </c>
      <c r="C904" s="5" t="inlineStr">
        <is>
          <t>mac</t>
        </is>
      </c>
      <c r="D904" s="36">
        <f>INDEX(Inputs!$U$5:$U$132,MATCH($B904&amp;"|"&amp;$C904,Inputs!$A$5:$A$132,0))</f>
        <v/>
      </c>
      <c r="E904" s="36">
        <f>INDEX(Inputs!$J$5:$J$132,MATCH($B904&amp;"|"&amp;$C904,Inputs!$A$5:$A$132,0))</f>
        <v/>
      </c>
      <c r="F904" s="36">
        <f>INDEX(Inputs!$K$5:$K$132,MATCH($B904&amp;"|"&amp;$C904,Inputs!$A$5:$A$132,0))</f>
        <v/>
      </c>
      <c r="G904" s="37" t="n"/>
      <c r="H904" s="5">
        <f>INDEX(Variables!$B$5:$B$65,MATCH($A904,Variables!$A$5:$A$65,0))&amp;IF($C904="",""," | "&amp;INDEX(Mapping!$B$5:$B$25,MATCH($C904,Mapping!$A$5:$A$25,0))&amp;" | "&amp;INDEX(Mapping!$B$29:$B$38,MATCH($B904,Mapping!$A$29:$A$38,0)))</f>
        <v/>
      </c>
      <c r="I904" s="5">
        <f>INDEX(Variables!$C$5:$C$65,MATCH($A904,Variables!$A$5:$A$65,0))</f>
        <v/>
      </c>
      <c r="J904" s="5">
        <f>INDEX(Variables!$E$5:$E$65,MATCH($A904,Variables!$A$5:$A$65,0))</f>
        <v/>
      </c>
      <c r="K904" s="23">
        <f>LOWER(Settings!$C$4)&amp;".mit."&amp;$A904&amp;IF($C904="","","."&amp;$C904&amp;"."&amp;$B904)&amp;IF(INDEX(Variables!$D$5:$D$65,MATCH($A904,Variables!$A$5:$A$65,0))="","","."&amp;INDEX(Variables!$D$5:$D$65,MATCH($A904,Variables!$A$5:$A$65,0)))&amp;"."&amp;K$5</f>
        <v/>
      </c>
      <c r="L904" s="38">
        <f>L$10*$D904*INDEX(L$18:L$25,$E904)*INDEX(L$27:L$43,$F904)</f>
        <v/>
      </c>
      <c r="M904" s="36">
        <f>M$10*$D904*INDEX(M$18:M$25,$E904)*INDEX(M$27:M$43,$F904)</f>
        <v/>
      </c>
      <c r="N904" s="36">
        <f>N$10*$D904*INDEX(N$18:N$25,$E904)*INDEX(N$27:N$43,$F904)</f>
        <v/>
      </c>
      <c r="O904" s="36">
        <f>O$10*$D904*INDEX(O$18:O$25,$E904)*INDEX(O$27:O$43,$F904)</f>
        <v/>
      </c>
      <c r="P904" s="36">
        <f>P$10*$D904*INDEX(P$18:P$25,$E904)*INDEX(P$27:P$43,$F904)</f>
        <v/>
      </c>
      <c r="Q904" s="36">
        <f>Q$10*$D904*INDEX(Q$18:Q$25,$E904)*INDEX(Q$27:Q$43,$F904)</f>
        <v/>
      </c>
      <c r="R904" s="36">
        <f>R$10*$D904*INDEX(R$18:R$25,$E904)*INDEX(R$27:R$43,$F904)</f>
        <v/>
      </c>
      <c r="S904" s="36">
        <f>S$10*$D904*INDEX(S$18:S$25,$E904)*INDEX(S$27:S$43,$F904)</f>
        <v/>
      </c>
      <c r="T904" s="36">
        <f>T$10*$D904*INDEX(T$18:T$25,$E904)*INDEX(T$27:T$43,$F904)</f>
        <v/>
      </c>
      <c r="U904" s="36">
        <f>U$10*$D904*INDEX(U$18:U$25,$E904)*INDEX(U$27:U$43,$F904)</f>
        <v/>
      </c>
      <c r="V904" s="36">
        <f>V$10*$D904*INDEX(V$18:V$25,$E904)*INDEX(V$27:V$43,$F904)</f>
        <v/>
      </c>
      <c r="W904" s="36">
        <f>W$10*$D904*INDEX(W$18:W$25,$E904)*INDEX(W$27:W$43,$F904)</f>
        <v/>
      </c>
      <c r="X904" s="36">
        <f>X$10*$D904*INDEX(X$18:X$25,$E904)*INDEX(X$27:X$43,$F904)</f>
        <v/>
      </c>
      <c r="Y904" s="36">
        <f>Y$10*$D904*INDEX(Y$18:Y$25,$E904)*INDEX(Y$27:Y$43,$F904)</f>
        <v/>
      </c>
      <c r="Z904" s="23">
        <f>LOWER(Settings!$C$4)&amp;".mit."&amp;$A904&amp;IF($C904="","","."&amp;$C904&amp;"."&amp;$B904)&amp;IF(INDEX(Variables!$D$5:$D$65,MATCH($A904,Variables!$A$5:$A$65,0))="","","."&amp;INDEX(Variables!$D$5:$D$65,MATCH($A904,Variables!$A$5:$A$65,0)))&amp;"."&amp;Z$5</f>
        <v/>
      </c>
      <c r="AA904" s="38">
        <f>AA$10*$D904*INDEX(AA$18:AA$25,$E904)*INDEX(AA$27:AA$43,$F904)</f>
        <v/>
      </c>
      <c r="AB904" s="36">
        <f>AB$10*$D904*INDEX(AB$18:AB$25,$E904)*INDEX(AB$27:AB$43,$F904)</f>
        <v/>
      </c>
      <c r="AC904" s="36">
        <f>AC$10*$D904*INDEX(AC$18:AC$25,$E904)*INDEX(AC$27:AC$43,$F904)</f>
        <v/>
      </c>
      <c r="AD904" s="36">
        <f>AD$10*$D904*INDEX(AD$18:AD$25,$E904)*INDEX(AD$27:AD$43,$F904)</f>
        <v/>
      </c>
      <c r="AE904" s="36">
        <f>AE$10*$D904*INDEX(AE$18:AE$25,$E904)*INDEX(AE$27:AE$43,$F904)</f>
        <v/>
      </c>
      <c r="AF904" s="36">
        <f>AF$10*$D904*INDEX(AF$18:AF$25,$E904)*INDEX(AF$27:AF$43,$F904)</f>
        <v/>
      </c>
      <c r="AG904" s="36">
        <f>AG$10*$D904*INDEX(AG$18:AG$25,$E904)*INDEX(AG$27:AG$43,$F904)</f>
        <v/>
      </c>
      <c r="AH904" s="36">
        <f>AH$10*$D904*INDEX(AH$18:AH$25,$E904)*INDEX(AH$27:AH$43,$F904)</f>
        <v/>
      </c>
      <c r="AI904" s="36">
        <f>AI$10*$D904*INDEX(AI$18:AI$25,$E904)*INDEX(AI$27:AI$43,$F904)</f>
        <v/>
      </c>
      <c r="AJ904" s="36">
        <f>AJ$10*$D904*INDEX(AJ$18:AJ$25,$E904)*INDEX(AJ$27:AJ$43,$F904)</f>
        <v/>
      </c>
      <c r="AK904" s="36">
        <f>AK$10*$D904*INDEX(AK$18:AK$25,$E904)*INDEX(AK$27:AK$43,$F904)</f>
        <v/>
      </c>
      <c r="AL904" s="36">
        <f>AL$10*$D904*INDEX(AL$18:AL$25,$E904)*INDEX(AL$27:AL$43,$F904)</f>
        <v/>
      </c>
      <c r="AM904" s="36">
        <f>AM$10*$D904*INDEX(AM$18:AM$25,$E904)*INDEX(AM$27:AM$43,$F904)</f>
        <v/>
      </c>
      <c r="AN904" s="36">
        <f>AN$10*$D904*INDEX(AN$18:AN$25,$E904)*INDEX(AN$27:AN$43,$F904)</f>
        <v/>
      </c>
    </row>
    <row r="905" hidden="1" outlineLevel="2"/>
    <row r="906" hidden="1" outlineLevel="2">
      <c r="A906" s="5" t="inlineStr">
        <is>
          <t>ntx</t>
        </is>
      </c>
      <c r="B906" s="5" t="inlineStr">
        <is>
          <t>coa</t>
        </is>
      </c>
      <c r="C906" s="5" t="inlineStr">
        <is>
          <t>mac</t>
        </is>
      </c>
      <c r="D906" s="36">
        <f>INDEX(Inputs!$L$5:$L$132,MATCH($B906&amp;"|"&amp;$C906,Inputs!$A$5:$A$132,0))</f>
        <v/>
      </c>
      <c r="E906" s="36">
        <f>INDEX(Inputs!$I$5:$I$132,MATCH($B906&amp;"|"&amp;$C906,Inputs!$A$5:$A$132,0))</f>
        <v/>
      </c>
      <c r="F906" s="37" t="n"/>
      <c r="G906" s="37" t="n"/>
      <c r="H906" s="5">
        <f>INDEX(Variables!$B$5:$B$65,MATCH($A906,Variables!$A$5:$A$65,0))&amp;IF($C906="",""," | "&amp;INDEX(Mapping!$B$5:$B$25,MATCH($C906,Mapping!$A$5:$A$25,0))&amp;" | "&amp;INDEX(Mapping!$B$29:$B$38,MATCH($B906,Mapping!$A$29:$A$38,0)))</f>
        <v/>
      </c>
      <c r="I906" s="5">
        <f>INDEX(Variables!$C$5:$C$65,MATCH($A906,Variables!$A$5:$A$65,0))</f>
        <v/>
      </c>
      <c r="J906" s="5">
        <f>INDEX(Variables!$E$5:$E$65,MATCH($A906,Variables!$A$5:$A$65,0))</f>
        <v/>
      </c>
      <c r="K906" s="23">
        <f>LOWER(Settings!$C$4)&amp;".mit."&amp;$A906&amp;IF($C906="","","."&amp;$C906&amp;"."&amp;$B906)&amp;IF(INDEX(Variables!$D$5:$D$65,MATCH($A906,Variables!$A$5:$A$65,0))="","","."&amp;INDEX(Variables!$D$5:$D$65,MATCH($A906,Variables!$A$5:$A$65,0)))&amp;"."&amp;K$5</f>
        <v/>
      </c>
      <c r="L906" s="38">
        <f>INDEX(L$75:L$88,$D906)/$E906</f>
        <v/>
      </c>
      <c r="M906" s="36">
        <f>INDEX(M$75:M$88,$D906)/$E906</f>
        <v/>
      </c>
      <c r="N906" s="36">
        <f>INDEX(N$75:N$88,$D906)/$E906</f>
        <v/>
      </c>
      <c r="O906" s="36">
        <f>INDEX(O$75:O$88,$D906)/$E906</f>
        <v/>
      </c>
      <c r="P906" s="36">
        <f>INDEX(P$75:P$88,$D906)/$E906</f>
        <v/>
      </c>
      <c r="Q906" s="36">
        <f>INDEX(Q$75:Q$88,$D906)/$E906</f>
        <v/>
      </c>
      <c r="R906" s="36">
        <f>INDEX(R$75:R$88,$D906)/$E906</f>
        <v/>
      </c>
      <c r="S906" s="36">
        <f>INDEX(S$75:S$88,$D906)/$E906</f>
        <v/>
      </c>
      <c r="T906" s="36">
        <f>INDEX(T$75:T$88,$D906)/$E906</f>
        <v/>
      </c>
      <c r="U906" s="36">
        <f>INDEX(U$75:U$88,$D906)/$E906</f>
        <v/>
      </c>
      <c r="V906" s="36">
        <f>INDEX(V$75:V$88,$D906)/$E906</f>
        <v/>
      </c>
      <c r="W906" s="36">
        <f>INDEX(W$75:W$88,$D906)/$E906</f>
        <v/>
      </c>
      <c r="X906" s="36">
        <f>INDEX(X$75:X$88,$D906)/$E906</f>
        <v/>
      </c>
      <c r="Y906" s="36">
        <f>INDEX(Y$75:Y$88,$D906)/$E906</f>
        <v/>
      </c>
      <c r="Z906" s="23">
        <f>LOWER(Settings!$C$4)&amp;".mit."&amp;$A906&amp;IF($C906="","","."&amp;$C906&amp;"."&amp;$B906)&amp;IF(INDEX(Variables!$D$5:$D$65,MATCH($A906,Variables!$A$5:$A$65,0))="","","."&amp;INDEX(Variables!$D$5:$D$65,MATCH($A906,Variables!$A$5:$A$65,0)))&amp;"."&amp;Z$5</f>
        <v/>
      </c>
      <c r="AA906" s="38">
        <f>INDEX(AA$75:AA$88,$D906)/$E906</f>
        <v/>
      </c>
      <c r="AB906" s="36">
        <f>INDEX(AB$75:AB$88,$D906)/$E906</f>
        <v/>
      </c>
      <c r="AC906" s="36">
        <f>INDEX(AC$75:AC$88,$D906)/$E906</f>
        <v/>
      </c>
      <c r="AD906" s="36">
        <f>INDEX(AD$75:AD$88,$D906)/$E906</f>
        <v/>
      </c>
      <c r="AE906" s="36">
        <f>INDEX(AE$75:AE$88,$D906)/$E906</f>
        <v/>
      </c>
      <c r="AF906" s="36">
        <f>INDEX(AF$75:AF$88,$D906)/$E906</f>
        <v/>
      </c>
      <c r="AG906" s="36">
        <f>INDEX(AG$75:AG$88,$D906)/$E906</f>
        <v/>
      </c>
      <c r="AH906" s="36">
        <f>INDEX(AH$75:AH$88,$D906)/$E906</f>
        <v/>
      </c>
      <c r="AI906" s="36">
        <f>INDEX(AI$75:AI$88,$D906)/$E906</f>
        <v/>
      </c>
      <c r="AJ906" s="36">
        <f>INDEX(AJ$75:AJ$88,$D906)/$E906</f>
        <v/>
      </c>
      <c r="AK906" s="36">
        <f>INDEX(AK$75:AK$88,$D906)/$E906</f>
        <v/>
      </c>
      <c r="AL906" s="36">
        <f>INDEX(AL$75:AL$88,$D906)/$E906</f>
        <v/>
      </c>
      <c r="AM906" s="36">
        <f>INDEX(AM$75:AM$88,$D906)/$E906</f>
        <v/>
      </c>
      <c r="AN906" s="36">
        <f>INDEX(AN$75:AN$88,$D906)/$E906</f>
        <v/>
      </c>
    </row>
    <row r="907" hidden="1" outlineLevel="2">
      <c r="A907" s="5" t="inlineStr">
        <is>
          <t>ntx</t>
        </is>
      </c>
      <c r="B907" s="5" t="inlineStr">
        <is>
          <t>nga</t>
        </is>
      </c>
      <c r="C907" s="5" t="inlineStr">
        <is>
          <t>mac</t>
        </is>
      </c>
      <c r="D907" s="36">
        <f>INDEX(Inputs!$L$5:$L$132,MATCH($B907&amp;"|"&amp;$C907,Inputs!$A$5:$A$132,0))</f>
        <v/>
      </c>
      <c r="E907" s="36">
        <f>INDEX(Inputs!$I$5:$I$132,MATCH($B907&amp;"|"&amp;$C907,Inputs!$A$5:$A$132,0))</f>
        <v/>
      </c>
      <c r="F907" s="37" t="n"/>
      <c r="G907" s="37" t="n"/>
      <c r="H907" s="5">
        <f>INDEX(Variables!$B$5:$B$65,MATCH($A907,Variables!$A$5:$A$65,0))&amp;IF($C907="",""," | "&amp;INDEX(Mapping!$B$5:$B$25,MATCH($C907,Mapping!$A$5:$A$25,0))&amp;" | "&amp;INDEX(Mapping!$B$29:$B$38,MATCH($B907,Mapping!$A$29:$A$38,0)))</f>
        <v/>
      </c>
      <c r="I907" s="5">
        <f>INDEX(Variables!$C$5:$C$65,MATCH($A907,Variables!$A$5:$A$65,0))</f>
        <v/>
      </c>
      <c r="J907" s="5">
        <f>INDEX(Variables!$E$5:$E$65,MATCH($A907,Variables!$A$5:$A$65,0))</f>
        <v/>
      </c>
      <c r="K907" s="23">
        <f>LOWER(Settings!$C$4)&amp;".mit."&amp;$A907&amp;IF($C907="","","."&amp;$C907&amp;"."&amp;$B907)&amp;IF(INDEX(Variables!$D$5:$D$65,MATCH($A907,Variables!$A$5:$A$65,0))="","","."&amp;INDEX(Variables!$D$5:$D$65,MATCH($A907,Variables!$A$5:$A$65,0)))&amp;"."&amp;K$5</f>
        <v/>
      </c>
      <c r="L907" s="38">
        <f>INDEX(L$75:L$88,$D907)/$E907</f>
        <v/>
      </c>
      <c r="M907" s="36">
        <f>INDEX(M$75:M$88,$D907)/$E907</f>
        <v/>
      </c>
      <c r="N907" s="36">
        <f>INDEX(N$75:N$88,$D907)/$E907</f>
        <v/>
      </c>
      <c r="O907" s="36">
        <f>INDEX(O$75:O$88,$D907)/$E907</f>
        <v/>
      </c>
      <c r="P907" s="36">
        <f>INDEX(P$75:P$88,$D907)/$E907</f>
        <v/>
      </c>
      <c r="Q907" s="36">
        <f>INDEX(Q$75:Q$88,$D907)/$E907</f>
        <v/>
      </c>
      <c r="R907" s="36">
        <f>INDEX(R$75:R$88,$D907)/$E907</f>
        <v/>
      </c>
      <c r="S907" s="36">
        <f>INDEX(S$75:S$88,$D907)/$E907</f>
        <v/>
      </c>
      <c r="T907" s="36">
        <f>INDEX(T$75:T$88,$D907)/$E907</f>
        <v/>
      </c>
      <c r="U907" s="36">
        <f>INDEX(U$75:U$88,$D907)/$E907</f>
        <v/>
      </c>
      <c r="V907" s="36">
        <f>INDEX(V$75:V$88,$D907)/$E907</f>
        <v/>
      </c>
      <c r="W907" s="36">
        <f>INDEX(W$75:W$88,$D907)/$E907</f>
        <v/>
      </c>
      <c r="X907" s="36">
        <f>INDEX(X$75:X$88,$D907)/$E907</f>
        <v/>
      </c>
      <c r="Y907" s="36">
        <f>INDEX(Y$75:Y$88,$D907)/$E907</f>
        <v/>
      </c>
      <c r="Z907" s="23">
        <f>LOWER(Settings!$C$4)&amp;".mit."&amp;$A907&amp;IF($C907="","","."&amp;$C907&amp;"."&amp;$B907)&amp;IF(INDEX(Variables!$D$5:$D$65,MATCH($A907,Variables!$A$5:$A$65,0))="","","."&amp;INDEX(Variables!$D$5:$D$65,MATCH($A907,Variables!$A$5:$A$65,0)))&amp;"."&amp;Z$5</f>
        <v/>
      </c>
      <c r="AA907" s="38">
        <f>INDEX(AA$75:AA$88,$D907)/$E907</f>
        <v/>
      </c>
      <c r="AB907" s="36">
        <f>INDEX(AB$75:AB$88,$D907)/$E907</f>
        <v/>
      </c>
      <c r="AC907" s="36">
        <f>INDEX(AC$75:AC$88,$D907)/$E907</f>
        <v/>
      </c>
      <c r="AD907" s="36">
        <f>INDEX(AD$75:AD$88,$D907)/$E907</f>
        <v/>
      </c>
      <c r="AE907" s="36">
        <f>INDEX(AE$75:AE$88,$D907)/$E907</f>
        <v/>
      </c>
      <c r="AF907" s="36">
        <f>INDEX(AF$75:AF$88,$D907)/$E907</f>
        <v/>
      </c>
      <c r="AG907" s="36">
        <f>INDEX(AG$75:AG$88,$D907)/$E907</f>
        <v/>
      </c>
      <c r="AH907" s="36">
        <f>INDEX(AH$75:AH$88,$D907)/$E907</f>
        <v/>
      </c>
      <c r="AI907" s="36">
        <f>INDEX(AI$75:AI$88,$D907)/$E907</f>
        <v/>
      </c>
      <c r="AJ907" s="36">
        <f>INDEX(AJ$75:AJ$88,$D907)/$E907</f>
        <v/>
      </c>
      <c r="AK907" s="36">
        <f>INDEX(AK$75:AK$88,$D907)/$E907</f>
        <v/>
      </c>
      <c r="AL907" s="36">
        <f>INDEX(AL$75:AL$88,$D907)/$E907</f>
        <v/>
      </c>
      <c r="AM907" s="36">
        <f>INDEX(AM$75:AM$88,$D907)/$E907</f>
        <v/>
      </c>
      <c r="AN907" s="36">
        <f>INDEX(AN$75:AN$88,$D907)/$E907</f>
        <v/>
      </c>
    </row>
    <row r="908" hidden="1" outlineLevel="2">
      <c r="A908" s="5" t="inlineStr">
        <is>
          <t>ntx</t>
        </is>
      </c>
      <c r="B908" s="5" t="inlineStr">
        <is>
          <t>gso</t>
        </is>
      </c>
      <c r="C908" s="5" t="inlineStr">
        <is>
          <t>mac</t>
        </is>
      </c>
      <c r="D908" s="36">
        <f>INDEX(Inputs!$L$5:$L$132,MATCH($B908&amp;"|"&amp;$C908,Inputs!$A$5:$A$132,0))</f>
        <v/>
      </c>
      <c r="E908" s="36">
        <f>INDEX(Inputs!$I$5:$I$132,MATCH($B908&amp;"|"&amp;$C908,Inputs!$A$5:$A$132,0))</f>
        <v/>
      </c>
      <c r="F908" s="37" t="n"/>
      <c r="G908" s="37" t="n"/>
      <c r="H908" s="5">
        <f>INDEX(Variables!$B$5:$B$65,MATCH($A908,Variables!$A$5:$A$65,0))&amp;IF($C908="",""," | "&amp;INDEX(Mapping!$B$5:$B$25,MATCH($C908,Mapping!$A$5:$A$25,0))&amp;" | "&amp;INDEX(Mapping!$B$29:$B$38,MATCH($B908,Mapping!$A$29:$A$38,0)))</f>
        <v/>
      </c>
      <c r="I908" s="5">
        <f>INDEX(Variables!$C$5:$C$65,MATCH($A908,Variables!$A$5:$A$65,0))</f>
        <v/>
      </c>
      <c r="J908" s="5">
        <f>INDEX(Variables!$E$5:$E$65,MATCH($A908,Variables!$A$5:$A$65,0))</f>
        <v/>
      </c>
      <c r="K908" s="23">
        <f>LOWER(Settings!$C$4)&amp;".mit."&amp;$A908&amp;IF($C908="","","."&amp;$C908&amp;"."&amp;$B908)&amp;IF(INDEX(Variables!$D$5:$D$65,MATCH($A908,Variables!$A$5:$A$65,0))="","","."&amp;INDEX(Variables!$D$5:$D$65,MATCH($A908,Variables!$A$5:$A$65,0)))&amp;"."&amp;K$5</f>
        <v/>
      </c>
      <c r="L908" s="38">
        <f>INDEX(L$75:L$88,$D908)/$E908</f>
        <v/>
      </c>
      <c r="M908" s="36">
        <f>INDEX(M$75:M$88,$D908)/$E908</f>
        <v/>
      </c>
      <c r="N908" s="36">
        <f>INDEX(N$75:N$88,$D908)/$E908</f>
        <v/>
      </c>
      <c r="O908" s="36">
        <f>INDEX(O$75:O$88,$D908)/$E908</f>
        <v/>
      </c>
      <c r="P908" s="36">
        <f>INDEX(P$75:P$88,$D908)/$E908</f>
        <v/>
      </c>
      <c r="Q908" s="36">
        <f>INDEX(Q$75:Q$88,$D908)/$E908</f>
        <v/>
      </c>
      <c r="R908" s="36">
        <f>INDEX(R$75:R$88,$D908)/$E908</f>
        <v/>
      </c>
      <c r="S908" s="36">
        <f>INDEX(S$75:S$88,$D908)/$E908</f>
        <v/>
      </c>
      <c r="T908" s="36">
        <f>INDEX(T$75:T$88,$D908)/$E908</f>
        <v/>
      </c>
      <c r="U908" s="36">
        <f>INDEX(U$75:U$88,$D908)/$E908</f>
        <v/>
      </c>
      <c r="V908" s="36">
        <f>INDEX(V$75:V$88,$D908)/$E908</f>
        <v/>
      </c>
      <c r="W908" s="36">
        <f>INDEX(W$75:W$88,$D908)/$E908</f>
        <v/>
      </c>
      <c r="X908" s="36">
        <f>INDEX(X$75:X$88,$D908)/$E908</f>
        <v/>
      </c>
      <c r="Y908" s="36">
        <f>INDEX(Y$75:Y$88,$D908)/$E908</f>
        <v/>
      </c>
      <c r="Z908" s="23">
        <f>LOWER(Settings!$C$4)&amp;".mit."&amp;$A908&amp;IF($C908="","","."&amp;$C908&amp;"."&amp;$B908)&amp;IF(INDEX(Variables!$D$5:$D$65,MATCH($A908,Variables!$A$5:$A$65,0))="","","."&amp;INDEX(Variables!$D$5:$D$65,MATCH($A908,Variables!$A$5:$A$65,0)))&amp;"."&amp;Z$5</f>
        <v/>
      </c>
      <c r="AA908" s="38">
        <f>INDEX(AA$75:AA$88,$D908)/$E908</f>
        <v/>
      </c>
      <c r="AB908" s="36">
        <f>INDEX(AB$75:AB$88,$D908)/$E908</f>
        <v/>
      </c>
      <c r="AC908" s="36">
        <f>INDEX(AC$75:AC$88,$D908)/$E908</f>
        <v/>
      </c>
      <c r="AD908" s="36">
        <f>INDEX(AD$75:AD$88,$D908)/$E908</f>
        <v/>
      </c>
      <c r="AE908" s="36">
        <f>INDEX(AE$75:AE$88,$D908)/$E908</f>
        <v/>
      </c>
      <c r="AF908" s="36">
        <f>INDEX(AF$75:AF$88,$D908)/$E908</f>
        <v/>
      </c>
      <c r="AG908" s="36">
        <f>INDEX(AG$75:AG$88,$D908)/$E908</f>
        <v/>
      </c>
      <c r="AH908" s="36">
        <f>INDEX(AH$75:AH$88,$D908)/$E908</f>
        <v/>
      </c>
      <c r="AI908" s="36">
        <f>INDEX(AI$75:AI$88,$D908)/$E908</f>
        <v/>
      </c>
      <c r="AJ908" s="36">
        <f>INDEX(AJ$75:AJ$88,$D908)/$E908</f>
        <v/>
      </c>
      <c r="AK908" s="36">
        <f>INDEX(AK$75:AK$88,$D908)/$E908</f>
        <v/>
      </c>
      <c r="AL908" s="36">
        <f>INDEX(AL$75:AL$88,$D908)/$E908</f>
        <v/>
      </c>
      <c r="AM908" s="36">
        <f>INDEX(AM$75:AM$88,$D908)/$E908</f>
        <v/>
      </c>
      <c r="AN908" s="36">
        <f>INDEX(AN$75:AN$88,$D908)/$E908</f>
        <v/>
      </c>
    </row>
    <row r="909" hidden="1" outlineLevel="2">
      <c r="A909" s="5" t="inlineStr">
        <is>
          <t>ntx</t>
        </is>
      </c>
      <c r="B909" s="5" t="inlineStr">
        <is>
          <t>die</t>
        </is>
      </c>
      <c r="C909" s="5" t="inlineStr">
        <is>
          <t>mac</t>
        </is>
      </c>
      <c r="D909" s="36">
        <f>INDEX(Inputs!$L$5:$L$132,MATCH($B909&amp;"|"&amp;$C909,Inputs!$A$5:$A$132,0))</f>
        <v/>
      </c>
      <c r="E909" s="36">
        <f>INDEX(Inputs!$I$5:$I$132,MATCH($B909&amp;"|"&amp;$C909,Inputs!$A$5:$A$132,0))</f>
        <v/>
      </c>
      <c r="F909" s="37" t="n"/>
      <c r="G909" s="37" t="n"/>
      <c r="H909" s="5">
        <f>INDEX(Variables!$B$5:$B$65,MATCH($A909,Variables!$A$5:$A$65,0))&amp;IF($C909="",""," | "&amp;INDEX(Mapping!$B$5:$B$25,MATCH($C909,Mapping!$A$5:$A$25,0))&amp;" | "&amp;INDEX(Mapping!$B$29:$B$38,MATCH($B909,Mapping!$A$29:$A$38,0)))</f>
        <v/>
      </c>
      <c r="I909" s="5">
        <f>INDEX(Variables!$C$5:$C$65,MATCH($A909,Variables!$A$5:$A$65,0))</f>
        <v/>
      </c>
      <c r="J909" s="5">
        <f>INDEX(Variables!$E$5:$E$65,MATCH($A909,Variables!$A$5:$A$65,0))</f>
        <v/>
      </c>
      <c r="K909" s="23">
        <f>LOWER(Settings!$C$4)&amp;".mit."&amp;$A909&amp;IF($C909="","","."&amp;$C909&amp;"."&amp;$B909)&amp;IF(INDEX(Variables!$D$5:$D$65,MATCH($A909,Variables!$A$5:$A$65,0))="","","."&amp;INDEX(Variables!$D$5:$D$65,MATCH($A909,Variables!$A$5:$A$65,0)))&amp;"."&amp;K$5</f>
        <v/>
      </c>
      <c r="L909" s="38">
        <f>INDEX(L$75:L$88,$D909)/$E909</f>
        <v/>
      </c>
      <c r="M909" s="36">
        <f>INDEX(M$75:M$88,$D909)/$E909</f>
        <v/>
      </c>
      <c r="N909" s="36">
        <f>INDEX(N$75:N$88,$D909)/$E909</f>
        <v/>
      </c>
      <c r="O909" s="36">
        <f>INDEX(O$75:O$88,$D909)/$E909</f>
        <v/>
      </c>
      <c r="P909" s="36">
        <f>INDEX(P$75:P$88,$D909)/$E909</f>
        <v/>
      </c>
      <c r="Q909" s="36">
        <f>INDEX(Q$75:Q$88,$D909)/$E909</f>
        <v/>
      </c>
      <c r="R909" s="36">
        <f>INDEX(R$75:R$88,$D909)/$E909</f>
        <v/>
      </c>
      <c r="S909" s="36">
        <f>INDEX(S$75:S$88,$D909)/$E909</f>
        <v/>
      </c>
      <c r="T909" s="36">
        <f>INDEX(T$75:T$88,$D909)/$E909</f>
        <v/>
      </c>
      <c r="U909" s="36">
        <f>INDEX(U$75:U$88,$D909)/$E909</f>
        <v/>
      </c>
      <c r="V909" s="36">
        <f>INDEX(V$75:V$88,$D909)/$E909</f>
        <v/>
      </c>
      <c r="W909" s="36">
        <f>INDEX(W$75:W$88,$D909)/$E909</f>
        <v/>
      </c>
      <c r="X909" s="36">
        <f>INDEX(X$75:X$88,$D909)/$E909</f>
        <v/>
      </c>
      <c r="Y909" s="36">
        <f>INDEX(Y$75:Y$88,$D909)/$E909</f>
        <v/>
      </c>
      <c r="Z909" s="23">
        <f>LOWER(Settings!$C$4)&amp;".mit."&amp;$A909&amp;IF($C909="","","."&amp;$C909&amp;"."&amp;$B909)&amp;IF(INDEX(Variables!$D$5:$D$65,MATCH($A909,Variables!$A$5:$A$65,0))="","","."&amp;INDEX(Variables!$D$5:$D$65,MATCH($A909,Variables!$A$5:$A$65,0)))&amp;"."&amp;Z$5</f>
        <v/>
      </c>
      <c r="AA909" s="38">
        <f>INDEX(AA$75:AA$88,$D909)/$E909</f>
        <v/>
      </c>
      <c r="AB909" s="36">
        <f>INDEX(AB$75:AB$88,$D909)/$E909</f>
        <v/>
      </c>
      <c r="AC909" s="36">
        <f>INDEX(AC$75:AC$88,$D909)/$E909</f>
        <v/>
      </c>
      <c r="AD909" s="36">
        <f>INDEX(AD$75:AD$88,$D909)/$E909</f>
        <v/>
      </c>
      <c r="AE909" s="36">
        <f>INDEX(AE$75:AE$88,$D909)/$E909</f>
        <v/>
      </c>
      <c r="AF909" s="36">
        <f>INDEX(AF$75:AF$88,$D909)/$E909</f>
        <v/>
      </c>
      <c r="AG909" s="36">
        <f>INDEX(AG$75:AG$88,$D909)/$E909</f>
        <v/>
      </c>
      <c r="AH909" s="36">
        <f>INDEX(AH$75:AH$88,$D909)/$E909</f>
        <v/>
      </c>
      <c r="AI909" s="36">
        <f>INDEX(AI$75:AI$88,$D909)/$E909</f>
        <v/>
      </c>
      <c r="AJ909" s="36">
        <f>INDEX(AJ$75:AJ$88,$D909)/$E909</f>
        <v/>
      </c>
      <c r="AK909" s="36">
        <f>INDEX(AK$75:AK$88,$D909)/$E909</f>
        <v/>
      </c>
      <c r="AL909" s="36">
        <f>INDEX(AL$75:AL$88,$D909)/$E909</f>
        <v/>
      </c>
      <c r="AM909" s="36">
        <f>INDEX(AM$75:AM$88,$D909)/$E909</f>
        <v/>
      </c>
      <c r="AN909" s="36">
        <f>INDEX(AN$75:AN$88,$D909)/$E909</f>
        <v/>
      </c>
    </row>
    <row r="910" hidden="1" outlineLevel="2">
      <c r="A910" s="5" t="inlineStr">
        <is>
          <t>ntx</t>
        </is>
      </c>
      <c r="B910" s="5" t="inlineStr">
        <is>
          <t>lpg</t>
        </is>
      </c>
      <c r="C910" s="5" t="inlineStr">
        <is>
          <t>mac</t>
        </is>
      </c>
      <c r="D910" s="36">
        <f>INDEX(Inputs!$L$5:$L$132,MATCH($B910&amp;"|"&amp;$C910,Inputs!$A$5:$A$132,0))</f>
        <v/>
      </c>
      <c r="E910" s="36">
        <f>INDEX(Inputs!$I$5:$I$132,MATCH($B910&amp;"|"&amp;$C910,Inputs!$A$5:$A$132,0))</f>
        <v/>
      </c>
      <c r="F910" s="37" t="n"/>
      <c r="G910" s="37" t="n"/>
      <c r="H910" s="5">
        <f>INDEX(Variables!$B$5:$B$65,MATCH($A910,Variables!$A$5:$A$65,0))&amp;IF($C910="",""," | "&amp;INDEX(Mapping!$B$5:$B$25,MATCH($C910,Mapping!$A$5:$A$25,0))&amp;" | "&amp;INDEX(Mapping!$B$29:$B$38,MATCH($B910,Mapping!$A$29:$A$38,0)))</f>
        <v/>
      </c>
      <c r="I910" s="5">
        <f>INDEX(Variables!$C$5:$C$65,MATCH($A910,Variables!$A$5:$A$65,0))</f>
        <v/>
      </c>
      <c r="J910" s="5">
        <f>INDEX(Variables!$E$5:$E$65,MATCH($A910,Variables!$A$5:$A$65,0))</f>
        <v/>
      </c>
      <c r="K910" s="23">
        <f>LOWER(Settings!$C$4)&amp;".mit."&amp;$A910&amp;IF($C910="","","."&amp;$C910&amp;"."&amp;$B910)&amp;IF(INDEX(Variables!$D$5:$D$65,MATCH($A910,Variables!$A$5:$A$65,0))="","","."&amp;INDEX(Variables!$D$5:$D$65,MATCH($A910,Variables!$A$5:$A$65,0)))&amp;"."&amp;K$5</f>
        <v/>
      </c>
      <c r="L910" s="38">
        <f>INDEX(L$75:L$88,$D910)/$E910</f>
        <v/>
      </c>
      <c r="M910" s="36">
        <f>INDEX(M$75:M$88,$D910)/$E910</f>
        <v/>
      </c>
      <c r="N910" s="36">
        <f>INDEX(N$75:N$88,$D910)/$E910</f>
        <v/>
      </c>
      <c r="O910" s="36">
        <f>INDEX(O$75:O$88,$D910)/$E910</f>
        <v/>
      </c>
      <c r="P910" s="36">
        <f>INDEX(P$75:P$88,$D910)/$E910</f>
        <v/>
      </c>
      <c r="Q910" s="36">
        <f>INDEX(Q$75:Q$88,$D910)/$E910</f>
        <v/>
      </c>
      <c r="R910" s="36">
        <f>INDEX(R$75:R$88,$D910)/$E910</f>
        <v/>
      </c>
      <c r="S910" s="36">
        <f>INDEX(S$75:S$88,$D910)/$E910</f>
        <v/>
      </c>
      <c r="T910" s="36">
        <f>INDEX(T$75:T$88,$D910)/$E910</f>
        <v/>
      </c>
      <c r="U910" s="36">
        <f>INDEX(U$75:U$88,$D910)/$E910</f>
        <v/>
      </c>
      <c r="V910" s="36">
        <f>INDEX(V$75:V$88,$D910)/$E910</f>
        <v/>
      </c>
      <c r="W910" s="36">
        <f>INDEX(W$75:W$88,$D910)/$E910</f>
        <v/>
      </c>
      <c r="X910" s="36">
        <f>INDEX(X$75:X$88,$D910)/$E910</f>
        <v/>
      </c>
      <c r="Y910" s="36">
        <f>INDEX(Y$75:Y$88,$D910)/$E910</f>
        <v/>
      </c>
      <c r="Z910" s="23">
        <f>LOWER(Settings!$C$4)&amp;".mit."&amp;$A910&amp;IF($C910="","","."&amp;$C910&amp;"."&amp;$B910)&amp;IF(INDEX(Variables!$D$5:$D$65,MATCH($A910,Variables!$A$5:$A$65,0))="","","."&amp;INDEX(Variables!$D$5:$D$65,MATCH($A910,Variables!$A$5:$A$65,0)))&amp;"."&amp;Z$5</f>
        <v/>
      </c>
      <c r="AA910" s="38">
        <f>INDEX(AA$75:AA$88,$D910)/$E910</f>
        <v/>
      </c>
      <c r="AB910" s="36">
        <f>INDEX(AB$75:AB$88,$D910)/$E910</f>
        <v/>
      </c>
      <c r="AC910" s="36">
        <f>INDEX(AC$75:AC$88,$D910)/$E910</f>
        <v/>
      </c>
      <c r="AD910" s="36">
        <f>INDEX(AD$75:AD$88,$D910)/$E910</f>
        <v/>
      </c>
      <c r="AE910" s="36">
        <f>INDEX(AE$75:AE$88,$D910)/$E910</f>
        <v/>
      </c>
      <c r="AF910" s="36">
        <f>INDEX(AF$75:AF$88,$D910)/$E910</f>
        <v/>
      </c>
      <c r="AG910" s="36">
        <f>INDEX(AG$75:AG$88,$D910)/$E910</f>
        <v/>
      </c>
      <c r="AH910" s="36">
        <f>INDEX(AH$75:AH$88,$D910)/$E910</f>
        <v/>
      </c>
      <c r="AI910" s="36">
        <f>INDEX(AI$75:AI$88,$D910)/$E910</f>
        <v/>
      </c>
      <c r="AJ910" s="36">
        <f>INDEX(AJ$75:AJ$88,$D910)/$E910</f>
        <v/>
      </c>
      <c r="AK910" s="36">
        <f>INDEX(AK$75:AK$88,$D910)/$E910</f>
        <v/>
      </c>
      <c r="AL910" s="36">
        <f>INDEX(AL$75:AL$88,$D910)/$E910</f>
        <v/>
      </c>
      <c r="AM910" s="36">
        <f>INDEX(AM$75:AM$88,$D910)/$E910</f>
        <v/>
      </c>
      <c r="AN910" s="36">
        <f>INDEX(AN$75:AN$88,$D910)/$E910</f>
        <v/>
      </c>
    </row>
    <row r="911" hidden="1" outlineLevel="2">
      <c r="A911" s="5" t="inlineStr">
        <is>
          <t>ntx</t>
        </is>
      </c>
      <c r="B911" s="5" t="inlineStr">
        <is>
          <t>ker</t>
        </is>
      </c>
      <c r="C911" s="5" t="inlineStr">
        <is>
          <t>mac</t>
        </is>
      </c>
      <c r="D911" s="36">
        <f>INDEX(Inputs!$L$5:$L$132,MATCH($B911&amp;"|"&amp;$C911,Inputs!$A$5:$A$132,0))</f>
        <v/>
      </c>
      <c r="E911" s="36">
        <f>INDEX(Inputs!$I$5:$I$132,MATCH($B911&amp;"|"&amp;$C911,Inputs!$A$5:$A$132,0))</f>
        <v/>
      </c>
      <c r="F911" s="37" t="n"/>
      <c r="G911" s="37" t="n"/>
      <c r="H911" s="5">
        <f>INDEX(Variables!$B$5:$B$65,MATCH($A911,Variables!$A$5:$A$65,0))&amp;IF($C911="",""," | "&amp;INDEX(Mapping!$B$5:$B$25,MATCH($C911,Mapping!$A$5:$A$25,0))&amp;" | "&amp;INDEX(Mapping!$B$29:$B$38,MATCH($B911,Mapping!$A$29:$A$38,0)))</f>
        <v/>
      </c>
      <c r="I911" s="5">
        <f>INDEX(Variables!$C$5:$C$65,MATCH($A911,Variables!$A$5:$A$65,0))</f>
        <v/>
      </c>
      <c r="J911" s="5">
        <f>INDEX(Variables!$E$5:$E$65,MATCH($A911,Variables!$A$5:$A$65,0))</f>
        <v/>
      </c>
      <c r="K911" s="23">
        <f>LOWER(Settings!$C$4)&amp;".mit."&amp;$A911&amp;IF($C911="","","."&amp;$C911&amp;"."&amp;$B911)&amp;IF(INDEX(Variables!$D$5:$D$65,MATCH($A911,Variables!$A$5:$A$65,0))="","","."&amp;INDEX(Variables!$D$5:$D$65,MATCH($A911,Variables!$A$5:$A$65,0)))&amp;"."&amp;K$5</f>
        <v/>
      </c>
      <c r="L911" s="38">
        <f>INDEX(L$75:L$88,$D911)/$E911</f>
        <v/>
      </c>
      <c r="M911" s="36">
        <f>INDEX(M$75:M$88,$D911)/$E911</f>
        <v/>
      </c>
      <c r="N911" s="36">
        <f>INDEX(N$75:N$88,$D911)/$E911</f>
        <v/>
      </c>
      <c r="O911" s="36">
        <f>INDEX(O$75:O$88,$D911)/$E911</f>
        <v/>
      </c>
      <c r="P911" s="36">
        <f>INDEX(P$75:P$88,$D911)/$E911</f>
        <v/>
      </c>
      <c r="Q911" s="36">
        <f>INDEX(Q$75:Q$88,$D911)/$E911</f>
        <v/>
      </c>
      <c r="R911" s="36">
        <f>INDEX(R$75:R$88,$D911)/$E911</f>
        <v/>
      </c>
      <c r="S911" s="36">
        <f>INDEX(S$75:S$88,$D911)/$E911</f>
        <v/>
      </c>
      <c r="T911" s="36">
        <f>INDEX(T$75:T$88,$D911)/$E911</f>
        <v/>
      </c>
      <c r="U911" s="36">
        <f>INDEX(U$75:U$88,$D911)/$E911</f>
        <v/>
      </c>
      <c r="V911" s="36">
        <f>INDEX(V$75:V$88,$D911)/$E911</f>
        <v/>
      </c>
      <c r="W911" s="36">
        <f>INDEX(W$75:W$88,$D911)/$E911</f>
        <v/>
      </c>
      <c r="X911" s="36">
        <f>INDEX(X$75:X$88,$D911)/$E911</f>
        <v/>
      </c>
      <c r="Y911" s="36">
        <f>INDEX(Y$75:Y$88,$D911)/$E911</f>
        <v/>
      </c>
      <c r="Z911" s="23">
        <f>LOWER(Settings!$C$4)&amp;".mit."&amp;$A911&amp;IF($C911="","","."&amp;$C911&amp;"."&amp;$B911)&amp;IF(INDEX(Variables!$D$5:$D$65,MATCH($A911,Variables!$A$5:$A$65,0))="","","."&amp;INDEX(Variables!$D$5:$D$65,MATCH($A911,Variables!$A$5:$A$65,0)))&amp;"."&amp;Z$5</f>
        <v/>
      </c>
      <c r="AA911" s="38">
        <f>INDEX(AA$75:AA$88,$D911)/$E911</f>
        <v/>
      </c>
      <c r="AB911" s="36">
        <f>INDEX(AB$75:AB$88,$D911)/$E911</f>
        <v/>
      </c>
      <c r="AC911" s="36">
        <f>INDEX(AC$75:AC$88,$D911)/$E911</f>
        <v/>
      </c>
      <c r="AD911" s="36">
        <f>INDEX(AD$75:AD$88,$D911)/$E911</f>
        <v/>
      </c>
      <c r="AE911" s="36">
        <f>INDEX(AE$75:AE$88,$D911)/$E911</f>
        <v/>
      </c>
      <c r="AF911" s="36">
        <f>INDEX(AF$75:AF$88,$D911)/$E911</f>
        <v/>
      </c>
      <c r="AG911" s="36">
        <f>INDEX(AG$75:AG$88,$D911)/$E911</f>
        <v/>
      </c>
      <c r="AH911" s="36">
        <f>INDEX(AH$75:AH$88,$D911)/$E911</f>
        <v/>
      </c>
      <c r="AI911" s="36">
        <f>INDEX(AI$75:AI$88,$D911)/$E911</f>
        <v/>
      </c>
      <c r="AJ911" s="36">
        <f>INDEX(AJ$75:AJ$88,$D911)/$E911</f>
        <v/>
      </c>
      <c r="AK911" s="36">
        <f>INDEX(AK$75:AK$88,$D911)/$E911</f>
        <v/>
      </c>
      <c r="AL911" s="36">
        <f>INDEX(AL$75:AL$88,$D911)/$E911</f>
        <v/>
      </c>
      <c r="AM911" s="36">
        <f>INDEX(AM$75:AM$88,$D911)/$E911</f>
        <v/>
      </c>
      <c r="AN911" s="36">
        <f>INDEX(AN$75:AN$88,$D911)/$E911</f>
        <v/>
      </c>
    </row>
    <row r="912" hidden="1" outlineLevel="2">
      <c r="A912" s="5" t="inlineStr">
        <is>
          <t>ntx</t>
        </is>
      </c>
      <c r="B912" s="5" t="inlineStr">
        <is>
          <t>oop</t>
        </is>
      </c>
      <c r="C912" s="5" t="inlineStr">
        <is>
          <t>mac</t>
        </is>
      </c>
      <c r="D912" s="36">
        <f>INDEX(Inputs!$L$5:$L$132,MATCH($B912&amp;"|"&amp;$C912,Inputs!$A$5:$A$132,0))</f>
        <v/>
      </c>
      <c r="E912" s="36">
        <f>INDEX(Inputs!$I$5:$I$132,MATCH($B912&amp;"|"&amp;$C912,Inputs!$A$5:$A$132,0))</f>
        <v/>
      </c>
      <c r="F912" s="37" t="n"/>
      <c r="G912" s="37" t="n"/>
      <c r="H912" s="5">
        <f>INDEX(Variables!$B$5:$B$65,MATCH($A912,Variables!$A$5:$A$65,0))&amp;IF($C912="",""," | "&amp;INDEX(Mapping!$B$5:$B$25,MATCH($C912,Mapping!$A$5:$A$25,0))&amp;" | "&amp;INDEX(Mapping!$B$29:$B$38,MATCH($B912,Mapping!$A$29:$A$38,0)))</f>
        <v/>
      </c>
      <c r="I912" s="5">
        <f>INDEX(Variables!$C$5:$C$65,MATCH($A912,Variables!$A$5:$A$65,0))</f>
        <v/>
      </c>
      <c r="J912" s="5">
        <f>INDEX(Variables!$E$5:$E$65,MATCH($A912,Variables!$A$5:$A$65,0))</f>
        <v/>
      </c>
      <c r="K912" s="23">
        <f>LOWER(Settings!$C$4)&amp;".mit."&amp;$A912&amp;IF($C912="","","."&amp;$C912&amp;"."&amp;$B912)&amp;IF(INDEX(Variables!$D$5:$D$65,MATCH($A912,Variables!$A$5:$A$65,0))="","","."&amp;INDEX(Variables!$D$5:$D$65,MATCH($A912,Variables!$A$5:$A$65,0)))&amp;"."&amp;K$5</f>
        <v/>
      </c>
      <c r="L912" s="38">
        <f>INDEX(L$75:L$88,$D912)/$E912</f>
        <v/>
      </c>
      <c r="M912" s="36">
        <f>INDEX(M$75:M$88,$D912)/$E912</f>
        <v/>
      </c>
      <c r="N912" s="36">
        <f>INDEX(N$75:N$88,$D912)/$E912</f>
        <v/>
      </c>
      <c r="O912" s="36">
        <f>INDEX(O$75:O$88,$D912)/$E912</f>
        <v/>
      </c>
      <c r="P912" s="36">
        <f>INDEX(P$75:P$88,$D912)/$E912</f>
        <v/>
      </c>
      <c r="Q912" s="36">
        <f>INDEX(Q$75:Q$88,$D912)/$E912</f>
        <v/>
      </c>
      <c r="R912" s="36">
        <f>INDEX(R$75:R$88,$D912)/$E912</f>
        <v/>
      </c>
      <c r="S912" s="36">
        <f>INDEX(S$75:S$88,$D912)/$E912</f>
        <v/>
      </c>
      <c r="T912" s="36">
        <f>INDEX(T$75:T$88,$D912)/$E912</f>
        <v/>
      </c>
      <c r="U912" s="36">
        <f>INDEX(U$75:U$88,$D912)/$E912</f>
        <v/>
      </c>
      <c r="V912" s="36">
        <f>INDEX(V$75:V$88,$D912)/$E912</f>
        <v/>
      </c>
      <c r="W912" s="36">
        <f>INDEX(W$75:W$88,$D912)/$E912</f>
        <v/>
      </c>
      <c r="X912" s="36">
        <f>INDEX(X$75:X$88,$D912)/$E912</f>
        <v/>
      </c>
      <c r="Y912" s="36">
        <f>INDEX(Y$75:Y$88,$D912)/$E912</f>
        <v/>
      </c>
      <c r="Z912" s="23">
        <f>LOWER(Settings!$C$4)&amp;".mit."&amp;$A912&amp;IF($C912="","","."&amp;$C912&amp;"."&amp;$B912)&amp;IF(INDEX(Variables!$D$5:$D$65,MATCH($A912,Variables!$A$5:$A$65,0))="","","."&amp;INDEX(Variables!$D$5:$D$65,MATCH($A912,Variables!$A$5:$A$65,0)))&amp;"."&amp;Z$5</f>
        <v/>
      </c>
      <c r="AA912" s="38">
        <f>INDEX(AA$75:AA$88,$D912)/$E912</f>
        <v/>
      </c>
      <c r="AB912" s="36">
        <f>INDEX(AB$75:AB$88,$D912)/$E912</f>
        <v/>
      </c>
      <c r="AC912" s="36">
        <f>INDEX(AC$75:AC$88,$D912)/$E912</f>
        <v/>
      </c>
      <c r="AD912" s="36">
        <f>INDEX(AD$75:AD$88,$D912)/$E912</f>
        <v/>
      </c>
      <c r="AE912" s="36">
        <f>INDEX(AE$75:AE$88,$D912)/$E912</f>
        <v/>
      </c>
      <c r="AF912" s="36">
        <f>INDEX(AF$75:AF$88,$D912)/$E912</f>
        <v/>
      </c>
      <c r="AG912" s="36">
        <f>INDEX(AG$75:AG$88,$D912)/$E912</f>
        <v/>
      </c>
      <c r="AH912" s="36">
        <f>INDEX(AH$75:AH$88,$D912)/$E912</f>
        <v/>
      </c>
      <c r="AI912" s="36">
        <f>INDEX(AI$75:AI$88,$D912)/$E912</f>
        <v/>
      </c>
      <c r="AJ912" s="36">
        <f>INDEX(AJ$75:AJ$88,$D912)/$E912</f>
        <v/>
      </c>
      <c r="AK912" s="36">
        <f>INDEX(AK$75:AK$88,$D912)/$E912</f>
        <v/>
      </c>
      <c r="AL912" s="36">
        <f>INDEX(AL$75:AL$88,$D912)/$E912</f>
        <v/>
      </c>
      <c r="AM912" s="36">
        <f>INDEX(AM$75:AM$88,$D912)/$E912</f>
        <v/>
      </c>
      <c r="AN912" s="36">
        <f>INDEX(AN$75:AN$88,$D912)/$E912</f>
        <v/>
      </c>
    </row>
    <row r="913" hidden="1" outlineLevel="2">
      <c r="A913" s="5" t="inlineStr">
        <is>
          <t>ntx</t>
        </is>
      </c>
      <c r="B913" s="5" t="inlineStr">
        <is>
          <t>bio</t>
        </is>
      </c>
      <c r="C913" s="5" t="inlineStr">
        <is>
          <t>mac</t>
        </is>
      </c>
      <c r="D913" s="36">
        <f>INDEX(Inputs!$L$5:$L$132,MATCH($B913&amp;"|"&amp;$C913,Inputs!$A$5:$A$132,0))</f>
        <v/>
      </c>
      <c r="E913" s="36">
        <f>INDEX(Inputs!$I$5:$I$132,MATCH($B913&amp;"|"&amp;$C913,Inputs!$A$5:$A$132,0))</f>
        <v/>
      </c>
      <c r="F913" s="37" t="n"/>
      <c r="G913" s="37" t="n"/>
      <c r="H913" s="5">
        <f>INDEX(Variables!$B$5:$B$65,MATCH($A913,Variables!$A$5:$A$65,0))&amp;IF($C913="",""," | "&amp;INDEX(Mapping!$B$5:$B$25,MATCH($C913,Mapping!$A$5:$A$25,0))&amp;" | "&amp;INDEX(Mapping!$B$29:$B$38,MATCH($B913,Mapping!$A$29:$A$38,0)))</f>
        <v/>
      </c>
      <c r="I913" s="5">
        <f>INDEX(Variables!$C$5:$C$65,MATCH($A913,Variables!$A$5:$A$65,0))</f>
        <v/>
      </c>
      <c r="J913" s="5">
        <f>INDEX(Variables!$E$5:$E$65,MATCH($A913,Variables!$A$5:$A$65,0))</f>
        <v/>
      </c>
      <c r="K913" s="23">
        <f>LOWER(Settings!$C$4)&amp;".mit."&amp;$A913&amp;IF($C913="","","."&amp;$C913&amp;"."&amp;$B913)&amp;IF(INDEX(Variables!$D$5:$D$65,MATCH($A913,Variables!$A$5:$A$65,0))="","","."&amp;INDEX(Variables!$D$5:$D$65,MATCH($A913,Variables!$A$5:$A$65,0)))&amp;"."&amp;K$5</f>
        <v/>
      </c>
      <c r="L913" s="38">
        <f>INDEX(L$75:L$88,$D913)/$E913</f>
        <v/>
      </c>
      <c r="M913" s="36">
        <f>INDEX(M$75:M$88,$D913)/$E913</f>
        <v/>
      </c>
      <c r="N913" s="36">
        <f>INDEX(N$75:N$88,$D913)/$E913</f>
        <v/>
      </c>
      <c r="O913" s="36">
        <f>INDEX(O$75:O$88,$D913)/$E913</f>
        <v/>
      </c>
      <c r="P913" s="36">
        <f>INDEX(P$75:P$88,$D913)/$E913</f>
        <v/>
      </c>
      <c r="Q913" s="36">
        <f>INDEX(Q$75:Q$88,$D913)/$E913</f>
        <v/>
      </c>
      <c r="R913" s="36">
        <f>INDEX(R$75:R$88,$D913)/$E913</f>
        <v/>
      </c>
      <c r="S913" s="36">
        <f>INDEX(S$75:S$88,$D913)/$E913</f>
        <v/>
      </c>
      <c r="T913" s="36">
        <f>INDEX(T$75:T$88,$D913)/$E913</f>
        <v/>
      </c>
      <c r="U913" s="36">
        <f>INDEX(U$75:U$88,$D913)/$E913</f>
        <v/>
      </c>
      <c r="V913" s="36">
        <f>INDEX(V$75:V$88,$D913)/$E913</f>
        <v/>
      </c>
      <c r="W913" s="36">
        <f>INDEX(W$75:W$88,$D913)/$E913</f>
        <v/>
      </c>
      <c r="X913" s="36">
        <f>INDEX(X$75:X$88,$D913)/$E913</f>
        <v/>
      </c>
      <c r="Y913" s="36">
        <f>INDEX(Y$75:Y$88,$D913)/$E913</f>
        <v/>
      </c>
      <c r="Z913" s="23">
        <f>LOWER(Settings!$C$4)&amp;".mit."&amp;$A913&amp;IF($C913="","","."&amp;$C913&amp;"."&amp;$B913)&amp;IF(INDEX(Variables!$D$5:$D$65,MATCH($A913,Variables!$A$5:$A$65,0))="","","."&amp;INDEX(Variables!$D$5:$D$65,MATCH($A913,Variables!$A$5:$A$65,0)))&amp;"."&amp;Z$5</f>
        <v/>
      </c>
      <c r="AA913" s="38">
        <f>INDEX(AA$75:AA$88,$D913)/$E913</f>
        <v/>
      </c>
      <c r="AB913" s="36">
        <f>INDEX(AB$75:AB$88,$D913)/$E913</f>
        <v/>
      </c>
      <c r="AC913" s="36">
        <f>INDEX(AC$75:AC$88,$D913)/$E913</f>
        <v/>
      </c>
      <c r="AD913" s="36">
        <f>INDEX(AD$75:AD$88,$D913)/$E913</f>
        <v/>
      </c>
      <c r="AE913" s="36">
        <f>INDEX(AE$75:AE$88,$D913)/$E913</f>
        <v/>
      </c>
      <c r="AF913" s="36">
        <f>INDEX(AF$75:AF$88,$D913)/$E913</f>
        <v/>
      </c>
      <c r="AG913" s="36">
        <f>INDEX(AG$75:AG$88,$D913)/$E913</f>
        <v/>
      </c>
      <c r="AH913" s="36">
        <f>INDEX(AH$75:AH$88,$D913)/$E913</f>
        <v/>
      </c>
      <c r="AI913" s="36">
        <f>INDEX(AI$75:AI$88,$D913)/$E913</f>
        <v/>
      </c>
      <c r="AJ913" s="36">
        <f>INDEX(AJ$75:AJ$88,$D913)/$E913</f>
        <v/>
      </c>
      <c r="AK913" s="36">
        <f>INDEX(AK$75:AK$88,$D913)/$E913</f>
        <v/>
      </c>
      <c r="AL913" s="36">
        <f>INDEX(AL$75:AL$88,$D913)/$E913</f>
        <v/>
      </c>
      <c r="AM913" s="36">
        <f>INDEX(AM$75:AM$88,$D913)/$E913</f>
        <v/>
      </c>
      <c r="AN913" s="36">
        <f>INDEX(AN$75:AN$88,$D913)/$E913</f>
        <v/>
      </c>
    </row>
    <row r="914" hidden="1" outlineLevel="2"/>
    <row r="915" hidden="1" outlineLevel="2">
      <c r="A915" s="5" t="inlineStr">
        <is>
          <t>nce</t>
        </is>
      </c>
      <c r="B915" s="5" t="inlineStr">
        <is>
          <t>coa</t>
        </is>
      </c>
      <c r="C915" s="5" t="inlineStr">
        <is>
          <t>mac</t>
        </is>
      </c>
      <c r="D915" s="37" t="n"/>
      <c r="E915" s="37" t="n"/>
      <c r="F915" s="37" t="n"/>
      <c r="G915" s="37" t="n"/>
      <c r="H915" s="5">
        <f>INDEX(Variables!$B$5:$B$65,MATCH($A915,Variables!$A$5:$A$65,0))&amp;IF($C915="",""," | "&amp;INDEX(Mapping!$B$5:$B$25,MATCH($C915,Mapping!$A$5:$A$25,0))&amp;" | "&amp;INDEX(Mapping!$B$29:$B$38,MATCH($B915,Mapping!$A$29:$A$38,0)))</f>
        <v/>
      </c>
      <c r="I915" s="5">
        <f>INDEX(Variables!$C$5:$C$65,MATCH($A915,Variables!$A$5:$A$65,0))</f>
        <v/>
      </c>
      <c r="J915" s="5">
        <f>INDEX(Variables!$E$5:$E$65,MATCH($A915,Variables!$A$5:$A$65,0))</f>
        <v/>
      </c>
      <c r="K915" s="23">
        <f>LOWER(Settings!$C$4)&amp;".mit."&amp;$A915&amp;IF($C915="","","."&amp;$C915&amp;"."&amp;$B915)&amp;IF(INDEX(Variables!$D$5:$D$65,MATCH($A915,Variables!$A$5:$A$65,0))="","","."&amp;INDEX(Variables!$D$5:$D$65,MATCH($A915,Variables!$A$5:$A$65,0)))&amp;"."&amp;K$5</f>
        <v/>
      </c>
      <c r="L915" s="38">
        <f>L897+L906</f>
        <v/>
      </c>
      <c r="M915" s="36">
        <f>M897+M906</f>
        <v/>
      </c>
      <c r="N915" s="36">
        <f>N897+N906</f>
        <v/>
      </c>
      <c r="O915" s="36">
        <f>O897+O906</f>
        <v/>
      </c>
      <c r="P915" s="36">
        <f>P897+P906</f>
        <v/>
      </c>
      <c r="Q915" s="36">
        <f>Q897+Q906</f>
        <v/>
      </c>
      <c r="R915" s="36">
        <f>R897+R906</f>
        <v/>
      </c>
      <c r="S915" s="36">
        <f>S897+S906</f>
        <v/>
      </c>
      <c r="T915" s="36">
        <f>T897+T906</f>
        <v/>
      </c>
      <c r="U915" s="36">
        <f>U897+U906</f>
        <v/>
      </c>
      <c r="V915" s="36">
        <f>V897+V906</f>
        <v/>
      </c>
      <c r="W915" s="36">
        <f>W897+W906</f>
        <v/>
      </c>
      <c r="X915" s="36">
        <f>X897+X906</f>
        <v/>
      </c>
      <c r="Y915" s="36">
        <f>Y897+Y906</f>
        <v/>
      </c>
      <c r="Z915" s="23">
        <f>LOWER(Settings!$C$4)&amp;".mit."&amp;$A915&amp;IF($C915="","","."&amp;$C915&amp;"."&amp;$B915)&amp;IF(INDEX(Variables!$D$5:$D$65,MATCH($A915,Variables!$A$5:$A$65,0))="","","."&amp;INDEX(Variables!$D$5:$D$65,MATCH($A915,Variables!$A$5:$A$65,0)))&amp;"."&amp;Z$5</f>
        <v/>
      </c>
      <c r="AA915" s="38">
        <f>AA897+AA906</f>
        <v/>
      </c>
      <c r="AB915" s="36">
        <f>AB897+AB906</f>
        <v/>
      </c>
      <c r="AC915" s="36">
        <f>AC897+AC906</f>
        <v/>
      </c>
      <c r="AD915" s="36">
        <f>AD897+AD906</f>
        <v/>
      </c>
      <c r="AE915" s="36">
        <f>AE897+AE906</f>
        <v/>
      </c>
      <c r="AF915" s="36">
        <f>AF897+AF906</f>
        <v/>
      </c>
      <c r="AG915" s="36">
        <f>AG897+AG906</f>
        <v/>
      </c>
      <c r="AH915" s="36">
        <f>AH897+AH906</f>
        <v/>
      </c>
      <c r="AI915" s="36">
        <f>AI897+AI906</f>
        <v/>
      </c>
      <c r="AJ915" s="36">
        <f>AJ897+AJ906</f>
        <v/>
      </c>
      <c r="AK915" s="36">
        <f>AK897+AK906</f>
        <v/>
      </c>
      <c r="AL915" s="36">
        <f>AL897+AL906</f>
        <v/>
      </c>
      <c r="AM915" s="36">
        <f>AM897+AM906</f>
        <v/>
      </c>
      <c r="AN915" s="36">
        <f>AN897+AN906</f>
        <v/>
      </c>
    </row>
    <row r="916" hidden="1" outlineLevel="2">
      <c r="A916" s="5" t="inlineStr">
        <is>
          <t>nce</t>
        </is>
      </c>
      <c r="B916" s="5" t="inlineStr">
        <is>
          <t>nga</t>
        </is>
      </c>
      <c r="C916" s="5" t="inlineStr">
        <is>
          <t>mac</t>
        </is>
      </c>
      <c r="D916" s="37" t="n"/>
      <c r="E916" s="37" t="n"/>
      <c r="F916" s="37" t="n"/>
      <c r="G916" s="37" t="n"/>
      <c r="H916" s="5">
        <f>INDEX(Variables!$B$5:$B$65,MATCH($A916,Variables!$A$5:$A$65,0))&amp;IF($C916="",""," | "&amp;INDEX(Mapping!$B$5:$B$25,MATCH($C916,Mapping!$A$5:$A$25,0))&amp;" | "&amp;INDEX(Mapping!$B$29:$B$38,MATCH($B916,Mapping!$A$29:$A$38,0)))</f>
        <v/>
      </c>
      <c r="I916" s="5">
        <f>INDEX(Variables!$C$5:$C$65,MATCH($A916,Variables!$A$5:$A$65,0))</f>
        <v/>
      </c>
      <c r="J916" s="5">
        <f>INDEX(Variables!$E$5:$E$65,MATCH($A916,Variables!$A$5:$A$65,0))</f>
        <v/>
      </c>
      <c r="K916" s="23">
        <f>LOWER(Settings!$C$4)&amp;".mit."&amp;$A916&amp;IF($C916="","","."&amp;$C916&amp;"."&amp;$B916)&amp;IF(INDEX(Variables!$D$5:$D$65,MATCH($A916,Variables!$A$5:$A$65,0))="","","."&amp;INDEX(Variables!$D$5:$D$65,MATCH($A916,Variables!$A$5:$A$65,0)))&amp;"."&amp;K$5</f>
        <v/>
      </c>
      <c r="L916" s="38">
        <f>L898+L907</f>
        <v/>
      </c>
      <c r="M916" s="36">
        <f>M898+M907</f>
        <v/>
      </c>
      <c r="N916" s="36">
        <f>N898+N907</f>
        <v/>
      </c>
      <c r="O916" s="36">
        <f>O898+O907</f>
        <v/>
      </c>
      <c r="P916" s="36">
        <f>P898+P907</f>
        <v/>
      </c>
      <c r="Q916" s="36">
        <f>Q898+Q907</f>
        <v/>
      </c>
      <c r="R916" s="36">
        <f>R898+R907</f>
        <v/>
      </c>
      <c r="S916" s="36">
        <f>S898+S907</f>
        <v/>
      </c>
      <c r="T916" s="36">
        <f>T898+T907</f>
        <v/>
      </c>
      <c r="U916" s="36">
        <f>U898+U907</f>
        <v/>
      </c>
      <c r="V916" s="36">
        <f>V898+V907</f>
        <v/>
      </c>
      <c r="W916" s="36">
        <f>W898+W907</f>
        <v/>
      </c>
      <c r="X916" s="36">
        <f>X898+X907</f>
        <v/>
      </c>
      <c r="Y916" s="36">
        <f>Y898+Y907</f>
        <v/>
      </c>
      <c r="Z916" s="23">
        <f>LOWER(Settings!$C$4)&amp;".mit."&amp;$A916&amp;IF($C916="","","."&amp;$C916&amp;"."&amp;$B916)&amp;IF(INDEX(Variables!$D$5:$D$65,MATCH($A916,Variables!$A$5:$A$65,0))="","","."&amp;INDEX(Variables!$D$5:$D$65,MATCH($A916,Variables!$A$5:$A$65,0)))&amp;"."&amp;Z$5</f>
        <v/>
      </c>
      <c r="AA916" s="38">
        <f>AA898+AA907</f>
        <v/>
      </c>
      <c r="AB916" s="36">
        <f>AB898+AB907</f>
        <v/>
      </c>
      <c r="AC916" s="36">
        <f>AC898+AC907</f>
        <v/>
      </c>
      <c r="AD916" s="36">
        <f>AD898+AD907</f>
        <v/>
      </c>
      <c r="AE916" s="36">
        <f>AE898+AE907</f>
        <v/>
      </c>
      <c r="AF916" s="36">
        <f>AF898+AF907</f>
        <v/>
      </c>
      <c r="AG916" s="36">
        <f>AG898+AG907</f>
        <v/>
      </c>
      <c r="AH916" s="36">
        <f>AH898+AH907</f>
        <v/>
      </c>
      <c r="AI916" s="36">
        <f>AI898+AI907</f>
        <v/>
      </c>
      <c r="AJ916" s="36">
        <f>AJ898+AJ907</f>
        <v/>
      </c>
      <c r="AK916" s="36">
        <f>AK898+AK907</f>
        <v/>
      </c>
      <c r="AL916" s="36">
        <f>AL898+AL907</f>
        <v/>
      </c>
      <c r="AM916" s="36">
        <f>AM898+AM907</f>
        <v/>
      </c>
      <c r="AN916" s="36">
        <f>AN898+AN907</f>
        <v/>
      </c>
    </row>
    <row r="917" hidden="1" outlineLevel="2">
      <c r="A917" s="5" t="inlineStr">
        <is>
          <t>nce</t>
        </is>
      </c>
      <c r="B917" s="5" t="inlineStr">
        <is>
          <t>gso</t>
        </is>
      </c>
      <c r="C917" s="5" t="inlineStr">
        <is>
          <t>mac</t>
        </is>
      </c>
      <c r="D917" s="37" t="n"/>
      <c r="E917" s="37" t="n"/>
      <c r="F917" s="37" t="n"/>
      <c r="G917" s="37" t="n"/>
      <c r="H917" s="5">
        <f>INDEX(Variables!$B$5:$B$65,MATCH($A917,Variables!$A$5:$A$65,0))&amp;IF($C917="",""," | "&amp;INDEX(Mapping!$B$5:$B$25,MATCH($C917,Mapping!$A$5:$A$25,0))&amp;" | "&amp;INDEX(Mapping!$B$29:$B$38,MATCH($B917,Mapping!$A$29:$A$38,0)))</f>
        <v/>
      </c>
      <c r="I917" s="5">
        <f>INDEX(Variables!$C$5:$C$65,MATCH($A917,Variables!$A$5:$A$65,0))</f>
        <v/>
      </c>
      <c r="J917" s="5">
        <f>INDEX(Variables!$E$5:$E$65,MATCH($A917,Variables!$A$5:$A$65,0))</f>
        <v/>
      </c>
      <c r="K917" s="23">
        <f>LOWER(Settings!$C$4)&amp;".mit."&amp;$A917&amp;IF($C917="","","."&amp;$C917&amp;"."&amp;$B917)&amp;IF(INDEX(Variables!$D$5:$D$65,MATCH($A917,Variables!$A$5:$A$65,0))="","","."&amp;INDEX(Variables!$D$5:$D$65,MATCH($A917,Variables!$A$5:$A$65,0)))&amp;"."&amp;K$5</f>
        <v/>
      </c>
      <c r="L917" s="38">
        <f>L899+L908</f>
        <v/>
      </c>
      <c r="M917" s="36">
        <f>M899+M908</f>
        <v/>
      </c>
      <c r="N917" s="36">
        <f>N899+N908</f>
        <v/>
      </c>
      <c r="O917" s="36">
        <f>O899+O908</f>
        <v/>
      </c>
      <c r="P917" s="36">
        <f>P899+P908</f>
        <v/>
      </c>
      <c r="Q917" s="36">
        <f>Q899+Q908</f>
        <v/>
      </c>
      <c r="R917" s="36">
        <f>R899+R908</f>
        <v/>
      </c>
      <c r="S917" s="36">
        <f>S899+S908</f>
        <v/>
      </c>
      <c r="T917" s="36">
        <f>T899+T908</f>
        <v/>
      </c>
      <c r="U917" s="36">
        <f>U899+U908</f>
        <v/>
      </c>
      <c r="V917" s="36">
        <f>V899+V908</f>
        <v/>
      </c>
      <c r="W917" s="36">
        <f>W899+W908</f>
        <v/>
      </c>
      <c r="X917" s="36">
        <f>X899+X908</f>
        <v/>
      </c>
      <c r="Y917" s="36">
        <f>Y899+Y908</f>
        <v/>
      </c>
      <c r="Z917" s="23">
        <f>LOWER(Settings!$C$4)&amp;".mit."&amp;$A917&amp;IF($C917="","","."&amp;$C917&amp;"."&amp;$B917)&amp;IF(INDEX(Variables!$D$5:$D$65,MATCH($A917,Variables!$A$5:$A$65,0))="","","."&amp;INDEX(Variables!$D$5:$D$65,MATCH($A917,Variables!$A$5:$A$65,0)))&amp;"."&amp;Z$5</f>
        <v/>
      </c>
      <c r="AA917" s="38">
        <f>AA899+AA908</f>
        <v/>
      </c>
      <c r="AB917" s="36">
        <f>AB899+AB908</f>
        <v/>
      </c>
      <c r="AC917" s="36">
        <f>AC899+AC908</f>
        <v/>
      </c>
      <c r="AD917" s="36">
        <f>AD899+AD908</f>
        <v/>
      </c>
      <c r="AE917" s="36">
        <f>AE899+AE908</f>
        <v/>
      </c>
      <c r="AF917" s="36">
        <f>AF899+AF908</f>
        <v/>
      </c>
      <c r="AG917" s="36">
        <f>AG899+AG908</f>
        <v/>
      </c>
      <c r="AH917" s="36">
        <f>AH899+AH908</f>
        <v/>
      </c>
      <c r="AI917" s="36">
        <f>AI899+AI908</f>
        <v/>
      </c>
      <c r="AJ917" s="36">
        <f>AJ899+AJ908</f>
        <v/>
      </c>
      <c r="AK917" s="36">
        <f>AK899+AK908</f>
        <v/>
      </c>
      <c r="AL917" s="36">
        <f>AL899+AL908</f>
        <v/>
      </c>
      <c r="AM917" s="36">
        <f>AM899+AM908</f>
        <v/>
      </c>
      <c r="AN917" s="36">
        <f>AN899+AN908</f>
        <v/>
      </c>
    </row>
    <row r="918" hidden="1" outlineLevel="2">
      <c r="A918" s="5" t="inlineStr">
        <is>
          <t>nce</t>
        </is>
      </c>
      <c r="B918" s="5" t="inlineStr">
        <is>
          <t>die</t>
        </is>
      </c>
      <c r="C918" s="5" t="inlineStr">
        <is>
          <t>mac</t>
        </is>
      </c>
      <c r="D918" s="37" t="n"/>
      <c r="E918" s="37" t="n"/>
      <c r="F918" s="37" t="n"/>
      <c r="G918" s="37" t="n"/>
      <c r="H918" s="5">
        <f>INDEX(Variables!$B$5:$B$65,MATCH($A918,Variables!$A$5:$A$65,0))&amp;IF($C918="",""," | "&amp;INDEX(Mapping!$B$5:$B$25,MATCH($C918,Mapping!$A$5:$A$25,0))&amp;" | "&amp;INDEX(Mapping!$B$29:$B$38,MATCH($B918,Mapping!$A$29:$A$38,0)))</f>
        <v/>
      </c>
      <c r="I918" s="5">
        <f>INDEX(Variables!$C$5:$C$65,MATCH($A918,Variables!$A$5:$A$65,0))</f>
        <v/>
      </c>
      <c r="J918" s="5">
        <f>INDEX(Variables!$E$5:$E$65,MATCH($A918,Variables!$A$5:$A$65,0))</f>
        <v/>
      </c>
      <c r="K918" s="23">
        <f>LOWER(Settings!$C$4)&amp;".mit."&amp;$A918&amp;IF($C918="","","."&amp;$C918&amp;"."&amp;$B918)&amp;IF(INDEX(Variables!$D$5:$D$65,MATCH($A918,Variables!$A$5:$A$65,0))="","","."&amp;INDEX(Variables!$D$5:$D$65,MATCH($A918,Variables!$A$5:$A$65,0)))&amp;"."&amp;K$5</f>
        <v/>
      </c>
      <c r="L918" s="38">
        <f>L900+L909</f>
        <v/>
      </c>
      <c r="M918" s="36">
        <f>M900+M909</f>
        <v/>
      </c>
      <c r="N918" s="36">
        <f>N900+N909</f>
        <v/>
      </c>
      <c r="O918" s="36">
        <f>O900+O909</f>
        <v/>
      </c>
      <c r="P918" s="36">
        <f>P900+P909</f>
        <v/>
      </c>
      <c r="Q918" s="36">
        <f>Q900+Q909</f>
        <v/>
      </c>
      <c r="R918" s="36">
        <f>R900+R909</f>
        <v/>
      </c>
      <c r="S918" s="36">
        <f>S900+S909</f>
        <v/>
      </c>
      <c r="T918" s="36">
        <f>T900+T909</f>
        <v/>
      </c>
      <c r="U918" s="36">
        <f>U900+U909</f>
        <v/>
      </c>
      <c r="V918" s="36">
        <f>V900+V909</f>
        <v/>
      </c>
      <c r="W918" s="36">
        <f>W900+W909</f>
        <v/>
      </c>
      <c r="X918" s="36">
        <f>X900+X909</f>
        <v/>
      </c>
      <c r="Y918" s="36">
        <f>Y900+Y909</f>
        <v/>
      </c>
      <c r="Z918" s="23">
        <f>LOWER(Settings!$C$4)&amp;".mit."&amp;$A918&amp;IF($C918="","","."&amp;$C918&amp;"."&amp;$B918)&amp;IF(INDEX(Variables!$D$5:$D$65,MATCH($A918,Variables!$A$5:$A$65,0))="","","."&amp;INDEX(Variables!$D$5:$D$65,MATCH($A918,Variables!$A$5:$A$65,0)))&amp;"."&amp;Z$5</f>
        <v/>
      </c>
      <c r="AA918" s="38">
        <f>AA900+AA909</f>
        <v/>
      </c>
      <c r="AB918" s="36">
        <f>AB900+AB909</f>
        <v/>
      </c>
      <c r="AC918" s="36">
        <f>AC900+AC909</f>
        <v/>
      </c>
      <c r="AD918" s="36">
        <f>AD900+AD909</f>
        <v/>
      </c>
      <c r="AE918" s="36">
        <f>AE900+AE909</f>
        <v/>
      </c>
      <c r="AF918" s="36">
        <f>AF900+AF909</f>
        <v/>
      </c>
      <c r="AG918" s="36">
        <f>AG900+AG909</f>
        <v/>
      </c>
      <c r="AH918" s="36">
        <f>AH900+AH909</f>
        <v/>
      </c>
      <c r="AI918" s="36">
        <f>AI900+AI909</f>
        <v/>
      </c>
      <c r="AJ918" s="36">
        <f>AJ900+AJ909</f>
        <v/>
      </c>
      <c r="AK918" s="36">
        <f>AK900+AK909</f>
        <v/>
      </c>
      <c r="AL918" s="36">
        <f>AL900+AL909</f>
        <v/>
      </c>
      <c r="AM918" s="36">
        <f>AM900+AM909</f>
        <v/>
      </c>
      <c r="AN918" s="36">
        <f>AN900+AN909</f>
        <v/>
      </c>
    </row>
    <row r="919" hidden="1" outlineLevel="2">
      <c r="A919" s="5" t="inlineStr">
        <is>
          <t>nce</t>
        </is>
      </c>
      <c r="B919" s="5" t="inlineStr">
        <is>
          <t>lpg</t>
        </is>
      </c>
      <c r="C919" s="5" t="inlineStr">
        <is>
          <t>mac</t>
        </is>
      </c>
      <c r="D919" s="37" t="n"/>
      <c r="E919" s="37" t="n"/>
      <c r="F919" s="37" t="n"/>
      <c r="G919" s="37" t="n"/>
      <c r="H919" s="5">
        <f>INDEX(Variables!$B$5:$B$65,MATCH($A919,Variables!$A$5:$A$65,0))&amp;IF($C919="",""," | "&amp;INDEX(Mapping!$B$5:$B$25,MATCH($C919,Mapping!$A$5:$A$25,0))&amp;" | "&amp;INDEX(Mapping!$B$29:$B$38,MATCH($B919,Mapping!$A$29:$A$38,0)))</f>
        <v/>
      </c>
      <c r="I919" s="5">
        <f>INDEX(Variables!$C$5:$C$65,MATCH($A919,Variables!$A$5:$A$65,0))</f>
        <v/>
      </c>
      <c r="J919" s="5">
        <f>INDEX(Variables!$E$5:$E$65,MATCH($A919,Variables!$A$5:$A$65,0))</f>
        <v/>
      </c>
      <c r="K919" s="23">
        <f>LOWER(Settings!$C$4)&amp;".mit."&amp;$A919&amp;IF($C919="","","."&amp;$C919&amp;"."&amp;$B919)&amp;IF(INDEX(Variables!$D$5:$D$65,MATCH($A919,Variables!$A$5:$A$65,0))="","","."&amp;INDEX(Variables!$D$5:$D$65,MATCH($A919,Variables!$A$5:$A$65,0)))&amp;"."&amp;K$5</f>
        <v/>
      </c>
      <c r="L919" s="38">
        <f>L901+L910</f>
        <v/>
      </c>
      <c r="M919" s="36">
        <f>M901+M910</f>
        <v/>
      </c>
      <c r="N919" s="36">
        <f>N901+N910</f>
        <v/>
      </c>
      <c r="O919" s="36">
        <f>O901+O910</f>
        <v/>
      </c>
      <c r="P919" s="36">
        <f>P901+P910</f>
        <v/>
      </c>
      <c r="Q919" s="36">
        <f>Q901+Q910</f>
        <v/>
      </c>
      <c r="R919" s="36">
        <f>R901+R910</f>
        <v/>
      </c>
      <c r="S919" s="36">
        <f>S901+S910</f>
        <v/>
      </c>
      <c r="T919" s="36">
        <f>T901+T910</f>
        <v/>
      </c>
      <c r="U919" s="36">
        <f>U901+U910</f>
        <v/>
      </c>
      <c r="V919" s="36">
        <f>V901+V910</f>
        <v/>
      </c>
      <c r="W919" s="36">
        <f>W901+W910</f>
        <v/>
      </c>
      <c r="X919" s="36">
        <f>X901+X910</f>
        <v/>
      </c>
      <c r="Y919" s="36">
        <f>Y901+Y910</f>
        <v/>
      </c>
      <c r="Z919" s="23">
        <f>LOWER(Settings!$C$4)&amp;".mit."&amp;$A919&amp;IF($C919="","","."&amp;$C919&amp;"."&amp;$B919)&amp;IF(INDEX(Variables!$D$5:$D$65,MATCH($A919,Variables!$A$5:$A$65,0))="","","."&amp;INDEX(Variables!$D$5:$D$65,MATCH($A919,Variables!$A$5:$A$65,0)))&amp;"."&amp;Z$5</f>
        <v/>
      </c>
      <c r="AA919" s="38">
        <f>AA901+AA910</f>
        <v/>
      </c>
      <c r="AB919" s="36">
        <f>AB901+AB910</f>
        <v/>
      </c>
      <c r="AC919" s="36">
        <f>AC901+AC910</f>
        <v/>
      </c>
      <c r="AD919" s="36">
        <f>AD901+AD910</f>
        <v/>
      </c>
      <c r="AE919" s="36">
        <f>AE901+AE910</f>
        <v/>
      </c>
      <c r="AF919" s="36">
        <f>AF901+AF910</f>
        <v/>
      </c>
      <c r="AG919" s="36">
        <f>AG901+AG910</f>
        <v/>
      </c>
      <c r="AH919" s="36">
        <f>AH901+AH910</f>
        <v/>
      </c>
      <c r="AI919" s="36">
        <f>AI901+AI910</f>
        <v/>
      </c>
      <c r="AJ919" s="36">
        <f>AJ901+AJ910</f>
        <v/>
      </c>
      <c r="AK919" s="36">
        <f>AK901+AK910</f>
        <v/>
      </c>
      <c r="AL919" s="36">
        <f>AL901+AL910</f>
        <v/>
      </c>
      <c r="AM919" s="36">
        <f>AM901+AM910</f>
        <v/>
      </c>
      <c r="AN919" s="36">
        <f>AN901+AN910</f>
        <v/>
      </c>
    </row>
    <row r="920" hidden="1" outlineLevel="2">
      <c r="A920" s="5" t="inlineStr">
        <is>
          <t>nce</t>
        </is>
      </c>
      <c r="B920" s="5" t="inlineStr">
        <is>
          <t>ker</t>
        </is>
      </c>
      <c r="C920" s="5" t="inlineStr">
        <is>
          <t>mac</t>
        </is>
      </c>
      <c r="D920" s="37" t="n"/>
      <c r="E920" s="37" t="n"/>
      <c r="F920" s="37" t="n"/>
      <c r="G920" s="37" t="n"/>
      <c r="H920" s="5">
        <f>INDEX(Variables!$B$5:$B$65,MATCH($A920,Variables!$A$5:$A$65,0))&amp;IF($C920="",""," | "&amp;INDEX(Mapping!$B$5:$B$25,MATCH($C920,Mapping!$A$5:$A$25,0))&amp;" | "&amp;INDEX(Mapping!$B$29:$B$38,MATCH($B920,Mapping!$A$29:$A$38,0)))</f>
        <v/>
      </c>
      <c r="I920" s="5">
        <f>INDEX(Variables!$C$5:$C$65,MATCH($A920,Variables!$A$5:$A$65,0))</f>
        <v/>
      </c>
      <c r="J920" s="5">
        <f>INDEX(Variables!$E$5:$E$65,MATCH($A920,Variables!$A$5:$A$65,0))</f>
        <v/>
      </c>
      <c r="K920" s="23">
        <f>LOWER(Settings!$C$4)&amp;".mit."&amp;$A920&amp;IF($C920="","","."&amp;$C920&amp;"."&amp;$B920)&amp;IF(INDEX(Variables!$D$5:$D$65,MATCH($A920,Variables!$A$5:$A$65,0))="","","."&amp;INDEX(Variables!$D$5:$D$65,MATCH($A920,Variables!$A$5:$A$65,0)))&amp;"."&amp;K$5</f>
        <v/>
      </c>
      <c r="L920" s="38">
        <f>L902+L911</f>
        <v/>
      </c>
      <c r="M920" s="36">
        <f>M902+M911</f>
        <v/>
      </c>
      <c r="N920" s="36">
        <f>N902+N911</f>
        <v/>
      </c>
      <c r="O920" s="36">
        <f>O902+O911</f>
        <v/>
      </c>
      <c r="P920" s="36">
        <f>P902+P911</f>
        <v/>
      </c>
      <c r="Q920" s="36">
        <f>Q902+Q911</f>
        <v/>
      </c>
      <c r="R920" s="36">
        <f>R902+R911</f>
        <v/>
      </c>
      <c r="S920" s="36">
        <f>S902+S911</f>
        <v/>
      </c>
      <c r="T920" s="36">
        <f>T902+T911</f>
        <v/>
      </c>
      <c r="U920" s="36">
        <f>U902+U911</f>
        <v/>
      </c>
      <c r="V920" s="36">
        <f>V902+V911</f>
        <v/>
      </c>
      <c r="W920" s="36">
        <f>W902+W911</f>
        <v/>
      </c>
      <c r="X920" s="36">
        <f>X902+X911</f>
        <v/>
      </c>
      <c r="Y920" s="36">
        <f>Y902+Y911</f>
        <v/>
      </c>
      <c r="Z920" s="23">
        <f>LOWER(Settings!$C$4)&amp;".mit."&amp;$A920&amp;IF($C920="","","."&amp;$C920&amp;"."&amp;$B920)&amp;IF(INDEX(Variables!$D$5:$D$65,MATCH($A920,Variables!$A$5:$A$65,0))="","","."&amp;INDEX(Variables!$D$5:$D$65,MATCH($A920,Variables!$A$5:$A$65,0)))&amp;"."&amp;Z$5</f>
        <v/>
      </c>
      <c r="AA920" s="38">
        <f>AA902+AA911</f>
        <v/>
      </c>
      <c r="AB920" s="36">
        <f>AB902+AB911</f>
        <v/>
      </c>
      <c r="AC920" s="36">
        <f>AC902+AC911</f>
        <v/>
      </c>
      <c r="AD920" s="36">
        <f>AD902+AD911</f>
        <v/>
      </c>
      <c r="AE920" s="36">
        <f>AE902+AE911</f>
        <v/>
      </c>
      <c r="AF920" s="36">
        <f>AF902+AF911</f>
        <v/>
      </c>
      <c r="AG920" s="36">
        <f>AG902+AG911</f>
        <v/>
      </c>
      <c r="AH920" s="36">
        <f>AH902+AH911</f>
        <v/>
      </c>
      <c r="AI920" s="36">
        <f>AI902+AI911</f>
        <v/>
      </c>
      <c r="AJ920" s="36">
        <f>AJ902+AJ911</f>
        <v/>
      </c>
      <c r="AK920" s="36">
        <f>AK902+AK911</f>
        <v/>
      </c>
      <c r="AL920" s="36">
        <f>AL902+AL911</f>
        <v/>
      </c>
      <c r="AM920" s="36">
        <f>AM902+AM911</f>
        <v/>
      </c>
      <c r="AN920" s="36">
        <f>AN902+AN911</f>
        <v/>
      </c>
    </row>
    <row r="921" hidden="1" outlineLevel="2">
      <c r="A921" s="5" t="inlineStr">
        <is>
          <t>nce</t>
        </is>
      </c>
      <c r="B921" s="5" t="inlineStr">
        <is>
          <t>oop</t>
        </is>
      </c>
      <c r="C921" s="5" t="inlineStr">
        <is>
          <t>mac</t>
        </is>
      </c>
      <c r="D921" s="37" t="n"/>
      <c r="E921" s="37" t="n"/>
      <c r="F921" s="37" t="n"/>
      <c r="G921" s="37" t="n"/>
      <c r="H921" s="5">
        <f>INDEX(Variables!$B$5:$B$65,MATCH($A921,Variables!$A$5:$A$65,0))&amp;IF($C921="",""," | "&amp;INDEX(Mapping!$B$5:$B$25,MATCH($C921,Mapping!$A$5:$A$25,0))&amp;" | "&amp;INDEX(Mapping!$B$29:$B$38,MATCH($B921,Mapping!$A$29:$A$38,0)))</f>
        <v/>
      </c>
      <c r="I921" s="5">
        <f>INDEX(Variables!$C$5:$C$65,MATCH($A921,Variables!$A$5:$A$65,0))</f>
        <v/>
      </c>
      <c r="J921" s="5">
        <f>INDEX(Variables!$E$5:$E$65,MATCH($A921,Variables!$A$5:$A$65,0))</f>
        <v/>
      </c>
      <c r="K921" s="23">
        <f>LOWER(Settings!$C$4)&amp;".mit."&amp;$A921&amp;IF($C921="","","."&amp;$C921&amp;"."&amp;$B921)&amp;IF(INDEX(Variables!$D$5:$D$65,MATCH($A921,Variables!$A$5:$A$65,0))="","","."&amp;INDEX(Variables!$D$5:$D$65,MATCH($A921,Variables!$A$5:$A$65,0)))&amp;"."&amp;K$5</f>
        <v/>
      </c>
      <c r="L921" s="38">
        <f>L903+L912</f>
        <v/>
      </c>
      <c r="M921" s="36">
        <f>M903+M912</f>
        <v/>
      </c>
      <c r="N921" s="36">
        <f>N903+N912</f>
        <v/>
      </c>
      <c r="O921" s="36">
        <f>O903+O912</f>
        <v/>
      </c>
      <c r="P921" s="36">
        <f>P903+P912</f>
        <v/>
      </c>
      <c r="Q921" s="36">
        <f>Q903+Q912</f>
        <v/>
      </c>
      <c r="R921" s="36">
        <f>R903+R912</f>
        <v/>
      </c>
      <c r="S921" s="36">
        <f>S903+S912</f>
        <v/>
      </c>
      <c r="T921" s="36">
        <f>T903+T912</f>
        <v/>
      </c>
      <c r="U921" s="36">
        <f>U903+U912</f>
        <v/>
      </c>
      <c r="V921" s="36">
        <f>V903+V912</f>
        <v/>
      </c>
      <c r="W921" s="36">
        <f>W903+W912</f>
        <v/>
      </c>
      <c r="X921" s="36">
        <f>X903+X912</f>
        <v/>
      </c>
      <c r="Y921" s="36">
        <f>Y903+Y912</f>
        <v/>
      </c>
      <c r="Z921" s="23">
        <f>LOWER(Settings!$C$4)&amp;".mit."&amp;$A921&amp;IF($C921="","","."&amp;$C921&amp;"."&amp;$B921)&amp;IF(INDEX(Variables!$D$5:$D$65,MATCH($A921,Variables!$A$5:$A$65,0))="","","."&amp;INDEX(Variables!$D$5:$D$65,MATCH($A921,Variables!$A$5:$A$65,0)))&amp;"."&amp;Z$5</f>
        <v/>
      </c>
      <c r="AA921" s="38">
        <f>AA903+AA912</f>
        <v/>
      </c>
      <c r="AB921" s="36">
        <f>AB903+AB912</f>
        <v/>
      </c>
      <c r="AC921" s="36">
        <f>AC903+AC912</f>
        <v/>
      </c>
      <c r="AD921" s="36">
        <f>AD903+AD912</f>
        <v/>
      </c>
      <c r="AE921" s="36">
        <f>AE903+AE912</f>
        <v/>
      </c>
      <c r="AF921" s="36">
        <f>AF903+AF912</f>
        <v/>
      </c>
      <c r="AG921" s="36">
        <f>AG903+AG912</f>
        <v/>
      </c>
      <c r="AH921" s="36">
        <f>AH903+AH912</f>
        <v/>
      </c>
      <c r="AI921" s="36">
        <f>AI903+AI912</f>
        <v/>
      </c>
      <c r="AJ921" s="36">
        <f>AJ903+AJ912</f>
        <v/>
      </c>
      <c r="AK921" s="36">
        <f>AK903+AK912</f>
        <v/>
      </c>
      <c r="AL921" s="36">
        <f>AL903+AL912</f>
        <v/>
      </c>
      <c r="AM921" s="36">
        <f>AM903+AM912</f>
        <v/>
      </c>
      <c r="AN921" s="36">
        <f>AN903+AN912</f>
        <v/>
      </c>
    </row>
    <row r="922" hidden="1" outlineLevel="2">
      <c r="A922" s="5" t="inlineStr">
        <is>
          <t>nce</t>
        </is>
      </c>
      <c r="B922" s="5" t="inlineStr">
        <is>
          <t>bio</t>
        </is>
      </c>
      <c r="C922" s="5" t="inlineStr">
        <is>
          <t>mac</t>
        </is>
      </c>
      <c r="D922" s="37" t="n"/>
      <c r="E922" s="37" t="n"/>
      <c r="F922" s="37" t="n"/>
      <c r="G922" s="37" t="n"/>
      <c r="H922" s="5">
        <f>INDEX(Variables!$B$5:$B$65,MATCH($A922,Variables!$A$5:$A$65,0))&amp;IF($C922="",""," | "&amp;INDEX(Mapping!$B$5:$B$25,MATCH($C922,Mapping!$A$5:$A$25,0))&amp;" | "&amp;INDEX(Mapping!$B$29:$B$38,MATCH($B922,Mapping!$A$29:$A$38,0)))</f>
        <v/>
      </c>
      <c r="I922" s="5">
        <f>INDEX(Variables!$C$5:$C$65,MATCH($A922,Variables!$A$5:$A$65,0))</f>
        <v/>
      </c>
      <c r="J922" s="5">
        <f>INDEX(Variables!$E$5:$E$65,MATCH($A922,Variables!$A$5:$A$65,0))</f>
        <v/>
      </c>
      <c r="K922" s="23">
        <f>LOWER(Settings!$C$4)&amp;".mit."&amp;$A922&amp;IF($C922="","","."&amp;$C922&amp;"."&amp;$B922)&amp;IF(INDEX(Variables!$D$5:$D$65,MATCH($A922,Variables!$A$5:$A$65,0))="","","."&amp;INDEX(Variables!$D$5:$D$65,MATCH($A922,Variables!$A$5:$A$65,0)))&amp;"."&amp;K$5</f>
        <v/>
      </c>
      <c r="L922" s="38">
        <f>L904+L913</f>
        <v/>
      </c>
      <c r="M922" s="36">
        <f>M904+M913</f>
        <v/>
      </c>
      <c r="N922" s="36">
        <f>N904+N913</f>
        <v/>
      </c>
      <c r="O922" s="36">
        <f>O904+O913</f>
        <v/>
      </c>
      <c r="P922" s="36">
        <f>P904+P913</f>
        <v/>
      </c>
      <c r="Q922" s="36">
        <f>Q904+Q913</f>
        <v/>
      </c>
      <c r="R922" s="36">
        <f>R904+R913</f>
        <v/>
      </c>
      <c r="S922" s="36">
        <f>S904+S913</f>
        <v/>
      </c>
      <c r="T922" s="36">
        <f>T904+T913</f>
        <v/>
      </c>
      <c r="U922" s="36">
        <f>U904+U913</f>
        <v/>
      </c>
      <c r="V922" s="36">
        <f>V904+V913</f>
        <v/>
      </c>
      <c r="W922" s="36">
        <f>W904+W913</f>
        <v/>
      </c>
      <c r="X922" s="36">
        <f>X904+X913</f>
        <v/>
      </c>
      <c r="Y922" s="36">
        <f>Y904+Y913</f>
        <v/>
      </c>
      <c r="Z922" s="23">
        <f>LOWER(Settings!$C$4)&amp;".mit."&amp;$A922&amp;IF($C922="","","."&amp;$C922&amp;"."&amp;$B922)&amp;IF(INDEX(Variables!$D$5:$D$65,MATCH($A922,Variables!$A$5:$A$65,0))="","","."&amp;INDEX(Variables!$D$5:$D$65,MATCH($A922,Variables!$A$5:$A$65,0)))&amp;"."&amp;Z$5</f>
        <v/>
      </c>
      <c r="AA922" s="38">
        <f>AA904+AA913</f>
        <v/>
      </c>
      <c r="AB922" s="36">
        <f>AB904+AB913</f>
        <v/>
      </c>
      <c r="AC922" s="36">
        <f>AC904+AC913</f>
        <v/>
      </c>
      <c r="AD922" s="36">
        <f>AD904+AD913</f>
        <v/>
      </c>
      <c r="AE922" s="36">
        <f>AE904+AE913</f>
        <v/>
      </c>
      <c r="AF922" s="36">
        <f>AF904+AF913</f>
        <v/>
      </c>
      <c r="AG922" s="36">
        <f>AG904+AG913</f>
        <v/>
      </c>
      <c r="AH922" s="36">
        <f>AH904+AH913</f>
        <v/>
      </c>
      <c r="AI922" s="36">
        <f>AI904+AI913</f>
        <v/>
      </c>
      <c r="AJ922" s="36">
        <f>AJ904+AJ913</f>
        <v/>
      </c>
      <c r="AK922" s="36">
        <f>AK904+AK913</f>
        <v/>
      </c>
      <c r="AL922" s="36">
        <f>AL904+AL913</f>
        <v/>
      </c>
      <c r="AM922" s="36">
        <f>AM904+AM913</f>
        <v/>
      </c>
      <c r="AN922" s="36">
        <f>AN904+AN913</f>
        <v/>
      </c>
    </row>
    <row r="923" hidden="1" outlineLevel="2"/>
    <row r="924" hidden="1" outlineLevel="2">
      <c r="A924" s="5" t="inlineStr">
        <is>
          <t>tax</t>
        </is>
      </c>
      <c r="B924" s="5" t="inlineStr">
        <is>
          <t>coa</t>
        </is>
      </c>
      <c r="C924" s="5" t="inlineStr">
        <is>
          <t>mac</t>
        </is>
      </c>
      <c r="D924" s="36">
        <f>INDEX(Inputs!$T$5:$T$132,MATCH($B924&amp;"|"&amp;$C924,Inputs!$A$5:$A$132,0))</f>
        <v/>
      </c>
      <c r="E924" s="37" t="n"/>
      <c r="F924" s="37" t="n"/>
      <c r="G924" s="37" t="n"/>
      <c r="H924" s="5">
        <f>INDEX(Variables!$B$5:$B$65,MATCH($A924,Variables!$A$5:$A$65,0))&amp;IF($C924="",""," | "&amp;INDEX(Mapping!$B$5:$B$25,MATCH($C924,Mapping!$A$5:$A$25,0))&amp;" | "&amp;INDEX(Mapping!$B$29:$B$38,MATCH($B924,Mapping!$A$29:$A$38,0)))</f>
        <v/>
      </c>
      <c r="I924" s="5">
        <f>INDEX(Variables!$C$5:$C$65,MATCH($A924,Variables!$A$5:$A$65,0))</f>
        <v/>
      </c>
      <c r="J924" s="5">
        <f>INDEX(Variables!$E$5:$E$65,MATCH($A924,Variables!$A$5:$A$65,0))</f>
        <v/>
      </c>
      <c r="K924" s="23">
        <f>LOWER(Settings!$C$4)&amp;".mit."&amp;$A924&amp;IF($C924="","","."&amp;$C924&amp;"."&amp;$B924)&amp;IF(INDEX(Variables!$D$5:$D$65,MATCH($A924,Variables!$A$5:$A$65,0))="","","."&amp;INDEX(Variables!$D$5:$D$65,MATCH($A924,Variables!$A$5:$A$65,0)))&amp;"."&amp;K$5</f>
        <v/>
      </c>
      <c r="L924" s="38">
        <f>$D924+L915</f>
        <v/>
      </c>
      <c r="M924" s="36">
        <f>$D924+M915</f>
        <v/>
      </c>
      <c r="N924" s="36">
        <f>$D924+N915</f>
        <v/>
      </c>
      <c r="O924" s="36">
        <f>$D924+O915</f>
        <v/>
      </c>
      <c r="P924" s="36">
        <f>$D924+P915</f>
        <v/>
      </c>
      <c r="Q924" s="36">
        <f>$D924+Q915</f>
        <v/>
      </c>
      <c r="R924" s="36">
        <f>$D924+R915</f>
        <v/>
      </c>
      <c r="S924" s="36">
        <f>$D924+S915</f>
        <v/>
      </c>
      <c r="T924" s="36">
        <f>$D924+T915</f>
        <v/>
      </c>
      <c r="U924" s="36">
        <f>$D924+U915</f>
        <v/>
      </c>
      <c r="V924" s="36">
        <f>$D924+V915</f>
        <v/>
      </c>
      <c r="W924" s="36">
        <f>$D924+W915</f>
        <v/>
      </c>
      <c r="X924" s="36">
        <f>$D924+X915</f>
        <v/>
      </c>
      <c r="Y924" s="39">
        <f>TAX($D924,Y915)</f>
        <v/>
      </c>
      <c r="Z924" s="23">
        <f>LOWER(Settings!$C$4)&amp;".mit."&amp;$A924&amp;IF($C924="","","."&amp;$C924&amp;"."&amp;$B924)&amp;IF(INDEX(Variables!$D$5:$D$65,MATCH($A924,Variables!$A$5:$A$65,0))="","","."&amp;INDEX(Variables!$D$5:$D$65,MATCH($A924,Variables!$A$5:$A$65,0)))&amp;"."&amp;Z$5</f>
        <v/>
      </c>
      <c r="AA924" s="38">
        <f>$D924+AA915</f>
        <v/>
      </c>
      <c r="AB924" s="36">
        <f>$D924+AB915</f>
        <v/>
      </c>
      <c r="AC924" s="36">
        <f>$D924+AC915</f>
        <v/>
      </c>
      <c r="AD924" s="36">
        <f>$D924+AD915</f>
        <v/>
      </c>
      <c r="AE924" s="36">
        <f>$D924+AE915</f>
        <v/>
      </c>
      <c r="AF924" s="36">
        <f>$D924+AF915</f>
        <v/>
      </c>
      <c r="AG924" s="36">
        <f>$D924+AG915</f>
        <v/>
      </c>
      <c r="AH924" s="36">
        <f>$D924+AH915</f>
        <v/>
      </c>
      <c r="AI924" s="36">
        <f>$D924+AI915</f>
        <v/>
      </c>
      <c r="AJ924" s="36">
        <f>$D924+AJ915</f>
        <v/>
      </c>
      <c r="AK924" s="36">
        <f>$D924+AK915</f>
        <v/>
      </c>
      <c r="AL924" s="36">
        <f>$D924+AL915</f>
        <v/>
      </c>
      <c r="AM924" s="36">
        <f>$D924+AM915</f>
        <v/>
      </c>
      <c r="AN924" s="39">
        <f>TAX($D924,AN915)</f>
        <v/>
      </c>
    </row>
    <row r="925" hidden="1" outlineLevel="2">
      <c r="A925" s="5" t="inlineStr">
        <is>
          <t>tax</t>
        </is>
      </c>
      <c r="B925" s="5" t="inlineStr">
        <is>
          <t>nga</t>
        </is>
      </c>
      <c r="C925" s="5" t="inlineStr">
        <is>
          <t>mac</t>
        </is>
      </c>
      <c r="D925" s="36">
        <f>INDEX(Inputs!$T$5:$T$132,MATCH($B925&amp;"|"&amp;$C925,Inputs!$A$5:$A$132,0))</f>
        <v/>
      </c>
      <c r="E925" s="37" t="n"/>
      <c r="F925" s="37" t="n"/>
      <c r="G925" s="37" t="n"/>
      <c r="H925" s="5">
        <f>INDEX(Variables!$B$5:$B$65,MATCH($A925,Variables!$A$5:$A$65,0))&amp;IF($C925="",""," | "&amp;INDEX(Mapping!$B$5:$B$25,MATCH($C925,Mapping!$A$5:$A$25,0))&amp;" | "&amp;INDEX(Mapping!$B$29:$B$38,MATCH($B925,Mapping!$A$29:$A$38,0)))</f>
        <v/>
      </c>
      <c r="I925" s="5">
        <f>INDEX(Variables!$C$5:$C$65,MATCH($A925,Variables!$A$5:$A$65,0))</f>
        <v/>
      </c>
      <c r="J925" s="5">
        <f>INDEX(Variables!$E$5:$E$65,MATCH($A925,Variables!$A$5:$A$65,0))</f>
        <v/>
      </c>
      <c r="K925" s="23">
        <f>LOWER(Settings!$C$4)&amp;".mit."&amp;$A925&amp;IF($C925="","","."&amp;$C925&amp;"."&amp;$B925)&amp;IF(INDEX(Variables!$D$5:$D$65,MATCH($A925,Variables!$A$5:$A$65,0))="","","."&amp;INDEX(Variables!$D$5:$D$65,MATCH($A925,Variables!$A$5:$A$65,0)))&amp;"."&amp;K$5</f>
        <v/>
      </c>
      <c r="L925" s="38">
        <f>$D925+L916</f>
        <v/>
      </c>
      <c r="M925" s="36">
        <f>$D925+M916</f>
        <v/>
      </c>
      <c r="N925" s="36">
        <f>$D925+N916</f>
        <v/>
      </c>
      <c r="O925" s="36">
        <f>$D925+O916</f>
        <v/>
      </c>
      <c r="P925" s="36">
        <f>$D925+P916</f>
        <v/>
      </c>
      <c r="Q925" s="36">
        <f>$D925+Q916</f>
        <v/>
      </c>
      <c r="R925" s="36">
        <f>$D925+R916</f>
        <v/>
      </c>
      <c r="S925" s="36">
        <f>$D925+S916</f>
        <v/>
      </c>
      <c r="T925" s="36">
        <f>$D925+T916</f>
        <v/>
      </c>
      <c r="U925" s="36">
        <f>$D925+U916</f>
        <v/>
      </c>
      <c r="V925" s="36">
        <f>$D925+V916</f>
        <v/>
      </c>
      <c r="W925" s="36">
        <f>$D925+W916</f>
        <v/>
      </c>
      <c r="X925" s="36">
        <f>$D925+X916</f>
        <v/>
      </c>
      <c r="Y925" s="39">
        <f>TAX($D925,Y916)</f>
        <v/>
      </c>
      <c r="Z925" s="23">
        <f>LOWER(Settings!$C$4)&amp;".mit."&amp;$A925&amp;IF($C925="","","."&amp;$C925&amp;"."&amp;$B925)&amp;IF(INDEX(Variables!$D$5:$D$65,MATCH($A925,Variables!$A$5:$A$65,0))="","","."&amp;INDEX(Variables!$D$5:$D$65,MATCH($A925,Variables!$A$5:$A$65,0)))&amp;"."&amp;Z$5</f>
        <v/>
      </c>
      <c r="AA925" s="38">
        <f>$D925+AA916</f>
        <v/>
      </c>
      <c r="AB925" s="36">
        <f>$D925+AB916</f>
        <v/>
      </c>
      <c r="AC925" s="36">
        <f>$D925+AC916</f>
        <v/>
      </c>
      <c r="AD925" s="36">
        <f>$D925+AD916</f>
        <v/>
      </c>
      <c r="AE925" s="36">
        <f>$D925+AE916</f>
        <v/>
      </c>
      <c r="AF925" s="36">
        <f>$D925+AF916</f>
        <v/>
      </c>
      <c r="AG925" s="36">
        <f>$D925+AG916</f>
        <v/>
      </c>
      <c r="AH925" s="36">
        <f>$D925+AH916</f>
        <v/>
      </c>
      <c r="AI925" s="36">
        <f>$D925+AI916</f>
        <v/>
      </c>
      <c r="AJ925" s="36">
        <f>$D925+AJ916</f>
        <v/>
      </c>
      <c r="AK925" s="36">
        <f>$D925+AK916</f>
        <v/>
      </c>
      <c r="AL925" s="36">
        <f>$D925+AL916</f>
        <v/>
      </c>
      <c r="AM925" s="36">
        <f>$D925+AM916</f>
        <v/>
      </c>
      <c r="AN925" s="39">
        <f>TAX($D925,AN916)</f>
        <v/>
      </c>
    </row>
    <row r="926" hidden="1" outlineLevel="2">
      <c r="A926" s="5" t="inlineStr">
        <is>
          <t>tax</t>
        </is>
      </c>
      <c r="B926" s="5" t="inlineStr">
        <is>
          <t>gso</t>
        </is>
      </c>
      <c r="C926" s="5" t="inlineStr">
        <is>
          <t>mac</t>
        </is>
      </c>
      <c r="D926" s="36">
        <f>INDEX(Inputs!$T$5:$T$132,MATCH($B926&amp;"|"&amp;$C926,Inputs!$A$5:$A$132,0))</f>
        <v/>
      </c>
      <c r="E926" s="37" t="n"/>
      <c r="F926" s="37" t="n"/>
      <c r="G926" s="37" t="n"/>
      <c r="H926" s="5">
        <f>INDEX(Variables!$B$5:$B$65,MATCH($A926,Variables!$A$5:$A$65,0))&amp;IF($C926="",""," | "&amp;INDEX(Mapping!$B$5:$B$25,MATCH($C926,Mapping!$A$5:$A$25,0))&amp;" | "&amp;INDEX(Mapping!$B$29:$B$38,MATCH($B926,Mapping!$A$29:$A$38,0)))</f>
        <v/>
      </c>
      <c r="I926" s="5">
        <f>INDEX(Variables!$C$5:$C$65,MATCH($A926,Variables!$A$5:$A$65,0))</f>
        <v/>
      </c>
      <c r="J926" s="5">
        <f>INDEX(Variables!$E$5:$E$65,MATCH($A926,Variables!$A$5:$A$65,0))</f>
        <v/>
      </c>
      <c r="K926" s="23">
        <f>LOWER(Settings!$C$4)&amp;".mit."&amp;$A926&amp;IF($C926="","","."&amp;$C926&amp;"."&amp;$B926)&amp;IF(INDEX(Variables!$D$5:$D$65,MATCH($A926,Variables!$A$5:$A$65,0))="","","."&amp;INDEX(Variables!$D$5:$D$65,MATCH($A926,Variables!$A$5:$A$65,0)))&amp;"."&amp;K$5</f>
        <v/>
      </c>
      <c r="L926" s="38">
        <f>$D926+L917</f>
        <v/>
      </c>
      <c r="M926" s="36">
        <f>$D926+M917</f>
        <v/>
      </c>
      <c r="N926" s="36">
        <f>$D926+N917</f>
        <v/>
      </c>
      <c r="O926" s="36">
        <f>$D926+O917</f>
        <v/>
      </c>
      <c r="P926" s="36">
        <f>$D926+P917</f>
        <v/>
      </c>
      <c r="Q926" s="36">
        <f>$D926+Q917</f>
        <v/>
      </c>
      <c r="R926" s="36">
        <f>$D926+R917</f>
        <v/>
      </c>
      <c r="S926" s="36">
        <f>$D926+S917</f>
        <v/>
      </c>
      <c r="T926" s="36">
        <f>$D926+T917</f>
        <v/>
      </c>
      <c r="U926" s="36">
        <f>$D926+U917</f>
        <v/>
      </c>
      <c r="V926" s="36">
        <f>$D926+V917</f>
        <v/>
      </c>
      <c r="W926" s="36">
        <f>$D926+W917</f>
        <v/>
      </c>
      <c r="X926" s="36">
        <f>$D926+X917</f>
        <v/>
      </c>
      <c r="Y926" s="39">
        <f>TAX($D926,Y917)</f>
        <v/>
      </c>
      <c r="Z926" s="23">
        <f>LOWER(Settings!$C$4)&amp;".mit."&amp;$A926&amp;IF($C926="","","."&amp;$C926&amp;"."&amp;$B926)&amp;IF(INDEX(Variables!$D$5:$D$65,MATCH($A926,Variables!$A$5:$A$65,0))="","","."&amp;INDEX(Variables!$D$5:$D$65,MATCH($A926,Variables!$A$5:$A$65,0)))&amp;"."&amp;Z$5</f>
        <v/>
      </c>
      <c r="AA926" s="38">
        <f>$D926+AA917</f>
        <v/>
      </c>
      <c r="AB926" s="36">
        <f>$D926+AB917</f>
        <v/>
      </c>
      <c r="AC926" s="36">
        <f>$D926+AC917</f>
        <v/>
      </c>
      <c r="AD926" s="36">
        <f>$D926+AD917</f>
        <v/>
      </c>
      <c r="AE926" s="36">
        <f>$D926+AE917</f>
        <v/>
      </c>
      <c r="AF926" s="36">
        <f>$D926+AF917</f>
        <v/>
      </c>
      <c r="AG926" s="36">
        <f>$D926+AG917</f>
        <v/>
      </c>
      <c r="AH926" s="36">
        <f>$D926+AH917</f>
        <v/>
      </c>
      <c r="AI926" s="36">
        <f>$D926+AI917</f>
        <v/>
      </c>
      <c r="AJ926" s="36">
        <f>$D926+AJ917</f>
        <v/>
      </c>
      <c r="AK926" s="36">
        <f>$D926+AK917</f>
        <v/>
      </c>
      <c r="AL926" s="36">
        <f>$D926+AL917</f>
        <v/>
      </c>
      <c r="AM926" s="36">
        <f>$D926+AM917</f>
        <v/>
      </c>
      <c r="AN926" s="39">
        <f>TAX($D926,AN917)</f>
        <v/>
      </c>
    </row>
    <row r="927" hidden="1" outlineLevel="2">
      <c r="A927" s="5" t="inlineStr">
        <is>
          <t>tax</t>
        </is>
      </c>
      <c r="B927" s="5" t="inlineStr">
        <is>
          <t>die</t>
        </is>
      </c>
      <c r="C927" s="5" t="inlineStr">
        <is>
          <t>mac</t>
        </is>
      </c>
      <c r="D927" s="36">
        <f>INDEX(Inputs!$T$5:$T$132,MATCH($B927&amp;"|"&amp;$C927,Inputs!$A$5:$A$132,0))</f>
        <v/>
      </c>
      <c r="E927" s="37" t="n"/>
      <c r="F927" s="37" t="n"/>
      <c r="G927" s="37" t="n"/>
      <c r="H927" s="5">
        <f>INDEX(Variables!$B$5:$B$65,MATCH($A927,Variables!$A$5:$A$65,0))&amp;IF($C927="",""," | "&amp;INDEX(Mapping!$B$5:$B$25,MATCH($C927,Mapping!$A$5:$A$25,0))&amp;" | "&amp;INDEX(Mapping!$B$29:$B$38,MATCH($B927,Mapping!$A$29:$A$38,0)))</f>
        <v/>
      </c>
      <c r="I927" s="5">
        <f>INDEX(Variables!$C$5:$C$65,MATCH($A927,Variables!$A$5:$A$65,0))</f>
        <v/>
      </c>
      <c r="J927" s="5">
        <f>INDEX(Variables!$E$5:$E$65,MATCH($A927,Variables!$A$5:$A$65,0))</f>
        <v/>
      </c>
      <c r="K927" s="23">
        <f>LOWER(Settings!$C$4)&amp;".mit."&amp;$A927&amp;IF($C927="","","."&amp;$C927&amp;"."&amp;$B927)&amp;IF(INDEX(Variables!$D$5:$D$65,MATCH($A927,Variables!$A$5:$A$65,0))="","","."&amp;INDEX(Variables!$D$5:$D$65,MATCH($A927,Variables!$A$5:$A$65,0)))&amp;"."&amp;K$5</f>
        <v/>
      </c>
      <c r="L927" s="38">
        <f>$D927+L918</f>
        <v/>
      </c>
      <c r="M927" s="36">
        <f>$D927+M918</f>
        <v/>
      </c>
      <c r="N927" s="36">
        <f>$D927+N918</f>
        <v/>
      </c>
      <c r="O927" s="36">
        <f>$D927+O918</f>
        <v/>
      </c>
      <c r="P927" s="36">
        <f>$D927+P918</f>
        <v/>
      </c>
      <c r="Q927" s="36">
        <f>$D927+Q918</f>
        <v/>
      </c>
      <c r="R927" s="36">
        <f>$D927+R918</f>
        <v/>
      </c>
      <c r="S927" s="36">
        <f>$D927+S918</f>
        <v/>
      </c>
      <c r="T927" s="36">
        <f>$D927+T918</f>
        <v/>
      </c>
      <c r="U927" s="36">
        <f>$D927+U918</f>
        <v/>
      </c>
      <c r="V927" s="36">
        <f>$D927+V918</f>
        <v/>
      </c>
      <c r="W927" s="36">
        <f>$D927+W918</f>
        <v/>
      </c>
      <c r="X927" s="36">
        <f>$D927+X918</f>
        <v/>
      </c>
      <c r="Y927" s="39">
        <f>TAX($D927,Y918)</f>
        <v/>
      </c>
      <c r="Z927" s="23">
        <f>LOWER(Settings!$C$4)&amp;".mit."&amp;$A927&amp;IF($C927="","","."&amp;$C927&amp;"."&amp;$B927)&amp;IF(INDEX(Variables!$D$5:$D$65,MATCH($A927,Variables!$A$5:$A$65,0))="","","."&amp;INDEX(Variables!$D$5:$D$65,MATCH($A927,Variables!$A$5:$A$65,0)))&amp;"."&amp;Z$5</f>
        <v/>
      </c>
      <c r="AA927" s="38">
        <f>$D927+AA918</f>
        <v/>
      </c>
      <c r="AB927" s="36">
        <f>$D927+AB918</f>
        <v/>
      </c>
      <c r="AC927" s="36">
        <f>$D927+AC918</f>
        <v/>
      </c>
      <c r="AD927" s="36">
        <f>$D927+AD918</f>
        <v/>
      </c>
      <c r="AE927" s="36">
        <f>$D927+AE918</f>
        <v/>
      </c>
      <c r="AF927" s="36">
        <f>$D927+AF918</f>
        <v/>
      </c>
      <c r="AG927" s="36">
        <f>$D927+AG918</f>
        <v/>
      </c>
      <c r="AH927" s="36">
        <f>$D927+AH918</f>
        <v/>
      </c>
      <c r="AI927" s="36">
        <f>$D927+AI918</f>
        <v/>
      </c>
      <c r="AJ927" s="36">
        <f>$D927+AJ918</f>
        <v/>
      </c>
      <c r="AK927" s="36">
        <f>$D927+AK918</f>
        <v/>
      </c>
      <c r="AL927" s="36">
        <f>$D927+AL918</f>
        <v/>
      </c>
      <c r="AM927" s="36">
        <f>$D927+AM918</f>
        <v/>
      </c>
      <c r="AN927" s="39">
        <f>TAX($D927,AN918)</f>
        <v/>
      </c>
    </row>
    <row r="928" hidden="1" outlineLevel="2">
      <c r="A928" s="5" t="inlineStr">
        <is>
          <t>tax</t>
        </is>
      </c>
      <c r="B928" s="5" t="inlineStr">
        <is>
          <t>lpg</t>
        </is>
      </c>
      <c r="C928" s="5" t="inlineStr">
        <is>
          <t>mac</t>
        </is>
      </c>
      <c r="D928" s="36">
        <f>INDEX(Inputs!$T$5:$T$132,MATCH($B928&amp;"|"&amp;$C928,Inputs!$A$5:$A$132,0))</f>
        <v/>
      </c>
      <c r="E928" s="37" t="n"/>
      <c r="F928" s="37" t="n"/>
      <c r="G928" s="37" t="n"/>
      <c r="H928" s="5">
        <f>INDEX(Variables!$B$5:$B$65,MATCH($A928,Variables!$A$5:$A$65,0))&amp;IF($C928="",""," | "&amp;INDEX(Mapping!$B$5:$B$25,MATCH($C928,Mapping!$A$5:$A$25,0))&amp;" | "&amp;INDEX(Mapping!$B$29:$B$38,MATCH($B928,Mapping!$A$29:$A$38,0)))</f>
        <v/>
      </c>
      <c r="I928" s="5">
        <f>INDEX(Variables!$C$5:$C$65,MATCH($A928,Variables!$A$5:$A$65,0))</f>
        <v/>
      </c>
      <c r="J928" s="5">
        <f>INDEX(Variables!$E$5:$E$65,MATCH($A928,Variables!$A$5:$A$65,0))</f>
        <v/>
      </c>
      <c r="K928" s="23">
        <f>LOWER(Settings!$C$4)&amp;".mit."&amp;$A928&amp;IF($C928="","","."&amp;$C928&amp;"."&amp;$B928)&amp;IF(INDEX(Variables!$D$5:$D$65,MATCH($A928,Variables!$A$5:$A$65,0))="","","."&amp;INDEX(Variables!$D$5:$D$65,MATCH($A928,Variables!$A$5:$A$65,0)))&amp;"."&amp;K$5</f>
        <v/>
      </c>
      <c r="L928" s="38">
        <f>$D928+L919</f>
        <v/>
      </c>
      <c r="M928" s="36">
        <f>$D928+M919</f>
        <v/>
      </c>
      <c r="N928" s="36">
        <f>$D928+N919</f>
        <v/>
      </c>
      <c r="O928" s="36">
        <f>$D928+O919</f>
        <v/>
      </c>
      <c r="P928" s="36">
        <f>$D928+P919</f>
        <v/>
      </c>
      <c r="Q928" s="36">
        <f>$D928+Q919</f>
        <v/>
      </c>
      <c r="R928" s="36">
        <f>$D928+R919</f>
        <v/>
      </c>
      <c r="S928" s="36">
        <f>$D928+S919</f>
        <v/>
      </c>
      <c r="T928" s="36">
        <f>$D928+T919</f>
        <v/>
      </c>
      <c r="U928" s="36">
        <f>$D928+U919</f>
        <v/>
      </c>
      <c r="V928" s="36">
        <f>$D928+V919</f>
        <v/>
      </c>
      <c r="W928" s="36">
        <f>$D928+W919</f>
        <v/>
      </c>
      <c r="X928" s="36">
        <f>$D928+X919</f>
        <v/>
      </c>
      <c r="Y928" s="39">
        <f>TAX($D928,Y919)</f>
        <v/>
      </c>
      <c r="Z928" s="23">
        <f>LOWER(Settings!$C$4)&amp;".mit."&amp;$A928&amp;IF($C928="","","."&amp;$C928&amp;"."&amp;$B928)&amp;IF(INDEX(Variables!$D$5:$D$65,MATCH($A928,Variables!$A$5:$A$65,0))="","","."&amp;INDEX(Variables!$D$5:$D$65,MATCH($A928,Variables!$A$5:$A$65,0)))&amp;"."&amp;Z$5</f>
        <v/>
      </c>
      <c r="AA928" s="38">
        <f>$D928+AA919</f>
        <v/>
      </c>
      <c r="AB928" s="36">
        <f>$D928+AB919</f>
        <v/>
      </c>
      <c r="AC928" s="36">
        <f>$D928+AC919</f>
        <v/>
      </c>
      <c r="AD928" s="36">
        <f>$D928+AD919</f>
        <v/>
      </c>
      <c r="AE928" s="36">
        <f>$D928+AE919</f>
        <v/>
      </c>
      <c r="AF928" s="36">
        <f>$D928+AF919</f>
        <v/>
      </c>
      <c r="AG928" s="36">
        <f>$D928+AG919</f>
        <v/>
      </c>
      <c r="AH928" s="36">
        <f>$D928+AH919</f>
        <v/>
      </c>
      <c r="AI928" s="36">
        <f>$D928+AI919</f>
        <v/>
      </c>
      <c r="AJ928" s="36">
        <f>$D928+AJ919</f>
        <v/>
      </c>
      <c r="AK928" s="36">
        <f>$D928+AK919</f>
        <v/>
      </c>
      <c r="AL928" s="36">
        <f>$D928+AL919</f>
        <v/>
      </c>
      <c r="AM928" s="36">
        <f>$D928+AM919</f>
        <v/>
      </c>
      <c r="AN928" s="39">
        <f>TAX($D928,AN919)</f>
        <v/>
      </c>
    </row>
    <row r="929" hidden="1" outlineLevel="2">
      <c r="A929" s="5" t="inlineStr">
        <is>
          <t>tax</t>
        </is>
      </c>
      <c r="B929" s="5" t="inlineStr">
        <is>
          <t>ker</t>
        </is>
      </c>
      <c r="C929" s="5" t="inlineStr">
        <is>
          <t>mac</t>
        </is>
      </c>
      <c r="D929" s="36">
        <f>INDEX(Inputs!$T$5:$T$132,MATCH($B929&amp;"|"&amp;$C929,Inputs!$A$5:$A$132,0))</f>
        <v/>
      </c>
      <c r="E929" s="37" t="n"/>
      <c r="F929" s="37" t="n"/>
      <c r="G929" s="37" t="n"/>
      <c r="H929" s="5">
        <f>INDEX(Variables!$B$5:$B$65,MATCH($A929,Variables!$A$5:$A$65,0))&amp;IF($C929="",""," | "&amp;INDEX(Mapping!$B$5:$B$25,MATCH($C929,Mapping!$A$5:$A$25,0))&amp;" | "&amp;INDEX(Mapping!$B$29:$B$38,MATCH($B929,Mapping!$A$29:$A$38,0)))</f>
        <v/>
      </c>
      <c r="I929" s="5">
        <f>INDEX(Variables!$C$5:$C$65,MATCH($A929,Variables!$A$5:$A$65,0))</f>
        <v/>
      </c>
      <c r="J929" s="5">
        <f>INDEX(Variables!$E$5:$E$65,MATCH($A929,Variables!$A$5:$A$65,0))</f>
        <v/>
      </c>
      <c r="K929" s="23">
        <f>LOWER(Settings!$C$4)&amp;".mit."&amp;$A929&amp;IF($C929="","","."&amp;$C929&amp;"."&amp;$B929)&amp;IF(INDEX(Variables!$D$5:$D$65,MATCH($A929,Variables!$A$5:$A$65,0))="","","."&amp;INDEX(Variables!$D$5:$D$65,MATCH($A929,Variables!$A$5:$A$65,0)))&amp;"."&amp;K$5</f>
        <v/>
      </c>
      <c r="L929" s="38">
        <f>$D929+L920</f>
        <v/>
      </c>
      <c r="M929" s="36">
        <f>$D929+M920</f>
        <v/>
      </c>
      <c r="N929" s="36">
        <f>$D929+N920</f>
        <v/>
      </c>
      <c r="O929" s="36">
        <f>$D929+O920</f>
        <v/>
      </c>
      <c r="P929" s="36">
        <f>$D929+P920</f>
        <v/>
      </c>
      <c r="Q929" s="36">
        <f>$D929+Q920</f>
        <v/>
      </c>
      <c r="R929" s="36">
        <f>$D929+R920</f>
        <v/>
      </c>
      <c r="S929" s="36">
        <f>$D929+S920</f>
        <v/>
      </c>
      <c r="T929" s="36">
        <f>$D929+T920</f>
        <v/>
      </c>
      <c r="U929" s="36">
        <f>$D929+U920</f>
        <v/>
      </c>
      <c r="V929" s="36">
        <f>$D929+V920</f>
        <v/>
      </c>
      <c r="W929" s="36">
        <f>$D929+W920</f>
        <v/>
      </c>
      <c r="X929" s="36">
        <f>$D929+X920</f>
        <v/>
      </c>
      <c r="Y929" s="39">
        <f>TAX($D929,Y920)</f>
        <v/>
      </c>
      <c r="Z929" s="23">
        <f>LOWER(Settings!$C$4)&amp;".mit."&amp;$A929&amp;IF($C929="","","."&amp;$C929&amp;"."&amp;$B929)&amp;IF(INDEX(Variables!$D$5:$D$65,MATCH($A929,Variables!$A$5:$A$65,0))="","","."&amp;INDEX(Variables!$D$5:$D$65,MATCH($A929,Variables!$A$5:$A$65,0)))&amp;"."&amp;Z$5</f>
        <v/>
      </c>
      <c r="AA929" s="38">
        <f>$D929+AA920</f>
        <v/>
      </c>
      <c r="AB929" s="36">
        <f>$D929+AB920</f>
        <v/>
      </c>
      <c r="AC929" s="36">
        <f>$D929+AC920</f>
        <v/>
      </c>
      <c r="AD929" s="36">
        <f>$D929+AD920</f>
        <v/>
      </c>
      <c r="AE929" s="36">
        <f>$D929+AE920</f>
        <v/>
      </c>
      <c r="AF929" s="36">
        <f>$D929+AF920</f>
        <v/>
      </c>
      <c r="AG929" s="36">
        <f>$D929+AG920</f>
        <v/>
      </c>
      <c r="AH929" s="36">
        <f>$D929+AH920</f>
        <v/>
      </c>
      <c r="AI929" s="36">
        <f>$D929+AI920</f>
        <v/>
      </c>
      <c r="AJ929" s="36">
        <f>$D929+AJ920</f>
        <v/>
      </c>
      <c r="AK929" s="36">
        <f>$D929+AK920</f>
        <v/>
      </c>
      <c r="AL929" s="36">
        <f>$D929+AL920</f>
        <v/>
      </c>
      <c r="AM929" s="36">
        <f>$D929+AM920</f>
        <v/>
      </c>
      <c r="AN929" s="39">
        <f>TAX($D929,AN920)</f>
        <v/>
      </c>
    </row>
    <row r="930" hidden="1" outlineLevel="2">
      <c r="A930" s="5" t="inlineStr">
        <is>
          <t>tax</t>
        </is>
      </c>
      <c r="B930" s="5" t="inlineStr">
        <is>
          <t>oop</t>
        </is>
      </c>
      <c r="C930" s="5" t="inlineStr">
        <is>
          <t>mac</t>
        </is>
      </c>
      <c r="D930" s="36">
        <f>INDEX(Inputs!$T$5:$T$132,MATCH($B930&amp;"|"&amp;$C930,Inputs!$A$5:$A$132,0))</f>
        <v/>
      </c>
      <c r="E930" s="37" t="n"/>
      <c r="F930" s="37" t="n"/>
      <c r="G930" s="37" t="n"/>
      <c r="H930" s="5">
        <f>INDEX(Variables!$B$5:$B$65,MATCH($A930,Variables!$A$5:$A$65,0))&amp;IF($C930="",""," | "&amp;INDEX(Mapping!$B$5:$B$25,MATCH($C930,Mapping!$A$5:$A$25,0))&amp;" | "&amp;INDEX(Mapping!$B$29:$B$38,MATCH($B930,Mapping!$A$29:$A$38,0)))</f>
        <v/>
      </c>
      <c r="I930" s="5">
        <f>INDEX(Variables!$C$5:$C$65,MATCH($A930,Variables!$A$5:$A$65,0))</f>
        <v/>
      </c>
      <c r="J930" s="5">
        <f>INDEX(Variables!$E$5:$E$65,MATCH($A930,Variables!$A$5:$A$65,0))</f>
        <v/>
      </c>
      <c r="K930" s="23">
        <f>LOWER(Settings!$C$4)&amp;".mit."&amp;$A930&amp;IF($C930="","","."&amp;$C930&amp;"."&amp;$B930)&amp;IF(INDEX(Variables!$D$5:$D$65,MATCH($A930,Variables!$A$5:$A$65,0))="","","."&amp;INDEX(Variables!$D$5:$D$65,MATCH($A930,Variables!$A$5:$A$65,0)))&amp;"."&amp;K$5</f>
        <v/>
      </c>
      <c r="L930" s="38">
        <f>$D930+L921</f>
        <v/>
      </c>
      <c r="M930" s="36">
        <f>$D930+M921</f>
        <v/>
      </c>
      <c r="N930" s="36">
        <f>$D930+N921</f>
        <v/>
      </c>
      <c r="O930" s="36">
        <f>$D930+O921</f>
        <v/>
      </c>
      <c r="P930" s="36">
        <f>$D930+P921</f>
        <v/>
      </c>
      <c r="Q930" s="36">
        <f>$D930+Q921</f>
        <v/>
      </c>
      <c r="R930" s="36">
        <f>$D930+R921</f>
        <v/>
      </c>
      <c r="S930" s="36">
        <f>$D930+S921</f>
        <v/>
      </c>
      <c r="T930" s="36">
        <f>$D930+T921</f>
        <v/>
      </c>
      <c r="U930" s="36">
        <f>$D930+U921</f>
        <v/>
      </c>
      <c r="V930" s="36">
        <f>$D930+V921</f>
        <v/>
      </c>
      <c r="W930" s="36">
        <f>$D930+W921</f>
        <v/>
      </c>
      <c r="X930" s="36">
        <f>$D930+X921</f>
        <v/>
      </c>
      <c r="Y930" s="39">
        <f>TAX($D930,Y921)</f>
        <v/>
      </c>
      <c r="Z930" s="23">
        <f>LOWER(Settings!$C$4)&amp;".mit."&amp;$A930&amp;IF($C930="","","."&amp;$C930&amp;"."&amp;$B930)&amp;IF(INDEX(Variables!$D$5:$D$65,MATCH($A930,Variables!$A$5:$A$65,0))="","","."&amp;INDEX(Variables!$D$5:$D$65,MATCH($A930,Variables!$A$5:$A$65,0)))&amp;"."&amp;Z$5</f>
        <v/>
      </c>
      <c r="AA930" s="38">
        <f>$D930+AA921</f>
        <v/>
      </c>
      <c r="AB930" s="36">
        <f>$D930+AB921</f>
        <v/>
      </c>
      <c r="AC930" s="36">
        <f>$D930+AC921</f>
        <v/>
      </c>
      <c r="AD930" s="36">
        <f>$D930+AD921</f>
        <v/>
      </c>
      <c r="AE930" s="36">
        <f>$D930+AE921</f>
        <v/>
      </c>
      <c r="AF930" s="36">
        <f>$D930+AF921</f>
        <v/>
      </c>
      <c r="AG930" s="36">
        <f>$D930+AG921</f>
        <v/>
      </c>
      <c r="AH930" s="36">
        <f>$D930+AH921</f>
        <v/>
      </c>
      <c r="AI930" s="36">
        <f>$D930+AI921</f>
        <v/>
      </c>
      <c r="AJ930" s="36">
        <f>$D930+AJ921</f>
        <v/>
      </c>
      <c r="AK930" s="36">
        <f>$D930+AK921</f>
        <v/>
      </c>
      <c r="AL930" s="36">
        <f>$D930+AL921</f>
        <v/>
      </c>
      <c r="AM930" s="36">
        <f>$D930+AM921</f>
        <v/>
      </c>
      <c r="AN930" s="39">
        <f>TAX($D930,AN921)</f>
        <v/>
      </c>
    </row>
    <row r="931" hidden="1" outlineLevel="2">
      <c r="A931" s="5" t="inlineStr">
        <is>
          <t>tax</t>
        </is>
      </c>
      <c r="B931" s="5" t="inlineStr">
        <is>
          <t>bio</t>
        </is>
      </c>
      <c r="C931" s="5" t="inlineStr">
        <is>
          <t>mac</t>
        </is>
      </c>
      <c r="D931" s="36">
        <f>INDEX(Inputs!$T$5:$T$132,MATCH($B931&amp;"|"&amp;$C931,Inputs!$A$5:$A$132,0))</f>
        <v/>
      </c>
      <c r="E931" s="37" t="n"/>
      <c r="F931" s="37" t="n"/>
      <c r="G931" s="37" t="n"/>
      <c r="H931" s="5">
        <f>INDEX(Variables!$B$5:$B$65,MATCH($A931,Variables!$A$5:$A$65,0))&amp;IF($C931="",""," | "&amp;INDEX(Mapping!$B$5:$B$25,MATCH($C931,Mapping!$A$5:$A$25,0))&amp;" | "&amp;INDEX(Mapping!$B$29:$B$38,MATCH($B931,Mapping!$A$29:$A$38,0)))</f>
        <v/>
      </c>
      <c r="I931" s="5">
        <f>INDEX(Variables!$C$5:$C$65,MATCH($A931,Variables!$A$5:$A$65,0))</f>
        <v/>
      </c>
      <c r="J931" s="5">
        <f>INDEX(Variables!$E$5:$E$65,MATCH($A931,Variables!$A$5:$A$65,0))</f>
        <v/>
      </c>
      <c r="K931" s="23">
        <f>LOWER(Settings!$C$4)&amp;".mit."&amp;$A931&amp;IF($C931="","","."&amp;$C931&amp;"."&amp;$B931)&amp;IF(INDEX(Variables!$D$5:$D$65,MATCH($A931,Variables!$A$5:$A$65,0))="","","."&amp;INDEX(Variables!$D$5:$D$65,MATCH($A931,Variables!$A$5:$A$65,0)))&amp;"."&amp;K$5</f>
        <v/>
      </c>
      <c r="L931" s="38">
        <f>$D931+L922</f>
        <v/>
      </c>
      <c r="M931" s="36">
        <f>$D931+M922</f>
        <v/>
      </c>
      <c r="N931" s="36">
        <f>$D931+N922</f>
        <v/>
      </c>
      <c r="O931" s="36">
        <f>$D931+O922</f>
        <v/>
      </c>
      <c r="P931" s="36">
        <f>$D931+P922</f>
        <v/>
      </c>
      <c r="Q931" s="36">
        <f>$D931+Q922</f>
        <v/>
      </c>
      <c r="R931" s="36">
        <f>$D931+R922</f>
        <v/>
      </c>
      <c r="S931" s="36">
        <f>$D931+S922</f>
        <v/>
      </c>
      <c r="T931" s="36">
        <f>$D931+T922</f>
        <v/>
      </c>
      <c r="U931" s="36">
        <f>$D931+U922</f>
        <v/>
      </c>
      <c r="V931" s="36">
        <f>$D931+V922</f>
        <v/>
      </c>
      <c r="W931" s="36">
        <f>$D931+W922</f>
        <v/>
      </c>
      <c r="X931" s="36">
        <f>$D931+X922</f>
        <v/>
      </c>
      <c r="Y931" s="39">
        <f>TAX($D931,Y922)</f>
        <v/>
      </c>
      <c r="Z931" s="23">
        <f>LOWER(Settings!$C$4)&amp;".mit."&amp;$A931&amp;IF($C931="","","."&amp;$C931&amp;"."&amp;$B931)&amp;IF(INDEX(Variables!$D$5:$D$65,MATCH($A931,Variables!$A$5:$A$65,0))="","","."&amp;INDEX(Variables!$D$5:$D$65,MATCH($A931,Variables!$A$5:$A$65,0)))&amp;"."&amp;Z$5</f>
        <v/>
      </c>
      <c r="AA931" s="38">
        <f>$D931+AA922</f>
        <v/>
      </c>
      <c r="AB931" s="36">
        <f>$D931+AB922</f>
        <v/>
      </c>
      <c r="AC931" s="36">
        <f>$D931+AC922</f>
        <v/>
      </c>
      <c r="AD931" s="36">
        <f>$D931+AD922</f>
        <v/>
      </c>
      <c r="AE931" s="36">
        <f>$D931+AE922</f>
        <v/>
      </c>
      <c r="AF931" s="36">
        <f>$D931+AF922</f>
        <v/>
      </c>
      <c r="AG931" s="36">
        <f>$D931+AG922</f>
        <v/>
      </c>
      <c r="AH931" s="36">
        <f>$D931+AH922</f>
        <v/>
      </c>
      <c r="AI931" s="36">
        <f>$D931+AI922</f>
        <v/>
      </c>
      <c r="AJ931" s="36">
        <f>$D931+AJ922</f>
        <v/>
      </c>
      <c r="AK931" s="36">
        <f>$D931+AK922</f>
        <v/>
      </c>
      <c r="AL931" s="36">
        <f>$D931+AL922</f>
        <v/>
      </c>
      <c r="AM931" s="36">
        <f>$D931+AM922</f>
        <v/>
      </c>
      <c r="AN931" s="39">
        <f>TAX($D931,AN922)</f>
        <v/>
      </c>
    </row>
    <row r="932" hidden="1" outlineLevel="2"/>
    <row r="933" hidden="1" outlineLevel="2">
      <c r="A933" s="5" t="inlineStr">
        <is>
          <t>atp</t>
        </is>
      </c>
      <c r="B933" s="5" t="inlineStr">
        <is>
          <t>coa</t>
        </is>
      </c>
      <c r="C933" s="5" t="inlineStr">
        <is>
          <t>mac</t>
        </is>
      </c>
      <c r="D933" s="37" t="n"/>
      <c r="E933" s="37" t="n"/>
      <c r="F933" s="37" t="n"/>
      <c r="G933" s="37" t="n"/>
      <c r="H933" s="5">
        <f>INDEX(Variables!$B$5:$B$65,MATCH($A933,Variables!$A$5:$A$65,0))&amp;IF($C933="",""," | "&amp;INDEX(Mapping!$B$5:$B$25,MATCH($C933,Mapping!$A$5:$A$25,0))&amp;" | "&amp;INDEX(Mapping!$B$29:$B$38,MATCH($B933,Mapping!$A$29:$A$38,0)))</f>
        <v/>
      </c>
      <c r="I933" s="5">
        <f>INDEX(Variables!$C$5:$C$65,MATCH($A933,Variables!$A$5:$A$65,0))</f>
        <v/>
      </c>
      <c r="J933" s="5">
        <f>INDEX(Variables!$E$5:$E$65,MATCH($A933,Variables!$A$5:$A$65,0))</f>
        <v/>
      </c>
      <c r="K933" s="23">
        <f>LOWER(Settings!$C$4)&amp;".mit."&amp;$A933&amp;IF($C933="","","."&amp;$C933&amp;"."&amp;$B933)&amp;IF(INDEX(Variables!$D$5:$D$65,MATCH($A933,Variables!$A$5:$A$65,0))="","","."&amp;INDEX(Variables!$D$5:$D$65,MATCH($A933,Variables!$A$5:$A$65,0)))&amp;"."&amp;K$5</f>
        <v/>
      </c>
      <c r="L933" s="38">
        <f>L888+L924</f>
        <v/>
      </c>
      <c r="M933" s="36">
        <f>M888+M924</f>
        <v/>
      </c>
      <c r="N933" s="36">
        <f>N888+N924</f>
        <v/>
      </c>
      <c r="O933" s="36">
        <f>O888+O924</f>
        <v/>
      </c>
      <c r="P933" s="36">
        <f>P888+P924</f>
        <v/>
      </c>
      <c r="Q933" s="36">
        <f>Q888+Q924</f>
        <v/>
      </c>
      <c r="R933" s="36">
        <f>R888+R924</f>
        <v/>
      </c>
      <c r="S933" s="36">
        <f>S888+S924</f>
        <v/>
      </c>
      <c r="T933" s="36">
        <f>T888+T924</f>
        <v/>
      </c>
      <c r="U933" s="36">
        <f>U888+U924</f>
        <v/>
      </c>
      <c r="V933" s="36">
        <f>V888+V924</f>
        <v/>
      </c>
      <c r="W933" s="36">
        <f>W888+W924</f>
        <v/>
      </c>
      <c r="X933" s="36">
        <f>X888+X924</f>
        <v/>
      </c>
      <c r="Y933" s="39">
        <f>POSTTAX(Y888,Y924)</f>
        <v/>
      </c>
      <c r="Z933" s="23">
        <f>LOWER(Settings!$C$4)&amp;".mit."&amp;$A933&amp;IF($C933="","","."&amp;$C933&amp;"."&amp;$B933)&amp;IF(INDEX(Variables!$D$5:$D$65,MATCH($A933,Variables!$A$5:$A$65,0))="","","."&amp;INDEX(Variables!$D$5:$D$65,MATCH($A933,Variables!$A$5:$A$65,0)))&amp;"."&amp;Z$5</f>
        <v/>
      </c>
      <c r="AA933" s="38">
        <f>AA888+AA924</f>
        <v/>
      </c>
      <c r="AB933" s="36">
        <f>AB888+AB924</f>
        <v/>
      </c>
      <c r="AC933" s="36">
        <f>AC888+AC924</f>
        <v/>
      </c>
      <c r="AD933" s="36">
        <f>AD888+AD924</f>
        <v/>
      </c>
      <c r="AE933" s="36">
        <f>AE888+AE924</f>
        <v/>
      </c>
      <c r="AF933" s="36">
        <f>AF888+AF924</f>
        <v/>
      </c>
      <c r="AG933" s="36">
        <f>AG888+AG924</f>
        <v/>
      </c>
      <c r="AH933" s="36">
        <f>AH888+AH924</f>
        <v/>
      </c>
      <c r="AI933" s="36">
        <f>AI888+AI924</f>
        <v/>
      </c>
      <c r="AJ933" s="36">
        <f>AJ888+AJ924</f>
        <v/>
      </c>
      <c r="AK933" s="36">
        <f>AK888+AK924</f>
        <v/>
      </c>
      <c r="AL933" s="36">
        <f>AL888+AL924</f>
        <v/>
      </c>
      <c r="AM933" s="36">
        <f>AM888+AM924</f>
        <v/>
      </c>
      <c r="AN933" s="39">
        <f>POSTTAX(AN888,AN924)</f>
        <v/>
      </c>
    </row>
    <row r="934" hidden="1" outlineLevel="2">
      <c r="A934" s="5" t="inlineStr">
        <is>
          <t>atp</t>
        </is>
      </c>
      <c r="B934" s="5" t="inlineStr">
        <is>
          <t>nga</t>
        </is>
      </c>
      <c r="C934" s="5" t="inlineStr">
        <is>
          <t>mac</t>
        </is>
      </c>
      <c r="D934" s="37" t="n"/>
      <c r="E934" s="37" t="n"/>
      <c r="F934" s="37" t="n"/>
      <c r="G934" s="37" t="n"/>
      <c r="H934" s="5">
        <f>INDEX(Variables!$B$5:$B$65,MATCH($A934,Variables!$A$5:$A$65,0))&amp;IF($C934="",""," | "&amp;INDEX(Mapping!$B$5:$B$25,MATCH($C934,Mapping!$A$5:$A$25,0))&amp;" | "&amp;INDEX(Mapping!$B$29:$B$38,MATCH($B934,Mapping!$A$29:$A$38,0)))</f>
        <v/>
      </c>
      <c r="I934" s="5">
        <f>INDEX(Variables!$C$5:$C$65,MATCH($A934,Variables!$A$5:$A$65,0))</f>
        <v/>
      </c>
      <c r="J934" s="5">
        <f>INDEX(Variables!$E$5:$E$65,MATCH($A934,Variables!$A$5:$A$65,0))</f>
        <v/>
      </c>
      <c r="K934" s="23">
        <f>LOWER(Settings!$C$4)&amp;".mit."&amp;$A934&amp;IF($C934="","","."&amp;$C934&amp;"."&amp;$B934)&amp;IF(INDEX(Variables!$D$5:$D$65,MATCH($A934,Variables!$A$5:$A$65,0))="","","."&amp;INDEX(Variables!$D$5:$D$65,MATCH($A934,Variables!$A$5:$A$65,0)))&amp;"."&amp;K$5</f>
        <v/>
      </c>
      <c r="L934" s="38">
        <f>L889+L925</f>
        <v/>
      </c>
      <c r="M934" s="36">
        <f>M889+M925</f>
        <v/>
      </c>
      <c r="N934" s="36">
        <f>N889+N925</f>
        <v/>
      </c>
      <c r="O934" s="36">
        <f>O889+O925</f>
        <v/>
      </c>
      <c r="P934" s="36">
        <f>P889+P925</f>
        <v/>
      </c>
      <c r="Q934" s="36">
        <f>Q889+Q925</f>
        <v/>
      </c>
      <c r="R934" s="36">
        <f>R889+R925</f>
        <v/>
      </c>
      <c r="S934" s="36">
        <f>S889+S925</f>
        <v/>
      </c>
      <c r="T934" s="36">
        <f>T889+T925</f>
        <v/>
      </c>
      <c r="U934" s="36">
        <f>U889+U925</f>
        <v/>
      </c>
      <c r="V934" s="36">
        <f>V889+V925</f>
        <v/>
      </c>
      <c r="W934" s="36">
        <f>W889+W925</f>
        <v/>
      </c>
      <c r="X934" s="36">
        <f>X889+X925</f>
        <v/>
      </c>
      <c r="Y934" s="39">
        <f>POSTTAX(Y889,Y925)</f>
        <v/>
      </c>
      <c r="Z934" s="23">
        <f>LOWER(Settings!$C$4)&amp;".mit."&amp;$A934&amp;IF($C934="","","."&amp;$C934&amp;"."&amp;$B934)&amp;IF(INDEX(Variables!$D$5:$D$65,MATCH($A934,Variables!$A$5:$A$65,0))="","","."&amp;INDEX(Variables!$D$5:$D$65,MATCH($A934,Variables!$A$5:$A$65,0)))&amp;"."&amp;Z$5</f>
        <v/>
      </c>
      <c r="AA934" s="38">
        <f>AA889+AA925</f>
        <v/>
      </c>
      <c r="AB934" s="36">
        <f>AB889+AB925</f>
        <v/>
      </c>
      <c r="AC934" s="36">
        <f>AC889+AC925</f>
        <v/>
      </c>
      <c r="AD934" s="36">
        <f>AD889+AD925</f>
        <v/>
      </c>
      <c r="AE934" s="36">
        <f>AE889+AE925</f>
        <v/>
      </c>
      <c r="AF934" s="36">
        <f>AF889+AF925</f>
        <v/>
      </c>
      <c r="AG934" s="36">
        <f>AG889+AG925</f>
        <v/>
      </c>
      <c r="AH934" s="36">
        <f>AH889+AH925</f>
        <v/>
      </c>
      <c r="AI934" s="36">
        <f>AI889+AI925</f>
        <v/>
      </c>
      <c r="AJ934" s="36">
        <f>AJ889+AJ925</f>
        <v/>
      </c>
      <c r="AK934" s="36">
        <f>AK889+AK925</f>
        <v/>
      </c>
      <c r="AL934" s="36">
        <f>AL889+AL925</f>
        <v/>
      </c>
      <c r="AM934" s="36">
        <f>AM889+AM925</f>
        <v/>
      </c>
      <c r="AN934" s="39">
        <f>POSTTAX(AN889,AN925)</f>
        <v/>
      </c>
    </row>
    <row r="935" hidden="1" outlineLevel="2">
      <c r="A935" s="5" t="inlineStr">
        <is>
          <t>atp</t>
        </is>
      </c>
      <c r="B935" s="5" t="inlineStr">
        <is>
          <t>gso</t>
        </is>
      </c>
      <c r="C935" s="5" t="inlineStr">
        <is>
          <t>mac</t>
        </is>
      </c>
      <c r="D935" s="37" t="n"/>
      <c r="E935" s="37" t="n"/>
      <c r="F935" s="37" t="n"/>
      <c r="G935" s="37" t="n"/>
      <c r="H935" s="5">
        <f>INDEX(Variables!$B$5:$B$65,MATCH($A935,Variables!$A$5:$A$65,0))&amp;IF($C935="",""," | "&amp;INDEX(Mapping!$B$5:$B$25,MATCH($C935,Mapping!$A$5:$A$25,0))&amp;" | "&amp;INDEX(Mapping!$B$29:$B$38,MATCH($B935,Mapping!$A$29:$A$38,0)))</f>
        <v/>
      </c>
      <c r="I935" s="5">
        <f>INDEX(Variables!$C$5:$C$65,MATCH($A935,Variables!$A$5:$A$65,0))</f>
        <v/>
      </c>
      <c r="J935" s="5">
        <f>INDEX(Variables!$E$5:$E$65,MATCH($A935,Variables!$A$5:$A$65,0))</f>
        <v/>
      </c>
      <c r="K935" s="23">
        <f>LOWER(Settings!$C$4)&amp;".mit."&amp;$A935&amp;IF($C935="","","."&amp;$C935&amp;"."&amp;$B935)&amp;IF(INDEX(Variables!$D$5:$D$65,MATCH($A935,Variables!$A$5:$A$65,0))="","","."&amp;INDEX(Variables!$D$5:$D$65,MATCH($A935,Variables!$A$5:$A$65,0)))&amp;"."&amp;K$5</f>
        <v/>
      </c>
      <c r="L935" s="38">
        <f>L890+L926</f>
        <v/>
      </c>
      <c r="M935" s="36">
        <f>M890+M926</f>
        <v/>
      </c>
      <c r="N935" s="36">
        <f>N890+N926</f>
        <v/>
      </c>
      <c r="O935" s="36">
        <f>O890+O926</f>
        <v/>
      </c>
      <c r="P935" s="36">
        <f>P890+P926</f>
        <v/>
      </c>
      <c r="Q935" s="36">
        <f>Q890+Q926</f>
        <v/>
      </c>
      <c r="R935" s="36">
        <f>R890+R926</f>
        <v/>
      </c>
      <c r="S935" s="36">
        <f>S890+S926</f>
        <v/>
      </c>
      <c r="T935" s="36">
        <f>T890+T926</f>
        <v/>
      </c>
      <c r="U935" s="36">
        <f>U890+U926</f>
        <v/>
      </c>
      <c r="V935" s="36">
        <f>V890+V926</f>
        <v/>
      </c>
      <c r="W935" s="36">
        <f>W890+W926</f>
        <v/>
      </c>
      <c r="X935" s="36">
        <f>X890+X926</f>
        <v/>
      </c>
      <c r="Y935" s="39">
        <f>POSTTAX(Y890,Y926)</f>
        <v/>
      </c>
      <c r="Z935" s="23">
        <f>LOWER(Settings!$C$4)&amp;".mit."&amp;$A935&amp;IF($C935="","","."&amp;$C935&amp;"."&amp;$B935)&amp;IF(INDEX(Variables!$D$5:$D$65,MATCH($A935,Variables!$A$5:$A$65,0))="","","."&amp;INDEX(Variables!$D$5:$D$65,MATCH($A935,Variables!$A$5:$A$65,0)))&amp;"."&amp;Z$5</f>
        <v/>
      </c>
      <c r="AA935" s="38">
        <f>AA890+AA926</f>
        <v/>
      </c>
      <c r="AB935" s="36">
        <f>AB890+AB926</f>
        <v/>
      </c>
      <c r="AC935" s="36">
        <f>AC890+AC926</f>
        <v/>
      </c>
      <c r="AD935" s="36">
        <f>AD890+AD926</f>
        <v/>
      </c>
      <c r="AE935" s="36">
        <f>AE890+AE926</f>
        <v/>
      </c>
      <c r="AF935" s="36">
        <f>AF890+AF926</f>
        <v/>
      </c>
      <c r="AG935" s="36">
        <f>AG890+AG926</f>
        <v/>
      </c>
      <c r="AH935" s="36">
        <f>AH890+AH926</f>
        <v/>
      </c>
      <c r="AI935" s="36">
        <f>AI890+AI926</f>
        <v/>
      </c>
      <c r="AJ935" s="36">
        <f>AJ890+AJ926</f>
        <v/>
      </c>
      <c r="AK935" s="36">
        <f>AK890+AK926</f>
        <v/>
      </c>
      <c r="AL935" s="36">
        <f>AL890+AL926</f>
        <v/>
      </c>
      <c r="AM935" s="36">
        <f>AM890+AM926</f>
        <v/>
      </c>
      <c r="AN935" s="39">
        <f>POSTTAX(AN890,AN926)</f>
        <v/>
      </c>
    </row>
    <row r="936" hidden="1" outlineLevel="2">
      <c r="A936" s="5" t="inlineStr">
        <is>
          <t>atp</t>
        </is>
      </c>
      <c r="B936" s="5" t="inlineStr">
        <is>
          <t>die</t>
        </is>
      </c>
      <c r="C936" s="5" t="inlineStr">
        <is>
          <t>mac</t>
        </is>
      </c>
      <c r="D936" s="37" t="n"/>
      <c r="E936" s="37" t="n"/>
      <c r="F936" s="37" t="n"/>
      <c r="G936" s="37" t="n"/>
      <c r="H936" s="5">
        <f>INDEX(Variables!$B$5:$B$65,MATCH($A936,Variables!$A$5:$A$65,0))&amp;IF($C936="",""," | "&amp;INDEX(Mapping!$B$5:$B$25,MATCH($C936,Mapping!$A$5:$A$25,0))&amp;" | "&amp;INDEX(Mapping!$B$29:$B$38,MATCH($B936,Mapping!$A$29:$A$38,0)))</f>
        <v/>
      </c>
      <c r="I936" s="5">
        <f>INDEX(Variables!$C$5:$C$65,MATCH($A936,Variables!$A$5:$A$65,0))</f>
        <v/>
      </c>
      <c r="J936" s="5">
        <f>INDEX(Variables!$E$5:$E$65,MATCH($A936,Variables!$A$5:$A$65,0))</f>
        <v/>
      </c>
      <c r="K936" s="23">
        <f>LOWER(Settings!$C$4)&amp;".mit."&amp;$A936&amp;IF($C936="","","."&amp;$C936&amp;"."&amp;$B936)&amp;IF(INDEX(Variables!$D$5:$D$65,MATCH($A936,Variables!$A$5:$A$65,0))="","","."&amp;INDEX(Variables!$D$5:$D$65,MATCH($A936,Variables!$A$5:$A$65,0)))&amp;"."&amp;K$5</f>
        <v/>
      </c>
      <c r="L936" s="38">
        <f>L891+L927</f>
        <v/>
      </c>
      <c r="M936" s="36">
        <f>M891+M927</f>
        <v/>
      </c>
      <c r="N936" s="36">
        <f>N891+N927</f>
        <v/>
      </c>
      <c r="O936" s="36">
        <f>O891+O927</f>
        <v/>
      </c>
      <c r="P936" s="36">
        <f>P891+P927</f>
        <v/>
      </c>
      <c r="Q936" s="36">
        <f>Q891+Q927</f>
        <v/>
      </c>
      <c r="R936" s="36">
        <f>R891+R927</f>
        <v/>
      </c>
      <c r="S936" s="36">
        <f>S891+S927</f>
        <v/>
      </c>
      <c r="T936" s="36">
        <f>T891+T927</f>
        <v/>
      </c>
      <c r="U936" s="36">
        <f>U891+U927</f>
        <v/>
      </c>
      <c r="V936" s="36">
        <f>V891+V927</f>
        <v/>
      </c>
      <c r="W936" s="36">
        <f>W891+W927</f>
        <v/>
      </c>
      <c r="X936" s="36">
        <f>X891+X927</f>
        <v/>
      </c>
      <c r="Y936" s="39">
        <f>POSTTAX(Y891,Y927)</f>
        <v/>
      </c>
      <c r="Z936" s="23">
        <f>LOWER(Settings!$C$4)&amp;".mit."&amp;$A936&amp;IF($C936="","","."&amp;$C936&amp;"."&amp;$B936)&amp;IF(INDEX(Variables!$D$5:$D$65,MATCH($A936,Variables!$A$5:$A$65,0))="","","."&amp;INDEX(Variables!$D$5:$D$65,MATCH($A936,Variables!$A$5:$A$65,0)))&amp;"."&amp;Z$5</f>
        <v/>
      </c>
      <c r="AA936" s="38">
        <f>AA891+AA927</f>
        <v/>
      </c>
      <c r="AB936" s="36">
        <f>AB891+AB927</f>
        <v/>
      </c>
      <c r="AC936" s="36">
        <f>AC891+AC927</f>
        <v/>
      </c>
      <c r="AD936" s="36">
        <f>AD891+AD927</f>
        <v/>
      </c>
      <c r="AE936" s="36">
        <f>AE891+AE927</f>
        <v/>
      </c>
      <c r="AF936" s="36">
        <f>AF891+AF927</f>
        <v/>
      </c>
      <c r="AG936" s="36">
        <f>AG891+AG927</f>
        <v/>
      </c>
      <c r="AH936" s="36">
        <f>AH891+AH927</f>
        <v/>
      </c>
      <c r="AI936" s="36">
        <f>AI891+AI927</f>
        <v/>
      </c>
      <c r="AJ936" s="36">
        <f>AJ891+AJ927</f>
        <v/>
      </c>
      <c r="AK936" s="36">
        <f>AK891+AK927</f>
        <v/>
      </c>
      <c r="AL936" s="36">
        <f>AL891+AL927</f>
        <v/>
      </c>
      <c r="AM936" s="36">
        <f>AM891+AM927</f>
        <v/>
      </c>
      <c r="AN936" s="39">
        <f>POSTTAX(AN891,AN927)</f>
        <v/>
      </c>
    </row>
    <row r="937" hidden="1" outlineLevel="2">
      <c r="A937" s="5" t="inlineStr">
        <is>
          <t>atp</t>
        </is>
      </c>
      <c r="B937" s="5" t="inlineStr">
        <is>
          <t>lpg</t>
        </is>
      </c>
      <c r="C937" s="5" t="inlineStr">
        <is>
          <t>mac</t>
        </is>
      </c>
      <c r="D937" s="37" t="n"/>
      <c r="E937" s="37" t="n"/>
      <c r="F937" s="37" t="n"/>
      <c r="G937" s="37" t="n"/>
      <c r="H937" s="5">
        <f>INDEX(Variables!$B$5:$B$65,MATCH($A937,Variables!$A$5:$A$65,0))&amp;IF($C937="",""," | "&amp;INDEX(Mapping!$B$5:$B$25,MATCH($C937,Mapping!$A$5:$A$25,0))&amp;" | "&amp;INDEX(Mapping!$B$29:$B$38,MATCH($B937,Mapping!$A$29:$A$38,0)))</f>
        <v/>
      </c>
      <c r="I937" s="5">
        <f>INDEX(Variables!$C$5:$C$65,MATCH($A937,Variables!$A$5:$A$65,0))</f>
        <v/>
      </c>
      <c r="J937" s="5">
        <f>INDEX(Variables!$E$5:$E$65,MATCH($A937,Variables!$A$5:$A$65,0))</f>
        <v/>
      </c>
      <c r="K937" s="23">
        <f>LOWER(Settings!$C$4)&amp;".mit."&amp;$A937&amp;IF($C937="","","."&amp;$C937&amp;"."&amp;$B937)&amp;IF(INDEX(Variables!$D$5:$D$65,MATCH($A937,Variables!$A$5:$A$65,0))="","","."&amp;INDEX(Variables!$D$5:$D$65,MATCH($A937,Variables!$A$5:$A$65,0)))&amp;"."&amp;K$5</f>
        <v/>
      </c>
      <c r="L937" s="38">
        <f>L892+L928</f>
        <v/>
      </c>
      <c r="M937" s="36">
        <f>M892+M928</f>
        <v/>
      </c>
      <c r="N937" s="36">
        <f>N892+N928</f>
        <v/>
      </c>
      <c r="O937" s="36">
        <f>O892+O928</f>
        <v/>
      </c>
      <c r="P937" s="36">
        <f>P892+P928</f>
        <v/>
      </c>
      <c r="Q937" s="36">
        <f>Q892+Q928</f>
        <v/>
      </c>
      <c r="R937" s="36">
        <f>R892+R928</f>
        <v/>
      </c>
      <c r="S937" s="36">
        <f>S892+S928</f>
        <v/>
      </c>
      <c r="T937" s="36">
        <f>T892+T928</f>
        <v/>
      </c>
      <c r="U937" s="36">
        <f>U892+U928</f>
        <v/>
      </c>
      <c r="V937" s="36">
        <f>V892+V928</f>
        <v/>
      </c>
      <c r="W937" s="36">
        <f>W892+W928</f>
        <v/>
      </c>
      <c r="X937" s="36">
        <f>X892+X928</f>
        <v/>
      </c>
      <c r="Y937" s="39">
        <f>POSTTAX(Y892,Y928)</f>
        <v/>
      </c>
      <c r="Z937" s="23">
        <f>LOWER(Settings!$C$4)&amp;".mit."&amp;$A937&amp;IF($C937="","","."&amp;$C937&amp;"."&amp;$B937)&amp;IF(INDEX(Variables!$D$5:$D$65,MATCH($A937,Variables!$A$5:$A$65,0))="","","."&amp;INDEX(Variables!$D$5:$D$65,MATCH($A937,Variables!$A$5:$A$65,0)))&amp;"."&amp;Z$5</f>
        <v/>
      </c>
      <c r="AA937" s="38">
        <f>AA892+AA928</f>
        <v/>
      </c>
      <c r="AB937" s="36">
        <f>AB892+AB928</f>
        <v/>
      </c>
      <c r="AC937" s="36">
        <f>AC892+AC928</f>
        <v/>
      </c>
      <c r="AD937" s="36">
        <f>AD892+AD928</f>
        <v/>
      </c>
      <c r="AE937" s="36">
        <f>AE892+AE928</f>
        <v/>
      </c>
      <c r="AF937" s="36">
        <f>AF892+AF928</f>
        <v/>
      </c>
      <c r="AG937" s="36">
        <f>AG892+AG928</f>
        <v/>
      </c>
      <c r="AH937" s="36">
        <f>AH892+AH928</f>
        <v/>
      </c>
      <c r="AI937" s="36">
        <f>AI892+AI928</f>
        <v/>
      </c>
      <c r="AJ937" s="36">
        <f>AJ892+AJ928</f>
        <v/>
      </c>
      <c r="AK937" s="36">
        <f>AK892+AK928</f>
        <v/>
      </c>
      <c r="AL937" s="36">
        <f>AL892+AL928</f>
        <v/>
      </c>
      <c r="AM937" s="36">
        <f>AM892+AM928</f>
        <v/>
      </c>
      <c r="AN937" s="39">
        <f>POSTTAX(AN892,AN928)</f>
        <v/>
      </c>
    </row>
    <row r="938" hidden="1" outlineLevel="2">
      <c r="A938" s="5" t="inlineStr">
        <is>
          <t>atp</t>
        </is>
      </c>
      <c r="B938" s="5" t="inlineStr">
        <is>
          <t>ker</t>
        </is>
      </c>
      <c r="C938" s="5" t="inlineStr">
        <is>
          <t>mac</t>
        </is>
      </c>
      <c r="D938" s="37" t="n"/>
      <c r="E938" s="37" t="n"/>
      <c r="F938" s="37" t="n"/>
      <c r="G938" s="37" t="n"/>
      <c r="H938" s="5">
        <f>INDEX(Variables!$B$5:$B$65,MATCH($A938,Variables!$A$5:$A$65,0))&amp;IF($C938="",""," | "&amp;INDEX(Mapping!$B$5:$B$25,MATCH($C938,Mapping!$A$5:$A$25,0))&amp;" | "&amp;INDEX(Mapping!$B$29:$B$38,MATCH($B938,Mapping!$A$29:$A$38,0)))</f>
        <v/>
      </c>
      <c r="I938" s="5">
        <f>INDEX(Variables!$C$5:$C$65,MATCH($A938,Variables!$A$5:$A$65,0))</f>
        <v/>
      </c>
      <c r="J938" s="5">
        <f>INDEX(Variables!$E$5:$E$65,MATCH($A938,Variables!$A$5:$A$65,0))</f>
        <v/>
      </c>
      <c r="K938" s="23">
        <f>LOWER(Settings!$C$4)&amp;".mit."&amp;$A938&amp;IF($C938="","","."&amp;$C938&amp;"."&amp;$B938)&amp;IF(INDEX(Variables!$D$5:$D$65,MATCH($A938,Variables!$A$5:$A$65,0))="","","."&amp;INDEX(Variables!$D$5:$D$65,MATCH($A938,Variables!$A$5:$A$65,0)))&amp;"."&amp;K$5</f>
        <v/>
      </c>
      <c r="L938" s="38">
        <f>L893+L929</f>
        <v/>
      </c>
      <c r="M938" s="36">
        <f>M893+M929</f>
        <v/>
      </c>
      <c r="N938" s="36">
        <f>N893+N929</f>
        <v/>
      </c>
      <c r="O938" s="36">
        <f>O893+O929</f>
        <v/>
      </c>
      <c r="P938" s="36">
        <f>P893+P929</f>
        <v/>
      </c>
      <c r="Q938" s="36">
        <f>Q893+Q929</f>
        <v/>
      </c>
      <c r="R938" s="36">
        <f>R893+R929</f>
        <v/>
      </c>
      <c r="S938" s="36">
        <f>S893+S929</f>
        <v/>
      </c>
      <c r="T938" s="36">
        <f>T893+T929</f>
        <v/>
      </c>
      <c r="U938" s="36">
        <f>U893+U929</f>
        <v/>
      </c>
      <c r="V938" s="36">
        <f>V893+V929</f>
        <v/>
      </c>
      <c r="W938" s="36">
        <f>W893+W929</f>
        <v/>
      </c>
      <c r="X938" s="36">
        <f>X893+X929</f>
        <v/>
      </c>
      <c r="Y938" s="39">
        <f>POSTTAX(Y893,Y929)</f>
        <v/>
      </c>
      <c r="Z938" s="23">
        <f>LOWER(Settings!$C$4)&amp;".mit."&amp;$A938&amp;IF($C938="","","."&amp;$C938&amp;"."&amp;$B938)&amp;IF(INDEX(Variables!$D$5:$D$65,MATCH($A938,Variables!$A$5:$A$65,0))="","","."&amp;INDEX(Variables!$D$5:$D$65,MATCH($A938,Variables!$A$5:$A$65,0)))&amp;"."&amp;Z$5</f>
        <v/>
      </c>
      <c r="AA938" s="38">
        <f>AA893+AA929</f>
        <v/>
      </c>
      <c r="AB938" s="36">
        <f>AB893+AB929</f>
        <v/>
      </c>
      <c r="AC938" s="36">
        <f>AC893+AC929</f>
        <v/>
      </c>
      <c r="AD938" s="36">
        <f>AD893+AD929</f>
        <v/>
      </c>
      <c r="AE938" s="36">
        <f>AE893+AE929</f>
        <v/>
      </c>
      <c r="AF938" s="36">
        <f>AF893+AF929</f>
        <v/>
      </c>
      <c r="AG938" s="36">
        <f>AG893+AG929</f>
        <v/>
      </c>
      <c r="AH938" s="36">
        <f>AH893+AH929</f>
        <v/>
      </c>
      <c r="AI938" s="36">
        <f>AI893+AI929</f>
        <v/>
      </c>
      <c r="AJ938" s="36">
        <f>AJ893+AJ929</f>
        <v/>
      </c>
      <c r="AK938" s="36">
        <f>AK893+AK929</f>
        <v/>
      </c>
      <c r="AL938" s="36">
        <f>AL893+AL929</f>
        <v/>
      </c>
      <c r="AM938" s="36">
        <f>AM893+AM929</f>
        <v/>
      </c>
      <c r="AN938" s="39">
        <f>POSTTAX(AN893,AN929)</f>
        <v/>
      </c>
    </row>
    <row r="939" hidden="1" outlineLevel="2">
      <c r="A939" s="5" t="inlineStr">
        <is>
          <t>atp</t>
        </is>
      </c>
      <c r="B939" s="5" t="inlineStr">
        <is>
          <t>oop</t>
        </is>
      </c>
      <c r="C939" s="5" t="inlineStr">
        <is>
          <t>mac</t>
        </is>
      </c>
      <c r="D939" s="37" t="n"/>
      <c r="E939" s="37" t="n"/>
      <c r="F939" s="37" t="n"/>
      <c r="G939" s="37" t="n"/>
      <c r="H939" s="5">
        <f>INDEX(Variables!$B$5:$B$65,MATCH($A939,Variables!$A$5:$A$65,0))&amp;IF($C939="",""," | "&amp;INDEX(Mapping!$B$5:$B$25,MATCH($C939,Mapping!$A$5:$A$25,0))&amp;" | "&amp;INDEX(Mapping!$B$29:$B$38,MATCH($B939,Mapping!$A$29:$A$38,0)))</f>
        <v/>
      </c>
      <c r="I939" s="5">
        <f>INDEX(Variables!$C$5:$C$65,MATCH($A939,Variables!$A$5:$A$65,0))</f>
        <v/>
      </c>
      <c r="J939" s="5">
        <f>INDEX(Variables!$E$5:$E$65,MATCH($A939,Variables!$A$5:$A$65,0))</f>
        <v/>
      </c>
      <c r="K939" s="23">
        <f>LOWER(Settings!$C$4)&amp;".mit."&amp;$A939&amp;IF($C939="","","."&amp;$C939&amp;"."&amp;$B939)&amp;IF(INDEX(Variables!$D$5:$D$65,MATCH($A939,Variables!$A$5:$A$65,0))="","","."&amp;INDEX(Variables!$D$5:$D$65,MATCH($A939,Variables!$A$5:$A$65,0)))&amp;"."&amp;K$5</f>
        <v/>
      </c>
      <c r="L939" s="38">
        <f>L894+L930</f>
        <v/>
      </c>
      <c r="M939" s="36">
        <f>M894+M930</f>
        <v/>
      </c>
      <c r="N939" s="36">
        <f>N894+N930</f>
        <v/>
      </c>
      <c r="O939" s="36">
        <f>O894+O930</f>
        <v/>
      </c>
      <c r="P939" s="36">
        <f>P894+P930</f>
        <v/>
      </c>
      <c r="Q939" s="36">
        <f>Q894+Q930</f>
        <v/>
      </c>
      <c r="R939" s="36">
        <f>R894+R930</f>
        <v/>
      </c>
      <c r="S939" s="36">
        <f>S894+S930</f>
        <v/>
      </c>
      <c r="T939" s="36">
        <f>T894+T930</f>
        <v/>
      </c>
      <c r="U939" s="36">
        <f>U894+U930</f>
        <v/>
      </c>
      <c r="V939" s="36">
        <f>V894+V930</f>
        <v/>
      </c>
      <c r="W939" s="36">
        <f>W894+W930</f>
        <v/>
      </c>
      <c r="X939" s="36">
        <f>X894+X930</f>
        <v/>
      </c>
      <c r="Y939" s="39">
        <f>POSTTAX(Y894,Y930)</f>
        <v/>
      </c>
      <c r="Z939" s="23">
        <f>LOWER(Settings!$C$4)&amp;".mit."&amp;$A939&amp;IF($C939="","","."&amp;$C939&amp;"."&amp;$B939)&amp;IF(INDEX(Variables!$D$5:$D$65,MATCH($A939,Variables!$A$5:$A$65,0))="","","."&amp;INDEX(Variables!$D$5:$D$65,MATCH($A939,Variables!$A$5:$A$65,0)))&amp;"."&amp;Z$5</f>
        <v/>
      </c>
      <c r="AA939" s="38">
        <f>AA894+AA930</f>
        <v/>
      </c>
      <c r="AB939" s="36">
        <f>AB894+AB930</f>
        <v/>
      </c>
      <c r="AC939" s="36">
        <f>AC894+AC930</f>
        <v/>
      </c>
      <c r="AD939" s="36">
        <f>AD894+AD930</f>
        <v/>
      </c>
      <c r="AE939" s="36">
        <f>AE894+AE930</f>
        <v/>
      </c>
      <c r="AF939" s="36">
        <f>AF894+AF930</f>
        <v/>
      </c>
      <c r="AG939" s="36">
        <f>AG894+AG930</f>
        <v/>
      </c>
      <c r="AH939" s="36">
        <f>AH894+AH930</f>
        <v/>
      </c>
      <c r="AI939" s="36">
        <f>AI894+AI930</f>
        <v/>
      </c>
      <c r="AJ939" s="36">
        <f>AJ894+AJ930</f>
        <v/>
      </c>
      <c r="AK939" s="36">
        <f>AK894+AK930</f>
        <v/>
      </c>
      <c r="AL939" s="36">
        <f>AL894+AL930</f>
        <v/>
      </c>
      <c r="AM939" s="36">
        <f>AM894+AM930</f>
        <v/>
      </c>
      <c r="AN939" s="39">
        <f>POSTTAX(AN894,AN930)</f>
        <v/>
      </c>
    </row>
    <row r="940" hidden="1" outlineLevel="2">
      <c r="A940" s="5" t="inlineStr">
        <is>
          <t>atp</t>
        </is>
      </c>
      <c r="B940" s="5" t="inlineStr">
        <is>
          <t>bio</t>
        </is>
      </c>
      <c r="C940" s="5" t="inlineStr">
        <is>
          <t>mac</t>
        </is>
      </c>
      <c r="D940" s="37" t="n"/>
      <c r="E940" s="37" t="n"/>
      <c r="F940" s="37" t="n"/>
      <c r="G940" s="37" t="n"/>
      <c r="H940" s="5">
        <f>INDEX(Variables!$B$5:$B$65,MATCH($A940,Variables!$A$5:$A$65,0))&amp;IF($C940="",""," | "&amp;INDEX(Mapping!$B$5:$B$25,MATCH($C940,Mapping!$A$5:$A$25,0))&amp;" | "&amp;INDEX(Mapping!$B$29:$B$38,MATCH($B940,Mapping!$A$29:$A$38,0)))</f>
        <v/>
      </c>
      <c r="I940" s="5">
        <f>INDEX(Variables!$C$5:$C$65,MATCH($A940,Variables!$A$5:$A$65,0))</f>
        <v/>
      </c>
      <c r="J940" s="5">
        <f>INDEX(Variables!$E$5:$E$65,MATCH($A940,Variables!$A$5:$A$65,0))</f>
        <v/>
      </c>
      <c r="K940" s="23">
        <f>LOWER(Settings!$C$4)&amp;".mit."&amp;$A940&amp;IF($C940="","","."&amp;$C940&amp;"."&amp;$B940)&amp;IF(INDEX(Variables!$D$5:$D$65,MATCH($A940,Variables!$A$5:$A$65,0))="","","."&amp;INDEX(Variables!$D$5:$D$65,MATCH($A940,Variables!$A$5:$A$65,0)))&amp;"."&amp;K$5</f>
        <v/>
      </c>
      <c r="L940" s="38">
        <f>L895+L931</f>
        <v/>
      </c>
      <c r="M940" s="36">
        <f>M895+M931</f>
        <v/>
      </c>
      <c r="N940" s="36">
        <f>N895+N931</f>
        <v/>
      </c>
      <c r="O940" s="36">
        <f>O895+O931</f>
        <v/>
      </c>
      <c r="P940" s="36">
        <f>P895+P931</f>
        <v/>
      </c>
      <c r="Q940" s="36">
        <f>Q895+Q931</f>
        <v/>
      </c>
      <c r="R940" s="36">
        <f>R895+R931</f>
        <v/>
      </c>
      <c r="S940" s="36">
        <f>S895+S931</f>
        <v/>
      </c>
      <c r="T940" s="36">
        <f>T895+T931</f>
        <v/>
      </c>
      <c r="U940" s="36">
        <f>U895+U931</f>
        <v/>
      </c>
      <c r="V940" s="36">
        <f>V895+V931</f>
        <v/>
      </c>
      <c r="W940" s="36">
        <f>W895+W931</f>
        <v/>
      </c>
      <c r="X940" s="36">
        <f>X895+X931</f>
        <v/>
      </c>
      <c r="Y940" s="39">
        <f>POSTTAX(Y895,Y931)</f>
        <v/>
      </c>
      <c r="Z940" s="23">
        <f>LOWER(Settings!$C$4)&amp;".mit."&amp;$A940&amp;IF($C940="","","."&amp;$C940&amp;"."&amp;$B940)&amp;IF(INDEX(Variables!$D$5:$D$65,MATCH($A940,Variables!$A$5:$A$65,0))="","","."&amp;INDEX(Variables!$D$5:$D$65,MATCH($A940,Variables!$A$5:$A$65,0)))&amp;"."&amp;Z$5</f>
        <v/>
      </c>
      <c r="AA940" s="38">
        <f>AA895+AA931</f>
        <v/>
      </c>
      <c r="AB940" s="36">
        <f>AB895+AB931</f>
        <v/>
      </c>
      <c r="AC940" s="36">
        <f>AC895+AC931</f>
        <v/>
      </c>
      <c r="AD940" s="36">
        <f>AD895+AD931</f>
        <v/>
      </c>
      <c r="AE940" s="36">
        <f>AE895+AE931</f>
        <v/>
      </c>
      <c r="AF940" s="36">
        <f>AF895+AF931</f>
        <v/>
      </c>
      <c r="AG940" s="36">
        <f>AG895+AG931</f>
        <v/>
      </c>
      <c r="AH940" s="36">
        <f>AH895+AH931</f>
        <v/>
      </c>
      <c r="AI940" s="36">
        <f>AI895+AI931</f>
        <v/>
      </c>
      <c r="AJ940" s="36">
        <f>AJ895+AJ931</f>
        <v/>
      </c>
      <c r="AK940" s="36">
        <f>AK895+AK931</f>
        <v/>
      </c>
      <c r="AL940" s="36">
        <f>AL895+AL931</f>
        <v/>
      </c>
      <c r="AM940" s="36">
        <f>AM895+AM931</f>
        <v/>
      </c>
      <c r="AN940" s="39">
        <f>POSTTAX(AN895,AN931)</f>
        <v/>
      </c>
    </row>
    <row r="941" hidden="1" outlineLevel="2"/>
    <row r="942" hidden="1" outlineLevel="2">
      <c r="A942" s="5" t="inlineStr">
        <is>
          <t>shp</t>
        </is>
      </c>
      <c r="B942" s="5" t="inlineStr">
        <is>
          <t>coa</t>
        </is>
      </c>
      <c r="C942" s="5" t="inlineStr">
        <is>
          <t>mac</t>
        </is>
      </c>
      <c r="D942" s="36">
        <f>INDEX(Inputs!$M$5:$M$132,MATCH($B942&amp;"|"&amp;$C942,Inputs!$A$5:$A$132,0))</f>
        <v/>
      </c>
      <c r="E942" s="36">
        <f>INDEX(Inputs!$U$5:$U$132,MATCH($B942&amp;"|"&amp;$C942,Inputs!$A$5:$A$132,0))</f>
        <v/>
      </c>
      <c r="F942" s="36">
        <f>INDEX(Inputs!$K$5:$K$132,MATCH($B942&amp;"|"&amp;$C942,Inputs!$A$5:$A$132,0))</f>
        <v/>
      </c>
      <c r="G942" s="37" t="n"/>
      <c r="H942" s="5">
        <f>INDEX(Variables!$B$5:$B$65,MATCH($A942,Variables!$A$5:$A$65,0))&amp;IF($C942="",""," | "&amp;INDEX(Mapping!$B$5:$B$25,MATCH($C942,Mapping!$A$5:$A$25,0))&amp;" | "&amp;INDEX(Mapping!$B$29:$B$38,MATCH($B942,Mapping!$A$29:$A$38,0)))</f>
        <v/>
      </c>
      <c r="I942" s="5">
        <f>INDEX(Variables!$C$5:$C$65,MATCH($A942,Variables!$A$5:$A$65,0))</f>
        <v/>
      </c>
      <c r="J942" s="5">
        <f>INDEX(Variables!$E$5:$E$65,MATCH($A942,Variables!$A$5:$A$65,0))</f>
        <v/>
      </c>
      <c r="K942" s="23">
        <f>LOWER(Settings!$C$4)&amp;".mit."&amp;$A942&amp;IF($C942="","","."&amp;$C942&amp;"."&amp;$B942)&amp;IF(INDEX(Variables!$D$5:$D$65,MATCH($A942,Variables!$A$5:$A$65,0))="","","."&amp;INDEX(Variables!$D$5:$D$65,MATCH($A942,Variables!$A$5:$A$65,0)))&amp;"."&amp;K$5</f>
        <v/>
      </c>
      <c r="L942" s="38">
        <f>INDEX(L$124:L$127,$D942)*$E942*INDEX(L$128:L$144,$F942)</f>
        <v/>
      </c>
      <c r="M942" s="36">
        <f>INDEX(M$124:M$127,$D942)*$E942*INDEX(M$128:M$144,$F942)</f>
        <v/>
      </c>
      <c r="N942" s="36">
        <f>INDEX(N$124:N$127,$D942)*$E942*INDEX(N$128:N$144,$F942)</f>
        <v/>
      </c>
      <c r="O942" s="36">
        <f>INDEX(O$124:O$127,$D942)*$E942*INDEX(O$128:O$144,$F942)</f>
        <v/>
      </c>
      <c r="P942" s="36">
        <f>INDEX(P$124:P$127,$D942)*$E942*INDEX(P$128:P$144,$F942)</f>
        <v/>
      </c>
      <c r="Q942" s="36">
        <f>INDEX(Q$124:Q$127,$D942)*$E942*INDEX(Q$128:Q$144,$F942)</f>
        <v/>
      </c>
      <c r="R942" s="36">
        <f>INDEX(R$124:R$127,$D942)*$E942*INDEX(R$128:R$144,$F942)</f>
        <v/>
      </c>
      <c r="S942" s="36">
        <f>INDEX(S$124:S$127,$D942)*$E942*INDEX(S$128:S$144,$F942)</f>
        <v/>
      </c>
      <c r="T942" s="36">
        <f>INDEX(T$124:T$127,$D942)*$E942*INDEX(T$128:T$144,$F942)</f>
        <v/>
      </c>
      <c r="U942" s="36">
        <f>INDEX(U$124:U$127,$D942)*$E942*INDEX(U$128:U$144,$F942)</f>
        <v/>
      </c>
      <c r="V942" s="36">
        <f>INDEX(V$124:V$127,$D942)*$E942*INDEX(V$128:V$144,$F942)</f>
        <v/>
      </c>
      <c r="W942" s="36">
        <f>INDEX(W$124:W$127,$D942)*$E942*INDEX(W$128:W$144,$F942)</f>
        <v/>
      </c>
      <c r="X942" s="36">
        <f>INDEX(X$124:X$127,$D942)*$E942*INDEX(X$128:X$144,$F942)</f>
        <v/>
      </c>
      <c r="Y942" s="36">
        <f>INDEX(Y$124:Y$127,$D942)*$E942*INDEX(Y$128:Y$144,$F942)</f>
        <v/>
      </c>
      <c r="Z942" s="23">
        <f>LOWER(Settings!$C$4)&amp;".mit."&amp;$A942&amp;IF($C942="","","."&amp;$C942&amp;"."&amp;$B942)&amp;IF(INDEX(Variables!$D$5:$D$65,MATCH($A942,Variables!$A$5:$A$65,0))="","","."&amp;INDEX(Variables!$D$5:$D$65,MATCH($A942,Variables!$A$5:$A$65,0)))&amp;"."&amp;Z$5</f>
        <v/>
      </c>
      <c r="AA942" s="38">
        <f>INDEX(AA$124:AA$127,$D942)*$E942*INDEX(AA$128:AA$144,$F942)</f>
        <v/>
      </c>
      <c r="AB942" s="36">
        <f>INDEX(AB$124:AB$127,$D942)*$E942*INDEX(AB$128:AB$144,$F942)</f>
        <v/>
      </c>
      <c r="AC942" s="36">
        <f>INDEX(AC$124:AC$127,$D942)*$E942*INDEX(AC$128:AC$144,$F942)</f>
        <v/>
      </c>
      <c r="AD942" s="36">
        <f>INDEX(AD$124:AD$127,$D942)*$E942*INDEX(AD$128:AD$144,$F942)</f>
        <v/>
      </c>
      <c r="AE942" s="36">
        <f>INDEX(AE$124:AE$127,$D942)*$E942*INDEX(AE$128:AE$144,$F942)</f>
        <v/>
      </c>
      <c r="AF942" s="36">
        <f>INDEX(AF$124:AF$127,$D942)*$E942*INDEX(AF$128:AF$144,$F942)</f>
        <v/>
      </c>
      <c r="AG942" s="36">
        <f>INDEX(AG$124:AG$127,$D942)*$E942*INDEX(AG$128:AG$144,$F942)</f>
        <v/>
      </c>
      <c r="AH942" s="36">
        <f>INDEX(AH$124:AH$127,$D942)*$E942*INDEX(AH$128:AH$144,$F942)</f>
        <v/>
      </c>
      <c r="AI942" s="36">
        <f>INDEX(AI$124:AI$127,$D942)*$E942*INDEX(AI$128:AI$144,$F942)</f>
        <v/>
      </c>
      <c r="AJ942" s="36">
        <f>INDEX(AJ$124:AJ$127,$D942)*$E942*INDEX(AJ$128:AJ$144,$F942)</f>
        <v/>
      </c>
      <c r="AK942" s="36">
        <f>INDEX(AK$124:AK$127,$D942)*$E942*INDEX(AK$128:AK$144,$F942)</f>
        <v/>
      </c>
      <c r="AL942" s="36">
        <f>INDEX(AL$124:AL$127,$D942)*$E942*INDEX(AL$128:AL$144,$F942)</f>
        <v/>
      </c>
      <c r="AM942" s="36">
        <f>INDEX(AM$124:AM$127,$D942)*$E942*INDEX(AM$128:AM$144,$F942)</f>
        <v/>
      </c>
      <c r="AN942" s="36">
        <f>INDEX(AN$124:AN$127,$D942)*$E942*INDEX(AN$128:AN$144,$F942)</f>
        <v/>
      </c>
    </row>
    <row r="943" hidden="1" outlineLevel="2">
      <c r="A943" s="5" t="inlineStr">
        <is>
          <t>shp</t>
        </is>
      </c>
      <c r="B943" s="5" t="inlineStr">
        <is>
          <t>nga</t>
        </is>
      </c>
      <c r="C943" s="5" t="inlineStr">
        <is>
          <t>mac</t>
        </is>
      </c>
      <c r="D943" s="36">
        <f>INDEX(Inputs!$M$5:$M$132,MATCH($B943&amp;"|"&amp;$C943,Inputs!$A$5:$A$132,0))</f>
        <v/>
      </c>
      <c r="E943" s="36">
        <f>INDEX(Inputs!$U$5:$U$132,MATCH($B943&amp;"|"&amp;$C943,Inputs!$A$5:$A$132,0))</f>
        <v/>
      </c>
      <c r="F943" s="36">
        <f>INDEX(Inputs!$K$5:$K$132,MATCH($B943&amp;"|"&amp;$C943,Inputs!$A$5:$A$132,0))</f>
        <v/>
      </c>
      <c r="G943" s="37" t="n"/>
      <c r="H943" s="5">
        <f>INDEX(Variables!$B$5:$B$65,MATCH($A943,Variables!$A$5:$A$65,0))&amp;IF($C943="",""," | "&amp;INDEX(Mapping!$B$5:$B$25,MATCH($C943,Mapping!$A$5:$A$25,0))&amp;" | "&amp;INDEX(Mapping!$B$29:$B$38,MATCH($B943,Mapping!$A$29:$A$38,0)))</f>
        <v/>
      </c>
      <c r="I943" s="5">
        <f>INDEX(Variables!$C$5:$C$65,MATCH($A943,Variables!$A$5:$A$65,0))</f>
        <v/>
      </c>
      <c r="J943" s="5">
        <f>INDEX(Variables!$E$5:$E$65,MATCH($A943,Variables!$A$5:$A$65,0))</f>
        <v/>
      </c>
      <c r="K943" s="23">
        <f>LOWER(Settings!$C$4)&amp;".mit."&amp;$A943&amp;IF($C943="","","."&amp;$C943&amp;"."&amp;$B943)&amp;IF(INDEX(Variables!$D$5:$D$65,MATCH($A943,Variables!$A$5:$A$65,0))="","","."&amp;INDEX(Variables!$D$5:$D$65,MATCH($A943,Variables!$A$5:$A$65,0)))&amp;"."&amp;K$5</f>
        <v/>
      </c>
      <c r="L943" s="38">
        <f>INDEX(L$124:L$127,$D943)*$E943*INDEX(L$128:L$144,$F943)</f>
        <v/>
      </c>
      <c r="M943" s="36">
        <f>INDEX(M$124:M$127,$D943)*$E943*INDEX(M$128:M$144,$F943)</f>
        <v/>
      </c>
      <c r="N943" s="36">
        <f>INDEX(N$124:N$127,$D943)*$E943*INDEX(N$128:N$144,$F943)</f>
        <v/>
      </c>
      <c r="O943" s="36">
        <f>INDEX(O$124:O$127,$D943)*$E943*INDEX(O$128:O$144,$F943)</f>
        <v/>
      </c>
      <c r="P943" s="36">
        <f>INDEX(P$124:P$127,$D943)*$E943*INDEX(P$128:P$144,$F943)</f>
        <v/>
      </c>
      <c r="Q943" s="36">
        <f>INDEX(Q$124:Q$127,$D943)*$E943*INDEX(Q$128:Q$144,$F943)</f>
        <v/>
      </c>
      <c r="R943" s="36">
        <f>INDEX(R$124:R$127,$D943)*$E943*INDEX(R$128:R$144,$F943)</f>
        <v/>
      </c>
      <c r="S943" s="36">
        <f>INDEX(S$124:S$127,$D943)*$E943*INDEX(S$128:S$144,$F943)</f>
        <v/>
      </c>
      <c r="T943" s="36">
        <f>INDEX(T$124:T$127,$D943)*$E943*INDEX(T$128:T$144,$F943)</f>
        <v/>
      </c>
      <c r="U943" s="36">
        <f>INDEX(U$124:U$127,$D943)*$E943*INDEX(U$128:U$144,$F943)</f>
        <v/>
      </c>
      <c r="V943" s="36">
        <f>INDEX(V$124:V$127,$D943)*$E943*INDEX(V$128:V$144,$F943)</f>
        <v/>
      </c>
      <c r="W943" s="36">
        <f>INDEX(W$124:W$127,$D943)*$E943*INDEX(W$128:W$144,$F943)</f>
        <v/>
      </c>
      <c r="X943" s="36">
        <f>INDEX(X$124:X$127,$D943)*$E943*INDEX(X$128:X$144,$F943)</f>
        <v/>
      </c>
      <c r="Y943" s="36">
        <f>INDEX(Y$124:Y$127,$D943)*$E943*INDEX(Y$128:Y$144,$F943)</f>
        <v/>
      </c>
      <c r="Z943" s="23">
        <f>LOWER(Settings!$C$4)&amp;".mit."&amp;$A943&amp;IF($C943="","","."&amp;$C943&amp;"."&amp;$B943)&amp;IF(INDEX(Variables!$D$5:$D$65,MATCH($A943,Variables!$A$5:$A$65,0))="","","."&amp;INDEX(Variables!$D$5:$D$65,MATCH($A943,Variables!$A$5:$A$65,0)))&amp;"."&amp;Z$5</f>
        <v/>
      </c>
      <c r="AA943" s="38">
        <f>INDEX(AA$124:AA$127,$D943)*$E943*INDEX(AA$128:AA$144,$F943)</f>
        <v/>
      </c>
      <c r="AB943" s="36">
        <f>INDEX(AB$124:AB$127,$D943)*$E943*INDEX(AB$128:AB$144,$F943)</f>
        <v/>
      </c>
      <c r="AC943" s="36">
        <f>INDEX(AC$124:AC$127,$D943)*$E943*INDEX(AC$128:AC$144,$F943)</f>
        <v/>
      </c>
      <c r="AD943" s="36">
        <f>INDEX(AD$124:AD$127,$D943)*$E943*INDEX(AD$128:AD$144,$F943)</f>
        <v/>
      </c>
      <c r="AE943" s="36">
        <f>INDEX(AE$124:AE$127,$D943)*$E943*INDEX(AE$128:AE$144,$F943)</f>
        <v/>
      </c>
      <c r="AF943" s="36">
        <f>INDEX(AF$124:AF$127,$D943)*$E943*INDEX(AF$128:AF$144,$F943)</f>
        <v/>
      </c>
      <c r="AG943" s="36">
        <f>INDEX(AG$124:AG$127,$D943)*$E943*INDEX(AG$128:AG$144,$F943)</f>
        <v/>
      </c>
      <c r="AH943" s="36">
        <f>INDEX(AH$124:AH$127,$D943)*$E943*INDEX(AH$128:AH$144,$F943)</f>
        <v/>
      </c>
      <c r="AI943" s="36">
        <f>INDEX(AI$124:AI$127,$D943)*$E943*INDEX(AI$128:AI$144,$F943)</f>
        <v/>
      </c>
      <c r="AJ943" s="36">
        <f>INDEX(AJ$124:AJ$127,$D943)*$E943*INDEX(AJ$128:AJ$144,$F943)</f>
        <v/>
      </c>
      <c r="AK943" s="36">
        <f>INDEX(AK$124:AK$127,$D943)*$E943*INDEX(AK$128:AK$144,$F943)</f>
        <v/>
      </c>
      <c r="AL943" s="36">
        <f>INDEX(AL$124:AL$127,$D943)*$E943*INDEX(AL$128:AL$144,$F943)</f>
        <v/>
      </c>
      <c r="AM943" s="36">
        <f>INDEX(AM$124:AM$127,$D943)*$E943*INDEX(AM$128:AM$144,$F943)</f>
        <v/>
      </c>
      <c r="AN943" s="36">
        <f>INDEX(AN$124:AN$127,$D943)*$E943*INDEX(AN$128:AN$144,$F943)</f>
        <v/>
      </c>
    </row>
    <row r="944" hidden="1" outlineLevel="2">
      <c r="A944" s="5" t="inlineStr">
        <is>
          <t>shp</t>
        </is>
      </c>
      <c r="B944" s="5" t="inlineStr">
        <is>
          <t>gso</t>
        </is>
      </c>
      <c r="C944" s="5" t="inlineStr">
        <is>
          <t>mac</t>
        </is>
      </c>
      <c r="D944" s="36">
        <f>INDEX(Inputs!$M$5:$M$132,MATCH($B944&amp;"|"&amp;$C944,Inputs!$A$5:$A$132,0))</f>
        <v/>
      </c>
      <c r="E944" s="36">
        <f>INDEX(Inputs!$U$5:$U$132,MATCH($B944&amp;"|"&amp;$C944,Inputs!$A$5:$A$132,0))</f>
        <v/>
      </c>
      <c r="F944" s="36">
        <f>INDEX(Inputs!$K$5:$K$132,MATCH($B944&amp;"|"&amp;$C944,Inputs!$A$5:$A$132,0))</f>
        <v/>
      </c>
      <c r="G944" s="37" t="n"/>
      <c r="H944" s="5">
        <f>INDEX(Variables!$B$5:$B$65,MATCH($A944,Variables!$A$5:$A$65,0))&amp;IF($C944="",""," | "&amp;INDEX(Mapping!$B$5:$B$25,MATCH($C944,Mapping!$A$5:$A$25,0))&amp;" | "&amp;INDEX(Mapping!$B$29:$B$38,MATCH($B944,Mapping!$A$29:$A$38,0)))</f>
        <v/>
      </c>
      <c r="I944" s="5">
        <f>INDEX(Variables!$C$5:$C$65,MATCH($A944,Variables!$A$5:$A$65,0))</f>
        <v/>
      </c>
      <c r="J944" s="5">
        <f>INDEX(Variables!$E$5:$E$65,MATCH($A944,Variables!$A$5:$A$65,0))</f>
        <v/>
      </c>
      <c r="K944" s="23">
        <f>LOWER(Settings!$C$4)&amp;".mit."&amp;$A944&amp;IF($C944="","","."&amp;$C944&amp;"."&amp;$B944)&amp;IF(INDEX(Variables!$D$5:$D$65,MATCH($A944,Variables!$A$5:$A$65,0))="","","."&amp;INDEX(Variables!$D$5:$D$65,MATCH($A944,Variables!$A$5:$A$65,0)))&amp;"."&amp;K$5</f>
        <v/>
      </c>
      <c r="L944" s="38">
        <f>INDEX(L$124:L$127,$D944)*$E944*INDEX(L$128:L$144,$F944)</f>
        <v/>
      </c>
      <c r="M944" s="36">
        <f>INDEX(M$124:M$127,$D944)*$E944*INDEX(M$128:M$144,$F944)</f>
        <v/>
      </c>
      <c r="N944" s="36">
        <f>INDEX(N$124:N$127,$D944)*$E944*INDEX(N$128:N$144,$F944)</f>
        <v/>
      </c>
      <c r="O944" s="36">
        <f>INDEX(O$124:O$127,$D944)*$E944*INDEX(O$128:O$144,$F944)</f>
        <v/>
      </c>
      <c r="P944" s="36">
        <f>INDEX(P$124:P$127,$D944)*$E944*INDEX(P$128:P$144,$F944)</f>
        <v/>
      </c>
      <c r="Q944" s="36">
        <f>INDEX(Q$124:Q$127,$D944)*$E944*INDEX(Q$128:Q$144,$F944)</f>
        <v/>
      </c>
      <c r="R944" s="36">
        <f>INDEX(R$124:R$127,$D944)*$E944*INDEX(R$128:R$144,$F944)</f>
        <v/>
      </c>
      <c r="S944" s="36">
        <f>INDEX(S$124:S$127,$D944)*$E944*INDEX(S$128:S$144,$F944)</f>
        <v/>
      </c>
      <c r="T944" s="36">
        <f>INDEX(T$124:T$127,$D944)*$E944*INDEX(T$128:T$144,$F944)</f>
        <v/>
      </c>
      <c r="U944" s="36">
        <f>INDEX(U$124:U$127,$D944)*$E944*INDEX(U$128:U$144,$F944)</f>
        <v/>
      </c>
      <c r="V944" s="36">
        <f>INDEX(V$124:V$127,$D944)*$E944*INDEX(V$128:V$144,$F944)</f>
        <v/>
      </c>
      <c r="W944" s="36">
        <f>INDEX(W$124:W$127,$D944)*$E944*INDEX(W$128:W$144,$F944)</f>
        <v/>
      </c>
      <c r="X944" s="36">
        <f>INDEX(X$124:X$127,$D944)*$E944*INDEX(X$128:X$144,$F944)</f>
        <v/>
      </c>
      <c r="Y944" s="36">
        <f>INDEX(Y$124:Y$127,$D944)*$E944*INDEX(Y$128:Y$144,$F944)</f>
        <v/>
      </c>
      <c r="Z944" s="23">
        <f>LOWER(Settings!$C$4)&amp;".mit."&amp;$A944&amp;IF($C944="","","."&amp;$C944&amp;"."&amp;$B944)&amp;IF(INDEX(Variables!$D$5:$D$65,MATCH($A944,Variables!$A$5:$A$65,0))="","","."&amp;INDEX(Variables!$D$5:$D$65,MATCH($A944,Variables!$A$5:$A$65,0)))&amp;"."&amp;Z$5</f>
        <v/>
      </c>
      <c r="AA944" s="38">
        <f>INDEX(AA$124:AA$127,$D944)*$E944*INDEX(AA$128:AA$144,$F944)</f>
        <v/>
      </c>
      <c r="AB944" s="36">
        <f>INDEX(AB$124:AB$127,$D944)*$E944*INDEX(AB$128:AB$144,$F944)</f>
        <v/>
      </c>
      <c r="AC944" s="36">
        <f>INDEX(AC$124:AC$127,$D944)*$E944*INDEX(AC$128:AC$144,$F944)</f>
        <v/>
      </c>
      <c r="AD944" s="36">
        <f>INDEX(AD$124:AD$127,$D944)*$E944*INDEX(AD$128:AD$144,$F944)</f>
        <v/>
      </c>
      <c r="AE944" s="36">
        <f>INDEX(AE$124:AE$127,$D944)*$E944*INDEX(AE$128:AE$144,$F944)</f>
        <v/>
      </c>
      <c r="AF944" s="36">
        <f>INDEX(AF$124:AF$127,$D944)*$E944*INDEX(AF$128:AF$144,$F944)</f>
        <v/>
      </c>
      <c r="AG944" s="36">
        <f>INDEX(AG$124:AG$127,$D944)*$E944*INDEX(AG$128:AG$144,$F944)</f>
        <v/>
      </c>
      <c r="AH944" s="36">
        <f>INDEX(AH$124:AH$127,$D944)*$E944*INDEX(AH$128:AH$144,$F944)</f>
        <v/>
      </c>
      <c r="AI944" s="36">
        <f>INDEX(AI$124:AI$127,$D944)*$E944*INDEX(AI$128:AI$144,$F944)</f>
        <v/>
      </c>
      <c r="AJ944" s="36">
        <f>INDEX(AJ$124:AJ$127,$D944)*$E944*INDEX(AJ$128:AJ$144,$F944)</f>
        <v/>
      </c>
      <c r="AK944" s="36">
        <f>INDEX(AK$124:AK$127,$D944)*$E944*INDEX(AK$128:AK$144,$F944)</f>
        <v/>
      </c>
      <c r="AL944" s="36">
        <f>INDEX(AL$124:AL$127,$D944)*$E944*INDEX(AL$128:AL$144,$F944)</f>
        <v/>
      </c>
      <c r="AM944" s="36">
        <f>INDEX(AM$124:AM$127,$D944)*$E944*INDEX(AM$128:AM$144,$F944)</f>
        <v/>
      </c>
      <c r="AN944" s="36">
        <f>INDEX(AN$124:AN$127,$D944)*$E944*INDEX(AN$128:AN$144,$F944)</f>
        <v/>
      </c>
    </row>
    <row r="945" hidden="1" outlineLevel="2">
      <c r="A945" s="5" t="inlineStr">
        <is>
          <t>shp</t>
        </is>
      </c>
      <c r="B945" s="5" t="inlineStr">
        <is>
          <t>die</t>
        </is>
      </c>
      <c r="C945" s="5" t="inlineStr">
        <is>
          <t>mac</t>
        </is>
      </c>
      <c r="D945" s="36">
        <f>INDEX(Inputs!$M$5:$M$132,MATCH($B945&amp;"|"&amp;$C945,Inputs!$A$5:$A$132,0))</f>
        <v/>
      </c>
      <c r="E945" s="36">
        <f>INDEX(Inputs!$U$5:$U$132,MATCH($B945&amp;"|"&amp;$C945,Inputs!$A$5:$A$132,0))</f>
        <v/>
      </c>
      <c r="F945" s="36">
        <f>INDEX(Inputs!$K$5:$K$132,MATCH($B945&amp;"|"&amp;$C945,Inputs!$A$5:$A$132,0))</f>
        <v/>
      </c>
      <c r="G945" s="37" t="n"/>
      <c r="H945" s="5">
        <f>INDEX(Variables!$B$5:$B$65,MATCH($A945,Variables!$A$5:$A$65,0))&amp;IF($C945="",""," | "&amp;INDEX(Mapping!$B$5:$B$25,MATCH($C945,Mapping!$A$5:$A$25,0))&amp;" | "&amp;INDEX(Mapping!$B$29:$B$38,MATCH($B945,Mapping!$A$29:$A$38,0)))</f>
        <v/>
      </c>
      <c r="I945" s="5">
        <f>INDEX(Variables!$C$5:$C$65,MATCH($A945,Variables!$A$5:$A$65,0))</f>
        <v/>
      </c>
      <c r="J945" s="5">
        <f>INDEX(Variables!$E$5:$E$65,MATCH($A945,Variables!$A$5:$A$65,0))</f>
        <v/>
      </c>
      <c r="K945" s="23">
        <f>LOWER(Settings!$C$4)&amp;".mit."&amp;$A945&amp;IF($C945="","","."&amp;$C945&amp;"."&amp;$B945)&amp;IF(INDEX(Variables!$D$5:$D$65,MATCH($A945,Variables!$A$5:$A$65,0))="","","."&amp;INDEX(Variables!$D$5:$D$65,MATCH($A945,Variables!$A$5:$A$65,0)))&amp;"."&amp;K$5</f>
        <v/>
      </c>
      <c r="L945" s="38">
        <f>INDEX(L$124:L$127,$D945)*$E945*INDEX(L$128:L$144,$F945)</f>
        <v/>
      </c>
      <c r="M945" s="36">
        <f>INDEX(M$124:M$127,$D945)*$E945*INDEX(M$128:M$144,$F945)</f>
        <v/>
      </c>
      <c r="N945" s="36">
        <f>INDEX(N$124:N$127,$D945)*$E945*INDEX(N$128:N$144,$F945)</f>
        <v/>
      </c>
      <c r="O945" s="36">
        <f>INDEX(O$124:O$127,$D945)*$E945*INDEX(O$128:O$144,$F945)</f>
        <v/>
      </c>
      <c r="P945" s="36">
        <f>INDEX(P$124:P$127,$D945)*$E945*INDEX(P$128:P$144,$F945)</f>
        <v/>
      </c>
      <c r="Q945" s="36">
        <f>INDEX(Q$124:Q$127,$D945)*$E945*INDEX(Q$128:Q$144,$F945)</f>
        <v/>
      </c>
      <c r="R945" s="36">
        <f>INDEX(R$124:R$127,$D945)*$E945*INDEX(R$128:R$144,$F945)</f>
        <v/>
      </c>
      <c r="S945" s="36">
        <f>INDEX(S$124:S$127,$D945)*$E945*INDEX(S$128:S$144,$F945)</f>
        <v/>
      </c>
      <c r="T945" s="36">
        <f>INDEX(T$124:T$127,$D945)*$E945*INDEX(T$128:T$144,$F945)</f>
        <v/>
      </c>
      <c r="U945" s="36">
        <f>INDEX(U$124:U$127,$D945)*$E945*INDEX(U$128:U$144,$F945)</f>
        <v/>
      </c>
      <c r="V945" s="36">
        <f>INDEX(V$124:V$127,$D945)*$E945*INDEX(V$128:V$144,$F945)</f>
        <v/>
      </c>
      <c r="W945" s="36">
        <f>INDEX(W$124:W$127,$D945)*$E945*INDEX(W$128:W$144,$F945)</f>
        <v/>
      </c>
      <c r="X945" s="36">
        <f>INDEX(X$124:X$127,$D945)*$E945*INDEX(X$128:X$144,$F945)</f>
        <v/>
      </c>
      <c r="Y945" s="36">
        <f>INDEX(Y$124:Y$127,$D945)*$E945*INDEX(Y$128:Y$144,$F945)</f>
        <v/>
      </c>
      <c r="Z945" s="23">
        <f>LOWER(Settings!$C$4)&amp;".mit."&amp;$A945&amp;IF($C945="","","."&amp;$C945&amp;"."&amp;$B945)&amp;IF(INDEX(Variables!$D$5:$D$65,MATCH($A945,Variables!$A$5:$A$65,0))="","","."&amp;INDEX(Variables!$D$5:$D$65,MATCH($A945,Variables!$A$5:$A$65,0)))&amp;"."&amp;Z$5</f>
        <v/>
      </c>
      <c r="AA945" s="38">
        <f>INDEX(AA$124:AA$127,$D945)*$E945*INDEX(AA$128:AA$144,$F945)</f>
        <v/>
      </c>
      <c r="AB945" s="36">
        <f>INDEX(AB$124:AB$127,$D945)*$E945*INDEX(AB$128:AB$144,$F945)</f>
        <v/>
      </c>
      <c r="AC945" s="36">
        <f>INDEX(AC$124:AC$127,$D945)*$E945*INDEX(AC$128:AC$144,$F945)</f>
        <v/>
      </c>
      <c r="AD945" s="36">
        <f>INDEX(AD$124:AD$127,$D945)*$E945*INDEX(AD$128:AD$144,$F945)</f>
        <v/>
      </c>
      <c r="AE945" s="36">
        <f>INDEX(AE$124:AE$127,$D945)*$E945*INDEX(AE$128:AE$144,$F945)</f>
        <v/>
      </c>
      <c r="AF945" s="36">
        <f>INDEX(AF$124:AF$127,$D945)*$E945*INDEX(AF$128:AF$144,$F945)</f>
        <v/>
      </c>
      <c r="AG945" s="36">
        <f>INDEX(AG$124:AG$127,$D945)*$E945*INDEX(AG$128:AG$144,$F945)</f>
        <v/>
      </c>
      <c r="AH945" s="36">
        <f>INDEX(AH$124:AH$127,$D945)*$E945*INDEX(AH$128:AH$144,$F945)</f>
        <v/>
      </c>
      <c r="AI945" s="36">
        <f>INDEX(AI$124:AI$127,$D945)*$E945*INDEX(AI$128:AI$144,$F945)</f>
        <v/>
      </c>
      <c r="AJ945" s="36">
        <f>INDEX(AJ$124:AJ$127,$D945)*$E945*INDEX(AJ$128:AJ$144,$F945)</f>
        <v/>
      </c>
      <c r="AK945" s="36">
        <f>INDEX(AK$124:AK$127,$D945)*$E945*INDEX(AK$128:AK$144,$F945)</f>
        <v/>
      </c>
      <c r="AL945" s="36">
        <f>INDEX(AL$124:AL$127,$D945)*$E945*INDEX(AL$128:AL$144,$F945)</f>
        <v/>
      </c>
      <c r="AM945" s="36">
        <f>INDEX(AM$124:AM$127,$D945)*$E945*INDEX(AM$128:AM$144,$F945)</f>
        <v/>
      </c>
      <c r="AN945" s="36">
        <f>INDEX(AN$124:AN$127,$D945)*$E945*INDEX(AN$128:AN$144,$F945)</f>
        <v/>
      </c>
    </row>
    <row r="946" hidden="1" outlineLevel="2">
      <c r="A946" s="5" t="inlineStr">
        <is>
          <t>shp</t>
        </is>
      </c>
      <c r="B946" s="5" t="inlineStr">
        <is>
          <t>lpg</t>
        </is>
      </c>
      <c r="C946" s="5" t="inlineStr">
        <is>
          <t>mac</t>
        </is>
      </c>
      <c r="D946" s="36">
        <f>INDEX(Inputs!$M$5:$M$132,MATCH($B946&amp;"|"&amp;$C946,Inputs!$A$5:$A$132,0))</f>
        <v/>
      </c>
      <c r="E946" s="36">
        <f>INDEX(Inputs!$U$5:$U$132,MATCH($B946&amp;"|"&amp;$C946,Inputs!$A$5:$A$132,0))</f>
        <v/>
      </c>
      <c r="F946" s="36">
        <f>INDEX(Inputs!$K$5:$K$132,MATCH($B946&amp;"|"&amp;$C946,Inputs!$A$5:$A$132,0))</f>
        <v/>
      </c>
      <c r="G946" s="37" t="n"/>
      <c r="H946" s="5">
        <f>INDEX(Variables!$B$5:$B$65,MATCH($A946,Variables!$A$5:$A$65,0))&amp;IF($C946="",""," | "&amp;INDEX(Mapping!$B$5:$B$25,MATCH($C946,Mapping!$A$5:$A$25,0))&amp;" | "&amp;INDEX(Mapping!$B$29:$B$38,MATCH($B946,Mapping!$A$29:$A$38,0)))</f>
        <v/>
      </c>
      <c r="I946" s="5">
        <f>INDEX(Variables!$C$5:$C$65,MATCH($A946,Variables!$A$5:$A$65,0))</f>
        <v/>
      </c>
      <c r="J946" s="5">
        <f>INDEX(Variables!$E$5:$E$65,MATCH($A946,Variables!$A$5:$A$65,0))</f>
        <v/>
      </c>
      <c r="K946" s="23">
        <f>LOWER(Settings!$C$4)&amp;".mit."&amp;$A946&amp;IF($C946="","","."&amp;$C946&amp;"."&amp;$B946)&amp;IF(INDEX(Variables!$D$5:$D$65,MATCH($A946,Variables!$A$5:$A$65,0))="","","."&amp;INDEX(Variables!$D$5:$D$65,MATCH($A946,Variables!$A$5:$A$65,0)))&amp;"."&amp;K$5</f>
        <v/>
      </c>
      <c r="L946" s="38">
        <f>INDEX(L$124:L$127,$D946)*$E946*INDEX(L$128:L$144,$F946)</f>
        <v/>
      </c>
      <c r="M946" s="36">
        <f>INDEX(M$124:M$127,$D946)*$E946*INDEX(M$128:M$144,$F946)</f>
        <v/>
      </c>
      <c r="N946" s="36">
        <f>INDEX(N$124:N$127,$D946)*$E946*INDEX(N$128:N$144,$F946)</f>
        <v/>
      </c>
      <c r="O946" s="36">
        <f>INDEX(O$124:O$127,$D946)*$E946*INDEX(O$128:O$144,$F946)</f>
        <v/>
      </c>
      <c r="P946" s="36">
        <f>INDEX(P$124:P$127,$D946)*$E946*INDEX(P$128:P$144,$F946)</f>
        <v/>
      </c>
      <c r="Q946" s="36">
        <f>INDEX(Q$124:Q$127,$D946)*$E946*INDEX(Q$128:Q$144,$F946)</f>
        <v/>
      </c>
      <c r="R946" s="36">
        <f>INDEX(R$124:R$127,$D946)*$E946*INDEX(R$128:R$144,$F946)</f>
        <v/>
      </c>
      <c r="S946" s="36">
        <f>INDEX(S$124:S$127,$D946)*$E946*INDEX(S$128:S$144,$F946)</f>
        <v/>
      </c>
      <c r="T946" s="36">
        <f>INDEX(T$124:T$127,$D946)*$E946*INDEX(T$128:T$144,$F946)</f>
        <v/>
      </c>
      <c r="U946" s="36">
        <f>INDEX(U$124:U$127,$D946)*$E946*INDEX(U$128:U$144,$F946)</f>
        <v/>
      </c>
      <c r="V946" s="36">
        <f>INDEX(V$124:V$127,$D946)*$E946*INDEX(V$128:V$144,$F946)</f>
        <v/>
      </c>
      <c r="W946" s="36">
        <f>INDEX(W$124:W$127,$D946)*$E946*INDEX(W$128:W$144,$F946)</f>
        <v/>
      </c>
      <c r="X946" s="36">
        <f>INDEX(X$124:X$127,$D946)*$E946*INDEX(X$128:X$144,$F946)</f>
        <v/>
      </c>
      <c r="Y946" s="36">
        <f>INDEX(Y$124:Y$127,$D946)*$E946*INDEX(Y$128:Y$144,$F946)</f>
        <v/>
      </c>
      <c r="Z946" s="23">
        <f>LOWER(Settings!$C$4)&amp;".mit."&amp;$A946&amp;IF($C946="","","."&amp;$C946&amp;"."&amp;$B946)&amp;IF(INDEX(Variables!$D$5:$D$65,MATCH($A946,Variables!$A$5:$A$65,0))="","","."&amp;INDEX(Variables!$D$5:$D$65,MATCH($A946,Variables!$A$5:$A$65,0)))&amp;"."&amp;Z$5</f>
        <v/>
      </c>
      <c r="AA946" s="38">
        <f>INDEX(AA$124:AA$127,$D946)*$E946*INDEX(AA$128:AA$144,$F946)</f>
        <v/>
      </c>
      <c r="AB946" s="36">
        <f>INDEX(AB$124:AB$127,$D946)*$E946*INDEX(AB$128:AB$144,$F946)</f>
        <v/>
      </c>
      <c r="AC946" s="36">
        <f>INDEX(AC$124:AC$127,$D946)*$E946*INDEX(AC$128:AC$144,$F946)</f>
        <v/>
      </c>
      <c r="AD946" s="36">
        <f>INDEX(AD$124:AD$127,$D946)*$E946*INDEX(AD$128:AD$144,$F946)</f>
        <v/>
      </c>
      <c r="AE946" s="36">
        <f>INDEX(AE$124:AE$127,$D946)*$E946*INDEX(AE$128:AE$144,$F946)</f>
        <v/>
      </c>
      <c r="AF946" s="36">
        <f>INDEX(AF$124:AF$127,$D946)*$E946*INDEX(AF$128:AF$144,$F946)</f>
        <v/>
      </c>
      <c r="AG946" s="36">
        <f>INDEX(AG$124:AG$127,$D946)*$E946*INDEX(AG$128:AG$144,$F946)</f>
        <v/>
      </c>
      <c r="AH946" s="36">
        <f>INDEX(AH$124:AH$127,$D946)*$E946*INDEX(AH$128:AH$144,$F946)</f>
        <v/>
      </c>
      <c r="AI946" s="36">
        <f>INDEX(AI$124:AI$127,$D946)*$E946*INDEX(AI$128:AI$144,$F946)</f>
        <v/>
      </c>
      <c r="AJ946" s="36">
        <f>INDEX(AJ$124:AJ$127,$D946)*$E946*INDEX(AJ$128:AJ$144,$F946)</f>
        <v/>
      </c>
      <c r="AK946" s="36">
        <f>INDEX(AK$124:AK$127,$D946)*$E946*INDEX(AK$128:AK$144,$F946)</f>
        <v/>
      </c>
      <c r="AL946" s="36">
        <f>INDEX(AL$124:AL$127,$D946)*$E946*INDEX(AL$128:AL$144,$F946)</f>
        <v/>
      </c>
      <c r="AM946" s="36">
        <f>INDEX(AM$124:AM$127,$D946)*$E946*INDEX(AM$128:AM$144,$F946)</f>
        <v/>
      </c>
      <c r="AN946" s="36">
        <f>INDEX(AN$124:AN$127,$D946)*$E946*INDEX(AN$128:AN$144,$F946)</f>
        <v/>
      </c>
    </row>
    <row r="947" hidden="1" outlineLevel="2">
      <c r="A947" s="5" t="inlineStr">
        <is>
          <t>shp</t>
        </is>
      </c>
      <c r="B947" s="5" t="inlineStr">
        <is>
          <t>ker</t>
        </is>
      </c>
      <c r="C947" s="5" t="inlineStr">
        <is>
          <t>mac</t>
        </is>
      </c>
      <c r="D947" s="36">
        <f>INDEX(Inputs!$M$5:$M$132,MATCH($B947&amp;"|"&amp;$C947,Inputs!$A$5:$A$132,0))</f>
        <v/>
      </c>
      <c r="E947" s="36">
        <f>INDEX(Inputs!$U$5:$U$132,MATCH($B947&amp;"|"&amp;$C947,Inputs!$A$5:$A$132,0))</f>
        <v/>
      </c>
      <c r="F947" s="36">
        <f>INDEX(Inputs!$K$5:$K$132,MATCH($B947&amp;"|"&amp;$C947,Inputs!$A$5:$A$132,0))</f>
        <v/>
      </c>
      <c r="G947" s="37" t="n"/>
      <c r="H947" s="5">
        <f>INDEX(Variables!$B$5:$B$65,MATCH($A947,Variables!$A$5:$A$65,0))&amp;IF($C947="",""," | "&amp;INDEX(Mapping!$B$5:$B$25,MATCH($C947,Mapping!$A$5:$A$25,0))&amp;" | "&amp;INDEX(Mapping!$B$29:$B$38,MATCH($B947,Mapping!$A$29:$A$38,0)))</f>
        <v/>
      </c>
      <c r="I947" s="5">
        <f>INDEX(Variables!$C$5:$C$65,MATCH($A947,Variables!$A$5:$A$65,0))</f>
        <v/>
      </c>
      <c r="J947" s="5">
        <f>INDEX(Variables!$E$5:$E$65,MATCH($A947,Variables!$A$5:$A$65,0))</f>
        <v/>
      </c>
      <c r="K947" s="23">
        <f>LOWER(Settings!$C$4)&amp;".mit."&amp;$A947&amp;IF($C947="","","."&amp;$C947&amp;"."&amp;$B947)&amp;IF(INDEX(Variables!$D$5:$D$65,MATCH($A947,Variables!$A$5:$A$65,0))="","","."&amp;INDEX(Variables!$D$5:$D$65,MATCH($A947,Variables!$A$5:$A$65,0)))&amp;"."&amp;K$5</f>
        <v/>
      </c>
      <c r="L947" s="38">
        <f>INDEX(L$124:L$127,$D947)*$E947*INDEX(L$128:L$144,$F947)</f>
        <v/>
      </c>
      <c r="M947" s="36">
        <f>INDEX(M$124:M$127,$D947)*$E947*INDEX(M$128:M$144,$F947)</f>
        <v/>
      </c>
      <c r="N947" s="36">
        <f>INDEX(N$124:N$127,$D947)*$E947*INDEX(N$128:N$144,$F947)</f>
        <v/>
      </c>
      <c r="O947" s="36">
        <f>INDEX(O$124:O$127,$D947)*$E947*INDEX(O$128:O$144,$F947)</f>
        <v/>
      </c>
      <c r="P947" s="36">
        <f>INDEX(P$124:P$127,$D947)*$E947*INDEX(P$128:P$144,$F947)</f>
        <v/>
      </c>
      <c r="Q947" s="36">
        <f>INDEX(Q$124:Q$127,$D947)*$E947*INDEX(Q$128:Q$144,$F947)</f>
        <v/>
      </c>
      <c r="R947" s="36">
        <f>INDEX(R$124:R$127,$D947)*$E947*INDEX(R$128:R$144,$F947)</f>
        <v/>
      </c>
      <c r="S947" s="36">
        <f>INDEX(S$124:S$127,$D947)*$E947*INDEX(S$128:S$144,$F947)</f>
        <v/>
      </c>
      <c r="T947" s="36">
        <f>INDEX(T$124:T$127,$D947)*$E947*INDEX(T$128:T$144,$F947)</f>
        <v/>
      </c>
      <c r="U947" s="36">
        <f>INDEX(U$124:U$127,$D947)*$E947*INDEX(U$128:U$144,$F947)</f>
        <v/>
      </c>
      <c r="V947" s="36">
        <f>INDEX(V$124:V$127,$D947)*$E947*INDEX(V$128:V$144,$F947)</f>
        <v/>
      </c>
      <c r="W947" s="36">
        <f>INDEX(W$124:W$127,$D947)*$E947*INDEX(W$128:W$144,$F947)</f>
        <v/>
      </c>
      <c r="X947" s="36">
        <f>INDEX(X$124:X$127,$D947)*$E947*INDEX(X$128:X$144,$F947)</f>
        <v/>
      </c>
      <c r="Y947" s="36">
        <f>INDEX(Y$124:Y$127,$D947)*$E947*INDEX(Y$128:Y$144,$F947)</f>
        <v/>
      </c>
      <c r="Z947" s="23">
        <f>LOWER(Settings!$C$4)&amp;".mit."&amp;$A947&amp;IF($C947="","","."&amp;$C947&amp;"."&amp;$B947)&amp;IF(INDEX(Variables!$D$5:$D$65,MATCH($A947,Variables!$A$5:$A$65,0))="","","."&amp;INDEX(Variables!$D$5:$D$65,MATCH($A947,Variables!$A$5:$A$65,0)))&amp;"."&amp;Z$5</f>
        <v/>
      </c>
      <c r="AA947" s="38">
        <f>INDEX(AA$124:AA$127,$D947)*$E947*INDEX(AA$128:AA$144,$F947)</f>
        <v/>
      </c>
      <c r="AB947" s="36">
        <f>INDEX(AB$124:AB$127,$D947)*$E947*INDEX(AB$128:AB$144,$F947)</f>
        <v/>
      </c>
      <c r="AC947" s="36">
        <f>INDEX(AC$124:AC$127,$D947)*$E947*INDEX(AC$128:AC$144,$F947)</f>
        <v/>
      </c>
      <c r="AD947" s="36">
        <f>INDEX(AD$124:AD$127,$D947)*$E947*INDEX(AD$128:AD$144,$F947)</f>
        <v/>
      </c>
      <c r="AE947" s="36">
        <f>INDEX(AE$124:AE$127,$D947)*$E947*INDEX(AE$128:AE$144,$F947)</f>
        <v/>
      </c>
      <c r="AF947" s="36">
        <f>INDEX(AF$124:AF$127,$D947)*$E947*INDEX(AF$128:AF$144,$F947)</f>
        <v/>
      </c>
      <c r="AG947" s="36">
        <f>INDEX(AG$124:AG$127,$D947)*$E947*INDEX(AG$128:AG$144,$F947)</f>
        <v/>
      </c>
      <c r="AH947" s="36">
        <f>INDEX(AH$124:AH$127,$D947)*$E947*INDEX(AH$128:AH$144,$F947)</f>
        <v/>
      </c>
      <c r="AI947" s="36">
        <f>INDEX(AI$124:AI$127,$D947)*$E947*INDEX(AI$128:AI$144,$F947)</f>
        <v/>
      </c>
      <c r="AJ947" s="36">
        <f>INDEX(AJ$124:AJ$127,$D947)*$E947*INDEX(AJ$128:AJ$144,$F947)</f>
        <v/>
      </c>
      <c r="AK947" s="36">
        <f>INDEX(AK$124:AK$127,$D947)*$E947*INDEX(AK$128:AK$144,$F947)</f>
        <v/>
      </c>
      <c r="AL947" s="36">
        <f>INDEX(AL$124:AL$127,$D947)*$E947*INDEX(AL$128:AL$144,$F947)</f>
        <v/>
      </c>
      <c r="AM947" s="36">
        <f>INDEX(AM$124:AM$127,$D947)*$E947*INDEX(AM$128:AM$144,$F947)</f>
        <v/>
      </c>
      <c r="AN947" s="36">
        <f>INDEX(AN$124:AN$127,$D947)*$E947*INDEX(AN$128:AN$144,$F947)</f>
        <v/>
      </c>
    </row>
    <row r="948" hidden="1" outlineLevel="2">
      <c r="A948" s="5" t="inlineStr">
        <is>
          <t>shp</t>
        </is>
      </c>
      <c r="B948" s="5" t="inlineStr">
        <is>
          <t>oop</t>
        </is>
      </c>
      <c r="C948" s="5" t="inlineStr">
        <is>
          <t>mac</t>
        </is>
      </c>
      <c r="D948" s="36">
        <f>INDEX(Inputs!$M$5:$M$132,MATCH($B948&amp;"|"&amp;$C948,Inputs!$A$5:$A$132,0))</f>
        <v/>
      </c>
      <c r="E948" s="36">
        <f>INDEX(Inputs!$U$5:$U$132,MATCH($B948&amp;"|"&amp;$C948,Inputs!$A$5:$A$132,0))</f>
        <v/>
      </c>
      <c r="F948" s="36">
        <f>INDEX(Inputs!$K$5:$K$132,MATCH($B948&amp;"|"&amp;$C948,Inputs!$A$5:$A$132,0))</f>
        <v/>
      </c>
      <c r="G948" s="37" t="n"/>
      <c r="H948" s="5">
        <f>INDEX(Variables!$B$5:$B$65,MATCH($A948,Variables!$A$5:$A$65,0))&amp;IF($C948="",""," | "&amp;INDEX(Mapping!$B$5:$B$25,MATCH($C948,Mapping!$A$5:$A$25,0))&amp;" | "&amp;INDEX(Mapping!$B$29:$B$38,MATCH($B948,Mapping!$A$29:$A$38,0)))</f>
        <v/>
      </c>
      <c r="I948" s="5">
        <f>INDEX(Variables!$C$5:$C$65,MATCH($A948,Variables!$A$5:$A$65,0))</f>
        <v/>
      </c>
      <c r="J948" s="5">
        <f>INDEX(Variables!$E$5:$E$65,MATCH($A948,Variables!$A$5:$A$65,0))</f>
        <v/>
      </c>
      <c r="K948" s="23">
        <f>LOWER(Settings!$C$4)&amp;".mit."&amp;$A948&amp;IF($C948="","","."&amp;$C948&amp;"."&amp;$B948)&amp;IF(INDEX(Variables!$D$5:$D$65,MATCH($A948,Variables!$A$5:$A$65,0))="","","."&amp;INDEX(Variables!$D$5:$D$65,MATCH($A948,Variables!$A$5:$A$65,0)))&amp;"."&amp;K$5</f>
        <v/>
      </c>
      <c r="L948" s="38">
        <f>INDEX(L$124:L$127,$D948)*$E948*INDEX(L$128:L$144,$F948)</f>
        <v/>
      </c>
      <c r="M948" s="36">
        <f>INDEX(M$124:M$127,$D948)*$E948*INDEX(M$128:M$144,$F948)</f>
        <v/>
      </c>
      <c r="N948" s="36">
        <f>INDEX(N$124:N$127,$D948)*$E948*INDEX(N$128:N$144,$F948)</f>
        <v/>
      </c>
      <c r="O948" s="36">
        <f>INDEX(O$124:O$127,$D948)*$E948*INDEX(O$128:O$144,$F948)</f>
        <v/>
      </c>
      <c r="P948" s="36">
        <f>INDEX(P$124:P$127,$D948)*$E948*INDEX(P$128:P$144,$F948)</f>
        <v/>
      </c>
      <c r="Q948" s="36">
        <f>INDEX(Q$124:Q$127,$D948)*$E948*INDEX(Q$128:Q$144,$F948)</f>
        <v/>
      </c>
      <c r="R948" s="36">
        <f>INDEX(R$124:R$127,$D948)*$E948*INDEX(R$128:R$144,$F948)</f>
        <v/>
      </c>
      <c r="S948" s="36">
        <f>INDEX(S$124:S$127,$D948)*$E948*INDEX(S$128:S$144,$F948)</f>
        <v/>
      </c>
      <c r="T948" s="36">
        <f>INDEX(T$124:T$127,$D948)*$E948*INDEX(T$128:T$144,$F948)</f>
        <v/>
      </c>
      <c r="U948" s="36">
        <f>INDEX(U$124:U$127,$D948)*$E948*INDEX(U$128:U$144,$F948)</f>
        <v/>
      </c>
      <c r="V948" s="36">
        <f>INDEX(V$124:V$127,$D948)*$E948*INDEX(V$128:V$144,$F948)</f>
        <v/>
      </c>
      <c r="W948" s="36">
        <f>INDEX(W$124:W$127,$D948)*$E948*INDEX(W$128:W$144,$F948)</f>
        <v/>
      </c>
      <c r="X948" s="36">
        <f>INDEX(X$124:X$127,$D948)*$E948*INDEX(X$128:X$144,$F948)</f>
        <v/>
      </c>
      <c r="Y948" s="36">
        <f>INDEX(Y$124:Y$127,$D948)*$E948*INDEX(Y$128:Y$144,$F948)</f>
        <v/>
      </c>
      <c r="Z948" s="23">
        <f>LOWER(Settings!$C$4)&amp;".mit."&amp;$A948&amp;IF($C948="","","."&amp;$C948&amp;"."&amp;$B948)&amp;IF(INDEX(Variables!$D$5:$D$65,MATCH($A948,Variables!$A$5:$A$65,0))="","","."&amp;INDEX(Variables!$D$5:$D$65,MATCH($A948,Variables!$A$5:$A$65,0)))&amp;"."&amp;Z$5</f>
        <v/>
      </c>
      <c r="AA948" s="38">
        <f>INDEX(AA$124:AA$127,$D948)*$E948*INDEX(AA$128:AA$144,$F948)</f>
        <v/>
      </c>
      <c r="AB948" s="36">
        <f>INDEX(AB$124:AB$127,$D948)*$E948*INDEX(AB$128:AB$144,$F948)</f>
        <v/>
      </c>
      <c r="AC948" s="36">
        <f>INDEX(AC$124:AC$127,$D948)*$E948*INDEX(AC$128:AC$144,$F948)</f>
        <v/>
      </c>
      <c r="AD948" s="36">
        <f>INDEX(AD$124:AD$127,$D948)*$E948*INDEX(AD$128:AD$144,$F948)</f>
        <v/>
      </c>
      <c r="AE948" s="36">
        <f>INDEX(AE$124:AE$127,$D948)*$E948*INDEX(AE$128:AE$144,$F948)</f>
        <v/>
      </c>
      <c r="AF948" s="36">
        <f>INDEX(AF$124:AF$127,$D948)*$E948*INDEX(AF$128:AF$144,$F948)</f>
        <v/>
      </c>
      <c r="AG948" s="36">
        <f>INDEX(AG$124:AG$127,$D948)*$E948*INDEX(AG$128:AG$144,$F948)</f>
        <v/>
      </c>
      <c r="AH948" s="36">
        <f>INDEX(AH$124:AH$127,$D948)*$E948*INDEX(AH$128:AH$144,$F948)</f>
        <v/>
      </c>
      <c r="AI948" s="36">
        <f>INDEX(AI$124:AI$127,$D948)*$E948*INDEX(AI$128:AI$144,$F948)</f>
        <v/>
      </c>
      <c r="AJ948" s="36">
        <f>INDEX(AJ$124:AJ$127,$D948)*$E948*INDEX(AJ$128:AJ$144,$F948)</f>
        <v/>
      </c>
      <c r="AK948" s="36">
        <f>INDEX(AK$124:AK$127,$D948)*$E948*INDEX(AK$128:AK$144,$F948)</f>
        <v/>
      </c>
      <c r="AL948" s="36">
        <f>INDEX(AL$124:AL$127,$D948)*$E948*INDEX(AL$128:AL$144,$F948)</f>
        <v/>
      </c>
      <c r="AM948" s="36">
        <f>INDEX(AM$124:AM$127,$D948)*$E948*INDEX(AM$128:AM$144,$F948)</f>
        <v/>
      </c>
      <c r="AN948" s="36">
        <f>INDEX(AN$124:AN$127,$D948)*$E948*INDEX(AN$128:AN$144,$F948)</f>
        <v/>
      </c>
    </row>
    <row r="949" hidden="1" outlineLevel="2">
      <c r="A949" s="5" t="inlineStr">
        <is>
          <t>shp</t>
        </is>
      </c>
      <c r="B949" s="5" t="inlineStr">
        <is>
          <t>bio</t>
        </is>
      </c>
      <c r="C949" s="5" t="inlineStr">
        <is>
          <t>mac</t>
        </is>
      </c>
      <c r="D949" s="36">
        <f>INDEX(Inputs!$M$5:$M$132,MATCH($B949&amp;"|"&amp;$C949,Inputs!$A$5:$A$132,0))</f>
        <v/>
      </c>
      <c r="E949" s="36">
        <f>INDEX(Inputs!$U$5:$U$132,MATCH($B949&amp;"|"&amp;$C949,Inputs!$A$5:$A$132,0))</f>
        <v/>
      </c>
      <c r="F949" s="36">
        <f>INDEX(Inputs!$K$5:$K$132,MATCH($B949&amp;"|"&amp;$C949,Inputs!$A$5:$A$132,0))</f>
        <v/>
      </c>
      <c r="G949" s="37" t="n"/>
      <c r="H949" s="5">
        <f>INDEX(Variables!$B$5:$B$65,MATCH($A949,Variables!$A$5:$A$65,0))&amp;IF($C949="",""," | "&amp;INDEX(Mapping!$B$5:$B$25,MATCH($C949,Mapping!$A$5:$A$25,0))&amp;" | "&amp;INDEX(Mapping!$B$29:$B$38,MATCH($B949,Mapping!$A$29:$A$38,0)))</f>
        <v/>
      </c>
      <c r="I949" s="5">
        <f>INDEX(Variables!$C$5:$C$65,MATCH($A949,Variables!$A$5:$A$65,0))</f>
        <v/>
      </c>
      <c r="J949" s="5">
        <f>INDEX(Variables!$E$5:$E$65,MATCH($A949,Variables!$A$5:$A$65,0))</f>
        <v/>
      </c>
      <c r="K949" s="23">
        <f>LOWER(Settings!$C$4)&amp;".mit."&amp;$A949&amp;IF($C949="","","."&amp;$C949&amp;"."&amp;$B949)&amp;IF(INDEX(Variables!$D$5:$D$65,MATCH($A949,Variables!$A$5:$A$65,0))="","","."&amp;INDEX(Variables!$D$5:$D$65,MATCH($A949,Variables!$A$5:$A$65,0)))&amp;"."&amp;K$5</f>
        <v/>
      </c>
      <c r="L949" s="38">
        <f>INDEX(L$124:L$127,$D949)*$E949*INDEX(L$128:L$144,$F949)</f>
        <v/>
      </c>
      <c r="M949" s="36">
        <f>INDEX(M$124:M$127,$D949)*$E949*INDEX(M$128:M$144,$F949)</f>
        <v/>
      </c>
      <c r="N949" s="36">
        <f>INDEX(N$124:N$127,$D949)*$E949*INDEX(N$128:N$144,$F949)</f>
        <v/>
      </c>
      <c r="O949" s="36">
        <f>INDEX(O$124:O$127,$D949)*$E949*INDEX(O$128:O$144,$F949)</f>
        <v/>
      </c>
      <c r="P949" s="36">
        <f>INDEX(P$124:P$127,$D949)*$E949*INDEX(P$128:P$144,$F949)</f>
        <v/>
      </c>
      <c r="Q949" s="36">
        <f>INDEX(Q$124:Q$127,$D949)*$E949*INDEX(Q$128:Q$144,$F949)</f>
        <v/>
      </c>
      <c r="R949" s="36">
        <f>INDEX(R$124:R$127,$D949)*$E949*INDEX(R$128:R$144,$F949)</f>
        <v/>
      </c>
      <c r="S949" s="36">
        <f>INDEX(S$124:S$127,$D949)*$E949*INDEX(S$128:S$144,$F949)</f>
        <v/>
      </c>
      <c r="T949" s="36">
        <f>INDEX(T$124:T$127,$D949)*$E949*INDEX(T$128:T$144,$F949)</f>
        <v/>
      </c>
      <c r="U949" s="36">
        <f>INDEX(U$124:U$127,$D949)*$E949*INDEX(U$128:U$144,$F949)</f>
        <v/>
      </c>
      <c r="V949" s="36">
        <f>INDEX(V$124:V$127,$D949)*$E949*INDEX(V$128:V$144,$F949)</f>
        <v/>
      </c>
      <c r="W949" s="36">
        <f>INDEX(W$124:W$127,$D949)*$E949*INDEX(W$128:W$144,$F949)</f>
        <v/>
      </c>
      <c r="X949" s="36">
        <f>INDEX(X$124:X$127,$D949)*$E949*INDEX(X$128:X$144,$F949)</f>
        <v/>
      </c>
      <c r="Y949" s="36">
        <f>INDEX(Y$124:Y$127,$D949)*$E949*INDEX(Y$128:Y$144,$F949)</f>
        <v/>
      </c>
      <c r="Z949" s="23">
        <f>LOWER(Settings!$C$4)&amp;".mit."&amp;$A949&amp;IF($C949="","","."&amp;$C949&amp;"."&amp;$B949)&amp;IF(INDEX(Variables!$D$5:$D$65,MATCH($A949,Variables!$A$5:$A$65,0))="","","."&amp;INDEX(Variables!$D$5:$D$65,MATCH($A949,Variables!$A$5:$A$65,0)))&amp;"."&amp;Z$5</f>
        <v/>
      </c>
      <c r="AA949" s="38">
        <f>INDEX(AA$124:AA$127,$D949)*$E949*INDEX(AA$128:AA$144,$F949)</f>
        <v/>
      </c>
      <c r="AB949" s="36">
        <f>INDEX(AB$124:AB$127,$D949)*$E949*INDEX(AB$128:AB$144,$F949)</f>
        <v/>
      </c>
      <c r="AC949" s="36">
        <f>INDEX(AC$124:AC$127,$D949)*$E949*INDEX(AC$128:AC$144,$F949)</f>
        <v/>
      </c>
      <c r="AD949" s="36">
        <f>INDEX(AD$124:AD$127,$D949)*$E949*INDEX(AD$128:AD$144,$F949)</f>
        <v/>
      </c>
      <c r="AE949" s="36">
        <f>INDEX(AE$124:AE$127,$D949)*$E949*INDEX(AE$128:AE$144,$F949)</f>
        <v/>
      </c>
      <c r="AF949" s="36">
        <f>INDEX(AF$124:AF$127,$D949)*$E949*INDEX(AF$128:AF$144,$F949)</f>
        <v/>
      </c>
      <c r="AG949" s="36">
        <f>INDEX(AG$124:AG$127,$D949)*$E949*INDEX(AG$128:AG$144,$F949)</f>
        <v/>
      </c>
      <c r="AH949" s="36">
        <f>INDEX(AH$124:AH$127,$D949)*$E949*INDEX(AH$128:AH$144,$F949)</f>
        <v/>
      </c>
      <c r="AI949" s="36">
        <f>INDEX(AI$124:AI$127,$D949)*$E949*INDEX(AI$128:AI$144,$F949)</f>
        <v/>
      </c>
      <c r="AJ949" s="36">
        <f>INDEX(AJ$124:AJ$127,$D949)*$E949*INDEX(AJ$128:AJ$144,$F949)</f>
        <v/>
      </c>
      <c r="AK949" s="36">
        <f>INDEX(AK$124:AK$127,$D949)*$E949*INDEX(AK$128:AK$144,$F949)</f>
        <v/>
      </c>
      <c r="AL949" s="36">
        <f>INDEX(AL$124:AL$127,$D949)*$E949*INDEX(AL$128:AL$144,$F949)</f>
        <v/>
      </c>
      <c r="AM949" s="36">
        <f>INDEX(AM$124:AM$127,$D949)*$E949*INDEX(AM$128:AM$144,$F949)</f>
        <v/>
      </c>
      <c r="AN949" s="36">
        <f>INDEX(AN$124:AN$127,$D949)*$E949*INDEX(AN$128:AN$144,$F949)</f>
        <v/>
      </c>
    </row>
    <row r="950" hidden="1" outlineLevel="2"/>
    <row r="951" hidden="1" outlineLevel="2">
      <c r="A951" s="5" t="inlineStr">
        <is>
          <t>ener</t>
        </is>
      </c>
      <c r="B951" s="5" t="inlineStr">
        <is>
          <t>coa</t>
        </is>
      </c>
      <c r="C951" s="5" t="inlineStr">
        <is>
          <t>mac</t>
        </is>
      </c>
      <c r="D951" s="36">
        <f>INDEX(Inputs!$N$5:$N$132,MATCH($B951&amp;"|"&amp;$C951,Inputs!$A$5:$A$132,0))</f>
        <v/>
      </c>
      <c r="E951" s="36">
        <f>INDEX(Inputs!$O$5:$O$132,MATCH($B951&amp;"|"&amp;$C951,Inputs!$A$5:$A$132,0))</f>
        <v/>
      </c>
      <c r="F951" s="36">
        <f>INDEX(Inputs!$P$5:$P$132,MATCH($B951&amp;"|"&amp;$C951,Inputs!$A$5:$A$132,0))</f>
        <v/>
      </c>
      <c r="G951" s="36">
        <f>INDEX(Inputs!$Q$5:$Q$132,MATCH($B951&amp;"|"&amp;$C951,Inputs!$A$5:$A$132,0))</f>
        <v/>
      </c>
      <c r="H951" s="5">
        <f>INDEX(Variables!$B$5:$B$65,MATCH($A951,Variables!$A$5:$A$65,0))&amp;IF($C951="",""," | "&amp;INDEX(Mapping!$B$5:$B$25,MATCH($C951,Mapping!$A$5:$A$25,0))&amp;" | "&amp;INDEX(Mapping!$B$29:$B$38,MATCH($B951,Mapping!$A$29:$A$38,0)))</f>
        <v/>
      </c>
      <c r="I951" s="5">
        <f>INDEX(Variables!$C$5:$C$65,MATCH($A951,Variables!$A$5:$A$65,0))</f>
        <v/>
      </c>
      <c r="J951" s="5">
        <f>INDEX(Variables!$E$5:$E$65,MATCH($A951,Variables!$A$5:$A$65,0))</f>
        <v/>
      </c>
      <c r="K951" s="23">
        <f>LOWER(Settings!$C$4)&amp;".mit."&amp;$A951&amp;IF($C951="","","."&amp;$C951&amp;"."&amp;$B951)&amp;IF(INDEX(Variables!$D$5:$D$65,MATCH($A951,Variables!$A$5:$A$65,0))="","","."&amp;INDEX(Variables!$D$5:$D$65,MATCH($A951,Variables!$A$5:$A$65,0)))&amp;"."&amp;K$5</f>
        <v/>
      </c>
      <c r="L951" s="40">
        <f>INDEX(Inputs!$V$5:$V$132,MATCH($B951&amp;"|"&amp;$C951,Inputs!$A$5:$A$132,0))</f>
        <v/>
      </c>
      <c r="M951" s="41">
        <f>L951*(1/(1+$G951))^(1+$E951)*(1+M$7)^$D951*(M933/L933)^$E951*((M933+M942)/(L933+L942))^($F951*(1+$E951))</f>
        <v/>
      </c>
      <c r="N951" s="41">
        <f>M951*(1/(1+$G951))^(1+$E951)*(1+N$7)^$D951*(N933/M933)^$E951*((N933+N942)/(M933+M942))^($F951*(1+$E951))</f>
        <v/>
      </c>
      <c r="O951" s="41">
        <f>N951*(1/(1+$G951))^(1+$E951)*(1+O$7)^$D951*(O933/N933)^$E951*((O933+O942)/(N933+N942))^($F951*(1+$E951))</f>
        <v/>
      </c>
      <c r="P951" s="41">
        <f>O951*(1/(1+$G951))^(1+$E951)*(1+P$7)^$D951*(P933/O933)^$E951*((P933+P942)/(O933+O942))^($F951*(1+$E951))</f>
        <v/>
      </c>
      <c r="Q951" s="41">
        <f>P951*(1/(1+$G951))^(1+$E951)*(1+Q$7)^$D951*(Q933/P933)^$E951*((Q933+Q942)/(P933+P942))^($F951*(1+$E951))</f>
        <v/>
      </c>
      <c r="R951" s="41">
        <f>Q951*(1/(1+$G951))^(1+$E951)*(1+R$7)^$D951*(R933/Q933)^$E951*((R933+R942)/(Q933+Q942))^($F951*(1+$E951))</f>
        <v/>
      </c>
      <c r="S951" s="41">
        <f>R951*(1/(1+$G951))^(1+$E951)*(1+S$7)^$D951*(S933/R933)^$E951*((S933+S942)/(R933+R942))^($F951*(1+$E951))</f>
        <v/>
      </c>
      <c r="T951" s="41">
        <f>S951*(1/(1+$G951))^(1+$E951)*(1+T$7)^$D951*(T933/S933)^$E951*((T933+T942)/(S933+S942))^($F951*(1+$E951))</f>
        <v/>
      </c>
      <c r="U951" s="41">
        <f>T951*(1/(1+$G951))^(1+$E951)*(1+U$7)^$D951*(U933/T933)^$E951*((U933+U942)/(T933+T942))^($F951*(1+$E951))</f>
        <v/>
      </c>
      <c r="V951" s="41">
        <f>U951*(1/(1+$G951))^(1+$E951)*(1+V$7)^$D951*(V933/U933)^$E951*((V933+V942)/(U933+U942))^($F951*(1+$E951))</f>
        <v/>
      </c>
      <c r="W951" s="41">
        <f>V951*(1/(1+$G951))^(1+$E951)*(1+W$7)^$D951*(W933/V933)^$E951*((W933+W942)/(V933+V942))^($F951*(1+$E951))</f>
        <v/>
      </c>
      <c r="X951" s="41">
        <f>W951*(1/(1+$G951))^(1+$E951)*(1+X$7)^$D951*(X933/W933)^$E951*((X933+X942)/(W933+W942))^($F951*(1+$E951))</f>
        <v/>
      </c>
      <c r="Y951" s="42">
        <f>FUELUSE(X951,Y933,X933,Y942,X942,Y$7,$D951,$E951,$F951,$G951)</f>
        <v/>
      </c>
      <c r="Z951" s="23">
        <f>LOWER(Settings!$C$4)&amp;".mit."&amp;$A951&amp;IF($C951="","","."&amp;$C951&amp;"."&amp;$B951)&amp;IF(INDEX(Variables!$D$5:$D$65,MATCH($A951,Variables!$A$5:$A$65,0))="","","."&amp;INDEX(Variables!$D$5:$D$65,MATCH($A951,Variables!$A$5:$A$65,0)))&amp;"."&amp;Z$5</f>
        <v/>
      </c>
      <c r="AA951" s="40">
        <f>INDEX(Inputs!$V$5:$V$132,MATCH($B951&amp;"|"&amp;$C951,Inputs!$A$5:$A$132,0))</f>
        <v/>
      </c>
      <c r="AB951" s="41">
        <f>AA951*(1/(1+$G951))^(1+$E951)*(1+AB$7)^$D951*(AB933/AA933)^$E951*((AB933+AB942)/(AA933+AA942))^($F951*(1+$E951))</f>
        <v/>
      </c>
      <c r="AC951" s="41">
        <f>AB951*(1/(1+$G951))^(1+$E951)*(1+AC$7)^$D951*(AC933/AB933)^$E951*((AC933+AC942)/(AB933+AB942))^($F951*(1+$E951))</f>
        <v/>
      </c>
      <c r="AD951" s="41">
        <f>AC951*(1/(1+$G951))^(1+$E951)*(1+AD$7)^$D951*(AD933/AC933)^$E951*((AD933+AD942)/(AC933+AC942))^($F951*(1+$E951))</f>
        <v/>
      </c>
      <c r="AE951" s="41">
        <f>AD951*(1/(1+$G951))^(1+$E951)*(1+AE$7)^$D951*(AE933/AD933)^$E951*((AE933+AE942)/(AD933+AD942))^($F951*(1+$E951))</f>
        <v/>
      </c>
      <c r="AF951" s="41">
        <f>AE951*(1/(1+$G951))^(1+$E951)*(1+AF$7)^$D951*(AF933/AE933)^$E951*((AF933+AF942)/(AE933+AE942))^($F951*(1+$E951))</f>
        <v/>
      </c>
      <c r="AG951" s="41">
        <f>AF951*(1/(1+$G951))^(1+$E951)*(1+AG$7)^$D951*(AG933/AF933)^$E951*((AG933+AG942)/(AF933+AF942))^($F951*(1+$E951))</f>
        <v/>
      </c>
      <c r="AH951" s="41">
        <f>AG951*(1/(1+$G951))^(1+$E951)*(1+AH$7)^$D951*(AH933/AG933)^$E951*((AH933+AH942)/(AG933+AG942))^($F951*(1+$E951))</f>
        <v/>
      </c>
      <c r="AI951" s="41">
        <f>AH951*(1/(1+$G951))^(1+$E951)*(1+AI$7)^$D951*(AI933/AH933)^$E951*((AI933+AI942)/(AH933+AH942))^($F951*(1+$E951))</f>
        <v/>
      </c>
      <c r="AJ951" s="41">
        <f>AI951*(1/(1+$G951))^(1+$E951)*(1+AJ$7)^$D951*(AJ933/AI933)^$E951*((AJ933+AJ942)/(AI933+AI942))^($F951*(1+$E951))</f>
        <v/>
      </c>
      <c r="AK951" s="41">
        <f>AJ951*(1/(1+$G951))^(1+$E951)*(1+AK$7)^$D951*(AK933/AJ933)^$E951*((AK933+AK942)/(AJ933+AJ942))^($F951*(1+$E951))</f>
        <v/>
      </c>
      <c r="AL951" s="41">
        <f>AK951*(1/(1+$G951))^(1+$E951)*(1+AL$7)^$D951*(AL933/AK933)^$E951*((AL933+AL942)/(AK933+AK942))^($F951*(1+$E951))</f>
        <v/>
      </c>
      <c r="AM951" s="41">
        <f>AL951*(1/(1+$G951))^(1+$E951)*(1+AM$7)^$D951*(AM933/AL933)^$E951*((AM933+AM942)/(AL933+AL942))^($F951*(1+$E951))</f>
        <v/>
      </c>
      <c r="AN951" s="42">
        <f>FUELUSE(AM951,AN933,AM933,AN942,AM942,AN$7,$D951,$E951,$F951,$G951)</f>
        <v/>
      </c>
    </row>
    <row r="952" hidden="1" outlineLevel="2">
      <c r="A952" s="5" t="inlineStr">
        <is>
          <t>ener</t>
        </is>
      </c>
      <c r="B952" s="5" t="inlineStr">
        <is>
          <t>nga</t>
        </is>
      </c>
      <c r="C952" s="5" t="inlineStr">
        <is>
          <t>mac</t>
        </is>
      </c>
      <c r="D952" s="36">
        <f>INDEX(Inputs!$N$5:$N$132,MATCH($B952&amp;"|"&amp;$C952,Inputs!$A$5:$A$132,0))</f>
        <v/>
      </c>
      <c r="E952" s="36">
        <f>INDEX(Inputs!$O$5:$O$132,MATCH($B952&amp;"|"&amp;$C952,Inputs!$A$5:$A$132,0))</f>
        <v/>
      </c>
      <c r="F952" s="36">
        <f>INDEX(Inputs!$P$5:$P$132,MATCH($B952&amp;"|"&amp;$C952,Inputs!$A$5:$A$132,0))</f>
        <v/>
      </c>
      <c r="G952" s="36">
        <f>INDEX(Inputs!$Q$5:$Q$132,MATCH($B952&amp;"|"&amp;$C952,Inputs!$A$5:$A$132,0))</f>
        <v/>
      </c>
      <c r="H952" s="5">
        <f>INDEX(Variables!$B$5:$B$65,MATCH($A952,Variables!$A$5:$A$65,0))&amp;IF($C952="",""," | "&amp;INDEX(Mapping!$B$5:$B$25,MATCH($C952,Mapping!$A$5:$A$25,0))&amp;" | "&amp;INDEX(Mapping!$B$29:$B$38,MATCH($B952,Mapping!$A$29:$A$38,0)))</f>
        <v/>
      </c>
      <c r="I952" s="5">
        <f>INDEX(Variables!$C$5:$C$65,MATCH($A952,Variables!$A$5:$A$65,0))</f>
        <v/>
      </c>
      <c r="J952" s="5">
        <f>INDEX(Variables!$E$5:$E$65,MATCH($A952,Variables!$A$5:$A$65,0))</f>
        <v/>
      </c>
      <c r="K952" s="23">
        <f>LOWER(Settings!$C$4)&amp;".mit."&amp;$A952&amp;IF($C952="","","."&amp;$C952&amp;"."&amp;$B952)&amp;IF(INDEX(Variables!$D$5:$D$65,MATCH($A952,Variables!$A$5:$A$65,0))="","","."&amp;INDEX(Variables!$D$5:$D$65,MATCH($A952,Variables!$A$5:$A$65,0)))&amp;"."&amp;K$5</f>
        <v/>
      </c>
      <c r="L952" s="40">
        <f>INDEX(Inputs!$V$5:$V$132,MATCH($B952&amp;"|"&amp;$C952,Inputs!$A$5:$A$132,0))</f>
        <v/>
      </c>
      <c r="M952" s="41">
        <f>L952*(1/(1+$G952))^(1+$E952)*(1+M$7)^$D952*(M934/L934)^$E952*((M934+M943)/(L934+L943))^($F952*(1+$E952))</f>
        <v/>
      </c>
      <c r="N952" s="41">
        <f>M952*(1/(1+$G952))^(1+$E952)*(1+N$7)^$D952*(N934/M934)^$E952*((N934+N943)/(M934+M943))^($F952*(1+$E952))</f>
        <v/>
      </c>
      <c r="O952" s="41">
        <f>N952*(1/(1+$G952))^(1+$E952)*(1+O$7)^$D952*(O934/N934)^$E952*((O934+O943)/(N934+N943))^($F952*(1+$E952))</f>
        <v/>
      </c>
      <c r="P952" s="41">
        <f>O952*(1/(1+$G952))^(1+$E952)*(1+P$7)^$D952*(P934/O934)^$E952*((P934+P943)/(O934+O943))^($F952*(1+$E952))</f>
        <v/>
      </c>
      <c r="Q952" s="41">
        <f>P952*(1/(1+$G952))^(1+$E952)*(1+Q$7)^$D952*(Q934/P934)^$E952*((Q934+Q943)/(P934+P943))^($F952*(1+$E952))</f>
        <v/>
      </c>
      <c r="R952" s="41">
        <f>Q952*(1/(1+$G952))^(1+$E952)*(1+R$7)^$D952*(R934/Q934)^$E952*((R934+R943)/(Q934+Q943))^($F952*(1+$E952))</f>
        <v/>
      </c>
      <c r="S952" s="41">
        <f>R952*(1/(1+$G952))^(1+$E952)*(1+S$7)^$D952*(S934/R934)^$E952*((S934+S943)/(R934+R943))^($F952*(1+$E952))</f>
        <v/>
      </c>
      <c r="T952" s="41">
        <f>S952*(1/(1+$G952))^(1+$E952)*(1+T$7)^$D952*(T934/S934)^$E952*((T934+T943)/(S934+S943))^($F952*(1+$E952))</f>
        <v/>
      </c>
      <c r="U952" s="41">
        <f>T952*(1/(1+$G952))^(1+$E952)*(1+U$7)^$D952*(U934/T934)^$E952*((U934+U943)/(T934+T943))^($F952*(1+$E952))</f>
        <v/>
      </c>
      <c r="V952" s="41">
        <f>U952*(1/(1+$G952))^(1+$E952)*(1+V$7)^$D952*(V934/U934)^$E952*((V934+V943)/(U934+U943))^($F952*(1+$E952))</f>
        <v/>
      </c>
      <c r="W952" s="41">
        <f>V952*(1/(1+$G952))^(1+$E952)*(1+W$7)^$D952*(W934/V934)^$E952*((W934+W943)/(V934+V943))^($F952*(1+$E952))</f>
        <v/>
      </c>
      <c r="X952" s="41">
        <f>W952*(1/(1+$G952))^(1+$E952)*(1+X$7)^$D952*(X934/W934)^$E952*((X934+X943)/(W934+W943))^($F952*(1+$E952))</f>
        <v/>
      </c>
      <c r="Y952" s="42">
        <f>FUELUSE(X952,Y934,X934,Y943,X943,Y$7,$D952,$E952,$F952,$G952)</f>
        <v/>
      </c>
      <c r="Z952" s="23">
        <f>LOWER(Settings!$C$4)&amp;".mit."&amp;$A952&amp;IF($C952="","","."&amp;$C952&amp;"."&amp;$B952)&amp;IF(INDEX(Variables!$D$5:$D$65,MATCH($A952,Variables!$A$5:$A$65,0))="","","."&amp;INDEX(Variables!$D$5:$D$65,MATCH($A952,Variables!$A$5:$A$65,0)))&amp;"."&amp;Z$5</f>
        <v/>
      </c>
      <c r="AA952" s="40">
        <f>INDEX(Inputs!$V$5:$V$132,MATCH($B952&amp;"|"&amp;$C952,Inputs!$A$5:$A$132,0))</f>
        <v/>
      </c>
      <c r="AB952" s="41">
        <f>AA952*(1/(1+$G952))^(1+$E952)*(1+AB$7)^$D952*(AB934/AA934)^$E952*((AB934+AB943)/(AA934+AA943))^($F952*(1+$E952))</f>
        <v/>
      </c>
      <c r="AC952" s="41">
        <f>AB952*(1/(1+$G952))^(1+$E952)*(1+AC$7)^$D952*(AC934/AB934)^$E952*((AC934+AC943)/(AB934+AB943))^($F952*(1+$E952))</f>
        <v/>
      </c>
      <c r="AD952" s="41">
        <f>AC952*(1/(1+$G952))^(1+$E952)*(1+AD$7)^$D952*(AD934/AC934)^$E952*((AD934+AD943)/(AC934+AC943))^($F952*(1+$E952))</f>
        <v/>
      </c>
      <c r="AE952" s="41">
        <f>AD952*(1/(1+$G952))^(1+$E952)*(1+AE$7)^$D952*(AE934/AD934)^$E952*((AE934+AE943)/(AD934+AD943))^($F952*(1+$E952))</f>
        <v/>
      </c>
      <c r="AF952" s="41">
        <f>AE952*(1/(1+$G952))^(1+$E952)*(1+AF$7)^$D952*(AF934/AE934)^$E952*((AF934+AF943)/(AE934+AE943))^($F952*(1+$E952))</f>
        <v/>
      </c>
      <c r="AG952" s="41">
        <f>AF952*(1/(1+$G952))^(1+$E952)*(1+AG$7)^$D952*(AG934/AF934)^$E952*((AG934+AG943)/(AF934+AF943))^($F952*(1+$E952))</f>
        <v/>
      </c>
      <c r="AH952" s="41">
        <f>AG952*(1/(1+$G952))^(1+$E952)*(1+AH$7)^$D952*(AH934/AG934)^$E952*((AH934+AH943)/(AG934+AG943))^($F952*(1+$E952))</f>
        <v/>
      </c>
      <c r="AI952" s="41">
        <f>AH952*(1/(1+$G952))^(1+$E952)*(1+AI$7)^$D952*(AI934/AH934)^$E952*((AI934+AI943)/(AH934+AH943))^($F952*(1+$E952))</f>
        <v/>
      </c>
      <c r="AJ952" s="41">
        <f>AI952*(1/(1+$G952))^(1+$E952)*(1+AJ$7)^$D952*(AJ934/AI934)^$E952*((AJ934+AJ943)/(AI934+AI943))^($F952*(1+$E952))</f>
        <v/>
      </c>
      <c r="AK952" s="41">
        <f>AJ952*(1/(1+$G952))^(1+$E952)*(1+AK$7)^$D952*(AK934/AJ934)^$E952*((AK934+AK943)/(AJ934+AJ943))^($F952*(1+$E952))</f>
        <v/>
      </c>
      <c r="AL952" s="41">
        <f>AK952*(1/(1+$G952))^(1+$E952)*(1+AL$7)^$D952*(AL934/AK934)^$E952*((AL934+AL943)/(AK934+AK943))^($F952*(1+$E952))</f>
        <v/>
      </c>
      <c r="AM952" s="41">
        <f>AL952*(1/(1+$G952))^(1+$E952)*(1+AM$7)^$D952*(AM934/AL934)^$E952*((AM934+AM943)/(AL934+AL943))^($F952*(1+$E952))</f>
        <v/>
      </c>
      <c r="AN952" s="42">
        <f>FUELUSE(AM952,AN934,AM934,AN943,AM943,AN$7,$D952,$E952,$F952,$G952)</f>
        <v/>
      </c>
    </row>
    <row r="953" hidden="1" outlineLevel="2">
      <c r="A953" s="5" t="inlineStr">
        <is>
          <t>ener</t>
        </is>
      </c>
      <c r="B953" s="5" t="inlineStr">
        <is>
          <t>gso</t>
        </is>
      </c>
      <c r="C953" s="5" t="inlineStr">
        <is>
          <t>mac</t>
        </is>
      </c>
      <c r="D953" s="36">
        <f>INDEX(Inputs!$N$5:$N$132,MATCH($B953&amp;"|"&amp;$C953,Inputs!$A$5:$A$132,0))</f>
        <v/>
      </c>
      <c r="E953" s="36">
        <f>INDEX(Inputs!$O$5:$O$132,MATCH($B953&amp;"|"&amp;$C953,Inputs!$A$5:$A$132,0))</f>
        <v/>
      </c>
      <c r="F953" s="36">
        <f>INDEX(Inputs!$P$5:$P$132,MATCH($B953&amp;"|"&amp;$C953,Inputs!$A$5:$A$132,0))</f>
        <v/>
      </c>
      <c r="G953" s="36">
        <f>INDEX(Inputs!$Q$5:$Q$132,MATCH($B953&amp;"|"&amp;$C953,Inputs!$A$5:$A$132,0))</f>
        <v/>
      </c>
      <c r="H953" s="5">
        <f>INDEX(Variables!$B$5:$B$65,MATCH($A953,Variables!$A$5:$A$65,0))&amp;IF($C953="",""," | "&amp;INDEX(Mapping!$B$5:$B$25,MATCH($C953,Mapping!$A$5:$A$25,0))&amp;" | "&amp;INDEX(Mapping!$B$29:$B$38,MATCH($B953,Mapping!$A$29:$A$38,0)))</f>
        <v/>
      </c>
      <c r="I953" s="5">
        <f>INDEX(Variables!$C$5:$C$65,MATCH($A953,Variables!$A$5:$A$65,0))</f>
        <v/>
      </c>
      <c r="J953" s="5">
        <f>INDEX(Variables!$E$5:$E$65,MATCH($A953,Variables!$A$5:$A$65,0))</f>
        <v/>
      </c>
      <c r="K953" s="23">
        <f>LOWER(Settings!$C$4)&amp;".mit."&amp;$A953&amp;IF($C953="","","."&amp;$C953&amp;"."&amp;$B953)&amp;IF(INDEX(Variables!$D$5:$D$65,MATCH($A953,Variables!$A$5:$A$65,0))="","","."&amp;INDEX(Variables!$D$5:$D$65,MATCH($A953,Variables!$A$5:$A$65,0)))&amp;"."&amp;K$5</f>
        <v/>
      </c>
      <c r="L953" s="40">
        <f>INDEX(Inputs!$V$5:$V$132,MATCH($B953&amp;"|"&amp;$C953,Inputs!$A$5:$A$132,0))</f>
        <v/>
      </c>
      <c r="M953" s="41">
        <f>L953*(1/(1+$G953))^(1+$E953)*(1+M$7)^$D953*(M935/L935)^$E953*((M935+M944)/(L935+L944))^($F953*(1+$E953))</f>
        <v/>
      </c>
      <c r="N953" s="41">
        <f>M953*(1/(1+$G953))^(1+$E953)*(1+N$7)^$D953*(N935/M935)^$E953*((N935+N944)/(M935+M944))^($F953*(1+$E953))</f>
        <v/>
      </c>
      <c r="O953" s="41">
        <f>N953*(1/(1+$G953))^(1+$E953)*(1+O$7)^$D953*(O935/N935)^$E953*((O935+O944)/(N935+N944))^($F953*(1+$E953))</f>
        <v/>
      </c>
      <c r="P953" s="41">
        <f>O953*(1/(1+$G953))^(1+$E953)*(1+P$7)^$D953*(P935/O935)^$E953*((P935+P944)/(O935+O944))^($F953*(1+$E953))</f>
        <v/>
      </c>
      <c r="Q953" s="41">
        <f>P953*(1/(1+$G953))^(1+$E953)*(1+Q$7)^$D953*(Q935/P935)^$E953*((Q935+Q944)/(P935+P944))^($F953*(1+$E953))</f>
        <v/>
      </c>
      <c r="R953" s="41">
        <f>Q953*(1/(1+$G953))^(1+$E953)*(1+R$7)^$D953*(R935/Q935)^$E953*((R935+R944)/(Q935+Q944))^($F953*(1+$E953))</f>
        <v/>
      </c>
      <c r="S953" s="41">
        <f>R953*(1/(1+$G953))^(1+$E953)*(1+S$7)^$D953*(S935/R935)^$E953*((S935+S944)/(R935+R944))^($F953*(1+$E953))</f>
        <v/>
      </c>
      <c r="T953" s="41">
        <f>S953*(1/(1+$G953))^(1+$E953)*(1+T$7)^$D953*(T935/S935)^$E953*((T935+T944)/(S935+S944))^($F953*(1+$E953))</f>
        <v/>
      </c>
      <c r="U953" s="41">
        <f>T953*(1/(1+$G953))^(1+$E953)*(1+U$7)^$D953*(U935/T935)^$E953*((U935+U944)/(T935+T944))^($F953*(1+$E953))</f>
        <v/>
      </c>
      <c r="V953" s="41">
        <f>U953*(1/(1+$G953))^(1+$E953)*(1+V$7)^$D953*(V935/U935)^$E953*((V935+V944)/(U935+U944))^($F953*(1+$E953))</f>
        <v/>
      </c>
      <c r="W953" s="41">
        <f>V953*(1/(1+$G953))^(1+$E953)*(1+W$7)^$D953*(W935/V935)^$E953*((W935+W944)/(V935+V944))^($F953*(1+$E953))</f>
        <v/>
      </c>
      <c r="X953" s="41">
        <f>W953*(1/(1+$G953))^(1+$E953)*(1+X$7)^$D953*(X935/W935)^$E953*((X935+X944)/(W935+W944))^($F953*(1+$E953))</f>
        <v/>
      </c>
      <c r="Y953" s="42">
        <f>FUELUSE(X953,Y935,X935,Y944,X944,Y$7,$D953,$E953,$F953,$G953)</f>
        <v/>
      </c>
      <c r="Z953" s="23">
        <f>LOWER(Settings!$C$4)&amp;".mit."&amp;$A953&amp;IF($C953="","","."&amp;$C953&amp;"."&amp;$B953)&amp;IF(INDEX(Variables!$D$5:$D$65,MATCH($A953,Variables!$A$5:$A$65,0))="","","."&amp;INDEX(Variables!$D$5:$D$65,MATCH($A953,Variables!$A$5:$A$65,0)))&amp;"."&amp;Z$5</f>
        <v/>
      </c>
      <c r="AA953" s="40">
        <f>INDEX(Inputs!$V$5:$V$132,MATCH($B953&amp;"|"&amp;$C953,Inputs!$A$5:$A$132,0))</f>
        <v/>
      </c>
      <c r="AB953" s="41">
        <f>AA953*(1/(1+$G953))^(1+$E953)*(1+AB$7)^$D953*(AB935/AA935)^$E953*((AB935+AB944)/(AA935+AA944))^($F953*(1+$E953))</f>
        <v/>
      </c>
      <c r="AC953" s="41">
        <f>AB953*(1/(1+$G953))^(1+$E953)*(1+AC$7)^$D953*(AC935/AB935)^$E953*((AC935+AC944)/(AB935+AB944))^($F953*(1+$E953))</f>
        <v/>
      </c>
      <c r="AD953" s="41">
        <f>AC953*(1/(1+$G953))^(1+$E953)*(1+AD$7)^$D953*(AD935/AC935)^$E953*((AD935+AD944)/(AC935+AC944))^($F953*(1+$E953))</f>
        <v/>
      </c>
      <c r="AE953" s="41">
        <f>AD953*(1/(1+$G953))^(1+$E953)*(1+AE$7)^$D953*(AE935/AD935)^$E953*((AE935+AE944)/(AD935+AD944))^($F953*(1+$E953))</f>
        <v/>
      </c>
      <c r="AF953" s="41">
        <f>AE953*(1/(1+$G953))^(1+$E953)*(1+AF$7)^$D953*(AF935/AE935)^$E953*((AF935+AF944)/(AE935+AE944))^($F953*(1+$E953))</f>
        <v/>
      </c>
      <c r="AG953" s="41">
        <f>AF953*(1/(1+$G953))^(1+$E953)*(1+AG$7)^$D953*(AG935/AF935)^$E953*((AG935+AG944)/(AF935+AF944))^($F953*(1+$E953))</f>
        <v/>
      </c>
      <c r="AH953" s="41">
        <f>AG953*(1/(1+$G953))^(1+$E953)*(1+AH$7)^$D953*(AH935/AG935)^$E953*((AH935+AH944)/(AG935+AG944))^($F953*(1+$E953))</f>
        <v/>
      </c>
      <c r="AI953" s="41">
        <f>AH953*(1/(1+$G953))^(1+$E953)*(1+AI$7)^$D953*(AI935/AH935)^$E953*((AI935+AI944)/(AH935+AH944))^($F953*(1+$E953))</f>
        <v/>
      </c>
      <c r="AJ953" s="41">
        <f>AI953*(1/(1+$G953))^(1+$E953)*(1+AJ$7)^$D953*(AJ935/AI935)^$E953*((AJ935+AJ944)/(AI935+AI944))^($F953*(1+$E953))</f>
        <v/>
      </c>
      <c r="AK953" s="41">
        <f>AJ953*(1/(1+$G953))^(1+$E953)*(1+AK$7)^$D953*(AK935/AJ935)^$E953*((AK935+AK944)/(AJ935+AJ944))^($F953*(1+$E953))</f>
        <v/>
      </c>
      <c r="AL953" s="41">
        <f>AK953*(1/(1+$G953))^(1+$E953)*(1+AL$7)^$D953*(AL935/AK935)^$E953*((AL935+AL944)/(AK935+AK944))^($F953*(1+$E953))</f>
        <v/>
      </c>
      <c r="AM953" s="41">
        <f>AL953*(1/(1+$G953))^(1+$E953)*(1+AM$7)^$D953*(AM935/AL935)^$E953*((AM935+AM944)/(AL935+AL944))^($F953*(1+$E953))</f>
        <v/>
      </c>
      <c r="AN953" s="42">
        <f>FUELUSE(AM953,AN935,AM935,AN944,AM944,AN$7,$D953,$E953,$F953,$G953)</f>
        <v/>
      </c>
    </row>
    <row r="954" hidden="1" outlineLevel="2">
      <c r="A954" s="5" t="inlineStr">
        <is>
          <t>ener</t>
        </is>
      </c>
      <c r="B954" s="5" t="inlineStr">
        <is>
          <t>die</t>
        </is>
      </c>
      <c r="C954" s="5" t="inlineStr">
        <is>
          <t>mac</t>
        </is>
      </c>
      <c r="D954" s="36">
        <f>INDEX(Inputs!$N$5:$N$132,MATCH($B954&amp;"|"&amp;$C954,Inputs!$A$5:$A$132,0))</f>
        <v/>
      </c>
      <c r="E954" s="36">
        <f>INDEX(Inputs!$O$5:$O$132,MATCH($B954&amp;"|"&amp;$C954,Inputs!$A$5:$A$132,0))</f>
        <v/>
      </c>
      <c r="F954" s="36">
        <f>INDEX(Inputs!$P$5:$P$132,MATCH($B954&amp;"|"&amp;$C954,Inputs!$A$5:$A$132,0))</f>
        <v/>
      </c>
      <c r="G954" s="36">
        <f>INDEX(Inputs!$Q$5:$Q$132,MATCH($B954&amp;"|"&amp;$C954,Inputs!$A$5:$A$132,0))</f>
        <v/>
      </c>
      <c r="H954" s="5">
        <f>INDEX(Variables!$B$5:$B$65,MATCH($A954,Variables!$A$5:$A$65,0))&amp;IF($C954="",""," | "&amp;INDEX(Mapping!$B$5:$B$25,MATCH($C954,Mapping!$A$5:$A$25,0))&amp;" | "&amp;INDEX(Mapping!$B$29:$B$38,MATCH($B954,Mapping!$A$29:$A$38,0)))</f>
        <v/>
      </c>
      <c r="I954" s="5">
        <f>INDEX(Variables!$C$5:$C$65,MATCH($A954,Variables!$A$5:$A$65,0))</f>
        <v/>
      </c>
      <c r="J954" s="5">
        <f>INDEX(Variables!$E$5:$E$65,MATCH($A954,Variables!$A$5:$A$65,0))</f>
        <v/>
      </c>
      <c r="K954" s="23">
        <f>LOWER(Settings!$C$4)&amp;".mit."&amp;$A954&amp;IF($C954="","","."&amp;$C954&amp;"."&amp;$B954)&amp;IF(INDEX(Variables!$D$5:$D$65,MATCH($A954,Variables!$A$5:$A$65,0))="","","."&amp;INDEX(Variables!$D$5:$D$65,MATCH($A954,Variables!$A$5:$A$65,0)))&amp;"."&amp;K$5</f>
        <v/>
      </c>
      <c r="L954" s="40">
        <f>INDEX(Inputs!$V$5:$V$132,MATCH($B954&amp;"|"&amp;$C954,Inputs!$A$5:$A$132,0))</f>
        <v/>
      </c>
      <c r="M954" s="41">
        <f>L954*(1/(1+$G954))^(1+$E954)*(1+M$7)^$D954*(M936/L936)^$E954*((M936+M945)/(L936+L945))^($F954*(1+$E954))</f>
        <v/>
      </c>
      <c r="N954" s="41">
        <f>M954*(1/(1+$G954))^(1+$E954)*(1+N$7)^$D954*(N936/M936)^$E954*((N936+N945)/(M936+M945))^($F954*(1+$E954))</f>
        <v/>
      </c>
      <c r="O954" s="41">
        <f>N954*(1/(1+$G954))^(1+$E954)*(1+O$7)^$D954*(O936/N936)^$E954*((O936+O945)/(N936+N945))^($F954*(1+$E954))</f>
        <v/>
      </c>
      <c r="P954" s="41">
        <f>O954*(1/(1+$G954))^(1+$E954)*(1+P$7)^$D954*(P936/O936)^$E954*((P936+P945)/(O936+O945))^($F954*(1+$E954))</f>
        <v/>
      </c>
      <c r="Q954" s="41">
        <f>P954*(1/(1+$G954))^(1+$E954)*(1+Q$7)^$D954*(Q936/P936)^$E954*((Q936+Q945)/(P936+P945))^($F954*(1+$E954))</f>
        <v/>
      </c>
      <c r="R954" s="41">
        <f>Q954*(1/(1+$G954))^(1+$E954)*(1+R$7)^$D954*(R936/Q936)^$E954*((R936+R945)/(Q936+Q945))^($F954*(1+$E954))</f>
        <v/>
      </c>
      <c r="S954" s="41">
        <f>R954*(1/(1+$G954))^(1+$E954)*(1+S$7)^$D954*(S936/R936)^$E954*((S936+S945)/(R936+R945))^($F954*(1+$E954))</f>
        <v/>
      </c>
      <c r="T954" s="41">
        <f>S954*(1/(1+$G954))^(1+$E954)*(1+T$7)^$D954*(T936/S936)^$E954*((T936+T945)/(S936+S945))^($F954*(1+$E954))</f>
        <v/>
      </c>
      <c r="U954" s="41">
        <f>T954*(1/(1+$G954))^(1+$E954)*(1+U$7)^$D954*(U936/T936)^$E954*((U936+U945)/(T936+T945))^($F954*(1+$E954))</f>
        <v/>
      </c>
      <c r="V954" s="41">
        <f>U954*(1/(1+$G954))^(1+$E954)*(1+V$7)^$D954*(V936/U936)^$E954*((V936+V945)/(U936+U945))^($F954*(1+$E954))</f>
        <v/>
      </c>
      <c r="W954" s="41">
        <f>V954*(1/(1+$G954))^(1+$E954)*(1+W$7)^$D954*(W936/V936)^$E954*((W936+W945)/(V936+V945))^($F954*(1+$E954))</f>
        <v/>
      </c>
      <c r="X954" s="41">
        <f>W954*(1/(1+$G954))^(1+$E954)*(1+X$7)^$D954*(X936/W936)^$E954*((X936+X945)/(W936+W945))^($F954*(1+$E954))</f>
        <v/>
      </c>
      <c r="Y954" s="42">
        <f>FUELUSE(X954,Y936,X936,Y945,X945,Y$7,$D954,$E954,$F954,$G954)</f>
        <v/>
      </c>
      <c r="Z954" s="23">
        <f>LOWER(Settings!$C$4)&amp;".mit."&amp;$A954&amp;IF($C954="","","."&amp;$C954&amp;"."&amp;$B954)&amp;IF(INDEX(Variables!$D$5:$D$65,MATCH($A954,Variables!$A$5:$A$65,0))="","","."&amp;INDEX(Variables!$D$5:$D$65,MATCH($A954,Variables!$A$5:$A$65,0)))&amp;"."&amp;Z$5</f>
        <v/>
      </c>
      <c r="AA954" s="40">
        <f>INDEX(Inputs!$V$5:$V$132,MATCH($B954&amp;"|"&amp;$C954,Inputs!$A$5:$A$132,0))</f>
        <v/>
      </c>
      <c r="AB954" s="41">
        <f>AA954*(1/(1+$G954))^(1+$E954)*(1+AB$7)^$D954*(AB936/AA936)^$E954*((AB936+AB945)/(AA936+AA945))^($F954*(1+$E954))</f>
        <v/>
      </c>
      <c r="AC954" s="41">
        <f>AB954*(1/(1+$G954))^(1+$E954)*(1+AC$7)^$D954*(AC936/AB936)^$E954*((AC936+AC945)/(AB936+AB945))^($F954*(1+$E954))</f>
        <v/>
      </c>
      <c r="AD954" s="41">
        <f>AC954*(1/(1+$G954))^(1+$E954)*(1+AD$7)^$D954*(AD936/AC936)^$E954*((AD936+AD945)/(AC936+AC945))^($F954*(1+$E954))</f>
        <v/>
      </c>
      <c r="AE954" s="41">
        <f>AD954*(1/(1+$G954))^(1+$E954)*(1+AE$7)^$D954*(AE936/AD936)^$E954*((AE936+AE945)/(AD936+AD945))^($F954*(1+$E954))</f>
        <v/>
      </c>
      <c r="AF954" s="41">
        <f>AE954*(1/(1+$G954))^(1+$E954)*(1+AF$7)^$D954*(AF936/AE936)^$E954*((AF936+AF945)/(AE936+AE945))^($F954*(1+$E954))</f>
        <v/>
      </c>
      <c r="AG954" s="41">
        <f>AF954*(1/(1+$G954))^(1+$E954)*(1+AG$7)^$D954*(AG936/AF936)^$E954*((AG936+AG945)/(AF936+AF945))^($F954*(1+$E954))</f>
        <v/>
      </c>
      <c r="AH954" s="41">
        <f>AG954*(1/(1+$G954))^(1+$E954)*(1+AH$7)^$D954*(AH936/AG936)^$E954*((AH936+AH945)/(AG936+AG945))^($F954*(1+$E954))</f>
        <v/>
      </c>
      <c r="AI954" s="41">
        <f>AH954*(1/(1+$G954))^(1+$E954)*(1+AI$7)^$D954*(AI936/AH936)^$E954*((AI936+AI945)/(AH936+AH945))^($F954*(1+$E954))</f>
        <v/>
      </c>
      <c r="AJ954" s="41">
        <f>AI954*(1/(1+$G954))^(1+$E954)*(1+AJ$7)^$D954*(AJ936/AI936)^$E954*((AJ936+AJ945)/(AI936+AI945))^($F954*(1+$E954))</f>
        <v/>
      </c>
      <c r="AK954" s="41">
        <f>AJ954*(1/(1+$G954))^(1+$E954)*(1+AK$7)^$D954*(AK936/AJ936)^$E954*((AK936+AK945)/(AJ936+AJ945))^($F954*(1+$E954))</f>
        <v/>
      </c>
      <c r="AL954" s="41">
        <f>AK954*(1/(1+$G954))^(1+$E954)*(1+AL$7)^$D954*(AL936/AK936)^$E954*((AL936+AL945)/(AK936+AK945))^($F954*(1+$E954))</f>
        <v/>
      </c>
      <c r="AM954" s="41">
        <f>AL954*(1/(1+$G954))^(1+$E954)*(1+AM$7)^$D954*(AM936/AL936)^$E954*((AM936+AM945)/(AL936+AL945))^($F954*(1+$E954))</f>
        <v/>
      </c>
      <c r="AN954" s="42">
        <f>FUELUSE(AM954,AN936,AM936,AN945,AM945,AN$7,$D954,$E954,$F954,$G954)</f>
        <v/>
      </c>
    </row>
    <row r="955" hidden="1" outlineLevel="2">
      <c r="A955" s="5" t="inlineStr">
        <is>
          <t>ener</t>
        </is>
      </c>
      <c r="B955" s="5" t="inlineStr">
        <is>
          <t>lpg</t>
        </is>
      </c>
      <c r="C955" s="5" t="inlineStr">
        <is>
          <t>mac</t>
        </is>
      </c>
      <c r="D955" s="36">
        <f>INDEX(Inputs!$N$5:$N$132,MATCH($B955&amp;"|"&amp;$C955,Inputs!$A$5:$A$132,0))</f>
        <v/>
      </c>
      <c r="E955" s="36">
        <f>INDEX(Inputs!$O$5:$O$132,MATCH($B955&amp;"|"&amp;$C955,Inputs!$A$5:$A$132,0))</f>
        <v/>
      </c>
      <c r="F955" s="36">
        <f>INDEX(Inputs!$P$5:$P$132,MATCH($B955&amp;"|"&amp;$C955,Inputs!$A$5:$A$132,0))</f>
        <v/>
      </c>
      <c r="G955" s="36">
        <f>INDEX(Inputs!$Q$5:$Q$132,MATCH($B955&amp;"|"&amp;$C955,Inputs!$A$5:$A$132,0))</f>
        <v/>
      </c>
      <c r="H955" s="5">
        <f>INDEX(Variables!$B$5:$B$65,MATCH($A955,Variables!$A$5:$A$65,0))&amp;IF($C955="",""," | "&amp;INDEX(Mapping!$B$5:$B$25,MATCH($C955,Mapping!$A$5:$A$25,0))&amp;" | "&amp;INDEX(Mapping!$B$29:$B$38,MATCH($B955,Mapping!$A$29:$A$38,0)))</f>
        <v/>
      </c>
      <c r="I955" s="5">
        <f>INDEX(Variables!$C$5:$C$65,MATCH($A955,Variables!$A$5:$A$65,0))</f>
        <v/>
      </c>
      <c r="J955" s="5">
        <f>INDEX(Variables!$E$5:$E$65,MATCH($A955,Variables!$A$5:$A$65,0))</f>
        <v/>
      </c>
      <c r="K955" s="23">
        <f>LOWER(Settings!$C$4)&amp;".mit."&amp;$A955&amp;IF($C955="","","."&amp;$C955&amp;"."&amp;$B955)&amp;IF(INDEX(Variables!$D$5:$D$65,MATCH($A955,Variables!$A$5:$A$65,0))="","","."&amp;INDEX(Variables!$D$5:$D$65,MATCH($A955,Variables!$A$5:$A$65,0)))&amp;"."&amp;K$5</f>
        <v/>
      </c>
      <c r="L955" s="40">
        <f>INDEX(Inputs!$V$5:$V$132,MATCH($B955&amp;"|"&amp;$C955,Inputs!$A$5:$A$132,0))</f>
        <v/>
      </c>
      <c r="M955" s="41">
        <f>L955*(1/(1+$G955))^(1+$E955)*(1+M$7)^$D955*(M937/L937)^$E955*((M937+M946)/(L937+L946))^($F955*(1+$E955))</f>
        <v/>
      </c>
      <c r="N955" s="41">
        <f>M955*(1/(1+$G955))^(1+$E955)*(1+N$7)^$D955*(N937/M937)^$E955*((N937+N946)/(M937+M946))^($F955*(1+$E955))</f>
        <v/>
      </c>
      <c r="O955" s="41">
        <f>N955*(1/(1+$G955))^(1+$E955)*(1+O$7)^$D955*(O937/N937)^$E955*((O937+O946)/(N937+N946))^($F955*(1+$E955))</f>
        <v/>
      </c>
      <c r="P955" s="41">
        <f>O955*(1/(1+$G955))^(1+$E955)*(1+P$7)^$D955*(P937/O937)^$E955*((P937+P946)/(O937+O946))^($F955*(1+$E955))</f>
        <v/>
      </c>
      <c r="Q955" s="41">
        <f>P955*(1/(1+$G955))^(1+$E955)*(1+Q$7)^$D955*(Q937/P937)^$E955*((Q937+Q946)/(P937+P946))^($F955*(1+$E955))</f>
        <v/>
      </c>
      <c r="R955" s="41">
        <f>Q955*(1/(1+$G955))^(1+$E955)*(1+R$7)^$D955*(R937/Q937)^$E955*((R937+R946)/(Q937+Q946))^($F955*(1+$E955))</f>
        <v/>
      </c>
      <c r="S955" s="41">
        <f>R955*(1/(1+$G955))^(1+$E955)*(1+S$7)^$D955*(S937/R937)^$E955*((S937+S946)/(R937+R946))^($F955*(1+$E955))</f>
        <v/>
      </c>
      <c r="T955" s="41">
        <f>S955*(1/(1+$G955))^(1+$E955)*(1+T$7)^$D955*(T937/S937)^$E955*((T937+T946)/(S937+S946))^($F955*(1+$E955))</f>
        <v/>
      </c>
      <c r="U955" s="41">
        <f>T955*(1/(1+$G955))^(1+$E955)*(1+U$7)^$D955*(U937/T937)^$E955*((U937+U946)/(T937+T946))^($F955*(1+$E955))</f>
        <v/>
      </c>
      <c r="V955" s="41">
        <f>U955*(1/(1+$G955))^(1+$E955)*(1+V$7)^$D955*(V937/U937)^$E955*((V937+V946)/(U937+U946))^($F955*(1+$E955))</f>
        <v/>
      </c>
      <c r="W955" s="41">
        <f>V955*(1/(1+$G955))^(1+$E955)*(1+W$7)^$D955*(W937/V937)^$E955*((W937+W946)/(V937+V946))^($F955*(1+$E955))</f>
        <v/>
      </c>
      <c r="X955" s="41">
        <f>W955*(1/(1+$G955))^(1+$E955)*(1+X$7)^$D955*(X937/W937)^$E955*((X937+X946)/(W937+W946))^($F955*(1+$E955))</f>
        <v/>
      </c>
      <c r="Y955" s="42">
        <f>FUELUSE(X955,Y937,X937,Y946,X946,Y$7,$D955,$E955,$F955,$G955)</f>
        <v/>
      </c>
      <c r="Z955" s="23">
        <f>LOWER(Settings!$C$4)&amp;".mit."&amp;$A955&amp;IF($C955="","","."&amp;$C955&amp;"."&amp;$B955)&amp;IF(INDEX(Variables!$D$5:$D$65,MATCH($A955,Variables!$A$5:$A$65,0))="","","."&amp;INDEX(Variables!$D$5:$D$65,MATCH($A955,Variables!$A$5:$A$65,0)))&amp;"."&amp;Z$5</f>
        <v/>
      </c>
      <c r="AA955" s="40">
        <f>INDEX(Inputs!$V$5:$V$132,MATCH($B955&amp;"|"&amp;$C955,Inputs!$A$5:$A$132,0))</f>
        <v/>
      </c>
      <c r="AB955" s="41">
        <f>AA955*(1/(1+$G955))^(1+$E955)*(1+AB$7)^$D955*(AB937/AA937)^$E955*((AB937+AB946)/(AA937+AA946))^($F955*(1+$E955))</f>
        <v/>
      </c>
      <c r="AC955" s="41">
        <f>AB955*(1/(1+$G955))^(1+$E955)*(1+AC$7)^$D955*(AC937/AB937)^$E955*((AC937+AC946)/(AB937+AB946))^($F955*(1+$E955))</f>
        <v/>
      </c>
      <c r="AD955" s="41">
        <f>AC955*(1/(1+$G955))^(1+$E955)*(1+AD$7)^$D955*(AD937/AC937)^$E955*((AD937+AD946)/(AC937+AC946))^($F955*(1+$E955))</f>
        <v/>
      </c>
      <c r="AE955" s="41">
        <f>AD955*(1/(1+$G955))^(1+$E955)*(1+AE$7)^$D955*(AE937/AD937)^$E955*((AE937+AE946)/(AD937+AD946))^($F955*(1+$E955))</f>
        <v/>
      </c>
      <c r="AF955" s="41">
        <f>AE955*(1/(1+$G955))^(1+$E955)*(1+AF$7)^$D955*(AF937/AE937)^$E955*((AF937+AF946)/(AE937+AE946))^($F955*(1+$E955))</f>
        <v/>
      </c>
      <c r="AG955" s="41">
        <f>AF955*(1/(1+$G955))^(1+$E955)*(1+AG$7)^$D955*(AG937/AF937)^$E955*((AG937+AG946)/(AF937+AF946))^($F955*(1+$E955))</f>
        <v/>
      </c>
      <c r="AH955" s="41">
        <f>AG955*(1/(1+$G955))^(1+$E955)*(1+AH$7)^$D955*(AH937/AG937)^$E955*((AH937+AH946)/(AG937+AG946))^($F955*(1+$E955))</f>
        <v/>
      </c>
      <c r="AI955" s="41">
        <f>AH955*(1/(1+$G955))^(1+$E955)*(1+AI$7)^$D955*(AI937/AH937)^$E955*((AI937+AI946)/(AH937+AH946))^($F955*(1+$E955))</f>
        <v/>
      </c>
      <c r="AJ955" s="41">
        <f>AI955*(1/(1+$G955))^(1+$E955)*(1+AJ$7)^$D955*(AJ937/AI937)^$E955*((AJ937+AJ946)/(AI937+AI946))^($F955*(1+$E955))</f>
        <v/>
      </c>
      <c r="AK955" s="41">
        <f>AJ955*(1/(1+$G955))^(1+$E955)*(1+AK$7)^$D955*(AK937/AJ937)^$E955*((AK937+AK946)/(AJ937+AJ946))^($F955*(1+$E955))</f>
        <v/>
      </c>
      <c r="AL955" s="41">
        <f>AK955*(1/(1+$G955))^(1+$E955)*(1+AL$7)^$D955*(AL937/AK937)^$E955*((AL937+AL946)/(AK937+AK946))^($F955*(1+$E955))</f>
        <v/>
      </c>
      <c r="AM955" s="41">
        <f>AL955*(1/(1+$G955))^(1+$E955)*(1+AM$7)^$D955*(AM937/AL937)^$E955*((AM937+AM946)/(AL937+AL946))^($F955*(1+$E955))</f>
        <v/>
      </c>
      <c r="AN955" s="42">
        <f>FUELUSE(AM955,AN937,AM937,AN946,AM946,AN$7,$D955,$E955,$F955,$G955)</f>
        <v/>
      </c>
    </row>
    <row r="956" hidden="1" outlineLevel="2">
      <c r="A956" s="5" t="inlineStr">
        <is>
          <t>ener</t>
        </is>
      </c>
      <c r="B956" s="5" t="inlineStr">
        <is>
          <t>ker</t>
        </is>
      </c>
      <c r="C956" s="5" t="inlineStr">
        <is>
          <t>mac</t>
        </is>
      </c>
      <c r="D956" s="36">
        <f>INDEX(Inputs!$N$5:$N$132,MATCH($B956&amp;"|"&amp;$C956,Inputs!$A$5:$A$132,0))</f>
        <v/>
      </c>
      <c r="E956" s="36">
        <f>INDEX(Inputs!$O$5:$O$132,MATCH($B956&amp;"|"&amp;$C956,Inputs!$A$5:$A$132,0))</f>
        <v/>
      </c>
      <c r="F956" s="36">
        <f>INDEX(Inputs!$P$5:$P$132,MATCH($B956&amp;"|"&amp;$C956,Inputs!$A$5:$A$132,0))</f>
        <v/>
      </c>
      <c r="G956" s="36">
        <f>INDEX(Inputs!$Q$5:$Q$132,MATCH($B956&amp;"|"&amp;$C956,Inputs!$A$5:$A$132,0))</f>
        <v/>
      </c>
      <c r="H956" s="5">
        <f>INDEX(Variables!$B$5:$B$65,MATCH($A956,Variables!$A$5:$A$65,0))&amp;IF($C956="",""," | "&amp;INDEX(Mapping!$B$5:$B$25,MATCH($C956,Mapping!$A$5:$A$25,0))&amp;" | "&amp;INDEX(Mapping!$B$29:$B$38,MATCH($B956,Mapping!$A$29:$A$38,0)))</f>
        <v/>
      </c>
      <c r="I956" s="5">
        <f>INDEX(Variables!$C$5:$C$65,MATCH($A956,Variables!$A$5:$A$65,0))</f>
        <v/>
      </c>
      <c r="J956" s="5">
        <f>INDEX(Variables!$E$5:$E$65,MATCH($A956,Variables!$A$5:$A$65,0))</f>
        <v/>
      </c>
      <c r="K956" s="23">
        <f>LOWER(Settings!$C$4)&amp;".mit."&amp;$A956&amp;IF($C956="","","."&amp;$C956&amp;"."&amp;$B956)&amp;IF(INDEX(Variables!$D$5:$D$65,MATCH($A956,Variables!$A$5:$A$65,0))="","","."&amp;INDEX(Variables!$D$5:$D$65,MATCH($A956,Variables!$A$5:$A$65,0)))&amp;"."&amp;K$5</f>
        <v/>
      </c>
      <c r="L956" s="40">
        <f>INDEX(Inputs!$V$5:$V$132,MATCH($B956&amp;"|"&amp;$C956,Inputs!$A$5:$A$132,0))</f>
        <v/>
      </c>
      <c r="M956" s="41">
        <f>L956*(1/(1+$G956))^(1+$E956)*(1+M$7)^$D956*(M938/L938)^$E956*((M938+M947)/(L938+L947))^($F956*(1+$E956))</f>
        <v/>
      </c>
      <c r="N956" s="41">
        <f>M956*(1/(1+$G956))^(1+$E956)*(1+N$7)^$D956*(N938/M938)^$E956*((N938+N947)/(M938+M947))^($F956*(1+$E956))</f>
        <v/>
      </c>
      <c r="O956" s="41">
        <f>N956*(1/(1+$G956))^(1+$E956)*(1+O$7)^$D956*(O938/N938)^$E956*((O938+O947)/(N938+N947))^($F956*(1+$E956))</f>
        <v/>
      </c>
      <c r="P956" s="41">
        <f>O956*(1/(1+$G956))^(1+$E956)*(1+P$7)^$D956*(P938/O938)^$E956*((P938+P947)/(O938+O947))^($F956*(1+$E956))</f>
        <v/>
      </c>
      <c r="Q956" s="41">
        <f>P956*(1/(1+$G956))^(1+$E956)*(1+Q$7)^$D956*(Q938/P938)^$E956*((Q938+Q947)/(P938+P947))^($F956*(1+$E956))</f>
        <v/>
      </c>
      <c r="R956" s="41">
        <f>Q956*(1/(1+$G956))^(1+$E956)*(1+R$7)^$D956*(R938/Q938)^$E956*((R938+R947)/(Q938+Q947))^($F956*(1+$E956))</f>
        <v/>
      </c>
      <c r="S956" s="41">
        <f>R956*(1/(1+$G956))^(1+$E956)*(1+S$7)^$D956*(S938/R938)^$E956*((S938+S947)/(R938+R947))^($F956*(1+$E956))</f>
        <v/>
      </c>
      <c r="T956" s="41">
        <f>S956*(1/(1+$G956))^(1+$E956)*(1+T$7)^$D956*(T938/S938)^$E956*((T938+T947)/(S938+S947))^($F956*(1+$E956))</f>
        <v/>
      </c>
      <c r="U956" s="41">
        <f>T956*(1/(1+$G956))^(1+$E956)*(1+U$7)^$D956*(U938/T938)^$E956*((U938+U947)/(T938+T947))^($F956*(1+$E956))</f>
        <v/>
      </c>
      <c r="V956" s="41">
        <f>U956*(1/(1+$G956))^(1+$E956)*(1+V$7)^$D956*(V938/U938)^$E956*((V938+V947)/(U938+U947))^($F956*(1+$E956))</f>
        <v/>
      </c>
      <c r="W956" s="41">
        <f>V956*(1/(1+$G956))^(1+$E956)*(1+W$7)^$D956*(W938/V938)^$E956*((W938+W947)/(V938+V947))^($F956*(1+$E956))</f>
        <v/>
      </c>
      <c r="X956" s="41">
        <f>W956*(1/(1+$G956))^(1+$E956)*(1+X$7)^$D956*(X938/W938)^$E956*((X938+X947)/(W938+W947))^($F956*(1+$E956))</f>
        <v/>
      </c>
      <c r="Y956" s="42">
        <f>FUELUSE(X956,Y938,X938,Y947,X947,Y$7,$D956,$E956,$F956,$G956)</f>
        <v/>
      </c>
      <c r="Z956" s="23">
        <f>LOWER(Settings!$C$4)&amp;".mit."&amp;$A956&amp;IF($C956="","","."&amp;$C956&amp;"."&amp;$B956)&amp;IF(INDEX(Variables!$D$5:$D$65,MATCH($A956,Variables!$A$5:$A$65,0))="","","."&amp;INDEX(Variables!$D$5:$D$65,MATCH($A956,Variables!$A$5:$A$65,0)))&amp;"."&amp;Z$5</f>
        <v/>
      </c>
      <c r="AA956" s="40">
        <f>INDEX(Inputs!$V$5:$V$132,MATCH($B956&amp;"|"&amp;$C956,Inputs!$A$5:$A$132,0))</f>
        <v/>
      </c>
      <c r="AB956" s="41">
        <f>AA956*(1/(1+$G956))^(1+$E956)*(1+AB$7)^$D956*(AB938/AA938)^$E956*((AB938+AB947)/(AA938+AA947))^($F956*(1+$E956))</f>
        <v/>
      </c>
      <c r="AC956" s="41">
        <f>AB956*(1/(1+$G956))^(1+$E956)*(1+AC$7)^$D956*(AC938/AB938)^$E956*((AC938+AC947)/(AB938+AB947))^($F956*(1+$E956))</f>
        <v/>
      </c>
      <c r="AD956" s="41">
        <f>AC956*(1/(1+$G956))^(1+$E956)*(1+AD$7)^$D956*(AD938/AC938)^$E956*((AD938+AD947)/(AC938+AC947))^($F956*(1+$E956))</f>
        <v/>
      </c>
      <c r="AE956" s="41">
        <f>AD956*(1/(1+$G956))^(1+$E956)*(1+AE$7)^$D956*(AE938/AD938)^$E956*((AE938+AE947)/(AD938+AD947))^($F956*(1+$E956))</f>
        <v/>
      </c>
      <c r="AF956" s="41">
        <f>AE956*(1/(1+$G956))^(1+$E956)*(1+AF$7)^$D956*(AF938/AE938)^$E956*((AF938+AF947)/(AE938+AE947))^($F956*(1+$E956))</f>
        <v/>
      </c>
      <c r="AG956" s="41">
        <f>AF956*(1/(1+$G956))^(1+$E956)*(1+AG$7)^$D956*(AG938/AF938)^$E956*((AG938+AG947)/(AF938+AF947))^($F956*(1+$E956))</f>
        <v/>
      </c>
      <c r="AH956" s="41">
        <f>AG956*(1/(1+$G956))^(1+$E956)*(1+AH$7)^$D956*(AH938/AG938)^$E956*((AH938+AH947)/(AG938+AG947))^($F956*(1+$E956))</f>
        <v/>
      </c>
      <c r="AI956" s="41">
        <f>AH956*(1/(1+$G956))^(1+$E956)*(1+AI$7)^$D956*(AI938/AH938)^$E956*((AI938+AI947)/(AH938+AH947))^($F956*(1+$E956))</f>
        <v/>
      </c>
      <c r="AJ956" s="41">
        <f>AI956*(1/(1+$G956))^(1+$E956)*(1+AJ$7)^$D956*(AJ938/AI938)^$E956*((AJ938+AJ947)/(AI938+AI947))^($F956*(1+$E956))</f>
        <v/>
      </c>
      <c r="AK956" s="41">
        <f>AJ956*(1/(1+$G956))^(1+$E956)*(1+AK$7)^$D956*(AK938/AJ938)^$E956*((AK938+AK947)/(AJ938+AJ947))^($F956*(1+$E956))</f>
        <v/>
      </c>
      <c r="AL956" s="41">
        <f>AK956*(1/(1+$G956))^(1+$E956)*(1+AL$7)^$D956*(AL938/AK938)^$E956*((AL938+AL947)/(AK938+AK947))^($F956*(1+$E956))</f>
        <v/>
      </c>
      <c r="AM956" s="41">
        <f>AL956*(1/(1+$G956))^(1+$E956)*(1+AM$7)^$D956*(AM938/AL938)^$E956*((AM938+AM947)/(AL938+AL947))^($F956*(1+$E956))</f>
        <v/>
      </c>
      <c r="AN956" s="42">
        <f>FUELUSE(AM956,AN938,AM938,AN947,AM947,AN$7,$D956,$E956,$F956,$G956)</f>
        <v/>
      </c>
    </row>
    <row r="957" hidden="1" outlineLevel="2">
      <c r="A957" s="5" t="inlineStr">
        <is>
          <t>ener</t>
        </is>
      </c>
      <c r="B957" s="5" t="inlineStr">
        <is>
          <t>oop</t>
        </is>
      </c>
      <c r="C957" s="5" t="inlineStr">
        <is>
          <t>mac</t>
        </is>
      </c>
      <c r="D957" s="36">
        <f>INDEX(Inputs!$N$5:$N$132,MATCH($B957&amp;"|"&amp;$C957,Inputs!$A$5:$A$132,0))</f>
        <v/>
      </c>
      <c r="E957" s="36">
        <f>INDEX(Inputs!$O$5:$O$132,MATCH($B957&amp;"|"&amp;$C957,Inputs!$A$5:$A$132,0))</f>
        <v/>
      </c>
      <c r="F957" s="36">
        <f>INDEX(Inputs!$P$5:$P$132,MATCH($B957&amp;"|"&amp;$C957,Inputs!$A$5:$A$132,0))</f>
        <v/>
      </c>
      <c r="G957" s="36">
        <f>INDEX(Inputs!$Q$5:$Q$132,MATCH($B957&amp;"|"&amp;$C957,Inputs!$A$5:$A$132,0))</f>
        <v/>
      </c>
      <c r="H957" s="5">
        <f>INDEX(Variables!$B$5:$B$65,MATCH($A957,Variables!$A$5:$A$65,0))&amp;IF($C957="",""," | "&amp;INDEX(Mapping!$B$5:$B$25,MATCH($C957,Mapping!$A$5:$A$25,0))&amp;" | "&amp;INDEX(Mapping!$B$29:$B$38,MATCH($B957,Mapping!$A$29:$A$38,0)))</f>
        <v/>
      </c>
      <c r="I957" s="5">
        <f>INDEX(Variables!$C$5:$C$65,MATCH($A957,Variables!$A$5:$A$65,0))</f>
        <v/>
      </c>
      <c r="J957" s="5">
        <f>INDEX(Variables!$E$5:$E$65,MATCH($A957,Variables!$A$5:$A$65,0))</f>
        <v/>
      </c>
      <c r="K957" s="23">
        <f>LOWER(Settings!$C$4)&amp;".mit."&amp;$A957&amp;IF($C957="","","."&amp;$C957&amp;"."&amp;$B957)&amp;IF(INDEX(Variables!$D$5:$D$65,MATCH($A957,Variables!$A$5:$A$65,0))="","","."&amp;INDEX(Variables!$D$5:$D$65,MATCH($A957,Variables!$A$5:$A$65,0)))&amp;"."&amp;K$5</f>
        <v/>
      </c>
      <c r="L957" s="40">
        <f>INDEX(Inputs!$V$5:$V$132,MATCH($B957&amp;"|"&amp;$C957,Inputs!$A$5:$A$132,0))</f>
        <v/>
      </c>
      <c r="M957" s="41">
        <f>L957*(1/(1+$G957))^(1+$E957)*(1+M$7)^$D957*(M939/L939)^$E957*((M939+M948)/(L939+L948))^($F957*(1+$E957))</f>
        <v/>
      </c>
      <c r="N957" s="41">
        <f>M957*(1/(1+$G957))^(1+$E957)*(1+N$7)^$D957*(N939/M939)^$E957*((N939+N948)/(M939+M948))^($F957*(1+$E957))</f>
        <v/>
      </c>
      <c r="O957" s="41">
        <f>N957*(1/(1+$G957))^(1+$E957)*(1+O$7)^$D957*(O939/N939)^$E957*((O939+O948)/(N939+N948))^($F957*(1+$E957))</f>
        <v/>
      </c>
      <c r="P957" s="41">
        <f>O957*(1/(1+$G957))^(1+$E957)*(1+P$7)^$D957*(P939/O939)^$E957*((P939+P948)/(O939+O948))^($F957*(1+$E957))</f>
        <v/>
      </c>
      <c r="Q957" s="41">
        <f>P957*(1/(1+$G957))^(1+$E957)*(1+Q$7)^$D957*(Q939/P939)^$E957*((Q939+Q948)/(P939+P948))^($F957*(1+$E957))</f>
        <v/>
      </c>
      <c r="R957" s="41">
        <f>Q957*(1/(1+$G957))^(1+$E957)*(1+R$7)^$D957*(R939/Q939)^$E957*((R939+R948)/(Q939+Q948))^($F957*(1+$E957))</f>
        <v/>
      </c>
      <c r="S957" s="41">
        <f>R957*(1/(1+$G957))^(1+$E957)*(1+S$7)^$D957*(S939/R939)^$E957*((S939+S948)/(R939+R948))^($F957*(1+$E957))</f>
        <v/>
      </c>
      <c r="T957" s="41">
        <f>S957*(1/(1+$G957))^(1+$E957)*(1+T$7)^$D957*(T939/S939)^$E957*((T939+T948)/(S939+S948))^($F957*(1+$E957))</f>
        <v/>
      </c>
      <c r="U957" s="41">
        <f>T957*(1/(1+$G957))^(1+$E957)*(1+U$7)^$D957*(U939/T939)^$E957*((U939+U948)/(T939+T948))^($F957*(1+$E957))</f>
        <v/>
      </c>
      <c r="V957" s="41">
        <f>U957*(1/(1+$G957))^(1+$E957)*(1+V$7)^$D957*(V939/U939)^$E957*((V939+V948)/(U939+U948))^($F957*(1+$E957))</f>
        <v/>
      </c>
      <c r="W957" s="41">
        <f>V957*(1/(1+$G957))^(1+$E957)*(1+W$7)^$D957*(W939/V939)^$E957*((W939+W948)/(V939+V948))^($F957*(1+$E957))</f>
        <v/>
      </c>
      <c r="X957" s="41">
        <f>W957*(1/(1+$G957))^(1+$E957)*(1+X$7)^$D957*(X939/W939)^$E957*((X939+X948)/(W939+W948))^($F957*(1+$E957))</f>
        <v/>
      </c>
      <c r="Y957" s="42">
        <f>FUELUSE(X957,Y939,X939,Y948,X948,Y$7,$D957,$E957,$F957,$G957)</f>
        <v/>
      </c>
      <c r="Z957" s="23">
        <f>LOWER(Settings!$C$4)&amp;".mit."&amp;$A957&amp;IF($C957="","","."&amp;$C957&amp;"."&amp;$B957)&amp;IF(INDEX(Variables!$D$5:$D$65,MATCH($A957,Variables!$A$5:$A$65,0))="","","."&amp;INDEX(Variables!$D$5:$D$65,MATCH($A957,Variables!$A$5:$A$65,0)))&amp;"."&amp;Z$5</f>
        <v/>
      </c>
      <c r="AA957" s="40">
        <f>INDEX(Inputs!$V$5:$V$132,MATCH($B957&amp;"|"&amp;$C957,Inputs!$A$5:$A$132,0))</f>
        <v/>
      </c>
      <c r="AB957" s="41">
        <f>AA957*(1/(1+$G957))^(1+$E957)*(1+AB$7)^$D957*(AB939/AA939)^$E957*((AB939+AB948)/(AA939+AA948))^($F957*(1+$E957))</f>
        <v/>
      </c>
      <c r="AC957" s="41">
        <f>AB957*(1/(1+$G957))^(1+$E957)*(1+AC$7)^$D957*(AC939/AB939)^$E957*((AC939+AC948)/(AB939+AB948))^($F957*(1+$E957))</f>
        <v/>
      </c>
      <c r="AD957" s="41">
        <f>AC957*(1/(1+$G957))^(1+$E957)*(1+AD$7)^$D957*(AD939/AC939)^$E957*((AD939+AD948)/(AC939+AC948))^($F957*(1+$E957))</f>
        <v/>
      </c>
      <c r="AE957" s="41">
        <f>AD957*(1/(1+$G957))^(1+$E957)*(1+AE$7)^$D957*(AE939/AD939)^$E957*((AE939+AE948)/(AD939+AD948))^($F957*(1+$E957))</f>
        <v/>
      </c>
      <c r="AF957" s="41">
        <f>AE957*(1/(1+$G957))^(1+$E957)*(1+AF$7)^$D957*(AF939/AE939)^$E957*((AF939+AF948)/(AE939+AE948))^($F957*(1+$E957))</f>
        <v/>
      </c>
      <c r="AG957" s="41">
        <f>AF957*(1/(1+$G957))^(1+$E957)*(1+AG$7)^$D957*(AG939/AF939)^$E957*((AG939+AG948)/(AF939+AF948))^($F957*(1+$E957))</f>
        <v/>
      </c>
      <c r="AH957" s="41">
        <f>AG957*(1/(1+$G957))^(1+$E957)*(1+AH$7)^$D957*(AH939/AG939)^$E957*((AH939+AH948)/(AG939+AG948))^($F957*(1+$E957))</f>
        <v/>
      </c>
      <c r="AI957" s="41">
        <f>AH957*(1/(1+$G957))^(1+$E957)*(1+AI$7)^$D957*(AI939/AH939)^$E957*((AI939+AI948)/(AH939+AH948))^($F957*(1+$E957))</f>
        <v/>
      </c>
      <c r="AJ957" s="41">
        <f>AI957*(1/(1+$G957))^(1+$E957)*(1+AJ$7)^$D957*(AJ939/AI939)^$E957*((AJ939+AJ948)/(AI939+AI948))^($F957*(1+$E957))</f>
        <v/>
      </c>
      <c r="AK957" s="41">
        <f>AJ957*(1/(1+$G957))^(1+$E957)*(1+AK$7)^$D957*(AK939/AJ939)^$E957*((AK939+AK948)/(AJ939+AJ948))^($F957*(1+$E957))</f>
        <v/>
      </c>
      <c r="AL957" s="41">
        <f>AK957*(1/(1+$G957))^(1+$E957)*(1+AL$7)^$D957*(AL939/AK939)^$E957*((AL939+AL948)/(AK939+AK948))^($F957*(1+$E957))</f>
        <v/>
      </c>
      <c r="AM957" s="41">
        <f>AL957*(1/(1+$G957))^(1+$E957)*(1+AM$7)^$D957*(AM939/AL939)^$E957*((AM939+AM948)/(AL939+AL948))^($F957*(1+$E957))</f>
        <v/>
      </c>
      <c r="AN957" s="42">
        <f>FUELUSE(AM957,AN939,AM939,AN948,AM948,AN$7,$D957,$E957,$F957,$G957)</f>
        <v/>
      </c>
    </row>
    <row r="958" hidden="1" outlineLevel="2">
      <c r="A958" s="5" t="inlineStr">
        <is>
          <t>ener</t>
        </is>
      </c>
      <c r="B958" s="5" t="inlineStr">
        <is>
          <t>bio</t>
        </is>
      </c>
      <c r="C958" s="5" t="inlineStr">
        <is>
          <t>mac</t>
        </is>
      </c>
      <c r="D958" s="36">
        <f>INDEX(Inputs!$N$5:$N$132,MATCH($B958&amp;"|"&amp;$C958,Inputs!$A$5:$A$132,0))</f>
        <v/>
      </c>
      <c r="E958" s="36">
        <f>INDEX(Inputs!$O$5:$O$132,MATCH($B958&amp;"|"&amp;$C958,Inputs!$A$5:$A$132,0))</f>
        <v/>
      </c>
      <c r="F958" s="36">
        <f>INDEX(Inputs!$P$5:$P$132,MATCH($B958&amp;"|"&amp;$C958,Inputs!$A$5:$A$132,0))</f>
        <v/>
      </c>
      <c r="G958" s="36">
        <f>INDEX(Inputs!$Q$5:$Q$132,MATCH($B958&amp;"|"&amp;$C958,Inputs!$A$5:$A$132,0))</f>
        <v/>
      </c>
      <c r="H958" s="5">
        <f>INDEX(Variables!$B$5:$B$65,MATCH($A958,Variables!$A$5:$A$65,0))&amp;IF($C958="",""," | "&amp;INDEX(Mapping!$B$5:$B$25,MATCH($C958,Mapping!$A$5:$A$25,0))&amp;" | "&amp;INDEX(Mapping!$B$29:$B$38,MATCH($B958,Mapping!$A$29:$A$38,0)))</f>
        <v/>
      </c>
      <c r="I958" s="5">
        <f>INDEX(Variables!$C$5:$C$65,MATCH($A958,Variables!$A$5:$A$65,0))</f>
        <v/>
      </c>
      <c r="J958" s="5">
        <f>INDEX(Variables!$E$5:$E$65,MATCH($A958,Variables!$A$5:$A$65,0))</f>
        <v/>
      </c>
      <c r="K958" s="23">
        <f>LOWER(Settings!$C$4)&amp;".mit."&amp;$A958&amp;IF($C958="","","."&amp;$C958&amp;"."&amp;$B958)&amp;IF(INDEX(Variables!$D$5:$D$65,MATCH($A958,Variables!$A$5:$A$65,0))="","","."&amp;INDEX(Variables!$D$5:$D$65,MATCH($A958,Variables!$A$5:$A$65,0)))&amp;"."&amp;K$5</f>
        <v/>
      </c>
      <c r="L958" s="40">
        <f>INDEX(Inputs!$V$5:$V$132,MATCH($B958&amp;"|"&amp;$C958,Inputs!$A$5:$A$132,0))</f>
        <v/>
      </c>
      <c r="M958" s="41">
        <f>L958*(1/(1+$G958))^(1+$E958)*(1+M$7)^$D958*(M940/L940)^$E958*((M940+M949)/(L940+L949))^($F958*(1+$E958))</f>
        <v/>
      </c>
      <c r="N958" s="41">
        <f>M958*(1/(1+$G958))^(1+$E958)*(1+N$7)^$D958*(N940/M940)^$E958*((N940+N949)/(M940+M949))^($F958*(1+$E958))</f>
        <v/>
      </c>
      <c r="O958" s="41">
        <f>N958*(1/(1+$G958))^(1+$E958)*(1+O$7)^$D958*(O940/N940)^$E958*((O940+O949)/(N940+N949))^($F958*(1+$E958))</f>
        <v/>
      </c>
      <c r="P958" s="41">
        <f>O958*(1/(1+$G958))^(1+$E958)*(1+P$7)^$D958*(P940/O940)^$E958*((P940+P949)/(O940+O949))^($F958*(1+$E958))</f>
        <v/>
      </c>
      <c r="Q958" s="41">
        <f>P958*(1/(1+$G958))^(1+$E958)*(1+Q$7)^$D958*(Q940/P940)^$E958*((Q940+Q949)/(P940+P949))^($F958*(1+$E958))</f>
        <v/>
      </c>
      <c r="R958" s="41">
        <f>Q958*(1/(1+$G958))^(1+$E958)*(1+R$7)^$D958*(R940/Q940)^$E958*((R940+R949)/(Q940+Q949))^($F958*(1+$E958))</f>
        <v/>
      </c>
      <c r="S958" s="41">
        <f>R958*(1/(1+$G958))^(1+$E958)*(1+S$7)^$D958*(S940/R940)^$E958*((S940+S949)/(R940+R949))^($F958*(1+$E958))</f>
        <v/>
      </c>
      <c r="T958" s="41">
        <f>S958*(1/(1+$G958))^(1+$E958)*(1+T$7)^$D958*(T940/S940)^$E958*((T940+T949)/(S940+S949))^($F958*(1+$E958))</f>
        <v/>
      </c>
      <c r="U958" s="41">
        <f>T958*(1/(1+$G958))^(1+$E958)*(1+U$7)^$D958*(U940/T940)^$E958*((U940+U949)/(T940+T949))^($F958*(1+$E958))</f>
        <v/>
      </c>
      <c r="V958" s="41">
        <f>U958*(1/(1+$G958))^(1+$E958)*(1+V$7)^$D958*(V940/U940)^$E958*((V940+V949)/(U940+U949))^($F958*(1+$E958))</f>
        <v/>
      </c>
      <c r="W958" s="41">
        <f>V958*(1/(1+$G958))^(1+$E958)*(1+W$7)^$D958*(W940/V940)^$E958*((W940+W949)/(V940+V949))^($F958*(1+$E958))</f>
        <v/>
      </c>
      <c r="X958" s="41">
        <f>W958*(1/(1+$G958))^(1+$E958)*(1+X$7)^$D958*(X940/W940)^$E958*((X940+X949)/(W940+W949))^($F958*(1+$E958))</f>
        <v/>
      </c>
      <c r="Y958" s="42">
        <f>FUELUSE(X958,Y940,X940,Y949,X949,Y$7,$D958,$E958,$F958,$G958)</f>
        <v/>
      </c>
      <c r="Z958" s="23">
        <f>LOWER(Settings!$C$4)&amp;".mit."&amp;$A958&amp;IF($C958="","","."&amp;$C958&amp;"."&amp;$B958)&amp;IF(INDEX(Variables!$D$5:$D$65,MATCH($A958,Variables!$A$5:$A$65,0))="","","."&amp;INDEX(Variables!$D$5:$D$65,MATCH($A958,Variables!$A$5:$A$65,0)))&amp;"."&amp;Z$5</f>
        <v/>
      </c>
      <c r="AA958" s="40">
        <f>INDEX(Inputs!$V$5:$V$132,MATCH($B958&amp;"|"&amp;$C958,Inputs!$A$5:$A$132,0))</f>
        <v/>
      </c>
      <c r="AB958" s="41">
        <f>AA958*(1/(1+$G958))^(1+$E958)*(1+AB$7)^$D958*(AB940/AA940)^$E958*((AB940+AB949)/(AA940+AA949))^($F958*(1+$E958))</f>
        <v/>
      </c>
      <c r="AC958" s="41">
        <f>AB958*(1/(1+$G958))^(1+$E958)*(1+AC$7)^$D958*(AC940/AB940)^$E958*((AC940+AC949)/(AB940+AB949))^($F958*(1+$E958))</f>
        <v/>
      </c>
      <c r="AD958" s="41">
        <f>AC958*(1/(1+$G958))^(1+$E958)*(1+AD$7)^$D958*(AD940/AC940)^$E958*((AD940+AD949)/(AC940+AC949))^($F958*(1+$E958))</f>
        <v/>
      </c>
      <c r="AE958" s="41">
        <f>AD958*(1/(1+$G958))^(1+$E958)*(1+AE$7)^$D958*(AE940/AD940)^$E958*((AE940+AE949)/(AD940+AD949))^($F958*(1+$E958))</f>
        <v/>
      </c>
      <c r="AF958" s="41">
        <f>AE958*(1/(1+$G958))^(1+$E958)*(1+AF$7)^$D958*(AF940/AE940)^$E958*((AF940+AF949)/(AE940+AE949))^($F958*(1+$E958))</f>
        <v/>
      </c>
      <c r="AG958" s="41">
        <f>AF958*(1/(1+$G958))^(1+$E958)*(1+AG$7)^$D958*(AG940/AF940)^$E958*((AG940+AG949)/(AF940+AF949))^($F958*(1+$E958))</f>
        <v/>
      </c>
      <c r="AH958" s="41">
        <f>AG958*(1/(1+$G958))^(1+$E958)*(1+AH$7)^$D958*(AH940/AG940)^$E958*((AH940+AH949)/(AG940+AG949))^($F958*(1+$E958))</f>
        <v/>
      </c>
      <c r="AI958" s="41">
        <f>AH958*(1/(1+$G958))^(1+$E958)*(1+AI$7)^$D958*(AI940/AH940)^$E958*((AI940+AI949)/(AH940+AH949))^($F958*(1+$E958))</f>
        <v/>
      </c>
      <c r="AJ958" s="41">
        <f>AI958*(1/(1+$G958))^(1+$E958)*(1+AJ$7)^$D958*(AJ940/AI940)^$E958*((AJ940+AJ949)/(AI940+AI949))^($F958*(1+$E958))</f>
        <v/>
      </c>
      <c r="AK958" s="41">
        <f>AJ958*(1/(1+$G958))^(1+$E958)*(1+AK$7)^$D958*(AK940/AJ940)^$E958*((AK940+AK949)/(AJ940+AJ949))^($F958*(1+$E958))</f>
        <v/>
      </c>
      <c r="AL958" s="41">
        <f>AK958*(1/(1+$G958))^(1+$E958)*(1+AL$7)^$D958*(AL940/AK940)^$E958*((AL940+AL949)/(AK940+AK949))^($F958*(1+$E958))</f>
        <v/>
      </c>
      <c r="AM958" s="41">
        <f>AL958*(1/(1+$G958))^(1+$E958)*(1+AM$7)^$D958*(AM940/AL940)^$E958*((AM940+AM949)/(AL940+AL949))^($F958*(1+$E958))</f>
        <v/>
      </c>
      <c r="AN958" s="42">
        <f>FUELUSE(AM958,AN940,AM940,AN949,AM949,AN$7,$D958,$E958,$F958,$G958)</f>
        <v/>
      </c>
    </row>
    <row r="959" hidden="1" outlineLevel="2"/>
    <row r="960" outlineLevel="1" collapsed="1">
      <c r="A960" s="7" t="inlineStr">
        <is>
          <t>ener</t>
        </is>
      </c>
      <c r="B960" s="7" t="inlineStr">
        <is>
          <t>all</t>
        </is>
      </c>
      <c r="C960" s="7" t="inlineStr">
        <is>
          <t>cem</t>
        </is>
      </c>
      <c r="H960" s="7">
        <f>INDEX(Variables!$B$5:$B$65,MATCH($A960,Variables!$A$5:$A$65,0))&amp;IF($C960="",""," | "&amp;INDEX(Mapping!$B$5:$B$25,MATCH($C960,Mapping!$A$5:$A$25,0))&amp;" | "&amp;INDEX(Mapping!$B$29:$B$38,MATCH($B960,Mapping!$A$29:$A$38,0)))</f>
        <v/>
      </c>
      <c r="I960" s="7">
        <f>INDEX(Variables!$C$5:$C$65,MATCH($A960,Variables!$A$5:$A$65,0))</f>
        <v/>
      </c>
      <c r="J960" s="7">
        <f>INDEX(Variables!$E$5:$E$65,MATCH($A960,Variables!$A$5:$A$65,0))</f>
        <v/>
      </c>
      <c r="K960" s="26">
        <f>LOWER(Settings!$C$4)&amp;".mit."&amp;$A960&amp;IF($C960="","","."&amp;$C960&amp;"."&amp;$B960)&amp;IF(INDEX(Variables!$D$5:$D$65,MATCH($A960,Variables!$A$5:$A$65,0))="","","."&amp;INDEX(Variables!$D$5:$D$65,MATCH($A960,Variables!$A$5:$A$65,0)))&amp;"."&amp;K$5</f>
        <v/>
      </c>
      <c r="L960" s="34">
        <f>SUM(L1024:L1031)</f>
        <v/>
      </c>
      <c r="M960" s="35">
        <f>SUM(M1024:M1031)</f>
        <v/>
      </c>
      <c r="N960" s="35">
        <f>SUM(N1024:N1031)</f>
        <v/>
      </c>
      <c r="O960" s="35">
        <f>SUM(O1024:O1031)</f>
        <v/>
      </c>
      <c r="P960" s="35">
        <f>SUM(P1024:P1031)</f>
        <v/>
      </c>
      <c r="Q960" s="35">
        <f>SUM(Q1024:Q1031)</f>
        <v/>
      </c>
      <c r="R960" s="35">
        <f>SUM(R1024:R1031)</f>
        <v/>
      </c>
      <c r="S960" s="35">
        <f>SUM(S1024:S1031)</f>
        <v/>
      </c>
      <c r="T960" s="35">
        <f>SUM(T1024:T1031)</f>
        <v/>
      </c>
      <c r="U960" s="35">
        <f>SUM(U1024:U1031)</f>
        <v/>
      </c>
      <c r="V960" s="35">
        <f>SUM(V1024:V1031)</f>
        <v/>
      </c>
      <c r="W960" s="35">
        <f>SUM(W1024:W1031)</f>
        <v/>
      </c>
      <c r="X960" s="35">
        <f>SUM(X1024:X1031)</f>
        <v/>
      </c>
      <c r="Y960" s="35">
        <f>SUM(Y1024:Y1031)</f>
        <v/>
      </c>
      <c r="Z960" s="26">
        <f>LOWER(Settings!$C$4)&amp;".mit."&amp;$A960&amp;IF($C960="","","."&amp;$C960&amp;"."&amp;$B960)&amp;IF(INDEX(Variables!$D$5:$D$65,MATCH($A960,Variables!$A$5:$A$65,0))="","","."&amp;INDEX(Variables!$D$5:$D$65,MATCH($A960,Variables!$A$5:$A$65,0)))&amp;"."&amp;Z$5</f>
        <v/>
      </c>
      <c r="AA960" s="34">
        <f>SUM(AA1024:AA1031)</f>
        <v/>
      </c>
      <c r="AB960" s="35">
        <f>SUM(AB1024:AB1031)</f>
        <v/>
      </c>
      <c r="AC960" s="35">
        <f>SUM(AC1024:AC1031)</f>
        <v/>
      </c>
      <c r="AD960" s="35">
        <f>SUM(AD1024:AD1031)</f>
        <v/>
      </c>
      <c r="AE960" s="35">
        <f>SUM(AE1024:AE1031)</f>
        <v/>
      </c>
      <c r="AF960" s="35">
        <f>SUM(AF1024:AF1031)</f>
        <v/>
      </c>
      <c r="AG960" s="35">
        <f>SUM(AG1024:AG1031)</f>
        <v/>
      </c>
      <c r="AH960" s="35">
        <f>SUM(AH1024:AH1031)</f>
        <v/>
      </c>
      <c r="AI960" s="35">
        <f>SUM(AI1024:AI1031)</f>
        <v/>
      </c>
      <c r="AJ960" s="35">
        <f>SUM(AJ1024:AJ1031)</f>
        <v/>
      </c>
      <c r="AK960" s="35">
        <f>SUM(AK1024:AK1031)</f>
        <v/>
      </c>
      <c r="AL960" s="35">
        <f>SUM(AL1024:AL1031)</f>
        <v/>
      </c>
      <c r="AM960" s="35">
        <f>SUM(AM1024:AM1031)</f>
        <v/>
      </c>
      <c r="AN960" s="35">
        <f>SUM(AN1024:AN1031)</f>
        <v/>
      </c>
    </row>
    <row r="961" hidden="1" outlineLevel="2">
      <c r="A961" s="5" t="inlineStr">
        <is>
          <t>sp</t>
        </is>
      </c>
      <c r="B961" s="5" t="inlineStr">
        <is>
          <t>coa</t>
        </is>
      </c>
      <c r="C961" s="5" t="inlineStr">
        <is>
          <t>cem</t>
        </is>
      </c>
      <c r="D961" s="36">
        <f>INDEX(Inputs!$R$5:$R$132,MATCH($B961&amp;"|"&amp;$C961,Inputs!$A$5:$A$132,0))</f>
        <v/>
      </c>
      <c r="E961" s="37" t="n"/>
      <c r="F961" s="37" t="n"/>
      <c r="G961" s="37" t="n"/>
      <c r="H961" s="5">
        <f>INDEX(Variables!$B$5:$B$65,MATCH($A961,Variables!$A$5:$A$65,0))&amp;IF($C961="",""," | "&amp;INDEX(Mapping!$B$5:$B$25,MATCH($C961,Mapping!$A$5:$A$25,0))&amp;" | "&amp;INDEX(Mapping!$B$29:$B$38,MATCH($B961,Mapping!$A$29:$A$38,0)))</f>
        <v/>
      </c>
      <c r="I961" s="5">
        <f>INDEX(Variables!$C$5:$C$65,MATCH($A961,Variables!$A$5:$A$65,0))</f>
        <v/>
      </c>
      <c r="J961" s="5">
        <f>INDEX(Variables!$E$5:$E$65,MATCH($A961,Variables!$A$5:$A$65,0))</f>
        <v/>
      </c>
      <c r="K961" s="23">
        <f>LOWER(Settings!$C$4)&amp;".mit."&amp;$A961&amp;IF($C961="","","."&amp;$C961&amp;"."&amp;$B961)&amp;IF(INDEX(Variables!$D$5:$D$65,MATCH($A961,Variables!$A$5:$A$65,0))="","","."&amp;INDEX(Variables!$D$5:$D$65,MATCH($A961,Variables!$A$5:$A$65,0)))&amp;"."&amp;K$5</f>
        <v/>
      </c>
      <c r="L961" s="38">
        <f>INDEX(Inputs!$S$5:$S$132,MATCH($B961&amp;"|"&amp;$C961,Inputs!$A$5:$A$132,0))</f>
        <v/>
      </c>
      <c r="M961" s="36">
        <f>L961*(1+$D961)</f>
        <v/>
      </c>
      <c r="N961" s="36">
        <f>M961*(1+$D961)</f>
        <v/>
      </c>
      <c r="O961" s="36">
        <f>N961*(1+$D961)</f>
        <v/>
      </c>
      <c r="P961" s="36">
        <f>O961*(1+$D961)</f>
        <v/>
      </c>
      <c r="Q961" s="36">
        <f>P961*(1+$D961)</f>
        <v/>
      </c>
      <c r="R961" s="36">
        <f>Q961*(1+$D961)</f>
        <v/>
      </c>
      <c r="S961" s="36">
        <f>R961*(1+$D961)</f>
        <v/>
      </c>
      <c r="T961" s="36">
        <f>S961*(1+$D961)</f>
        <v/>
      </c>
      <c r="U961" s="36">
        <f>T961*(1+$D961)</f>
        <v/>
      </c>
      <c r="V961" s="36">
        <f>U961*(1+$D961)</f>
        <v/>
      </c>
      <c r="W961" s="36">
        <f>V961*(1+$D961)</f>
        <v/>
      </c>
      <c r="X961" s="36">
        <f>W961*(1+$D961)</f>
        <v/>
      </c>
      <c r="Y961" s="39">
        <f>PRETAX(X961,$D961)</f>
        <v/>
      </c>
      <c r="Z961" s="23">
        <f>LOWER(Settings!$C$4)&amp;".mit."&amp;$A961&amp;IF($C961="","","."&amp;$C961&amp;"."&amp;$B961)&amp;IF(INDEX(Variables!$D$5:$D$65,MATCH($A961,Variables!$A$5:$A$65,0))="","","."&amp;INDEX(Variables!$D$5:$D$65,MATCH($A961,Variables!$A$5:$A$65,0)))&amp;"."&amp;Z$5</f>
        <v/>
      </c>
      <c r="AA961" s="38">
        <f>INDEX(Inputs!$S$5:$S$132,MATCH($B961&amp;"|"&amp;$C961,Inputs!$A$5:$A$132,0))</f>
        <v/>
      </c>
      <c r="AB961" s="36">
        <f>AA961*(1+$D961)</f>
        <v/>
      </c>
      <c r="AC961" s="36">
        <f>AB961*(1+$D961)</f>
        <v/>
      </c>
      <c r="AD961" s="36">
        <f>AC961*(1+$D961)</f>
        <v/>
      </c>
      <c r="AE961" s="36">
        <f>AD961*(1+$D961)</f>
        <v/>
      </c>
      <c r="AF961" s="36">
        <f>AE961*(1+$D961)</f>
        <v/>
      </c>
      <c r="AG961" s="36">
        <f>AF961*(1+$D961)</f>
        <v/>
      </c>
      <c r="AH961" s="36">
        <f>AG961*(1+$D961)</f>
        <v/>
      </c>
      <c r="AI961" s="36">
        <f>AH961*(1+$D961)</f>
        <v/>
      </c>
      <c r="AJ961" s="36">
        <f>AI961*(1+$D961)</f>
        <v/>
      </c>
      <c r="AK961" s="36">
        <f>AJ961*(1+$D961)</f>
        <v/>
      </c>
      <c r="AL961" s="36">
        <f>AK961*(1+$D961)</f>
        <v/>
      </c>
      <c r="AM961" s="36">
        <f>AL961*(1+$D961)</f>
        <v/>
      </c>
      <c r="AN961" s="39">
        <f>PRETAX(AM961,$D961)</f>
        <v/>
      </c>
    </row>
    <row r="962" hidden="1" outlineLevel="2">
      <c r="A962" s="5" t="inlineStr">
        <is>
          <t>sp</t>
        </is>
      </c>
      <c r="B962" s="5" t="inlineStr">
        <is>
          <t>nga</t>
        </is>
      </c>
      <c r="C962" s="5" t="inlineStr">
        <is>
          <t>cem</t>
        </is>
      </c>
      <c r="D962" s="36">
        <f>INDEX(Inputs!$R$5:$R$132,MATCH($B962&amp;"|"&amp;$C962,Inputs!$A$5:$A$132,0))</f>
        <v/>
      </c>
      <c r="E962" s="37" t="n"/>
      <c r="F962" s="37" t="n"/>
      <c r="G962" s="37" t="n"/>
      <c r="H962" s="5">
        <f>INDEX(Variables!$B$5:$B$65,MATCH($A962,Variables!$A$5:$A$65,0))&amp;IF($C962="",""," | "&amp;INDEX(Mapping!$B$5:$B$25,MATCH($C962,Mapping!$A$5:$A$25,0))&amp;" | "&amp;INDEX(Mapping!$B$29:$B$38,MATCH($B962,Mapping!$A$29:$A$38,0)))</f>
        <v/>
      </c>
      <c r="I962" s="5">
        <f>INDEX(Variables!$C$5:$C$65,MATCH($A962,Variables!$A$5:$A$65,0))</f>
        <v/>
      </c>
      <c r="J962" s="5">
        <f>INDEX(Variables!$E$5:$E$65,MATCH($A962,Variables!$A$5:$A$65,0))</f>
        <v/>
      </c>
      <c r="K962" s="23">
        <f>LOWER(Settings!$C$4)&amp;".mit."&amp;$A962&amp;IF($C962="","","."&amp;$C962&amp;"."&amp;$B962)&amp;IF(INDEX(Variables!$D$5:$D$65,MATCH($A962,Variables!$A$5:$A$65,0))="","","."&amp;INDEX(Variables!$D$5:$D$65,MATCH($A962,Variables!$A$5:$A$65,0)))&amp;"."&amp;K$5</f>
        <v/>
      </c>
      <c r="L962" s="38">
        <f>INDEX(Inputs!$S$5:$S$132,MATCH($B962&amp;"|"&amp;$C962,Inputs!$A$5:$A$132,0))</f>
        <v/>
      </c>
      <c r="M962" s="36">
        <f>L962*(1+$D962)</f>
        <v/>
      </c>
      <c r="N962" s="36">
        <f>M962*(1+$D962)</f>
        <v/>
      </c>
      <c r="O962" s="36">
        <f>N962*(1+$D962)</f>
        <v/>
      </c>
      <c r="P962" s="36">
        <f>O962*(1+$D962)</f>
        <v/>
      </c>
      <c r="Q962" s="36">
        <f>P962*(1+$D962)</f>
        <v/>
      </c>
      <c r="R962" s="36">
        <f>Q962*(1+$D962)</f>
        <v/>
      </c>
      <c r="S962" s="36">
        <f>R962*(1+$D962)</f>
        <v/>
      </c>
      <c r="T962" s="36">
        <f>S962*(1+$D962)</f>
        <v/>
      </c>
      <c r="U962" s="36">
        <f>T962*(1+$D962)</f>
        <v/>
      </c>
      <c r="V962" s="36">
        <f>U962*(1+$D962)</f>
        <v/>
      </c>
      <c r="W962" s="36">
        <f>V962*(1+$D962)</f>
        <v/>
      </c>
      <c r="X962" s="36">
        <f>W962*(1+$D962)</f>
        <v/>
      </c>
      <c r="Y962" s="39">
        <f>PRETAX(X962,$D962)</f>
        <v/>
      </c>
      <c r="Z962" s="23">
        <f>LOWER(Settings!$C$4)&amp;".mit."&amp;$A962&amp;IF($C962="","","."&amp;$C962&amp;"."&amp;$B962)&amp;IF(INDEX(Variables!$D$5:$D$65,MATCH($A962,Variables!$A$5:$A$65,0))="","","."&amp;INDEX(Variables!$D$5:$D$65,MATCH($A962,Variables!$A$5:$A$65,0)))&amp;"."&amp;Z$5</f>
        <v/>
      </c>
      <c r="AA962" s="38">
        <f>INDEX(Inputs!$S$5:$S$132,MATCH($B962&amp;"|"&amp;$C962,Inputs!$A$5:$A$132,0))</f>
        <v/>
      </c>
      <c r="AB962" s="36">
        <f>AA962*(1+$D962)</f>
        <v/>
      </c>
      <c r="AC962" s="36">
        <f>AB962*(1+$D962)</f>
        <v/>
      </c>
      <c r="AD962" s="36">
        <f>AC962*(1+$D962)</f>
        <v/>
      </c>
      <c r="AE962" s="36">
        <f>AD962*(1+$D962)</f>
        <v/>
      </c>
      <c r="AF962" s="36">
        <f>AE962*(1+$D962)</f>
        <v/>
      </c>
      <c r="AG962" s="36">
        <f>AF962*(1+$D962)</f>
        <v/>
      </c>
      <c r="AH962" s="36">
        <f>AG962*(1+$D962)</f>
        <v/>
      </c>
      <c r="AI962" s="36">
        <f>AH962*(1+$D962)</f>
        <v/>
      </c>
      <c r="AJ962" s="36">
        <f>AI962*(1+$D962)</f>
        <v/>
      </c>
      <c r="AK962" s="36">
        <f>AJ962*(1+$D962)</f>
        <v/>
      </c>
      <c r="AL962" s="36">
        <f>AK962*(1+$D962)</f>
        <v/>
      </c>
      <c r="AM962" s="36">
        <f>AL962*(1+$D962)</f>
        <v/>
      </c>
      <c r="AN962" s="39">
        <f>PRETAX(AM962,$D962)</f>
        <v/>
      </c>
    </row>
    <row r="963" hidden="1" outlineLevel="2">
      <c r="A963" s="5" t="inlineStr">
        <is>
          <t>sp</t>
        </is>
      </c>
      <c r="B963" s="5" t="inlineStr">
        <is>
          <t>gso</t>
        </is>
      </c>
      <c r="C963" s="5" t="inlineStr">
        <is>
          <t>cem</t>
        </is>
      </c>
      <c r="D963" s="36">
        <f>INDEX(Inputs!$R$5:$R$132,MATCH($B963&amp;"|"&amp;$C963,Inputs!$A$5:$A$132,0))</f>
        <v/>
      </c>
      <c r="E963" s="37" t="n"/>
      <c r="F963" s="37" t="n"/>
      <c r="G963" s="37" t="n"/>
      <c r="H963" s="5">
        <f>INDEX(Variables!$B$5:$B$65,MATCH($A963,Variables!$A$5:$A$65,0))&amp;IF($C963="",""," | "&amp;INDEX(Mapping!$B$5:$B$25,MATCH($C963,Mapping!$A$5:$A$25,0))&amp;" | "&amp;INDEX(Mapping!$B$29:$B$38,MATCH($B963,Mapping!$A$29:$A$38,0)))</f>
        <v/>
      </c>
      <c r="I963" s="5">
        <f>INDEX(Variables!$C$5:$C$65,MATCH($A963,Variables!$A$5:$A$65,0))</f>
        <v/>
      </c>
      <c r="J963" s="5">
        <f>INDEX(Variables!$E$5:$E$65,MATCH($A963,Variables!$A$5:$A$65,0))</f>
        <v/>
      </c>
      <c r="K963" s="23">
        <f>LOWER(Settings!$C$4)&amp;".mit."&amp;$A963&amp;IF($C963="","","."&amp;$C963&amp;"."&amp;$B963)&amp;IF(INDEX(Variables!$D$5:$D$65,MATCH($A963,Variables!$A$5:$A$65,0))="","","."&amp;INDEX(Variables!$D$5:$D$65,MATCH($A963,Variables!$A$5:$A$65,0)))&amp;"."&amp;K$5</f>
        <v/>
      </c>
      <c r="L963" s="38">
        <f>INDEX(Inputs!$S$5:$S$132,MATCH($B963&amp;"|"&amp;$C963,Inputs!$A$5:$A$132,0))</f>
        <v/>
      </c>
      <c r="M963" s="36">
        <f>L963*(1+$D963)</f>
        <v/>
      </c>
      <c r="N963" s="36">
        <f>M963*(1+$D963)</f>
        <v/>
      </c>
      <c r="O963" s="36">
        <f>N963*(1+$D963)</f>
        <v/>
      </c>
      <c r="P963" s="36">
        <f>O963*(1+$D963)</f>
        <v/>
      </c>
      <c r="Q963" s="36">
        <f>P963*(1+$D963)</f>
        <v/>
      </c>
      <c r="R963" s="36">
        <f>Q963*(1+$D963)</f>
        <v/>
      </c>
      <c r="S963" s="36">
        <f>R963*(1+$D963)</f>
        <v/>
      </c>
      <c r="T963" s="36">
        <f>S963*(1+$D963)</f>
        <v/>
      </c>
      <c r="U963" s="36">
        <f>T963*(1+$D963)</f>
        <v/>
      </c>
      <c r="V963" s="36">
        <f>U963*(1+$D963)</f>
        <v/>
      </c>
      <c r="W963" s="36">
        <f>V963*(1+$D963)</f>
        <v/>
      </c>
      <c r="X963" s="36">
        <f>W963*(1+$D963)</f>
        <v/>
      </c>
      <c r="Y963" s="39">
        <f>PRETAX(X963,$D963)</f>
        <v/>
      </c>
      <c r="Z963" s="23">
        <f>LOWER(Settings!$C$4)&amp;".mit."&amp;$A963&amp;IF($C963="","","."&amp;$C963&amp;"."&amp;$B963)&amp;IF(INDEX(Variables!$D$5:$D$65,MATCH($A963,Variables!$A$5:$A$65,0))="","","."&amp;INDEX(Variables!$D$5:$D$65,MATCH($A963,Variables!$A$5:$A$65,0)))&amp;"."&amp;Z$5</f>
        <v/>
      </c>
      <c r="AA963" s="38">
        <f>INDEX(Inputs!$S$5:$S$132,MATCH($B963&amp;"|"&amp;$C963,Inputs!$A$5:$A$132,0))</f>
        <v/>
      </c>
      <c r="AB963" s="36">
        <f>AA963*(1+$D963)</f>
        <v/>
      </c>
      <c r="AC963" s="36">
        <f>AB963*(1+$D963)</f>
        <v/>
      </c>
      <c r="AD963" s="36">
        <f>AC963*(1+$D963)</f>
        <v/>
      </c>
      <c r="AE963" s="36">
        <f>AD963*(1+$D963)</f>
        <v/>
      </c>
      <c r="AF963" s="36">
        <f>AE963*(1+$D963)</f>
        <v/>
      </c>
      <c r="AG963" s="36">
        <f>AF963*(1+$D963)</f>
        <v/>
      </c>
      <c r="AH963" s="36">
        <f>AG963*(1+$D963)</f>
        <v/>
      </c>
      <c r="AI963" s="36">
        <f>AH963*(1+$D963)</f>
        <v/>
      </c>
      <c r="AJ963" s="36">
        <f>AI963*(1+$D963)</f>
        <v/>
      </c>
      <c r="AK963" s="36">
        <f>AJ963*(1+$D963)</f>
        <v/>
      </c>
      <c r="AL963" s="36">
        <f>AK963*(1+$D963)</f>
        <v/>
      </c>
      <c r="AM963" s="36">
        <f>AL963*(1+$D963)</f>
        <v/>
      </c>
      <c r="AN963" s="39">
        <f>PRETAX(AM963,$D963)</f>
        <v/>
      </c>
    </row>
    <row r="964" hidden="1" outlineLevel="2">
      <c r="A964" s="5" t="inlineStr">
        <is>
          <t>sp</t>
        </is>
      </c>
      <c r="B964" s="5" t="inlineStr">
        <is>
          <t>die</t>
        </is>
      </c>
      <c r="C964" s="5" t="inlineStr">
        <is>
          <t>cem</t>
        </is>
      </c>
      <c r="D964" s="36">
        <f>INDEX(Inputs!$R$5:$R$132,MATCH($B964&amp;"|"&amp;$C964,Inputs!$A$5:$A$132,0))</f>
        <v/>
      </c>
      <c r="E964" s="37" t="n"/>
      <c r="F964" s="37" t="n"/>
      <c r="G964" s="37" t="n"/>
      <c r="H964" s="5">
        <f>INDEX(Variables!$B$5:$B$65,MATCH($A964,Variables!$A$5:$A$65,0))&amp;IF($C964="",""," | "&amp;INDEX(Mapping!$B$5:$B$25,MATCH($C964,Mapping!$A$5:$A$25,0))&amp;" | "&amp;INDEX(Mapping!$B$29:$B$38,MATCH($B964,Mapping!$A$29:$A$38,0)))</f>
        <v/>
      </c>
      <c r="I964" s="5">
        <f>INDEX(Variables!$C$5:$C$65,MATCH($A964,Variables!$A$5:$A$65,0))</f>
        <v/>
      </c>
      <c r="J964" s="5">
        <f>INDEX(Variables!$E$5:$E$65,MATCH($A964,Variables!$A$5:$A$65,0))</f>
        <v/>
      </c>
      <c r="K964" s="23">
        <f>LOWER(Settings!$C$4)&amp;".mit."&amp;$A964&amp;IF($C964="","","."&amp;$C964&amp;"."&amp;$B964)&amp;IF(INDEX(Variables!$D$5:$D$65,MATCH($A964,Variables!$A$5:$A$65,0))="","","."&amp;INDEX(Variables!$D$5:$D$65,MATCH($A964,Variables!$A$5:$A$65,0)))&amp;"."&amp;K$5</f>
        <v/>
      </c>
      <c r="L964" s="38">
        <f>INDEX(Inputs!$S$5:$S$132,MATCH($B964&amp;"|"&amp;$C964,Inputs!$A$5:$A$132,0))</f>
        <v/>
      </c>
      <c r="M964" s="36">
        <f>L964*(1+$D964)</f>
        <v/>
      </c>
      <c r="N964" s="36">
        <f>M964*(1+$D964)</f>
        <v/>
      </c>
      <c r="O964" s="36">
        <f>N964*(1+$D964)</f>
        <v/>
      </c>
      <c r="P964" s="36">
        <f>O964*(1+$D964)</f>
        <v/>
      </c>
      <c r="Q964" s="36">
        <f>P964*(1+$D964)</f>
        <v/>
      </c>
      <c r="R964" s="36">
        <f>Q964*(1+$D964)</f>
        <v/>
      </c>
      <c r="S964" s="36">
        <f>R964*(1+$D964)</f>
        <v/>
      </c>
      <c r="T964" s="36">
        <f>S964*(1+$D964)</f>
        <v/>
      </c>
      <c r="U964" s="36">
        <f>T964*(1+$D964)</f>
        <v/>
      </c>
      <c r="V964" s="36">
        <f>U964*(1+$D964)</f>
        <v/>
      </c>
      <c r="W964" s="36">
        <f>V964*(1+$D964)</f>
        <v/>
      </c>
      <c r="X964" s="36">
        <f>W964*(1+$D964)</f>
        <v/>
      </c>
      <c r="Y964" s="39">
        <f>PRETAX(X964,$D964)</f>
        <v/>
      </c>
      <c r="Z964" s="23">
        <f>LOWER(Settings!$C$4)&amp;".mit."&amp;$A964&amp;IF($C964="","","."&amp;$C964&amp;"."&amp;$B964)&amp;IF(INDEX(Variables!$D$5:$D$65,MATCH($A964,Variables!$A$5:$A$65,0))="","","."&amp;INDEX(Variables!$D$5:$D$65,MATCH($A964,Variables!$A$5:$A$65,0)))&amp;"."&amp;Z$5</f>
        <v/>
      </c>
      <c r="AA964" s="38">
        <f>INDEX(Inputs!$S$5:$S$132,MATCH($B964&amp;"|"&amp;$C964,Inputs!$A$5:$A$132,0))</f>
        <v/>
      </c>
      <c r="AB964" s="36">
        <f>AA964*(1+$D964)</f>
        <v/>
      </c>
      <c r="AC964" s="36">
        <f>AB964*(1+$D964)</f>
        <v/>
      </c>
      <c r="AD964" s="36">
        <f>AC964*(1+$D964)</f>
        <v/>
      </c>
      <c r="AE964" s="36">
        <f>AD964*(1+$D964)</f>
        <v/>
      </c>
      <c r="AF964" s="36">
        <f>AE964*(1+$D964)</f>
        <v/>
      </c>
      <c r="AG964" s="36">
        <f>AF964*(1+$D964)</f>
        <v/>
      </c>
      <c r="AH964" s="36">
        <f>AG964*(1+$D964)</f>
        <v/>
      </c>
      <c r="AI964" s="36">
        <f>AH964*(1+$D964)</f>
        <v/>
      </c>
      <c r="AJ964" s="36">
        <f>AI964*(1+$D964)</f>
        <v/>
      </c>
      <c r="AK964" s="36">
        <f>AJ964*(1+$D964)</f>
        <v/>
      </c>
      <c r="AL964" s="36">
        <f>AK964*(1+$D964)</f>
        <v/>
      </c>
      <c r="AM964" s="36">
        <f>AL964*(1+$D964)</f>
        <v/>
      </c>
      <c r="AN964" s="39">
        <f>PRETAX(AM964,$D964)</f>
        <v/>
      </c>
    </row>
    <row r="965" hidden="1" outlineLevel="2">
      <c r="A965" s="5" t="inlineStr">
        <is>
          <t>sp</t>
        </is>
      </c>
      <c r="B965" s="5" t="inlineStr">
        <is>
          <t>lpg</t>
        </is>
      </c>
      <c r="C965" s="5" t="inlineStr">
        <is>
          <t>cem</t>
        </is>
      </c>
      <c r="D965" s="36">
        <f>INDEX(Inputs!$R$5:$R$132,MATCH($B965&amp;"|"&amp;$C965,Inputs!$A$5:$A$132,0))</f>
        <v/>
      </c>
      <c r="E965" s="37" t="n"/>
      <c r="F965" s="37" t="n"/>
      <c r="G965" s="37" t="n"/>
      <c r="H965" s="5">
        <f>INDEX(Variables!$B$5:$B$65,MATCH($A965,Variables!$A$5:$A$65,0))&amp;IF($C965="",""," | "&amp;INDEX(Mapping!$B$5:$B$25,MATCH($C965,Mapping!$A$5:$A$25,0))&amp;" | "&amp;INDEX(Mapping!$B$29:$B$38,MATCH($B965,Mapping!$A$29:$A$38,0)))</f>
        <v/>
      </c>
      <c r="I965" s="5">
        <f>INDEX(Variables!$C$5:$C$65,MATCH($A965,Variables!$A$5:$A$65,0))</f>
        <v/>
      </c>
      <c r="J965" s="5">
        <f>INDEX(Variables!$E$5:$E$65,MATCH($A965,Variables!$A$5:$A$65,0))</f>
        <v/>
      </c>
      <c r="K965" s="23">
        <f>LOWER(Settings!$C$4)&amp;".mit."&amp;$A965&amp;IF($C965="","","."&amp;$C965&amp;"."&amp;$B965)&amp;IF(INDEX(Variables!$D$5:$D$65,MATCH($A965,Variables!$A$5:$A$65,0))="","","."&amp;INDEX(Variables!$D$5:$D$65,MATCH($A965,Variables!$A$5:$A$65,0)))&amp;"."&amp;K$5</f>
        <v/>
      </c>
      <c r="L965" s="38">
        <f>INDEX(Inputs!$S$5:$S$132,MATCH($B965&amp;"|"&amp;$C965,Inputs!$A$5:$A$132,0))</f>
        <v/>
      </c>
      <c r="M965" s="36">
        <f>L965*(1+$D965)</f>
        <v/>
      </c>
      <c r="N965" s="36">
        <f>M965*(1+$D965)</f>
        <v/>
      </c>
      <c r="O965" s="36">
        <f>N965*(1+$D965)</f>
        <v/>
      </c>
      <c r="P965" s="36">
        <f>O965*(1+$D965)</f>
        <v/>
      </c>
      <c r="Q965" s="36">
        <f>P965*(1+$D965)</f>
        <v/>
      </c>
      <c r="R965" s="36">
        <f>Q965*(1+$D965)</f>
        <v/>
      </c>
      <c r="S965" s="36">
        <f>R965*(1+$D965)</f>
        <v/>
      </c>
      <c r="T965" s="36">
        <f>S965*(1+$D965)</f>
        <v/>
      </c>
      <c r="U965" s="36">
        <f>T965*(1+$D965)</f>
        <v/>
      </c>
      <c r="V965" s="36">
        <f>U965*(1+$D965)</f>
        <v/>
      </c>
      <c r="W965" s="36">
        <f>V965*(1+$D965)</f>
        <v/>
      </c>
      <c r="X965" s="36">
        <f>W965*(1+$D965)</f>
        <v/>
      </c>
      <c r="Y965" s="39">
        <f>PRETAX(X965,$D965)</f>
        <v/>
      </c>
      <c r="Z965" s="23">
        <f>LOWER(Settings!$C$4)&amp;".mit."&amp;$A965&amp;IF($C965="","","."&amp;$C965&amp;"."&amp;$B965)&amp;IF(INDEX(Variables!$D$5:$D$65,MATCH($A965,Variables!$A$5:$A$65,0))="","","."&amp;INDEX(Variables!$D$5:$D$65,MATCH($A965,Variables!$A$5:$A$65,0)))&amp;"."&amp;Z$5</f>
        <v/>
      </c>
      <c r="AA965" s="38">
        <f>INDEX(Inputs!$S$5:$S$132,MATCH($B965&amp;"|"&amp;$C965,Inputs!$A$5:$A$132,0))</f>
        <v/>
      </c>
      <c r="AB965" s="36">
        <f>AA965*(1+$D965)</f>
        <v/>
      </c>
      <c r="AC965" s="36">
        <f>AB965*(1+$D965)</f>
        <v/>
      </c>
      <c r="AD965" s="36">
        <f>AC965*(1+$D965)</f>
        <v/>
      </c>
      <c r="AE965" s="36">
        <f>AD965*(1+$D965)</f>
        <v/>
      </c>
      <c r="AF965" s="36">
        <f>AE965*(1+$D965)</f>
        <v/>
      </c>
      <c r="AG965" s="36">
        <f>AF965*(1+$D965)</f>
        <v/>
      </c>
      <c r="AH965" s="36">
        <f>AG965*(1+$D965)</f>
        <v/>
      </c>
      <c r="AI965" s="36">
        <f>AH965*(1+$D965)</f>
        <v/>
      </c>
      <c r="AJ965" s="36">
        <f>AI965*(1+$D965)</f>
        <v/>
      </c>
      <c r="AK965" s="36">
        <f>AJ965*(1+$D965)</f>
        <v/>
      </c>
      <c r="AL965" s="36">
        <f>AK965*(1+$D965)</f>
        <v/>
      </c>
      <c r="AM965" s="36">
        <f>AL965*(1+$D965)</f>
        <v/>
      </c>
      <c r="AN965" s="39">
        <f>PRETAX(AM965,$D965)</f>
        <v/>
      </c>
    </row>
    <row r="966" hidden="1" outlineLevel="2">
      <c r="A966" s="5" t="inlineStr">
        <is>
          <t>sp</t>
        </is>
      </c>
      <c r="B966" s="5" t="inlineStr">
        <is>
          <t>ker</t>
        </is>
      </c>
      <c r="C966" s="5" t="inlineStr">
        <is>
          <t>cem</t>
        </is>
      </c>
      <c r="D966" s="36">
        <f>INDEX(Inputs!$R$5:$R$132,MATCH($B966&amp;"|"&amp;$C966,Inputs!$A$5:$A$132,0))</f>
        <v/>
      </c>
      <c r="E966" s="37" t="n"/>
      <c r="F966" s="37" t="n"/>
      <c r="G966" s="37" t="n"/>
      <c r="H966" s="5">
        <f>INDEX(Variables!$B$5:$B$65,MATCH($A966,Variables!$A$5:$A$65,0))&amp;IF($C966="",""," | "&amp;INDEX(Mapping!$B$5:$B$25,MATCH($C966,Mapping!$A$5:$A$25,0))&amp;" | "&amp;INDEX(Mapping!$B$29:$B$38,MATCH($B966,Mapping!$A$29:$A$38,0)))</f>
        <v/>
      </c>
      <c r="I966" s="5">
        <f>INDEX(Variables!$C$5:$C$65,MATCH($A966,Variables!$A$5:$A$65,0))</f>
        <v/>
      </c>
      <c r="J966" s="5">
        <f>INDEX(Variables!$E$5:$E$65,MATCH($A966,Variables!$A$5:$A$65,0))</f>
        <v/>
      </c>
      <c r="K966" s="23">
        <f>LOWER(Settings!$C$4)&amp;".mit."&amp;$A966&amp;IF($C966="","","."&amp;$C966&amp;"."&amp;$B966)&amp;IF(INDEX(Variables!$D$5:$D$65,MATCH($A966,Variables!$A$5:$A$65,0))="","","."&amp;INDEX(Variables!$D$5:$D$65,MATCH($A966,Variables!$A$5:$A$65,0)))&amp;"."&amp;K$5</f>
        <v/>
      </c>
      <c r="L966" s="38">
        <f>INDEX(Inputs!$S$5:$S$132,MATCH($B966&amp;"|"&amp;$C966,Inputs!$A$5:$A$132,0))</f>
        <v/>
      </c>
      <c r="M966" s="36">
        <f>L966*(1+$D966)</f>
        <v/>
      </c>
      <c r="N966" s="36">
        <f>M966*(1+$D966)</f>
        <v/>
      </c>
      <c r="O966" s="36">
        <f>N966*(1+$D966)</f>
        <v/>
      </c>
      <c r="P966" s="36">
        <f>O966*(1+$D966)</f>
        <v/>
      </c>
      <c r="Q966" s="36">
        <f>P966*(1+$D966)</f>
        <v/>
      </c>
      <c r="R966" s="36">
        <f>Q966*(1+$D966)</f>
        <v/>
      </c>
      <c r="S966" s="36">
        <f>R966*(1+$D966)</f>
        <v/>
      </c>
      <c r="T966" s="36">
        <f>S966*(1+$D966)</f>
        <v/>
      </c>
      <c r="U966" s="36">
        <f>T966*(1+$D966)</f>
        <v/>
      </c>
      <c r="V966" s="36">
        <f>U966*(1+$D966)</f>
        <v/>
      </c>
      <c r="W966" s="36">
        <f>V966*(1+$D966)</f>
        <v/>
      </c>
      <c r="X966" s="36">
        <f>W966*(1+$D966)</f>
        <v/>
      </c>
      <c r="Y966" s="39">
        <f>PRETAX(X966,$D966)</f>
        <v/>
      </c>
      <c r="Z966" s="23">
        <f>LOWER(Settings!$C$4)&amp;".mit."&amp;$A966&amp;IF($C966="","","."&amp;$C966&amp;"."&amp;$B966)&amp;IF(INDEX(Variables!$D$5:$D$65,MATCH($A966,Variables!$A$5:$A$65,0))="","","."&amp;INDEX(Variables!$D$5:$D$65,MATCH($A966,Variables!$A$5:$A$65,0)))&amp;"."&amp;Z$5</f>
        <v/>
      </c>
      <c r="AA966" s="38">
        <f>INDEX(Inputs!$S$5:$S$132,MATCH($B966&amp;"|"&amp;$C966,Inputs!$A$5:$A$132,0))</f>
        <v/>
      </c>
      <c r="AB966" s="36">
        <f>AA966*(1+$D966)</f>
        <v/>
      </c>
      <c r="AC966" s="36">
        <f>AB966*(1+$D966)</f>
        <v/>
      </c>
      <c r="AD966" s="36">
        <f>AC966*(1+$D966)</f>
        <v/>
      </c>
      <c r="AE966" s="36">
        <f>AD966*(1+$D966)</f>
        <v/>
      </c>
      <c r="AF966" s="36">
        <f>AE966*(1+$D966)</f>
        <v/>
      </c>
      <c r="AG966" s="36">
        <f>AF966*(1+$D966)</f>
        <v/>
      </c>
      <c r="AH966" s="36">
        <f>AG966*(1+$D966)</f>
        <v/>
      </c>
      <c r="AI966" s="36">
        <f>AH966*(1+$D966)</f>
        <v/>
      </c>
      <c r="AJ966" s="36">
        <f>AI966*(1+$D966)</f>
        <v/>
      </c>
      <c r="AK966" s="36">
        <f>AJ966*(1+$D966)</f>
        <v/>
      </c>
      <c r="AL966" s="36">
        <f>AK966*(1+$D966)</f>
        <v/>
      </c>
      <c r="AM966" s="36">
        <f>AL966*(1+$D966)</f>
        <v/>
      </c>
      <c r="AN966" s="39">
        <f>PRETAX(AM966,$D966)</f>
        <v/>
      </c>
    </row>
    <row r="967" hidden="1" outlineLevel="2">
      <c r="A967" s="5" t="inlineStr">
        <is>
          <t>sp</t>
        </is>
      </c>
      <c r="B967" s="5" t="inlineStr">
        <is>
          <t>oop</t>
        </is>
      </c>
      <c r="C967" s="5" t="inlineStr">
        <is>
          <t>cem</t>
        </is>
      </c>
      <c r="D967" s="36">
        <f>INDEX(Inputs!$R$5:$R$132,MATCH($B967&amp;"|"&amp;$C967,Inputs!$A$5:$A$132,0))</f>
        <v/>
      </c>
      <c r="E967" s="37" t="n"/>
      <c r="F967" s="37" t="n"/>
      <c r="G967" s="37" t="n"/>
      <c r="H967" s="5">
        <f>INDEX(Variables!$B$5:$B$65,MATCH($A967,Variables!$A$5:$A$65,0))&amp;IF($C967="",""," | "&amp;INDEX(Mapping!$B$5:$B$25,MATCH($C967,Mapping!$A$5:$A$25,0))&amp;" | "&amp;INDEX(Mapping!$B$29:$B$38,MATCH($B967,Mapping!$A$29:$A$38,0)))</f>
        <v/>
      </c>
      <c r="I967" s="5">
        <f>INDEX(Variables!$C$5:$C$65,MATCH($A967,Variables!$A$5:$A$65,0))</f>
        <v/>
      </c>
      <c r="J967" s="5">
        <f>INDEX(Variables!$E$5:$E$65,MATCH($A967,Variables!$A$5:$A$65,0))</f>
        <v/>
      </c>
      <c r="K967" s="23">
        <f>LOWER(Settings!$C$4)&amp;".mit."&amp;$A967&amp;IF($C967="","","."&amp;$C967&amp;"."&amp;$B967)&amp;IF(INDEX(Variables!$D$5:$D$65,MATCH($A967,Variables!$A$5:$A$65,0))="","","."&amp;INDEX(Variables!$D$5:$D$65,MATCH($A967,Variables!$A$5:$A$65,0)))&amp;"."&amp;K$5</f>
        <v/>
      </c>
      <c r="L967" s="38">
        <f>INDEX(Inputs!$S$5:$S$132,MATCH($B967&amp;"|"&amp;$C967,Inputs!$A$5:$A$132,0))</f>
        <v/>
      </c>
      <c r="M967" s="36">
        <f>L967*(1+$D967)</f>
        <v/>
      </c>
      <c r="N967" s="36">
        <f>M967*(1+$D967)</f>
        <v/>
      </c>
      <c r="O967" s="36">
        <f>N967*(1+$D967)</f>
        <v/>
      </c>
      <c r="P967" s="36">
        <f>O967*(1+$D967)</f>
        <v/>
      </c>
      <c r="Q967" s="36">
        <f>P967*(1+$D967)</f>
        <v/>
      </c>
      <c r="R967" s="36">
        <f>Q967*(1+$D967)</f>
        <v/>
      </c>
      <c r="S967" s="36">
        <f>R967*(1+$D967)</f>
        <v/>
      </c>
      <c r="T967" s="36">
        <f>S967*(1+$D967)</f>
        <v/>
      </c>
      <c r="U967" s="36">
        <f>T967*(1+$D967)</f>
        <v/>
      </c>
      <c r="V967" s="36">
        <f>U967*(1+$D967)</f>
        <v/>
      </c>
      <c r="W967" s="36">
        <f>V967*(1+$D967)</f>
        <v/>
      </c>
      <c r="X967" s="36">
        <f>W967*(1+$D967)</f>
        <v/>
      </c>
      <c r="Y967" s="39">
        <f>PRETAX(X967,$D967)</f>
        <v/>
      </c>
      <c r="Z967" s="23">
        <f>LOWER(Settings!$C$4)&amp;".mit."&amp;$A967&amp;IF($C967="","","."&amp;$C967&amp;"."&amp;$B967)&amp;IF(INDEX(Variables!$D$5:$D$65,MATCH($A967,Variables!$A$5:$A$65,0))="","","."&amp;INDEX(Variables!$D$5:$D$65,MATCH($A967,Variables!$A$5:$A$65,0)))&amp;"."&amp;Z$5</f>
        <v/>
      </c>
      <c r="AA967" s="38">
        <f>INDEX(Inputs!$S$5:$S$132,MATCH($B967&amp;"|"&amp;$C967,Inputs!$A$5:$A$132,0))</f>
        <v/>
      </c>
      <c r="AB967" s="36">
        <f>AA967*(1+$D967)</f>
        <v/>
      </c>
      <c r="AC967" s="36">
        <f>AB967*(1+$D967)</f>
        <v/>
      </c>
      <c r="AD967" s="36">
        <f>AC967*(1+$D967)</f>
        <v/>
      </c>
      <c r="AE967" s="36">
        <f>AD967*(1+$D967)</f>
        <v/>
      </c>
      <c r="AF967" s="36">
        <f>AE967*(1+$D967)</f>
        <v/>
      </c>
      <c r="AG967" s="36">
        <f>AF967*(1+$D967)</f>
        <v/>
      </c>
      <c r="AH967" s="36">
        <f>AG967*(1+$D967)</f>
        <v/>
      </c>
      <c r="AI967" s="36">
        <f>AH967*(1+$D967)</f>
        <v/>
      </c>
      <c r="AJ967" s="36">
        <f>AI967*(1+$D967)</f>
        <v/>
      </c>
      <c r="AK967" s="36">
        <f>AJ967*(1+$D967)</f>
        <v/>
      </c>
      <c r="AL967" s="36">
        <f>AK967*(1+$D967)</f>
        <v/>
      </c>
      <c r="AM967" s="36">
        <f>AL967*(1+$D967)</f>
        <v/>
      </c>
      <c r="AN967" s="39">
        <f>PRETAX(AM967,$D967)</f>
        <v/>
      </c>
    </row>
    <row r="968" hidden="1" outlineLevel="2">
      <c r="A968" s="5" t="inlineStr">
        <is>
          <t>sp</t>
        </is>
      </c>
      <c r="B968" s="5" t="inlineStr">
        <is>
          <t>bio</t>
        </is>
      </c>
      <c r="C968" s="5" t="inlineStr">
        <is>
          <t>cem</t>
        </is>
      </c>
      <c r="D968" s="36">
        <f>INDEX(Inputs!$R$5:$R$132,MATCH($B968&amp;"|"&amp;$C968,Inputs!$A$5:$A$132,0))</f>
        <v/>
      </c>
      <c r="E968" s="37" t="n"/>
      <c r="F968" s="37" t="n"/>
      <c r="G968" s="37" t="n"/>
      <c r="H968" s="5">
        <f>INDEX(Variables!$B$5:$B$65,MATCH($A968,Variables!$A$5:$A$65,0))&amp;IF($C968="",""," | "&amp;INDEX(Mapping!$B$5:$B$25,MATCH($C968,Mapping!$A$5:$A$25,0))&amp;" | "&amp;INDEX(Mapping!$B$29:$B$38,MATCH($B968,Mapping!$A$29:$A$38,0)))</f>
        <v/>
      </c>
      <c r="I968" s="5">
        <f>INDEX(Variables!$C$5:$C$65,MATCH($A968,Variables!$A$5:$A$65,0))</f>
        <v/>
      </c>
      <c r="J968" s="5">
        <f>INDEX(Variables!$E$5:$E$65,MATCH($A968,Variables!$A$5:$A$65,0))</f>
        <v/>
      </c>
      <c r="K968" s="23">
        <f>LOWER(Settings!$C$4)&amp;".mit."&amp;$A968&amp;IF($C968="","","."&amp;$C968&amp;"."&amp;$B968)&amp;IF(INDEX(Variables!$D$5:$D$65,MATCH($A968,Variables!$A$5:$A$65,0))="","","."&amp;INDEX(Variables!$D$5:$D$65,MATCH($A968,Variables!$A$5:$A$65,0)))&amp;"."&amp;K$5</f>
        <v/>
      </c>
      <c r="L968" s="38">
        <f>INDEX(Inputs!$S$5:$S$132,MATCH($B968&amp;"|"&amp;$C968,Inputs!$A$5:$A$132,0))</f>
        <v/>
      </c>
      <c r="M968" s="36">
        <f>L968*(1+$D968)</f>
        <v/>
      </c>
      <c r="N968" s="36">
        <f>M968*(1+$D968)</f>
        <v/>
      </c>
      <c r="O968" s="36">
        <f>N968*(1+$D968)</f>
        <v/>
      </c>
      <c r="P968" s="36">
        <f>O968*(1+$D968)</f>
        <v/>
      </c>
      <c r="Q968" s="36">
        <f>P968*(1+$D968)</f>
        <v/>
      </c>
      <c r="R968" s="36">
        <f>Q968*(1+$D968)</f>
        <v/>
      </c>
      <c r="S968" s="36">
        <f>R968*(1+$D968)</f>
        <v/>
      </c>
      <c r="T968" s="36">
        <f>S968*(1+$D968)</f>
        <v/>
      </c>
      <c r="U968" s="36">
        <f>T968*(1+$D968)</f>
        <v/>
      </c>
      <c r="V968" s="36">
        <f>U968*(1+$D968)</f>
        <v/>
      </c>
      <c r="W968" s="36">
        <f>V968*(1+$D968)</f>
        <v/>
      </c>
      <c r="X968" s="36">
        <f>W968*(1+$D968)</f>
        <v/>
      </c>
      <c r="Y968" s="39">
        <f>PRETAX(X968,$D968)</f>
        <v/>
      </c>
      <c r="Z968" s="23">
        <f>LOWER(Settings!$C$4)&amp;".mit."&amp;$A968&amp;IF($C968="","","."&amp;$C968&amp;"."&amp;$B968)&amp;IF(INDEX(Variables!$D$5:$D$65,MATCH($A968,Variables!$A$5:$A$65,0))="","","."&amp;INDEX(Variables!$D$5:$D$65,MATCH($A968,Variables!$A$5:$A$65,0)))&amp;"."&amp;Z$5</f>
        <v/>
      </c>
      <c r="AA968" s="38">
        <f>INDEX(Inputs!$S$5:$S$132,MATCH($B968&amp;"|"&amp;$C968,Inputs!$A$5:$A$132,0))</f>
        <v/>
      </c>
      <c r="AB968" s="36">
        <f>AA968*(1+$D968)</f>
        <v/>
      </c>
      <c r="AC968" s="36">
        <f>AB968*(1+$D968)</f>
        <v/>
      </c>
      <c r="AD968" s="36">
        <f>AC968*(1+$D968)</f>
        <v/>
      </c>
      <c r="AE968" s="36">
        <f>AD968*(1+$D968)</f>
        <v/>
      </c>
      <c r="AF968" s="36">
        <f>AE968*(1+$D968)</f>
        <v/>
      </c>
      <c r="AG968" s="36">
        <f>AF968*(1+$D968)</f>
        <v/>
      </c>
      <c r="AH968" s="36">
        <f>AG968*(1+$D968)</f>
        <v/>
      </c>
      <c r="AI968" s="36">
        <f>AH968*(1+$D968)</f>
        <v/>
      </c>
      <c r="AJ968" s="36">
        <f>AI968*(1+$D968)</f>
        <v/>
      </c>
      <c r="AK968" s="36">
        <f>AJ968*(1+$D968)</f>
        <v/>
      </c>
      <c r="AL968" s="36">
        <f>AK968*(1+$D968)</f>
        <v/>
      </c>
      <c r="AM968" s="36">
        <f>AL968*(1+$D968)</f>
        <v/>
      </c>
      <c r="AN968" s="39">
        <f>PRETAX(AM968,$D968)</f>
        <v/>
      </c>
    </row>
    <row r="969" hidden="1" outlineLevel="2"/>
    <row r="970" hidden="1" outlineLevel="2">
      <c r="A970" s="5" t="inlineStr">
        <is>
          <t>ctxnew</t>
        </is>
      </c>
      <c r="B970" s="5" t="inlineStr">
        <is>
          <t>coa</t>
        </is>
      </c>
      <c r="C970" s="5" t="inlineStr">
        <is>
          <t>cem</t>
        </is>
      </c>
      <c r="D970" s="36">
        <f>INDEX(Inputs!$U$5:$U$132,MATCH($B970&amp;"|"&amp;$C970,Inputs!$A$5:$A$132,0))</f>
        <v/>
      </c>
      <c r="E970" s="36">
        <f>INDEX(Inputs!$J$5:$J$132,MATCH($B970&amp;"|"&amp;$C970,Inputs!$A$5:$A$132,0))</f>
        <v/>
      </c>
      <c r="F970" s="36">
        <f>INDEX(Inputs!$K$5:$K$132,MATCH($B970&amp;"|"&amp;$C970,Inputs!$A$5:$A$132,0))</f>
        <v/>
      </c>
      <c r="G970" s="37" t="n"/>
      <c r="H970" s="5">
        <f>INDEX(Variables!$B$5:$B$65,MATCH($A970,Variables!$A$5:$A$65,0))&amp;IF($C970="",""," | "&amp;INDEX(Mapping!$B$5:$B$25,MATCH($C970,Mapping!$A$5:$A$25,0))&amp;" | "&amp;INDEX(Mapping!$B$29:$B$38,MATCH($B970,Mapping!$A$29:$A$38,0)))</f>
        <v/>
      </c>
      <c r="I970" s="5">
        <f>INDEX(Variables!$C$5:$C$65,MATCH($A970,Variables!$A$5:$A$65,0))</f>
        <v/>
      </c>
      <c r="J970" s="5">
        <f>INDEX(Variables!$E$5:$E$65,MATCH($A970,Variables!$A$5:$A$65,0))</f>
        <v/>
      </c>
      <c r="K970" s="23">
        <f>LOWER(Settings!$C$4)&amp;".mit."&amp;$A970&amp;IF($C970="","","."&amp;$C970&amp;"."&amp;$B970)&amp;IF(INDEX(Variables!$D$5:$D$65,MATCH($A970,Variables!$A$5:$A$65,0))="","","."&amp;INDEX(Variables!$D$5:$D$65,MATCH($A970,Variables!$A$5:$A$65,0)))&amp;"."&amp;K$5</f>
        <v/>
      </c>
      <c r="L970" s="38">
        <f>L$10*$D970*INDEX(L$18:L$25,$E970)*INDEX(L$27:L$43,$F970)</f>
        <v/>
      </c>
      <c r="M970" s="36">
        <f>M$10*$D970*INDEX(M$18:M$25,$E970)*INDEX(M$27:M$43,$F970)</f>
        <v/>
      </c>
      <c r="N970" s="36">
        <f>N$10*$D970*INDEX(N$18:N$25,$E970)*INDEX(N$27:N$43,$F970)</f>
        <v/>
      </c>
      <c r="O970" s="36">
        <f>O$10*$D970*INDEX(O$18:O$25,$E970)*INDEX(O$27:O$43,$F970)</f>
        <v/>
      </c>
      <c r="P970" s="36">
        <f>P$10*$D970*INDEX(P$18:P$25,$E970)*INDEX(P$27:P$43,$F970)</f>
        <v/>
      </c>
      <c r="Q970" s="36">
        <f>Q$10*$D970*INDEX(Q$18:Q$25,$E970)*INDEX(Q$27:Q$43,$F970)</f>
        <v/>
      </c>
      <c r="R970" s="36">
        <f>R$10*$D970*INDEX(R$18:R$25,$E970)*INDEX(R$27:R$43,$F970)</f>
        <v/>
      </c>
      <c r="S970" s="36">
        <f>S$10*$D970*INDEX(S$18:S$25,$E970)*INDEX(S$27:S$43,$F970)</f>
        <v/>
      </c>
      <c r="T970" s="36">
        <f>T$10*$D970*INDEX(T$18:T$25,$E970)*INDEX(T$27:T$43,$F970)</f>
        <v/>
      </c>
      <c r="U970" s="36">
        <f>U$10*$D970*INDEX(U$18:U$25,$E970)*INDEX(U$27:U$43,$F970)</f>
        <v/>
      </c>
      <c r="V970" s="36">
        <f>V$10*$D970*INDEX(V$18:V$25,$E970)*INDEX(V$27:V$43,$F970)</f>
        <v/>
      </c>
      <c r="W970" s="36">
        <f>W$10*$D970*INDEX(W$18:W$25,$E970)*INDEX(W$27:W$43,$F970)</f>
        <v/>
      </c>
      <c r="X970" s="36">
        <f>X$10*$D970*INDEX(X$18:X$25,$E970)*INDEX(X$27:X$43,$F970)</f>
        <v/>
      </c>
      <c r="Y970" s="36">
        <f>Y$10*$D970*INDEX(Y$18:Y$25,$E970)*INDEX(Y$27:Y$43,$F970)</f>
        <v/>
      </c>
      <c r="Z970" s="23">
        <f>LOWER(Settings!$C$4)&amp;".mit."&amp;$A970&amp;IF($C970="","","."&amp;$C970&amp;"."&amp;$B970)&amp;IF(INDEX(Variables!$D$5:$D$65,MATCH($A970,Variables!$A$5:$A$65,0))="","","."&amp;INDEX(Variables!$D$5:$D$65,MATCH($A970,Variables!$A$5:$A$65,0)))&amp;"."&amp;Z$5</f>
        <v/>
      </c>
      <c r="AA970" s="38">
        <f>AA$10*$D970*INDEX(AA$18:AA$25,$E970)*INDEX(AA$27:AA$43,$F970)</f>
        <v/>
      </c>
      <c r="AB970" s="36">
        <f>AB$10*$D970*INDEX(AB$18:AB$25,$E970)*INDEX(AB$27:AB$43,$F970)</f>
        <v/>
      </c>
      <c r="AC970" s="36">
        <f>AC$10*$D970*INDEX(AC$18:AC$25,$E970)*INDEX(AC$27:AC$43,$F970)</f>
        <v/>
      </c>
      <c r="AD970" s="36">
        <f>AD$10*$D970*INDEX(AD$18:AD$25,$E970)*INDEX(AD$27:AD$43,$F970)</f>
        <v/>
      </c>
      <c r="AE970" s="36">
        <f>AE$10*$D970*INDEX(AE$18:AE$25,$E970)*INDEX(AE$27:AE$43,$F970)</f>
        <v/>
      </c>
      <c r="AF970" s="36">
        <f>AF$10*$D970*INDEX(AF$18:AF$25,$E970)*INDEX(AF$27:AF$43,$F970)</f>
        <v/>
      </c>
      <c r="AG970" s="36">
        <f>AG$10*$D970*INDEX(AG$18:AG$25,$E970)*INDEX(AG$27:AG$43,$F970)</f>
        <v/>
      </c>
      <c r="AH970" s="36">
        <f>AH$10*$D970*INDEX(AH$18:AH$25,$E970)*INDEX(AH$27:AH$43,$F970)</f>
        <v/>
      </c>
      <c r="AI970" s="36">
        <f>AI$10*$D970*INDEX(AI$18:AI$25,$E970)*INDEX(AI$27:AI$43,$F970)</f>
        <v/>
      </c>
      <c r="AJ970" s="36">
        <f>AJ$10*$D970*INDEX(AJ$18:AJ$25,$E970)*INDEX(AJ$27:AJ$43,$F970)</f>
        <v/>
      </c>
      <c r="AK970" s="36">
        <f>AK$10*$D970*INDEX(AK$18:AK$25,$E970)*INDEX(AK$27:AK$43,$F970)</f>
        <v/>
      </c>
      <c r="AL970" s="36">
        <f>AL$10*$D970*INDEX(AL$18:AL$25,$E970)*INDEX(AL$27:AL$43,$F970)</f>
        <v/>
      </c>
      <c r="AM970" s="36">
        <f>AM$10*$D970*INDEX(AM$18:AM$25,$E970)*INDEX(AM$27:AM$43,$F970)</f>
        <v/>
      </c>
      <c r="AN970" s="36">
        <f>AN$10*$D970*INDEX(AN$18:AN$25,$E970)*INDEX(AN$27:AN$43,$F970)</f>
        <v/>
      </c>
    </row>
    <row r="971" hidden="1" outlineLevel="2">
      <c r="A971" s="5" t="inlineStr">
        <is>
          <t>ctxnew</t>
        </is>
      </c>
      <c r="B971" s="5" t="inlineStr">
        <is>
          <t>nga</t>
        </is>
      </c>
      <c r="C971" s="5" t="inlineStr">
        <is>
          <t>cem</t>
        </is>
      </c>
      <c r="D971" s="36">
        <f>INDEX(Inputs!$U$5:$U$132,MATCH($B971&amp;"|"&amp;$C971,Inputs!$A$5:$A$132,0))</f>
        <v/>
      </c>
      <c r="E971" s="36">
        <f>INDEX(Inputs!$J$5:$J$132,MATCH($B971&amp;"|"&amp;$C971,Inputs!$A$5:$A$132,0))</f>
        <v/>
      </c>
      <c r="F971" s="36">
        <f>INDEX(Inputs!$K$5:$K$132,MATCH($B971&amp;"|"&amp;$C971,Inputs!$A$5:$A$132,0))</f>
        <v/>
      </c>
      <c r="G971" s="37" t="n"/>
      <c r="H971" s="5">
        <f>INDEX(Variables!$B$5:$B$65,MATCH($A971,Variables!$A$5:$A$65,0))&amp;IF($C971="",""," | "&amp;INDEX(Mapping!$B$5:$B$25,MATCH($C971,Mapping!$A$5:$A$25,0))&amp;" | "&amp;INDEX(Mapping!$B$29:$B$38,MATCH($B971,Mapping!$A$29:$A$38,0)))</f>
        <v/>
      </c>
      <c r="I971" s="5">
        <f>INDEX(Variables!$C$5:$C$65,MATCH($A971,Variables!$A$5:$A$65,0))</f>
        <v/>
      </c>
      <c r="J971" s="5">
        <f>INDEX(Variables!$E$5:$E$65,MATCH($A971,Variables!$A$5:$A$65,0))</f>
        <v/>
      </c>
      <c r="K971" s="23">
        <f>LOWER(Settings!$C$4)&amp;".mit."&amp;$A971&amp;IF($C971="","","."&amp;$C971&amp;"."&amp;$B971)&amp;IF(INDEX(Variables!$D$5:$D$65,MATCH($A971,Variables!$A$5:$A$65,0))="","","."&amp;INDEX(Variables!$D$5:$D$65,MATCH($A971,Variables!$A$5:$A$65,0)))&amp;"."&amp;K$5</f>
        <v/>
      </c>
      <c r="L971" s="38">
        <f>L$10*$D971*INDEX(L$18:L$25,$E971)*INDEX(L$27:L$43,$F971)</f>
        <v/>
      </c>
      <c r="M971" s="36">
        <f>M$10*$D971*INDEX(M$18:M$25,$E971)*INDEX(M$27:M$43,$F971)</f>
        <v/>
      </c>
      <c r="N971" s="36">
        <f>N$10*$D971*INDEX(N$18:N$25,$E971)*INDEX(N$27:N$43,$F971)</f>
        <v/>
      </c>
      <c r="O971" s="36">
        <f>O$10*$D971*INDEX(O$18:O$25,$E971)*INDEX(O$27:O$43,$F971)</f>
        <v/>
      </c>
      <c r="P971" s="36">
        <f>P$10*$D971*INDEX(P$18:P$25,$E971)*INDEX(P$27:P$43,$F971)</f>
        <v/>
      </c>
      <c r="Q971" s="36">
        <f>Q$10*$D971*INDEX(Q$18:Q$25,$E971)*INDEX(Q$27:Q$43,$F971)</f>
        <v/>
      </c>
      <c r="R971" s="36">
        <f>R$10*$D971*INDEX(R$18:R$25,$E971)*INDEX(R$27:R$43,$F971)</f>
        <v/>
      </c>
      <c r="S971" s="36">
        <f>S$10*$D971*INDEX(S$18:S$25,$E971)*INDEX(S$27:S$43,$F971)</f>
        <v/>
      </c>
      <c r="T971" s="36">
        <f>T$10*$D971*INDEX(T$18:T$25,$E971)*INDEX(T$27:T$43,$F971)</f>
        <v/>
      </c>
      <c r="U971" s="36">
        <f>U$10*$D971*INDEX(U$18:U$25,$E971)*INDEX(U$27:U$43,$F971)</f>
        <v/>
      </c>
      <c r="V971" s="36">
        <f>V$10*$D971*INDEX(V$18:V$25,$E971)*INDEX(V$27:V$43,$F971)</f>
        <v/>
      </c>
      <c r="W971" s="36">
        <f>W$10*$D971*INDEX(W$18:W$25,$E971)*INDEX(W$27:W$43,$F971)</f>
        <v/>
      </c>
      <c r="X971" s="36">
        <f>X$10*$D971*INDEX(X$18:X$25,$E971)*INDEX(X$27:X$43,$F971)</f>
        <v/>
      </c>
      <c r="Y971" s="36">
        <f>Y$10*$D971*INDEX(Y$18:Y$25,$E971)*INDEX(Y$27:Y$43,$F971)</f>
        <v/>
      </c>
      <c r="Z971" s="23">
        <f>LOWER(Settings!$C$4)&amp;".mit."&amp;$A971&amp;IF($C971="","","."&amp;$C971&amp;"."&amp;$B971)&amp;IF(INDEX(Variables!$D$5:$D$65,MATCH($A971,Variables!$A$5:$A$65,0))="","","."&amp;INDEX(Variables!$D$5:$D$65,MATCH($A971,Variables!$A$5:$A$65,0)))&amp;"."&amp;Z$5</f>
        <v/>
      </c>
      <c r="AA971" s="38">
        <f>AA$10*$D971*INDEX(AA$18:AA$25,$E971)*INDEX(AA$27:AA$43,$F971)</f>
        <v/>
      </c>
      <c r="AB971" s="36">
        <f>AB$10*$D971*INDEX(AB$18:AB$25,$E971)*INDEX(AB$27:AB$43,$F971)</f>
        <v/>
      </c>
      <c r="AC971" s="36">
        <f>AC$10*$D971*INDEX(AC$18:AC$25,$E971)*INDEX(AC$27:AC$43,$F971)</f>
        <v/>
      </c>
      <c r="AD971" s="36">
        <f>AD$10*$D971*INDEX(AD$18:AD$25,$E971)*INDEX(AD$27:AD$43,$F971)</f>
        <v/>
      </c>
      <c r="AE971" s="36">
        <f>AE$10*$D971*INDEX(AE$18:AE$25,$E971)*INDEX(AE$27:AE$43,$F971)</f>
        <v/>
      </c>
      <c r="AF971" s="36">
        <f>AF$10*$D971*INDEX(AF$18:AF$25,$E971)*INDEX(AF$27:AF$43,$F971)</f>
        <v/>
      </c>
      <c r="AG971" s="36">
        <f>AG$10*$D971*INDEX(AG$18:AG$25,$E971)*INDEX(AG$27:AG$43,$F971)</f>
        <v/>
      </c>
      <c r="AH971" s="36">
        <f>AH$10*$D971*INDEX(AH$18:AH$25,$E971)*INDEX(AH$27:AH$43,$F971)</f>
        <v/>
      </c>
      <c r="AI971" s="36">
        <f>AI$10*$D971*INDEX(AI$18:AI$25,$E971)*INDEX(AI$27:AI$43,$F971)</f>
        <v/>
      </c>
      <c r="AJ971" s="36">
        <f>AJ$10*$D971*INDEX(AJ$18:AJ$25,$E971)*INDEX(AJ$27:AJ$43,$F971)</f>
        <v/>
      </c>
      <c r="AK971" s="36">
        <f>AK$10*$D971*INDEX(AK$18:AK$25,$E971)*INDEX(AK$27:AK$43,$F971)</f>
        <v/>
      </c>
      <c r="AL971" s="36">
        <f>AL$10*$D971*INDEX(AL$18:AL$25,$E971)*INDEX(AL$27:AL$43,$F971)</f>
        <v/>
      </c>
      <c r="AM971" s="36">
        <f>AM$10*$D971*INDEX(AM$18:AM$25,$E971)*INDEX(AM$27:AM$43,$F971)</f>
        <v/>
      </c>
      <c r="AN971" s="36">
        <f>AN$10*$D971*INDEX(AN$18:AN$25,$E971)*INDEX(AN$27:AN$43,$F971)</f>
        <v/>
      </c>
    </row>
    <row r="972" hidden="1" outlineLevel="2">
      <c r="A972" s="5" t="inlineStr">
        <is>
          <t>ctxnew</t>
        </is>
      </c>
      <c r="B972" s="5" t="inlineStr">
        <is>
          <t>gso</t>
        </is>
      </c>
      <c r="C972" s="5" t="inlineStr">
        <is>
          <t>cem</t>
        </is>
      </c>
      <c r="D972" s="36">
        <f>INDEX(Inputs!$U$5:$U$132,MATCH($B972&amp;"|"&amp;$C972,Inputs!$A$5:$A$132,0))</f>
        <v/>
      </c>
      <c r="E972" s="36">
        <f>INDEX(Inputs!$J$5:$J$132,MATCH($B972&amp;"|"&amp;$C972,Inputs!$A$5:$A$132,0))</f>
        <v/>
      </c>
      <c r="F972" s="36">
        <f>INDEX(Inputs!$K$5:$K$132,MATCH($B972&amp;"|"&amp;$C972,Inputs!$A$5:$A$132,0))</f>
        <v/>
      </c>
      <c r="G972" s="37" t="n"/>
      <c r="H972" s="5">
        <f>INDEX(Variables!$B$5:$B$65,MATCH($A972,Variables!$A$5:$A$65,0))&amp;IF($C972="",""," | "&amp;INDEX(Mapping!$B$5:$B$25,MATCH($C972,Mapping!$A$5:$A$25,0))&amp;" | "&amp;INDEX(Mapping!$B$29:$B$38,MATCH($B972,Mapping!$A$29:$A$38,0)))</f>
        <v/>
      </c>
      <c r="I972" s="5">
        <f>INDEX(Variables!$C$5:$C$65,MATCH($A972,Variables!$A$5:$A$65,0))</f>
        <v/>
      </c>
      <c r="J972" s="5">
        <f>INDEX(Variables!$E$5:$E$65,MATCH($A972,Variables!$A$5:$A$65,0))</f>
        <v/>
      </c>
      <c r="K972" s="23">
        <f>LOWER(Settings!$C$4)&amp;".mit."&amp;$A972&amp;IF($C972="","","."&amp;$C972&amp;"."&amp;$B972)&amp;IF(INDEX(Variables!$D$5:$D$65,MATCH($A972,Variables!$A$5:$A$65,0))="","","."&amp;INDEX(Variables!$D$5:$D$65,MATCH($A972,Variables!$A$5:$A$65,0)))&amp;"."&amp;K$5</f>
        <v/>
      </c>
      <c r="L972" s="38">
        <f>L$10*$D972*INDEX(L$18:L$25,$E972)*INDEX(L$27:L$43,$F972)</f>
        <v/>
      </c>
      <c r="M972" s="36">
        <f>M$10*$D972*INDEX(M$18:M$25,$E972)*INDEX(M$27:M$43,$F972)</f>
        <v/>
      </c>
      <c r="N972" s="36">
        <f>N$10*$D972*INDEX(N$18:N$25,$E972)*INDEX(N$27:N$43,$F972)</f>
        <v/>
      </c>
      <c r="O972" s="36">
        <f>O$10*$D972*INDEX(O$18:O$25,$E972)*INDEX(O$27:O$43,$F972)</f>
        <v/>
      </c>
      <c r="P972" s="36">
        <f>P$10*$D972*INDEX(P$18:P$25,$E972)*INDEX(P$27:P$43,$F972)</f>
        <v/>
      </c>
      <c r="Q972" s="36">
        <f>Q$10*$D972*INDEX(Q$18:Q$25,$E972)*INDEX(Q$27:Q$43,$F972)</f>
        <v/>
      </c>
      <c r="R972" s="36">
        <f>R$10*$D972*INDEX(R$18:R$25,$E972)*INDEX(R$27:R$43,$F972)</f>
        <v/>
      </c>
      <c r="S972" s="36">
        <f>S$10*$D972*INDEX(S$18:S$25,$E972)*INDEX(S$27:S$43,$F972)</f>
        <v/>
      </c>
      <c r="T972" s="36">
        <f>T$10*$D972*INDEX(T$18:T$25,$E972)*INDEX(T$27:T$43,$F972)</f>
        <v/>
      </c>
      <c r="U972" s="36">
        <f>U$10*$D972*INDEX(U$18:U$25,$E972)*INDEX(U$27:U$43,$F972)</f>
        <v/>
      </c>
      <c r="V972" s="36">
        <f>V$10*$D972*INDEX(V$18:V$25,$E972)*INDEX(V$27:V$43,$F972)</f>
        <v/>
      </c>
      <c r="W972" s="36">
        <f>W$10*$D972*INDEX(W$18:W$25,$E972)*INDEX(W$27:W$43,$F972)</f>
        <v/>
      </c>
      <c r="X972" s="36">
        <f>X$10*$D972*INDEX(X$18:X$25,$E972)*INDEX(X$27:X$43,$F972)</f>
        <v/>
      </c>
      <c r="Y972" s="36">
        <f>Y$10*$D972*INDEX(Y$18:Y$25,$E972)*INDEX(Y$27:Y$43,$F972)</f>
        <v/>
      </c>
      <c r="Z972" s="23">
        <f>LOWER(Settings!$C$4)&amp;".mit."&amp;$A972&amp;IF($C972="","","."&amp;$C972&amp;"."&amp;$B972)&amp;IF(INDEX(Variables!$D$5:$D$65,MATCH($A972,Variables!$A$5:$A$65,0))="","","."&amp;INDEX(Variables!$D$5:$D$65,MATCH($A972,Variables!$A$5:$A$65,0)))&amp;"."&amp;Z$5</f>
        <v/>
      </c>
      <c r="AA972" s="38">
        <f>AA$10*$D972*INDEX(AA$18:AA$25,$E972)*INDEX(AA$27:AA$43,$F972)</f>
        <v/>
      </c>
      <c r="AB972" s="36">
        <f>AB$10*$D972*INDEX(AB$18:AB$25,$E972)*INDEX(AB$27:AB$43,$F972)</f>
        <v/>
      </c>
      <c r="AC972" s="36">
        <f>AC$10*$D972*INDEX(AC$18:AC$25,$E972)*INDEX(AC$27:AC$43,$F972)</f>
        <v/>
      </c>
      <c r="AD972" s="36">
        <f>AD$10*$D972*INDEX(AD$18:AD$25,$E972)*INDEX(AD$27:AD$43,$F972)</f>
        <v/>
      </c>
      <c r="AE972" s="36">
        <f>AE$10*$D972*INDEX(AE$18:AE$25,$E972)*INDEX(AE$27:AE$43,$F972)</f>
        <v/>
      </c>
      <c r="AF972" s="36">
        <f>AF$10*$D972*INDEX(AF$18:AF$25,$E972)*INDEX(AF$27:AF$43,$F972)</f>
        <v/>
      </c>
      <c r="AG972" s="36">
        <f>AG$10*$D972*INDEX(AG$18:AG$25,$E972)*INDEX(AG$27:AG$43,$F972)</f>
        <v/>
      </c>
      <c r="AH972" s="36">
        <f>AH$10*$D972*INDEX(AH$18:AH$25,$E972)*INDEX(AH$27:AH$43,$F972)</f>
        <v/>
      </c>
      <c r="AI972" s="36">
        <f>AI$10*$D972*INDEX(AI$18:AI$25,$E972)*INDEX(AI$27:AI$43,$F972)</f>
        <v/>
      </c>
      <c r="AJ972" s="36">
        <f>AJ$10*$D972*INDEX(AJ$18:AJ$25,$E972)*INDEX(AJ$27:AJ$43,$F972)</f>
        <v/>
      </c>
      <c r="AK972" s="36">
        <f>AK$10*$D972*INDEX(AK$18:AK$25,$E972)*INDEX(AK$27:AK$43,$F972)</f>
        <v/>
      </c>
      <c r="AL972" s="36">
        <f>AL$10*$D972*INDEX(AL$18:AL$25,$E972)*INDEX(AL$27:AL$43,$F972)</f>
        <v/>
      </c>
      <c r="AM972" s="36">
        <f>AM$10*$D972*INDEX(AM$18:AM$25,$E972)*INDEX(AM$27:AM$43,$F972)</f>
        <v/>
      </c>
      <c r="AN972" s="36">
        <f>AN$10*$D972*INDEX(AN$18:AN$25,$E972)*INDEX(AN$27:AN$43,$F972)</f>
        <v/>
      </c>
    </row>
    <row r="973" hidden="1" outlineLevel="2">
      <c r="A973" s="5" t="inlineStr">
        <is>
          <t>ctxnew</t>
        </is>
      </c>
      <c r="B973" s="5" t="inlineStr">
        <is>
          <t>die</t>
        </is>
      </c>
      <c r="C973" s="5" t="inlineStr">
        <is>
          <t>cem</t>
        </is>
      </c>
      <c r="D973" s="36">
        <f>INDEX(Inputs!$U$5:$U$132,MATCH($B973&amp;"|"&amp;$C973,Inputs!$A$5:$A$132,0))</f>
        <v/>
      </c>
      <c r="E973" s="36">
        <f>INDEX(Inputs!$J$5:$J$132,MATCH($B973&amp;"|"&amp;$C973,Inputs!$A$5:$A$132,0))</f>
        <v/>
      </c>
      <c r="F973" s="36">
        <f>INDEX(Inputs!$K$5:$K$132,MATCH($B973&amp;"|"&amp;$C973,Inputs!$A$5:$A$132,0))</f>
        <v/>
      </c>
      <c r="G973" s="37" t="n"/>
      <c r="H973" s="5">
        <f>INDEX(Variables!$B$5:$B$65,MATCH($A973,Variables!$A$5:$A$65,0))&amp;IF($C973="",""," | "&amp;INDEX(Mapping!$B$5:$B$25,MATCH($C973,Mapping!$A$5:$A$25,0))&amp;" | "&amp;INDEX(Mapping!$B$29:$B$38,MATCH($B973,Mapping!$A$29:$A$38,0)))</f>
        <v/>
      </c>
      <c r="I973" s="5">
        <f>INDEX(Variables!$C$5:$C$65,MATCH($A973,Variables!$A$5:$A$65,0))</f>
        <v/>
      </c>
      <c r="J973" s="5">
        <f>INDEX(Variables!$E$5:$E$65,MATCH($A973,Variables!$A$5:$A$65,0))</f>
        <v/>
      </c>
      <c r="K973" s="23">
        <f>LOWER(Settings!$C$4)&amp;".mit."&amp;$A973&amp;IF($C973="","","."&amp;$C973&amp;"."&amp;$B973)&amp;IF(INDEX(Variables!$D$5:$D$65,MATCH($A973,Variables!$A$5:$A$65,0))="","","."&amp;INDEX(Variables!$D$5:$D$65,MATCH($A973,Variables!$A$5:$A$65,0)))&amp;"."&amp;K$5</f>
        <v/>
      </c>
      <c r="L973" s="38">
        <f>L$10*$D973*INDEX(L$18:L$25,$E973)*INDEX(L$27:L$43,$F973)</f>
        <v/>
      </c>
      <c r="M973" s="36">
        <f>M$10*$D973*INDEX(M$18:M$25,$E973)*INDEX(M$27:M$43,$F973)</f>
        <v/>
      </c>
      <c r="N973" s="36">
        <f>N$10*$D973*INDEX(N$18:N$25,$E973)*INDEX(N$27:N$43,$F973)</f>
        <v/>
      </c>
      <c r="O973" s="36">
        <f>O$10*$D973*INDEX(O$18:O$25,$E973)*INDEX(O$27:O$43,$F973)</f>
        <v/>
      </c>
      <c r="P973" s="36">
        <f>P$10*$D973*INDEX(P$18:P$25,$E973)*INDEX(P$27:P$43,$F973)</f>
        <v/>
      </c>
      <c r="Q973" s="36">
        <f>Q$10*$D973*INDEX(Q$18:Q$25,$E973)*INDEX(Q$27:Q$43,$F973)</f>
        <v/>
      </c>
      <c r="R973" s="36">
        <f>R$10*$D973*INDEX(R$18:R$25,$E973)*INDEX(R$27:R$43,$F973)</f>
        <v/>
      </c>
      <c r="S973" s="36">
        <f>S$10*$D973*INDEX(S$18:S$25,$E973)*INDEX(S$27:S$43,$F973)</f>
        <v/>
      </c>
      <c r="T973" s="36">
        <f>T$10*$D973*INDEX(T$18:T$25,$E973)*INDEX(T$27:T$43,$F973)</f>
        <v/>
      </c>
      <c r="U973" s="36">
        <f>U$10*$D973*INDEX(U$18:U$25,$E973)*INDEX(U$27:U$43,$F973)</f>
        <v/>
      </c>
      <c r="V973" s="36">
        <f>V$10*$D973*INDEX(V$18:V$25,$E973)*INDEX(V$27:V$43,$F973)</f>
        <v/>
      </c>
      <c r="W973" s="36">
        <f>W$10*$D973*INDEX(W$18:W$25,$E973)*INDEX(W$27:W$43,$F973)</f>
        <v/>
      </c>
      <c r="X973" s="36">
        <f>X$10*$D973*INDEX(X$18:X$25,$E973)*INDEX(X$27:X$43,$F973)</f>
        <v/>
      </c>
      <c r="Y973" s="36">
        <f>Y$10*$D973*INDEX(Y$18:Y$25,$E973)*INDEX(Y$27:Y$43,$F973)</f>
        <v/>
      </c>
      <c r="Z973" s="23">
        <f>LOWER(Settings!$C$4)&amp;".mit."&amp;$A973&amp;IF($C973="","","."&amp;$C973&amp;"."&amp;$B973)&amp;IF(INDEX(Variables!$D$5:$D$65,MATCH($A973,Variables!$A$5:$A$65,0))="","","."&amp;INDEX(Variables!$D$5:$D$65,MATCH($A973,Variables!$A$5:$A$65,0)))&amp;"."&amp;Z$5</f>
        <v/>
      </c>
      <c r="AA973" s="38">
        <f>AA$10*$D973*INDEX(AA$18:AA$25,$E973)*INDEX(AA$27:AA$43,$F973)</f>
        <v/>
      </c>
      <c r="AB973" s="36">
        <f>AB$10*$D973*INDEX(AB$18:AB$25,$E973)*INDEX(AB$27:AB$43,$F973)</f>
        <v/>
      </c>
      <c r="AC973" s="36">
        <f>AC$10*$D973*INDEX(AC$18:AC$25,$E973)*INDEX(AC$27:AC$43,$F973)</f>
        <v/>
      </c>
      <c r="AD973" s="36">
        <f>AD$10*$D973*INDEX(AD$18:AD$25,$E973)*INDEX(AD$27:AD$43,$F973)</f>
        <v/>
      </c>
      <c r="AE973" s="36">
        <f>AE$10*$D973*INDEX(AE$18:AE$25,$E973)*INDEX(AE$27:AE$43,$F973)</f>
        <v/>
      </c>
      <c r="AF973" s="36">
        <f>AF$10*$D973*INDEX(AF$18:AF$25,$E973)*INDEX(AF$27:AF$43,$F973)</f>
        <v/>
      </c>
      <c r="AG973" s="36">
        <f>AG$10*$D973*INDEX(AG$18:AG$25,$E973)*INDEX(AG$27:AG$43,$F973)</f>
        <v/>
      </c>
      <c r="AH973" s="36">
        <f>AH$10*$D973*INDEX(AH$18:AH$25,$E973)*INDEX(AH$27:AH$43,$F973)</f>
        <v/>
      </c>
      <c r="AI973" s="36">
        <f>AI$10*$D973*INDEX(AI$18:AI$25,$E973)*INDEX(AI$27:AI$43,$F973)</f>
        <v/>
      </c>
      <c r="AJ973" s="36">
        <f>AJ$10*$D973*INDEX(AJ$18:AJ$25,$E973)*INDEX(AJ$27:AJ$43,$F973)</f>
        <v/>
      </c>
      <c r="AK973" s="36">
        <f>AK$10*$D973*INDEX(AK$18:AK$25,$E973)*INDEX(AK$27:AK$43,$F973)</f>
        <v/>
      </c>
      <c r="AL973" s="36">
        <f>AL$10*$D973*INDEX(AL$18:AL$25,$E973)*INDEX(AL$27:AL$43,$F973)</f>
        <v/>
      </c>
      <c r="AM973" s="36">
        <f>AM$10*$D973*INDEX(AM$18:AM$25,$E973)*INDEX(AM$27:AM$43,$F973)</f>
        <v/>
      </c>
      <c r="AN973" s="36">
        <f>AN$10*$D973*INDEX(AN$18:AN$25,$E973)*INDEX(AN$27:AN$43,$F973)</f>
        <v/>
      </c>
    </row>
    <row r="974" hidden="1" outlineLevel="2">
      <c r="A974" s="5" t="inlineStr">
        <is>
          <t>ctxnew</t>
        </is>
      </c>
      <c r="B974" s="5" t="inlineStr">
        <is>
          <t>lpg</t>
        </is>
      </c>
      <c r="C974" s="5" t="inlineStr">
        <is>
          <t>cem</t>
        </is>
      </c>
      <c r="D974" s="36">
        <f>INDEX(Inputs!$U$5:$U$132,MATCH($B974&amp;"|"&amp;$C974,Inputs!$A$5:$A$132,0))</f>
        <v/>
      </c>
      <c r="E974" s="36">
        <f>INDEX(Inputs!$J$5:$J$132,MATCH($B974&amp;"|"&amp;$C974,Inputs!$A$5:$A$132,0))</f>
        <v/>
      </c>
      <c r="F974" s="36">
        <f>INDEX(Inputs!$K$5:$K$132,MATCH($B974&amp;"|"&amp;$C974,Inputs!$A$5:$A$132,0))</f>
        <v/>
      </c>
      <c r="G974" s="37" t="n"/>
      <c r="H974" s="5">
        <f>INDEX(Variables!$B$5:$B$65,MATCH($A974,Variables!$A$5:$A$65,0))&amp;IF($C974="",""," | "&amp;INDEX(Mapping!$B$5:$B$25,MATCH($C974,Mapping!$A$5:$A$25,0))&amp;" | "&amp;INDEX(Mapping!$B$29:$B$38,MATCH($B974,Mapping!$A$29:$A$38,0)))</f>
        <v/>
      </c>
      <c r="I974" s="5">
        <f>INDEX(Variables!$C$5:$C$65,MATCH($A974,Variables!$A$5:$A$65,0))</f>
        <v/>
      </c>
      <c r="J974" s="5">
        <f>INDEX(Variables!$E$5:$E$65,MATCH($A974,Variables!$A$5:$A$65,0))</f>
        <v/>
      </c>
      <c r="K974" s="23">
        <f>LOWER(Settings!$C$4)&amp;".mit."&amp;$A974&amp;IF($C974="","","."&amp;$C974&amp;"."&amp;$B974)&amp;IF(INDEX(Variables!$D$5:$D$65,MATCH($A974,Variables!$A$5:$A$65,0))="","","."&amp;INDEX(Variables!$D$5:$D$65,MATCH($A974,Variables!$A$5:$A$65,0)))&amp;"."&amp;K$5</f>
        <v/>
      </c>
      <c r="L974" s="38">
        <f>L$10*$D974*INDEX(L$18:L$25,$E974)*INDEX(L$27:L$43,$F974)</f>
        <v/>
      </c>
      <c r="M974" s="36">
        <f>M$10*$D974*INDEX(M$18:M$25,$E974)*INDEX(M$27:M$43,$F974)</f>
        <v/>
      </c>
      <c r="N974" s="36">
        <f>N$10*$D974*INDEX(N$18:N$25,$E974)*INDEX(N$27:N$43,$F974)</f>
        <v/>
      </c>
      <c r="O974" s="36">
        <f>O$10*$D974*INDEX(O$18:O$25,$E974)*INDEX(O$27:O$43,$F974)</f>
        <v/>
      </c>
      <c r="P974" s="36">
        <f>P$10*$D974*INDEX(P$18:P$25,$E974)*INDEX(P$27:P$43,$F974)</f>
        <v/>
      </c>
      <c r="Q974" s="36">
        <f>Q$10*$D974*INDEX(Q$18:Q$25,$E974)*INDEX(Q$27:Q$43,$F974)</f>
        <v/>
      </c>
      <c r="R974" s="36">
        <f>R$10*$D974*INDEX(R$18:R$25,$E974)*INDEX(R$27:R$43,$F974)</f>
        <v/>
      </c>
      <c r="S974" s="36">
        <f>S$10*$D974*INDEX(S$18:S$25,$E974)*INDEX(S$27:S$43,$F974)</f>
        <v/>
      </c>
      <c r="T974" s="36">
        <f>T$10*$D974*INDEX(T$18:T$25,$E974)*INDEX(T$27:T$43,$F974)</f>
        <v/>
      </c>
      <c r="U974" s="36">
        <f>U$10*$D974*INDEX(U$18:U$25,$E974)*INDEX(U$27:U$43,$F974)</f>
        <v/>
      </c>
      <c r="V974" s="36">
        <f>V$10*$D974*INDEX(V$18:V$25,$E974)*INDEX(V$27:V$43,$F974)</f>
        <v/>
      </c>
      <c r="W974" s="36">
        <f>W$10*$D974*INDEX(W$18:W$25,$E974)*INDEX(W$27:W$43,$F974)</f>
        <v/>
      </c>
      <c r="X974" s="36">
        <f>X$10*$D974*INDEX(X$18:X$25,$E974)*INDEX(X$27:X$43,$F974)</f>
        <v/>
      </c>
      <c r="Y974" s="36">
        <f>Y$10*$D974*INDEX(Y$18:Y$25,$E974)*INDEX(Y$27:Y$43,$F974)</f>
        <v/>
      </c>
      <c r="Z974" s="23">
        <f>LOWER(Settings!$C$4)&amp;".mit."&amp;$A974&amp;IF($C974="","","."&amp;$C974&amp;"."&amp;$B974)&amp;IF(INDEX(Variables!$D$5:$D$65,MATCH($A974,Variables!$A$5:$A$65,0))="","","."&amp;INDEX(Variables!$D$5:$D$65,MATCH($A974,Variables!$A$5:$A$65,0)))&amp;"."&amp;Z$5</f>
        <v/>
      </c>
      <c r="AA974" s="38">
        <f>AA$10*$D974*INDEX(AA$18:AA$25,$E974)*INDEX(AA$27:AA$43,$F974)</f>
        <v/>
      </c>
      <c r="AB974" s="36">
        <f>AB$10*$D974*INDEX(AB$18:AB$25,$E974)*INDEX(AB$27:AB$43,$F974)</f>
        <v/>
      </c>
      <c r="AC974" s="36">
        <f>AC$10*$D974*INDEX(AC$18:AC$25,$E974)*INDEX(AC$27:AC$43,$F974)</f>
        <v/>
      </c>
      <c r="AD974" s="36">
        <f>AD$10*$D974*INDEX(AD$18:AD$25,$E974)*INDEX(AD$27:AD$43,$F974)</f>
        <v/>
      </c>
      <c r="AE974" s="36">
        <f>AE$10*$D974*INDEX(AE$18:AE$25,$E974)*INDEX(AE$27:AE$43,$F974)</f>
        <v/>
      </c>
      <c r="AF974" s="36">
        <f>AF$10*$D974*INDEX(AF$18:AF$25,$E974)*INDEX(AF$27:AF$43,$F974)</f>
        <v/>
      </c>
      <c r="AG974" s="36">
        <f>AG$10*$D974*INDEX(AG$18:AG$25,$E974)*INDEX(AG$27:AG$43,$F974)</f>
        <v/>
      </c>
      <c r="AH974" s="36">
        <f>AH$10*$D974*INDEX(AH$18:AH$25,$E974)*INDEX(AH$27:AH$43,$F974)</f>
        <v/>
      </c>
      <c r="AI974" s="36">
        <f>AI$10*$D974*INDEX(AI$18:AI$25,$E974)*INDEX(AI$27:AI$43,$F974)</f>
        <v/>
      </c>
      <c r="AJ974" s="36">
        <f>AJ$10*$D974*INDEX(AJ$18:AJ$25,$E974)*INDEX(AJ$27:AJ$43,$F974)</f>
        <v/>
      </c>
      <c r="AK974" s="36">
        <f>AK$10*$D974*INDEX(AK$18:AK$25,$E974)*INDEX(AK$27:AK$43,$F974)</f>
        <v/>
      </c>
      <c r="AL974" s="36">
        <f>AL$10*$D974*INDEX(AL$18:AL$25,$E974)*INDEX(AL$27:AL$43,$F974)</f>
        <v/>
      </c>
      <c r="AM974" s="36">
        <f>AM$10*$D974*INDEX(AM$18:AM$25,$E974)*INDEX(AM$27:AM$43,$F974)</f>
        <v/>
      </c>
      <c r="AN974" s="36">
        <f>AN$10*$D974*INDEX(AN$18:AN$25,$E974)*INDEX(AN$27:AN$43,$F974)</f>
        <v/>
      </c>
    </row>
    <row r="975" hidden="1" outlineLevel="2">
      <c r="A975" s="5" t="inlineStr">
        <is>
          <t>ctxnew</t>
        </is>
      </c>
      <c r="B975" s="5" t="inlineStr">
        <is>
          <t>ker</t>
        </is>
      </c>
      <c r="C975" s="5" t="inlineStr">
        <is>
          <t>cem</t>
        </is>
      </c>
      <c r="D975" s="36">
        <f>INDEX(Inputs!$U$5:$U$132,MATCH($B975&amp;"|"&amp;$C975,Inputs!$A$5:$A$132,0))</f>
        <v/>
      </c>
      <c r="E975" s="36">
        <f>INDEX(Inputs!$J$5:$J$132,MATCH($B975&amp;"|"&amp;$C975,Inputs!$A$5:$A$132,0))</f>
        <v/>
      </c>
      <c r="F975" s="36">
        <f>INDEX(Inputs!$K$5:$K$132,MATCH($B975&amp;"|"&amp;$C975,Inputs!$A$5:$A$132,0))</f>
        <v/>
      </c>
      <c r="G975" s="37" t="n"/>
      <c r="H975" s="5">
        <f>INDEX(Variables!$B$5:$B$65,MATCH($A975,Variables!$A$5:$A$65,0))&amp;IF($C975="",""," | "&amp;INDEX(Mapping!$B$5:$B$25,MATCH($C975,Mapping!$A$5:$A$25,0))&amp;" | "&amp;INDEX(Mapping!$B$29:$B$38,MATCH($B975,Mapping!$A$29:$A$38,0)))</f>
        <v/>
      </c>
      <c r="I975" s="5">
        <f>INDEX(Variables!$C$5:$C$65,MATCH($A975,Variables!$A$5:$A$65,0))</f>
        <v/>
      </c>
      <c r="J975" s="5">
        <f>INDEX(Variables!$E$5:$E$65,MATCH($A975,Variables!$A$5:$A$65,0))</f>
        <v/>
      </c>
      <c r="K975" s="23">
        <f>LOWER(Settings!$C$4)&amp;".mit."&amp;$A975&amp;IF($C975="","","."&amp;$C975&amp;"."&amp;$B975)&amp;IF(INDEX(Variables!$D$5:$D$65,MATCH($A975,Variables!$A$5:$A$65,0))="","","."&amp;INDEX(Variables!$D$5:$D$65,MATCH($A975,Variables!$A$5:$A$65,0)))&amp;"."&amp;K$5</f>
        <v/>
      </c>
      <c r="L975" s="38">
        <f>L$10*$D975*INDEX(L$18:L$25,$E975)*INDEX(L$27:L$43,$F975)</f>
        <v/>
      </c>
      <c r="M975" s="36">
        <f>M$10*$D975*INDEX(M$18:M$25,$E975)*INDEX(M$27:M$43,$F975)</f>
        <v/>
      </c>
      <c r="N975" s="36">
        <f>N$10*$D975*INDEX(N$18:N$25,$E975)*INDEX(N$27:N$43,$F975)</f>
        <v/>
      </c>
      <c r="O975" s="36">
        <f>O$10*$D975*INDEX(O$18:O$25,$E975)*INDEX(O$27:O$43,$F975)</f>
        <v/>
      </c>
      <c r="P975" s="36">
        <f>P$10*$D975*INDEX(P$18:P$25,$E975)*INDEX(P$27:P$43,$F975)</f>
        <v/>
      </c>
      <c r="Q975" s="36">
        <f>Q$10*$D975*INDEX(Q$18:Q$25,$E975)*INDEX(Q$27:Q$43,$F975)</f>
        <v/>
      </c>
      <c r="R975" s="36">
        <f>R$10*$D975*INDEX(R$18:R$25,$E975)*INDEX(R$27:R$43,$F975)</f>
        <v/>
      </c>
      <c r="S975" s="36">
        <f>S$10*$D975*INDEX(S$18:S$25,$E975)*INDEX(S$27:S$43,$F975)</f>
        <v/>
      </c>
      <c r="T975" s="36">
        <f>T$10*$D975*INDEX(T$18:T$25,$E975)*INDEX(T$27:T$43,$F975)</f>
        <v/>
      </c>
      <c r="U975" s="36">
        <f>U$10*$D975*INDEX(U$18:U$25,$E975)*INDEX(U$27:U$43,$F975)</f>
        <v/>
      </c>
      <c r="V975" s="36">
        <f>V$10*$D975*INDEX(V$18:V$25,$E975)*INDEX(V$27:V$43,$F975)</f>
        <v/>
      </c>
      <c r="W975" s="36">
        <f>W$10*$D975*INDEX(W$18:W$25,$E975)*INDEX(W$27:W$43,$F975)</f>
        <v/>
      </c>
      <c r="X975" s="36">
        <f>X$10*$D975*INDEX(X$18:X$25,$E975)*INDEX(X$27:X$43,$F975)</f>
        <v/>
      </c>
      <c r="Y975" s="36">
        <f>Y$10*$D975*INDEX(Y$18:Y$25,$E975)*INDEX(Y$27:Y$43,$F975)</f>
        <v/>
      </c>
      <c r="Z975" s="23">
        <f>LOWER(Settings!$C$4)&amp;".mit."&amp;$A975&amp;IF($C975="","","."&amp;$C975&amp;"."&amp;$B975)&amp;IF(INDEX(Variables!$D$5:$D$65,MATCH($A975,Variables!$A$5:$A$65,0))="","","."&amp;INDEX(Variables!$D$5:$D$65,MATCH($A975,Variables!$A$5:$A$65,0)))&amp;"."&amp;Z$5</f>
        <v/>
      </c>
      <c r="AA975" s="38">
        <f>AA$10*$D975*INDEX(AA$18:AA$25,$E975)*INDEX(AA$27:AA$43,$F975)</f>
        <v/>
      </c>
      <c r="AB975" s="36">
        <f>AB$10*$D975*INDEX(AB$18:AB$25,$E975)*INDEX(AB$27:AB$43,$F975)</f>
        <v/>
      </c>
      <c r="AC975" s="36">
        <f>AC$10*$D975*INDEX(AC$18:AC$25,$E975)*INDEX(AC$27:AC$43,$F975)</f>
        <v/>
      </c>
      <c r="AD975" s="36">
        <f>AD$10*$D975*INDEX(AD$18:AD$25,$E975)*INDEX(AD$27:AD$43,$F975)</f>
        <v/>
      </c>
      <c r="AE975" s="36">
        <f>AE$10*$D975*INDEX(AE$18:AE$25,$E975)*INDEX(AE$27:AE$43,$F975)</f>
        <v/>
      </c>
      <c r="AF975" s="36">
        <f>AF$10*$D975*INDEX(AF$18:AF$25,$E975)*INDEX(AF$27:AF$43,$F975)</f>
        <v/>
      </c>
      <c r="AG975" s="36">
        <f>AG$10*$D975*INDEX(AG$18:AG$25,$E975)*INDEX(AG$27:AG$43,$F975)</f>
        <v/>
      </c>
      <c r="AH975" s="36">
        <f>AH$10*$D975*INDEX(AH$18:AH$25,$E975)*INDEX(AH$27:AH$43,$F975)</f>
        <v/>
      </c>
      <c r="AI975" s="36">
        <f>AI$10*$D975*INDEX(AI$18:AI$25,$E975)*INDEX(AI$27:AI$43,$F975)</f>
        <v/>
      </c>
      <c r="AJ975" s="36">
        <f>AJ$10*$D975*INDEX(AJ$18:AJ$25,$E975)*INDEX(AJ$27:AJ$43,$F975)</f>
        <v/>
      </c>
      <c r="AK975" s="36">
        <f>AK$10*$D975*INDEX(AK$18:AK$25,$E975)*INDEX(AK$27:AK$43,$F975)</f>
        <v/>
      </c>
      <c r="AL975" s="36">
        <f>AL$10*$D975*INDEX(AL$18:AL$25,$E975)*INDEX(AL$27:AL$43,$F975)</f>
        <v/>
      </c>
      <c r="AM975" s="36">
        <f>AM$10*$D975*INDEX(AM$18:AM$25,$E975)*INDEX(AM$27:AM$43,$F975)</f>
        <v/>
      </c>
      <c r="AN975" s="36">
        <f>AN$10*$D975*INDEX(AN$18:AN$25,$E975)*INDEX(AN$27:AN$43,$F975)</f>
        <v/>
      </c>
    </row>
    <row r="976" hidden="1" outlineLevel="2">
      <c r="A976" s="5" t="inlineStr">
        <is>
          <t>ctxnew</t>
        </is>
      </c>
      <c r="B976" s="5" t="inlineStr">
        <is>
          <t>oop</t>
        </is>
      </c>
      <c r="C976" s="5" t="inlineStr">
        <is>
          <t>cem</t>
        </is>
      </c>
      <c r="D976" s="36">
        <f>INDEX(Inputs!$U$5:$U$132,MATCH($B976&amp;"|"&amp;$C976,Inputs!$A$5:$A$132,0))</f>
        <v/>
      </c>
      <c r="E976" s="36">
        <f>INDEX(Inputs!$J$5:$J$132,MATCH($B976&amp;"|"&amp;$C976,Inputs!$A$5:$A$132,0))</f>
        <v/>
      </c>
      <c r="F976" s="36">
        <f>INDEX(Inputs!$K$5:$K$132,MATCH($B976&amp;"|"&amp;$C976,Inputs!$A$5:$A$132,0))</f>
        <v/>
      </c>
      <c r="G976" s="37" t="n"/>
      <c r="H976" s="5">
        <f>INDEX(Variables!$B$5:$B$65,MATCH($A976,Variables!$A$5:$A$65,0))&amp;IF($C976="",""," | "&amp;INDEX(Mapping!$B$5:$B$25,MATCH($C976,Mapping!$A$5:$A$25,0))&amp;" | "&amp;INDEX(Mapping!$B$29:$B$38,MATCH($B976,Mapping!$A$29:$A$38,0)))</f>
        <v/>
      </c>
      <c r="I976" s="5">
        <f>INDEX(Variables!$C$5:$C$65,MATCH($A976,Variables!$A$5:$A$65,0))</f>
        <v/>
      </c>
      <c r="J976" s="5">
        <f>INDEX(Variables!$E$5:$E$65,MATCH($A976,Variables!$A$5:$A$65,0))</f>
        <v/>
      </c>
      <c r="K976" s="23">
        <f>LOWER(Settings!$C$4)&amp;".mit."&amp;$A976&amp;IF($C976="","","."&amp;$C976&amp;"."&amp;$B976)&amp;IF(INDEX(Variables!$D$5:$D$65,MATCH($A976,Variables!$A$5:$A$65,0))="","","."&amp;INDEX(Variables!$D$5:$D$65,MATCH($A976,Variables!$A$5:$A$65,0)))&amp;"."&amp;K$5</f>
        <v/>
      </c>
      <c r="L976" s="38">
        <f>L$10*$D976*INDEX(L$18:L$25,$E976)*INDEX(L$27:L$43,$F976)</f>
        <v/>
      </c>
      <c r="M976" s="36">
        <f>M$10*$D976*INDEX(M$18:M$25,$E976)*INDEX(M$27:M$43,$F976)</f>
        <v/>
      </c>
      <c r="N976" s="36">
        <f>N$10*$D976*INDEX(N$18:N$25,$E976)*INDEX(N$27:N$43,$F976)</f>
        <v/>
      </c>
      <c r="O976" s="36">
        <f>O$10*$D976*INDEX(O$18:O$25,$E976)*INDEX(O$27:O$43,$F976)</f>
        <v/>
      </c>
      <c r="P976" s="36">
        <f>P$10*$D976*INDEX(P$18:P$25,$E976)*INDEX(P$27:P$43,$F976)</f>
        <v/>
      </c>
      <c r="Q976" s="36">
        <f>Q$10*$D976*INDEX(Q$18:Q$25,$E976)*INDEX(Q$27:Q$43,$F976)</f>
        <v/>
      </c>
      <c r="R976" s="36">
        <f>R$10*$D976*INDEX(R$18:R$25,$E976)*INDEX(R$27:R$43,$F976)</f>
        <v/>
      </c>
      <c r="S976" s="36">
        <f>S$10*$D976*INDEX(S$18:S$25,$E976)*INDEX(S$27:S$43,$F976)</f>
        <v/>
      </c>
      <c r="T976" s="36">
        <f>T$10*$D976*INDEX(T$18:T$25,$E976)*INDEX(T$27:T$43,$F976)</f>
        <v/>
      </c>
      <c r="U976" s="36">
        <f>U$10*$D976*INDEX(U$18:U$25,$E976)*INDEX(U$27:U$43,$F976)</f>
        <v/>
      </c>
      <c r="V976" s="36">
        <f>V$10*$D976*INDEX(V$18:V$25,$E976)*INDEX(V$27:V$43,$F976)</f>
        <v/>
      </c>
      <c r="W976" s="36">
        <f>W$10*$D976*INDEX(W$18:W$25,$E976)*INDEX(W$27:W$43,$F976)</f>
        <v/>
      </c>
      <c r="X976" s="36">
        <f>X$10*$D976*INDEX(X$18:X$25,$E976)*INDEX(X$27:X$43,$F976)</f>
        <v/>
      </c>
      <c r="Y976" s="36">
        <f>Y$10*$D976*INDEX(Y$18:Y$25,$E976)*INDEX(Y$27:Y$43,$F976)</f>
        <v/>
      </c>
      <c r="Z976" s="23">
        <f>LOWER(Settings!$C$4)&amp;".mit."&amp;$A976&amp;IF($C976="","","."&amp;$C976&amp;"."&amp;$B976)&amp;IF(INDEX(Variables!$D$5:$D$65,MATCH($A976,Variables!$A$5:$A$65,0))="","","."&amp;INDEX(Variables!$D$5:$D$65,MATCH($A976,Variables!$A$5:$A$65,0)))&amp;"."&amp;Z$5</f>
        <v/>
      </c>
      <c r="AA976" s="38">
        <f>AA$10*$D976*INDEX(AA$18:AA$25,$E976)*INDEX(AA$27:AA$43,$F976)</f>
        <v/>
      </c>
      <c r="AB976" s="36">
        <f>AB$10*$D976*INDEX(AB$18:AB$25,$E976)*INDEX(AB$27:AB$43,$F976)</f>
        <v/>
      </c>
      <c r="AC976" s="36">
        <f>AC$10*$D976*INDEX(AC$18:AC$25,$E976)*INDEX(AC$27:AC$43,$F976)</f>
        <v/>
      </c>
      <c r="AD976" s="36">
        <f>AD$10*$D976*INDEX(AD$18:AD$25,$E976)*INDEX(AD$27:AD$43,$F976)</f>
        <v/>
      </c>
      <c r="AE976" s="36">
        <f>AE$10*$D976*INDEX(AE$18:AE$25,$E976)*INDEX(AE$27:AE$43,$F976)</f>
        <v/>
      </c>
      <c r="AF976" s="36">
        <f>AF$10*$D976*INDEX(AF$18:AF$25,$E976)*INDEX(AF$27:AF$43,$F976)</f>
        <v/>
      </c>
      <c r="AG976" s="36">
        <f>AG$10*$D976*INDEX(AG$18:AG$25,$E976)*INDEX(AG$27:AG$43,$F976)</f>
        <v/>
      </c>
      <c r="AH976" s="36">
        <f>AH$10*$D976*INDEX(AH$18:AH$25,$E976)*INDEX(AH$27:AH$43,$F976)</f>
        <v/>
      </c>
      <c r="AI976" s="36">
        <f>AI$10*$D976*INDEX(AI$18:AI$25,$E976)*INDEX(AI$27:AI$43,$F976)</f>
        <v/>
      </c>
      <c r="AJ976" s="36">
        <f>AJ$10*$D976*INDEX(AJ$18:AJ$25,$E976)*INDEX(AJ$27:AJ$43,$F976)</f>
        <v/>
      </c>
      <c r="AK976" s="36">
        <f>AK$10*$D976*INDEX(AK$18:AK$25,$E976)*INDEX(AK$27:AK$43,$F976)</f>
        <v/>
      </c>
      <c r="AL976" s="36">
        <f>AL$10*$D976*INDEX(AL$18:AL$25,$E976)*INDEX(AL$27:AL$43,$F976)</f>
        <v/>
      </c>
      <c r="AM976" s="36">
        <f>AM$10*$D976*INDEX(AM$18:AM$25,$E976)*INDEX(AM$27:AM$43,$F976)</f>
        <v/>
      </c>
      <c r="AN976" s="36">
        <f>AN$10*$D976*INDEX(AN$18:AN$25,$E976)*INDEX(AN$27:AN$43,$F976)</f>
        <v/>
      </c>
    </row>
    <row r="977" hidden="1" outlineLevel="2">
      <c r="A977" s="5" t="inlineStr">
        <is>
          <t>ctxnew</t>
        </is>
      </c>
      <c r="B977" s="5" t="inlineStr">
        <is>
          <t>bio</t>
        </is>
      </c>
      <c r="C977" s="5" t="inlineStr">
        <is>
          <t>cem</t>
        </is>
      </c>
      <c r="D977" s="36">
        <f>INDEX(Inputs!$U$5:$U$132,MATCH($B977&amp;"|"&amp;$C977,Inputs!$A$5:$A$132,0))</f>
        <v/>
      </c>
      <c r="E977" s="36">
        <f>INDEX(Inputs!$J$5:$J$132,MATCH($B977&amp;"|"&amp;$C977,Inputs!$A$5:$A$132,0))</f>
        <v/>
      </c>
      <c r="F977" s="36">
        <f>INDEX(Inputs!$K$5:$K$132,MATCH($B977&amp;"|"&amp;$C977,Inputs!$A$5:$A$132,0))</f>
        <v/>
      </c>
      <c r="G977" s="37" t="n"/>
      <c r="H977" s="5">
        <f>INDEX(Variables!$B$5:$B$65,MATCH($A977,Variables!$A$5:$A$65,0))&amp;IF($C977="",""," | "&amp;INDEX(Mapping!$B$5:$B$25,MATCH($C977,Mapping!$A$5:$A$25,0))&amp;" | "&amp;INDEX(Mapping!$B$29:$B$38,MATCH($B977,Mapping!$A$29:$A$38,0)))</f>
        <v/>
      </c>
      <c r="I977" s="5">
        <f>INDEX(Variables!$C$5:$C$65,MATCH($A977,Variables!$A$5:$A$65,0))</f>
        <v/>
      </c>
      <c r="J977" s="5">
        <f>INDEX(Variables!$E$5:$E$65,MATCH($A977,Variables!$A$5:$A$65,0))</f>
        <v/>
      </c>
      <c r="K977" s="23">
        <f>LOWER(Settings!$C$4)&amp;".mit."&amp;$A977&amp;IF($C977="","","."&amp;$C977&amp;"."&amp;$B977)&amp;IF(INDEX(Variables!$D$5:$D$65,MATCH($A977,Variables!$A$5:$A$65,0))="","","."&amp;INDEX(Variables!$D$5:$D$65,MATCH($A977,Variables!$A$5:$A$65,0)))&amp;"."&amp;K$5</f>
        <v/>
      </c>
      <c r="L977" s="38">
        <f>L$10*$D977*INDEX(L$18:L$25,$E977)*INDEX(L$27:L$43,$F977)</f>
        <v/>
      </c>
      <c r="M977" s="36">
        <f>M$10*$D977*INDEX(M$18:M$25,$E977)*INDEX(M$27:M$43,$F977)</f>
        <v/>
      </c>
      <c r="N977" s="36">
        <f>N$10*$D977*INDEX(N$18:N$25,$E977)*INDEX(N$27:N$43,$F977)</f>
        <v/>
      </c>
      <c r="O977" s="36">
        <f>O$10*$D977*INDEX(O$18:O$25,$E977)*INDEX(O$27:O$43,$F977)</f>
        <v/>
      </c>
      <c r="P977" s="36">
        <f>P$10*$D977*INDEX(P$18:P$25,$E977)*INDEX(P$27:P$43,$F977)</f>
        <v/>
      </c>
      <c r="Q977" s="36">
        <f>Q$10*$D977*INDEX(Q$18:Q$25,$E977)*INDEX(Q$27:Q$43,$F977)</f>
        <v/>
      </c>
      <c r="R977" s="36">
        <f>R$10*$D977*INDEX(R$18:R$25,$E977)*INDEX(R$27:R$43,$F977)</f>
        <v/>
      </c>
      <c r="S977" s="36">
        <f>S$10*$D977*INDEX(S$18:S$25,$E977)*INDEX(S$27:S$43,$F977)</f>
        <v/>
      </c>
      <c r="T977" s="36">
        <f>T$10*$D977*INDEX(T$18:T$25,$E977)*INDEX(T$27:T$43,$F977)</f>
        <v/>
      </c>
      <c r="U977" s="36">
        <f>U$10*$D977*INDEX(U$18:U$25,$E977)*INDEX(U$27:U$43,$F977)</f>
        <v/>
      </c>
      <c r="V977" s="36">
        <f>V$10*$D977*INDEX(V$18:V$25,$E977)*INDEX(V$27:V$43,$F977)</f>
        <v/>
      </c>
      <c r="W977" s="36">
        <f>W$10*$D977*INDEX(W$18:W$25,$E977)*INDEX(W$27:W$43,$F977)</f>
        <v/>
      </c>
      <c r="X977" s="36">
        <f>X$10*$D977*INDEX(X$18:X$25,$E977)*INDEX(X$27:X$43,$F977)</f>
        <v/>
      </c>
      <c r="Y977" s="36">
        <f>Y$10*$D977*INDEX(Y$18:Y$25,$E977)*INDEX(Y$27:Y$43,$F977)</f>
        <v/>
      </c>
      <c r="Z977" s="23">
        <f>LOWER(Settings!$C$4)&amp;".mit."&amp;$A977&amp;IF($C977="","","."&amp;$C977&amp;"."&amp;$B977)&amp;IF(INDEX(Variables!$D$5:$D$65,MATCH($A977,Variables!$A$5:$A$65,0))="","","."&amp;INDEX(Variables!$D$5:$D$65,MATCH($A977,Variables!$A$5:$A$65,0)))&amp;"."&amp;Z$5</f>
        <v/>
      </c>
      <c r="AA977" s="38">
        <f>AA$10*$D977*INDEX(AA$18:AA$25,$E977)*INDEX(AA$27:AA$43,$F977)</f>
        <v/>
      </c>
      <c r="AB977" s="36">
        <f>AB$10*$D977*INDEX(AB$18:AB$25,$E977)*INDEX(AB$27:AB$43,$F977)</f>
        <v/>
      </c>
      <c r="AC977" s="36">
        <f>AC$10*$D977*INDEX(AC$18:AC$25,$E977)*INDEX(AC$27:AC$43,$F977)</f>
        <v/>
      </c>
      <c r="AD977" s="36">
        <f>AD$10*$D977*INDEX(AD$18:AD$25,$E977)*INDEX(AD$27:AD$43,$F977)</f>
        <v/>
      </c>
      <c r="AE977" s="36">
        <f>AE$10*$D977*INDEX(AE$18:AE$25,$E977)*INDEX(AE$27:AE$43,$F977)</f>
        <v/>
      </c>
      <c r="AF977" s="36">
        <f>AF$10*$D977*INDEX(AF$18:AF$25,$E977)*INDEX(AF$27:AF$43,$F977)</f>
        <v/>
      </c>
      <c r="AG977" s="36">
        <f>AG$10*$D977*INDEX(AG$18:AG$25,$E977)*INDEX(AG$27:AG$43,$F977)</f>
        <v/>
      </c>
      <c r="AH977" s="36">
        <f>AH$10*$D977*INDEX(AH$18:AH$25,$E977)*INDEX(AH$27:AH$43,$F977)</f>
        <v/>
      </c>
      <c r="AI977" s="36">
        <f>AI$10*$D977*INDEX(AI$18:AI$25,$E977)*INDEX(AI$27:AI$43,$F977)</f>
        <v/>
      </c>
      <c r="AJ977" s="36">
        <f>AJ$10*$D977*INDEX(AJ$18:AJ$25,$E977)*INDEX(AJ$27:AJ$43,$F977)</f>
        <v/>
      </c>
      <c r="AK977" s="36">
        <f>AK$10*$D977*INDEX(AK$18:AK$25,$E977)*INDEX(AK$27:AK$43,$F977)</f>
        <v/>
      </c>
      <c r="AL977" s="36">
        <f>AL$10*$D977*INDEX(AL$18:AL$25,$E977)*INDEX(AL$27:AL$43,$F977)</f>
        <v/>
      </c>
      <c r="AM977" s="36">
        <f>AM$10*$D977*INDEX(AM$18:AM$25,$E977)*INDEX(AM$27:AM$43,$F977)</f>
        <v/>
      </c>
      <c r="AN977" s="36">
        <f>AN$10*$D977*INDEX(AN$18:AN$25,$E977)*INDEX(AN$27:AN$43,$F977)</f>
        <v/>
      </c>
    </row>
    <row r="978" hidden="1" outlineLevel="2"/>
    <row r="979" hidden="1" outlineLevel="2">
      <c r="A979" s="5" t="inlineStr">
        <is>
          <t>ntx</t>
        </is>
      </c>
      <c r="B979" s="5" t="inlineStr">
        <is>
          <t>coa</t>
        </is>
      </c>
      <c r="C979" s="5" t="inlineStr">
        <is>
          <t>cem</t>
        </is>
      </c>
      <c r="D979" s="36">
        <f>INDEX(Inputs!$L$5:$L$132,MATCH($B979&amp;"|"&amp;$C979,Inputs!$A$5:$A$132,0))</f>
        <v/>
      </c>
      <c r="E979" s="36">
        <f>INDEX(Inputs!$I$5:$I$132,MATCH($B979&amp;"|"&amp;$C979,Inputs!$A$5:$A$132,0))</f>
        <v/>
      </c>
      <c r="F979" s="37" t="n"/>
      <c r="G979" s="37" t="n"/>
      <c r="H979" s="5">
        <f>INDEX(Variables!$B$5:$B$65,MATCH($A979,Variables!$A$5:$A$65,0))&amp;IF($C979="",""," | "&amp;INDEX(Mapping!$B$5:$B$25,MATCH($C979,Mapping!$A$5:$A$25,0))&amp;" | "&amp;INDEX(Mapping!$B$29:$B$38,MATCH($B979,Mapping!$A$29:$A$38,0)))</f>
        <v/>
      </c>
      <c r="I979" s="5">
        <f>INDEX(Variables!$C$5:$C$65,MATCH($A979,Variables!$A$5:$A$65,0))</f>
        <v/>
      </c>
      <c r="J979" s="5">
        <f>INDEX(Variables!$E$5:$E$65,MATCH($A979,Variables!$A$5:$A$65,0))</f>
        <v/>
      </c>
      <c r="K979" s="23">
        <f>LOWER(Settings!$C$4)&amp;".mit."&amp;$A979&amp;IF($C979="","","."&amp;$C979&amp;"."&amp;$B979)&amp;IF(INDEX(Variables!$D$5:$D$65,MATCH($A979,Variables!$A$5:$A$65,0))="","","."&amp;INDEX(Variables!$D$5:$D$65,MATCH($A979,Variables!$A$5:$A$65,0)))&amp;"."&amp;K$5</f>
        <v/>
      </c>
      <c r="L979" s="38">
        <f>INDEX(L$75:L$88,$D979)/$E979</f>
        <v/>
      </c>
      <c r="M979" s="36">
        <f>INDEX(M$75:M$88,$D979)/$E979</f>
        <v/>
      </c>
      <c r="N979" s="36">
        <f>INDEX(N$75:N$88,$D979)/$E979</f>
        <v/>
      </c>
      <c r="O979" s="36">
        <f>INDEX(O$75:O$88,$D979)/$E979</f>
        <v/>
      </c>
      <c r="P979" s="36">
        <f>INDEX(P$75:P$88,$D979)/$E979</f>
        <v/>
      </c>
      <c r="Q979" s="36">
        <f>INDEX(Q$75:Q$88,$D979)/$E979</f>
        <v/>
      </c>
      <c r="R979" s="36">
        <f>INDEX(R$75:R$88,$D979)/$E979</f>
        <v/>
      </c>
      <c r="S979" s="36">
        <f>INDEX(S$75:S$88,$D979)/$E979</f>
        <v/>
      </c>
      <c r="T979" s="36">
        <f>INDEX(T$75:T$88,$D979)/$E979</f>
        <v/>
      </c>
      <c r="U979" s="36">
        <f>INDEX(U$75:U$88,$D979)/$E979</f>
        <v/>
      </c>
      <c r="V979" s="36">
        <f>INDEX(V$75:V$88,$D979)/$E979</f>
        <v/>
      </c>
      <c r="W979" s="36">
        <f>INDEX(W$75:W$88,$D979)/$E979</f>
        <v/>
      </c>
      <c r="X979" s="36">
        <f>INDEX(X$75:X$88,$D979)/$E979</f>
        <v/>
      </c>
      <c r="Y979" s="36">
        <f>INDEX(Y$75:Y$88,$D979)/$E979</f>
        <v/>
      </c>
      <c r="Z979" s="23">
        <f>LOWER(Settings!$C$4)&amp;".mit."&amp;$A979&amp;IF($C979="","","."&amp;$C979&amp;"."&amp;$B979)&amp;IF(INDEX(Variables!$D$5:$D$65,MATCH($A979,Variables!$A$5:$A$65,0))="","","."&amp;INDEX(Variables!$D$5:$D$65,MATCH($A979,Variables!$A$5:$A$65,0)))&amp;"."&amp;Z$5</f>
        <v/>
      </c>
      <c r="AA979" s="38">
        <f>INDEX(AA$75:AA$88,$D979)/$E979</f>
        <v/>
      </c>
      <c r="AB979" s="36">
        <f>INDEX(AB$75:AB$88,$D979)/$E979</f>
        <v/>
      </c>
      <c r="AC979" s="36">
        <f>INDEX(AC$75:AC$88,$D979)/$E979</f>
        <v/>
      </c>
      <c r="AD979" s="36">
        <f>INDEX(AD$75:AD$88,$D979)/$E979</f>
        <v/>
      </c>
      <c r="AE979" s="36">
        <f>INDEX(AE$75:AE$88,$D979)/$E979</f>
        <v/>
      </c>
      <c r="AF979" s="36">
        <f>INDEX(AF$75:AF$88,$D979)/$E979</f>
        <v/>
      </c>
      <c r="AG979" s="36">
        <f>INDEX(AG$75:AG$88,$D979)/$E979</f>
        <v/>
      </c>
      <c r="AH979" s="36">
        <f>INDEX(AH$75:AH$88,$D979)/$E979</f>
        <v/>
      </c>
      <c r="AI979" s="36">
        <f>INDEX(AI$75:AI$88,$D979)/$E979</f>
        <v/>
      </c>
      <c r="AJ979" s="36">
        <f>INDEX(AJ$75:AJ$88,$D979)/$E979</f>
        <v/>
      </c>
      <c r="AK979" s="36">
        <f>INDEX(AK$75:AK$88,$D979)/$E979</f>
        <v/>
      </c>
      <c r="AL979" s="36">
        <f>INDEX(AL$75:AL$88,$D979)/$E979</f>
        <v/>
      </c>
      <c r="AM979" s="36">
        <f>INDEX(AM$75:AM$88,$D979)/$E979</f>
        <v/>
      </c>
      <c r="AN979" s="36">
        <f>INDEX(AN$75:AN$88,$D979)/$E979</f>
        <v/>
      </c>
    </row>
    <row r="980" hidden="1" outlineLevel="2">
      <c r="A980" s="5" t="inlineStr">
        <is>
          <t>ntx</t>
        </is>
      </c>
      <c r="B980" s="5" t="inlineStr">
        <is>
          <t>nga</t>
        </is>
      </c>
      <c r="C980" s="5" t="inlineStr">
        <is>
          <t>cem</t>
        </is>
      </c>
      <c r="D980" s="36">
        <f>INDEX(Inputs!$L$5:$L$132,MATCH($B980&amp;"|"&amp;$C980,Inputs!$A$5:$A$132,0))</f>
        <v/>
      </c>
      <c r="E980" s="36">
        <f>INDEX(Inputs!$I$5:$I$132,MATCH($B980&amp;"|"&amp;$C980,Inputs!$A$5:$A$132,0))</f>
        <v/>
      </c>
      <c r="F980" s="37" t="n"/>
      <c r="G980" s="37" t="n"/>
      <c r="H980" s="5">
        <f>INDEX(Variables!$B$5:$B$65,MATCH($A980,Variables!$A$5:$A$65,0))&amp;IF($C980="",""," | "&amp;INDEX(Mapping!$B$5:$B$25,MATCH($C980,Mapping!$A$5:$A$25,0))&amp;" | "&amp;INDEX(Mapping!$B$29:$B$38,MATCH($B980,Mapping!$A$29:$A$38,0)))</f>
        <v/>
      </c>
      <c r="I980" s="5">
        <f>INDEX(Variables!$C$5:$C$65,MATCH($A980,Variables!$A$5:$A$65,0))</f>
        <v/>
      </c>
      <c r="J980" s="5">
        <f>INDEX(Variables!$E$5:$E$65,MATCH($A980,Variables!$A$5:$A$65,0))</f>
        <v/>
      </c>
      <c r="K980" s="23">
        <f>LOWER(Settings!$C$4)&amp;".mit."&amp;$A980&amp;IF($C980="","","."&amp;$C980&amp;"."&amp;$B980)&amp;IF(INDEX(Variables!$D$5:$D$65,MATCH($A980,Variables!$A$5:$A$65,0))="","","."&amp;INDEX(Variables!$D$5:$D$65,MATCH($A980,Variables!$A$5:$A$65,0)))&amp;"."&amp;K$5</f>
        <v/>
      </c>
      <c r="L980" s="38">
        <f>INDEX(L$75:L$88,$D980)/$E980</f>
        <v/>
      </c>
      <c r="M980" s="36">
        <f>INDEX(M$75:M$88,$D980)/$E980</f>
        <v/>
      </c>
      <c r="N980" s="36">
        <f>INDEX(N$75:N$88,$D980)/$E980</f>
        <v/>
      </c>
      <c r="O980" s="36">
        <f>INDEX(O$75:O$88,$D980)/$E980</f>
        <v/>
      </c>
      <c r="P980" s="36">
        <f>INDEX(P$75:P$88,$D980)/$E980</f>
        <v/>
      </c>
      <c r="Q980" s="36">
        <f>INDEX(Q$75:Q$88,$D980)/$E980</f>
        <v/>
      </c>
      <c r="R980" s="36">
        <f>INDEX(R$75:R$88,$D980)/$E980</f>
        <v/>
      </c>
      <c r="S980" s="36">
        <f>INDEX(S$75:S$88,$D980)/$E980</f>
        <v/>
      </c>
      <c r="T980" s="36">
        <f>INDEX(T$75:T$88,$D980)/$E980</f>
        <v/>
      </c>
      <c r="U980" s="36">
        <f>INDEX(U$75:U$88,$D980)/$E980</f>
        <v/>
      </c>
      <c r="V980" s="36">
        <f>INDEX(V$75:V$88,$D980)/$E980</f>
        <v/>
      </c>
      <c r="W980" s="36">
        <f>INDEX(W$75:W$88,$D980)/$E980</f>
        <v/>
      </c>
      <c r="X980" s="36">
        <f>INDEX(X$75:X$88,$D980)/$E980</f>
        <v/>
      </c>
      <c r="Y980" s="36">
        <f>INDEX(Y$75:Y$88,$D980)/$E980</f>
        <v/>
      </c>
      <c r="Z980" s="23">
        <f>LOWER(Settings!$C$4)&amp;".mit."&amp;$A980&amp;IF($C980="","","."&amp;$C980&amp;"."&amp;$B980)&amp;IF(INDEX(Variables!$D$5:$D$65,MATCH($A980,Variables!$A$5:$A$65,0))="","","."&amp;INDEX(Variables!$D$5:$D$65,MATCH($A980,Variables!$A$5:$A$65,0)))&amp;"."&amp;Z$5</f>
        <v/>
      </c>
      <c r="AA980" s="38">
        <f>INDEX(AA$75:AA$88,$D980)/$E980</f>
        <v/>
      </c>
      <c r="AB980" s="36">
        <f>INDEX(AB$75:AB$88,$D980)/$E980</f>
        <v/>
      </c>
      <c r="AC980" s="36">
        <f>INDEX(AC$75:AC$88,$D980)/$E980</f>
        <v/>
      </c>
      <c r="AD980" s="36">
        <f>INDEX(AD$75:AD$88,$D980)/$E980</f>
        <v/>
      </c>
      <c r="AE980" s="36">
        <f>INDEX(AE$75:AE$88,$D980)/$E980</f>
        <v/>
      </c>
      <c r="AF980" s="36">
        <f>INDEX(AF$75:AF$88,$D980)/$E980</f>
        <v/>
      </c>
      <c r="AG980" s="36">
        <f>INDEX(AG$75:AG$88,$D980)/$E980</f>
        <v/>
      </c>
      <c r="AH980" s="36">
        <f>INDEX(AH$75:AH$88,$D980)/$E980</f>
        <v/>
      </c>
      <c r="AI980" s="36">
        <f>INDEX(AI$75:AI$88,$D980)/$E980</f>
        <v/>
      </c>
      <c r="AJ980" s="36">
        <f>INDEX(AJ$75:AJ$88,$D980)/$E980</f>
        <v/>
      </c>
      <c r="AK980" s="36">
        <f>INDEX(AK$75:AK$88,$D980)/$E980</f>
        <v/>
      </c>
      <c r="AL980" s="36">
        <f>INDEX(AL$75:AL$88,$D980)/$E980</f>
        <v/>
      </c>
      <c r="AM980" s="36">
        <f>INDEX(AM$75:AM$88,$D980)/$E980</f>
        <v/>
      </c>
      <c r="AN980" s="36">
        <f>INDEX(AN$75:AN$88,$D980)/$E980</f>
        <v/>
      </c>
    </row>
    <row r="981" hidden="1" outlineLevel="2">
      <c r="A981" s="5" t="inlineStr">
        <is>
          <t>ntx</t>
        </is>
      </c>
      <c r="B981" s="5" t="inlineStr">
        <is>
          <t>gso</t>
        </is>
      </c>
      <c r="C981" s="5" t="inlineStr">
        <is>
          <t>cem</t>
        </is>
      </c>
      <c r="D981" s="36">
        <f>INDEX(Inputs!$L$5:$L$132,MATCH($B981&amp;"|"&amp;$C981,Inputs!$A$5:$A$132,0))</f>
        <v/>
      </c>
      <c r="E981" s="36">
        <f>INDEX(Inputs!$I$5:$I$132,MATCH($B981&amp;"|"&amp;$C981,Inputs!$A$5:$A$132,0))</f>
        <v/>
      </c>
      <c r="F981" s="37" t="n"/>
      <c r="G981" s="37" t="n"/>
      <c r="H981" s="5">
        <f>INDEX(Variables!$B$5:$B$65,MATCH($A981,Variables!$A$5:$A$65,0))&amp;IF($C981="",""," | "&amp;INDEX(Mapping!$B$5:$B$25,MATCH($C981,Mapping!$A$5:$A$25,0))&amp;" | "&amp;INDEX(Mapping!$B$29:$B$38,MATCH($B981,Mapping!$A$29:$A$38,0)))</f>
        <v/>
      </c>
      <c r="I981" s="5">
        <f>INDEX(Variables!$C$5:$C$65,MATCH($A981,Variables!$A$5:$A$65,0))</f>
        <v/>
      </c>
      <c r="J981" s="5">
        <f>INDEX(Variables!$E$5:$E$65,MATCH($A981,Variables!$A$5:$A$65,0))</f>
        <v/>
      </c>
      <c r="K981" s="23">
        <f>LOWER(Settings!$C$4)&amp;".mit."&amp;$A981&amp;IF($C981="","","."&amp;$C981&amp;"."&amp;$B981)&amp;IF(INDEX(Variables!$D$5:$D$65,MATCH($A981,Variables!$A$5:$A$65,0))="","","."&amp;INDEX(Variables!$D$5:$D$65,MATCH($A981,Variables!$A$5:$A$65,0)))&amp;"."&amp;K$5</f>
        <v/>
      </c>
      <c r="L981" s="38">
        <f>INDEX(L$75:L$88,$D981)/$E981</f>
        <v/>
      </c>
      <c r="M981" s="36">
        <f>INDEX(M$75:M$88,$D981)/$E981</f>
        <v/>
      </c>
      <c r="N981" s="36">
        <f>INDEX(N$75:N$88,$D981)/$E981</f>
        <v/>
      </c>
      <c r="O981" s="36">
        <f>INDEX(O$75:O$88,$D981)/$E981</f>
        <v/>
      </c>
      <c r="P981" s="36">
        <f>INDEX(P$75:P$88,$D981)/$E981</f>
        <v/>
      </c>
      <c r="Q981" s="36">
        <f>INDEX(Q$75:Q$88,$D981)/$E981</f>
        <v/>
      </c>
      <c r="R981" s="36">
        <f>INDEX(R$75:R$88,$D981)/$E981</f>
        <v/>
      </c>
      <c r="S981" s="36">
        <f>INDEX(S$75:S$88,$D981)/$E981</f>
        <v/>
      </c>
      <c r="T981" s="36">
        <f>INDEX(T$75:T$88,$D981)/$E981</f>
        <v/>
      </c>
      <c r="U981" s="36">
        <f>INDEX(U$75:U$88,$D981)/$E981</f>
        <v/>
      </c>
      <c r="V981" s="36">
        <f>INDEX(V$75:V$88,$D981)/$E981</f>
        <v/>
      </c>
      <c r="W981" s="36">
        <f>INDEX(W$75:W$88,$D981)/$E981</f>
        <v/>
      </c>
      <c r="X981" s="36">
        <f>INDEX(X$75:X$88,$D981)/$E981</f>
        <v/>
      </c>
      <c r="Y981" s="36">
        <f>INDEX(Y$75:Y$88,$D981)/$E981</f>
        <v/>
      </c>
      <c r="Z981" s="23">
        <f>LOWER(Settings!$C$4)&amp;".mit."&amp;$A981&amp;IF($C981="","","."&amp;$C981&amp;"."&amp;$B981)&amp;IF(INDEX(Variables!$D$5:$D$65,MATCH($A981,Variables!$A$5:$A$65,0))="","","."&amp;INDEX(Variables!$D$5:$D$65,MATCH($A981,Variables!$A$5:$A$65,0)))&amp;"."&amp;Z$5</f>
        <v/>
      </c>
      <c r="AA981" s="38">
        <f>INDEX(AA$75:AA$88,$D981)/$E981</f>
        <v/>
      </c>
      <c r="AB981" s="36">
        <f>INDEX(AB$75:AB$88,$D981)/$E981</f>
        <v/>
      </c>
      <c r="AC981" s="36">
        <f>INDEX(AC$75:AC$88,$D981)/$E981</f>
        <v/>
      </c>
      <c r="AD981" s="36">
        <f>INDEX(AD$75:AD$88,$D981)/$E981</f>
        <v/>
      </c>
      <c r="AE981" s="36">
        <f>INDEX(AE$75:AE$88,$D981)/$E981</f>
        <v/>
      </c>
      <c r="AF981" s="36">
        <f>INDEX(AF$75:AF$88,$D981)/$E981</f>
        <v/>
      </c>
      <c r="AG981" s="36">
        <f>INDEX(AG$75:AG$88,$D981)/$E981</f>
        <v/>
      </c>
      <c r="AH981" s="36">
        <f>INDEX(AH$75:AH$88,$D981)/$E981</f>
        <v/>
      </c>
      <c r="AI981" s="36">
        <f>INDEX(AI$75:AI$88,$D981)/$E981</f>
        <v/>
      </c>
      <c r="AJ981" s="36">
        <f>INDEX(AJ$75:AJ$88,$D981)/$E981</f>
        <v/>
      </c>
      <c r="AK981" s="36">
        <f>INDEX(AK$75:AK$88,$D981)/$E981</f>
        <v/>
      </c>
      <c r="AL981" s="36">
        <f>INDEX(AL$75:AL$88,$D981)/$E981</f>
        <v/>
      </c>
      <c r="AM981" s="36">
        <f>INDEX(AM$75:AM$88,$D981)/$E981</f>
        <v/>
      </c>
      <c r="AN981" s="36">
        <f>INDEX(AN$75:AN$88,$D981)/$E981</f>
        <v/>
      </c>
    </row>
    <row r="982" hidden="1" outlineLevel="2">
      <c r="A982" s="5" t="inlineStr">
        <is>
          <t>ntx</t>
        </is>
      </c>
      <c r="B982" s="5" t="inlineStr">
        <is>
          <t>die</t>
        </is>
      </c>
      <c r="C982" s="5" t="inlineStr">
        <is>
          <t>cem</t>
        </is>
      </c>
      <c r="D982" s="36">
        <f>INDEX(Inputs!$L$5:$L$132,MATCH($B982&amp;"|"&amp;$C982,Inputs!$A$5:$A$132,0))</f>
        <v/>
      </c>
      <c r="E982" s="36">
        <f>INDEX(Inputs!$I$5:$I$132,MATCH($B982&amp;"|"&amp;$C982,Inputs!$A$5:$A$132,0))</f>
        <v/>
      </c>
      <c r="F982" s="37" t="n"/>
      <c r="G982" s="37" t="n"/>
      <c r="H982" s="5">
        <f>INDEX(Variables!$B$5:$B$65,MATCH($A982,Variables!$A$5:$A$65,0))&amp;IF($C982="",""," | "&amp;INDEX(Mapping!$B$5:$B$25,MATCH($C982,Mapping!$A$5:$A$25,0))&amp;" | "&amp;INDEX(Mapping!$B$29:$B$38,MATCH($B982,Mapping!$A$29:$A$38,0)))</f>
        <v/>
      </c>
      <c r="I982" s="5">
        <f>INDEX(Variables!$C$5:$C$65,MATCH($A982,Variables!$A$5:$A$65,0))</f>
        <v/>
      </c>
      <c r="J982" s="5">
        <f>INDEX(Variables!$E$5:$E$65,MATCH($A982,Variables!$A$5:$A$65,0))</f>
        <v/>
      </c>
      <c r="K982" s="23">
        <f>LOWER(Settings!$C$4)&amp;".mit."&amp;$A982&amp;IF($C982="","","."&amp;$C982&amp;"."&amp;$B982)&amp;IF(INDEX(Variables!$D$5:$D$65,MATCH($A982,Variables!$A$5:$A$65,0))="","","."&amp;INDEX(Variables!$D$5:$D$65,MATCH($A982,Variables!$A$5:$A$65,0)))&amp;"."&amp;K$5</f>
        <v/>
      </c>
      <c r="L982" s="38">
        <f>INDEX(L$75:L$88,$D982)/$E982</f>
        <v/>
      </c>
      <c r="M982" s="36">
        <f>INDEX(M$75:M$88,$D982)/$E982</f>
        <v/>
      </c>
      <c r="N982" s="36">
        <f>INDEX(N$75:N$88,$D982)/$E982</f>
        <v/>
      </c>
      <c r="O982" s="36">
        <f>INDEX(O$75:O$88,$D982)/$E982</f>
        <v/>
      </c>
      <c r="P982" s="36">
        <f>INDEX(P$75:P$88,$D982)/$E982</f>
        <v/>
      </c>
      <c r="Q982" s="36">
        <f>INDEX(Q$75:Q$88,$D982)/$E982</f>
        <v/>
      </c>
      <c r="R982" s="36">
        <f>INDEX(R$75:R$88,$D982)/$E982</f>
        <v/>
      </c>
      <c r="S982" s="36">
        <f>INDEX(S$75:S$88,$D982)/$E982</f>
        <v/>
      </c>
      <c r="T982" s="36">
        <f>INDEX(T$75:T$88,$D982)/$E982</f>
        <v/>
      </c>
      <c r="U982" s="36">
        <f>INDEX(U$75:U$88,$D982)/$E982</f>
        <v/>
      </c>
      <c r="V982" s="36">
        <f>INDEX(V$75:V$88,$D982)/$E982</f>
        <v/>
      </c>
      <c r="W982" s="36">
        <f>INDEX(W$75:W$88,$D982)/$E982</f>
        <v/>
      </c>
      <c r="X982" s="36">
        <f>INDEX(X$75:X$88,$D982)/$E982</f>
        <v/>
      </c>
      <c r="Y982" s="36">
        <f>INDEX(Y$75:Y$88,$D982)/$E982</f>
        <v/>
      </c>
      <c r="Z982" s="23">
        <f>LOWER(Settings!$C$4)&amp;".mit."&amp;$A982&amp;IF($C982="","","."&amp;$C982&amp;"."&amp;$B982)&amp;IF(INDEX(Variables!$D$5:$D$65,MATCH($A982,Variables!$A$5:$A$65,0))="","","."&amp;INDEX(Variables!$D$5:$D$65,MATCH($A982,Variables!$A$5:$A$65,0)))&amp;"."&amp;Z$5</f>
        <v/>
      </c>
      <c r="AA982" s="38">
        <f>INDEX(AA$75:AA$88,$D982)/$E982</f>
        <v/>
      </c>
      <c r="AB982" s="36">
        <f>INDEX(AB$75:AB$88,$D982)/$E982</f>
        <v/>
      </c>
      <c r="AC982" s="36">
        <f>INDEX(AC$75:AC$88,$D982)/$E982</f>
        <v/>
      </c>
      <c r="AD982" s="36">
        <f>INDEX(AD$75:AD$88,$D982)/$E982</f>
        <v/>
      </c>
      <c r="AE982" s="36">
        <f>INDEX(AE$75:AE$88,$D982)/$E982</f>
        <v/>
      </c>
      <c r="AF982" s="36">
        <f>INDEX(AF$75:AF$88,$D982)/$E982</f>
        <v/>
      </c>
      <c r="AG982" s="36">
        <f>INDEX(AG$75:AG$88,$D982)/$E982</f>
        <v/>
      </c>
      <c r="AH982" s="36">
        <f>INDEX(AH$75:AH$88,$D982)/$E982</f>
        <v/>
      </c>
      <c r="AI982" s="36">
        <f>INDEX(AI$75:AI$88,$D982)/$E982</f>
        <v/>
      </c>
      <c r="AJ982" s="36">
        <f>INDEX(AJ$75:AJ$88,$D982)/$E982</f>
        <v/>
      </c>
      <c r="AK982" s="36">
        <f>INDEX(AK$75:AK$88,$D982)/$E982</f>
        <v/>
      </c>
      <c r="AL982" s="36">
        <f>INDEX(AL$75:AL$88,$D982)/$E982</f>
        <v/>
      </c>
      <c r="AM982" s="36">
        <f>INDEX(AM$75:AM$88,$D982)/$E982</f>
        <v/>
      </c>
      <c r="AN982" s="36">
        <f>INDEX(AN$75:AN$88,$D982)/$E982</f>
        <v/>
      </c>
    </row>
    <row r="983" hidden="1" outlineLevel="2">
      <c r="A983" s="5" t="inlineStr">
        <is>
          <t>ntx</t>
        </is>
      </c>
      <c r="B983" s="5" t="inlineStr">
        <is>
          <t>lpg</t>
        </is>
      </c>
      <c r="C983" s="5" t="inlineStr">
        <is>
          <t>cem</t>
        </is>
      </c>
      <c r="D983" s="36">
        <f>INDEX(Inputs!$L$5:$L$132,MATCH($B983&amp;"|"&amp;$C983,Inputs!$A$5:$A$132,0))</f>
        <v/>
      </c>
      <c r="E983" s="36">
        <f>INDEX(Inputs!$I$5:$I$132,MATCH($B983&amp;"|"&amp;$C983,Inputs!$A$5:$A$132,0))</f>
        <v/>
      </c>
      <c r="F983" s="37" t="n"/>
      <c r="G983" s="37" t="n"/>
      <c r="H983" s="5">
        <f>INDEX(Variables!$B$5:$B$65,MATCH($A983,Variables!$A$5:$A$65,0))&amp;IF($C983="",""," | "&amp;INDEX(Mapping!$B$5:$B$25,MATCH($C983,Mapping!$A$5:$A$25,0))&amp;" | "&amp;INDEX(Mapping!$B$29:$B$38,MATCH($B983,Mapping!$A$29:$A$38,0)))</f>
        <v/>
      </c>
      <c r="I983" s="5">
        <f>INDEX(Variables!$C$5:$C$65,MATCH($A983,Variables!$A$5:$A$65,0))</f>
        <v/>
      </c>
      <c r="J983" s="5">
        <f>INDEX(Variables!$E$5:$E$65,MATCH($A983,Variables!$A$5:$A$65,0))</f>
        <v/>
      </c>
      <c r="K983" s="23">
        <f>LOWER(Settings!$C$4)&amp;".mit."&amp;$A983&amp;IF($C983="","","."&amp;$C983&amp;"."&amp;$B983)&amp;IF(INDEX(Variables!$D$5:$D$65,MATCH($A983,Variables!$A$5:$A$65,0))="","","."&amp;INDEX(Variables!$D$5:$D$65,MATCH($A983,Variables!$A$5:$A$65,0)))&amp;"."&amp;K$5</f>
        <v/>
      </c>
      <c r="L983" s="38">
        <f>INDEX(L$75:L$88,$D983)/$E983</f>
        <v/>
      </c>
      <c r="M983" s="36">
        <f>INDEX(M$75:M$88,$D983)/$E983</f>
        <v/>
      </c>
      <c r="N983" s="36">
        <f>INDEX(N$75:N$88,$D983)/$E983</f>
        <v/>
      </c>
      <c r="O983" s="36">
        <f>INDEX(O$75:O$88,$D983)/$E983</f>
        <v/>
      </c>
      <c r="P983" s="36">
        <f>INDEX(P$75:P$88,$D983)/$E983</f>
        <v/>
      </c>
      <c r="Q983" s="36">
        <f>INDEX(Q$75:Q$88,$D983)/$E983</f>
        <v/>
      </c>
      <c r="R983" s="36">
        <f>INDEX(R$75:R$88,$D983)/$E983</f>
        <v/>
      </c>
      <c r="S983" s="36">
        <f>INDEX(S$75:S$88,$D983)/$E983</f>
        <v/>
      </c>
      <c r="T983" s="36">
        <f>INDEX(T$75:T$88,$D983)/$E983</f>
        <v/>
      </c>
      <c r="U983" s="36">
        <f>INDEX(U$75:U$88,$D983)/$E983</f>
        <v/>
      </c>
      <c r="V983" s="36">
        <f>INDEX(V$75:V$88,$D983)/$E983</f>
        <v/>
      </c>
      <c r="W983" s="36">
        <f>INDEX(W$75:W$88,$D983)/$E983</f>
        <v/>
      </c>
      <c r="X983" s="36">
        <f>INDEX(X$75:X$88,$D983)/$E983</f>
        <v/>
      </c>
      <c r="Y983" s="36">
        <f>INDEX(Y$75:Y$88,$D983)/$E983</f>
        <v/>
      </c>
      <c r="Z983" s="23">
        <f>LOWER(Settings!$C$4)&amp;".mit."&amp;$A983&amp;IF($C983="","","."&amp;$C983&amp;"."&amp;$B983)&amp;IF(INDEX(Variables!$D$5:$D$65,MATCH($A983,Variables!$A$5:$A$65,0))="","","."&amp;INDEX(Variables!$D$5:$D$65,MATCH($A983,Variables!$A$5:$A$65,0)))&amp;"."&amp;Z$5</f>
        <v/>
      </c>
      <c r="AA983" s="38">
        <f>INDEX(AA$75:AA$88,$D983)/$E983</f>
        <v/>
      </c>
      <c r="AB983" s="36">
        <f>INDEX(AB$75:AB$88,$D983)/$E983</f>
        <v/>
      </c>
      <c r="AC983" s="36">
        <f>INDEX(AC$75:AC$88,$D983)/$E983</f>
        <v/>
      </c>
      <c r="AD983" s="36">
        <f>INDEX(AD$75:AD$88,$D983)/$E983</f>
        <v/>
      </c>
      <c r="AE983" s="36">
        <f>INDEX(AE$75:AE$88,$D983)/$E983</f>
        <v/>
      </c>
      <c r="AF983" s="36">
        <f>INDEX(AF$75:AF$88,$D983)/$E983</f>
        <v/>
      </c>
      <c r="AG983" s="36">
        <f>INDEX(AG$75:AG$88,$D983)/$E983</f>
        <v/>
      </c>
      <c r="AH983" s="36">
        <f>INDEX(AH$75:AH$88,$D983)/$E983</f>
        <v/>
      </c>
      <c r="AI983" s="36">
        <f>INDEX(AI$75:AI$88,$D983)/$E983</f>
        <v/>
      </c>
      <c r="AJ983" s="36">
        <f>INDEX(AJ$75:AJ$88,$D983)/$E983</f>
        <v/>
      </c>
      <c r="AK983" s="36">
        <f>INDEX(AK$75:AK$88,$D983)/$E983</f>
        <v/>
      </c>
      <c r="AL983" s="36">
        <f>INDEX(AL$75:AL$88,$D983)/$E983</f>
        <v/>
      </c>
      <c r="AM983" s="36">
        <f>INDEX(AM$75:AM$88,$D983)/$E983</f>
        <v/>
      </c>
      <c r="AN983" s="36">
        <f>INDEX(AN$75:AN$88,$D983)/$E983</f>
        <v/>
      </c>
    </row>
    <row r="984" hidden="1" outlineLevel="2">
      <c r="A984" s="5" t="inlineStr">
        <is>
          <t>ntx</t>
        </is>
      </c>
      <c r="B984" s="5" t="inlineStr">
        <is>
          <t>ker</t>
        </is>
      </c>
      <c r="C984" s="5" t="inlineStr">
        <is>
          <t>cem</t>
        </is>
      </c>
      <c r="D984" s="36">
        <f>INDEX(Inputs!$L$5:$L$132,MATCH($B984&amp;"|"&amp;$C984,Inputs!$A$5:$A$132,0))</f>
        <v/>
      </c>
      <c r="E984" s="36">
        <f>INDEX(Inputs!$I$5:$I$132,MATCH($B984&amp;"|"&amp;$C984,Inputs!$A$5:$A$132,0))</f>
        <v/>
      </c>
      <c r="F984" s="37" t="n"/>
      <c r="G984" s="37" t="n"/>
      <c r="H984" s="5">
        <f>INDEX(Variables!$B$5:$B$65,MATCH($A984,Variables!$A$5:$A$65,0))&amp;IF($C984="",""," | "&amp;INDEX(Mapping!$B$5:$B$25,MATCH($C984,Mapping!$A$5:$A$25,0))&amp;" | "&amp;INDEX(Mapping!$B$29:$B$38,MATCH($B984,Mapping!$A$29:$A$38,0)))</f>
        <v/>
      </c>
      <c r="I984" s="5">
        <f>INDEX(Variables!$C$5:$C$65,MATCH($A984,Variables!$A$5:$A$65,0))</f>
        <v/>
      </c>
      <c r="J984" s="5">
        <f>INDEX(Variables!$E$5:$E$65,MATCH($A984,Variables!$A$5:$A$65,0))</f>
        <v/>
      </c>
      <c r="K984" s="23">
        <f>LOWER(Settings!$C$4)&amp;".mit."&amp;$A984&amp;IF($C984="","","."&amp;$C984&amp;"."&amp;$B984)&amp;IF(INDEX(Variables!$D$5:$D$65,MATCH($A984,Variables!$A$5:$A$65,0))="","","."&amp;INDEX(Variables!$D$5:$D$65,MATCH($A984,Variables!$A$5:$A$65,0)))&amp;"."&amp;K$5</f>
        <v/>
      </c>
      <c r="L984" s="38">
        <f>INDEX(L$75:L$88,$D984)/$E984</f>
        <v/>
      </c>
      <c r="M984" s="36">
        <f>INDEX(M$75:M$88,$D984)/$E984</f>
        <v/>
      </c>
      <c r="N984" s="36">
        <f>INDEX(N$75:N$88,$D984)/$E984</f>
        <v/>
      </c>
      <c r="O984" s="36">
        <f>INDEX(O$75:O$88,$D984)/$E984</f>
        <v/>
      </c>
      <c r="P984" s="36">
        <f>INDEX(P$75:P$88,$D984)/$E984</f>
        <v/>
      </c>
      <c r="Q984" s="36">
        <f>INDEX(Q$75:Q$88,$D984)/$E984</f>
        <v/>
      </c>
      <c r="R984" s="36">
        <f>INDEX(R$75:R$88,$D984)/$E984</f>
        <v/>
      </c>
      <c r="S984" s="36">
        <f>INDEX(S$75:S$88,$D984)/$E984</f>
        <v/>
      </c>
      <c r="T984" s="36">
        <f>INDEX(T$75:T$88,$D984)/$E984</f>
        <v/>
      </c>
      <c r="U984" s="36">
        <f>INDEX(U$75:U$88,$D984)/$E984</f>
        <v/>
      </c>
      <c r="V984" s="36">
        <f>INDEX(V$75:V$88,$D984)/$E984</f>
        <v/>
      </c>
      <c r="W984" s="36">
        <f>INDEX(W$75:W$88,$D984)/$E984</f>
        <v/>
      </c>
      <c r="X984" s="36">
        <f>INDEX(X$75:X$88,$D984)/$E984</f>
        <v/>
      </c>
      <c r="Y984" s="36">
        <f>INDEX(Y$75:Y$88,$D984)/$E984</f>
        <v/>
      </c>
      <c r="Z984" s="23">
        <f>LOWER(Settings!$C$4)&amp;".mit."&amp;$A984&amp;IF($C984="","","."&amp;$C984&amp;"."&amp;$B984)&amp;IF(INDEX(Variables!$D$5:$D$65,MATCH($A984,Variables!$A$5:$A$65,0))="","","."&amp;INDEX(Variables!$D$5:$D$65,MATCH($A984,Variables!$A$5:$A$65,0)))&amp;"."&amp;Z$5</f>
        <v/>
      </c>
      <c r="AA984" s="38">
        <f>INDEX(AA$75:AA$88,$D984)/$E984</f>
        <v/>
      </c>
      <c r="AB984" s="36">
        <f>INDEX(AB$75:AB$88,$D984)/$E984</f>
        <v/>
      </c>
      <c r="AC984" s="36">
        <f>INDEX(AC$75:AC$88,$D984)/$E984</f>
        <v/>
      </c>
      <c r="AD984" s="36">
        <f>INDEX(AD$75:AD$88,$D984)/$E984</f>
        <v/>
      </c>
      <c r="AE984" s="36">
        <f>INDEX(AE$75:AE$88,$D984)/$E984</f>
        <v/>
      </c>
      <c r="AF984" s="36">
        <f>INDEX(AF$75:AF$88,$D984)/$E984</f>
        <v/>
      </c>
      <c r="AG984" s="36">
        <f>INDEX(AG$75:AG$88,$D984)/$E984</f>
        <v/>
      </c>
      <c r="AH984" s="36">
        <f>INDEX(AH$75:AH$88,$D984)/$E984</f>
        <v/>
      </c>
      <c r="AI984" s="36">
        <f>INDEX(AI$75:AI$88,$D984)/$E984</f>
        <v/>
      </c>
      <c r="AJ984" s="36">
        <f>INDEX(AJ$75:AJ$88,$D984)/$E984</f>
        <v/>
      </c>
      <c r="AK984" s="36">
        <f>INDEX(AK$75:AK$88,$D984)/$E984</f>
        <v/>
      </c>
      <c r="AL984" s="36">
        <f>INDEX(AL$75:AL$88,$D984)/$E984</f>
        <v/>
      </c>
      <c r="AM984" s="36">
        <f>INDEX(AM$75:AM$88,$D984)/$E984</f>
        <v/>
      </c>
      <c r="AN984" s="36">
        <f>INDEX(AN$75:AN$88,$D984)/$E984</f>
        <v/>
      </c>
    </row>
    <row r="985" hidden="1" outlineLevel="2">
      <c r="A985" s="5" t="inlineStr">
        <is>
          <t>ntx</t>
        </is>
      </c>
      <c r="B985" s="5" t="inlineStr">
        <is>
          <t>oop</t>
        </is>
      </c>
      <c r="C985" s="5" t="inlineStr">
        <is>
          <t>cem</t>
        </is>
      </c>
      <c r="D985" s="36">
        <f>INDEX(Inputs!$L$5:$L$132,MATCH($B985&amp;"|"&amp;$C985,Inputs!$A$5:$A$132,0))</f>
        <v/>
      </c>
      <c r="E985" s="36">
        <f>INDEX(Inputs!$I$5:$I$132,MATCH($B985&amp;"|"&amp;$C985,Inputs!$A$5:$A$132,0))</f>
        <v/>
      </c>
      <c r="F985" s="37" t="n"/>
      <c r="G985" s="37" t="n"/>
      <c r="H985" s="5">
        <f>INDEX(Variables!$B$5:$B$65,MATCH($A985,Variables!$A$5:$A$65,0))&amp;IF($C985="",""," | "&amp;INDEX(Mapping!$B$5:$B$25,MATCH($C985,Mapping!$A$5:$A$25,0))&amp;" | "&amp;INDEX(Mapping!$B$29:$B$38,MATCH($B985,Mapping!$A$29:$A$38,0)))</f>
        <v/>
      </c>
      <c r="I985" s="5">
        <f>INDEX(Variables!$C$5:$C$65,MATCH($A985,Variables!$A$5:$A$65,0))</f>
        <v/>
      </c>
      <c r="J985" s="5">
        <f>INDEX(Variables!$E$5:$E$65,MATCH($A985,Variables!$A$5:$A$65,0))</f>
        <v/>
      </c>
      <c r="K985" s="23">
        <f>LOWER(Settings!$C$4)&amp;".mit."&amp;$A985&amp;IF($C985="","","."&amp;$C985&amp;"."&amp;$B985)&amp;IF(INDEX(Variables!$D$5:$D$65,MATCH($A985,Variables!$A$5:$A$65,0))="","","."&amp;INDEX(Variables!$D$5:$D$65,MATCH($A985,Variables!$A$5:$A$65,0)))&amp;"."&amp;K$5</f>
        <v/>
      </c>
      <c r="L985" s="38">
        <f>INDEX(L$75:L$88,$D985)/$E985</f>
        <v/>
      </c>
      <c r="M985" s="36">
        <f>INDEX(M$75:M$88,$D985)/$E985</f>
        <v/>
      </c>
      <c r="N985" s="36">
        <f>INDEX(N$75:N$88,$D985)/$E985</f>
        <v/>
      </c>
      <c r="O985" s="36">
        <f>INDEX(O$75:O$88,$D985)/$E985</f>
        <v/>
      </c>
      <c r="P985" s="36">
        <f>INDEX(P$75:P$88,$D985)/$E985</f>
        <v/>
      </c>
      <c r="Q985" s="36">
        <f>INDEX(Q$75:Q$88,$D985)/$E985</f>
        <v/>
      </c>
      <c r="R985" s="36">
        <f>INDEX(R$75:R$88,$D985)/$E985</f>
        <v/>
      </c>
      <c r="S985" s="36">
        <f>INDEX(S$75:S$88,$D985)/$E985</f>
        <v/>
      </c>
      <c r="T985" s="36">
        <f>INDEX(T$75:T$88,$D985)/$E985</f>
        <v/>
      </c>
      <c r="U985" s="36">
        <f>INDEX(U$75:U$88,$D985)/$E985</f>
        <v/>
      </c>
      <c r="V985" s="36">
        <f>INDEX(V$75:V$88,$D985)/$E985</f>
        <v/>
      </c>
      <c r="W985" s="36">
        <f>INDEX(W$75:W$88,$D985)/$E985</f>
        <v/>
      </c>
      <c r="X985" s="36">
        <f>INDEX(X$75:X$88,$D985)/$E985</f>
        <v/>
      </c>
      <c r="Y985" s="36">
        <f>INDEX(Y$75:Y$88,$D985)/$E985</f>
        <v/>
      </c>
      <c r="Z985" s="23">
        <f>LOWER(Settings!$C$4)&amp;".mit."&amp;$A985&amp;IF($C985="","","."&amp;$C985&amp;"."&amp;$B985)&amp;IF(INDEX(Variables!$D$5:$D$65,MATCH($A985,Variables!$A$5:$A$65,0))="","","."&amp;INDEX(Variables!$D$5:$D$65,MATCH($A985,Variables!$A$5:$A$65,0)))&amp;"."&amp;Z$5</f>
        <v/>
      </c>
      <c r="AA985" s="38">
        <f>INDEX(AA$75:AA$88,$D985)/$E985</f>
        <v/>
      </c>
      <c r="AB985" s="36">
        <f>INDEX(AB$75:AB$88,$D985)/$E985</f>
        <v/>
      </c>
      <c r="AC985" s="36">
        <f>INDEX(AC$75:AC$88,$D985)/$E985</f>
        <v/>
      </c>
      <c r="AD985" s="36">
        <f>INDEX(AD$75:AD$88,$D985)/$E985</f>
        <v/>
      </c>
      <c r="AE985" s="36">
        <f>INDEX(AE$75:AE$88,$D985)/$E985</f>
        <v/>
      </c>
      <c r="AF985" s="36">
        <f>INDEX(AF$75:AF$88,$D985)/$E985</f>
        <v/>
      </c>
      <c r="AG985" s="36">
        <f>INDEX(AG$75:AG$88,$D985)/$E985</f>
        <v/>
      </c>
      <c r="AH985" s="36">
        <f>INDEX(AH$75:AH$88,$D985)/$E985</f>
        <v/>
      </c>
      <c r="AI985" s="36">
        <f>INDEX(AI$75:AI$88,$D985)/$E985</f>
        <v/>
      </c>
      <c r="AJ985" s="36">
        <f>INDEX(AJ$75:AJ$88,$D985)/$E985</f>
        <v/>
      </c>
      <c r="AK985" s="36">
        <f>INDEX(AK$75:AK$88,$D985)/$E985</f>
        <v/>
      </c>
      <c r="AL985" s="36">
        <f>INDEX(AL$75:AL$88,$D985)/$E985</f>
        <v/>
      </c>
      <c r="AM985" s="36">
        <f>INDEX(AM$75:AM$88,$D985)/$E985</f>
        <v/>
      </c>
      <c r="AN985" s="36">
        <f>INDEX(AN$75:AN$88,$D985)/$E985</f>
        <v/>
      </c>
    </row>
    <row r="986" hidden="1" outlineLevel="2">
      <c r="A986" s="5" t="inlineStr">
        <is>
          <t>ntx</t>
        </is>
      </c>
      <c r="B986" s="5" t="inlineStr">
        <is>
          <t>bio</t>
        </is>
      </c>
      <c r="C986" s="5" t="inlineStr">
        <is>
          <t>cem</t>
        </is>
      </c>
      <c r="D986" s="36">
        <f>INDEX(Inputs!$L$5:$L$132,MATCH($B986&amp;"|"&amp;$C986,Inputs!$A$5:$A$132,0))</f>
        <v/>
      </c>
      <c r="E986" s="36">
        <f>INDEX(Inputs!$I$5:$I$132,MATCH($B986&amp;"|"&amp;$C986,Inputs!$A$5:$A$132,0))</f>
        <v/>
      </c>
      <c r="F986" s="37" t="n"/>
      <c r="G986" s="37" t="n"/>
      <c r="H986" s="5">
        <f>INDEX(Variables!$B$5:$B$65,MATCH($A986,Variables!$A$5:$A$65,0))&amp;IF($C986="",""," | "&amp;INDEX(Mapping!$B$5:$B$25,MATCH($C986,Mapping!$A$5:$A$25,0))&amp;" | "&amp;INDEX(Mapping!$B$29:$B$38,MATCH($B986,Mapping!$A$29:$A$38,0)))</f>
        <v/>
      </c>
      <c r="I986" s="5">
        <f>INDEX(Variables!$C$5:$C$65,MATCH($A986,Variables!$A$5:$A$65,0))</f>
        <v/>
      </c>
      <c r="J986" s="5">
        <f>INDEX(Variables!$E$5:$E$65,MATCH($A986,Variables!$A$5:$A$65,0))</f>
        <v/>
      </c>
      <c r="K986" s="23">
        <f>LOWER(Settings!$C$4)&amp;".mit."&amp;$A986&amp;IF($C986="","","."&amp;$C986&amp;"."&amp;$B986)&amp;IF(INDEX(Variables!$D$5:$D$65,MATCH($A986,Variables!$A$5:$A$65,0))="","","."&amp;INDEX(Variables!$D$5:$D$65,MATCH($A986,Variables!$A$5:$A$65,0)))&amp;"."&amp;K$5</f>
        <v/>
      </c>
      <c r="L986" s="38">
        <f>INDEX(L$75:L$88,$D986)/$E986</f>
        <v/>
      </c>
      <c r="M986" s="36">
        <f>INDEX(M$75:M$88,$D986)/$E986</f>
        <v/>
      </c>
      <c r="N986" s="36">
        <f>INDEX(N$75:N$88,$D986)/$E986</f>
        <v/>
      </c>
      <c r="O986" s="36">
        <f>INDEX(O$75:O$88,$D986)/$E986</f>
        <v/>
      </c>
      <c r="P986" s="36">
        <f>INDEX(P$75:P$88,$D986)/$E986</f>
        <v/>
      </c>
      <c r="Q986" s="36">
        <f>INDEX(Q$75:Q$88,$D986)/$E986</f>
        <v/>
      </c>
      <c r="R986" s="36">
        <f>INDEX(R$75:R$88,$D986)/$E986</f>
        <v/>
      </c>
      <c r="S986" s="36">
        <f>INDEX(S$75:S$88,$D986)/$E986</f>
        <v/>
      </c>
      <c r="T986" s="36">
        <f>INDEX(T$75:T$88,$D986)/$E986</f>
        <v/>
      </c>
      <c r="U986" s="36">
        <f>INDEX(U$75:U$88,$D986)/$E986</f>
        <v/>
      </c>
      <c r="V986" s="36">
        <f>INDEX(V$75:V$88,$D986)/$E986</f>
        <v/>
      </c>
      <c r="W986" s="36">
        <f>INDEX(W$75:W$88,$D986)/$E986</f>
        <v/>
      </c>
      <c r="X986" s="36">
        <f>INDEX(X$75:X$88,$D986)/$E986</f>
        <v/>
      </c>
      <c r="Y986" s="36">
        <f>INDEX(Y$75:Y$88,$D986)/$E986</f>
        <v/>
      </c>
      <c r="Z986" s="23">
        <f>LOWER(Settings!$C$4)&amp;".mit."&amp;$A986&amp;IF($C986="","","."&amp;$C986&amp;"."&amp;$B986)&amp;IF(INDEX(Variables!$D$5:$D$65,MATCH($A986,Variables!$A$5:$A$65,0))="","","."&amp;INDEX(Variables!$D$5:$D$65,MATCH($A986,Variables!$A$5:$A$65,0)))&amp;"."&amp;Z$5</f>
        <v/>
      </c>
      <c r="AA986" s="38">
        <f>INDEX(AA$75:AA$88,$D986)/$E986</f>
        <v/>
      </c>
      <c r="AB986" s="36">
        <f>INDEX(AB$75:AB$88,$D986)/$E986</f>
        <v/>
      </c>
      <c r="AC986" s="36">
        <f>INDEX(AC$75:AC$88,$D986)/$E986</f>
        <v/>
      </c>
      <c r="AD986" s="36">
        <f>INDEX(AD$75:AD$88,$D986)/$E986</f>
        <v/>
      </c>
      <c r="AE986" s="36">
        <f>INDEX(AE$75:AE$88,$D986)/$E986</f>
        <v/>
      </c>
      <c r="AF986" s="36">
        <f>INDEX(AF$75:AF$88,$D986)/$E986</f>
        <v/>
      </c>
      <c r="AG986" s="36">
        <f>INDEX(AG$75:AG$88,$D986)/$E986</f>
        <v/>
      </c>
      <c r="AH986" s="36">
        <f>INDEX(AH$75:AH$88,$D986)/$E986</f>
        <v/>
      </c>
      <c r="AI986" s="36">
        <f>INDEX(AI$75:AI$88,$D986)/$E986</f>
        <v/>
      </c>
      <c r="AJ986" s="36">
        <f>INDEX(AJ$75:AJ$88,$D986)/$E986</f>
        <v/>
      </c>
      <c r="AK986" s="36">
        <f>INDEX(AK$75:AK$88,$D986)/$E986</f>
        <v/>
      </c>
      <c r="AL986" s="36">
        <f>INDEX(AL$75:AL$88,$D986)/$E986</f>
        <v/>
      </c>
      <c r="AM986" s="36">
        <f>INDEX(AM$75:AM$88,$D986)/$E986</f>
        <v/>
      </c>
      <c r="AN986" s="36">
        <f>INDEX(AN$75:AN$88,$D986)/$E986</f>
        <v/>
      </c>
    </row>
    <row r="987" hidden="1" outlineLevel="2"/>
    <row r="988" hidden="1" outlineLevel="2">
      <c r="A988" s="5" t="inlineStr">
        <is>
          <t>nce</t>
        </is>
      </c>
      <c r="B988" s="5" t="inlineStr">
        <is>
          <t>coa</t>
        </is>
      </c>
      <c r="C988" s="5" t="inlineStr">
        <is>
          <t>cem</t>
        </is>
      </c>
      <c r="D988" s="37" t="n"/>
      <c r="E988" s="37" t="n"/>
      <c r="F988" s="37" t="n"/>
      <c r="G988" s="37" t="n"/>
      <c r="H988" s="5">
        <f>INDEX(Variables!$B$5:$B$65,MATCH($A988,Variables!$A$5:$A$65,0))&amp;IF($C988="",""," | "&amp;INDEX(Mapping!$B$5:$B$25,MATCH($C988,Mapping!$A$5:$A$25,0))&amp;" | "&amp;INDEX(Mapping!$B$29:$B$38,MATCH($B988,Mapping!$A$29:$A$38,0)))</f>
        <v/>
      </c>
      <c r="I988" s="5">
        <f>INDEX(Variables!$C$5:$C$65,MATCH($A988,Variables!$A$5:$A$65,0))</f>
        <v/>
      </c>
      <c r="J988" s="5">
        <f>INDEX(Variables!$E$5:$E$65,MATCH($A988,Variables!$A$5:$A$65,0))</f>
        <v/>
      </c>
      <c r="K988" s="23">
        <f>LOWER(Settings!$C$4)&amp;".mit."&amp;$A988&amp;IF($C988="","","."&amp;$C988&amp;"."&amp;$B988)&amp;IF(INDEX(Variables!$D$5:$D$65,MATCH($A988,Variables!$A$5:$A$65,0))="","","."&amp;INDEX(Variables!$D$5:$D$65,MATCH($A988,Variables!$A$5:$A$65,0)))&amp;"."&amp;K$5</f>
        <v/>
      </c>
      <c r="L988" s="38">
        <f>L970+L979</f>
        <v/>
      </c>
      <c r="M988" s="36">
        <f>M970+M979</f>
        <v/>
      </c>
      <c r="N988" s="36">
        <f>N970+N979</f>
        <v/>
      </c>
      <c r="O988" s="36">
        <f>O970+O979</f>
        <v/>
      </c>
      <c r="P988" s="36">
        <f>P970+P979</f>
        <v/>
      </c>
      <c r="Q988" s="36">
        <f>Q970+Q979</f>
        <v/>
      </c>
      <c r="R988" s="36">
        <f>R970+R979</f>
        <v/>
      </c>
      <c r="S988" s="36">
        <f>S970+S979</f>
        <v/>
      </c>
      <c r="T988" s="36">
        <f>T970+T979</f>
        <v/>
      </c>
      <c r="U988" s="36">
        <f>U970+U979</f>
        <v/>
      </c>
      <c r="V988" s="36">
        <f>V970+V979</f>
        <v/>
      </c>
      <c r="W988" s="36">
        <f>W970+W979</f>
        <v/>
      </c>
      <c r="X988" s="36">
        <f>X970+X979</f>
        <v/>
      </c>
      <c r="Y988" s="36">
        <f>Y970+Y979</f>
        <v/>
      </c>
      <c r="Z988" s="23">
        <f>LOWER(Settings!$C$4)&amp;".mit."&amp;$A988&amp;IF($C988="","","."&amp;$C988&amp;"."&amp;$B988)&amp;IF(INDEX(Variables!$D$5:$D$65,MATCH($A988,Variables!$A$5:$A$65,0))="","","."&amp;INDEX(Variables!$D$5:$D$65,MATCH($A988,Variables!$A$5:$A$65,0)))&amp;"."&amp;Z$5</f>
        <v/>
      </c>
      <c r="AA988" s="38">
        <f>AA970+AA979</f>
        <v/>
      </c>
      <c r="AB988" s="36">
        <f>AB970+AB979</f>
        <v/>
      </c>
      <c r="AC988" s="36">
        <f>AC970+AC979</f>
        <v/>
      </c>
      <c r="AD988" s="36">
        <f>AD970+AD979</f>
        <v/>
      </c>
      <c r="AE988" s="36">
        <f>AE970+AE979</f>
        <v/>
      </c>
      <c r="AF988" s="36">
        <f>AF970+AF979</f>
        <v/>
      </c>
      <c r="AG988" s="36">
        <f>AG970+AG979</f>
        <v/>
      </c>
      <c r="AH988" s="36">
        <f>AH970+AH979</f>
        <v/>
      </c>
      <c r="AI988" s="36">
        <f>AI970+AI979</f>
        <v/>
      </c>
      <c r="AJ988" s="36">
        <f>AJ970+AJ979</f>
        <v/>
      </c>
      <c r="AK988" s="36">
        <f>AK970+AK979</f>
        <v/>
      </c>
      <c r="AL988" s="36">
        <f>AL970+AL979</f>
        <v/>
      </c>
      <c r="AM988" s="36">
        <f>AM970+AM979</f>
        <v/>
      </c>
      <c r="AN988" s="36">
        <f>AN970+AN979</f>
        <v/>
      </c>
    </row>
    <row r="989" hidden="1" outlineLevel="2">
      <c r="A989" s="5" t="inlineStr">
        <is>
          <t>nce</t>
        </is>
      </c>
      <c r="B989" s="5" t="inlineStr">
        <is>
          <t>nga</t>
        </is>
      </c>
      <c r="C989" s="5" t="inlineStr">
        <is>
          <t>cem</t>
        </is>
      </c>
      <c r="D989" s="37" t="n"/>
      <c r="E989" s="37" t="n"/>
      <c r="F989" s="37" t="n"/>
      <c r="G989" s="37" t="n"/>
      <c r="H989" s="5">
        <f>INDEX(Variables!$B$5:$B$65,MATCH($A989,Variables!$A$5:$A$65,0))&amp;IF($C989="",""," | "&amp;INDEX(Mapping!$B$5:$B$25,MATCH($C989,Mapping!$A$5:$A$25,0))&amp;" | "&amp;INDEX(Mapping!$B$29:$B$38,MATCH($B989,Mapping!$A$29:$A$38,0)))</f>
        <v/>
      </c>
      <c r="I989" s="5">
        <f>INDEX(Variables!$C$5:$C$65,MATCH($A989,Variables!$A$5:$A$65,0))</f>
        <v/>
      </c>
      <c r="J989" s="5">
        <f>INDEX(Variables!$E$5:$E$65,MATCH($A989,Variables!$A$5:$A$65,0))</f>
        <v/>
      </c>
      <c r="K989" s="23">
        <f>LOWER(Settings!$C$4)&amp;".mit."&amp;$A989&amp;IF($C989="","","."&amp;$C989&amp;"."&amp;$B989)&amp;IF(INDEX(Variables!$D$5:$D$65,MATCH($A989,Variables!$A$5:$A$65,0))="","","."&amp;INDEX(Variables!$D$5:$D$65,MATCH($A989,Variables!$A$5:$A$65,0)))&amp;"."&amp;K$5</f>
        <v/>
      </c>
      <c r="L989" s="38">
        <f>L971+L980</f>
        <v/>
      </c>
      <c r="M989" s="36">
        <f>M971+M980</f>
        <v/>
      </c>
      <c r="N989" s="36">
        <f>N971+N980</f>
        <v/>
      </c>
      <c r="O989" s="36">
        <f>O971+O980</f>
        <v/>
      </c>
      <c r="P989" s="36">
        <f>P971+P980</f>
        <v/>
      </c>
      <c r="Q989" s="36">
        <f>Q971+Q980</f>
        <v/>
      </c>
      <c r="R989" s="36">
        <f>R971+R980</f>
        <v/>
      </c>
      <c r="S989" s="36">
        <f>S971+S980</f>
        <v/>
      </c>
      <c r="T989" s="36">
        <f>T971+T980</f>
        <v/>
      </c>
      <c r="U989" s="36">
        <f>U971+U980</f>
        <v/>
      </c>
      <c r="V989" s="36">
        <f>V971+V980</f>
        <v/>
      </c>
      <c r="W989" s="36">
        <f>W971+W980</f>
        <v/>
      </c>
      <c r="X989" s="36">
        <f>X971+X980</f>
        <v/>
      </c>
      <c r="Y989" s="36">
        <f>Y971+Y980</f>
        <v/>
      </c>
      <c r="Z989" s="23">
        <f>LOWER(Settings!$C$4)&amp;".mit."&amp;$A989&amp;IF($C989="","","."&amp;$C989&amp;"."&amp;$B989)&amp;IF(INDEX(Variables!$D$5:$D$65,MATCH($A989,Variables!$A$5:$A$65,0))="","","."&amp;INDEX(Variables!$D$5:$D$65,MATCH($A989,Variables!$A$5:$A$65,0)))&amp;"."&amp;Z$5</f>
        <v/>
      </c>
      <c r="AA989" s="38">
        <f>AA971+AA980</f>
        <v/>
      </c>
      <c r="AB989" s="36">
        <f>AB971+AB980</f>
        <v/>
      </c>
      <c r="AC989" s="36">
        <f>AC971+AC980</f>
        <v/>
      </c>
      <c r="AD989" s="36">
        <f>AD971+AD980</f>
        <v/>
      </c>
      <c r="AE989" s="36">
        <f>AE971+AE980</f>
        <v/>
      </c>
      <c r="AF989" s="36">
        <f>AF971+AF980</f>
        <v/>
      </c>
      <c r="AG989" s="36">
        <f>AG971+AG980</f>
        <v/>
      </c>
      <c r="AH989" s="36">
        <f>AH971+AH980</f>
        <v/>
      </c>
      <c r="AI989" s="36">
        <f>AI971+AI980</f>
        <v/>
      </c>
      <c r="AJ989" s="36">
        <f>AJ971+AJ980</f>
        <v/>
      </c>
      <c r="AK989" s="36">
        <f>AK971+AK980</f>
        <v/>
      </c>
      <c r="AL989" s="36">
        <f>AL971+AL980</f>
        <v/>
      </c>
      <c r="AM989" s="36">
        <f>AM971+AM980</f>
        <v/>
      </c>
      <c r="AN989" s="36">
        <f>AN971+AN980</f>
        <v/>
      </c>
    </row>
    <row r="990" hidden="1" outlineLevel="2">
      <c r="A990" s="5" t="inlineStr">
        <is>
          <t>nce</t>
        </is>
      </c>
      <c r="B990" s="5" t="inlineStr">
        <is>
          <t>gso</t>
        </is>
      </c>
      <c r="C990" s="5" t="inlineStr">
        <is>
          <t>cem</t>
        </is>
      </c>
      <c r="D990" s="37" t="n"/>
      <c r="E990" s="37" t="n"/>
      <c r="F990" s="37" t="n"/>
      <c r="G990" s="37" t="n"/>
      <c r="H990" s="5">
        <f>INDEX(Variables!$B$5:$B$65,MATCH($A990,Variables!$A$5:$A$65,0))&amp;IF($C990="",""," | "&amp;INDEX(Mapping!$B$5:$B$25,MATCH($C990,Mapping!$A$5:$A$25,0))&amp;" | "&amp;INDEX(Mapping!$B$29:$B$38,MATCH($B990,Mapping!$A$29:$A$38,0)))</f>
        <v/>
      </c>
      <c r="I990" s="5">
        <f>INDEX(Variables!$C$5:$C$65,MATCH($A990,Variables!$A$5:$A$65,0))</f>
        <v/>
      </c>
      <c r="J990" s="5">
        <f>INDEX(Variables!$E$5:$E$65,MATCH($A990,Variables!$A$5:$A$65,0))</f>
        <v/>
      </c>
      <c r="K990" s="23">
        <f>LOWER(Settings!$C$4)&amp;".mit."&amp;$A990&amp;IF($C990="","","."&amp;$C990&amp;"."&amp;$B990)&amp;IF(INDEX(Variables!$D$5:$D$65,MATCH($A990,Variables!$A$5:$A$65,0))="","","."&amp;INDEX(Variables!$D$5:$D$65,MATCH($A990,Variables!$A$5:$A$65,0)))&amp;"."&amp;K$5</f>
        <v/>
      </c>
      <c r="L990" s="38">
        <f>L972+L981</f>
        <v/>
      </c>
      <c r="M990" s="36">
        <f>M972+M981</f>
        <v/>
      </c>
      <c r="N990" s="36">
        <f>N972+N981</f>
        <v/>
      </c>
      <c r="O990" s="36">
        <f>O972+O981</f>
        <v/>
      </c>
      <c r="P990" s="36">
        <f>P972+P981</f>
        <v/>
      </c>
      <c r="Q990" s="36">
        <f>Q972+Q981</f>
        <v/>
      </c>
      <c r="R990" s="36">
        <f>R972+R981</f>
        <v/>
      </c>
      <c r="S990" s="36">
        <f>S972+S981</f>
        <v/>
      </c>
      <c r="T990" s="36">
        <f>T972+T981</f>
        <v/>
      </c>
      <c r="U990" s="36">
        <f>U972+U981</f>
        <v/>
      </c>
      <c r="V990" s="36">
        <f>V972+V981</f>
        <v/>
      </c>
      <c r="W990" s="36">
        <f>W972+W981</f>
        <v/>
      </c>
      <c r="X990" s="36">
        <f>X972+X981</f>
        <v/>
      </c>
      <c r="Y990" s="36">
        <f>Y972+Y981</f>
        <v/>
      </c>
      <c r="Z990" s="23">
        <f>LOWER(Settings!$C$4)&amp;".mit."&amp;$A990&amp;IF($C990="","","."&amp;$C990&amp;"."&amp;$B990)&amp;IF(INDEX(Variables!$D$5:$D$65,MATCH($A990,Variables!$A$5:$A$65,0))="","","."&amp;INDEX(Variables!$D$5:$D$65,MATCH($A990,Variables!$A$5:$A$65,0)))&amp;"."&amp;Z$5</f>
        <v/>
      </c>
      <c r="AA990" s="38">
        <f>AA972+AA981</f>
        <v/>
      </c>
      <c r="AB990" s="36">
        <f>AB972+AB981</f>
        <v/>
      </c>
      <c r="AC990" s="36">
        <f>AC972+AC981</f>
        <v/>
      </c>
      <c r="AD990" s="36">
        <f>AD972+AD981</f>
        <v/>
      </c>
      <c r="AE990" s="36">
        <f>AE972+AE981</f>
        <v/>
      </c>
      <c r="AF990" s="36">
        <f>AF972+AF981</f>
        <v/>
      </c>
      <c r="AG990" s="36">
        <f>AG972+AG981</f>
        <v/>
      </c>
      <c r="AH990" s="36">
        <f>AH972+AH981</f>
        <v/>
      </c>
      <c r="AI990" s="36">
        <f>AI972+AI981</f>
        <v/>
      </c>
      <c r="AJ990" s="36">
        <f>AJ972+AJ981</f>
        <v/>
      </c>
      <c r="AK990" s="36">
        <f>AK972+AK981</f>
        <v/>
      </c>
      <c r="AL990" s="36">
        <f>AL972+AL981</f>
        <v/>
      </c>
      <c r="AM990" s="36">
        <f>AM972+AM981</f>
        <v/>
      </c>
      <c r="AN990" s="36">
        <f>AN972+AN981</f>
        <v/>
      </c>
    </row>
    <row r="991" hidden="1" outlineLevel="2">
      <c r="A991" s="5" t="inlineStr">
        <is>
          <t>nce</t>
        </is>
      </c>
      <c r="B991" s="5" t="inlineStr">
        <is>
          <t>die</t>
        </is>
      </c>
      <c r="C991" s="5" t="inlineStr">
        <is>
          <t>cem</t>
        </is>
      </c>
      <c r="D991" s="37" t="n"/>
      <c r="E991" s="37" t="n"/>
      <c r="F991" s="37" t="n"/>
      <c r="G991" s="37" t="n"/>
      <c r="H991" s="5">
        <f>INDEX(Variables!$B$5:$B$65,MATCH($A991,Variables!$A$5:$A$65,0))&amp;IF($C991="",""," | "&amp;INDEX(Mapping!$B$5:$B$25,MATCH($C991,Mapping!$A$5:$A$25,0))&amp;" | "&amp;INDEX(Mapping!$B$29:$B$38,MATCH($B991,Mapping!$A$29:$A$38,0)))</f>
        <v/>
      </c>
      <c r="I991" s="5">
        <f>INDEX(Variables!$C$5:$C$65,MATCH($A991,Variables!$A$5:$A$65,0))</f>
        <v/>
      </c>
      <c r="J991" s="5">
        <f>INDEX(Variables!$E$5:$E$65,MATCH($A991,Variables!$A$5:$A$65,0))</f>
        <v/>
      </c>
      <c r="K991" s="23">
        <f>LOWER(Settings!$C$4)&amp;".mit."&amp;$A991&amp;IF($C991="","","."&amp;$C991&amp;"."&amp;$B991)&amp;IF(INDEX(Variables!$D$5:$D$65,MATCH($A991,Variables!$A$5:$A$65,0))="","","."&amp;INDEX(Variables!$D$5:$D$65,MATCH($A991,Variables!$A$5:$A$65,0)))&amp;"."&amp;K$5</f>
        <v/>
      </c>
      <c r="L991" s="38">
        <f>L973+L982</f>
        <v/>
      </c>
      <c r="M991" s="36">
        <f>M973+M982</f>
        <v/>
      </c>
      <c r="N991" s="36">
        <f>N973+N982</f>
        <v/>
      </c>
      <c r="O991" s="36">
        <f>O973+O982</f>
        <v/>
      </c>
      <c r="P991" s="36">
        <f>P973+P982</f>
        <v/>
      </c>
      <c r="Q991" s="36">
        <f>Q973+Q982</f>
        <v/>
      </c>
      <c r="R991" s="36">
        <f>R973+R982</f>
        <v/>
      </c>
      <c r="S991" s="36">
        <f>S973+S982</f>
        <v/>
      </c>
      <c r="T991" s="36">
        <f>T973+T982</f>
        <v/>
      </c>
      <c r="U991" s="36">
        <f>U973+U982</f>
        <v/>
      </c>
      <c r="V991" s="36">
        <f>V973+V982</f>
        <v/>
      </c>
      <c r="W991" s="36">
        <f>W973+W982</f>
        <v/>
      </c>
      <c r="X991" s="36">
        <f>X973+X982</f>
        <v/>
      </c>
      <c r="Y991" s="36">
        <f>Y973+Y982</f>
        <v/>
      </c>
      <c r="Z991" s="23">
        <f>LOWER(Settings!$C$4)&amp;".mit."&amp;$A991&amp;IF($C991="","","."&amp;$C991&amp;"."&amp;$B991)&amp;IF(INDEX(Variables!$D$5:$D$65,MATCH($A991,Variables!$A$5:$A$65,0))="","","."&amp;INDEX(Variables!$D$5:$D$65,MATCH($A991,Variables!$A$5:$A$65,0)))&amp;"."&amp;Z$5</f>
        <v/>
      </c>
      <c r="AA991" s="38">
        <f>AA973+AA982</f>
        <v/>
      </c>
      <c r="AB991" s="36">
        <f>AB973+AB982</f>
        <v/>
      </c>
      <c r="AC991" s="36">
        <f>AC973+AC982</f>
        <v/>
      </c>
      <c r="AD991" s="36">
        <f>AD973+AD982</f>
        <v/>
      </c>
      <c r="AE991" s="36">
        <f>AE973+AE982</f>
        <v/>
      </c>
      <c r="AF991" s="36">
        <f>AF973+AF982</f>
        <v/>
      </c>
      <c r="AG991" s="36">
        <f>AG973+AG982</f>
        <v/>
      </c>
      <c r="AH991" s="36">
        <f>AH973+AH982</f>
        <v/>
      </c>
      <c r="AI991" s="36">
        <f>AI973+AI982</f>
        <v/>
      </c>
      <c r="AJ991" s="36">
        <f>AJ973+AJ982</f>
        <v/>
      </c>
      <c r="AK991" s="36">
        <f>AK973+AK982</f>
        <v/>
      </c>
      <c r="AL991" s="36">
        <f>AL973+AL982</f>
        <v/>
      </c>
      <c r="AM991" s="36">
        <f>AM973+AM982</f>
        <v/>
      </c>
      <c r="AN991" s="36">
        <f>AN973+AN982</f>
        <v/>
      </c>
    </row>
    <row r="992" hidden="1" outlineLevel="2">
      <c r="A992" s="5" t="inlineStr">
        <is>
          <t>nce</t>
        </is>
      </c>
      <c r="B992" s="5" t="inlineStr">
        <is>
          <t>lpg</t>
        </is>
      </c>
      <c r="C992" s="5" t="inlineStr">
        <is>
          <t>cem</t>
        </is>
      </c>
      <c r="D992" s="37" t="n"/>
      <c r="E992" s="37" t="n"/>
      <c r="F992" s="37" t="n"/>
      <c r="G992" s="37" t="n"/>
      <c r="H992" s="5">
        <f>INDEX(Variables!$B$5:$B$65,MATCH($A992,Variables!$A$5:$A$65,0))&amp;IF($C992="",""," | "&amp;INDEX(Mapping!$B$5:$B$25,MATCH($C992,Mapping!$A$5:$A$25,0))&amp;" | "&amp;INDEX(Mapping!$B$29:$B$38,MATCH($B992,Mapping!$A$29:$A$38,0)))</f>
        <v/>
      </c>
      <c r="I992" s="5">
        <f>INDEX(Variables!$C$5:$C$65,MATCH($A992,Variables!$A$5:$A$65,0))</f>
        <v/>
      </c>
      <c r="J992" s="5">
        <f>INDEX(Variables!$E$5:$E$65,MATCH($A992,Variables!$A$5:$A$65,0))</f>
        <v/>
      </c>
      <c r="K992" s="23">
        <f>LOWER(Settings!$C$4)&amp;".mit."&amp;$A992&amp;IF($C992="","","."&amp;$C992&amp;"."&amp;$B992)&amp;IF(INDEX(Variables!$D$5:$D$65,MATCH($A992,Variables!$A$5:$A$65,0))="","","."&amp;INDEX(Variables!$D$5:$D$65,MATCH($A992,Variables!$A$5:$A$65,0)))&amp;"."&amp;K$5</f>
        <v/>
      </c>
      <c r="L992" s="38">
        <f>L974+L983</f>
        <v/>
      </c>
      <c r="M992" s="36">
        <f>M974+M983</f>
        <v/>
      </c>
      <c r="N992" s="36">
        <f>N974+N983</f>
        <v/>
      </c>
      <c r="O992" s="36">
        <f>O974+O983</f>
        <v/>
      </c>
      <c r="P992" s="36">
        <f>P974+P983</f>
        <v/>
      </c>
      <c r="Q992" s="36">
        <f>Q974+Q983</f>
        <v/>
      </c>
      <c r="R992" s="36">
        <f>R974+R983</f>
        <v/>
      </c>
      <c r="S992" s="36">
        <f>S974+S983</f>
        <v/>
      </c>
      <c r="T992" s="36">
        <f>T974+T983</f>
        <v/>
      </c>
      <c r="U992" s="36">
        <f>U974+U983</f>
        <v/>
      </c>
      <c r="V992" s="36">
        <f>V974+V983</f>
        <v/>
      </c>
      <c r="W992" s="36">
        <f>W974+W983</f>
        <v/>
      </c>
      <c r="X992" s="36">
        <f>X974+X983</f>
        <v/>
      </c>
      <c r="Y992" s="36">
        <f>Y974+Y983</f>
        <v/>
      </c>
      <c r="Z992" s="23">
        <f>LOWER(Settings!$C$4)&amp;".mit."&amp;$A992&amp;IF($C992="","","."&amp;$C992&amp;"."&amp;$B992)&amp;IF(INDEX(Variables!$D$5:$D$65,MATCH($A992,Variables!$A$5:$A$65,0))="","","."&amp;INDEX(Variables!$D$5:$D$65,MATCH($A992,Variables!$A$5:$A$65,0)))&amp;"."&amp;Z$5</f>
        <v/>
      </c>
      <c r="AA992" s="38">
        <f>AA974+AA983</f>
        <v/>
      </c>
      <c r="AB992" s="36">
        <f>AB974+AB983</f>
        <v/>
      </c>
      <c r="AC992" s="36">
        <f>AC974+AC983</f>
        <v/>
      </c>
      <c r="AD992" s="36">
        <f>AD974+AD983</f>
        <v/>
      </c>
      <c r="AE992" s="36">
        <f>AE974+AE983</f>
        <v/>
      </c>
      <c r="AF992" s="36">
        <f>AF974+AF983</f>
        <v/>
      </c>
      <c r="AG992" s="36">
        <f>AG974+AG983</f>
        <v/>
      </c>
      <c r="AH992" s="36">
        <f>AH974+AH983</f>
        <v/>
      </c>
      <c r="AI992" s="36">
        <f>AI974+AI983</f>
        <v/>
      </c>
      <c r="AJ992" s="36">
        <f>AJ974+AJ983</f>
        <v/>
      </c>
      <c r="AK992" s="36">
        <f>AK974+AK983</f>
        <v/>
      </c>
      <c r="AL992" s="36">
        <f>AL974+AL983</f>
        <v/>
      </c>
      <c r="AM992" s="36">
        <f>AM974+AM983</f>
        <v/>
      </c>
      <c r="AN992" s="36">
        <f>AN974+AN983</f>
        <v/>
      </c>
    </row>
    <row r="993" hidden="1" outlineLevel="2">
      <c r="A993" s="5" t="inlineStr">
        <is>
          <t>nce</t>
        </is>
      </c>
      <c r="B993" s="5" t="inlineStr">
        <is>
          <t>ker</t>
        </is>
      </c>
      <c r="C993" s="5" t="inlineStr">
        <is>
          <t>cem</t>
        </is>
      </c>
      <c r="D993" s="37" t="n"/>
      <c r="E993" s="37" t="n"/>
      <c r="F993" s="37" t="n"/>
      <c r="G993" s="37" t="n"/>
      <c r="H993" s="5">
        <f>INDEX(Variables!$B$5:$B$65,MATCH($A993,Variables!$A$5:$A$65,0))&amp;IF($C993="",""," | "&amp;INDEX(Mapping!$B$5:$B$25,MATCH($C993,Mapping!$A$5:$A$25,0))&amp;" | "&amp;INDEX(Mapping!$B$29:$B$38,MATCH($B993,Mapping!$A$29:$A$38,0)))</f>
        <v/>
      </c>
      <c r="I993" s="5">
        <f>INDEX(Variables!$C$5:$C$65,MATCH($A993,Variables!$A$5:$A$65,0))</f>
        <v/>
      </c>
      <c r="J993" s="5">
        <f>INDEX(Variables!$E$5:$E$65,MATCH($A993,Variables!$A$5:$A$65,0))</f>
        <v/>
      </c>
      <c r="K993" s="23">
        <f>LOWER(Settings!$C$4)&amp;".mit."&amp;$A993&amp;IF($C993="","","."&amp;$C993&amp;"."&amp;$B993)&amp;IF(INDEX(Variables!$D$5:$D$65,MATCH($A993,Variables!$A$5:$A$65,0))="","","."&amp;INDEX(Variables!$D$5:$D$65,MATCH($A993,Variables!$A$5:$A$65,0)))&amp;"."&amp;K$5</f>
        <v/>
      </c>
      <c r="L993" s="38">
        <f>L975+L984</f>
        <v/>
      </c>
      <c r="M993" s="36">
        <f>M975+M984</f>
        <v/>
      </c>
      <c r="N993" s="36">
        <f>N975+N984</f>
        <v/>
      </c>
      <c r="O993" s="36">
        <f>O975+O984</f>
        <v/>
      </c>
      <c r="P993" s="36">
        <f>P975+P984</f>
        <v/>
      </c>
      <c r="Q993" s="36">
        <f>Q975+Q984</f>
        <v/>
      </c>
      <c r="R993" s="36">
        <f>R975+R984</f>
        <v/>
      </c>
      <c r="S993" s="36">
        <f>S975+S984</f>
        <v/>
      </c>
      <c r="T993" s="36">
        <f>T975+T984</f>
        <v/>
      </c>
      <c r="U993" s="36">
        <f>U975+U984</f>
        <v/>
      </c>
      <c r="V993" s="36">
        <f>V975+V984</f>
        <v/>
      </c>
      <c r="W993" s="36">
        <f>W975+W984</f>
        <v/>
      </c>
      <c r="X993" s="36">
        <f>X975+X984</f>
        <v/>
      </c>
      <c r="Y993" s="36">
        <f>Y975+Y984</f>
        <v/>
      </c>
      <c r="Z993" s="23">
        <f>LOWER(Settings!$C$4)&amp;".mit."&amp;$A993&amp;IF($C993="","","."&amp;$C993&amp;"."&amp;$B993)&amp;IF(INDEX(Variables!$D$5:$D$65,MATCH($A993,Variables!$A$5:$A$65,0))="","","."&amp;INDEX(Variables!$D$5:$D$65,MATCH($A993,Variables!$A$5:$A$65,0)))&amp;"."&amp;Z$5</f>
        <v/>
      </c>
      <c r="AA993" s="38">
        <f>AA975+AA984</f>
        <v/>
      </c>
      <c r="AB993" s="36">
        <f>AB975+AB984</f>
        <v/>
      </c>
      <c r="AC993" s="36">
        <f>AC975+AC984</f>
        <v/>
      </c>
      <c r="AD993" s="36">
        <f>AD975+AD984</f>
        <v/>
      </c>
      <c r="AE993" s="36">
        <f>AE975+AE984</f>
        <v/>
      </c>
      <c r="AF993" s="36">
        <f>AF975+AF984</f>
        <v/>
      </c>
      <c r="AG993" s="36">
        <f>AG975+AG984</f>
        <v/>
      </c>
      <c r="AH993" s="36">
        <f>AH975+AH984</f>
        <v/>
      </c>
      <c r="AI993" s="36">
        <f>AI975+AI984</f>
        <v/>
      </c>
      <c r="AJ993" s="36">
        <f>AJ975+AJ984</f>
        <v/>
      </c>
      <c r="AK993" s="36">
        <f>AK975+AK984</f>
        <v/>
      </c>
      <c r="AL993" s="36">
        <f>AL975+AL984</f>
        <v/>
      </c>
      <c r="AM993" s="36">
        <f>AM975+AM984</f>
        <v/>
      </c>
      <c r="AN993" s="36">
        <f>AN975+AN984</f>
        <v/>
      </c>
    </row>
    <row r="994" hidden="1" outlineLevel="2">
      <c r="A994" s="5" t="inlineStr">
        <is>
          <t>nce</t>
        </is>
      </c>
      <c r="B994" s="5" t="inlineStr">
        <is>
          <t>oop</t>
        </is>
      </c>
      <c r="C994" s="5" t="inlineStr">
        <is>
          <t>cem</t>
        </is>
      </c>
      <c r="D994" s="37" t="n"/>
      <c r="E994" s="37" t="n"/>
      <c r="F994" s="37" t="n"/>
      <c r="G994" s="37" t="n"/>
      <c r="H994" s="5">
        <f>INDEX(Variables!$B$5:$B$65,MATCH($A994,Variables!$A$5:$A$65,0))&amp;IF($C994="",""," | "&amp;INDEX(Mapping!$B$5:$B$25,MATCH($C994,Mapping!$A$5:$A$25,0))&amp;" | "&amp;INDEX(Mapping!$B$29:$B$38,MATCH($B994,Mapping!$A$29:$A$38,0)))</f>
        <v/>
      </c>
      <c r="I994" s="5">
        <f>INDEX(Variables!$C$5:$C$65,MATCH($A994,Variables!$A$5:$A$65,0))</f>
        <v/>
      </c>
      <c r="J994" s="5">
        <f>INDEX(Variables!$E$5:$E$65,MATCH($A994,Variables!$A$5:$A$65,0))</f>
        <v/>
      </c>
      <c r="K994" s="23">
        <f>LOWER(Settings!$C$4)&amp;".mit."&amp;$A994&amp;IF($C994="","","."&amp;$C994&amp;"."&amp;$B994)&amp;IF(INDEX(Variables!$D$5:$D$65,MATCH($A994,Variables!$A$5:$A$65,0))="","","."&amp;INDEX(Variables!$D$5:$D$65,MATCH($A994,Variables!$A$5:$A$65,0)))&amp;"."&amp;K$5</f>
        <v/>
      </c>
      <c r="L994" s="38">
        <f>L976+L985</f>
        <v/>
      </c>
      <c r="M994" s="36">
        <f>M976+M985</f>
        <v/>
      </c>
      <c r="N994" s="36">
        <f>N976+N985</f>
        <v/>
      </c>
      <c r="O994" s="36">
        <f>O976+O985</f>
        <v/>
      </c>
      <c r="P994" s="36">
        <f>P976+P985</f>
        <v/>
      </c>
      <c r="Q994" s="36">
        <f>Q976+Q985</f>
        <v/>
      </c>
      <c r="R994" s="36">
        <f>R976+R985</f>
        <v/>
      </c>
      <c r="S994" s="36">
        <f>S976+S985</f>
        <v/>
      </c>
      <c r="T994" s="36">
        <f>T976+T985</f>
        <v/>
      </c>
      <c r="U994" s="36">
        <f>U976+U985</f>
        <v/>
      </c>
      <c r="V994" s="36">
        <f>V976+V985</f>
        <v/>
      </c>
      <c r="W994" s="36">
        <f>W976+W985</f>
        <v/>
      </c>
      <c r="X994" s="36">
        <f>X976+X985</f>
        <v/>
      </c>
      <c r="Y994" s="36">
        <f>Y976+Y985</f>
        <v/>
      </c>
      <c r="Z994" s="23">
        <f>LOWER(Settings!$C$4)&amp;".mit."&amp;$A994&amp;IF($C994="","","."&amp;$C994&amp;"."&amp;$B994)&amp;IF(INDEX(Variables!$D$5:$D$65,MATCH($A994,Variables!$A$5:$A$65,0))="","","."&amp;INDEX(Variables!$D$5:$D$65,MATCH($A994,Variables!$A$5:$A$65,0)))&amp;"."&amp;Z$5</f>
        <v/>
      </c>
      <c r="AA994" s="38">
        <f>AA976+AA985</f>
        <v/>
      </c>
      <c r="AB994" s="36">
        <f>AB976+AB985</f>
        <v/>
      </c>
      <c r="AC994" s="36">
        <f>AC976+AC985</f>
        <v/>
      </c>
      <c r="AD994" s="36">
        <f>AD976+AD985</f>
        <v/>
      </c>
      <c r="AE994" s="36">
        <f>AE976+AE985</f>
        <v/>
      </c>
      <c r="AF994" s="36">
        <f>AF976+AF985</f>
        <v/>
      </c>
      <c r="AG994" s="36">
        <f>AG976+AG985</f>
        <v/>
      </c>
      <c r="AH994" s="36">
        <f>AH976+AH985</f>
        <v/>
      </c>
      <c r="AI994" s="36">
        <f>AI976+AI985</f>
        <v/>
      </c>
      <c r="AJ994" s="36">
        <f>AJ976+AJ985</f>
        <v/>
      </c>
      <c r="AK994" s="36">
        <f>AK976+AK985</f>
        <v/>
      </c>
      <c r="AL994" s="36">
        <f>AL976+AL985</f>
        <v/>
      </c>
      <c r="AM994" s="36">
        <f>AM976+AM985</f>
        <v/>
      </c>
      <c r="AN994" s="36">
        <f>AN976+AN985</f>
        <v/>
      </c>
    </row>
    <row r="995" hidden="1" outlineLevel="2">
      <c r="A995" s="5" t="inlineStr">
        <is>
          <t>nce</t>
        </is>
      </c>
      <c r="B995" s="5" t="inlineStr">
        <is>
          <t>bio</t>
        </is>
      </c>
      <c r="C995" s="5" t="inlineStr">
        <is>
          <t>cem</t>
        </is>
      </c>
      <c r="D995" s="37" t="n"/>
      <c r="E995" s="37" t="n"/>
      <c r="F995" s="37" t="n"/>
      <c r="G995" s="37" t="n"/>
      <c r="H995" s="5">
        <f>INDEX(Variables!$B$5:$B$65,MATCH($A995,Variables!$A$5:$A$65,0))&amp;IF($C995="",""," | "&amp;INDEX(Mapping!$B$5:$B$25,MATCH($C995,Mapping!$A$5:$A$25,0))&amp;" | "&amp;INDEX(Mapping!$B$29:$B$38,MATCH($B995,Mapping!$A$29:$A$38,0)))</f>
        <v/>
      </c>
      <c r="I995" s="5">
        <f>INDEX(Variables!$C$5:$C$65,MATCH($A995,Variables!$A$5:$A$65,0))</f>
        <v/>
      </c>
      <c r="J995" s="5">
        <f>INDEX(Variables!$E$5:$E$65,MATCH($A995,Variables!$A$5:$A$65,0))</f>
        <v/>
      </c>
      <c r="K995" s="23">
        <f>LOWER(Settings!$C$4)&amp;".mit."&amp;$A995&amp;IF($C995="","","."&amp;$C995&amp;"."&amp;$B995)&amp;IF(INDEX(Variables!$D$5:$D$65,MATCH($A995,Variables!$A$5:$A$65,0))="","","."&amp;INDEX(Variables!$D$5:$D$65,MATCH($A995,Variables!$A$5:$A$65,0)))&amp;"."&amp;K$5</f>
        <v/>
      </c>
      <c r="L995" s="38">
        <f>L977+L986</f>
        <v/>
      </c>
      <c r="M995" s="36">
        <f>M977+M986</f>
        <v/>
      </c>
      <c r="N995" s="36">
        <f>N977+N986</f>
        <v/>
      </c>
      <c r="O995" s="36">
        <f>O977+O986</f>
        <v/>
      </c>
      <c r="P995" s="36">
        <f>P977+P986</f>
        <v/>
      </c>
      <c r="Q995" s="36">
        <f>Q977+Q986</f>
        <v/>
      </c>
      <c r="R995" s="36">
        <f>R977+R986</f>
        <v/>
      </c>
      <c r="S995" s="36">
        <f>S977+S986</f>
        <v/>
      </c>
      <c r="T995" s="36">
        <f>T977+T986</f>
        <v/>
      </c>
      <c r="U995" s="36">
        <f>U977+U986</f>
        <v/>
      </c>
      <c r="V995" s="36">
        <f>V977+V986</f>
        <v/>
      </c>
      <c r="W995" s="36">
        <f>W977+W986</f>
        <v/>
      </c>
      <c r="X995" s="36">
        <f>X977+X986</f>
        <v/>
      </c>
      <c r="Y995" s="36">
        <f>Y977+Y986</f>
        <v/>
      </c>
      <c r="Z995" s="23">
        <f>LOWER(Settings!$C$4)&amp;".mit."&amp;$A995&amp;IF($C995="","","."&amp;$C995&amp;"."&amp;$B995)&amp;IF(INDEX(Variables!$D$5:$D$65,MATCH($A995,Variables!$A$5:$A$65,0))="","","."&amp;INDEX(Variables!$D$5:$D$65,MATCH($A995,Variables!$A$5:$A$65,0)))&amp;"."&amp;Z$5</f>
        <v/>
      </c>
      <c r="AA995" s="38">
        <f>AA977+AA986</f>
        <v/>
      </c>
      <c r="AB995" s="36">
        <f>AB977+AB986</f>
        <v/>
      </c>
      <c r="AC995" s="36">
        <f>AC977+AC986</f>
        <v/>
      </c>
      <c r="AD995" s="36">
        <f>AD977+AD986</f>
        <v/>
      </c>
      <c r="AE995" s="36">
        <f>AE977+AE986</f>
        <v/>
      </c>
      <c r="AF995" s="36">
        <f>AF977+AF986</f>
        <v/>
      </c>
      <c r="AG995" s="36">
        <f>AG977+AG986</f>
        <v/>
      </c>
      <c r="AH995" s="36">
        <f>AH977+AH986</f>
        <v/>
      </c>
      <c r="AI995" s="36">
        <f>AI977+AI986</f>
        <v/>
      </c>
      <c r="AJ995" s="36">
        <f>AJ977+AJ986</f>
        <v/>
      </c>
      <c r="AK995" s="36">
        <f>AK977+AK986</f>
        <v/>
      </c>
      <c r="AL995" s="36">
        <f>AL977+AL986</f>
        <v/>
      </c>
      <c r="AM995" s="36">
        <f>AM977+AM986</f>
        <v/>
      </c>
      <c r="AN995" s="36">
        <f>AN977+AN986</f>
        <v/>
      </c>
    </row>
    <row r="996" hidden="1" outlineLevel="2"/>
    <row r="997" hidden="1" outlineLevel="2">
      <c r="A997" s="5" t="inlineStr">
        <is>
          <t>tax</t>
        </is>
      </c>
      <c r="B997" s="5" t="inlineStr">
        <is>
          <t>coa</t>
        </is>
      </c>
      <c r="C997" s="5" t="inlineStr">
        <is>
          <t>cem</t>
        </is>
      </c>
      <c r="D997" s="36">
        <f>INDEX(Inputs!$T$5:$T$132,MATCH($B997&amp;"|"&amp;$C997,Inputs!$A$5:$A$132,0))</f>
        <v/>
      </c>
      <c r="E997" s="37" t="n"/>
      <c r="F997" s="37" t="n"/>
      <c r="G997" s="37" t="n"/>
      <c r="H997" s="5">
        <f>INDEX(Variables!$B$5:$B$65,MATCH($A997,Variables!$A$5:$A$65,0))&amp;IF($C997="",""," | "&amp;INDEX(Mapping!$B$5:$B$25,MATCH($C997,Mapping!$A$5:$A$25,0))&amp;" | "&amp;INDEX(Mapping!$B$29:$B$38,MATCH($B997,Mapping!$A$29:$A$38,0)))</f>
        <v/>
      </c>
      <c r="I997" s="5">
        <f>INDEX(Variables!$C$5:$C$65,MATCH($A997,Variables!$A$5:$A$65,0))</f>
        <v/>
      </c>
      <c r="J997" s="5">
        <f>INDEX(Variables!$E$5:$E$65,MATCH($A997,Variables!$A$5:$A$65,0))</f>
        <v/>
      </c>
      <c r="K997" s="23">
        <f>LOWER(Settings!$C$4)&amp;".mit."&amp;$A997&amp;IF($C997="","","."&amp;$C997&amp;"."&amp;$B997)&amp;IF(INDEX(Variables!$D$5:$D$65,MATCH($A997,Variables!$A$5:$A$65,0))="","","."&amp;INDEX(Variables!$D$5:$D$65,MATCH($A997,Variables!$A$5:$A$65,0)))&amp;"."&amp;K$5</f>
        <v/>
      </c>
      <c r="L997" s="38">
        <f>$D997+L988</f>
        <v/>
      </c>
      <c r="M997" s="36">
        <f>$D997+M988</f>
        <v/>
      </c>
      <c r="N997" s="36">
        <f>$D997+N988</f>
        <v/>
      </c>
      <c r="O997" s="36">
        <f>$D997+O988</f>
        <v/>
      </c>
      <c r="P997" s="36">
        <f>$D997+P988</f>
        <v/>
      </c>
      <c r="Q997" s="36">
        <f>$D997+Q988</f>
        <v/>
      </c>
      <c r="R997" s="36">
        <f>$D997+R988</f>
        <v/>
      </c>
      <c r="S997" s="36">
        <f>$D997+S988</f>
        <v/>
      </c>
      <c r="T997" s="36">
        <f>$D997+T988</f>
        <v/>
      </c>
      <c r="U997" s="36">
        <f>$D997+U988</f>
        <v/>
      </c>
      <c r="V997" s="36">
        <f>$D997+V988</f>
        <v/>
      </c>
      <c r="W997" s="36">
        <f>$D997+W988</f>
        <v/>
      </c>
      <c r="X997" s="36">
        <f>$D997+X988</f>
        <v/>
      </c>
      <c r="Y997" s="39">
        <f>TAX($D997,Y988)</f>
        <v/>
      </c>
      <c r="Z997" s="23">
        <f>LOWER(Settings!$C$4)&amp;".mit."&amp;$A997&amp;IF($C997="","","."&amp;$C997&amp;"."&amp;$B997)&amp;IF(INDEX(Variables!$D$5:$D$65,MATCH($A997,Variables!$A$5:$A$65,0))="","","."&amp;INDEX(Variables!$D$5:$D$65,MATCH($A997,Variables!$A$5:$A$65,0)))&amp;"."&amp;Z$5</f>
        <v/>
      </c>
      <c r="AA997" s="38">
        <f>$D997+AA988</f>
        <v/>
      </c>
      <c r="AB997" s="36">
        <f>$D997+AB988</f>
        <v/>
      </c>
      <c r="AC997" s="36">
        <f>$D997+AC988</f>
        <v/>
      </c>
      <c r="AD997" s="36">
        <f>$D997+AD988</f>
        <v/>
      </c>
      <c r="AE997" s="36">
        <f>$D997+AE988</f>
        <v/>
      </c>
      <c r="AF997" s="36">
        <f>$D997+AF988</f>
        <v/>
      </c>
      <c r="AG997" s="36">
        <f>$D997+AG988</f>
        <v/>
      </c>
      <c r="AH997" s="36">
        <f>$D997+AH988</f>
        <v/>
      </c>
      <c r="AI997" s="36">
        <f>$D997+AI988</f>
        <v/>
      </c>
      <c r="AJ997" s="36">
        <f>$D997+AJ988</f>
        <v/>
      </c>
      <c r="AK997" s="36">
        <f>$D997+AK988</f>
        <v/>
      </c>
      <c r="AL997" s="36">
        <f>$D997+AL988</f>
        <v/>
      </c>
      <c r="AM997" s="36">
        <f>$D997+AM988</f>
        <v/>
      </c>
      <c r="AN997" s="39">
        <f>TAX($D997,AN988)</f>
        <v/>
      </c>
    </row>
    <row r="998" hidden="1" outlineLevel="2">
      <c r="A998" s="5" t="inlineStr">
        <is>
          <t>tax</t>
        </is>
      </c>
      <c r="B998" s="5" t="inlineStr">
        <is>
          <t>nga</t>
        </is>
      </c>
      <c r="C998" s="5" t="inlineStr">
        <is>
          <t>cem</t>
        </is>
      </c>
      <c r="D998" s="36">
        <f>INDEX(Inputs!$T$5:$T$132,MATCH($B998&amp;"|"&amp;$C998,Inputs!$A$5:$A$132,0))</f>
        <v/>
      </c>
      <c r="E998" s="37" t="n"/>
      <c r="F998" s="37" t="n"/>
      <c r="G998" s="37" t="n"/>
      <c r="H998" s="5">
        <f>INDEX(Variables!$B$5:$B$65,MATCH($A998,Variables!$A$5:$A$65,0))&amp;IF($C998="",""," | "&amp;INDEX(Mapping!$B$5:$B$25,MATCH($C998,Mapping!$A$5:$A$25,0))&amp;" | "&amp;INDEX(Mapping!$B$29:$B$38,MATCH($B998,Mapping!$A$29:$A$38,0)))</f>
        <v/>
      </c>
      <c r="I998" s="5">
        <f>INDEX(Variables!$C$5:$C$65,MATCH($A998,Variables!$A$5:$A$65,0))</f>
        <v/>
      </c>
      <c r="J998" s="5">
        <f>INDEX(Variables!$E$5:$E$65,MATCH($A998,Variables!$A$5:$A$65,0))</f>
        <v/>
      </c>
      <c r="K998" s="23">
        <f>LOWER(Settings!$C$4)&amp;".mit."&amp;$A998&amp;IF($C998="","","."&amp;$C998&amp;"."&amp;$B998)&amp;IF(INDEX(Variables!$D$5:$D$65,MATCH($A998,Variables!$A$5:$A$65,0))="","","."&amp;INDEX(Variables!$D$5:$D$65,MATCH($A998,Variables!$A$5:$A$65,0)))&amp;"."&amp;K$5</f>
        <v/>
      </c>
      <c r="L998" s="38">
        <f>$D998+L989</f>
        <v/>
      </c>
      <c r="M998" s="36">
        <f>$D998+M989</f>
        <v/>
      </c>
      <c r="N998" s="36">
        <f>$D998+N989</f>
        <v/>
      </c>
      <c r="O998" s="36">
        <f>$D998+O989</f>
        <v/>
      </c>
      <c r="P998" s="36">
        <f>$D998+P989</f>
        <v/>
      </c>
      <c r="Q998" s="36">
        <f>$D998+Q989</f>
        <v/>
      </c>
      <c r="R998" s="36">
        <f>$D998+R989</f>
        <v/>
      </c>
      <c r="S998" s="36">
        <f>$D998+S989</f>
        <v/>
      </c>
      <c r="T998" s="36">
        <f>$D998+T989</f>
        <v/>
      </c>
      <c r="U998" s="36">
        <f>$D998+U989</f>
        <v/>
      </c>
      <c r="V998" s="36">
        <f>$D998+V989</f>
        <v/>
      </c>
      <c r="W998" s="36">
        <f>$D998+W989</f>
        <v/>
      </c>
      <c r="X998" s="36">
        <f>$D998+X989</f>
        <v/>
      </c>
      <c r="Y998" s="39">
        <f>TAX($D998,Y989)</f>
        <v/>
      </c>
      <c r="Z998" s="23">
        <f>LOWER(Settings!$C$4)&amp;".mit."&amp;$A998&amp;IF($C998="","","."&amp;$C998&amp;"."&amp;$B998)&amp;IF(INDEX(Variables!$D$5:$D$65,MATCH($A998,Variables!$A$5:$A$65,0))="","","."&amp;INDEX(Variables!$D$5:$D$65,MATCH($A998,Variables!$A$5:$A$65,0)))&amp;"."&amp;Z$5</f>
        <v/>
      </c>
      <c r="AA998" s="38">
        <f>$D998+AA989</f>
        <v/>
      </c>
      <c r="AB998" s="36">
        <f>$D998+AB989</f>
        <v/>
      </c>
      <c r="AC998" s="36">
        <f>$D998+AC989</f>
        <v/>
      </c>
      <c r="AD998" s="36">
        <f>$D998+AD989</f>
        <v/>
      </c>
      <c r="AE998" s="36">
        <f>$D998+AE989</f>
        <v/>
      </c>
      <c r="AF998" s="36">
        <f>$D998+AF989</f>
        <v/>
      </c>
      <c r="AG998" s="36">
        <f>$D998+AG989</f>
        <v/>
      </c>
      <c r="AH998" s="36">
        <f>$D998+AH989</f>
        <v/>
      </c>
      <c r="AI998" s="36">
        <f>$D998+AI989</f>
        <v/>
      </c>
      <c r="AJ998" s="36">
        <f>$D998+AJ989</f>
        <v/>
      </c>
      <c r="AK998" s="36">
        <f>$D998+AK989</f>
        <v/>
      </c>
      <c r="AL998" s="36">
        <f>$D998+AL989</f>
        <v/>
      </c>
      <c r="AM998" s="36">
        <f>$D998+AM989</f>
        <v/>
      </c>
      <c r="AN998" s="39">
        <f>TAX($D998,AN989)</f>
        <v/>
      </c>
    </row>
    <row r="999" hidden="1" outlineLevel="2">
      <c r="A999" s="5" t="inlineStr">
        <is>
          <t>tax</t>
        </is>
      </c>
      <c r="B999" s="5" t="inlineStr">
        <is>
          <t>gso</t>
        </is>
      </c>
      <c r="C999" s="5" t="inlineStr">
        <is>
          <t>cem</t>
        </is>
      </c>
      <c r="D999" s="36">
        <f>INDEX(Inputs!$T$5:$T$132,MATCH($B999&amp;"|"&amp;$C999,Inputs!$A$5:$A$132,0))</f>
        <v/>
      </c>
      <c r="E999" s="37" t="n"/>
      <c r="F999" s="37" t="n"/>
      <c r="G999" s="37" t="n"/>
      <c r="H999" s="5">
        <f>INDEX(Variables!$B$5:$B$65,MATCH($A999,Variables!$A$5:$A$65,0))&amp;IF($C999="",""," | "&amp;INDEX(Mapping!$B$5:$B$25,MATCH($C999,Mapping!$A$5:$A$25,0))&amp;" | "&amp;INDEX(Mapping!$B$29:$B$38,MATCH($B999,Mapping!$A$29:$A$38,0)))</f>
        <v/>
      </c>
      <c r="I999" s="5">
        <f>INDEX(Variables!$C$5:$C$65,MATCH($A999,Variables!$A$5:$A$65,0))</f>
        <v/>
      </c>
      <c r="J999" s="5">
        <f>INDEX(Variables!$E$5:$E$65,MATCH($A999,Variables!$A$5:$A$65,0))</f>
        <v/>
      </c>
      <c r="K999" s="23">
        <f>LOWER(Settings!$C$4)&amp;".mit."&amp;$A999&amp;IF($C999="","","."&amp;$C999&amp;"."&amp;$B999)&amp;IF(INDEX(Variables!$D$5:$D$65,MATCH($A999,Variables!$A$5:$A$65,0))="","","."&amp;INDEX(Variables!$D$5:$D$65,MATCH($A999,Variables!$A$5:$A$65,0)))&amp;"."&amp;K$5</f>
        <v/>
      </c>
      <c r="L999" s="38">
        <f>$D999+L990</f>
        <v/>
      </c>
      <c r="M999" s="36">
        <f>$D999+M990</f>
        <v/>
      </c>
      <c r="N999" s="36">
        <f>$D999+N990</f>
        <v/>
      </c>
      <c r="O999" s="36">
        <f>$D999+O990</f>
        <v/>
      </c>
      <c r="P999" s="36">
        <f>$D999+P990</f>
        <v/>
      </c>
      <c r="Q999" s="36">
        <f>$D999+Q990</f>
        <v/>
      </c>
      <c r="R999" s="36">
        <f>$D999+R990</f>
        <v/>
      </c>
      <c r="S999" s="36">
        <f>$D999+S990</f>
        <v/>
      </c>
      <c r="T999" s="36">
        <f>$D999+T990</f>
        <v/>
      </c>
      <c r="U999" s="36">
        <f>$D999+U990</f>
        <v/>
      </c>
      <c r="V999" s="36">
        <f>$D999+V990</f>
        <v/>
      </c>
      <c r="W999" s="36">
        <f>$D999+W990</f>
        <v/>
      </c>
      <c r="X999" s="36">
        <f>$D999+X990</f>
        <v/>
      </c>
      <c r="Y999" s="39">
        <f>TAX($D999,Y990)</f>
        <v/>
      </c>
      <c r="Z999" s="23">
        <f>LOWER(Settings!$C$4)&amp;".mit."&amp;$A999&amp;IF($C999="","","."&amp;$C999&amp;"."&amp;$B999)&amp;IF(INDEX(Variables!$D$5:$D$65,MATCH($A999,Variables!$A$5:$A$65,0))="","","."&amp;INDEX(Variables!$D$5:$D$65,MATCH($A999,Variables!$A$5:$A$65,0)))&amp;"."&amp;Z$5</f>
        <v/>
      </c>
      <c r="AA999" s="38">
        <f>$D999+AA990</f>
        <v/>
      </c>
      <c r="AB999" s="36">
        <f>$D999+AB990</f>
        <v/>
      </c>
      <c r="AC999" s="36">
        <f>$D999+AC990</f>
        <v/>
      </c>
      <c r="AD999" s="36">
        <f>$D999+AD990</f>
        <v/>
      </c>
      <c r="AE999" s="36">
        <f>$D999+AE990</f>
        <v/>
      </c>
      <c r="AF999" s="36">
        <f>$D999+AF990</f>
        <v/>
      </c>
      <c r="AG999" s="36">
        <f>$D999+AG990</f>
        <v/>
      </c>
      <c r="AH999" s="36">
        <f>$D999+AH990</f>
        <v/>
      </c>
      <c r="AI999" s="36">
        <f>$D999+AI990</f>
        <v/>
      </c>
      <c r="AJ999" s="36">
        <f>$D999+AJ990</f>
        <v/>
      </c>
      <c r="AK999" s="36">
        <f>$D999+AK990</f>
        <v/>
      </c>
      <c r="AL999" s="36">
        <f>$D999+AL990</f>
        <v/>
      </c>
      <c r="AM999" s="36">
        <f>$D999+AM990</f>
        <v/>
      </c>
      <c r="AN999" s="39">
        <f>TAX($D999,AN990)</f>
        <v/>
      </c>
    </row>
    <row r="1000" hidden="1" outlineLevel="2">
      <c r="A1000" s="5" t="inlineStr">
        <is>
          <t>tax</t>
        </is>
      </c>
      <c r="B1000" s="5" t="inlineStr">
        <is>
          <t>die</t>
        </is>
      </c>
      <c r="C1000" s="5" t="inlineStr">
        <is>
          <t>cem</t>
        </is>
      </c>
      <c r="D1000" s="36">
        <f>INDEX(Inputs!$T$5:$T$132,MATCH($B1000&amp;"|"&amp;$C1000,Inputs!$A$5:$A$132,0))</f>
        <v/>
      </c>
      <c r="E1000" s="37" t="n"/>
      <c r="F1000" s="37" t="n"/>
      <c r="G1000" s="37" t="n"/>
      <c r="H1000" s="5">
        <f>INDEX(Variables!$B$5:$B$65,MATCH($A1000,Variables!$A$5:$A$65,0))&amp;IF($C1000="",""," | "&amp;INDEX(Mapping!$B$5:$B$25,MATCH($C1000,Mapping!$A$5:$A$25,0))&amp;" | "&amp;INDEX(Mapping!$B$29:$B$38,MATCH($B1000,Mapping!$A$29:$A$38,0)))</f>
        <v/>
      </c>
      <c r="I1000" s="5">
        <f>INDEX(Variables!$C$5:$C$65,MATCH($A1000,Variables!$A$5:$A$65,0))</f>
        <v/>
      </c>
      <c r="J1000" s="5">
        <f>INDEX(Variables!$E$5:$E$65,MATCH($A1000,Variables!$A$5:$A$65,0))</f>
        <v/>
      </c>
      <c r="K1000" s="23">
        <f>LOWER(Settings!$C$4)&amp;".mit."&amp;$A1000&amp;IF($C1000="","","."&amp;$C1000&amp;"."&amp;$B1000)&amp;IF(INDEX(Variables!$D$5:$D$65,MATCH($A1000,Variables!$A$5:$A$65,0))="","","."&amp;INDEX(Variables!$D$5:$D$65,MATCH($A1000,Variables!$A$5:$A$65,0)))&amp;"."&amp;K$5</f>
        <v/>
      </c>
      <c r="L1000" s="38">
        <f>$D1000+L991</f>
        <v/>
      </c>
      <c r="M1000" s="36">
        <f>$D1000+M991</f>
        <v/>
      </c>
      <c r="N1000" s="36">
        <f>$D1000+N991</f>
        <v/>
      </c>
      <c r="O1000" s="36">
        <f>$D1000+O991</f>
        <v/>
      </c>
      <c r="P1000" s="36">
        <f>$D1000+P991</f>
        <v/>
      </c>
      <c r="Q1000" s="36">
        <f>$D1000+Q991</f>
        <v/>
      </c>
      <c r="R1000" s="36">
        <f>$D1000+R991</f>
        <v/>
      </c>
      <c r="S1000" s="36">
        <f>$D1000+S991</f>
        <v/>
      </c>
      <c r="T1000" s="36">
        <f>$D1000+T991</f>
        <v/>
      </c>
      <c r="U1000" s="36">
        <f>$D1000+U991</f>
        <v/>
      </c>
      <c r="V1000" s="36">
        <f>$D1000+V991</f>
        <v/>
      </c>
      <c r="W1000" s="36">
        <f>$D1000+W991</f>
        <v/>
      </c>
      <c r="X1000" s="36">
        <f>$D1000+X991</f>
        <v/>
      </c>
      <c r="Y1000" s="39">
        <f>TAX($D1000,Y991)</f>
        <v/>
      </c>
      <c r="Z1000" s="23">
        <f>LOWER(Settings!$C$4)&amp;".mit."&amp;$A1000&amp;IF($C1000="","","."&amp;$C1000&amp;"."&amp;$B1000)&amp;IF(INDEX(Variables!$D$5:$D$65,MATCH($A1000,Variables!$A$5:$A$65,0))="","","."&amp;INDEX(Variables!$D$5:$D$65,MATCH($A1000,Variables!$A$5:$A$65,0)))&amp;"."&amp;Z$5</f>
        <v/>
      </c>
      <c r="AA1000" s="38">
        <f>$D1000+AA991</f>
        <v/>
      </c>
      <c r="AB1000" s="36">
        <f>$D1000+AB991</f>
        <v/>
      </c>
      <c r="AC1000" s="36">
        <f>$D1000+AC991</f>
        <v/>
      </c>
      <c r="AD1000" s="36">
        <f>$D1000+AD991</f>
        <v/>
      </c>
      <c r="AE1000" s="36">
        <f>$D1000+AE991</f>
        <v/>
      </c>
      <c r="AF1000" s="36">
        <f>$D1000+AF991</f>
        <v/>
      </c>
      <c r="AG1000" s="36">
        <f>$D1000+AG991</f>
        <v/>
      </c>
      <c r="AH1000" s="36">
        <f>$D1000+AH991</f>
        <v/>
      </c>
      <c r="AI1000" s="36">
        <f>$D1000+AI991</f>
        <v/>
      </c>
      <c r="AJ1000" s="36">
        <f>$D1000+AJ991</f>
        <v/>
      </c>
      <c r="AK1000" s="36">
        <f>$D1000+AK991</f>
        <v/>
      </c>
      <c r="AL1000" s="36">
        <f>$D1000+AL991</f>
        <v/>
      </c>
      <c r="AM1000" s="36">
        <f>$D1000+AM991</f>
        <v/>
      </c>
      <c r="AN1000" s="39">
        <f>TAX($D1000,AN991)</f>
        <v/>
      </c>
    </row>
    <row r="1001" hidden="1" outlineLevel="2">
      <c r="A1001" s="5" t="inlineStr">
        <is>
          <t>tax</t>
        </is>
      </c>
      <c r="B1001" s="5" t="inlineStr">
        <is>
          <t>lpg</t>
        </is>
      </c>
      <c r="C1001" s="5" t="inlineStr">
        <is>
          <t>cem</t>
        </is>
      </c>
      <c r="D1001" s="36">
        <f>INDEX(Inputs!$T$5:$T$132,MATCH($B1001&amp;"|"&amp;$C1001,Inputs!$A$5:$A$132,0))</f>
        <v/>
      </c>
      <c r="E1001" s="37" t="n"/>
      <c r="F1001" s="37" t="n"/>
      <c r="G1001" s="37" t="n"/>
      <c r="H1001" s="5">
        <f>INDEX(Variables!$B$5:$B$65,MATCH($A1001,Variables!$A$5:$A$65,0))&amp;IF($C1001="",""," | "&amp;INDEX(Mapping!$B$5:$B$25,MATCH($C1001,Mapping!$A$5:$A$25,0))&amp;" | "&amp;INDEX(Mapping!$B$29:$B$38,MATCH($B1001,Mapping!$A$29:$A$38,0)))</f>
        <v/>
      </c>
      <c r="I1001" s="5">
        <f>INDEX(Variables!$C$5:$C$65,MATCH($A1001,Variables!$A$5:$A$65,0))</f>
        <v/>
      </c>
      <c r="J1001" s="5">
        <f>INDEX(Variables!$E$5:$E$65,MATCH($A1001,Variables!$A$5:$A$65,0))</f>
        <v/>
      </c>
      <c r="K1001" s="23">
        <f>LOWER(Settings!$C$4)&amp;".mit."&amp;$A1001&amp;IF($C1001="","","."&amp;$C1001&amp;"."&amp;$B1001)&amp;IF(INDEX(Variables!$D$5:$D$65,MATCH($A1001,Variables!$A$5:$A$65,0))="","","."&amp;INDEX(Variables!$D$5:$D$65,MATCH($A1001,Variables!$A$5:$A$65,0)))&amp;"."&amp;K$5</f>
        <v/>
      </c>
      <c r="L1001" s="38">
        <f>$D1001+L992</f>
        <v/>
      </c>
      <c r="M1001" s="36">
        <f>$D1001+M992</f>
        <v/>
      </c>
      <c r="N1001" s="36">
        <f>$D1001+N992</f>
        <v/>
      </c>
      <c r="O1001" s="36">
        <f>$D1001+O992</f>
        <v/>
      </c>
      <c r="P1001" s="36">
        <f>$D1001+P992</f>
        <v/>
      </c>
      <c r="Q1001" s="36">
        <f>$D1001+Q992</f>
        <v/>
      </c>
      <c r="R1001" s="36">
        <f>$D1001+R992</f>
        <v/>
      </c>
      <c r="S1001" s="36">
        <f>$D1001+S992</f>
        <v/>
      </c>
      <c r="T1001" s="36">
        <f>$D1001+T992</f>
        <v/>
      </c>
      <c r="U1001" s="36">
        <f>$D1001+U992</f>
        <v/>
      </c>
      <c r="V1001" s="36">
        <f>$D1001+V992</f>
        <v/>
      </c>
      <c r="W1001" s="36">
        <f>$D1001+W992</f>
        <v/>
      </c>
      <c r="X1001" s="36">
        <f>$D1001+X992</f>
        <v/>
      </c>
      <c r="Y1001" s="39">
        <f>TAX($D1001,Y992)</f>
        <v/>
      </c>
      <c r="Z1001" s="23">
        <f>LOWER(Settings!$C$4)&amp;".mit."&amp;$A1001&amp;IF($C1001="","","."&amp;$C1001&amp;"."&amp;$B1001)&amp;IF(INDEX(Variables!$D$5:$D$65,MATCH($A1001,Variables!$A$5:$A$65,0))="","","."&amp;INDEX(Variables!$D$5:$D$65,MATCH($A1001,Variables!$A$5:$A$65,0)))&amp;"."&amp;Z$5</f>
        <v/>
      </c>
      <c r="AA1001" s="38">
        <f>$D1001+AA992</f>
        <v/>
      </c>
      <c r="AB1001" s="36">
        <f>$D1001+AB992</f>
        <v/>
      </c>
      <c r="AC1001" s="36">
        <f>$D1001+AC992</f>
        <v/>
      </c>
      <c r="AD1001" s="36">
        <f>$D1001+AD992</f>
        <v/>
      </c>
      <c r="AE1001" s="36">
        <f>$D1001+AE992</f>
        <v/>
      </c>
      <c r="AF1001" s="36">
        <f>$D1001+AF992</f>
        <v/>
      </c>
      <c r="AG1001" s="36">
        <f>$D1001+AG992</f>
        <v/>
      </c>
      <c r="AH1001" s="36">
        <f>$D1001+AH992</f>
        <v/>
      </c>
      <c r="AI1001" s="36">
        <f>$D1001+AI992</f>
        <v/>
      </c>
      <c r="AJ1001" s="36">
        <f>$D1001+AJ992</f>
        <v/>
      </c>
      <c r="AK1001" s="36">
        <f>$D1001+AK992</f>
        <v/>
      </c>
      <c r="AL1001" s="36">
        <f>$D1001+AL992</f>
        <v/>
      </c>
      <c r="AM1001" s="36">
        <f>$D1001+AM992</f>
        <v/>
      </c>
      <c r="AN1001" s="39">
        <f>TAX($D1001,AN992)</f>
        <v/>
      </c>
    </row>
    <row r="1002" hidden="1" outlineLevel="2">
      <c r="A1002" s="5" t="inlineStr">
        <is>
          <t>tax</t>
        </is>
      </c>
      <c r="B1002" s="5" t="inlineStr">
        <is>
          <t>ker</t>
        </is>
      </c>
      <c r="C1002" s="5" t="inlineStr">
        <is>
          <t>cem</t>
        </is>
      </c>
      <c r="D1002" s="36">
        <f>INDEX(Inputs!$T$5:$T$132,MATCH($B1002&amp;"|"&amp;$C1002,Inputs!$A$5:$A$132,0))</f>
        <v/>
      </c>
      <c r="E1002" s="37" t="n"/>
      <c r="F1002" s="37" t="n"/>
      <c r="G1002" s="37" t="n"/>
      <c r="H1002" s="5">
        <f>INDEX(Variables!$B$5:$B$65,MATCH($A1002,Variables!$A$5:$A$65,0))&amp;IF($C1002="",""," | "&amp;INDEX(Mapping!$B$5:$B$25,MATCH($C1002,Mapping!$A$5:$A$25,0))&amp;" | "&amp;INDEX(Mapping!$B$29:$B$38,MATCH($B1002,Mapping!$A$29:$A$38,0)))</f>
        <v/>
      </c>
      <c r="I1002" s="5">
        <f>INDEX(Variables!$C$5:$C$65,MATCH($A1002,Variables!$A$5:$A$65,0))</f>
        <v/>
      </c>
      <c r="J1002" s="5">
        <f>INDEX(Variables!$E$5:$E$65,MATCH($A1002,Variables!$A$5:$A$65,0))</f>
        <v/>
      </c>
      <c r="K1002" s="23">
        <f>LOWER(Settings!$C$4)&amp;".mit."&amp;$A1002&amp;IF($C1002="","","."&amp;$C1002&amp;"."&amp;$B1002)&amp;IF(INDEX(Variables!$D$5:$D$65,MATCH($A1002,Variables!$A$5:$A$65,0))="","","."&amp;INDEX(Variables!$D$5:$D$65,MATCH($A1002,Variables!$A$5:$A$65,0)))&amp;"."&amp;K$5</f>
        <v/>
      </c>
      <c r="L1002" s="38">
        <f>$D1002+L993</f>
        <v/>
      </c>
      <c r="M1002" s="36">
        <f>$D1002+M993</f>
        <v/>
      </c>
      <c r="N1002" s="36">
        <f>$D1002+N993</f>
        <v/>
      </c>
      <c r="O1002" s="36">
        <f>$D1002+O993</f>
        <v/>
      </c>
      <c r="P1002" s="36">
        <f>$D1002+P993</f>
        <v/>
      </c>
      <c r="Q1002" s="36">
        <f>$D1002+Q993</f>
        <v/>
      </c>
      <c r="R1002" s="36">
        <f>$D1002+R993</f>
        <v/>
      </c>
      <c r="S1002" s="36">
        <f>$D1002+S993</f>
        <v/>
      </c>
      <c r="T1002" s="36">
        <f>$D1002+T993</f>
        <v/>
      </c>
      <c r="U1002" s="36">
        <f>$D1002+U993</f>
        <v/>
      </c>
      <c r="V1002" s="36">
        <f>$D1002+V993</f>
        <v/>
      </c>
      <c r="W1002" s="36">
        <f>$D1002+W993</f>
        <v/>
      </c>
      <c r="X1002" s="36">
        <f>$D1002+X993</f>
        <v/>
      </c>
      <c r="Y1002" s="39">
        <f>TAX($D1002,Y993)</f>
        <v/>
      </c>
      <c r="Z1002" s="23">
        <f>LOWER(Settings!$C$4)&amp;".mit."&amp;$A1002&amp;IF($C1002="","","."&amp;$C1002&amp;"."&amp;$B1002)&amp;IF(INDEX(Variables!$D$5:$D$65,MATCH($A1002,Variables!$A$5:$A$65,0))="","","."&amp;INDEX(Variables!$D$5:$D$65,MATCH($A1002,Variables!$A$5:$A$65,0)))&amp;"."&amp;Z$5</f>
        <v/>
      </c>
      <c r="AA1002" s="38">
        <f>$D1002+AA993</f>
        <v/>
      </c>
      <c r="AB1002" s="36">
        <f>$D1002+AB993</f>
        <v/>
      </c>
      <c r="AC1002" s="36">
        <f>$D1002+AC993</f>
        <v/>
      </c>
      <c r="AD1002" s="36">
        <f>$D1002+AD993</f>
        <v/>
      </c>
      <c r="AE1002" s="36">
        <f>$D1002+AE993</f>
        <v/>
      </c>
      <c r="AF1002" s="36">
        <f>$D1002+AF993</f>
        <v/>
      </c>
      <c r="AG1002" s="36">
        <f>$D1002+AG993</f>
        <v/>
      </c>
      <c r="AH1002" s="36">
        <f>$D1002+AH993</f>
        <v/>
      </c>
      <c r="AI1002" s="36">
        <f>$D1002+AI993</f>
        <v/>
      </c>
      <c r="AJ1002" s="36">
        <f>$D1002+AJ993</f>
        <v/>
      </c>
      <c r="AK1002" s="36">
        <f>$D1002+AK993</f>
        <v/>
      </c>
      <c r="AL1002" s="36">
        <f>$D1002+AL993</f>
        <v/>
      </c>
      <c r="AM1002" s="36">
        <f>$D1002+AM993</f>
        <v/>
      </c>
      <c r="AN1002" s="39">
        <f>TAX($D1002,AN993)</f>
        <v/>
      </c>
    </row>
    <row r="1003" hidden="1" outlineLevel="2">
      <c r="A1003" s="5" t="inlineStr">
        <is>
          <t>tax</t>
        </is>
      </c>
      <c r="B1003" s="5" t="inlineStr">
        <is>
          <t>oop</t>
        </is>
      </c>
      <c r="C1003" s="5" t="inlineStr">
        <is>
          <t>cem</t>
        </is>
      </c>
      <c r="D1003" s="36">
        <f>INDEX(Inputs!$T$5:$T$132,MATCH($B1003&amp;"|"&amp;$C1003,Inputs!$A$5:$A$132,0))</f>
        <v/>
      </c>
      <c r="E1003" s="37" t="n"/>
      <c r="F1003" s="37" t="n"/>
      <c r="G1003" s="37" t="n"/>
      <c r="H1003" s="5">
        <f>INDEX(Variables!$B$5:$B$65,MATCH($A1003,Variables!$A$5:$A$65,0))&amp;IF($C1003="",""," | "&amp;INDEX(Mapping!$B$5:$B$25,MATCH($C1003,Mapping!$A$5:$A$25,0))&amp;" | "&amp;INDEX(Mapping!$B$29:$B$38,MATCH($B1003,Mapping!$A$29:$A$38,0)))</f>
        <v/>
      </c>
      <c r="I1003" s="5">
        <f>INDEX(Variables!$C$5:$C$65,MATCH($A1003,Variables!$A$5:$A$65,0))</f>
        <v/>
      </c>
      <c r="J1003" s="5">
        <f>INDEX(Variables!$E$5:$E$65,MATCH($A1003,Variables!$A$5:$A$65,0))</f>
        <v/>
      </c>
      <c r="K1003" s="23">
        <f>LOWER(Settings!$C$4)&amp;".mit."&amp;$A1003&amp;IF($C1003="","","."&amp;$C1003&amp;"."&amp;$B1003)&amp;IF(INDEX(Variables!$D$5:$D$65,MATCH($A1003,Variables!$A$5:$A$65,0))="","","."&amp;INDEX(Variables!$D$5:$D$65,MATCH($A1003,Variables!$A$5:$A$65,0)))&amp;"."&amp;K$5</f>
        <v/>
      </c>
      <c r="L1003" s="38">
        <f>$D1003+L994</f>
        <v/>
      </c>
      <c r="M1003" s="36">
        <f>$D1003+M994</f>
        <v/>
      </c>
      <c r="N1003" s="36">
        <f>$D1003+N994</f>
        <v/>
      </c>
      <c r="O1003" s="36">
        <f>$D1003+O994</f>
        <v/>
      </c>
      <c r="P1003" s="36">
        <f>$D1003+P994</f>
        <v/>
      </c>
      <c r="Q1003" s="36">
        <f>$D1003+Q994</f>
        <v/>
      </c>
      <c r="R1003" s="36">
        <f>$D1003+R994</f>
        <v/>
      </c>
      <c r="S1003" s="36">
        <f>$D1003+S994</f>
        <v/>
      </c>
      <c r="T1003" s="36">
        <f>$D1003+T994</f>
        <v/>
      </c>
      <c r="U1003" s="36">
        <f>$D1003+U994</f>
        <v/>
      </c>
      <c r="V1003" s="36">
        <f>$D1003+V994</f>
        <v/>
      </c>
      <c r="W1003" s="36">
        <f>$D1003+W994</f>
        <v/>
      </c>
      <c r="X1003" s="36">
        <f>$D1003+X994</f>
        <v/>
      </c>
      <c r="Y1003" s="39">
        <f>TAX($D1003,Y994)</f>
        <v/>
      </c>
      <c r="Z1003" s="23">
        <f>LOWER(Settings!$C$4)&amp;".mit."&amp;$A1003&amp;IF($C1003="","","."&amp;$C1003&amp;"."&amp;$B1003)&amp;IF(INDEX(Variables!$D$5:$D$65,MATCH($A1003,Variables!$A$5:$A$65,0))="","","."&amp;INDEX(Variables!$D$5:$D$65,MATCH($A1003,Variables!$A$5:$A$65,0)))&amp;"."&amp;Z$5</f>
        <v/>
      </c>
      <c r="AA1003" s="38">
        <f>$D1003+AA994</f>
        <v/>
      </c>
      <c r="AB1003" s="36">
        <f>$D1003+AB994</f>
        <v/>
      </c>
      <c r="AC1003" s="36">
        <f>$D1003+AC994</f>
        <v/>
      </c>
      <c r="AD1003" s="36">
        <f>$D1003+AD994</f>
        <v/>
      </c>
      <c r="AE1003" s="36">
        <f>$D1003+AE994</f>
        <v/>
      </c>
      <c r="AF1003" s="36">
        <f>$D1003+AF994</f>
        <v/>
      </c>
      <c r="AG1003" s="36">
        <f>$D1003+AG994</f>
        <v/>
      </c>
      <c r="AH1003" s="36">
        <f>$D1003+AH994</f>
        <v/>
      </c>
      <c r="AI1003" s="36">
        <f>$D1003+AI994</f>
        <v/>
      </c>
      <c r="AJ1003" s="36">
        <f>$D1003+AJ994</f>
        <v/>
      </c>
      <c r="AK1003" s="36">
        <f>$D1003+AK994</f>
        <v/>
      </c>
      <c r="AL1003" s="36">
        <f>$D1003+AL994</f>
        <v/>
      </c>
      <c r="AM1003" s="36">
        <f>$D1003+AM994</f>
        <v/>
      </c>
      <c r="AN1003" s="39">
        <f>TAX($D1003,AN994)</f>
        <v/>
      </c>
    </row>
    <row r="1004" hidden="1" outlineLevel="2">
      <c r="A1004" s="5" t="inlineStr">
        <is>
          <t>tax</t>
        </is>
      </c>
      <c r="B1004" s="5" t="inlineStr">
        <is>
          <t>bio</t>
        </is>
      </c>
      <c r="C1004" s="5" t="inlineStr">
        <is>
          <t>cem</t>
        </is>
      </c>
      <c r="D1004" s="36">
        <f>INDEX(Inputs!$T$5:$T$132,MATCH($B1004&amp;"|"&amp;$C1004,Inputs!$A$5:$A$132,0))</f>
        <v/>
      </c>
      <c r="E1004" s="37" t="n"/>
      <c r="F1004" s="37" t="n"/>
      <c r="G1004" s="37" t="n"/>
      <c r="H1004" s="5">
        <f>INDEX(Variables!$B$5:$B$65,MATCH($A1004,Variables!$A$5:$A$65,0))&amp;IF($C1004="",""," | "&amp;INDEX(Mapping!$B$5:$B$25,MATCH($C1004,Mapping!$A$5:$A$25,0))&amp;" | "&amp;INDEX(Mapping!$B$29:$B$38,MATCH($B1004,Mapping!$A$29:$A$38,0)))</f>
        <v/>
      </c>
      <c r="I1004" s="5">
        <f>INDEX(Variables!$C$5:$C$65,MATCH($A1004,Variables!$A$5:$A$65,0))</f>
        <v/>
      </c>
      <c r="J1004" s="5">
        <f>INDEX(Variables!$E$5:$E$65,MATCH($A1004,Variables!$A$5:$A$65,0))</f>
        <v/>
      </c>
      <c r="K1004" s="23">
        <f>LOWER(Settings!$C$4)&amp;".mit."&amp;$A1004&amp;IF($C1004="","","."&amp;$C1004&amp;"."&amp;$B1004)&amp;IF(INDEX(Variables!$D$5:$D$65,MATCH($A1004,Variables!$A$5:$A$65,0))="","","."&amp;INDEX(Variables!$D$5:$D$65,MATCH($A1004,Variables!$A$5:$A$65,0)))&amp;"."&amp;K$5</f>
        <v/>
      </c>
      <c r="L1004" s="38">
        <f>$D1004+L995</f>
        <v/>
      </c>
      <c r="M1004" s="36">
        <f>$D1004+M995</f>
        <v/>
      </c>
      <c r="N1004" s="36">
        <f>$D1004+N995</f>
        <v/>
      </c>
      <c r="O1004" s="36">
        <f>$D1004+O995</f>
        <v/>
      </c>
      <c r="P1004" s="36">
        <f>$D1004+P995</f>
        <v/>
      </c>
      <c r="Q1004" s="36">
        <f>$D1004+Q995</f>
        <v/>
      </c>
      <c r="R1004" s="36">
        <f>$D1004+R995</f>
        <v/>
      </c>
      <c r="S1004" s="36">
        <f>$D1004+S995</f>
        <v/>
      </c>
      <c r="T1004" s="36">
        <f>$D1004+T995</f>
        <v/>
      </c>
      <c r="U1004" s="36">
        <f>$D1004+U995</f>
        <v/>
      </c>
      <c r="V1004" s="36">
        <f>$D1004+V995</f>
        <v/>
      </c>
      <c r="W1004" s="36">
        <f>$D1004+W995</f>
        <v/>
      </c>
      <c r="X1004" s="36">
        <f>$D1004+X995</f>
        <v/>
      </c>
      <c r="Y1004" s="39">
        <f>TAX($D1004,Y995)</f>
        <v/>
      </c>
      <c r="Z1004" s="23">
        <f>LOWER(Settings!$C$4)&amp;".mit."&amp;$A1004&amp;IF($C1004="","","."&amp;$C1004&amp;"."&amp;$B1004)&amp;IF(INDEX(Variables!$D$5:$D$65,MATCH($A1004,Variables!$A$5:$A$65,0))="","","."&amp;INDEX(Variables!$D$5:$D$65,MATCH($A1004,Variables!$A$5:$A$65,0)))&amp;"."&amp;Z$5</f>
        <v/>
      </c>
      <c r="AA1004" s="38">
        <f>$D1004+AA995</f>
        <v/>
      </c>
      <c r="AB1004" s="36">
        <f>$D1004+AB995</f>
        <v/>
      </c>
      <c r="AC1004" s="36">
        <f>$D1004+AC995</f>
        <v/>
      </c>
      <c r="AD1004" s="36">
        <f>$D1004+AD995</f>
        <v/>
      </c>
      <c r="AE1004" s="36">
        <f>$D1004+AE995</f>
        <v/>
      </c>
      <c r="AF1004" s="36">
        <f>$D1004+AF995</f>
        <v/>
      </c>
      <c r="AG1004" s="36">
        <f>$D1004+AG995</f>
        <v/>
      </c>
      <c r="AH1004" s="36">
        <f>$D1004+AH995</f>
        <v/>
      </c>
      <c r="AI1004" s="36">
        <f>$D1004+AI995</f>
        <v/>
      </c>
      <c r="AJ1004" s="36">
        <f>$D1004+AJ995</f>
        <v/>
      </c>
      <c r="AK1004" s="36">
        <f>$D1004+AK995</f>
        <v/>
      </c>
      <c r="AL1004" s="36">
        <f>$D1004+AL995</f>
        <v/>
      </c>
      <c r="AM1004" s="36">
        <f>$D1004+AM995</f>
        <v/>
      </c>
      <c r="AN1004" s="39">
        <f>TAX($D1004,AN995)</f>
        <v/>
      </c>
    </row>
    <row r="1005" hidden="1" outlineLevel="2"/>
    <row r="1006" hidden="1" outlineLevel="2">
      <c r="A1006" s="5" t="inlineStr">
        <is>
          <t>atp</t>
        </is>
      </c>
      <c r="B1006" s="5" t="inlineStr">
        <is>
          <t>coa</t>
        </is>
      </c>
      <c r="C1006" s="5" t="inlineStr">
        <is>
          <t>cem</t>
        </is>
      </c>
      <c r="D1006" s="37" t="n"/>
      <c r="E1006" s="37" t="n"/>
      <c r="F1006" s="37" t="n"/>
      <c r="G1006" s="37" t="n"/>
      <c r="H1006" s="5">
        <f>INDEX(Variables!$B$5:$B$65,MATCH($A1006,Variables!$A$5:$A$65,0))&amp;IF($C1006="",""," | "&amp;INDEX(Mapping!$B$5:$B$25,MATCH($C1006,Mapping!$A$5:$A$25,0))&amp;" | "&amp;INDEX(Mapping!$B$29:$B$38,MATCH($B1006,Mapping!$A$29:$A$38,0)))</f>
        <v/>
      </c>
      <c r="I1006" s="5">
        <f>INDEX(Variables!$C$5:$C$65,MATCH($A1006,Variables!$A$5:$A$65,0))</f>
        <v/>
      </c>
      <c r="J1006" s="5">
        <f>INDEX(Variables!$E$5:$E$65,MATCH($A1006,Variables!$A$5:$A$65,0))</f>
        <v/>
      </c>
      <c r="K1006" s="23">
        <f>LOWER(Settings!$C$4)&amp;".mit."&amp;$A1006&amp;IF($C1006="","","."&amp;$C1006&amp;"."&amp;$B1006)&amp;IF(INDEX(Variables!$D$5:$D$65,MATCH($A1006,Variables!$A$5:$A$65,0))="","","."&amp;INDEX(Variables!$D$5:$D$65,MATCH($A1006,Variables!$A$5:$A$65,0)))&amp;"."&amp;K$5</f>
        <v/>
      </c>
      <c r="L1006" s="38">
        <f>L961+L997</f>
        <v/>
      </c>
      <c r="M1006" s="36">
        <f>M961+M997</f>
        <v/>
      </c>
      <c r="N1006" s="36">
        <f>N961+N997</f>
        <v/>
      </c>
      <c r="O1006" s="36">
        <f>O961+O997</f>
        <v/>
      </c>
      <c r="P1006" s="36">
        <f>P961+P997</f>
        <v/>
      </c>
      <c r="Q1006" s="36">
        <f>Q961+Q997</f>
        <v/>
      </c>
      <c r="R1006" s="36">
        <f>R961+R997</f>
        <v/>
      </c>
      <c r="S1006" s="36">
        <f>S961+S997</f>
        <v/>
      </c>
      <c r="T1006" s="36">
        <f>T961+T997</f>
        <v/>
      </c>
      <c r="U1006" s="36">
        <f>U961+U997</f>
        <v/>
      </c>
      <c r="V1006" s="36">
        <f>V961+V997</f>
        <v/>
      </c>
      <c r="W1006" s="36">
        <f>W961+W997</f>
        <v/>
      </c>
      <c r="X1006" s="36">
        <f>X961+X997</f>
        <v/>
      </c>
      <c r="Y1006" s="39">
        <f>POSTTAX(Y961,Y997)</f>
        <v/>
      </c>
      <c r="Z1006" s="23">
        <f>LOWER(Settings!$C$4)&amp;".mit."&amp;$A1006&amp;IF($C1006="","","."&amp;$C1006&amp;"."&amp;$B1006)&amp;IF(INDEX(Variables!$D$5:$D$65,MATCH($A1006,Variables!$A$5:$A$65,0))="","","."&amp;INDEX(Variables!$D$5:$D$65,MATCH($A1006,Variables!$A$5:$A$65,0)))&amp;"."&amp;Z$5</f>
        <v/>
      </c>
      <c r="AA1006" s="38">
        <f>AA961+AA997</f>
        <v/>
      </c>
      <c r="AB1006" s="36">
        <f>AB961+AB997</f>
        <v/>
      </c>
      <c r="AC1006" s="36">
        <f>AC961+AC997</f>
        <v/>
      </c>
      <c r="AD1006" s="36">
        <f>AD961+AD997</f>
        <v/>
      </c>
      <c r="AE1006" s="36">
        <f>AE961+AE997</f>
        <v/>
      </c>
      <c r="AF1006" s="36">
        <f>AF961+AF997</f>
        <v/>
      </c>
      <c r="AG1006" s="36">
        <f>AG961+AG997</f>
        <v/>
      </c>
      <c r="AH1006" s="36">
        <f>AH961+AH997</f>
        <v/>
      </c>
      <c r="AI1006" s="36">
        <f>AI961+AI997</f>
        <v/>
      </c>
      <c r="AJ1006" s="36">
        <f>AJ961+AJ997</f>
        <v/>
      </c>
      <c r="AK1006" s="36">
        <f>AK961+AK997</f>
        <v/>
      </c>
      <c r="AL1006" s="36">
        <f>AL961+AL997</f>
        <v/>
      </c>
      <c r="AM1006" s="36">
        <f>AM961+AM997</f>
        <v/>
      </c>
      <c r="AN1006" s="39">
        <f>POSTTAX(AN961,AN997)</f>
        <v/>
      </c>
    </row>
    <row r="1007" hidden="1" outlineLevel="2">
      <c r="A1007" s="5" t="inlineStr">
        <is>
          <t>atp</t>
        </is>
      </c>
      <c r="B1007" s="5" t="inlineStr">
        <is>
          <t>nga</t>
        </is>
      </c>
      <c r="C1007" s="5" t="inlineStr">
        <is>
          <t>cem</t>
        </is>
      </c>
      <c r="D1007" s="37" t="n"/>
      <c r="E1007" s="37" t="n"/>
      <c r="F1007" s="37" t="n"/>
      <c r="G1007" s="37" t="n"/>
      <c r="H1007" s="5">
        <f>INDEX(Variables!$B$5:$B$65,MATCH($A1007,Variables!$A$5:$A$65,0))&amp;IF($C1007="",""," | "&amp;INDEX(Mapping!$B$5:$B$25,MATCH($C1007,Mapping!$A$5:$A$25,0))&amp;" | "&amp;INDEX(Mapping!$B$29:$B$38,MATCH($B1007,Mapping!$A$29:$A$38,0)))</f>
        <v/>
      </c>
      <c r="I1007" s="5">
        <f>INDEX(Variables!$C$5:$C$65,MATCH($A1007,Variables!$A$5:$A$65,0))</f>
        <v/>
      </c>
      <c r="J1007" s="5">
        <f>INDEX(Variables!$E$5:$E$65,MATCH($A1007,Variables!$A$5:$A$65,0))</f>
        <v/>
      </c>
      <c r="K1007" s="23">
        <f>LOWER(Settings!$C$4)&amp;".mit."&amp;$A1007&amp;IF($C1007="","","."&amp;$C1007&amp;"."&amp;$B1007)&amp;IF(INDEX(Variables!$D$5:$D$65,MATCH($A1007,Variables!$A$5:$A$65,0))="","","."&amp;INDEX(Variables!$D$5:$D$65,MATCH($A1007,Variables!$A$5:$A$65,0)))&amp;"."&amp;K$5</f>
        <v/>
      </c>
      <c r="L1007" s="38">
        <f>L962+L998</f>
        <v/>
      </c>
      <c r="M1007" s="36">
        <f>M962+M998</f>
        <v/>
      </c>
      <c r="N1007" s="36">
        <f>N962+N998</f>
        <v/>
      </c>
      <c r="O1007" s="36">
        <f>O962+O998</f>
        <v/>
      </c>
      <c r="P1007" s="36">
        <f>P962+P998</f>
        <v/>
      </c>
      <c r="Q1007" s="36">
        <f>Q962+Q998</f>
        <v/>
      </c>
      <c r="R1007" s="36">
        <f>R962+R998</f>
        <v/>
      </c>
      <c r="S1007" s="36">
        <f>S962+S998</f>
        <v/>
      </c>
      <c r="T1007" s="36">
        <f>T962+T998</f>
        <v/>
      </c>
      <c r="U1007" s="36">
        <f>U962+U998</f>
        <v/>
      </c>
      <c r="V1007" s="36">
        <f>V962+V998</f>
        <v/>
      </c>
      <c r="W1007" s="36">
        <f>W962+W998</f>
        <v/>
      </c>
      <c r="X1007" s="36">
        <f>X962+X998</f>
        <v/>
      </c>
      <c r="Y1007" s="39">
        <f>POSTTAX(Y962,Y998)</f>
        <v/>
      </c>
      <c r="Z1007" s="23">
        <f>LOWER(Settings!$C$4)&amp;".mit."&amp;$A1007&amp;IF($C1007="","","."&amp;$C1007&amp;"."&amp;$B1007)&amp;IF(INDEX(Variables!$D$5:$D$65,MATCH($A1007,Variables!$A$5:$A$65,0))="","","."&amp;INDEX(Variables!$D$5:$D$65,MATCH($A1007,Variables!$A$5:$A$65,0)))&amp;"."&amp;Z$5</f>
        <v/>
      </c>
      <c r="AA1007" s="38">
        <f>AA962+AA998</f>
        <v/>
      </c>
      <c r="AB1007" s="36">
        <f>AB962+AB998</f>
        <v/>
      </c>
      <c r="AC1007" s="36">
        <f>AC962+AC998</f>
        <v/>
      </c>
      <c r="AD1007" s="36">
        <f>AD962+AD998</f>
        <v/>
      </c>
      <c r="AE1007" s="36">
        <f>AE962+AE998</f>
        <v/>
      </c>
      <c r="AF1007" s="36">
        <f>AF962+AF998</f>
        <v/>
      </c>
      <c r="AG1007" s="36">
        <f>AG962+AG998</f>
        <v/>
      </c>
      <c r="AH1007" s="36">
        <f>AH962+AH998</f>
        <v/>
      </c>
      <c r="AI1007" s="36">
        <f>AI962+AI998</f>
        <v/>
      </c>
      <c r="AJ1007" s="36">
        <f>AJ962+AJ998</f>
        <v/>
      </c>
      <c r="AK1007" s="36">
        <f>AK962+AK998</f>
        <v/>
      </c>
      <c r="AL1007" s="36">
        <f>AL962+AL998</f>
        <v/>
      </c>
      <c r="AM1007" s="36">
        <f>AM962+AM998</f>
        <v/>
      </c>
      <c r="AN1007" s="39">
        <f>POSTTAX(AN962,AN998)</f>
        <v/>
      </c>
    </row>
    <row r="1008" hidden="1" outlineLevel="2">
      <c r="A1008" s="5" t="inlineStr">
        <is>
          <t>atp</t>
        </is>
      </c>
      <c r="B1008" s="5" t="inlineStr">
        <is>
          <t>gso</t>
        </is>
      </c>
      <c r="C1008" s="5" t="inlineStr">
        <is>
          <t>cem</t>
        </is>
      </c>
      <c r="D1008" s="37" t="n"/>
      <c r="E1008" s="37" t="n"/>
      <c r="F1008" s="37" t="n"/>
      <c r="G1008" s="37" t="n"/>
      <c r="H1008" s="5">
        <f>INDEX(Variables!$B$5:$B$65,MATCH($A1008,Variables!$A$5:$A$65,0))&amp;IF($C1008="",""," | "&amp;INDEX(Mapping!$B$5:$B$25,MATCH($C1008,Mapping!$A$5:$A$25,0))&amp;" | "&amp;INDEX(Mapping!$B$29:$B$38,MATCH($B1008,Mapping!$A$29:$A$38,0)))</f>
        <v/>
      </c>
      <c r="I1008" s="5">
        <f>INDEX(Variables!$C$5:$C$65,MATCH($A1008,Variables!$A$5:$A$65,0))</f>
        <v/>
      </c>
      <c r="J1008" s="5">
        <f>INDEX(Variables!$E$5:$E$65,MATCH($A1008,Variables!$A$5:$A$65,0))</f>
        <v/>
      </c>
      <c r="K1008" s="23">
        <f>LOWER(Settings!$C$4)&amp;".mit."&amp;$A1008&amp;IF($C1008="","","."&amp;$C1008&amp;"."&amp;$B1008)&amp;IF(INDEX(Variables!$D$5:$D$65,MATCH($A1008,Variables!$A$5:$A$65,0))="","","."&amp;INDEX(Variables!$D$5:$D$65,MATCH($A1008,Variables!$A$5:$A$65,0)))&amp;"."&amp;K$5</f>
        <v/>
      </c>
      <c r="L1008" s="38">
        <f>L963+L999</f>
        <v/>
      </c>
      <c r="M1008" s="36">
        <f>M963+M999</f>
        <v/>
      </c>
      <c r="N1008" s="36">
        <f>N963+N999</f>
        <v/>
      </c>
      <c r="O1008" s="36">
        <f>O963+O999</f>
        <v/>
      </c>
      <c r="P1008" s="36">
        <f>P963+P999</f>
        <v/>
      </c>
      <c r="Q1008" s="36">
        <f>Q963+Q999</f>
        <v/>
      </c>
      <c r="R1008" s="36">
        <f>R963+R999</f>
        <v/>
      </c>
      <c r="S1008" s="36">
        <f>S963+S999</f>
        <v/>
      </c>
      <c r="T1008" s="36">
        <f>T963+T999</f>
        <v/>
      </c>
      <c r="U1008" s="36">
        <f>U963+U999</f>
        <v/>
      </c>
      <c r="V1008" s="36">
        <f>V963+V999</f>
        <v/>
      </c>
      <c r="W1008" s="36">
        <f>W963+W999</f>
        <v/>
      </c>
      <c r="X1008" s="36">
        <f>X963+X999</f>
        <v/>
      </c>
      <c r="Y1008" s="39">
        <f>POSTTAX(Y963,Y999)</f>
        <v/>
      </c>
      <c r="Z1008" s="23">
        <f>LOWER(Settings!$C$4)&amp;".mit."&amp;$A1008&amp;IF($C1008="","","."&amp;$C1008&amp;"."&amp;$B1008)&amp;IF(INDEX(Variables!$D$5:$D$65,MATCH($A1008,Variables!$A$5:$A$65,0))="","","."&amp;INDEX(Variables!$D$5:$D$65,MATCH($A1008,Variables!$A$5:$A$65,0)))&amp;"."&amp;Z$5</f>
        <v/>
      </c>
      <c r="AA1008" s="38">
        <f>AA963+AA999</f>
        <v/>
      </c>
      <c r="AB1008" s="36">
        <f>AB963+AB999</f>
        <v/>
      </c>
      <c r="AC1008" s="36">
        <f>AC963+AC999</f>
        <v/>
      </c>
      <c r="AD1008" s="36">
        <f>AD963+AD999</f>
        <v/>
      </c>
      <c r="AE1008" s="36">
        <f>AE963+AE999</f>
        <v/>
      </c>
      <c r="AF1008" s="36">
        <f>AF963+AF999</f>
        <v/>
      </c>
      <c r="AG1008" s="36">
        <f>AG963+AG999</f>
        <v/>
      </c>
      <c r="AH1008" s="36">
        <f>AH963+AH999</f>
        <v/>
      </c>
      <c r="AI1008" s="36">
        <f>AI963+AI999</f>
        <v/>
      </c>
      <c r="AJ1008" s="36">
        <f>AJ963+AJ999</f>
        <v/>
      </c>
      <c r="AK1008" s="36">
        <f>AK963+AK999</f>
        <v/>
      </c>
      <c r="AL1008" s="36">
        <f>AL963+AL999</f>
        <v/>
      </c>
      <c r="AM1008" s="36">
        <f>AM963+AM999</f>
        <v/>
      </c>
      <c r="AN1008" s="39">
        <f>POSTTAX(AN963,AN999)</f>
        <v/>
      </c>
    </row>
    <row r="1009" hidden="1" outlineLevel="2">
      <c r="A1009" s="5" t="inlineStr">
        <is>
          <t>atp</t>
        </is>
      </c>
      <c r="B1009" s="5" t="inlineStr">
        <is>
          <t>die</t>
        </is>
      </c>
      <c r="C1009" s="5" t="inlineStr">
        <is>
          <t>cem</t>
        </is>
      </c>
      <c r="D1009" s="37" t="n"/>
      <c r="E1009" s="37" t="n"/>
      <c r="F1009" s="37" t="n"/>
      <c r="G1009" s="37" t="n"/>
      <c r="H1009" s="5">
        <f>INDEX(Variables!$B$5:$B$65,MATCH($A1009,Variables!$A$5:$A$65,0))&amp;IF($C1009="",""," | "&amp;INDEX(Mapping!$B$5:$B$25,MATCH($C1009,Mapping!$A$5:$A$25,0))&amp;" | "&amp;INDEX(Mapping!$B$29:$B$38,MATCH($B1009,Mapping!$A$29:$A$38,0)))</f>
        <v/>
      </c>
      <c r="I1009" s="5">
        <f>INDEX(Variables!$C$5:$C$65,MATCH($A1009,Variables!$A$5:$A$65,0))</f>
        <v/>
      </c>
      <c r="J1009" s="5">
        <f>INDEX(Variables!$E$5:$E$65,MATCH($A1009,Variables!$A$5:$A$65,0))</f>
        <v/>
      </c>
      <c r="K1009" s="23">
        <f>LOWER(Settings!$C$4)&amp;".mit."&amp;$A1009&amp;IF($C1009="","","."&amp;$C1009&amp;"."&amp;$B1009)&amp;IF(INDEX(Variables!$D$5:$D$65,MATCH($A1009,Variables!$A$5:$A$65,0))="","","."&amp;INDEX(Variables!$D$5:$D$65,MATCH($A1009,Variables!$A$5:$A$65,0)))&amp;"."&amp;K$5</f>
        <v/>
      </c>
      <c r="L1009" s="38">
        <f>L964+L1000</f>
        <v/>
      </c>
      <c r="M1009" s="36">
        <f>M964+M1000</f>
        <v/>
      </c>
      <c r="N1009" s="36">
        <f>N964+N1000</f>
        <v/>
      </c>
      <c r="O1009" s="36">
        <f>O964+O1000</f>
        <v/>
      </c>
      <c r="P1009" s="36">
        <f>P964+P1000</f>
        <v/>
      </c>
      <c r="Q1009" s="36">
        <f>Q964+Q1000</f>
        <v/>
      </c>
      <c r="R1009" s="36">
        <f>R964+R1000</f>
        <v/>
      </c>
      <c r="S1009" s="36">
        <f>S964+S1000</f>
        <v/>
      </c>
      <c r="T1009" s="36">
        <f>T964+T1000</f>
        <v/>
      </c>
      <c r="U1009" s="36">
        <f>U964+U1000</f>
        <v/>
      </c>
      <c r="V1009" s="36">
        <f>V964+V1000</f>
        <v/>
      </c>
      <c r="W1009" s="36">
        <f>W964+W1000</f>
        <v/>
      </c>
      <c r="X1009" s="36">
        <f>X964+X1000</f>
        <v/>
      </c>
      <c r="Y1009" s="39">
        <f>POSTTAX(Y964,Y1000)</f>
        <v/>
      </c>
      <c r="Z1009" s="23">
        <f>LOWER(Settings!$C$4)&amp;".mit."&amp;$A1009&amp;IF($C1009="","","."&amp;$C1009&amp;"."&amp;$B1009)&amp;IF(INDEX(Variables!$D$5:$D$65,MATCH($A1009,Variables!$A$5:$A$65,0))="","","."&amp;INDEX(Variables!$D$5:$D$65,MATCH($A1009,Variables!$A$5:$A$65,0)))&amp;"."&amp;Z$5</f>
        <v/>
      </c>
      <c r="AA1009" s="38">
        <f>AA964+AA1000</f>
        <v/>
      </c>
      <c r="AB1009" s="36">
        <f>AB964+AB1000</f>
        <v/>
      </c>
      <c r="AC1009" s="36">
        <f>AC964+AC1000</f>
        <v/>
      </c>
      <c r="AD1009" s="36">
        <f>AD964+AD1000</f>
        <v/>
      </c>
      <c r="AE1009" s="36">
        <f>AE964+AE1000</f>
        <v/>
      </c>
      <c r="AF1009" s="36">
        <f>AF964+AF1000</f>
        <v/>
      </c>
      <c r="AG1009" s="36">
        <f>AG964+AG1000</f>
        <v/>
      </c>
      <c r="AH1009" s="36">
        <f>AH964+AH1000</f>
        <v/>
      </c>
      <c r="AI1009" s="36">
        <f>AI964+AI1000</f>
        <v/>
      </c>
      <c r="AJ1009" s="36">
        <f>AJ964+AJ1000</f>
        <v/>
      </c>
      <c r="AK1009" s="36">
        <f>AK964+AK1000</f>
        <v/>
      </c>
      <c r="AL1009" s="36">
        <f>AL964+AL1000</f>
        <v/>
      </c>
      <c r="AM1009" s="36">
        <f>AM964+AM1000</f>
        <v/>
      </c>
      <c r="AN1009" s="39">
        <f>POSTTAX(AN964,AN1000)</f>
        <v/>
      </c>
    </row>
    <row r="1010" hidden="1" outlineLevel="2">
      <c r="A1010" s="5" t="inlineStr">
        <is>
          <t>atp</t>
        </is>
      </c>
      <c r="B1010" s="5" t="inlineStr">
        <is>
          <t>lpg</t>
        </is>
      </c>
      <c r="C1010" s="5" t="inlineStr">
        <is>
          <t>cem</t>
        </is>
      </c>
      <c r="D1010" s="37" t="n"/>
      <c r="E1010" s="37" t="n"/>
      <c r="F1010" s="37" t="n"/>
      <c r="G1010" s="37" t="n"/>
      <c r="H1010" s="5">
        <f>INDEX(Variables!$B$5:$B$65,MATCH($A1010,Variables!$A$5:$A$65,0))&amp;IF($C1010="",""," | "&amp;INDEX(Mapping!$B$5:$B$25,MATCH($C1010,Mapping!$A$5:$A$25,0))&amp;" | "&amp;INDEX(Mapping!$B$29:$B$38,MATCH($B1010,Mapping!$A$29:$A$38,0)))</f>
        <v/>
      </c>
      <c r="I1010" s="5">
        <f>INDEX(Variables!$C$5:$C$65,MATCH($A1010,Variables!$A$5:$A$65,0))</f>
        <v/>
      </c>
      <c r="J1010" s="5">
        <f>INDEX(Variables!$E$5:$E$65,MATCH($A1010,Variables!$A$5:$A$65,0))</f>
        <v/>
      </c>
      <c r="K1010" s="23">
        <f>LOWER(Settings!$C$4)&amp;".mit."&amp;$A1010&amp;IF($C1010="","","."&amp;$C1010&amp;"."&amp;$B1010)&amp;IF(INDEX(Variables!$D$5:$D$65,MATCH($A1010,Variables!$A$5:$A$65,0))="","","."&amp;INDEX(Variables!$D$5:$D$65,MATCH($A1010,Variables!$A$5:$A$65,0)))&amp;"."&amp;K$5</f>
        <v/>
      </c>
      <c r="L1010" s="38">
        <f>L965+L1001</f>
        <v/>
      </c>
      <c r="M1010" s="36">
        <f>M965+M1001</f>
        <v/>
      </c>
      <c r="N1010" s="36">
        <f>N965+N1001</f>
        <v/>
      </c>
      <c r="O1010" s="36">
        <f>O965+O1001</f>
        <v/>
      </c>
      <c r="P1010" s="36">
        <f>P965+P1001</f>
        <v/>
      </c>
      <c r="Q1010" s="36">
        <f>Q965+Q1001</f>
        <v/>
      </c>
      <c r="R1010" s="36">
        <f>R965+R1001</f>
        <v/>
      </c>
      <c r="S1010" s="36">
        <f>S965+S1001</f>
        <v/>
      </c>
      <c r="T1010" s="36">
        <f>T965+T1001</f>
        <v/>
      </c>
      <c r="U1010" s="36">
        <f>U965+U1001</f>
        <v/>
      </c>
      <c r="V1010" s="36">
        <f>V965+V1001</f>
        <v/>
      </c>
      <c r="W1010" s="36">
        <f>W965+W1001</f>
        <v/>
      </c>
      <c r="X1010" s="36">
        <f>X965+X1001</f>
        <v/>
      </c>
      <c r="Y1010" s="39">
        <f>POSTTAX(Y965,Y1001)</f>
        <v/>
      </c>
      <c r="Z1010" s="23">
        <f>LOWER(Settings!$C$4)&amp;".mit."&amp;$A1010&amp;IF($C1010="","","."&amp;$C1010&amp;"."&amp;$B1010)&amp;IF(INDEX(Variables!$D$5:$D$65,MATCH($A1010,Variables!$A$5:$A$65,0))="","","."&amp;INDEX(Variables!$D$5:$D$65,MATCH($A1010,Variables!$A$5:$A$65,0)))&amp;"."&amp;Z$5</f>
        <v/>
      </c>
      <c r="AA1010" s="38">
        <f>AA965+AA1001</f>
        <v/>
      </c>
      <c r="AB1010" s="36">
        <f>AB965+AB1001</f>
        <v/>
      </c>
      <c r="AC1010" s="36">
        <f>AC965+AC1001</f>
        <v/>
      </c>
      <c r="AD1010" s="36">
        <f>AD965+AD1001</f>
        <v/>
      </c>
      <c r="AE1010" s="36">
        <f>AE965+AE1001</f>
        <v/>
      </c>
      <c r="AF1010" s="36">
        <f>AF965+AF1001</f>
        <v/>
      </c>
      <c r="AG1010" s="36">
        <f>AG965+AG1001</f>
        <v/>
      </c>
      <c r="AH1010" s="36">
        <f>AH965+AH1001</f>
        <v/>
      </c>
      <c r="AI1010" s="36">
        <f>AI965+AI1001</f>
        <v/>
      </c>
      <c r="AJ1010" s="36">
        <f>AJ965+AJ1001</f>
        <v/>
      </c>
      <c r="AK1010" s="36">
        <f>AK965+AK1001</f>
        <v/>
      </c>
      <c r="AL1010" s="36">
        <f>AL965+AL1001</f>
        <v/>
      </c>
      <c r="AM1010" s="36">
        <f>AM965+AM1001</f>
        <v/>
      </c>
      <c r="AN1010" s="39">
        <f>POSTTAX(AN965,AN1001)</f>
        <v/>
      </c>
    </row>
    <row r="1011" hidden="1" outlineLevel="2">
      <c r="A1011" s="5" t="inlineStr">
        <is>
          <t>atp</t>
        </is>
      </c>
      <c r="B1011" s="5" t="inlineStr">
        <is>
          <t>ker</t>
        </is>
      </c>
      <c r="C1011" s="5" t="inlineStr">
        <is>
          <t>cem</t>
        </is>
      </c>
      <c r="D1011" s="37" t="n"/>
      <c r="E1011" s="37" t="n"/>
      <c r="F1011" s="37" t="n"/>
      <c r="G1011" s="37" t="n"/>
      <c r="H1011" s="5">
        <f>INDEX(Variables!$B$5:$B$65,MATCH($A1011,Variables!$A$5:$A$65,0))&amp;IF($C1011="",""," | "&amp;INDEX(Mapping!$B$5:$B$25,MATCH($C1011,Mapping!$A$5:$A$25,0))&amp;" | "&amp;INDEX(Mapping!$B$29:$B$38,MATCH($B1011,Mapping!$A$29:$A$38,0)))</f>
        <v/>
      </c>
      <c r="I1011" s="5">
        <f>INDEX(Variables!$C$5:$C$65,MATCH($A1011,Variables!$A$5:$A$65,0))</f>
        <v/>
      </c>
      <c r="J1011" s="5">
        <f>INDEX(Variables!$E$5:$E$65,MATCH($A1011,Variables!$A$5:$A$65,0))</f>
        <v/>
      </c>
      <c r="K1011" s="23">
        <f>LOWER(Settings!$C$4)&amp;".mit."&amp;$A1011&amp;IF($C1011="","","."&amp;$C1011&amp;"."&amp;$B1011)&amp;IF(INDEX(Variables!$D$5:$D$65,MATCH($A1011,Variables!$A$5:$A$65,0))="","","."&amp;INDEX(Variables!$D$5:$D$65,MATCH($A1011,Variables!$A$5:$A$65,0)))&amp;"."&amp;K$5</f>
        <v/>
      </c>
      <c r="L1011" s="38">
        <f>L966+L1002</f>
        <v/>
      </c>
      <c r="M1011" s="36">
        <f>M966+M1002</f>
        <v/>
      </c>
      <c r="N1011" s="36">
        <f>N966+N1002</f>
        <v/>
      </c>
      <c r="O1011" s="36">
        <f>O966+O1002</f>
        <v/>
      </c>
      <c r="P1011" s="36">
        <f>P966+P1002</f>
        <v/>
      </c>
      <c r="Q1011" s="36">
        <f>Q966+Q1002</f>
        <v/>
      </c>
      <c r="R1011" s="36">
        <f>R966+R1002</f>
        <v/>
      </c>
      <c r="S1011" s="36">
        <f>S966+S1002</f>
        <v/>
      </c>
      <c r="T1011" s="36">
        <f>T966+T1002</f>
        <v/>
      </c>
      <c r="U1011" s="36">
        <f>U966+U1002</f>
        <v/>
      </c>
      <c r="V1011" s="36">
        <f>V966+V1002</f>
        <v/>
      </c>
      <c r="W1011" s="36">
        <f>W966+W1002</f>
        <v/>
      </c>
      <c r="X1011" s="36">
        <f>X966+X1002</f>
        <v/>
      </c>
      <c r="Y1011" s="39">
        <f>POSTTAX(Y966,Y1002)</f>
        <v/>
      </c>
      <c r="Z1011" s="23">
        <f>LOWER(Settings!$C$4)&amp;".mit."&amp;$A1011&amp;IF($C1011="","","."&amp;$C1011&amp;"."&amp;$B1011)&amp;IF(INDEX(Variables!$D$5:$D$65,MATCH($A1011,Variables!$A$5:$A$65,0))="","","."&amp;INDEX(Variables!$D$5:$D$65,MATCH($A1011,Variables!$A$5:$A$65,0)))&amp;"."&amp;Z$5</f>
        <v/>
      </c>
      <c r="AA1011" s="38">
        <f>AA966+AA1002</f>
        <v/>
      </c>
      <c r="AB1011" s="36">
        <f>AB966+AB1002</f>
        <v/>
      </c>
      <c r="AC1011" s="36">
        <f>AC966+AC1002</f>
        <v/>
      </c>
      <c r="AD1011" s="36">
        <f>AD966+AD1002</f>
        <v/>
      </c>
      <c r="AE1011" s="36">
        <f>AE966+AE1002</f>
        <v/>
      </c>
      <c r="AF1011" s="36">
        <f>AF966+AF1002</f>
        <v/>
      </c>
      <c r="AG1011" s="36">
        <f>AG966+AG1002</f>
        <v/>
      </c>
      <c r="AH1011" s="36">
        <f>AH966+AH1002</f>
        <v/>
      </c>
      <c r="AI1011" s="36">
        <f>AI966+AI1002</f>
        <v/>
      </c>
      <c r="AJ1011" s="36">
        <f>AJ966+AJ1002</f>
        <v/>
      </c>
      <c r="AK1011" s="36">
        <f>AK966+AK1002</f>
        <v/>
      </c>
      <c r="AL1011" s="36">
        <f>AL966+AL1002</f>
        <v/>
      </c>
      <c r="AM1011" s="36">
        <f>AM966+AM1002</f>
        <v/>
      </c>
      <c r="AN1011" s="39">
        <f>POSTTAX(AN966,AN1002)</f>
        <v/>
      </c>
    </row>
    <row r="1012" hidden="1" outlineLevel="2">
      <c r="A1012" s="5" t="inlineStr">
        <is>
          <t>atp</t>
        </is>
      </c>
      <c r="B1012" s="5" t="inlineStr">
        <is>
          <t>oop</t>
        </is>
      </c>
      <c r="C1012" s="5" t="inlineStr">
        <is>
          <t>cem</t>
        </is>
      </c>
      <c r="D1012" s="37" t="n"/>
      <c r="E1012" s="37" t="n"/>
      <c r="F1012" s="37" t="n"/>
      <c r="G1012" s="37" t="n"/>
      <c r="H1012" s="5">
        <f>INDEX(Variables!$B$5:$B$65,MATCH($A1012,Variables!$A$5:$A$65,0))&amp;IF($C1012="",""," | "&amp;INDEX(Mapping!$B$5:$B$25,MATCH($C1012,Mapping!$A$5:$A$25,0))&amp;" | "&amp;INDEX(Mapping!$B$29:$B$38,MATCH($B1012,Mapping!$A$29:$A$38,0)))</f>
        <v/>
      </c>
      <c r="I1012" s="5">
        <f>INDEX(Variables!$C$5:$C$65,MATCH($A1012,Variables!$A$5:$A$65,0))</f>
        <v/>
      </c>
      <c r="J1012" s="5">
        <f>INDEX(Variables!$E$5:$E$65,MATCH($A1012,Variables!$A$5:$A$65,0))</f>
        <v/>
      </c>
      <c r="K1012" s="23">
        <f>LOWER(Settings!$C$4)&amp;".mit."&amp;$A1012&amp;IF($C1012="","","."&amp;$C1012&amp;"."&amp;$B1012)&amp;IF(INDEX(Variables!$D$5:$D$65,MATCH($A1012,Variables!$A$5:$A$65,0))="","","."&amp;INDEX(Variables!$D$5:$D$65,MATCH($A1012,Variables!$A$5:$A$65,0)))&amp;"."&amp;K$5</f>
        <v/>
      </c>
      <c r="L1012" s="38">
        <f>L967+L1003</f>
        <v/>
      </c>
      <c r="M1012" s="36">
        <f>M967+M1003</f>
        <v/>
      </c>
      <c r="N1012" s="36">
        <f>N967+N1003</f>
        <v/>
      </c>
      <c r="O1012" s="36">
        <f>O967+O1003</f>
        <v/>
      </c>
      <c r="P1012" s="36">
        <f>P967+P1003</f>
        <v/>
      </c>
      <c r="Q1012" s="36">
        <f>Q967+Q1003</f>
        <v/>
      </c>
      <c r="R1012" s="36">
        <f>R967+R1003</f>
        <v/>
      </c>
      <c r="S1012" s="36">
        <f>S967+S1003</f>
        <v/>
      </c>
      <c r="T1012" s="36">
        <f>T967+T1003</f>
        <v/>
      </c>
      <c r="U1012" s="36">
        <f>U967+U1003</f>
        <v/>
      </c>
      <c r="V1012" s="36">
        <f>V967+V1003</f>
        <v/>
      </c>
      <c r="W1012" s="36">
        <f>W967+W1003</f>
        <v/>
      </c>
      <c r="X1012" s="36">
        <f>X967+X1003</f>
        <v/>
      </c>
      <c r="Y1012" s="39">
        <f>POSTTAX(Y967,Y1003)</f>
        <v/>
      </c>
      <c r="Z1012" s="23">
        <f>LOWER(Settings!$C$4)&amp;".mit."&amp;$A1012&amp;IF($C1012="","","."&amp;$C1012&amp;"."&amp;$B1012)&amp;IF(INDEX(Variables!$D$5:$D$65,MATCH($A1012,Variables!$A$5:$A$65,0))="","","."&amp;INDEX(Variables!$D$5:$D$65,MATCH($A1012,Variables!$A$5:$A$65,0)))&amp;"."&amp;Z$5</f>
        <v/>
      </c>
      <c r="AA1012" s="38">
        <f>AA967+AA1003</f>
        <v/>
      </c>
      <c r="AB1012" s="36">
        <f>AB967+AB1003</f>
        <v/>
      </c>
      <c r="AC1012" s="36">
        <f>AC967+AC1003</f>
        <v/>
      </c>
      <c r="AD1012" s="36">
        <f>AD967+AD1003</f>
        <v/>
      </c>
      <c r="AE1012" s="36">
        <f>AE967+AE1003</f>
        <v/>
      </c>
      <c r="AF1012" s="36">
        <f>AF967+AF1003</f>
        <v/>
      </c>
      <c r="AG1012" s="36">
        <f>AG967+AG1003</f>
        <v/>
      </c>
      <c r="AH1012" s="36">
        <f>AH967+AH1003</f>
        <v/>
      </c>
      <c r="AI1012" s="36">
        <f>AI967+AI1003</f>
        <v/>
      </c>
      <c r="AJ1012" s="36">
        <f>AJ967+AJ1003</f>
        <v/>
      </c>
      <c r="AK1012" s="36">
        <f>AK967+AK1003</f>
        <v/>
      </c>
      <c r="AL1012" s="36">
        <f>AL967+AL1003</f>
        <v/>
      </c>
      <c r="AM1012" s="36">
        <f>AM967+AM1003</f>
        <v/>
      </c>
      <c r="AN1012" s="39">
        <f>POSTTAX(AN967,AN1003)</f>
        <v/>
      </c>
    </row>
    <row r="1013" hidden="1" outlineLevel="2">
      <c r="A1013" s="5" t="inlineStr">
        <is>
          <t>atp</t>
        </is>
      </c>
      <c r="B1013" s="5" t="inlineStr">
        <is>
          <t>bio</t>
        </is>
      </c>
      <c r="C1013" s="5" t="inlineStr">
        <is>
          <t>cem</t>
        </is>
      </c>
      <c r="D1013" s="37" t="n"/>
      <c r="E1013" s="37" t="n"/>
      <c r="F1013" s="37" t="n"/>
      <c r="G1013" s="37" t="n"/>
      <c r="H1013" s="5">
        <f>INDEX(Variables!$B$5:$B$65,MATCH($A1013,Variables!$A$5:$A$65,0))&amp;IF($C1013="",""," | "&amp;INDEX(Mapping!$B$5:$B$25,MATCH($C1013,Mapping!$A$5:$A$25,0))&amp;" | "&amp;INDEX(Mapping!$B$29:$B$38,MATCH($B1013,Mapping!$A$29:$A$38,0)))</f>
        <v/>
      </c>
      <c r="I1013" s="5">
        <f>INDEX(Variables!$C$5:$C$65,MATCH($A1013,Variables!$A$5:$A$65,0))</f>
        <v/>
      </c>
      <c r="J1013" s="5">
        <f>INDEX(Variables!$E$5:$E$65,MATCH($A1013,Variables!$A$5:$A$65,0))</f>
        <v/>
      </c>
      <c r="K1013" s="23">
        <f>LOWER(Settings!$C$4)&amp;".mit."&amp;$A1013&amp;IF($C1013="","","."&amp;$C1013&amp;"."&amp;$B1013)&amp;IF(INDEX(Variables!$D$5:$D$65,MATCH($A1013,Variables!$A$5:$A$65,0))="","","."&amp;INDEX(Variables!$D$5:$D$65,MATCH($A1013,Variables!$A$5:$A$65,0)))&amp;"."&amp;K$5</f>
        <v/>
      </c>
      <c r="L1013" s="38">
        <f>L968+L1004</f>
        <v/>
      </c>
      <c r="M1013" s="36">
        <f>M968+M1004</f>
        <v/>
      </c>
      <c r="N1013" s="36">
        <f>N968+N1004</f>
        <v/>
      </c>
      <c r="O1013" s="36">
        <f>O968+O1004</f>
        <v/>
      </c>
      <c r="P1013" s="36">
        <f>P968+P1004</f>
        <v/>
      </c>
      <c r="Q1013" s="36">
        <f>Q968+Q1004</f>
        <v/>
      </c>
      <c r="R1013" s="36">
        <f>R968+R1004</f>
        <v/>
      </c>
      <c r="S1013" s="36">
        <f>S968+S1004</f>
        <v/>
      </c>
      <c r="T1013" s="36">
        <f>T968+T1004</f>
        <v/>
      </c>
      <c r="U1013" s="36">
        <f>U968+U1004</f>
        <v/>
      </c>
      <c r="V1013" s="36">
        <f>V968+V1004</f>
        <v/>
      </c>
      <c r="W1013" s="36">
        <f>W968+W1004</f>
        <v/>
      </c>
      <c r="X1013" s="36">
        <f>X968+X1004</f>
        <v/>
      </c>
      <c r="Y1013" s="39">
        <f>POSTTAX(Y968,Y1004)</f>
        <v/>
      </c>
      <c r="Z1013" s="23">
        <f>LOWER(Settings!$C$4)&amp;".mit."&amp;$A1013&amp;IF($C1013="","","."&amp;$C1013&amp;"."&amp;$B1013)&amp;IF(INDEX(Variables!$D$5:$D$65,MATCH($A1013,Variables!$A$5:$A$65,0))="","","."&amp;INDEX(Variables!$D$5:$D$65,MATCH($A1013,Variables!$A$5:$A$65,0)))&amp;"."&amp;Z$5</f>
        <v/>
      </c>
      <c r="AA1013" s="38">
        <f>AA968+AA1004</f>
        <v/>
      </c>
      <c r="AB1013" s="36">
        <f>AB968+AB1004</f>
        <v/>
      </c>
      <c r="AC1013" s="36">
        <f>AC968+AC1004</f>
        <v/>
      </c>
      <c r="AD1013" s="36">
        <f>AD968+AD1004</f>
        <v/>
      </c>
      <c r="AE1013" s="36">
        <f>AE968+AE1004</f>
        <v/>
      </c>
      <c r="AF1013" s="36">
        <f>AF968+AF1004</f>
        <v/>
      </c>
      <c r="AG1013" s="36">
        <f>AG968+AG1004</f>
        <v/>
      </c>
      <c r="AH1013" s="36">
        <f>AH968+AH1004</f>
        <v/>
      </c>
      <c r="AI1013" s="36">
        <f>AI968+AI1004</f>
        <v/>
      </c>
      <c r="AJ1013" s="36">
        <f>AJ968+AJ1004</f>
        <v/>
      </c>
      <c r="AK1013" s="36">
        <f>AK968+AK1004</f>
        <v/>
      </c>
      <c r="AL1013" s="36">
        <f>AL968+AL1004</f>
        <v/>
      </c>
      <c r="AM1013" s="36">
        <f>AM968+AM1004</f>
        <v/>
      </c>
      <c r="AN1013" s="39">
        <f>POSTTAX(AN968,AN1004)</f>
        <v/>
      </c>
    </row>
    <row r="1014" hidden="1" outlineLevel="2"/>
    <row r="1015" hidden="1" outlineLevel="2">
      <c r="A1015" s="5" t="inlineStr">
        <is>
          <t>shp</t>
        </is>
      </c>
      <c r="B1015" s="5" t="inlineStr">
        <is>
          <t>coa</t>
        </is>
      </c>
      <c r="C1015" s="5" t="inlineStr">
        <is>
          <t>cem</t>
        </is>
      </c>
      <c r="D1015" s="36">
        <f>INDEX(Inputs!$M$5:$M$132,MATCH($B1015&amp;"|"&amp;$C1015,Inputs!$A$5:$A$132,0))</f>
        <v/>
      </c>
      <c r="E1015" s="36">
        <f>INDEX(Inputs!$U$5:$U$132,MATCH($B1015&amp;"|"&amp;$C1015,Inputs!$A$5:$A$132,0))</f>
        <v/>
      </c>
      <c r="F1015" s="36">
        <f>INDEX(Inputs!$K$5:$K$132,MATCH($B1015&amp;"|"&amp;$C1015,Inputs!$A$5:$A$132,0))</f>
        <v/>
      </c>
      <c r="G1015" s="37" t="n"/>
      <c r="H1015" s="5">
        <f>INDEX(Variables!$B$5:$B$65,MATCH($A1015,Variables!$A$5:$A$65,0))&amp;IF($C1015="",""," | "&amp;INDEX(Mapping!$B$5:$B$25,MATCH($C1015,Mapping!$A$5:$A$25,0))&amp;" | "&amp;INDEX(Mapping!$B$29:$B$38,MATCH($B1015,Mapping!$A$29:$A$38,0)))</f>
        <v/>
      </c>
      <c r="I1015" s="5">
        <f>INDEX(Variables!$C$5:$C$65,MATCH($A1015,Variables!$A$5:$A$65,0))</f>
        <v/>
      </c>
      <c r="J1015" s="5">
        <f>INDEX(Variables!$E$5:$E$65,MATCH($A1015,Variables!$A$5:$A$65,0))</f>
        <v/>
      </c>
      <c r="K1015" s="23">
        <f>LOWER(Settings!$C$4)&amp;".mit."&amp;$A1015&amp;IF($C1015="","","."&amp;$C1015&amp;"."&amp;$B1015)&amp;IF(INDEX(Variables!$D$5:$D$65,MATCH($A1015,Variables!$A$5:$A$65,0))="","","."&amp;INDEX(Variables!$D$5:$D$65,MATCH($A1015,Variables!$A$5:$A$65,0)))&amp;"."&amp;K$5</f>
        <v/>
      </c>
      <c r="L1015" s="38">
        <f>INDEX(L$124:L$127,$D1015)*$E1015*INDEX(L$128:L$144,$F1015)</f>
        <v/>
      </c>
      <c r="M1015" s="36">
        <f>INDEX(M$124:M$127,$D1015)*$E1015*INDEX(M$128:M$144,$F1015)</f>
        <v/>
      </c>
      <c r="N1015" s="36">
        <f>INDEX(N$124:N$127,$D1015)*$E1015*INDEX(N$128:N$144,$F1015)</f>
        <v/>
      </c>
      <c r="O1015" s="36">
        <f>INDEX(O$124:O$127,$D1015)*$E1015*INDEX(O$128:O$144,$F1015)</f>
        <v/>
      </c>
      <c r="P1015" s="36">
        <f>INDEX(P$124:P$127,$D1015)*$E1015*INDEX(P$128:P$144,$F1015)</f>
        <v/>
      </c>
      <c r="Q1015" s="36">
        <f>INDEX(Q$124:Q$127,$D1015)*$E1015*INDEX(Q$128:Q$144,$F1015)</f>
        <v/>
      </c>
      <c r="R1015" s="36">
        <f>INDEX(R$124:R$127,$D1015)*$E1015*INDEX(R$128:R$144,$F1015)</f>
        <v/>
      </c>
      <c r="S1015" s="36">
        <f>INDEX(S$124:S$127,$D1015)*$E1015*INDEX(S$128:S$144,$F1015)</f>
        <v/>
      </c>
      <c r="T1015" s="36">
        <f>INDEX(T$124:T$127,$D1015)*$E1015*INDEX(T$128:T$144,$F1015)</f>
        <v/>
      </c>
      <c r="U1015" s="36">
        <f>INDEX(U$124:U$127,$D1015)*$E1015*INDEX(U$128:U$144,$F1015)</f>
        <v/>
      </c>
      <c r="V1015" s="36">
        <f>INDEX(V$124:V$127,$D1015)*$E1015*INDEX(V$128:V$144,$F1015)</f>
        <v/>
      </c>
      <c r="W1015" s="36">
        <f>INDEX(W$124:W$127,$D1015)*$E1015*INDEX(W$128:W$144,$F1015)</f>
        <v/>
      </c>
      <c r="X1015" s="36">
        <f>INDEX(X$124:X$127,$D1015)*$E1015*INDEX(X$128:X$144,$F1015)</f>
        <v/>
      </c>
      <c r="Y1015" s="36">
        <f>INDEX(Y$124:Y$127,$D1015)*$E1015*INDEX(Y$128:Y$144,$F1015)</f>
        <v/>
      </c>
      <c r="Z1015" s="23">
        <f>LOWER(Settings!$C$4)&amp;".mit."&amp;$A1015&amp;IF($C1015="","","."&amp;$C1015&amp;"."&amp;$B1015)&amp;IF(INDEX(Variables!$D$5:$D$65,MATCH($A1015,Variables!$A$5:$A$65,0))="","","."&amp;INDEX(Variables!$D$5:$D$65,MATCH($A1015,Variables!$A$5:$A$65,0)))&amp;"."&amp;Z$5</f>
        <v/>
      </c>
      <c r="AA1015" s="38">
        <f>INDEX(AA$124:AA$127,$D1015)*$E1015*INDEX(AA$128:AA$144,$F1015)</f>
        <v/>
      </c>
      <c r="AB1015" s="36">
        <f>INDEX(AB$124:AB$127,$D1015)*$E1015*INDEX(AB$128:AB$144,$F1015)</f>
        <v/>
      </c>
      <c r="AC1015" s="36">
        <f>INDEX(AC$124:AC$127,$D1015)*$E1015*INDEX(AC$128:AC$144,$F1015)</f>
        <v/>
      </c>
      <c r="AD1015" s="36">
        <f>INDEX(AD$124:AD$127,$D1015)*$E1015*INDEX(AD$128:AD$144,$F1015)</f>
        <v/>
      </c>
      <c r="AE1015" s="36">
        <f>INDEX(AE$124:AE$127,$D1015)*$E1015*INDEX(AE$128:AE$144,$F1015)</f>
        <v/>
      </c>
      <c r="AF1015" s="36">
        <f>INDEX(AF$124:AF$127,$D1015)*$E1015*INDEX(AF$128:AF$144,$F1015)</f>
        <v/>
      </c>
      <c r="AG1015" s="36">
        <f>INDEX(AG$124:AG$127,$D1015)*$E1015*INDEX(AG$128:AG$144,$F1015)</f>
        <v/>
      </c>
      <c r="AH1015" s="36">
        <f>INDEX(AH$124:AH$127,$D1015)*$E1015*INDEX(AH$128:AH$144,$F1015)</f>
        <v/>
      </c>
      <c r="AI1015" s="36">
        <f>INDEX(AI$124:AI$127,$D1015)*$E1015*INDEX(AI$128:AI$144,$F1015)</f>
        <v/>
      </c>
      <c r="AJ1015" s="36">
        <f>INDEX(AJ$124:AJ$127,$D1015)*$E1015*INDEX(AJ$128:AJ$144,$F1015)</f>
        <v/>
      </c>
      <c r="AK1015" s="36">
        <f>INDEX(AK$124:AK$127,$D1015)*$E1015*INDEX(AK$128:AK$144,$F1015)</f>
        <v/>
      </c>
      <c r="AL1015" s="36">
        <f>INDEX(AL$124:AL$127,$D1015)*$E1015*INDEX(AL$128:AL$144,$F1015)</f>
        <v/>
      </c>
      <c r="AM1015" s="36">
        <f>INDEX(AM$124:AM$127,$D1015)*$E1015*INDEX(AM$128:AM$144,$F1015)</f>
        <v/>
      </c>
      <c r="AN1015" s="36">
        <f>INDEX(AN$124:AN$127,$D1015)*$E1015*INDEX(AN$128:AN$144,$F1015)</f>
        <v/>
      </c>
    </row>
    <row r="1016" hidden="1" outlineLevel="2">
      <c r="A1016" s="5" t="inlineStr">
        <is>
          <t>shp</t>
        </is>
      </c>
      <c r="B1016" s="5" t="inlineStr">
        <is>
          <t>nga</t>
        </is>
      </c>
      <c r="C1016" s="5" t="inlineStr">
        <is>
          <t>cem</t>
        </is>
      </c>
      <c r="D1016" s="36">
        <f>INDEX(Inputs!$M$5:$M$132,MATCH($B1016&amp;"|"&amp;$C1016,Inputs!$A$5:$A$132,0))</f>
        <v/>
      </c>
      <c r="E1016" s="36">
        <f>INDEX(Inputs!$U$5:$U$132,MATCH($B1016&amp;"|"&amp;$C1016,Inputs!$A$5:$A$132,0))</f>
        <v/>
      </c>
      <c r="F1016" s="36">
        <f>INDEX(Inputs!$K$5:$K$132,MATCH($B1016&amp;"|"&amp;$C1016,Inputs!$A$5:$A$132,0))</f>
        <v/>
      </c>
      <c r="G1016" s="37" t="n"/>
      <c r="H1016" s="5">
        <f>INDEX(Variables!$B$5:$B$65,MATCH($A1016,Variables!$A$5:$A$65,0))&amp;IF($C1016="",""," | "&amp;INDEX(Mapping!$B$5:$B$25,MATCH($C1016,Mapping!$A$5:$A$25,0))&amp;" | "&amp;INDEX(Mapping!$B$29:$B$38,MATCH($B1016,Mapping!$A$29:$A$38,0)))</f>
        <v/>
      </c>
      <c r="I1016" s="5">
        <f>INDEX(Variables!$C$5:$C$65,MATCH($A1016,Variables!$A$5:$A$65,0))</f>
        <v/>
      </c>
      <c r="J1016" s="5">
        <f>INDEX(Variables!$E$5:$E$65,MATCH($A1016,Variables!$A$5:$A$65,0))</f>
        <v/>
      </c>
      <c r="K1016" s="23">
        <f>LOWER(Settings!$C$4)&amp;".mit."&amp;$A1016&amp;IF($C1016="","","."&amp;$C1016&amp;"."&amp;$B1016)&amp;IF(INDEX(Variables!$D$5:$D$65,MATCH($A1016,Variables!$A$5:$A$65,0))="","","."&amp;INDEX(Variables!$D$5:$D$65,MATCH($A1016,Variables!$A$5:$A$65,0)))&amp;"."&amp;K$5</f>
        <v/>
      </c>
      <c r="L1016" s="38">
        <f>INDEX(L$124:L$127,$D1016)*$E1016*INDEX(L$128:L$144,$F1016)</f>
        <v/>
      </c>
      <c r="M1016" s="36">
        <f>INDEX(M$124:M$127,$D1016)*$E1016*INDEX(M$128:M$144,$F1016)</f>
        <v/>
      </c>
      <c r="N1016" s="36">
        <f>INDEX(N$124:N$127,$D1016)*$E1016*INDEX(N$128:N$144,$F1016)</f>
        <v/>
      </c>
      <c r="O1016" s="36">
        <f>INDEX(O$124:O$127,$D1016)*$E1016*INDEX(O$128:O$144,$F1016)</f>
        <v/>
      </c>
      <c r="P1016" s="36">
        <f>INDEX(P$124:P$127,$D1016)*$E1016*INDEX(P$128:P$144,$F1016)</f>
        <v/>
      </c>
      <c r="Q1016" s="36">
        <f>INDEX(Q$124:Q$127,$D1016)*$E1016*INDEX(Q$128:Q$144,$F1016)</f>
        <v/>
      </c>
      <c r="R1016" s="36">
        <f>INDEX(R$124:R$127,$D1016)*$E1016*INDEX(R$128:R$144,$F1016)</f>
        <v/>
      </c>
      <c r="S1016" s="36">
        <f>INDEX(S$124:S$127,$D1016)*$E1016*INDEX(S$128:S$144,$F1016)</f>
        <v/>
      </c>
      <c r="T1016" s="36">
        <f>INDEX(T$124:T$127,$D1016)*$E1016*INDEX(T$128:T$144,$F1016)</f>
        <v/>
      </c>
      <c r="U1016" s="36">
        <f>INDEX(U$124:U$127,$D1016)*$E1016*INDEX(U$128:U$144,$F1016)</f>
        <v/>
      </c>
      <c r="V1016" s="36">
        <f>INDEX(V$124:V$127,$D1016)*$E1016*INDEX(V$128:V$144,$F1016)</f>
        <v/>
      </c>
      <c r="W1016" s="36">
        <f>INDEX(W$124:W$127,$D1016)*$E1016*INDEX(W$128:W$144,$F1016)</f>
        <v/>
      </c>
      <c r="X1016" s="36">
        <f>INDEX(X$124:X$127,$D1016)*$E1016*INDEX(X$128:X$144,$F1016)</f>
        <v/>
      </c>
      <c r="Y1016" s="36">
        <f>INDEX(Y$124:Y$127,$D1016)*$E1016*INDEX(Y$128:Y$144,$F1016)</f>
        <v/>
      </c>
      <c r="Z1016" s="23">
        <f>LOWER(Settings!$C$4)&amp;".mit."&amp;$A1016&amp;IF($C1016="","","."&amp;$C1016&amp;"."&amp;$B1016)&amp;IF(INDEX(Variables!$D$5:$D$65,MATCH($A1016,Variables!$A$5:$A$65,0))="","","."&amp;INDEX(Variables!$D$5:$D$65,MATCH($A1016,Variables!$A$5:$A$65,0)))&amp;"."&amp;Z$5</f>
        <v/>
      </c>
      <c r="AA1016" s="38">
        <f>INDEX(AA$124:AA$127,$D1016)*$E1016*INDEX(AA$128:AA$144,$F1016)</f>
        <v/>
      </c>
      <c r="AB1016" s="36">
        <f>INDEX(AB$124:AB$127,$D1016)*$E1016*INDEX(AB$128:AB$144,$F1016)</f>
        <v/>
      </c>
      <c r="AC1016" s="36">
        <f>INDEX(AC$124:AC$127,$D1016)*$E1016*INDEX(AC$128:AC$144,$F1016)</f>
        <v/>
      </c>
      <c r="AD1016" s="36">
        <f>INDEX(AD$124:AD$127,$D1016)*$E1016*INDEX(AD$128:AD$144,$F1016)</f>
        <v/>
      </c>
      <c r="AE1016" s="36">
        <f>INDEX(AE$124:AE$127,$D1016)*$E1016*INDEX(AE$128:AE$144,$F1016)</f>
        <v/>
      </c>
      <c r="AF1016" s="36">
        <f>INDEX(AF$124:AF$127,$D1016)*$E1016*INDEX(AF$128:AF$144,$F1016)</f>
        <v/>
      </c>
      <c r="AG1016" s="36">
        <f>INDEX(AG$124:AG$127,$D1016)*$E1016*INDEX(AG$128:AG$144,$F1016)</f>
        <v/>
      </c>
      <c r="AH1016" s="36">
        <f>INDEX(AH$124:AH$127,$D1016)*$E1016*INDEX(AH$128:AH$144,$F1016)</f>
        <v/>
      </c>
      <c r="AI1016" s="36">
        <f>INDEX(AI$124:AI$127,$D1016)*$E1016*INDEX(AI$128:AI$144,$F1016)</f>
        <v/>
      </c>
      <c r="AJ1016" s="36">
        <f>INDEX(AJ$124:AJ$127,$D1016)*$E1016*INDEX(AJ$128:AJ$144,$F1016)</f>
        <v/>
      </c>
      <c r="AK1016" s="36">
        <f>INDEX(AK$124:AK$127,$D1016)*$E1016*INDEX(AK$128:AK$144,$F1016)</f>
        <v/>
      </c>
      <c r="AL1016" s="36">
        <f>INDEX(AL$124:AL$127,$D1016)*$E1016*INDEX(AL$128:AL$144,$F1016)</f>
        <v/>
      </c>
      <c r="AM1016" s="36">
        <f>INDEX(AM$124:AM$127,$D1016)*$E1016*INDEX(AM$128:AM$144,$F1016)</f>
        <v/>
      </c>
      <c r="AN1016" s="36">
        <f>INDEX(AN$124:AN$127,$D1016)*$E1016*INDEX(AN$128:AN$144,$F1016)</f>
        <v/>
      </c>
    </row>
    <row r="1017" hidden="1" outlineLevel="2">
      <c r="A1017" s="5" t="inlineStr">
        <is>
          <t>shp</t>
        </is>
      </c>
      <c r="B1017" s="5" t="inlineStr">
        <is>
          <t>gso</t>
        </is>
      </c>
      <c r="C1017" s="5" t="inlineStr">
        <is>
          <t>cem</t>
        </is>
      </c>
      <c r="D1017" s="36">
        <f>INDEX(Inputs!$M$5:$M$132,MATCH($B1017&amp;"|"&amp;$C1017,Inputs!$A$5:$A$132,0))</f>
        <v/>
      </c>
      <c r="E1017" s="36">
        <f>INDEX(Inputs!$U$5:$U$132,MATCH($B1017&amp;"|"&amp;$C1017,Inputs!$A$5:$A$132,0))</f>
        <v/>
      </c>
      <c r="F1017" s="36">
        <f>INDEX(Inputs!$K$5:$K$132,MATCH($B1017&amp;"|"&amp;$C1017,Inputs!$A$5:$A$132,0))</f>
        <v/>
      </c>
      <c r="G1017" s="37" t="n"/>
      <c r="H1017" s="5">
        <f>INDEX(Variables!$B$5:$B$65,MATCH($A1017,Variables!$A$5:$A$65,0))&amp;IF($C1017="",""," | "&amp;INDEX(Mapping!$B$5:$B$25,MATCH($C1017,Mapping!$A$5:$A$25,0))&amp;" | "&amp;INDEX(Mapping!$B$29:$B$38,MATCH($B1017,Mapping!$A$29:$A$38,0)))</f>
        <v/>
      </c>
      <c r="I1017" s="5">
        <f>INDEX(Variables!$C$5:$C$65,MATCH($A1017,Variables!$A$5:$A$65,0))</f>
        <v/>
      </c>
      <c r="J1017" s="5">
        <f>INDEX(Variables!$E$5:$E$65,MATCH($A1017,Variables!$A$5:$A$65,0))</f>
        <v/>
      </c>
      <c r="K1017" s="23">
        <f>LOWER(Settings!$C$4)&amp;".mit."&amp;$A1017&amp;IF($C1017="","","."&amp;$C1017&amp;"."&amp;$B1017)&amp;IF(INDEX(Variables!$D$5:$D$65,MATCH($A1017,Variables!$A$5:$A$65,0))="","","."&amp;INDEX(Variables!$D$5:$D$65,MATCH($A1017,Variables!$A$5:$A$65,0)))&amp;"."&amp;K$5</f>
        <v/>
      </c>
      <c r="L1017" s="38">
        <f>INDEX(L$124:L$127,$D1017)*$E1017*INDEX(L$128:L$144,$F1017)</f>
        <v/>
      </c>
      <c r="M1017" s="36">
        <f>INDEX(M$124:M$127,$D1017)*$E1017*INDEX(M$128:M$144,$F1017)</f>
        <v/>
      </c>
      <c r="N1017" s="36">
        <f>INDEX(N$124:N$127,$D1017)*$E1017*INDEX(N$128:N$144,$F1017)</f>
        <v/>
      </c>
      <c r="O1017" s="36">
        <f>INDEX(O$124:O$127,$D1017)*$E1017*INDEX(O$128:O$144,$F1017)</f>
        <v/>
      </c>
      <c r="P1017" s="36">
        <f>INDEX(P$124:P$127,$D1017)*$E1017*INDEX(P$128:P$144,$F1017)</f>
        <v/>
      </c>
      <c r="Q1017" s="36">
        <f>INDEX(Q$124:Q$127,$D1017)*$E1017*INDEX(Q$128:Q$144,$F1017)</f>
        <v/>
      </c>
      <c r="R1017" s="36">
        <f>INDEX(R$124:R$127,$D1017)*$E1017*INDEX(R$128:R$144,$F1017)</f>
        <v/>
      </c>
      <c r="S1017" s="36">
        <f>INDEX(S$124:S$127,$D1017)*$E1017*INDEX(S$128:S$144,$F1017)</f>
        <v/>
      </c>
      <c r="T1017" s="36">
        <f>INDEX(T$124:T$127,$D1017)*$E1017*INDEX(T$128:T$144,$F1017)</f>
        <v/>
      </c>
      <c r="U1017" s="36">
        <f>INDEX(U$124:U$127,$D1017)*$E1017*INDEX(U$128:U$144,$F1017)</f>
        <v/>
      </c>
      <c r="V1017" s="36">
        <f>INDEX(V$124:V$127,$D1017)*$E1017*INDEX(V$128:V$144,$F1017)</f>
        <v/>
      </c>
      <c r="W1017" s="36">
        <f>INDEX(W$124:W$127,$D1017)*$E1017*INDEX(W$128:W$144,$F1017)</f>
        <v/>
      </c>
      <c r="X1017" s="36">
        <f>INDEX(X$124:X$127,$D1017)*$E1017*INDEX(X$128:X$144,$F1017)</f>
        <v/>
      </c>
      <c r="Y1017" s="36">
        <f>INDEX(Y$124:Y$127,$D1017)*$E1017*INDEX(Y$128:Y$144,$F1017)</f>
        <v/>
      </c>
      <c r="Z1017" s="23">
        <f>LOWER(Settings!$C$4)&amp;".mit."&amp;$A1017&amp;IF($C1017="","","."&amp;$C1017&amp;"."&amp;$B1017)&amp;IF(INDEX(Variables!$D$5:$D$65,MATCH($A1017,Variables!$A$5:$A$65,0))="","","."&amp;INDEX(Variables!$D$5:$D$65,MATCH($A1017,Variables!$A$5:$A$65,0)))&amp;"."&amp;Z$5</f>
        <v/>
      </c>
      <c r="AA1017" s="38">
        <f>INDEX(AA$124:AA$127,$D1017)*$E1017*INDEX(AA$128:AA$144,$F1017)</f>
        <v/>
      </c>
      <c r="AB1017" s="36">
        <f>INDEX(AB$124:AB$127,$D1017)*$E1017*INDEX(AB$128:AB$144,$F1017)</f>
        <v/>
      </c>
      <c r="AC1017" s="36">
        <f>INDEX(AC$124:AC$127,$D1017)*$E1017*INDEX(AC$128:AC$144,$F1017)</f>
        <v/>
      </c>
      <c r="AD1017" s="36">
        <f>INDEX(AD$124:AD$127,$D1017)*$E1017*INDEX(AD$128:AD$144,$F1017)</f>
        <v/>
      </c>
      <c r="AE1017" s="36">
        <f>INDEX(AE$124:AE$127,$D1017)*$E1017*INDEX(AE$128:AE$144,$F1017)</f>
        <v/>
      </c>
      <c r="AF1017" s="36">
        <f>INDEX(AF$124:AF$127,$D1017)*$E1017*INDEX(AF$128:AF$144,$F1017)</f>
        <v/>
      </c>
      <c r="AG1017" s="36">
        <f>INDEX(AG$124:AG$127,$D1017)*$E1017*INDEX(AG$128:AG$144,$F1017)</f>
        <v/>
      </c>
      <c r="AH1017" s="36">
        <f>INDEX(AH$124:AH$127,$D1017)*$E1017*INDEX(AH$128:AH$144,$F1017)</f>
        <v/>
      </c>
      <c r="AI1017" s="36">
        <f>INDEX(AI$124:AI$127,$D1017)*$E1017*INDEX(AI$128:AI$144,$F1017)</f>
        <v/>
      </c>
      <c r="AJ1017" s="36">
        <f>INDEX(AJ$124:AJ$127,$D1017)*$E1017*INDEX(AJ$128:AJ$144,$F1017)</f>
        <v/>
      </c>
      <c r="AK1017" s="36">
        <f>INDEX(AK$124:AK$127,$D1017)*$E1017*INDEX(AK$128:AK$144,$F1017)</f>
        <v/>
      </c>
      <c r="AL1017" s="36">
        <f>INDEX(AL$124:AL$127,$D1017)*$E1017*INDEX(AL$128:AL$144,$F1017)</f>
        <v/>
      </c>
      <c r="AM1017" s="36">
        <f>INDEX(AM$124:AM$127,$D1017)*$E1017*INDEX(AM$128:AM$144,$F1017)</f>
        <v/>
      </c>
      <c r="AN1017" s="36">
        <f>INDEX(AN$124:AN$127,$D1017)*$E1017*INDEX(AN$128:AN$144,$F1017)</f>
        <v/>
      </c>
    </row>
    <row r="1018" hidden="1" outlineLevel="2">
      <c r="A1018" s="5" t="inlineStr">
        <is>
          <t>shp</t>
        </is>
      </c>
      <c r="B1018" s="5" t="inlineStr">
        <is>
          <t>die</t>
        </is>
      </c>
      <c r="C1018" s="5" t="inlineStr">
        <is>
          <t>cem</t>
        </is>
      </c>
      <c r="D1018" s="36">
        <f>INDEX(Inputs!$M$5:$M$132,MATCH($B1018&amp;"|"&amp;$C1018,Inputs!$A$5:$A$132,0))</f>
        <v/>
      </c>
      <c r="E1018" s="36">
        <f>INDEX(Inputs!$U$5:$U$132,MATCH($B1018&amp;"|"&amp;$C1018,Inputs!$A$5:$A$132,0))</f>
        <v/>
      </c>
      <c r="F1018" s="36">
        <f>INDEX(Inputs!$K$5:$K$132,MATCH($B1018&amp;"|"&amp;$C1018,Inputs!$A$5:$A$132,0))</f>
        <v/>
      </c>
      <c r="G1018" s="37" t="n"/>
      <c r="H1018" s="5">
        <f>INDEX(Variables!$B$5:$B$65,MATCH($A1018,Variables!$A$5:$A$65,0))&amp;IF($C1018="",""," | "&amp;INDEX(Mapping!$B$5:$B$25,MATCH($C1018,Mapping!$A$5:$A$25,0))&amp;" | "&amp;INDEX(Mapping!$B$29:$B$38,MATCH($B1018,Mapping!$A$29:$A$38,0)))</f>
        <v/>
      </c>
      <c r="I1018" s="5">
        <f>INDEX(Variables!$C$5:$C$65,MATCH($A1018,Variables!$A$5:$A$65,0))</f>
        <v/>
      </c>
      <c r="J1018" s="5">
        <f>INDEX(Variables!$E$5:$E$65,MATCH($A1018,Variables!$A$5:$A$65,0))</f>
        <v/>
      </c>
      <c r="K1018" s="23">
        <f>LOWER(Settings!$C$4)&amp;".mit."&amp;$A1018&amp;IF($C1018="","","."&amp;$C1018&amp;"."&amp;$B1018)&amp;IF(INDEX(Variables!$D$5:$D$65,MATCH($A1018,Variables!$A$5:$A$65,0))="","","."&amp;INDEX(Variables!$D$5:$D$65,MATCH($A1018,Variables!$A$5:$A$65,0)))&amp;"."&amp;K$5</f>
        <v/>
      </c>
      <c r="L1018" s="38">
        <f>INDEX(L$124:L$127,$D1018)*$E1018*INDEX(L$128:L$144,$F1018)</f>
        <v/>
      </c>
      <c r="M1018" s="36">
        <f>INDEX(M$124:M$127,$D1018)*$E1018*INDEX(M$128:M$144,$F1018)</f>
        <v/>
      </c>
      <c r="N1018" s="36">
        <f>INDEX(N$124:N$127,$D1018)*$E1018*INDEX(N$128:N$144,$F1018)</f>
        <v/>
      </c>
      <c r="O1018" s="36">
        <f>INDEX(O$124:O$127,$D1018)*$E1018*INDEX(O$128:O$144,$F1018)</f>
        <v/>
      </c>
      <c r="P1018" s="36">
        <f>INDEX(P$124:P$127,$D1018)*$E1018*INDEX(P$128:P$144,$F1018)</f>
        <v/>
      </c>
      <c r="Q1018" s="36">
        <f>INDEX(Q$124:Q$127,$D1018)*$E1018*INDEX(Q$128:Q$144,$F1018)</f>
        <v/>
      </c>
      <c r="R1018" s="36">
        <f>INDEX(R$124:R$127,$D1018)*$E1018*INDEX(R$128:R$144,$F1018)</f>
        <v/>
      </c>
      <c r="S1018" s="36">
        <f>INDEX(S$124:S$127,$D1018)*$E1018*INDEX(S$128:S$144,$F1018)</f>
        <v/>
      </c>
      <c r="T1018" s="36">
        <f>INDEX(T$124:T$127,$D1018)*$E1018*INDEX(T$128:T$144,$F1018)</f>
        <v/>
      </c>
      <c r="U1018" s="36">
        <f>INDEX(U$124:U$127,$D1018)*$E1018*INDEX(U$128:U$144,$F1018)</f>
        <v/>
      </c>
      <c r="V1018" s="36">
        <f>INDEX(V$124:V$127,$D1018)*$E1018*INDEX(V$128:V$144,$F1018)</f>
        <v/>
      </c>
      <c r="W1018" s="36">
        <f>INDEX(W$124:W$127,$D1018)*$E1018*INDEX(W$128:W$144,$F1018)</f>
        <v/>
      </c>
      <c r="X1018" s="36">
        <f>INDEX(X$124:X$127,$D1018)*$E1018*INDEX(X$128:X$144,$F1018)</f>
        <v/>
      </c>
      <c r="Y1018" s="36">
        <f>INDEX(Y$124:Y$127,$D1018)*$E1018*INDEX(Y$128:Y$144,$F1018)</f>
        <v/>
      </c>
      <c r="Z1018" s="23">
        <f>LOWER(Settings!$C$4)&amp;".mit."&amp;$A1018&amp;IF($C1018="","","."&amp;$C1018&amp;"."&amp;$B1018)&amp;IF(INDEX(Variables!$D$5:$D$65,MATCH($A1018,Variables!$A$5:$A$65,0))="","","."&amp;INDEX(Variables!$D$5:$D$65,MATCH($A1018,Variables!$A$5:$A$65,0)))&amp;"."&amp;Z$5</f>
        <v/>
      </c>
      <c r="AA1018" s="38">
        <f>INDEX(AA$124:AA$127,$D1018)*$E1018*INDEX(AA$128:AA$144,$F1018)</f>
        <v/>
      </c>
      <c r="AB1018" s="36">
        <f>INDEX(AB$124:AB$127,$D1018)*$E1018*INDEX(AB$128:AB$144,$F1018)</f>
        <v/>
      </c>
      <c r="AC1018" s="36">
        <f>INDEX(AC$124:AC$127,$D1018)*$E1018*INDEX(AC$128:AC$144,$F1018)</f>
        <v/>
      </c>
      <c r="AD1018" s="36">
        <f>INDEX(AD$124:AD$127,$D1018)*$E1018*INDEX(AD$128:AD$144,$F1018)</f>
        <v/>
      </c>
      <c r="AE1018" s="36">
        <f>INDEX(AE$124:AE$127,$D1018)*$E1018*INDEX(AE$128:AE$144,$F1018)</f>
        <v/>
      </c>
      <c r="AF1018" s="36">
        <f>INDEX(AF$124:AF$127,$D1018)*$E1018*INDEX(AF$128:AF$144,$F1018)</f>
        <v/>
      </c>
      <c r="AG1018" s="36">
        <f>INDEX(AG$124:AG$127,$D1018)*$E1018*INDEX(AG$128:AG$144,$F1018)</f>
        <v/>
      </c>
      <c r="AH1018" s="36">
        <f>INDEX(AH$124:AH$127,$D1018)*$E1018*INDEX(AH$128:AH$144,$F1018)</f>
        <v/>
      </c>
      <c r="AI1018" s="36">
        <f>INDEX(AI$124:AI$127,$D1018)*$E1018*INDEX(AI$128:AI$144,$F1018)</f>
        <v/>
      </c>
      <c r="AJ1018" s="36">
        <f>INDEX(AJ$124:AJ$127,$D1018)*$E1018*INDEX(AJ$128:AJ$144,$F1018)</f>
        <v/>
      </c>
      <c r="AK1018" s="36">
        <f>INDEX(AK$124:AK$127,$D1018)*$E1018*INDEX(AK$128:AK$144,$F1018)</f>
        <v/>
      </c>
      <c r="AL1018" s="36">
        <f>INDEX(AL$124:AL$127,$D1018)*$E1018*INDEX(AL$128:AL$144,$F1018)</f>
        <v/>
      </c>
      <c r="AM1018" s="36">
        <f>INDEX(AM$124:AM$127,$D1018)*$E1018*INDEX(AM$128:AM$144,$F1018)</f>
        <v/>
      </c>
      <c r="AN1018" s="36">
        <f>INDEX(AN$124:AN$127,$D1018)*$E1018*INDEX(AN$128:AN$144,$F1018)</f>
        <v/>
      </c>
    </row>
    <row r="1019" hidden="1" outlineLevel="2">
      <c r="A1019" s="5" t="inlineStr">
        <is>
          <t>shp</t>
        </is>
      </c>
      <c r="B1019" s="5" t="inlineStr">
        <is>
          <t>lpg</t>
        </is>
      </c>
      <c r="C1019" s="5" t="inlineStr">
        <is>
          <t>cem</t>
        </is>
      </c>
      <c r="D1019" s="36">
        <f>INDEX(Inputs!$M$5:$M$132,MATCH($B1019&amp;"|"&amp;$C1019,Inputs!$A$5:$A$132,0))</f>
        <v/>
      </c>
      <c r="E1019" s="36">
        <f>INDEX(Inputs!$U$5:$U$132,MATCH($B1019&amp;"|"&amp;$C1019,Inputs!$A$5:$A$132,0))</f>
        <v/>
      </c>
      <c r="F1019" s="36">
        <f>INDEX(Inputs!$K$5:$K$132,MATCH($B1019&amp;"|"&amp;$C1019,Inputs!$A$5:$A$132,0))</f>
        <v/>
      </c>
      <c r="G1019" s="37" t="n"/>
      <c r="H1019" s="5">
        <f>INDEX(Variables!$B$5:$B$65,MATCH($A1019,Variables!$A$5:$A$65,0))&amp;IF($C1019="",""," | "&amp;INDEX(Mapping!$B$5:$B$25,MATCH($C1019,Mapping!$A$5:$A$25,0))&amp;" | "&amp;INDEX(Mapping!$B$29:$B$38,MATCH($B1019,Mapping!$A$29:$A$38,0)))</f>
        <v/>
      </c>
      <c r="I1019" s="5">
        <f>INDEX(Variables!$C$5:$C$65,MATCH($A1019,Variables!$A$5:$A$65,0))</f>
        <v/>
      </c>
      <c r="J1019" s="5">
        <f>INDEX(Variables!$E$5:$E$65,MATCH($A1019,Variables!$A$5:$A$65,0))</f>
        <v/>
      </c>
      <c r="K1019" s="23">
        <f>LOWER(Settings!$C$4)&amp;".mit."&amp;$A1019&amp;IF($C1019="","","."&amp;$C1019&amp;"."&amp;$B1019)&amp;IF(INDEX(Variables!$D$5:$D$65,MATCH($A1019,Variables!$A$5:$A$65,0))="","","."&amp;INDEX(Variables!$D$5:$D$65,MATCH($A1019,Variables!$A$5:$A$65,0)))&amp;"."&amp;K$5</f>
        <v/>
      </c>
      <c r="L1019" s="38">
        <f>INDEX(L$124:L$127,$D1019)*$E1019*INDEX(L$128:L$144,$F1019)</f>
        <v/>
      </c>
      <c r="M1019" s="36">
        <f>INDEX(M$124:M$127,$D1019)*$E1019*INDEX(M$128:M$144,$F1019)</f>
        <v/>
      </c>
      <c r="N1019" s="36">
        <f>INDEX(N$124:N$127,$D1019)*$E1019*INDEX(N$128:N$144,$F1019)</f>
        <v/>
      </c>
      <c r="O1019" s="36">
        <f>INDEX(O$124:O$127,$D1019)*$E1019*INDEX(O$128:O$144,$F1019)</f>
        <v/>
      </c>
      <c r="P1019" s="36">
        <f>INDEX(P$124:P$127,$D1019)*$E1019*INDEX(P$128:P$144,$F1019)</f>
        <v/>
      </c>
      <c r="Q1019" s="36">
        <f>INDEX(Q$124:Q$127,$D1019)*$E1019*INDEX(Q$128:Q$144,$F1019)</f>
        <v/>
      </c>
      <c r="R1019" s="36">
        <f>INDEX(R$124:R$127,$D1019)*$E1019*INDEX(R$128:R$144,$F1019)</f>
        <v/>
      </c>
      <c r="S1019" s="36">
        <f>INDEX(S$124:S$127,$D1019)*$E1019*INDEX(S$128:S$144,$F1019)</f>
        <v/>
      </c>
      <c r="T1019" s="36">
        <f>INDEX(T$124:T$127,$D1019)*$E1019*INDEX(T$128:T$144,$F1019)</f>
        <v/>
      </c>
      <c r="U1019" s="36">
        <f>INDEX(U$124:U$127,$D1019)*$E1019*INDEX(U$128:U$144,$F1019)</f>
        <v/>
      </c>
      <c r="V1019" s="36">
        <f>INDEX(V$124:V$127,$D1019)*$E1019*INDEX(V$128:V$144,$F1019)</f>
        <v/>
      </c>
      <c r="W1019" s="36">
        <f>INDEX(W$124:W$127,$D1019)*$E1019*INDEX(W$128:W$144,$F1019)</f>
        <v/>
      </c>
      <c r="X1019" s="36">
        <f>INDEX(X$124:X$127,$D1019)*$E1019*INDEX(X$128:X$144,$F1019)</f>
        <v/>
      </c>
      <c r="Y1019" s="36">
        <f>INDEX(Y$124:Y$127,$D1019)*$E1019*INDEX(Y$128:Y$144,$F1019)</f>
        <v/>
      </c>
      <c r="Z1019" s="23">
        <f>LOWER(Settings!$C$4)&amp;".mit."&amp;$A1019&amp;IF($C1019="","","."&amp;$C1019&amp;"."&amp;$B1019)&amp;IF(INDEX(Variables!$D$5:$D$65,MATCH($A1019,Variables!$A$5:$A$65,0))="","","."&amp;INDEX(Variables!$D$5:$D$65,MATCH($A1019,Variables!$A$5:$A$65,0)))&amp;"."&amp;Z$5</f>
        <v/>
      </c>
      <c r="AA1019" s="38">
        <f>INDEX(AA$124:AA$127,$D1019)*$E1019*INDEX(AA$128:AA$144,$F1019)</f>
        <v/>
      </c>
      <c r="AB1019" s="36">
        <f>INDEX(AB$124:AB$127,$D1019)*$E1019*INDEX(AB$128:AB$144,$F1019)</f>
        <v/>
      </c>
      <c r="AC1019" s="36">
        <f>INDEX(AC$124:AC$127,$D1019)*$E1019*INDEX(AC$128:AC$144,$F1019)</f>
        <v/>
      </c>
      <c r="AD1019" s="36">
        <f>INDEX(AD$124:AD$127,$D1019)*$E1019*INDEX(AD$128:AD$144,$F1019)</f>
        <v/>
      </c>
      <c r="AE1019" s="36">
        <f>INDEX(AE$124:AE$127,$D1019)*$E1019*INDEX(AE$128:AE$144,$F1019)</f>
        <v/>
      </c>
      <c r="AF1019" s="36">
        <f>INDEX(AF$124:AF$127,$D1019)*$E1019*INDEX(AF$128:AF$144,$F1019)</f>
        <v/>
      </c>
      <c r="AG1019" s="36">
        <f>INDEX(AG$124:AG$127,$D1019)*$E1019*INDEX(AG$128:AG$144,$F1019)</f>
        <v/>
      </c>
      <c r="AH1019" s="36">
        <f>INDEX(AH$124:AH$127,$D1019)*$E1019*INDEX(AH$128:AH$144,$F1019)</f>
        <v/>
      </c>
      <c r="AI1019" s="36">
        <f>INDEX(AI$124:AI$127,$D1019)*$E1019*INDEX(AI$128:AI$144,$F1019)</f>
        <v/>
      </c>
      <c r="AJ1019" s="36">
        <f>INDEX(AJ$124:AJ$127,$D1019)*$E1019*INDEX(AJ$128:AJ$144,$F1019)</f>
        <v/>
      </c>
      <c r="AK1019" s="36">
        <f>INDEX(AK$124:AK$127,$D1019)*$E1019*INDEX(AK$128:AK$144,$F1019)</f>
        <v/>
      </c>
      <c r="AL1019" s="36">
        <f>INDEX(AL$124:AL$127,$D1019)*$E1019*INDEX(AL$128:AL$144,$F1019)</f>
        <v/>
      </c>
      <c r="AM1019" s="36">
        <f>INDEX(AM$124:AM$127,$D1019)*$E1019*INDEX(AM$128:AM$144,$F1019)</f>
        <v/>
      </c>
      <c r="AN1019" s="36">
        <f>INDEX(AN$124:AN$127,$D1019)*$E1019*INDEX(AN$128:AN$144,$F1019)</f>
        <v/>
      </c>
    </row>
    <row r="1020" hidden="1" outlineLevel="2">
      <c r="A1020" s="5" t="inlineStr">
        <is>
          <t>shp</t>
        </is>
      </c>
      <c r="B1020" s="5" t="inlineStr">
        <is>
          <t>ker</t>
        </is>
      </c>
      <c r="C1020" s="5" t="inlineStr">
        <is>
          <t>cem</t>
        </is>
      </c>
      <c r="D1020" s="36">
        <f>INDEX(Inputs!$M$5:$M$132,MATCH($B1020&amp;"|"&amp;$C1020,Inputs!$A$5:$A$132,0))</f>
        <v/>
      </c>
      <c r="E1020" s="36">
        <f>INDEX(Inputs!$U$5:$U$132,MATCH($B1020&amp;"|"&amp;$C1020,Inputs!$A$5:$A$132,0))</f>
        <v/>
      </c>
      <c r="F1020" s="36">
        <f>INDEX(Inputs!$K$5:$K$132,MATCH($B1020&amp;"|"&amp;$C1020,Inputs!$A$5:$A$132,0))</f>
        <v/>
      </c>
      <c r="G1020" s="37" t="n"/>
      <c r="H1020" s="5">
        <f>INDEX(Variables!$B$5:$B$65,MATCH($A1020,Variables!$A$5:$A$65,0))&amp;IF($C1020="",""," | "&amp;INDEX(Mapping!$B$5:$B$25,MATCH($C1020,Mapping!$A$5:$A$25,0))&amp;" | "&amp;INDEX(Mapping!$B$29:$B$38,MATCH($B1020,Mapping!$A$29:$A$38,0)))</f>
        <v/>
      </c>
      <c r="I1020" s="5">
        <f>INDEX(Variables!$C$5:$C$65,MATCH($A1020,Variables!$A$5:$A$65,0))</f>
        <v/>
      </c>
      <c r="J1020" s="5">
        <f>INDEX(Variables!$E$5:$E$65,MATCH($A1020,Variables!$A$5:$A$65,0))</f>
        <v/>
      </c>
      <c r="K1020" s="23">
        <f>LOWER(Settings!$C$4)&amp;".mit."&amp;$A1020&amp;IF($C1020="","","."&amp;$C1020&amp;"."&amp;$B1020)&amp;IF(INDEX(Variables!$D$5:$D$65,MATCH($A1020,Variables!$A$5:$A$65,0))="","","."&amp;INDEX(Variables!$D$5:$D$65,MATCH($A1020,Variables!$A$5:$A$65,0)))&amp;"."&amp;K$5</f>
        <v/>
      </c>
      <c r="L1020" s="38">
        <f>INDEX(L$124:L$127,$D1020)*$E1020*INDEX(L$128:L$144,$F1020)</f>
        <v/>
      </c>
      <c r="M1020" s="36">
        <f>INDEX(M$124:M$127,$D1020)*$E1020*INDEX(M$128:M$144,$F1020)</f>
        <v/>
      </c>
      <c r="N1020" s="36">
        <f>INDEX(N$124:N$127,$D1020)*$E1020*INDEX(N$128:N$144,$F1020)</f>
        <v/>
      </c>
      <c r="O1020" s="36">
        <f>INDEX(O$124:O$127,$D1020)*$E1020*INDEX(O$128:O$144,$F1020)</f>
        <v/>
      </c>
      <c r="P1020" s="36">
        <f>INDEX(P$124:P$127,$D1020)*$E1020*INDEX(P$128:P$144,$F1020)</f>
        <v/>
      </c>
      <c r="Q1020" s="36">
        <f>INDEX(Q$124:Q$127,$D1020)*$E1020*INDEX(Q$128:Q$144,$F1020)</f>
        <v/>
      </c>
      <c r="R1020" s="36">
        <f>INDEX(R$124:R$127,$D1020)*$E1020*INDEX(R$128:R$144,$F1020)</f>
        <v/>
      </c>
      <c r="S1020" s="36">
        <f>INDEX(S$124:S$127,$D1020)*$E1020*INDEX(S$128:S$144,$F1020)</f>
        <v/>
      </c>
      <c r="T1020" s="36">
        <f>INDEX(T$124:T$127,$D1020)*$E1020*INDEX(T$128:T$144,$F1020)</f>
        <v/>
      </c>
      <c r="U1020" s="36">
        <f>INDEX(U$124:U$127,$D1020)*$E1020*INDEX(U$128:U$144,$F1020)</f>
        <v/>
      </c>
      <c r="V1020" s="36">
        <f>INDEX(V$124:V$127,$D1020)*$E1020*INDEX(V$128:V$144,$F1020)</f>
        <v/>
      </c>
      <c r="W1020" s="36">
        <f>INDEX(W$124:W$127,$D1020)*$E1020*INDEX(W$128:W$144,$F1020)</f>
        <v/>
      </c>
      <c r="X1020" s="36">
        <f>INDEX(X$124:X$127,$D1020)*$E1020*INDEX(X$128:X$144,$F1020)</f>
        <v/>
      </c>
      <c r="Y1020" s="36">
        <f>INDEX(Y$124:Y$127,$D1020)*$E1020*INDEX(Y$128:Y$144,$F1020)</f>
        <v/>
      </c>
      <c r="Z1020" s="23">
        <f>LOWER(Settings!$C$4)&amp;".mit."&amp;$A1020&amp;IF($C1020="","","."&amp;$C1020&amp;"."&amp;$B1020)&amp;IF(INDEX(Variables!$D$5:$D$65,MATCH($A1020,Variables!$A$5:$A$65,0))="","","."&amp;INDEX(Variables!$D$5:$D$65,MATCH($A1020,Variables!$A$5:$A$65,0)))&amp;"."&amp;Z$5</f>
        <v/>
      </c>
      <c r="AA1020" s="38">
        <f>INDEX(AA$124:AA$127,$D1020)*$E1020*INDEX(AA$128:AA$144,$F1020)</f>
        <v/>
      </c>
      <c r="AB1020" s="36">
        <f>INDEX(AB$124:AB$127,$D1020)*$E1020*INDEX(AB$128:AB$144,$F1020)</f>
        <v/>
      </c>
      <c r="AC1020" s="36">
        <f>INDEX(AC$124:AC$127,$D1020)*$E1020*INDEX(AC$128:AC$144,$F1020)</f>
        <v/>
      </c>
      <c r="AD1020" s="36">
        <f>INDEX(AD$124:AD$127,$D1020)*$E1020*INDEX(AD$128:AD$144,$F1020)</f>
        <v/>
      </c>
      <c r="AE1020" s="36">
        <f>INDEX(AE$124:AE$127,$D1020)*$E1020*INDEX(AE$128:AE$144,$F1020)</f>
        <v/>
      </c>
      <c r="AF1020" s="36">
        <f>INDEX(AF$124:AF$127,$D1020)*$E1020*INDEX(AF$128:AF$144,$F1020)</f>
        <v/>
      </c>
      <c r="AG1020" s="36">
        <f>INDEX(AG$124:AG$127,$D1020)*$E1020*INDEX(AG$128:AG$144,$F1020)</f>
        <v/>
      </c>
      <c r="AH1020" s="36">
        <f>INDEX(AH$124:AH$127,$D1020)*$E1020*INDEX(AH$128:AH$144,$F1020)</f>
        <v/>
      </c>
      <c r="AI1020" s="36">
        <f>INDEX(AI$124:AI$127,$D1020)*$E1020*INDEX(AI$128:AI$144,$F1020)</f>
        <v/>
      </c>
      <c r="AJ1020" s="36">
        <f>INDEX(AJ$124:AJ$127,$D1020)*$E1020*INDEX(AJ$128:AJ$144,$F1020)</f>
        <v/>
      </c>
      <c r="AK1020" s="36">
        <f>INDEX(AK$124:AK$127,$D1020)*$E1020*INDEX(AK$128:AK$144,$F1020)</f>
        <v/>
      </c>
      <c r="AL1020" s="36">
        <f>INDEX(AL$124:AL$127,$D1020)*$E1020*INDEX(AL$128:AL$144,$F1020)</f>
        <v/>
      </c>
      <c r="AM1020" s="36">
        <f>INDEX(AM$124:AM$127,$D1020)*$E1020*INDEX(AM$128:AM$144,$F1020)</f>
        <v/>
      </c>
      <c r="AN1020" s="36">
        <f>INDEX(AN$124:AN$127,$D1020)*$E1020*INDEX(AN$128:AN$144,$F1020)</f>
        <v/>
      </c>
    </row>
    <row r="1021" hidden="1" outlineLevel="2">
      <c r="A1021" s="5" t="inlineStr">
        <is>
          <t>shp</t>
        </is>
      </c>
      <c r="B1021" s="5" t="inlineStr">
        <is>
          <t>oop</t>
        </is>
      </c>
      <c r="C1021" s="5" t="inlineStr">
        <is>
          <t>cem</t>
        </is>
      </c>
      <c r="D1021" s="36">
        <f>INDEX(Inputs!$M$5:$M$132,MATCH($B1021&amp;"|"&amp;$C1021,Inputs!$A$5:$A$132,0))</f>
        <v/>
      </c>
      <c r="E1021" s="36">
        <f>INDEX(Inputs!$U$5:$U$132,MATCH($B1021&amp;"|"&amp;$C1021,Inputs!$A$5:$A$132,0))</f>
        <v/>
      </c>
      <c r="F1021" s="36">
        <f>INDEX(Inputs!$K$5:$K$132,MATCH($B1021&amp;"|"&amp;$C1021,Inputs!$A$5:$A$132,0))</f>
        <v/>
      </c>
      <c r="G1021" s="37" t="n"/>
      <c r="H1021" s="5">
        <f>INDEX(Variables!$B$5:$B$65,MATCH($A1021,Variables!$A$5:$A$65,0))&amp;IF($C1021="",""," | "&amp;INDEX(Mapping!$B$5:$B$25,MATCH($C1021,Mapping!$A$5:$A$25,0))&amp;" | "&amp;INDEX(Mapping!$B$29:$B$38,MATCH($B1021,Mapping!$A$29:$A$38,0)))</f>
        <v/>
      </c>
      <c r="I1021" s="5">
        <f>INDEX(Variables!$C$5:$C$65,MATCH($A1021,Variables!$A$5:$A$65,0))</f>
        <v/>
      </c>
      <c r="J1021" s="5">
        <f>INDEX(Variables!$E$5:$E$65,MATCH($A1021,Variables!$A$5:$A$65,0))</f>
        <v/>
      </c>
      <c r="K1021" s="23">
        <f>LOWER(Settings!$C$4)&amp;".mit."&amp;$A1021&amp;IF($C1021="","","."&amp;$C1021&amp;"."&amp;$B1021)&amp;IF(INDEX(Variables!$D$5:$D$65,MATCH($A1021,Variables!$A$5:$A$65,0))="","","."&amp;INDEX(Variables!$D$5:$D$65,MATCH($A1021,Variables!$A$5:$A$65,0)))&amp;"."&amp;K$5</f>
        <v/>
      </c>
      <c r="L1021" s="38">
        <f>INDEX(L$124:L$127,$D1021)*$E1021*INDEX(L$128:L$144,$F1021)</f>
        <v/>
      </c>
      <c r="M1021" s="36">
        <f>INDEX(M$124:M$127,$D1021)*$E1021*INDEX(M$128:M$144,$F1021)</f>
        <v/>
      </c>
      <c r="N1021" s="36">
        <f>INDEX(N$124:N$127,$D1021)*$E1021*INDEX(N$128:N$144,$F1021)</f>
        <v/>
      </c>
      <c r="O1021" s="36">
        <f>INDEX(O$124:O$127,$D1021)*$E1021*INDEX(O$128:O$144,$F1021)</f>
        <v/>
      </c>
      <c r="P1021" s="36">
        <f>INDEX(P$124:P$127,$D1021)*$E1021*INDEX(P$128:P$144,$F1021)</f>
        <v/>
      </c>
      <c r="Q1021" s="36">
        <f>INDEX(Q$124:Q$127,$D1021)*$E1021*INDEX(Q$128:Q$144,$F1021)</f>
        <v/>
      </c>
      <c r="R1021" s="36">
        <f>INDEX(R$124:R$127,$D1021)*$E1021*INDEX(R$128:R$144,$F1021)</f>
        <v/>
      </c>
      <c r="S1021" s="36">
        <f>INDEX(S$124:S$127,$D1021)*$E1021*INDEX(S$128:S$144,$F1021)</f>
        <v/>
      </c>
      <c r="T1021" s="36">
        <f>INDEX(T$124:T$127,$D1021)*$E1021*INDEX(T$128:T$144,$F1021)</f>
        <v/>
      </c>
      <c r="U1021" s="36">
        <f>INDEX(U$124:U$127,$D1021)*$E1021*INDEX(U$128:U$144,$F1021)</f>
        <v/>
      </c>
      <c r="V1021" s="36">
        <f>INDEX(V$124:V$127,$D1021)*$E1021*INDEX(V$128:V$144,$F1021)</f>
        <v/>
      </c>
      <c r="W1021" s="36">
        <f>INDEX(W$124:W$127,$D1021)*$E1021*INDEX(W$128:W$144,$F1021)</f>
        <v/>
      </c>
      <c r="X1021" s="36">
        <f>INDEX(X$124:X$127,$D1021)*$E1021*INDEX(X$128:X$144,$F1021)</f>
        <v/>
      </c>
      <c r="Y1021" s="36">
        <f>INDEX(Y$124:Y$127,$D1021)*$E1021*INDEX(Y$128:Y$144,$F1021)</f>
        <v/>
      </c>
      <c r="Z1021" s="23">
        <f>LOWER(Settings!$C$4)&amp;".mit."&amp;$A1021&amp;IF($C1021="","","."&amp;$C1021&amp;"."&amp;$B1021)&amp;IF(INDEX(Variables!$D$5:$D$65,MATCH($A1021,Variables!$A$5:$A$65,0))="","","."&amp;INDEX(Variables!$D$5:$D$65,MATCH($A1021,Variables!$A$5:$A$65,0)))&amp;"."&amp;Z$5</f>
        <v/>
      </c>
      <c r="AA1021" s="38">
        <f>INDEX(AA$124:AA$127,$D1021)*$E1021*INDEX(AA$128:AA$144,$F1021)</f>
        <v/>
      </c>
      <c r="AB1021" s="36">
        <f>INDEX(AB$124:AB$127,$D1021)*$E1021*INDEX(AB$128:AB$144,$F1021)</f>
        <v/>
      </c>
      <c r="AC1021" s="36">
        <f>INDEX(AC$124:AC$127,$D1021)*$E1021*INDEX(AC$128:AC$144,$F1021)</f>
        <v/>
      </c>
      <c r="AD1021" s="36">
        <f>INDEX(AD$124:AD$127,$D1021)*$E1021*INDEX(AD$128:AD$144,$F1021)</f>
        <v/>
      </c>
      <c r="AE1021" s="36">
        <f>INDEX(AE$124:AE$127,$D1021)*$E1021*INDEX(AE$128:AE$144,$F1021)</f>
        <v/>
      </c>
      <c r="AF1021" s="36">
        <f>INDEX(AF$124:AF$127,$D1021)*$E1021*INDEX(AF$128:AF$144,$F1021)</f>
        <v/>
      </c>
      <c r="AG1021" s="36">
        <f>INDEX(AG$124:AG$127,$D1021)*$E1021*INDEX(AG$128:AG$144,$F1021)</f>
        <v/>
      </c>
      <c r="AH1021" s="36">
        <f>INDEX(AH$124:AH$127,$D1021)*$E1021*INDEX(AH$128:AH$144,$F1021)</f>
        <v/>
      </c>
      <c r="AI1021" s="36">
        <f>INDEX(AI$124:AI$127,$D1021)*$E1021*INDEX(AI$128:AI$144,$F1021)</f>
        <v/>
      </c>
      <c r="AJ1021" s="36">
        <f>INDEX(AJ$124:AJ$127,$D1021)*$E1021*INDEX(AJ$128:AJ$144,$F1021)</f>
        <v/>
      </c>
      <c r="AK1021" s="36">
        <f>INDEX(AK$124:AK$127,$D1021)*$E1021*INDEX(AK$128:AK$144,$F1021)</f>
        <v/>
      </c>
      <c r="AL1021" s="36">
        <f>INDEX(AL$124:AL$127,$D1021)*$E1021*INDEX(AL$128:AL$144,$F1021)</f>
        <v/>
      </c>
      <c r="AM1021" s="36">
        <f>INDEX(AM$124:AM$127,$D1021)*$E1021*INDEX(AM$128:AM$144,$F1021)</f>
        <v/>
      </c>
      <c r="AN1021" s="36">
        <f>INDEX(AN$124:AN$127,$D1021)*$E1021*INDEX(AN$128:AN$144,$F1021)</f>
        <v/>
      </c>
    </row>
    <row r="1022" hidden="1" outlineLevel="2">
      <c r="A1022" s="5" t="inlineStr">
        <is>
          <t>shp</t>
        </is>
      </c>
      <c r="B1022" s="5" t="inlineStr">
        <is>
          <t>bio</t>
        </is>
      </c>
      <c r="C1022" s="5" t="inlineStr">
        <is>
          <t>cem</t>
        </is>
      </c>
      <c r="D1022" s="36">
        <f>INDEX(Inputs!$M$5:$M$132,MATCH($B1022&amp;"|"&amp;$C1022,Inputs!$A$5:$A$132,0))</f>
        <v/>
      </c>
      <c r="E1022" s="36">
        <f>INDEX(Inputs!$U$5:$U$132,MATCH($B1022&amp;"|"&amp;$C1022,Inputs!$A$5:$A$132,0))</f>
        <v/>
      </c>
      <c r="F1022" s="36">
        <f>INDEX(Inputs!$K$5:$K$132,MATCH($B1022&amp;"|"&amp;$C1022,Inputs!$A$5:$A$132,0))</f>
        <v/>
      </c>
      <c r="G1022" s="37" t="n"/>
      <c r="H1022" s="5">
        <f>INDEX(Variables!$B$5:$B$65,MATCH($A1022,Variables!$A$5:$A$65,0))&amp;IF($C1022="",""," | "&amp;INDEX(Mapping!$B$5:$B$25,MATCH($C1022,Mapping!$A$5:$A$25,0))&amp;" | "&amp;INDEX(Mapping!$B$29:$B$38,MATCH($B1022,Mapping!$A$29:$A$38,0)))</f>
        <v/>
      </c>
      <c r="I1022" s="5">
        <f>INDEX(Variables!$C$5:$C$65,MATCH($A1022,Variables!$A$5:$A$65,0))</f>
        <v/>
      </c>
      <c r="J1022" s="5">
        <f>INDEX(Variables!$E$5:$E$65,MATCH($A1022,Variables!$A$5:$A$65,0))</f>
        <v/>
      </c>
      <c r="K1022" s="23">
        <f>LOWER(Settings!$C$4)&amp;".mit."&amp;$A1022&amp;IF($C1022="","","."&amp;$C1022&amp;"."&amp;$B1022)&amp;IF(INDEX(Variables!$D$5:$D$65,MATCH($A1022,Variables!$A$5:$A$65,0))="","","."&amp;INDEX(Variables!$D$5:$D$65,MATCH($A1022,Variables!$A$5:$A$65,0)))&amp;"."&amp;K$5</f>
        <v/>
      </c>
      <c r="L1022" s="38">
        <f>INDEX(L$124:L$127,$D1022)*$E1022*INDEX(L$128:L$144,$F1022)</f>
        <v/>
      </c>
      <c r="M1022" s="36">
        <f>INDEX(M$124:M$127,$D1022)*$E1022*INDEX(M$128:M$144,$F1022)</f>
        <v/>
      </c>
      <c r="N1022" s="36">
        <f>INDEX(N$124:N$127,$D1022)*$E1022*INDEX(N$128:N$144,$F1022)</f>
        <v/>
      </c>
      <c r="O1022" s="36">
        <f>INDEX(O$124:O$127,$D1022)*$E1022*INDEX(O$128:O$144,$F1022)</f>
        <v/>
      </c>
      <c r="P1022" s="36">
        <f>INDEX(P$124:P$127,$D1022)*$E1022*INDEX(P$128:P$144,$F1022)</f>
        <v/>
      </c>
      <c r="Q1022" s="36">
        <f>INDEX(Q$124:Q$127,$D1022)*$E1022*INDEX(Q$128:Q$144,$F1022)</f>
        <v/>
      </c>
      <c r="R1022" s="36">
        <f>INDEX(R$124:R$127,$D1022)*$E1022*INDEX(R$128:R$144,$F1022)</f>
        <v/>
      </c>
      <c r="S1022" s="36">
        <f>INDEX(S$124:S$127,$D1022)*$E1022*INDEX(S$128:S$144,$F1022)</f>
        <v/>
      </c>
      <c r="T1022" s="36">
        <f>INDEX(T$124:T$127,$D1022)*$E1022*INDEX(T$128:T$144,$F1022)</f>
        <v/>
      </c>
      <c r="U1022" s="36">
        <f>INDEX(U$124:U$127,$D1022)*$E1022*INDEX(U$128:U$144,$F1022)</f>
        <v/>
      </c>
      <c r="V1022" s="36">
        <f>INDEX(V$124:V$127,$D1022)*$E1022*INDEX(V$128:V$144,$F1022)</f>
        <v/>
      </c>
      <c r="W1022" s="36">
        <f>INDEX(W$124:W$127,$D1022)*$E1022*INDEX(W$128:W$144,$F1022)</f>
        <v/>
      </c>
      <c r="X1022" s="36">
        <f>INDEX(X$124:X$127,$D1022)*$E1022*INDEX(X$128:X$144,$F1022)</f>
        <v/>
      </c>
      <c r="Y1022" s="36">
        <f>INDEX(Y$124:Y$127,$D1022)*$E1022*INDEX(Y$128:Y$144,$F1022)</f>
        <v/>
      </c>
      <c r="Z1022" s="23">
        <f>LOWER(Settings!$C$4)&amp;".mit."&amp;$A1022&amp;IF($C1022="","","."&amp;$C1022&amp;"."&amp;$B1022)&amp;IF(INDEX(Variables!$D$5:$D$65,MATCH($A1022,Variables!$A$5:$A$65,0))="","","."&amp;INDEX(Variables!$D$5:$D$65,MATCH($A1022,Variables!$A$5:$A$65,0)))&amp;"."&amp;Z$5</f>
        <v/>
      </c>
      <c r="AA1022" s="38">
        <f>INDEX(AA$124:AA$127,$D1022)*$E1022*INDEX(AA$128:AA$144,$F1022)</f>
        <v/>
      </c>
      <c r="AB1022" s="36">
        <f>INDEX(AB$124:AB$127,$D1022)*$E1022*INDEX(AB$128:AB$144,$F1022)</f>
        <v/>
      </c>
      <c r="AC1022" s="36">
        <f>INDEX(AC$124:AC$127,$D1022)*$E1022*INDEX(AC$128:AC$144,$F1022)</f>
        <v/>
      </c>
      <c r="AD1022" s="36">
        <f>INDEX(AD$124:AD$127,$D1022)*$E1022*INDEX(AD$128:AD$144,$F1022)</f>
        <v/>
      </c>
      <c r="AE1022" s="36">
        <f>INDEX(AE$124:AE$127,$D1022)*$E1022*INDEX(AE$128:AE$144,$F1022)</f>
        <v/>
      </c>
      <c r="AF1022" s="36">
        <f>INDEX(AF$124:AF$127,$D1022)*$E1022*INDEX(AF$128:AF$144,$F1022)</f>
        <v/>
      </c>
      <c r="AG1022" s="36">
        <f>INDEX(AG$124:AG$127,$D1022)*$E1022*INDEX(AG$128:AG$144,$F1022)</f>
        <v/>
      </c>
      <c r="AH1022" s="36">
        <f>INDEX(AH$124:AH$127,$D1022)*$E1022*INDEX(AH$128:AH$144,$F1022)</f>
        <v/>
      </c>
      <c r="AI1022" s="36">
        <f>INDEX(AI$124:AI$127,$D1022)*$E1022*INDEX(AI$128:AI$144,$F1022)</f>
        <v/>
      </c>
      <c r="AJ1022" s="36">
        <f>INDEX(AJ$124:AJ$127,$D1022)*$E1022*INDEX(AJ$128:AJ$144,$F1022)</f>
        <v/>
      </c>
      <c r="AK1022" s="36">
        <f>INDEX(AK$124:AK$127,$D1022)*$E1022*INDEX(AK$128:AK$144,$F1022)</f>
        <v/>
      </c>
      <c r="AL1022" s="36">
        <f>INDEX(AL$124:AL$127,$D1022)*$E1022*INDEX(AL$128:AL$144,$F1022)</f>
        <v/>
      </c>
      <c r="AM1022" s="36">
        <f>INDEX(AM$124:AM$127,$D1022)*$E1022*INDEX(AM$128:AM$144,$F1022)</f>
        <v/>
      </c>
      <c r="AN1022" s="36">
        <f>INDEX(AN$124:AN$127,$D1022)*$E1022*INDEX(AN$128:AN$144,$F1022)</f>
        <v/>
      </c>
    </row>
    <row r="1023" hidden="1" outlineLevel="2"/>
    <row r="1024" hidden="1" outlineLevel="2">
      <c r="A1024" s="5" t="inlineStr">
        <is>
          <t>ener</t>
        </is>
      </c>
      <c r="B1024" s="5" t="inlineStr">
        <is>
          <t>coa</t>
        </is>
      </c>
      <c r="C1024" s="5" t="inlineStr">
        <is>
          <t>cem</t>
        </is>
      </c>
      <c r="D1024" s="36">
        <f>INDEX(Inputs!$N$5:$N$132,MATCH($B1024&amp;"|"&amp;$C1024,Inputs!$A$5:$A$132,0))</f>
        <v/>
      </c>
      <c r="E1024" s="36">
        <f>INDEX(Inputs!$O$5:$O$132,MATCH($B1024&amp;"|"&amp;$C1024,Inputs!$A$5:$A$132,0))</f>
        <v/>
      </c>
      <c r="F1024" s="36">
        <f>INDEX(Inputs!$P$5:$P$132,MATCH($B1024&amp;"|"&amp;$C1024,Inputs!$A$5:$A$132,0))</f>
        <v/>
      </c>
      <c r="G1024" s="36">
        <f>INDEX(Inputs!$Q$5:$Q$132,MATCH($B1024&amp;"|"&amp;$C1024,Inputs!$A$5:$A$132,0))</f>
        <v/>
      </c>
      <c r="H1024" s="5">
        <f>INDEX(Variables!$B$5:$B$65,MATCH($A1024,Variables!$A$5:$A$65,0))&amp;IF($C1024="",""," | "&amp;INDEX(Mapping!$B$5:$B$25,MATCH($C1024,Mapping!$A$5:$A$25,0))&amp;" | "&amp;INDEX(Mapping!$B$29:$B$38,MATCH($B1024,Mapping!$A$29:$A$38,0)))</f>
        <v/>
      </c>
      <c r="I1024" s="5">
        <f>INDEX(Variables!$C$5:$C$65,MATCH($A1024,Variables!$A$5:$A$65,0))</f>
        <v/>
      </c>
      <c r="J1024" s="5">
        <f>INDEX(Variables!$E$5:$E$65,MATCH($A1024,Variables!$A$5:$A$65,0))</f>
        <v/>
      </c>
      <c r="K1024" s="23">
        <f>LOWER(Settings!$C$4)&amp;".mit."&amp;$A1024&amp;IF($C1024="","","."&amp;$C1024&amp;"."&amp;$B1024)&amp;IF(INDEX(Variables!$D$5:$D$65,MATCH($A1024,Variables!$A$5:$A$65,0))="","","."&amp;INDEX(Variables!$D$5:$D$65,MATCH($A1024,Variables!$A$5:$A$65,0)))&amp;"."&amp;K$5</f>
        <v/>
      </c>
      <c r="L1024" s="40">
        <f>INDEX(Inputs!$V$5:$V$132,MATCH($B1024&amp;"|"&amp;$C1024,Inputs!$A$5:$A$132,0))</f>
        <v/>
      </c>
      <c r="M1024" s="41">
        <f>L1024*(1/(1+$G1024))^(1+$E1024)*(1+M$7)^$D1024*(M1006/L1006)^$E1024*((M1006+M1015)/(L1006+L1015))^($F1024*(1+$E1024))</f>
        <v/>
      </c>
      <c r="N1024" s="41">
        <f>M1024*(1/(1+$G1024))^(1+$E1024)*(1+N$7)^$D1024*(N1006/M1006)^$E1024*((N1006+N1015)/(M1006+M1015))^($F1024*(1+$E1024))</f>
        <v/>
      </c>
      <c r="O1024" s="41">
        <f>N1024*(1/(1+$G1024))^(1+$E1024)*(1+O$7)^$D1024*(O1006/N1006)^$E1024*((O1006+O1015)/(N1006+N1015))^($F1024*(1+$E1024))</f>
        <v/>
      </c>
      <c r="P1024" s="41">
        <f>O1024*(1/(1+$G1024))^(1+$E1024)*(1+P$7)^$D1024*(P1006/O1006)^$E1024*((P1006+P1015)/(O1006+O1015))^($F1024*(1+$E1024))</f>
        <v/>
      </c>
      <c r="Q1024" s="41">
        <f>P1024*(1/(1+$G1024))^(1+$E1024)*(1+Q$7)^$D1024*(Q1006/P1006)^$E1024*((Q1006+Q1015)/(P1006+P1015))^($F1024*(1+$E1024))</f>
        <v/>
      </c>
      <c r="R1024" s="41">
        <f>Q1024*(1/(1+$G1024))^(1+$E1024)*(1+R$7)^$D1024*(R1006/Q1006)^$E1024*((R1006+R1015)/(Q1006+Q1015))^($F1024*(1+$E1024))</f>
        <v/>
      </c>
      <c r="S1024" s="41">
        <f>R1024*(1/(1+$G1024))^(1+$E1024)*(1+S$7)^$D1024*(S1006/R1006)^$E1024*((S1006+S1015)/(R1006+R1015))^($F1024*(1+$E1024))</f>
        <v/>
      </c>
      <c r="T1024" s="41">
        <f>S1024*(1/(1+$G1024))^(1+$E1024)*(1+T$7)^$D1024*(T1006/S1006)^$E1024*((T1006+T1015)/(S1006+S1015))^($F1024*(1+$E1024))</f>
        <v/>
      </c>
      <c r="U1024" s="41">
        <f>T1024*(1/(1+$G1024))^(1+$E1024)*(1+U$7)^$D1024*(U1006/T1006)^$E1024*((U1006+U1015)/(T1006+T1015))^($F1024*(1+$E1024))</f>
        <v/>
      </c>
      <c r="V1024" s="41">
        <f>U1024*(1/(1+$G1024))^(1+$E1024)*(1+V$7)^$D1024*(V1006/U1006)^$E1024*((V1006+V1015)/(U1006+U1015))^($F1024*(1+$E1024))</f>
        <v/>
      </c>
      <c r="W1024" s="41">
        <f>V1024*(1/(1+$G1024))^(1+$E1024)*(1+W$7)^$D1024*(W1006/V1006)^$E1024*((W1006+W1015)/(V1006+V1015))^($F1024*(1+$E1024))</f>
        <v/>
      </c>
      <c r="X1024" s="41">
        <f>W1024*(1/(1+$G1024))^(1+$E1024)*(1+X$7)^$D1024*(X1006/W1006)^$E1024*((X1006+X1015)/(W1006+W1015))^($F1024*(1+$E1024))</f>
        <v/>
      </c>
      <c r="Y1024" s="42">
        <f>FUELUSE(X1024,Y1006,X1006,Y1015,X1015,Y$7,$D1024,$E1024,$F1024,$G1024)</f>
        <v/>
      </c>
      <c r="Z1024" s="23">
        <f>LOWER(Settings!$C$4)&amp;".mit."&amp;$A1024&amp;IF($C1024="","","."&amp;$C1024&amp;"."&amp;$B1024)&amp;IF(INDEX(Variables!$D$5:$D$65,MATCH($A1024,Variables!$A$5:$A$65,0))="","","."&amp;INDEX(Variables!$D$5:$D$65,MATCH($A1024,Variables!$A$5:$A$65,0)))&amp;"."&amp;Z$5</f>
        <v/>
      </c>
      <c r="AA1024" s="40">
        <f>INDEX(Inputs!$V$5:$V$132,MATCH($B1024&amp;"|"&amp;$C1024,Inputs!$A$5:$A$132,0))</f>
        <v/>
      </c>
      <c r="AB1024" s="41">
        <f>AA1024*(1/(1+$G1024))^(1+$E1024)*(1+AB$7)^$D1024*(AB1006/AA1006)^$E1024*((AB1006+AB1015)/(AA1006+AA1015))^($F1024*(1+$E1024))</f>
        <v/>
      </c>
      <c r="AC1024" s="41">
        <f>AB1024*(1/(1+$G1024))^(1+$E1024)*(1+AC$7)^$D1024*(AC1006/AB1006)^$E1024*((AC1006+AC1015)/(AB1006+AB1015))^($F1024*(1+$E1024))</f>
        <v/>
      </c>
      <c r="AD1024" s="41">
        <f>AC1024*(1/(1+$G1024))^(1+$E1024)*(1+AD$7)^$D1024*(AD1006/AC1006)^$E1024*((AD1006+AD1015)/(AC1006+AC1015))^($F1024*(1+$E1024))</f>
        <v/>
      </c>
      <c r="AE1024" s="41">
        <f>AD1024*(1/(1+$G1024))^(1+$E1024)*(1+AE$7)^$D1024*(AE1006/AD1006)^$E1024*((AE1006+AE1015)/(AD1006+AD1015))^($F1024*(1+$E1024))</f>
        <v/>
      </c>
      <c r="AF1024" s="41">
        <f>AE1024*(1/(1+$G1024))^(1+$E1024)*(1+AF$7)^$D1024*(AF1006/AE1006)^$E1024*((AF1006+AF1015)/(AE1006+AE1015))^($F1024*(1+$E1024))</f>
        <v/>
      </c>
      <c r="AG1024" s="41">
        <f>AF1024*(1/(1+$G1024))^(1+$E1024)*(1+AG$7)^$D1024*(AG1006/AF1006)^$E1024*((AG1006+AG1015)/(AF1006+AF1015))^($F1024*(1+$E1024))</f>
        <v/>
      </c>
      <c r="AH1024" s="41">
        <f>AG1024*(1/(1+$G1024))^(1+$E1024)*(1+AH$7)^$D1024*(AH1006/AG1006)^$E1024*((AH1006+AH1015)/(AG1006+AG1015))^($F1024*(1+$E1024))</f>
        <v/>
      </c>
      <c r="AI1024" s="41">
        <f>AH1024*(1/(1+$G1024))^(1+$E1024)*(1+AI$7)^$D1024*(AI1006/AH1006)^$E1024*((AI1006+AI1015)/(AH1006+AH1015))^($F1024*(1+$E1024))</f>
        <v/>
      </c>
      <c r="AJ1024" s="41">
        <f>AI1024*(1/(1+$G1024))^(1+$E1024)*(1+AJ$7)^$D1024*(AJ1006/AI1006)^$E1024*((AJ1006+AJ1015)/(AI1006+AI1015))^($F1024*(1+$E1024))</f>
        <v/>
      </c>
      <c r="AK1024" s="41">
        <f>AJ1024*(1/(1+$G1024))^(1+$E1024)*(1+AK$7)^$D1024*(AK1006/AJ1006)^$E1024*((AK1006+AK1015)/(AJ1006+AJ1015))^($F1024*(1+$E1024))</f>
        <v/>
      </c>
      <c r="AL1024" s="41">
        <f>AK1024*(1/(1+$G1024))^(1+$E1024)*(1+AL$7)^$D1024*(AL1006/AK1006)^$E1024*((AL1006+AL1015)/(AK1006+AK1015))^($F1024*(1+$E1024))</f>
        <v/>
      </c>
      <c r="AM1024" s="41">
        <f>AL1024*(1/(1+$G1024))^(1+$E1024)*(1+AM$7)^$D1024*(AM1006/AL1006)^$E1024*((AM1006+AM1015)/(AL1006+AL1015))^($F1024*(1+$E1024))</f>
        <v/>
      </c>
      <c r="AN1024" s="42">
        <f>FUELUSE(AM1024,AN1006,AM1006,AN1015,AM1015,AN$7,$D1024,$E1024,$F1024,$G1024)</f>
        <v/>
      </c>
    </row>
    <row r="1025" hidden="1" outlineLevel="2">
      <c r="A1025" s="5" t="inlineStr">
        <is>
          <t>ener</t>
        </is>
      </c>
      <c r="B1025" s="5" t="inlineStr">
        <is>
          <t>nga</t>
        </is>
      </c>
      <c r="C1025" s="5" t="inlineStr">
        <is>
          <t>cem</t>
        </is>
      </c>
      <c r="D1025" s="36">
        <f>INDEX(Inputs!$N$5:$N$132,MATCH($B1025&amp;"|"&amp;$C1025,Inputs!$A$5:$A$132,0))</f>
        <v/>
      </c>
      <c r="E1025" s="36">
        <f>INDEX(Inputs!$O$5:$O$132,MATCH($B1025&amp;"|"&amp;$C1025,Inputs!$A$5:$A$132,0))</f>
        <v/>
      </c>
      <c r="F1025" s="36">
        <f>INDEX(Inputs!$P$5:$P$132,MATCH($B1025&amp;"|"&amp;$C1025,Inputs!$A$5:$A$132,0))</f>
        <v/>
      </c>
      <c r="G1025" s="36">
        <f>INDEX(Inputs!$Q$5:$Q$132,MATCH($B1025&amp;"|"&amp;$C1025,Inputs!$A$5:$A$132,0))</f>
        <v/>
      </c>
      <c r="H1025" s="5">
        <f>INDEX(Variables!$B$5:$B$65,MATCH($A1025,Variables!$A$5:$A$65,0))&amp;IF($C1025="",""," | "&amp;INDEX(Mapping!$B$5:$B$25,MATCH($C1025,Mapping!$A$5:$A$25,0))&amp;" | "&amp;INDEX(Mapping!$B$29:$B$38,MATCH($B1025,Mapping!$A$29:$A$38,0)))</f>
        <v/>
      </c>
      <c r="I1025" s="5">
        <f>INDEX(Variables!$C$5:$C$65,MATCH($A1025,Variables!$A$5:$A$65,0))</f>
        <v/>
      </c>
      <c r="J1025" s="5">
        <f>INDEX(Variables!$E$5:$E$65,MATCH($A1025,Variables!$A$5:$A$65,0))</f>
        <v/>
      </c>
      <c r="K1025" s="23">
        <f>LOWER(Settings!$C$4)&amp;".mit."&amp;$A1025&amp;IF($C1025="","","."&amp;$C1025&amp;"."&amp;$B1025)&amp;IF(INDEX(Variables!$D$5:$D$65,MATCH($A1025,Variables!$A$5:$A$65,0))="","","."&amp;INDEX(Variables!$D$5:$D$65,MATCH($A1025,Variables!$A$5:$A$65,0)))&amp;"."&amp;K$5</f>
        <v/>
      </c>
      <c r="L1025" s="40">
        <f>INDEX(Inputs!$V$5:$V$132,MATCH($B1025&amp;"|"&amp;$C1025,Inputs!$A$5:$A$132,0))</f>
        <v/>
      </c>
      <c r="M1025" s="41">
        <f>L1025*(1/(1+$G1025))^(1+$E1025)*(1+M$7)^$D1025*(M1007/L1007)^$E1025*((M1007+M1016)/(L1007+L1016))^($F1025*(1+$E1025))</f>
        <v/>
      </c>
      <c r="N1025" s="41">
        <f>M1025*(1/(1+$G1025))^(1+$E1025)*(1+N$7)^$D1025*(N1007/M1007)^$E1025*((N1007+N1016)/(M1007+M1016))^($F1025*(1+$E1025))</f>
        <v/>
      </c>
      <c r="O1025" s="41">
        <f>N1025*(1/(1+$G1025))^(1+$E1025)*(1+O$7)^$D1025*(O1007/N1007)^$E1025*((O1007+O1016)/(N1007+N1016))^($F1025*(1+$E1025))</f>
        <v/>
      </c>
      <c r="P1025" s="41">
        <f>O1025*(1/(1+$G1025))^(1+$E1025)*(1+P$7)^$D1025*(P1007/O1007)^$E1025*((P1007+P1016)/(O1007+O1016))^($F1025*(1+$E1025))</f>
        <v/>
      </c>
      <c r="Q1025" s="41">
        <f>P1025*(1/(1+$G1025))^(1+$E1025)*(1+Q$7)^$D1025*(Q1007/P1007)^$E1025*((Q1007+Q1016)/(P1007+P1016))^($F1025*(1+$E1025))</f>
        <v/>
      </c>
      <c r="R1025" s="41">
        <f>Q1025*(1/(1+$G1025))^(1+$E1025)*(1+R$7)^$D1025*(R1007/Q1007)^$E1025*((R1007+R1016)/(Q1007+Q1016))^($F1025*(1+$E1025))</f>
        <v/>
      </c>
      <c r="S1025" s="41">
        <f>R1025*(1/(1+$G1025))^(1+$E1025)*(1+S$7)^$D1025*(S1007/R1007)^$E1025*((S1007+S1016)/(R1007+R1016))^($F1025*(1+$E1025))</f>
        <v/>
      </c>
      <c r="T1025" s="41">
        <f>S1025*(1/(1+$G1025))^(1+$E1025)*(1+T$7)^$D1025*(T1007/S1007)^$E1025*((T1007+T1016)/(S1007+S1016))^($F1025*(1+$E1025))</f>
        <v/>
      </c>
      <c r="U1025" s="41">
        <f>T1025*(1/(1+$G1025))^(1+$E1025)*(1+U$7)^$D1025*(U1007/T1007)^$E1025*((U1007+U1016)/(T1007+T1016))^($F1025*(1+$E1025))</f>
        <v/>
      </c>
      <c r="V1025" s="41">
        <f>U1025*(1/(1+$G1025))^(1+$E1025)*(1+V$7)^$D1025*(V1007/U1007)^$E1025*((V1007+V1016)/(U1007+U1016))^($F1025*(1+$E1025))</f>
        <v/>
      </c>
      <c r="W1025" s="41">
        <f>V1025*(1/(1+$G1025))^(1+$E1025)*(1+W$7)^$D1025*(W1007/V1007)^$E1025*((W1007+W1016)/(V1007+V1016))^($F1025*(1+$E1025))</f>
        <v/>
      </c>
      <c r="X1025" s="41">
        <f>W1025*(1/(1+$G1025))^(1+$E1025)*(1+X$7)^$D1025*(X1007/W1007)^$E1025*((X1007+X1016)/(W1007+W1016))^($F1025*(1+$E1025))</f>
        <v/>
      </c>
      <c r="Y1025" s="42">
        <f>FUELUSE(X1025,Y1007,X1007,Y1016,X1016,Y$7,$D1025,$E1025,$F1025,$G1025)</f>
        <v/>
      </c>
      <c r="Z1025" s="23">
        <f>LOWER(Settings!$C$4)&amp;".mit."&amp;$A1025&amp;IF($C1025="","","."&amp;$C1025&amp;"."&amp;$B1025)&amp;IF(INDEX(Variables!$D$5:$D$65,MATCH($A1025,Variables!$A$5:$A$65,0))="","","."&amp;INDEX(Variables!$D$5:$D$65,MATCH($A1025,Variables!$A$5:$A$65,0)))&amp;"."&amp;Z$5</f>
        <v/>
      </c>
      <c r="AA1025" s="40">
        <f>INDEX(Inputs!$V$5:$V$132,MATCH($B1025&amp;"|"&amp;$C1025,Inputs!$A$5:$A$132,0))</f>
        <v/>
      </c>
      <c r="AB1025" s="41">
        <f>AA1025*(1/(1+$G1025))^(1+$E1025)*(1+AB$7)^$D1025*(AB1007/AA1007)^$E1025*((AB1007+AB1016)/(AA1007+AA1016))^($F1025*(1+$E1025))</f>
        <v/>
      </c>
      <c r="AC1025" s="41">
        <f>AB1025*(1/(1+$G1025))^(1+$E1025)*(1+AC$7)^$D1025*(AC1007/AB1007)^$E1025*((AC1007+AC1016)/(AB1007+AB1016))^($F1025*(1+$E1025))</f>
        <v/>
      </c>
      <c r="AD1025" s="41">
        <f>AC1025*(1/(1+$G1025))^(1+$E1025)*(1+AD$7)^$D1025*(AD1007/AC1007)^$E1025*((AD1007+AD1016)/(AC1007+AC1016))^($F1025*(1+$E1025))</f>
        <v/>
      </c>
      <c r="AE1025" s="41">
        <f>AD1025*(1/(1+$G1025))^(1+$E1025)*(1+AE$7)^$D1025*(AE1007/AD1007)^$E1025*((AE1007+AE1016)/(AD1007+AD1016))^($F1025*(1+$E1025))</f>
        <v/>
      </c>
      <c r="AF1025" s="41">
        <f>AE1025*(1/(1+$G1025))^(1+$E1025)*(1+AF$7)^$D1025*(AF1007/AE1007)^$E1025*((AF1007+AF1016)/(AE1007+AE1016))^($F1025*(1+$E1025))</f>
        <v/>
      </c>
      <c r="AG1025" s="41">
        <f>AF1025*(1/(1+$G1025))^(1+$E1025)*(1+AG$7)^$D1025*(AG1007/AF1007)^$E1025*((AG1007+AG1016)/(AF1007+AF1016))^($F1025*(1+$E1025))</f>
        <v/>
      </c>
      <c r="AH1025" s="41">
        <f>AG1025*(1/(1+$G1025))^(1+$E1025)*(1+AH$7)^$D1025*(AH1007/AG1007)^$E1025*((AH1007+AH1016)/(AG1007+AG1016))^($F1025*(1+$E1025))</f>
        <v/>
      </c>
      <c r="AI1025" s="41">
        <f>AH1025*(1/(1+$G1025))^(1+$E1025)*(1+AI$7)^$D1025*(AI1007/AH1007)^$E1025*((AI1007+AI1016)/(AH1007+AH1016))^($F1025*(1+$E1025))</f>
        <v/>
      </c>
      <c r="AJ1025" s="41">
        <f>AI1025*(1/(1+$G1025))^(1+$E1025)*(1+AJ$7)^$D1025*(AJ1007/AI1007)^$E1025*((AJ1007+AJ1016)/(AI1007+AI1016))^($F1025*(1+$E1025))</f>
        <v/>
      </c>
      <c r="AK1025" s="41">
        <f>AJ1025*(1/(1+$G1025))^(1+$E1025)*(1+AK$7)^$D1025*(AK1007/AJ1007)^$E1025*((AK1007+AK1016)/(AJ1007+AJ1016))^($F1025*(1+$E1025))</f>
        <v/>
      </c>
      <c r="AL1025" s="41">
        <f>AK1025*(1/(1+$G1025))^(1+$E1025)*(1+AL$7)^$D1025*(AL1007/AK1007)^$E1025*((AL1007+AL1016)/(AK1007+AK1016))^($F1025*(1+$E1025))</f>
        <v/>
      </c>
      <c r="AM1025" s="41">
        <f>AL1025*(1/(1+$G1025))^(1+$E1025)*(1+AM$7)^$D1025*(AM1007/AL1007)^$E1025*((AM1007+AM1016)/(AL1007+AL1016))^($F1025*(1+$E1025))</f>
        <v/>
      </c>
      <c r="AN1025" s="42">
        <f>FUELUSE(AM1025,AN1007,AM1007,AN1016,AM1016,AN$7,$D1025,$E1025,$F1025,$G1025)</f>
        <v/>
      </c>
    </row>
    <row r="1026" hidden="1" outlineLevel="2">
      <c r="A1026" s="5" t="inlineStr">
        <is>
          <t>ener</t>
        </is>
      </c>
      <c r="B1026" s="5" t="inlineStr">
        <is>
          <t>gso</t>
        </is>
      </c>
      <c r="C1026" s="5" t="inlineStr">
        <is>
          <t>cem</t>
        </is>
      </c>
      <c r="D1026" s="36">
        <f>INDEX(Inputs!$N$5:$N$132,MATCH($B1026&amp;"|"&amp;$C1026,Inputs!$A$5:$A$132,0))</f>
        <v/>
      </c>
      <c r="E1026" s="36">
        <f>INDEX(Inputs!$O$5:$O$132,MATCH($B1026&amp;"|"&amp;$C1026,Inputs!$A$5:$A$132,0))</f>
        <v/>
      </c>
      <c r="F1026" s="36">
        <f>INDEX(Inputs!$P$5:$P$132,MATCH($B1026&amp;"|"&amp;$C1026,Inputs!$A$5:$A$132,0))</f>
        <v/>
      </c>
      <c r="G1026" s="36">
        <f>INDEX(Inputs!$Q$5:$Q$132,MATCH($B1026&amp;"|"&amp;$C1026,Inputs!$A$5:$A$132,0))</f>
        <v/>
      </c>
      <c r="H1026" s="5">
        <f>INDEX(Variables!$B$5:$B$65,MATCH($A1026,Variables!$A$5:$A$65,0))&amp;IF($C1026="",""," | "&amp;INDEX(Mapping!$B$5:$B$25,MATCH($C1026,Mapping!$A$5:$A$25,0))&amp;" | "&amp;INDEX(Mapping!$B$29:$B$38,MATCH($B1026,Mapping!$A$29:$A$38,0)))</f>
        <v/>
      </c>
      <c r="I1026" s="5">
        <f>INDEX(Variables!$C$5:$C$65,MATCH($A1026,Variables!$A$5:$A$65,0))</f>
        <v/>
      </c>
      <c r="J1026" s="5">
        <f>INDEX(Variables!$E$5:$E$65,MATCH($A1026,Variables!$A$5:$A$65,0))</f>
        <v/>
      </c>
      <c r="K1026" s="23">
        <f>LOWER(Settings!$C$4)&amp;".mit."&amp;$A1026&amp;IF($C1026="","","."&amp;$C1026&amp;"."&amp;$B1026)&amp;IF(INDEX(Variables!$D$5:$D$65,MATCH($A1026,Variables!$A$5:$A$65,0))="","","."&amp;INDEX(Variables!$D$5:$D$65,MATCH($A1026,Variables!$A$5:$A$65,0)))&amp;"."&amp;K$5</f>
        <v/>
      </c>
      <c r="L1026" s="40">
        <f>INDEX(Inputs!$V$5:$V$132,MATCH($B1026&amp;"|"&amp;$C1026,Inputs!$A$5:$A$132,0))</f>
        <v/>
      </c>
      <c r="M1026" s="41">
        <f>L1026*(1/(1+$G1026))^(1+$E1026)*(1+M$7)^$D1026*(M1008/L1008)^$E1026*((M1008+M1017)/(L1008+L1017))^($F1026*(1+$E1026))</f>
        <v/>
      </c>
      <c r="N1026" s="41">
        <f>M1026*(1/(1+$G1026))^(1+$E1026)*(1+N$7)^$D1026*(N1008/M1008)^$E1026*((N1008+N1017)/(M1008+M1017))^($F1026*(1+$E1026))</f>
        <v/>
      </c>
      <c r="O1026" s="41">
        <f>N1026*(1/(1+$G1026))^(1+$E1026)*(1+O$7)^$D1026*(O1008/N1008)^$E1026*((O1008+O1017)/(N1008+N1017))^($F1026*(1+$E1026))</f>
        <v/>
      </c>
      <c r="P1026" s="41">
        <f>O1026*(1/(1+$G1026))^(1+$E1026)*(1+P$7)^$D1026*(P1008/O1008)^$E1026*((P1008+P1017)/(O1008+O1017))^($F1026*(1+$E1026))</f>
        <v/>
      </c>
      <c r="Q1026" s="41">
        <f>P1026*(1/(1+$G1026))^(1+$E1026)*(1+Q$7)^$D1026*(Q1008/P1008)^$E1026*((Q1008+Q1017)/(P1008+P1017))^($F1026*(1+$E1026))</f>
        <v/>
      </c>
      <c r="R1026" s="41">
        <f>Q1026*(1/(1+$G1026))^(1+$E1026)*(1+R$7)^$D1026*(R1008/Q1008)^$E1026*((R1008+R1017)/(Q1008+Q1017))^($F1026*(1+$E1026))</f>
        <v/>
      </c>
      <c r="S1026" s="41">
        <f>R1026*(1/(1+$G1026))^(1+$E1026)*(1+S$7)^$D1026*(S1008/R1008)^$E1026*((S1008+S1017)/(R1008+R1017))^($F1026*(1+$E1026))</f>
        <v/>
      </c>
      <c r="T1026" s="41">
        <f>S1026*(1/(1+$G1026))^(1+$E1026)*(1+T$7)^$D1026*(T1008/S1008)^$E1026*((T1008+T1017)/(S1008+S1017))^($F1026*(1+$E1026))</f>
        <v/>
      </c>
      <c r="U1026" s="41">
        <f>T1026*(1/(1+$G1026))^(1+$E1026)*(1+U$7)^$D1026*(U1008/T1008)^$E1026*((U1008+U1017)/(T1008+T1017))^($F1026*(1+$E1026))</f>
        <v/>
      </c>
      <c r="V1026" s="41">
        <f>U1026*(1/(1+$G1026))^(1+$E1026)*(1+V$7)^$D1026*(V1008/U1008)^$E1026*((V1008+V1017)/(U1008+U1017))^($F1026*(1+$E1026))</f>
        <v/>
      </c>
      <c r="W1026" s="41">
        <f>V1026*(1/(1+$G1026))^(1+$E1026)*(1+W$7)^$D1026*(W1008/V1008)^$E1026*((W1008+W1017)/(V1008+V1017))^($F1026*(1+$E1026))</f>
        <v/>
      </c>
      <c r="X1026" s="41">
        <f>W1026*(1/(1+$G1026))^(1+$E1026)*(1+X$7)^$D1026*(X1008/W1008)^$E1026*((X1008+X1017)/(W1008+W1017))^($F1026*(1+$E1026))</f>
        <v/>
      </c>
      <c r="Y1026" s="42">
        <f>FUELUSE(X1026,Y1008,X1008,Y1017,X1017,Y$7,$D1026,$E1026,$F1026,$G1026)</f>
        <v/>
      </c>
      <c r="Z1026" s="23">
        <f>LOWER(Settings!$C$4)&amp;".mit."&amp;$A1026&amp;IF($C1026="","","."&amp;$C1026&amp;"."&amp;$B1026)&amp;IF(INDEX(Variables!$D$5:$D$65,MATCH($A1026,Variables!$A$5:$A$65,0))="","","."&amp;INDEX(Variables!$D$5:$D$65,MATCH($A1026,Variables!$A$5:$A$65,0)))&amp;"."&amp;Z$5</f>
        <v/>
      </c>
      <c r="AA1026" s="40">
        <f>INDEX(Inputs!$V$5:$V$132,MATCH($B1026&amp;"|"&amp;$C1026,Inputs!$A$5:$A$132,0))</f>
        <v/>
      </c>
      <c r="AB1026" s="41">
        <f>AA1026*(1/(1+$G1026))^(1+$E1026)*(1+AB$7)^$D1026*(AB1008/AA1008)^$E1026*((AB1008+AB1017)/(AA1008+AA1017))^($F1026*(1+$E1026))</f>
        <v/>
      </c>
      <c r="AC1026" s="41">
        <f>AB1026*(1/(1+$G1026))^(1+$E1026)*(1+AC$7)^$D1026*(AC1008/AB1008)^$E1026*((AC1008+AC1017)/(AB1008+AB1017))^($F1026*(1+$E1026))</f>
        <v/>
      </c>
      <c r="AD1026" s="41">
        <f>AC1026*(1/(1+$G1026))^(1+$E1026)*(1+AD$7)^$D1026*(AD1008/AC1008)^$E1026*((AD1008+AD1017)/(AC1008+AC1017))^($F1026*(1+$E1026))</f>
        <v/>
      </c>
      <c r="AE1026" s="41">
        <f>AD1026*(1/(1+$G1026))^(1+$E1026)*(1+AE$7)^$D1026*(AE1008/AD1008)^$E1026*((AE1008+AE1017)/(AD1008+AD1017))^($F1026*(1+$E1026))</f>
        <v/>
      </c>
      <c r="AF1026" s="41">
        <f>AE1026*(1/(1+$G1026))^(1+$E1026)*(1+AF$7)^$D1026*(AF1008/AE1008)^$E1026*((AF1008+AF1017)/(AE1008+AE1017))^($F1026*(1+$E1026))</f>
        <v/>
      </c>
      <c r="AG1026" s="41">
        <f>AF1026*(1/(1+$G1026))^(1+$E1026)*(1+AG$7)^$D1026*(AG1008/AF1008)^$E1026*((AG1008+AG1017)/(AF1008+AF1017))^($F1026*(1+$E1026))</f>
        <v/>
      </c>
      <c r="AH1026" s="41">
        <f>AG1026*(1/(1+$G1026))^(1+$E1026)*(1+AH$7)^$D1026*(AH1008/AG1008)^$E1026*((AH1008+AH1017)/(AG1008+AG1017))^($F1026*(1+$E1026))</f>
        <v/>
      </c>
      <c r="AI1026" s="41">
        <f>AH1026*(1/(1+$G1026))^(1+$E1026)*(1+AI$7)^$D1026*(AI1008/AH1008)^$E1026*((AI1008+AI1017)/(AH1008+AH1017))^($F1026*(1+$E1026))</f>
        <v/>
      </c>
      <c r="AJ1026" s="41">
        <f>AI1026*(1/(1+$G1026))^(1+$E1026)*(1+AJ$7)^$D1026*(AJ1008/AI1008)^$E1026*((AJ1008+AJ1017)/(AI1008+AI1017))^($F1026*(1+$E1026))</f>
        <v/>
      </c>
      <c r="AK1026" s="41">
        <f>AJ1026*(1/(1+$G1026))^(1+$E1026)*(1+AK$7)^$D1026*(AK1008/AJ1008)^$E1026*((AK1008+AK1017)/(AJ1008+AJ1017))^($F1026*(1+$E1026))</f>
        <v/>
      </c>
      <c r="AL1026" s="41">
        <f>AK1026*(1/(1+$G1026))^(1+$E1026)*(1+AL$7)^$D1026*(AL1008/AK1008)^$E1026*((AL1008+AL1017)/(AK1008+AK1017))^($F1026*(1+$E1026))</f>
        <v/>
      </c>
      <c r="AM1026" s="41">
        <f>AL1026*(1/(1+$G1026))^(1+$E1026)*(1+AM$7)^$D1026*(AM1008/AL1008)^$E1026*((AM1008+AM1017)/(AL1008+AL1017))^($F1026*(1+$E1026))</f>
        <v/>
      </c>
      <c r="AN1026" s="42">
        <f>FUELUSE(AM1026,AN1008,AM1008,AN1017,AM1017,AN$7,$D1026,$E1026,$F1026,$G1026)</f>
        <v/>
      </c>
    </row>
    <row r="1027" hidden="1" outlineLevel="2">
      <c r="A1027" s="5" t="inlineStr">
        <is>
          <t>ener</t>
        </is>
      </c>
      <c r="B1027" s="5" t="inlineStr">
        <is>
          <t>die</t>
        </is>
      </c>
      <c r="C1027" s="5" t="inlineStr">
        <is>
          <t>cem</t>
        </is>
      </c>
      <c r="D1027" s="36">
        <f>INDEX(Inputs!$N$5:$N$132,MATCH($B1027&amp;"|"&amp;$C1027,Inputs!$A$5:$A$132,0))</f>
        <v/>
      </c>
      <c r="E1027" s="36">
        <f>INDEX(Inputs!$O$5:$O$132,MATCH($B1027&amp;"|"&amp;$C1027,Inputs!$A$5:$A$132,0))</f>
        <v/>
      </c>
      <c r="F1027" s="36">
        <f>INDEX(Inputs!$P$5:$P$132,MATCH($B1027&amp;"|"&amp;$C1027,Inputs!$A$5:$A$132,0))</f>
        <v/>
      </c>
      <c r="G1027" s="36">
        <f>INDEX(Inputs!$Q$5:$Q$132,MATCH($B1027&amp;"|"&amp;$C1027,Inputs!$A$5:$A$132,0))</f>
        <v/>
      </c>
      <c r="H1027" s="5">
        <f>INDEX(Variables!$B$5:$B$65,MATCH($A1027,Variables!$A$5:$A$65,0))&amp;IF($C1027="",""," | "&amp;INDEX(Mapping!$B$5:$B$25,MATCH($C1027,Mapping!$A$5:$A$25,0))&amp;" | "&amp;INDEX(Mapping!$B$29:$B$38,MATCH($B1027,Mapping!$A$29:$A$38,0)))</f>
        <v/>
      </c>
      <c r="I1027" s="5">
        <f>INDEX(Variables!$C$5:$C$65,MATCH($A1027,Variables!$A$5:$A$65,0))</f>
        <v/>
      </c>
      <c r="J1027" s="5">
        <f>INDEX(Variables!$E$5:$E$65,MATCH($A1027,Variables!$A$5:$A$65,0))</f>
        <v/>
      </c>
      <c r="K1027" s="23">
        <f>LOWER(Settings!$C$4)&amp;".mit."&amp;$A1027&amp;IF($C1027="","","."&amp;$C1027&amp;"."&amp;$B1027)&amp;IF(INDEX(Variables!$D$5:$D$65,MATCH($A1027,Variables!$A$5:$A$65,0))="","","."&amp;INDEX(Variables!$D$5:$D$65,MATCH($A1027,Variables!$A$5:$A$65,0)))&amp;"."&amp;K$5</f>
        <v/>
      </c>
      <c r="L1027" s="40">
        <f>INDEX(Inputs!$V$5:$V$132,MATCH($B1027&amp;"|"&amp;$C1027,Inputs!$A$5:$A$132,0))</f>
        <v/>
      </c>
      <c r="M1027" s="41">
        <f>L1027*(1/(1+$G1027))^(1+$E1027)*(1+M$7)^$D1027*(M1009/L1009)^$E1027*((M1009+M1018)/(L1009+L1018))^($F1027*(1+$E1027))</f>
        <v/>
      </c>
      <c r="N1027" s="41">
        <f>M1027*(1/(1+$G1027))^(1+$E1027)*(1+N$7)^$D1027*(N1009/M1009)^$E1027*((N1009+N1018)/(M1009+M1018))^($F1027*(1+$E1027))</f>
        <v/>
      </c>
      <c r="O1027" s="41">
        <f>N1027*(1/(1+$G1027))^(1+$E1027)*(1+O$7)^$D1027*(O1009/N1009)^$E1027*((O1009+O1018)/(N1009+N1018))^($F1027*(1+$E1027))</f>
        <v/>
      </c>
      <c r="P1027" s="41">
        <f>O1027*(1/(1+$G1027))^(1+$E1027)*(1+P$7)^$D1027*(P1009/O1009)^$E1027*((P1009+P1018)/(O1009+O1018))^($F1027*(1+$E1027))</f>
        <v/>
      </c>
      <c r="Q1027" s="41">
        <f>P1027*(1/(1+$G1027))^(1+$E1027)*(1+Q$7)^$D1027*(Q1009/P1009)^$E1027*((Q1009+Q1018)/(P1009+P1018))^($F1027*(1+$E1027))</f>
        <v/>
      </c>
      <c r="R1027" s="41">
        <f>Q1027*(1/(1+$G1027))^(1+$E1027)*(1+R$7)^$D1027*(R1009/Q1009)^$E1027*((R1009+R1018)/(Q1009+Q1018))^($F1027*(1+$E1027))</f>
        <v/>
      </c>
      <c r="S1027" s="41">
        <f>R1027*(1/(1+$G1027))^(1+$E1027)*(1+S$7)^$D1027*(S1009/R1009)^$E1027*((S1009+S1018)/(R1009+R1018))^($F1027*(1+$E1027))</f>
        <v/>
      </c>
      <c r="T1027" s="41">
        <f>S1027*(1/(1+$G1027))^(1+$E1027)*(1+T$7)^$D1027*(T1009/S1009)^$E1027*((T1009+T1018)/(S1009+S1018))^($F1027*(1+$E1027))</f>
        <v/>
      </c>
      <c r="U1027" s="41">
        <f>T1027*(1/(1+$G1027))^(1+$E1027)*(1+U$7)^$D1027*(U1009/T1009)^$E1027*((U1009+U1018)/(T1009+T1018))^($F1027*(1+$E1027))</f>
        <v/>
      </c>
      <c r="V1027" s="41">
        <f>U1027*(1/(1+$G1027))^(1+$E1027)*(1+V$7)^$D1027*(V1009/U1009)^$E1027*((V1009+V1018)/(U1009+U1018))^($F1027*(1+$E1027))</f>
        <v/>
      </c>
      <c r="W1027" s="41">
        <f>V1027*(1/(1+$G1027))^(1+$E1027)*(1+W$7)^$D1027*(W1009/V1009)^$E1027*((W1009+W1018)/(V1009+V1018))^($F1027*(1+$E1027))</f>
        <v/>
      </c>
      <c r="X1027" s="41">
        <f>W1027*(1/(1+$G1027))^(1+$E1027)*(1+X$7)^$D1027*(X1009/W1009)^$E1027*((X1009+X1018)/(W1009+W1018))^($F1027*(1+$E1027))</f>
        <v/>
      </c>
      <c r="Y1027" s="42">
        <f>FUELUSE(X1027,Y1009,X1009,Y1018,X1018,Y$7,$D1027,$E1027,$F1027,$G1027)</f>
        <v/>
      </c>
      <c r="Z1027" s="23">
        <f>LOWER(Settings!$C$4)&amp;".mit."&amp;$A1027&amp;IF($C1027="","","."&amp;$C1027&amp;"."&amp;$B1027)&amp;IF(INDEX(Variables!$D$5:$D$65,MATCH($A1027,Variables!$A$5:$A$65,0))="","","."&amp;INDEX(Variables!$D$5:$D$65,MATCH($A1027,Variables!$A$5:$A$65,0)))&amp;"."&amp;Z$5</f>
        <v/>
      </c>
      <c r="AA1027" s="40">
        <f>INDEX(Inputs!$V$5:$V$132,MATCH($B1027&amp;"|"&amp;$C1027,Inputs!$A$5:$A$132,0))</f>
        <v/>
      </c>
      <c r="AB1027" s="41">
        <f>AA1027*(1/(1+$G1027))^(1+$E1027)*(1+AB$7)^$D1027*(AB1009/AA1009)^$E1027*((AB1009+AB1018)/(AA1009+AA1018))^($F1027*(1+$E1027))</f>
        <v/>
      </c>
      <c r="AC1027" s="41">
        <f>AB1027*(1/(1+$G1027))^(1+$E1027)*(1+AC$7)^$D1027*(AC1009/AB1009)^$E1027*((AC1009+AC1018)/(AB1009+AB1018))^($F1027*(1+$E1027))</f>
        <v/>
      </c>
      <c r="AD1027" s="41">
        <f>AC1027*(1/(1+$G1027))^(1+$E1027)*(1+AD$7)^$D1027*(AD1009/AC1009)^$E1027*((AD1009+AD1018)/(AC1009+AC1018))^($F1027*(1+$E1027))</f>
        <v/>
      </c>
      <c r="AE1027" s="41">
        <f>AD1027*(1/(1+$G1027))^(1+$E1027)*(1+AE$7)^$D1027*(AE1009/AD1009)^$E1027*((AE1009+AE1018)/(AD1009+AD1018))^($F1027*(1+$E1027))</f>
        <v/>
      </c>
      <c r="AF1027" s="41">
        <f>AE1027*(1/(1+$G1027))^(1+$E1027)*(1+AF$7)^$D1027*(AF1009/AE1009)^$E1027*((AF1009+AF1018)/(AE1009+AE1018))^($F1027*(1+$E1027))</f>
        <v/>
      </c>
      <c r="AG1027" s="41">
        <f>AF1027*(1/(1+$G1027))^(1+$E1027)*(1+AG$7)^$D1027*(AG1009/AF1009)^$E1027*((AG1009+AG1018)/(AF1009+AF1018))^($F1027*(1+$E1027))</f>
        <v/>
      </c>
      <c r="AH1027" s="41">
        <f>AG1027*(1/(1+$G1027))^(1+$E1027)*(1+AH$7)^$D1027*(AH1009/AG1009)^$E1027*((AH1009+AH1018)/(AG1009+AG1018))^($F1027*(1+$E1027))</f>
        <v/>
      </c>
      <c r="AI1027" s="41">
        <f>AH1027*(1/(1+$G1027))^(1+$E1027)*(1+AI$7)^$D1027*(AI1009/AH1009)^$E1027*((AI1009+AI1018)/(AH1009+AH1018))^($F1027*(1+$E1027))</f>
        <v/>
      </c>
      <c r="AJ1027" s="41">
        <f>AI1027*(1/(1+$G1027))^(1+$E1027)*(1+AJ$7)^$D1027*(AJ1009/AI1009)^$E1027*((AJ1009+AJ1018)/(AI1009+AI1018))^($F1027*(1+$E1027))</f>
        <v/>
      </c>
      <c r="AK1027" s="41">
        <f>AJ1027*(1/(1+$G1027))^(1+$E1027)*(1+AK$7)^$D1027*(AK1009/AJ1009)^$E1027*((AK1009+AK1018)/(AJ1009+AJ1018))^($F1027*(1+$E1027))</f>
        <v/>
      </c>
      <c r="AL1027" s="41">
        <f>AK1027*(1/(1+$G1027))^(1+$E1027)*(1+AL$7)^$D1027*(AL1009/AK1009)^$E1027*((AL1009+AL1018)/(AK1009+AK1018))^($F1027*(1+$E1027))</f>
        <v/>
      </c>
      <c r="AM1027" s="41">
        <f>AL1027*(1/(1+$G1027))^(1+$E1027)*(1+AM$7)^$D1027*(AM1009/AL1009)^$E1027*((AM1009+AM1018)/(AL1009+AL1018))^($F1027*(1+$E1027))</f>
        <v/>
      </c>
      <c r="AN1027" s="42">
        <f>FUELUSE(AM1027,AN1009,AM1009,AN1018,AM1018,AN$7,$D1027,$E1027,$F1027,$G1027)</f>
        <v/>
      </c>
    </row>
    <row r="1028" hidden="1" outlineLevel="2">
      <c r="A1028" s="5" t="inlineStr">
        <is>
          <t>ener</t>
        </is>
      </c>
      <c r="B1028" s="5" t="inlineStr">
        <is>
          <t>lpg</t>
        </is>
      </c>
      <c r="C1028" s="5" t="inlineStr">
        <is>
          <t>cem</t>
        </is>
      </c>
      <c r="D1028" s="36">
        <f>INDEX(Inputs!$N$5:$N$132,MATCH($B1028&amp;"|"&amp;$C1028,Inputs!$A$5:$A$132,0))</f>
        <v/>
      </c>
      <c r="E1028" s="36">
        <f>INDEX(Inputs!$O$5:$O$132,MATCH($B1028&amp;"|"&amp;$C1028,Inputs!$A$5:$A$132,0))</f>
        <v/>
      </c>
      <c r="F1028" s="36">
        <f>INDEX(Inputs!$P$5:$P$132,MATCH($B1028&amp;"|"&amp;$C1028,Inputs!$A$5:$A$132,0))</f>
        <v/>
      </c>
      <c r="G1028" s="36">
        <f>INDEX(Inputs!$Q$5:$Q$132,MATCH($B1028&amp;"|"&amp;$C1028,Inputs!$A$5:$A$132,0))</f>
        <v/>
      </c>
      <c r="H1028" s="5">
        <f>INDEX(Variables!$B$5:$B$65,MATCH($A1028,Variables!$A$5:$A$65,0))&amp;IF($C1028="",""," | "&amp;INDEX(Mapping!$B$5:$B$25,MATCH($C1028,Mapping!$A$5:$A$25,0))&amp;" | "&amp;INDEX(Mapping!$B$29:$B$38,MATCH($B1028,Mapping!$A$29:$A$38,0)))</f>
        <v/>
      </c>
      <c r="I1028" s="5">
        <f>INDEX(Variables!$C$5:$C$65,MATCH($A1028,Variables!$A$5:$A$65,0))</f>
        <v/>
      </c>
      <c r="J1028" s="5">
        <f>INDEX(Variables!$E$5:$E$65,MATCH($A1028,Variables!$A$5:$A$65,0))</f>
        <v/>
      </c>
      <c r="K1028" s="23">
        <f>LOWER(Settings!$C$4)&amp;".mit."&amp;$A1028&amp;IF($C1028="","","."&amp;$C1028&amp;"."&amp;$B1028)&amp;IF(INDEX(Variables!$D$5:$D$65,MATCH($A1028,Variables!$A$5:$A$65,0))="","","."&amp;INDEX(Variables!$D$5:$D$65,MATCH($A1028,Variables!$A$5:$A$65,0)))&amp;"."&amp;K$5</f>
        <v/>
      </c>
      <c r="L1028" s="40">
        <f>INDEX(Inputs!$V$5:$V$132,MATCH($B1028&amp;"|"&amp;$C1028,Inputs!$A$5:$A$132,0))</f>
        <v/>
      </c>
      <c r="M1028" s="41">
        <f>L1028*(1/(1+$G1028))^(1+$E1028)*(1+M$7)^$D1028*(M1010/L1010)^$E1028*((M1010+M1019)/(L1010+L1019))^($F1028*(1+$E1028))</f>
        <v/>
      </c>
      <c r="N1028" s="41">
        <f>M1028*(1/(1+$G1028))^(1+$E1028)*(1+N$7)^$D1028*(N1010/M1010)^$E1028*((N1010+N1019)/(M1010+M1019))^($F1028*(1+$E1028))</f>
        <v/>
      </c>
      <c r="O1028" s="41">
        <f>N1028*(1/(1+$G1028))^(1+$E1028)*(1+O$7)^$D1028*(O1010/N1010)^$E1028*((O1010+O1019)/(N1010+N1019))^($F1028*(1+$E1028))</f>
        <v/>
      </c>
      <c r="P1028" s="41">
        <f>O1028*(1/(1+$G1028))^(1+$E1028)*(1+P$7)^$D1028*(P1010/O1010)^$E1028*((P1010+P1019)/(O1010+O1019))^($F1028*(1+$E1028))</f>
        <v/>
      </c>
      <c r="Q1028" s="41">
        <f>P1028*(1/(1+$G1028))^(1+$E1028)*(1+Q$7)^$D1028*(Q1010/P1010)^$E1028*((Q1010+Q1019)/(P1010+P1019))^($F1028*(1+$E1028))</f>
        <v/>
      </c>
      <c r="R1028" s="41">
        <f>Q1028*(1/(1+$G1028))^(1+$E1028)*(1+R$7)^$D1028*(R1010/Q1010)^$E1028*((R1010+R1019)/(Q1010+Q1019))^($F1028*(1+$E1028))</f>
        <v/>
      </c>
      <c r="S1028" s="41">
        <f>R1028*(1/(1+$G1028))^(1+$E1028)*(1+S$7)^$D1028*(S1010/R1010)^$E1028*((S1010+S1019)/(R1010+R1019))^($F1028*(1+$E1028))</f>
        <v/>
      </c>
      <c r="T1028" s="41">
        <f>S1028*(1/(1+$G1028))^(1+$E1028)*(1+T$7)^$D1028*(T1010/S1010)^$E1028*((T1010+T1019)/(S1010+S1019))^($F1028*(1+$E1028))</f>
        <v/>
      </c>
      <c r="U1028" s="41">
        <f>T1028*(1/(1+$G1028))^(1+$E1028)*(1+U$7)^$D1028*(U1010/T1010)^$E1028*((U1010+U1019)/(T1010+T1019))^($F1028*(1+$E1028))</f>
        <v/>
      </c>
      <c r="V1028" s="41">
        <f>U1028*(1/(1+$G1028))^(1+$E1028)*(1+V$7)^$D1028*(V1010/U1010)^$E1028*((V1010+V1019)/(U1010+U1019))^($F1028*(1+$E1028))</f>
        <v/>
      </c>
      <c r="W1028" s="41">
        <f>V1028*(1/(1+$G1028))^(1+$E1028)*(1+W$7)^$D1028*(W1010/V1010)^$E1028*((W1010+W1019)/(V1010+V1019))^($F1028*(1+$E1028))</f>
        <v/>
      </c>
      <c r="X1028" s="41">
        <f>W1028*(1/(1+$G1028))^(1+$E1028)*(1+X$7)^$D1028*(X1010/W1010)^$E1028*((X1010+X1019)/(W1010+W1019))^($F1028*(1+$E1028))</f>
        <v/>
      </c>
      <c r="Y1028" s="42">
        <f>FUELUSE(X1028,Y1010,X1010,Y1019,X1019,Y$7,$D1028,$E1028,$F1028,$G1028)</f>
        <v/>
      </c>
      <c r="Z1028" s="23">
        <f>LOWER(Settings!$C$4)&amp;".mit."&amp;$A1028&amp;IF($C1028="","","."&amp;$C1028&amp;"."&amp;$B1028)&amp;IF(INDEX(Variables!$D$5:$D$65,MATCH($A1028,Variables!$A$5:$A$65,0))="","","."&amp;INDEX(Variables!$D$5:$D$65,MATCH($A1028,Variables!$A$5:$A$65,0)))&amp;"."&amp;Z$5</f>
        <v/>
      </c>
      <c r="AA1028" s="40">
        <f>INDEX(Inputs!$V$5:$V$132,MATCH($B1028&amp;"|"&amp;$C1028,Inputs!$A$5:$A$132,0))</f>
        <v/>
      </c>
      <c r="AB1028" s="41">
        <f>AA1028*(1/(1+$G1028))^(1+$E1028)*(1+AB$7)^$D1028*(AB1010/AA1010)^$E1028*((AB1010+AB1019)/(AA1010+AA1019))^($F1028*(1+$E1028))</f>
        <v/>
      </c>
      <c r="AC1028" s="41">
        <f>AB1028*(1/(1+$G1028))^(1+$E1028)*(1+AC$7)^$D1028*(AC1010/AB1010)^$E1028*((AC1010+AC1019)/(AB1010+AB1019))^($F1028*(1+$E1028))</f>
        <v/>
      </c>
      <c r="AD1028" s="41">
        <f>AC1028*(1/(1+$G1028))^(1+$E1028)*(1+AD$7)^$D1028*(AD1010/AC1010)^$E1028*((AD1010+AD1019)/(AC1010+AC1019))^($F1028*(1+$E1028))</f>
        <v/>
      </c>
      <c r="AE1028" s="41">
        <f>AD1028*(1/(1+$G1028))^(1+$E1028)*(1+AE$7)^$D1028*(AE1010/AD1010)^$E1028*((AE1010+AE1019)/(AD1010+AD1019))^($F1028*(1+$E1028))</f>
        <v/>
      </c>
      <c r="AF1028" s="41">
        <f>AE1028*(1/(1+$G1028))^(1+$E1028)*(1+AF$7)^$D1028*(AF1010/AE1010)^$E1028*((AF1010+AF1019)/(AE1010+AE1019))^($F1028*(1+$E1028))</f>
        <v/>
      </c>
      <c r="AG1028" s="41">
        <f>AF1028*(1/(1+$G1028))^(1+$E1028)*(1+AG$7)^$D1028*(AG1010/AF1010)^$E1028*((AG1010+AG1019)/(AF1010+AF1019))^($F1028*(1+$E1028))</f>
        <v/>
      </c>
      <c r="AH1028" s="41">
        <f>AG1028*(1/(1+$G1028))^(1+$E1028)*(1+AH$7)^$D1028*(AH1010/AG1010)^$E1028*((AH1010+AH1019)/(AG1010+AG1019))^($F1028*(1+$E1028))</f>
        <v/>
      </c>
      <c r="AI1028" s="41">
        <f>AH1028*(1/(1+$G1028))^(1+$E1028)*(1+AI$7)^$D1028*(AI1010/AH1010)^$E1028*((AI1010+AI1019)/(AH1010+AH1019))^($F1028*(1+$E1028))</f>
        <v/>
      </c>
      <c r="AJ1028" s="41">
        <f>AI1028*(1/(1+$G1028))^(1+$E1028)*(1+AJ$7)^$D1028*(AJ1010/AI1010)^$E1028*((AJ1010+AJ1019)/(AI1010+AI1019))^($F1028*(1+$E1028))</f>
        <v/>
      </c>
      <c r="AK1028" s="41">
        <f>AJ1028*(1/(1+$G1028))^(1+$E1028)*(1+AK$7)^$D1028*(AK1010/AJ1010)^$E1028*((AK1010+AK1019)/(AJ1010+AJ1019))^($F1028*(1+$E1028))</f>
        <v/>
      </c>
      <c r="AL1028" s="41">
        <f>AK1028*(1/(1+$G1028))^(1+$E1028)*(1+AL$7)^$D1028*(AL1010/AK1010)^$E1028*((AL1010+AL1019)/(AK1010+AK1019))^($F1028*(1+$E1028))</f>
        <v/>
      </c>
      <c r="AM1028" s="41">
        <f>AL1028*(1/(1+$G1028))^(1+$E1028)*(1+AM$7)^$D1028*(AM1010/AL1010)^$E1028*((AM1010+AM1019)/(AL1010+AL1019))^($F1028*(1+$E1028))</f>
        <v/>
      </c>
      <c r="AN1028" s="42">
        <f>FUELUSE(AM1028,AN1010,AM1010,AN1019,AM1019,AN$7,$D1028,$E1028,$F1028,$G1028)</f>
        <v/>
      </c>
    </row>
    <row r="1029" hidden="1" outlineLevel="2">
      <c r="A1029" s="5" t="inlineStr">
        <is>
          <t>ener</t>
        </is>
      </c>
      <c r="B1029" s="5" t="inlineStr">
        <is>
          <t>ker</t>
        </is>
      </c>
      <c r="C1029" s="5" t="inlineStr">
        <is>
          <t>cem</t>
        </is>
      </c>
      <c r="D1029" s="36">
        <f>INDEX(Inputs!$N$5:$N$132,MATCH($B1029&amp;"|"&amp;$C1029,Inputs!$A$5:$A$132,0))</f>
        <v/>
      </c>
      <c r="E1029" s="36">
        <f>INDEX(Inputs!$O$5:$O$132,MATCH($B1029&amp;"|"&amp;$C1029,Inputs!$A$5:$A$132,0))</f>
        <v/>
      </c>
      <c r="F1029" s="36">
        <f>INDEX(Inputs!$P$5:$P$132,MATCH($B1029&amp;"|"&amp;$C1029,Inputs!$A$5:$A$132,0))</f>
        <v/>
      </c>
      <c r="G1029" s="36">
        <f>INDEX(Inputs!$Q$5:$Q$132,MATCH($B1029&amp;"|"&amp;$C1029,Inputs!$A$5:$A$132,0))</f>
        <v/>
      </c>
      <c r="H1029" s="5">
        <f>INDEX(Variables!$B$5:$B$65,MATCH($A1029,Variables!$A$5:$A$65,0))&amp;IF($C1029="",""," | "&amp;INDEX(Mapping!$B$5:$B$25,MATCH($C1029,Mapping!$A$5:$A$25,0))&amp;" | "&amp;INDEX(Mapping!$B$29:$B$38,MATCH($B1029,Mapping!$A$29:$A$38,0)))</f>
        <v/>
      </c>
      <c r="I1029" s="5">
        <f>INDEX(Variables!$C$5:$C$65,MATCH($A1029,Variables!$A$5:$A$65,0))</f>
        <v/>
      </c>
      <c r="J1029" s="5">
        <f>INDEX(Variables!$E$5:$E$65,MATCH($A1029,Variables!$A$5:$A$65,0))</f>
        <v/>
      </c>
      <c r="K1029" s="23">
        <f>LOWER(Settings!$C$4)&amp;".mit."&amp;$A1029&amp;IF($C1029="","","."&amp;$C1029&amp;"."&amp;$B1029)&amp;IF(INDEX(Variables!$D$5:$D$65,MATCH($A1029,Variables!$A$5:$A$65,0))="","","."&amp;INDEX(Variables!$D$5:$D$65,MATCH($A1029,Variables!$A$5:$A$65,0)))&amp;"."&amp;K$5</f>
        <v/>
      </c>
      <c r="L1029" s="40">
        <f>INDEX(Inputs!$V$5:$V$132,MATCH($B1029&amp;"|"&amp;$C1029,Inputs!$A$5:$A$132,0))</f>
        <v/>
      </c>
      <c r="M1029" s="41">
        <f>L1029*(1/(1+$G1029))^(1+$E1029)*(1+M$7)^$D1029*(M1011/L1011)^$E1029*((M1011+M1020)/(L1011+L1020))^($F1029*(1+$E1029))</f>
        <v/>
      </c>
      <c r="N1029" s="41">
        <f>M1029*(1/(1+$G1029))^(1+$E1029)*(1+N$7)^$D1029*(N1011/M1011)^$E1029*((N1011+N1020)/(M1011+M1020))^($F1029*(1+$E1029))</f>
        <v/>
      </c>
      <c r="O1029" s="41">
        <f>N1029*(1/(1+$G1029))^(1+$E1029)*(1+O$7)^$D1029*(O1011/N1011)^$E1029*((O1011+O1020)/(N1011+N1020))^($F1029*(1+$E1029))</f>
        <v/>
      </c>
      <c r="P1029" s="41">
        <f>O1029*(1/(1+$G1029))^(1+$E1029)*(1+P$7)^$D1029*(P1011/O1011)^$E1029*((P1011+P1020)/(O1011+O1020))^($F1029*(1+$E1029))</f>
        <v/>
      </c>
      <c r="Q1029" s="41">
        <f>P1029*(1/(1+$G1029))^(1+$E1029)*(1+Q$7)^$D1029*(Q1011/P1011)^$E1029*((Q1011+Q1020)/(P1011+P1020))^($F1029*(1+$E1029))</f>
        <v/>
      </c>
      <c r="R1029" s="41">
        <f>Q1029*(1/(1+$G1029))^(1+$E1029)*(1+R$7)^$D1029*(R1011/Q1011)^$E1029*((R1011+R1020)/(Q1011+Q1020))^($F1029*(1+$E1029))</f>
        <v/>
      </c>
      <c r="S1029" s="41">
        <f>R1029*(1/(1+$G1029))^(1+$E1029)*(1+S$7)^$D1029*(S1011/R1011)^$E1029*((S1011+S1020)/(R1011+R1020))^($F1029*(1+$E1029))</f>
        <v/>
      </c>
      <c r="T1029" s="41">
        <f>S1029*(1/(1+$G1029))^(1+$E1029)*(1+T$7)^$D1029*(T1011/S1011)^$E1029*((T1011+T1020)/(S1011+S1020))^($F1029*(1+$E1029))</f>
        <v/>
      </c>
      <c r="U1029" s="41">
        <f>T1029*(1/(1+$G1029))^(1+$E1029)*(1+U$7)^$D1029*(U1011/T1011)^$E1029*((U1011+U1020)/(T1011+T1020))^($F1029*(1+$E1029))</f>
        <v/>
      </c>
      <c r="V1029" s="41">
        <f>U1029*(1/(1+$G1029))^(1+$E1029)*(1+V$7)^$D1029*(V1011/U1011)^$E1029*((V1011+V1020)/(U1011+U1020))^($F1029*(1+$E1029))</f>
        <v/>
      </c>
      <c r="W1029" s="41">
        <f>V1029*(1/(1+$G1029))^(1+$E1029)*(1+W$7)^$D1029*(W1011/V1011)^$E1029*((W1011+W1020)/(V1011+V1020))^($F1029*(1+$E1029))</f>
        <v/>
      </c>
      <c r="X1029" s="41">
        <f>W1029*(1/(1+$G1029))^(1+$E1029)*(1+X$7)^$D1029*(X1011/W1011)^$E1029*((X1011+X1020)/(W1011+W1020))^($F1029*(1+$E1029))</f>
        <v/>
      </c>
      <c r="Y1029" s="42">
        <f>FUELUSE(X1029,Y1011,X1011,Y1020,X1020,Y$7,$D1029,$E1029,$F1029,$G1029)</f>
        <v/>
      </c>
      <c r="Z1029" s="23">
        <f>LOWER(Settings!$C$4)&amp;".mit."&amp;$A1029&amp;IF($C1029="","","."&amp;$C1029&amp;"."&amp;$B1029)&amp;IF(INDEX(Variables!$D$5:$D$65,MATCH($A1029,Variables!$A$5:$A$65,0))="","","."&amp;INDEX(Variables!$D$5:$D$65,MATCH($A1029,Variables!$A$5:$A$65,0)))&amp;"."&amp;Z$5</f>
        <v/>
      </c>
      <c r="AA1029" s="40">
        <f>INDEX(Inputs!$V$5:$V$132,MATCH($B1029&amp;"|"&amp;$C1029,Inputs!$A$5:$A$132,0))</f>
        <v/>
      </c>
      <c r="AB1029" s="41">
        <f>AA1029*(1/(1+$G1029))^(1+$E1029)*(1+AB$7)^$D1029*(AB1011/AA1011)^$E1029*((AB1011+AB1020)/(AA1011+AA1020))^($F1029*(1+$E1029))</f>
        <v/>
      </c>
      <c r="AC1029" s="41">
        <f>AB1029*(1/(1+$G1029))^(1+$E1029)*(1+AC$7)^$D1029*(AC1011/AB1011)^$E1029*((AC1011+AC1020)/(AB1011+AB1020))^($F1029*(1+$E1029))</f>
        <v/>
      </c>
      <c r="AD1029" s="41">
        <f>AC1029*(1/(1+$G1029))^(1+$E1029)*(1+AD$7)^$D1029*(AD1011/AC1011)^$E1029*((AD1011+AD1020)/(AC1011+AC1020))^($F1029*(1+$E1029))</f>
        <v/>
      </c>
      <c r="AE1029" s="41">
        <f>AD1029*(1/(1+$G1029))^(1+$E1029)*(1+AE$7)^$D1029*(AE1011/AD1011)^$E1029*((AE1011+AE1020)/(AD1011+AD1020))^($F1029*(1+$E1029))</f>
        <v/>
      </c>
      <c r="AF1029" s="41">
        <f>AE1029*(1/(1+$G1029))^(1+$E1029)*(1+AF$7)^$D1029*(AF1011/AE1011)^$E1029*((AF1011+AF1020)/(AE1011+AE1020))^($F1029*(1+$E1029))</f>
        <v/>
      </c>
      <c r="AG1029" s="41">
        <f>AF1029*(1/(1+$G1029))^(1+$E1029)*(1+AG$7)^$D1029*(AG1011/AF1011)^$E1029*((AG1011+AG1020)/(AF1011+AF1020))^($F1029*(1+$E1029))</f>
        <v/>
      </c>
      <c r="AH1029" s="41">
        <f>AG1029*(1/(1+$G1029))^(1+$E1029)*(1+AH$7)^$D1029*(AH1011/AG1011)^$E1029*((AH1011+AH1020)/(AG1011+AG1020))^($F1029*(1+$E1029))</f>
        <v/>
      </c>
      <c r="AI1029" s="41">
        <f>AH1029*(1/(1+$G1029))^(1+$E1029)*(1+AI$7)^$D1029*(AI1011/AH1011)^$E1029*((AI1011+AI1020)/(AH1011+AH1020))^($F1029*(1+$E1029))</f>
        <v/>
      </c>
      <c r="AJ1029" s="41">
        <f>AI1029*(1/(1+$G1029))^(1+$E1029)*(1+AJ$7)^$D1029*(AJ1011/AI1011)^$E1029*((AJ1011+AJ1020)/(AI1011+AI1020))^($F1029*(1+$E1029))</f>
        <v/>
      </c>
      <c r="AK1029" s="41">
        <f>AJ1029*(1/(1+$G1029))^(1+$E1029)*(1+AK$7)^$D1029*(AK1011/AJ1011)^$E1029*((AK1011+AK1020)/(AJ1011+AJ1020))^($F1029*(1+$E1029))</f>
        <v/>
      </c>
      <c r="AL1029" s="41">
        <f>AK1029*(1/(1+$G1029))^(1+$E1029)*(1+AL$7)^$D1029*(AL1011/AK1011)^$E1029*((AL1011+AL1020)/(AK1011+AK1020))^($F1029*(1+$E1029))</f>
        <v/>
      </c>
      <c r="AM1029" s="41">
        <f>AL1029*(1/(1+$G1029))^(1+$E1029)*(1+AM$7)^$D1029*(AM1011/AL1011)^$E1029*((AM1011+AM1020)/(AL1011+AL1020))^($F1029*(1+$E1029))</f>
        <v/>
      </c>
      <c r="AN1029" s="42">
        <f>FUELUSE(AM1029,AN1011,AM1011,AN1020,AM1020,AN$7,$D1029,$E1029,$F1029,$G1029)</f>
        <v/>
      </c>
    </row>
    <row r="1030" hidden="1" outlineLevel="2">
      <c r="A1030" s="5" t="inlineStr">
        <is>
          <t>ener</t>
        </is>
      </c>
      <c r="B1030" s="5" t="inlineStr">
        <is>
          <t>oop</t>
        </is>
      </c>
      <c r="C1030" s="5" t="inlineStr">
        <is>
          <t>cem</t>
        </is>
      </c>
      <c r="D1030" s="36">
        <f>INDEX(Inputs!$N$5:$N$132,MATCH($B1030&amp;"|"&amp;$C1030,Inputs!$A$5:$A$132,0))</f>
        <v/>
      </c>
      <c r="E1030" s="36">
        <f>INDEX(Inputs!$O$5:$O$132,MATCH($B1030&amp;"|"&amp;$C1030,Inputs!$A$5:$A$132,0))</f>
        <v/>
      </c>
      <c r="F1030" s="36">
        <f>INDEX(Inputs!$P$5:$P$132,MATCH($B1030&amp;"|"&amp;$C1030,Inputs!$A$5:$A$132,0))</f>
        <v/>
      </c>
      <c r="G1030" s="36">
        <f>INDEX(Inputs!$Q$5:$Q$132,MATCH($B1030&amp;"|"&amp;$C1030,Inputs!$A$5:$A$132,0))</f>
        <v/>
      </c>
      <c r="H1030" s="5">
        <f>INDEX(Variables!$B$5:$B$65,MATCH($A1030,Variables!$A$5:$A$65,0))&amp;IF($C1030="",""," | "&amp;INDEX(Mapping!$B$5:$B$25,MATCH($C1030,Mapping!$A$5:$A$25,0))&amp;" | "&amp;INDEX(Mapping!$B$29:$B$38,MATCH($B1030,Mapping!$A$29:$A$38,0)))</f>
        <v/>
      </c>
      <c r="I1030" s="5">
        <f>INDEX(Variables!$C$5:$C$65,MATCH($A1030,Variables!$A$5:$A$65,0))</f>
        <v/>
      </c>
      <c r="J1030" s="5">
        <f>INDEX(Variables!$E$5:$E$65,MATCH($A1030,Variables!$A$5:$A$65,0))</f>
        <v/>
      </c>
      <c r="K1030" s="23">
        <f>LOWER(Settings!$C$4)&amp;".mit."&amp;$A1030&amp;IF($C1030="","","."&amp;$C1030&amp;"."&amp;$B1030)&amp;IF(INDEX(Variables!$D$5:$D$65,MATCH($A1030,Variables!$A$5:$A$65,0))="","","."&amp;INDEX(Variables!$D$5:$D$65,MATCH($A1030,Variables!$A$5:$A$65,0)))&amp;"."&amp;K$5</f>
        <v/>
      </c>
      <c r="L1030" s="40">
        <f>INDEX(Inputs!$V$5:$V$132,MATCH($B1030&amp;"|"&amp;$C1030,Inputs!$A$5:$A$132,0))</f>
        <v/>
      </c>
      <c r="M1030" s="41">
        <f>L1030*(1/(1+$G1030))^(1+$E1030)*(1+M$7)^$D1030*(M1012/L1012)^$E1030*((M1012+M1021)/(L1012+L1021))^($F1030*(1+$E1030))</f>
        <v/>
      </c>
      <c r="N1030" s="41">
        <f>M1030*(1/(1+$G1030))^(1+$E1030)*(1+N$7)^$D1030*(N1012/M1012)^$E1030*((N1012+N1021)/(M1012+M1021))^($F1030*(1+$E1030))</f>
        <v/>
      </c>
      <c r="O1030" s="41">
        <f>N1030*(1/(1+$G1030))^(1+$E1030)*(1+O$7)^$D1030*(O1012/N1012)^$E1030*((O1012+O1021)/(N1012+N1021))^($F1030*(1+$E1030))</f>
        <v/>
      </c>
      <c r="P1030" s="41">
        <f>O1030*(1/(1+$G1030))^(1+$E1030)*(1+P$7)^$D1030*(P1012/O1012)^$E1030*((P1012+P1021)/(O1012+O1021))^($F1030*(1+$E1030))</f>
        <v/>
      </c>
      <c r="Q1030" s="41">
        <f>P1030*(1/(1+$G1030))^(1+$E1030)*(1+Q$7)^$D1030*(Q1012/P1012)^$E1030*((Q1012+Q1021)/(P1012+P1021))^($F1030*(1+$E1030))</f>
        <v/>
      </c>
      <c r="R1030" s="41">
        <f>Q1030*(1/(1+$G1030))^(1+$E1030)*(1+R$7)^$D1030*(R1012/Q1012)^$E1030*((R1012+R1021)/(Q1012+Q1021))^($F1030*(1+$E1030))</f>
        <v/>
      </c>
      <c r="S1030" s="41">
        <f>R1030*(1/(1+$G1030))^(1+$E1030)*(1+S$7)^$D1030*(S1012/R1012)^$E1030*((S1012+S1021)/(R1012+R1021))^($F1030*(1+$E1030))</f>
        <v/>
      </c>
      <c r="T1030" s="41">
        <f>S1030*(1/(1+$G1030))^(1+$E1030)*(1+T$7)^$D1030*(T1012/S1012)^$E1030*((T1012+T1021)/(S1012+S1021))^($F1030*(1+$E1030))</f>
        <v/>
      </c>
      <c r="U1030" s="41">
        <f>T1030*(1/(1+$G1030))^(1+$E1030)*(1+U$7)^$D1030*(U1012/T1012)^$E1030*((U1012+U1021)/(T1012+T1021))^($F1030*(1+$E1030))</f>
        <v/>
      </c>
      <c r="V1030" s="41">
        <f>U1030*(1/(1+$G1030))^(1+$E1030)*(1+V$7)^$D1030*(V1012/U1012)^$E1030*((V1012+V1021)/(U1012+U1021))^($F1030*(1+$E1030))</f>
        <v/>
      </c>
      <c r="W1030" s="41">
        <f>V1030*(1/(1+$G1030))^(1+$E1030)*(1+W$7)^$D1030*(W1012/V1012)^$E1030*((W1012+W1021)/(V1012+V1021))^($F1030*(1+$E1030))</f>
        <v/>
      </c>
      <c r="X1030" s="41">
        <f>W1030*(1/(1+$G1030))^(1+$E1030)*(1+X$7)^$D1030*(X1012/W1012)^$E1030*((X1012+X1021)/(W1012+W1021))^($F1030*(1+$E1030))</f>
        <v/>
      </c>
      <c r="Y1030" s="42">
        <f>FUELUSE(X1030,Y1012,X1012,Y1021,X1021,Y$7,$D1030,$E1030,$F1030,$G1030)</f>
        <v/>
      </c>
      <c r="Z1030" s="23">
        <f>LOWER(Settings!$C$4)&amp;".mit."&amp;$A1030&amp;IF($C1030="","","."&amp;$C1030&amp;"."&amp;$B1030)&amp;IF(INDEX(Variables!$D$5:$D$65,MATCH($A1030,Variables!$A$5:$A$65,0))="","","."&amp;INDEX(Variables!$D$5:$D$65,MATCH($A1030,Variables!$A$5:$A$65,0)))&amp;"."&amp;Z$5</f>
        <v/>
      </c>
      <c r="AA1030" s="40">
        <f>INDEX(Inputs!$V$5:$V$132,MATCH($B1030&amp;"|"&amp;$C1030,Inputs!$A$5:$A$132,0))</f>
        <v/>
      </c>
      <c r="AB1030" s="41">
        <f>AA1030*(1/(1+$G1030))^(1+$E1030)*(1+AB$7)^$D1030*(AB1012/AA1012)^$E1030*((AB1012+AB1021)/(AA1012+AA1021))^($F1030*(1+$E1030))</f>
        <v/>
      </c>
      <c r="AC1030" s="41">
        <f>AB1030*(1/(1+$G1030))^(1+$E1030)*(1+AC$7)^$D1030*(AC1012/AB1012)^$E1030*((AC1012+AC1021)/(AB1012+AB1021))^($F1030*(1+$E1030))</f>
        <v/>
      </c>
      <c r="AD1030" s="41">
        <f>AC1030*(1/(1+$G1030))^(1+$E1030)*(1+AD$7)^$D1030*(AD1012/AC1012)^$E1030*((AD1012+AD1021)/(AC1012+AC1021))^($F1030*(1+$E1030))</f>
        <v/>
      </c>
      <c r="AE1030" s="41">
        <f>AD1030*(1/(1+$G1030))^(1+$E1030)*(1+AE$7)^$D1030*(AE1012/AD1012)^$E1030*((AE1012+AE1021)/(AD1012+AD1021))^($F1030*(1+$E1030))</f>
        <v/>
      </c>
      <c r="AF1030" s="41">
        <f>AE1030*(1/(1+$G1030))^(1+$E1030)*(1+AF$7)^$D1030*(AF1012/AE1012)^$E1030*((AF1012+AF1021)/(AE1012+AE1021))^($F1030*(1+$E1030))</f>
        <v/>
      </c>
      <c r="AG1030" s="41">
        <f>AF1030*(1/(1+$G1030))^(1+$E1030)*(1+AG$7)^$D1030*(AG1012/AF1012)^$E1030*((AG1012+AG1021)/(AF1012+AF1021))^($F1030*(1+$E1030))</f>
        <v/>
      </c>
      <c r="AH1030" s="41">
        <f>AG1030*(1/(1+$G1030))^(1+$E1030)*(1+AH$7)^$D1030*(AH1012/AG1012)^$E1030*((AH1012+AH1021)/(AG1012+AG1021))^($F1030*(1+$E1030))</f>
        <v/>
      </c>
      <c r="AI1030" s="41">
        <f>AH1030*(1/(1+$G1030))^(1+$E1030)*(1+AI$7)^$D1030*(AI1012/AH1012)^$E1030*((AI1012+AI1021)/(AH1012+AH1021))^($F1030*(1+$E1030))</f>
        <v/>
      </c>
      <c r="AJ1030" s="41">
        <f>AI1030*(1/(1+$G1030))^(1+$E1030)*(1+AJ$7)^$D1030*(AJ1012/AI1012)^$E1030*((AJ1012+AJ1021)/(AI1012+AI1021))^($F1030*(1+$E1030))</f>
        <v/>
      </c>
      <c r="AK1030" s="41">
        <f>AJ1030*(1/(1+$G1030))^(1+$E1030)*(1+AK$7)^$D1030*(AK1012/AJ1012)^$E1030*((AK1012+AK1021)/(AJ1012+AJ1021))^($F1030*(1+$E1030))</f>
        <v/>
      </c>
      <c r="AL1030" s="41">
        <f>AK1030*(1/(1+$G1030))^(1+$E1030)*(1+AL$7)^$D1030*(AL1012/AK1012)^$E1030*((AL1012+AL1021)/(AK1012+AK1021))^($F1030*(1+$E1030))</f>
        <v/>
      </c>
      <c r="AM1030" s="41">
        <f>AL1030*(1/(1+$G1030))^(1+$E1030)*(1+AM$7)^$D1030*(AM1012/AL1012)^$E1030*((AM1012+AM1021)/(AL1012+AL1021))^($F1030*(1+$E1030))</f>
        <v/>
      </c>
      <c r="AN1030" s="42">
        <f>FUELUSE(AM1030,AN1012,AM1012,AN1021,AM1021,AN$7,$D1030,$E1030,$F1030,$G1030)</f>
        <v/>
      </c>
    </row>
    <row r="1031" hidden="1" outlineLevel="2">
      <c r="A1031" s="5" t="inlineStr">
        <is>
          <t>ener</t>
        </is>
      </c>
      <c r="B1031" s="5" t="inlineStr">
        <is>
          <t>bio</t>
        </is>
      </c>
      <c r="C1031" s="5" t="inlineStr">
        <is>
          <t>cem</t>
        </is>
      </c>
      <c r="D1031" s="36">
        <f>INDEX(Inputs!$N$5:$N$132,MATCH($B1031&amp;"|"&amp;$C1031,Inputs!$A$5:$A$132,0))</f>
        <v/>
      </c>
      <c r="E1031" s="36">
        <f>INDEX(Inputs!$O$5:$O$132,MATCH($B1031&amp;"|"&amp;$C1031,Inputs!$A$5:$A$132,0))</f>
        <v/>
      </c>
      <c r="F1031" s="36">
        <f>INDEX(Inputs!$P$5:$P$132,MATCH($B1031&amp;"|"&amp;$C1031,Inputs!$A$5:$A$132,0))</f>
        <v/>
      </c>
      <c r="G1031" s="36">
        <f>INDEX(Inputs!$Q$5:$Q$132,MATCH($B1031&amp;"|"&amp;$C1031,Inputs!$A$5:$A$132,0))</f>
        <v/>
      </c>
      <c r="H1031" s="5">
        <f>INDEX(Variables!$B$5:$B$65,MATCH($A1031,Variables!$A$5:$A$65,0))&amp;IF($C1031="",""," | "&amp;INDEX(Mapping!$B$5:$B$25,MATCH($C1031,Mapping!$A$5:$A$25,0))&amp;" | "&amp;INDEX(Mapping!$B$29:$B$38,MATCH($B1031,Mapping!$A$29:$A$38,0)))</f>
        <v/>
      </c>
      <c r="I1031" s="5">
        <f>INDEX(Variables!$C$5:$C$65,MATCH($A1031,Variables!$A$5:$A$65,0))</f>
        <v/>
      </c>
      <c r="J1031" s="5">
        <f>INDEX(Variables!$E$5:$E$65,MATCH($A1031,Variables!$A$5:$A$65,0))</f>
        <v/>
      </c>
      <c r="K1031" s="23">
        <f>LOWER(Settings!$C$4)&amp;".mit."&amp;$A1031&amp;IF($C1031="","","."&amp;$C1031&amp;"."&amp;$B1031)&amp;IF(INDEX(Variables!$D$5:$D$65,MATCH($A1031,Variables!$A$5:$A$65,0))="","","."&amp;INDEX(Variables!$D$5:$D$65,MATCH($A1031,Variables!$A$5:$A$65,0)))&amp;"."&amp;K$5</f>
        <v/>
      </c>
      <c r="L1031" s="40">
        <f>INDEX(Inputs!$V$5:$V$132,MATCH($B1031&amp;"|"&amp;$C1031,Inputs!$A$5:$A$132,0))</f>
        <v/>
      </c>
      <c r="M1031" s="41">
        <f>L1031*(1/(1+$G1031))^(1+$E1031)*(1+M$7)^$D1031*(M1013/L1013)^$E1031*((M1013+M1022)/(L1013+L1022))^($F1031*(1+$E1031))</f>
        <v/>
      </c>
      <c r="N1031" s="41">
        <f>M1031*(1/(1+$G1031))^(1+$E1031)*(1+N$7)^$D1031*(N1013/M1013)^$E1031*((N1013+N1022)/(M1013+M1022))^($F1031*(1+$E1031))</f>
        <v/>
      </c>
      <c r="O1031" s="41">
        <f>N1031*(1/(1+$G1031))^(1+$E1031)*(1+O$7)^$D1031*(O1013/N1013)^$E1031*((O1013+O1022)/(N1013+N1022))^($F1031*(1+$E1031))</f>
        <v/>
      </c>
      <c r="P1031" s="41">
        <f>O1031*(1/(1+$G1031))^(1+$E1031)*(1+P$7)^$D1031*(P1013/O1013)^$E1031*((P1013+P1022)/(O1013+O1022))^($F1031*(1+$E1031))</f>
        <v/>
      </c>
      <c r="Q1031" s="41">
        <f>P1031*(1/(1+$G1031))^(1+$E1031)*(1+Q$7)^$D1031*(Q1013/P1013)^$E1031*((Q1013+Q1022)/(P1013+P1022))^($F1031*(1+$E1031))</f>
        <v/>
      </c>
      <c r="R1031" s="41">
        <f>Q1031*(1/(1+$G1031))^(1+$E1031)*(1+R$7)^$D1031*(R1013/Q1013)^$E1031*((R1013+R1022)/(Q1013+Q1022))^($F1031*(1+$E1031))</f>
        <v/>
      </c>
      <c r="S1031" s="41">
        <f>R1031*(1/(1+$G1031))^(1+$E1031)*(1+S$7)^$D1031*(S1013/R1013)^$E1031*((S1013+S1022)/(R1013+R1022))^($F1031*(1+$E1031))</f>
        <v/>
      </c>
      <c r="T1031" s="41">
        <f>S1031*(1/(1+$G1031))^(1+$E1031)*(1+T$7)^$D1031*(T1013/S1013)^$E1031*((T1013+T1022)/(S1013+S1022))^($F1031*(1+$E1031))</f>
        <v/>
      </c>
      <c r="U1031" s="41">
        <f>T1031*(1/(1+$G1031))^(1+$E1031)*(1+U$7)^$D1031*(U1013/T1013)^$E1031*((U1013+U1022)/(T1013+T1022))^($F1031*(1+$E1031))</f>
        <v/>
      </c>
      <c r="V1031" s="41">
        <f>U1031*(1/(1+$G1031))^(1+$E1031)*(1+V$7)^$D1031*(V1013/U1013)^$E1031*((V1013+V1022)/(U1013+U1022))^($F1031*(1+$E1031))</f>
        <v/>
      </c>
      <c r="W1031" s="41">
        <f>V1031*(1/(1+$G1031))^(1+$E1031)*(1+W$7)^$D1031*(W1013/V1013)^$E1031*((W1013+W1022)/(V1013+V1022))^($F1031*(1+$E1031))</f>
        <v/>
      </c>
      <c r="X1031" s="41">
        <f>W1031*(1/(1+$G1031))^(1+$E1031)*(1+X$7)^$D1031*(X1013/W1013)^$E1031*((X1013+X1022)/(W1013+W1022))^($F1031*(1+$E1031))</f>
        <v/>
      </c>
      <c r="Y1031" s="42">
        <f>FUELUSE(X1031,Y1013,X1013,Y1022,X1022,Y$7,$D1031,$E1031,$F1031,$G1031)</f>
        <v/>
      </c>
      <c r="Z1031" s="23">
        <f>LOWER(Settings!$C$4)&amp;".mit."&amp;$A1031&amp;IF($C1031="","","."&amp;$C1031&amp;"."&amp;$B1031)&amp;IF(INDEX(Variables!$D$5:$D$65,MATCH($A1031,Variables!$A$5:$A$65,0))="","","."&amp;INDEX(Variables!$D$5:$D$65,MATCH($A1031,Variables!$A$5:$A$65,0)))&amp;"."&amp;Z$5</f>
        <v/>
      </c>
      <c r="AA1031" s="40">
        <f>INDEX(Inputs!$V$5:$V$132,MATCH($B1031&amp;"|"&amp;$C1031,Inputs!$A$5:$A$132,0))</f>
        <v/>
      </c>
      <c r="AB1031" s="41">
        <f>AA1031*(1/(1+$G1031))^(1+$E1031)*(1+AB$7)^$D1031*(AB1013/AA1013)^$E1031*((AB1013+AB1022)/(AA1013+AA1022))^($F1031*(1+$E1031))</f>
        <v/>
      </c>
      <c r="AC1031" s="41">
        <f>AB1031*(1/(1+$G1031))^(1+$E1031)*(1+AC$7)^$D1031*(AC1013/AB1013)^$E1031*((AC1013+AC1022)/(AB1013+AB1022))^($F1031*(1+$E1031))</f>
        <v/>
      </c>
      <c r="AD1031" s="41">
        <f>AC1031*(1/(1+$G1031))^(1+$E1031)*(1+AD$7)^$D1031*(AD1013/AC1013)^$E1031*((AD1013+AD1022)/(AC1013+AC1022))^($F1031*(1+$E1031))</f>
        <v/>
      </c>
      <c r="AE1031" s="41">
        <f>AD1031*(1/(1+$G1031))^(1+$E1031)*(1+AE$7)^$D1031*(AE1013/AD1013)^$E1031*((AE1013+AE1022)/(AD1013+AD1022))^($F1031*(1+$E1031))</f>
        <v/>
      </c>
      <c r="AF1031" s="41">
        <f>AE1031*(1/(1+$G1031))^(1+$E1031)*(1+AF$7)^$D1031*(AF1013/AE1013)^$E1031*((AF1013+AF1022)/(AE1013+AE1022))^($F1031*(1+$E1031))</f>
        <v/>
      </c>
      <c r="AG1031" s="41">
        <f>AF1031*(1/(1+$G1031))^(1+$E1031)*(1+AG$7)^$D1031*(AG1013/AF1013)^$E1031*((AG1013+AG1022)/(AF1013+AF1022))^($F1031*(1+$E1031))</f>
        <v/>
      </c>
      <c r="AH1031" s="41">
        <f>AG1031*(1/(1+$G1031))^(1+$E1031)*(1+AH$7)^$D1031*(AH1013/AG1013)^$E1031*((AH1013+AH1022)/(AG1013+AG1022))^($F1031*(1+$E1031))</f>
        <v/>
      </c>
      <c r="AI1031" s="41">
        <f>AH1031*(1/(1+$G1031))^(1+$E1031)*(1+AI$7)^$D1031*(AI1013/AH1013)^$E1031*((AI1013+AI1022)/(AH1013+AH1022))^($F1031*(1+$E1031))</f>
        <v/>
      </c>
      <c r="AJ1031" s="41">
        <f>AI1031*(1/(1+$G1031))^(1+$E1031)*(1+AJ$7)^$D1031*(AJ1013/AI1013)^$E1031*((AJ1013+AJ1022)/(AI1013+AI1022))^($F1031*(1+$E1031))</f>
        <v/>
      </c>
      <c r="AK1031" s="41">
        <f>AJ1031*(1/(1+$G1031))^(1+$E1031)*(1+AK$7)^$D1031*(AK1013/AJ1013)^$E1031*((AK1013+AK1022)/(AJ1013+AJ1022))^($F1031*(1+$E1031))</f>
        <v/>
      </c>
      <c r="AL1031" s="41">
        <f>AK1031*(1/(1+$G1031))^(1+$E1031)*(1+AL$7)^$D1031*(AL1013/AK1013)^$E1031*((AL1013+AL1022)/(AK1013+AK1022))^($F1031*(1+$E1031))</f>
        <v/>
      </c>
      <c r="AM1031" s="41">
        <f>AL1031*(1/(1+$G1031))^(1+$E1031)*(1+AM$7)^$D1031*(AM1013/AL1013)^$E1031*((AM1013+AM1022)/(AL1013+AL1022))^($F1031*(1+$E1031))</f>
        <v/>
      </c>
      <c r="AN1031" s="42">
        <f>FUELUSE(AM1031,AN1013,AM1013,AN1022,AM1022,AN$7,$D1031,$E1031,$F1031,$G1031)</f>
        <v/>
      </c>
    </row>
    <row r="1032" hidden="1" outlineLevel="2"/>
    <row r="1033" outlineLevel="1" collapsed="1">
      <c r="A1033" s="7" t="inlineStr">
        <is>
          <t>ener</t>
        </is>
      </c>
      <c r="B1033" s="7" t="inlineStr">
        <is>
          <t>all</t>
        </is>
      </c>
      <c r="C1033" s="7" t="inlineStr">
        <is>
          <t>omn</t>
        </is>
      </c>
      <c r="H1033" s="7">
        <f>INDEX(Variables!$B$5:$B$65,MATCH($A1033,Variables!$A$5:$A$65,0))&amp;IF($C1033="",""," | "&amp;INDEX(Mapping!$B$5:$B$25,MATCH($C1033,Mapping!$A$5:$A$25,0))&amp;" | "&amp;INDEX(Mapping!$B$29:$B$38,MATCH($B1033,Mapping!$A$29:$A$38,0)))</f>
        <v/>
      </c>
      <c r="I1033" s="7">
        <f>INDEX(Variables!$C$5:$C$65,MATCH($A1033,Variables!$A$5:$A$65,0))</f>
        <v/>
      </c>
      <c r="J1033" s="7">
        <f>INDEX(Variables!$E$5:$E$65,MATCH($A1033,Variables!$A$5:$A$65,0))</f>
        <v/>
      </c>
      <c r="K1033" s="26">
        <f>LOWER(Settings!$C$4)&amp;".mit."&amp;$A1033&amp;IF($C1033="","","."&amp;$C1033&amp;"."&amp;$B1033)&amp;IF(INDEX(Variables!$D$5:$D$65,MATCH($A1033,Variables!$A$5:$A$65,0))="","","."&amp;INDEX(Variables!$D$5:$D$65,MATCH($A1033,Variables!$A$5:$A$65,0)))&amp;"."&amp;K$5</f>
        <v/>
      </c>
      <c r="L1033" s="34">
        <f>SUM(L1097:L1104)</f>
        <v/>
      </c>
      <c r="M1033" s="35">
        <f>SUM(M1097:M1104)</f>
        <v/>
      </c>
      <c r="N1033" s="35">
        <f>SUM(N1097:N1104)</f>
        <v/>
      </c>
      <c r="O1033" s="35">
        <f>SUM(O1097:O1104)</f>
        <v/>
      </c>
      <c r="P1033" s="35">
        <f>SUM(P1097:P1104)</f>
        <v/>
      </c>
      <c r="Q1033" s="35">
        <f>SUM(Q1097:Q1104)</f>
        <v/>
      </c>
      <c r="R1033" s="35">
        <f>SUM(R1097:R1104)</f>
        <v/>
      </c>
      <c r="S1033" s="35">
        <f>SUM(S1097:S1104)</f>
        <v/>
      </c>
      <c r="T1033" s="35">
        <f>SUM(T1097:T1104)</f>
        <v/>
      </c>
      <c r="U1033" s="35">
        <f>SUM(U1097:U1104)</f>
        <v/>
      </c>
      <c r="V1033" s="35">
        <f>SUM(V1097:V1104)</f>
        <v/>
      </c>
      <c r="W1033" s="35">
        <f>SUM(W1097:W1104)</f>
        <v/>
      </c>
      <c r="X1033" s="35">
        <f>SUM(X1097:X1104)</f>
        <v/>
      </c>
      <c r="Y1033" s="35">
        <f>SUM(Y1097:Y1104)</f>
        <v/>
      </c>
      <c r="Z1033" s="26">
        <f>LOWER(Settings!$C$4)&amp;".mit."&amp;$A1033&amp;IF($C1033="","","."&amp;$C1033&amp;"."&amp;$B1033)&amp;IF(INDEX(Variables!$D$5:$D$65,MATCH($A1033,Variables!$A$5:$A$65,0))="","","."&amp;INDEX(Variables!$D$5:$D$65,MATCH($A1033,Variables!$A$5:$A$65,0)))&amp;"."&amp;Z$5</f>
        <v/>
      </c>
      <c r="AA1033" s="34">
        <f>SUM(AA1097:AA1104)</f>
        <v/>
      </c>
      <c r="AB1033" s="35">
        <f>SUM(AB1097:AB1104)</f>
        <v/>
      </c>
      <c r="AC1033" s="35">
        <f>SUM(AC1097:AC1104)</f>
        <v/>
      </c>
      <c r="AD1033" s="35">
        <f>SUM(AD1097:AD1104)</f>
        <v/>
      </c>
      <c r="AE1033" s="35">
        <f>SUM(AE1097:AE1104)</f>
        <v/>
      </c>
      <c r="AF1033" s="35">
        <f>SUM(AF1097:AF1104)</f>
        <v/>
      </c>
      <c r="AG1033" s="35">
        <f>SUM(AG1097:AG1104)</f>
        <v/>
      </c>
      <c r="AH1033" s="35">
        <f>SUM(AH1097:AH1104)</f>
        <v/>
      </c>
      <c r="AI1033" s="35">
        <f>SUM(AI1097:AI1104)</f>
        <v/>
      </c>
      <c r="AJ1033" s="35">
        <f>SUM(AJ1097:AJ1104)</f>
        <v/>
      </c>
      <c r="AK1033" s="35">
        <f>SUM(AK1097:AK1104)</f>
        <v/>
      </c>
      <c r="AL1033" s="35">
        <f>SUM(AL1097:AL1104)</f>
        <v/>
      </c>
      <c r="AM1033" s="35">
        <f>SUM(AM1097:AM1104)</f>
        <v/>
      </c>
      <c r="AN1033" s="35">
        <f>SUM(AN1097:AN1104)</f>
        <v/>
      </c>
    </row>
    <row r="1034" hidden="1" outlineLevel="2">
      <c r="A1034" s="5" t="inlineStr">
        <is>
          <t>sp</t>
        </is>
      </c>
      <c r="B1034" s="5" t="inlineStr">
        <is>
          <t>coa</t>
        </is>
      </c>
      <c r="C1034" s="5" t="inlineStr">
        <is>
          <t>omn</t>
        </is>
      </c>
      <c r="D1034" s="36">
        <f>INDEX(Inputs!$R$5:$R$132,MATCH($B1034&amp;"|"&amp;$C1034,Inputs!$A$5:$A$132,0))</f>
        <v/>
      </c>
      <c r="E1034" s="37" t="n"/>
      <c r="F1034" s="37" t="n"/>
      <c r="G1034" s="37" t="n"/>
      <c r="H1034" s="5">
        <f>INDEX(Variables!$B$5:$B$65,MATCH($A1034,Variables!$A$5:$A$65,0))&amp;IF($C1034="",""," | "&amp;INDEX(Mapping!$B$5:$B$25,MATCH($C1034,Mapping!$A$5:$A$25,0))&amp;" | "&amp;INDEX(Mapping!$B$29:$B$38,MATCH($B1034,Mapping!$A$29:$A$38,0)))</f>
        <v/>
      </c>
      <c r="I1034" s="5">
        <f>INDEX(Variables!$C$5:$C$65,MATCH($A1034,Variables!$A$5:$A$65,0))</f>
        <v/>
      </c>
      <c r="J1034" s="5">
        <f>INDEX(Variables!$E$5:$E$65,MATCH($A1034,Variables!$A$5:$A$65,0))</f>
        <v/>
      </c>
      <c r="K1034" s="23">
        <f>LOWER(Settings!$C$4)&amp;".mit."&amp;$A1034&amp;IF($C1034="","","."&amp;$C1034&amp;"."&amp;$B1034)&amp;IF(INDEX(Variables!$D$5:$D$65,MATCH($A1034,Variables!$A$5:$A$65,0))="","","."&amp;INDEX(Variables!$D$5:$D$65,MATCH($A1034,Variables!$A$5:$A$65,0)))&amp;"."&amp;K$5</f>
        <v/>
      </c>
      <c r="L1034" s="38">
        <f>INDEX(Inputs!$S$5:$S$132,MATCH($B1034&amp;"|"&amp;$C1034,Inputs!$A$5:$A$132,0))</f>
        <v/>
      </c>
      <c r="M1034" s="36">
        <f>L1034*(1+$D1034)</f>
        <v/>
      </c>
      <c r="N1034" s="36">
        <f>M1034*(1+$D1034)</f>
        <v/>
      </c>
      <c r="O1034" s="36">
        <f>N1034*(1+$D1034)</f>
        <v/>
      </c>
      <c r="P1034" s="36">
        <f>O1034*(1+$D1034)</f>
        <v/>
      </c>
      <c r="Q1034" s="36">
        <f>P1034*(1+$D1034)</f>
        <v/>
      </c>
      <c r="R1034" s="36">
        <f>Q1034*(1+$D1034)</f>
        <v/>
      </c>
      <c r="S1034" s="36">
        <f>R1034*(1+$D1034)</f>
        <v/>
      </c>
      <c r="T1034" s="36">
        <f>S1034*(1+$D1034)</f>
        <v/>
      </c>
      <c r="U1034" s="36">
        <f>T1034*(1+$D1034)</f>
        <v/>
      </c>
      <c r="V1034" s="36">
        <f>U1034*(1+$D1034)</f>
        <v/>
      </c>
      <c r="W1034" s="36">
        <f>V1034*(1+$D1034)</f>
        <v/>
      </c>
      <c r="X1034" s="36">
        <f>W1034*(1+$D1034)</f>
        <v/>
      </c>
      <c r="Y1034" s="39">
        <f>PRETAX(X1034,$D1034)</f>
        <v/>
      </c>
      <c r="Z1034" s="23">
        <f>LOWER(Settings!$C$4)&amp;".mit."&amp;$A1034&amp;IF($C1034="","","."&amp;$C1034&amp;"."&amp;$B1034)&amp;IF(INDEX(Variables!$D$5:$D$65,MATCH($A1034,Variables!$A$5:$A$65,0))="","","."&amp;INDEX(Variables!$D$5:$D$65,MATCH($A1034,Variables!$A$5:$A$65,0)))&amp;"."&amp;Z$5</f>
        <v/>
      </c>
      <c r="AA1034" s="38">
        <f>INDEX(Inputs!$S$5:$S$132,MATCH($B1034&amp;"|"&amp;$C1034,Inputs!$A$5:$A$132,0))</f>
        <v/>
      </c>
      <c r="AB1034" s="36">
        <f>AA1034*(1+$D1034)</f>
        <v/>
      </c>
      <c r="AC1034" s="36">
        <f>AB1034*(1+$D1034)</f>
        <v/>
      </c>
      <c r="AD1034" s="36">
        <f>AC1034*(1+$D1034)</f>
        <v/>
      </c>
      <c r="AE1034" s="36">
        <f>AD1034*(1+$D1034)</f>
        <v/>
      </c>
      <c r="AF1034" s="36">
        <f>AE1034*(1+$D1034)</f>
        <v/>
      </c>
      <c r="AG1034" s="36">
        <f>AF1034*(1+$D1034)</f>
        <v/>
      </c>
      <c r="AH1034" s="36">
        <f>AG1034*(1+$D1034)</f>
        <v/>
      </c>
      <c r="AI1034" s="36">
        <f>AH1034*(1+$D1034)</f>
        <v/>
      </c>
      <c r="AJ1034" s="36">
        <f>AI1034*(1+$D1034)</f>
        <v/>
      </c>
      <c r="AK1034" s="36">
        <f>AJ1034*(1+$D1034)</f>
        <v/>
      </c>
      <c r="AL1034" s="36">
        <f>AK1034*(1+$D1034)</f>
        <v/>
      </c>
      <c r="AM1034" s="36">
        <f>AL1034*(1+$D1034)</f>
        <v/>
      </c>
      <c r="AN1034" s="39">
        <f>PRETAX(AM1034,$D1034)</f>
        <v/>
      </c>
    </row>
    <row r="1035" hidden="1" outlineLevel="2">
      <c r="A1035" s="5" t="inlineStr">
        <is>
          <t>sp</t>
        </is>
      </c>
      <c r="B1035" s="5" t="inlineStr">
        <is>
          <t>nga</t>
        </is>
      </c>
      <c r="C1035" s="5" t="inlineStr">
        <is>
          <t>omn</t>
        </is>
      </c>
      <c r="D1035" s="36">
        <f>INDEX(Inputs!$R$5:$R$132,MATCH($B1035&amp;"|"&amp;$C1035,Inputs!$A$5:$A$132,0))</f>
        <v/>
      </c>
      <c r="E1035" s="37" t="n"/>
      <c r="F1035" s="37" t="n"/>
      <c r="G1035" s="37" t="n"/>
      <c r="H1035" s="5">
        <f>INDEX(Variables!$B$5:$B$65,MATCH($A1035,Variables!$A$5:$A$65,0))&amp;IF($C1035="",""," | "&amp;INDEX(Mapping!$B$5:$B$25,MATCH($C1035,Mapping!$A$5:$A$25,0))&amp;" | "&amp;INDEX(Mapping!$B$29:$B$38,MATCH($B1035,Mapping!$A$29:$A$38,0)))</f>
        <v/>
      </c>
      <c r="I1035" s="5">
        <f>INDEX(Variables!$C$5:$C$65,MATCH($A1035,Variables!$A$5:$A$65,0))</f>
        <v/>
      </c>
      <c r="J1035" s="5">
        <f>INDEX(Variables!$E$5:$E$65,MATCH($A1035,Variables!$A$5:$A$65,0))</f>
        <v/>
      </c>
      <c r="K1035" s="23">
        <f>LOWER(Settings!$C$4)&amp;".mit."&amp;$A1035&amp;IF($C1035="","","."&amp;$C1035&amp;"."&amp;$B1035)&amp;IF(INDEX(Variables!$D$5:$D$65,MATCH($A1035,Variables!$A$5:$A$65,0))="","","."&amp;INDEX(Variables!$D$5:$D$65,MATCH($A1035,Variables!$A$5:$A$65,0)))&amp;"."&amp;K$5</f>
        <v/>
      </c>
      <c r="L1035" s="38">
        <f>INDEX(Inputs!$S$5:$S$132,MATCH($B1035&amp;"|"&amp;$C1035,Inputs!$A$5:$A$132,0))</f>
        <v/>
      </c>
      <c r="M1035" s="36">
        <f>L1035*(1+$D1035)</f>
        <v/>
      </c>
      <c r="N1035" s="36">
        <f>M1035*(1+$D1035)</f>
        <v/>
      </c>
      <c r="O1035" s="36">
        <f>N1035*(1+$D1035)</f>
        <v/>
      </c>
      <c r="P1035" s="36">
        <f>O1035*(1+$D1035)</f>
        <v/>
      </c>
      <c r="Q1035" s="36">
        <f>P1035*(1+$D1035)</f>
        <v/>
      </c>
      <c r="R1035" s="36">
        <f>Q1035*(1+$D1035)</f>
        <v/>
      </c>
      <c r="S1035" s="36">
        <f>R1035*(1+$D1035)</f>
        <v/>
      </c>
      <c r="T1035" s="36">
        <f>S1035*(1+$D1035)</f>
        <v/>
      </c>
      <c r="U1035" s="36">
        <f>T1035*(1+$D1035)</f>
        <v/>
      </c>
      <c r="V1035" s="36">
        <f>U1035*(1+$D1035)</f>
        <v/>
      </c>
      <c r="W1035" s="36">
        <f>V1035*(1+$D1035)</f>
        <v/>
      </c>
      <c r="X1035" s="36">
        <f>W1035*(1+$D1035)</f>
        <v/>
      </c>
      <c r="Y1035" s="39">
        <f>PRETAX(X1035,$D1035)</f>
        <v/>
      </c>
      <c r="Z1035" s="23">
        <f>LOWER(Settings!$C$4)&amp;".mit."&amp;$A1035&amp;IF($C1035="","","."&amp;$C1035&amp;"."&amp;$B1035)&amp;IF(INDEX(Variables!$D$5:$D$65,MATCH($A1035,Variables!$A$5:$A$65,0))="","","."&amp;INDEX(Variables!$D$5:$D$65,MATCH($A1035,Variables!$A$5:$A$65,0)))&amp;"."&amp;Z$5</f>
        <v/>
      </c>
      <c r="AA1035" s="38">
        <f>INDEX(Inputs!$S$5:$S$132,MATCH($B1035&amp;"|"&amp;$C1035,Inputs!$A$5:$A$132,0))</f>
        <v/>
      </c>
      <c r="AB1035" s="36">
        <f>AA1035*(1+$D1035)</f>
        <v/>
      </c>
      <c r="AC1035" s="36">
        <f>AB1035*(1+$D1035)</f>
        <v/>
      </c>
      <c r="AD1035" s="36">
        <f>AC1035*(1+$D1035)</f>
        <v/>
      </c>
      <c r="AE1035" s="36">
        <f>AD1035*(1+$D1035)</f>
        <v/>
      </c>
      <c r="AF1035" s="36">
        <f>AE1035*(1+$D1035)</f>
        <v/>
      </c>
      <c r="AG1035" s="36">
        <f>AF1035*(1+$D1035)</f>
        <v/>
      </c>
      <c r="AH1035" s="36">
        <f>AG1035*(1+$D1035)</f>
        <v/>
      </c>
      <c r="AI1035" s="36">
        <f>AH1035*(1+$D1035)</f>
        <v/>
      </c>
      <c r="AJ1035" s="36">
        <f>AI1035*(1+$D1035)</f>
        <v/>
      </c>
      <c r="AK1035" s="36">
        <f>AJ1035*(1+$D1035)</f>
        <v/>
      </c>
      <c r="AL1035" s="36">
        <f>AK1035*(1+$D1035)</f>
        <v/>
      </c>
      <c r="AM1035" s="36">
        <f>AL1035*(1+$D1035)</f>
        <v/>
      </c>
      <c r="AN1035" s="39">
        <f>PRETAX(AM1035,$D1035)</f>
        <v/>
      </c>
    </row>
    <row r="1036" hidden="1" outlineLevel="2">
      <c r="A1036" s="5" t="inlineStr">
        <is>
          <t>sp</t>
        </is>
      </c>
      <c r="B1036" s="5" t="inlineStr">
        <is>
          <t>gso</t>
        </is>
      </c>
      <c r="C1036" s="5" t="inlineStr">
        <is>
          <t>omn</t>
        </is>
      </c>
      <c r="D1036" s="36">
        <f>INDEX(Inputs!$R$5:$R$132,MATCH($B1036&amp;"|"&amp;$C1036,Inputs!$A$5:$A$132,0))</f>
        <v/>
      </c>
      <c r="E1036" s="37" t="n"/>
      <c r="F1036" s="37" t="n"/>
      <c r="G1036" s="37" t="n"/>
      <c r="H1036" s="5">
        <f>INDEX(Variables!$B$5:$B$65,MATCH($A1036,Variables!$A$5:$A$65,0))&amp;IF($C1036="",""," | "&amp;INDEX(Mapping!$B$5:$B$25,MATCH($C1036,Mapping!$A$5:$A$25,0))&amp;" | "&amp;INDEX(Mapping!$B$29:$B$38,MATCH($B1036,Mapping!$A$29:$A$38,0)))</f>
        <v/>
      </c>
      <c r="I1036" s="5">
        <f>INDEX(Variables!$C$5:$C$65,MATCH($A1036,Variables!$A$5:$A$65,0))</f>
        <v/>
      </c>
      <c r="J1036" s="5">
        <f>INDEX(Variables!$E$5:$E$65,MATCH($A1036,Variables!$A$5:$A$65,0))</f>
        <v/>
      </c>
      <c r="K1036" s="23">
        <f>LOWER(Settings!$C$4)&amp;".mit."&amp;$A1036&amp;IF($C1036="","","."&amp;$C1036&amp;"."&amp;$B1036)&amp;IF(INDEX(Variables!$D$5:$D$65,MATCH($A1036,Variables!$A$5:$A$65,0))="","","."&amp;INDEX(Variables!$D$5:$D$65,MATCH($A1036,Variables!$A$5:$A$65,0)))&amp;"."&amp;K$5</f>
        <v/>
      </c>
      <c r="L1036" s="38">
        <f>INDEX(Inputs!$S$5:$S$132,MATCH($B1036&amp;"|"&amp;$C1036,Inputs!$A$5:$A$132,0))</f>
        <v/>
      </c>
      <c r="M1036" s="36">
        <f>L1036*(1+$D1036)</f>
        <v/>
      </c>
      <c r="N1036" s="36">
        <f>M1036*(1+$D1036)</f>
        <v/>
      </c>
      <c r="O1036" s="36">
        <f>N1036*(1+$D1036)</f>
        <v/>
      </c>
      <c r="P1036" s="36">
        <f>O1036*(1+$D1036)</f>
        <v/>
      </c>
      <c r="Q1036" s="36">
        <f>P1036*(1+$D1036)</f>
        <v/>
      </c>
      <c r="R1036" s="36">
        <f>Q1036*(1+$D1036)</f>
        <v/>
      </c>
      <c r="S1036" s="36">
        <f>R1036*(1+$D1036)</f>
        <v/>
      </c>
      <c r="T1036" s="36">
        <f>S1036*(1+$D1036)</f>
        <v/>
      </c>
      <c r="U1036" s="36">
        <f>T1036*(1+$D1036)</f>
        <v/>
      </c>
      <c r="V1036" s="36">
        <f>U1036*(1+$D1036)</f>
        <v/>
      </c>
      <c r="W1036" s="36">
        <f>V1036*(1+$D1036)</f>
        <v/>
      </c>
      <c r="X1036" s="36">
        <f>W1036*(1+$D1036)</f>
        <v/>
      </c>
      <c r="Y1036" s="39">
        <f>PRETAX(X1036,$D1036)</f>
        <v/>
      </c>
      <c r="Z1036" s="23">
        <f>LOWER(Settings!$C$4)&amp;".mit."&amp;$A1036&amp;IF($C1036="","","."&amp;$C1036&amp;"."&amp;$B1036)&amp;IF(INDEX(Variables!$D$5:$D$65,MATCH($A1036,Variables!$A$5:$A$65,0))="","","."&amp;INDEX(Variables!$D$5:$D$65,MATCH($A1036,Variables!$A$5:$A$65,0)))&amp;"."&amp;Z$5</f>
        <v/>
      </c>
      <c r="AA1036" s="38">
        <f>INDEX(Inputs!$S$5:$S$132,MATCH($B1036&amp;"|"&amp;$C1036,Inputs!$A$5:$A$132,0))</f>
        <v/>
      </c>
      <c r="AB1036" s="36">
        <f>AA1036*(1+$D1036)</f>
        <v/>
      </c>
      <c r="AC1036" s="36">
        <f>AB1036*(1+$D1036)</f>
        <v/>
      </c>
      <c r="AD1036" s="36">
        <f>AC1036*(1+$D1036)</f>
        <v/>
      </c>
      <c r="AE1036" s="36">
        <f>AD1036*(1+$D1036)</f>
        <v/>
      </c>
      <c r="AF1036" s="36">
        <f>AE1036*(1+$D1036)</f>
        <v/>
      </c>
      <c r="AG1036" s="36">
        <f>AF1036*(1+$D1036)</f>
        <v/>
      </c>
      <c r="AH1036" s="36">
        <f>AG1036*(1+$D1036)</f>
        <v/>
      </c>
      <c r="AI1036" s="36">
        <f>AH1036*(1+$D1036)</f>
        <v/>
      </c>
      <c r="AJ1036" s="36">
        <f>AI1036*(1+$D1036)</f>
        <v/>
      </c>
      <c r="AK1036" s="36">
        <f>AJ1036*(1+$D1036)</f>
        <v/>
      </c>
      <c r="AL1036" s="36">
        <f>AK1036*(1+$D1036)</f>
        <v/>
      </c>
      <c r="AM1036" s="36">
        <f>AL1036*(1+$D1036)</f>
        <v/>
      </c>
      <c r="AN1036" s="39">
        <f>PRETAX(AM1036,$D1036)</f>
        <v/>
      </c>
    </row>
    <row r="1037" hidden="1" outlineLevel="2">
      <c r="A1037" s="5" t="inlineStr">
        <is>
          <t>sp</t>
        </is>
      </c>
      <c r="B1037" s="5" t="inlineStr">
        <is>
          <t>die</t>
        </is>
      </c>
      <c r="C1037" s="5" t="inlineStr">
        <is>
          <t>omn</t>
        </is>
      </c>
      <c r="D1037" s="36">
        <f>INDEX(Inputs!$R$5:$R$132,MATCH($B1037&amp;"|"&amp;$C1037,Inputs!$A$5:$A$132,0))</f>
        <v/>
      </c>
      <c r="E1037" s="37" t="n"/>
      <c r="F1037" s="37" t="n"/>
      <c r="G1037" s="37" t="n"/>
      <c r="H1037" s="5">
        <f>INDEX(Variables!$B$5:$B$65,MATCH($A1037,Variables!$A$5:$A$65,0))&amp;IF($C1037="",""," | "&amp;INDEX(Mapping!$B$5:$B$25,MATCH($C1037,Mapping!$A$5:$A$25,0))&amp;" | "&amp;INDEX(Mapping!$B$29:$B$38,MATCH($B1037,Mapping!$A$29:$A$38,0)))</f>
        <v/>
      </c>
      <c r="I1037" s="5">
        <f>INDEX(Variables!$C$5:$C$65,MATCH($A1037,Variables!$A$5:$A$65,0))</f>
        <v/>
      </c>
      <c r="J1037" s="5">
        <f>INDEX(Variables!$E$5:$E$65,MATCH($A1037,Variables!$A$5:$A$65,0))</f>
        <v/>
      </c>
      <c r="K1037" s="23">
        <f>LOWER(Settings!$C$4)&amp;".mit."&amp;$A1037&amp;IF($C1037="","","."&amp;$C1037&amp;"."&amp;$B1037)&amp;IF(INDEX(Variables!$D$5:$D$65,MATCH($A1037,Variables!$A$5:$A$65,0))="","","."&amp;INDEX(Variables!$D$5:$D$65,MATCH($A1037,Variables!$A$5:$A$65,0)))&amp;"."&amp;K$5</f>
        <v/>
      </c>
      <c r="L1037" s="38">
        <f>INDEX(Inputs!$S$5:$S$132,MATCH($B1037&amp;"|"&amp;$C1037,Inputs!$A$5:$A$132,0))</f>
        <v/>
      </c>
      <c r="M1037" s="36">
        <f>L1037*(1+$D1037)</f>
        <v/>
      </c>
      <c r="N1037" s="36">
        <f>M1037*(1+$D1037)</f>
        <v/>
      </c>
      <c r="O1037" s="36">
        <f>N1037*(1+$D1037)</f>
        <v/>
      </c>
      <c r="P1037" s="36">
        <f>O1037*(1+$D1037)</f>
        <v/>
      </c>
      <c r="Q1037" s="36">
        <f>P1037*(1+$D1037)</f>
        <v/>
      </c>
      <c r="R1037" s="36">
        <f>Q1037*(1+$D1037)</f>
        <v/>
      </c>
      <c r="S1037" s="36">
        <f>R1037*(1+$D1037)</f>
        <v/>
      </c>
      <c r="T1037" s="36">
        <f>S1037*(1+$D1037)</f>
        <v/>
      </c>
      <c r="U1037" s="36">
        <f>T1037*(1+$D1037)</f>
        <v/>
      </c>
      <c r="V1037" s="36">
        <f>U1037*(1+$D1037)</f>
        <v/>
      </c>
      <c r="W1037" s="36">
        <f>V1037*(1+$D1037)</f>
        <v/>
      </c>
      <c r="X1037" s="36">
        <f>W1037*(1+$D1037)</f>
        <v/>
      </c>
      <c r="Y1037" s="39">
        <f>PRETAX(X1037,$D1037)</f>
        <v/>
      </c>
      <c r="Z1037" s="23">
        <f>LOWER(Settings!$C$4)&amp;".mit."&amp;$A1037&amp;IF($C1037="","","."&amp;$C1037&amp;"."&amp;$B1037)&amp;IF(INDEX(Variables!$D$5:$D$65,MATCH($A1037,Variables!$A$5:$A$65,0))="","","."&amp;INDEX(Variables!$D$5:$D$65,MATCH($A1037,Variables!$A$5:$A$65,0)))&amp;"."&amp;Z$5</f>
        <v/>
      </c>
      <c r="AA1037" s="38">
        <f>INDEX(Inputs!$S$5:$S$132,MATCH($B1037&amp;"|"&amp;$C1037,Inputs!$A$5:$A$132,0))</f>
        <v/>
      </c>
      <c r="AB1037" s="36">
        <f>AA1037*(1+$D1037)</f>
        <v/>
      </c>
      <c r="AC1037" s="36">
        <f>AB1037*(1+$D1037)</f>
        <v/>
      </c>
      <c r="AD1037" s="36">
        <f>AC1037*(1+$D1037)</f>
        <v/>
      </c>
      <c r="AE1037" s="36">
        <f>AD1037*(1+$D1037)</f>
        <v/>
      </c>
      <c r="AF1037" s="36">
        <f>AE1037*(1+$D1037)</f>
        <v/>
      </c>
      <c r="AG1037" s="36">
        <f>AF1037*(1+$D1037)</f>
        <v/>
      </c>
      <c r="AH1037" s="36">
        <f>AG1037*(1+$D1037)</f>
        <v/>
      </c>
      <c r="AI1037" s="36">
        <f>AH1037*(1+$D1037)</f>
        <v/>
      </c>
      <c r="AJ1037" s="36">
        <f>AI1037*(1+$D1037)</f>
        <v/>
      </c>
      <c r="AK1037" s="36">
        <f>AJ1037*(1+$D1037)</f>
        <v/>
      </c>
      <c r="AL1037" s="36">
        <f>AK1037*(1+$D1037)</f>
        <v/>
      </c>
      <c r="AM1037" s="36">
        <f>AL1037*(1+$D1037)</f>
        <v/>
      </c>
      <c r="AN1037" s="39">
        <f>PRETAX(AM1037,$D1037)</f>
        <v/>
      </c>
    </row>
    <row r="1038" hidden="1" outlineLevel="2">
      <c r="A1038" s="5" t="inlineStr">
        <is>
          <t>sp</t>
        </is>
      </c>
      <c r="B1038" s="5" t="inlineStr">
        <is>
          <t>lpg</t>
        </is>
      </c>
      <c r="C1038" s="5" t="inlineStr">
        <is>
          <t>omn</t>
        </is>
      </c>
      <c r="D1038" s="36">
        <f>INDEX(Inputs!$R$5:$R$132,MATCH($B1038&amp;"|"&amp;$C1038,Inputs!$A$5:$A$132,0))</f>
        <v/>
      </c>
      <c r="E1038" s="37" t="n"/>
      <c r="F1038" s="37" t="n"/>
      <c r="G1038" s="37" t="n"/>
      <c r="H1038" s="5">
        <f>INDEX(Variables!$B$5:$B$65,MATCH($A1038,Variables!$A$5:$A$65,0))&amp;IF($C1038="",""," | "&amp;INDEX(Mapping!$B$5:$B$25,MATCH($C1038,Mapping!$A$5:$A$25,0))&amp;" | "&amp;INDEX(Mapping!$B$29:$B$38,MATCH($B1038,Mapping!$A$29:$A$38,0)))</f>
        <v/>
      </c>
      <c r="I1038" s="5">
        <f>INDEX(Variables!$C$5:$C$65,MATCH($A1038,Variables!$A$5:$A$65,0))</f>
        <v/>
      </c>
      <c r="J1038" s="5">
        <f>INDEX(Variables!$E$5:$E$65,MATCH($A1038,Variables!$A$5:$A$65,0))</f>
        <v/>
      </c>
      <c r="K1038" s="23">
        <f>LOWER(Settings!$C$4)&amp;".mit."&amp;$A1038&amp;IF($C1038="","","."&amp;$C1038&amp;"."&amp;$B1038)&amp;IF(INDEX(Variables!$D$5:$D$65,MATCH($A1038,Variables!$A$5:$A$65,0))="","","."&amp;INDEX(Variables!$D$5:$D$65,MATCH($A1038,Variables!$A$5:$A$65,0)))&amp;"."&amp;K$5</f>
        <v/>
      </c>
      <c r="L1038" s="38">
        <f>INDEX(Inputs!$S$5:$S$132,MATCH($B1038&amp;"|"&amp;$C1038,Inputs!$A$5:$A$132,0))</f>
        <v/>
      </c>
      <c r="M1038" s="36">
        <f>L1038*(1+$D1038)</f>
        <v/>
      </c>
      <c r="N1038" s="36">
        <f>M1038*(1+$D1038)</f>
        <v/>
      </c>
      <c r="O1038" s="36">
        <f>N1038*(1+$D1038)</f>
        <v/>
      </c>
      <c r="P1038" s="36">
        <f>O1038*(1+$D1038)</f>
        <v/>
      </c>
      <c r="Q1038" s="36">
        <f>P1038*(1+$D1038)</f>
        <v/>
      </c>
      <c r="R1038" s="36">
        <f>Q1038*(1+$D1038)</f>
        <v/>
      </c>
      <c r="S1038" s="36">
        <f>R1038*(1+$D1038)</f>
        <v/>
      </c>
      <c r="T1038" s="36">
        <f>S1038*(1+$D1038)</f>
        <v/>
      </c>
      <c r="U1038" s="36">
        <f>T1038*(1+$D1038)</f>
        <v/>
      </c>
      <c r="V1038" s="36">
        <f>U1038*(1+$D1038)</f>
        <v/>
      </c>
      <c r="W1038" s="36">
        <f>V1038*(1+$D1038)</f>
        <v/>
      </c>
      <c r="X1038" s="36">
        <f>W1038*(1+$D1038)</f>
        <v/>
      </c>
      <c r="Y1038" s="39">
        <f>PRETAX(X1038,$D1038)</f>
        <v/>
      </c>
      <c r="Z1038" s="23">
        <f>LOWER(Settings!$C$4)&amp;".mit."&amp;$A1038&amp;IF($C1038="","","."&amp;$C1038&amp;"."&amp;$B1038)&amp;IF(INDEX(Variables!$D$5:$D$65,MATCH($A1038,Variables!$A$5:$A$65,0))="","","."&amp;INDEX(Variables!$D$5:$D$65,MATCH($A1038,Variables!$A$5:$A$65,0)))&amp;"."&amp;Z$5</f>
        <v/>
      </c>
      <c r="AA1038" s="38">
        <f>INDEX(Inputs!$S$5:$S$132,MATCH($B1038&amp;"|"&amp;$C1038,Inputs!$A$5:$A$132,0))</f>
        <v/>
      </c>
      <c r="AB1038" s="36">
        <f>AA1038*(1+$D1038)</f>
        <v/>
      </c>
      <c r="AC1038" s="36">
        <f>AB1038*(1+$D1038)</f>
        <v/>
      </c>
      <c r="AD1038" s="36">
        <f>AC1038*(1+$D1038)</f>
        <v/>
      </c>
      <c r="AE1038" s="36">
        <f>AD1038*(1+$D1038)</f>
        <v/>
      </c>
      <c r="AF1038" s="36">
        <f>AE1038*(1+$D1038)</f>
        <v/>
      </c>
      <c r="AG1038" s="36">
        <f>AF1038*(1+$D1038)</f>
        <v/>
      </c>
      <c r="AH1038" s="36">
        <f>AG1038*(1+$D1038)</f>
        <v/>
      </c>
      <c r="AI1038" s="36">
        <f>AH1038*(1+$D1038)</f>
        <v/>
      </c>
      <c r="AJ1038" s="36">
        <f>AI1038*(1+$D1038)</f>
        <v/>
      </c>
      <c r="AK1038" s="36">
        <f>AJ1038*(1+$D1038)</f>
        <v/>
      </c>
      <c r="AL1038" s="36">
        <f>AK1038*(1+$D1038)</f>
        <v/>
      </c>
      <c r="AM1038" s="36">
        <f>AL1038*(1+$D1038)</f>
        <v/>
      </c>
      <c r="AN1038" s="39">
        <f>PRETAX(AM1038,$D1038)</f>
        <v/>
      </c>
    </row>
    <row r="1039" hidden="1" outlineLevel="2">
      <c r="A1039" s="5" t="inlineStr">
        <is>
          <t>sp</t>
        </is>
      </c>
      <c r="B1039" s="5" t="inlineStr">
        <is>
          <t>ker</t>
        </is>
      </c>
      <c r="C1039" s="5" t="inlineStr">
        <is>
          <t>omn</t>
        </is>
      </c>
      <c r="D1039" s="36">
        <f>INDEX(Inputs!$R$5:$R$132,MATCH($B1039&amp;"|"&amp;$C1039,Inputs!$A$5:$A$132,0))</f>
        <v/>
      </c>
      <c r="E1039" s="37" t="n"/>
      <c r="F1039" s="37" t="n"/>
      <c r="G1039" s="37" t="n"/>
      <c r="H1039" s="5">
        <f>INDEX(Variables!$B$5:$B$65,MATCH($A1039,Variables!$A$5:$A$65,0))&amp;IF($C1039="",""," | "&amp;INDEX(Mapping!$B$5:$B$25,MATCH($C1039,Mapping!$A$5:$A$25,0))&amp;" | "&amp;INDEX(Mapping!$B$29:$B$38,MATCH($B1039,Mapping!$A$29:$A$38,0)))</f>
        <v/>
      </c>
      <c r="I1039" s="5">
        <f>INDEX(Variables!$C$5:$C$65,MATCH($A1039,Variables!$A$5:$A$65,0))</f>
        <v/>
      </c>
      <c r="J1039" s="5">
        <f>INDEX(Variables!$E$5:$E$65,MATCH($A1039,Variables!$A$5:$A$65,0))</f>
        <v/>
      </c>
      <c r="K1039" s="23">
        <f>LOWER(Settings!$C$4)&amp;".mit."&amp;$A1039&amp;IF($C1039="","","."&amp;$C1039&amp;"."&amp;$B1039)&amp;IF(INDEX(Variables!$D$5:$D$65,MATCH($A1039,Variables!$A$5:$A$65,0))="","","."&amp;INDEX(Variables!$D$5:$D$65,MATCH($A1039,Variables!$A$5:$A$65,0)))&amp;"."&amp;K$5</f>
        <v/>
      </c>
      <c r="L1039" s="38">
        <f>INDEX(Inputs!$S$5:$S$132,MATCH($B1039&amp;"|"&amp;$C1039,Inputs!$A$5:$A$132,0))</f>
        <v/>
      </c>
      <c r="M1039" s="36">
        <f>L1039*(1+$D1039)</f>
        <v/>
      </c>
      <c r="N1039" s="36">
        <f>M1039*(1+$D1039)</f>
        <v/>
      </c>
      <c r="O1039" s="36">
        <f>N1039*(1+$D1039)</f>
        <v/>
      </c>
      <c r="P1039" s="36">
        <f>O1039*(1+$D1039)</f>
        <v/>
      </c>
      <c r="Q1039" s="36">
        <f>P1039*(1+$D1039)</f>
        <v/>
      </c>
      <c r="R1039" s="36">
        <f>Q1039*(1+$D1039)</f>
        <v/>
      </c>
      <c r="S1039" s="36">
        <f>R1039*(1+$D1039)</f>
        <v/>
      </c>
      <c r="T1039" s="36">
        <f>S1039*(1+$D1039)</f>
        <v/>
      </c>
      <c r="U1039" s="36">
        <f>T1039*(1+$D1039)</f>
        <v/>
      </c>
      <c r="V1039" s="36">
        <f>U1039*(1+$D1039)</f>
        <v/>
      </c>
      <c r="W1039" s="36">
        <f>V1039*(1+$D1039)</f>
        <v/>
      </c>
      <c r="X1039" s="36">
        <f>W1039*(1+$D1039)</f>
        <v/>
      </c>
      <c r="Y1039" s="39">
        <f>PRETAX(X1039,$D1039)</f>
        <v/>
      </c>
      <c r="Z1039" s="23">
        <f>LOWER(Settings!$C$4)&amp;".mit."&amp;$A1039&amp;IF($C1039="","","."&amp;$C1039&amp;"."&amp;$B1039)&amp;IF(INDEX(Variables!$D$5:$D$65,MATCH($A1039,Variables!$A$5:$A$65,0))="","","."&amp;INDEX(Variables!$D$5:$D$65,MATCH($A1039,Variables!$A$5:$A$65,0)))&amp;"."&amp;Z$5</f>
        <v/>
      </c>
      <c r="AA1039" s="38">
        <f>INDEX(Inputs!$S$5:$S$132,MATCH($B1039&amp;"|"&amp;$C1039,Inputs!$A$5:$A$132,0))</f>
        <v/>
      </c>
      <c r="AB1039" s="36">
        <f>AA1039*(1+$D1039)</f>
        <v/>
      </c>
      <c r="AC1039" s="36">
        <f>AB1039*(1+$D1039)</f>
        <v/>
      </c>
      <c r="AD1039" s="36">
        <f>AC1039*(1+$D1039)</f>
        <v/>
      </c>
      <c r="AE1039" s="36">
        <f>AD1039*(1+$D1039)</f>
        <v/>
      </c>
      <c r="AF1039" s="36">
        <f>AE1039*(1+$D1039)</f>
        <v/>
      </c>
      <c r="AG1039" s="36">
        <f>AF1039*(1+$D1039)</f>
        <v/>
      </c>
      <c r="AH1039" s="36">
        <f>AG1039*(1+$D1039)</f>
        <v/>
      </c>
      <c r="AI1039" s="36">
        <f>AH1039*(1+$D1039)</f>
        <v/>
      </c>
      <c r="AJ1039" s="36">
        <f>AI1039*(1+$D1039)</f>
        <v/>
      </c>
      <c r="AK1039" s="36">
        <f>AJ1039*(1+$D1039)</f>
        <v/>
      </c>
      <c r="AL1039" s="36">
        <f>AK1039*(1+$D1039)</f>
        <v/>
      </c>
      <c r="AM1039" s="36">
        <f>AL1039*(1+$D1039)</f>
        <v/>
      </c>
      <c r="AN1039" s="39">
        <f>PRETAX(AM1039,$D1039)</f>
        <v/>
      </c>
    </row>
    <row r="1040" hidden="1" outlineLevel="2">
      <c r="A1040" s="5" t="inlineStr">
        <is>
          <t>sp</t>
        </is>
      </c>
      <c r="B1040" s="5" t="inlineStr">
        <is>
          <t>oop</t>
        </is>
      </c>
      <c r="C1040" s="5" t="inlineStr">
        <is>
          <t>omn</t>
        </is>
      </c>
      <c r="D1040" s="36">
        <f>INDEX(Inputs!$R$5:$R$132,MATCH($B1040&amp;"|"&amp;$C1040,Inputs!$A$5:$A$132,0))</f>
        <v/>
      </c>
      <c r="E1040" s="37" t="n"/>
      <c r="F1040" s="37" t="n"/>
      <c r="G1040" s="37" t="n"/>
      <c r="H1040" s="5">
        <f>INDEX(Variables!$B$5:$B$65,MATCH($A1040,Variables!$A$5:$A$65,0))&amp;IF($C1040="",""," | "&amp;INDEX(Mapping!$B$5:$B$25,MATCH($C1040,Mapping!$A$5:$A$25,0))&amp;" | "&amp;INDEX(Mapping!$B$29:$B$38,MATCH($B1040,Mapping!$A$29:$A$38,0)))</f>
        <v/>
      </c>
      <c r="I1040" s="5">
        <f>INDEX(Variables!$C$5:$C$65,MATCH($A1040,Variables!$A$5:$A$65,0))</f>
        <v/>
      </c>
      <c r="J1040" s="5">
        <f>INDEX(Variables!$E$5:$E$65,MATCH($A1040,Variables!$A$5:$A$65,0))</f>
        <v/>
      </c>
      <c r="K1040" s="23">
        <f>LOWER(Settings!$C$4)&amp;".mit."&amp;$A1040&amp;IF($C1040="","","."&amp;$C1040&amp;"."&amp;$B1040)&amp;IF(INDEX(Variables!$D$5:$D$65,MATCH($A1040,Variables!$A$5:$A$65,0))="","","."&amp;INDEX(Variables!$D$5:$D$65,MATCH($A1040,Variables!$A$5:$A$65,0)))&amp;"."&amp;K$5</f>
        <v/>
      </c>
      <c r="L1040" s="38">
        <f>INDEX(Inputs!$S$5:$S$132,MATCH($B1040&amp;"|"&amp;$C1040,Inputs!$A$5:$A$132,0))</f>
        <v/>
      </c>
      <c r="M1040" s="36">
        <f>L1040*(1+$D1040)</f>
        <v/>
      </c>
      <c r="N1040" s="36">
        <f>M1040*(1+$D1040)</f>
        <v/>
      </c>
      <c r="O1040" s="36">
        <f>N1040*(1+$D1040)</f>
        <v/>
      </c>
      <c r="P1040" s="36">
        <f>O1040*(1+$D1040)</f>
        <v/>
      </c>
      <c r="Q1040" s="36">
        <f>P1040*(1+$D1040)</f>
        <v/>
      </c>
      <c r="R1040" s="36">
        <f>Q1040*(1+$D1040)</f>
        <v/>
      </c>
      <c r="S1040" s="36">
        <f>R1040*(1+$D1040)</f>
        <v/>
      </c>
      <c r="T1040" s="36">
        <f>S1040*(1+$D1040)</f>
        <v/>
      </c>
      <c r="U1040" s="36">
        <f>T1040*(1+$D1040)</f>
        <v/>
      </c>
      <c r="V1040" s="36">
        <f>U1040*(1+$D1040)</f>
        <v/>
      </c>
      <c r="W1040" s="36">
        <f>V1040*(1+$D1040)</f>
        <v/>
      </c>
      <c r="X1040" s="36">
        <f>W1040*(1+$D1040)</f>
        <v/>
      </c>
      <c r="Y1040" s="39">
        <f>PRETAX(X1040,$D1040)</f>
        <v/>
      </c>
      <c r="Z1040" s="23">
        <f>LOWER(Settings!$C$4)&amp;".mit."&amp;$A1040&amp;IF($C1040="","","."&amp;$C1040&amp;"."&amp;$B1040)&amp;IF(INDEX(Variables!$D$5:$D$65,MATCH($A1040,Variables!$A$5:$A$65,0))="","","."&amp;INDEX(Variables!$D$5:$D$65,MATCH($A1040,Variables!$A$5:$A$65,0)))&amp;"."&amp;Z$5</f>
        <v/>
      </c>
      <c r="AA1040" s="38">
        <f>INDEX(Inputs!$S$5:$S$132,MATCH($B1040&amp;"|"&amp;$C1040,Inputs!$A$5:$A$132,0))</f>
        <v/>
      </c>
      <c r="AB1040" s="36">
        <f>AA1040*(1+$D1040)</f>
        <v/>
      </c>
      <c r="AC1040" s="36">
        <f>AB1040*(1+$D1040)</f>
        <v/>
      </c>
      <c r="AD1040" s="36">
        <f>AC1040*(1+$D1040)</f>
        <v/>
      </c>
      <c r="AE1040" s="36">
        <f>AD1040*(1+$D1040)</f>
        <v/>
      </c>
      <c r="AF1040" s="36">
        <f>AE1040*(1+$D1040)</f>
        <v/>
      </c>
      <c r="AG1040" s="36">
        <f>AF1040*(1+$D1040)</f>
        <v/>
      </c>
      <c r="AH1040" s="36">
        <f>AG1040*(1+$D1040)</f>
        <v/>
      </c>
      <c r="AI1040" s="36">
        <f>AH1040*(1+$D1040)</f>
        <v/>
      </c>
      <c r="AJ1040" s="36">
        <f>AI1040*(1+$D1040)</f>
        <v/>
      </c>
      <c r="AK1040" s="36">
        <f>AJ1040*(1+$D1040)</f>
        <v/>
      </c>
      <c r="AL1040" s="36">
        <f>AK1040*(1+$D1040)</f>
        <v/>
      </c>
      <c r="AM1040" s="36">
        <f>AL1040*(1+$D1040)</f>
        <v/>
      </c>
      <c r="AN1040" s="39">
        <f>PRETAX(AM1040,$D1040)</f>
        <v/>
      </c>
    </row>
    <row r="1041" hidden="1" outlineLevel="2">
      <c r="A1041" s="5" t="inlineStr">
        <is>
          <t>sp</t>
        </is>
      </c>
      <c r="B1041" s="5" t="inlineStr">
        <is>
          <t>bio</t>
        </is>
      </c>
      <c r="C1041" s="5" t="inlineStr">
        <is>
          <t>omn</t>
        </is>
      </c>
      <c r="D1041" s="36">
        <f>INDEX(Inputs!$R$5:$R$132,MATCH($B1041&amp;"|"&amp;$C1041,Inputs!$A$5:$A$132,0))</f>
        <v/>
      </c>
      <c r="E1041" s="37" t="n"/>
      <c r="F1041" s="37" t="n"/>
      <c r="G1041" s="37" t="n"/>
      <c r="H1041" s="5">
        <f>INDEX(Variables!$B$5:$B$65,MATCH($A1041,Variables!$A$5:$A$65,0))&amp;IF($C1041="",""," | "&amp;INDEX(Mapping!$B$5:$B$25,MATCH($C1041,Mapping!$A$5:$A$25,0))&amp;" | "&amp;INDEX(Mapping!$B$29:$B$38,MATCH($B1041,Mapping!$A$29:$A$38,0)))</f>
        <v/>
      </c>
      <c r="I1041" s="5">
        <f>INDEX(Variables!$C$5:$C$65,MATCH($A1041,Variables!$A$5:$A$65,0))</f>
        <v/>
      </c>
      <c r="J1041" s="5">
        <f>INDEX(Variables!$E$5:$E$65,MATCH($A1041,Variables!$A$5:$A$65,0))</f>
        <v/>
      </c>
      <c r="K1041" s="23">
        <f>LOWER(Settings!$C$4)&amp;".mit."&amp;$A1041&amp;IF($C1041="","","."&amp;$C1041&amp;"."&amp;$B1041)&amp;IF(INDEX(Variables!$D$5:$D$65,MATCH($A1041,Variables!$A$5:$A$65,0))="","","."&amp;INDEX(Variables!$D$5:$D$65,MATCH($A1041,Variables!$A$5:$A$65,0)))&amp;"."&amp;K$5</f>
        <v/>
      </c>
      <c r="L1041" s="38">
        <f>INDEX(Inputs!$S$5:$S$132,MATCH($B1041&amp;"|"&amp;$C1041,Inputs!$A$5:$A$132,0))</f>
        <v/>
      </c>
      <c r="M1041" s="36">
        <f>L1041*(1+$D1041)</f>
        <v/>
      </c>
      <c r="N1041" s="36">
        <f>M1041*(1+$D1041)</f>
        <v/>
      </c>
      <c r="O1041" s="36">
        <f>N1041*(1+$D1041)</f>
        <v/>
      </c>
      <c r="P1041" s="36">
        <f>O1041*(1+$D1041)</f>
        <v/>
      </c>
      <c r="Q1041" s="36">
        <f>P1041*(1+$D1041)</f>
        <v/>
      </c>
      <c r="R1041" s="36">
        <f>Q1041*(1+$D1041)</f>
        <v/>
      </c>
      <c r="S1041" s="36">
        <f>R1041*(1+$D1041)</f>
        <v/>
      </c>
      <c r="T1041" s="36">
        <f>S1041*(1+$D1041)</f>
        <v/>
      </c>
      <c r="U1041" s="36">
        <f>T1041*(1+$D1041)</f>
        <v/>
      </c>
      <c r="V1041" s="36">
        <f>U1041*(1+$D1041)</f>
        <v/>
      </c>
      <c r="W1041" s="36">
        <f>V1041*(1+$D1041)</f>
        <v/>
      </c>
      <c r="X1041" s="36">
        <f>W1041*(1+$D1041)</f>
        <v/>
      </c>
      <c r="Y1041" s="39">
        <f>PRETAX(X1041,$D1041)</f>
        <v/>
      </c>
      <c r="Z1041" s="23">
        <f>LOWER(Settings!$C$4)&amp;".mit."&amp;$A1041&amp;IF($C1041="","","."&amp;$C1041&amp;"."&amp;$B1041)&amp;IF(INDEX(Variables!$D$5:$D$65,MATCH($A1041,Variables!$A$5:$A$65,0))="","","."&amp;INDEX(Variables!$D$5:$D$65,MATCH($A1041,Variables!$A$5:$A$65,0)))&amp;"."&amp;Z$5</f>
        <v/>
      </c>
      <c r="AA1041" s="38">
        <f>INDEX(Inputs!$S$5:$S$132,MATCH($B1041&amp;"|"&amp;$C1041,Inputs!$A$5:$A$132,0))</f>
        <v/>
      </c>
      <c r="AB1041" s="36">
        <f>AA1041*(1+$D1041)</f>
        <v/>
      </c>
      <c r="AC1041" s="36">
        <f>AB1041*(1+$D1041)</f>
        <v/>
      </c>
      <c r="AD1041" s="36">
        <f>AC1041*(1+$D1041)</f>
        <v/>
      </c>
      <c r="AE1041" s="36">
        <f>AD1041*(1+$D1041)</f>
        <v/>
      </c>
      <c r="AF1041" s="36">
        <f>AE1041*(1+$D1041)</f>
        <v/>
      </c>
      <c r="AG1041" s="36">
        <f>AF1041*(1+$D1041)</f>
        <v/>
      </c>
      <c r="AH1041" s="36">
        <f>AG1041*(1+$D1041)</f>
        <v/>
      </c>
      <c r="AI1041" s="36">
        <f>AH1041*(1+$D1041)</f>
        <v/>
      </c>
      <c r="AJ1041" s="36">
        <f>AI1041*(1+$D1041)</f>
        <v/>
      </c>
      <c r="AK1041" s="36">
        <f>AJ1041*(1+$D1041)</f>
        <v/>
      </c>
      <c r="AL1041" s="36">
        <f>AK1041*(1+$D1041)</f>
        <v/>
      </c>
      <c r="AM1041" s="36">
        <f>AL1041*(1+$D1041)</f>
        <v/>
      </c>
      <c r="AN1041" s="39">
        <f>PRETAX(AM1041,$D1041)</f>
        <v/>
      </c>
    </row>
    <row r="1042" hidden="1" outlineLevel="2"/>
    <row r="1043" hidden="1" outlineLevel="2">
      <c r="A1043" s="5" t="inlineStr">
        <is>
          <t>ctxnew</t>
        </is>
      </c>
      <c r="B1043" s="5" t="inlineStr">
        <is>
          <t>coa</t>
        </is>
      </c>
      <c r="C1043" s="5" t="inlineStr">
        <is>
          <t>omn</t>
        </is>
      </c>
      <c r="D1043" s="36">
        <f>INDEX(Inputs!$U$5:$U$132,MATCH($B1043&amp;"|"&amp;$C1043,Inputs!$A$5:$A$132,0))</f>
        <v/>
      </c>
      <c r="E1043" s="36">
        <f>INDEX(Inputs!$J$5:$J$132,MATCH($B1043&amp;"|"&amp;$C1043,Inputs!$A$5:$A$132,0))</f>
        <v/>
      </c>
      <c r="F1043" s="36">
        <f>INDEX(Inputs!$K$5:$K$132,MATCH($B1043&amp;"|"&amp;$C1043,Inputs!$A$5:$A$132,0))</f>
        <v/>
      </c>
      <c r="G1043" s="37" t="n"/>
      <c r="H1043" s="5">
        <f>INDEX(Variables!$B$5:$B$65,MATCH($A1043,Variables!$A$5:$A$65,0))&amp;IF($C1043="",""," | "&amp;INDEX(Mapping!$B$5:$B$25,MATCH($C1043,Mapping!$A$5:$A$25,0))&amp;" | "&amp;INDEX(Mapping!$B$29:$B$38,MATCH($B1043,Mapping!$A$29:$A$38,0)))</f>
        <v/>
      </c>
      <c r="I1043" s="5">
        <f>INDEX(Variables!$C$5:$C$65,MATCH($A1043,Variables!$A$5:$A$65,0))</f>
        <v/>
      </c>
      <c r="J1043" s="5">
        <f>INDEX(Variables!$E$5:$E$65,MATCH($A1043,Variables!$A$5:$A$65,0))</f>
        <v/>
      </c>
      <c r="K1043" s="23">
        <f>LOWER(Settings!$C$4)&amp;".mit."&amp;$A1043&amp;IF($C1043="","","."&amp;$C1043&amp;"."&amp;$B1043)&amp;IF(INDEX(Variables!$D$5:$D$65,MATCH($A1043,Variables!$A$5:$A$65,0))="","","."&amp;INDEX(Variables!$D$5:$D$65,MATCH($A1043,Variables!$A$5:$A$65,0)))&amp;"."&amp;K$5</f>
        <v/>
      </c>
      <c r="L1043" s="38">
        <f>L$10*$D1043*INDEX(L$18:L$25,$E1043)*INDEX(L$27:L$43,$F1043)</f>
        <v/>
      </c>
      <c r="M1043" s="36">
        <f>M$10*$D1043*INDEX(M$18:M$25,$E1043)*INDEX(M$27:M$43,$F1043)</f>
        <v/>
      </c>
      <c r="N1043" s="36">
        <f>N$10*$D1043*INDEX(N$18:N$25,$E1043)*INDEX(N$27:N$43,$F1043)</f>
        <v/>
      </c>
      <c r="O1043" s="36">
        <f>O$10*$D1043*INDEX(O$18:O$25,$E1043)*INDEX(O$27:O$43,$F1043)</f>
        <v/>
      </c>
      <c r="P1043" s="36">
        <f>P$10*$D1043*INDEX(P$18:P$25,$E1043)*INDEX(P$27:P$43,$F1043)</f>
        <v/>
      </c>
      <c r="Q1043" s="36">
        <f>Q$10*$D1043*INDEX(Q$18:Q$25,$E1043)*INDEX(Q$27:Q$43,$F1043)</f>
        <v/>
      </c>
      <c r="R1043" s="36">
        <f>R$10*$D1043*INDEX(R$18:R$25,$E1043)*INDEX(R$27:R$43,$F1043)</f>
        <v/>
      </c>
      <c r="S1043" s="36">
        <f>S$10*$D1043*INDEX(S$18:S$25,$E1043)*INDEX(S$27:S$43,$F1043)</f>
        <v/>
      </c>
      <c r="T1043" s="36">
        <f>T$10*$D1043*INDEX(T$18:T$25,$E1043)*INDEX(T$27:T$43,$F1043)</f>
        <v/>
      </c>
      <c r="U1043" s="36">
        <f>U$10*$D1043*INDEX(U$18:U$25,$E1043)*INDEX(U$27:U$43,$F1043)</f>
        <v/>
      </c>
      <c r="V1043" s="36">
        <f>V$10*$D1043*INDEX(V$18:V$25,$E1043)*INDEX(V$27:V$43,$F1043)</f>
        <v/>
      </c>
      <c r="W1043" s="36">
        <f>W$10*$D1043*INDEX(W$18:W$25,$E1043)*INDEX(W$27:W$43,$F1043)</f>
        <v/>
      </c>
      <c r="X1043" s="36">
        <f>X$10*$D1043*INDEX(X$18:X$25,$E1043)*INDEX(X$27:X$43,$F1043)</f>
        <v/>
      </c>
      <c r="Y1043" s="36">
        <f>Y$10*$D1043*INDEX(Y$18:Y$25,$E1043)*INDEX(Y$27:Y$43,$F1043)</f>
        <v/>
      </c>
      <c r="Z1043" s="23">
        <f>LOWER(Settings!$C$4)&amp;".mit."&amp;$A1043&amp;IF($C1043="","","."&amp;$C1043&amp;"."&amp;$B1043)&amp;IF(INDEX(Variables!$D$5:$D$65,MATCH($A1043,Variables!$A$5:$A$65,0))="","","."&amp;INDEX(Variables!$D$5:$D$65,MATCH($A1043,Variables!$A$5:$A$65,0)))&amp;"."&amp;Z$5</f>
        <v/>
      </c>
      <c r="AA1043" s="38">
        <f>AA$10*$D1043*INDEX(AA$18:AA$25,$E1043)*INDEX(AA$27:AA$43,$F1043)</f>
        <v/>
      </c>
      <c r="AB1043" s="36">
        <f>AB$10*$D1043*INDEX(AB$18:AB$25,$E1043)*INDEX(AB$27:AB$43,$F1043)</f>
        <v/>
      </c>
      <c r="AC1043" s="36">
        <f>AC$10*$D1043*INDEX(AC$18:AC$25,$E1043)*INDEX(AC$27:AC$43,$F1043)</f>
        <v/>
      </c>
      <c r="AD1043" s="36">
        <f>AD$10*$D1043*INDEX(AD$18:AD$25,$E1043)*INDEX(AD$27:AD$43,$F1043)</f>
        <v/>
      </c>
      <c r="AE1043" s="36">
        <f>AE$10*$D1043*INDEX(AE$18:AE$25,$E1043)*INDEX(AE$27:AE$43,$F1043)</f>
        <v/>
      </c>
      <c r="AF1043" s="36">
        <f>AF$10*$D1043*INDEX(AF$18:AF$25,$E1043)*INDEX(AF$27:AF$43,$F1043)</f>
        <v/>
      </c>
      <c r="AG1043" s="36">
        <f>AG$10*$D1043*INDEX(AG$18:AG$25,$E1043)*INDEX(AG$27:AG$43,$F1043)</f>
        <v/>
      </c>
      <c r="AH1043" s="36">
        <f>AH$10*$D1043*INDEX(AH$18:AH$25,$E1043)*INDEX(AH$27:AH$43,$F1043)</f>
        <v/>
      </c>
      <c r="AI1043" s="36">
        <f>AI$10*$D1043*INDEX(AI$18:AI$25,$E1043)*INDEX(AI$27:AI$43,$F1043)</f>
        <v/>
      </c>
      <c r="AJ1043" s="36">
        <f>AJ$10*$D1043*INDEX(AJ$18:AJ$25,$E1043)*INDEX(AJ$27:AJ$43,$F1043)</f>
        <v/>
      </c>
      <c r="AK1043" s="36">
        <f>AK$10*$D1043*INDEX(AK$18:AK$25,$E1043)*INDEX(AK$27:AK$43,$F1043)</f>
        <v/>
      </c>
      <c r="AL1043" s="36">
        <f>AL$10*$D1043*INDEX(AL$18:AL$25,$E1043)*INDEX(AL$27:AL$43,$F1043)</f>
        <v/>
      </c>
      <c r="AM1043" s="36">
        <f>AM$10*$D1043*INDEX(AM$18:AM$25,$E1043)*INDEX(AM$27:AM$43,$F1043)</f>
        <v/>
      </c>
      <c r="AN1043" s="36">
        <f>AN$10*$D1043*INDEX(AN$18:AN$25,$E1043)*INDEX(AN$27:AN$43,$F1043)</f>
        <v/>
      </c>
    </row>
    <row r="1044" hidden="1" outlineLevel="2">
      <c r="A1044" s="5" t="inlineStr">
        <is>
          <t>ctxnew</t>
        </is>
      </c>
      <c r="B1044" s="5" t="inlineStr">
        <is>
          <t>nga</t>
        </is>
      </c>
      <c r="C1044" s="5" t="inlineStr">
        <is>
          <t>omn</t>
        </is>
      </c>
      <c r="D1044" s="36">
        <f>INDEX(Inputs!$U$5:$U$132,MATCH($B1044&amp;"|"&amp;$C1044,Inputs!$A$5:$A$132,0))</f>
        <v/>
      </c>
      <c r="E1044" s="36">
        <f>INDEX(Inputs!$J$5:$J$132,MATCH($B1044&amp;"|"&amp;$C1044,Inputs!$A$5:$A$132,0))</f>
        <v/>
      </c>
      <c r="F1044" s="36">
        <f>INDEX(Inputs!$K$5:$K$132,MATCH($B1044&amp;"|"&amp;$C1044,Inputs!$A$5:$A$132,0))</f>
        <v/>
      </c>
      <c r="G1044" s="37" t="n"/>
      <c r="H1044" s="5">
        <f>INDEX(Variables!$B$5:$B$65,MATCH($A1044,Variables!$A$5:$A$65,0))&amp;IF($C1044="",""," | "&amp;INDEX(Mapping!$B$5:$B$25,MATCH($C1044,Mapping!$A$5:$A$25,0))&amp;" | "&amp;INDEX(Mapping!$B$29:$B$38,MATCH($B1044,Mapping!$A$29:$A$38,0)))</f>
        <v/>
      </c>
      <c r="I1044" s="5">
        <f>INDEX(Variables!$C$5:$C$65,MATCH($A1044,Variables!$A$5:$A$65,0))</f>
        <v/>
      </c>
      <c r="J1044" s="5">
        <f>INDEX(Variables!$E$5:$E$65,MATCH($A1044,Variables!$A$5:$A$65,0))</f>
        <v/>
      </c>
      <c r="K1044" s="23">
        <f>LOWER(Settings!$C$4)&amp;".mit."&amp;$A1044&amp;IF($C1044="","","."&amp;$C1044&amp;"."&amp;$B1044)&amp;IF(INDEX(Variables!$D$5:$D$65,MATCH($A1044,Variables!$A$5:$A$65,0))="","","."&amp;INDEX(Variables!$D$5:$D$65,MATCH($A1044,Variables!$A$5:$A$65,0)))&amp;"."&amp;K$5</f>
        <v/>
      </c>
      <c r="L1044" s="38">
        <f>L$10*$D1044*INDEX(L$18:L$25,$E1044)*INDEX(L$27:L$43,$F1044)</f>
        <v/>
      </c>
      <c r="M1044" s="36">
        <f>M$10*$D1044*INDEX(M$18:M$25,$E1044)*INDEX(M$27:M$43,$F1044)</f>
        <v/>
      </c>
      <c r="N1044" s="36">
        <f>N$10*$D1044*INDEX(N$18:N$25,$E1044)*INDEX(N$27:N$43,$F1044)</f>
        <v/>
      </c>
      <c r="O1044" s="36">
        <f>O$10*$D1044*INDEX(O$18:O$25,$E1044)*INDEX(O$27:O$43,$F1044)</f>
        <v/>
      </c>
      <c r="P1044" s="36">
        <f>P$10*$D1044*INDEX(P$18:P$25,$E1044)*INDEX(P$27:P$43,$F1044)</f>
        <v/>
      </c>
      <c r="Q1044" s="36">
        <f>Q$10*$D1044*INDEX(Q$18:Q$25,$E1044)*INDEX(Q$27:Q$43,$F1044)</f>
        <v/>
      </c>
      <c r="R1044" s="36">
        <f>R$10*$D1044*INDEX(R$18:R$25,$E1044)*INDEX(R$27:R$43,$F1044)</f>
        <v/>
      </c>
      <c r="S1044" s="36">
        <f>S$10*$D1044*INDEX(S$18:S$25,$E1044)*INDEX(S$27:S$43,$F1044)</f>
        <v/>
      </c>
      <c r="T1044" s="36">
        <f>T$10*$D1044*INDEX(T$18:T$25,$E1044)*INDEX(T$27:T$43,$F1044)</f>
        <v/>
      </c>
      <c r="U1044" s="36">
        <f>U$10*$D1044*INDEX(U$18:U$25,$E1044)*INDEX(U$27:U$43,$F1044)</f>
        <v/>
      </c>
      <c r="V1044" s="36">
        <f>V$10*$D1044*INDEX(V$18:V$25,$E1044)*INDEX(V$27:V$43,$F1044)</f>
        <v/>
      </c>
      <c r="W1044" s="36">
        <f>W$10*$D1044*INDEX(W$18:W$25,$E1044)*INDEX(W$27:W$43,$F1044)</f>
        <v/>
      </c>
      <c r="X1044" s="36">
        <f>X$10*$D1044*INDEX(X$18:X$25,$E1044)*INDEX(X$27:X$43,$F1044)</f>
        <v/>
      </c>
      <c r="Y1044" s="36">
        <f>Y$10*$D1044*INDEX(Y$18:Y$25,$E1044)*INDEX(Y$27:Y$43,$F1044)</f>
        <v/>
      </c>
      <c r="Z1044" s="23">
        <f>LOWER(Settings!$C$4)&amp;".mit."&amp;$A1044&amp;IF($C1044="","","."&amp;$C1044&amp;"."&amp;$B1044)&amp;IF(INDEX(Variables!$D$5:$D$65,MATCH($A1044,Variables!$A$5:$A$65,0))="","","."&amp;INDEX(Variables!$D$5:$D$65,MATCH($A1044,Variables!$A$5:$A$65,0)))&amp;"."&amp;Z$5</f>
        <v/>
      </c>
      <c r="AA1044" s="38">
        <f>AA$10*$D1044*INDEX(AA$18:AA$25,$E1044)*INDEX(AA$27:AA$43,$F1044)</f>
        <v/>
      </c>
      <c r="AB1044" s="36">
        <f>AB$10*$D1044*INDEX(AB$18:AB$25,$E1044)*INDEX(AB$27:AB$43,$F1044)</f>
        <v/>
      </c>
      <c r="AC1044" s="36">
        <f>AC$10*$D1044*INDEX(AC$18:AC$25,$E1044)*INDEX(AC$27:AC$43,$F1044)</f>
        <v/>
      </c>
      <c r="AD1044" s="36">
        <f>AD$10*$D1044*INDEX(AD$18:AD$25,$E1044)*INDEX(AD$27:AD$43,$F1044)</f>
        <v/>
      </c>
      <c r="AE1044" s="36">
        <f>AE$10*$D1044*INDEX(AE$18:AE$25,$E1044)*INDEX(AE$27:AE$43,$F1044)</f>
        <v/>
      </c>
      <c r="AF1044" s="36">
        <f>AF$10*$D1044*INDEX(AF$18:AF$25,$E1044)*INDEX(AF$27:AF$43,$F1044)</f>
        <v/>
      </c>
      <c r="AG1044" s="36">
        <f>AG$10*$D1044*INDEX(AG$18:AG$25,$E1044)*INDEX(AG$27:AG$43,$F1044)</f>
        <v/>
      </c>
      <c r="AH1044" s="36">
        <f>AH$10*$D1044*INDEX(AH$18:AH$25,$E1044)*INDEX(AH$27:AH$43,$F1044)</f>
        <v/>
      </c>
      <c r="AI1044" s="36">
        <f>AI$10*$D1044*INDEX(AI$18:AI$25,$E1044)*INDEX(AI$27:AI$43,$F1044)</f>
        <v/>
      </c>
      <c r="AJ1044" s="36">
        <f>AJ$10*$D1044*INDEX(AJ$18:AJ$25,$E1044)*INDEX(AJ$27:AJ$43,$F1044)</f>
        <v/>
      </c>
      <c r="AK1044" s="36">
        <f>AK$10*$D1044*INDEX(AK$18:AK$25,$E1044)*INDEX(AK$27:AK$43,$F1044)</f>
        <v/>
      </c>
      <c r="AL1044" s="36">
        <f>AL$10*$D1044*INDEX(AL$18:AL$25,$E1044)*INDEX(AL$27:AL$43,$F1044)</f>
        <v/>
      </c>
      <c r="AM1044" s="36">
        <f>AM$10*$D1044*INDEX(AM$18:AM$25,$E1044)*INDEX(AM$27:AM$43,$F1044)</f>
        <v/>
      </c>
      <c r="AN1044" s="36">
        <f>AN$10*$D1044*INDEX(AN$18:AN$25,$E1044)*INDEX(AN$27:AN$43,$F1044)</f>
        <v/>
      </c>
    </row>
    <row r="1045" hidden="1" outlineLevel="2">
      <c r="A1045" s="5" t="inlineStr">
        <is>
          <t>ctxnew</t>
        </is>
      </c>
      <c r="B1045" s="5" t="inlineStr">
        <is>
          <t>gso</t>
        </is>
      </c>
      <c r="C1045" s="5" t="inlineStr">
        <is>
          <t>omn</t>
        </is>
      </c>
      <c r="D1045" s="36">
        <f>INDEX(Inputs!$U$5:$U$132,MATCH($B1045&amp;"|"&amp;$C1045,Inputs!$A$5:$A$132,0))</f>
        <v/>
      </c>
      <c r="E1045" s="36">
        <f>INDEX(Inputs!$J$5:$J$132,MATCH($B1045&amp;"|"&amp;$C1045,Inputs!$A$5:$A$132,0))</f>
        <v/>
      </c>
      <c r="F1045" s="36">
        <f>INDEX(Inputs!$K$5:$K$132,MATCH($B1045&amp;"|"&amp;$C1045,Inputs!$A$5:$A$132,0))</f>
        <v/>
      </c>
      <c r="G1045" s="37" t="n"/>
      <c r="H1045" s="5">
        <f>INDEX(Variables!$B$5:$B$65,MATCH($A1045,Variables!$A$5:$A$65,0))&amp;IF($C1045="",""," | "&amp;INDEX(Mapping!$B$5:$B$25,MATCH($C1045,Mapping!$A$5:$A$25,0))&amp;" | "&amp;INDEX(Mapping!$B$29:$B$38,MATCH($B1045,Mapping!$A$29:$A$38,0)))</f>
        <v/>
      </c>
      <c r="I1045" s="5">
        <f>INDEX(Variables!$C$5:$C$65,MATCH($A1045,Variables!$A$5:$A$65,0))</f>
        <v/>
      </c>
      <c r="J1045" s="5">
        <f>INDEX(Variables!$E$5:$E$65,MATCH($A1045,Variables!$A$5:$A$65,0))</f>
        <v/>
      </c>
      <c r="K1045" s="23">
        <f>LOWER(Settings!$C$4)&amp;".mit."&amp;$A1045&amp;IF($C1045="","","."&amp;$C1045&amp;"."&amp;$B1045)&amp;IF(INDEX(Variables!$D$5:$D$65,MATCH($A1045,Variables!$A$5:$A$65,0))="","","."&amp;INDEX(Variables!$D$5:$D$65,MATCH($A1045,Variables!$A$5:$A$65,0)))&amp;"."&amp;K$5</f>
        <v/>
      </c>
      <c r="L1045" s="38">
        <f>L$10*$D1045*INDEX(L$18:L$25,$E1045)*INDEX(L$27:L$43,$F1045)</f>
        <v/>
      </c>
      <c r="M1045" s="36">
        <f>M$10*$D1045*INDEX(M$18:M$25,$E1045)*INDEX(M$27:M$43,$F1045)</f>
        <v/>
      </c>
      <c r="N1045" s="36">
        <f>N$10*$D1045*INDEX(N$18:N$25,$E1045)*INDEX(N$27:N$43,$F1045)</f>
        <v/>
      </c>
      <c r="O1045" s="36">
        <f>O$10*$D1045*INDEX(O$18:O$25,$E1045)*INDEX(O$27:O$43,$F1045)</f>
        <v/>
      </c>
      <c r="P1045" s="36">
        <f>P$10*$D1045*INDEX(P$18:P$25,$E1045)*INDEX(P$27:P$43,$F1045)</f>
        <v/>
      </c>
      <c r="Q1045" s="36">
        <f>Q$10*$D1045*INDEX(Q$18:Q$25,$E1045)*INDEX(Q$27:Q$43,$F1045)</f>
        <v/>
      </c>
      <c r="R1045" s="36">
        <f>R$10*$D1045*INDEX(R$18:R$25,$E1045)*INDEX(R$27:R$43,$F1045)</f>
        <v/>
      </c>
      <c r="S1045" s="36">
        <f>S$10*$D1045*INDEX(S$18:S$25,$E1045)*INDEX(S$27:S$43,$F1045)</f>
        <v/>
      </c>
      <c r="T1045" s="36">
        <f>T$10*$D1045*INDEX(T$18:T$25,$E1045)*INDEX(T$27:T$43,$F1045)</f>
        <v/>
      </c>
      <c r="U1045" s="36">
        <f>U$10*$D1045*INDEX(U$18:U$25,$E1045)*INDEX(U$27:U$43,$F1045)</f>
        <v/>
      </c>
      <c r="V1045" s="36">
        <f>V$10*$D1045*INDEX(V$18:V$25,$E1045)*INDEX(V$27:V$43,$F1045)</f>
        <v/>
      </c>
      <c r="W1045" s="36">
        <f>W$10*$D1045*INDEX(W$18:W$25,$E1045)*INDEX(W$27:W$43,$F1045)</f>
        <v/>
      </c>
      <c r="X1045" s="36">
        <f>X$10*$D1045*INDEX(X$18:X$25,$E1045)*INDEX(X$27:X$43,$F1045)</f>
        <v/>
      </c>
      <c r="Y1045" s="36">
        <f>Y$10*$D1045*INDEX(Y$18:Y$25,$E1045)*INDEX(Y$27:Y$43,$F1045)</f>
        <v/>
      </c>
      <c r="Z1045" s="23">
        <f>LOWER(Settings!$C$4)&amp;".mit."&amp;$A1045&amp;IF($C1045="","","."&amp;$C1045&amp;"."&amp;$B1045)&amp;IF(INDEX(Variables!$D$5:$D$65,MATCH($A1045,Variables!$A$5:$A$65,0))="","","."&amp;INDEX(Variables!$D$5:$D$65,MATCH($A1045,Variables!$A$5:$A$65,0)))&amp;"."&amp;Z$5</f>
        <v/>
      </c>
      <c r="AA1045" s="38">
        <f>AA$10*$D1045*INDEX(AA$18:AA$25,$E1045)*INDEX(AA$27:AA$43,$F1045)</f>
        <v/>
      </c>
      <c r="AB1045" s="36">
        <f>AB$10*$D1045*INDEX(AB$18:AB$25,$E1045)*INDEX(AB$27:AB$43,$F1045)</f>
        <v/>
      </c>
      <c r="AC1045" s="36">
        <f>AC$10*$D1045*INDEX(AC$18:AC$25,$E1045)*INDEX(AC$27:AC$43,$F1045)</f>
        <v/>
      </c>
      <c r="AD1045" s="36">
        <f>AD$10*$D1045*INDEX(AD$18:AD$25,$E1045)*INDEX(AD$27:AD$43,$F1045)</f>
        <v/>
      </c>
      <c r="AE1045" s="36">
        <f>AE$10*$D1045*INDEX(AE$18:AE$25,$E1045)*INDEX(AE$27:AE$43,$F1045)</f>
        <v/>
      </c>
      <c r="AF1045" s="36">
        <f>AF$10*$D1045*INDEX(AF$18:AF$25,$E1045)*INDEX(AF$27:AF$43,$F1045)</f>
        <v/>
      </c>
      <c r="AG1045" s="36">
        <f>AG$10*$D1045*INDEX(AG$18:AG$25,$E1045)*INDEX(AG$27:AG$43,$F1045)</f>
        <v/>
      </c>
      <c r="AH1045" s="36">
        <f>AH$10*$D1045*INDEX(AH$18:AH$25,$E1045)*INDEX(AH$27:AH$43,$F1045)</f>
        <v/>
      </c>
      <c r="AI1045" s="36">
        <f>AI$10*$D1045*INDEX(AI$18:AI$25,$E1045)*INDEX(AI$27:AI$43,$F1045)</f>
        <v/>
      </c>
      <c r="AJ1045" s="36">
        <f>AJ$10*$D1045*INDEX(AJ$18:AJ$25,$E1045)*INDEX(AJ$27:AJ$43,$F1045)</f>
        <v/>
      </c>
      <c r="AK1045" s="36">
        <f>AK$10*$D1045*INDEX(AK$18:AK$25,$E1045)*INDEX(AK$27:AK$43,$F1045)</f>
        <v/>
      </c>
      <c r="AL1045" s="36">
        <f>AL$10*$D1045*INDEX(AL$18:AL$25,$E1045)*INDEX(AL$27:AL$43,$F1045)</f>
        <v/>
      </c>
      <c r="AM1045" s="36">
        <f>AM$10*$D1045*INDEX(AM$18:AM$25,$E1045)*INDEX(AM$27:AM$43,$F1045)</f>
        <v/>
      </c>
      <c r="AN1045" s="36">
        <f>AN$10*$D1045*INDEX(AN$18:AN$25,$E1045)*INDEX(AN$27:AN$43,$F1045)</f>
        <v/>
      </c>
    </row>
    <row r="1046" hidden="1" outlineLevel="2">
      <c r="A1046" s="5" t="inlineStr">
        <is>
          <t>ctxnew</t>
        </is>
      </c>
      <c r="B1046" s="5" t="inlineStr">
        <is>
          <t>die</t>
        </is>
      </c>
      <c r="C1046" s="5" t="inlineStr">
        <is>
          <t>omn</t>
        </is>
      </c>
      <c r="D1046" s="36">
        <f>INDEX(Inputs!$U$5:$U$132,MATCH($B1046&amp;"|"&amp;$C1046,Inputs!$A$5:$A$132,0))</f>
        <v/>
      </c>
      <c r="E1046" s="36">
        <f>INDEX(Inputs!$J$5:$J$132,MATCH($B1046&amp;"|"&amp;$C1046,Inputs!$A$5:$A$132,0))</f>
        <v/>
      </c>
      <c r="F1046" s="36">
        <f>INDEX(Inputs!$K$5:$K$132,MATCH($B1046&amp;"|"&amp;$C1046,Inputs!$A$5:$A$132,0))</f>
        <v/>
      </c>
      <c r="G1046" s="37" t="n"/>
      <c r="H1046" s="5">
        <f>INDEX(Variables!$B$5:$B$65,MATCH($A1046,Variables!$A$5:$A$65,0))&amp;IF($C1046="",""," | "&amp;INDEX(Mapping!$B$5:$B$25,MATCH($C1046,Mapping!$A$5:$A$25,0))&amp;" | "&amp;INDEX(Mapping!$B$29:$B$38,MATCH($B1046,Mapping!$A$29:$A$38,0)))</f>
        <v/>
      </c>
      <c r="I1046" s="5">
        <f>INDEX(Variables!$C$5:$C$65,MATCH($A1046,Variables!$A$5:$A$65,0))</f>
        <v/>
      </c>
      <c r="J1046" s="5">
        <f>INDEX(Variables!$E$5:$E$65,MATCH($A1046,Variables!$A$5:$A$65,0))</f>
        <v/>
      </c>
      <c r="K1046" s="23">
        <f>LOWER(Settings!$C$4)&amp;".mit."&amp;$A1046&amp;IF($C1046="","","."&amp;$C1046&amp;"."&amp;$B1046)&amp;IF(INDEX(Variables!$D$5:$D$65,MATCH($A1046,Variables!$A$5:$A$65,0))="","","."&amp;INDEX(Variables!$D$5:$D$65,MATCH($A1046,Variables!$A$5:$A$65,0)))&amp;"."&amp;K$5</f>
        <v/>
      </c>
      <c r="L1046" s="38">
        <f>L$10*$D1046*INDEX(L$18:L$25,$E1046)*INDEX(L$27:L$43,$F1046)</f>
        <v/>
      </c>
      <c r="M1046" s="36">
        <f>M$10*$D1046*INDEX(M$18:M$25,$E1046)*INDEX(M$27:M$43,$F1046)</f>
        <v/>
      </c>
      <c r="N1046" s="36">
        <f>N$10*$D1046*INDEX(N$18:N$25,$E1046)*INDEX(N$27:N$43,$F1046)</f>
        <v/>
      </c>
      <c r="O1046" s="36">
        <f>O$10*$D1046*INDEX(O$18:O$25,$E1046)*INDEX(O$27:O$43,$F1046)</f>
        <v/>
      </c>
      <c r="P1046" s="36">
        <f>P$10*$D1046*INDEX(P$18:P$25,$E1046)*INDEX(P$27:P$43,$F1046)</f>
        <v/>
      </c>
      <c r="Q1046" s="36">
        <f>Q$10*$D1046*INDEX(Q$18:Q$25,$E1046)*INDEX(Q$27:Q$43,$F1046)</f>
        <v/>
      </c>
      <c r="R1046" s="36">
        <f>R$10*$D1046*INDEX(R$18:R$25,$E1046)*INDEX(R$27:R$43,$F1046)</f>
        <v/>
      </c>
      <c r="S1046" s="36">
        <f>S$10*$D1046*INDEX(S$18:S$25,$E1046)*INDEX(S$27:S$43,$F1046)</f>
        <v/>
      </c>
      <c r="T1046" s="36">
        <f>T$10*$D1046*INDEX(T$18:T$25,$E1046)*INDEX(T$27:T$43,$F1046)</f>
        <v/>
      </c>
      <c r="U1046" s="36">
        <f>U$10*$D1046*INDEX(U$18:U$25,$E1046)*INDEX(U$27:U$43,$F1046)</f>
        <v/>
      </c>
      <c r="V1046" s="36">
        <f>V$10*$D1046*INDEX(V$18:V$25,$E1046)*INDEX(V$27:V$43,$F1046)</f>
        <v/>
      </c>
      <c r="W1046" s="36">
        <f>W$10*$D1046*INDEX(W$18:W$25,$E1046)*INDEX(W$27:W$43,$F1046)</f>
        <v/>
      </c>
      <c r="X1046" s="36">
        <f>X$10*$D1046*INDEX(X$18:X$25,$E1046)*INDEX(X$27:X$43,$F1046)</f>
        <v/>
      </c>
      <c r="Y1046" s="36">
        <f>Y$10*$D1046*INDEX(Y$18:Y$25,$E1046)*INDEX(Y$27:Y$43,$F1046)</f>
        <v/>
      </c>
      <c r="Z1046" s="23">
        <f>LOWER(Settings!$C$4)&amp;".mit."&amp;$A1046&amp;IF($C1046="","","."&amp;$C1046&amp;"."&amp;$B1046)&amp;IF(INDEX(Variables!$D$5:$D$65,MATCH($A1046,Variables!$A$5:$A$65,0))="","","."&amp;INDEX(Variables!$D$5:$D$65,MATCH($A1046,Variables!$A$5:$A$65,0)))&amp;"."&amp;Z$5</f>
        <v/>
      </c>
      <c r="AA1046" s="38">
        <f>AA$10*$D1046*INDEX(AA$18:AA$25,$E1046)*INDEX(AA$27:AA$43,$F1046)</f>
        <v/>
      </c>
      <c r="AB1046" s="36">
        <f>AB$10*$D1046*INDEX(AB$18:AB$25,$E1046)*INDEX(AB$27:AB$43,$F1046)</f>
        <v/>
      </c>
      <c r="AC1046" s="36">
        <f>AC$10*$D1046*INDEX(AC$18:AC$25,$E1046)*INDEX(AC$27:AC$43,$F1046)</f>
        <v/>
      </c>
      <c r="AD1046" s="36">
        <f>AD$10*$D1046*INDEX(AD$18:AD$25,$E1046)*INDEX(AD$27:AD$43,$F1046)</f>
        <v/>
      </c>
      <c r="AE1046" s="36">
        <f>AE$10*$D1046*INDEX(AE$18:AE$25,$E1046)*INDEX(AE$27:AE$43,$F1046)</f>
        <v/>
      </c>
      <c r="AF1046" s="36">
        <f>AF$10*$D1046*INDEX(AF$18:AF$25,$E1046)*INDEX(AF$27:AF$43,$F1046)</f>
        <v/>
      </c>
      <c r="AG1046" s="36">
        <f>AG$10*$D1046*INDEX(AG$18:AG$25,$E1046)*INDEX(AG$27:AG$43,$F1046)</f>
        <v/>
      </c>
      <c r="AH1046" s="36">
        <f>AH$10*$D1046*INDEX(AH$18:AH$25,$E1046)*INDEX(AH$27:AH$43,$F1046)</f>
        <v/>
      </c>
      <c r="AI1046" s="36">
        <f>AI$10*$D1046*INDEX(AI$18:AI$25,$E1046)*INDEX(AI$27:AI$43,$F1046)</f>
        <v/>
      </c>
      <c r="AJ1046" s="36">
        <f>AJ$10*$D1046*INDEX(AJ$18:AJ$25,$E1046)*INDEX(AJ$27:AJ$43,$F1046)</f>
        <v/>
      </c>
      <c r="AK1046" s="36">
        <f>AK$10*$D1046*INDEX(AK$18:AK$25,$E1046)*INDEX(AK$27:AK$43,$F1046)</f>
        <v/>
      </c>
      <c r="AL1046" s="36">
        <f>AL$10*$D1046*INDEX(AL$18:AL$25,$E1046)*INDEX(AL$27:AL$43,$F1046)</f>
        <v/>
      </c>
      <c r="AM1046" s="36">
        <f>AM$10*$D1046*INDEX(AM$18:AM$25,$E1046)*INDEX(AM$27:AM$43,$F1046)</f>
        <v/>
      </c>
      <c r="AN1046" s="36">
        <f>AN$10*$D1046*INDEX(AN$18:AN$25,$E1046)*INDEX(AN$27:AN$43,$F1046)</f>
        <v/>
      </c>
    </row>
    <row r="1047" hidden="1" outlineLevel="2">
      <c r="A1047" s="5" t="inlineStr">
        <is>
          <t>ctxnew</t>
        </is>
      </c>
      <c r="B1047" s="5" t="inlineStr">
        <is>
          <t>lpg</t>
        </is>
      </c>
      <c r="C1047" s="5" t="inlineStr">
        <is>
          <t>omn</t>
        </is>
      </c>
      <c r="D1047" s="36">
        <f>INDEX(Inputs!$U$5:$U$132,MATCH($B1047&amp;"|"&amp;$C1047,Inputs!$A$5:$A$132,0))</f>
        <v/>
      </c>
      <c r="E1047" s="36">
        <f>INDEX(Inputs!$J$5:$J$132,MATCH($B1047&amp;"|"&amp;$C1047,Inputs!$A$5:$A$132,0))</f>
        <v/>
      </c>
      <c r="F1047" s="36">
        <f>INDEX(Inputs!$K$5:$K$132,MATCH($B1047&amp;"|"&amp;$C1047,Inputs!$A$5:$A$132,0))</f>
        <v/>
      </c>
      <c r="G1047" s="37" t="n"/>
      <c r="H1047" s="5">
        <f>INDEX(Variables!$B$5:$B$65,MATCH($A1047,Variables!$A$5:$A$65,0))&amp;IF($C1047="",""," | "&amp;INDEX(Mapping!$B$5:$B$25,MATCH($C1047,Mapping!$A$5:$A$25,0))&amp;" | "&amp;INDEX(Mapping!$B$29:$B$38,MATCH($B1047,Mapping!$A$29:$A$38,0)))</f>
        <v/>
      </c>
      <c r="I1047" s="5">
        <f>INDEX(Variables!$C$5:$C$65,MATCH($A1047,Variables!$A$5:$A$65,0))</f>
        <v/>
      </c>
      <c r="J1047" s="5">
        <f>INDEX(Variables!$E$5:$E$65,MATCH($A1047,Variables!$A$5:$A$65,0))</f>
        <v/>
      </c>
      <c r="K1047" s="23">
        <f>LOWER(Settings!$C$4)&amp;".mit."&amp;$A1047&amp;IF($C1047="","","."&amp;$C1047&amp;"."&amp;$B1047)&amp;IF(INDEX(Variables!$D$5:$D$65,MATCH($A1047,Variables!$A$5:$A$65,0))="","","."&amp;INDEX(Variables!$D$5:$D$65,MATCH($A1047,Variables!$A$5:$A$65,0)))&amp;"."&amp;K$5</f>
        <v/>
      </c>
      <c r="L1047" s="38">
        <f>L$10*$D1047*INDEX(L$18:L$25,$E1047)*INDEX(L$27:L$43,$F1047)</f>
        <v/>
      </c>
      <c r="M1047" s="36">
        <f>M$10*$D1047*INDEX(M$18:M$25,$E1047)*INDEX(M$27:M$43,$F1047)</f>
        <v/>
      </c>
      <c r="N1047" s="36">
        <f>N$10*$D1047*INDEX(N$18:N$25,$E1047)*INDEX(N$27:N$43,$F1047)</f>
        <v/>
      </c>
      <c r="O1047" s="36">
        <f>O$10*$D1047*INDEX(O$18:O$25,$E1047)*INDEX(O$27:O$43,$F1047)</f>
        <v/>
      </c>
      <c r="P1047" s="36">
        <f>P$10*$D1047*INDEX(P$18:P$25,$E1047)*INDEX(P$27:P$43,$F1047)</f>
        <v/>
      </c>
      <c r="Q1047" s="36">
        <f>Q$10*$D1047*INDEX(Q$18:Q$25,$E1047)*INDEX(Q$27:Q$43,$F1047)</f>
        <v/>
      </c>
      <c r="R1047" s="36">
        <f>R$10*$D1047*INDEX(R$18:R$25,$E1047)*INDEX(R$27:R$43,$F1047)</f>
        <v/>
      </c>
      <c r="S1047" s="36">
        <f>S$10*$D1047*INDEX(S$18:S$25,$E1047)*INDEX(S$27:S$43,$F1047)</f>
        <v/>
      </c>
      <c r="T1047" s="36">
        <f>T$10*$D1047*INDEX(T$18:T$25,$E1047)*INDEX(T$27:T$43,$F1047)</f>
        <v/>
      </c>
      <c r="U1047" s="36">
        <f>U$10*$D1047*INDEX(U$18:U$25,$E1047)*INDEX(U$27:U$43,$F1047)</f>
        <v/>
      </c>
      <c r="V1047" s="36">
        <f>V$10*$D1047*INDEX(V$18:V$25,$E1047)*INDEX(V$27:V$43,$F1047)</f>
        <v/>
      </c>
      <c r="W1047" s="36">
        <f>W$10*$D1047*INDEX(W$18:W$25,$E1047)*INDEX(W$27:W$43,$F1047)</f>
        <v/>
      </c>
      <c r="X1047" s="36">
        <f>X$10*$D1047*INDEX(X$18:X$25,$E1047)*INDEX(X$27:X$43,$F1047)</f>
        <v/>
      </c>
      <c r="Y1047" s="36">
        <f>Y$10*$D1047*INDEX(Y$18:Y$25,$E1047)*INDEX(Y$27:Y$43,$F1047)</f>
        <v/>
      </c>
      <c r="Z1047" s="23">
        <f>LOWER(Settings!$C$4)&amp;".mit."&amp;$A1047&amp;IF($C1047="","","."&amp;$C1047&amp;"."&amp;$B1047)&amp;IF(INDEX(Variables!$D$5:$D$65,MATCH($A1047,Variables!$A$5:$A$65,0))="","","."&amp;INDEX(Variables!$D$5:$D$65,MATCH($A1047,Variables!$A$5:$A$65,0)))&amp;"."&amp;Z$5</f>
        <v/>
      </c>
      <c r="AA1047" s="38">
        <f>AA$10*$D1047*INDEX(AA$18:AA$25,$E1047)*INDEX(AA$27:AA$43,$F1047)</f>
        <v/>
      </c>
      <c r="AB1047" s="36">
        <f>AB$10*$D1047*INDEX(AB$18:AB$25,$E1047)*INDEX(AB$27:AB$43,$F1047)</f>
        <v/>
      </c>
      <c r="AC1047" s="36">
        <f>AC$10*$D1047*INDEX(AC$18:AC$25,$E1047)*INDEX(AC$27:AC$43,$F1047)</f>
        <v/>
      </c>
      <c r="AD1047" s="36">
        <f>AD$10*$D1047*INDEX(AD$18:AD$25,$E1047)*INDEX(AD$27:AD$43,$F1047)</f>
        <v/>
      </c>
      <c r="AE1047" s="36">
        <f>AE$10*$D1047*INDEX(AE$18:AE$25,$E1047)*INDEX(AE$27:AE$43,$F1047)</f>
        <v/>
      </c>
      <c r="AF1047" s="36">
        <f>AF$10*$D1047*INDEX(AF$18:AF$25,$E1047)*INDEX(AF$27:AF$43,$F1047)</f>
        <v/>
      </c>
      <c r="AG1047" s="36">
        <f>AG$10*$D1047*INDEX(AG$18:AG$25,$E1047)*INDEX(AG$27:AG$43,$F1047)</f>
        <v/>
      </c>
      <c r="AH1047" s="36">
        <f>AH$10*$D1047*INDEX(AH$18:AH$25,$E1047)*INDEX(AH$27:AH$43,$F1047)</f>
        <v/>
      </c>
      <c r="AI1047" s="36">
        <f>AI$10*$D1047*INDEX(AI$18:AI$25,$E1047)*INDEX(AI$27:AI$43,$F1047)</f>
        <v/>
      </c>
      <c r="AJ1047" s="36">
        <f>AJ$10*$D1047*INDEX(AJ$18:AJ$25,$E1047)*INDEX(AJ$27:AJ$43,$F1047)</f>
        <v/>
      </c>
      <c r="AK1047" s="36">
        <f>AK$10*$D1047*INDEX(AK$18:AK$25,$E1047)*INDEX(AK$27:AK$43,$F1047)</f>
        <v/>
      </c>
      <c r="AL1047" s="36">
        <f>AL$10*$D1047*INDEX(AL$18:AL$25,$E1047)*INDEX(AL$27:AL$43,$F1047)</f>
        <v/>
      </c>
      <c r="AM1047" s="36">
        <f>AM$10*$D1047*INDEX(AM$18:AM$25,$E1047)*INDEX(AM$27:AM$43,$F1047)</f>
        <v/>
      </c>
      <c r="AN1047" s="36">
        <f>AN$10*$D1047*INDEX(AN$18:AN$25,$E1047)*INDEX(AN$27:AN$43,$F1047)</f>
        <v/>
      </c>
    </row>
    <row r="1048" hidden="1" outlineLevel="2">
      <c r="A1048" s="5" t="inlineStr">
        <is>
          <t>ctxnew</t>
        </is>
      </c>
      <c r="B1048" s="5" t="inlineStr">
        <is>
          <t>ker</t>
        </is>
      </c>
      <c r="C1048" s="5" t="inlineStr">
        <is>
          <t>omn</t>
        </is>
      </c>
      <c r="D1048" s="36">
        <f>INDEX(Inputs!$U$5:$U$132,MATCH($B1048&amp;"|"&amp;$C1048,Inputs!$A$5:$A$132,0))</f>
        <v/>
      </c>
      <c r="E1048" s="36">
        <f>INDEX(Inputs!$J$5:$J$132,MATCH($B1048&amp;"|"&amp;$C1048,Inputs!$A$5:$A$132,0))</f>
        <v/>
      </c>
      <c r="F1048" s="36">
        <f>INDEX(Inputs!$K$5:$K$132,MATCH($B1048&amp;"|"&amp;$C1048,Inputs!$A$5:$A$132,0))</f>
        <v/>
      </c>
      <c r="G1048" s="37" t="n"/>
      <c r="H1048" s="5">
        <f>INDEX(Variables!$B$5:$B$65,MATCH($A1048,Variables!$A$5:$A$65,0))&amp;IF($C1048="",""," | "&amp;INDEX(Mapping!$B$5:$B$25,MATCH($C1048,Mapping!$A$5:$A$25,0))&amp;" | "&amp;INDEX(Mapping!$B$29:$B$38,MATCH($B1048,Mapping!$A$29:$A$38,0)))</f>
        <v/>
      </c>
      <c r="I1048" s="5">
        <f>INDEX(Variables!$C$5:$C$65,MATCH($A1048,Variables!$A$5:$A$65,0))</f>
        <v/>
      </c>
      <c r="J1048" s="5">
        <f>INDEX(Variables!$E$5:$E$65,MATCH($A1048,Variables!$A$5:$A$65,0))</f>
        <v/>
      </c>
      <c r="K1048" s="23">
        <f>LOWER(Settings!$C$4)&amp;".mit."&amp;$A1048&amp;IF($C1048="","","."&amp;$C1048&amp;"."&amp;$B1048)&amp;IF(INDEX(Variables!$D$5:$D$65,MATCH($A1048,Variables!$A$5:$A$65,0))="","","."&amp;INDEX(Variables!$D$5:$D$65,MATCH($A1048,Variables!$A$5:$A$65,0)))&amp;"."&amp;K$5</f>
        <v/>
      </c>
      <c r="L1048" s="38">
        <f>L$10*$D1048*INDEX(L$18:L$25,$E1048)*INDEX(L$27:L$43,$F1048)</f>
        <v/>
      </c>
      <c r="M1048" s="36">
        <f>M$10*$D1048*INDEX(M$18:M$25,$E1048)*INDEX(M$27:M$43,$F1048)</f>
        <v/>
      </c>
      <c r="N1048" s="36">
        <f>N$10*$D1048*INDEX(N$18:N$25,$E1048)*INDEX(N$27:N$43,$F1048)</f>
        <v/>
      </c>
      <c r="O1048" s="36">
        <f>O$10*$D1048*INDEX(O$18:O$25,$E1048)*INDEX(O$27:O$43,$F1048)</f>
        <v/>
      </c>
      <c r="P1048" s="36">
        <f>P$10*$D1048*INDEX(P$18:P$25,$E1048)*INDEX(P$27:P$43,$F1048)</f>
        <v/>
      </c>
      <c r="Q1048" s="36">
        <f>Q$10*$D1048*INDEX(Q$18:Q$25,$E1048)*INDEX(Q$27:Q$43,$F1048)</f>
        <v/>
      </c>
      <c r="R1048" s="36">
        <f>R$10*$D1048*INDEX(R$18:R$25,$E1048)*INDEX(R$27:R$43,$F1048)</f>
        <v/>
      </c>
      <c r="S1048" s="36">
        <f>S$10*$D1048*INDEX(S$18:S$25,$E1048)*INDEX(S$27:S$43,$F1048)</f>
        <v/>
      </c>
      <c r="T1048" s="36">
        <f>T$10*$D1048*INDEX(T$18:T$25,$E1048)*INDEX(T$27:T$43,$F1048)</f>
        <v/>
      </c>
      <c r="U1048" s="36">
        <f>U$10*$D1048*INDEX(U$18:U$25,$E1048)*INDEX(U$27:U$43,$F1048)</f>
        <v/>
      </c>
      <c r="V1048" s="36">
        <f>V$10*$D1048*INDEX(V$18:V$25,$E1048)*INDEX(V$27:V$43,$F1048)</f>
        <v/>
      </c>
      <c r="W1048" s="36">
        <f>W$10*$D1048*INDEX(W$18:W$25,$E1048)*INDEX(W$27:W$43,$F1048)</f>
        <v/>
      </c>
      <c r="X1048" s="36">
        <f>X$10*$D1048*INDEX(X$18:X$25,$E1048)*INDEX(X$27:X$43,$F1048)</f>
        <v/>
      </c>
      <c r="Y1048" s="36">
        <f>Y$10*$D1048*INDEX(Y$18:Y$25,$E1048)*INDEX(Y$27:Y$43,$F1048)</f>
        <v/>
      </c>
      <c r="Z1048" s="23">
        <f>LOWER(Settings!$C$4)&amp;".mit."&amp;$A1048&amp;IF($C1048="","","."&amp;$C1048&amp;"."&amp;$B1048)&amp;IF(INDEX(Variables!$D$5:$D$65,MATCH($A1048,Variables!$A$5:$A$65,0))="","","."&amp;INDEX(Variables!$D$5:$D$65,MATCH($A1048,Variables!$A$5:$A$65,0)))&amp;"."&amp;Z$5</f>
        <v/>
      </c>
      <c r="AA1048" s="38">
        <f>AA$10*$D1048*INDEX(AA$18:AA$25,$E1048)*INDEX(AA$27:AA$43,$F1048)</f>
        <v/>
      </c>
      <c r="AB1048" s="36">
        <f>AB$10*$D1048*INDEX(AB$18:AB$25,$E1048)*INDEX(AB$27:AB$43,$F1048)</f>
        <v/>
      </c>
      <c r="AC1048" s="36">
        <f>AC$10*$D1048*INDEX(AC$18:AC$25,$E1048)*INDEX(AC$27:AC$43,$F1048)</f>
        <v/>
      </c>
      <c r="AD1048" s="36">
        <f>AD$10*$D1048*INDEX(AD$18:AD$25,$E1048)*INDEX(AD$27:AD$43,$F1048)</f>
        <v/>
      </c>
      <c r="AE1048" s="36">
        <f>AE$10*$D1048*INDEX(AE$18:AE$25,$E1048)*INDEX(AE$27:AE$43,$F1048)</f>
        <v/>
      </c>
      <c r="AF1048" s="36">
        <f>AF$10*$D1048*INDEX(AF$18:AF$25,$E1048)*INDEX(AF$27:AF$43,$F1048)</f>
        <v/>
      </c>
      <c r="AG1048" s="36">
        <f>AG$10*$D1048*INDEX(AG$18:AG$25,$E1048)*INDEX(AG$27:AG$43,$F1048)</f>
        <v/>
      </c>
      <c r="AH1048" s="36">
        <f>AH$10*$D1048*INDEX(AH$18:AH$25,$E1048)*INDEX(AH$27:AH$43,$F1048)</f>
        <v/>
      </c>
      <c r="AI1048" s="36">
        <f>AI$10*$D1048*INDEX(AI$18:AI$25,$E1048)*INDEX(AI$27:AI$43,$F1048)</f>
        <v/>
      </c>
      <c r="AJ1048" s="36">
        <f>AJ$10*$D1048*INDEX(AJ$18:AJ$25,$E1048)*INDEX(AJ$27:AJ$43,$F1048)</f>
        <v/>
      </c>
      <c r="AK1048" s="36">
        <f>AK$10*$D1048*INDEX(AK$18:AK$25,$E1048)*INDEX(AK$27:AK$43,$F1048)</f>
        <v/>
      </c>
      <c r="AL1048" s="36">
        <f>AL$10*$D1048*INDEX(AL$18:AL$25,$E1048)*INDEX(AL$27:AL$43,$F1048)</f>
        <v/>
      </c>
      <c r="AM1048" s="36">
        <f>AM$10*$D1048*INDEX(AM$18:AM$25,$E1048)*INDEX(AM$27:AM$43,$F1048)</f>
        <v/>
      </c>
      <c r="AN1048" s="36">
        <f>AN$10*$D1048*INDEX(AN$18:AN$25,$E1048)*INDEX(AN$27:AN$43,$F1048)</f>
        <v/>
      </c>
    </row>
    <row r="1049" hidden="1" outlineLevel="2">
      <c r="A1049" s="5" t="inlineStr">
        <is>
          <t>ctxnew</t>
        </is>
      </c>
      <c r="B1049" s="5" t="inlineStr">
        <is>
          <t>oop</t>
        </is>
      </c>
      <c r="C1049" s="5" t="inlineStr">
        <is>
          <t>omn</t>
        </is>
      </c>
      <c r="D1049" s="36">
        <f>INDEX(Inputs!$U$5:$U$132,MATCH($B1049&amp;"|"&amp;$C1049,Inputs!$A$5:$A$132,0))</f>
        <v/>
      </c>
      <c r="E1049" s="36">
        <f>INDEX(Inputs!$J$5:$J$132,MATCH($B1049&amp;"|"&amp;$C1049,Inputs!$A$5:$A$132,0))</f>
        <v/>
      </c>
      <c r="F1049" s="36">
        <f>INDEX(Inputs!$K$5:$K$132,MATCH($B1049&amp;"|"&amp;$C1049,Inputs!$A$5:$A$132,0))</f>
        <v/>
      </c>
      <c r="G1049" s="37" t="n"/>
      <c r="H1049" s="5">
        <f>INDEX(Variables!$B$5:$B$65,MATCH($A1049,Variables!$A$5:$A$65,0))&amp;IF($C1049="",""," | "&amp;INDEX(Mapping!$B$5:$B$25,MATCH($C1049,Mapping!$A$5:$A$25,0))&amp;" | "&amp;INDEX(Mapping!$B$29:$B$38,MATCH($B1049,Mapping!$A$29:$A$38,0)))</f>
        <v/>
      </c>
      <c r="I1049" s="5">
        <f>INDEX(Variables!$C$5:$C$65,MATCH($A1049,Variables!$A$5:$A$65,0))</f>
        <v/>
      </c>
      <c r="J1049" s="5">
        <f>INDEX(Variables!$E$5:$E$65,MATCH($A1049,Variables!$A$5:$A$65,0))</f>
        <v/>
      </c>
      <c r="K1049" s="23">
        <f>LOWER(Settings!$C$4)&amp;".mit."&amp;$A1049&amp;IF($C1049="","","."&amp;$C1049&amp;"."&amp;$B1049)&amp;IF(INDEX(Variables!$D$5:$D$65,MATCH($A1049,Variables!$A$5:$A$65,0))="","","."&amp;INDEX(Variables!$D$5:$D$65,MATCH($A1049,Variables!$A$5:$A$65,0)))&amp;"."&amp;K$5</f>
        <v/>
      </c>
      <c r="L1049" s="38">
        <f>L$10*$D1049*INDEX(L$18:L$25,$E1049)*INDEX(L$27:L$43,$F1049)</f>
        <v/>
      </c>
      <c r="M1049" s="36">
        <f>M$10*$D1049*INDEX(M$18:M$25,$E1049)*INDEX(M$27:M$43,$F1049)</f>
        <v/>
      </c>
      <c r="N1049" s="36">
        <f>N$10*$D1049*INDEX(N$18:N$25,$E1049)*INDEX(N$27:N$43,$F1049)</f>
        <v/>
      </c>
      <c r="O1049" s="36">
        <f>O$10*$D1049*INDEX(O$18:O$25,$E1049)*INDEX(O$27:O$43,$F1049)</f>
        <v/>
      </c>
      <c r="P1049" s="36">
        <f>P$10*$D1049*INDEX(P$18:P$25,$E1049)*INDEX(P$27:P$43,$F1049)</f>
        <v/>
      </c>
      <c r="Q1049" s="36">
        <f>Q$10*$D1049*INDEX(Q$18:Q$25,$E1049)*INDEX(Q$27:Q$43,$F1049)</f>
        <v/>
      </c>
      <c r="R1049" s="36">
        <f>R$10*$D1049*INDEX(R$18:R$25,$E1049)*INDEX(R$27:R$43,$F1049)</f>
        <v/>
      </c>
      <c r="S1049" s="36">
        <f>S$10*$D1049*INDEX(S$18:S$25,$E1049)*INDEX(S$27:S$43,$F1049)</f>
        <v/>
      </c>
      <c r="T1049" s="36">
        <f>T$10*$D1049*INDEX(T$18:T$25,$E1049)*INDEX(T$27:T$43,$F1049)</f>
        <v/>
      </c>
      <c r="U1049" s="36">
        <f>U$10*$D1049*INDEX(U$18:U$25,$E1049)*INDEX(U$27:U$43,$F1049)</f>
        <v/>
      </c>
      <c r="V1049" s="36">
        <f>V$10*$D1049*INDEX(V$18:V$25,$E1049)*INDEX(V$27:V$43,$F1049)</f>
        <v/>
      </c>
      <c r="W1049" s="36">
        <f>W$10*$D1049*INDEX(W$18:W$25,$E1049)*INDEX(W$27:W$43,$F1049)</f>
        <v/>
      </c>
      <c r="X1049" s="36">
        <f>X$10*$D1049*INDEX(X$18:X$25,$E1049)*INDEX(X$27:X$43,$F1049)</f>
        <v/>
      </c>
      <c r="Y1049" s="36">
        <f>Y$10*$D1049*INDEX(Y$18:Y$25,$E1049)*INDEX(Y$27:Y$43,$F1049)</f>
        <v/>
      </c>
      <c r="Z1049" s="23">
        <f>LOWER(Settings!$C$4)&amp;".mit."&amp;$A1049&amp;IF($C1049="","","."&amp;$C1049&amp;"."&amp;$B1049)&amp;IF(INDEX(Variables!$D$5:$D$65,MATCH($A1049,Variables!$A$5:$A$65,0))="","","."&amp;INDEX(Variables!$D$5:$D$65,MATCH($A1049,Variables!$A$5:$A$65,0)))&amp;"."&amp;Z$5</f>
        <v/>
      </c>
      <c r="AA1049" s="38">
        <f>AA$10*$D1049*INDEX(AA$18:AA$25,$E1049)*INDEX(AA$27:AA$43,$F1049)</f>
        <v/>
      </c>
      <c r="AB1049" s="36">
        <f>AB$10*$D1049*INDEX(AB$18:AB$25,$E1049)*INDEX(AB$27:AB$43,$F1049)</f>
        <v/>
      </c>
      <c r="AC1049" s="36">
        <f>AC$10*$D1049*INDEX(AC$18:AC$25,$E1049)*INDEX(AC$27:AC$43,$F1049)</f>
        <v/>
      </c>
      <c r="AD1049" s="36">
        <f>AD$10*$D1049*INDEX(AD$18:AD$25,$E1049)*INDEX(AD$27:AD$43,$F1049)</f>
        <v/>
      </c>
      <c r="AE1049" s="36">
        <f>AE$10*$D1049*INDEX(AE$18:AE$25,$E1049)*INDEX(AE$27:AE$43,$F1049)</f>
        <v/>
      </c>
      <c r="AF1049" s="36">
        <f>AF$10*$D1049*INDEX(AF$18:AF$25,$E1049)*INDEX(AF$27:AF$43,$F1049)</f>
        <v/>
      </c>
      <c r="AG1049" s="36">
        <f>AG$10*$D1049*INDEX(AG$18:AG$25,$E1049)*INDEX(AG$27:AG$43,$F1049)</f>
        <v/>
      </c>
      <c r="AH1049" s="36">
        <f>AH$10*$D1049*INDEX(AH$18:AH$25,$E1049)*INDEX(AH$27:AH$43,$F1049)</f>
        <v/>
      </c>
      <c r="AI1049" s="36">
        <f>AI$10*$D1049*INDEX(AI$18:AI$25,$E1049)*INDEX(AI$27:AI$43,$F1049)</f>
        <v/>
      </c>
      <c r="AJ1049" s="36">
        <f>AJ$10*$D1049*INDEX(AJ$18:AJ$25,$E1049)*INDEX(AJ$27:AJ$43,$F1049)</f>
        <v/>
      </c>
      <c r="AK1049" s="36">
        <f>AK$10*$D1049*INDEX(AK$18:AK$25,$E1049)*INDEX(AK$27:AK$43,$F1049)</f>
        <v/>
      </c>
      <c r="AL1049" s="36">
        <f>AL$10*$D1049*INDEX(AL$18:AL$25,$E1049)*INDEX(AL$27:AL$43,$F1049)</f>
        <v/>
      </c>
      <c r="AM1049" s="36">
        <f>AM$10*$D1049*INDEX(AM$18:AM$25,$E1049)*INDEX(AM$27:AM$43,$F1049)</f>
        <v/>
      </c>
      <c r="AN1049" s="36">
        <f>AN$10*$D1049*INDEX(AN$18:AN$25,$E1049)*INDEX(AN$27:AN$43,$F1049)</f>
        <v/>
      </c>
    </row>
    <row r="1050" hidden="1" outlineLevel="2">
      <c r="A1050" s="5" t="inlineStr">
        <is>
          <t>ctxnew</t>
        </is>
      </c>
      <c r="B1050" s="5" t="inlineStr">
        <is>
          <t>bio</t>
        </is>
      </c>
      <c r="C1050" s="5" t="inlineStr">
        <is>
          <t>omn</t>
        </is>
      </c>
      <c r="D1050" s="36">
        <f>INDEX(Inputs!$U$5:$U$132,MATCH($B1050&amp;"|"&amp;$C1050,Inputs!$A$5:$A$132,0))</f>
        <v/>
      </c>
      <c r="E1050" s="36">
        <f>INDEX(Inputs!$J$5:$J$132,MATCH($B1050&amp;"|"&amp;$C1050,Inputs!$A$5:$A$132,0))</f>
        <v/>
      </c>
      <c r="F1050" s="36">
        <f>INDEX(Inputs!$K$5:$K$132,MATCH($B1050&amp;"|"&amp;$C1050,Inputs!$A$5:$A$132,0))</f>
        <v/>
      </c>
      <c r="G1050" s="37" t="n"/>
      <c r="H1050" s="5">
        <f>INDEX(Variables!$B$5:$B$65,MATCH($A1050,Variables!$A$5:$A$65,0))&amp;IF($C1050="",""," | "&amp;INDEX(Mapping!$B$5:$B$25,MATCH($C1050,Mapping!$A$5:$A$25,0))&amp;" | "&amp;INDEX(Mapping!$B$29:$B$38,MATCH($B1050,Mapping!$A$29:$A$38,0)))</f>
        <v/>
      </c>
      <c r="I1050" s="5">
        <f>INDEX(Variables!$C$5:$C$65,MATCH($A1050,Variables!$A$5:$A$65,0))</f>
        <v/>
      </c>
      <c r="J1050" s="5">
        <f>INDEX(Variables!$E$5:$E$65,MATCH($A1050,Variables!$A$5:$A$65,0))</f>
        <v/>
      </c>
      <c r="K1050" s="23">
        <f>LOWER(Settings!$C$4)&amp;".mit."&amp;$A1050&amp;IF($C1050="","","."&amp;$C1050&amp;"."&amp;$B1050)&amp;IF(INDEX(Variables!$D$5:$D$65,MATCH($A1050,Variables!$A$5:$A$65,0))="","","."&amp;INDEX(Variables!$D$5:$D$65,MATCH($A1050,Variables!$A$5:$A$65,0)))&amp;"."&amp;K$5</f>
        <v/>
      </c>
      <c r="L1050" s="38">
        <f>L$10*$D1050*INDEX(L$18:L$25,$E1050)*INDEX(L$27:L$43,$F1050)</f>
        <v/>
      </c>
      <c r="M1050" s="36">
        <f>M$10*$D1050*INDEX(M$18:M$25,$E1050)*INDEX(M$27:M$43,$F1050)</f>
        <v/>
      </c>
      <c r="N1050" s="36">
        <f>N$10*$D1050*INDEX(N$18:N$25,$E1050)*INDEX(N$27:N$43,$F1050)</f>
        <v/>
      </c>
      <c r="O1050" s="36">
        <f>O$10*$D1050*INDEX(O$18:O$25,$E1050)*INDEX(O$27:O$43,$F1050)</f>
        <v/>
      </c>
      <c r="P1050" s="36">
        <f>P$10*$D1050*INDEX(P$18:P$25,$E1050)*INDEX(P$27:P$43,$F1050)</f>
        <v/>
      </c>
      <c r="Q1050" s="36">
        <f>Q$10*$D1050*INDEX(Q$18:Q$25,$E1050)*INDEX(Q$27:Q$43,$F1050)</f>
        <v/>
      </c>
      <c r="R1050" s="36">
        <f>R$10*$D1050*INDEX(R$18:R$25,$E1050)*INDEX(R$27:R$43,$F1050)</f>
        <v/>
      </c>
      <c r="S1050" s="36">
        <f>S$10*$D1050*INDEX(S$18:S$25,$E1050)*INDEX(S$27:S$43,$F1050)</f>
        <v/>
      </c>
      <c r="T1050" s="36">
        <f>T$10*$D1050*INDEX(T$18:T$25,$E1050)*INDEX(T$27:T$43,$F1050)</f>
        <v/>
      </c>
      <c r="U1050" s="36">
        <f>U$10*$D1050*INDEX(U$18:U$25,$E1050)*INDEX(U$27:U$43,$F1050)</f>
        <v/>
      </c>
      <c r="V1050" s="36">
        <f>V$10*$D1050*INDEX(V$18:V$25,$E1050)*INDEX(V$27:V$43,$F1050)</f>
        <v/>
      </c>
      <c r="W1050" s="36">
        <f>W$10*$D1050*INDEX(W$18:W$25,$E1050)*INDEX(W$27:W$43,$F1050)</f>
        <v/>
      </c>
      <c r="X1050" s="36">
        <f>X$10*$D1050*INDEX(X$18:X$25,$E1050)*INDEX(X$27:X$43,$F1050)</f>
        <v/>
      </c>
      <c r="Y1050" s="36">
        <f>Y$10*$D1050*INDEX(Y$18:Y$25,$E1050)*INDEX(Y$27:Y$43,$F1050)</f>
        <v/>
      </c>
      <c r="Z1050" s="23">
        <f>LOWER(Settings!$C$4)&amp;".mit."&amp;$A1050&amp;IF($C1050="","","."&amp;$C1050&amp;"."&amp;$B1050)&amp;IF(INDEX(Variables!$D$5:$D$65,MATCH($A1050,Variables!$A$5:$A$65,0))="","","."&amp;INDEX(Variables!$D$5:$D$65,MATCH($A1050,Variables!$A$5:$A$65,0)))&amp;"."&amp;Z$5</f>
        <v/>
      </c>
      <c r="AA1050" s="38">
        <f>AA$10*$D1050*INDEX(AA$18:AA$25,$E1050)*INDEX(AA$27:AA$43,$F1050)</f>
        <v/>
      </c>
      <c r="AB1050" s="36">
        <f>AB$10*$D1050*INDEX(AB$18:AB$25,$E1050)*INDEX(AB$27:AB$43,$F1050)</f>
        <v/>
      </c>
      <c r="AC1050" s="36">
        <f>AC$10*$D1050*INDEX(AC$18:AC$25,$E1050)*INDEX(AC$27:AC$43,$F1050)</f>
        <v/>
      </c>
      <c r="AD1050" s="36">
        <f>AD$10*$D1050*INDEX(AD$18:AD$25,$E1050)*INDEX(AD$27:AD$43,$F1050)</f>
        <v/>
      </c>
      <c r="AE1050" s="36">
        <f>AE$10*$D1050*INDEX(AE$18:AE$25,$E1050)*INDEX(AE$27:AE$43,$F1050)</f>
        <v/>
      </c>
      <c r="AF1050" s="36">
        <f>AF$10*$D1050*INDEX(AF$18:AF$25,$E1050)*INDEX(AF$27:AF$43,$F1050)</f>
        <v/>
      </c>
      <c r="AG1050" s="36">
        <f>AG$10*$D1050*INDEX(AG$18:AG$25,$E1050)*INDEX(AG$27:AG$43,$F1050)</f>
        <v/>
      </c>
      <c r="AH1050" s="36">
        <f>AH$10*$D1050*INDEX(AH$18:AH$25,$E1050)*INDEX(AH$27:AH$43,$F1050)</f>
        <v/>
      </c>
      <c r="AI1050" s="36">
        <f>AI$10*$D1050*INDEX(AI$18:AI$25,$E1050)*INDEX(AI$27:AI$43,$F1050)</f>
        <v/>
      </c>
      <c r="AJ1050" s="36">
        <f>AJ$10*$D1050*INDEX(AJ$18:AJ$25,$E1050)*INDEX(AJ$27:AJ$43,$F1050)</f>
        <v/>
      </c>
      <c r="AK1050" s="36">
        <f>AK$10*$D1050*INDEX(AK$18:AK$25,$E1050)*INDEX(AK$27:AK$43,$F1050)</f>
        <v/>
      </c>
      <c r="AL1050" s="36">
        <f>AL$10*$D1050*INDEX(AL$18:AL$25,$E1050)*INDEX(AL$27:AL$43,$F1050)</f>
        <v/>
      </c>
      <c r="AM1050" s="36">
        <f>AM$10*$D1050*INDEX(AM$18:AM$25,$E1050)*INDEX(AM$27:AM$43,$F1050)</f>
        <v/>
      </c>
      <c r="AN1050" s="36">
        <f>AN$10*$D1050*INDEX(AN$18:AN$25,$E1050)*INDEX(AN$27:AN$43,$F1050)</f>
        <v/>
      </c>
    </row>
    <row r="1051" hidden="1" outlineLevel="2"/>
    <row r="1052" hidden="1" outlineLevel="2">
      <c r="A1052" s="5" t="inlineStr">
        <is>
          <t>ntx</t>
        </is>
      </c>
      <c r="B1052" s="5" t="inlineStr">
        <is>
          <t>coa</t>
        </is>
      </c>
      <c r="C1052" s="5" t="inlineStr">
        <is>
          <t>omn</t>
        </is>
      </c>
      <c r="D1052" s="36">
        <f>INDEX(Inputs!$L$5:$L$132,MATCH($B1052&amp;"|"&amp;$C1052,Inputs!$A$5:$A$132,0))</f>
        <v/>
      </c>
      <c r="E1052" s="36">
        <f>INDEX(Inputs!$I$5:$I$132,MATCH($B1052&amp;"|"&amp;$C1052,Inputs!$A$5:$A$132,0))</f>
        <v/>
      </c>
      <c r="F1052" s="37" t="n"/>
      <c r="G1052" s="37" t="n"/>
      <c r="H1052" s="5">
        <f>INDEX(Variables!$B$5:$B$65,MATCH($A1052,Variables!$A$5:$A$65,0))&amp;IF($C1052="",""," | "&amp;INDEX(Mapping!$B$5:$B$25,MATCH($C1052,Mapping!$A$5:$A$25,0))&amp;" | "&amp;INDEX(Mapping!$B$29:$B$38,MATCH($B1052,Mapping!$A$29:$A$38,0)))</f>
        <v/>
      </c>
      <c r="I1052" s="5">
        <f>INDEX(Variables!$C$5:$C$65,MATCH($A1052,Variables!$A$5:$A$65,0))</f>
        <v/>
      </c>
      <c r="J1052" s="5">
        <f>INDEX(Variables!$E$5:$E$65,MATCH($A1052,Variables!$A$5:$A$65,0))</f>
        <v/>
      </c>
      <c r="K1052" s="23">
        <f>LOWER(Settings!$C$4)&amp;".mit."&amp;$A1052&amp;IF($C1052="","","."&amp;$C1052&amp;"."&amp;$B1052)&amp;IF(INDEX(Variables!$D$5:$D$65,MATCH($A1052,Variables!$A$5:$A$65,0))="","","."&amp;INDEX(Variables!$D$5:$D$65,MATCH($A1052,Variables!$A$5:$A$65,0)))&amp;"."&amp;K$5</f>
        <v/>
      </c>
      <c r="L1052" s="38">
        <f>INDEX(L$75:L$88,$D1052)/$E1052</f>
        <v/>
      </c>
      <c r="M1052" s="36">
        <f>INDEX(M$75:M$88,$D1052)/$E1052</f>
        <v/>
      </c>
      <c r="N1052" s="36">
        <f>INDEX(N$75:N$88,$D1052)/$E1052</f>
        <v/>
      </c>
      <c r="O1052" s="36">
        <f>INDEX(O$75:O$88,$D1052)/$E1052</f>
        <v/>
      </c>
      <c r="P1052" s="36">
        <f>INDEX(P$75:P$88,$D1052)/$E1052</f>
        <v/>
      </c>
      <c r="Q1052" s="36">
        <f>INDEX(Q$75:Q$88,$D1052)/$E1052</f>
        <v/>
      </c>
      <c r="R1052" s="36">
        <f>INDEX(R$75:R$88,$D1052)/$E1052</f>
        <v/>
      </c>
      <c r="S1052" s="36">
        <f>INDEX(S$75:S$88,$D1052)/$E1052</f>
        <v/>
      </c>
      <c r="T1052" s="36">
        <f>INDEX(T$75:T$88,$D1052)/$E1052</f>
        <v/>
      </c>
      <c r="U1052" s="36">
        <f>INDEX(U$75:U$88,$D1052)/$E1052</f>
        <v/>
      </c>
      <c r="V1052" s="36">
        <f>INDEX(V$75:V$88,$D1052)/$E1052</f>
        <v/>
      </c>
      <c r="W1052" s="36">
        <f>INDEX(W$75:W$88,$D1052)/$E1052</f>
        <v/>
      </c>
      <c r="X1052" s="36">
        <f>INDEX(X$75:X$88,$D1052)/$E1052</f>
        <v/>
      </c>
      <c r="Y1052" s="36">
        <f>INDEX(Y$75:Y$88,$D1052)/$E1052</f>
        <v/>
      </c>
      <c r="Z1052" s="23">
        <f>LOWER(Settings!$C$4)&amp;".mit."&amp;$A1052&amp;IF($C1052="","","."&amp;$C1052&amp;"."&amp;$B1052)&amp;IF(INDEX(Variables!$D$5:$D$65,MATCH($A1052,Variables!$A$5:$A$65,0))="","","."&amp;INDEX(Variables!$D$5:$D$65,MATCH($A1052,Variables!$A$5:$A$65,0)))&amp;"."&amp;Z$5</f>
        <v/>
      </c>
      <c r="AA1052" s="38">
        <f>INDEX(AA$75:AA$88,$D1052)/$E1052</f>
        <v/>
      </c>
      <c r="AB1052" s="36">
        <f>INDEX(AB$75:AB$88,$D1052)/$E1052</f>
        <v/>
      </c>
      <c r="AC1052" s="36">
        <f>INDEX(AC$75:AC$88,$D1052)/$E1052</f>
        <v/>
      </c>
      <c r="AD1052" s="36">
        <f>INDEX(AD$75:AD$88,$D1052)/$E1052</f>
        <v/>
      </c>
      <c r="AE1052" s="36">
        <f>INDEX(AE$75:AE$88,$D1052)/$E1052</f>
        <v/>
      </c>
      <c r="AF1052" s="36">
        <f>INDEX(AF$75:AF$88,$D1052)/$E1052</f>
        <v/>
      </c>
      <c r="AG1052" s="36">
        <f>INDEX(AG$75:AG$88,$D1052)/$E1052</f>
        <v/>
      </c>
      <c r="AH1052" s="36">
        <f>INDEX(AH$75:AH$88,$D1052)/$E1052</f>
        <v/>
      </c>
      <c r="AI1052" s="36">
        <f>INDEX(AI$75:AI$88,$D1052)/$E1052</f>
        <v/>
      </c>
      <c r="AJ1052" s="36">
        <f>INDEX(AJ$75:AJ$88,$D1052)/$E1052</f>
        <v/>
      </c>
      <c r="AK1052" s="36">
        <f>INDEX(AK$75:AK$88,$D1052)/$E1052</f>
        <v/>
      </c>
      <c r="AL1052" s="36">
        <f>INDEX(AL$75:AL$88,$D1052)/$E1052</f>
        <v/>
      </c>
      <c r="AM1052" s="36">
        <f>INDEX(AM$75:AM$88,$D1052)/$E1052</f>
        <v/>
      </c>
      <c r="AN1052" s="36">
        <f>INDEX(AN$75:AN$88,$D1052)/$E1052</f>
        <v/>
      </c>
    </row>
    <row r="1053" hidden="1" outlineLevel="2">
      <c r="A1053" s="5" t="inlineStr">
        <is>
          <t>ntx</t>
        </is>
      </c>
      <c r="B1053" s="5" t="inlineStr">
        <is>
          <t>nga</t>
        </is>
      </c>
      <c r="C1053" s="5" t="inlineStr">
        <is>
          <t>omn</t>
        </is>
      </c>
      <c r="D1053" s="36">
        <f>INDEX(Inputs!$L$5:$L$132,MATCH($B1053&amp;"|"&amp;$C1053,Inputs!$A$5:$A$132,0))</f>
        <v/>
      </c>
      <c r="E1053" s="36">
        <f>INDEX(Inputs!$I$5:$I$132,MATCH($B1053&amp;"|"&amp;$C1053,Inputs!$A$5:$A$132,0))</f>
        <v/>
      </c>
      <c r="F1053" s="37" t="n"/>
      <c r="G1053" s="37" t="n"/>
      <c r="H1053" s="5">
        <f>INDEX(Variables!$B$5:$B$65,MATCH($A1053,Variables!$A$5:$A$65,0))&amp;IF($C1053="",""," | "&amp;INDEX(Mapping!$B$5:$B$25,MATCH($C1053,Mapping!$A$5:$A$25,0))&amp;" | "&amp;INDEX(Mapping!$B$29:$B$38,MATCH($B1053,Mapping!$A$29:$A$38,0)))</f>
        <v/>
      </c>
      <c r="I1053" s="5">
        <f>INDEX(Variables!$C$5:$C$65,MATCH($A1053,Variables!$A$5:$A$65,0))</f>
        <v/>
      </c>
      <c r="J1053" s="5">
        <f>INDEX(Variables!$E$5:$E$65,MATCH($A1053,Variables!$A$5:$A$65,0))</f>
        <v/>
      </c>
      <c r="K1053" s="23">
        <f>LOWER(Settings!$C$4)&amp;".mit."&amp;$A1053&amp;IF($C1053="","","."&amp;$C1053&amp;"."&amp;$B1053)&amp;IF(INDEX(Variables!$D$5:$D$65,MATCH($A1053,Variables!$A$5:$A$65,0))="","","."&amp;INDEX(Variables!$D$5:$D$65,MATCH($A1053,Variables!$A$5:$A$65,0)))&amp;"."&amp;K$5</f>
        <v/>
      </c>
      <c r="L1053" s="38">
        <f>INDEX(L$75:L$88,$D1053)/$E1053</f>
        <v/>
      </c>
      <c r="M1053" s="36">
        <f>INDEX(M$75:M$88,$D1053)/$E1053</f>
        <v/>
      </c>
      <c r="N1053" s="36">
        <f>INDEX(N$75:N$88,$D1053)/$E1053</f>
        <v/>
      </c>
      <c r="O1053" s="36">
        <f>INDEX(O$75:O$88,$D1053)/$E1053</f>
        <v/>
      </c>
      <c r="P1053" s="36">
        <f>INDEX(P$75:P$88,$D1053)/$E1053</f>
        <v/>
      </c>
      <c r="Q1053" s="36">
        <f>INDEX(Q$75:Q$88,$D1053)/$E1053</f>
        <v/>
      </c>
      <c r="R1053" s="36">
        <f>INDEX(R$75:R$88,$D1053)/$E1053</f>
        <v/>
      </c>
      <c r="S1053" s="36">
        <f>INDEX(S$75:S$88,$D1053)/$E1053</f>
        <v/>
      </c>
      <c r="T1053" s="36">
        <f>INDEX(T$75:T$88,$D1053)/$E1053</f>
        <v/>
      </c>
      <c r="U1053" s="36">
        <f>INDEX(U$75:U$88,$D1053)/$E1053</f>
        <v/>
      </c>
      <c r="V1053" s="36">
        <f>INDEX(V$75:V$88,$D1053)/$E1053</f>
        <v/>
      </c>
      <c r="W1053" s="36">
        <f>INDEX(W$75:W$88,$D1053)/$E1053</f>
        <v/>
      </c>
      <c r="X1053" s="36">
        <f>INDEX(X$75:X$88,$D1053)/$E1053</f>
        <v/>
      </c>
      <c r="Y1053" s="36">
        <f>INDEX(Y$75:Y$88,$D1053)/$E1053</f>
        <v/>
      </c>
      <c r="Z1053" s="23">
        <f>LOWER(Settings!$C$4)&amp;".mit."&amp;$A1053&amp;IF($C1053="","","."&amp;$C1053&amp;"."&amp;$B1053)&amp;IF(INDEX(Variables!$D$5:$D$65,MATCH($A1053,Variables!$A$5:$A$65,0))="","","."&amp;INDEX(Variables!$D$5:$D$65,MATCH($A1053,Variables!$A$5:$A$65,0)))&amp;"."&amp;Z$5</f>
        <v/>
      </c>
      <c r="AA1053" s="38">
        <f>INDEX(AA$75:AA$88,$D1053)/$E1053</f>
        <v/>
      </c>
      <c r="AB1053" s="36">
        <f>INDEX(AB$75:AB$88,$D1053)/$E1053</f>
        <v/>
      </c>
      <c r="AC1053" s="36">
        <f>INDEX(AC$75:AC$88,$D1053)/$E1053</f>
        <v/>
      </c>
      <c r="AD1053" s="36">
        <f>INDEX(AD$75:AD$88,$D1053)/$E1053</f>
        <v/>
      </c>
      <c r="AE1053" s="36">
        <f>INDEX(AE$75:AE$88,$D1053)/$E1053</f>
        <v/>
      </c>
      <c r="AF1053" s="36">
        <f>INDEX(AF$75:AF$88,$D1053)/$E1053</f>
        <v/>
      </c>
      <c r="AG1053" s="36">
        <f>INDEX(AG$75:AG$88,$D1053)/$E1053</f>
        <v/>
      </c>
      <c r="AH1053" s="36">
        <f>INDEX(AH$75:AH$88,$D1053)/$E1053</f>
        <v/>
      </c>
      <c r="AI1053" s="36">
        <f>INDEX(AI$75:AI$88,$D1053)/$E1053</f>
        <v/>
      </c>
      <c r="AJ1053" s="36">
        <f>INDEX(AJ$75:AJ$88,$D1053)/$E1053</f>
        <v/>
      </c>
      <c r="AK1053" s="36">
        <f>INDEX(AK$75:AK$88,$D1053)/$E1053</f>
        <v/>
      </c>
      <c r="AL1053" s="36">
        <f>INDEX(AL$75:AL$88,$D1053)/$E1053</f>
        <v/>
      </c>
      <c r="AM1053" s="36">
        <f>INDEX(AM$75:AM$88,$D1053)/$E1053</f>
        <v/>
      </c>
      <c r="AN1053" s="36">
        <f>INDEX(AN$75:AN$88,$D1053)/$E1053</f>
        <v/>
      </c>
    </row>
    <row r="1054" hidden="1" outlineLevel="2">
      <c r="A1054" s="5" t="inlineStr">
        <is>
          <t>ntx</t>
        </is>
      </c>
      <c r="B1054" s="5" t="inlineStr">
        <is>
          <t>gso</t>
        </is>
      </c>
      <c r="C1054" s="5" t="inlineStr">
        <is>
          <t>omn</t>
        </is>
      </c>
      <c r="D1054" s="36">
        <f>INDEX(Inputs!$L$5:$L$132,MATCH($B1054&amp;"|"&amp;$C1054,Inputs!$A$5:$A$132,0))</f>
        <v/>
      </c>
      <c r="E1054" s="36">
        <f>INDEX(Inputs!$I$5:$I$132,MATCH($B1054&amp;"|"&amp;$C1054,Inputs!$A$5:$A$132,0))</f>
        <v/>
      </c>
      <c r="F1054" s="37" t="n"/>
      <c r="G1054" s="37" t="n"/>
      <c r="H1054" s="5">
        <f>INDEX(Variables!$B$5:$B$65,MATCH($A1054,Variables!$A$5:$A$65,0))&amp;IF($C1054="",""," | "&amp;INDEX(Mapping!$B$5:$B$25,MATCH($C1054,Mapping!$A$5:$A$25,0))&amp;" | "&amp;INDEX(Mapping!$B$29:$B$38,MATCH($B1054,Mapping!$A$29:$A$38,0)))</f>
        <v/>
      </c>
      <c r="I1054" s="5">
        <f>INDEX(Variables!$C$5:$C$65,MATCH($A1054,Variables!$A$5:$A$65,0))</f>
        <v/>
      </c>
      <c r="J1054" s="5">
        <f>INDEX(Variables!$E$5:$E$65,MATCH($A1054,Variables!$A$5:$A$65,0))</f>
        <v/>
      </c>
      <c r="K1054" s="23">
        <f>LOWER(Settings!$C$4)&amp;".mit."&amp;$A1054&amp;IF($C1054="","","."&amp;$C1054&amp;"."&amp;$B1054)&amp;IF(INDEX(Variables!$D$5:$D$65,MATCH($A1054,Variables!$A$5:$A$65,0))="","","."&amp;INDEX(Variables!$D$5:$D$65,MATCH($A1054,Variables!$A$5:$A$65,0)))&amp;"."&amp;K$5</f>
        <v/>
      </c>
      <c r="L1054" s="38">
        <f>INDEX(L$75:L$88,$D1054)/$E1054</f>
        <v/>
      </c>
      <c r="M1054" s="36">
        <f>INDEX(M$75:M$88,$D1054)/$E1054</f>
        <v/>
      </c>
      <c r="N1054" s="36">
        <f>INDEX(N$75:N$88,$D1054)/$E1054</f>
        <v/>
      </c>
      <c r="O1054" s="36">
        <f>INDEX(O$75:O$88,$D1054)/$E1054</f>
        <v/>
      </c>
      <c r="P1054" s="36">
        <f>INDEX(P$75:P$88,$D1054)/$E1054</f>
        <v/>
      </c>
      <c r="Q1054" s="36">
        <f>INDEX(Q$75:Q$88,$D1054)/$E1054</f>
        <v/>
      </c>
      <c r="R1054" s="36">
        <f>INDEX(R$75:R$88,$D1054)/$E1054</f>
        <v/>
      </c>
      <c r="S1054" s="36">
        <f>INDEX(S$75:S$88,$D1054)/$E1054</f>
        <v/>
      </c>
      <c r="T1054" s="36">
        <f>INDEX(T$75:T$88,$D1054)/$E1054</f>
        <v/>
      </c>
      <c r="U1054" s="36">
        <f>INDEX(U$75:U$88,$D1054)/$E1054</f>
        <v/>
      </c>
      <c r="V1054" s="36">
        <f>INDEX(V$75:V$88,$D1054)/$E1054</f>
        <v/>
      </c>
      <c r="W1054" s="36">
        <f>INDEX(W$75:W$88,$D1054)/$E1054</f>
        <v/>
      </c>
      <c r="X1054" s="36">
        <f>INDEX(X$75:X$88,$D1054)/$E1054</f>
        <v/>
      </c>
      <c r="Y1054" s="36">
        <f>INDEX(Y$75:Y$88,$D1054)/$E1054</f>
        <v/>
      </c>
      <c r="Z1054" s="23">
        <f>LOWER(Settings!$C$4)&amp;".mit."&amp;$A1054&amp;IF($C1054="","","."&amp;$C1054&amp;"."&amp;$B1054)&amp;IF(INDEX(Variables!$D$5:$D$65,MATCH($A1054,Variables!$A$5:$A$65,0))="","","."&amp;INDEX(Variables!$D$5:$D$65,MATCH($A1054,Variables!$A$5:$A$65,0)))&amp;"."&amp;Z$5</f>
        <v/>
      </c>
      <c r="AA1054" s="38">
        <f>INDEX(AA$75:AA$88,$D1054)/$E1054</f>
        <v/>
      </c>
      <c r="AB1054" s="36">
        <f>INDEX(AB$75:AB$88,$D1054)/$E1054</f>
        <v/>
      </c>
      <c r="AC1054" s="36">
        <f>INDEX(AC$75:AC$88,$D1054)/$E1054</f>
        <v/>
      </c>
      <c r="AD1054" s="36">
        <f>INDEX(AD$75:AD$88,$D1054)/$E1054</f>
        <v/>
      </c>
      <c r="AE1054" s="36">
        <f>INDEX(AE$75:AE$88,$D1054)/$E1054</f>
        <v/>
      </c>
      <c r="AF1054" s="36">
        <f>INDEX(AF$75:AF$88,$D1054)/$E1054</f>
        <v/>
      </c>
      <c r="AG1054" s="36">
        <f>INDEX(AG$75:AG$88,$D1054)/$E1054</f>
        <v/>
      </c>
      <c r="AH1054" s="36">
        <f>INDEX(AH$75:AH$88,$D1054)/$E1054</f>
        <v/>
      </c>
      <c r="AI1054" s="36">
        <f>INDEX(AI$75:AI$88,$D1054)/$E1054</f>
        <v/>
      </c>
      <c r="AJ1054" s="36">
        <f>INDEX(AJ$75:AJ$88,$D1054)/$E1054</f>
        <v/>
      </c>
      <c r="AK1054" s="36">
        <f>INDEX(AK$75:AK$88,$D1054)/$E1054</f>
        <v/>
      </c>
      <c r="AL1054" s="36">
        <f>INDEX(AL$75:AL$88,$D1054)/$E1054</f>
        <v/>
      </c>
      <c r="AM1054" s="36">
        <f>INDEX(AM$75:AM$88,$D1054)/$E1054</f>
        <v/>
      </c>
      <c r="AN1054" s="36">
        <f>INDEX(AN$75:AN$88,$D1054)/$E1054</f>
        <v/>
      </c>
    </row>
    <row r="1055" hidden="1" outlineLevel="2">
      <c r="A1055" s="5" t="inlineStr">
        <is>
          <t>ntx</t>
        </is>
      </c>
      <c r="B1055" s="5" t="inlineStr">
        <is>
          <t>die</t>
        </is>
      </c>
      <c r="C1055" s="5" t="inlineStr">
        <is>
          <t>omn</t>
        </is>
      </c>
      <c r="D1055" s="36">
        <f>INDEX(Inputs!$L$5:$L$132,MATCH($B1055&amp;"|"&amp;$C1055,Inputs!$A$5:$A$132,0))</f>
        <v/>
      </c>
      <c r="E1055" s="36">
        <f>INDEX(Inputs!$I$5:$I$132,MATCH($B1055&amp;"|"&amp;$C1055,Inputs!$A$5:$A$132,0))</f>
        <v/>
      </c>
      <c r="F1055" s="37" t="n"/>
      <c r="G1055" s="37" t="n"/>
      <c r="H1055" s="5">
        <f>INDEX(Variables!$B$5:$B$65,MATCH($A1055,Variables!$A$5:$A$65,0))&amp;IF($C1055="",""," | "&amp;INDEX(Mapping!$B$5:$B$25,MATCH($C1055,Mapping!$A$5:$A$25,0))&amp;" | "&amp;INDEX(Mapping!$B$29:$B$38,MATCH($B1055,Mapping!$A$29:$A$38,0)))</f>
        <v/>
      </c>
      <c r="I1055" s="5">
        <f>INDEX(Variables!$C$5:$C$65,MATCH($A1055,Variables!$A$5:$A$65,0))</f>
        <v/>
      </c>
      <c r="J1055" s="5">
        <f>INDEX(Variables!$E$5:$E$65,MATCH($A1055,Variables!$A$5:$A$65,0))</f>
        <v/>
      </c>
      <c r="K1055" s="23">
        <f>LOWER(Settings!$C$4)&amp;".mit."&amp;$A1055&amp;IF($C1055="","","."&amp;$C1055&amp;"."&amp;$B1055)&amp;IF(INDEX(Variables!$D$5:$D$65,MATCH($A1055,Variables!$A$5:$A$65,0))="","","."&amp;INDEX(Variables!$D$5:$D$65,MATCH($A1055,Variables!$A$5:$A$65,0)))&amp;"."&amp;K$5</f>
        <v/>
      </c>
      <c r="L1055" s="38">
        <f>INDEX(L$75:L$88,$D1055)/$E1055</f>
        <v/>
      </c>
      <c r="M1055" s="36">
        <f>INDEX(M$75:M$88,$D1055)/$E1055</f>
        <v/>
      </c>
      <c r="N1055" s="36">
        <f>INDEX(N$75:N$88,$D1055)/$E1055</f>
        <v/>
      </c>
      <c r="O1055" s="36">
        <f>INDEX(O$75:O$88,$D1055)/$E1055</f>
        <v/>
      </c>
      <c r="P1055" s="36">
        <f>INDEX(P$75:P$88,$D1055)/$E1055</f>
        <v/>
      </c>
      <c r="Q1055" s="36">
        <f>INDEX(Q$75:Q$88,$D1055)/$E1055</f>
        <v/>
      </c>
      <c r="R1055" s="36">
        <f>INDEX(R$75:R$88,$D1055)/$E1055</f>
        <v/>
      </c>
      <c r="S1055" s="36">
        <f>INDEX(S$75:S$88,$D1055)/$E1055</f>
        <v/>
      </c>
      <c r="T1055" s="36">
        <f>INDEX(T$75:T$88,$D1055)/$E1055</f>
        <v/>
      </c>
      <c r="U1055" s="36">
        <f>INDEX(U$75:U$88,$D1055)/$E1055</f>
        <v/>
      </c>
      <c r="V1055" s="36">
        <f>INDEX(V$75:V$88,$D1055)/$E1055</f>
        <v/>
      </c>
      <c r="W1055" s="36">
        <f>INDEX(W$75:W$88,$D1055)/$E1055</f>
        <v/>
      </c>
      <c r="X1055" s="36">
        <f>INDEX(X$75:X$88,$D1055)/$E1055</f>
        <v/>
      </c>
      <c r="Y1055" s="36">
        <f>INDEX(Y$75:Y$88,$D1055)/$E1055</f>
        <v/>
      </c>
      <c r="Z1055" s="23">
        <f>LOWER(Settings!$C$4)&amp;".mit."&amp;$A1055&amp;IF($C1055="","","."&amp;$C1055&amp;"."&amp;$B1055)&amp;IF(INDEX(Variables!$D$5:$D$65,MATCH($A1055,Variables!$A$5:$A$65,0))="","","."&amp;INDEX(Variables!$D$5:$D$65,MATCH($A1055,Variables!$A$5:$A$65,0)))&amp;"."&amp;Z$5</f>
        <v/>
      </c>
      <c r="AA1055" s="38">
        <f>INDEX(AA$75:AA$88,$D1055)/$E1055</f>
        <v/>
      </c>
      <c r="AB1055" s="36">
        <f>INDEX(AB$75:AB$88,$D1055)/$E1055</f>
        <v/>
      </c>
      <c r="AC1055" s="36">
        <f>INDEX(AC$75:AC$88,$D1055)/$E1055</f>
        <v/>
      </c>
      <c r="AD1055" s="36">
        <f>INDEX(AD$75:AD$88,$D1055)/$E1055</f>
        <v/>
      </c>
      <c r="AE1055" s="36">
        <f>INDEX(AE$75:AE$88,$D1055)/$E1055</f>
        <v/>
      </c>
      <c r="AF1055" s="36">
        <f>INDEX(AF$75:AF$88,$D1055)/$E1055</f>
        <v/>
      </c>
      <c r="AG1055" s="36">
        <f>INDEX(AG$75:AG$88,$D1055)/$E1055</f>
        <v/>
      </c>
      <c r="AH1055" s="36">
        <f>INDEX(AH$75:AH$88,$D1055)/$E1055</f>
        <v/>
      </c>
      <c r="AI1055" s="36">
        <f>INDEX(AI$75:AI$88,$D1055)/$E1055</f>
        <v/>
      </c>
      <c r="AJ1055" s="36">
        <f>INDEX(AJ$75:AJ$88,$D1055)/$E1055</f>
        <v/>
      </c>
      <c r="AK1055" s="36">
        <f>INDEX(AK$75:AK$88,$D1055)/$E1055</f>
        <v/>
      </c>
      <c r="AL1055" s="36">
        <f>INDEX(AL$75:AL$88,$D1055)/$E1055</f>
        <v/>
      </c>
      <c r="AM1055" s="36">
        <f>INDEX(AM$75:AM$88,$D1055)/$E1055</f>
        <v/>
      </c>
      <c r="AN1055" s="36">
        <f>INDEX(AN$75:AN$88,$D1055)/$E1055</f>
        <v/>
      </c>
    </row>
    <row r="1056" hidden="1" outlineLevel="2">
      <c r="A1056" s="5" t="inlineStr">
        <is>
          <t>ntx</t>
        </is>
      </c>
      <c r="B1056" s="5" t="inlineStr">
        <is>
          <t>lpg</t>
        </is>
      </c>
      <c r="C1056" s="5" t="inlineStr">
        <is>
          <t>omn</t>
        </is>
      </c>
      <c r="D1056" s="36">
        <f>INDEX(Inputs!$L$5:$L$132,MATCH($B1056&amp;"|"&amp;$C1056,Inputs!$A$5:$A$132,0))</f>
        <v/>
      </c>
      <c r="E1056" s="36">
        <f>INDEX(Inputs!$I$5:$I$132,MATCH($B1056&amp;"|"&amp;$C1056,Inputs!$A$5:$A$132,0))</f>
        <v/>
      </c>
      <c r="F1056" s="37" t="n"/>
      <c r="G1056" s="37" t="n"/>
      <c r="H1056" s="5">
        <f>INDEX(Variables!$B$5:$B$65,MATCH($A1056,Variables!$A$5:$A$65,0))&amp;IF($C1056="",""," | "&amp;INDEX(Mapping!$B$5:$B$25,MATCH($C1056,Mapping!$A$5:$A$25,0))&amp;" | "&amp;INDEX(Mapping!$B$29:$B$38,MATCH($B1056,Mapping!$A$29:$A$38,0)))</f>
        <v/>
      </c>
      <c r="I1056" s="5">
        <f>INDEX(Variables!$C$5:$C$65,MATCH($A1056,Variables!$A$5:$A$65,0))</f>
        <v/>
      </c>
      <c r="J1056" s="5">
        <f>INDEX(Variables!$E$5:$E$65,MATCH($A1056,Variables!$A$5:$A$65,0))</f>
        <v/>
      </c>
      <c r="K1056" s="23">
        <f>LOWER(Settings!$C$4)&amp;".mit."&amp;$A1056&amp;IF($C1056="","","."&amp;$C1056&amp;"."&amp;$B1056)&amp;IF(INDEX(Variables!$D$5:$D$65,MATCH($A1056,Variables!$A$5:$A$65,0))="","","."&amp;INDEX(Variables!$D$5:$D$65,MATCH($A1056,Variables!$A$5:$A$65,0)))&amp;"."&amp;K$5</f>
        <v/>
      </c>
      <c r="L1056" s="38">
        <f>INDEX(L$75:L$88,$D1056)/$E1056</f>
        <v/>
      </c>
      <c r="M1056" s="36">
        <f>INDEX(M$75:M$88,$D1056)/$E1056</f>
        <v/>
      </c>
      <c r="N1056" s="36">
        <f>INDEX(N$75:N$88,$D1056)/$E1056</f>
        <v/>
      </c>
      <c r="O1056" s="36">
        <f>INDEX(O$75:O$88,$D1056)/$E1056</f>
        <v/>
      </c>
      <c r="P1056" s="36">
        <f>INDEX(P$75:P$88,$D1056)/$E1056</f>
        <v/>
      </c>
      <c r="Q1056" s="36">
        <f>INDEX(Q$75:Q$88,$D1056)/$E1056</f>
        <v/>
      </c>
      <c r="R1056" s="36">
        <f>INDEX(R$75:R$88,$D1056)/$E1056</f>
        <v/>
      </c>
      <c r="S1056" s="36">
        <f>INDEX(S$75:S$88,$D1056)/$E1056</f>
        <v/>
      </c>
      <c r="T1056" s="36">
        <f>INDEX(T$75:T$88,$D1056)/$E1056</f>
        <v/>
      </c>
      <c r="U1056" s="36">
        <f>INDEX(U$75:U$88,$D1056)/$E1056</f>
        <v/>
      </c>
      <c r="V1056" s="36">
        <f>INDEX(V$75:V$88,$D1056)/$E1056</f>
        <v/>
      </c>
      <c r="W1056" s="36">
        <f>INDEX(W$75:W$88,$D1056)/$E1056</f>
        <v/>
      </c>
      <c r="X1056" s="36">
        <f>INDEX(X$75:X$88,$D1056)/$E1056</f>
        <v/>
      </c>
      <c r="Y1056" s="36">
        <f>INDEX(Y$75:Y$88,$D1056)/$E1056</f>
        <v/>
      </c>
      <c r="Z1056" s="23">
        <f>LOWER(Settings!$C$4)&amp;".mit."&amp;$A1056&amp;IF($C1056="","","."&amp;$C1056&amp;"."&amp;$B1056)&amp;IF(INDEX(Variables!$D$5:$D$65,MATCH($A1056,Variables!$A$5:$A$65,0))="","","."&amp;INDEX(Variables!$D$5:$D$65,MATCH($A1056,Variables!$A$5:$A$65,0)))&amp;"."&amp;Z$5</f>
        <v/>
      </c>
      <c r="AA1056" s="38">
        <f>INDEX(AA$75:AA$88,$D1056)/$E1056</f>
        <v/>
      </c>
      <c r="AB1056" s="36">
        <f>INDEX(AB$75:AB$88,$D1056)/$E1056</f>
        <v/>
      </c>
      <c r="AC1056" s="36">
        <f>INDEX(AC$75:AC$88,$D1056)/$E1056</f>
        <v/>
      </c>
      <c r="AD1056" s="36">
        <f>INDEX(AD$75:AD$88,$D1056)/$E1056</f>
        <v/>
      </c>
      <c r="AE1056" s="36">
        <f>INDEX(AE$75:AE$88,$D1056)/$E1056</f>
        <v/>
      </c>
      <c r="AF1056" s="36">
        <f>INDEX(AF$75:AF$88,$D1056)/$E1056</f>
        <v/>
      </c>
      <c r="AG1056" s="36">
        <f>INDEX(AG$75:AG$88,$D1056)/$E1056</f>
        <v/>
      </c>
      <c r="AH1056" s="36">
        <f>INDEX(AH$75:AH$88,$D1056)/$E1056</f>
        <v/>
      </c>
      <c r="AI1056" s="36">
        <f>INDEX(AI$75:AI$88,$D1056)/$E1056</f>
        <v/>
      </c>
      <c r="AJ1056" s="36">
        <f>INDEX(AJ$75:AJ$88,$D1056)/$E1056</f>
        <v/>
      </c>
      <c r="AK1056" s="36">
        <f>INDEX(AK$75:AK$88,$D1056)/$E1056</f>
        <v/>
      </c>
      <c r="AL1056" s="36">
        <f>INDEX(AL$75:AL$88,$D1056)/$E1056</f>
        <v/>
      </c>
      <c r="AM1056" s="36">
        <f>INDEX(AM$75:AM$88,$D1056)/$E1056</f>
        <v/>
      </c>
      <c r="AN1056" s="36">
        <f>INDEX(AN$75:AN$88,$D1056)/$E1056</f>
        <v/>
      </c>
    </row>
    <row r="1057" hidden="1" outlineLevel="2">
      <c r="A1057" s="5" t="inlineStr">
        <is>
          <t>ntx</t>
        </is>
      </c>
      <c r="B1057" s="5" t="inlineStr">
        <is>
          <t>ker</t>
        </is>
      </c>
      <c r="C1057" s="5" t="inlineStr">
        <is>
          <t>omn</t>
        </is>
      </c>
      <c r="D1057" s="36">
        <f>INDEX(Inputs!$L$5:$L$132,MATCH($B1057&amp;"|"&amp;$C1057,Inputs!$A$5:$A$132,0))</f>
        <v/>
      </c>
      <c r="E1057" s="36">
        <f>INDEX(Inputs!$I$5:$I$132,MATCH($B1057&amp;"|"&amp;$C1057,Inputs!$A$5:$A$132,0))</f>
        <v/>
      </c>
      <c r="F1057" s="37" t="n"/>
      <c r="G1057" s="37" t="n"/>
      <c r="H1057" s="5">
        <f>INDEX(Variables!$B$5:$B$65,MATCH($A1057,Variables!$A$5:$A$65,0))&amp;IF($C1057="",""," | "&amp;INDEX(Mapping!$B$5:$B$25,MATCH($C1057,Mapping!$A$5:$A$25,0))&amp;" | "&amp;INDEX(Mapping!$B$29:$B$38,MATCH($B1057,Mapping!$A$29:$A$38,0)))</f>
        <v/>
      </c>
      <c r="I1057" s="5">
        <f>INDEX(Variables!$C$5:$C$65,MATCH($A1057,Variables!$A$5:$A$65,0))</f>
        <v/>
      </c>
      <c r="J1057" s="5">
        <f>INDEX(Variables!$E$5:$E$65,MATCH($A1057,Variables!$A$5:$A$65,0))</f>
        <v/>
      </c>
      <c r="K1057" s="23">
        <f>LOWER(Settings!$C$4)&amp;".mit."&amp;$A1057&amp;IF($C1057="","","."&amp;$C1057&amp;"."&amp;$B1057)&amp;IF(INDEX(Variables!$D$5:$D$65,MATCH($A1057,Variables!$A$5:$A$65,0))="","","."&amp;INDEX(Variables!$D$5:$D$65,MATCH($A1057,Variables!$A$5:$A$65,0)))&amp;"."&amp;K$5</f>
        <v/>
      </c>
      <c r="L1057" s="38">
        <f>INDEX(L$75:L$88,$D1057)/$E1057</f>
        <v/>
      </c>
      <c r="M1057" s="36">
        <f>INDEX(M$75:M$88,$D1057)/$E1057</f>
        <v/>
      </c>
      <c r="N1057" s="36">
        <f>INDEX(N$75:N$88,$D1057)/$E1057</f>
        <v/>
      </c>
      <c r="O1057" s="36">
        <f>INDEX(O$75:O$88,$D1057)/$E1057</f>
        <v/>
      </c>
      <c r="P1057" s="36">
        <f>INDEX(P$75:P$88,$D1057)/$E1057</f>
        <v/>
      </c>
      <c r="Q1057" s="36">
        <f>INDEX(Q$75:Q$88,$D1057)/$E1057</f>
        <v/>
      </c>
      <c r="R1057" s="36">
        <f>INDEX(R$75:R$88,$D1057)/$E1057</f>
        <v/>
      </c>
      <c r="S1057" s="36">
        <f>INDEX(S$75:S$88,$D1057)/$E1057</f>
        <v/>
      </c>
      <c r="T1057" s="36">
        <f>INDEX(T$75:T$88,$D1057)/$E1057</f>
        <v/>
      </c>
      <c r="U1057" s="36">
        <f>INDEX(U$75:U$88,$D1057)/$E1057</f>
        <v/>
      </c>
      <c r="V1057" s="36">
        <f>INDEX(V$75:V$88,$D1057)/$E1057</f>
        <v/>
      </c>
      <c r="W1057" s="36">
        <f>INDEX(W$75:W$88,$D1057)/$E1057</f>
        <v/>
      </c>
      <c r="X1057" s="36">
        <f>INDEX(X$75:X$88,$D1057)/$E1057</f>
        <v/>
      </c>
      <c r="Y1057" s="36">
        <f>INDEX(Y$75:Y$88,$D1057)/$E1057</f>
        <v/>
      </c>
      <c r="Z1057" s="23">
        <f>LOWER(Settings!$C$4)&amp;".mit."&amp;$A1057&amp;IF($C1057="","","."&amp;$C1057&amp;"."&amp;$B1057)&amp;IF(INDEX(Variables!$D$5:$D$65,MATCH($A1057,Variables!$A$5:$A$65,0))="","","."&amp;INDEX(Variables!$D$5:$D$65,MATCH($A1057,Variables!$A$5:$A$65,0)))&amp;"."&amp;Z$5</f>
        <v/>
      </c>
      <c r="AA1057" s="38">
        <f>INDEX(AA$75:AA$88,$D1057)/$E1057</f>
        <v/>
      </c>
      <c r="AB1057" s="36">
        <f>INDEX(AB$75:AB$88,$D1057)/$E1057</f>
        <v/>
      </c>
      <c r="AC1057" s="36">
        <f>INDEX(AC$75:AC$88,$D1057)/$E1057</f>
        <v/>
      </c>
      <c r="AD1057" s="36">
        <f>INDEX(AD$75:AD$88,$D1057)/$E1057</f>
        <v/>
      </c>
      <c r="AE1057" s="36">
        <f>INDEX(AE$75:AE$88,$D1057)/$E1057</f>
        <v/>
      </c>
      <c r="AF1057" s="36">
        <f>INDEX(AF$75:AF$88,$D1057)/$E1057</f>
        <v/>
      </c>
      <c r="AG1057" s="36">
        <f>INDEX(AG$75:AG$88,$D1057)/$E1057</f>
        <v/>
      </c>
      <c r="AH1057" s="36">
        <f>INDEX(AH$75:AH$88,$D1057)/$E1057</f>
        <v/>
      </c>
      <c r="AI1057" s="36">
        <f>INDEX(AI$75:AI$88,$D1057)/$E1057</f>
        <v/>
      </c>
      <c r="AJ1057" s="36">
        <f>INDEX(AJ$75:AJ$88,$D1057)/$E1057</f>
        <v/>
      </c>
      <c r="AK1057" s="36">
        <f>INDEX(AK$75:AK$88,$D1057)/$E1057</f>
        <v/>
      </c>
      <c r="AL1057" s="36">
        <f>INDEX(AL$75:AL$88,$D1057)/$E1057</f>
        <v/>
      </c>
      <c r="AM1057" s="36">
        <f>INDEX(AM$75:AM$88,$D1057)/$E1057</f>
        <v/>
      </c>
      <c r="AN1057" s="36">
        <f>INDEX(AN$75:AN$88,$D1057)/$E1057</f>
        <v/>
      </c>
    </row>
    <row r="1058" hidden="1" outlineLevel="2">
      <c r="A1058" s="5" t="inlineStr">
        <is>
          <t>ntx</t>
        </is>
      </c>
      <c r="B1058" s="5" t="inlineStr">
        <is>
          <t>oop</t>
        </is>
      </c>
      <c r="C1058" s="5" t="inlineStr">
        <is>
          <t>omn</t>
        </is>
      </c>
      <c r="D1058" s="36">
        <f>INDEX(Inputs!$L$5:$L$132,MATCH($B1058&amp;"|"&amp;$C1058,Inputs!$A$5:$A$132,0))</f>
        <v/>
      </c>
      <c r="E1058" s="36">
        <f>INDEX(Inputs!$I$5:$I$132,MATCH($B1058&amp;"|"&amp;$C1058,Inputs!$A$5:$A$132,0))</f>
        <v/>
      </c>
      <c r="F1058" s="37" t="n"/>
      <c r="G1058" s="37" t="n"/>
      <c r="H1058" s="5">
        <f>INDEX(Variables!$B$5:$B$65,MATCH($A1058,Variables!$A$5:$A$65,0))&amp;IF($C1058="",""," | "&amp;INDEX(Mapping!$B$5:$B$25,MATCH($C1058,Mapping!$A$5:$A$25,0))&amp;" | "&amp;INDEX(Mapping!$B$29:$B$38,MATCH($B1058,Mapping!$A$29:$A$38,0)))</f>
        <v/>
      </c>
      <c r="I1058" s="5">
        <f>INDEX(Variables!$C$5:$C$65,MATCH($A1058,Variables!$A$5:$A$65,0))</f>
        <v/>
      </c>
      <c r="J1058" s="5">
        <f>INDEX(Variables!$E$5:$E$65,MATCH($A1058,Variables!$A$5:$A$65,0))</f>
        <v/>
      </c>
      <c r="K1058" s="23">
        <f>LOWER(Settings!$C$4)&amp;".mit."&amp;$A1058&amp;IF($C1058="","","."&amp;$C1058&amp;"."&amp;$B1058)&amp;IF(INDEX(Variables!$D$5:$D$65,MATCH($A1058,Variables!$A$5:$A$65,0))="","","."&amp;INDEX(Variables!$D$5:$D$65,MATCH($A1058,Variables!$A$5:$A$65,0)))&amp;"."&amp;K$5</f>
        <v/>
      </c>
      <c r="L1058" s="38">
        <f>INDEX(L$75:L$88,$D1058)/$E1058</f>
        <v/>
      </c>
      <c r="M1058" s="36">
        <f>INDEX(M$75:M$88,$D1058)/$E1058</f>
        <v/>
      </c>
      <c r="N1058" s="36">
        <f>INDEX(N$75:N$88,$D1058)/$E1058</f>
        <v/>
      </c>
      <c r="O1058" s="36">
        <f>INDEX(O$75:O$88,$D1058)/$E1058</f>
        <v/>
      </c>
      <c r="P1058" s="36">
        <f>INDEX(P$75:P$88,$D1058)/$E1058</f>
        <v/>
      </c>
      <c r="Q1058" s="36">
        <f>INDEX(Q$75:Q$88,$D1058)/$E1058</f>
        <v/>
      </c>
      <c r="R1058" s="36">
        <f>INDEX(R$75:R$88,$D1058)/$E1058</f>
        <v/>
      </c>
      <c r="S1058" s="36">
        <f>INDEX(S$75:S$88,$D1058)/$E1058</f>
        <v/>
      </c>
      <c r="T1058" s="36">
        <f>INDEX(T$75:T$88,$D1058)/$E1058</f>
        <v/>
      </c>
      <c r="U1058" s="36">
        <f>INDEX(U$75:U$88,$D1058)/$E1058</f>
        <v/>
      </c>
      <c r="V1058" s="36">
        <f>INDEX(V$75:V$88,$D1058)/$E1058</f>
        <v/>
      </c>
      <c r="W1058" s="36">
        <f>INDEX(W$75:W$88,$D1058)/$E1058</f>
        <v/>
      </c>
      <c r="X1058" s="36">
        <f>INDEX(X$75:X$88,$D1058)/$E1058</f>
        <v/>
      </c>
      <c r="Y1058" s="36">
        <f>INDEX(Y$75:Y$88,$D1058)/$E1058</f>
        <v/>
      </c>
      <c r="Z1058" s="23">
        <f>LOWER(Settings!$C$4)&amp;".mit."&amp;$A1058&amp;IF($C1058="","","."&amp;$C1058&amp;"."&amp;$B1058)&amp;IF(INDEX(Variables!$D$5:$D$65,MATCH($A1058,Variables!$A$5:$A$65,0))="","","."&amp;INDEX(Variables!$D$5:$D$65,MATCH($A1058,Variables!$A$5:$A$65,0)))&amp;"."&amp;Z$5</f>
        <v/>
      </c>
      <c r="AA1058" s="38">
        <f>INDEX(AA$75:AA$88,$D1058)/$E1058</f>
        <v/>
      </c>
      <c r="AB1058" s="36">
        <f>INDEX(AB$75:AB$88,$D1058)/$E1058</f>
        <v/>
      </c>
      <c r="AC1058" s="36">
        <f>INDEX(AC$75:AC$88,$D1058)/$E1058</f>
        <v/>
      </c>
      <c r="AD1058" s="36">
        <f>INDEX(AD$75:AD$88,$D1058)/$E1058</f>
        <v/>
      </c>
      <c r="AE1058" s="36">
        <f>INDEX(AE$75:AE$88,$D1058)/$E1058</f>
        <v/>
      </c>
      <c r="AF1058" s="36">
        <f>INDEX(AF$75:AF$88,$D1058)/$E1058</f>
        <v/>
      </c>
      <c r="AG1058" s="36">
        <f>INDEX(AG$75:AG$88,$D1058)/$E1058</f>
        <v/>
      </c>
      <c r="AH1058" s="36">
        <f>INDEX(AH$75:AH$88,$D1058)/$E1058</f>
        <v/>
      </c>
      <c r="AI1058" s="36">
        <f>INDEX(AI$75:AI$88,$D1058)/$E1058</f>
        <v/>
      </c>
      <c r="AJ1058" s="36">
        <f>INDEX(AJ$75:AJ$88,$D1058)/$E1058</f>
        <v/>
      </c>
      <c r="AK1058" s="36">
        <f>INDEX(AK$75:AK$88,$D1058)/$E1058</f>
        <v/>
      </c>
      <c r="AL1058" s="36">
        <f>INDEX(AL$75:AL$88,$D1058)/$E1058</f>
        <v/>
      </c>
      <c r="AM1058" s="36">
        <f>INDEX(AM$75:AM$88,$D1058)/$E1058</f>
        <v/>
      </c>
      <c r="AN1058" s="36">
        <f>INDEX(AN$75:AN$88,$D1058)/$E1058</f>
        <v/>
      </c>
    </row>
    <row r="1059" hidden="1" outlineLevel="2">
      <c r="A1059" s="5" t="inlineStr">
        <is>
          <t>ntx</t>
        </is>
      </c>
      <c r="B1059" s="5" t="inlineStr">
        <is>
          <t>bio</t>
        </is>
      </c>
      <c r="C1059" s="5" t="inlineStr">
        <is>
          <t>omn</t>
        </is>
      </c>
      <c r="D1059" s="36">
        <f>INDEX(Inputs!$L$5:$L$132,MATCH($B1059&amp;"|"&amp;$C1059,Inputs!$A$5:$A$132,0))</f>
        <v/>
      </c>
      <c r="E1059" s="36">
        <f>INDEX(Inputs!$I$5:$I$132,MATCH($B1059&amp;"|"&amp;$C1059,Inputs!$A$5:$A$132,0))</f>
        <v/>
      </c>
      <c r="F1059" s="37" t="n"/>
      <c r="G1059" s="37" t="n"/>
      <c r="H1059" s="5">
        <f>INDEX(Variables!$B$5:$B$65,MATCH($A1059,Variables!$A$5:$A$65,0))&amp;IF($C1059="",""," | "&amp;INDEX(Mapping!$B$5:$B$25,MATCH($C1059,Mapping!$A$5:$A$25,0))&amp;" | "&amp;INDEX(Mapping!$B$29:$B$38,MATCH($B1059,Mapping!$A$29:$A$38,0)))</f>
        <v/>
      </c>
      <c r="I1059" s="5">
        <f>INDEX(Variables!$C$5:$C$65,MATCH($A1059,Variables!$A$5:$A$65,0))</f>
        <v/>
      </c>
      <c r="J1059" s="5">
        <f>INDEX(Variables!$E$5:$E$65,MATCH($A1059,Variables!$A$5:$A$65,0))</f>
        <v/>
      </c>
      <c r="K1059" s="23">
        <f>LOWER(Settings!$C$4)&amp;".mit."&amp;$A1059&amp;IF($C1059="","","."&amp;$C1059&amp;"."&amp;$B1059)&amp;IF(INDEX(Variables!$D$5:$D$65,MATCH($A1059,Variables!$A$5:$A$65,0))="","","."&amp;INDEX(Variables!$D$5:$D$65,MATCH($A1059,Variables!$A$5:$A$65,0)))&amp;"."&amp;K$5</f>
        <v/>
      </c>
      <c r="L1059" s="38">
        <f>INDEX(L$75:L$88,$D1059)/$E1059</f>
        <v/>
      </c>
      <c r="M1059" s="36">
        <f>INDEX(M$75:M$88,$D1059)/$E1059</f>
        <v/>
      </c>
      <c r="N1059" s="36">
        <f>INDEX(N$75:N$88,$D1059)/$E1059</f>
        <v/>
      </c>
      <c r="O1059" s="36">
        <f>INDEX(O$75:O$88,$D1059)/$E1059</f>
        <v/>
      </c>
      <c r="P1059" s="36">
        <f>INDEX(P$75:P$88,$D1059)/$E1059</f>
        <v/>
      </c>
      <c r="Q1059" s="36">
        <f>INDEX(Q$75:Q$88,$D1059)/$E1059</f>
        <v/>
      </c>
      <c r="R1059" s="36">
        <f>INDEX(R$75:R$88,$D1059)/$E1059</f>
        <v/>
      </c>
      <c r="S1059" s="36">
        <f>INDEX(S$75:S$88,$D1059)/$E1059</f>
        <v/>
      </c>
      <c r="T1059" s="36">
        <f>INDEX(T$75:T$88,$D1059)/$E1059</f>
        <v/>
      </c>
      <c r="U1059" s="36">
        <f>INDEX(U$75:U$88,$D1059)/$E1059</f>
        <v/>
      </c>
      <c r="V1059" s="36">
        <f>INDEX(V$75:V$88,$D1059)/$E1059</f>
        <v/>
      </c>
      <c r="W1059" s="36">
        <f>INDEX(W$75:W$88,$D1059)/$E1059</f>
        <v/>
      </c>
      <c r="X1059" s="36">
        <f>INDEX(X$75:X$88,$D1059)/$E1059</f>
        <v/>
      </c>
      <c r="Y1059" s="36">
        <f>INDEX(Y$75:Y$88,$D1059)/$E1059</f>
        <v/>
      </c>
      <c r="Z1059" s="23">
        <f>LOWER(Settings!$C$4)&amp;".mit."&amp;$A1059&amp;IF($C1059="","","."&amp;$C1059&amp;"."&amp;$B1059)&amp;IF(INDEX(Variables!$D$5:$D$65,MATCH($A1059,Variables!$A$5:$A$65,0))="","","."&amp;INDEX(Variables!$D$5:$D$65,MATCH($A1059,Variables!$A$5:$A$65,0)))&amp;"."&amp;Z$5</f>
        <v/>
      </c>
      <c r="AA1059" s="38">
        <f>INDEX(AA$75:AA$88,$D1059)/$E1059</f>
        <v/>
      </c>
      <c r="AB1059" s="36">
        <f>INDEX(AB$75:AB$88,$D1059)/$E1059</f>
        <v/>
      </c>
      <c r="AC1059" s="36">
        <f>INDEX(AC$75:AC$88,$D1059)/$E1059</f>
        <v/>
      </c>
      <c r="AD1059" s="36">
        <f>INDEX(AD$75:AD$88,$D1059)/$E1059</f>
        <v/>
      </c>
      <c r="AE1059" s="36">
        <f>INDEX(AE$75:AE$88,$D1059)/$E1059</f>
        <v/>
      </c>
      <c r="AF1059" s="36">
        <f>INDEX(AF$75:AF$88,$D1059)/$E1059</f>
        <v/>
      </c>
      <c r="AG1059" s="36">
        <f>INDEX(AG$75:AG$88,$D1059)/$E1059</f>
        <v/>
      </c>
      <c r="AH1059" s="36">
        <f>INDEX(AH$75:AH$88,$D1059)/$E1059</f>
        <v/>
      </c>
      <c r="AI1059" s="36">
        <f>INDEX(AI$75:AI$88,$D1059)/$E1059</f>
        <v/>
      </c>
      <c r="AJ1059" s="36">
        <f>INDEX(AJ$75:AJ$88,$D1059)/$E1059</f>
        <v/>
      </c>
      <c r="AK1059" s="36">
        <f>INDEX(AK$75:AK$88,$D1059)/$E1059</f>
        <v/>
      </c>
      <c r="AL1059" s="36">
        <f>INDEX(AL$75:AL$88,$D1059)/$E1059</f>
        <v/>
      </c>
      <c r="AM1059" s="36">
        <f>INDEX(AM$75:AM$88,$D1059)/$E1059</f>
        <v/>
      </c>
      <c r="AN1059" s="36">
        <f>INDEX(AN$75:AN$88,$D1059)/$E1059</f>
        <v/>
      </c>
    </row>
    <row r="1060" hidden="1" outlineLevel="2"/>
    <row r="1061" hidden="1" outlineLevel="2">
      <c r="A1061" s="5" t="inlineStr">
        <is>
          <t>nce</t>
        </is>
      </c>
      <c r="B1061" s="5" t="inlineStr">
        <is>
          <t>coa</t>
        </is>
      </c>
      <c r="C1061" s="5" t="inlineStr">
        <is>
          <t>omn</t>
        </is>
      </c>
      <c r="D1061" s="37" t="n"/>
      <c r="E1061" s="37" t="n"/>
      <c r="F1061" s="37" t="n"/>
      <c r="G1061" s="37" t="n"/>
      <c r="H1061" s="5">
        <f>INDEX(Variables!$B$5:$B$65,MATCH($A1061,Variables!$A$5:$A$65,0))&amp;IF($C1061="",""," | "&amp;INDEX(Mapping!$B$5:$B$25,MATCH($C1061,Mapping!$A$5:$A$25,0))&amp;" | "&amp;INDEX(Mapping!$B$29:$B$38,MATCH($B1061,Mapping!$A$29:$A$38,0)))</f>
        <v/>
      </c>
      <c r="I1061" s="5">
        <f>INDEX(Variables!$C$5:$C$65,MATCH($A1061,Variables!$A$5:$A$65,0))</f>
        <v/>
      </c>
      <c r="J1061" s="5">
        <f>INDEX(Variables!$E$5:$E$65,MATCH($A1061,Variables!$A$5:$A$65,0))</f>
        <v/>
      </c>
      <c r="K1061" s="23">
        <f>LOWER(Settings!$C$4)&amp;".mit."&amp;$A1061&amp;IF($C1061="","","."&amp;$C1061&amp;"."&amp;$B1061)&amp;IF(INDEX(Variables!$D$5:$D$65,MATCH($A1061,Variables!$A$5:$A$65,0))="","","."&amp;INDEX(Variables!$D$5:$D$65,MATCH($A1061,Variables!$A$5:$A$65,0)))&amp;"."&amp;K$5</f>
        <v/>
      </c>
      <c r="L1061" s="38">
        <f>L1043+L1052</f>
        <v/>
      </c>
      <c r="M1061" s="36">
        <f>M1043+M1052</f>
        <v/>
      </c>
      <c r="N1061" s="36">
        <f>N1043+N1052</f>
        <v/>
      </c>
      <c r="O1061" s="36">
        <f>O1043+O1052</f>
        <v/>
      </c>
      <c r="P1061" s="36">
        <f>P1043+P1052</f>
        <v/>
      </c>
      <c r="Q1061" s="36">
        <f>Q1043+Q1052</f>
        <v/>
      </c>
      <c r="R1061" s="36">
        <f>R1043+R1052</f>
        <v/>
      </c>
      <c r="S1061" s="36">
        <f>S1043+S1052</f>
        <v/>
      </c>
      <c r="T1061" s="36">
        <f>T1043+T1052</f>
        <v/>
      </c>
      <c r="U1061" s="36">
        <f>U1043+U1052</f>
        <v/>
      </c>
      <c r="V1061" s="36">
        <f>V1043+V1052</f>
        <v/>
      </c>
      <c r="W1061" s="36">
        <f>W1043+W1052</f>
        <v/>
      </c>
      <c r="X1061" s="36">
        <f>X1043+X1052</f>
        <v/>
      </c>
      <c r="Y1061" s="36">
        <f>Y1043+Y1052</f>
        <v/>
      </c>
      <c r="Z1061" s="23">
        <f>LOWER(Settings!$C$4)&amp;".mit."&amp;$A1061&amp;IF($C1061="","","."&amp;$C1061&amp;"."&amp;$B1061)&amp;IF(INDEX(Variables!$D$5:$D$65,MATCH($A1061,Variables!$A$5:$A$65,0))="","","."&amp;INDEX(Variables!$D$5:$D$65,MATCH($A1061,Variables!$A$5:$A$65,0)))&amp;"."&amp;Z$5</f>
        <v/>
      </c>
      <c r="AA1061" s="38">
        <f>AA1043+AA1052</f>
        <v/>
      </c>
      <c r="AB1061" s="36">
        <f>AB1043+AB1052</f>
        <v/>
      </c>
      <c r="AC1061" s="36">
        <f>AC1043+AC1052</f>
        <v/>
      </c>
      <c r="AD1061" s="36">
        <f>AD1043+AD1052</f>
        <v/>
      </c>
      <c r="AE1061" s="36">
        <f>AE1043+AE1052</f>
        <v/>
      </c>
      <c r="AF1061" s="36">
        <f>AF1043+AF1052</f>
        <v/>
      </c>
      <c r="AG1061" s="36">
        <f>AG1043+AG1052</f>
        <v/>
      </c>
      <c r="AH1061" s="36">
        <f>AH1043+AH1052</f>
        <v/>
      </c>
      <c r="AI1061" s="36">
        <f>AI1043+AI1052</f>
        <v/>
      </c>
      <c r="AJ1061" s="36">
        <f>AJ1043+AJ1052</f>
        <v/>
      </c>
      <c r="AK1061" s="36">
        <f>AK1043+AK1052</f>
        <v/>
      </c>
      <c r="AL1061" s="36">
        <f>AL1043+AL1052</f>
        <v/>
      </c>
      <c r="AM1061" s="36">
        <f>AM1043+AM1052</f>
        <v/>
      </c>
      <c r="AN1061" s="36">
        <f>AN1043+AN1052</f>
        <v/>
      </c>
    </row>
    <row r="1062" hidden="1" outlineLevel="2">
      <c r="A1062" s="5" t="inlineStr">
        <is>
          <t>nce</t>
        </is>
      </c>
      <c r="B1062" s="5" t="inlineStr">
        <is>
          <t>nga</t>
        </is>
      </c>
      <c r="C1062" s="5" t="inlineStr">
        <is>
          <t>omn</t>
        </is>
      </c>
      <c r="D1062" s="37" t="n"/>
      <c r="E1062" s="37" t="n"/>
      <c r="F1062" s="37" t="n"/>
      <c r="G1062" s="37" t="n"/>
      <c r="H1062" s="5">
        <f>INDEX(Variables!$B$5:$B$65,MATCH($A1062,Variables!$A$5:$A$65,0))&amp;IF($C1062="",""," | "&amp;INDEX(Mapping!$B$5:$B$25,MATCH($C1062,Mapping!$A$5:$A$25,0))&amp;" | "&amp;INDEX(Mapping!$B$29:$B$38,MATCH($B1062,Mapping!$A$29:$A$38,0)))</f>
        <v/>
      </c>
      <c r="I1062" s="5">
        <f>INDEX(Variables!$C$5:$C$65,MATCH($A1062,Variables!$A$5:$A$65,0))</f>
        <v/>
      </c>
      <c r="J1062" s="5">
        <f>INDEX(Variables!$E$5:$E$65,MATCH($A1062,Variables!$A$5:$A$65,0))</f>
        <v/>
      </c>
      <c r="K1062" s="23">
        <f>LOWER(Settings!$C$4)&amp;".mit."&amp;$A1062&amp;IF($C1062="","","."&amp;$C1062&amp;"."&amp;$B1062)&amp;IF(INDEX(Variables!$D$5:$D$65,MATCH($A1062,Variables!$A$5:$A$65,0))="","","."&amp;INDEX(Variables!$D$5:$D$65,MATCH($A1062,Variables!$A$5:$A$65,0)))&amp;"."&amp;K$5</f>
        <v/>
      </c>
      <c r="L1062" s="38">
        <f>L1044+L1053</f>
        <v/>
      </c>
      <c r="M1062" s="36">
        <f>M1044+M1053</f>
        <v/>
      </c>
      <c r="N1062" s="36">
        <f>N1044+N1053</f>
        <v/>
      </c>
      <c r="O1062" s="36">
        <f>O1044+O1053</f>
        <v/>
      </c>
      <c r="P1062" s="36">
        <f>P1044+P1053</f>
        <v/>
      </c>
      <c r="Q1062" s="36">
        <f>Q1044+Q1053</f>
        <v/>
      </c>
      <c r="R1062" s="36">
        <f>R1044+R1053</f>
        <v/>
      </c>
      <c r="S1062" s="36">
        <f>S1044+S1053</f>
        <v/>
      </c>
      <c r="T1062" s="36">
        <f>T1044+T1053</f>
        <v/>
      </c>
      <c r="U1062" s="36">
        <f>U1044+U1053</f>
        <v/>
      </c>
      <c r="V1062" s="36">
        <f>V1044+V1053</f>
        <v/>
      </c>
      <c r="W1062" s="36">
        <f>W1044+W1053</f>
        <v/>
      </c>
      <c r="X1062" s="36">
        <f>X1044+X1053</f>
        <v/>
      </c>
      <c r="Y1062" s="36">
        <f>Y1044+Y1053</f>
        <v/>
      </c>
      <c r="Z1062" s="23">
        <f>LOWER(Settings!$C$4)&amp;".mit."&amp;$A1062&amp;IF($C1062="","","."&amp;$C1062&amp;"."&amp;$B1062)&amp;IF(INDEX(Variables!$D$5:$D$65,MATCH($A1062,Variables!$A$5:$A$65,0))="","","."&amp;INDEX(Variables!$D$5:$D$65,MATCH($A1062,Variables!$A$5:$A$65,0)))&amp;"."&amp;Z$5</f>
        <v/>
      </c>
      <c r="AA1062" s="38">
        <f>AA1044+AA1053</f>
        <v/>
      </c>
      <c r="AB1062" s="36">
        <f>AB1044+AB1053</f>
        <v/>
      </c>
      <c r="AC1062" s="36">
        <f>AC1044+AC1053</f>
        <v/>
      </c>
      <c r="AD1062" s="36">
        <f>AD1044+AD1053</f>
        <v/>
      </c>
      <c r="AE1062" s="36">
        <f>AE1044+AE1053</f>
        <v/>
      </c>
      <c r="AF1062" s="36">
        <f>AF1044+AF1053</f>
        <v/>
      </c>
      <c r="AG1062" s="36">
        <f>AG1044+AG1053</f>
        <v/>
      </c>
      <c r="AH1062" s="36">
        <f>AH1044+AH1053</f>
        <v/>
      </c>
      <c r="AI1062" s="36">
        <f>AI1044+AI1053</f>
        <v/>
      </c>
      <c r="AJ1062" s="36">
        <f>AJ1044+AJ1053</f>
        <v/>
      </c>
      <c r="AK1062" s="36">
        <f>AK1044+AK1053</f>
        <v/>
      </c>
      <c r="AL1062" s="36">
        <f>AL1044+AL1053</f>
        <v/>
      </c>
      <c r="AM1062" s="36">
        <f>AM1044+AM1053</f>
        <v/>
      </c>
      <c r="AN1062" s="36">
        <f>AN1044+AN1053</f>
        <v/>
      </c>
    </row>
    <row r="1063" hidden="1" outlineLevel="2">
      <c r="A1063" s="5" t="inlineStr">
        <is>
          <t>nce</t>
        </is>
      </c>
      <c r="B1063" s="5" t="inlineStr">
        <is>
          <t>gso</t>
        </is>
      </c>
      <c r="C1063" s="5" t="inlineStr">
        <is>
          <t>omn</t>
        </is>
      </c>
      <c r="D1063" s="37" t="n"/>
      <c r="E1063" s="37" t="n"/>
      <c r="F1063" s="37" t="n"/>
      <c r="G1063" s="37" t="n"/>
      <c r="H1063" s="5">
        <f>INDEX(Variables!$B$5:$B$65,MATCH($A1063,Variables!$A$5:$A$65,0))&amp;IF($C1063="",""," | "&amp;INDEX(Mapping!$B$5:$B$25,MATCH($C1063,Mapping!$A$5:$A$25,0))&amp;" | "&amp;INDEX(Mapping!$B$29:$B$38,MATCH($B1063,Mapping!$A$29:$A$38,0)))</f>
        <v/>
      </c>
      <c r="I1063" s="5">
        <f>INDEX(Variables!$C$5:$C$65,MATCH($A1063,Variables!$A$5:$A$65,0))</f>
        <v/>
      </c>
      <c r="J1063" s="5">
        <f>INDEX(Variables!$E$5:$E$65,MATCH($A1063,Variables!$A$5:$A$65,0))</f>
        <v/>
      </c>
      <c r="K1063" s="23">
        <f>LOWER(Settings!$C$4)&amp;".mit."&amp;$A1063&amp;IF($C1063="","","."&amp;$C1063&amp;"."&amp;$B1063)&amp;IF(INDEX(Variables!$D$5:$D$65,MATCH($A1063,Variables!$A$5:$A$65,0))="","","."&amp;INDEX(Variables!$D$5:$D$65,MATCH($A1063,Variables!$A$5:$A$65,0)))&amp;"."&amp;K$5</f>
        <v/>
      </c>
      <c r="L1063" s="38">
        <f>L1045+L1054</f>
        <v/>
      </c>
      <c r="M1063" s="36">
        <f>M1045+M1054</f>
        <v/>
      </c>
      <c r="N1063" s="36">
        <f>N1045+N1054</f>
        <v/>
      </c>
      <c r="O1063" s="36">
        <f>O1045+O1054</f>
        <v/>
      </c>
      <c r="P1063" s="36">
        <f>P1045+P1054</f>
        <v/>
      </c>
      <c r="Q1063" s="36">
        <f>Q1045+Q1054</f>
        <v/>
      </c>
      <c r="R1063" s="36">
        <f>R1045+R1054</f>
        <v/>
      </c>
      <c r="S1063" s="36">
        <f>S1045+S1054</f>
        <v/>
      </c>
      <c r="T1063" s="36">
        <f>T1045+T1054</f>
        <v/>
      </c>
      <c r="U1063" s="36">
        <f>U1045+U1054</f>
        <v/>
      </c>
      <c r="V1063" s="36">
        <f>V1045+V1054</f>
        <v/>
      </c>
      <c r="W1063" s="36">
        <f>W1045+W1054</f>
        <v/>
      </c>
      <c r="X1063" s="36">
        <f>X1045+X1054</f>
        <v/>
      </c>
      <c r="Y1063" s="36">
        <f>Y1045+Y1054</f>
        <v/>
      </c>
      <c r="Z1063" s="23">
        <f>LOWER(Settings!$C$4)&amp;".mit."&amp;$A1063&amp;IF($C1063="","","."&amp;$C1063&amp;"."&amp;$B1063)&amp;IF(INDEX(Variables!$D$5:$D$65,MATCH($A1063,Variables!$A$5:$A$65,0))="","","."&amp;INDEX(Variables!$D$5:$D$65,MATCH($A1063,Variables!$A$5:$A$65,0)))&amp;"."&amp;Z$5</f>
        <v/>
      </c>
      <c r="AA1063" s="38">
        <f>AA1045+AA1054</f>
        <v/>
      </c>
      <c r="AB1063" s="36">
        <f>AB1045+AB1054</f>
        <v/>
      </c>
      <c r="AC1063" s="36">
        <f>AC1045+AC1054</f>
        <v/>
      </c>
      <c r="AD1063" s="36">
        <f>AD1045+AD1054</f>
        <v/>
      </c>
      <c r="AE1063" s="36">
        <f>AE1045+AE1054</f>
        <v/>
      </c>
      <c r="AF1063" s="36">
        <f>AF1045+AF1054</f>
        <v/>
      </c>
      <c r="AG1063" s="36">
        <f>AG1045+AG1054</f>
        <v/>
      </c>
      <c r="AH1063" s="36">
        <f>AH1045+AH1054</f>
        <v/>
      </c>
      <c r="AI1063" s="36">
        <f>AI1045+AI1054</f>
        <v/>
      </c>
      <c r="AJ1063" s="36">
        <f>AJ1045+AJ1054</f>
        <v/>
      </c>
      <c r="AK1063" s="36">
        <f>AK1045+AK1054</f>
        <v/>
      </c>
      <c r="AL1063" s="36">
        <f>AL1045+AL1054</f>
        <v/>
      </c>
      <c r="AM1063" s="36">
        <f>AM1045+AM1054</f>
        <v/>
      </c>
      <c r="AN1063" s="36">
        <f>AN1045+AN1054</f>
        <v/>
      </c>
    </row>
    <row r="1064" hidden="1" outlineLevel="2">
      <c r="A1064" s="5" t="inlineStr">
        <is>
          <t>nce</t>
        </is>
      </c>
      <c r="B1064" s="5" t="inlineStr">
        <is>
          <t>die</t>
        </is>
      </c>
      <c r="C1064" s="5" t="inlineStr">
        <is>
          <t>omn</t>
        </is>
      </c>
      <c r="D1064" s="37" t="n"/>
      <c r="E1064" s="37" t="n"/>
      <c r="F1064" s="37" t="n"/>
      <c r="G1064" s="37" t="n"/>
      <c r="H1064" s="5">
        <f>INDEX(Variables!$B$5:$B$65,MATCH($A1064,Variables!$A$5:$A$65,0))&amp;IF($C1064="",""," | "&amp;INDEX(Mapping!$B$5:$B$25,MATCH($C1064,Mapping!$A$5:$A$25,0))&amp;" | "&amp;INDEX(Mapping!$B$29:$B$38,MATCH($B1064,Mapping!$A$29:$A$38,0)))</f>
        <v/>
      </c>
      <c r="I1064" s="5">
        <f>INDEX(Variables!$C$5:$C$65,MATCH($A1064,Variables!$A$5:$A$65,0))</f>
        <v/>
      </c>
      <c r="J1064" s="5">
        <f>INDEX(Variables!$E$5:$E$65,MATCH($A1064,Variables!$A$5:$A$65,0))</f>
        <v/>
      </c>
      <c r="K1064" s="23">
        <f>LOWER(Settings!$C$4)&amp;".mit."&amp;$A1064&amp;IF($C1064="","","."&amp;$C1064&amp;"."&amp;$B1064)&amp;IF(INDEX(Variables!$D$5:$D$65,MATCH($A1064,Variables!$A$5:$A$65,0))="","","."&amp;INDEX(Variables!$D$5:$D$65,MATCH($A1064,Variables!$A$5:$A$65,0)))&amp;"."&amp;K$5</f>
        <v/>
      </c>
      <c r="L1064" s="38">
        <f>L1046+L1055</f>
        <v/>
      </c>
      <c r="M1064" s="36">
        <f>M1046+M1055</f>
        <v/>
      </c>
      <c r="N1064" s="36">
        <f>N1046+N1055</f>
        <v/>
      </c>
      <c r="O1064" s="36">
        <f>O1046+O1055</f>
        <v/>
      </c>
      <c r="P1064" s="36">
        <f>P1046+P1055</f>
        <v/>
      </c>
      <c r="Q1064" s="36">
        <f>Q1046+Q1055</f>
        <v/>
      </c>
      <c r="R1064" s="36">
        <f>R1046+R1055</f>
        <v/>
      </c>
      <c r="S1064" s="36">
        <f>S1046+S1055</f>
        <v/>
      </c>
      <c r="T1064" s="36">
        <f>T1046+T1055</f>
        <v/>
      </c>
      <c r="U1064" s="36">
        <f>U1046+U1055</f>
        <v/>
      </c>
      <c r="V1064" s="36">
        <f>V1046+V1055</f>
        <v/>
      </c>
      <c r="W1064" s="36">
        <f>W1046+W1055</f>
        <v/>
      </c>
      <c r="X1064" s="36">
        <f>X1046+X1055</f>
        <v/>
      </c>
      <c r="Y1064" s="36">
        <f>Y1046+Y1055</f>
        <v/>
      </c>
      <c r="Z1064" s="23">
        <f>LOWER(Settings!$C$4)&amp;".mit."&amp;$A1064&amp;IF($C1064="","","."&amp;$C1064&amp;"."&amp;$B1064)&amp;IF(INDEX(Variables!$D$5:$D$65,MATCH($A1064,Variables!$A$5:$A$65,0))="","","."&amp;INDEX(Variables!$D$5:$D$65,MATCH($A1064,Variables!$A$5:$A$65,0)))&amp;"."&amp;Z$5</f>
        <v/>
      </c>
      <c r="AA1064" s="38">
        <f>AA1046+AA1055</f>
        <v/>
      </c>
      <c r="AB1064" s="36">
        <f>AB1046+AB1055</f>
        <v/>
      </c>
      <c r="AC1064" s="36">
        <f>AC1046+AC1055</f>
        <v/>
      </c>
      <c r="AD1064" s="36">
        <f>AD1046+AD1055</f>
        <v/>
      </c>
      <c r="AE1064" s="36">
        <f>AE1046+AE1055</f>
        <v/>
      </c>
      <c r="AF1064" s="36">
        <f>AF1046+AF1055</f>
        <v/>
      </c>
      <c r="AG1064" s="36">
        <f>AG1046+AG1055</f>
        <v/>
      </c>
      <c r="AH1064" s="36">
        <f>AH1046+AH1055</f>
        <v/>
      </c>
      <c r="AI1064" s="36">
        <f>AI1046+AI1055</f>
        <v/>
      </c>
      <c r="AJ1064" s="36">
        <f>AJ1046+AJ1055</f>
        <v/>
      </c>
      <c r="AK1064" s="36">
        <f>AK1046+AK1055</f>
        <v/>
      </c>
      <c r="AL1064" s="36">
        <f>AL1046+AL1055</f>
        <v/>
      </c>
      <c r="AM1064" s="36">
        <f>AM1046+AM1055</f>
        <v/>
      </c>
      <c r="AN1064" s="36">
        <f>AN1046+AN1055</f>
        <v/>
      </c>
    </row>
    <row r="1065" hidden="1" outlineLevel="2">
      <c r="A1065" s="5" t="inlineStr">
        <is>
          <t>nce</t>
        </is>
      </c>
      <c r="B1065" s="5" t="inlineStr">
        <is>
          <t>lpg</t>
        </is>
      </c>
      <c r="C1065" s="5" t="inlineStr">
        <is>
          <t>omn</t>
        </is>
      </c>
      <c r="D1065" s="37" t="n"/>
      <c r="E1065" s="37" t="n"/>
      <c r="F1065" s="37" t="n"/>
      <c r="G1065" s="37" t="n"/>
      <c r="H1065" s="5">
        <f>INDEX(Variables!$B$5:$B$65,MATCH($A1065,Variables!$A$5:$A$65,0))&amp;IF($C1065="",""," | "&amp;INDEX(Mapping!$B$5:$B$25,MATCH($C1065,Mapping!$A$5:$A$25,0))&amp;" | "&amp;INDEX(Mapping!$B$29:$B$38,MATCH($B1065,Mapping!$A$29:$A$38,0)))</f>
        <v/>
      </c>
      <c r="I1065" s="5">
        <f>INDEX(Variables!$C$5:$C$65,MATCH($A1065,Variables!$A$5:$A$65,0))</f>
        <v/>
      </c>
      <c r="J1065" s="5">
        <f>INDEX(Variables!$E$5:$E$65,MATCH($A1065,Variables!$A$5:$A$65,0))</f>
        <v/>
      </c>
      <c r="K1065" s="23">
        <f>LOWER(Settings!$C$4)&amp;".mit."&amp;$A1065&amp;IF($C1065="","","."&amp;$C1065&amp;"."&amp;$B1065)&amp;IF(INDEX(Variables!$D$5:$D$65,MATCH($A1065,Variables!$A$5:$A$65,0))="","","."&amp;INDEX(Variables!$D$5:$D$65,MATCH($A1065,Variables!$A$5:$A$65,0)))&amp;"."&amp;K$5</f>
        <v/>
      </c>
      <c r="L1065" s="38">
        <f>L1047+L1056</f>
        <v/>
      </c>
      <c r="M1065" s="36">
        <f>M1047+M1056</f>
        <v/>
      </c>
      <c r="N1065" s="36">
        <f>N1047+N1056</f>
        <v/>
      </c>
      <c r="O1065" s="36">
        <f>O1047+O1056</f>
        <v/>
      </c>
      <c r="P1065" s="36">
        <f>P1047+P1056</f>
        <v/>
      </c>
      <c r="Q1065" s="36">
        <f>Q1047+Q1056</f>
        <v/>
      </c>
      <c r="R1065" s="36">
        <f>R1047+R1056</f>
        <v/>
      </c>
      <c r="S1065" s="36">
        <f>S1047+S1056</f>
        <v/>
      </c>
      <c r="T1065" s="36">
        <f>T1047+T1056</f>
        <v/>
      </c>
      <c r="U1065" s="36">
        <f>U1047+U1056</f>
        <v/>
      </c>
      <c r="V1065" s="36">
        <f>V1047+V1056</f>
        <v/>
      </c>
      <c r="W1065" s="36">
        <f>W1047+W1056</f>
        <v/>
      </c>
      <c r="X1065" s="36">
        <f>X1047+X1056</f>
        <v/>
      </c>
      <c r="Y1065" s="36">
        <f>Y1047+Y1056</f>
        <v/>
      </c>
      <c r="Z1065" s="23">
        <f>LOWER(Settings!$C$4)&amp;".mit."&amp;$A1065&amp;IF($C1065="","","."&amp;$C1065&amp;"."&amp;$B1065)&amp;IF(INDEX(Variables!$D$5:$D$65,MATCH($A1065,Variables!$A$5:$A$65,0))="","","."&amp;INDEX(Variables!$D$5:$D$65,MATCH($A1065,Variables!$A$5:$A$65,0)))&amp;"."&amp;Z$5</f>
        <v/>
      </c>
      <c r="AA1065" s="38">
        <f>AA1047+AA1056</f>
        <v/>
      </c>
      <c r="AB1065" s="36">
        <f>AB1047+AB1056</f>
        <v/>
      </c>
      <c r="AC1065" s="36">
        <f>AC1047+AC1056</f>
        <v/>
      </c>
      <c r="AD1065" s="36">
        <f>AD1047+AD1056</f>
        <v/>
      </c>
      <c r="AE1065" s="36">
        <f>AE1047+AE1056</f>
        <v/>
      </c>
      <c r="AF1065" s="36">
        <f>AF1047+AF1056</f>
        <v/>
      </c>
      <c r="AG1065" s="36">
        <f>AG1047+AG1056</f>
        <v/>
      </c>
      <c r="AH1065" s="36">
        <f>AH1047+AH1056</f>
        <v/>
      </c>
      <c r="AI1065" s="36">
        <f>AI1047+AI1056</f>
        <v/>
      </c>
      <c r="AJ1065" s="36">
        <f>AJ1047+AJ1056</f>
        <v/>
      </c>
      <c r="AK1065" s="36">
        <f>AK1047+AK1056</f>
        <v/>
      </c>
      <c r="AL1065" s="36">
        <f>AL1047+AL1056</f>
        <v/>
      </c>
      <c r="AM1065" s="36">
        <f>AM1047+AM1056</f>
        <v/>
      </c>
      <c r="AN1065" s="36">
        <f>AN1047+AN1056</f>
        <v/>
      </c>
    </row>
    <row r="1066" hidden="1" outlineLevel="2">
      <c r="A1066" s="5" t="inlineStr">
        <is>
          <t>nce</t>
        </is>
      </c>
      <c r="B1066" s="5" t="inlineStr">
        <is>
          <t>ker</t>
        </is>
      </c>
      <c r="C1066" s="5" t="inlineStr">
        <is>
          <t>omn</t>
        </is>
      </c>
      <c r="D1066" s="37" t="n"/>
      <c r="E1066" s="37" t="n"/>
      <c r="F1066" s="37" t="n"/>
      <c r="G1066" s="37" t="n"/>
      <c r="H1066" s="5">
        <f>INDEX(Variables!$B$5:$B$65,MATCH($A1066,Variables!$A$5:$A$65,0))&amp;IF($C1066="",""," | "&amp;INDEX(Mapping!$B$5:$B$25,MATCH($C1066,Mapping!$A$5:$A$25,0))&amp;" | "&amp;INDEX(Mapping!$B$29:$B$38,MATCH($B1066,Mapping!$A$29:$A$38,0)))</f>
        <v/>
      </c>
      <c r="I1066" s="5">
        <f>INDEX(Variables!$C$5:$C$65,MATCH($A1066,Variables!$A$5:$A$65,0))</f>
        <v/>
      </c>
      <c r="J1066" s="5">
        <f>INDEX(Variables!$E$5:$E$65,MATCH($A1066,Variables!$A$5:$A$65,0))</f>
        <v/>
      </c>
      <c r="K1066" s="23">
        <f>LOWER(Settings!$C$4)&amp;".mit."&amp;$A1066&amp;IF($C1066="","","."&amp;$C1066&amp;"."&amp;$B1066)&amp;IF(INDEX(Variables!$D$5:$D$65,MATCH($A1066,Variables!$A$5:$A$65,0))="","","."&amp;INDEX(Variables!$D$5:$D$65,MATCH($A1066,Variables!$A$5:$A$65,0)))&amp;"."&amp;K$5</f>
        <v/>
      </c>
      <c r="L1066" s="38">
        <f>L1048+L1057</f>
        <v/>
      </c>
      <c r="M1066" s="36">
        <f>M1048+M1057</f>
        <v/>
      </c>
      <c r="N1066" s="36">
        <f>N1048+N1057</f>
        <v/>
      </c>
      <c r="O1066" s="36">
        <f>O1048+O1057</f>
        <v/>
      </c>
      <c r="P1066" s="36">
        <f>P1048+P1057</f>
        <v/>
      </c>
      <c r="Q1066" s="36">
        <f>Q1048+Q1057</f>
        <v/>
      </c>
      <c r="R1066" s="36">
        <f>R1048+R1057</f>
        <v/>
      </c>
      <c r="S1066" s="36">
        <f>S1048+S1057</f>
        <v/>
      </c>
      <c r="T1066" s="36">
        <f>T1048+T1057</f>
        <v/>
      </c>
      <c r="U1066" s="36">
        <f>U1048+U1057</f>
        <v/>
      </c>
      <c r="V1066" s="36">
        <f>V1048+V1057</f>
        <v/>
      </c>
      <c r="W1066" s="36">
        <f>W1048+W1057</f>
        <v/>
      </c>
      <c r="X1066" s="36">
        <f>X1048+X1057</f>
        <v/>
      </c>
      <c r="Y1066" s="36">
        <f>Y1048+Y1057</f>
        <v/>
      </c>
      <c r="Z1066" s="23">
        <f>LOWER(Settings!$C$4)&amp;".mit."&amp;$A1066&amp;IF($C1066="","","."&amp;$C1066&amp;"."&amp;$B1066)&amp;IF(INDEX(Variables!$D$5:$D$65,MATCH($A1066,Variables!$A$5:$A$65,0))="","","."&amp;INDEX(Variables!$D$5:$D$65,MATCH($A1066,Variables!$A$5:$A$65,0)))&amp;"."&amp;Z$5</f>
        <v/>
      </c>
      <c r="AA1066" s="38">
        <f>AA1048+AA1057</f>
        <v/>
      </c>
      <c r="AB1066" s="36">
        <f>AB1048+AB1057</f>
        <v/>
      </c>
      <c r="AC1066" s="36">
        <f>AC1048+AC1057</f>
        <v/>
      </c>
      <c r="AD1066" s="36">
        <f>AD1048+AD1057</f>
        <v/>
      </c>
      <c r="AE1066" s="36">
        <f>AE1048+AE1057</f>
        <v/>
      </c>
      <c r="AF1066" s="36">
        <f>AF1048+AF1057</f>
        <v/>
      </c>
      <c r="AG1066" s="36">
        <f>AG1048+AG1057</f>
        <v/>
      </c>
      <c r="AH1066" s="36">
        <f>AH1048+AH1057</f>
        <v/>
      </c>
      <c r="AI1066" s="36">
        <f>AI1048+AI1057</f>
        <v/>
      </c>
      <c r="AJ1066" s="36">
        <f>AJ1048+AJ1057</f>
        <v/>
      </c>
      <c r="AK1066" s="36">
        <f>AK1048+AK1057</f>
        <v/>
      </c>
      <c r="AL1066" s="36">
        <f>AL1048+AL1057</f>
        <v/>
      </c>
      <c r="AM1066" s="36">
        <f>AM1048+AM1057</f>
        <v/>
      </c>
      <c r="AN1066" s="36">
        <f>AN1048+AN1057</f>
        <v/>
      </c>
    </row>
    <row r="1067" hidden="1" outlineLevel="2">
      <c r="A1067" s="5" t="inlineStr">
        <is>
          <t>nce</t>
        </is>
      </c>
      <c r="B1067" s="5" t="inlineStr">
        <is>
          <t>oop</t>
        </is>
      </c>
      <c r="C1067" s="5" t="inlineStr">
        <is>
          <t>omn</t>
        </is>
      </c>
      <c r="D1067" s="37" t="n"/>
      <c r="E1067" s="37" t="n"/>
      <c r="F1067" s="37" t="n"/>
      <c r="G1067" s="37" t="n"/>
      <c r="H1067" s="5">
        <f>INDEX(Variables!$B$5:$B$65,MATCH($A1067,Variables!$A$5:$A$65,0))&amp;IF($C1067="",""," | "&amp;INDEX(Mapping!$B$5:$B$25,MATCH($C1067,Mapping!$A$5:$A$25,0))&amp;" | "&amp;INDEX(Mapping!$B$29:$B$38,MATCH($B1067,Mapping!$A$29:$A$38,0)))</f>
        <v/>
      </c>
      <c r="I1067" s="5">
        <f>INDEX(Variables!$C$5:$C$65,MATCH($A1067,Variables!$A$5:$A$65,0))</f>
        <v/>
      </c>
      <c r="J1067" s="5">
        <f>INDEX(Variables!$E$5:$E$65,MATCH($A1067,Variables!$A$5:$A$65,0))</f>
        <v/>
      </c>
      <c r="K1067" s="23">
        <f>LOWER(Settings!$C$4)&amp;".mit."&amp;$A1067&amp;IF($C1067="","","."&amp;$C1067&amp;"."&amp;$B1067)&amp;IF(INDEX(Variables!$D$5:$D$65,MATCH($A1067,Variables!$A$5:$A$65,0))="","","."&amp;INDEX(Variables!$D$5:$D$65,MATCH($A1067,Variables!$A$5:$A$65,0)))&amp;"."&amp;K$5</f>
        <v/>
      </c>
      <c r="L1067" s="38">
        <f>L1049+L1058</f>
        <v/>
      </c>
      <c r="M1067" s="36">
        <f>M1049+M1058</f>
        <v/>
      </c>
      <c r="N1067" s="36">
        <f>N1049+N1058</f>
        <v/>
      </c>
      <c r="O1067" s="36">
        <f>O1049+O1058</f>
        <v/>
      </c>
      <c r="P1067" s="36">
        <f>P1049+P1058</f>
        <v/>
      </c>
      <c r="Q1067" s="36">
        <f>Q1049+Q1058</f>
        <v/>
      </c>
      <c r="R1067" s="36">
        <f>R1049+R1058</f>
        <v/>
      </c>
      <c r="S1067" s="36">
        <f>S1049+S1058</f>
        <v/>
      </c>
      <c r="T1067" s="36">
        <f>T1049+T1058</f>
        <v/>
      </c>
      <c r="U1067" s="36">
        <f>U1049+U1058</f>
        <v/>
      </c>
      <c r="V1067" s="36">
        <f>V1049+V1058</f>
        <v/>
      </c>
      <c r="W1067" s="36">
        <f>W1049+W1058</f>
        <v/>
      </c>
      <c r="X1067" s="36">
        <f>X1049+X1058</f>
        <v/>
      </c>
      <c r="Y1067" s="36">
        <f>Y1049+Y1058</f>
        <v/>
      </c>
      <c r="Z1067" s="23">
        <f>LOWER(Settings!$C$4)&amp;".mit."&amp;$A1067&amp;IF($C1067="","","."&amp;$C1067&amp;"."&amp;$B1067)&amp;IF(INDEX(Variables!$D$5:$D$65,MATCH($A1067,Variables!$A$5:$A$65,0))="","","."&amp;INDEX(Variables!$D$5:$D$65,MATCH($A1067,Variables!$A$5:$A$65,0)))&amp;"."&amp;Z$5</f>
        <v/>
      </c>
      <c r="AA1067" s="38">
        <f>AA1049+AA1058</f>
        <v/>
      </c>
      <c r="AB1067" s="36">
        <f>AB1049+AB1058</f>
        <v/>
      </c>
      <c r="AC1067" s="36">
        <f>AC1049+AC1058</f>
        <v/>
      </c>
      <c r="AD1067" s="36">
        <f>AD1049+AD1058</f>
        <v/>
      </c>
      <c r="AE1067" s="36">
        <f>AE1049+AE1058</f>
        <v/>
      </c>
      <c r="AF1067" s="36">
        <f>AF1049+AF1058</f>
        <v/>
      </c>
      <c r="AG1067" s="36">
        <f>AG1049+AG1058</f>
        <v/>
      </c>
      <c r="AH1067" s="36">
        <f>AH1049+AH1058</f>
        <v/>
      </c>
      <c r="AI1067" s="36">
        <f>AI1049+AI1058</f>
        <v/>
      </c>
      <c r="AJ1067" s="36">
        <f>AJ1049+AJ1058</f>
        <v/>
      </c>
      <c r="AK1067" s="36">
        <f>AK1049+AK1058</f>
        <v/>
      </c>
      <c r="AL1067" s="36">
        <f>AL1049+AL1058</f>
        <v/>
      </c>
      <c r="AM1067" s="36">
        <f>AM1049+AM1058</f>
        <v/>
      </c>
      <c r="AN1067" s="36">
        <f>AN1049+AN1058</f>
        <v/>
      </c>
    </row>
    <row r="1068" hidden="1" outlineLevel="2">
      <c r="A1068" s="5" t="inlineStr">
        <is>
          <t>nce</t>
        </is>
      </c>
      <c r="B1068" s="5" t="inlineStr">
        <is>
          <t>bio</t>
        </is>
      </c>
      <c r="C1068" s="5" t="inlineStr">
        <is>
          <t>omn</t>
        </is>
      </c>
      <c r="D1068" s="37" t="n"/>
      <c r="E1068" s="37" t="n"/>
      <c r="F1068" s="37" t="n"/>
      <c r="G1068" s="37" t="n"/>
      <c r="H1068" s="5">
        <f>INDEX(Variables!$B$5:$B$65,MATCH($A1068,Variables!$A$5:$A$65,0))&amp;IF($C1068="",""," | "&amp;INDEX(Mapping!$B$5:$B$25,MATCH($C1068,Mapping!$A$5:$A$25,0))&amp;" | "&amp;INDEX(Mapping!$B$29:$B$38,MATCH($B1068,Mapping!$A$29:$A$38,0)))</f>
        <v/>
      </c>
      <c r="I1068" s="5">
        <f>INDEX(Variables!$C$5:$C$65,MATCH($A1068,Variables!$A$5:$A$65,0))</f>
        <v/>
      </c>
      <c r="J1068" s="5">
        <f>INDEX(Variables!$E$5:$E$65,MATCH($A1068,Variables!$A$5:$A$65,0))</f>
        <v/>
      </c>
      <c r="K1068" s="23">
        <f>LOWER(Settings!$C$4)&amp;".mit."&amp;$A1068&amp;IF($C1068="","","."&amp;$C1068&amp;"."&amp;$B1068)&amp;IF(INDEX(Variables!$D$5:$D$65,MATCH($A1068,Variables!$A$5:$A$65,0))="","","."&amp;INDEX(Variables!$D$5:$D$65,MATCH($A1068,Variables!$A$5:$A$65,0)))&amp;"."&amp;K$5</f>
        <v/>
      </c>
      <c r="L1068" s="38">
        <f>L1050+L1059</f>
        <v/>
      </c>
      <c r="M1068" s="36">
        <f>M1050+M1059</f>
        <v/>
      </c>
      <c r="N1068" s="36">
        <f>N1050+N1059</f>
        <v/>
      </c>
      <c r="O1068" s="36">
        <f>O1050+O1059</f>
        <v/>
      </c>
      <c r="P1068" s="36">
        <f>P1050+P1059</f>
        <v/>
      </c>
      <c r="Q1068" s="36">
        <f>Q1050+Q1059</f>
        <v/>
      </c>
      <c r="R1068" s="36">
        <f>R1050+R1059</f>
        <v/>
      </c>
      <c r="S1068" s="36">
        <f>S1050+S1059</f>
        <v/>
      </c>
      <c r="T1068" s="36">
        <f>T1050+T1059</f>
        <v/>
      </c>
      <c r="U1068" s="36">
        <f>U1050+U1059</f>
        <v/>
      </c>
      <c r="V1068" s="36">
        <f>V1050+V1059</f>
        <v/>
      </c>
      <c r="W1068" s="36">
        <f>W1050+W1059</f>
        <v/>
      </c>
      <c r="X1068" s="36">
        <f>X1050+X1059</f>
        <v/>
      </c>
      <c r="Y1068" s="36">
        <f>Y1050+Y1059</f>
        <v/>
      </c>
      <c r="Z1068" s="23">
        <f>LOWER(Settings!$C$4)&amp;".mit."&amp;$A1068&amp;IF($C1068="","","."&amp;$C1068&amp;"."&amp;$B1068)&amp;IF(INDEX(Variables!$D$5:$D$65,MATCH($A1068,Variables!$A$5:$A$65,0))="","","."&amp;INDEX(Variables!$D$5:$D$65,MATCH($A1068,Variables!$A$5:$A$65,0)))&amp;"."&amp;Z$5</f>
        <v/>
      </c>
      <c r="AA1068" s="38">
        <f>AA1050+AA1059</f>
        <v/>
      </c>
      <c r="AB1068" s="36">
        <f>AB1050+AB1059</f>
        <v/>
      </c>
      <c r="AC1068" s="36">
        <f>AC1050+AC1059</f>
        <v/>
      </c>
      <c r="AD1068" s="36">
        <f>AD1050+AD1059</f>
        <v/>
      </c>
      <c r="AE1068" s="36">
        <f>AE1050+AE1059</f>
        <v/>
      </c>
      <c r="AF1068" s="36">
        <f>AF1050+AF1059</f>
        <v/>
      </c>
      <c r="AG1068" s="36">
        <f>AG1050+AG1059</f>
        <v/>
      </c>
      <c r="AH1068" s="36">
        <f>AH1050+AH1059</f>
        <v/>
      </c>
      <c r="AI1068" s="36">
        <f>AI1050+AI1059</f>
        <v/>
      </c>
      <c r="AJ1068" s="36">
        <f>AJ1050+AJ1059</f>
        <v/>
      </c>
      <c r="AK1068" s="36">
        <f>AK1050+AK1059</f>
        <v/>
      </c>
      <c r="AL1068" s="36">
        <f>AL1050+AL1059</f>
        <v/>
      </c>
      <c r="AM1068" s="36">
        <f>AM1050+AM1059</f>
        <v/>
      </c>
      <c r="AN1068" s="36">
        <f>AN1050+AN1059</f>
        <v/>
      </c>
    </row>
    <row r="1069" hidden="1" outlineLevel="2"/>
    <row r="1070" hidden="1" outlineLevel="2">
      <c r="A1070" s="5" t="inlineStr">
        <is>
          <t>tax</t>
        </is>
      </c>
      <c r="B1070" s="5" t="inlineStr">
        <is>
          <t>coa</t>
        </is>
      </c>
      <c r="C1070" s="5" t="inlineStr">
        <is>
          <t>omn</t>
        </is>
      </c>
      <c r="D1070" s="36">
        <f>INDEX(Inputs!$T$5:$T$132,MATCH($B1070&amp;"|"&amp;$C1070,Inputs!$A$5:$A$132,0))</f>
        <v/>
      </c>
      <c r="E1070" s="37" t="n"/>
      <c r="F1070" s="37" t="n"/>
      <c r="G1070" s="37" t="n"/>
      <c r="H1070" s="5">
        <f>INDEX(Variables!$B$5:$B$65,MATCH($A1070,Variables!$A$5:$A$65,0))&amp;IF($C1070="",""," | "&amp;INDEX(Mapping!$B$5:$B$25,MATCH($C1070,Mapping!$A$5:$A$25,0))&amp;" | "&amp;INDEX(Mapping!$B$29:$B$38,MATCH($B1070,Mapping!$A$29:$A$38,0)))</f>
        <v/>
      </c>
      <c r="I1070" s="5">
        <f>INDEX(Variables!$C$5:$C$65,MATCH($A1070,Variables!$A$5:$A$65,0))</f>
        <v/>
      </c>
      <c r="J1070" s="5">
        <f>INDEX(Variables!$E$5:$E$65,MATCH($A1070,Variables!$A$5:$A$65,0))</f>
        <v/>
      </c>
      <c r="K1070" s="23">
        <f>LOWER(Settings!$C$4)&amp;".mit."&amp;$A1070&amp;IF($C1070="","","."&amp;$C1070&amp;"."&amp;$B1070)&amp;IF(INDEX(Variables!$D$5:$D$65,MATCH($A1070,Variables!$A$5:$A$65,0))="","","."&amp;INDEX(Variables!$D$5:$D$65,MATCH($A1070,Variables!$A$5:$A$65,0)))&amp;"."&amp;K$5</f>
        <v/>
      </c>
      <c r="L1070" s="38">
        <f>$D1070+L1061</f>
        <v/>
      </c>
      <c r="M1070" s="36">
        <f>$D1070+M1061</f>
        <v/>
      </c>
      <c r="N1070" s="36">
        <f>$D1070+N1061</f>
        <v/>
      </c>
      <c r="O1070" s="36">
        <f>$D1070+O1061</f>
        <v/>
      </c>
      <c r="P1070" s="36">
        <f>$D1070+P1061</f>
        <v/>
      </c>
      <c r="Q1070" s="36">
        <f>$D1070+Q1061</f>
        <v/>
      </c>
      <c r="R1070" s="36">
        <f>$D1070+R1061</f>
        <v/>
      </c>
      <c r="S1070" s="36">
        <f>$D1070+S1061</f>
        <v/>
      </c>
      <c r="T1070" s="36">
        <f>$D1070+T1061</f>
        <v/>
      </c>
      <c r="U1070" s="36">
        <f>$D1070+U1061</f>
        <v/>
      </c>
      <c r="V1070" s="36">
        <f>$D1070+V1061</f>
        <v/>
      </c>
      <c r="W1070" s="36">
        <f>$D1070+W1061</f>
        <v/>
      </c>
      <c r="X1070" s="36">
        <f>$D1070+X1061</f>
        <v/>
      </c>
      <c r="Y1070" s="39">
        <f>TAX($D1070,Y1061)</f>
        <v/>
      </c>
      <c r="Z1070" s="23">
        <f>LOWER(Settings!$C$4)&amp;".mit."&amp;$A1070&amp;IF($C1070="","","."&amp;$C1070&amp;"."&amp;$B1070)&amp;IF(INDEX(Variables!$D$5:$D$65,MATCH($A1070,Variables!$A$5:$A$65,0))="","","."&amp;INDEX(Variables!$D$5:$D$65,MATCH($A1070,Variables!$A$5:$A$65,0)))&amp;"."&amp;Z$5</f>
        <v/>
      </c>
      <c r="AA1070" s="38">
        <f>$D1070+AA1061</f>
        <v/>
      </c>
      <c r="AB1070" s="36">
        <f>$D1070+AB1061</f>
        <v/>
      </c>
      <c r="AC1070" s="36">
        <f>$D1070+AC1061</f>
        <v/>
      </c>
      <c r="AD1070" s="36">
        <f>$D1070+AD1061</f>
        <v/>
      </c>
      <c r="AE1070" s="36">
        <f>$D1070+AE1061</f>
        <v/>
      </c>
      <c r="AF1070" s="36">
        <f>$D1070+AF1061</f>
        <v/>
      </c>
      <c r="AG1070" s="36">
        <f>$D1070+AG1061</f>
        <v/>
      </c>
      <c r="AH1070" s="36">
        <f>$D1070+AH1061</f>
        <v/>
      </c>
      <c r="AI1070" s="36">
        <f>$D1070+AI1061</f>
        <v/>
      </c>
      <c r="AJ1070" s="36">
        <f>$D1070+AJ1061</f>
        <v/>
      </c>
      <c r="AK1070" s="36">
        <f>$D1070+AK1061</f>
        <v/>
      </c>
      <c r="AL1070" s="36">
        <f>$D1070+AL1061</f>
        <v/>
      </c>
      <c r="AM1070" s="36">
        <f>$D1070+AM1061</f>
        <v/>
      </c>
      <c r="AN1070" s="39">
        <f>TAX($D1070,AN1061)</f>
        <v/>
      </c>
    </row>
    <row r="1071" hidden="1" outlineLevel="2">
      <c r="A1071" s="5" t="inlineStr">
        <is>
          <t>tax</t>
        </is>
      </c>
      <c r="B1071" s="5" t="inlineStr">
        <is>
          <t>nga</t>
        </is>
      </c>
      <c r="C1071" s="5" t="inlineStr">
        <is>
          <t>omn</t>
        </is>
      </c>
      <c r="D1071" s="36">
        <f>INDEX(Inputs!$T$5:$T$132,MATCH($B1071&amp;"|"&amp;$C1071,Inputs!$A$5:$A$132,0))</f>
        <v/>
      </c>
      <c r="E1071" s="37" t="n"/>
      <c r="F1071" s="37" t="n"/>
      <c r="G1071" s="37" t="n"/>
      <c r="H1071" s="5">
        <f>INDEX(Variables!$B$5:$B$65,MATCH($A1071,Variables!$A$5:$A$65,0))&amp;IF($C1071="",""," | "&amp;INDEX(Mapping!$B$5:$B$25,MATCH($C1071,Mapping!$A$5:$A$25,0))&amp;" | "&amp;INDEX(Mapping!$B$29:$B$38,MATCH($B1071,Mapping!$A$29:$A$38,0)))</f>
        <v/>
      </c>
      <c r="I1071" s="5">
        <f>INDEX(Variables!$C$5:$C$65,MATCH($A1071,Variables!$A$5:$A$65,0))</f>
        <v/>
      </c>
      <c r="J1071" s="5">
        <f>INDEX(Variables!$E$5:$E$65,MATCH($A1071,Variables!$A$5:$A$65,0))</f>
        <v/>
      </c>
      <c r="K1071" s="23">
        <f>LOWER(Settings!$C$4)&amp;".mit."&amp;$A1071&amp;IF($C1071="","","."&amp;$C1071&amp;"."&amp;$B1071)&amp;IF(INDEX(Variables!$D$5:$D$65,MATCH($A1071,Variables!$A$5:$A$65,0))="","","."&amp;INDEX(Variables!$D$5:$D$65,MATCH($A1071,Variables!$A$5:$A$65,0)))&amp;"."&amp;K$5</f>
        <v/>
      </c>
      <c r="L1071" s="38">
        <f>$D1071+L1062</f>
        <v/>
      </c>
      <c r="M1071" s="36">
        <f>$D1071+M1062</f>
        <v/>
      </c>
      <c r="N1071" s="36">
        <f>$D1071+N1062</f>
        <v/>
      </c>
      <c r="O1071" s="36">
        <f>$D1071+O1062</f>
        <v/>
      </c>
      <c r="P1071" s="36">
        <f>$D1071+P1062</f>
        <v/>
      </c>
      <c r="Q1071" s="36">
        <f>$D1071+Q1062</f>
        <v/>
      </c>
      <c r="R1071" s="36">
        <f>$D1071+R1062</f>
        <v/>
      </c>
      <c r="S1071" s="36">
        <f>$D1071+S1062</f>
        <v/>
      </c>
      <c r="T1071" s="36">
        <f>$D1071+T1062</f>
        <v/>
      </c>
      <c r="U1071" s="36">
        <f>$D1071+U1062</f>
        <v/>
      </c>
      <c r="V1071" s="36">
        <f>$D1071+V1062</f>
        <v/>
      </c>
      <c r="W1071" s="36">
        <f>$D1071+W1062</f>
        <v/>
      </c>
      <c r="X1071" s="36">
        <f>$D1071+X1062</f>
        <v/>
      </c>
      <c r="Y1071" s="39">
        <f>TAX($D1071,Y1062)</f>
        <v/>
      </c>
      <c r="Z1071" s="23">
        <f>LOWER(Settings!$C$4)&amp;".mit."&amp;$A1071&amp;IF($C1071="","","."&amp;$C1071&amp;"."&amp;$B1071)&amp;IF(INDEX(Variables!$D$5:$D$65,MATCH($A1071,Variables!$A$5:$A$65,0))="","","."&amp;INDEX(Variables!$D$5:$D$65,MATCH($A1071,Variables!$A$5:$A$65,0)))&amp;"."&amp;Z$5</f>
        <v/>
      </c>
      <c r="AA1071" s="38">
        <f>$D1071+AA1062</f>
        <v/>
      </c>
      <c r="AB1071" s="36">
        <f>$D1071+AB1062</f>
        <v/>
      </c>
      <c r="AC1071" s="36">
        <f>$D1071+AC1062</f>
        <v/>
      </c>
      <c r="AD1071" s="36">
        <f>$D1071+AD1062</f>
        <v/>
      </c>
      <c r="AE1071" s="36">
        <f>$D1071+AE1062</f>
        <v/>
      </c>
      <c r="AF1071" s="36">
        <f>$D1071+AF1062</f>
        <v/>
      </c>
      <c r="AG1071" s="36">
        <f>$D1071+AG1062</f>
        <v/>
      </c>
      <c r="AH1071" s="36">
        <f>$D1071+AH1062</f>
        <v/>
      </c>
      <c r="AI1071" s="36">
        <f>$D1071+AI1062</f>
        <v/>
      </c>
      <c r="AJ1071" s="36">
        <f>$D1071+AJ1062</f>
        <v/>
      </c>
      <c r="AK1071" s="36">
        <f>$D1071+AK1062</f>
        <v/>
      </c>
      <c r="AL1071" s="36">
        <f>$D1071+AL1062</f>
        <v/>
      </c>
      <c r="AM1071" s="36">
        <f>$D1071+AM1062</f>
        <v/>
      </c>
      <c r="AN1071" s="39">
        <f>TAX($D1071,AN1062)</f>
        <v/>
      </c>
    </row>
    <row r="1072" hidden="1" outlineLevel="2">
      <c r="A1072" s="5" t="inlineStr">
        <is>
          <t>tax</t>
        </is>
      </c>
      <c r="B1072" s="5" t="inlineStr">
        <is>
          <t>gso</t>
        </is>
      </c>
      <c r="C1072" s="5" t="inlineStr">
        <is>
          <t>omn</t>
        </is>
      </c>
      <c r="D1072" s="36">
        <f>INDEX(Inputs!$T$5:$T$132,MATCH($B1072&amp;"|"&amp;$C1072,Inputs!$A$5:$A$132,0))</f>
        <v/>
      </c>
      <c r="E1072" s="37" t="n"/>
      <c r="F1072" s="37" t="n"/>
      <c r="G1072" s="37" t="n"/>
      <c r="H1072" s="5">
        <f>INDEX(Variables!$B$5:$B$65,MATCH($A1072,Variables!$A$5:$A$65,0))&amp;IF($C1072="",""," | "&amp;INDEX(Mapping!$B$5:$B$25,MATCH($C1072,Mapping!$A$5:$A$25,0))&amp;" | "&amp;INDEX(Mapping!$B$29:$B$38,MATCH($B1072,Mapping!$A$29:$A$38,0)))</f>
        <v/>
      </c>
      <c r="I1072" s="5">
        <f>INDEX(Variables!$C$5:$C$65,MATCH($A1072,Variables!$A$5:$A$65,0))</f>
        <v/>
      </c>
      <c r="J1072" s="5">
        <f>INDEX(Variables!$E$5:$E$65,MATCH($A1072,Variables!$A$5:$A$65,0))</f>
        <v/>
      </c>
      <c r="K1072" s="23">
        <f>LOWER(Settings!$C$4)&amp;".mit."&amp;$A1072&amp;IF($C1072="","","."&amp;$C1072&amp;"."&amp;$B1072)&amp;IF(INDEX(Variables!$D$5:$D$65,MATCH($A1072,Variables!$A$5:$A$65,0))="","","."&amp;INDEX(Variables!$D$5:$D$65,MATCH($A1072,Variables!$A$5:$A$65,0)))&amp;"."&amp;K$5</f>
        <v/>
      </c>
      <c r="L1072" s="38">
        <f>$D1072+L1063</f>
        <v/>
      </c>
      <c r="M1072" s="36">
        <f>$D1072+M1063</f>
        <v/>
      </c>
      <c r="N1072" s="36">
        <f>$D1072+N1063</f>
        <v/>
      </c>
      <c r="O1072" s="36">
        <f>$D1072+O1063</f>
        <v/>
      </c>
      <c r="P1072" s="36">
        <f>$D1072+P1063</f>
        <v/>
      </c>
      <c r="Q1072" s="36">
        <f>$D1072+Q1063</f>
        <v/>
      </c>
      <c r="R1072" s="36">
        <f>$D1072+R1063</f>
        <v/>
      </c>
      <c r="S1072" s="36">
        <f>$D1072+S1063</f>
        <v/>
      </c>
      <c r="T1072" s="36">
        <f>$D1072+T1063</f>
        <v/>
      </c>
      <c r="U1072" s="36">
        <f>$D1072+U1063</f>
        <v/>
      </c>
      <c r="V1072" s="36">
        <f>$D1072+V1063</f>
        <v/>
      </c>
      <c r="W1072" s="36">
        <f>$D1072+W1063</f>
        <v/>
      </c>
      <c r="X1072" s="36">
        <f>$D1072+X1063</f>
        <v/>
      </c>
      <c r="Y1072" s="39">
        <f>TAX($D1072,Y1063)</f>
        <v/>
      </c>
      <c r="Z1072" s="23">
        <f>LOWER(Settings!$C$4)&amp;".mit."&amp;$A1072&amp;IF($C1072="","","."&amp;$C1072&amp;"."&amp;$B1072)&amp;IF(INDEX(Variables!$D$5:$D$65,MATCH($A1072,Variables!$A$5:$A$65,0))="","","."&amp;INDEX(Variables!$D$5:$D$65,MATCH($A1072,Variables!$A$5:$A$65,0)))&amp;"."&amp;Z$5</f>
        <v/>
      </c>
      <c r="AA1072" s="38">
        <f>$D1072+AA1063</f>
        <v/>
      </c>
      <c r="AB1072" s="36">
        <f>$D1072+AB1063</f>
        <v/>
      </c>
      <c r="AC1072" s="36">
        <f>$D1072+AC1063</f>
        <v/>
      </c>
      <c r="AD1072" s="36">
        <f>$D1072+AD1063</f>
        <v/>
      </c>
      <c r="AE1072" s="36">
        <f>$D1072+AE1063</f>
        <v/>
      </c>
      <c r="AF1072" s="36">
        <f>$D1072+AF1063</f>
        <v/>
      </c>
      <c r="AG1072" s="36">
        <f>$D1072+AG1063</f>
        <v/>
      </c>
      <c r="AH1072" s="36">
        <f>$D1072+AH1063</f>
        <v/>
      </c>
      <c r="AI1072" s="36">
        <f>$D1072+AI1063</f>
        <v/>
      </c>
      <c r="AJ1072" s="36">
        <f>$D1072+AJ1063</f>
        <v/>
      </c>
      <c r="AK1072" s="36">
        <f>$D1072+AK1063</f>
        <v/>
      </c>
      <c r="AL1072" s="36">
        <f>$D1072+AL1063</f>
        <v/>
      </c>
      <c r="AM1072" s="36">
        <f>$D1072+AM1063</f>
        <v/>
      </c>
      <c r="AN1072" s="39">
        <f>TAX($D1072,AN1063)</f>
        <v/>
      </c>
    </row>
    <row r="1073" hidden="1" outlineLevel="2">
      <c r="A1073" s="5" t="inlineStr">
        <is>
          <t>tax</t>
        </is>
      </c>
      <c r="B1073" s="5" t="inlineStr">
        <is>
          <t>die</t>
        </is>
      </c>
      <c r="C1073" s="5" t="inlineStr">
        <is>
          <t>omn</t>
        </is>
      </c>
      <c r="D1073" s="36">
        <f>INDEX(Inputs!$T$5:$T$132,MATCH($B1073&amp;"|"&amp;$C1073,Inputs!$A$5:$A$132,0))</f>
        <v/>
      </c>
      <c r="E1073" s="37" t="n"/>
      <c r="F1073" s="37" t="n"/>
      <c r="G1073" s="37" t="n"/>
      <c r="H1073" s="5">
        <f>INDEX(Variables!$B$5:$B$65,MATCH($A1073,Variables!$A$5:$A$65,0))&amp;IF($C1073="",""," | "&amp;INDEX(Mapping!$B$5:$B$25,MATCH($C1073,Mapping!$A$5:$A$25,0))&amp;" | "&amp;INDEX(Mapping!$B$29:$B$38,MATCH($B1073,Mapping!$A$29:$A$38,0)))</f>
        <v/>
      </c>
      <c r="I1073" s="5">
        <f>INDEX(Variables!$C$5:$C$65,MATCH($A1073,Variables!$A$5:$A$65,0))</f>
        <v/>
      </c>
      <c r="J1073" s="5">
        <f>INDEX(Variables!$E$5:$E$65,MATCH($A1073,Variables!$A$5:$A$65,0))</f>
        <v/>
      </c>
      <c r="K1073" s="23">
        <f>LOWER(Settings!$C$4)&amp;".mit."&amp;$A1073&amp;IF($C1073="","","."&amp;$C1073&amp;"."&amp;$B1073)&amp;IF(INDEX(Variables!$D$5:$D$65,MATCH($A1073,Variables!$A$5:$A$65,0))="","","."&amp;INDEX(Variables!$D$5:$D$65,MATCH($A1073,Variables!$A$5:$A$65,0)))&amp;"."&amp;K$5</f>
        <v/>
      </c>
      <c r="L1073" s="38">
        <f>$D1073+L1064</f>
        <v/>
      </c>
      <c r="M1073" s="36">
        <f>$D1073+M1064</f>
        <v/>
      </c>
      <c r="N1073" s="36">
        <f>$D1073+N1064</f>
        <v/>
      </c>
      <c r="O1073" s="36">
        <f>$D1073+O1064</f>
        <v/>
      </c>
      <c r="P1073" s="36">
        <f>$D1073+P1064</f>
        <v/>
      </c>
      <c r="Q1073" s="36">
        <f>$D1073+Q1064</f>
        <v/>
      </c>
      <c r="R1073" s="36">
        <f>$D1073+R1064</f>
        <v/>
      </c>
      <c r="S1073" s="36">
        <f>$D1073+S1064</f>
        <v/>
      </c>
      <c r="T1073" s="36">
        <f>$D1073+T1064</f>
        <v/>
      </c>
      <c r="U1073" s="36">
        <f>$D1073+U1064</f>
        <v/>
      </c>
      <c r="V1073" s="36">
        <f>$D1073+V1064</f>
        <v/>
      </c>
      <c r="W1073" s="36">
        <f>$D1073+W1064</f>
        <v/>
      </c>
      <c r="X1073" s="36">
        <f>$D1073+X1064</f>
        <v/>
      </c>
      <c r="Y1073" s="39">
        <f>TAX($D1073,Y1064)</f>
        <v/>
      </c>
      <c r="Z1073" s="23">
        <f>LOWER(Settings!$C$4)&amp;".mit."&amp;$A1073&amp;IF($C1073="","","."&amp;$C1073&amp;"."&amp;$B1073)&amp;IF(INDEX(Variables!$D$5:$D$65,MATCH($A1073,Variables!$A$5:$A$65,0))="","","."&amp;INDEX(Variables!$D$5:$D$65,MATCH($A1073,Variables!$A$5:$A$65,0)))&amp;"."&amp;Z$5</f>
        <v/>
      </c>
      <c r="AA1073" s="38">
        <f>$D1073+AA1064</f>
        <v/>
      </c>
      <c r="AB1073" s="36">
        <f>$D1073+AB1064</f>
        <v/>
      </c>
      <c r="AC1073" s="36">
        <f>$D1073+AC1064</f>
        <v/>
      </c>
      <c r="AD1073" s="36">
        <f>$D1073+AD1064</f>
        <v/>
      </c>
      <c r="AE1073" s="36">
        <f>$D1073+AE1064</f>
        <v/>
      </c>
      <c r="AF1073" s="36">
        <f>$D1073+AF1064</f>
        <v/>
      </c>
      <c r="AG1073" s="36">
        <f>$D1073+AG1064</f>
        <v/>
      </c>
      <c r="AH1073" s="36">
        <f>$D1073+AH1064</f>
        <v/>
      </c>
      <c r="AI1073" s="36">
        <f>$D1073+AI1064</f>
        <v/>
      </c>
      <c r="AJ1073" s="36">
        <f>$D1073+AJ1064</f>
        <v/>
      </c>
      <c r="AK1073" s="36">
        <f>$D1073+AK1064</f>
        <v/>
      </c>
      <c r="AL1073" s="36">
        <f>$D1073+AL1064</f>
        <v/>
      </c>
      <c r="AM1073" s="36">
        <f>$D1073+AM1064</f>
        <v/>
      </c>
      <c r="AN1073" s="39">
        <f>TAX($D1073,AN1064)</f>
        <v/>
      </c>
    </row>
    <row r="1074" hidden="1" outlineLevel="2">
      <c r="A1074" s="5" t="inlineStr">
        <is>
          <t>tax</t>
        </is>
      </c>
      <c r="B1074" s="5" t="inlineStr">
        <is>
          <t>lpg</t>
        </is>
      </c>
      <c r="C1074" s="5" t="inlineStr">
        <is>
          <t>omn</t>
        </is>
      </c>
      <c r="D1074" s="36">
        <f>INDEX(Inputs!$T$5:$T$132,MATCH($B1074&amp;"|"&amp;$C1074,Inputs!$A$5:$A$132,0))</f>
        <v/>
      </c>
      <c r="E1074" s="37" t="n"/>
      <c r="F1074" s="37" t="n"/>
      <c r="G1074" s="37" t="n"/>
      <c r="H1074" s="5">
        <f>INDEX(Variables!$B$5:$B$65,MATCH($A1074,Variables!$A$5:$A$65,0))&amp;IF($C1074="",""," | "&amp;INDEX(Mapping!$B$5:$B$25,MATCH($C1074,Mapping!$A$5:$A$25,0))&amp;" | "&amp;INDEX(Mapping!$B$29:$B$38,MATCH($B1074,Mapping!$A$29:$A$38,0)))</f>
        <v/>
      </c>
      <c r="I1074" s="5">
        <f>INDEX(Variables!$C$5:$C$65,MATCH($A1074,Variables!$A$5:$A$65,0))</f>
        <v/>
      </c>
      <c r="J1074" s="5">
        <f>INDEX(Variables!$E$5:$E$65,MATCH($A1074,Variables!$A$5:$A$65,0))</f>
        <v/>
      </c>
      <c r="K1074" s="23">
        <f>LOWER(Settings!$C$4)&amp;".mit."&amp;$A1074&amp;IF($C1074="","","."&amp;$C1074&amp;"."&amp;$B1074)&amp;IF(INDEX(Variables!$D$5:$D$65,MATCH($A1074,Variables!$A$5:$A$65,0))="","","."&amp;INDEX(Variables!$D$5:$D$65,MATCH($A1074,Variables!$A$5:$A$65,0)))&amp;"."&amp;K$5</f>
        <v/>
      </c>
      <c r="L1074" s="38">
        <f>$D1074+L1065</f>
        <v/>
      </c>
      <c r="M1074" s="36">
        <f>$D1074+M1065</f>
        <v/>
      </c>
      <c r="N1074" s="36">
        <f>$D1074+N1065</f>
        <v/>
      </c>
      <c r="O1074" s="36">
        <f>$D1074+O1065</f>
        <v/>
      </c>
      <c r="P1074" s="36">
        <f>$D1074+P1065</f>
        <v/>
      </c>
      <c r="Q1074" s="36">
        <f>$D1074+Q1065</f>
        <v/>
      </c>
      <c r="R1074" s="36">
        <f>$D1074+R1065</f>
        <v/>
      </c>
      <c r="S1074" s="36">
        <f>$D1074+S1065</f>
        <v/>
      </c>
      <c r="T1074" s="36">
        <f>$D1074+T1065</f>
        <v/>
      </c>
      <c r="U1074" s="36">
        <f>$D1074+U1065</f>
        <v/>
      </c>
      <c r="V1074" s="36">
        <f>$D1074+V1065</f>
        <v/>
      </c>
      <c r="W1074" s="36">
        <f>$D1074+W1065</f>
        <v/>
      </c>
      <c r="X1074" s="36">
        <f>$D1074+X1065</f>
        <v/>
      </c>
      <c r="Y1074" s="39">
        <f>TAX($D1074,Y1065)</f>
        <v/>
      </c>
      <c r="Z1074" s="23">
        <f>LOWER(Settings!$C$4)&amp;".mit."&amp;$A1074&amp;IF($C1074="","","."&amp;$C1074&amp;"."&amp;$B1074)&amp;IF(INDEX(Variables!$D$5:$D$65,MATCH($A1074,Variables!$A$5:$A$65,0))="","","."&amp;INDEX(Variables!$D$5:$D$65,MATCH($A1074,Variables!$A$5:$A$65,0)))&amp;"."&amp;Z$5</f>
        <v/>
      </c>
      <c r="AA1074" s="38">
        <f>$D1074+AA1065</f>
        <v/>
      </c>
      <c r="AB1074" s="36">
        <f>$D1074+AB1065</f>
        <v/>
      </c>
      <c r="AC1074" s="36">
        <f>$D1074+AC1065</f>
        <v/>
      </c>
      <c r="AD1074" s="36">
        <f>$D1074+AD1065</f>
        <v/>
      </c>
      <c r="AE1074" s="36">
        <f>$D1074+AE1065</f>
        <v/>
      </c>
      <c r="AF1074" s="36">
        <f>$D1074+AF1065</f>
        <v/>
      </c>
      <c r="AG1074" s="36">
        <f>$D1074+AG1065</f>
        <v/>
      </c>
      <c r="AH1074" s="36">
        <f>$D1074+AH1065</f>
        <v/>
      </c>
      <c r="AI1074" s="36">
        <f>$D1074+AI1065</f>
        <v/>
      </c>
      <c r="AJ1074" s="36">
        <f>$D1074+AJ1065</f>
        <v/>
      </c>
      <c r="AK1074" s="36">
        <f>$D1074+AK1065</f>
        <v/>
      </c>
      <c r="AL1074" s="36">
        <f>$D1074+AL1065</f>
        <v/>
      </c>
      <c r="AM1074" s="36">
        <f>$D1074+AM1065</f>
        <v/>
      </c>
      <c r="AN1074" s="39">
        <f>TAX($D1074,AN1065)</f>
        <v/>
      </c>
    </row>
    <row r="1075" hidden="1" outlineLevel="2">
      <c r="A1075" s="5" t="inlineStr">
        <is>
          <t>tax</t>
        </is>
      </c>
      <c r="B1075" s="5" t="inlineStr">
        <is>
          <t>ker</t>
        </is>
      </c>
      <c r="C1075" s="5" t="inlineStr">
        <is>
          <t>omn</t>
        </is>
      </c>
      <c r="D1075" s="36">
        <f>INDEX(Inputs!$T$5:$T$132,MATCH($B1075&amp;"|"&amp;$C1075,Inputs!$A$5:$A$132,0))</f>
        <v/>
      </c>
      <c r="E1075" s="37" t="n"/>
      <c r="F1075" s="37" t="n"/>
      <c r="G1075" s="37" t="n"/>
      <c r="H1075" s="5">
        <f>INDEX(Variables!$B$5:$B$65,MATCH($A1075,Variables!$A$5:$A$65,0))&amp;IF($C1075="",""," | "&amp;INDEX(Mapping!$B$5:$B$25,MATCH($C1075,Mapping!$A$5:$A$25,0))&amp;" | "&amp;INDEX(Mapping!$B$29:$B$38,MATCH($B1075,Mapping!$A$29:$A$38,0)))</f>
        <v/>
      </c>
      <c r="I1075" s="5">
        <f>INDEX(Variables!$C$5:$C$65,MATCH($A1075,Variables!$A$5:$A$65,0))</f>
        <v/>
      </c>
      <c r="J1075" s="5">
        <f>INDEX(Variables!$E$5:$E$65,MATCH($A1075,Variables!$A$5:$A$65,0))</f>
        <v/>
      </c>
      <c r="K1075" s="23">
        <f>LOWER(Settings!$C$4)&amp;".mit."&amp;$A1075&amp;IF($C1075="","","."&amp;$C1075&amp;"."&amp;$B1075)&amp;IF(INDEX(Variables!$D$5:$D$65,MATCH($A1075,Variables!$A$5:$A$65,0))="","","."&amp;INDEX(Variables!$D$5:$D$65,MATCH($A1075,Variables!$A$5:$A$65,0)))&amp;"."&amp;K$5</f>
        <v/>
      </c>
      <c r="L1075" s="38">
        <f>$D1075+L1066</f>
        <v/>
      </c>
      <c r="M1075" s="36">
        <f>$D1075+M1066</f>
        <v/>
      </c>
      <c r="N1075" s="36">
        <f>$D1075+N1066</f>
        <v/>
      </c>
      <c r="O1075" s="36">
        <f>$D1075+O1066</f>
        <v/>
      </c>
      <c r="P1075" s="36">
        <f>$D1075+P1066</f>
        <v/>
      </c>
      <c r="Q1075" s="36">
        <f>$D1075+Q1066</f>
        <v/>
      </c>
      <c r="R1075" s="36">
        <f>$D1075+R1066</f>
        <v/>
      </c>
      <c r="S1075" s="36">
        <f>$D1075+S1066</f>
        <v/>
      </c>
      <c r="T1075" s="36">
        <f>$D1075+T1066</f>
        <v/>
      </c>
      <c r="U1075" s="36">
        <f>$D1075+U1066</f>
        <v/>
      </c>
      <c r="V1075" s="36">
        <f>$D1075+V1066</f>
        <v/>
      </c>
      <c r="W1075" s="36">
        <f>$D1075+W1066</f>
        <v/>
      </c>
      <c r="X1075" s="36">
        <f>$D1075+X1066</f>
        <v/>
      </c>
      <c r="Y1075" s="39">
        <f>TAX($D1075,Y1066)</f>
        <v/>
      </c>
      <c r="Z1075" s="23">
        <f>LOWER(Settings!$C$4)&amp;".mit."&amp;$A1075&amp;IF($C1075="","","."&amp;$C1075&amp;"."&amp;$B1075)&amp;IF(INDEX(Variables!$D$5:$D$65,MATCH($A1075,Variables!$A$5:$A$65,0))="","","."&amp;INDEX(Variables!$D$5:$D$65,MATCH($A1075,Variables!$A$5:$A$65,0)))&amp;"."&amp;Z$5</f>
        <v/>
      </c>
      <c r="AA1075" s="38">
        <f>$D1075+AA1066</f>
        <v/>
      </c>
      <c r="AB1075" s="36">
        <f>$D1075+AB1066</f>
        <v/>
      </c>
      <c r="AC1075" s="36">
        <f>$D1075+AC1066</f>
        <v/>
      </c>
      <c r="AD1075" s="36">
        <f>$D1075+AD1066</f>
        <v/>
      </c>
      <c r="AE1075" s="36">
        <f>$D1075+AE1066</f>
        <v/>
      </c>
      <c r="AF1075" s="36">
        <f>$D1075+AF1066</f>
        <v/>
      </c>
      <c r="AG1075" s="36">
        <f>$D1075+AG1066</f>
        <v/>
      </c>
      <c r="AH1075" s="36">
        <f>$D1075+AH1066</f>
        <v/>
      </c>
      <c r="AI1075" s="36">
        <f>$D1075+AI1066</f>
        <v/>
      </c>
      <c r="AJ1075" s="36">
        <f>$D1075+AJ1066</f>
        <v/>
      </c>
      <c r="AK1075" s="36">
        <f>$D1075+AK1066</f>
        <v/>
      </c>
      <c r="AL1075" s="36">
        <f>$D1075+AL1066</f>
        <v/>
      </c>
      <c r="AM1075" s="36">
        <f>$D1075+AM1066</f>
        <v/>
      </c>
      <c r="AN1075" s="39">
        <f>TAX($D1075,AN1066)</f>
        <v/>
      </c>
    </row>
    <row r="1076" hidden="1" outlineLevel="2">
      <c r="A1076" s="5" t="inlineStr">
        <is>
          <t>tax</t>
        </is>
      </c>
      <c r="B1076" s="5" t="inlineStr">
        <is>
          <t>oop</t>
        </is>
      </c>
      <c r="C1076" s="5" t="inlineStr">
        <is>
          <t>omn</t>
        </is>
      </c>
      <c r="D1076" s="36">
        <f>INDEX(Inputs!$T$5:$T$132,MATCH($B1076&amp;"|"&amp;$C1076,Inputs!$A$5:$A$132,0))</f>
        <v/>
      </c>
      <c r="E1076" s="37" t="n"/>
      <c r="F1076" s="37" t="n"/>
      <c r="G1076" s="37" t="n"/>
      <c r="H1076" s="5">
        <f>INDEX(Variables!$B$5:$B$65,MATCH($A1076,Variables!$A$5:$A$65,0))&amp;IF($C1076="",""," | "&amp;INDEX(Mapping!$B$5:$B$25,MATCH($C1076,Mapping!$A$5:$A$25,0))&amp;" | "&amp;INDEX(Mapping!$B$29:$B$38,MATCH($B1076,Mapping!$A$29:$A$38,0)))</f>
        <v/>
      </c>
      <c r="I1076" s="5">
        <f>INDEX(Variables!$C$5:$C$65,MATCH($A1076,Variables!$A$5:$A$65,0))</f>
        <v/>
      </c>
      <c r="J1076" s="5">
        <f>INDEX(Variables!$E$5:$E$65,MATCH($A1076,Variables!$A$5:$A$65,0))</f>
        <v/>
      </c>
      <c r="K1076" s="23">
        <f>LOWER(Settings!$C$4)&amp;".mit."&amp;$A1076&amp;IF($C1076="","","."&amp;$C1076&amp;"."&amp;$B1076)&amp;IF(INDEX(Variables!$D$5:$D$65,MATCH($A1076,Variables!$A$5:$A$65,0))="","","."&amp;INDEX(Variables!$D$5:$D$65,MATCH($A1076,Variables!$A$5:$A$65,0)))&amp;"."&amp;K$5</f>
        <v/>
      </c>
      <c r="L1076" s="38">
        <f>$D1076+L1067</f>
        <v/>
      </c>
      <c r="M1076" s="36">
        <f>$D1076+M1067</f>
        <v/>
      </c>
      <c r="N1076" s="36">
        <f>$D1076+N1067</f>
        <v/>
      </c>
      <c r="O1076" s="36">
        <f>$D1076+O1067</f>
        <v/>
      </c>
      <c r="P1076" s="36">
        <f>$D1076+P1067</f>
        <v/>
      </c>
      <c r="Q1076" s="36">
        <f>$D1076+Q1067</f>
        <v/>
      </c>
      <c r="R1076" s="36">
        <f>$D1076+R1067</f>
        <v/>
      </c>
      <c r="S1076" s="36">
        <f>$D1076+S1067</f>
        <v/>
      </c>
      <c r="T1076" s="36">
        <f>$D1076+T1067</f>
        <v/>
      </c>
      <c r="U1076" s="36">
        <f>$D1076+U1067</f>
        <v/>
      </c>
      <c r="V1076" s="36">
        <f>$D1076+V1067</f>
        <v/>
      </c>
      <c r="W1076" s="36">
        <f>$D1076+W1067</f>
        <v/>
      </c>
      <c r="X1076" s="36">
        <f>$D1076+X1067</f>
        <v/>
      </c>
      <c r="Y1076" s="39">
        <f>TAX($D1076,Y1067)</f>
        <v/>
      </c>
      <c r="Z1076" s="23">
        <f>LOWER(Settings!$C$4)&amp;".mit."&amp;$A1076&amp;IF($C1076="","","."&amp;$C1076&amp;"."&amp;$B1076)&amp;IF(INDEX(Variables!$D$5:$D$65,MATCH($A1076,Variables!$A$5:$A$65,0))="","","."&amp;INDEX(Variables!$D$5:$D$65,MATCH($A1076,Variables!$A$5:$A$65,0)))&amp;"."&amp;Z$5</f>
        <v/>
      </c>
      <c r="AA1076" s="38">
        <f>$D1076+AA1067</f>
        <v/>
      </c>
      <c r="AB1076" s="36">
        <f>$D1076+AB1067</f>
        <v/>
      </c>
      <c r="AC1076" s="36">
        <f>$D1076+AC1067</f>
        <v/>
      </c>
      <c r="AD1076" s="36">
        <f>$D1076+AD1067</f>
        <v/>
      </c>
      <c r="AE1076" s="36">
        <f>$D1076+AE1067</f>
        <v/>
      </c>
      <c r="AF1076" s="36">
        <f>$D1076+AF1067</f>
        <v/>
      </c>
      <c r="AG1076" s="36">
        <f>$D1076+AG1067</f>
        <v/>
      </c>
      <c r="AH1076" s="36">
        <f>$D1076+AH1067</f>
        <v/>
      </c>
      <c r="AI1076" s="36">
        <f>$D1076+AI1067</f>
        <v/>
      </c>
      <c r="AJ1076" s="36">
        <f>$D1076+AJ1067</f>
        <v/>
      </c>
      <c r="AK1076" s="36">
        <f>$D1076+AK1067</f>
        <v/>
      </c>
      <c r="AL1076" s="36">
        <f>$D1076+AL1067</f>
        <v/>
      </c>
      <c r="AM1076" s="36">
        <f>$D1076+AM1067</f>
        <v/>
      </c>
      <c r="AN1076" s="39">
        <f>TAX($D1076,AN1067)</f>
        <v/>
      </c>
    </row>
    <row r="1077" hidden="1" outlineLevel="2">
      <c r="A1077" s="5" t="inlineStr">
        <is>
          <t>tax</t>
        </is>
      </c>
      <c r="B1077" s="5" t="inlineStr">
        <is>
          <t>bio</t>
        </is>
      </c>
      <c r="C1077" s="5" t="inlineStr">
        <is>
          <t>omn</t>
        </is>
      </c>
      <c r="D1077" s="36">
        <f>INDEX(Inputs!$T$5:$T$132,MATCH($B1077&amp;"|"&amp;$C1077,Inputs!$A$5:$A$132,0))</f>
        <v/>
      </c>
      <c r="E1077" s="37" t="n"/>
      <c r="F1077" s="37" t="n"/>
      <c r="G1077" s="37" t="n"/>
      <c r="H1077" s="5">
        <f>INDEX(Variables!$B$5:$B$65,MATCH($A1077,Variables!$A$5:$A$65,0))&amp;IF($C1077="",""," | "&amp;INDEX(Mapping!$B$5:$B$25,MATCH($C1077,Mapping!$A$5:$A$25,0))&amp;" | "&amp;INDEX(Mapping!$B$29:$B$38,MATCH($B1077,Mapping!$A$29:$A$38,0)))</f>
        <v/>
      </c>
      <c r="I1077" s="5">
        <f>INDEX(Variables!$C$5:$C$65,MATCH($A1077,Variables!$A$5:$A$65,0))</f>
        <v/>
      </c>
      <c r="J1077" s="5">
        <f>INDEX(Variables!$E$5:$E$65,MATCH($A1077,Variables!$A$5:$A$65,0))</f>
        <v/>
      </c>
      <c r="K1077" s="23">
        <f>LOWER(Settings!$C$4)&amp;".mit."&amp;$A1077&amp;IF($C1077="","","."&amp;$C1077&amp;"."&amp;$B1077)&amp;IF(INDEX(Variables!$D$5:$D$65,MATCH($A1077,Variables!$A$5:$A$65,0))="","","."&amp;INDEX(Variables!$D$5:$D$65,MATCH($A1077,Variables!$A$5:$A$65,0)))&amp;"."&amp;K$5</f>
        <v/>
      </c>
      <c r="L1077" s="38">
        <f>$D1077+L1068</f>
        <v/>
      </c>
      <c r="M1077" s="36">
        <f>$D1077+M1068</f>
        <v/>
      </c>
      <c r="N1077" s="36">
        <f>$D1077+N1068</f>
        <v/>
      </c>
      <c r="O1077" s="36">
        <f>$D1077+O1068</f>
        <v/>
      </c>
      <c r="P1077" s="36">
        <f>$D1077+P1068</f>
        <v/>
      </c>
      <c r="Q1077" s="36">
        <f>$D1077+Q1068</f>
        <v/>
      </c>
      <c r="R1077" s="36">
        <f>$D1077+R1068</f>
        <v/>
      </c>
      <c r="S1077" s="36">
        <f>$D1077+S1068</f>
        <v/>
      </c>
      <c r="T1077" s="36">
        <f>$D1077+T1068</f>
        <v/>
      </c>
      <c r="U1077" s="36">
        <f>$D1077+U1068</f>
        <v/>
      </c>
      <c r="V1077" s="36">
        <f>$D1077+V1068</f>
        <v/>
      </c>
      <c r="W1077" s="36">
        <f>$D1077+W1068</f>
        <v/>
      </c>
      <c r="X1077" s="36">
        <f>$D1077+X1068</f>
        <v/>
      </c>
      <c r="Y1077" s="39">
        <f>TAX($D1077,Y1068)</f>
        <v/>
      </c>
      <c r="Z1077" s="23">
        <f>LOWER(Settings!$C$4)&amp;".mit."&amp;$A1077&amp;IF($C1077="","","."&amp;$C1077&amp;"."&amp;$B1077)&amp;IF(INDEX(Variables!$D$5:$D$65,MATCH($A1077,Variables!$A$5:$A$65,0))="","","."&amp;INDEX(Variables!$D$5:$D$65,MATCH($A1077,Variables!$A$5:$A$65,0)))&amp;"."&amp;Z$5</f>
        <v/>
      </c>
      <c r="AA1077" s="38">
        <f>$D1077+AA1068</f>
        <v/>
      </c>
      <c r="AB1077" s="36">
        <f>$D1077+AB1068</f>
        <v/>
      </c>
      <c r="AC1077" s="36">
        <f>$D1077+AC1068</f>
        <v/>
      </c>
      <c r="AD1077" s="36">
        <f>$D1077+AD1068</f>
        <v/>
      </c>
      <c r="AE1077" s="36">
        <f>$D1077+AE1068</f>
        <v/>
      </c>
      <c r="AF1077" s="36">
        <f>$D1077+AF1068</f>
        <v/>
      </c>
      <c r="AG1077" s="36">
        <f>$D1077+AG1068</f>
        <v/>
      </c>
      <c r="AH1077" s="36">
        <f>$D1077+AH1068</f>
        <v/>
      </c>
      <c r="AI1077" s="36">
        <f>$D1077+AI1068</f>
        <v/>
      </c>
      <c r="AJ1077" s="36">
        <f>$D1077+AJ1068</f>
        <v/>
      </c>
      <c r="AK1077" s="36">
        <f>$D1077+AK1068</f>
        <v/>
      </c>
      <c r="AL1077" s="36">
        <f>$D1077+AL1068</f>
        <v/>
      </c>
      <c r="AM1077" s="36">
        <f>$D1077+AM1068</f>
        <v/>
      </c>
      <c r="AN1077" s="39">
        <f>TAX($D1077,AN1068)</f>
        <v/>
      </c>
    </row>
    <row r="1078" hidden="1" outlineLevel="2"/>
    <row r="1079" hidden="1" outlineLevel="2">
      <c r="A1079" s="5" t="inlineStr">
        <is>
          <t>atp</t>
        </is>
      </c>
      <c r="B1079" s="5" t="inlineStr">
        <is>
          <t>coa</t>
        </is>
      </c>
      <c r="C1079" s="5" t="inlineStr">
        <is>
          <t>omn</t>
        </is>
      </c>
      <c r="D1079" s="37" t="n"/>
      <c r="E1079" s="37" t="n"/>
      <c r="F1079" s="37" t="n"/>
      <c r="G1079" s="37" t="n"/>
      <c r="H1079" s="5">
        <f>INDEX(Variables!$B$5:$B$65,MATCH($A1079,Variables!$A$5:$A$65,0))&amp;IF($C1079="",""," | "&amp;INDEX(Mapping!$B$5:$B$25,MATCH($C1079,Mapping!$A$5:$A$25,0))&amp;" | "&amp;INDEX(Mapping!$B$29:$B$38,MATCH($B1079,Mapping!$A$29:$A$38,0)))</f>
        <v/>
      </c>
      <c r="I1079" s="5">
        <f>INDEX(Variables!$C$5:$C$65,MATCH($A1079,Variables!$A$5:$A$65,0))</f>
        <v/>
      </c>
      <c r="J1079" s="5">
        <f>INDEX(Variables!$E$5:$E$65,MATCH($A1079,Variables!$A$5:$A$65,0))</f>
        <v/>
      </c>
      <c r="K1079" s="23">
        <f>LOWER(Settings!$C$4)&amp;".mit."&amp;$A1079&amp;IF($C1079="","","."&amp;$C1079&amp;"."&amp;$B1079)&amp;IF(INDEX(Variables!$D$5:$D$65,MATCH($A1079,Variables!$A$5:$A$65,0))="","","."&amp;INDEX(Variables!$D$5:$D$65,MATCH($A1079,Variables!$A$5:$A$65,0)))&amp;"."&amp;K$5</f>
        <v/>
      </c>
      <c r="L1079" s="38">
        <f>L1034+L1070</f>
        <v/>
      </c>
      <c r="M1079" s="36">
        <f>M1034+M1070</f>
        <v/>
      </c>
      <c r="N1079" s="36">
        <f>N1034+N1070</f>
        <v/>
      </c>
      <c r="O1079" s="36">
        <f>O1034+O1070</f>
        <v/>
      </c>
      <c r="P1079" s="36">
        <f>P1034+P1070</f>
        <v/>
      </c>
      <c r="Q1079" s="36">
        <f>Q1034+Q1070</f>
        <v/>
      </c>
      <c r="R1079" s="36">
        <f>R1034+R1070</f>
        <v/>
      </c>
      <c r="S1079" s="36">
        <f>S1034+S1070</f>
        <v/>
      </c>
      <c r="T1079" s="36">
        <f>T1034+T1070</f>
        <v/>
      </c>
      <c r="U1079" s="36">
        <f>U1034+U1070</f>
        <v/>
      </c>
      <c r="V1079" s="36">
        <f>V1034+V1070</f>
        <v/>
      </c>
      <c r="W1079" s="36">
        <f>W1034+W1070</f>
        <v/>
      </c>
      <c r="X1079" s="36">
        <f>X1034+X1070</f>
        <v/>
      </c>
      <c r="Y1079" s="39">
        <f>POSTTAX(Y1034,Y1070)</f>
        <v/>
      </c>
      <c r="Z1079" s="23">
        <f>LOWER(Settings!$C$4)&amp;".mit."&amp;$A1079&amp;IF($C1079="","","."&amp;$C1079&amp;"."&amp;$B1079)&amp;IF(INDEX(Variables!$D$5:$D$65,MATCH($A1079,Variables!$A$5:$A$65,0))="","","."&amp;INDEX(Variables!$D$5:$D$65,MATCH($A1079,Variables!$A$5:$A$65,0)))&amp;"."&amp;Z$5</f>
        <v/>
      </c>
      <c r="AA1079" s="38">
        <f>AA1034+AA1070</f>
        <v/>
      </c>
      <c r="AB1079" s="36">
        <f>AB1034+AB1070</f>
        <v/>
      </c>
      <c r="AC1079" s="36">
        <f>AC1034+AC1070</f>
        <v/>
      </c>
      <c r="AD1079" s="36">
        <f>AD1034+AD1070</f>
        <v/>
      </c>
      <c r="AE1079" s="36">
        <f>AE1034+AE1070</f>
        <v/>
      </c>
      <c r="AF1079" s="36">
        <f>AF1034+AF1070</f>
        <v/>
      </c>
      <c r="AG1079" s="36">
        <f>AG1034+AG1070</f>
        <v/>
      </c>
      <c r="AH1079" s="36">
        <f>AH1034+AH1070</f>
        <v/>
      </c>
      <c r="AI1079" s="36">
        <f>AI1034+AI1070</f>
        <v/>
      </c>
      <c r="AJ1079" s="36">
        <f>AJ1034+AJ1070</f>
        <v/>
      </c>
      <c r="AK1079" s="36">
        <f>AK1034+AK1070</f>
        <v/>
      </c>
      <c r="AL1079" s="36">
        <f>AL1034+AL1070</f>
        <v/>
      </c>
      <c r="AM1079" s="36">
        <f>AM1034+AM1070</f>
        <v/>
      </c>
      <c r="AN1079" s="39">
        <f>POSTTAX(AN1034,AN1070)</f>
        <v/>
      </c>
    </row>
    <row r="1080" hidden="1" outlineLevel="2">
      <c r="A1080" s="5" t="inlineStr">
        <is>
          <t>atp</t>
        </is>
      </c>
      <c r="B1080" s="5" t="inlineStr">
        <is>
          <t>nga</t>
        </is>
      </c>
      <c r="C1080" s="5" t="inlineStr">
        <is>
          <t>omn</t>
        </is>
      </c>
      <c r="D1080" s="37" t="n"/>
      <c r="E1080" s="37" t="n"/>
      <c r="F1080" s="37" t="n"/>
      <c r="G1080" s="37" t="n"/>
      <c r="H1080" s="5">
        <f>INDEX(Variables!$B$5:$B$65,MATCH($A1080,Variables!$A$5:$A$65,0))&amp;IF($C1080="",""," | "&amp;INDEX(Mapping!$B$5:$B$25,MATCH($C1080,Mapping!$A$5:$A$25,0))&amp;" | "&amp;INDEX(Mapping!$B$29:$B$38,MATCH($B1080,Mapping!$A$29:$A$38,0)))</f>
        <v/>
      </c>
      <c r="I1080" s="5">
        <f>INDEX(Variables!$C$5:$C$65,MATCH($A1080,Variables!$A$5:$A$65,0))</f>
        <v/>
      </c>
      <c r="J1080" s="5">
        <f>INDEX(Variables!$E$5:$E$65,MATCH($A1080,Variables!$A$5:$A$65,0))</f>
        <v/>
      </c>
      <c r="K1080" s="23">
        <f>LOWER(Settings!$C$4)&amp;".mit."&amp;$A1080&amp;IF($C1080="","","."&amp;$C1080&amp;"."&amp;$B1080)&amp;IF(INDEX(Variables!$D$5:$D$65,MATCH($A1080,Variables!$A$5:$A$65,0))="","","."&amp;INDEX(Variables!$D$5:$D$65,MATCH($A1080,Variables!$A$5:$A$65,0)))&amp;"."&amp;K$5</f>
        <v/>
      </c>
      <c r="L1080" s="38">
        <f>L1035+L1071</f>
        <v/>
      </c>
      <c r="M1080" s="36">
        <f>M1035+M1071</f>
        <v/>
      </c>
      <c r="N1080" s="36">
        <f>N1035+N1071</f>
        <v/>
      </c>
      <c r="O1080" s="36">
        <f>O1035+O1071</f>
        <v/>
      </c>
      <c r="P1080" s="36">
        <f>P1035+P1071</f>
        <v/>
      </c>
      <c r="Q1080" s="36">
        <f>Q1035+Q1071</f>
        <v/>
      </c>
      <c r="R1080" s="36">
        <f>R1035+R1071</f>
        <v/>
      </c>
      <c r="S1080" s="36">
        <f>S1035+S1071</f>
        <v/>
      </c>
      <c r="T1080" s="36">
        <f>T1035+T1071</f>
        <v/>
      </c>
      <c r="U1080" s="36">
        <f>U1035+U1071</f>
        <v/>
      </c>
      <c r="V1080" s="36">
        <f>V1035+V1071</f>
        <v/>
      </c>
      <c r="W1080" s="36">
        <f>W1035+W1071</f>
        <v/>
      </c>
      <c r="X1080" s="36">
        <f>X1035+X1071</f>
        <v/>
      </c>
      <c r="Y1080" s="39">
        <f>POSTTAX(Y1035,Y1071)</f>
        <v/>
      </c>
      <c r="Z1080" s="23">
        <f>LOWER(Settings!$C$4)&amp;".mit."&amp;$A1080&amp;IF($C1080="","","."&amp;$C1080&amp;"."&amp;$B1080)&amp;IF(INDEX(Variables!$D$5:$D$65,MATCH($A1080,Variables!$A$5:$A$65,0))="","","."&amp;INDEX(Variables!$D$5:$D$65,MATCH($A1080,Variables!$A$5:$A$65,0)))&amp;"."&amp;Z$5</f>
        <v/>
      </c>
      <c r="AA1080" s="38">
        <f>AA1035+AA1071</f>
        <v/>
      </c>
      <c r="AB1080" s="36">
        <f>AB1035+AB1071</f>
        <v/>
      </c>
      <c r="AC1080" s="36">
        <f>AC1035+AC1071</f>
        <v/>
      </c>
      <c r="AD1080" s="36">
        <f>AD1035+AD1071</f>
        <v/>
      </c>
      <c r="AE1080" s="36">
        <f>AE1035+AE1071</f>
        <v/>
      </c>
      <c r="AF1080" s="36">
        <f>AF1035+AF1071</f>
        <v/>
      </c>
      <c r="AG1080" s="36">
        <f>AG1035+AG1071</f>
        <v/>
      </c>
      <c r="AH1080" s="36">
        <f>AH1035+AH1071</f>
        <v/>
      </c>
      <c r="AI1080" s="36">
        <f>AI1035+AI1071</f>
        <v/>
      </c>
      <c r="AJ1080" s="36">
        <f>AJ1035+AJ1071</f>
        <v/>
      </c>
      <c r="AK1080" s="36">
        <f>AK1035+AK1071</f>
        <v/>
      </c>
      <c r="AL1080" s="36">
        <f>AL1035+AL1071</f>
        <v/>
      </c>
      <c r="AM1080" s="36">
        <f>AM1035+AM1071</f>
        <v/>
      </c>
      <c r="AN1080" s="39">
        <f>POSTTAX(AN1035,AN1071)</f>
        <v/>
      </c>
    </row>
    <row r="1081" hidden="1" outlineLevel="2">
      <c r="A1081" s="5" t="inlineStr">
        <is>
          <t>atp</t>
        </is>
      </c>
      <c r="B1081" s="5" t="inlineStr">
        <is>
          <t>gso</t>
        </is>
      </c>
      <c r="C1081" s="5" t="inlineStr">
        <is>
          <t>omn</t>
        </is>
      </c>
      <c r="D1081" s="37" t="n"/>
      <c r="E1081" s="37" t="n"/>
      <c r="F1081" s="37" t="n"/>
      <c r="G1081" s="37" t="n"/>
      <c r="H1081" s="5">
        <f>INDEX(Variables!$B$5:$B$65,MATCH($A1081,Variables!$A$5:$A$65,0))&amp;IF($C1081="",""," | "&amp;INDEX(Mapping!$B$5:$B$25,MATCH($C1081,Mapping!$A$5:$A$25,0))&amp;" | "&amp;INDEX(Mapping!$B$29:$B$38,MATCH($B1081,Mapping!$A$29:$A$38,0)))</f>
        <v/>
      </c>
      <c r="I1081" s="5">
        <f>INDEX(Variables!$C$5:$C$65,MATCH($A1081,Variables!$A$5:$A$65,0))</f>
        <v/>
      </c>
      <c r="J1081" s="5">
        <f>INDEX(Variables!$E$5:$E$65,MATCH($A1081,Variables!$A$5:$A$65,0))</f>
        <v/>
      </c>
      <c r="K1081" s="23">
        <f>LOWER(Settings!$C$4)&amp;".mit."&amp;$A1081&amp;IF($C1081="","","."&amp;$C1081&amp;"."&amp;$B1081)&amp;IF(INDEX(Variables!$D$5:$D$65,MATCH($A1081,Variables!$A$5:$A$65,0))="","","."&amp;INDEX(Variables!$D$5:$D$65,MATCH($A1081,Variables!$A$5:$A$65,0)))&amp;"."&amp;K$5</f>
        <v/>
      </c>
      <c r="L1081" s="38">
        <f>L1036+L1072</f>
        <v/>
      </c>
      <c r="M1081" s="36">
        <f>M1036+M1072</f>
        <v/>
      </c>
      <c r="N1081" s="36">
        <f>N1036+N1072</f>
        <v/>
      </c>
      <c r="O1081" s="36">
        <f>O1036+O1072</f>
        <v/>
      </c>
      <c r="P1081" s="36">
        <f>P1036+P1072</f>
        <v/>
      </c>
      <c r="Q1081" s="36">
        <f>Q1036+Q1072</f>
        <v/>
      </c>
      <c r="R1081" s="36">
        <f>R1036+R1072</f>
        <v/>
      </c>
      <c r="S1081" s="36">
        <f>S1036+S1072</f>
        <v/>
      </c>
      <c r="T1081" s="36">
        <f>T1036+T1072</f>
        <v/>
      </c>
      <c r="U1081" s="36">
        <f>U1036+U1072</f>
        <v/>
      </c>
      <c r="V1081" s="36">
        <f>V1036+V1072</f>
        <v/>
      </c>
      <c r="W1081" s="36">
        <f>W1036+W1072</f>
        <v/>
      </c>
      <c r="X1081" s="36">
        <f>X1036+X1072</f>
        <v/>
      </c>
      <c r="Y1081" s="39">
        <f>POSTTAX(Y1036,Y1072)</f>
        <v/>
      </c>
      <c r="Z1081" s="23">
        <f>LOWER(Settings!$C$4)&amp;".mit."&amp;$A1081&amp;IF($C1081="","","."&amp;$C1081&amp;"."&amp;$B1081)&amp;IF(INDEX(Variables!$D$5:$D$65,MATCH($A1081,Variables!$A$5:$A$65,0))="","","."&amp;INDEX(Variables!$D$5:$D$65,MATCH($A1081,Variables!$A$5:$A$65,0)))&amp;"."&amp;Z$5</f>
        <v/>
      </c>
      <c r="AA1081" s="38">
        <f>AA1036+AA1072</f>
        <v/>
      </c>
      <c r="AB1081" s="36">
        <f>AB1036+AB1072</f>
        <v/>
      </c>
      <c r="AC1081" s="36">
        <f>AC1036+AC1072</f>
        <v/>
      </c>
      <c r="AD1081" s="36">
        <f>AD1036+AD1072</f>
        <v/>
      </c>
      <c r="AE1081" s="36">
        <f>AE1036+AE1072</f>
        <v/>
      </c>
      <c r="AF1081" s="36">
        <f>AF1036+AF1072</f>
        <v/>
      </c>
      <c r="AG1081" s="36">
        <f>AG1036+AG1072</f>
        <v/>
      </c>
      <c r="AH1081" s="36">
        <f>AH1036+AH1072</f>
        <v/>
      </c>
      <c r="AI1081" s="36">
        <f>AI1036+AI1072</f>
        <v/>
      </c>
      <c r="AJ1081" s="36">
        <f>AJ1036+AJ1072</f>
        <v/>
      </c>
      <c r="AK1081" s="36">
        <f>AK1036+AK1072</f>
        <v/>
      </c>
      <c r="AL1081" s="36">
        <f>AL1036+AL1072</f>
        <v/>
      </c>
      <c r="AM1081" s="36">
        <f>AM1036+AM1072</f>
        <v/>
      </c>
      <c r="AN1081" s="39">
        <f>POSTTAX(AN1036,AN1072)</f>
        <v/>
      </c>
    </row>
    <row r="1082" hidden="1" outlineLevel="2">
      <c r="A1082" s="5" t="inlineStr">
        <is>
          <t>atp</t>
        </is>
      </c>
      <c r="B1082" s="5" t="inlineStr">
        <is>
          <t>die</t>
        </is>
      </c>
      <c r="C1082" s="5" t="inlineStr">
        <is>
          <t>omn</t>
        </is>
      </c>
      <c r="D1082" s="37" t="n"/>
      <c r="E1082" s="37" t="n"/>
      <c r="F1082" s="37" t="n"/>
      <c r="G1082" s="37" t="n"/>
      <c r="H1082" s="5">
        <f>INDEX(Variables!$B$5:$B$65,MATCH($A1082,Variables!$A$5:$A$65,0))&amp;IF($C1082="",""," | "&amp;INDEX(Mapping!$B$5:$B$25,MATCH($C1082,Mapping!$A$5:$A$25,0))&amp;" | "&amp;INDEX(Mapping!$B$29:$B$38,MATCH($B1082,Mapping!$A$29:$A$38,0)))</f>
        <v/>
      </c>
      <c r="I1082" s="5">
        <f>INDEX(Variables!$C$5:$C$65,MATCH($A1082,Variables!$A$5:$A$65,0))</f>
        <v/>
      </c>
      <c r="J1082" s="5">
        <f>INDEX(Variables!$E$5:$E$65,MATCH($A1082,Variables!$A$5:$A$65,0))</f>
        <v/>
      </c>
      <c r="K1082" s="23">
        <f>LOWER(Settings!$C$4)&amp;".mit."&amp;$A1082&amp;IF($C1082="","","."&amp;$C1082&amp;"."&amp;$B1082)&amp;IF(INDEX(Variables!$D$5:$D$65,MATCH($A1082,Variables!$A$5:$A$65,0))="","","."&amp;INDEX(Variables!$D$5:$D$65,MATCH($A1082,Variables!$A$5:$A$65,0)))&amp;"."&amp;K$5</f>
        <v/>
      </c>
      <c r="L1082" s="38">
        <f>L1037+L1073</f>
        <v/>
      </c>
      <c r="M1082" s="36">
        <f>M1037+M1073</f>
        <v/>
      </c>
      <c r="N1082" s="36">
        <f>N1037+N1073</f>
        <v/>
      </c>
      <c r="O1082" s="36">
        <f>O1037+O1073</f>
        <v/>
      </c>
      <c r="P1082" s="36">
        <f>P1037+P1073</f>
        <v/>
      </c>
      <c r="Q1082" s="36">
        <f>Q1037+Q1073</f>
        <v/>
      </c>
      <c r="R1082" s="36">
        <f>R1037+R1073</f>
        <v/>
      </c>
      <c r="S1082" s="36">
        <f>S1037+S1073</f>
        <v/>
      </c>
      <c r="T1082" s="36">
        <f>T1037+T1073</f>
        <v/>
      </c>
      <c r="U1082" s="36">
        <f>U1037+U1073</f>
        <v/>
      </c>
      <c r="V1082" s="36">
        <f>V1037+V1073</f>
        <v/>
      </c>
      <c r="W1082" s="36">
        <f>W1037+W1073</f>
        <v/>
      </c>
      <c r="X1082" s="36">
        <f>X1037+X1073</f>
        <v/>
      </c>
      <c r="Y1082" s="39">
        <f>POSTTAX(Y1037,Y1073)</f>
        <v/>
      </c>
      <c r="Z1082" s="23">
        <f>LOWER(Settings!$C$4)&amp;".mit."&amp;$A1082&amp;IF($C1082="","","."&amp;$C1082&amp;"."&amp;$B1082)&amp;IF(INDEX(Variables!$D$5:$D$65,MATCH($A1082,Variables!$A$5:$A$65,0))="","","."&amp;INDEX(Variables!$D$5:$D$65,MATCH($A1082,Variables!$A$5:$A$65,0)))&amp;"."&amp;Z$5</f>
        <v/>
      </c>
      <c r="AA1082" s="38">
        <f>AA1037+AA1073</f>
        <v/>
      </c>
      <c r="AB1082" s="36">
        <f>AB1037+AB1073</f>
        <v/>
      </c>
      <c r="AC1082" s="36">
        <f>AC1037+AC1073</f>
        <v/>
      </c>
      <c r="AD1082" s="36">
        <f>AD1037+AD1073</f>
        <v/>
      </c>
      <c r="AE1082" s="36">
        <f>AE1037+AE1073</f>
        <v/>
      </c>
      <c r="AF1082" s="36">
        <f>AF1037+AF1073</f>
        <v/>
      </c>
      <c r="AG1082" s="36">
        <f>AG1037+AG1073</f>
        <v/>
      </c>
      <c r="AH1082" s="36">
        <f>AH1037+AH1073</f>
        <v/>
      </c>
      <c r="AI1082" s="36">
        <f>AI1037+AI1073</f>
        <v/>
      </c>
      <c r="AJ1082" s="36">
        <f>AJ1037+AJ1073</f>
        <v/>
      </c>
      <c r="AK1082" s="36">
        <f>AK1037+AK1073</f>
        <v/>
      </c>
      <c r="AL1082" s="36">
        <f>AL1037+AL1073</f>
        <v/>
      </c>
      <c r="AM1082" s="36">
        <f>AM1037+AM1073</f>
        <v/>
      </c>
      <c r="AN1082" s="39">
        <f>POSTTAX(AN1037,AN1073)</f>
        <v/>
      </c>
    </row>
    <row r="1083" hidden="1" outlineLevel="2">
      <c r="A1083" s="5" t="inlineStr">
        <is>
          <t>atp</t>
        </is>
      </c>
      <c r="B1083" s="5" t="inlineStr">
        <is>
          <t>lpg</t>
        </is>
      </c>
      <c r="C1083" s="5" t="inlineStr">
        <is>
          <t>omn</t>
        </is>
      </c>
      <c r="D1083" s="37" t="n"/>
      <c r="E1083" s="37" t="n"/>
      <c r="F1083" s="37" t="n"/>
      <c r="G1083" s="37" t="n"/>
      <c r="H1083" s="5">
        <f>INDEX(Variables!$B$5:$B$65,MATCH($A1083,Variables!$A$5:$A$65,0))&amp;IF($C1083="",""," | "&amp;INDEX(Mapping!$B$5:$B$25,MATCH($C1083,Mapping!$A$5:$A$25,0))&amp;" | "&amp;INDEX(Mapping!$B$29:$B$38,MATCH($B1083,Mapping!$A$29:$A$38,0)))</f>
        <v/>
      </c>
      <c r="I1083" s="5">
        <f>INDEX(Variables!$C$5:$C$65,MATCH($A1083,Variables!$A$5:$A$65,0))</f>
        <v/>
      </c>
      <c r="J1083" s="5">
        <f>INDEX(Variables!$E$5:$E$65,MATCH($A1083,Variables!$A$5:$A$65,0))</f>
        <v/>
      </c>
      <c r="K1083" s="23">
        <f>LOWER(Settings!$C$4)&amp;".mit."&amp;$A1083&amp;IF($C1083="","","."&amp;$C1083&amp;"."&amp;$B1083)&amp;IF(INDEX(Variables!$D$5:$D$65,MATCH($A1083,Variables!$A$5:$A$65,0))="","","."&amp;INDEX(Variables!$D$5:$D$65,MATCH($A1083,Variables!$A$5:$A$65,0)))&amp;"."&amp;K$5</f>
        <v/>
      </c>
      <c r="L1083" s="38">
        <f>L1038+L1074</f>
        <v/>
      </c>
      <c r="M1083" s="36">
        <f>M1038+M1074</f>
        <v/>
      </c>
      <c r="N1083" s="36">
        <f>N1038+N1074</f>
        <v/>
      </c>
      <c r="O1083" s="36">
        <f>O1038+O1074</f>
        <v/>
      </c>
      <c r="P1083" s="36">
        <f>P1038+P1074</f>
        <v/>
      </c>
      <c r="Q1083" s="36">
        <f>Q1038+Q1074</f>
        <v/>
      </c>
      <c r="R1083" s="36">
        <f>R1038+R1074</f>
        <v/>
      </c>
      <c r="S1083" s="36">
        <f>S1038+S1074</f>
        <v/>
      </c>
      <c r="T1083" s="36">
        <f>T1038+T1074</f>
        <v/>
      </c>
      <c r="U1083" s="36">
        <f>U1038+U1074</f>
        <v/>
      </c>
      <c r="V1083" s="36">
        <f>V1038+V1074</f>
        <v/>
      </c>
      <c r="W1083" s="36">
        <f>W1038+W1074</f>
        <v/>
      </c>
      <c r="X1083" s="36">
        <f>X1038+X1074</f>
        <v/>
      </c>
      <c r="Y1083" s="39">
        <f>POSTTAX(Y1038,Y1074)</f>
        <v/>
      </c>
      <c r="Z1083" s="23">
        <f>LOWER(Settings!$C$4)&amp;".mit."&amp;$A1083&amp;IF($C1083="","","."&amp;$C1083&amp;"."&amp;$B1083)&amp;IF(INDEX(Variables!$D$5:$D$65,MATCH($A1083,Variables!$A$5:$A$65,0))="","","."&amp;INDEX(Variables!$D$5:$D$65,MATCH($A1083,Variables!$A$5:$A$65,0)))&amp;"."&amp;Z$5</f>
        <v/>
      </c>
      <c r="AA1083" s="38">
        <f>AA1038+AA1074</f>
        <v/>
      </c>
      <c r="AB1083" s="36">
        <f>AB1038+AB1074</f>
        <v/>
      </c>
      <c r="AC1083" s="36">
        <f>AC1038+AC1074</f>
        <v/>
      </c>
      <c r="AD1083" s="36">
        <f>AD1038+AD1074</f>
        <v/>
      </c>
      <c r="AE1083" s="36">
        <f>AE1038+AE1074</f>
        <v/>
      </c>
      <c r="AF1083" s="36">
        <f>AF1038+AF1074</f>
        <v/>
      </c>
      <c r="AG1083" s="36">
        <f>AG1038+AG1074</f>
        <v/>
      </c>
      <c r="AH1083" s="36">
        <f>AH1038+AH1074</f>
        <v/>
      </c>
      <c r="AI1083" s="36">
        <f>AI1038+AI1074</f>
        <v/>
      </c>
      <c r="AJ1083" s="36">
        <f>AJ1038+AJ1074</f>
        <v/>
      </c>
      <c r="AK1083" s="36">
        <f>AK1038+AK1074</f>
        <v/>
      </c>
      <c r="AL1083" s="36">
        <f>AL1038+AL1074</f>
        <v/>
      </c>
      <c r="AM1083" s="36">
        <f>AM1038+AM1074</f>
        <v/>
      </c>
      <c r="AN1083" s="39">
        <f>POSTTAX(AN1038,AN1074)</f>
        <v/>
      </c>
    </row>
    <row r="1084" hidden="1" outlineLevel="2">
      <c r="A1084" s="5" t="inlineStr">
        <is>
          <t>atp</t>
        </is>
      </c>
      <c r="B1084" s="5" t="inlineStr">
        <is>
          <t>ker</t>
        </is>
      </c>
      <c r="C1084" s="5" t="inlineStr">
        <is>
          <t>omn</t>
        </is>
      </c>
      <c r="D1084" s="37" t="n"/>
      <c r="E1084" s="37" t="n"/>
      <c r="F1084" s="37" t="n"/>
      <c r="G1084" s="37" t="n"/>
      <c r="H1084" s="5">
        <f>INDEX(Variables!$B$5:$B$65,MATCH($A1084,Variables!$A$5:$A$65,0))&amp;IF($C1084="",""," | "&amp;INDEX(Mapping!$B$5:$B$25,MATCH($C1084,Mapping!$A$5:$A$25,0))&amp;" | "&amp;INDEX(Mapping!$B$29:$B$38,MATCH($B1084,Mapping!$A$29:$A$38,0)))</f>
        <v/>
      </c>
      <c r="I1084" s="5">
        <f>INDEX(Variables!$C$5:$C$65,MATCH($A1084,Variables!$A$5:$A$65,0))</f>
        <v/>
      </c>
      <c r="J1084" s="5">
        <f>INDEX(Variables!$E$5:$E$65,MATCH($A1084,Variables!$A$5:$A$65,0))</f>
        <v/>
      </c>
      <c r="K1084" s="23">
        <f>LOWER(Settings!$C$4)&amp;".mit."&amp;$A1084&amp;IF($C1084="","","."&amp;$C1084&amp;"."&amp;$B1084)&amp;IF(INDEX(Variables!$D$5:$D$65,MATCH($A1084,Variables!$A$5:$A$65,0))="","","."&amp;INDEX(Variables!$D$5:$D$65,MATCH($A1084,Variables!$A$5:$A$65,0)))&amp;"."&amp;K$5</f>
        <v/>
      </c>
      <c r="L1084" s="38">
        <f>L1039+L1075</f>
        <v/>
      </c>
      <c r="M1084" s="36">
        <f>M1039+M1075</f>
        <v/>
      </c>
      <c r="N1084" s="36">
        <f>N1039+N1075</f>
        <v/>
      </c>
      <c r="O1084" s="36">
        <f>O1039+O1075</f>
        <v/>
      </c>
      <c r="P1084" s="36">
        <f>P1039+P1075</f>
        <v/>
      </c>
      <c r="Q1084" s="36">
        <f>Q1039+Q1075</f>
        <v/>
      </c>
      <c r="R1084" s="36">
        <f>R1039+R1075</f>
        <v/>
      </c>
      <c r="S1084" s="36">
        <f>S1039+S1075</f>
        <v/>
      </c>
      <c r="T1084" s="36">
        <f>T1039+T1075</f>
        <v/>
      </c>
      <c r="U1084" s="36">
        <f>U1039+U1075</f>
        <v/>
      </c>
      <c r="V1084" s="36">
        <f>V1039+V1075</f>
        <v/>
      </c>
      <c r="W1084" s="36">
        <f>W1039+W1075</f>
        <v/>
      </c>
      <c r="X1084" s="36">
        <f>X1039+X1075</f>
        <v/>
      </c>
      <c r="Y1084" s="39">
        <f>POSTTAX(Y1039,Y1075)</f>
        <v/>
      </c>
      <c r="Z1084" s="23">
        <f>LOWER(Settings!$C$4)&amp;".mit."&amp;$A1084&amp;IF($C1084="","","."&amp;$C1084&amp;"."&amp;$B1084)&amp;IF(INDEX(Variables!$D$5:$D$65,MATCH($A1084,Variables!$A$5:$A$65,0))="","","."&amp;INDEX(Variables!$D$5:$D$65,MATCH($A1084,Variables!$A$5:$A$65,0)))&amp;"."&amp;Z$5</f>
        <v/>
      </c>
      <c r="AA1084" s="38">
        <f>AA1039+AA1075</f>
        <v/>
      </c>
      <c r="AB1084" s="36">
        <f>AB1039+AB1075</f>
        <v/>
      </c>
      <c r="AC1084" s="36">
        <f>AC1039+AC1075</f>
        <v/>
      </c>
      <c r="AD1084" s="36">
        <f>AD1039+AD1075</f>
        <v/>
      </c>
      <c r="AE1084" s="36">
        <f>AE1039+AE1075</f>
        <v/>
      </c>
      <c r="AF1084" s="36">
        <f>AF1039+AF1075</f>
        <v/>
      </c>
      <c r="AG1084" s="36">
        <f>AG1039+AG1075</f>
        <v/>
      </c>
      <c r="AH1084" s="36">
        <f>AH1039+AH1075</f>
        <v/>
      </c>
      <c r="AI1084" s="36">
        <f>AI1039+AI1075</f>
        <v/>
      </c>
      <c r="AJ1084" s="36">
        <f>AJ1039+AJ1075</f>
        <v/>
      </c>
      <c r="AK1084" s="36">
        <f>AK1039+AK1075</f>
        <v/>
      </c>
      <c r="AL1084" s="36">
        <f>AL1039+AL1075</f>
        <v/>
      </c>
      <c r="AM1084" s="36">
        <f>AM1039+AM1075</f>
        <v/>
      </c>
      <c r="AN1084" s="39">
        <f>POSTTAX(AN1039,AN1075)</f>
        <v/>
      </c>
    </row>
    <row r="1085" hidden="1" outlineLevel="2">
      <c r="A1085" s="5" t="inlineStr">
        <is>
          <t>atp</t>
        </is>
      </c>
      <c r="B1085" s="5" t="inlineStr">
        <is>
          <t>oop</t>
        </is>
      </c>
      <c r="C1085" s="5" t="inlineStr">
        <is>
          <t>omn</t>
        </is>
      </c>
      <c r="D1085" s="37" t="n"/>
      <c r="E1085" s="37" t="n"/>
      <c r="F1085" s="37" t="n"/>
      <c r="G1085" s="37" t="n"/>
      <c r="H1085" s="5">
        <f>INDEX(Variables!$B$5:$B$65,MATCH($A1085,Variables!$A$5:$A$65,0))&amp;IF($C1085="",""," | "&amp;INDEX(Mapping!$B$5:$B$25,MATCH($C1085,Mapping!$A$5:$A$25,0))&amp;" | "&amp;INDEX(Mapping!$B$29:$B$38,MATCH($B1085,Mapping!$A$29:$A$38,0)))</f>
        <v/>
      </c>
      <c r="I1085" s="5">
        <f>INDEX(Variables!$C$5:$C$65,MATCH($A1085,Variables!$A$5:$A$65,0))</f>
        <v/>
      </c>
      <c r="J1085" s="5">
        <f>INDEX(Variables!$E$5:$E$65,MATCH($A1085,Variables!$A$5:$A$65,0))</f>
        <v/>
      </c>
      <c r="K1085" s="23">
        <f>LOWER(Settings!$C$4)&amp;".mit."&amp;$A1085&amp;IF($C1085="","","."&amp;$C1085&amp;"."&amp;$B1085)&amp;IF(INDEX(Variables!$D$5:$D$65,MATCH($A1085,Variables!$A$5:$A$65,0))="","","."&amp;INDEX(Variables!$D$5:$D$65,MATCH($A1085,Variables!$A$5:$A$65,0)))&amp;"."&amp;K$5</f>
        <v/>
      </c>
      <c r="L1085" s="38">
        <f>L1040+L1076</f>
        <v/>
      </c>
      <c r="M1085" s="36">
        <f>M1040+M1076</f>
        <v/>
      </c>
      <c r="N1085" s="36">
        <f>N1040+N1076</f>
        <v/>
      </c>
      <c r="O1085" s="36">
        <f>O1040+O1076</f>
        <v/>
      </c>
      <c r="P1085" s="36">
        <f>P1040+P1076</f>
        <v/>
      </c>
      <c r="Q1085" s="36">
        <f>Q1040+Q1076</f>
        <v/>
      </c>
      <c r="R1085" s="36">
        <f>R1040+R1076</f>
        <v/>
      </c>
      <c r="S1085" s="36">
        <f>S1040+S1076</f>
        <v/>
      </c>
      <c r="T1085" s="36">
        <f>T1040+T1076</f>
        <v/>
      </c>
      <c r="U1085" s="36">
        <f>U1040+U1076</f>
        <v/>
      </c>
      <c r="V1085" s="36">
        <f>V1040+V1076</f>
        <v/>
      </c>
      <c r="W1085" s="36">
        <f>W1040+W1076</f>
        <v/>
      </c>
      <c r="X1085" s="36">
        <f>X1040+X1076</f>
        <v/>
      </c>
      <c r="Y1085" s="39">
        <f>POSTTAX(Y1040,Y1076)</f>
        <v/>
      </c>
      <c r="Z1085" s="23">
        <f>LOWER(Settings!$C$4)&amp;".mit."&amp;$A1085&amp;IF($C1085="","","."&amp;$C1085&amp;"."&amp;$B1085)&amp;IF(INDEX(Variables!$D$5:$D$65,MATCH($A1085,Variables!$A$5:$A$65,0))="","","."&amp;INDEX(Variables!$D$5:$D$65,MATCH($A1085,Variables!$A$5:$A$65,0)))&amp;"."&amp;Z$5</f>
        <v/>
      </c>
      <c r="AA1085" s="38">
        <f>AA1040+AA1076</f>
        <v/>
      </c>
      <c r="AB1085" s="36">
        <f>AB1040+AB1076</f>
        <v/>
      </c>
      <c r="AC1085" s="36">
        <f>AC1040+AC1076</f>
        <v/>
      </c>
      <c r="AD1085" s="36">
        <f>AD1040+AD1076</f>
        <v/>
      </c>
      <c r="AE1085" s="36">
        <f>AE1040+AE1076</f>
        <v/>
      </c>
      <c r="AF1085" s="36">
        <f>AF1040+AF1076</f>
        <v/>
      </c>
      <c r="AG1085" s="36">
        <f>AG1040+AG1076</f>
        <v/>
      </c>
      <c r="AH1085" s="36">
        <f>AH1040+AH1076</f>
        <v/>
      </c>
      <c r="AI1085" s="36">
        <f>AI1040+AI1076</f>
        <v/>
      </c>
      <c r="AJ1085" s="36">
        <f>AJ1040+AJ1076</f>
        <v/>
      </c>
      <c r="AK1085" s="36">
        <f>AK1040+AK1076</f>
        <v/>
      </c>
      <c r="AL1085" s="36">
        <f>AL1040+AL1076</f>
        <v/>
      </c>
      <c r="AM1085" s="36">
        <f>AM1040+AM1076</f>
        <v/>
      </c>
      <c r="AN1085" s="39">
        <f>POSTTAX(AN1040,AN1076)</f>
        <v/>
      </c>
    </row>
    <row r="1086" hidden="1" outlineLevel="2">
      <c r="A1086" s="5" t="inlineStr">
        <is>
          <t>atp</t>
        </is>
      </c>
      <c r="B1086" s="5" t="inlineStr">
        <is>
          <t>bio</t>
        </is>
      </c>
      <c r="C1086" s="5" t="inlineStr">
        <is>
          <t>omn</t>
        </is>
      </c>
      <c r="D1086" s="37" t="n"/>
      <c r="E1086" s="37" t="n"/>
      <c r="F1086" s="37" t="n"/>
      <c r="G1086" s="37" t="n"/>
      <c r="H1086" s="5">
        <f>INDEX(Variables!$B$5:$B$65,MATCH($A1086,Variables!$A$5:$A$65,0))&amp;IF($C1086="",""," | "&amp;INDEX(Mapping!$B$5:$B$25,MATCH($C1086,Mapping!$A$5:$A$25,0))&amp;" | "&amp;INDEX(Mapping!$B$29:$B$38,MATCH($B1086,Mapping!$A$29:$A$38,0)))</f>
        <v/>
      </c>
      <c r="I1086" s="5">
        <f>INDEX(Variables!$C$5:$C$65,MATCH($A1086,Variables!$A$5:$A$65,0))</f>
        <v/>
      </c>
      <c r="J1086" s="5">
        <f>INDEX(Variables!$E$5:$E$65,MATCH($A1086,Variables!$A$5:$A$65,0))</f>
        <v/>
      </c>
      <c r="K1086" s="23">
        <f>LOWER(Settings!$C$4)&amp;".mit."&amp;$A1086&amp;IF($C1086="","","."&amp;$C1086&amp;"."&amp;$B1086)&amp;IF(INDEX(Variables!$D$5:$D$65,MATCH($A1086,Variables!$A$5:$A$65,0))="","","."&amp;INDEX(Variables!$D$5:$D$65,MATCH($A1086,Variables!$A$5:$A$65,0)))&amp;"."&amp;K$5</f>
        <v/>
      </c>
      <c r="L1086" s="38">
        <f>L1041+L1077</f>
        <v/>
      </c>
      <c r="M1086" s="36">
        <f>M1041+M1077</f>
        <v/>
      </c>
      <c r="N1086" s="36">
        <f>N1041+N1077</f>
        <v/>
      </c>
      <c r="O1086" s="36">
        <f>O1041+O1077</f>
        <v/>
      </c>
      <c r="P1086" s="36">
        <f>P1041+P1077</f>
        <v/>
      </c>
      <c r="Q1086" s="36">
        <f>Q1041+Q1077</f>
        <v/>
      </c>
      <c r="R1086" s="36">
        <f>R1041+R1077</f>
        <v/>
      </c>
      <c r="S1086" s="36">
        <f>S1041+S1077</f>
        <v/>
      </c>
      <c r="T1086" s="36">
        <f>T1041+T1077</f>
        <v/>
      </c>
      <c r="U1086" s="36">
        <f>U1041+U1077</f>
        <v/>
      </c>
      <c r="V1086" s="36">
        <f>V1041+V1077</f>
        <v/>
      </c>
      <c r="W1086" s="36">
        <f>W1041+W1077</f>
        <v/>
      </c>
      <c r="X1086" s="36">
        <f>X1041+X1077</f>
        <v/>
      </c>
      <c r="Y1086" s="39">
        <f>POSTTAX(Y1041,Y1077)</f>
        <v/>
      </c>
      <c r="Z1086" s="23">
        <f>LOWER(Settings!$C$4)&amp;".mit."&amp;$A1086&amp;IF($C1086="","","."&amp;$C1086&amp;"."&amp;$B1086)&amp;IF(INDEX(Variables!$D$5:$D$65,MATCH($A1086,Variables!$A$5:$A$65,0))="","","."&amp;INDEX(Variables!$D$5:$D$65,MATCH($A1086,Variables!$A$5:$A$65,0)))&amp;"."&amp;Z$5</f>
        <v/>
      </c>
      <c r="AA1086" s="38">
        <f>AA1041+AA1077</f>
        <v/>
      </c>
      <c r="AB1086" s="36">
        <f>AB1041+AB1077</f>
        <v/>
      </c>
      <c r="AC1086" s="36">
        <f>AC1041+AC1077</f>
        <v/>
      </c>
      <c r="AD1086" s="36">
        <f>AD1041+AD1077</f>
        <v/>
      </c>
      <c r="AE1086" s="36">
        <f>AE1041+AE1077</f>
        <v/>
      </c>
      <c r="AF1086" s="36">
        <f>AF1041+AF1077</f>
        <v/>
      </c>
      <c r="AG1086" s="36">
        <f>AG1041+AG1077</f>
        <v/>
      </c>
      <c r="AH1086" s="36">
        <f>AH1041+AH1077</f>
        <v/>
      </c>
      <c r="AI1086" s="36">
        <f>AI1041+AI1077</f>
        <v/>
      </c>
      <c r="AJ1086" s="36">
        <f>AJ1041+AJ1077</f>
        <v/>
      </c>
      <c r="AK1086" s="36">
        <f>AK1041+AK1077</f>
        <v/>
      </c>
      <c r="AL1086" s="36">
        <f>AL1041+AL1077</f>
        <v/>
      </c>
      <c r="AM1086" s="36">
        <f>AM1041+AM1077</f>
        <v/>
      </c>
      <c r="AN1086" s="39">
        <f>POSTTAX(AN1041,AN1077)</f>
        <v/>
      </c>
    </row>
    <row r="1087" hidden="1" outlineLevel="2"/>
    <row r="1088" hidden="1" outlineLevel="2">
      <c r="A1088" s="5" t="inlineStr">
        <is>
          <t>shp</t>
        </is>
      </c>
      <c r="B1088" s="5" t="inlineStr">
        <is>
          <t>coa</t>
        </is>
      </c>
      <c r="C1088" s="5" t="inlineStr">
        <is>
          <t>omn</t>
        </is>
      </c>
      <c r="D1088" s="36">
        <f>INDEX(Inputs!$M$5:$M$132,MATCH($B1088&amp;"|"&amp;$C1088,Inputs!$A$5:$A$132,0))</f>
        <v/>
      </c>
      <c r="E1088" s="36">
        <f>INDEX(Inputs!$U$5:$U$132,MATCH($B1088&amp;"|"&amp;$C1088,Inputs!$A$5:$A$132,0))</f>
        <v/>
      </c>
      <c r="F1088" s="36">
        <f>INDEX(Inputs!$K$5:$K$132,MATCH($B1088&amp;"|"&amp;$C1088,Inputs!$A$5:$A$132,0))</f>
        <v/>
      </c>
      <c r="G1088" s="37" t="n"/>
      <c r="H1088" s="5">
        <f>INDEX(Variables!$B$5:$B$65,MATCH($A1088,Variables!$A$5:$A$65,0))&amp;IF($C1088="",""," | "&amp;INDEX(Mapping!$B$5:$B$25,MATCH($C1088,Mapping!$A$5:$A$25,0))&amp;" | "&amp;INDEX(Mapping!$B$29:$B$38,MATCH($B1088,Mapping!$A$29:$A$38,0)))</f>
        <v/>
      </c>
      <c r="I1088" s="5">
        <f>INDEX(Variables!$C$5:$C$65,MATCH($A1088,Variables!$A$5:$A$65,0))</f>
        <v/>
      </c>
      <c r="J1088" s="5">
        <f>INDEX(Variables!$E$5:$E$65,MATCH($A1088,Variables!$A$5:$A$65,0))</f>
        <v/>
      </c>
      <c r="K1088" s="23">
        <f>LOWER(Settings!$C$4)&amp;".mit."&amp;$A1088&amp;IF($C1088="","","."&amp;$C1088&amp;"."&amp;$B1088)&amp;IF(INDEX(Variables!$D$5:$D$65,MATCH($A1088,Variables!$A$5:$A$65,0))="","","."&amp;INDEX(Variables!$D$5:$D$65,MATCH($A1088,Variables!$A$5:$A$65,0)))&amp;"."&amp;K$5</f>
        <v/>
      </c>
      <c r="L1088" s="38">
        <f>INDEX(L$124:L$127,$D1088)*$E1088*INDEX(L$128:L$144,$F1088)</f>
        <v/>
      </c>
      <c r="M1088" s="36">
        <f>INDEX(M$124:M$127,$D1088)*$E1088*INDEX(M$128:M$144,$F1088)</f>
        <v/>
      </c>
      <c r="N1088" s="36">
        <f>INDEX(N$124:N$127,$D1088)*$E1088*INDEX(N$128:N$144,$F1088)</f>
        <v/>
      </c>
      <c r="O1088" s="36">
        <f>INDEX(O$124:O$127,$D1088)*$E1088*INDEX(O$128:O$144,$F1088)</f>
        <v/>
      </c>
      <c r="P1088" s="36">
        <f>INDEX(P$124:P$127,$D1088)*$E1088*INDEX(P$128:P$144,$F1088)</f>
        <v/>
      </c>
      <c r="Q1088" s="36">
        <f>INDEX(Q$124:Q$127,$D1088)*$E1088*INDEX(Q$128:Q$144,$F1088)</f>
        <v/>
      </c>
      <c r="R1088" s="36">
        <f>INDEX(R$124:R$127,$D1088)*$E1088*INDEX(R$128:R$144,$F1088)</f>
        <v/>
      </c>
      <c r="S1088" s="36">
        <f>INDEX(S$124:S$127,$D1088)*$E1088*INDEX(S$128:S$144,$F1088)</f>
        <v/>
      </c>
      <c r="T1088" s="36">
        <f>INDEX(T$124:T$127,$D1088)*$E1088*INDEX(T$128:T$144,$F1088)</f>
        <v/>
      </c>
      <c r="U1088" s="36">
        <f>INDEX(U$124:U$127,$D1088)*$E1088*INDEX(U$128:U$144,$F1088)</f>
        <v/>
      </c>
      <c r="V1088" s="36">
        <f>INDEX(V$124:V$127,$D1088)*$E1088*INDEX(V$128:V$144,$F1088)</f>
        <v/>
      </c>
      <c r="W1088" s="36">
        <f>INDEX(W$124:W$127,$D1088)*$E1088*INDEX(W$128:W$144,$F1088)</f>
        <v/>
      </c>
      <c r="X1088" s="36">
        <f>INDEX(X$124:X$127,$D1088)*$E1088*INDEX(X$128:X$144,$F1088)</f>
        <v/>
      </c>
      <c r="Y1088" s="36">
        <f>INDEX(Y$124:Y$127,$D1088)*$E1088*INDEX(Y$128:Y$144,$F1088)</f>
        <v/>
      </c>
      <c r="Z1088" s="23">
        <f>LOWER(Settings!$C$4)&amp;".mit."&amp;$A1088&amp;IF($C1088="","","."&amp;$C1088&amp;"."&amp;$B1088)&amp;IF(INDEX(Variables!$D$5:$D$65,MATCH($A1088,Variables!$A$5:$A$65,0))="","","."&amp;INDEX(Variables!$D$5:$D$65,MATCH($A1088,Variables!$A$5:$A$65,0)))&amp;"."&amp;Z$5</f>
        <v/>
      </c>
      <c r="AA1088" s="38">
        <f>INDEX(AA$124:AA$127,$D1088)*$E1088*INDEX(AA$128:AA$144,$F1088)</f>
        <v/>
      </c>
      <c r="AB1088" s="36">
        <f>INDEX(AB$124:AB$127,$D1088)*$E1088*INDEX(AB$128:AB$144,$F1088)</f>
        <v/>
      </c>
      <c r="AC1088" s="36">
        <f>INDEX(AC$124:AC$127,$D1088)*$E1088*INDEX(AC$128:AC$144,$F1088)</f>
        <v/>
      </c>
      <c r="AD1088" s="36">
        <f>INDEX(AD$124:AD$127,$D1088)*$E1088*INDEX(AD$128:AD$144,$F1088)</f>
        <v/>
      </c>
      <c r="AE1088" s="36">
        <f>INDEX(AE$124:AE$127,$D1088)*$E1088*INDEX(AE$128:AE$144,$F1088)</f>
        <v/>
      </c>
      <c r="AF1088" s="36">
        <f>INDEX(AF$124:AF$127,$D1088)*$E1088*INDEX(AF$128:AF$144,$F1088)</f>
        <v/>
      </c>
      <c r="AG1088" s="36">
        <f>INDEX(AG$124:AG$127,$D1088)*$E1088*INDEX(AG$128:AG$144,$F1088)</f>
        <v/>
      </c>
      <c r="AH1088" s="36">
        <f>INDEX(AH$124:AH$127,$D1088)*$E1088*INDEX(AH$128:AH$144,$F1088)</f>
        <v/>
      </c>
      <c r="AI1088" s="36">
        <f>INDEX(AI$124:AI$127,$D1088)*$E1088*INDEX(AI$128:AI$144,$F1088)</f>
        <v/>
      </c>
      <c r="AJ1088" s="36">
        <f>INDEX(AJ$124:AJ$127,$D1088)*$E1088*INDEX(AJ$128:AJ$144,$F1088)</f>
        <v/>
      </c>
      <c r="AK1088" s="36">
        <f>INDEX(AK$124:AK$127,$D1088)*$E1088*INDEX(AK$128:AK$144,$F1088)</f>
        <v/>
      </c>
      <c r="AL1088" s="36">
        <f>INDEX(AL$124:AL$127,$D1088)*$E1088*INDEX(AL$128:AL$144,$F1088)</f>
        <v/>
      </c>
      <c r="AM1088" s="36">
        <f>INDEX(AM$124:AM$127,$D1088)*$E1088*INDEX(AM$128:AM$144,$F1088)</f>
        <v/>
      </c>
      <c r="AN1088" s="36">
        <f>INDEX(AN$124:AN$127,$D1088)*$E1088*INDEX(AN$128:AN$144,$F1088)</f>
        <v/>
      </c>
    </row>
    <row r="1089" hidden="1" outlineLevel="2">
      <c r="A1089" s="5" t="inlineStr">
        <is>
          <t>shp</t>
        </is>
      </c>
      <c r="B1089" s="5" t="inlineStr">
        <is>
          <t>nga</t>
        </is>
      </c>
      <c r="C1089" s="5" t="inlineStr">
        <is>
          <t>omn</t>
        </is>
      </c>
      <c r="D1089" s="36">
        <f>INDEX(Inputs!$M$5:$M$132,MATCH($B1089&amp;"|"&amp;$C1089,Inputs!$A$5:$A$132,0))</f>
        <v/>
      </c>
      <c r="E1089" s="36">
        <f>INDEX(Inputs!$U$5:$U$132,MATCH($B1089&amp;"|"&amp;$C1089,Inputs!$A$5:$A$132,0))</f>
        <v/>
      </c>
      <c r="F1089" s="36">
        <f>INDEX(Inputs!$K$5:$K$132,MATCH($B1089&amp;"|"&amp;$C1089,Inputs!$A$5:$A$132,0))</f>
        <v/>
      </c>
      <c r="G1089" s="37" t="n"/>
      <c r="H1089" s="5">
        <f>INDEX(Variables!$B$5:$B$65,MATCH($A1089,Variables!$A$5:$A$65,0))&amp;IF($C1089="",""," | "&amp;INDEX(Mapping!$B$5:$B$25,MATCH($C1089,Mapping!$A$5:$A$25,0))&amp;" | "&amp;INDEX(Mapping!$B$29:$B$38,MATCH($B1089,Mapping!$A$29:$A$38,0)))</f>
        <v/>
      </c>
      <c r="I1089" s="5">
        <f>INDEX(Variables!$C$5:$C$65,MATCH($A1089,Variables!$A$5:$A$65,0))</f>
        <v/>
      </c>
      <c r="J1089" s="5">
        <f>INDEX(Variables!$E$5:$E$65,MATCH($A1089,Variables!$A$5:$A$65,0))</f>
        <v/>
      </c>
      <c r="K1089" s="23">
        <f>LOWER(Settings!$C$4)&amp;".mit."&amp;$A1089&amp;IF($C1089="","","."&amp;$C1089&amp;"."&amp;$B1089)&amp;IF(INDEX(Variables!$D$5:$D$65,MATCH($A1089,Variables!$A$5:$A$65,0))="","","."&amp;INDEX(Variables!$D$5:$D$65,MATCH($A1089,Variables!$A$5:$A$65,0)))&amp;"."&amp;K$5</f>
        <v/>
      </c>
      <c r="L1089" s="38">
        <f>INDEX(L$124:L$127,$D1089)*$E1089*INDEX(L$128:L$144,$F1089)</f>
        <v/>
      </c>
      <c r="M1089" s="36">
        <f>INDEX(M$124:M$127,$D1089)*$E1089*INDEX(M$128:M$144,$F1089)</f>
        <v/>
      </c>
      <c r="N1089" s="36">
        <f>INDEX(N$124:N$127,$D1089)*$E1089*INDEX(N$128:N$144,$F1089)</f>
        <v/>
      </c>
      <c r="O1089" s="36">
        <f>INDEX(O$124:O$127,$D1089)*$E1089*INDEX(O$128:O$144,$F1089)</f>
        <v/>
      </c>
      <c r="P1089" s="36">
        <f>INDEX(P$124:P$127,$D1089)*$E1089*INDEX(P$128:P$144,$F1089)</f>
        <v/>
      </c>
      <c r="Q1089" s="36">
        <f>INDEX(Q$124:Q$127,$D1089)*$E1089*INDEX(Q$128:Q$144,$F1089)</f>
        <v/>
      </c>
      <c r="R1089" s="36">
        <f>INDEX(R$124:R$127,$D1089)*$E1089*INDEX(R$128:R$144,$F1089)</f>
        <v/>
      </c>
      <c r="S1089" s="36">
        <f>INDEX(S$124:S$127,$D1089)*$E1089*INDEX(S$128:S$144,$F1089)</f>
        <v/>
      </c>
      <c r="T1089" s="36">
        <f>INDEX(T$124:T$127,$D1089)*$E1089*INDEX(T$128:T$144,$F1089)</f>
        <v/>
      </c>
      <c r="U1089" s="36">
        <f>INDEX(U$124:U$127,$D1089)*$E1089*INDEX(U$128:U$144,$F1089)</f>
        <v/>
      </c>
      <c r="V1089" s="36">
        <f>INDEX(V$124:V$127,$D1089)*$E1089*INDEX(V$128:V$144,$F1089)</f>
        <v/>
      </c>
      <c r="W1089" s="36">
        <f>INDEX(W$124:W$127,$D1089)*$E1089*INDEX(W$128:W$144,$F1089)</f>
        <v/>
      </c>
      <c r="X1089" s="36">
        <f>INDEX(X$124:X$127,$D1089)*$E1089*INDEX(X$128:X$144,$F1089)</f>
        <v/>
      </c>
      <c r="Y1089" s="36">
        <f>INDEX(Y$124:Y$127,$D1089)*$E1089*INDEX(Y$128:Y$144,$F1089)</f>
        <v/>
      </c>
      <c r="Z1089" s="23">
        <f>LOWER(Settings!$C$4)&amp;".mit."&amp;$A1089&amp;IF($C1089="","","."&amp;$C1089&amp;"."&amp;$B1089)&amp;IF(INDEX(Variables!$D$5:$D$65,MATCH($A1089,Variables!$A$5:$A$65,0))="","","."&amp;INDEX(Variables!$D$5:$D$65,MATCH($A1089,Variables!$A$5:$A$65,0)))&amp;"."&amp;Z$5</f>
        <v/>
      </c>
      <c r="AA1089" s="38">
        <f>INDEX(AA$124:AA$127,$D1089)*$E1089*INDEX(AA$128:AA$144,$F1089)</f>
        <v/>
      </c>
      <c r="AB1089" s="36">
        <f>INDEX(AB$124:AB$127,$D1089)*$E1089*INDEX(AB$128:AB$144,$F1089)</f>
        <v/>
      </c>
      <c r="AC1089" s="36">
        <f>INDEX(AC$124:AC$127,$D1089)*$E1089*INDEX(AC$128:AC$144,$F1089)</f>
        <v/>
      </c>
      <c r="AD1089" s="36">
        <f>INDEX(AD$124:AD$127,$D1089)*$E1089*INDEX(AD$128:AD$144,$F1089)</f>
        <v/>
      </c>
      <c r="AE1089" s="36">
        <f>INDEX(AE$124:AE$127,$D1089)*$E1089*INDEX(AE$128:AE$144,$F1089)</f>
        <v/>
      </c>
      <c r="AF1089" s="36">
        <f>INDEX(AF$124:AF$127,$D1089)*$E1089*INDEX(AF$128:AF$144,$F1089)</f>
        <v/>
      </c>
      <c r="AG1089" s="36">
        <f>INDEX(AG$124:AG$127,$D1089)*$E1089*INDEX(AG$128:AG$144,$F1089)</f>
        <v/>
      </c>
      <c r="AH1089" s="36">
        <f>INDEX(AH$124:AH$127,$D1089)*$E1089*INDEX(AH$128:AH$144,$F1089)</f>
        <v/>
      </c>
      <c r="AI1089" s="36">
        <f>INDEX(AI$124:AI$127,$D1089)*$E1089*INDEX(AI$128:AI$144,$F1089)</f>
        <v/>
      </c>
      <c r="AJ1089" s="36">
        <f>INDEX(AJ$124:AJ$127,$D1089)*$E1089*INDEX(AJ$128:AJ$144,$F1089)</f>
        <v/>
      </c>
      <c r="AK1089" s="36">
        <f>INDEX(AK$124:AK$127,$D1089)*$E1089*INDEX(AK$128:AK$144,$F1089)</f>
        <v/>
      </c>
      <c r="AL1089" s="36">
        <f>INDEX(AL$124:AL$127,$D1089)*$E1089*INDEX(AL$128:AL$144,$F1089)</f>
        <v/>
      </c>
      <c r="AM1089" s="36">
        <f>INDEX(AM$124:AM$127,$D1089)*$E1089*INDEX(AM$128:AM$144,$F1089)</f>
        <v/>
      </c>
      <c r="AN1089" s="36">
        <f>INDEX(AN$124:AN$127,$D1089)*$E1089*INDEX(AN$128:AN$144,$F1089)</f>
        <v/>
      </c>
    </row>
    <row r="1090" hidden="1" outlineLevel="2">
      <c r="A1090" s="5" t="inlineStr">
        <is>
          <t>shp</t>
        </is>
      </c>
      <c r="B1090" s="5" t="inlineStr">
        <is>
          <t>gso</t>
        </is>
      </c>
      <c r="C1090" s="5" t="inlineStr">
        <is>
          <t>omn</t>
        </is>
      </c>
      <c r="D1090" s="36">
        <f>INDEX(Inputs!$M$5:$M$132,MATCH($B1090&amp;"|"&amp;$C1090,Inputs!$A$5:$A$132,0))</f>
        <v/>
      </c>
      <c r="E1090" s="36">
        <f>INDEX(Inputs!$U$5:$U$132,MATCH($B1090&amp;"|"&amp;$C1090,Inputs!$A$5:$A$132,0))</f>
        <v/>
      </c>
      <c r="F1090" s="36">
        <f>INDEX(Inputs!$K$5:$K$132,MATCH($B1090&amp;"|"&amp;$C1090,Inputs!$A$5:$A$132,0))</f>
        <v/>
      </c>
      <c r="G1090" s="37" t="n"/>
      <c r="H1090" s="5">
        <f>INDEX(Variables!$B$5:$B$65,MATCH($A1090,Variables!$A$5:$A$65,0))&amp;IF($C1090="",""," | "&amp;INDEX(Mapping!$B$5:$B$25,MATCH($C1090,Mapping!$A$5:$A$25,0))&amp;" | "&amp;INDEX(Mapping!$B$29:$B$38,MATCH($B1090,Mapping!$A$29:$A$38,0)))</f>
        <v/>
      </c>
      <c r="I1090" s="5">
        <f>INDEX(Variables!$C$5:$C$65,MATCH($A1090,Variables!$A$5:$A$65,0))</f>
        <v/>
      </c>
      <c r="J1090" s="5">
        <f>INDEX(Variables!$E$5:$E$65,MATCH($A1090,Variables!$A$5:$A$65,0))</f>
        <v/>
      </c>
      <c r="K1090" s="23">
        <f>LOWER(Settings!$C$4)&amp;".mit."&amp;$A1090&amp;IF($C1090="","","."&amp;$C1090&amp;"."&amp;$B1090)&amp;IF(INDEX(Variables!$D$5:$D$65,MATCH($A1090,Variables!$A$5:$A$65,0))="","","."&amp;INDEX(Variables!$D$5:$D$65,MATCH($A1090,Variables!$A$5:$A$65,0)))&amp;"."&amp;K$5</f>
        <v/>
      </c>
      <c r="L1090" s="38">
        <f>INDEX(L$124:L$127,$D1090)*$E1090*INDEX(L$128:L$144,$F1090)</f>
        <v/>
      </c>
      <c r="M1090" s="36">
        <f>INDEX(M$124:M$127,$D1090)*$E1090*INDEX(M$128:M$144,$F1090)</f>
        <v/>
      </c>
      <c r="N1090" s="36">
        <f>INDEX(N$124:N$127,$D1090)*$E1090*INDEX(N$128:N$144,$F1090)</f>
        <v/>
      </c>
      <c r="O1090" s="36">
        <f>INDEX(O$124:O$127,$D1090)*$E1090*INDEX(O$128:O$144,$F1090)</f>
        <v/>
      </c>
      <c r="P1090" s="36">
        <f>INDEX(P$124:P$127,$D1090)*$E1090*INDEX(P$128:P$144,$F1090)</f>
        <v/>
      </c>
      <c r="Q1090" s="36">
        <f>INDEX(Q$124:Q$127,$D1090)*$E1090*INDEX(Q$128:Q$144,$F1090)</f>
        <v/>
      </c>
      <c r="R1090" s="36">
        <f>INDEX(R$124:R$127,$D1090)*$E1090*INDEX(R$128:R$144,$F1090)</f>
        <v/>
      </c>
      <c r="S1090" s="36">
        <f>INDEX(S$124:S$127,$D1090)*$E1090*INDEX(S$128:S$144,$F1090)</f>
        <v/>
      </c>
      <c r="T1090" s="36">
        <f>INDEX(T$124:T$127,$D1090)*$E1090*INDEX(T$128:T$144,$F1090)</f>
        <v/>
      </c>
      <c r="U1090" s="36">
        <f>INDEX(U$124:U$127,$D1090)*$E1090*INDEX(U$128:U$144,$F1090)</f>
        <v/>
      </c>
      <c r="V1090" s="36">
        <f>INDEX(V$124:V$127,$D1090)*$E1090*INDEX(V$128:V$144,$F1090)</f>
        <v/>
      </c>
      <c r="W1090" s="36">
        <f>INDEX(W$124:W$127,$D1090)*$E1090*INDEX(W$128:W$144,$F1090)</f>
        <v/>
      </c>
      <c r="X1090" s="36">
        <f>INDEX(X$124:X$127,$D1090)*$E1090*INDEX(X$128:X$144,$F1090)</f>
        <v/>
      </c>
      <c r="Y1090" s="36">
        <f>INDEX(Y$124:Y$127,$D1090)*$E1090*INDEX(Y$128:Y$144,$F1090)</f>
        <v/>
      </c>
      <c r="Z1090" s="23">
        <f>LOWER(Settings!$C$4)&amp;".mit."&amp;$A1090&amp;IF($C1090="","","."&amp;$C1090&amp;"."&amp;$B1090)&amp;IF(INDEX(Variables!$D$5:$D$65,MATCH($A1090,Variables!$A$5:$A$65,0))="","","."&amp;INDEX(Variables!$D$5:$D$65,MATCH($A1090,Variables!$A$5:$A$65,0)))&amp;"."&amp;Z$5</f>
        <v/>
      </c>
      <c r="AA1090" s="38">
        <f>INDEX(AA$124:AA$127,$D1090)*$E1090*INDEX(AA$128:AA$144,$F1090)</f>
        <v/>
      </c>
      <c r="AB1090" s="36">
        <f>INDEX(AB$124:AB$127,$D1090)*$E1090*INDEX(AB$128:AB$144,$F1090)</f>
        <v/>
      </c>
      <c r="AC1090" s="36">
        <f>INDEX(AC$124:AC$127,$D1090)*$E1090*INDEX(AC$128:AC$144,$F1090)</f>
        <v/>
      </c>
      <c r="AD1090" s="36">
        <f>INDEX(AD$124:AD$127,$D1090)*$E1090*INDEX(AD$128:AD$144,$F1090)</f>
        <v/>
      </c>
      <c r="AE1090" s="36">
        <f>INDEX(AE$124:AE$127,$D1090)*$E1090*INDEX(AE$128:AE$144,$F1090)</f>
        <v/>
      </c>
      <c r="AF1090" s="36">
        <f>INDEX(AF$124:AF$127,$D1090)*$E1090*INDEX(AF$128:AF$144,$F1090)</f>
        <v/>
      </c>
      <c r="AG1090" s="36">
        <f>INDEX(AG$124:AG$127,$D1090)*$E1090*INDEX(AG$128:AG$144,$F1090)</f>
        <v/>
      </c>
      <c r="AH1090" s="36">
        <f>INDEX(AH$124:AH$127,$D1090)*$E1090*INDEX(AH$128:AH$144,$F1090)</f>
        <v/>
      </c>
      <c r="AI1090" s="36">
        <f>INDEX(AI$124:AI$127,$D1090)*$E1090*INDEX(AI$128:AI$144,$F1090)</f>
        <v/>
      </c>
      <c r="AJ1090" s="36">
        <f>INDEX(AJ$124:AJ$127,$D1090)*$E1090*INDEX(AJ$128:AJ$144,$F1090)</f>
        <v/>
      </c>
      <c r="AK1090" s="36">
        <f>INDEX(AK$124:AK$127,$D1090)*$E1090*INDEX(AK$128:AK$144,$F1090)</f>
        <v/>
      </c>
      <c r="AL1090" s="36">
        <f>INDEX(AL$124:AL$127,$D1090)*$E1090*INDEX(AL$128:AL$144,$F1090)</f>
        <v/>
      </c>
      <c r="AM1090" s="36">
        <f>INDEX(AM$124:AM$127,$D1090)*$E1090*INDEX(AM$128:AM$144,$F1090)</f>
        <v/>
      </c>
      <c r="AN1090" s="36">
        <f>INDEX(AN$124:AN$127,$D1090)*$E1090*INDEX(AN$128:AN$144,$F1090)</f>
        <v/>
      </c>
    </row>
    <row r="1091" hidden="1" outlineLevel="2">
      <c r="A1091" s="5" t="inlineStr">
        <is>
          <t>shp</t>
        </is>
      </c>
      <c r="B1091" s="5" t="inlineStr">
        <is>
          <t>die</t>
        </is>
      </c>
      <c r="C1091" s="5" t="inlineStr">
        <is>
          <t>omn</t>
        </is>
      </c>
      <c r="D1091" s="36">
        <f>INDEX(Inputs!$M$5:$M$132,MATCH($B1091&amp;"|"&amp;$C1091,Inputs!$A$5:$A$132,0))</f>
        <v/>
      </c>
      <c r="E1091" s="36">
        <f>INDEX(Inputs!$U$5:$U$132,MATCH($B1091&amp;"|"&amp;$C1091,Inputs!$A$5:$A$132,0))</f>
        <v/>
      </c>
      <c r="F1091" s="36">
        <f>INDEX(Inputs!$K$5:$K$132,MATCH($B1091&amp;"|"&amp;$C1091,Inputs!$A$5:$A$132,0))</f>
        <v/>
      </c>
      <c r="G1091" s="37" t="n"/>
      <c r="H1091" s="5">
        <f>INDEX(Variables!$B$5:$B$65,MATCH($A1091,Variables!$A$5:$A$65,0))&amp;IF($C1091="",""," | "&amp;INDEX(Mapping!$B$5:$B$25,MATCH($C1091,Mapping!$A$5:$A$25,0))&amp;" | "&amp;INDEX(Mapping!$B$29:$B$38,MATCH($B1091,Mapping!$A$29:$A$38,0)))</f>
        <v/>
      </c>
      <c r="I1091" s="5">
        <f>INDEX(Variables!$C$5:$C$65,MATCH($A1091,Variables!$A$5:$A$65,0))</f>
        <v/>
      </c>
      <c r="J1091" s="5">
        <f>INDEX(Variables!$E$5:$E$65,MATCH($A1091,Variables!$A$5:$A$65,0))</f>
        <v/>
      </c>
      <c r="K1091" s="23">
        <f>LOWER(Settings!$C$4)&amp;".mit."&amp;$A1091&amp;IF($C1091="","","."&amp;$C1091&amp;"."&amp;$B1091)&amp;IF(INDEX(Variables!$D$5:$D$65,MATCH($A1091,Variables!$A$5:$A$65,0))="","","."&amp;INDEX(Variables!$D$5:$D$65,MATCH($A1091,Variables!$A$5:$A$65,0)))&amp;"."&amp;K$5</f>
        <v/>
      </c>
      <c r="L1091" s="38">
        <f>INDEX(L$124:L$127,$D1091)*$E1091*INDEX(L$128:L$144,$F1091)</f>
        <v/>
      </c>
      <c r="M1091" s="36">
        <f>INDEX(M$124:M$127,$D1091)*$E1091*INDEX(M$128:M$144,$F1091)</f>
        <v/>
      </c>
      <c r="N1091" s="36">
        <f>INDEX(N$124:N$127,$D1091)*$E1091*INDEX(N$128:N$144,$F1091)</f>
        <v/>
      </c>
      <c r="O1091" s="36">
        <f>INDEX(O$124:O$127,$D1091)*$E1091*INDEX(O$128:O$144,$F1091)</f>
        <v/>
      </c>
      <c r="P1091" s="36">
        <f>INDEX(P$124:P$127,$D1091)*$E1091*INDEX(P$128:P$144,$F1091)</f>
        <v/>
      </c>
      <c r="Q1091" s="36">
        <f>INDEX(Q$124:Q$127,$D1091)*$E1091*INDEX(Q$128:Q$144,$F1091)</f>
        <v/>
      </c>
      <c r="R1091" s="36">
        <f>INDEX(R$124:R$127,$D1091)*$E1091*INDEX(R$128:R$144,$F1091)</f>
        <v/>
      </c>
      <c r="S1091" s="36">
        <f>INDEX(S$124:S$127,$D1091)*$E1091*INDEX(S$128:S$144,$F1091)</f>
        <v/>
      </c>
      <c r="T1091" s="36">
        <f>INDEX(T$124:T$127,$D1091)*$E1091*INDEX(T$128:T$144,$F1091)</f>
        <v/>
      </c>
      <c r="U1091" s="36">
        <f>INDEX(U$124:U$127,$D1091)*$E1091*INDEX(U$128:U$144,$F1091)</f>
        <v/>
      </c>
      <c r="V1091" s="36">
        <f>INDEX(V$124:V$127,$D1091)*$E1091*INDEX(V$128:V$144,$F1091)</f>
        <v/>
      </c>
      <c r="W1091" s="36">
        <f>INDEX(W$124:W$127,$D1091)*$E1091*INDEX(W$128:W$144,$F1091)</f>
        <v/>
      </c>
      <c r="X1091" s="36">
        <f>INDEX(X$124:X$127,$D1091)*$E1091*INDEX(X$128:X$144,$F1091)</f>
        <v/>
      </c>
      <c r="Y1091" s="36">
        <f>INDEX(Y$124:Y$127,$D1091)*$E1091*INDEX(Y$128:Y$144,$F1091)</f>
        <v/>
      </c>
      <c r="Z1091" s="23">
        <f>LOWER(Settings!$C$4)&amp;".mit."&amp;$A1091&amp;IF($C1091="","","."&amp;$C1091&amp;"."&amp;$B1091)&amp;IF(INDEX(Variables!$D$5:$D$65,MATCH($A1091,Variables!$A$5:$A$65,0))="","","."&amp;INDEX(Variables!$D$5:$D$65,MATCH($A1091,Variables!$A$5:$A$65,0)))&amp;"."&amp;Z$5</f>
        <v/>
      </c>
      <c r="AA1091" s="38">
        <f>INDEX(AA$124:AA$127,$D1091)*$E1091*INDEX(AA$128:AA$144,$F1091)</f>
        <v/>
      </c>
      <c r="AB1091" s="36">
        <f>INDEX(AB$124:AB$127,$D1091)*$E1091*INDEX(AB$128:AB$144,$F1091)</f>
        <v/>
      </c>
      <c r="AC1091" s="36">
        <f>INDEX(AC$124:AC$127,$D1091)*$E1091*INDEX(AC$128:AC$144,$F1091)</f>
        <v/>
      </c>
      <c r="AD1091" s="36">
        <f>INDEX(AD$124:AD$127,$D1091)*$E1091*INDEX(AD$128:AD$144,$F1091)</f>
        <v/>
      </c>
      <c r="AE1091" s="36">
        <f>INDEX(AE$124:AE$127,$D1091)*$E1091*INDEX(AE$128:AE$144,$F1091)</f>
        <v/>
      </c>
      <c r="AF1091" s="36">
        <f>INDEX(AF$124:AF$127,$D1091)*$E1091*INDEX(AF$128:AF$144,$F1091)</f>
        <v/>
      </c>
      <c r="AG1091" s="36">
        <f>INDEX(AG$124:AG$127,$D1091)*$E1091*INDEX(AG$128:AG$144,$F1091)</f>
        <v/>
      </c>
      <c r="AH1091" s="36">
        <f>INDEX(AH$124:AH$127,$D1091)*$E1091*INDEX(AH$128:AH$144,$F1091)</f>
        <v/>
      </c>
      <c r="AI1091" s="36">
        <f>INDEX(AI$124:AI$127,$D1091)*$E1091*INDEX(AI$128:AI$144,$F1091)</f>
        <v/>
      </c>
      <c r="AJ1091" s="36">
        <f>INDEX(AJ$124:AJ$127,$D1091)*$E1091*INDEX(AJ$128:AJ$144,$F1091)</f>
        <v/>
      </c>
      <c r="AK1091" s="36">
        <f>INDEX(AK$124:AK$127,$D1091)*$E1091*INDEX(AK$128:AK$144,$F1091)</f>
        <v/>
      </c>
      <c r="AL1091" s="36">
        <f>INDEX(AL$124:AL$127,$D1091)*$E1091*INDEX(AL$128:AL$144,$F1091)</f>
        <v/>
      </c>
      <c r="AM1091" s="36">
        <f>INDEX(AM$124:AM$127,$D1091)*$E1091*INDEX(AM$128:AM$144,$F1091)</f>
        <v/>
      </c>
      <c r="AN1091" s="36">
        <f>INDEX(AN$124:AN$127,$D1091)*$E1091*INDEX(AN$128:AN$144,$F1091)</f>
        <v/>
      </c>
    </row>
    <row r="1092" hidden="1" outlineLevel="2">
      <c r="A1092" s="5" t="inlineStr">
        <is>
          <t>shp</t>
        </is>
      </c>
      <c r="B1092" s="5" t="inlineStr">
        <is>
          <t>lpg</t>
        </is>
      </c>
      <c r="C1092" s="5" t="inlineStr">
        <is>
          <t>omn</t>
        </is>
      </c>
      <c r="D1092" s="36">
        <f>INDEX(Inputs!$M$5:$M$132,MATCH($B1092&amp;"|"&amp;$C1092,Inputs!$A$5:$A$132,0))</f>
        <v/>
      </c>
      <c r="E1092" s="36">
        <f>INDEX(Inputs!$U$5:$U$132,MATCH($B1092&amp;"|"&amp;$C1092,Inputs!$A$5:$A$132,0))</f>
        <v/>
      </c>
      <c r="F1092" s="36">
        <f>INDEX(Inputs!$K$5:$K$132,MATCH($B1092&amp;"|"&amp;$C1092,Inputs!$A$5:$A$132,0))</f>
        <v/>
      </c>
      <c r="G1092" s="37" t="n"/>
      <c r="H1092" s="5">
        <f>INDEX(Variables!$B$5:$B$65,MATCH($A1092,Variables!$A$5:$A$65,0))&amp;IF($C1092="",""," | "&amp;INDEX(Mapping!$B$5:$B$25,MATCH($C1092,Mapping!$A$5:$A$25,0))&amp;" | "&amp;INDEX(Mapping!$B$29:$B$38,MATCH($B1092,Mapping!$A$29:$A$38,0)))</f>
        <v/>
      </c>
      <c r="I1092" s="5">
        <f>INDEX(Variables!$C$5:$C$65,MATCH($A1092,Variables!$A$5:$A$65,0))</f>
        <v/>
      </c>
      <c r="J1092" s="5">
        <f>INDEX(Variables!$E$5:$E$65,MATCH($A1092,Variables!$A$5:$A$65,0))</f>
        <v/>
      </c>
      <c r="K1092" s="23">
        <f>LOWER(Settings!$C$4)&amp;".mit."&amp;$A1092&amp;IF($C1092="","","."&amp;$C1092&amp;"."&amp;$B1092)&amp;IF(INDEX(Variables!$D$5:$D$65,MATCH($A1092,Variables!$A$5:$A$65,0))="","","."&amp;INDEX(Variables!$D$5:$D$65,MATCH($A1092,Variables!$A$5:$A$65,0)))&amp;"."&amp;K$5</f>
        <v/>
      </c>
      <c r="L1092" s="38">
        <f>INDEX(L$124:L$127,$D1092)*$E1092*INDEX(L$128:L$144,$F1092)</f>
        <v/>
      </c>
      <c r="M1092" s="36">
        <f>INDEX(M$124:M$127,$D1092)*$E1092*INDEX(M$128:M$144,$F1092)</f>
        <v/>
      </c>
      <c r="N1092" s="36">
        <f>INDEX(N$124:N$127,$D1092)*$E1092*INDEX(N$128:N$144,$F1092)</f>
        <v/>
      </c>
      <c r="O1092" s="36">
        <f>INDEX(O$124:O$127,$D1092)*$E1092*INDEX(O$128:O$144,$F1092)</f>
        <v/>
      </c>
      <c r="P1092" s="36">
        <f>INDEX(P$124:P$127,$D1092)*$E1092*INDEX(P$128:P$144,$F1092)</f>
        <v/>
      </c>
      <c r="Q1092" s="36">
        <f>INDEX(Q$124:Q$127,$D1092)*$E1092*INDEX(Q$128:Q$144,$F1092)</f>
        <v/>
      </c>
      <c r="R1092" s="36">
        <f>INDEX(R$124:R$127,$D1092)*$E1092*INDEX(R$128:R$144,$F1092)</f>
        <v/>
      </c>
      <c r="S1092" s="36">
        <f>INDEX(S$124:S$127,$D1092)*$E1092*INDEX(S$128:S$144,$F1092)</f>
        <v/>
      </c>
      <c r="T1092" s="36">
        <f>INDEX(T$124:T$127,$D1092)*$E1092*INDEX(T$128:T$144,$F1092)</f>
        <v/>
      </c>
      <c r="U1092" s="36">
        <f>INDEX(U$124:U$127,$D1092)*$E1092*INDEX(U$128:U$144,$F1092)</f>
        <v/>
      </c>
      <c r="V1092" s="36">
        <f>INDEX(V$124:V$127,$D1092)*$E1092*INDEX(V$128:V$144,$F1092)</f>
        <v/>
      </c>
      <c r="W1092" s="36">
        <f>INDEX(W$124:W$127,$D1092)*$E1092*INDEX(W$128:W$144,$F1092)</f>
        <v/>
      </c>
      <c r="X1092" s="36">
        <f>INDEX(X$124:X$127,$D1092)*$E1092*INDEX(X$128:X$144,$F1092)</f>
        <v/>
      </c>
      <c r="Y1092" s="36">
        <f>INDEX(Y$124:Y$127,$D1092)*$E1092*INDEX(Y$128:Y$144,$F1092)</f>
        <v/>
      </c>
      <c r="Z1092" s="23">
        <f>LOWER(Settings!$C$4)&amp;".mit."&amp;$A1092&amp;IF($C1092="","","."&amp;$C1092&amp;"."&amp;$B1092)&amp;IF(INDEX(Variables!$D$5:$D$65,MATCH($A1092,Variables!$A$5:$A$65,0))="","","."&amp;INDEX(Variables!$D$5:$D$65,MATCH($A1092,Variables!$A$5:$A$65,0)))&amp;"."&amp;Z$5</f>
        <v/>
      </c>
      <c r="AA1092" s="38">
        <f>INDEX(AA$124:AA$127,$D1092)*$E1092*INDEX(AA$128:AA$144,$F1092)</f>
        <v/>
      </c>
      <c r="AB1092" s="36">
        <f>INDEX(AB$124:AB$127,$D1092)*$E1092*INDEX(AB$128:AB$144,$F1092)</f>
        <v/>
      </c>
      <c r="AC1092" s="36">
        <f>INDEX(AC$124:AC$127,$D1092)*$E1092*INDEX(AC$128:AC$144,$F1092)</f>
        <v/>
      </c>
      <c r="AD1092" s="36">
        <f>INDEX(AD$124:AD$127,$D1092)*$E1092*INDEX(AD$128:AD$144,$F1092)</f>
        <v/>
      </c>
      <c r="AE1092" s="36">
        <f>INDEX(AE$124:AE$127,$D1092)*$E1092*INDEX(AE$128:AE$144,$F1092)</f>
        <v/>
      </c>
      <c r="AF1092" s="36">
        <f>INDEX(AF$124:AF$127,$D1092)*$E1092*INDEX(AF$128:AF$144,$F1092)</f>
        <v/>
      </c>
      <c r="AG1092" s="36">
        <f>INDEX(AG$124:AG$127,$D1092)*$E1092*INDEX(AG$128:AG$144,$F1092)</f>
        <v/>
      </c>
      <c r="AH1092" s="36">
        <f>INDEX(AH$124:AH$127,$D1092)*$E1092*INDEX(AH$128:AH$144,$F1092)</f>
        <v/>
      </c>
      <c r="AI1092" s="36">
        <f>INDEX(AI$124:AI$127,$D1092)*$E1092*INDEX(AI$128:AI$144,$F1092)</f>
        <v/>
      </c>
      <c r="AJ1092" s="36">
        <f>INDEX(AJ$124:AJ$127,$D1092)*$E1092*INDEX(AJ$128:AJ$144,$F1092)</f>
        <v/>
      </c>
      <c r="AK1092" s="36">
        <f>INDEX(AK$124:AK$127,$D1092)*$E1092*INDEX(AK$128:AK$144,$F1092)</f>
        <v/>
      </c>
      <c r="AL1092" s="36">
        <f>INDEX(AL$124:AL$127,$D1092)*$E1092*INDEX(AL$128:AL$144,$F1092)</f>
        <v/>
      </c>
      <c r="AM1092" s="36">
        <f>INDEX(AM$124:AM$127,$D1092)*$E1092*INDEX(AM$128:AM$144,$F1092)</f>
        <v/>
      </c>
      <c r="AN1092" s="36">
        <f>INDEX(AN$124:AN$127,$D1092)*$E1092*INDEX(AN$128:AN$144,$F1092)</f>
        <v/>
      </c>
    </row>
    <row r="1093" hidden="1" outlineLevel="2">
      <c r="A1093" s="5" t="inlineStr">
        <is>
          <t>shp</t>
        </is>
      </c>
      <c r="B1093" s="5" t="inlineStr">
        <is>
          <t>ker</t>
        </is>
      </c>
      <c r="C1093" s="5" t="inlineStr">
        <is>
          <t>omn</t>
        </is>
      </c>
      <c r="D1093" s="36">
        <f>INDEX(Inputs!$M$5:$M$132,MATCH($B1093&amp;"|"&amp;$C1093,Inputs!$A$5:$A$132,0))</f>
        <v/>
      </c>
      <c r="E1093" s="36">
        <f>INDEX(Inputs!$U$5:$U$132,MATCH($B1093&amp;"|"&amp;$C1093,Inputs!$A$5:$A$132,0))</f>
        <v/>
      </c>
      <c r="F1093" s="36">
        <f>INDEX(Inputs!$K$5:$K$132,MATCH($B1093&amp;"|"&amp;$C1093,Inputs!$A$5:$A$132,0))</f>
        <v/>
      </c>
      <c r="G1093" s="37" t="n"/>
      <c r="H1093" s="5">
        <f>INDEX(Variables!$B$5:$B$65,MATCH($A1093,Variables!$A$5:$A$65,0))&amp;IF($C1093="",""," | "&amp;INDEX(Mapping!$B$5:$B$25,MATCH($C1093,Mapping!$A$5:$A$25,0))&amp;" | "&amp;INDEX(Mapping!$B$29:$B$38,MATCH($B1093,Mapping!$A$29:$A$38,0)))</f>
        <v/>
      </c>
      <c r="I1093" s="5">
        <f>INDEX(Variables!$C$5:$C$65,MATCH($A1093,Variables!$A$5:$A$65,0))</f>
        <v/>
      </c>
      <c r="J1093" s="5">
        <f>INDEX(Variables!$E$5:$E$65,MATCH($A1093,Variables!$A$5:$A$65,0))</f>
        <v/>
      </c>
      <c r="K1093" s="23">
        <f>LOWER(Settings!$C$4)&amp;".mit."&amp;$A1093&amp;IF($C1093="","","."&amp;$C1093&amp;"."&amp;$B1093)&amp;IF(INDEX(Variables!$D$5:$D$65,MATCH($A1093,Variables!$A$5:$A$65,0))="","","."&amp;INDEX(Variables!$D$5:$D$65,MATCH($A1093,Variables!$A$5:$A$65,0)))&amp;"."&amp;K$5</f>
        <v/>
      </c>
      <c r="L1093" s="38">
        <f>INDEX(L$124:L$127,$D1093)*$E1093*INDEX(L$128:L$144,$F1093)</f>
        <v/>
      </c>
      <c r="M1093" s="36">
        <f>INDEX(M$124:M$127,$D1093)*$E1093*INDEX(M$128:M$144,$F1093)</f>
        <v/>
      </c>
      <c r="N1093" s="36">
        <f>INDEX(N$124:N$127,$D1093)*$E1093*INDEX(N$128:N$144,$F1093)</f>
        <v/>
      </c>
      <c r="O1093" s="36">
        <f>INDEX(O$124:O$127,$D1093)*$E1093*INDEX(O$128:O$144,$F1093)</f>
        <v/>
      </c>
      <c r="P1093" s="36">
        <f>INDEX(P$124:P$127,$D1093)*$E1093*INDEX(P$128:P$144,$F1093)</f>
        <v/>
      </c>
      <c r="Q1093" s="36">
        <f>INDEX(Q$124:Q$127,$D1093)*$E1093*INDEX(Q$128:Q$144,$F1093)</f>
        <v/>
      </c>
      <c r="R1093" s="36">
        <f>INDEX(R$124:R$127,$D1093)*$E1093*INDEX(R$128:R$144,$F1093)</f>
        <v/>
      </c>
      <c r="S1093" s="36">
        <f>INDEX(S$124:S$127,$D1093)*$E1093*INDEX(S$128:S$144,$F1093)</f>
        <v/>
      </c>
      <c r="T1093" s="36">
        <f>INDEX(T$124:T$127,$D1093)*$E1093*INDEX(T$128:T$144,$F1093)</f>
        <v/>
      </c>
      <c r="U1093" s="36">
        <f>INDEX(U$124:U$127,$D1093)*$E1093*INDEX(U$128:U$144,$F1093)</f>
        <v/>
      </c>
      <c r="V1093" s="36">
        <f>INDEX(V$124:V$127,$D1093)*$E1093*INDEX(V$128:V$144,$F1093)</f>
        <v/>
      </c>
      <c r="W1093" s="36">
        <f>INDEX(W$124:W$127,$D1093)*$E1093*INDEX(W$128:W$144,$F1093)</f>
        <v/>
      </c>
      <c r="X1093" s="36">
        <f>INDEX(X$124:X$127,$D1093)*$E1093*INDEX(X$128:X$144,$F1093)</f>
        <v/>
      </c>
      <c r="Y1093" s="36">
        <f>INDEX(Y$124:Y$127,$D1093)*$E1093*INDEX(Y$128:Y$144,$F1093)</f>
        <v/>
      </c>
      <c r="Z1093" s="23">
        <f>LOWER(Settings!$C$4)&amp;".mit."&amp;$A1093&amp;IF($C1093="","","."&amp;$C1093&amp;"."&amp;$B1093)&amp;IF(INDEX(Variables!$D$5:$D$65,MATCH($A1093,Variables!$A$5:$A$65,0))="","","."&amp;INDEX(Variables!$D$5:$D$65,MATCH($A1093,Variables!$A$5:$A$65,0)))&amp;"."&amp;Z$5</f>
        <v/>
      </c>
      <c r="AA1093" s="38">
        <f>INDEX(AA$124:AA$127,$D1093)*$E1093*INDEX(AA$128:AA$144,$F1093)</f>
        <v/>
      </c>
      <c r="AB1093" s="36">
        <f>INDEX(AB$124:AB$127,$D1093)*$E1093*INDEX(AB$128:AB$144,$F1093)</f>
        <v/>
      </c>
      <c r="AC1093" s="36">
        <f>INDEX(AC$124:AC$127,$D1093)*$E1093*INDEX(AC$128:AC$144,$F1093)</f>
        <v/>
      </c>
      <c r="AD1093" s="36">
        <f>INDEX(AD$124:AD$127,$D1093)*$E1093*INDEX(AD$128:AD$144,$F1093)</f>
        <v/>
      </c>
      <c r="AE1093" s="36">
        <f>INDEX(AE$124:AE$127,$D1093)*$E1093*INDEX(AE$128:AE$144,$F1093)</f>
        <v/>
      </c>
      <c r="AF1093" s="36">
        <f>INDEX(AF$124:AF$127,$D1093)*$E1093*INDEX(AF$128:AF$144,$F1093)</f>
        <v/>
      </c>
      <c r="AG1093" s="36">
        <f>INDEX(AG$124:AG$127,$D1093)*$E1093*INDEX(AG$128:AG$144,$F1093)</f>
        <v/>
      </c>
      <c r="AH1093" s="36">
        <f>INDEX(AH$124:AH$127,$D1093)*$E1093*INDEX(AH$128:AH$144,$F1093)</f>
        <v/>
      </c>
      <c r="AI1093" s="36">
        <f>INDEX(AI$124:AI$127,$D1093)*$E1093*INDEX(AI$128:AI$144,$F1093)</f>
        <v/>
      </c>
      <c r="AJ1093" s="36">
        <f>INDEX(AJ$124:AJ$127,$D1093)*$E1093*INDEX(AJ$128:AJ$144,$F1093)</f>
        <v/>
      </c>
      <c r="AK1093" s="36">
        <f>INDEX(AK$124:AK$127,$D1093)*$E1093*INDEX(AK$128:AK$144,$F1093)</f>
        <v/>
      </c>
      <c r="AL1093" s="36">
        <f>INDEX(AL$124:AL$127,$D1093)*$E1093*INDEX(AL$128:AL$144,$F1093)</f>
        <v/>
      </c>
      <c r="AM1093" s="36">
        <f>INDEX(AM$124:AM$127,$D1093)*$E1093*INDEX(AM$128:AM$144,$F1093)</f>
        <v/>
      </c>
      <c r="AN1093" s="36">
        <f>INDEX(AN$124:AN$127,$D1093)*$E1093*INDEX(AN$128:AN$144,$F1093)</f>
        <v/>
      </c>
    </row>
    <row r="1094" hidden="1" outlineLevel="2">
      <c r="A1094" s="5" t="inlineStr">
        <is>
          <t>shp</t>
        </is>
      </c>
      <c r="B1094" s="5" t="inlineStr">
        <is>
          <t>oop</t>
        </is>
      </c>
      <c r="C1094" s="5" t="inlineStr">
        <is>
          <t>omn</t>
        </is>
      </c>
      <c r="D1094" s="36">
        <f>INDEX(Inputs!$M$5:$M$132,MATCH($B1094&amp;"|"&amp;$C1094,Inputs!$A$5:$A$132,0))</f>
        <v/>
      </c>
      <c r="E1094" s="36">
        <f>INDEX(Inputs!$U$5:$U$132,MATCH($B1094&amp;"|"&amp;$C1094,Inputs!$A$5:$A$132,0))</f>
        <v/>
      </c>
      <c r="F1094" s="36">
        <f>INDEX(Inputs!$K$5:$K$132,MATCH($B1094&amp;"|"&amp;$C1094,Inputs!$A$5:$A$132,0))</f>
        <v/>
      </c>
      <c r="G1094" s="37" t="n"/>
      <c r="H1094" s="5">
        <f>INDEX(Variables!$B$5:$B$65,MATCH($A1094,Variables!$A$5:$A$65,0))&amp;IF($C1094="",""," | "&amp;INDEX(Mapping!$B$5:$B$25,MATCH($C1094,Mapping!$A$5:$A$25,0))&amp;" | "&amp;INDEX(Mapping!$B$29:$B$38,MATCH($B1094,Mapping!$A$29:$A$38,0)))</f>
        <v/>
      </c>
      <c r="I1094" s="5">
        <f>INDEX(Variables!$C$5:$C$65,MATCH($A1094,Variables!$A$5:$A$65,0))</f>
        <v/>
      </c>
      <c r="J1094" s="5">
        <f>INDEX(Variables!$E$5:$E$65,MATCH($A1094,Variables!$A$5:$A$65,0))</f>
        <v/>
      </c>
      <c r="K1094" s="23">
        <f>LOWER(Settings!$C$4)&amp;".mit."&amp;$A1094&amp;IF($C1094="","","."&amp;$C1094&amp;"."&amp;$B1094)&amp;IF(INDEX(Variables!$D$5:$D$65,MATCH($A1094,Variables!$A$5:$A$65,0))="","","."&amp;INDEX(Variables!$D$5:$D$65,MATCH($A1094,Variables!$A$5:$A$65,0)))&amp;"."&amp;K$5</f>
        <v/>
      </c>
      <c r="L1094" s="38">
        <f>INDEX(L$124:L$127,$D1094)*$E1094*INDEX(L$128:L$144,$F1094)</f>
        <v/>
      </c>
      <c r="M1094" s="36">
        <f>INDEX(M$124:M$127,$D1094)*$E1094*INDEX(M$128:M$144,$F1094)</f>
        <v/>
      </c>
      <c r="N1094" s="36">
        <f>INDEX(N$124:N$127,$D1094)*$E1094*INDEX(N$128:N$144,$F1094)</f>
        <v/>
      </c>
      <c r="O1094" s="36">
        <f>INDEX(O$124:O$127,$D1094)*$E1094*INDEX(O$128:O$144,$F1094)</f>
        <v/>
      </c>
      <c r="P1094" s="36">
        <f>INDEX(P$124:P$127,$D1094)*$E1094*INDEX(P$128:P$144,$F1094)</f>
        <v/>
      </c>
      <c r="Q1094" s="36">
        <f>INDEX(Q$124:Q$127,$D1094)*$E1094*INDEX(Q$128:Q$144,$F1094)</f>
        <v/>
      </c>
      <c r="R1094" s="36">
        <f>INDEX(R$124:R$127,$D1094)*$E1094*INDEX(R$128:R$144,$F1094)</f>
        <v/>
      </c>
      <c r="S1094" s="36">
        <f>INDEX(S$124:S$127,$D1094)*$E1094*INDEX(S$128:S$144,$F1094)</f>
        <v/>
      </c>
      <c r="T1094" s="36">
        <f>INDEX(T$124:T$127,$D1094)*$E1094*INDEX(T$128:T$144,$F1094)</f>
        <v/>
      </c>
      <c r="U1094" s="36">
        <f>INDEX(U$124:U$127,$D1094)*$E1094*INDEX(U$128:U$144,$F1094)</f>
        <v/>
      </c>
      <c r="V1094" s="36">
        <f>INDEX(V$124:V$127,$D1094)*$E1094*INDEX(V$128:V$144,$F1094)</f>
        <v/>
      </c>
      <c r="W1094" s="36">
        <f>INDEX(W$124:W$127,$D1094)*$E1094*INDEX(W$128:W$144,$F1094)</f>
        <v/>
      </c>
      <c r="X1094" s="36">
        <f>INDEX(X$124:X$127,$D1094)*$E1094*INDEX(X$128:X$144,$F1094)</f>
        <v/>
      </c>
      <c r="Y1094" s="36">
        <f>INDEX(Y$124:Y$127,$D1094)*$E1094*INDEX(Y$128:Y$144,$F1094)</f>
        <v/>
      </c>
      <c r="Z1094" s="23">
        <f>LOWER(Settings!$C$4)&amp;".mit."&amp;$A1094&amp;IF($C1094="","","."&amp;$C1094&amp;"."&amp;$B1094)&amp;IF(INDEX(Variables!$D$5:$D$65,MATCH($A1094,Variables!$A$5:$A$65,0))="","","."&amp;INDEX(Variables!$D$5:$D$65,MATCH($A1094,Variables!$A$5:$A$65,0)))&amp;"."&amp;Z$5</f>
        <v/>
      </c>
      <c r="AA1094" s="38">
        <f>INDEX(AA$124:AA$127,$D1094)*$E1094*INDEX(AA$128:AA$144,$F1094)</f>
        <v/>
      </c>
      <c r="AB1094" s="36">
        <f>INDEX(AB$124:AB$127,$D1094)*$E1094*INDEX(AB$128:AB$144,$F1094)</f>
        <v/>
      </c>
      <c r="AC1094" s="36">
        <f>INDEX(AC$124:AC$127,$D1094)*$E1094*INDEX(AC$128:AC$144,$F1094)</f>
        <v/>
      </c>
      <c r="AD1094" s="36">
        <f>INDEX(AD$124:AD$127,$D1094)*$E1094*INDEX(AD$128:AD$144,$F1094)</f>
        <v/>
      </c>
      <c r="AE1094" s="36">
        <f>INDEX(AE$124:AE$127,$D1094)*$E1094*INDEX(AE$128:AE$144,$F1094)</f>
        <v/>
      </c>
      <c r="AF1094" s="36">
        <f>INDEX(AF$124:AF$127,$D1094)*$E1094*INDEX(AF$128:AF$144,$F1094)</f>
        <v/>
      </c>
      <c r="AG1094" s="36">
        <f>INDEX(AG$124:AG$127,$D1094)*$E1094*INDEX(AG$128:AG$144,$F1094)</f>
        <v/>
      </c>
      <c r="AH1094" s="36">
        <f>INDEX(AH$124:AH$127,$D1094)*$E1094*INDEX(AH$128:AH$144,$F1094)</f>
        <v/>
      </c>
      <c r="AI1094" s="36">
        <f>INDEX(AI$124:AI$127,$D1094)*$E1094*INDEX(AI$128:AI$144,$F1094)</f>
        <v/>
      </c>
      <c r="AJ1094" s="36">
        <f>INDEX(AJ$124:AJ$127,$D1094)*$E1094*INDEX(AJ$128:AJ$144,$F1094)</f>
        <v/>
      </c>
      <c r="AK1094" s="36">
        <f>INDEX(AK$124:AK$127,$D1094)*$E1094*INDEX(AK$128:AK$144,$F1094)</f>
        <v/>
      </c>
      <c r="AL1094" s="36">
        <f>INDEX(AL$124:AL$127,$D1094)*$E1094*INDEX(AL$128:AL$144,$F1094)</f>
        <v/>
      </c>
      <c r="AM1094" s="36">
        <f>INDEX(AM$124:AM$127,$D1094)*$E1094*INDEX(AM$128:AM$144,$F1094)</f>
        <v/>
      </c>
      <c r="AN1094" s="36">
        <f>INDEX(AN$124:AN$127,$D1094)*$E1094*INDEX(AN$128:AN$144,$F1094)</f>
        <v/>
      </c>
    </row>
    <row r="1095" hidden="1" outlineLevel="2">
      <c r="A1095" s="5" t="inlineStr">
        <is>
          <t>shp</t>
        </is>
      </c>
      <c r="B1095" s="5" t="inlineStr">
        <is>
          <t>bio</t>
        </is>
      </c>
      <c r="C1095" s="5" t="inlineStr">
        <is>
          <t>omn</t>
        </is>
      </c>
      <c r="D1095" s="36">
        <f>INDEX(Inputs!$M$5:$M$132,MATCH($B1095&amp;"|"&amp;$C1095,Inputs!$A$5:$A$132,0))</f>
        <v/>
      </c>
      <c r="E1095" s="36">
        <f>INDEX(Inputs!$U$5:$U$132,MATCH($B1095&amp;"|"&amp;$C1095,Inputs!$A$5:$A$132,0))</f>
        <v/>
      </c>
      <c r="F1095" s="36">
        <f>INDEX(Inputs!$K$5:$K$132,MATCH($B1095&amp;"|"&amp;$C1095,Inputs!$A$5:$A$132,0))</f>
        <v/>
      </c>
      <c r="G1095" s="37" t="n"/>
      <c r="H1095" s="5">
        <f>INDEX(Variables!$B$5:$B$65,MATCH($A1095,Variables!$A$5:$A$65,0))&amp;IF($C1095="",""," | "&amp;INDEX(Mapping!$B$5:$B$25,MATCH($C1095,Mapping!$A$5:$A$25,0))&amp;" | "&amp;INDEX(Mapping!$B$29:$B$38,MATCH($B1095,Mapping!$A$29:$A$38,0)))</f>
        <v/>
      </c>
      <c r="I1095" s="5">
        <f>INDEX(Variables!$C$5:$C$65,MATCH($A1095,Variables!$A$5:$A$65,0))</f>
        <v/>
      </c>
      <c r="J1095" s="5">
        <f>INDEX(Variables!$E$5:$E$65,MATCH($A1095,Variables!$A$5:$A$65,0))</f>
        <v/>
      </c>
      <c r="K1095" s="23">
        <f>LOWER(Settings!$C$4)&amp;".mit."&amp;$A1095&amp;IF($C1095="","","."&amp;$C1095&amp;"."&amp;$B1095)&amp;IF(INDEX(Variables!$D$5:$D$65,MATCH($A1095,Variables!$A$5:$A$65,0))="","","."&amp;INDEX(Variables!$D$5:$D$65,MATCH($A1095,Variables!$A$5:$A$65,0)))&amp;"."&amp;K$5</f>
        <v/>
      </c>
      <c r="L1095" s="38">
        <f>INDEX(L$124:L$127,$D1095)*$E1095*INDEX(L$128:L$144,$F1095)</f>
        <v/>
      </c>
      <c r="M1095" s="36">
        <f>INDEX(M$124:M$127,$D1095)*$E1095*INDEX(M$128:M$144,$F1095)</f>
        <v/>
      </c>
      <c r="N1095" s="36">
        <f>INDEX(N$124:N$127,$D1095)*$E1095*INDEX(N$128:N$144,$F1095)</f>
        <v/>
      </c>
      <c r="O1095" s="36">
        <f>INDEX(O$124:O$127,$D1095)*$E1095*INDEX(O$128:O$144,$F1095)</f>
        <v/>
      </c>
      <c r="P1095" s="36">
        <f>INDEX(P$124:P$127,$D1095)*$E1095*INDEX(P$128:P$144,$F1095)</f>
        <v/>
      </c>
      <c r="Q1095" s="36">
        <f>INDEX(Q$124:Q$127,$D1095)*$E1095*INDEX(Q$128:Q$144,$F1095)</f>
        <v/>
      </c>
      <c r="R1095" s="36">
        <f>INDEX(R$124:R$127,$D1095)*$E1095*INDEX(R$128:R$144,$F1095)</f>
        <v/>
      </c>
      <c r="S1095" s="36">
        <f>INDEX(S$124:S$127,$D1095)*$E1095*INDEX(S$128:S$144,$F1095)</f>
        <v/>
      </c>
      <c r="T1095" s="36">
        <f>INDEX(T$124:T$127,$D1095)*$E1095*INDEX(T$128:T$144,$F1095)</f>
        <v/>
      </c>
      <c r="U1095" s="36">
        <f>INDEX(U$124:U$127,$D1095)*$E1095*INDEX(U$128:U$144,$F1095)</f>
        <v/>
      </c>
      <c r="V1095" s="36">
        <f>INDEX(V$124:V$127,$D1095)*$E1095*INDEX(V$128:V$144,$F1095)</f>
        <v/>
      </c>
      <c r="W1095" s="36">
        <f>INDEX(W$124:W$127,$D1095)*$E1095*INDEX(W$128:W$144,$F1095)</f>
        <v/>
      </c>
      <c r="X1095" s="36">
        <f>INDEX(X$124:X$127,$D1095)*$E1095*INDEX(X$128:X$144,$F1095)</f>
        <v/>
      </c>
      <c r="Y1095" s="36">
        <f>INDEX(Y$124:Y$127,$D1095)*$E1095*INDEX(Y$128:Y$144,$F1095)</f>
        <v/>
      </c>
      <c r="Z1095" s="23">
        <f>LOWER(Settings!$C$4)&amp;".mit."&amp;$A1095&amp;IF($C1095="","","."&amp;$C1095&amp;"."&amp;$B1095)&amp;IF(INDEX(Variables!$D$5:$D$65,MATCH($A1095,Variables!$A$5:$A$65,0))="","","."&amp;INDEX(Variables!$D$5:$D$65,MATCH($A1095,Variables!$A$5:$A$65,0)))&amp;"."&amp;Z$5</f>
        <v/>
      </c>
      <c r="AA1095" s="38">
        <f>INDEX(AA$124:AA$127,$D1095)*$E1095*INDEX(AA$128:AA$144,$F1095)</f>
        <v/>
      </c>
      <c r="AB1095" s="36">
        <f>INDEX(AB$124:AB$127,$D1095)*$E1095*INDEX(AB$128:AB$144,$F1095)</f>
        <v/>
      </c>
      <c r="AC1095" s="36">
        <f>INDEX(AC$124:AC$127,$D1095)*$E1095*INDEX(AC$128:AC$144,$F1095)</f>
        <v/>
      </c>
      <c r="AD1095" s="36">
        <f>INDEX(AD$124:AD$127,$D1095)*$E1095*INDEX(AD$128:AD$144,$F1095)</f>
        <v/>
      </c>
      <c r="AE1095" s="36">
        <f>INDEX(AE$124:AE$127,$D1095)*$E1095*INDEX(AE$128:AE$144,$F1095)</f>
        <v/>
      </c>
      <c r="AF1095" s="36">
        <f>INDEX(AF$124:AF$127,$D1095)*$E1095*INDEX(AF$128:AF$144,$F1095)</f>
        <v/>
      </c>
      <c r="AG1095" s="36">
        <f>INDEX(AG$124:AG$127,$D1095)*$E1095*INDEX(AG$128:AG$144,$F1095)</f>
        <v/>
      </c>
      <c r="AH1095" s="36">
        <f>INDEX(AH$124:AH$127,$D1095)*$E1095*INDEX(AH$128:AH$144,$F1095)</f>
        <v/>
      </c>
      <c r="AI1095" s="36">
        <f>INDEX(AI$124:AI$127,$D1095)*$E1095*INDEX(AI$128:AI$144,$F1095)</f>
        <v/>
      </c>
      <c r="AJ1095" s="36">
        <f>INDEX(AJ$124:AJ$127,$D1095)*$E1095*INDEX(AJ$128:AJ$144,$F1095)</f>
        <v/>
      </c>
      <c r="AK1095" s="36">
        <f>INDEX(AK$124:AK$127,$D1095)*$E1095*INDEX(AK$128:AK$144,$F1095)</f>
        <v/>
      </c>
      <c r="AL1095" s="36">
        <f>INDEX(AL$124:AL$127,$D1095)*$E1095*INDEX(AL$128:AL$144,$F1095)</f>
        <v/>
      </c>
      <c r="AM1095" s="36">
        <f>INDEX(AM$124:AM$127,$D1095)*$E1095*INDEX(AM$128:AM$144,$F1095)</f>
        <v/>
      </c>
      <c r="AN1095" s="36">
        <f>INDEX(AN$124:AN$127,$D1095)*$E1095*INDEX(AN$128:AN$144,$F1095)</f>
        <v/>
      </c>
    </row>
    <row r="1096" hidden="1" outlineLevel="2"/>
    <row r="1097" hidden="1" outlineLevel="2">
      <c r="A1097" s="5" t="inlineStr">
        <is>
          <t>ener</t>
        </is>
      </c>
      <c r="B1097" s="5" t="inlineStr">
        <is>
          <t>coa</t>
        </is>
      </c>
      <c r="C1097" s="5" t="inlineStr">
        <is>
          <t>omn</t>
        </is>
      </c>
      <c r="D1097" s="36">
        <f>INDEX(Inputs!$N$5:$N$132,MATCH($B1097&amp;"|"&amp;$C1097,Inputs!$A$5:$A$132,0))</f>
        <v/>
      </c>
      <c r="E1097" s="36">
        <f>INDEX(Inputs!$O$5:$O$132,MATCH($B1097&amp;"|"&amp;$C1097,Inputs!$A$5:$A$132,0))</f>
        <v/>
      </c>
      <c r="F1097" s="36">
        <f>INDEX(Inputs!$P$5:$P$132,MATCH($B1097&amp;"|"&amp;$C1097,Inputs!$A$5:$A$132,0))</f>
        <v/>
      </c>
      <c r="G1097" s="36">
        <f>INDEX(Inputs!$Q$5:$Q$132,MATCH($B1097&amp;"|"&amp;$C1097,Inputs!$A$5:$A$132,0))</f>
        <v/>
      </c>
      <c r="H1097" s="5">
        <f>INDEX(Variables!$B$5:$B$65,MATCH($A1097,Variables!$A$5:$A$65,0))&amp;IF($C1097="",""," | "&amp;INDEX(Mapping!$B$5:$B$25,MATCH($C1097,Mapping!$A$5:$A$25,0))&amp;" | "&amp;INDEX(Mapping!$B$29:$B$38,MATCH($B1097,Mapping!$A$29:$A$38,0)))</f>
        <v/>
      </c>
      <c r="I1097" s="5">
        <f>INDEX(Variables!$C$5:$C$65,MATCH($A1097,Variables!$A$5:$A$65,0))</f>
        <v/>
      </c>
      <c r="J1097" s="5">
        <f>INDEX(Variables!$E$5:$E$65,MATCH($A1097,Variables!$A$5:$A$65,0))</f>
        <v/>
      </c>
      <c r="K1097" s="23">
        <f>LOWER(Settings!$C$4)&amp;".mit."&amp;$A1097&amp;IF($C1097="","","."&amp;$C1097&amp;"."&amp;$B1097)&amp;IF(INDEX(Variables!$D$5:$D$65,MATCH($A1097,Variables!$A$5:$A$65,0))="","","."&amp;INDEX(Variables!$D$5:$D$65,MATCH($A1097,Variables!$A$5:$A$65,0)))&amp;"."&amp;K$5</f>
        <v/>
      </c>
      <c r="L1097" s="40">
        <f>INDEX(Inputs!$V$5:$V$132,MATCH($B1097&amp;"|"&amp;$C1097,Inputs!$A$5:$A$132,0))</f>
        <v/>
      </c>
      <c r="M1097" s="41">
        <f>L1097*(1/(1+$G1097))^(1+$E1097)*(1+M$7)^$D1097*(M1079/L1079)^$E1097*((M1079+M1088)/(L1079+L1088))^($F1097*(1+$E1097))</f>
        <v/>
      </c>
      <c r="N1097" s="41">
        <f>M1097*(1/(1+$G1097))^(1+$E1097)*(1+N$7)^$D1097*(N1079/M1079)^$E1097*((N1079+N1088)/(M1079+M1088))^($F1097*(1+$E1097))</f>
        <v/>
      </c>
      <c r="O1097" s="41">
        <f>N1097*(1/(1+$G1097))^(1+$E1097)*(1+O$7)^$D1097*(O1079/N1079)^$E1097*((O1079+O1088)/(N1079+N1088))^($F1097*(1+$E1097))</f>
        <v/>
      </c>
      <c r="P1097" s="41">
        <f>O1097*(1/(1+$G1097))^(1+$E1097)*(1+P$7)^$D1097*(P1079/O1079)^$E1097*((P1079+P1088)/(O1079+O1088))^($F1097*(1+$E1097))</f>
        <v/>
      </c>
      <c r="Q1097" s="41">
        <f>P1097*(1/(1+$G1097))^(1+$E1097)*(1+Q$7)^$D1097*(Q1079/P1079)^$E1097*((Q1079+Q1088)/(P1079+P1088))^($F1097*(1+$E1097))</f>
        <v/>
      </c>
      <c r="R1097" s="41">
        <f>Q1097*(1/(1+$G1097))^(1+$E1097)*(1+R$7)^$D1097*(R1079/Q1079)^$E1097*((R1079+R1088)/(Q1079+Q1088))^($F1097*(1+$E1097))</f>
        <v/>
      </c>
      <c r="S1097" s="41">
        <f>R1097*(1/(1+$G1097))^(1+$E1097)*(1+S$7)^$D1097*(S1079/R1079)^$E1097*((S1079+S1088)/(R1079+R1088))^($F1097*(1+$E1097))</f>
        <v/>
      </c>
      <c r="T1097" s="41">
        <f>S1097*(1/(1+$G1097))^(1+$E1097)*(1+T$7)^$D1097*(T1079/S1079)^$E1097*((T1079+T1088)/(S1079+S1088))^($F1097*(1+$E1097))</f>
        <v/>
      </c>
      <c r="U1097" s="41">
        <f>T1097*(1/(1+$G1097))^(1+$E1097)*(1+U$7)^$D1097*(U1079/T1079)^$E1097*((U1079+U1088)/(T1079+T1088))^($F1097*(1+$E1097))</f>
        <v/>
      </c>
      <c r="V1097" s="41">
        <f>U1097*(1/(1+$G1097))^(1+$E1097)*(1+V$7)^$D1097*(V1079/U1079)^$E1097*((V1079+V1088)/(U1079+U1088))^($F1097*(1+$E1097))</f>
        <v/>
      </c>
      <c r="W1097" s="41">
        <f>V1097*(1/(1+$G1097))^(1+$E1097)*(1+W$7)^$D1097*(W1079/V1079)^$E1097*((W1079+W1088)/(V1079+V1088))^($F1097*(1+$E1097))</f>
        <v/>
      </c>
      <c r="X1097" s="41">
        <f>W1097*(1/(1+$G1097))^(1+$E1097)*(1+X$7)^$D1097*(X1079/W1079)^$E1097*((X1079+X1088)/(W1079+W1088))^($F1097*(1+$E1097))</f>
        <v/>
      </c>
      <c r="Y1097" s="42">
        <f>FUELUSE(X1097,Y1079,X1079,Y1088,X1088,Y$7,$D1097,$E1097,$F1097,$G1097)</f>
        <v/>
      </c>
      <c r="Z1097" s="23">
        <f>LOWER(Settings!$C$4)&amp;".mit."&amp;$A1097&amp;IF($C1097="","","."&amp;$C1097&amp;"."&amp;$B1097)&amp;IF(INDEX(Variables!$D$5:$D$65,MATCH($A1097,Variables!$A$5:$A$65,0))="","","."&amp;INDEX(Variables!$D$5:$D$65,MATCH($A1097,Variables!$A$5:$A$65,0)))&amp;"."&amp;Z$5</f>
        <v/>
      </c>
      <c r="AA1097" s="40">
        <f>INDEX(Inputs!$V$5:$V$132,MATCH($B1097&amp;"|"&amp;$C1097,Inputs!$A$5:$A$132,0))</f>
        <v/>
      </c>
      <c r="AB1097" s="41">
        <f>AA1097*(1/(1+$G1097))^(1+$E1097)*(1+AB$7)^$D1097*(AB1079/AA1079)^$E1097*((AB1079+AB1088)/(AA1079+AA1088))^($F1097*(1+$E1097))</f>
        <v/>
      </c>
      <c r="AC1097" s="41">
        <f>AB1097*(1/(1+$G1097))^(1+$E1097)*(1+AC$7)^$D1097*(AC1079/AB1079)^$E1097*((AC1079+AC1088)/(AB1079+AB1088))^($F1097*(1+$E1097))</f>
        <v/>
      </c>
      <c r="AD1097" s="41">
        <f>AC1097*(1/(1+$G1097))^(1+$E1097)*(1+AD$7)^$D1097*(AD1079/AC1079)^$E1097*((AD1079+AD1088)/(AC1079+AC1088))^($F1097*(1+$E1097))</f>
        <v/>
      </c>
      <c r="AE1097" s="41">
        <f>AD1097*(1/(1+$G1097))^(1+$E1097)*(1+AE$7)^$D1097*(AE1079/AD1079)^$E1097*((AE1079+AE1088)/(AD1079+AD1088))^($F1097*(1+$E1097))</f>
        <v/>
      </c>
      <c r="AF1097" s="41">
        <f>AE1097*(1/(1+$G1097))^(1+$E1097)*(1+AF$7)^$D1097*(AF1079/AE1079)^$E1097*((AF1079+AF1088)/(AE1079+AE1088))^($F1097*(1+$E1097))</f>
        <v/>
      </c>
      <c r="AG1097" s="41">
        <f>AF1097*(1/(1+$G1097))^(1+$E1097)*(1+AG$7)^$D1097*(AG1079/AF1079)^$E1097*((AG1079+AG1088)/(AF1079+AF1088))^($F1097*(1+$E1097))</f>
        <v/>
      </c>
      <c r="AH1097" s="41">
        <f>AG1097*(1/(1+$G1097))^(1+$E1097)*(1+AH$7)^$D1097*(AH1079/AG1079)^$E1097*((AH1079+AH1088)/(AG1079+AG1088))^($F1097*(1+$E1097))</f>
        <v/>
      </c>
      <c r="AI1097" s="41">
        <f>AH1097*(1/(1+$G1097))^(1+$E1097)*(1+AI$7)^$D1097*(AI1079/AH1079)^$E1097*((AI1079+AI1088)/(AH1079+AH1088))^($F1097*(1+$E1097))</f>
        <v/>
      </c>
      <c r="AJ1097" s="41">
        <f>AI1097*(1/(1+$G1097))^(1+$E1097)*(1+AJ$7)^$D1097*(AJ1079/AI1079)^$E1097*((AJ1079+AJ1088)/(AI1079+AI1088))^($F1097*(1+$E1097))</f>
        <v/>
      </c>
      <c r="AK1097" s="41">
        <f>AJ1097*(1/(1+$G1097))^(1+$E1097)*(1+AK$7)^$D1097*(AK1079/AJ1079)^$E1097*((AK1079+AK1088)/(AJ1079+AJ1088))^($F1097*(1+$E1097))</f>
        <v/>
      </c>
      <c r="AL1097" s="41">
        <f>AK1097*(1/(1+$G1097))^(1+$E1097)*(1+AL$7)^$D1097*(AL1079/AK1079)^$E1097*((AL1079+AL1088)/(AK1079+AK1088))^($F1097*(1+$E1097))</f>
        <v/>
      </c>
      <c r="AM1097" s="41">
        <f>AL1097*(1/(1+$G1097))^(1+$E1097)*(1+AM$7)^$D1097*(AM1079/AL1079)^$E1097*((AM1079+AM1088)/(AL1079+AL1088))^($F1097*(1+$E1097))</f>
        <v/>
      </c>
      <c r="AN1097" s="42">
        <f>FUELUSE(AM1097,AN1079,AM1079,AN1088,AM1088,AN$7,$D1097,$E1097,$F1097,$G1097)</f>
        <v/>
      </c>
    </row>
    <row r="1098" hidden="1" outlineLevel="2">
      <c r="A1098" s="5" t="inlineStr">
        <is>
          <t>ener</t>
        </is>
      </c>
      <c r="B1098" s="5" t="inlineStr">
        <is>
          <t>nga</t>
        </is>
      </c>
      <c r="C1098" s="5" t="inlineStr">
        <is>
          <t>omn</t>
        </is>
      </c>
      <c r="D1098" s="36">
        <f>INDEX(Inputs!$N$5:$N$132,MATCH($B1098&amp;"|"&amp;$C1098,Inputs!$A$5:$A$132,0))</f>
        <v/>
      </c>
      <c r="E1098" s="36">
        <f>INDEX(Inputs!$O$5:$O$132,MATCH($B1098&amp;"|"&amp;$C1098,Inputs!$A$5:$A$132,0))</f>
        <v/>
      </c>
      <c r="F1098" s="36">
        <f>INDEX(Inputs!$P$5:$P$132,MATCH($B1098&amp;"|"&amp;$C1098,Inputs!$A$5:$A$132,0))</f>
        <v/>
      </c>
      <c r="G1098" s="36">
        <f>INDEX(Inputs!$Q$5:$Q$132,MATCH($B1098&amp;"|"&amp;$C1098,Inputs!$A$5:$A$132,0))</f>
        <v/>
      </c>
      <c r="H1098" s="5">
        <f>INDEX(Variables!$B$5:$B$65,MATCH($A1098,Variables!$A$5:$A$65,0))&amp;IF($C1098="",""," | "&amp;INDEX(Mapping!$B$5:$B$25,MATCH($C1098,Mapping!$A$5:$A$25,0))&amp;" | "&amp;INDEX(Mapping!$B$29:$B$38,MATCH($B1098,Mapping!$A$29:$A$38,0)))</f>
        <v/>
      </c>
      <c r="I1098" s="5">
        <f>INDEX(Variables!$C$5:$C$65,MATCH($A1098,Variables!$A$5:$A$65,0))</f>
        <v/>
      </c>
      <c r="J1098" s="5">
        <f>INDEX(Variables!$E$5:$E$65,MATCH($A1098,Variables!$A$5:$A$65,0))</f>
        <v/>
      </c>
      <c r="K1098" s="23">
        <f>LOWER(Settings!$C$4)&amp;".mit."&amp;$A1098&amp;IF($C1098="","","."&amp;$C1098&amp;"."&amp;$B1098)&amp;IF(INDEX(Variables!$D$5:$D$65,MATCH($A1098,Variables!$A$5:$A$65,0))="","","."&amp;INDEX(Variables!$D$5:$D$65,MATCH($A1098,Variables!$A$5:$A$65,0)))&amp;"."&amp;K$5</f>
        <v/>
      </c>
      <c r="L1098" s="40">
        <f>INDEX(Inputs!$V$5:$V$132,MATCH($B1098&amp;"|"&amp;$C1098,Inputs!$A$5:$A$132,0))</f>
        <v/>
      </c>
      <c r="M1098" s="41">
        <f>L1098*(1/(1+$G1098))^(1+$E1098)*(1+M$7)^$D1098*(M1080/L1080)^$E1098*((M1080+M1089)/(L1080+L1089))^($F1098*(1+$E1098))</f>
        <v/>
      </c>
      <c r="N1098" s="41">
        <f>M1098*(1/(1+$G1098))^(1+$E1098)*(1+N$7)^$D1098*(N1080/M1080)^$E1098*((N1080+N1089)/(M1080+M1089))^($F1098*(1+$E1098))</f>
        <v/>
      </c>
      <c r="O1098" s="41">
        <f>N1098*(1/(1+$G1098))^(1+$E1098)*(1+O$7)^$D1098*(O1080/N1080)^$E1098*((O1080+O1089)/(N1080+N1089))^($F1098*(1+$E1098))</f>
        <v/>
      </c>
      <c r="P1098" s="41">
        <f>O1098*(1/(1+$G1098))^(1+$E1098)*(1+P$7)^$D1098*(P1080/O1080)^$E1098*((P1080+P1089)/(O1080+O1089))^($F1098*(1+$E1098))</f>
        <v/>
      </c>
      <c r="Q1098" s="41">
        <f>P1098*(1/(1+$G1098))^(1+$E1098)*(1+Q$7)^$D1098*(Q1080/P1080)^$E1098*((Q1080+Q1089)/(P1080+P1089))^($F1098*(1+$E1098))</f>
        <v/>
      </c>
      <c r="R1098" s="41">
        <f>Q1098*(1/(1+$G1098))^(1+$E1098)*(1+R$7)^$D1098*(R1080/Q1080)^$E1098*((R1080+R1089)/(Q1080+Q1089))^($F1098*(1+$E1098))</f>
        <v/>
      </c>
      <c r="S1098" s="41">
        <f>R1098*(1/(1+$G1098))^(1+$E1098)*(1+S$7)^$D1098*(S1080/R1080)^$E1098*((S1080+S1089)/(R1080+R1089))^($F1098*(1+$E1098))</f>
        <v/>
      </c>
      <c r="T1098" s="41">
        <f>S1098*(1/(1+$G1098))^(1+$E1098)*(1+T$7)^$D1098*(T1080/S1080)^$E1098*((T1080+T1089)/(S1080+S1089))^($F1098*(1+$E1098))</f>
        <v/>
      </c>
      <c r="U1098" s="41">
        <f>T1098*(1/(1+$G1098))^(1+$E1098)*(1+U$7)^$D1098*(U1080/T1080)^$E1098*((U1080+U1089)/(T1080+T1089))^($F1098*(1+$E1098))</f>
        <v/>
      </c>
      <c r="V1098" s="41">
        <f>U1098*(1/(1+$G1098))^(1+$E1098)*(1+V$7)^$D1098*(V1080/U1080)^$E1098*((V1080+V1089)/(U1080+U1089))^($F1098*(1+$E1098))</f>
        <v/>
      </c>
      <c r="W1098" s="41">
        <f>V1098*(1/(1+$G1098))^(1+$E1098)*(1+W$7)^$D1098*(W1080/V1080)^$E1098*((W1080+W1089)/(V1080+V1089))^($F1098*(1+$E1098))</f>
        <v/>
      </c>
      <c r="X1098" s="41">
        <f>W1098*(1/(1+$G1098))^(1+$E1098)*(1+X$7)^$D1098*(X1080/W1080)^$E1098*((X1080+X1089)/(W1080+W1089))^($F1098*(1+$E1098))</f>
        <v/>
      </c>
      <c r="Y1098" s="42">
        <f>FUELUSE(X1098,Y1080,X1080,Y1089,X1089,Y$7,$D1098,$E1098,$F1098,$G1098)</f>
        <v/>
      </c>
      <c r="Z1098" s="23">
        <f>LOWER(Settings!$C$4)&amp;".mit."&amp;$A1098&amp;IF($C1098="","","."&amp;$C1098&amp;"."&amp;$B1098)&amp;IF(INDEX(Variables!$D$5:$D$65,MATCH($A1098,Variables!$A$5:$A$65,0))="","","."&amp;INDEX(Variables!$D$5:$D$65,MATCH($A1098,Variables!$A$5:$A$65,0)))&amp;"."&amp;Z$5</f>
        <v/>
      </c>
      <c r="AA1098" s="40">
        <f>INDEX(Inputs!$V$5:$V$132,MATCH($B1098&amp;"|"&amp;$C1098,Inputs!$A$5:$A$132,0))</f>
        <v/>
      </c>
      <c r="AB1098" s="41">
        <f>AA1098*(1/(1+$G1098))^(1+$E1098)*(1+AB$7)^$D1098*(AB1080/AA1080)^$E1098*((AB1080+AB1089)/(AA1080+AA1089))^($F1098*(1+$E1098))</f>
        <v/>
      </c>
      <c r="AC1098" s="41">
        <f>AB1098*(1/(1+$G1098))^(1+$E1098)*(1+AC$7)^$D1098*(AC1080/AB1080)^$E1098*((AC1080+AC1089)/(AB1080+AB1089))^($F1098*(1+$E1098))</f>
        <v/>
      </c>
      <c r="AD1098" s="41">
        <f>AC1098*(1/(1+$G1098))^(1+$E1098)*(1+AD$7)^$D1098*(AD1080/AC1080)^$E1098*((AD1080+AD1089)/(AC1080+AC1089))^($F1098*(1+$E1098))</f>
        <v/>
      </c>
      <c r="AE1098" s="41">
        <f>AD1098*(1/(1+$G1098))^(1+$E1098)*(1+AE$7)^$D1098*(AE1080/AD1080)^$E1098*((AE1080+AE1089)/(AD1080+AD1089))^($F1098*(1+$E1098))</f>
        <v/>
      </c>
      <c r="AF1098" s="41">
        <f>AE1098*(1/(1+$G1098))^(1+$E1098)*(1+AF$7)^$D1098*(AF1080/AE1080)^$E1098*((AF1080+AF1089)/(AE1080+AE1089))^($F1098*(1+$E1098))</f>
        <v/>
      </c>
      <c r="AG1098" s="41">
        <f>AF1098*(1/(1+$G1098))^(1+$E1098)*(1+AG$7)^$D1098*(AG1080/AF1080)^$E1098*((AG1080+AG1089)/(AF1080+AF1089))^($F1098*(1+$E1098))</f>
        <v/>
      </c>
      <c r="AH1098" s="41">
        <f>AG1098*(1/(1+$G1098))^(1+$E1098)*(1+AH$7)^$D1098*(AH1080/AG1080)^$E1098*((AH1080+AH1089)/(AG1080+AG1089))^($F1098*(1+$E1098))</f>
        <v/>
      </c>
      <c r="AI1098" s="41">
        <f>AH1098*(1/(1+$G1098))^(1+$E1098)*(1+AI$7)^$D1098*(AI1080/AH1080)^$E1098*((AI1080+AI1089)/(AH1080+AH1089))^($F1098*(1+$E1098))</f>
        <v/>
      </c>
      <c r="AJ1098" s="41">
        <f>AI1098*(1/(1+$G1098))^(1+$E1098)*(1+AJ$7)^$D1098*(AJ1080/AI1080)^$E1098*((AJ1080+AJ1089)/(AI1080+AI1089))^($F1098*(1+$E1098))</f>
        <v/>
      </c>
      <c r="AK1098" s="41">
        <f>AJ1098*(1/(1+$G1098))^(1+$E1098)*(1+AK$7)^$D1098*(AK1080/AJ1080)^$E1098*((AK1080+AK1089)/(AJ1080+AJ1089))^($F1098*(1+$E1098))</f>
        <v/>
      </c>
      <c r="AL1098" s="41">
        <f>AK1098*(1/(1+$G1098))^(1+$E1098)*(1+AL$7)^$D1098*(AL1080/AK1080)^$E1098*((AL1080+AL1089)/(AK1080+AK1089))^($F1098*(1+$E1098))</f>
        <v/>
      </c>
      <c r="AM1098" s="41">
        <f>AL1098*(1/(1+$G1098))^(1+$E1098)*(1+AM$7)^$D1098*(AM1080/AL1080)^$E1098*((AM1080+AM1089)/(AL1080+AL1089))^($F1098*(1+$E1098))</f>
        <v/>
      </c>
      <c r="AN1098" s="42">
        <f>FUELUSE(AM1098,AN1080,AM1080,AN1089,AM1089,AN$7,$D1098,$E1098,$F1098,$G1098)</f>
        <v/>
      </c>
    </row>
    <row r="1099" hidden="1" outlineLevel="2">
      <c r="A1099" s="5" t="inlineStr">
        <is>
          <t>ener</t>
        </is>
      </c>
      <c r="B1099" s="5" t="inlineStr">
        <is>
          <t>gso</t>
        </is>
      </c>
      <c r="C1099" s="5" t="inlineStr">
        <is>
          <t>omn</t>
        </is>
      </c>
      <c r="D1099" s="36">
        <f>INDEX(Inputs!$N$5:$N$132,MATCH($B1099&amp;"|"&amp;$C1099,Inputs!$A$5:$A$132,0))</f>
        <v/>
      </c>
      <c r="E1099" s="36">
        <f>INDEX(Inputs!$O$5:$O$132,MATCH($B1099&amp;"|"&amp;$C1099,Inputs!$A$5:$A$132,0))</f>
        <v/>
      </c>
      <c r="F1099" s="36">
        <f>INDEX(Inputs!$P$5:$P$132,MATCH($B1099&amp;"|"&amp;$C1099,Inputs!$A$5:$A$132,0))</f>
        <v/>
      </c>
      <c r="G1099" s="36">
        <f>INDEX(Inputs!$Q$5:$Q$132,MATCH($B1099&amp;"|"&amp;$C1099,Inputs!$A$5:$A$132,0))</f>
        <v/>
      </c>
      <c r="H1099" s="5">
        <f>INDEX(Variables!$B$5:$B$65,MATCH($A1099,Variables!$A$5:$A$65,0))&amp;IF($C1099="",""," | "&amp;INDEX(Mapping!$B$5:$B$25,MATCH($C1099,Mapping!$A$5:$A$25,0))&amp;" | "&amp;INDEX(Mapping!$B$29:$B$38,MATCH($B1099,Mapping!$A$29:$A$38,0)))</f>
        <v/>
      </c>
      <c r="I1099" s="5">
        <f>INDEX(Variables!$C$5:$C$65,MATCH($A1099,Variables!$A$5:$A$65,0))</f>
        <v/>
      </c>
      <c r="J1099" s="5">
        <f>INDEX(Variables!$E$5:$E$65,MATCH($A1099,Variables!$A$5:$A$65,0))</f>
        <v/>
      </c>
      <c r="K1099" s="23">
        <f>LOWER(Settings!$C$4)&amp;".mit."&amp;$A1099&amp;IF($C1099="","","."&amp;$C1099&amp;"."&amp;$B1099)&amp;IF(INDEX(Variables!$D$5:$D$65,MATCH($A1099,Variables!$A$5:$A$65,0))="","","."&amp;INDEX(Variables!$D$5:$D$65,MATCH($A1099,Variables!$A$5:$A$65,0)))&amp;"."&amp;K$5</f>
        <v/>
      </c>
      <c r="L1099" s="40">
        <f>INDEX(Inputs!$V$5:$V$132,MATCH($B1099&amp;"|"&amp;$C1099,Inputs!$A$5:$A$132,0))</f>
        <v/>
      </c>
      <c r="M1099" s="41">
        <f>L1099*(1/(1+$G1099))^(1+$E1099)*(1+M$7)^$D1099*(M1081/L1081)^$E1099*((M1081+M1090)/(L1081+L1090))^($F1099*(1+$E1099))</f>
        <v/>
      </c>
      <c r="N1099" s="41">
        <f>M1099*(1/(1+$G1099))^(1+$E1099)*(1+N$7)^$D1099*(N1081/M1081)^$E1099*((N1081+N1090)/(M1081+M1090))^($F1099*(1+$E1099))</f>
        <v/>
      </c>
      <c r="O1099" s="41">
        <f>N1099*(1/(1+$G1099))^(1+$E1099)*(1+O$7)^$D1099*(O1081/N1081)^$E1099*((O1081+O1090)/(N1081+N1090))^($F1099*(1+$E1099))</f>
        <v/>
      </c>
      <c r="P1099" s="41">
        <f>O1099*(1/(1+$G1099))^(1+$E1099)*(1+P$7)^$D1099*(P1081/O1081)^$E1099*((P1081+P1090)/(O1081+O1090))^($F1099*(1+$E1099))</f>
        <v/>
      </c>
      <c r="Q1099" s="41">
        <f>P1099*(1/(1+$G1099))^(1+$E1099)*(1+Q$7)^$D1099*(Q1081/P1081)^$E1099*((Q1081+Q1090)/(P1081+P1090))^($F1099*(1+$E1099))</f>
        <v/>
      </c>
      <c r="R1099" s="41">
        <f>Q1099*(1/(1+$G1099))^(1+$E1099)*(1+R$7)^$D1099*(R1081/Q1081)^$E1099*((R1081+R1090)/(Q1081+Q1090))^($F1099*(1+$E1099))</f>
        <v/>
      </c>
      <c r="S1099" s="41">
        <f>R1099*(1/(1+$G1099))^(1+$E1099)*(1+S$7)^$D1099*(S1081/R1081)^$E1099*((S1081+S1090)/(R1081+R1090))^($F1099*(1+$E1099))</f>
        <v/>
      </c>
      <c r="T1099" s="41">
        <f>S1099*(1/(1+$G1099))^(1+$E1099)*(1+T$7)^$D1099*(T1081/S1081)^$E1099*((T1081+T1090)/(S1081+S1090))^($F1099*(1+$E1099))</f>
        <v/>
      </c>
      <c r="U1099" s="41">
        <f>T1099*(1/(1+$G1099))^(1+$E1099)*(1+U$7)^$D1099*(U1081/T1081)^$E1099*((U1081+U1090)/(T1081+T1090))^($F1099*(1+$E1099))</f>
        <v/>
      </c>
      <c r="V1099" s="41">
        <f>U1099*(1/(1+$G1099))^(1+$E1099)*(1+V$7)^$D1099*(V1081/U1081)^$E1099*((V1081+V1090)/(U1081+U1090))^($F1099*(1+$E1099))</f>
        <v/>
      </c>
      <c r="W1099" s="41">
        <f>V1099*(1/(1+$G1099))^(1+$E1099)*(1+W$7)^$D1099*(W1081/V1081)^$E1099*((W1081+W1090)/(V1081+V1090))^($F1099*(1+$E1099))</f>
        <v/>
      </c>
      <c r="X1099" s="41">
        <f>W1099*(1/(1+$G1099))^(1+$E1099)*(1+X$7)^$D1099*(X1081/W1081)^$E1099*((X1081+X1090)/(W1081+W1090))^($F1099*(1+$E1099))</f>
        <v/>
      </c>
      <c r="Y1099" s="42">
        <f>FUELUSE(X1099,Y1081,X1081,Y1090,X1090,Y$7,$D1099,$E1099,$F1099,$G1099)</f>
        <v/>
      </c>
      <c r="Z1099" s="23">
        <f>LOWER(Settings!$C$4)&amp;".mit."&amp;$A1099&amp;IF($C1099="","","."&amp;$C1099&amp;"."&amp;$B1099)&amp;IF(INDEX(Variables!$D$5:$D$65,MATCH($A1099,Variables!$A$5:$A$65,0))="","","."&amp;INDEX(Variables!$D$5:$D$65,MATCH($A1099,Variables!$A$5:$A$65,0)))&amp;"."&amp;Z$5</f>
        <v/>
      </c>
      <c r="AA1099" s="40">
        <f>INDEX(Inputs!$V$5:$V$132,MATCH($B1099&amp;"|"&amp;$C1099,Inputs!$A$5:$A$132,0))</f>
        <v/>
      </c>
      <c r="AB1099" s="41">
        <f>AA1099*(1/(1+$G1099))^(1+$E1099)*(1+AB$7)^$D1099*(AB1081/AA1081)^$E1099*((AB1081+AB1090)/(AA1081+AA1090))^($F1099*(1+$E1099))</f>
        <v/>
      </c>
      <c r="AC1099" s="41">
        <f>AB1099*(1/(1+$G1099))^(1+$E1099)*(1+AC$7)^$D1099*(AC1081/AB1081)^$E1099*((AC1081+AC1090)/(AB1081+AB1090))^($F1099*(1+$E1099))</f>
        <v/>
      </c>
      <c r="AD1099" s="41">
        <f>AC1099*(1/(1+$G1099))^(1+$E1099)*(1+AD$7)^$D1099*(AD1081/AC1081)^$E1099*((AD1081+AD1090)/(AC1081+AC1090))^($F1099*(1+$E1099))</f>
        <v/>
      </c>
      <c r="AE1099" s="41">
        <f>AD1099*(1/(1+$G1099))^(1+$E1099)*(1+AE$7)^$D1099*(AE1081/AD1081)^$E1099*((AE1081+AE1090)/(AD1081+AD1090))^($F1099*(1+$E1099))</f>
        <v/>
      </c>
      <c r="AF1099" s="41">
        <f>AE1099*(1/(1+$G1099))^(1+$E1099)*(1+AF$7)^$D1099*(AF1081/AE1081)^$E1099*((AF1081+AF1090)/(AE1081+AE1090))^($F1099*(1+$E1099))</f>
        <v/>
      </c>
      <c r="AG1099" s="41">
        <f>AF1099*(1/(1+$G1099))^(1+$E1099)*(1+AG$7)^$D1099*(AG1081/AF1081)^$E1099*((AG1081+AG1090)/(AF1081+AF1090))^($F1099*(1+$E1099))</f>
        <v/>
      </c>
      <c r="AH1099" s="41">
        <f>AG1099*(1/(1+$G1099))^(1+$E1099)*(1+AH$7)^$D1099*(AH1081/AG1081)^$E1099*((AH1081+AH1090)/(AG1081+AG1090))^($F1099*(1+$E1099))</f>
        <v/>
      </c>
      <c r="AI1099" s="41">
        <f>AH1099*(1/(1+$G1099))^(1+$E1099)*(1+AI$7)^$D1099*(AI1081/AH1081)^$E1099*((AI1081+AI1090)/(AH1081+AH1090))^($F1099*(1+$E1099))</f>
        <v/>
      </c>
      <c r="AJ1099" s="41">
        <f>AI1099*(1/(1+$G1099))^(1+$E1099)*(1+AJ$7)^$D1099*(AJ1081/AI1081)^$E1099*((AJ1081+AJ1090)/(AI1081+AI1090))^($F1099*(1+$E1099))</f>
        <v/>
      </c>
      <c r="AK1099" s="41">
        <f>AJ1099*(1/(1+$G1099))^(1+$E1099)*(1+AK$7)^$D1099*(AK1081/AJ1081)^$E1099*((AK1081+AK1090)/(AJ1081+AJ1090))^($F1099*(1+$E1099))</f>
        <v/>
      </c>
      <c r="AL1099" s="41">
        <f>AK1099*(1/(1+$G1099))^(1+$E1099)*(1+AL$7)^$D1099*(AL1081/AK1081)^$E1099*((AL1081+AL1090)/(AK1081+AK1090))^($F1099*(1+$E1099))</f>
        <v/>
      </c>
      <c r="AM1099" s="41">
        <f>AL1099*(1/(1+$G1099))^(1+$E1099)*(1+AM$7)^$D1099*(AM1081/AL1081)^$E1099*((AM1081+AM1090)/(AL1081+AL1090))^($F1099*(1+$E1099))</f>
        <v/>
      </c>
      <c r="AN1099" s="42">
        <f>FUELUSE(AM1099,AN1081,AM1081,AN1090,AM1090,AN$7,$D1099,$E1099,$F1099,$G1099)</f>
        <v/>
      </c>
    </row>
    <row r="1100" hidden="1" outlineLevel="2">
      <c r="A1100" s="5" t="inlineStr">
        <is>
          <t>ener</t>
        </is>
      </c>
      <c r="B1100" s="5" t="inlineStr">
        <is>
          <t>die</t>
        </is>
      </c>
      <c r="C1100" s="5" t="inlineStr">
        <is>
          <t>omn</t>
        </is>
      </c>
      <c r="D1100" s="36">
        <f>INDEX(Inputs!$N$5:$N$132,MATCH($B1100&amp;"|"&amp;$C1100,Inputs!$A$5:$A$132,0))</f>
        <v/>
      </c>
      <c r="E1100" s="36">
        <f>INDEX(Inputs!$O$5:$O$132,MATCH($B1100&amp;"|"&amp;$C1100,Inputs!$A$5:$A$132,0))</f>
        <v/>
      </c>
      <c r="F1100" s="36">
        <f>INDEX(Inputs!$P$5:$P$132,MATCH($B1100&amp;"|"&amp;$C1100,Inputs!$A$5:$A$132,0))</f>
        <v/>
      </c>
      <c r="G1100" s="36">
        <f>INDEX(Inputs!$Q$5:$Q$132,MATCH($B1100&amp;"|"&amp;$C1100,Inputs!$A$5:$A$132,0))</f>
        <v/>
      </c>
      <c r="H1100" s="5">
        <f>INDEX(Variables!$B$5:$B$65,MATCH($A1100,Variables!$A$5:$A$65,0))&amp;IF($C1100="",""," | "&amp;INDEX(Mapping!$B$5:$B$25,MATCH($C1100,Mapping!$A$5:$A$25,0))&amp;" | "&amp;INDEX(Mapping!$B$29:$B$38,MATCH($B1100,Mapping!$A$29:$A$38,0)))</f>
        <v/>
      </c>
      <c r="I1100" s="5">
        <f>INDEX(Variables!$C$5:$C$65,MATCH($A1100,Variables!$A$5:$A$65,0))</f>
        <v/>
      </c>
      <c r="J1100" s="5">
        <f>INDEX(Variables!$E$5:$E$65,MATCH($A1100,Variables!$A$5:$A$65,0))</f>
        <v/>
      </c>
      <c r="K1100" s="23">
        <f>LOWER(Settings!$C$4)&amp;".mit."&amp;$A1100&amp;IF($C1100="","","."&amp;$C1100&amp;"."&amp;$B1100)&amp;IF(INDEX(Variables!$D$5:$D$65,MATCH($A1100,Variables!$A$5:$A$65,0))="","","."&amp;INDEX(Variables!$D$5:$D$65,MATCH($A1100,Variables!$A$5:$A$65,0)))&amp;"."&amp;K$5</f>
        <v/>
      </c>
      <c r="L1100" s="40">
        <f>INDEX(Inputs!$V$5:$V$132,MATCH($B1100&amp;"|"&amp;$C1100,Inputs!$A$5:$A$132,0))</f>
        <v/>
      </c>
      <c r="M1100" s="41">
        <f>L1100*(1/(1+$G1100))^(1+$E1100)*(1+M$7)^$D1100*(M1082/L1082)^$E1100*((M1082+M1091)/(L1082+L1091))^($F1100*(1+$E1100))</f>
        <v/>
      </c>
      <c r="N1100" s="41">
        <f>M1100*(1/(1+$G1100))^(1+$E1100)*(1+N$7)^$D1100*(N1082/M1082)^$E1100*((N1082+N1091)/(M1082+M1091))^($F1100*(1+$E1100))</f>
        <v/>
      </c>
      <c r="O1100" s="41">
        <f>N1100*(1/(1+$G1100))^(1+$E1100)*(1+O$7)^$D1100*(O1082/N1082)^$E1100*((O1082+O1091)/(N1082+N1091))^($F1100*(1+$E1100))</f>
        <v/>
      </c>
      <c r="P1100" s="41">
        <f>O1100*(1/(1+$G1100))^(1+$E1100)*(1+P$7)^$D1100*(P1082/O1082)^$E1100*((P1082+P1091)/(O1082+O1091))^($F1100*(1+$E1100))</f>
        <v/>
      </c>
      <c r="Q1100" s="41">
        <f>P1100*(1/(1+$G1100))^(1+$E1100)*(1+Q$7)^$D1100*(Q1082/P1082)^$E1100*((Q1082+Q1091)/(P1082+P1091))^($F1100*(1+$E1100))</f>
        <v/>
      </c>
      <c r="R1100" s="41">
        <f>Q1100*(1/(1+$G1100))^(1+$E1100)*(1+R$7)^$D1100*(R1082/Q1082)^$E1100*((R1082+R1091)/(Q1082+Q1091))^($F1100*(1+$E1100))</f>
        <v/>
      </c>
      <c r="S1100" s="41">
        <f>R1100*(1/(1+$G1100))^(1+$E1100)*(1+S$7)^$D1100*(S1082/R1082)^$E1100*((S1082+S1091)/(R1082+R1091))^($F1100*(1+$E1100))</f>
        <v/>
      </c>
      <c r="T1100" s="41">
        <f>S1100*(1/(1+$G1100))^(1+$E1100)*(1+T$7)^$D1100*(T1082/S1082)^$E1100*((T1082+T1091)/(S1082+S1091))^($F1100*(1+$E1100))</f>
        <v/>
      </c>
      <c r="U1100" s="41">
        <f>T1100*(1/(1+$G1100))^(1+$E1100)*(1+U$7)^$D1100*(U1082/T1082)^$E1100*((U1082+U1091)/(T1082+T1091))^($F1100*(1+$E1100))</f>
        <v/>
      </c>
      <c r="V1100" s="41">
        <f>U1100*(1/(1+$G1100))^(1+$E1100)*(1+V$7)^$D1100*(V1082/U1082)^$E1100*((V1082+V1091)/(U1082+U1091))^($F1100*(1+$E1100))</f>
        <v/>
      </c>
      <c r="W1100" s="41">
        <f>V1100*(1/(1+$G1100))^(1+$E1100)*(1+W$7)^$D1100*(W1082/V1082)^$E1100*((W1082+W1091)/(V1082+V1091))^($F1100*(1+$E1100))</f>
        <v/>
      </c>
      <c r="X1100" s="41">
        <f>W1100*(1/(1+$G1100))^(1+$E1100)*(1+X$7)^$D1100*(X1082/W1082)^$E1100*((X1082+X1091)/(W1082+W1091))^($F1100*(1+$E1100))</f>
        <v/>
      </c>
      <c r="Y1100" s="42">
        <f>FUELUSE(X1100,Y1082,X1082,Y1091,X1091,Y$7,$D1100,$E1100,$F1100,$G1100)</f>
        <v/>
      </c>
      <c r="Z1100" s="23">
        <f>LOWER(Settings!$C$4)&amp;".mit."&amp;$A1100&amp;IF($C1100="","","."&amp;$C1100&amp;"."&amp;$B1100)&amp;IF(INDEX(Variables!$D$5:$D$65,MATCH($A1100,Variables!$A$5:$A$65,0))="","","."&amp;INDEX(Variables!$D$5:$D$65,MATCH($A1100,Variables!$A$5:$A$65,0)))&amp;"."&amp;Z$5</f>
        <v/>
      </c>
      <c r="AA1100" s="40">
        <f>INDEX(Inputs!$V$5:$V$132,MATCH($B1100&amp;"|"&amp;$C1100,Inputs!$A$5:$A$132,0))</f>
        <v/>
      </c>
      <c r="AB1100" s="41">
        <f>AA1100*(1/(1+$G1100))^(1+$E1100)*(1+AB$7)^$D1100*(AB1082/AA1082)^$E1100*((AB1082+AB1091)/(AA1082+AA1091))^($F1100*(1+$E1100))</f>
        <v/>
      </c>
      <c r="AC1100" s="41">
        <f>AB1100*(1/(1+$G1100))^(1+$E1100)*(1+AC$7)^$D1100*(AC1082/AB1082)^$E1100*((AC1082+AC1091)/(AB1082+AB1091))^($F1100*(1+$E1100))</f>
        <v/>
      </c>
      <c r="AD1100" s="41">
        <f>AC1100*(1/(1+$G1100))^(1+$E1100)*(1+AD$7)^$D1100*(AD1082/AC1082)^$E1100*((AD1082+AD1091)/(AC1082+AC1091))^($F1100*(1+$E1100))</f>
        <v/>
      </c>
      <c r="AE1100" s="41">
        <f>AD1100*(1/(1+$G1100))^(1+$E1100)*(1+AE$7)^$D1100*(AE1082/AD1082)^$E1100*((AE1082+AE1091)/(AD1082+AD1091))^($F1100*(1+$E1100))</f>
        <v/>
      </c>
      <c r="AF1100" s="41">
        <f>AE1100*(1/(1+$G1100))^(1+$E1100)*(1+AF$7)^$D1100*(AF1082/AE1082)^$E1100*((AF1082+AF1091)/(AE1082+AE1091))^($F1100*(1+$E1100))</f>
        <v/>
      </c>
      <c r="AG1100" s="41">
        <f>AF1100*(1/(1+$G1100))^(1+$E1100)*(1+AG$7)^$D1100*(AG1082/AF1082)^$E1100*((AG1082+AG1091)/(AF1082+AF1091))^($F1100*(1+$E1100))</f>
        <v/>
      </c>
      <c r="AH1100" s="41">
        <f>AG1100*(1/(1+$G1100))^(1+$E1100)*(1+AH$7)^$D1100*(AH1082/AG1082)^$E1100*((AH1082+AH1091)/(AG1082+AG1091))^($F1100*(1+$E1100))</f>
        <v/>
      </c>
      <c r="AI1100" s="41">
        <f>AH1100*(1/(1+$G1100))^(1+$E1100)*(1+AI$7)^$D1100*(AI1082/AH1082)^$E1100*((AI1082+AI1091)/(AH1082+AH1091))^($F1100*(1+$E1100))</f>
        <v/>
      </c>
      <c r="AJ1100" s="41">
        <f>AI1100*(1/(1+$G1100))^(1+$E1100)*(1+AJ$7)^$D1100*(AJ1082/AI1082)^$E1100*((AJ1082+AJ1091)/(AI1082+AI1091))^($F1100*(1+$E1100))</f>
        <v/>
      </c>
      <c r="AK1100" s="41">
        <f>AJ1100*(1/(1+$G1100))^(1+$E1100)*(1+AK$7)^$D1100*(AK1082/AJ1082)^$E1100*((AK1082+AK1091)/(AJ1082+AJ1091))^($F1100*(1+$E1100))</f>
        <v/>
      </c>
      <c r="AL1100" s="41">
        <f>AK1100*(1/(1+$G1100))^(1+$E1100)*(1+AL$7)^$D1100*(AL1082/AK1082)^$E1100*((AL1082+AL1091)/(AK1082+AK1091))^($F1100*(1+$E1100))</f>
        <v/>
      </c>
      <c r="AM1100" s="41">
        <f>AL1100*(1/(1+$G1100))^(1+$E1100)*(1+AM$7)^$D1100*(AM1082/AL1082)^$E1100*((AM1082+AM1091)/(AL1082+AL1091))^($F1100*(1+$E1100))</f>
        <v/>
      </c>
      <c r="AN1100" s="42">
        <f>FUELUSE(AM1100,AN1082,AM1082,AN1091,AM1091,AN$7,$D1100,$E1100,$F1100,$G1100)</f>
        <v/>
      </c>
    </row>
    <row r="1101" hidden="1" outlineLevel="2">
      <c r="A1101" s="5" t="inlineStr">
        <is>
          <t>ener</t>
        </is>
      </c>
      <c r="B1101" s="5" t="inlineStr">
        <is>
          <t>lpg</t>
        </is>
      </c>
      <c r="C1101" s="5" t="inlineStr">
        <is>
          <t>omn</t>
        </is>
      </c>
      <c r="D1101" s="36">
        <f>INDEX(Inputs!$N$5:$N$132,MATCH($B1101&amp;"|"&amp;$C1101,Inputs!$A$5:$A$132,0))</f>
        <v/>
      </c>
      <c r="E1101" s="36">
        <f>INDEX(Inputs!$O$5:$O$132,MATCH($B1101&amp;"|"&amp;$C1101,Inputs!$A$5:$A$132,0))</f>
        <v/>
      </c>
      <c r="F1101" s="36">
        <f>INDEX(Inputs!$P$5:$P$132,MATCH($B1101&amp;"|"&amp;$C1101,Inputs!$A$5:$A$132,0))</f>
        <v/>
      </c>
      <c r="G1101" s="36">
        <f>INDEX(Inputs!$Q$5:$Q$132,MATCH($B1101&amp;"|"&amp;$C1101,Inputs!$A$5:$A$132,0))</f>
        <v/>
      </c>
      <c r="H1101" s="5">
        <f>INDEX(Variables!$B$5:$B$65,MATCH($A1101,Variables!$A$5:$A$65,0))&amp;IF($C1101="",""," | "&amp;INDEX(Mapping!$B$5:$B$25,MATCH($C1101,Mapping!$A$5:$A$25,0))&amp;" | "&amp;INDEX(Mapping!$B$29:$B$38,MATCH($B1101,Mapping!$A$29:$A$38,0)))</f>
        <v/>
      </c>
      <c r="I1101" s="5">
        <f>INDEX(Variables!$C$5:$C$65,MATCH($A1101,Variables!$A$5:$A$65,0))</f>
        <v/>
      </c>
      <c r="J1101" s="5">
        <f>INDEX(Variables!$E$5:$E$65,MATCH($A1101,Variables!$A$5:$A$65,0))</f>
        <v/>
      </c>
      <c r="K1101" s="23">
        <f>LOWER(Settings!$C$4)&amp;".mit."&amp;$A1101&amp;IF($C1101="","","."&amp;$C1101&amp;"."&amp;$B1101)&amp;IF(INDEX(Variables!$D$5:$D$65,MATCH($A1101,Variables!$A$5:$A$65,0))="","","."&amp;INDEX(Variables!$D$5:$D$65,MATCH($A1101,Variables!$A$5:$A$65,0)))&amp;"."&amp;K$5</f>
        <v/>
      </c>
      <c r="L1101" s="40">
        <f>INDEX(Inputs!$V$5:$V$132,MATCH($B1101&amp;"|"&amp;$C1101,Inputs!$A$5:$A$132,0))</f>
        <v/>
      </c>
      <c r="M1101" s="41">
        <f>L1101*(1/(1+$G1101))^(1+$E1101)*(1+M$7)^$D1101*(M1083/L1083)^$E1101*((M1083+M1092)/(L1083+L1092))^($F1101*(1+$E1101))</f>
        <v/>
      </c>
      <c r="N1101" s="41">
        <f>M1101*(1/(1+$G1101))^(1+$E1101)*(1+N$7)^$D1101*(N1083/M1083)^$E1101*((N1083+N1092)/(M1083+M1092))^($F1101*(1+$E1101))</f>
        <v/>
      </c>
      <c r="O1101" s="41">
        <f>N1101*(1/(1+$G1101))^(1+$E1101)*(1+O$7)^$D1101*(O1083/N1083)^$E1101*((O1083+O1092)/(N1083+N1092))^($F1101*(1+$E1101))</f>
        <v/>
      </c>
      <c r="P1101" s="41">
        <f>O1101*(1/(1+$G1101))^(1+$E1101)*(1+P$7)^$D1101*(P1083/O1083)^$E1101*((P1083+P1092)/(O1083+O1092))^($F1101*(1+$E1101))</f>
        <v/>
      </c>
      <c r="Q1101" s="41">
        <f>P1101*(1/(1+$G1101))^(1+$E1101)*(1+Q$7)^$D1101*(Q1083/P1083)^$E1101*((Q1083+Q1092)/(P1083+P1092))^($F1101*(1+$E1101))</f>
        <v/>
      </c>
      <c r="R1101" s="41">
        <f>Q1101*(1/(1+$G1101))^(1+$E1101)*(1+R$7)^$D1101*(R1083/Q1083)^$E1101*((R1083+R1092)/(Q1083+Q1092))^($F1101*(1+$E1101))</f>
        <v/>
      </c>
      <c r="S1101" s="41">
        <f>R1101*(1/(1+$G1101))^(1+$E1101)*(1+S$7)^$D1101*(S1083/R1083)^$E1101*((S1083+S1092)/(R1083+R1092))^($F1101*(1+$E1101))</f>
        <v/>
      </c>
      <c r="T1101" s="41">
        <f>S1101*(1/(1+$G1101))^(1+$E1101)*(1+T$7)^$D1101*(T1083/S1083)^$E1101*((T1083+T1092)/(S1083+S1092))^($F1101*(1+$E1101))</f>
        <v/>
      </c>
      <c r="U1101" s="41">
        <f>T1101*(1/(1+$G1101))^(1+$E1101)*(1+U$7)^$D1101*(U1083/T1083)^$E1101*((U1083+U1092)/(T1083+T1092))^($F1101*(1+$E1101))</f>
        <v/>
      </c>
      <c r="V1101" s="41">
        <f>U1101*(1/(1+$G1101))^(1+$E1101)*(1+V$7)^$D1101*(V1083/U1083)^$E1101*((V1083+V1092)/(U1083+U1092))^($F1101*(1+$E1101))</f>
        <v/>
      </c>
      <c r="W1101" s="41">
        <f>V1101*(1/(1+$G1101))^(1+$E1101)*(1+W$7)^$D1101*(W1083/V1083)^$E1101*((W1083+W1092)/(V1083+V1092))^($F1101*(1+$E1101))</f>
        <v/>
      </c>
      <c r="X1101" s="41">
        <f>W1101*(1/(1+$G1101))^(1+$E1101)*(1+X$7)^$D1101*(X1083/W1083)^$E1101*((X1083+X1092)/(W1083+W1092))^($F1101*(1+$E1101))</f>
        <v/>
      </c>
      <c r="Y1101" s="42">
        <f>FUELUSE(X1101,Y1083,X1083,Y1092,X1092,Y$7,$D1101,$E1101,$F1101,$G1101)</f>
        <v/>
      </c>
      <c r="Z1101" s="23">
        <f>LOWER(Settings!$C$4)&amp;".mit."&amp;$A1101&amp;IF($C1101="","","."&amp;$C1101&amp;"."&amp;$B1101)&amp;IF(INDEX(Variables!$D$5:$D$65,MATCH($A1101,Variables!$A$5:$A$65,0))="","","."&amp;INDEX(Variables!$D$5:$D$65,MATCH($A1101,Variables!$A$5:$A$65,0)))&amp;"."&amp;Z$5</f>
        <v/>
      </c>
      <c r="AA1101" s="40">
        <f>INDEX(Inputs!$V$5:$V$132,MATCH($B1101&amp;"|"&amp;$C1101,Inputs!$A$5:$A$132,0))</f>
        <v/>
      </c>
      <c r="AB1101" s="41">
        <f>AA1101*(1/(1+$G1101))^(1+$E1101)*(1+AB$7)^$D1101*(AB1083/AA1083)^$E1101*((AB1083+AB1092)/(AA1083+AA1092))^($F1101*(1+$E1101))</f>
        <v/>
      </c>
      <c r="AC1101" s="41">
        <f>AB1101*(1/(1+$G1101))^(1+$E1101)*(1+AC$7)^$D1101*(AC1083/AB1083)^$E1101*((AC1083+AC1092)/(AB1083+AB1092))^($F1101*(1+$E1101))</f>
        <v/>
      </c>
      <c r="AD1101" s="41">
        <f>AC1101*(1/(1+$G1101))^(1+$E1101)*(1+AD$7)^$D1101*(AD1083/AC1083)^$E1101*((AD1083+AD1092)/(AC1083+AC1092))^($F1101*(1+$E1101))</f>
        <v/>
      </c>
      <c r="AE1101" s="41">
        <f>AD1101*(1/(1+$G1101))^(1+$E1101)*(1+AE$7)^$D1101*(AE1083/AD1083)^$E1101*((AE1083+AE1092)/(AD1083+AD1092))^($F1101*(1+$E1101))</f>
        <v/>
      </c>
      <c r="AF1101" s="41">
        <f>AE1101*(1/(1+$G1101))^(1+$E1101)*(1+AF$7)^$D1101*(AF1083/AE1083)^$E1101*((AF1083+AF1092)/(AE1083+AE1092))^($F1101*(1+$E1101))</f>
        <v/>
      </c>
      <c r="AG1101" s="41">
        <f>AF1101*(1/(1+$G1101))^(1+$E1101)*(1+AG$7)^$D1101*(AG1083/AF1083)^$E1101*((AG1083+AG1092)/(AF1083+AF1092))^($F1101*(1+$E1101))</f>
        <v/>
      </c>
      <c r="AH1101" s="41">
        <f>AG1101*(1/(1+$G1101))^(1+$E1101)*(1+AH$7)^$D1101*(AH1083/AG1083)^$E1101*((AH1083+AH1092)/(AG1083+AG1092))^($F1101*(1+$E1101))</f>
        <v/>
      </c>
      <c r="AI1101" s="41">
        <f>AH1101*(1/(1+$G1101))^(1+$E1101)*(1+AI$7)^$D1101*(AI1083/AH1083)^$E1101*((AI1083+AI1092)/(AH1083+AH1092))^($F1101*(1+$E1101))</f>
        <v/>
      </c>
      <c r="AJ1101" s="41">
        <f>AI1101*(1/(1+$G1101))^(1+$E1101)*(1+AJ$7)^$D1101*(AJ1083/AI1083)^$E1101*((AJ1083+AJ1092)/(AI1083+AI1092))^($F1101*(1+$E1101))</f>
        <v/>
      </c>
      <c r="AK1101" s="41">
        <f>AJ1101*(1/(1+$G1101))^(1+$E1101)*(1+AK$7)^$D1101*(AK1083/AJ1083)^$E1101*((AK1083+AK1092)/(AJ1083+AJ1092))^($F1101*(1+$E1101))</f>
        <v/>
      </c>
      <c r="AL1101" s="41">
        <f>AK1101*(1/(1+$G1101))^(1+$E1101)*(1+AL$7)^$D1101*(AL1083/AK1083)^$E1101*((AL1083+AL1092)/(AK1083+AK1092))^($F1101*(1+$E1101))</f>
        <v/>
      </c>
      <c r="AM1101" s="41">
        <f>AL1101*(1/(1+$G1101))^(1+$E1101)*(1+AM$7)^$D1101*(AM1083/AL1083)^$E1101*((AM1083+AM1092)/(AL1083+AL1092))^($F1101*(1+$E1101))</f>
        <v/>
      </c>
      <c r="AN1101" s="42">
        <f>FUELUSE(AM1101,AN1083,AM1083,AN1092,AM1092,AN$7,$D1101,$E1101,$F1101,$G1101)</f>
        <v/>
      </c>
    </row>
    <row r="1102" hidden="1" outlineLevel="2">
      <c r="A1102" s="5" t="inlineStr">
        <is>
          <t>ener</t>
        </is>
      </c>
      <c r="B1102" s="5" t="inlineStr">
        <is>
          <t>ker</t>
        </is>
      </c>
      <c r="C1102" s="5" t="inlineStr">
        <is>
          <t>omn</t>
        </is>
      </c>
      <c r="D1102" s="36">
        <f>INDEX(Inputs!$N$5:$N$132,MATCH($B1102&amp;"|"&amp;$C1102,Inputs!$A$5:$A$132,0))</f>
        <v/>
      </c>
      <c r="E1102" s="36">
        <f>INDEX(Inputs!$O$5:$O$132,MATCH($B1102&amp;"|"&amp;$C1102,Inputs!$A$5:$A$132,0))</f>
        <v/>
      </c>
      <c r="F1102" s="36">
        <f>INDEX(Inputs!$P$5:$P$132,MATCH($B1102&amp;"|"&amp;$C1102,Inputs!$A$5:$A$132,0))</f>
        <v/>
      </c>
      <c r="G1102" s="36">
        <f>INDEX(Inputs!$Q$5:$Q$132,MATCH($B1102&amp;"|"&amp;$C1102,Inputs!$A$5:$A$132,0))</f>
        <v/>
      </c>
      <c r="H1102" s="5">
        <f>INDEX(Variables!$B$5:$B$65,MATCH($A1102,Variables!$A$5:$A$65,0))&amp;IF($C1102="",""," | "&amp;INDEX(Mapping!$B$5:$B$25,MATCH($C1102,Mapping!$A$5:$A$25,0))&amp;" | "&amp;INDEX(Mapping!$B$29:$B$38,MATCH($B1102,Mapping!$A$29:$A$38,0)))</f>
        <v/>
      </c>
      <c r="I1102" s="5">
        <f>INDEX(Variables!$C$5:$C$65,MATCH($A1102,Variables!$A$5:$A$65,0))</f>
        <v/>
      </c>
      <c r="J1102" s="5">
        <f>INDEX(Variables!$E$5:$E$65,MATCH($A1102,Variables!$A$5:$A$65,0))</f>
        <v/>
      </c>
      <c r="K1102" s="23">
        <f>LOWER(Settings!$C$4)&amp;".mit."&amp;$A1102&amp;IF($C1102="","","."&amp;$C1102&amp;"."&amp;$B1102)&amp;IF(INDEX(Variables!$D$5:$D$65,MATCH($A1102,Variables!$A$5:$A$65,0))="","","."&amp;INDEX(Variables!$D$5:$D$65,MATCH($A1102,Variables!$A$5:$A$65,0)))&amp;"."&amp;K$5</f>
        <v/>
      </c>
      <c r="L1102" s="40">
        <f>INDEX(Inputs!$V$5:$V$132,MATCH($B1102&amp;"|"&amp;$C1102,Inputs!$A$5:$A$132,0))</f>
        <v/>
      </c>
      <c r="M1102" s="41">
        <f>L1102*(1/(1+$G1102))^(1+$E1102)*(1+M$7)^$D1102*(M1084/L1084)^$E1102*((M1084+M1093)/(L1084+L1093))^($F1102*(1+$E1102))</f>
        <v/>
      </c>
      <c r="N1102" s="41">
        <f>M1102*(1/(1+$G1102))^(1+$E1102)*(1+N$7)^$D1102*(N1084/M1084)^$E1102*((N1084+N1093)/(M1084+M1093))^($F1102*(1+$E1102))</f>
        <v/>
      </c>
      <c r="O1102" s="41">
        <f>N1102*(1/(1+$G1102))^(1+$E1102)*(1+O$7)^$D1102*(O1084/N1084)^$E1102*((O1084+O1093)/(N1084+N1093))^($F1102*(1+$E1102))</f>
        <v/>
      </c>
      <c r="P1102" s="41">
        <f>O1102*(1/(1+$G1102))^(1+$E1102)*(1+P$7)^$D1102*(P1084/O1084)^$E1102*((P1084+P1093)/(O1084+O1093))^($F1102*(1+$E1102))</f>
        <v/>
      </c>
      <c r="Q1102" s="41">
        <f>P1102*(1/(1+$G1102))^(1+$E1102)*(1+Q$7)^$D1102*(Q1084/P1084)^$E1102*((Q1084+Q1093)/(P1084+P1093))^($F1102*(1+$E1102))</f>
        <v/>
      </c>
      <c r="R1102" s="41">
        <f>Q1102*(1/(1+$G1102))^(1+$E1102)*(1+R$7)^$D1102*(R1084/Q1084)^$E1102*((R1084+R1093)/(Q1084+Q1093))^($F1102*(1+$E1102))</f>
        <v/>
      </c>
      <c r="S1102" s="41">
        <f>R1102*(1/(1+$G1102))^(1+$E1102)*(1+S$7)^$D1102*(S1084/R1084)^$E1102*((S1084+S1093)/(R1084+R1093))^($F1102*(1+$E1102))</f>
        <v/>
      </c>
      <c r="T1102" s="41">
        <f>S1102*(1/(1+$G1102))^(1+$E1102)*(1+T$7)^$D1102*(T1084/S1084)^$E1102*((T1084+T1093)/(S1084+S1093))^($F1102*(1+$E1102))</f>
        <v/>
      </c>
      <c r="U1102" s="41">
        <f>T1102*(1/(1+$G1102))^(1+$E1102)*(1+U$7)^$D1102*(U1084/T1084)^$E1102*((U1084+U1093)/(T1084+T1093))^($F1102*(1+$E1102))</f>
        <v/>
      </c>
      <c r="V1102" s="41">
        <f>U1102*(1/(1+$G1102))^(1+$E1102)*(1+V$7)^$D1102*(V1084/U1084)^$E1102*((V1084+V1093)/(U1084+U1093))^($F1102*(1+$E1102))</f>
        <v/>
      </c>
      <c r="W1102" s="41">
        <f>V1102*(1/(1+$G1102))^(1+$E1102)*(1+W$7)^$D1102*(W1084/V1084)^$E1102*((W1084+W1093)/(V1084+V1093))^($F1102*(1+$E1102))</f>
        <v/>
      </c>
      <c r="X1102" s="41">
        <f>W1102*(1/(1+$G1102))^(1+$E1102)*(1+X$7)^$D1102*(X1084/W1084)^$E1102*((X1084+X1093)/(W1084+W1093))^($F1102*(1+$E1102))</f>
        <v/>
      </c>
      <c r="Y1102" s="42">
        <f>FUELUSE(X1102,Y1084,X1084,Y1093,X1093,Y$7,$D1102,$E1102,$F1102,$G1102)</f>
        <v/>
      </c>
      <c r="Z1102" s="23">
        <f>LOWER(Settings!$C$4)&amp;".mit."&amp;$A1102&amp;IF($C1102="","","."&amp;$C1102&amp;"."&amp;$B1102)&amp;IF(INDEX(Variables!$D$5:$D$65,MATCH($A1102,Variables!$A$5:$A$65,0))="","","."&amp;INDEX(Variables!$D$5:$D$65,MATCH($A1102,Variables!$A$5:$A$65,0)))&amp;"."&amp;Z$5</f>
        <v/>
      </c>
      <c r="AA1102" s="40">
        <f>INDEX(Inputs!$V$5:$V$132,MATCH($B1102&amp;"|"&amp;$C1102,Inputs!$A$5:$A$132,0))</f>
        <v/>
      </c>
      <c r="AB1102" s="41">
        <f>AA1102*(1/(1+$G1102))^(1+$E1102)*(1+AB$7)^$D1102*(AB1084/AA1084)^$E1102*((AB1084+AB1093)/(AA1084+AA1093))^($F1102*(1+$E1102))</f>
        <v/>
      </c>
      <c r="AC1102" s="41">
        <f>AB1102*(1/(1+$G1102))^(1+$E1102)*(1+AC$7)^$D1102*(AC1084/AB1084)^$E1102*((AC1084+AC1093)/(AB1084+AB1093))^($F1102*(1+$E1102))</f>
        <v/>
      </c>
      <c r="AD1102" s="41">
        <f>AC1102*(1/(1+$G1102))^(1+$E1102)*(1+AD$7)^$D1102*(AD1084/AC1084)^$E1102*((AD1084+AD1093)/(AC1084+AC1093))^($F1102*(1+$E1102))</f>
        <v/>
      </c>
      <c r="AE1102" s="41">
        <f>AD1102*(1/(1+$G1102))^(1+$E1102)*(1+AE$7)^$D1102*(AE1084/AD1084)^$E1102*((AE1084+AE1093)/(AD1084+AD1093))^($F1102*(1+$E1102))</f>
        <v/>
      </c>
      <c r="AF1102" s="41">
        <f>AE1102*(1/(1+$G1102))^(1+$E1102)*(1+AF$7)^$D1102*(AF1084/AE1084)^$E1102*((AF1084+AF1093)/(AE1084+AE1093))^($F1102*(1+$E1102))</f>
        <v/>
      </c>
      <c r="AG1102" s="41">
        <f>AF1102*(1/(1+$G1102))^(1+$E1102)*(1+AG$7)^$D1102*(AG1084/AF1084)^$E1102*((AG1084+AG1093)/(AF1084+AF1093))^($F1102*(1+$E1102))</f>
        <v/>
      </c>
      <c r="AH1102" s="41">
        <f>AG1102*(1/(1+$G1102))^(1+$E1102)*(1+AH$7)^$D1102*(AH1084/AG1084)^$E1102*((AH1084+AH1093)/(AG1084+AG1093))^($F1102*(1+$E1102))</f>
        <v/>
      </c>
      <c r="AI1102" s="41">
        <f>AH1102*(1/(1+$G1102))^(1+$E1102)*(1+AI$7)^$D1102*(AI1084/AH1084)^$E1102*((AI1084+AI1093)/(AH1084+AH1093))^($F1102*(1+$E1102))</f>
        <v/>
      </c>
      <c r="AJ1102" s="41">
        <f>AI1102*(1/(1+$G1102))^(1+$E1102)*(1+AJ$7)^$D1102*(AJ1084/AI1084)^$E1102*((AJ1084+AJ1093)/(AI1084+AI1093))^($F1102*(1+$E1102))</f>
        <v/>
      </c>
      <c r="AK1102" s="41">
        <f>AJ1102*(1/(1+$G1102))^(1+$E1102)*(1+AK$7)^$D1102*(AK1084/AJ1084)^$E1102*((AK1084+AK1093)/(AJ1084+AJ1093))^($F1102*(1+$E1102))</f>
        <v/>
      </c>
      <c r="AL1102" s="41">
        <f>AK1102*(1/(1+$G1102))^(1+$E1102)*(1+AL$7)^$D1102*(AL1084/AK1084)^$E1102*((AL1084+AL1093)/(AK1084+AK1093))^($F1102*(1+$E1102))</f>
        <v/>
      </c>
      <c r="AM1102" s="41">
        <f>AL1102*(1/(1+$G1102))^(1+$E1102)*(1+AM$7)^$D1102*(AM1084/AL1084)^$E1102*((AM1084+AM1093)/(AL1084+AL1093))^($F1102*(1+$E1102))</f>
        <v/>
      </c>
      <c r="AN1102" s="42">
        <f>FUELUSE(AM1102,AN1084,AM1084,AN1093,AM1093,AN$7,$D1102,$E1102,$F1102,$G1102)</f>
        <v/>
      </c>
    </row>
    <row r="1103" hidden="1" outlineLevel="2">
      <c r="A1103" s="5" t="inlineStr">
        <is>
          <t>ener</t>
        </is>
      </c>
      <c r="B1103" s="5" t="inlineStr">
        <is>
          <t>oop</t>
        </is>
      </c>
      <c r="C1103" s="5" t="inlineStr">
        <is>
          <t>omn</t>
        </is>
      </c>
      <c r="D1103" s="36">
        <f>INDEX(Inputs!$N$5:$N$132,MATCH($B1103&amp;"|"&amp;$C1103,Inputs!$A$5:$A$132,0))</f>
        <v/>
      </c>
      <c r="E1103" s="36">
        <f>INDEX(Inputs!$O$5:$O$132,MATCH($B1103&amp;"|"&amp;$C1103,Inputs!$A$5:$A$132,0))</f>
        <v/>
      </c>
      <c r="F1103" s="36">
        <f>INDEX(Inputs!$P$5:$P$132,MATCH($B1103&amp;"|"&amp;$C1103,Inputs!$A$5:$A$132,0))</f>
        <v/>
      </c>
      <c r="G1103" s="36">
        <f>INDEX(Inputs!$Q$5:$Q$132,MATCH($B1103&amp;"|"&amp;$C1103,Inputs!$A$5:$A$132,0))</f>
        <v/>
      </c>
      <c r="H1103" s="5">
        <f>INDEX(Variables!$B$5:$B$65,MATCH($A1103,Variables!$A$5:$A$65,0))&amp;IF($C1103="",""," | "&amp;INDEX(Mapping!$B$5:$B$25,MATCH($C1103,Mapping!$A$5:$A$25,0))&amp;" | "&amp;INDEX(Mapping!$B$29:$B$38,MATCH($B1103,Mapping!$A$29:$A$38,0)))</f>
        <v/>
      </c>
      <c r="I1103" s="5">
        <f>INDEX(Variables!$C$5:$C$65,MATCH($A1103,Variables!$A$5:$A$65,0))</f>
        <v/>
      </c>
      <c r="J1103" s="5">
        <f>INDEX(Variables!$E$5:$E$65,MATCH($A1103,Variables!$A$5:$A$65,0))</f>
        <v/>
      </c>
      <c r="K1103" s="23">
        <f>LOWER(Settings!$C$4)&amp;".mit."&amp;$A1103&amp;IF($C1103="","","."&amp;$C1103&amp;"."&amp;$B1103)&amp;IF(INDEX(Variables!$D$5:$D$65,MATCH($A1103,Variables!$A$5:$A$65,0))="","","."&amp;INDEX(Variables!$D$5:$D$65,MATCH($A1103,Variables!$A$5:$A$65,0)))&amp;"."&amp;K$5</f>
        <v/>
      </c>
      <c r="L1103" s="40">
        <f>INDEX(Inputs!$V$5:$V$132,MATCH($B1103&amp;"|"&amp;$C1103,Inputs!$A$5:$A$132,0))</f>
        <v/>
      </c>
      <c r="M1103" s="41">
        <f>L1103*(1/(1+$G1103))^(1+$E1103)*(1+M$7)^$D1103*(M1085/L1085)^$E1103*((M1085+M1094)/(L1085+L1094))^($F1103*(1+$E1103))</f>
        <v/>
      </c>
      <c r="N1103" s="41">
        <f>M1103*(1/(1+$G1103))^(1+$E1103)*(1+N$7)^$D1103*(N1085/M1085)^$E1103*((N1085+N1094)/(M1085+M1094))^($F1103*(1+$E1103))</f>
        <v/>
      </c>
      <c r="O1103" s="41">
        <f>N1103*(1/(1+$G1103))^(1+$E1103)*(1+O$7)^$D1103*(O1085/N1085)^$E1103*((O1085+O1094)/(N1085+N1094))^($F1103*(1+$E1103))</f>
        <v/>
      </c>
      <c r="P1103" s="41">
        <f>O1103*(1/(1+$G1103))^(1+$E1103)*(1+P$7)^$D1103*(P1085/O1085)^$E1103*((P1085+P1094)/(O1085+O1094))^($F1103*(1+$E1103))</f>
        <v/>
      </c>
      <c r="Q1103" s="41">
        <f>P1103*(1/(1+$G1103))^(1+$E1103)*(1+Q$7)^$D1103*(Q1085/P1085)^$E1103*((Q1085+Q1094)/(P1085+P1094))^($F1103*(1+$E1103))</f>
        <v/>
      </c>
      <c r="R1103" s="41">
        <f>Q1103*(1/(1+$G1103))^(1+$E1103)*(1+R$7)^$D1103*(R1085/Q1085)^$E1103*((R1085+R1094)/(Q1085+Q1094))^($F1103*(1+$E1103))</f>
        <v/>
      </c>
      <c r="S1103" s="41">
        <f>R1103*(1/(1+$G1103))^(1+$E1103)*(1+S$7)^$D1103*(S1085/R1085)^$E1103*((S1085+S1094)/(R1085+R1094))^($F1103*(1+$E1103))</f>
        <v/>
      </c>
      <c r="T1103" s="41">
        <f>S1103*(1/(1+$G1103))^(1+$E1103)*(1+T$7)^$D1103*(T1085/S1085)^$E1103*((T1085+T1094)/(S1085+S1094))^($F1103*(1+$E1103))</f>
        <v/>
      </c>
      <c r="U1103" s="41">
        <f>T1103*(1/(1+$G1103))^(1+$E1103)*(1+U$7)^$D1103*(U1085/T1085)^$E1103*((U1085+U1094)/(T1085+T1094))^($F1103*(1+$E1103))</f>
        <v/>
      </c>
      <c r="V1103" s="41">
        <f>U1103*(1/(1+$G1103))^(1+$E1103)*(1+V$7)^$D1103*(V1085/U1085)^$E1103*((V1085+V1094)/(U1085+U1094))^($F1103*(1+$E1103))</f>
        <v/>
      </c>
      <c r="W1103" s="41">
        <f>V1103*(1/(1+$G1103))^(1+$E1103)*(1+W$7)^$D1103*(W1085/V1085)^$E1103*((W1085+W1094)/(V1085+V1094))^($F1103*(1+$E1103))</f>
        <v/>
      </c>
      <c r="X1103" s="41">
        <f>W1103*(1/(1+$G1103))^(1+$E1103)*(1+X$7)^$D1103*(X1085/W1085)^$E1103*((X1085+X1094)/(W1085+W1094))^($F1103*(1+$E1103))</f>
        <v/>
      </c>
      <c r="Y1103" s="42">
        <f>FUELUSE(X1103,Y1085,X1085,Y1094,X1094,Y$7,$D1103,$E1103,$F1103,$G1103)</f>
        <v/>
      </c>
      <c r="Z1103" s="23">
        <f>LOWER(Settings!$C$4)&amp;".mit."&amp;$A1103&amp;IF($C1103="","","."&amp;$C1103&amp;"."&amp;$B1103)&amp;IF(INDEX(Variables!$D$5:$D$65,MATCH($A1103,Variables!$A$5:$A$65,0))="","","."&amp;INDEX(Variables!$D$5:$D$65,MATCH($A1103,Variables!$A$5:$A$65,0)))&amp;"."&amp;Z$5</f>
        <v/>
      </c>
      <c r="AA1103" s="40">
        <f>INDEX(Inputs!$V$5:$V$132,MATCH($B1103&amp;"|"&amp;$C1103,Inputs!$A$5:$A$132,0))</f>
        <v/>
      </c>
      <c r="AB1103" s="41">
        <f>AA1103*(1/(1+$G1103))^(1+$E1103)*(1+AB$7)^$D1103*(AB1085/AA1085)^$E1103*((AB1085+AB1094)/(AA1085+AA1094))^($F1103*(1+$E1103))</f>
        <v/>
      </c>
      <c r="AC1103" s="41">
        <f>AB1103*(1/(1+$G1103))^(1+$E1103)*(1+AC$7)^$D1103*(AC1085/AB1085)^$E1103*((AC1085+AC1094)/(AB1085+AB1094))^($F1103*(1+$E1103))</f>
        <v/>
      </c>
      <c r="AD1103" s="41">
        <f>AC1103*(1/(1+$G1103))^(1+$E1103)*(1+AD$7)^$D1103*(AD1085/AC1085)^$E1103*((AD1085+AD1094)/(AC1085+AC1094))^($F1103*(1+$E1103))</f>
        <v/>
      </c>
      <c r="AE1103" s="41">
        <f>AD1103*(1/(1+$G1103))^(1+$E1103)*(1+AE$7)^$D1103*(AE1085/AD1085)^$E1103*((AE1085+AE1094)/(AD1085+AD1094))^($F1103*(1+$E1103))</f>
        <v/>
      </c>
      <c r="AF1103" s="41">
        <f>AE1103*(1/(1+$G1103))^(1+$E1103)*(1+AF$7)^$D1103*(AF1085/AE1085)^$E1103*((AF1085+AF1094)/(AE1085+AE1094))^($F1103*(1+$E1103))</f>
        <v/>
      </c>
      <c r="AG1103" s="41">
        <f>AF1103*(1/(1+$G1103))^(1+$E1103)*(1+AG$7)^$D1103*(AG1085/AF1085)^$E1103*((AG1085+AG1094)/(AF1085+AF1094))^($F1103*(1+$E1103))</f>
        <v/>
      </c>
      <c r="AH1103" s="41">
        <f>AG1103*(1/(1+$G1103))^(1+$E1103)*(1+AH$7)^$D1103*(AH1085/AG1085)^$E1103*((AH1085+AH1094)/(AG1085+AG1094))^($F1103*(1+$E1103))</f>
        <v/>
      </c>
      <c r="AI1103" s="41">
        <f>AH1103*(1/(1+$G1103))^(1+$E1103)*(1+AI$7)^$D1103*(AI1085/AH1085)^$E1103*((AI1085+AI1094)/(AH1085+AH1094))^($F1103*(1+$E1103))</f>
        <v/>
      </c>
      <c r="AJ1103" s="41">
        <f>AI1103*(1/(1+$G1103))^(1+$E1103)*(1+AJ$7)^$D1103*(AJ1085/AI1085)^$E1103*((AJ1085+AJ1094)/(AI1085+AI1094))^($F1103*(1+$E1103))</f>
        <v/>
      </c>
      <c r="AK1103" s="41">
        <f>AJ1103*(1/(1+$G1103))^(1+$E1103)*(1+AK$7)^$D1103*(AK1085/AJ1085)^$E1103*((AK1085+AK1094)/(AJ1085+AJ1094))^($F1103*(1+$E1103))</f>
        <v/>
      </c>
      <c r="AL1103" s="41">
        <f>AK1103*(1/(1+$G1103))^(1+$E1103)*(1+AL$7)^$D1103*(AL1085/AK1085)^$E1103*((AL1085+AL1094)/(AK1085+AK1094))^($F1103*(1+$E1103))</f>
        <v/>
      </c>
      <c r="AM1103" s="41">
        <f>AL1103*(1/(1+$G1103))^(1+$E1103)*(1+AM$7)^$D1103*(AM1085/AL1085)^$E1103*((AM1085+AM1094)/(AL1085+AL1094))^($F1103*(1+$E1103))</f>
        <v/>
      </c>
      <c r="AN1103" s="42">
        <f>FUELUSE(AM1103,AN1085,AM1085,AN1094,AM1094,AN$7,$D1103,$E1103,$F1103,$G1103)</f>
        <v/>
      </c>
    </row>
    <row r="1104" hidden="1" outlineLevel="2">
      <c r="A1104" s="5" t="inlineStr">
        <is>
          <t>ener</t>
        </is>
      </c>
      <c r="B1104" s="5" t="inlineStr">
        <is>
          <t>bio</t>
        </is>
      </c>
      <c r="C1104" s="5" t="inlineStr">
        <is>
          <t>omn</t>
        </is>
      </c>
      <c r="D1104" s="36">
        <f>INDEX(Inputs!$N$5:$N$132,MATCH($B1104&amp;"|"&amp;$C1104,Inputs!$A$5:$A$132,0))</f>
        <v/>
      </c>
      <c r="E1104" s="36">
        <f>INDEX(Inputs!$O$5:$O$132,MATCH($B1104&amp;"|"&amp;$C1104,Inputs!$A$5:$A$132,0))</f>
        <v/>
      </c>
      <c r="F1104" s="36">
        <f>INDEX(Inputs!$P$5:$P$132,MATCH($B1104&amp;"|"&amp;$C1104,Inputs!$A$5:$A$132,0))</f>
        <v/>
      </c>
      <c r="G1104" s="36">
        <f>INDEX(Inputs!$Q$5:$Q$132,MATCH($B1104&amp;"|"&amp;$C1104,Inputs!$A$5:$A$132,0))</f>
        <v/>
      </c>
      <c r="H1104" s="5">
        <f>INDEX(Variables!$B$5:$B$65,MATCH($A1104,Variables!$A$5:$A$65,0))&amp;IF($C1104="",""," | "&amp;INDEX(Mapping!$B$5:$B$25,MATCH($C1104,Mapping!$A$5:$A$25,0))&amp;" | "&amp;INDEX(Mapping!$B$29:$B$38,MATCH($B1104,Mapping!$A$29:$A$38,0)))</f>
        <v/>
      </c>
      <c r="I1104" s="5">
        <f>INDEX(Variables!$C$5:$C$65,MATCH($A1104,Variables!$A$5:$A$65,0))</f>
        <v/>
      </c>
      <c r="J1104" s="5">
        <f>INDEX(Variables!$E$5:$E$65,MATCH($A1104,Variables!$A$5:$A$65,0))</f>
        <v/>
      </c>
      <c r="K1104" s="23">
        <f>LOWER(Settings!$C$4)&amp;".mit."&amp;$A1104&amp;IF($C1104="","","."&amp;$C1104&amp;"."&amp;$B1104)&amp;IF(INDEX(Variables!$D$5:$D$65,MATCH($A1104,Variables!$A$5:$A$65,0))="","","."&amp;INDEX(Variables!$D$5:$D$65,MATCH($A1104,Variables!$A$5:$A$65,0)))&amp;"."&amp;K$5</f>
        <v/>
      </c>
      <c r="L1104" s="40">
        <f>INDEX(Inputs!$V$5:$V$132,MATCH($B1104&amp;"|"&amp;$C1104,Inputs!$A$5:$A$132,0))</f>
        <v/>
      </c>
      <c r="M1104" s="41">
        <f>L1104*(1/(1+$G1104))^(1+$E1104)*(1+M$7)^$D1104*(M1086/L1086)^$E1104*((M1086+M1095)/(L1086+L1095))^($F1104*(1+$E1104))</f>
        <v/>
      </c>
      <c r="N1104" s="41">
        <f>M1104*(1/(1+$G1104))^(1+$E1104)*(1+N$7)^$D1104*(N1086/M1086)^$E1104*((N1086+N1095)/(M1086+M1095))^($F1104*(1+$E1104))</f>
        <v/>
      </c>
      <c r="O1104" s="41">
        <f>N1104*(1/(1+$G1104))^(1+$E1104)*(1+O$7)^$D1104*(O1086/N1086)^$E1104*((O1086+O1095)/(N1086+N1095))^($F1104*(1+$E1104))</f>
        <v/>
      </c>
      <c r="P1104" s="41">
        <f>O1104*(1/(1+$G1104))^(1+$E1104)*(1+P$7)^$D1104*(P1086/O1086)^$E1104*((P1086+P1095)/(O1086+O1095))^($F1104*(1+$E1104))</f>
        <v/>
      </c>
      <c r="Q1104" s="41">
        <f>P1104*(1/(1+$G1104))^(1+$E1104)*(1+Q$7)^$D1104*(Q1086/P1086)^$E1104*((Q1086+Q1095)/(P1086+P1095))^($F1104*(1+$E1104))</f>
        <v/>
      </c>
      <c r="R1104" s="41">
        <f>Q1104*(1/(1+$G1104))^(1+$E1104)*(1+R$7)^$D1104*(R1086/Q1086)^$E1104*((R1086+R1095)/(Q1086+Q1095))^($F1104*(1+$E1104))</f>
        <v/>
      </c>
      <c r="S1104" s="41">
        <f>R1104*(1/(1+$G1104))^(1+$E1104)*(1+S$7)^$D1104*(S1086/R1086)^$E1104*((S1086+S1095)/(R1086+R1095))^($F1104*(1+$E1104))</f>
        <v/>
      </c>
      <c r="T1104" s="41">
        <f>S1104*(1/(1+$G1104))^(1+$E1104)*(1+T$7)^$D1104*(T1086/S1086)^$E1104*((T1086+T1095)/(S1086+S1095))^($F1104*(1+$E1104))</f>
        <v/>
      </c>
      <c r="U1104" s="41">
        <f>T1104*(1/(1+$G1104))^(1+$E1104)*(1+U$7)^$D1104*(U1086/T1086)^$E1104*((U1086+U1095)/(T1086+T1095))^($F1104*(1+$E1104))</f>
        <v/>
      </c>
      <c r="V1104" s="41">
        <f>U1104*(1/(1+$G1104))^(1+$E1104)*(1+V$7)^$D1104*(V1086/U1086)^$E1104*((V1086+V1095)/(U1086+U1095))^($F1104*(1+$E1104))</f>
        <v/>
      </c>
      <c r="W1104" s="41">
        <f>V1104*(1/(1+$G1104))^(1+$E1104)*(1+W$7)^$D1104*(W1086/V1086)^$E1104*((W1086+W1095)/(V1086+V1095))^($F1104*(1+$E1104))</f>
        <v/>
      </c>
      <c r="X1104" s="41">
        <f>W1104*(1/(1+$G1104))^(1+$E1104)*(1+X$7)^$D1104*(X1086/W1086)^$E1104*((X1086+X1095)/(W1086+W1095))^($F1104*(1+$E1104))</f>
        <v/>
      </c>
      <c r="Y1104" s="42">
        <f>FUELUSE(X1104,Y1086,X1086,Y1095,X1095,Y$7,$D1104,$E1104,$F1104,$G1104)</f>
        <v/>
      </c>
      <c r="Z1104" s="23">
        <f>LOWER(Settings!$C$4)&amp;".mit."&amp;$A1104&amp;IF($C1104="","","."&amp;$C1104&amp;"."&amp;$B1104)&amp;IF(INDEX(Variables!$D$5:$D$65,MATCH($A1104,Variables!$A$5:$A$65,0))="","","."&amp;INDEX(Variables!$D$5:$D$65,MATCH($A1104,Variables!$A$5:$A$65,0)))&amp;"."&amp;Z$5</f>
        <v/>
      </c>
      <c r="AA1104" s="40">
        <f>INDEX(Inputs!$V$5:$V$132,MATCH($B1104&amp;"|"&amp;$C1104,Inputs!$A$5:$A$132,0))</f>
        <v/>
      </c>
      <c r="AB1104" s="41">
        <f>AA1104*(1/(1+$G1104))^(1+$E1104)*(1+AB$7)^$D1104*(AB1086/AA1086)^$E1104*((AB1086+AB1095)/(AA1086+AA1095))^($F1104*(1+$E1104))</f>
        <v/>
      </c>
      <c r="AC1104" s="41">
        <f>AB1104*(1/(1+$G1104))^(1+$E1104)*(1+AC$7)^$D1104*(AC1086/AB1086)^$E1104*((AC1086+AC1095)/(AB1086+AB1095))^($F1104*(1+$E1104))</f>
        <v/>
      </c>
      <c r="AD1104" s="41">
        <f>AC1104*(1/(1+$G1104))^(1+$E1104)*(1+AD$7)^$D1104*(AD1086/AC1086)^$E1104*((AD1086+AD1095)/(AC1086+AC1095))^($F1104*(1+$E1104))</f>
        <v/>
      </c>
      <c r="AE1104" s="41">
        <f>AD1104*(1/(1+$G1104))^(1+$E1104)*(1+AE$7)^$D1104*(AE1086/AD1086)^$E1104*((AE1086+AE1095)/(AD1086+AD1095))^($F1104*(1+$E1104))</f>
        <v/>
      </c>
      <c r="AF1104" s="41">
        <f>AE1104*(1/(1+$G1104))^(1+$E1104)*(1+AF$7)^$D1104*(AF1086/AE1086)^$E1104*((AF1086+AF1095)/(AE1086+AE1095))^($F1104*(1+$E1104))</f>
        <v/>
      </c>
      <c r="AG1104" s="41">
        <f>AF1104*(1/(1+$G1104))^(1+$E1104)*(1+AG$7)^$D1104*(AG1086/AF1086)^$E1104*((AG1086+AG1095)/(AF1086+AF1095))^($F1104*(1+$E1104))</f>
        <v/>
      </c>
      <c r="AH1104" s="41">
        <f>AG1104*(1/(1+$G1104))^(1+$E1104)*(1+AH$7)^$D1104*(AH1086/AG1086)^$E1104*((AH1086+AH1095)/(AG1086+AG1095))^($F1104*(1+$E1104))</f>
        <v/>
      </c>
      <c r="AI1104" s="41">
        <f>AH1104*(1/(1+$G1104))^(1+$E1104)*(1+AI$7)^$D1104*(AI1086/AH1086)^$E1104*((AI1086+AI1095)/(AH1086+AH1095))^($F1104*(1+$E1104))</f>
        <v/>
      </c>
      <c r="AJ1104" s="41">
        <f>AI1104*(1/(1+$G1104))^(1+$E1104)*(1+AJ$7)^$D1104*(AJ1086/AI1086)^$E1104*((AJ1086+AJ1095)/(AI1086+AI1095))^($F1104*(1+$E1104))</f>
        <v/>
      </c>
      <c r="AK1104" s="41">
        <f>AJ1104*(1/(1+$G1104))^(1+$E1104)*(1+AK$7)^$D1104*(AK1086/AJ1086)^$E1104*((AK1086+AK1095)/(AJ1086+AJ1095))^($F1104*(1+$E1104))</f>
        <v/>
      </c>
      <c r="AL1104" s="41">
        <f>AK1104*(1/(1+$G1104))^(1+$E1104)*(1+AL$7)^$D1104*(AL1086/AK1086)^$E1104*((AL1086+AL1095)/(AK1086+AK1095))^($F1104*(1+$E1104))</f>
        <v/>
      </c>
      <c r="AM1104" s="41">
        <f>AL1104*(1/(1+$G1104))^(1+$E1104)*(1+AM$7)^$D1104*(AM1086/AL1086)^$E1104*((AM1086+AM1095)/(AL1086+AL1095))^($F1104*(1+$E1104))</f>
        <v/>
      </c>
      <c r="AN1104" s="42">
        <f>FUELUSE(AM1104,AN1086,AM1086,AN1095,AM1095,AN$7,$D1104,$E1104,$F1104,$G1104)</f>
        <v/>
      </c>
    </row>
    <row r="1105" hidden="1" outlineLevel="2"/>
    <row r="1106" outlineLevel="1" collapsed="1">
      <c r="A1106" s="7" t="inlineStr">
        <is>
          <t>ener</t>
        </is>
      </c>
      <c r="B1106" s="7" t="inlineStr">
        <is>
          <t>all</t>
        </is>
      </c>
      <c r="C1106" s="7" t="inlineStr">
        <is>
          <t>cst</t>
        </is>
      </c>
      <c r="H1106" s="7">
        <f>INDEX(Variables!$B$5:$B$65,MATCH($A1106,Variables!$A$5:$A$65,0))&amp;IF($C1106="",""," | "&amp;INDEX(Mapping!$B$5:$B$25,MATCH($C1106,Mapping!$A$5:$A$25,0))&amp;" | "&amp;INDEX(Mapping!$B$29:$B$38,MATCH($B1106,Mapping!$A$29:$A$38,0)))</f>
        <v/>
      </c>
      <c r="I1106" s="7">
        <f>INDEX(Variables!$C$5:$C$65,MATCH($A1106,Variables!$A$5:$A$65,0))</f>
        <v/>
      </c>
      <c r="J1106" s="7">
        <f>INDEX(Variables!$E$5:$E$65,MATCH($A1106,Variables!$A$5:$A$65,0))</f>
        <v/>
      </c>
      <c r="K1106" s="26">
        <f>LOWER(Settings!$C$4)&amp;".mit."&amp;$A1106&amp;IF($C1106="","","."&amp;$C1106&amp;"."&amp;$B1106)&amp;IF(INDEX(Variables!$D$5:$D$65,MATCH($A1106,Variables!$A$5:$A$65,0))="","","."&amp;INDEX(Variables!$D$5:$D$65,MATCH($A1106,Variables!$A$5:$A$65,0)))&amp;"."&amp;K$5</f>
        <v/>
      </c>
      <c r="L1106" s="34">
        <f>SUM(L1170:L1177)</f>
        <v/>
      </c>
      <c r="M1106" s="35">
        <f>SUM(M1170:M1177)</f>
        <v/>
      </c>
      <c r="N1106" s="35">
        <f>SUM(N1170:N1177)</f>
        <v/>
      </c>
      <c r="O1106" s="35">
        <f>SUM(O1170:O1177)</f>
        <v/>
      </c>
      <c r="P1106" s="35">
        <f>SUM(P1170:P1177)</f>
        <v/>
      </c>
      <c r="Q1106" s="35">
        <f>SUM(Q1170:Q1177)</f>
        <v/>
      </c>
      <c r="R1106" s="35">
        <f>SUM(R1170:R1177)</f>
        <v/>
      </c>
      <c r="S1106" s="35">
        <f>SUM(S1170:S1177)</f>
        <v/>
      </c>
      <c r="T1106" s="35">
        <f>SUM(T1170:T1177)</f>
        <v/>
      </c>
      <c r="U1106" s="35">
        <f>SUM(U1170:U1177)</f>
        <v/>
      </c>
      <c r="V1106" s="35">
        <f>SUM(V1170:V1177)</f>
        <v/>
      </c>
      <c r="W1106" s="35">
        <f>SUM(W1170:W1177)</f>
        <v/>
      </c>
      <c r="X1106" s="35">
        <f>SUM(X1170:X1177)</f>
        <v/>
      </c>
      <c r="Y1106" s="35">
        <f>SUM(Y1170:Y1177)</f>
        <v/>
      </c>
      <c r="Z1106" s="26">
        <f>LOWER(Settings!$C$4)&amp;".mit."&amp;$A1106&amp;IF($C1106="","","."&amp;$C1106&amp;"."&amp;$B1106)&amp;IF(INDEX(Variables!$D$5:$D$65,MATCH($A1106,Variables!$A$5:$A$65,0))="","","."&amp;INDEX(Variables!$D$5:$D$65,MATCH($A1106,Variables!$A$5:$A$65,0)))&amp;"."&amp;Z$5</f>
        <v/>
      </c>
      <c r="AA1106" s="34">
        <f>SUM(AA1170:AA1177)</f>
        <v/>
      </c>
      <c r="AB1106" s="35">
        <f>SUM(AB1170:AB1177)</f>
        <v/>
      </c>
      <c r="AC1106" s="35">
        <f>SUM(AC1170:AC1177)</f>
        <v/>
      </c>
      <c r="AD1106" s="35">
        <f>SUM(AD1170:AD1177)</f>
        <v/>
      </c>
      <c r="AE1106" s="35">
        <f>SUM(AE1170:AE1177)</f>
        <v/>
      </c>
      <c r="AF1106" s="35">
        <f>SUM(AF1170:AF1177)</f>
        <v/>
      </c>
      <c r="AG1106" s="35">
        <f>SUM(AG1170:AG1177)</f>
        <v/>
      </c>
      <c r="AH1106" s="35">
        <f>SUM(AH1170:AH1177)</f>
        <v/>
      </c>
      <c r="AI1106" s="35">
        <f>SUM(AI1170:AI1177)</f>
        <v/>
      </c>
      <c r="AJ1106" s="35">
        <f>SUM(AJ1170:AJ1177)</f>
        <v/>
      </c>
      <c r="AK1106" s="35">
        <f>SUM(AK1170:AK1177)</f>
        <v/>
      </c>
      <c r="AL1106" s="35">
        <f>SUM(AL1170:AL1177)</f>
        <v/>
      </c>
      <c r="AM1106" s="35">
        <f>SUM(AM1170:AM1177)</f>
        <v/>
      </c>
      <c r="AN1106" s="35">
        <f>SUM(AN1170:AN1177)</f>
        <v/>
      </c>
    </row>
    <row r="1107" hidden="1" outlineLevel="2">
      <c r="A1107" s="5" t="inlineStr">
        <is>
          <t>sp</t>
        </is>
      </c>
      <c r="B1107" s="5" t="inlineStr">
        <is>
          <t>coa</t>
        </is>
      </c>
      <c r="C1107" s="5" t="inlineStr">
        <is>
          <t>cst</t>
        </is>
      </c>
      <c r="D1107" s="36">
        <f>INDEX(Inputs!$R$5:$R$132,MATCH($B1107&amp;"|"&amp;$C1107,Inputs!$A$5:$A$132,0))</f>
        <v/>
      </c>
      <c r="E1107" s="37" t="n"/>
      <c r="F1107" s="37" t="n"/>
      <c r="G1107" s="37" t="n"/>
      <c r="H1107" s="5">
        <f>INDEX(Variables!$B$5:$B$65,MATCH($A1107,Variables!$A$5:$A$65,0))&amp;IF($C1107="",""," | "&amp;INDEX(Mapping!$B$5:$B$25,MATCH($C1107,Mapping!$A$5:$A$25,0))&amp;" | "&amp;INDEX(Mapping!$B$29:$B$38,MATCH($B1107,Mapping!$A$29:$A$38,0)))</f>
        <v/>
      </c>
      <c r="I1107" s="5">
        <f>INDEX(Variables!$C$5:$C$65,MATCH($A1107,Variables!$A$5:$A$65,0))</f>
        <v/>
      </c>
      <c r="J1107" s="5">
        <f>INDEX(Variables!$E$5:$E$65,MATCH($A1107,Variables!$A$5:$A$65,0))</f>
        <v/>
      </c>
      <c r="K1107" s="23">
        <f>LOWER(Settings!$C$4)&amp;".mit."&amp;$A1107&amp;IF($C1107="","","."&amp;$C1107&amp;"."&amp;$B1107)&amp;IF(INDEX(Variables!$D$5:$D$65,MATCH($A1107,Variables!$A$5:$A$65,0))="","","."&amp;INDEX(Variables!$D$5:$D$65,MATCH($A1107,Variables!$A$5:$A$65,0)))&amp;"."&amp;K$5</f>
        <v/>
      </c>
      <c r="L1107" s="38">
        <f>INDEX(Inputs!$S$5:$S$132,MATCH($B1107&amp;"|"&amp;$C1107,Inputs!$A$5:$A$132,0))</f>
        <v/>
      </c>
      <c r="M1107" s="36">
        <f>L1107*(1+$D1107)</f>
        <v/>
      </c>
      <c r="N1107" s="36">
        <f>M1107*(1+$D1107)</f>
        <v/>
      </c>
      <c r="O1107" s="36">
        <f>N1107*(1+$D1107)</f>
        <v/>
      </c>
      <c r="P1107" s="36">
        <f>O1107*(1+$D1107)</f>
        <v/>
      </c>
      <c r="Q1107" s="36">
        <f>P1107*(1+$D1107)</f>
        <v/>
      </c>
      <c r="R1107" s="36">
        <f>Q1107*(1+$D1107)</f>
        <v/>
      </c>
      <c r="S1107" s="36">
        <f>R1107*(1+$D1107)</f>
        <v/>
      </c>
      <c r="T1107" s="36">
        <f>S1107*(1+$D1107)</f>
        <v/>
      </c>
      <c r="U1107" s="36">
        <f>T1107*(1+$D1107)</f>
        <v/>
      </c>
      <c r="V1107" s="36">
        <f>U1107*(1+$D1107)</f>
        <v/>
      </c>
      <c r="W1107" s="36">
        <f>V1107*(1+$D1107)</f>
        <v/>
      </c>
      <c r="X1107" s="36">
        <f>W1107*(1+$D1107)</f>
        <v/>
      </c>
      <c r="Y1107" s="39">
        <f>PRETAX(X1107,$D1107)</f>
        <v/>
      </c>
      <c r="Z1107" s="23">
        <f>LOWER(Settings!$C$4)&amp;".mit."&amp;$A1107&amp;IF($C1107="","","."&amp;$C1107&amp;"."&amp;$B1107)&amp;IF(INDEX(Variables!$D$5:$D$65,MATCH($A1107,Variables!$A$5:$A$65,0))="","","."&amp;INDEX(Variables!$D$5:$D$65,MATCH($A1107,Variables!$A$5:$A$65,0)))&amp;"."&amp;Z$5</f>
        <v/>
      </c>
      <c r="AA1107" s="38">
        <f>INDEX(Inputs!$S$5:$S$132,MATCH($B1107&amp;"|"&amp;$C1107,Inputs!$A$5:$A$132,0))</f>
        <v/>
      </c>
      <c r="AB1107" s="36">
        <f>AA1107*(1+$D1107)</f>
        <v/>
      </c>
      <c r="AC1107" s="36">
        <f>AB1107*(1+$D1107)</f>
        <v/>
      </c>
      <c r="AD1107" s="36">
        <f>AC1107*(1+$D1107)</f>
        <v/>
      </c>
      <c r="AE1107" s="36">
        <f>AD1107*(1+$D1107)</f>
        <v/>
      </c>
      <c r="AF1107" s="36">
        <f>AE1107*(1+$D1107)</f>
        <v/>
      </c>
      <c r="AG1107" s="36">
        <f>AF1107*(1+$D1107)</f>
        <v/>
      </c>
      <c r="AH1107" s="36">
        <f>AG1107*(1+$D1107)</f>
        <v/>
      </c>
      <c r="AI1107" s="36">
        <f>AH1107*(1+$D1107)</f>
        <v/>
      </c>
      <c r="AJ1107" s="36">
        <f>AI1107*(1+$D1107)</f>
        <v/>
      </c>
      <c r="AK1107" s="36">
        <f>AJ1107*(1+$D1107)</f>
        <v/>
      </c>
      <c r="AL1107" s="36">
        <f>AK1107*(1+$D1107)</f>
        <v/>
      </c>
      <c r="AM1107" s="36">
        <f>AL1107*(1+$D1107)</f>
        <v/>
      </c>
      <c r="AN1107" s="39">
        <f>PRETAX(AM1107,$D1107)</f>
        <v/>
      </c>
    </row>
    <row r="1108" hidden="1" outlineLevel="2">
      <c r="A1108" s="5" t="inlineStr">
        <is>
          <t>sp</t>
        </is>
      </c>
      <c r="B1108" s="5" t="inlineStr">
        <is>
          <t>nga</t>
        </is>
      </c>
      <c r="C1108" s="5" t="inlineStr">
        <is>
          <t>cst</t>
        </is>
      </c>
      <c r="D1108" s="36">
        <f>INDEX(Inputs!$R$5:$R$132,MATCH($B1108&amp;"|"&amp;$C1108,Inputs!$A$5:$A$132,0))</f>
        <v/>
      </c>
      <c r="E1108" s="37" t="n"/>
      <c r="F1108" s="37" t="n"/>
      <c r="G1108" s="37" t="n"/>
      <c r="H1108" s="5">
        <f>INDEX(Variables!$B$5:$B$65,MATCH($A1108,Variables!$A$5:$A$65,0))&amp;IF($C1108="",""," | "&amp;INDEX(Mapping!$B$5:$B$25,MATCH($C1108,Mapping!$A$5:$A$25,0))&amp;" | "&amp;INDEX(Mapping!$B$29:$B$38,MATCH($B1108,Mapping!$A$29:$A$38,0)))</f>
        <v/>
      </c>
      <c r="I1108" s="5">
        <f>INDEX(Variables!$C$5:$C$65,MATCH($A1108,Variables!$A$5:$A$65,0))</f>
        <v/>
      </c>
      <c r="J1108" s="5">
        <f>INDEX(Variables!$E$5:$E$65,MATCH($A1108,Variables!$A$5:$A$65,0))</f>
        <v/>
      </c>
      <c r="K1108" s="23">
        <f>LOWER(Settings!$C$4)&amp;".mit."&amp;$A1108&amp;IF($C1108="","","."&amp;$C1108&amp;"."&amp;$B1108)&amp;IF(INDEX(Variables!$D$5:$D$65,MATCH($A1108,Variables!$A$5:$A$65,0))="","","."&amp;INDEX(Variables!$D$5:$D$65,MATCH($A1108,Variables!$A$5:$A$65,0)))&amp;"."&amp;K$5</f>
        <v/>
      </c>
      <c r="L1108" s="38">
        <f>INDEX(Inputs!$S$5:$S$132,MATCH($B1108&amp;"|"&amp;$C1108,Inputs!$A$5:$A$132,0))</f>
        <v/>
      </c>
      <c r="M1108" s="36">
        <f>L1108*(1+$D1108)</f>
        <v/>
      </c>
      <c r="N1108" s="36">
        <f>M1108*(1+$D1108)</f>
        <v/>
      </c>
      <c r="O1108" s="36">
        <f>N1108*(1+$D1108)</f>
        <v/>
      </c>
      <c r="P1108" s="36">
        <f>O1108*(1+$D1108)</f>
        <v/>
      </c>
      <c r="Q1108" s="36">
        <f>P1108*(1+$D1108)</f>
        <v/>
      </c>
      <c r="R1108" s="36">
        <f>Q1108*(1+$D1108)</f>
        <v/>
      </c>
      <c r="S1108" s="36">
        <f>R1108*(1+$D1108)</f>
        <v/>
      </c>
      <c r="T1108" s="36">
        <f>S1108*(1+$D1108)</f>
        <v/>
      </c>
      <c r="U1108" s="36">
        <f>T1108*(1+$D1108)</f>
        <v/>
      </c>
      <c r="V1108" s="36">
        <f>U1108*(1+$D1108)</f>
        <v/>
      </c>
      <c r="W1108" s="36">
        <f>V1108*(1+$D1108)</f>
        <v/>
      </c>
      <c r="X1108" s="36">
        <f>W1108*(1+$D1108)</f>
        <v/>
      </c>
      <c r="Y1108" s="39">
        <f>PRETAX(X1108,$D1108)</f>
        <v/>
      </c>
      <c r="Z1108" s="23">
        <f>LOWER(Settings!$C$4)&amp;".mit."&amp;$A1108&amp;IF($C1108="","","."&amp;$C1108&amp;"."&amp;$B1108)&amp;IF(INDEX(Variables!$D$5:$D$65,MATCH($A1108,Variables!$A$5:$A$65,0))="","","."&amp;INDEX(Variables!$D$5:$D$65,MATCH($A1108,Variables!$A$5:$A$65,0)))&amp;"."&amp;Z$5</f>
        <v/>
      </c>
      <c r="AA1108" s="38">
        <f>INDEX(Inputs!$S$5:$S$132,MATCH($B1108&amp;"|"&amp;$C1108,Inputs!$A$5:$A$132,0))</f>
        <v/>
      </c>
      <c r="AB1108" s="36">
        <f>AA1108*(1+$D1108)</f>
        <v/>
      </c>
      <c r="AC1108" s="36">
        <f>AB1108*(1+$D1108)</f>
        <v/>
      </c>
      <c r="AD1108" s="36">
        <f>AC1108*(1+$D1108)</f>
        <v/>
      </c>
      <c r="AE1108" s="36">
        <f>AD1108*(1+$D1108)</f>
        <v/>
      </c>
      <c r="AF1108" s="36">
        <f>AE1108*(1+$D1108)</f>
        <v/>
      </c>
      <c r="AG1108" s="36">
        <f>AF1108*(1+$D1108)</f>
        <v/>
      </c>
      <c r="AH1108" s="36">
        <f>AG1108*(1+$D1108)</f>
        <v/>
      </c>
      <c r="AI1108" s="36">
        <f>AH1108*(1+$D1108)</f>
        <v/>
      </c>
      <c r="AJ1108" s="36">
        <f>AI1108*(1+$D1108)</f>
        <v/>
      </c>
      <c r="AK1108" s="36">
        <f>AJ1108*(1+$D1108)</f>
        <v/>
      </c>
      <c r="AL1108" s="36">
        <f>AK1108*(1+$D1108)</f>
        <v/>
      </c>
      <c r="AM1108" s="36">
        <f>AL1108*(1+$D1108)</f>
        <v/>
      </c>
      <c r="AN1108" s="39">
        <f>PRETAX(AM1108,$D1108)</f>
        <v/>
      </c>
    </row>
    <row r="1109" hidden="1" outlineLevel="2">
      <c r="A1109" s="5" t="inlineStr">
        <is>
          <t>sp</t>
        </is>
      </c>
      <c r="B1109" s="5" t="inlineStr">
        <is>
          <t>gso</t>
        </is>
      </c>
      <c r="C1109" s="5" t="inlineStr">
        <is>
          <t>cst</t>
        </is>
      </c>
      <c r="D1109" s="36">
        <f>INDEX(Inputs!$R$5:$R$132,MATCH($B1109&amp;"|"&amp;$C1109,Inputs!$A$5:$A$132,0))</f>
        <v/>
      </c>
      <c r="E1109" s="37" t="n"/>
      <c r="F1109" s="37" t="n"/>
      <c r="G1109" s="37" t="n"/>
      <c r="H1109" s="5">
        <f>INDEX(Variables!$B$5:$B$65,MATCH($A1109,Variables!$A$5:$A$65,0))&amp;IF($C1109="",""," | "&amp;INDEX(Mapping!$B$5:$B$25,MATCH($C1109,Mapping!$A$5:$A$25,0))&amp;" | "&amp;INDEX(Mapping!$B$29:$B$38,MATCH($B1109,Mapping!$A$29:$A$38,0)))</f>
        <v/>
      </c>
      <c r="I1109" s="5">
        <f>INDEX(Variables!$C$5:$C$65,MATCH($A1109,Variables!$A$5:$A$65,0))</f>
        <v/>
      </c>
      <c r="J1109" s="5">
        <f>INDEX(Variables!$E$5:$E$65,MATCH($A1109,Variables!$A$5:$A$65,0))</f>
        <v/>
      </c>
      <c r="K1109" s="23">
        <f>LOWER(Settings!$C$4)&amp;".mit."&amp;$A1109&amp;IF($C1109="","","."&amp;$C1109&amp;"."&amp;$B1109)&amp;IF(INDEX(Variables!$D$5:$D$65,MATCH($A1109,Variables!$A$5:$A$65,0))="","","."&amp;INDEX(Variables!$D$5:$D$65,MATCH($A1109,Variables!$A$5:$A$65,0)))&amp;"."&amp;K$5</f>
        <v/>
      </c>
      <c r="L1109" s="38">
        <f>INDEX(Inputs!$S$5:$S$132,MATCH($B1109&amp;"|"&amp;$C1109,Inputs!$A$5:$A$132,0))</f>
        <v/>
      </c>
      <c r="M1109" s="36">
        <f>L1109*(1+$D1109)</f>
        <v/>
      </c>
      <c r="N1109" s="36">
        <f>M1109*(1+$D1109)</f>
        <v/>
      </c>
      <c r="O1109" s="36">
        <f>N1109*(1+$D1109)</f>
        <v/>
      </c>
      <c r="P1109" s="36">
        <f>O1109*(1+$D1109)</f>
        <v/>
      </c>
      <c r="Q1109" s="36">
        <f>P1109*(1+$D1109)</f>
        <v/>
      </c>
      <c r="R1109" s="36">
        <f>Q1109*(1+$D1109)</f>
        <v/>
      </c>
      <c r="S1109" s="36">
        <f>R1109*(1+$D1109)</f>
        <v/>
      </c>
      <c r="T1109" s="36">
        <f>S1109*(1+$D1109)</f>
        <v/>
      </c>
      <c r="U1109" s="36">
        <f>T1109*(1+$D1109)</f>
        <v/>
      </c>
      <c r="V1109" s="36">
        <f>U1109*(1+$D1109)</f>
        <v/>
      </c>
      <c r="W1109" s="36">
        <f>V1109*(1+$D1109)</f>
        <v/>
      </c>
      <c r="X1109" s="36">
        <f>W1109*(1+$D1109)</f>
        <v/>
      </c>
      <c r="Y1109" s="39">
        <f>PRETAX(X1109,$D1109)</f>
        <v/>
      </c>
      <c r="Z1109" s="23">
        <f>LOWER(Settings!$C$4)&amp;".mit."&amp;$A1109&amp;IF($C1109="","","."&amp;$C1109&amp;"."&amp;$B1109)&amp;IF(INDEX(Variables!$D$5:$D$65,MATCH($A1109,Variables!$A$5:$A$65,0))="","","."&amp;INDEX(Variables!$D$5:$D$65,MATCH($A1109,Variables!$A$5:$A$65,0)))&amp;"."&amp;Z$5</f>
        <v/>
      </c>
      <c r="AA1109" s="38">
        <f>INDEX(Inputs!$S$5:$S$132,MATCH($B1109&amp;"|"&amp;$C1109,Inputs!$A$5:$A$132,0))</f>
        <v/>
      </c>
      <c r="AB1109" s="36">
        <f>AA1109*(1+$D1109)</f>
        <v/>
      </c>
      <c r="AC1109" s="36">
        <f>AB1109*(1+$D1109)</f>
        <v/>
      </c>
      <c r="AD1109" s="36">
        <f>AC1109*(1+$D1109)</f>
        <v/>
      </c>
      <c r="AE1109" s="36">
        <f>AD1109*(1+$D1109)</f>
        <v/>
      </c>
      <c r="AF1109" s="36">
        <f>AE1109*(1+$D1109)</f>
        <v/>
      </c>
      <c r="AG1109" s="36">
        <f>AF1109*(1+$D1109)</f>
        <v/>
      </c>
      <c r="AH1109" s="36">
        <f>AG1109*(1+$D1109)</f>
        <v/>
      </c>
      <c r="AI1109" s="36">
        <f>AH1109*(1+$D1109)</f>
        <v/>
      </c>
      <c r="AJ1109" s="36">
        <f>AI1109*(1+$D1109)</f>
        <v/>
      </c>
      <c r="AK1109" s="36">
        <f>AJ1109*(1+$D1109)</f>
        <v/>
      </c>
      <c r="AL1109" s="36">
        <f>AK1109*(1+$D1109)</f>
        <v/>
      </c>
      <c r="AM1109" s="36">
        <f>AL1109*(1+$D1109)</f>
        <v/>
      </c>
      <c r="AN1109" s="39">
        <f>PRETAX(AM1109,$D1109)</f>
        <v/>
      </c>
    </row>
    <row r="1110" hidden="1" outlineLevel="2">
      <c r="A1110" s="5" t="inlineStr">
        <is>
          <t>sp</t>
        </is>
      </c>
      <c r="B1110" s="5" t="inlineStr">
        <is>
          <t>die</t>
        </is>
      </c>
      <c r="C1110" s="5" t="inlineStr">
        <is>
          <t>cst</t>
        </is>
      </c>
      <c r="D1110" s="36">
        <f>INDEX(Inputs!$R$5:$R$132,MATCH($B1110&amp;"|"&amp;$C1110,Inputs!$A$5:$A$132,0))</f>
        <v/>
      </c>
      <c r="E1110" s="37" t="n"/>
      <c r="F1110" s="37" t="n"/>
      <c r="G1110" s="37" t="n"/>
      <c r="H1110" s="5">
        <f>INDEX(Variables!$B$5:$B$65,MATCH($A1110,Variables!$A$5:$A$65,0))&amp;IF($C1110="",""," | "&amp;INDEX(Mapping!$B$5:$B$25,MATCH($C1110,Mapping!$A$5:$A$25,0))&amp;" | "&amp;INDEX(Mapping!$B$29:$B$38,MATCH($B1110,Mapping!$A$29:$A$38,0)))</f>
        <v/>
      </c>
      <c r="I1110" s="5">
        <f>INDEX(Variables!$C$5:$C$65,MATCH($A1110,Variables!$A$5:$A$65,0))</f>
        <v/>
      </c>
      <c r="J1110" s="5">
        <f>INDEX(Variables!$E$5:$E$65,MATCH($A1110,Variables!$A$5:$A$65,0))</f>
        <v/>
      </c>
      <c r="K1110" s="23">
        <f>LOWER(Settings!$C$4)&amp;".mit."&amp;$A1110&amp;IF($C1110="","","."&amp;$C1110&amp;"."&amp;$B1110)&amp;IF(INDEX(Variables!$D$5:$D$65,MATCH($A1110,Variables!$A$5:$A$65,0))="","","."&amp;INDEX(Variables!$D$5:$D$65,MATCH($A1110,Variables!$A$5:$A$65,0)))&amp;"."&amp;K$5</f>
        <v/>
      </c>
      <c r="L1110" s="38">
        <f>INDEX(Inputs!$S$5:$S$132,MATCH($B1110&amp;"|"&amp;$C1110,Inputs!$A$5:$A$132,0))</f>
        <v/>
      </c>
      <c r="M1110" s="36">
        <f>L1110*(1+$D1110)</f>
        <v/>
      </c>
      <c r="N1110" s="36">
        <f>M1110*(1+$D1110)</f>
        <v/>
      </c>
      <c r="O1110" s="36">
        <f>N1110*(1+$D1110)</f>
        <v/>
      </c>
      <c r="P1110" s="36">
        <f>O1110*(1+$D1110)</f>
        <v/>
      </c>
      <c r="Q1110" s="36">
        <f>P1110*(1+$D1110)</f>
        <v/>
      </c>
      <c r="R1110" s="36">
        <f>Q1110*(1+$D1110)</f>
        <v/>
      </c>
      <c r="S1110" s="36">
        <f>R1110*(1+$D1110)</f>
        <v/>
      </c>
      <c r="T1110" s="36">
        <f>S1110*(1+$D1110)</f>
        <v/>
      </c>
      <c r="U1110" s="36">
        <f>T1110*(1+$D1110)</f>
        <v/>
      </c>
      <c r="V1110" s="36">
        <f>U1110*(1+$D1110)</f>
        <v/>
      </c>
      <c r="W1110" s="36">
        <f>V1110*(1+$D1110)</f>
        <v/>
      </c>
      <c r="X1110" s="36">
        <f>W1110*(1+$D1110)</f>
        <v/>
      </c>
      <c r="Y1110" s="39">
        <f>PRETAX(X1110,$D1110)</f>
        <v/>
      </c>
      <c r="Z1110" s="23">
        <f>LOWER(Settings!$C$4)&amp;".mit."&amp;$A1110&amp;IF($C1110="","","."&amp;$C1110&amp;"."&amp;$B1110)&amp;IF(INDEX(Variables!$D$5:$D$65,MATCH($A1110,Variables!$A$5:$A$65,0))="","","."&amp;INDEX(Variables!$D$5:$D$65,MATCH($A1110,Variables!$A$5:$A$65,0)))&amp;"."&amp;Z$5</f>
        <v/>
      </c>
      <c r="AA1110" s="38">
        <f>INDEX(Inputs!$S$5:$S$132,MATCH($B1110&amp;"|"&amp;$C1110,Inputs!$A$5:$A$132,0))</f>
        <v/>
      </c>
      <c r="AB1110" s="36">
        <f>AA1110*(1+$D1110)</f>
        <v/>
      </c>
      <c r="AC1110" s="36">
        <f>AB1110*(1+$D1110)</f>
        <v/>
      </c>
      <c r="AD1110" s="36">
        <f>AC1110*(1+$D1110)</f>
        <v/>
      </c>
      <c r="AE1110" s="36">
        <f>AD1110*(1+$D1110)</f>
        <v/>
      </c>
      <c r="AF1110" s="36">
        <f>AE1110*(1+$D1110)</f>
        <v/>
      </c>
      <c r="AG1110" s="36">
        <f>AF1110*(1+$D1110)</f>
        <v/>
      </c>
      <c r="AH1110" s="36">
        <f>AG1110*(1+$D1110)</f>
        <v/>
      </c>
      <c r="AI1110" s="36">
        <f>AH1110*(1+$D1110)</f>
        <v/>
      </c>
      <c r="AJ1110" s="36">
        <f>AI1110*(1+$D1110)</f>
        <v/>
      </c>
      <c r="AK1110" s="36">
        <f>AJ1110*(1+$D1110)</f>
        <v/>
      </c>
      <c r="AL1110" s="36">
        <f>AK1110*(1+$D1110)</f>
        <v/>
      </c>
      <c r="AM1110" s="36">
        <f>AL1110*(1+$D1110)</f>
        <v/>
      </c>
      <c r="AN1110" s="39">
        <f>PRETAX(AM1110,$D1110)</f>
        <v/>
      </c>
    </row>
    <row r="1111" hidden="1" outlineLevel="2">
      <c r="A1111" s="5" t="inlineStr">
        <is>
          <t>sp</t>
        </is>
      </c>
      <c r="B1111" s="5" t="inlineStr">
        <is>
          <t>lpg</t>
        </is>
      </c>
      <c r="C1111" s="5" t="inlineStr">
        <is>
          <t>cst</t>
        </is>
      </c>
      <c r="D1111" s="36">
        <f>INDEX(Inputs!$R$5:$R$132,MATCH($B1111&amp;"|"&amp;$C1111,Inputs!$A$5:$A$132,0))</f>
        <v/>
      </c>
      <c r="E1111" s="37" t="n"/>
      <c r="F1111" s="37" t="n"/>
      <c r="G1111" s="37" t="n"/>
      <c r="H1111" s="5">
        <f>INDEX(Variables!$B$5:$B$65,MATCH($A1111,Variables!$A$5:$A$65,0))&amp;IF($C1111="",""," | "&amp;INDEX(Mapping!$B$5:$B$25,MATCH($C1111,Mapping!$A$5:$A$25,0))&amp;" | "&amp;INDEX(Mapping!$B$29:$B$38,MATCH($B1111,Mapping!$A$29:$A$38,0)))</f>
        <v/>
      </c>
      <c r="I1111" s="5">
        <f>INDEX(Variables!$C$5:$C$65,MATCH($A1111,Variables!$A$5:$A$65,0))</f>
        <v/>
      </c>
      <c r="J1111" s="5">
        <f>INDEX(Variables!$E$5:$E$65,MATCH($A1111,Variables!$A$5:$A$65,0))</f>
        <v/>
      </c>
      <c r="K1111" s="23">
        <f>LOWER(Settings!$C$4)&amp;".mit."&amp;$A1111&amp;IF($C1111="","","."&amp;$C1111&amp;"."&amp;$B1111)&amp;IF(INDEX(Variables!$D$5:$D$65,MATCH($A1111,Variables!$A$5:$A$65,0))="","","."&amp;INDEX(Variables!$D$5:$D$65,MATCH($A1111,Variables!$A$5:$A$65,0)))&amp;"."&amp;K$5</f>
        <v/>
      </c>
      <c r="L1111" s="38">
        <f>INDEX(Inputs!$S$5:$S$132,MATCH($B1111&amp;"|"&amp;$C1111,Inputs!$A$5:$A$132,0))</f>
        <v/>
      </c>
      <c r="M1111" s="36">
        <f>L1111*(1+$D1111)</f>
        <v/>
      </c>
      <c r="N1111" s="36">
        <f>M1111*(1+$D1111)</f>
        <v/>
      </c>
      <c r="O1111" s="36">
        <f>N1111*(1+$D1111)</f>
        <v/>
      </c>
      <c r="P1111" s="36">
        <f>O1111*(1+$D1111)</f>
        <v/>
      </c>
      <c r="Q1111" s="36">
        <f>P1111*(1+$D1111)</f>
        <v/>
      </c>
      <c r="R1111" s="36">
        <f>Q1111*(1+$D1111)</f>
        <v/>
      </c>
      <c r="S1111" s="36">
        <f>R1111*(1+$D1111)</f>
        <v/>
      </c>
      <c r="T1111" s="36">
        <f>S1111*(1+$D1111)</f>
        <v/>
      </c>
      <c r="U1111" s="36">
        <f>T1111*(1+$D1111)</f>
        <v/>
      </c>
      <c r="V1111" s="36">
        <f>U1111*(1+$D1111)</f>
        <v/>
      </c>
      <c r="W1111" s="36">
        <f>V1111*(1+$D1111)</f>
        <v/>
      </c>
      <c r="X1111" s="36">
        <f>W1111*(1+$D1111)</f>
        <v/>
      </c>
      <c r="Y1111" s="39">
        <f>PRETAX(X1111,$D1111)</f>
        <v/>
      </c>
      <c r="Z1111" s="23">
        <f>LOWER(Settings!$C$4)&amp;".mit."&amp;$A1111&amp;IF($C1111="","","."&amp;$C1111&amp;"."&amp;$B1111)&amp;IF(INDEX(Variables!$D$5:$D$65,MATCH($A1111,Variables!$A$5:$A$65,0))="","","."&amp;INDEX(Variables!$D$5:$D$65,MATCH($A1111,Variables!$A$5:$A$65,0)))&amp;"."&amp;Z$5</f>
        <v/>
      </c>
      <c r="AA1111" s="38">
        <f>INDEX(Inputs!$S$5:$S$132,MATCH($B1111&amp;"|"&amp;$C1111,Inputs!$A$5:$A$132,0))</f>
        <v/>
      </c>
      <c r="AB1111" s="36">
        <f>AA1111*(1+$D1111)</f>
        <v/>
      </c>
      <c r="AC1111" s="36">
        <f>AB1111*(1+$D1111)</f>
        <v/>
      </c>
      <c r="AD1111" s="36">
        <f>AC1111*(1+$D1111)</f>
        <v/>
      </c>
      <c r="AE1111" s="36">
        <f>AD1111*(1+$D1111)</f>
        <v/>
      </c>
      <c r="AF1111" s="36">
        <f>AE1111*(1+$D1111)</f>
        <v/>
      </c>
      <c r="AG1111" s="36">
        <f>AF1111*(1+$D1111)</f>
        <v/>
      </c>
      <c r="AH1111" s="36">
        <f>AG1111*(1+$D1111)</f>
        <v/>
      </c>
      <c r="AI1111" s="36">
        <f>AH1111*(1+$D1111)</f>
        <v/>
      </c>
      <c r="AJ1111" s="36">
        <f>AI1111*(1+$D1111)</f>
        <v/>
      </c>
      <c r="AK1111" s="36">
        <f>AJ1111*(1+$D1111)</f>
        <v/>
      </c>
      <c r="AL1111" s="36">
        <f>AK1111*(1+$D1111)</f>
        <v/>
      </c>
      <c r="AM1111" s="36">
        <f>AL1111*(1+$D1111)</f>
        <v/>
      </c>
      <c r="AN1111" s="39">
        <f>PRETAX(AM1111,$D1111)</f>
        <v/>
      </c>
    </row>
    <row r="1112" hidden="1" outlineLevel="2">
      <c r="A1112" s="5" t="inlineStr">
        <is>
          <t>sp</t>
        </is>
      </c>
      <c r="B1112" s="5" t="inlineStr">
        <is>
          <t>ker</t>
        </is>
      </c>
      <c r="C1112" s="5" t="inlineStr">
        <is>
          <t>cst</t>
        </is>
      </c>
      <c r="D1112" s="36">
        <f>INDEX(Inputs!$R$5:$R$132,MATCH($B1112&amp;"|"&amp;$C1112,Inputs!$A$5:$A$132,0))</f>
        <v/>
      </c>
      <c r="E1112" s="37" t="n"/>
      <c r="F1112" s="37" t="n"/>
      <c r="G1112" s="37" t="n"/>
      <c r="H1112" s="5">
        <f>INDEX(Variables!$B$5:$B$65,MATCH($A1112,Variables!$A$5:$A$65,0))&amp;IF($C1112="",""," | "&amp;INDEX(Mapping!$B$5:$B$25,MATCH($C1112,Mapping!$A$5:$A$25,0))&amp;" | "&amp;INDEX(Mapping!$B$29:$B$38,MATCH($B1112,Mapping!$A$29:$A$38,0)))</f>
        <v/>
      </c>
      <c r="I1112" s="5">
        <f>INDEX(Variables!$C$5:$C$65,MATCH($A1112,Variables!$A$5:$A$65,0))</f>
        <v/>
      </c>
      <c r="J1112" s="5">
        <f>INDEX(Variables!$E$5:$E$65,MATCH($A1112,Variables!$A$5:$A$65,0))</f>
        <v/>
      </c>
      <c r="K1112" s="23">
        <f>LOWER(Settings!$C$4)&amp;".mit."&amp;$A1112&amp;IF($C1112="","","."&amp;$C1112&amp;"."&amp;$B1112)&amp;IF(INDEX(Variables!$D$5:$D$65,MATCH($A1112,Variables!$A$5:$A$65,0))="","","."&amp;INDEX(Variables!$D$5:$D$65,MATCH($A1112,Variables!$A$5:$A$65,0)))&amp;"."&amp;K$5</f>
        <v/>
      </c>
      <c r="L1112" s="38">
        <f>INDEX(Inputs!$S$5:$S$132,MATCH($B1112&amp;"|"&amp;$C1112,Inputs!$A$5:$A$132,0))</f>
        <v/>
      </c>
      <c r="M1112" s="36">
        <f>L1112*(1+$D1112)</f>
        <v/>
      </c>
      <c r="N1112" s="36">
        <f>M1112*(1+$D1112)</f>
        <v/>
      </c>
      <c r="O1112" s="36">
        <f>N1112*(1+$D1112)</f>
        <v/>
      </c>
      <c r="P1112" s="36">
        <f>O1112*(1+$D1112)</f>
        <v/>
      </c>
      <c r="Q1112" s="36">
        <f>P1112*(1+$D1112)</f>
        <v/>
      </c>
      <c r="R1112" s="36">
        <f>Q1112*(1+$D1112)</f>
        <v/>
      </c>
      <c r="S1112" s="36">
        <f>R1112*(1+$D1112)</f>
        <v/>
      </c>
      <c r="T1112" s="36">
        <f>S1112*(1+$D1112)</f>
        <v/>
      </c>
      <c r="U1112" s="36">
        <f>T1112*(1+$D1112)</f>
        <v/>
      </c>
      <c r="V1112" s="36">
        <f>U1112*(1+$D1112)</f>
        <v/>
      </c>
      <c r="W1112" s="36">
        <f>V1112*(1+$D1112)</f>
        <v/>
      </c>
      <c r="X1112" s="36">
        <f>W1112*(1+$D1112)</f>
        <v/>
      </c>
      <c r="Y1112" s="39">
        <f>PRETAX(X1112,$D1112)</f>
        <v/>
      </c>
      <c r="Z1112" s="23">
        <f>LOWER(Settings!$C$4)&amp;".mit."&amp;$A1112&amp;IF($C1112="","","."&amp;$C1112&amp;"."&amp;$B1112)&amp;IF(INDEX(Variables!$D$5:$D$65,MATCH($A1112,Variables!$A$5:$A$65,0))="","","."&amp;INDEX(Variables!$D$5:$D$65,MATCH($A1112,Variables!$A$5:$A$65,0)))&amp;"."&amp;Z$5</f>
        <v/>
      </c>
      <c r="AA1112" s="38">
        <f>INDEX(Inputs!$S$5:$S$132,MATCH($B1112&amp;"|"&amp;$C1112,Inputs!$A$5:$A$132,0))</f>
        <v/>
      </c>
      <c r="AB1112" s="36">
        <f>AA1112*(1+$D1112)</f>
        <v/>
      </c>
      <c r="AC1112" s="36">
        <f>AB1112*(1+$D1112)</f>
        <v/>
      </c>
      <c r="AD1112" s="36">
        <f>AC1112*(1+$D1112)</f>
        <v/>
      </c>
      <c r="AE1112" s="36">
        <f>AD1112*(1+$D1112)</f>
        <v/>
      </c>
      <c r="AF1112" s="36">
        <f>AE1112*(1+$D1112)</f>
        <v/>
      </c>
      <c r="AG1112" s="36">
        <f>AF1112*(1+$D1112)</f>
        <v/>
      </c>
      <c r="AH1112" s="36">
        <f>AG1112*(1+$D1112)</f>
        <v/>
      </c>
      <c r="AI1112" s="36">
        <f>AH1112*(1+$D1112)</f>
        <v/>
      </c>
      <c r="AJ1112" s="36">
        <f>AI1112*(1+$D1112)</f>
        <v/>
      </c>
      <c r="AK1112" s="36">
        <f>AJ1112*(1+$D1112)</f>
        <v/>
      </c>
      <c r="AL1112" s="36">
        <f>AK1112*(1+$D1112)</f>
        <v/>
      </c>
      <c r="AM1112" s="36">
        <f>AL1112*(1+$D1112)</f>
        <v/>
      </c>
      <c r="AN1112" s="39">
        <f>PRETAX(AM1112,$D1112)</f>
        <v/>
      </c>
    </row>
    <row r="1113" hidden="1" outlineLevel="2">
      <c r="A1113" s="5" t="inlineStr">
        <is>
          <t>sp</t>
        </is>
      </c>
      <c r="B1113" s="5" t="inlineStr">
        <is>
          <t>oop</t>
        </is>
      </c>
      <c r="C1113" s="5" t="inlineStr">
        <is>
          <t>cst</t>
        </is>
      </c>
      <c r="D1113" s="36">
        <f>INDEX(Inputs!$R$5:$R$132,MATCH($B1113&amp;"|"&amp;$C1113,Inputs!$A$5:$A$132,0))</f>
        <v/>
      </c>
      <c r="E1113" s="37" t="n"/>
      <c r="F1113" s="37" t="n"/>
      <c r="G1113" s="37" t="n"/>
      <c r="H1113" s="5">
        <f>INDEX(Variables!$B$5:$B$65,MATCH($A1113,Variables!$A$5:$A$65,0))&amp;IF($C1113="",""," | "&amp;INDEX(Mapping!$B$5:$B$25,MATCH($C1113,Mapping!$A$5:$A$25,0))&amp;" | "&amp;INDEX(Mapping!$B$29:$B$38,MATCH($B1113,Mapping!$A$29:$A$38,0)))</f>
        <v/>
      </c>
      <c r="I1113" s="5">
        <f>INDEX(Variables!$C$5:$C$65,MATCH($A1113,Variables!$A$5:$A$65,0))</f>
        <v/>
      </c>
      <c r="J1113" s="5">
        <f>INDEX(Variables!$E$5:$E$65,MATCH($A1113,Variables!$A$5:$A$65,0))</f>
        <v/>
      </c>
      <c r="K1113" s="23">
        <f>LOWER(Settings!$C$4)&amp;".mit."&amp;$A1113&amp;IF($C1113="","","."&amp;$C1113&amp;"."&amp;$B1113)&amp;IF(INDEX(Variables!$D$5:$D$65,MATCH($A1113,Variables!$A$5:$A$65,0))="","","."&amp;INDEX(Variables!$D$5:$D$65,MATCH($A1113,Variables!$A$5:$A$65,0)))&amp;"."&amp;K$5</f>
        <v/>
      </c>
      <c r="L1113" s="38">
        <f>INDEX(Inputs!$S$5:$S$132,MATCH($B1113&amp;"|"&amp;$C1113,Inputs!$A$5:$A$132,0))</f>
        <v/>
      </c>
      <c r="M1113" s="36">
        <f>L1113*(1+$D1113)</f>
        <v/>
      </c>
      <c r="N1113" s="36">
        <f>M1113*(1+$D1113)</f>
        <v/>
      </c>
      <c r="O1113" s="36">
        <f>N1113*(1+$D1113)</f>
        <v/>
      </c>
      <c r="P1113" s="36">
        <f>O1113*(1+$D1113)</f>
        <v/>
      </c>
      <c r="Q1113" s="36">
        <f>P1113*(1+$D1113)</f>
        <v/>
      </c>
      <c r="R1113" s="36">
        <f>Q1113*(1+$D1113)</f>
        <v/>
      </c>
      <c r="S1113" s="36">
        <f>R1113*(1+$D1113)</f>
        <v/>
      </c>
      <c r="T1113" s="36">
        <f>S1113*(1+$D1113)</f>
        <v/>
      </c>
      <c r="U1113" s="36">
        <f>T1113*(1+$D1113)</f>
        <v/>
      </c>
      <c r="V1113" s="36">
        <f>U1113*(1+$D1113)</f>
        <v/>
      </c>
      <c r="W1113" s="36">
        <f>V1113*(1+$D1113)</f>
        <v/>
      </c>
      <c r="X1113" s="36">
        <f>W1113*(1+$D1113)</f>
        <v/>
      </c>
      <c r="Y1113" s="39">
        <f>PRETAX(X1113,$D1113)</f>
        <v/>
      </c>
      <c r="Z1113" s="23">
        <f>LOWER(Settings!$C$4)&amp;".mit."&amp;$A1113&amp;IF($C1113="","","."&amp;$C1113&amp;"."&amp;$B1113)&amp;IF(INDEX(Variables!$D$5:$D$65,MATCH($A1113,Variables!$A$5:$A$65,0))="","","."&amp;INDEX(Variables!$D$5:$D$65,MATCH($A1113,Variables!$A$5:$A$65,0)))&amp;"."&amp;Z$5</f>
        <v/>
      </c>
      <c r="AA1113" s="38">
        <f>INDEX(Inputs!$S$5:$S$132,MATCH($B1113&amp;"|"&amp;$C1113,Inputs!$A$5:$A$132,0))</f>
        <v/>
      </c>
      <c r="AB1113" s="36">
        <f>AA1113*(1+$D1113)</f>
        <v/>
      </c>
      <c r="AC1113" s="36">
        <f>AB1113*(1+$D1113)</f>
        <v/>
      </c>
      <c r="AD1113" s="36">
        <f>AC1113*(1+$D1113)</f>
        <v/>
      </c>
      <c r="AE1113" s="36">
        <f>AD1113*(1+$D1113)</f>
        <v/>
      </c>
      <c r="AF1113" s="36">
        <f>AE1113*(1+$D1113)</f>
        <v/>
      </c>
      <c r="AG1113" s="36">
        <f>AF1113*(1+$D1113)</f>
        <v/>
      </c>
      <c r="AH1113" s="36">
        <f>AG1113*(1+$D1113)</f>
        <v/>
      </c>
      <c r="AI1113" s="36">
        <f>AH1113*(1+$D1113)</f>
        <v/>
      </c>
      <c r="AJ1113" s="36">
        <f>AI1113*(1+$D1113)</f>
        <v/>
      </c>
      <c r="AK1113" s="36">
        <f>AJ1113*(1+$D1113)</f>
        <v/>
      </c>
      <c r="AL1113" s="36">
        <f>AK1113*(1+$D1113)</f>
        <v/>
      </c>
      <c r="AM1113" s="36">
        <f>AL1113*(1+$D1113)</f>
        <v/>
      </c>
      <c r="AN1113" s="39">
        <f>PRETAX(AM1113,$D1113)</f>
        <v/>
      </c>
    </row>
    <row r="1114" hidden="1" outlineLevel="2">
      <c r="A1114" s="5" t="inlineStr">
        <is>
          <t>sp</t>
        </is>
      </c>
      <c r="B1114" s="5" t="inlineStr">
        <is>
          <t>bio</t>
        </is>
      </c>
      <c r="C1114" s="5" t="inlineStr">
        <is>
          <t>cst</t>
        </is>
      </c>
      <c r="D1114" s="36">
        <f>INDEX(Inputs!$R$5:$R$132,MATCH($B1114&amp;"|"&amp;$C1114,Inputs!$A$5:$A$132,0))</f>
        <v/>
      </c>
      <c r="E1114" s="37" t="n"/>
      <c r="F1114" s="37" t="n"/>
      <c r="G1114" s="37" t="n"/>
      <c r="H1114" s="5">
        <f>INDEX(Variables!$B$5:$B$65,MATCH($A1114,Variables!$A$5:$A$65,0))&amp;IF($C1114="",""," | "&amp;INDEX(Mapping!$B$5:$B$25,MATCH($C1114,Mapping!$A$5:$A$25,0))&amp;" | "&amp;INDEX(Mapping!$B$29:$B$38,MATCH($B1114,Mapping!$A$29:$A$38,0)))</f>
        <v/>
      </c>
      <c r="I1114" s="5">
        <f>INDEX(Variables!$C$5:$C$65,MATCH($A1114,Variables!$A$5:$A$65,0))</f>
        <v/>
      </c>
      <c r="J1114" s="5">
        <f>INDEX(Variables!$E$5:$E$65,MATCH($A1114,Variables!$A$5:$A$65,0))</f>
        <v/>
      </c>
      <c r="K1114" s="23">
        <f>LOWER(Settings!$C$4)&amp;".mit."&amp;$A1114&amp;IF($C1114="","","."&amp;$C1114&amp;"."&amp;$B1114)&amp;IF(INDEX(Variables!$D$5:$D$65,MATCH($A1114,Variables!$A$5:$A$65,0))="","","."&amp;INDEX(Variables!$D$5:$D$65,MATCH($A1114,Variables!$A$5:$A$65,0)))&amp;"."&amp;K$5</f>
        <v/>
      </c>
      <c r="L1114" s="38">
        <f>INDEX(Inputs!$S$5:$S$132,MATCH($B1114&amp;"|"&amp;$C1114,Inputs!$A$5:$A$132,0))</f>
        <v/>
      </c>
      <c r="M1114" s="36">
        <f>L1114*(1+$D1114)</f>
        <v/>
      </c>
      <c r="N1114" s="36">
        <f>M1114*(1+$D1114)</f>
        <v/>
      </c>
      <c r="O1114" s="36">
        <f>N1114*(1+$D1114)</f>
        <v/>
      </c>
      <c r="P1114" s="36">
        <f>O1114*(1+$D1114)</f>
        <v/>
      </c>
      <c r="Q1114" s="36">
        <f>P1114*(1+$D1114)</f>
        <v/>
      </c>
      <c r="R1114" s="36">
        <f>Q1114*(1+$D1114)</f>
        <v/>
      </c>
      <c r="S1114" s="36">
        <f>R1114*(1+$D1114)</f>
        <v/>
      </c>
      <c r="T1114" s="36">
        <f>S1114*(1+$D1114)</f>
        <v/>
      </c>
      <c r="U1114" s="36">
        <f>T1114*(1+$D1114)</f>
        <v/>
      </c>
      <c r="V1114" s="36">
        <f>U1114*(1+$D1114)</f>
        <v/>
      </c>
      <c r="W1114" s="36">
        <f>V1114*(1+$D1114)</f>
        <v/>
      </c>
      <c r="X1114" s="36">
        <f>W1114*(1+$D1114)</f>
        <v/>
      </c>
      <c r="Y1114" s="39">
        <f>PRETAX(X1114,$D1114)</f>
        <v/>
      </c>
      <c r="Z1114" s="23">
        <f>LOWER(Settings!$C$4)&amp;".mit."&amp;$A1114&amp;IF($C1114="","","."&amp;$C1114&amp;"."&amp;$B1114)&amp;IF(INDEX(Variables!$D$5:$D$65,MATCH($A1114,Variables!$A$5:$A$65,0))="","","."&amp;INDEX(Variables!$D$5:$D$65,MATCH($A1114,Variables!$A$5:$A$65,0)))&amp;"."&amp;Z$5</f>
        <v/>
      </c>
      <c r="AA1114" s="38">
        <f>INDEX(Inputs!$S$5:$S$132,MATCH($B1114&amp;"|"&amp;$C1114,Inputs!$A$5:$A$132,0))</f>
        <v/>
      </c>
      <c r="AB1114" s="36">
        <f>AA1114*(1+$D1114)</f>
        <v/>
      </c>
      <c r="AC1114" s="36">
        <f>AB1114*(1+$D1114)</f>
        <v/>
      </c>
      <c r="AD1114" s="36">
        <f>AC1114*(1+$D1114)</f>
        <v/>
      </c>
      <c r="AE1114" s="36">
        <f>AD1114*(1+$D1114)</f>
        <v/>
      </c>
      <c r="AF1114" s="36">
        <f>AE1114*(1+$D1114)</f>
        <v/>
      </c>
      <c r="AG1114" s="36">
        <f>AF1114*(1+$D1114)</f>
        <v/>
      </c>
      <c r="AH1114" s="36">
        <f>AG1114*(1+$D1114)</f>
        <v/>
      </c>
      <c r="AI1114" s="36">
        <f>AH1114*(1+$D1114)</f>
        <v/>
      </c>
      <c r="AJ1114" s="36">
        <f>AI1114*(1+$D1114)</f>
        <v/>
      </c>
      <c r="AK1114" s="36">
        <f>AJ1114*(1+$D1114)</f>
        <v/>
      </c>
      <c r="AL1114" s="36">
        <f>AK1114*(1+$D1114)</f>
        <v/>
      </c>
      <c r="AM1114" s="36">
        <f>AL1114*(1+$D1114)</f>
        <v/>
      </c>
      <c r="AN1114" s="39">
        <f>PRETAX(AM1114,$D1114)</f>
        <v/>
      </c>
    </row>
    <row r="1115" hidden="1" outlineLevel="2"/>
    <row r="1116" hidden="1" outlineLevel="2">
      <c r="A1116" s="5" t="inlineStr">
        <is>
          <t>ctxnew</t>
        </is>
      </c>
      <c r="B1116" s="5" t="inlineStr">
        <is>
          <t>coa</t>
        </is>
      </c>
      <c r="C1116" s="5" t="inlineStr">
        <is>
          <t>cst</t>
        </is>
      </c>
      <c r="D1116" s="36">
        <f>INDEX(Inputs!$U$5:$U$132,MATCH($B1116&amp;"|"&amp;$C1116,Inputs!$A$5:$A$132,0))</f>
        <v/>
      </c>
      <c r="E1116" s="36">
        <f>INDEX(Inputs!$J$5:$J$132,MATCH($B1116&amp;"|"&amp;$C1116,Inputs!$A$5:$A$132,0))</f>
        <v/>
      </c>
      <c r="F1116" s="36">
        <f>INDEX(Inputs!$K$5:$K$132,MATCH($B1116&amp;"|"&amp;$C1116,Inputs!$A$5:$A$132,0))</f>
        <v/>
      </c>
      <c r="G1116" s="37" t="n"/>
      <c r="H1116" s="5">
        <f>INDEX(Variables!$B$5:$B$65,MATCH($A1116,Variables!$A$5:$A$65,0))&amp;IF($C1116="",""," | "&amp;INDEX(Mapping!$B$5:$B$25,MATCH($C1116,Mapping!$A$5:$A$25,0))&amp;" | "&amp;INDEX(Mapping!$B$29:$B$38,MATCH($B1116,Mapping!$A$29:$A$38,0)))</f>
        <v/>
      </c>
      <c r="I1116" s="5">
        <f>INDEX(Variables!$C$5:$C$65,MATCH($A1116,Variables!$A$5:$A$65,0))</f>
        <v/>
      </c>
      <c r="J1116" s="5">
        <f>INDEX(Variables!$E$5:$E$65,MATCH($A1116,Variables!$A$5:$A$65,0))</f>
        <v/>
      </c>
      <c r="K1116" s="23">
        <f>LOWER(Settings!$C$4)&amp;".mit."&amp;$A1116&amp;IF($C1116="","","."&amp;$C1116&amp;"."&amp;$B1116)&amp;IF(INDEX(Variables!$D$5:$D$65,MATCH($A1116,Variables!$A$5:$A$65,0))="","","."&amp;INDEX(Variables!$D$5:$D$65,MATCH($A1116,Variables!$A$5:$A$65,0)))&amp;"."&amp;K$5</f>
        <v/>
      </c>
      <c r="L1116" s="38">
        <f>L$10*$D1116*INDEX(L$18:L$25,$E1116)*INDEX(L$27:L$43,$F1116)</f>
        <v/>
      </c>
      <c r="M1116" s="36">
        <f>M$10*$D1116*INDEX(M$18:M$25,$E1116)*INDEX(M$27:M$43,$F1116)</f>
        <v/>
      </c>
      <c r="N1116" s="36">
        <f>N$10*$D1116*INDEX(N$18:N$25,$E1116)*INDEX(N$27:N$43,$F1116)</f>
        <v/>
      </c>
      <c r="O1116" s="36">
        <f>O$10*$D1116*INDEX(O$18:O$25,$E1116)*INDEX(O$27:O$43,$F1116)</f>
        <v/>
      </c>
      <c r="P1116" s="36">
        <f>P$10*$D1116*INDEX(P$18:P$25,$E1116)*INDEX(P$27:P$43,$F1116)</f>
        <v/>
      </c>
      <c r="Q1116" s="36">
        <f>Q$10*$D1116*INDEX(Q$18:Q$25,$E1116)*INDEX(Q$27:Q$43,$F1116)</f>
        <v/>
      </c>
      <c r="R1116" s="36">
        <f>R$10*$D1116*INDEX(R$18:R$25,$E1116)*INDEX(R$27:R$43,$F1116)</f>
        <v/>
      </c>
      <c r="S1116" s="36">
        <f>S$10*$D1116*INDEX(S$18:S$25,$E1116)*INDEX(S$27:S$43,$F1116)</f>
        <v/>
      </c>
      <c r="T1116" s="36">
        <f>T$10*$D1116*INDEX(T$18:T$25,$E1116)*INDEX(T$27:T$43,$F1116)</f>
        <v/>
      </c>
      <c r="U1116" s="36">
        <f>U$10*$D1116*INDEX(U$18:U$25,$E1116)*INDEX(U$27:U$43,$F1116)</f>
        <v/>
      </c>
      <c r="V1116" s="36">
        <f>V$10*$D1116*INDEX(V$18:V$25,$E1116)*INDEX(V$27:V$43,$F1116)</f>
        <v/>
      </c>
      <c r="W1116" s="36">
        <f>W$10*$D1116*INDEX(W$18:W$25,$E1116)*INDEX(W$27:W$43,$F1116)</f>
        <v/>
      </c>
      <c r="X1116" s="36">
        <f>X$10*$D1116*INDEX(X$18:X$25,$E1116)*INDEX(X$27:X$43,$F1116)</f>
        <v/>
      </c>
      <c r="Y1116" s="36">
        <f>Y$10*$D1116*INDEX(Y$18:Y$25,$E1116)*INDEX(Y$27:Y$43,$F1116)</f>
        <v/>
      </c>
      <c r="Z1116" s="23">
        <f>LOWER(Settings!$C$4)&amp;".mit."&amp;$A1116&amp;IF($C1116="","","."&amp;$C1116&amp;"."&amp;$B1116)&amp;IF(INDEX(Variables!$D$5:$D$65,MATCH($A1116,Variables!$A$5:$A$65,0))="","","."&amp;INDEX(Variables!$D$5:$D$65,MATCH($A1116,Variables!$A$5:$A$65,0)))&amp;"."&amp;Z$5</f>
        <v/>
      </c>
      <c r="AA1116" s="38">
        <f>AA$10*$D1116*INDEX(AA$18:AA$25,$E1116)*INDEX(AA$27:AA$43,$F1116)</f>
        <v/>
      </c>
      <c r="AB1116" s="36">
        <f>AB$10*$D1116*INDEX(AB$18:AB$25,$E1116)*INDEX(AB$27:AB$43,$F1116)</f>
        <v/>
      </c>
      <c r="AC1116" s="36">
        <f>AC$10*$D1116*INDEX(AC$18:AC$25,$E1116)*INDEX(AC$27:AC$43,$F1116)</f>
        <v/>
      </c>
      <c r="AD1116" s="36">
        <f>AD$10*$D1116*INDEX(AD$18:AD$25,$E1116)*INDEX(AD$27:AD$43,$F1116)</f>
        <v/>
      </c>
      <c r="AE1116" s="36">
        <f>AE$10*$D1116*INDEX(AE$18:AE$25,$E1116)*INDEX(AE$27:AE$43,$F1116)</f>
        <v/>
      </c>
      <c r="AF1116" s="36">
        <f>AF$10*$D1116*INDEX(AF$18:AF$25,$E1116)*INDEX(AF$27:AF$43,$F1116)</f>
        <v/>
      </c>
      <c r="AG1116" s="36">
        <f>AG$10*$D1116*INDEX(AG$18:AG$25,$E1116)*INDEX(AG$27:AG$43,$F1116)</f>
        <v/>
      </c>
      <c r="AH1116" s="36">
        <f>AH$10*$D1116*INDEX(AH$18:AH$25,$E1116)*INDEX(AH$27:AH$43,$F1116)</f>
        <v/>
      </c>
      <c r="AI1116" s="36">
        <f>AI$10*$D1116*INDEX(AI$18:AI$25,$E1116)*INDEX(AI$27:AI$43,$F1116)</f>
        <v/>
      </c>
      <c r="AJ1116" s="36">
        <f>AJ$10*$D1116*INDEX(AJ$18:AJ$25,$E1116)*INDEX(AJ$27:AJ$43,$F1116)</f>
        <v/>
      </c>
      <c r="AK1116" s="36">
        <f>AK$10*$D1116*INDEX(AK$18:AK$25,$E1116)*INDEX(AK$27:AK$43,$F1116)</f>
        <v/>
      </c>
      <c r="AL1116" s="36">
        <f>AL$10*$D1116*INDEX(AL$18:AL$25,$E1116)*INDEX(AL$27:AL$43,$F1116)</f>
        <v/>
      </c>
      <c r="AM1116" s="36">
        <f>AM$10*$D1116*INDEX(AM$18:AM$25,$E1116)*INDEX(AM$27:AM$43,$F1116)</f>
        <v/>
      </c>
      <c r="AN1116" s="36">
        <f>AN$10*$D1116*INDEX(AN$18:AN$25,$E1116)*INDEX(AN$27:AN$43,$F1116)</f>
        <v/>
      </c>
    </row>
    <row r="1117" hidden="1" outlineLevel="2">
      <c r="A1117" s="5" t="inlineStr">
        <is>
          <t>ctxnew</t>
        </is>
      </c>
      <c r="B1117" s="5" t="inlineStr">
        <is>
          <t>nga</t>
        </is>
      </c>
      <c r="C1117" s="5" t="inlineStr">
        <is>
          <t>cst</t>
        </is>
      </c>
      <c r="D1117" s="36">
        <f>INDEX(Inputs!$U$5:$U$132,MATCH($B1117&amp;"|"&amp;$C1117,Inputs!$A$5:$A$132,0))</f>
        <v/>
      </c>
      <c r="E1117" s="36">
        <f>INDEX(Inputs!$J$5:$J$132,MATCH($B1117&amp;"|"&amp;$C1117,Inputs!$A$5:$A$132,0))</f>
        <v/>
      </c>
      <c r="F1117" s="36">
        <f>INDEX(Inputs!$K$5:$K$132,MATCH($B1117&amp;"|"&amp;$C1117,Inputs!$A$5:$A$132,0))</f>
        <v/>
      </c>
      <c r="G1117" s="37" t="n"/>
      <c r="H1117" s="5">
        <f>INDEX(Variables!$B$5:$B$65,MATCH($A1117,Variables!$A$5:$A$65,0))&amp;IF($C1117="",""," | "&amp;INDEX(Mapping!$B$5:$B$25,MATCH($C1117,Mapping!$A$5:$A$25,0))&amp;" | "&amp;INDEX(Mapping!$B$29:$B$38,MATCH($B1117,Mapping!$A$29:$A$38,0)))</f>
        <v/>
      </c>
      <c r="I1117" s="5">
        <f>INDEX(Variables!$C$5:$C$65,MATCH($A1117,Variables!$A$5:$A$65,0))</f>
        <v/>
      </c>
      <c r="J1117" s="5">
        <f>INDEX(Variables!$E$5:$E$65,MATCH($A1117,Variables!$A$5:$A$65,0))</f>
        <v/>
      </c>
      <c r="K1117" s="23">
        <f>LOWER(Settings!$C$4)&amp;".mit."&amp;$A1117&amp;IF($C1117="","","."&amp;$C1117&amp;"."&amp;$B1117)&amp;IF(INDEX(Variables!$D$5:$D$65,MATCH($A1117,Variables!$A$5:$A$65,0))="","","."&amp;INDEX(Variables!$D$5:$D$65,MATCH($A1117,Variables!$A$5:$A$65,0)))&amp;"."&amp;K$5</f>
        <v/>
      </c>
      <c r="L1117" s="38">
        <f>L$10*$D1117*INDEX(L$18:L$25,$E1117)*INDEX(L$27:L$43,$F1117)</f>
        <v/>
      </c>
      <c r="M1117" s="36">
        <f>M$10*$D1117*INDEX(M$18:M$25,$E1117)*INDEX(M$27:M$43,$F1117)</f>
        <v/>
      </c>
      <c r="N1117" s="36">
        <f>N$10*$D1117*INDEX(N$18:N$25,$E1117)*INDEX(N$27:N$43,$F1117)</f>
        <v/>
      </c>
      <c r="O1117" s="36">
        <f>O$10*$D1117*INDEX(O$18:O$25,$E1117)*INDEX(O$27:O$43,$F1117)</f>
        <v/>
      </c>
      <c r="P1117" s="36">
        <f>P$10*$D1117*INDEX(P$18:P$25,$E1117)*INDEX(P$27:P$43,$F1117)</f>
        <v/>
      </c>
      <c r="Q1117" s="36">
        <f>Q$10*$D1117*INDEX(Q$18:Q$25,$E1117)*INDEX(Q$27:Q$43,$F1117)</f>
        <v/>
      </c>
      <c r="R1117" s="36">
        <f>R$10*$D1117*INDEX(R$18:R$25,$E1117)*INDEX(R$27:R$43,$F1117)</f>
        <v/>
      </c>
      <c r="S1117" s="36">
        <f>S$10*$D1117*INDEX(S$18:S$25,$E1117)*INDEX(S$27:S$43,$F1117)</f>
        <v/>
      </c>
      <c r="T1117" s="36">
        <f>T$10*$D1117*INDEX(T$18:T$25,$E1117)*INDEX(T$27:T$43,$F1117)</f>
        <v/>
      </c>
      <c r="U1117" s="36">
        <f>U$10*$D1117*INDEX(U$18:U$25,$E1117)*INDEX(U$27:U$43,$F1117)</f>
        <v/>
      </c>
      <c r="V1117" s="36">
        <f>V$10*$D1117*INDEX(V$18:V$25,$E1117)*INDEX(V$27:V$43,$F1117)</f>
        <v/>
      </c>
      <c r="W1117" s="36">
        <f>W$10*$D1117*INDEX(W$18:W$25,$E1117)*INDEX(W$27:W$43,$F1117)</f>
        <v/>
      </c>
      <c r="X1117" s="36">
        <f>X$10*$D1117*INDEX(X$18:X$25,$E1117)*INDEX(X$27:X$43,$F1117)</f>
        <v/>
      </c>
      <c r="Y1117" s="36">
        <f>Y$10*$D1117*INDEX(Y$18:Y$25,$E1117)*INDEX(Y$27:Y$43,$F1117)</f>
        <v/>
      </c>
      <c r="Z1117" s="23">
        <f>LOWER(Settings!$C$4)&amp;".mit."&amp;$A1117&amp;IF($C1117="","","."&amp;$C1117&amp;"."&amp;$B1117)&amp;IF(INDEX(Variables!$D$5:$D$65,MATCH($A1117,Variables!$A$5:$A$65,0))="","","."&amp;INDEX(Variables!$D$5:$D$65,MATCH($A1117,Variables!$A$5:$A$65,0)))&amp;"."&amp;Z$5</f>
        <v/>
      </c>
      <c r="AA1117" s="38">
        <f>AA$10*$D1117*INDEX(AA$18:AA$25,$E1117)*INDEX(AA$27:AA$43,$F1117)</f>
        <v/>
      </c>
      <c r="AB1117" s="36">
        <f>AB$10*$D1117*INDEX(AB$18:AB$25,$E1117)*INDEX(AB$27:AB$43,$F1117)</f>
        <v/>
      </c>
      <c r="AC1117" s="36">
        <f>AC$10*$D1117*INDEX(AC$18:AC$25,$E1117)*INDEX(AC$27:AC$43,$F1117)</f>
        <v/>
      </c>
      <c r="AD1117" s="36">
        <f>AD$10*$D1117*INDEX(AD$18:AD$25,$E1117)*INDEX(AD$27:AD$43,$F1117)</f>
        <v/>
      </c>
      <c r="AE1117" s="36">
        <f>AE$10*$D1117*INDEX(AE$18:AE$25,$E1117)*INDEX(AE$27:AE$43,$F1117)</f>
        <v/>
      </c>
      <c r="AF1117" s="36">
        <f>AF$10*$D1117*INDEX(AF$18:AF$25,$E1117)*INDEX(AF$27:AF$43,$F1117)</f>
        <v/>
      </c>
      <c r="AG1117" s="36">
        <f>AG$10*$D1117*INDEX(AG$18:AG$25,$E1117)*INDEX(AG$27:AG$43,$F1117)</f>
        <v/>
      </c>
      <c r="AH1117" s="36">
        <f>AH$10*$D1117*INDEX(AH$18:AH$25,$E1117)*INDEX(AH$27:AH$43,$F1117)</f>
        <v/>
      </c>
      <c r="AI1117" s="36">
        <f>AI$10*$D1117*INDEX(AI$18:AI$25,$E1117)*INDEX(AI$27:AI$43,$F1117)</f>
        <v/>
      </c>
      <c r="AJ1117" s="36">
        <f>AJ$10*$D1117*INDEX(AJ$18:AJ$25,$E1117)*INDEX(AJ$27:AJ$43,$F1117)</f>
        <v/>
      </c>
      <c r="AK1117" s="36">
        <f>AK$10*$D1117*INDEX(AK$18:AK$25,$E1117)*INDEX(AK$27:AK$43,$F1117)</f>
        <v/>
      </c>
      <c r="AL1117" s="36">
        <f>AL$10*$D1117*INDEX(AL$18:AL$25,$E1117)*INDEX(AL$27:AL$43,$F1117)</f>
        <v/>
      </c>
      <c r="AM1117" s="36">
        <f>AM$10*$D1117*INDEX(AM$18:AM$25,$E1117)*INDEX(AM$27:AM$43,$F1117)</f>
        <v/>
      </c>
      <c r="AN1117" s="36">
        <f>AN$10*$D1117*INDEX(AN$18:AN$25,$E1117)*INDEX(AN$27:AN$43,$F1117)</f>
        <v/>
      </c>
    </row>
    <row r="1118" hidden="1" outlineLevel="2">
      <c r="A1118" s="5" t="inlineStr">
        <is>
          <t>ctxnew</t>
        </is>
      </c>
      <c r="B1118" s="5" t="inlineStr">
        <is>
          <t>gso</t>
        </is>
      </c>
      <c r="C1118" s="5" t="inlineStr">
        <is>
          <t>cst</t>
        </is>
      </c>
      <c r="D1118" s="36">
        <f>INDEX(Inputs!$U$5:$U$132,MATCH($B1118&amp;"|"&amp;$C1118,Inputs!$A$5:$A$132,0))</f>
        <v/>
      </c>
      <c r="E1118" s="36">
        <f>INDEX(Inputs!$J$5:$J$132,MATCH($B1118&amp;"|"&amp;$C1118,Inputs!$A$5:$A$132,0))</f>
        <v/>
      </c>
      <c r="F1118" s="36">
        <f>INDEX(Inputs!$K$5:$K$132,MATCH($B1118&amp;"|"&amp;$C1118,Inputs!$A$5:$A$132,0))</f>
        <v/>
      </c>
      <c r="G1118" s="37" t="n"/>
      <c r="H1118" s="5">
        <f>INDEX(Variables!$B$5:$B$65,MATCH($A1118,Variables!$A$5:$A$65,0))&amp;IF($C1118="",""," | "&amp;INDEX(Mapping!$B$5:$B$25,MATCH($C1118,Mapping!$A$5:$A$25,0))&amp;" | "&amp;INDEX(Mapping!$B$29:$B$38,MATCH($B1118,Mapping!$A$29:$A$38,0)))</f>
        <v/>
      </c>
      <c r="I1118" s="5">
        <f>INDEX(Variables!$C$5:$C$65,MATCH($A1118,Variables!$A$5:$A$65,0))</f>
        <v/>
      </c>
      <c r="J1118" s="5">
        <f>INDEX(Variables!$E$5:$E$65,MATCH($A1118,Variables!$A$5:$A$65,0))</f>
        <v/>
      </c>
      <c r="K1118" s="23">
        <f>LOWER(Settings!$C$4)&amp;".mit."&amp;$A1118&amp;IF($C1118="","","."&amp;$C1118&amp;"."&amp;$B1118)&amp;IF(INDEX(Variables!$D$5:$D$65,MATCH($A1118,Variables!$A$5:$A$65,0))="","","."&amp;INDEX(Variables!$D$5:$D$65,MATCH($A1118,Variables!$A$5:$A$65,0)))&amp;"."&amp;K$5</f>
        <v/>
      </c>
      <c r="L1118" s="38">
        <f>L$10*$D1118*INDEX(L$18:L$25,$E1118)*INDEX(L$27:L$43,$F1118)</f>
        <v/>
      </c>
      <c r="M1118" s="36">
        <f>M$10*$D1118*INDEX(M$18:M$25,$E1118)*INDEX(M$27:M$43,$F1118)</f>
        <v/>
      </c>
      <c r="N1118" s="36">
        <f>N$10*$D1118*INDEX(N$18:N$25,$E1118)*INDEX(N$27:N$43,$F1118)</f>
        <v/>
      </c>
      <c r="O1118" s="36">
        <f>O$10*$D1118*INDEX(O$18:O$25,$E1118)*INDEX(O$27:O$43,$F1118)</f>
        <v/>
      </c>
      <c r="P1118" s="36">
        <f>P$10*$D1118*INDEX(P$18:P$25,$E1118)*INDEX(P$27:P$43,$F1118)</f>
        <v/>
      </c>
      <c r="Q1118" s="36">
        <f>Q$10*$D1118*INDEX(Q$18:Q$25,$E1118)*INDEX(Q$27:Q$43,$F1118)</f>
        <v/>
      </c>
      <c r="R1118" s="36">
        <f>R$10*$D1118*INDEX(R$18:R$25,$E1118)*INDEX(R$27:R$43,$F1118)</f>
        <v/>
      </c>
      <c r="S1118" s="36">
        <f>S$10*$D1118*INDEX(S$18:S$25,$E1118)*INDEX(S$27:S$43,$F1118)</f>
        <v/>
      </c>
      <c r="T1118" s="36">
        <f>T$10*$D1118*INDEX(T$18:T$25,$E1118)*INDEX(T$27:T$43,$F1118)</f>
        <v/>
      </c>
      <c r="U1118" s="36">
        <f>U$10*$D1118*INDEX(U$18:U$25,$E1118)*INDEX(U$27:U$43,$F1118)</f>
        <v/>
      </c>
      <c r="V1118" s="36">
        <f>V$10*$D1118*INDEX(V$18:V$25,$E1118)*INDEX(V$27:V$43,$F1118)</f>
        <v/>
      </c>
      <c r="W1118" s="36">
        <f>W$10*$D1118*INDEX(W$18:W$25,$E1118)*INDEX(W$27:W$43,$F1118)</f>
        <v/>
      </c>
      <c r="X1118" s="36">
        <f>X$10*$D1118*INDEX(X$18:X$25,$E1118)*INDEX(X$27:X$43,$F1118)</f>
        <v/>
      </c>
      <c r="Y1118" s="36">
        <f>Y$10*$D1118*INDEX(Y$18:Y$25,$E1118)*INDEX(Y$27:Y$43,$F1118)</f>
        <v/>
      </c>
      <c r="Z1118" s="23">
        <f>LOWER(Settings!$C$4)&amp;".mit."&amp;$A1118&amp;IF($C1118="","","."&amp;$C1118&amp;"."&amp;$B1118)&amp;IF(INDEX(Variables!$D$5:$D$65,MATCH($A1118,Variables!$A$5:$A$65,0))="","","."&amp;INDEX(Variables!$D$5:$D$65,MATCH($A1118,Variables!$A$5:$A$65,0)))&amp;"."&amp;Z$5</f>
        <v/>
      </c>
      <c r="AA1118" s="38">
        <f>AA$10*$D1118*INDEX(AA$18:AA$25,$E1118)*INDEX(AA$27:AA$43,$F1118)</f>
        <v/>
      </c>
      <c r="AB1118" s="36">
        <f>AB$10*$D1118*INDEX(AB$18:AB$25,$E1118)*INDEX(AB$27:AB$43,$F1118)</f>
        <v/>
      </c>
      <c r="AC1118" s="36">
        <f>AC$10*$D1118*INDEX(AC$18:AC$25,$E1118)*INDEX(AC$27:AC$43,$F1118)</f>
        <v/>
      </c>
      <c r="AD1118" s="36">
        <f>AD$10*$D1118*INDEX(AD$18:AD$25,$E1118)*INDEX(AD$27:AD$43,$F1118)</f>
        <v/>
      </c>
      <c r="AE1118" s="36">
        <f>AE$10*$D1118*INDEX(AE$18:AE$25,$E1118)*INDEX(AE$27:AE$43,$F1118)</f>
        <v/>
      </c>
      <c r="AF1118" s="36">
        <f>AF$10*$D1118*INDEX(AF$18:AF$25,$E1118)*INDEX(AF$27:AF$43,$F1118)</f>
        <v/>
      </c>
      <c r="AG1118" s="36">
        <f>AG$10*$D1118*INDEX(AG$18:AG$25,$E1118)*INDEX(AG$27:AG$43,$F1118)</f>
        <v/>
      </c>
      <c r="AH1118" s="36">
        <f>AH$10*$D1118*INDEX(AH$18:AH$25,$E1118)*INDEX(AH$27:AH$43,$F1118)</f>
        <v/>
      </c>
      <c r="AI1118" s="36">
        <f>AI$10*$D1118*INDEX(AI$18:AI$25,$E1118)*INDEX(AI$27:AI$43,$F1118)</f>
        <v/>
      </c>
      <c r="AJ1118" s="36">
        <f>AJ$10*$D1118*INDEX(AJ$18:AJ$25,$E1118)*INDEX(AJ$27:AJ$43,$F1118)</f>
        <v/>
      </c>
      <c r="AK1118" s="36">
        <f>AK$10*$D1118*INDEX(AK$18:AK$25,$E1118)*INDEX(AK$27:AK$43,$F1118)</f>
        <v/>
      </c>
      <c r="AL1118" s="36">
        <f>AL$10*$D1118*INDEX(AL$18:AL$25,$E1118)*INDEX(AL$27:AL$43,$F1118)</f>
        <v/>
      </c>
      <c r="AM1118" s="36">
        <f>AM$10*$D1118*INDEX(AM$18:AM$25,$E1118)*INDEX(AM$27:AM$43,$F1118)</f>
        <v/>
      </c>
      <c r="AN1118" s="36">
        <f>AN$10*$D1118*INDEX(AN$18:AN$25,$E1118)*INDEX(AN$27:AN$43,$F1118)</f>
        <v/>
      </c>
    </row>
    <row r="1119" hidden="1" outlineLevel="2">
      <c r="A1119" s="5" t="inlineStr">
        <is>
          <t>ctxnew</t>
        </is>
      </c>
      <c r="B1119" s="5" t="inlineStr">
        <is>
          <t>die</t>
        </is>
      </c>
      <c r="C1119" s="5" t="inlineStr">
        <is>
          <t>cst</t>
        </is>
      </c>
      <c r="D1119" s="36">
        <f>INDEX(Inputs!$U$5:$U$132,MATCH($B1119&amp;"|"&amp;$C1119,Inputs!$A$5:$A$132,0))</f>
        <v/>
      </c>
      <c r="E1119" s="36">
        <f>INDEX(Inputs!$J$5:$J$132,MATCH($B1119&amp;"|"&amp;$C1119,Inputs!$A$5:$A$132,0))</f>
        <v/>
      </c>
      <c r="F1119" s="36">
        <f>INDEX(Inputs!$K$5:$K$132,MATCH($B1119&amp;"|"&amp;$C1119,Inputs!$A$5:$A$132,0))</f>
        <v/>
      </c>
      <c r="G1119" s="37" t="n"/>
      <c r="H1119" s="5">
        <f>INDEX(Variables!$B$5:$B$65,MATCH($A1119,Variables!$A$5:$A$65,0))&amp;IF($C1119="",""," | "&amp;INDEX(Mapping!$B$5:$B$25,MATCH($C1119,Mapping!$A$5:$A$25,0))&amp;" | "&amp;INDEX(Mapping!$B$29:$B$38,MATCH($B1119,Mapping!$A$29:$A$38,0)))</f>
        <v/>
      </c>
      <c r="I1119" s="5">
        <f>INDEX(Variables!$C$5:$C$65,MATCH($A1119,Variables!$A$5:$A$65,0))</f>
        <v/>
      </c>
      <c r="J1119" s="5">
        <f>INDEX(Variables!$E$5:$E$65,MATCH($A1119,Variables!$A$5:$A$65,0))</f>
        <v/>
      </c>
      <c r="K1119" s="23">
        <f>LOWER(Settings!$C$4)&amp;".mit."&amp;$A1119&amp;IF($C1119="","","."&amp;$C1119&amp;"."&amp;$B1119)&amp;IF(INDEX(Variables!$D$5:$D$65,MATCH($A1119,Variables!$A$5:$A$65,0))="","","."&amp;INDEX(Variables!$D$5:$D$65,MATCH($A1119,Variables!$A$5:$A$65,0)))&amp;"."&amp;K$5</f>
        <v/>
      </c>
      <c r="L1119" s="38">
        <f>L$10*$D1119*INDEX(L$18:L$25,$E1119)*INDEX(L$27:L$43,$F1119)</f>
        <v/>
      </c>
      <c r="M1119" s="36">
        <f>M$10*$D1119*INDEX(M$18:M$25,$E1119)*INDEX(M$27:M$43,$F1119)</f>
        <v/>
      </c>
      <c r="N1119" s="36">
        <f>N$10*$D1119*INDEX(N$18:N$25,$E1119)*INDEX(N$27:N$43,$F1119)</f>
        <v/>
      </c>
      <c r="O1119" s="36">
        <f>O$10*$D1119*INDEX(O$18:O$25,$E1119)*INDEX(O$27:O$43,$F1119)</f>
        <v/>
      </c>
      <c r="P1119" s="36">
        <f>P$10*$D1119*INDEX(P$18:P$25,$E1119)*INDEX(P$27:P$43,$F1119)</f>
        <v/>
      </c>
      <c r="Q1119" s="36">
        <f>Q$10*$D1119*INDEX(Q$18:Q$25,$E1119)*INDEX(Q$27:Q$43,$F1119)</f>
        <v/>
      </c>
      <c r="R1119" s="36">
        <f>R$10*$D1119*INDEX(R$18:R$25,$E1119)*INDEX(R$27:R$43,$F1119)</f>
        <v/>
      </c>
      <c r="S1119" s="36">
        <f>S$10*$D1119*INDEX(S$18:S$25,$E1119)*INDEX(S$27:S$43,$F1119)</f>
        <v/>
      </c>
      <c r="T1119" s="36">
        <f>T$10*$D1119*INDEX(T$18:T$25,$E1119)*INDEX(T$27:T$43,$F1119)</f>
        <v/>
      </c>
      <c r="U1119" s="36">
        <f>U$10*$D1119*INDEX(U$18:U$25,$E1119)*INDEX(U$27:U$43,$F1119)</f>
        <v/>
      </c>
      <c r="V1119" s="36">
        <f>V$10*$D1119*INDEX(V$18:V$25,$E1119)*INDEX(V$27:V$43,$F1119)</f>
        <v/>
      </c>
      <c r="W1119" s="36">
        <f>W$10*$D1119*INDEX(W$18:W$25,$E1119)*INDEX(W$27:W$43,$F1119)</f>
        <v/>
      </c>
      <c r="X1119" s="36">
        <f>X$10*$D1119*INDEX(X$18:X$25,$E1119)*INDEX(X$27:X$43,$F1119)</f>
        <v/>
      </c>
      <c r="Y1119" s="36">
        <f>Y$10*$D1119*INDEX(Y$18:Y$25,$E1119)*INDEX(Y$27:Y$43,$F1119)</f>
        <v/>
      </c>
      <c r="Z1119" s="23">
        <f>LOWER(Settings!$C$4)&amp;".mit."&amp;$A1119&amp;IF($C1119="","","."&amp;$C1119&amp;"."&amp;$B1119)&amp;IF(INDEX(Variables!$D$5:$D$65,MATCH($A1119,Variables!$A$5:$A$65,0))="","","."&amp;INDEX(Variables!$D$5:$D$65,MATCH($A1119,Variables!$A$5:$A$65,0)))&amp;"."&amp;Z$5</f>
        <v/>
      </c>
      <c r="AA1119" s="38">
        <f>AA$10*$D1119*INDEX(AA$18:AA$25,$E1119)*INDEX(AA$27:AA$43,$F1119)</f>
        <v/>
      </c>
      <c r="AB1119" s="36">
        <f>AB$10*$D1119*INDEX(AB$18:AB$25,$E1119)*INDEX(AB$27:AB$43,$F1119)</f>
        <v/>
      </c>
      <c r="AC1119" s="36">
        <f>AC$10*$D1119*INDEX(AC$18:AC$25,$E1119)*INDEX(AC$27:AC$43,$F1119)</f>
        <v/>
      </c>
      <c r="AD1119" s="36">
        <f>AD$10*$D1119*INDEX(AD$18:AD$25,$E1119)*INDEX(AD$27:AD$43,$F1119)</f>
        <v/>
      </c>
      <c r="AE1119" s="36">
        <f>AE$10*$D1119*INDEX(AE$18:AE$25,$E1119)*INDEX(AE$27:AE$43,$F1119)</f>
        <v/>
      </c>
      <c r="AF1119" s="36">
        <f>AF$10*$D1119*INDEX(AF$18:AF$25,$E1119)*INDEX(AF$27:AF$43,$F1119)</f>
        <v/>
      </c>
      <c r="AG1119" s="36">
        <f>AG$10*$D1119*INDEX(AG$18:AG$25,$E1119)*INDEX(AG$27:AG$43,$F1119)</f>
        <v/>
      </c>
      <c r="AH1119" s="36">
        <f>AH$10*$D1119*INDEX(AH$18:AH$25,$E1119)*INDEX(AH$27:AH$43,$F1119)</f>
        <v/>
      </c>
      <c r="AI1119" s="36">
        <f>AI$10*$D1119*INDEX(AI$18:AI$25,$E1119)*INDEX(AI$27:AI$43,$F1119)</f>
        <v/>
      </c>
      <c r="AJ1119" s="36">
        <f>AJ$10*$D1119*INDEX(AJ$18:AJ$25,$E1119)*INDEX(AJ$27:AJ$43,$F1119)</f>
        <v/>
      </c>
      <c r="AK1119" s="36">
        <f>AK$10*$D1119*INDEX(AK$18:AK$25,$E1119)*INDEX(AK$27:AK$43,$F1119)</f>
        <v/>
      </c>
      <c r="AL1119" s="36">
        <f>AL$10*$D1119*INDEX(AL$18:AL$25,$E1119)*INDEX(AL$27:AL$43,$F1119)</f>
        <v/>
      </c>
      <c r="AM1119" s="36">
        <f>AM$10*$D1119*INDEX(AM$18:AM$25,$E1119)*INDEX(AM$27:AM$43,$F1119)</f>
        <v/>
      </c>
      <c r="AN1119" s="36">
        <f>AN$10*$D1119*INDEX(AN$18:AN$25,$E1119)*INDEX(AN$27:AN$43,$F1119)</f>
        <v/>
      </c>
    </row>
    <row r="1120" hidden="1" outlineLevel="2">
      <c r="A1120" s="5" t="inlineStr">
        <is>
          <t>ctxnew</t>
        </is>
      </c>
      <c r="B1120" s="5" t="inlineStr">
        <is>
          <t>lpg</t>
        </is>
      </c>
      <c r="C1120" s="5" t="inlineStr">
        <is>
          <t>cst</t>
        </is>
      </c>
      <c r="D1120" s="36">
        <f>INDEX(Inputs!$U$5:$U$132,MATCH($B1120&amp;"|"&amp;$C1120,Inputs!$A$5:$A$132,0))</f>
        <v/>
      </c>
      <c r="E1120" s="36">
        <f>INDEX(Inputs!$J$5:$J$132,MATCH($B1120&amp;"|"&amp;$C1120,Inputs!$A$5:$A$132,0))</f>
        <v/>
      </c>
      <c r="F1120" s="36">
        <f>INDEX(Inputs!$K$5:$K$132,MATCH($B1120&amp;"|"&amp;$C1120,Inputs!$A$5:$A$132,0))</f>
        <v/>
      </c>
      <c r="G1120" s="37" t="n"/>
      <c r="H1120" s="5">
        <f>INDEX(Variables!$B$5:$B$65,MATCH($A1120,Variables!$A$5:$A$65,0))&amp;IF($C1120="",""," | "&amp;INDEX(Mapping!$B$5:$B$25,MATCH($C1120,Mapping!$A$5:$A$25,0))&amp;" | "&amp;INDEX(Mapping!$B$29:$B$38,MATCH($B1120,Mapping!$A$29:$A$38,0)))</f>
        <v/>
      </c>
      <c r="I1120" s="5">
        <f>INDEX(Variables!$C$5:$C$65,MATCH($A1120,Variables!$A$5:$A$65,0))</f>
        <v/>
      </c>
      <c r="J1120" s="5">
        <f>INDEX(Variables!$E$5:$E$65,MATCH($A1120,Variables!$A$5:$A$65,0))</f>
        <v/>
      </c>
      <c r="K1120" s="23">
        <f>LOWER(Settings!$C$4)&amp;".mit."&amp;$A1120&amp;IF($C1120="","","."&amp;$C1120&amp;"."&amp;$B1120)&amp;IF(INDEX(Variables!$D$5:$D$65,MATCH($A1120,Variables!$A$5:$A$65,0))="","","."&amp;INDEX(Variables!$D$5:$D$65,MATCH($A1120,Variables!$A$5:$A$65,0)))&amp;"."&amp;K$5</f>
        <v/>
      </c>
      <c r="L1120" s="38">
        <f>L$10*$D1120*INDEX(L$18:L$25,$E1120)*INDEX(L$27:L$43,$F1120)</f>
        <v/>
      </c>
      <c r="M1120" s="36">
        <f>M$10*$D1120*INDEX(M$18:M$25,$E1120)*INDEX(M$27:M$43,$F1120)</f>
        <v/>
      </c>
      <c r="N1120" s="36">
        <f>N$10*$D1120*INDEX(N$18:N$25,$E1120)*INDEX(N$27:N$43,$F1120)</f>
        <v/>
      </c>
      <c r="O1120" s="36">
        <f>O$10*$D1120*INDEX(O$18:O$25,$E1120)*INDEX(O$27:O$43,$F1120)</f>
        <v/>
      </c>
      <c r="P1120" s="36">
        <f>P$10*$D1120*INDEX(P$18:P$25,$E1120)*INDEX(P$27:P$43,$F1120)</f>
        <v/>
      </c>
      <c r="Q1120" s="36">
        <f>Q$10*$D1120*INDEX(Q$18:Q$25,$E1120)*INDEX(Q$27:Q$43,$F1120)</f>
        <v/>
      </c>
      <c r="R1120" s="36">
        <f>R$10*$D1120*INDEX(R$18:R$25,$E1120)*INDEX(R$27:R$43,$F1120)</f>
        <v/>
      </c>
      <c r="S1120" s="36">
        <f>S$10*$D1120*INDEX(S$18:S$25,$E1120)*INDEX(S$27:S$43,$F1120)</f>
        <v/>
      </c>
      <c r="T1120" s="36">
        <f>T$10*$D1120*INDEX(T$18:T$25,$E1120)*INDEX(T$27:T$43,$F1120)</f>
        <v/>
      </c>
      <c r="U1120" s="36">
        <f>U$10*$D1120*INDEX(U$18:U$25,$E1120)*INDEX(U$27:U$43,$F1120)</f>
        <v/>
      </c>
      <c r="V1120" s="36">
        <f>V$10*$D1120*INDEX(V$18:V$25,$E1120)*INDEX(V$27:V$43,$F1120)</f>
        <v/>
      </c>
      <c r="W1120" s="36">
        <f>W$10*$D1120*INDEX(W$18:W$25,$E1120)*INDEX(W$27:W$43,$F1120)</f>
        <v/>
      </c>
      <c r="X1120" s="36">
        <f>X$10*$D1120*INDEX(X$18:X$25,$E1120)*INDEX(X$27:X$43,$F1120)</f>
        <v/>
      </c>
      <c r="Y1120" s="36">
        <f>Y$10*$D1120*INDEX(Y$18:Y$25,$E1120)*INDEX(Y$27:Y$43,$F1120)</f>
        <v/>
      </c>
      <c r="Z1120" s="23">
        <f>LOWER(Settings!$C$4)&amp;".mit."&amp;$A1120&amp;IF($C1120="","","."&amp;$C1120&amp;"."&amp;$B1120)&amp;IF(INDEX(Variables!$D$5:$D$65,MATCH($A1120,Variables!$A$5:$A$65,0))="","","."&amp;INDEX(Variables!$D$5:$D$65,MATCH($A1120,Variables!$A$5:$A$65,0)))&amp;"."&amp;Z$5</f>
        <v/>
      </c>
      <c r="AA1120" s="38">
        <f>AA$10*$D1120*INDEX(AA$18:AA$25,$E1120)*INDEX(AA$27:AA$43,$F1120)</f>
        <v/>
      </c>
      <c r="AB1120" s="36">
        <f>AB$10*$D1120*INDEX(AB$18:AB$25,$E1120)*INDEX(AB$27:AB$43,$F1120)</f>
        <v/>
      </c>
      <c r="AC1120" s="36">
        <f>AC$10*$D1120*INDEX(AC$18:AC$25,$E1120)*INDEX(AC$27:AC$43,$F1120)</f>
        <v/>
      </c>
      <c r="AD1120" s="36">
        <f>AD$10*$D1120*INDEX(AD$18:AD$25,$E1120)*INDEX(AD$27:AD$43,$F1120)</f>
        <v/>
      </c>
      <c r="AE1120" s="36">
        <f>AE$10*$D1120*INDEX(AE$18:AE$25,$E1120)*INDEX(AE$27:AE$43,$F1120)</f>
        <v/>
      </c>
      <c r="AF1120" s="36">
        <f>AF$10*$D1120*INDEX(AF$18:AF$25,$E1120)*INDEX(AF$27:AF$43,$F1120)</f>
        <v/>
      </c>
      <c r="AG1120" s="36">
        <f>AG$10*$D1120*INDEX(AG$18:AG$25,$E1120)*INDEX(AG$27:AG$43,$F1120)</f>
        <v/>
      </c>
      <c r="AH1120" s="36">
        <f>AH$10*$D1120*INDEX(AH$18:AH$25,$E1120)*INDEX(AH$27:AH$43,$F1120)</f>
        <v/>
      </c>
      <c r="AI1120" s="36">
        <f>AI$10*$D1120*INDEX(AI$18:AI$25,$E1120)*INDEX(AI$27:AI$43,$F1120)</f>
        <v/>
      </c>
      <c r="AJ1120" s="36">
        <f>AJ$10*$D1120*INDEX(AJ$18:AJ$25,$E1120)*INDEX(AJ$27:AJ$43,$F1120)</f>
        <v/>
      </c>
      <c r="AK1120" s="36">
        <f>AK$10*$D1120*INDEX(AK$18:AK$25,$E1120)*INDEX(AK$27:AK$43,$F1120)</f>
        <v/>
      </c>
      <c r="AL1120" s="36">
        <f>AL$10*$D1120*INDEX(AL$18:AL$25,$E1120)*INDEX(AL$27:AL$43,$F1120)</f>
        <v/>
      </c>
      <c r="AM1120" s="36">
        <f>AM$10*$D1120*INDEX(AM$18:AM$25,$E1120)*INDEX(AM$27:AM$43,$F1120)</f>
        <v/>
      </c>
      <c r="AN1120" s="36">
        <f>AN$10*$D1120*INDEX(AN$18:AN$25,$E1120)*INDEX(AN$27:AN$43,$F1120)</f>
        <v/>
      </c>
    </row>
    <row r="1121" hidden="1" outlineLevel="2">
      <c r="A1121" s="5" t="inlineStr">
        <is>
          <t>ctxnew</t>
        </is>
      </c>
      <c r="B1121" s="5" t="inlineStr">
        <is>
          <t>ker</t>
        </is>
      </c>
      <c r="C1121" s="5" t="inlineStr">
        <is>
          <t>cst</t>
        </is>
      </c>
      <c r="D1121" s="36">
        <f>INDEX(Inputs!$U$5:$U$132,MATCH($B1121&amp;"|"&amp;$C1121,Inputs!$A$5:$A$132,0))</f>
        <v/>
      </c>
      <c r="E1121" s="36">
        <f>INDEX(Inputs!$J$5:$J$132,MATCH($B1121&amp;"|"&amp;$C1121,Inputs!$A$5:$A$132,0))</f>
        <v/>
      </c>
      <c r="F1121" s="36">
        <f>INDEX(Inputs!$K$5:$K$132,MATCH($B1121&amp;"|"&amp;$C1121,Inputs!$A$5:$A$132,0))</f>
        <v/>
      </c>
      <c r="G1121" s="37" t="n"/>
      <c r="H1121" s="5">
        <f>INDEX(Variables!$B$5:$B$65,MATCH($A1121,Variables!$A$5:$A$65,0))&amp;IF($C1121="",""," | "&amp;INDEX(Mapping!$B$5:$B$25,MATCH($C1121,Mapping!$A$5:$A$25,0))&amp;" | "&amp;INDEX(Mapping!$B$29:$B$38,MATCH($B1121,Mapping!$A$29:$A$38,0)))</f>
        <v/>
      </c>
      <c r="I1121" s="5">
        <f>INDEX(Variables!$C$5:$C$65,MATCH($A1121,Variables!$A$5:$A$65,0))</f>
        <v/>
      </c>
      <c r="J1121" s="5">
        <f>INDEX(Variables!$E$5:$E$65,MATCH($A1121,Variables!$A$5:$A$65,0))</f>
        <v/>
      </c>
      <c r="K1121" s="23">
        <f>LOWER(Settings!$C$4)&amp;".mit."&amp;$A1121&amp;IF($C1121="","","."&amp;$C1121&amp;"."&amp;$B1121)&amp;IF(INDEX(Variables!$D$5:$D$65,MATCH($A1121,Variables!$A$5:$A$65,0))="","","."&amp;INDEX(Variables!$D$5:$D$65,MATCH($A1121,Variables!$A$5:$A$65,0)))&amp;"."&amp;K$5</f>
        <v/>
      </c>
      <c r="L1121" s="38">
        <f>L$10*$D1121*INDEX(L$18:L$25,$E1121)*INDEX(L$27:L$43,$F1121)</f>
        <v/>
      </c>
      <c r="M1121" s="36">
        <f>M$10*$D1121*INDEX(M$18:M$25,$E1121)*INDEX(M$27:M$43,$F1121)</f>
        <v/>
      </c>
      <c r="N1121" s="36">
        <f>N$10*$D1121*INDEX(N$18:N$25,$E1121)*INDEX(N$27:N$43,$F1121)</f>
        <v/>
      </c>
      <c r="O1121" s="36">
        <f>O$10*$D1121*INDEX(O$18:O$25,$E1121)*INDEX(O$27:O$43,$F1121)</f>
        <v/>
      </c>
      <c r="P1121" s="36">
        <f>P$10*$D1121*INDEX(P$18:P$25,$E1121)*INDEX(P$27:P$43,$F1121)</f>
        <v/>
      </c>
      <c r="Q1121" s="36">
        <f>Q$10*$D1121*INDEX(Q$18:Q$25,$E1121)*INDEX(Q$27:Q$43,$F1121)</f>
        <v/>
      </c>
      <c r="R1121" s="36">
        <f>R$10*$D1121*INDEX(R$18:R$25,$E1121)*INDEX(R$27:R$43,$F1121)</f>
        <v/>
      </c>
      <c r="S1121" s="36">
        <f>S$10*$D1121*INDEX(S$18:S$25,$E1121)*INDEX(S$27:S$43,$F1121)</f>
        <v/>
      </c>
      <c r="T1121" s="36">
        <f>T$10*$D1121*INDEX(T$18:T$25,$E1121)*INDEX(T$27:T$43,$F1121)</f>
        <v/>
      </c>
      <c r="U1121" s="36">
        <f>U$10*$D1121*INDEX(U$18:U$25,$E1121)*INDEX(U$27:U$43,$F1121)</f>
        <v/>
      </c>
      <c r="V1121" s="36">
        <f>V$10*$D1121*INDEX(V$18:V$25,$E1121)*INDEX(V$27:V$43,$F1121)</f>
        <v/>
      </c>
      <c r="W1121" s="36">
        <f>W$10*$D1121*INDEX(W$18:W$25,$E1121)*INDEX(W$27:W$43,$F1121)</f>
        <v/>
      </c>
      <c r="X1121" s="36">
        <f>X$10*$D1121*INDEX(X$18:X$25,$E1121)*INDEX(X$27:X$43,$F1121)</f>
        <v/>
      </c>
      <c r="Y1121" s="36">
        <f>Y$10*$D1121*INDEX(Y$18:Y$25,$E1121)*INDEX(Y$27:Y$43,$F1121)</f>
        <v/>
      </c>
      <c r="Z1121" s="23">
        <f>LOWER(Settings!$C$4)&amp;".mit."&amp;$A1121&amp;IF($C1121="","","."&amp;$C1121&amp;"."&amp;$B1121)&amp;IF(INDEX(Variables!$D$5:$D$65,MATCH($A1121,Variables!$A$5:$A$65,0))="","","."&amp;INDEX(Variables!$D$5:$D$65,MATCH($A1121,Variables!$A$5:$A$65,0)))&amp;"."&amp;Z$5</f>
        <v/>
      </c>
      <c r="AA1121" s="38">
        <f>AA$10*$D1121*INDEX(AA$18:AA$25,$E1121)*INDEX(AA$27:AA$43,$F1121)</f>
        <v/>
      </c>
      <c r="AB1121" s="36">
        <f>AB$10*$D1121*INDEX(AB$18:AB$25,$E1121)*INDEX(AB$27:AB$43,$F1121)</f>
        <v/>
      </c>
      <c r="AC1121" s="36">
        <f>AC$10*$D1121*INDEX(AC$18:AC$25,$E1121)*INDEX(AC$27:AC$43,$F1121)</f>
        <v/>
      </c>
      <c r="AD1121" s="36">
        <f>AD$10*$D1121*INDEX(AD$18:AD$25,$E1121)*INDEX(AD$27:AD$43,$F1121)</f>
        <v/>
      </c>
      <c r="AE1121" s="36">
        <f>AE$10*$D1121*INDEX(AE$18:AE$25,$E1121)*INDEX(AE$27:AE$43,$F1121)</f>
        <v/>
      </c>
      <c r="AF1121" s="36">
        <f>AF$10*$D1121*INDEX(AF$18:AF$25,$E1121)*INDEX(AF$27:AF$43,$F1121)</f>
        <v/>
      </c>
      <c r="AG1121" s="36">
        <f>AG$10*$D1121*INDEX(AG$18:AG$25,$E1121)*INDEX(AG$27:AG$43,$F1121)</f>
        <v/>
      </c>
      <c r="AH1121" s="36">
        <f>AH$10*$D1121*INDEX(AH$18:AH$25,$E1121)*INDEX(AH$27:AH$43,$F1121)</f>
        <v/>
      </c>
      <c r="AI1121" s="36">
        <f>AI$10*$D1121*INDEX(AI$18:AI$25,$E1121)*INDEX(AI$27:AI$43,$F1121)</f>
        <v/>
      </c>
      <c r="AJ1121" s="36">
        <f>AJ$10*$D1121*INDEX(AJ$18:AJ$25,$E1121)*INDEX(AJ$27:AJ$43,$F1121)</f>
        <v/>
      </c>
      <c r="AK1121" s="36">
        <f>AK$10*$D1121*INDEX(AK$18:AK$25,$E1121)*INDEX(AK$27:AK$43,$F1121)</f>
        <v/>
      </c>
      <c r="AL1121" s="36">
        <f>AL$10*$D1121*INDEX(AL$18:AL$25,$E1121)*INDEX(AL$27:AL$43,$F1121)</f>
        <v/>
      </c>
      <c r="AM1121" s="36">
        <f>AM$10*$D1121*INDEX(AM$18:AM$25,$E1121)*INDEX(AM$27:AM$43,$F1121)</f>
        <v/>
      </c>
      <c r="AN1121" s="36">
        <f>AN$10*$D1121*INDEX(AN$18:AN$25,$E1121)*INDEX(AN$27:AN$43,$F1121)</f>
        <v/>
      </c>
    </row>
    <row r="1122" hidden="1" outlineLevel="2">
      <c r="A1122" s="5" t="inlineStr">
        <is>
          <t>ctxnew</t>
        </is>
      </c>
      <c r="B1122" s="5" t="inlineStr">
        <is>
          <t>oop</t>
        </is>
      </c>
      <c r="C1122" s="5" t="inlineStr">
        <is>
          <t>cst</t>
        </is>
      </c>
      <c r="D1122" s="36">
        <f>INDEX(Inputs!$U$5:$U$132,MATCH($B1122&amp;"|"&amp;$C1122,Inputs!$A$5:$A$132,0))</f>
        <v/>
      </c>
      <c r="E1122" s="36">
        <f>INDEX(Inputs!$J$5:$J$132,MATCH($B1122&amp;"|"&amp;$C1122,Inputs!$A$5:$A$132,0))</f>
        <v/>
      </c>
      <c r="F1122" s="36">
        <f>INDEX(Inputs!$K$5:$K$132,MATCH($B1122&amp;"|"&amp;$C1122,Inputs!$A$5:$A$132,0))</f>
        <v/>
      </c>
      <c r="G1122" s="37" t="n"/>
      <c r="H1122" s="5">
        <f>INDEX(Variables!$B$5:$B$65,MATCH($A1122,Variables!$A$5:$A$65,0))&amp;IF($C1122="",""," | "&amp;INDEX(Mapping!$B$5:$B$25,MATCH($C1122,Mapping!$A$5:$A$25,0))&amp;" | "&amp;INDEX(Mapping!$B$29:$B$38,MATCH($B1122,Mapping!$A$29:$A$38,0)))</f>
        <v/>
      </c>
      <c r="I1122" s="5">
        <f>INDEX(Variables!$C$5:$C$65,MATCH($A1122,Variables!$A$5:$A$65,0))</f>
        <v/>
      </c>
      <c r="J1122" s="5">
        <f>INDEX(Variables!$E$5:$E$65,MATCH($A1122,Variables!$A$5:$A$65,0))</f>
        <v/>
      </c>
      <c r="K1122" s="23">
        <f>LOWER(Settings!$C$4)&amp;".mit."&amp;$A1122&amp;IF($C1122="","","."&amp;$C1122&amp;"."&amp;$B1122)&amp;IF(INDEX(Variables!$D$5:$D$65,MATCH($A1122,Variables!$A$5:$A$65,0))="","","."&amp;INDEX(Variables!$D$5:$D$65,MATCH($A1122,Variables!$A$5:$A$65,0)))&amp;"."&amp;K$5</f>
        <v/>
      </c>
      <c r="L1122" s="38">
        <f>L$10*$D1122*INDEX(L$18:L$25,$E1122)*INDEX(L$27:L$43,$F1122)</f>
        <v/>
      </c>
      <c r="M1122" s="36">
        <f>M$10*$D1122*INDEX(M$18:M$25,$E1122)*INDEX(M$27:M$43,$F1122)</f>
        <v/>
      </c>
      <c r="N1122" s="36">
        <f>N$10*$D1122*INDEX(N$18:N$25,$E1122)*INDEX(N$27:N$43,$F1122)</f>
        <v/>
      </c>
      <c r="O1122" s="36">
        <f>O$10*$D1122*INDEX(O$18:O$25,$E1122)*INDEX(O$27:O$43,$F1122)</f>
        <v/>
      </c>
      <c r="P1122" s="36">
        <f>P$10*$D1122*INDEX(P$18:P$25,$E1122)*INDEX(P$27:P$43,$F1122)</f>
        <v/>
      </c>
      <c r="Q1122" s="36">
        <f>Q$10*$D1122*INDEX(Q$18:Q$25,$E1122)*INDEX(Q$27:Q$43,$F1122)</f>
        <v/>
      </c>
      <c r="R1122" s="36">
        <f>R$10*$D1122*INDEX(R$18:R$25,$E1122)*INDEX(R$27:R$43,$F1122)</f>
        <v/>
      </c>
      <c r="S1122" s="36">
        <f>S$10*$D1122*INDEX(S$18:S$25,$E1122)*INDEX(S$27:S$43,$F1122)</f>
        <v/>
      </c>
      <c r="T1122" s="36">
        <f>T$10*$D1122*INDEX(T$18:T$25,$E1122)*INDEX(T$27:T$43,$F1122)</f>
        <v/>
      </c>
      <c r="U1122" s="36">
        <f>U$10*$D1122*INDEX(U$18:U$25,$E1122)*INDEX(U$27:U$43,$F1122)</f>
        <v/>
      </c>
      <c r="V1122" s="36">
        <f>V$10*$D1122*INDEX(V$18:V$25,$E1122)*INDEX(V$27:V$43,$F1122)</f>
        <v/>
      </c>
      <c r="W1122" s="36">
        <f>W$10*$D1122*INDEX(W$18:W$25,$E1122)*INDEX(W$27:W$43,$F1122)</f>
        <v/>
      </c>
      <c r="X1122" s="36">
        <f>X$10*$D1122*INDEX(X$18:X$25,$E1122)*INDEX(X$27:X$43,$F1122)</f>
        <v/>
      </c>
      <c r="Y1122" s="36">
        <f>Y$10*$D1122*INDEX(Y$18:Y$25,$E1122)*INDEX(Y$27:Y$43,$F1122)</f>
        <v/>
      </c>
      <c r="Z1122" s="23">
        <f>LOWER(Settings!$C$4)&amp;".mit."&amp;$A1122&amp;IF($C1122="","","."&amp;$C1122&amp;"."&amp;$B1122)&amp;IF(INDEX(Variables!$D$5:$D$65,MATCH($A1122,Variables!$A$5:$A$65,0))="","","."&amp;INDEX(Variables!$D$5:$D$65,MATCH($A1122,Variables!$A$5:$A$65,0)))&amp;"."&amp;Z$5</f>
        <v/>
      </c>
      <c r="AA1122" s="38">
        <f>AA$10*$D1122*INDEX(AA$18:AA$25,$E1122)*INDEX(AA$27:AA$43,$F1122)</f>
        <v/>
      </c>
      <c r="AB1122" s="36">
        <f>AB$10*$D1122*INDEX(AB$18:AB$25,$E1122)*INDEX(AB$27:AB$43,$F1122)</f>
        <v/>
      </c>
      <c r="AC1122" s="36">
        <f>AC$10*$D1122*INDEX(AC$18:AC$25,$E1122)*INDEX(AC$27:AC$43,$F1122)</f>
        <v/>
      </c>
      <c r="AD1122" s="36">
        <f>AD$10*$D1122*INDEX(AD$18:AD$25,$E1122)*INDEX(AD$27:AD$43,$F1122)</f>
        <v/>
      </c>
      <c r="AE1122" s="36">
        <f>AE$10*$D1122*INDEX(AE$18:AE$25,$E1122)*INDEX(AE$27:AE$43,$F1122)</f>
        <v/>
      </c>
      <c r="AF1122" s="36">
        <f>AF$10*$D1122*INDEX(AF$18:AF$25,$E1122)*INDEX(AF$27:AF$43,$F1122)</f>
        <v/>
      </c>
      <c r="AG1122" s="36">
        <f>AG$10*$D1122*INDEX(AG$18:AG$25,$E1122)*INDEX(AG$27:AG$43,$F1122)</f>
        <v/>
      </c>
      <c r="AH1122" s="36">
        <f>AH$10*$D1122*INDEX(AH$18:AH$25,$E1122)*INDEX(AH$27:AH$43,$F1122)</f>
        <v/>
      </c>
      <c r="AI1122" s="36">
        <f>AI$10*$D1122*INDEX(AI$18:AI$25,$E1122)*INDEX(AI$27:AI$43,$F1122)</f>
        <v/>
      </c>
      <c r="AJ1122" s="36">
        <f>AJ$10*$D1122*INDEX(AJ$18:AJ$25,$E1122)*INDEX(AJ$27:AJ$43,$F1122)</f>
        <v/>
      </c>
      <c r="AK1122" s="36">
        <f>AK$10*$D1122*INDEX(AK$18:AK$25,$E1122)*INDEX(AK$27:AK$43,$F1122)</f>
        <v/>
      </c>
      <c r="AL1122" s="36">
        <f>AL$10*$D1122*INDEX(AL$18:AL$25,$E1122)*INDEX(AL$27:AL$43,$F1122)</f>
        <v/>
      </c>
      <c r="AM1122" s="36">
        <f>AM$10*$D1122*INDEX(AM$18:AM$25,$E1122)*INDEX(AM$27:AM$43,$F1122)</f>
        <v/>
      </c>
      <c r="AN1122" s="36">
        <f>AN$10*$D1122*INDEX(AN$18:AN$25,$E1122)*INDEX(AN$27:AN$43,$F1122)</f>
        <v/>
      </c>
    </row>
    <row r="1123" hidden="1" outlineLevel="2">
      <c r="A1123" s="5" t="inlineStr">
        <is>
          <t>ctxnew</t>
        </is>
      </c>
      <c r="B1123" s="5" t="inlineStr">
        <is>
          <t>bio</t>
        </is>
      </c>
      <c r="C1123" s="5" t="inlineStr">
        <is>
          <t>cst</t>
        </is>
      </c>
      <c r="D1123" s="36">
        <f>INDEX(Inputs!$U$5:$U$132,MATCH($B1123&amp;"|"&amp;$C1123,Inputs!$A$5:$A$132,0))</f>
        <v/>
      </c>
      <c r="E1123" s="36">
        <f>INDEX(Inputs!$J$5:$J$132,MATCH($B1123&amp;"|"&amp;$C1123,Inputs!$A$5:$A$132,0))</f>
        <v/>
      </c>
      <c r="F1123" s="36">
        <f>INDEX(Inputs!$K$5:$K$132,MATCH($B1123&amp;"|"&amp;$C1123,Inputs!$A$5:$A$132,0))</f>
        <v/>
      </c>
      <c r="G1123" s="37" t="n"/>
      <c r="H1123" s="5">
        <f>INDEX(Variables!$B$5:$B$65,MATCH($A1123,Variables!$A$5:$A$65,0))&amp;IF($C1123="",""," | "&amp;INDEX(Mapping!$B$5:$B$25,MATCH($C1123,Mapping!$A$5:$A$25,0))&amp;" | "&amp;INDEX(Mapping!$B$29:$B$38,MATCH($B1123,Mapping!$A$29:$A$38,0)))</f>
        <v/>
      </c>
      <c r="I1123" s="5">
        <f>INDEX(Variables!$C$5:$C$65,MATCH($A1123,Variables!$A$5:$A$65,0))</f>
        <v/>
      </c>
      <c r="J1123" s="5">
        <f>INDEX(Variables!$E$5:$E$65,MATCH($A1123,Variables!$A$5:$A$65,0))</f>
        <v/>
      </c>
      <c r="K1123" s="23">
        <f>LOWER(Settings!$C$4)&amp;".mit."&amp;$A1123&amp;IF($C1123="","","."&amp;$C1123&amp;"."&amp;$B1123)&amp;IF(INDEX(Variables!$D$5:$D$65,MATCH($A1123,Variables!$A$5:$A$65,0))="","","."&amp;INDEX(Variables!$D$5:$D$65,MATCH($A1123,Variables!$A$5:$A$65,0)))&amp;"."&amp;K$5</f>
        <v/>
      </c>
      <c r="L1123" s="38">
        <f>L$10*$D1123*INDEX(L$18:L$25,$E1123)*INDEX(L$27:L$43,$F1123)</f>
        <v/>
      </c>
      <c r="M1123" s="36">
        <f>M$10*$D1123*INDEX(M$18:M$25,$E1123)*INDEX(M$27:M$43,$F1123)</f>
        <v/>
      </c>
      <c r="N1123" s="36">
        <f>N$10*$D1123*INDEX(N$18:N$25,$E1123)*INDEX(N$27:N$43,$F1123)</f>
        <v/>
      </c>
      <c r="O1123" s="36">
        <f>O$10*$D1123*INDEX(O$18:O$25,$E1123)*INDEX(O$27:O$43,$F1123)</f>
        <v/>
      </c>
      <c r="P1123" s="36">
        <f>P$10*$D1123*INDEX(P$18:P$25,$E1123)*INDEX(P$27:P$43,$F1123)</f>
        <v/>
      </c>
      <c r="Q1123" s="36">
        <f>Q$10*$D1123*INDEX(Q$18:Q$25,$E1123)*INDEX(Q$27:Q$43,$F1123)</f>
        <v/>
      </c>
      <c r="R1123" s="36">
        <f>R$10*$D1123*INDEX(R$18:R$25,$E1123)*INDEX(R$27:R$43,$F1123)</f>
        <v/>
      </c>
      <c r="S1123" s="36">
        <f>S$10*$D1123*INDEX(S$18:S$25,$E1123)*INDEX(S$27:S$43,$F1123)</f>
        <v/>
      </c>
      <c r="T1123" s="36">
        <f>T$10*$D1123*INDEX(T$18:T$25,$E1123)*INDEX(T$27:T$43,$F1123)</f>
        <v/>
      </c>
      <c r="U1123" s="36">
        <f>U$10*$D1123*INDEX(U$18:U$25,$E1123)*INDEX(U$27:U$43,$F1123)</f>
        <v/>
      </c>
      <c r="V1123" s="36">
        <f>V$10*$D1123*INDEX(V$18:V$25,$E1123)*INDEX(V$27:V$43,$F1123)</f>
        <v/>
      </c>
      <c r="W1123" s="36">
        <f>W$10*$D1123*INDEX(W$18:W$25,$E1123)*INDEX(W$27:W$43,$F1123)</f>
        <v/>
      </c>
      <c r="X1123" s="36">
        <f>X$10*$D1123*INDEX(X$18:X$25,$E1123)*INDEX(X$27:X$43,$F1123)</f>
        <v/>
      </c>
      <c r="Y1123" s="36">
        <f>Y$10*$D1123*INDEX(Y$18:Y$25,$E1123)*INDEX(Y$27:Y$43,$F1123)</f>
        <v/>
      </c>
      <c r="Z1123" s="23">
        <f>LOWER(Settings!$C$4)&amp;".mit."&amp;$A1123&amp;IF($C1123="","","."&amp;$C1123&amp;"."&amp;$B1123)&amp;IF(INDEX(Variables!$D$5:$D$65,MATCH($A1123,Variables!$A$5:$A$65,0))="","","."&amp;INDEX(Variables!$D$5:$D$65,MATCH($A1123,Variables!$A$5:$A$65,0)))&amp;"."&amp;Z$5</f>
        <v/>
      </c>
      <c r="AA1123" s="38">
        <f>AA$10*$D1123*INDEX(AA$18:AA$25,$E1123)*INDEX(AA$27:AA$43,$F1123)</f>
        <v/>
      </c>
      <c r="AB1123" s="36">
        <f>AB$10*$D1123*INDEX(AB$18:AB$25,$E1123)*INDEX(AB$27:AB$43,$F1123)</f>
        <v/>
      </c>
      <c r="AC1123" s="36">
        <f>AC$10*$D1123*INDEX(AC$18:AC$25,$E1123)*INDEX(AC$27:AC$43,$F1123)</f>
        <v/>
      </c>
      <c r="AD1123" s="36">
        <f>AD$10*$D1123*INDEX(AD$18:AD$25,$E1123)*INDEX(AD$27:AD$43,$F1123)</f>
        <v/>
      </c>
      <c r="AE1123" s="36">
        <f>AE$10*$D1123*INDEX(AE$18:AE$25,$E1123)*INDEX(AE$27:AE$43,$F1123)</f>
        <v/>
      </c>
      <c r="AF1123" s="36">
        <f>AF$10*$D1123*INDEX(AF$18:AF$25,$E1123)*INDEX(AF$27:AF$43,$F1123)</f>
        <v/>
      </c>
      <c r="AG1123" s="36">
        <f>AG$10*$D1123*INDEX(AG$18:AG$25,$E1123)*INDEX(AG$27:AG$43,$F1123)</f>
        <v/>
      </c>
      <c r="AH1123" s="36">
        <f>AH$10*$D1123*INDEX(AH$18:AH$25,$E1123)*INDEX(AH$27:AH$43,$F1123)</f>
        <v/>
      </c>
      <c r="AI1123" s="36">
        <f>AI$10*$D1123*INDEX(AI$18:AI$25,$E1123)*INDEX(AI$27:AI$43,$F1123)</f>
        <v/>
      </c>
      <c r="AJ1123" s="36">
        <f>AJ$10*$D1123*INDEX(AJ$18:AJ$25,$E1123)*INDEX(AJ$27:AJ$43,$F1123)</f>
        <v/>
      </c>
      <c r="AK1123" s="36">
        <f>AK$10*$D1123*INDEX(AK$18:AK$25,$E1123)*INDEX(AK$27:AK$43,$F1123)</f>
        <v/>
      </c>
      <c r="AL1123" s="36">
        <f>AL$10*$D1123*INDEX(AL$18:AL$25,$E1123)*INDEX(AL$27:AL$43,$F1123)</f>
        <v/>
      </c>
      <c r="AM1123" s="36">
        <f>AM$10*$D1123*INDEX(AM$18:AM$25,$E1123)*INDEX(AM$27:AM$43,$F1123)</f>
        <v/>
      </c>
      <c r="AN1123" s="36">
        <f>AN$10*$D1123*INDEX(AN$18:AN$25,$E1123)*INDEX(AN$27:AN$43,$F1123)</f>
        <v/>
      </c>
    </row>
    <row r="1124" hidden="1" outlineLevel="2"/>
    <row r="1125" hidden="1" outlineLevel="2">
      <c r="A1125" s="5" t="inlineStr">
        <is>
          <t>ntx</t>
        </is>
      </c>
      <c r="B1125" s="5" t="inlineStr">
        <is>
          <t>coa</t>
        </is>
      </c>
      <c r="C1125" s="5" t="inlineStr">
        <is>
          <t>cst</t>
        </is>
      </c>
      <c r="D1125" s="36">
        <f>INDEX(Inputs!$L$5:$L$132,MATCH($B1125&amp;"|"&amp;$C1125,Inputs!$A$5:$A$132,0))</f>
        <v/>
      </c>
      <c r="E1125" s="36">
        <f>INDEX(Inputs!$I$5:$I$132,MATCH($B1125&amp;"|"&amp;$C1125,Inputs!$A$5:$A$132,0))</f>
        <v/>
      </c>
      <c r="F1125" s="37" t="n"/>
      <c r="G1125" s="37" t="n"/>
      <c r="H1125" s="5">
        <f>INDEX(Variables!$B$5:$B$65,MATCH($A1125,Variables!$A$5:$A$65,0))&amp;IF($C1125="",""," | "&amp;INDEX(Mapping!$B$5:$B$25,MATCH($C1125,Mapping!$A$5:$A$25,0))&amp;" | "&amp;INDEX(Mapping!$B$29:$B$38,MATCH($B1125,Mapping!$A$29:$A$38,0)))</f>
        <v/>
      </c>
      <c r="I1125" s="5">
        <f>INDEX(Variables!$C$5:$C$65,MATCH($A1125,Variables!$A$5:$A$65,0))</f>
        <v/>
      </c>
      <c r="J1125" s="5">
        <f>INDEX(Variables!$E$5:$E$65,MATCH($A1125,Variables!$A$5:$A$65,0))</f>
        <v/>
      </c>
      <c r="K1125" s="23">
        <f>LOWER(Settings!$C$4)&amp;".mit."&amp;$A1125&amp;IF($C1125="","","."&amp;$C1125&amp;"."&amp;$B1125)&amp;IF(INDEX(Variables!$D$5:$D$65,MATCH($A1125,Variables!$A$5:$A$65,0))="","","."&amp;INDEX(Variables!$D$5:$D$65,MATCH($A1125,Variables!$A$5:$A$65,0)))&amp;"."&amp;K$5</f>
        <v/>
      </c>
      <c r="L1125" s="38">
        <f>INDEX(L$75:L$88,$D1125)/$E1125</f>
        <v/>
      </c>
      <c r="M1125" s="36">
        <f>INDEX(M$75:M$88,$D1125)/$E1125</f>
        <v/>
      </c>
      <c r="N1125" s="36">
        <f>INDEX(N$75:N$88,$D1125)/$E1125</f>
        <v/>
      </c>
      <c r="O1125" s="36">
        <f>INDEX(O$75:O$88,$D1125)/$E1125</f>
        <v/>
      </c>
      <c r="P1125" s="36">
        <f>INDEX(P$75:P$88,$D1125)/$E1125</f>
        <v/>
      </c>
      <c r="Q1125" s="36">
        <f>INDEX(Q$75:Q$88,$D1125)/$E1125</f>
        <v/>
      </c>
      <c r="R1125" s="36">
        <f>INDEX(R$75:R$88,$D1125)/$E1125</f>
        <v/>
      </c>
      <c r="S1125" s="36">
        <f>INDEX(S$75:S$88,$D1125)/$E1125</f>
        <v/>
      </c>
      <c r="T1125" s="36">
        <f>INDEX(T$75:T$88,$D1125)/$E1125</f>
        <v/>
      </c>
      <c r="U1125" s="36">
        <f>INDEX(U$75:U$88,$D1125)/$E1125</f>
        <v/>
      </c>
      <c r="V1125" s="36">
        <f>INDEX(V$75:V$88,$D1125)/$E1125</f>
        <v/>
      </c>
      <c r="W1125" s="36">
        <f>INDEX(W$75:W$88,$D1125)/$E1125</f>
        <v/>
      </c>
      <c r="X1125" s="36">
        <f>INDEX(X$75:X$88,$D1125)/$E1125</f>
        <v/>
      </c>
      <c r="Y1125" s="36">
        <f>INDEX(Y$75:Y$88,$D1125)/$E1125</f>
        <v/>
      </c>
      <c r="Z1125" s="23">
        <f>LOWER(Settings!$C$4)&amp;".mit."&amp;$A1125&amp;IF($C1125="","","."&amp;$C1125&amp;"."&amp;$B1125)&amp;IF(INDEX(Variables!$D$5:$D$65,MATCH($A1125,Variables!$A$5:$A$65,0))="","","."&amp;INDEX(Variables!$D$5:$D$65,MATCH($A1125,Variables!$A$5:$A$65,0)))&amp;"."&amp;Z$5</f>
        <v/>
      </c>
      <c r="AA1125" s="38">
        <f>INDEX(AA$75:AA$88,$D1125)/$E1125</f>
        <v/>
      </c>
      <c r="AB1125" s="36">
        <f>INDEX(AB$75:AB$88,$D1125)/$E1125</f>
        <v/>
      </c>
      <c r="AC1125" s="36">
        <f>INDEX(AC$75:AC$88,$D1125)/$E1125</f>
        <v/>
      </c>
      <c r="AD1125" s="36">
        <f>INDEX(AD$75:AD$88,$D1125)/$E1125</f>
        <v/>
      </c>
      <c r="AE1125" s="36">
        <f>INDEX(AE$75:AE$88,$D1125)/$E1125</f>
        <v/>
      </c>
      <c r="AF1125" s="36">
        <f>INDEX(AF$75:AF$88,$D1125)/$E1125</f>
        <v/>
      </c>
      <c r="AG1125" s="36">
        <f>INDEX(AG$75:AG$88,$D1125)/$E1125</f>
        <v/>
      </c>
      <c r="AH1125" s="36">
        <f>INDEX(AH$75:AH$88,$D1125)/$E1125</f>
        <v/>
      </c>
      <c r="AI1125" s="36">
        <f>INDEX(AI$75:AI$88,$D1125)/$E1125</f>
        <v/>
      </c>
      <c r="AJ1125" s="36">
        <f>INDEX(AJ$75:AJ$88,$D1125)/$E1125</f>
        <v/>
      </c>
      <c r="AK1125" s="36">
        <f>INDEX(AK$75:AK$88,$D1125)/$E1125</f>
        <v/>
      </c>
      <c r="AL1125" s="36">
        <f>INDEX(AL$75:AL$88,$D1125)/$E1125</f>
        <v/>
      </c>
      <c r="AM1125" s="36">
        <f>INDEX(AM$75:AM$88,$D1125)/$E1125</f>
        <v/>
      </c>
      <c r="AN1125" s="36">
        <f>INDEX(AN$75:AN$88,$D1125)/$E1125</f>
        <v/>
      </c>
    </row>
    <row r="1126" hidden="1" outlineLevel="2">
      <c r="A1126" s="5" t="inlineStr">
        <is>
          <t>ntx</t>
        </is>
      </c>
      <c r="B1126" s="5" t="inlineStr">
        <is>
          <t>nga</t>
        </is>
      </c>
      <c r="C1126" s="5" t="inlineStr">
        <is>
          <t>cst</t>
        </is>
      </c>
      <c r="D1126" s="36">
        <f>INDEX(Inputs!$L$5:$L$132,MATCH($B1126&amp;"|"&amp;$C1126,Inputs!$A$5:$A$132,0))</f>
        <v/>
      </c>
      <c r="E1126" s="36">
        <f>INDEX(Inputs!$I$5:$I$132,MATCH($B1126&amp;"|"&amp;$C1126,Inputs!$A$5:$A$132,0))</f>
        <v/>
      </c>
      <c r="F1126" s="37" t="n"/>
      <c r="G1126" s="37" t="n"/>
      <c r="H1126" s="5">
        <f>INDEX(Variables!$B$5:$B$65,MATCH($A1126,Variables!$A$5:$A$65,0))&amp;IF($C1126="",""," | "&amp;INDEX(Mapping!$B$5:$B$25,MATCH($C1126,Mapping!$A$5:$A$25,0))&amp;" | "&amp;INDEX(Mapping!$B$29:$B$38,MATCH($B1126,Mapping!$A$29:$A$38,0)))</f>
        <v/>
      </c>
      <c r="I1126" s="5">
        <f>INDEX(Variables!$C$5:$C$65,MATCH($A1126,Variables!$A$5:$A$65,0))</f>
        <v/>
      </c>
      <c r="J1126" s="5">
        <f>INDEX(Variables!$E$5:$E$65,MATCH($A1126,Variables!$A$5:$A$65,0))</f>
        <v/>
      </c>
      <c r="K1126" s="23">
        <f>LOWER(Settings!$C$4)&amp;".mit."&amp;$A1126&amp;IF($C1126="","","."&amp;$C1126&amp;"."&amp;$B1126)&amp;IF(INDEX(Variables!$D$5:$D$65,MATCH($A1126,Variables!$A$5:$A$65,0))="","","."&amp;INDEX(Variables!$D$5:$D$65,MATCH($A1126,Variables!$A$5:$A$65,0)))&amp;"."&amp;K$5</f>
        <v/>
      </c>
      <c r="L1126" s="38">
        <f>INDEX(L$75:L$88,$D1126)/$E1126</f>
        <v/>
      </c>
      <c r="M1126" s="36">
        <f>INDEX(M$75:M$88,$D1126)/$E1126</f>
        <v/>
      </c>
      <c r="N1126" s="36">
        <f>INDEX(N$75:N$88,$D1126)/$E1126</f>
        <v/>
      </c>
      <c r="O1126" s="36">
        <f>INDEX(O$75:O$88,$D1126)/$E1126</f>
        <v/>
      </c>
      <c r="P1126" s="36">
        <f>INDEX(P$75:P$88,$D1126)/$E1126</f>
        <v/>
      </c>
      <c r="Q1126" s="36">
        <f>INDEX(Q$75:Q$88,$D1126)/$E1126</f>
        <v/>
      </c>
      <c r="R1126" s="36">
        <f>INDEX(R$75:R$88,$D1126)/$E1126</f>
        <v/>
      </c>
      <c r="S1126" s="36">
        <f>INDEX(S$75:S$88,$D1126)/$E1126</f>
        <v/>
      </c>
      <c r="T1126" s="36">
        <f>INDEX(T$75:T$88,$D1126)/$E1126</f>
        <v/>
      </c>
      <c r="U1126" s="36">
        <f>INDEX(U$75:U$88,$D1126)/$E1126</f>
        <v/>
      </c>
      <c r="V1126" s="36">
        <f>INDEX(V$75:V$88,$D1126)/$E1126</f>
        <v/>
      </c>
      <c r="W1126" s="36">
        <f>INDEX(W$75:W$88,$D1126)/$E1126</f>
        <v/>
      </c>
      <c r="X1126" s="36">
        <f>INDEX(X$75:X$88,$D1126)/$E1126</f>
        <v/>
      </c>
      <c r="Y1126" s="36">
        <f>INDEX(Y$75:Y$88,$D1126)/$E1126</f>
        <v/>
      </c>
      <c r="Z1126" s="23">
        <f>LOWER(Settings!$C$4)&amp;".mit."&amp;$A1126&amp;IF($C1126="","","."&amp;$C1126&amp;"."&amp;$B1126)&amp;IF(INDEX(Variables!$D$5:$D$65,MATCH($A1126,Variables!$A$5:$A$65,0))="","","."&amp;INDEX(Variables!$D$5:$D$65,MATCH($A1126,Variables!$A$5:$A$65,0)))&amp;"."&amp;Z$5</f>
        <v/>
      </c>
      <c r="AA1126" s="38">
        <f>INDEX(AA$75:AA$88,$D1126)/$E1126</f>
        <v/>
      </c>
      <c r="AB1126" s="36">
        <f>INDEX(AB$75:AB$88,$D1126)/$E1126</f>
        <v/>
      </c>
      <c r="AC1126" s="36">
        <f>INDEX(AC$75:AC$88,$D1126)/$E1126</f>
        <v/>
      </c>
      <c r="AD1126" s="36">
        <f>INDEX(AD$75:AD$88,$D1126)/$E1126</f>
        <v/>
      </c>
      <c r="AE1126" s="36">
        <f>INDEX(AE$75:AE$88,$D1126)/$E1126</f>
        <v/>
      </c>
      <c r="AF1126" s="36">
        <f>INDEX(AF$75:AF$88,$D1126)/$E1126</f>
        <v/>
      </c>
      <c r="AG1126" s="36">
        <f>INDEX(AG$75:AG$88,$D1126)/$E1126</f>
        <v/>
      </c>
      <c r="AH1126" s="36">
        <f>INDEX(AH$75:AH$88,$D1126)/$E1126</f>
        <v/>
      </c>
      <c r="AI1126" s="36">
        <f>INDEX(AI$75:AI$88,$D1126)/$E1126</f>
        <v/>
      </c>
      <c r="AJ1126" s="36">
        <f>INDEX(AJ$75:AJ$88,$D1126)/$E1126</f>
        <v/>
      </c>
      <c r="AK1126" s="36">
        <f>INDEX(AK$75:AK$88,$D1126)/$E1126</f>
        <v/>
      </c>
      <c r="AL1126" s="36">
        <f>INDEX(AL$75:AL$88,$D1126)/$E1126</f>
        <v/>
      </c>
      <c r="AM1126" s="36">
        <f>INDEX(AM$75:AM$88,$D1126)/$E1126</f>
        <v/>
      </c>
      <c r="AN1126" s="36">
        <f>INDEX(AN$75:AN$88,$D1126)/$E1126</f>
        <v/>
      </c>
    </row>
    <row r="1127" hidden="1" outlineLevel="2">
      <c r="A1127" s="5" t="inlineStr">
        <is>
          <t>ntx</t>
        </is>
      </c>
      <c r="B1127" s="5" t="inlineStr">
        <is>
          <t>gso</t>
        </is>
      </c>
      <c r="C1127" s="5" t="inlineStr">
        <is>
          <t>cst</t>
        </is>
      </c>
      <c r="D1127" s="36">
        <f>INDEX(Inputs!$L$5:$L$132,MATCH($B1127&amp;"|"&amp;$C1127,Inputs!$A$5:$A$132,0))</f>
        <v/>
      </c>
      <c r="E1127" s="36">
        <f>INDEX(Inputs!$I$5:$I$132,MATCH($B1127&amp;"|"&amp;$C1127,Inputs!$A$5:$A$132,0))</f>
        <v/>
      </c>
      <c r="F1127" s="37" t="n"/>
      <c r="G1127" s="37" t="n"/>
      <c r="H1127" s="5">
        <f>INDEX(Variables!$B$5:$B$65,MATCH($A1127,Variables!$A$5:$A$65,0))&amp;IF($C1127="",""," | "&amp;INDEX(Mapping!$B$5:$B$25,MATCH($C1127,Mapping!$A$5:$A$25,0))&amp;" | "&amp;INDEX(Mapping!$B$29:$B$38,MATCH($B1127,Mapping!$A$29:$A$38,0)))</f>
        <v/>
      </c>
      <c r="I1127" s="5">
        <f>INDEX(Variables!$C$5:$C$65,MATCH($A1127,Variables!$A$5:$A$65,0))</f>
        <v/>
      </c>
      <c r="J1127" s="5">
        <f>INDEX(Variables!$E$5:$E$65,MATCH($A1127,Variables!$A$5:$A$65,0))</f>
        <v/>
      </c>
      <c r="K1127" s="23">
        <f>LOWER(Settings!$C$4)&amp;".mit."&amp;$A1127&amp;IF($C1127="","","."&amp;$C1127&amp;"."&amp;$B1127)&amp;IF(INDEX(Variables!$D$5:$D$65,MATCH($A1127,Variables!$A$5:$A$65,0))="","","."&amp;INDEX(Variables!$D$5:$D$65,MATCH($A1127,Variables!$A$5:$A$65,0)))&amp;"."&amp;K$5</f>
        <v/>
      </c>
      <c r="L1127" s="38">
        <f>INDEX(L$75:L$88,$D1127)/$E1127</f>
        <v/>
      </c>
      <c r="M1127" s="36">
        <f>INDEX(M$75:M$88,$D1127)/$E1127</f>
        <v/>
      </c>
      <c r="N1127" s="36">
        <f>INDEX(N$75:N$88,$D1127)/$E1127</f>
        <v/>
      </c>
      <c r="O1127" s="36">
        <f>INDEX(O$75:O$88,$D1127)/$E1127</f>
        <v/>
      </c>
      <c r="P1127" s="36">
        <f>INDEX(P$75:P$88,$D1127)/$E1127</f>
        <v/>
      </c>
      <c r="Q1127" s="36">
        <f>INDEX(Q$75:Q$88,$D1127)/$E1127</f>
        <v/>
      </c>
      <c r="R1127" s="36">
        <f>INDEX(R$75:R$88,$D1127)/$E1127</f>
        <v/>
      </c>
      <c r="S1127" s="36">
        <f>INDEX(S$75:S$88,$D1127)/$E1127</f>
        <v/>
      </c>
      <c r="T1127" s="36">
        <f>INDEX(T$75:T$88,$D1127)/$E1127</f>
        <v/>
      </c>
      <c r="U1127" s="36">
        <f>INDEX(U$75:U$88,$D1127)/$E1127</f>
        <v/>
      </c>
      <c r="V1127" s="36">
        <f>INDEX(V$75:V$88,$D1127)/$E1127</f>
        <v/>
      </c>
      <c r="W1127" s="36">
        <f>INDEX(W$75:W$88,$D1127)/$E1127</f>
        <v/>
      </c>
      <c r="X1127" s="36">
        <f>INDEX(X$75:X$88,$D1127)/$E1127</f>
        <v/>
      </c>
      <c r="Y1127" s="36">
        <f>INDEX(Y$75:Y$88,$D1127)/$E1127</f>
        <v/>
      </c>
      <c r="Z1127" s="23">
        <f>LOWER(Settings!$C$4)&amp;".mit."&amp;$A1127&amp;IF($C1127="","","."&amp;$C1127&amp;"."&amp;$B1127)&amp;IF(INDEX(Variables!$D$5:$D$65,MATCH($A1127,Variables!$A$5:$A$65,0))="","","."&amp;INDEX(Variables!$D$5:$D$65,MATCH($A1127,Variables!$A$5:$A$65,0)))&amp;"."&amp;Z$5</f>
        <v/>
      </c>
      <c r="AA1127" s="38">
        <f>INDEX(AA$75:AA$88,$D1127)/$E1127</f>
        <v/>
      </c>
      <c r="AB1127" s="36">
        <f>INDEX(AB$75:AB$88,$D1127)/$E1127</f>
        <v/>
      </c>
      <c r="AC1127" s="36">
        <f>INDEX(AC$75:AC$88,$D1127)/$E1127</f>
        <v/>
      </c>
      <c r="AD1127" s="36">
        <f>INDEX(AD$75:AD$88,$D1127)/$E1127</f>
        <v/>
      </c>
      <c r="AE1127" s="36">
        <f>INDEX(AE$75:AE$88,$D1127)/$E1127</f>
        <v/>
      </c>
      <c r="AF1127" s="36">
        <f>INDEX(AF$75:AF$88,$D1127)/$E1127</f>
        <v/>
      </c>
      <c r="AG1127" s="36">
        <f>INDEX(AG$75:AG$88,$D1127)/$E1127</f>
        <v/>
      </c>
      <c r="AH1127" s="36">
        <f>INDEX(AH$75:AH$88,$D1127)/$E1127</f>
        <v/>
      </c>
      <c r="AI1127" s="36">
        <f>INDEX(AI$75:AI$88,$D1127)/$E1127</f>
        <v/>
      </c>
      <c r="AJ1127" s="36">
        <f>INDEX(AJ$75:AJ$88,$D1127)/$E1127</f>
        <v/>
      </c>
      <c r="AK1127" s="36">
        <f>INDEX(AK$75:AK$88,$D1127)/$E1127</f>
        <v/>
      </c>
      <c r="AL1127" s="36">
        <f>INDEX(AL$75:AL$88,$D1127)/$E1127</f>
        <v/>
      </c>
      <c r="AM1127" s="36">
        <f>INDEX(AM$75:AM$88,$D1127)/$E1127</f>
        <v/>
      </c>
      <c r="AN1127" s="36">
        <f>INDEX(AN$75:AN$88,$D1127)/$E1127</f>
        <v/>
      </c>
    </row>
    <row r="1128" hidden="1" outlineLevel="2">
      <c r="A1128" s="5" t="inlineStr">
        <is>
          <t>ntx</t>
        </is>
      </c>
      <c r="B1128" s="5" t="inlineStr">
        <is>
          <t>die</t>
        </is>
      </c>
      <c r="C1128" s="5" t="inlineStr">
        <is>
          <t>cst</t>
        </is>
      </c>
      <c r="D1128" s="36">
        <f>INDEX(Inputs!$L$5:$L$132,MATCH($B1128&amp;"|"&amp;$C1128,Inputs!$A$5:$A$132,0))</f>
        <v/>
      </c>
      <c r="E1128" s="36">
        <f>INDEX(Inputs!$I$5:$I$132,MATCH($B1128&amp;"|"&amp;$C1128,Inputs!$A$5:$A$132,0))</f>
        <v/>
      </c>
      <c r="F1128" s="37" t="n"/>
      <c r="G1128" s="37" t="n"/>
      <c r="H1128" s="5">
        <f>INDEX(Variables!$B$5:$B$65,MATCH($A1128,Variables!$A$5:$A$65,0))&amp;IF($C1128="",""," | "&amp;INDEX(Mapping!$B$5:$B$25,MATCH($C1128,Mapping!$A$5:$A$25,0))&amp;" | "&amp;INDEX(Mapping!$B$29:$B$38,MATCH($B1128,Mapping!$A$29:$A$38,0)))</f>
        <v/>
      </c>
      <c r="I1128" s="5">
        <f>INDEX(Variables!$C$5:$C$65,MATCH($A1128,Variables!$A$5:$A$65,0))</f>
        <v/>
      </c>
      <c r="J1128" s="5">
        <f>INDEX(Variables!$E$5:$E$65,MATCH($A1128,Variables!$A$5:$A$65,0))</f>
        <v/>
      </c>
      <c r="K1128" s="23">
        <f>LOWER(Settings!$C$4)&amp;".mit."&amp;$A1128&amp;IF($C1128="","","."&amp;$C1128&amp;"."&amp;$B1128)&amp;IF(INDEX(Variables!$D$5:$D$65,MATCH($A1128,Variables!$A$5:$A$65,0))="","","."&amp;INDEX(Variables!$D$5:$D$65,MATCH($A1128,Variables!$A$5:$A$65,0)))&amp;"."&amp;K$5</f>
        <v/>
      </c>
      <c r="L1128" s="38">
        <f>INDEX(L$75:L$88,$D1128)/$E1128</f>
        <v/>
      </c>
      <c r="M1128" s="36">
        <f>INDEX(M$75:M$88,$D1128)/$E1128</f>
        <v/>
      </c>
      <c r="N1128" s="36">
        <f>INDEX(N$75:N$88,$D1128)/$E1128</f>
        <v/>
      </c>
      <c r="O1128" s="36">
        <f>INDEX(O$75:O$88,$D1128)/$E1128</f>
        <v/>
      </c>
      <c r="P1128" s="36">
        <f>INDEX(P$75:P$88,$D1128)/$E1128</f>
        <v/>
      </c>
      <c r="Q1128" s="36">
        <f>INDEX(Q$75:Q$88,$D1128)/$E1128</f>
        <v/>
      </c>
      <c r="R1128" s="36">
        <f>INDEX(R$75:R$88,$D1128)/$E1128</f>
        <v/>
      </c>
      <c r="S1128" s="36">
        <f>INDEX(S$75:S$88,$D1128)/$E1128</f>
        <v/>
      </c>
      <c r="T1128" s="36">
        <f>INDEX(T$75:T$88,$D1128)/$E1128</f>
        <v/>
      </c>
      <c r="U1128" s="36">
        <f>INDEX(U$75:U$88,$D1128)/$E1128</f>
        <v/>
      </c>
      <c r="V1128" s="36">
        <f>INDEX(V$75:V$88,$D1128)/$E1128</f>
        <v/>
      </c>
      <c r="W1128" s="36">
        <f>INDEX(W$75:W$88,$D1128)/$E1128</f>
        <v/>
      </c>
      <c r="X1128" s="36">
        <f>INDEX(X$75:X$88,$D1128)/$E1128</f>
        <v/>
      </c>
      <c r="Y1128" s="36">
        <f>INDEX(Y$75:Y$88,$D1128)/$E1128</f>
        <v/>
      </c>
      <c r="Z1128" s="23">
        <f>LOWER(Settings!$C$4)&amp;".mit."&amp;$A1128&amp;IF($C1128="","","."&amp;$C1128&amp;"."&amp;$B1128)&amp;IF(INDEX(Variables!$D$5:$D$65,MATCH($A1128,Variables!$A$5:$A$65,0))="","","."&amp;INDEX(Variables!$D$5:$D$65,MATCH($A1128,Variables!$A$5:$A$65,0)))&amp;"."&amp;Z$5</f>
        <v/>
      </c>
      <c r="AA1128" s="38">
        <f>INDEX(AA$75:AA$88,$D1128)/$E1128</f>
        <v/>
      </c>
      <c r="AB1128" s="36">
        <f>INDEX(AB$75:AB$88,$D1128)/$E1128</f>
        <v/>
      </c>
      <c r="AC1128" s="36">
        <f>INDEX(AC$75:AC$88,$D1128)/$E1128</f>
        <v/>
      </c>
      <c r="AD1128" s="36">
        <f>INDEX(AD$75:AD$88,$D1128)/$E1128</f>
        <v/>
      </c>
      <c r="AE1128" s="36">
        <f>INDEX(AE$75:AE$88,$D1128)/$E1128</f>
        <v/>
      </c>
      <c r="AF1128" s="36">
        <f>INDEX(AF$75:AF$88,$D1128)/$E1128</f>
        <v/>
      </c>
      <c r="AG1128" s="36">
        <f>INDEX(AG$75:AG$88,$D1128)/$E1128</f>
        <v/>
      </c>
      <c r="AH1128" s="36">
        <f>INDEX(AH$75:AH$88,$D1128)/$E1128</f>
        <v/>
      </c>
      <c r="AI1128" s="36">
        <f>INDEX(AI$75:AI$88,$D1128)/$E1128</f>
        <v/>
      </c>
      <c r="AJ1128" s="36">
        <f>INDEX(AJ$75:AJ$88,$D1128)/$E1128</f>
        <v/>
      </c>
      <c r="AK1128" s="36">
        <f>INDEX(AK$75:AK$88,$D1128)/$E1128</f>
        <v/>
      </c>
      <c r="AL1128" s="36">
        <f>INDEX(AL$75:AL$88,$D1128)/$E1128</f>
        <v/>
      </c>
      <c r="AM1128" s="36">
        <f>INDEX(AM$75:AM$88,$D1128)/$E1128</f>
        <v/>
      </c>
      <c r="AN1128" s="36">
        <f>INDEX(AN$75:AN$88,$D1128)/$E1128</f>
        <v/>
      </c>
    </row>
    <row r="1129" hidden="1" outlineLevel="2">
      <c r="A1129" s="5" t="inlineStr">
        <is>
          <t>ntx</t>
        </is>
      </c>
      <c r="B1129" s="5" t="inlineStr">
        <is>
          <t>lpg</t>
        </is>
      </c>
      <c r="C1129" s="5" t="inlineStr">
        <is>
          <t>cst</t>
        </is>
      </c>
      <c r="D1129" s="36">
        <f>INDEX(Inputs!$L$5:$L$132,MATCH($B1129&amp;"|"&amp;$C1129,Inputs!$A$5:$A$132,0))</f>
        <v/>
      </c>
      <c r="E1129" s="36">
        <f>INDEX(Inputs!$I$5:$I$132,MATCH($B1129&amp;"|"&amp;$C1129,Inputs!$A$5:$A$132,0))</f>
        <v/>
      </c>
      <c r="F1129" s="37" t="n"/>
      <c r="G1129" s="37" t="n"/>
      <c r="H1129" s="5">
        <f>INDEX(Variables!$B$5:$B$65,MATCH($A1129,Variables!$A$5:$A$65,0))&amp;IF($C1129="",""," | "&amp;INDEX(Mapping!$B$5:$B$25,MATCH($C1129,Mapping!$A$5:$A$25,0))&amp;" | "&amp;INDEX(Mapping!$B$29:$B$38,MATCH($B1129,Mapping!$A$29:$A$38,0)))</f>
        <v/>
      </c>
      <c r="I1129" s="5">
        <f>INDEX(Variables!$C$5:$C$65,MATCH($A1129,Variables!$A$5:$A$65,0))</f>
        <v/>
      </c>
      <c r="J1129" s="5">
        <f>INDEX(Variables!$E$5:$E$65,MATCH($A1129,Variables!$A$5:$A$65,0))</f>
        <v/>
      </c>
      <c r="K1129" s="23">
        <f>LOWER(Settings!$C$4)&amp;".mit."&amp;$A1129&amp;IF($C1129="","","."&amp;$C1129&amp;"."&amp;$B1129)&amp;IF(INDEX(Variables!$D$5:$D$65,MATCH($A1129,Variables!$A$5:$A$65,0))="","","."&amp;INDEX(Variables!$D$5:$D$65,MATCH($A1129,Variables!$A$5:$A$65,0)))&amp;"."&amp;K$5</f>
        <v/>
      </c>
      <c r="L1129" s="38">
        <f>INDEX(L$75:L$88,$D1129)/$E1129</f>
        <v/>
      </c>
      <c r="M1129" s="36">
        <f>INDEX(M$75:M$88,$D1129)/$E1129</f>
        <v/>
      </c>
      <c r="N1129" s="36">
        <f>INDEX(N$75:N$88,$D1129)/$E1129</f>
        <v/>
      </c>
      <c r="O1129" s="36">
        <f>INDEX(O$75:O$88,$D1129)/$E1129</f>
        <v/>
      </c>
      <c r="P1129" s="36">
        <f>INDEX(P$75:P$88,$D1129)/$E1129</f>
        <v/>
      </c>
      <c r="Q1129" s="36">
        <f>INDEX(Q$75:Q$88,$D1129)/$E1129</f>
        <v/>
      </c>
      <c r="R1129" s="36">
        <f>INDEX(R$75:R$88,$D1129)/$E1129</f>
        <v/>
      </c>
      <c r="S1129" s="36">
        <f>INDEX(S$75:S$88,$D1129)/$E1129</f>
        <v/>
      </c>
      <c r="T1129" s="36">
        <f>INDEX(T$75:T$88,$D1129)/$E1129</f>
        <v/>
      </c>
      <c r="U1129" s="36">
        <f>INDEX(U$75:U$88,$D1129)/$E1129</f>
        <v/>
      </c>
      <c r="V1129" s="36">
        <f>INDEX(V$75:V$88,$D1129)/$E1129</f>
        <v/>
      </c>
      <c r="W1129" s="36">
        <f>INDEX(W$75:W$88,$D1129)/$E1129</f>
        <v/>
      </c>
      <c r="X1129" s="36">
        <f>INDEX(X$75:X$88,$D1129)/$E1129</f>
        <v/>
      </c>
      <c r="Y1129" s="36">
        <f>INDEX(Y$75:Y$88,$D1129)/$E1129</f>
        <v/>
      </c>
      <c r="Z1129" s="23">
        <f>LOWER(Settings!$C$4)&amp;".mit."&amp;$A1129&amp;IF($C1129="","","."&amp;$C1129&amp;"."&amp;$B1129)&amp;IF(INDEX(Variables!$D$5:$D$65,MATCH($A1129,Variables!$A$5:$A$65,0))="","","."&amp;INDEX(Variables!$D$5:$D$65,MATCH($A1129,Variables!$A$5:$A$65,0)))&amp;"."&amp;Z$5</f>
        <v/>
      </c>
      <c r="AA1129" s="38">
        <f>INDEX(AA$75:AA$88,$D1129)/$E1129</f>
        <v/>
      </c>
      <c r="AB1129" s="36">
        <f>INDEX(AB$75:AB$88,$D1129)/$E1129</f>
        <v/>
      </c>
      <c r="AC1129" s="36">
        <f>INDEX(AC$75:AC$88,$D1129)/$E1129</f>
        <v/>
      </c>
      <c r="AD1129" s="36">
        <f>INDEX(AD$75:AD$88,$D1129)/$E1129</f>
        <v/>
      </c>
      <c r="AE1129" s="36">
        <f>INDEX(AE$75:AE$88,$D1129)/$E1129</f>
        <v/>
      </c>
      <c r="AF1129" s="36">
        <f>INDEX(AF$75:AF$88,$D1129)/$E1129</f>
        <v/>
      </c>
      <c r="AG1129" s="36">
        <f>INDEX(AG$75:AG$88,$D1129)/$E1129</f>
        <v/>
      </c>
      <c r="AH1129" s="36">
        <f>INDEX(AH$75:AH$88,$D1129)/$E1129</f>
        <v/>
      </c>
      <c r="AI1129" s="36">
        <f>INDEX(AI$75:AI$88,$D1129)/$E1129</f>
        <v/>
      </c>
      <c r="AJ1129" s="36">
        <f>INDEX(AJ$75:AJ$88,$D1129)/$E1129</f>
        <v/>
      </c>
      <c r="AK1129" s="36">
        <f>INDEX(AK$75:AK$88,$D1129)/$E1129</f>
        <v/>
      </c>
      <c r="AL1129" s="36">
        <f>INDEX(AL$75:AL$88,$D1129)/$E1129</f>
        <v/>
      </c>
      <c r="AM1129" s="36">
        <f>INDEX(AM$75:AM$88,$D1129)/$E1129</f>
        <v/>
      </c>
      <c r="AN1129" s="36">
        <f>INDEX(AN$75:AN$88,$D1129)/$E1129</f>
        <v/>
      </c>
    </row>
    <row r="1130" hidden="1" outlineLevel="2">
      <c r="A1130" s="5" t="inlineStr">
        <is>
          <t>ntx</t>
        </is>
      </c>
      <c r="B1130" s="5" t="inlineStr">
        <is>
          <t>ker</t>
        </is>
      </c>
      <c r="C1130" s="5" t="inlineStr">
        <is>
          <t>cst</t>
        </is>
      </c>
      <c r="D1130" s="36">
        <f>INDEX(Inputs!$L$5:$L$132,MATCH($B1130&amp;"|"&amp;$C1130,Inputs!$A$5:$A$132,0))</f>
        <v/>
      </c>
      <c r="E1130" s="36">
        <f>INDEX(Inputs!$I$5:$I$132,MATCH($B1130&amp;"|"&amp;$C1130,Inputs!$A$5:$A$132,0))</f>
        <v/>
      </c>
      <c r="F1130" s="37" t="n"/>
      <c r="G1130" s="37" t="n"/>
      <c r="H1130" s="5">
        <f>INDEX(Variables!$B$5:$B$65,MATCH($A1130,Variables!$A$5:$A$65,0))&amp;IF($C1130="",""," | "&amp;INDEX(Mapping!$B$5:$B$25,MATCH($C1130,Mapping!$A$5:$A$25,0))&amp;" | "&amp;INDEX(Mapping!$B$29:$B$38,MATCH($B1130,Mapping!$A$29:$A$38,0)))</f>
        <v/>
      </c>
      <c r="I1130" s="5">
        <f>INDEX(Variables!$C$5:$C$65,MATCH($A1130,Variables!$A$5:$A$65,0))</f>
        <v/>
      </c>
      <c r="J1130" s="5">
        <f>INDEX(Variables!$E$5:$E$65,MATCH($A1130,Variables!$A$5:$A$65,0))</f>
        <v/>
      </c>
      <c r="K1130" s="23">
        <f>LOWER(Settings!$C$4)&amp;".mit."&amp;$A1130&amp;IF($C1130="","","."&amp;$C1130&amp;"."&amp;$B1130)&amp;IF(INDEX(Variables!$D$5:$D$65,MATCH($A1130,Variables!$A$5:$A$65,0))="","","."&amp;INDEX(Variables!$D$5:$D$65,MATCH($A1130,Variables!$A$5:$A$65,0)))&amp;"."&amp;K$5</f>
        <v/>
      </c>
      <c r="L1130" s="38">
        <f>INDEX(L$75:L$88,$D1130)/$E1130</f>
        <v/>
      </c>
      <c r="M1130" s="36">
        <f>INDEX(M$75:M$88,$D1130)/$E1130</f>
        <v/>
      </c>
      <c r="N1130" s="36">
        <f>INDEX(N$75:N$88,$D1130)/$E1130</f>
        <v/>
      </c>
      <c r="O1130" s="36">
        <f>INDEX(O$75:O$88,$D1130)/$E1130</f>
        <v/>
      </c>
      <c r="P1130" s="36">
        <f>INDEX(P$75:P$88,$D1130)/$E1130</f>
        <v/>
      </c>
      <c r="Q1130" s="36">
        <f>INDEX(Q$75:Q$88,$D1130)/$E1130</f>
        <v/>
      </c>
      <c r="R1130" s="36">
        <f>INDEX(R$75:R$88,$D1130)/$E1130</f>
        <v/>
      </c>
      <c r="S1130" s="36">
        <f>INDEX(S$75:S$88,$D1130)/$E1130</f>
        <v/>
      </c>
      <c r="T1130" s="36">
        <f>INDEX(T$75:T$88,$D1130)/$E1130</f>
        <v/>
      </c>
      <c r="U1130" s="36">
        <f>INDEX(U$75:U$88,$D1130)/$E1130</f>
        <v/>
      </c>
      <c r="V1130" s="36">
        <f>INDEX(V$75:V$88,$D1130)/$E1130</f>
        <v/>
      </c>
      <c r="W1130" s="36">
        <f>INDEX(W$75:W$88,$D1130)/$E1130</f>
        <v/>
      </c>
      <c r="X1130" s="36">
        <f>INDEX(X$75:X$88,$D1130)/$E1130</f>
        <v/>
      </c>
      <c r="Y1130" s="36">
        <f>INDEX(Y$75:Y$88,$D1130)/$E1130</f>
        <v/>
      </c>
      <c r="Z1130" s="23">
        <f>LOWER(Settings!$C$4)&amp;".mit."&amp;$A1130&amp;IF($C1130="","","."&amp;$C1130&amp;"."&amp;$B1130)&amp;IF(INDEX(Variables!$D$5:$D$65,MATCH($A1130,Variables!$A$5:$A$65,0))="","","."&amp;INDEX(Variables!$D$5:$D$65,MATCH($A1130,Variables!$A$5:$A$65,0)))&amp;"."&amp;Z$5</f>
        <v/>
      </c>
      <c r="AA1130" s="38">
        <f>INDEX(AA$75:AA$88,$D1130)/$E1130</f>
        <v/>
      </c>
      <c r="AB1130" s="36">
        <f>INDEX(AB$75:AB$88,$D1130)/$E1130</f>
        <v/>
      </c>
      <c r="AC1130" s="36">
        <f>INDEX(AC$75:AC$88,$D1130)/$E1130</f>
        <v/>
      </c>
      <c r="AD1130" s="36">
        <f>INDEX(AD$75:AD$88,$D1130)/$E1130</f>
        <v/>
      </c>
      <c r="AE1130" s="36">
        <f>INDEX(AE$75:AE$88,$D1130)/$E1130</f>
        <v/>
      </c>
      <c r="AF1130" s="36">
        <f>INDEX(AF$75:AF$88,$D1130)/$E1130</f>
        <v/>
      </c>
      <c r="AG1130" s="36">
        <f>INDEX(AG$75:AG$88,$D1130)/$E1130</f>
        <v/>
      </c>
      <c r="AH1130" s="36">
        <f>INDEX(AH$75:AH$88,$D1130)/$E1130</f>
        <v/>
      </c>
      <c r="AI1130" s="36">
        <f>INDEX(AI$75:AI$88,$D1130)/$E1130</f>
        <v/>
      </c>
      <c r="AJ1130" s="36">
        <f>INDEX(AJ$75:AJ$88,$D1130)/$E1130</f>
        <v/>
      </c>
      <c r="AK1130" s="36">
        <f>INDEX(AK$75:AK$88,$D1130)/$E1130</f>
        <v/>
      </c>
      <c r="AL1130" s="36">
        <f>INDEX(AL$75:AL$88,$D1130)/$E1130</f>
        <v/>
      </c>
      <c r="AM1130" s="36">
        <f>INDEX(AM$75:AM$88,$D1130)/$E1130</f>
        <v/>
      </c>
      <c r="AN1130" s="36">
        <f>INDEX(AN$75:AN$88,$D1130)/$E1130</f>
        <v/>
      </c>
    </row>
    <row r="1131" hidden="1" outlineLevel="2">
      <c r="A1131" s="5" t="inlineStr">
        <is>
          <t>ntx</t>
        </is>
      </c>
      <c r="B1131" s="5" t="inlineStr">
        <is>
          <t>oop</t>
        </is>
      </c>
      <c r="C1131" s="5" t="inlineStr">
        <is>
          <t>cst</t>
        </is>
      </c>
      <c r="D1131" s="36">
        <f>INDEX(Inputs!$L$5:$L$132,MATCH($B1131&amp;"|"&amp;$C1131,Inputs!$A$5:$A$132,0))</f>
        <v/>
      </c>
      <c r="E1131" s="36">
        <f>INDEX(Inputs!$I$5:$I$132,MATCH($B1131&amp;"|"&amp;$C1131,Inputs!$A$5:$A$132,0))</f>
        <v/>
      </c>
      <c r="F1131" s="37" t="n"/>
      <c r="G1131" s="37" t="n"/>
      <c r="H1131" s="5">
        <f>INDEX(Variables!$B$5:$B$65,MATCH($A1131,Variables!$A$5:$A$65,0))&amp;IF($C1131="",""," | "&amp;INDEX(Mapping!$B$5:$B$25,MATCH($C1131,Mapping!$A$5:$A$25,0))&amp;" | "&amp;INDEX(Mapping!$B$29:$B$38,MATCH($B1131,Mapping!$A$29:$A$38,0)))</f>
        <v/>
      </c>
      <c r="I1131" s="5">
        <f>INDEX(Variables!$C$5:$C$65,MATCH($A1131,Variables!$A$5:$A$65,0))</f>
        <v/>
      </c>
      <c r="J1131" s="5">
        <f>INDEX(Variables!$E$5:$E$65,MATCH($A1131,Variables!$A$5:$A$65,0))</f>
        <v/>
      </c>
      <c r="K1131" s="23">
        <f>LOWER(Settings!$C$4)&amp;".mit."&amp;$A1131&amp;IF($C1131="","","."&amp;$C1131&amp;"."&amp;$B1131)&amp;IF(INDEX(Variables!$D$5:$D$65,MATCH($A1131,Variables!$A$5:$A$65,0))="","","."&amp;INDEX(Variables!$D$5:$D$65,MATCH($A1131,Variables!$A$5:$A$65,0)))&amp;"."&amp;K$5</f>
        <v/>
      </c>
      <c r="L1131" s="38">
        <f>INDEX(L$75:L$88,$D1131)/$E1131</f>
        <v/>
      </c>
      <c r="M1131" s="36">
        <f>INDEX(M$75:M$88,$D1131)/$E1131</f>
        <v/>
      </c>
      <c r="N1131" s="36">
        <f>INDEX(N$75:N$88,$D1131)/$E1131</f>
        <v/>
      </c>
      <c r="O1131" s="36">
        <f>INDEX(O$75:O$88,$D1131)/$E1131</f>
        <v/>
      </c>
      <c r="P1131" s="36">
        <f>INDEX(P$75:P$88,$D1131)/$E1131</f>
        <v/>
      </c>
      <c r="Q1131" s="36">
        <f>INDEX(Q$75:Q$88,$D1131)/$E1131</f>
        <v/>
      </c>
      <c r="R1131" s="36">
        <f>INDEX(R$75:R$88,$D1131)/$E1131</f>
        <v/>
      </c>
      <c r="S1131" s="36">
        <f>INDEX(S$75:S$88,$D1131)/$E1131</f>
        <v/>
      </c>
      <c r="T1131" s="36">
        <f>INDEX(T$75:T$88,$D1131)/$E1131</f>
        <v/>
      </c>
      <c r="U1131" s="36">
        <f>INDEX(U$75:U$88,$D1131)/$E1131</f>
        <v/>
      </c>
      <c r="V1131" s="36">
        <f>INDEX(V$75:V$88,$D1131)/$E1131</f>
        <v/>
      </c>
      <c r="W1131" s="36">
        <f>INDEX(W$75:W$88,$D1131)/$E1131</f>
        <v/>
      </c>
      <c r="X1131" s="36">
        <f>INDEX(X$75:X$88,$D1131)/$E1131</f>
        <v/>
      </c>
      <c r="Y1131" s="36">
        <f>INDEX(Y$75:Y$88,$D1131)/$E1131</f>
        <v/>
      </c>
      <c r="Z1131" s="23">
        <f>LOWER(Settings!$C$4)&amp;".mit."&amp;$A1131&amp;IF($C1131="","","."&amp;$C1131&amp;"."&amp;$B1131)&amp;IF(INDEX(Variables!$D$5:$D$65,MATCH($A1131,Variables!$A$5:$A$65,0))="","","."&amp;INDEX(Variables!$D$5:$D$65,MATCH($A1131,Variables!$A$5:$A$65,0)))&amp;"."&amp;Z$5</f>
        <v/>
      </c>
      <c r="AA1131" s="38">
        <f>INDEX(AA$75:AA$88,$D1131)/$E1131</f>
        <v/>
      </c>
      <c r="AB1131" s="36">
        <f>INDEX(AB$75:AB$88,$D1131)/$E1131</f>
        <v/>
      </c>
      <c r="AC1131" s="36">
        <f>INDEX(AC$75:AC$88,$D1131)/$E1131</f>
        <v/>
      </c>
      <c r="AD1131" s="36">
        <f>INDEX(AD$75:AD$88,$D1131)/$E1131</f>
        <v/>
      </c>
      <c r="AE1131" s="36">
        <f>INDEX(AE$75:AE$88,$D1131)/$E1131</f>
        <v/>
      </c>
      <c r="AF1131" s="36">
        <f>INDEX(AF$75:AF$88,$D1131)/$E1131</f>
        <v/>
      </c>
      <c r="AG1131" s="36">
        <f>INDEX(AG$75:AG$88,$D1131)/$E1131</f>
        <v/>
      </c>
      <c r="AH1131" s="36">
        <f>INDEX(AH$75:AH$88,$D1131)/$E1131</f>
        <v/>
      </c>
      <c r="AI1131" s="36">
        <f>INDEX(AI$75:AI$88,$D1131)/$E1131</f>
        <v/>
      </c>
      <c r="AJ1131" s="36">
        <f>INDEX(AJ$75:AJ$88,$D1131)/$E1131</f>
        <v/>
      </c>
      <c r="AK1131" s="36">
        <f>INDEX(AK$75:AK$88,$D1131)/$E1131</f>
        <v/>
      </c>
      <c r="AL1131" s="36">
        <f>INDEX(AL$75:AL$88,$D1131)/$E1131</f>
        <v/>
      </c>
      <c r="AM1131" s="36">
        <f>INDEX(AM$75:AM$88,$D1131)/$E1131</f>
        <v/>
      </c>
      <c r="AN1131" s="36">
        <f>INDEX(AN$75:AN$88,$D1131)/$E1131</f>
        <v/>
      </c>
    </row>
    <row r="1132" hidden="1" outlineLevel="2">
      <c r="A1132" s="5" t="inlineStr">
        <is>
          <t>ntx</t>
        </is>
      </c>
      <c r="B1132" s="5" t="inlineStr">
        <is>
          <t>bio</t>
        </is>
      </c>
      <c r="C1132" s="5" t="inlineStr">
        <is>
          <t>cst</t>
        </is>
      </c>
      <c r="D1132" s="36">
        <f>INDEX(Inputs!$L$5:$L$132,MATCH($B1132&amp;"|"&amp;$C1132,Inputs!$A$5:$A$132,0))</f>
        <v/>
      </c>
      <c r="E1132" s="36">
        <f>INDEX(Inputs!$I$5:$I$132,MATCH($B1132&amp;"|"&amp;$C1132,Inputs!$A$5:$A$132,0))</f>
        <v/>
      </c>
      <c r="F1132" s="37" t="n"/>
      <c r="G1132" s="37" t="n"/>
      <c r="H1132" s="5">
        <f>INDEX(Variables!$B$5:$B$65,MATCH($A1132,Variables!$A$5:$A$65,0))&amp;IF($C1132="",""," | "&amp;INDEX(Mapping!$B$5:$B$25,MATCH($C1132,Mapping!$A$5:$A$25,0))&amp;" | "&amp;INDEX(Mapping!$B$29:$B$38,MATCH($B1132,Mapping!$A$29:$A$38,0)))</f>
        <v/>
      </c>
      <c r="I1132" s="5">
        <f>INDEX(Variables!$C$5:$C$65,MATCH($A1132,Variables!$A$5:$A$65,0))</f>
        <v/>
      </c>
      <c r="J1132" s="5">
        <f>INDEX(Variables!$E$5:$E$65,MATCH($A1132,Variables!$A$5:$A$65,0))</f>
        <v/>
      </c>
      <c r="K1132" s="23">
        <f>LOWER(Settings!$C$4)&amp;".mit."&amp;$A1132&amp;IF($C1132="","","."&amp;$C1132&amp;"."&amp;$B1132)&amp;IF(INDEX(Variables!$D$5:$D$65,MATCH($A1132,Variables!$A$5:$A$65,0))="","","."&amp;INDEX(Variables!$D$5:$D$65,MATCH($A1132,Variables!$A$5:$A$65,0)))&amp;"."&amp;K$5</f>
        <v/>
      </c>
      <c r="L1132" s="38">
        <f>INDEX(L$75:L$88,$D1132)/$E1132</f>
        <v/>
      </c>
      <c r="M1132" s="36">
        <f>INDEX(M$75:M$88,$D1132)/$E1132</f>
        <v/>
      </c>
      <c r="N1132" s="36">
        <f>INDEX(N$75:N$88,$D1132)/$E1132</f>
        <v/>
      </c>
      <c r="O1132" s="36">
        <f>INDEX(O$75:O$88,$D1132)/$E1132</f>
        <v/>
      </c>
      <c r="P1132" s="36">
        <f>INDEX(P$75:P$88,$D1132)/$E1132</f>
        <v/>
      </c>
      <c r="Q1132" s="36">
        <f>INDEX(Q$75:Q$88,$D1132)/$E1132</f>
        <v/>
      </c>
      <c r="R1132" s="36">
        <f>INDEX(R$75:R$88,$D1132)/$E1132</f>
        <v/>
      </c>
      <c r="S1132" s="36">
        <f>INDEX(S$75:S$88,$D1132)/$E1132</f>
        <v/>
      </c>
      <c r="T1132" s="36">
        <f>INDEX(T$75:T$88,$D1132)/$E1132</f>
        <v/>
      </c>
      <c r="U1132" s="36">
        <f>INDEX(U$75:U$88,$D1132)/$E1132</f>
        <v/>
      </c>
      <c r="V1132" s="36">
        <f>INDEX(V$75:V$88,$D1132)/$E1132</f>
        <v/>
      </c>
      <c r="W1132" s="36">
        <f>INDEX(W$75:W$88,$D1132)/$E1132</f>
        <v/>
      </c>
      <c r="X1132" s="36">
        <f>INDEX(X$75:X$88,$D1132)/$E1132</f>
        <v/>
      </c>
      <c r="Y1132" s="36">
        <f>INDEX(Y$75:Y$88,$D1132)/$E1132</f>
        <v/>
      </c>
      <c r="Z1132" s="23">
        <f>LOWER(Settings!$C$4)&amp;".mit."&amp;$A1132&amp;IF($C1132="","","."&amp;$C1132&amp;"."&amp;$B1132)&amp;IF(INDEX(Variables!$D$5:$D$65,MATCH($A1132,Variables!$A$5:$A$65,0))="","","."&amp;INDEX(Variables!$D$5:$D$65,MATCH($A1132,Variables!$A$5:$A$65,0)))&amp;"."&amp;Z$5</f>
        <v/>
      </c>
      <c r="AA1132" s="38">
        <f>INDEX(AA$75:AA$88,$D1132)/$E1132</f>
        <v/>
      </c>
      <c r="AB1132" s="36">
        <f>INDEX(AB$75:AB$88,$D1132)/$E1132</f>
        <v/>
      </c>
      <c r="AC1132" s="36">
        <f>INDEX(AC$75:AC$88,$D1132)/$E1132</f>
        <v/>
      </c>
      <c r="AD1132" s="36">
        <f>INDEX(AD$75:AD$88,$D1132)/$E1132</f>
        <v/>
      </c>
      <c r="AE1132" s="36">
        <f>INDEX(AE$75:AE$88,$D1132)/$E1132</f>
        <v/>
      </c>
      <c r="AF1132" s="36">
        <f>INDEX(AF$75:AF$88,$D1132)/$E1132</f>
        <v/>
      </c>
      <c r="AG1132" s="36">
        <f>INDEX(AG$75:AG$88,$D1132)/$E1132</f>
        <v/>
      </c>
      <c r="AH1132" s="36">
        <f>INDEX(AH$75:AH$88,$D1132)/$E1132</f>
        <v/>
      </c>
      <c r="AI1132" s="36">
        <f>INDEX(AI$75:AI$88,$D1132)/$E1132</f>
        <v/>
      </c>
      <c r="AJ1132" s="36">
        <f>INDEX(AJ$75:AJ$88,$D1132)/$E1132</f>
        <v/>
      </c>
      <c r="AK1132" s="36">
        <f>INDEX(AK$75:AK$88,$D1132)/$E1132</f>
        <v/>
      </c>
      <c r="AL1132" s="36">
        <f>INDEX(AL$75:AL$88,$D1132)/$E1132</f>
        <v/>
      </c>
      <c r="AM1132" s="36">
        <f>INDEX(AM$75:AM$88,$D1132)/$E1132</f>
        <v/>
      </c>
      <c r="AN1132" s="36">
        <f>INDEX(AN$75:AN$88,$D1132)/$E1132</f>
        <v/>
      </c>
    </row>
    <row r="1133" hidden="1" outlineLevel="2"/>
    <row r="1134" hidden="1" outlineLevel="2">
      <c r="A1134" s="5" t="inlineStr">
        <is>
          <t>nce</t>
        </is>
      </c>
      <c r="B1134" s="5" t="inlineStr">
        <is>
          <t>coa</t>
        </is>
      </c>
      <c r="C1134" s="5" t="inlineStr">
        <is>
          <t>cst</t>
        </is>
      </c>
      <c r="D1134" s="37" t="n"/>
      <c r="E1134" s="37" t="n"/>
      <c r="F1134" s="37" t="n"/>
      <c r="G1134" s="37" t="n"/>
      <c r="H1134" s="5">
        <f>INDEX(Variables!$B$5:$B$65,MATCH($A1134,Variables!$A$5:$A$65,0))&amp;IF($C1134="",""," | "&amp;INDEX(Mapping!$B$5:$B$25,MATCH($C1134,Mapping!$A$5:$A$25,0))&amp;" | "&amp;INDEX(Mapping!$B$29:$B$38,MATCH($B1134,Mapping!$A$29:$A$38,0)))</f>
        <v/>
      </c>
      <c r="I1134" s="5">
        <f>INDEX(Variables!$C$5:$C$65,MATCH($A1134,Variables!$A$5:$A$65,0))</f>
        <v/>
      </c>
      <c r="J1134" s="5">
        <f>INDEX(Variables!$E$5:$E$65,MATCH($A1134,Variables!$A$5:$A$65,0))</f>
        <v/>
      </c>
      <c r="K1134" s="23">
        <f>LOWER(Settings!$C$4)&amp;".mit."&amp;$A1134&amp;IF($C1134="","","."&amp;$C1134&amp;"."&amp;$B1134)&amp;IF(INDEX(Variables!$D$5:$D$65,MATCH($A1134,Variables!$A$5:$A$65,0))="","","."&amp;INDEX(Variables!$D$5:$D$65,MATCH($A1134,Variables!$A$5:$A$65,0)))&amp;"."&amp;K$5</f>
        <v/>
      </c>
      <c r="L1134" s="38">
        <f>L1116+L1125</f>
        <v/>
      </c>
      <c r="M1134" s="36">
        <f>M1116+M1125</f>
        <v/>
      </c>
      <c r="N1134" s="36">
        <f>N1116+N1125</f>
        <v/>
      </c>
      <c r="O1134" s="36">
        <f>O1116+O1125</f>
        <v/>
      </c>
      <c r="P1134" s="36">
        <f>P1116+P1125</f>
        <v/>
      </c>
      <c r="Q1134" s="36">
        <f>Q1116+Q1125</f>
        <v/>
      </c>
      <c r="R1134" s="36">
        <f>R1116+R1125</f>
        <v/>
      </c>
      <c r="S1134" s="36">
        <f>S1116+S1125</f>
        <v/>
      </c>
      <c r="T1134" s="36">
        <f>T1116+T1125</f>
        <v/>
      </c>
      <c r="U1134" s="36">
        <f>U1116+U1125</f>
        <v/>
      </c>
      <c r="V1134" s="36">
        <f>V1116+V1125</f>
        <v/>
      </c>
      <c r="W1134" s="36">
        <f>W1116+W1125</f>
        <v/>
      </c>
      <c r="X1134" s="36">
        <f>X1116+X1125</f>
        <v/>
      </c>
      <c r="Y1134" s="36">
        <f>Y1116+Y1125</f>
        <v/>
      </c>
      <c r="Z1134" s="23">
        <f>LOWER(Settings!$C$4)&amp;".mit."&amp;$A1134&amp;IF($C1134="","","."&amp;$C1134&amp;"."&amp;$B1134)&amp;IF(INDEX(Variables!$D$5:$D$65,MATCH($A1134,Variables!$A$5:$A$65,0))="","","."&amp;INDEX(Variables!$D$5:$D$65,MATCH($A1134,Variables!$A$5:$A$65,0)))&amp;"."&amp;Z$5</f>
        <v/>
      </c>
      <c r="AA1134" s="38">
        <f>AA1116+AA1125</f>
        <v/>
      </c>
      <c r="AB1134" s="36">
        <f>AB1116+AB1125</f>
        <v/>
      </c>
      <c r="AC1134" s="36">
        <f>AC1116+AC1125</f>
        <v/>
      </c>
      <c r="AD1134" s="36">
        <f>AD1116+AD1125</f>
        <v/>
      </c>
      <c r="AE1134" s="36">
        <f>AE1116+AE1125</f>
        <v/>
      </c>
      <c r="AF1134" s="36">
        <f>AF1116+AF1125</f>
        <v/>
      </c>
      <c r="AG1134" s="36">
        <f>AG1116+AG1125</f>
        <v/>
      </c>
      <c r="AH1134" s="36">
        <f>AH1116+AH1125</f>
        <v/>
      </c>
      <c r="AI1134" s="36">
        <f>AI1116+AI1125</f>
        <v/>
      </c>
      <c r="AJ1134" s="36">
        <f>AJ1116+AJ1125</f>
        <v/>
      </c>
      <c r="AK1134" s="36">
        <f>AK1116+AK1125</f>
        <v/>
      </c>
      <c r="AL1134" s="36">
        <f>AL1116+AL1125</f>
        <v/>
      </c>
      <c r="AM1134" s="36">
        <f>AM1116+AM1125</f>
        <v/>
      </c>
      <c r="AN1134" s="36">
        <f>AN1116+AN1125</f>
        <v/>
      </c>
    </row>
    <row r="1135" hidden="1" outlineLevel="2">
      <c r="A1135" s="5" t="inlineStr">
        <is>
          <t>nce</t>
        </is>
      </c>
      <c r="B1135" s="5" t="inlineStr">
        <is>
          <t>nga</t>
        </is>
      </c>
      <c r="C1135" s="5" t="inlineStr">
        <is>
          <t>cst</t>
        </is>
      </c>
      <c r="D1135" s="37" t="n"/>
      <c r="E1135" s="37" t="n"/>
      <c r="F1135" s="37" t="n"/>
      <c r="G1135" s="37" t="n"/>
      <c r="H1135" s="5">
        <f>INDEX(Variables!$B$5:$B$65,MATCH($A1135,Variables!$A$5:$A$65,0))&amp;IF($C1135="",""," | "&amp;INDEX(Mapping!$B$5:$B$25,MATCH($C1135,Mapping!$A$5:$A$25,0))&amp;" | "&amp;INDEX(Mapping!$B$29:$B$38,MATCH($B1135,Mapping!$A$29:$A$38,0)))</f>
        <v/>
      </c>
      <c r="I1135" s="5">
        <f>INDEX(Variables!$C$5:$C$65,MATCH($A1135,Variables!$A$5:$A$65,0))</f>
        <v/>
      </c>
      <c r="J1135" s="5">
        <f>INDEX(Variables!$E$5:$E$65,MATCH($A1135,Variables!$A$5:$A$65,0))</f>
        <v/>
      </c>
      <c r="K1135" s="23">
        <f>LOWER(Settings!$C$4)&amp;".mit."&amp;$A1135&amp;IF($C1135="","","."&amp;$C1135&amp;"."&amp;$B1135)&amp;IF(INDEX(Variables!$D$5:$D$65,MATCH($A1135,Variables!$A$5:$A$65,0))="","","."&amp;INDEX(Variables!$D$5:$D$65,MATCH($A1135,Variables!$A$5:$A$65,0)))&amp;"."&amp;K$5</f>
        <v/>
      </c>
      <c r="L1135" s="38">
        <f>L1117+L1126</f>
        <v/>
      </c>
      <c r="M1135" s="36">
        <f>M1117+M1126</f>
        <v/>
      </c>
      <c r="N1135" s="36">
        <f>N1117+N1126</f>
        <v/>
      </c>
      <c r="O1135" s="36">
        <f>O1117+O1126</f>
        <v/>
      </c>
      <c r="P1135" s="36">
        <f>P1117+P1126</f>
        <v/>
      </c>
      <c r="Q1135" s="36">
        <f>Q1117+Q1126</f>
        <v/>
      </c>
      <c r="R1135" s="36">
        <f>R1117+R1126</f>
        <v/>
      </c>
      <c r="S1135" s="36">
        <f>S1117+S1126</f>
        <v/>
      </c>
      <c r="T1135" s="36">
        <f>T1117+T1126</f>
        <v/>
      </c>
      <c r="U1135" s="36">
        <f>U1117+U1126</f>
        <v/>
      </c>
      <c r="V1135" s="36">
        <f>V1117+V1126</f>
        <v/>
      </c>
      <c r="W1135" s="36">
        <f>W1117+W1126</f>
        <v/>
      </c>
      <c r="X1135" s="36">
        <f>X1117+X1126</f>
        <v/>
      </c>
      <c r="Y1135" s="36">
        <f>Y1117+Y1126</f>
        <v/>
      </c>
      <c r="Z1135" s="23">
        <f>LOWER(Settings!$C$4)&amp;".mit."&amp;$A1135&amp;IF($C1135="","","."&amp;$C1135&amp;"."&amp;$B1135)&amp;IF(INDEX(Variables!$D$5:$D$65,MATCH($A1135,Variables!$A$5:$A$65,0))="","","."&amp;INDEX(Variables!$D$5:$D$65,MATCH($A1135,Variables!$A$5:$A$65,0)))&amp;"."&amp;Z$5</f>
        <v/>
      </c>
      <c r="AA1135" s="38">
        <f>AA1117+AA1126</f>
        <v/>
      </c>
      <c r="AB1135" s="36">
        <f>AB1117+AB1126</f>
        <v/>
      </c>
      <c r="AC1135" s="36">
        <f>AC1117+AC1126</f>
        <v/>
      </c>
      <c r="AD1135" s="36">
        <f>AD1117+AD1126</f>
        <v/>
      </c>
      <c r="AE1135" s="36">
        <f>AE1117+AE1126</f>
        <v/>
      </c>
      <c r="AF1135" s="36">
        <f>AF1117+AF1126</f>
        <v/>
      </c>
      <c r="AG1135" s="36">
        <f>AG1117+AG1126</f>
        <v/>
      </c>
      <c r="AH1135" s="36">
        <f>AH1117+AH1126</f>
        <v/>
      </c>
      <c r="AI1135" s="36">
        <f>AI1117+AI1126</f>
        <v/>
      </c>
      <c r="AJ1135" s="36">
        <f>AJ1117+AJ1126</f>
        <v/>
      </c>
      <c r="AK1135" s="36">
        <f>AK1117+AK1126</f>
        <v/>
      </c>
      <c r="AL1135" s="36">
        <f>AL1117+AL1126</f>
        <v/>
      </c>
      <c r="AM1135" s="36">
        <f>AM1117+AM1126</f>
        <v/>
      </c>
      <c r="AN1135" s="36">
        <f>AN1117+AN1126</f>
        <v/>
      </c>
    </row>
    <row r="1136" hidden="1" outlineLevel="2">
      <c r="A1136" s="5" t="inlineStr">
        <is>
          <t>nce</t>
        </is>
      </c>
      <c r="B1136" s="5" t="inlineStr">
        <is>
          <t>gso</t>
        </is>
      </c>
      <c r="C1136" s="5" t="inlineStr">
        <is>
          <t>cst</t>
        </is>
      </c>
      <c r="D1136" s="37" t="n"/>
      <c r="E1136" s="37" t="n"/>
      <c r="F1136" s="37" t="n"/>
      <c r="G1136" s="37" t="n"/>
      <c r="H1136" s="5">
        <f>INDEX(Variables!$B$5:$B$65,MATCH($A1136,Variables!$A$5:$A$65,0))&amp;IF($C1136="",""," | "&amp;INDEX(Mapping!$B$5:$B$25,MATCH($C1136,Mapping!$A$5:$A$25,0))&amp;" | "&amp;INDEX(Mapping!$B$29:$B$38,MATCH($B1136,Mapping!$A$29:$A$38,0)))</f>
        <v/>
      </c>
      <c r="I1136" s="5">
        <f>INDEX(Variables!$C$5:$C$65,MATCH($A1136,Variables!$A$5:$A$65,0))</f>
        <v/>
      </c>
      <c r="J1136" s="5">
        <f>INDEX(Variables!$E$5:$E$65,MATCH($A1136,Variables!$A$5:$A$65,0))</f>
        <v/>
      </c>
      <c r="K1136" s="23">
        <f>LOWER(Settings!$C$4)&amp;".mit."&amp;$A1136&amp;IF($C1136="","","."&amp;$C1136&amp;"."&amp;$B1136)&amp;IF(INDEX(Variables!$D$5:$D$65,MATCH($A1136,Variables!$A$5:$A$65,0))="","","."&amp;INDEX(Variables!$D$5:$D$65,MATCH($A1136,Variables!$A$5:$A$65,0)))&amp;"."&amp;K$5</f>
        <v/>
      </c>
      <c r="L1136" s="38">
        <f>L1118+L1127</f>
        <v/>
      </c>
      <c r="M1136" s="36">
        <f>M1118+M1127</f>
        <v/>
      </c>
      <c r="N1136" s="36">
        <f>N1118+N1127</f>
        <v/>
      </c>
      <c r="O1136" s="36">
        <f>O1118+O1127</f>
        <v/>
      </c>
      <c r="P1136" s="36">
        <f>P1118+P1127</f>
        <v/>
      </c>
      <c r="Q1136" s="36">
        <f>Q1118+Q1127</f>
        <v/>
      </c>
      <c r="R1136" s="36">
        <f>R1118+R1127</f>
        <v/>
      </c>
      <c r="S1136" s="36">
        <f>S1118+S1127</f>
        <v/>
      </c>
      <c r="T1136" s="36">
        <f>T1118+T1127</f>
        <v/>
      </c>
      <c r="U1136" s="36">
        <f>U1118+U1127</f>
        <v/>
      </c>
      <c r="V1136" s="36">
        <f>V1118+V1127</f>
        <v/>
      </c>
      <c r="W1136" s="36">
        <f>W1118+W1127</f>
        <v/>
      </c>
      <c r="X1136" s="36">
        <f>X1118+X1127</f>
        <v/>
      </c>
      <c r="Y1136" s="36">
        <f>Y1118+Y1127</f>
        <v/>
      </c>
      <c r="Z1136" s="23">
        <f>LOWER(Settings!$C$4)&amp;".mit."&amp;$A1136&amp;IF($C1136="","","."&amp;$C1136&amp;"."&amp;$B1136)&amp;IF(INDEX(Variables!$D$5:$D$65,MATCH($A1136,Variables!$A$5:$A$65,0))="","","."&amp;INDEX(Variables!$D$5:$D$65,MATCH($A1136,Variables!$A$5:$A$65,0)))&amp;"."&amp;Z$5</f>
        <v/>
      </c>
      <c r="AA1136" s="38">
        <f>AA1118+AA1127</f>
        <v/>
      </c>
      <c r="AB1136" s="36">
        <f>AB1118+AB1127</f>
        <v/>
      </c>
      <c r="AC1136" s="36">
        <f>AC1118+AC1127</f>
        <v/>
      </c>
      <c r="AD1136" s="36">
        <f>AD1118+AD1127</f>
        <v/>
      </c>
      <c r="AE1136" s="36">
        <f>AE1118+AE1127</f>
        <v/>
      </c>
      <c r="AF1136" s="36">
        <f>AF1118+AF1127</f>
        <v/>
      </c>
      <c r="AG1136" s="36">
        <f>AG1118+AG1127</f>
        <v/>
      </c>
      <c r="AH1136" s="36">
        <f>AH1118+AH1127</f>
        <v/>
      </c>
      <c r="AI1136" s="36">
        <f>AI1118+AI1127</f>
        <v/>
      </c>
      <c r="AJ1136" s="36">
        <f>AJ1118+AJ1127</f>
        <v/>
      </c>
      <c r="AK1136" s="36">
        <f>AK1118+AK1127</f>
        <v/>
      </c>
      <c r="AL1136" s="36">
        <f>AL1118+AL1127</f>
        <v/>
      </c>
      <c r="AM1136" s="36">
        <f>AM1118+AM1127</f>
        <v/>
      </c>
      <c r="AN1136" s="36">
        <f>AN1118+AN1127</f>
        <v/>
      </c>
    </row>
    <row r="1137" hidden="1" outlineLevel="2">
      <c r="A1137" s="5" t="inlineStr">
        <is>
          <t>nce</t>
        </is>
      </c>
      <c r="B1137" s="5" t="inlineStr">
        <is>
          <t>die</t>
        </is>
      </c>
      <c r="C1137" s="5" t="inlineStr">
        <is>
          <t>cst</t>
        </is>
      </c>
      <c r="D1137" s="37" t="n"/>
      <c r="E1137" s="37" t="n"/>
      <c r="F1137" s="37" t="n"/>
      <c r="G1137" s="37" t="n"/>
      <c r="H1137" s="5">
        <f>INDEX(Variables!$B$5:$B$65,MATCH($A1137,Variables!$A$5:$A$65,0))&amp;IF($C1137="",""," | "&amp;INDEX(Mapping!$B$5:$B$25,MATCH($C1137,Mapping!$A$5:$A$25,0))&amp;" | "&amp;INDEX(Mapping!$B$29:$B$38,MATCH($B1137,Mapping!$A$29:$A$38,0)))</f>
        <v/>
      </c>
      <c r="I1137" s="5">
        <f>INDEX(Variables!$C$5:$C$65,MATCH($A1137,Variables!$A$5:$A$65,0))</f>
        <v/>
      </c>
      <c r="J1137" s="5">
        <f>INDEX(Variables!$E$5:$E$65,MATCH($A1137,Variables!$A$5:$A$65,0))</f>
        <v/>
      </c>
      <c r="K1137" s="23">
        <f>LOWER(Settings!$C$4)&amp;".mit."&amp;$A1137&amp;IF($C1137="","","."&amp;$C1137&amp;"."&amp;$B1137)&amp;IF(INDEX(Variables!$D$5:$D$65,MATCH($A1137,Variables!$A$5:$A$65,0))="","","."&amp;INDEX(Variables!$D$5:$D$65,MATCH($A1137,Variables!$A$5:$A$65,0)))&amp;"."&amp;K$5</f>
        <v/>
      </c>
      <c r="L1137" s="38">
        <f>L1119+L1128</f>
        <v/>
      </c>
      <c r="M1137" s="36">
        <f>M1119+M1128</f>
        <v/>
      </c>
      <c r="N1137" s="36">
        <f>N1119+N1128</f>
        <v/>
      </c>
      <c r="O1137" s="36">
        <f>O1119+O1128</f>
        <v/>
      </c>
      <c r="P1137" s="36">
        <f>P1119+P1128</f>
        <v/>
      </c>
      <c r="Q1137" s="36">
        <f>Q1119+Q1128</f>
        <v/>
      </c>
      <c r="R1137" s="36">
        <f>R1119+R1128</f>
        <v/>
      </c>
      <c r="S1137" s="36">
        <f>S1119+S1128</f>
        <v/>
      </c>
      <c r="T1137" s="36">
        <f>T1119+T1128</f>
        <v/>
      </c>
      <c r="U1137" s="36">
        <f>U1119+U1128</f>
        <v/>
      </c>
      <c r="V1137" s="36">
        <f>V1119+V1128</f>
        <v/>
      </c>
      <c r="W1137" s="36">
        <f>W1119+W1128</f>
        <v/>
      </c>
      <c r="X1137" s="36">
        <f>X1119+X1128</f>
        <v/>
      </c>
      <c r="Y1137" s="36">
        <f>Y1119+Y1128</f>
        <v/>
      </c>
      <c r="Z1137" s="23">
        <f>LOWER(Settings!$C$4)&amp;".mit."&amp;$A1137&amp;IF($C1137="","","."&amp;$C1137&amp;"."&amp;$B1137)&amp;IF(INDEX(Variables!$D$5:$D$65,MATCH($A1137,Variables!$A$5:$A$65,0))="","","."&amp;INDEX(Variables!$D$5:$D$65,MATCH($A1137,Variables!$A$5:$A$65,0)))&amp;"."&amp;Z$5</f>
        <v/>
      </c>
      <c r="AA1137" s="38">
        <f>AA1119+AA1128</f>
        <v/>
      </c>
      <c r="AB1137" s="36">
        <f>AB1119+AB1128</f>
        <v/>
      </c>
      <c r="AC1137" s="36">
        <f>AC1119+AC1128</f>
        <v/>
      </c>
      <c r="AD1137" s="36">
        <f>AD1119+AD1128</f>
        <v/>
      </c>
      <c r="AE1137" s="36">
        <f>AE1119+AE1128</f>
        <v/>
      </c>
      <c r="AF1137" s="36">
        <f>AF1119+AF1128</f>
        <v/>
      </c>
      <c r="AG1137" s="36">
        <f>AG1119+AG1128</f>
        <v/>
      </c>
      <c r="AH1137" s="36">
        <f>AH1119+AH1128</f>
        <v/>
      </c>
      <c r="AI1137" s="36">
        <f>AI1119+AI1128</f>
        <v/>
      </c>
      <c r="AJ1137" s="36">
        <f>AJ1119+AJ1128</f>
        <v/>
      </c>
      <c r="AK1137" s="36">
        <f>AK1119+AK1128</f>
        <v/>
      </c>
      <c r="AL1137" s="36">
        <f>AL1119+AL1128</f>
        <v/>
      </c>
      <c r="AM1137" s="36">
        <f>AM1119+AM1128</f>
        <v/>
      </c>
      <c r="AN1137" s="36">
        <f>AN1119+AN1128</f>
        <v/>
      </c>
    </row>
    <row r="1138" hidden="1" outlineLevel="2">
      <c r="A1138" s="5" t="inlineStr">
        <is>
          <t>nce</t>
        </is>
      </c>
      <c r="B1138" s="5" t="inlineStr">
        <is>
          <t>lpg</t>
        </is>
      </c>
      <c r="C1138" s="5" t="inlineStr">
        <is>
          <t>cst</t>
        </is>
      </c>
      <c r="D1138" s="37" t="n"/>
      <c r="E1138" s="37" t="n"/>
      <c r="F1138" s="37" t="n"/>
      <c r="G1138" s="37" t="n"/>
      <c r="H1138" s="5">
        <f>INDEX(Variables!$B$5:$B$65,MATCH($A1138,Variables!$A$5:$A$65,0))&amp;IF($C1138="",""," | "&amp;INDEX(Mapping!$B$5:$B$25,MATCH($C1138,Mapping!$A$5:$A$25,0))&amp;" | "&amp;INDEX(Mapping!$B$29:$B$38,MATCH($B1138,Mapping!$A$29:$A$38,0)))</f>
        <v/>
      </c>
      <c r="I1138" s="5">
        <f>INDEX(Variables!$C$5:$C$65,MATCH($A1138,Variables!$A$5:$A$65,0))</f>
        <v/>
      </c>
      <c r="J1138" s="5">
        <f>INDEX(Variables!$E$5:$E$65,MATCH($A1138,Variables!$A$5:$A$65,0))</f>
        <v/>
      </c>
      <c r="K1138" s="23">
        <f>LOWER(Settings!$C$4)&amp;".mit."&amp;$A1138&amp;IF($C1138="","","."&amp;$C1138&amp;"."&amp;$B1138)&amp;IF(INDEX(Variables!$D$5:$D$65,MATCH($A1138,Variables!$A$5:$A$65,0))="","","."&amp;INDEX(Variables!$D$5:$D$65,MATCH($A1138,Variables!$A$5:$A$65,0)))&amp;"."&amp;K$5</f>
        <v/>
      </c>
      <c r="L1138" s="38">
        <f>L1120+L1129</f>
        <v/>
      </c>
      <c r="M1138" s="36">
        <f>M1120+M1129</f>
        <v/>
      </c>
      <c r="N1138" s="36">
        <f>N1120+N1129</f>
        <v/>
      </c>
      <c r="O1138" s="36">
        <f>O1120+O1129</f>
        <v/>
      </c>
      <c r="P1138" s="36">
        <f>P1120+P1129</f>
        <v/>
      </c>
      <c r="Q1138" s="36">
        <f>Q1120+Q1129</f>
        <v/>
      </c>
      <c r="R1138" s="36">
        <f>R1120+R1129</f>
        <v/>
      </c>
      <c r="S1138" s="36">
        <f>S1120+S1129</f>
        <v/>
      </c>
      <c r="T1138" s="36">
        <f>T1120+T1129</f>
        <v/>
      </c>
      <c r="U1138" s="36">
        <f>U1120+U1129</f>
        <v/>
      </c>
      <c r="V1138" s="36">
        <f>V1120+V1129</f>
        <v/>
      </c>
      <c r="W1138" s="36">
        <f>W1120+W1129</f>
        <v/>
      </c>
      <c r="X1138" s="36">
        <f>X1120+X1129</f>
        <v/>
      </c>
      <c r="Y1138" s="36">
        <f>Y1120+Y1129</f>
        <v/>
      </c>
      <c r="Z1138" s="23">
        <f>LOWER(Settings!$C$4)&amp;".mit."&amp;$A1138&amp;IF($C1138="","","."&amp;$C1138&amp;"."&amp;$B1138)&amp;IF(INDEX(Variables!$D$5:$D$65,MATCH($A1138,Variables!$A$5:$A$65,0))="","","."&amp;INDEX(Variables!$D$5:$D$65,MATCH($A1138,Variables!$A$5:$A$65,0)))&amp;"."&amp;Z$5</f>
        <v/>
      </c>
      <c r="AA1138" s="38">
        <f>AA1120+AA1129</f>
        <v/>
      </c>
      <c r="AB1138" s="36">
        <f>AB1120+AB1129</f>
        <v/>
      </c>
      <c r="AC1138" s="36">
        <f>AC1120+AC1129</f>
        <v/>
      </c>
      <c r="AD1138" s="36">
        <f>AD1120+AD1129</f>
        <v/>
      </c>
      <c r="AE1138" s="36">
        <f>AE1120+AE1129</f>
        <v/>
      </c>
      <c r="AF1138" s="36">
        <f>AF1120+AF1129</f>
        <v/>
      </c>
      <c r="AG1138" s="36">
        <f>AG1120+AG1129</f>
        <v/>
      </c>
      <c r="AH1138" s="36">
        <f>AH1120+AH1129</f>
        <v/>
      </c>
      <c r="AI1138" s="36">
        <f>AI1120+AI1129</f>
        <v/>
      </c>
      <c r="AJ1138" s="36">
        <f>AJ1120+AJ1129</f>
        <v/>
      </c>
      <c r="AK1138" s="36">
        <f>AK1120+AK1129</f>
        <v/>
      </c>
      <c r="AL1138" s="36">
        <f>AL1120+AL1129</f>
        <v/>
      </c>
      <c r="AM1138" s="36">
        <f>AM1120+AM1129</f>
        <v/>
      </c>
      <c r="AN1138" s="36">
        <f>AN1120+AN1129</f>
        <v/>
      </c>
    </row>
    <row r="1139" hidden="1" outlineLevel="2">
      <c r="A1139" s="5" t="inlineStr">
        <is>
          <t>nce</t>
        </is>
      </c>
      <c r="B1139" s="5" t="inlineStr">
        <is>
          <t>ker</t>
        </is>
      </c>
      <c r="C1139" s="5" t="inlineStr">
        <is>
          <t>cst</t>
        </is>
      </c>
      <c r="D1139" s="37" t="n"/>
      <c r="E1139" s="37" t="n"/>
      <c r="F1139" s="37" t="n"/>
      <c r="G1139" s="37" t="n"/>
      <c r="H1139" s="5">
        <f>INDEX(Variables!$B$5:$B$65,MATCH($A1139,Variables!$A$5:$A$65,0))&amp;IF($C1139="",""," | "&amp;INDEX(Mapping!$B$5:$B$25,MATCH($C1139,Mapping!$A$5:$A$25,0))&amp;" | "&amp;INDEX(Mapping!$B$29:$B$38,MATCH($B1139,Mapping!$A$29:$A$38,0)))</f>
        <v/>
      </c>
      <c r="I1139" s="5">
        <f>INDEX(Variables!$C$5:$C$65,MATCH($A1139,Variables!$A$5:$A$65,0))</f>
        <v/>
      </c>
      <c r="J1139" s="5">
        <f>INDEX(Variables!$E$5:$E$65,MATCH($A1139,Variables!$A$5:$A$65,0))</f>
        <v/>
      </c>
      <c r="K1139" s="23">
        <f>LOWER(Settings!$C$4)&amp;".mit."&amp;$A1139&amp;IF($C1139="","","."&amp;$C1139&amp;"."&amp;$B1139)&amp;IF(INDEX(Variables!$D$5:$D$65,MATCH($A1139,Variables!$A$5:$A$65,0))="","","."&amp;INDEX(Variables!$D$5:$D$65,MATCH($A1139,Variables!$A$5:$A$65,0)))&amp;"."&amp;K$5</f>
        <v/>
      </c>
      <c r="L1139" s="38">
        <f>L1121+L1130</f>
        <v/>
      </c>
      <c r="M1139" s="36">
        <f>M1121+M1130</f>
        <v/>
      </c>
      <c r="N1139" s="36">
        <f>N1121+N1130</f>
        <v/>
      </c>
      <c r="O1139" s="36">
        <f>O1121+O1130</f>
        <v/>
      </c>
      <c r="P1139" s="36">
        <f>P1121+P1130</f>
        <v/>
      </c>
      <c r="Q1139" s="36">
        <f>Q1121+Q1130</f>
        <v/>
      </c>
      <c r="R1139" s="36">
        <f>R1121+R1130</f>
        <v/>
      </c>
      <c r="S1139" s="36">
        <f>S1121+S1130</f>
        <v/>
      </c>
      <c r="T1139" s="36">
        <f>T1121+T1130</f>
        <v/>
      </c>
      <c r="U1139" s="36">
        <f>U1121+U1130</f>
        <v/>
      </c>
      <c r="V1139" s="36">
        <f>V1121+V1130</f>
        <v/>
      </c>
      <c r="W1139" s="36">
        <f>W1121+W1130</f>
        <v/>
      </c>
      <c r="X1139" s="36">
        <f>X1121+X1130</f>
        <v/>
      </c>
      <c r="Y1139" s="36">
        <f>Y1121+Y1130</f>
        <v/>
      </c>
      <c r="Z1139" s="23">
        <f>LOWER(Settings!$C$4)&amp;".mit."&amp;$A1139&amp;IF($C1139="","","."&amp;$C1139&amp;"."&amp;$B1139)&amp;IF(INDEX(Variables!$D$5:$D$65,MATCH($A1139,Variables!$A$5:$A$65,0))="","","."&amp;INDEX(Variables!$D$5:$D$65,MATCH($A1139,Variables!$A$5:$A$65,0)))&amp;"."&amp;Z$5</f>
        <v/>
      </c>
      <c r="AA1139" s="38">
        <f>AA1121+AA1130</f>
        <v/>
      </c>
      <c r="AB1139" s="36">
        <f>AB1121+AB1130</f>
        <v/>
      </c>
      <c r="AC1139" s="36">
        <f>AC1121+AC1130</f>
        <v/>
      </c>
      <c r="AD1139" s="36">
        <f>AD1121+AD1130</f>
        <v/>
      </c>
      <c r="AE1139" s="36">
        <f>AE1121+AE1130</f>
        <v/>
      </c>
      <c r="AF1139" s="36">
        <f>AF1121+AF1130</f>
        <v/>
      </c>
      <c r="AG1139" s="36">
        <f>AG1121+AG1130</f>
        <v/>
      </c>
      <c r="AH1139" s="36">
        <f>AH1121+AH1130</f>
        <v/>
      </c>
      <c r="AI1139" s="36">
        <f>AI1121+AI1130</f>
        <v/>
      </c>
      <c r="AJ1139" s="36">
        <f>AJ1121+AJ1130</f>
        <v/>
      </c>
      <c r="AK1139" s="36">
        <f>AK1121+AK1130</f>
        <v/>
      </c>
      <c r="AL1139" s="36">
        <f>AL1121+AL1130</f>
        <v/>
      </c>
      <c r="AM1139" s="36">
        <f>AM1121+AM1130</f>
        <v/>
      </c>
      <c r="AN1139" s="36">
        <f>AN1121+AN1130</f>
        <v/>
      </c>
    </row>
    <row r="1140" hidden="1" outlineLevel="2">
      <c r="A1140" s="5" t="inlineStr">
        <is>
          <t>nce</t>
        </is>
      </c>
      <c r="B1140" s="5" t="inlineStr">
        <is>
          <t>oop</t>
        </is>
      </c>
      <c r="C1140" s="5" t="inlineStr">
        <is>
          <t>cst</t>
        </is>
      </c>
      <c r="D1140" s="37" t="n"/>
      <c r="E1140" s="37" t="n"/>
      <c r="F1140" s="37" t="n"/>
      <c r="G1140" s="37" t="n"/>
      <c r="H1140" s="5">
        <f>INDEX(Variables!$B$5:$B$65,MATCH($A1140,Variables!$A$5:$A$65,0))&amp;IF($C1140="",""," | "&amp;INDEX(Mapping!$B$5:$B$25,MATCH($C1140,Mapping!$A$5:$A$25,0))&amp;" | "&amp;INDEX(Mapping!$B$29:$B$38,MATCH($B1140,Mapping!$A$29:$A$38,0)))</f>
        <v/>
      </c>
      <c r="I1140" s="5">
        <f>INDEX(Variables!$C$5:$C$65,MATCH($A1140,Variables!$A$5:$A$65,0))</f>
        <v/>
      </c>
      <c r="J1140" s="5">
        <f>INDEX(Variables!$E$5:$E$65,MATCH($A1140,Variables!$A$5:$A$65,0))</f>
        <v/>
      </c>
      <c r="K1140" s="23">
        <f>LOWER(Settings!$C$4)&amp;".mit."&amp;$A1140&amp;IF($C1140="","","."&amp;$C1140&amp;"."&amp;$B1140)&amp;IF(INDEX(Variables!$D$5:$D$65,MATCH($A1140,Variables!$A$5:$A$65,0))="","","."&amp;INDEX(Variables!$D$5:$D$65,MATCH($A1140,Variables!$A$5:$A$65,0)))&amp;"."&amp;K$5</f>
        <v/>
      </c>
      <c r="L1140" s="38">
        <f>L1122+L1131</f>
        <v/>
      </c>
      <c r="M1140" s="36">
        <f>M1122+M1131</f>
        <v/>
      </c>
      <c r="N1140" s="36">
        <f>N1122+N1131</f>
        <v/>
      </c>
      <c r="O1140" s="36">
        <f>O1122+O1131</f>
        <v/>
      </c>
      <c r="P1140" s="36">
        <f>P1122+P1131</f>
        <v/>
      </c>
      <c r="Q1140" s="36">
        <f>Q1122+Q1131</f>
        <v/>
      </c>
      <c r="R1140" s="36">
        <f>R1122+R1131</f>
        <v/>
      </c>
      <c r="S1140" s="36">
        <f>S1122+S1131</f>
        <v/>
      </c>
      <c r="T1140" s="36">
        <f>T1122+T1131</f>
        <v/>
      </c>
      <c r="U1140" s="36">
        <f>U1122+U1131</f>
        <v/>
      </c>
      <c r="V1140" s="36">
        <f>V1122+V1131</f>
        <v/>
      </c>
      <c r="W1140" s="36">
        <f>W1122+W1131</f>
        <v/>
      </c>
      <c r="X1140" s="36">
        <f>X1122+X1131</f>
        <v/>
      </c>
      <c r="Y1140" s="36">
        <f>Y1122+Y1131</f>
        <v/>
      </c>
      <c r="Z1140" s="23">
        <f>LOWER(Settings!$C$4)&amp;".mit."&amp;$A1140&amp;IF($C1140="","","."&amp;$C1140&amp;"."&amp;$B1140)&amp;IF(INDEX(Variables!$D$5:$D$65,MATCH($A1140,Variables!$A$5:$A$65,0))="","","."&amp;INDEX(Variables!$D$5:$D$65,MATCH($A1140,Variables!$A$5:$A$65,0)))&amp;"."&amp;Z$5</f>
        <v/>
      </c>
      <c r="AA1140" s="38">
        <f>AA1122+AA1131</f>
        <v/>
      </c>
      <c r="AB1140" s="36">
        <f>AB1122+AB1131</f>
        <v/>
      </c>
      <c r="AC1140" s="36">
        <f>AC1122+AC1131</f>
        <v/>
      </c>
      <c r="AD1140" s="36">
        <f>AD1122+AD1131</f>
        <v/>
      </c>
      <c r="AE1140" s="36">
        <f>AE1122+AE1131</f>
        <v/>
      </c>
      <c r="AF1140" s="36">
        <f>AF1122+AF1131</f>
        <v/>
      </c>
      <c r="AG1140" s="36">
        <f>AG1122+AG1131</f>
        <v/>
      </c>
      <c r="AH1140" s="36">
        <f>AH1122+AH1131</f>
        <v/>
      </c>
      <c r="AI1140" s="36">
        <f>AI1122+AI1131</f>
        <v/>
      </c>
      <c r="AJ1140" s="36">
        <f>AJ1122+AJ1131</f>
        <v/>
      </c>
      <c r="AK1140" s="36">
        <f>AK1122+AK1131</f>
        <v/>
      </c>
      <c r="AL1140" s="36">
        <f>AL1122+AL1131</f>
        <v/>
      </c>
      <c r="AM1140" s="36">
        <f>AM1122+AM1131</f>
        <v/>
      </c>
      <c r="AN1140" s="36">
        <f>AN1122+AN1131</f>
        <v/>
      </c>
    </row>
    <row r="1141" hidden="1" outlineLevel="2">
      <c r="A1141" s="5" t="inlineStr">
        <is>
          <t>nce</t>
        </is>
      </c>
      <c r="B1141" s="5" t="inlineStr">
        <is>
          <t>bio</t>
        </is>
      </c>
      <c r="C1141" s="5" t="inlineStr">
        <is>
          <t>cst</t>
        </is>
      </c>
      <c r="D1141" s="37" t="n"/>
      <c r="E1141" s="37" t="n"/>
      <c r="F1141" s="37" t="n"/>
      <c r="G1141" s="37" t="n"/>
      <c r="H1141" s="5">
        <f>INDEX(Variables!$B$5:$B$65,MATCH($A1141,Variables!$A$5:$A$65,0))&amp;IF($C1141="",""," | "&amp;INDEX(Mapping!$B$5:$B$25,MATCH($C1141,Mapping!$A$5:$A$25,0))&amp;" | "&amp;INDEX(Mapping!$B$29:$B$38,MATCH($B1141,Mapping!$A$29:$A$38,0)))</f>
        <v/>
      </c>
      <c r="I1141" s="5">
        <f>INDEX(Variables!$C$5:$C$65,MATCH($A1141,Variables!$A$5:$A$65,0))</f>
        <v/>
      </c>
      <c r="J1141" s="5">
        <f>INDEX(Variables!$E$5:$E$65,MATCH($A1141,Variables!$A$5:$A$65,0))</f>
        <v/>
      </c>
      <c r="K1141" s="23">
        <f>LOWER(Settings!$C$4)&amp;".mit."&amp;$A1141&amp;IF($C1141="","","."&amp;$C1141&amp;"."&amp;$B1141)&amp;IF(INDEX(Variables!$D$5:$D$65,MATCH($A1141,Variables!$A$5:$A$65,0))="","","."&amp;INDEX(Variables!$D$5:$D$65,MATCH($A1141,Variables!$A$5:$A$65,0)))&amp;"."&amp;K$5</f>
        <v/>
      </c>
      <c r="L1141" s="38">
        <f>L1123+L1132</f>
        <v/>
      </c>
      <c r="M1141" s="36">
        <f>M1123+M1132</f>
        <v/>
      </c>
      <c r="N1141" s="36">
        <f>N1123+N1132</f>
        <v/>
      </c>
      <c r="O1141" s="36">
        <f>O1123+O1132</f>
        <v/>
      </c>
      <c r="P1141" s="36">
        <f>P1123+P1132</f>
        <v/>
      </c>
      <c r="Q1141" s="36">
        <f>Q1123+Q1132</f>
        <v/>
      </c>
      <c r="R1141" s="36">
        <f>R1123+R1132</f>
        <v/>
      </c>
      <c r="S1141" s="36">
        <f>S1123+S1132</f>
        <v/>
      </c>
      <c r="T1141" s="36">
        <f>T1123+T1132</f>
        <v/>
      </c>
      <c r="U1141" s="36">
        <f>U1123+U1132</f>
        <v/>
      </c>
      <c r="V1141" s="36">
        <f>V1123+V1132</f>
        <v/>
      </c>
      <c r="W1141" s="36">
        <f>W1123+W1132</f>
        <v/>
      </c>
      <c r="X1141" s="36">
        <f>X1123+X1132</f>
        <v/>
      </c>
      <c r="Y1141" s="36">
        <f>Y1123+Y1132</f>
        <v/>
      </c>
      <c r="Z1141" s="23">
        <f>LOWER(Settings!$C$4)&amp;".mit."&amp;$A1141&amp;IF($C1141="","","."&amp;$C1141&amp;"."&amp;$B1141)&amp;IF(INDEX(Variables!$D$5:$D$65,MATCH($A1141,Variables!$A$5:$A$65,0))="","","."&amp;INDEX(Variables!$D$5:$D$65,MATCH($A1141,Variables!$A$5:$A$65,0)))&amp;"."&amp;Z$5</f>
        <v/>
      </c>
      <c r="AA1141" s="38">
        <f>AA1123+AA1132</f>
        <v/>
      </c>
      <c r="AB1141" s="36">
        <f>AB1123+AB1132</f>
        <v/>
      </c>
      <c r="AC1141" s="36">
        <f>AC1123+AC1132</f>
        <v/>
      </c>
      <c r="AD1141" s="36">
        <f>AD1123+AD1132</f>
        <v/>
      </c>
      <c r="AE1141" s="36">
        <f>AE1123+AE1132</f>
        <v/>
      </c>
      <c r="AF1141" s="36">
        <f>AF1123+AF1132</f>
        <v/>
      </c>
      <c r="AG1141" s="36">
        <f>AG1123+AG1132</f>
        <v/>
      </c>
      <c r="AH1141" s="36">
        <f>AH1123+AH1132</f>
        <v/>
      </c>
      <c r="AI1141" s="36">
        <f>AI1123+AI1132</f>
        <v/>
      </c>
      <c r="AJ1141" s="36">
        <f>AJ1123+AJ1132</f>
        <v/>
      </c>
      <c r="AK1141" s="36">
        <f>AK1123+AK1132</f>
        <v/>
      </c>
      <c r="AL1141" s="36">
        <f>AL1123+AL1132</f>
        <v/>
      </c>
      <c r="AM1141" s="36">
        <f>AM1123+AM1132</f>
        <v/>
      </c>
      <c r="AN1141" s="36">
        <f>AN1123+AN1132</f>
        <v/>
      </c>
    </row>
    <row r="1142" hidden="1" outlineLevel="2"/>
    <row r="1143" hidden="1" outlineLevel="2">
      <c r="A1143" s="5" t="inlineStr">
        <is>
          <t>tax</t>
        </is>
      </c>
      <c r="B1143" s="5" t="inlineStr">
        <is>
          <t>coa</t>
        </is>
      </c>
      <c r="C1143" s="5" t="inlineStr">
        <is>
          <t>cst</t>
        </is>
      </c>
      <c r="D1143" s="36">
        <f>INDEX(Inputs!$T$5:$T$132,MATCH($B1143&amp;"|"&amp;$C1143,Inputs!$A$5:$A$132,0))</f>
        <v/>
      </c>
      <c r="E1143" s="37" t="n"/>
      <c r="F1143" s="37" t="n"/>
      <c r="G1143" s="37" t="n"/>
      <c r="H1143" s="5">
        <f>INDEX(Variables!$B$5:$B$65,MATCH($A1143,Variables!$A$5:$A$65,0))&amp;IF($C1143="",""," | "&amp;INDEX(Mapping!$B$5:$B$25,MATCH($C1143,Mapping!$A$5:$A$25,0))&amp;" | "&amp;INDEX(Mapping!$B$29:$B$38,MATCH($B1143,Mapping!$A$29:$A$38,0)))</f>
        <v/>
      </c>
      <c r="I1143" s="5">
        <f>INDEX(Variables!$C$5:$C$65,MATCH($A1143,Variables!$A$5:$A$65,0))</f>
        <v/>
      </c>
      <c r="J1143" s="5">
        <f>INDEX(Variables!$E$5:$E$65,MATCH($A1143,Variables!$A$5:$A$65,0))</f>
        <v/>
      </c>
      <c r="K1143" s="23">
        <f>LOWER(Settings!$C$4)&amp;".mit."&amp;$A1143&amp;IF($C1143="","","."&amp;$C1143&amp;"."&amp;$B1143)&amp;IF(INDEX(Variables!$D$5:$D$65,MATCH($A1143,Variables!$A$5:$A$65,0))="","","."&amp;INDEX(Variables!$D$5:$D$65,MATCH($A1143,Variables!$A$5:$A$65,0)))&amp;"."&amp;K$5</f>
        <v/>
      </c>
      <c r="L1143" s="38">
        <f>$D1143+L1134</f>
        <v/>
      </c>
      <c r="M1143" s="36">
        <f>$D1143+M1134</f>
        <v/>
      </c>
      <c r="N1143" s="36">
        <f>$D1143+N1134</f>
        <v/>
      </c>
      <c r="O1143" s="36">
        <f>$D1143+O1134</f>
        <v/>
      </c>
      <c r="P1143" s="36">
        <f>$D1143+P1134</f>
        <v/>
      </c>
      <c r="Q1143" s="36">
        <f>$D1143+Q1134</f>
        <v/>
      </c>
      <c r="R1143" s="36">
        <f>$D1143+R1134</f>
        <v/>
      </c>
      <c r="S1143" s="36">
        <f>$D1143+S1134</f>
        <v/>
      </c>
      <c r="T1143" s="36">
        <f>$D1143+T1134</f>
        <v/>
      </c>
      <c r="U1143" s="36">
        <f>$D1143+U1134</f>
        <v/>
      </c>
      <c r="V1143" s="36">
        <f>$D1143+V1134</f>
        <v/>
      </c>
      <c r="W1143" s="36">
        <f>$D1143+W1134</f>
        <v/>
      </c>
      <c r="X1143" s="36">
        <f>$D1143+X1134</f>
        <v/>
      </c>
      <c r="Y1143" s="39">
        <f>TAX($D1143,Y1134)</f>
        <v/>
      </c>
      <c r="Z1143" s="23">
        <f>LOWER(Settings!$C$4)&amp;".mit."&amp;$A1143&amp;IF($C1143="","","."&amp;$C1143&amp;"."&amp;$B1143)&amp;IF(INDEX(Variables!$D$5:$D$65,MATCH($A1143,Variables!$A$5:$A$65,0))="","","."&amp;INDEX(Variables!$D$5:$D$65,MATCH($A1143,Variables!$A$5:$A$65,0)))&amp;"."&amp;Z$5</f>
        <v/>
      </c>
      <c r="AA1143" s="38">
        <f>$D1143+AA1134</f>
        <v/>
      </c>
      <c r="AB1143" s="36">
        <f>$D1143+AB1134</f>
        <v/>
      </c>
      <c r="AC1143" s="36">
        <f>$D1143+AC1134</f>
        <v/>
      </c>
      <c r="AD1143" s="36">
        <f>$D1143+AD1134</f>
        <v/>
      </c>
      <c r="AE1143" s="36">
        <f>$D1143+AE1134</f>
        <v/>
      </c>
      <c r="AF1143" s="36">
        <f>$D1143+AF1134</f>
        <v/>
      </c>
      <c r="AG1143" s="36">
        <f>$D1143+AG1134</f>
        <v/>
      </c>
      <c r="AH1143" s="36">
        <f>$D1143+AH1134</f>
        <v/>
      </c>
      <c r="AI1143" s="36">
        <f>$D1143+AI1134</f>
        <v/>
      </c>
      <c r="AJ1143" s="36">
        <f>$D1143+AJ1134</f>
        <v/>
      </c>
      <c r="AK1143" s="36">
        <f>$D1143+AK1134</f>
        <v/>
      </c>
      <c r="AL1143" s="36">
        <f>$D1143+AL1134</f>
        <v/>
      </c>
      <c r="AM1143" s="36">
        <f>$D1143+AM1134</f>
        <v/>
      </c>
      <c r="AN1143" s="39">
        <f>TAX($D1143,AN1134)</f>
        <v/>
      </c>
    </row>
    <row r="1144" hidden="1" outlineLevel="2">
      <c r="A1144" s="5" t="inlineStr">
        <is>
          <t>tax</t>
        </is>
      </c>
      <c r="B1144" s="5" t="inlineStr">
        <is>
          <t>nga</t>
        </is>
      </c>
      <c r="C1144" s="5" t="inlineStr">
        <is>
          <t>cst</t>
        </is>
      </c>
      <c r="D1144" s="36">
        <f>INDEX(Inputs!$T$5:$T$132,MATCH($B1144&amp;"|"&amp;$C1144,Inputs!$A$5:$A$132,0))</f>
        <v/>
      </c>
      <c r="E1144" s="37" t="n"/>
      <c r="F1144" s="37" t="n"/>
      <c r="G1144" s="37" t="n"/>
      <c r="H1144" s="5">
        <f>INDEX(Variables!$B$5:$B$65,MATCH($A1144,Variables!$A$5:$A$65,0))&amp;IF($C1144="",""," | "&amp;INDEX(Mapping!$B$5:$B$25,MATCH($C1144,Mapping!$A$5:$A$25,0))&amp;" | "&amp;INDEX(Mapping!$B$29:$B$38,MATCH($B1144,Mapping!$A$29:$A$38,0)))</f>
        <v/>
      </c>
      <c r="I1144" s="5">
        <f>INDEX(Variables!$C$5:$C$65,MATCH($A1144,Variables!$A$5:$A$65,0))</f>
        <v/>
      </c>
      <c r="J1144" s="5">
        <f>INDEX(Variables!$E$5:$E$65,MATCH($A1144,Variables!$A$5:$A$65,0))</f>
        <v/>
      </c>
      <c r="K1144" s="23">
        <f>LOWER(Settings!$C$4)&amp;".mit."&amp;$A1144&amp;IF($C1144="","","."&amp;$C1144&amp;"."&amp;$B1144)&amp;IF(INDEX(Variables!$D$5:$D$65,MATCH($A1144,Variables!$A$5:$A$65,0))="","","."&amp;INDEX(Variables!$D$5:$D$65,MATCH($A1144,Variables!$A$5:$A$65,0)))&amp;"."&amp;K$5</f>
        <v/>
      </c>
      <c r="L1144" s="38">
        <f>$D1144+L1135</f>
        <v/>
      </c>
      <c r="M1144" s="36">
        <f>$D1144+M1135</f>
        <v/>
      </c>
      <c r="N1144" s="36">
        <f>$D1144+N1135</f>
        <v/>
      </c>
      <c r="O1144" s="36">
        <f>$D1144+O1135</f>
        <v/>
      </c>
      <c r="P1144" s="36">
        <f>$D1144+P1135</f>
        <v/>
      </c>
      <c r="Q1144" s="36">
        <f>$D1144+Q1135</f>
        <v/>
      </c>
      <c r="R1144" s="36">
        <f>$D1144+R1135</f>
        <v/>
      </c>
      <c r="S1144" s="36">
        <f>$D1144+S1135</f>
        <v/>
      </c>
      <c r="T1144" s="36">
        <f>$D1144+T1135</f>
        <v/>
      </c>
      <c r="U1144" s="36">
        <f>$D1144+U1135</f>
        <v/>
      </c>
      <c r="V1144" s="36">
        <f>$D1144+V1135</f>
        <v/>
      </c>
      <c r="W1144" s="36">
        <f>$D1144+W1135</f>
        <v/>
      </c>
      <c r="X1144" s="36">
        <f>$D1144+X1135</f>
        <v/>
      </c>
      <c r="Y1144" s="39">
        <f>TAX($D1144,Y1135)</f>
        <v/>
      </c>
      <c r="Z1144" s="23">
        <f>LOWER(Settings!$C$4)&amp;".mit."&amp;$A1144&amp;IF($C1144="","","."&amp;$C1144&amp;"."&amp;$B1144)&amp;IF(INDEX(Variables!$D$5:$D$65,MATCH($A1144,Variables!$A$5:$A$65,0))="","","."&amp;INDEX(Variables!$D$5:$D$65,MATCH($A1144,Variables!$A$5:$A$65,0)))&amp;"."&amp;Z$5</f>
        <v/>
      </c>
      <c r="AA1144" s="38">
        <f>$D1144+AA1135</f>
        <v/>
      </c>
      <c r="AB1144" s="36">
        <f>$D1144+AB1135</f>
        <v/>
      </c>
      <c r="AC1144" s="36">
        <f>$D1144+AC1135</f>
        <v/>
      </c>
      <c r="AD1144" s="36">
        <f>$D1144+AD1135</f>
        <v/>
      </c>
      <c r="AE1144" s="36">
        <f>$D1144+AE1135</f>
        <v/>
      </c>
      <c r="AF1144" s="36">
        <f>$D1144+AF1135</f>
        <v/>
      </c>
      <c r="AG1144" s="36">
        <f>$D1144+AG1135</f>
        <v/>
      </c>
      <c r="AH1144" s="36">
        <f>$D1144+AH1135</f>
        <v/>
      </c>
      <c r="AI1144" s="36">
        <f>$D1144+AI1135</f>
        <v/>
      </c>
      <c r="AJ1144" s="36">
        <f>$D1144+AJ1135</f>
        <v/>
      </c>
      <c r="AK1144" s="36">
        <f>$D1144+AK1135</f>
        <v/>
      </c>
      <c r="AL1144" s="36">
        <f>$D1144+AL1135</f>
        <v/>
      </c>
      <c r="AM1144" s="36">
        <f>$D1144+AM1135</f>
        <v/>
      </c>
      <c r="AN1144" s="39">
        <f>TAX($D1144,AN1135)</f>
        <v/>
      </c>
    </row>
    <row r="1145" hidden="1" outlineLevel="2">
      <c r="A1145" s="5" t="inlineStr">
        <is>
          <t>tax</t>
        </is>
      </c>
      <c r="B1145" s="5" t="inlineStr">
        <is>
          <t>gso</t>
        </is>
      </c>
      <c r="C1145" s="5" t="inlineStr">
        <is>
          <t>cst</t>
        </is>
      </c>
      <c r="D1145" s="36">
        <f>INDEX(Inputs!$T$5:$T$132,MATCH($B1145&amp;"|"&amp;$C1145,Inputs!$A$5:$A$132,0))</f>
        <v/>
      </c>
      <c r="E1145" s="37" t="n"/>
      <c r="F1145" s="37" t="n"/>
      <c r="G1145" s="37" t="n"/>
      <c r="H1145" s="5">
        <f>INDEX(Variables!$B$5:$B$65,MATCH($A1145,Variables!$A$5:$A$65,0))&amp;IF($C1145="",""," | "&amp;INDEX(Mapping!$B$5:$B$25,MATCH($C1145,Mapping!$A$5:$A$25,0))&amp;" | "&amp;INDEX(Mapping!$B$29:$B$38,MATCH($B1145,Mapping!$A$29:$A$38,0)))</f>
        <v/>
      </c>
      <c r="I1145" s="5">
        <f>INDEX(Variables!$C$5:$C$65,MATCH($A1145,Variables!$A$5:$A$65,0))</f>
        <v/>
      </c>
      <c r="J1145" s="5">
        <f>INDEX(Variables!$E$5:$E$65,MATCH($A1145,Variables!$A$5:$A$65,0))</f>
        <v/>
      </c>
      <c r="K1145" s="23">
        <f>LOWER(Settings!$C$4)&amp;".mit."&amp;$A1145&amp;IF($C1145="","","."&amp;$C1145&amp;"."&amp;$B1145)&amp;IF(INDEX(Variables!$D$5:$D$65,MATCH($A1145,Variables!$A$5:$A$65,0))="","","."&amp;INDEX(Variables!$D$5:$D$65,MATCH($A1145,Variables!$A$5:$A$65,0)))&amp;"."&amp;K$5</f>
        <v/>
      </c>
      <c r="L1145" s="38">
        <f>$D1145+L1136</f>
        <v/>
      </c>
      <c r="M1145" s="36">
        <f>$D1145+M1136</f>
        <v/>
      </c>
      <c r="N1145" s="36">
        <f>$D1145+N1136</f>
        <v/>
      </c>
      <c r="O1145" s="36">
        <f>$D1145+O1136</f>
        <v/>
      </c>
      <c r="P1145" s="36">
        <f>$D1145+P1136</f>
        <v/>
      </c>
      <c r="Q1145" s="36">
        <f>$D1145+Q1136</f>
        <v/>
      </c>
      <c r="R1145" s="36">
        <f>$D1145+R1136</f>
        <v/>
      </c>
      <c r="S1145" s="36">
        <f>$D1145+S1136</f>
        <v/>
      </c>
      <c r="T1145" s="36">
        <f>$D1145+T1136</f>
        <v/>
      </c>
      <c r="U1145" s="36">
        <f>$D1145+U1136</f>
        <v/>
      </c>
      <c r="V1145" s="36">
        <f>$D1145+V1136</f>
        <v/>
      </c>
      <c r="W1145" s="36">
        <f>$D1145+W1136</f>
        <v/>
      </c>
      <c r="X1145" s="36">
        <f>$D1145+X1136</f>
        <v/>
      </c>
      <c r="Y1145" s="39">
        <f>TAX($D1145,Y1136)</f>
        <v/>
      </c>
      <c r="Z1145" s="23">
        <f>LOWER(Settings!$C$4)&amp;".mit."&amp;$A1145&amp;IF($C1145="","","."&amp;$C1145&amp;"."&amp;$B1145)&amp;IF(INDEX(Variables!$D$5:$D$65,MATCH($A1145,Variables!$A$5:$A$65,0))="","","."&amp;INDEX(Variables!$D$5:$D$65,MATCH($A1145,Variables!$A$5:$A$65,0)))&amp;"."&amp;Z$5</f>
        <v/>
      </c>
      <c r="AA1145" s="38">
        <f>$D1145+AA1136</f>
        <v/>
      </c>
      <c r="AB1145" s="36">
        <f>$D1145+AB1136</f>
        <v/>
      </c>
      <c r="AC1145" s="36">
        <f>$D1145+AC1136</f>
        <v/>
      </c>
      <c r="AD1145" s="36">
        <f>$D1145+AD1136</f>
        <v/>
      </c>
      <c r="AE1145" s="36">
        <f>$D1145+AE1136</f>
        <v/>
      </c>
      <c r="AF1145" s="36">
        <f>$D1145+AF1136</f>
        <v/>
      </c>
      <c r="AG1145" s="36">
        <f>$D1145+AG1136</f>
        <v/>
      </c>
      <c r="AH1145" s="36">
        <f>$D1145+AH1136</f>
        <v/>
      </c>
      <c r="AI1145" s="36">
        <f>$D1145+AI1136</f>
        <v/>
      </c>
      <c r="AJ1145" s="36">
        <f>$D1145+AJ1136</f>
        <v/>
      </c>
      <c r="AK1145" s="36">
        <f>$D1145+AK1136</f>
        <v/>
      </c>
      <c r="AL1145" s="36">
        <f>$D1145+AL1136</f>
        <v/>
      </c>
      <c r="AM1145" s="36">
        <f>$D1145+AM1136</f>
        <v/>
      </c>
      <c r="AN1145" s="39">
        <f>TAX($D1145,AN1136)</f>
        <v/>
      </c>
    </row>
    <row r="1146" hidden="1" outlineLevel="2">
      <c r="A1146" s="5" t="inlineStr">
        <is>
          <t>tax</t>
        </is>
      </c>
      <c r="B1146" s="5" t="inlineStr">
        <is>
          <t>die</t>
        </is>
      </c>
      <c r="C1146" s="5" t="inlineStr">
        <is>
          <t>cst</t>
        </is>
      </c>
      <c r="D1146" s="36">
        <f>INDEX(Inputs!$T$5:$T$132,MATCH($B1146&amp;"|"&amp;$C1146,Inputs!$A$5:$A$132,0))</f>
        <v/>
      </c>
      <c r="E1146" s="37" t="n"/>
      <c r="F1146" s="37" t="n"/>
      <c r="G1146" s="37" t="n"/>
      <c r="H1146" s="5">
        <f>INDEX(Variables!$B$5:$B$65,MATCH($A1146,Variables!$A$5:$A$65,0))&amp;IF($C1146="",""," | "&amp;INDEX(Mapping!$B$5:$B$25,MATCH($C1146,Mapping!$A$5:$A$25,0))&amp;" | "&amp;INDEX(Mapping!$B$29:$B$38,MATCH($B1146,Mapping!$A$29:$A$38,0)))</f>
        <v/>
      </c>
      <c r="I1146" s="5">
        <f>INDEX(Variables!$C$5:$C$65,MATCH($A1146,Variables!$A$5:$A$65,0))</f>
        <v/>
      </c>
      <c r="J1146" s="5">
        <f>INDEX(Variables!$E$5:$E$65,MATCH($A1146,Variables!$A$5:$A$65,0))</f>
        <v/>
      </c>
      <c r="K1146" s="23">
        <f>LOWER(Settings!$C$4)&amp;".mit."&amp;$A1146&amp;IF($C1146="","","."&amp;$C1146&amp;"."&amp;$B1146)&amp;IF(INDEX(Variables!$D$5:$D$65,MATCH($A1146,Variables!$A$5:$A$65,0))="","","."&amp;INDEX(Variables!$D$5:$D$65,MATCH($A1146,Variables!$A$5:$A$65,0)))&amp;"."&amp;K$5</f>
        <v/>
      </c>
      <c r="L1146" s="38">
        <f>$D1146+L1137</f>
        <v/>
      </c>
      <c r="M1146" s="36">
        <f>$D1146+M1137</f>
        <v/>
      </c>
      <c r="N1146" s="36">
        <f>$D1146+N1137</f>
        <v/>
      </c>
      <c r="O1146" s="36">
        <f>$D1146+O1137</f>
        <v/>
      </c>
      <c r="P1146" s="36">
        <f>$D1146+P1137</f>
        <v/>
      </c>
      <c r="Q1146" s="36">
        <f>$D1146+Q1137</f>
        <v/>
      </c>
      <c r="R1146" s="36">
        <f>$D1146+R1137</f>
        <v/>
      </c>
      <c r="S1146" s="36">
        <f>$D1146+S1137</f>
        <v/>
      </c>
      <c r="T1146" s="36">
        <f>$D1146+T1137</f>
        <v/>
      </c>
      <c r="U1146" s="36">
        <f>$D1146+U1137</f>
        <v/>
      </c>
      <c r="V1146" s="36">
        <f>$D1146+V1137</f>
        <v/>
      </c>
      <c r="W1146" s="36">
        <f>$D1146+W1137</f>
        <v/>
      </c>
      <c r="X1146" s="36">
        <f>$D1146+X1137</f>
        <v/>
      </c>
      <c r="Y1146" s="39">
        <f>TAX($D1146,Y1137)</f>
        <v/>
      </c>
      <c r="Z1146" s="23">
        <f>LOWER(Settings!$C$4)&amp;".mit."&amp;$A1146&amp;IF($C1146="","","."&amp;$C1146&amp;"."&amp;$B1146)&amp;IF(INDEX(Variables!$D$5:$D$65,MATCH($A1146,Variables!$A$5:$A$65,0))="","","."&amp;INDEX(Variables!$D$5:$D$65,MATCH($A1146,Variables!$A$5:$A$65,0)))&amp;"."&amp;Z$5</f>
        <v/>
      </c>
      <c r="AA1146" s="38">
        <f>$D1146+AA1137</f>
        <v/>
      </c>
      <c r="AB1146" s="36">
        <f>$D1146+AB1137</f>
        <v/>
      </c>
      <c r="AC1146" s="36">
        <f>$D1146+AC1137</f>
        <v/>
      </c>
      <c r="AD1146" s="36">
        <f>$D1146+AD1137</f>
        <v/>
      </c>
      <c r="AE1146" s="36">
        <f>$D1146+AE1137</f>
        <v/>
      </c>
      <c r="AF1146" s="36">
        <f>$D1146+AF1137</f>
        <v/>
      </c>
      <c r="AG1146" s="36">
        <f>$D1146+AG1137</f>
        <v/>
      </c>
      <c r="AH1146" s="36">
        <f>$D1146+AH1137</f>
        <v/>
      </c>
      <c r="AI1146" s="36">
        <f>$D1146+AI1137</f>
        <v/>
      </c>
      <c r="AJ1146" s="36">
        <f>$D1146+AJ1137</f>
        <v/>
      </c>
      <c r="AK1146" s="36">
        <f>$D1146+AK1137</f>
        <v/>
      </c>
      <c r="AL1146" s="36">
        <f>$D1146+AL1137</f>
        <v/>
      </c>
      <c r="AM1146" s="36">
        <f>$D1146+AM1137</f>
        <v/>
      </c>
      <c r="AN1146" s="39">
        <f>TAX($D1146,AN1137)</f>
        <v/>
      </c>
    </row>
    <row r="1147" hidden="1" outlineLevel="2">
      <c r="A1147" s="5" t="inlineStr">
        <is>
          <t>tax</t>
        </is>
      </c>
      <c r="B1147" s="5" t="inlineStr">
        <is>
          <t>lpg</t>
        </is>
      </c>
      <c r="C1147" s="5" t="inlineStr">
        <is>
          <t>cst</t>
        </is>
      </c>
      <c r="D1147" s="36">
        <f>INDEX(Inputs!$T$5:$T$132,MATCH($B1147&amp;"|"&amp;$C1147,Inputs!$A$5:$A$132,0))</f>
        <v/>
      </c>
      <c r="E1147" s="37" t="n"/>
      <c r="F1147" s="37" t="n"/>
      <c r="G1147" s="37" t="n"/>
      <c r="H1147" s="5">
        <f>INDEX(Variables!$B$5:$B$65,MATCH($A1147,Variables!$A$5:$A$65,0))&amp;IF($C1147="",""," | "&amp;INDEX(Mapping!$B$5:$B$25,MATCH($C1147,Mapping!$A$5:$A$25,0))&amp;" | "&amp;INDEX(Mapping!$B$29:$B$38,MATCH($B1147,Mapping!$A$29:$A$38,0)))</f>
        <v/>
      </c>
      <c r="I1147" s="5">
        <f>INDEX(Variables!$C$5:$C$65,MATCH($A1147,Variables!$A$5:$A$65,0))</f>
        <v/>
      </c>
      <c r="J1147" s="5">
        <f>INDEX(Variables!$E$5:$E$65,MATCH($A1147,Variables!$A$5:$A$65,0))</f>
        <v/>
      </c>
      <c r="K1147" s="23">
        <f>LOWER(Settings!$C$4)&amp;".mit."&amp;$A1147&amp;IF($C1147="","","."&amp;$C1147&amp;"."&amp;$B1147)&amp;IF(INDEX(Variables!$D$5:$D$65,MATCH($A1147,Variables!$A$5:$A$65,0))="","","."&amp;INDEX(Variables!$D$5:$D$65,MATCH($A1147,Variables!$A$5:$A$65,0)))&amp;"."&amp;K$5</f>
        <v/>
      </c>
      <c r="L1147" s="38">
        <f>$D1147+L1138</f>
        <v/>
      </c>
      <c r="M1147" s="36">
        <f>$D1147+M1138</f>
        <v/>
      </c>
      <c r="N1147" s="36">
        <f>$D1147+N1138</f>
        <v/>
      </c>
      <c r="O1147" s="36">
        <f>$D1147+O1138</f>
        <v/>
      </c>
      <c r="P1147" s="36">
        <f>$D1147+P1138</f>
        <v/>
      </c>
      <c r="Q1147" s="36">
        <f>$D1147+Q1138</f>
        <v/>
      </c>
      <c r="R1147" s="36">
        <f>$D1147+R1138</f>
        <v/>
      </c>
      <c r="S1147" s="36">
        <f>$D1147+S1138</f>
        <v/>
      </c>
      <c r="T1147" s="36">
        <f>$D1147+T1138</f>
        <v/>
      </c>
      <c r="U1147" s="36">
        <f>$D1147+U1138</f>
        <v/>
      </c>
      <c r="V1147" s="36">
        <f>$D1147+V1138</f>
        <v/>
      </c>
      <c r="W1147" s="36">
        <f>$D1147+W1138</f>
        <v/>
      </c>
      <c r="X1147" s="36">
        <f>$D1147+X1138</f>
        <v/>
      </c>
      <c r="Y1147" s="39">
        <f>TAX($D1147,Y1138)</f>
        <v/>
      </c>
      <c r="Z1147" s="23">
        <f>LOWER(Settings!$C$4)&amp;".mit."&amp;$A1147&amp;IF($C1147="","","."&amp;$C1147&amp;"."&amp;$B1147)&amp;IF(INDEX(Variables!$D$5:$D$65,MATCH($A1147,Variables!$A$5:$A$65,0))="","","."&amp;INDEX(Variables!$D$5:$D$65,MATCH($A1147,Variables!$A$5:$A$65,0)))&amp;"."&amp;Z$5</f>
        <v/>
      </c>
      <c r="AA1147" s="38">
        <f>$D1147+AA1138</f>
        <v/>
      </c>
      <c r="AB1147" s="36">
        <f>$D1147+AB1138</f>
        <v/>
      </c>
      <c r="AC1147" s="36">
        <f>$D1147+AC1138</f>
        <v/>
      </c>
      <c r="AD1147" s="36">
        <f>$D1147+AD1138</f>
        <v/>
      </c>
      <c r="AE1147" s="36">
        <f>$D1147+AE1138</f>
        <v/>
      </c>
      <c r="AF1147" s="36">
        <f>$D1147+AF1138</f>
        <v/>
      </c>
      <c r="AG1147" s="36">
        <f>$D1147+AG1138</f>
        <v/>
      </c>
      <c r="AH1147" s="36">
        <f>$D1147+AH1138</f>
        <v/>
      </c>
      <c r="AI1147" s="36">
        <f>$D1147+AI1138</f>
        <v/>
      </c>
      <c r="AJ1147" s="36">
        <f>$D1147+AJ1138</f>
        <v/>
      </c>
      <c r="AK1147" s="36">
        <f>$D1147+AK1138</f>
        <v/>
      </c>
      <c r="AL1147" s="36">
        <f>$D1147+AL1138</f>
        <v/>
      </c>
      <c r="AM1147" s="36">
        <f>$D1147+AM1138</f>
        <v/>
      </c>
      <c r="AN1147" s="39">
        <f>TAX($D1147,AN1138)</f>
        <v/>
      </c>
    </row>
    <row r="1148" hidden="1" outlineLevel="2">
      <c r="A1148" s="5" t="inlineStr">
        <is>
          <t>tax</t>
        </is>
      </c>
      <c r="B1148" s="5" t="inlineStr">
        <is>
          <t>ker</t>
        </is>
      </c>
      <c r="C1148" s="5" t="inlineStr">
        <is>
          <t>cst</t>
        </is>
      </c>
      <c r="D1148" s="36">
        <f>INDEX(Inputs!$T$5:$T$132,MATCH($B1148&amp;"|"&amp;$C1148,Inputs!$A$5:$A$132,0))</f>
        <v/>
      </c>
      <c r="E1148" s="37" t="n"/>
      <c r="F1148" s="37" t="n"/>
      <c r="G1148" s="37" t="n"/>
      <c r="H1148" s="5">
        <f>INDEX(Variables!$B$5:$B$65,MATCH($A1148,Variables!$A$5:$A$65,0))&amp;IF($C1148="",""," | "&amp;INDEX(Mapping!$B$5:$B$25,MATCH($C1148,Mapping!$A$5:$A$25,0))&amp;" | "&amp;INDEX(Mapping!$B$29:$B$38,MATCH($B1148,Mapping!$A$29:$A$38,0)))</f>
        <v/>
      </c>
      <c r="I1148" s="5">
        <f>INDEX(Variables!$C$5:$C$65,MATCH($A1148,Variables!$A$5:$A$65,0))</f>
        <v/>
      </c>
      <c r="J1148" s="5">
        <f>INDEX(Variables!$E$5:$E$65,MATCH($A1148,Variables!$A$5:$A$65,0))</f>
        <v/>
      </c>
      <c r="K1148" s="23">
        <f>LOWER(Settings!$C$4)&amp;".mit."&amp;$A1148&amp;IF($C1148="","","."&amp;$C1148&amp;"."&amp;$B1148)&amp;IF(INDEX(Variables!$D$5:$D$65,MATCH($A1148,Variables!$A$5:$A$65,0))="","","."&amp;INDEX(Variables!$D$5:$D$65,MATCH($A1148,Variables!$A$5:$A$65,0)))&amp;"."&amp;K$5</f>
        <v/>
      </c>
      <c r="L1148" s="38">
        <f>$D1148+L1139</f>
        <v/>
      </c>
      <c r="M1148" s="36">
        <f>$D1148+M1139</f>
        <v/>
      </c>
      <c r="N1148" s="36">
        <f>$D1148+N1139</f>
        <v/>
      </c>
      <c r="O1148" s="36">
        <f>$D1148+O1139</f>
        <v/>
      </c>
      <c r="P1148" s="36">
        <f>$D1148+P1139</f>
        <v/>
      </c>
      <c r="Q1148" s="36">
        <f>$D1148+Q1139</f>
        <v/>
      </c>
      <c r="R1148" s="36">
        <f>$D1148+R1139</f>
        <v/>
      </c>
      <c r="S1148" s="36">
        <f>$D1148+S1139</f>
        <v/>
      </c>
      <c r="T1148" s="36">
        <f>$D1148+T1139</f>
        <v/>
      </c>
      <c r="U1148" s="36">
        <f>$D1148+U1139</f>
        <v/>
      </c>
      <c r="V1148" s="36">
        <f>$D1148+V1139</f>
        <v/>
      </c>
      <c r="W1148" s="36">
        <f>$D1148+W1139</f>
        <v/>
      </c>
      <c r="X1148" s="36">
        <f>$D1148+X1139</f>
        <v/>
      </c>
      <c r="Y1148" s="39">
        <f>TAX($D1148,Y1139)</f>
        <v/>
      </c>
      <c r="Z1148" s="23">
        <f>LOWER(Settings!$C$4)&amp;".mit."&amp;$A1148&amp;IF($C1148="","","."&amp;$C1148&amp;"."&amp;$B1148)&amp;IF(INDEX(Variables!$D$5:$D$65,MATCH($A1148,Variables!$A$5:$A$65,0))="","","."&amp;INDEX(Variables!$D$5:$D$65,MATCH($A1148,Variables!$A$5:$A$65,0)))&amp;"."&amp;Z$5</f>
        <v/>
      </c>
      <c r="AA1148" s="38">
        <f>$D1148+AA1139</f>
        <v/>
      </c>
      <c r="AB1148" s="36">
        <f>$D1148+AB1139</f>
        <v/>
      </c>
      <c r="AC1148" s="36">
        <f>$D1148+AC1139</f>
        <v/>
      </c>
      <c r="AD1148" s="36">
        <f>$D1148+AD1139</f>
        <v/>
      </c>
      <c r="AE1148" s="36">
        <f>$D1148+AE1139</f>
        <v/>
      </c>
      <c r="AF1148" s="36">
        <f>$D1148+AF1139</f>
        <v/>
      </c>
      <c r="AG1148" s="36">
        <f>$D1148+AG1139</f>
        <v/>
      </c>
      <c r="AH1148" s="36">
        <f>$D1148+AH1139</f>
        <v/>
      </c>
      <c r="AI1148" s="36">
        <f>$D1148+AI1139</f>
        <v/>
      </c>
      <c r="AJ1148" s="36">
        <f>$D1148+AJ1139</f>
        <v/>
      </c>
      <c r="AK1148" s="36">
        <f>$D1148+AK1139</f>
        <v/>
      </c>
      <c r="AL1148" s="36">
        <f>$D1148+AL1139</f>
        <v/>
      </c>
      <c r="AM1148" s="36">
        <f>$D1148+AM1139</f>
        <v/>
      </c>
      <c r="AN1148" s="39">
        <f>TAX($D1148,AN1139)</f>
        <v/>
      </c>
    </row>
    <row r="1149" hidden="1" outlineLevel="2">
      <c r="A1149" s="5" t="inlineStr">
        <is>
          <t>tax</t>
        </is>
      </c>
      <c r="B1149" s="5" t="inlineStr">
        <is>
          <t>oop</t>
        </is>
      </c>
      <c r="C1149" s="5" t="inlineStr">
        <is>
          <t>cst</t>
        </is>
      </c>
      <c r="D1149" s="36">
        <f>INDEX(Inputs!$T$5:$T$132,MATCH($B1149&amp;"|"&amp;$C1149,Inputs!$A$5:$A$132,0))</f>
        <v/>
      </c>
      <c r="E1149" s="37" t="n"/>
      <c r="F1149" s="37" t="n"/>
      <c r="G1149" s="37" t="n"/>
      <c r="H1149" s="5">
        <f>INDEX(Variables!$B$5:$B$65,MATCH($A1149,Variables!$A$5:$A$65,0))&amp;IF($C1149="",""," | "&amp;INDEX(Mapping!$B$5:$B$25,MATCH($C1149,Mapping!$A$5:$A$25,0))&amp;" | "&amp;INDEX(Mapping!$B$29:$B$38,MATCH($B1149,Mapping!$A$29:$A$38,0)))</f>
        <v/>
      </c>
      <c r="I1149" s="5">
        <f>INDEX(Variables!$C$5:$C$65,MATCH($A1149,Variables!$A$5:$A$65,0))</f>
        <v/>
      </c>
      <c r="J1149" s="5">
        <f>INDEX(Variables!$E$5:$E$65,MATCH($A1149,Variables!$A$5:$A$65,0))</f>
        <v/>
      </c>
      <c r="K1149" s="23">
        <f>LOWER(Settings!$C$4)&amp;".mit."&amp;$A1149&amp;IF($C1149="","","."&amp;$C1149&amp;"."&amp;$B1149)&amp;IF(INDEX(Variables!$D$5:$D$65,MATCH($A1149,Variables!$A$5:$A$65,0))="","","."&amp;INDEX(Variables!$D$5:$D$65,MATCH($A1149,Variables!$A$5:$A$65,0)))&amp;"."&amp;K$5</f>
        <v/>
      </c>
      <c r="L1149" s="38">
        <f>$D1149+L1140</f>
        <v/>
      </c>
      <c r="M1149" s="36">
        <f>$D1149+M1140</f>
        <v/>
      </c>
      <c r="N1149" s="36">
        <f>$D1149+N1140</f>
        <v/>
      </c>
      <c r="O1149" s="36">
        <f>$D1149+O1140</f>
        <v/>
      </c>
      <c r="P1149" s="36">
        <f>$D1149+P1140</f>
        <v/>
      </c>
      <c r="Q1149" s="36">
        <f>$D1149+Q1140</f>
        <v/>
      </c>
      <c r="R1149" s="36">
        <f>$D1149+R1140</f>
        <v/>
      </c>
      <c r="S1149" s="36">
        <f>$D1149+S1140</f>
        <v/>
      </c>
      <c r="T1149" s="36">
        <f>$D1149+T1140</f>
        <v/>
      </c>
      <c r="U1149" s="36">
        <f>$D1149+U1140</f>
        <v/>
      </c>
      <c r="V1149" s="36">
        <f>$D1149+V1140</f>
        <v/>
      </c>
      <c r="W1149" s="36">
        <f>$D1149+W1140</f>
        <v/>
      </c>
      <c r="X1149" s="36">
        <f>$D1149+X1140</f>
        <v/>
      </c>
      <c r="Y1149" s="39">
        <f>TAX($D1149,Y1140)</f>
        <v/>
      </c>
      <c r="Z1149" s="23">
        <f>LOWER(Settings!$C$4)&amp;".mit."&amp;$A1149&amp;IF($C1149="","","."&amp;$C1149&amp;"."&amp;$B1149)&amp;IF(INDEX(Variables!$D$5:$D$65,MATCH($A1149,Variables!$A$5:$A$65,0))="","","."&amp;INDEX(Variables!$D$5:$D$65,MATCH($A1149,Variables!$A$5:$A$65,0)))&amp;"."&amp;Z$5</f>
        <v/>
      </c>
      <c r="AA1149" s="38">
        <f>$D1149+AA1140</f>
        <v/>
      </c>
      <c r="AB1149" s="36">
        <f>$D1149+AB1140</f>
        <v/>
      </c>
      <c r="AC1149" s="36">
        <f>$D1149+AC1140</f>
        <v/>
      </c>
      <c r="AD1149" s="36">
        <f>$D1149+AD1140</f>
        <v/>
      </c>
      <c r="AE1149" s="36">
        <f>$D1149+AE1140</f>
        <v/>
      </c>
      <c r="AF1149" s="36">
        <f>$D1149+AF1140</f>
        <v/>
      </c>
      <c r="AG1149" s="36">
        <f>$D1149+AG1140</f>
        <v/>
      </c>
      <c r="AH1149" s="36">
        <f>$D1149+AH1140</f>
        <v/>
      </c>
      <c r="AI1149" s="36">
        <f>$D1149+AI1140</f>
        <v/>
      </c>
      <c r="AJ1149" s="36">
        <f>$D1149+AJ1140</f>
        <v/>
      </c>
      <c r="AK1149" s="36">
        <f>$D1149+AK1140</f>
        <v/>
      </c>
      <c r="AL1149" s="36">
        <f>$D1149+AL1140</f>
        <v/>
      </c>
      <c r="AM1149" s="36">
        <f>$D1149+AM1140</f>
        <v/>
      </c>
      <c r="AN1149" s="39">
        <f>TAX($D1149,AN1140)</f>
        <v/>
      </c>
    </row>
    <row r="1150" hidden="1" outlineLevel="2">
      <c r="A1150" s="5" t="inlineStr">
        <is>
          <t>tax</t>
        </is>
      </c>
      <c r="B1150" s="5" t="inlineStr">
        <is>
          <t>bio</t>
        </is>
      </c>
      <c r="C1150" s="5" t="inlineStr">
        <is>
          <t>cst</t>
        </is>
      </c>
      <c r="D1150" s="36">
        <f>INDEX(Inputs!$T$5:$T$132,MATCH($B1150&amp;"|"&amp;$C1150,Inputs!$A$5:$A$132,0))</f>
        <v/>
      </c>
      <c r="E1150" s="37" t="n"/>
      <c r="F1150" s="37" t="n"/>
      <c r="G1150" s="37" t="n"/>
      <c r="H1150" s="5">
        <f>INDEX(Variables!$B$5:$B$65,MATCH($A1150,Variables!$A$5:$A$65,0))&amp;IF($C1150="",""," | "&amp;INDEX(Mapping!$B$5:$B$25,MATCH($C1150,Mapping!$A$5:$A$25,0))&amp;" | "&amp;INDEX(Mapping!$B$29:$B$38,MATCH($B1150,Mapping!$A$29:$A$38,0)))</f>
        <v/>
      </c>
      <c r="I1150" s="5">
        <f>INDEX(Variables!$C$5:$C$65,MATCH($A1150,Variables!$A$5:$A$65,0))</f>
        <v/>
      </c>
      <c r="J1150" s="5">
        <f>INDEX(Variables!$E$5:$E$65,MATCH($A1150,Variables!$A$5:$A$65,0))</f>
        <v/>
      </c>
      <c r="K1150" s="23">
        <f>LOWER(Settings!$C$4)&amp;".mit."&amp;$A1150&amp;IF($C1150="","","."&amp;$C1150&amp;"."&amp;$B1150)&amp;IF(INDEX(Variables!$D$5:$D$65,MATCH($A1150,Variables!$A$5:$A$65,0))="","","."&amp;INDEX(Variables!$D$5:$D$65,MATCH($A1150,Variables!$A$5:$A$65,0)))&amp;"."&amp;K$5</f>
        <v/>
      </c>
      <c r="L1150" s="38">
        <f>$D1150+L1141</f>
        <v/>
      </c>
      <c r="M1150" s="36">
        <f>$D1150+M1141</f>
        <v/>
      </c>
      <c r="N1150" s="36">
        <f>$D1150+N1141</f>
        <v/>
      </c>
      <c r="O1150" s="36">
        <f>$D1150+O1141</f>
        <v/>
      </c>
      <c r="P1150" s="36">
        <f>$D1150+P1141</f>
        <v/>
      </c>
      <c r="Q1150" s="36">
        <f>$D1150+Q1141</f>
        <v/>
      </c>
      <c r="R1150" s="36">
        <f>$D1150+R1141</f>
        <v/>
      </c>
      <c r="S1150" s="36">
        <f>$D1150+S1141</f>
        <v/>
      </c>
      <c r="T1150" s="36">
        <f>$D1150+T1141</f>
        <v/>
      </c>
      <c r="U1150" s="36">
        <f>$D1150+U1141</f>
        <v/>
      </c>
      <c r="V1150" s="36">
        <f>$D1150+V1141</f>
        <v/>
      </c>
      <c r="W1150" s="36">
        <f>$D1150+W1141</f>
        <v/>
      </c>
      <c r="X1150" s="36">
        <f>$D1150+X1141</f>
        <v/>
      </c>
      <c r="Y1150" s="39">
        <f>TAX($D1150,Y1141)</f>
        <v/>
      </c>
      <c r="Z1150" s="23">
        <f>LOWER(Settings!$C$4)&amp;".mit."&amp;$A1150&amp;IF($C1150="","","."&amp;$C1150&amp;"."&amp;$B1150)&amp;IF(INDEX(Variables!$D$5:$D$65,MATCH($A1150,Variables!$A$5:$A$65,0))="","","."&amp;INDEX(Variables!$D$5:$D$65,MATCH($A1150,Variables!$A$5:$A$65,0)))&amp;"."&amp;Z$5</f>
        <v/>
      </c>
      <c r="AA1150" s="38">
        <f>$D1150+AA1141</f>
        <v/>
      </c>
      <c r="AB1150" s="36">
        <f>$D1150+AB1141</f>
        <v/>
      </c>
      <c r="AC1150" s="36">
        <f>$D1150+AC1141</f>
        <v/>
      </c>
      <c r="AD1150" s="36">
        <f>$D1150+AD1141</f>
        <v/>
      </c>
      <c r="AE1150" s="36">
        <f>$D1150+AE1141</f>
        <v/>
      </c>
      <c r="AF1150" s="36">
        <f>$D1150+AF1141</f>
        <v/>
      </c>
      <c r="AG1150" s="36">
        <f>$D1150+AG1141</f>
        <v/>
      </c>
      <c r="AH1150" s="36">
        <f>$D1150+AH1141</f>
        <v/>
      </c>
      <c r="AI1150" s="36">
        <f>$D1150+AI1141</f>
        <v/>
      </c>
      <c r="AJ1150" s="36">
        <f>$D1150+AJ1141</f>
        <v/>
      </c>
      <c r="AK1150" s="36">
        <f>$D1150+AK1141</f>
        <v/>
      </c>
      <c r="AL1150" s="36">
        <f>$D1150+AL1141</f>
        <v/>
      </c>
      <c r="AM1150" s="36">
        <f>$D1150+AM1141</f>
        <v/>
      </c>
      <c r="AN1150" s="39">
        <f>TAX($D1150,AN1141)</f>
        <v/>
      </c>
    </row>
    <row r="1151" hidden="1" outlineLevel="2"/>
    <row r="1152" hidden="1" outlineLevel="2">
      <c r="A1152" s="5" t="inlineStr">
        <is>
          <t>atp</t>
        </is>
      </c>
      <c r="B1152" s="5" t="inlineStr">
        <is>
          <t>coa</t>
        </is>
      </c>
      <c r="C1152" s="5" t="inlineStr">
        <is>
          <t>cst</t>
        </is>
      </c>
      <c r="D1152" s="37" t="n"/>
      <c r="E1152" s="37" t="n"/>
      <c r="F1152" s="37" t="n"/>
      <c r="G1152" s="37" t="n"/>
      <c r="H1152" s="5">
        <f>INDEX(Variables!$B$5:$B$65,MATCH($A1152,Variables!$A$5:$A$65,0))&amp;IF($C1152="",""," | "&amp;INDEX(Mapping!$B$5:$B$25,MATCH($C1152,Mapping!$A$5:$A$25,0))&amp;" | "&amp;INDEX(Mapping!$B$29:$B$38,MATCH($B1152,Mapping!$A$29:$A$38,0)))</f>
        <v/>
      </c>
      <c r="I1152" s="5">
        <f>INDEX(Variables!$C$5:$C$65,MATCH($A1152,Variables!$A$5:$A$65,0))</f>
        <v/>
      </c>
      <c r="J1152" s="5">
        <f>INDEX(Variables!$E$5:$E$65,MATCH($A1152,Variables!$A$5:$A$65,0))</f>
        <v/>
      </c>
      <c r="K1152" s="23">
        <f>LOWER(Settings!$C$4)&amp;".mit."&amp;$A1152&amp;IF($C1152="","","."&amp;$C1152&amp;"."&amp;$B1152)&amp;IF(INDEX(Variables!$D$5:$D$65,MATCH($A1152,Variables!$A$5:$A$65,0))="","","."&amp;INDEX(Variables!$D$5:$D$65,MATCH($A1152,Variables!$A$5:$A$65,0)))&amp;"."&amp;K$5</f>
        <v/>
      </c>
      <c r="L1152" s="38">
        <f>L1107+L1143</f>
        <v/>
      </c>
      <c r="M1152" s="36">
        <f>M1107+M1143</f>
        <v/>
      </c>
      <c r="N1152" s="36">
        <f>N1107+N1143</f>
        <v/>
      </c>
      <c r="O1152" s="36">
        <f>O1107+O1143</f>
        <v/>
      </c>
      <c r="P1152" s="36">
        <f>P1107+P1143</f>
        <v/>
      </c>
      <c r="Q1152" s="36">
        <f>Q1107+Q1143</f>
        <v/>
      </c>
      <c r="R1152" s="36">
        <f>R1107+R1143</f>
        <v/>
      </c>
      <c r="S1152" s="36">
        <f>S1107+S1143</f>
        <v/>
      </c>
      <c r="T1152" s="36">
        <f>T1107+T1143</f>
        <v/>
      </c>
      <c r="U1152" s="36">
        <f>U1107+U1143</f>
        <v/>
      </c>
      <c r="V1152" s="36">
        <f>V1107+V1143</f>
        <v/>
      </c>
      <c r="W1152" s="36">
        <f>W1107+W1143</f>
        <v/>
      </c>
      <c r="X1152" s="36">
        <f>X1107+X1143</f>
        <v/>
      </c>
      <c r="Y1152" s="39">
        <f>POSTTAX(Y1107,Y1143)</f>
        <v/>
      </c>
      <c r="Z1152" s="23">
        <f>LOWER(Settings!$C$4)&amp;".mit."&amp;$A1152&amp;IF($C1152="","","."&amp;$C1152&amp;"."&amp;$B1152)&amp;IF(INDEX(Variables!$D$5:$D$65,MATCH($A1152,Variables!$A$5:$A$65,0))="","","."&amp;INDEX(Variables!$D$5:$D$65,MATCH($A1152,Variables!$A$5:$A$65,0)))&amp;"."&amp;Z$5</f>
        <v/>
      </c>
      <c r="AA1152" s="38">
        <f>AA1107+AA1143</f>
        <v/>
      </c>
      <c r="AB1152" s="36">
        <f>AB1107+AB1143</f>
        <v/>
      </c>
      <c r="AC1152" s="36">
        <f>AC1107+AC1143</f>
        <v/>
      </c>
      <c r="AD1152" s="36">
        <f>AD1107+AD1143</f>
        <v/>
      </c>
      <c r="AE1152" s="36">
        <f>AE1107+AE1143</f>
        <v/>
      </c>
      <c r="AF1152" s="36">
        <f>AF1107+AF1143</f>
        <v/>
      </c>
      <c r="AG1152" s="36">
        <f>AG1107+AG1143</f>
        <v/>
      </c>
      <c r="AH1152" s="36">
        <f>AH1107+AH1143</f>
        <v/>
      </c>
      <c r="AI1152" s="36">
        <f>AI1107+AI1143</f>
        <v/>
      </c>
      <c r="AJ1152" s="36">
        <f>AJ1107+AJ1143</f>
        <v/>
      </c>
      <c r="AK1152" s="36">
        <f>AK1107+AK1143</f>
        <v/>
      </c>
      <c r="AL1152" s="36">
        <f>AL1107+AL1143</f>
        <v/>
      </c>
      <c r="AM1152" s="36">
        <f>AM1107+AM1143</f>
        <v/>
      </c>
      <c r="AN1152" s="39">
        <f>POSTTAX(AN1107,AN1143)</f>
        <v/>
      </c>
    </row>
    <row r="1153" hidden="1" outlineLevel="2">
      <c r="A1153" s="5" t="inlineStr">
        <is>
          <t>atp</t>
        </is>
      </c>
      <c r="B1153" s="5" t="inlineStr">
        <is>
          <t>nga</t>
        </is>
      </c>
      <c r="C1153" s="5" t="inlineStr">
        <is>
          <t>cst</t>
        </is>
      </c>
      <c r="D1153" s="37" t="n"/>
      <c r="E1153" s="37" t="n"/>
      <c r="F1153" s="37" t="n"/>
      <c r="G1153" s="37" t="n"/>
      <c r="H1153" s="5">
        <f>INDEX(Variables!$B$5:$B$65,MATCH($A1153,Variables!$A$5:$A$65,0))&amp;IF($C1153="",""," | "&amp;INDEX(Mapping!$B$5:$B$25,MATCH($C1153,Mapping!$A$5:$A$25,0))&amp;" | "&amp;INDEX(Mapping!$B$29:$B$38,MATCH($B1153,Mapping!$A$29:$A$38,0)))</f>
        <v/>
      </c>
      <c r="I1153" s="5">
        <f>INDEX(Variables!$C$5:$C$65,MATCH($A1153,Variables!$A$5:$A$65,0))</f>
        <v/>
      </c>
      <c r="J1153" s="5">
        <f>INDEX(Variables!$E$5:$E$65,MATCH($A1153,Variables!$A$5:$A$65,0))</f>
        <v/>
      </c>
      <c r="K1153" s="23">
        <f>LOWER(Settings!$C$4)&amp;".mit."&amp;$A1153&amp;IF($C1153="","","."&amp;$C1153&amp;"."&amp;$B1153)&amp;IF(INDEX(Variables!$D$5:$D$65,MATCH($A1153,Variables!$A$5:$A$65,0))="","","."&amp;INDEX(Variables!$D$5:$D$65,MATCH($A1153,Variables!$A$5:$A$65,0)))&amp;"."&amp;K$5</f>
        <v/>
      </c>
      <c r="L1153" s="38">
        <f>L1108+L1144</f>
        <v/>
      </c>
      <c r="M1153" s="36">
        <f>M1108+M1144</f>
        <v/>
      </c>
      <c r="N1153" s="36">
        <f>N1108+N1144</f>
        <v/>
      </c>
      <c r="O1153" s="36">
        <f>O1108+O1144</f>
        <v/>
      </c>
      <c r="P1153" s="36">
        <f>P1108+P1144</f>
        <v/>
      </c>
      <c r="Q1153" s="36">
        <f>Q1108+Q1144</f>
        <v/>
      </c>
      <c r="R1153" s="36">
        <f>R1108+R1144</f>
        <v/>
      </c>
      <c r="S1153" s="36">
        <f>S1108+S1144</f>
        <v/>
      </c>
      <c r="T1153" s="36">
        <f>T1108+T1144</f>
        <v/>
      </c>
      <c r="U1153" s="36">
        <f>U1108+U1144</f>
        <v/>
      </c>
      <c r="V1153" s="36">
        <f>V1108+V1144</f>
        <v/>
      </c>
      <c r="W1153" s="36">
        <f>W1108+W1144</f>
        <v/>
      </c>
      <c r="X1153" s="36">
        <f>X1108+X1144</f>
        <v/>
      </c>
      <c r="Y1153" s="39">
        <f>POSTTAX(Y1108,Y1144)</f>
        <v/>
      </c>
      <c r="Z1153" s="23">
        <f>LOWER(Settings!$C$4)&amp;".mit."&amp;$A1153&amp;IF($C1153="","","."&amp;$C1153&amp;"."&amp;$B1153)&amp;IF(INDEX(Variables!$D$5:$D$65,MATCH($A1153,Variables!$A$5:$A$65,0))="","","."&amp;INDEX(Variables!$D$5:$D$65,MATCH($A1153,Variables!$A$5:$A$65,0)))&amp;"."&amp;Z$5</f>
        <v/>
      </c>
      <c r="AA1153" s="38">
        <f>AA1108+AA1144</f>
        <v/>
      </c>
      <c r="AB1153" s="36">
        <f>AB1108+AB1144</f>
        <v/>
      </c>
      <c r="AC1153" s="36">
        <f>AC1108+AC1144</f>
        <v/>
      </c>
      <c r="AD1153" s="36">
        <f>AD1108+AD1144</f>
        <v/>
      </c>
      <c r="AE1153" s="36">
        <f>AE1108+AE1144</f>
        <v/>
      </c>
      <c r="AF1153" s="36">
        <f>AF1108+AF1144</f>
        <v/>
      </c>
      <c r="AG1153" s="36">
        <f>AG1108+AG1144</f>
        <v/>
      </c>
      <c r="AH1153" s="36">
        <f>AH1108+AH1144</f>
        <v/>
      </c>
      <c r="AI1153" s="36">
        <f>AI1108+AI1144</f>
        <v/>
      </c>
      <c r="AJ1153" s="36">
        <f>AJ1108+AJ1144</f>
        <v/>
      </c>
      <c r="AK1153" s="36">
        <f>AK1108+AK1144</f>
        <v/>
      </c>
      <c r="AL1153" s="36">
        <f>AL1108+AL1144</f>
        <v/>
      </c>
      <c r="AM1153" s="36">
        <f>AM1108+AM1144</f>
        <v/>
      </c>
      <c r="AN1153" s="39">
        <f>POSTTAX(AN1108,AN1144)</f>
        <v/>
      </c>
    </row>
    <row r="1154" hidden="1" outlineLevel="2">
      <c r="A1154" s="5" t="inlineStr">
        <is>
          <t>atp</t>
        </is>
      </c>
      <c r="B1154" s="5" t="inlineStr">
        <is>
          <t>gso</t>
        </is>
      </c>
      <c r="C1154" s="5" t="inlineStr">
        <is>
          <t>cst</t>
        </is>
      </c>
      <c r="D1154" s="37" t="n"/>
      <c r="E1154" s="37" t="n"/>
      <c r="F1154" s="37" t="n"/>
      <c r="G1154" s="37" t="n"/>
      <c r="H1154" s="5">
        <f>INDEX(Variables!$B$5:$B$65,MATCH($A1154,Variables!$A$5:$A$65,0))&amp;IF($C1154="",""," | "&amp;INDEX(Mapping!$B$5:$B$25,MATCH($C1154,Mapping!$A$5:$A$25,0))&amp;" | "&amp;INDEX(Mapping!$B$29:$B$38,MATCH($B1154,Mapping!$A$29:$A$38,0)))</f>
        <v/>
      </c>
      <c r="I1154" s="5">
        <f>INDEX(Variables!$C$5:$C$65,MATCH($A1154,Variables!$A$5:$A$65,0))</f>
        <v/>
      </c>
      <c r="J1154" s="5">
        <f>INDEX(Variables!$E$5:$E$65,MATCH($A1154,Variables!$A$5:$A$65,0))</f>
        <v/>
      </c>
      <c r="K1154" s="23">
        <f>LOWER(Settings!$C$4)&amp;".mit."&amp;$A1154&amp;IF($C1154="","","."&amp;$C1154&amp;"."&amp;$B1154)&amp;IF(INDEX(Variables!$D$5:$D$65,MATCH($A1154,Variables!$A$5:$A$65,0))="","","."&amp;INDEX(Variables!$D$5:$D$65,MATCH($A1154,Variables!$A$5:$A$65,0)))&amp;"."&amp;K$5</f>
        <v/>
      </c>
      <c r="L1154" s="38">
        <f>L1109+L1145</f>
        <v/>
      </c>
      <c r="M1154" s="36">
        <f>M1109+M1145</f>
        <v/>
      </c>
      <c r="N1154" s="36">
        <f>N1109+N1145</f>
        <v/>
      </c>
      <c r="O1154" s="36">
        <f>O1109+O1145</f>
        <v/>
      </c>
      <c r="P1154" s="36">
        <f>P1109+P1145</f>
        <v/>
      </c>
      <c r="Q1154" s="36">
        <f>Q1109+Q1145</f>
        <v/>
      </c>
      <c r="R1154" s="36">
        <f>R1109+R1145</f>
        <v/>
      </c>
      <c r="S1154" s="36">
        <f>S1109+S1145</f>
        <v/>
      </c>
      <c r="T1154" s="36">
        <f>T1109+T1145</f>
        <v/>
      </c>
      <c r="U1154" s="36">
        <f>U1109+U1145</f>
        <v/>
      </c>
      <c r="V1154" s="36">
        <f>V1109+V1145</f>
        <v/>
      </c>
      <c r="W1154" s="36">
        <f>W1109+W1145</f>
        <v/>
      </c>
      <c r="X1154" s="36">
        <f>X1109+X1145</f>
        <v/>
      </c>
      <c r="Y1154" s="39">
        <f>POSTTAX(Y1109,Y1145)</f>
        <v/>
      </c>
      <c r="Z1154" s="23">
        <f>LOWER(Settings!$C$4)&amp;".mit."&amp;$A1154&amp;IF($C1154="","","."&amp;$C1154&amp;"."&amp;$B1154)&amp;IF(INDEX(Variables!$D$5:$D$65,MATCH($A1154,Variables!$A$5:$A$65,0))="","","."&amp;INDEX(Variables!$D$5:$D$65,MATCH($A1154,Variables!$A$5:$A$65,0)))&amp;"."&amp;Z$5</f>
        <v/>
      </c>
      <c r="AA1154" s="38">
        <f>AA1109+AA1145</f>
        <v/>
      </c>
      <c r="AB1154" s="36">
        <f>AB1109+AB1145</f>
        <v/>
      </c>
      <c r="AC1154" s="36">
        <f>AC1109+AC1145</f>
        <v/>
      </c>
      <c r="AD1154" s="36">
        <f>AD1109+AD1145</f>
        <v/>
      </c>
      <c r="AE1154" s="36">
        <f>AE1109+AE1145</f>
        <v/>
      </c>
      <c r="AF1154" s="36">
        <f>AF1109+AF1145</f>
        <v/>
      </c>
      <c r="AG1154" s="36">
        <f>AG1109+AG1145</f>
        <v/>
      </c>
      <c r="AH1154" s="36">
        <f>AH1109+AH1145</f>
        <v/>
      </c>
      <c r="AI1154" s="36">
        <f>AI1109+AI1145</f>
        <v/>
      </c>
      <c r="AJ1154" s="36">
        <f>AJ1109+AJ1145</f>
        <v/>
      </c>
      <c r="AK1154" s="36">
        <f>AK1109+AK1145</f>
        <v/>
      </c>
      <c r="AL1154" s="36">
        <f>AL1109+AL1145</f>
        <v/>
      </c>
      <c r="AM1154" s="36">
        <f>AM1109+AM1145</f>
        <v/>
      </c>
      <c r="AN1154" s="39">
        <f>POSTTAX(AN1109,AN1145)</f>
        <v/>
      </c>
    </row>
    <row r="1155" hidden="1" outlineLevel="2">
      <c r="A1155" s="5" t="inlineStr">
        <is>
          <t>atp</t>
        </is>
      </c>
      <c r="B1155" s="5" t="inlineStr">
        <is>
          <t>die</t>
        </is>
      </c>
      <c r="C1155" s="5" t="inlineStr">
        <is>
          <t>cst</t>
        </is>
      </c>
      <c r="D1155" s="37" t="n"/>
      <c r="E1155" s="37" t="n"/>
      <c r="F1155" s="37" t="n"/>
      <c r="G1155" s="37" t="n"/>
      <c r="H1155" s="5">
        <f>INDEX(Variables!$B$5:$B$65,MATCH($A1155,Variables!$A$5:$A$65,0))&amp;IF($C1155="",""," | "&amp;INDEX(Mapping!$B$5:$B$25,MATCH($C1155,Mapping!$A$5:$A$25,0))&amp;" | "&amp;INDEX(Mapping!$B$29:$B$38,MATCH($B1155,Mapping!$A$29:$A$38,0)))</f>
        <v/>
      </c>
      <c r="I1155" s="5">
        <f>INDEX(Variables!$C$5:$C$65,MATCH($A1155,Variables!$A$5:$A$65,0))</f>
        <v/>
      </c>
      <c r="J1155" s="5">
        <f>INDEX(Variables!$E$5:$E$65,MATCH($A1155,Variables!$A$5:$A$65,0))</f>
        <v/>
      </c>
      <c r="K1155" s="23">
        <f>LOWER(Settings!$C$4)&amp;".mit."&amp;$A1155&amp;IF($C1155="","","."&amp;$C1155&amp;"."&amp;$B1155)&amp;IF(INDEX(Variables!$D$5:$D$65,MATCH($A1155,Variables!$A$5:$A$65,0))="","","."&amp;INDEX(Variables!$D$5:$D$65,MATCH($A1155,Variables!$A$5:$A$65,0)))&amp;"."&amp;K$5</f>
        <v/>
      </c>
      <c r="L1155" s="38">
        <f>L1110+L1146</f>
        <v/>
      </c>
      <c r="M1155" s="36">
        <f>M1110+M1146</f>
        <v/>
      </c>
      <c r="N1155" s="36">
        <f>N1110+N1146</f>
        <v/>
      </c>
      <c r="O1155" s="36">
        <f>O1110+O1146</f>
        <v/>
      </c>
      <c r="P1155" s="36">
        <f>P1110+P1146</f>
        <v/>
      </c>
      <c r="Q1155" s="36">
        <f>Q1110+Q1146</f>
        <v/>
      </c>
      <c r="R1155" s="36">
        <f>R1110+R1146</f>
        <v/>
      </c>
      <c r="S1155" s="36">
        <f>S1110+S1146</f>
        <v/>
      </c>
      <c r="T1155" s="36">
        <f>T1110+T1146</f>
        <v/>
      </c>
      <c r="U1155" s="36">
        <f>U1110+U1146</f>
        <v/>
      </c>
      <c r="V1155" s="36">
        <f>V1110+V1146</f>
        <v/>
      </c>
      <c r="W1155" s="36">
        <f>W1110+W1146</f>
        <v/>
      </c>
      <c r="X1155" s="36">
        <f>X1110+X1146</f>
        <v/>
      </c>
      <c r="Y1155" s="39">
        <f>POSTTAX(Y1110,Y1146)</f>
        <v/>
      </c>
      <c r="Z1155" s="23">
        <f>LOWER(Settings!$C$4)&amp;".mit."&amp;$A1155&amp;IF($C1155="","","."&amp;$C1155&amp;"."&amp;$B1155)&amp;IF(INDEX(Variables!$D$5:$D$65,MATCH($A1155,Variables!$A$5:$A$65,0))="","","."&amp;INDEX(Variables!$D$5:$D$65,MATCH($A1155,Variables!$A$5:$A$65,0)))&amp;"."&amp;Z$5</f>
        <v/>
      </c>
      <c r="AA1155" s="38">
        <f>AA1110+AA1146</f>
        <v/>
      </c>
      <c r="AB1155" s="36">
        <f>AB1110+AB1146</f>
        <v/>
      </c>
      <c r="AC1155" s="36">
        <f>AC1110+AC1146</f>
        <v/>
      </c>
      <c r="AD1155" s="36">
        <f>AD1110+AD1146</f>
        <v/>
      </c>
      <c r="AE1155" s="36">
        <f>AE1110+AE1146</f>
        <v/>
      </c>
      <c r="AF1155" s="36">
        <f>AF1110+AF1146</f>
        <v/>
      </c>
      <c r="AG1155" s="36">
        <f>AG1110+AG1146</f>
        <v/>
      </c>
      <c r="AH1155" s="36">
        <f>AH1110+AH1146</f>
        <v/>
      </c>
      <c r="AI1155" s="36">
        <f>AI1110+AI1146</f>
        <v/>
      </c>
      <c r="AJ1155" s="36">
        <f>AJ1110+AJ1146</f>
        <v/>
      </c>
      <c r="AK1155" s="36">
        <f>AK1110+AK1146</f>
        <v/>
      </c>
      <c r="AL1155" s="36">
        <f>AL1110+AL1146</f>
        <v/>
      </c>
      <c r="AM1155" s="36">
        <f>AM1110+AM1146</f>
        <v/>
      </c>
      <c r="AN1155" s="39">
        <f>POSTTAX(AN1110,AN1146)</f>
        <v/>
      </c>
    </row>
    <row r="1156" hidden="1" outlineLevel="2">
      <c r="A1156" s="5" t="inlineStr">
        <is>
          <t>atp</t>
        </is>
      </c>
      <c r="B1156" s="5" t="inlineStr">
        <is>
          <t>lpg</t>
        </is>
      </c>
      <c r="C1156" s="5" t="inlineStr">
        <is>
          <t>cst</t>
        </is>
      </c>
      <c r="D1156" s="37" t="n"/>
      <c r="E1156" s="37" t="n"/>
      <c r="F1156" s="37" t="n"/>
      <c r="G1156" s="37" t="n"/>
      <c r="H1156" s="5">
        <f>INDEX(Variables!$B$5:$B$65,MATCH($A1156,Variables!$A$5:$A$65,0))&amp;IF($C1156="",""," | "&amp;INDEX(Mapping!$B$5:$B$25,MATCH($C1156,Mapping!$A$5:$A$25,0))&amp;" | "&amp;INDEX(Mapping!$B$29:$B$38,MATCH($B1156,Mapping!$A$29:$A$38,0)))</f>
        <v/>
      </c>
      <c r="I1156" s="5">
        <f>INDEX(Variables!$C$5:$C$65,MATCH($A1156,Variables!$A$5:$A$65,0))</f>
        <v/>
      </c>
      <c r="J1156" s="5">
        <f>INDEX(Variables!$E$5:$E$65,MATCH($A1156,Variables!$A$5:$A$65,0))</f>
        <v/>
      </c>
      <c r="K1156" s="23">
        <f>LOWER(Settings!$C$4)&amp;".mit."&amp;$A1156&amp;IF($C1156="","","."&amp;$C1156&amp;"."&amp;$B1156)&amp;IF(INDEX(Variables!$D$5:$D$65,MATCH($A1156,Variables!$A$5:$A$65,0))="","","."&amp;INDEX(Variables!$D$5:$D$65,MATCH($A1156,Variables!$A$5:$A$65,0)))&amp;"."&amp;K$5</f>
        <v/>
      </c>
      <c r="L1156" s="38">
        <f>L1111+L1147</f>
        <v/>
      </c>
      <c r="M1156" s="36">
        <f>M1111+M1147</f>
        <v/>
      </c>
      <c r="N1156" s="36">
        <f>N1111+N1147</f>
        <v/>
      </c>
      <c r="O1156" s="36">
        <f>O1111+O1147</f>
        <v/>
      </c>
      <c r="P1156" s="36">
        <f>P1111+P1147</f>
        <v/>
      </c>
      <c r="Q1156" s="36">
        <f>Q1111+Q1147</f>
        <v/>
      </c>
      <c r="R1156" s="36">
        <f>R1111+R1147</f>
        <v/>
      </c>
      <c r="S1156" s="36">
        <f>S1111+S1147</f>
        <v/>
      </c>
      <c r="T1156" s="36">
        <f>T1111+T1147</f>
        <v/>
      </c>
      <c r="U1156" s="36">
        <f>U1111+U1147</f>
        <v/>
      </c>
      <c r="V1156" s="36">
        <f>V1111+V1147</f>
        <v/>
      </c>
      <c r="W1156" s="36">
        <f>W1111+W1147</f>
        <v/>
      </c>
      <c r="X1156" s="36">
        <f>X1111+X1147</f>
        <v/>
      </c>
      <c r="Y1156" s="39">
        <f>POSTTAX(Y1111,Y1147)</f>
        <v/>
      </c>
      <c r="Z1156" s="23">
        <f>LOWER(Settings!$C$4)&amp;".mit."&amp;$A1156&amp;IF($C1156="","","."&amp;$C1156&amp;"."&amp;$B1156)&amp;IF(INDEX(Variables!$D$5:$D$65,MATCH($A1156,Variables!$A$5:$A$65,0))="","","."&amp;INDEX(Variables!$D$5:$D$65,MATCH($A1156,Variables!$A$5:$A$65,0)))&amp;"."&amp;Z$5</f>
        <v/>
      </c>
      <c r="AA1156" s="38">
        <f>AA1111+AA1147</f>
        <v/>
      </c>
      <c r="AB1156" s="36">
        <f>AB1111+AB1147</f>
        <v/>
      </c>
      <c r="AC1156" s="36">
        <f>AC1111+AC1147</f>
        <v/>
      </c>
      <c r="AD1156" s="36">
        <f>AD1111+AD1147</f>
        <v/>
      </c>
      <c r="AE1156" s="36">
        <f>AE1111+AE1147</f>
        <v/>
      </c>
      <c r="AF1156" s="36">
        <f>AF1111+AF1147</f>
        <v/>
      </c>
      <c r="AG1156" s="36">
        <f>AG1111+AG1147</f>
        <v/>
      </c>
      <c r="AH1156" s="36">
        <f>AH1111+AH1147</f>
        <v/>
      </c>
      <c r="AI1156" s="36">
        <f>AI1111+AI1147</f>
        <v/>
      </c>
      <c r="AJ1156" s="36">
        <f>AJ1111+AJ1147</f>
        <v/>
      </c>
      <c r="AK1156" s="36">
        <f>AK1111+AK1147</f>
        <v/>
      </c>
      <c r="AL1156" s="36">
        <f>AL1111+AL1147</f>
        <v/>
      </c>
      <c r="AM1156" s="36">
        <f>AM1111+AM1147</f>
        <v/>
      </c>
      <c r="AN1156" s="39">
        <f>POSTTAX(AN1111,AN1147)</f>
        <v/>
      </c>
    </row>
    <row r="1157" hidden="1" outlineLevel="2">
      <c r="A1157" s="5" t="inlineStr">
        <is>
          <t>atp</t>
        </is>
      </c>
      <c r="B1157" s="5" t="inlineStr">
        <is>
          <t>ker</t>
        </is>
      </c>
      <c r="C1157" s="5" t="inlineStr">
        <is>
          <t>cst</t>
        </is>
      </c>
      <c r="D1157" s="37" t="n"/>
      <c r="E1157" s="37" t="n"/>
      <c r="F1157" s="37" t="n"/>
      <c r="G1157" s="37" t="n"/>
      <c r="H1157" s="5">
        <f>INDEX(Variables!$B$5:$B$65,MATCH($A1157,Variables!$A$5:$A$65,0))&amp;IF($C1157="",""," | "&amp;INDEX(Mapping!$B$5:$B$25,MATCH($C1157,Mapping!$A$5:$A$25,0))&amp;" | "&amp;INDEX(Mapping!$B$29:$B$38,MATCH($B1157,Mapping!$A$29:$A$38,0)))</f>
        <v/>
      </c>
      <c r="I1157" s="5">
        <f>INDEX(Variables!$C$5:$C$65,MATCH($A1157,Variables!$A$5:$A$65,0))</f>
        <v/>
      </c>
      <c r="J1157" s="5">
        <f>INDEX(Variables!$E$5:$E$65,MATCH($A1157,Variables!$A$5:$A$65,0))</f>
        <v/>
      </c>
      <c r="K1157" s="23">
        <f>LOWER(Settings!$C$4)&amp;".mit."&amp;$A1157&amp;IF($C1157="","","."&amp;$C1157&amp;"."&amp;$B1157)&amp;IF(INDEX(Variables!$D$5:$D$65,MATCH($A1157,Variables!$A$5:$A$65,0))="","","."&amp;INDEX(Variables!$D$5:$D$65,MATCH($A1157,Variables!$A$5:$A$65,0)))&amp;"."&amp;K$5</f>
        <v/>
      </c>
      <c r="L1157" s="38">
        <f>L1112+L1148</f>
        <v/>
      </c>
      <c r="M1157" s="36">
        <f>M1112+M1148</f>
        <v/>
      </c>
      <c r="N1157" s="36">
        <f>N1112+N1148</f>
        <v/>
      </c>
      <c r="O1157" s="36">
        <f>O1112+O1148</f>
        <v/>
      </c>
      <c r="P1157" s="36">
        <f>P1112+P1148</f>
        <v/>
      </c>
      <c r="Q1157" s="36">
        <f>Q1112+Q1148</f>
        <v/>
      </c>
      <c r="R1157" s="36">
        <f>R1112+R1148</f>
        <v/>
      </c>
      <c r="S1157" s="36">
        <f>S1112+S1148</f>
        <v/>
      </c>
      <c r="T1157" s="36">
        <f>T1112+T1148</f>
        <v/>
      </c>
      <c r="U1157" s="36">
        <f>U1112+U1148</f>
        <v/>
      </c>
      <c r="V1157" s="36">
        <f>V1112+V1148</f>
        <v/>
      </c>
      <c r="W1157" s="36">
        <f>W1112+W1148</f>
        <v/>
      </c>
      <c r="X1157" s="36">
        <f>X1112+X1148</f>
        <v/>
      </c>
      <c r="Y1157" s="39">
        <f>POSTTAX(Y1112,Y1148)</f>
        <v/>
      </c>
      <c r="Z1157" s="23">
        <f>LOWER(Settings!$C$4)&amp;".mit."&amp;$A1157&amp;IF($C1157="","","."&amp;$C1157&amp;"."&amp;$B1157)&amp;IF(INDEX(Variables!$D$5:$D$65,MATCH($A1157,Variables!$A$5:$A$65,0))="","","."&amp;INDEX(Variables!$D$5:$D$65,MATCH($A1157,Variables!$A$5:$A$65,0)))&amp;"."&amp;Z$5</f>
        <v/>
      </c>
      <c r="AA1157" s="38">
        <f>AA1112+AA1148</f>
        <v/>
      </c>
      <c r="AB1157" s="36">
        <f>AB1112+AB1148</f>
        <v/>
      </c>
      <c r="AC1157" s="36">
        <f>AC1112+AC1148</f>
        <v/>
      </c>
      <c r="AD1157" s="36">
        <f>AD1112+AD1148</f>
        <v/>
      </c>
      <c r="AE1157" s="36">
        <f>AE1112+AE1148</f>
        <v/>
      </c>
      <c r="AF1157" s="36">
        <f>AF1112+AF1148</f>
        <v/>
      </c>
      <c r="AG1157" s="36">
        <f>AG1112+AG1148</f>
        <v/>
      </c>
      <c r="AH1157" s="36">
        <f>AH1112+AH1148</f>
        <v/>
      </c>
      <c r="AI1157" s="36">
        <f>AI1112+AI1148</f>
        <v/>
      </c>
      <c r="AJ1157" s="36">
        <f>AJ1112+AJ1148</f>
        <v/>
      </c>
      <c r="AK1157" s="36">
        <f>AK1112+AK1148</f>
        <v/>
      </c>
      <c r="AL1157" s="36">
        <f>AL1112+AL1148</f>
        <v/>
      </c>
      <c r="AM1157" s="36">
        <f>AM1112+AM1148</f>
        <v/>
      </c>
      <c r="AN1157" s="39">
        <f>POSTTAX(AN1112,AN1148)</f>
        <v/>
      </c>
    </row>
    <row r="1158" hidden="1" outlineLevel="2">
      <c r="A1158" s="5" t="inlineStr">
        <is>
          <t>atp</t>
        </is>
      </c>
      <c r="B1158" s="5" t="inlineStr">
        <is>
          <t>oop</t>
        </is>
      </c>
      <c r="C1158" s="5" t="inlineStr">
        <is>
          <t>cst</t>
        </is>
      </c>
      <c r="D1158" s="37" t="n"/>
      <c r="E1158" s="37" t="n"/>
      <c r="F1158" s="37" t="n"/>
      <c r="G1158" s="37" t="n"/>
      <c r="H1158" s="5">
        <f>INDEX(Variables!$B$5:$B$65,MATCH($A1158,Variables!$A$5:$A$65,0))&amp;IF($C1158="",""," | "&amp;INDEX(Mapping!$B$5:$B$25,MATCH($C1158,Mapping!$A$5:$A$25,0))&amp;" | "&amp;INDEX(Mapping!$B$29:$B$38,MATCH($B1158,Mapping!$A$29:$A$38,0)))</f>
        <v/>
      </c>
      <c r="I1158" s="5">
        <f>INDEX(Variables!$C$5:$C$65,MATCH($A1158,Variables!$A$5:$A$65,0))</f>
        <v/>
      </c>
      <c r="J1158" s="5">
        <f>INDEX(Variables!$E$5:$E$65,MATCH($A1158,Variables!$A$5:$A$65,0))</f>
        <v/>
      </c>
      <c r="K1158" s="23">
        <f>LOWER(Settings!$C$4)&amp;".mit."&amp;$A1158&amp;IF($C1158="","","."&amp;$C1158&amp;"."&amp;$B1158)&amp;IF(INDEX(Variables!$D$5:$D$65,MATCH($A1158,Variables!$A$5:$A$65,0))="","","."&amp;INDEX(Variables!$D$5:$D$65,MATCH($A1158,Variables!$A$5:$A$65,0)))&amp;"."&amp;K$5</f>
        <v/>
      </c>
      <c r="L1158" s="38">
        <f>L1113+L1149</f>
        <v/>
      </c>
      <c r="M1158" s="36">
        <f>M1113+M1149</f>
        <v/>
      </c>
      <c r="N1158" s="36">
        <f>N1113+N1149</f>
        <v/>
      </c>
      <c r="O1158" s="36">
        <f>O1113+O1149</f>
        <v/>
      </c>
      <c r="P1158" s="36">
        <f>P1113+P1149</f>
        <v/>
      </c>
      <c r="Q1158" s="36">
        <f>Q1113+Q1149</f>
        <v/>
      </c>
      <c r="R1158" s="36">
        <f>R1113+R1149</f>
        <v/>
      </c>
      <c r="S1158" s="36">
        <f>S1113+S1149</f>
        <v/>
      </c>
      <c r="T1158" s="36">
        <f>T1113+T1149</f>
        <v/>
      </c>
      <c r="U1158" s="36">
        <f>U1113+U1149</f>
        <v/>
      </c>
      <c r="V1158" s="36">
        <f>V1113+V1149</f>
        <v/>
      </c>
      <c r="W1158" s="36">
        <f>W1113+W1149</f>
        <v/>
      </c>
      <c r="X1158" s="36">
        <f>X1113+X1149</f>
        <v/>
      </c>
      <c r="Y1158" s="39">
        <f>POSTTAX(Y1113,Y1149)</f>
        <v/>
      </c>
      <c r="Z1158" s="23">
        <f>LOWER(Settings!$C$4)&amp;".mit."&amp;$A1158&amp;IF($C1158="","","."&amp;$C1158&amp;"."&amp;$B1158)&amp;IF(INDEX(Variables!$D$5:$D$65,MATCH($A1158,Variables!$A$5:$A$65,0))="","","."&amp;INDEX(Variables!$D$5:$D$65,MATCH($A1158,Variables!$A$5:$A$65,0)))&amp;"."&amp;Z$5</f>
        <v/>
      </c>
      <c r="AA1158" s="38">
        <f>AA1113+AA1149</f>
        <v/>
      </c>
      <c r="AB1158" s="36">
        <f>AB1113+AB1149</f>
        <v/>
      </c>
      <c r="AC1158" s="36">
        <f>AC1113+AC1149</f>
        <v/>
      </c>
      <c r="AD1158" s="36">
        <f>AD1113+AD1149</f>
        <v/>
      </c>
      <c r="AE1158" s="36">
        <f>AE1113+AE1149</f>
        <v/>
      </c>
      <c r="AF1158" s="36">
        <f>AF1113+AF1149</f>
        <v/>
      </c>
      <c r="AG1158" s="36">
        <f>AG1113+AG1149</f>
        <v/>
      </c>
      <c r="AH1158" s="36">
        <f>AH1113+AH1149</f>
        <v/>
      </c>
      <c r="AI1158" s="36">
        <f>AI1113+AI1149</f>
        <v/>
      </c>
      <c r="AJ1158" s="36">
        <f>AJ1113+AJ1149</f>
        <v/>
      </c>
      <c r="AK1158" s="36">
        <f>AK1113+AK1149</f>
        <v/>
      </c>
      <c r="AL1158" s="36">
        <f>AL1113+AL1149</f>
        <v/>
      </c>
      <c r="AM1158" s="36">
        <f>AM1113+AM1149</f>
        <v/>
      </c>
      <c r="AN1158" s="39">
        <f>POSTTAX(AN1113,AN1149)</f>
        <v/>
      </c>
    </row>
    <row r="1159" hidden="1" outlineLevel="2">
      <c r="A1159" s="5" t="inlineStr">
        <is>
          <t>atp</t>
        </is>
      </c>
      <c r="B1159" s="5" t="inlineStr">
        <is>
          <t>bio</t>
        </is>
      </c>
      <c r="C1159" s="5" t="inlineStr">
        <is>
          <t>cst</t>
        </is>
      </c>
      <c r="D1159" s="37" t="n"/>
      <c r="E1159" s="37" t="n"/>
      <c r="F1159" s="37" t="n"/>
      <c r="G1159" s="37" t="n"/>
      <c r="H1159" s="5">
        <f>INDEX(Variables!$B$5:$B$65,MATCH($A1159,Variables!$A$5:$A$65,0))&amp;IF($C1159="",""," | "&amp;INDEX(Mapping!$B$5:$B$25,MATCH($C1159,Mapping!$A$5:$A$25,0))&amp;" | "&amp;INDEX(Mapping!$B$29:$B$38,MATCH($B1159,Mapping!$A$29:$A$38,0)))</f>
        <v/>
      </c>
      <c r="I1159" s="5">
        <f>INDEX(Variables!$C$5:$C$65,MATCH($A1159,Variables!$A$5:$A$65,0))</f>
        <v/>
      </c>
      <c r="J1159" s="5">
        <f>INDEX(Variables!$E$5:$E$65,MATCH($A1159,Variables!$A$5:$A$65,0))</f>
        <v/>
      </c>
      <c r="K1159" s="23">
        <f>LOWER(Settings!$C$4)&amp;".mit."&amp;$A1159&amp;IF($C1159="","","."&amp;$C1159&amp;"."&amp;$B1159)&amp;IF(INDEX(Variables!$D$5:$D$65,MATCH($A1159,Variables!$A$5:$A$65,0))="","","."&amp;INDEX(Variables!$D$5:$D$65,MATCH($A1159,Variables!$A$5:$A$65,0)))&amp;"."&amp;K$5</f>
        <v/>
      </c>
      <c r="L1159" s="38">
        <f>L1114+L1150</f>
        <v/>
      </c>
      <c r="M1159" s="36">
        <f>M1114+M1150</f>
        <v/>
      </c>
      <c r="N1159" s="36">
        <f>N1114+N1150</f>
        <v/>
      </c>
      <c r="O1159" s="36">
        <f>O1114+O1150</f>
        <v/>
      </c>
      <c r="P1159" s="36">
        <f>P1114+P1150</f>
        <v/>
      </c>
      <c r="Q1159" s="36">
        <f>Q1114+Q1150</f>
        <v/>
      </c>
      <c r="R1159" s="36">
        <f>R1114+R1150</f>
        <v/>
      </c>
      <c r="S1159" s="36">
        <f>S1114+S1150</f>
        <v/>
      </c>
      <c r="T1159" s="36">
        <f>T1114+T1150</f>
        <v/>
      </c>
      <c r="U1159" s="36">
        <f>U1114+U1150</f>
        <v/>
      </c>
      <c r="V1159" s="36">
        <f>V1114+V1150</f>
        <v/>
      </c>
      <c r="W1159" s="36">
        <f>W1114+W1150</f>
        <v/>
      </c>
      <c r="X1159" s="36">
        <f>X1114+X1150</f>
        <v/>
      </c>
      <c r="Y1159" s="39">
        <f>POSTTAX(Y1114,Y1150)</f>
        <v/>
      </c>
      <c r="Z1159" s="23">
        <f>LOWER(Settings!$C$4)&amp;".mit."&amp;$A1159&amp;IF($C1159="","","."&amp;$C1159&amp;"."&amp;$B1159)&amp;IF(INDEX(Variables!$D$5:$D$65,MATCH($A1159,Variables!$A$5:$A$65,0))="","","."&amp;INDEX(Variables!$D$5:$D$65,MATCH($A1159,Variables!$A$5:$A$65,0)))&amp;"."&amp;Z$5</f>
        <v/>
      </c>
      <c r="AA1159" s="38">
        <f>AA1114+AA1150</f>
        <v/>
      </c>
      <c r="AB1159" s="36">
        <f>AB1114+AB1150</f>
        <v/>
      </c>
      <c r="AC1159" s="36">
        <f>AC1114+AC1150</f>
        <v/>
      </c>
      <c r="AD1159" s="36">
        <f>AD1114+AD1150</f>
        <v/>
      </c>
      <c r="AE1159" s="36">
        <f>AE1114+AE1150</f>
        <v/>
      </c>
      <c r="AF1159" s="36">
        <f>AF1114+AF1150</f>
        <v/>
      </c>
      <c r="AG1159" s="36">
        <f>AG1114+AG1150</f>
        <v/>
      </c>
      <c r="AH1159" s="36">
        <f>AH1114+AH1150</f>
        <v/>
      </c>
      <c r="AI1159" s="36">
        <f>AI1114+AI1150</f>
        <v/>
      </c>
      <c r="AJ1159" s="36">
        <f>AJ1114+AJ1150</f>
        <v/>
      </c>
      <c r="AK1159" s="36">
        <f>AK1114+AK1150</f>
        <v/>
      </c>
      <c r="AL1159" s="36">
        <f>AL1114+AL1150</f>
        <v/>
      </c>
      <c r="AM1159" s="36">
        <f>AM1114+AM1150</f>
        <v/>
      </c>
      <c r="AN1159" s="39">
        <f>POSTTAX(AN1114,AN1150)</f>
        <v/>
      </c>
    </row>
    <row r="1160" hidden="1" outlineLevel="2"/>
    <row r="1161" hidden="1" outlineLevel="2">
      <c r="A1161" s="5" t="inlineStr">
        <is>
          <t>shp</t>
        </is>
      </c>
      <c r="B1161" s="5" t="inlineStr">
        <is>
          <t>coa</t>
        </is>
      </c>
      <c r="C1161" s="5" t="inlineStr">
        <is>
          <t>cst</t>
        </is>
      </c>
      <c r="D1161" s="36">
        <f>INDEX(Inputs!$M$5:$M$132,MATCH($B1161&amp;"|"&amp;$C1161,Inputs!$A$5:$A$132,0))</f>
        <v/>
      </c>
      <c r="E1161" s="36">
        <f>INDEX(Inputs!$U$5:$U$132,MATCH($B1161&amp;"|"&amp;$C1161,Inputs!$A$5:$A$132,0))</f>
        <v/>
      </c>
      <c r="F1161" s="36">
        <f>INDEX(Inputs!$K$5:$K$132,MATCH($B1161&amp;"|"&amp;$C1161,Inputs!$A$5:$A$132,0))</f>
        <v/>
      </c>
      <c r="G1161" s="37" t="n"/>
      <c r="H1161" s="5">
        <f>INDEX(Variables!$B$5:$B$65,MATCH($A1161,Variables!$A$5:$A$65,0))&amp;IF($C1161="",""," | "&amp;INDEX(Mapping!$B$5:$B$25,MATCH($C1161,Mapping!$A$5:$A$25,0))&amp;" | "&amp;INDEX(Mapping!$B$29:$B$38,MATCH($B1161,Mapping!$A$29:$A$38,0)))</f>
        <v/>
      </c>
      <c r="I1161" s="5">
        <f>INDEX(Variables!$C$5:$C$65,MATCH($A1161,Variables!$A$5:$A$65,0))</f>
        <v/>
      </c>
      <c r="J1161" s="5">
        <f>INDEX(Variables!$E$5:$E$65,MATCH($A1161,Variables!$A$5:$A$65,0))</f>
        <v/>
      </c>
      <c r="K1161" s="23">
        <f>LOWER(Settings!$C$4)&amp;".mit."&amp;$A1161&amp;IF($C1161="","","."&amp;$C1161&amp;"."&amp;$B1161)&amp;IF(INDEX(Variables!$D$5:$D$65,MATCH($A1161,Variables!$A$5:$A$65,0))="","","."&amp;INDEX(Variables!$D$5:$D$65,MATCH($A1161,Variables!$A$5:$A$65,0)))&amp;"."&amp;K$5</f>
        <v/>
      </c>
      <c r="L1161" s="38">
        <f>INDEX(L$124:L$127,$D1161)*$E1161*INDEX(L$128:L$144,$F1161)</f>
        <v/>
      </c>
      <c r="M1161" s="36">
        <f>INDEX(M$124:M$127,$D1161)*$E1161*INDEX(M$128:M$144,$F1161)</f>
        <v/>
      </c>
      <c r="N1161" s="36">
        <f>INDEX(N$124:N$127,$D1161)*$E1161*INDEX(N$128:N$144,$F1161)</f>
        <v/>
      </c>
      <c r="O1161" s="36">
        <f>INDEX(O$124:O$127,$D1161)*$E1161*INDEX(O$128:O$144,$F1161)</f>
        <v/>
      </c>
      <c r="P1161" s="36">
        <f>INDEX(P$124:P$127,$D1161)*$E1161*INDEX(P$128:P$144,$F1161)</f>
        <v/>
      </c>
      <c r="Q1161" s="36">
        <f>INDEX(Q$124:Q$127,$D1161)*$E1161*INDEX(Q$128:Q$144,$F1161)</f>
        <v/>
      </c>
      <c r="R1161" s="36">
        <f>INDEX(R$124:R$127,$D1161)*$E1161*INDEX(R$128:R$144,$F1161)</f>
        <v/>
      </c>
      <c r="S1161" s="36">
        <f>INDEX(S$124:S$127,$D1161)*$E1161*INDEX(S$128:S$144,$F1161)</f>
        <v/>
      </c>
      <c r="T1161" s="36">
        <f>INDEX(T$124:T$127,$D1161)*$E1161*INDEX(T$128:T$144,$F1161)</f>
        <v/>
      </c>
      <c r="U1161" s="36">
        <f>INDEX(U$124:U$127,$D1161)*$E1161*INDEX(U$128:U$144,$F1161)</f>
        <v/>
      </c>
      <c r="V1161" s="36">
        <f>INDEX(V$124:V$127,$D1161)*$E1161*INDEX(V$128:V$144,$F1161)</f>
        <v/>
      </c>
      <c r="W1161" s="36">
        <f>INDEX(W$124:W$127,$D1161)*$E1161*INDEX(W$128:W$144,$F1161)</f>
        <v/>
      </c>
      <c r="X1161" s="36">
        <f>INDEX(X$124:X$127,$D1161)*$E1161*INDEX(X$128:X$144,$F1161)</f>
        <v/>
      </c>
      <c r="Y1161" s="36">
        <f>INDEX(Y$124:Y$127,$D1161)*$E1161*INDEX(Y$128:Y$144,$F1161)</f>
        <v/>
      </c>
      <c r="Z1161" s="23">
        <f>LOWER(Settings!$C$4)&amp;".mit."&amp;$A1161&amp;IF($C1161="","","."&amp;$C1161&amp;"."&amp;$B1161)&amp;IF(INDEX(Variables!$D$5:$D$65,MATCH($A1161,Variables!$A$5:$A$65,0))="","","."&amp;INDEX(Variables!$D$5:$D$65,MATCH($A1161,Variables!$A$5:$A$65,0)))&amp;"."&amp;Z$5</f>
        <v/>
      </c>
      <c r="AA1161" s="38">
        <f>INDEX(AA$124:AA$127,$D1161)*$E1161*INDEX(AA$128:AA$144,$F1161)</f>
        <v/>
      </c>
      <c r="AB1161" s="36">
        <f>INDEX(AB$124:AB$127,$D1161)*$E1161*INDEX(AB$128:AB$144,$F1161)</f>
        <v/>
      </c>
      <c r="AC1161" s="36">
        <f>INDEX(AC$124:AC$127,$D1161)*$E1161*INDEX(AC$128:AC$144,$F1161)</f>
        <v/>
      </c>
      <c r="AD1161" s="36">
        <f>INDEX(AD$124:AD$127,$D1161)*$E1161*INDEX(AD$128:AD$144,$F1161)</f>
        <v/>
      </c>
      <c r="AE1161" s="36">
        <f>INDEX(AE$124:AE$127,$D1161)*$E1161*INDEX(AE$128:AE$144,$F1161)</f>
        <v/>
      </c>
      <c r="AF1161" s="36">
        <f>INDEX(AF$124:AF$127,$D1161)*$E1161*INDEX(AF$128:AF$144,$F1161)</f>
        <v/>
      </c>
      <c r="AG1161" s="36">
        <f>INDEX(AG$124:AG$127,$D1161)*$E1161*INDEX(AG$128:AG$144,$F1161)</f>
        <v/>
      </c>
      <c r="AH1161" s="36">
        <f>INDEX(AH$124:AH$127,$D1161)*$E1161*INDEX(AH$128:AH$144,$F1161)</f>
        <v/>
      </c>
      <c r="AI1161" s="36">
        <f>INDEX(AI$124:AI$127,$D1161)*$E1161*INDEX(AI$128:AI$144,$F1161)</f>
        <v/>
      </c>
      <c r="AJ1161" s="36">
        <f>INDEX(AJ$124:AJ$127,$D1161)*$E1161*INDEX(AJ$128:AJ$144,$F1161)</f>
        <v/>
      </c>
      <c r="AK1161" s="36">
        <f>INDEX(AK$124:AK$127,$D1161)*$E1161*INDEX(AK$128:AK$144,$F1161)</f>
        <v/>
      </c>
      <c r="AL1161" s="36">
        <f>INDEX(AL$124:AL$127,$D1161)*$E1161*INDEX(AL$128:AL$144,$F1161)</f>
        <v/>
      </c>
      <c r="AM1161" s="36">
        <f>INDEX(AM$124:AM$127,$D1161)*$E1161*INDEX(AM$128:AM$144,$F1161)</f>
        <v/>
      </c>
      <c r="AN1161" s="36">
        <f>INDEX(AN$124:AN$127,$D1161)*$E1161*INDEX(AN$128:AN$144,$F1161)</f>
        <v/>
      </c>
    </row>
    <row r="1162" hidden="1" outlineLevel="2">
      <c r="A1162" s="5" t="inlineStr">
        <is>
          <t>shp</t>
        </is>
      </c>
      <c r="B1162" s="5" t="inlineStr">
        <is>
          <t>nga</t>
        </is>
      </c>
      <c r="C1162" s="5" t="inlineStr">
        <is>
          <t>cst</t>
        </is>
      </c>
      <c r="D1162" s="36">
        <f>INDEX(Inputs!$M$5:$M$132,MATCH($B1162&amp;"|"&amp;$C1162,Inputs!$A$5:$A$132,0))</f>
        <v/>
      </c>
      <c r="E1162" s="36">
        <f>INDEX(Inputs!$U$5:$U$132,MATCH($B1162&amp;"|"&amp;$C1162,Inputs!$A$5:$A$132,0))</f>
        <v/>
      </c>
      <c r="F1162" s="36">
        <f>INDEX(Inputs!$K$5:$K$132,MATCH($B1162&amp;"|"&amp;$C1162,Inputs!$A$5:$A$132,0))</f>
        <v/>
      </c>
      <c r="G1162" s="37" t="n"/>
      <c r="H1162" s="5">
        <f>INDEX(Variables!$B$5:$B$65,MATCH($A1162,Variables!$A$5:$A$65,0))&amp;IF($C1162="",""," | "&amp;INDEX(Mapping!$B$5:$B$25,MATCH($C1162,Mapping!$A$5:$A$25,0))&amp;" | "&amp;INDEX(Mapping!$B$29:$B$38,MATCH($B1162,Mapping!$A$29:$A$38,0)))</f>
        <v/>
      </c>
      <c r="I1162" s="5">
        <f>INDEX(Variables!$C$5:$C$65,MATCH($A1162,Variables!$A$5:$A$65,0))</f>
        <v/>
      </c>
      <c r="J1162" s="5">
        <f>INDEX(Variables!$E$5:$E$65,MATCH($A1162,Variables!$A$5:$A$65,0))</f>
        <v/>
      </c>
      <c r="K1162" s="23">
        <f>LOWER(Settings!$C$4)&amp;".mit."&amp;$A1162&amp;IF($C1162="","","."&amp;$C1162&amp;"."&amp;$B1162)&amp;IF(INDEX(Variables!$D$5:$D$65,MATCH($A1162,Variables!$A$5:$A$65,0))="","","."&amp;INDEX(Variables!$D$5:$D$65,MATCH($A1162,Variables!$A$5:$A$65,0)))&amp;"."&amp;K$5</f>
        <v/>
      </c>
      <c r="L1162" s="38">
        <f>INDEX(L$124:L$127,$D1162)*$E1162*INDEX(L$128:L$144,$F1162)</f>
        <v/>
      </c>
      <c r="M1162" s="36">
        <f>INDEX(M$124:M$127,$D1162)*$E1162*INDEX(M$128:M$144,$F1162)</f>
        <v/>
      </c>
      <c r="N1162" s="36">
        <f>INDEX(N$124:N$127,$D1162)*$E1162*INDEX(N$128:N$144,$F1162)</f>
        <v/>
      </c>
      <c r="O1162" s="36">
        <f>INDEX(O$124:O$127,$D1162)*$E1162*INDEX(O$128:O$144,$F1162)</f>
        <v/>
      </c>
      <c r="P1162" s="36">
        <f>INDEX(P$124:P$127,$D1162)*$E1162*INDEX(P$128:P$144,$F1162)</f>
        <v/>
      </c>
      <c r="Q1162" s="36">
        <f>INDEX(Q$124:Q$127,$D1162)*$E1162*INDEX(Q$128:Q$144,$F1162)</f>
        <v/>
      </c>
      <c r="R1162" s="36">
        <f>INDEX(R$124:R$127,$D1162)*$E1162*INDEX(R$128:R$144,$F1162)</f>
        <v/>
      </c>
      <c r="S1162" s="36">
        <f>INDEX(S$124:S$127,$D1162)*$E1162*INDEX(S$128:S$144,$F1162)</f>
        <v/>
      </c>
      <c r="T1162" s="36">
        <f>INDEX(T$124:T$127,$D1162)*$E1162*INDEX(T$128:T$144,$F1162)</f>
        <v/>
      </c>
      <c r="U1162" s="36">
        <f>INDEX(U$124:U$127,$D1162)*$E1162*INDEX(U$128:U$144,$F1162)</f>
        <v/>
      </c>
      <c r="V1162" s="36">
        <f>INDEX(V$124:V$127,$D1162)*$E1162*INDEX(V$128:V$144,$F1162)</f>
        <v/>
      </c>
      <c r="W1162" s="36">
        <f>INDEX(W$124:W$127,$D1162)*$E1162*INDEX(W$128:W$144,$F1162)</f>
        <v/>
      </c>
      <c r="X1162" s="36">
        <f>INDEX(X$124:X$127,$D1162)*$E1162*INDEX(X$128:X$144,$F1162)</f>
        <v/>
      </c>
      <c r="Y1162" s="36">
        <f>INDEX(Y$124:Y$127,$D1162)*$E1162*INDEX(Y$128:Y$144,$F1162)</f>
        <v/>
      </c>
      <c r="Z1162" s="23">
        <f>LOWER(Settings!$C$4)&amp;".mit."&amp;$A1162&amp;IF($C1162="","","."&amp;$C1162&amp;"."&amp;$B1162)&amp;IF(INDEX(Variables!$D$5:$D$65,MATCH($A1162,Variables!$A$5:$A$65,0))="","","."&amp;INDEX(Variables!$D$5:$D$65,MATCH($A1162,Variables!$A$5:$A$65,0)))&amp;"."&amp;Z$5</f>
        <v/>
      </c>
      <c r="AA1162" s="38">
        <f>INDEX(AA$124:AA$127,$D1162)*$E1162*INDEX(AA$128:AA$144,$F1162)</f>
        <v/>
      </c>
      <c r="AB1162" s="36">
        <f>INDEX(AB$124:AB$127,$D1162)*$E1162*INDEX(AB$128:AB$144,$F1162)</f>
        <v/>
      </c>
      <c r="AC1162" s="36">
        <f>INDEX(AC$124:AC$127,$D1162)*$E1162*INDEX(AC$128:AC$144,$F1162)</f>
        <v/>
      </c>
      <c r="AD1162" s="36">
        <f>INDEX(AD$124:AD$127,$D1162)*$E1162*INDEX(AD$128:AD$144,$F1162)</f>
        <v/>
      </c>
      <c r="AE1162" s="36">
        <f>INDEX(AE$124:AE$127,$D1162)*$E1162*INDEX(AE$128:AE$144,$F1162)</f>
        <v/>
      </c>
      <c r="AF1162" s="36">
        <f>INDEX(AF$124:AF$127,$D1162)*$E1162*INDEX(AF$128:AF$144,$F1162)</f>
        <v/>
      </c>
      <c r="AG1162" s="36">
        <f>INDEX(AG$124:AG$127,$D1162)*$E1162*INDEX(AG$128:AG$144,$F1162)</f>
        <v/>
      </c>
      <c r="AH1162" s="36">
        <f>INDEX(AH$124:AH$127,$D1162)*$E1162*INDEX(AH$128:AH$144,$F1162)</f>
        <v/>
      </c>
      <c r="AI1162" s="36">
        <f>INDEX(AI$124:AI$127,$D1162)*$E1162*INDEX(AI$128:AI$144,$F1162)</f>
        <v/>
      </c>
      <c r="AJ1162" s="36">
        <f>INDEX(AJ$124:AJ$127,$D1162)*$E1162*INDEX(AJ$128:AJ$144,$F1162)</f>
        <v/>
      </c>
      <c r="AK1162" s="36">
        <f>INDEX(AK$124:AK$127,$D1162)*$E1162*INDEX(AK$128:AK$144,$F1162)</f>
        <v/>
      </c>
      <c r="AL1162" s="36">
        <f>INDEX(AL$124:AL$127,$D1162)*$E1162*INDEX(AL$128:AL$144,$F1162)</f>
        <v/>
      </c>
      <c r="AM1162" s="36">
        <f>INDEX(AM$124:AM$127,$D1162)*$E1162*INDEX(AM$128:AM$144,$F1162)</f>
        <v/>
      </c>
      <c r="AN1162" s="36">
        <f>INDEX(AN$124:AN$127,$D1162)*$E1162*INDEX(AN$128:AN$144,$F1162)</f>
        <v/>
      </c>
    </row>
    <row r="1163" hidden="1" outlineLevel="2">
      <c r="A1163" s="5" t="inlineStr">
        <is>
          <t>shp</t>
        </is>
      </c>
      <c r="B1163" s="5" t="inlineStr">
        <is>
          <t>gso</t>
        </is>
      </c>
      <c r="C1163" s="5" t="inlineStr">
        <is>
          <t>cst</t>
        </is>
      </c>
      <c r="D1163" s="36">
        <f>INDEX(Inputs!$M$5:$M$132,MATCH($B1163&amp;"|"&amp;$C1163,Inputs!$A$5:$A$132,0))</f>
        <v/>
      </c>
      <c r="E1163" s="36">
        <f>INDEX(Inputs!$U$5:$U$132,MATCH($B1163&amp;"|"&amp;$C1163,Inputs!$A$5:$A$132,0))</f>
        <v/>
      </c>
      <c r="F1163" s="36">
        <f>INDEX(Inputs!$K$5:$K$132,MATCH($B1163&amp;"|"&amp;$C1163,Inputs!$A$5:$A$132,0))</f>
        <v/>
      </c>
      <c r="G1163" s="37" t="n"/>
      <c r="H1163" s="5">
        <f>INDEX(Variables!$B$5:$B$65,MATCH($A1163,Variables!$A$5:$A$65,0))&amp;IF($C1163="",""," | "&amp;INDEX(Mapping!$B$5:$B$25,MATCH($C1163,Mapping!$A$5:$A$25,0))&amp;" | "&amp;INDEX(Mapping!$B$29:$B$38,MATCH($B1163,Mapping!$A$29:$A$38,0)))</f>
        <v/>
      </c>
      <c r="I1163" s="5">
        <f>INDEX(Variables!$C$5:$C$65,MATCH($A1163,Variables!$A$5:$A$65,0))</f>
        <v/>
      </c>
      <c r="J1163" s="5">
        <f>INDEX(Variables!$E$5:$E$65,MATCH($A1163,Variables!$A$5:$A$65,0))</f>
        <v/>
      </c>
      <c r="K1163" s="23">
        <f>LOWER(Settings!$C$4)&amp;".mit."&amp;$A1163&amp;IF($C1163="","","."&amp;$C1163&amp;"."&amp;$B1163)&amp;IF(INDEX(Variables!$D$5:$D$65,MATCH($A1163,Variables!$A$5:$A$65,0))="","","."&amp;INDEX(Variables!$D$5:$D$65,MATCH($A1163,Variables!$A$5:$A$65,0)))&amp;"."&amp;K$5</f>
        <v/>
      </c>
      <c r="L1163" s="38">
        <f>INDEX(L$124:L$127,$D1163)*$E1163*INDEX(L$128:L$144,$F1163)</f>
        <v/>
      </c>
      <c r="M1163" s="36">
        <f>INDEX(M$124:M$127,$D1163)*$E1163*INDEX(M$128:M$144,$F1163)</f>
        <v/>
      </c>
      <c r="N1163" s="36">
        <f>INDEX(N$124:N$127,$D1163)*$E1163*INDEX(N$128:N$144,$F1163)</f>
        <v/>
      </c>
      <c r="O1163" s="36">
        <f>INDEX(O$124:O$127,$D1163)*$E1163*INDEX(O$128:O$144,$F1163)</f>
        <v/>
      </c>
      <c r="P1163" s="36">
        <f>INDEX(P$124:P$127,$D1163)*$E1163*INDEX(P$128:P$144,$F1163)</f>
        <v/>
      </c>
      <c r="Q1163" s="36">
        <f>INDEX(Q$124:Q$127,$D1163)*$E1163*INDEX(Q$128:Q$144,$F1163)</f>
        <v/>
      </c>
      <c r="R1163" s="36">
        <f>INDEX(R$124:R$127,$D1163)*$E1163*INDEX(R$128:R$144,$F1163)</f>
        <v/>
      </c>
      <c r="S1163" s="36">
        <f>INDEX(S$124:S$127,$D1163)*$E1163*INDEX(S$128:S$144,$F1163)</f>
        <v/>
      </c>
      <c r="T1163" s="36">
        <f>INDEX(T$124:T$127,$D1163)*$E1163*INDEX(T$128:T$144,$F1163)</f>
        <v/>
      </c>
      <c r="U1163" s="36">
        <f>INDEX(U$124:U$127,$D1163)*$E1163*INDEX(U$128:U$144,$F1163)</f>
        <v/>
      </c>
      <c r="V1163" s="36">
        <f>INDEX(V$124:V$127,$D1163)*$E1163*INDEX(V$128:V$144,$F1163)</f>
        <v/>
      </c>
      <c r="W1163" s="36">
        <f>INDEX(W$124:W$127,$D1163)*$E1163*INDEX(W$128:W$144,$F1163)</f>
        <v/>
      </c>
      <c r="X1163" s="36">
        <f>INDEX(X$124:X$127,$D1163)*$E1163*INDEX(X$128:X$144,$F1163)</f>
        <v/>
      </c>
      <c r="Y1163" s="36">
        <f>INDEX(Y$124:Y$127,$D1163)*$E1163*INDEX(Y$128:Y$144,$F1163)</f>
        <v/>
      </c>
      <c r="Z1163" s="23">
        <f>LOWER(Settings!$C$4)&amp;".mit."&amp;$A1163&amp;IF($C1163="","","."&amp;$C1163&amp;"."&amp;$B1163)&amp;IF(INDEX(Variables!$D$5:$D$65,MATCH($A1163,Variables!$A$5:$A$65,0))="","","."&amp;INDEX(Variables!$D$5:$D$65,MATCH($A1163,Variables!$A$5:$A$65,0)))&amp;"."&amp;Z$5</f>
        <v/>
      </c>
      <c r="AA1163" s="38">
        <f>INDEX(AA$124:AA$127,$D1163)*$E1163*INDEX(AA$128:AA$144,$F1163)</f>
        <v/>
      </c>
      <c r="AB1163" s="36">
        <f>INDEX(AB$124:AB$127,$D1163)*$E1163*INDEX(AB$128:AB$144,$F1163)</f>
        <v/>
      </c>
      <c r="AC1163" s="36">
        <f>INDEX(AC$124:AC$127,$D1163)*$E1163*INDEX(AC$128:AC$144,$F1163)</f>
        <v/>
      </c>
      <c r="AD1163" s="36">
        <f>INDEX(AD$124:AD$127,$D1163)*$E1163*INDEX(AD$128:AD$144,$F1163)</f>
        <v/>
      </c>
      <c r="AE1163" s="36">
        <f>INDEX(AE$124:AE$127,$D1163)*$E1163*INDEX(AE$128:AE$144,$F1163)</f>
        <v/>
      </c>
      <c r="AF1163" s="36">
        <f>INDEX(AF$124:AF$127,$D1163)*$E1163*INDEX(AF$128:AF$144,$F1163)</f>
        <v/>
      </c>
      <c r="AG1163" s="36">
        <f>INDEX(AG$124:AG$127,$D1163)*$E1163*INDEX(AG$128:AG$144,$F1163)</f>
        <v/>
      </c>
      <c r="AH1163" s="36">
        <f>INDEX(AH$124:AH$127,$D1163)*$E1163*INDEX(AH$128:AH$144,$F1163)</f>
        <v/>
      </c>
      <c r="AI1163" s="36">
        <f>INDEX(AI$124:AI$127,$D1163)*$E1163*INDEX(AI$128:AI$144,$F1163)</f>
        <v/>
      </c>
      <c r="AJ1163" s="36">
        <f>INDEX(AJ$124:AJ$127,$D1163)*$E1163*INDEX(AJ$128:AJ$144,$F1163)</f>
        <v/>
      </c>
      <c r="AK1163" s="36">
        <f>INDEX(AK$124:AK$127,$D1163)*$E1163*INDEX(AK$128:AK$144,$F1163)</f>
        <v/>
      </c>
      <c r="AL1163" s="36">
        <f>INDEX(AL$124:AL$127,$D1163)*$E1163*INDEX(AL$128:AL$144,$F1163)</f>
        <v/>
      </c>
      <c r="AM1163" s="36">
        <f>INDEX(AM$124:AM$127,$D1163)*$E1163*INDEX(AM$128:AM$144,$F1163)</f>
        <v/>
      </c>
      <c r="AN1163" s="36">
        <f>INDEX(AN$124:AN$127,$D1163)*$E1163*INDEX(AN$128:AN$144,$F1163)</f>
        <v/>
      </c>
    </row>
    <row r="1164" hidden="1" outlineLevel="2">
      <c r="A1164" s="5" t="inlineStr">
        <is>
          <t>shp</t>
        </is>
      </c>
      <c r="B1164" s="5" t="inlineStr">
        <is>
          <t>die</t>
        </is>
      </c>
      <c r="C1164" s="5" t="inlineStr">
        <is>
          <t>cst</t>
        </is>
      </c>
      <c r="D1164" s="36">
        <f>INDEX(Inputs!$M$5:$M$132,MATCH($B1164&amp;"|"&amp;$C1164,Inputs!$A$5:$A$132,0))</f>
        <v/>
      </c>
      <c r="E1164" s="36">
        <f>INDEX(Inputs!$U$5:$U$132,MATCH($B1164&amp;"|"&amp;$C1164,Inputs!$A$5:$A$132,0))</f>
        <v/>
      </c>
      <c r="F1164" s="36">
        <f>INDEX(Inputs!$K$5:$K$132,MATCH($B1164&amp;"|"&amp;$C1164,Inputs!$A$5:$A$132,0))</f>
        <v/>
      </c>
      <c r="G1164" s="37" t="n"/>
      <c r="H1164" s="5">
        <f>INDEX(Variables!$B$5:$B$65,MATCH($A1164,Variables!$A$5:$A$65,0))&amp;IF($C1164="",""," | "&amp;INDEX(Mapping!$B$5:$B$25,MATCH($C1164,Mapping!$A$5:$A$25,0))&amp;" | "&amp;INDEX(Mapping!$B$29:$B$38,MATCH($B1164,Mapping!$A$29:$A$38,0)))</f>
        <v/>
      </c>
      <c r="I1164" s="5">
        <f>INDEX(Variables!$C$5:$C$65,MATCH($A1164,Variables!$A$5:$A$65,0))</f>
        <v/>
      </c>
      <c r="J1164" s="5">
        <f>INDEX(Variables!$E$5:$E$65,MATCH($A1164,Variables!$A$5:$A$65,0))</f>
        <v/>
      </c>
      <c r="K1164" s="23">
        <f>LOWER(Settings!$C$4)&amp;".mit."&amp;$A1164&amp;IF($C1164="","","."&amp;$C1164&amp;"."&amp;$B1164)&amp;IF(INDEX(Variables!$D$5:$D$65,MATCH($A1164,Variables!$A$5:$A$65,0))="","","."&amp;INDEX(Variables!$D$5:$D$65,MATCH($A1164,Variables!$A$5:$A$65,0)))&amp;"."&amp;K$5</f>
        <v/>
      </c>
      <c r="L1164" s="38">
        <f>INDEX(L$124:L$127,$D1164)*$E1164*INDEX(L$128:L$144,$F1164)</f>
        <v/>
      </c>
      <c r="M1164" s="36">
        <f>INDEX(M$124:M$127,$D1164)*$E1164*INDEX(M$128:M$144,$F1164)</f>
        <v/>
      </c>
      <c r="N1164" s="36">
        <f>INDEX(N$124:N$127,$D1164)*$E1164*INDEX(N$128:N$144,$F1164)</f>
        <v/>
      </c>
      <c r="O1164" s="36">
        <f>INDEX(O$124:O$127,$D1164)*$E1164*INDEX(O$128:O$144,$F1164)</f>
        <v/>
      </c>
      <c r="P1164" s="36">
        <f>INDEX(P$124:P$127,$D1164)*$E1164*INDEX(P$128:P$144,$F1164)</f>
        <v/>
      </c>
      <c r="Q1164" s="36">
        <f>INDEX(Q$124:Q$127,$D1164)*$E1164*INDEX(Q$128:Q$144,$F1164)</f>
        <v/>
      </c>
      <c r="R1164" s="36">
        <f>INDEX(R$124:R$127,$D1164)*$E1164*INDEX(R$128:R$144,$F1164)</f>
        <v/>
      </c>
      <c r="S1164" s="36">
        <f>INDEX(S$124:S$127,$D1164)*$E1164*INDEX(S$128:S$144,$F1164)</f>
        <v/>
      </c>
      <c r="T1164" s="36">
        <f>INDEX(T$124:T$127,$D1164)*$E1164*INDEX(T$128:T$144,$F1164)</f>
        <v/>
      </c>
      <c r="U1164" s="36">
        <f>INDEX(U$124:U$127,$D1164)*$E1164*INDEX(U$128:U$144,$F1164)</f>
        <v/>
      </c>
      <c r="V1164" s="36">
        <f>INDEX(V$124:V$127,$D1164)*$E1164*INDEX(V$128:V$144,$F1164)</f>
        <v/>
      </c>
      <c r="W1164" s="36">
        <f>INDEX(W$124:W$127,$D1164)*$E1164*INDEX(W$128:W$144,$F1164)</f>
        <v/>
      </c>
      <c r="X1164" s="36">
        <f>INDEX(X$124:X$127,$D1164)*$E1164*INDEX(X$128:X$144,$F1164)</f>
        <v/>
      </c>
      <c r="Y1164" s="36">
        <f>INDEX(Y$124:Y$127,$D1164)*$E1164*INDEX(Y$128:Y$144,$F1164)</f>
        <v/>
      </c>
      <c r="Z1164" s="23">
        <f>LOWER(Settings!$C$4)&amp;".mit."&amp;$A1164&amp;IF($C1164="","","."&amp;$C1164&amp;"."&amp;$B1164)&amp;IF(INDEX(Variables!$D$5:$D$65,MATCH($A1164,Variables!$A$5:$A$65,0))="","","."&amp;INDEX(Variables!$D$5:$D$65,MATCH($A1164,Variables!$A$5:$A$65,0)))&amp;"."&amp;Z$5</f>
        <v/>
      </c>
      <c r="AA1164" s="38">
        <f>INDEX(AA$124:AA$127,$D1164)*$E1164*INDEX(AA$128:AA$144,$F1164)</f>
        <v/>
      </c>
      <c r="AB1164" s="36">
        <f>INDEX(AB$124:AB$127,$D1164)*$E1164*INDEX(AB$128:AB$144,$F1164)</f>
        <v/>
      </c>
      <c r="AC1164" s="36">
        <f>INDEX(AC$124:AC$127,$D1164)*$E1164*INDEX(AC$128:AC$144,$F1164)</f>
        <v/>
      </c>
      <c r="AD1164" s="36">
        <f>INDEX(AD$124:AD$127,$D1164)*$E1164*INDEX(AD$128:AD$144,$F1164)</f>
        <v/>
      </c>
      <c r="AE1164" s="36">
        <f>INDEX(AE$124:AE$127,$D1164)*$E1164*INDEX(AE$128:AE$144,$F1164)</f>
        <v/>
      </c>
      <c r="AF1164" s="36">
        <f>INDEX(AF$124:AF$127,$D1164)*$E1164*INDEX(AF$128:AF$144,$F1164)</f>
        <v/>
      </c>
      <c r="AG1164" s="36">
        <f>INDEX(AG$124:AG$127,$D1164)*$E1164*INDEX(AG$128:AG$144,$F1164)</f>
        <v/>
      </c>
      <c r="AH1164" s="36">
        <f>INDEX(AH$124:AH$127,$D1164)*$E1164*INDEX(AH$128:AH$144,$F1164)</f>
        <v/>
      </c>
      <c r="AI1164" s="36">
        <f>INDEX(AI$124:AI$127,$D1164)*$E1164*INDEX(AI$128:AI$144,$F1164)</f>
        <v/>
      </c>
      <c r="AJ1164" s="36">
        <f>INDEX(AJ$124:AJ$127,$D1164)*$E1164*INDEX(AJ$128:AJ$144,$F1164)</f>
        <v/>
      </c>
      <c r="AK1164" s="36">
        <f>INDEX(AK$124:AK$127,$D1164)*$E1164*INDEX(AK$128:AK$144,$F1164)</f>
        <v/>
      </c>
      <c r="AL1164" s="36">
        <f>INDEX(AL$124:AL$127,$D1164)*$E1164*INDEX(AL$128:AL$144,$F1164)</f>
        <v/>
      </c>
      <c r="AM1164" s="36">
        <f>INDEX(AM$124:AM$127,$D1164)*$E1164*INDEX(AM$128:AM$144,$F1164)</f>
        <v/>
      </c>
      <c r="AN1164" s="36">
        <f>INDEX(AN$124:AN$127,$D1164)*$E1164*INDEX(AN$128:AN$144,$F1164)</f>
        <v/>
      </c>
    </row>
    <row r="1165" hidden="1" outlineLevel="2">
      <c r="A1165" s="5" t="inlineStr">
        <is>
          <t>shp</t>
        </is>
      </c>
      <c r="B1165" s="5" t="inlineStr">
        <is>
          <t>lpg</t>
        </is>
      </c>
      <c r="C1165" s="5" t="inlineStr">
        <is>
          <t>cst</t>
        </is>
      </c>
      <c r="D1165" s="36">
        <f>INDEX(Inputs!$M$5:$M$132,MATCH($B1165&amp;"|"&amp;$C1165,Inputs!$A$5:$A$132,0))</f>
        <v/>
      </c>
      <c r="E1165" s="36">
        <f>INDEX(Inputs!$U$5:$U$132,MATCH($B1165&amp;"|"&amp;$C1165,Inputs!$A$5:$A$132,0))</f>
        <v/>
      </c>
      <c r="F1165" s="36">
        <f>INDEX(Inputs!$K$5:$K$132,MATCH($B1165&amp;"|"&amp;$C1165,Inputs!$A$5:$A$132,0))</f>
        <v/>
      </c>
      <c r="G1165" s="37" t="n"/>
      <c r="H1165" s="5">
        <f>INDEX(Variables!$B$5:$B$65,MATCH($A1165,Variables!$A$5:$A$65,0))&amp;IF($C1165="",""," | "&amp;INDEX(Mapping!$B$5:$B$25,MATCH($C1165,Mapping!$A$5:$A$25,0))&amp;" | "&amp;INDEX(Mapping!$B$29:$B$38,MATCH($B1165,Mapping!$A$29:$A$38,0)))</f>
        <v/>
      </c>
      <c r="I1165" s="5">
        <f>INDEX(Variables!$C$5:$C$65,MATCH($A1165,Variables!$A$5:$A$65,0))</f>
        <v/>
      </c>
      <c r="J1165" s="5">
        <f>INDEX(Variables!$E$5:$E$65,MATCH($A1165,Variables!$A$5:$A$65,0))</f>
        <v/>
      </c>
      <c r="K1165" s="23">
        <f>LOWER(Settings!$C$4)&amp;".mit."&amp;$A1165&amp;IF($C1165="","","."&amp;$C1165&amp;"."&amp;$B1165)&amp;IF(INDEX(Variables!$D$5:$D$65,MATCH($A1165,Variables!$A$5:$A$65,0))="","","."&amp;INDEX(Variables!$D$5:$D$65,MATCH($A1165,Variables!$A$5:$A$65,0)))&amp;"."&amp;K$5</f>
        <v/>
      </c>
      <c r="L1165" s="38">
        <f>INDEX(L$124:L$127,$D1165)*$E1165*INDEX(L$128:L$144,$F1165)</f>
        <v/>
      </c>
      <c r="M1165" s="36">
        <f>INDEX(M$124:M$127,$D1165)*$E1165*INDEX(M$128:M$144,$F1165)</f>
        <v/>
      </c>
      <c r="N1165" s="36">
        <f>INDEX(N$124:N$127,$D1165)*$E1165*INDEX(N$128:N$144,$F1165)</f>
        <v/>
      </c>
      <c r="O1165" s="36">
        <f>INDEX(O$124:O$127,$D1165)*$E1165*INDEX(O$128:O$144,$F1165)</f>
        <v/>
      </c>
      <c r="P1165" s="36">
        <f>INDEX(P$124:P$127,$D1165)*$E1165*INDEX(P$128:P$144,$F1165)</f>
        <v/>
      </c>
      <c r="Q1165" s="36">
        <f>INDEX(Q$124:Q$127,$D1165)*$E1165*INDEX(Q$128:Q$144,$F1165)</f>
        <v/>
      </c>
      <c r="R1165" s="36">
        <f>INDEX(R$124:R$127,$D1165)*$E1165*INDEX(R$128:R$144,$F1165)</f>
        <v/>
      </c>
      <c r="S1165" s="36">
        <f>INDEX(S$124:S$127,$D1165)*$E1165*INDEX(S$128:S$144,$F1165)</f>
        <v/>
      </c>
      <c r="T1165" s="36">
        <f>INDEX(T$124:T$127,$D1165)*$E1165*INDEX(T$128:T$144,$F1165)</f>
        <v/>
      </c>
      <c r="U1165" s="36">
        <f>INDEX(U$124:U$127,$D1165)*$E1165*INDEX(U$128:U$144,$F1165)</f>
        <v/>
      </c>
      <c r="V1165" s="36">
        <f>INDEX(V$124:V$127,$D1165)*$E1165*INDEX(V$128:V$144,$F1165)</f>
        <v/>
      </c>
      <c r="W1165" s="36">
        <f>INDEX(W$124:W$127,$D1165)*$E1165*INDEX(W$128:W$144,$F1165)</f>
        <v/>
      </c>
      <c r="X1165" s="36">
        <f>INDEX(X$124:X$127,$D1165)*$E1165*INDEX(X$128:X$144,$F1165)</f>
        <v/>
      </c>
      <c r="Y1165" s="36">
        <f>INDEX(Y$124:Y$127,$D1165)*$E1165*INDEX(Y$128:Y$144,$F1165)</f>
        <v/>
      </c>
      <c r="Z1165" s="23">
        <f>LOWER(Settings!$C$4)&amp;".mit."&amp;$A1165&amp;IF($C1165="","","."&amp;$C1165&amp;"."&amp;$B1165)&amp;IF(INDEX(Variables!$D$5:$D$65,MATCH($A1165,Variables!$A$5:$A$65,0))="","","."&amp;INDEX(Variables!$D$5:$D$65,MATCH($A1165,Variables!$A$5:$A$65,0)))&amp;"."&amp;Z$5</f>
        <v/>
      </c>
      <c r="AA1165" s="38">
        <f>INDEX(AA$124:AA$127,$D1165)*$E1165*INDEX(AA$128:AA$144,$F1165)</f>
        <v/>
      </c>
      <c r="AB1165" s="36">
        <f>INDEX(AB$124:AB$127,$D1165)*$E1165*INDEX(AB$128:AB$144,$F1165)</f>
        <v/>
      </c>
      <c r="AC1165" s="36">
        <f>INDEX(AC$124:AC$127,$D1165)*$E1165*INDEX(AC$128:AC$144,$F1165)</f>
        <v/>
      </c>
      <c r="AD1165" s="36">
        <f>INDEX(AD$124:AD$127,$D1165)*$E1165*INDEX(AD$128:AD$144,$F1165)</f>
        <v/>
      </c>
      <c r="AE1165" s="36">
        <f>INDEX(AE$124:AE$127,$D1165)*$E1165*INDEX(AE$128:AE$144,$F1165)</f>
        <v/>
      </c>
      <c r="AF1165" s="36">
        <f>INDEX(AF$124:AF$127,$D1165)*$E1165*INDEX(AF$128:AF$144,$F1165)</f>
        <v/>
      </c>
      <c r="AG1165" s="36">
        <f>INDEX(AG$124:AG$127,$D1165)*$E1165*INDEX(AG$128:AG$144,$F1165)</f>
        <v/>
      </c>
      <c r="AH1165" s="36">
        <f>INDEX(AH$124:AH$127,$D1165)*$E1165*INDEX(AH$128:AH$144,$F1165)</f>
        <v/>
      </c>
      <c r="AI1165" s="36">
        <f>INDEX(AI$124:AI$127,$D1165)*$E1165*INDEX(AI$128:AI$144,$F1165)</f>
        <v/>
      </c>
      <c r="AJ1165" s="36">
        <f>INDEX(AJ$124:AJ$127,$D1165)*$E1165*INDEX(AJ$128:AJ$144,$F1165)</f>
        <v/>
      </c>
      <c r="AK1165" s="36">
        <f>INDEX(AK$124:AK$127,$D1165)*$E1165*INDEX(AK$128:AK$144,$F1165)</f>
        <v/>
      </c>
      <c r="AL1165" s="36">
        <f>INDEX(AL$124:AL$127,$D1165)*$E1165*INDEX(AL$128:AL$144,$F1165)</f>
        <v/>
      </c>
      <c r="AM1165" s="36">
        <f>INDEX(AM$124:AM$127,$D1165)*$E1165*INDEX(AM$128:AM$144,$F1165)</f>
        <v/>
      </c>
      <c r="AN1165" s="36">
        <f>INDEX(AN$124:AN$127,$D1165)*$E1165*INDEX(AN$128:AN$144,$F1165)</f>
        <v/>
      </c>
    </row>
    <row r="1166" hidden="1" outlineLevel="2">
      <c r="A1166" s="5" t="inlineStr">
        <is>
          <t>shp</t>
        </is>
      </c>
      <c r="B1166" s="5" t="inlineStr">
        <is>
          <t>ker</t>
        </is>
      </c>
      <c r="C1166" s="5" t="inlineStr">
        <is>
          <t>cst</t>
        </is>
      </c>
      <c r="D1166" s="36">
        <f>INDEX(Inputs!$M$5:$M$132,MATCH($B1166&amp;"|"&amp;$C1166,Inputs!$A$5:$A$132,0))</f>
        <v/>
      </c>
      <c r="E1166" s="36">
        <f>INDEX(Inputs!$U$5:$U$132,MATCH($B1166&amp;"|"&amp;$C1166,Inputs!$A$5:$A$132,0))</f>
        <v/>
      </c>
      <c r="F1166" s="36">
        <f>INDEX(Inputs!$K$5:$K$132,MATCH($B1166&amp;"|"&amp;$C1166,Inputs!$A$5:$A$132,0))</f>
        <v/>
      </c>
      <c r="G1166" s="37" t="n"/>
      <c r="H1166" s="5">
        <f>INDEX(Variables!$B$5:$B$65,MATCH($A1166,Variables!$A$5:$A$65,0))&amp;IF($C1166="",""," | "&amp;INDEX(Mapping!$B$5:$B$25,MATCH($C1166,Mapping!$A$5:$A$25,0))&amp;" | "&amp;INDEX(Mapping!$B$29:$B$38,MATCH($B1166,Mapping!$A$29:$A$38,0)))</f>
        <v/>
      </c>
      <c r="I1166" s="5">
        <f>INDEX(Variables!$C$5:$C$65,MATCH($A1166,Variables!$A$5:$A$65,0))</f>
        <v/>
      </c>
      <c r="J1166" s="5">
        <f>INDEX(Variables!$E$5:$E$65,MATCH($A1166,Variables!$A$5:$A$65,0))</f>
        <v/>
      </c>
      <c r="K1166" s="23">
        <f>LOWER(Settings!$C$4)&amp;".mit."&amp;$A1166&amp;IF($C1166="","","."&amp;$C1166&amp;"."&amp;$B1166)&amp;IF(INDEX(Variables!$D$5:$D$65,MATCH($A1166,Variables!$A$5:$A$65,0))="","","."&amp;INDEX(Variables!$D$5:$D$65,MATCH($A1166,Variables!$A$5:$A$65,0)))&amp;"."&amp;K$5</f>
        <v/>
      </c>
      <c r="L1166" s="38">
        <f>INDEX(L$124:L$127,$D1166)*$E1166*INDEX(L$128:L$144,$F1166)</f>
        <v/>
      </c>
      <c r="M1166" s="36">
        <f>INDEX(M$124:M$127,$D1166)*$E1166*INDEX(M$128:M$144,$F1166)</f>
        <v/>
      </c>
      <c r="N1166" s="36">
        <f>INDEX(N$124:N$127,$D1166)*$E1166*INDEX(N$128:N$144,$F1166)</f>
        <v/>
      </c>
      <c r="O1166" s="36">
        <f>INDEX(O$124:O$127,$D1166)*$E1166*INDEX(O$128:O$144,$F1166)</f>
        <v/>
      </c>
      <c r="P1166" s="36">
        <f>INDEX(P$124:P$127,$D1166)*$E1166*INDEX(P$128:P$144,$F1166)</f>
        <v/>
      </c>
      <c r="Q1166" s="36">
        <f>INDEX(Q$124:Q$127,$D1166)*$E1166*INDEX(Q$128:Q$144,$F1166)</f>
        <v/>
      </c>
      <c r="R1166" s="36">
        <f>INDEX(R$124:R$127,$D1166)*$E1166*INDEX(R$128:R$144,$F1166)</f>
        <v/>
      </c>
      <c r="S1166" s="36">
        <f>INDEX(S$124:S$127,$D1166)*$E1166*INDEX(S$128:S$144,$F1166)</f>
        <v/>
      </c>
      <c r="T1166" s="36">
        <f>INDEX(T$124:T$127,$D1166)*$E1166*INDEX(T$128:T$144,$F1166)</f>
        <v/>
      </c>
      <c r="U1166" s="36">
        <f>INDEX(U$124:U$127,$D1166)*$E1166*INDEX(U$128:U$144,$F1166)</f>
        <v/>
      </c>
      <c r="V1166" s="36">
        <f>INDEX(V$124:V$127,$D1166)*$E1166*INDEX(V$128:V$144,$F1166)</f>
        <v/>
      </c>
      <c r="W1166" s="36">
        <f>INDEX(W$124:W$127,$D1166)*$E1166*INDEX(W$128:W$144,$F1166)</f>
        <v/>
      </c>
      <c r="X1166" s="36">
        <f>INDEX(X$124:X$127,$D1166)*$E1166*INDEX(X$128:X$144,$F1166)</f>
        <v/>
      </c>
      <c r="Y1166" s="36">
        <f>INDEX(Y$124:Y$127,$D1166)*$E1166*INDEX(Y$128:Y$144,$F1166)</f>
        <v/>
      </c>
      <c r="Z1166" s="23">
        <f>LOWER(Settings!$C$4)&amp;".mit."&amp;$A1166&amp;IF($C1166="","","."&amp;$C1166&amp;"."&amp;$B1166)&amp;IF(INDEX(Variables!$D$5:$D$65,MATCH($A1166,Variables!$A$5:$A$65,0))="","","."&amp;INDEX(Variables!$D$5:$D$65,MATCH($A1166,Variables!$A$5:$A$65,0)))&amp;"."&amp;Z$5</f>
        <v/>
      </c>
      <c r="AA1166" s="38">
        <f>INDEX(AA$124:AA$127,$D1166)*$E1166*INDEX(AA$128:AA$144,$F1166)</f>
        <v/>
      </c>
      <c r="AB1166" s="36">
        <f>INDEX(AB$124:AB$127,$D1166)*$E1166*INDEX(AB$128:AB$144,$F1166)</f>
        <v/>
      </c>
      <c r="AC1166" s="36">
        <f>INDEX(AC$124:AC$127,$D1166)*$E1166*INDEX(AC$128:AC$144,$F1166)</f>
        <v/>
      </c>
      <c r="AD1166" s="36">
        <f>INDEX(AD$124:AD$127,$D1166)*$E1166*INDEX(AD$128:AD$144,$F1166)</f>
        <v/>
      </c>
      <c r="AE1166" s="36">
        <f>INDEX(AE$124:AE$127,$D1166)*$E1166*INDEX(AE$128:AE$144,$F1166)</f>
        <v/>
      </c>
      <c r="AF1166" s="36">
        <f>INDEX(AF$124:AF$127,$D1166)*$E1166*INDEX(AF$128:AF$144,$F1166)</f>
        <v/>
      </c>
      <c r="AG1166" s="36">
        <f>INDEX(AG$124:AG$127,$D1166)*$E1166*INDEX(AG$128:AG$144,$F1166)</f>
        <v/>
      </c>
      <c r="AH1166" s="36">
        <f>INDEX(AH$124:AH$127,$D1166)*$E1166*INDEX(AH$128:AH$144,$F1166)</f>
        <v/>
      </c>
      <c r="AI1166" s="36">
        <f>INDEX(AI$124:AI$127,$D1166)*$E1166*INDEX(AI$128:AI$144,$F1166)</f>
        <v/>
      </c>
      <c r="AJ1166" s="36">
        <f>INDEX(AJ$124:AJ$127,$D1166)*$E1166*INDEX(AJ$128:AJ$144,$F1166)</f>
        <v/>
      </c>
      <c r="AK1166" s="36">
        <f>INDEX(AK$124:AK$127,$D1166)*$E1166*INDEX(AK$128:AK$144,$F1166)</f>
        <v/>
      </c>
      <c r="AL1166" s="36">
        <f>INDEX(AL$124:AL$127,$D1166)*$E1166*INDEX(AL$128:AL$144,$F1166)</f>
        <v/>
      </c>
      <c r="AM1166" s="36">
        <f>INDEX(AM$124:AM$127,$D1166)*$E1166*INDEX(AM$128:AM$144,$F1166)</f>
        <v/>
      </c>
      <c r="AN1166" s="36">
        <f>INDEX(AN$124:AN$127,$D1166)*$E1166*INDEX(AN$128:AN$144,$F1166)</f>
        <v/>
      </c>
    </row>
    <row r="1167" hidden="1" outlineLevel="2">
      <c r="A1167" s="5" t="inlineStr">
        <is>
          <t>shp</t>
        </is>
      </c>
      <c r="B1167" s="5" t="inlineStr">
        <is>
          <t>oop</t>
        </is>
      </c>
      <c r="C1167" s="5" t="inlineStr">
        <is>
          <t>cst</t>
        </is>
      </c>
      <c r="D1167" s="36">
        <f>INDEX(Inputs!$M$5:$M$132,MATCH($B1167&amp;"|"&amp;$C1167,Inputs!$A$5:$A$132,0))</f>
        <v/>
      </c>
      <c r="E1167" s="36">
        <f>INDEX(Inputs!$U$5:$U$132,MATCH($B1167&amp;"|"&amp;$C1167,Inputs!$A$5:$A$132,0))</f>
        <v/>
      </c>
      <c r="F1167" s="36">
        <f>INDEX(Inputs!$K$5:$K$132,MATCH($B1167&amp;"|"&amp;$C1167,Inputs!$A$5:$A$132,0))</f>
        <v/>
      </c>
      <c r="G1167" s="37" t="n"/>
      <c r="H1167" s="5">
        <f>INDEX(Variables!$B$5:$B$65,MATCH($A1167,Variables!$A$5:$A$65,0))&amp;IF($C1167="",""," | "&amp;INDEX(Mapping!$B$5:$B$25,MATCH($C1167,Mapping!$A$5:$A$25,0))&amp;" | "&amp;INDEX(Mapping!$B$29:$B$38,MATCH($B1167,Mapping!$A$29:$A$38,0)))</f>
        <v/>
      </c>
      <c r="I1167" s="5">
        <f>INDEX(Variables!$C$5:$C$65,MATCH($A1167,Variables!$A$5:$A$65,0))</f>
        <v/>
      </c>
      <c r="J1167" s="5">
        <f>INDEX(Variables!$E$5:$E$65,MATCH($A1167,Variables!$A$5:$A$65,0))</f>
        <v/>
      </c>
      <c r="K1167" s="23">
        <f>LOWER(Settings!$C$4)&amp;".mit."&amp;$A1167&amp;IF($C1167="","","."&amp;$C1167&amp;"."&amp;$B1167)&amp;IF(INDEX(Variables!$D$5:$D$65,MATCH($A1167,Variables!$A$5:$A$65,0))="","","."&amp;INDEX(Variables!$D$5:$D$65,MATCH($A1167,Variables!$A$5:$A$65,0)))&amp;"."&amp;K$5</f>
        <v/>
      </c>
      <c r="L1167" s="38">
        <f>INDEX(L$124:L$127,$D1167)*$E1167*INDEX(L$128:L$144,$F1167)</f>
        <v/>
      </c>
      <c r="M1167" s="36">
        <f>INDEX(M$124:M$127,$D1167)*$E1167*INDEX(M$128:M$144,$F1167)</f>
        <v/>
      </c>
      <c r="N1167" s="36">
        <f>INDEX(N$124:N$127,$D1167)*$E1167*INDEX(N$128:N$144,$F1167)</f>
        <v/>
      </c>
      <c r="O1167" s="36">
        <f>INDEX(O$124:O$127,$D1167)*$E1167*INDEX(O$128:O$144,$F1167)</f>
        <v/>
      </c>
      <c r="P1167" s="36">
        <f>INDEX(P$124:P$127,$D1167)*$E1167*INDEX(P$128:P$144,$F1167)</f>
        <v/>
      </c>
      <c r="Q1167" s="36">
        <f>INDEX(Q$124:Q$127,$D1167)*$E1167*INDEX(Q$128:Q$144,$F1167)</f>
        <v/>
      </c>
      <c r="R1167" s="36">
        <f>INDEX(R$124:R$127,$D1167)*$E1167*INDEX(R$128:R$144,$F1167)</f>
        <v/>
      </c>
      <c r="S1167" s="36">
        <f>INDEX(S$124:S$127,$D1167)*$E1167*INDEX(S$128:S$144,$F1167)</f>
        <v/>
      </c>
      <c r="T1167" s="36">
        <f>INDEX(T$124:T$127,$D1167)*$E1167*INDEX(T$128:T$144,$F1167)</f>
        <v/>
      </c>
      <c r="U1167" s="36">
        <f>INDEX(U$124:U$127,$D1167)*$E1167*INDEX(U$128:U$144,$F1167)</f>
        <v/>
      </c>
      <c r="V1167" s="36">
        <f>INDEX(V$124:V$127,$D1167)*$E1167*INDEX(V$128:V$144,$F1167)</f>
        <v/>
      </c>
      <c r="W1167" s="36">
        <f>INDEX(W$124:W$127,$D1167)*$E1167*INDEX(W$128:W$144,$F1167)</f>
        <v/>
      </c>
      <c r="X1167" s="36">
        <f>INDEX(X$124:X$127,$D1167)*$E1167*INDEX(X$128:X$144,$F1167)</f>
        <v/>
      </c>
      <c r="Y1167" s="36">
        <f>INDEX(Y$124:Y$127,$D1167)*$E1167*INDEX(Y$128:Y$144,$F1167)</f>
        <v/>
      </c>
      <c r="Z1167" s="23">
        <f>LOWER(Settings!$C$4)&amp;".mit."&amp;$A1167&amp;IF($C1167="","","."&amp;$C1167&amp;"."&amp;$B1167)&amp;IF(INDEX(Variables!$D$5:$D$65,MATCH($A1167,Variables!$A$5:$A$65,0))="","","."&amp;INDEX(Variables!$D$5:$D$65,MATCH($A1167,Variables!$A$5:$A$65,0)))&amp;"."&amp;Z$5</f>
        <v/>
      </c>
      <c r="AA1167" s="38">
        <f>INDEX(AA$124:AA$127,$D1167)*$E1167*INDEX(AA$128:AA$144,$F1167)</f>
        <v/>
      </c>
      <c r="AB1167" s="36">
        <f>INDEX(AB$124:AB$127,$D1167)*$E1167*INDEX(AB$128:AB$144,$F1167)</f>
        <v/>
      </c>
      <c r="AC1167" s="36">
        <f>INDEX(AC$124:AC$127,$D1167)*$E1167*INDEX(AC$128:AC$144,$F1167)</f>
        <v/>
      </c>
      <c r="AD1167" s="36">
        <f>INDEX(AD$124:AD$127,$D1167)*$E1167*INDEX(AD$128:AD$144,$F1167)</f>
        <v/>
      </c>
      <c r="AE1167" s="36">
        <f>INDEX(AE$124:AE$127,$D1167)*$E1167*INDEX(AE$128:AE$144,$F1167)</f>
        <v/>
      </c>
      <c r="AF1167" s="36">
        <f>INDEX(AF$124:AF$127,$D1167)*$E1167*INDEX(AF$128:AF$144,$F1167)</f>
        <v/>
      </c>
      <c r="AG1167" s="36">
        <f>INDEX(AG$124:AG$127,$D1167)*$E1167*INDEX(AG$128:AG$144,$F1167)</f>
        <v/>
      </c>
      <c r="AH1167" s="36">
        <f>INDEX(AH$124:AH$127,$D1167)*$E1167*INDEX(AH$128:AH$144,$F1167)</f>
        <v/>
      </c>
      <c r="AI1167" s="36">
        <f>INDEX(AI$124:AI$127,$D1167)*$E1167*INDEX(AI$128:AI$144,$F1167)</f>
        <v/>
      </c>
      <c r="AJ1167" s="36">
        <f>INDEX(AJ$124:AJ$127,$D1167)*$E1167*INDEX(AJ$128:AJ$144,$F1167)</f>
        <v/>
      </c>
      <c r="AK1167" s="36">
        <f>INDEX(AK$124:AK$127,$D1167)*$E1167*INDEX(AK$128:AK$144,$F1167)</f>
        <v/>
      </c>
      <c r="AL1167" s="36">
        <f>INDEX(AL$124:AL$127,$D1167)*$E1167*INDEX(AL$128:AL$144,$F1167)</f>
        <v/>
      </c>
      <c r="AM1167" s="36">
        <f>INDEX(AM$124:AM$127,$D1167)*$E1167*INDEX(AM$128:AM$144,$F1167)</f>
        <v/>
      </c>
      <c r="AN1167" s="36">
        <f>INDEX(AN$124:AN$127,$D1167)*$E1167*INDEX(AN$128:AN$144,$F1167)</f>
        <v/>
      </c>
    </row>
    <row r="1168" hidden="1" outlineLevel="2">
      <c r="A1168" s="5" t="inlineStr">
        <is>
          <t>shp</t>
        </is>
      </c>
      <c r="B1168" s="5" t="inlineStr">
        <is>
          <t>bio</t>
        </is>
      </c>
      <c r="C1168" s="5" t="inlineStr">
        <is>
          <t>cst</t>
        </is>
      </c>
      <c r="D1168" s="36">
        <f>INDEX(Inputs!$M$5:$M$132,MATCH($B1168&amp;"|"&amp;$C1168,Inputs!$A$5:$A$132,0))</f>
        <v/>
      </c>
      <c r="E1168" s="36">
        <f>INDEX(Inputs!$U$5:$U$132,MATCH($B1168&amp;"|"&amp;$C1168,Inputs!$A$5:$A$132,0))</f>
        <v/>
      </c>
      <c r="F1168" s="36">
        <f>INDEX(Inputs!$K$5:$K$132,MATCH($B1168&amp;"|"&amp;$C1168,Inputs!$A$5:$A$132,0))</f>
        <v/>
      </c>
      <c r="G1168" s="37" t="n"/>
      <c r="H1168" s="5">
        <f>INDEX(Variables!$B$5:$B$65,MATCH($A1168,Variables!$A$5:$A$65,0))&amp;IF($C1168="",""," | "&amp;INDEX(Mapping!$B$5:$B$25,MATCH($C1168,Mapping!$A$5:$A$25,0))&amp;" | "&amp;INDEX(Mapping!$B$29:$B$38,MATCH($B1168,Mapping!$A$29:$A$38,0)))</f>
        <v/>
      </c>
      <c r="I1168" s="5">
        <f>INDEX(Variables!$C$5:$C$65,MATCH($A1168,Variables!$A$5:$A$65,0))</f>
        <v/>
      </c>
      <c r="J1168" s="5">
        <f>INDEX(Variables!$E$5:$E$65,MATCH($A1168,Variables!$A$5:$A$65,0))</f>
        <v/>
      </c>
      <c r="K1168" s="23">
        <f>LOWER(Settings!$C$4)&amp;".mit."&amp;$A1168&amp;IF($C1168="","","."&amp;$C1168&amp;"."&amp;$B1168)&amp;IF(INDEX(Variables!$D$5:$D$65,MATCH($A1168,Variables!$A$5:$A$65,0))="","","."&amp;INDEX(Variables!$D$5:$D$65,MATCH($A1168,Variables!$A$5:$A$65,0)))&amp;"."&amp;K$5</f>
        <v/>
      </c>
      <c r="L1168" s="38">
        <f>INDEX(L$124:L$127,$D1168)*$E1168*INDEX(L$128:L$144,$F1168)</f>
        <v/>
      </c>
      <c r="M1168" s="36">
        <f>INDEX(M$124:M$127,$D1168)*$E1168*INDEX(M$128:M$144,$F1168)</f>
        <v/>
      </c>
      <c r="N1168" s="36">
        <f>INDEX(N$124:N$127,$D1168)*$E1168*INDEX(N$128:N$144,$F1168)</f>
        <v/>
      </c>
      <c r="O1168" s="36">
        <f>INDEX(O$124:O$127,$D1168)*$E1168*INDEX(O$128:O$144,$F1168)</f>
        <v/>
      </c>
      <c r="P1168" s="36">
        <f>INDEX(P$124:P$127,$D1168)*$E1168*INDEX(P$128:P$144,$F1168)</f>
        <v/>
      </c>
      <c r="Q1168" s="36">
        <f>INDEX(Q$124:Q$127,$D1168)*$E1168*INDEX(Q$128:Q$144,$F1168)</f>
        <v/>
      </c>
      <c r="R1168" s="36">
        <f>INDEX(R$124:R$127,$D1168)*$E1168*INDEX(R$128:R$144,$F1168)</f>
        <v/>
      </c>
      <c r="S1168" s="36">
        <f>INDEX(S$124:S$127,$D1168)*$E1168*INDEX(S$128:S$144,$F1168)</f>
        <v/>
      </c>
      <c r="T1168" s="36">
        <f>INDEX(T$124:T$127,$D1168)*$E1168*INDEX(T$128:T$144,$F1168)</f>
        <v/>
      </c>
      <c r="U1168" s="36">
        <f>INDEX(U$124:U$127,$D1168)*$E1168*INDEX(U$128:U$144,$F1168)</f>
        <v/>
      </c>
      <c r="V1168" s="36">
        <f>INDEX(V$124:V$127,$D1168)*$E1168*INDEX(V$128:V$144,$F1168)</f>
        <v/>
      </c>
      <c r="W1168" s="36">
        <f>INDEX(W$124:W$127,$D1168)*$E1168*INDEX(W$128:W$144,$F1168)</f>
        <v/>
      </c>
      <c r="X1168" s="36">
        <f>INDEX(X$124:X$127,$D1168)*$E1168*INDEX(X$128:X$144,$F1168)</f>
        <v/>
      </c>
      <c r="Y1168" s="36">
        <f>INDEX(Y$124:Y$127,$D1168)*$E1168*INDEX(Y$128:Y$144,$F1168)</f>
        <v/>
      </c>
      <c r="Z1168" s="23">
        <f>LOWER(Settings!$C$4)&amp;".mit."&amp;$A1168&amp;IF($C1168="","","."&amp;$C1168&amp;"."&amp;$B1168)&amp;IF(INDEX(Variables!$D$5:$D$65,MATCH($A1168,Variables!$A$5:$A$65,0))="","","."&amp;INDEX(Variables!$D$5:$D$65,MATCH($A1168,Variables!$A$5:$A$65,0)))&amp;"."&amp;Z$5</f>
        <v/>
      </c>
      <c r="AA1168" s="38">
        <f>INDEX(AA$124:AA$127,$D1168)*$E1168*INDEX(AA$128:AA$144,$F1168)</f>
        <v/>
      </c>
      <c r="AB1168" s="36">
        <f>INDEX(AB$124:AB$127,$D1168)*$E1168*INDEX(AB$128:AB$144,$F1168)</f>
        <v/>
      </c>
      <c r="AC1168" s="36">
        <f>INDEX(AC$124:AC$127,$D1168)*$E1168*INDEX(AC$128:AC$144,$F1168)</f>
        <v/>
      </c>
      <c r="AD1168" s="36">
        <f>INDEX(AD$124:AD$127,$D1168)*$E1168*INDEX(AD$128:AD$144,$F1168)</f>
        <v/>
      </c>
      <c r="AE1168" s="36">
        <f>INDEX(AE$124:AE$127,$D1168)*$E1168*INDEX(AE$128:AE$144,$F1168)</f>
        <v/>
      </c>
      <c r="AF1168" s="36">
        <f>INDEX(AF$124:AF$127,$D1168)*$E1168*INDEX(AF$128:AF$144,$F1168)</f>
        <v/>
      </c>
      <c r="AG1168" s="36">
        <f>INDEX(AG$124:AG$127,$D1168)*$E1168*INDEX(AG$128:AG$144,$F1168)</f>
        <v/>
      </c>
      <c r="AH1168" s="36">
        <f>INDEX(AH$124:AH$127,$D1168)*$E1168*INDEX(AH$128:AH$144,$F1168)</f>
        <v/>
      </c>
      <c r="AI1168" s="36">
        <f>INDEX(AI$124:AI$127,$D1168)*$E1168*INDEX(AI$128:AI$144,$F1168)</f>
        <v/>
      </c>
      <c r="AJ1168" s="36">
        <f>INDEX(AJ$124:AJ$127,$D1168)*$E1168*INDEX(AJ$128:AJ$144,$F1168)</f>
        <v/>
      </c>
      <c r="AK1168" s="36">
        <f>INDEX(AK$124:AK$127,$D1168)*$E1168*INDEX(AK$128:AK$144,$F1168)</f>
        <v/>
      </c>
      <c r="AL1168" s="36">
        <f>INDEX(AL$124:AL$127,$D1168)*$E1168*INDEX(AL$128:AL$144,$F1168)</f>
        <v/>
      </c>
      <c r="AM1168" s="36">
        <f>INDEX(AM$124:AM$127,$D1168)*$E1168*INDEX(AM$128:AM$144,$F1168)</f>
        <v/>
      </c>
      <c r="AN1168" s="36">
        <f>INDEX(AN$124:AN$127,$D1168)*$E1168*INDEX(AN$128:AN$144,$F1168)</f>
        <v/>
      </c>
    </row>
    <row r="1169" hidden="1" outlineLevel="2"/>
    <row r="1170" hidden="1" outlineLevel="2">
      <c r="A1170" s="5" t="inlineStr">
        <is>
          <t>ener</t>
        </is>
      </c>
      <c r="B1170" s="5" t="inlineStr">
        <is>
          <t>coa</t>
        </is>
      </c>
      <c r="C1170" s="5" t="inlineStr">
        <is>
          <t>cst</t>
        </is>
      </c>
      <c r="D1170" s="36">
        <f>INDEX(Inputs!$N$5:$N$132,MATCH($B1170&amp;"|"&amp;$C1170,Inputs!$A$5:$A$132,0))</f>
        <v/>
      </c>
      <c r="E1170" s="36">
        <f>INDEX(Inputs!$O$5:$O$132,MATCH($B1170&amp;"|"&amp;$C1170,Inputs!$A$5:$A$132,0))</f>
        <v/>
      </c>
      <c r="F1170" s="36">
        <f>INDEX(Inputs!$P$5:$P$132,MATCH($B1170&amp;"|"&amp;$C1170,Inputs!$A$5:$A$132,0))</f>
        <v/>
      </c>
      <c r="G1170" s="36">
        <f>INDEX(Inputs!$Q$5:$Q$132,MATCH($B1170&amp;"|"&amp;$C1170,Inputs!$A$5:$A$132,0))</f>
        <v/>
      </c>
      <c r="H1170" s="5">
        <f>INDEX(Variables!$B$5:$B$65,MATCH($A1170,Variables!$A$5:$A$65,0))&amp;IF($C1170="",""," | "&amp;INDEX(Mapping!$B$5:$B$25,MATCH($C1170,Mapping!$A$5:$A$25,0))&amp;" | "&amp;INDEX(Mapping!$B$29:$B$38,MATCH($B1170,Mapping!$A$29:$A$38,0)))</f>
        <v/>
      </c>
      <c r="I1170" s="5">
        <f>INDEX(Variables!$C$5:$C$65,MATCH($A1170,Variables!$A$5:$A$65,0))</f>
        <v/>
      </c>
      <c r="J1170" s="5">
        <f>INDEX(Variables!$E$5:$E$65,MATCH($A1170,Variables!$A$5:$A$65,0))</f>
        <v/>
      </c>
      <c r="K1170" s="23">
        <f>LOWER(Settings!$C$4)&amp;".mit."&amp;$A1170&amp;IF($C1170="","","."&amp;$C1170&amp;"."&amp;$B1170)&amp;IF(INDEX(Variables!$D$5:$D$65,MATCH($A1170,Variables!$A$5:$A$65,0))="","","."&amp;INDEX(Variables!$D$5:$D$65,MATCH($A1170,Variables!$A$5:$A$65,0)))&amp;"."&amp;K$5</f>
        <v/>
      </c>
      <c r="L1170" s="40">
        <f>INDEX(Inputs!$V$5:$V$132,MATCH($B1170&amp;"|"&amp;$C1170,Inputs!$A$5:$A$132,0))</f>
        <v/>
      </c>
      <c r="M1170" s="41">
        <f>L1170*(1/(1+$G1170))^(1+$E1170)*(1+M$7)^$D1170*(M1152/L1152)^$E1170*((M1152+M1161)/(L1152+L1161))^($F1170*(1+$E1170))</f>
        <v/>
      </c>
      <c r="N1170" s="41">
        <f>M1170*(1/(1+$G1170))^(1+$E1170)*(1+N$7)^$D1170*(N1152/M1152)^$E1170*((N1152+N1161)/(M1152+M1161))^($F1170*(1+$E1170))</f>
        <v/>
      </c>
      <c r="O1170" s="41">
        <f>N1170*(1/(1+$G1170))^(1+$E1170)*(1+O$7)^$D1170*(O1152/N1152)^$E1170*((O1152+O1161)/(N1152+N1161))^($F1170*(1+$E1170))</f>
        <v/>
      </c>
      <c r="P1170" s="41">
        <f>O1170*(1/(1+$G1170))^(1+$E1170)*(1+P$7)^$D1170*(P1152/O1152)^$E1170*((P1152+P1161)/(O1152+O1161))^($F1170*(1+$E1170))</f>
        <v/>
      </c>
      <c r="Q1170" s="41">
        <f>P1170*(1/(1+$G1170))^(1+$E1170)*(1+Q$7)^$D1170*(Q1152/P1152)^$E1170*((Q1152+Q1161)/(P1152+P1161))^($F1170*(1+$E1170))</f>
        <v/>
      </c>
      <c r="R1170" s="41">
        <f>Q1170*(1/(1+$G1170))^(1+$E1170)*(1+R$7)^$D1170*(R1152/Q1152)^$E1170*((R1152+R1161)/(Q1152+Q1161))^($F1170*(1+$E1170))</f>
        <v/>
      </c>
      <c r="S1170" s="41">
        <f>R1170*(1/(1+$G1170))^(1+$E1170)*(1+S$7)^$D1170*(S1152/R1152)^$E1170*((S1152+S1161)/(R1152+R1161))^($F1170*(1+$E1170))</f>
        <v/>
      </c>
      <c r="T1170" s="41">
        <f>S1170*(1/(1+$G1170))^(1+$E1170)*(1+T$7)^$D1170*(T1152/S1152)^$E1170*((T1152+T1161)/(S1152+S1161))^($F1170*(1+$E1170))</f>
        <v/>
      </c>
      <c r="U1170" s="41">
        <f>T1170*(1/(1+$G1170))^(1+$E1170)*(1+U$7)^$D1170*(U1152/T1152)^$E1170*((U1152+U1161)/(T1152+T1161))^($F1170*(1+$E1170))</f>
        <v/>
      </c>
      <c r="V1170" s="41">
        <f>U1170*(1/(1+$G1170))^(1+$E1170)*(1+V$7)^$D1170*(V1152/U1152)^$E1170*((V1152+V1161)/(U1152+U1161))^($F1170*(1+$E1170))</f>
        <v/>
      </c>
      <c r="W1170" s="41">
        <f>V1170*(1/(1+$G1170))^(1+$E1170)*(1+W$7)^$D1170*(W1152/V1152)^$E1170*((W1152+W1161)/(V1152+V1161))^($F1170*(1+$E1170))</f>
        <v/>
      </c>
      <c r="X1170" s="41">
        <f>W1170*(1/(1+$G1170))^(1+$E1170)*(1+X$7)^$D1170*(X1152/W1152)^$E1170*((X1152+X1161)/(W1152+W1161))^($F1170*(1+$E1170))</f>
        <v/>
      </c>
      <c r="Y1170" s="42">
        <f>FUELUSE(X1170,Y1152,X1152,Y1161,X1161,Y$7,$D1170,$E1170,$F1170,$G1170)</f>
        <v/>
      </c>
      <c r="Z1170" s="23">
        <f>LOWER(Settings!$C$4)&amp;".mit."&amp;$A1170&amp;IF($C1170="","","."&amp;$C1170&amp;"."&amp;$B1170)&amp;IF(INDEX(Variables!$D$5:$D$65,MATCH($A1170,Variables!$A$5:$A$65,0))="","","."&amp;INDEX(Variables!$D$5:$D$65,MATCH($A1170,Variables!$A$5:$A$65,0)))&amp;"."&amp;Z$5</f>
        <v/>
      </c>
      <c r="AA1170" s="40">
        <f>INDEX(Inputs!$V$5:$V$132,MATCH($B1170&amp;"|"&amp;$C1170,Inputs!$A$5:$A$132,0))</f>
        <v/>
      </c>
      <c r="AB1170" s="41">
        <f>AA1170*(1/(1+$G1170))^(1+$E1170)*(1+AB$7)^$D1170*(AB1152/AA1152)^$E1170*((AB1152+AB1161)/(AA1152+AA1161))^($F1170*(1+$E1170))</f>
        <v/>
      </c>
      <c r="AC1170" s="41">
        <f>AB1170*(1/(1+$G1170))^(1+$E1170)*(1+AC$7)^$D1170*(AC1152/AB1152)^$E1170*((AC1152+AC1161)/(AB1152+AB1161))^($F1170*(1+$E1170))</f>
        <v/>
      </c>
      <c r="AD1170" s="41">
        <f>AC1170*(1/(1+$G1170))^(1+$E1170)*(1+AD$7)^$D1170*(AD1152/AC1152)^$E1170*((AD1152+AD1161)/(AC1152+AC1161))^($F1170*(1+$E1170))</f>
        <v/>
      </c>
      <c r="AE1170" s="41">
        <f>AD1170*(1/(1+$G1170))^(1+$E1170)*(1+AE$7)^$D1170*(AE1152/AD1152)^$E1170*((AE1152+AE1161)/(AD1152+AD1161))^($F1170*(1+$E1170))</f>
        <v/>
      </c>
      <c r="AF1170" s="41">
        <f>AE1170*(1/(1+$G1170))^(1+$E1170)*(1+AF$7)^$D1170*(AF1152/AE1152)^$E1170*((AF1152+AF1161)/(AE1152+AE1161))^($F1170*(1+$E1170))</f>
        <v/>
      </c>
      <c r="AG1170" s="41">
        <f>AF1170*(1/(1+$G1170))^(1+$E1170)*(1+AG$7)^$D1170*(AG1152/AF1152)^$E1170*((AG1152+AG1161)/(AF1152+AF1161))^($F1170*(1+$E1170))</f>
        <v/>
      </c>
      <c r="AH1170" s="41">
        <f>AG1170*(1/(1+$G1170))^(1+$E1170)*(1+AH$7)^$D1170*(AH1152/AG1152)^$E1170*((AH1152+AH1161)/(AG1152+AG1161))^($F1170*(1+$E1170))</f>
        <v/>
      </c>
      <c r="AI1170" s="41">
        <f>AH1170*(1/(1+$G1170))^(1+$E1170)*(1+AI$7)^$D1170*(AI1152/AH1152)^$E1170*((AI1152+AI1161)/(AH1152+AH1161))^($F1170*(1+$E1170))</f>
        <v/>
      </c>
      <c r="AJ1170" s="41">
        <f>AI1170*(1/(1+$G1170))^(1+$E1170)*(1+AJ$7)^$D1170*(AJ1152/AI1152)^$E1170*((AJ1152+AJ1161)/(AI1152+AI1161))^($F1170*(1+$E1170))</f>
        <v/>
      </c>
      <c r="AK1170" s="41">
        <f>AJ1170*(1/(1+$G1170))^(1+$E1170)*(1+AK$7)^$D1170*(AK1152/AJ1152)^$E1170*((AK1152+AK1161)/(AJ1152+AJ1161))^($F1170*(1+$E1170))</f>
        <v/>
      </c>
      <c r="AL1170" s="41">
        <f>AK1170*(1/(1+$G1170))^(1+$E1170)*(1+AL$7)^$D1170*(AL1152/AK1152)^$E1170*((AL1152+AL1161)/(AK1152+AK1161))^($F1170*(1+$E1170))</f>
        <v/>
      </c>
      <c r="AM1170" s="41">
        <f>AL1170*(1/(1+$G1170))^(1+$E1170)*(1+AM$7)^$D1170*(AM1152/AL1152)^$E1170*((AM1152+AM1161)/(AL1152+AL1161))^($F1170*(1+$E1170))</f>
        <v/>
      </c>
      <c r="AN1170" s="42">
        <f>FUELUSE(AM1170,AN1152,AM1152,AN1161,AM1161,AN$7,$D1170,$E1170,$F1170,$G1170)</f>
        <v/>
      </c>
    </row>
    <row r="1171" hidden="1" outlineLevel="2">
      <c r="A1171" s="5" t="inlineStr">
        <is>
          <t>ener</t>
        </is>
      </c>
      <c r="B1171" s="5" t="inlineStr">
        <is>
          <t>nga</t>
        </is>
      </c>
      <c r="C1171" s="5" t="inlineStr">
        <is>
          <t>cst</t>
        </is>
      </c>
      <c r="D1171" s="36">
        <f>INDEX(Inputs!$N$5:$N$132,MATCH($B1171&amp;"|"&amp;$C1171,Inputs!$A$5:$A$132,0))</f>
        <v/>
      </c>
      <c r="E1171" s="36">
        <f>INDEX(Inputs!$O$5:$O$132,MATCH($B1171&amp;"|"&amp;$C1171,Inputs!$A$5:$A$132,0))</f>
        <v/>
      </c>
      <c r="F1171" s="36">
        <f>INDEX(Inputs!$P$5:$P$132,MATCH($B1171&amp;"|"&amp;$C1171,Inputs!$A$5:$A$132,0))</f>
        <v/>
      </c>
      <c r="G1171" s="36">
        <f>INDEX(Inputs!$Q$5:$Q$132,MATCH($B1171&amp;"|"&amp;$C1171,Inputs!$A$5:$A$132,0))</f>
        <v/>
      </c>
      <c r="H1171" s="5">
        <f>INDEX(Variables!$B$5:$B$65,MATCH($A1171,Variables!$A$5:$A$65,0))&amp;IF($C1171="",""," | "&amp;INDEX(Mapping!$B$5:$B$25,MATCH($C1171,Mapping!$A$5:$A$25,0))&amp;" | "&amp;INDEX(Mapping!$B$29:$B$38,MATCH($B1171,Mapping!$A$29:$A$38,0)))</f>
        <v/>
      </c>
      <c r="I1171" s="5">
        <f>INDEX(Variables!$C$5:$C$65,MATCH($A1171,Variables!$A$5:$A$65,0))</f>
        <v/>
      </c>
      <c r="J1171" s="5">
        <f>INDEX(Variables!$E$5:$E$65,MATCH($A1171,Variables!$A$5:$A$65,0))</f>
        <v/>
      </c>
      <c r="K1171" s="23">
        <f>LOWER(Settings!$C$4)&amp;".mit."&amp;$A1171&amp;IF($C1171="","","."&amp;$C1171&amp;"."&amp;$B1171)&amp;IF(INDEX(Variables!$D$5:$D$65,MATCH($A1171,Variables!$A$5:$A$65,0))="","","."&amp;INDEX(Variables!$D$5:$D$65,MATCH($A1171,Variables!$A$5:$A$65,0)))&amp;"."&amp;K$5</f>
        <v/>
      </c>
      <c r="L1171" s="40">
        <f>INDEX(Inputs!$V$5:$V$132,MATCH($B1171&amp;"|"&amp;$C1171,Inputs!$A$5:$A$132,0))</f>
        <v/>
      </c>
      <c r="M1171" s="41">
        <f>L1171*(1/(1+$G1171))^(1+$E1171)*(1+M$7)^$D1171*(M1153/L1153)^$E1171*((M1153+M1162)/(L1153+L1162))^($F1171*(1+$E1171))</f>
        <v/>
      </c>
      <c r="N1171" s="41">
        <f>M1171*(1/(1+$G1171))^(1+$E1171)*(1+N$7)^$D1171*(N1153/M1153)^$E1171*((N1153+N1162)/(M1153+M1162))^($F1171*(1+$E1171))</f>
        <v/>
      </c>
      <c r="O1171" s="41">
        <f>N1171*(1/(1+$G1171))^(1+$E1171)*(1+O$7)^$D1171*(O1153/N1153)^$E1171*((O1153+O1162)/(N1153+N1162))^($F1171*(1+$E1171))</f>
        <v/>
      </c>
      <c r="P1171" s="41">
        <f>O1171*(1/(1+$G1171))^(1+$E1171)*(1+P$7)^$D1171*(P1153/O1153)^$E1171*((P1153+P1162)/(O1153+O1162))^($F1171*(1+$E1171))</f>
        <v/>
      </c>
      <c r="Q1171" s="41">
        <f>P1171*(1/(1+$G1171))^(1+$E1171)*(1+Q$7)^$D1171*(Q1153/P1153)^$E1171*((Q1153+Q1162)/(P1153+P1162))^($F1171*(1+$E1171))</f>
        <v/>
      </c>
      <c r="R1171" s="41">
        <f>Q1171*(1/(1+$G1171))^(1+$E1171)*(1+R$7)^$D1171*(R1153/Q1153)^$E1171*((R1153+R1162)/(Q1153+Q1162))^($F1171*(1+$E1171))</f>
        <v/>
      </c>
      <c r="S1171" s="41">
        <f>R1171*(1/(1+$G1171))^(1+$E1171)*(1+S$7)^$D1171*(S1153/R1153)^$E1171*((S1153+S1162)/(R1153+R1162))^($F1171*(1+$E1171))</f>
        <v/>
      </c>
      <c r="T1171" s="41">
        <f>S1171*(1/(1+$G1171))^(1+$E1171)*(1+T$7)^$D1171*(T1153/S1153)^$E1171*((T1153+T1162)/(S1153+S1162))^($F1171*(1+$E1171))</f>
        <v/>
      </c>
      <c r="U1171" s="41">
        <f>T1171*(1/(1+$G1171))^(1+$E1171)*(1+U$7)^$D1171*(U1153/T1153)^$E1171*((U1153+U1162)/(T1153+T1162))^($F1171*(1+$E1171))</f>
        <v/>
      </c>
      <c r="V1171" s="41">
        <f>U1171*(1/(1+$G1171))^(1+$E1171)*(1+V$7)^$D1171*(V1153/U1153)^$E1171*((V1153+V1162)/(U1153+U1162))^($F1171*(1+$E1171))</f>
        <v/>
      </c>
      <c r="W1171" s="41">
        <f>V1171*(1/(1+$G1171))^(1+$E1171)*(1+W$7)^$D1171*(W1153/V1153)^$E1171*((W1153+W1162)/(V1153+V1162))^($F1171*(1+$E1171))</f>
        <v/>
      </c>
      <c r="X1171" s="41">
        <f>W1171*(1/(1+$G1171))^(1+$E1171)*(1+X$7)^$D1171*(X1153/W1153)^$E1171*((X1153+X1162)/(W1153+W1162))^($F1171*(1+$E1171))</f>
        <v/>
      </c>
      <c r="Y1171" s="42">
        <f>FUELUSE(X1171,Y1153,X1153,Y1162,X1162,Y$7,$D1171,$E1171,$F1171,$G1171)</f>
        <v/>
      </c>
      <c r="Z1171" s="23">
        <f>LOWER(Settings!$C$4)&amp;".mit."&amp;$A1171&amp;IF($C1171="","","."&amp;$C1171&amp;"."&amp;$B1171)&amp;IF(INDEX(Variables!$D$5:$D$65,MATCH($A1171,Variables!$A$5:$A$65,0))="","","."&amp;INDEX(Variables!$D$5:$D$65,MATCH($A1171,Variables!$A$5:$A$65,0)))&amp;"."&amp;Z$5</f>
        <v/>
      </c>
      <c r="AA1171" s="40">
        <f>INDEX(Inputs!$V$5:$V$132,MATCH($B1171&amp;"|"&amp;$C1171,Inputs!$A$5:$A$132,0))</f>
        <v/>
      </c>
      <c r="AB1171" s="41">
        <f>AA1171*(1/(1+$G1171))^(1+$E1171)*(1+AB$7)^$D1171*(AB1153/AA1153)^$E1171*((AB1153+AB1162)/(AA1153+AA1162))^($F1171*(1+$E1171))</f>
        <v/>
      </c>
      <c r="AC1171" s="41">
        <f>AB1171*(1/(1+$G1171))^(1+$E1171)*(1+AC$7)^$D1171*(AC1153/AB1153)^$E1171*((AC1153+AC1162)/(AB1153+AB1162))^($F1171*(1+$E1171))</f>
        <v/>
      </c>
      <c r="AD1171" s="41">
        <f>AC1171*(1/(1+$G1171))^(1+$E1171)*(1+AD$7)^$D1171*(AD1153/AC1153)^$E1171*((AD1153+AD1162)/(AC1153+AC1162))^($F1171*(1+$E1171))</f>
        <v/>
      </c>
      <c r="AE1171" s="41">
        <f>AD1171*(1/(1+$G1171))^(1+$E1171)*(1+AE$7)^$D1171*(AE1153/AD1153)^$E1171*((AE1153+AE1162)/(AD1153+AD1162))^($F1171*(1+$E1171))</f>
        <v/>
      </c>
      <c r="AF1171" s="41">
        <f>AE1171*(1/(1+$G1171))^(1+$E1171)*(1+AF$7)^$D1171*(AF1153/AE1153)^$E1171*((AF1153+AF1162)/(AE1153+AE1162))^($F1171*(1+$E1171))</f>
        <v/>
      </c>
      <c r="AG1171" s="41">
        <f>AF1171*(1/(1+$G1171))^(1+$E1171)*(1+AG$7)^$D1171*(AG1153/AF1153)^$E1171*((AG1153+AG1162)/(AF1153+AF1162))^($F1171*(1+$E1171))</f>
        <v/>
      </c>
      <c r="AH1171" s="41">
        <f>AG1171*(1/(1+$G1171))^(1+$E1171)*(1+AH$7)^$D1171*(AH1153/AG1153)^$E1171*((AH1153+AH1162)/(AG1153+AG1162))^($F1171*(1+$E1171))</f>
        <v/>
      </c>
      <c r="AI1171" s="41">
        <f>AH1171*(1/(1+$G1171))^(1+$E1171)*(1+AI$7)^$D1171*(AI1153/AH1153)^$E1171*((AI1153+AI1162)/(AH1153+AH1162))^($F1171*(1+$E1171))</f>
        <v/>
      </c>
      <c r="AJ1171" s="41">
        <f>AI1171*(1/(1+$G1171))^(1+$E1171)*(1+AJ$7)^$D1171*(AJ1153/AI1153)^$E1171*((AJ1153+AJ1162)/(AI1153+AI1162))^($F1171*(1+$E1171))</f>
        <v/>
      </c>
      <c r="AK1171" s="41">
        <f>AJ1171*(1/(1+$G1171))^(1+$E1171)*(1+AK$7)^$D1171*(AK1153/AJ1153)^$E1171*((AK1153+AK1162)/(AJ1153+AJ1162))^($F1171*(1+$E1171))</f>
        <v/>
      </c>
      <c r="AL1171" s="41">
        <f>AK1171*(1/(1+$G1171))^(1+$E1171)*(1+AL$7)^$D1171*(AL1153/AK1153)^$E1171*((AL1153+AL1162)/(AK1153+AK1162))^($F1171*(1+$E1171))</f>
        <v/>
      </c>
      <c r="AM1171" s="41">
        <f>AL1171*(1/(1+$G1171))^(1+$E1171)*(1+AM$7)^$D1171*(AM1153/AL1153)^$E1171*((AM1153+AM1162)/(AL1153+AL1162))^($F1171*(1+$E1171))</f>
        <v/>
      </c>
      <c r="AN1171" s="42">
        <f>FUELUSE(AM1171,AN1153,AM1153,AN1162,AM1162,AN$7,$D1171,$E1171,$F1171,$G1171)</f>
        <v/>
      </c>
    </row>
    <row r="1172" hidden="1" outlineLevel="2">
      <c r="A1172" s="5" t="inlineStr">
        <is>
          <t>ener</t>
        </is>
      </c>
      <c r="B1172" s="5" t="inlineStr">
        <is>
          <t>gso</t>
        </is>
      </c>
      <c r="C1172" s="5" t="inlineStr">
        <is>
          <t>cst</t>
        </is>
      </c>
      <c r="D1172" s="36">
        <f>INDEX(Inputs!$N$5:$N$132,MATCH($B1172&amp;"|"&amp;$C1172,Inputs!$A$5:$A$132,0))</f>
        <v/>
      </c>
      <c r="E1172" s="36">
        <f>INDEX(Inputs!$O$5:$O$132,MATCH($B1172&amp;"|"&amp;$C1172,Inputs!$A$5:$A$132,0))</f>
        <v/>
      </c>
      <c r="F1172" s="36">
        <f>INDEX(Inputs!$P$5:$P$132,MATCH($B1172&amp;"|"&amp;$C1172,Inputs!$A$5:$A$132,0))</f>
        <v/>
      </c>
      <c r="G1172" s="36">
        <f>INDEX(Inputs!$Q$5:$Q$132,MATCH($B1172&amp;"|"&amp;$C1172,Inputs!$A$5:$A$132,0))</f>
        <v/>
      </c>
      <c r="H1172" s="5">
        <f>INDEX(Variables!$B$5:$B$65,MATCH($A1172,Variables!$A$5:$A$65,0))&amp;IF($C1172="",""," | "&amp;INDEX(Mapping!$B$5:$B$25,MATCH($C1172,Mapping!$A$5:$A$25,0))&amp;" | "&amp;INDEX(Mapping!$B$29:$B$38,MATCH($B1172,Mapping!$A$29:$A$38,0)))</f>
        <v/>
      </c>
      <c r="I1172" s="5">
        <f>INDEX(Variables!$C$5:$C$65,MATCH($A1172,Variables!$A$5:$A$65,0))</f>
        <v/>
      </c>
      <c r="J1172" s="5">
        <f>INDEX(Variables!$E$5:$E$65,MATCH($A1172,Variables!$A$5:$A$65,0))</f>
        <v/>
      </c>
      <c r="K1172" s="23">
        <f>LOWER(Settings!$C$4)&amp;".mit."&amp;$A1172&amp;IF($C1172="","","."&amp;$C1172&amp;"."&amp;$B1172)&amp;IF(INDEX(Variables!$D$5:$D$65,MATCH($A1172,Variables!$A$5:$A$65,0))="","","."&amp;INDEX(Variables!$D$5:$D$65,MATCH($A1172,Variables!$A$5:$A$65,0)))&amp;"."&amp;K$5</f>
        <v/>
      </c>
      <c r="L1172" s="40">
        <f>INDEX(Inputs!$V$5:$V$132,MATCH($B1172&amp;"|"&amp;$C1172,Inputs!$A$5:$A$132,0))</f>
        <v/>
      </c>
      <c r="M1172" s="41">
        <f>L1172*(1/(1+$G1172))^(1+$E1172)*(1+M$7)^$D1172*(M1154/L1154)^$E1172*((M1154+M1163)/(L1154+L1163))^($F1172*(1+$E1172))</f>
        <v/>
      </c>
      <c r="N1172" s="41">
        <f>M1172*(1/(1+$G1172))^(1+$E1172)*(1+N$7)^$D1172*(N1154/M1154)^$E1172*((N1154+N1163)/(M1154+M1163))^($F1172*(1+$E1172))</f>
        <v/>
      </c>
      <c r="O1172" s="41">
        <f>N1172*(1/(1+$G1172))^(1+$E1172)*(1+O$7)^$D1172*(O1154/N1154)^$E1172*((O1154+O1163)/(N1154+N1163))^($F1172*(1+$E1172))</f>
        <v/>
      </c>
      <c r="P1172" s="41">
        <f>O1172*(1/(1+$G1172))^(1+$E1172)*(1+P$7)^$D1172*(P1154/O1154)^$E1172*((P1154+P1163)/(O1154+O1163))^($F1172*(1+$E1172))</f>
        <v/>
      </c>
      <c r="Q1172" s="41">
        <f>P1172*(1/(1+$G1172))^(1+$E1172)*(1+Q$7)^$D1172*(Q1154/P1154)^$E1172*((Q1154+Q1163)/(P1154+P1163))^($F1172*(1+$E1172))</f>
        <v/>
      </c>
      <c r="R1172" s="41">
        <f>Q1172*(1/(1+$G1172))^(1+$E1172)*(1+R$7)^$D1172*(R1154/Q1154)^$E1172*((R1154+R1163)/(Q1154+Q1163))^($F1172*(1+$E1172))</f>
        <v/>
      </c>
      <c r="S1172" s="41">
        <f>R1172*(1/(1+$G1172))^(1+$E1172)*(1+S$7)^$D1172*(S1154/R1154)^$E1172*((S1154+S1163)/(R1154+R1163))^($F1172*(1+$E1172))</f>
        <v/>
      </c>
      <c r="T1172" s="41">
        <f>S1172*(1/(1+$G1172))^(1+$E1172)*(1+T$7)^$D1172*(T1154/S1154)^$E1172*((T1154+T1163)/(S1154+S1163))^($F1172*(1+$E1172))</f>
        <v/>
      </c>
      <c r="U1172" s="41">
        <f>T1172*(1/(1+$G1172))^(1+$E1172)*(1+U$7)^$D1172*(U1154/T1154)^$E1172*((U1154+U1163)/(T1154+T1163))^($F1172*(1+$E1172))</f>
        <v/>
      </c>
      <c r="V1172" s="41">
        <f>U1172*(1/(1+$G1172))^(1+$E1172)*(1+V$7)^$D1172*(V1154/U1154)^$E1172*((V1154+V1163)/(U1154+U1163))^($F1172*(1+$E1172))</f>
        <v/>
      </c>
      <c r="W1172" s="41">
        <f>V1172*(1/(1+$G1172))^(1+$E1172)*(1+W$7)^$D1172*(W1154/V1154)^$E1172*((W1154+W1163)/(V1154+V1163))^($F1172*(1+$E1172))</f>
        <v/>
      </c>
      <c r="X1172" s="41">
        <f>W1172*(1/(1+$G1172))^(1+$E1172)*(1+X$7)^$D1172*(X1154/W1154)^$E1172*((X1154+X1163)/(W1154+W1163))^($F1172*(1+$E1172))</f>
        <v/>
      </c>
      <c r="Y1172" s="42">
        <f>FUELUSE(X1172,Y1154,X1154,Y1163,X1163,Y$7,$D1172,$E1172,$F1172,$G1172)</f>
        <v/>
      </c>
      <c r="Z1172" s="23">
        <f>LOWER(Settings!$C$4)&amp;".mit."&amp;$A1172&amp;IF($C1172="","","."&amp;$C1172&amp;"."&amp;$B1172)&amp;IF(INDEX(Variables!$D$5:$D$65,MATCH($A1172,Variables!$A$5:$A$65,0))="","","."&amp;INDEX(Variables!$D$5:$D$65,MATCH($A1172,Variables!$A$5:$A$65,0)))&amp;"."&amp;Z$5</f>
        <v/>
      </c>
      <c r="AA1172" s="40">
        <f>INDEX(Inputs!$V$5:$V$132,MATCH($B1172&amp;"|"&amp;$C1172,Inputs!$A$5:$A$132,0))</f>
        <v/>
      </c>
      <c r="AB1172" s="41">
        <f>AA1172*(1/(1+$G1172))^(1+$E1172)*(1+AB$7)^$D1172*(AB1154/AA1154)^$E1172*((AB1154+AB1163)/(AA1154+AA1163))^($F1172*(1+$E1172))</f>
        <v/>
      </c>
      <c r="AC1172" s="41">
        <f>AB1172*(1/(1+$G1172))^(1+$E1172)*(1+AC$7)^$D1172*(AC1154/AB1154)^$E1172*((AC1154+AC1163)/(AB1154+AB1163))^($F1172*(1+$E1172))</f>
        <v/>
      </c>
      <c r="AD1172" s="41">
        <f>AC1172*(1/(1+$G1172))^(1+$E1172)*(1+AD$7)^$D1172*(AD1154/AC1154)^$E1172*((AD1154+AD1163)/(AC1154+AC1163))^($F1172*(1+$E1172))</f>
        <v/>
      </c>
      <c r="AE1172" s="41">
        <f>AD1172*(1/(1+$G1172))^(1+$E1172)*(1+AE$7)^$D1172*(AE1154/AD1154)^$E1172*((AE1154+AE1163)/(AD1154+AD1163))^($F1172*(1+$E1172))</f>
        <v/>
      </c>
      <c r="AF1172" s="41">
        <f>AE1172*(1/(1+$G1172))^(1+$E1172)*(1+AF$7)^$D1172*(AF1154/AE1154)^$E1172*((AF1154+AF1163)/(AE1154+AE1163))^($F1172*(1+$E1172))</f>
        <v/>
      </c>
      <c r="AG1172" s="41">
        <f>AF1172*(1/(1+$G1172))^(1+$E1172)*(1+AG$7)^$D1172*(AG1154/AF1154)^$E1172*((AG1154+AG1163)/(AF1154+AF1163))^($F1172*(1+$E1172))</f>
        <v/>
      </c>
      <c r="AH1172" s="41">
        <f>AG1172*(1/(1+$G1172))^(1+$E1172)*(1+AH$7)^$D1172*(AH1154/AG1154)^$E1172*((AH1154+AH1163)/(AG1154+AG1163))^($F1172*(1+$E1172))</f>
        <v/>
      </c>
      <c r="AI1172" s="41">
        <f>AH1172*(1/(1+$G1172))^(1+$E1172)*(1+AI$7)^$D1172*(AI1154/AH1154)^$E1172*((AI1154+AI1163)/(AH1154+AH1163))^($F1172*(1+$E1172))</f>
        <v/>
      </c>
      <c r="AJ1172" s="41">
        <f>AI1172*(1/(1+$G1172))^(1+$E1172)*(1+AJ$7)^$D1172*(AJ1154/AI1154)^$E1172*((AJ1154+AJ1163)/(AI1154+AI1163))^($F1172*(1+$E1172))</f>
        <v/>
      </c>
      <c r="AK1172" s="41">
        <f>AJ1172*(1/(1+$G1172))^(1+$E1172)*(1+AK$7)^$D1172*(AK1154/AJ1154)^$E1172*((AK1154+AK1163)/(AJ1154+AJ1163))^($F1172*(1+$E1172))</f>
        <v/>
      </c>
      <c r="AL1172" s="41">
        <f>AK1172*(1/(1+$G1172))^(1+$E1172)*(1+AL$7)^$D1172*(AL1154/AK1154)^$E1172*((AL1154+AL1163)/(AK1154+AK1163))^($F1172*(1+$E1172))</f>
        <v/>
      </c>
      <c r="AM1172" s="41">
        <f>AL1172*(1/(1+$G1172))^(1+$E1172)*(1+AM$7)^$D1172*(AM1154/AL1154)^$E1172*((AM1154+AM1163)/(AL1154+AL1163))^($F1172*(1+$E1172))</f>
        <v/>
      </c>
      <c r="AN1172" s="42">
        <f>FUELUSE(AM1172,AN1154,AM1154,AN1163,AM1163,AN$7,$D1172,$E1172,$F1172,$G1172)</f>
        <v/>
      </c>
    </row>
    <row r="1173" hidden="1" outlineLevel="2">
      <c r="A1173" s="5" t="inlineStr">
        <is>
          <t>ener</t>
        </is>
      </c>
      <c r="B1173" s="5" t="inlineStr">
        <is>
          <t>die</t>
        </is>
      </c>
      <c r="C1173" s="5" t="inlineStr">
        <is>
          <t>cst</t>
        </is>
      </c>
      <c r="D1173" s="36">
        <f>INDEX(Inputs!$N$5:$N$132,MATCH($B1173&amp;"|"&amp;$C1173,Inputs!$A$5:$A$132,0))</f>
        <v/>
      </c>
      <c r="E1173" s="36">
        <f>INDEX(Inputs!$O$5:$O$132,MATCH($B1173&amp;"|"&amp;$C1173,Inputs!$A$5:$A$132,0))</f>
        <v/>
      </c>
      <c r="F1173" s="36">
        <f>INDEX(Inputs!$P$5:$P$132,MATCH($B1173&amp;"|"&amp;$C1173,Inputs!$A$5:$A$132,0))</f>
        <v/>
      </c>
      <c r="G1173" s="36">
        <f>INDEX(Inputs!$Q$5:$Q$132,MATCH($B1173&amp;"|"&amp;$C1173,Inputs!$A$5:$A$132,0))</f>
        <v/>
      </c>
      <c r="H1173" s="5">
        <f>INDEX(Variables!$B$5:$B$65,MATCH($A1173,Variables!$A$5:$A$65,0))&amp;IF($C1173="",""," | "&amp;INDEX(Mapping!$B$5:$B$25,MATCH($C1173,Mapping!$A$5:$A$25,0))&amp;" | "&amp;INDEX(Mapping!$B$29:$B$38,MATCH($B1173,Mapping!$A$29:$A$38,0)))</f>
        <v/>
      </c>
      <c r="I1173" s="5">
        <f>INDEX(Variables!$C$5:$C$65,MATCH($A1173,Variables!$A$5:$A$65,0))</f>
        <v/>
      </c>
      <c r="J1173" s="5">
        <f>INDEX(Variables!$E$5:$E$65,MATCH($A1173,Variables!$A$5:$A$65,0))</f>
        <v/>
      </c>
      <c r="K1173" s="23">
        <f>LOWER(Settings!$C$4)&amp;".mit."&amp;$A1173&amp;IF($C1173="","","."&amp;$C1173&amp;"."&amp;$B1173)&amp;IF(INDEX(Variables!$D$5:$D$65,MATCH($A1173,Variables!$A$5:$A$65,0))="","","."&amp;INDEX(Variables!$D$5:$D$65,MATCH($A1173,Variables!$A$5:$A$65,0)))&amp;"."&amp;K$5</f>
        <v/>
      </c>
      <c r="L1173" s="40">
        <f>INDEX(Inputs!$V$5:$V$132,MATCH($B1173&amp;"|"&amp;$C1173,Inputs!$A$5:$A$132,0))</f>
        <v/>
      </c>
      <c r="M1173" s="41">
        <f>L1173*(1/(1+$G1173))^(1+$E1173)*(1+M$7)^$D1173*(M1155/L1155)^$E1173*((M1155+M1164)/(L1155+L1164))^($F1173*(1+$E1173))</f>
        <v/>
      </c>
      <c r="N1173" s="41">
        <f>M1173*(1/(1+$G1173))^(1+$E1173)*(1+N$7)^$D1173*(N1155/M1155)^$E1173*((N1155+N1164)/(M1155+M1164))^($F1173*(1+$E1173))</f>
        <v/>
      </c>
      <c r="O1173" s="41">
        <f>N1173*(1/(1+$G1173))^(1+$E1173)*(1+O$7)^$D1173*(O1155/N1155)^$E1173*((O1155+O1164)/(N1155+N1164))^($F1173*(1+$E1173))</f>
        <v/>
      </c>
      <c r="P1173" s="41">
        <f>O1173*(1/(1+$G1173))^(1+$E1173)*(1+P$7)^$D1173*(P1155/O1155)^$E1173*((P1155+P1164)/(O1155+O1164))^($F1173*(1+$E1173))</f>
        <v/>
      </c>
      <c r="Q1173" s="41">
        <f>P1173*(1/(1+$G1173))^(1+$E1173)*(1+Q$7)^$D1173*(Q1155/P1155)^$E1173*((Q1155+Q1164)/(P1155+P1164))^($F1173*(1+$E1173))</f>
        <v/>
      </c>
      <c r="R1173" s="41">
        <f>Q1173*(1/(1+$G1173))^(1+$E1173)*(1+R$7)^$D1173*(R1155/Q1155)^$E1173*((R1155+R1164)/(Q1155+Q1164))^($F1173*(1+$E1173))</f>
        <v/>
      </c>
      <c r="S1173" s="41">
        <f>R1173*(1/(1+$G1173))^(1+$E1173)*(1+S$7)^$D1173*(S1155/R1155)^$E1173*((S1155+S1164)/(R1155+R1164))^($F1173*(1+$E1173))</f>
        <v/>
      </c>
      <c r="T1173" s="41">
        <f>S1173*(1/(1+$G1173))^(1+$E1173)*(1+T$7)^$D1173*(T1155/S1155)^$E1173*((T1155+T1164)/(S1155+S1164))^($F1173*(1+$E1173))</f>
        <v/>
      </c>
      <c r="U1173" s="41">
        <f>T1173*(1/(1+$G1173))^(1+$E1173)*(1+U$7)^$D1173*(U1155/T1155)^$E1173*((U1155+U1164)/(T1155+T1164))^($F1173*(1+$E1173))</f>
        <v/>
      </c>
      <c r="V1173" s="41">
        <f>U1173*(1/(1+$G1173))^(1+$E1173)*(1+V$7)^$D1173*(V1155/U1155)^$E1173*((V1155+V1164)/(U1155+U1164))^($F1173*(1+$E1173))</f>
        <v/>
      </c>
      <c r="W1173" s="41">
        <f>V1173*(1/(1+$G1173))^(1+$E1173)*(1+W$7)^$D1173*(W1155/V1155)^$E1173*((W1155+W1164)/(V1155+V1164))^($F1173*(1+$E1173))</f>
        <v/>
      </c>
      <c r="X1173" s="41">
        <f>W1173*(1/(1+$G1173))^(1+$E1173)*(1+X$7)^$D1173*(X1155/W1155)^$E1173*((X1155+X1164)/(W1155+W1164))^($F1173*(1+$E1173))</f>
        <v/>
      </c>
      <c r="Y1173" s="42">
        <f>FUELUSE(X1173,Y1155,X1155,Y1164,X1164,Y$7,$D1173,$E1173,$F1173,$G1173)</f>
        <v/>
      </c>
      <c r="Z1173" s="23">
        <f>LOWER(Settings!$C$4)&amp;".mit."&amp;$A1173&amp;IF($C1173="","","."&amp;$C1173&amp;"."&amp;$B1173)&amp;IF(INDEX(Variables!$D$5:$D$65,MATCH($A1173,Variables!$A$5:$A$65,0))="","","."&amp;INDEX(Variables!$D$5:$D$65,MATCH($A1173,Variables!$A$5:$A$65,0)))&amp;"."&amp;Z$5</f>
        <v/>
      </c>
      <c r="AA1173" s="40">
        <f>INDEX(Inputs!$V$5:$V$132,MATCH($B1173&amp;"|"&amp;$C1173,Inputs!$A$5:$A$132,0))</f>
        <v/>
      </c>
      <c r="AB1173" s="41">
        <f>AA1173*(1/(1+$G1173))^(1+$E1173)*(1+AB$7)^$D1173*(AB1155/AA1155)^$E1173*((AB1155+AB1164)/(AA1155+AA1164))^($F1173*(1+$E1173))</f>
        <v/>
      </c>
      <c r="AC1173" s="41">
        <f>AB1173*(1/(1+$G1173))^(1+$E1173)*(1+AC$7)^$D1173*(AC1155/AB1155)^$E1173*((AC1155+AC1164)/(AB1155+AB1164))^($F1173*(1+$E1173))</f>
        <v/>
      </c>
      <c r="AD1173" s="41">
        <f>AC1173*(1/(1+$G1173))^(1+$E1173)*(1+AD$7)^$D1173*(AD1155/AC1155)^$E1173*((AD1155+AD1164)/(AC1155+AC1164))^($F1173*(1+$E1173))</f>
        <v/>
      </c>
      <c r="AE1173" s="41">
        <f>AD1173*(1/(1+$G1173))^(1+$E1173)*(1+AE$7)^$D1173*(AE1155/AD1155)^$E1173*((AE1155+AE1164)/(AD1155+AD1164))^($F1173*(1+$E1173))</f>
        <v/>
      </c>
      <c r="AF1173" s="41">
        <f>AE1173*(1/(1+$G1173))^(1+$E1173)*(1+AF$7)^$D1173*(AF1155/AE1155)^$E1173*((AF1155+AF1164)/(AE1155+AE1164))^($F1173*(1+$E1173))</f>
        <v/>
      </c>
      <c r="AG1173" s="41">
        <f>AF1173*(1/(1+$G1173))^(1+$E1173)*(1+AG$7)^$D1173*(AG1155/AF1155)^$E1173*((AG1155+AG1164)/(AF1155+AF1164))^($F1173*(1+$E1173))</f>
        <v/>
      </c>
      <c r="AH1173" s="41">
        <f>AG1173*(1/(1+$G1173))^(1+$E1173)*(1+AH$7)^$D1173*(AH1155/AG1155)^$E1173*((AH1155+AH1164)/(AG1155+AG1164))^($F1173*(1+$E1173))</f>
        <v/>
      </c>
      <c r="AI1173" s="41">
        <f>AH1173*(1/(1+$G1173))^(1+$E1173)*(1+AI$7)^$D1173*(AI1155/AH1155)^$E1173*((AI1155+AI1164)/(AH1155+AH1164))^($F1173*(1+$E1173))</f>
        <v/>
      </c>
      <c r="AJ1173" s="41">
        <f>AI1173*(1/(1+$G1173))^(1+$E1173)*(1+AJ$7)^$D1173*(AJ1155/AI1155)^$E1173*((AJ1155+AJ1164)/(AI1155+AI1164))^($F1173*(1+$E1173))</f>
        <v/>
      </c>
      <c r="AK1173" s="41">
        <f>AJ1173*(1/(1+$G1173))^(1+$E1173)*(1+AK$7)^$D1173*(AK1155/AJ1155)^$E1173*((AK1155+AK1164)/(AJ1155+AJ1164))^($F1173*(1+$E1173))</f>
        <v/>
      </c>
      <c r="AL1173" s="41">
        <f>AK1173*(1/(1+$G1173))^(1+$E1173)*(1+AL$7)^$D1173*(AL1155/AK1155)^$E1173*((AL1155+AL1164)/(AK1155+AK1164))^($F1173*(1+$E1173))</f>
        <v/>
      </c>
      <c r="AM1173" s="41">
        <f>AL1173*(1/(1+$G1173))^(1+$E1173)*(1+AM$7)^$D1173*(AM1155/AL1155)^$E1173*((AM1155+AM1164)/(AL1155+AL1164))^($F1173*(1+$E1173))</f>
        <v/>
      </c>
      <c r="AN1173" s="42">
        <f>FUELUSE(AM1173,AN1155,AM1155,AN1164,AM1164,AN$7,$D1173,$E1173,$F1173,$G1173)</f>
        <v/>
      </c>
    </row>
    <row r="1174" hidden="1" outlineLevel="2">
      <c r="A1174" s="5" t="inlineStr">
        <is>
          <t>ener</t>
        </is>
      </c>
      <c r="B1174" s="5" t="inlineStr">
        <is>
          <t>lpg</t>
        </is>
      </c>
      <c r="C1174" s="5" t="inlineStr">
        <is>
          <t>cst</t>
        </is>
      </c>
      <c r="D1174" s="36">
        <f>INDEX(Inputs!$N$5:$N$132,MATCH($B1174&amp;"|"&amp;$C1174,Inputs!$A$5:$A$132,0))</f>
        <v/>
      </c>
      <c r="E1174" s="36">
        <f>INDEX(Inputs!$O$5:$O$132,MATCH($B1174&amp;"|"&amp;$C1174,Inputs!$A$5:$A$132,0))</f>
        <v/>
      </c>
      <c r="F1174" s="36">
        <f>INDEX(Inputs!$P$5:$P$132,MATCH($B1174&amp;"|"&amp;$C1174,Inputs!$A$5:$A$132,0))</f>
        <v/>
      </c>
      <c r="G1174" s="36">
        <f>INDEX(Inputs!$Q$5:$Q$132,MATCH($B1174&amp;"|"&amp;$C1174,Inputs!$A$5:$A$132,0))</f>
        <v/>
      </c>
      <c r="H1174" s="5">
        <f>INDEX(Variables!$B$5:$B$65,MATCH($A1174,Variables!$A$5:$A$65,0))&amp;IF($C1174="",""," | "&amp;INDEX(Mapping!$B$5:$B$25,MATCH($C1174,Mapping!$A$5:$A$25,0))&amp;" | "&amp;INDEX(Mapping!$B$29:$B$38,MATCH($B1174,Mapping!$A$29:$A$38,0)))</f>
        <v/>
      </c>
      <c r="I1174" s="5">
        <f>INDEX(Variables!$C$5:$C$65,MATCH($A1174,Variables!$A$5:$A$65,0))</f>
        <v/>
      </c>
      <c r="J1174" s="5">
        <f>INDEX(Variables!$E$5:$E$65,MATCH($A1174,Variables!$A$5:$A$65,0))</f>
        <v/>
      </c>
      <c r="K1174" s="23">
        <f>LOWER(Settings!$C$4)&amp;".mit."&amp;$A1174&amp;IF($C1174="","","."&amp;$C1174&amp;"."&amp;$B1174)&amp;IF(INDEX(Variables!$D$5:$D$65,MATCH($A1174,Variables!$A$5:$A$65,0))="","","."&amp;INDEX(Variables!$D$5:$D$65,MATCH($A1174,Variables!$A$5:$A$65,0)))&amp;"."&amp;K$5</f>
        <v/>
      </c>
      <c r="L1174" s="40">
        <f>INDEX(Inputs!$V$5:$V$132,MATCH($B1174&amp;"|"&amp;$C1174,Inputs!$A$5:$A$132,0))</f>
        <v/>
      </c>
      <c r="M1174" s="41">
        <f>L1174*(1/(1+$G1174))^(1+$E1174)*(1+M$7)^$D1174*(M1156/L1156)^$E1174*((M1156+M1165)/(L1156+L1165))^($F1174*(1+$E1174))</f>
        <v/>
      </c>
      <c r="N1174" s="41">
        <f>M1174*(1/(1+$G1174))^(1+$E1174)*(1+N$7)^$D1174*(N1156/M1156)^$E1174*((N1156+N1165)/(M1156+M1165))^($F1174*(1+$E1174))</f>
        <v/>
      </c>
      <c r="O1174" s="41">
        <f>N1174*(1/(1+$G1174))^(1+$E1174)*(1+O$7)^$D1174*(O1156/N1156)^$E1174*((O1156+O1165)/(N1156+N1165))^($F1174*(1+$E1174))</f>
        <v/>
      </c>
      <c r="P1174" s="41">
        <f>O1174*(1/(1+$G1174))^(1+$E1174)*(1+P$7)^$D1174*(P1156/O1156)^$E1174*((P1156+P1165)/(O1156+O1165))^($F1174*(1+$E1174))</f>
        <v/>
      </c>
      <c r="Q1174" s="41">
        <f>P1174*(1/(1+$G1174))^(1+$E1174)*(1+Q$7)^$D1174*(Q1156/P1156)^$E1174*((Q1156+Q1165)/(P1156+P1165))^($F1174*(1+$E1174))</f>
        <v/>
      </c>
      <c r="R1174" s="41">
        <f>Q1174*(1/(1+$G1174))^(1+$E1174)*(1+R$7)^$D1174*(R1156/Q1156)^$E1174*((R1156+R1165)/(Q1156+Q1165))^($F1174*(1+$E1174))</f>
        <v/>
      </c>
      <c r="S1174" s="41">
        <f>R1174*(1/(1+$G1174))^(1+$E1174)*(1+S$7)^$D1174*(S1156/R1156)^$E1174*((S1156+S1165)/(R1156+R1165))^($F1174*(1+$E1174))</f>
        <v/>
      </c>
      <c r="T1174" s="41">
        <f>S1174*(1/(1+$G1174))^(1+$E1174)*(1+T$7)^$D1174*(T1156/S1156)^$E1174*((T1156+T1165)/(S1156+S1165))^($F1174*(1+$E1174))</f>
        <v/>
      </c>
      <c r="U1174" s="41">
        <f>T1174*(1/(1+$G1174))^(1+$E1174)*(1+U$7)^$D1174*(U1156/T1156)^$E1174*((U1156+U1165)/(T1156+T1165))^($F1174*(1+$E1174))</f>
        <v/>
      </c>
      <c r="V1174" s="41">
        <f>U1174*(1/(1+$G1174))^(1+$E1174)*(1+V$7)^$D1174*(V1156/U1156)^$E1174*((V1156+V1165)/(U1156+U1165))^($F1174*(1+$E1174))</f>
        <v/>
      </c>
      <c r="W1174" s="41">
        <f>V1174*(1/(1+$G1174))^(1+$E1174)*(1+W$7)^$D1174*(W1156/V1156)^$E1174*((W1156+W1165)/(V1156+V1165))^($F1174*(1+$E1174))</f>
        <v/>
      </c>
      <c r="X1174" s="41">
        <f>W1174*(1/(1+$G1174))^(1+$E1174)*(1+X$7)^$D1174*(X1156/W1156)^$E1174*((X1156+X1165)/(W1156+W1165))^($F1174*(1+$E1174))</f>
        <v/>
      </c>
      <c r="Y1174" s="42">
        <f>FUELUSE(X1174,Y1156,X1156,Y1165,X1165,Y$7,$D1174,$E1174,$F1174,$G1174)</f>
        <v/>
      </c>
      <c r="Z1174" s="23">
        <f>LOWER(Settings!$C$4)&amp;".mit."&amp;$A1174&amp;IF($C1174="","","."&amp;$C1174&amp;"."&amp;$B1174)&amp;IF(INDEX(Variables!$D$5:$D$65,MATCH($A1174,Variables!$A$5:$A$65,0))="","","."&amp;INDEX(Variables!$D$5:$D$65,MATCH($A1174,Variables!$A$5:$A$65,0)))&amp;"."&amp;Z$5</f>
        <v/>
      </c>
      <c r="AA1174" s="40">
        <f>INDEX(Inputs!$V$5:$V$132,MATCH($B1174&amp;"|"&amp;$C1174,Inputs!$A$5:$A$132,0))</f>
        <v/>
      </c>
      <c r="AB1174" s="41">
        <f>AA1174*(1/(1+$G1174))^(1+$E1174)*(1+AB$7)^$D1174*(AB1156/AA1156)^$E1174*((AB1156+AB1165)/(AA1156+AA1165))^($F1174*(1+$E1174))</f>
        <v/>
      </c>
      <c r="AC1174" s="41">
        <f>AB1174*(1/(1+$G1174))^(1+$E1174)*(1+AC$7)^$D1174*(AC1156/AB1156)^$E1174*((AC1156+AC1165)/(AB1156+AB1165))^($F1174*(1+$E1174))</f>
        <v/>
      </c>
      <c r="AD1174" s="41">
        <f>AC1174*(1/(1+$G1174))^(1+$E1174)*(1+AD$7)^$D1174*(AD1156/AC1156)^$E1174*((AD1156+AD1165)/(AC1156+AC1165))^($F1174*(1+$E1174))</f>
        <v/>
      </c>
      <c r="AE1174" s="41">
        <f>AD1174*(1/(1+$G1174))^(1+$E1174)*(1+AE$7)^$D1174*(AE1156/AD1156)^$E1174*((AE1156+AE1165)/(AD1156+AD1165))^($F1174*(1+$E1174))</f>
        <v/>
      </c>
      <c r="AF1174" s="41">
        <f>AE1174*(1/(1+$G1174))^(1+$E1174)*(1+AF$7)^$D1174*(AF1156/AE1156)^$E1174*((AF1156+AF1165)/(AE1156+AE1165))^($F1174*(1+$E1174))</f>
        <v/>
      </c>
      <c r="AG1174" s="41">
        <f>AF1174*(1/(1+$G1174))^(1+$E1174)*(1+AG$7)^$D1174*(AG1156/AF1156)^$E1174*((AG1156+AG1165)/(AF1156+AF1165))^($F1174*(1+$E1174))</f>
        <v/>
      </c>
      <c r="AH1174" s="41">
        <f>AG1174*(1/(1+$G1174))^(1+$E1174)*(1+AH$7)^$D1174*(AH1156/AG1156)^$E1174*((AH1156+AH1165)/(AG1156+AG1165))^($F1174*(1+$E1174))</f>
        <v/>
      </c>
      <c r="AI1174" s="41">
        <f>AH1174*(1/(1+$G1174))^(1+$E1174)*(1+AI$7)^$D1174*(AI1156/AH1156)^$E1174*((AI1156+AI1165)/(AH1156+AH1165))^($F1174*(1+$E1174))</f>
        <v/>
      </c>
      <c r="AJ1174" s="41">
        <f>AI1174*(1/(1+$G1174))^(1+$E1174)*(1+AJ$7)^$D1174*(AJ1156/AI1156)^$E1174*((AJ1156+AJ1165)/(AI1156+AI1165))^($F1174*(1+$E1174))</f>
        <v/>
      </c>
      <c r="AK1174" s="41">
        <f>AJ1174*(1/(1+$G1174))^(1+$E1174)*(1+AK$7)^$D1174*(AK1156/AJ1156)^$E1174*((AK1156+AK1165)/(AJ1156+AJ1165))^($F1174*(1+$E1174))</f>
        <v/>
      </c>
      <c r="AL1174" s="41">
        <f>AK1174*(1/(1+$G1174))^(1+$E1174)*(1+AL$7)^$D1174*(AL1156/AK1156)^$E1174*((AL1156+AL1165)/(AK1156+AK1165))^($F1174*(1+$E1174))</f>
        <v/>
      </c>
      <c r="AM1174" s="41">
        <f>AL1174*(1/(1+$G1174))^(1+$E1174)*(1+AM$7)^$D1174*(AM1156/AL1156)^$E1174*((AM1156+AM1165)/(AL1156+AL1165))^($F1174*(1+$E1174))</f>
        <v/>
      </c>
      <c r="AN1174" s="42">
        <f>FUELUSE(AM1174,AN1156,AM1156,AN1165,AM1165,AN$7,$D1174,$E1174,$F1174,$G1174)</f>
        <v/>
      </c>
    </row>
    <row r="1175" hidden="1" outlineLevel="2">
      <c r="A1175" s="5" t="inlineStr">
        <is>
          <t>ener</t>
        </is>
      </c>
      <c r="B1175" s="5" t="inlineStr">
        <is>
          <t>ker</t>
        </is>
      </c>
      <c r="C1175" s="5" t="inlineStr">
        <is>
          <t>cst</t>
        </is>
      </c>
      <c r="D1175" s="36">
        <f>INDEX(Inputs!$N$5:$N$132,MATCH($B1175&amp;"|"&amp;$C1175,Inputs!$A$5:$A$132,0))</f>
        <v/>
      </c>
      <c r="E1175" s="36">
        <f>INDEX(Inputs!$O$5:$O$132,MATCH($B1175&amp;"|"&amp;$C1175,Inputs!$A$5:$A$132,0))</f>
        <v/>
      </c>
      <c r="F1175" s="36">
        <f>INDEX(Inputs!$P$5:$P$132,MATCH($B1175&amp;"|"&amp;$C1175,Inputs!$A$5:$A$132,0))</f>
        <v/>
      </c>
      <c r="G1175" s="36">
        <f>INDEX(Inputs!$Q$5:$Q$132,MATCH($B1175&amp;"|"&amp;$C1175,Inputs!$A$5:$A$132,0))</f>
        <v/>
      </c>
      <c r="H1175" s="5">
        <f>INDEX(Variables!$B$5:$B$65,MATCH($A1175,Variables!$A$5:$A$65,0))&amp;IF($C1175="",""," | "&amp;INDEX(Mapping!$B$5:$B$25,MATCH($C1175,Mapping!$A$5:$A$25,0))&amp;" | "&amp;INDEX(Mapping!$B$29:$B$38,MATCH($B1175,Mapping!$A$29:$A$38,0)))</f>
        <v/>
      </c>
      <c r="I1175" s="5">
        <f>INDEX(Variables!$C$5:$C$65,MATCH($A1175,Variables!$A$5:$A$65,0))</f>
        <v/>
      </c>
      <c r="J1175" s="5">
        <f>INDEX(Variables!$E$5:$E$65,MATCH($A1175,Variables!$A$5:$A$65,0))</f>
        <v/>
      </c>
      <c r="K1175" s="23">
        <f>LOWER(Settings!$C$4)&amp;".mit."&amp;$A1175&amp;IF($C1175="","","."&amp;$C1175&amp;"."&amp;$B1175)&amp;IF(INDEX(Variables!$D$5:$D$65,MATCH($A1175,Variables!$A$5:$A$65,0))="","","."&amp;INDEX(Variables!$D$5:$D$65,MATCH($A1175,Variables!$A$5:$A$65,0)))&amp;"."&amp;K$5</f>
        <v/>
      </c>
      <c r="L1175" s="40">
        <f>INDEX(Inputs!$V$5:$V$132,MATCH($B1175&amp;"|"&amp;$C1175,Inputs!$A$5:$A$132,0))</f>
        <v/>
      </c>
      <c r="M1175" s="41">
        <f>L1175*(1/(1+$G1175))^(1+$E1175)*(1+M$7)^$D1175*(M1157/L1157)^$E1175*((M1157+M1166)/(L1157+L1166))^($F1175*(1+$E1175))</f>
        <v/>
      </c>
      <c r="N1175" s="41">
        <f>M1175*(1/(1+$G1175))^(1+$E1175)*(1+N$7)^$D1175*(N1157/M1157)^$E1175*((N1157+N1166)/(M1157+M1166))^($F1175*(1+$E1175))</f>
        <v/>
      </c>
      <c r="O1175" s="41">
        <f>N1175*(1/(1+$G1175))^(1+$E1175)*(1+O$7)^$D1175*(O1157/N1157)^$E1175*((O1157+O1166)/(N1157+N1166))^($F1175*(1+$E1175))</f>
        <v/>
      </c>
      <c r="P1175" s="41">
        <f>O1175*(1/(1+$G1175))^(1+$E1175)*(1+P$7)^$D1175*(P1157/O1157)^$E1175*((P1157+P1166)/(O1157+O1166))^($F1175*(1+$E1175))</f>
        <v/>
      </c>
      <c r="Q1175" s="41">
        <f>P1175*(1/(1+$G1175))^(1+$E1175)*(1+Q$7)^$D1175*(Q1157/P1157)^$E1175*((Q1157+Q1166)/(P1157+P1166))^($F1175*(1+$E1175))</f>
        <v/>
      </c>
      <c r="R1175" s="41">
        <f>Q1175*(1/(1+$G1175))^(1+$E1175)*(1+R$7)^$D1175*(R1157/Q1157)^$E1175*((R1157+R1166)/(Q1157+Q1166))^($F1175*(1+$E1175))</f>
        <v/>
      </c>
      <c r="S1175" s="41">
        <f>R1175*(1/(1+$G1175))^(1+$E1175)*(1+S$7)^$D1175*(S1157/R1157)^$E1175*((S1157+S1166)/(R1157+R1166))^($F1175*(1+$E1175))</f>
        <v/>
      </c>
      <c r="T1175" s="41">
        <f>S1175*(1/(1+$G1175))^(1+$E1175)*(1+T$7)^$D1175*(T1157/S1157)^$E1175*((T1157+T1166)/(S1157+S1166))^($F1175*(1+$E1175))</f>
        <v/>
      </c>
      <c r="U1175" s="41">
        <f>T1175*(1/(1+$G1175))^(1+$E1175)*(1+U$7)^$D1175*(U1157/T1157)^$E1175*((U1157+U1166)/(T1157+T1166))^($F1175*(1+$E1175))</f>
        <v/>
      </c>
      <c r="V1175" s="41">
        <f>U1175*(1/(1+$G1175))^(1+$E1175)*(1+V$7)^$D1175*(V1157/U1157)^$E1175*((V1157+V1166)/(U1157+U1166))^($F1175*(1+$E1175))</f>
        <v/>
      </c>
      <c r="W1175" s="41">
        <f>V1175*(1/(1+$G1175))^(1+$E1175)*(1+W$7)^$D1175*(W1157/V1157)^$E1175*((W1157+W1166)/(V1157+V1166))^($F1175*(1+$E1175))</f>
        <v/>
      </c>
      <c r="X1175" s="41">
        <f>W1175*(1/(1+$G1175))^(1+$E1175)*(1+X$7)^$D1175*(X1157/W1157)^$E1175*((X1157+X1166)/(W1157+W1166))^($F1175*(1+$E1175))</f>
        <v/>
      </c>
      <c r="Y1175" s="42">
        <f>FUELUSE(X1175,Y1157,X1157,Y1166,X1166,Y$7,$D1175,$E1175,$F1175,$G1175)</f>
        <v/>
      </c>
      <c r="Z1175" s="23">
        <f>LOWER(Settings!$C$4)&amp;".mit."&amp;$A1175&amp;IF($C1175="","","."&amp;$C1175&amp;"."&amp;$B1175)&amp;IF(INDEX(Variables!$D$5:$D$65,MATCH($A1175,Variables!$A$5:$A$65,0))="","","."&amp;INDEX(Variables!$D$5:$D$65,MATCH($A1175,Variables!$A$5:$A$65,0)))&amp;"."&amp;Z$5</f>
        <v/>
      </c>
      <c r="AA1175" s="40">
        <f>INDEX(Inputs!$V$5:$V$132,MATCH($B1175&amp;"|"&amp;$C1175,Inputs!$A$5:$A$132,0))</f>
        <v/>
      </c>
      <c r="AB1175" s="41">
        <f>AA1175*(1/(1+$G1175))^(1+$E1175)*(1+AB$7)^$D1175*(AB1157/AA1157)^$E1175*((AB1157+AB1166)/(AA1157+AA1166))^($F1175*(1+$E1175))</f>
        <v/>
      </c>
      <c r="AC1175" s="41">
        <f>AB1175*(1/(1+$G1175))^(1+$E1175)*(1+AC$7)^$D1175*(AC1157/AB1157)^$E1175*((AC1157+AC1166)/(AB1157+AB1166))^($F1175*(1+$E1175))</f>
        <v/>
      </c>
      <c r="AD1175" s="41">
        <f>AC1175*(1/(1+$G1175))^(1+$E1175)*(1+AD$7)^$D1175*(AD1157/AC1157)^$E1175*((AD1157+AD1166)/(AC1157+AC1166))^($F1175*(1+$E1175))</f>
        <v/>
      </c>
      <c r="AE1175" s="41">
        <f>AD1175*(1/(1+$G1175))^(1+$E1175)*(1+AE$7)^$D1175*(AE1157/AD1157)^$E1175*((AE1157+AE1166)/(AD1157+AD1166))^($F1175*(1+$E1175))</f>
        <v/>
      </c>
      <c r="AF1175" s="41">
        <f>AE1175*(1/(1+$G1175))^(1+$E1175)*(1+AF$7)^$D1175*(AF1157/AE1157)^$E1175*((AF1157+AF1166)/(AE1157+AE1166))^($F1175*(1+$E1175))</f>
        <v/>
      </c>
      <c r="AG1175" s="41">
        <f>AF1175*(1/(1+$G1175))^(1+$E1175)*(1+AG$7)^$D1175*(AG1157/AF1157)^$E1175*((AG1157+AG1166)/(AF1157+AF1166))^($F1175*(1+$E1175))</f>
        <v/>
      </c>
      <c r="AH1175" s="41">
        <f>AG1175*(1/(1+$G1175))^(1+$E1175)*(1+AH$7)^$D1175*(AH1157/AG1157)^$E1175*((AH1157+AH1166)/(AG1157+AG1166))^($F1175*(1+$E1175))</f>
        <v/>
      </c>
      <c r="AI1175" s="41">
        <f>AH1175*(1/(1+$G1175))^(1+$E1175)*(1+AI$7)^$D1175*(AI1157/AH1157)^$E1175*((AI1157+AI1166)/(AH1157+AH1166))^($F1175*(1+$E1175))</f>
        <v/>
      </c>
      <c r="AJ1175" s="41">
        <f>AI1175*(1/(1+$G1175))^(1+$E1175)*(1+AJ$7)^$D1175*(AJ1157/AI1157)^$E1175*((AJ1157+AJ1166)/(AI1157+AI1166))^($F1175*(1+$E1175))</f>
        <v/>
      </c>
      <c r="AK1175" s="41">
        <f>AJ1175*(1/(1+$G1175))^(1+$E1175)*(1+AK$7)^$D1175*(AK1157/AJ1157)^$E1175*((AK1157+AK1166)/(AJ1157+AJ1166))^($F1175*(1+$E1175))</f>
        <v/>
      </c>
      <c r="AL1175" s="41">
        <f>AK1175*(1/(1+$G1175))^(1+$E1175)*(1+AL$7)^$D1175*(AL1157/AK1157)^$E1175*((AL1157+AL1166)/(AK1157+AK1166))^($F1175*(1+$E1175))</f>
        <v/>
      </c>
      <c r="AM1175" s="41">
        <f>AL1175*(1/(1+$G1175))^(1+$E1175)*(1+AM$7)^$D1175*(AM1157/AL1157)^$E1175*((AM1157+AM1166)/(AL1157+AL1166))^($F1175*(1+$E1175))</f>
        <v/>
      </c>
      <c r="AN1175" s="42">
        <f>FUELUSE(AM1175,AN1157,AM1157,AN1166,AM1166,AN$7,$D1175,$E1175,$F1175,$G1175)</f>
        <v/>
      </c>
    </row>
    <row r="1176" hidden="1" outlineLevel="2">
      <c r="A1176" s="5" t="inlineStr">
        <is>
          <t>ener</t>
        </is>
      </c>
      <c r="B1176" s="5" t="inlineStr">
        <is>
          <t>oop</t>
        </is>
      </c>
      <c r="C1176" s="5" t="inlineStr">
        <is>
          <t>cst</t>
        </is>
      </c>
      <c r="D1176" s="36">
        <f>INDEX(Inputs!$N$5:$N$132,MATCH($B1176&amp;"|"&amp;$C1176,Inputs!$A$5:$A$132,0))</f>
        <v/>
      </c>
      <c r="E1176" s="36">
        <f>INDEX(Inputs!$O$5:$O$132,MATCH($B1176&amp;"|"&amp;$C1176,Inputs!$A$5:$A$132,0))</f>
        <v/>
      </c>
      <c r="F1176" s="36">
        <f>INDEX(Inputs!$P$5:$P$132,MATCH($B1176&amp;"|"&amp;$C1176,Inputs!$A$5:$A$132,0))</f>
        <v/>
      </c>
      <c r="G1176" s="36">
        <f>INDEX(Inputs!$Q$5:$Q$132,MATCH($B1176&amp;"|"&amp;$C1176,Inputs!$A$5:$A$132,0))</f>
        <v/>
      </c>
      <c r="H1176" s="5">
        <f>INDEX(Variables!$B$5:$B$65,MATCH($A1176,Variables!$A$5:$A$65,0))&amp;IF($C1176="",""," | "&amp;INDEX(Mapping!$B$5:$B$25,MATCH($C1176,Mapping!$A$5:$A$25,0))&amp;" | "&amp;INDEX(Mapping!$B$29:$B$38,MATCH($B1176,Mapping!$A$29:$A$38,0)))</f>
        <v/>
      </c>
      <c r="I1176" s="5">
        <f>INDEX(Variables!$C$5:$C$65,MATCH($A1176,Variables!$A$5:$A$65,0))</f>
        <v/>
      </c>
      <c r="J1176" s="5">
        <f>INDEX(Variables!$E$5:$E$65,MATCH($A1176,Variables!$A$5:$A$65,0))</f>
        <v/>
      </c>
      <c r="K1176" s="23">
        <f>LOWER(Settings!$C$4)&amp;".mit."&amp;$A1176&amp;IF($C1176="","","."&amp;$C1176&amp;"."&amp;$B1176)&amp;IF(INDEX(Variables!$D$5:$D$65,MATCH($A1176,Variables!$A$5:$A$65,0))="","","."&amp;INDEX(Variables!$D$5:$D$65,MATCH($A1176,Variables!$A$5:$A$65,0)))&amp;"."&amp;K$5</f>
        <v/>
      </c>
      <c r="L1176" s="40">
        <f>INDEX(Inputs!$V$5:$V$132,MATCH($B1176&amp;"|"&amp;$C1176,Inputs!$A$5:$A$132,0))</f>
        <v/>
      </c>
      <c r="M1176" s="41">
        <f>L1176*(1/(1+$G1176))^(1+$E1176)*(1+M$7)^$D1176*(M1158/L1158)^$E1176*((M1158+M1167)/(L1158+L1167))^($F1176*(1+$E1176))</f>
        <v/>
      </c>
      <c r="N1176" s="41">
        <f>M1176*(1/(1+$G1176))^(1+$E1176)*(1+N$7)^$D1176*(N1158/M1158)^$E1176*((N1158+N1167)/(M1158+M1167))^($F1176*(1+$E1176))</f>
        <v/>
      </c>
      <c r="O1176" s="41">
        <f>N1176*(1/(1+$G1176))^(1+$E1176)*(1+O$7)^$D1176*(O1158/N1158)^$E1176*((O1158+O1167)/(N1158+N1167))^($F1176*(1+$E1176))</f>
        <v/>
      </c>
      <c r="P1176" s="41">
        <f>O1176*(1/(1+$G1176))^(1+$E1176)*(1+P$7)^$D1176*(P1158/O1158)^$E1176*((P1158+P1167)/(O1158+O1167))^($F1176*(1+$E1176))</f>
        <v/>
      </c>
      <c r="Q1176" s="41">
        <f>P1176*(1/(1+$G1176))^(1+$E1176)*(1+Q$7)^$D1176*(Q1158/P1158)^$E1176*((Q1158+Q1167)/(P1158+P1167))^($F1176*(1+$E1176))</f>
        <v/>
      </c>
      <c r="R1176" s="41">
        <f>Q1176*(1/(1+$G1176))^(1+$E1176)*(1+R$7)^$D1176*(R1158/Q1158)^$E1176*((R1158+R1167)/(Q1158+Q1167))^($F1176*(1+$E1176))</f>
        <v/>
      </c>
      <c r="S1176" s="41">
        <f>R1176*(1/(1+$G1176))^(1+$E1176)*(1+S$7)^$D1176*(S1158/R1158)^$E1176*((S1158+S1167)/(R1158+R1167))^($F1176*(1+$E1176))</f>
        <v/>
      </c>
      <c r="T1176" s="41">
        <f>S1176*(1/(1+$G1176))^(1+$E1176)*(1+T$7)^$D1176*(T1158/S1158)^$E1176*((T1158+T1167)/(S1158+S1167))^($F1176*(1+$E1176))</f>
        <v/>
      </c>
      <c r="U1176" s="41">
        <f>T1176*(1/(1+$G1176))^(1+$E1176)*(1+U$7)^$D1176*(U1158/T1158)^$E1176*((U1158+U1167)/(T1158+T1167))^($F1176*(1+$E1176))</f>
        <v/>
      </c>
      <c r="V1176" s="41">
        <f>U1176*(1/(1+$G1176))^(1+$E1176)*(1+V$7)^$D1176*(V1158/U1158)^$E1176*((V1158+V1167)/(U1158+U1167))^($F1176*(1+$E1176))</f>
        <v/>
      </c>
      <c r="W1176" s="41">
        <f>V1176*(1/(1+$G1176))^(1+$E1176)*(1+W$7)^$D1176*(W1158/V1158)^$E1176*((W1158+W1167)/(V1158+V1167))^($F1176*(1+$E1176))</f>
        <v/>
      </c>
      <c r="X1176" s="41">
        <f>W1176*(1/(1+$G1176))^(1+$E1176)*(1+X$7)^$D1176*(X1158/W1158)^$E1176*((X1158+X1167)/(W1158+W1167))^($F1176*(1+$E1176))</f>
        <v/>
      </c>
      <c r="Y1176" s="42">
        <f>FUELUSE(X1176,Y1158,X1158,Y1167,X1167,Y$7,$D1176,$E1176,$F1176,$G1176)</f>
        <v/>
      </c>
      <c r="Z1176" s="23">
        <f>LOWER(Settings!$C$4)&amp;".mit."&amp;$A1176&amp;IF($C1176="","","."&amp;$C1176&amp;"."&amp;$B1176)&amp;IF(INDEX(Variables!$D$5:$D$65,MATCH($A1176,Variables!$A$5:$A$65,0))="","","."&amp;INDEX(Variables!$D$5:$D$65,MATCH($A1176,Variables!$A$5:$A$65,0)))&amp;"."&amp;Z$5</f>
        <v/>
      </c>
      <c r="AA1176" s="40">
        <f>INDEX(Inputs!$V$5:$V$132,MATCH($B1176&amp;"|"&amp;$C1176,Inputs!$A$5:$A$132,0))</f>
        <v/>
      </c>
      <c r="AB1176" s="41">
        <f>AA1176*(1/(1+$G1176))^(1+$E1176)*(1+AB$7)^$D1176*(AB1158/AA1158)^$E1176*((AB1158+AB1167)/(AA1158+AA1167))^($F1176*(1+$E1176))</f>
        <v/>
      </c>
      <c r="AC1176" s="41">
        <f>AB1176*(1/(1+$G1176))^(1+$E1176)*(1+AC$7)^$D1176*(AC1158/AB1158)^$E1176*((AC1158+AC1167)/(AB1158+AB1167))^($F1176*(1+$E1176))</f>
        <v/>
      </c>
      <c r="AD1176" s="41">
        <f>AC1176*(1/(1+$G1176))^(1+$E1176)*(1+AD$7)^$D1176*(AD1158/AC1158)^$E1176*((AD1158+AD1167)/(AC1158+AC1167))^($F1176*(1+$E1176))</f>
        <v/>
      </c>
      <c r="AE1176" s="41">
        <f>AD1176*(1/(1+$G1176))^(1+$E1176)*(1+AE$7)^$D1176*(AE1158/AD1158)^$E1176*((AE1158+AE1167)/(AD1158+AD1167))^($F1176*(1+$E1176))</f>
        <v/>
      </c>
      <c r="AF1176" s="41">
        <f>AE1176*(1/(1+$G1176))^(1+$E1176)*(1+AF$7)^$D1176*(AF1158/AE1158)^$E1176*((AF1158+AF1167)/(AE1158+AE1167))^($F1176*(1+$E1176))</f>
        <v/>
      </c>
      <c r="AG1176" s="41">
        <f>AF1176*(1/(1+$G1176))^(1+$E1176)*(1+AG$7)^$D1176*(AG1158/AF1158)^$E1176*((AG1158+AG1167)/(AF1158+AF1167))^($F1176*(1+$E1176))</f>
        <v/>
      </c>
      <c r="AH1176" s="41">
        <f>AG1176*(1/(1+$G1176))^(1+$E1176)*(1+AH$7)^$D1176*(AH1158/AG1158)^$E1176*((AH1158+AH1167)/(AG1158+AG1167))^($F1176*(1+$E1176))</f>
        <v/>
      </c>
      <c r="AI1176" s="41">
        <f>AH1176*(1/(1+$G1176))^(1+$E1176)*(1+AI$7)^$D1176*(AI1158/AH1158)^$E1176*((AI1158+AI1167)/(AH1158+AH1167))^($F1176*(1+$E1176))</f>
        <v/>
      </c>
      <c r="AJ1176" s="41">
        <f>AI1176*(1/(1+$G1176))^(1+$E1176)*(1+AJ$7)^$D1176*(AJ1158/AI1158)^$E1176*((AJ1158+AJ1167)/(AI1158+AI1167))^($F1176*(1+$E1176))</f>
        <v/>
      </c>
      <c r="AK1176" s="41">
        <f>AJ1176*(1/(1+$G1176))^(1+$E1176)*(1+AK$7)^$D1176*(AK1158/AJ1158)^$E1176*((AK1158+AK1167)/(AJ1158+AJ1167))^($F1176*(1+$E1176))</f>
        <v/>
      </c>
      <c r="AL1176" s="41">
        <f>AK1176*(1/(1+$G1176))^(1+$E1176)*(1+AL$7)^$D1176*(AL1158/AK1158)^$E1176*((AL1158+AL1167)/(AK1158+AK1167))^($F1176*(1+$E1176))</f>
        <v/>
      </c>
      <c r="AM1176" s="41">
        <f>AL1176*(1/(1+$G1176))^(1+$E1176)*(1+AM$7)^$D1176*(AM1158/AL1158)^$E1176*((AM1158+AM1167)/(AL1158+AL1167))^($F1176*(1+$E1176))</f>
        <v/>
      </c>
      <c r="AN1176" s="42">
        <f>FUELUSE(AM1176,AN1158,AM1158,AN1167,AM1167,AN$7,$D1176,$E1176,$F1176,$G1176)</f>
        <v/>
      </c>
    </row>
    <row r="1177" hidden="1" outlineLevel="2">
      <c r="A1177" s="5" t="inlineStr">
        <is>
          <t>ener</t>
        </is>
      </c>
      <c r="B1177" s="5" t="inlineStr">
        <is>
          <t>bio</t>
        </is>
      </c>
      <c r="C1177" s="5" t="inlineStr">
        <is>
          <t>cst</t>
        </is>
      </c>
      <c r="D1177" s="36">
        <f>INDEX(Inputs!$N$5:$N$132,MATCH($B1177&amp;"|"&amp;$C1177,Inputs!$A$5:$A$132,0))</f>
        <v/>
      </c>
      <c r="E1177" s="36">
        <f>INDEX(Inputs!$O$5:$O$132,MATCH($B1177&amp;"|"&amp;$C1177,Inputs!$A$5:$A$132,0))</f>
        <v/>
      </c>
      <c r="F1177" s="36">
        <f>INDEX(Inputs!$P$5:$P$132,MATCH($B1177&amp;"|"&amp;$C1177,Inputs!$A$5:$A$132,0))</f>
        <v/>
      </c>
      <c r="G1177" s="36">
        <f>INDEX(Inputs!$Q$5:$Q$132,MATCH($B1177&amp;"|"&amp;$C1177,Inputs!$A$5:$A$132,0))</f>
        <v/>
      </c>
      <c r="H1177" s="5">
        <f>INDEX(Variables!$B$5:$B$65,MATCH($A1177,Variables!$A$5:$A$65,0))&amp;IF($C1177="",""," | "&amp;INDEX(Mapping!$B$5:$B$25,MATCH($C1177,Mapping!$A$5:$A$25,0))&amp;" | "&amp;INDEX(Mapping!$B$29:$B$38,MATCH($B1177,Mapping!$A$29:$A$38,0)))</f>
        <v/>
      </c>
      <c r="I1177" s="5">
        <f>INDEX(Variables!$C$5:$C$65,MATCH($A1177,Variables!$A$5:$A$65,0))</f>
        <v/>
      </c>
      <c r="J1177" s="5">
        <f>INDEX(Variables!$E$5:$E$65,MATCH($A1177,Variables!$A$5:$A$65,0))</f>
        <v/>
      </c>
      <c r="K1177" s="23">
        <f>LOWER(Settings!$C$4)&amp;".mit."&amp;$A1177&amp;IF($C1177="","","."&amp;$C1177&amp;"."&amp;$B1177)&amp;IF(INDEX(Variables!$D$5:$D$65,MATCH($A1177,Variables!$A$5:$A$65,0))="","","."&amp;INDEX(Variables!$D$5:$D$65,MATCH($A1177,Variables!$A$5:$A$65,0)))&amp;"."&amp;K$5</f>
        <v/>
      </c>
      <c r="L1177" s="40">
        <f>INDEX(Inputs!$V$5:$V$132,MATCH($B1177&amp;"|"&amp;$C1177,Inputs!$A$5:$A$132,0))</f>
        <v/>
      </c>
      <c r="M1177" s="41">
        <f>L1177*(1/(1+$G1177))^(1+$E1177)*(1+M$7)^$D1177*(M1159/L1159)^$E1177*((M1159+M1168)/(L1159+L1168))^($F1177*(1+$E1177))</f>
        <v/>
      </c>
      <c r="N1177" s="41">
        <f>M1177*(1/(1+$G1177))^(1+$E1177)*(1+N$7)^$D1177*(N1159/M1159)^$E1177*((N1159+N1168)/(M1159+M1168))^($F1177*(1+$E1177))</f>
        <v/>
      </c>
      <c r="O1177" s="41">
        <f>N1177*(1/(1+$G1177))^(1+$E1177)*(1+O$7)^$D1177*(O1159/N1159)^$E1177*((O1159+O1168)/(N1159+N1168))^($F1177*(1+$E1177))</f>
        <v/>
      </c>
      <c r="P1177" s="41">
        <f>O1177*(1/(1+$G1177))^(1+$E1177)*(1+P$7)^$D1177*(P1159/O1159)^$E1177*((P1159+P1168)/(O1159+O1168))^($F1177*(1+$E1177))</f>
        <v/>
      </c>
      <c r="Q1177" s="41">
        <f>P1177*(1/(1+$G1177))^(1+$E1177)*(1+Q$7)^$D1177*(Q1159/P1159)^$E1177*((Q1159+Q1168)/(P1159+P1168))^($F1177*(1+$E1177))</f>
        <v/>
      </c>
      <c r="R1177" s="41">
        <f>Q1177*(1/(1+$G1177))^(1+$E1177)*(1+R$7)^$D1177*(R1159/Q1159)^$E1177*((R1159+R1168)/(Q1159+Q1168))^($F1177*(1+$E1177))</f>
        <v/>
      </c>
      <c r="S1177" s="41">
        <f>R1177*(1/(1+$G1177))^(1+$E1177)*(1+S$7)^$D1177*(S1159/R1159)^$E1177*((S1159+S1168)/(R1159+R1168))^($F1177*(1+$E1177))</f>
        <v/>
      </c>
      <c r="T1177" s="41">
        <f>S1177*(1/(1+$G1177))^(1+$E1177)*(1+T$7)^$D1177*(T1159/S1159)^$E1177*((T1159+T1168)/(S1159+S1168))^($F1177*(1+$E1177))</f>
        <v/>
      </c>
      <c r="U1177" s="41">
        <f>T1177*(1/(1+$G1177))^(1+$E1177)*(1+U$7)^$D1177*(U1159/T1159)^$E1177*((U1159+U1168)/(T1159+T1168))^($F1177*(1+$E1177))</f>
        <v/>
      </c>
      <c r="V1177" s="41">
        <f>U1177*(1/(1+$G1177))^(1+$E1177)*(1+V$7)^$D1177*(V1159/U1159)^$E1177*((V1159+V1168)/(U1159+U1168))^($F1177*(1+$E1177))</f>
        <v/>
      </c>
      <c r="W1177" s="41">
        <f>V1177*(1/(1+$G1177))^(1+$E1177)*(1+W$7)^$D1177*(W1159/V1159)^$E1177*((W1159+W1168)/(V1159+V1168))^($F1177*(1+$E1177))</f>
        <v/>
      </c>
      <c r="X1177" s="41">
        <f>W1177*(1/(1+$G1177))^(1+$E1177)*(1+X$7)^$D1177*(X1159/W1159)^$E1177*((X1159+X1168)/(W1159+W1168))^($F1177*(1+$E1177))</f>
        <v/>
      </c>
      <c r="Y1177" s="42">
        <f>FUELUSE(X1177,Y1159,X1159,Y1168,X1168,Y$7,$D1177,$E1177,$F1177,$G1177)</f>
        <v/>
      </c>
      <c r="Z1177" s="23">
        <f>LOWER(Settings!$C$4)&amp;".mit."&amp;$A1177&amp;IF($C1177="","","."&amp;$C1177&amp;"."&amp;$B1177)&amp;IF(INDEX(Variables!$D$5:$D$65,MATCH($A1177,Variables!$A$5:$A$65,0))="","","."&amp;INDEX(Variables!$D$5:$D$65,MATCH($A1177,Variables!$A$5:$A$65,0)))&amp;"."&amp;Z$5</f>
        <v/>
      </c>
      <c r="AA1177" s="40">
        <f>INDEX(Inputs!$V$5:$V$132,MATCH($B1177&amp;"|"&amp;$C1177,Inputs!$A$5:$A$132,0))</f>
        <v/>
      </c>
      <c r="AB1177" s="41">
        <f>AA1177*(1/(1+$G1177))^(1+$E1177)*(1+AB$7)^$D1177*(AB1159/AA1159)^$E1177*((AB1159+AB1168)/(AA1159+AA1168))^($F1177*(1+$E1177))</f>
        <v/>
      </c>
      <c r="AC1177" s="41">
        <f>AB1177*(1/(1+$G1177))^(1+$E1177)*(1+AC$7)^$D1177*(AC1159/AB1159)^$E1177*((AC1159+AC1168)/(AB1159+AB1168))^($F1177*(1+$E1177))</f>
        <v/>
      </c>
      <c r="AD1177" s="41">
        <f>AC1177*(1/(1+$G1177))^(1+$E1177)*(1+AD$7)^$D1177*(AD1159/AC1159)^$E1177*((AD1159+AD1168)/(AC1159+AC1168))^($F1177*(1+$E1177))</f>
        <v/>
      </c>
      <c r="AE1177" s="41">
        <f>AD1177*(1/(1+$G1177))^(1+$E1177)*(1+AE$7)^$D1177*(AE1159/AD1159)^$E1177*((AE1159+AE1168)/(AD1159+AD1168))^($F1177*(1+$E1177))</f>
        <v/>
      </c>
      <c r="AF1177" s="41">
        <f>AE1177*(1/(1+$G1177))^(1+$E1177)*(1+AF$7)^$D1177*(AF1159/AE1159)^$E1177*((AF1159+AF1168)/(AE1159+AE1168))^($F1177*(1+$E1177))</f>
        <v/>
      </c>
      <c r="AG1177" s="41">
        <f>AF1177*(1/(1+$G1177))^(1+$E1177)*(1+AG$7)^$D1177*(AG1159/AF1159)^$E1177*((AG1159+AG1168)/(AF1159+AF1168))^($F1177*(1+$E1177))</f>
        <v/>
      </c>
      <c r="AH1177" s="41">
        <f>AG1177*(1/(1+$G1177))^(1+$E1177)*(1+AH$7)^$D1177*(AH1159/AG1159)^$E1177*((AH1159+AH1168)/(AG1159+AG1168))^($F1177*(1+$E1177))</f>
        <v/>
      </c>
      <c r="AI1177" s="41">
        <f>AH1177*(1/(1+$G1177))^(1+$E1177)*(1+AI$7)^$D1177*(AI1159/AH1159)^$E1177*((AI1159+AI1168)/(AH1159+AH1168))^($F1177*(1+$E1177))</f>
        <v/>
      </c>
      <c r="AJ1177" s="41">
        <f>AI1177*(1/(1+$G1177))^(1+$E1177)*(1+AJ$7)^$D1177*(AJ1159/AI1159)^$E1177*((AJ1159+AJ1168)/(AI1159+AI1168))^($F1177*(1+$E1177))</f>
        <v/>
      </c>
      <c r="AK1177" s="41">
        <f>AJ1177*(1/(1+$G1177))^(1+$E1177)*(1+AK$7)^$D1177*(AK1159/AJ1159)^$E1177*((AK1159+AK1168)/(AJ1159+AJ1168))^($F1177*(1+$E1177))</f>
        <v/>
      </c>
      <c r="AL1177" s="41">
        <f>AK1177*(1/(1+$G1177))^(1+$E1177)*(1+AL$7)^$D1177*(AL1159/AK1159)^$E1177*((AL1159+AL1168)/(AK1159+AK1168))^($F1177*(1+$E1177))</f>
        <v/>
      </c>
      <c r="AM1177" s="41">
        <f>AL1177*(1/(1+$G1177))^(1+$E1177)*(1+AM$7)^$D1177*(AM1159/AL1159)^$E1177*((AM1159+AM1168)/(AL1159+AL1168))^($F1177*(1+$E1177))</f>
        <v/>
      </c>
      <c r="AN1177" s="42">
        <f>FUELUSE(AM1177,AN1159,AM1159,AN1168,AM1168,AN$7,$D1177,$E1177,$F1177,$G1177)</f>
        <v/>
      </c>
    </row>
    <row r="1178" hidden="1" outlineLevel="2"/>
    <row r="1179" outlineLevel="1" collapsed="1">
      <c r="A1179" s="7" t="inlineStr">
        <is>
          <t>ener</t>
        </is>
      </c>
      <c r="B1179" s="7" t="inlineStr">
        <is>
          <t>all</t>
        </is>
      </c>
      <c r="C1179" s="7" t="inlineStr">
        <is>
          <t>ftr</t>
        </is>
      </c>
      <c r="H1179" s="7">
        <f>INDEX(Variables!$B$5:$B$65,MATCH($A1179,Variables!$A$5:$A$65,0))&amp;IF($C1179="",""," | "&amp;INDEX(Mapping!$B$5:$B$25,MATCH($C1179,Mapping!$A$5:$A$25,0))&amp;" | "&amp;INDEX(Mapping!$B$29:$B$38,MATCH($B1179,Mapping!$A$29:$A$38,0)))</f>
        <v/>
      </c>
      <c r="I1179" s="7">
        <f>INDEX(Variables!$C$5:$C$65,MATCH($A1179,Variables!$A$5:$A$65,0))</f>
        <v/>
      </c>
      <c r="J1179" s="7">
        <f>INDEX(Variables!$E$5:$E$65,MATCH($A1179,Variables!$A$5:$A$65,0))</f>
        <v/>
      </c>
      <c r="K1179" s="26">
        <f>LOWER(Settings!$C$4)&amp;".mit."&amp;$A1179&amp;IF($C1179="","","."&amp;$C1179&amp;"."&amp;$B1179)&amp;IF(INDEX(Variables!$D$5:$D$65,MATCH($A1179,Variables!$A$5:$A$65,0))="","","."&amp;INDEX(Variables!$D$5:$D$65,MATCH($A1179,Variables!$A$5:$A$65,0)))&amp;"."&amp;K$5</f>
        <v/>
      </c>
      <c r="L1179" s="34">
        <f>SUM(L1243:L1250)</f>
        <v/>
      </c>
      <c r="M1179" s="35">
        <f>SUM(M1243:M1250)</f>
        <v/>
      </c>
      <c r="N1179" s="35">
        <f>SUM(N1243:N1250)</f>
        <v/>
      </c>
      <c r="O1179" s="35">
        <f>SUM(O1243:O1250)</f>
        <v/>
      </c>
      <c r="P1179" s="35">
        <f>SUM(P1243:P1250)</f>
        <v/>
      </c>
      <c r="Q1179" s="35">
        <f>SUM(Q1243:Q1250)</f>
        <v/>
      </c>
      <c r="R1179" s="35">
        <f>SUM(R1243:R1250)</f>
        <v/>
      </c>
      <c r="S1179" s="35">
        <f>SUM(S1243:S1250)</f>
        <v/>
      </c>
      <c r="T1179" s="35">
        <f>SUM(T1243:T1250)</f>
        <v/>
      </c>
      <c r="U1179" s="35">
        <f>SUM(U1243:U1250)</f>
        <v/>
      </c>
      <c r="V1179" s="35">
        <f>SUM(V1243:V1250)</f>
        <v/>
      </c>
      <c r="W1179" s="35">
        <f>SUM(W1243:W1250)</f>
        <v/>
      </c>
      <c r="X1179" s="35">
        <f>SUM(X1243:X1250)</f>
        <v/>
      </c>
      <c r="Y1179" s="35">
        <f>SUM(Y1243:Y1250)</f>
        <v/>
      </c>
      <c r="Z1179" s="26">
        <f>LOWER(Settings!$C$4)&amp;".mit."&amp;$A1179&amp;IF($C1179="","","."&amp;$C1179&amp;"."&amp;$B1179)&amp;IF(INDEX(Variables!$D$5:$D$65,MATCH($A1179,Variables!$A$5:$A$65,0))="","","."&amp;INDEX(Variables!$D$5:$D$65,MATCH($A1179,Variables!$A$5:$A$65,0)))&amp;"."&amp;Z$5</f>
        <v/>
      </c>
      <c r="AA1179" s="34">
        <f>SUM(AA1243:AA1250)</f>
        <v/>
      </c>
      <c r="AB1179" s="35">
        <f>SUM(AB1243:AB1250)</f>
        <v/>
      </c>
      <c r="AC1179" s="35">
        <f>SUM(AC1243:AC1250)</f>
        <v/>
      </c>
      <c r="AD1179" s="35">
        <f>SUM(AD1243:AD1250)</f>
        <v/>
      </c>
      <c r="AE1179" s="35">
        <f>SUM(AE1243:AE1250)</f>
        <v/>
      </c>
      <c r="AF1179" s="35">
        <f>SUM(AF1243:AF1250)</f>
        <v/>
      </c>
      <c r="AG1179" s="35">
        <f>SUM(AG1243:AG1250)</f>
        <v/>
      </c>
      <c r="AH1179" s="35">
        <f>SUM(AH1243:AH1250)</f>
        <v/>
      </c>
      <c r="AI1179" s="35">
        <f>SUM(AI1243:AI1250)</f>
        <v/>
      </c>
      <c r="AJ1179" s="35">
        <f>SUM(AJ1243:AJ1250)</f>
        <v/>
      </c>
      <c r="AK1179" s="35">
        <f>SUM(AK1243:AK1250)</f>
        <v/>
      </c>
      <c r="AL1179" s="35">
        <f>SUM(AL1243:AL1250)</f>
        <v/>
      </c>
      <c r="AM1179" s="35">
        <f>SUM(AM1243:AM1250)</f>
        <v/>
      </c>
      <c r="AN1179" s="35">
        <f>SUM(AN1243:AN1250)</f>
        <v/>
      </c>
    </row>
    <row r="1180" hidden="1" outlineLevel="2">
      <c r="A1180" s="5" t="inlineStr">
        <is>
          <t>sp</t>
        </is>
      </c>
      <c r="B1180" s="5" t="inlineStr">
        <is>
          <t>coa</t>
        </is>
      </c>
      <c r="C1180" s="5" t="inlineStr">
        <is>
          <t>ftr</t>
        </is>
      </c>
      <c r="D1180" s="36">
        <f>INDEX(Inputs!$R$5:$R$132,MATCH($B1180&amp;"|"&amp;$C1180,Inputs!$A$5:$A$132,0))</f>
        <v/>
      </c>
      <c r="E1180" s="37" t="n"/>
      <c r="F1180" s="37" t="n"/>
      <c r="G1180" s="37" t="n"/>
      <c r="H1180" s="5">
        <f>INDEX(Variables!$B$5:$B$65,MATCH($A1180,Variables!$A$5:$A$65,0))&amp;IF($C1180="",""," | "&amp;INDEX(Mapping!$B$5:$B$25,MATCH($C1180,Mapping!$A$5:$A$25,0))&amp;" | "&amp;INDEX(Mapping!$B$29:$B$38,MATCH($B1180,Mapping!$A$29:$A$38,0)))</f>
        <v/>
      </c>
      <c r="I1180" s="5">
        <f>INDEX(Variables!$C$5:$C$65,MATCH($A1180,Variables!$A$5:$A$65,0))</f>
        <v/>
      </c>
      <c r="J1180" s="5">
        <f>INDEX(Variables!$E$5:$E$65,MATCH($A1180,Variables!$A$5:$A$65,0))</f>
        <v/>
      </c>
      <c r="K1180" s="23">
        <f>LOWER(Settings!$C$4)&amp;".mit."&amp;$A1180&amp;IF($C1180="","","."&amp;$C1180&amp;"."&amp;$B1180)&amp;IF(INDEX(Variables!$D$5:$D$65,MATCH($A1180,Variables!$A$5:$A$65,0))="","","."&amp;INDEX(Variables!$D$5:$D$65,MATCH($A1180,Variables!$A$5:$A$65,0)))&amp;"."&amp;K$5</f>
        <v/>
      </c>
      <c r="L1180" s="38">
        <f>INDEX(Inputs!$S$5:$S$132,MATCH($B1180&amp;"|"&amp;$C1180,Inputs!$A$5:$A$132,0))</f>
        <v/>
      </c>
      <c r="M1180" s="36">
        <f>L1180*(1+$D1180)</f>
        <v/>
      </c>
      <c r="N1180" s="36">
        <f>M1180*(1+$D1180)</f>
        <v/>
      </c>
      <c r="O1180" s="36">
        <f>N1180*(1+$D1180)</f>
        <v/>
      </c>
      <c r="P1180" s="36">
        <f>O1180*(1+$D1180)</f>
        <v/>
      </c>
      <c r="Q1180" s="36">
        <f>P1180*(1+$D1180)</f>
        <v/>
      </c>
      <c r="R1180" s="36">
        <f>Q1180*(1+$D1180)</f>
        <v/>
      </c>
      <c r="S1180" s="36">
        <f>R1180*(1+$D1180)</f>
        <v/>
      </c>
      <c r="T1180" s="36">
        <f>S1180*(1+$D1180)</f>
        <v/>
      </c>
      <c r="U1180" s="36">
        <f>T1180*(1+$D1180)</f>
        <v/>
      </c>
      <c r="V1180" s="36">
        <f>U1180*(1+$D1180)</f>
        <v/>
      </c>
      <c r="W1180" s="36">
        <f>V1180*(1+$D1180)</f>
        <v/>
      </c>
      <c r="X1180" s="36">
        <f>W1180*(1+$D1180)</f>
        <v/>
      </c>
      <c r="Y1180" s="39">
        <f>PRETAX(X1180,$D1180)</f>
        <v/>
      </c>
      <c r="Z1180" s="23">
        <f>LOWER(Settings!$C$4)&amp;".mit."&amp;$A1180&amp;IF($C1180="","","."&amp;$C1180&amp;"."&amp;$B1180)&amp;IF(INDEX(Variables!$D$5:$D$65,MATCH($A1180,Variables!$A$5:$A$65,0))="","","."&amp;INDEX(Variables!$D$5:$D$65,MATCH($A1180,Variables!$A$5:$A$65,0)))&amp;"."&amp;Z$5</f>
        <v/>
      </c>
      <c r="AA1180" s="38">
        <f>INDEX(Inputs!$S$5:$S$132,MATCH($B1180&amp;"|"&amp;$C1180,Inputs!$A$5:$A$132,0))</f>
        <v/>
      </c>
      <c r="AB1180" s="36">
        <f>AA1180*(1+$D1180)</f>
        <v/>
      </c>
      <c r="AC1180" s="36">
        <f>AB1180*(1+$D1180)</f>
        <v/>
      </c>
      <c r="AD1180" s="36">
        <f>AC1180*(1+$D1180)</f>
        <v/>
      </c>
      <c r="AE1180" s="36">
        <f>AD1180*(1+$D1180)</f>
        <v/>
      </c>
      <c r="AF1180" s="36">
        <f>AE1180*(1+$D1180)</f>
        <v/>
      </c>
      <c r="AG1180" s="36">
        <f>AF1180*(1+$D1180)</f>
        <v/>
      </c>
      <c r="AH1180" s="36">
        <f>AG1180*(1+$D1180)</f>
        <v/>
      </c>
      <c r="AI1180" s="36">
        <f>AH1180*(1+$D1180)</f>
        <v/>
      </c>
      <c r="AJ1180" s="36">
        <f>AI1180*(1+$D1180)</f>
        <v/>
      </c>
      <c r="AK1180" s="36">
        <f>AJ1180*(1+$D1180)</f>
        <v/>
      </c>
      <c r="AL1180" s="36">
        <f>AK1180*(1+$D1180)</f>
        <v/>
      </c>
      <c r="AM1180" s="36">
        <f>AL1180*(1+$D1180)</f>
        <v/>
      </c>
      <c r="AN1180" s="39">
        <f>PRETAX(AM1180,$D1180)</f>
        <v/>
      </c>
    </row>
    <row r="1181" hidden="1" outlineLevel="2">
      <c r="A1181" s="5" t="inlineStr">
        <is>
          <t>sp</t>
        </is>
      </c>
      <c r="B1181" s="5" t="inlineStr">
        <is>
          <t>nga</t>
        </is>
      </c>
      <c r="C1181" s="5" t="inlineStr">
        <is>
          <t>ftr</t>
        </is>
      </c>
      <c r="D1181" s="36">
        <f>INDEX(Inputs!$R$5:$R$132,MATCH($B1181&amp;"|"&amp;$C1181,Inputs!$A$5:$A$132,0))</f>
        <v/>
      </c>
      <c r="E1181" s="37" t="n"/>
      <c r="F1181" s="37" t="n"/>
      <c r="G1181" s="37" t="n"/>
      <c r="H1181" s="5">
        <f>INDEX(Variables!$B$5:$B$65,MATCH($A1181,Variables!$A$5:$A$65,0))&amp;IF($C1181="",""," | "&amp;INDEX(Mapping!$B$5:$B$25,MATCH($C1181,Mapping!$A$5:$A$25,0))&amp;" | "&amp;INDEX(Mapping!$B$29:$B$38,MATCH($B1181,Mapping!$A$29:$A$38,0)))</f>
        <v/>
      </c>
      <c r="I1181" s="5">
        <f>INDEX(Variables!$C$5:$C$65,MATCH($A1181,Variables!$A$5:$A$65,0))</f>
        <v/>
      </c>
      <c r="J1181" s="5">
        <f>INDEX(Variables!$E$5:$E$65,MATCH($A1181,Variables!$A$5:$A$65,0))</f>
        <v/>
      </c>
      <c r="K1181" s="23">
        <f>LOWER(Settings!$C$4)&amp;".mit."&amp;$A1181&amp;IF($C1181="","","."&amp;$C1181&amp;"."&amp;$B1181)&amp;IF(INDEX(Variables!$D$5:$D$65,MATCH($A1181,Variables!$A$5:$A$65,0))="","","."&amp;INDEX(Variables!$D$5:$D$65,MATCH($A1181,Variables!$A$5:$A$65,0)))&amp;"."&amp;K$5</f>
        <v/>
      </c>
      <c r="L1181" s="38">
        <f>INDEX(Inputs!$S$5:$S$132,MATCH($B1181&amp;"|"&amp;$C1181,Inputs!$A$5:$A$132,0))</f>
        <v/>
      </c>
      <c r="M1181" s="36">
        <f>L1181*(1+$D1181)</f>
        <v/>
      </c>
      <c r="N1181" s="36">
        <f>M1181*(1+$D1181)</f>
        <v/>
      </c>
      <c r="O1181" s="36">
        <f>N1181*(1+$D1181)</f>
        <v/>
      </c>
      <c r="P1181" s="36">
        <f>O1181*(1+$D1181)</f>
        <v/>
      </c>
      <c r="Q1181" s="36">
        <f>P1181*(1+$D1181)</f>
        <v/>
      </c>
      <c r="R1181" s="36">
        <f>Q1181*(1+$D1181)</f>
        <v/>
      </c>
      <c r="S1181" s="36">
        <f>R1181*(1+$D1181)</f>
        <v/>
      </c>
      <c r="T1181" s="36">
        <f>S1181*(1+$D1181)</f>
        <v/>
      </c>
      <c r="U1181" s="36">
        <f>T1181*(1+$D1181)</f>
        <v/>
      </c>
      <c r="V1181" s="36">
        <f>U1181*(1+$D1181)</f>
        <v/>
      </c>
      <c r="W1181" s="36">
        <f>V1181*(1+$D1181)</f>
        <v/>
      </c>
      <c r="X1181" s="36">
        <f>W1181*(1+$D1181)</f>
        <v/>
      </c>
      <c r="Y1181" s="39">
        <f>PRETAX(X1181,$D1181)</f>
        <v/>
      </c>
      <c r="Z1181" s="23">
        <f>LOWER(Settings!$C$4)&amp;".mit."&amp;$A1181&amp;IF($C1181="","","."&amp;$C1181&amp;"."&amp;$B1181)&amp;IF(INDEX(Variables!$D$5:$D$65,MATCH($A1181,Variables!$A$5:$A$65,0))="","","."&amp;INDEX(Variables!$D$5:$D$65,MATCH($A1181,Variables!$A$5:$A$65,0)))&amp;"."&amp;Z$5</f>
        <v/>
      </c>
      <c r="AA1181" s="38">
        <f>INDEX(Inputs!$S$5:$S$132,MATCH($B1181&amp;"|"&amp;$C1181,Inputs!$A$5:$A$132,0))</f>
        <v/>
      </c>
      <c r="AB1181" s="36">
        <f>AA1181*(1+$D1181)</f>
        <v/>
      </c>
      <c r="AC1181" s="36">
        <f>AB1181*(1+$D1181)</f>
        <v/>
      </c>
      <c r="AD1181" s="36">
        <f>AC1181*(1+$D1181)</f>
        <v/>
      </c>
      <c r="AE1181" s="36">
        <f>AD1181*(1+$D1181)</f>
        <v/>
      </c>
      <c r="AF1181" s="36">
        <f>AE1181*(1+$D1181)</f>
        <v/>
      </c>
      <c r="AG1181" s="36">
        <f>AF1181*(1+$D1181)</f>
        <v/>
      </c>
      <c r="AH1181" s="36">
        <f>AG1181*(1+$D1181)</f>
        <v/>
      </c>
      <c r="AI1181" s="36">
        <f>AH1181*(1+$D1181)</f>
        <v/>
      </c>
      <c r="AJ1181" s="36">
        <f>AI1181*(1+$D1181)</f>
        <v/>
      </c>
      <c r="AK1181" s="36">
        <f>AJ1181*(1+$D1181)</f>
        <v/>
      </c>
      <c r="AL1181" s="36">
        <f>AK1181*(1+$D1181)</f>
        <v/>
      </c>
      <c r="AM1181" s="36">
        <f>AL1181*(1+$D1181)</f>
        <v/>
      </c>
      <c r="AN1181" s="39">
        <f>PRETAX(AM1181,$D1181)</f>
        <v/>
      </c>
    </row>
    <row r="1182" hidden="1" outlineLevel="2">
      <c r="A1182" s="5" t="inlineStr">
        <is>
          <t>sp</t>
        </is>
      </c>
      <c r="B1182" s="5" t="inlineStr">
        <is>
          <t>gso</t>
        </is>
      </c>
      <c r="C1182" s="5" t="inlineStr">
        <is>
          <t>ftr</t>
        </is>
      </c>
      <c r="D1182" s="36">
        <f>INDEX(Inputs!$R$5:$R$132,MATCH($B1182&amp;"|"&amp;$C1182,Inputs!$A$5:$A$132,0))</f>
        <v/>
      </c>
      <c r="E1182" s="37" t="n"/>
      <c r="F1182" s="37" t="n"/>
      <c r="G1182" s="37" t="n"/>
      <c r="H1182" s="5">
        <f>INDEX(Variables!$B$5:$B$65,MATCH($A1182,Variables!$A$5:$A$65,0))&amp;IF($C1182="",""," | "&amp;INDEX(Mapping!$B$5:$B$25,MATCH($C1182,Mapping!$A$5:$A$25,0))&amp;" | "&amp;INDEX(Mapping!$B$29:$B$38,MATCH($B1182,Mapping!$A$29:$A$38,0)))</f>
        <v/>
      </c>
      <c r="I1182" s="5">
        <f>INDEX(Variables!$C$5:$C$65,MATCH($A1182,Variables!$A$5:$A$65,0))</f>
        <v/>
      </c>
      <c r="J1182" s="5">
        <f>INDEX(Variables!$E$5:$E$65,MATCH($A1182,Variables!$A$5:$A$65,0))</f>
        <v/>
      </c>
      <c r="K1182" s="23">
        <f>LOWER(Settings!$C$4)&amp;".mit."&amp;$A1182&amp;IF($C1182="","","."&amp;$C1182&amp;"."&amp;$B1182)&amp;IF(INDEX(Variables!$D$5:$D$65,MATCH($A1182,Variables!$A$5:$A$65,0))="","","."&amp;INDEX(Variables!$D$5:$D$65,MATCH($A1182,Variables!$A$5:$A$65,0)))&amp;"."&amp;K$5</f>
        <v/>
      </c>
      <c r="L1182" s="38">
        <f>INDEX(Inputs!$S$5:$S$132,MATCH($B1182&amp;"|"&amp;$C1182,Inputs!$A$5:$A$132,0))</f>
        <v/>
      </c>
      <c r="M1182" s="36">
        <f>L1182*(1+$D1182)</f>
        <v/>
      </c>
      <c r="N1182" s="36">
        <f>M1182*(1+$D1182)</f>
        <v/>
      </c>
      <c r="O1182" s="36">
        <f>N1182*(1+$D1182)</f>
        <v/>
      </c>
      <c r="P1182" s="36">
        <f>O1182*(1+$D1182)</f>
        <v/>
      </c>
      <c r="Q1182" s="36">
        <f>P1182*(1+$D1182)</f>
        <v/>
      </c>
      <c r="R1182" s="36">
        <f>Q1182*(1+$D1182)</f>
        <v/>
      </c>
      <c r="S1182" s="36">
        <f>R1182*(1+$D1182)</f>
        <v/>
      </c>
      <c r="T1182" s="36">
        <f>S1182*(1+$D1182)</f>
        <v/>
      </c>
      <c r="U1182" s="36">
        <f>T1182*(1+$D1182)</f>
        <v/>
      </c>
      <c r="V1182" s="36">
        <f>U1182*(1+$D1182)</f>
        <v/>
      </c>
      <c r="W1182" s="36">
        <f>V1182*(1+$D1182)</f>
        <v/>
      </c>
      <c r="X1182" s="36">
        <f>W1182*(1+$D1182)</f>
        <v/>
      </c>
      <c r="Y1182" s="39">
        <f>PRETAX(X1182,$D1182)</f>
        <v/>
      </c>
      <c r="Z1182" s="23">
        <f>LOWER(Settings!$C$4)&amp;".mit."&amp;$A1182&amp;IF($C1182="","","."&amp;$C1182&amp;"."&amp;$B1182)&amp;IF(INDEX(Variables!$D$5:$D$65,MATCH($A1182,Variables!$A$5:$A$65,0))="","","."&amp;INDEX(Variables!$D$5:$D$65,MATCH($A1182,Variables!$A$5:$A$65,0)))&amp;"."&amp;Z$5</f>
        <v/>
      </c>
      <c r="AA1182" s="38">
        <f>INDEX(Inputs!$S$5:$S$132,MATCH($B1182&amp;"|"&amp;$C1182,Inputs!$A$5:$A$132,0))</f>
        <v/>
      </c>
      <c r="AB1182" s="36">
        <f>AA1182*(1+$D1182)</f>
        <v/>
      </c>
      <c r="AC1182" s="36">
        <f>AB1182*(1+$D1182)</f>
        <v/>
      </c>
      <c r="AD1182" s="36">
        <f>AC1182*(1+$D1182)</f>
        <v/>
      </c>
      <c r="AE1182" s="36">
        <f>AD1182*(1+$D1182)</f>
        <v/>
      </c>
      <c r="AF1182" s="36">
        <f>AE1182*(1+$D1182)</f>
        <v/>
      </c>
      <c r="AG1182" s="36">
        <f>AF1182*(1+$D1182)</f>
        <v/>
      </c>
      <c r="AH1182" s="36">
        <f>AG1182*(1+$D1182)</f>
        <v/>
      </c>
      <c r="AI1182" s="36">
        <f>AH1182*(1+$D1182)</f>
        <v/>
      </c>
      <c r="AJ1182" s="36">
        <f>AI1182*(1+$D1182)</f>
        <v/>
      </c>
      <c r="AK1182" s="36">
        <f>AJ1182*(1+$D1182)</f>
        <v/>
      </c>
      <c r="AL1182" s="36">
        <f>AK1182*(1+$D1182)</f>
        <v/>
      </c>
      <c r="AM1182" s="36">
        <f>AL1182*(1+$D1182)</f>
        <v/>
      </c>
      <c r="AN1182" s="39">
        <f>PRETAX(AM1182,$D1182)</f>
        <v/>
      </c>
    </row>
    <row r="1183" hidden="1" outlineLevel="2">
      <c r="A1183" s="5" t="inlineStr">
        <is>
          <t>sp</t>
        </is>
      </c>
      <c r="B1183" s="5" t="inlineStr">
        <is>
          <t>die</t>
        </is>
      </c>
      <c r="C1183" s="5" t="inlineStr">
        <is>
          <t>ftr</t>
        </is>
      </c>
      <c r="D1183" s="36">
        <f>INDEX(Inputs!$R$5:$R$132,MATCH($B1183&amp;"|"&amp;$C1183,Inputs!$A$5:$A$132,0))</f>
        <v/>
      </c>
      <c r="E1183" s="37" t="n"/>
      <c r="F1183" s="37" t="n"/>
      <c r="G1183" s="37" t="n"/>
      <c r="H1183" s="5">
        <f>INDEX(Variables!$B$5:$B$65,MATCH($A1183,Variables!$A$5:$A$65,0))&amp;IF($C1183="",""," | "&amp;INDEX(Mapping!$B$5:$B$25,MATCH($C1183,Mapping!$A$5:$A$25,0))&amp;" | "&amp;INDEX(Mapping!$B$29:$B$38,MATCH($B1183,Mapping!$A$29:$A$38,0)))</f>
        <v/>
      </c>
      <c r="I1183" s="5">
        <f>INDEX(Variables!$C$5:$C$65,MATCH($A1183,Variables!$A$5:$A$65,0))</f>
        <v/>
      </c>
      <c r="J1183" s="5">
        <f>INDEX(Variables!$E$5:$E$65,MATCH($A1183,Variables!$A$5:$A$65,0))</f>
        <v/>
      </c>
      <c r="K1183" s="23">
        <f>LOWER(Settings!$C$4)&amp;".mit."&amp;$A1183&amp;IF($C1183="","","."&amp;$C1183&amp;"."&amp;$B1183)&amp;IF(INDEX(Variables!$D$5:$D$65,MATCH($A1183,Variables!$A$5:$A$65,0))="","","."&amp;INDEX(Variables!$D$5:$D$65,MATCH($A1183,Variables!$A$5:$A$65,0)))&amp;"."&amp;K$5</f>
        <v/>
      </c>
      <c r="L1183" s="38">
        <f>INDEX(Inputs!$S$5:$S$132,MATCH($B1183&amp;"|"&amp;$C1183,Inputs!$A$5:$A$132,0))</f>
        <v/>
      </c>
      <c r="M1183" s="36">
        <f>L1183*(1+$D1183)</f>
        <v/>
      </c>
      <c r="N1183" s="36">
        <f>M1183*(1+$D1183)</f>
        <v/>
      </c>
      <c r="O1183" s="36">
        <f>N1183*(1+$D1183)</f>
        <v/>
      </c>
      <c r="P1183" s="36">
        <f>O1183*(1+$D1183)</f>
        <v/>
      </c>
      <c r="Q1183" s="36">
        <f>P1183*(1+$D1183)</f>
        <v/>
      </c>
      <c r="R1183" s="36">
        <f>Q1183*(1+$D1183)</f>
        <v/>
      </c>
      <c r="S1183" s="36">
        <f>R1183*(1+$D1183)</f>
        <v/>
      </c>
      <c r="T1183" s="36">
        <f>S1183*(1+$D1183)</f>
        <v/>
      </c>
      <c r="U1183" s="36">
        <f>T1183*(1+$D1183)</f>
        <v/>
      </c>
      <c r="V1183" s="36">
        <f>U1183*(1+$D1183)</f>
        <v/>
      </c>
      <c r="W1183" s="36">
        <f>V1183*(1+$D1183)</f>
        <v/>
      </c>
      <c r="X1183" s="36">
        <f>W1183*(1+$D1183)</f>
        <v/>
      </c>
      <c r="Y1183" s="39">
        <f>PRETAX(X1183,$D1183)</f>
        <v/>
      </c>
      <c r="Z1183" s="23">
        <f>LOWER(Settings!$C$4)&amp;".mit."&amp;$A1183&amp;IF($C1183="","","."&amp;$C1183&amp;"."&amp;$B1183)&amp;IF(INDEX(Variables!$D$5:$D$65,MATCH($A1183,Variables!$A$5:$A$65,0))="","","."&amp;INDEX(Variables!$D$5:$D$65,MATCH($A1183,Variables!$A$5:$A$65,0)))&amp;"."&amp;Z$5</f>
        <v/>
      </c>
      <c r="AA1183" s="38">
        <f>INDEX(Inputs!$S$5:$S$132,MATCH($B1183&amp;"|"&amp;$C1183,Inputs!$A$5:$A$132,0))</f>
        <v/>
      </c>
      <c r="AB1183" s="36">
        <f>AA1183*(1+$D1183)</f>
        <v/>
      </c>
      <c r="AC1183" s="36">
        <f>AB1183*(1+$D1183)</f>
        <v/>
      </c>
      <c r="AD1183" s="36">
        <f>AC1183*(1+$D1183)</f>
        <v/>
      </c>
      <c r="AE1183" s="36">
        <f>AD1183*(1+$D1183)</f>
        <v/>
      </c>
      <c r="AF1183" s="36">
        <f>AE1183*(1+$D1183)</f>
        <v/>
      </c>
      <c r="AG1183" s="36">
        <f>AF1183*(1+$D1183)</f>
        <v/>
      </c>
      <c r="AH1183" s="36">
        <f>AG1183*(1+$D1183)</f>
        <v/>
      </c>
      <c r="AI1183" s="36">
        <f>AH1183*(1+$D1183)</f>
        <v/>
      </c>
      <c r="AJ1183" s="36">
        <f>AI1183*(1+$D1183)</f>
        <v/>
      </c>
      <c r="AK1183" s="36">
        <f>AJ1183*(1+$D1183)</f>
        <v/>
      </c>
      <c r="AL1183" s="36">
        <f>AK1183*(1+$D1183)</f>
        <v/>
      </c>
      <c r="AM1183" s="36">
        <f>AL1183*(1+$D1183)</f>
        <v/>
      </c>
      <c r="AN1183" s="39">
        <f>PRETAX(AM1183,$D1183)</f>
        <v/>
      </c>
    </row>
    <row r="1184" hidden="1" outlineLevel="2">
      <c r="A1184" s="5" t="inlineStr">
        <is>
          <t>sp</t>
        </is>
      </c>
      <c r="B1184" s="5" t="inlineStr">
        <is>
          <t>lpg</t>
        </is>
      </c>
      <c r="C1184" s="5" t="inlineStr">
        <is>
          <t>ftr</t>
        </is>
      </c>
      <c r="D1184" s="36">
        <f>INDEX(Inputs!$R$5:$R$132,MATCH($B1184&amp;"|"&amp;$C1184,Inputs!$A$5:$A$132,0))</f>
        <v/>
      </c>
      <c r="E1184" s="37" t="n"/>
      <c r="F1184" s="37" t="n"/>
      <c r="G1184" s="37" t="n"/>
      <c r="H1184" s="5">
        <f>INDEX(Variables!$B$5:$B$65,MATCH($A1184,Variables!$A$5:$A$65,0))&amp;IF($C1184="",""," | "&amp;INDEX(Mapping!$B$5:$B$25,MATCH($C1184,Mapping!$A$5:$A$25,0))&amp;" | "&amp;INDEX(Mapping!$B$29:$B$38,MATCH($B1184,Mapping!$A$29:$A$38,0)))</f>
        <v/>
      </c>
      <c r="I1184" s="5">
        <f>INDEX(Variables!$C$5:$C$65,MATCH($A1184,Variables!$A$5:$A$65,0))</f>
        <v/>
      </c>
      <c r="J1184" s="5">
        <f>INDEX(Variables!$E$5:$E$65,MATCH($A1184,Variables!$A$5:$A$65,0))</f>
        <v/>
      </c>
      <c r="K1184" s="23">
        <f>LOWER(Settings!$C$4)&amp;".mit."&amp;$A1184&amp;IF($C1184="","","."&amp;$C1184&amp;"."&amp;$B1184)&amp;IF(INDEX(Variables!$D$5:$D$65,MATCH($A1184,Variables!$A$5:$A$65,0))="","","."&amp;INDEX(Variables!$D$5:$D$65,MATCH($A1184,Variables!$A$5:$A$65,0)))&amp;"."&amp;K$5</f>
        <v/>
      </c>
      <c r="L1184" s="38">
        <f>INDEX(Inputs!$S$5:$S$132,MATCH($B1184&amp;"|"&amp;$C1184,Inputs!$A$5:$A$132,0))</f>
        <v/>
      </c>
      <c r="M1184" s="36">
        <f>L1184*(1+$D1184)</f>
        <v/>
      </c>
      <c r="N1184" s="36">
        <f>M1184*(1+$D1184)</f>
        <v/>
      </c>
      <c r="O1184" s="36">
        <f>N1184*(1+$D1184)</f>
        <v/>
      </c>
      <c r="P1184" s="36">
        <f>O1184*(1+$D1184)</f>
        <v/>
      </c>
      <c r="Q1184" s="36">
        <f>P1184*(1+$D1184)</f>
        <v/>
      </c>
      <c r="R1184" s="36">
        <f>Q1184*(1+$D1184)</f>
        <v/>
      </c>
      <c r="S1184" s="36">
        <f>R1184*(1+$D1184)</f>
        <v/>
      </c>
      <c r="T1184" s="36">
        <f>S1184*(1+$D1184)</f>
        <v/>
      </c>
      <c r="U1184" s="36">
        <f>T1184*(1+$D1184)</f>
        <v/>
      </c>
      <c r="V1184" s="36">
        <f>U1184*(1+$D1184)</f>
        <v/>
      </c>
      <c r="W1184" s="36">
        <f>V1184*(1+$D1184)</f>
        <v/>
      </c>
      <c r="X1184" s="36">
        <f>W1184*(1+$D1184)</f>
        <v/>
      </c>
      <c r="Y1184" s="39">
        <f>PRETAX(X1184,$D1184)</f>
        <v/>
      </c>
      <c r="Z1184" s="23">
        <f>LOWER(Settings!$C$4)&amp;".mit."&amp;$A1184&amp;IF($C1184="","","."&amp;$C1184&amp;"."&amp;$B1184)&amp;IF(INDEX(Variables!$D$5:$D$65,MATCH($A1184,Variables!$A$5:$A$65,0))="","","."&amp;INDEX(Variables!$D$5:$D$65,MATCH($A1184,Variables!$A$5:$A$65,0)))&amp;"."&amp;Z$5</f>
        <v/>
      </c>
      <c r="AA1184" s="38">
        <f>INDEX(Inputs!$S$5:$S$132,MATCH($B1184&amp;"|"&amp;$C1184,Inputs!$A$5:$A$132,0))</f>
        <v/>
      </c>
      <c r="AB1184" s="36">
        <f>AA1184*(1+$D1184)</f>
        <v/>
      </c>
      <c r="AC1184" s="36">
        <f>AB1184*(1+$D1184)</f>
        <v/>
      </c>
      <c r="AD1184" s="36">
        <f>AC1184*(1+$D1184)</f>
        <v/>
      </c>
      <c r="AE1184" s="36">
        <f>AD1184*(1+$D1184)</f>
        <v/>
      </c>
      <c r="AF1184" s="36">
        <f>AE1184*(1+$D1184)</f>
        <v/>
      </c>
      <c r="AG1184" s="36">
        <f>AF1184*(1+$D1184)</f>
        <v/>
      </c>
      <c r="AH1184" s="36">
        <f>AG1184*(1+$D1184)</f>
        <v/>
      </c>
      <c r="AI1184" s="36">
        <f>AH1184*(1+$D1184)</f>
        <v/>
      </c>
      <c r="AJ1184" s="36">
        <f>AI1184*(1+$D1184)</f>
        <v/>
      </c>
      <c r="AK1184" s="36">
        <f>AJ1184*(1+$D1184)</f>
        <v/>
      </c>
      <c r="AL1184" s="36">
        <f>AK1184*(1+$D1184)</f>
        <v/>
      </c>
      <c r="AM1184" s="36">
        <f>AL1184*(1+$D1184)</f>
        <v/>
      </c>
      <c r="AN1184" s="39">
        <f>PRETAX(AM1184,$D1184)</f>
        <v/>
      </c>
    </row>
    <row r="1185" hidden="1" outlineLevel="2">
      <c r="A1185" s="5" t="inlineStr">
        <is>
          <t>sp</t>
        </is>
      </c>
      <c r="B1185" s="5" t="inlineStr">
        <is>
          <t>ker</t>
        </is>
      </c>
      <c r="C1185" s="5" t="inlineStr">
        <is>
          <t>ftr</t>
        </is>
      </c>
      <c r="D1185" s="36">
        <f>INDEX(Inputs!$R$5:$R$132,MATCH($B1185&amp;"|"&amp;$C1185,Inputs!$A$5:$A$132,0))</f>
        <v/>
      </c>
      <c r="E1185" s="37" t="n"/>
      <c r="F1185" s="37" t="n"/>
      <c r="G1185" s="37" t="n"/>
      <c r="H1185" s="5">
        <f>INDEX(Variables!$B$5:$B$65,MATCH($A1185,Variables!$A$5:$A$65,0))&amp;IF($C1185="",""," | "&amp;INDEX(Mapping!$B$5:$B$25,MATCH($C1185,Mapping!$A$5:$A$25,0))&amp;" | "&amp;INDEX(Mapping!$B$29:$B$38,MATCH($B1185,Mapping!$A$29:$A$38,0)))</f>
        <v/>
      </c>
      <c r="I1185" s="5">
        <f>INDEX(Variables!$C$5:$C$65,MATCH($A1185,Variables!$A$5:$A$65,0))</f>
        <v/>
      </c>
      <c r="J1185" s="5">
        <f>INDEX(Variables!$E$5:$E$65,MATCH($A1185,Variables!$A$5:$A$65,0))</f>
        <v/>
      </c>
      <c r="K1185" s="23">
        <f>LOWER(Settings!$C$4)&amp;".mit."&amp;$A1185&amp;IF($C1185="","","."&amp;$C1185&amp;"."&amp;$B1185)&amp;IF(INDEX(Variables!$D$5:$D$65,MATCH($A1185,Variables!$A$5:$A$65,0))="","","."&amp;INDEX(Variables!$D$5:$D$65,MATCH($A1185,Variables!$A$5:$A$65,0)))&amp;"."&amp;K$5</f>
        <v/>
      </c>
      <c r="L1185" s="38">
        <f>INDEX(Inputs!$S$5:$S$132,MATCH($B1185&amp;"|"&amp;$C1185,Inputs!$A$5:$A$132,0))</f>
        <v/>
      </c>
      <c r="M1185" s="36">
        <f>L1185*(1+$D1185)</f>
        <v/>
      </c>
      <c r="N1185" s="36">
        <f>M1185*(1+$D1185)</f>
        <v/>
      </c>
      <c r="O1185" s="36">
        <f>N1185*(1+$D1185)</f>
        <v/>
      </c>
      <c r="P1185" s="36">
        <f>O1185*(1+$D1185)</f>
        <v/>
      </c>
      <c r="Q1185" s="36">
        <f>P1185*(1+$D1185)</f>
        <v/>
      </c>
      <c r="R1185" s="36">
        <f>Q1185*(1+$D1185)</f>
        <v/>
      </c>
      <c r="S1185" s="36">
        <f>R1185*(1+$D1185)</f>
        <v/>
      </c>
      <c r="T1185" s="36">
        <f>S1185*(1+$D1185)</f>
        <v/>
      </c>
      <c r="U1185" s="36">
        <f>T1185*(1+$D1185)</f>
        <v/>
      </c>
      <c r="V1185" s="36">
        <f>U1185*(1+$D1185)</f>
        <v/>
      </c>
      <c r="W1185" s="36">
        <f>V1185*(1+$D1185)</f>
        <v/>
      </c>
      <c r="X1185" s="36">
        <f>W1185*(1+$D1185)</f>
        <v/>
      </c>
      <c r="Y1185" s="39">
        <f>PRETAX(X1185,$D1185)</f>
        <v/>
      </c>
      <c r="Z1185" s="23">
        <f>LOWER(Settings!$C$4)&amp;".mit."&amp;$A1185&amp;IF($C1185="","","."&amp;$C1185&amp;"."&amp;$B1185)&amp;IF(INDEX(Variables!$D$5:$D$65,MATCH($A1185,Variables!$A$5:$A$65,0))="","","."&amp;INDEX(Variables!$D$5:$D$65,MATCH($A1185,Variables!$A$5:$A$65,0)))&amp;"."&amp;Z$5</f>
        <v/>
      </c>
      <c r="AA1185" s="38">
        <f>INDEX(Inputs!$S$5:$S$132,MATCH($B1185&amp;"|"&amp;$C1185,Inputs!$A$5:$A$132,0))</f>
        <v/>
      </c>
      <c r="AB1185" s="36">
        <f>AA1185*(1+$D1185)</f>
        <v/>
      </c>
      <c r="AC1185" s="36">
        <f>AB1185*(1+$D1185)</f>
        <v/>
      </c>
      <c r="AD1185" s="36">
        <f>AC1185*(1+$D1185)</f>
        <v/>
      </c>
      <c r="AE1185" s="36">
        <f>AD1185*(1+$D1185)</f>
        <v/>
      </c>
      <c r="AF1185" s="36">
        <f>AE1185*(1+$D1185)</f>
        <v/>
      </c>
      <c r="AG1185" s="36">
        <f>AF1185*(1+$D1185)</f>
        <v/>
      </c>
      <c r="AH1185" s="36">
        <f>AG1185*(1+$D1185)</f>
        <v/>
      </c>
      <c r="AI1185" s="36">
        <f>AH1185*(1+$D1185)</f>
        <v/>
      </c>
      <c r="AJ1185" s="36">
        <f>AI1185*(1+$D1185)</f>
        <v/>
      </c>
      <c r="AK1185" s="36">
        <f>AJ1185*(1+$D1185)</f>
        <v/>
      </c>
      <c r="AL1185" s="36">
        <f>AK1185*(1+$D1185)</f>
        <v/>
      </c>
      <c r="AM1185" s="36">
        <f>AL1185*(1+$D1185)</f>
        <v/>
      </c>
      <c r="AN1185" s="39">
        <f>PRETAX(AM1185,$D1185)</f>
        <v/>
      </c>
    </row>
    <row r="1186" hidden="1" outlineLevel="2">
      <c r="A1186" s="5" t="inlineStr">
        <is>
          <t>sp</t>
        </is>
      </c>
      <c r="B1186" s="5" t="inlineStr">
        <is>
          <t>oop</t>
        </is>
      </c>
      <c r="C1186" s="5" t="inlineStr">
        <is>
          <t>ftr</t>
        </is>
      </c>
      <c r="D1186" s="36">
        <f>INDEX(Inputs!$R$5:$R$132,MATCH($B1186&amp;"|"&amp;$C1186,Inputs!$A$5:$A$132,0))</f>
        <v/>
      </c>
      <c r="E1186" s="37" t="n"/>
      <c r="F1186" s="37" t="n"/>
      <c r="G1186" s="37" t="n"/>
      <c r="H1186" s="5">
        <f>INDEX(Variables!$B$5:$B$65,MATCH($A1186,Variables!$A$5:$A$65,0))&amp;IF($C1186="",""," | "&amp;INDEX(Mapping!$B$5:$B$25,MATCH($C1186,Mapping!$A$5:$A$25,0))&amp;" | "&amp;INDEX(Mapping!$B$29:$B$38,MATCH($B1186,Mapping!$A$29:$A$38,0)))</f>
        <v/>
      </c>
      <c r="I1186" s="5">
        <f>INDEX(Variables!$C$5:$C$65,MATCH($A1186,Variables!$A$5:$A$65,0))</f>
        <v/>
      </c>
      <c r="J1186" s="5">
        <f>INDEX(Variables!$E$5:$E$65,MATCH($A1186,Variables!$A$5:$A$65,0))</f>
        <v/>
      </c>
      <c r="K1186" s="23">
        <f>LOWER(Settings!$C$4)&amp;".mit."&amp;$A1186&amp;IF($C1186="","","."&amp;$C1186&amp;"."&amp;$B1186)&amp;IF(INDEX(Variables!$D$5:$D$65,MATCH($A1186,Variables!$A$5:$A$65,0))="","","."&amp;INDEX(Variables!$D$5:$D$65,MATCH($A1186,Variables!$A$5:$A$65,0)))&amp;"."&amp;K$5</f>
        <v/>
      </c>
      <c r="L1186" s="38">
        <f>INDEX(Inputs!$S$5:$S$132,MATCH($B1186&amp;"|"&amp;$C1186,Inputs!$A$5:$A$132,0))</f>
        <v/>
      </c>
      <c r="M1186" s="36">
        <f>L1186*(1+$D1186)</f>
        <v/>
      </c>
      <c r="N1186" s="36">
        <f>M1186*(1+$D1186)</f>
        <v/>
      </c>
      <c r="O1186" s="36">
        <f>N1186*(1+$D1186)</f>
        <v/>
      </c>
      <c r="P1186" s="36">
        <f>O1186*(1+$D1186)</f>
        <v/>
      </c>
      <c r="Q1186" s="36">
        <f>P1186*(1+$D1186)</f>
        <v/>
      </c>
      <c r="R1186" s="36">
        <f>Q1186*(1+$D1186)</f>
        <v/>
      </c>
      <c r="S1186" s="36">
        <f>R1186*(1+$D1186)</f>
        <v/>
      </c>
      <c r="T1186" s="36">
        <f>S1186*(1+$D1186)</f>
        <v/>
      </c>
      <c r="U1186" s="36">
        <f>T1186*(1+$D1186)</f>
        <v/>
      </c>
      <c r="V1186" s="36">
        <f>U1186*(1+$D1186)</f>
        <v/>
      </c>
      <c r="W1186" s="36">
        <f>V1186*(1+$D1186)</f>
        <v/>
      </c>
      <c r="X1186" s="36">
        <f>W1186*(1+$D1186)</f>
        <v/>
      </c>
      <c r="Y1186" s="39">
        <f>PRETAX(X1186,$D1186)</f>
        <v/>
      </c>
      <c r="Z1186" s="23">
        <f>LOWER(Settings!$C$4)&amp;".mit."&amp;$A1186&amp;IF($C1186="","","."&amp;$C1186&amp;"."&amp;$B1186)&amp;IF(INDEX(Variables!$D$5:$D$65,MATCH($A1186,Variables!$A$5:$A$65,0))="","","."&amp;INDEX(Variables!$D$5:$D$65,MATCH($A1186,Variables!$A$5:$A$65,0)))&amp;"."&amp;Z$5</f>
        <v/>
      </c>
      <c r="AA1186" s="38">
        <f>INDEX(Inputs!$S$5:$S$132,MATCH($B1186&amp;"|"&amp;$C1186,Inputs!$A$5:$A$132,0))</f>
        <v/>
      </c>
      <c r="AB1186" s="36">
        <f>AA1186*(1+$D1186)</f>
        <v/>
      </c>
      <c r="AC1186" s="36">
        <f>AB1186*(1+$D1186)</f>
        <v/>
      </c>
      <c r="AD1186" s="36">
        <f>AC1186*(1+$D1186)</f>
        <v/>
      </c>
      <c r="AE1186" s="36">
        <f>AD1186*(1+$D1186)</f>
        <v/>
      </c>
      <c r="AF1186" s="36">
        <f>AE1186*(1+$D1186)</f>
        <v/>
      </c>
      <c r="AG1186" s="36">
        <f>AF1186*(1+$D1186)</f>
        <v/>
      </c>
      <c r="AH1186" s="36">
        <f>AG1186*(1+$D1186)</f>
        <v/>
      </c>
      <c r="AI1186" s="36">
        <f>AH1186*(1+$D1186)</f>
        <v/>
      </c>
      <c r="AJ1186" s="36">
        <f>AI1186*(1+$D1186)</f>
        <v/>
      </c>
      <c r="AK1186" s="36">
        <f>AJ1186*(1+$D1186)</f>
        <v/>
      </c>
      <c r="AL1186" s="36">
        <f>AK1186*(1+$D1186)</f>
        <v/>
      </c>
      <c r="AM1186" s="36">
        <f>AL1186*(1+$D1186)</f>
        <v/>
      </c>
      <c r="AN1186" s="39">
        <f>PRETAX(AM1186,$D1186)</f>
        <v/>
      </c>
    </row>
    <row r="1187" hidden="1" outlineLevel="2">
      <c r="A1187" s="5" t="inlineStr">
        <is>
          <t>sp</t>
        </is>
      </c>
      <c r="B1187" s="5" t="inlineStr">
        <is>
          <t>bio</t>
        </is>
      </c>
      <c r="C1187" s="5" t="inlineStr">
        <is>
          <t>ftr</t>
        </is>
      </c>
      <c r="D1187" s="36">
        <f>INDEX(Inputs!$R$5:$R$132,MATCH($B1187&amp;"|"&amp;$C1187,Inputs!$A$5:$A$132,0))</f>
        <v/>
      </c>
      <c r="E1187" s="37" t="n"/>
      <c r="F1187" s="37" t="n"/>
      <c r="G1187" s="37" t="n"/>
      <c r="H1187" s="5">
        <f>INDEX(Variables!$B$5:$B$65,MATCH($A1187,Variables!$A$5:$A$65,0))&amp;IF($C1187="",""," | "&amp;INDEX(Mapping!$B$5:$B$25,MATCH($C1187,Mapping!$A$5:$A$25,0))&amp;" | "&amp;INDEX(Mapping!$B$29:$B$38,MATCH($B1187,Mapping!$A$29:$A$38,0)))</f>
        <v/>
      </c>
      <c r="I1187" s="5">
        <f>INDEX(Variables!$C$5:$C$65,MATCH($A1187,Variables!$A$5:$A$65,0))</f>
        <v/>
      </c>
      <c r="J1187" s="5">
        <f>INDEX(Variables!$E$5:$E$65,MATCH($A1187,Variables!$A$5:$A$65,0))</f>
        <v/>
      </c>
      <c r="K1187" s="23">
        <f>LOWER(Settings!$C$4)&amp;".mit."&amp;$A1187&amp;IF($C1187="","","."&amp;$C1187&amp;"."&amp;$B1187)&amp;IF(INDEX(Variables!$D$5:$D$65,MATCH($A1187,Variables!$A$5:$A$65,0))="","","."&amp;INDEX(Variables!$D$5:$D$65,MATCH($A1187,Variables!$A$5:$A$65,0)))&amp;"."&amp;K$5</f>
        <v/>
      </c>
      <c r="L1187" s="38">
        <f>INDEX(Inputs!$S$5:$S$132,MATCH($B1187&amp;"|"&amp;$C1187,Inputs!$A$5:$A$132,0))</f>
        <v/>
      </c>
      <c r="M1187" s="36">
        <f>L1187*(1+$D1187)</f>
        <v/>
      </c>
      <c r="N1187" s="36">
        <f>M1187*(1+$D1187)</f>
        <v/>
      </c>
      <c r="O1187" s="36">
        <f>N1187*(1+$D1187)</f>
        <v/>
      </c>
      <c r="P1187" s="36">
        <f>O1187*(1+$D1187)</f>
        <v/>
      </c>
      <c r="Q1187" s="36">
        <f>P1187*(1+$D1187)</f>
        <v/>
      </c>
      <c r="R1187" s="36">
        <f>Q1187*(1+$D1187)</f>
        <v/>
      </c>
      <c r="S1187" s="36">
        <f>R1187*(1+$D1187)</f>
        <v/>
      </c>
      <c r="T1187" s="36">
        <f>S1187*(1+$D1187)</f>
        <v/>
      </c>
      <c r="U1187" s="36">
        <f>T1187*(1+$D1187)</f>
        <v/>
      </c>
      <c r="V1187" s="36">
        <f>U1187*(1+$D1187)</f>
        <v/>
      </c>
      <c r="W1187" s="36">
        <f>V1187*(1+$D1187)</f>
        <v/>
      </c>
      <c r="X1187" s="36">
        <f>W1187*(1+$D1187)</f>
        <v/>
      </c>
      <c r="Y1187" s="39">
        <f>PRETAX(X1187,$D1187)</f>
        <v/>
      </c>
      <c r="Z1187" s="23">
        <f>LOWER(Settings!$C$4)&amp;".mit."&amp;$A1187&amp;IF($C1187="","","."&amp;$C1187&amp;"."&amp;$B1187)&amp;IF(INDEX(Variables!$D$5:$D$65,MATCH($A1187,Variables!$A$5:$A$65,0))="","","."&amp;INDEX(Variables!$D$5:$D$65,MATCH($A1187,Variables!$A$5:$A$65,0)))&amp;"."&amp;Z$5</f>
        <v/>
      </c>
      <c r="AA1187" s="38">
        <f>INDEX(Inputs!$S$5:$S$132,MATCH($B1187&amp;"|"&amp;$C1187,Inputs!$A$5:$A$132,0))</f>
        <v/>
      </c>
      <c r="AB1187" s="36">
        <f>AA1187*(1+$D1187)</f>
        <v/>
      </c>
      <c r="AC1187" s="36">
        <f>AB1187*(1+$D1187)</f>
        <v/>
      </c>
      <c r="AD1187" s="36">
        <f>AC1187*(1+$D1187)</f>
        <v/>
      </c>
      <c r="AE1187" s="36">
        <f>AD1187*(1+$D1187)</f>
        <v/>
      </c>
      <c r="AF1187" s="36">
        <f>AE1187*(1+$D1187)</f>
        <v/>
      </c>
      <c r="AG1187" s="36">
        <f>AF1187*(1+$D1187)</f>
        <v/>
      </c>
      <c r="AH1187" s="36">
        <f>AG1187*(1+$D1187)</f>
        <v/>
      </c>
      <c r="AI1187" s="36">
        <f>AH1187*(1+$D1187)</f>
        <v/>
      </c>
      <c r="AJ1187" s="36">
        <f>AI1187*(1+$D1187)</f>
        <v/>
      </c>
      <c r="AK1187" s="36">
        <f>AJ1187*(1+$D1187)</f>
        <v/>
      </c>
      <c r="AL1187" s="36">
        <f>AK1187*(1+$D1187)</f>
        <v/>
      </c>
      <c r="AM1187" s="36">
        <f>AL1187*(1+$D1187)</f>
        <v/>
      </c>
      <c r="AN1187" s="39">
        <f>PRETAX(AM1187,$D1187)</f>
        <v/>
      </c>
    </row>
    <row r="1188" hidden="1" outlineLevel="2"/>
    <row r="1189" hidden="1" outlineLevel="2">
      <c r="A1189" s="5" t="inlineStr">
        <is>
          <t>ctxnew</t>
        </is>
      </c>
      <c r="B1189" s="5" t="inlineStr">
        <is>
          <t>coa</t>
        </is>
      </c>
      <c r="C1189" s="5" t="inlineStr">
        <is>
          <t>ftr</t>
        </is>
      </c>
      <c r="D1189" s="36">
        <f>INDEX(Inputs!$U$5:$U$132,MATCH($B1189&amp;"|"&amp;$C1189,Inputs!$A$5:$A$132,0))</f>
        <v/>
      </c>
      <c r="E1189" s="36">
        <f>INDEX(Inputs!$J$5:$J$132,MATCH($B1189&amp;"|"&amp;$C1189,Inputs!$A$5:$A$132,0))</f>
        <v/>
      </c>
      <c r="F1189" s="36">
        <f>INDEX(Inputs!$K$5:$K$132,MATCH($B1189&amp;"|"&amp;$C1189,Inputs!$A$5:$A$132,0))</f>
        <v/>
      </c>
      <c r="G1189" s="37" t="n"/>
      <c r="H1189" s="5">
        <f>INDEX(Variables!$B$5:$B$65,MATCH($A1189,Variables!$A$5:$A$65,0))&amp;IF($C1189="",""," | "&amp;INDEX(Mapping!$B$5:$B$25,MATCH($C1189,Mapping!$A$5:$A$25,0))&amp;" | "&amp;INDEX(Mapping!$B$29:$B$38,MATCH($B1189,Mapping!$A$29:$A$38,0)))</f>
        <v/>
      </c>
      <c r="I1189" s="5">
        <f>INDEX(Variables!$C$5:$C$65,MATCH($A1189,Variables!$A$5:$A$65,0))</f>
        <v/>
      </c>
      <c r="J1189" s="5">
        <f>INDEX(Variables!$E$5:$E$65,MATCH($A1189,Variables!$A$5:$A$65,0))</f>
        <v/>
      </c>
      <c r="K1189" s="23">
        <f>LOWER(Settings!$C$4)&amp;".mit."&amp;$A1189&amp;IF($C1189="","","."&amp;$C1189&amp;"."&amp;$B1189)&amp;IF(INDEX(Variables!$D$5:$D$65,MATCH($A1189,Variables!$A$5:$A$65,0))="","","."&amp;INDEX(Variables!$D$5:$D$65,MATCH($A1189,Variables!$A$5:$A$65,0)))&amp;"."&amp;K$5</f>
        <v/>
      </c>
      <c r="L1189" s="38">
        <f>L$10*$D1189*INDEX(L$18:L$25,$E1189)*INDEX(L$27:L$43,$F1189)</f>
        <v/>
      </c>
      <c r="M1189" s="36">
        <f>M$10*$D1189*INDEX(M$18:M$25,$E1189)*INDEX(M$27:M$43,$F1189)</f>
        <v/>
      </c>
      <c r="N1189" s="36">
        <f>N$10*$D1189*INDEX(N$18:N$25,$E1189)*INDEX(N$27:N$43,$F1189)</f>
        <v/>
      </c>
      <c r="O1189" s="36">
        <f>O$10*$D1189*INDEX(O$18:O$25,$E1189)*INDEX(O$27:O$43,$F1189)</f>
        <v/>
      </c>
      <c r="P1189" s="36">
        <f>P$10*$D1189*INDEX(P$18:P$25,$E1189)*INDEX(P$27:P$43,$F1189)</f>
        <v/>
      </c>
      <c r="Q1189" s="36">
        <f>Q$10*$D1189*INDEX(Q$18:Q$25,$E1189)*INDEX(Q$27:Q$43,$F1189)</f>
        <v/>
      </c>
      <c r="R1189" s="36">
        <f>R$10*$D1189*INDEX(R$18:R$25,$E1189)*INDEX(R$27:R$43,$F1189)</f>
        <v/>
      </c>
      <c r="S1189" s="36">
        <f>S$10*$D1189*INDEX(S$18:S$25,$E1189)*INDEX(S$27:S$43,$F1189)</f>
        <v/>
      </c>
      <c r="T1189" s="36">
        <f>T$10*$D1189*INDEX(T$18:T$25,$E1189)*INDEX(T$27:T$43,$F1189)</f>
        <v/>
      </c>
      <c r="U1189" s="36">
        <f>U$10*$D1189*INDEX(U$18:U$25,$E1189)*INDEX(U$27:U$43,$F1189)</f>
        <v/>
      </c>
      <c r="V1189" s="36">
        <f>V$10*$D1189*INDEX(V$18:V$25,$E1189)*INDEX(V$27:V$43,$F1189)</f>
        <v/>
      </c>
      <c r="W1189" s="36">
        <f>W$10*$D1189*INDEX(W$18:W$25,$E1189)*INDEX(W$27:W$43,$F1189)</f>
        <v/>
      </c>
      <c r="X1189" s="36">
        <f>X$10*$D1189*INDEX(X$18:X$25,$E1189)*INDEX(X$27:X$43,$F1189)</f>
        <v/>
      </c>
      <c r="Y1189" s="36">
        <f>Y$10*$D1189*INDEX(Y$18:Y$25,$E1189)*INDEX(Y$27:Y$43,$F1189)</f>
        <v/>
      </c>
      <c r="Z1189" s="23">
        <f>LOWER(Settings!$C$4)&amp;".mit."&amp;$A1189&amp;IF($C1189="","","."&amp;$C1189&amp;"."&amp;$B1189)&amp;IF(INDEX(Variables!$D$5:$D$65,MATCH($A1189,Variables!$A$5:$A$65,0))="","","."&amp;INDEX(Variables!$D$5:$D$65,MATCH($A1189,Variables!$A$5:$A$65,0)))&amp;"."&amp;Z$5</f>
        <v/>
      </c>
      <c r="AA1189" s="38">
        <f>AA$10*$D1189*INDEX(AA$18:AA$25,$E1189)*INDEX(AA$27:AA$43,$F1189)</f>
        <v/>
      </c>
      <c r="AB1189" s="36">
        <f>AB$10*$D1189*INDEX(AB$18:AB$25,$E1189)*INDEX(AB$27:AB$43,$F1189)</f>
        <v/>
      </c>
      <c r="AC1189" s="36">
        <f>AC$10*$D1189*INDEX(AC$18:AC$25,$E1189)*INDEX(AC$27:AC$43,$F1189)</f>
        <v/>
      </c>
      <c r="AD1189" s="36">
        <f>AD$10*$D1189*INDEX(AD$18:AD$25,$E1189)*INDEX(AD$27:AD$43,$F1189)</f>
        <v/>
      </c>
      <c r="AE1189" s="36">
        <f>AE$10*$D1189*INDEX(AE$18:AE$25,$E1189)*INDEX(AE$27:AE$43,$F1189)</f>
        <v/>
      </c>
      <c r="AF1189" s="36">
        <f>AF$10*$D1189*INDEX(AF$18:AF$25,$E1189)*INDEX(AF$27:AF$43,$F1189)</f>
        <v/>
      </c>
      <c r="AG1189" s="36">
        <f>AG$10*$D1189*INDEX(AG$18:AG$25,$E1189)*INDEX(AG$27:AG$43,$F1189)</f>
        <v/>
      </c>
      <c r="AH1189" s="36">
        <f>AH$10*$D1189*INDEX(AH$18:AH$25,$E1189)*INDEX(AH$27:AH$43,$F1189)</f>
        <v/>
      </c>
      <c r="AI1189" s="36">
        <f>AI$10*$D1189*INDEX(AI$18:AI$25,$E1189)*INDEX(AI$27:AI$43,$F1189)</f>
        <v/>
      </c>
      <c r="AJ1189" s="36">
        <f>AJ$10*$D1189*INDEX(AJ$18:AJ$25,$E1189)*INDEX(AJ$27:AJ$43,$F1189)</f>
        <v/>
      </c>
      <c r="AK1189" s="36">
        <f>AK$10*$D1189*INDEX(AK$18:AK$25,$E1189)*INDEX(AK$27:AK$43,$F1189)</f>
        <v/>
      </c>
      <c r="AL1189" s="36">
        <f>AL$10*$D1189*INDEX(AL$18:AL$25,$E1189)*INDEX(AL$27:AL$43,$F1189)</f>
        <v/>
      </c>
      <c r="AM1189" s="36">
        <f>AM$10*$D1189*INDEX(AM$18:AM$25,$E1189)*INDEX(AM$27:AM$43,$F1189)</f>
        <v/>
      </c>
      <c r="AN1189" s="36">
        <f>AN$10*$D1189*INDEX(AN$18:AN$25,$E1189)*INDEX(AN$27:AN$43,$F1189)</f>
        <v/>
      </c>
    </row>
    <row r="1190" hidden="1" outlineLevel="2">
      <c r="A1190" s="5" t="inlineStr">
        <is>
          <t>ctxnew</t>
        </is>
      </c>
      <c r="B1190" s="5" t="inlineStr">
        <is>
          <t>nga</t>
        </is>
      </c>
      <c r="C1190" s="5" t="inlineStr">
        <is>
          <t>ftr</t>
        </is>
      </c>
      <c r="D1190" s="36">
        <f>INDEX(Inputs!$U$5:$U$132,MATCH($B1190&amp;"|"&amp;$C1190,Inputs!$A$5:$A$132,0))</f>
        <v/>
      </c>
      <c r="E1190" s="36">
        <f>INDEX(Inputs!$J$5:$J$132,MATCH($B1190&amp;"|"&amp;$C1190,Inputs!$A$5:$A$132,0))</f>
        <v/>
      </c>
      <c r="F1190" s="36">
        <f>INDEX(Inputs!$K$5:$K$132,MATCH($B1190&amp;"|"&amp;$C1190,Inputs!$A$5:$A$132,0))</f>
        <v/>
      </c>
      <c r="G1190" s="37" t="n"/>
      <c r="H1190" s="5">
        <f>INDEX(Variables!$B$5:$B$65,MATCH($A1190,Variables!$A$5:$A$65,0))&amp;IF($C1190="",""," | "&amp;INDEX(Mapping!$B$5:$B$25,MATCH($C1190,Mapping!$A$5:$A$25,0))&amp;" | "&amp;INDEX(Mapping!$B$29:$B$38,MATCH($B1190,Mapping!$A$29:$A$38,0)))</f>
        <v/>
      </c>
      <c r="I1190" s="5">
        <f>INDEX(Variables!$C$5:$C$65,MATCH($A1190,Variables!$A$5:$A$65,0))</f>
        <v/>
      </c>
      <c r="J1190" s="5">
        <f>INDEX(Variables!$E$5:$E$65,MATCH($A1190,Variables!$A$5:$A$65,0))</f>
        <v/>
      </c>
      <c r="K1190" s="23">
        <f>LOWER(Settings!$C$4)&amp;".mit."&amp;$A1190&amp;IF($C1190="","","."&amp;$C1190&amp;"."&amp;$B1190)&amp;IF(INDEX(Variables!$D$5:$D$65,MATCH($A1190,Variables!$A$5:$A$65,0))="","","."&amp;INDEX(Variables!$D$5:$D$65,MATCH($A1190,Variables!$A$5:$A$65,0)))&amp;"."&amp;K$5</f>
        <v/>
      </c>
      <c r="L1190" s="38">
        <f>L$10*$D1190*INDEX(L$18:L$25,$E1190)*INDEX(L$27:L$43,$F1190)</f>
        <v/>
      </c>
      <c r="M1190" s="36">
        <f>M$10*$D1190*INDEX(M$18:M$25,$E1190)*INDEX(M$27:M$43,$F1190)</f>
        <v/>
      </c>
      <c r="N1190" s="36">
        <f>N$10*$D1190*INDEX(N$18:N$25,$E1190)*INDEX(N$27:N$43,$F1190)</f>
        <v/>
      </c>
      <c r="O1190" s="36">
        <f>O$10*$D1190*INDEX(O$18:O$25,$E1190)*INDEX(O$27:O$43,$F1190)</f>
        <v/>
      </c>
      <c r="P1190" s="36">
        <f>P$10*$D1190*INDEX(P$18:P$25,$E1190)*INDEX(P$27:P$43,$F1190)</f>
        <v/>
      </c>
      <c r="Q1190" s="36">
        <f>Q$10*$D1190*INDEX(Q$18:Q$25,$E1190)*INDEX(Q$27:Q$43,$F1190)</f>
        <v/>
      </c>
      <c r="R1190" s="36">
        <f>R$10*$D1190*INDEX(R$18:R$25,$E1190)*INDEX(R$27:R$43,$F1190)</f>
        <v/>
      </c>
      <c r="S1190" s="36">
        <f>S$10*$D1190*INDEX(S$18:S$25,$E1190)*INDEX(S$27:S$43,$F1190)</f>
        <v/>
      </c>
      <c r="T1190" s="36">
        <f>T$10*$D1190*INDEX(T$18:T$25,$E1190)*INDEX(T$27:T$43,$F1190)</f>
        <v/>
      </c>
      <c r="U1190" s="36">
        <f>U$10*$D1190*INDEX(U$18:U$25,$E1190)*INDEX(U$27:U$43,$F1190)</f>
        <v/>
      </c>
      <c r="V1190" s="36">
        <f>V$10*$D1190*INDEX(V$18:V$25,$E1190)*INDEX(V$27:V$43,$F1190)</f>
        <v/>
      </c>
      <c r="W1190" s="36">
        <f>W$10*$D1190*INDEX(W$18:W$25,$E1190)*INDEX(W$27:W$43,$F1190)</f>
        <v/>
      </c>
      <c r="X1190" s="36">
        <f>X$10*$D1190*INDEX(X$18:X$25,$E1190)*INDEX(X$27:X$43,$F1190)</f>
        <v/>
      </c>
      <c r="Y1190" s="36">
        <f>Y$10*$D1190*INDEX(Y$18:Y$25,$E1190)*INDEX(Y$27:Y$43,$F1190)</f>
        <v/>
      </c>
      <c r="Z1190" s="23">
        <f>LOWER(Settings!$C$4)&amp;".mit."&amp;$A1190&amp;IF($C1190="","","."&amp;$C1190&amp;"."&amp;$B1190)&amp;IF(INDEX(Variables!$D$5:$D$65,MATCH($A1190,Variables!$A$5:$A$65,0))="","","."&amp;INDEX(Variables!$D$5:$D$65,MATCH($A1190,Variables!$A$5:$A$65,0)))&amp;"."&amp;Z$5</f>
        <v/>
      </c>
      <c r="AA1190" s="38">
        <f>AA$10*$D1190*INDEX(AA$18:AA$25,$E1190)*INDEX(AA$27:AA$43,$F1190)</f>
        <v/>
      </c>
      <c r="AB1190" s="36">
        <f>AB$10*$D1190*INDEX(AB$18:AB$25,$E1190)*INDEX(AB$27:AB$43,$F1190)</f>
        <v/>
      </c>
      <c r="AC1190" s="36">
        <f>AC$10*$D1190*INDEX(AC$18:AC$25,$E1190)*INDEX(AC$27:AC$43,$F1190)</f>
        <v/>
      </c>
      <c r="AD1190" s="36">
        <f>AD$10*$D1190*INDEX(AD$18:AD$25,$E1190)*INDEX(AD$27:AD$43,$F1190)</f>
        <v/>
      </c>
      <c r="AE1190" s="36">
        <f>AE$10*$D1190*INDEX(AE$18:AE$25,$E1190)*INDEX(AE$27:AE$43,$F1190)</f>
        <v/>
      </c>
      <c r="AF1190" s="36">
        <f>AF$10*$D1190*INDEX(AF$18:AF$25,$E1190)*INDEX(AF$27:AF$43,$F1190)</f>
        <v/>
      </c>
      <c r="AG1190" s="36">
        <f>AG$10*$D1190*INDEX(AG$18:AG$25,$E1190)*INDEX(AG$27:AG$43,$F1190)</f>
        <v/>
      </c>
      <c r="AH1190" s="36">
        <f>AH$10*$D1190*INDEX(AH$18:AH$25,$E1190)*INDEX(AH$27:AH$43,$F1190)</f>
        <v/>
      </c>
      <c r="AI1190" s="36">
        <f>AI$10*$D1190*INDEX(AI$18:AI$25,$E1190)*INDEX(AI$27:AI$43,$F1190)</f>
        <v/>
      </c>
      <c r="AJ1190" s="36">
        <f>AJ$10*$D1190*INDEX(AJ$18:AJ$25,$E1190)*INDEX(AJ$27:AJ$43,$F1190)</f>
        <v/>
      </c>
      <c r="AK1190" s="36">
        <f>AK$10*$D1190*INDEX(AK$18:AK$25,$E1190)*INDEX(AK$27:AK$43,$F1190)</f>
        <v/>
      </c>
      <c r="AL1190" s="36">
        <f>AL$10*$D1190*INDEX(AL$18:AL$25,$E1190)*INDEX(AL$27:AL$43,$F1190)</f>
        <v/>
      </c>
      <c r="AM1190" s="36">
        <f>AM$10*$D1190*INDEX(AM$18:AM$25,$E1190)*INDEX(AM$27:AM$43,$F1190)</f>
        <v/>
      </c>
      <c r="AN1190" s="36">
        <f>AN$10*$D1190*INDEX(AN$18:AN$25,$E1190)*INDEX(AN$27:AN$43,$F1190)</f>
        <v/>
      </c>
    </row>
    <row r="1191" hidden="1" outlineLevel="2">
      <c r="A1191" s="5" t="inlineStr">
        <is>
          <t>ctxnew</t>
        </is>
      </c>
      <c r="B1191" s="5" t="inlineStr">
        <is>
          <t>gso</t>
        </is>
      </c>
      <c r="C1191" s="5" t="inlineStr">
        <is>
          <t>ftr</t>
        </is>
      </c>
      <c r="D1191" s="36">
        <f>INDEX(Inputs!$U$5:$U$132,MATCH($B1191&amp;"|"&amp;$C1191,Inputs!$A$5:$A$132,0))</f>
        <v/>
      </c>
      <c r="E1191" s="36">
        <f>INDEX(Inputs!$J$5:$J$132,MATCH($B1191&amp;"|"&amp;$C1191,Inputs!$A$5:$A$132,0))</f>
        <v/>
      </c>
      <c r="F1191" s="36">
        <f>INDEX(Inputs!$K$5:$K$132,MATCH($B1191&amp;"|"&amp;$C1191,Inputs!$A$5:$A$132,0))</f>
        <v/>
      </c>
      <c r="G1191" s="37" t="n"/>
      <c r="H1191" s="5">
        <f>INDEX(Variables!$B$5:$B$65,MATCH($A1191,Variables!$A$5:$A$65,0))&amp;IF($C1191="",""," | "&amp;INDEX(Mapping!$B$5:$B$25,MATCH($C1191,Mapping!$A$5:$A$25,0))&amp;" | "&amp;INDEX(Mapping!$B$29:$B$38,MATCH($B1191,Mapping!$A$29:$A$38,0)))</f>
        <v/>
      </c>
      <c r="I1191" s="5">
        <f>INDEX(Variables!$C$5:$C$65,MATCH($A1191,Variables!$A$5:$A$65,0))</f>
        <v/>
      </c>
      <c r="J1191" s="5">
        <f>INDEX(Variables!$E$5:$E$65,MATCH($A1191,Variables!$A$5:$A$65,0))</f>
        <v/>
      </c>
      <c r="K1191" s="23">
        <f>LOWER(Settings!$C$4)&amp;".mit."&amp;$A1191&amp;IF($C1191="","","."&amp;$C1191&amp;"."&amp;$B1191)&amp;IF(INDEX(Variables!$D$5:$D$65,MATCH($A1191,Variables!$A$5:$A$65,0))="","","."&amp;INDEX(Variables!$D$5:$D$65,MATCH($A1191,Variables!$A$5:$A$65,0)))&amp;"."&amp;K$5</f>
        <v/>
      </c>
      <c r="L1191" s="38">
        <f>L$10*$D1191*INDEX(L$18:L$25,$E1191)*INDEX(L$27:L$43,$F1191)</f>
        <v/>
      </c>
      <c r="M1191" s="36">
        <f>M$10*$D1191*INDEX(M$18:M$25,$E1191)*INDEX(M$27:M$43,$F1191)</f>
        <v/>
      </c>
      <c r="N1191" s="36">
        <f>N$10*$D1191*INDEX(N$18:N$25,$E1191)*INDEX(N$27:N$43,$F1191)</f>
        <v/>
      </c>
      <c r="O1191" s="36">
        <f>O$10*$D1191*INDEX(O$18:O$25,$E1191)*INDEX(O$27:O$43,$F1191)</f>
        <v/>
      </c>
      <c r="P1191" s="36">
        <f>P$10*$D1191*INDEX(P$18:P$25,$E1191)*INDEX(P$27:P$43,$F1191)</f>
        <v/>
      </c>
      <c r="Q1191" s="36">
        <f>Q$10*$D1191*INDEX(Q$18:Q$25,$E1191)*INDEX(Q$27:Q$43,$F1191)</f>
        <v/>
      </c>
      <c r="R1191" s="36">
        <f>R$10*$D1191*INDEX(R$18:R$25,$E1191)*INDEX(R$27:R$43,$F1191)</f>
        <v/>
      </c>
      <c r="S1191" s="36">
        <f>S$10*$D1191*INDEX(S$18:S$25,$E1191)*INDEX(S$27:S$43,$F1191)</f>
        <v/>
      </c>
      <c r="T1191" s="36">
        <f>T$10*$D1191*INDEX(T$18:T$25,$E1191)*INDEX(T$27:T$43,$F1191)</f>
        <v/>
      </c>
      <c r="U1191" s="36">
        <f>U$10*$D1191*INDEX(U$18:U$25,$E1191)*INDEX(U$27:U$43,$F1191)</f>
        <v/>
      </c>
      <c r="V1191" s="36">
        <f>V$10*$D1191*INDEX(V$18:V$25,$E1191)*INDEX(V$27:V$43,$F1191)</f>
        <v/>
      </c>
      <c r="W1191" s="36">
        <f>W$10*$D1191*INDEX(W$18:W$25,$E1191)*INDEX(W$27:W$43,$F1191)</f>
        <v/>
      </c>
      <c r="X1191" s="36">
        <f>X$10*$D1191*INDEX(X$18:X$25,$E1191)*INDEX(X$27:X$43,$F1191)</f>
        <v/>
      </c>
      <c r="Y1191" s="36">
        <f>Y$10*$D1191*INDEX(Y$18:Y$25,$E1191)*INDEX(Y$27:Y$43,$F1191)</f>
        <v/>
      </c>
      <c r="Z1191" s="23">
        <f>LOWER(Settings!$C$4)&amp;".mit."&amp;$A1191&amp;IF($C1191="","","."&amp;$C1191&amp;"."&amp;$B1191)&amp;IF(INDEX(Variables!$D$5:$D$65,MATCH($A1191,Variables!$A$5:$A$65,0))="","","."&amp;INDEX(Variables!$D$5:$D$65,MATCH($A1191,Variables!$A$5:$A$65,0)))&amp;"."&amp;Z$5</f>
        <v/>
      </c>
      <c r="AA1191" s="38">
        <f>AA$10*$D1191*INDEX(AA$18:AA$25,$E1191)*INDEX(AA$27:AA$43,$F1191)</f>
        <v/>
      </c>
      <c r="AB1191" s="36">
        <f>AB$10*$D1191*INDEX(AB$18:AB$25,$E1191)*INDEX(AB$27:AB$43,$F1191)</f>
        <v/>
      </c>
      <c r="AC1191" s="36">
        <f>AC$10*$D1191*INDEX(AC$18:AC$25,$E1191)*INDEX(AC$27:AC$43,$F1191)</f>
        <v/>
      </c>
      <c r="AD1191" s="36">
        <f>AD$10*$D1191*INDEX(AD$18:AD$25,$E1191)*INDEX(AD$27:AD$43,$F1191)</f>
        <v/>
      </c>
      <c r="AE1191" s="36">
        <f>AE$10*$D1191*INDEX(AE$18:AE$25,$E1191)*INDEX(AE$27:AE$43,$F1191)</f>
        <v/>
      </c>
      <c r="AF1191" s="36">
        <f>AF$10*$D1191*INDEX(AF$18:AF$25,$E1191)*INDEX(AF$27:AF$43,$F1191)</f>
        <v/>
      </c>
      <c r="AG1191" s="36">
        <f>AG$10*$D1191*INDEX(AG$18:AG$25,$E1191)*INDEX(AG$27:AG$43,$F1191)</f>
        <v/>
      </c>
      <c r="AH1191" s="36">
        <f>AH$10*$D1191*INDEX(AH$18:AH$25,$E1191)*INDEX(AH$27:AH$43,$F1191)</f>
        <v/>
      </c>
      <c r="AI1191" s="36">
        <f>AI$10*$D1191*INDEX(AI$18:AI$25,$E1191)*INDEX(AI$27:AI$43,$F1191)</f>
        <v/>
      </c>
      <c r="AJ1191" s="36">
        <f>AJ$10*$D1191*INDEX(AJ$18:AJ$25,$E1191)*INDEX(AJ$27:AJ$43,$F1191)</f>
        <v/>
      </c>
      <c r="AK1191" s="36">
        <f>AK$10*$D1191*INDEX(AK$18:AK$25,$E1191)*INDEX(AK$27:AK$43,$F1191)</f>
        <v/>
      </c>
      <c r="AL1191" s="36">
        <f>AL$10*$D1191*INDEX(AL$18:AL$25,$E1191)*INDEX(AL$27:AL$43,$F1191)</f>
        <v/>
      </c>
      <c r="AM1191" s="36">
        <f>AM$10*$D1191*INDEX(AM$18:AM$25,$E1191)*INDEX(AM$27:AM$43,$F1191)</f>
        <v/>
      </c>
      <c r="AN1191" s="36">
        <f>AN$10*$D1191*INDEX(AN$18:AN$25,$E1191)*INDEX(AN$27:AN$43,$F1191)</f>
        <v/>
      </c>
    </row>
    <row r="1192" hidden="1" outlineLevel="2">
      <c r="A1192" s="5" t="inlineStr">
        <is>
          <t>ctxnew</t>
        </is>
      </c>
      <c r="B1192" s="5" t="inlineStr">
        <is>
          <t>die</t>
        </is>
      </c>
      <c r="C1192" s="5" t="inlineStr">
        <is>
          <t>ftr</t>
        </is>
      </c>
      <c r="D1192" s="36">
        <f>INDEX(Inputs!$U$5:$U$132,MATCH($B1192&amp;"|"&amp;$C1192,Inputs!$A$5:$A$132,0))</f>
        <v/>
      </c>
      <c r="E1192" s="36">
        <f>INDEX(Inputs!$J$5:$J$132,MATCH($B1192&amp;"|"&amp;$C1192,Inputs!$A$5:$A$132,0))</f>
        <v/>
      </c>
      <c r="F1192" s="36">
        <f>INDEX(Inputs!$K$5:$K$132,MATCH($B1192&amp;"|"&amp;$C1192,Inputs!$A$5:$A$132,0))</f>
        <v/>
      </c>
      <c r="G1192" s="37" t="n"/>
      <c r="H1192" s="5">
        <f>INDEX(Variables!$B$5:$B$65,MATCH($A1192,Variables!$A$5:$A$65,0))&amp;IF($C1192="",""," | "&amp;INDEX(Mapping!$B$5:$B$25,MATCH($C1192,Mapping!$A$5:$A$25,0))&amp;" | "&amp;INDEX(Mapping!$B$29:$B$38,MATCH($B1192,Mapping!$A$29:$A$38,0)))</f>
        <v/>
      </c>
      <c r="I1192" s="5">
        <f>INDEX(Variables!$C$5:$C$65,MATCH($A1192,Variables!$A$5:$A$65,0))</f>
        <v/>
      </c>
      <c r="J1192" s="5">
        <f>INDEX(Variables!$E$5:$E$65,MATCH($A1192,Variables!$A$5:$A$65,0))</f>
        <v/>
      </c>
      <c r="K1192" s="23">
        <f>LOWER(Settings!$C$4)&amp;".mit."&amp;$A1192&amp;IF($C1192="","","."&amp;$C1192&amp;"."&amp;$B1192)&amp;IF(INDEX(Variables!$D$5:$D$65,MATCH($A1192,Variables!$A$5:$A$65,0))="","","."&amp;INDEX(Variables!$D$5:$D$65,MATCH($A1192,Variables!$A$5:$A$65,0)))&amp;"."&amp;K$5</f>
        <v/>
      </c>
      <c r="L1192" s="38">
        <f>L$10*$D1192*INDEX(L$18:L$25,$E1192)*INDEX(L$27:L$43,$F1192)</f>
        <v/>
      </c>
      <c r="M1192" s="36">
        <f>M$10*$D1192*INDEX(M$18:M$25,$E1192)*INDEX(M$27:M$43,$F1192)</f>
        <v/>
      </c>
      <c r="N1192" s="36">
        <f>N$10*$D1192*INDEX(N$18:N$25,$E1192)*INDEX(N$27:N$43,$F1192)</f>
        <v/>
      </c>
      <c r="O1192" s="36">
        <f>O$10*$D1192*INDEX(O$18:O$25,$E1192)*INDEX(O$27:O$43,$F1192)</f>
        <v/>
      </c>
      <c r="P1192" s="36">
        <f>P$10*$D1192*INDEX(P$18:P$25,$E1192)*INDEX(P$27:P$43,$F1192)</f>
        <v/>
      </c>
      <c r="Q1192" s="36">
        <f>Q$10*$D1192*INDEX(Q$18:Q$25,$E1192)*INDEX(Q$27:Q$43,$F1192)</f>
        <v/>
      </c>
      <c r="R1192" s="36">
        <f>R$10*$D1192*INDEX(R$18:R$25,$E1192)*INDEX(R$27:R$43,$F1192)</f>
        <v/>
      </c>
      <c r="S1192" s="36">
        <f>S$10*$D1192*INDEX(S$18:S$25,$E1192)*INDEX(S$27:S$43,$F1192)</f>
        <v/>
      </c>
      <c r="T1192" s="36">
        <f>T$10*$D1192*INDEX(T$18:T$25,$E1192)*INDEX(T$27:T$43,$F1192)</f>
        <v/>
      </c>
      <c r="U1192" s="36">
        <f>U$10*$D1192*INDEX(U$18:U$25,$E1192)*INDEX(U$27:U$43,$F1192)</f>
        <v/>
      </c>
      <c r="V1192" s="36">
        <f>V$10*$D1192*INDEX(V$18:V$25,$E1192)*INDEX(V$27:V$43,$F1192)</f>
        <v/>
      </c>
      <c r="W1192" s="36">
        <f>W$10*$D1192*INDEX(W$18:W$25,$E1192)*INDEX(W$27:W$43,$F1192)</f>
        <v/>
      </c>
      <c r="X1192" s="36">
        <f>X$10*$D1192*INDEX(X$18:X$25,$E1192)*INDEX(X$27:X$43,$F1192)</f>
        <v/>
      </c>
      <c r="Y1192" s="36">
        <f>Y$10*$D1192*INDEX(Y$18:Y$25,$E1192)*INDEX(Y$27:Y$43,$F1192)</f>
        <v/>
      </c>
      <c r="Z1192" s="23">
        <f>LOWER(Settings!$C$4)&amp;".mit."&amp;$A1192&amp;IF($C1192="","","."&amp;$C1192&amp;"."&amp;$B1192)&amp;IF(INDEX(Variables!$D$5:$D$65,MATCH($A1192,Variables!$A$5:$A$65,0))="","","."&amp;INDEX(Variables!$D$5:$D$65,MATCH($A1192,Variables!$A$5:$A$65,0)))&amp;"."&amp;Z$5</f>
        <v/>
      </c>
      <c r="AA1192" s="38">
        <f>AA$10*$D1192*INDEX(AA$18:AA$25,$E1192)*INDEX(AA$27:AA$43,$F1192)</f>
        <v/>
      </c>
      <c r="AB1192" s="36">
        <f>AB$10*$D1192*INDEX(AB$18:AB$25,$E1192)*INDEX(AB$27:AB$43,$F1192)</f>
        <v/>
      </c>
      <c r="AC1192" s="36">
        <f>AC$10*$D1192*INDEX(AC$18:AC$25,$E1192)*INDEX(AC$27:AC$43,$F1192)</f>
        <v/>
      </c>
      <c r="AD1192" s="36">
        <f>AD$10*$D1192*INDEX(AD$18:AD$25,$E1192)*INDEX(AD$27:AD$43,$F1192)</f>
        <v/>
      </c>
      <c r="AE1192" s="36">
        <f>AE$10*$D1192*INDEX(AE$18:AE$25,$E1192)*INDEX(AE$27:AE$43,$F1192)</f>
        <v/>
      </c>
      <c r="AF1192" s="36">
        <f>AF$10*$D1192*INDEX(AF$18:AF$25,$E1192)*INDEX(AF$27:AF$43,$F1192)</f>
        <v/>
      </c>
      <c r="AG1192" s="36">
        <f>AG$10*$D1192*INDEX(AG$18:AG$25,$E1192)*INDEX(AG$27:AG$43,$F1192)</f>
        <v/>
      </c>
      <c r="AH1192" s="36">
        <f>AH$10*$D1192*INDEX(AH$18:AH$25,$E1192)*INDEX(AH$27:AH$43,$F1192)</f>
        <v/>
      </c>
      <c r="AI1192" s="36">
        <f>AI$10*$D1192*INDEX(AI$18:AI$25,$E1192)*INDEX(AI$27:AI$43,$F1192)</f>
        <v/>
      </c>
      <c r="AJ1192" s="36">
        <f>AJ$10*$D1192*INDEX(AJ$18:AJ$25,$E1192)*INDEX(AJ$27:AJ$43,$F1192)</f>
        <v/>
      </c>
      <c r="AK1192" s="36">
        <f>AK$10*$D1192*INDEX(AK$18:AK$25,$E1192)*INDEX(AK$27:AK$43,$F1192)</f>
        <v/>
      </c>
      <c r="AL1192" s="36">
        <f>AL$10*$D1192*INDEX(AL$18:AL$25,$E1192)*INDEX(AL$27:AL$43,$F1192)</f>
        <v/>
      </c>
      <c r="AM1192" s="36">
        <f>AM$10*$D1192*INDEX(AM$18:AM$25,$E1192)*INDEX(AM$27:AM$43,$F1192)</f>
        <v/>
      </c>
      <c r="AN1192" s="36">
        <f>AN$10*$D1192*INDEX(AN$18:AN$25,$E1192)*INDEX(AN$27:AN$43,$F1192)</f>
        <v/>
      </c>
    </row>
    <row r="1193" hidden="1" outlineLevel="2">
      <c r="A1193" s="5" t="inlineStr">
        <is>
          <t>ctxnew</t>
        </is>
      </c>
      <c r="B1193" s="5" t="inlineStr">
        <is>
          <t>lpg</t>
        </is>
      </c>
      <c r="C1193" s="5" t="inlineStr">
        <is>
          <t>ftr</t>
        </is>
      </c>
      <c r="D1193" s="36">
        <f>INDEX(Inputs!$U$5:$U$132,MATCH($B1193&amp;"|"&amp;$C1193,Inputs!$A$5:$A$132,0))</f>
        <v/>
      </c>
      <c r="E1193" s="36">
        <f>INDEX(Inputs!$J$5:$J$132,MATCH($B1193&amp;"|"&amp;$C1193,Inputs!$A$5:$A$132,0))</f>
        <v/>
      </c>
      <c r="F1193" s="36">
        <f>INDEX(Inputs!$K$5:$K$132,MATCH($B1193&amp;"|"&amp;$C1193,Inputs!$A$5:$A$132,0))</f>
        <v/>
      </c>
      <c r="G1193" s="37" t="n"/>
      <c r="H1193" s="5">
        <f>INDEX(Variables!$B$5:$B$65,MATCH($A1193,Variables!$A$5:$A$65,0))&amp;IF($C1193="",""," | "&amp;INDEX(Mapping!$B$5:$B$25,MATCH($C1193,Mapping!$A$5:$A$25,0))&amp;" | "&amp;INDEX(Mapping!$B$29:$B$38,MATCH($B1193,Mapping!$A$29:$A$38,0)))</f>
        <v/>
      </c>
      <c r="I1193" s="5">
        <f>INDEX(Variables!$C$5:$C$65,MATCH($A1193,Variables!$A$5:$A$65,0))</f>
        <v/>
      </c>
      <c r="J1193" s="5">
        <f>INDEX(Variables!$E$5:$E$65,MATCH($A1193,Variables!$A$5:$A$65,0))</f>
        <v/>
      </c>
      <c r="K1193" s="23">
        <f>LOWER(Settings!$C$4)&amp;".mit."&amp;$A1193&amp;IF($C1193="","","."&amp;$C1193&amp;"."&amp;$B1193)&amp;IF(INDEX(Variables!$D$5:$D$65,MATCH($A1193,Variables!$A$5:$A$65,0))="","","."&amp;INDEX(Variables!$D$5:$D$65,MATCH($A1193,Variables!$A$5:$A$65,0)))&amp;"."&amp;K$5</f>
        <v/>
      </c>
      <c r="L1193" s="38">
        <f>L$10*$D1193*INDEX(L$18:L$25,$E1193)*INDEX(L$27:L$43,$F1193)</f>
        <v/>
      </c>
      <c r="M1193" s="36">
        <f>M$10*$D1193*INDEX(M$18:M$25,$E1193)*INDEX(M$27:M$43,$F1193)</f>
        <v/>
      </c>
      <c r="N1193" s="36">
        <f>N$10*$D1193*INDEX(N$18:N$25,$E1193)*INDEX(N$27:N$43,$F1193)</f>
        <v/>
      </c>
      <c r="O1193" s="36">
        <f>O$10*$D1193*INDEX(O$18:O$25,$E1193)*INDEX(O$27:O$43,$F1193)</f>
        <v/>
      </c>
      <c r="P1193" s="36">
        <f>P$10*$D1193*INDEX(P$18:P$25,$E1193)*INDEX(P$27:P$43,$F1193)</f>
        <v/>
      </c>
      <c r="Q1193" s="36">
        <f>Q$10*$D1193*INDEX(Q$18:Q$25,$E1193)*INDEX(Q$27:Q$43,$F1193)</f>
        <v/>
      </c>
      <c r="R1193" s="36">
        <f>R$10*$D1193*INDEX(R$18:R$25,$E1193)*INDEX(R$27:R$43,$F1193)</f>
        <v/>
      </c>
      <c r="S1193" s="36">
        <f>S$10*$D1193*INDEX(S$18:S$25,$E1193)*INDEX(S$27:S$43,$F1193)</f>
        <v/>
      </c>
      <c r="T1193" s="36">
        <f>T$10*$D1193*INDEX(T$18:T$25,$E1193)*INDEX(T$27:T$43,$F1193)</f>
        <v/>
      </c>
      <c r="U1193" s="36">
        <f>U$10*$D1193*INDEX(U$18:U$25,$E1193)*INDEX(U$27:U$43,$F1193)</f>
        <v/>
      </c>
      <c r="V1193" s="36">
        <f>V$10*$D1193*INDEX(V$18:V$25,$E1193)*INDEX(V$27:V$43,$F1193)</f>
        <v/>
      </c>
      <c r="W1193" s="36">
        <f>W$10*$D1193*INDEX(W$18:W$25,$E1193)*INDEX(W$27:W$43,$F1193)</f>
        <v/>
      </c>
      <c r="X1193" s="36">
        <f>X$10*$D1193*INDEX(X$18:X$25,$E1193)*INDEX(X$27:X$43,$F1193)</f>
        <v/>
      </c>
      <c r="Y1193" s="36">
        <f>Y$10*$D1193*INDEX(Y$18:Y$25,$E1193)*INDEX(Y$27:Y$43,$F1193)</f>
        <v/>
      </c>
      <c r="Z1193" s="23">
        <f>LOWER(Settings!$C$4)&amp;".mit."&amp;$A1193&amp;IF($C1193="","","."&amp;$C1193&amp;"."&amp;$B1193)&amp;IF(INDEX(Variables!$D$5:$D$65,MATCH($A1193,Variables!$A$5:$A$65,0))="","","."&amp;INDEX(Variables!$D$5:$D$65,MATCH($A1193,Variables!$A$5:$A$65,0)))&amp;"."&amp;Z$5</f>
        <v/>
      </c>
      <c r="AA1193" s="38">
        <f>AA$10*$D1193*INDEX(AA$18:AA$25,$E1193)*INDEX(AA$27:AA$43,$F1193)</f>
        <v/>
      </c>
      <c r="AB1193" s="36">
        <f>AB$10*$D1193*INDEX(AB$18:AB$25,$E1193)*INDEX(AB$27:AB$43,$F1193)</f>
        <v/>
      </c>
      <c r="AC1193" s="36">
        <f>AC$10*$D1193*INDEX(AC$18:AC$25,$E1193)*INDEX(AC$27:AC$43,$F1193)</f>
        <v/>
      </c>
      <c r="AD1193" s="36">
        <f>AD$10*$D1193*INDEX(AD$18:AD$25,$E1193)*INDEX(AD$27:AD$43,$F1193)</f>
        <v/>
      </c>
      <c r="AE1193" s="36">
        <f>AE$10*$D1193*INDEX(AE$18:AE$25,$E1193)*INDEX(AE$27:AE$43,$F1193)</f>
        <v/>
      </c>
      <c r="AF1193" s="36">
        <f>AF$10*$D1193*INDEX(AF$18:AF$25,$E1193)*INDEX(AF$27:AF$43,$F1193)</f>
        <v/>
      </c>
      <c r="AG1193" s="36">
        <f>AG$10*$D1193*INDEX(AG$18:AG$25,$E1193)*INDEX(AG$27:AG$43,$F1193)</f>
        <v/>
      </c>
      <c r="AH1193" s="36">
        <f>AH$10*$D1193*INDEX(AH$18:AH$25,$E1193)*INDEX(AH$27:AH$43,$F1193)</f>
        <v/>
      </c>
      <c r="AI1193" s="36">
        <f>AI$10*$D1193*INDEX(AI$18:AI$25,$E1193)*INDEX(AI$27:AI$43,$F1193)</f>
        <v/>
      </c>
      <c r="AJ1193" s="36">
        <f>AJ$10*$D1193*INDEX(AJ$18:AJ$25,$E1193)*INDEX(AJ$27:AJ$43,$F1193)</f>
        <v/>
      </c>
      <c r="AK1193" s="36">
        <f>AK$10*$D1193*INDEX(AK$18:AK$25,$E1193)*INDEX(AK$27:AK$43,$F1193)</f>
        <v/>
      </c>
      <c r="AL1193" s="36">
        <f>AL$10*$D1193*INDEX(AL$18:AL$25,$E1193)*INDEX(AL$27:AL$43,$F1193)</f>
        <v/>
      </c>
      <c r="AM1193" s="36">
        <f>AM$10*$D1193*INDEX(AM$18:AM$25,$E1193)*INDEX(AM$27:AM$43,$F1193)</f>
        <v/>
      </c>
      <c r="AN1193" s="36">
        <f>AN$10*$D1193*INDEX(AN$18:AN$25,$E1193)*INDEX(AN$27:AN$43,$F1193)</f>
        <v/>
      </c>
    </row>
    <row r="1194" hidden="1" outlineLevel="2">
      <c r="A1194" s="5" t="inlineStr">
        <is>
          <t>ctxnew</t>
        </is>
      </c>
      <c r="B1194" s="5" t="inlineStr">
        <is>
          <t>ker</t>
        </is>
      </c>
      <c r="C1194" s="5" t="inlineStr">
        <is>
          <t>ftr</t>
        </is>
      </c>
      <c r="D1194" s="36">
        <f>INDEX(Inputs!$U$5:$U$132,MATCH($B1194&amp;"|"&amp;$C1194,Inputs!$A$5:$A$132,0))</f>
        <v/>
      </c>
      <c r="E1194" s="36">
        <f>INDEX(Inputs!$J$5:$J$132,MATCH($B1194&amp;"|"&amp;$C1194,Inputs!$A$5:$A$132,0))</f>
        <v/>
      </c>
      <c r="F1194" s="36">
        <f>INDEX(Inputs!$K$5:$K$132,MATCH($B1194&amp;"|"&amp;$C1194,Inputs!$A$5:$A$132,0))</f>
        <v/>
      </c>
      <c r="G1194" s="37" t="n"/>
      <c r="H1194" s="5">
        <f>INDEX(Variables!$B$5:$B$65,MATCH($A1194,Variables!$A$5:$A$65,0))&amp;IF($C1194="",""," | "&amp;INDEX(Mapping!$B$5:$B$25,MATCH($C1194,Mapping!$A$5:$A$25,0))&amp;" | "&amp;INDEX(Mapping!$B$29:$B$38,MATCH($B1194,Mapping!$A$29:$A$38,0)))</f>
        <v/>
      </c>
      <c r="I1194" s="5">
        <f>INDEX(Variables!$C$5:$C$65,MATCH($A1194,Variables!$A$5:$A$65,0))</f>
        <v/>
      </c>
      <c r="J1194" s="5">
        <f>INDEX(Variables!$E$5:$E$65,MATCH($A1194,Variables!$A$5:$A$65,0))</f>
        <v/>
      </c>
      <c r="K1194" s="23">
        <f>LOWER(Settings!$C$4)&amp;".mit."&amp;$A1194&amp;IF($C1194="","","."&amp;$C1194&amp;"."&amp;$B1194)&amp;IF(INDEX(Variables!$D$5:$D$65,MATCH($A1194,Variables!$A$5:$A$65,0))="","","."&amp;INDEX(Variables!$D$5:$D$65,MATCH($A1194,Variables!$A$5:$A$65,0)))&amp;"."&amp;K$5</f>
        <v/>
      </c>
      <c r="L1194" s="38">
        <f>L$10*$D1194*INDEX(L$18:L$25,$E1194)*INDEX(L$27:L$43,$F1194)</f>
        <v/>
      </c>
      <c r="M1194" s="36">
        <f>M$10*$D1194*INDEX(M$18:M$25,$E1194)*INDEX(M$27:M$43,$F1194)</f>
        <v/>
      </c>
      <c r="N1194" s="36">
        <f>N$10*$D1194*INDEX(N$18:N$25,$E1194)*INDEX(N$27:N$43,$F1194)</f>
        <v/>
      </c>
      <c r="O1194" s="36">
        <f>O$10*$D1194*INDEX(O$18:O$25,$E1194)*INDEX(O$27:O$43,$F1194)</f>
        <v/>
      </c>
      <c r="P1194" s="36">
        <f>P$10*$D1194*INDEX(P$18:P$25,$E1194)*INDEX(P$27:P$43,$F1194)</f>
        <v/>
      </c>
      <c r="Q1194" s="36">
        <f>Q$10*$D1194*INDEX(Q$18:Q$25,$E1194)*INDEX(Q$27:Q$43,$F1194)</f>
        <v/>
      </c>
      <c r="R1194" s="36">
        <f>R$10*$D1194*INDEX(R$18:R$25,$E1194)*INDEX(R$27:R$43,$F1194)</f>
        <v/>
      </c>
      <c r="S1194" s="36">
        <f>S$10*$D1194*INDEX(S$18:S$25,$E1194)*INDEX(S$27:S$43,$F1194)</f>
        <v/>
      </c>
      <c r="T1194" s="36">
        <f>T$10*$D1194*INDEX(T$18:T$25,$E1194)*INDEX(T$27:T$43,$F1194)</f>
        <v/>
      </c>
      <c r="U1194" s="36">
        <f>U$10*$D1194*INDEX(U$18:U$25,$E1194)*INDEX(U$27:U$43,$F1194)</f>
        <v/>
      </c>
      <c r="V1194" s="36">
        <f>V$10*$D1194*INDEX(V$18:V$25,$E1194)*INDEX(V$27:V$43,$F1194)</f>
        <v/>
      </c>
      <c r="W1194" s="36">
        <f>W$10*$D1194*INDEX(W$18:W$25,$E1194)*INDEX(W$27:W$43,$F1194)</f>
        <v/>
      </c>
      <c r="X1194" s="36">
        <f>X$10*$D1194*INDEX(X$18:X$25,$E1194)*INDEX(X$27:X$43,$F1194)</f>
        <v/>
      </c>
      <c r="Y1194" s="36">
        <f>Y$10*$D1194*INDEX(Y$18:Y$25,$E1194)*INDEX(Y$27:Y$43,$F1194)</f>
        <v/>
      </c>
      <c r="Z1194" s="23">
        <f>LOWER(Settings!$C$4)&amp;".mit."&amp;$A1194&amp;IF($C1194="","","."&amp;$C1194&amp;"."&amp;$B1194)&amp;IF(INDEX(Variables!$D$5:$D$65,MATCH($A1194,Variables!$A$5:$A$65,0))="","","."&amp;INDEX(Variables!$D$5:$D$65,MATCH($A1194,Variables!$A$5:$A$65,0)))&amp;"."&amp;Z$5</f>
        <v/>
      </c>
      <c r="AA1194" s="38">
        <f>AA$10*$D1194*INDEX(AA$18:AA$25,$E1194)*INDEX(AA$27:AA$43,$F1194)</f>
        <v/>
      </c>
      <c r="AB1194" s="36">
        <f>AB$10*$D1194*INDEX(AB$18:AB$25,$E1194)*INDEX(AB$27:AB$43,$F1194)</f>
        <v/>
      </c>
      <c r="AC1194" s="36">
        <f>AC$10*$D1194*INDEX(AC$18:AC$25,$E1194)*INDEX(AC$27:AC$43,$F1194)</f>
        <v/>
      </c>
      <c r="AD1194" s="36">
        <f>AD$10*$D1194*INDEX(AD$18:AD$25,$E1194)*INDEX(AD$27:AD$43,$F1194)</f>
        <v/>
      </c>
      <c r="AE1194" s="36">
        <f>AE$10*$D1194*INDEX(AE$18:AE$25,$E1194)*INDEX(AE$27:AE$43,$F1194)</f>
        <v/>
      </c>
      <c r="AF1194" s="36">
        <f>AF$10*$D1194*INDEX(AF$18:AF$25,$E1194)*INDEX(AF$27:AF$43,$F1194)</f>
        <v/>
      </c>
      <c r="AG1194" s="36">
        <f>AG$10*$D1194*INDEX(AG$18:AG$25,$E1194)*INDEX(AG$27:AG$43,$F1194)</f>
        <v/>
      </c>
      <c r="AH1194" s="36">
        <f>AH$10*$D1194*INDEX(AH$18:AH$25,$E1194)*INDEX(AH$27:AH$43,$F1194)</f>
        <v/>
      </c>
      <c r="AI1194" s="36">
        <f>AI$10*$D1194*INDEX(AI$18:AI$25,$E1194)*INDEX(AI$27:AI$43,$F1194)</f>
        <v/>
      </c>
      <c r="AJ1194" s="36">
        <f>AJ$10*$D1194*INDEX(AJ$18:AJ$25,$E1194)*INDEX(AJ$27:AJ$43,$F1194)</f>
        <v/>
      </c>
      <c r="AK1194" s="36">
        <f>AK$10*$D1194*INDEX(AK$18:AK$25,$E1194)*INDEX(AK$27:AK$43,$F1194)</f>
        <v/>
      </c>
      <c r="AL1194" s="36">
        <f>AL$10*$D1194*INDEX(AL$18:AL$25,$E1194)*INDEX(AL$27:AL$43,$F1194)</f>
        <v/>
      </c>
      <c r="AM1194" s="36">
        <f>AM$10*$D1194*INDEX(AM$18:AM$25,$E1194)*INDEX(AM$27:AM$43,$F1194)</f>
        <v/>
      </c>
      <c r="AN1194" s="36">
        <f>AN$10*$D1194*INDEX(AN$18:AN$25,$E1194)*INDEX(AN$27:AN$43,$F1194)</f>
        <v/>
      </c>
    </row>
    <row r="1195" hidden="1" outlineLevel="2">
      <c r="A1195" s="5" t="inlineStr">
        <is>
          <t>ctxnew</t>
        </is>
      </c>
      <c r="B1195" s="5" t="inlineStr">
        <is>
          <t>oop</t>
        </is>
      </c>
      <c r="C1195" s="5" t="inlineStr">
        <is>
          <t>ftr</t>
        </is>
      </c>
      <c r="D1195" s="36">
        <f>INDEX(Inputs!$U$5:$U$132,MATCH($B1195&amp;"|"&amp;$C1195,Inputs!$A$5:$A$132,0))</f>
        <v/>
      </c>
      <c r="E1195" s="36">
        <f>INDEX(Inputs!$J$5:$J$132,MATCH($B1195&amp;"|"&amp;$C1195,Inputs!$A$5:$A$132,0))</f>
        <v/>
      </c>
      <c r="F1195" s="36">
        <f>INDEX(Inputs!$K$5:$K$132,MATCH($B1195&amp;"|"&amp;$C1195,Inputs!$A$5:$A$132,0))</f>
        <v/>
      </c>
      <c r="G1195" s="37" t="n"/>
      <c r="H1195" s="5">
        <f>INDEX(Variables!$B$5:$B$65,MATCH($A1195,Variables!$A$5:$A$65,0))&amp;IF($C1195="",""," | "&amp;INDEX(Mapping!$B$5:$B$25,MATCH($C1195,Mapping!$A$5:$A$25,0))&amp;" | "&amp;INDEX(Mapping!$B$29:$B$38,MATCH($B1195,Mapping!$A$29:$A$38,0)))</f>
        <v/>
      </c>
      <c r="I1195" s="5">
        <f>INDEX(Variables!$C$5:$C$65,MATCH($A1195,Variables!$A$5:$A$65,0))</f>
        <v/>
      </c>
      <c r="J1195" s="5">
        <f>INDEX(Variables!$E$5:$E$65,MATCH($A1195,Variables!$A$5:$A$65,0))</f>
        <v/>
      </c>
      <c r="K1195" s="23">
        <f>LOWER(Settings!$C$4)&amp;".mit."&amp;$A1195&amp;IF($C1195="","","."&amp;$C1195&amp;"."&amp;$B1195)&amp;IF(INDEX(Variables!$D$5:$D$65,MATCH($A1195,Variables!$A$5:$A$65,0))="","","."&amp;INDEX(Variables!$D$5:$D$65,MATCH($A1195,Variables!$A$5:$A$65,0)))&amp;"."&amp;K$5</f>
        <v/>
      </c>
      <c r="L1195" s="38">
        <f>L$10*$D1195*INDEX(L$18:L$25,$E1195)*INDEX(L$27:L$43,$F1195)</f>
        <v/>
      </c>
      <c r="M1195" s="36">
        <f>M$10*$D1195*INDEX(M$18:M$25,$E1195)*INDEX(M$27:M$43,$F1195)</f>
        <v/>
      </c>
      <c r="N1195" s="36">
        <f>N$10*$D1195*INDEX(N$18:N$25,$E1195)*INDEX(N$27:N$43,$F1195)</f>
        <v/>
      </c>
      <c r="O1195" s="36">
        <f>O$10*$D1195*INDEX(O$18:O$25,$E1195)*INDEX(O$27:O$43,$F1195)</f>
        <v/>
      </c>
      <c r="P1195" s="36">
        <f>P$10*$D1195*INDEX(P$18:P$25,$E1195)*INDEX(P$27:P$43,$F1195)</f>
        <v/>
      </c>
      <c r="Q1195" s="36">
        <f>Q$10*$D1195*INDEX(Q$18:Q$25,$E1195)*INDEX(Q$27:Q$43,$F1195)</f>
        <v/>
      </c>
      <c r="R1195" s="36">
        <f>R$10*$D1195*INDEX(R$18:R$25,$E1195)*INDEX(R$27:R$43,$F1195)</f>
        <v/>
      </c>
      <c r="S1195" s="36">
        <f>S$10*$D1195*INDEX(S$18:S$25,$E1195)*INDEX(S$27:S$43,$F1195)</f>
        <v/>
      </c>
      <c r="T1195" s="36">
        <f>T$10*$D1195*INDEX(T$18:T$25,$E1195)*INDEX(T$27:T$43,$F1195)</f>
        <v/>
      </c>
      <c r="U1195" s="36">
        <f>U$10*$D1195*INDEX(U$18:U$25,$E1195)*INDEX(U$27:U$43,$F1195)</f>
        <v/>
      </c>
      <c r="V1195" s="36">
        <f>V$10*$D1195*INDEX(V$18:V$25,$E1195)*INDEX(V$27:V$43,$F1195)</f>
        <v/>
      </c>
      <c r="W1195" s="36">
        <f>W$10*$D1195*INDEX(W$18:W$25,$E1195)*INDEX(W$27:W$43,$F1195)</f>
        <v/>
      </c>
      <c r="X1195" s="36">
        <f>X$10*$D1195*INDEX(X$18:X$25,$E1195)*INDEX(X$27:X$43,$F1195)</f>
        <v/>
      </c>
      <c r="Y1195" s="36">
        <f>Y$10*$D1195*INDEX(Y$18:Y$25,$E1195)*INDEX(Y$27:Y$43,$F1195)</f>
        <v/>
      </c>
      <c r="Z1195" s="23">
        <f>LOWER(Settings!$C$4)&amp;".mit."&amp;$A1195&amp;IF($C1195="","","."&amp;$C1195&amp;"."&amp;$B1195)&amp;IF(INDEX(Variables!$D$5:$D$65,MATCH($A1195,Variables!$A$5:$A$65,0))="","","."&amp;INDEX(Variables!$D$5:$D$65,MATCH($A1195,Variables!$A$5:$A$65,0)))&amp;"."&amp;Z$5</f>
        <v/>
      </c>
      <c r="AA1195" s="38">
        <f>AA$10*$D1195*INDEX(AA$18:AA$25,$E1195)*INDEX(AA$27:AA$43,$F1195)</f>
        <v/>
      </c>
      <c r="AB1195" s="36">
        <f>AB$10*$D1195*INDEX(AB$18:AB$25,$E1195)*INDEX(AB$27:AB$43,$F1195)</f>
        <v/>
      </c>
      <c r="AC1195" s="36">
        <f>AC$10*$D1195*INDEX(AC$18:AC$25,$E1195)*INDEX(AC$27:AC$43,$F1195)</f>
        <v/>
      </c>
      <c r="AD1195" s="36">
        <f>AD$10*$D1195*INDEX(AD$18:AD$25,$E1195)*INDEX(AD$27:AD$43,$F1195)</f>
        <v/>
      </c>
      <c r="AE1195" s="36">
        <f>AE$10*$D1195*INDEX(AE$18:AE$25,$E1195)*INDEX(AE$27:AE$43,$F1195)</f>
        <v/>
      </c>
      <c r="AF1195" s="36">
        <f>AF$10*$D1195*INDEX(AF$18:AF$25,$E1195)*INDEX(AF$27:AF$43,$F1195)</f>
        <v/>
      </c>
      <c r="AG1195" s="36">
        <f>AG$10*$D1195*INDEX(AG$18:AG$25,$E1195)*INDEX(AG$27:AG$43,$F1195)</f>
        <v/>
      </c>
      <c r="AH1195" s="36">
        <f>AH$10*$D1195*INDEX(AH$18:AH$25,$E1195)*INDEX(AH$27:AH$43,$F1195)</f>
        <v/>
      </c>
      <c r="AI1195" s="36">
        <f>AI$10*$D1195*INDEX(AI$18:AI$25,$E1195)*INDEX(AI$27:AI$43,$F1195)</f>
        <v/>
      </c>
      <c r="AJ1195" s="36">
        <f>AJ$10*$D1195*INDEX(AJ$18:AJ$25,$E1195)*INDEX(AJ$27:AJ$43,$F1195)</f>
        <v/>
      </c>
      <c r="AK1195" s="36">
        <f>AK$10*$D1195*INDEX(AK$18:AK$25,$E1195)*INDEX(AK$27:AK$43,$F1195)</f>
        <v/>
      </c>
      <c r="AL1195" s="36">
        <f>AL$10*$D1195*INDEX(AL$18:AL$25,$E1195)*INDEX(AL$27:AL$43,$F1195)</f>
        <v/>
      </c>
      <c r="AM1195" s="36">
        <f>AM$10*$D1195*INDEX(AM$18:AM$25,$E1195)*INDEX(AM$27:AM$43,$F1195)</f>
        <v/>
      </c>
      <c r="AN1195" s="36">
        <f>AN$10*$D1195*INDEX(AN$18:AN$25,$E1195)*INDEX(AN$27:AN$43,$F1195)</f>
        <v/>
      </c>
    </row>
    <row r="1196" hidden="1" outlineLevel="2">
      <c r="A1196" s="5" t="inlineStr">
        <is>
          <t>ctxnew</t>
        </is>
      </c>
      <c r="B1196" s="5" t="inlineStr">
        <is>
          <t>bio</t>
        </is>
      </c>
      <c r="C1196" s="5" t="inlineStr">
        <is>
          <t>ftr</t>
        </is>
      </c>
      <c r="D1196" s="36">
        <f>INDEX(Inputs!$U$5:$U$132,MATCH($B1196&amp;"|"&amp;$C1196,Inputs!$A$5:$A$132,0))</f>
        <v/>
      </c>
      <c r="E1196" s="36">
        <f>INDEX(Inputs!$J$5:$J$132,MATCH($B1196&amp;"|"&amp;$C1196,Inputs!$A$5:$A$132,0))</f>
        <v/>
      </c>
      <c r="F1196" s="36">
        <f>INDEX(Inputs!$K$5:$K$132,MATCH($B1196&amp;"|"&amp;$C1196,Inputs!$A$5:$A$132,0))</f>
        <v/>
      </c>
      <c r="G1196" s="37" t="n"/>
      <c r="H1196" s="5">
        <f>INDEX(Variables!$B$5:$B$65,MATCH($A1196,Variables!$A$5:$A$65,0))&amp;IF($C1196="",""," | "&amp;INDEX(Mapping!$B$5:$B$25,MATCH($C1196,Mapping!$A$5:$A$25,0))&amp;" | "&amp;INDEX(Mapping!$B$29:$B$38,MATCH($B1196,Mapping!$A$29:$A$38,0)))</f>
        <v/>
      </c>
      <c r="I1196" s="5">
        <f>INDEX(Variables!$C$5:$C$65,MATCH($A1196,Variables!$A$5:$A$65,0))</f>
        <v/>
      </c>
      <c r="J1196" s="5">
        <f>INDEX(Variables!$E$5:$E$65,MATCH($A1196,Variables!$A$5:$A$65,0))</f>
        <v/>
      </c>
      <c r="K1196" s="23">
        <f>LOWER(Settings!$C$4)&amp;".mit."&amp;$A1196&amp;IF($C1196="","","."&amp;$C1196&amp;"."&amp;$B1196)&amp;IF(INDEX(Variables!$D$5:$D$65,MATCH($A1196,Variables!$A$5:$A$65,0))="","","."&amp;INDEX(Variables!$D$5:$D$65,MATCH($A1196,Variables!$A$5:$A$65,0)))&amp;"."&amp;K$5</f>
        <v/>
      </c>
      <c r="L1196" s="38">
        <f>L$10*$D1196*INDEX(L$18:L$25,$E1196)*INDEX(L$27:L$43,$F1196)</f>
        <v/>
      </c>
      <c r="M1196" s="36">
        <f>M$10*$D1196*INDEX(M$18:M$25,$E1196)*INDEX(M$27:M$43,$F1196)</f>
        <v/>
      </c>
      <c r="N1196" s="36">
        <f>N$10*$D1196*INDEX(N$18:N$25,$E1196)*INDEX(N$27:N$43,$F1196)</f>
        <v/>
      </c>
      <c r="O1196" s="36">
        <f>O$10*$D1196*INDEX(O$18:O$25,$E1196)*INDEX(O$27:O$43,$F1196)</f>
        <v/>
      </c>
      <c r="P1196" s="36">
        <f>P$10*$D1196*INDEX(P$18:P$25,$E1196)*INDEX(P$27:P$43,$F1196)</f>
        <v/>
      </c>
      <c r="Q1196" s="36">
        <f>Q$10*$D1196*INDEX(Q$18:Q$25,$E1196)*INDEX(Q$27:Q$43,$F1196)</f>
        <v/>
      </c>
      <c r="R1196" s="36">
        <f>R$10*$D1196*INDEX(R$18:R$25,$E1196)*INDEX(R$27:R$43,$F1196)</f>
        <v/>
      </c>
      <c r="S1196" s="36">
        <f>S$10*$D1196*INDEX(S$18:S$25,$E1196)*INDEX(S$27:S$43,$F1196)</f>
        <v/>
      </c>
      <c r="T1196" s="36">
        <f>T$10*$D1196*INDEX(T$18:T$25,$E1196)*INDEX(T$27:T$43,$F1196)</f>
        <v/>
      </c>
      <c r="U1196" s="36">
        <f>U$10*$D1196*INDEX(U$18:U$25,$E1196)*INDEX(U$27:U$43,$F1196)</f>
        <v/>
      </c>
      <c r="V1196" s="36">
        <f>V$10*$D1196*INDEX(V$18:V$25,$E1196)*INDEX(V$27:V$43,$F1196)</f>
        <v/>
      </c>
      <c r="W1196" s="36">
        <f>W$10*$D1196*INDEX(W$18:W$25,$E1196)*INDEX(W$27:W$43,$F1196)</f>
        <v/>
      </c>
      <c r="X1196" s="36">
        <f>X$10*$D1196*INDEX(X$18:X$25,$E1196)*INDEX(X$27:X$43,$F1196)</f>
        <v/>
      </c>
      <c r="Y1196" s="36">
        <f>Y$10*$D1196*INDEX(Y$18:Y$25,$E1196)*INDEX(Y$27:Y$43,$F1196)</f>
        <v/>
      </c>
      <c r="Z1196" s="23">
        <f>LOWER(Settings!$C$4)&amp;".mit."&amp;$A1196&amp;IF($C1196="","","."&amp;$C1196&amp;"."&amp;$B1196)&amp;IF(INDEX(Variables!$D$5:$D$65,MATCH($A1196,Variables!$A$5:$A$65,0))="","","."&amp;INDEX(Variables!$D$5:$D$65,MATCH($A1196,Variables!$A$5:$A$65,0)))&amp;"."&amp;Z$5</f>
        <v/>
      </c>
      <c r="AA1196" s="38">
        <f>AA$10*$D1196*INDEX(AA$18:AA$25,$E1196)*INDEX(AA$27:AA$43,$F1196)</f>
        <v/>
      </c>
      <c r="AB1196" s="36">
        <f>AB$10*$D1196*INDEX(AB$18:AB$25,$E1196)*INDEX(AB$27:AB$43,$F1196)</f>
        <v/>
      </c>
      <c r="AC1196" s="36">
        <f>AC$10*$D1196*INDEX(AC$18:AC$25,$E1196)*INDEX(AC$27:AC$43,$F1196)</f>
        <v/>
      </c>
      <c r="AD1196" s="36">
        <f>AD$10*$D1196*INDEX(AD$18:AD$25,$E1196)*INDEX(AD$27:AD$43,$F1196)</f>
        <v/>
      </c>
      <c r="AE1196" s="36">
        <f>AE$10*$D1196*INDEX(AE$18:AE$25,$E1196)*INDEX(AE$27:AE$43,$F1196)</f>
        <v/>
      </c>
      <c r="AF1196" s="36">
        <f>AF$10*$D1196*INDEX(AF$18:AF$25,$E1196)*INDEX(AF$27:AF$43,$F1196)</f>
        <v/>
      </c>
      <c r="AG1196" s="36">
        <f>AG$10*$D1196*INDEX(AG$18:AG$25,$E1196)*INDEX(AG$27:AG$43,$F1196)</f>
        <v/>
      </c>
      <c r="AH1196" s="36">
        <f>AH$10*$D1196*INDEX(AH$18:AH$25,$E1196)*INDEX(AH$27:AH$43,$F1196)</f>
        <v/>
      </c>
      <c r="AI1196" s="36">
        <f>AI$10*$D1196*INDEX(AI$18:AI$25,$E1196)*INDEX(AI$27:AI$43,$F1196)</f>
        <v/>
      </c>
      <c r="AJ1196" s="36">
        <f>AJ$10*$D1196*INDEX(AJ$18:AJ$25,$E1196)*INDEX(AJ$27:AJ$43,$F1196)</f>
        <v/>
      </c>
      <c r="AK1196" s="36">
        <f>AK$10*$D1196*INDEX(AK$18:AK$25,$E1196)*INDEX(AK$27:AK$43,$F1196)</f>
        <v/>
      </c>
      <c r="AL1196" s="36">
        <f>AL$10*$D1196*INDEX(AL$18:AL$25,$E1196)*INDEX(AL$27:AL$43,$F1196)</f>
        <v/>
      </c>
      <c r="AM1196" s="36">
        <f>AM$10*$D1196*INDEX(AM$18:AM$25,$E1196)*INDEX(AM$27:AM$43,$F1196)</f>
        <v/>
      </c>
      <c r="AN1196" s="36">
        <f>AN$10*$D1196*INDEX(AN$18:AN$25,$E1196)*INDEX(AN$27:AN$43,$F1196)</f>
        <v/>
      </c>
    </row>
    <row r="1197" hidden="1" outlineLevel="2"/>
    <row r="1198" hidden="1" outlineLevel="2">
      <c r="A1198" s="5" t="inlineStr">
        <is>
          <t>ntx</t>
        </is>
      </c>
      <c r="B1198" s="5" t="inlineStr">
        <is>
          <t>coa</t>
        </is>
      </c>
      <c r="C1198" s="5" t="inlineStr">
        <is>
          <t>ftr</t>
        </is>
      </c>
      <c r="D1198" s="36">
        <f>INDEX(Inputs!$L$5:$L$132,MATCH($B1198&amp;"|"&amp;$C1198,Inputs!$A$5:$A$132,0))</f>
        <v/>
      </c>
      <c r="E1198" s="36">
        <f>INDEX(Inputs!$I$5:$I$132,MATCH($B1198&amp;"|"&amp;$C1198,Inputs!$A$5:$A$132,0))</f>
        <v/>
      </c>
      <c r="F1198" s="37" t="n"/>
      <c r="G1198" s="37" t="n"/>
      <c r="H1198" s="5">
        <f>INDEX(Variables!$B$5:$B$65,MATCH($A1198,Variables!$A$5:$A$65,0))&amp;IF($C1198="",""," | "&amp;INDEX(Mapping!$B$5:$B$25,MATCH($C1198,Mapping!$A$5:$A$25,0))&amp;" | "&amp;INDEX(Mapping!$B$29:$B$38,MATCH($B1198,Mapping!$A$29:$A$38,0)))</f>
        <v/>
      </c>
      <c r="I1198" s="5">
        <f>INDEX(Variables!$C$5:$C$65,MATCH($A1198,Variables!$A$5:$A$65,0))</f>
        <v/>
      </c>
      <c r="J1198" s="5">
        <f>INDEX(Variables!$E$5:$E$65,MATCH($A1198,Variables!$A$5:$A$65,0))</f>
        <v/>
      </c>
      <c r="K1198" s="23">
        <f>LOWER(Settings!$C$4)&amp;".mit."&amp;$A1198&amp;IF($C1198="","","."&amp;$C1198&amp;"."&amp;$B1198)&amp;IF(INDEX(Variables!$D$5:$D$65,MATCH($A1198,Variables!$A$5:$A$65,0))="","","."&amp;INDEX(Variables!$D$5:$D$65,MATCH($A1198,Variables!$A$5:$A$65,0)))&amp;"."&amp;K$5</f>
        <v/>
      </c>
      <c r="L1198" s="38">
        <f>INDEX(L$75:L$88,$D1198)/$E1198</f>
        <v/>
      </c>
      <c r="M1198" s="36">
        <f>INDEX(M$75:M$88,$D1198)/$E1198</f>
        <v/>
      </c>
      <c r="N1198" s="36">
        <f>INDEX(N$75:N$88,$D1198)/$E1198</f>
        <v/>
      </c>
      <c r="O1198" s="36">
        <f>INDEX(O$75:O$88,$D1198)/$E1198</f>
        <v/>
      </c>
      <c r="P1198" s="36">
        <f>INDEX(P$75:P$88,$D1198)/$E1198</f>
        <v/>
      </c>
      <c r="Q1198" s="36">
        <f>INDEX(Q$75:Q$88,$D1198)/$E1198</f>
        <v/>
      </c>
      <c r="R1198" s="36">
        <f>INDEX(R$75:R$88,$D1198)/$E1198</f>
        <v/>
      </c>
      <c r="S1198" s="36">
        <f>INDEX(S$75:S$88,$D1198)/$E1198</f>
        <v/>
      </c>
      <c r="T1198" s="36">
        <f>INDEX(T$75:T$88,$D1198)/$E1198</f>
        <v/>
      </c>
      <c r="U1198" s="36">
        <f>INDEX(U$75:U$88,$D1198)/$E1198</f>
        <v/>
      </c>
      <c r="V1198" s="36">
        <f>INDEX(V$75:V$88,$D1198)/$E1198</f>
        <v/>
      </c>
      <c r="W1198" s="36">
        <f>INDEX(W$75:W$88,$D1198)/$E1198</f>
        <v/>
      </c>
      <c r="X1198" s="36">
        <f>INDEX(X$75:X$88,$D1198)/$E1198</f>
        <v/>
      </c>
      <c r="Y1198" s="36">
        <f>INDEX(Y$75:Y$88,$D1198)/$E1198</f>
        <v/>
      </c>
      <c r="Z1198" s="23">
        <f>LOWER(Settings!$C$4)&amp;".mit."&amp;$A1198&amp;IF($C1198="","","."&amp;$C1198&amp;"."&amp;$B1198)&amp;IF(INDEX(Variables!$D$5:$D$65,MATCH($A1198,Variables!$A$5:$A$65,0))="","","."&amp;INDEX(Variables!$D$5:$D$65,MATCH($A1198,Variables!$A$5:$A$65,0)))&amp;"."&amp;Z$5</f>
        <v/>
      </c>
      <c r="AA1198" s="38">
        <f>INDEX(AA$75:AA$88,$D1198)/$E1198</f>
        <v/>
      </c>
      <c r="AB1198" s="36">
        <f>INDEX(AB$75:AB$88,$D1198)/$E1198</f>
        <v/>
      </c>
      <c r="AC1198" s="36">
        <f>INDEX(AC$75:AC$88,$D1198)/$E1198</f>
        <v/>
      </c>
      <c r="AD1198" s="36">
        <f>INDEX(AD$75:AD$88,$D1198)/$E1198</f>
        <v/>
      </c>
      <c r="AE1198" s="36">
        <f>INDEX(AE$75:AE$88,$D1198)/$E1198</f>
        <v/>
      </c>
      <c r="AF1198" s="36">
        <f>INDEX(AF$75:AF$88,$D1198)/$E1198</f>
        <v/>
      </c>
      <c r="AG1198" s="36">
        <f>INDEX(AG$75:AG$88,$D1198)/$E1198</f>
        <v/>
      </c>
      <c r="AH1198" s="36">
        <f>INDEX(AH$75:AH$88,$D1198)/$E1198</f>
        <v/>
      </c>
      <c r="AI1198" s="36">
        <f>INDEX(AI$75:AI$88,$D1198)/$E1198</f>
        <v/>
      </c>
      <c r="AJ1198" s="36">
        <f>INDEX(AJ$75:AJ$88,$D1198)/$E1198</f>
        <v/>
      </c>
      <c r="AK1198" s="36">
        <f>INDEX(AK$75:AK$88,$D1198)/$E1198</f>
        <v/>
      </c>
      <c r="AL1198" s="36">
        <f>INDEX(AL$75:AL$88,$D1198)/$E1198</f>
        <v/>
      </c>
      <c r="AM1198" s="36">
        <f>INDEX(AM$75:AM$88,$D1198)/$E1198</f>
        <v/>
      </c>
      <c r="AN1198" s="36">
        <f>INDEX(AN$75:AN$88,$D1198)/$E1198</f>
        <v/>
      </c>
    </row>
    <row r="1199" hidden="1" outlineLevel="2">
      <c r="A1199" s="5" t="inlineStr">
        <is>
          <t>ntx</t>
        </is>
      </c>
      <c r="B1199" s="5" t="inlineStr">
        <is>
          <t>nga</t>
        </is>
      </c>
      <c r="C1199" s="5" t="inlineStr">
        <is>
          <t>ftr</t>
        </is>
      </c>
      <c r="D1199" s="36">
        <f>INDEX(Inputs!$L$5:$L$132,MATCH($B1199&amp;"|"&amp;$C1199,Inputs!$A$5:$A$132,0))</f>
        <v/>
      </c>
      <c r="E1199" s="36">
        <f>INDEX(Inputs!$I$5:$I$132,MATCH($B1199&amp;"|"&amp;$C1199,Inputs!$A$5:$A$132,0))</f>
        <v/>
      </c>
      <c r="F1199" s="37" t="n"/>
      <c r="G1199" s="37" t="n"/>
      <c r="H1199" s="5">
        <f>INDEX(Variables!$B$5:$B$65,MATCH($A1199,Variables!$A$5:$A$65,0))&amp;IF($C1199="",""," | "&amp;INDEX(Mapping!$B$5:$B$25,MATCH($C1199,Mapping!$A$5:$A$25,0))&amp;" | "&amp;INDEX(Mapping!$B$29:$B$38,MATCH($B1199,Mapping!$A$29:$A$38,0)))</f>
        <v/>
      </c>
      <c r="I1199" s="5">
        <f>INDEX(Variables!$C$5:$C$65,MATCH($A1199,Variables!$A$5:$A$65,0))</f>
        <v/>
      </c>
      <c r="J1199" s="5">
        <f>INDEX(Variables!$E$5:$E$65,MATCH($A1199,Variables!$A$5:$A$65,0))</f>
        <v/>
      </c>
      <c r="K1199" s="23">
        <f>LOWER(Settings!$C$4)&amp;".mit."&amp;$A1199&amp;IF($C1199="","","."&amp;$C1199&amp;"."&amp;$B1199)&amp;IF(INDEX(Variables!$D$5:$D$65,MATCH($A1199,Variables!$A$5:$A$65,0))="","","."&amp;INDEX(Variables!$D$5:$D$65,MATCH($A1199,Variables!$A$5:$A$65,0)))&amp;"."&amp;K$5</f>
        <v/>
      </c>
      <c r="L1199" s="38">
        <f>INDEX(L$75:L$88,$D1199)/$E1199</f>
        <v/>
      </c>
      <c r="M1199" s="36">
        <f>INDEX(M$75:M$88,$D1199)/$E1199</f>
        <v/>
      </c>
      <c r="N1199" s="36">
        <f>INDEX(N$75:N$88,$D1199)/$E1199</f>
        <v/>
      </c>
      <c r="O1199" s="36">
        <f>INDEX(O$75:O$88,$D1199)/$E1199</f>
        <v/>
      </c>
      <c r="P1199" s="36">
        <f>INDEX(P$75:P$88,$D1199)/$E1199</f>
        <v/>
      </c>
      <c r="Q1199" s="36">
        <f>INDEX(Q$75:Q$88,$D1199)/$E1199</f>
        <v/>
      </c>
      <c r="R1199" s="36">
        <f>INDEX(R$75:R$88,$D1199)/$E1199</f>
        <v/>
      </c>
      <c r="S1199" s="36">
        <f>INDEX(S$75:S$88,$D1199)/$E1199</f>
        <v/>
      </c>
      <c r="T1199" s="36">
        <f>INDEX(T$75:T$88,$D1199)/$E1199</f>
        <v/>
      </c>
      <c r="U1199" s="36">
        <f>INDEX(U$75:U$88,$D1199)/$E1199</f>
        <v/>
      </c>
      <c r="V1199" s="36">
        <f>INDEX(V$75:V$88,$D1199)/$E1199</f>
        <v/>
      </c>
      <c r="W1199" s="36">
        <f>INDEX(W$75:W$88,$D1199)/$E1199</f>
        <v/>
      </c>
      <c r="X1199" s="36">
        <f>INDEX(X$75:X$88,$D1199)/$E1199</f>
        <v/>
      </c>
      <c r="Y1199" s="36">
        <f>INDEX(Y$75:Y$88,$D1199)/$E1199</f>
        <v/>
      </c>
      <c r="Z1199" s="23">
        <f>LOWER(Settings!$C$4)&amp;".mit."&amp;$A1199&amp;IF($C1199="","","."&amp;$C1199&amp;"."&amp;$B1199)&amp;IF(INDEX(Variables!$D$5:$D$65,MATCH($A1199,Variables!$A$5:$A$65,0))="","","."&amp;INDEX(Variables!$D$5:$D$65,MATCH($A1199,Variables!$A$5:$A$65,0)))&amp;"."&amp;Z$5</f>
        <v/>
      </c>
      <c r="AA1199" s="38">
        <f>INDEX(AA$75:AA$88,$D1199)/$E1199</f>
        <v/>
      </c>
      <c r="AB1199" s="36">
        <f>INDEX(AB$75:AB$88,$D1199)/$E1199</f>
        <v/>
      </c>
      <c r="AC1199" s="36">
        <f>INDEX(AC$75:AC$88,$D1199)/$E1199</f>
        <v/>
      </c>
      <c r="AD1199" s="36">
        <f>INDEX(AD$75:AD$88,$D1199)/$E1199</f>
        <v/>
      </c>
      <c r="AE1199" s="36">
        <f>INDEX(AE$75:AE$88,$D1199)/$E1199</f>
        <v/>
      </c>
      <c r="AF1199" s="36">
        <f>INDEX(AF$75:AF$88,$D1199)/$E1199</f>
        <v/>
      </c>
      <c r="AG1199" s="36">
        <f>INDEX(AG$75:AG$88,$D1199)/$E1199</f>
        <v/>
      </c>
      <c r="AH1199" s="36">
        <f>INDEX(AH$75:AH$88,$D1199)/$E1199</f>
        <v/>
      </c>
      <c r="AI1199" s="36">
        <f>INDEX(AI$75:AI$88,$D1199)/$E1199</f>
        <v/>
      </c>
      <c r="AJ1199" s="36">
        <f>INDEX(AJ$75:AJ$88,$D1199)/$E1199</f>
        <v/>
      </c>
      <c r="AK1199" s="36">
        <f>INDEX(AK$75:AK$88,$D1199)/$E1199</f>
        <v/>
      </c>
      <c r="AL1199" s="36">
        <f>INDEX(AL$75:AL$88,$D1199)/$E1199</f>
        <v/>
      </c>
      <c r="AM1199" s="36">
        <f>INDEX(AM$75:AM$88,$D1199)/$E1199</f>
        <v/>
      </c>
      <c r="AN1199" s="36">
        <f>INDEX(AN$75:AN$88,$D1199)/$E1199</f>
        <v/>
      </c>
    </row>
    <row r="1200" hidden="1" outlineLevel="2">
      <c r="A1200" s="5" t="inlineStr">
        <is>
          <t>ntx</t>
        </is>
      </c>
      <c r="B1200" s="5" t="inlineStr">
        <is>
          <t>gso</t>
        </is>
      </c>
      <c r="C1200" s="5" t="inlineStr">
        <is>
          <t>ftr</t>
        </is>
      </c>
      <c r="D1200" s="36">
        <f>INDEX(Inputs!$L$5:$L$132,MATCH($B1200&amp;"|"&amp;$C1200,Inputs!$A$5:$A$132,0))</f>
        <v/>
      </c>
      <c r="E1200" s="36">
        <f>INDEX(Inputs!$I$5:$I$132,MATCH($B1200&amp;"|"&amp;$C1200,Inputs!$A$5:$A$132,0))</f>
        <v/>
      </c>
      <c r="F1200" s="37" t="n"/>
      <c r="G1200" s="37" t="n"/>
      <c r="H1200" s="5">
        <f>INDEX(Variables!$B$5:$B$65,MATCH($A1200,Variables!$A$5:$A$65,0))&amp;IF($C1200="",""," | "&amp;INDEX(Mapping!$B$5:$B$25,MATCH($C1200,Mapping!$A$5:$A$25,0))&amp;" | "&amp;INDEX(Mapping!$B$29:$B$38,MATCH($B1200,Mapping!$A$29:$A$38,0)))</f>
        <v/>
      </c>
      <c r="I1200" s="5">
        <f>INDEX(Variables!$C$5:$C$65,MATCH($A1200,Variables!$A$5:$A$65,0))</f>
        <v/>
      </c>
      <c r="J1200" s="5">
        <f>INDEX(Variables!$E$5:$E$65,MATCH($A1200,Variables!$A$5:$A$65,0))</f>
        <v/>
      </c>
      <c r="K1200" s="23">
        <f>LOWER(Settings!$C$4)&amp;".mit."&amp;$A1200&amp;IF($C1200="","","."&amp;$C1200&amp;"."&amp;$B1200)&amp;IF(INDEX(Variables!$D$5:$D$65,MATCH($A1200,Variables!$A$5:$A$65,0))="","","."&amp;INDEX(Variables!$D$5:$D$65,MATCH($A1200,Variables!$A$5:$A$65,0)))&amp;"."&amp;K$5</f>
        <v/>
      </c>
      <c r="L1200" s="38">
        <f>INDEX(L$75:L$88,$D1200)/$E1200</f>
        <v/>
      </c>
      <c r="M1200" s="36">
        <f>INDEX(M$75:M$88,$D1200)/$E1200</f>
        <v/>
      </c>
      <c r="N1200" s="36">
        <f>INDEX(N$75:N$88,$D1200)/$E1200</f>
        <v/>
      </c>
      <c r="O1200" s="36">
        <f>INDEX(O$75:O$88,$D1200)/$E1200</f>
        <v/>
      </c>
      <c r="P1200" s="36">
        <f>INDEX(P$75:P$88,$D1200)/$E1200</f>
        <v/>
      </c>
      <c r="Q1200" s="36">
        <f>INDEX(Q$75:Q$88,$D1200)/$E1200</f>
        <v/>
      </c>
      <c r="R1200" s="36">
        <f>INDEX(R$75:R$88,$D1200)/$E1200</f>
        <v/>
      </c>
      <c r="S1200" s="36">
        <f>INDEX(S$75:S$88,$D1200)/$E1200</f>
        <v/>
      </c>
      <c r="T1200" s="36">
        <f>INDEX(T$75:T$88,$D1200)/$E1200</f>
        <v/>
      </c>
      <c r="U1200" s="36">
        <f>INDEX(U$75:U$88,$D1200)/$E1200</f>
        <v/>
      </c>
      <c r="V1200" s="36">
        <f>INDEX(V$75:V$88,$D1200)/$E1200</f>
        <v/>
      </c>
      <c r="W1200" s="36">
        <f>INDEX(W$75:W$88,$D1200)/$E1200</f>
        <v/>
      </c>
      <c r="X1200" s="36">
        <f>INDEX(X$75:X$88,$D1200)/$E1200</f>
        <v/>
      </c>
      <c r="Y1200" s="36">
        <f>INDEX(Y$75:Y$88,$D1200)/$E1200</f>
        <v/>
      </c>
      <c r="Z1200" s="23">
        <f>LOWER(Settings!$C$4)&amp;".mit."&amp;$A1200&amp;IF($C1200="","","."&amp;$C1200&amp;"."&amp;$B1200)&amp;IF(INDEX(Variables!$D$5:$D$65,MATCH($A1200,Variables!$A$5:$A$65,0))="","","."&amp;INDEX(Variables!$D$5:$D$65,MATCH($A1200,Variables!$A$5:$A$65,0)))&amp;"."&amp;Z$5</f>
        <v/>
      </c>
      <c r="AA1200" s="38">
        <f>INDEX(AA$75:AA$88,$D1200)/$E1200</f>
        <v/>
      </c>
      <c r="AB1200" s="36">
        <f>INDEX(AB$75:AB$88,$D1200)/$E1200</f>
        <v/>
      </c>
      <c r="AC1200" s="36">
        <f>INDEX(AC$75:AC$88,$D1200)/$E1200</f>
        <v/>
      </c>
      <c r="AD1200" s="36">
        <f>INDEX(AD$75:AD$88,$D1200)/$E1200</f>
        <v/>
      </c>
      <c r="AE1200" s="36">
        <f>INDEX(AE$75:AE$88,$D1200)/$E1200</f>
        <v/>
      </c>
      <c r="AF1200" s="36">
        <f>INDEX(AF$75:AF$88,$D1200)/$E1200</f>
        <v/>
      </c>
      <c r="AG1200" s="36">
        <f>INDEX(AG$75:AG$88,$D1200)/$E1200</f>
        <v/>
      </c>
      <c r="AH1200" s="36">
        <f>INDEX(AH$75:AH$88,$D1200)/$E1200</f>
        <v/>
      </c>
      <c r="AI1200" s="36">
        <f>INDEX(AI$75:AI$88,$D1200)/$E1200</f>
        <v/>
      </c>
      <c r="AJ1200" s="36">
        <f>INDEX(AJ$75:AJ$88,$D1200)/$E1200</f>
        <v/>
      </c>
      <c r="AK1200" s="36">
        <f>INDEX(AK$75:AK$88,$D1200)/$E1200</f>
        <v/>
      </c>
      <c r="AL1200" s="36">
        <f>INDEX(AL$75:AL$88,$D1200)/$E1200</f>
        <v/>
      </c>
      <c r="AM1200" s="36">
        <f>INDEX(AM$75:AM$88,$D1200)/$E1200</f>
        <v/>
      </c>
      <c r="AN1200" s="36">
        <f>INDEX(AN$75:AN$88,$D1200)/$E1200</f>
        <v/>
      </c>
    </row>
    <row r="1201" hidden="1" outlineLevel="2">
      <c r="A1201" s="5" t="inlineStr">
        <is>
          <t>ntx</t>
        </is>
      </c>
      <c r="B1201" s="5" t="inlineStr">
        <is>
          <t>die</t>
        </is>
      </c>
      <c r="C1201" s="5" t="inlineStr">
        <is>
          <t>ftr</t>
        </is>
      </c>
      <c r="D1201" s="36">
        <f>INDEX(Inputs!$L$5:$L$132,MATCH($B1201&amp;"|"&amp;$C1201,Inputs!$A$5:$A$132,0))</f>
        <v/>
      </c>
      <c r="E1201" s="36">
        <f>INDEX(Inputs!$I$5:$I$132,MATCH($B1201&amp;"|"&amp;$C1201,Inputs!$A$5:$A$132,0))</f>
        <v/>
      </c>
      <c r="F1201" s="37" t="n"/>
      <c r="G1201" s="37" t="n"/>
      <c r="H1201" s="5">
        <f>INDEX(Variables!$B$5:$B$65,MATCH($A1201,Variables!$A$5:$A$65,0))&amp;IF($C1201="",""," | "&amp;INDEX(Mapping!$B$5:$B$25,MATCH($C1201,Mapping!$A$5:$A$25,0))&amp;" | "&amp;INDEX(Mapping!$B$29:$B$38,MATCH($B1201,Mapping!$A$29:$A$38,0)))</f>
        <v/>
      </c>
      <c r="I1201" s="5">
        <f>INDEX(Variables!$C$5:$C$65,MATCH($A1201,Variables!$A$5:$A$65,0))</f>
        <v/>
      </c>
      <c r="J1201" s="5">
        <f>INDEX(Variables!$E$5:$E$65,MATCH($A1201,Variables!$A$5:$A$65,0))</f>
        <v/>
      </c>
      <c r="K1201" s="23">
        <f>LOWER(Settings!$C$4)&amp;".mit."&amp;$A1201&amp;IF($C1201="","","."&amp;$C1201&amp;"."&amp;$B1201)&amp;IF(INDEX(Variables!$D$5:$D$65,MATCH($A1201,Variables!$A$5:$A$65,0))="","","."&amp;INDEX(Variables!$D$5:$D$65,MATCH($A1201,Variables!$A$5:$A$65,0)))&amp;"."&amp;K$5</f>
        <v/>
      </c>
      <c r="L1201" s="38">
        <f>INDEX(L$75:L$88,$D1201)/$E1201</f>
        <v/>
      </c>
      <c r="M1201" s="36">
        <f>INDEX(M$75:M$88,$D1201)/$E1201</f>
        <v/>
      </c>
      <c r="N1201" s="36">
        <f>INDEX(N$75:N$88,$D1201)/$E1201</f>
        <v/>
      </c>
      <c r="O1201" s="36">
        <f>INDEX(O$75:O$88,$D1201)/$E1201</f>
        <v/>
      </c>
      <c r="P1201" s="36">
        <f>INDEX(P$75:P$88,$D1201)/$E1201</f>
        <v/>
      </c>
      <c r="Q1201" s="36">
        <f>INDEX(Q$75:Q$88,$D1201)/$E1201</f>
        <v/>
      </c>
      <c r="R1201" s="36">
        <f>INDEX(R$75:R$88,$D1201)/$E1201</f>
        <v/>
      </c>
      <c r="S1201" s="36">
        <f>INDEX(S$75:S$88,$D1201)/$E1201</f>
        <v/>
      </c>
      <c r="T1201" s="36">
        <f>INDEX(T$75:T$88,$D1201)/$E1201</f>
        <v/>
      </c>
      <c r="U1201" s="36">
        <f>INDEX(U$75:U$88,$D1201)/$E1201</f>
        <v/>
      </c>
      <c r="V1201" s="36">
        <f>INDEX(V$75:V$88,$D1201)/$E1201</f>
        <v/>
      </c>
      <c r="W1201" s="36">
        <f>INDEX(W$75:W$88,$D1201)/$E1201</f>
        <v/>
      </c>
      <c r="X1201" s="36">
        <f>INDEX(X$75:X$88,$D1201)/$E1201</f>
        <v/>
      </c>
      <c r="Y1201" s="36">
        <f>INDEX(Y$75:Y$88,$D1201)/$E1201</f>
        <v/>
      </c>
      <c r="Z1201" s="23">
        <f>LOWER(Settings!$C$4)&amp;".mit."&amp;$A1201&amp;IF($C1201="","","."&amp;$C1201&amp;"."&amp;$B1201)&amp;IF(INDEX(Variables!$D$5:$D$65,MATCH($A1201,Variables!$A$5:$A$65,0))="","","."&amp;INDEX(Variables!$D$5:$D$65,MATCH($A1201,Variables!$A$5:$A$65,0)))&amp;"."&amp;Z$5</f>
        <v/>
      </c>
      <c r="AA1201" s="38">
        <f>INDEX(AA$75:AA$88,$D1201)/$E1201</f>
        <v/>
      </c>
      <c r="AB1201" s="36">
        <f>INDEX(AB$75:AB$88,$D1201)/$E1201</f>
        <v/>
      </c>
      <c r="AC1201" s="36">
        <f>INDEX(AC$75:AC$88,$D1201)/$E1201</f>
        <v/>
      </c>
      <c r="AD1201" s="36">
        <f>INDEX(AD$75:AD$88,$D1201)/$E1201</f>
        <v/>
      </c>
      <c r="AE1201" s="36">
        <f>INDEX(AE$75:AE$88,$D1201)/$E1201</f>
        <v/>
      </c>
      <c r="AF1201" s="36">
        <f>INDEX(AF$75:AF$88,$D1201)/$E1201</f>
        <v/>
      </c>
      <c r="AG1201" s="36">
        <f>INDEX(AG$75:AG$88,$D1201)/$E1201</f>
        <v/>
      </c>
      <c r="AH1201" s="36">
        <f>INDEX(AH$75:AH$88,$D1201)/$E1201</f>
        <v/>
      </c>
      <c r="AI1201" s="36">
        <f>INDEX(AI$75:AI$88,$D1201)/$E1201</f>
        <v/>
      </c>
      <c r="AJ1201" s="36">
        <f>INDEX(AJ$75:AJ$88,$D1201)/$E1201</f>
        <v/>
      </c>
      <c r="AK1201" s="36">
        <f>INDEX(AK$75:AK$88,$D1201)/$E1201</f>
        <v/>
      </c>
      <c r="AL1201" s="36">
        <f>INDEX(AL$75:AL$88,$D1201)/$E1201</f>
        <v/>
      </c>
      <c r="AM1201" s="36">
        <f>INDEX(AM$75:AM$88,$D1201)/$E1201</f>
        <v/>
      </c>
      <c r="AN1201" s="36">
        <f>INDEX(AN$75:AN$88,$D1201)/$E1201</f>
        <v/>
      </c>
    </row>
    <row r="1202" hidden="1" outlineLevel="2">
      <c r="A1202" s="5" t="inlineStr">
        <is>
          <t>ntx</t>
        </is>
      </c>
      <c r="B1202" s="5" t="inlineStr">
        <is>
          <t>lpg</t>
        </is>
      </c>
      <c r="C1202" s="5" t="inlineStr">
        <is>
          <t>ftr</t>
        </is>
      </c>
      <c r="D1202" s="36">
        <f>INDEX(Inputs!$L$5:$L$132,MATCH($B1202&amp;"|"&amp;$C1202,Inputs!$A$5:$A$132,0))</f>
        <v/>
      </c>
      <c r="E1202" s="36">
        <f>INDEX(Inputs!$I$5:$I$132,MATCH($B1202&amp;"|"&amp;$C1202,Inputs!$A$5:$A$132,0))</f>
        <v/>
      </c>
      <c r="F1202" s="37" t="n"/>
      <c r="G1202" s="37" t="n"/>
      <c r="H1202" s="5">
        <f>INDEX(Variables!$B$5:$B$65,MATCH($A1202,Variables!$A$5:$A$65,0))&amp;IF($C1202="",""," | "&amp;INDEX(Mapping!$B$5:$B$25,MATCH($C1202,Mapping!$A$5:$A$25,0))&amp;" | "&amp;INDEX(Mapping!$B$29:$B$38,MATCH($B1202,Mapping!$A$29:$A$38,0)))</f>
        <v/>
      </c>
      <c r="I1202" s="5">
        <f>INDEX(Variables!$C$5:$C$65,MATCH($A1202,Variables!$A$5:$A$65,0))</f>
        <v/>
      </c>
      <c r="J1202" s="5">
        <f>INDEX(Variables!$E$5:$E$65,MATCH($A1202,Variables!$A$5:$A$65,0))</f>
        <v/>
      </c>
      <c r="K1202" s="23">
        <f>LOWER(Settings!$C$4)&amp;".mit."&amp;$A1202&amp;IF($C1202="","","."&amp;$C1202&amp;"."&amp;$B1202)&amp;IF(INDEX(Variables!$D$5:$D$65,MATCH($A1202,Variables!$A$5:$A$65,0))="","","."&amp;INDEX(Variables!$D$5:$D$65,MATCH($A1202,Variables!$A$5:$A$65,0)))&amp;"."&amp;K$5</f>
        <v/>
      </c>
      <c r="L1202" s="38">
        <f>INDEX(L$75:L$88,$D1202)/$E1202</f>
        <v/>
      </c>
      <c r="M1202" s="36">
        <f>INDEX(M$75:M$88,$D1202)/$E1202</f>
        <v/>
      </c>
      <c r="N1202" s="36">
        <f>INDEX(N$75:N$88,$D1202)/$E1202</f>
        <v/>
      </c>
      <c r="O1202" s="36">
        <f>INDEX(O$75:O$88,$D1202)/$E1202</f>
        <v/>
      </c>
      <c r="P1202" s="36">
        <f>INDEX(P$75:P$88,$D1202)/$E1202</f>
        <v/>
      </c>
      <c r="Q1202" s="36">
        <f>INDEX(Q$75:Q$88,$D1202)/$E1202</f>
        <v/>
      </c>
      <c r="R1202" s="36">
        <f>INDEX(R$75:R$88,$D1202)/$E1202</f>
        <v/>
      </c>
      <c r="S1202" s="36">
        <f>INDEX(S$75:S$88,$D1202)/$E1202</f>
        <v/>
      </c>
      <c r="T1202" s="36">
        <f>INDEX(T$75:T$88,$D1202)/$E1202</f>
        <v/>
      </c>
      <c r="U1202" s="36">
        <f>INDEX(U$75:U$88,$D1202)/$E1202</f>
        <v/>
      </c>
      <c r="V1202" s="36">
        <f>INDEX(V$75:V$88,$D1202)/$E1202</f>
        <v/>
      </c>
      <c r="W1202" s="36">
        <f>INDEX(W$75:W$88,$D1202)/$E1202</f>
        <v/>
      </c>
      <c r="X1202" s="36">
        <f>INDEX(X$75:X$88,$D1202)/$E1202</f>
        <v/>
      </c>
      <c r="Y1202" s="36">
        <f>INDEX(Y$75:Y$88,$D1202)/$E1202</f>
        <v/>
      </c>
      <c r="Z1202" s="23">
        <f>LOWER(Settings!$C$4)&amp;".mit."&amp;$A1202&amp;IF($C1202="","","."&amp;$C1202&amp;"."&amp;$B1202)&amp;IF(INDEX(Variables!$D$5:$D$65,MATCH($A1202,Variables!$A$5:$A$65,0))="","","."&amp;INDEX(Variables!$D$5:$D$65,MATCH($A1202,Variables!$A$5:$A$65,0)))&amp;"."&amp;Z$5</f>
        <v/>
      </c>
      <c r="AA1202" s="38">
        <f>INDEX(AA$75:AA$88,$D1202)/$E1202</f>
        <v/>
      </c>
      <c r="AB1202" s="36">
        <f>INDEX(AB$75:AB$88,$D1202)/$E1202</f>
        <v/>
      </c>
      <c r="AC1202" s="36">
        <f>INDEX(AC$75:AC$88,$D1202)/$E1202</f>
        <v/>
      </c>
      <c r="AD1202" s="36">
        <f>INDEX(AD$75:AD$88,$D1202)/$E1202</f>
        <v/>
      </c>
      <c r="AE1202" s="36">
        <f>INDEX(AE$75:AE$88,$D1202)/$E1202</f>
        <v/>
      </c>
      <c r="AF1202" s="36">
        <f>INDEX(AF$75:AF$88,$D1202)/$E1202</f>
        <v/>
      </c>
      <c r="AG1202" s="36">
        <f>INDEX(AG$75:AG$88,$D1202)/$E1202</f>
        <v/>
      </c>
      <c r="AH1202" s="36">
        <f>INDEX(AH$75:AH$88,$D1202)/$E1202</f>
        <v/>
      </c>
      <c r="AI1202" s="36">
        <f>INDEX(AI$75:AI$88,$D1202)/$E1202</f>
        <v/>
      </c>
      <c r="AJ1202" s="36">
        <f>INDEX(AJ$75:AJ$88,$D1202)/$E1202</f>
        <v/>
      </c>
      <c r="AK1202" s="36">
        <f>INDEX(AK$75:AK$88,$D1202)/$E1202</f>
        <v/>
      </c>
      <c r="AL1202" s="36">
        <f>INDEX(AL$75:AL$88,$D1202)/$E1202</f>
        <v/>
      </c>
      <c r="AM1202" s="36">
        <f>INDEX(AM$75:AM$88,$D1202)/$E1202</f>
        <v/>
      </c>
      <c r="AN1202" s="36">
        <f>INDEX(AN$75:AN$88,$D1202)/$E1202</f>
        <v/>
      </c>
    </row>
    <row r="1203" hidden="1" outlineLevel="2">
      <c r="A1203" s="5" t="inlineStr">
        <is>
          <t>ntx</t>
        </is>
      </c>
      <c r="B1203" s="5" t="inlineStr">
        <is>
          <t>ker</t>
        </is>
      </c>
      <c r="C1203" s="5" t="inlineStr">
        <is>
          <t>ftr</t>
        </is>
      </c>
      <c r="D1203" s="36">
        <f>INDEX(Inputs!$L$5:$L$132,MATCH($B1203&amp;"|"&amp;$C1203,Inputs!$A$5:$A$132,0))</f>
        <v/>
      </c>
      <c r="E1203" s="36">
        <f>INDEX(Inputs!$I$5:$I$132,MATCH($B1203&amp;"|"&amp;$C1203,Inputs!$A$5:$A$132,0))</f>
        <v/>
      </c>
      <c r="F1203" s="37" t="n"/>
      <c r="G1203" s="37" t="n"/>
      <c r="H1203" s="5">
        <f>INDEX(Variables!$B$5:$B$65,MATCH($A1203,Variables!$A$5:$A$65,0))&amp;IF($C1203="",""," | "&amp;INDEX(Mapping!$B$5:$B$25,MATCH($C1203,Mapping!$A$5:$A$25,0))&amp;" | "&amp;INDEX(Mapping!$B$29:$B$38,MATCH($B1203,Mapping!$A$29:$A$38,0)))</f>
        <v/>
      </c>
      <c r="I1203" s="5">
        <f>INDEX(Variables!$C$5:$C$65,MATCH($A1203,Variables!$A$5:$A$65,0))</f>
        <v/>
      </c>
      <c r="J1203" s="5">
        <f>INDEX(Variables!$E$5:$E$65,MATCH($A1203,Variables!$A$5:$A$65,0))</f>
        <v/>
      </c>
      <c r="K1203" s="23">
        <f>LOWER(Settings!$C$4)&amp;".mit."&amp;$A1203&amp;IF($C1203="","","."&amp;$C1203&amp;"."&amp;$B1203)&amp;IF(INDEX(Variables!$D$5:$D$65,MATCH($A1203,Variables!$A$5:$A$65,0))="","","."&amp;INDEX(Variables!$D$5:$D$65,MATCH($A1203,Variables!$A$5:$A$65,0)))&amp;"."&amp;K$5</f>
        <v/>
      </c>
      <c r="L1203" s="38">
        <f>INDEX(L$75:L$88,$D1203)/$E1203</f>
        <v/>
      </c>
      <c r="M1203" s="36">
        <f>INDEX(M$75:M$88,$D1203)/$E1203</f>
        <v/>
      </c>
      <c r="N1203" s="36">
        <f>INDEX(N$75:N$88,$D1203)/$E1203</f>
        <v/>
      </c>
      <c r="O1203" s="36">
        <f>INDEX(O$75:O$88,$D1203)/$E1203</f>
        <v/>
      </c>
      <c r="P1203" s="36">
        <f>INDEX(P$75:P$88,$D1203)/$E1203</f>
        <v/>
      </c>
      <c r="Q1203" s="36">
        <f>INDEX(Q$75:Q$88,$D1203)/$E1203</f>
        <v/>
      </c>
      <c r="R1203" s="36">
        <f>INDEX(R$75:R$88,$D1203)/$E1203</f>
        <v/>
      </c>
      <c r="S1203" s="36">
        <f>INDEX(S$75:S$88,$D1203)/$E1203</f>
        <v/>
      </c>
      <c r="T1203" s="36">
        <f>INDEX(T$75:T$88,$D1203)/$E1203</f>
        <v/>
      </c>
      <c r="U1203" s="36">
        <f>INDEX(U$75:U$88,$D1203)/$E1203</f>
        <v/>
      </c>
      <c r="V1203" s="36">
        <f>INDEX(V$75:V$88,$D1203)/$E1203</f>
        <v/>
      </c>
      <c r="W1203" s="36">
        <f>INDEX(W$75:W$88,$D1203)/$E1203</f>
        <v/>
      </c>
      <c r="X1203" s="36">
        <f>INDEX(X$75:X$88,$D1203)/$E1203</f>
        <v/>
      </c>
      <c r="Y1203" s="36">
        <f>INDEX(Y$75:Y$88,$D1203)/$E1203</f>
        <v/>
      </c>
      <c r="Z1203" s="23">
        <f>LOWER(Settings!$C$4)&amp;".mit."&amp;$A1203&amp;IF($C1203="","","."&amp;$C1203&amp;"."&amp;$B1203)&amp;IF(INDEX(Variables!$D$5:$D$65,MATCH($A1203,Variables!$A$5:$A$65,0))="","","."&amp;INDEX(Variables!$D$5:$D$65,MATCH($A1203,Variables!$A$5:$A$65,0)))&amp;"."&amp;Z$5</f>
        <v/>
      </c>
      <c r="AA1203" s="38">
        <f>INDEX(AA$75:AA$88,$D1203)/$E1203</f>
        <v/>
      </c>
      <c r="AB1203" s="36">
        <f>INDEX(AB$75:AB$88,$D1203)/$E1203</f>
        <v/>
      </c>
      <c r="AC1203" s="36">
        <f>INDEX(AC$75:AC$88,$D1203)/$E1203</f>
        <v/>
      </c>
      <c r="AD1203" s="36">
        <f>INDEX(AD$75:AD$88,$D1203)/$E1203</f>
        <v/>
      </c>
      <c r="AE1203" s="36">
        <f>INDEX(AE$75:AE$88,$D1203)/$E1203</f>
        <v/>
      </c>
      <c r="AF1203" s="36">
        <f>INDEX(AF$75:AF$88,$D1203)/$E1203</f>
        <v/>
      </c>
      <c r="AG1203" s="36">
        <f>INDEX(AG$75:AG$88,$D1203)/$E1203</f>
        <v/>
      </c>
      <c r="AH1203" s="36">
        <f>INDEX(AH$75:AH$88,$D1203)/$E1203</f>
        <v/>
      </c>
      <c r="AI1203" s="36">
        <f>INDEX(AI$75:AI$88,$D1203)/$E1203</f>
        <v/>
      </c>
      <c r="AJ1203" s="36">
        <f>INDEX(AJ$75:AJ$88,$D1203)/$E1203</f>
        <v/>
      </c>
      <c r="AK1203" s="36">
        <f>INDEX(AK$75:AK$88,$D1203)/$E1203</f>
        <v/>
      </c>
      <c r="AL1203" s="36">
        <f>INDEX(AL$75:AL$88,$D1203)/$E1203</f>
        <v/>
      </c>
      <c r="AM1203" s="36">
        <f>INDEX(AM$75:AM$88,$D1203)/$E1203</f>
        <v/>
      </c>
      <c r="AN1203" s="36">
        <f>INDEX(AN$75:AN$88,$D1203)/$E1203</f>
        <v/>
      </c>
    </row>
    <row r="1204" hidden="1" outlineLevel="2">
      <c r="A1204" s="5" t="inlineStr">
        <is>
          <t>ntx</t>
        </is>
      </c>
      <c r="B1204" s="5" t="inlineStr">
        <is>
          <t>oop</t>
        </is>
      </c>
      <c r="C1204" s="5" t="inlineStr">
        <is>
          <t>ftr</t>
        </is>
      </c>
      <c r="D1204" s="36">
        <f>INDEX(Inputs!$L$5:$L$132,MATCH($B1204&amp;"|"&amp;$C1204,Inputs!$A$5:$A$132,0))</f>
        <v/>
      </c>
      <c r="E1204" s="36">
        <f>INDEX(Inputs!$I$5:$I$132,MATCH($B1204&amp;"|"&amp;$C1204,Inputs!$A$5:$A$132,0))</f>
        <v/>
      </c>
      <c r="F1204" s="37" t="n"/>
      <c r="G1204" s="37" t="n"/>
      <c r="H1204" s="5">
        <f>INDEX(Variables!$B$5:$B$65,MATCH($A1204,Variables!$A$5:$A$65,0))&amp;IF($C1204="",""," | "&amp;INDEX(Mapping!$B$5:$B$25,MATCH($C1204,Mapping!$A$5:$A$25,0))&amp;" | "&amp;INDEX(Mapping!$B$29:$B$38,MATCH($B1204,Mapping!$A$29:$A$38,0)))</f>
        <v/>
      </c>
      <c r="I1204" s="5">
        <f>INDEX(Variables!$C$5:$C$65,MATCH($A1204,Variables!$A$5:$A$65,0))</f>
        <v/>
      </c>
      <c r="J1204" s="5">
        <f>INDEX(Variables!$E$5:$E$65,MATCH($A1204,Variables!$A$5:$A$65,0))</f>
        <v/>
      </c>
      <c r="K1204" s="23">
        <f>LOWER(Settings!$C$4)&amp;".mit."&amp;$A1204&amp;IF($C1204="","","."&amp;$C1204&amp;"."&amp;$B1204)&amp;IF(INDEX(Variables!$D$5:$D$65,MATCH($A1204,Variables!$A$5:$A$65,0))="","","."&amp;INDEX(Variables!$D$5:$D$65,MATCH($A1204,Variables!$A$5:$A$65,0)))&amp;"."&amp;K$5</f>
        <v/>
      </c>
      <c r="L1204" s="38">
        <f>INDEX(L$75:L$88,$D1204)/$E1204</f>
        <v/>
      </c>
      <c r="M1204" s="36">
        <f>INDEX(M$75:M$88,$D1204)/$E1204</f>
        <v/>
      </c>
      <c r="N1204" s="36">
        <f>INDEX(N$75:N$88,$D1204)/$E1204</f>
        <v/>
      </c>
      <c r="O1204" s="36">
        <f>INDEX(O$75:O$88,$D1204)/$E1204</f>
        <v/>
      </c>
      <c r="P1204" s="36">
        <f>INDEX(P$75:P$88,$D1204)/$E1204</f>
        <v/>
      </c>
      <c r="Q1204" s="36">
        <f>INDEX(Q$75:Q$88,$D1204)/$E1204</f>
        <v/>
      </c>
      <c r="R1204" s="36">
        <f>INDEX(R$75:R$88,$D1204)/$E1204</f>
        <v/>
      </c>
      <c r="S1204" s="36">
        <f>INDEX(S$75:S$88,$D1204)/$E1204</f>
        <v/>
      </c>
      <c r="T1204" s="36">
        <f>INDEX(T$75:T$88,$D1204)/$E1204</f>
        <v/>
      </c>
      <c r="U1204" s="36">
        <f>INDEX(U$75:U$88,$D1204)/$E1204</f>
        <v/>
      </c>
      <c r="V1204" s="36">
        <f>INDEX(V$75:V$88,$D1204)/$E1204</f>
        <v/>
      </c>
      <c r="W1204" s="36">
        <f>INDEX(W$75:W$88,$D1204)/$E1204</f>
        <v/>
      </c>
      <c r="X1204" s="36">
        <f>INDEX(X$75:X$88,$D1204)/$E1204</f>
        <v/>
      </c>
      <c r="Y1204" s="36">
        <f>INDEX(Y$75:Y$88,$D1204)/$E1204</f>
        <v/>
      </c>
      <c r="Z1204" s="23">
        <f>LOWER(Settings!$C$4)&amp;".mit."&amp;$A1204&amp;IF($C1204="","","."&amp;$C1204&amp;"."&amp;$B1204)&amp;IF(INDEX(Variables!$D$5:$D$65,MATCH($A1204,Variables!$A$5:$A$65,0))="","","."&amp;INDEX(Variables!$D$5:$D$65,MATCH($A1204,Variables!$A$5:$A$65,0)))&amp;"."&amp;Z$5</f>
        <v/>
      </c>
      <c r="AA1204" s="38">
        <f>INDEX(AA$75:AA$88,$D1204)/$E1204</f>
        <v/>
      </c>
      <c r="AB1204" s="36">
        <f>INDEX(AB$75:AB$88,$D1204)/$E1204</f>
        <v/>
      </c>
      <c r="AC1204" s="36">
        <f>INDEX(AC$75:AC$88,$D1204)/$E1204</f>
        <v/>
      </c>
      <c r="AD1204" s="36">
        <f>INDEX(AD$75:AD$88,$D1204)/$E1204</f>
        <v/>
      </c>
      <c r="AE1204" s="36">
        <f>INDEX(AE$75:AE$88,$D1204)/$E1204</f>
        <v/>
      </c>
      <c r="AF1204" s="36">
        <f>INDEX(AF$75:AF$88,$D1204)/$E1204</f>
        <v/>
      </c>
      <c r="AG1204" s="36">
        <f>INDEX(AG$75:AG$88,$D1204)/$E1204</f>
        <v/>
      </c>
      <c r="AH1204" s="36">
        <f>INDEX(AH$75:AH$88,$D1204)/$E1204</f>
        <v/>
      </c>
      <c r="AI1204" s="36">
        <f>INDEX(AI$75:AI$88,$D1204)/$E1204</f>
        <v/>
      </c>
      <c r="AJ1204" s="36">
        <f>INDEX(AJ$75:AJ$88,$D1204)/$E1204</f>
        <v/>
      </c>
      <c r="AK1204" s="36">
        <f>INDEX(AK$75:AK$88,$D1204)/$E1204</f>
        <v/>
      </c>
      <c r="AL1204" s="36">
        <f>INDEX(AL$75:AL$88,$D1204)/$E1204</f>
        <v/>
      </c>
      <c r="AM1204" s="36">
        <f>INDEX(AM$75:AM$88,$D1204)/$E1204</f>
        <v/>
      </c>
      <c r="AN1204" s="36">
        <f>INDEX(AN$75:AN$88,$D1204)/$E1204</f>
        <v/>
      </c>
    </row>
    <row r="1205" hidden="1" outlineLevel="2">
      <c r="A1205" s="5" t="inlineStr">
        <is>
          <t>ntx</t>
        </is>
      </c>
      <c r="B1205" s="5" t="inlineStr">
        <is>
          <t>bio</t>
        </is>
      </c>
      <c r="C1205" s="5" t="inlineStr">
        <is>
          <t>ftr</t>
        </is>
      </c>
      <c r="D1205" s="36">
        <f>INDEX(Inputs!$L$5:$L$132,MATCH($B1205&amp;"|"&amp;$C1205,Inputs!$A$5:$A$132,0))</f>
        <v/>
      </c>
      <c r="E1205" s="36">
        <f>INDEX(Inputs!$I$5:$I$132,MATCH($B1205&amp;"|"&amp;$C1205,Inputs!$A$5:$A$132,0))</f>
        <v/>
      </c>
      <c r="F1205" s="37" t="n"/>
      <c r="G1205" s="37" t="n"/>
      <c r="H1205" s="5">
        <f>INDEX(Variables!$B$5:$B$65,MATCH($A1205,Variables!$A$5:$A$65,0))&amp;IF($C1205="",""," | "&amp;INDEX(Mapping!$B$5:$B$25,MATCH($C1205,Mapping!$A$5:$A$25,0))&amp;" | "&amp;INDEX(Mapping!$B$29:$B$38,MATCH($B1205,Mapping!$A$29:$A$38,0)))</f>
        <v/>
      </c>
      <c r="I1205" s="5">
        <f>INDEX(Variables!$C$5:$C$65,MATCH($A1205,Variables!$A$5:$A$65,0))</f>
        <v/>
      </c>
      <c r="J1205" s="5">
        <f>INDEX(Variables!$E$5:$E$65,MATCH($A1205,Variables!$A$5:$A$65,0))</f>
        <v/>
      </c>
      <c r="K1205" s="23">
        <f>LOWER(Settings!$C$4)&amp;".mit."&amp;$A1205&amp;IF($C1205="","","."&amp;$C1205&amp;"."&amp;$B1205)&amp;IF(INDEX(Variables!$D$5:$D$65,MATCH($A1205,Variables!$A$5:$A$65,0))="","","."&amp;INDEX(Variables!$D$5:$D$65,MATCH($A1205,Variables!$A$5:$A$65,0)))&amp;"."&amp;K$5</f>
        <v/>
      </c>
      <c r="L1205" s="38">
        <f>INDEX(L$75:L$88,$D1205)/$E1205</f>
        <v/>
      </c>
      <c r="M1205" s="36">
        <f>INDEX(M$75:M$88,$D1205)/$E1205</f>
        <v/>
      </c>
      <c r="N1205" s="36">
        <f>INDEX(N$75:N$88,$D1205)/$E1205</f>
        <v/>
      </c>
      <c r="O1205" s="36">
        <f>INDEX(O$75:O$88,$D1205)/$E1205</f>
        <v/>
      </c>
      <c r="P1205" s="36">
        <f>INDEX(P$75:P$88,$D1205)/$E1205</f>
        <v/>
      </c>
      <c r="Q1205" s="36">
        <f>INDEX(Q$75:Q$88,$D1205)/$E1205</f>
        <v/>
      </c>
      <c r="R1205" s="36">
        <f>INDEX(R$75:R$88,$D1205)/$E1205</f>
        <v/>
      </c>
      <c r="S1205" s="36">
        <f>INDEX(S$75:S$88,$D1205)/$E1205</f>
        <v/>
      </c>
      <c r="T1205" s="36">
        <f>INDEX(T$75:T$88,$D1205)/$E1205</f>
        <v/>
      </c>
      <c r="U1205" s="36">
        <f>INDEX(U$75:U$88,$D1205)/$E1205</f>
        <v/>
      </c>
      <c r="V1205" s="36">
        <f>INDEX(V$75:V$88,$D1205)/$E1205</f>
        <v/>
      </c>
      <c r="W1205" s="36">
        <f>INDEX(W$75:W$88,$D1205)/$E1205</f>
        <v/>
      </c>
      <c r="X1205" s="36">
        <f>INDEX(X$75:X$88,$D1205)/$E1205</f>
        <v/>
      </c>
      <c r="Y1205" s="36">
        <f>INDEX(Y$75:Y$88,$D1205)/$E1205</f>
        <v/>
      </c>
      <c r="Z1205" s="23">
        <f>LOWER(Settings!$C$4)&amp;".mit."&amp;$A1205&amp;IF($C1205="","","."&amp;$C1205&amp;"."&amp;$B1205)&amp;IF(INDEX(Variables!$D$5:$D$65,MATCH($A1205,Variables!$A$5:$A$65,0))="","","."&amp;INDEX(Variables!$D$5:$D$65,MATCH($A1205,Variables!$A$5:$A$65,0)))&amp;"."&amp;Z$5</f>
        <v/>
      </c>
      <c r="AA1205" s="38">
        <f>INDEX(AA$75:AA$88,$D1205)/$E1205</f>
        <v/>
      </c>
      <c r="AB1205" s="36">
        <f>INDEX(AB$75:AB$88,$D1205)/$E1205</f>
        <v/>
      </c>
      <c r="AC1205" s="36">
        <f>INDEX(AC$75:AC$88,$D1205)/$E1205</f>
        <v/>
      </c>
      <c r="AD1205" s="36">
        <f>INDEX(AD$75:AD$88,$D1205)/$E1205</f>
        <v/>
      </c>
      <c r="AE1205" s="36">
        <f>INDEX(AE$75:AE$88,$D1205)/$E1205</f>
        <v/>
      </c>
      <c r="AF1205" s="36">
        <f>INDEX(AF$75:AF$88,$D1205)/$E1205</f>
        <v/>
      </c>
      <c r="AG1205" s="36">
        <f>INDEX(AG$75:AG$88,$D1205)/$E1205</f>
        <v/>
      </c>
      <c r="AH1205" s="36">
        <f>INDEX(AH$75:AH$88,$D1205)/$E1205</f>
        <v/>
      </c>
      <c r="AI1205" s="36">
        <f>INDEX(AI$75:AI$88,$D1205)/$E1205</f>
        <v/>
      </c>
      <c r="AJ1205" s="36">
        <f>INDEX(AJ$75:AJ$88,$D1205)/$E1205</f>
        <v/>
      </c>
      <c r="AK1205" s="36">
        <f>INDEX(AK$75:AK$88,$D1205)/$E1205</f>
        <v/>
      </c>
      <c r="AL1205" s="36">
        <f>INDEX(AL$75:AL$88,$D1205)/$E1205</f>
        <v/>
      </c>
      <c r="AM1205" s="36">
        <f>INDEX(AM$75:AM$88,$D1205)/$E1205</f>
        <v/>
      </c>
      <c r="AN1205" s="36">
        <f>INDEX(AN$75:AN$88,$D1205)/$E1205</f>
        <v/>
      </c>
    </row>
    <row r="1206" hidden="1" outlineLevel="2"/>
    <row r="1207" hidden="1" outlineLevel="2">
      <c r="A1207" s="5" t="inlineStr">
        <is>
          <t>nce</t>
        </is>
      </c>
      <c r="B1207" s="5" t="inlineStr">
        <is>
          <t>coa</t>
        </is>
      </c>
      <c r="C1207" s="5" t="inlineStr">
        <is>
          <t>ftr</t>
        </is>
      </c>
      <c r="D1207" s="37" t="n"/>
      <c r="E1207" s="37" t="n"/>
      <c r="F1207" s="37" t="n"/>
      <c r="G1207" s="37" t="n"/>
      <c r="H1207" s="5">
        <f>INDEX(Variables!$B$5:$B$65,MATCH($A1207,Variables!$A$5:$A$65,0))&amp;IF($C1207="",""," | "&amp;INDEX(Mapping!$B$5:$B$25,MATCH($C1207,Mapping!$A$5:$A$25,0))&amp;" | "&amp;INDEX(Mapping!$B$29:$B$38,MATCH($B1207,Mapping!$A$29:$A$38,0)))</f>
        <v/>
      </c>
      <c r="I1207" s="5">
        <f>INDEX(Variables!$C$5:$C$65,MATCH($A1207,Variables!$A$5:$A$65,0))</f>
        <v/>
      </c>
      <c r="J1207" s="5">
        <f>INDEX(Variables!$E$5:$E$65,MATCH($A1207,Variables!$A$5:$A$65,0))</f>
        <v/>
      </c>
      <c r="K1207" s="23">
        <f>LOWER(Settings!$C$4)&amp;".mit."&amp;$A1207&amp;IF($C1207="","","."&amp;$C1207&amp;"."&amp;$B1207)&amp;IF(INDEX(Variables!$D$5:$D$65,MATCH($A1207,Variables!$A$5:$A$65,0))="","","."&amp;INDEX(Variables!$D$5:$D$65,MATCH($A1207,Variables!$A$5:$A$65,0)))&amp;"."&amp;K$5</f>
        <v/>
      </c>
      <c r="L1207" s="38">
        <f>L1189+L1198</f>
        <v/>
      </c>
      <c r="M1207" s="36">
        <f>M1189+M1198</f>
        <v/>
      </c>
      <c r="N1207" s="36">
        <f>N1189+N1198</f>
        <v/>
      </c>
      <c r="O1207" s="36">
        <f>O1189+O1198</f>
        <v/>
      </c>
      <c r="P1207" s="36">
        <f>P1189+P1198</f>
        <v/>
      </c>
      <c r="Q1207" s="36">
        <f>Q1189+Q1198</f>
        <v/>
      </c>
      <c r="R1207" s="36">
        <f>R1189+R1198</f>
        <v/>
      </c>
      <c r="S1207" s="36">
        <f>S1189+S1198</f>
        <v/>
      </c>
      <c r="T1207" s="36">
        <f>T1189+T1198</f>
        <v/>
      </c>
      <c r="U1207" s="36">
        <f>U1189+U1198</f>
        <v/>
      </c>
      <c r="V1207" s="36">
        <f>V1189+V1198</f>
        <v/>
      </c>
      <c r="W1207" s="36">
        <f>W1189+W1198</f>
        <v/>
      </c>
      <c r="X1207" s="36">
        <f>X1189+X1198</f>
        <v/>
      </c>
      <c r="Y1207" s="36">
        <f>Y1189+Y1198</f>
        <v/>
      </c>
      <c r="Z1207" s="23">
        <f>LOWER(Settings!$C$4)&amp;".mit."&amp;$A1207&amp;IF($C1207="","","."&amp;$C1207&amp;"."&amp;$B1207)&amp;IF(INDEX(Variables!$D$5:$D$65,MATCH($A1207,Variables!$A$5:$A$65,0))="","","."&amp;INDEX(Variables!$D$5:$D$65,MATCH($A1207,Variables!$A$5:$A$65,0)))&amp;"."&amp;Z$5</f>
        <v/>
      </c>
      <c r="AA1207" s="38">
        <f>AA1189+AA1198</f>
        <v/>
      </c>
      <c r="AB1207" s="36">
        <f>AB1189+AB1198</f>
        <v/>
      </c>
      <c r="AC1207" s="36">
        <f>AC1189+AC1198</f>
        <v/>
      </c>
      <c r="AD1207" s="36">
        <f>AD1189+AD1198</f>
        <v/>
      </c>
      <c r="AE1207" s="36">
        <f>AE1189+AE1198</f>
        <v/>
      </c>
      <c r="AF1207" s="36">
        <f>AF1189+AF1198</f>
        <v/>
      </c>
      <c r="AG1207" s="36">
        <f>AG1189+AG1198</f>
        <v/>
      </c>
      <c r="AH1207" s="36">
        <f>AH1189+AH1198</f>
        <v/>
      </c>
      <c r="AI1207" s="36">
        <f>AI1189+AI1198</f>
        <v/>
      </c>
      <c r="AJ1207" s="36">
        <f>AJ1189+AJ1198</f>
        <v/>
      </c>
      <c r="AK1207" s="36">
        <f>AK1189+AK1198</f>
        <v/>
      </c>
      <c r="AL1207" s="36">
        <f>AL1189+AL1198</f>
        <v/>
      </c>
      <c r="AM1207" s="36">
        <f>AM1189+AM1198</f>
        <v/>
      </c>
      <c r="AN1207" s="36">
        <f>AN1189+AN1198</f>
        <v/>
      </c>
    </row>
    <row r="1208" hidden="1" outlineLevel="2">
      <c r="A1208" s="5" t="inlineStr">
        <is>
          <t>nce</t>
        </is>
      </c>
      <c r="B1208" s="5" t="inlineStr">
        <is>
          <t>nga</t>
        </is>
      </c>
      <c r="C1208" s="5" t="inlineStr">
        <is>
          <t>ftr</t>
        </is>
      </c>
      <c r="D1208" s="37" t="n"/>
      <c r="E1208" s="37" t="n"/>
      <c r="F1208" s="37" t="n"/>
      <c r="G1208" s="37" t="n"/>
      <c r="H1208" s="5">
        <f>INDEX(Variables!$B$5:$B$65,MATCH($A1208,Variables!$A$5:$A$65,0))&amp;IF($C1208="",""," | "&amp;INDEX(Mapping!$B$5:$B$25,MATCH($C1208,Mapping!$A$5:$A$25,0))&amp;" | "&amp;INDEX(Mapping!$B$29:$B$38,MATCH($B1208,Mapping!$A$29:$A$38,0)))</f>
        <v/>
      </c>
      <c r="I1208" s="5">
        <f>INDEX(Variables!$C$5:$C$65,MATCH($A1208,Variables!$A$5:$A$65,0))</f>
        <v/>
      </c>
      <c r="J1208" s="5">
        <f>INDEX(Variables!$E$5:$E$65,MATCH($A1208,Variables!$A$5:$A$65,0))</f>
        <v/>
      </c>
      <c r="K1208" s="23">
        <f>LOWER(Settings!$C$4)&amp;".mit."&amp;$A1208&amp;IF($C1208="","","."&amp;$C1208&amp;"."&amp;$B1208)&amp;IF(INDEX(Variables!$D$5:$D$65,MATCH($A1208,Variables!$A$5:$A$65,0))="","","."&amp;INDEX(Variables!$D$5:$D$65,MATCH($A1208,Variables!$A$5:$A$65,0)))&amp;"."&amp;K$5</f>
        <v/>
      </c>
      <c r="L1208" s="38">
        <f>L1190+L1199</f>
        <v/>
      </c>
      <c r="M1208" s="36">
        <f>M1190+M1199</f>
        <v/>
      </c>
      <c r="N1208" s="36">
        <f>N1190+N1199</f>
        <v/>
      </c>
      <c r="O1208" s="36">
        <f>O1190+O1199</f>
        <v/>
      </c>
      <c r="P1208" s="36">
        <f>P1190+P1199</f>
        <v/>
      </c>
      <c r="Q1208" s="36">
        <f>Q1190+Q1199</f>
        <v/>
      </c>
      <c r="R1208" s="36">
        <f>R1190+R1199</f>
        <v/>
      </c>
      <c r="S1208" s="36">
        <f>S1190+S1199</f>
        <v/>
      </c>
      <c r="T1208" s="36">
        <f>T1190+T1199</f>
        <v/>
      </c>
      <c r="U1208" s="36">
        <f>U1190+U1199</f>
        <v/>
      </c>
      <c r="V1208" s="36">
        <f>V1190+V1199</f>
        <v/>
      </c>
      <c r="W1208" s="36">
        <f>W1190+W1199</f>
        <v/>
      </c>
      <c r="X1208" s="36">
        <f>X1190+X1199</f>
        <v/>
      </c>
      <c r="Y1208" s="36">
        <f>Y1190+Y1199</f>
        <v/>
      </c>
      <c r="Z1208" s="23">
        <f>LOWER(Settings!$C$4)&amp;".mit."&amp;$A1208&amp;IF($C1208="","","."&amp;$C1208&amp;"."&amp;$B1208)&amp;IF(INDEX(Variables!$D$5:$D$65,MATCH($A1208,Variables!$A$5:$A$65,0))="","","."&amp;INDEX(Variables!$D$5:$D$65,MATCH($A1208,Variables!$A$5:$A$65,0)))&amp;"."&amp;Z$5</f>
        <v/>
      </c>
      <c r="AA1208" s="38">
        <f>AA1190+AA1199</f>
        <v/>
      </c>
      <c r="AB1208" s="36">
        <f>AB1190+AB1199</f>
        <v/>
      </c>
      <c r="AC1208" s="36">
        <f>AC1190+AC1199</f>
        <v/>
      </c>
      <c r="AD1208" s="36">
        <f>AD1190+AD1199</f>
        <v/>
      </c>
      <c r="AE1208" s="36">
        <f>AE1190+AE1199</f>
        <v/>
      </c>
      <c r="AF1208" s="36">
        <f>AF1190+AF1199</f>
        <v/>
      </c>
      <c r="AG1208" s="36">
        <f>AG1190+AG1199</f>
        <v/>
      </c>
      <c r="AH1208" s="36">
        <f>AH1190+AH1199</f>
        <v/>
      </c>
      <c r="AI1208" s="36">
        <f>AI1190+AI1199</f>
        <v/>
      </c>
      <c r="AJ1208" s="36">
        <f>AJ1190+AJ1199</f>
        <v/>
      </c>
      <c r="AK1208" s="36">
        <f>AK1190+AK1199</f>
        <v/>
      </c>
      <c r="AL1208" s="36">
        <f>AL1190+AL1199</f>
        <v/>
      </c>
      <c r="AM1208" s="36">
        <f>AM1190+AM1199</f>
        <v/>
      </c>
      <c r="AN1208" s="36">
        <f>AN1190+AN1199</f>
        <v/>
      </c>
    </row>
    <row r="1209" hidden="1" outlineLevel="2">
      <c r="A1209" s="5" t="inlineStr">
        <is>
          <t>nce</t>
        </is>
      </c>
      <c r="B1209" s="5" t="inlineStr">
        <is>
          <t>gso</t>
        </is>
      </c>
      <c r="C1209" s="5" t="inlineStr">
        <is>
          <t>ftr</t>
        </is>
      </c>
      <c r="D1209" s="37" t="n"/>
      <c r="E1209" s="37" t="n"/>
      <c r="F1209" s="37" t="n"/>
      <c r="G1209" s="37" t="n"/>
      <c r="H1209" s="5">
        <f>INDEX(Variables!$B$5:$B$65,MATCH($A1209,Variables!$A$5:$A$65,0))&amp;IF($C1209="",""," | "&amp;INDEX(Mapping!$B$5:$B$25,MATCH($C1209,Mapping!$A$5:$A$25,0))&amp;" | "&amp;INDEX(Mapping!$B$29:$B$38,MATCH($B1209,Mapping!$A$29:$A$38,0)))</f>
        <v/>
      </c>
      <c r="I1209" s="5">
        <f>INDEX(Variables!$C$5:$C$65,MATCH($A1209,Variables!$A$5:$A$65,0))</f>
        <v/>
      </c>
      <c r="J1209" s="5">
        <f>INDEX(Variables!$E$5:$E$65,MATCH($A1209,Variables!$A$5:$A$65,0))</f>
        <v/>
      </c>
      <c r="K1209" s="23">
        <f>LOWER(Settings!$C$4)&amp;".mit."&amp;$A1209&amp;IF($C1209="","","."&amp;$C1209&amp;"."&amp;$B1209)&amp;IF(INDEX(Variables!$D$5:$D$65,MATCH($A1209,Variables!$A$5:$A$65,0))="","","."&amp;INDEX(Variables!$D$5:$D$65,MATCH($A1209,Variables!$A$5:$A$65,0)))&amp;"."&amp;K$5</f>
        <v/>
      </c>
      <c r="L1209" s="38">
        <f>L1191+L1200</f>
        <v/>
      </c>
      <c r="M1209" s="36">
        <f>M1191+M1200</f>
        <v/>
      </c>
      <c r="N1209" s="36">
        <f>N1191+N1200</f>
        <v/>
      </c>
      <c r="O1209" s="36">
        <f>O1191+O1200</f>
        <v/>
      </c>
      <c r="P1209" s="36">
        <f>P1191+P1200</f>
        <v/>
      </c>
      <c r="Q1209" s="36">
        <f>Q1191+Q1200</f>
        <v/>
      </c>
      <c r="R1209" s="36">
        <f>R1191+R1200</f>
        <v/>
      </c>
      <c r="S1209" s="36">
        <f>S1191+S1200</f>
        <v/>
      </c>
      <c r="T1209" s="36">
        <f>T1191+T1200</f>
        <v/>
      </c>
      <c r="U1209" s="36">
        <f>U1191+U1200</f>
        <v/>
      </c>
      <c r="V1209" s="36">
        <f>V1191+V1200</f>
        <v/>
      </c>
      <c r="W1209" s="36">
        <f>W1191+W1200</f>
        <v/>
      </c>
      <c r="X1209" s="36">
        <f>X1191+X1200</f>
        <v/>
      </c>
      <c r="Y1209" s="36">
        <f>Y1191+Y1200</f>
        <v/>
      </c>
      <c r="Z1209" s="23">
        <f>LOWER(Settings!$C$4)&amp;".mit."&amp;$A1209&amp;IF($C1209="","","."&amp;$C1209&amp;"."&amp;$B1209)&amp;IF(INDEX(Variables!$D$5:$D$65,MATCH($A1209,Variables!$A$5:$A$65,0))="","","."&amp;INDEX(Variables!$D$5:$D$65,MATCH($A1209,Variables!$A$5:$A$65,0)))&amp;"."&amp;Z$5</f>
        <v/>
      </c>
      <c r="AA1209" s="38">
        <f>AA1191+AA1200</f>
        <v/>
      </c>
      <c r="AB1209" s="36">
        <f>AB1191+AB1200</f>
        <v/>
      </c>
      <c r="AC1209" s="36">
        <f>AC1191+AC1200</f>
        <v/>
      </c>
      <c r="AD1209" s="36">
        <f>AD1191+AD1200</f>
        <v/>
      </c>
      <c r="AE1209" s="36">
        <f>AE1191+AE1200</f>
        <v/>
      </c>
      <c r="AF1209" s="36">
        <f>AF1191+AF1200</f>
        <v/>
      </c>
      <c r="AG1209" s="36">
        <f>AG1191+AG1200</f>
        <v/>
      </c>
      <c r="AH1209" s="36">
        <f>AH1191+AH1200</f>
        <v/>
      </c>
      <c r="AI1209" s="36">
        <f>AI1191+AI1200</f>
        <v/>
      </c>
      <c r="AJ1209" s="36">
        <f>AJ1191+AJ1200</f>
        <v/>
      </c>
      <c r="AK1209" s="36">
        <f>AK1191+AK1200</f>
        <v/>
      </c>
      <c r="AL1209" s="36">
        <f>AL1191+AL1200</f>
        <v/>
      </c>
      <c r="AM1209" s="36">
        <f>AM1191+AM1200</f>
        <v/>
      </c>
      <c r="AN1209" s="36">
        <f>AN1191+AN1200</f>
        <v/>
      </c>
    </row>
    <row r="1210" hidden="1" outlineLevel="2">
      <c r="A1210" s="5" t="inlineStr">
        <is>
          <t>nce</t>
        </is>
      </c>
      <c r="B1210" s="5" t="inlineStr">
        <is>
          <t>die</t>
        </is>
      </c>
      <c r="C1210" s="5" t="inlineStr">
        <is>
          <t>ftr</t>
        </is>
      </c>
      <c r="D1210" s="37" t="n"/>
      <c r="E1210" s="37" t="n"/>
      <c r="F1210" s="37" t="n"/>
      <c r="G1210" s="37" t="n"/>
      <c r="H1210" s="5">
        <f>INDEX(Variables!$B$5:$B$65,MATCH($A1210,Variables!$A$5:$A$65,0))&amp;IF($C1210="",""," | "&amp;INDEX(Mapping!$B$5:$B$25,MATCH($C1210,Mapping!$A$5:$A$25,0))&amp;" | "&amp;INDEX(Mapping!$B$29:$B$38,MATCH($B1210,Mapping!$A$29:$A$38,0)))</f>
        <v/>
      </c>
      <c r="I1210" s="5">
        <f>INDEX(Variables!$C$5:$C$65,MATCH($A1210,Variables!$A$5:$A$65,0))</f>
        <v/>
      </c>
      <c r="J1210" s="5">
        <f>INDEX(Variables!$E$5:$E$65,MATCH($A1210,Variables!$A$5:$A$65,0))</f>
        <v/>
      </c>
      <c r="K1210" s="23">
        <f>LOWER(Settings!$C$4)&amp;".mit."&amp;$A1210&amp;IF($C1210="","","."&amp;$C1210&amp;"."&amp;$B1210)&amp;IF(INDEX(Variables!$D$5:$D$65,MATCH($A1210,Variables!$A$5:$A$65,0))="","","."&amp;INDEX(Variables!$D$5:$D$65,MATCH($A1210,Variables!$A$5:$A$65,0)))&amp;"."&amp;K$5</f>
        <v/>
      </c>
      <c r="L1210" s="38">
        <f>L1192+L1201</f>
        <v/>
      </c>
      <c r="M1210" s="36">
        <f>M1192+M1201</f>
        <v/>
      </c>
      <c r="N1210" s="36">
        <f>N1192+N1201</f>
        <v/>
      </c>
      <c r="O1210" s="36">
        <f>O1192+O1201</f>
        <v/>
      </c>
      <c r="P1210" s="36">
        <f>P1192+P1201</f>
        <v/>
      </c>
      <c r="Q1210" s="36">
        <f>Q1192+Q1201</f>
        <v/>
      </c>
      <c r="R1210" s="36">
        <f>R1192+R1201</f>
        <v/>
      </c>
      <c r="S1210" s="36">
        <f>S1192+S1201</f>
        <v/>
      </c>
      <c r="T1210" s="36">
        <f>T1192+T1201</f>
        <v/>
      </c>
      <c r="U1210" s="36">
        <f>U1192+U1201</f>
        <v/>
      </c>
      <c r="V1210" s="36">
        <f>V1192+V1201</f>
        <v/>
      </c>
      <c r="W1210" s="36">
        <f>W1192+W1201</f>
        <v/>
      </c>
      <c r="X1210" s="36">
        <f>X1192+X1201</f>
        <v/>
      </c>
      <c r="Y1210" s="36">
        <f>Y1192+Y1201</f>
        <v/>
      </c>
      <c r="Z1210" s="23">
        <f>LOWER(Settings!$C$4)&amp;".mit."&amp;$A1210&amp;IF($C1210="","","."&amp;$C1210&amp;"."&amp;$B1210)&amp;IF(INDEX(Variables!$D$5:$D$65,MATCH($A1210,Variables!$A$5:$A$65,0))="","","."&amp;INDEX(Variables!$D$5:$D$65,MATCH($A1210,Variables!$A$5:$A$65,0)))&amp;"."&amp;Z$5</f>
        <v/>
      </c>
      <c r="AA1210" s="38">
        <f>AA1192+AA1201</f>
        <v/>
      </c>
      <c r="AB1210" s="36">
        <f>AB1192+AB1201</f>
        <v/>
      </c>
      <c r="AC1210" s="36">
        <f>AC1192+AC1201</f>
        <v/>
      </c>
      <c r="AD1210" s="36">
        <f>AD1192+AD1201</f>
        <v/>
      </c>
      <c r="AE1210" s="36">
        <f>AE1192+AE1201</f>
        <v/>
      </c>
      <c r="AF1210" s="36">
        <f>AF1192+AF1201</f>
        <v/>
      </c>
      <c r="AG1210" s="36">
        <f>AG1192+AG1201</f>
        <v/>
      </c>
      <c r="AH1210" s="36">
        <f>AH1192+AH1201</f>
        <v/>
      </c>
      <c r="AI1210" s="36">
        <f>AI1192+AI1201</f>
        <v/>
      </c>
      <c r="AJ1210" s="36">
        <f>AJ1192+AJ1201</f>
        <v/>
      </c>
      <c r="AK1210" s="36">
        <f>AK1192+AK1201</f>
        <v/>
      </c>
      <c r="AL1210" s="36">
        <f>AL1192+AL1201</f>
        <v/>
      </c>
      <c r="AM1210" s="36">
        <f>AM1192+AM1201</f>
        <v/>
      </c>
      <c r="AN1210" s="36">
        <f>AN1192+AN1201</f>
        <v/>
      </c>
    </row>
    <row r="1211" hidden="1" outlineLevel="2">
      <c r="A1211" s="5" t="inlineStr">
        <is>
          <t>nce</t>
        </is>
      </c>
      <c r="B1211" s="5" t="inlineStr">
        <is>
          <t>lpg</t>
        </is>
      </c>
      <c r="C1211" s="5" t="inlineStr">
        <is>
          <t>ftr</t>
        </is>
      </c>
      <c r="D1211" s="37" t="n"/>
      <c r="E1211" s="37" t="n"/>
      <c r="F1211" s="37" t="n"/>
      <c r="G1211" s="37" t="n"/>
      <c r="H1211" s="5">
        <f>INDEX(Variables!$B$5:$B$65,MATCH($A1211,Variables!$A$5:$A$65,0))&amp;IF($C1211="",""," | "&amp;INDEX(Mapping!$B$5:$B$25,MATCH($C1211,Mapping!$A$5:$A$25,0))&amp;" | "&amp;INDEX(Mapping!$B$29:$B$38,MATCH($B1211,Mapping!$A$29:$A$38,0)))</f>
        <v/>
      </c>
      <c r="I1211" s="5">
        <f>INDEX(Variables!$C$5:$C$65,MATCH($A1211,Variables!$A$5:$A$65,0))</f>
        <v/>
      </c>
      <c r="J1211" s="5">
        <f>INDEX(Variables!$E$5:$E$65,MATCH($A1211,Variables!$A$5:$A$65,0))</f>
        <v/>
      </c>
      <c r="K1211" s="23">
        <f>LOWER(Settings!$C$4)&amp;".mit."&amp;$A1211&amp;IF($C1211="","","."&amp;$C1211&amp;"."&amp;$B1211)&amp;IF(INDEX(Variables!$D$5:$D$65,MATCH($A1211,Variables!$A$5:$A$65,0))="","","."&amp;INDEX(Variables!$D$5:$D$65,MATCH($A1211,Variables!$A$5:$A$65,0)))&amp;"."&amp;K$5</f>
        <v/>
      </c>
      <c r="L1211" s="38">
        <f>L1193+L1202</f>
        <v/>
      </c>
      <c r="M1211" s="36">
        <f>M1193+M1202</f>
        <v/>
      </c>
      <c r="N1211" s="36">
        <f>N1193+N1202</f>
        <v/>
      </c>
      <c r="O1211" s="36">
        <f>O1193+O1202</f>
        <v/>
      </c>
      <c r="P1211" s="36">
        <f>P1193+P1202</f>
        <v/>
      </c>
      <c r="Q1211" s="36">
        <f>Q1193+Q1202</f>
        <v/>
      </c>
      <c r="R1211" s="36">
        <f>R1193+R1202</f>
        <v/>
      </c>
      <c r="S1211" s="36">
        <f>S1193+S1202</f>
        <v/>
      </c>
      <c r="T1211" s="36">
        <f>T1193+T1202</f>
        <v/>
      </c>
      <c r="U1211" s="36">
        <f>U1193+U1202</f>
        <v/>
      </c>
      <c r="V1211" s="36">
        <f>V1193+V1202</f>
        <v/>
      </c>
      <c r="W1211" s="36">
        <f>W1193+W1202</f>
        <v/>
      </c>
      <c r="X1211" s="36">
        <f>X1193+X1202</f>
        <v/>
      </c>
      <c r="Y1211" s="36">
        <f>Y1193+Y1202</f>
        <v/>
      </c>
      <c r="Z1211" s="23">
        <f>LOWER(Settings!$C$4)&amp;".mit."&amp;$A1211&amp;IF($C1211="","","."&amp;$C1211&amp;"."&amp;$B1211)&amp;IF(INDEX(Variables!$D$5:$D$65,MATCH($A1211,Variables!$A$5:$A$65,0))="","","."&amp;INDEX(Variables!$D$5:$D$65,MATCH($A1211,Variables!$A$5:$A$65,0)))&amp;"."&amp;Z$5</f>
        <v/>
      </c>
      <c r="AA1211" s="38">
        <f>AA1193+AA1202</f>
        <v/>
      </c>
      <c r="AB1211" s="36">
        <f>AB1193+AB1202</f>
        <v/>
      </c>
      <c r="AC1211" s="36">
        <f>AC1193+AC1202</f>
        <v/>
      </c>
      <c r="AD1211" s="36">
        <f>AD1193+AD1202</f>
        <v/>
      </c>
      <c r="AE1211" s="36">
        <f>AE1193+AE1202</f>
        <v/>
      </c>
      <c r="AF1211" s="36">
        <f>AF1193+AF1202</f>
        <v/>
      </c>
      <c r="AG1211" s="36">
        <f>AG1193+AG1202</f>
        <v/>
      </c>
      <c r="AH1211" s="36">
        <f>AH1193+AH1202</f>
        <v/>
      </c>
      <c r="AI1211" s="36">
        <f>AI1193+AI1202</f>
        <v/>
      </c>
      <c r="AJ1211" s="36">
        <f>AJ1193+AJ1202</f>
        <v/>
      </c>
      <c r="AK1211" s="36">
        <f>AK1193+AK1202</f>
        <v/>
      </c>
      <c r="AL1211" s="36">
        <f>AL1193+AL1202</f>
        <v/>
      </c>
      <c r="AM1211" s="36">
        <f>AM1193+AM1202</f>
        <v/>
      </c>
      <c r="AN1211" s="36">
        <f>AN1193+AN1202</f>
        <v/>
      </c>
    </row>
    <row r="1212" hidden="1" outlineLevel="2">
      <c r="A1212" s="5" t="inlineStr">
        <is>
          <t>nce</t>
        </is>
      </c>
      <c r="B1212" s="5" t="inlineStr">
        <is>
          <t>ker</t>
        </is>
      </c>
      <c r="C1212" s="5" t="inlineStr">
        <is>
          <t>ftr</t>
        </is>
      </c>
      <c r="D1212" s="37" t="n"/>
      <c r="E1212" s="37" t="n"/>
      <c r="F1212" s="37" t="n"/>
      <c r="G1212" s="37" t="n"/>
      <c r="H1212" s="5">
        <f>INDEX(Variables!$B$5:$B$65,MATCH($A1212,Variables!$A$5:$A$65,0))&amp;IF($C1212="",""," | "&amp;INDEX(Mapping!$B$5:$B$25,MATCH($C1212,Mapping!$A$5:$A$25,0))&amp;" | "&amp;INDEX(Mapping!$B$29:$B$38,MATCH($B1212,Mapping!$A$29:$A$38,0)))</f>
        <v/>
      </c>
      <c r="I1212" s="5">
        <f>INDEX(Variables!$C$5:$C$65,MATCH($A1212,Variables!$A$5:$A$65,0))</f>
        <v/>
      </c>
      <c r="J1212" s="5">
        <f>INDEX(Variables!$E$5:$E$65,MATCH($A1212,Variables!$A$5:$A$65,0))</f>
        <v/>
      </c>
      <c r="K1212" s="23">
        <f>LOWER(Settings!$C$4)&amp;".mit."&amp;$A1212&amp;IF($C1212="","","."&amp;$C1212&amp;"."&amp;$B1212)&amp;IF(INDEX(Variables!$D$5:$D$65,MATCH($A1212,Variables!$A$5:$A$65,0))="","","."&amp;INDEX(Variables!$D$5:$D$65,MATCH($A1212,Variables!$A$5:$A$65,0)))&amp;"."&amp;K$5</f>
        <v/>
      </c>
      <c r="L1212" s="38">
        <f>L1194+L1203</f>
        <v/>
      </c>
      <c r="M1212" s="36">
        <f>M1194+M1203</f>
        <v/>
      </c>
      <c r="N1212" s="36">
        <f>N1194+N1203</f>
        <v/>
      </c>
      <c r="O1212" s="36">
        <f>O1194+O1203</f>
        <v/>
      </c>
      <c r="P1212" s="36">
        <f>P1194+P1203</f>
        <v/>
      </c>
      <c r="Q1212" s="36">
        <f>Q1194+Q1203</f>
        <v/>
      </c>
      <c r="R1212" s="36">
        <f>R1194+R1203</f>
        <v/>
      </c>
      <c r="S1212" s="36">
        <f>S1194+S1203</f>
        <v/>
      </c>
      <c r="T1212" s="36">
        <f>T1194+T1203</f>
        <v/>
      </c>
      <c r="U1212" s="36">
        <f>U1194+U1203</f>
        <v/>
      </c>
      <c r="V1212" s="36">
        <f>V1194+V1203</f>
        <v/>
      </c>
      <c r="W1212" s="36">
        <f>W1194+W1203</f>
        <v/>
      </c>
      <c r="X1212" s="36">
        <f>X1194+X1203</f>
        <v/>
      </c>
      <c r="Y1212" s="36">
        <f>Y1194+Y1203</f>
        <v/>
      </c>
      <c r="Z1212" s="23">
        <f>LOWER(Settings!$C$4)&amp;".mit."&amp;$A1212&amp;IF($C1212="","","."&amp;$C1212&amp;"."&amp;$B1212)&amp;IF(INDEX(Variables!$D$5:$D$65,MATCH($A1212,Variables!$A$5:$A$65,0))="","","."&amp;INDEX(Variables!$D$5:$D$65,MATCH($A1212,Variables!$A$5:$A$65,0)))&amp;"."&amp;Z$5</f>
        <v/>
      </c>
      <c r="AA1212" s="38">
        <f>AA1194+AA1203</f>
        <v/>
      </c>
      <c r="AB1212" s="36">
        <f>AB1194+AB1203</f>
        <v/>
      </c>
      <c r="AC1212" s="36">
        <f>AC1194+AC1203</f>
        <v/>
      </c>
      <c r="AD1212" s="36">
        <f>AD1194+AD1203</f>
        <v/>
      </c>
      <c r="AE1212" s="36">
        <f>AE1194+AE1203</f>
        <v/>
      </c>
      <c r="AF1212" s="36">
        <f>AF1194+AF1203</f>
        <v/>
      </c>
      <c r="AG1212" s="36">
        <f>AG1194+AG1203</f>
        <v/>
      </c>
      <c r="AH1212" s="36">
        <f>AH1194+AH1203</f>
        <v/>
      </c>
      <c r="AI1212" s="36">
        <f>AI1194+AI1203</f>
        <v/>
      </c>
      <c r="AJ1212" s="36">
        <f>AJ1194+AJ1203</f>
        <v/>
      </c>
      <c r="AK1212" s="36">
        <f>AK1194+AK1203</f>
        <v/>
      </c>
      <c r="AL1212" s="36">
        <f>AL1194+AL1203</f>
        <v/>
      </c>
      <c r="AM1212" s="36">
        <f>AM1194+AM1203</f>
        <v/>
      </c>
      <c r="AN1212" s="36">
        <f>AN1194+AN1203</f>
        <v/>
      </c>
    </row>
    <row r="1213" hidden="1" outlineLevel="2">
      <c r="A1213" s="5" t="inlineStr">
        <is>
          <t>nce</t>
        </is>
      </c>
      <c r="B1213" s="5" t="inlineStr">
        <is>
          <t>oop</t>
        </is>
      </c>
      <c r="C1213" s="5" t="inlineStr">
        <is>
          <t>ftr</t>
        </is>
      </c>
      <c r="D1213" s="37" t="n"/>
      <c r="E1213" s="37" t="n"/>
      <c r="F1213" s="37" t="n"/>
      <c r="G1213" s="37" t="n"/>
      <c r="H1213" s="5">
        <f>INDEX(Variables!$B$5:$B$65,MATCH($A1213,Variables!$A$5:$A$65,0))&amp;IF($C1213="",""," | "&amp;INDEX(Mapping!$B$5:$B$25,MATCH($C1213,Mapping!$A$5:$A$25,0))&amp;" | "&amp;INDEX(Mapping!$B$29:$B$38,MATCH($B1213,Mapping!$A$29:$A$38,0)))</f>
        <v/>
      </c>
      <c r="I1213" s="5">
        <f>INDEX(Variables!$C$5:$C$65,MATCH($A1213,Variables!$A$5:$A$65,0))</f>
        <v/>
      </c>
      <c r="J1213" s="5">
        <f>INDEX(Variables!$E$5:$E$65,MATCH($A1213,Variables!$A$5:$A$65,0))</f>
        <v/>
      </c>
      <c r="K1213" s="23">
        <f>LOWER(Settings!$C$4)&amp;".mit."&amp;$A1213&amp;IF($C1213="","","."&amp;$C1213&amp;"."&amp;$B1213)&amp;IF(INDEX(Variables!$D$5:$D$65,MATCH($A1213,Variables!$A$5:$A$65,0))="","","."&amp;INDEX(Variables!$D$5:$D$65,MATCH($A1213,Variables!$A$5:$A$65,0)))&amp;"."&amp;K$5</f>
        <v/>
      </c>
      <c r="L1213" s="38">
        <f>L1195+L1204</f>
        <v/>
      </c>
      <c r="M1213" s="36">
        <f>M1195+M1204</f>
        <v/>
      </c>
      <c r="N1213" s="36">
        <f>N1195+N1204</f>
        <v/>
      </c>
      <c r="O1213" s="36">
        <f>O1195+O1204</f>
        <v/>
      </c>
      <c r="P1213" s="36">
        <f>P1195+P1204</f>
        <v/>
      </c>
      <c r="Q1213" s="36">
        <f>Q1195+Q1204</f>
        <v/>
      </c>
      <c r="R1213" s="36">
        <f>R1195+R1204</f>
        <v/>
      </c>
      <c r="S1213" s="36">
        <f>S1195+S1204</f>
        <v/>
      </c>
      <c r="T1213" s="36">
        <f>T1195+T1204</f>
        <v/>
      </c>
      <c r="U1213" s="36">
        <f>U1195+U1204</f>
        <v/>
      </c>
      <c r="V1213" s="36">
        <f>V1195+V1204</f>
        <v/>
      </c>
      <c r="W1213" s="36">
        <f>W1195+W1204</f>
        <v/>
      </c>
      <c r="X1213" s="36">
        <f>X1195+X1204</f>
        <v/>
      </c>
      <c r="Y1213" s="36">
        <f>Y1195+Y1204</f>
        <v/>
      </c>
      <c r="Z1213" s="23">
        <f>LOWER(Settings!$C$4)&amp;".mit."&amp;$A1213&amp;IF($C1213="","","."&amp;$C1213&amp;"."&amp;$B1213)&amp;IF(INDEX(Variables!$D$5:$D$65,MATCH($A1213,Variables!$A$5:$A$65,0))="","","."&amp;INDEX(Variables!$D$5:$D$65,MATCH($A1213,Variables!$A$5:$A$65,0)))&amp;"."&amp;Z$5</f>
        <v/>
      </c>
      <c r="AA1213" s="38">
        <f>AA1195+AA1204</f>
        <v/>
      </c>
      <c r="AB1213" s="36">
        <f>AB1195+AB1204</f>
        <v/>
      </c>
      <c r="AC1213" s="36">
        <f>AC1195+AC1204</f>
        <v/>
      </c>
      <c r="AD1213" s="36">
        <f>AD1195+AD1204</f>
        <v/>
      </c>
      <c r="AE1213" s="36">
        <f>AE1195+AE1204</f>
        <v/>
      </c>
      <c r="AF1213" s="36">
        <f>AF1195+AF1204</f>
        <v/>
      </c>
      <c r="AG1213" s="36">
        <f>AG1195+AG1204</f>
        <v/>
      </c>
      <c r="AH1213" s="36">
        <f>AH1195+AH1204</f>
        <v/>
      </c>
      <c r="AI1213" s="36">
        <f>AI1195+AI1204</f>
        <v/>
      </c>
      <c r="AJ1213" s="36">
        <f>AJ1195+AJ1204</f>
        <v/>
      </c>
      <c r="AK1213" s="36">
        <f>AK1195+AK1204</f>
        <v/>
      </c>
      <c r="AL1213" s="36">
        <f>AL1195+AL1204</f>
        <v/>
      </c>
      <c r="AM1213" s="36">
        <f>AM1195+AM1204</f>
        <v/>
      </c>
      <c r="AN1213" s="36">
        <f>AN1195+AN1204</f>
        <v/>
      </c>
    </row>
    <row r="1214" hidden="1" outlineLevel="2">
      <c r="A1214" s="5" t="inlineStr">
        <is>
          <t>nce</t>
        </is>
      </c>
      <c r="B1214" s="5" t="inlineStr">
        <is>
          <t>bio</t>
        </is>
      </c>
      <c r="C1214" s="5" t="inlineStr">
        <is>
          <t>ftr</t>
        </is>
      </c>
      <c r="D1214" s="37" t="n"/>
      <c r="E1214" s="37" t="n"/>
      <c r="F1214" s="37" t="n"/>
      <c r="G1214" s="37" t="n"/>
      <c r="H1214" s="5">
        <f>INDEX(Variables!$B$5:$B$65,MATCH($A1214,Variables!$A$5:$A$65,0))&amp;IF($C1214="",""," | "&amp;INDEX(Mapping!$B$5:$B$25,MATCH($C1214,Mapping!$A$5:$A$25,0))&amp;" | "&amp;INDEX(Mapping!$B$29:$B$38,MATCH($B1214,Mapping!$A$29:$A$38,0)))</f>
        <v/>
      </c>
      <c r="I1214" s="5">
        <f>INDEX(Variables!$C$5:$C$65,MATCH($A1214,Variables!$A$5:$A$65,0))</f>
        <v/>
      </c>
      <c r="J1214" s="5">
        <f>INDEX(Variables!$E$5:$E$65,MATCH($A1214,Variables!$A$5:$A$65,0))</f>
        <v/>
      </c>
      <c r="K1214" s="23">
        <f>LOWER(Settings!$C$4)&amp;".mit."&amp;$A1214&amp;IF($C1214="","","."&amp;$C1214&amp;"."&amp;$B1214)&amp;IF(INDEX(Variables!$D$5:$D$65,MATCH($A1214,Variables!$A$5:$A$65,0))="","","."&amp;INDEX(Variables!$D$5:$D$65,MATCH($A1214,Variables!$A$5:$A$65,0)))&amp;"."&amp;K$5</f>
        <v/>
      </c>
      <c r="L1214" s="38">
        <f>L1196+L1205</f>
        <v/>
      </c>
      <c r="M1214" s="36">
        <f>M1196+M1205</f>
        <v/>
      </c>
      <c r="N1214" s="36">
        <f>N1196+N1205</f>
        <v/>
      </c>
      <c r="O1214" s="36">
        <f>O1196+O1205</f>
        <v/>
      </c>
      <c r="P1214" s="36">
        <f>P1196+P1205</f>
        <v/>
      </c>
      <c r="Q1214" s="36">
        <f>Q1196+Q1205</f>
        <v/>
      </c>
      <c r="R1214" s="36">
        <f>R1196+R1205</f>
        <v/>
      </c>
      <c r="S1214" s="36">
        <f>S1196+S1205</f>
        <v/>
      </c>
      <c r="T1214" s="36">
        <f>T1196+T1205</f>
        <v/>
      </c>
      <c r="U1214" s="36">
        <f>U1196+U1205</f>
        <v/>
      </c>
      <c r="V1214" s="36">
        <f>V1196+V1205</f>
        <v/>
      </c>
      <c r="W1214" s="36">
        <f>W1196+W1205</f>
        <v/>
      </c>
      <c r="X1214" s="36">
        <f>X1196+X1205</f>
        <v/>
      </c>
      <c r="Y1214" s="36">
        <f>Y1196+Y1205</f>
        <v/>
      </c>
      <c r="Z1214" s="23">
        <f>LOWER(Settings!$C$4)&amp;".mit."&amp;$A1214&amp;IF($C1214="","","."&amp;$C1214&amp;"."&amp;$B1214)&amp;IF(INDEX(Variables!$D$5:$D$65,MATCH($A1214,Variables!$A$5:$A$65,0))="","","."&amp;INDEX(Variables!$D$5:$D$65,MATCH($A1214,Variables!$A$5:$A$65,0)))&amp;"."&amp;Z$5</f>
        <v/>
      </c>
      <c r="AA1214" s="38">
        <f>AA1196+AA1205</f>
        <v/>
      </c>
      <c r="AB1214" s="36">
        <f>AB1196+AB1205</f>
        <v/>
      </c>
      <c r="AC1214" s="36">
        <f>AC1196+AC1205</f>
        <v/>
      </c>
      <c r="AD1214" s="36">
        <f>AD1196+AD1205</f>
        <v/>
      </c>
      <c r="AE1214" s="36">
        <f>AE1196+AE1205</f>
        <v/>
      </c>
      <c r="AF1214" s="36">
        <f>AF1196+AF1205</f>
        <v/>
      </c>
      <c r="AG1214" s="36">
        <f>AG1196+AG1205</f>
        <v/>
      </c>
      <c r="AH1214" s="36">
        <f>AH1196+AH1205</f>
        <v/>
      </c>
      <c r="AI1214" s="36">
        <f>AI1196+AI1205</f>
        <v/>
      </c>
      <c r="AJ1214" s="36">
        <f>AJ1196+AJ1205</f>
        <v/>
      </c>
      <c r="AK1214" s="36">
        <f>AK1196+AK1205</f>
        <v/>
      </c>
      <c r="AL1214" s="36">
        <f>AL1196+AL1205</f>
        <v/>
      </c>
      <c r="AM1214" s="36">
        <f>AM1196+AM1205</f>
        <v/>
      </c>
      <c r="AN1214" s="36">
        <f>AN1196+AN1205</f>
        <v/>
      </c>
    </row>
    <row r="1215" hidden="1" outlineLevel="2"/>
    <row r="1216" hidden="1" outlineLevel="2">
      <c r="A1216" s="5" t="inlineStr">
        <is>
          <t>tax</t>
        </is>
      </c>
      <c r="B1216" s="5" t="inlineStr">
        <is>
          <t>coa</t>
        </is>
      </c>
      <c r="C1216" s="5" t="inlineStr">
        <is>
          <t>ftr</t>
        </is>
      </c>
      <c r="D1216" s="36">
        <f>INDEX(Inputs!$T$5:$T$132,MATCH($B1216&amp;"|"&amp;$C1216,Inputs!$A$5:$A$132,0))</f>
        <v/>
      </c>
      <c r="E1216" s="37" t="n"/>
      <c r="F1216" s="37" t="n"/>
      <c r="G1216" s="37" t="n"/>
      <c r="H1216" s="5">
        <f>INDEX(Variables!$B$5:$B$65,MATCH($A1216,Variables!$A$5:$A$65,0))&amp;IF($C1216="",""," | "&amp;INDEX(Mapping!$B$5:$B$25,MATCH($C1216,Mapping!$A$5:$A$25,0))&amp;" | "&amp;INDEX(Mapping!$B$29:$B$38,MATCH($B1216,Mapping!$A$29:$A$38,0)))</f>
        <v/>
      </c>
      <c r="I1216" s="5">
        <f>INDEX(Variables!$C$5:$C$65,MATCH($A1216,Variables!$A$5:$A$65,0))</f>
        <v/>
      </c>
      <c r="J1216" s="5">
        <f>INDEX(Variables!$E$5:$E$65,MATCH($A1216,Variables!$A$5:$A$65,0))</f>
        <v/>
      </c>
      <c r="K1216" s="23">
        <f>LOWER(Settings!$C$4)&amp;".mit."&amp;$A1216&amp;IF($C1216="","","."&amp;$C1216&amp;"."&amp;$B1216)&amp;IF(INDEX(Variables!$D$5:$D$65,MATCH($A1216,Variables!$A$5:$A$65,0))="","","."&amp;INDEX(Variables!$D$5:$D$65,MATCH($A1216,Variables!$A$5:$A$65,0)))&amp;"."&amp;K$5</f>
        <v/>
      </c>
      <c r="L1216" s="38">
        <f>$D1216+L1207</f>
        <v/>
      </c>
      <c r="M1216" s="36">
        <f>$D1216+M1207</f>
        <v/>
      </c>
      <c r="N1216" s="36">
        <f>$D1216+N1207</f>
        <v/>
      </c>
      <c r="O1216" s="36">
        <f>$D1216+O1207</f>
        <v/>
      </c>
      <c r="P1216" s="36">
        <f>$D1216+P1207</f>
        <v/>
      </c>
      <c r="Q1216" s="36">
        <f>$D1216+Q1207</f>
        <v/>
      </c>
      <c r="R1216" s="36">
        <f>$D1216+R1207</f>
        <v/>
      </c>
      <c r="S1216" s="36">
        <f>$D1216+S1207</f>
        <v/>
      </c>
      <c r="T1216" s="36">
        <f>$D1216+T1207</f>
        <v/>
      </c>
      <c r="U1216" s="36">
        <f>$D1216+U1207</f>
        <v/>
      </c>
      <c r="V1216" s="36">
        <f>$D1216+V1207</f>
        <v/>
      </c>
      <c r="W1216" s="36">
        <f>$D1216+W1207</f>
        <v/>
      </c>
      <c r="X1216" s="36">
        <f>$D1216+X1207</f>
        <v/>
      </c>
      <c r="Y1216" s="39">
        <f>TAX($D1216,Y1207)</f>
        <v/>
      </c>
      <c r="Z1216" s="23">
        <f>LOWER(Settings!$C$4)&amp;".mit."&amp;$A1216&amp;IF($C1216="","","."&amp;$C1216&amp;"."&amp;$B1216)&amp;IF(INDEX(Variables!$D$5:$D$65,MATCH($A1216,Variables!$A$5:$A$65,0))="","","."&amp;INDEX(Variables!$D$5:$D$65,MATCH($A1216,Variables!$A$5:$A$65,0)))&amp;"."&amp;Z$5</f>
        <v/>
      </c>
      <c r="AA1216" s="38">
        <f>$D1216+AA1207</f>
        <v/>
      </c>
      <c r="AB1216" s="36">
        <f>$D1216+AB1207</f>
        <v/>
      </c>
      <c r="AC1216" s="36">
        <f>$D1216+AC1207</f>
        <v/>
      </c>
      <c r="AD1216" s="36">
        <f>$D1216+AD1207</f>
        <v/>
      </c>
      <c r="AE1216" s="36">
        <f>$D1216+AE1207</f>
        <v/>
      </c>
      <c r="AF1216" s="36">
        <f>$D1216+AF1207</f>
        <v/>
      </c>
      <c r="AG1216" s="36">
        <f>$D1216+AG1207</f>
        <v/>
      </c>
      <c r="AH1216" s="36">
        <f>$D1216+AH1207</f>
        <v/>
      </c>
      <c r="AI1216" s="36">
        <f>$D1216+AI1207</f>
        <v/>
      </c>
      <c r="AJ1216" s="36">
        <f>$D1216+AJ1207</f>
        <v/>
      </c>
      <c r="AK1216" s="36">
        <f>$D1216+AK1207</f>
        <v/>
      </c>
      <c r="AL1216" s="36">
        <f>$D1216+AL1207</f>
        <v/>
      </c>
      <c r="AM1216" s="36">
        <f>$D1216+AM1207</f>
        <v/>
      </c>
      <c r="AN1216" s="39">
        <f>TAX($D1216,AN1207)</f>
        <v/>
      </c>
    </row>
    <row r="1217" hidden="1" outlineLevel="2">
      <c r="A1217" s="5" t="inlineStr">
        <is>
          <t>tax</t>
        </is>
      </c>
      <c r="B1217" s="5" t="inlineStr">
        <is>
          <t>nga</t>
        </is>
      </c>
      <c r="C1217" s="5" t="inlineStr">
        <is>
          <t>ftr</t>
        </is>
      </c>
      <c r="D1217" s="36">
        <f>INDEX(Inputs!$T$5:$T$132,MATCH($B1217&amp;"|"&amp;$C1217,Inputs!$A$5:$A$132,0))</f>
        <v/>
      </c>
      <c r="E1217" s="37" t="n"/>
      <c r="F1217" s="37" t="n"/>
      <c r="G1217" s="37" t="n"/>
      <c r="H1217" s="5">
        <f>INDEX(Variables!$B$5:$B$65,MATCH($A1217,Variables!$A$5:$A$65,0))&amp;IF($C1217="",""," | "&amp;INDEX(Mapping!$B$5:$B$25,MATCH($C1217,Mapping!$A$5:$A$25,0))&amp;" | "&amp;INDEX(Mapping!$B$29:$B$38,MATCH($B1217,Mapping!$A$29:$A$38,0)))</f>
        <v/>
      </c>
      <c r="I1217" s="5">
        <f>INDEX(Variables!$C$5:$C$65,MATCH($A1217,Variables!$A$5:$A$65,0))</f>
        <v/>
      </c>
      <c r="J1217" s="5">
        <f>INDEX(Variables!$E$5:$E$65,MATCH($A1217,Variables!$A$5:$A$65,0))</f>
        <v/>
      </c>
      <c r="K1217" s="23">
        <f>LOWER(Settings!$C$4)&amp;".mit."&amp;$A1217&amp;IF($C1217="","","."&amp;$C1217&amp;"."&amp;$B1217)&amp;IF(INDEX(Variables!$D$5:$D$65,MATCH($A1217,Variables!$A$5:$A$65,0))="","","."&amp;INDEX(Variables!$D$5:$D$65,MATCH($A1217,Variables!$A$5:$A$65,0)))&amp;"."&amp;K$5</f>
        <v/>
      </c>
      <c r="L1217" s="38">
        <f>$D1217+L1208</f>
        <v/>
      </c>
      <c r="M1217" s="36">
        <f>$D1217+M1208</f>
        <v/>
      </c>
      <c r="N1217" s="36">
        <f>$D1217+N1208</f>
        <v/>
      </c>
      <c r="O1217" s="36">
        <f>$D1217+O1208</f>
        <v/>
      </c>
      <c r="P1217" s="36">
        <f>$D1217+P1208</f>
        <v/>
      </c>
      <c r="Q1217" s="36">
        <f>$D1217+Q1208</f>
        <v/>
      </c>
      <c r="R1217" s="36">
        <f>$D1217+R1208</f>
        <v/>
      </c>
      <c r="S1217" s="36">
        <f>$D1217+S1208</f>
        <v/>
      </c>
      <c r="T1217" s="36">
        <f>$D1217+T1208</f>
        <v/>
      </c>
      <c r="U1217" s="36">
        <f>$D1217+U1208</f>
        <v/>
      </c>
      <c r="V1217" s="36">
        <f>$D1217+V1208</f>
        <v/>
      </c>
      <c r="W1217" s="36">
        <f>$D1217+W1208</f>
        <v/>
      </c>
      <c r="X1217" s="36">
        <f>$D1217+X1208</f>
        <v/>
      </c>
      <c r="Y1217" s="39">
        <f>TAX($D1217,Y1208)</f>
        <v/>
      </c>
      <c r="Z1217" s="23">
        <f>LOWER(Settings!$C$4)&amp;".mit."&amp;$A1217&amp;IF($C1217="","","."&amp;$C1217&amp;"."&amp;$B1217)&amp;IF(INDEX(Variables!$D$5:$D$65,MATCH($A1217,Variables!$A$5:$A$65,0))="","","."&amp;INDEX(Variables!$D$5:$D$65,MATCH($A1217,Variables!$A$5:$A$65,0)))&amp;"."&amp;Z$5</f>
        <v/>
      </c>
      <c r="AA1217" s="38">
        <f>$D1217+AA1208</f>
        <v/>
      </c>
      <c r="AB1217" s="36">
        <f>$D1217+AB1208</f>
        <v/>
      </c>
      <c r="AC1217" s="36">
        <f>$D1217+AC1208</f>
        <v/>
      </c>
      <c r="AD1217" s="36">
        <f>$D1217+AD1208</f>
        <v/>
      </c>
      <c r="AE1217" s="36">
        <f>$D1217+AE1208</f>
        <v/>
      </c>
      <c r="AF1217" s="36">
        <f>$D1217+AF1208</f>
        <v/>
      </c>
      <c r="AG1217" s="36">
        <f>$D1217+AG1208</f>
        <v/>
      </c>
      <c r="AH1217" s="36">
        <f>$D1217+AH1208</f>
        <v/>
      </c>
      <c r="AI1217" s="36">
        <f>$D1217+AI1208</f>
        <v/>
      </c>
      <c r="AJ1217" s="36">
        <f>$D1217+AJ1208</f>
        <v/>
      </c>
      <c r="AK1217" s="36">
        <f>$D1217+AK1208</f>
        <v/>
      </c>
      <c r="AL1217" s="36">
        <f>$D1217+AL1208</f>
        <v/>
      </c>
      <c r="AM1217" s="36">
        <f>$D1217+AM1208</f>
        <v/>
      </c>
      <c r="AN1217" s="39">
        <f>TAX($D1217,AN1208)</f>
        <v/>
      </c>
    </row>
    <row r="1218" hidden="1" outlineLevel="2">
      <c r="A1218" s="5" t="inlineStr">
        <is>
          <t>tax</t>
        </is>
      </c>
      <c r="B1218" s="5" t="inlineStr">
        <is>
          <t>gso</t>
        </is>
      </c>
      <c r="C1218" s="5" t="inlineStr">
        <is>
          <t>ftr</t>
        </is>
      </c>
      <c r="D1218" s="36">
        <f>INDEX(Inputs!$T$5:$T$132,MATCH($B1218&amp;"|"&amp;$C1218,Inputs!$A$5:$A$132,0))</f>
        <v/>
      </c>
      <c r="E1218" s="37" t="n"/>
      <c r="F1218" s="37" t="n"/>
      <c r="G1218" s="37" t="n"/>
      <c r="H1218" s="5">
        <f>INDEX(Variables!$B$5:$B$65,MATCH($A1218,Variables!$A$5:$A$65,0))&amp;IF($C1218="",""," | "&amp;INDEX(Mapping!$B$5:$B$25,MATCH($C1218,Mapping!$A$5:$A$25,0))&amp;" | "&amp;INDEX(Mapping!$B$29:$B$38,MATCH($B1218,Mapping!$A$29:$A$38,0)))</f>
        <v/>
      </c>
      <c r="I1218" s="5">
        <f>INDEX(Variables!$C$5:$C$65,MATCH($A1218,Variables!$A$5:$A$65,0))</f>
        <v/>
      </c>
      <c r="J1218" s="5">
        <f>INDEX(Variables!$E$5:$E$65,MATCH($A1218,Variables!$A$5:$A$65,0))</f>
        <v/>
      </c>
      <c r="K1218" s="23">
        <f>LOWER(Settings!$C$4)&amp;".mit."&amp;$A1218&amp;IF($C1218="","","."&amp;$C1218&amp;"."&amp;$B1218)&amp;IF(INDEX(Variables!$D$5:$D$65,MATCH($A1218,Variables!$A$5:$A$65,0))="","","."&amp;INDEX(Variables!$D$5:$D$65,MATCH($A1218,Variables!$A$5:$A$65,0)))&amp;"."&amp;K$5</f>
        <v/>
      </c>
      <c r="L1218" s="38">
        <f>$D1218+L1209</f>
        <v/>
      </c>
      <c r="M1218" s="36">
        <f>$D1218+M1209</f>
        <v/>
      </c>
      <c r="N1218" s="36">
        <f>$D1218+N1209</f>
        <v/>
      </c>
      <c r="O1218" s="36">
        <f>$D1218+O1209</f>
        <v/>
      </c>
      <c r="P1218" s="36">
        <f>$D1218+P1209</f>
        <v/>
      </c>
      <c r="Q1218" s="36">
        <f>$D1218+Q1209</f>
        <v/>
      </c>
      <c r="R1218" s="36">
        <f>$D1218+R1209</f>
        <v/>
      </c>
      <c r="S1218" s="36">
        <f>$D1218+S1209</f>
        <v/>
      </c>
      <c r="T1218" s="36">
        <f>$D1218+T1209</f>
        <v/>
      </c>
      <c r="U1218" s="36">
        <f>$D1218+U1209</f>
        <v/>
      </c>
      <c r="V1218" s="36">
        <f>$D1218+V1209</f>
        <v/>
      </c>
      <c r="W1218" s="36">
        <f>$D1218+W1209</f>
        <v/>
      </c>
      <c r="X1218" s="36">
        <f>$D1218+X1209</f>
        <v/>
      </c>
      <c r="Y1218" s="39">
        <f>TAX($D1218,Y1209)</f>
        <v/>
      </c>
      <c r="Z1218" s="23">
        <f>LOWER(Settings!$C$4)&amp;".mit."&amp;$A1218&amp;IF($C1218="","","."&amp;$C1218&amp;"."&amp;$B1218)&amp;IF(INDEX(Variables!$D$5:$D$65,MATCH($A1218,Variables!$A$5:$A$65,0))="","","."&amp;INDEX(Variables!$D$5:$D$65,MATCH($A1218,Variables!$A$5:$A$65,0)))&amp;"."&amp;Z$5</f>
        <v/>
      </c>
      <c r="AA1218" s="38">
        <f>$D1218+AA1209</f>
        <v/>
      </c>
      <c r="AB1218" s="36">
        <f>$D1218+AB1209</f>
        <v/>
      </c>
      <c r="AC1218" s="36">
        <f>$D1218+AC1209</f>
        <v/>
      </c>
      <c r="AD1218" s="36">
        <f>$D1218+AD1209</f>
        <v/>
      </c>
      <c r="AE1218" s="36">
        <f>$D1218+AE1209</f>
        <v/>
      </c>
      <c r="AF1218" s="36">
        <f>$D1218+AF1209</f>
        <v/>
      </c>
      <c r="AG1218" s="36">
        <f>$D1218+AG1209</f>
        <v/>
      </c>
      <c r="AH1218" s="36">
        <f>$D1218+AH1209</f>
        <v/>
      </c>
      <c r="AI1218" s="36">
        <f>$D1218+AI1209</f>
        <v/>
      </c>
      <c r="AJ1218" s="36">
        <f>$D1218+AJ1209</f>
        <v/>
      </c>
      <c r="AK1218" s="36">
        <f>$D1218+AK1209</f>
        <v/>
      </c>
      <c r="AL1218" s="36">
        <f>$D1218+AL1209</f>
        <v/>
      </c>
      <c r="AM1218" s="36">
        <f>$D1218+AM1209</f>
        <v/>
      </c>
      <c r="AN1218" s="39">
        <f>TAX($D1218,AN1209)</f>
        <v/>
      </c>
    </row>
    <row r="1219" hidden="1" outlineLevel="2">
      <c r="A1219" s="5" t="inlineStr">
        <is>
          <t>tax</t>
        </is>
      </c>
      <c r="B1219" s="5" t="inlineStr">
        <is>
          <t>die</t>
        </is>
      </c>
      <c r="C1219" s="5" t="inlineStr">
        <is>
          <t>ftr</t>
        </is>
      </c>
      <c r="D1219" s="36">
        <f>INDEX(Inputs!$T$5:$T$132,MATCH($B1219&amp;"|"&amp;$C1219,Inputs!$A$5:$A$132,0))</f>
        <v/>
      </c>
      <c r="E1219" s="37" t="n"/>
      <c r="F1219" s="37" t="n"/>
      <c r="G1219" s="37" t="n"/>
      <c r="H1219" s="5">
        <f>INDEX(Variables!$B$5:$B$65,MATCH($A1219,Variables!$A$5:$A$65,0))&amp;IF($C1219="",""," | "&amp;INDEX(Mapping!$B$5:$B$25,MATCH($C1219,Mapping!$A$5:$A$25,0))&amp;" | "&amp;INDEX(Mapping!$B$29:$B$38,MATCH($B1219,Mapping!$A$29:$A$38,0)))</f>
        <v/>
      </c>
      <c r="I1219" s="5">
        <f>INDEX(Variables!$C$5:$C$65,MATCH($A1219,Variables!$A$5:$A$65,0))</f>
        <v/>
      </c>
      <c r="J1219" s="5">
        <f>INDEX(Variables!$E$5:$E$65,MATCH($A1219,Variables!$A$5:$A$65,0))</f>
        <v/>
      </c>
      <c r="K1219" s="23">
        <f>LOWER(Settings!$C$4)&amp;".mit."&amp;$A1219&amp;IF($C1219="","","."&amp;$C1219&amp;"."&amp;$B1219)&amp;IF(INDEX(Variables!$D$5:$D$65,MATCH($A1219,Variables!$A$5:$A$65,0))="","","."&amp;INDEX(Variables!$D$5:$D$65,MATCH($A1219,Variables!$A$5:$A$65,0)))&amp;"."&amp;K$5</f>
        <v/>
      </c>
      <c r="L1219" s="38">
        <f>$D1219+L1210</f>
        <v/>
      </c>
      <c r="M1219" s="36">
        <f>$D1219+M1210</f>
        <v/>
      </c>
      <c r="N1219" s="36">
        <f>$D1219+N1210</f>
        <v/>
      </c>
      <c r="O1219" s="36">
        <f>$D1219+O1210</f>
        <v/>
      </c>
      <c r="P1219" s="36">
        <f>$D1219+P1210</f>
        <v/>
      </c>
      <c r="Q1219" s="36">
        <f>$D1219+Q1210</f>
        <v/>
      </c>
      <c r="R1219" s="36">
        <f>$D1219+R1210</f>
        <v/>
      </c>
      <c r="S1219" s="36">
        <f>$D1219+S1210</f>
        <v/>
      </c>
      <c r="T1219" s="36">
        <f>$D1219+T1210</f>
        <v/>
      </c>
      <c r="U1219" s="36">
        <f>$D1219+U1210</f>
        <v/>
      </c>
      <c r="V1219" s="36">
        <f>$D1219+V1210</f>
        <v/>
      </c>
      <c r="W1219" s="36">
        <f>$D1219+W1210</f>
        <v/>
      </c>
      <c r="X1219" s="36">
        <f>$D1219+X1210</f>
        <v/>
      </c>
      <c r="Y1219" s="39">
        <f>TAX($D1219,Y1210)</f>
        <v/>
      </c>
      <c r="Z1219" s="23">
        <f>LOWER(Settings!$C$4)&amp;".mit."&amp;$A1219&amp;IF($C1219="","","."&amp;$C1219&amp;"."&amp;$B1219)&amp;IF(INDEX(Variables!$D$5:$D$65,MATCH($A1219,Variables!$A$5:$A$65,0))="","","."&amp;INDEX(Variables!$D$5:$D$65,MATCH($A1219,Variables!$A$5:$A$65,0)))&amp;"."&amp;Z$5</f>
        <v/>
      </c>
      <c r="AA1219" s="38">
        <f>$D1219+AA1210</f>
        <v/>
      </c>
      <c r="AB1219" s="36">
        <f>$D1219+AB1210</f>
        <v/>
      </c>
      <c r="AC1219" s="36">
        <f>$D1219+AC1210</f>
        <v/>
      </c>
      <c r="AD1219" s="36">
        <f>$D1219+AD1210</f>
        <v/>
      </c>
      <c r="AE1219" s="36">
        <f>$D1219+AE1210</f>
        <v/>
      </c>
      <c r="AF1219" s="36">
        <f>$D1219+AF1210</f>
        <v/>
      </c>
      <c r="AG1219" s="36">
        <f>$D1219+AG1210</f>
        <v/>
      </c>
      <c r="AH1219" s="36">
        <f>$D1219+AH1210</f>
        <v/>
      </c>
      <c r="AI1219" s="36">
        <f>$D1219+AI1210</f>
        <v/>
      </c>
      <c r="AJ1219" s="36">
        <f>$D1219+AJ1210</f>
        <v/>
      </c>
      <c r="AK1219" s="36">
        <f>$D1219+AK1210</f>
        <v/>
      </c>
      <c r="AL1219" s="36">
        <f>$D1219+AL1210</f>
        <v/>
      </c>
      <c r="AM1219" s="36">
        <f>$D1219+AM1210</f>
        <v/>
      </c>
      <c r="AN1219" s="39">
        <f>TAX($D1219,AN1210)</f>
        <v/>
      </c>
    </row>
    <row r="1220" hidden="1" outlineLevel="2">
      <c r="A1220" s="5" t="inlineStr">
        <is>
          <t>tax</t>
        </is>
      </c>
      <c r="B1220" s="5" t="inlineStr">
        <is>
          <t>lpg</t>
        </is>
      </c>
      <c r="C1220" s="5" t="inlineStr">
        <is>
          <t>ftr</t>
        </is>
      </c>
      <c r="D1220" s="36">
        <f>INDEX(Inputs!$T$5:$T$132,MATCH($B1220&amp;"|"&amp;$C1220,Inputs!$A$5:$A$132,0))</f>
        <v/>
      </c>
      <c r="E1220" s="37" t="n"/>
      <c r="F1220" s="37" t="n"/>
      <c r="G1220" s="37" t="n"/>
      <c r="H1220" s="5">
        <f>INDEX(Variables!$B$5:$B$65,MATCH($A1220,Variables!$A$5:$A$65,0))&amp;IF($C1220="",""," | "&amp;INDEX(Mapping!$B$5:$B$25,MATCH($C1220,Mapping!$A$5:$A$25,0))&amp;" | "&amp;INDEX(Mapping!$B$29:$B$38,MATCH($B1220,Mapping!$A$29:$A$38,0)))</f>
        <v/>
      </c>
      <c r="I1220" s="5">
        <f>INDEX(Variables!$C$5:$C$65,MATCH($A1220,Variables!$A$5:$A$65,0))</f>
        <v/>
      </c>
      <c r="J1220" s="5">
        <f>INDEX(Variables!$E$5:$E$65,MATCH($A1220,Variables!$A$5:$A$65,0))</f>
        <v/>
      </c>
      <c r="K1220" s="23">
        <f>LOWER(Settings!$C$4)&amp;".mit."&amp;$A1220&amp;IF($C1220="","","."&amp;$C1220&amp;"."&amp;$B1220)&amp;IF(INDEX(Variables!$D$5:$D$65,MATCH($A1220,Variables!$A$5:$A$65,0))="","","."&amp;INDEX(Variables!$D$5:$D$65,MATCH($A1220,Variables!$A$5:$A$65,0)))&amp;"."&amp;K$5</f>
        <v/>
      </c>
      <c r="L1220" s="38">
        <f>$D1220+L1211</f>
        <v/>
      </c>
      <c r="M1220" s="36">
        <f>$D1220+M1211</f>
        <v/>
      </c>
      <c r="N1220" s="36">
        <f>$D1220+N1211</f>
        <v/>
      </c>
      <c r="O1220" s="36">
        <f>$D1220+O1211</f>
        <v/>
      </c>
      <c r="P1220" s="36">
        <f>$D1220+P1211</f>
        <v/>
      </c>
      <c r="Q1220" s="36">
        <f>$D1220+Q1211</f>
        <v/>
      </c>
      <c r="R1220" s="36">
        <f>$D1220+R1211</f>
        <v/>
      </c>
      <c r="S1220" s="36">
        <f>$D1220+S1211</f>
        <v/>
      </c>
      <c r="T1220" s="36">
        <f>$D1220+T1211</f>
        <v/>
      </c>
      <c r="U1220" s="36">
        <f>$D1220+U1211</f>
        <v/>
      </c>
      <c r="V1220" s="36">
        <f>$D1220+V1211</f>
        <v/>
      </c>
      <c r="W1220" s="36">
        <f>$D1220+W1211</f>
        <v/>
      </c>
      <c r="X1220" s="36">
        <f>$D1220+X1211</f>
        <v/>
      </c>
      <c r="Y1220" s="39">
        <f>TAX($D1220,Y1211)</f>
        <v/>
      </c>
      <c r="Z1220" s="23">
        <f>LOWER(Settings!$C$4)&amp;".mit."&amp;$A1220&amp;IF($C1220="","","."&amp;$C1220&amp;"."&amp;$B1220)&amp;IF(INDEX(Variables!$D$5:$D$65,MATCH($A1220,Variables!$A$5:$A$65,0))="","","."&amp;INDEX(Variables!$D$5:$D$65,MATCH($A1220,Variables!$A$5:$A$65,0)))&amp;"."&amp;Z$5</f>
        <v/>
      </c>
      <c r="AA1220" s="38">
        <f>$D1220+AA1211</f>
        <v/>
      </c>
      <c r="AB1220" s="36">
        <f>$D1220+AB1211</f>
        <v/>
      </c>
      <c r="AC1220" s="36">
        <f>$D1220+AC1211</f>
        <v/>
      </c>
      <c r="AD1220" s="36">
        <f>$D1220+AD1211</f>
        <v/>
      </c>
      <c r="AE1220" s="36">
        <f>$D1220+AE1211</f>
        <v/>
      </c>
      <c r="AF1220" s="36">
        <f>$D1220+AF1211</f>
        <v/>
      </c>
      <c r="AG1220" s="36">
        <f>$D1220+AG1211</f>
        <v/>
      </c>
      <c r="AH1220" s="36">
        <f>$D1220+AH1211</f>
        <v/>
      </c>
      <c r="AI1220" s="36">
        <f>$D1220+AI1211</f>
        <v/>
      </c>
      <c r="AJ1220" s="36">
        <f>$D1220+AJ1211</f>
        <v/>
      </c>
      <c r="AK1220" s="36">
        <f>$D1220+AK1211</f>
        <v/>
      </c>
      <c r="AL1220" s="36">
        <f>$D1220+AL1211</f>
        <v/>
      </c>
      <c r="AM1220" s="36">
        <f>$D1220+AM1211</f>
        <v/>
      </c>
      <c r="AN1220" s="39">
        <f>TAX($D1220,AN1211)</f>
        <v/>
      </c>
    </row>
    <row r="1221" hidden="1" outlineLevel="2">
      <c r="A1221" s="5" t="inlineStr">
        <is>
          <t>tax</t>
        </is>
      </c>
      <c r="B1221" s="5" t="inlineStr">
        <is>
          <t>ker</t>
        </is>
      </c>
      <c r="C1221" s="5" t="inlineStr">
        <is>
          <t>ftr</t>
        </is>
      </c>
      <c r="D1221" s="36">
        <f>INDEX(Inputs!$T$5:$T$132,MATCH($B1221&amp;"|"&amp;$C1221,Inputs!$A$5:$A$132,0))</f>
        <v/>
      </c>
      <c r="E1221" s="37" t="n"/>
      <c r="F1221" s="37" t="n"/>
      <c r="G1221" s="37" t="n"/>
      <c r="H1221" s="5">
        <f>INDEX(Variables!$B$5:$B$65,MATCH($A1221,Variables!$A$5:$A$65,0))&amp;IF($C1221="",""," | "&amp;INDEX(Mapping!$B$5:$B$25,MATCH($C1221,Mapping!$A$5:$A$25,0))&amp;" | "&amp;INDEX(Mapping!$B$29:$B$38,MATCH($B1221,Mapping!$A$29:$A$38,0)))</f>
        <v/>
      </c>
      <c r="I1221" s="5">
        <f>INDEX(Variables!$C$5:$C$65,MATCH($A1221,Variables!$A$5:$A$65,0))</f>
        <v/>
      </c>
      <c r="J1221" s="5">
        <f>INDEX(Variables!$E$5:$E$65,MATCH($A1221,Variables!$A$5:$A$65,0))</f>
        <v/>
      </c>
      <c r="K1221" s="23">
        <f>LOWER(Settings!$C$4)&amp;".mit."&amp;$A1221&amp;IF($C1221="","","."&amp;$C1221&amp;"."&amp;$B1221)&amp;IF(INDEX(Variables!$D$5:$D$65,MATCH($A1221,Variables!$A$5:$A$65,0))="","","."&amp;INDEX(Variables!$D$5:$D$65,MATCH($A1221,Variables!$A$5:$A$65,0)))&amp;"."&amp;K$5</f>
        <v/>
      </c>
      <c r="L1221" s="38">
        <f>$D1221+L1212</f>
        <v/>
      </c>
      <c r="M1221" s="36">
        <f>$D1221+M1212</f>
        <v/>
      </c>
      <c r="N1221" s="36">
        <f>$D1221+N1212</f>
        <v/>
      </c>
      <c r="O1221" s="36">
        <f>$D1221+O1212</f>
        <v/>
      </c>
      <c r="P1221" s="36">
        <f>$D1221+P1212</f>
        <v/>
      </c>
      <c r="Q1221" s="36">
        <f>$D1221+Q1212</f>
        <v/>
      </c>
      <c r="R1221" s="36">
        <f>$D1221+R1212</f>
        <v/>
      </c>
      <c r="S1221" s="36">
        <f>$D1221+S1212</f>
        <v/>
      </c>
      <c r="T1221" s="36">
        <f>$D1221+T1212</f>
        <v/>
      </c>
      <c r="U1221" s="36">
        <f>$D1221+U1212</f>
        <v/>
      </c>
      <c r="V1221" s="36">
        <f>$D1221+V1212</f>
        <v/>
      </c>
      <c r="W1221" s="36">
        <f>$D1221+W1212</f>
        <v/>
      </c>
      <c r="X1221" s="36">
        <f>$D1221+X1212</f>
        <v/>
      </c>
      <c r="Y1221" s="39">
        <f>TAX($D1221,Y1212)</f>
        <v/>
      </c>
      <c r="Z1221" s="23">
        <f>LOWER(Settings!$C$4)&amp;".mit."&amp;$A1221&amp;IF($C1221="","","."&amp;$C1221&amp;"."&amp;$B1221)&amp;IF(INDEX(Variables!$D$5:$D$65,MATCH($A1221,Variables!$A$5:$A$65,0))="","","."&amp;INDEX(Variables!$D$5:$D$65,MATCH($A1221,Variables!$A$5:$A$65,0)))&amp;"."&amp;Z$5</f>
        <v/>
      </c>
      <c r="AA1221" s="38">
        <f>$D1221+AA1212</f>
        <v/>
      </c>
      <c r="AB1221" s="36">
        <f>$D1221+AB1212</f>
        <v/>
      </c>
      <c r="AC1221" s="36">
        <f>$D1221+AC1212</f>
        <v/>
      </c>
      <c r="AD1221" s="36">
        <f>$D1221+AD1212</f>
        <v/>
      </c>
      <c r="AE1221" s="36">
        <f>$D1221+AE1212</f>
        <v/>
      </c>
      <c r="AF1221" s="36">
        <f>$D1221+AF1212</f>
        <v/>
      </c>
      <c r="AG1221" s="36">
        <f>$D1221+AG1212</f>
        <v/>
      </c>
      <c r="AH1221" s="36">
        <f>$D1221+AH1212</f>
        <v/>
      </c>
      <c r="AI1221" s="36">
        <f>$D1221+AI1212</f>
        <v/>
      </c>
      <c r="AJ1221" s="36">
        <f>$D1221+AJ1212</f>
        <v/>
      </c>
      <c r="AK1221" s="36">
        <f>$D1221+AK1212</f>
        <v/>
      </c>
      <c r="AL1221" s="36">
        <f>$D1221+AL1212</f>
        <v/>
      </c>
      <c r="AM1221" s="36">
        <f>$D1221+AM1212</f>
        <v/>
      </c>
      <c r="AN1221" s="39">
        <f>TAX($D1221,AN1212)</f>
        <v/>
      </c>
    </row>
    <row r="1222" hidden="1" outlineLevel="2">
      <c r="A1222" s="5" t="inlineStr">
        <is>
          <t>tax</t>
        </is>
      </c>
      <c r="B1222" s="5" t="inlineStr">
        <is>
          <t>oop</t>
        </is>
      </c>
      <c r="C1222" s="5" t="inlineStr">
        <is>
          <t>ftr</t>
        </is>
      </c>
      <c r="D1222" s="36">
        <f>INDEX(Inputs!$T$5:$T$132,MATCH($B1222&amp;"|"&amp;$C1222,Inputs!$A$5:$A$132,0))</f>
        <v/>
      </c>
      <c r="E1222" s="37" t="n"/>
      <c r="F1222" s="37" t="n"/>
      <c r="G1222" s="37" t="n"/>
      <c r="H1222" s="5">
        <f>INDEX(Variables!$B$5:$B$65,MATCH($A1222,Variables!$A$5:$A$65,0))&amp;IF($C1222="",""," | "&amp;INDEX(Mapping!$B$5:$B$25,MATCH($C1222,Mapping!$A$5:$A$25,0))&amp;" | "&amp;INDEX(Mapping!$B$29:$B$38,MATCH($B1222,Mapping!$A$29:$A$38,0)))</f>
        <v/>
      </c>
      <c r="I1222" s="5">
        <f>INDEX(Variables!$C$5:$C$65,MATCH($A1222,Variables!$A$5:$A$65,0))</f>
        <v/>
      </c>
      <c r="J1222" s="5">
        <f>INDEX(Variables!$E$5:$E$65,MATCH($A1222,Variables!$A$5:$A$65,0))</f>
        <v/>
      </c>
      <c r="K1222" s="23">
        <f>LOWER(Settings!$C$4)&amp;".mit."&amp;$A1222&amp;IF($C1222="","","."&amp;$C1222&amp;"."&amp;$B1222)&amp;IF(INDEX(Variables!$D$5:$D$65,MATCH($A1222,Variables!$A$5:$A$65,0))="","","."&amp;INDEX(Variables!$D$5:$D$65,MATCH($A1222,Variables!$A$5:$A$65,0)))&amp;"."&amp;K$5</f>
        <v/>
      </c>
      <c r="L1222" s="38">
        <f>$D1222+L1213</f>
        <v/>
      </c>
      <c r="M1222" s="36">
        <f>$D1222+M1213</f>
        <v/>
      </c>
      <c r="N1222" s="36">
        <f>$D1222+N1213</f>
        <v/>
      </c>
      <c r="O1222" s="36">
        <f>$D1222+O1213</f>
        <v/>
      </c>
      <c r="P1222" s="36">
        <f>$D1222+P1213</f>
        <v/>
      </c>
      <c r="Q1222" s="36">
        <f>$D1222+Q1213</f>
        <v/>
      </c>
      <c r="R1222" s="36">
        <f>$D1222+R1213</f>
        <v/>
      </c>
      <c r="S1222" s="36">
        <f>$D1222+S1213</f>
        <v/>
      </c>
      <c r="T1222" s="36">
        <f>$D1222+T1213</f>
        <v/>
      </c>
      <c r="U1222" s="36">
        <f>$D1222+U1213</f>
        <v/>
      </c>
      <c r="V1222" s="36">
        <f>$D1222+V1213</f>
        <v/>
      </c>
      <c r="W1222" s="36">
        <f>$D1222+W1213</f>
        <v/>
      </c>
      <c r="X1222" s="36">
        <f>$D1222+X1213</f>
        <v/>
      </c>
      <c r="Y1222" s="39">
        <f>TAX($D1222,Y1213)</f>
        <v/>
      </c>
      <c r="Z1222" s="23">
        <f>LOWER(Settings!$C$4)&amp;".mit."&amp;$A1222&amp;IF($C1222="","","."&amp;$C1222&amp;"."&amp;$B1222)&amp;IF(INDEX(Variables!$D$5:$D$65,MATCH($A1222,Variables!$A$5:$A$65,0))="","","."&amp;INDEX(Variables!$D$5:$D$65,MATCH($A1222,Variables!$A$5:$A$65,0)))&amp;"."&amp;Z$5</f>
        <v/>
      </c>
      <c r="AA1222" s="38">
        <f>$D1222+AA1213</f>
        <v/>
      </c>
      <c r="AB1222" s="36">
        <f>$D1222+AB1213</f>
        <v/>
      </c>
      <c r="AC1222" s="36">
        <f>$D1222+AC1213</f>
        <v/>
      </c>
      <c r="AD1222" s="36">
        <f>$D1222+AD1213</f>
        <v/>
      </c>
      <c r="AE1222" s="36">
        <f>$D1222+AE1213</f>
        <v/>
      </c>
      <c r="AF1222" s="36">
        <f>$D1222+AF1213</f>
        <v/>
      </c>
      <c r="AG1222" s="36">
        <f>$D1222+AG1213</f>
        <v/>
      </c>
      <c r="AH1222" s="36">
        <f>$D1222+AH1213</f>
        <v/>
      </c>
      <c r="AI1222" s="36">
        <f>$D1222+AI1213</f>
        <v/>
      </c>
      <c r="AJ1222" s="36">
        <f>$D1222+AJ1213</f>
        <v/>
      </c>
      <c r="AK1222" s="36">
        <f>$D1222+AK1213</f>
        <v/>
      </c>
      <c r="AL1222" s="36">
        <f>$D1222+AL1213</f>
        <v/>
      </c>
      <c r="AM1222" s="36">
        <f>$D1222+AM1213</f>
        <v/>
      </c>
      <c r="AN1222" s="39">
        <f>TAX($D1222,AN1213)</f>
        <v/>
      </c>
    </row>
    <row r="1223" hidden="1" outlineLevel="2">
      <c r="A1223" s="5" t="inlineStr">
        <is>
          <t>tax</t>
        </is>
      </c>
      <c r="B1223" s="5" t="inlineStr">
        <is>
          <t>bio</t>
        </is>
      </c>
      <c r="C1223" s="5" t="inlineStr">
        <is>
          <t>ftr</t>
        </is>
      </c>
      <c r="D1223" s="36">
        <f>INDEX(Inputs!$T$5:$T$132,MATCH($B1223&amp;"|"&amp;$C1223,Inputs!$A$5:$A$132,0))</f>
        <v/>
      </c>
      <c r="E1223" s="37" t="n"/>
      <c r="F1223" s="37" t="n"/>
      <c r="G1223" s="37" t="n"/>
      <c r="H1223" s="5">
        <f>INDEX(Variables!$B$5:$B$65,MATCH($A1223,Variables!$A$5:$A$65,0))&amp;IF($C1223="",""," | "&amp;INDEX(Mapping!$B$5:$B$25,MATCH($C1223,Mapping!$A$5:$A$25,0))&amp;" | "&amp;INDEX(Mapping!$B$29:$B$38,MATCH($B1223,Mapping!$A$29:$A$38,0)))</f>
        <v/>
      </c>
      <c r="I1223" s="5">
        <f>INDEX(Variables!$C$5:$C$65,MATCH($A1223,Variables!$A$5:$A$65,0))</f>
        <v/>
      </c>
      <c r="J1223" s="5">
        <f>INDEX(Variables!$E$5:$E$65,MATCH($A1223,Variables!$A$5:$A$65,0))</f>
        <v/>
      </c>
      <c r="K1223" s="23">
        <f>LOWER(Settings!$C$4)&amp;".mit."&amp;$A1223&amp;IF($C1223="","","."&amp;$C1223&amp;"."&amp;$B1223)&amp;IF(INDEX(Variables!$D$5:$D$65,MATCH($A1223,Variables!$A$5:$A$65,0))="","","."&amp;INDEX(Variables!$D$5:$D$65,MATCH($A1223,Variables!$A$5:$A$65,0)))&amp;"."&amp;K$5</f>
        <v/>
      </c>
      <c r="L1223" s="38">
        <f>$D1223+L1214</f>
        <v/>
      </c>
      <c r="M1223" s="36">
        <f>$D1223+M1214</f>
        <v/>
      </c>
      <c r="N1223" s="36">
        <f>$D1223+N1214</f>
        <v/>
      </c>
      <c r="O1223" s="36">
        <f>$D1223+O1214</f>
        <v/>
      </c>
      <c r="P1223" s="36">
        <f>$D1223+P1214</f>
        <v/>
      </c>
      <c r="Q1223" s="36">
        <f>$D1223+Q1214</f>
        <v/>
      </c>
      <c r="R1223" s="36">
        <f>$D1223+R1214</f>
        <v/>
      </c>
      <c r="S1223" s="36">
        <f>$D1223+S1214</f>
        <v/>
      </c>
      <c r="T1223" s="36">
        <f>$D1223+T1214</f>
        <v/>
      </c>
      <c r="U1223" s="36">
        <f>$D1223+U1214</f>
        <v/>
      </c>
      <c r="V1223" s="36">
        <f>$D1223+V1214</f>
        <v/>
      </c>
      <c r="W1223" s="36">
        <f>$D1223+W1214</f>
        <v/>
      </c>
      <c r="X1223" s="36">
        <f>$D1223+X1214</f>
        <v/>
      </c>
      <c r="Y1223" s="39">
        <f>TAX($D1223,Y1214)</f>
        <v/>
      </c>
      <c r="Z1223" s="23">
        <f>LOWER(Settings!$C$4)&amp;".mit."&amp;$A1223&amp;IF($C1223="","","."&amp;$C1223&amp;"."&amp;$B1223)&amp;IF(INDEX(Variables!$D$5:$D$65,MATCH($A1223,Variables!$A$5:$A$65,0))="","","."&amp;INDEX(Variables!$D$5:$D$65,MATCH($A1223,Variables!$A$5:$A$65,0)))&amp;"."&amp;Z$5</f>
        <v/>
      </c>
      <c r="AA1223" s="38">
        <f>$D1223+AA1214</f>
        <v/>
      </c>
      <c r="AB1223" s="36">
        <f>$D1223+AB1214</f>
        <v/>
      </c>
      <c r="AC1223" s="36">
        <f>$D1223+AC1214</f>
        <v/>
      </c>
      <c r="AD1223" s="36">
        <f>$D1223+AD1214</f>
        <v/>
      </c>
      <c r="AE1223" s="36">
        <f>$D1223+AE1214</f>
        <v/>
      </c>
      <c r="AF1223" s="36">
        <f>$D1223+AF1214</f>
        <v/>
      </c>
      <c r="AG1223" s="36">
        <f>$D1223+AG1214</f>
        <v/>
      </c>
      <c r="AH1223" s="36">
        <f>$D1223+AH1214</f>
        <v/>
      </c>
      <c r="AI1223" s="36">
        <f>$D1223+AI1214</f>
        <v/>
      </c>
      <c r="AJ1223" s="36">
        <f>$D1223+AJ1214</f>
        <v/>
      </c>
      <c r="AK1223" s="36">
        <f>$D1223+AK1214</f>
        <v/>
      </c>
      <c r="AL1223" s="36">
        <f>$D1223+AL1214</f>
        <v/>
      </c>
      <c r="AM1223" s="36">
        <f>$D1223+AM1214</f>
        <v/>
      </c>
      <c r="AN1223" s="39">
        <f>TAX($D1223,AN1214)</f>
        <v/>
      </c>
    </row>
    <row r="1224" hidden="1" outlineLevel="2"/>
    <row r="1225" hidden="1" outlineLevel="2">
      <c r="A1225" s="5" t="inlineStr">
        <is>
          <t>atp</t>
        </is>
      </c>
      <c r="B1225" s="5" t="inlineStr">
        <is>
          <t>coa</t>
        </is>
      </c>
      <c r="C1225" s="5" t="inlineStr">
        <is>
          <t>ftr</t>
        </is>
      </c>
      <c r="D1225" s="37" t="n"/>
      <c r="E1225" s="37" t="n"/>
      <c r="F1225" s="37" t="n"/>
      <c r="G1225" s="37" t="n"/>
      <c r="H1225" s="5">
        <f>INDEX(Variables!$B$5:$B$65,MATCH($A1225,Variables!$A$5:$A$65,0))&amp;IF($C1225="",""," | "&amp;INDEX(Mapping!$B$5:$B$25,MATCH($C1225,Mapping!$A$5:$A$25,0))&amp;" | "&amp;INDEX(Mapping!$B$29:$B$38,MATCH($B1225,Mapping!$A$29:$A$38,0)))</f>
        <v/>
      </c>
      <c r="I1225" s="5">
        <f>INDEX(Variables!$C$5:$C$65,MATCH($A1225,Variables!$A$5:$A$65,0))</f>
        <v/>
      </c>
      <c r="J1225" s="5">
        <f>INDEX(Variables!$E$5:$E$65,MATCH($A1225,Variables!$A$5:$A$65,0))</f>
        <v/>
      </c>
      <c r="K1225" s="23">
        <f>LOWER(Settings!$C$4)&amp;".mit."&amp;$A1225&amp;IF($C1225="","","."&amp;$C1225&amp;"."&amp;$B1225)&amp;IF(INDEX(Variables!$D$5:$D$65,MATCH($A1225,Variables!$A$5:$A$65,0))="","","."&amp;INDEX(Variables!$D$5:$D$65,MATCH($A1225,Variables!$A$5:$A$65,0)))&amp;"."&amp;K$5</f>
        <v/>
      </c>
      <c r="L1225" s="38">
        <f>L1180+L1216</f>
        <v/>
      </c>
      <c r="M1225" s="36">
        <f>M1180+M1216</f>
        <v/>
      </c>
      <c r="N1225" s="36">
        <f>N1180+N1216</f>
        <v/>
      </c>
      <c r="O1225" s="36">
        <f>O1180+O1216</f>
        <v/>
      </c>
      <c r="P1225" s="36">
        <f>P1180+P1216</f>
        <v/>
      </c>
      <c r="Q1225" s="36">
        <f>Q1180+Q1216</f>
        <v/>
      </c>
      <c r="R1225" s="36">
        <f>R1180+R1216</f>
        <v/>
      </c>
      <c r="S1225" s="36">
        <f>S1180+S1216</f>
        <v/>
      </c>
      <c r="T1225" s="36">
        <f>T1180+T1216</f>
        <v/>
      </c>
      <c r="U1225" s="36">
        <f>U1180+U1216</f>
        <v/>
      </c>
      <c r="V1225" s="36">
        <f>V1180+V1216</f>
        <v/>
      </c>
      <c r="W1225" s="36">
        <f>W1180+W1216</f>
        <v/>
      </c>
      <c r="X1225" s="36">
        <f>X1180+X1216</f>
        <v/>
      </c>
      <c r="Y1225" s="39">
        <f>POSTTAX(Y1180,Y1216)</f>
        <v/>
      </c>
      <c r="Z1225" s="23">
        <f>LOWER(Settings!$C$4)&amp;".mit."&amp;$A1225&amp;IF($C1225="","","."&amp;$C1225&amp;"."&amp;$B1225)&amp;IF(INDEX(Variables!$D$5:$D$65,MATCH($A1225,Variables!$A$5:$A$65,0))="","","."&amp;INDEX(Variables!$D$5:$D$65,MATCH($A1225,Variables!$A$5:$A$65,0)))&amp;"."&amp;Z$5</f>
        <v/>
      </c>
      <c r="AA1225" s="38">
        <f>AA1180+AA1216</f>
        <v/>
      </c>
      <c r="AB1225" s="36">
        <f>AB1180+AB1216</f>
        <v/>
      </c>
      <c r="AC1225" s="36">
        <f>AC1180+AC1216</f>
        <v/>
      </c>
      <c r="AD1225" s="36">
        <f>AD1180+AD1216</f>
        <v/>
      </c>
      <c r="AE1225" s="36">
        <f>AE1180+AE1216</f>
        <v/>
      </c>
      <c r="AF1225" s="36">
        <f>AF1180+AF1216</f>
        <v/>
      </c>
      <c r="AG1225" s="36">
        <f>AG1180+AG1216</f>
        <v/>
      </c>
      <c r="AH1225" s="36">
        <f>AH1180+AH1216</f>
        <v/>
      </c>
      <c r="AI1225" s="36">
        <f>AI1180+AI1216</f>
        <v/>
      </c>
      <c r="AJ1225" s="36">
        <f>AJ1180+AJ1216</f>
        <v/>
      </c>
      <c r="AK1225" s="36">
        <f>AK1180+AK1216</f>
        <v/>
      </c>
      <c r="AL1225" s="36">
        <f>AL1180+AL1216</f>
        <v/>
      </c>
      <c r="AM1225" s="36">
        <f>AM1180+AM1216</f>
        <v/>
      </c>
      <c r="AN1225" s="39">
        <f>POSTTAX(AN1180,AN1216)</f>
        <v/>
      </c>
    </row>
    <row r="1226" hidden="1" outlineLevel="2">
      <c r="A1226" s="5" t="inlineStr">
        <is>
          <t>atp</t>
        </is>
      </c>
      <c r="B1226" s="5" t="inlineStr">
        <is>
          <t>nga</t>
        </is>
      </c>
      <c r="C1226" s="5" t="inlineStr">
        <is>
          <t>ftr</t>
        </is>
      </c>
      <c r="D1226" s="37" t="n"/>
      <c r="E1226" s="37" t="n"/>
      <c r="F1226" s="37" t="n"/>
      <c r="G1226" s="37" t="n"/>
      <c r="H1226" s="5">
        <f>INDEX(Variables!$B$5:$B$65,MATCH($A1226,Variables!$A$5:$A$65,0))&amp;IF($C1226="",""," | "&amp;INDEX(Mapping!$B$5:$B$25,MATCH($C1226,Mapping!$A$5:$A$25,0))&amp;" | "&amp;INDEX(Mapping!$B$29:$B$38,MATCH($B1226,Mapping!$A$29:$A$38,0)))</f>
        <v/>
      </c>
      <c r="I1226" s="5">
        <f>INDEX(Variables!$C$5:$C$65,MATCH($A1226,Variables!$A$5:$A$65,0))</f>
        <v/>
      </c>
      <c r="J1226" s="5">
        <f>INDEX(Variables!$E$5:$E$65,MATCH($A1226,Variables!$A$5:$A$65,0))</f>
        <v/>
      </c>
      <c r="K1226" s="23">
        <f>LOWER(Settings!$C$4)&amp;".mit."&amp;$A1226&amp;IF($C1226="","","."&amp;$C1226&amp;"."&amp;$B1226)&amp;IF(INDEX(Variables!$D$5:$D$65,MATCH($A1226,Variables!$A$5:$A$65,0))="","","."&amp;INDEX(Variables!$D$5:$D$65,MATCH($A1226,Variables!$A$5:$A$65,0)))&amp;"."&amp;K$5</f>
        <v/>
      </c>
      <c r="L1226" s="38">
        <f>L1181+L1217</f>
        <v/>
      </c>
      <c r="M1226" s="36">
        <f>M1181+M1217</f>
        <v/>
      </c>
      <c r="N1226" s="36">
        <f>N1181+N1217</f>
        <v/>
      </c>
      <c r="O1226" s="36">
        <f>O1181+O1217</f>
        <v/>
      </c>
      <c r="P1226" s="36">
        <f>P1181+P1217</f>
        <v/>
      </c>
      <c r="Q1226" s="36">
        <f>Q1181+Q1217</f>
        <v/>
      </c>
      <c r="R1226" s="36">
        <f>R1181+R1217</f>
        <v/>
      </c>
      <c r="S1226" s="36">
        <f>S1181+S1217</f>
        <v/>
      </c>
      <c r="T1226" s="36">
        <f>T1181+T1217</f>
        <v/>
      </c>
      <c r="U1226" s="36">
        <f>U1181+U1217</f>
        <v/>
      </c>
      <c r="V1226" s="36">
        <f>V1181+V1217</f>
        <v/>
      </c>
      <c r="W1226" s="36">
        <f>W1181+W1217</f>
        <v/>
      </c>
      <c r="X1226" s="36">
        <f>X1181+X1217</f>
        <v/>
      </c>
      <c r="Y1226" s="39">
        <f>POSTTAX(Y1181,Y1217)</f>
        <v/>
      </c>
      <c r="Z1226" s="23">
        <f>LOWER(Settings!$C$4)&amp;".mit."&amp;$A1226&amp;IF($C1226="","","."&amp;$C1226&amp;"."&amp;$B1226)&amp;IF(INDEX(Variables!$D$5:$D$65,MATCH($A1226,Variables!$A$5:$A$65,0))="","","."&amp;INDEX(Variables!$D$5:$D$65,MATCH($A1226,Variables!$A$5:$A$65,0)))&amp;"."&amp;Z$5</f>
        <v/>
      </c>
      <c r="AA1226" s="38">
        <f>AA1181+AA1217</f>
        <v/>
      </c>
      <c r="AB1226" s="36">
        <f>AB1181+AB1217</f>
        <v/>
      </c>
      <c r="AC1226" s="36">
        <f>AC1181+AC1217</f>
        <v/>
      </c>
      <c r="AD1226" s="36">
        <f>AD1181+AD1217</f>
        <v/>
      </c>
      <c r="AE1226" s="36">
        <f>AE1181+AE1217</f>
        <v/>
      </c>
      <c r="AF1226" s="36">
        <f>AF1181+AF1217</f>
        <v/>
      </c>
      <c r="AG1226" s="36">
        <f>AG1181+AG1217</f>
        <v/>
      </c>
      <c r="AH1226" s="36">
        <f>AH1181+AH1217</f>
        <v/>
      </c>
      <c r="AI1226" s="36">
        <f>AI1181+AI1217</f>
        <v/>
      </c>
      <c r="AJ1226" s="36">
        <f>AJ1181+AJ1217</f>
        <v/>
      </c>
      <c r="AK1226" s="36">
        <f>AK1181+AK1217</f>
        <v/>
      </c>
      <c r="AL1226" s="36">
        <f>AL1181+AL1217</f>
        <v/>
      </c>
      <c r="AM1226" s="36">
        <f>AM1181+AM1217</f>
        <v/>
      </c>
      <c r="AN1226" s="39">
        <f>POSTTAX(AN1181,AN1217)</f>
        <v/>
      </c>
    </row>
    <row r="1227" hidden="1" outlineLevel="2">
      <c r="A1227" s="5" t="inlineStr">
        <is>
          <t>atp</t>
        </is>
      </c>
      <c r="B1227" s="5" t="inlineStr">
        <is>
          <t>gso</t>
        </is>
      </c>
      <c r="C1227" s="5" t="inlineStr">
        <is>
          <t>ftr</t>
        </is>
      </c>
      <c r="D1227" s="37" t="n"/>
      <c r="E1227" s="37" t="n"/>
      <c r="F1227" s="37" t="n"/>
      <c r="G1227" s="37" t="n"/>
      <c r="H1227" s="5">
        <f>INDEX(Variables!$B$5:$B$65,MATCH($A1227,Variables!$A$5:$A$65,0))&amp;IF($C1227="",""," | "&amp;INDEX(Mapping!$B$5:$B$25,MATCH($C1227,Mapping!$A$5:$A$25,0))&amp;" | "&amp;INDEX(Mapping!$B$29:$B$38,MATCH($B1227,Mapping!$A$29:$A$38,0)))</f>
        <v/>
      </c>
      <c r="I1227" s="5">
        <f>INDEX(Variables!$C$5:$C$65,MATCH($A1227,Variables!$A$5:$A$65,0))</f>
        <v/>
      </c>
      <c r="J1227" s="5">
        <f>INDEX(Variables!$E$5:$E$65,MATCH($A1227,Variables!$A$5:$A$65,0))</f>
        <v/>
      </c>
      <c r="K1227" s="23">
        <f>LOWER(Settings!$C$4)&amp;".mit."&amp;$A1227&amp;IF($C1227="","","."&amp;$C1227&amp;"."&amp;$B1227)&amp;IF(INDEX(Variables!$D$5:$D$65,MATCH($A1227,Variables!$A$5:$A$65,0))="","","."&amp;INDEX(Variables!$D$5:$D$65,MATCH($A1227,Variables!$A$5:$A$65,0)))&amp;"."&amp;K$5</f>
        <v/>
      </c>
      <c r="L1227" s="38">
        <f>L1182+L1218</f>
        <v/>
      </c>
      <c r="M1227" s="36">
        <f>M1182+M1218</f>
        <v/>
      </c>
      <c r="N1227" s="36">
        <f>N1182+N1218</f>
        <v/>
      </c>
      <c r="O1227" s="36">
        <f>O1182+O1218</f>
        <v/>
      </c>
      <c r="P1227" s="36">
        <f>P1182+P1218</f>
        <v/>
      </c>
      <c r="Q1227" s="36">
        <f>Q1182+Q1218</f>
        <v/>
      </c>
      <c r="R1227" s="36">
        <f>R1182+R1218</f>
        <v/>
      </c>
      <c r="S1227" s="36">
        <f>S1182+S1218</f>
        <v/>
      </c>
      <c r="T1227" s="36">
        <f>T1182+T1218</f>
        <v/>
      </c>
      <c r="U1227" s="36">
        <f>U1182+U1218</f>
        <v/>
      </c>
      <c r="V1227" s="36">
        <f>V1182+V1218</f>
        <v/>
      </c>
      <c r="W1227" s="36">
        <f>W1182+W1218</f>
        <v/>
      </c>
      <c r="X1227" s="36">
        <f>X1182+X1218</f>
        <v/>
      </c>
      <c r="Y1227" s="39">
        <f>POSTTAX(Y1182,Y1218)</f>
        <v/>
      </c>
      <c r="Z1227" s="23">
        <f>LOWER(Settings!$C$4)&amp;".mit."&amp;$A1227&amp;IF($C1227="","","."&amp;$C1227&amp;"."&amp;$B1227)&amp;IF(INDEX(Variables!$D$5:$D$65,MATCH($A1227,Variables!$A$5:$A$65,0))="","","."&amp;INDEX(Variables!$D$5:$D$65,MATCH($A1227,Variables!$A$5:$A$65,0)))&amp;"."&amp;Z$5</f>
        <v/>
      </c>
      <c r="AA1227" s="38">
        <f>AA1182+AA1218</f>
        <v/>
      </c>
      <c r="AB1227" s="36">
        <f>AB1182+AB1218</f>
        <v/>
      </c>
      <c r="AC1227" s="36">
        <f>AC1182+AC1218</f>
        <v/>
      </c>
      <c r="AD1227" s="36">
        <f>AD1182+AD1218</f>
        <v/>
      </c>
      <c r="AE1227" s="36">
        <f>AE1182+AE1218</f>
        <v/>
      </c>
      <c r="AF1227" s="36">
        <f>AF1182+AF1218</f>
        <v/>
      </c>
      <c r="AG1227" s="36">
        <f>AG1182+AG1218</f>
        <v/>
      </c>
      <c r="AH1227" s="36">
        <f>AH1182+AH1218</f>
        <v/>
      </c>
      <c r="AI1227" s="36">
        <f>AI1182+AI1218</f>
        <v/>
      </c>
      <c r="AJ1227" s="36">
        <f>AJ1182+AJ1218</f>
        <v/>
      </c>
      <c r="AK1227" s="36">
        <f>AK1182+AK1218</f>
        <v/>
      </c>
      <c r="AL1227" s="36">
        <f>AL1182+AL1218</f>
        <v/>
      </c>
      <c r="AM1227" s="36">
        <f>AM1182+AM1218</f>
        <v/>
      </c>
      <c r="AN1227" s="39">
        <f>POSTTAX(AN1182,AN1218)</f>
        <v/>
      </c>
    </row>
    <row r="1228" hidden="1" outlineLevel="2">
      <c r="A1228" s="5" t="inlineStr">
        <is>
          <t>atp</t>
        </is>
      </c>
      <c r="B1228" s="5" t="inlineStr">
        <is>
          <t>die</t>
        </is>
      </c>
      <c r="C1228" s="5" t="inlineStr">
        <is>
          <t>ftr</t>
        </is>
      </c>
      <c r="D1228" s="37" t="n"/>
      <c r="E1228" s="37" t="n"/>
      <c r="F1228" s="37" t="n"/>
      <c r="G1228" s="37" t="n"/>
      <c r="H1228" s="5">
        <f>INDEX(Variables!$B$5:$B$65,MATCH($A1228,Variables!$A$5:$A$65,0))&amp;IF($C1228="",""," | "&amp;INDEX(Mapping!$B$5:$B$25,MATCH($C1228,Mapping!$A$5:$A$25,0))&amp;" | "&amp;INDEX(Mapping!$B$29:$B$38,MATCH($B1228,Mapping!$A$29:$A$38,0)))</f>
        <v/>
      </c>
      <c r="I1228" s="5">
        <f>INDEX(Variables!$C$5:$C$65,MATCH($A1228,Variables!$A$5:$A$65,0))</f>
        <v/>
      </c>
      <c r="J1228" s="5">
        <f>INDEX(Variables!$E$5:$E$65,MATCH($A1228,Variables!$A$5:$A$65,0))</f>
        <v/>
      </c>
      <c r="K1228" s="23">
        <f>LOWER(Settings!$C$4)&amp;".mit."&amp;$A1228&amp;IF($C1228="","","."&amp;$C1228&amp;"."&amp;$B1228)&amp;IF(INDEX(Variables!$D$5:$D$65,MATCH($A1228,Variables!$A$5:$A$65,0))="","","."&amp;INDEX(Variables!$D$5:$D$65,MATCH($A1228,Variables!$A$5:$A$65,0)))&amp;"."&amp;K$5</f>
        <v/>
      </c>
      <c r="L1228" s="38">
        <f>L1183+L1219</f>
        <v/>
      </c>
      <c r="M1228" s="36">
        <f>M1183+M1219</f>
        <v/>
      </c>
      <c r="N1228" s="36">
        <f>N1183+N1219</f>
        <v/>
      </c>
      <c r="O1228" s="36">
        <f>O1183+O1219</f>
        <v/>
      </c>
      <c r="P1228" s="36">
        <f>P1183+P1219</f>
        <v/>
      </c>
      <c r="Q1228" s="36">
        <f>Q1183+Q1219</f>
        <v/>
      </c>
      <c r="R1228" s="36">
        <f>R1183+R1219</f>
        <v/>
      </c>
      <c r="S1228" s="36">
        <f>S1183+S1219</f>
        <v/>
      </c>
      <c r="T1228" s="36">
        <f>T1183+T1219</f>
        <v/>
      </c>
      <c r="U1228" s="36">
        <f>U1183+U1219</f>
        <v/>
      </c>
      <c r="V1228" s="36">
        <f>V1183+V1219</f>
        <v/>
      </c>
      <c r="W1228" s="36">
        <f>W1183+W1219</f>
        <v/>
      </c>
      <c r="X1228" s="36">
        <f>X1183+X1219</f>
        <v/>
      </c>
      <c r="Y1228" s="39">
        <f>POSTTAX(Y1183,Y1219)</f>
        <v/>
      </c>
      <c r="Z1228" s="23">
        <f>LOWER(Settings!$C$4)&amp;".mit."&amp;$A1228&amp;IF($C1228="","","."&amp;$C1228&amp;"."&amp;$B1228)&amp;IF(INDEX(Variables!$D$5:$D$65,MATCH($A1228,Variables!$A$5:$A$65,0))="","","."&amp;INDEX(Variables!$D$5:$D$65,MATCH($A1228,Variables!$A$5:$A$65,0)))&amp;"."&amp;Z$5</f>
        <v/>
      </c>
      <c r="AA1228" s="38">
        <f>AA1183+AA1219</f>
        <v/>
      </c>
      <c r="AB1228" s="36">
        <f>AB1183+AB1219</f>
        <v/>
      </c>
      <c r="AC1228" s="36">
        <f>AC1183+AC1219</f>
        <v/>
      </c>
      <c r="AD1228" s="36">
        <f>AD1183+AD1219</f>
        <v/>
      </c>
      <c r="AE1228" s="36">
        <f>AE1183+AE1219</f>
        <v/>
      </c>
      <c r="AF1228" s="36">
        <f>AF1183+AF1219</f>
        <v/>
      </c>
      <c r="AG1228" s="36">
        <f>AG1183+AG1219</f>
        <v/>
      </c>
      <c r="AH1228" s="36">
        <f>AH1183+AH1219</f>
        <v/>
      </c>
      <c r="AI1228" s="36">
        <f>AI1183+AI1219</f>
        <v/>
      </c>
      <c r="AJ1228" s="36">
        <f>AJ1183+AJ1219</f>
        <v/>
      </c>
      <c r="AK1228" s="36">
        <f>AK1183+AK1219</f>
        <v/>
      </c>
      <c r="AL1228" s="36">
        <f>AL1183+AL1219</f>
        <v/>
      </c>
      <c r="AM1228" s="36">
        <f>AM1183+AM1219</f>
        <v/>
      </c>
      <c r="AN1228" s="39">
        <f>POSTTAX(AN1183,AN1219)</f>
        <v/>
      </c>
    </row>
    <row r="1229" hidden="1" outlineLevel="2">
      <c r="A1229" s="5" t="inlineStr">
        <is>
          <t>atp</t>
        </is>
      </c>
      <c r="B1229" s="5" t="inlineStr">
        <is>
          <t>lpg</t>
        </is>
      </c>
      <c r="C1229" s="5" t="inlineStr">
        <is>
          <t>ftr</t>
        </is>
      </c>
      <c r="D1229" s="37" t="n"/>
      <c r="E1229" s="37" t="n"/>
      <c r="F1229" s="37" t="n"/>
      <c r="G1229" s="37" t="n"/>
      <c r="H1229" s="5">
        <f>INDEX(Variables!$B$5:$B$65,MATCH($A1229,Variables!$A$5:$A$65,0))&amp;IF($C1229="",""," | "&amp;INDEX(Mapping!$B$5:$B$25,MATCH($C1229,Mapping!$A$5:$A$25,0))&amp;" | "&amp;INDEX(Mapping!$B$29:$B$38,MATCH($B1229,Mapping!$A$29:$A$38,0)))</f>
        <v/>
      </c>
      <c r="I1229" s="5">
        <f>INDEX(Variables!$C$5:$C$65,MATCH($A1229,Variables!$A$5:$A$65,0))</f>
        <v/>
      </c>
      <c r="J1229" s="5">
        <f>INDEX(Variables!$E$5:$E$65,MATCH($A1229,Variables!$A$5:$A$65,0))</f>
        <v/>
      </c>
      <c r="K1229" s="23">
        <f>LOWER(Settings!$C$4)&amp;".mit."&amp;$A1229&amp;IF($C1229="","","."&amp;$C1229&amp;"."&amp;$B1229)&amp;IF(INDEX(Variables!$D$5:$D$65,MATCH($A1229,Variables!$A$5:$A$65,0))="","","."&amp;INDEX(Variables!$D$5:$D$65,MATCH($A1229,Variables!$A$5:$A$65,0)))&amp;"."&amp;K$5</f>
        <v/>
      </c>
      <c r="L1229" s="38">
        <f>L1184+L1220</f>
        <v/>
      </c>
      <c r="M1229" s="36">
        <f>M1184+M1220</f>
        <v/>
      </c>
      <c r="N1229" s="36">
        <f>N1184+N1220</f>
        <v/>
      </c>
      <c r="O1229" s="36">
        <f>O1184+O1220</f>
        <v/>
      </c>
      <c r="P1229" s="36">
        <f>P1184+P1220</f>
        <v/>
      </c>
      <c r="Q1229" s="36">
        <f>Q1184+Q1220</f>
        <v/>
      </c>
      <c r="R1229" s="36">
        <f>R1184+R1220</f>
        <v/>
      </c>
      <c r="S1229" s="36">
        <f>S1184+S1220</f>
        <v/>
      </c>
      <c r="T1229" s="36">
        <f>T1184+T1220</f>
        <v/>
      </c>
      <c r="U1229" s="36">
        <f>U1184+U1220</f>
        <v/>
      </c>
      <c r="V1229" s="36">
        <f>V1184+V1220</f>
        <v/>
      </c>
      <c r="W1229" s="36">
        <f>W1184+W1220</f>
        <v/>
      </c>
      <c r="X1229" s="36">
        <f>X1184+X1220</f>
        <v/>
      </c>
      <c r="Y1229" s="39">
        <f>POSTTAX(Y1184,Y1220)</f>
        <v/>
      </c>
      <c r="Z1229" s="23">
        <f>LOWER(Settings!$C$4)&amp;".mit."&amp;$A1229&amp;IF($C1229="","","."&amp;$C1229&amp;"."&amp;$B1229)&amp;IF(INDEX(Variables!$D$5:$D$65,MATCH($A1229,Variables!$A$5:$A$65,0))="","","."&amp;INDEX(Variables!$D$5:$D$65,MATCH($A1229,Variables!$A$5:$A$65,0)))&amp;"."&amp;Z$5</f>
        <v/>
      </c>
      <c r="AA1229" s="38">
        <f>AA1184+AA1220</f>
        <v/>
      </c>
      <c r="AB1229" s="36">
        <f>AB1184+AB1220</f>
        <v/>
      </c>
      <c r="AC1229" s="36">
        <f>AC1184+AC1220</f>
        <v/>
      </c>
      <c r="AD1229" s="36">
        <f>AD1184+AD1220</f>
        <v/>
      </c>
      <c r="AE1229" s="36">
        <f>AE1184+AE1220</f>
        <v/>
      </c>
      <c r="AF1229" s="36">
        <f>AF1184+AF1220</f>
        <v/>
      </c>
      <c r="AG1229" s="36">
        <f>AG1184+AG1220</f>
        <v/>
      </c>
      <c r="AH1229" s="36">
        <f>AH1184+AH1220</f>
        <v/>
      </c>
      <c r="AI1229" s="36">
        <f>AI1184+AI1220</f>
        <v/>
      </c>
      <c r="AJ1229" s="36">
        <f>AJ1184+AJ1220</f>
        <v/>
      </c>
      <c r="AK1229" s="36">
        <f>AK1184+AK1220</f>
        <v/>
      </c>
      <c r="AL1229" s="36">
        <f>AL1184+AL1220</f>
        <v/>
      </c>
      <c r="AM1229" s="36">
        <f>AM1184+AM1220</f>
        <v/>
      </c>
      <c r="AN1229" s="39">
        <f>POSTTAX(AN1184,AN1220)</f>
        <v/>
      </c>
    </row>
    <row r="1230" hidden="1" outlineLevel="2">
      <c r="A1230" s="5" t="inlineStr">
        <is>
          <t>atp</t>
        </is>
      </c>
      <c r="B1230" s="5" t="inlineStr">
        <is>
          <t>ker</t>
        </is>
      </c>
      <c r="C1230" s="5" t="inlineStr">
        <is>
          <t>ftr</t>
        </is>
      </c>
      <c r="D1230" s="37" t="n"/>
      <c r="E1230" s="37" t="n"/>
      <c r="F1230" s="37" t="n"/>
      <c r="G1230" s="37" t="n"/>
      <c r="H1230" s="5">
        <f>INDEX(Variables!$B$5:$B$65,MATCH($A1230,Variables!$A$5:$A$65,0))&amp;IF($C1230="",""," | "&amp;INDEX(Mapping!$B$5:$B$25,MATCH($C1230,Mapping!$A$5:$A$25,0))&amp;" | "&amp;INDEX(Mapping!$B$29:$B$38,MATCH($B1230,Mapping!$A$29:$A$38,0)))</f>
        <v/>
      </c>
      <c r="I1230" s="5">
        <f>INDEX(Variables!$C$5:$C$65,MATCH($A1230,Variables!$A$5:$A$65,0))</f>
        <v/>
      </c>
      <c r="J1230" s="5">
        <f>INDEX(Variables!$E$5:$E$65,MATCH($A1230,Variables!$A$5:$A$65,0))</f>
        <v/>
      </c>
      <c r="K1230" s="23">
        <f>LOWER(Settings!$C$4)&amp;".mit."&amp;$A1230&amp;IF($C1230="","","."&amp;$C1230&amp;"."&amp;$B1230)&amp;IF(INDEX(Variables!$D$5:$D$65,MATCH($A1230,Variables!$A$5:$A$65,0))="","","."&amp;INDEX(Variables!$D$5:$D$65,MATCH($A1230,Variables!$A$5:$A$65,0)))&amp;"."&amp;K$5</f>
        <v/>
      </c>
      <c r="L1230" s="38">
        <f>L1185+L1221</f>
        <v/>
      </c>
      <c r="M1230" s="36">
        <f>M1185+M1221</f>
        <v/>
      </c>
      <c r="N1230" s="36">
        <f>N1185+N1221</f>
        <v/>
      </c>
      <c r="O1230" s="36">
        <f>O1185+O1221</f>
        <v/>
      </c>
      <c r="P1230" s="36">
        <f>P1185+P1221</f>
        <v/>
      </c>
      <c r="Q1230" s="36">
        <f>Q1185+Q1221</f>
        <v/>
      </c>
      <c r="R1230" s="36">
        <f>R1185+R1221</f>
        <v/>
      </c>
      <c r="S1230" s="36">
        <f>S1185+S1221</f>
        <v/>
      </c>
      <c r="T1230" s="36">
        <f>T1185+T1221</f>
        <v/>
      </c>
      <c r="U1230" s="36">
        <f>U1185+U1221</f>
        <v/>
      </c>
      <c r="V1230" s="36">
        <f>V1185+V1221</f>
        <v/>
      </c>
      <c r="W1230" s="36">
        <f>W1185+W1221</f>
        <v/>
      </c>
      <c r="X1230" s="36">
        <f>X1185+X1221</f>
        <v/>
      </c>
      <c r="Y1230" s="39">
        <f>POSTTAX(Y1185,Y1221)</f>
        <v/>
      </c>
      <c r="Z1230" s="23">
        <f>LOWER(Settings!$C$4)&amp;".mit."&amp;$A1230&amp;IF($C1230="","","."&amp;$C1230&amp;"."&amp;$B1230)&amp;IF(INDEX(Variables!$D$5:$D$65,MATCH($A1230,Variables!$A$5:$A$65,0))="","","."&amp;INDEX(Variables!$D$5:$D$65,MATCH($A1230,Variables!$A$5:$A$65,0)))&amp;"."&amp;Z$5</f>
        <v/>
      </c>
      <c r="AA1230" s="38">
        <f>AA1185+AA1221</f>
        <v/>
      </c>
      <c r="AB1230" s="36">
        <f>AB1185+AB1221</f>
        <v/>
      </c>
      <c r="AC1230" s="36">
        <f>AC1185+AC1221</f>
        <v/>
      </c>
      <c r="AD1230" s="36">
        <f>AD1185+AD1221</f>
        <v/>
      </c>
      <c r="AE1230" s="36">
        <f>AE1185+AE1221</f>
        <v/>
      </c>
      <c r="AF1230" s="36">
        <f>AF1185+AF1221</f>
        <v/>
      </c>
      <c r="AG1230" s="36">
        <f>AG1185+AG1221</f>
        <v/>
      </c>
      <c r="AH1230" s="36">
        <f>AH1185+AH1221</f>
        <v/>
      </c>
      <c r="AI1230" s="36">
        <f>AI1185+AI1221</f>
        <v/>
      </c>
      <c r="AJ1230" s="36">
        <f>AJ1185+AJ1221</f>
        <v/>
      </c>
      <c r="AK1230" s="36">
        <f>AK1185+AK1221</f>
        <v/>
      </c>
      <c r="AL1230" s="36">
        <f>AL1185+AL1221</f>
        <v/>
      </c>
      <c r="AM1230" s="36">
        <f>AM1185+AM1221</f>
        <v/>
      </c>
      <c r="AN1230" s="39">
        <f>POSTTAX(AN1185,AN1221)</f>
        <v/>
      </c>
    </row>
    <row r="1231" hidden="1" outlineLevel="2">
      <c r="A1231" s="5" t="inlineStr">
        <is>
          <t>atp</t>
        </is>
      </c>
      <c r="B1231" s="5" t="inlineStr">
        <is>
          <t>oop</t>
        </is>
      </c>
      <c r="C1231" s="5" t="inlineStr">
        <is>
          <t>ftr</t>
        </is>
      </c>
      <c r="D1231" s="37" t="n"/>
      <c r="E1231" s="37" t="n"/>
      <c r="F1231" s="37" t="n"/>
      <c r="G1231" s="37" t="n"/>
      <c r="H1231" s="5">
        <f>INDEX(Variables!$B$5:$B$65,MATCH($A1231,Variables!$A$5:$A$65,0))&amp;IF($C1231="",""," | "&amp;INDEX(Mapping!$B$5:$B$25,MATCH($C1231,Mapping!$A$5:$A$25,0))&amp;" | "&amp;INDEX(Mapping!$B$29:$B$38,MATCH($B1231,Mapping!$A$29:$A$38,0)))</f>
        <v/>
      </c>
      <c r="I1231" s="5">
        <f>INDEX(Variables!$C$5:$C$65,MATCH($A1231,Variables!$A$5:$A$65,0))</f>
        <v/>
      </c>
      <c r="J1231" s="5">
        <f>INDEX(Variables!$E$5:$E$65,MATCH($A1231,Variables!$A$5:$A$65,0))</f>
        <v/>
      </c>
      <c r="K1231" s="23">
        <f>LOWER(Settings!$C$4)&amp;".mit."&amp;$A1231&amp;IF($C1231="","","."&amp;$C1231&amp;"."&amp;$B1231)&amp;IF(INDEX(Variables!$D$5:$D$65,MATCH($A1231,Variables!$A$5:$A$65,0))="","","."&amp;INDEX(Variables!$D$5:$D$65,MATCH($A1231,Variables!$A$5:$A$65,0)))&amp;"."&amp;K$5</f>
        <v/>
      </c>
      <c r="L1231" s="38">
        <f>L1186+L1222</f>
        <v/>
      </c>
      <c r="M1231" s="36">
        <f>M1186+M1222</f>
        <v/>
      </c>
      <c r="N1231" s="36">
        <f>N1186+N1222</f>
        <v/>
      </c>
      <c r="O1231" s="36">
        <f>O1186+O1222</f>
        <v/>
      </c>
      <c r="P1231" s="36">
        <f>P1186+P1222</f>
        <v/>
      </c>
      <c r="Q1231" s="36">
        <f>Q1186+Q1222</f>
        <v/>
      </c>
      <c r="R1231" s="36">
        <f>R1186+R1222</f>
        <v/>
      </c>
      <c r="S1231" s="36">
        <f>S1186+S1222</f>
        <v/>
      </c>
      <c r="T1231" s="36">
        <f>T1186+T1222</f>
        <v/>
      </c>
      <c r="U1231" s="36">
        <f>U1186+U1222</f>
        <v/>
      </c>
      <c r="V1231" s="36">
        <f>V1186+V1222</f>
        <v/>
      </c>
      <c r="W1231" s="36">
        <f>W1186+W1222</f>
        <v/>
      </c>
      <c r="X1231" s="36">
        <f>X1186+X1222</f>
        <v/>
      </c>
      <c r="Y1231" s="39">
        <f>POSTTAX(Y1186,Y1222)</f>
        <v/>
      </c>
      <c r="Z1231" s="23">
        <f>LOWER(Settings!$C$4)&amp;".mit."&amp;$A1231&amp;IF($C1231="","","."&amp;$C1231&amp;"."&amp;$B1231)&amp;IF(INDEX(Variables!$D$5:$D$65,MATCH($A1231,Variables!$A$5:$A$65,0))="","","."&amp;INDEX(Variables!$D$5:$D$65,MATCH($A1231,Variables!$A$5:$A$65,0)))&amp;"."&amp;Z$5</f>
        <v/>
      </c>
      <c r="AA1231" s="38">
        <f>AA1186+AA1222</f>
        <v/>
      </c>
      <c r="AB1231" s="36">
        <f>AB1186+AB1222</f>
        <v/>
      </c>
      <c r="AC1231" s="36">
        <f>AC1186+AC1222</f>
        <v/>
      </c>
      <c r="AD1231" s="36">
        <f>AD1186+AD1222</f>
        <v/>
      </c>
      <c r="AE1231" s="36">
        <f>AE1186+AE1222</f>
        <v/>
      </c>
      <c r="AF1231" s="36">
        <f>AF1186+AF1222</f>
        <v/>
      </c>
      <c r="AG1231" s="36">
        <f>AG1186+AG1222</f>
        <v/>
      </c>
      <c r="AH1231" s="36">
        <f>AH1186+AH1222</f>
        <v/>
      </c>
      <c r="AI1231" s="36">
        <f>AI1186+AI1222</f>
        <v/>
      </c>
      <c r="AJ1231" s="36">
        <f>AJ1186+AJ1222</f>
        <v/>
      </c>
      <c r="AK1231" s="36">
        <f>AK1186+AK1222</f>
        <v/>
      </c>
      <c r="AL1231" s="36">
        <f>AL1186+AL1222</f>
        <v/>
      </c>
      <c r="AM1231" s="36">
        <f>AM1186+AM1222</f>
        <v/>
      </c>
      <c r="AN1231" s="39">
        <f>POSTTAX(AN1186,AN1222)</f>
        <v/>
      </c>
    </row>
    <row r="1232" hidden="1" outlineLevel="2">
      <c r="A1232" s="5" t="inlineStr">
        <is>
          <t>atp</t>
        </is>
      </c>
      <c r="B1232" s="5" t="inlineStr">
        <is>
          <t>bio</t>
        </is>
      </c>
      <c r="C1232" s="5" t="inlineStr">
        <is>
          <t>ftr</t>
        </is>
      </c>
      <c r="D1232" s="37" t="n"/>
      <c r="E1232" s="37" t="n"/>
      <c r="F1232" s="37" t="n"/>
      <c r="G1232" s="37" t="n"/>
      <c r="H1232" s="5">
        <f>INDEX(Variables!$B$5:$B$65,MATCH($A1232,Variables!$A$5:$A$65,0))&amp;IF($C1232="",""," | "&amp;INDEX(Mapping!$B$5:$B$25,MATCH($C1232,Mapping!$A$5:$A$25,0))&amp;" | "&amp;INDEX(Mapping!$B$29:$B$38,MATCH($B1232,Mapping!$A$29:$A$38,0)))</f>
        <v/>
      </c>
      <c r="I1232" s="5">
        <f>INDEX(Variables!$C$5:$C$65,MATCH($A1232,Variables!$A$5:$A$65,0))</f>
        <v/>
      </c>
      <c r="J1232" s="5">
        <f>INDEX(Variables!$E$5:$E$65,MATCH($A1232,Variables!$A$5:$A$65,0))</f>
        <v/>
      </c>
      <c r="K1232" s="23">
        <f>LOWER(Settings!$C$4)&amp;".mit."&amp;$A1232&amp;IF($C1232="","","."&amp;$C1232&amp;"."&amp;$B1232)&amp;IF(INDEX(Variables!$D$5:$D$65,MATCH($A1232,Variables!$A$5:$A$65,0))="","","."&amp;INDEX(Variables!$D$5:$D$65,MATCH($A1232,Variables!$A$5:$A$65,0)))&amp;"."&amp;K$5</f>
        <v/>
      </c>
      <c r="L1232" s="38">
        <f>L1187+L1223</f>
        <v/>
      </c>
      <c r="M1232" s="36">
        <f>M1187+M1223</f>
        <v/>
      </c>
      <c r="N1232" s="36">
        <f>N1187+N1223</f>
        <v/>
      </c>
      <c r="O1232" s="36">
        <f>O1187+O1223</f>
        <v/>
      </c>
      <c r="P1232" s="36">
        <f>P1187+P1223</f>
        <v/>
      </c>
      <c r="Q1232" s="36">
        <f>Q1187+Q1223</f>
        <v/>
      </c>
      <c r="R1232" s="36">
        <f>R1187+R1223</f>
        <v/>
      </c>
      <c r="S1232" s="36">
        <f>S1187+S1223</f>
        <v/>
      </c>
      <c r="T1232" s="36">
        <f>T1187+T1223</f>
        <v/>
      </c>
      <c r="U1232" s="36">
        <f>U1187+U1223</f>
        <v/>
      </c>
      <c r="V1232" s="36">
        <f>V1187+V1223</f>
        <v/>
      </c>
      <c r="W1232" s="36">
        <f>W1187+W1223</f>
        <v/>
      </c>
      <c r="X1232" s="36">
        <f>X1187+X1223</f>
        <v/>
      </c>
      <c r="Y1232" s="39">
        <f>POSTTAX(Y1187,Y1223)</f>
        <v/>
      </c>
      <c r="Z1232" s="23">
        <f>LOWER(Settings!$C$4)&amp;".mit."&amp;$A1232&amp;IF($C1232="","","."&amp;$C1232&amp;"."&amp;$B1232)&amp;IF(INDEX(Variables!$D$5:$D$65,MATCH($A1232,Variables!$A$5:$A$65,0))="","","."&amp;INDEX(Variables!$D$5:$D$65,MATCH($A1232,Variables!$A$5:$A$65,0)))&amp;"."&amp;Z$5</f>
        <v/>
      </c>
      <c r="AA1232" s="38">
        <f>AA1187+AA1223</f>
        <v/>
      </c>
      <c r="AB1232" s="36">
        <f>AB1187+AB1223</f>
        <v/>
      </c>
      <c r="AC1232" s="36">
        <f>AC1187+AC1223</f>
        <v/>
      </c>
      <c r="AD1232" s="36">
        <f>AD1187+AD1223</f>
        <v/>
      </c>
      <c r="AE1232" s="36">
        <f>AE1187+AE1223</f>
        <v/>
      </c>
      <c r="AF1232" s="36">
        <f>AF1187+AF1223</f>
        <v/>
      </c>
      <c r="AG1232" s="36">
        <f>AG1187+AG1223</f>
        <v/>
      </c>
      <c r="AH1232" s="36">
        <f>AH1187+AH1223</f>
        <v/>
      </c>
      <c r="AI1232" s="36">
        <f>AI1187+AI1223</f>
        <v/>
      </c>
      <c r="AJ1232" s="36">
        <f>AJ1187+AJ1223</f>
        <v/>
      </c>
      <c r="AK1232" s="36">
        <f>AK1187+AK1223</f>
        <v/>
      </c>
      <c r="AL1232" s="36">
        <f>AL1187+AL1223</f>
        <v/>
      </c>
      <c r="AM1232" s="36">
        <f>AM1187+AM1223</f>
        <v/>
      </c>
      <c r="AN1232" s="39">
        <f>POSTTAX(AN1187,AN1223)</f>
        <v/>
      </c>
    </row>
    <row r="1233" hidden="1" outlineLevel="2"/>
    <row r="1234" hidden="1" outlineLevel="2">
      <c r="A1234" s="5" t="inlineStr">
        <is>
          <t>shp</t>
        </is>
      </c>
      <c r="B1234" s="5" t="inlineStr">
        <is>
          <t>coa</t>
        </is>
      </c>
      <c r="C1234" s="5" t="inlineStr">
        <is>
          <t>ftr</t>
        </is>
      </c>
      <c r="D1234" s="36">
        <f>INDEX(Inputs!$M$5:$M$132,MATCH($B1234&amp;"|"&amp;$C1234,Inputs!$A$5:$A$132,0))</f>
        <v/>
      </c>
      <c r="E1234" s="36">
        <f>INDEX(Inputs!$U$5:$U$132,MATCH($B1234&amp;"|"&amp;$C1234,Inputs!$A$5:$A$132,0))</f>
        <v/>
      </c>
      <c r="F1234" s="36">
        <f>INDEX(Inputs!$K$5:$K$132,MATCH($B1234&amp;"|"&amp;$C1234,Inputs!$A$5:$A$132,0))</f>
        <v/>
      </c>
      <c r="G1234" s="37" t="n"/>
      <c r="H1234" s="5">
        <f>INDEX(Variables!$B$5:$B$65,MATCH($A1234,Variables!$A$5:$A$65,0))&amp;IF($C1234="",""," | "&amp;INDEX(Mapping!$B$5:$B$25,MATCH($C1234,Mapping!$A$5:$A$25,0))&amp;" | "&amp;INDEX(Mapping!$B$29:$B$38,MATCH($B1234,Mapping!$A$29:$A$38,0)))</f>
        <v/>
      </c>
      <c r="I1234" s="5">
        <f>INDEX(Variables!$C$5:$C$65,MATCH($A1234,Variables!$A$5:$A$65,0))</f>
        <v/>
      </c>
      <c r="J1234" s="5">
        <f>INDEX(Variables!$E$5:$E$65,MATCH($A1234,Variables!$A$5:$A$65,0))</f>
        <v/>
      </c>
      <c r="K1234" s="23">
        <f>LOWER(Settings!$C$4)&amp;".mit."&amp;$A1234&amp;IF($C1234="","","."&amp;$C1234&amp;"."&amp;$B1234)&amp;IF(INDEX(Variables!$D$5:$D$65,MATCH($A1234,Variables!$A$5:$A$65,0))="","","."&amp;INDEX(Variables!$D$5:$D$65,MATCH($A1234,Variables!$A$5:$A$65,0)))&amp;"."&amp;K$5</f>
        <v/>
      </c>
      <c r="L1234" s="38">
        <f>INDEX(L$124:L$127,$D1234)*$E1234*INDEX(L$128:L$144,$F1234)</f>
        <v/>
      </c>
      <c r="M1234" s="36">
        <f>INDEX(M$124:M$127,$D1234)*$E1234*INDEX(M$128:M$144,$F1234)</f>
        <v/>
      </c>
      <c r="N1234" s="36">
        <f>INDEX(N$124:N$127,$D1234)*$E1234*INDEX(N$128:N$144,$F1234)</f>
        <v/>
      </c>
      <c r="O1234" s="36">
        <f>INDEX(O$124:O$127,$D1234)*$E1234*INDEX(O$128:O$144,$F1234)</f>
        <v/>
      </c>
      <c r="P1234" s="36">
        <f>INDEX(P$124:P$127,$D1234)*$E1234*INDEX(P$128:P$144,$F1234)</f>
        <v/>
      </c>
      <c r="Q1234" s="36">
        <f>INDEX(Q$124:Q$127,$D1234)*$E1234*INDEX(Q$128:Q$144,$F1234)</f>
        <v/>
      </c>
      <c r="R1234" s="36">
        <f>INDEX(R$124:R$127,$D1234)*$E1234*INDEX(R$128:R$144,$F1234)</f>
        <v/>
      </c>
      <c r="S1234" s="36">
        <f>INDEX(S$124:S$127,$D1234)*$E1234*INDEX(S$128:S$144,$F1234)</f>
        <v/>
      </c>
      <c r="T1234" s="36">
        <f>INDEX(T$124:T$127,$D1234)*$E1234*INDEX(T$128:T$144,$F1234)</f>
        <v/>
      </c>
      <c r="U1234" s="36">
        <f>INDEX(U$124:U$127,$D1234)*$E1234*INDEX(U$128:U$144,$F1234)</f>
        <v/>
      </c>
      <c r="V1234" s="36">
        <f>INDEX(V$124:V$127,$D1234)*$E1234*INDEX(V$128:V$144,$F1234)</f>
        <v/>
      </c>
      <c r="W1234" s="36">
        <f>INDEX(W$124:W$127,$D1234)*$E1234*INDEX(W$128:W$144,$F1234)</f>
        <v/>
      </c>
      <c r="X1234" s="36">
        <f>INDEX(X$124:X$127,$D1234)*$E1234*INDEX(X$128:X$144,$F1234)</f>
        <v/>
      </c>
      <c r="Y1234" s="36">
        <f>INDEX(Y$124:Y$127,$D1234)*$E1234*INDEX(Y$128:Y$144,$F1234)</f>
        <v/>
      </c>
      <c r="Z1234" s="23">
        <f>LOWER(Settings!$C$4)&amp;".mit."&amp;$A1234&amp;IF($C1234="","","."&amp;$C1234&amp;"."&amp;$B1234)&amp;IF(INDEX(Variables!$D$5:$D$65,MATCH($A1234,Variables!$A$5:$A$65,0))="","","."&amp;INDEX(Variables!$D$5:$D$65,MATCH($A1234,Variables!$A$5:$A$65,0)))&amp;"."&amp;Z$5</f>
        <v/>
      </c>
      <c r="AA1234" s="38">
        <f>INDEX(AA$124:AA$127,$D1234)*$E1234*INDEX(AA$128:AA$144,$F1234)</f>
        <v/>
      </c>
      <c r="AB1234" s="36">
        <f>INDEX(AB$124:AB$127,$D1234)*$E1234*INDEX(AB$128:AB$144,$F1234)</f>
        <v/>
      </c>
      <c r="AC1234" s="36">
        <f>INDEX(AC$124:AC$127,$D1234)*$E1234*INDEX(AC$128:AC$144,$F1234)</f>
        <v/>
      </c>
      <c r="AD1234" s="36">
        <f>INDEX(AD$124:AD$127,$D1234)*$E1234*INDEX(AD$128:AD$144,$F1234)</f>
        <v/>
      </c>
      <c r="AE1234" s="36">
        <f>INDEX(AE$124:AE$127,$D1234)*$E1234*INDEX(AE$128:AE$144,$F1234)</f>
        <v/>
      </c>
      <c r="AF1234" s="36">
        <f>INDEX(AF$124:AF$127,$D1234)*$E1234*INDEX(AF$128:AF$144,$F1234)</f>
        <v/>
      </c>
      <c r="AG1234" s="36">
        <f>INDEX(AG$124:AG$127,$D1234)*$E1234*INDEX(AG$128:AG$144,$F1234)</f>
        <v/>
      </c>
      <c r="AH1234" s="36">
        <f>INDEX(AH$124:AH$127,$D1234)*$E1234*INDEX(AH$128:AH$144,$F1234)</f>
        <v/>
      </c>
      <c r="AI1234" s="36">
        <f>INDEX(AI$124:AI$127,$D1234)*$E1234*INDEX(AI$128:AI$144,$F1234)</f>
        <v/>
      </c>
      <c r="AJ1234" s="36">
        <f>INDEX(AJ$124:AJ$127,$D1234)*$E1234*INDEX(AJ$128:AJ$144,$F1234)</f>
        <v/>
      </c>
      <c r="AK1234" s="36">
        <f>INDEX(AK$124:AK$127,$D1234)*$E1234*INDEX(AK$128:AK$144,$F1234)</f>
        <v/>
      </c>
      <c r="AL1234" s="36">
        <f>INDEX(AL$124:AL$127,$D1234)*$E1234*INDEX(AL$128:AL$144,$F1234)</f>
        <v/>
      </c>
      <c r="AM1234" s="36">
        <f>INDEX(AM$124:AM$127,$D1234)*$E1234*INDEX(AM$128:AM$144,$F1234)</f>
        <v/>
      </c>
      <c r="AN1234" s="36">
        <f>INDEX(AN$124:AN$127,$D1234)*$E1234*INDEX(AN$128:AN$144,$F1234)</f>
        <v/>
      </c>
    </row>
    <row r="1235" hidden="1" outlineLevel="2">
      <c r="A1235" s="5" t="inlineStr">
        <is>
          <t>shp</t>
        </is>
      </c>
      <c r="B1235" s="5" t="inlineStr">
        <is>
          <t>nga</t>
        </is>
      </c>
      <c r="C1235" s="5" t="inlineStr">
        <is>
          <t>ftr</t>
        </is>
      </c>
      <c r="D1235" s="36">
        <f>INDEX(Inputs!$M$5:$M$132,MATCH($B1235&amp;"|"&amp;$C1235,Inputs!$A$5:$A$132,0))</f>
        <v/>
      </c>
      <c r="E1235" s="36">
        <f>INDEX(Inputs!$U$5:$U$132,MATCH($B1235&amp;"|"&amp;$C1235,Inputs!$A$5:$A$132,0))</f>
        <v/>
      </c>
      <c r="F1235" s="36">
        <f>INDEX(Inputs!$K$5:$K$132,MATCH($B1235&amp;"|"&amp;$C1235,Inputs!$A$5:$A$132,0))</f>
        <v/>
      </c>
      <c r="G1235" s="37" t="n"/>
      <c r="H1235" s="5">
        <f>INDEX(Variables!$B$5:$B$65,MATCH($A1235,Variables!$A$5:$A$65,0))&amp;IF($C1235="",""," | "&amp;INDEX(Mapping!$B$5:$B$25,MATCH($C1235,Mapping!$A$5:$A$25,0))&amp;" | "&amp;INDEX(Mapping!$B$29:$B$38,MATCH($B1235,Mapping!$A$29:$A$38,0)))</f>
        <v/>
      </c>
      <c r="I1235" s="5">
        <f>INDEX(Variables!$C$5:$C$65,MATCH($A1235,Variables!$A$5:$A$65,0))</f>
        <v/>
      </c>
      <c r="J1235" s="5">
        <f>INDEX(Variables!$E$5:$E$65,MATCH($A1235,Variables!$A$5:$A$65,0))</f>
        <v/>
      </c>
      <c r="K1235" s="23">
        <f>LOWER(Settings!$C$4)&amp;".mit."&amp;$A1235&amp;IF($C1235="","","."&amp;$C1235&amp;"."&amp;$B1235)&amp;IF(INDEX(Variables!$D$5:$D$65,MATCH($A1235,Variables!$A$5:$A$65,0))="","","."&amp;INDEX(Variables!$D$5:$D$65,MATCH($A1235,Variables!$A$5:$A$65,0)))&amp;"."&amp;K$5</f>
        <v/>
      </c>
      <c r="L1235" s="38">
        <f>INDEX(L$124:L$127,$D1235)*$E1235*INDEX(L$128:L$144,$F1235)</f>
        <v/>
      </c>
      <c r="M1235" s="36">
        <f>INDEX(M$124:M$127,$D1235)*$E1235*INDEX(M$128:M$144,$F1235)</f>
        <v/>
      </c>
      <c r="N1235" s="36">
        <f>INDEX(N$124:N$127,$D1235)*$E1235*INDEX(N$128:N$144,$F1235)</f>
        <v/>
      </c>
      <c r="O1235" s="36">
        <f>INDEX(O$124:O$127,$D1235)*$E1235*INDEX(O$128:O$144,$F1235)</f>
        <v/>
      </c>
      <c r="P1235" s="36">
        <f>INDEX(P$124:P$127,$D1235)*$E1235*INDEX(P$128:P$144,$F1235)</f>
        <v/>
      </c>
      <c r="Q1235" s="36">
        <f>INDEX(Q$124:Q$127,$D1235)*$E1235*INDEX(Q$128:Q$144,$F1235)</f>
        <v/>
      </c>
      <c r="R1235" s="36">
        <f>INDEX(R$124:R$127,$D1235)*$E1235*INDEX(R$128:R$144,$F1235)</f>
        <v/>
      </c>
      <c r="S1235" s="36">
        <f>INDEX(S$124:S$127,$D1235)*$E1235*INDEX(S$128:S$144,$F1235)</f>
        <v/>
      </c>
      <c r="T1235" s="36">
        <f>INDEX(T$124:T$127,$D1235)*$E1235*INDEX(T$128:T$144,$F1235)</f>
        <v/>
      </c>
      <c r="U1235" s="36">
        <f>INDEX(U$124:U$127,$D1235)*$E1235*INDEX(U$128:U$144,$F1235)</f>
        <v/>
      </c>
      <c r="V1235" s="36">
        <f>INDEX(V$124:V$127,$D1235)*$E1235*INDEX(V$128:V$144,$F1235)</f>
        <v/>
      </c>
      <c r="W1235" s="36">
        <f>INDEX(W$124:W$127,$D1235)*$E1235*INDEX(W$128:W$144,$F1235)</f>
        <v/>
      </c>
      <c r="X1235" s="36">
        <f>INDEX(X$124:X$127,$D1235)*$E1235*INDEX(X$128:X$144,$F1235)</f>
        <v/>
      </c>
      <c r="Y1235" s="36">
        <f>INDEX(Y$124:Y$127,$D1235)*$E1235*INDEX(Y$128:Y$144,$F1235)</f>
        <v/>
      </c>
      <c r="Z1235" s="23">
        <f>LOWER(Settings!$C$4)&amp;".mit."&amp;$A1235&amp;IF($C1235="","","."&amp;$C1235&amp;"."&amp;$B1235)&amp;IF(INDEX(Variables!$D$5:$D$65,MATCH($A1235,Variables!$A$5:$A$65,0))="","","."&amp;INDEX(Variables!$D$5:$D$65,MATCH($A1235,Variables!$A$5:$A$65,0)))&amp;"."&amp;Z$5</f>
        <v/>
      </c>
      <c r="AA1235" s="38">
        <f>INDEX(AA$124:AA$127,$D1235)*$E1235*INDEX(AA$128:AA$144,$F1235)</f>
        <v/>
      </c>
      <c r="AB1235" s="36">
        <f>INDEX(AB$124:AB$127,$D1235)*$E1235*INDEX(AB$128:AB$144,$F1235)</f>
        <v/>
      </c>
      <c r="AC1235" s="36">
        <f>INDEX(AC$124:AC$127,$D1235)*$E1235*INDEX(AC$128:AC$144,$F1235)</f>
        <v/>
      </c>
      <c r="AD1235" s="36">
        <f>INDEX(AD$124:AD$127,$D1235)*$E1235*INDEX(AD$128:AD$144,$F1235)</f>
        <v/>
      </c>
      <c r="AE1235" s="36">
        <f>INDEX(AE$124:AE$127,$D1235)*$E1235*INDEX(AE$128:AE$144,$F1235)</f>
        <v/>
      </c>
      <c r="AF1235" s="36">
        <f>INDEX(AF$124:AF$127,$D1235)*$E1235*INDEX(AF$128:AF$144,$F1235)</f>
        <v/>
      </c>
      <c r="AG1235" s="36">
        <f>INDEX(AG$124:AG$127,$D1235)*$E1235*INDEX(AG$128:AG$144,$F1235)</f>
        <v/>
      </c>
      <c r="AH1235" s="36">
        <f>INDEX(AH$124:AH$127,$D1235)*$E1235*INDEX(AH$128:AH$144,$F1235)</f>
        <v/>
      </c>
      <c r="AI1235" s="36">
        <f>INDEX(AI$124:AI$127,$D1235)*$E1235*INDEX(AI$128:AI$144,$F1235)</f>
        <v/>
      </c>
      <c r="AJ1235" s="36">
        <f>INDEX(AJ$124:AJ$127,$D1235)*$E1235*INDEX(AJ$128:AJ$144,$F1235)</f>
        <v/>
      </c>
      <c r="AK1235" s="36">
        <f>INDEX(AK$124:AK$127,$D1235)*$E1235*INDEX(AK$128:AK$144,$F1235)</f>
        <v/>
      </c>
      <c r="AL1235" s="36">
        <f>INDEX(AL$124:AL$127,$D1235)*$E1235*INDEX(AL$128:AL$144,$F1235)</f>
        <v/>
      </c>
      <c r="AM1235" s="36">
        <f>INDEX(AM$124:AM$127,$D1235)*$E1235*INDEX(AM$128:AM$144,$F1235)</f>
        <v/>
      </c>
      <c r="AN1235" s="36">
        <f>INDEX(AN$124:AN$127,$D1235)*$E1235*INDEX(AN$128:AN$144,$F1235)</f>
        <v/>
      </c>
    </row>
    <row r="1236" hidden="1" outlineLevel="2">
      <c r="A1236" s="5" t="inlineStr">
        <is>
          <t>shp</t>
        </is>
      </c>
      <c r="B1236" s="5" t="inlineStr">
        <is>
          <t>gso</t>
        </is>
      </c>
      <c r="C1236" s="5" t="inlineStr">
        <is>
          <t>ftr</t>
        </is>
      </c>
      <c r="D1236" s="36">
        <f>INDEX(Inputs!$M$5:$M$132,MATCH($B1236&amp;"|"&amp;$C1236,Inputs!$A$5:$A$132,0))</f>
        <v/>
      </c>
      <c r="E1236" s="36">
        <f>INDEX(Inputs!$U$5:$U$132,MATCH($B1236&amp;"|"&amp;$C1236,Inputs!$A$5:$A$132,0))</f>
        <v/>
      </c>
      <c r="F1236" s="36">
        <f>INDEX(Inputs!$K$5:$K$132,MATCH($B1236&amp;"|"&amp;$C1236,Inputs!$A$5:$A$132,0))</f>
        <v/>
      </c>
      <c r="G1236" s="37" t="n"/>
      <c r="H1236" s="5">
        <f>INDEX(Variables!$B$5:$B$65,MATCH($A1236,Variables!$A$5:$A$65,0))&amp;IF($C1236="",""," | "&amp;INDEX(Mapping!$B$5:$B$25,MATCH($C1236,Mapping!$A$5:$A$25,0))&amp;" | "&amp;INDEX(Mapping!$B$29:$B$38,MATCH($B1236,Mapping!$A$29:$A$38,0)))</f>
        <v/>
      </c>
      <c r="I1236" s="5">
        <f>INDEX(Variables!$C$5:$C$65,MATCH($A1236,Variables!$A$5:$A$65,0))</f>
        <v/>
      </c>
      <c r="J1236" s="5">
        <f>INDEX(Variables!$E$5:$E$65,MATCH($A1236,Variables!$A$5:$A$65,0))</f>
        <v/>
      </c>
      <c r="K1236" s="23">
        <f>LOWER(Settings!$C$4)&amp;".mit."&amp;$A1236&amp;IF($C1236="","","."&amp;$C1236&amp;"."&amp;$B1236)&amp;IF(INDEX(Variables!$D$5:$D$65,MATCH($A1236,Variables!$A$5:$A$65,0))="","","."&amp;INDEX(Variables!$D$5:$D$65,MATCH($A1236,Variables!$A$5:$A$65,0)))&amp;"."&amp;K$5</f>
        <v/>
      </c>
      <c r="L1236" s="38">
        <f>INDEX(L$124:L$127,$D1236)*$E1236*INDEX(L$128:L$144,$F1236)</f>
        <v/>
      </c>
      <c r="M1236" s="36">
        <f>INDEX(M$124:M$127,$D1236)*$E1236*INDEX(M$128:M$144,$F1236)</f>
        <v/>
      </c>
      <c r="N1236" s="36">
        <f>INDEX(N$124:N$127,$D1236)*$E1236*INDEX(N$128:N$144,$F1236)</f>
        <v/>
      </c>
      <c r="O1236" s="36">
        <f>INDEX(O$124:O$127,$D1236)*$E1236*INDEX(O$128:O$144,$F1236)</f>
        <v/>
      </c>
      <c r="P1236" s="36">
        <f>INDEX(P$124:P$127,$D1236)*$E1236*INDEX(P$128:P$144,$F1236)</f>
        <v/>
      </c>
      <c r="Q1236" s="36">
        <f>INDEX(Q$124:Q$127,$D1236)*$E1236*INDEX(Q$128:Q$144,$F1236)</f>
        <v/>
      </c>
      <c r="R1236" s="36">
        <f>INDEX(R$124:R$127,$D1236)*$E1236*INDEX(R$128:R$144,$F1236)</f>
        <v/>
      </c>
      <c r="S1236" s="36">
        <f>INDEX(S$124:S$127,$D1236)*$E1236*INDEX(S$128:S$144,$F1236)</f>
        <v/>
      </c>
      <c r="T1236" s="36">
        <f>INDEX(T$124:T$127,$D1236)*$E1236*INDEX(T$128:T$144,$F1236)</f>
        <v/>
      </c>
      <c r="U1236" s="36">
        <f>INDEX(U$124:U$127,$D1236)*$E1236*INDEX(U$128:U$144,$F1236)</f>
        <v/>
      </c>
      <c r="V1236" s="36">
        <f>INDEX(V$124:V$127,$D1236)*$E1236*INDEX(V$128:V$144,$F1236)</f>
        <v/>
      </c>
      <c r="W1236" s="36">
        <f>INDEX(W$124:W$127,$D1236)*$E1236*INDEX(W$128:W$144,$F1236)</f>
        <v/>
      </c>
      <c r="X1236" s="36">
        <f>INDEX(X$124:X$127,$D1236)*$E1236*INDEX(X$128:X$144,$F1236)</f>
        <v/>
      </c>
      <c r="Y1236" s="36">
        <f>INDEX(Y$124:Y$127,$D1236)*$E1236*INDEX(Y$128:Y$144,$F1236)</f>
        <v/>
      </c>
      <c r="Z1236" s="23">
        <f>LOWER(Settings!$C$4)&amp;".mit."&amp;$A1236&amp;IF($C1236="","","."&amp;$C1236&amp;"."&amp;$B1236)&amp;IF(INDEX(Variables!$D$5:$D$65,MATCH($A1236,Variables!$A$5:$A$65,0))="","","."&amp;INDEX(Variables!$D$5:$D$65,MATCH($A1236,Variables!$A$5:$A$65,0)))&amp;"."&amp;Z$5</f>
        <v/>
      </c>
      <c r="AA1236" s="38">
        <f>INDEX(AA$124:AA$127,$D1236)*$E1236*INDEX(AA$128:AA$144,$F1236)</f>
        <v/>
      </c>
      <c r="AB1236" s="36">
        <f>INDEX(AB$124:AB$127,$D1236)*$E1236*INDEX(AB$128:AB$144,$F1236)</f>
        <v/>
      </c>
      <c r="AC1236" s="36">
        <f>INDEX(AC$124:AC$127,$D1236)*$E1236*INDEX(AC$128:AC$144,$F1236)</f>
        <v/>
      </c>
      <c r="AD1236" s="36">
        <f>INDEX(AD$124:AD$127,$D1236)*$E1236*INDEX(AD$128:AD$144,$F1236)</f>
        <v/>
      </c>
      <c r="AE1236" s="36">
        <f>INDEX(AE$124:AE$127,$D1236)*$E1236*INDEX(AE$128:AE$144,$F1236)</f>
        <v/>
      </c>
      <c r="AF1236" s="36">
        <f>INDEX(AF$124:AF$127,$D1236)*$E1236*INDEX(AF$128:AF$144,$F1236)</f>
        <v/>
      </c>
      <c r="AG1236" s="36">
        <f>INDEX(AG$124:AG$127,$D1236)*$E1236*INDEX(AG$128:AG$144,$F1236)</f>
        <v/>
      </c>
      <c r="AH1236" s="36">
        <f>INDEX(AH$124:AH$127,$D1236)*$E1236*INDEX(AH$128:AH$144,$F1236)</f>
        <v/>
      </c>
      <c r="AI1236" s="36">
        <f>INDEX(AI$124:AI$127,$D1236)*$E1236*INDEX(AI$128:AI$144,$F1236)</f>
        <v/>
      </c>
      <c r="AJ1236" s="36">
        <f>INDEX(AJ$124:AJ$127,$D1236)*$E1236*INDEX(AJ$128:AJ$144,$F1236)</f>
        <v/>
      </c>
      <c r="AK1236" s="36">
        <f>INDEX(AK$124:AK$127,$D1236)*$E1236*INDEX(AK$128:AK$144,$F1236)</f>
        <v/>
      </c>
      <c r="AL1236" s="36">
        <f>INDEX(AL$124:AL$127,$D1236)*$E1236*INDEX(AL$128:AL$144,$F1236)</f>
        <v/>
      </c>
      <c r="AM1236" s="36">
        <f>INDEX(AM$124:AM$127,$D1236)*$E1236*INDEX(AM$128:AM$144,$F1236)</f>
        <v/>
      </c>
      <c r="AN1236" s="36">
        <f>INDEX(AN$124:AN$127,$D1236)*$E1236*INDEX(AN$128:AN$144,$F1236)</f>
        <v/>
      </c>
    </row>
    <row r="1237" hidden="1" outlineLevel="2">
      <c r="A1237" s="5" t="inlineStr">
        <is>
          <t>shp</t>
        </is>
      </c>
      <c r="B1237" s="5" t="inlineStr">
        <is>
          <t>die</t>
        </is>
      </c>
      <c r="C1237" s="5" t="inlineStr">
        <is>
          <t>ftr</t>
        </is>
      </c>
      <c r="D1237" s="36">
        <f>INDEX(Inputs!$M$5:$M$132,MATCH($B1237&amp;"|"&amp;$C1237,Inputs!$A$5:$A$132,0))</f>
        <v/>
      </c>
      <c r="E1237" s="36">
        <f>INDEX(Inputs!$U$5:$U$132,MATCH($B1237&amp;"|"&amp;$C1237,Inputs!$A$5:$A$132,0))</f>
        <v/>
      </c>
      <c r="F1237" s="36">
        <f>INDEX(Inputs!$K$5:$K$132,MATCH($B1237&amp;"|"&amp;$C1237,Inputs!$A$5:$A$132,0))</f>
        <v/>
      </c>
      <c r="G1237" s="37" t="n"/>
      <c r="H1237" s="5">
        <f>INDEX(Variables!$B$5:$B$65,MATCH($A1237,Variables!$A$5:$A$65,0))&amp;IF($C1237="",""," | "&amp;INDEX(Mapping!$B$5:$B$25,MATCH($C1237,Mapping!$A$5:$A$25,0))&amp;" | "&amp;INDEX(Mapping!$B$29:$B$38,MATCH($B1237,Mapping!$A$29:$A$38,0)))</f>
        <v/>
      </c>
      <c r="I1237" s="5">
        <f>INDEX(Variables!$C$5:$C$65,MATCH($A1237,Variables!$A$5:$A$65,0))</f>
        <v/>
      </c>
      <c r="J1237" s="5">
        <f>INDEX(Variables!$E$5:$E$65,MATCH($A1237,Variables!$A$5:$A$65,0))</f>
        <v/>
      </c>
      <c r="K1237" s="23">
        <f>LOWER(Settings!$C$4)&amp;".mit."&amp;$A1237&amp;IF($C1237="","","."&amp;$C1237&amp;"."&amp;$B1237)&amp;IF(INDEX(Variables!$D$5:$D$65,MATCH($A1237,Variables!$A$5:$A$65,0))="","","."&amp;INDEX(Variables!$D$5:$D$65,MATCH($A1237,Variables!$A$5:$A$65,0)))&amp;"."&amp;K$5</f>
        <v/>
      </c>
      <c r="L1237" s="38">
        <f>INDEX(L$124:L$127,$D1237)*$E1237*INDEX(L$128:L$144,$F1237)</f>
        <v/>
      </c>
      <c r="M1237" s="36">
        <f>INDEX(M$124:M$127,$D1237)*$E1237*INDEX(M$128:M$144,$F1237)</f>
        <v/>
      </c>
      <c r="N1237" s="36">
        <f>INDEX(N$124:N$127,$D1237)*$E1237*INDEX(N$128:N$144,$F1237)</f>
        <v/>
      </c>
      <c r="O1237" s="36">
        <f>INDEX(O$124:O$127,$D1237)*$E1237*INDEX(O$128:O$144,$F1237)</f>
        <v/>
      </c>
      <c r="P1237" s="36">
        <f>INDEX(P$124:P$127,$D1237)*$E1237*INDEX(P$128:P$144,$F1237)</f>
        <v/>
      </c>
      <c r="Q1237" s="36">
        <f>INDEX(Q$124:Q$127,$D1237)*$E1237*INDEX(Q$128:Q$144,$F1237)</f>
        <v/>
      </c>
      <c r="R1237" s="36">
        <f>INDEX(R$124:R$127,$D1237)*$E1237*INDEX(R$128:R$144,$F1237)</f>
        <v/>
      </c>
      <c r="S1237" s="36">
        <f>INDEX(S$124:S$127,$D1237)*$E1237*INDEX(S$128:S$144,$F1237)</f>
        <v/>
      </c>
      <c r="T1237" s="36">
        <f>INDEX(T$124:T$127,$D1237)*$E1237*INDEX(T$128:T$144,$F1237)</f>
        <v/>
      </c>
      <c r="U1237" s="36">
        <f>INDEX(U$124:U$127,$D1237)*$E1237*INDEX(U$128:U$144,$F1237)</f>
        <v/>
      </c>
      <c r="V1237" s="36">
        <f>INDEX(V$124:V$127,$D1237)*$E1237*INDEX(V$128:V$144,$F1237)</f>
        <v/>
      </c>
      <c r="W1237" s="36">
        <f>INDEX(W$124:W$127,$D1237)*$E1237*INDEX(W$128:W$144,$F1237)</f>
        <v/>
      </c>
      <c r="X1237" s="36">
        <f>INDEX(X$124:X$127,$D1237)*$E1237*INDEX(X$128:X$144,$F1237)</f>
        <v/>
      </c>
      <c r="Y1237" s="36">
        <f>INDEX(Y$124:Y$127,$D1237)*$E1237*INDEX(Y$128:Y$144,$F1237)</f>
        <v/>
      </c>
      <c r="Z1237" s="23">
        <f>LOWER(Settings!$C$4)&amp;".mit."&amp;$A1237&amp;IF($C1237="","","."&amp;$C1237&amp;"."&amp;$B1237)&amp;IF(INDEX(Variables!$D$5:$D$65,MATCH($A1237,Variables!$A$5:$A$65,0))="","","."&amp;INDEX(Variables!$D$5:$D$65,MATCH($A1237,Variables!$A$5:$A$65,0)))&amp;"."&amp;Z$5</f>
        <v/>
      </c>
      <c r="AA1237" s="38">
        <f>INDEX(AA$124:AA$127,$D1237)*$E1237*INDEX(AA$128:AA$144,$F1237)</f>
        <v/>
      </c>
      <c r="AB1237" s="36">
        <f>INDEX(AB$124:AB$127,$D1237)*$E1237*INDEX(AB$128:AB$144,$F1237)</f>
        <v/>
      </c>
      <c r="AC1237" s="36">
        <f>INDEX(AC$124:AC$127,$D1237)*$E1237*INDEX(AC$128:AC$144,$F1237)</f>
        <v/>
      </c>
      <c r="AD1237" s="36">
        <f>INDEX(AD$124:AD$127,$D1237)*$E1237*INDEX(AD$128:AD$144,$F1237)</f>
        <v/>
      </c>
      <c r="AE1237" s="36">
        <f>INDEX(AE$124:AE$127,$D1237)*$E1237*INDEX(AE$128:AE$144,$F1237)</f>
        <v/>
      </c>
      <c r="AF1237" s="36">
        <f>INDEX(AF$124:AF$127,$D1237)*$E1237*INDEX(AF$128:AF$144,$F1237)</f>
        <v/>
      </c>
      <c r="AG1237" s="36">
        <f>INDEX(AG$124:AG$127,$D1237)*$E1237*INDEX(AG$128:AG$144,$F1237)</f>
        <v/>
      </c>
      <c r="AH1237" s="36">
        <f>INDEX(AH$124:AH$127,$D1237)*$E1237*INDEX(AH$128:AH$144,$F1237)</f>
        <v/>
      </c>
      <c r="AI1237" s="36">
        <f>INDEX(AI$124:AI$127,$D1237)*$E1237*INDEX(AI$128:AI$144,$F1237)</f>
        <v/>
      </c>
      <c r="AJ1237" s="36">
        <f>INDEX(AJ$124:AJ$127,$D1237)*$E1237*INDEX(AJ$128:AJ$144,$F1237)</f>
        <v/>
      </c>
      <c r="AK1237" s="36">
        <f>INDEX(AK$124:AK$127,$D1237)*$E1237*INDEX(AK$128:AK$144,$F1237)</f>
        <v/>
      </c>
      <c r="AL1237" s="36">
        <f>INDEX(AL$124:AL$127,$D1237)*$E1237*INDEX(AL$128:AL$144,$F1237)</f>
        <v/>
      </c>
      <c r="AM1237" s="36">
        <f>INDEX(AM$124:AM$127,$D1237)*$E1237*INDEX(AM$128:AM$144,$F1237)</f>
        <v/>
      </c>
      <c r="AN1237" s="36">
        <f>INDEX(AN$124:AN$127,$D1237)*$E1237*INDEX(AN$128:AN$144,$F1237)</f>
        <v/>
      </c>
    </row>
    <row r="1238" hidden="1" outlineLevel="2">
      <c r="A1238" s="5" t="inlineStr">
        <is>
          <t>shp</t>
        </is>
      </c>
      <c r="B1238" s="5" t="inlineStr">
        <is>
          <t>lpg</t>
        </is>
      </c>
      <c r="C1238" s="5" t="inlineStr">
        <is>
          <t>ftr</t>
        </is>
      </c>
      <c r="D1238" s="36">
        <f>INDEX(Inputs!$M$5:$M$132,MATCH($B1238&amp;"|"&amp;$C1238,Inputs!$A$5:$A$132,0))</f>
        <v/>
      </c>
      <c r="E1238" s="36">
        <f>INDEX(Inputs!$U$5:$U$132,MATCH($B1238&amp;"|"&amp;$C1238,Inputs!$A$5:$A$132,0))</f>
        <v/>
      </c>
      <c r="F1238" s="36">
        <f>INDEX(Inputs!$K$5:$K$132,MATCH($B1238&amp;"|"&amp;$C1238,Inputs!$A$5:$A$132,0))</f>
        <v/>
      </c>
      <c r="G1238" s="37" t="n"/>
      <c r="H1238" s="5">
        <f>INDEX(Variables!$B$5:$B$65,MATCH($A1238,Variables!$A$5:$A$65,0))&amp;IF($C1238="",""," | "&amp;INDEX(Mapping!$B$5:$B$25,MATCH($C1238,Mapping!$A$5:$A$25,0))&amp;" | "&amp;INDEX(Mapping!$B$29:$B$38,MATCH($B1238,Mapping!$A$29:$A$38,0)))</f>
        <v/>
      </c>
      <c r="I1238" s="5">
        <f>INDEX(Variables!$C$5:$C$65,MATCH($A1238,Variables!$A$5:$A$65,0))</f>
        <v/>
      </c>
      <c r="J1238" s="5">
        <f>INDEX(Variables!$E$5:$E$65,MATCH($A1238,Variables!$A$5:$A$65,0))</f>
        <v/>
      </c>
      <c r="K1238" s="23">
        <f>LOWER(Settings!$C$4)&amp;".mit."&amp;$A1238&amp;IF($C1238="","","."&amp;$C1238&amp;"."&amp;$B1238)&amp;IF(INDEX(Variables!$D$5:$D$65,MATCH($A1238,Variables!$A$5:$A$65,0))="","","."&amp;INDEX(Variables!$D$5:$D$65,MATCH($A1238,Variables!$A$5:$A$65,0)))&amp;"."&amp;K$5</f>
        <v/>
      </c>
      <c r="L1238" s="38">
        <f>INDEX(L$124:L$127,$D1238)*$E1238*INDEX(L$128:L$144,$F1238)</f>
        <v/>
      </c>
      <c r="M1238" s="36">
        <f>INDEX(M$124:M$127,$D1238)*$E1238*INDEX(M$128:M$144,$F1238)</f>
        <v/>
      </c>
      <c r="N1238" s="36">
        <f>INDEX(N$124:N$127,$D1238)*$E1238*INDEX(N$128:N$144,$F1238)</f>
        <v/>
      </c>
      <c r="O1238" s="36">
        <f>INDEX(O$124:O$127,$D1238)*$E1238*INDEX(O$128:O$144,$F1238)</f>
        <v/>
      </c>
      <c r="P1238" s="36">
        <f>INDEX(P$124:P$127,$D1238)*$E1238*INDEX(P$128:P$144,$F1238)</f>
        <v/>
      </c>
      <c r="Q1238" s="36">
        <f>INDEX(Q$124:Q$127,$D1238)*$E1238*INDEX(Q$128:Q$144,$F1238)</f>
        <v/>
      </c>
      <c r="R1238" s="36">
        <f>INDEX(R$124:R$127,$D1238)*$E1238*INDEX(R$128:R$144,$F1238)</f>
        <v/>
      </c>
      <c r="S1238" s="36">
        <f>INDEX(S$124:S$127,$D1238)*$E1238*INDEX(S$128:S$144,$F1238)</f>
        <v/>
      </c>
      <c r="T1238" s="36">
        <f>INDEX(T$124:T$127,$D1238)*$E1238*INDEX(T$128:T$144,$F1238)</f>
        <v/>
      </c>
      <c r="U1238" s="36">
        <f>INDEX(U$124:U$127,$D1238)*$E1238*INDEX(U$128:U$144,$F1238)</f>
        <v/>
      </c>
      <c r="V1238" s="36">
        <f>INDEX(V$124:V$127,$D1238)*$E1238*INDEX(V$128:V$144,$F1238)</f>
        <v/>
      </c>
      <c r="W1238" s="36">
        <f>INDEX(W$124:W$127,$D1238)*$E1238*INDEX(W$128:W$144,$F1238)</f>
        <v/>
      </c>
      <c r="X1238" s="36">
        <f>INDEX(X$124:X$127,$D1238)*$E1238*INDEX(X$128:X$144,$F1238)</f>
        <v/>
      </c>
      <c r="Y1238" s="36">
        <f>INDEX(Y$124:Y$127,$D1238)*$E1238*INDEX(Y$128:Y$144,$F1238)</f>
        <v/>
      </c>
      <c r="Z1238" s="23">
        <f>LOWER(Settings!$C$4)&amp;".mit."&amp;$A1238&amp;IF($C1238="","","."&amp;$C1238&amp;"."&amp;$B1238)&amp;IF(INDEX(Variables!$D$5:$D$65,MATCH($A1238,Variables!$A$5:$A$65,0))="","","."&amp;INDEX(Variables!$D$5:$D$65,MATCH($A1238,Variables!$A$5:$A$65,0)))&amp;"."&amp;Z$5</f>
        <v/>
      </c>
      <c r="AA1238" s="38">
        <f>INDEX(AA$124:AA$127,$D1238)*$E1238*INDEX(AA$128:AA$144,$F1238)</f>
        <v/>
      </c>
      <c r="AB1238" s="36">
        <f>INDEX(AB$124:AB$127,$D1238)*$E1238*INDEX(AB$128:AB$144,$F1238)</f>
        <v/>
      </c>
      <c r="AC1238" s="36">
        <f>INDEX(AC$124:AC$127,$D1238)*$E1238*INDEX(AC$128:AC$144,$F1238)</f>
        <v/>
      </c>
      <c r="AD1238" s="36">
        <f>INDEX(AD$124:AD$127,$D1238)*$E1238*INDEX(AD$128:AD$144,$F1238)</f>
        <v/>
      </c>
      <c r="AE1238" s="36">
        <f>INDEX(AE$124:AE$127,$D1238)*$E1238*INDEX(AE$128:AE$144,$F1238)</f>
        <v/>
      </c>
      <c r="AF1238" s="36">
        <f>INDEX(AF$124:AF$127,$D1238)*$E1238*INDEX(AF$128:AF$144,$F1238)</f>
        <v/>
      </c>
      <c r="AG1238" s="36">
        <f>INDEX(AG$124:AG$127,$D1238)*$E1238*INDEX(AG$128:AG$144,$F1238)</f>
        <v/>
      </c>
      <c r="AH1238" s="36">
        <f>INDEX(AH$124:AH$127,$D1238)*$E1238*INDEX(AH$128:AH$144,$F1238)</f>
        <v/>
      </c>
      <c r="AI1238" s="36">
        <f>INDEX(AI$124:AI$127,$D1238)*$E1238*INDEX(AI$128:AI$144,$F1238)</f>
        <v/>
      </c>
      <c r="AJ1238" s="36">
        <f>INDEX(AJ$124:AJ$127,$D1238)*$E1238*INDEX(AJ$128:AJ$144,$F1238)</f>
        <v/>
      </c>
      <c r="AK1238" s="36">
        <f>INDEX(AK$124:AK$127,$D1238)*$E1238*INDEX(AK$128:AK$144,$F1238)</f>
        <v/>
      </c>
      <c r="AL1238" s="36">
        <f>INDEX(AL$124:AL$127,$D1238)*$E1238*INDEX(AL$128:AL$144,$F1238)</f>
        <v/>
      </c>
      <c r="AM1238" s="36">
        <f>INDEX(AM$124:AM$127,$D1238)*$E1238*INDEX(AM$128:AM$144,$F1238)</f>
        <v/>
      </c>
      <c r="AN1238" s="36">
        <f>INDEX(AN$124:AN$127,$D1238)*$E1238*INDEX(AN$128:AN$144,$F1238)</f>
        <v/>
      </c>
    </row>
    <row r="1239" hidden="1" outlineLevel="2">
      <c r="A1239" s="5" t="inlineStr">
        <is>
          <t>shp</t>
        </is>
      </c>
      <c r="B1239" s="5" t="inlineStr">
        <is>
          <t>ker</t>
        </is>
      </c>
      <c r="C1239" s="5" t="inlineStr">
        <is>
          <t>ftr</t>
        </is>
      </c>
      <c r="D1239" s="36">
        <f>INDEX(Inputs!$M$5:$M$132,MATCH($B1239&amp;"|"&amp;$C1239,Inputs!$A$5:$A$132,0))</f>
        <v/>
      </c>
      <c r="E1239" s="36">
        <f>INDEX(Inputs!$U$5:$U$132,MATCH($B1239&amp;"|"&amp;$C1239,Inputs!$A$5:$A$132,0))</f>
        <v/>
      </c>
      <c r="F1239" s="36">
        <f>INDEX(Inputs!$K$5:$K$132,MATCH($B1239&amp;"|"&amp;$C1239,Inputs!$A$5:$A$132,0))</f>
        <v/>
      </c>
      <c r="G1239" s="37" t="n"/>
      <c r="H1239" s="5">
        <f>INDEX(Variables!$B$5:$B$65,MATCH($A1239,Variables!$A$5:$A$65,0))&amp;IF($C1239="",""," | "&amp;INDEX(Mapping!$B$5:$B$25,MATCH($C1239,Mapping!$A$5:$A$25,0))&amp;" | "&amp;INDEX(Mapping!$B$29:$B$38,MATCH($B1239,Mapping!$A$29:$A$38,0)))</f>
        <v/>
      </c>
      <c r="I1239" s="5">
        <f>INDEX(Variables!$C$5:$C$65,MATCH($A1239,Variables!$A$5:$A$65,0))</f>
        <v/>
      </c>
      <c r="J1239" s="5">
        <f>INDEX(Variables!$E$5:$E$65,MATCH($A1239,Variables!$A$5:$A$65,0))</f>
        <v/>
      </c>
      <c r="K1239" s="23">
        <f>LOWER(Settings!$C$4)&amp;".mit."&amp;$A1239&amp;IF($C1239="","","."&amp;$C1239&amp;"."&amp;$B1239)&amp;IF(INDEX(Variables!$D$5:$D$65,MATCH($A1239,Variables!$A$5:$A$65,0))="","","."&amp;INDEX(Variables!$D$5:$D$65,MATCH($A1239,Variables!$A$5:$A$65,0)))&amp;"."&amp;K$5</f>
        <v/>
      </c>
      <c r="L1239" s="38">
        <f>INDEX(L$124:L$127,$D1239)*$E1239*INDEX(L$128:L$144,$F1239)</f>
        <v/>
      </c>
      <c r="M1239" s="36">
        <f>INDEX(M$124:M$127,$D1239)*$E1239*INDEX(M$128:M$144,$F1239)</f>
        <v/>
      </c>
      <c r="N1239" s="36">
        <f>INDEX(N$124:N$127,$D1239)*$E1239*INDEX(N$128:N$144,$F1239)</f>
        <v/>
      </c>
      <c r="O1239" s="36">
        <f>INDEX(O$124:O$127,$D1239)*$E1239*INDEX(O$128:O$144,$F1239)</f>
        <v/>
      </c>
      <c r="P1239" s="36">
        <f>INDEX(P$124:P$127,$D1239)*$E1239*INDEX(P$128:P$144,$F1239)</f>
        <v/>
      </c>
      <c r="Q1239" s="36">
        <f>INDEX(Q$124:Q$127,$D1239)*$E1239*INDEX(Q$128:Q$144,$F1239)</f>
        <v/>
      </c>
      <c r="R1239" s="36">
        <f>INDEX(R$124:R$127,$D1239)*$E1239*INDEX(R$128:R$144,$F1239)</f>
        <v/>
      </c>
      <c r="S1239" s="36">
        <f>INDEX(S$124:S$127,$D1239)*$E1239*INDEX(S$128:S$144,$F1239)</f>
        <v/>
      </c>
      <c r="T1239" s="36">
        <f>INDEX(T$124:T$127,$D1239)*$E1239*INDEX(T$128:T$144,$F1239)</f>
        <v/>
      </c>
      <c r="U1239" s="36">
        <f>INDEX(U$124:U$127,$D1239)*$E1239*INDEX(U$128:U$144,$F1239)</f>
        <v/>
      </c>
      <c r="V1239" s="36">
        <f>INDEX(V$124:V$127,$D1239)*$E1239*INDEX(V$128:V$144,$F1239)</f>
        <v/>
      </c>
      <c r="W1239" s="36">
        <f>INDEX(W$124:W$127,$D1239)*$E1239*INDEX(W$128:W$144,$F1239)</f>
        <v/>
      </c>
      <c r="X1239" s="36">
        <f>INDEX(X$124:X$127,$D1239)*$E1239*INDEX(X$128:X$144,$F1239)</f>
        <v/>
      </c>
      <c r="Y1239" s="36">
        <f>INDEX(Y$124:Y$127,$D1239)*$E1239*INDEX(Y$128:Y$144,$F1239)</f>
        <v/>
      </c>
      <c r="Z1239" s="23">
        <f>LOWER(Settings!$C$4)&amp;".mit."&amp;$A1239&amp;IF($C1239="","","."&amp;$C1239&amp;"."&amp;$B1239)&amp;IF(INDEX(Variables!$D$5:$D$65,MATCH($A1239,Variables!$A$5:$A$65,0))="","","."&amp;INDEX(Variables!$D$5:$D$65,MATCH($A1239,Variables!$A$5:$A$65,0)))&amp;"."&amp;Z$5</f>
        <v/>
      </c>
      <c r="AA1239" s="38">
        <f>INDEX(AA$124:AA$127,$D1239)*$E1239*INDEX(AA$128:AA$144,$F1239)</f>
        <v/>
      </c>
      <c r="AB1239" s="36">
        <f>INDEX(AB$124:AB$127,$D1239)*$E1239*INDEX(AB$128:AB$144,$F1239)</f>
        <v/>
      </c>
      <c r="AC1239" s="36">
        <f>INDEX(AC$124:AC$127,$D1239)*$E1239*INDEX(AC$128:AC$144,$F1239)</f>
        <v/>
      </c>
      <c r="AD1239" s="36">
        <f>INDEX(AD$124:AD$127,$D1239)*$E1239*INDEX(AD$128:AD$144,$F1239)</f>
        <v/>
      </c>
      <c r="AE1239" s="36">
        <f>INDEX(AE$124:AE$127,$D1239)*$E1239*INDEX(AE$128:AE$144,$F1239)</f>
        <v/>
      </c>
      <c r="AF1239" s="36">
        <f>INDEX(AF$124:AF$127,$D1239)*$E1239*INDEX(AF$128:AF$144,$F1239)</f>
        <v/>
      </c>
      <c r="AG1239" s="36">
        <f>INDEX(AG$124:AG$127,$D1239)*$E1239*INDEX(AG$128:AG$144,$F1239)</f>
        <v/>
      </c>
      <c r="AH1239" s="36">
        <f>INDEX(AH$124:AH$127,$D1239)*$E1239*INDEX(AH$128:AH$144,$F1239)</f>
        <v/>
      </c>
      <c r="AI1239" s="36">
        <f>INDEX(AI$124:AI$127,$D1239)*$E1239*INDEX(AI$128:AI$144,$F1239)</f>
        <v/>
      </c>
      <c r="AJ1239" s="36">
        <f>INDEX(AJ$124:AJ$127,$D1239)*$E1239*INDEX(AJ$128:AJ$144,$F1239)</f>
        <v/>
      </c>
      <c r="AK1239" s="36">
        <f>INDEX(AK$124:AK$127,$D1239)*$E1239*INDEX(AK$128:AK$144,$F1239)</f>
        <v/>
      </c>
      <c r="AL1239" s="36">
        <f>INDEX(AL$124:AL$127,$D1239)*$E1239*INDEX(AL$128:AL$144,$F1239)</f>
        <v/>
      </c>
      <c r="AM1239" s="36">
        <f>INDEX(AM$124:AM$127,$D1239)*$E1239*INDEX(AM$128:AM$144,$F1239)</f>
        <v/>
      </c>
      <c r="AN1239" s="36">
        <f>INDEX(AN$124:AN$127,$D1239)*$E1239*INDEX(AN$128:AN$144,$F1239)</f>
        <v/>
      </c>
    </row>
    <row r="1240" hidden="1" outlineLevel="2">
      <c r="A1240" s="5" t="inlineStr">
        <is>
          <t>shp</t>
        </is>
      </c>
      <c r="B1240" s="5" t="inlineStr">
        <is>
          <t>oop</t>
        </is>
      </c>
      <c r="C1240" s="5" t="inlineStr">
        <is>
          <t>ftr</t>
        </is>
      </c>
      <c r="D1240" s="36">
        <f>INDEX(Inputs!$M$5:$M$132,MATCH($B1240&amp;"|"&amp;$C1240,Inputs!$A$5:$A$132,0))</f>
        <v/>
      </c>
      <c r="E1240" s="36">
        <f>INDEX(Inputs!$U$5:$U$132,MATCH($B1240&amp;"|"&amp;$C1240,Inputs!$A$5:$A$132,0))</f>
        <v/>
      </c>
      <c r="F1240" s="36">
        <f>INDEX(Inputs!$K$5:$K$132,MATCH($B1240&amp;"|"&amp;$C1240,Inputs!$A$5:$A$132,0))</f>
        <v/>
      </c>
      <c r="G1240" s="37" t="n"/>
      <c r="H1240" s="5">
        <f>INDEX(Variables!$B$5:$B$65,MATCH($A1240,Variables!$A$5:$A$65,0))&amp;IF($C1240="",""," | "&amp;INDEX(Mapping!$B$5:$B$25,MATCH($C1240,Mapping!$A$5:$A$25,0))&amp;" | "&amp;INDEX(Mapping!$B$29:$B$38,MATCH($B1240,Mapping!$A$29:$A$38,0)))</f>
        <v/>
      </c>
      <c r="I1240" s="5">
        <f>INDEX(Variables!$C$5:$C$65,MATCH($A1240,Variables!$A$5:$A$65,0))</f>
        <v/>
      </c>
      <c r="J1240" s="5">
        <f>INDEX(Variables!$E$5:$E$65,MATCH($A1240,Variables!$A$5:$A$65,0))</f>
        <v/>
      </c>
      <c r="K1240" s="23">
        <f>LOWER(Settings!$C$4)&amp;".mit."&amp;$A1240&amp;IF($C1240="","","."&amp;$C1240&amp;"."&amp;$B1240)&amp;IF(INDEX(Variables!$D$5:$D$65,MATCH($A1240,Variables!$A$5:$A$65,0))="","","."&amp;INDEX(Variables!$D$5:$D$65,MATCH($A1240,Variables!$A$5:$A$65,0)))&amp;"."&amp;K$5</f>
        <v/>
      </c>
      <c r="L1240" s="38">
        <f>INDEX(L$124:L$127,$D1240)*$E1240*INDEX(L$128:L$144,$F1240)</f>
        <v/>
      </c>
      <c r="M1240" s="36">
        <f>INDEX(M$124:M$127,$D1240)*$E1240*INDEX(M$128:M$144,$F1240)</f>
        <v/>
      </c>
      <c r="N1240" s="36">
        <f>INDEX(N$124:N$127,$D1240)*$E1240*INDEX(N$128:N$144,$F1240)</f>
        <v/>
      </c>
      <c r="O1240" s="36">
        <f>INDEX(O$124:O$127,$D1240)*$E1240*INDEX(O$128:O$144,$F1240)</f>
        <v/>
      </c>
      <c r="P1240" s="36">
        <f>INDEX(P$124:P$127,$D1240)*$E1240*INDEX(P$128:P$144,$F1240)</f>
        <v/>
      </c>
      <c r="Q1240" s="36">
        <f>INDEX(Q$124:Q$127,$D1240)*$E1240*INDEX(Q$128:Q$144,$F1240)</f>
        <v/>
      </c>
      <c r="R1240" s="36">
        <f>INDEX(R$124:R$127,$D1240)*$E1240*INDEX(R$128:R$144,$F1240)</f>
        <v/>
      </c>
      <c r="S1240" s="36">
        <f>INDEX(S$124:S$127,$D1240)*$E1240*INDEX(S$128:S$144,$F1240)</f>
        <v/>
      </c>
      <c r="T1240" s="36">
        <f>INDEX(T$124:T$127,$D1240)*$E1240*INDEX(T$128:T$144,$F1240)</f>
        <v/>
      </c>
      <c r="U1240" s="36">
        <f>INDEX(U$124:U$127,$D1240)*$E1240*INDEX(U$128:U$144,$F1240)</f>
        <v/>
      </c>
      <c r="V1240" s="36">
        <f>INDEX(V$124:V$127,$D1240)*$E1240*INDEX(V$128:V$144,$F1240)</f>
        <v/>
      </c>
      <c r="W1240" s="36">
        <f>INDEX(W$124:W$127,$D1240)*$E1240*INDEX(W$128:W$144,$F1240)</f>
        <v/>
      </c>
      <c r="X1240" s="36">
        <f>INDEX(X$124:X$127,$D1240)*$E1240*INDEX(X$128:X$144,$F1240)</f>
        <v/>
      </c>
      <c r="Y1240" s="36">
        <f>INDEX(Y$124:Y$127,$D1240)*$E1240*INDEX(Y$128:Y$144,$F1240)</f>
        <v/>
      </c>
      <c r="Z1240" s="23">
        <f>LOWER(Settings!$C$4)&amp;".mit."&amp;$A1240&amp;IF($C1240="","","."&amp;$C1240&amp;"."&amp;$B1240)&amp;IF(INDEX(Variables!$D$5:$D$65,MATCH($A1240,Variables!$A$5:$A$65,0))="","","."&amp;INDEX(Variables!$D$5:$D$65,MATCH($A1240,Variables!$A$5:$A$65,0)))&amp;"."&amp;Z$5</f>
        <v/>
      </c>
      <c r="AA1240" s="38">
        <f>INDEX(AA$124:AA$127,$D1240)*$E1240*INDEX(AA$128:AA$144,$F1240)</f>
        <v/>
      </c>
      <c r="AB1240" s="36">
        <f>INDEX(AB$124:AB$127,$D1240)*$E1240*INDEX(AB$128:AB$144,$F1240)</f>
        <v/>
      </c>
      <c r="AC1240" s="36">
        <f>INDEX(AC$124:AC$127,$D1240)*$E1240*INDEX(AC$128:AC$144,$F1240)</f>
        <v/>
      </c>
      <c r="AD1240" s="36">
        <f>INDEX(AD$124:AD$127,$D1240)*$E1240*INDEX(AD$128:AD$144,$F1240)</f>
        <v/>
      </c>
      <c r="AE1240" s="36">
        <f>INDEX(AE$124:AE$127,$D1240)*$E1240*INDEX(AE$128:AE$144,$F1240)</f>
        <v/>
      </c>
      <c r="AF1240" s="36">
        <f>INDEX(AF$124:AF$127,$D1240)*$E1240*INDEX(AF$128:AF$144,$F1240)</f>
        <v/>
      </c>
      <c r="AG1240" s="36">
        <f>INDEX(AG$124:AG$127,$D1240)*$E1240*INDEX(AG$128:AG$144,$F1240)</f>
        <v/>
      </c>
      <c r="AH1240" s="36">
        <f>INDEX(AH$124:AH$127,$D1240)*$E1240*INDEX(AH$128:AH$144,$F1240)</f>
        <v/>
      </c>
      <c r="AI1240" s="36">
        <f>INDEX(AI$124:AI$127,$D1240)*$E1240*INDEX(AI$128:AI$144,$F1240)</f>
        <v/>
      </c>
      <c r="AJ1240" s="36">
        <f>INDEX(AJ$124:AJ$127,$D1240)*$E1240*INDEX(AJ$128:AJ$144,$F1240)</f>
        <v/>
      </c>
      <c r="AK1240" s="36">
        <f>INDEX(AK$124:AK$127,$D1240)*$E1240*INDEX(AK$128:AK$144,$F1240)</f>
        <v/>
      </c>
      <c r="AL1240" s="36">
        <f>INDEX(AL$124:AL$127,$D1240)*$E1240*INDEX(AL$128:AL$144,$F1240)</f>
        <v/>
      </c>
      <c r="AM1240" s="36">
        <f>INDEX(AM$124:AM$127,$D1240)*$E1240*INDEX(AM$128:AM$144,$F1240)</f>
        <v/>
      </c>
      <c r="AN1240" s="36">
        <f>INDEX(AN$124:AN$127,$D1240)*$E1240*INDEX(AN$128:AN$144,$F1240)</f>
        <v/>
      </c>
    </row>
    <row r="1241" hidden="1" outlineLevel="2">
      <c r="A1241" s="5" t="inlineStr">
        <is>
          <t>shp</t>
        </is>
      </c>
      <c r="B1241" s="5" t="inlineStr">
        <is>
          <t>bio</t>
        </is>
      </c>
      <c r="C1241" s="5" t="inlineStr">
        <is>
          <t>ftr</t>
        </is>
      </c>
      <c r="D1241" s="36">
        <f>INDEX(Inputs!$M$5:$M$132,MATCH($B1241&amp;"|"&amp;$C1241,Inputs!$A$5:$A$132,0))</f>
        <v/>
      </c>
      <c r="E1241" s="36">
        <f>INDEX(Inputs!$U$5:$U$132,MATCH($B1241&amp;"|"&amp;$C1241,Inputs!$A$5:$A$132,0))</f>
        <v/>
      </c>
      <c r="F1241" s="36">
        <f>INDEX(Inputs!$K$5:$K$132,MATCH($B1241&amp;"|"&amp;$C1241,Inputs!$A$5:$A$132,0))</f>
        <v/>
      </c>
      <c r="G1241" s="37" t="n"/>
      <c r="H1241" s="5">
        <f>INDEX(Variables!$B$5:$B$65,MATCH($A1241,Variables!$A$5:$A$65,0))&amp;IF($C1241="",""," | "&amp;INDEX(Mapping!$B$5:$B$25,MATCH($C1241,Mapping!$A$5:$A$25,0))&amp;" | "&amp;INDEX(Mapping!$B$29:$B$38,MATCH($B1241,Mapping!$A$29:$A$38,0)))</f>
        <v/>
      </c>
      <c r="I1241" s="5">
        <f>INDEX(Variables!$C$5:$C$65,MATCH($A1241,Variables!$A$5:$A$65,0))</f>
        <v/>
      </c>
      <c r="J1241" s="5">
        <f>INDEX(Variables!$E$5:$E$65,MATCH($A1241,Variables!$A$5:$A$65,0))</f>
        <v/>
      </c>
      <c r="K1241" s="23">
        <f>LOWER(Settings!$C$4)&amp;".mit."&amp;$A1241&amp;IF($C1241="","","."&amp;$C1241&amp;"."&amp;$B1241)&amp;IF(INDEX(Variables!$D$5:$D$65,MATCH($A1241,Variables!$A$5:$A$65,0))="","","."&amp;INDEX(Variables!$D$5:$D$65,MATCH($A1241,Variables!$A$5:$A$65,0)))&amp;"."&amp;K$5</f>
        <v/>
      </c>
      <c r="L1241" s="38">
        <f>INDEX(L$124:L$127,$D1241)*$E1241*INDEX(L$128:L$144,$F1241)</f>
        <v/>
      </c>
      <c r="M1241" s="36">
        <f>INDEX(M$124:M$127,$D1241)*$E1241*INDEX(M$128:M$144,$F1241)</f>
        <v/>
      </c>
      <c r="N1241" s="36">
        <f>INDEX(N$124:N$127,$D1241)*$E1241*INDEX(N$128:N$144,$F1241)</f>
        <v/>
      </c>
      <c r="O1241" s="36">
        <f>INDEX(O$124:O$127,$D1241)*$E1241*INDEX(O$128:O$144,$F1241)</f>
        <v/>
      </c>
      <c r="P1241" s="36">
        <f>INDEX(P$124:P$127,$D1241)*$E1241*INDEX(P$128:P$144,$F1241)</f>
        <v/>
      </c>
      <c r="Q1241" s="36">
        <f>INDEX(Q$124:Q$127,$D1241)*$E1241*INDEX(Q$128:Q$144,$F1241)</f>
        <v/>
      </c>
      <c r="R1241" s="36">
        <f>INDEX(R$124:R$127,$D1241)*$E1241*INDEX(R$128:R$144,$F1241)</f>
        <v/>
      </c>
      <c r="S1241" s="36">
        <f>INDEX(S$124:S$127,$D1241)*$E1241*INDEX(S$128:S$144,$F1241)</f>
        <v/>
      </c>
      <c r="T1241" s="36">
        <f>INDEX(T$124:T$127,$D1241)*$E1241*INDEX(T$128:T$144,$F1241)</f>
        <v/>
      </c>
      <c r="U1241" s="36">
        <f>INDEX(U$124:U$127,$D1241)*$E1241*INDEX(U$128:U$144,$F1241)</f>
        <v/>
      </c>
      <c r="V1241" s="36">
        <f>INDEX(V$124:V$127,$D1241)*$E1241*INDEX(V$128:V$144,$F1241)</f>
        <v/>
      </c>
      <c r="W1241" s="36">
        <f>INDEX(W$124:W$127,$D1241)*$E1241*INDEX(W$128:W$144,$F1241)</f>
        <v/>
      </c>
      <c r="X1241" s="36">
        <f>INDEX(X$124:X$127,$D1241)*$E1241*INDEX(X$128:X$144,$F1241)</f>
        <v/>
      </c>
      <c r="Y1241" s="36">
        <f>INDEX(Y$124:Y$127,$D1241)*$E1241*INDEX(Y$128:Y$144,$F1241)</f>
        <v/>
      </c>
      <c r="Z1241" s="23">
        <f>LOWER(Settings!$C$4)&amp;".mit."&amp;$A1241&amp;IF($C1241="","","."&amp;$C1241&amp;"."&amp;$B1241)&amp;IF(INDEX(Variables!$D$5:$D$65,MATCH($A1241,Variables!$A$5:$A$65,0))="","","."&amp;INDEX(Variables!$D$5:$D$65,MATCH($A1241,Variables!$A$5:$A$65,0)))&amp;"."&amp;Z$5</f>
        <v/>
      </c>
      <c r="AA1241" s="38">
        <f>INDEX(AA$124:AA$127,$D1241)*$E1241*INDEX(AA$128:AA$144,$F1241)</f>
        <v/>
      </c>
      <c r="AB1241" s="36">
        <f>INDEX(AB$124:AB$127,$D1241)*$E1241*INDEX(AB$128:AB$144,$F1241)</f>
        <v/>
      </c>
      <c r="AC1241" s="36">
        <f>INDEX(AC$124:AC$127,$D1241)*$E1241*INDEX(AC$128:AC$144,$F1241)</f>
        <v/>
      </c>
      <c r="AD1241" s="36">
        <f>INDEX(AD$124:AD$127,$D1241)*$E1241*INDEX(AD$128:AD$144,$F1241)</f>
        <v/>
      </c>
      <c r="AE1241" s="36">
        <f>INDEX(AE$124:AE$127,$D1241)*$E1241*INDEX(AE$128:AE$144,$F1241)</f>
        <v/>
      </c>
      <c r="AF1241" s="36">
        <f>INDEX(AF$124:AF$127,$D1241)*$E1241*INDEX(AF$128:AF$144,$F1241)</f>
        <v/>
      </c>
      <c r="AG1241" s="36">
        <f>INDEX(AG$124:AG$127,$D1241)*$E1241*INDEX(AG$128:AG$144,$F1241)</f>
        <v/>
      </c>
      <c r="AH1241" s="36">
        <f>INDEX(AH$124:AH$127,$D1241)*$E1241*INDEX(AH$128:AH$144,$F1241)</f>
        <v/>
      </c>
      <c r="AI1241" s="36">
        <f>INDEX(AI$124:AI$127,$D1241)*$E1241*INDEX(AI$128:AI$144,$F1241)</f>
        <v/>
      </c>
      <c r="AJ1241" s="36">
        <f>INDEX(AJ$124:AJ$127,$D1241)*$E1241*INDEX(AJ$128:AJ$144,$F1241)</f>
        <v/>
      </c>
      <c r="AK1241" s="36">
        <f>INDEX(AK$124:AK$127,$D1241)*$E1241*INDEX(AK$128:AK$144,$F1241)</f>
        <v/>
      </c>
      <c r="AL1241" s="36">
        <f>INDEX(AL$124:AL$127,$D1241)*$E1241*INDEX(AL$128:AL$144,$F1241)</f>
        <v/>
      </c>
      <c r="AM1241" s="36">
        <f>INDEX(AM$124:AM$127,$D1241)*$E1241*INDEX(AM$128:AM$144,$F1241)</f>
        <v/>
      </c>
      <c r="AN1241" s="36">
        <f>INDEX(AN$124:AN$127,$D1241)*$E1241*INDEX(AN$128:AN$144,$F1241)</f>
        <v/>
      </c>
    </row>
    <row r="1242" hidden="1" outlineLevel="2"/>
    <row r="1243" hidden="1" outlineLevel="2">
      <c r="A1243" s="5" t="inlineStr">
        <is>
          <t>ener</t>
        </is>
      </c>
      <c r="B1243" s="5" t="inlineStr">
        <is>
          <t>coa</t>
        </is>
      </c>
      <c r="C1243" s="5" t="inlineStr">
        <is>
          <t>ftr</t>
        </is>
      </c>
      <c r="D1243" s="36">
        <f>INDEX(Inputs!$N$5:$N$132,MATCH($B1243&amp;"|"&amp;$C1243,Inputs!$A$5:$A$132,0))</f>
        <v/>
      </c>
      <c r="E1243" s="36">
        <f>INDEX(Inputs!$O$5:$O$132,MATCH($B1243&amp;"|"&amp;$C1243,Inputs!$A$5:$A$132,0))</f>
        <v/>
      </c>
      <c r="F1243" s="36">
        <f>INDEX(Inputs!$P$5:$P$132,MATCH($B1243&amp;"|"&amp;$C1243,Inputs!$A$5:$A$132,0))</f>
        <v/>
      </c>
      <c r="G1243" s="36">
        <f>INDEX(Inputs!$Q$5:$Q$132,MATCH($B1243&amp;"|"&amp;$C1243,Inputs!$A$5:$A$132,0))</f>
        <v/>
      </c>
      <c r="H1243" s="5">
        <f>INDEX(Variables!$B$5:$B$65,MATCH($A1243,Variables!$A$5:$A$65,0))&amp;IF($C1243="",""," | "&amp;INDEX(Mapping!$B$5:$B$25,MATCH($C1243,Mapping!$A$5:$A$25,0))&amp;" | "&amp;INDEX(Mapping!$B$29:$B$38,MATCH($B1243,Mapping!$A$29:$A$38,0)))</f>
        <v/>
      </c>
      <c r="I1243" s="5">
        <f>INDEX(Variables!$C$5:$C$65,MATCH($A1243,Variables!$A$5:$A$65,0))</f>
        <v/>
      </c>
      <c r="J1243" s="5">
        <f>INDEX(Variables!$E$5:$E$65,MATCH($A1243,Variables!$A$5:$A$65,0))</f>
        <v/>
      </c>
      <c r="K1243" s="23">
        <f>LOWER(Settings!$C$4)&amp;".mit."&amp;$A1243&amp;IF($C1243="","","."&amp;$C1243&amp;"."&amp;$B1243)&amp;IF(INDEX(Variables!$D$5:$D$65,MATCH($A1243,Variables!$A$5:$A$65,0))="","","."&amp;INDEX(Variables!$D$5:$D$65,MATCH($A1243,Variables!$A$5:$A$65,0)))&amp;"."&amp;K$5</f>
        <v/>
      </c>
      <c r="L1243" s="40">
        <f>INDEX(Inputs!$V$5:$V$132,MATCH($B1243&amp;"|"&amp;$C1243,Inputs!$A$5:$A$132,0))</f>
        <v/>
      </c>
      <c r="M1243" s="41">
        <f>L1243*(1/(1+$G1243))^(1+$E1243)*(1+M$7)^$D1243*(M1225/L1225)^$E1243*((M1225+M1234)/(L1225+L1234))^($F1243*(1+$E1243))</f>
        <v/>
      </c>
      <c r="N1243" s="41">
        <f>M1243*(1/(1+$G1243))^(1+$E1243)*(1+N$7)^$D1243*(N1225/M1225)^$E1243*((N1225+N1234)/(M1225+M1234))^($F1243*(1+$E1243))</f>
        <v/>
      </c>
      <c r="O1243" s="41">
        <f>N1243*(1/(1+$G1243))^(1+$E1243)*(1+O$7)^$D1243*(O1225/N1225)^$E1243*((O1225+O1234)/(N1225+N1234))^($F1243*(1+$E1243))</f>
        <v/>
      </c>
      <c r="P1243" s="41">
        <f>O1243*(1/(1+$G1243))^(1+$E1243)*(1+P$7)^$D1243*(P1225/O1225)^$E1243*((P1225+P1234)/(O1225+O1234))^($F1243*(1+$E1243))</f>
        <v/>
      </c>
      <c r="Q1243" s="41">
        <f>P1243*(1/(1+$G1243))^(1+$E1243)*(1+Q$7)^$D1243*(Q1225/P1225)^$E1243*((Q1225+Q1234)/(P1225+P1234))^($F1243*(1+$E1243))</f>
        <v/>
      </c>
      <c r="R1243" s="41">
        <f>Q1243*(1/(1+$G1243))^(1+$E1243)*(1+R$7)^$D1243*(R1225/Q1225)^$E1243*((R1225+R1234)/(Q1225+Q1234))^($F1243*(1+$E1243))</f>
        <v/>
      </c>
      <c r="S1243" s="41">
        <f>R1243*(1/(1+$G1243))^(1+$E1243)*(1+S$7)^$D1243*(S1225/R1225)^$E1243*((S1225+S1234)/(R1225+R1234))^($F1243*(1+$E1243))</f>
        <v/>
      </c>
      <c r="T1243" s="41">
        <f>S1243*(1/(1+$G1243))^(1+$E1243)*(1+T$7)^$D1243*(T1225/S1225)^$E1243*((T1225+T1234)/(S1225+S1234))^($F1243*(1+$E1243))</f>
        <v/>
      </c>
      <c r="U1243" s="41">
        <f>T1243*(1/(1+$G1243))^(1+$E1243)*(1+U$7)^$D1243*(U1225/T1225)^$E1243*((U1225+U1234)/(T1225+T1234))^($F1243*(1+$E1243))</f>
        <v/>
      </c>
      <c r="V1243" s="41">
        <f>U1243*(1/(1+$G1243))^(1+$E1243)*(1+V$7)^$D1243*(V1225/U1225)^$E1243*((V1225+V1234)/(U1225+U1234))^($F1243*(1+$E1243))</f>
        <v/>
      </c>
      <c r="W1243" s="41">
        <f>V1243*(1/(1+$G1243))^(1+$E1243)*(1+W$7)^$D1243*(W1225/V1225)^$E1243*((W1225+W1234)/(V1225+V1234))^($F1243*(1+$E1243))</f>
        <v/>
      </c>
      <c r="X1243" s="41">
        <f>W1243*(1/(1+$G1243))^(1+$E1243)*(1+X$7)^$D1243*(X1225/W1225)^$E1243*((X1225+X1234)/(W1225+W1234))^($F1243*(1+$E1243))</f>
        <v/>
      </c>
      <c r="Y1243" s="42">
        <f>FUELUSE(X1243,Y1225,X1225,Y1234,X1234,Y$7,$D1243,$E1243,$F1243,$G1243)</f>
        <v/>
      </c>
      <c r="Z1243" s="23">
        <f>LOWER(Settings!$C$4)&amp;".mit."&amp;$A1243&amp;IF($C1243="","","."&amp;$C1243&amp;"."&amp;$B1243)&amp;IF(INDEX(Variables!$D$5:$D$65,MATCH($A1243,Variables!$A$5:$A$65,0))="","","."&amp;INDEX(Variables!$D$5:$D$65,MATCH($A1243,Variables!$A$5:$A$65,0)))&amp;"."&amp;Z$5</f>
        <v/>
      </c>
      <c r="AA1243" s="40">
        <f>INDEX(Inputs!$V$5:$V$132,MATCH($B1243&amp;"|"&amp;$C1243,Inputs!$A$5:$A$132,0))</f>
        <v/>
      </c>
      <c r="AB1243" s="41">
        <f>AA1243*(1/(1+$G1243))^(1+$E1243)*(1+AB$7)^$D1243*(AB1225/AA1225)^$E1243*((AB1225+AB1234)/(AA1225+AA1234))^($F1243*(1+$E1243))</f>
        <v/>
      </c>
      <c r="AC1243" s="41">
        <f>AB1243*(1/(1+$G1243))^(1+$E1243)*(1+AC$7)^$D1243*(AC1225/AB1225)^$E1243*((AC1225+AC1234)/(AB1225+AB1234))^($F1243*(1+$E1243))</f>
        <v/>
      </c>
      <c r="AD1243" s="41">
        <f>AC1243*(1/(1+$G1243))^(1+$E1243)*(1+AD$7)^$D1243*(AD1225/AC1225)^$E1243*((AD1225+AD1234)/(AC1225+AC1234))^($F1243*(1+$E1243))</f>
        <v/>
      </c>
      <c r="AE1243" s="41">
        <f>AD1243*(1/(1+$G1243))^(1+$E1243)*(1+AE$7)^$D1243*(AE1225/AD1225)^$E1243*((AE1225+AE1234)/(AD1225+AD1234))^($F1243*(1+$E1243))</f>
        <v/>
      </c>
      <c r="AF1243" s="41">
        <f>AE1243*(1/(1+$G1243))^(1+$E1243)*(1+AF$7)^$D1243*(AF1225/AE1225)^$E1243*((AF1225+AF1234)/(AE1225+AE1234))^($F1243*(1+$E1243))</f>
        <v/>
      </c>
      <c r="AG1243" s="41">
        <f>AF1243*(1/(1+$G1243))^(1+$E1243)*(1+AG$7)^$D1243*(AG1225/AF1225)^$E1243*((AG1225+AG1234)/(AF1225+AF1234))^($F1243*(1+$E1243))</f>
        <v/>
      </c>
      <c r="AH1243" s="41">
        <f>AG1243*(1/(1+$G1243))^(1+$E1243)*(1+AH$7)^$D1243*(AH1225/AG1225)^$E1243*((AH1225+AH1234)/(AG1225+AG1234))^($F1243*(1+$E1243))</f>
        <v/>
      </c>
      <c r="AI1243" s="41">
        <f>AH1243*(1/(1+$G1243))^(1+$E1243)*(1+AI$7)^$D1243*(AI1225/AH1225)^$E1243*((AI1225+AI1234)/(AH1225+AH1234))^($F1243*(1+$E1243))</f>
        <v/>
      </c>
      <c r="AJ1243" s="41">
        <f>AI1243*(1/(1+$G1243))^(1+$E1243)*(1+AJ$7)^$D1243*(AJ1225/AI1225)^$E1243*((AJ1225+AJ1234)/(AI1225+AI1234))^($F1243*(1+$E1243))</f>
        <v/>
      </c>
      <c r="AK1243" s="41">
        <f>AJ1243*(1/(1+$G1243))^(1+$E1243)*(1+AK$7)^$D1243*(AK1225/AJ1225)^$E1243*((AK1225+AK1234)/(AJ1225+AJ1234))^($F1243*(1+$E1243))</f>
        <v/>
      </c>
      <c r="AL1243" s="41">
        <f>AK1243*(1/(1+$G1243))^(1+$E1243)*(1+AL$7)^$D1243*(AL1225/AK1225)^$E1243*((AL1225+AL1234)/(AK1225+AK1234))^($F1243*(1+$E1243))</f>
        <v/>
      </c>
      <c r="AM1243" s="41">
        <f>AL1243*(1/(1+$G1243))^(1+$E1243)*(1+AM$7)^$D1243*(AM1225/AL1225)^$E1243*((AM1225+AM1234)/(AL1225+AL1234))^($F1243*(1+$E1243))</f>
        <v/>
      </c>
      <c r="AN1243" s="42">
        <f>FUELUSE(AM1243,AN1225,AM1225,AN1234,AM1234,AN$7,$D1243,$E1243,$F1243,$G1243)</f>
        <v/>
      </c>
    </row>
    <row r="1244" hidden="1" outlineLevel="2">
      <c r="A1244" s="5" t="inlineStr">
        <is>
          <t>ener</t>
        </is>
      </c>
      <c r="B1244" s="5" t="inlineStr">
        <is>
          <t>nga</t>
        </is>
      </c>
      <c r="C1244" s="5" t="inlineStr">
        <is>
          <t>ftr</t>
        </is>
      </c>
      <c r="D1244" s="36">
        <f>INDEX(Inputs!$N$5:$N$132,MATCH($B1244&amp;"|"&amp;$C1244,Inputs!$A$5:$A$132,0))</f>
        <v/>
      </c>
      <c r="E1244" s="36">
        <f>INDEX(Inputs!$O$5:$O$132,MATCH($B1244&amp;"|"&amp;$C1244,Inputs!$A$5:$A$132,0))</f>
        <v/>
      </c>
      <c r="F1244" s="36">
        <f>INDEX(Inputs!$P$5:$P$132,MATCH($B1244&amp;"|"&amp;$C1244,Inputs!$A$5:$A$132,0))</f>
        <v/>
      </c>
      <c r="G1244" s="36">
        <f>INDEX(Inputs!$Q$5:$Q$132,MATCH($B1244&amp;"|"&amp;$C1244,Inputs!$A$5:$A$132,0))</f>
        <v/>
      </c>
      <c r="H1244" s="5">
        <f>INDEX(Variables!$B$5:$B$65,MATCH($A1244,Variables!$A$5:$A$65,0))&amp;IF($C1244="",""," | "&amp;INDEX(Mapping!$B$5:$B$25,MATCH($C1244,Mapping!$A$5:$A$25,0))&amp;" | "&amp;INDEX(Mapping!$B$29:$B$38,MATCH($B1244,Mapping!$A$29:$A$38,0)))</f>
        <v/>
      </c>
      <c r="I1244" s="5">
        <f>INDEX(Variables!$C$5:$C$65,MATCH($A1244,Variables!$A$5:$A$65,0))</f>
        <v/>
      </c>
      <c r="J1244" s="5">
        <f>INDEX(Variables!$E$5:$E$65,MATCH($A1244,Variables!$A$5:$A$65,0))</f>
        <v/>
      </c>
      <c r="K1244" s="23">
        <f>LOWER(Settings!$C$4)&amp;".mit."&amp;$A1244&amp;IF($C1244="","","."&amp;$C1244&amp;"."&amp;$B1244)&amp;IF(INDEX(Variables!$D$5:$D$65,MATCH($A1244,Variables!$A$5:$A$65,0))="","","."&amp;INDEX(Variables!$D$5:$D$65,MATCH($A1244,Variables!$A$5:$A$65,0)))&amp;"."&amp;K$5</f>
        <v/>
      </c>
      <c r="L1244" s="40">
        <f>INDEX(Inputs!$V$5:$V$132,MATCH($B1244&amp;"|"&amp;$C1244,Inputs!$A$5:$A$132,0))</f>
        <v/>
      </c>
      <c r="M1244" s="41">
        <f>L1244*(1/(1+$G1244))^(1+$E1244)*(1+M$7)^$D1244*(M1226/L1226)^$E1244*((M1226+M1235)/(L1226+L1235))^($F1244*(1+$E1244))</f>
        <v/>
      </c>
      <c r="N1244" s="41">
        <f>M1244*(1/(1+$G1244))^(1+$E1244)*(1+N$7)^$D1244*(N1226/M1226)^$E1244*((N1226+N1235)/(M1226+M1235))^($F1244*(1+$E1244))</f>
        <v/>
      </c>
      <c r="O1244" s="41">
        <f>N1244*(1/(1+$G1244))^(1+$E1244)*(1+O$7)^$D1244*(O1226/N1226)^$E1244*((O1226+O1235)/(N1226+N1235))^($F1244*(1+$E1244))</f>
        <v/>
      </c>
      <c r="P1244" s="41">
        <f>O1244*(1/(1+$G1244))^(1+$E1244)*(1+P$7)^$D1244*(P1226/O1226)^$E1244*((P1226+P1235)/(O1226+O1235))^($F1244*(1+$E1244))</f>
        <v/>
      </c>
      <c r="Q1244" s="41">
        <f>P1244*(1/(1+$G1244))^(1+$E1244)*(1+Q$7)^$D1244*(Q1226/P1226)^$E1244*((Q1226+Q1235)/(P1226+P1235))^($F1244*(1+$E1244))</f>
        <v/>
      </c>
      <c r="R1244" s="41">
        <f>Q1244*(1/(1+$G1244))^(1+$E1244)*(1+R$7)^$D1244*(R1226/Q1226)^$E1244*((R1226+R1235)/(Q1226+Q1235))^($F1244*(1+$E1244))</f>
        <v/>
      </c>
      <c r="S1244" s="41">
        <f>R1244*(1/(1+$G1244))^(1+$E1244)*(1+S$7)^$D1244*(S1226/R1226)^$E1244*((S1226+S1235)/(R1226+R1235))^($F1244*(1+$E1244))</f>
        <v/>
      </c>
      <c r="T1244" s="41">
        <f>S1244*(1/(1+$G1244))^(1+$E1244)*(1+T$7)^$D1244*(T1226/S1226)^$E1244*((T1226+T1235)/(S1226+S1235))^($F1244*(1+$E1244))</f>
        <v/>
      </c>
      <c r="U1244" s="41">
        <f>T1244*(1/(1+$G1244))^(1+$E1244)*(1+U$7)^$D1244*(U1226/T1226)^$E1244*((U1226+U1235)/(T1226+T1235))^($F1244*(1+$E1244))</f>
        <v/>
      </c>
      <c r="V1244" s="41">
        <f>U1244*(1/(1+$G1244))^(1+$E1244)*(1+V$7)^$D1244*(V1226/U1226)^$E1244*((V1226+V1235)/(U1226+U1235))^($F1244*(1+$E1244))</f>
        <v/>
      </c>
      <c r="W1244" s="41">
        <f>V1244*(1/(1+$G1244))^(1+$E1244)*(1+W$7)^$D1244*(W1226/V1226)^$E1244*((W1226+W1235)/(V1226+V1235))^($F1244*(1+$E1244))</f>
        <v/>
      </c>
      <c r="X1244" s="41">
        <f>W1244*(1/(1+$G1244))^(1+$E1244)*(1+X$7)^$D1244*(X1226/W1226)^$E1244*((X1226+X1235)/(W1226+W1235))^($F1244*(1+$E1244))</f>
        <v/>
      </c>
      <c r="Y1244" s="42">
        <f>FUELUSE(X1244,Y1226,X1226,Y1235,X1235,Y$7,$D1244,$E1244,$F1244,$G1244)</f>
        <v/>
      </c>
      <c r="Z1244" s="23">
        <f>LOWER(Settings!$C$4)&amp;".mit."&amp;$A1244&amp;IF($C1244="","","."&amp;$C1244&amp;"."&amp;$B1244)&amp;IF(INDEX(Variables!$D$5:$D$65,MATCH($A1244,Variables!$A$5:$A$65,0))="","","."&amp;INDEX(Variables!$D$5:$D$65,MATCH($A1244,Variables!$A$5:$A$65,0)))&amp;"."&amp;Z$5</f>
        <v/>
      </c>
      <c r="AA1244" s="40">
        <f>INDEX(Inputs!$V$5:$V$132,MATCH($B1244&amp;"|"&amp;$C1244,Inputs!$A$5:$A$132,0))</f>
        <v/>
      </c>
      <c r="AB1244" s="41">
        <f>AA1244*(1/(1+$G1244))^(1+$E1244)*(1+AB$7)^$D1244*(AB1226/AA1226)^$E1244*((AB1226+AB1235)/(AA1226+AA1235))^($F1244*(1+$E1244))</f>
        <v/>
      </c>
      <c r="AC1244" s="41">
        <f>AB1244*(1/(1+$G1244))^(1+$E1244)*(1+AC$7)^$D1244*(AC1226/AB1226)^$E1244*((AC1226+AC1235)/(AB1226+AB1235))^($F1244*(1+$E1244))</f>
        <v/>
      </c>
      <c r="AD1244" s="41">
        <f>AC1244*(1/(1+$G1244))^(1+$E1244)*(1+AD$7)^$D1244*(AD1226/AC1226)^$E1244*((AD1226+AD1235)/(AC1226+AC1235))^($F1244*(1+$E1244))</f>
        <v/>
      </c>
      <c r="AE1244" s="41">
        <f>AD1244*(1/(1+$G1244))^(1+$E1244)*(1+AE$7)^$D1244*(AE1226/AD1226)^$E1244*((AE1226+AE1235)/(AD1226+AD1235))^($F1244*(1+$E1244))</f>
        <v/>
      </c>
      <c r="AF1244" s="41">
        <f>AE1244*(1/(1+$G1244))^(1+$E1244)*(1+AF$7)^$D1244*(AF1226/AE1226)^$E1244*((AF1226+AF1235)/(AE1226+AE1235))^($F1244*(1+$E1244))</f>
        <v/>
      </c>
      <c r="AG1244" s="41">
        <f>AF1244*(1/(1+$G1244))^(1+$E1244)*(1+AG$7)^$D1244*(AG1226/AF1226)^$E1244*((AG1226+AG1235)/(AF1226+AF1235))^($F1244*(1+$E1244))</f>
        <v/>
      </c>
      <c r="AH1244" s="41">
        <f>AG1244*(1/(1+$G1244))^(1+$E1244)*(1+AH$7)^$D1244*(AH1226/AG1226)^$E1244*((AH1226+AH1235)/(AG1226+AG1235))^($F1244*(1+$E1244))</f>
        <v/>
      </c>
      <c r="AI1244" s="41">
        <f>AH1244*(1/(1+$G1244))^(1+$E1244)*(1+AI$7)^$D1244*(AI1226/AH1226)^$E1244*((AI1226+AI1235)/(AH1226+AH1235))^($F1244*(1+$E1244))</f>
        <v/>
      </c>
      <c r="AJ1244" s="41">
        <f>AI1244*(1/(1+$G1244))^(1+$E1244)*(1+AJ$7)^$D1244*(AJ1226/AI1226)^$E1244*((AJ1226+AJ1235)/(AI1226+AI1235))^($F1244*(1+$E1244))</f>
        <v/>
      </c>
      <c r="AK1244" s="41">
        <f>AJ1244*(1/(1+$G1244))^(1+$E1244)*(1+AK$7)^$D1244*(AK1226/AJ1226)^$E1244*((AK1226+AK1235)/(AJ1226+AJ1235))^($F1244*(1+$E1244))</f>
        <v/>
      </c>
      <c r="AL1244" s="41">
        <f>AK1244*(1/(1+$G1244))^(1+$E1244)*(1+AL$7)^$D1244*(AL1226/AK1226)^$E1244*((AL1226+AL1235)/(AK1226+AK1235))^($F1244*(1+$E1244))</f>
        <v/>
      </c>
      <c r="AM1244" s="41">
        <f>AL1244*(1/(1+$G1244))^(1+$E1244)*(1+AM$7)^$D1244*(AM1226/AL1226)^$E1244*((AM1226+AM1235)/(AL1226+AL1235))^($F1244*(1+$E1244))</f>
        <v/>
      </c>
      <c r="AN1244" s="42">
        <f>FUELUSE(AM1244,AN1226,AM1226,AN1235,AM1235,AN$7,$D1244,$E1244,$F1244,$G1244)</f>
        <v/>
      </c>
    </row>
    <row r="1245" hidden="1" outlineLevel="2">
      <c r="A1245" s="5" t="inlineStr">
        <is>
          <t>ener</t>
        </is>
      </c>
      <c r="B1245" s="5" t="inlineStr">
        <is>
          <t>gso</t>
        </is>
      </c>
      <c r="C1245" s="5" t="inlineStr">
        <is>
          <t>ftr</t>
        </is>
      </c>
      <c r="D1245" s="36">
        <f>INDEX(Inputs!$N$5:$N$132,MATCH($B1245&amp;"|"&amp;$C1245,Inputs!$A$5:$A$132,0))</f>
        <v/>
      </c>
      <c r="E1245" s="36">
        <f>INDEX(Inputs!$O$5:$O$132,MATCH($B1245&amp;"|"&amp;$C1245,Inputs!$A$5:$A$132,0))</f>
        <v/>
      </c>
      <c r="F1245" s="36">
        <f>INDEX(Inputs!$P$5:$P$132,MATCH($B1245&amp;"|"&amp;$C1245,Inputs!$A$5:$A$132,0))</f>
        <v/>
      </c>
      <c r="G1245" s="36">
        <f>INDEX(Inputs!$Q$5:$Q$132,MATCH($B1245&amp;"|"&amp;$C1245,Inputs!$A$5:$A$132,0))</f>
        <v/>
      </c>
      <c r="H1245" s="5">
        <f>INDEX(Variables!$B$5:$B$65,MATCH($A1245,Variables!$A$5:$A$65,0))&amp;IF($C1245="",""," | "&amp;INDEX(Mapping!$B$5:$B$25,MATCH($C1245,Mapping!$A$5:$A$25,0))&amp;" | "&amp;INDEX(Mapping!$B$29:$B$38,MATCH($B1245,Mapping!$A$29:$A$38,0)))</f>
        <v/>
      </c>
      <c r="I1245" s="5">
        <f>INDEX(Variables!$C$5:$C$65,MATCH($A1245,Variables!$A$5:$A$65,0))</f>
        <v/>
      </c>
      <c r="J1245" s="5">
        <f>INDEX(Variables!$E$5:$E$65,MATCH($A1245,Variables!$A$5:$A$65,0))</f>
        <v/>
      </c>
      <c r="K1245" s="23">
        <f>LOWER(Settings!$C$4)&amp;".mit."&amp;$A1245&amp;IF($C1245="","","."&amp;$C1245&amp;"."&amp;$B1245)&amp;IF(INDEX(Variables!$D$5:$D$65,MATCH($A1245,Variables!$A$5:$A$65,0))="","","."&amp;INDEX(Variables!$D$5:$D$65,MATCH($A1245,Variables!$A$5:$A$65,0)))&amp;"."&amp;K$5</f>
        <v/>
      </c>
      <c r="L1245" s="40">
        <f>INDEX(Inputs!$V$5:$V$132,MATCH($B1245&amp;"|"&amp;$C1245,Inputs!$A$5:$A$132,0))</f>
        <v/>
      </c>
      <c r="M1245" s="41">
        <f>L1245*(1/(1+$G1245))^(1+$E1245)*(1+M$7)^$D1245*(M1227/L1227)^$E1245*((M1227+M1236)/(L1227+L1236))^($F1245*(1+$E1245))</f>
        <v/>
      </c>
      <c r="N1245" s="41">
        <f>M1245*(1/(1+$G1245))^(1+$E1245)*(1+N$7)^$D1245*(N1227/M1227)^$E1245*((N1227+N1236)/(M1227+M1236))^($F1245*(1+$E1245))</f>
        <v/>
      </c>
      <c r="O1245" s="41">
        <f>N1245*(1/(1+$G1245))^(1+$E1245)*(1+O$7)^$D1245*(O1227/N1227)^$E1245*((O1227+O1236)/(N1227+N1236))^($F1245*(1+$E1245))</f>
        <v/>
      </c>
      <c r="P1245" s="41">
        <f>O1245*(1/(1+$G1245))^(1+$E1245)*(1+P$7)^$D1245*(P1227/O1227)^$E1245*((P1227+P1236)/(O1227+O1236))^($F1245*(1+$E1245))</f>
        <v/>
      </c>
      <c r="Q1245" s="41">
        <f>P1245*(1/(1+$G1245))^(1+$E1245)*(1+Q$7)^$D1245*(Q1227/P1227)^$E1245*((Q1227+Q1236)/(P1227+P1236))^($F1245*(1+$E1245))</f>
        <v/>
      </c>
      <c r="R1245" s="41">
        <f>Q1245*(1/(1+$G1245))^(1+$E1245)*(1+R$7)^$D1245*(R1227/Q1227)^$E1245*((R1227+R1236)/(Q1227+Q1236))^($F1245*(1+$E1245))</f>
        <v/>
      </c>
      <c r="S1245" s="41">
        <f>R1245*(1/(1+$G1245))^(1+$E1245)*(1+S$7)^$D1245*(S1227/R1227)^$E1245*((S1227+S1236)/(R1227+R1236))^($F1245*(1+$E1245))</f>
        <v/>
      </c>
      <c r="T1245" s="41">
        <f>S1245*(1/(1+$G1245))^(1+$E1245)*(1+T$7)^$D1245*(T1227/S1227)^$E1245*((T1227+T1236)/(S1227+S1236))^($F1245*(1+$E1245))</f>
        <v/>
      </c>
      <c r="U1245" s="41">
        <f>T1245*(1/(1+$G1245))^(1+$E1245)*(1+U$7)^$D1245*(U1227/T1227)^$E1245*((U1227+U1236)/(T1227+T1236))^($F1245*(1+$E1245))</f>
        <v/>
      </c>
      <c r="V1245" s="41">
        <f>U1245*(1/(1+$G1245))^(1+$E1245)*(1+V$7)^$D1245*(V1227/U1227)^$E1245*((V1227+V1236)/(U1227+U1236))^($F1245*(1+$E1245))</f>
        <v/>
      </c>
      <c r="W1245" s="41">
        <f>V1245*(1/(1+$G1245))^(1+$E1245)*(1+W$7)^$D1245*(W1227/V1227)^$E1245*((W1227+W1236)/(V1227+V1236))^($F1245*(1+$E1245))</f>
        <v/>
      </c>
      <c r="X1245" s="41">
        <f>W1245*(1/(1+$G1245))^(1+$E1245)*(1+X$7)^$D1245*(X1227/W1227)^$E1245*((X1227+X1236)/(W1227+W1236))^($F1245*(1+$E1245))</f>
        <v/>
      </c>
      <c r="Y1245" s="42">
        <f>FUELUSE(X1245,Y1227,X1227,Y1236,X1236,Y$7,$D1245,$E1245,$F1245,$G1245)</f>
        <v/>
      </c>
      <c r="Z1245" s="23">
        <f>LOWER(Settings!$C$4)&amp;".mit."&amp;$A1245&amp;IF($C1245="","","."&amp;$C1245&amp;"."&amp;$B1245)&amp;IF(INDEX(Variables!$D$5:$D$65,MATCH($A1245,Variables!$A$5:$A$65,0))="","","."&amp;INDEX(Variables!$D$5:$D$65,MATCH($A1245,Variables!$A$5:$A$65,0)))&amp;"."&amp;Z$5</f>
        <v/>
      </c>
      <c r="AA1245" s="40">
        <f>INDEX(Inputs!$V$5:$V$132,MATCH($B1245&amp;"|"&amp;$C1245,Inputs!$A$5:$A$132,0))</f>
        <v/>
      </c>
      <c r="AB1245" s="41">
        <f>AA1245*(1/(1+$G1245))^(1+$E1245)*(1+AB$7)^$D1245*(AB1227/AA1227)^$E1245*((AB1227+AB1236)/(AA1227+AA1236))^($F1245*(1+$E1245))</f>
        <v/>
      </c>
      <c r="AC1245" s="41">
        <f>AB1245*(1/(1+$G1245))^(1+$E1245)*(1+AC$7)^$D1245*(AC1227/AB1227)^$E1245*((AC1227+AC1236)/(AB1227+AB1236))^($F1245*(1+$E1245))</f>
        <v/>
      </c>
      <c r="AD1245" s="41">
        <f>AC1245*(1/(1+$G1245))^(1+$E1245)*(1+AD$7)^$D1245*(AD1227/AC1227)^$E1245*((AD1227+AD1236)/(AC1227+AC1236))^($F1245*(1+$E1245))</f>
        <v/>
      </c>
      <c r="AE1245" s="41">
        <f>AD1245*(1/(1+$G1245))^(1+$E1245)*(1+AE$7)^$D1245*(AE1227/AD1227)^$E1245*((AE1227+AE1236)/(AD1227+AD1236))^($F1245*(1+$E1245))</f>
        <v/>
      </c>
      <c r="AF1245" s="41">
        <f>AE1245*(1/(1+$G1245))^(1+$E1245)*(1+AF$7)^$D1245*(AF1227/AE1227)^$E1245*((AF1227+AF1236)/(AE1227+AE1236))^($F1245*(1+$E1245))</f>
        <v/>
      </c>
      <c r="AG1245" s="41">
        <f>AF1245*(1/(1+$G1245))^(1+$E1245)*(1+AG$7)^$D1245*(AG1227/AF1227)^$E1245*((AG1227+AG1236)/(AF1227+AF1236))^($F1245*(1+$E1245))</f>
        <v/>
      </c>
      <c r="AH1245" s="41">
        <f>AG1245*(1/(1+$G1245))^(1+$E1245)*(1+AH$7)^$D1245*(AH1227/AG1227)^$E1245*((AH1227+AH1236)/(AG1227+AG1236))^($F1245*(1+$E1245))</f>
        <v/>
      </c>
      <c r="AI1245" s="41">
        <f>AH1245*(1/(1+$G1245))^(1+$E1245)*(1+AI$7)^$D1245*(AI1227/AH1227)^$E1245*((AI1227+AI1236)/(AH1227+AH1236))^($F1245*(1+$E1245))</f>
        <v/>
      </c>
      <c r="AJ1245" s="41">
        <f>AI1245*(1/(1+$G1245))^(1+$E1245)*(1+AJ$7)^$D1245*(AJ1227/AI1227)^$E1245*((AJ1227+AJ1236)/(AI1227+AI1236))^($F1245*(1+$E1245))</f>
        <v/>
      </c>
      <c r="AK1245" s="41">
        <f>AJ1245*(1/(1+$G1245))^(1+$E1245)*(1+AK$7)^$D1245*(AK1227/AJ1227)^$E1245*((AK1227+AK1236)/(AJ1227+AJ1236))^($F1245*(1+$E1245))</f>
        <v/>
      </c>
      <c r="AL1245" s="41">
        <f>AK1245*(1/(1+$G1245))^(1+$E1245)*(1+AL$7)^$D1245*(AL1227/AK1227)^$E1245*((AL1227+AL1236)/(AK1227+AK1236))^($F1245*(1+$E1245))</f>
        <v/>
      </c>
      <c r="AM1245" s="41">
        <f>AL1245*(1/(1+$G1245))^(1+$E1245)*(1+AM$7)^$D1245*(AM1227/AL1227)^$E1245*((AM1227+AM1236)/(AL1227+AL1236))^($F1245*(1+$E1245))</f>
        <v/>
      </c>
      <c r="AN1245" s="42">
        <f>FUELUSE(AM1245,AN1227,AM1227,AN1236,AM1236,AN$7,$D1245,$E1245,$F1245,$G1245)</f>
        <v/>
      </c>
    </row>
    <row r="1246" hidden="1" outlineLevel="2">
      <c r="A1246" s="5" t="inlineStr">
        <is>
          <t>ener</t>
        </is>
      </c>
      <c r="B1246" s="5" t="inlineStr">
        <is>
          <t>die</t>
        </is>
      </c>
      <c r="C1246" s="5" t="inlineStr">
        <is>
          <t>ftr</t>
        </is>
      </c>
      <c r="D1246" s="36">
        <f>INDEX(Inputs!$N$5:$N$132,MATCH($B1246&amp;"|"&amp;$C1246,Inputs!$A$5:$A$132,0))</f>
        <v/>
      </c>
      <c r="E1246" s="36">
        <f>INDEX(Inputs!$O$5:$O$132,MATCH($B1246&amp;"|"&amp;$C1246,Inputs!$A$5:$A$132,0))</f>
        <v/>
      </c>
      <c r="F1246" s="36">
        <f>INDEX(Inputs!$P$5:$P$132,MATCH($B1246&amp;"|"&amp;$C1246,Inputs!$A$5:$A$132,0))</f>
        <v/>
      </c>
      <c r="G1246" s="36">
        <f>INDEX(Inputs!$Q$5:$Q$132,MATCH($B1246&amp;"|"&amp;$C1246,Inputs!$A$5:$A$132,0))</f>
        <v/>
      </c>
      <c r="H1246" s="5">
        <f>INDEX(Variables!$B$5:$B$65,MATCH($A1246,Variables!$A$5:$A$65,0))&amp;IF($C1246="",""," | "&amp;INDEX(Mapping!$B$5:$B$25,MATCH($C1246,Mapping!$A$5:$A$25,0))&amp;" | "&amp;INDEX(Mapping!$B$29:$B$38,MATCH($B1246,Mapping!$A$29:$A$38,0)))</f>
        <v/>
      </c>
      <c r="I1246" s="5">
        <f>INDEX(Variables!$C$5:$C$65,MATCH($A1246,Variables!$A$5:$A$65,0))</f>
        <v/>
      </c>
      <c r="J1246" s="5">
        <f>INDEX(Variables!$E$5:$E$65,MATCH($A1246,Variables!$A$5:$A$65,0))</f>
        <v/>
      </c>
      <c r="K1246" s="23">
        <f>LOWER(Settings!$C$4)&amp;".mit."&amp;$A1246&amp;IF($C1246="","","."&amp;$C1246&amp;"."&amp;$B1246)&amp;IF(INDEX(Variables!$D$5:$D$65,MATCH($A1246,Variables!$A$5:$A$65,0))="","","."&amp;INDEX(Variables!$D$5:$D$65,MATCH($A1246,Variables!$A$5:$A$65,0)))&amp;"."&amp;K$5</f>
        <v/>
      </c>
      <c r="L1246" s="40">
        <f>INDEX(Inputs!$V$5:$V$132,MATCH($B1246&amp;"|"&amp;$C1246,Inputs!$A$5:$A$132,0))</f>
        <v/>
      </c>
      <c r="M1246" s="41">
        <f>L1246*(1/(1+$G1246))^(1+$E1246)*(1+M$7)^$D1246*(M1228/L1228)^$E1246*((M1228+M1237)/(L1228+L1237))^($F1246*(1+$E1246))</f>
        <v/>
      </c>
      <c r="N1246" s="41">
        <f>M1246*(1/(1+$G1246))^(1+$E1246)*(1+N$7)^$D1246*(N1228/M1228)^$E1246*((N1228+N1237)/(M1228+M1237))^($F1246*(1+$E1246))</f>
        <v/>
      </c>
      <c r="O1246" s="41">
        <f>N1246*(1/(1+$G1246))^(1+$E1246)*(1+O$7)^$D1246*(O1228/N1228)^$E1246*((O1228+O1237)/(N1228+N1237))^($F1246*(1+$E1246))</f>
        <v/>
      </c>
      <c r="P1246" s="41">
        <f>O1246*(1/(1+$G1246))^(1+$E1246)*(1+P$7)^$D1246*(P1228/O1228)^$E1246*((P1228+P1237)/(O1228+O1237))^($F1246*(1+$E1246))</f>
        <v/>
      </c>
      <c r="Q1246" s="41">
        <f>P1246*(1/(1+$G1246))^(1+$E1246)*(1+Q$7)^$D1246*(Q1228/P1228)^$E1246*((Q1228+Q1237)/(P1228+P1237))^($F1246*(1+$E1246))</f>
        <v/>
      </c>
      <c r="R1246" s="41">
        <f>Q1246*(1/(1+$G1246))^(1+$E1246)*(1+R$7)^$D1246*(R1228/Q1228)^$E1246*((R1228+R1237)/(Q1228+Q1237))^($F1246*(1+$E1246))</f>
        <v/>
      </c>
      <c r="S1246" s="41">
        <f>R1246*(1/(1+$G1246))^(1+$E1246)*(1+S$7)^$D1246*(S1228/R1228)^$E1246*((S1228+S1237)/(R1228+R1237))^($F1246*(1+$E1246))</f>
        <v/>
      </c>
      <c r="T1246" s="41">
        <f>S1246*(1/(1+$G1246))^(1+$E1246)*(1+T$7)^$D1246*(T1228/S1228)^$E1246*((T1228+T1237)/(S1228+S1237))^($F1246*(1+$E1246))</f>
        <v/>
      </c>
      <c r="U1246" s="41">
        <f>T1246*(1/(1+$G1246))^(1+$E1246)*(1+U$7)^$D1246*(U1228/T1228)^$E1246*((U1228+U1237)/(T1228+T1237))^($F1246*(1+$E1246))</f>
        <v/>
      </c>
      <c r="V1246" s="41">
        <f>U1246*(1/(1+$G1246))^(1+$E1246)*(1+V$7)^$D1246*(V1228/U1228)^$E1246*((V1228+V1237)/(U1228+U1237))^($F1246*(1+$E1246))</f>
        <v/>
      </c>
      <c r="W1246" s="41">
        <f>V1246*(1/(1+$G1246))^(1+$E1246)*(1+W$7)^$D1246*(W1228/V1228)^$E1246*((W1228+W1237)/(V1228+V1237))^($F1246*(1+$E1246))</f>
        <v/>
      </c>
      <c r="X1246" s="41">
        <f>W1246*(1/(1+$G1246))^(1+$E1246)*(1+X$7)^$D1246*(X1228/W1228)^$E1246*((X1228+X1237)/(W1228+W1237))^($F1246*(1+$E1246))</f>
        <v/>
      </c>
      <c r="Y1246" s="42">
        <f>FUELUSE(X1246,Y1228,X1228,Y1237,X1237,Y$7,$D1246,$E1246,$F1246,$G1246)</f>
        <v/>
      </c>
      <c r="Z1246" s="23">
        <f>LOWER(Settings!$C$4)&amp;".mit."&amp;$A1246&amp;IF($C1246="","","."&amp;$C1246&amp;"."&amp;$B1246)&amp;IF(INDEX(Variables!$D$5:$D$65,MATCH($A1246,Variables!$A$5:$A$65,0))="","","."&amp;INDEX(Variables!$D$5:$D$65,MATCH($A1246,Variables!$A$5:$A$65,0)))&amp;"."&amp;Z$5</f>
        <v/>
      </c>
      <c r="AA1246" s="40">
        <f>INDEX(Inputs!$V$5:$V$132,MATCH($B1246&amp;"|"&amp;$C1246,Inputs!$A$5:$A$132,0))</f>
        <v/>
      </c>
      <c r="AB1246" s="41">
        <f>AA1246*(1/(1+$G1246))^(1+$E1246)*(1+AB$7)^$D1246*(AB1228/AA1228)^$E1246*((AB1228+AB1237)/(AA1228+AA1237))^($F1246*(1+$E1246))</f>
        <v/>
      </c>
      <c r="AC1246" s="41">
        <f>AB1246*(1/(1+$G1246))^(1+$E1246)*(1+AC$7)^$D1246*(AC1228/AB1228)^$E1246*((AC1228+AC1237)/(AB1228+AB1237))^($F1246*(1+$E1246))</f>
        <v/>
      </c>
      <c r="AD1246" s="41">
        <f>AC1246*(1/(1+$G1246))^(1+$E1246)*(1+AD$7)^$D1246*(AD1228/AC1228)^$E1246*((AD1228+AD1237)/(AC1228+AC1237))^($F1246*(1+$E1246))</f>
        <v/>
      </c>
      <c r="AE1246" s="41">
        <f>AD1246*(1/(1+$G1246))^(1+$E1246)*(1+AE$7)^$D1246*(AE1228/AD1228)^$E1246*((AE1228+AE1237)/(AD1228+AD1237))^($F1246*(1+$E1246))</f>
        <v/>
      </c>
      <c r="AF1246" s="41">
        <f>AE1246*(1/(1+$G1246))^(1+$E1246)*(1+AF$7)^$D1246*(AF1228/AE1228)^$E1246*((AF1228+AF1237)/(AE1228+AE1237))^($F1246*(1+$E1246))</f>
        <v/>
      </c>
      <c r="AG1246" s="41">
        <f>AF1246*(1/(1+$G1246))^(1+$E1246)*(1+AG$7)^$D1246*(AG1228/AF1228)^$E1246*((AG1228+AG1237)/(AF1228+AF1237))^($F1246*(1+$E1246))</f>
        <v/>
      </c>
      <c r="AH1246" s="41">
        <f>AG1246*(1/(1+$G1246))^(1+$E1246)*(1+AH$7)^$D1246*(AH1228/AG1228)^$E1246*((AH1228+AH1237)/(AG1228+AG1237))^($F1246*(1+$E1246))</f>
        <v/>
      </c>
      <c r="AI1246" s="41">
        <f>AH1246*(1/(1+$G1246))^(1+$E1246)*(1+AI$7)^$D1246*(AI1228/AH1228)^$E1246*((AI1228+AI1237)/(AH1228+AH1237))^($F1246*(1+$E1246))</f>
        <v/>
      </c>
      <c r="AJ1246" s="41">
        <f>AI1246*(1/(1+$G1246))^(1+$E1246)*(1+AJ$7)^$D1246*(AJ1228/AI1228)^$E1246*((AJ1228+AJ1237)/(AI1228+AI1237))^($F1246*(1+$E1246))</f>
        <v/>
      </c>
      <c r="AK1246" s="41">
        <f>AJ1246*(1/(1+$G1246))^(1+$E1246)*(1+AK$7)^$D1246*(AK1228/AJ1228)^$E1246*((AK1228+AK1237)/(AJ1228+AJ1237))^($F1246*(1+$E1246))</f>
        <v/>
      </c>
      <c r="AL1246" s="41">
        <f>AK1246*(1/(1+$G1246))^(1+$E1246)*(1+AL$7)^$D1246*(AL1228/AK1228)^$E1246*((AL1228+AL1237)/(AK1228+AK1237))^($F1246*(1+$E1246))</f>
        <v/>
      </c>
      <c r="AM1246" s="41">
        <f>AL1246*(1/(1+$G1246))^(1+$E1246)*(1+AM$7)^$D1246*(AM1228/AL1228)^$E1246*((AM1228+AM1237)/(AL1228+AL1237))^($F1246*(1+$E1246))</f>
        <v/>
      </c>
      <c r="AN1246" s="42">
        <f>FUELUSE(AM1246,AN1228,AM1228,AN1237,AM1237,AN$7,$D1246,$E1246,$F1246,$G1246)</f>
        <v/>
      </c>
    </row>
    <row r="1247" hidden="1" outlineLevel="2">
      <c r="A1247" s="5" t="inlineStr">
        <is>
          <t>ener</t>
        </is>
      </c>
      <c r="B1247" s="5" t="inlineStr">
        <is>
          <t>lpg</t>
        </is>
      </c>
      <c r="C1247" s="5" t="inlineStr">
        <is>
          <t>ftr</t>
        </is>
      </c>
      <c r="D1247" s="36">
        <f>INDEX(Inputs!$N$5:$N$132,MATCH($B1247&amp;"|"&amp;$C1247,Inputs!$A$5:$A$132,0))</f>
        <v/>
      </c>
      <c r="E1247" s="36">
        <f>INDEX(Inputs!$O$5:$O$132,MATCH($B1247&amp;"|"&amp;$C1247,Inputs!$A$5:$A$132,0))</f>
        <v/>
      </c>
      <c r="F1247" s="36">
        <f>INDEX(Inputs!$P$5:$P$132,MATCH($B1247&amp;"|"&amp;$C1247,Inputs!$A$5:$A$132,0))</f>
        <v/>
      </c>
      <c r="G1247" s="36">
        <f>INDEX(Inputs!$Q$5:$Q$132,MATCH($B1247&amp;"|"&amp;$C1247,Inputs!$A$5:$A$132,0))</f>
        <v/>
      </c>
      <c r="H1247" s="5">
        <f>INDEX(Variables!$B$5:$B$65,MATCH($A1247,Variables!$A$5:$A$65,0))&amp;IF($C1247="",""," | "&amp;INDEX(Mapping!$B$5:$B$25,MATCH($C1247,Mapping!$A$5:$A$25,0))&amp;" | "&amp;INDEX(Mapping!$B$29:$B$38,MATCH($B1247,Mapping!$A$29:$A$38,0)))</f>
        <v/>
      </c>
      <c r="I1247" s="5">
        <f>INDEX(Variables!$C$5:$C$65,MATCH($A1247,Variables!$A$5:$A$65,0))</f>
        <v/>
      </c>
      <c r="J1247" s="5">
        <f>INDEX(Variables!$E$5:$E$65,MATCH($A1247,Variables!$A$5:$A$65,0))</f>
        <v/>
      </c>
      <c r="K1247" s="23">
        <f>LOWER(Settings!$C$4)&amp;".mit."&amp;$A1247&amp;IF($C1247="","","."&amp;$C1247&amp;"."&amp;$B1247)&amp;IF(INDEX(Variables!$D$5:$D$65,MATCH($A1247,Variables!$A$5:$A$65,0))="","","."&amp;INDEX(Variables!$D$5:$D$65,MATCH($A1247,Variables!$A$5:$A$65,0)))&amp;"."&amp;K$5</f>
        <v/>
      </c>
      <c r="L1247" s="40">
        <f>INDEX(Inputs!$V$5:$V$132,MATCH($B1247&amp;"|"&amp;$C1247,Inputs!$A$5:$A$132,0))</f>
        <v/>
      </c>
      <c r="M1247" s="41">
        <f>L1247*(1/(1+$G1247))^(1+$E1247)*(1+M$7)^$D1247*(M1229/L1229)^$E1247*((M1229+M1238)/(L1229+L1238))^($F1247*(1+$E1247))</f>
        <v/>
      </c>
      <c r="N1247" s="41">
        <f>M1247*(1/(1+$G1247))^(1+$E1247)*(1+N$7)^$D1247*(N1229/M1229)^$E1247*((N1229+N1238)/(M1229+M1238))^($F1247*(1+$E1247))</f>
        <v/>
      </c>
      <c r="O1247" s="41">
        <f>N1247*(1/(1+$G1247))^(1+$E1247)*(1+O$7)^$D1247*(O1229/N1229)^$E1247*((O1229+O1238)/(N1229+N1238))^($F1247*(1+$E1247))</f>
        <v/>
      </c>
      <c r="P1247" s="41">
        <f>O1247*(1/(1+$G1247))^(1+$E1247)*(1+P$7)^$D1247*(P1229/O1229)^$E1247*((P1229+P1238)/(O1229+O1238))^($F1247*(1+$E1247))</f>
        <v/>
      </c>
      <c r="Q1247" s="41">
        <f>P1247*(1/(1+$G1247))^(1+$E1247)*(1+Q$7)^$D1247*(Q1229/P1229)^$E1247*((Q1229+Q1238)/(P1229+P1238))^($F1247*(1+$E1247))</f>
        <v/>
      </c>
      <c r="R1247" s="41">
        <f>Q1247*(1/(1+$G1247))^(1+$E1247)*(1+R$7)^$D1247*(R1229/Q1229)^$E1247*((R1229+R1238)/(Q1229+Q1238))^($F1247*(1+$E1247))</f>
        <v/>
      </c>
      <c r="S1247" s="41">
        <f>R1247*(1/(1+$G1247))^(1+$E1247)*(1+S$7)^$D1247*(S1229/R1229)^$E1247*((S1229+S1238)/(R1229+R1238))^($F1247*(1+$E1247))</f>
        <v/>
      </c>
      <c r="T1247" s="41">
        <f>S1247*(1/(1+$G1247))^(1+$E1247)*(1+T$7)^$D1247*(T1229/S1229)^$E1247*((T1229+T1238)/(S1229+S1238))^($F1247*(1+$E1247))</f>
        <v/>
      </c>
      <c r="U1247" s="41">
        <f>T1247*(1/(1+$G1247))^(1+$E1247)*(1+U$7)^$D1247*(U1229/T1229)^$E1247*((U1229+U1238)/(T1229+T1238))^($F1247*(1+$E1247))</f>
        <v/>
      </c>
      <c r="V1247" s="41">
        <f>U1247*(1/(1+$G1247))^(1+$E1247)*(1+V$7)^$D1247*(V1229/U1229)^$E1247*((V1229+V1238)/(U1229+U1238))^($F1247*(1+$E1247))</f>
        <v/>
      </c>
      <c r="W1247" s="41">
        <f>V1247*(1/(1+$G1247))^(1+$E1247)*(1+W$7)^$D1247*(W1229/V1229)^$E1247*((W1229+W1238)/(V1229+V1238))^($F1247*(1+$E1247))</f>
        <v/>
      </c>
      <c r="X1247" s="41">
        <f>W1247*(1/(1+$G1247))^(1+$E1247)*(1+X$7)^$D1247*(X1229/W1229)^$E1247*((X1229+X1238)/(W1229+W1238))^($F1247*(1+$E1247))</f>
        <v/>
      </c>
      <c r="Y1247" s="42">
        <f>FUELUSE(X1247,Y1229,X1229,Y1238,X1238,Y$7,$D1247,$E1247,$F1247,$G1247)</f>
        <v/>
      </c>
      <c r="Z1247" s="23">
        <f>LOWER(Settings!$C$4)&amp;".mit."&amp;$A1247&amp;IF($C1247="","","."&amp;$C1247&amp;"."&amp;$B1247)&amp;IF(INDEX(Variables!$D$5:$D$65,MATCH($A1247,Variables!$A$5:$A$65,0))="","","."&amp;INDEX(Variables!$D$5:$D$65,MATCH($A1247,Variables!$A$5:$A$65,0)))&amp;"."&amp;Z$5</f>
        <v/>
      </c>
      <c r="AA1247" s="40">
        <f>INDEX(Inputs!$V$5:$V$132,MATCH($B1247&amp;"|"&amp;$C1247,Inputs!$A$5:$A$132,0))</f>
        <v/>
      </c>
      <c r="AB1247" s="41">
        <f>AA1247*(1/(1+$G1247))^(1+$E1247)*(1+AB$7)^$D1247*(AB1229/AA1229)^$E1247*((AB1229+AB1238)/(AA1229+AA1238))^($F1247*(1+$E1247))</f>
        <v/>
      </c>
      <c r="AC1247" s="41">
        <f>AB1247*(1/(1+$G1247))^(1+$E1247)*(1+AC$7)^$D1247*(AC1229/AB1229)^$E1247*((AC1229+AC1238)/(AB1229+AB1238))^($F1247*(1+$E1247))</f>
        <v/>
      </c>
      <c r="AD1247" s="41">
        <f>AC1247*(1/(1+$G1247))^(1+$E1247)*(1+AD$7)^$D1247*(AD1229/AC1229)^$E1247*((AD1229+AD1238)/(AC1229+AC1238))^($F1247*(1+$E1247))</f>
        <v/>
      </c>
      <c r="AE1247" s="41">
        <f>AD1247*(1/(1+$G1247))^(1+$E1247)*(1+AE$7)^$D1247*(AE1229/AD1229)^$E1247*((AE1229+AE1238)/(AD1229+AD1238))^($F1247*(1+$E1247))</f>
        <v/>
      </c>
      <c r="AF1247" s="41">
        <f>AE1247*(1/(1+$G1247))^(1+$E1247)*(1+AF$7)^$D1247*(AF1229/AE1229)^$E1247*((AF1229+AF1238)/(AE1229+AE1238))^($F1247*(1+$E1247))</f>
        <v/>
      </c>
      <c r="AG1247" s="41">
        <f>AF1247*(1/(1+$G1247))^(1+$E1247)*(1+AG$7)^$D1247*(AG1229/AF1229)^$E1247*((AG1229+AG1238)/(AF1229+AF1238))^($F1247*(1+$E1247))</f>
        <v/>
      </c>
      <c r="AH1247" s="41">
        <f>AG1247*(1/(1+$G1247))^(1+$E1247)*(1+AH$7)^$D1247*(AH1229/AG1229)^$E1247*((AH1229+AH1238)/(AG1229+AG1238))^($F1247*(1+$E1247))</f>
        <v/>
      </c>
      <c r="AI1247" s="41">
        <f>AH1247*(1/(1+$G1247))^(1+$E1247)*(1+AI$7)^$D1247*(AI1229/AH1229)^$E1247*((AI1229+AI1238)/(AH1229+AH1238))^($F1247*(1+$E1247))</f>
        <v/>
      </c>
      <c r="AJ1247" s="41">
        <f>AI1247*(1/(1+$G1247))^(1+$E1247)*(1+AJ$7)^$D1247*(AJ1229/AI1229)^$E1247*((AJ1229+AJ1238)/(AI1229+AI1238))^($F1247*(1+$E1247))</f>
        <v/>
      </c>
      <c r="AK1247" s="41">
        <f>AJ1247*(1/(1+$G1247))^(1+$E1247)*(1+AK$7)^$D1247*(AK1229/AJ1229)^$E1247*((AK1229+AK1238)/(AJ1229+AJ1238))^($F1247*(1+$E1247))</f>
        <v/>
      </c>
      <c r="AL1247" s="41">
        <f>AK1247*(1/(1+$G1247))^(1+$E1247)*(1+AL$7)^$D1247*(AL1229/AK1229)^$E1247*((AL1229+AL1238)/(AK1229+AK1238))^($F1247*(1+$E1247))</f>
        <v/>
      </c>
      <c r="AM1247" s="41">
        <f>AL1247*(1/(1+$G1247))^(1+$E1247)*(1+AM$7)^$D1247*(AM1229/AL1229)^$E1247*((AM1229+AM1238)/(AL1229+AL1238))^($F1247*(1+$E1247))</f>
        <v/>
      </c>
      <c r="AN1247" s="42">
        <f>FUELUSE(AM1247,AN1229,AM1229,AN1238,AM1238,AN$7,$D1247,$E1247,$F1247,$G1247)</f>
        <v/>
      </c>
    </row>
    <row r="1248" hidden="1" outlineLevel="2">
      <c r="A1248" s="5" t="inlineStr">
        <is>
          <t>ener</t>
        </is>
      </c>
      <c r="B1248" s="5" t="inlineStr">
        <is>
          <t>ker</t>
        </is>
      </c>
      <c r="C1248" s="5" t="inlineStr">
        <is>
          <t>ftr</t>
        </is>
      </c>
      <c r="D1248" s="36">
        <f>INDEX(Inputs!$N$5:$N$132,MATCH($B1248&amp;"|"&amp;$C1248,Inputs!$A$5:$A$132,0))</f>
        <v/>
      </c>
      <c r="E1248" s="36">
        <f>INDEX(Inputs!$O$5:$O$132,MATCH($B1248&amp;"|"&amp;$C1248,Inputs!$A$5:$A$132,0))</f>
        <v/>
      </c>
      <c r="F1248" s="36">
        <f>INDEX(Inputs!$P$5:$P$132,MATCH($B1248&amp;"|"&amp;$C1248,Inputs!$A$5:$A$132,0))</f>
        <v/>
      </c>
      <c r="G1248" s="36">
        <f>INDEX(Inputs!$Q$5:$Q$132,MATCH($B1248&amp;"|"&amp;$C1248,Inputs!$A$5:$A$132,0))</f>
        <v/>
      </c>
      <c r="H1248" s="5">
        <f>INDEX(Variables!$B$5:$B$65,MATCH($A1248,Variables!$A$5:$A$65,0))&amp;IF($C1248="",""," | "&amp;INDEX(Mapping!$B$5:$B$25,MATCH($C1248,Mapping!$A$5:$A$25,0))&amp;" | "&amp;INDEX(Mapping!$B$29:$B$38,MATCH($B1248,Mapping!$A$29:$A$38,0)))</f>
        <v/>
      </c>
      <c r="I1248" s="5">
        <f>INDEX(Variables!$C$5:$C$65,MATCH($A1248,Variables!$A$5:$A$65,0))</f>
        <v/>
      </c>
      <c r="J1248" s="5">
        <f>INDEX(Variables!$E$5:$E$65,MATCH($A1248,Variables!$A$5:$A$65,0))</f>
        <v/>
      </c>
      <c r="K1248" s="23">
        <f>LOWER(Settings!$C$4)&amp;".mit."&amp;$A1248&amp;IF($C1248="","","."&amp;$C1248&amp;"."&amp;$B1248)&amp;IF(INDEX(Variables!$D$5:$D$65,MATCH($A1248,Variables!$A$5:$A$65,0))="","","."&amp;INDEX(Variables!$D$5:$D$65,MATCH($A1248,Variables!$A$5:$A$65,0)))&amp;"."&amp;K$5</f>
        <v/>
      </c>
      <c r="L1248" s="40">
        <f>INDEX(Inputs!$V$5:$V$132,MATCH($B1248&amp;"|"&amp;$C1248,Inputs!$A$5:$A$132,0))</f>
        <v/>
      </c>
      <c r="M1248" s="41">
        <f>L1248*(1/(1+$G1248))^(1+$E1248)*(1+M$7)^$D1248*(M1230/L1230)^$E1248*((M1230+M1239)/(L1230+L1239))^($F1248*(1+$E1248))</f>
        <v/>
      </c>
      <c r="N1248" s="41">
        <f>M1248*(1/(1+$G1248))^(1+$E1248)*(1+N$7)^$D1248*(N1230/M1230)^$E1248*((N1230+N1239)/(M1230+M1239))^($F1248*(1+$E1248))</f>
        <v/>
      </c>
      <c r="O1248" s="41">
        <f>N1248*(1/(1+$G1248))^(1+$E1248)*(1+O$7)^$D1248*(O1230/N1230)^$E1248*((O1230+O1239)/(N1230+N1239))^($F1248*(1+$E1248))</f>
        <v/>
      </c>
      <c r="P1248" s="41">
        <f>O1248*(1/(1+$G1248))^(1+$E1248)*(1+P$7)^$D1248*(P1230/O1230)^$E1248*((P1230+P1239)/(O1230+O1239))^($F1248*(1+$E1248))</f>
        <v/>
      </c>
      <c r="Q1248" s="41">
        <f>P1248*(1/(1+$G1248))^(1+$E1248)*(1+Q$7)^$D1248*(Q1230/P1230)^$E1248*((Q1230+Q1239)/(P1230+P1239))^($F1248*(1+$E1248))</f>
        <v/>
      </c>
      <c r="R1248" s="41">
        <f>Q1248*(1/(1+$G1248))^(1+$E1248)*(1+R$7)^$D1248*(R1230/Q1230)^$E1248*((R1230+R1239)/(Q1230+Q1239))^($F1248*(1+$E1248))</f>
        <v/>
      </c>
      <c r="S1248" s="41">
        <f>R1248*(1/(1+$G1248))^(1+$E1248)*(1+S$7)^$D1248*(S1230/R1230)^$E1248*((S1230+S1239)/(R1230+R1239))^($F1248*(1+$E1248))</f>
        <v/>
      </c>
      <c r="T1248" s="41">
        <f>S1248*(1/(1+$G1248))^(1+$E1248)*(1+T$7)^$D1248*(T1230/S1230)^$E1248*((T1230+T1239)/(S1230+S1239))^($F1248*(1+$E1248))</f>
        <v/>
      </c>
      <c r="U1248" s="41">
        <f>T1248*(1/(1+$G1248))^(1+$E1248)*(1+U$7)^$D1248*(U1230/T1230)^$E1248*((U1230+U1239)/(T1230+T1239))^($F1248*(1+$E1248))</f>
        <v/>
      </c>
      <c r="V1248" s="41">
        <f>U1248*(1/(1+$G1248))^(1+$E1248)*(1+V$7)^$D1248*(V1230/U1230)^$E1248*((V1230+V1239)/(U1230+U1239))^($F1248*(1+$E1248))</f>
        <v/>
      </c>
      <c r="W1248" s="41">
        <f>V1248*(1/(1+$G1248))^(1+$E1248)*(1+W$7)^$D1248*(W1230/V1230)^$E1248*((W1230+W1239)/(V1230+V1239))^($F1248*(1+$E1248))</f>
        <v/>
      </c>
      <c r="X1248" s="41">
        <f>W1248*(1/(1+$G1248))^(1+$E1248)*(1+X$7)^$D1248*(X1230/W1230)^$E1248*((X1230+X1239)/(W1230+W1239))^($F1248*(1+$E1248))</f>
        <v/>
      </c>
      <c r="Y1248" s="42">
        <f>FUELUSE(X1248,Y1230,X1230,Y1239,X1239,Y$7,$D1248,$E1248,$F1248,$G1248)</f>
        <v/>
      </c>
      <c r="Z1248" s="23">
        <f>LOWER(Settings!$C$4)&amp;".mit."&amp;$A1248&amp;IF($C1248="","","."&amp;$C1248&amp;"."&amp;$B1248)&amp;IF(INDEX(Variables!$D$5:$D$65,MATCH($A1248,Variables!$A$5:$A$65,0))="","","."&amp;INDEX(Variables!$D$5:$D$65,MATCH($A1248,Variables!$A$5:$A$65,0)))&amp;"."&amp;Z$5</f>
        <v/>
      </c>
      <c r="AA1248" s="40">
        <f>INDEX(Inputs!$V$5:$V$132,MATCH($B1248&amp;"|"&amp;$C1248,Inputs!$A$5:$A$132,0))</f>
        <v/>
      </c>
      <c r="AB1248" s="41">
        <f>AA1248*(1/(1+$G1248))^(1+$E1248)*(1+AB$7)^$D1248*(AB1230/AA1230)^$E1248*((AB1230+AB1239)/(AA1230+AA1239))^($F1248*(1+$E1248))</f>
        <v/>
      </c>
      <c r="AC1248" s="41">
        <f>AB1248*(1/(1+$G1248))^(1+$E1248)*(1+AC$7)^$D1248*(AC1230/AB1230)^$E1248*((AC1230+AC1239)/(AB1230+AB1239))^($F1248*(1+$E1248))</f>
        <v/>
      </c>
      <c r="AD1248" s="41">
        <f>AC1248*(1/(1+$G1248))^(1+$E1248)*(1+AD$7)^$D1248*(AD1230/AC1230)^$E1248*((AD1230+AD1239)/(AC1230+AC1239))^($F1248*(1+$E1248))</f>
        <v/>
      </c>
      <c r="AE1248" s="41">
        <f>AD1248*(1/(1+$G1248))^(1+$E1248)*(1+AE$7)^$D1248*(AE1230/AD1230)^$E1248*((AE1230+AE1239)/(AD1230+AD1239))^($F1248*(1+$E1248))</f>
        <v/>
      </c>
      <c r="AF1248" s="41">
        <f>AE1248*(1/(1+$G1248))^(1+$E1248)*(1+AF$7)^$D1248*(AF1230/AE1230)^$E1248*((AF1230+AF1239)/(AE1230+AE1239))^($F1248*(1+$E1248))</f>
        <v/>
      </c>
      <c r="AG1248" s="41">
        <f>AF1248*(1/(1+$G1248))^(1+$E1248)*(1+AG$7)^$D1248*(AG1230/AF1230)^$E1248*((AG1230+AG1239)/(AF1230+AF1239))^($F1248*(1+$E1248))</f>
        <v/>
      </c>
      <c r="AH1248" s="41">
        <f>AG1248*(1/(1+$G1248))^(1+$E1248)*(1+AH$7)^$D1248*(AH1230/AG1230)^$E1248*((AH1230+AH1239)/(AG1230+AG1239))^($F1248*(1+$E1248))</f>
        <v/>
      </c>
      <c r="AI1248" s="41">
        <f>AH1248*(1/(1+$G1248))^(1+$E1248)*(1+AI$7)^$D1248*(AI1230/AH1230)^$E1248*((AI1230+AI1239)/(AH1230+AH1239))^($F1248*(1+$E1248))</f>
        <v/>
      </c>
      <c r="AJ1248" s="41">
        <f>AI1248*(1/(1+$G1248))^(1+$E1248)*(1+AJ$7)^$D1248*(AJ1230/AI1230)^$E1248*((AJ1230+AJ1239)/(AI1230+AI1239))^($F1248*(1+$E1248))</f>
        <v/>
      </c>
      <c r="AK1248" s="41">
        <f>AJ1248*(1/(1+$G1248))^(1+$E1248)*(1+AK$7)^$D1248*(AK1230/AJ1230)^$E1248*((AK1230+AK1239)/(AJ1230+AJ1239))^($F1248*(1+$E1248))</f>
        <v/>
      </c>
      <c r="AL1248" s="41">
        <f>AK1248*(1/(1+$G1248))^(1+$E1248)*(1+AL$7)^$D1248*(AL1230/AK1230)^$E1248*((AL1230+AL1239)/(AK1230+AK1239))^($F1248*(1+$E1248))</f>
        <v/>
      </c>
      <c r="AM1248" s="41">
        <f>AL1248*(1/(1+$G1248))^(1+$E1248)*(1+AM$7)^$D1248*(AM1230/AL1230)^$E1248*((AM1230+AM1239)/(AL1230+AL1239))^($F1248*(1+$E1248))</f>
        <v/>
      </c>
      <c r="AN1248" s="42">
        <f>FUELUSE(AM1248,AN1230,AM1230,AN1239,AM1239,AN$7,$D1248,$E1248,$F1248,$G1248)</f>
        <v/>
      </c>
    </row>
    <row r="1249" hidden="1" outlineLevel="2">
      <c r="A1249" s="5" t="inlineStr">
        <is>
          <t>ener</t>
        </is>
      </c>
      <c r="B1249" s="5" t="inlineStr">
        <is>
          <t>oop</t>
        </is>
      </c>
      <c r="C1249" s="5" t="inlineStr">
        <is>
          <t>ftr</t>
        </is>
      </c>
      <c r="D1249" s="36">
        <f>INDEX(Inputs!$N$5:$N$132,MATCH($B1249&amp;"|"&amp;$C1249,Inputs!$A$5:$A$132,0))</f>
        <v/>
      </c>
      <c r="E1249" s="36">
        <f>INDEX(Inputs!$O$5:$O$132,MATCH($B1249&amp;"|"&amp;$C1249,Inputs!$A$5:$A$132,0))</f>
        <v/>
      </c>
      <c r="F1249" s="36">
        <f>INDEX(Inputs!$P$5:$P$132,MATCH($B1249&amp;"|"&amp;$C1249,Inputs!$A$5:$A$132,0))</f>
        <v/>
      </c>
      <c r="G1249" s="36">
        <f>INDEX(Inputs!$Q$5:$Q$132,MATCH($B1249&amp;"|"&amp;$C1249,Inputs!$A$5:$A$132,0))</f>
        <v/>
      </c>
      <c r="H1249" s="5">
        <f>INDEX(Variables!$B$5:$B$65,MATCH($A1249,Variables!$A$5:$A$65,0))&amp;IF($C1249="",""," | "&amp;INDEX(Mapping!$B$5:$B$25,MATCH($C1249,Mapping!$A$5:$A$25,0))&amp;" | "&amp;INDEX(Mapping!$B$29:$B$38,MATCH($B1249,Mapping!$A$29:$A$38,0)))</f>
        <v/>
      </c>
      <c r="I1249" s="5">
        <f>INDEX(Variables!$C$5:$C$65,MATCH($A1249,Variables!$A$5:$A$65,0))</f>
        <v/>
      </c>
      <c r="J1249" s="5">
        <f>INDEX(Variables!$E$5:$E$65,MATCH($A1249,Variables!$A$5:$A$65,0))</f>
        <v/>
      </c>
      <c r="K1249" s="23">
        <f>LOWER(Settings!$C$4)&amp;".mit."&amp;$A1249&amp;IF($C1249="","","."&amp;$C1249&amp;"."&amp;$B1249)&amp;IF(INDEX(Variables!$D$5:$D$65,MATCH($A1249,Variables!$A$5:$A$65,0))="","","."&amp;INDEX(Variables!$D$5:$D$65,MATCH($A1249,Variables!$A$5:$A$65,0)))&amp;"."&amp;K$5</f>
        <v/>
      </c>
      <c r="L1249" s="40">
        <f>INDEX(Inputs!$V$5:$V$132,MATCH($B1249&amp;"|"&amp;$C1249,Inputs!$A$5:$A$132,0))</f>
        <v/>
      </c>
      <c r="M1249" s="41">
        <f>L1249*(1/(1+$G1249))^(1+$E1249)*(1+M$7)^$D1249*(M1231/L1231)^$E1249*((M1231+M1240)/(L1231+L1240))^($F1249*(1+$E1249))</f>
        <v/>
      </c>
      <c r="N1249" s="41">
        <f>M1249*(1/(1+$G1249))^(1+$E1249)*(1+N$7)^$D1249*(N1231/M1231)^$E1249*((N1231+N1240)/(M1231+M1240))^($F1249*(1+$E1249))</f>
        <v/>
      </c>
      <c r="O1249" s="41">
        <f>N1249*(1/(1+$G1249))^(1+$E1249)*(1+O$7)^$D1249*(O1231/N1231)^$E1249*((O1231+O1240)/(N1231+N1240))^($F1249*(1+$E1249))</f>
        <v/>
      </c>
      <c r="P1249" s="41">
        <f>O1249*(1/(1+$G1249))^(1+$E1249)*(1+P$7)^$D1249*(P1231/O1231)^$E1249*((P1231+P1240)/(O1231+O1240))^($F1249*(1+$E1249))</f>
        <v/>
      </c>
      <c r="Q1249" s="41">
        <f>P1249*(1/(1+$G1249))^(1+$E1249)*(1+Q$7)^$D1249*(Q1231/P1231)^$E1249*((Q1231+Q1240)/(P1231+P1240))^($F1249*(1+$E1249))</f>
        <v/>
      </c>
      <c r="R1249" s="41">
        <f>Q1249*(1/(1+$G1249))^(1+$E1249)*(1+R$7)^$D1249*(R1231/Q1231)^$E1249*((R1231+R1240)/(Q1231+Q1240))^($F1249*(1+$E1249))</f>
        <v/>
      </c>
      <c r="S1249" s="41">
        <f>R1249*(1/(1+$G1249))^(1+$E1249)*(1+S$7)^$D1249*(S1231/R1231)^$E1249*((S1231+S1240)/(R1231+R1240))^($F1249*(1+$E1249))</f>
        <v/>
      </c>
      <c r="T1249" s="41">
        <f>S1249*(1/(1+$G1249))^(1+$E1249)*(1+T$7)^$D1249*(T1231/S1231)^$E1249*((T1231+T1240)/(S1231+S1240))^($F1249*(1+$E1249))</f>
        <v/>
      </c>
      <c r="U1249" s="41">
        <f>T1249*(1/(1+$G1249))^(1+$E1249)*(1+U$7)^$D1249*(U1231/T1231)^$E1249*((U1231+U1240)/(T1231+T1240))^($F1249*(1+$E1249))</f>
        <v/>
      </c>
      <c r="V1249" s="41">
        <f>U1249*(1/(1+$G1249))^(1+$E1249)*(1+V$7)^$D1249*(V1231/U1231)^$E1249*((V1231+V1240)/(U1231+U1240))^($F1249*(1+$E1249))</f>
        <v/>
      </c>
      <c r="W1249" s="41">
        <f>V1249*(1/(1+$G1249))^(1+$E1249)*(1+W$7)^$D1249*(W1231/V1231)^$E1249*((W1231+W1240)/(V1231+V1240))^($F1249*(1+$E1249))</f>
        <v/>
      </c>
      <c r="X1249" s="41">
        <f>W1249*(1/(1+$G1249))^(1+$E1249)*(1+X$7)^$D1249*(X1231/W1231)^$E1249*((X1231+X1240)/(W1231+W1240))^($F1249*(1+$E1249))</f>
        <v/>
      </c>
      <c r="Y1249" s="42">
        <f>FUELUSE(X1249,Y1231,X1231,Y1240,X1240,Y$7,$D1249,$E1249,$F1249,$G1249)</f>
        <v/>
      </c>
      <c r="Z1249" s="23">
        <f>LOWER(Settings!$C$4)&amp;".mit."&amp;$A1249&amp;IF($C1249="","","."&amp;$C1249&amp;"."&amp;$B1249)&amp;IF(INDEX(Variables!$D$5:$D$65,MATCH($A1249,Variables!$A$5:$A$65,0))="","","."&amp;INDEX(Variables!$D$5:$D$65,MATCH($A1249,Variables!$A$5:$A$65,0)))&amp;"."&amp;Z$5</f>
        <v/>
      </c>
      <c r="AA1249" s="40">
        <f>INDEX(Inputs!$V$5:$V$132,MATCH($B1249&amp;"|"&amp;$C1249,Inputs!$A$5:$A$132,0))</f>
        <v/>
      </c>
      <c r="AB1249" s="41">
        <f>AA1249*(1/(1+$G1249))^(1+$E1249)*(1+AB$7)^$D1249*(AB1231/AA1231)^$E1249*((AB1231+AB1240)/(AA1231+AA1240))^($F1249*(1+$E1249))</f>
        <v/>
      </c>
      <c r="AC1249" s="41">
        <f>AB1249*(1/(1+$G1249))^(1+$E1249)*(1+AC$7)^$D1249*(AC1231/AB1231)^$E1249*((AC1231+AC1240)/(AB1231+AB1240))^($F1249*(1+$E1249))</f>
        <v/>
      </c>
      <c r="AD1249" s="41">
        <f>AC1249*(1/(1+$G1249))^(1+$E1249)*(1+AD$7)^$D1249*(AD1231/AC1231)^$E1249*((AD1231+AD1240)/(AC1231+AC1240))^($F1249*(1+$E1249))</f>
        <v/>
      </c>
      <c r="AE1249" s="41">
        <f>AD1249*(1/(1+$G1249))^(1+$E1249)*(1+AE$7)^$D1249*(AE1231/AD1231)^$E1249*((AE1231+AE1240)/(AD1231+AD1240))^($F1249*(1+$E1249))</f>
        <v/>
      </c>
      <c r="AF1249" s="41">
        <f>AE1249*(1/(1+$G1249))^(1+$E1249)*(1+AF$7)^$D1249*(AF1231/AE1231)^$E1249*((AF1231+AF1240)/(AE1231+AE1240))^($F1249*(1+$E1249))</f>
        <v/>
      </c>
      <c r="AG1249" s="41">
        <f>AF1249*(1/(1+$G1249))^(1+$E1249)*(1+AG$7)^$D1249*(AG1231/AF1231)^$E1249*((AG1231+AG1240)/(AF1231+AF1240))^($F1249*(1+$E1249))</f>
        <v/>
      </c>
      <c r="AH1249" s="41">
        <f>AG1249*(1/(1+$G1249))^(1+$E1249)*(1+AH$7)^$D1249*(AH1231/AG1231)^$E1249*((AH1231+AH1240)/(AG1231+AG1240))^($F1249*(1+$E1249))</f>
        <v/>
      </c>
      <c r="AI1249" s="41">
        <f>AH1249*(1/(1+$G1249))^(1+$E1249)*(1+AI$7)^$D1249*(AI1231/AH1231)^$E1249*((AI1231+AI1240)/(AH1231+AH1240))^($F1249*(1+$E1249))</f>
        <v/>
      </c>
      <c r="AJ1249" s="41">
        <f>AI1249*(1/(1+$G1249))^(1+$E1249)*(1+AJ$7)^$D1249*(AJ1231/AI1231)^$E1249*((AJ1231+AJ1240)/(AI1231+AI1240))^($F1249*(1+$E1249))</f>
        <v/>
      </c>
      <c r="AK1249" s="41">
        <f>AJ1249*(1/(1+$G1249))^(1+$E1249)*(1+AK$7)^$D1249*(AK1231/AJ1231)^$E1249*((AK1231+AK1240)/(AJ1231+AJ1240))^($F1249*(1+$E1249))</f>
        <v/>
      </c>
      <c r="AL1249" s="41">
        <f>AK1249*(1/(1+$G1249))^(1+$E1249)*(1+AL$7)^$D1249*(AL1231/AK1231)^$E1249*((AL1231+AL1240)/(AK1231+AK1240))^($F1249*(1+$E1249))</f>
        <v/>
      </c>
      <c r="AM1249" s="41">
        <f>AL1249*(1/(1+$G1249))^(1+$E1249)*(1+AM$7)^$D1249*(AM1231/AL1231)^$E1249*((AM1231+AM1240)/(AL1231+AL1240))^($F1249*(1+$E1249))</f>
        <v/>
      </c>
      <c r="AN1249" s="42">
        <f>FUELUSE(AM1249,AN1231,AM1231,AN1240,AM1240,AN$7,$D1249,$E1249,$F1249,$G1249)</f>
        <v/>
      </c>
    </row>
    <row r="1250" hidden="1" outlineLevel="2">
      <c r="A1250" s="5" t="inlineStr">
        <is>
          <t>ener</t>
        </is>
      </c>
      <c r="B1250" s="5" t="inlineStr">
        <is>
          <t>bio</t>
        </is>
      </c>
      <c r="C1250" s="5" t="inlineStr">
        <is>
          <t>ftr</t>
        </is>
      </c>
      <c r="D1250" s="36">
        <f>INDEX(Inputs!$N$5:$N$132,MATCH($B1250&amp;"|"&amp;$C1250,Inputs!$A$5:$A$132,0))</f>
        <v/>
      </c>
      <c r="E1250" s="36">
        <f>INDEX(Inputs!$O$5:$O$132,MATCH($B1250&amp;"|"&amp;$C1250,Inputs!$A$5:$A$132,0))</f>
        <v/>
      </c>
      <c r="F1250" s="36">
        <f>INDEX(Inputs!$P$5:$P$132,MATCH($B1250&amp;"|"&amp;$C1250,Inputs!$A$5:$A$132,0))</f>
        <v/>
      </c>
      <c r="G1250" s="36">
        <f>INDEX(Inputs!$Q$5:$Q$132,MATCH($B1250&amp;"|"&amp;$C1250,Inputs!$A$5:$A$132,0))</f>
        <v/>
      </c>
      <c r="H1250" s="5">
        <f>INDEX(Variables!$B$5:$B$65,MATCH($A1250,Variables!$A$5:$A$65,0))&amp;IF($C1250="",""," | "&amp;INDEX(Mapping!$B$5:$B$25,MATCH($C1250,Mapping!$A$5:$A$25,0))&amp;" | "&amp;INDEX(Mapping!$B$29:$B$38,MATCH($B1250,Mapping!$A$29:$A$38,0)))</f>
        <v/>
      </c>
      <c r="I1250" s="5">
        <f>INDEX(Variables!$C$5:$C$65,MATCH($A1250,Variables!$A$5:$A$65,0))</f>
        <v/>
      </c>
      <c r="J1250" s="5">
        <f>INDEX(Variables!$E$5:$E$65,MATCH($A1250,Variables!$A$5:$A$65,0))</f>
        <v/>
      </c>
      <c r="K1250" s="23">
        <f>LOWER(Settings!$C$4)&amp;".mit."&amp;$A1250&amp;IF($C1250="","","."&amp;$C1250&amp;"."&amp;$B1250)&amp;IF(INDEX(Variables!$D$5:$D$65,MATCH($A1250,Variables!$A$5:$A$65,0))="","","."&amp;INDEX(Variables!$D$5:$D$65,MATCH($A1250,Variables!$A$5:$A$65,0)))&amp;"."&amp;K$5</f>
        <v/>
      </c>
      <c r="L1250" s="40">
        <f>INDEX(Inputs!$V$5:$V$132,MATCH($B1250&amp;"|"&amp;$C1250,Inputs!$A$5:$A$132,0))</f>
        <v/>
      </c>
      <c r="M1250" s="41">
        <f>L1250*(1/(1+$G1250))^(1+$E1250)*(1+M$7)^$D1250*(M1232/L1232)^$E1250*((M1232+M1241)/(L1232+L1241))^($F1250*(1+$E1250))</f>
        <v/>
      </c>
      <c r="N1250" s="41">
        <f>M1250*(1/(1+$G1250))^(1+$E1250)*(1+N$7)^$D1250*(N1232/M1232)^$E1250*((N1232+N1241)/(M1232+M1241))^($F1250*(1+$E1250))</f>
        <v/>
      </c>
      <c r="O1250" s="41">
        <f>N1250*(1/(1+$G1250))^(1+$E1250)*(1+O$7)^$D1250*(O1232/N1232)^$E1250*((O1232+O1241)/(N1232+N1241))^($F1250*(1+$E1250))</f>
        <v/>
      </c>
      <c r="P1250" s="41">
        <f>O1250*(1/(1+$G1250))^(1+$E1250)*(1+P$7)^$D1250*(P1232/O1232)^$E1250*((P1232+P1241)/(O1232+O1241))^($F1250*(1+$E1250))</f>
        <v/>
      </c>
      <c r="Q1250" s="41">
        <f>P1250*(1/(1+$G1250))^(1+$E1250)*(1+Q$7)^$D1250*(Q1232/P1232)^$E1250*((Q1232+Q1241)/(P1232+P1241))^($F1250*(1+$E1250))</f>
        <v/>
      </c>
      <c r="R1250" s="41">
        <f>Q1250*(1/(1+$G1250))^(1+$E1250)*(1+R$7)^$D1250*(R1232/Q1232)^$E1250*((R1232+R1241)/(Q1232+Q1241))^($F1250*(1+$E1250))</f>
        <v/>
      </c>
      <c r="S1250" s="41">
        <f>R1250*(1/(1+$G1250))^(1+$E1250)*(1+S$7)^$D1250*(S1232/R1232)^$E1250*((S1232+S1241)/(R1232+R1241))^($F1250*(1+$E1250))</f>
        <v/>
      </c>
      <c r="T1250" s="41">
        <f>S1250*(1/(1+$G1250))^(1+$E1250)*(1+T$7)^$D1250*(T1232/S1232)^$E1250*((T1232+T1241)/(S1232+S1241))^($F1250*(1+$E1250))</f>
        <v/>
      </c>
      <c r="U1250" s="41">
        <f>T1250*(1/(1+$G1250))^(1+$E1250)*(1+U$7)^$D1250*(U1232/T1232)^$E1250*((U1232+U1241)/(T1232+T1241))^($F1250*(1+$E1250))</f>
        <v/>
      </c>
      <c r="V1250" s="41">
        <f>U1250*(1/(1+$G1250))^(1+$E1250)*(1+V$7)^$D1250*(V1232/U1232)^$E1250*((V1232+V1241)/(U1232+U1241))^($F1250*(1+$E1250))</f>
        <v/>
      </c>
      <c r="W1250" s="41">
        <f>V1250*(1/(1+$G1250))^(1+$E1250)*(1+W$7)^$D1250*(W1232/V1232)^$E1250*((W1232+W1241)/(V1232+V1241))^($F1250*(1+$E1250))</f>
        <v/>
      </c>
      <c r="X1250" s="41">
        <f>W1250*(1/(1+$G1250))^(1+$E1250)*(1+X$7)^$D1250*(X1232/W1232)^$E1250*((X1232+X1241)/(W1232+W1241))^($F1250*(1+$E1250))</f>
        <v/>
      </c>
      <c r="Y1250" s="42">
        <f>FUELUSE(X1250,Y1232,X1232,Y1241,X1241,Y$7,$D1250,$E1250,$F1250,$G1250)</f>
        <v/>
      </c>
      <c r="Z1250" s="23">
        <f>LOWER(Settings!$C$4)&amp;".mit."&amp;$A1250&amp;IF($C1250="","","."&amp;$C1250&amp;"."&amp;$B1250)&amp;IF(INDEX(Variables!$D$5:$D$65,MATCH($A1250,Variables!$A$5:$A$65,0))="","","."&amp;INDEX(Variables!$D$5:$D$65,MATCH($A1250,Variables!$A$5:$A$65,0)))&amp;"."&amp;Z$5</f>
        <v/>
      </c>
      <c r="AA1250" s="40">
        <f>INDEX(Inputs!$V$5:$V$132,MATCH($B1250&amp;"|"&amp;$C1250,Inputs!$A$5:$A$132,0))</f>
        <v/>
      </c>
      <c r="AB1250" s="41">
        <f>AA1250*(1/(1+$G1250))^(1+$E1250)*(1+AB$7)^$D1250*(AB1232/AA1232)^$E1250*((AB1232+AB1241)/(AA1232+AA1241))^($F1250*(1+$E1250))</f>
        <v/>
      </c>
      <c r="AC1250" s="41">
        <f>AB1250*(1/(1+$G1250))^(1+$E1250)*(1+AC$7)^$D1250*(AC1232/AB1232)^$E1250*((AC1232+AC1241)/(AB1232+AB1241))^($F1250*(1+$E1250))</f>
        <v/>
      </c>
      <c r="AD1250" s="41">
        <f>AC1250*(1/(1+$G1250))^(1+$E1250)*(1+AD$7)^$D1250*(AD1232/AC1232)^$E1250*((AD1232+AD1241)/(AC1232+AC1241))^($F1250*(1+$E1250))</f>
        <v/>
      </c>
      <c r="AE1250" s="41">
        <f>AD1250*(1/(1+$G1250))^(1+$E1250)*(1+AE$7)^$D1250*(AE1232/AD1232)^$E1250*((AE1232+AE1241)/(AD1232+AD1241))^($F1250*(1+$E1250))</f>
        <v/>
      </c>
      <c r="AF1250" s="41">
        <f>AE1250*(1/(1+$G1250))^(1+$E1250)*(1+AF$7)^$D1250*(AF1232/AE1232)^$E1250*((AF1232+AF1241)/(AE1232+AE1241))^($F1250*(1+$E1250))</f>
        <v/>
      </c>
      <c r="AG1250" s="41">
        <f>AF1250*(1/(1+$G1250))^(1+$E1250)*(1+AG$7)^$D1250*(AG1232/AF1232)^$E1250*((AG1232+AG1241)/(AF1232+AF1241))^($F1250*(1+$E1250))</f>
        <v/>
      </c>
      <c r="AH1250" s="41">
        <f>AG1250*(1/(1+$G1250))^(1+$E1250)*(1+AH$7)^$D1250*(AH1232/AG1232)^$E1250*((AH1232+AH1241)/(AG1232+AG1241))^($F1250*(1+$E1250))</f>
        <v/>
      </c>
      <c r="AI1250" s="41">
        <f>AH1250*(1/(1+$G1250))^(1+$E1250)*(1+AI$7)^$D1250*(AI1232/AH1232)^$E1250*((AI1232+AI1241)/(AH1232+AH1241))^($F1250*(1+$E1250))</f>
        <v/>
      </c>
      <c r="AJ1250" s="41">
        <f>AI1250*(1/(1+$G1250))^(1+$E1250)*(1+AJ$7)^$D1250*(AJ1232/AI1232)^$E1250*((AJ1232+AJ1241)/(AI1232+AI1241))^($F1250*(1+$E1250))</f>
        <v/>
      </c>
      <c r="AK1250" s="41">
        <f>AJ1250*(1/(1+$G1250))^(1+$E1250)*(1+AK$7)^$D1250*(AK1232/AJ1232)^$E1250*((AK1232+AK1241)/(AJ1232+AJ1241))^($F1250*(1+$E1250))</f>
        <v/>
      </c>
      <c r="AL1250" s="41">
        <f>AK1250*(1/(1+$G1250))^(1+$E1250)*(1+AL$7)^$D1250*(AL1232/AK1232)^$E1250*((AL1232+AL1241)/(AK1232+AK1241))^($F1250*(1+$E1250))</f>
        <v/>
      </c>
      <c r="AM1250" s="41">
        <f>AL1250*(1/(1+$G1250))^(1+$E1250)*(1+AM$7)^$D1250*(AM1232/AL1232)^$E1250*((AM1232+AM1241)/(AL1232+AL1241))^($F1250*(1+$E1250))</f>
        <v/>
      </c>
      <c r="AN1250" s="42">
        <f>FUELUSE(AM1250,AN1232,AM1232,AN1241,AM1241,AN$7,$D1250,$E1250,$F1250,$G1250)</f>
        <v/>
      </c>
    </row>
    <row r="1251" hidden="1" outlineLevel="2"/>
    <row r="1253">
      <c r="A1253" s="18" t="inlineStr">
        <is>
          <t>8. Other energy use</t>
        </is>
      </c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19" t="n"/>
      <c r="P1253" s="19" t="n"/>
      <c r="Q1253" s="19" t="n"/>
      <c r="R1253" s="19" t="n"/>
      <c r="S1253" s="19" t="n"/>
      <c r="T1253" s="19" t="n"/>
      <c r="U1253" s="19" t="n"/>
      <c r="V1253" s="19" t="n"/>
      <c r="W1253" s="19" t="n"/>
      <c r="X1253" s="19" t="n"/>
      <c r="Y1253" s="19" t="n"/>
      <c r="Z1253" s="19" t="n"/>
      <c r="AA1253" s="19" t="n"/>
      <c r="AB1253" s="19" t="n"/>
      <c r="AC1253" s="19" t="n"/>
      <c r="AD1253" s="19" t="n"/>
      <c r="AE1253" s="19" t="n"/>
      <c r="AF1253" s="19" t="n"/>
      <c r="AG1253" s="19" t="n"/>
      <c r="AH1253" s="19" t="n"/>
      <c r="AI1253" s="19" t="n"/>
      <c r="AJ1253" s="19" t="n"/>
      <c r="AK1253" s="19" t="n"/>
      <c r="AL1253" s="19" t="n"/>
      <c r="AM1253" s="19" t="n"/>
      <c r="AN1253" s="19" t="n"/>
    </row>
    <row r="1254">
      <c r="A1254" s="7" t="inlineStr">
        <is>
          <t>ener</t>
        </is>
      </c>
      <c r="B1254" s="7" t="inlineStr">
        <is>
          <t>all</t>
        </is>
      </c>
      <c r="C1254" s="7" t="inlineStr">
        <is>
          <t>oen</t>
        </is>
      </c>
      <c r="H1254" s="7">
        <f>INDEX(Variables!$B$5:$B$65,MATCH($A1254,Variables!$A$5:$A$65,0))&amp;IF($C1254="",""," | "&amp;INDEX(Mapping!$B$5:$B$25,MATCH($C1254,Mapping!$A$5:$A$25,0))&amp;" | "&amp;INDEX(Mapping!$B$29:$B$38,MATCH($B1254,Mapping!$A$29:$A$38,0)))</f>
        <v/>
      </c>
      <c r="I1254" s="7">
        <f>INDEX(Variables!$C$5:$C$65,MATCH($A1254,Variables!$A$5:$A$65,0))</f>
        <v/>
      </c>
      <c r="J1254" s="7">
        <f>INDEX(Variables!$E$5:$E$65,MATCH($A1254,Variables!$A$5:$A$65,0))</f>
        <v/>
      </c>
      <c r="K1254" s="26">
        <f>LOWER(Settings!$C$4)&amp;".mit."&amp;$A1254&amp;IF($C1254="","","."&amp;$C1254&amp;"."&amp;$B1254)&amp;IF(INDEX(Variables!$D$5:$D$65,MATCH($A1254,Variables!$A$5:$A$65,0))="","","."&amp;INDEX(Variables!$D$5:$D$65,MATCH($A1254,Variables!$A$5:$A$65,0)))&amp;"."&amp;K$5</f>
        <v/>
      </c>
      <c r="L1254" s="34">
        <f>SUMIFS(L1255:L1327,$A1255:$A1327,"ener",$B1255:$B1327,"&lt;&gt;all")</f>
        <v/>
      </c>
      <c r="M1254" s="35">
        <f>SUMIFS(M1255:M1327,$A1255:$A1327,"ener",$B1255:$B1327,"&lt;&gt;all")</f>
        <v/>
      </c>
      <c r="N1254" s="35">
        <f>SUMIFS(N1255:N1327,$A1255:$A1327,"ener",$B1255:$B1327,"&lt;&gt;all")</f>
        <v/>
      </c>
      <c r="O1254" s="35">
        <f>SUMIFS(O1255:O1327,$A1255:$A1327,"ener",$B1255:$B1327,"&lt;&gt;all")</f>
        <v/>
      </c>
      <c r="P1254" s="35">
        <f>SUMIFS(P1255:P1327,$A1255:$A1327,"ener",$B1255:$B1327,"&lt;&gt;all")</f>
        <v/>
      </c>
      <c r="Q1254" s="35">
        <f>SUMIFS(Q1255:Q1327,$A1255:$A1327,"ener",$B1255:$B1327,"&lt;&gt;all")</f>
        <v/>
      </c>
      <c r="R1254" s="35">
        <f>SUMIFS(R1255:R1327,$A1255:$A1327,"ener",$B1255:$B1327,"&lt;&gt;all")</f>
        <v/>
      </c>
      <c r="S1254" s="35">
        <f>SUMIFS(S1255:S1327,$A1255:$A1327,"ener",$B1255:$B1327,"&lt;&gt;all")</f>
        <v/>
      </c>
      <c r="T1254" s="35">
        <f>SUMIFS(T1255:T1327,$A1255:$A1327,"ener",$B1255:$B1327,"&lt;&gt;all")</f>
        <v/>
      </c>
      <c r="U1254" s="35">
        <f>SUMIFS(U1255:U1327,$A1255:$A1327,"ener",$B1255:$B1327,"&lt;&gt;all")</f>
        <v/>
      </c>
      <c r="V1254" s="35">
        <f>SUMIFS(V1255:V1327,$A1255:$A1327,"ener",$B1255:$B1327,"&lt;&gt;all")</f>
        <v/>
      </c>
      <c r="W1254" s="35">
        <f>SUMIFS(W1255:W1327,$A1255:$A1327,"ener",$B1255:$B1327,"&lt;&gt;all")</f>
        <v/>
      </c>
      <c r="X1254" s="35">
        <f>SUMIFS(X1255:X1327,$A1255:$A1327,"ener",$B1255:$B1327,"&lt;&gt;all")</f>
        <v/>
      </c>
      <c r="Y1254" s="35">
        <f>SUMIFS(Y1255:Y1327,$A1255:$A1327,"ener",$B1255:$B1327,"&lt;&gt;all")</f>
        <v/>
      </c>
      <c r="Z1254" s="26">
        <f>LOWER(Settings!$C$4)&amp;".mit."&amp;$A1254&amp;IF($C1254="","","."&amp;$C1254&amp;"."&amp;$B1254)&amp;IF(INDEX(Variables!$D$5:$D$65,MATCH($A1254,Variables!$A$5:$A$65,0))="","","."&amp;INDEX(Variables!$D$5:$D$65,MATCH($A1254,Variables!$A$5:$A$65,0)))&amp;"."&amp;Z$5</f>
        <v/>
      </c>
      <c r="AA1254" s="34">
        <f>SUMIFS(AA1255:AA1327,$A1255:$A1327,"ener",$B1255:$B1327,"&lt;&gt;all")</f>
        <v/>
      </c>
      <c r="AB1254" s="35">
        <f>SUMIFS(AB1255:AB1327,$A1255:$A1327,"ener",$B1255:$B1327,"&lt;&gt;all")</f>
        <v/>
      </c>
      <c r="AC1254" s="35">
        <f>SUMIFS(AC1255:AC1327,$A1255:$A1327,"ener",$B1255:$B1327,"&lt;&gt;all")</f>
        <v/>
      </c>
      <c r="AD1254" s="35">
        <f>SUMIFS(AD1255:AD1327,$A1255:$A1327,"ener",$B1255:$B1327,"&lt;&gt;all")</f>
        <v/>
      </c>
      <c r="AE1254" s="35">
        <f>SUMIFS(AE1255:AE1327,$A1255:$A1327,"ener",$B1255:$B1327,"&lt;&gt;all")</f>
        <v/>
      </c>
      <c r="AF1254" s="35">
        <f>SUMIFS(AF1255:AF1327,$A1255:$A1327,"ener",$B1255:$B1327,"&lt;&gt;all")</f>
        <v/>
      </c>
      <c r="AG1254" s="35">
        <f>SUMIFS(AG1255:AG1327,$A1255:$A1327,"ener",$B1255:$B1327,"&lt;&gt;all")</f>
        <v/>
      </c>
      <c r="AH1254" s="35">
        <f>SUMIFS(AH1255:AH1327,$A1255:$A1327,"ener",$B1255:$B1327,"&lt;&gt;all")</f>
        <v/>
      </c>
      <c r="AI1254" s="35">
        <f>SUMIFS(AI1255:AI1327,$A1255:$A1327,"ener",$B1255:$B1327,"&lt;&gt;all")</f>
        <v/>
      </c>
      <c r="AJ1254" s="35">
        <f>SUMIFS(AJ1255:AJ1327,$A1255:$A1327,"ener",$B1255:$B1327,"&lt;&gt;all")</f>
        <v/>
      </c>
      <c r="AK1254" s="35">
        <f>SUMIFS(AK1255:AK1327,$A1255:$A1327,"ener",$B1255:$B1327,"&lt;&gt;all")</f>
        <v/>
      </c>
      <c r="AL1254" s="35">
        <f>SUMIFS(AL1255:AL1327,$A1255:$A1327,"ener",$B1255:$B1327,"&lt;&gt;all")</f>
        <v/>
      </c>
      <c r="AM1254" s="35">
        <f>SUMIFS(AM1255:AM1327,$A1255:$A1327,"ener",$B1255:$B1327,"&lt;&gt;all")</f>
        <v/>
      </c>
      <c r="AN1254" s="35">
        <f>SUMIFS(AN1255:AN1327,$A1255:$A1327,"ener",$B1255:$B1327,"&lt;&gt;all")</f>
        <v/>
      </c>
    </row>
    <row r="1255" outlineLevel="1" collapsed="1">
      <c r="A1255" s="7" t="inlineStr">
        <is>
          <t>ener</t>
        </is>
      </c>
      <c r="B1255" s="7" t="inlineStr">
        <is>
          <t>all</t>
        </is>
      </c>
      <c r="C1255" s="7" t="inlineStr">
        <is>
          <t>oen</t>
        </is>
      </c>
      <c r="H1255" s="7">
        <f>INDEX(Variables!$B$5:$B$65,MATCH($A1255,Variables!$A$5:$A$65,0))&amp;IF($C1255="",""," | "&amp;INDEX(Mapping!$B$5:$B$25,MATCH($C1255,Mapping!$A$5:$A$25,0))&amp;" | "&amp;INDEX(Mapping!$B$29:$B$38,MATCH($B1255,Mapping!$A$29:$A$38,0)))</f>
        <v/>
      </c>
      <c r="I1255" s="7">
        <f>INDEX(Variables!$C$5:$C$65,MATCH($A1255,Variables!$A$5:$A$65,0))</f>
        <v/>
      </c>
      <c r="J1255" s="7">
        <f>INDEX(Variables!$E$5:$E$65,MATCH($A1255,Variables!$A$5:$A$65,0))</f>
        <v/>
      </c>
      <c r="K1255" s="26">
        <f>LOWER(Settings!$C$4)&amp;".mit."&amp;$A1255&amp;IF($C1255="","","."&amp;$C1255&amp;"."&amp;$B1255)&amp;IF(INDEX(Variables!$D$5:$D$65,MATCH($A1255,Variables!$A$5:$A$65,0))="","","."&amp;INDEX(Variables!$D$5:$D$65,MATCH($A1255,Variables!$A$5:$A$65,0)))&amp;"."&amp;K$5</f>
        <v/>
      </c>
      <c r="L1255" s="34">
        <f>SUM(L1319:L1326)</f>
        <v/>
      </c>
      <c r="M1255" s="35">
        <f>SUM(M1319:M1326)</f>
        <v/>
      </c>
      <c r="N1255" s="35">
        <f>SUM(N1319:N1326)</f>
        <v/>
      </c>
      <c r="O1255" s="35">
        <f>SUM(O1319:O1326)</f>
        <v/>
      </c>
      <c r="P1255" s="35">
        <f>SUM(P1319:P1326)</f>
        <v/>
      </c>
      <c r="Q1255" s="35">
        <f>SUM(Q1319:Q1326)</f>
        <v/>
      </c>
      <c r="R1255" s="35">
        <f>SUM(R1319:R1326)</f>
        <v/>
      </c>
      <c r="S1255" s="35">
        <f>SUM(S1319:S1326)</f>
        <v/>
      </c>
      <c r="T1255" s="35">
        <f>SUM(T1319:T1326)</f>
        <v/>
      </c>
      <c r="U1255" s="35">
        <f>SUM(U1319:U1326)</f>
        <v/>
      </c>
      <c r="V1255" s="35">
        <f>SUM(V1319:V1326)</f>
        <v/>
      </c>
      <c r="W1255" s="35">
        <f>SUM(W1319:W1326)</f>
        <v/>
      </c>
      <c r="X1255" s="35">
        <f>SUM(X1319:X1326)</f>
        <v/>
      </c>
      <c r="Y1255" s="35">
        <f>SUM(Y1319:Y1326)</f>
        <v/>
      </c>
      <c r="Z1255" s="26">
        <f>LOWER(Settings!$C$4)&amp;".mit."&amp;$A1255&amp;IF($C1255="","","."&amp;$C1255&amp;"."&amp;$B1255)&amp;IF(INDEX(Variables!$D$5:$D$65,MATCH($A1255,Variables!$A$5:$A$65,0))="","","."&amp;INDEX(Variables!$D$5:$D$65,MATCH($A1255,Variables!$A$5:$A$65,0)))&amp;"."&amp;Z$5</f>
        <v/>
      </c>
      <c r="AA1255" s="34">
        <f>SUM(AA1319:AA1326)</f>
        <v/>
      </c>
      <c r="AB1255" s="35">
        <f>SUM(AB1319:AB1326)</f>
        <v/>
      </c>
      <c r="AC1255" s="35">
        <f>SUM(AC1319:AC1326)</f>
        <v/>
      </c>
      <c r="AD1255" s="35">
        <f>SUM(AD1319:AD1326)</f>
        <v/>
      </c>
      <c r="AE1255" s="35">
        <f>SUM(AE1319:AE1326)</f>
        <v/>
      </c>
      <c r="AF1255" s="35">
        <f>SUM(AF1319:AF1326)</f>
        <v/>
      </c>
      <c r="AG1255" s="35">
        <f>SUM(AG1319:AG1326)</f>
        <v/>
      </c>
      <c r="AH1255" s="35">
        <f>SUM(AH1319:AH1326)</f>
        <v/>
      </c>
      <c r="AI1255" s="35">
        <f>SUM(AI1319:AI1326)</f>
        <v/>
      </c>
      <c r="AJ1255" s="35">
        <f>SUM(AJ1319:AJ1326)</f>
        <v/>
      </c>
      <c r="AK1255" s="35">
        <f>SUM(AK1319:AK1326)</f>
        <v/>
      </c>
      <c r="AL1255" s="35">
        <f>SUM(AL1319:AL1326)</f>
        <v/>
      </c>
      <c r="AM1255" s="35">
        <f>SUM(AM1319:AM1326)</f>
        <v/>
      </c>
      <c r="AN1255" s="35">
        <f>SUM(AN1319:AN1326)</f>
        <v/>
      </c>
    </row>
    <row r="1256" hidden="1" outlineLevel="2">
      <c r="A1256" s="5" t="inlineStr">
        <is>
          <t>sp</t>
        </is>
      </c>
      <c r="B1256" s="5" t="inlineStr">
        <is>
          <t>coa</t>
        </is>
      </c>
      <c r="C1256" s="5" t="inlineStr">
        <is>
          <t>oen</t>
        </is>
      </c>
      <c r="D1256" s="36">
        <f>INDEX(Inputs!$R$5:$R$132,MATCH($B1256&amp;"|"&amp;$C1256,Inputs!$A$5:$A$132,0))</f>
        <v/>
      </c>
      <c r="E1256" s="37" t="n"/>
      <c r="F1256" s="37" t="n"/>
      <c r="G1256" s="37" t="n"/>
      <c r="H1256" s="5">
        <f>INDEX(Variables!$B$5:$B$65,MATCH($A1256,Variables!$A$5:$A$65,0))&amp;IF($C1256="",""," | "&amp;INDEX(Mapping!$B$5:$B$25,MATCH($C1256,Mapping!$A$5:$A$25,0))&amp;" | "&amp;INDEX(Mapping!$B$29:$B$38,MATCH($B1256,Mapping!$A$29:$A$38,0)))</f>
        <v/>
      </c>
      <c r="I1256" s="5">
        <f>INDEX(Variables!$C$5:$C$65,MATCH($A1256,Variables!$A$5:$A$65,0))</f>
        <v/>
      </c>
      <c r="J1256" s="5">
        <f>INDEX(Variables!$E$5:$E$65,MATCH($A1256,Variables!$A$5:$A$65,0))</f>
        <v/>
      </c>
      <c r="K1256" s="23">
        <f>LOWER(Settings!$C$4)&amp;".mit."&amp;$A1256&amp;IF($C1256="","","."&amp;$C1256&amp;"."&amp;$B1256)&amp;IF(INDEX(Variables!$D$5:$D$65,MATCH($A1256,Variables!$A$5:$A$65,0))="","","."&amp;INDEX(Variables!$D$5:$D$65,MATCH($A1256,Variables!$A$5:$A$65,0)))&amp;"."&amp;K$5</f>
        <v/>
      </c>
      <c r="L1256" s="38">
        <f>INDEX(Inputs!$S$5:$S$132,MATCH($B1256&amp;"|"&amp;$C1256,Inputs!$A$5:$A$132,0))</f>
        <v/>
      </c>
      <c r="M1256" s="36">
        <f>L1256*(1+$D1256)</f>
        <v/>
      </c>
      <c r="N1256" s="36">
        <f>M1256*(1+$D1256)</f>
        <v/>
      </c>
      <c r="O1256" s="36">
        <f>N1256*(1+$D1256)</f>
        <v/>
      </c>
      <c r="P1256" s="36">
        <f>O1256*(1+$D1256)</f>
        <v/>
      </c>
      <c r="Q1256" s="36">
        <f>P1256*(1+$D1256)</f>
        <v/>
      </c>
      <c r="R1256" s="36">
        <f>Q1256*(1+$D1256)</f>
        <v/>
      </c>
      <c r="S1256" s="36">
        <f>R1256*(1+$D1256)</f>
        <v/>
      </c>
      <c r="T1256" s="36">
        <f>S1256*(1+$D1256)</f>
        <v/>
      </c>
      <c r="U1256" s="36">
        <f>T1256*(1+$D1256)</f>
        <v/>
      </c>
      <c r="V1256" s="36">
        <f>U1256*(1+$D1256)</f>
        <v/>
      </c>
      <c r="W1256" s="36">
        <f>V1256*(1+$D1256)</f>
        <v/>
      </c>
      <c r="X1256" s="36">
        <f>W1256*(1+$D1256)</f>
        <v/>
      </c>
      <c r="Y1256" s="39">
        <f>PRETAX(X1256,$D1256)</f>
        <v/>
      </c>
      <c r="Z1256" s="23">
        <f>LOWER(Settings!$C$4)&amp;".mit."&amp;$A1256&amp;IF($C1256="","","."&amp;$C1256&amp;"."&amp;$B1256)&amp;IF(INDEX(Variables!$D$5:$D$65,MATCH($A1256,Variables!$A$5:$A$65,0))="","","."&amp;INDEX(Variables!$D$5:$D$65,MATCH($A1256,Variables!$A$5:$A$65,0)))&amp;"."&amp;Z$5</f>
        <v/>
      </c>
      <c r="AA1256" s="38">
        <f>INDEX(Inputs!$S$5:$S$132,MATCH($B1256&amp;"|"&amp;$C1256,Inputs!$A$5:$A$132,0))</f>
        <v/>
      </c>
      <c r="AB1256" s="36">
        <f>AA1256*(1+$D1256)</f>
        <v/>
      </c>
      <c r="AC1256" s="36">
        <f>AB1256*(1+$D1256)</f>
        <v/>
      </c>
      <c r="AD1256" s="36">
        <f>AC1256*(1+$D1256)</f>
        <v/>
      </c>
      <c r="AE1256" s="36">
        <f>AD1256*(1+$D1256)</f>
        <v/>
      </c>
      <c r="AF1256" s="36">
        <f>AE1256*(1+$D1256)</f>
        <v/>
      </c>
      <c r="AG1256" s="36">
        <f>AF1256*(1+$D1256)</f>
        <v/>
      </c>
      <c r="AH1256" s="36">
        <f>AG1256*(1+$D1256)</f>
        <v/>
      </c>
      <c r="AI1256" s="36">
        <f>AH1256*(1+$D1256)</f>
        <v/>
      </c>
      <c r="AJ1256" s="36">
        <f>AI1256*(1+$D1256)</f>
        <v/>
      </c>
      <c r="AK1256" s="36">
        <f>AJ1256*(1+$D1256)</f>
        <v/>
      </c>
      <c r="AL1256" s="36">
        <f>AK1256*(1+$D1256)</f>
        <v/>
      </c>
      <c r="AM1256" s="36">
        <f>AL1256*(1+$D1256)</f>
        <v/>
      </c>
      <c r="AN1256" s="39">
        <f>PRETAX(AM1256,$D1256)</f>
        <v/>
      </c>
    </row>
    <row r="1257" hidden="1" outlineLevel="2">
      <c r="A1257" s="5" t="inlineStr">
        <is>
          <t>sp</t>
        </is>
      </c>
      <c r="B1257" s="5" t="inlineStr">
        <is>
          <t>nga</t>
        </is>
      </c>
      <c r="C1257" s="5" t="inlineStr">
        <is>
          <t>oen</t>
        </is>
      </c>
      <c r="D1257" s="36">
        <f>INDEX(Inputs!$R$5:$R$132,MATCH($B1257&amp;"|"&amp;$C1257,Inputs!$A$5:$A$132,0))</f>
        <v/>
      </c>
      <c r="E1257" s="37" t="n"/>
      <c r="F1257" s="37" t="n"/>
      <c r="G1257" s="37" t="n"/>
      <c r="H1257" s="5">
        <f>INDEX(Variables!$B$5:$B$65,MATCH($A1257,Variables!$A$5:$A$65,0))&amp;IF($C1257="",""," | "&amp;INDEX(Mapping!$B$5:$B$25,MATCH($C1257,Mapping!$A$5:$A$25,0))&amp;" | "&amp;INDEX(Mapping!$B$29:$B$38,MATCH($B1257,Mapping!$A$29:$A$38,0)))</f>
        <v/>
      </c>
      <c r="I1257" s="5">
        <f>INDEX(Variables!$C$5:$C$65,MATCH($A1257,Variables!$A$5:$A$65,0))</f>
        <v/>
      </c>
      <c r="J1257" s="5">
        <f>INDEX(Variables!$E$5:$E$65,MATCH($A1257,Variables!$A$5:$A$65,0))</f>
        <v/>
      </c>
      <c r="K1257" s="23">
        <f>LOWER(Settings!$C$4)&amp;".mit."&amp;$A1257&amp;IF($C1257="","","."&amp;$C1257&amp;"."&amp;$B1257)&amp;IF(INDEX(Variables!$D$5:$D$65,MATCH($A1257,Variables!$A$5:$A$65,0))="","","."&amp;INDEX(Variables!$D$5:$D$65,MATCH($A1257,Variables!$A$5:$A$65,0)))&amp;"."&amp;K$5</f>
        <v/>
      </c>
      <c r="L1257" s="38">
        <f>INDEX(Inputs!$S$5:$S$132,MATCH($B1257&amp;"|"&amp;$C1257,Inputs!$A$5:$A$132,0))</f>
        <v/>
      </c>
      <c r="M1257" s="36">
        <f>L1257*(1+$D1257)</f>
        <v/>
      </c>
      <c r="N1257" s="36">
        <f>M1257*(1+$D1257)</f>
        <v/>
      </c>
      <c r="O1257" s="36">
        <f>N1257*(1+$D1257)</f>
        <v/>
      </c>
      <c r="P1257" s="36">
        <f>O1257*(1+$D1257)</f>
        <v/>
      </c>
      <c r="Q1257" s="36">
        <f>P1257*(1+$D1257)</f>
        <v/>
      </c>
      <c r="R1257" s="36">
        <f>Q1257*(1+$D1257)</f>
        <v/>
      </c>
      <c r="S1257" s="36">
        <f>R1257*(1+$D1257)</f>
        <v/>
      </c>
      <c r="T1257" s="36">
        <f>S1257*(1+$D1257)</f>
        <v/>
      </c>
      <c r="U1257" s="36">
        <f>T1257*(1+$D1257)</f>
        <v/>
      </c>
      <c r="V1257" s="36">
        <f>U1257*(1+$D1257)</f>
        <v/>
      </c>
      <c r="W1257" s="36">
        <f>V1257*(1+$D1257)</f>
        <v/>
      </c>
      <c r="X1257" s="36">
        <f>W1257*(1+$D1257)</f>
        <v/>
      </c>
      <c r="Y1257" s="39">
        <f>PRETAX(X1257,$D1257)</f>
        <v/>
      </c>
      <c r="Z1257" s="23">
        <f>LOWER(Settings!$C$4)&amp;".mit."&amp;$A1257&amp;IF($C1257="","","."&amp;$C1257&amp;"."&amp;$B1257)&amp;IF(INDEX(Variables!$D$5:$D$65,MATCH($A1257,Variables!$A$5:$A$65,0))="","","."&amp;INDEX(Variables!$D$5:$D$65,MATCH($A1257,Variables!$A$5:$A$65,0)))&amp;"."&amp;Z$5</f>
        <v/>
      </c>
      <c r="AA1257" s="38">
        <f>INDEX(Inputs!$S$5:$S$132,MATCH($B1257&amp;"|"&amp;$C1257,Inputs!$A$5:$A$132,0))</f>
        <v/>
      </c>
      <c r="AB1257" s="36">
        <f>AA1257*(1+$D1257)</f>
        <v/>
      </c>
      <c r="AC1257" s="36">
        <f>AB1257*(1+$D1257)</f>
        <v/>
      </c>
      <c r="AD1257" s="36">
        <f>AC1257*(1+$D1257)</f>
        <v/>
      </c>
      <c r="AE1257" s="36">
        <f>AD1257*(1+$D1257)</f>
        <v/>
      </c>
      <c r="AF1257" s="36">
        <f>AE1257*(1+$D1257)</f>
        <v/>
      </c>
      <c r="AG1257" s="36">
        <f>AF1257*(1+$D1257)</f>
        <v/>
      </c>
      <c r="AH1257" s="36">
        <f>AG1257*(1+$D1257)</f>
        <v/>
      </c>
      <c r="AI1257" s="36">
        <f>AH1257*(1+$D1257)</f>
        <v/>
      </c>
      <c r="AJ1257" s="36">
        <f>AI1257*(1+$D1257)</f>
        <v/>
      </c>
      <c r="AK1257" s="36">
        <f>AJ1257*(1+$D1257)</f>
        <v/>
      </c>
      <c r="AL1257" s="36">
        <f>AK1257*(1+$D1257)</f>
        <v/>
      </c>
      <c r="AM1257" s="36">
        <f>AL1257*(1+$D1257)</f>
        <v/>
      </c>
      <c r="AN1257" s="39">
        <f>PRETAX(AM1257,$D1257)</f>
        <v/>
      </c>
    </row>
    <row r="1258" hidden="1" outlineLevel="2">
      <c r="A1258" s="5" t="inlineStr">
        <is>
          <t>sp</t>
        </is>
      </c>
      <c r="B1258" s="5" t="inlineStr">
        <is>
          <t>gso</t>
        </is>
      </c>
      <c r="C1258" s="5" t="inlineStr">
        <is>
          <t>oen</t>
        </is>
      </c>
      <c r="D1258" s="36">
        <f>INDEX(Inputs!$R$5:$R$132,MATCH($B1258&amp;"|"&amp;$C1258,Inputs!$A$5:$A$132,0))</f>
        <v/>
      </c>
      <c r="E1258" s="37" t="n"/>
      <c r="F1258" s="37" t="n"/>
      <c r="G1258" s="37" t="n"/>
      <c r="H1258" s="5">
        <f>INDEX(Variables!$B$5:$B$65,MATCH($A1258,Variables!$A$5:$A$65,0))&amp;IF($C1258="",""," | "&amp;INDEX(Mapping!$B$5:$B$25,MATCH($C1258,Mapping!$A$5:$A$25,0))&amp;" | "&amp;INDEX(Mapping!$B$29:$B$38,MATCH($B1258,Mapping!$A$29:$A$38,0)))</f>
        <v/>
      </c>
      <c r="I1258" s="5">
        <f>INDEX(Variables!$C$5:$C$65,MATCH($A1258,Variables!$A$5:$A$65,0))</f>
        <v/>
      </c>
      <c r="J1258" s="5">
        <f>INDEX(Variables!$E$5:$E$65,MATCH($A1258,Variables!$A$5:$A$65,0))</f>
        <v/>
      </c>
      <c r="K1258" s="23">
        <f>LOWER(Settings!$C$4)&amp;".mit."&amp;$A1258&amp;IF($C1258="","","."&amp;$C1258&amp;"."&amp;$B1258)&amp;IF(INDEX(Variables!$D$5:$D$65,MATCH($A1258,Variables!$A$5:$A$65,0))="","","."&amp;INDEX(Variables!$D$5:$D$65,MATCH($A1258,Variables!$A$5:$A$65,0)))&amp;"."&amp;K$5</f>
        <v/>
      </c>
      <c r="L1258" s="38">
        <f>INDEX(Inputs!$S$5:$S$132,MATCH($B1258&amp;"|"&amp;$C1258,Inputs!$A$5:$A$132,0))</f>
        <v/>
      </c>
      <c r="M1258" s="36">
        <f>L1258*(1+$D1258)</f>
        <v/>
      </c>
      <c r="N1258" s="36">
        <f>M1258*(1+$D1258)</f>
        <v/>
      </c>
      <c r="O1258" s="36">
        <f>N1258*(1+$D1258)</f>
        <v/>
      </c>
      <c r="P1258" s="36">
        <f>O1258*(1+$D1258)</f>
        <v/>
      </c>
      <c r="Q1258" s="36">
        <f>P1258*(1+$D1258)</f>
        <v/>
      </c>
      <c r="R1258" s="36">
        <f>Q1258*(1+$D1258)</f>
        <v/>
      </c>
      <c r="S1258" s="36">
        <f>R1258*(1+$D1258)</f>
        <v/>
      </c>
      <c r="T1258" s="36">
        <f>S1258*(1+$D1258)</f>
        <v/>
      </c>
      <c r="U1258" s="36">
        <f>T1258*(1+$D1258)</f>
        <v/>
      </c>
      <c r="V1258" s="36">
        <f>U1258*(1+$D1258)</f>
        <v/>
      </c>
      <c r="W1258" s="36">
        <f>V1258*(1+$D1258)</f>
        <v/>
      </c>
      <c r="X1258" s="36">
        <f>W1258*(1+$D1258)</f>
        <v/>
      </c>
      <c r="Y1258" s="39">
        <f>PRETAX(X1258,$D1258)</f>
        <v/>
      </c>
      <c r="Z1258" s="23">
        <f>LOWER(Settings!$C$4)&amp;".mit."&amp;$A1258&amp;IF($C1258="","","."&amp;$C1258&amp;"."&amp;$B1258)&amp;IF(INDEX(Variables!$D$5:$D$65,MATCH($A1258,Variables!$A$5:$A$65,0))="","","."&amp;INDEX(Variables!$D$5:$D$65,MATCH($A1258,Variables!$A$5:$A$65,0)))&amp;"."&amp;Z$5</f>
        <v/>
      </c>
      <c r="AA1258" s="38">
        <f>INDEX(Inputs!$S$5:$S$132,MATCH($B1258&amp;"|"&amp;$C1258,Inputs!$A$5:$A$132,0))</f>
        <v/>
      </c>
      <c r="AB1258" s="36">
        <f>AA1258*(1+$D1258)</f>
        <v/>
      </c>
      <c r="AC1258" s="36">
        <f>AB1258*(1+$D1258)</f>
        <v/>
      </c>
      <c r="AD1258" s="36">
        <f>AC1258*(1+$D1258)</f>
        <v/>
      </c>
      <c r="AE1258" s="36">
        <f>AD1258*(1+$D1258)</f>
        <v/>
      </c>
      <c r="AF1258" s="36">
        <f>AE1258*(1+$D1258)</f>
        <v/>
      </c>
      <c r="AG1258" s="36">
        <f>AF1258*(1+$D1258)</f>
        <v/>
      </c>
      <c r="AH1258" s="36">
        <f>AG1258*(1+$D1258)</f>
        <v/>
      </c>
      <c r="AI1258" s="36">
        <f>AH1258*(1+$D1258)</f>
        <v/>
      </c>
      <c r="AJ1258" s="36">
        <f>AI1258*(1+$D1258)</f>
        <v/>
      </c>
      <c r="AK1258" s="36">
        <f>AJ1258*(1+$D1258)</f>
        <v/>
      </c>
      <c r="AL1258" s="36">
        <f>AK1258*(1+$D1258)</f>
        <v/>
      </c>
      <c r="AM1258" s="36">
        <f>AL1258*(1+$D1258)</f>
        <v/>
      </c>
      <c r="AN1258" s="39">
        <f>PRETAX(AM1258,$D1258)</f>
        <v/>
      </c>
    </row>
    <row r="1259" hidden="1" outlineLevel="2">
      <c r="A1259" s="5" t="inlineStr">
        <is>
          <t>sp</t>
        </is>
      </c>
      <c r="B1259" s="5" t="inlineStr">
        <is>
          <t>die</t>
        </is>
      </c>
      <c r="C1259" s="5" t="inlineStr">
        <is>
          <t>oen</t>
        </is>
      </c>
      <c r="D1259" s="36">
        <f>INDEX(Inputs!$R$5:$R$132,MATCH($B1259&amp;"|"&amp;$C1259,Inputs!$A$5:$A$132,0))</f>
        <v/>
      </c>
      <c r="E1259" s="37" t="n"/>
      <c r="F1259" s="37" t="n"/>
      <c r="G1259" s="37" t="n"/>
      <c r="H1259" s="5">
        <f>INDEX(Variables!$B$5:$B$65,MATCH($A1259,Variables!$A$5:$A$65,0))&amp;IF($C1259="",""," | "&amp;INDEX(Mapping!$B$5:$B$25,MATCH($C1259,Mapping!$A$5:$A$25,0))&amp;" | "&amp;INDEX(Mapping!$B$29:$B$38,MATCH($B1259,Mapping!$A$29:$A$38,0)))</f>
        <v/>
      </c>
      <c r="I1259" s="5">
        <f>INDEX(Variables!$C$5:$C$65,MATCH($A1259,Variables!$A$5:$A$65,0))</f>
        <v/>
      </c>
      <c r="J1259" s="5">
        <f>INDEX(Variables!$E$5:$E$65,MATCH($A1259,Variables!$A$5:$A$65,0))</f>
        <v/>
      </c>
      <c r="K1259" s="23">
        <f>LOWER(Settings!$C$4)&amp;".mit."&amp;$A1259&amp;IF($C1259="","","."&amp;$C1259&amp;"."&amp;$B1259)&amp;IF(INDEX(Variables!$D$5:$D$65,MATCH($A1259,Variables!$A$5:$A$65,0))="","","."&amp;INDEX(Variables!$D$5:$D$65,MATCH($A1259,Variables!$A$5:$A$65,0)))&amp;"."&amp;K$5</f>
        <v/>
      </c>
      <c r="L1259" s="38">
        <f>INDEX(Inputs!$S$5:$S$132,MATCH($B1259&amp;"|"&amp;$C1259,Inputs!$A$5:$A$132,0))</f>
        <v/>
      </c>
      <c r="M1259" s="36">
        <f>L1259*(1+$D1259)</f>
        <v/>
      </c>
      <c r="N1259" s="36">
        <f>M1259*(1+$D1259)</f>
        <v/>
      </c>
      <c r="O1259" s="36">
        <f>N1259*(1+$D1259)</f>
        <v/>
      </c>
      <c r="P1259" s="36">
        <f>O1259*(1+$D1259)</f>
        <v/>
      </c>
      <c r="Q1259" s="36">
        <f>P1259*(1+$D1259)</f>
        <v/>
      </c>
      <c r="R1259" s="36">
        <f>Q1259*(1+$D1259)</f>
        <v/>
      </c>
      <c r="S1259" s="36">
        <f>R1259*(1+$D1259)</f>
        <v/>
      </c>
      <c r="T1259" s="36">
        <f>S1259*(1+$D1259)</f>
        <v/>
      </c>
      <c r="U1259" s="36">
        <f>T1259*(1+$D1259)</f>
        <v/>
      </c>
      <c r="V1259" s="36">
        <f>U1259*(1+$D1259)</f>
        <v/>
      </c>
      <c r="W1259" s="36">
        <f>V1259*(1+$D1259)</f>
        <v/>
      </c>
      <c r="X1259" s="36">
        <f>W1259*(1+$D1259)</f>
        <v/>
      </c>
      <c r="Y1259" s="39">
        <f>PRETAX(X1259,$D1259)</f>
        <v/>
      </c>
      <c r="Z1259" s="23">
        <f>LOWER(Settings!$C$4)&amp;".mit."&amp;$A1259&amp;IF($C1259="","","."&amp;$C1259&amp;"."&amp;$B1259)&amp;IF(INDEX(Variables!$D$5:$D$65,MATCH($A1259,Variables!$A$5:$A$65,0))="","","."&amp;INDEX(Variables!$D$5:$D$65,MATCH($A1259,Variables!$A$5:$A$65,0)))&amp;"."&amp;Z$5</f>
        <v/>
      </c>
      <c r="AA1259" s="38">
        <f>INDEX(Inputs!$S$5:$S$132,MATCH($B1259&amp;"|"&amp;$C1259,Inputs!$A$5:$A$132,0))</f>
        <v/>
      </c>
      <c r="AB1259" s="36">
        <f>AA1259*(1+$D1259)</f>
        <v/>
      </c>
      <c r="AC1259" s="36">
        <f>AB1259*(1+$D1259)</f>
        <v/>
      </c>
      <c r="AD1259" s="36">
        <f>AC1259*(1+$D1259)</f>
        <v/>
      </c>
      <c r="AE1259" s="36">
        <f>AD1259*(1+$D1259)</f>
        <v/>
      </c>
      <c r="AF1259" s="36">
        <f>AE1259*(1+$D1259)</f>
        <v/>
      </c>
      <c r="AG1259" s="36">
        <f>AF1259*(1+$D1259)</f>
        <v/>
      </c>
      <c r="AH1259" s="36">
        <f>AG1259*(1+$D1259)</f>
        <v/>
      </c>
      <c r="AI1259" s="36">
        <f>AH1259*(1+$D1259)</f>
        <v/>
      </c>
      <c r="AJ1259" s="36">
        <f>AI1259*(1+$D1259)</f>
        <v/>
      </c>
      <c r="AK1259" s="36">
        <f>AJ1259*(1+$D1259)</f>
        <v/>
      </c>
      <c r="AL1259" s="36">
        <f>AK1259*(1+$D1259)</f>
        <v/>
      </c>
      <c r="AM1259" s="36">
        <f>AL1259*(1+$D1259)</f>
        <v/>
      </c>
      <c r="AN1259" s="39">
        <f>PRETAX(AM1259,$D1259)</f>
        <v/>
      </c>
    </row>
    <row r="1260" hidden="1" outlineLevel="2">
      <c r="A1260" s="5" t="inlineStr">
        <is>
          <t>sp</t>
        </is>
      </c>
      <c r="B1260" s="5" t="inlineStr">
        <is>
          <t>lpg</t>
        </is>
      </c>
      <c r="C1260" s="5" t="inlineStr">
        <is>
          <t>oen</t>
        </is>
      </c>
      <c r="D1260" s="36">
        <f>INDEX(Inputs!$R$5:$R$132,MATCH($B1260&amp;"|"&amp;$C1260,Inputs!$A$5:$A$132,0))</f>
        <v/>
      </c>
      <c r="E1260" s="37" t="n"/>
      <c r="F1260" s="37" t="n"/>
      <c r="G1260" s="37" t="n"/>
      <c r="H1260" s="5">
        <f>INDEX(Variables!$B$5:$B$65,MATCH($A1260,Variables!$A$5:$A$65,0))&amp;IF($C1260="",""," | "&amp;INDEX(Mapping!$B$5:$B$25,MATCH($C1260,Mapping!$A$5:$A$25,0))&amp;" | "&amp;INDEX(Mapping!$B$29:$B$38,MATCH($B1260,Mapping!$A$29:$A$38,0)))</f>
        <v/>
      </c>
      <c r="I1260" s="5">
        <f>INDEX(Variables!$C$5:$C$65,MATCH($A1260,Variables!$A$5:$A$65,0))</f>
        <v/>
      </c>
      <c r="J1260" s="5">
        <f>INDEX(Variables!$E$5:$E$65,MATCH($A1260,Variables!$A$5:$A$65,0))</f>
        <v/>
      </c>
      <c r="K1260" s="23">
        <f>LOWER(Settings!$C$4)&amp;".mit."&amp;$A1260&amp;IF($C1260="","","."&amp;$C1260&amp;"."&amp;$B1260)&amp;IF(INDEX(Variables!$D$5:$D$65,MATCH($A1260,Variables!$A$5:$A$65,0))="","","."&amp;INDEX(Variables!$D$5:$D$65,MATCH($A1260,Variables!$A$5:$A$65,0)))&amp;"."&amp;K$5</f>
        <v/>
      </c>
      <c r="L1260" s="38">
        <f>INDEX(Inputs!$S$5:$S$132,MATCH($B1260&amp;"|"&amp;$C1260,Inputs!$A$5:$A$132,0))</f>
        <v/>
      </c>
      <c r="M1260" s="36">
        <f>L1260*(1+$D1260)</f>
        <v/>
      </c>
      <c r="N1260" s="36">
        <f>M1260*(1+$D1260)</f>
        <v/>
      </c>
      <c r="O1260" s="36">
        <f>N1260*(1+$D1260)</f>
        <v/>
      </c>
      <c r="P1260" s="36">
        <f>O1260*(1+$D1260)</f>
        <v/>
      </c>
      <c r="Q1260" s="36">
        <f>P1260*(1+$D1260)</f>
        <v/>
      </c>
      <c r="R1260" s="36">
        <f>Q1260*(1+$D1260)</f>
        <v/>
      </c>
      <c r="S1260" s="36">
        <f>R1260*(1+$D1260)</f>
        <v/>
      </c>
      <c r="T1260" s="36">
        <f>S1260*(1+$D1260)</f>
        <v/>
      </c>
      <c r="U1260" s="36">
        <f>T1260*(1+$D1260)</f>
        <v/>
      </c>
      <c r="V1260" s="36">
        <f>U1260*(1+$D1260)</f>
        <v/>
      </c>
      <c r="W1260" s="36">
        <f>V1260*(1+$D1260)</f>
        <v/>
      </c>
      <c r="X1260" s="36">
        <f>W1260*(1+$D1260)</f>
        <v/>
      </c>
      <c r="Y1260" s="39">
        <f>PRETAX(X1260,$D1260)</f>
        <v/>
      </c>
      <c r="Z1260" s="23">
        <f>LOWER(Settings!$C$4)&amp;".mit."&amp;$A1260&amp;IF($C1260="","","."&amp;$C1260&amp;"."&amp;$B1260)&amp;IF(INDEX(Variables!$D$5:$D$65,MATCH($A1260,Variables!$A$5:$A$65,0))="","","."&amp;INDEX(Variables!$D$5:$D$65,MATCH($A1260,Variables!$A$5:$A$65,0)))&amp;"."&amp;Z$5</f>
        <v/>
      </c>
      <c r="AA1260" s="38">
        <f>INDEX(Inputs!$S$5:$S$132,MATCH($B1260&amp;"|"&amp;$C1260,Inputs!$A$5:$A$132,0))</f>
        <v/>
      </c>
      <c r="AB1260" s="36">
        <f>AA1260*(1+$D1260)</f>
        <v/>
      </c>
      <c r="AC1260" s="36">
        <f>AB1260*(1+$D1260)</f>
        <v/>
      </c>
      <c r="AD1260" s="36">
        <f>AC1260*(1+$D1260)</f>
        <v/>
      </c>
      <c r="AE1260" s="36">
        <f>AD1260*(1+$D1260)</f>
        <v/>
      </c>
      <c r="AF1260" s="36">
        <f>AE1260*(1+$D1260)</f>
        <v/>
      </c>
      <c r="AG1260" s="36">
        <f>AF1260*(1+$D1260)</f>
        <v/>
      </c>
      <c r="AH1260" s="36">
        <f>AG1260*(1+$D1260)</f>
        <v/>
      </c>
      <c r="AI1260" s="36">
        <f>AH1260*(1+$D1260)</f>
        <v/>
      </c>
      <c r="AJ1260" s="36">
        <f>AI1260*(1+$D1260)</f>
        <v/>
      </c>
      <c r="AK1260" s="36">
        <f>AJ1260*(1+$D1260)</f>
        <v/>
      </c>
      <c r="AL1260" s="36">
        <f>AK1260*(1+$D1260)</f>
        <v/>
      </c>
      <c r="AM1260" s="36">
        <f>AL1260*(1+$D1260)</f>
        <v/>
      </c>
      <c r="AN1260" s="39">
        <f>PRETAX(AM1260,$D1260)</f>
        <v/>
      </c>
    </row>
    <row r="1261" hidden="1" outlineLevel="2">
      <c r="A1261" s="5" t="inlineStr">
        <is>
          <t>sp</t>
        </is>
      </c>
      <c r="B1261" s="5" t="inlineStr">
        <is>
          <t>ker</t>
        </is>
      </c>
      <c r="C1261" s="5" t="inlineStr">
        <is>
          <t>oen</t>
        </is>
      </c>
      <c r="D1261" s="36">
        <f>INDEX(Inputs!$R$5:$R$132,MATCH($B1261&amp;"|"&amp;$C1261,Inputs!$A$5:$A$132,0))</f>
        <v/>
      </c>
      <c r="E1261" s="37" t="n"/>
      <c r="F1261" s="37" t="n"/>
      <c r="G1261" s="37" t="n"/>
      <c r="H1261" s="5">
        <f>INDEX(Variables!$B$5:$B$65,MATCH($A1261,Variables!$A$5:$A$65,0))&amp;IF($C1261="",""," | "&amp;INDEX(Mapping!$B$5:$B$25,MATCH($C1261,Mapping!$A$5:$A$25,0))&amp;" | "&amp;INDEX(Mapping!$B$29:$B$38,MATCH($B1261,Mapping!$A$29:$A$38,0)))</f>
        <v/>
      </c>
      <c r="I1261" s="5">
        <f>INDEX(Variables!$C$5:$C$65,MATCH($A1261,Variables!$A$5:$A$65,0))</f>
        <v/>
      </c>
      <c r="J1261" s="5">
        <f>INDEX(Variables!$E$5:$E$65,MATCH($A1261,Variables!$A$5:$A$65,0))</f>
        <v/>
      </c>
      <c r="K1261" s="23">
        <f>LOWER(Settings!$C$4)&amp;".mit."&amp;$A1261&amp;IF($C1261="","","."&amp;$C1261&amp;"."&amp;$B1261)&amp;IF(INDEX(Variables!$D$5:$D$65,MATCH($A1261,Variables!$A$5:$A$65,0))="","","."&amp;INDEX(Variables!$D$5:$D$65,MATCH($A1261,Variables!$A$5:$A$65,0)))&amp;"."&amp;K$5</f>
        <v/>
      </c>
      <c r="L1261" s="38">
        <f>INDEX(Inputs!$S$5:$S$132,MATCH($B1261&amp;"|"&amp;$C1261,Inputs!$A$5:$A$132,0))</f>
        <v/>
      </c>
      <c r="M1261" s="36">
        <f>L1261*(1+$D1261)</f>
        <v/>
      </c>
      <c r="N1261" s="36">
        <f>M1261*(1+$D1261)</f>
        <v/>
      </c>
      <c r="O1261" s="36">
        <f>N1261*(1+$D1261)</f>
        <v/>
      </c>
      <c r="P1261" s="36">
        <f>O1261*(1+$D1261)</f>
        <v/>
      </c>
      <c r="Q1261" s="36">
        <f>P1261*(1+$D1261)</f>
        <v/>
      </c>
      <c r="R1261" s="36">
        <f>Q1261*(1+$D1261)</f>
        <v/>
      </c>
      <c r="S1261" s="36">
        <f>R1261*(1+$D1261)</f>
        <v/>
      </c>
      <c r="T1261" s="36">
        <f>S1261*(1+$D1261)</f>
        <v/>
      </c>
      <c r="U1261" s="36">
        <f>T1261*(1+$D1261)</f>
        <v/>
      </c>
      <c r="V1261" s="36">
        <f>U1261*(1+$D1261)</f>
        <v/>
      </c>
      <c r="W1261" s="36">
        <f>V1261*(1+$D1261)</f>
        <v/>
      </c>
      <c r="X1261" s="36">
        <f>W1261*(1+$D1261)</f>
        <v/>
      </c>
      <c r="Y1261" s="39">
        <f>PRETAX(X1261,$D1261)</f>
        <v/>
      </c>
      <c r="Z1261" s="23">
        <f>LOWER(Settings!$C$4)&amp;".mit."&amp;$A1261&amp;IF($C1261="","","."&amp;$C1261&amp;"."&amp;$B1261)&amp;IF(INDEX(Variables!$D$5:$D$65,MATCH($A1261,Variables!$A$5:$A$65,0))="","","."&amp;INDEX(Variables!$D$5:$D$65,MATCH($A1261,Variables!$A$5:$A$65,0)))&amp;"."&amp;Z$5</f>
        <v/>
      </c>
      <c r="AA1261" s="38">
        <f>INDEX(Inputs!$S$5:$S$132,MATCH($B1261&amp;"|"&amp;$C1261,Inputs!$A$5:$A$132,0))</f>
        <v/>
      </c>
      <c r="AB1261" s="36">
        <f>AA1261*(1+$D1261)</f>
        <v/>
      </c>
      <c r="AC1261" s="36">
        <f>AB1261*(1+$D1261)</f>
        <v/>
      </c>
      <c r="AD1261" s="36">
        <f>AC1261*(1+$D1261)</f>
        <v/>
      </c>
      <c r="AE1261" s="36">
        <f>AD1261*(1+$D1261)</f>
        <v/>
      </c>
      <c r="AF1261" s="36">
        <f>AE1261*(1+$D1261)</f>
        <v/>
      </c>
      <c r="AG1261" s="36">
        <f>AF1261*(1+$D1261)</f>
        <v/>
      </c>
      <c r="AH1261" s="36">
        <f>AG1261*(1+$D1261)</f>
        <v/>
      </c>
      <c r="AI1261" s="36">
        <f>AH1261*(1+$D1261)</f>
        <v/>
      </c>
      <c r="AJ1261" s="36">
        <f>AI1261*(1+$D1261)</f>
        <v/>
      </c>
      <c r="AK1261" s="36">
        <f>AJ1261*(1+$D1261)</f>
        <v/>
      </c>
      <c r="AL1261" s="36">
        <f>AK1261*(1+$D1261)</f>
        <v/>
      </c>
      <c r="AM1261" s="36">
        <f>AL1261*(1+$D1261)</f>
        <v/>
      </c>
      <c r="AN1261" s="39">
        <f>PRETAX(AM1261,$D1261)</f>
        <v/>
      </c>
    </row>
    <row r="1262" hidden="1" outlineLevel="2">
      <c r="A1262" s="5" t="inlineStr">
        <is>
          <t>sp</t>
        </is>
      </c>
      <c r="B1262" s="5" t="inlineStr">
        <is>
          <t>oop</t>
        </is>
      </c>
      <c r="C1262" s="5" t="inlineStr">
        <is>
          <t>oen</t>
        </is>
      </c>
      <c r="D1262" s="36">
        <f>INDEX(Inputs!$R$5:$R$132,MATCH($B1262&amp;"|"&amp;$C1262,Inputs!$A$5:$A$132,0))</f>
        <v/>
      </c>
      <c r="E1262" s="37" t="n"/>
      <c r="F1262" s="37" t="n"/>
      <c r="G1262" s="37" t="n"/>
      <c r="H1262" s="5">
        <f>INDEX(Variables!$B$5:$B$65,MATCH($A1262,Variables!$A$5:$A$65,0))&amp;IF($C1262="",""," | "&amp;INDEX(Mapping!$B$5:$B$25,MATCH($C1262,Mapping!$A$5:$A$25,0))&amp;" | "&amp;INDEX(Mapping!$B$29:$B$38,MATCH($B1262,Mapping!$A$29:$A$38,0)))</f>
        <v/>
      </c>
      <c r="I1262" s="5">
        <f>INDEX(Variables!$C$5:$C$65,MATCH($A1262,Variables!$A$5:$A$65,0))</f>
        <v/>
      </c>
      <c r="J1262" s="5">
        <f>INDEX(Variables!$E$5:$E$65,MATCH($A1262,Variables!$A$5:$A$65,0))</f>
        <v/>
      </c>
      <c r="K1262" s="23">
        <f>LOWER(Settings!$C$4)&amp;".mit."&amp;$A1262&amp;IF($C1262="","","."&amp;$C1262&amp;"."&amp;$B1262)&amp;IF(INDEX(Variables!$D$5:$D$65,MATCH($A1262,Variables!$A$5:$A$65,0))="","","."&amp;INDEX(Variables!$D$5:$D$65,MATCH($A1262,Variables!$A$5:$A$65,0)))&amp;"."&amp;K$5</f>
        <v/>
      </c>
      <c r="L1262" s="38">
        <f>INDEX(Inputs!$S$5:$S$132,MATCH($B1262&amp;"|"&amp;$C1262,Inputs!$A$5:$A$132,0))</f>
        <v/>
      </c>
      <c r="M1262" s="36">
        <f>L1262*(1+$D1262)</f>
        <v/>
      </c>
      <c r="N1262" s="36">
        <f>M1262*(1+$D1262)</f>
        <v/>
      </c>
      <c r="O1262" s="36">
        <f>N1262*(1+$D1262)</f>
        <v/>
      </c>
      <c r="P1262" s="36">
        <f>O1262*(1+$D1262)</f>
        <v/>
      </c>
      <c r="Q1262" s="36">
        <f>P1262*(1+$D1262)</f>
        <v/>
      </c>
      <c r="R1262" s="36">
        <f>Q1262*(1+$D1262)</f>
        <v/>
      </c>
      <c r="S1262" s="36">
        <f>R1262*(1+$D1262)</f>
        <v/>
      </c>
      <c r="T1262" s="36">
        <f>S1262*(1+$D1262)</f>
        <v/>
      </c>
      <c r="U1262" s="36">
        <f>T1262*(1+$D1262)</f>
        <v/>
      </c>
      <c r="V1262" s="36">
        <f>U1262*(1+$D1262)</f>
        <v/>
      </c>
      <c r="W1262" s="36">
        <f>V1262*(1+$D1262)</f>
        <v/>
      </c>
      <c r="X1262" s="36">
        <f>W1262*(1+$D1262)</f>
        <v/>
      </c>
      <c r="Y1262" s="39">
        <f>PRETAX(X1262,$D1262)</f>
        <v/>
      </c>
      <c r="Z1262" s="23">
        <f>LOWER(Settings!$C$4)&amp;".mit."&amp;$A1262&amp;IF($C1262="","","."&amp;$C1262&amp;"."&amp;$B1262)&amp;IF(INDEX(Variables!$D$5:$D$65,MATCH($A1262,Variables!$A$5:$A$65,0))="","","."&amp;INDEX(Variables!$D$5:$D$65,MATCH($A1262,Variables!$A$5:$A$65,0)))&amp;"."&amp;Z$5</f>
        <v/>
      </c>
      <c r="AA1262" s="38">
        <f>INDEX(Inputs!$S$5:$S$132,MATCH($B1262&amp;"|"&amp;$C1262,Inputs!$A$5:$A$132,0))</f>
        <v/>
      </c>
      <c r="AB1262" s="36">
        <f>AA1262*(1+$D1262)</f>
        <v/>
      </c>
      <c r="AC1262" s="36">
        <f>AB1262*(1+$D1262)</f>
        <v/>
      </c>
      <c r="AD1262" s="36">
        <f>AC1262*(1+$D1262)</f>
        <v/>
      </c>
      <c r="AE1262" s="36">
        <f>AD1262*(1+$D1262)</f>
        <v/>
      </c>
      <c r="AF1262" s="36">
        <f>AE1262*(1+$D1262)</f>
        <v/>
      </c>
      <c r="AG1262" s="36">
        <f>AF1262*(1+$D1262)</f>
        <v/>
      </c>
      <c r="AH1262" s="36">
        <f>AG1262*(1+$D1262)</f>
        <v/>
      </c>
      <c r="AI1262" s="36">
        <f>AH1262*(1+$D1262)</f>
        <v/>
      </c>
      <c r="AJ1262" s="36">
        <f>AI1262*(1+$D1262)</f>
        <v/>
      </c>
      <c r="AK1262" s="36">
        <f>AJ1262*(1+$D1262)</f>
        <v/>
      </c>
      <c r="AL1262" s="36">
        <f>AK1262*(1+$D1262)</f>
        <v/>
      </c>
      <c r="AM1262" s="36">
        <f>AL1262*(1+$D1262)</f>
        <v/>
      </c>
      <c r="AN1262" s="39">
        <f>PRETAX(AM1262,$D1262)</f>
        <v/>
      </c>
    </row>
    <row r="1263" hidden="1" outlineLevel="2">
      <c r="A1263" s="5" t="inlineStr">
        <is>
          <t>sp</t>
        </is>
      </c>
      <c r="B1263" s="5" t="inlineStr">
        <is>
          <t>bio</t>
        </is>
      </c>
      <c r="C1263" s="5" t="inlineStr">
        <is>
          <t>oen</t>
        </is>
      </c>
      <c r="D1263" s="36">
        <f>INDEX(Inputs!$R$5:$R$132,MATCH($B1263&amp;"|"&amp;$C1263,Inputs!$A$5:$A$132,0))</f>
        <v/>
      </c>
      <c r="E1263" s="37" t="n"/>
      <c r="F1263" s="37" t="n"/>
      <c r="G1263" s="37" t="n"/>
      <c r="H1263" s="5">
        <f>INDEX(Variables!$B$5:$B$65,MATCH($A1263,Variables!$A$5:$A$65,0))&amp;IF($C1263="",""," | "&amp;INDEX(Mapping!$B$5:$B$25,MATCH($C1263,Mapping!$A$5:$A$25,0))&amp;" | "&amp;INDEX(Mapping!$B$29:$B$38,MATCH($B1263,Mapping!$A$29:$A$38,0)))</f>
        <v/>
      </c>
      <c r="I1263" s="5">
        <f>INDEX(Variables!$C$5:$C$65,MATCH($A1263,Variables!$A$5:$A$65,0))</f>
        <v/>
      </c>
      <c r="J1263" s="5">
        <f>INDEX(Variables!$E$5:$E$65,MATCH($A1263,Variables!$A$5:$A$65,0))</f>
        <v/>
      </c>
      <c r="K1263" s="23">
        <f>LOWER(Settings!$C$4)&amp;".mit."&amp;$A1263&amp;IF($C1263="","","."&amp;$C1263&amp;"."&amp;$B1263)&amp;IF(INDEX(Variables!$D$5:$D$65,MATCH($A1263,Variables!$A$5:$A$65,0))="","","."&amp;INDEX(Variables!$D$5:$D$65,MATCH($A1263,Variables!$A$5:$A$65,0)))&amp;"."&amp;K$5</f>
        <v/>
      </c>
      <c r="L1263" s="38">
        <f>INDEX(Inputs!$S$5:$S$132,MATCH($B1263&amp;"|"&amp;$C1263,Inputs!$A$5:$A$132,0))</f>
        <v/>
      </c>
      <c r="M1263" s="36">
        <f>L1263*(1+$D1263)</f>
        <v/>
      </c>
      <c r="N1263" s="36">
        <f>M1263*(1+$D1263)</f>
        <v/>
      </c>
      <c r="O1263" s="36">
        <f>N1263*(1+$D1263)</f>
        <v/>
      </c>
      <c r="P1263" s="36">
        <f>O1263*(1+$D1263)</f>
        <v/>
      </c>
      <c r="Q1263" s="36">
        <f>P1263*(1+$D1263)</f>
        <v/>
      </c>
      <c r="R1263" s="36">
        <f>Q1263*(1+$D1263)</f>
        <v/>
      </c>
      <c r="S1263" s="36">
        <f>R1263*(1+$D1263)</f>
        <v/>
      </c>
      <c r="T1263" s="36">
        <f>S1263*(1+$D1263)</f>
        <v/>
      </c>
      <c r="U1263" s="36">
        <f>T1263*(1+$D1263)</f>
        <v/>
      </c>
      <c r="V1263" s="36">
        <f>U1263*(1+$D1263)</f>
        <v/>
      </c>
      <c r="W1263" s="36">
        <f>V1263*(1+$D1263)</f>
        <v/>
      </c>
      <c r="X1263" s="36">
        <f>W1263*(1+$D1263)</f>
        <v/>
      </c>
      <c r="Y1263" s="39">
        <f>PRETAX(X1263,$D1263)</f>
        <v/>
      </c>
      <c r="Z1263" s="23">
        <f>LOWER(Settings!$C$4)&amp;".mit."&amp;$A1263&amp;IF($C1263="","","."&amp;$C1263&amp;"."&amp;$B1263)&amp;IF(INDEX(Variables!$D$5:$D$65,MATCH($A1263,Variables!$A$5:$A$65,0))="","","."&amp;INDEX(Variables!$D$5:$D$65,MATCH($A1263,Variables!$A$5:$A$65,0)))&amp;"."&amp;Z$5</f>
        <v/>
      </c>
      <c r="AA1263" s="38">
        <f>INDEX(Inputs!$S$5:$S$132,MATCH($B1263&amp;"|"&amp;$C1263,Inputs!$A$5:$A$132,0))</f>
        <v/>
      </c>
      <c r="AB1263" s="36">
        <f>AA1263*(1+$D1263)</f>
        <v/>
      </c>
      <c r="AC1263" s="36">
        <f>AB1263*(1+$D1263)</f>
        <v/>
      </c>
      <c r="AD1263" s="36">
        <f>AC1263*(1+$D1263)</f>
        <v/>
      </c>
      <c r="AE1263" s="36">
        <f>AD1263*(1+$D1263)</f>
        <v/>
      </c>
      <c r="AF1263" s="36">
        <f>AE1263*(1+$D1263)</f>
        <v/>
      </c>
      <c r="AG1263" s="36">
        <f>AF1263*(1+$D1263)</f>
        <v/>
      </c>
      <c r="AH1263" s="36">
        <f>AG1263*(1+$D1263)</f>
        <v/>
      </c>
      <c r="AI1263" s="36">
        <f>AH1263*(1+$D1263)</f>
        <v/>
      </c>
      <c r="AJ1263" s="36">
        <f>AI1263*(1+$D1263)</f>
        <v/>
      </c>
      <c r="AK1263" s="36">
        <f>AJ1263*(1+$D1263)</f>
        <v/>
      </c>
      <c r="AL1263" s="36">
        <f>AK1263*(1+$D1263)</f>
        <v/>
      </c>
      <c r="AM1263" s="36">
        <f>AL1263*(1+$D1263)</f>
        <v/>
      </c>
      <c r="AN1263" s="39">
        <f>PRETAX(AM1263,$D1263)</f>
        <v/>
      </c>
    </row>
    <row r="1264" hidden="1" outlineLevel="2"/>
    <row r="1265" hidden="1" outlineLevel="2">
      <c r="A1265" s="5" t="inlineStr">
        <is>
          <t>ctxnew</t>
        </is>
      </c>
      <c r="B1265" s="5" t="inlineStr">
        <is>
          <t>coa</t>
        </is>
      </c>
      <c r="C1265" s="5" t="inlineStr">
        <is>
          <t>oen</t>
        </is>
      </c>
      <c r="D1265" s="36">
        <f>INDEX(Inputs!$U$5:$U$132,MATCH($B1265&amp;"|"&amp;$C1265,Inputs!$A$5:$A$132,0))</f>
        <v/>
      </c>
      <c r="E1265" s="36">
        <f>INDEX(Inputs!$J$5:$J$132,MATCH($B1265&amp;"|"&amp;$C1265,Inputs!$A$5:$A$132,0))</f>
        <v/>
      </c>
      <c r="F1265" s="36">
        <f>INDEX(Inputs!$K$5:$K$132,MATCH($B1265&amp;"|"&amp;$C1265,Inputs!$A$5:$A$132,0))</f>
        <v/>
      </c>
      <c r="G1265" s="37" t="n"/>
      <c r="H1265" s="5">
        <f>INDEX(Variables!$B$5:$B$65,MATCH($A1265,Variables!$A$5:$A$65,0))&amp;IF($C1265="",""," | "&amp;INDEX(Mapping!$B$5:$B$25,MATCH($C1265,Mapping!$A$5:$A$25,0))&amp;" | "&amp;INDEX(Mapping!$B$29:$B$38,MATCH($B1265,Mapping!$A$29:$A$38,0)))</f>
        <v/>
      </c>
      <c r="I1265" s="5">
        <f>INDEX(Variables!$C$5:$C$65,MATCH($A1265,Variables!$A$5:$A$65,0))</f>
        <v/>
      </c>
      <c r="J1265" s="5">
        <f>INDEX(Variables!$E$5:$E$65,MATCH($A1265,Variables!$A$5:$A$65,0))</f>
        <v/>
      </c>
      <c r="K1265" s="23">
        <f>LOWER(Settings!$C$4)&amp;".mit."&amp;$A1265&amp;IF($C1265="","","."&amp;$C1265&amp;"."&amp;$B1265)&amp;IF(INDEX(Variables!$D$5:$D$65,MATCH($A1265,Variables!$A$5:$A$65,0))="","","."&amp;INDEX(Variables!$D$5:$D$65,MATCH($A1265,Variables!$A$5:$A$65,0)))&amp;"."&amp;K$5</f>
        <v/>
      </c>
      <c r="L1265" s="38">
        <f>L$10*$D1265*INDEX(L$18:L$25,$E1265)*INDEX(L$27:L$43,$F1265)</f>
        <v/>
      </c>
      <c r="M1265" s="36">
        <f>M$10*$D1265*INDEX(M$18:M$25,$E1265)*INDEX(M$27:M$43,$F1265)</f>
        <v/>
      </c>
      <c r="N1265" s="36">
        <f>N$10*$D1265*INDEX(N$18:N$25,$E1265)*INDEX(N$27:N$43,$F1265)</f>
        <v/>
      </c>
      <c r="O1265" s="36">
        <f>O$10*$D1265*INDEX(O$18:O$25,$E1265)*INDEX(O$27:O$43,$F1265)</f>
        <v/>
      </c>
      <c r="P1265" s="36">
        <f>P$10*$D1265*INDEX(P$18:P$25,$E1265)*INDEX(P$27:P$43,$F1265)</f>
        <v/>
      </c>
      <c r="Q1265" s="36">
        <f>Q$10*$D1265*INDEX(Q$18:Q$25,$E1265)*INDEX(Q$27:Q$43,$F1265)</f>
        <v/>
      </c>
      <c r="R1265" s="36">
        <f>R$10*$D1265*INDEX(R$18:R$25,$E1265)*INDEX(R$27:R$43,$F1265)</f>
        <v/>
      </c>
      <c r="S1265" s="36">
        <f>S$10*$D1265*INDEX(S$18:S$25,$E1265)*INDEX(S$27:S$43,$F1265)</f>
        <v/>
      </c>
      <c r="T1265" s="36">
        <f>T$10*$D1265*INDEX(T$18:T$25,$E1265)*INDEX(T$27:T$43,$F1265)</f>
        <v/>
      </c>
      <c r="U1265" s="36">
        <f>U$10*$D1265*INDEX(U$18:U$25,$E1265)*INDEX(U$27:U$43,$F1265)</f>
        <v/>
      </c>
      <c r="V1265" s="36">
        <f>V$10*$D1265*INDEX(V$18:V$25,$E1265)*INDEX(V$27:V$43,$F1265)</f>
        <v/>
      </c>
      <c r="W1265" s="36">
        <f>W$10*$D1265*INDEX(W$18:W$25,$E1265)*INDEX(W$27:W$43,$F1265)</f>
        <v/>
      </c>
      <c r="X1265" s="36">
        <f>X$10*$D1265*INDEX(X$18:X$25,$E1265)*INDEX(X$27:X$43,$F1265)</f>
        <v/>
      </c>
      <c r="Y1265" s="36">
        <f>Y$10*$D1265*INDEX(Y$18:Y$25,$E1265)*INDEX(Y$27:Y$43,$F1265)</f>
        <v/>
      </c>
      <c r="Z1265" s="23">
        <f>LOWER(Settings!$C$4)&amp;".mit."&amp;$A1265&amp;IF($C1265="","","."&amp;$C1265&amp;"."&amp;$B1265)&amp;IF(INDEX(Variables!$D$5:$D$65,MATCH($A1265,Variables!$A$5:$A$65,0))="","","."&amp;INDEX(Variables!$D$5:$D$65,MATCH($A1265,Variables!$A$5:$A$65,0)))&amp;"."&amp;Z$5</f>
        <v/>
      </c>
      <c r="AA1265" s="38">
        <f>AA$10*$D1265*INDEX(AA$18:AA$25,$E1265)*INDEX(AA$27:AA$43,$F1265)</f>
        <v/>
      </c>
      <c r="AB1265" s="36">
        <f>AB$10*$D1265*INDEX(AB$18:AB$25,$E1265)*INDEX(AB$27:AB$43,$F1265)</f>
        <v/>
      </c>
      <c r="AC1265" s="36">
        <f>AC$10*$D1265*INDEX(AC$18:AC$25,$E1265)*INDEX(AC$27:AC$43,$F1265)</f>
        <v/>
      </c>
      <c r="AD1265" s="36">
        <f>AD$10*$D1265*INDEX(AD$18:AD$25,$E1265)*INDEX(AD$27:AD$43,$F1265)</f>
        <v/>
      </c>
      <c r="AE1265" s="36">
        <f>AE$10*$D1265*INDEX(AE$18:AE$25,$E1265)*INDEX(AE$27:AE$43,$F1265)</f>
        <v/>
      </c>
      <c r="AF1265" s="36">
        <f>AF$10*$D1265*INDEX(AF$18:AF$25,$E1265)*INDEX(AF$27:AF$43,$F1265)</f>
        <v/>
      </c>
      <c r="AG1265" s="36">
        <f>AG$10*$D1265*INDEX(AG$18:AG$25,$E1265)*INDEX(AG$27:AG$43,$F1265)</f>
        <v/>
      </c>
      <c r="AH1265" s="36">
        <f>AH$10*$D1265*INDEX(AH$18:AH$25,$E1265)*INDEX(AH$27:AH$43,$F1265)</f>
        <v/>
      </c>
      <c r="AI1265" s="36">
        <f>AI$10*$D1265*INDEX(AI$18:AI$25,$E1265)*INDEX(AI$27:AI$43,$F1265)</f>
        <v/>
      </c>
      <c r="AJ1265" s="36">
        <f>AJ$10*$D1265*INDEX(AJ$18:AJ$25,$E1265)*INDEX(AJ$27:AJ$43,$F1265)</f>
        <v/>
      </c>
      <c r="AK1265" s="36">
        <f>AK$10*$D1265*INDEX(AK$18:AK$25,$E1265)*INDEX(AK$27:AK$43,$F1265)</f>
        <v/>
      </c>
      <c r="AL1265" s="36">
        <f>AL$10*$D1265*INDEX(AL$18:AL$25,$E1265)*INDEX(AL$27:AL$43,$F1265)</f>
        <v/>
      </c>
      <c r="AM1265" s="36">
        <f>AM$10*$D1265*INDEX(AM$18:AM$25,$E1265)*INDEX(AM$27:AM$43,$F1265)</f>
        <v/>
      </c>
      <c r="AN1265" s="36">
        <f>AN$10*$D1265*INDEX(AN$18:AN$25,$E1265)*INDEX(AN$27:AN$43,$F1265)</f>
        <v/>
      </c>
    </row>
    <row r="1266" hidden="1" outlineLevel="2">
      <c r="A1266" s="5" t="inlineStr">
        <is>
          <t>ctxnew</t>
        </is>
      </c>
      <c r="B1266" s="5" t="inlineStr">
        <is>
          <t>nga</t>
        </is>
      </c>
      <c r="C1266" s="5" t="inlineStr">
        <is>
          <t>oen</t>
        </is>
      </c>
      <c r="D1266" s="36">
        <f>INDEX(Inputs!$U$5:$U$132,MATCH($B1266&amp;"|"&amp;$C1266,Inputs!$A$5:$A$132,0))</f>
        <v/>
      </c>
      <c r="E1266" s="36">
        <f>INDEX(Inputs!$J$5:$J$132,MATCH($B1266&amp;"|"&amp;$C1266,Inputs!$A$5:$A$132,0))</f>
        <v/>
      </c>
      <c r="F1266" s="36">
        <f>INDEX(Inputs!$K$5:$K$132,MATCH($B1266&amp;"|"&amp;$C1266,Inputs!$A$5:$A$132,0))</f>
        <v/>
      </c>
      <c r="G1266" s="37" t="n"/>
      <c r="H1266" s="5">
        <f>INDEX(Variables!$B$5:$B$65,MATCH($A1266,Variables!$A$5:$A$65,0))&amp;IF($C1266="",""," | "&amp;INDEX(Mapping!$B$5:$B$25,MATCH($C1266,Mapping!$A$5:$A$25,0))&amp;" | "&amp;INDEX(Mapping!$B$29:$B$38,MATCH($B1266,Mapping!$A$29:$A$38,0)))</f>
        <v/>
      </c>
      <c r="I1266" s="5">
        <f>INDEX(Variables!$C$5:$C$65,MATCH($A1266,Variables!$A$5:$A$65,0))</f>
        <v/>
      </c>
      <c r="J1266" s="5">
        <f>INDEX(Variables!$E$5:$E$65,MATCH($A1266,Variables!$A$5:$A$65,0))</f>
        <v/>
      </c>
      <c r="K1266" s="23">
        <f>LOWER(Settings!$C$4)&amp;".mit."&amp;$A1266&amp;IF($C1266="","","."&amp;$C1266&amp;"."&amp;$B1266)&amp;IF(INDEX(Variables!$D$5:$D$65,MATCH($A1266,Variables!$A$5:$A$65,0))="","","."&amp;INDEX(Variables!$D$5:$D$65,MATCH($A1266,Variables!$A$5:$A$65,0)))&amp;"."&amp;K$5</f>
        <v/>
      </c>
      <c r="L1266" s="38">
        <f>L$10*$D1266*INDEX(L$18:L$25,$E1266)*INDEX(L$27:L$43,$F1266)</f>
        <v/>
      </c>
      <c r="M1266" s="36">
        <f>M$10*$D1266*INDEX(M$18:M$25,$E1266)*INDEX(M$27:M$43,$F1266)</f>
        <v/>
      </c>
      <c r="N1266" s="36">
        <f>N$10*$D1266*INDEX(N$18:N$25,$E1266)*INDEX(N$27:N$43,$F1266)</f>
        <v/>
      </c>
      <c r="O1266" s="36">
        <f>O$10*$D1266*INDEX(O$18:O$25,$E1266)*INDEX(O$27:O$43,$F1266)</f>
        <v/>
      </c>
      <c r="P1266" s="36">
        <f>P$10*$D1266*INDEX(P$18:P$25,$E1266)*INDEX(P$27:P$43,$F1266)</f>
        <v/>
      </c>
      <c r="Q1266" s="36">
        <f>Q$10*$D1266*INDEX(Q$18:Q$25,$E1266)*INDEX(Q$27:Q$43,$F1266)</f>
        <v/>
      </c>
      <c r="R1266" s="36">
        <f>R$10*$D1266*INDEX(R$18:R$25,$E1266)*INDEX(R$27:R$43,$F1266)</f>
        <v/>
      </c>
      <c r="S1266" s="36">
        <f>S$10*$D1266*INDEX(S$18:S$25,$E1266)*INDEX(S$27:S$43,$F1266)</f>
        <v/>
      </c>
      <c r="T1266" s="36">
        <f>T$10*$D1266*INDEX(T$18:T$25,$E1266)*INDEX(T$27:T$43,$F1266)</f>
        <v/>
      </c>
      <c r="U1266" s="36">
        <f>U$10*$D1266*INDEX(U$18:U$25,$E1266)*INDEX(U$27:U$43,$F1266)</f>
        <v/>
      </c>
      <c r="V1266" s="36">
        <f>V$10*$D1266*INDEX(V$18:V$25,$E1266)*INDEX(V$27:V$43,$F1266)</f>
        <v/>
      </c>
      <c r="W1266" s="36">
        <f>W$10*$D1266*INDEX(W$18:W$25,$E1266)*INDEX(W$27:W$43,$F1266)</f>
        <v/>
      </c>
      <c r="X1266" s="36">
        <f>X$10*$D1266*INDEX(X$18:X$25,$E1266)*INDEX(X$27:X$43,$F1266)</f>
        <v/>
      </c>
      <c r="Y1266" s="36">
        <f>Y$10*$D1266*INDEX(Y$18:Y$25,$E1266)*INDEX(Y$27:Y$43,$F1266)</f>
        <v/>
      </c>
      <c r="Z1266" s="23">
        <f>LOWER(Settings!$C$4)&amp;".mit."&amp;$A1266&amp;IF($C1266="","","."&amp;$C1266&amp;"."&amp;$B1266)&amp;IF(INDEX(Variables!$D$5:$D$65,MATCH($A1266,Variables!$A$5:$A$65,0))="","","."&amp;INDEX(Variables!$D$5:$D$65,MATCH($A1266,Variables!$A$5:$A$65,0)))&amp;"."&amp;Z$5</f>
        <v/>
      </c>
      <c r="AA1266" s="38">
        <f>AA$10*$D1266*INDEX(AA$18:AA$25,$E1266)*INDEX(AA$27:AA$43,$F1266)</f>
        <v/>
      </c>
      <c r="AB1266" s="36">
        <f>AB$10*$D1266*INDEX(AB$18:AB$25,$E1266)*INDEX(AB$27:AB$43,$F1266)</f>
        <v/>
      </c>
      <c r="AC1266" s="36">
        <f>AC$10*$D1266*INDEX(AC$18:AC$25,$E1266)*INDEX(AC$27:AC$43,$F1266)</f>
        <v/>
      </c>
      <c r="AD1266" s="36">
        <f>AD$10*$D1266*INDEX(AD$18:AD$25,$E1266)*INDEX(AD$27:AD$43,$F1266)</f>
        <v/>
      </c>
      <c r="AE1266" s="36">
        <f>AE$10*$D1266*INDEX(AE$18:AE$25,$E1266)*INDEX(AE$27:AE$43,$F1266)</f>
        <v/>
      </c>
      <c r="AF1266" s="36">
        <f>AF$10*$D1266*INDEX(AF$18:AF$25,$E1266)*INDEX(AF$27:AF$43,$F1266)</f>
        <v/>
      </c>
      <c r="AG1266" s="36">
        <f>AG$10*$D1266*INDEX(AG$18:AG$25,$E1266)*INDEX(AG$27:AG$43,$F1266)</f>
        <v/>
      </c>
      <c r="AH1266" s="36">
        <f>AH$10*$D1266*INDEX(AH$18:AH$25,$E1266)*INDEX(AH$27:AH$43,$F1266)</f>
        <v/>
      </c>
      <c r="AI1266" s="36">
        <f>AI$10*$D1266*INDEX(AI$18:AI$25,$E1266)*INDEX(AI$27:AI$43,$F1266)</f>
        <v/>
      </c>
      <c r="AJ1266" s="36">
        <f>AJ$10*$D1266*INDEX(AJ$18:AJ$25,$E1266)*INDEX(AJ$27:AJ$43,$F1266)</f>
        <v/>
      </c>
      <c r="AK1266" s="36">
        <f>AK$10*$D1266*INDEX(AK$18:AK$25,$E1266)*INDEX(AK$27:AK$43,$F1266)</f>
        <v/>
      </c>
      <c r="AL1266" s="36">
        <f>AL$10*$D1266*INDEX(AL$18:AL$25,$E1266)*INDEX(AL$27:AL$43,$F1266)</f>
        <v/>
      </c>
      <c r="AM1266" s="36">
        <f>AM$10*$D1266*INDEX(AM$18:AM$25,$E1266)*INDEX(AM$27:AM$43,$F1266)</f>
        <v/>
      </c>
      <c r="AN1266" s="36">
        <f>AN$10*$D1266*INDEX(AN$18:AN$25,$E1266)*INDEX(AN$27:AN$43,$F1266)</f>
        <v/>
      </c>
    </row>
    <row r="1267" hidden="1" outlineLevel="2">
      <c r="A1267" s="5" t="inlineStr">
        <is>
          <t>ctxnew</t>
        </is>
      </c>
      <c r="B1267" s="5" t="inlineStr">
        <is>
          <t>gso</t>
        </is>
      </c>
      <c r="C1267" s="5" t="inlineStr">
        <is>
          <t>oen</t>
        </is>
      </c>
      <c r="D1267" s="36">
        <f>INDEX(Inputs!$U$5:$U$132,MATCH($B1267&amp;"|"&amp;$C1267,Inputs!$A$5:$A$132,0))</f>
        <v/>
      </c>
      <c r="E1267" s="36">
        <f>INDEX(Inputs!$J$5:$J$132,MATCH($B1267&amp;"|"&amp;$C1267,Inputs!$A$5:$A$132,0))</f>
        <v/>
      </c>
      <c r="F1267" s="36">
        <f>INDEX(Inputs!$K$5:$K$132,MATCH($B1267&amp;"|"&amp;$C1267,Inputs!$A$5:$A$132,0))</f>
        <v/>
      </c>
      <c r="G1267" s="37" t="n"/>
      <c r="H1267" s="5">
        <f>INDEX(Variables!$B$5:$B$65,MATCH($A1267,Variables!$A$5:$A$65,0))&amp;IF($C1267="",""," | "&amp;INDEX(Mapping!$B$5:$B$25,MATCH($C1267,Mapping!$A$5:$A$25,0))&amp;" | "&amp;INDEX(Mapping!$B$29:$B$38,MATCH($B1267,Mapping!$A$29:$A$38,0)))</f>
        <v/>
      </c>
      <c r="I1267" s="5">
        <f>INDEX(Variables!$C$5:$C$65,MATCH($A1267,Variables!$A$5:$A$65,0))</f>
        <v/>
      </c>
      <c r="J1267" s="5">
        <f>INDEX(Variables!$E$5:$E$65,MATCH($A1267,Variables!$A$5:$A$65,0))</f>
        <v/>
      </c>
      <c r="K1267" s="23">
        <f>LOWER(Settings!$C$4)&amp;".mit."&amp;$A1267&amp;IF($C1267="","","."&amp;$C1267&amp;"."&amp;$B1267)&amp;IF(INDEX(Variables!$D$5:$D$65,MATCH($A1267,Variables!$A$5:$A$65,0))="","","."&amp;INDEX(Variables!$D$5:$D$65,MATCH($A1267,Variables!$A$5:$A$65,0)))&amp;"."&amp;K$5</f>
        <v/>
      </c>
      <c r="L1267" s="38">
        <f>L$10*$D1267*INDEX(L$18:L$25,$E1267)*INDEX(L$27:L$43,$F1267)</f>
        <v/>
      </c>
      <c r="M1267" s="36">
        <f>M$10*$D1267*INDEX(M$18:M$25,$E1267)*INDEX(M$27:M$43,$F1267)</f>
        <v/>
      </c>
      <c r="N1267" s="36">
        <f>N$10*$D1267*INDEX(N$18:N$25,$E1267)*INDEX(N$27:N$43,$F1267)</f>
        <v/>
      </c>
      <c r="O1267" s="36">
        <f>O$10*$D1267*INDEX(O$18:O$25,$E1267)*INDEX(O$27:O$43,$F1267)</f>
        <v/>
      </c>
      <c r="P1267" s="36">
        <f>P$10*$D1267*INDEX(P$18:P$25,$E1267)*INDEX(P$27:P$43,$F1267)</f>
        <v/>
      </c>
      <c r="Q1267" s="36">
        <f>Q$10*$D1267*INDEX(Q$18:Q$25,$E1267)*INDEX(Q$27:Q$43,$F1267)</f>
        <v/>
      </c>
      <c r="R1267" s="36">
        <f>R$10*$D1267*INDEX(R$18:R$25,$E1267)*INDEX(R$27:R$43,$F1267)</f>
        <v/>
      </c>
      <c r="S1267" s="36">
        <f>S$10*$D1267*INDEX(S$18:S$25,$E1267)*INDEX(S$27:S$43,$F1267)</f>
        <v/>
      </c>
      <c r="T1267" s="36">
        <f>T$10*$D1267*INDEX(T$18:T$25,$E1267)*INDEX(T$27:T$43,$F1267)</f>
        <v/>
      </c>
      <c r="U1267" s="36">
        <f>U$10*$D1267*INDEX(U$18:U$25,$E1267)*INDEX(U$27:U$43,$F1267)</f>
        <v/>
      </c>
      <c r="V1267" s="36">
        <f>V$10*$D1267*INDEX(V$18:V$25,$E1267)*INDEX(V$27:V$43,$F1267)</f>
        <v/>
      </c>
      <c r="W1267" s="36">
        <f>W$10*$D1267*INDEX(W$18:W$25,$E1267)*INDEX(W$27:W$43,$F1267)</f>
        <v/>
      </c>
      <c r="X1267" s="36">
        <f>X$10*$D1267*INDEX(X$18:X$25,$E1267)*INDEX(X$27:X$43,$F1267)</f>
        <v/>
      </c>
      <c r="Y1267" s="36">
        <f>Y$10*$D1267*INDEX(Y$18:Y$25,$E1267)*INDEX(Y$27:Y$43,$F1267)</f>
        <v/>
      </c>
      <c r="Z1267" s="23">
        <f>LOWER(Settings!$C$4)&amp;".mit."&amp;$A1267&amp;IF($C1267="","","."&amp;$C1267&amp;"."&amp;$B1267)&amp;IF(INDEX(Variables!$D$5:$D$65,MATCH($A1267,Variables!$A$5:$A$65,0))="","","."&amp;INDEX(Variables!$D$5:$D$65,MATCH($A1267,Variables!$A$5:$A$65,0)))&amp;"."&amp;Z$5</f>
        <v/>
      </c>
      <c r="AA1267" s="38">
        <f>AA$10*$D1267*INDEX(AA$18:AA$25,$E1267)*INDEX(AA$27:AA$43,$F1267)</f>
        <v/>
      </c>
      <c r="AB1267" s="36">
        <f>AB$10*$D1267*INDEX(AB$18:AB$25,$E1267)*INDEX(AB$27:AB$43,$F1267)</f>
        <v/>
      </c>
      <c r="AC1267" s="36">
        <f>AC$10*$D1267*INDEX(AC$18:AC$25,$E1267)*INDEX(AC$27:AC$43,$F1267)</f>
        <v/>
      </c>
      <c r="AD1267" s="36">
        <f>AD$10*$D1267*INDEX(AD$18:AD$25,$E1267)*INDEX(AD$27:AD$43,$F1267)</f>
        <v/>
      </c>
      <c r="AE1267" s="36">
        <f>AE$10*$D1267*INDEX(AE$18:AE$25,$E1267)*INDEX(AE$27:AE$43,$F1267)</f>
        <v/>
      </c>
      <c r="AF1267" s="36">
        <f>AF$10*$D1267*INDEX(AF$18:AF$25,$E1267)*INDEX(AF$27:AF$43,$F1267)</f>
        <v/>
      </c>
      <c r="AG1267" s="36">
        <f>AG$10*$D1267*INDEX(AG$18:AG$25,$E1267)*INDEX(AG$27:AG$43,$F1267)</f>
        <v/>
      </c>
      <c r="AH1267" s="36">
        <f>AH$10*$D1267*INDEX(AH$18:AH$25,$E1267)*INDEX(AH$27:AH$43,$F1267)</f>
        <v/>
      </c>
      <c r="AI1267" s="36">
        <f>AI$10*$D1267*INDEX(AI$18:AI$25,$E1267)*INDEX(AI$27:AI$43,$F1267)</f>
        <v/>
      </c>
      <c r="AJ1267" s="36">
        <f>AJ$10*$D1267*INDEX(AJ$18:AJ$25,$E1267)*INDEX(AJ$27:AJ$43,$F1267)</f>
        <v/>
      </c>
      <c r="AK1267" s="36">
        <f>AK$10*$D1267*INDEX(AK$18:AK$25,$E1267)*INDEX(AK$27:AK$43,$F1267)</f>
        <v/>
      </c>
      <c r="AL1267" s="36">
        <f>AL$10*$D1267*INDEX(AL$18:AL$25,$E1267)*INDEX(AL$27:AL$43,$F1267)</f>
        <v/>
      </c>
      <c r="AM1267" s="36">
        <f>AM$10*$D1267*INDEX(AM$18:AM$25,$E1267)*INDEX(AM$27:AM$43,$F1267)</f>
        <v/>
      </c>
      <c r="AN1267" s="36">
        <f>AN$10*$D1267*INDEX(AN$18:AN$25,$E1267)*INDEX(AN$27:AN$43,$F1267)</f>
        <v/>
      </c>
    </row>
    <row r="1268" hidden="1" outlineLevel="2">
      <c r="A1268" s="5" t="inlineStr">
        <is>
          <t>ctxnew</t>
        </is>
      </c>
      <c r="B1268" s="5" t="inlineStr">
        <is>
          <t>die</t>
        </is>
      </c>
      <c r="C1268" s="5" t="inlineStr">
        <is>
          <t>oen</t>
        </is>
      </c>
      <c r="D1268" s="36">
        <f>INDEX(Inputs!$U$5:$U$132,MATCH($B1268&amp;"|"&amp;$C1268,Inputs!$A$5:$A$132,0))</f>
        <v/>
      </c>
      <c r="E1268" s="36">
        <f>INDEX(Inputs!$J$5:$J$132,MATCH($B1268&amp;"|"&amp;$C1268,Inputs!$A$5:$A$132,0))</f>
        <v/>
      </c>
      <c r="F1268" s="36">
        <f>INDEX(Inputs!$K$5:$K$132,MATCH($B1268&amp;"|"&amp;$C1268,Inputs!$A$5:$A$132,0))</f>
        <v/>
      </c>
      <c r="G1268" s="37" t="n"/>
      <c r="H1268" s="5">
        <f>INDEX(Variables!$B$5:$B$65,MATCH($A1268,Variables!$A$5:$A$65,0))&amp;IF($C1268="",""," | "&amp;INDEX(Mapping!$B$5:$B$25,MATCH($C1268,Mapping!$A$5:$A$25,0))&amp;" | "&amp;INDEX(Mapping!$B$29:$B$38,MATCH($B1268,Mapping!$A$29:$A$38,0)))</f>
        <v/>
      </c>
      <c r="I1268" s="5">
        <f>INDEX(Variables!$C$5:$C$65,MATCH($A1268,Variables!$A$5:$A$65,0))</f>
        <v/>
      </c>
      <c r="J1268" s="5">
        <f>INDEX(Variables!$E$5:$E$65,MATCH($A1268,Variables!$A$5:$A$65,0))</f>
        <v/>
      </c>
      <c r="K1268" s="23">
        <f>LOWER(Settings!$C$4)&amp;".mit."&amp;$A1268&amp;IF($C1268="","","."&amp;$C1268&amp;"."&amp;$B1268)&amp;IF(INDEX(Variables!$D$5:$D$65,MATCH($A1268,Variables!$A$5:$A$65,0))="","","."&amp;INDEX(Variables!$D$5:$D$65,MATCH($A1268,Variables!$A$5:$A$65,0)))&amp;"."&amp;K$5</f>
        <v/>
      </c>
      <c r="L1268" s="38">
        <f>L$10*$D1268*INDEX(L$18:L$25,$E1268)*INDEX(L$27:L$43,$F1268)</f>
        <v/>
      </c>
      <c r="M1268" s="36">
        <f>M$10*$D1268*INDEX(M$18:M$25,$E1268)*INDEX(M$27:M$43,$F1268)</f>
        <v/>
      </c>
      <c r="N1268" s="36">
        <f>N$10*$D1268*INDEX(N$18:N$25,$E1268)*INDEX(N$27:N$43,$F1268)</f>
        <v/>
      </c>
      <c r="O1268" s="36">
        <f>O$10*$D1268*INDEX(O$18:O$25,$E1268)*INDEX(O$27:O$43,$F1268)</f>
        <v/>
      </c>
      <c r="P1268" s="36">
        <f>P$10*$D1268*INDEX(P$18:P$25,$E1268)*INDEX(P$27:P$43,$F1268)</f>
        <v/>
      </c>
      <c r="Q1268" s="36">
        <f>Q$10*$D1268*INDEX(Q$18:Q$25,$E1268)*INDEX(Q$27:Q$43,$F1268)</f>
        <v/>
      </c>
      <c r="R1268" s="36">
        <f>R$10*$D1268*INDEX(R$18:R$25,$E1268)*INDEX(R$27:R$43,$F1268)</f>
        <v/>
      </c>
      <c r="S1268" s="36">
        <f>S$10*$D1268*INDEX(S$18:S$25,$E1268)*INDEX(S$27:S$43,$F1268)</f>
        <v/>
      </c>
      <c r="T1268" s="36">
        <f>T$10*$D1268*INDEX(T$18:T$25,$E1268)*INDEX(T$27:T$43,$F1268)</f>
        <v/>
      </c>
      <c r="U1268" s="36">
        <f>U$10*$D1268*INDEX(U$18:U$25,$E1268)*INDEX(U$27:U$43,$F1268)</f>
        <v/>
      </c>
      <c r="V1268" s="36">
        <f>V$10*$D1268*INDEX(V$18:V$25,$E1268)*INDEX(V$27:V$43,$F1268)</f>
        <v/>
      </c>
      <c r="W1268" s="36">
        <f>W$10*$D1268*INDEX(W$18:W$25,$E1268)*INDEX(W$27:W$43,$F1268)</f>
        <v/>
      </c>
      <c r="X1268" s="36">
        <f>X$10*$D1268*INDEX(X$18:X$25,$E1268)*INDEX(X$27:X$43,$F1268)</f>
        <v/>
      </c>
      <c r="Y1268" s="36">
        <f>Y$10*$D1268*INDEX(Y$18:Y$25,$E1268)*INDEX(Y$27:Y$43,$F1268)</f>
        <v/>
      </c>
      <c r="Z1268" s="23">
        <f>LOWER(Settings!$C$4)&amp;".mit."&amp;$A1268&amp;IF($C1268="","","."&amp;$C1268&amp;"."&amp;$B1268)&amp;IF(INDEX(Variables!$D$5:$D$65,MATCH($A1268,Variables!$A$5:$A$65,0))="","","."&amp;INDEX(Variables!$D$5:$D$65,MATCH($A1268,Variables!$A$5:$A$65,0)))&amp;"."&amp;Z$5</f>
        <v/>
      </c>
      <c r="AA1268" s="38">
        <f>AA$10*$D1268*INDEX(AA$18:AA$25,$E1268)*INDEX(AA$27:AA$43,$F1268)</f>
        <v/>
      </c>
      <c r="AB1268" s="36">
        <f>AB$10*$D1268*INDEX(AB$18:AB$25,$E1268)*INDEX(AB$27:AB$43,$F1268)</f>
        <v/>
      </c>
      <c r="AC1268" s="36">
        <f>AC$10*$D1268*INDEX(AC$18:AC$25,$E1268)*INDEX(AC$27:AC$43,$F1268)</f>
        <v/>
      </c>
      <c r="AD1268" s="36">
        <f>AD$10*$D1268*INDEX(AD$18:AD$25,$E1268)*INDEX(AD$27:AD$43,$F1268)</f>
        <v/>
      </c>
      <c r="AE1268" s="36">
        <f>AE$10*$D1268*INDEX(AE$18:AE$25,$E1268)*INDEX(AE$27:AE$43,$F1268)</f>
        <v/>
      </c>
      <c r="AF1268" s="36">
        <f>AF$10*$D1268*INDEX(AF$18:AF$25,$E1268)*INDEX(AF$27:AF$43,$F1268)</f>
        <v/>
      </c>
      <c r="AG1268" s="36">
        <f>AG$10*$D1268*INDEX(AG$18:AG$25,$E1268)*INDEX(AG$27:AG$43,$F1268)</f>
        <v/>
      </c>
      <c r="AH1268" s="36">
        <f>AH$10*$D1268*INDEX(AH$18:AH$25,$E1268)*INDEX(AH$27:AH$43,$F1268)</f>
        <v/>
      </c>
      <c r="AI1268" s="36">
        <f>AI$10*$D1268*INDEX(AI$18:AI$25,$E1268)*INDEX(AI$27:AI$43,$F1268)</f>
        <v/>
      </c>
      <c r="AJ1268" s="36">
        <f>AJ$10*$D1268*INDEX(AJ$18:AJ$25,$E1268)*INDEX(AJ$27:AJ$43,$F1268)</f>
        <v/>
      </c>
      <c r="AK1268" s="36">
        <f>AK$10*$D1268*INDEX(AK$18:AK$25,$E1268)*INDEX(AK$27:AK$43,$F1268)</f>
        <v/>
      </c>
      <c r="AL1268" s="36">
        <f>AL$10*$D1268*INDEX(AL$18:AL$25,$E1268)*INDEX(AL$27:AL$43,$F1268)</f>
        <v/>
      </c>
      <c r="AM1268" s="36">
        <f>AM$10*$D1268*INDEX(AM$18:AM$25,$E1268)*INDEX(AM$27:AM$43,$F1268)</f>
        <v/>
      </c>
      <c r="AN1268" s="36">
        <f>AN$10*$D1268*INDEX(AN$18:AN$25,$E1268)*INDEX(AN$27:AN$43,$F1268)</f>
        <v/>
      </c>
    </row>
    <row r="1269" hidden="1" outlineLevel="2">
      <c r="A1269" s="5" t="inlineStr">
        <is>
          <t>ctxnew</t>
        </is>
      </c>
      <c r="B1269" s="5" t="inlineStr">
        <is>
          <t>lpg</t>
        </is>
      </c>
      <c r="C1269" s="5" t="inlineStr">
        <is>
          <t>oen</t>
        </is>
      </c>
      <c r="D1269" s="36">
        <f>INDEX(Inputs!$U$5:$U$132,MATCH($B1269&amp;"|"&amp;$C1269,Inputs!$A$5:$A$132,0))</f>
        <v/>
      </c>
      <c r="E1269" s="36">
        <f>INDEX(Inputs!$J$5:$J$132,MATCH($B1269&amp;"|"&amp;$C1269,Inputs!$A$5:$A$132,0))</f>
        <v/>
      </c>
      <c r="F1269" s="36">
        <f>INDEX(Inputs!$K$5:$K$132,MATCH($B1269&amp;"|"&amp;$C1269,Inputs!$A$5:$A$132,0))</f>
        <v/>
      </c>
      <c r="G1269" s="37" t="n"/>
      <c r="H1269" s="5">
        <f>INDEX(Variables!$B$5:$B$65,MATCH($A1269,Variables!$A$5:$A$65,0))&amp;IF($C1269="",""," | "&amp;INDEX(Mapping!$B$5:$B$25,MATCH($C1269,Mapping!$A$5:$A$25,0))&amp;" | "&amp;INDEX(Mapping!$B$29:$B$38,MATCH($B1269,Mapping!$A$29:$A$38,0)))</f>
        <v/>
      </c>
      <c r="I1269" s="5">
        <f>INDEX(Variables!$C$5:$C$65,MATCH($A1269,Variables!$A$5:$A$65,0))</f>
        <v/>
      </c>
      <c r="J1269" s="5">
        <f>INDEX(Variables!$E$5:$E$65,MATCH($A1269,Variables!$A$5:$A$65,0))</f>
        <v/>
      </c>
      <c r="K1269" s="23">
        <f>LOWER(Settings!$C$4)&amp;".mit."&amp;$A1269&amp;IF($C1269="","","."&amp;$C1269&amp;"."&amp;$B1269)&amp;IF(INDEX(Variables!$D$5:$D$65,MATCH($A1269,Variables!$A$5:$A$65,0))="","","."&amp;INDEX(Variables!$D$5:$D$65,MATCH($A1269,Variables!$A$5:$A$65,0)))&amp;"."&amp;K$5</f>
        <v/>
      </c>
      <c r="L1269" s="38">
        <f>L$10*$D1269*INDEX(L$18:L$25,$E1269)*INDEX(L$27:L$43,$F1269)</f>
        <v/>
      </c>
      <c r="M1269" s="36">
        <f>M$10*$D1269*INDEX(M$18:M$25,$E1269)*INDEX(M$27:M$43,$F1269)</f>
        <v/>
      </c>
      <c r="N1269" s="36">
        <f>N$10*$D1269*INDEX(N$18:N$25,$E1269)*INDEX(N$27:N$43,$F1269)</f>
        <v/>
      </c>
      <c r="O1269" s="36">
        <f>O$10*$D1269*INDEX(O$18:O$25,$E1269)*INDEX(O$27:O$43,$F1269)</f>
        <v/>
      </c>
      <c r="P1269" s="36">
        <f>P$10*$D1269*INDEX(P$18:P$25,$E1269)*INDEX(P$27:P$43,$F1269)</f>
        <v/>
      </c>
      <c r="Q1269" s="36">
        <f>Q$10*$D1269*INDEX(Q$18:Q$25,$E1269)*INDEX(Q$27:Q$43,$F1269)</f>
        <v/>
      </c>
      <c r="R1269" s="36">
        <f>R$10*$D1269*INDEX(R$18:R$25,$E1269)*INDEX(R$27:R$43,$F1269)</f>
        <v/>
      </c>
      <c r="S1269" s="36">
        <f>S$10*$D1269*INDEX(S$18:S$25,$E1269)*INDEX(S$27:S$43,$F1269)</f>
        <v/>
      </c>
      <c r="T1269" s="36">
        <f>T$10*$D1269*INDEX(T$18:T$25,$E1269)*INDEX(T$27:T$43,$F1269)</f>
        <v/>
      </c>
      <c r="U1269" s="36">
        <f>U$10*$D1269*INDEX(U$18:U$25,$E1269)*INDEX(U$27:U$43,$F1269)</f>
        <v/>
      </c>
      <c r="V1269" s="36">
        <f>V$10*$D1269*INDEX(V$18:V$25,$E1269)*INDEX(V$27:V$43,$F1269)</f>
        <v/>
      </c>
      <c r="W1269" s="36">
        <f>W$10*$D1269*INDEX(W$18:W$25,$E1269)*INDEX(W$27:W$43,$F1269)</f>
        <v/>
      </c>
      <c r="X1269" s="36">
        <f>X$10*$D1269*INDEX(X$18:X$25,$E1269)*INDEX(X$27:X$43,$F1269)</f>
        <v/>
      </c>
      <c r="Y1269" s="36">
        <f>Y$10*$D1269*INDEX(Y$18:Y$25,$E1269)*INDEX(Y$27:Y$43,$F1269)</f>
        <v/>
      </c>
      <c r="Z1269" s="23">
        <f>LOWER(Settings!$C$4)&amp;".mit."&amp;$A1269&amp;IF($C1269="","","."&amp;$C1269&amp;"."&amp;$B1269)&amp;IF(INDEX(Variables!$D$5:$D$65,MATCH($A1269,Variables!$A$5:$A$65,0))="","","."&amp;INDEX(Variables!$D$5:$D$65,MATCH($A1269,Variables!$A$5:$A$65,0)))&amp;"."&amp;Z$5</f>
        <v/>
      </c>
      <c r="AA1269" s="38">
        <f>AA$10*$D1269*INDEX(AA$18:AA$25,$E1269)*INDEX(AA$27:AA$43,$F1269)</f>
        <v/>
      </c>
      <c r="AB1269" s="36">
        <f>AB$10*$D1269*INDEX(AB$18:AB$25,$E1269)*INDEX(AB$27:AB$43,$F1269)</f>
        <v/>
      </c>
      <c r="AC1269" s="36">
        <f>AC$10*$D1269*INDEX(AC$18:AC$25,$E1269)*INDEX(AC$27:AC$43,$F1269)</f>
        <v/>
      </c>
      <c r="AD1269" s="36">
        <f>AD$10*$D1269*INDEX(AD$18:AD$25,$E1269)*INDEX(AD$27:AD$43,$F1269)</f>
        <v/>
      </c>
      <c r="AE1269" s="36">
        <f>AE$10*$D1269*INDEX(AE$18:AE$25,$E1269)*INDEX(AE$27:AE$43,$F1269)</f>
        <v/>
      </c>
      <c r="AF1269" s="36">
        <f>AF$10*$D1269*INDEX(AF$18:AF$25,$E1269)*INDEX(AF$27:AF$43,$F1269)</f>
        <v/>
      </c>
      <c r="AG1269" s="36">
        <f>AG$10*$D1269*INDEX(AG$18:AG$25,$E1269)*INDEX(AG$27:AG$43,$F1269)</f>
        <v/>
      </c>
      <c r="AH1269" s="36">
        <f>AH$10*$D1269*INDEX(AH$18:AH$25,$E1269)*INDEX(AH$27:AH$43,$F1269)</f>
        <v/>
      </c>
      <c r="AI1269" s="36">
        <f>AI$10*$D1269*INDEX(AI$18:AI$25,$E1269)*INDEX(AI$27:AI$43,$F1269)</f>
        <v/>
      </c>
      <c r="AJ1269" s="36">
        <f>AJ$10*$D1269*INDEX(AJ$18:AJ$25,$E1269)*INDEX(AJ$27:AJ$43,$F1269)</f>
        <v/>
      </c>
      <c r="AK1269" s="36">
        <f>AK$10*$D1269*INDEX(AK$18:AK$25,$E1269)*INDEX(AK$27:AK$43,$F1269)</f>
        <v/>
      </c>
      <c r="AL1269" s="36">
        <f>AL$10*$D1269*INDEX(AL$18:AL$25,$E1269)*INDEX(AL$27:AL$43,$F1269)</f>
        <v/>
      </c>
      <c r="AM1269" s="36">
        <f>AM$10*$D1269*INDEX(AM$18:AM$25,$E1269)*INDEX(AM$27:AM$43,$F1269)</f>
        <v/>
      </c>
      <c r="AN1269" s="36">
        <f>AN$10*$D1269*INDEX(AN$18:AN$25,$E1269)*INDEX(AN$27:AN$43,$F1269)</f>
        <v/>
      </c>
    </row>
    <row r="1270" hidden="1" outlineLevel="2">
      <c r="A1270" s="5" t="inlineStr">
        <is>
          <t>ctxnew</t>
        </is>
      </c>
      <c r="B1270" s="5" t="inlineStr">
        <is>
          <t>ker</t>
        </is>
      </c>
      <c r="C1270" s="5" t="inlineStr">
        <is>
          <t>oen</t>
        </is>
      </c>
      <c r="D1270" s="36">
        <f>INDEX(Inputs!$U$5:$U$132,MATCH($B1270&amp;"|"&amp;$C1270,Inputs!$A$5:$A$132,0))</f>
        <v/>
      </c>
      <c r="E1270" s="36">
        <f>INDEX(Inputs!$J$5:$J$132,MATCH($B1270&amp;"|"&amp;$C1270,Inputs!$A$5:$A$132,0))</f>
        <v/>
      </c>
      <c r="F1270" s="36">
        <f>INDEX(Inputs!$K$5:$K$132,MATCH($B1270&amp;"|"&amp;$C1270,Inputs!$A$5:$A$132,0))</f>
        <v/>
      </c>
      <c r="G1270" s="37" t="n"/>
      <c r="H1270" s="5">
        <f>INDEX(Variables!$B$5:$B$65,MATCH($A1270,Variables!$A$5:$A$65,0))&amp;IF($C1270="",""," | "&amp;INDEX(Mapping!$B$5:$B$25,MATCH($C1270,Mapping!$A$5:$A$25,0))&amp;" | "&amp;INDEX(Mapping!$B$29:$B$38,MATCH($B1270,Mapping!$A$29:$A$38,0)))</f>
        <v/>
      </c>
      <c r="I1270" s="5">
        <f>INDEX(Variables!$C$5:$C$65,MATCH($A1270,Variables!$A$5:$A$65,0))</f>
        <v/>
      </c>
      <c r="J1270" s="5">
        <f>INDEX(Variables!$E$5:$E$65,MATCH($A1270,Variables!$A$5:$A$65,0))</f>
        <v/>
      </c>
      <c r="K1270" s="23">
        <f>LOWER(Settings!$C$4)&amp;".mit."&amp;$A1270&amp;IF($C1270="","","."&amp;$C1270&amp;"."&amp;$B1270)&amp;IF(INDEX(Variables!$D$5:$D$65,MATCH($A1270,Variables!$A$5:$A$65,0))="","","."&amp;INDEX(Variables!$D$5:$D$65,MATCH($A1270,Variables!$A$5:$A$65,0)))&amp;"."&amp;K$5</f>
        <v/>
      </c>
      <c r="L1270" s="38">
        <f>L$10*$D1270*INDEX(L$18:L$25,$E1270)*INDEX(L$27:L$43,$F1270)</f>
        <v/>
      </c>
      <c r="M1270" s="36">
        <f>M$10*$D1270*INDEX(M$18:M$25,$E1270)*INDEX(M$27:M$43,$F1270)</f>
        <v/>
      </c>
      <c r="N1270" s="36">
        <f>N$10*$D1270*INDEX(N$18:N$25,$E1270)*INDEX(N$27:N$43,$F1270)</f>
        <v/>
      </c>
      <c r="O1270" s="36">
        <f>O$10*$D1270*INDEX(O$18:O$25,$E1270)*INDEX(O$27:O$43,$F1270)</f>
        <v/>
      </c>
      <c r="P1270" s="36">
        <f>P$10*$D1270*INDEX(P$18:P$25,$E1270)*INDEX(P$27:P$43,$F1270)</f>
        <v/>
      </c>
      <c r="Q1270" s="36">
        <f>Q$10*$D1270*INDEX(Q$18:Q$25,$E1270)*INDEX(Q$27:Q$43,$F1270)</f>
        <v/>
      </c>
      <c r="R1270" s="36">
        <f>R$10*$D1270*INDEX(R$18:R$25,$E1270)*INDEX(R$27:R$43,$F1270)</f>
        <v/>
      </c>
      <c r="S1270" s="36">
        <f>S$10*$D1270*INDEX(S$18:S$25,$E1270)*INDEX(S$27:S$43,$F1270)</f>
        <v/>
      </c>
      <c r="T1270" s="36">
        <f>T$10*$D1270*INDEX(T$18:T$25,$E1270)*INDEX(T$27:T$43,$F1270)</f>
        <v/>
      </c>
      <c r="U1270" s="36">
        <f>U$10*$D1270*INDEX(U$18:U$25,$E1270)*INDEX(U$27:U$43,$F1270)</f>
        <v/>
      </c>
      <c r="V1270" s="36">
        <f>V$10*$D1270*INDEX(V$18:V$25,$E1270)*INDEX(V$27:V$43,$F1270)</f>
        <v/>
      </c>
      <c r="W1270" s="36">
        <f>W$10*$D1270*INDEX(W$18:W$25,$E1270)*INDEX(W$27:W$43,$F1270)</f>
        <v/>
      </c>
      <c r="X1270" s="36">
        <f>X$10*$D1270*INDEX(X$18:X$25,$E1270)*INDEX(X$27:X$43,$F1270)</f>
        <v/>
      </c>
      <c r="Y1270" s="36">
        <f>Y$10*$D1270*INDEX(Y$18:Y$25,$E1270)*INDEX(Y$27:Y$43,$F1270)</f>
        <v/>
      </c>
      <c r="Z1270" s="23">
        <f>LOWER(Settings!$C$4)&amp;".mit."&amp;$A1270&amp;IF($C1270="","","."&amp;$C1270&amp;"."&amp;$B1270)&amp;IF(INDEX(Variables!$D$5:$D$65,MATCH($A1270,Variables!$A$5:$A$65,0))="","","."&amp;INDEX(Variables!$D$5:$D$65,MATCH($A1270,Variables!$A$5:$A$65,0)))&amp;"."&amp;Z$5</f>
        <v/>
      </c>
      <c r="AA1270" s="38">
        <f>AA$10*$D1270*INDEX(AA$18:AA$25,$E1270)*INDEX(AA$27:AA$43,$F1270)</f>
        <v/>
      </c>
      <c r="AB1270" s="36">
        <f>AB$10*$D1270*INDEX(AB$18:AB$25,$E1270)*INDEX(AB$27:AB$43,$F1270)</f>
        <v/>
      </c>
      <c r="AC1270" s="36">
        <f>AC$10*$D1270*INDEX(AC$18:AC$25,$E1270)*INDEX(AC$27:AC$43,$F1270)</f>
        <v/>
      </c>
      <c r="AD1270" s="36">
        <f>AD$10*$D1270*INDEX(AD$18:AD$25,$E1270)*INDEX(AD$27:AD$43,$F1270)</f>
        <v/>
      </c>
      <c r="AE1270" s="36">
        <f>AE$10*$D1270*INDEX(AE$18:AE$25,$E1270)*INDEX(AE$27:AE$43,$F1270)</f>
        <v/>
      </c>
      <c r="AF1270" s="36">
        <f>AF$10*$D1270*INDEX(AF$18:AF$25,$E1270)*INDEX(AF$27:AF$43,$F1270)</f>
        <v/>
      </c>
      <c r="AG1270" s="36">
        <f>AG$10*$D1270*INDEX(AG$18:AG$25,$E1270)*INDEX(AG$27:AG$43,$F1270)</f>
        <v/>
      </c>
      <c r="AH1270" s="36">
        <f>AH$10*$D1270*INDEX(AH$18:AH$25,$E1270)*INDEX(AH$27:AH$43,$F1270)</f>
        <v/>
      </c>
      <c r="AI1270" s="36">
        <f>AI$10*$D1270*INDEX(AI$18:AI$25,$E1270)*INDEX(AI$27:AI$43,$F1270)</f>
        <v/>
      </c>
      <c r="AJ1270" s="36">
        <f>AJ$10*$D1270*INDEX(AJ$18:AJ$25,$E1270)*INDEX(AJ$27:AJ$43,$F1270)</f>
        <v/>
      </c>
      <c r="AK1270" s="36">
        <f>AK$10*$D1270*INDEX(AK$18:AK$25,$E1270)*INDEX(AK$27:AK$43,$F1270)</f>
        <v/>
      </c>
      <c r="AL1270" s="36">
        <f>AL$10*$D1270*INDEX(AL$18:AL$25,$E1270)*INDEX(AL$27:AL$43,$F1270)</f>
        <v/>
      </c>
      <c r="AM1270" s="36">
        <f>AM$10*$D1270*INDEX(AM$18:AM$25,$E1270)*INDEX(AM$27:AM$43,$F1270)</f>
        <v/>
      </c>
      <c r="AN1270" s="36">
        <f>AN$10*$D1270*INDEX(AN$18:AN$25,$E1270)*INDEX(AN$27:AN$43,$F1270)</f>
        <v/>
      </c>
    </row>
    <row r="1271" hidden="1" outlineLevel="2">
      <c r="A1271" s="5" t="inlineStr">
        <is>
          <t>ctxnew</t>
        </is>
      </c>
      <c r="B1271" s="5" t="inlineStr">
        <is>
          <t>oop</t>
        </is>
      </c>
      <c r="C1271" s="5" t="inlineStr">
        <is>
          <t>oen</t>
        </is>
      </c>
      <c r="D1271" s="36">
        <f>INDEX(Inputs!$U$5:$U$132,MATCH($B1271&amp;"|"&amp;$C1271,Inputs!$A$5:$A$132,0))</f>
        <v/>
      </c>
      <c r="E1271" s="36">
        <f>INDEX(Inputs!$J$5:$J$132,MATCH($B1271&amp;"|"&amp;$C1271,Inputs!$A$5:$A$132,0))</f>
        <v/>
      </c>
      <c r="F1271" s="36">
        <f>INDEX(Inputs!$K$5:$K$132,MATCH($B1271&amp;"|"&amp;$C1271,Inputs!$A$5:$A$132,0))</f>
        <v/>
      </c>
      <c r="G1271" s="37" t="n"/>
      <c r="H1271" s="5">
        <f>INDEX(Variables!$B$5:$B$65,MATCH($A1271,Variables!$A$5:$A$65,0))&amp;IF($C1271="",""," | "&amp;INDEX(Mapping!$B$5:$B$25,MATCH($C1271,Mapping!$A$5:$A$25,0))&amp;" | "&amp;INDEX(Mapping!$B$29:$B$38,MATCH($B1271,Mapping!$A$29:$A$38,0)))</f>
        <v/>
      </c>
      <c r="I1271" s="5">
        <f>INDEX(Variables!$C$5:$C$65,MATCH($A1271,Variables!$A$5:$A$65,0))</f>
        <v/>
      </c>
      <c r="J1271" s="5">
        <f>INDEX(Variables!$E$5:$E$65,MATCH($A1271,Variables!$A$5:$A$65,0))</f>
        <v/>
      </c>
      <c r="K1271" s="23">
        <f>LOWER(Settings!$C$4)&amp;".mit."&amp;$A1271&amp;IF($C1271="","","."&amp;$C1271&amp;"."&amp;$B1271)&amp;IF(INDEX(Variables!$D$5:$D$65,MATCH($A1271,Variables!$A$5:$A$65,0))="","","."&amp;INDEX(Variables!$D$5:$D$65,MATCH($A1271,Variables!$A$5:$A$65,0)))&amp;"."&amp;K$5</f>
        <v/>
      </c>
      <c r="L1271" s="38">
        <f>L$10*$D1271*INDEX(L$18:L$25,$E1271)*INDEX(L$27:L$43,$F1271)</f>
        <v/>
      </c>
      <c r="M1271" s="36">
        <f>M$10*$D1271*INDEX(M$18:M$25,$E1271)*INDEX(M$27:M$43,$F1271)</f>
        <v/>
      </c>
      <c r="N1271" s="36">
        <f>N$10*$D1271*INDEX(N$18:N$25,$E1271)*INDEX(N$27:N$43,$F1271)</f>
        <v/>
      </c>
      <c r="O1271" s="36">
        <f>O$10*$D1271*INDEX(O$18:O$25,$E1271)*INDEX(O$27:O$43,$F1271)</f>
        <v/>
      </c>
      <c r="P1271" s="36">
        <f>P$10*$D1271*INDEX(P$18:P$25,$E1271)*INDEX(P$27:P$43,$F1271)</f>
        <v/>
      </c>
      <c r="Q1271" s="36">
        <f>Q$10*$D1271*INDEX(Q$18:Q$25,$E1271)*INDEX(Q$27:Q$43,$F1271)</f>
        <v/>
      </c>
      <c r="R1271" s="36">
        <f>R$10*$D1271*INDEX(R$18:R$25,$E1271)*INDEX(R$27:R$43,$F1271)</f>
        <v/>
      </c>
      <c r="S1271" s="36">
        <f>S$10*$D1271*INDEX(S$18:S$25,$E1271)*INDEX(S$27:S$43,$F1271)</f>
        <v/>
      </c>
      <c r="T1271" s="36">
        <f>T$10*$D1271*INDEX(T$18:T$25,$E1271)*INDEX(T$27:T$43,$F1271)</f>
        <v/>
      </c>
      <c r="U1271" s="36">
        <f>U$10*$D1271*INDEX(U$18:U$25,$E1271)*INDEX(U$27:U$43,$F1271)</f>
        <v/>
      </c>
      <c r="V1271" s="36">
        <f>V$10*$D1271*INDEX(V$18:V$25,$E1271)*INDEX(V$27:V$43,$F1271)</f>
        <v/>
      </c>
      <c r="W1271" s="36">
        <f>W$10*$D1271*INDEX(W$18:W$25,$E1271)*INDEX(W$27:W$43,$F1271)</f>
        <v/>
      </c>
      <c r="X1271" s="36">
        <f>X$10*$D1271*INDEX(X$18:X$25,$E1271)*INDEX(X$27:X$43,$F1271)</f>
        <v/>
      </c>
      <c r="Y1271" s="36">
        <f>Y$10*$D1271*INDEX(Y$18:Y$25,$E1271)*INDEX(Y$27:Y$43,$F1271)</f>
        <v/>
      </c>
      <c r="Z1271" s="23">
        <f>LOWER(Settings!$C$4)&amp;".mit."&amp;$A1271&amp;IF($C1271="","","."&amp;$C1271&amp;"."&amp;$B1271)&amp;IF(INDEX(Variables!$D$5:$D$65,MATCH($A1271,Variables!$A$5:$A$65,0))="","","."&amp;INDEX(Variables!$D$5:$D$65,MATCH($A1271,Variables!$A$5:$A$65,0)))&amp;"."&amp;Z$5</f>
        <v/>
      </c>
      <c r="AA1271" s="38">
        <f>AA$10*$D1271*INDEX(AA$18:AA$25,$E1271)*INDEX(AA$27:AA$43,$F1271)</f>
        <v/>
      </c>
      <c r="AB1271" s="36">
        <f>AB$10*$D1271*INDEX(AB$18:AB$25,$E1271)*INDEX(AB$27:AB$43,$F1271)</f>
        <v/>
      </c>
      <c r="AC1271" s="36">
        <f>AC$10*$D1271*INDEX(AC$18:AC$25,$E1271)*INDEX(AC$27:AC$43,$F1271)</f>
        <v/>
      </c>
      <c r="AD1271" s="36">
        <f>AD$10*$D1271*INDEX(AD$18:AD$25,$E1271)*INDEX(AD$27:AD$43,$F1271)</f>
        <v/>
      </c>
      <c r="AE1271" s="36">
        <f>AE$10*$D1271*INDEX(AE$18:AE$25,$E1271)*INDEX(AE$27:AE$43,$F1271)</f>
        <v/>
      </c>
      <c r="AF1271" s="36">
        <f>AF$10*$D1271*INDEX(AF$18:AF$25,$E1271)*INDEX(AF$27:AF$43,$F1271)</f>
        <v/>
      </c>
      <c r="AG1271" s="36">
        <f>AG$10*$D1271*INDEX(AG$18:AG$25,$E1271)*INDEX(AG$27:AG$43,$F1271)</f>
        <v/>
      </c>
      <c r="AH1271" s="36">
        <f>AH$10*$D1271*INDEX(AH$18:AH$25,$E1271)*INDEX(AH$27:AH$43,$F1271)</f>
        <v/>
      </c>
      <c r="AI1271" s="36">
        <f>AI$10*$D1271*INDEX(AI$18:AI$25,$E1271)*INDEX(AI$27:AI$43,$F1271)</f>
        <v/>
      </c>
      <c r="AJ1271" s="36">
        <f>AJ$10*$D1271*INDEX(AJ$18:AJ$25,$E1271)*INDEX(AJ$27:AJ$43,$F1271)</f>
        <v/>
      </c>
      <c r="AK1271" s="36">
        <f>AK$10*$D1271*INDEX(AK$18:AK$25,$E1271)*INDEX(AK$27:AK$43,$F1271)</f>
        <v/>
      </c>
      <c r="AL1271" s="36">
        <f>AL$10*$D1271*INDEX(AL$18:AL$25,$E1271)*INDEX(AL$27:AL$43,$F1271)</f>
        <v/>
      </c>
      <c r="AM1271" s="36">
        <f>AM$10*$D1271*INDEX(AM$18:AM$25,$E1271)*INDEX(AM$27:AM$43,$F1271)</f>
        <v/>
      </c>
      <c r="AN1271" s="36">
        <f>AN$10*$D1271*INDEX(AN$18:AN$25,$E1271)*INDEX(AN$27:AN$43,$F1271)</f>
        <v/>
      </c>
    </row>
    <row r="1272" hidden="1" outlineLevel="2">
      <c r="A1272" s="5" t="inlineStr">
        <is>
          <t>ctxnew</t>
        </is>
      </c>
      <c r="B1272" s="5" t="inlineStr">
        <is>
          <t>bio</t>
        </is>
      </c>
      <c r="C1272" s="5" t="inlineStr">
        <is>
          <t>oen</t>
        </is>
      </c>
      <c r="D1272" s="36">
        <f>INDEX(Inputs!$U$5:$U$132,MATCH($B1272&amp;"|"&amp;$C1272,Inputs!$A$5:$A$132,0))</f>
        <v/>
      </c>
      <c r="E1272" s="36">
        <f>INDEX(Inputs!$J$5:$J$132,MATCH($B1272&amp;"|"&amp;$C1272,Inputs!$A$5:$A$132,0))</f>
        <v/>
      </c>
      <c r="F1272" s="36">
        <f>INDEX(Inputs!$K$5:$K$132,MATCH($B1272&amp;"|"&amp;$C1272,Inputs!$A$5:$A$132,0))</f>
        <v/>
      </c>
      <c r="G1272" s="37" t="n"/>
      <c r="H1272" s="5">
        <f>INDEX(Variables!$B$5:$B$65,MATCH($A1272,Variables!$A$5:$A$65,0))&amp;IF($C1272="",""," | "&amp;INDEX(Mapping!$B$5:$B$25,MATCH($C1272,Mapping!$A$5:$A$25,0))&amp;" | "&amp;INDEX(Mapping!$B$29:$B$38,MATCH($B1272,Mapping!$A$29:$A$38,0)))</f>
        <v/>
      </c>
      <c r="I1272" s="5">
        <f>INDEX(Variables!$C$5:$C$65,MATCH($A1272,Variables!$A$5:$A$65,0))</f>
        <v/>
      </c>
      <c r="J1272" s="5">
        <f>INDEX(Variables!$E$5:$E$65,MATCH($A1272,Variables!$A$5:$A$65,0))</f>
        <v/>
      </c>
      <c r="K1272" s="23">
        <f>LOWER(Settings!$C$4)&amp;".mit."&amp;$A1272&amp;IF($C1272="","","."&amp;$C1272&amp;"."&amp;$B1272)&amp;IF(INDEX(Variables!$D$5:$D$65,MATCH($A1272,Variables!$A$5:$A$65,0))="","","."&amp;INDEX(Variables!$D$5:$D$65,MATCH($A1272,Variables!$A$5:$A$65,0)))&amp;"."&amp;K$5</f>
        <v/>
      </c>
      <c r="L1272" s="38">
        <f>L$10*$D1272*INDEX(L$18:L$25,$E1272)*INDEX(L$27:L$43,$F1272)</f>
        <v/>
      </c>
      <c r="M1272" s="36">
        <f>M$10*$D1272*INDEX(M$18:M$25,$E1272)*INDEX(M$27:M$43,$F1272)</f>
        <v/>
      </c>
      <c r="N1272" s="36">
        <f>N$10*$D1272*INDEX(N$18:N$25,$E1272)*INDEX(N$27:N$43,$F1272)</f>
        <v/>
      </c>
      <c r="O1272" s="36">
        <f>O$10*$D1272*INDEX(O$18:O$25,$E1272)*INDEX(O$27:O$43,$F1272)</f>
        <v/>
      </c>
      <c r="P1272" s="36">
        <f>P$10*$D1272*INDEX(P$18:P$25,$E1272)*INDEX(P$27:P$43,$F1272)</f>
        <v/>
      </c>
      <c r="Q1272" s="36">
        <f>Q$10*$D1272*INDEX(Q$18:Q$25,$E1272)*INDEX(Q$27:Q$43,$F1272)</f>
        <v/>
      </c>
      <c r="R1272" s="36">
        <f>R$10*$D1272*INDEX(R$18:R$25,$E1272)*INDEX(R$27:R$43,$F1272)</f>
        <v/>
      </c>
      <c r="S1272" s="36">
        <f>S$10*$D1272*INDEX(S$18:S$25,$E1272)*INDEX(S$27:S$43,$F1272)</f>
        <v/>
      </c>
      <c r="T1272" s="36">
        <f>T$10*$D1272*INDEX(T$18:T$25,$E1272)*INDEX(T$27:T$43,$F1272)</f>
        <v/>
      </c>
      <c r="U1272" s="36">
        <f>U$10*$D1272*INDEX(U$18:U$25,$E1272)*INDEX(U$27:U$43,$F1272)</f>
        <v/>
      </c>
      <c r="V1272" s="36">
        <f>V$10*$D1272*INDEX(V$18:V$25,$E1272)*INDEX(V$27:V$43,$F1272)</f>
        <v/>
      </c>
      <c r="W1272" s="36">
        <f>W$10*$D1272*INDEX(W$18:W$25,$E1272)*INDEX(W$27:W$43,$F1272)</f>
        <v/>
      </c>
      <c r="X1272" s="36">
        <f>X$10*$D1272*INDEX(X$18:X$25,$E1272)*INDEX(X$27:X$43,$F1272)</f>
        <v/>
      </c>
      <c r="Y1272" s="36">
        <f>Y$10*$D1272*INDEX(Y$18:Y$25,$E1272)*INDEX(Y$27:Y$43,$F1272)</f>
        <v/>
      </c>
      <c r="Z1272" s="23">
        <f>LOWER(Settings!$C$4)&amp;".mit."&amp;$A1272&amp;IF($C1272="","","."&amp;$C1272&amp;"."&amp;$B1272)&amp;IF(INDEX(Variables!$D$5:$D$65,MATCH($A1272,Variables!$A$5:$A$65,0))="","","."&amp;INDEX(Variables!$D$5:$D$65,MATCH($A1272,Variables!$A$5:$A$65,0)))&amp;"."&amp;Z$5</f>
        <v/>
      </c>
      <c r="AA1272" s="38">
        <f>AA$10*$D1272*INDEX(AA$18:AA$25,$E1272)*INDEX(AA$27:AA$43,$F1272)</f>
        <v/>
      </c>
      <c r="AB1272" s="36">
        <f>AB$10*$D1272*INDEX(AB$18:AB$25,$E1272)*INDEX(AB$27:AB$43,$F1272)</f>
        <v/>
      </c>
      <c r="AC1272" s="36">
        <f>AC$10*$D1272*INDEX(AC$18:AC$25,$E1272)*INDEX(AC$27:AC$43,$F1272)</f>
        <v/>
      </c>
      <c r="AD1272" s="36">
        <f>AD$10*$D1272*INDEX(AD$18:AD$25,$E1272)*INDEX(AD$27:AD$43,$F1272)</f>
        <v/>
      </c>
      <c r="AE1272" s="36">
        <f>AE$10*$D1272*INDEX(AE$18:AE$25,$E1272)*INDEX(AE$27:AE$43,$F1272)</f>
        <v/>
      </c>
      <c r="AF1272" s="36">
        <f>AF$10*$D1272*INDEX(AF$18:AF$25,$E1272)*INDEX(AF$27:AF$43,$F1272)</f>
        <v/>
      </c>
      <c r="AG1272" s="36">
        <f>AG$10*$D1272*INDEX(AG$18:AG$25,$E1272)*INDEX(AG$27:AG$43,$F1272)</f>
        <v/>
      </c>
      <c r="AH1272" s="36">
        <f>AH$10*$D1272*INDEX(AH$18:AH$25,$E1272)*INDEX(AH$27:AH$43,$F1272)</f>
        <v/>
      </c>
      <c r="AI1272" s="36">
        <f>AI$10*$D1272*INDEX(AI$18:AI$25,$E1272)*INDEX(AI$27:AI$43,$F1272)</f>
        <v/>
      </c>
      <c r="AJ1272" s="36">
        <f>AJ$10*$D1272*INDEX(AJ$18:AJ$25,$E1272)*INDEX(AJ$27:AJ$43,$F1272)</f>
        <v/>
      </c>
      <c r="AK1272" s="36">
        <f>AK$10*$D1272*INDEX(AK$18:AK$25,$E1272)*INDEX(AK$27:AK$43,$F1272)</f>
        <v/>
      </c>
      <c r="AL1272" s="36">
        <f>AL$10*$D1272*INDEX(AL$18:AL$25,$E1272)*INDEX(AL$27:AL$43,$F1272)</f>
        <v/>
      </c>
      <c r="AM1272" s="36">
        <f>AM$10*$D1272*INDEX(AM$18:AM$25,$E1272)*INDEX(AM$27:AM$43,$F1272)</f>
        <v/>
      </c>
      <c r="AN1272" s="36">
        <f>AN$10*$D1272*INDEX(AN$18:AN$25,$E1272)*INDEX(AN$27:AN$43,$F1272)</f>
        <v/>
      </c>
    </row>
    <row r="1273" hidden="1" outlineLevel="2"/>
    <row r="1274" hidden="1" outlineLevel="2">
      <c r="A1274" s="5" t="inlineStr">
        <is>
          <t>ntx</t>
        </is>
      </c>
      <c r="B1274" s="5" t="inlineStr">
        <is>
          <t>coa</t>
        </is>
      </c>
      <c r="C1274" s="5" t="inlineStr">
        <is>
          <t>oen</t>
        </is>
      </c>
      <c r="D1274" s="36">
        <f>INDEX(Inputs!$L$5:$L$132,MATCH($B1274&amp;"|"&amp;$C1274,Inputs!$A$5:$A$132,0))</f>
        <v/>
      </c>
      <c r="E1274" s="36">
        <f>INDEX(Inputs!$I$5:$I$132,MATCH($B1274&amp;"|"&amp;$C1274,Inputs!$A$5:$A$132,0))</f>
        <v/>
      </c>
      <c r="F1274" s="37" t="n"/>
      <c r="G1274" s="37" t="n"/>
      <c r="H1274" s="5">
        <f>INDEX(Variables!$B$5:$B$65,MATCH($A1274,Variables!$A$5:$A$65,0))&amp;IF($C1274="",""," | "&amp;INDEX(Mapping!$B$5:$B$25,MATCH($C1274,Mapping!$A$5:$A$25,0))&amp;" | "&amp;INDEX(Mapping!$B$29:$B$38,MATCH($B1274,Mapping!$A$29:$A$38,0)))</f>
        <v/>
      </c>
      <c r="I1274" s="5">
        <f>INDEX(Variables!$C$5:$C$65,MATCH($A1274,Variables!$A$5:$A$65,0))</f>
        <v/>
      </c>
      <c r="J1274" s="5">
        <f>INDEX(Variables!$E$5:$E$65,MATCH($A1274,Variables!$A$5:$A$65,0))</f>
        <v/>
      </c>
      <c r="K1274" s="23">
        <f>LOWER(Settings!$C$4)&amp;".mit."&amp;$A1274&amp;IF($C1274="","","."&amp;$C1274&amp;"."&amp;$B1274)&amp;IF(INDEX(Variables!$D$5:$D$65,MATCH($A1274,Variables!$A$5:$A$65,0))="","","."&amp;INDEX(Variables!$D$5:$D$65,MATCH($A1274,Variables!$A$5:$A$65,0)))&amp;"."&amp;K$5</f>
        <v/>
      </c>
      <c r="L1274" s="38">
        <f>INDEX(L$75:L$88,$D1274)/$E1274</f>
        <v/>
      </c>
      <c r="M1274" s="36">
        <f>INDEX(M$75:M$88,$D1274)/$E1274</f>
        <v/>
      </c>
      <c r="N1274" s="36">
        <f>INDEX(N$75:N$88,$D1274)/$E1274</f>
        <v/>
      </c>
      <c r="O1274" s="36">
        <f>INDEX(O$75:O$88,$D1274)/$E1274</f>
        <v/>
      </c>
      <c r="P1274" s="36">
        <f>INDEX(P$75:P$88,$D1274)/$E1274</f>
        <v/>
      </c>
      <c r="Q1274" s="36">
        <f>INDEX(Q$75:Q$88,$D1274)/$E1274</f>
        <v/>
      </c>
      <c r="R1274" s="36">
        <f>INDEX(R$75:R$88,$D1274)/$E1274</f>
        <v/>
      </c>
      <c r="S1274" s="36">
        <f>INDEX(S$75:S$88,$D1274)/$E1274</f>
        <v/>
      </c>
      <c r="T1274" s="36">
        <f>INDEX(T$75:T$88,$D1274)/$E1274</f>
        <v/>
      </c>
      <c r="U1274" s="36">
        <f>INDEX(U$75:U$88,$D1274)/$E1274</f>
        <v/>
      </c>
      <c r="V1274" s="36">
        <f>INDEX(V$75:V$88,$D1274)/$E1274</f>
        <v/>
      </c>
      <c r="W1274" s="36">
        <f>INDEX(W$75:W$88,$D1274)/$E1274</f>
        <v/>
      </c>
      <c r="X1274" s="36">
        <f>INDEX(X$75:X$88,$D1274)/$E1274</f>
        <v/>
      </c>
      <c r="Y1274" s="36">
        <f>INDEX(Y$75:Y$88,$D1274)/$E1274</f>
        <v/>
      </c>
      <c r="Z1274" s="23">
        <f>LOWER(Settings!$C$4)&amp;".mit."&amp;$A1274&amp;IF($C1274="","","."&amp;$C1274&amp;"."&amp;$B1274)&amp;IF(INDEX(Variables!$D$5:$D$65,MATCH($A1274,Variables!$A$5:$A$65,0))="","","."&amp;INDEX(Variables!$D$5:$D$65,MATCH($A1274,Variables!$A$5:$A$65,0)))&amp;"."&amp;Z$5</f>
        <v/>
      </c>
      <c r="AA1274" s="38">
        <f>INDEX(AA$75:AA$88,$D1274)/$E1274</f>
        <v/>
      </c>
      <c r="AB1274" s="36">
        <f>INDEX(AB$75:AB$88,$D1274)/$E1274</f>
        <v/>
      </c>
      <c r="AC1274" s="36">
        <f>INDEX(AC$75:AC$88,$D1274)/$E1274</f>
        <v/>
      </c>
      <c r="AD1274" s="36">
        <f>INDEX(AD$75:AD$88,$D1274)/$E1274</f>
        <v/>
      </c>
      <c r="AE1274" s="36">
        <f>INDEX(AE$75:AE$88,$D1274)/$E1274</f>
        <v/>
      </c>
      <c r="AF1274" s="36">
        <f>INDEX(AF$75:AF$88,$D1274)/$E1274</f>
        <v/>
      </c>
      <c r="AG1274" s="36">
        <f>INDEX(AG$75:AG$88,$D1274)/$E1274</f>
        <v/>
      </c>
      <c r="AH1274" s="36">
        <f>INDEX(AH$75:AH$88,$D1274)/$E1274</f>
        <v/>
      </c>
      <c r="AI1274" s="36">
        <f>INDEX(AI$75:AI$88,$D1274)/$E1274</f>
        <v/>
      </c>
      <c r="AJ1274" s="36">
        <f>INDEX(AJ$75:AJ$88,$D1274)/$E1274</f>
        <v/>
      </c>
      <c r="AK1274" s="36">
        <f>INDEX(AK$75:AK$88,$D1274)/$E1274</f>
        <v/>
      </c>
      <c r="AL1274" s="36">
        <f>INDEX(AL$75:AL$88,$D1274)/$E1274</f>
        <v/>
      </c>
      <c r="AM1274" s="36">
        <f>INDEX(AM$75:AM$88,$D1274)/$E1274</f>
        <v/>
      </c>
      <c r="AN1274" s="36">
        <f>INDEX(AN$75:AN$88,$D1274)/$E1274</f>
        <v/>
      </c>
    </row>
    <row r="1275" hidden="1" outlineLevel="2">
      <c r="A1275" s="5" t="inlineStr">
        <is>
          <t>ntx</t>
        </is>
      </c>
      <c r="B1275" s="5" t="inlineStr">
        <is>
          <t>nga</t>
        </is>
      </c>
      <c r="C1275" s="5" t="inlineStr">
        <is>
          <t>oen</t>
        </is>
      </c>
      <c r="D1275" s="36">
        <f>INDEX(Inputs!$L$5:$L$132,MATCH($B1275&amp;"|"&amp;$C1275,Inputs!$A$5:$A$132,0))</f>
        <v/>
      </c>
      <c r="E1275" s="36">
        <f>INDEX(Inputs!$I$5:$I$132,MATCH($B1275&amp;"|"&amp;$C1275,Inputs!$A$5:$A$132,0))</f>
        <v/>
      </c>
      <c r="F1275" s="37" t="n"/>
      <c r="G1275" s="37" t="n"/>
      <c r="H1275" s="5">
        <f>INDEX(Variables!$B$5:$B$65,MATCH($A1275,Variables!$A$5:$A$65,0))&amp;IF($C1275="",""," | "&amp;INDEX(Mapping!$B$5:$B$25,MATCH($C1275,Mapping!$A$5:$A$25,0))&amp;" | "&amp;INDEX(Mapping!$B$29:$B$38,MATCH($B1275,Mapping!$A$29:$A$38,0)))</f>
        <v/>
      </c>
      <c r="I1275" s="5">
        <f>INDEX(Variables!$C$5:$C$65,MATCH($A1275,Variables!$A$5:$A$65,0))</f>
        <v/>
      </c>
      <c r="J1275" s="5">
        <f>INDEX(Variables!$E$5:$E$65,MATCH($A1275,Variables!$A$5:$A$65,0))</f>
        <v/>
      </c>
      <c r="K1275" s="23">
        <f>LOWER(Settings!$C$4)&amp;".mit."&amp;$A1275&amp;IF($C1275="","","."&amp;$C1275&amp;"."&amp;$B1275)&amp;IF(INDEX(Variables!$D$5:$D$65,MATCH($A1275,Variables!$A$5:$A$65,0))="","","."&amp;INDEX(Variables!$D$5:$D$65,MATCH($A1275,Variables!$A$5:$A$65,0)))&amp;"."&amp;K$5</f>
        <v/>
      </c>
      <c r="L1275" s="38">
        <f>INDEX(L$75:L$88,$D1275)/$E1275</f>
        <v/>
      </c>
      <c r="M1275" s="36">
        <f>INDEX(M$75:M$88,$D1275)/$E1275</f>
        <v/>
      </c>
      <c r="N1275" s="36">
        <f>INDEX(N$75:N$88,$D1275)/$E1275</f>
        <v/>
      </c>
      <c r="O1275" s="36">
        <f>INDEX(O$75:O$88,$D1275)/$E1275</f>
        <v/>
      </c>
      <c r="P1275" s="36">
        <f>INDEX(P$75:P$88,$D1275)/$E1275</f>
        <v/>
      </c>
      <c r="Q1275" s="36">
        <f>INDEX(Q$75:Q$88,$D1275)/$E1275</f>
        <v/>
      </c>
      <c r="R1275" s="36">
        <f>INDEX(R$75:R$88,$D1275)/$E1275</f>
        <v/>
      </c>
      <c r="S1275" s="36">
        <f>INDEX(S$75:S$88,$D1275)/$E1275</f>
        <v/>
      </c>
      <c r="T1275" s="36">
        <f>INDEX(T$75:T$88,$D1275)/$E1275</f>
        <v/>
      </c>
      <c r="U1275" s="36">
        <f>INDEX(U$75:U$88,$D1275)/$E1275</f>
        <v/>
      </c>
      <c r="V1275" s="36">
        <f>INDEX(V$75:V$88,$D1275)/$E1275</f>
        <v/>
      </c>
      <c r="W1275" s="36">
        <f>INDEX(W$75:W$88,$D1275)/$E1275</f>
        <v/>
      </c>
      <c r="X1275" s="36">
        <f>INDEX(X$75:X$88,$D1275)/$E1275</f>
        <v/>
      </c>
      <c r="Y1275" s="36">
        <f>INDEX(Y$75:Y$88,$D1275)/$E1275</f>
        <v/>
      </c>
      <c r="Z1275" s="23">
        <f>LOWER(Settings!$C$4)&amp;".mit."&amp;$A1275&amp;IF($C1275="","","."&amp;$C1275&amp;"."&amp;$B1275)&amp;IF(INDEX(Variables!$D$5:$D$65,MATCH($A1275,Variables!$A$5:$A$65,0))="","","."&amp;INDEX(Variables!$D$5:$D$65,MATCH($A1275,Variables!$A$5:$A$65,0)))&amp;"."&amp;Z$5</f>
        <v/>
      </c>
      <c r="AA1275" s="38">
        <f>INDEX(AA$75:AA$88,$D1275)/$E1275</f>
        <v/>
      </c>
      <c r="AB1275" s="36">
        <f>INDEX(AB$75:AB$88,$D1275)/$E1275</f>
        <v/>
      </c>
      <c r="AC1275" s="36">
        <f>INDEX(AC$75:AC$88,$D1275)/$E1275</f>
        <v/>
      </c>
      <c r="AD1275" s="36">
        <f>INDEX(AD$75:AD$88,$D1275)/$E1275</f>
        <v/>
      </c>
      <c r="AE1275" s="36">
        <f>INDEX(AE$75:AE$88,$D1275)/$E1275</f>
        <v/>
      </c>
      <c r="AF1275" s="36">
        <f>INDEX(AF$75:AF$88,$D1275)/$E1275</f>
        <v/>
      </c>
      <c r="AG1275" s="36">
        <f>INDEX(AG$75:AG$88,$D1275)/$E1275</f>
        <v/>
      </c>
      <c r="AH1275" s="36">
        <f>INDEX(AH$75:AH$88,$D1275)/$E1275</f>
        <v/>
      </c>
      <c r="AI1275" s="36">
        <f>INDEX(AI$75:AI$88,$D1275)/$E1275</f>
        <v/>
      </c>
      <c r="AJ1275" s="36">
        <f>INDEX(AJ$75:AJ$88,$D1275)/$E1275</f>
        <v/>
      </c>
      <c r="AK1275" s="36">
        <f>INDEX(AK$75:AK$88,$D1275)/$E1275</f>
        <v/>
      </c>
      <c r="AL1275" s="36">
        <f>INDEX(AL$75:AL$88,$D1275)/$E1275</f>
        <v/>
      </c>
      <c r="AM1275" s="36">
        <f>INDEX(AM$75:AM$88,$D1275)/$E1275</f>
        <v/>
      </c>
      <c r="AN1275" s="36">
        <f>INDEX(AN$75:AN$88,$D1275)/$E1275</f>
        <v/>
      </c>
    </row>
    <row r="1276" hidden="1" outlineLevel="2">
      <c r="A1276" s="5" t="inlineStr">
        <is>
          <t>ntx</t>
        </is>
      </c>
      <c r="B1276" s="5" t="inlineStr">
        <is>
          <t>gso</t>
        </is>
      </c>
      <c r="C1276" s="5" t="inlineStr">
        <is>
          <t>oen</t>
        </is>
      </c>
      <c r="D1276" s="36">
        <f>INDEX(Inputs!$L$5:$L$132,MATCH($B1276&amp;"|"&amp;$C1276,Inputs!$A$5:$A$132,0))</f>
        <v/>
      </c>
      <c r="E1276" s="36">
        <f>INDEX(Inputs!$I$5:$I$132,MATCH($B1276&amp;"|"&amp;$C1276,Inputs!$A$5:$A$132,0))</f>
        <v/>
      </c>
      <c r="F1276" s="37" t="n"/>
      <c r="G1276" s="37" t="n"/>
      <c r="H1276" s="5">
        <f>INDEX(Variables!$B$5:$B$65,MATCH($A1276,Variables!$A$5:$A$65,0))&amp;IF($C1276="",""," | "&amp;INDEX(Mapping!$B$5:$B$25,MATCH($C1276,Mapping!$A$5:$A$25,0))&amp;" | "&amp;INDEX(Mapping!$B$29:$B$38,MATCH($B1276,Mapping!$A$29:$A$38,0)))</f>
        <v/>
      </c>
      <c r="I1276" s="5">
        <f>INDEX(Variables!$C$5:$C$65,MATCH($A1276,Variables!$A$5:$A$65,0))</f>
        <v/>
      </c>
      <c r="J1276" s="5">
        <f>INDEX(Variables!$E$5:$E$65,MATCH($A1276,Variables!$A$5:$A$65,0))</f>
        <v/>
      </c>
      <c r="K1276" s="23">
        <f>LOWER(Settings!$C$4)&amp;".mit."&amp;$A1276&amp;IF($C1276="","","."&amp;$C1276&amp;"."&amp;$B1276)&amp;IF(INDEX(Variables!$D$5:$D$65,MATCH($A1276,Variables!$A$5:$A$65,0))="","","."&amp;INDEX(Variables!$D$5:$D$65,MATCH($A1276,Variables!$A$5:$A$65,0)))&amp;"."&amp;K$5</f>
        <v/>
      </c>
      <c r="L1276" s="38">
        <f>INDEX(L$75:L$88,$D1276)/$E1276</f>
        <v/>
      </c>
      <c r="M1276" s="36">
        <f>INDEX(M$75:M$88,$D1276)/$E1276</f>
        <v/>
      </c>
      <c r="N1276" s="36">
        <f>INDEX(N$75:N$88,$D1276)/$E1276</f>
        <v/>
      </c>
      <c r="O1276" s="36">
        <f>INDEX(O$75:O$88,$D1276)/$E1276</f>
        <v/>
      </c>
      <c r="P1276" s="36">
        <f>INDEX(P$75:P$88,$D1276)/$E1276</f>
        <v/>
      </c>
      <c r="Q1276" s="36">
        <f>INDEX(Q$75:Q$88,$D1276)/$E1276</f>
        <v/>
      </c>
      <c r="R1276" s="36">
        <f>INDEX(R$75:R$88,$D1276)/$E1276</f>
        <v/>
      </c>
      <c r="S1276" s="36">
        <f>INDEX(S$75:S$88,$D1276)/$E1276</f>
        <v/>
      </c>
      <c r="T1276" s="36">
        <f>INDEX(T$75:T$88,$D1276)/$E1276</f>
        <v/>
      </c>
      <c r="U1276" s="36">
        <f>INDEX(U$75:U$88,$D1276)/$E1276</f>
        <v/>
      </c>
      <c r="V1276" s="36">
        <f>INDEX(V$75:V$88,$D1276)/$E1276</f>
        <v/>
      </c>
      <c r="W1276" s="36">
        <f>INDEX(W$75:W$88,$D1276)/$E1276</f>
        <v/>
      </c>
      <c r="X1276" s="36">
        <f>INDEX(X$75:X$88,$D1276)/$E1276</f>
        <v/>
      </c>
      <c r="Y1276" s="36">
        <f>INDEX(Y$75:Y$88,$D1276)/$E1276</f>
        <v/>
      </c>
      <c r="Z1276" s="23">
        <f>LOWER(Settings!$C$4)&amp;".mit."&amp;$A1276&amp;IF($C1276="","","."&amp;$C1276&amp;"."&amp;$B1276)&amp;IF(INDEX(Variables!$D$5:$D$65,MATCH($A1276,Variables!$A$5:$A$65,0))="","","."&amp;INDEX(Variables!$D$5:$D$65,MATCH($A1276,Variables!$A$5:$A$65,0)))&amp;"."&amp;Z$5</f>
        <v/>
      </c>
      <c r="AA1276" s="38">
        <f>INDEX(AA$75:AA$88,$D1276)/$E1276</f>
        <v/>
      </c>
      <c r="AB1276" s="36">
        <f>INDEX(AB$75:AB$88,$D1276)/$E1276</f>
        <v/>
      </c>
      <c r="AC1276" s="36">
        <f>INDEX(AC$75:AC$88,$D1276)/$E1276</f>
        <v/>
      </c>
      <c r="AD1276" s="36">
        <f>INDEX(AD$75:AD$88,$D1276)/$E1276</f>
        <v/>
      </c>
      <c r="AE1276" s="36">
        <f>INDEX(AE$75:AE$88,$D1276)/$E1276</f>
        <v/>
      </c>
      <c r="AF1276" s="36">
        <f>INDEX(AF$75:AF$88,$D1276)/$E1276</f>
        <v/>
      </c>
      <c r="AG1276" s="36">
        <f>INDEX(AG$75:AG$88,$D1276)/$E1276</f>
        <v/>
      </c>
      <c r="AH1276" s="36">
        <f>INDEX(AH$75:AH$88,$D1276)/$E1276</f>
        <v/>
      </c>
      <c r="AI1276" s="36">
        <f>INDEX(AI$75:AI$88,$D1276)/$E1276</f>
        <v/>
      </c>
      <c r="AJ1276" s="36">
        <f>INDEX(AJ$75:AJ$88,$D1276)/$E1276</f>
        <v/>
      </c>
      <c r="AK1276" s="36">
        <f>INDEX(AK$75:AK$88,$D1276)/$E1276</f>
        <v/>
      </c>
      <c r="AL1276" s="36">
        <f>INDEX(AL$75:AL$88,$D1276)/$E1276</f>
        <v/>
      </c>
      <c r="AM1276" s="36">
        <f>INDEX(AM$75:AM$88,$D1276)/$E1276</f>
        <v/>
      </c>
      <c r="AN1276" s="36">
        <f>INDEX(AN$75:AN$88,$D1276)/$E1276</f>
        <v/>
      </c>
    </row>
    <row r="1277" hidden="1" outlineLevel="2">
      <c r="A1277" s="5" t="inlineStr">
        <is>
          <t>ntx</t>
        </is>
      </c>
      <c r="B1277" s="5" t="inlineStr">
        <is>
          <t>die</t>
        </is>
      </c>
      <c r="C1277" s="5" t="inlineStr">
        <is>
          <t>oen</t>
        </is>
      </c>
      <c r="D1277" s="36">
        <f>INDEX(Inputs!$L$5:$L$132,MATCH($B1277&amp;"|"&amp;$C1277,Inputs!$A$5:$A$132,0))</f>
        <v/>
      </c>
      <c r="E1277" s="36">
        <f>INDEX(Inputs!$I$5:$I$132,MATCH($B1277&amp;"|"&amp;$C1277,Inputs!$A$5:$A$132,0))</f>
        <v/>
      </c>
      <c r="F1277" s="37" t="n"/>
      <c r="G1277" s="37" t="n"/>
      <c r="H1277" s="5">
        <f>INDEX(Variables!$B$5:$B$65,MATCH($A1277,Variables!$A$5:$A$65,0))&amp;IF($C1277="",""," | "&amp;INDEX(Mapping!$B$5:$B$25,MATCH($C1277,Mapping!$A$5:$A$25,0))&amp;" | "&amp;INDEX(Mapping!$B$29:$B$38,MATCH($B1277,Mapping!$A$29:$A$38,0)))</f>
        <v/>
      </c>
      <c r="I1277" s="5">
        <f>INDEX(Variables!$C$5:$C$65,MATCH($A1277,Variables!$A$5:$A$65,0))</f>
        <v/>
      </c>
      <c r="J1277" s="5">
        <f>INDEX(Variables!$E$5:$E$65,MATCH($A1277,Variables!$A$5:$A$65,0))</f>
        <v/>
      </c>
      <c r="K1277" s="23">
        <f>LOWER(Settings!$C$4)&amp;".mit."&amp;$A1277&amp;IF($C1277="","","."&amp;$C1277&amp;"."&amp;$B1277)&amp;IF(INDEX(Variables!$D$5:$D$65,MATCH($A1277,Variables!$A$5:$A$65,0))="","","."&amp;INDEX(Variables!$D$5:$D$65,MATCH($A1277,Variables!$A$5:$A$65,0)))&amp;"."&amp;K$5</f>
        <v/>
      </c>
      <c r="L1277" s="38">
        <f>INDEX(L$75:L$88,$D1277)/$E1277</f>
        <v/>
      </c>
      <c r="M1277" s="36">
        <f>INDEX(M$75:M$88,$D1277)/$E1277</f>
        <v/>
      </c>
      <c r="N1277" s="36">
        <f>INDEX(N$75:N$88,$D1277)/$E1277</f>
        <v/>
      </c>
      <c r="O1277" s="36">
        <f>INDEX(O$75:O$88,$D1277)/$E1277</f>
        <v/>
      </c>
      <c r="P1277" s="36">
        <f>INDEX(P$75:P$88,$D1277)/$E1277</f>
        <v/>
      </c>
      <c r="Q1277" s="36">
        <f>INDEX(Q$75:Q$88,$D1277)/$E1277</f>
        <v/>
      </c>
      <c r="R1277" s="36">
        <f>INDEX(R$75:R$88,$D1277)/$E1277</f>
        <v/>
      </c>
      <c r="S1277" s="36">
        <f>INDEX(S$75:S$88,$D1277)/$E1277</f>
        <v/>
      </c>
      <c r="T1277" s="36">
        <f>INDEX(T$75:T$88,$D1277)/$E1277</f>
        <v/>
      </c>
      <c r="U1277" s="36">
        <f>INDEX(U$75:U$88,$D1277)/$E1277</f>
        <v/>
      </c>
      <c r="V1277" s="36">
        <f>INDEX(V$75:V$88,$D1277)/$E1277</f>
        <v/>
      </c>
      <c r="W1277" s="36">
        <f>INDEX(W$75:W$88,$D1277)/$E1277</f>
        <v/>
      </c>
      <c r="X1277" s="36">
        <f>INDEX(X$75:X$88,$D1277)/$E1277</f>
        <v/>
      </c>
      <c r="Y1277" s="36">
        <f>INDEX(Y$75:Y$88,$D1277)/$E1277</f>
        <v/>
      </c>
      <c r="Z1277" s="23">
        <f>LOWER(Settings!$C$4)&amp;".mit."&amp;$A1277&amp;IF($C1277="","","."&amp;$C1277&amp;"."&amp;$B1277)&amp;IF(INDEX(Variables!$D$5:$D$65,MATCH($A1277,Variables!$A$5:$A$65,0))="","","."&amp;INDEX(Variables!$D$5:$D$65,MATCH($A1277,Variables!$A$5:$A$65,0)))&amp;"."&amp;Z$5</f>
        <v/>
      </c>
      <c r="AA1277" s="38">
        <f>INDEX(AA$75:AA$88,$D1277)/$E1277</f>
        <v/>
      </c>
      <c r="AB1277" s="36">
        <f>INDEX(AB$75:AB$88,$D1277)/$E1277</f>
        <v/>
      </c>
      <c r="AC1277" s="36">
        <f>INDEX(AC$75:AC$88,$D1277)/$E1277</f>
        <v/>
      </c>
      <c r="AD1277" s="36">
        <f>INDEX(AD$75:AD$88,$D1277)/$E1277</f>
        <v/>
      </c>
      <c r="AE1277" s="36">
        <f>INDEX(AE$75:AE$88,$D1277)/$E1277</f>
        <v/>
      </c>
      <c r="AF1277" s="36">
        <f>INDEX(AF$75:AF$88,$D1277)/$E1277</f>
        <v/>
      </c>
      <c r="AG1277" s="36">
        <f>INDEX(AG$75:AG$88,$D1277)/$E1277</f>
        <v/>
      </c>
      <c r="AH1277" s="36">
        <f>INDEX(AH$75:AH$88,$D1277)/$E1277</f>
        <v/>
      </c>
      <c r="AI1277" s="36">
        <f>INDEX(AI$75:AI$88,$D1277)/$E1277</f>
        <v/>
      </c>
      <c r="AJ1277" s="36">
        <f>INDEX(AJ$75:AJ$88,$D1277)/$E1277</f>
        <v/>
      </c>
      <c r="AK1277" s="36">
        <f>INDEX(AK$75:AK$88,$D1277)/$E1277</f>
        <v/>
      </c>
      <c r="AL1277" s="36">
        <f>INDEX(AL$75:AL$88,$D1277)/$E1277</f>
        <v/>
      </c>
      <c r="AM1277" s="36">
        <f>INDEX(AM$75:AM$88,$D1277)/$E1277</f>
        <v/>
      </c>
      <c r="AN1277" s="36">
        <f>INDEX(AN$75:AN$88,$D1277)/$E1277</f>
        <v/>
      </c>
    </row>
    <row r="1278" hidden="1" outlineLevel="2">
      <c r="A1278" s="5" t="inlineStr">
        <is>
          <t>ntx</t>
        </is>
      </c>
      <c r="B1278" s="5" t="inlineStr">
        <is>
          <t>lpg</t>
        </is>
      </c>
      <c r="C1278" s="5" t="inlineStr">
        <is>
          <t>oen</t>
        </is>
      </c>
      <c r="D1278" s="36">
        <f>INDEX(Inputs!$L$5:$L$132,MATCH($B1278&amp;"|"&amp;$C1278,Inputs!$A$5:$A$132,0))</f>
        <v/>
      </c>
      <c r="E1278" s="36">
        <f>INDEX(Inputs!$I$5:$I$132,MATCH($B1278&amp;"|"&amp;$C1278,Inputs!$A$5:$A$132,0))</f>
        <v/>
      </c>
      <c r="F1278" s="37" t="n"/>
      <c r="G1278" s="37" t="n"/>
      <c r="H1278" s="5">
        <f>INDEX(Variables!$B$5:$B$65,MATCH($A1278,Variables!$A$5:$A$65,0))&amp;IF($C1278="",""," | "&amp;INDEX(Mapping!$B$5:$B$25,MATCH($C1278,Mapping!$A$5:$A$25,0))&amp;" | "&amp;INDEX(Mapping!$B$29:$B$38,MATCH($B1278,Mapping!$A$29:$A$38,0)))</f>
        <v/>
      </c>
      <c r="I1278" s="5">
        <f>INDEX(Variables!$C$5:$C$65,MATCH($A1278,Variables!$A$5:$A$65,0))</f>
        <v/>
      </c>
      <c r="J1278" s="5">
        <f>INDEX(Variables!$E$5:$E$65,MATCH($A1278,Variables!$A$5:$A$65,0))</f>
        <v/>
      </c>
      <c r="K1278" s="23">
        <f>LOWER(Settings!$C$4)&amp;".mit."&amp;$A1278&amp;IF($C1278="","","."&amp;$C1278&amp;"."&amp;$B1278)&amp;IF(INDEX(Variables!$D$5:$D$65,MATCH($A1278,Variables!$A$5:$A$65,0))="","","."&amp;INDEX(Variables!$D$5:$D$65,MATCH($A1278,Variables!$A$5:$A$65,0)))&amp;"."&amp;K$5</f>
        <v/>
      </c>
      <c r="L1278" s="38">
        <f>INDEX(L$75:L$88,$D1278)/$E1278</f>
        <v/>
      </c>
      <c r="M1278" s="36">
        <f>INDEX(M$75:M$88,$D1278)/$E1278</f>
        <v/>
      </c>
      <c r="N1278" s="36">
        <f>INDEX(N$75:N$88,$D1278)/$E1278</f>
        <v/>
      </c>
      <c r="O1278" s="36">
        <f>INDEX(O$75:O$88,$D1278)/$E1278</f>
        <v/>
      </c>
      <c r="P1278" s="36">
        <f>INDEX(P$75:P$88,$D1278)/$E1278</f>
        <v/>
      </c>
      <c r="Q1278" s="36">
        <f>INDEX(Q$75:Q$88,$D1278)/$E1278</f>
        <v/>
      </c>
      <c r="R1278" s="36">
        <f>INDEX(R$75:R$88,$D1278)/$E1278</f>
        <v/>
      </c>
      <c r="S1278" s="36">
        <f>INDEX(S$75:S$88,$D1278)/$E1278</f>
        <v/>
      </c>
      <c r="T1278" s="36">
        <f>INDEX(T$75:T$88,$D1278)/$E1278</f>
        <v/>
      </c>
      <c r="U1278" s="36">
        <f>INDEX(U$75:U$88,$D1278)/$E1278</f>
        <v/>
      </c>
      <c r="V1278" s="36">
        <f>INDEX(V$75:V$88,$D1278)/$E1278</f>
        <v/>
      </c>
      <c r="W1278" s="36">
        <f>INDEX(W$75:W$88,$D1278)/$E1278</f>
        <v/>
      </c>
      <c r="X1278" s="36">
        <f>INDEX(X$75:X$88,$D1278)/$E1278</f>
        <v/>
      </c>
      <c r="Y1278" s="36">
        <f>INDEX(Y$75:Y$88,$D1278)/$E1278</f>
        <v/>
      </c>
      <c r="Z1278" s="23">
        <f>LOWER(Settings!$C$4)&amp;".mit."&amp;$A1278&amp;IF($C1278="","","."&amp;$C1278&amp;"."&amp;$B1278)&amp;IF(INDEX(Variables!$D$5:$D$65,MATCH($A1278,Variables!$A$5:$A$65,0))="","","."&amp;INDEX(Variables!$D$5:$D$65,MATCH($A1278,Variables!$A$5:$A$65,0)))&amp;"."&amp;Z$5</f>
        <v/>
      </c>
      <c r="AA1278" s="38">
        <f>INDEX(AA$75:AA$88,$D1278)/$E1278</f>
        <v/>
      </c>
      <c r="AB1278" s="36">
        <f>INDEX(AB$75:AB$88,$D1278)/$E1278</f>
        <v/>
      </c>
      <c r="AC1278" s="36">
        <f>INDEX(AC$75:AC$88,$D1278)/$E1278</f>
        <v/>
      </c>
      <c r="AD1278" s="36">
        <f>INDEX(AD$75:AD$88,$D1278)/$E1278</f>
        <v/>
      </c>
      <c r="AE1278" s="36">
        <f>INDEX(AE$75:AE$88,$D1278)/$E1278</f>
        <v/>
      </c>
      <c r="AF1278" s="36">
        <f>INDEX(AF$75:AF$88,$D1278)/$E1278</f>
        <v/>
      </c>
      <c r="AG1278" s="36">
        <f>INDEX(AG$75:AG$88,$D1278)/$E1278</f>
        <v/>
      </c>
      <c r="AH1278" s="36">
        <f>INDEX(AH$75:AH$88,$D1278)/$E1278</f>
        <v/>
      </c>
      <c r="AI1278" s="36">
        <f>INDEX(AI$75:AI$88,$D1278)/$E1278</f>
        <v/>
      </c>
      <c r="AJ1278" s="36">
        <f>INDEX(AJ$75:AJ$88,$D1278)/$E1278</f>
        <v/>
      </c>
      <c r="AK1278" s="36">
        <f>INDEX(AK$75:AK$88,$D1278)/$E1278</f>
        <v/>
      </c>
      <c r="AL1278" s="36">
        <f>INDEX(AL$75:AL$88,$D1278)/$E1278</f>
        <v/>
      </c>
      <c r="AM1278" s="36">
        <f>INDEX(AM$75:AM$88,$D1278)/$E1278</f>
        <v/>
      </c>
      <c r="AN1278" s="36">
        <f>INDEX(AN$75:AN$88,$D1278)/$E1278</f>
        <v/>
      </c>
    </row>
    <row r="1279" hidden="1" outlineLevel="2">
      <c r="A1279" s="5" t="inlineStr">
        <is>
          <t>ntx</t>
        </is>
      </c>
      <c r="B1279" s="5" t="inlineStr">
        <is>
          <t>ker</t>
        </is>
      </c>
      <c r="C1279" s="5" t="inlineStr">
        <is>
          <t>oen</t>
        </is>
      </c>
      <c r="D1279" s="36">
        <f>INDEX(Inputs!$L$5:$L$132,MATCH($B1279&amp;"|"&amp;$C1279,Inputs!$A$5:$A$132,0))</f>
        <v/>
      </c>
      <c r="E1279" s="36">
        <f>INDEX(Inputs!$I$5:$I$132,MATCH($B1279&amp;"|"&amp;$C1279,Inputs!$A$5:$A$132,0))</f>
        <v/>
      </c>
      <c r="F1279" s="37" t="n"/>
      <c r="G1279" s="37" t="n"/>
      <c r="H1279" s="5">
        <f>INDEX(Variables!$B$5:$B$65,MATCH($A1279,Variables!$A$5:$A$65,0))&amp;IF($C1279="",""," | "&amp;INDEX(Mapping!$B$5:$B$25,MATCH($C1279,Mapping!$A$5:$A$25,0))&amp;" | "&amp;INDEX(Mapping!$B$29:$B$38,MATCH($B1279,Mapping!$A$29:$A$38,0)))</f>
        <v/>
      </c>
      <c r="I1279" s="5">
        <f>INDEX(Variables!$C$5:$C$65,MATCH($A1279,Variables!$A$5:$A$65,0))</f>
        <v/>
      </c>
      <c r="J1279" s="5">
        <f>INDEX(Variables!$E$5:$E$65,MATCH($A1279,Variables!$A$5:$A$65,0))</f>
        <v/>
      </c>
      <c r="K1279" s="23">
        <f>LOWER(Settings!$C$4)&amp;".mit."&amp;$A1279&amp;IF($C1279="","","."&amp;$C1279&amp;"."&amp;$B1279)&amp;IF(INDEX(Variables!$D$5:$D$65,MATCH($A1279,Variables!$A$5:$A$65,0))="","","."&amp;INDEX(Variables!$D$5:$D$65,MATCH($A1279,Variables!$A$5:$A$65,0)))&amp;"."&amp;K$5</f>
        <v/>
      </c>
      <c r="L1279" s="38">
        <f>INDEX(L$75:L$88,$D1279)/$E1279</f>
        <v/>
      </c>
      <c r="M1279" s="36">
        <f>INDEX(M$75:M$88,$D1279)/$E1279</f>
        <v/>
      </c>
      <c r="N1279" s="36">
        <f>INDEX(N$75:N$88,$D1279)/$E1279</f>
        <v/>
      </c>
      <c r="O1279" s="36">
        <f>INDEX(O$75:O$88,$D1279)/$E1279</f>
        <v/>
      </c>
      <c r="P1279" s="36">
        <f>INDEX(P$75:P$88,$D1279)/$E1279</f>
        <v/>
      </c>
      <c r="Q1279" s="36">
        <f>INDEX(Q$75:Q$88,$D1279)/$E1279</f>
        <v/>
      </c>
      <c r="R1279" s="36">
        <f>INDEX(R$75:R$88,$D1279)/$E1279</f>
        <v/>
      </c>
      <c r="S1279" s="36">
        <f>INDEX(S$75:S$88,$D1279)/$E1279</f>
        <v/>
      </c>
      <c r="T1279" s="36">
        <f>INDEX(T$75:T$88,$D1279)/$E1279</f>
        <v/>
      </c>
      <c r="U1279" s="36">
        <f>INDEX(U$75:U$88,$D1279)/$E1279</f>
        <v/>
      </c>
      <c r="V1279" s="36">
        <f>INDEX(V$75:V$88,$D1279)/$E1279</f>
        <v/>
      </c>
      <c r="W1279" s="36">
        <f>INDEX(W$75:W$88,$D1279)/$E1279</f>
        <v/>
      </c>
      <c r="X1279" s="36">
        <f>INDEX(X$75:X$88,$D1279)/$E1279</f>
        <v/>
      </c>
      <c r="Y1279" s="36">
        <f>INDEX(Y$75:Y$88,$D1279)/$E1279</f>
        <v/>
      </c>
      <c r="Z1279" s="23">
        <f>LOWER(Settings!$C$4)&amp;".mit."&amp;$A1279&amp;IF($C1279="","","."&amp;$C1279&amp;"."&amp;$B1279)&amp;IF(INDEX(Variables!$D$5:$D$65,MATCH($A1279,Variables!$A$5:$A$65,0))="","","."&amp;INDEX(Variables!$D$5:$D$65,MATCH($A1279,Variables!$A$5:$A$65,0)))&amp;"."&amp;Z$5</f>
        <v/>
      </c>
      <c r="AA1279" s="38">
        <f>INDEX(AA$75:AA$88,$D1279)/$E1279</f>
        <v/>
      </c>
      <c r="AB1279" s="36">
        <f>INDEX(AB$75:AB$88,$D1279)/$E1279</f>
        <v/>
      </c>
      <c r="AC1279" s="36">
        <f>INDEX(AC$75:AC$88,$D1279)/$E1279</f>
        <v/>
      </c>
      <c r="AD1279" s="36">
        <f>INDEX(AD$75:AD$88,$D1279)/$E1279</f>
        <v/>
      </c>
      <c r="AE1279" s="36">
        <f>INDEX(AE$75:AE$88,$D1279)/$E1279</f>
        <v/>
      </c>
      <c r="AF1279" s="36">
        <f>INDEX(AF$75:AF$88,$D1279)/$E1279</f>
        <v/>
      </c>
      <c r="AG1279" s="36">
        <f>INDEX(AG$75:AG$88,$D1279)/$E1279</f>
        <v/>
      </c>
      <c r="AH1279" s="36">
        <f>INDEX(AH$75:AH$88,$D1279)/$E1279</f>
        <v/>
      </c>
      <c r="AI1279" s="36">
        <f>INDEX(AI$75:AI$88,$D1279)/$E1279</f>
        <v/>
      </c>
      <c r="AJ1279" s="36">
        <f>INDEX(AJ$75:AJ$88,$D1279)/$E1279</f>
        <v/>
      </c>
      <c r="AK1279" s="36">
        <f>INDEX(AK$75:AK$88,$D1279)/$E1279</f>
        <v/>
      </c>
      <c r="AL1279" s="36">
        <f>INDEX(AL$75:AL$88,$D1279)/$E1279</f>
        <v/>
      </c>
      <c r="AM1279" s="36">
        <f>INDEX(AM$75:AM$88,$D1279)/$E1279</f>
        <v/>
      </c>
      <c r="AN1279" s="36">
        <f>INDEX(AN$75:AN$88,$D1279)/$E1279</f>
        <v/>
      </c>
    </row>
    <row r="1280" hidden="1" outlineLevel="2">
      <c r="A1280" s="5" t="inlineStr">
        <is>
          <t>ntx</t>
        </is>
      </c>
      <c r="B1280" s="5" t="inlineStr">
        <is>
          <t>oop</t>
        </is>
      </c>
      <c r="C1280" s="5" t="inlineStr">
        <is>
          <t>oen</t>
        </is>
      </c>
      <c r="D1280" s="36">
        <f>INDEX(Inputs!$L$5:$L$132,MATCH($B1280&amp;"|"&amp;$C1280,Inputs!$A$5:$A$132,0))</f>
        <v/>
      </c>
      <c r="E1280" s="36">
        <f>INDEX(Inputs!$I$5:$I$132,MATCH($B1280&amp;"|"&amp;$C1280,Inputs!$A$5:$A$132,0))</f>
        <v/>
      </c>
      <c r="F1280" s="37" t="n"/>
      <c r="G1280" s="37" t="n"/>
      <c r="H1280" s="5">
        <f>INDEX(Variables!$B$5:$B$65,MATCH($A1280,Variables!$A$5:$A$65,0))&amp;IF($C1280="",""," | "&amp;INDEX(Mapping!$B$5:$B$25,MATCH($C1280,Mapping!$A$5:$A$25,0))&amp;" | "&amp;INDEX(Mapping!$B$29:$B$38,MATCH($B1280,Mapping!$A$29:$A$38,0)))</f>
        <v/>
      </c>
      <c r="I1280" s="5">
        <f>INDEX(Variables!$C$5:$C$65,MATCH($A1280,Variables!$A$5:$A$65,0))</f>
        <v/>
      </c>
      <c r="J1280" s="5">
        <f>INDEX(Variables!$E$5:$E$65,MATCH($A1280,Variables!$A$5:$A$65,0))</f>
        <v/>
      </c>
      <c r="K1280" s="23">
        <f>LOWER(Settings!$C$4)&amp;".mit."&amp;$A1280&amp;IF($C1280="","","."&amp;$C1280&amp;"."&amp;$B1280)&amp;IF(INDEX(Variables!$D$5:$D$65,MATCH($A1280,Variables!$A$5:$A$65,0))="","","."&amp;INDEX(Variables!$D$5:$D$65,MATCH($A1280,Variables!$A$5:$A$65,0)))&amp;"."&amp;K$5</f>
        <v/>
      </c>
      <c r="L1280" s="38">
        <f>INDEX(L$75:L$88,$D1280)/$E1280</f>
        <v/>
      </c>
      <c r="M1280" s="36">
        <f>INDEX(M$75:M$88,$D1280)/$E1280</f>
        <v/>
      </c>
      <c r="N1280" s="36">
        <f>INDEX(N$75:N$88,$D1280)/$E1280</f>
        <v/>
      </c>
      <c r="O1280" s="36">
        <f>INDEX(O$75:O$88,$D1280)/$E1280</f>
        <v/>
      </c>
      <c r="P1280" s="36">
        <f>INDEX(P$75:P$88,$D1280)/$E1280</f>
        <v/>
      </c>
      <c r="Q1280" s="36">
        <f>INDEX(Q$75:Q$88,$D1280)/$E1280</f>
        <v/>
      </c>
      <c r="R1280" s="36">
        <f>INDEX(R$75:R$88,$D1280)/$E1280</f>
        <v/>
      </c>
      <c r="S1280" s="36">
        <f>INDEX(S$75:S$88,$D1280)/$E1280</f>
        <v/>
      </c>
      <c r="T1280" s="36">
        <f>INDEX(T$75:T$88,$D1280)/$E1280</f>
        <v/>
      </c>
      <c r="U1280" s="36">
        <f>INDEX(U$75:U$88,$D1280)/$E1280</f>
        <v/>
      </c>
      <c r="V1280" s="36">
        <f>INDEX(V$75:V$88,$D1280)/$E1280</f>
        <v/>
      </c>
      <c r="W1280" s="36">
        <f>INDEX(W$75:W$88,$D1280)/$E1280</f>
        <v/>
      </c>
      <c r="X1280" s="36">
        <f>INDEX(X$75:X$88,$D1280)/$E1280</f>
        <v/>
      </c>
      <c r="Y1280" s="36">
        <f>INDEX(Y$75:Y$88,$D1280)/$E1280</f>
        <v/>
      </c>
      <c r="Z1280" s="23">
        <f>LOWER(Settings!$C$4)&amp;".mit."&amp;$A1280&amp;IF($C1280="","","."&amp;$C1280&amp;"."&amp;$B1280)&amp;IF(INDEX(Variables!$D$5:$D$65,MATCH($A1280,Variables!$A$5:$A$65,0))="","","."&amp;INDEX(Variables!$D$5:$D$65,MATCH($A1280,Variables!$A$5:$A$65,0)))&amp;"."&amp;Z$5</f>
        <v/>
      </c>
      <c r="AA1280" s="38">
        <f>INDEX(AA$75:AA$88,$D1280)/$E1280</f>
        <v/>
      </c>
      <c r="AB1280" s="36">
        <f>INDEX(AB$75:AB$88,$D1280)/$E1280</f>
        <v/>
      </c>
      <c r="AC1280" s="36">
        <f>INDEX(AC$75:AC$88,$D1280)/$E1280</f>
        <v/>
      </c>
      <c r="AD1280" s="36">
        <f>INDEX(AD$75:AD$88,$D1280)/$E1280</f>
        <v/>
      </c>
      <c r="AE1280" s="36">
        <f>INDEX(AE$75:AE$88,$D1280)/$E1280</f>
        <v/>
      </c>
      <c r="AF1280" s="36">
        <f>INDEX(AF$75:AF$88,$D1280)/$E1280</f>
        <v/>
      </c>
      <c r="AG1280" s="36">
        <f>INDEX(AG$75:AG$88,$D1280)/$E1280</f>
        <v/>
      </c>
      <c r="AH1280" s="36">
        <f>INDEX(AH$75:AH$88,$D1280)/$E1280</f>
        <v/>
      </c>
      <c r="AI1280" s="36">
        <f>INDEX(AI$75:AI$88,$D1280)/$E1280</f>
        <v/>
      </c>
      <c r="AJ1280" s="36">
        <f>INDEX(AJ$75:AJ$88,$D1280)/$E1280</f>
        <v/>
      </c>
      <c r="AK1280" s="36">
        <f>INDEX(AK$75:AK$88,$D1280)/$E1280</f>
        <v/>
      </c>
      <c r="AL1280" s="36">
        <f>INDEX(AL$75:AL$88,$D1280)/$E1280</f>
        <v/>
      </c>
      <c r="AM1280" s="36">
        <f>INDEX(AM$75:AM$88,$D1280)/$E1280</f>
        <v/>
      </c>
      <c r="AN1280" s="36">
        <f>INDEX(AN$75:AN$88,$D1280)/$E1280</f>
        <v/>
      </c>
    </row>
    <row r="1281" hidden="1" outlineLevel="2">
      <c r="A1281" s="5" t="inlineStr">
        <is>
          <t>ntx</t>
        </is>
      </c>
      <c r="B1281" s="5" t="inlineStr">
        <is>
          <t>bio</t>
        </is>
      </c>
      <c r="C1281" s="5" t="inlineStr">
        <is>
          <t>oen</t>
        </is>
      </c>
      <c r="D1281" s="36">
        <f>INDEX(Inputs!$L$5:$L$132,MATCH($B1281&amp;"|"&amp;$C1281,Inputs!$A$5:$A$132,0))</f>
        <v/>
      </c>
      <c r="E1281" s="36">
        <f>INDEX(Inputs!$I$5:$I$132,MATCH($B1281&amp;"|"&amp;$C1281,Inputs!$A$5:$A$132,0))</f>
        <v/>
      </c>
      <c r="F1281" s="37" t="n"/>
      <c r="G1281" s="37" t="n"/>
      <c r="H1281" s="5">
        <f>INDEX(Variables!$B$5:$B$65,MATCH($A1281,Variables!$A$5:$A$65,0))&amp;IF($C1281="",""," | "&amp;INDEX(Mapping!$B$5:$B$25,MATCH($C1281,Mapping!$A$5:$A$25,0))&amp;" | "&amp;INDEX(Mapping!$B$29:$B$38,MATCH($B1281,Mapping!$A$29:$A$38,0)))</f>
        <v/>
      </c>
      <c r="I1281" s="5">
        <f>INDEX(Variables!$C$5:$C$65,MATCH($A1281,Variables!$A$5:$A$65,0))</f>
        <v/>
      </c>
      <c r="J1281" s="5">
        <f>INDEX(Variables!$E$5:$E$65,MATCH($A1281,Variables!$A$5:$A$65,0))</f>
        <v/>
      </c>
      <c r="K1281" s="23">
        <f>LOWER(Settings!$C$4)&amp;".mit."&amp;$A1281&amp;IF($C1281="","","."&amp;$C1281&amp;"."&amp;$B1281)&amp;IF(INDEX(Variables!$D$5:$D$65,MATCH($A1281,Variables!$A$5:$A$65,0))="","","."&amp;INDEX(Variables!$D$5:$D$65,MATCH($A1281,Variables!$A$5:$A$65,0)))&amp;"."&amp;K$5</f>
        <v/>
      </c>
      <c r="L1281" s="38">
        <f>INDEX(L$75:L$88,$D1281)/$E1281</f>
        <v/>
      </c>
      <c r="M1281" s="36">
        <f>INDEX(M$75:M$88,$D1281)/$E1281</f>
        <v/>
      </c>
      <c r="N1281" s="36">
        <f>INDEX(N$75:N$88,$D1281)/$E1281</f>
        <v/>
      </c>
      <c r="O1281" s="36">
        <f>INDEX(O$75:O$88,$D1281)/$E1281</f>
        <v/>
      </c>
      <c r="P1281" s="36">
        <f>INDEX(P$75:P$88,$D1281)/$E1281</f>
        <v/>
      </c>
      <c r="Q1281" s="36">
        <f>INDEX(Q$75:Q$88,$D1281)/$E1281</f>
        <v/>
      </c>
      <c r="R1281" s="36">
        <f>INDEX(R$75:R$88,$D1281)/$E1281</f>
        <v/>
      </c>
      <c r="S1281" s="36">
        <f>INDEX(S$75:S$88,$D1281)/$E1281</f>
        <v/>
      </c>
      <c r="T1281" s="36">
        <f>INDEX(T$75:T$88,$D1281)/$E1281</f>
        <v/>
      </c>
      <c r="U1281" s="36">
        <f>INDEX(U$75:U$88,$D1281)/$E1281</f>
        <v/>
      </c>
      <c r="V1281" s="36">
        <f>INDEX(V$75:V$88,$D1281)/$E1281</f>
        <v/>
      </c>
      <c r="W1281" s="36">
        <f>INDEX(W$75:W$88,$D1281)/$E1281</f>
        <v/>
      </c>
      <c r="X1281" s="36">
        <f>INDEX(X$75:X$88,$D1281)/$E1281</f>
        <v/>
      </c>
      <c r="Y1281" s="36">
        <f>INDEX(Y$75:Y$88,$D1281)/$E1281</f>
        <v/>
      </c>
      <c r="Z1281" s="23">
        <f>LOWER(Settings!$C$4)&amp;".mit."&amp;$A1281&amp;IF($C1281="","","."&amp;$C1281&amp;"."&amp;$B1281)&amp;IF(INDEX(Variables!$D$5:$D$65,MATCH($A1281,Variables!$A$5:$A$65,0))="","","."&amp;INDEX(Variables!$D$5:$D$65,MATCH($A1281,Variables!$A$5:$A$65,0)))&amp;"."&amp;Z$5</f>
        <v/>
      </c>
      <c r="AA1281" s="38">
        <f>INDEX(AA$75:AA$88,$D1281)/$E1281</f>
        <v/>
      </c>
      <c r="AB1281" s="36">
        <f>INDEX(AB$75:AB$88,$D1281)/$E1281</f>
        <v/>
      </c>
      <c r="AC1281" s="36">
        <f>INDEX(AC$75:AC$88,$D1281)/$E1281</f>
        <v/>
      </c>
      <c r="AD1281" s="36">
        <f>INDEX(AD$75:AD$88,$D1281)/$E1281</f>
        <v/>
      </c>
      <c r="AE1281" s="36">
        <f>INDEX(AE$75:AE$88,$D1281)/$E1281</f>
        <v/>
      </c>
      <c r="AF1281" s="36">
        <f>INDEX(AF$75:AF$88,$D1281)/$E1281</f>
        <v/>
      </c>
      <c r="AG1281" s="36">
        <f>INDEX(AG$75:AG$88,$D1281)/$E1281</f>
        <v/>
      </c>
      <c r="AH1281" s="36">
        <f>INDEX(AH$75:AH$88,$D1281)/$E1281</f>
        <v/>
      </c>
      <c r="AI1281" s="36">
        <f>INDEX(AI$75:AI$88,$D1281)/$E1281</f>
        <v/>
      </c>
      <c r="AJ1281" s="36">
        <f>INDEX(AJ$75:AJ$88,$D1281)/$E1281</f>
        <v/>
      </c>
      <c r="AK1281" s="36">
        <f>INDEX(AK$75:AK$88,$D1281)/$E1281</f>
        <v/>
      </c>
      <c r="AL1281" s="36">
        <f>INDEX(AL$75:AL$88,$D1281)/$E1281</f>
        <v/>
      </c>
      <c r="AM1281" s="36">
        <f>INDEX(AM$75:AM$88,$D1281)/$E1281</f>
        <v/>
      </c>
      <c r="AN1281" s="36">
        <f>INDEX(AN$75:AN$88,$D1281)/$E1281</f>
        <v/>
      </c>
    </row>
    <row r="1282" hidden="1" outlineLevel="2"/>
    <row r="1283" hidden="1" outlineLevel="2">
      <c r="A1283" s="5" t="inlineStr">
        <is>
          <t>nce</t>
        </is>
      </c>
      <c r="B1283" s="5" t="inlineStr">
        <is>
          <t>coa</t>
        </is>
      </c>
      <c r="C1283" s="5" t="inlineStr">
        <is>
          <t>oen</t>
        </is>
      </c>
      <c r="D1283" s="37" t="n"/>
      <c r="E1283" s="37" t="n"/>
      <c r="F1283" s="37" t="n"/>
      <c r="G1283" s="37" t="n"/>
      <c r="H1283" s="5">
        <f>INDEX(Variables!$B$5:$B$65,MATCH($A1283,Variables!$A$5:$A$65,0))&amp;IF($C1283="",""," | "&amp;INDEX(Mapping!$B$5:$B$25,MATCH($C1283,Mapping!$A$5:$A$25,0))&amp;" | "&amp;INDEX(Mapping!$B$29:$B$38,MATCH($B1283,Mapping!$A$29:$A$38,0)))</f>
        <v/>
      </c>
      <c r="I1283" s="5">
        <f>INDEX(Variables!$C$5:$C$65,MATCH($A1283,Variables!$A$5:$A$65,0))</f>
        <v/>
      </c>
      <c r="J1283" s="5">
        <f>INDEX(Variables!$E$5:$E$65,MATCH($A1283,Variables!$A$5:$A$65,0))</f>
        <v/>
      </c>
      <c r="K1283" s="23">
        <f>LOWER(Settings!$C$4)&amp;".mit."&amp;$A1283&amp;IF($C1283="","","."&amp;$C1283&amp;"."&amp;$B1283)&amp;IF(INDEX(Variables!$D$5:$D$65,MATCH($A1283,Variables!$A$5:$A$65,0))="","","."&amp;INDEX(Variables!$D$5:$D$65,MATCH($A1283,Variables!$A$5:$A$65,0)))&amp;"."&amp;K$5</f>
        <v/>
      </c>
      <c r="L1283" s="38">
        <f>L1265+L1274</f>
        <v/>
      </c>
      <c r="M1283" s="36">
        <f>M1265+M1274</f>
        <v/>
      </c>
      <c r="N1283" s="36">
        <f>N1265+N1274</f>
        <v/>
      </c>
      <c r="O1283" s="36">
        <f>O1265+O1274</f>
        <v/>
      </c>
      <c r="P1283" s="36">
        <f>P1265+P1274</f>
        <v/>
      </c>
      <c r="Q1283" s="36">
        <f>Q1265+Q1274</f>
        <v/>
      </c>
      <c r="R1283" s="36">
        <f>R1265+R1274</f>
        <v/>
      </c>
      <c r="S1283" s="36">
        <f>S1265+S1274</f>
        <v/>
      </c>
      <c r="T1283" s="36">
        <f>T1265+T1274</f>
        <v/>
      </c>
      <c r="U1283" s="36">
        <f>U1265+U1274</f>
        <v/>
      </c>
      <c r="V1283" s="36">
        <f>V1265+V1274</f>
        <v/>
      </c>
      <c r="W1283" s="36">
        <f>W1265+W1274</f>
        <v/>
      </c>
      <c r="X1283" s="36">
        <f>X1265+X1274</f>
        <v/>
      </c>
      <c r="Y1283" s="36">
        <f>Y1265+Y1274</f>
        <v/>
      </c>
      <c r="Z1283" s="23">
        <f>LOWER(Settings!$C$4)&amp;".mit."&amp;$A1283&amp;IF($C1283="","","."&amp;$C1283&amp;"."&amp;$B1283)&amp;IF(INDEX(Variables!$D$5:$D$65,MATCH($A1283,Variables!$A$5:$A$65,0))="","","."&amp;INDEX(Variables!$D$5:$D$65,MATCH($A1283,Variables!$A$5:$A$65,0)))&amp;"."&amp;Z$5</f>
        <v/>
      </c>
      <c r="AA1283" s="38">
        <f>AA1265+AA1274</f>
        <v/>
      </c>
      <c r="AB1283" s="36">
        <f>AB1265+AB1274</f>
        <v/>
      </c>
      <c r="AC1283" s="36">
        <f>AC1265+AC1274</f>
        <v/>
      </c>
      <c r="AD1283" s="36">
        <f>AD1265+AD1274</f>
        <v/>
      </c>
      <c r="AE1283" s="36">
        <f>AE1265+AE1274</f>
        <v/>
      </c>
      <c r="AF1283" s="36">
        <f>AF1265+AF1274</f>
        <v/>
      </c>
      <c r="AG1283" s="36">
        <f>AG1265+AG1274</f>
        <v/>
      </c>
      <c r="AH1283" s="36">
        <f>AH1265+AH1274</f>
        <v/>
      </c>
      <c r="AI1283" s="36">
        <f>AI1265+AI1274</f>
        <v/>
      </c>
      <c r="AJ1283" s="36">
        <f>AJ1265+AJ1274</f>
        <v/>
      </c>
      <c r="AK1283" s="36">
        <f>AK1265+AK1274</f>
        <v/>
      </c>
      <c r="AL1283" s="36">
        <f>AL1265+AL1274</f>
        <v/>
      </c>
      <c r="AM1283" s="36">
        <f>AM1265+AM1274</f>
        <v/>
      </c>
      <c r="AN1283" s="36">
        <f>AN1265+AN1274</f>
        <v/>
      </c>
    </row>
    <row r="1284" hidden="1" outlineLevel="2">
      <c r="A1284" s="5" t="inlineStr">
        <is>
          <t>nce</t>
        </is>
      </c>
      <c r="B1284" s="5" t="inlineStr">
        <is>
          <t>nga</t>
        </is>
      </c>
      <c r="C1284" s="5" t="inlineStr">
        <is>
          <t>oen</t>
        </is>
      </c>
      <c r="D1284" s="37" t="n"/>
      <c r="E1284" s="37" t="n"/>
      <c r="F1284" s="37" t="n"/>
      <c r="G1284" s="37" t="n"/>
      <c r="H1284" s="5">
        <f>INDEX(Variables!$B$5:$B$65,MATCH($A1284,Variables!$A$5:$A$65,0))&amp;IF($C1284="",""," | "&amp;INDEX(Mapping!$B$5:$B$25,MATCH($C1284,Mapping!$A$5:$A$25,0))&amp;" | "&amp;INDEX(Mapping!$B$29:$B$38,MATCH($B1284,Mapping!$A$29:$A$38,0)))</f>
        <v/>
      </c>
      <c r="I1284" s="5">
        <f>INDEX(Variables!$C$5:$C$65,MATCH($A1284,Variables!$A$5:$A$65,0))</f>
        <v/>
      </c>
      <c r="J1284" s="5">
        <f>INDEX(Variables!$E$5:$E$65,MATCH($A1284,Variables!$A$5:$A$65,0))</f>
        <v/>
      </c>
      <c r="K1284" s="23">
        <f>LOWER(Settings!$C$4)&amp;".mit."&amp;$A1284&amp;IF($C1284="","","."&amp;$C1284&amp;"."&amp;$B1284)&amp;IF(INDEX(Variables!$D$5:$D$65,MATCH($A1284,Variables!$A$5:$A$65,0))="","","."&amp;INDEX(Variables!$D$5:$D$65,MATCH($A1284,Variables!$A$5:$A$65,0)))&amp;"."&amp;K$5</f>
        <v/>
      </c>
      <c r="L1284" s="38">
        <f>L1266+L1275</f>
        <v/>
      </c>
      <c r="M1284" s="36">
        <f>M1266+M1275</f>
        <v/>
      </c>
      <c r="N1284" s="36">
        <f>N1266+N1275</f>
        <v/>
      </c>
      <c r="O1284" s="36">
        <f>O1266+O1275</f>
        <v/>
      </c>
      <c r="P1284" s="36">
        <f>P1266+P1275</f>
        <v/>
      </c>
      <c r="Q1284" s="36">
        <f>Q1266+Q1275</f>
        <v/>
      </c>
      <c r="R1284" s="36">
        <f>R1266+R1275</f>
        <v/>
      </c>
      <c r="S1284" s="36">
        <f>S1266+S1275</f>
        <v/>
      </c>
      <c r="T1284" s="36">
        <f>T1266+T1275</f>
        <v/>
      </c>
      <c r="U1284" s="36">
        <f>U1266+U1275</f>
        <v/>
      </c>
      <c r="V1284" s="36">
        <f>V1266+V1275</f>
        <v/>
      </c>
      <c r="W1284" s="36">
        <f>W1266+W1275</f>
        <v/>
      </c>
      <c r="X1284" s="36">
        <f>X1266+X1275</f>
        <v/>
      </c>
      <c r="Y1284" s="36">
        <f>Y1266+Y1275</f>
        <v/>
      </c>
      <c r="Z1284" s="23">
        <f>LOWER(Settings!$C$4)&amp;".mit."&amp;$A1284&amp;IF($C1284="","","."&amp;$C1284&amp;"."&amp;$B1284)&amp;IF(INDEX(Variables!$D$5:$D$65,MATCH($A1284,Variables!$A$5:$A$65,0))="","","."&amp;INDEX(Variables!$D$5:$D$65,MATCH($A1284,Variables!$A$5:$A$65,0)))&amp;"."&amp;Z$5</f>
        <v/>
      </c>
      <c r="AA1284" s="38">
        <f>AA1266+AA1275</f>
        <v/>
      </c>
      <c r="AB1284" s="36">
        <f>AB1266+AB1275</f>
        <v/>
      </c>
      <c r="AC1284" s="36">
        <f>AC1266+AC1275</f>
        <v/>
      </c>
      <c r="AD1284" s="36">
        <f>AD1266+AD1275</f>
        <v/>
      </c>
      <c r="AE1284" s="36">
        <f>AE1266+AE1275</f>
        <v/>
      </c>
      <c r="AF1284" s="36">
        <f>AF1266+AF1275</f>
        <v/>
      </c>
      <c r="AG1284" s="36">
        <f>AG1266+AG1275</f>
        <v/>
      </c>
      <c r="AH1284" s="36">
        <f>AH1266+AH1275</f>
        <v/>
      </c>
      <c r="AI1284" s="36">
        <f>AI1266+AI1275</f>
        <v/>
      </c>
      <c r="AJ1284" s="36">
        <f>AJ1266+AJ1275</f>
        <v/>
      </c>
      <c r="AK1284" s="36">
        <f>AK1266+AK1275</f>
        <v/>
      </c>
      <c r="AL1284" s="36">
        <f>AL1266+AL1275</f>
        <v/>
      </c>
      <c r="AM1284" s="36">
        <f>AM1266+AM1275</f>
        <v/>
      </c>
      <c r="AN1284" s="36">
        <f>AN1266+AN1275</f>
        <v/>
      </c>
    </row>
    <row r="1285" hidden="1" outlineLevel="2">
      <c r="A1285" s="5" t="inlineStr">
        <is>
          <t>nce</t>
        </is>
      </c>
      <c r="B1285" s="5" t="inlineStr">
        <is>
          <t>gso</t>
        </is>
      </c>
      <c r="C1285" s="5" t="inlineStr">
        <is>
          <t>oen</t>
        </is>
      </c>
      <c r="D1285" s="37" t="n"/>
      <c r="E1285" s="37" t="n"/>
      <c r="F1285" s="37" t="n"/>
      <c r="G1285" s="37" t="n"/>
      <c r="H1285" s="5">
        <f>INDEX(Variables!$B$5:$B$65,MATCH($A1285,Variables!$A$5:$A$65,0))&amp;IF($C1285="",""," | "&amp;INDEX(Mapping!$B$5:$B$25,MATCH($C1285,Mapping!$A$5:$A$25,0))&amp;" | "&amp;INDEX(Mapping!$B$29:$B$38,MATCH($B1285,Mapping!$A$29:$A$38,0)))</f>
        <v/>
      </c>
      <c r="I1285" s="5">
        <f>INDEX(Variables!$C$5:$C$65,MATCH($A1285,Variables!$A$5:$A$65,0))</f>
        <v/>
      </c>
      <c r="J1285" s="5">
        <f>INDEX(Variables!$E$5:$E$65,MATCH($A1285,Variables!$A$5:$A$65,0))</f>
        <v/>
      </c>
      <c r="K1285" s="23">
        <f>LOWER(Settings!$C$4)&amp;".mit."&amp;$A1285&amp;IF($C1285="","","."&amp;$C1285&amp;"."&amp;$B1285)&amp;IF(INDEX(Variables!$D$5:$D$65,MATCH($A1285,Variables!$A$5:$A$65,0))="","","."&amp;INDEX(Variables!$D$5:$D$65,MATCH($A1285,Variables!$A$5:$A$65,0)))&amp;"."&amp;K$5</f>
        <v/>
      </c>
      <c r="L1285" s="38">
        <f>L1267+L1276</f>
        <v/>
      </c>
      <c r="M1285" s="36">
        <f>M1267+M1276</f>
        <v/>
      </c>
      <c r="N1285" s="36">
        <f>N1267+N1276</f>
        <v/>
      </c>
      <c r="O1285" s="36">
        <f>O1267+O1276</f>
        <v/>
      </c>
      <c r="P1285" s="36">
        <f>P1267+P1276</f>
        <v/>
      </c>
      <c r="Q1285" s="36">
        <f>Q1267+Q1276</f>
        <v/>
      </c>
      <c r="R1285" s="36">
        <f>R1267+R1276</f>
        <v/>
      </c>
      <c r="S1285" s="36">
        <f>S1267+S1276</f>
        <v/>
      </c>
      <c r="T1285" s="36">
        <f>T1267+T1276</f>
        <v/>
      </c>
      <c r="U1285" s="36">
        <f>U1267+U1276</f>
        <v/>
      </c>
      <c r="V1285" s="36">
        <f>V1267+V1276</f>
        <v/>
      </c>
      <c r="W1285" s="36">
        <f>W1267+W1276</f>
        <v/>
      </c>
      <c r="X1285" s="36">
        <f>X1267+X1276</f>
        <v/>
      </c>
      <c r="Y1285" s="36">
        <f>Y1267+Y1276</f>
        <v/>
      </c>
      <c r="Z1285" s="23">
        <f>LOWER(Settings!$C$4)&amp;".mit."&amp;$A1285&amp;IF($C1285="","","."&amp;$C1285&amp;"."&amp;$B1285)&amp;IF(INDEX(Variables!$D$5:$D$65,MATCH($A1285,Variables!$A$5:$A$65,0))="","","."&amp;INDEX(Variables!$D$5:$D$65,MATCH($A1285,Variables!$A$5:$A$65,0)))&amp;"."&amp;Z$5</f>
        <v/>
      </c>
      <c r="AA1285" s="38">
        <f>AA1267+AA1276</f>
        <v/>
      </c>
      <c r="AB1285" s="36">
        <f>AB1267+AB1276</f>
        <v/>
      </c>
      <c r="AC1285" s="36">
        <f>AC1267+AC1276</f>
        <v/>
      </c>
      <c r="AD1285" s="36">
        <f>AD1267+AD1276</f>
        <v/>
      </c>
      <c r="AE1285" s="36">
        <f>AE1267+AE1276</f>
        <v/>
      </c>
      <c r="AF1285" s="36">
        <f>AF1267+AF1276</f>
        <v/>
      </c>
      <c r="AG1285" s="36">
        <f>AG1267+AG1276</f>
        <v/>
      </c>
      <c r="AH1285" s="36">
        <f>AH1267+AH1276</f>
        <v/>
      </c>
      <c r="AI1285" s="36">
        <f>AI1267+AI1276</f>
        <v/>
      </c>
      <c r="AJ1285" s="36">
        <f>AJ1267+AJ1276</f>
        <v/>
      </c>
      <c r="AK1285" s="36">
        <f>AK1267+AK1276</f>
        <v/>
      </c>
      <c r="AL1285" s="36">
        <f>AL1267+AL1276</f>
        <v/>
      </c>
      <c r="AM1285" s="36">
        <f>AM1267+AM1276</f>
        <v/>
      </c>
      <c r="AN1285" s="36">
        <f>AN1267+AN1276</f>
        <v/>
      </c>
    </row>
    <row r="1286" hidden="1" outlineLevel="2">
      <c r="A1286" s="5" t="inlineStr">
        <is>
          <t>nce</t>
        </is>
      </c>
      <c r="B1286" s="5" t="inlineStr">
        <is>
          <t>die</t>
        </is>
      </c>
      <c r="C1286" s="5" t="inlineStr">
        <is>
          <t>oen</t>
        </is>
      </c>
      <c r="D1286" s="37" t="n"/>
      <c r="E1286" s="37" t="n"/>
      <c r="F1286" s="37" t="n"/>
      <c r="G1286" s="37" t="n"/>
      <c r="H1286" s="5">
        <f>INDEX(Variables!$B$5:$B$65,MATCH($A1286,Variables!$A$5:$A$65,0))&amp;IF($C1286="",""," | "&amp;INDEX(Mapping!$B$5:$B$25,MATCH($C1286,Mapping!$A$5:$A$25,0))&amp;" | "&amp;INDEX(Mapping!$B$29:$B$38,MATCH($B1286,Mapping!$A$29:$A$38,0)))</f>
        <v/>
      </c>
      <c r="I1286" s="5">
        <f>INDEX(Variables!$C$5:$C$65,MATCH($A1286,Variables!$A$5:$A$65,0))</f>
        <v/>
      </c>
      <c r="J1286" s="5">
        <f>INDEX(Variables!$E$5:$E$65,MATCH($A1286,Variables!$A$5:$A$65,0))</f>
        <v/>
      </c>
      <c r="K1286" s="23">
        <f>LOWER(Settings!$C$4)&amp;".mit."&amp;$A1286&amp;IF($C1286="","","."&amp;$C1286&amp;"."&amp;$B1286)&amp;IF(INDEX(Variables!$D$5:$D$65,MATCH($A1286,Variables!$A$5:$A$65,0))="","","."&amp;INDEX(Variables!$D$5:$D$65,MATCH($A1286,Variables!$A$5:$A$65,0)))&amp;"."&amp;K$5</f>
        <v/>
      </c>
      <c r="L1286" s="38">
        <f>L1268+L1277</f>
        <v/>
      </c>
      <c r="M1286" s="36">
        <f>M1268+M1277</f>
        <v/>
      </c>
      <c r="N1286" s="36">
        <f>N1268+N1277</f>
        <v/>
      </c>
      <c r="O1286" s="36">
        <f>O1268+O1277</f>
        <v/>
      </c>
      <c r="P1286" s="36">
        <f>P1268+P1277</f>
        <v/>
      </c>
      <c r="Q1286" s="36">
        <f>Q1268+Q1277</f>
        <v/>
      </c>
      <c r="R1286" s="36">
        <f>R1268+R1277</f>
        <v/>
      </c>
      <c r="S1286" s="36">
        <f>S1268+S1277</f>
        <v/>
      </c>
      <c r="T1286" s="36">
        <f>T1268+T1277</f>
        <v/>
      </c>
      <c r="U1286" s="36">
        <f>U1268+U1277</f>
        <v/>
      </c>
      <c r="V1286" s="36">
        <f>V1268+V1277</f>
        <v/>
      </c>
      <c r="W1286" s="36">
        <f>W1268+W1277</f>
        <v/>
      </c>
      <c r="X1286" s="36">
        <f>X1268+X1277</f>
        <v/>
      </c>
      <c r="Y1286" s="36">
        <f>Y1268+Y1277</f>
        <v/>
      </c>
      <c r="Z1286" s="23">
        <f>LOWER(Settings!$C$4)&amp;".mit."&amp;$A1286&amp;IF($C1286="","","."&amp;$C1286&amp;"."&amp;$B1286)&amp;IF(INDEX(Variables!$D$5:$D$65,MATCH($A1286,Variables!$A$5:$A$65,0))="","","."&amp;INDEX(Variables!$D$5:$D$65,MATCH($A1286,Variables!$A$5:$A$65,0)))&amp;"."&amp;Z$5</f>
        <v/>
      </c>
      <c r="AA1286" s="38">
        <f>AA1268+AA1277</f>
        <v/>
      </c>
      <c r="AB1286" s="36">
        <f>AB1268+AB1277</f>
        <v/>
      </c>
      <c r="AC1286" s="36">
        <f>AC1268+AC1277</f>
        <v/>
      </c>
      <c r="AD1286" s="36">
        <f>AD1268+AD1277</f>
        <v/>
      </c>
      <c r="AE1286" s="36">
        <f>AE1268+AE1277</f>
        <v/>
      </c>
      <c r="AF1286" s="36">
        <f>AF1268+AF1277</f>
        <v/>
      </c>
      <c r="AG1286" s="36">
        <f>AG1268+AG1277</f>
        <v/>
      </c>
      <c r="AH1286" s="36">
        <f>AH1268+AH1277</f>
        <v/>
      </c>
      <c r="AI1286" s="36">
        <f>AI1268+AI1277</f>
        <v/>
      </c>
      <c r="AJ1286" s="36">
        <f>AJ1268+AJ1277</f>
        <v/>
      </c>
      <c r="AK1286" s="36">
        <f>AK1268+AK1277</f>
        <v/>
      </c>
      <c r="AL1286" s="36">
        <f>AL1268+AL1277</f>
        <v/>
      </c>
      <c r="AM1286" s="36">
        <f>AM1268+AM1277</f>
        <v/>
      </c>
      <c r="AN1286" s="36">
        <f>AN1268+AN1277</f>
        <v/>
      </c>
    </row>
    <row r="1287" hidden="1" outlineLevel="2">
      <c r="A1287" s="5" t="inlineStr">
        <is>
          <t>nce</t>
        </is>
      </c>
      <c r="B1287" s="5" t="inlineStr">
        <is>
          <t>lpg</t>
        </is>
      </c>
      <c r="C1287" s="5" t="inlineStr">
        <is>
          <t>oen</t>
        </is>
      </c>
      <c r="D1287" s="37" t="n"/>
      <c r="E1287" s="37" t="n"/>
      <c r="F1287" s="37" t="n"/>
      <c r="G1287" s="37" t="n"/>
      <c r="H1287" s="5">
        <f>INDEX(Variables!$B$5:$B$65,MATCH($A1287,Variables!$A$5:$A$65,0))&amp;IF($C1287="",""," | "&amp;INDEX(Mapping!$B$5:$B$25,MATCH($C1287,Mapping!$A$5:$A$25,0))&amp;" | "&amp;INDEX(Mapping!$B$29:$B$38,MATCH($B1287,Mapping!$A$29:$A$38,0)))</f>
        <v/>
      </c>
      <c r="I1287" s="5">
        <f>INDEX(Variables!$C$5:$C$65,MATCH($A1287,Variables!$A$5:$A$65,0))</f>
        <v/>
      </c>
      <c r="J1287" s="5">
        <f>INDEX(Variables!$E$5:$E$65,MATCH($A1287,Variables!$A$5:$A$65,0))</f>
        <v/>
      </c>
      <c r="K1287" s="23">
        <f>LOWER(Settings!$C$4)&amp;".mit."&amp;$A1287&amp;IF($C1287="","","."&amp;$C1287&amp;"."&amp;$B1287)&amp;IF(INDEX(Variables!$D$5:$D$65,MATCH($A1287,Variables!$A$5:$A$65,0))="","","."&amp;INDEX(Variables!$D$5:$D$65,MATCH($A1287,Variables!$A$5:$A$65,0)))&amp;"."&amp;K$5</f>
        <v/>
      </c>
      <c r="L1287" s="38">
        <f>L1269+L1278</f>
        <v/>
      </c>
      <c r="M1287" s="36">
        <f>M1269+M1278</f>
        <v/>
      </c>
      <c r="N1287" s="36">
        <f>N1269+N1278</f>
        <v/>
      </c>
      <c r="O1287" s="36">
        <f>O1269+O1278</f>
        <v/>
      </c>
      <c r="P1287" s="36">
        <f>P1269+P1278</f>
        <v/>
      </c>
      <c r="Q1287" s="36">
        <f>Q1269+Q1278</f>
        <v/>
      </c>
      <c r="R1287" s="36">
        <f>R1269+R1278</f>
        <v/>
      </c>
      <c r="S1287" s="36">
        <f>S1269+S1278</f>
        <v/>
      </c>
      <c r="T1287" s="36">
        <f>T1269+T1278</f>
        <v/>
      </c>
      <c r="U1287" s="36">
        <f>U1269+U1278</f>
        <v/>
      </c>
      <c r="V1287" s="36">
        <f>V1269+V1278</f>
        <v/>
      </c>
      <c r="W1287" s="36">
        <f>W1269+W1278</f>
        <v/>
      </c>
      <c r="X1287" s="36">
        <f>X1269+X1278</f>
        <v/>
      </c>
      <c r="Y1287" s="36">
        <f>Y1269+Y1278</f>
        <v/>
      </c>
      <c r="Z1287" s="23">
        <f>LOWER(Settings!$C$4)&amp;".mit."&amp;$A1287&amp;IF($C1287="","","."&amp;$C1287&amp;"."&amp;$B1287)&amp;IF(INDEX(Variables!$D$5:$D$65,MATCH($A1287,Variables!$A$5:$A$65,0))="","","."&amp;INDEX(Variables!$D$5:$D$65,MATCH($A1287,Variables!$A$5:$A$65,0)))&amp;"."&amp;Z$5</f>
        <v/>
      </c>
      <c r="AA1287" s="38">
        <f>AA1269+AA1278</f>
        <v/>
      </c>
      <c r="AB1287" s="36">
        <f>AB1269+AB1278</f>
        <v/>
      </c>
      <c r="AC1287" s="36">
        <f>AC1269+AC1278</f>
        <v/>
      </c>
      <c r="AD1287" s="36">
        <f>AD1269+AD1278</f>
        <v/>
      </c>
      <c r="AE1287" s="36">
        <f>AE1269+AE1278</f>
        <v/>
      </c>
      <c r="AF1287" s="36">
        <f>AF1269+AF1278</f>
        <v/>
      </c>
      <c r="AG1287" s="36">
        <f>AG1269+AG1278</f>
        <v/>
      </c>
      <c r="AH1287" s="36">
        <f>AH1269+AH1278</f>
        <v/>
      </c>
      <c r="AI1287" s="36">
        <f>AI1269+AI1278</f>
        <v/>
      </c>
      <c r="AJ1287" s="36">
        <f>AJ1269+AJ1278</f>
        <v/>
      </c>
      <c r="AK1287" s="36">
        <f>AK1269+AK1278</f>
        <v/>
      </c>
      <c r="AL1287" s="36">
        <f>AL1269+AL1278</f>
        <v/>
      </c>
      <c r="AM1287" s="36">
        <f>AM1269+AM1278</f>
        <v/>
      </c>
      <c r="AN1287" s="36">
        <f>AN1269+AN1278</f>
        <v/>
      </c>
    </row>
    <row r="1288" hidden="1" outlineLevel="2">
      <c r="A1288" s="5" t="inlineStr">
        <is>
          <t>nce</t>
        </is>
      </c>
      <c r="B1288" s="5" t="inlineStr">
        <is>
          <t>ker</t>
        </is>
      </c>
      <c r="C1288" s="5" t="inlineStr">
        <is>
          <t>oen</t>
        </is>
      </c>
      <c r="D1288" s="37" t="n"/>
      <c r="E1288" s="37" t="n"/>
      <c r="F1288" s="37" t="n"/>
      <c r="G1288" s="37" t="n"/>
      <c r="H1288" s="5">
        <f>INDEX(Variables!$B$5:$B$65,MATCH($A1288,Variables!$A$5:$A$65,0))&amp;IF($C1288="",""," | "&amp;INDEX(Mapping!$B$5:$B$25,MATCH($C1288,Mapping!$A$5:$A$25,0))&amp;" | "&amp;INDEX(Mapping!$B$29:$B$38,MATCH($B1288,Mapping!$A$29:$A$38,0)))</f>
        <v/>
      </c>
      <c r="I1288" s="5">
        <f>INDEX(Variables!$C$5:$C$65,MATCH($A1288,Variables!$A$5:$A$65,0))</f>
        <v/>
      </c>
      <c r="J1288" s="5">
        <f>INDEX(Variables!$E$5:$E$65,MATCH($A1288,Variables!$A$5:$A$65,0))</f>
        <v/>
      </c>
      <c r="K1288" s="23">
        <f>LOWER(Settings!$C$4)&amp;".mit."&amp;$A1288&amp;IF($C1288="","","."&amp;$C1288&amp;"."&amp;$B1288)&amp;IF(INDEX(Variables!$D$5:$D$65,MATCH($A1288,Variables!$A$5:$A$65,0))="","","."&amp;INDEX(Variables!$D$5:$D$65,MATCH($A1288,Variables!$A$5:$A$65,0)))&amp;"."&amp;K$5</f>
        <v/>
      </c>
      <c r="L1288" s="38">
        <f>L1270+L1279</f>
        <v/>
      </c>
      <c r="M1288" s="36">
        <f>M1270+M1279</f>
        <v/>
      </c>
      <c r="N1288" s="36">
        <f>N1270+N1279</f>
        <v/>
      </c>
      <c r="O1288" s="36">
        <f>O1270+O1279</f>
        <v/>
      </c>
      <c r="P1288" s="36">
        <f>P1270+P1279</f>
        <v/>
      </c>
      <c r="Q1288" s="36">
        <f>Q1270+Q1279</f>
        <v/>
      </c>
      <c r="R1288" s="36">
        <f>R1270+R1279</f>
        <v/>
      </c>
      <c r="S1288" s="36">
        <f>S1270+S1279</f>
        <v/>
      </c>
      <c r="T1288" s="36">
        <f>T1270+T1279</f>
        <v/>
      </c>
      <c r="U1288" s="36">
        <f>U1270+U1279</f>
        <v/>
      </c>
      <c r="V1288" s="36">
        <f>V1270+V1279</f>
        <v/>
      </c>
      <c r="W1288" s="36">
        <f>W1270+W1279</f>
        <v/>
      </c>
      <c r="X1288" s="36">
        <f>X1270+X1279</f>
        <v/>
      </c>
      <c r="Y1288" s="36">
        <f>Y1270+Y1279</f>
        <v/>
      </c>
      <c r="Z1288" s="23">
        <f>LOWER(Settings!$C$4)&amp;".mit."&amp;$A1288&amp;IF($C1288="","","."&amp;$C1288&amp;"."&amp;$B1288)&amp;IF(INDEX(Variables!$D$5:$D$65,MATCH($A1288,Variables!$A$5:$A$65,0))="","","."&amp;INDEX(Variables!$D$5:$D$65,MATCH($A1288,Variables!$A$5:$A$65,0)))&amp;"."&amp;Z$5</f>
        <v/>
      </c>
      <c r="AA1288" s="38">
        <f>AA1270+AA1279</f>
        <v/>
      </c>
      <c r="AB1288" s="36">
        <f>AB1270+AB1279</f>
        <v/>
      </c>
      <c r="AC1288" s="36">
        <f>AC1270+AC1279</f>
        <v/>
      </c>
      <c r="AD1288" s="36">
        <f>AD1270+AD1279</f>
        <v/>
      </c>
      <c r="AE1288" s="36">
        <f>AE1270+AE1279</f>
        <v/>
      </c>
      <c r="AF1288" s="36">
        <f>AF1270+AF1279</f>
        <v/>
      </c>
      <c r="AG1288" s="36">
        <f>AG1270+AG1279</f>
        <v/>
      </c>
      <c r="AH1288" s="36">
        <f>AH1270+AH1279</f>
        <v/>
      </c>
      <c r="AI1288" s="36">
        <f>AI1270+AI1279</f>
        <v/>
      </c>
      <c r="AJ1288" s="36">
        <f>AJ1270+AJ1279</f>
        <v/>
      </c>
      <c r="AK1288" s="36">
        <f>AK1270+AK1279</f>
        <v/>
      </c>
      <c r="AL1288" s="36">
        <f>AL1270+AL1279</f>
        <v/>
      </c>
      <c r="AM1288" s="36">
        <f>AM1270+AM1279</f>
        <v/>
      </c>
      <c r="AN1288" s="36">
        <f>AN1270+AN1279</f>
        <v/>
      </c>
    </row>
    <row r="1289" hidden="1" outlineLevel="2">
      <c r="A1289" s="5" t="inlineStr">
        <is>
          <t>nce</t>
        </is>
      </c>
      <c r="B1289" s="5" t="inlineStr">
        <is>
          <t>oop</t>
        </is>
      </c>
      <c r="C1289" s="5" t="inlineStr">
        <is>
          <t>oen</t>
        </is>
      </c>
      <c r="D1289" s="37" t="n"/>
      <c r="E1289" s="37" t="n"/>
      <c r="F1289" s="37" t="n"/>
      <c r="G1289" s="37" t="n"/>
      <c r="H1289" s="5">
        <f>INDEX(Variables!$B$5:$B$65,MATCH($A1289,Variables!$A$5:$A$65,0))&amp;IF($C1289="",""," | "&amp;INDEX(Mapping!$B$5:$B$25,MATCH($C1289,Mapping!$A$5:$A$25,0))&amp;" | "&amp;INDEX(Mapping!$B$29:$B$38,MATCH($B1289,Mapping!$A$29:$A$38,0)))</f>
        <v/>
      </c>
      <c r="I1289" s="5">
        <f>INDEX(Variables!$C$5:$C$65,MATCH($A1289,Variables!$A$5:$A$65,0))</f>
        <v/>
      </c>
      <c r="J1289" s="5">
        <f>INDEX(Variables!$E$5:$E$65,MATCH($A1289,Variables!$A$5:$A$65,0))</f>
        <v/>
      </c>
      <c r="K1289" s="23">
        <f>LOWER(Settings!$C$4)&amp;".mit."&amp;$A1289&amp;IF($C1289="","","."&amp;$C1289&amp;"."&amp;$B1289)&amp;IF(INDEX(Variables!$D$5:$D$65,MATCH($A1289,Variables!$A$5:$A$65,0))="","","."&amp;INDEX(Variables!$D$5:$D$65,MATCH($A1289,Variables!$A$5:$A$65,0)))&amp;"."&amp;K$5</f>
        <v/>
      </c>
      <c r="L1289" s="38">
        <f>L1271+L1280</f>
        <v/>
      </c>
      <c r="M1289" s="36">
        <f>M1271+M1280</f>
        <v/>
      </c>
      <c r="N1289" s="36">
        <f>N1271+N1280</f>
        <v/>
      </c>
      <c r="O1289" s="36">
        <f>O1271+O1280</f>
        <v/>
      </c>
      <c r="P1289" s="36">
        <f>P1271+P1280</f>
        <v/>
      </c>
      <c r="Q1289" s="36">
        <f>Q1271+Q1280</f>
        <v/>
      </c>
      <c r="R1289" s="36">
        <f>R1271+R1280</f>
        <v/>
      </c>
      <c r="S1289" s="36">
        <f>S1271+S1280</f>
        <v/>
      </c>
      <c r="T1289" s="36">
        <f>T1271+T1280</f>
        <v/>
      </c>
      <c r="U1289" s="36">
        <f>U1271+U1280</f>
        <v/>
      </c>
      <c r="V1289" s="36">
        <f>V1271+V1280</f>
        <v/>
      </c>
      <c r="W1289" s="36">
        <f>W1271+W1280</f>
        <v/>
      </c>
      <c r="X1289" s="36">
        <f>X1271+X1280</f>
        <v/>
      </c>
      <c r="Y1289" s="36">
        <f>Y1271+Y1280</f>
        <v/>
      </c>
      <c r="Z1289" s="23">
        <f>LOWER(Settings!$C$4)&amp;".mit."&amp;$A1289&amp;IF($C1289="","","."&amp;$C1289&amp;"."&amp;$B1289)&amp;IF(INDEX(Variables!$D$5:$D$65,MATCH($A1289,Variables!$A$5:$A$65,0))="","","."&amp;INDEX(Variables!$D$5:$D$65,MATCH($A1289,Variables!$A$5:$A$65,0)))&amp;"."&amp;Z$5</f>
        <v/>
      </c>
      <c r="AA1289" s="38">
        <f>AA1271+AA1280</f>
        <v/>
      </c>
      <c r="AB1289" s="36">
        <f>AB1271+AB1280</f>
        <v/>
      </c>
      <c r="AC1289" s="36">
        <f>AC1271+AC1280</f>
        <v/>
      </c>
      <c r="AD1289" s="36">
        <f>AD1271+AD1280</f>
        <v/>
      </c>
      <c r="AE1289" s="36">
        <f>AE1271+AE1280</f>
        <v/>
      </c>
      <c r="AF1289" s="36">
        <f>AF1271+AF1280</f>
        <v/>
      </c>
      <c r="AG1289" s="36">
        <f>AG1271+AG1280</f>
        <v/>
      </c>
      <c r="AH1289" s="36">
        <f>AH1271+AH1280</f>
        <v/>
      </c>
      <c r="AI1289" s="36">
        <f>AI1271+AI1280</f>
        <v/>
      </c>
      <c r="AJ1289" s="36">
        <f>AJ1271+AJ1280</f>
        <v/>
      </c>
      <c r="AK1289" s="36">
        <f>AK1271+AK1280</f>
        <v/>
      </c>
      <c r="AL1289" s="36">
        <f>AL1271+AL1280</f>
        <v/>
      </c>
      <c r="AM1289" s="36">
        <f>AM1271+AM1280</f>
        <v/>
      </c>
      <c r="AN1289" s="36">
        <f>AN1271+AN1280</f>
        <v/>
      </c>
    </row>
    <row r="1290" hidden="1" outlineLevel="2">
      <c r="A1290" s="5" t="inlineStr">
        <is>
          <t>nce</t>
        </is>
      </c>
      <c r="B1290" s="5" t="inlineStr">
        <is>
          <t>bio</t>
        </is>
      </c>
      <c r="C1290" s="5" t="inlineStr">
        <is>
          <t>oen</t>
        </is>
      </c>
      <c r="D1290" s="37" t="n"/>
      <c r="E1290" s="37" t="n"/>
      <c r="F1290" s="37" t="n"/>
      <c r="G1290" s="37" t="n"/>
      <c r="H1290" s="5">
        <f>INDEX(Variables!$B$5:$B$65,MATCH($A1290,Variables!$A$5:$A$65,0))&amp;IF($C1290="",""," | "&amp;INDEX(Mapping!$B$5:$B$25,MATCH($C1290,Mapping!$A$5:$A$25,0))&amp;" | "&amp;INDEX(Mapping!$B$29:$B$38,MATCH($B1290,Mapping!$A$29:$A$38,0)))</f>
        <v/>
      </c>
      <c r="I1290" s="5">
        <f>INDEX(Variables!$C$5:$C$65,MATCH($A1290,Variables!$A$5:$A$65,0))</f>
        <v/>
      </c>
      <c r="J1290" s="5">
        <f>INDEX(Variables!$E$5:$E$65,MATCH($A1290,Variables!$A$5:$A$65,0))</f>
        <v/>
      </c>
      <c r="K1290" s="23">
        <f>LOWER(Settings!$C$4)&amp;".mit."&amp;$A1290&amp;IF($C1290="","","."&amp;$C1290&amp;"."&amp;$B1290)&amp;IF(INDEX(Variables!$D$5:$D$65,MATCH($A1290,Variables!$A$5:$A$65,0))="","","."&amp;INDEX(Variables!$D$5:$D$65,MATCH($A1290,Variables!$A$5:$A$65,0)))&amp;"."&amp;K$5</f>
        <v/>
      </c>
      <c r="L1290" s="38">
        <f>L1272+L1281</f>
        <v/>
      </c>
      <c r="M1290" s="36">
        <f>M1272+M1281</f>
        <v/>
      </c>
      <c r="N1290" s="36">
        <f>N1272+N1281</f>
        <v/>
      </c>
      <c r="O1290" s="36">
        <f>O1272+O1281</f>
        <v/>
      </c>
      <c r="P1290" s="36">
        <f>P1272+P1281</f>
        <v/>
      </c>
      <c r="Q1290" s="36">
        <f>Q1272+Q1281</f>
        <v/>
      </c>
      <c r="R1290" s="36">
        <f>R1272+R1281</f>
        <v/>
      </c>
      <c r="S1290" s="36">
        <f>S1272+S1281</f>
        <v/>
      </c>
      <c r="T1290" s="36">
        <f>T1272+T1281</f>
        <v/>
      </c>
      <c r="U1290" s="36">
        <f>U1272+U1281</f>
        <v/>
      </c>
      <c r="V1290" s="36">
        <f>V1272+V1281</f>
        <v/>
      </c>
      <c r="W1290" s="36">
        <f>W1272+W1281</f>
        <v/>
      </c>
      <c r="X1290" s="36">
        <f>X1272+X1281</f>
        <v/>
      </c>
      <c r="Y1290" s="36">
        <f>Y1272+Y1281</f>
        <v/>
      </c>
      <c r="Z1290" s="23">
        <f>LOWER(Settings!$C$4)&amp;".mit."&amp;$A1290&amp;IF($C1290="","","."&amp;$C1290&amp;"."&amp;$B1290)&amp;IF(INDEX(Variables!$D$5:$D$65,MATCH($A1290,Variables!$A$5:$A$65,0))="","","."&amp;INDEX(Variables!$D$5:$D$65,MATCH($A1290,Variables!$A$5:$A$65,0)))&amp;"."&amp;Z$5</f>
        <v/>
      </c>
      <c r="AA1290" s="38">
        <f>AA1272+AA1281</f>
        <v/>
      </c>
      <c r="AB1290" s="36">
        <f>AB1272+AB1281</f>
        <v/>
      </c>
      <c r="AC1290" s="36">
        <f>AC1272+AC1281</f>
        <v/>
      </c>
      <c r="AD1290" s="36">
        <f>AD1272+AD1281</f>
        <v/>
      </c>
      <c r="AE1290" s="36">
        <f>AE1272+AE1281</f>
        <v/>
      </c>
      <c r="AF1290" s="36">
        <f>AF1272+AF1281</f>
        <v/>
      </c>
      <c r="AG1290" s="36">
        <f>AG1272+AG1281</f>
        <v/>
      </c>
      <c r="AH1290" s="36">
        <f>AH1272+AH1281</f>
        <v/>
      </c>
      <c r="AI1290" s="36">
        <f>AI1272+AI1281</f>
        <v/>
      </c>
      <c r="AJ1290" s="36">
        <f>AJ1272+AJ1281</f>
        <v/>
      </c>
      <c r="AK1290" s="36">
        <f>AK1272+AK1281</f>
        <v/>
      </c>
      <c r="AL1290" s="36">
        <f>AL1272+AL1281</f>
        <v/>
      </c>
      <c r="AM1290" s="36">
        <f>AM1272+AM1281</f>
        <v/>
      </c>
      <c r="AN1290" s="36">
        <f>AN1272+AN1281</f>
        <v/>
      </c>
    </row>
    <row r="1291" hidden="1" outlineLevel="2"/>
    <row r="1292" hidden="1" outlineLevel="2">
      <c r="A1292" s="5" t="inlineStr">
        <is>
          <t>tax</t>
        </is>
      </c>
      <c r="B1292" s="5" t="inlineStr">
        <is>
          <t>coa</t>
        </is>
      </c>
      <c r="C1292" s="5" t="inlineStr">
        <is>
          <t>oen</t>
        </is>
      </c>
      <c r="D1292" s="36">
        <f>INDEX(Inputs!$T$5:$T$132,MATCH($B1292&amp;"|"&amp;$C1292,Inputs!$A$5:$A$132,0))</f>
        <v/>
      </c>
      <c r="E1292" s="37" t="n"/>
      <c r="F1292" s="37" t="n"/>
      <c r="G1292" s="37" t="n"/>
      <c r="H1292" s="5">
        <f>INDEX(Variables!$B$5:$B$65,MATCH($A1292,Variables!$A$5:$A$65,0))&amp;IF($C1292="",""," | "&amp;INDEX(Mapping!$B$5:$B$25,MATCH($C1292,Mapping!$A$5:$A$25,0))&amp;" | "&amp;INDEX(Mapping!$B$29:$B$38,MATCH($B1292,Mapping!$A$29:$A$38,0)))</f>
        <v/>
      </c>
      <c r="I1292" s="5">
        <f>INDEX(Variables!$C$5:$C$65,MATCH($A1292,Variables!$A$5:$A$65,0))</f>
        <v/>
      </c>
      <c r="J1292" s="5">
        <f>INDEX(Variables!$E$5:$E$65,MATCH($A1292,Variables!$A$5:$A$65,0))</f>
        <v/>
      </c>
      <c r="K1292" s="23">
        <f>LOWER(Settings!$C$4)&amp;".mit."&amp;$A1292&amp;IF($C1292="","","."&amp;$C1292&amp;"."&amp;$B1292)&amp;IF(INDEX(Variables!$D$5:$D$65,MATCH($A1292,Variables!$A$5:$A$65,0))="","","."&amp;INDEX(Variables!$D$5:$D$65,MATCH($A1292,Variables!$A$5:$A$65,0)))&amp;"."&amp;K$5</f>
        <v/>
      </c>
      <c r="L1292" s="38">
        <f>$D1292+L1283</f>
        <v/>
      </c>
      <c r="M1292" s="36">
        <f>$D1292+M1283</f>
        <v/>
      </c>
      <c r="N1292" s="36">
        <f>$D1292+N1283</f>
        <v/>
      </c>
      <c r="O1292" s="36">
        <f>$D1292+O1283</f>
        <v/>
      </c>
      <c r="P1292" s="36">
        <f>$D1292+P1283</f>
        <v/>
      </c>
      <c r="Q1292" s="36">
        <f>$D1292+Q1283</f>
        <v/>
      </c>
      <c r="R1292" s="36">
        <f>$D1292+R1283</f>
        <v/>
      </c>
      <c r="S1292" s="36">
        <f>$D1292+S1283</f>
        <v/>
      </c>
      <c r="T1292" s="36">
        <f>$D1292+T1283</f>
        <v/>
      </c>
      <c r="U1292" s="36">
        <f>$D1292+U1283</f>
        <v/>
      </c>
      <c r="V1292" s="36">
        <f>$D1292+V1283</f>
        <v/>
      </c>
      <c r="W1292" s="36">
        <f>$D1292+W1283</f>
        <v/>
      </c>
      <c r="X1292" s="36">
        <f>$D1292+X1283</f>
        <v/>
      </c>
      <c r="Y1292" s="39">
        <f>TAX($D1292,Y1283)</f>
        <v/>
      </c>
      <c r="Z1292" s="23">
        <f>LOWER(Settings!$C$4)&amp;".mit."&amp;$A1292&amp;IF($C1292="","","."&amp;$C1292&amp;"."&amp;$B1292)&amp;IF(INDEX(Variables!$D$5:$D$65,MATCH($A1292,Variables!$A$5:$A$65,0))="","","."&amp;INDEX(Variables!$D$5:$D$65,MATCH($A1292,Variables!$A$5:$A$65,0)))&amp;"."&amp;Z$5</f>
        <v/>
      </c>
      <c r="AA1292" s="38">
        <f>$D1292+AA1283</f>
        <v/>
      </c>
      <c r="AB1292" s="36">
        <f>$D1292+AB1283</f>
        <v/>
      </c>
      <c r="AC1292" s="36">
        <f>$D1292+AC1283</f>
        <v/>
      </c>
      <c r="AD1292" s="36">
        <f>$D1292+AD1283</f>
        <v/>
      </c>
      <c r="AE1292" s="36">
        <f>$D1292+AE1283</f>
        <v/>
      </c>
      <c r="AF1292" s="36">
        <f>$D1292+AF1283</f>
        <v/>
      </c>
      <c r="AG1292" s="36">
        <f>$D1292+AG1283</f>
        <v/>
      </c>
      <c r="AH1292" s="36">
        <f>$D1292+AH1283</f>
        <v/>
      </c>
      <c r="AI1292" s="36">
        <f>$D1292+AI1283</f>
        <v/>
      </c>
      <c r="AJ1292" s="36">
        <f>$D1292+AJ1283</f>
        <v/>
      </c>
      <c r="AK1292" s="36">
        <f>$D1292+AK1283</f>
        <v/>
      </c>
      <c r="AL1292" s="36">
        <f>$D1292+AL1283</f>
        <v/>
      </c>
      <c r="AM1292" s="36">
        <f>$D1292+AM1283</f>
        <v/>
      </c>
      <c r="AN1292" s="39">
        <f>TAX($D1292,AN1283)</f>
        <v/>
      </c>
    </row>
    <row r="1293" hidden="1" outlineLevel="2">
      <c r="A1293" s="5" t="inlineStr">
        <is>
          <t>tax</t>
        </is>
      </c>
      <c r="B1293" s="5" t="inlineStr">
        <is>
          <t>nga</t>
        </is>
      </c>
      <c r="C1293" s="5" t="inlineStr">
        <is>
          <t>oen</t>
        </is>
      </c>
      <c r="D1293" s="36">
        <f>INDEX(Inputs!$T$5:$T$132,MATCH($B1293&amp;"|"&amp;$C1293,Inputs!$A$5:$A$132,0))</f>
        <v/>
      </c>
      <c r="E1293" s="37" t="n"/>
      <c r="F1293" s="37" t="n"/>
      <c r="G1293" s="37" t="n"/>
      <c r="H1293" s="5">
        <f>INDEX(Variables!$B$5:$B$65,MATCH($A1293,Variables!$A$5:$A$65,0))&amp;IF($C1293="",""," | "&amp;INDEX(Mapping!$B$5:$B$25,MATCH($C1293,Mapping!$A$5:$A$25,0))&amp;" | "&amp;INDEX(Mapping!$B$29:$B$38,MATCH($B1293,Mapping!$A$29:$A$38,0)))</f>
        <v/>
      </c>
      <c r="I1293" s="5">
        <f>INDEX(Variables!$C$5:$C$65,MATCH($A1293,Variables!$A$5:$A$65,0))</f>
        <v/>
      </c>
      <c r="J1293" s="5">
        <f>INDEX(Variables!$E$5:$E$65,MATCH($A1293,Variables!$A$5:$A$65,0))</f>
        <v/>
      </c>
      <c r="K1293" s="23">
        <f>LOWER(Settings!$C$4)&amp;".mit."&amp;$A1293&amp;IF($C1293="","","."&amp;$C1293&amp;"."&amp;$B1293)&amp;IF(INDEX(Variables!$D$5:$D$65,MATCH($A1293,Variables!$A$5:$A$65,0))="","","."&amp;INDEX(Variables!$D$5:$D$65,MATCH($A1293,Variables!$A$5:$A$65,0)))&amp;"."&amp;K$5</f>
        <v/>
      </c>
      <c r="L1293" s="38">
        <f>$D1293+L1284</f>
        <v/>
      </c>
      <c r="M1293" s="36">
        <f>$D1293+M1284</f>
        <v/>
      </c>
      <c r="N1293" s="36">
        <f>$D1293+N1284</f>
        <v/>
      </c>
      <c r="O1293" s="36">
        <f>$D1293+O1284</f>
        <v/>
      </c>
      <c r="P1293" s="36">
        <f>$D1293+P1284</f>
        <v/>
      </c>
      <c r="Q1293" s="36">
        <f>$D1293+Q1284</f>
        <v/>
      </c>
      <c r="R1293" s="36">
        <f>$D1293+R1284</f>
        <v/>
      </c>
      <c r="S1293" s="36">
        <f>$D1293+S1284</f>
        <v/>
      </c>
      <c r="T1293" s="36">
        <f>$D1293+T1284</f>
        <v/>
      </c>
      <c r="U1293" s="36">
        <f>$D1293+U1284</f>
        <v/>
      </c>
      <c r="V1293" s="36">
        <f>$D1293+V1284</f>
        <v/>
      </c>
      <c r="W1293" s="36">
        <f>$D1293+W1284</f>
        <v/>
      </c>
      <c r="X1293" s="36">
        <f>$D1293+X1284</f>
        <v/>
      </c>
      <c r="Y1293" s="39">
        <f>TAX($D1293,Y1284)</f>
        <v/>
      </c>
      <c r="Z1293" s="23">
        <f>LOWER(Settings!$C$4)&amp;".mit."&amp;$A1293&amp;IF($C1293="","","."&amp;$C1293&amp;"."&amp;$B1293)&amp;IF(INDEX(Variables!$D$5:$D$65,MATCH($A1293,Variables!$A$5:$A$65,0))="","","."&amp;INDEX(Variables!$D$5:$D$65,MATCH($A1293,Variables!$A$5:$A$65,0)))&amp;"."&amp;Z$5</f>
        <v/>
      </c>
      <c r="AA1293" s="38">
        <f>$D1293+AA1284</f>
        <v/>
      </c>
      <c r="AB1293" s="36">
        <f>$D1293+AB1284</f>
        <v/>
      </c>
      <c r="AC1293" s="36">
        <f>$D1293+AC1284</f>
        <v/>
      </c>
      <c r="AD1293" s="36">
        <f>$D1293+AD1284</f>
        <v/>
      </c>
      <c r="AE1293" s="36">
        <f>$D1293+AE1284</f>
        <v/>
      </c>
      <c r="AF1293" s="36">
        <f>$D1293+AF1284</f>
        <v/>
      </c>
      <c r="AG1293" s="36">
        <f>$D1293+AG1284</f>
        <v/>
      </c>
      <c r="AH1293" s="36">
        <f>$D1293+AH1284</f>
        <v/>
      </c>
      <c r="AI1293" s="36">
        <f>$D1293+AI1284</f>
        <v/>
      </c>
      <c r="AJ1293" s="36">
        <f>$D1293+AJ1284</f>
        <v/>
      </c>
      <c r="AK1293" s="36">
        <f>$D1293+AK1284</f>
        <v/>
      </c>
      <c r="AL1293" s="36">
        <f>$D1293+AL1284</f>
        <v/>
      </c>
      <c r="AM1293" s="36">
        <f>$D1293+AM1284</f>
        <v/>
      </c>
      <c r="AN1293" s="39">
        <f>TAX($D1293,AN1284)</f>
        <v/>
      </c>
    </row>
    <row r="1294" hidden="1" outlineLevel="2">
      <c r="A1294" s="5" t="inlineStr">
        <is>
          <t>tax</t>
        </is>
      </c>
      <c r="B1294" s="5" t="inlineStr">
        <is>
          <t>gso</t>
        </is>
      </c>
      <c r="C1294" s="5" t="inlineStr">
        <is>
          <t>oen</t>
        </is>
      </c>
      <c r="D1294" s="36">
        <f>INDEX(Inputs!$T$5:$T$132,MATCH($B1294&amp;"|"&amp;$C1294,Inputs!$A$5:$A$132,0))</f>
        <v/>
      </c>
      <c r="E1294" s="37" t="n"/>
      <c r="F1294" s="37" t="n"/>
      <c r="G1294" s="37" t="n"/>
      <c r="H1294" s="5">
        <f>INDEX(Variables!$B$5:$B$65,MATCH($A1294,Variables!$A$5:$A$65,0))&amp;IF($C1294="",""," | "&amp;INDEX(Mapping!$B$5:$B$25,MATCH($C1294,Mapping!$A$5:$A$25,0))&amp;" | "&amp;INDEX(Mapping!$B$29:$B$38,MATCH($B1294,Mapping!$A$29:$A$38,0)))</f>
        <v/>
      </c>
      <c r="I1294" s="5">
        <f>INDEX(Variables!$C$5:$C$65,MATCH($A1294,Variables!$A$5:$A$65,0))</f>
        <v/>
      </c>
      <c r="J1294" s="5">
        <f>INDEX(Variables!$E$5:$E$65,MATCH($A1294,Variables!$A$5:$A$65,0))</f>
        <v/>
      </c>
      <c r="K1294" s="23">
        <f>LOWER(Settings!$C$4)&amp;".mit."&amp;$A1294&amp;IF($C1294="","","."&amp;$C1294&amp;"."&amp;$B1294)&amp;IF(INDEX(Variables!$D$5:$D$65,MATCH($A1294,Variables!$A$5:$A$65,0))="","","."&amp;INDEX(Variables!$D$5:$D$65,MATCH($A1294,Variables!$A$5:$A$65,0)))&amp;"."&amp;K$5</f>
        <v/>
      </c>
      <c r="L1294" s="38">
        <f>$D1294+L1285</f>
        <v/>
      </c>
      <c r="M1294" s="36">
        <f>$D1294+M1285</f>
        <v/>
      </c>
      <c r="N1294" s="36">
        <f>$D1294+N1285</f>
        <v/>
      </c>
      <c r="O1294" s="36">
        <f>$D1294+O1285</f>
        <v/>
      </c>
      <c r="P1294" s="36">
        <f>$D1294+P1285</f>
        <v/>
      </c>
      <c r="Q1294" s="36">
        <f>$D1294+Q1285</f>
        <v/>
      </c>
      <c r="R1294" s="36">
        <f>$D1294+R1285</f>
        <v/>
      </c>
      <c r="S1294" s="36">
        <f>$D1294+S1285</f>
        <v/>
      </c>
      <c r="T1294" s="36">
        <f>$D1294+T1285</f>
        <v/>
      </c>
      <c r="U1294" s="36">
        <f>$D1294+U1285</f>
        <v/>
      </c>
      <c r="V1294" s="36">
        <f>$D1294+V1285</f>
        <v/>
      </c>
      <c r="W1294" s="36">
        <f>$D1294+W1285</f>
        <v/>
      </c>
      <c r="X1294" s="36">
        <f>$D1294+X1285</f>
        <v/>
      </c>
      <c r="Y1294" s="39">
        <f>TAX($D1294,Y1285)</f>
        <v/>
      </c>
      <c r="Z1294" s="23">
        <f>LOWER(Settings!$C$4)&amp;".mit."&amp;$A1294&amp;IF($C1294="","","."&amp;$C1294&amp;"."&amp;$B1294)&amp;IF(INDEX(Variables!$D$5:$D$65,MATCH($A1294,Variables!$A$5:$A$65,0))="","","."&amp;INDEX(Variables!$D$5:$D$65,MATCH($A1294,Variables!$A$5:$A$65,0)))&amp;"."&amp;Z$5</f>
        <v/>
      </c>
      <c r="AA1294" s="38">
        <f>$D1294+AA1285</f>
        <v/>
      </c>
      <c r="AB1294" s="36">
        <f>$D1294+AB1285</f>
        <v/>
      </c>
      <c r="AC1294" s="36">
        <f>$D1294+AC1285</f>
        <v/>
      </c>
      <c r="AD1294" s="36">
        <f>$D1294+AD1285</f>
        <v/>
      </c>
      <c r="AE1294" s="36">
        <f>$D1294+AE1285</f>
        <v/>
      </c>
      <c r="AF1294" s="36">
        <f>$D1294+AF1285</f>
        <v/>
      </c>
      <c r="AG1294" s="36">
        <f>$D1294+AG1285</f>
        <v/>
      </c>
      <c r="AH1294" s="36">
        <f>$D1294+AH1285</f>
        <v/>
      </c>
      <c r="AI1294" s="36">
        <f>$D1294+AI1285</f>
        <v/>
      </c>
      <c r="AJ1294" s="36">
        <f>$D1294+AJ1285</f>
        <v/>
      </c>
      <c r="AK1294" s="36">
        <f>$D1294+AK1285</f>
        <v/>
      </c>
      <c r="AL1294" s="36">
        <f>$D1294+AL1285</f>
        <v/>
      </c>
      <c r="AM1294" s="36">
        <f>$D1294+AM1285</f>
        <v/>
      </c>
      <c r="AN1294" s="39">
        <f>TAX($D1294,AN1285)</f>
        <v/>
      </c>
    </row>
    <row r="1295" hidden="1" outlineLevel="2">
      <c r="A1295" s="5" t="inlineStr">
        <is>
          <t>tax</t>
        </is>
      </c>
      <c r="B1295" s="5" t="inlineStr">
        <is>
          <t>die</t>
        </is>
      </c>
      <c r="C1295" s="5" t="inlineStr">
        <is>
          <t>oen</t>
        </is>
      </c>
      <c r="D1295" s="36">
        <f>INDEX(Inputs!$T$5:$T$132,MATCH($B1295&amp;"|"&amp;$C1295,Inputs!$A$5:$A$132,0))</f>
        <v/>
      </c>
      <c r="E1295" s="37" t="n"/>
      <c r="F1295" s="37" t="n"/>
      <c r="G1295" s="37" t="n"/>
      <c r="H1295" s="5">
        <f>INDEX(Variables!$B$5:$B$65,MATCH($A1295,Variables!$A$5:$A$65,0))&amp;IF($C1295="",""," | "&amp;INDEX(Mapping!$B$5:$B$25,MATCH($C1295,Mapping!$A$5:$A$25,0))&amp;" | "&amp;INDEX(Mapping!$B$29:$B$38,MATCH($B1295,Mapping!$A$29:$A$38,0)))</f>
        <v/>
      </c>
      <c r="I1295" s="5">
        <f>INDEX(Variables!$C$5:$C$65,MATCH($A1295,Variables!$A$5:$A$65,0))</f>
        <v/>
      </c>
      <c r="J1295" s="5">
        <f>INDEX(Variables!$E$5:$E$65,MATCH($A1295,Variables!$A$5:$A$65,0))</f>
        <v/>
      </c>
      <c r="K1295" s="23">
        <f>LOWER(Settings!$C$4)&amp;".mit."&amp;$A1295&amp;IF($C1295="","","."&amp;$C1295&amp;"."&amp;$B1295)&amp;IF(INDEX(Variables!$D$5:$D$65,MATCH($A1295,Variables!$A$5:$A$65,0))="","","."&amp;INDEX(Variables!$D$5:$D$65,MATCH($A1295,Variables!$A$5:$A$65,0)))&amp;"."&amp;K$5</f>
        <v/>
      </c>
      <c r="L1295" s="38">
        <f>$D1295+L1286</f>
        <v/>
      </c>
      <c r="M1295" s="36">
        <f>$D1295+M1286</f>
        <v/>
      </c>
      <c r="N1295" s="36">
        <f>$D1295+N1286</f>
        <v/>
      </c>
      <c r="O1295" s="36">
        <f>$D1295+O1286</f>
        <v/>
      </c>
      <c r="P1295" s="36">
        <f>$D1295+P1286</f>
        <v/>
      </c>
      <c r="Q1295" s="36">
        <f>$D1295+Q1286</f>
        <v/>
      </c>
      <c r="R1295" s="36">
        <f>$D1295+R1286</f>
        <v/>
      </c>
      <c r="S1295" s="36">
        <f>$D1295+S1286</f>
        <v/>
      </c>
      <c r="T1295" s="36">
        <f>$D1295+T1286</f>
        <v/>
      </c>
      <c r="U1295" s="36">
        <f>$D1295+U1286</f>
        <v/>
      </c>
      <c r="V1295" s="36">
        <f>$D1295+V1286</f>
        <v/>
      </c>
      <c r="W1295" s="36">
        <f>$D1295+W1286</f>
        <v/>
      </c>
      <c r="X1295" s="36">
        <f>$D1295+X1286</f>
        <v/>
      </c>
      <c r="Y1295" s="39">
        <f>TAX($D1295,Y1286)</f>
        <v/>
      </c>
      <c r="Z1295" s="23">
        <f>LOWER(Settings!$C$4)&amp;".mit."&amp;$A1295&amp;IF($C1295="","","."&amp;$C1295&amp;"."&amp;$B1295)&amp;IF(INDEX(Variables!$D$5:$D$65,MATCH($A1295,Variables!$A$5:$A$65,0))="","","."&amp;INDEX(Variables!$D$5:$D$65,MATCH($A1295,Variables!$A$5:$A$65,0)))&amp;"."&amp;Z$5</f>
        <v/>
      </c>
      <c r="AA1295" s="38">
        <f>$D1295+AA1286</f>
        <v/>
      </c>
      <c r="AB1295" s="36">
        <f>$D1295+AB1286</f>
        <v/>
      </c>
      <c r="AC1295" s="36">
        <f>$D1295+AC1286</f>
        <v/>
      </c>
      <c r="AD1295" s="36">
        <f>$D1295+AD1286</f>
        <v/>
      </c>
      <c r="AE1295" s="36">
        <f>$D1295+AE1286</f>
        <v/>
      </c>
      <c r="AF1295" s="36">
        <f>$D1295+AF1286</f>
        <v/>
      </c>
      <c r="AG1295" s="36">
        <f>$D1295+AG1286</f>
        <v/>
      </c>
      <c r="AH1295" s="36">
        <f>$D1295+AH1286</f>
        <v/>
      </c>
      <c r="AI1295" s="36">
        <f>$D1295+AI1286</f>
        <v/>
      </c>
      <c r="AJ1295" s="36">
        <f>$D1295+AJ1286</f>
        <v/>
      </c>
      <c r="AK1295" s="36">
        <f>$D1295+AK1286</f>
        <v/>
      </c>
      <c r="AL1295" s="36">
        <f>$D1295+AL1286</f>
        <v/>
      </c>
      <c r="AM1295" s="36">
        <f>$D1295+AM1286</f>
        <v/>
      </c>
      <c r="AN1295" s="39">
        <f>TAX($D1295,AN1286)</f>
        <v/>
      </c>
    </row>
    <row r="1296" hidden="1" outlineLevel="2">
      <c r="A1296" s="5" t="inlineStr">
        <is>
          <t>tax</t>
        </is>
      </c>
      <c r="B1296" s="5" t="inlineStr">
        <is>
          <t>lpg</t>
        </is>
      </c>
      <c r="C1296" s="5" t="inlineStr">
        <is>
          <t>oen</t>
        </is>
      </c>
      <c r="D1296" s="36">
        <f>INDEX(Inputs!$T$5:$T$132,MATCH($B1296&amp;"|"&amp;$C1296,Inputs!$A$5:$A$132,0))</f>
        <v/>
      </c>
      <c r="E1296" s="37" t="n"/>
      <c r="F1296" s="37" t="n"/>
      <c r="G1296" s="37" t="n"/>
      <c r="H1296" s="5">
        <f>INDEX(Variables!$B$5:$B$65,MATCH($A1296,Variables!$A$5:$A$65,0))&amp;IF($C1296="",""," | "&amp;INDEX(Mapping!$B$5:$B$25,MATCH($C1296,Mapping!$A$5:$A$25,0))&amp;" | "&amp;INDEX(Mapping!$B$29:$B$38,MATCH($B1296,Mapping!$A$29:$A$38,0)))</f>
        <v/>
      </c>
      <c r="I1296" s="5">
        <f>INDEX(Variables!$C$5:$C$65,MATCH($A1296,Variables!$A$5:$A$65,0))</f>
        <v/>
      </c>
      <c r="J1296" s="5">
        <f>INDEX(Variables!$E$5:$E$65,MATCH($A1296,Variables!$A$5:$A$65,0))</f>
        <v/>
      </c>
      <c r="K1296" s="23">
        <f>LOWER(Settings!$C$4)&amp;".mit."&amp;$A1296&amp;IF($C1296="","","."&amp;$C1296&amp;"."&amp;$B1296)&amp;IF(INDEX(Variables!$D$5:$D$65,MATCH($A1296,Variables!$A$5:$A$65,0))="","","."&amp;INDEX(Variables!$D$5:$D$65,MATCH($A1296,Variables!$A$5:$A$65,0)))&amp;"."&amp;K$5</f>
        <v/>
      </c>
      <c r="L1296" s="38">
        <f>$D1296+L1287</f>
        <v/>
      </c>
      <c r="M1296" s="36">
        <f>$D1296+M1287</f>
        <v/>
      </c>
      <c r="N1296" s="36">
        <f>$D1296+N1287</f>
        <v/>
      </c>
      <c r="O1296" s="36">
        <f>$D1296+O1287</f>
        <v/>
      </c>
      <c r="P1296" s="36">
        <f>$D1296+P1287</f>
        <v/>
      </c>
      <c r="Q1296" s="36">
        <f>$D1296+Q1287</f>
        <v/>
      </c>
      <c r="R1296" s="36">
        <f>$D1296+R1287</f>
        <v/>
      </c>
      <c r="S1296" s="36">
        <f>$D1296+S1287</f>
        <v/>
      </c>
      <c r="T1296" s="36">
        <f>$D1296+T1287</f>
        <v/>
      </c>
      <c r="U1296" s="36">
        <f>$D1296+U1287</f>
        <v/>
      </c>
      <c r="V1296" s="36">
        <f>$D1296+V1287</f>
        <v/>
      </c>
      <c r="W1296" s="36">
        <f>$D1296+W1287</f>
        <v/>
      </c>
      <c r="X1296" s="36">
        <f>$D1296+X1287</f>
        <v/>
      </c>
      <c r="Y1296" s="39">
        <f>TAX($D1296,Y1287)</f>
        <v/>
      </c>
      <c r="Z1296" s="23">
        <f>LOWER(Settings!$C$4)&amp;".mit."&amp;$A1296&amp;IF($C1296="","","."&amp;$C1296&amp;"."&amp;$B1296)&amp;IF(INDEX(Variables!$D$5:$D$65,MATCH($A1296,Variables!$A$5:$A$65,0))="","","."&amp;INDEX(Variables!$D$5:$D$65,MATCH($A1296,Variables!$A$5:$A$65,0)))&amp;"."&amp;Z$5</f>
        <v/>
      </c>
      <c r="AA1296" s="38">
        <f>$D1296+AA1287</f>
        <v/>
      </c>
      <c r="AB1296" s="36">
        <f>$D1296+AB1287</f>
        <v/>
      </c>
      <c r="AC1296" s="36">
        <f>$D1296+AC1287</f>
        <v/>
      </c>
      <c r="AD1296" s="36">
        <f>$D1296+AD1287</f>
        <v/>
      </c>
      <c r="AE1296" s="36">
        <f>$D1296+AE1287</f>
        <v/>
      </c>
      <c r="AF1296" s="36">
        <f>$D1296+AF1287</f>
        <v/>
      </c>
      <c r="AG1296" s="36">
        <f>$D1296+AG1287</f>
        <v/>
      </c>
      <c r="AH1296" s="36">
        <f>$D1296+AH1287</f>
        <v/>
      </c>
      <c r="AI1296" s="36">
        <f>$D1296+AI1287</f>
        <v/>
      </c>
      <c r="AJ1296" s="36">
        <f>$D1296+AJ1287</f>
        <v/>
      </c>
      <c r="AK1296" s="36">
        <f>$D1296+AK1287</f>
        <v/>
      </c>
      <c r="AL1296" s="36">
        <f>$D1296+AL1287</f>
        <v/>
      </c>
      <c r="AM1296" s="36">
        <f>$D1296+AM1287</f>
        <v/>
      </c>
      <c r="AN1296" s="39">
        <f>TAX($D1296,AN1287)</f>
        <v/>
      </c>
    </row>
    <row r="1297" hidden="1" outlineLevel="2">
      <c r="A1297" s="5" t="inlineStr">
        <is>
          <t>tax</t>
        </is>
      </c>
      <c r="B1297" s="5" t="inlineStr">
        <is>
          <t>ker</t>
        </is>
      </c>
      <c r="C1297" s="5" t="inlineStr">
        <is>
          <t>oen</t>
        </is>
      </c>
      <c r="D1297" s="36">
        <f>INDEX(Inputs!$T$5:$T$132,MATCH($B1297&amp;"|"&amp;$C1297,Inputs!$A$5:$A$132,0))</f>
        <v/>
      </c>
      <c r="E1297" s="37" t="n"/>
      <c r="F1297" s="37" t="n"/>
      <c r="G1297" s="37" t="n"/>
      <c r="H1297" s="5">
        <f>INDEX(Variables!$B$5:$B$65,MATCH($A1297,Variables!$A$5:$A$65,0))&amp;IF($C1297="",""," | "&amp;INDEX(Mapping!$B$5:$B$25,MATCH($C1297,Mapping!$A$5:$A$25,0))&amp;" | "&amp;INDEX(Mapping!$B$29:$B$38,MATCH($B1297,Mapping!$A$29:$A$38,0)))</f>
        <v/>
      </c>
      <c r="I1297" s="5">
        <f>INDEX(Variables!$C$5:$C$65,MATCH($A1297,Variables!$A$5:$A$65,0))</f>
        <v/>
      </c>
      <c r="J1297" s="5">
        <f>INDEX(Variables!$E$5:$E$65,MATCH($A1297,Variables!$A$5:$A$65,0))</f>
        <v/>
      </c>
      <c r="K1297" s="23">
        <f>LOWER(Settings!$C$4)&amp;".mit."&amp;$A1297&amp;IF($C1297="","","."&amp;$C1297&amp;"."&amp;$B1297)&amp;IF(INDEX(Variables!$D$5:$D$65,MATCH($A1297,Variables!$A$5:$A$65,0))="","","."&amp;INDEX(Variables!$D$5:$D$65,MATCH($A1297,Variables!$A$5:$A$65,0)))&amp;"."&amp;K$5</f>
        <v/>
      </c>
      <c r="L1297" s="38">
        <f>$D1297+L1288</f>
        <v/>
      </c>
      <c r="M1297" s="36">
        <f>$D1297+M1288</f>
        <v/>
      </c>
      <c r="N1297" s="36">
        <f>$D1297+N1288</f>
        <v/>
      </c>
      <c r="O1297" s="36">
        <f>$D1297+O1288</f>
        <v/>
      </c>
      <c r="P1297" s="36">
        <f>$D1297+P1288</f>
        <v/>
      </c>
      <c r="Q1297" s="36">
        <f>$D1297+Q1288</f>
        <v/>
      </c>
      <c r="R1297" s="36">
        <f>$D1297+R1288</f>
        <v/>
      </c>
      <c r="S1297" s="36">
        <f>$D1297+S1288</f>
        <v/>
      </c>
      <c r="T1297" s="36">
        <f>$D1297+T1288</f>
        <v/>
      </c>
      <c r="U1297" s="36">
        <f>$D1297+U1288</f>
        <v/>
      </c>
      <c r="V1297" s="36">
        <f>$D1297+V1288</f>
        <v/>
      </c>
      <c r="W1297" s="36">
        <f>$D1297+W1288</f>
        <v/>
      </c>
      <c r="X1297" s="36">
        <f>$D1297+X1288</f>
        <v/>
      </c>
      <c r="Y1297" s="39">
        <f>TAX($D1297,Y1288)</f>
        <v/>
      </c>
      <c r="Z1297" s="23">
        <f>LOWER(Settings!$C$4)&amp;".mit."&amp;$A1297&amp;IF($C1297="","","."&amp;$C1297&amp;"."&amp;$B1297)&amp;IF(INDEX(Variables!$D$5:$D$65,MATCH($A1297,Variables!$A$5:$A$65,0))="","","."&amp;INDEX(Variables!$D$5:$D$65,MATCH($A1297,Variables!$A$5:$A$65,0)))&amp;"."&amp;Z$5</f>
        <v/>
      </c>
      <c r="AA1297" s="38">
        <f>$D1297+AA1288</f>
        <v/>
      </c>
      <c r="AB1297" s="36">
        <f>$D1297+AB1288</f>
        <v/>
      </c>
      <c r="AC1297" s="36">
        <f>$D1297+AC1288</f>
        <v/>
      </c>
      <c r="AD1297" s="36">
        <f>$D1297+AD1288</f>
        <v/>
      </c>
      <c r="AE1297" s="36">
        <f>$D1297+AE1288</f>
        <v/>
      </c>
      <c r="AF1297" s="36">
        <f>$D1297+AF1288</f>
        <v/>
      </c>
      <c r="AG1297" s="36">
        <f>$D1297+AG1288</f>
        <v/>
      </c>
      <c r="AH1297" s="36">
        <f>$D1297+AH1288</f>
        <v/>
      </c>
      <c r="AI1297" s="36">
        <f>$D1297+AI1288</f>
        <v/>
      </c>
      <c r="AJ1297" s="36">
        <f>$D1297+AJ1288</f>
        <v/>
      </c>
      <c r="AK1297" s="36">
        <f>$D1297+AK1288</f>
        <v/>
      </c>
      <c r="AL1297" s="36">
        <f>$D1297+AL1288</f>
        <v/>
      </c>
      <c r="AM1297" s="36">
        <f>$D1297+AM1288</f>
        <v/>
      </c>
      <c r="AN1297" s="39">
        <f>TAX($D1297,AN1288)</f>
        <v/>
      </c>
    </row>
    <row r="1298" hidden="1" outlineLevel="2">
      <c r="A1298" s="5" t="inlineStr">
        <is>
          <t>tax</t>
        </is>
      </c>
      <c r="B1298" s="5" t="inlineStr">
        <is>
          <t>oop</t>
        </is>
      </c>
      <c r="C1298" s="5" t="inlineStr">
        <is>
          <t>oen</t>
        </is>
      </c>
      <c r="D1298" s="36">
        <f>INDEX(Inputs!$T$5:$T$132,MATCH($B1298&amp;"|"&amp;$C1298,Inputs!$A$5:$A$132,0))</f>
        <v/>
      </c>
      <c r="E1298" s="37" t="n"/>
      <c r="F1298" s="37" t="n"/>
      <c r="G1298" s="37" t="n"/>
      <c r="H1298" s="5">
        <f>INDEX(Variables!$B$5:$B$65,MATCH($A1298,Variables!$A$5:$A$65,0))&amp;IF($C1298="",""," | "&amp;INDEX(Mapping!$B$5:$B$25,MATCH($C1298,Mapping!$A$5:$A$25,0))&amp;" | "&amp;INDEX(Mapping!$B$29:$B$38,MATCH($B1298,Mapping!$A$29:$A$38,0)))</f>
        <v/>
      </c>
      <c r="I1298" s="5">
        <f>INDEX(Variables!$C$5:$C$65,MATCH($A1298,Variables!$A$5:$A$65,0))</f>
        <v/>
      </c>
      <c r="J1298" s="5">
        <f>INDEX(Variables!$E$5:$E$65,MATCH($A1298,Variables!$A$5:$A$65,0))</f>
        <v/>
      </c>
      <c r="K1298" s="23">
        <f>LOWER(Settings!$C$4)&amp;".mit."&amp;$A1298&amp;IF($C1298="","","."&amp;$C1298&amp;"."&amp;$B1298)&amp;IF(INDEX(Variables!$D$5:$D$65,MATCH($A1298,Variables!$A$5:$A$65,0))="","","."&amp;INDEX(Variables!$D$5:$D$65,MATCH($A1298,Variables!$A$5:$A$65,0)))&amp;"."&amp;K$5</f>
        <v/>
      </c>
      <c r="L1298" s="38">
        <f>$D1298+L1289</f>
        <v/>
      </c>
      <c r="M1298" s="36">
        <f>$D1298+M1289</f>
        <v/>
      </c>
      <c r="N1298" s="36">
        <f>$D1298+N1289</f>
        <v/>
      </c>
      <c r="O1298" s="36">
        <f>$D1298+O1289</f>
        <v/>
      </c>
      <c r="P1298" s="36">
        <f>$D1298+P1289</f>
        <v/>
      </c>
      <c r="Q1298" s="36">
        <f>$D1298+Q1289</f>
        <v/>
      </c>
      <c r="R1298" s="36">
        <f>$D1298+R1289</f>
        <v/>
      </c>
      <c r="S1298" s="36">
        <f>$D1298+S1289</f>
        <v/>
      </c>
      <c r="T1298" s="36">
        <f>$D1298+T1289</f>
        <v/>
      </c>
      <c r="U1298" s="36">
        <f>$D1298+U1289</f>
        <v/>
      </c>
      <c r="V1298" s="36">
        <f>$D1298+V1289</f>
        <v/>
      </c>
      <c r="W1298" s="36">
        <f>$D1298+W1289</f>
        <v/>
      </c>
      <c r="X1298" s="36">
        <f>$D1298+X1289</f>
        <v/>
      </c>
      <c r="Y1298" s="39">
        <f>TAX($D1298,Y1289)</f>
        <v/>
      </c>
      <c r="Z1298" s="23">
        <f>LOWER(Settings!$C$4)&amp;".mit."&amp;$A1298&amp;IF($C1298="","","."&amp;$C1298&amp;"."&amp;$B1298)&amp;IF(INDEX(Variables!$D$5:$D$65,MATCH($A1298,Variables!$A$5:$A$65,0))="","","."&amp;INDEX(Variables!$D$5:$D$65,MATCH($A1298,Variables!$A$5:$A$65,0)))&amp;"."&amp;Z$5</f>
        <v/>
      </c>
      <c r="AA1298" s="38">
        <f>$D1298+AA1289</f>
        <v/>
      </c>
      <c r="AB1298" s="36">
        <f>$D1298+AB1289</f>
        <v/>
      </c>
      <c r="AC1298" s="36">
        <f>$D1298+AC1289</f>
        <v/>
      </c>
      <c r="AD1298" s="36">
        <f>$D1298+AD1289</f>
        <v/>
      </c>
      <c r="AE1298" s="36">
        <f>$D1298+AE1289</f>
        <v/>
      </c>
      <c r="AF1298" s="36">
        <f>$D1298+AF1289</f>
        <v/>
      </c>
      <c r="AG1298" s="36">
        <f>$D1298+AG1289</f>
        <v/>
      </c>
      <c r="AH1298" s="36">
        <f>$D1298+AH1289</f>
        <v/>
      </c>
      <c r="AI1298" s="36">
        <f>$D1298+AI1289</f>
        <v/>
      </c>
      <c r="AJ1298" s="36">
        <f>$D1298+AJ1289</f>
        <v/>
      </c>
      <c r="AK1298" s="36">
        <f>$D1298+AK1289</f>
        <v/>
      </c>
      <c r="AL1298" s="36">
        <f>$D1298+AL1289</f>
        <v/>
      </c>
      <c r="AM1298" s="36">
        <f>$D1298+AM1289</f>
        <v/>
      </c>
      <c r="AN1298" s="39">
        <f>TAX($D1298,AN1289)</f>
        <v/>
      </c>
    </row>
    <row r="1299" hidden="1" outlineLevel="2">
      <c r="A1299" s="5" t="inlineStr">
        <is>
          <t>tax</t>
        </is>
      </c>
      <c r="B1299" s="5" t="inlineStr">
        <is>
          <t>bio</t>
        </is>
      </c>
      <c r="C1299" s="5" t="inlineStr">
        <is>
          <t>oen</t>
        </is>
      </c>
      <c r="D1299" s="36">
        <f>INDEX(Inputs!$T$5:$T$132,MATCH($B1299&amp;"|"&amp;$C1299,Inputs!$A$5:$A$132,0))</f>
        <v/>
      </c>
      <c r="E1299" s="37" t="n"/>
      <c r="F1299" s="37" t="n"/>
      <c r="G1299" s="37" t="n"/>
      <c r="H1299" s="5">
        <f>INDEX(Variables!$B$5:$B$65,MATCH($A1299,Variables!$A$5:$A$65,0))&amp;IF($C1299="",""," | "&amp;INDEX(Mapping!$B$5:$B$25,MATCH($C1299,Mapping!$A$5:$A$25,0))&amp;" | "&amp;INDEX(Mapping!$B$29:$B$38,MATCH($B1299,Mapping!$A$29:$A$38,0)))</f>
        <v/>
      </c>
      <c r="I1299" s="5">
        <f>INDEX(Variables!$C$5:$C$65,MATCH($A1299,Variables!$A$5:$A$65,0))</f>
        <v/>
      </c>
      <c r="J1299" s="5">
        <f>INDEX(Variables!$E$5:$E$65,MATCH($A1299,Variables!$A$5:$A$65,0))</f>
        <v/>
      </c>
      <c r="K1299" s="23">
        <f>LOWER(Settings!$C$4)&amp;".mit."&amp;$A1299&amp;IF($C1299="","","."&amp;$C1299&amp;"."&amp;$B1299)&amp;IF(INDEX(Variables!$D$5:$D$65,MATCH($A1299,Variables!$A$5:$A$65,0))="","","."&amp;INDEX(Variables!$D$5:$D$65,MATCH($A1299,Variables!$A$5:$A$65,0)))&amp;"."&amp;K$5</f>
        <v/>
      </c>
      <c r="L1299" s="38">
        <f>$D1299+L1290</f>
        <v/>
      </c>
      <c r="M1299" s="36">
        <f>$D1299+M1290</f>
        <v/>
      </c>
      <c r="N1299" s="36">
        <f>$D1299+N1290</f>
        <v/>
      </c>
      <c r="O1299" s="36">
        <f>$D1299+O1290</f>
        <v/>
      </c>
      <c r="P1299" s="36">
        <f>$D1299+P1290</f>
        <v/>
      </c>
      <c r="Q1299" s="36">
        <f>$D1299+Q1290</f>
        <v/>
      </c>
      <c r="R1299" s="36">
        <f>$D1299+R1290</f>
        <v/>
      </c>
      <c r="S1299" s="36">
        <f>$D1299+S1290</f>
        <v/>
      </c>
      <c r="T1299" s="36">
        <f>$D1299+T1290</f>
        <v/>
      </c>
      <c r="U1299" s="36">
        <f>$D1299+U1290</f>
        <v/>
      </c>
      <c r="V1299" s="36">
        <f>$D1299+V1290</f>
        <v/>
      </c>
      <c r="W1299" s="36">
        <f>$D1299+W1290</f>
        <v/>
      </c>
      <c r="X1299" s="36">
        <f>$D1299+X1290</f>
        <v/>
      </c>
      <c r="Y1299" s="39">
        <f>TAX($D1299,Y1290)</f>
        <v/>
      </c>
      <c r="Z1299" s="23">
        <f>LOWER(Settings!$C$4)&amp;".mit."&amp;$A1299&amp;IF($C1299="","","."&amp;$C1299&amp;"."&amp;$B1299)&amp;IF(INDEX(Variables!$D$5:$D$65,MATCH($A1299,Variables!$A$5:$A$65,0))="","","."&amp;INDEX(Variables!$D$5:$D$65,MATCH($A1299,Variables!$A$5:$A$65,0)))&amp;"."&amp;Z$5</f>
        <v/>
      </c>
      <c r="AA1299" s="38">
        <f>$D1299+AA1290</f>
        <v/>
      </c>
      <c r="AB1299" s="36">
        <f>$D1299+AB1290</f>
        <v/>
      </c>
      <c r="AC1299" s="36">
        <f>$D1299+AC1290</f>
        <v/>
      </c>
      <c r="AD1299" s="36">
        <f>$D1299+AD1290</f>
        <v/>
      </c>
      <c r="AE1299" s="36">
        <f>$D1299+AE1290</f>
        <v/>
      </c>
      <c r="AF1299" s="36">
        <f>$D1299+AF1290</f>
        <v/>
      </c>
      <c r="AG1299" s="36">
        <f>$D1299+AG1290</f>
        <v/>
      </c>
      <c r="AH1299" s="36">
        <f>$D1299+AH1290</f>
        <v/>
      </c>
      <c r="AI1299" s="36">
        <f>$D1299+AI1290</f>
        <v/>
      </c>
      <c r="AJ1299" s="36">
        <f>$D1299+AJ1290</f>
        <v/>
      </c>
      <c r="AK1299" s="36">
        <f>$D1299+AK1290</f>
        <v/>
      </c>
      <c r="AL1299" s="36">
        <f>$D1299+AL1290</f>
        <v/>
      </c>
      <c r="AM1299" s="36">
        <f>$D1299+AM1290</f>
        <v/>
      </c>
      <c r="AN1299" s="39">
        <f>TAX($D1299,AN1290)</f>
        <v/>
      </c>
    </row>
    <row r="1300" hidden="1" outlineLevel="2"/>
    <row r="1301" hidden="1" outlineLevel="2">
      <c r="A1301" s="5" t="inlineStr">
        <is>
          <t>atp</t>
        </is>
      </c>
      <c r="B1301" s="5" t="inlineStr">
        <is>
          <t>coa</t>
        </is>
      </c>
      <c r="C1301" s="5" t="inlineStr">
        <is>
          <t>oen</t>
        </is>
      </c>
      <c r="D1301" s="37" t="n"/>
      <c r="E1301" s="37" t="n"/>
      <c r="F1301" s="37" t="n"/>
      <c r="G1301" s="37" t="n"/>
      <c r="H1301" s="5">
        <f>INDEX(Variables!$B$5:$B$65,MATCH($A1301,Variables!$A$5:$A$65,0))&amp;IF($C1301="",""," | "&amp;INDEX(Mapping!$B$5:$B$25,MATCH($C1301,Mapping!$A$5:$A$25,0))&amp;" | "&amp;INDEX(Mapping!$B$29:$B$38,MATCH($B1301,Mapping!$A$29:$A$38,0)))</f>
        <v/>
      </c>
      <c r="I1301" s="5">
        <f>INDEX(Variables!$C$5:$C$65,MATCH($A1301,Variables!$A$5:$A$65,0))</f>
        <v/>
      </c>
      <c r="J1301" s="5">
        <f>INDEX(Variables!$E$5:$E$65,MATCH($A1301,Variables!$A$5:$A$65,0))</f>
        <v/>
      </c>
      <c r="K1301" s="23">
        <f>LOWER(Settings!$C$4)&amp;".mit."&amp;$A1301&amp;IF($C1301="","","."&amp;$C1301&amp;"."&amp;$B1301)&amp;IF(INDEX(Variables!$D$5:$D$65,MATCH($A1301,Variables!$A$5:$A$65,0))="","","."&amp;INDEX(Variables!$D$5:$D$65,MATCH($A1301,Variables!$A$5:$A$65,0)))&amp;"."&amp;K$5</f>
        <v/>
      </c>
      <c r="L1301" s="38">
        <f>L1256+L1292</f>
        <v/>
      </c>
      <c r="M1301" s="36">
        <f>M1256+M1292</f>
        <v/>
      </c>
      <c r="N1301" s="36">
        <f>N1256+N1292</f>
        <v/>
      </c>
      <c r="O1301" s="36">
        <f>O1256+O1292</f>
        <v/>
      </c>
      <c r="P1301" s="36">
        <f>P1256+P1292</f>
        <v/>
      </c>
      <c r="Q1301" s="36">
        <f>Q1256+Q1292</f>
        <v/>
      </c>
      <c r="R1301" s="36">
        <f>R1256+R1292</f>
        <v/>
      </c>
      <c r="S1301" s="36">
        <f>S1256+S1292</f>
        <v/>
      </c>
      <c r="T1301" s="36">
        <f>T1256+T1292</f>
        <v/>
      </c>
      <c r="U1301" s="36">
        <f>U1256+U1292</f>
        <v/>
      </c>
      <c r="V1301" s="36">
        <f>V1256+V1292</f>
        <v/>
      </c>
      <c r="W1301" s="36">
        <f>W1256+W1292</f>
        <v/>
      </c>
      <c r="X1301" s="36">
        <f>X1256+X1292</f>
        <v/>
      </c>
      <c r="Y1301" s="39">
        <f>POSTTAX(Y1256,Y1292)</f>
        <v/>
      </c>
      <c r="Z1301" s="23">
        <f>LOWER(Settings!$C$4)&amp;".mit."&amp;$A1301&amp;IF($C1301="","","."&amp;$C1301&amp;"."&amp;$B1301)&amp;IF(INDEX(Variables!$D$5:$D$65,MATCH($A1301,Variables!$A$5:$A$65,0))="","","."&amp;INDEX(Variables!$D$5:$D$65,MATCH($A1301,Variables!$A$5:$A$65,0)))&amp;"."&amp;Z$5</f>
        <v/>
      </c>
      <c r="AA1301" s="38">
        <f>AA1256+AA1292</f>
        <v/>
      </c>
      <c r="AB1301" s="36">
        <f>AB1256+AB1292</f>
        <v/>
      </c>
      <c r="AC1301" s="36">
        <f>AC1256+AC1292</f>
        <v/>
      </c>
      <c r="AD1301" s="36">
        <f>AD1256+AD1292</f>
        <v/>
      </c>
      <c r="AE1301" s="36">
        <f>AE1256+AE1292</f>
        <v/>
      </c>
      <c r="AF1301" s="36">
        <f>AF1256+AF1292</f>
        <v/>
      </c>
      <c r="AG1301" s="36">
        <f>AG1256+AG1292</f>
        <v/>
      </c>
      <c r="AH1301" s="36">
        <f>AH1256+AH1292</f>
        <v/>
      </c>
      <c r="AI1301" s="36">
        <f>AI1256+AI1292</f>
        <v/>
      </c>
      <c r="AJ1301" s="36">
        <f>AJ1256+AJ1292</f>
        <v/>
      </c>
      <c r="AK1301" s="36">
        <f>AK1256+AK1292</f>
        <v/>
      </c>
      <c r="AL1301" s="36">
        <f>AL1256+AL1292</f>
        <v/>
      </c>
      <c r="AM1301" s="36">
        <f>AM1256+AM1292</f>
        <v/>
      </c>
      <c r="AN1301" s="39">
        <f>POSTTAX(AN1256,AN1292)</f>
        <v/>
      </c>
    </row>
    <row r="1302" hidden="1" outlineLevel="2">
      <c r="A1302" s="5" t="inlineStr">
        <is>
          <t>atp</t>
        </is>
      </c>
      <c r="B1302" s="5" t="inlineStr">
        <is>
          <t>nga</t>
        </is>
      </c>
      <c r="C1302" s="5" t="inlineStr">
        <is>
          <t>oen</t>
        </is>
      </c>
      <c r="D1302" s="37" t="n"/>
      <c r="E1302" s="37" t="n"/>
      <c r="F1302" s="37" t="n"/>
      <c r="G1302" s="37" t="n"/>
      <c r="H1302" s="5">
        <f>INDEX(Variables!$B$5:$B$65,MATCH($A1302,Variables!$A$5:$A$65,0))&amp;IF($C1302="",""," | "&amp;INDEX(Mapping!$B$5:$B$25,MATCH($C1302,Mapping!$A$5:$A$25,0))&amp;" | "&amp;INDEX(Mapping!$B$29:$B$38,MATCH($B1302,Mapping!$A$29:$A$38,0)))</f>
        <v/>
      </c>
      <c r="I1302" s="5">
        <f>INDEX(Variables!$C$5:$C$65,MATCH($A1302,Variables!$A$5:$A$65,0))</f>
        <v/>
      </c>
      <c r="J1302" s="5">
        <f>INDEX(Variables!$E$5:$E$65,MATCH($A1302,Variables!$A$5:$A$65,0))</f>
        <v/>
      </c>
      <c r="K1302" s="23">
        <f>LOWER(Settings!$C$4)&amp;".mit."&amp;$A1302&amp;IF($C1302="","","."&amp;$C1302&amp;"."&amp;$B1302)&amp;IF(INDEX(Variables!$D$5:$D$65,MATCH($A1302,Variables!$A$5:$A$65,0))="","","."&amp;INDEX(Variables!$D$5:$D$65,MATCH($A1302,Variables!$A$5:$A$65,0)))&amp;"."&amp;K$5</f>
        <v/>
      </c>
      <c r="L1302" s="38">
        <f>L1257+L1293</f>
        <v/>
      </c>
      <c r="M1302" s="36">
        <f>M1257+M1293</f>
        <v/>
      </c>
      <c r="N1302" s="36">
        <f>N1257+N1293</f>
        <v/>
      </c>
      <c r="O1302" s="36">
        <f>O1257+O1293</f>
        <v/>
      </c>
      <c r="P1302" s="36">
        <f>P1257+P1293</f>
        <v/>
      </c>
      <c r="Q1302" s="36">
        <f>Q1257+Q1293</f>
        <v/>
      </c>
      <c r="R1302" s="36">
        <f>R1257+R1293</f>
        <v/>
      </c>
      <c r="S1302" s="36">
        <f>S1257+S1293</f>
        <v/>
      </c>
      <c r="T1302" s="36">
        <f>T1257+T1293</f>
        <v/>
      </c>
      <c r="U1302" s="36">
        <f>U1257+U1293</f>
        <v/>
      </c>
      <c r="V1302" s="36">
        <f>V1257+V1293</f>
        <v/>
      </c>
      <c r="W1302" s="36">
        <f>W1257+W1293</f>
        <v/>
      </c>
      <c r="X1302" s="36">
        <f>X1257+X1293</f>
        <v/>
      </c>
      <c r="Y1302" s="39">
        <f>POSTTAX(Y1257,Y1293)</f>
        <v/>
      </c>
      <c r="Z1302" s="23">
        <f>LOWER(Settings!$C$4)&amp;".mit."&amp;$A1302&amp;IF($C1302="","","."&amp;$C1302&amp;"."&amp;$B1302)&amp;IF(INDEX(Variables!$D$5:$D$65,MATCH($A1302,Variables!$A$5:$A$65,0))="","","."&amp;INDEX(Variables!$D$5:$D$65,MATCH($A1302,Variables!$A$5:$A$65,0)))&amp;"."&amp;Z$5</f>
        <v/>
      </c>
      <c r="AA1302" s="38">
        <f>AA1257+AA1293</f>
        <v/>
      </c>
      <c r="AB1302" s="36">
        <f>AB1257+AB1293</f>
        <v/>
      </c>
      <c r="AC1302" s="36">
        <f>AC1257+AC1293</f>
        <v/>
      </c>
      <c r="AD1302" s="36">
        <f>AD1257+AD1293</f>
        <v/>
      </c>
      <c r="AE1302" s="36">
        <f>AE1257+AE1293</f>
        <v/>
      </c>
      <c r="AF1302" s="36">
        <f>AF1257+AF1293</f>
        <v/>
      </c>
      <c r="AG1302" s="36">
        <f>AG1257+AG1293</f>
        <v/>
      </c>
      <c r="AH1302" s="36">
        <f>AH1257+AH1293</f>
        <v/>
      </c>
      <c r="AI1302" s="36">
        <f>AI1257+AI1293</f>
        <v/>
      </c>
      <c r="AJ1302" s="36">
        <f>AJ1257+AJ1293</f>
        <v/>
      </c>
      <c r="AK1302" s="36">
        <f>AK1257+AK1293</f>
        <v/>
      </c>
      <c r="AL1302" s="36">
        <f>AL1257+AL1293</f>
        <v/>
      </c>
      <c r="AM1302" s="36">
        <f>AM1257+AM1293</f>
        <v/>
      </c>
      <c r="AN1302" s="39">
        <f>POSTTAX(AN1257,AN1293)</f>
        <v/>
      </c>
    </row>
    <row r="1303" hidden="1" outlineLevel="2">
      <c r="A1303" s="5" t="inlineStr">
        <is>
          <t>atp</t>
        </is>
      </c>
      <c r="B1303" s="5" t="inlineStr">
        <is>
          <t>gso</t>
        </is>
      </c>
      <c r="C1303" s="5" t="inlineStr">
        <is>
          <t>oen</t>
        </is>
      </c>
      <c r="D1303" s="37" t="n"/>
      <c r="E1303" s="37" t="n"/>
      <c r="F1303" s="37" t="n"/>
      <c r="G1303" s="37" t="n"/>
      <c r="H1303" s="5">
        <f>INDEX(Variables!$B$5:$B$65,MATCH($A1303,Variables!$A$5:$A$65,0))&amp;IF($C1303="",""," | "&amp;INDEX(Mapping!$B$5:$B$25,MATCH($C1303,Mapping!$A$5:$A$25,0))&amp;" | "&amp;INDEX(Mapping!$B$29:$B$38,MATCH($B1303,Mapping!$A$29:$A$38,0)))</f>
        <v/>
      </c>
      <c r="I1303" s="5">
        <f>INDEX(Variables!$C$5:$C$65,MATCH($A1303,Variables!$A$5:$A$65,0))</f>
        <v/>
      </c>
      <c r="J1303" s="5">
        <f>INDEX(Variables!$E$5:$E$65,MATCH($A1303,Variables!$A$5:$A$65,0))</f>
        <v/>
      </c>
      <c r="K1303" s="23">
        <f>LOWER(Settings!$C$4)&amp;".mit."&amp;$A1303&amp;IF($C1303="","","."&amp;$C1303&amp;"."&amp;$B1303)&amp;IF(INDEX(Variables!$D$5:$D$65,MATCH($A1303,Variables!$A$5:$A$65,0))="","","."&amp;INDEX(Variables!$D$5:$D$65,MATCH($A1303,Variables!$A$5:$A$65,0)))&amp;"."&amp;K$5</f>
        <v/>
      </c>
      <c r="L1303" s="38">
        <f>L1258+L1294</f>
        <v/>
      </c>
      <c r="M1303" s="36">
        <f>M1258+M1294</f>
        <v/>
      </c>
      <c r="N1303" s="36">
        <f>N1258+N1294</f>
        <v/>
      </c>
      <c r="O1303" s="36">
        <f>O1258+O1294</f>
        <v/>
      </c>
      <c r="P1303" s="36">
        <f>P1258+P1294</f>
        <v/>
      </c>
      <c r="Q1303" s="36">
        <f>Q1258+Q1294</f>
        <v/>
      </c>
      <c r="R1303" s="36">
        <f>R1258+R1294</f>
        <v/>
      </c>
      <c r="S1303" s="36">
        <f>S1258+S1294</f>
        <v/>
      </c>
      <c r="T1303" s="36">
        <f>T1258+T1294</f>
        <v/>
      </c>
      <c r="U1303" s="36">
        <f>U1258+U1294</f>
        <v/>
      </c>
      <c r="V1303" s="36">
        <f>V1258+V1294</f>
        <v/>
      </c>
      <c r="W1303" s="36">
        <f>W1258+W1294</f>
        <v/>
      </c>
      <c r="X1303" s="36">
        <f>X1258+X1294</f>
        <v/>
      </c>
      <c r="Y1303" s="39">
        <f>POSTTAX(Y1258,Y1294)</f>
        <v/>
      </c>
      <c r="Z1303" s="23">
        <f>LOWER(Settings!$C$4)&amp;".mit."&amp;$A1303&amp;IF($C1303="","","."&amp;$C1303&amp;"."&amp;$B1303)&amp;IF(INDEX(Variables!$D$5:$D$65,MATCH($A1303,Variables!$A$5:$A$65,0))="","","."&amp;INDEX(Variables!$D$5:$D$65,MATCH($A1303,Variables!$A$5:$A$65,0)))&amp;"."&amp;Z$5</f>
        <v/>
      </c>
      <c r="AA1303" s="38">
        <f>AA1258+AA1294</f>
        <v/>
      </c>
      <c r="AB1303" s="36">
        <f>AB1258+AB1294</f>
        <v/>
      </c>
      <c r="AC1303" s="36">
        <f>AC1258+AC1294</f>
        <v/>
      </c>
      <c r="AD1303" s="36">
        <f>AD1258+AD1294</f>
        <v/>
      </c>
      <c r="AE1303" s="36">
        <f>AE1258+AE1294</f>
        <v/>
      </c>
      <c r="AF1303" s="36">
        <f>AF1258+AF1294</f>
        <v/>
      </c>
      <c r="AG1303" s="36">
        <f>AG1258+AG1294</f>
        <v/>
      </c>
      <c r="AH1303" s="36">
        <f>AH1258+AH1294</f>
        <v/>
      </c>
      <c r="AI1303" s="36">
        <f>AI1258+AI1294</f>
        <v/>
      </c>
      <c r="AJ1303" s="36">
        <f>AJ1258+AJ1294</f>
        <v/>
      </c>
      <c r="AK1303" s="36">
        <f>AK1258+AK1294</f>
        <v/>
      </c>
      <c r="AL1303" s="36">
        <f>AL1258+AL1294</f>
        <v/>
      </c>
      <c r="AM1303" s="36">
        <f>AM1258+AM1294</f>
        <v/>
      </c>
      <c r="AN1303" s="39">
        <f>POSTTAX(AN1258,AN1294)</f>
        <v/>
      </c>
    </row>
    <row r="1304" hidden="1" outlineLevel="2">
      <c r="A1304" s="5" t="inlineStr">
        <is>
          <t>atp</t>
        </is>
      </c>
      <c r="B1304" s="5" t="inlineStr">
        <is>
          <t>die</t>
        </is>
      </c>
      <c r="C1304" s="5" t="inlineStr">
        <is>
          <t>oen</t>
        </is>
      </c>
      <c r="D1304" s="37" t="n"/>
      <c r="E1304" s="37" t="n"/>
      <c r="F1304" s="37" t="n"/>
      <c r="G1304" s="37" t="n"/>
      <c r="H1304" s="5">
        <f>INDEX(Variables!$B$5:$B$65,MATCH($A1304,Variables!$A$5:$A$65,0))&amp;IF($C1304="",""," | "&amp;INDEX(Mapping!$B$5:$B$25,MATCH($C1304,Mapping!$A$5:$A$25,0))&amp;" | "&amp;INDEX(Mapping!$B$29:$B$38,MATCH($B1304,Mapping!$A$29:$A$38,0)))</f>
        <v/>
      </c>
      <c r="I1304" s="5">
        <f>INDEX(Variables!$C$5:$C$65,MATCH($A1304,Variables!$A$5:$A$65,0))</f>
        <v/>
      </c>
      <c r="J1304" s="5">
        <f>INDEX(Variables!$E$5:$E$65,MATCH($A1304,Variables!$A$5:$A$65,0))</f>
        <v/>
      </c>
      <c r="K1304" s="23">
        <f>LOWER(Settings!$C$4)&amp;".mit."&amp;$A1304&amp;IF($C1304="","","."&amp;$C1304&amp;"."&amp;$B1304)&amp;IF(INDEX(Variables!$D$5:$D$65,MATCH($A1304,Variables!$A$5:$A$65,0))="","","."&amp;INDEX(Variables!$D$5:$D$65,MATCH($A1304,Variables!$A$5:$A$65,0)))&amp;"."&amp;K$5</f>
        <v/>
      </c>
      <c r="L1304" s="38">
        <f>L1259+L1295</f>
        <v/>
      </c>
      <c r="M1304" s="36">
        <f>M1259+M1295</f>
        <v/>
      </c>
      <c r="N1304" s="36">
        <f>N1259+N1295</f>
        <v/>
      </c>
      <c r="O1304" s="36">
        <f>O1259+O1295</f>
        <v/>
      </c>
      <c r="P1304" s="36">
        <f>P1259+P1295</f>
        <v/>
      </c>
      <c r="Q1304" s="36">
        <f>Q1259+Q1295</f>
        <v/>
      </c>
      <c r="R1304" s="36">
        <f>R1259+R1295</f>
        <v/>
      </c>
      <c r="S1304" s="36">
        <f>S1259+S1295</f>
        <v/>
      </c>
      <c r="T1304" s="36">
        <f>T1259+T1295</f>
        <v/>
      </c>
      <c r="U1304" s="36">
        <f>U1259+U1295</f>
        <v/>
      </c>
      <c r="V1304" s="36">
        <f>V1259+V1295</f>
        <v/>
      </c>
      <c r="W1304" s="36">
        <f>W1259+W1295</f>
        <v/>
      </c>
      <c r="X1304" s="36">
        <f>X1259+X1295</f>
        <v/>
      </c>
      <c r="Y1304" s="39">
        <f>POSTTAX(Y1259,Y1295)</f>
        <v/>
      </c>
      <c r="Z1304" s="23">
        <f>LOWER(Settings!$C$4)&amp;".mit."&amp;$A1304&amp;IF($C1304="","","."&amp;$C1304&amp;"."&amp;$B1304)&amp;IF(INDEX(Variables!$D$5:$D$65,MATCH($A1304,Variables!$A$5:$A$65,0))="","","."&amp;INDEX(Variables!$D$5:$D$65,MATCH($A1304,Variables!$A$5:$A$65,0)))&amp;"."&amp;Z$5</f>
        <v/>
      </c>
      <c r="AA1304" s="38">
        <f>AA1259+AA1295</f>
        <v/>
      </c>
      <c r="AB1304" s="36">
        <f>AB1259+AB1295</f>
        <v/>
      </c>
      <c r="AC1304" s="36">
        <f>AC1259+AC1295</f>
        <v/>
      </c>
      <c r="AD1304" s="36">
        <f>AD1259+AD1295</f>
        <v/>
      </c>
      <c r="AE1304" s="36">
        <f>AE1259+AE1295</f>
        <v/>
      </c>
      <c r="AF1304" s="36">
        <f>AF1259+AF1295</f>
        <v/>
      </c>
      <c r="AG1304" s="36">
        <f>AG1259+AG1295</f>
        <v/>
      </c>
      <c r="AH1304" s="36">
        <f>AH1259+AH1295</f>
        <v/>
      </c>
      <c r="AI1304" s="36">
        <f>AI1259+AI1295</f>
        <v/>
      </c>
      <c r="AJ1304" s="36">
        <f>AJ1259+AJ1295</f>
        <v/>
      </c>
      <c r="AK1304" s="36">
        <f>AK1259+AK1295</f>
        <v/>
      </c>
      <c r="AL1304" s="36">
        <f>AL1259+AL1295</f>
        <v/>
      </c>
      <c r="AM1304" s="36">
        <f>AM1259+AM1295</f>
        <v/>
      </c>
      <c r="AN1304" s="39">
        <f>POSTTAX(AN1259,AN1295)</f>
        <v/>
      </c>
    </row>
    <row r="1305" hidden="1" outlineLevel="2">
      <c r="A1305" s="5" t="inlineStr">
        <is>
          <t>atp</t>
        </is>
      </c>
      <c r="B1305" s="5" t="inlineStr">
        <is>
          <t>lpg</t>
        </is>
      </c>
      <c r="C1305" s="5" t="inlineStr">
        <is>
          <t>oen</t>
        </is>
      </c>
      <c r="D1305" s="37" t="n"/>
      <c r="E1305" s="37" t="n"/>
      <c r="F1305" s="37" t="n"/>
      <c r="G1305" s="37" t="n"/>
      <c r="H1305" s="5">
        <f>INDEX(Variables!$B$5:$B$65,MATCH($A1305,Variables!$A$5:$A$65,0))&amp;IF($C1305="",""," | "&amp;INDEX(Mapping!$B$5:$B$25,MATCH($C1305,Mapping!$A$5:$A$25,0))&amp;" | "&amp;INDEX(Mapping!$B$29:$B$38,MATCH($B1305,Mapping!$A$29:$A$38,0)))</f>
        <v/>
      </c>
      <c r="I1305" s="5">
        <f>INDEX(Variables!$C$5:$C$65,MATCH($A1305,Variables!$A$5:$A$65,0))</f>
        <v/>
      </c>
      <c r="J1305" s="5">
        <f>INDEX(Variables!$E$5:$E$65,MATCH($A1305,Variables!$A$5:$A$65,0))</f>
        <v/>
      </c>
      <c r="K1305" s="23">
        <f>LOWER(Settings!$C$4)&amp;".mit."&amp;$A1305&amp;IF($C1305="","","."&amp;$C1305&amp;"."&amp;$B1305)&amp;IF(INDEX(Variables!$D$5:$D$65,MATCH($A1305,Variables!$A$5:$A$65,0))="","","."&amp;INDEX(Variables!$D$5:$D$65,MATCH($A1305,Variables!$A$5:$A$65,0)))&amp;"."&amp;K$5</f>
        <v/>
      </c>
      <c r="L1305" s="38">
        <f>L1260+L1296</f>
        <v/>
      </c>
      <c r="M1305" s="36">
        <f>M1260+M1296</f>
        <v/>
      </c>
      <c r="N1305" s="36">
        <f>N1260+N1296</f>
        <v/>
      </c>
      <c r="O1305" s="36">
        <f>O1260+O1296</f>
        <v/>
      </c>
      <c r="P1305" s="36">
        <f>P1260+P1296</f>
        <v/>
      </c>
      <c r="Q1305" s="36">
        <f>Q1260+Q1296</f>
        <v/>
      </c>
      <c r="R1305" s="36">
        <f>R1260+R1296</f>
        <v/>
      </c>
      <c r="S1305" s="36">
        <f>S1260+S1296</f>
        <v/>
      </c>
      <c r="T1305" s="36">
        <f>T1260+T1296</f>
        <v/>
      </c>
      <c r="U1305" s="36">
        <f>U1260+U1296</f>
        <v/>
      </c>
      <c r="V1305" s="36">
        <f>V1260+V1296</f>
        <v/>
      </c>
      <c r="W1305" s="36">
        <f>W1260+W1296</f>
        <v/>
      </c>
      <c r="X1305" s="36">
        <f>X1260+X1296</f>
        <v/>
      </c>
      <c r="Y1305" s="39">
        <f>POSTTAX(Y1260,Y1296)</f>
        <v/>
      </c>
      <c r="Z1305" s="23">
        <f>LOWER(Settings!$C$4)&amp;".mit."&amp;$A1305&amp;IF($C1305="","","."&amp;$C1305&amp;"."&amp;$B1305)&amp;IF(INDEX(Variables!$D$5:$D$65,MATCH($A1305,Variables!$A$5:$A$65,0))="","","."&amp;INDEX(Variables!$D$5:$D$65,MATCH($A1305,Variables!$A$5:$A$65,0)))&amp;"."&amp;Z$5</f>
        <v/>
      </c>
      <c r="AA1305" s="38">
        <f>AA1260+AA1296</f>
        <v/>
      </c>
      <c r="AB1305" s="36">
        <f>AB1260+AB1296</f>
        <v/>
      </c>
      <c r="AC1305" s="36">
        <f>AC1260+AC1296</f>
        <v/>
      </c>
      <c r="AD1305" s="36">
        <f>AD1260+AD1296</f>
        <v/>
      </c>
      <c r="AE1305" s="36">
        <f>AE1260+AE1296</f>
        <v/>
      </c>
      <c r="AF1305" s="36">
        <f>AF1260+AF1296</f>
        <v/>
      </c>
      <c r="AG1305" s="36">
        <f>AG1260+AG1296</f>
        <v/>
      </c>
      <c r="AH1305" s="36">
        <f>AH1260+AH1296</f>
        <v/>
      </c>
      <c r="AI1305" s="36">
        <f>AI1260+AI1296</f>
        <v/>
      </c>
      <c r="AJ1305" s="36">
        <f>AJ1260+AJ1296</f>
        <v/>
      </c>
      <c r="AK1305" s="36">
        <f>AK1260+AK1296</f>
        <v/>
      </c>
      <c r="AL1305" s="36">
        <f>AL1260+AL1296</f>
        <v/>
      </c>
      <c r="AM1305" s="36">
        <f>AM1260+AM1296</f>
        <v/>
      </c>
      <c r="AN1305" s="39">
        <f>POSTTAX(AN1260,AN1296)</f>
        <v/>
      </c>
    </row>
    <row r="1306" hidden="1" outlineLevel="2">
      <c r="A1306" s="5" t="inlineStr">
        <is>
          <t>atp</t>
        </is>
      </c>
      <c r="B1306" s="5" t="inlineStr">
        <is>
          <t>ker</t>
        </is>
      </c>
      <c r="C1306" s="5" t="inlineStr">
        <is>
          <t>oen</t>
        </is>
      </c>
      <c r="D1306" s="37" t="n"/>
      <c r="E1306" s="37" t="n"/>
      <c r="F1306" s="37" t="n"/>
      <c r="G1306" s="37" t="n"/>
      <c r="H1306" s="5">
        <f>INDEX(Variables!$B$5:$B$65,MATCH($A1306,Variables!$A$5:$A$65,0))&amp;IF($C1306="",""," | "&amp;INDEX(Mapping!$B$5:$B$25,MATCH($C1306,Mapping!$A$5:$A$25,0))&amp;" | "&amp;INDEX(Mapping!$B$29:$B$38,MATCH($B1306,Mapping!$A$29:$A$38,0)))</f>
        <v/>
      </c>
      <c r="I1306" s="5">
        <f>INDEX(Variables!$C$5:$C$65,MATCH($A1306,Variables!$A$5:$A$65,0))</f>
        <v/>
      </c>
      <c r="J1306" s="5">
        <f>INDEX(Variables!$E$5:$E$65,MATCH($A1306,Variables!$A$5:$A$65,0))</f>
        <v/>
      </c>
      <c r="K1306" s="23">
        <f>LOWER(Settings!$C$4)&amp;".mit."&amp;$A1306&amp;IF($C1306="","","."&amp;$C1306&amp;"."&amp;$B1306)&amp;IF(INDEX(Variables!$D$5:$D$65,MATCH($A1306,Variables!$A$5:$A$65,0))="","","."&amp;INDEX(Variables!$D$5:$D$65,MATCH($A1306,Variables!$A$5:$A$65,0)))&amp;"."&amp;K$5</f>
        <v/>
      </c>
      <c r="L1306" s="38">
        <f>L1261+L1297</f>
        <v/>
      </c>
      <c r="M1306" s="36">
        <f>M1261+M1297</f>
        <v/>
      </c>
      <c r="N1306" s="36">
        <f>N1261+N1297</f>
        <v/>
      </c>
      <c r="O1306" s="36">
        <f>O1261+O1297</f>
        <v/>
      </c>
      <c r="P1306" s="36">
        <f>P1261+P1297</f>
        <v/>
      </c>
      <c r="Q1306" s="36">
        <f>Q1261+Q1297</f>
        <v/>
      </c>
      <c r="R1306" s="36">
        <f>R1261+R1297</f>
        <v/>
      </c>
      <c r="S1306" s="36">
        <f>S1261+S1297</f>
        <v/>
      </c>
      <c r="T1306" s="36">
        <f>T1261+T1297</f>
        <v/>
      </c>
      <c r="U1306" s="36">
        <f>U1261+U1297</f>
        <v/>
      </c>
      <c r="V1306" s="36">
        <f>V1261+V1297</f>
        <v/>
      </c>
      <c r="W1306" s="36">
        <f>W1261+W1297</f>
        <v/>
      </c>
      <c r="X1306" s="36">
        <f>X1261+X1297</f>
        <v/>
      </c>
      <c r="Y1306" s="39">
        <f>POSTTAX(Y1261,Y1297)</f>
        <v/>
      </c>
      <c r="Z1306" s="23">
        <f>LOWER(Settings!$C$4)&amp;".mit."&amp;$A1306&amp;IF($C1306="","","."&amp;$C1306&amp;"."&amp;$B1306)&amp;IF(INDEX(Variables!$D$5:$D$65,MATCH($A1306,Variables!$A$5:$A$65,0))="","","."&amp;INDEX(Variables!$D$5:$D$65,MATCH($A1306,Variables!$A$5:$A$65,0)))&amp;"."&amp;Z$5</f>
        <v/>
      </c>
      <c r="AA1306" s="38">
        <f>AA1261+AA1297</f>
        <v/>
      </c>
      <c r="AB1306" s="36">
        <f>AB1261+AB1297</f>
        <v/>
      </c>
      <c r="AC1306" s="36">
        <f>AC1261+AC1297</f>
        <v/>
      </c>
      <c r="AD1306" s="36">
        <f>AD1261+AD1297</f>
        <v/>
      </c>
      <c r="AE1306" s="36">
        <f>AE1261+AE1297</f>
        <v/>
      </c>
      <c r="AF1306" s="36">
        <f>AF1261+AF1297</f>
        <v/>
      </c>
      <c r="AG1306" s="36">
        <f>AG1261+AG1297</f>
        <v/>
      </c>
      <c r="AH1306" s="36">
        <f>AH1261+AH1297</f>
        <v/>
      </c>
      <c r="AI1306" s="36">
        <f>AI1261+AI1297</f>
        <v/>
      </c>
      <c r="AJ1306" s="36">
        <f>AJ1261+AJ1297</f>
        <v/>
      </c>
      <c r="AK1306" s="36">
        <f>AK1261+AK1297</f>
        <v/>
      </c>
      <c r="AL1306" s="36">
        <f>AL1261+AL1297</f>
        <v/>
      </c>
      <c r="AM1306" s="36">
        <f>AM1261+AM1297</f>
        <v/>
      </c>
      <c r="AN1306" s="39">
        <f>POSTTAX(AN1261,AN1297)</f>
        <v/>
      </c>
    </row>
    <row r="1307" hidden="1" outlineLevel="2">
      <c r="A1307" s="5" t="inlineStr">
        <is>
          <t>atp</t>
        </is>
      </c>
      <c r="B1307" s="5" t="inlineStr">
        <is>
          <t>oop</t>
        </is>
      </c>
      <c r="C1307" s="5" t="inlineStr">
        <is>
          <t>oen</t>
        </is>
      </c>
      <c r="D1307" s="37" t="n"/>
      <c r="E1307" s="37" t="n"/>
      <c r="F1307" s="37" t="n"/>
      <c r="G1307" s="37" t="n"/>
      <c r="H1307" s="5">
        <f>INDEX(Variables!$B$5:$B$65,MATCH($A1307,Variables!$A$5:$A$65,0))&amp;IF($C1307="",""," | "&amp;INDEX(Mapping!$B$5:$B$25,MATCH($C1307,Mapping!$A$5:$A$25,0))&amp;" | "&amp;INDEX(Mapping!$B$29:$B$38,MATCH($B1307,Mapping!$A$29:$A$38,0)))</f>
        <v/>
      </c>
      <c r="I1307" s="5">
        <f>INDEX(Variables!$C$5:$C$65,MATCH($A1307,Variables!$A$5:$A$65,0))</f>
        <v/>
      </c>
      <c r="J1307" s="5">
        <f>INDEX(Variables!$E$5:$E$65,MATCH($A1307,Variables!$A$5:$A$65,0))</f>
        <v/>
      </c>
      <c r="K1307" s="23">
        <f>LOWER(Settings!$C$4)&amp;".mit."&amp;$A1307&amp;IF($C1307="","","."&amp;$C1307&amp;"."&amp;$B1307)&amp;IF(INDEX(Variables!$D$5:$D$65,MATCH($A1307,Variables!$A$5:$A$65,0))="","","."&amp;INDEX(Variables!$D$5:$D$65,MATCH($A1307,Variables!$A$5:$A$65,0)))&amp;"."&amp;K$5</f>
        <v/>
      </c>
      <c r="L1307" s="38">
        <f>L1262+L1298</f>
        <v/>
      </c>
      <c r="M1307" s="36">
        <f>M1262+M1298</f>
        <v/>
      </c>
      <c r="N1307" s="36">
        <f>N1262+N1298</f>
        <v/>
      </c>
      <c r="O1307" s="36">
        <f>O1262+O1298</f>
        <v/>
      </c>
      <c r="P1307" s="36">
        <f>P1262+P1298</f>
        <v/>
      </c>
      <c r="Q1307" s="36">
        <f>Q1262+Q1298</f>
        <v/>
      </c>
      <c r="R1307" s="36">
        <f>R1262+R1298</f>
        <v/>
      </c>
      <c r="S1307" s="36">
        <f>S1262+S1298</f>
        <v/>
      </c>
      <c r="T1307" s="36">
        <f>T1262+T1298</f>
        <v/>
      </c>
      <c r="U1307" s="36">
        <f>U1262+U1298</f>
        <v/>
      </c>
      <c r="V1307" s="36">
        <f>V1262+V1298</f>
        <v/>
      </c>
      <c r="W1307" s="36">
        <f>W1262+W1298</f>
        <v/>
      </c>
      <c r="X1307" s="36">
        <f>X1262+X1298</f>
        <v/>
      </c>
      <c r="Y1307" s="39">
        <f>POSTTAX(Y1262,Y1298)</f>
        <v/>
      </c>
      <c r="Z1307" s="23">
        <f>LOWER(Settings!$C$4)&amp;".mit."&amp;$A1307&amp;IF($C1307="","","."&amp;$C1307&amp;"."&amp;$B1307)&amp;IF(INDEX(Variables!$D$5:$D$65,MATCH($A1307,Variables!$A$5:$A$65,0))="","","."&amp;INDEX(Variables!$D$5:$D$65,MATCH($A1307,Variables!$A$5:$A$65,0)))&amp;"."&amp;Z$5</f>
        <v/>
      </c>
      <c r="AA1307" s="38">
        <f>AA1262+AA1298</f>
        <v/>
      </c>
      <c r="AB1307" s="36">
        <f>AB1262+AB1298</f>
        <v/>
      </c>
      <c r="AC1307" s="36">
        <f>AC1262+AC1298</f>
        <v/>
      </c>
      <c r="AD1307" s="36">
        <f>AD1262+AD1298</f>
        <v/>
      </c>
      <c r="AE1307" s="36">
        <f>AE1262+AE1298</f>
        <v/>
      </c>
      <c r="AF1307" s="36">
        <f>AF1262+AF1298</f>
        <v/>
      </c>
      <c r="AG1307" s="36">
        <f>AG1262+AG1298</f>
        <v/>
      </c>
      <c r="AH1307" s="36">
        <f>AH1262+AH1298</f>
        <v/>
      </c>
      <c r="AI1307" s="36">
        <f>AI1262+AI1298</f>
        <v/>
      </c>
      <c r="AJ1307" s="36">
        <f>AJ1262+AJ1298</f>
        <v/>
      </c>
      <c r="AK1307" s="36">
        <f>AK1262+AK1298</f>
        <v/>
      </c>
      <c r="AL1307" s="36">
        <f>AL1262+AL1298</f>
        <v/>
      </c>
      <c r="AM1307" s="36">
        <f>AM1262+AM1298</f>
        <v/>
      </c>
      <c r="AN1307" s="39">
        <f>POSTTAX(AN1262,AN1298)</f>
        <v/>
      </c>
    </row>
    <row r="1308" hidden="1" outlineLevel="2">
      <c r="A1308" s="5" t="inlineStr">
        <is>
          <t>atp</t>
        </is>
      </c>
      <c r="B1308" s="5" t="inlineStr">
        <is>
          <t>bio</t>
        </is>
      </c>
      <c r="C1308" s="5" t="inlineStr">
        <is>
          <t>oen</t>
        </is>
      </c>
      <c r="D1308" s="37" t="n"/>
      <c r="E1308" s="37" t="n"/>
      <c r="F1308" s="37" t="n"/>
      <c r="G1308" s="37" t="n"/>
      <c r="H1308" s="5">
        <f>INDEX(Variables!$B$5:$B$65,MATCH($A1308,Variables!$A$5:$A$65,0))&amp;IF($C1308="",""," | "&amp;INDEX(Mapping!$B$5:$B$25,MATCH($C1308,Mapping!$A$5:$A$25,0))&amp;" | "&amp;INDEX(Mapping!$B$29:$B$38,MATCH($B1308,Mapping!$A$29:$A$38,0)))</f>
        <v/>
      </c>
      <c r="I1308" s="5">
        <f>INDEX(Variables!$C$5:$C$65,MATCH($A1308,Variables!$A$5:$A$65,0))</f>
        <v/>
      </c>
      <c r="J1308" s="5">
        <f>INDEX(Variables!$E$5:$E$65,MATCH($A1308,Variables!$A$5:$A$65,0))</f>
        <v/>
      </c>
      <c r="K1308" s="23">
        <f>LOWER(Settings!$C$4)&amp;".mit."&amp;$A1308&amp;IF($C1308="","","."&amp;$C1308&amp;"."&amp;$B1308)&amp;IF(INDEX(Variables!$D$5:$D$65,MATCH($A1308,Variables!$A$5:$A$65,0))="","","."&amp;INDEX(Variables!$D$5:$D$65,MATCH($A1308,Variables!$A$5:$A$65,0)))&amp;"."&amp;K$5</f>
        <v/>
      </c>
      <c r="L1308" s="38">
        <f>L1263+L1299</f>
        <v/>
      </c>
      <c r="M1308" s="36">
        <f>M1263+M1299</f>
        <v/>
      </c>
      <c r="N1308" s="36">
        <f>N1263+N1299</f>
        <v/>
      </c>
      <c r="O1308" s="36">
        <f>O1263+O1299</f>
        <v/>
      </c>
      <c r="P1308" s="36">
        <f>P1263+P1299</f>
        <v/>
      </c>
      <c r="Q1308" s="36">
        <f>Q1263+Q1299</f>
        <v/>
      </c>
      <c r="R1308" s="36">
        <f>R1263+R1299</f>
        <v/>
      </c>
      <c r="S1308" s="36">
        <f>S1263+S1299</f>
        <v/>
      </c>
      <c r="T1308" s="36">
        <f>T1263+T1299</f>
        <v/>
      </c>
      <c r="U1308" s="36">
        <f>U1263+U1299</f>
        <v/>
      </c>
      <c r="V1308" s="36">
        <f>V1263+V1299</f>
        <v/>
      </c>
      <c r="W1308" s="36">
        <f>W1263+W1299</f>
        <v/>
      </c>
      <c r="X1308" s="36">
        <f>X1263+X1299</f>
        <v/>
      </c>
      <c r="Y1308" s="39">
        <f>POSTTAX(Y1263,Y1299)</f>
        <v/>
      </c>
      <c r="Z1308" s="23">
        <f>LOWER(Settings!$C$4)&amp;".mit."&amp;$A1308&amp;IF($C1308="","","."&amp;$C1308&amp;"."&amp;$B1308)&amp;IF(INDEX(Variables!$D$5:$D$65,MATCH($A1308,Variables!$A$5:$A$65,0))="","","."&amp;INDEX(Variables!$D$5:$D$65,MATCH($A1308,Variables!$A$5:$A$65,0)))&amp;"."&amp;Z$5</f>
        <v/>
      </c>
      <c r="AA1308" s="38">
        <f>AA1263+AA1299</f>
        <v/>
      </c>
      <c r="AB1308" s="36">
        <f>AB1263+AB1299</f>
        <v/>
      </c>
      <c r="AC1308" s="36">
        <f>AC1263+AC1299</f>
        <v/>
      </c>
      <c r="AD1308" s="36">
        <f>AD1263+AD1299</f>
        <v/>
      </c>
      <c r="AE1308" s="36">
        <f>AE1263+AE1299</f>
        <v/>
      </c>
      <c r="AF1308" s="36">
        <f>AF1263+AF1299</f>
        <v/>
      </c>
      <c r="AG1308" s="36">
        <f>AG1263+AG1299</f>
        <v/>
      </c>
      <c r="AH1308" s="36">
        <f>AH1263+AH1299</f>
        <v/>
      </c>
      <c r="AI1308" s="36">
        <f>AI1263+AI1299</f>
        <v/>
      </c>
      <c r="AJ1308" s="36">
        <f>AJ1263+AJ1299</f>
        <v/>
      </c>
      <c r="AK1308" s="36">
        <f>AK1263+AK1299</f>
        <v/>
      </c>
      <c r="AL1308" s="36">
        <f>AL1263+AL1299</f>
        <v/>
      </c>
      <c r="AM1308" s="36">
        <f>AM1263+AM1299</f>
        <v/>
      </c>
      <c r="AN1308" s="39">
        <f>POSTTAX(AN1263,AN1299)</f>
        <v/>
      </c>
    </row>
    <row r="1309" hidden="1" outlineLevel="2"/>
    <row r="1310" hidden="1" outlineLevel="2">
      <c r="A1310" s="5" t="inlineStr">
        <is>
          <t>shp</t>
        </is>
      </c>
      <c r="B1310" s="5" t="inlineStr">
        <is>
          <t>coa</t>
        </is>
      </c>
      <c r="C1310" s="5" t="inlineStr">
        <is>
          <t>oen</t>
        </is>
      </c>
      <c r="D1310" s="36">
        <f>INDEX(Inputs!$M$5:$M$132,MATCH($B1310&amp;"|"&amp;$C1310,Inputs!$A$5:$A$132,0))</f>
        <v/>
      </c>
      <c r="E1310" s="36">
        <f>INDEX(Inputs!$U$5:$U$132,MATCH($B1310&amp;"|"&amp;$C1310,Inputs!$A$5:$A$132,0))</f>
        <v/>
      </c>
      <c r="F1310" s="36">
        <f>INDEX(Inputs!$K$5:$K$132,MATCH($B1310&amp;"|"&amp;$C1310,Inputs!$A$5:$A$132,0))</f>
        <v/>
      </c>
      <c r="G1310" s="37" t="n"/>
      <c r="H1310" s="5">
        <f>INDEX(Variables!$B$5:$B$65,MATCH($A1310,Variables!$A$5:$A$65,0))&amp;IF($C1310="",""," | "&amp;INDEX(Mapping!$B$5:$B$25,MATCH($C1310,Mapping!$A$5:$A$25,0))&amp;" | "&amp;INDEX(Mapping!$B$29:$B$38,MATCH($B1310,Mapping!$A$29:$A$38,0)))</f>
        <v/>
      </c>
      <c r="I1310" s="5">
        <f>INDEX(Variables!$C$5:$C$65,MATCH($A1310,Variables!$A$5:$A$65,0))</f>
        <v/>
      </c>
      <c r="J1310" s="5">
        <f>INDEX(Variables!$E$5:$E$65,MATCH($A1310,Variables!$A$5:$A$65,0))</f>
        <v/>
      </c>
      <c r="K1310" s="23">
        <f>LOWER(Settings!$C$4)&amp;".mit."&amp;$A1310&amp;IF($C1310="","","."&amp;$C1310&amp;"."&amp;$B1310)&amp;IF(INDEX(Variables!$D$5:$D$65,MATCH($A1310,Variables!$A$5:$A$65,0))="","","."&amp;INDEX(Variables!$D$5:$D$65,MATCH($A1310,Variables!$A$5:$A$65,0)))&amp;"."&amp;K$5</f>
        <v/>
      </c>
      <c r="L1310" s="38">
        <f>INDEX(L$124:L$127,$D1310)*$E1310*INDEX(L$128:L$144,$F1310)</f>
        <v/>
      </c>
      <c r="M1310" s="36">
        <f>INDEX(M$124:M$127,$D1310)*$E1310*INDEX(M$128:M$144,$F1310)</f>
        <v/>
      </c>
      <c r="N1310" s="36">
        <f>INDEX(N$124:N$127,$D1310)*$E1310*INDEX(N$128:N$144,$F1310)</f>
        <v/>
      </c>
      <c r="O1310" s="36">
        <f>INDEX(O$124:O$127,$D1310)*$E1310*INDEX(O$128:O$144,$F1310)</f>
        <v/>
      </c>
      <c r="P1310" s="36">
        <f>INDEX(P$124:P$127,$D1310)*$E1310*INDEX(P$128:P$144,$F1310)</f>
        <v/>
      </c>
      <c r="Q1310" s="36">
        <f>INDEX(Q$124:Q$127,$D1310)*$E1310*INDEX(Q$128:Q$144,$F1310)</f>
        <v/>
      </c>
      <c r="R1310" s="36">
        <f>INDEX(R$124:R$127,$D1310)*$E1310*INDEX(R$128:R$144,$F1310)</f>
        <v/>
      </c>
      <c r="S1310" s="36">
        <f>INDEX(S$124:S$127,$D1310)*$E1310*INDEX(S$128:S$144,$F1310)</f>
        <v/>
      </c>
      <c r="T1310" s="36">
        <f>INDEX(T$124:T$127,$D1310)*$E1310*INDEX(T$128:T$144,$F1310)</f>
        <v/>
      </c>
      <c r="U1310" s="36">
        <f>INDEX(U$124:U$127,$D1310)*$E1310*INDEX(U$128:U$144,$F1310)</f>
        <v/>
      </c>
      <c r="V1310" s="36">
        <f>INDEX(V$124:V$127,$D1310)*$E1310*INDEX(V$128:V$144,$F1310)</f>
        <v/>
      </c>
      <c r="W1310" s="36">
        <f>INDEX(W$124:W$127,$D1310)*$E1310*INDEX(W$128:W$144,$F1310)</f>
        <v/>
      </c>
      <c r="X1310" s="36">
        <f>INDEX(X$124:X$127,$D1310)*$E1310*INDEX(X$128:X$144,$F1310)</f>
        <v/>
      </c>
      <c r="Y1310" s="36">
        <f>INDEX(Y$124:Y$127,$D1310)*$E1310*INDEX(Y$128:Y$144,$F1310)</f>
        <v/>
      </c>
      <c r="Z1310" s="23">
        <f>LOWER(Settings!$C$4)&amp;".mit."&amp;$A1310&amp;IF($C1310="","","."&amp;$C1310&amp;"."&amp;$B1310)&amp;IF(INDEX(Variables!$D$5:$D$65,MATCH($A1310,Variables!$A$5:$A$65,0))="","","."&amp;INDEX(Variables!$D$5:$D$65,MATCH($A1310,Variables!$A$5:$A$65,0)))&amp;"."&amp;Z$5</f>
        <v/>
      </c>
      <c r="AA1310" s="38">
        <f>INDEX(AA$124:AA$127,$D1310)*$E1310*INDEX(AA$128:AA$144,$F1310)</f>
        <v/>
      </c>
      <c r="AB1310" s="36">
        <f>INDEX(AB$124:AB$127,$D1310)*$E1310*INDEX(AB$128:AB$144,$F1310)</f>
        <v/>
      </c>
      <c r="AC1310" s="36">
        <f>INDEX(AC$124:AC$127,$D1310)*$E1310*INDEX(AC$128:AC$144,$F1310)</f>
        <v/>
      </c>
      <c r="AD1310" s="36">
        <f>INDEX(AD$124:AD$127,$D1310)*$E1310*INDEX(AD$128:AD$144,$F1310)</f>
        <v/>
      </c>
      <c r="AE1310" s="36">
        <f>INDEX(AE$124:AE$127,$D1310)*$E1310*INDEX(AE$128:AE$144,$F1310)</f>
        <v/>
      </c>
      <c r="AF1310" s="36">
        <f>INDEX(AF$124:AF$127,$D1310)*$E1310*INDEX(AF$128:AF$144,$F1310)</f>
        <v/>
      </c>
      <c r="AG1310" s="36">
        <f>INDEX(AG$124:AG$127,$D1310)*$E1310*INDEX(AG$128:AG$144,$F1310)</f>
        <v/>
      </c>
      <c r="AH1310" s="36">
        <f>INDEX(AH$124:AH$127,$D1310)*$E1310*INDEX(AH$128:AH$144,$F1310)</f>
        <v/>
      </c>
      <c r="AI1310" s="36">
        <f>INDEX(AI$124:AI$127,$D1310)*$E1310*INDEX(AI$128:AI$144,$F1310)</f>
        <v/>
      </c>
      <c r="AJ1310" s="36">
        <f>INDEX(AJ$124:AJ$127,$D1310)*$E1310*INDEX(AJ$128:AJ$144,$F1310)</f>
        <v/>
      </c>
      <c r="AK1310" s="36">
        <f>INDEX(AK$124:AK$127,$D1310)*$E1310*INDEX(AK$128:AK$144,$F1310)</f>
        <v/>
      </c>
      <c r="AL1310" s="36">
        <f>INDEX(AL$124:AL$127,$D1310)*$E1310*INDEX(AL$128:AL$144,$F1310)</f>
        <v/>
      </c>
      <c r="AM1310" s="36">
        <f>INDEX(AM$124:AM$127,$D1310)*$E1310*INDEX(AM$128:AM$144,$F1310)</f>
        <v/>
      </c>
      <c r="AN1310" s="36">
        <f>INDEX(AN$124:AN$127,$D1310)*$E1310*INDEX(AN$128:AN$144,$F1310)</f>
        <v/>
      </c>
    </row>
    <row r="1311" hidden="1" outlineLevel="2">
      <c r="A1311" s="5" t="inlineStr">
        <is>
          <t>shp</t>
        </is>
      </c>
      <c r="B1311" s="5" t="inlineStr">
        <is>
          <t>nga</t>
        </is>
      </c>
      <c r="C1311" s="5" t="inlineStr">
        <is>
          <t>oen</t>
        </is>
      </c>
      <c r="D1311" s="36">
        <f>INDEX(Inputs!$M$5:$M$132,MATCH($B1311&amp;"|"&amp;$C1311,Inputs!$A$5:$A$132,0))</f>
        <v/>
      </c>
      <c r="E1311" s="36">
        <f>INDEX(Inputs!$U$5:$U$132,MATCH($B1311&amp;"|"&amp;$C1311,Inputs!$A$5:$A$132,0))</f>
        <v/>
      </c>
      <c r="F1311" s="36">
        <f>INDEX(Inputs!$K$5:$K$132,MATCH($B1311&amp;"|"&amp;$C1311,Inputs!$A$5:$A$132,0))</f>
        <v/>
      </c>
      <c r="G1311" s="37" t="n"/>
      <c r="H1311" s="5">
        <f>INDEX(Variables!$B$5:$B$65,MATCH($A1311,Variables!$A$5:$A$65,0))&amp;IF($C1311="",""," | "&amp;INDEX(Mapping!$B$5:$B$25,MATCH($C1311,Mapping!$A$5:$A$25,0))&amp;" | "&amp;INDEX(Mapping!$B$29:$B$38,MATCH($B1311,Mapping!$A$29:$A$38,0)))</f>
        <v/>
      </c>
      <c r="I1311" s="5">
        <f>INDEX(Variables!$C$5:$C$65,MATCH($A1311,Variables!$A$5:$A$65,0))</f>
        <v/>
      </c>
      <c r="J1311" s="5">
        <f>INDEX(Variables!$E$5:$E$65,MATCH($A1311,Variables!$A$5:$A$65,0))</f>
        <v/>
      </c>
      <c r="K1311" s="23">
        <f>LOWER(Settings!$C$4)&amp;".mit."&amp;$A1311&amp;IF($C1311="","","."&amp;$C1311&amp;"."&amp;$B1311)&amp;IF(INDEX(Variables!$D$5:$D$65,MATCH($A1311,Variables!$A$5:$A$65,0))="","","."&amp;INDEX(Variables!$D$5:$D$65,MATCH($A1311,Variables!$A$5:$A$65,0)))&amp;"."&amp;K$5</f>
        <v/>
      </c>
      <c r="L1311" s="38">
        <f>INDEX(L$124:L$127,$D1311)*$E1311*INDEX(L$128:L$144,$F1311)</f>
        <v/>
      </c>
      <c r="M1311" s="36">
        <f>INDEX(M$124:M$127,$D1311)*$E1311*INDEX(M$128:M$144,$F1311)</f>
        <v/>
      </c>
      <c r="N1311" s="36">
        <f>INDEX(N$124:N$127,$D1311)*$E1311*INDEX(N$128:N$144,$F1311)</f>
        <v/>
      </c>
      <c r="O1311" s="36">
        <f>INDEX(O$124:O$127,$D1311)*$E1311*INDEX(O$128:O$144,$F1311)</f>
        <v/>
      </c>
      <c r="P1311" s="36">
        <f>INDEX(P$124:P$127,$D1311)*$E1311*INDEX(P$128:P$144,$F1311)</f>
        <v/>
      </c>
      <c r="Q1311" s="36">
        <f>INDEX(Q$124:Q$127,$D1311)*$E1311*INDEX(Q$128:Q$144,$F1311)</f>
        <v/>
      </c>
      <c r="R1311" s="36">
        <f>INDEX(R$124:R$127,$D1311)*$E1311*INDEX(R$128:R$144,$F1311)</f>
        <v/>
      </c>
      <c r="S1311" s="36">
        <f>INDEX(S$124:S$127,$D1311)*$E1311*INDEX(S$128:S$144,$F1311)</f>
        <v/>
      </c>
      <c r="T1311" s="36">
        <f>INDEX(T$124:T$127,$D1311)*$E1311*INDEX(T$128:T$144,$F1311)</f>
        <v/>
      </c>
      <c r="U1311" s="36">
        <f>INDEX(U$124:U$127,$D1311)*$E1311*INDEX(U$128:U$144,$F1311)</f>
        <v/>
      </c>
      <c r="V1311" s="36">
        <f>INDEX(V$124:V$127,$D1311)*$E1311*INDEX(V$128:V$144,$F1311)</f>
        <v/>
      </c>
      <c r="W1311" s="36">
        <f>INDEX(W$124:W$127,$D1311)*$E1311*INDEX(W$128:W$144,$F1311)</f>
        <v/>
      </c>
      <c r="X1311" s="36">
        <f>INDEX(X$124:X$127,$D1311)*$E1311*INDEX(X$128:X$144,$F1311)</f>
        <v/>
      </c>
      <c r="Y1311" s="36">
        <f>INDEX(Y$124:Y$127,$D1311)*$E1311*INDEX(Y$128:Y$144,$F1311)</f>
        <v/>
      </c>
      <c r="Z1311" s="23">
        <f>LOWER(Settings!$C$4)&amp;".mit."&amp;$A1311&amp;IF($C1311="","","."&amp;$C1311&amp;"."&amp;$B1311)&amp;IF(INDEX(Variables!$D$5:$D$65,MATCH($A1311,Variables!$A$5:$A$65,0))="","","."&amp;INDEX(Variables!$D$5:$D$65,MATCH($A1311,Variables!$A$5:$A$65,0)))&amp;"."&amp;Z$5</f>
        <v/>
      </c>
      <c r="AA1311" s="38">
        <f>INDEX(AA$124:AA$127,$D1311)*$E1311*INDEX(AA$128:AA$144,$F1311)</f>
        <v/>
      </c>
      <c r="AB1311" s="36">
        <f>INDEX(AB$124:AB$127,$D1311)*$E1311*INDEX(AB$128:AB$144,$F1311)</f>
        <v/>
      </c>
      <c r="AC1311" s="36">
        <f>INDEX(AC$124:AC$127,$D1311)*$E1311*INDEX(AC$128:AC$144,$F1311)</f>
        <v/>
      </c>
      <c r="AD1311" s="36">
        <f>INDEX(AD$124:AD$127,$D1311)*$E1311*INDEX(AD$128:AD$144,$F1311)</f>
        <v/>
      </c>
      <c r="AE1311" s="36">
        <f>INDEX(AE$124:AE$127,$D1311)*$E1311*INDEX(AE$128:AE$144,$F1311)</f>
        <v/>
      </c>
      <c r="AF1311" s="36">
        <f>INDEX(AF$124:AF$127,$D1311)*$E1311*INDEX(AF$128:AF$144,$F1311)</f>
        <v/>
      </c>
      <c r="AG1311" s="36">
        <f>INDEX(AG$124:AG$127,$D1311)*$E1311*INDEX(AG$128:AG$144,$F1311)</f>
        <v/>
      </c>
      <c r="AH1311" s="36">
        <f>INDEX(AH$124:AH$127,$D1311)*$E1311*INDEX(AH$128:AH$144,$F1311)</f>
        <v/>
      </c>
      <c r="AI1311" s="36">
        <f>INDEX(AI$124:AI$127,$D1311)*$E1311*INDEX(AI$128:AI$144,$F1311)</f>
        <v/>
      </c>
      <c r="AJ1311" s="36">
        <f>INDEX(AJ$124:AJ$127,$D1311)*$E1311*INDEX(AJ$128:AJ$144,$F1311)</f>
        <v/>
      </c>
      <c r="AK1311" s="36">
        <f>INDEX(AK$124:AK$127,$D1311)*$E1311*INDEX(AK$128:AK$144,$F1311)</f>
        <v/>
      </c>
      <c r="AL1311" s="36">
        <f>INDEX(AL$124:AL$127,$D1311)*$E1311*INDEX(AL$128:AL$144,$F1311)</f>
        <v/>
      </c>
      <c r="AM1311" s="36">
        <f>INDEX(AM$124:AM$127,$D1311)*$E1311*INDEX(AM$128:AM$144,$F1311)</f>
        <v/>
      </c>
      <c r="AN1311" s="36">
        <f>INDEX(AN$124:AN$127,$D1311)*$E1311*INDEX(AN$128:AN$144,$F1311)</f>
        <v/>
      </c>
    </row>
    <row r="1312" hidden="1" outlineLevel="2">
      <c r="A1312" s="5" t="inlineStr">
        <is>
          <t>shp</t>
        </is>
      </c>
      <c r="B1312" s="5" t="inlineStr">
        <is>
          <t>gso</t>
        </is>
      </c>
      <c r="C1312" s="5" t="inlineStr">
        <is>
          <t>oen</t>
        </is>
      </c>
      <c r="D1312" s="36">
        <f>INDEX(Inputs!$M$5:$M$132,MATCH($B1312&amp;"|"&amp;$C1312,Inputs!$A$5:$A$132,0))</f>
        <v/>
      </c>
      <c r="E1312" s="36">
        <f>INDEX(Inputs!$U$5:$U$132,MATCH($B1312&amp;"|"&amp;$C1312,Inputs!$A$5:$A$132,0))</f>
        <v/>
      </c>
      <c r="F1312" s="36">
        <f>INDEX(Inputs!$K$5:$K$132,MATCH($B1312&amp;"|"&amp;$C1312,Inputs!$A$5:$A$132,0))</f>
        <v/>
      </c>
      <c r="G1312" s="37" t="n"/>
      <c r="H1312" s="5">
        <f>INDEX(Variables!$B$5:$B$65,MATCH($A1312,Variables!$A$5:$A$65,0))&amp;IF($C1312="",""," | "&amp;INDEX(Mapping!$B$5:$B$25,MATCH($C1312,Mapping!$A$5:$A$25,0))&amp;" | "&amp;INDEX(Mapping!$B$29:$B$38,MATCH($B1312,Mapping!$A$29:$A$38,0)))</f>
        <v/>
      </c>
      <c r="I1312" s="5">
        <f>INDEX(Variables!$C$5:$C$65,MATCH($A1312,Variables!$A$5:$A$65,0))</f>
        <v/>
      </c>
      <c r="J1312" s="5">
        <f>INDEX(Variables!$E$5:$E$65,MATCH($A1312,Variables!$A$5:$A$65,0))</f>
        <v/>
      </c>
      <c r="K1312" s="23">
        <f>LOWER(Settings!$C$4)&amp;".mit."&amp;$A1312&amp;IF($C1312="","","."&amp;$C1312&amp;"."&amp;$B1312)&amp;IF(INDEX(Variables!$D$5:$D$65,MATCH($A1312,Variables!$A$5:$A$65,0))="","","."&amp;INDEX(Variables!$D$5:$D$65,MATCH($A1312,Variables!$A$5:$A$65,0)))&amp;"."&amp;K$5</f>
        <v/>
      </c>
      <c r="L1312" s="38">
        <f>INDEX(L$124:L$127,$D1312)*$E1312*INDEX(L$128:L$144,$F1312)</f>
        <v/>
      </c>
      <c r="M1312" s="36">
        <f>INDEX(M$124:M$127,$D1312)*$E1312*INDEX(M$128:M$144,$F1312)</f>
        <v/>
      </c>
      <c r="N1312" s="36">
        <f>INDEX(N$124:N$127,$D1312)*$E1312*INDEX(N$128:N$144,$F1312)</f>
        <v/>
      </c>
      <c r="O1312" s="36">
        <f>INDEX(O$124:O$127,$D1312)*$E1312*INDEX(O$128:O$144,$F1312)</f>
        <v/>
      </c>
      <c r="P1312" s="36">
        <f>INDEX(P$124:P$127,$D1312)*$E1312*INDEX(P$128:P$144,$F1312)</f>
        <v/>
      </c>
      <c r="Q1312" s="36">
        <f>INDEX(Q$124:Q$127,$D1312)*$E1312*INDEX(Q$128:Q$144,$F1312)</f>
        <v/>
      </c>
      <c r="R1312" s="36">
        <f>INDEX(R$124:R$127,$D1312)*$E1312*INDEX(R$128:R$144,$F1312)</f>
        <v/>
      </c>
      <c r="S1312" s="36">
        <f>INDEX(S$124:S$127,$D1312)*$E1312*INDEX(S$128:S$144,$F1312)</f>
        <v/>
      </c>
      <c r="T1312" s="36">
        <f>INDEX(T$124:T$127,$D1312)*$E1312*INDEX(T$128:T$144,$F1312)</f>
        <v/>
      </c>
      <c r="U1312" s="36">
        <f>INDEX(U$124:U$127,$D1312)*$E1312*INDEX(U$128:U$144,$F1312)</f>
        <v/>
      </c>
      <c r="V1312" s="36">
        <f>INDEX(V$124:V$127,$D1312)*$E1312*INDEX(V$128:V$144,$F1312)</f>
        <v/>
      </c>
      <c r="W1312" s="36">
        <f>INDEX(W$124:W$127,$D1312)*$E1312*INDEX(W$128:W$144,$F1312)</f>
        <v/>
      </c>
      <c r="X1312" s="36">
        <f>INDEX(X$124:X$127,$D1312)*$E1312*INDEX(X$128:X$144,$F1312)</f>
        <v/>
      </c>
      <c r="Y1312" s="36">
        <f>INDEX(Y$124:Y$127,$D1312)*$E1312*INDEX(Y$128:Y$144,$F1312)</f>
        <v/>
      </c>
      <c r="Z1312" s="23">
        <f>LOWER(Settings!$C$4)&amp;".mit."&amp;$A1312&amp;IF($C1312="","","."&amp;$C1312&amp;"."&amp;$B1312)&amp;IF(INDEX(Variables!$D$5:$D$65,MATCH($A1312,Variables!$A$5:$A$65,0))="","","."&amp;INDEX(Variables!$D$5:$D$65,MATCH($A1312,Variables!$A$5:$A$65,0)))&amp;"."&amp;Z$5</f>
        <v/>
      </c>
      <c r="AA1312" s="38">
        <f>INDEX(AA$124:AA$127,$D1312)*$E1312*INDEX(AA$128:AA$144,$F1312)</f>
        <v/>
      </c>
      <c r="AB1312" s="36">
        <f>INDEX(AB$124:AB$127,$D1312)*$E1312*INDEX(AB$128:AB$144,$F1312)</f>
        <v/>
      </c>
      <c r="AC1312" s="36">
        <f>INDEX(AC$124:AC$127,$D1312)*$E1312*INDEX(AC$128:AC$144,$F1312)</f>
        <v/>
      </c>
      <c r="AD1312" s="36">
        <f>INDEX(AD$124:AD$127,$D1312)*$E1312*INDEX(AD$128:AD$144,$F1312)</f>
        <v/>
      </c>
      <c r="AE1312" s="36">
        <f>INDEX(AE$124:AE$127,$D1312)*$E1312*INDEX(AE$128:AE$144,$F1312)</f>
        <v/>
      </c>
      <c r="AF1312" s="36">
        <f>INDEX(AF$124:AF$127,$D1312)*$E1312*INDEX(AF$128:AF$144,$F1312)</f>
        <v/>
      </c>
      <c r="AG1312" s="36">
        <f>INDEX(AG$124:AG$127,$D1312)*$E1312*INDEX(AG$128:AG$144,$F1312)</f>
        <v/>
      </c>
      <c r="AH1312" s="36">
        <f>INDEX(AH$124:AH$127,$D1312)*$E1312*INDEX(AH$128:AH$144,$F1312)</f>
        <v/>
      </c>
      <c r="AI1312" s="36">
        <f>INDEX(AI$124:AI$127,$D1312)*$E1312*INDEX(AI$128:AI$144,$F1312)</f>
        <v/>
      </c>
      <c r="AJ1312" s="36">
        <f>INDEX(AJ$124:AJ$127,$D1312)*$E1312*INDEX(AJ$128:AJ$144,$F1312)</f>
        <v/>
      </c>
      <c r="AK1312" s="36">
        <f>INDEX(AK$124:AK$127,$D1312)*$E1312*INDEX(AK$128:AK$144,$F1312)</f>
        <v/>
      </c>
      <c r="AL1312" s="36">
        <f>INDEX(AL$124:AL$127,$D1312)*$E1312*INDEX(AL$128:AL$144,$F1312)</f>
        <v/>
      </c>
      <c r="AM1312" s="36">
        <f>INDEX(AM$124:AM$127,$D1312)*$E1312*INDEX(AM$128:AM$144,$F1312)</f>
        <v/>
      </c>
      <c r="AN1312" s="36">
        <f>INDEX(AN$124:AN$127,$D1312)*$E1312*INDEX(AN$128:AN$144,$F1312)</f>
        <v/>
      </c>
    </row>
    <row r="1313" hidden="1" outlineLevel="2">
      <c r="A1313" s="5" t="inlineStr">
        <is>
          <t>shp</t>
        </is>
      </c>
      <c r="B1313" s="5" t="inlineStr">
        <is>
          <t>die</t>
        </is>
      </c>
      <c r="C1313" s="5" t="inlineStr">
        <is>
          <t>oen</t>
        </is>
      </c>
      <c r="D1313" s="36">
        <f>INDEX(Inputs!$M$5:$M$132,MATCH($B1313&amp;"|"&amp;$C1313,Inputs!$A$5:$A$132,0))</f>
        <v/>
      </c>
      <c r="E1313" s="36">
        <f>INDEX(Inputs!$U$5:$U$132,MATCH($B1313&amp;"|"&amp;$C1313,Inputs!$A$5:$A$132,0))</f>
        <v/>
      </c>
      <c r="F1313" s="36">
        <f>INDEX(Inputs!$K$5:$K$132,MATCH($B1313&amp;"|"&amp;$C1313,Inputs!$A$5:$A$132,0))</f>
        <v/>
      </c>
      <c r="G1313" s="37" t="n"/>
      <c r="H1313" s="5">
        <f>INDEX(Variables!$B$5:$B$65,MATCH($A1313,Variables!$A$5:$A$65,0))&amp;IF($C1313="",""," | "&amp;INDEX(Mapping!$B$5:$B$25,MATCH($C1313,Mapping!$A$5:$A$25,0))&amp;" | "&amp;INDEX(Mapping!$B$29:$B$38,MATCH($B1313,Mapping!$A$29:$A$38,0)))</f>
        <v/>
      </c>
      <c r="I1313" s="5">
        <f>INDEX(Variables!$C$5:$C$65,MATCH($A1313,Variables!$A$5:$A$65,0))</f>
        <v/>
      </c>
      <c r="J1313" s="5">
        <f>INDEX(Variables!$E$5:$E$65,MATCH($A1313,Variables!$A$5:$A$65,0))</f>
        <v/>
      </c>
      <c r="K1313" s="23">
        <f>LOWER(Settings!$C$4)&amp;".mit."&amp;$A1313&amp;IF($C1313="","","."&amp;$C1313&amp;"."&amp;$B1313)&amp;IF(INDEX(Variables!$D$5:$D$65,MATCH($A1313,Variables!$A$5:$A$65,0))="","","."&amp;INDEX(Variables!$D$5:$D$65,MATCH($A1313,Variables!$A$5:$A$65,0)))&amp;"."&amp;K$5</f>
        <v/>
      </c>
      <c r="L1313" s="38">
        <f>INDEX(L$124:L$127,$D1313)*$E1313*INDEX(L$128:L$144,$F1313)</f>
        <v/>
      </c>
      <c r="M1313" s="36">
        <f>INDEX(M$124:M$127,$D1313)*$E1313*INDEX(M$128:M$144,$F1313)</f>
        <v/>
      </c>
      <c r="N1313" s="36">
        <f>INDEX(N$124:N$127,$D1313)*$E1313*INDEX(N$128:N$144,$F1313)</f>
        <v/>
      </c>
      <c r="O1313" s="36">
        <f>INDEX(O$124:O$127,$D1313)*$E1313*INDEX(O$128:O$144,$F1313)</f>
        <v/>
      </c>
      <c r="P1313" s="36">
        <f>INDEX(P$124:P$127,$D1313)*$E1313*INDEX(P$128:P$144,$F1313)</f>
        <v/>
      </c>
      <c r="Q1313" s="36">
        <f>INDEX(Q$124:Q$127,$D1313)*$E1313*INDEX(Q$128:Q$144,$F1313)</f>
        <v/>
      </c>
      <c r="R1313" s="36">
        <f>INDEX(R$124:R$127,$D1313)*$E1313*INDEX(R$128:R$144,$F1313)</f>
        <v/>
      </c>
      <c r="S1313" s="36">
        <f>INDEX(S$124:S$127,$D1313)*$E1313*INDEX(S$128:S$144,$F1313)</f>
        <v/>
      </c>
      <c r="T1313" s="36">
        <f>INDEX(T$124:T$127,$D1313)*$E1313*INDEX(T$128:T$144,$F1313)</f>
        <v/>
      </c>
      <c r="U1313" s="36">
        <f>INDEX(U$124:U$127,$D1313)*$E1313*INDEX(U$128:U$144,$F1313)</f>
        <v/>
      </c>
      <c r="V1313" s="36">
        <f>INDEX(V$124:V$127,$D1313)*$E1313*INDEX(V$128:V$144,$F1313)</f>
        <v/>
      </c>
      <c r="W1313" s="36">
        <f>INDEX(W$124:W$127,$D1313)*$E1313*INDEX(W$128:W$144,$F1313)</f>
        <v/>
      </c>
      <c r="X1313" s="36">
        <f>INDEX(X$124:X$127,$D1313)*$E1313*INDEX(X$128:X$144,$F1313)</f>
        <v/>
      </c>
      <c r="Y1313" s="36">
        <f>INDEX(Y$124:Y$127,$D1313)*$E1313*INDEX(Y$128:Y$144,$F1313)</f>
        <v/>
      </c>
      <c r="Z1313" s="23">
        <f>LOWER(Settings!$C$4)&amp;".mit."&amp;$A1313&amp;IF($C1313="","","."&amp;$C1313&amp;"."&amp;$B1313)&amp;IF(INDEX(Variables!$D$5:$D$65,MATCH($A1313,Variables!$A$5:$A$65,0))="","","."&amp;INDEX(Variables!$D$5:$D$65,MATCH($A1313,Variables!$A$5:$A$65,0)))&amp;"."&amp;Z$5</f>
        <v/>
      </c>
      <c r="AA1313" s="38">
        <f>INDEX(AA$124:AA$127,$D1313)*$E1313*INDEX(AA$128:AA$144,$F1313)</f>
        <v/>
      </c>
      <c r="AB1313" s="36">
        <f>INDEX(AB$124:AB$127,$D1313)*$E1313*INDEX(AB$128:AB$144,$F1313)</f>
        <v/>
      </c>
      <c r="AC1313" s="36">
        <f>INDEX(AC$124:AC$127,$D1313)*$E1313*INDEX(AC$128:AC$144,$F1313)</f>
        <v/>
      </c>
      <c r="AD1313" s="36">
        <f>INDEX(AD$124:AD$127,$D1313)*$E1313*INDEX(AD$128:AD$144,$F1313)</f>
        <v/>
      </c>
      <c r="AE1313" s="36">
        <f>INDEX(AE$124:AE$127,$D1313)*$E1313*INDEX(AE$128:AE$144,$F1313)</f>
        <v/>
      </c>
      <c r="AF1313" s="36">
        <f>INDEX(AF$124:AF$127,$D1313)*$E1313*INDEX(AF$128:AF$144,$F1313)</f>
        <v/>
      </c>
      <c r="AG1313" s="36">
        <f>INDEX(AG$124:AG$127,$D1313)*$E1313*INDEX(AG$128:AG$144,$F1313)</f>
        <v/>
      </c>
      <c r="AH1313" s="36">
        <f>INDEX(AH$124:AH$127,$D1313)*$E1313*INDEX(AH$128:AH$144,$F1313)</f>
        <v/>
      </c>
      <c r="AI1313" s="36">
        <f>INDEX(AI$124:AI$127,$D1313)*$E1313*INDEX(AI$128:AI$144,$F1313)</f>
        <v/>
      </c>
      <c r="AJ1313" s="36">
        <f>INDEX(AJ$124:AJ$127,$D1313)*$E1313*INDEX(AJ$128:AJ$144,$F1313)</f>
        <v/>
      </c>
      <c r="AK1313" s="36">
        <f>INDEX(AK$124:AK$127,$D1313)*$E1313*INDEX(AK$128:AK$144,$F1313)</f>
        <v/>
      </c>
      <c r="AL1313" s="36">
        <f>INDEX(AL$124:AL$127,$D1313)*$E1313*INDEX(AL$128:AL$144,$F1313)</f>
        <v/>
      </c>
      <c r="AM1313" s="36">
        <f>INDEX(AM$124:AM$127,$D1313)*$E1313*INDEX(AM$128:AM$144,$F1313)</f>
        <v/>
      </c>
      <c r="AN1313" s="36">
        <f>INDEX(AN$124:AN$127,$D1313)*$E1313*INDEX(AN$128:AN$144,$F1313)</f>
        <v/>
      </c>
    </row>
    <row r="1314" hidden="1" outlineLevel="2">
      <c r="A1314" s="5" t="inlineStr">
        <is>
          <t>shp</t>
        </is>
      </c>
      <c r="B1314" s="5" t="inlineStr">
        <is>
          <t>lpg</t>
        </is>
      </c>
      <c r="C1314" s="5" t="inlineStr">
        <is>
          <t>oen</t>
        </is>
      </c>
      <c r="D1314" s="36">
        <f>INDEX(Inputs!$M$5:$M$132,MATCH($B1314&amp;"|"&amp;$C1314,Inputs!$A$5:$A$132,0))</f>
        <v/>
      </c>
      <c r="E1314" s="36">
        <f>INDEX(Inputs!$U$5:$U$132,MATCH($B1314&amp;"|"&amp;$C1314,Inputs!$A$5:$A$132,0))</f>
        <v/>
      </c>
      <c r="F1314" s="36">
        <f>INDEX(Inputs!$K$5:$K$132,MATCH($B1314&amp;"|"&amp;$C1314,Inputs!$A$5:$A$132,0))</f>
        <v/>
      </c>
      <c r="G1314" s="37" t="n"/>
      <c r="H1314" s="5">
        <f>INDEX(Variables!$B$5:$B$65,MATCH($A1314,Variables!$A$5:$A$65,0))&amp;IF($C1314="",""," | "&amp;INDEX(Mapping!$B$5:$B$25,MATCH($C1314,Mapping!$A$5:$A$25,0))&amp;" | "&amp;INDEX(Mapping!$B$29:$B$38,MATCH($B1314,Mapping!$A$29:$A$38,0)))</f>
        <v/>
      </c>
      <c r="I1314" s="5">
        <f>INDEX(Variables!$C$5:$C$65,MATCH($A1314,Variables!$A$5:$A$65,0))</f>
        <v/>
      </c>
      <c r="J1314" s="5">
        <f>INDEX(Variables!$E$5:$E$65,MATCH($A1314,Variables!$A$5:$A$65,0))</f>
        <v/>
      </c>
      <c r="K1314" s="23">
        <f>LOWER(Settings!$C$4)&amp;".mit."&amp;$A1314&amp;IF($C1314="","","."&amp;$C1314&amp;"."&amp;$B1314)&amp;IF(INDEX(Variables!$D$5:$D$65,MATCH($A1314,Variables!$A$5:$A$65,0))="","","."&amp;INDEX(Variables!$D$5:$D$65,MATCH($A1314,Variables!$A$5:$A$65,0)))&amp;"."&amp;K$5</f>
        <v/>
      </c>
      <c r="L1314" s="38">
        <f>INDEX(L$124:L$127,$D1314)*$E1314*INDEX(L$128:L$144,$F1314)</f>
        <v/>
      </c>
      <c r="M1314" s="36">
        <f>INDEX(M$124:M$127,$D1314)*$E1314*INDEX(M$128:M$144,$F1314)</f>
        <v/>
      </c>
      <c r="N1314" s="36">
        <f>INDEX(N$124:N$127,$D1314)*$E1314*INDEX(N$128:N$144,$F1314)</f>
        <v/>
      </c>
      <c r="O1314" s="36">
        <f>INDEX(O$124:O$127,$D1314)*$E1314*INDEX(O$128:O$144,$F1314)</f>
        <v/>
      </c>
      <c r="P1314" s="36">
        <f>INDEX(P$124:P$127,$D1314)*$E1314*INDEX(P$128:P$144,$F1314)</f>
        <v/>
      </c>
      <c r="Q1314" s="36">
        <f>INDEX(Q$124:Q$127,$D1314)*$E1314*INDEX(Q$128:Q$144,$F1314)</f>
        <v/>
      </c>
      <c r="R1314" s="36">
        <f>INDEX(R$124:R$127,$D1314)*$E1314*INDEX(R$128:R$144,$F1314)</f>
        <v/>
      </c>
      <c r="S1314" s="36">
        <f>INDEX(S$124:S$127,$D1314)*$E1314*INDEX(S$128:S$144,$F1314)</f>
        <v/>
      </c>
      <c r="T1314" s="36">
        <f>INDEX(T$124:T$127,$D1314)*$E1314*INDEX(T$128:T$144,$F1314)</f>
        <v/>
      </c>
      <c r="U1314" s="36">
        <f>INDEX(U$124:U$127,$D1314)*$E1314*INDEX(U$128:U$144,$F1314)</f>
        <v/>
      </c>
      <c r="V1314" s="36">
        <f>INDEX(V$124:V$127,$D1314)*$E1314*INDEX(V$128:V$144,$F1314)</f>
        <v/>
      </c>
      <c r="W1314" s="36">
        <f>INDEX(W$124:W$127,$D1314)*$E1314*INDEX(W$128:W$144,$F1314)</f>
        <v/>
      </c>
      <c r="X1314" s="36">
        <f>INDEX(X$124:X$127,$D1314)*$E1314*INDEX(X$128:X$144,$F1314)</f>
        <v/>
      </c>
      <c r="Y1314" s="36">
        <f>INDEX(Y$124:Y$127,$D1314)*$E1314*INDEX(Y$128:Y$144,$F1314)</f>
        <v/>
      </c>
      <c r="Z1314" s="23">
        <f>LOWER(Settings!$C$4)&amp;".mit."&amp;$A1314&amp;IF($C1314="","","."&amp;$C1314&amp;"."&amp;$B1314)&amp;IF(INDEX(Variables!$D$5:$D$65,MATCH($A1314,Variables!$A$5:$A$65,0))="","","."&amp;INDEX(Variables!$D$5:$D$65,MATCH($A1314,Variables!$A$5:$A$65,0)))&amp;"."&amp;Z$5</f>
        <v/>
      </c>
      <c r="AA1314" s="38">
        <f>INDEX(AA$124:AA$127,$D1314)*$E1314*INDEX(AA$128:AA$144,$F1314)</f>
        <v/>
      </c>
      <c r="AB1314" s="36">
        <f>INDEX(AB$124:AB$127,$D1314)*$E1314*INDEX(AB$128:AB$144,$F1314)</f>
        <v/>
      </c>
      <c r="AC1314" s="36">
        <f>INDEX(AC$124:AC$127,$D1314)*$E1314*INDEX(AC$128:AC$144,$F1314)</f>
        <v/>
      </c>
      <c r="AD1314" s="36">
        <f>INDEX(AD$124:AD$127,$D1314)*$E1314*INDEX(AD$128:AD$144,$F1314)</f>
        <v/>
      </c>
      <c r="AE1314" s="36">
        <f>INDEX(AE$124:AE$127,$D1314)*$E1314*INDEX(AE$128:AE$144,$F1314)</f>
        <v/>
      </c>
      <c r="AF1314" s="36">
        <f>INDEX(AF$124:AF$127,$D1314)*$E1314*INDEX(AF$128:AF$144,$F1314)</f>
        <v/>
      </c>
      <c r="AG1314" s="36">
        <f>INDEX(AG$124:AG$127,$D1314)*$E1314*INDEX(AG$128:AG$144,$F1314)</f>
        <v/>
      </c>
      <c r="AH1314" s="36">
        <f>INDEX(AH$124:AH$127,$D1314)*$E1314*INDEX(AH$128:AH$144,$F1314)</f>
        <v/>
      </c>
      <c r="AI1314" s="36">
        <f>INDEX(AI$124:AI$127,$D1314)*$E1314*INDEX(AI$128:AI$144,$F1314)</f>
        <v/>
      </c>
      <c r="AJ1314" s="36">
        <f>INDEX(AJ$124:AJ$127,$D1314)*$E1314*INDEX(AJ$128:AJ$144,$F1314)</f>
        <v/>
      </c>
      <c r="AK1314" s="36">
        <f>INDEX(AK$124:AK$127,$D1314)*$E1314*INDEX(AK$128:AK$144,$F1314)</f>
        <v/>
      </c>
      <c r="AL1314" s="36">
        <f>INDEX(AL$124:AL$127,$D1314)*$E1314*INDEX(AL$128:AL$144,$F1314)</f>
        <v/>
      </c>
      <c r="AM1314" s="36">
        <f>INDEX(AM$124:AM$127,$D1314)*$E1314*INDEX(AM$128:AM$144,$F1314)</f>
        <v/>
      </c>
      <c r="AN1314" s="36">
        <f>INDEX(AN$124:AN$127,$D1314)*$E1314*INDEX(AN$128:AN$144,$F1314)</f>
        <v/>
      </c>
    </row>
    <row r="1315" hidden="1" outlineLevel="2">
      <c r="A1315" s="5" t="inlineStr">
        <is>
          <t>shp</t>
        </is>
      </c>
      <c r="B1315" s="5" t="inlineStr">
        <is>
          <t>ker</t>
        </is>
      </c>
      <c r="C1315" s="5" t="inlineStr">
        <is>
          <t>oen</t>
        </is>
      </c>
      <c r="D1315" s="36">
        <f>INDEX(Inputs!$M$5:$M$132,MATCH($B1315&amp;"|"&amp;$C1315,Inputs!$A$5:$A$132,0))</f>
        <v/>
      </c>
      <c r="E1315" s="36">
        <f>INDEX(Inputs!$U$5:$U$132,MATCH($B1315&amp;"|"&amp;$C1315,Inputs!$A$5:$A$132,0))</f>
        <v/>
      </c>
      <c r="F1315" s="36">
        <f>INDEX(Inputs!$K$5:$K$132,MATCH($B1315&amp;"|"&amp;$C1315,Inputs!$A$5:$A$132,0))</f>
        <v/>
      </c>
      <c r="G1315" s="37" t="n"/>
      <c r="H1315" s="5">
        <f>INDEX(Variables!$B$5:$B$65,MATCH($A1315,Variables!$A$5:$A$65,0))&amp;IF($C1315="",""," | "&amp;INDEX(Mapping!$B$5:$B$25,MATCH($C1315,Mapping!$A$5:$A$25,0))&amp;" | "&amp;INDEX(Mapping!$B$29:$B$38,MATCH($B1315,Mapping!$A$29:$A$38,0)))</f>
        <v/>
      </c>
      <c r="I1315" s="5">
        <f>INDEX(Variables!$C$5:$C$65,MATCH($A1315,Variables!$A$5:$A$65,0))</f>
        <v/>
      </c>
      <c r="J1315" s="5">
        <f>INDEX(Variables!$E$5:$E$65,MATCH($A1315,Variables!$A$5:$A$65,0))</f>
        <v/>
      </c>
      <c r="K1315" s="23">
        <f>LOWER(Settings!$C$4)&amp;".mit."&amp;$A1315&amp;IF($C1315="","","."&amp;$C1315&amp;"."&amp;$B1315)&amp;IF(INDEX(Variables!$D$5:$D$65,MATCH($A1315,Variables!$A$5:$A$65,0))="","","."&amp;INDEX(Variables!$D$5:$D$65,MATCH($A1315,Variables!$A$5:$A$65,0)))&amp;"."&amp;K$5</f>
        <v/>
      </c>
      <c r="L1315" s="38">
        <f>INDEX(L$124:L$127,$D1315)*$E1315*INDEX(L$128:L$144,$F1315)</f>
        <v/>
      </c>
      <c r="M1315" s="36">
        <f>INDEX(M$124:M$127,$D1315)*$E1315*INDEX(M$128:M$144,$F1315)</f>
        <v/>
      </c>
      <c r="N1315" s="36">
        <f>INDEX(N$124:N$127,$D1315)*$E1315*INDEX(N$128:N$144,$F1315)</f>
        <v/>
      </c>
      <c r="O1315" s="36">
        <f>INDEX(O$124:O$127,$D1315)*$E1315*INDEX(O$128:O$144,$F1315)</f>
        <v/>
      </c>
      <c r="P1315" s="36">
        <f>INDEX(P$124:P$127,$D1315)*$E1315*INDEX(P$128:P$144,$F1315)</f>
        <v/>
      </c>
      <c r="Q1315" s="36">
        <f>INDEX(Q$124:Q$127,$D1315)*$E1315*INDEX(Q$128:Q$144,$F1315)</f>
        <v/>
      </c>
      <c r="R1315" s="36">
        <f>INDEX(R$124:R$127,$D1315)*$E1315*INDEX(R$128:R$144,$F1315)</f>
        <v/>
      </c>
      <c r="S1315" s="36">
        <f>INDEX(S$124:S$127,$D1315)*$E1315*INDEX(S$128:S$144,$F1315)</f>
        <v/>
      </c>
      <c r="T1315" s="36">
        <f>INDEX(T$124:T$127,$D1315)*$E1315*INDEX(T$128:T$144,$F1315)</f>
        <v/>
      </c>
      <c r="U1315" s="36">
        <f>INDEX(U$124:U$127,$D1315)*$E1315*INDEX(U$128:U$144,$F1315)</f>
        <v/>
      </c>
      <c r="V1315" s="36">
        <f>INDEX(V$124:V$127,$D1315)*$E1315*INDEX(V$128:V$144,$F1315)</f>
        <v/>
      </c>
      <c r="W1315" s="36">
        <f>INDEX(W$124:W$127,$D1315)*$E1315*INDEX(W$128:W$144,$F1315)</f>
        <v/>
      </c>
      <c r="X1315" s="36">
        <f>INDEX(X$124:X$127,$D1315)*$E1315*INDEX(X$128:X$144,$F1315)</f>
        <v/>
      </c>
      <c r="Y1315" s="36">
        <f>INDEX(Y$124:Y$127,$D1315)*$E1315*INDEX(Y$128:Y$144,$F1315)</f>
        <v/>
      </c>
      <c r="Z1315" s="23">
        <f>LOWER(Settings!$C$4)&amp;".mit."&amp;$A1315&amp;IF($C1315="","","."&amp;$C1315&amp;"."&amp;$B1315)&amp;IF(INDEX(Variables!$D$5:$D$65,MATCH($A1315,Variables!$A$5:$A$65,0))="","","."&amp;INDEX(Variables!$D$5:$D$65,MATCH($A1315,Variables!$A$5:$A$65,0)))&amp;"."&amp;Z$5</f>
        <v/>
      </c>
      <c r="AA1315" s="38">
        <f>INDEX(AA$124:AA$127,$D1315)*$E1315*INDEX(AA$128:AA$144,$F1315)</f>
        <v/>
      </c>
      <c r="AB1315" s="36">
        <f>INDEX(AB$124:AB$127,$D1315)*$E1315*INDEX(AB$128:AB$144,$F1315)</f>
        <v/>
      </c>
      <c r="AC1315" s="36">
        <f>INDEX(AC$124:AC$127,$D1315)*$E1315*INDEX(AC$128:AC$144,$F1315)</f>
        <v/>
      </c>
      <c r="AD1315" s="36">
        <f>INDEX(AD$124:AD$127,$D1315)*$E1315*INDEX(AD$128:AD$144,$F1315)</f>
        <v/>
      </c>
      <c r="AE1315" s="36">
        <f>INDEX(AE$124:AE$127,$D1315)*$E1315*INDEX(AE$128:AE$144,$F1315)</f>
        <v/>
      </c>
      <c r="AF1315" s="36">
        <f>INDEX(AF$124:AF$127,$D1315)*$E1315*INDEX(AF$128:AF$144,$F1315)</f>
        <v/>
      </c>
      <c r="AG1315" s="36">
        <f>INDEX(AG$124:AG$127,$D1315)*$E1315*INDEX(AG$128:AG$144,$F1315)</f>
        <v/>
      </c>
      <c r="AH1315" s="36">
        <f>INDEX(AH$124:AH$127,$D1315)*$E1315*INDEX(AH$128:AH$144,$F1315)</f>
        <v/>
      </c>
      <c r="AI1315" s="36">
        <f>INDEX(AI$124:AI$127,$D1315)*$E1315*INDEX(AI$128:AI$144,$F1315)</f>
        <v/>
      </c>
      <c r="AJ1315" s="36">
        <f>INDEX(AJ$124:AJ$127,$D1315)*$E1315*INDEX(AJ$128:AJ$144,$F1315)</f>
        <v/>
      </c>
      <c r="AK1315" s="36">
        <f>INDEX(AK$124:AK$127,$D1315)*$E1315*INDEX(AK$128:AK$144,$F1315)</f>
        <v/>
      </c>
      <c r="AL1315" s="36">
        <f>INDEX(AL$124:AL$127,$D1315)*$E1315*INDEX(AL$128:AL$144,$F1315)</f>
        <v/>
      </c>
      <c r="AM1315" s="36">
        <f>INDEX(AM$124:AM$127,$D1315)*$E1315*INDEX(AM$128:AM$144,$F1315)</f>
        <v/>
      </c>
      <c r="AN1315" s="36">
        <f>INDEX(AN$124:AN$127,$D1315)*$E1315*INDEX(AN$128:AN$144,$F1315)</f>
        <v/>
      </c>
    </row>
    <row r="1316" hidden="1" outlineLevel="2">
      <c r="A1316" s="5" t="inlineStr">
        <is>
          <t>shp</t>
        </is>
      </c>
      <c r="B1316" s="5" t="inlineStr">
        <is>
          <t>oop</t>
        </is>
      </c>
      <c r="C1316" s="5" t="inlineStr">
        <is>
          <t>oen</t>
        </is>
      </c>
      <c r="D1316" s="36">
        <f>INDEX(Inputs!$M$5:$M$132,MATCH($B1316&amp;"|"&amp;$C1316,Inputs!$A$5:$A$132,0))</f>
        <v/>
      </c>
      <c r="E1316" s="36">
        <f>INDEX(Inputs!$U$5:$U$132,MATCH($B1316&amp;"|"&amp;$C1316,Inputs!$A$5:$A$132,0))</f>
        <v/>
      </c>
      <c r="F1316" s="36">
        <f>INDEX(Inputs!$K$5:$K$132,MATCH($B1316&amp;"|"&amp;$C1316,Inputs!$A$5:$A$132,0))</f>
        <v/>
      </c>
      <c r="G1316" s="37" t="n"/>
      <c r="H1316" s="5">
        <f>INDEX(Variables!$B$5:$B$65,MATCH($A1316,Variables!$A$5:$A$65,0))&amp;IF($C1316="",""," | "&amp;INDEX(Mapping!$B$5:$B$25,MATCH($C1316,Mapping!$A$5:$A$25,0))&amp;" | "&amp;INDEX(Mapping!$B$29:$B$38,MATCH($B1316,Mapping!$A$29:$A$38,0)))</f>
        <v/>
      </c>
      <c r="I1316" s="5">
        <f>INDEX(Variables!$C$5:$C$65,MATCH($A1316,Variables!$A$5:$A$65,0))</f>
        <v/>
      </c>
      <c r="J1316" s="5">
        <f>INDEX(Variables!$E$5:$E$65,MATCH($A1316,Variables!$A$5:$A$65,0))</f>
        <v/>
      </c>
      <c r="K1316" s="23">
        <f>LOWER(Settings!$C$4)&amp;".mit."&amp;$A1316&amp;IF($C1316="","","."&amp;$C1316&amp;"."&amp;$B1316)&amp;IF(INDEX(Variables!$D$5:$D$65,MATCH($A1316,Variables!$A$5:$A$65,0))="","","."&amp;INDEX(Variables!$D$5:$D$65,MATCH($A1316,Variables!$A$5:$A$65,0)))&amp;"."&amp;K$5</f>
        <v/>
      </c>
      <c r="L1316" s="38">
        <f>INDEX(L$124:L$127,$D1316)*$E1316*INDEX(L$128:L$144,$F1316)</f>
        <v/>
      </c>
      <c r="M1316" s="36">
        <f>INDEX(M$124:M$127,$D1316)*$E1316*INDEX(M$128:M$144,$F1316)</f>
        <v/>
      </c>
      <c r="N1316" s="36">
        <f>INDEX(N$124:N$127,$D1316)*$E1316*INDEX(N$128:N$144,$F1316)</f>
        <v/>
      </c>
      <c r="O1316" s="36">
        <f>INDEX(O$124:O$127,$D1316)*$E1316*INDEX(O$128:O$144,$F1316)</f>
        <v/>
      </c>
      <c r="P1316" s="36">
        <f>INDEX(P$124:P$127,$D1316)*$E1316*INDEX(P$128:P$144,$F1316)</f>
        <v/>
      </c>
      <c r="Q1316" s="36">
        <f>INDEX(Q$124:Q$127,$D1316)*$E1316*INDEX(Q$128:Q$144,$F1316)</f>
        <v/>
      </c>
      <c r="R1316" s="36">
        <f>INDEX(R$124:R$127,$D1316)*$E1316*INDEX(R$128:R$144,$F1316)</f>
        <v/>
      </c>
      <c r="S1316" s="36">
        <f>INDEX(S$124:S$127,$D1316)*$E1316*INDEX(S$128:S$144,$F1316)</f>
        <v/>
      </c>
      <c r="T1316" s="36">
        <f>INDEX(T$124:T$127,$D1316)*$E1316*INDEX(T$128:T$144,$F1316)</f>
        <v/>
      </c>
      <c r="U1316" s="36">
        <f>INDEX(U$124:U$127,$D1316)*$E1316*INDEX(U$128:U$144,$F1316)</f>
        <v/>
      </c>
      <c r="V1316" s="36">
        <f>INDEX(V$124:V$127,$D1316)*$E1316*INDEX(V$128:V$144,$F1316)</f>
        <v/>
      </c>
      <c r="W1316" s="36">
        <f>INDEX(W$124:W$127,$D1316)*$E1316*INDEX(W$128:W$144,$F1316)</f>
        <v/>
      </c>
      <c r="X1316" s="36">
        <f>INDEX(X$124:X$127,$D1316)*$E1316*INDEX(X$128:X$144,$F1316)</f>
        <v/>
      </c>
      <c r="Y1316" s="36">
        <f>INDEX(Y$124:Y$127,$D1316)*$E1316*INDEX(Y$128:Y$144,$F1316)</f>
        <v/>
      </c>
      <c r="Z1316" s="23">
        <f>LOWER(Settings!$C$4)&amp;".mit."&amp;$A1316&amp;IF($C1316="","","."&amp;$C1316&amp;"."&amp;$B1316)&amp;IF(INDEX(Variables!$D$5:$D$65,MATCH($A1316,Variables!$A$5:$A$65,0))="","","."&amp;INDEX(Variables!$D$5:$D$65,MATCH($A1316,Variables!$A$5:$A$65,0)))&amp;"."&amp;Z$5</f>
        <v/>
      </c>
      <c r="AA1316" s="38">
        <f>INDEX(AA$124:AA$127,$D1316)*$E1316*INDEX(AA$128:AA$144,$F1316)</f>
        <v/>
      </c>
      <c r="AB1316" s="36">
        <f>INDEX(AB$124:AB$127,$D1316)*$E1316*INDEX(AB$128:AB$144,$F1316)</f>
        <v/>
      </c>
      <c r="AC1316" s="36">
        <f>INDEX(AC$124:AC$127,$D1316)*$E1316*INDEX(AC$128:AC$144,$F1316)</f>
        <v/>
      </c>
      <c r="AD1316" s="36">
        <f>INDEX(AD$124:AD$127,$D1316)*$E1316*INDEX(AD$128:AD$144,$F1316)</f>
        <v/>
      </c>
      <c r="AE1316" s="36">
        <f>INDEX(AE$124:AE$127,$D1316)*$E1316*INDEX(AE$128:AE$144,$F1316)</f>
        <v/>
      </c>
      <c r="AF1316" s="36">
        <f>INDEX(AF$124:AF$127,$D1316)*$E1316*INDEX(AF$128:AF$144,$F1316)</f>
        <v/>
      </c>
      <c r="AG1316" s="36">
        <f>INDEX(AG$124:AG$127,$D1316)*$E1316*INDEX(AG$128:AG$144,$F1316)</f>
        <v/>
      </c>
      <c r="AH1316" s="36">
        <f>INDEX(AH$124:AH$127,$D1316)*$E1316*INDEX(AH$128:AH$144,$F1316)</f>
        <v/>
      </c>
      <c r="AI1316" s="36">
        <f>INDEX(AI$124:AI$127,$D1316)*$E1316*INDEX(AI$128:AI$144,$F1316)</f>
        <v/>
      </c>
      <c r="AJ1316" s="36">
        <f>INDEX(AJ$124:AJ$127,$D1316)*$E1316*INDEX(AJ$128:AJ$144,$F1316)</f>
        <v/>
      </c>
      <c r="AK1316" s="36">
        <f>INDEX(AK$124:AK$127,$D1316)*$E1316*INDEX(AK$128:AK$144,$F1316)</f>
        <v/>
      </c>
      <c r="AL1316" s="36">
        <f>INDEX(AL$124:AL$127,$D1316)*$E1316*INDEX(AL$128:AL$144,$F1316)</f>
        <v/>
      </c>
      <c r="AM1316" s="36">
        <f>INDEX(AM$124:AM$127,$D1316)*$E1316*INDEX(AM$128:AM$144,$F1316)</f>
        <v/>
      </c>
      <c r="AN1316" s="36">
        <f>INDEX(AN$124:AN$127,$D1316)*$E1316*INDEX(AN$128:AN$144,$F1316)</f>
        <v/>
      </c>
    </row>
    <row r="1317" hidden="1" outlineLevel="2">
      <c r="A1317" s="5" t="inlineStr">
        <is>
          <t>shp</t>
        </is>
      </c>
      <c r="B1317" s="5" t="inlineStr">
        <is>
          <t>bio</t>
        </is>
      </c>
      <c r="C1317" s="5" t="inlineStr">
        <is>
          <t>oen</t>
        </is>
      </c>
      <c r="D1317" s="36">
        <f>INDEX(Inputs!$M$5:$M$132,MATCH($B1317&amp;"|"&amp;$C1317,Inputs!$A$5:$A$132,0))</f>
        <v/>
      </c>
      <c r="E1317" s="36">
        <f>INDEX(Inputs!$U$5:$U$132,MATCH($B1317&amp;"|"&amp;$C1317,Inputs!$A$5:$A$132,0))</f>
        <v/>
      </c>
      <c r="F1317" s="36">
        <f>INDEX(Inputs!$K$5:$K$132,MATCH($B1317&amp;"|"&amp;$C1317,Inputs!$A$5:$A$132,0))</f>
        <v/>
      </c>
      <c r="G1317" s="37" t="n"/>
      <c r="H1317" s="5">
        <f>INDEX(Variables!$B$5:$B$65,MATCH($A1317,Variables!$A$5:$A$65,0))&amp;IF($C1317="",""," | "&amp;INDEX(Mapping!$B$5:$B$25,MATCH($C1317,Mapping!$A$5:$A$25,0))&amp;" | "&amp;INDEX(Mapping!$B$29:$B$38,MATCH($B1317,Mapping!$A$29:$A$38,0)))</f>
        <v/>
      </c>
      <c r="I1317" s="5">
        <f>INDEX(Variables!$C$5:$C$65,MATCH($A1317,Variables!$A$5:$A$65,0))</f>
        <v/>
      </c>
      <c r="J1317" s="5">
        <f>INDEX(Variables!$E$5:$E$65,MATCH($A1317,Variables!$A$5:$A$65,0))</f>
        <v/>
      </c>
      <c r="K1317" s="23">
        <f>LOWER(Settings!$C$4)&amp;".mit."&amp;$A1317&amp;IF($C1317="","","."&amp;$C1317&amp;"."&amp;$B1317)&amp;IF(INDEX(Variables!$D$5:$D$65,MATCH($A1317,Variables!$A$5:$A$65,0))="","","."&amp;INDEX(Variables!$D$5:$D$65,MATCH($A1317,Variables!$A$5:$A$65,0)))&amp;"."&amp;K$5</f>
        <v/>
      </c>
      <c r="L1317" s="38">
        <f>INDEX(L$124:L$127,$D1317)*$E1317*INDEX(L$128:L$144,$F1317)</f>
        <v/>
      </c>
      <c r="M1317" s="36">
        <f>INDEX(M$124:M$127,$D1317)*$E1317*INDEX(M$128:M$144,$F1317)</f>
        <v/>
      </c>
      <c r="N1317" s="36">
        <f>INDEX(N$124:N$127,$D1317)*$E1317*INDEX(N$128:N$144,$F1317)</f>
        <v/>
      </c>
      <c r="O1317" s="36">
        <f>INDEX(O$124:O$127,$D1317)*$E1317*INDEX(O$128:O$144,$F1317)</f>
        <v/>
      </c>
      <c r="P1317" s="36">
        <f>INDEX(P$124:P$127,$D1317)*$E1317*INDEX(P$128:P$144,$F1317)</f>
        <v/>
      </c>
      <c r="Q1317" s="36">
        <f>INDEX(Q$124:Q$127,$D1317)*$E1317*INDEX(Q$128:Q$144,$F1317)</f>
        <v/>
      </c>
      <c r="R1317" s="36">
        <f>INDEX(R$124:R$127,$D1317)*$E1317*INDEX(R$128:R$144,$F1317)</f>
        <v/>
      </c>
      <c r="S1317" s="36">
        <f>INDEX(S$124:S$127,$D1317)*$E1317*INDEX(S$128:S$144,$F1317)</f>
        <v/>
      </c>
      <c r="T1317" s="36">
        <f>INDEX(T$124:T$127,$D1317)*$E1317*INDEX(T$128:T$144,$F1317)</f>
        <v/>
      </c>
      <c r="U1317" s="36">
        <f>INDEX(U$124:U$127,$D1317)*$E1317*INDEX(U$128:U$144,$F1317)</f>
        <v/>
      </c>
      <c r="V1317" s="36">
        <f>INDEX(V$124:V$127,$D1317)*$E1317*INDEX(V$128:V$144,$F1317)</f>
        <v/>
      </c>
      <c r="W1317" s="36">
        <f>INDEX(W$124:W$127,$D1317)*$E1317*INDEX(W$128:W$144,$F1317)</f>
        <v/>
      </c>
      <c r="X1317" s="36">
        <f>INDEX(X$124:X$127,$D1317)*$E1317*INDEX(X$128:X$144,$F1317)</f>
        <v/>
      </c>
      <c r="Y1317" s="36">
        <f>INDEX(Y$124:Y$127,$D1317)*$E1317*INDEX(Y$128:Y$144,$F1317)</f>
        <v/>
      </c>
      <c r="Z1317" s="23">
        <f>LOWER(Settings!$C$4)&amp;".mit."&amp;$A1317&amp;IF($C1317="","","."&amp;$C1317&amp;"."&amp;$B1317)&amp;IF(INDEX(Variables!$D$5:$D$65,MATCH($A1317,Variables!$A$5:$A$65,0))="","","."&amp;INDEX(Variables!$D$5:$D$65,MATCH($A1317,Variables!$A$5:$A$65,0)))&amp;"."&amp;Z$5</f>
        <v/>
      </c>
      <c r="AA1317" s="38">
        <f>INDEX(AA$124:AA$127,$D1317)*$E1317*INDEX(AA$128:AA$144,$F1317)</f>
        <v/>
      </c>
      <c r="AB1317" s="36">
        <f>INDEX(AB$124:AB$127,$D1317)*$E1317*INDEX(AB$128:AB$144,$F1317)</f>
        <v/>
      </c>
      <c r="AC1317" s="36">
        <f>INDEX(AC$124:AC$127,$D1317)*$E1317*INDEX(AC$128:AC$144,$F1317)</f>
        <v/>
      </c>
      <c r="AD1317" s="36">
        <f>INDEX(AD$124:AD$127,$D1317)*$E1317*INDEX(AD$128:AD$144,$F1317)</f>
        <v/>
      </c>
      <c r="AE1317" s="36">
        <f>INDEX(AE$124:AE$127,$D1317)*$E1317*INDEX(AE$128:AE$144,$F1317)</f>
        <v/>
      </c>
      <c r="AF1317" s="36">
        <f>INDEX(AF$124:AF$127,$D1317)*$E1317*INDEX(AF$128:AF$144,$F1317)</f>
        <v/>
      </c>
      <c r="AG1317" s="36">
        <f>INDEX(AG$124:AG$127,$D1317)*$E1317*INDEX(AG$128:AG$144,$F1317)</f>
        <v/>
      </c>
      <c r="AH1317" s="36">
        <f>INDEX(AH$124:AH$127,$D1317)*$E1317*INDEX(AH$128:AH$144,$F1317)</f>
        <v/>
      </c>
      <c r="AI1317" s="36">
        <f>INDEX(AI$124:AI$127,$D1317)*$E1317*INDEX(AI$128:AI$144,$F1317)</f>
        <v/>
      </c>
      <c r="AJ1317" s="36">
        <f>INDEX(AJ$124:AJ$127,$D1317)*$E1317*INDEX(AJ$128:AJ$144,$F1317)</f>
        <v/>
      </c>
      <c r="AK1317" s="36">
        <f>INDEX(AK$124:AK$127,$D1317)*$E1317*INDEX(AK$128:AK$144,$F1317)</f>
        <v/>
      </c>
      <c r="AL1317" s="36">
        <f>INDEX(AL$124:AL$127,$D1317)*$E1317*INDEX(AL$128:AL$144,$F1317)</f>
        <v/>
      </c>
      <c r="AM1317" s="36">
        <f>INDEX(AM$124:AM$127,$D1317)*$E1317*INDEX(AM$128:AM$144,$F1317)</f>
        <v/>
      </c>
      <c r="AN1317" s="36">
        <f>INDEX(AN$124:AN$127,$D1317)*$E1317*INDEX(AN$128:AN$144,$F1317)</f>
        <v/>
      </c>
    </row>
    <row r="1318" hidden="1" outlineLevel="2"/>
    <row r="1319" hidden="1" outlineLevel="2">
      <c r="A1319" s="5" t="inlineStr">
        <is>
          <t>ener</t>
        </is>
      </c>
      <c r="B1319" s="5" t="inlineStr">
        <is>
          <t>coa</t>
        </is>
      </c>
      <c r="C1319" s="5" t="inlineStr">
        <is>
          <t>oen</t>
        </is>
      </c>
      <c r="D1319" s="36">
        <f>INDEX(Inputs!$N$5:$N$132,MATCH($B1319&amp;"|"&amp;$C1319,Inputs!$A$5:$A$132,0))</f>
        <v/>
      </c>
      <c r="E1319" s="36">
        <f>INDEX(Inputs!$O$5:$O$132,MATCH($B1319&amp;"|"&amp;$C1319,Inputs!$A$5:$A$132,0))</f>
        <v/>
      </c>
      <c r="F1319" s="36">
        <f>INDEX(Inputs!$P$5:$P$132,MATCH($B1319&amp;"|"&amp;$C1319,Inputs!$A$5:$A$132,0))</f>
        <v/>
      </c>
      <c r="G1319" s="36">
        <f>INDEX(Inputs!$Q$5:$Q$132,MATCH($B1319&amp;"|"&amp;$C1319,Inputs!$A$5:$A$132,0))</f>
        <v/>
      </c>
      <c r="H1319" s="5">
        <f>INDEX(Variables!$B$5:$B$65,MATCH($A1319,Variables!$A$5:$A$65,0))&amp;IF($C1319="",""," | "&amp;INDEX(Mapping!$B$5:$B$25,MATCH($C1319,Mapping!$A$5:$A$25,0))&amp;" | "&amp;INDEX(Mapping!$B$29:$B$38,MATCH($B1319,Mapping!$A$29:$A$38,0)))</f>
        <v/>
      </c>
      <c r="I1319" s="5">
        <f>INDEX(Variables!$C$5:$C$65,MATCH($A1319,Variables!$A$5:$A$65,0))</f>
        <v/>
      </c>
      <c r="J1319" s="5">
        <f>INDEX(Variables!$E$5:$E$65,MATCH($A1319,Variables!$A$5:$A$65,0))</f>
        <v/>
      </c>
      <c r="K1319" s="23">
        <f>LOWER(Settings!$C$4)&amp;".mit."&amp;$A1319&amp;IF($C1319="","","."&amp;$C1319&amp;"."&amp;$B1319)&amp;IF(INDEX(Variables!$D$5:$D$65,MATCH($A1319,Variables!$A$5:$A$65,0))="","","."&amp;INDEX(Variables!$D$5:$D$65,MATCH($A1319,Variables!$A$5:$A$65,0)))&amp;"."&amp;K$5</f>
        <v/>
      </c>
      <c r="L1319" s="40">
        <f>INDEX(Inputs!$V$5:$V$132,MATCH($B1319&amp;"|"&amp;$C1319,Inputs!$A$5:$A$132,0))</f>
        <v/>
      </c>
      <c r="M1319" s="41">
        <f>L1319*(1/(1+$G1319))^(1+$E1319)*(1+M$7)^$D1319*(M1301/L1301)^$E1319*((M1301+M1310)/(L1301+L1310))^($F1319*(1+$E1319))</f>
        <v/>
      </c>
      <c r="N1319" s="41">
        <f>M1319*(1/(1+$G1319))^(1+$E1319)*(1+N$7)^$D1319*(N1301/M1301)^$E1319*((N1301+N1310)/(M1301+M1310))^($F1319*(1+$E1319))</f>
        <v/>
      </c>
      <c r="O1319" s="41">
        <f>N1319*(1/(1+$G1319))^(1+$E1319)*(1+O$7)^$D1319*(O1301/N1301)^$E1319*((O1301+O1310)/(N1301+N1310))^($F1319*(1+$E1319))</f>
        <v/>
      </c>
      <c r="P1319" s="41">
        <f>O1319*(1/(1+$G1319))^(1+$E1319)*(1+P$7)^$D1319*(P1301/O1301)^$E1319*((P1301+P1310)/(O1301+O1310))^($F1319*(1+$E1319))</f>
        <v/>
      </c>
      <c r="Q1319" s="41">
        <f>P1319*(1/(1+$G1319))^(1+$E1319)*(1+Q$7)^$D1319*(Q1301/P1301)^$E1319*((Q1301+Q1310)/(P1301+P1310))^($F1319*(1+$E1319))</f>
        <v/>
      </c>
      <c r="R1319" s="41">
        <f>Q1319*(1/(1+$G1319))^(1+$E1319)*(1+R$7)^$D1319*(R1301/Q1301)^$E1319*((R1301+R1310)/(Q1301+Q1310))^($F1319*(1+$E1319))</f>
        <v/>
      </c>
      <c r="S1319" s="41">
        <f>R1319*(1/(1+$G1319))^(1+$E1319)*(1+S$7)^$D1319*(S1301/R1301)^$E1319*((S1301+S1310)/(R1301+R1310))^($F1319*(1+$E1319))</f>
        <v/>
      </c>
      <c r="T1319" s="41">
        <f>S1319*(1/(1+$G1319))^(1+$E1319)*(1+T$7)^$D1319*(T1301/S1301)^$E1319*((T1301+T1310)/(S1301+S1310))^($F1319*(1+$E1319))</f>
        <v/>
      </c>
      <c r="U1319" s="41">
        <f>T1319*(1/(1+$G1319))^(1+$E1319)*(1+U$7)^$D1319*(U1301/T1301)^$E1319*((U1301+U1310)/(T1301+T1310))^($F1319*(1+$E1319))</f>
        <v/>
      </c>
      <c r="V1319" s="41">
        <f>U1319*(1/(1+$G1319))^(1+$E1319)*(1+V$7)^$D1319*(V1301/U1301)^$E1319*((V1301+V1310)/(U1301+U1310))^($F1319*(1+$E1319))</f>
        <v/>
      </c>
      <c r="W1319" s="41">
        <f>V1319*(1/(1+$G1319))^(1+$E1319)*(1+W$7)^$D1319*(W1301/V1301)^$E1319*((W1301+W1310)/(V1301+V1310))^($F1319*(1+$E1319))</f>
        <v/>
      </c>
      <c r="X1319" s="41">
        <f>W1319*(1/(1+$G1319))^(1+$E1319)*(1+X$7)^$D1319*(X1301/W1301)^$E1319*((X1301+X1310)/(W1301+W1310))^($F1319*(1+$E1319))</f>
        <v/>
      </c>
      <c r="Y1319" s="42">
        <f>FUELUSE(X1319,Y1301,X1301,Y1310,X1310,Y$7,$D1319,$E1319,$F1319,$G1319)</f>
        <v/>
      </c>
      <c r="Z1319" s="23">
        <f>LOWER(Settings!$C$4)&amp;".mit."&amp;$A1319&amp;IF($C1319="","","."&amp;$C1319&amp;"."&amp;$B1319)&amp;IF(INDEX(Variables!$D$5:$D$65,MATCH($A1319,Variables!$A$5:$A$65,0))="","","."&amp;INDEX(Variables!$D$5:$D$65,MATCH($A1319,Variables!$A$5:$A$65,0)))&amp;"."&amp;Z$5</f>
        <v/>
      </c>
      <c r="AA1319" s="40">
        <f>INDEX(Inputs!$V$5:$V$132,MATCH($B1319&amp;"|"&amp;$C1319,Inputs!$A$5:$A$132,0))</f>
        <v/>
      </c>
      <c r="AB1319" s="41">
        <f>AA1319*(1/(1+$G1319))^(1+$E1319)*(1+AB$7)^$D1319*(AB1301/AA1301)^$E1319*((AB1301+AB1310)/(AA1301+AA1310))^($F1319*(1+$E1319))</f>
        <v/>
      </c>
      <c r="AC1319" s="41">
        <f>AB1319*(1/(1+$G1319))^(1+$E1319)*(1+AC$7)^$D1319*(AC1301/AB1301)^$E1319*((AC1301+AC1310)/(AB1301+AB1310))^($F1319*(1+$E1319))</f>
        <v/>
      </c>
      <c r="AD1319" s="41">
        <f>AC1319*(1/(1+$G1319))^(1+$E1319)*(1+AD$7)^$D1319*(AD1301/AC1301)^$E1319*((AD1301+AD1310)/(AC1301+AC1310))^($F1319*(1+$E1319))</f>
        <v/>
      </c>
      <c r="AE1319" s="41">
        <f>AD1319*(1/(1+$G1319))^(1+$E1319)*(1+AE$7)^$D1319*(AE1301/AD1301)^$E1319*((AE1301+AE1310)/(AD1301+AD1310))^($F1319*(1+$E1319))</f>
        <v/>
      </c>
      <c r="AF1319" s="41">
        <f>AE1319*(1/(1+$G1319))^(1+$E1319)*(1+AF$7)^$D1319*(AF1301/AE1301)^$E1319*((AF1301+AF1310)/(AE1301+AE1310))^($F1319*(1+$E1319))</f>
        <v/>
      </c>
      <c r="AG1319" s="41">
        <f>AF1319*(1/(1+$G1319))^(1+$E1319)*(1+AG$7)^$D1319*(AG1301/AF1301)^$E1319*((AG1301+AG1310)/(AF1301+AF1310))^($F1319*(1+$E1319))</f>
        <v/>
      </c>
      <c r="AH1319" s="41">
        <f>AG1319*(1/(1+$G1319))^(1+$E1319)*(1+AH$7)^$D1319*(AH1301/AG1301)^$E1319*((AH1301+AH1310)/(AG1301+AG1310))^($F1319*(1+$E1319))</f>
        <v/>
      </c>
      <c r="AI1319" s="41">
        <f>AH1319*(1/(1+$G1319))^(1+$E1319)*(1+AI$7)^$D1319*(AI1301/AH1301)^$E1319*((AI1301+AI1310)/(AH1301+AH1310))^($F1319*(1+$E1319))</f>
        <v/>
      </c>
      <c r="AJ1319" s="41">
        <f>AI1319*(1/(1+$G1319))^(1+$E1319)*(1+AJ$7)^$D1319*(AJ1301/AI1301)^$E1319*((AJ1301+AJ1310)/(AI1301+AI1310))^($F1319*(1+$E1319))</f>
        <v/>
      </c>
      <c r="AK1319" s="41">
        <f>AJ1319*(1/(1+$G1319))^(1+$E1319)*(1+AK$7)^$D1319*(AK1301/AJ1301)^$E1319*((AK1301+AK1310)/(AJ1301+AJ1310))^($F1319*(1+$E1319))</f>
        <v/>
      </c>
      <c r="AL1319" s="41">
        <f>AK1319*(1/(1+$G1319))^(1+$E1319)*(1+AL$7)^$D1319*(AL1301/AK1301)^$E1319*((AL1301+AL1310)/(AK1301+AK1310))^($F1319*(1+$E1319))</f>
        <v/>
      </c>
      <c r="AM1319" s="41">
        <f>AL1319*(1/(1+$G1319))^(1+$E1319)*(1+AM$7)^$D1319*(AM1301/AL1301)^$E1319*((AM1301+AM1310)/(AL1301+AL1310))^($F1319*(1+$E1319))</f>
        <v/>
      </c>
      <c r="AN1319" s="42">
        <f>FUELUSE(AM1319,AN1301,AM1301,AN1310,AM1310,AN$7,$D1319,$E1319,$F1319,$G1319)</f>
        <v/>
      </c>
    </row>
    <row r="1320" hidden="1" outlineLevel="2">
      <c r="A1320" s="5" t="inlineStr">
        <is>
          <t>ener</t>
        </is>
      </c>
      <c r="B1320" s="5" t="inlineStr">
        <is>
          <t>nga</t>
        </is>
      </c>
      <c r="C1320" s="5" t="inlineStr">
        <is>
          <t>oen</t>
        </is>
      </c>
      <c r="D1320" s="36">
        <f>INDEX(Inputs!$N$5:$N$132,MATCH($B1320&amp;"|"&amp;$C1320,Inputs!$A$5:$A$132,0))</f>
        <v/>
      </c>
      <c r="E1320" s="36">
        <f>INDEX(Inputs!$O$5:$O$132,MATCH($B1320&amp;"|"&amp;$C1320,Inputs!$A$5:$A$132,0))</f>
        <v/>
      </c>
      <c r="F1320" s="36">
        <f>INDEX(Inputs!$P$5:$P$132,MATCH($B1320&amp;"|"&amp;$C1320,Inputs!$A$5:$A$132,0))</f>
        <v/>
      </c>
      <c r="G1320" s="36">
        <f>INDEX(Inputs!$Q$5:$Q$132,MATCH($B1320&amp;"|"&amp;$C1320,Inputs!$A$5:$A$132,0))</f>
        <v/>
      </c>
      <c r="H1320" s="5">
        <f>INDEX(Variables!$B$5:$B$65,MATCH($A1320,Variables!$A$5:$A$65,0))&amp;IF($C1320="",""," | "&amp;INDEX(Mapping!$B$5:$B$25,MATCH($C1320,Mapping!$A$5:$A$25,0))&amp;" | "&amp;INDEX(Mapping!$B$29:$B$38,MATCH($B1320,Mapping!$A$29:$A$38,0)))</f>
        <v/>
      </c>
      <c r="I1320" s="5">
        <f>INDEX(Variables!$C$5:$C$65,MATCH($A1320,Variables!$A$5:$A$65,0))</f>
        <v/>
      </c>
      <c r="J1320" s="5">
        <f>INDEX(Variables!$E$5:$E$65,MATCH($A1320,Variables!$A$5:$A$65,0))</f>
        <v/>
      </c>
      <c r="K1320" s="23">
        <f>LOWER(Settings!$C$4)&amp;".mit."&amp;$A1320&amp;IF($C1320="","","."&amp;$C1320&amp;"."&amp;$B1320)&amp;IF(INDEX(Variables!$D$5:$D$65,MATCH($A1320,Variables!$A$5:$A$65,0))="","","."&amp;INDEX(Variables!$D$5:$D$65,MATCH($A1320,Variables!$A$5:$A$65,0)))&amp;"."&amp;K$5</f>
        <v/>
      </c>
      <c r="L1320" s="40">
        <f>INDEX(Inputs!$V$5:$V$132,MATCH($B1320&amp;"|"&amp;$C1320,Inputs!$A$5:$A$132,0))</f>
        <v/>
      </c>
      <c r="M1320" s="41">
        <f>L1320*(1/(1+$G1320))^(1+$E1320)*(1+M$7)^$D1320*(M1302/L1302)^$E1320*((M1302+M1311)/(L1302+L1311))^($F1320*(1+$E1320))</f>
        <v/>
      </c>
      <c r="N1320" s="41">
        <f>M1320*(1/(1+$G1320))^(1+$E1320)*(1+N$7)^$D1320*(N1302/M1302)^$E1320*((N1302+N1311)/(M1302+M1311))^($F1320*(1+$E1320))</f>
        <v/>
      </c>
      <c r="O1320" s="41">
        <f>N1320*(1/(1+$G1320))^(1+$E1320)*(1+O$7)^$D1320*(O1302/N1302)^$E1320*((O1302+O1311)/(N1302+N1311))^($F1320*(1+$E1320))</f>
        <v/>
      </c>
      <c r="P1320" s="41">
        <f>O1320*(1/(1+$G1320))^(1+$E1320)*(1+P$7)^$D1320*(P1302/O1302)^$E1320*((P1302+P1311)/(O1302+O1311))^($F1320*(1+$E1320))</f>
        <v/>
      </c>
      <c r="Q1320" s="41">
        <f>P1320*(1/(1+$G1320))^(1+$E1320)*(1+Q$7)^$D1320*(Q1302/P1302)^$E1320*((Q1302+Q1311)/(P1302+P1311))^($F1320*(1+$E1320))</f>
        <v/>
      </c>
      <c r="R1320" s="41">
        <f>Q1320*(1/(1+$G1320))^(1+$E1320)*(1+R$7)^$D1320*(R1302/Q1302)^$E1320*((R1302+R1311)/(Q1302+Q1311))^($F1320*(1+$E1320))</f>
        <v/>
      </c>
      <c r="S1320" s="41">
        <f>R1320*(1/(1+$G1320))^(1+$E1320)*(1+S$7)^$D1320*(S1302/R1302)^$E1320*((S1302+S1311)/(R1302+R1311))^($F1320*(1+$E1320))</f>
        <v/>
      </c>
      <c r="T1320" s="41">
        <f>S1320*(1/(1+$G1320))^(1+$E1320)*(1+T$7)^$D1320*(T1302/S1302)^$E1320*((T1302+T1311)/(S1302+S1311))^($F1320*(1+$E1320))</f>
        <v/>
      </c>
      <c r="U1320" s="41">
        <f>T1320*(1/(1+$G1320))^(1+$E1320)*(1+U$7)^$D1320*(U1302/T1302)^$E1320*((U1302+U1311)/(T1302+T1311))^($F1320*(1+$E1320))</f>
        <v/>
      </c>
      <c r="V1320" s="41">
        <f>U1320*(1/(1+$G1320))^(1+$E1320)*(1+V$7)^$D1320*(V1302/U1302)^$E1320*((V1302+V1311)/(U1302+U1311))^($F1320*(1+$E1320))</f>
        <v/>
      </c>
      <c r="W1320" s="41">
        <f>V1320*(1/(1+$G1320))^(1+$E1320)*(1+W$7)^$D1320*(W1302/V1302)^$E1320*((W1302+W1311)/(V1302+V1311))^($F1320*(1+$E1320))</f>
        <v/>
      </c>
      <c r="X1320" s="41">
        <f>W1320*(1/(1+$G1320))^(1+$E1320)*(1+X$7)^$D1320*(X1302/W1302)^$E1320*((X1302+X1311)/(W1302+W1311))^($F1320*(1+$E1320))</f>
        <v/>
      </c>
      <c r="Y1320" s="42">
        <f>FUELUSE(X1320,Y1302,X1302,Y1311,X1311,Y$7,$D1320,$E1320,$F1320,$G1320)</f>
        <v/>
      </c>
      <c r="Z1320" s="23">
        <f>LOWER(Settings!$C$4)&amp;".mit."&amp;$A1320&amp;IF($C1320="","","."&amp;$C1320&amp;"."&amp;$B1320)&amp;IF(INDEX(Variables!$D$5:$D$65,MATCH($A1320,Variables!$A$5:$A$65,0))="","","."&amp;INDEX(Variables!$D$5:$D$65,MATCH($A1320,Variables!$A$5:$A$65,0)))&amp;"."&amp;Z$5</f>
        <v/>
      </c>
      <c r="AA1320" s="40">
        <f>INDEX(Inputs!$V$5:$V$132,MATCH($B1320&amp;"|"&amp;$C1320,Inputs!$A$5:$A$132,0))</f>
        <v/>
      </c>
      <c r="AB1320" s="41">
        <f>AA1320*(1/(1+$G1320))^(1+$E1320)*(1+AB$7)^$D1320*(AB1302/AA1302)^$E1320*((AB1302+AB1311)/(AA1302+AA1311))^($F1320*(1+$E1320))</f>
        <v/>
      </c>
      <c r="AC1320" s="41">
        <f>AB1320*(1/(1+$G1320))^(1+$E1320)*(1+AC$7)^$D1320*(AC1302/AB1302)^$E1320*((AC1302+AC1311)/(AB1302+AB1311))^($F1320*(1+$E1320))</f>
        <v/>
      </c>
      <c r="AD1320" s="41">
        <f>AC1320*(1/(1+$G1320))^(1+$E1320)*(1+AD$7)^$D1320*(AD1302/AC1302)^$E1320*((AD1302+AD1311)/(AC1302+AC1311))^($F1320*(1+$E1320))</f>
        <v/>
      </c>
      <c r="AE1320" s="41">
        <f>AD1320*(1/(1+$G1320))^(1+$E1320)*(1+AE$7)^$D1320*(AE1302/AD1302)^$E1320*((AE1302+AE1311)/(AD1302+AD1311))^($F1320*(1+$E1320))</f>
        <v/>
      </c>
      <c r="AF1320" s="41">
        <f>AE1320*(1/(1+$G1320))^(1+$E1320)*(1+AF$7)^$D1320*(AF1302/AE1302)^$E1320*((AF1302+AF1311)/(AE1302+AE1311))^($F1320*(1+$E1320))</f>
        <v/>
      </c>
      <c r="AG1320" s="41">
        <f>AF1320*(1/(1+$G1320))^(1+$E1320)*(1+AG$7)^$D1320*(AG1302/AF1302)^$E1320*((AG1302+AG1311)/(AF1302+AF1311))^($F1320*(1+$E1320))</f>
        <v/>
      </c>
      <c r="AH1320" s="41">
        <f>AG1320*(1/(1+$G1320))^(1+$E1320)*(1+AH$7)^$D1320*(AH1302/AG1302)^$E1320*((AH1302+AH1311)/(AG1302+AG1311))^($F1320*(1+$E1320))</f>
        <v/>
      </c>
      <c r="AI1320" s="41">
        <f>AH1320*(1/(1+$G1320))^(1+$E1320)*(1+AI$7)^$D1320*(AI1302/AH1302)^$E1320*((AI1302+AI1311)/(AH1302+AH1311))^($F1320*(1+$E1320))</f>
        <v/>
      </c>
      <c r="AJ1320" s="41">
        <f>AI1320*(1/(1+$G1320))^(1+$E1320)*(1+AJ$7)^$D1320*(AJ1302/AI1302)^$E1320*((AJ1302+AJ1311)/(AI1302+AI1311))^($F1320*(1+$E1320))</f>
        <v/>
      </c>
      <c r="AK1320" s="41">
        <f>AJ1320*(1/(1+$G1320))^(1+$E1320)*(1+AK$7)^$D1320*(AK1302/AJ1302)^$E1320*((AK1302+AK1311)/(AJ1302+AJ1311))^($F1320*(1+$E1320))</f>
        <v/>
      </c>
      <c r="AL1320" s="41">
        <f>AK1320*(1/(1+$G1320))^(1+$E1320)*(1+AL$7)^$D1320*(AL1302/AK1302)^$E1320*((AL1302+AL1311)/(AK1302+AK1311))^($F1320*(1+$E1320))</f>
        <v/>
      </c>
      <c r="AM1320" s="41">
        <f>AL1320*(1/(1+$G1320))^(1+$E1320)*(1+AM$7)^$D1320*(AM1302/AL1302)^$E1320*((AM1302+AM1311)/(AL1302+AL1311))^($F1320*(1+$E1320))</f>
        <v/>
      </c>
      <c r="AN1320" s="42">
        <f>FUELUSE(AM1320,AN1302,AM1302,AN1311,AM1311,AN$7,$D1320,$E1320,$F1320,$G1320)</f>
        <v/>
      </c>
    </row>
    <row r="1321" hidden="1" outlineLevel="2">
      <c r="A1321" s="5" t="inlineStr">
        <is>
          <t>ener</t>
        </is>
      </c>
      <c r="B1321" s="5" t="inlineStr">
        <is>
          <t>gso</t>
        </is>
      </c>
      <c r="C1321" s="5" t="inlineStr">
        <is>
          <t>oen</t>
        </is>
      </c>
      <c r="D1321" s="36">
        <f>INDEX(Inputs!$N$5:$N$132,MATCH($B1321&amp;"|"&amp;$C1321,Inputs!$A$5:$A$132,0))</f>
        <v/>
      </c>
      <c r="E1321" s="36">
        <f>INDEX(Inputs!$O$5:$O$132,MATCH($B1321&amp;"|"&amp;$C1321,Inputs!$A$5:$A$132,0))</f>
        <v/>
      </c>
      <c r="F1321" s="36">
        <f>INDEX(Inputs!$P$5:$P$132,MATCH($B1321&amp;"|"&amp;$C1321,Inputs!$A$5:$A$132,0))</f>
        <v/>
      </c>
      <c r="G1321" s="36">
        <f>INDEX(Inputs!$Q$5:$Q$132,MATCH($B1321&amp;"|"&amp;$C1321,Inputs!$A$5:$A$132,0))</f>
        <v/>
      </c>
      <c r="H1321" s="5">
        <f>INDEX(Variables!$B$5:$B$65,MATCH($A1321,Variables!$A$5:$A$65,0))&amp;IF($C1321="",""," | "&amp;INDEX(Mapping!$B$5:$B$25,MATCH($C1321,Mapping!$A$5:$A$25,0))&amp;" | "&amp;INDEX(Mapping!$B$29:$B$38,MATCH($B1321,Mapping!$A$29:$A$38,0)))</f>
        <v/>
      </c>
      <c r="I1321" s="5">
        <f>INDEX(Variables!$C$5:$C$65,MATCH($A1321,Variables!$A$5:$A$65,0))</f>
        <v/>
      </c>
      <c r="J1321" s="5">
        <f>INDEX(Variables!$E$5:$E$65,MATCH($A1321,Variables!$A$5:$A$65,0))</f>
        <v/>
      </c>
      <c r="K1321" s="23">
        <f>LOWER(Settings!$C$4)&amp;".mit."&amp;$A1321&amp;IF($C1321="","","."&amp;$C1321&amp;"."&amp;$B1321)&amp;IF(INDEX(Variables!$D$5:$D$65,MATCH($A1321,Variables!$A$5:$A$65,0))="","","."&amp;INDEX(Variables!$D$5:$D$65,MATCH($A1321,Variables!$A$5:$A$65,0)))&amp;"."&amp;K$5</f>
        <v/>
      </c>
      <c r="L1321" s="40">
        <f>INDEX(Inputs!$V$5:$V$132,MATCH($B1321&amp;"|"&amp;$C1321,Inputs!$A$5:$A$132,0))</f>
        <v/>
      </c>
      <c r="M1321" s="41">
        <f>L1321*(1/(1+$G1321))^(1+$E1321)*(1+M$7)^$D1321*(M1303/L1303)^$E1321*((M1303+M1312)/(L1303+L1312))^($F1321*(1+$E1321))</f>
        <v/>
      </c>
      <c r="N1321" s="41">
        <f>M1321*(1/(1+$G1321))^(1+$E1321)*(1+N$7)^$D1321*(N1303/M1303)^$E1321*((N1303+N1312)/(M1303+M1312))^($F1321*(1+$E1321))</f>
        <v/>
      </c>
      <c r="O1321" s="41">
        <f>N1321*(1/(1+$G1321))^(1+$E1321)*(1+O$7)^$D1321*(O1303/N1303)^$E1321*((O1303+O1312)/(N1303+N1312))^($F1321*(1+$E1321))</f>
        <v/>
      </c>
      <c r="P1321" s="41">
        <f>O1321*(1/(1+$G1321))^(1+$E1321)*(1+P$7)^$D1321*(P1303/O1303)^$E1321*((P1303+P1312)/(O1303+O1312))^($F1321*(1+$E1321))</f>
        <v/>
      </c>
      <c r="Q1321" s="41">
        <f>P1321*(1/(1+$G1321))^(1+$E1321)*(1+Q$7)^$D1321*(Q1303/P1303)^$E1321*((Q1303+Q1312)/(P1303+P1312))^($F1321*(1+$E1321))</f>
        <v/>
      </c>
      <c r="R1321" s="41">
        <f>Q1321*(1/(1+$G1321))^(1+$E1321)*(1+R$7)^$D1321*(R1303/Q1303)^$E1321*((R1303+R1312)/(Q1303+Q1312))^($F1321*(1+$E1321))</f>
        <v/>
      </c>
      <c r="S1321" s="41">
        <f>R1321*(1/(1+$G1321))^(1+$E1321)*(1+S$7)^$D1321*(S1303/R1303)^$E1321*((S1303+S1312)/(R1303+R1312))^($F1321*(1+$E1321))</f>
        <v/>
      </c>
      <c r="T1321" s="41">
        <f>S1321*(1/(1+$G1321))^(1+$E1321)*(1+T$7)^$D1321*(T1303/S1303)^$E1321*((T1303+T1312)/(S1303+S1312))^($F1321*(1+$E1321))</f>
        <v/>
      </c>
      <c r="U1321" s="41">
        <f>T1321*(1/(1+$G1321))^(1+$E1321)*(1+U$7)^$D1321*(U1303/T1303)^$E1321*((U1303+U1312)/(T1303+T1312))^($F1321*(1+$E1321))</f>
        <v/>
      </c>
      <c r="V1321" s="41">
        <f>U1321*(1/(1+$G1321))^(1+$E1321)*(1+V$7)^$D1321*(V1303/U1303)^$E1321*((V1303+V1312)/(U1303+U1312))^($F1321*(1+$E1321))</f>
        <v/>
      </c>
      <c r="W1321" s="41">
        <f>V1321*(1/(1+$G1321))^(1+$E1321)*(1+W$7)^$D1321*(W1303/V1303)^$E1321*((W1303+W1312)/(V1303+V1312))^($F1321*(1+$E1321))</f>
        <v/>
      </c>
      <c r="X1321" s="41">
        <f>W1321*(1/(1+$G1321))^(1+$E1321)*(1+X$7)^$D1321*(X1303/W1303)^$E1321*((X1303+X1312)/(W1303+W1312))^($F1321*(1+$E1321))</f>
        <v/>
      </c>
      <c r="Y1321" s="42">
        <f>FUELUSE(X1321,Y1303,X1303,Y1312,X1312,Y$7,$D1321,$E1321,$F1321,$G1321)</f>
        <v/>
      </c>
      <c r="Z1321" s="23">
        <f>LOWER(Settings!$C$4)&amp;".mit."&amp;$A1321&amp;IF($C1321="","","."&amp;$C1321&amp;"."&amp;$B1321)&amp;IF(INDEX(Variables!$D$5:$D$65,MATCH($A1321,Variables!$A$5:$A$65,0))="","","."&amp;INDEX(Variables!$D$5:$D$65,MATCH($A1321,Variables!$A$5:$A$65,0)))&amp;"."&amp;Z$5</f>
        <v/>
      </c>
      <c r="AA1321" s="40">
        <f>INDEX(Inputs!$V$5:$V$132,MATCH($B1321&amp;"|"&amp;$C1321,Inputs!$A$5:$A$132,0))</f>
        <v/>
      </c>
      <c r="AB1321" s="41">
        <f>AA1321*(1/(1+$G1321))^(1+$E1321)*(1+AB$7)^$D1321*(AB1303/AA1303)^$E1321*((AB1303+AB1312)/(AA1303+AA1312))^($F1321*(1+$E1321))</f>
        <v/>
      </c>
      <c r="AC1321" s="41">
        <f>AB1321*(1/(1+$G1321))^(1+$E1321)*(1+AC$7)^$D1321*(AC1303/AB1303)^$E1321*((AC1303+AC1312)/(AB1303+AB1312))^($F1321*(1+$E1321))</f>
        <v/>
      </c>
      <c r="AD1321" s="41">
        <f>AC1321*(1/(1+$G1321))^(1+$E1321)*(1+AD$7)^$D1321*(AD1303/AC1303)^$E1321*((AD1303+AD1312)/(AC1303+AC1312))^($F1321*(1+$E1321))</f>
        <v/>
      </c>
      <c r="AE1321" s="41">
        <f>AD1321*(1/(1+$G1321))^(1+$E1321)*(1+AE$7)^$D1321*(AE1303/AD1303)^$E1321*((AE1303+AE1312)/(AD1303+AD1312))^($F1321*(1+$E1321))</f>
        <v/>
      </c>
      <c r="AF1321" s="41">
        <f>AE1321*(1/(1+$G1321))^(1+$E1321)*(1+AF$7)^$D1321*(AF1303/AE1303)^$E1321*((AF1303+AF1312)/(AE1303+AE1312))^($F1321*(1+$E1321))</f>
        <v/>
      </c>
      <c r="AG1321" s="41">
        <f>AF1321*(1/(1+$G1321))^(1+$E1321)*(1+AG$7)^$D1321*(AG1303/AF1303)^$E1321*((AG1303+AG1312)/(AF1303+AF1312))^($F1321*(1+$E1321))</f>
        <v/>
      </c>
      <c r="AH1321" s="41">
        <f>AG1321*(1/(1+$G1321))^(1+$E1321)*(1+AH$7)^$D1321*(AH1303/AG1303)^$E1321*((AH1303+AH1312)/(AG1303+AG1312))^($F1321*(1+$E1321))</f>
        <v/>
      </c>
      <c r="AI1321" s="41">
        <f>AH1321*(1/(1+$G1321))^(1+$E1321)*(1+AI$7)^$D1321*(AI1303/AH1303)^$E1321*((AI1303+AI1312)/(AH1303+AH1312))^($F1321*(1+$E1321))</f>
        <v/>
      </c>
      <c r="AJ1321" s="41">
        <f>AI1321*(1/(1+$G1321))^(1+$E1321)*(1+AJ$7)^$D1321*(AJ1303/AI1303)^$E1321*((AJ1303+AJ1312)/(AI1303+AI1312))^($F1321*(1+$E1321))</f>
        <v/>
      </c>
      <c r="AK1321" s="41">
        <f>AJ1321*(1/(1+$G1321))^(1+$E1321)*(1+AK$7)^$D1321*(AK1303/AJ1303)^$E1321*((AK1303+AK1312)/(AJ1303+AJ1312))^($F1321*(1+$E1321))</f>
        <v/>
      </c>
      <c r="AL1321" s="41">
        <f>AK1321*(1/(1+$G1321))^(1+$E1321)*(1+AL$7)^$D1321*(AL1303/AK1303)^$E1321*((AL1303+AL1312)/(AK1303+AK1312))^($F1321*(1+$E1321))</f>
        <v/>
      </c>
      <c r="AM1321" s="41">
        <f>AL1321*(1/(1+$G1321))^(1+$E1321)*(1+AM$7)^$D1321*(AM1303/AL1303)^$E1321*((AM1303+AM1312)/(AL1303+AL1312))^($F1321*(1+$E1321))</f>
        <v/>
      </c>
      <c r="AN1321" s="42">
        <f>FUELUSE(AM1321,AN1303,AM1303,AN1312,AM1312,AN$7,$D1321,$E1321,$F1321,$G1321)</f>
        <v/>
      </c>
    </row>
    <row r="1322" hidden="1" outlineLevel="2">
      <c r="A1322" s="5" t="inlineStr">
        <is>
          <t>ener</t>
        </is>
      </c>
      <c r="B1322" s="5" t="inlineStr">
        <is>
          <t>die</t>
        </is>
      </c>
      <c r="C1322" s="5" t="inlineStr">
        <is>
          <t>oen</t>
        </is>
      </c>
      <c r="D1322" s="36">
        <f>INDEX(Inputs!$N$5:$N$132,MATCH($B1322&amp;"|"&amp;$C1322,Inputs!$A$5:$A$132,0))</f>
        <v/>
      </c>
      <c r="E1322" s="36">
        <f>INDEX(Inputs!$O$5:$O$132,MATCH($B1322&amp;"|"&amp;$C1322,Inputs!$A$5:$A$132,0))</f>
        <v/>
      </c>
      <c r="F1322" s="36">
        <f>INDEX(Inputs!$P$5:$P$132,MATCH($B1322&amp;"|"&amp;$C1322,Inputs!$A$5:$A$132,0))</f>
        <v/>
      </c>
      <c r="G1322" s="36">
        <f>INDEX(Inputs!$Q$5:$Q$132,MATCH($B1322&amp;"|"&amp;$C1322,Inputs!$A$5:$A$132,0))</f>
        <v/>
      </c>
      <c r="H1322" s="5">
        <f>INDEX(Variables!$B$5:$B$65,MATCH($A1322,Variables!$A$5:$A$65,0))&amp;IF($C1322="",""," | "&amp;INDEX(Mapping!$B$5:$B$25,MATCH($C1322,Mapping!$A$5:$A$25,0))&amp;" | "&amp;INDEX(Mapping!$B$29:$B$38,MATCH($B1322,Mapping!$A$29:$A$38,0)))</f>
        <v/>
      </c>
      <c r="I1322" s="5">
        <f>INDEX(Variables!$C$5:$C$65,MATCH($A1322,Variables!$A$5:$A$65,0))</f>
        <v/>
      </c>
      <c r="J1322" s="5">
        <f>INDEX(Variables!$E$5:$E$65,MATCH($A1322,Variables!$A$5:$A$65,0))</f>
        <v/>
      </c>
      <c r="K1322" s="23">
        <f>LOWER(Settings!$C$4)&amp;".mit."&amp;$A1322&amp;IF($C1322="","","."&amp;$C1322&amp;"."&amp;$B1322)&amp;IF(INDEX(Variables!$D$5:$D$65,MATCH($A1322,Variables!$A$5:$A$65,0))="","","."&amp;INDEX(Variables!$D$5:$D$65,MATCH($A1322,Variables!$A$5:$A$65,0)))&amp;"."&amp;K$5</f>
        <v/>
      </c>
      <c r="L1322" s="40">
        <f>INDEX(Inputs!$V$5:$V$132,MATCH($B1322&amp;"|"&amp;$C1322,Inputs!$A$5:$A$132,0))</f>
        <v/>
      </c>
      <c r="M1322" s="41">
        <f>L1322*(1/(1+$G1322))^(1+$E1322)*(1+M$7)^$D1322*(M1304/L1304)^$E1322*((M1304+M1313)/(L1304+L1313))^($F1322*(1+$E1322))</f>
        <v/>
      </c>
      <c r="N1322" s="41">
        <f>M1322*(1/(1+$G1322))^(1+$E1322)*(1+N$7)^$D1322*(N1304/M1304)^$E1322*((N1304+N1313)/(M1304+M1313))^($F1322*(1+$E1322))</f>
        <v/>
      </c>
      <c r="O1322" s="41">
        <f>N1322*(1/(1+$G1322))^(1+$E1322)*(1+O$7)^$D1322*(O1304/N1304)^$E1322*((O1304+O1313)/(N1304+N1313))^($F1322*(1+$E1322))</f>
        <v/>
      </c>
      <c r="P1322" s="41">
        <f>O1322*(1/(1+$G1322))^(1+$E1322)*(1+P$7)^$D1322*(P1304/O1304)^$E1322*((P1304+P1313)/(O1304+O1313))^($F1322*(1+$E1322))</f>
        <v/>
      </c>
      <c r="Q1322" s="41">
        <f>P1322*(1/(1+$G1322))^(1+$E1322)*(1+Q$7)^$D1322*(Q1304/P1304)^$E1322*((Q1304+Q1313)/(P1304+P1313))^($F1322*(1+$E1322))</f>
        <v/>
      </c>
      <c r="R1322" s="41">
        <f>Q1322*(1/(1+$G1322))^(1+$E1322)*(1+R$7)^$D1322*(R1304/Q1304)^$E1322*((R1304+R1313)/(Q1304+Q1313))^($F1322*(1+$E1322))</f>
        <v/>
      </c>
      <c r="S1322" s="41">
        <f>R1322*(1/(1+$G1322))^(1+$E1322)*(1+S$7)^$D1322*(S1304/R1304)^$E1322*((S1304+S1313)/(R1304+R1313))^($F1322*(1+$E1322))</f>
        <v/>
      </c>
      <c r="T1322" s="41">
        <f>S1322*(1/(1+$G1322))^(1+$E1322)*(1+T$7)^$D1322*(T1304/S1304)^$E1322*((T1304+T1313)/(S1304+S1313))^($F1322*(1+$E1322))</f>
        <v/>
      </c>
      <c r="U1322" s="41">
        <f>T1322*(1/(1+$G1322))^(1+$E1322)*(1+U$7)^$D1322*(U1304/T1304)^$E1322*((U1304+U1313)/(T1304+T1313))^($F1322*(1+$E1322))</f>
        <v/>
      </c>
      <c r="V1322" s="41">
        <f>U1322*(1/(1+$G1322))^(1+$E1322)*(1+V$7)^$D1322*(V1304/U1304)^$E1322*((V1304+V1313)/(U1304+U1313))^($F1322*(1+$E1322))</f>
        <v/>
      </c>
      <c r="W1322" s="41">
        <f>V1322*(1/(1+$G1322))^(1+$E1322)*(1+W$7)^$D1322*(W1304/V1304)^$E1322*((W1304+W1313)/(V1304+V1313))^($F1322*(1+$E1322))</f>
        <v/>
      </c>
      <c r="X1322" s="41">
        <f>W1322*(1/(1+$G1322))^(1+$E1322)*(1+X$7)^$D1322*(X1304/W1304)^$E1322*((X1304+X1313)/(W1304+W1313))^($F1322*(1+$E1322))</f>
        <v/>
      </c>
      <c r="Y1322" s="42">
        <f>FUELUSE(X1322,Y1304,X1304,Y1313,X1313,Y$7,$D1322,$E1322,$F1322,$G1322)</f>
        <v/>
      </c>
      <c r="Z1322" s="23">
        <f>LOWER(Settings!$C$4)&amp;".mit."&amp;$A1322&amp;IF($C1322="","","."&amp;$C1322&amp;"."&amp;$B1322)&amp;IF(INDEX(Variables!$D$5:$D$65,MATCH($A1322,Variables!$A$5:$A$65,0))="","","."&amp;INDEX(Variables!$D$5:$D$65,MATCH($A1322,Variables!$A$5:$A$65,0)))&amp;"."&amp;Z$5</f>
        <v/>
      </c>
      <c r="AA1322" s="40">
        <f>INDEX(Inputs!$V$5:$V$132,MATCH($B1322&amp;"|"&amp;$C1322,Inputs!$A$5:$A$132,0))</f>
        <v/>
      </c>
      <c r="AB1322" s="41">
        <f>AA1322*(1/(1+$G1322))^(1+$E1322)*(1+AB$7)^$D1322*(AB1304/AA1304)^$E1322*((AB1304+AB1313)/(AA1304+AA1313))^($F1322*(1+$E1322))</f>
        <v/>
      </c>
      <c r="AC1322" s="41">
        <f>AB1322*(1/(1+$G1322))^(1+$E1322)*(1+AC$7)^$D1322*(AC1304/AB1304)^$E1322*((AC1304+AC1313)/(AB1304+AB1313))^($F1322*(1+$E1322))</f>
        <v/>
      </c>
      <c r="AD1322" s="41">
        <f>AC1322*(1/(1+$G1322))^(1+$E1322)*(1+AD$7)^$D1322*(AD1304/AC1304)^$E1322*((AD1304+AD1313)/(AC1304+AC1313))^($F1322*(1+$E1322))</f>
        <v/>
      </c>
      <c r="AE1322" s="41">
        <f>AD1322*(1/(1+$G1322))^(1+$E1322)*(1+AE$7)^$D1322*(AE1304/AD1304)^$E1322*((AE1304+AE1313)/(AD1304+AD1313))^($F1322*(1+$E1322))</f>
        <v/>
      </c>
      <c r="AF1322" s="41">
        <f>AE1322*(1/(1+$G1322))^(1+$E1322)*(1+AF$7)^$D1322*(AF1304/AE1304)^$E1322*((AF1304+AF1313)/(AE1304+AE1313))^($F1322*(1+$E1322))</f>
        <v/>
      </c>
      <c r="AG1322" s="41">
        <f>AF1322*(1/(1+$G1322))^(1+$E1322)*(1+AG$7)^$D1322*(AG1304/AF1304)^$E1322*((AG1304+AG1313)/(AF1304+AF1313))^($F1322*(1+$E1322))</f>
        <v/>
      </c>
      <c r="AH1322" s="41">
        <f>AG1322*(1/(1+$G1322))^(1+$E1322)*(1+AH$7)^$D1322*(AH1304/AG1304)^$E1322*((AH1304+AH1313)/(AG1304+AG1313))^($F1322*(1+$E1322))</f>
        <v/>
      </c>
      <c r="AI1322" s="41">
        <f>AH1322*(1/(1+$G1322))^(1+$E1322)*(1+AI$7)^$D1322*(AI1304/AH1304)^$E1322*((AI1304+AI1313)/(AH1304+AH1313))^($F1322*(1+$E1322))</f>
        <v/>
      </c>
      <c r="AJ1322" s="41">
        <f>AI1322*(1/(1+$G1322))^(1+$E1322)*(1+AJ$7)^$D1322*(AJ1304/AI1304)^$E1322*((AJ1304+AJ1313)/(AI1304+AI1313))^($F1322*(1+$E1322))</f>
        <v/>
      </c>
      <c r="AK1322" s="41">
        <f>AJ1322*(1/(1+$G1322))^(1+$E1322)*(1+AK$7)^$D1322*(AK1304/AJ1304)^$E1322*((AK1304+AK1313)/(AJ1304+AJ1313))^($F1322*(1+$E1322))</f>
        <v/>
      </c>
      <c r="AL1322" s="41">
        <f>AK1322*(1/(1+$G1322))^(1+$E1322)*(1+AL$7)^$D1322*(AL1304/AK1304)^$E1322*((AL1304+AL1313)/(AK1304+AK1313))^($F1322*(1+$E1322))</f>
        <v/>
      </c>
      <c r="AM1322" s="41">
        <f>AL1322*(1/(1+$G1322))^(1+$E1322)*(1+AM$7)^$D1322*(AM1304/AL1304)^$E1322*((AM1304+AM1313)/(AL1304+AL1313))^($F1322*(1+$E1322))</f>
        <v/>
      </c>
      <c r="AN1322" s="42">
        <f>FUELUSE(AM1322,AN1304,AM1304,AN1313,AM1313,AN$7,$D1322,$E1322,$F1322,$G1322)</f>
        <v/>
      </c>
    </row>
    <row r="1323" hidden="1" outlineLevel="2">
      <c r="A1323" s="5" t="inlineStr">
        <is>
          <t>ener</t>
        </is>
      </c>
      <c r="B1323" s="5" t="inlineStr">
        <is>
          <t>lpg</t>
        </is>
      </c>
      <c r="C1323" s="5" t="inlineStr">
        <is>
          <t>oen</t>
        </is>
      </c>
      <c r="D1323" s="36">
        <f>INDEX(Inputs!$N$5:$N$132,MATCH($B1323&amp;"|"&amp;$C1323,Inputs!$A$5:$A$132,0))</f>
        <v/>
      </c>
      <c r="E1323" s="36">
        <f>INDEX(Inputs!$O$5:$O$132,MATCH($B1323&amp;"|"&amp;$C1323,Inputs!$A$5:$A$132,0))</f>
        <v/>
      </c>
      <c r="F1323" s="36">
        <f>INDEX(Inputs!$P$5:$P$132,MATCH($B1323&amp;"|"&amp;$C1323,Inputs!$A$5:$A$132,0))</f>
        <v/>
      </c>
      <c r="G1323" s="36">
        <f>INDEX(Inputs!$Q$5:$Q$132,MATCH($B1323&amp;"|"&amp;$C1323,Inputs!$A$5:$A$132,0))</f>
        <v/>
      </c>
      <c r="H1323" s="5">
        <f>INDEX(Variables!$B$5:$B$65,MATCH($A1323,Variables!$A$5:$A$65,0))&amp;IF($C1323="",""," | "&amp;INDEX(Mapping!$B$5:$B$25,MATCH($C1323,Mapping!$A$5:$A$25,0))&amp;" | "&amp;INDEX(Mapping!$B$29:$B$38,MATCH($B1323,Mapping!$A$29:$A$38,0)))</f>
        <v/>
      </c>
      <c r="I1323" s="5">
        <f>INDEX(Variables!$C$5:$C$65,MATCH($A1323,Variables!$A$5:$A$65,0))</f>
        <v/>
      </c>
      <c r="J1323" s="5">
        <f>INDEX(Variables!$E$5:$E$65,MATCH($A1323,Variables!$A$5:$A$65,0))</f>
        <v/>
      </c>
      <c r="K1323" s="23">
        <f>LOWER(Settings!$C$4)&amp;".mit."&amp;$A1323&amp;IF($C1323="","","."&amp;$C1323&amp;"."&amp;$B1323)&amp;IF(INDEX(Variables!$D$5:$D$65,MATCH($A1323,Variables!$A$5:$A$65,0))="","","."&amp;INDEX(Variables!$D$5:$D$65,MATCH($A1323,Variables!$A$5:$A$65,0)))&amp;"."&amp;K$5</f>
        <v/>
      </c>
      <c r="L1323" s="40">
        <f>INDEX(Inputs!$V$5:$V$132,MATCH($B1323&amp;"|"&amp;$C1323,Inputs!$A$5:$A$132,0))</f>
        <v/>
      </c>
      <c r="M1323" s="41">
        <f>L1323*(1/(1+$G1323))^(1+$E1323)*(1+M$7)^$D1323*(M1305/L1305)^$E1323*((M1305+M1314)/(L1305+L1314))^($F1323*(1+$E1323))</f>
        <v/>
      </c>
      <c r="N1323" s="41">
        <f>M1323*(1/(1+$G1323))^(1+$E1323)*(1+N$7)^$D1323*(N1305/M1305)^$E1323*((N1305+N1314)/(M1305+M1314))^($F1323*(1+$E1323))</f>
        <v/>
      </c>
      <c r="O1323" s="41">
        <f>N1323*(1/(1+$G1323))^(1+$E1323)*(1+O$7)^$D1323*(O1305/N1305)^$E1323*((O1305+O1314)/(N1305+N1314))^($F1323*(1+$E1323))</f>
        <v/>
      </c>
      <c r="P1323" s="41">
        <f>O1323*(1/(1+$G1323))^(1+$E1323)*(1+P$7)^$D1323*(P1305/O1305)^$E1323*((P1305+P1314)/(O1305+O1314))^($F1323*(1+$E1323))</f>
        <v/>
      </c>
      <c r="Q1323" s="41">
        <f>P1323*(1/(1+$G1323))^(1+$E1323)*(1+Q$7)^$D1323*(Q1305/P1305)^$E1323*((Q1305+Q1314)/(P1305+P1314))^($F1323*(1+$E1323))</f>
        <v/>
      </c>
      <c r="R1323" s="41">
        <f>Q1323*(1/(1+$G1323))^(1+$E1323)*(1+R$7)^$D1323*(R1305/Q1305)^$E1323*((R1305+R1314)/(Q1305+Q1314))^($F1323*(1+$E1323))</f>
        <v/>
      </c>
      <c r="S1323" s="41">
        <f>R1323*(1/(1+$G1323))^(1+$E1323)*(1+S$7)^$D1323*(S1305/R1305)^$E1323*((S1305+S1314)/(R1305+R1314))^($F1323*(1+$E1323))</f>
        <v/>
      </c>
      <c r="T1323" s="41">
        <f>S1323*(1/(1+$G1323))^(1+$E1323)*(1+T$7)^$D1323*(T1305/S1305)^$E1323*((T1305+T1314)/(S1305+S1314))^($F1323*(1+$E1323))</f>
        <v/>
      </c>
      <c r="U1323" s="41">
        <f>T1323*(1/(1+$G1323))^(1+$E1323)*(1+U$7)^$D1323*(U1305/T1305)^$E1323*((U1305+U1314)/(T1305+T1314))^($F1323*(1+$E1323))</f>
        <v/>
      </c>
      <c r="V1323" s="41">
        <f>U1323*(1/(1+$G1323))^(1+$E1323)*(1+V$7)^$D1323*(V1305/U1305)^$E1323*((V1305+V1314)/(U1305+U1314))^($F1323*(1+$E1323))</f>
        <v/>
      </c>
      <c r="W1323" s="41">
        <f>V1323*(1/(1+$G1323))^(1+$E1323)*(1+W$7)^$D1323*(W1305/V1305)^$E1323*((W1305+W1314)/(V1305+V1314))^($F1323*(1+$E1323))</f>
        <v/>
      </c>
      <c r="X1323" s="41">
        <f>W1323*(1/(1+$G1323))^(1+$E1323)*(1+X$7)^$D1323*(X1305/W1305)^$E1323*((X1305+X1314)/(W1305+W1314))^($F1323*(1+$E1323))</f>
        <v/>
      </c>
      <c r="Y1323" s="42">
        <f>FUELUSE(X1323,Y1305,X1305,Y1314,X1314,Y$7,$D1323,$E1323,$F1323,$G1323)</f>
        <v/>
      </c>
      <c r="Z1323" s="23">
        <f>LOWER(Settings!$C$4)&amp;".mit."&amp;$A1323&amp;IF($C1323="","","."&amp;$C1323&amp;"."&amp;$B1323)&amp;IF(INDEX(Variables!$D$5:$D$65,MATCH($A1323,Variables!$A$5:$A$65,0))="","","."&amp;INDEX(Variables!$D$5:$D$65,MATCH($A1323,Variables!$A$5:$A$65,0)))&amp;"."&amp;Z$5</f>
        <v/>
      </c>
      <c r="AA1323" s="40">
        <f>INDEX(Inputs!$V$5:$V$132,MATCH($B1323&amp;"|"&amp;$C1323,Inputs!$A$5:$A$132,0))</f>
        <v/>
      </c>
      <c r="AB1323" s="41">
        <f>AA1323*(1/(1+$G1323))^(1+$E1323)*(1+AB$7)^$D1323*(AB1305/AA1305)^$E1323*((AB1305+AB1314)/(AA1305+AA1314))^($F1323*(1+$E1323))</f>
        <v/>
      </c>
      <c r="AC1323" s="41">
        <f>AB1323*(1/(1+$G1323))^(1+$E1323)*(1+AC$7)^$D1323*(AC1305/AB1305)^$E1323*((AC1305+AC1314)/(AB1305+AB1314))^($F1323*(1+$E1323))</f>
        <v/>
      </c>
      <c r="AD1323" s="41">
        <f>AC1323*(1/(1+$G1323))^(1+$E1323)*(1+AD$7)^$D1323*(AD1305/AC1305)^$E1323*((AD1305+AD1314)/(AC1305+AC1314))^($F1323*(1+$E1323))</f>
        <v/>
      </c>
      <c r="AE1323" s="41">
        <f>AD1323*(1/(1+$G1323))^(1+$E1323)*(1+AE$7)^$D1323*(AE1305/AD1305)^$E1323*((AE1305+AE1314)/(AD1305+AD1314))^($F1323*(1+$E1323))</f>
        <v/>
      </c>
      <c r="AF1323" s="41">
        <f>AE1323*(1/(1+$G1323))^(1+$E1323)*(1+AF$7)^$D1323*(AF1305/AE1305)^$E1323*((AF1305+AF1314)/(AE1305+AE1314))^($F1323*(1+$E1323))</f>
        <v/>
      </c>
      <c r="AG1323" s="41">
        <f>AF1323*(1/(1+$G1323))^(1+$E1323)*(1+AG$7)^$D1323*(AG1305/AF1305)^$E1323*((AG1305+AG1314)/(AF1305+AF1314))^($F1323*(1+$E1323))</f>
        <v/>
      </c>
      <c r="AH1323" s="41">
        <f>AG1323*(1/(1+$G1323))^(1+$E1323)*(1+AH$7)^$D1323*(AH1305/AG1305)^$E1323*((AH1305+AH1314)/(AG1305+AG1314))^($F1323*(1+$E1323))</f>
        <v/>
      </c>
      <c r="AI1323" s="41">
        <f>AH1323*(1/(1+$G1323))^(1+$E1323)*(1+AI$7)^$D1323*(AI1305/AH1305)^$E1323*((AI1305+AI1314)/(AH1305+AH1314))^($F1323*(1+$E1323))</f>
        <v/>
      </c>
      <c r="AJ1323" s="41">
        <f>AI1323*(1/(1+$G1323))^(1+$E1323)*(1+AJ$7)^$D1323*(AJ1305/AI1305)^$E1323*((AJ1305+AJ1314)/(AI1305+AI1314))^($F1323*(1+$E1323))</f>
        <v/>
      </c>
      <c r="AK1323" s="41">
        <f>AJ1323*(1/(1+$G1323))^(1+$E1323)*(1+AK$7)^$D1323*(AK1305/AJ1305)^$E1323*((AK1305+AK1314)/(AJ1305+AJ1314))^($F1323*(1+$E1323))</f>
        <v/>
      </c>
      <c r="AL1323" s="41">
        <f>AK1323*(1/(1+$G1323))^(1+$E1323)*(1+AL$7)^$D1323*(AL1305/AK1305)^$E1323*((AL1305+AL1314)/(AK1305+AK1314))^($F1323*(1+$E1323))</f>
        <v/>
      </c>
      <c r="AM1323" s="41">
        <f>AL1323*(1/(1+$G1323))^(1+$E1323)*(1+AM$7)^$D1323*(AM1305/AL1305)^$E1323*((AM1305+AM1314)/(AL1305+AL1314))^($F1323*(1+$E1323))</f>
        <v/>
      </c>
      <c r="AN1323" s="42">
        <f>FUELUSE(AM1323,AN1305,AM1305,AN1314,AM1314,AN$7,$D1323,$E1323,$F1323,$G1323)</f>
        <v/>
      </c>
    </row>
    <row r="1324" hidden="1" outlineLevel="2">
      <c r="A1324" s="5" t="inlineStr">
        <is>
          <t>ener</t>
        </is>
      </c>
      <c r="B1324" s="5" t="inlineStr">
        <is>
          <t>ker</t>
        </is>
      </c>
      <c r="C1324" s="5" t="inlineStr">
        <is>
          <t>oen</t>
        </is>
      </c>
      <c r="D1324" s="36">
        <f>INDEX(Inputs!$N$5:$N$132,MATCH($B1324&amp;"|"&amp;$C1324,Inputs!$A$5:$A$132,0))</f>
        <v/>
      </c>
      <c r="E1324" s="36">
        <f>INDEX(Inputs!$O$5:$O$132,MATCH($B1324&amp;"|"&amp;$C1324,Inputs!$A$5:$A$132,0))</f>
        <v/>
      </c>
      <c r="F1324" s="36">
        <f>INDEX(Inputs!$P$5:$P$132,MATCH($B1324&amp;"|"&amp;$C1324,Inputs!$A$5:$A$132,0))</f>
        <v/>
      </c>
      <c r="G1324" s="36">
        <f>INDEX(Inputs!$Q$5:$Q$132,MATCH($B1324&amp;"|"&amp;$C1324,Inputs!$A$5:$A$132,0))</f>
        <v/>
      </c>
      <c r="H1324" s="5">
        <f>INDEX(Variables!$B$5:$B$65,MATCH($A1324,Variables!$A$5:$A$65,0))&amp;IF($C1324="",""," | "&amp;INDEX(Mapping!$B$5:$B$25,MATCH($C1324,Mapping!$A$5:$A$25,0))&amp;" | "&amp;INDEX(Mapping!$B$29:$B$38,MATCH($B1324,Mapping!$A$29:$A$38,0)))</f>
        <v/>
      </c>
      <c r="I1324" s="5">
        <f>INDEX(Variables!$C$5:$C$65,MATCH($A1324,Variables!$A$5:$A$65,0))</f>
        <v/>
      </c>
      <c r="J1324" s="5">
        <f>INDEX(Variables!$E$5:$E$65,MATCH($A1324,Variables!$A$5:$A$65,0))</f>
        <v/>
      </c>
      <c r="K1324" s="23">
        <f>LOWER(Settings!$C$4)&amp;".mit."&amp;$A1324&amp;IF($C1324="","","."&amp;$C1324&amp;"."&amp;$B1324)&amp;IF(INDEX(Variables!$D$5:$D$65,MATCH($A1324,Variables!$A$5:$A$65,0))="","","."&amp;INDEX(Variables!$D$5:$D$65,MATCH($A1324,Variables!$A$5:$A$65,0)))&amp;"."&amp;K$5</f>
        <v/>
      </c>
      <c r="L1324" s="40">
        <f>INDEX(Inputs!$V$5:$V$132,MATCH($B1324&amp;"|"&amp;$C1324,Inputs!$A$5:$A$132,0))</f>
        <v/>
      </c>
      <c r="M1324" s="41">
        <f>L1324*(1/(1+$G1324))^(1+$E1324)*(1+M$7)^$D1324*(M1306/L1306)^$E1324*((M1306+M1315)/(L1306+L1315))^($F1324*(1+$E1324))</f>
        <v/>
      </c>
      <c r="N1324" s="41">
        <f>M1324*(1/(1+$G1324))^(1+$E1324)*(1+N$7)^$D1324*(N1306/M1306)^$E1324*((N1306+N1315)/(M1306+M1315))^($F1324*(1+$E1324))</f>
        <v/>
      </c>
      <c r="O1324" s="41">
        <f>N1324*(1/(1+$G1324))^(1+$E1324)*(1+O$7)^$D1324*(O1306/N1306)^$E1324*((O1306+O1315)/(N1306+N1315))^($F1324*(1+$E1324))</f>
        <v/>
      </c>
      <c r="P1324" s="41">
        <f>O1324*(1/(1+$G1324))^(1+$E1324)*(1+P$7)^$D1324*(P1306/O1306)^$E1324*((P1306+P1315)/(O1306+O1315))^($F1324*(1+$E1324))</f>
        <v/>
      </c>
      <c r="Q1324" s="41">
        <f>P1324*(1/(1+$G1324))^(1+$E1324)*(1+Q$7)^$D1324*(Q1306/P1306)^$E1324*((Q1306+Q1315)/(P1306+P1315))^($F1324*(1+$E1324))</f>
        <v/>
      </c>
      <c r="R1324" s="41">
        <f>Q1324*(1/(1+$G1324))^(1+$E1324)*(1+R$7)^$D1324*(R1306/Q1306)^$E1324*((R1306+R1315)/(Q1306+Q1315))^($F1324*(1+$E1324))</f>
        <v/>
      </c>
      <c r="S1324" s="41">
        <f>R1324*(1/(1+$G1324))^(1+$E1324)*(1+S$7)^$D1324*(S1306/R1306)^$E1324*((S1306+S1315)/(R1306+R1315))^($F1324*(1+$E1324))</f>
        <v/>
      </c>
      <c r="T1324" s="41">
        <f>S1324*(1/(1+$G1324))^(1+$E1324)*(1+T$7)^$D1324*(T1306/S1306)^$E1324*((T1306+T1315)/(S1306+S1315))^($F1324*(1+$E1324))</f>
        <v/>
      </c>
      <c r="U1324" s="41">
        <f>T1324*(1/(1+$G1324))^(1+$E1324)*(1+U$7)^$D1324*(U1306/T1306)^$E1324*((U1306+U1315)/(T1306+T1315))^($F1324*(1+$E1324))</f>
        <v/>
      </c>
      <c r="V1324" s="41">
        <f>U1324*(1/(1+$G1324))^(1+$E1324)*(1+V$7)^$D1324*(V1306/U1306)^$E1324*((V1306+V1315)/(U1306+U1315))^($F1324*(1+$E1324))</f>
        <v/>
      </c>
      <c r="W1324" s="41">
        <f>V1324*(1/(1+$G1324))^(1+$E1324)*(1+W$7)^$D1324*(W1306/V1306)^$E1324*((W1306+W1315)/(V1306+V1315))^($F1324*(1+$E1324))</f>
        <v/>
      </c>
      <c r="X1324" s="41">
        <f>W1324*(1/(1+$G1324))^(1+$E1324)*(1+X$7)^$D1324*(X1306/W1306)^$E1324*((X1306+X1315)/(W1306+W1315))^($F1324*(1+$E1324))</f>
        <v/>
      </c>
      <c r="Y1324" s="42">
        <f>FUELUSE(X1324,Y1306,X1306,Y1315,X1315,Y$7,$D1324,$E1324,$F1324,$G1324)</f>
        <v/>
      </c>
      <c r="Z1324" s="23">
        <f>LOWER(Settings!$C$4)&amp;".mit."&amp;$A1324&amp;IF($C1324="","","."&amp;$C1324&amp;"."&amp;$B1324)&amp;IF(INDEX(Variables!$D$5:$D$65,MATCH($A1324,Variables!$A$5:$A$65,0))="","","."&amp;INDEX(Variables!$D$5:$D$65,MATCH($A1324,Variables!$A$5:$A$65,0)))&amp;"."&amp;Z$5</f>
        <v/>
      </c>
      <c r="AA1324" s="40">
        <f>INDEX(Inputs!$V$5:$V$132,MATCH($B1324&amp;"|"&amp;$C1324,Inputs!$A$5:$A$132,0))</f>
        <v/>
      </c>
      <c r="AB1324" s="41">
        <f>AA1324*(1/(1+$G1324))^(1+$E1324)*(1+AB$7)^$D1324*(AB1306/AA1306)^$E1324*((AB1306+AB1315)/(AA1306+AA1315))^($F1324*(1+$E1324))</f>
        <v/>
      </c>
      <c r="AC1324" s="41">
        <f>AB1324*(1/(1+$G1324))^(1+$E1324)*(1+AC$7)^$D1324*(AC1306/AB1306)^$E1324*((AC1306+AC1315)/(AB1306+AB1315))^($F1324*(1+$E1324))</f>
        <v/>
      </c>
      <c r="AD1324" s="41">
        <f>AC1324*(1/(1+$G1324))^(1+$E1324)*(1+AD$7)^$D1324*(AD1306/AC1306)^$E1324*((AD1306+AD1315)/(AC1306+AC1315))^($F1324*(1+$E1324))</f>
        <v/>
      </c>
      <c r="AE1324" s="41">
        <f>AD1324*(1/(1+$G1324))^(1+$E1324)*(1+AE$7)^$D1324*(AE1306/AD1306)^$E1324*((AE1306+AE1315)/(AD1306+AD1315))^($F1324*(1+$E1324))</f>
        <v/>
      </c>
      <c r="AF1324" s="41">
        <f>AE1324*(1/(1+$G1324))^(1+$E1324)*(1+AF$7)^$D1324*(AF1306/AE1306)^$E1324*((AF1306+AF1315)/(AE1306+AE1315))^($F1324*(1+$E1324))</f>
        <v/>
      </c>
      <c r="AG1324" s="41">
        <f>AF1324*(1/(1+$G1324))^(1+$E1324)*(1+AG$7)^$D1324*(AG1306/AF1306)^$E1324*((AG1306+AG1315)/(AF1306+AF1315))^($F1324*(1+$E1324))</f>
        <v/>
      </c>
      <c r="AH1324" s="41">
        <f>AG1324*(1/(1+$G1324))^(1+$E1324)*(1+AH$7)^$D1324*(AH1306/AG1306)^$E1324*((AH1306+AH1315)/(AG1306+AG1315))^($F1324*(1+$E1324))</f>
        <v/>
      </c>
      <c r="AI1324" s="41">
        <f>AH1324*(1/(1+$G1324))^(1+$E1324)*(1+AI$7)^$D1324*(AI1306/AH1306)^$E1324*((AI1306+AI1315)/(AH1306+AH1315))^($F1324*(1+$E1324))</f>
        <v/>
      </c>
      <c r="AJ1324" s="41">
        <f>AI1324*(1/(1+$G1324))^(1+$E1324)*(1+AJ$7)^$D1324*(AJ1306/AI1306)^$E1324*((AJ1306+AJ1315)/(AI1306+AI1315))^($F1324*(1+$E1324))</f>
        <v/>
      </c>
      <c r="AK1324" s="41">
        <f>AJ1324*(1/(1+$G1324))^(1+$E1324)*(1+AK$7)^$D1324*(AK1306/AJ1306)^$E1324*((AK1306+AK1315)/(AJ1306+AJ1315))^($F1324*(1+$E1324))</f>
        <v/>
      </c>
      <c r="AL1324" s="41">
        <f>AK1324*(1/(1+$G1324))^(1+$E1324)*(1+AL$7)^$D1324*(AL1306/AK1306)^$E1324*((AL1306+AL1315)/(AK1306+AK1315))^($F1324*(1+$E1324))</f>
        <v/>
      </c>
      <c r="AM1324" s="41">
        <f>AL1324*(1/(1+$G1324))^(1+$E1324)*(1+AM$7)^$D1324*(AM1306/AL1306)^$E1324*((AM1306+AM1315)/(AL1306+AL1315))^($F1324*(1+$E1324))</f>
        <v/>
      </c>
      <c r="AN1324" s="42">
        <f>FUELUSE(AM1324,AN1306,AM1306,AN1315,AM1315,AN$7,$D1324,$E1324,$F1324,$G1324)</f>
        <v/>
      </c>
    </row>
    <row r="1325" hidden="1" outlineLevel="2">
      <c r="A1325" s="5" t="inlineStr">
        <is>
          <t>ener</t>
        </is>
      </c>
      <c r="B1325" s="5" t="inlineStr">
        <is>
          <t>oop</t>
        </is>
      </c>
      <c r="C1325" s="5" t="inlineStr">
        <is>
          <t>oen</t>
        </is>
      </c>
      <c r="D1325" s="36">
        <f>INDEX(Inputs!$N$5:$N$132,MATCH($B1325&amp;"|"&amp;$C1325,Inputs!$A$5:$A$132,0))</f>
        <v/>
      </c>
      <c r="E1325" s="36">
        <f>INDEX(Inputs!$O$5:$O$132,MATCH($B1325&amp;"|"&amp;$C1325,Inputs!$A$5:$A$132,0))</f>
        <v/>
      </c>
      <c r="F1325" s="36">
        <f>INDEX(Inputs!$P$5:$P$132,MATCH($B1325&amp;"|"&amp;$C1325,Inputs!$A$5:$A$132,0))</f>
        <v/>
      </c>
      <c r="G1325" s="36">
        <f>INDEX(Inputs!$Q$5:$Q$132,MATCH($B1325&amp;"|"&amp;$C1325,Inputs!$A$5:$A$132,0))</f>
        <v/>
      </c>
      <c r="H1325" s="5">
        <f>INDEX(Variables!$B$5:$B$65,MATCH($A1325,Variables!$A$5:$A$65,0))&amp;IF($C1325="",""," | "&amp;INDEX(Mapping!$B$5:$B$25,MATCH($C1325,Mapping!$A$5:$A$25,0))&amp;" | "&amp;INDEX(Mapping!$B$29:$B$38,MATCH($B1325,Mapping!$A$29:$A$38,0)))</f>
        <v/>
      </c>
      <c r="I1325" s="5">
        <f>INDEX(Variables!$C$5:$C$65,MATCH($A1325,Variables!$A$5:$A$65,0))</f>
        <v/>
      </c>
      <c r="J1325" s="5">
        <f>INDEX(Variables!$E$5:$E$65,MATCH($A1325,Variables!$A$5:$A$65,0))</f>
        <v/>
      </c>
      <c r="K1325" s="23">
        <f>LOWER(Settings!$C$4)&amp;".mit."&amp;$A1325&amp;IF($C1325="","","."&amp;$C1325&amp;"."&amp;$B1325)&amp;IF(INDEX(Variables!$D$5:$D$65,MATCH($A1325,Variables!$A$5:$A$65,0))="","","."&amp;INDEX(Variables!$D$5:$D$65,MATCH($A1325,Variables!$A$5:$A$65,0)))&amp;"."&amp;K$5</f>
        <v/>
      </c>
      <c r="L1325" s="40">
        <f>INDEX(Inputs!$V$5:$V$132,MATCH($B1325&amp;"|"&amp;$C1325,Inputs!$A$5:$A$132,0))</f>
        <v/>
      </c>
      <c r="M1325" s="41">
        <f>L1325*(1/(1+$G1325))^(1+$E1325)*(1+M$7)^$D1325*(M1307/L1307)^$E1325*((M1307+M1316)/(L1307+L1316))^($F1325*(1+$E1325))</f>
        <v/>
      </c>
      <c r="N1325" s="41">
        <f>M1325*(1/(1+$G1325))^(1+$E1325)*(1+N$7)^$D1325*(N1307/M1307)^$E1325*((N1307+N1316)/(M1307+M1316))^($F1325*(1+$E1325))</f>
        <v/>
      </c>
      <c r="O1325" s="41">
        <f>N1325*(1/(1+$G1325))^(1+$E1325)*(1+O$7)^$D1325*(O1307/N1307)^$E1325*((O1307+O1316)/(N1307+N1316))^($F1325*(1+$E1325))</f>
        <v/>
      </c>
      <c r="P1325" s="41">
        <f>O1325*(1/(1+$G1325))^(1+$E1325)*(1+P$7)^$D1325*(P1307/O1307)^$E1325*((P1307+P1316)/(O1307+O1316))^($F1325*(1+$E1325))</f>
        <v/>
      </c>
      <c r="Q1325" s="41">
        <f>P1325*(1/(1+$G1325))^(1+$E1325)*(1+Q$7)^$D1325*(Q1307/P1307)^$E1325*((Q1307+Q1316)/(P1307+P1316))^($F1325*(1+$E1325))</f>
        <v/>
      </c>
      <c r="R1325" s="41">
        <f>Q1325*(1/(1+$G1325))^(1+$E1325)*(1+R$7)^$D1325*(R1307/Q1307)^$E1325*((R1307+R1316)/(Q1307+Q1316))^($F1325*(1+$E1325))</f>
        <v/>
      </c>
      <c r="S1325" s="41">
        <f>R1325*(1/(1+$G1325))^(1+$E1325)*(1+S$7)^$D1325*(S1307/R1307)^$E1325*((S1307+S1316)/(R1307+R1316))^($F1325*(1+$E1325))</f>
        <v/>
      </c>
      <c r="T1325" s="41">
        <f>S1325*(1/(1+$G1325))^(1+$E1325)*(1+T$7)^$D1325*(T1307/S1307)^$E1325*((T1307+T1316)/(S1307+S1316))^($F1325*(1+$E1325))</f>
        <v/>
      </c>
      <c r="U1325" s="41">
        <f>T1325*(1/(1+$G1325))^(1+$E1325)*(1+U$7)^$D1325*(U1307/T1307)^$E1325*((U1307+U1316)/(T1307+T1316))^($F1325*(1+$E1325))</f>
        <v/>
      </c>
      <c r="V1325" s="41">
        <f>U1325*(1/(1+$G1325))^(1+$E1325)*(1+V$7)^$D1325*(V1307/U1307)^$E1325*((V1307+V1316)/(U1307+U1316))^($F1325*(1+$E1325))</f>
        <v/>
      </c>
      <c r="W1325" s="41">
        <f>V1325*(1/(1+$G1325))^(1+$E1325)*(1+W$7)^$D1325*(W1307/V1307)^$E1325*((W1307+W1316)/(V1307+V1316))^($F1325*(1+$E1325))</f>
        <v/>
      </c>
      <c r="X1325" s="41">
        <f>W1325*(1/(1+$G1325))^(1+$E1325)*(1+X$7)^$D1325*(X1307/W1307)^$E1325*((X1307+X1316)/(W1307+W1316))^($F1325*(1+$E1325))</f>
        <v/>
      </c>
      <c r="Y1325" s="42">
        <f>FUELUSE(X1325,Y1307,X1307,Y1316,X1316,Y$7,$D1325,$E1325,$F1325,$G1325)</f>
        <v/>
      </c>
      <c r="Z1325" s="23">
        <f>LOWER(Settings!$C$4)&amp;".mit."&amp;$A1325&amp;IF($C1325="","","."&amp;$C1325&amp;"."&amp;$B1325)&amp;IF(INDEX(Variables!$D$5:$D$65,MATCH($A1325,Variables!$A$5:$A$65,0))="","","."&amp;INDEX(Variables!$D$5:$D$65,MATCH($A1325,Variables!$A$5:$A$65,0)))&amp;"."&amp;Z$5</f>
        <v/>
      </c>
      <c r="AA1325" s="40">
        <f>INDEX(Inputs!$V$5:$V$132,MATCH($B1325&amp;"|"&amp;$C1325,Inputs!$A$5:$A$132,0))</f>
        <v/>
      </c>
      <c r="AB1325" s="41">
        <f>AA1325*(1/(1+$G1325))^(1+$E1325)*(1+AB$7)^$D1325*(AB1307/AA1307)^$E1325*((AB1307+AB1316)/(AA1307+AA1316))^($F1325*(1+$E1325))</f>
        <v/>
      </c>
      <c r="AC1325" s="41">
        <f>AB1325*(1/(1+$G1325))^(1+$E1325)*(1+AC$7)^$D1325*(AC1307/AB1307)^$E1325*((AC1307+AC1316)/(AB1307+AB1316))^($F1325*(1+$E1325))</f>
        <v/>
      </c>
      <c r="AD1325" s="41">
        <f>AC1325*(1/(1+$G1325))^(1+$E1325)*(1+AD$7)^$D1325*(AD1307/AC1307)^$E1325*((AD1307+AD1316)/(AC1307+AC1316))^($F1325*(1+$E1325))</f>
        <v/>
      </c>
      <c r="AE1325" s="41">
        <f>AD1325*(1/(1+$G1325))^(1+$E1325)*(1+AE$7)^$D1325*(AE1307/AD1307)^$E1325*((AE1307+AE1316)/(AD1307+AD1316))^($F1325*(1+$E1325))</f>
        <v/>
      </c>
      <c r="AF1325" s="41">
        <f>AE1325*(1/(1+$G1325))^(1+$E1325)*(1+AF$7)^$D1325*(AF1307/AE1307)^$E1325*((AF1307+AF1316)/(AE1307+AE1316))^($F1325*(1+$E1325))</f>
        <v/>
      </c>
      <c r="AG1325" s="41">
        <f>AF1325*(1/(1+$G1325))^(1+$E1325)*(1+AG$7)^$D1325*(AG1307/AF1307)^$E1325*((AG1307+AG1316)/(AF1307+AF1316))^($F1325*(1+$E1325))</f>
        <v/>
      </c>
      <c r="AH1325" s="41">
        <f>AG1325*(1/(1+$G1325))^(1+$E1325)*(1+AH$7)^$D1325*(AH1307/AG1307)^$E1325*((AH1307+AH1316)/(AG1307+AG1316))^($F1325*(1+$E1325))</f>
        <v/>
      </c>
      <c r="AI1325" s="41">
        <f>AH1325*(1/(1+$G1325))^(1+$E1325)*(1+AI$7)^$D1325*(AI1307/AH1307)^$E1325*((AI1307+AI1316)/(AH1307+AH1316))^($F1325*(1+$E1325))</f>
        <v/>
      </c>
      <c r="AJ1325" s="41">
        <f>AI1325*(1/(1+$G1325))^(1+$E1325)*(1+AJ$7)^$D1325*(AJ1307/AI1307)^$E1325*((AJ1307+AJ1316)/(AI1307+AI1316))^($F1325*(1+$E1325))</f>
        <v/>
      </c>
      <c r="AK1325" s="41">
        <f>AJ1325*(1/(1+$G1325))^(1+$E1325)*(1+AK$7)^$D1325*(AK1307/AJ1307)^$E1325*((AK1307+AK1316)/(AJ1307+AJ1316))^($F1325*(1+$E1325))</f>
        <v/>
      </c>
      <c r="AL1325" s="41">
        <f>AK1325*(1/(1+$G1325))^(1+$E1325)*(1+AL$7)^$D1325*(AL1307/AK1307)^$E1325*((AL1307+AL1316)/(AK1307+AK1316))^($F1325*(1+$E1325))</f>
        <v/>
      </c>
      <c r="AM1325" s="41">
        <f>AL1325*(1/(1+$G1325))^(1+$E1325)*(1+AM$7)^$D1325*(AM1307/AL1307)^$E1325*((AM1307+AM1316)/(AL1307+AL1316))^($F1325*(1+$E1325))</f>
        <v/>
      </c>
      <c r="AN1325" s="42">
        <f>FUELUSE(AM1325,AN1307,AM1307,AN1316,AM1316,AN$7,$D1325,$E1325,$F1325,$G1325)</f>
        <v/>
      </c>
    </row>
    <row r="1326" hidden="1" outlineLevel="2">
      <c r="A1326" s="5" t="inlineStr">
        <is>
          <t>ener</t>
        </is>
      </c>
      <c r="B1326" s="5" t="inlineStr">
        <is>
          <t>bio</t>
        </is>
      </c>
      <c r="C1326" s="5" t="inlineStr">
        <is>
          <t>oen</t>
        </is>
      </c>
      <c r="D1326" s="36">
        <f>INDEX(Inputs!$N$5:$N$132,MATCH($B1326&amp;"|"&amp;$C1326,Inputs!$A$5:$A$132,0))</f>
        <v/>
      </c>
      <c r="E1326" s="36">
        <f>INDEX(Inputs!$O$5:$O$132,MATCH($B1326&amp;"|"&amp;$C1326,Inputs!$A$5:$A$132,0))</f>
        <v/>
      </c>
      <c r="F1326" s="36">
        <f>INDEX(Inputs!$P$5:$P$132,MATCH($B1326&amp;"|"&amp;$C1326,Inputs!$A$5:$A$132,0))</f>
        <v/>
      </c>
      <c r="G1326" s="36">
        <f>INDEX(Inputs!$Q$5:$Q$132,MATCH($B1326&amp;"|"&amp;$C1326,Inputs!$A$5:$A$132,0))</f>
        <v/>
      </c>
      <c r="H1326" s="5">
        <f>INDEX(Variables!$B$5:$B$65,MATCH($A1326,Variables!$A$5:$A$65,0))&amp;IF($C1326="",""," | "&amp;INDEX(Mapping!$B$5:$B$25,MATCH($C1326,Mapping!$A$5:$A$25,0))&amp;" | "&amp;INDEX(Mapping!$B$29:$B$38,MATCH($B1326,Mapping!$A$29:$A$38,0)))</f>
        <v/>
      </c>
      <c r="I1326" s="5">
        <f>INDEX(Variables!$C$5:$C$65,MATCH($A1326,Variables!$A$5:$A$65,0))</f>
        <v/>
      </c>
      <c r="J1326" s="5">
        <f>INDEX(Variables!$E$5:$E$65,MATCH($A1326,Variables!$A$5:$A$65,0))</f>
        <v/>
      </c>
      <c r="K1326" s="23">
        <f>LOWER(Settings!$C$4)&amp;".mit."&amp;$A1326&amp;IF($C1326="","","."&amp;$C1326&amp;"."&amp;$B1326)&amp;IF(INDEX(Variables!$D$5:$D$65,MATCH($A1326,Variables!$A$5:$A$65,0))="","","."&amp;INDEX(Variables!$D$5:$D$65,MATCH($A1326,Variables!$A$5:$A$65,0)))&amp;"."&amp;K$5</f>
        <v/>
      </c>
      <c r="L1326" s="40">
        <f>INDEX(Inputs!$V$5:$V$132,MATCH($B1326&amp;"|"&amp;$C1326,Inputs!$A$5:$A$132,0))</f>
        <v/>
      </c>
      <c r="M1326" s="41">
        <f>L1326*(1/(1+$G1326))^(1+$E1326)*(1+M$7)^$D1326*(M1308/L1308)^$E1326*((M1308+M1317)/(L1308+L1317))^($F1326*(1+$E1326))</f>
        <v/>
      </c>
      <c r="N1326" s="41">
        <f>M1326*(1/(1+$G1326))^(1+$E1326)*(1+N$7)^$D1326*(N1308/M1308)^$E1326*((N1308+N1317)/(M1308+M1317))^($F1326*(1+$E1326))</f>
        <v/>
      </c>
      <c r="O1326" s="41">
        <f>N1326*(1/(1+$G1326))^(1+$E1326)*(1+O$7)^$D1326*(O1308/N1308)^$E1326*((O1308+O1317)/(N1308+N1317))^($F1326*(1+$E1326))</f>
        <v/>
      </c>
      <c r="P1326" s="41">
        <f>O1326*(1/(1+$G1326))^(1+$E1326)*(1+P$7)^$D1326*(P1308/O1308)^$E1326*((P1308+P1317)/(O1308+O1317))^($F1326*(1+$E1326))</f>
        <v/>
      </c>
      <c r="Q1326" s="41">
        <f>P1326*(1/(1+$G1326))^(1+$E1326)*(1+Q$7)^$D1326*(Q1308/P1308)^$E1326*((Q1308+Q1317)/(P1308+P1317))^($F1326*(1+$E1326))</f>
        <v/>
      </c>
      <c r="R1326" s="41">
        <f>Q1326*(1/(1+$G1326))^(1+$E1326)*(1+R$7)^$D1326*(R1308/Q1308)^$E1326*((R1308+R1317)/(Q1308+Q1317))^($F1326*(1+$E1326))</f>
        <v/>
      </c>
      <c r="S1326" s="41">
        <f>R1326*(1/(1+$G1326))^(1+$E1326)*(1+S$7)^$D1326*(S1308/R1308)^$E1326*((S1308+S1317)/(R1308+R1317))^($F1326*(1+$E1326))</f>
        <v/>
      </c>
      <c r="T1326" s="41">
        <f>S1326*(1/(1+$G1326))^(1+$E1326)*(1+T$7)^$D1326*(T1308/S1308)^$E1326*((T1308+T1317)/(S1308+S1317))^($F1326*(1+$E1326))</f>
        <v/>
      </c>
      <c r="U1326" s="41">
        <f>T1326*(1/(1+$G1326))^(1+$E1326)*(1+U$7)^$D1326*(U1308/T1308)^$E1326*((U1308+U1317)/(T1308+T1317))^($F1326*(1+$E1326))</f>
        <v/>
      </c>
      <c r="V1326" s="41">
        <f>U1326*(1/(1+$G1326))^(1+$E1326)*(1+V$7)^$D1326*(V1308/U1308)^$E1326*((V1308+V1317)/(U1308+U1317))^($F1326*(1+$E1326))</f>
        <v/>
      </c>
      <c r="W1326" s="41">
        <f>V1326*(1/(1+$G1326))^(1+$E1326)*(1+W$7)^$D1326*(W1308/V1308)^$E1326*((W1308+W1317)/(V1308+V1317))^($F1326*(1+$E1326))</f>
        <v/>
      </c>
      <c r="X1326" s="41">
        <f>W1326*(1/(1+$G1326))^(1+$E1326)*(1+X$7)^$D1326*(X1308/W1308)^$E1326*((X1308+X1317)/(W1308+W1317))^($F1326*(1+$E1326))</f>
        <v/>
      </c>
      <c r="Y1326" s="42">
        <f>FUELUSE(X1326,Y1308,X1308,Y1317,X1317,Y$7,$D1326,$E1326,$F1326,$G1326)</f>
        <v/>
      </c>
      <c r="Z1326" s="23">
        <f>LOWER(Settings!$C$4)&amp;".mit."&amp;$A1326&amp;IF($C1326="","","."&amp;$C1326&amp;"."&amp;$B1326)&amp;IF(INDEX(Variables!$D$5:$D$65,MATCH($A1326,Variables!$A$5:$A$65,0))="","","."&amp;INDEX(Variables!$D$5:$D$65,MATCH($A1326,Variables!$A$5:$A$65,0)))&amp;"."&amp;Z$5</f>
        <v/>
      </c>
      <c r="AA1326" s="40">
        <f>INDEX(Inputs!$V$5:$V$132,MATCH($B1326&amp;"|"&amp;$C1326,Inputs!$A$5:$A$132,0))</f>
        <v/>
      </c>
      <c r="AB1326" s="41">
        <f>AA1326*(1/(1+$G1326))^(1+$E1326)*(1+AB$7)^$D1326*(AB1308/AA1308)^$E1326*((AB1308+AB1317)/(AA1308+AA1317))^($F1326*(1+$E1326))</f>
        <v/>
      </c>
      <c r="AC1326" s="41">
        <f>AB1326*(1/(1+$G1326))^(1+$E1326)*(1+AC$7)^$D1326*(AC1308/AB1308)^$E1326*((AC1308+AC1317)/(AB1308+AB1317))^($F1326*(1+$E1326))</f>
        <v/>
      </c>
      <c r="AD1326" s="41">
        <f>AC1326*(1/(1+$G1326))^(1+$E1326)*(1+AD$7)^$D1326*(AD1308/AC1308)^$E1326*((AD1308+AD1317)/(AC1308+AC1317))^($F1326*(1+$E1326))</f>
        <v/>
      </c>
      <c r="AE1326" s="41">
        <f>AD1326*(1/(1+$G1326))^(1+$E1326)*(1+AE$7)^$D1326*(AE1308/AD1308)^$E1326*((AE1308+AE1317)/(AD1308+AD1317))^($F1326*(1+$E1326))</f>
        <v/>
      </c>
      <c r="AF1326" s="41">
        <f>AE1326*(1/(1+$G1326))^(1+$E1326)*(1+AF$7)^$D1326*(AF1308/AE1308)^$E1326*((AF1308+AF1317)/(AE1308+AE1317))^($F1326*(1+$E1326))</f>
        <v/>
      </c>
      <c r="AG1326" s="41">
        <f>AF1326*(1/(1+$G1326))^(1+$E1326)*(1+AG$7)^$D1326*(AG1308/AF1308)^$E1326*((AG1308+AG1317)/(AF1308+AF1317))^($F1326*(1+$E1326))</f>
        <v/>
      </c>
      <c r="AH1326" s="41">
        <f>AG1326*(1/(1+$G1326))^(1+$E1326)*(1+AH$7)^$D1326*(AH1308/AG1308)^$E1326*((AH1308+AH1317)/(AG1308+AG1317))^($F1326*(1+$E1326))</f>
        <v/>
      </c>
      <c r="AI1326" s="41">
        <f>AH1326*(1/(1+$G1326))^(1+$E1326)*(1+AI$7)^$D1326*(AI1308/AH1308)^$E1326*((AI1308+AI1317)/(AH1308+AH1317))^($F1326*(1+$E1326))</f>
        <v/>
      </c>
      <c r="AJ1326" s="41">
        <f>AI1326*(1/(1+$G1326))^(1+$E1326)*(1+AJ$7)^$D1326*(AJ1308/AI1308)^$E1326*((AJ1308+AJ1317)/(AI1308+AI1317))^($F1326*(1+$E1326))</f>
        <v/>
      </c>
      <c r="AK1326" s="41">
        <f>AJ1326*(1/(1+$G1326))^(1+$E1326)*(1+AK$7)^$D1326*(AK1308/AJ1308)^$E1326*((AK1308+AK1317)/(AJ1308+AJ1317))^($F1326*(1+$E1326))</f>
        <v/>
      </c>
      <c r="AL1326" s="41">
        <f>AK1326*(1/(1+$G1326))^(1+$E1326)*(1+AL$7)^$D1326*(AL1308/AK1308)^$E1326*((AL1308+AL1317)/(AK1308+AK1317))^($F1326*(1+$E1326))</f>
        <v/>
      </c>
      <c r="AM1326" s="41">
        <f>AL1326*(1/(1+$G1326))^(1+$E1326)*(1+AM$7)^$D1326*(AM1308/AL1308)^$E1326*((AM1308+AM1317)/(AL1308+AL1317))^($F1326*(1+$E1326))</f>
        <v/>
      </c>
      <c r="AN1326" s="42">
        <f>FUELUSE(AM1326,AN1308,AM1308,AN1317,AM1317,AN$7,$D1326,$E1326,$F1326,$G1326)</f>
        <v/>
      </c>
    </row>
    <row r="1327" hidden="1" outlineLevel="2"/>
    <row r="1329">
      <c r="A1329" s="18" t="inlineStr">
        <is>
          <t>11. Results - energy consumption</t>
        </is>
      </c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19" t="n"/>
      <c r="P1329" s="19" t="n"/>
      <c r="Q1329" s="19" t="n"/>
      <c r="R1329" s="19" t="n"/>
      <c r="S1329" s="19" t="n"/>
      <c r="T1329" s="19" t="n"/>
      <c r="U1329" s="19" t="n"/>
      <c r="V1329" s="19" t="n"/>
      <c r="W1329" s="19" t="n"/>
      <c r="X1329" s="19" t="n"/>
      <c r="Y1329" s="19" t="n"/>
      <c r="Z1329" s="19" t="n"/>
      <c r="AA1329" s="19" t="n"/>
      <c r="AB1329" s="19" t="n"/>
      <c r="AC1329" s="19" t="n"/>
      <c r="AD1329" s="19" t="n"/>
      <c r="AE1329" s="19" t="n"/>
      <c r="AF1329" s="19" t="n"/>
      <c r="AG1329" s="19" t="n"/>
      <c r="AH1329" s="19" t="n"/>
      <c r="AI1329" s="19" t="n"/>
      <c r="AJ1329" s="19" t="n"/>
      <c r="AK1329" s="19" t="n"/>
      <c r="AL1329" s="19" t="n"/>
      <c r="AM1329" s="19" t="n"/>
      <c r="AN1329" s="19" t="n"/>
    </row>
    <row r="1330">
      <c r="A1330" s="7" t="inlineStr">
        <is>
          <t>ener</t>
        </is>
      </c>
      <c r="B1330" s="7" t="inlineStr">
        <is>
          <t>all</t>
        </is>
      </c>
      <c r="C1330" s="7" t="inlineStr">
        <is>
          <t>all</t>
        </is>
      </c>
      <c r="H1330" s="7">
        <f>INDEX(Variables!$B$5:$B$65,MATCH($A1330,Variables!$A$5:$A$65,0))&amp;IF($C1330="",""," | "&amp;INDEX(Mapping!$B$5:$B$25,MATCH($C1330,Mapping!$A$5:$A$25,0))&amp;" | "&amp;INDEX(Mapping!$B$29:$B$38,MATCH($B1330,Mapping!$A$29:$A$38,0)))</f>
        <v/>
      </c>
      <c r="I1330" s="7">
        <f>INDEX(Variables!$C$5:$C$65,MATCH($A1330,Variables!$A$5:$A$65,0))</f>
        <v/>
      </c>
      <c r="J1330" s="7">
        <f>INDEX(Variables!$E$5:$E$65,MATCH($A1330,Variables!$A$5:$A$65,0))</f>
        <v/>
      </c>
      <c r="K1330" s="26">
        <f>LOWER(Settings!$C$4)&amp;".mit."&amp;$A1330&amp;IF($C1330="","","."&amp;$C1330&amp;"."&amp;$B1330)&amp;IF(INDEX(Variables!$D$5:$D$65,MATCH($A1330,Variables!$A$5:$A$65,0))="","","."&amp;INDEX(Variables!$D$5:$D$65,MATCH($A1330,Variables!$A$5:$A$65,0)))&amp;"."&amp;K$5</f>
        <v/>
      </c>
      <c r="L1330" s="34">
        <f>SUMIFS(L$149:L$1327,$A$149:$A$1327,"ener",$B$149:$B$1327,"&lt;&gt;all")</f>
        <v/>
      </c>
      <c r="M1330" s="35">
        <f>SUMIFS(M$149:M$1327,$A$149:$A$1327,"ener",$B$149:$B$1327,"&lt;&gt;all")</f>
        <v/>
      </c>
      <c r="N1330" s="35">
        <f>SUMIFS(N$149:N$1327,$A$149:$A$1327,"ener",$B$149:$B$1327,"&lt;&gt;all")</f>
        <v/>
      </c>
      <c r="O1330" s="35">
        <f>SUMIFS(O$149:O$1327,$A$149:$A$1327,"ener",$B$149:$B$1327,"&lt;&gt;all")</f>
        <v/>
      </c>
      <c r="P1330" s="35">
        <f>SUMIFS(P$149:P$1327,$A$149:$A$1327,"ener",$B$149:$B$1327,"&lt;&gt;all")</f>
        <v/>
      </c>
      <c r="Q1330" s="35">
        <f>SUMIFS(Q$149:Q$1327,$A$149:$A$1327,"ener",$B$149:$B$1327,"&lt;&gt;all")</f>
        <v/>
      </c>
      <c r="R1330" s="35">
        <f>SUMIFS(R$149:R$1327,$A$149:$A$1327,"ener",$B$149:$B$1327,"&lt;&gt;all")</f>
        <v/>
      </c>
      <c r="S1330" s="35">
        <f>SUMIFS(S$149:S$1327,$A$149:$A$1327,"ener",$B$149:$B$1327,"&lt;&gt;all")</f>
        <v/>
      </c>
      <c r="T1330" s="35">
        <f>SUMIFS(T$149:T$1327,$A$149:$A$1327,"ener",$B$149:$B$1327,"&lt;&gt;all")</f>
        <v/>
      </c>
      <c r="U1330" s="35">
        <f>SUMIFS(U$149:U$1327,$A$149:$A$1327,"ener",$B$149:$B$1327,"&lt;&gt;all")</f>
        <v/>
      </c>
      <c r="V1330" s="35">
        <f>SUMIFS(V$149:V$1327,$A$149:$A$1327,"ener",$B$149:$B$1327,"&lt;&gt;all")</f>
        <v/>
      </c>
      <c r="W1330" s="35">
        <f>SUMIFS(W$149:W$1327,$A$149:$A$1327,"ener",$B$149:$B$1327,"&lt;&gt;all")</f>
        <v/>
      </c>
      <c r="X1330" s="35">
        <f>SUMIFS(X$149:X$1327,$A$149:$A$1327,"ener",$B$149:$B$1327,"&lt;&gt;all")</f>
        <v/>
      </c>
      <c r="Y1330" s="35">
        <f>SUMIFS(Y$149:Y$1327,$A$149:$A$1327,"ener",$B$149:$B$1327,"&lt;&gt;all")</f>
        <v/>
      </c>
      <c r="Z1330" s="26">
        <f>LOWER(Settings!$C$4)&amp;".mit."&amp;$A1330&amp;IF($C1330="","","."&amp;$C1330&amp;"."&amp;$B1330)&amp;IF(INDEX(Variables!$D$5:$D$65,MATCH($A1330,Variables!$A$5:$A$65,0))="","","."&amp;INDEX(Variables!$D$5:$D$65,MATCH($A1330,Variables!$A$5:$A$65,0)))&amp;"."&amp;Z$5</f>
        <v/>
      </c>
      <c r="AA1330" s="34">
        <f>SUMIFS(AA$149:AA$1327,$A$149:$A$1327,"ener",$B$149:$B$1327,"&lt;&gt;all")</f>
        <v/>
      </c>
      <c r="AB1330" s="35">
        <f>SUMIFS(AB$149:AB$1327,$A$149:$A$1327,"ener",$B$149:$B$1327,"&lt;&gt;all")</f>
        <v/>
      </c>
      <c r="AC1330" s="35">
        <f>SUMIFS(AC$149:AC$1327,$A$149:$A$1327,"ener",$B$149:$B$1327,"&lt;&gt;all")</f>
        <v/>
      </c>
      <c r="AD1330" s="35">
        <f>SUMIFS(AD$149:AD$1327,$A$149:$A$1327,"ener",$B$149:$B$1327,"&lt;&gt;all")</f>
        <v/>
      </c>
      <c r="AE1330" s="35">
        <f>SUMIFS(AE$149:AE$1327,$A$149:$A$1327,"ener",$B$149:$B$1327,"&lt;&gt;all")</f>
        <v/>
      </c>
      <c r="AF1330" s="35">
        <f>SUMIFS(AF$149:AF$1327,$A$149:$A$1327,"ener",$B$149:$B$1327,"&lt;&gt;all")</f>
        <v/>
      </c>
      <c r="AG1330" s="35">
        <f>SUMIFS(AG$149:AG$1327,$A$149:$A$1327,"ener",$B$149:$B$1327,"&lt;&gt;all")</f>
        <v/>
      </c>
      <c r="AH1330" s="35">
        <f>SUMIFS(AH$149:AH$1327,$A$149:$A$1327,"ener",$B$149:$B$1327,"&lt;&gt;all")</f>
        <v/>
      </c>
      <c r="AI1330" s="35">
        <f>SUMIFS(AI$149:AI$1327,$A$149:$A$1327,"ener",$B$149:$B$1327,"&lt;&gt;all")</f>
        <v/>
      </c>
      <c r="AJ1330" s="35">
        <f>SUMIFS(AJ$149:AJ$1327,$A$149:$A$1327,"ener",$B$149:$B$1327,"&lt;&gt;all")</f>
        <v/>
      </c>
      <c r="AK1330" s="35">
        <f>SUMIFS(AK$149:AK$1327,$A$149:$A$1327,"ener",$B$149:$B$1327,"&lt;&gt;all")</f>
        <v/>
      </c>
      <c r="AL1330" s="35">
        <f>SUMIFS(AL$149:AL$1327,$A$149:$A$1327,"ener",$B$149:$B$1327,"&lt;&gt;all")</f>
        <v/>
      </c>
      <c r="AM1330" s="35">
        <f>SUMIFS(AM$149:AM$1327,$A$149:$A$1327,"ener",$B$149:$B$1327,"&lt;&gt;all")</f>
        <v/>
      </c>
      <c r="AN1330" s="35">
        <f>SUMIFS(AN$149:AN$1327,$A$149:$A$1327,"ener",$B$149:$B$1327,"&lt;&gt;all")</f>
        <v/>
      </c>
    </row>
    <row r="1332" outlineLevel="1">
      <c r="A1332" s="5" t="inlineStr">
        <is>
          <t>ener</t>
        </is>
      </c>
      <c r="B1332" s="5" t="inlineStr">
        <is>
          <t>all</t>
        </is>
      </c>
      <c r="C1332" s="5" t="inlineStr">
        <is>
          <t>rod</t>
        </is>
      </c>
      <c r="H1332" s="5">
        <f>INDEX(Variables!$B$5:$B$65,MATCH($A1332,Variables!$A$5:$A$65,0))&amp;IF($C1332="",""," | "&amp;INDEX(Mapping!$B$5:$B$25,MATCH($C1332,Mapping!$A$5:$A$25,0))&amp;" | "&amp;INDEX(Mapping!$B$29:$B$38,MATCH($B1332,Mapping!$A$29:$A$38,0)))</f>
        <v/>
      </c>
      <c r="I1332" s="5">
        <f>INDEX(Variables!$C$5:$C$65,MATCH($A1332,Variables!$A$5:$A$65,0))</f>
        <v/>
      </c>
      <c r="J1332" s="5">
        <f>INDEX(Variables!$E$5:$E$65,MATCH($A1332,Variables!$A$5:$A$65,0))</f>
        <v/>
      </c>
      <c r="K1332" s="23">
        <f>LOWER(Settings!$C$4)&amp;".mit."&amp;$A1332&amp;IF($C1332="","","."&amp;$C1332&amp;"."&amp;$B1332)&amp;IF(INDEX(Variables!$D$5:$D$65,MATCH($A1332,Variables!$A$5:$A$65,0))="","","."&amp;INDEX(Variables!$D$5:$D$65,MATCH($A1332,Variables!$A$5:$A$65,0)))&amp;"."&amp;K$5</f>
        <v/>
      </c>
      <c r="L1332" s="40">
        <f>SUMIFS(L$149:L$1327,$A$149:$A$1327,"ener",$C$149:$C$1327,$C1332,$B$149:$B$1327,"&lt;&gt;all")</f>
        <v/>
      </c>
      <c r="M1332" s="41">
        <f>SUMIFS(M$149:M$1327,$A$149:$A$1327,"ener",$C$149:$C$1327,$C1332,$B$149:$B$1327,"&lt;&gt;all")</f>
        <v/>
      </c>
      <c r="N1332" s="41">
        <f>SUMIFS(N$149:N$1327,$A$149:$A$1327,"ener",$C$149:$C$1327,$C1332,$B$149:$B$1327,"&lt;&gt;all")</f>
        <v/>
      </c>
      <c r="O1332" s="41">
        <f>SUMIFS(O$149:O$1327,$A$149:$A$1327,"ener",$C$149:$C$1327,$C1332,$B$149:$B$1327,"&lt;&gt;all")</f>
        <v/>
      </c>
      <c r="P1332" s="41">
        <f>SUMIFS(P$149:P$1327,$A$149:$A$1327,"ener",$C$149:$C$1327,$C1332,$B$149:$B$1327,"&lt;&gt;all")</f>
        <v/>
      </c>
      <c r="Q1332" s="41">
        <f>SUMIFS(Q$149:Q$1327,$A$149:$A$1327,"ener",$C$149:$C$1327,$C1332,$B$149:$B$1327,"&lt;&gt;all")</f>
        <v/>
      </c>
      <c r="R1332" s="41">
        <f>SUMIFS(R$149:R$1327,$A$149:$A$1327,"ener",$C$149:$C$1327,$C1332,$B$149:$B$1327,"&lt;&gt;all")</f>
        <v/>
      </c>
      <c r="S1332" s="41">
        <f>SUMIFS(S$149:S$1327,$A$149:$A$1327,"ener",$C$149:$C$1327,$C1332,$B$149:$B$1327,"&lt;&gt;all")</f>
        <v/>
      </c>
      <c r="T1332" s="41">
        <f>SUMIFS(T$149:T$1327,$A$149:$A$1327,"ener",$C$149:$C$1327,$C1332,$B$149:$B$1327,"&lt;&gt;all")</f>
        <v/>
      </c>
      <c r="U1332" s="41">
        <f>SUMIFS(U$149:U$1327,$A$149:$A$1327,"ener",$C$149:$C$1327,$C1332,$B$149:$B$1327,"&lt;&gt;all")</f>
        <v/>
      </c>
      <c r="V1332" s="41">
        <f>SUMIFS(V$149:V$1327,$A$149:$A$1327,"ener",$C$149:$C$1327,$C1332,$B$149:$B$1327,"&lt;&gt;all")</f>
        <v/>
      </c>
      <c r="W1332" s="41">
        <f>SUMIFS(W$149:W$1327,$A$149:$A$1327,"ener",$C$149:$C$1327,$C1332,$B$149:$B$1327,"&lt;&gt;all")</f>
        <v/>
      </c>
      <c r="X1332" s="41">
        <f>SUMIFS(X$149:X$1327,$A$149:$A$1327,"ener",$C$149:$C$1327,$C1332,$B$149:$B$1327,"&lt;&gt;all")</f>
        <v/>
      </c>
      <c r="Y1332" s="41">
        <f>SUMIFS(Y$149:Y$1327,$A$149:$A$1327,"ener",$C$149:$C$1327,$C1332,$B$149:$B$1327,"&lt;&gt;all")</f>
        <v/>
      </c>
      <c r="Z1332" s="23">
        <f>LOWER(Settings!$C$4)&amp;".mit."&amp;$A1332&amp;IF($C1332="","","."&amp;$C1332&amp;"."&amp;$B1332)&amp;IF(INDEX(Variables!$D$5:$D$65,MATCH($A1332,Variables!$A$5:$A$65,0))="","","."&amp;INDEX(Variables!$D$5:$D$65,MATCH($A1332,Variables!$A$5:$A$65,0)))&amp;"."&amp;Z$5</f>
        <v/>
      </c>
      <c r="AA1332" s="40">
        <f>SUMIFS(AA$149:AA$1327,$A$149:$A$1327,"ener",$C$149:$C$1327,$C1332,$B$149:$B$1327,"&lt;&gt;all")</f>
        <v/>
      </c>
      <c r="AB1332" s="41">
        <f>SUMIFS(AB$149:AB$1327,$A$149:$A$1327,"ener",$C$149:$C$1327,$C1332,$B$149:$B$1327,"&lt;&gt;all")</f>
        <v/>
      </c>
      <c r="AC1332" s="41">
        <f>SUMIFS(AC$149:AC$1327,$A$149:$A$1327,"ener",$C$149:$C$1327,$C1332,$B$149:$B$1327,"&lt;&gt;all")</f>
        <v/>
      </c>
      <c r="AD1332" s="41">
        <f>SUMIFS(AD$149:AD$1327,$A$149:$A$1327,"ener",$C$149:$C$1327,$C1332,$B$149:$B$1327,"&lt;&gt;all")</f>
        <v/>
      </c>
      <c r="AE1332" s="41">
        <f>SUMIFS(AE$149:AE$1327,$A$149:$A$1327,"ener",$C$149:$C$1327,$C1332,$B$149:$B$1327,"&lt;&gt;all")</f>
        <v/>
      </c>
      <c r="AF1332" s="41">
        <f>SUMIFS(AF$149:AF$1327,$A$149:$A$1327,"ener",$C$149:$C$1327,$C1332,$B$149:$B$1327,"&lt;&gt;all")</f>
        <v/>
      </c>
      <c r="AG1332" s="41">
        <f>SUMIFS(AG$149:AG$1327,$A$149:$A$1327,"ener",$C$149:$C$1327,$C1332,$B$149:$B$1327,"&lt;&gt;all")</f>
        <v/>
      </c>
      <c r="AH1332" s="41">
        <f>SUMIFS(AH$149:AH$1327,$A$149:$A$1327,"ener",$C$149:$C$1327,$C1332,$B$149:$B$1327,"&lt;&gt;all")</f>
        <v/>
      </c>
      <c r="AI1332" s="41">
        <f>SUMIFS(AI$149:AI$1327,$A$149:$A$1327,"ener",$C$149:$C$1327,$C1332,$B$149:$B$1327,"&lt;&gt;all")</f>
        <v/>
      </c>
      <c r="AJ1332" s="41">
        <f>SUMIFS(AJ$149:AJ$1327,$A$149:$A$1327,"ener",$C$149:$C$1327,$C1332,$B$149:$B$1327,"&lt;&gt;all")</f>
        <v/>
      </c>
      <c r="AK1332" s="41">
        <f>SUMIFS(AK$149:AK$1327,$A$149:$A$1327,"ener",$C$149:$C$1327,$C1332,$B$149:$B$1327,"&lt;&gt;all")</f>
        <v/>
      </c>
      <c r="AL1332" s="41">
        <f>SUMIFS(AL$149:AL$1327,$A$149:$A$1327,"ener",$C$149:$C$1327,$C1332,$B$149:$B$1327,"&lt;&gt;all")</f>
        <v/>
      </c>
      <c r="AM1332" s="41">
        <f>SUMIFS(AM$149:AM$1327,$A$149:$A$1327,"ener",$C$149:$C$1327,$C1332,$B$149:$B$1327,"&lt;&gt;all")</f>
        <v/>
      </c>
      <c r="AN1332" s="41">
        <f>SUMIFS(AN$149:AN$1327,$A$149:$A$1327,"ener",$C$149:$C$1327,$C1332,$B$149:$B$1327,"&lt;&gt;all")</f>
        <v/>
      </c>
    </row>
    <row r="1333" outlineLevel="1">
      <c r="A1333" s="5" t="inlineStr">
        <is>
          <t>ener</t>
        </is>
      </c>
      <c r="B1333" s="5" t="inlineStr">
        <is>
          <t>all</t>
        </is>
      </c>
      <c r="C1333" s="5" t="inlineStr">
        <is>
          <t>ral</t>
        </is>
      </c>
      <c r="H1333" s="5">
        <f>INDEX(Variables!$B$5:$B$65,MATCH($A1333,Variables!$A$5:$A$65,0))&amp;IF($C1333="",""," | "&amp;INDEX(Mapping!$B$5:$B$25,MATCH($C1333,Mapping!$A$5:$A$25,0))&amp;" | "&amp;INDEX(Mapping!$B$29:$B$38,MATCH($B1333,Mapping!$A$29:$A$38,0)))</f>
        <v/>
      </c>
      <c r="I1333" s="5">
        <f>INDEX(Variables!$C$5:$C$65,MATCH($A1333,Variables!$A$5:$A$65,0))</f>
        <v/>
      </c>
      <c r="J1333" s="5">
        <f>INDEX(Variables!$E$5:$E$65,MATCH($A1333,Variables!$A$5:$A$65,0))</f>
        <v/>
      </c>
      <c r="K1333" s="23">
        <f>LOWER(Settings!$C$4)&amp;".mit."&amp;$A1333&amp;IF($C1333="","","."&amp;$C1333&amp;"."&amp;$B1333)&amp;IF(INDEX(Variables!$D$5:$D$65,MATCH($A1333,Variables!$A$5:$A$65,0))="","","."&amp;INDEX(Variables!$D$5:$D$65,MATCH($A1333,Variables!$A$5:$A$65,0)))&amp;"."&amp;K$5</f>
        <v/>
      </c>
      <c r="L1333" s="40">
        <f>SUMIFS(L$149:L$1327,$A$149:$A$1327,"ener",$C$149:$C$1327,$C1333,$B$149:$B$1327,"&lt;&gt;all")</f>
        <v/>
      </c>
      <c r="M1333" s="41">
        <f>SUMIFS(M$149:M$1327,$A$149:$A$1327,"ener",$C$149:$C$1327,$C1333,$B$149:$B$1327,"&lt;&gt;all")</f>
        <v/>
      </c>
      <c r="N1333" s="41">
        <f>SUMIFS(N$149:N$1327,$A$149:$A$1327,"ener",$C$149:$C$1327,$C1333,$B$149:$B$1327,"&lt;&gt;all")</f>
        <v/>
      </c>
      <c r="O1333" s="41">
        <f>SUMIFS(O$149:O$1327,$A$149:$A$1327,"ener",$C$149:$C$1327,$C1333,$B$149:$B$1327,"&lt;&gt;all")</f>
        <v/>
      </c>
      <c r="P1333" s="41">
        <f>SUMIFS(P$149:P$1327,$A$149:$A$1327,"ener",$C$149:$C$1327,$C1333,$B$149:$B$1327,"&lt;&gt;all")</f>
        <v/>
      </c>
      <c r="Q1333" s="41">
        <f>SUMIFS(Q$149:Q$1327,$A$149:$A$1327,"ener",$C$149:$C$1327,$C1333,$B$149:$B$1327,"&lt;&gt;all")</f>
        <v/>
      </c>
      <c r="R1333" s="41">
        <f>SUMIFS(R$149:R$1327,$A$149:$A$1327,"ener",$C$149:$C$1327,$C1333,$B$149:$B$1327,"&lt;&gt;all")</f>
        <v/>
      </c>
      <c r="S1333" s="41">
        <f>SUMIFS(S$149:S$1327,$A$149:$A$1327,"ener",$C$149:$C$1327,$C1333,$B$149:$B$1327,"&lt;&gt;all")</f>
        <v/>
      </c>
      <c r="T1333" s="41">
        <f>SUMIFS(T$149:T$1327,$A$149:$A$1327,"ener",$C$149:$C$1327,$C1333,$B$149:$B$1327,"&lt;&gt;all")</f>
        <v/>
      </c>
      <c r="U1333" s="41">
        <f>SUMIFS(U$149:U$1327,$A$149:$A$1327,"ener",$C$149:$C$1327,$C1333,$B$149:$B$1327,"&lt;&gt;all")</f>
        <v/>
      </c>
      <c r="V1333" s="41">
        <f>SUMIFS(V$149:V$1327,$A$149:$A$1327,"ener",$C$149:$C$1327,$C1333,$B$149:$B$1327,"&lt;&gt;all")</f>
        <v/>
      </c>
      <c r="W1333" s="41">
        <f>SUMIFS(W$149:W$1327,$A$149:$A$1327,"ener",$C$149:$C$1327,$C1333,$B$149:$B$1327,"&lt;&gt;all")</f>
        <v/>
      </c>
      <c r="X1333" s="41">
        <f>SUMIFS(X$149:X$1327,$A$149:$A$1327,"ener",$C$149:$C$1327,$C1333,$B$149:$B$1327,"&lt;&gt;all")</f>
        <v/>
      </c>
      <c r="Y1333" s="41">
        <f>SUMIFS(Y$149:Y$1327,$A$149:$A$1327,"ener",$C$149:$C$1327,$C1333,$B$149:$B$1327,"&lt;&gt;all")</f>
        <v/>
      </c>
      <c r="Z1333" s="23">
        <f>LOWER(Settings!$C$4)&amp;".mit."&amp;$A1333&amp;IF($C1333="","","."&amp;$C1333&amp;"."&amp;$B1333)&amp;IF(INDEX(Variables!$D$5:$D$65,MATCH($A1333,Variables!$A$5:$A$65,0))="","","."&amp;INDEX(Variables!$D$5:$D$65,MATCH($A1333,Variables!$A$5:$A$65,0)))&amp;"."&amp;Z$5</f>
        <v/>
      </c>
      <c r="AA1333" s="40">
        <f>SUMIFS(AA$149:AA$1327,$A$149:$A$1327,"ener",$C$149:$C$1327,$C1333,$B$149:$B$1327,"&lt;&gt;all")</f>
        <v/>
      </c>
      <c r="AB1333" s="41">
        <f>SUMIFS(AB$149:AB$1327,$A$149:$A$1327,"ener",$C$149:$C$1327,$C1333,$B$149:$B$1327,"&lt;&gt;all")</f>
        <v/>
      </c>
      <c r="AC1333" s="41">
        <f>SUMIFS(AC$149:AC$1327,$A$149:$A$1327,"ener",$C$149:$C$1327,$C1333,$B$149:$B$1327,"&lt;&gt;all")</f>
        <v/>
      </c>
      <c r="AD1333" s="41">
        <f>SUMIFS(AD$149:AD$1327,$A$149:$A$1327,"ener",$C$149:$C$1327,$C1333,$B$149:$B$1327,"&lt;&gt;all")</f>
        <v/>
      </c>
      <c r="AE1333" s="41">
        <f>SUMIFS(AE$149:AE$1327,$A$149:$A$1327,"ener",$C$149:$C$1327,$C1333,$B$149:$B$1327,"&lt;&gt;all")</f>
        <v/>
      </c>
      <c r="AF1333" s="41">
        <f>SUMIFS(AF$149:AF$1327,$A$149:$A$1327,"ener",$C$149:$C$1327,$C1333,$B$149:$B$1327,"&lt;&gt;all")</f>
        <v/>
      </c>
      <c r="AG1333" s="41">
        <f>SUMIFS(AG$149:AG$1327,$A$149:$A$1327,"ener",$C$149:$C$1327,$C1333,$B$149:$B$1327,"&lt;&gt;all")</f>
        <v/>
      </c>
      <c r="AH1333" s="41">
        <f>SUMIFS(AH$149:AH$1327,$A$149:$A$1327,"ener",$C$149:$C$1327,$C1333,$B$149:$B$1327,"&lt;&gt;all")</f>
        <v/>
      </c>
      <c r="AI1333" s="41">
        <f>SUMIFS(AI$149:AI$1327,$A$149:$A$1327,"ener",$C$149:$C$1327,$C1333,$B$149:$B$1327,"&lt;&gt;all")</f>
        <v/>
      </c>
      <c r="AJ1333" s="41">
        <f>SUMIFS(AJ$149:AJ$1327,$A$149:$A$1327,"ener",$C$149:$C$1327,$C1333,$B$149:$B$1327,"&lt;&gt;all")</f>
        <v/>
      </c>
      <c r="AK1333" s="41">
        <f>SUMIFS(AK$149:AK$1327,$A$149:$A$1327,"ener",$C$149:$C$1327,$C1333,$B$149:$B$1327,"&lt;&gt;all")</f>
        <v/>
      </c>
      <c r="AL1333" s="41">
        <f>SUMIFS(AL$149:AL$1327,$A$149:$A$1327,"ener",$C$149:$C$1327,$C1333,$B$149:$B$1327,"&lt;&gt;all")</f>
        <v/>
      </c>
      <c r="AM1333" s="41">
        <f>SUMIFS(AM$149:AM$1327,$A$149:$A$1327,"ener",$C$149:$C$1327,$C1333,$B$149:$B$1327,"&lt;&gt;all")</f>
        <v/>
      </c>
      <c r="AN1333" s="41">
        <f>SUMIFS(AN$149:AN$1327,$A$149:$A$1327,"ener",$C$149:$C$1327,$C1333,$B$149:$B$1327,"&lt;&gt;all")</f>
        <v/>
      </c>
    </row>
    <row r="1334" outlineLevel="1">
      <c r="A1334" s="5" t="inlineStr">
        <is>
          <t>ener</t>
        </is>
      </c>
      <c r="B1334" s="5" t="inlineStr">
        <is>
          <t>all</t>
        </is>
      </c>
      <c r="C1334" s="5" t="inlineStr">
        <is>
          <t>avi</t>
        </is>
      </c>
      <c r="H1334" s="5">
        <f>INDEX(Variables!$B$5:$B$65,MATCH($A1334,Variables!$A$5:$A$65,0))&amp;IF($C1334="",""," | "&amp;INDEX(Mapping!$B$5:$B$25,MATCH($C1334,Mapping!$A$5:$A$25,0))&amp;" | "&amp;INDEX(Mapping!$B$29:$B$38,MATCH($B1334,Mapping!$A$29:$A$38,0)))</f>
        <v/>
      </c>
      <c r="I1334" s="5">
        <f>INDEX(Variables!$C$5:$C$65,MATCH($A1334,Variables!$A$5:$A$65,0))</f>
        <v/>
      </c>
      <c r="J1334" s="5">
        <f>INDEX(Variables!$E$5:$E$65,MATCH($A1334,Variables!$A$5:$A$65,0))</f>
        <v/>
      </c>
      <c r="K1334" s="23">
        <f>LOWER(Settings!$C$4)&amp;".mit."&amp;$A1334&amp;IF($C1334="","","."&amp;$C1334&amp;"."&amp;$B1334)&amp;IF(INDEX(Variables!$D$5:$D$65,MATCH($A1334,Variables!$A$5:$A$65,0))="","","."&amp;INDEX(Variables!$D$5:$D$65,MATCH($A1334,Variables!$A$5:$A$65,0)))&amp;"."&amp;K$5</f>
        <v/>
      </c>
      <c r="L1334" s="40">
        <f>SUMIFS(L$149:L$1327,$A$149:$A$1327,"ener",$C$149:$C$1327,$C1334,$B$149:$B$1327,"&lt;&gt;all")</f>
        <v/>
      </c>
      <c r="M1334" s="41">
        <f>SUMIFS(M$149:M$1327,$A$149:$A$1327,"ener",$C$149:$C$1327,$C1334,$B$149:$B$1327,"&lt;&gt;all")</f>
        <v/>
      </c>
      <c r="N1334" s="41">
        <f>SUMIFS(N$149:N$1327,$A$149:$A$1327,"ener",$C$149:$C$1327,$C1334,$B$149:$B$1327,"&lt;&gt;all")</f>
        <v/>
      </c>
      <c r="O1334" s="41">
        <f>SUMIFS(O$149:O$1327,$A$149:$A$1327,"ener",$C$149:$C$1327,$C1334,$B$149:$B$1327,"&lt;&gt;all")</f>
        <v/>
      </c>
      <c r="P1334" s="41">
        <f>SUMIFS(P$149:P$1327,$A$149:$A$1327,"ener",$C$149:$C$1327,$C1334,$B$149:$B$1327,"&lt;&gt;all")</f>
        <v/>
      </c>
      <c r="Q1334" s="41">
        <f>SUMIFS(Q$149:Q$1327,$A$149:$A$1327,"ener",$C$149:$C$1327,$C1334,$B$149:$B$1327,"&lt;&gt;all")</f>
        <v/>
      </c>
      <c r="R1334" s="41">
        <f>SUMIFS(R$149:R$1327,$A$149:$A$1327,"ener",$C$149:$C$1327,$C1334,$B$149:$B$1327,"&lt;&gt;all")</f>
        <v/>
      </c>
      <c r="S1334" s="41">
        <f>SUMIFS(S$149:S$1327,$A$149:$A$1327,"ener",$C$149:$C$1327,$C1334,$B$149:$B$1327,"&lt;&gt;all")</f>
        <v/>
      </c>
      <c r="T1334" s="41">
        <f>SUMIFS(T$149:T$1327,$A$149:$A$1327,"ener",$C$149:$C$1327,$C1334,$B$149:$B$1327,"&lt;&gt;all")</f>
        <v/>
      </c>
      <c r="U1334" s="41">
        <f>SUMIFS(U$149:U$1327,$A$149:$A$1327,"ener",$C$149:$C$1327,$C1334,$B$149:$B$1327,"&lt;&gt;all")</f>
        <v/>
      </c>
      <c r="V1334" s="41">
        <f>SUMIFS(V$149:V$1327,$A$149:$A$1327,"ener",$C$149:$C$1327,$C1334,$B$149:$B$1327,"&lt;&gt;all")</f>
        <v/>
      </c>
      <c r="W1334" s="41">
        <f>SUMIFS(W$149:W$1327,$A$149:$A$1327,"ener",$C$149:$C$1327,$C1334,$B$149:$B$1327,"&lt;&gt;all")</f>
        <v/>
      </c>
      <c r="X1334" s="41">
        <f>SUMIFS(X$149:X$1327,$A$149:$A$1327,"ener",$C$149:$C$1327,$C1334,$B$149:$B$1327,"&lt;&gt;all")</f>
        <v/>
      </c>
      <c r="Y1334" s="41">
        <f>SUMIFS(Y$149:Y$1327,$A$149:$A$1327,"ener",$C$149:$C$1327,$C1334,$B$149:$B$1327,"&lt;&gt;all")</f>
        <v/>
      </c>
      <c r="Z1334" s="23">
        <f>LOWER(Settings!$C$4)&amp;".mit."&amp;$A1334&amp;IF($C1334="","","."&amp;$C1334&amp;"."&amp;$B1334)&amp;IF(INDEX(Variables!$D$5:$D$65,MATCH($A1334,Variables!$A$5:$A$65,0))="","","."&amp;INDEX(Variables!$D$5:$D$65,MATCH($A1334,Variables!$A$5:$A$65,0)))&amp;"."&amp;Z$5</f>
        <v/>
      </c>
      <c r="AA1334" s="40">
        <f>SUMIFS(AA$149:AA$1327,$A$149:$A$1327,"ener",$C$149:$C$1327,$C1334,$B$149:$B$1327,"&lt;&gt;all")</f>
        <v/>
      </c>
      <c r="AB1334" s="41">
        <f>SUMIFS(AB$149:AB$1327,$A$149:$A$1327,"ener",$C$149:$C$1327,$C1334,$B$149:$B$1327,"&lt;&gt;all")</f>
        <v/>
      </c>
      <c r="AC1334" s="41">
        <f>SUMIFS(AC$149:AC$1327,$A$149:$A$1327,"ener",$C$149:$C$1327,$C1334,$B$149:$B$1327,"&lt;&gt;all")</f>
        <v/>
      </c>
      <c r="AD1334" s="41">
        <f>SUMIFS(AD$149:AD$1327,$A$149:$A$1327,"ener",$C$149:$C$1327,$C1334,$B$149:$B$1327,"&lt;&gt;all")</f>
        <v/>
      </c>
      <c r="AE1334" s="41">
        <f>SUMIFS(AE$149:AE$1327,$A$149:$A$1327,"ener",$C$149:$C$1327,$C1334,$B$149:$B$1327,"&lt;&gt;all")</f>
        <v/>
      </c>
      <c r="AF1334" s="41">
        <f>SUMIFS(AF$149:AF$1327,$A$149:$A$1327,"ener",$C$149:$C$1327,$C1334,$B$149:$B$1327,"&lt;&gt;all")</f>
        <v/>
      </c>
      <c r="AG1334" s="41">
        <f>SUMIFS(AG$149:AG$1327,$A$149:$A$1327,"ener",$C$149:$C$1327,$C1334,$B$149:$B$1327,"&lt;&gt;all")</f>
        <v/>
      </c>
      <c r="AH1334" s="41">
        <f>SUMIFS(AH$149:AH$1327,$A$149:$A$1327,"ener",$C$149:$C$1327,$C1334,$B$149:$B$1327,"&lt;&gt;all")</f>
        <v/>
      </c>
      <c r="AI1334" s="41">
        <f>SUMIFS(AI$149:AI$1327,$A$149:$A$1327,"ener",$C$149:$C$1327,$C1334,$B$149:$B$1327,"&lt;&gt;all")</f>
        <v/>
      </c>
      <c r="AJ1334" s="41">
        <f>SUMIFS(AJ$149:AJ$1327,$A$149:$A$1327,"ener",$C$149:$C$1327,$C1334,$B$149:$B$1327,"&lt;&gt;all")</f>
        <v/>
      </c>
      <c r="AK1334" s="41">
        <f>SUMIFS(AK$149:AK$1327,$A$149:$A$1327,"ener",$C$149:$C$1327,$C1334,$B$149:$B$1327,"&lt;&gt;all")</f>
        <v/>
      </c>
      <c r="AL1334" s="41">
        <f>SUMIFS(AL$149:AL$1327,$A$149:$A$1327,"ener",$C$149:$C$1327,$C1334,$B$149:$B$1327,"&lt;&gt;all")</f>
        <v/>
      </c>
      <c r="AM1334" s="41">
        <f>SUMIFS(AM$149:AM$1327,$A$149:$A$1327,"ener",$C$149:$C$1327,$C1334,$B$149:$B$1327,"&lt;&gt;all")</f>
        <v/>
      </c>
      <c r="AN1334" s="41">
        <f>SUMIFS(AN$149:AN$1327,$A$149:$A$1327,"ener",$C$149:$C$1327,$C1334,$B$149:$B$1327,"&lt;&gt;all")</f>
        <v/>
      </c>
    </row>
    <row r="1335" outlineLevel="1">
      <c r="A1335" s="5" t="inlineStr">
        <is>
          <t>ener</t>
        </is>
      </c>
      <c r="B1335" s="5" t="inlineStr">
        <is>
          <t>all</t>
        </is>
      </c>
      <c r="C1335" s="5" t="inlineStr">
        <is>
          <t>nav</t>
        </is>
      </c>
      <c r="H1335" s="5">
        <f>INDEX(Variables!$B$5:$B$65,MATCH($A1335,Variables!$A$5:$A$65,0))&amp;IF($C1335="",""," | "&amp;INDEX(Mapping!$B$5:$B$25,MATCH($C1335,Mapping!$A$5:$A$25,0))&amp;" | "&amp;INDEX(Mapping!$B$29:$B$38,MATCH($B1335,Mapping!$A$29:$A$38,0)))</f>
        <v/>
      </c>
      <c r="I1335" s="5">
        <f>INDEX(Variables!$C$5:$C$65,MATCH($A1335,Variables!$A$5:$A$65,0))</f>
        <v/>
      </c>
      <c r="J1335" s="5">
        <f>INDEX(Variables!$E$5:$E$65,MATCH($A1335,Variables!$A$5:$A$65,0))</f>
        <v/>
      </c>
      <c r="K1335" s="23">
        <f>LOWER(Settings!$C$4)&amp;".mit."&amp;$A1335&amp;IF($C1335="","","."&amp;$C1335&amp;"."&amp;$B1335)&amp;IF(INDEX(Variables!$D$5:$D$65,MATCH($A1335,Variables!$A$5:$A$65,0))="","","."&amp;INDEX(Variables!$D$5:$D$65,MATCH($A1335,Variables!$A$5:$A$65,0)))&amp;"."&amp;K$5</f>
        <v/>
      </c>
      <c r="L1335" s="40">
        <f>SUMIFS(L$149:L$1327,$A$149:$A$1327,"ener",$C$149:$C$1327,$C1335,$B$149:$B$1327,"&lt;&gt;all")</f>
        <v/>
      </c>
      <c r="M1335" s="41">
        <f>SUMIFS(M$149:M$1327,$A$149:$A$1327,"ener",$C$149:$C$1327,$C1335,$B$149:$B$1327,"&lt;&gt;all")</f>
        <v/>
      </c>
      <c r="N1335" s="41">
        <f>SUMIFS(N$149:N$1327,$A$149:$A$1327,"ener",$C$149:$C$1327,$C1335,$B$149:$B$1327,"&lt;&gt;all")</f>
        <v/>
      </c>
      <c r="O1335" s="41">
        <f>SUMIFS(O$149:O$1327,$A$149:$A$1327,"ener",$C$149:$C$1327,$C1335,$B$149:$B$1327,"&lt;&gt;all")</f>
        <v/>
      </c>
      <c r="P1335" s="41">
        <f>SUMIFS(P$149:P$1327,$A$149:$A$1327,"ener",$C$149:$C$1327,$C1335,$B$149:$B$1327,"&lt;&gt;all")</f>
        <v/>
      </c>
      <c r="Q1335" s="41">
        <f>SUMIFS(Q$149:Q$1327,$A$149:$A$1327,"ener",$C$149:$C$1327,$C1335,$B$149:$B$1327,"&lt;&gt;all")</f>
        <v/>
      </c>
      <c r="R1335" s="41">
        <f>SUMIFS(R$149:R$1327,$A$149:$A$1327,"ener",$C$149:$C$1327,$C1335,$B$149:$B$1327,"&lt;&gt;all")</f>
        <v/>
      </c>
      <c r="S1335" s="41">
        <f>SUMIFS(S$149:S$1327,$A$149:$A$1327,"ener",$C$149:$C$1327,$C1335,$B$149:$B$1327,"&lt;&gt;all")</f>
        <v/>
      </c>
      <c r="T1335" s="41">
        <f>SUMIFS(T$149:T$1327,$A$149:$A$1327,"ener",$C$149:$C$1327,$C1335,$B$149:$B$1327,"&lt;&gt;all")</f>
        <v/>
      </c>
      <c r="U1335" s="41">
        <f>SUMIFS(U$149:U$1327,$A$149:$A$1327,"ener",$C$149:$C$1327,$C1335,$B$149:$B$1327,"&lt;&gt;all")</f>
        <v/>
      </c>
      <c r="V1335" s="41">
        <f>SUMIFS(V$149:V$1327,$A$149:$A$1327,"ener",$C$149:$C$1327,$C1335,$B$149:$B$1327,"&lt;&gt;all")</f>
        <v/>
      </c>
      <c r="W1335" s="41">
        <f>SUMIFS(W$149:W$1327,$A$149:$A$1327,"ener",$C$149:$C$1327,$C1335,$B$149:$B$1327,"&lt;&gt;all")</f>
        <v/>
      </c>
      <c r="X1335" s="41">
        <f>SUMIFS(X$149:X$1327,$A$149:$A$1327,"ener",$C$149:$C$1327,$C1335,$B$149:$B$1327,"&lt;&gt;all")</f>
        <v/>
      </c>
      <c r="Y1335" s="41">
        <f>SUMIFS(Y$149:Y$1327,$A$149:$A$1327,"ener",$C$149:$C$1327,$C1335,$B$149:$B$1327,"&lt;&gt;all")</f>
        <v/>
      </c>
      <c r="Z1335" s="23">
        <f>LOWER(Settings!$C$4)&amp;".mit."&amp;$A1335&amp;IF($C1335="","","."&amp;$C1335&amp;"."&amp;$B1335)&amp;IF(INDEX(Variables!$D$5:$D$65,MATCH($A1335,Variables!$A$5:$A$65,0))="","","."&amp;INDEX(Variables!$D$5:$D$65,MATCH($A1335,Variables!$A$5:$A$65,0)))&amp;"."&amp;Z$5</f>
        <v/>
      </c>
      <c r="AA1335" s="40">
        <f>SUMIFS(AA$149:AA$1327,$A$149:$A$1327,"ener",$C$149:$C$1327,$C1335,$B$149:$B$1327,"&lt;&gt;all")</f>
        <v/>
      </c>
      <c r="AB1335" s="41">
        <f>SUMIFS(AB$149:AB$1327,$A$149:$A$1327,"ener",$C$149:$C$1327,$C1335,$B$149:$B$1327,"&lt;&gt;all")</f>
        <v/>
      </c>
      <c r="AC1335" s="41">
        <f>SUMIFS(AC$149:AC$1327,$A$149:$A$1327,"ener",$C$149:$C$1327,$C1335,$B$149:$B$1327,"&lt;&gt;all")</f>
        <v/>
      </c>
      <c r="AD1335" s="41">
        <f>SUMIFS(AD$149:AD$1327,$A$149:$A$1327,"ener",$C$149:$C$1327,$C1335,$B$149:$B$1327,"&lt;&gt;all")</f>
        <v/>
      </c>
      <c r="AE1335" s="41">
        <f>SUMIFS(AE$149:AE$1327,$A$149:$A$1327,"ener",$C$149:$C$1327,$C1335,$B$149:$B$1327,"&lt;&gt;all")</f>
        <v/>
      </c>
      <c r="AF1335" s="41">
        <f>SUMIFS(AF$149:AF$1327,$A$149:$A$1327,"ener",$C$149:$C$1327,$C1335,$B$149:$B$1327,"&lt;&gt;all")</f>
        <v/>
      </c>
      <c r="AG1335" s="41">
        <f>SUMIFS(AG$149:AG$1327,$A$149:$A$1327,"ener",$C$149:$C$1327,$C1335,$B$149:$B$1327,"&lt;&gt;all")</f>
        <v/>
      </c>
      <c r="AH1335" s="41">
        <f>SUMIFS(AH$149:AH$1327,$A$149:$A$1327,"ener",$C$149:$C$1327,$C1335,$B$149:$B$1327,"&lt;&gt;all")</f>
        <v/>
      </c>
      <c r="AI1335" s="41">
        <f>SUMIFS(AI$149:AI$1327,$A$149:$A$1327,"ener",$C$149:$C$1327,$C1335,$B$149:$B$1327,"&lt;&gt;all")</f>
        <v/>
      </c>
      <c r="AJ1335" s="41">
        <f>SUMIFS(AJ$149:AJ$1327,$A$149:$A$1327,"ener",$C$149:$C$1327,$C1335,$B$149:$B$1327,"&lt;&gt;all")</f>
        <v/>
      </c>
      <c r="AK1335" s="41">
        <f>SUMIFS(AK$149:AK$1327,$A$149:$A$1327,"ener",$C$149:$C$1327,$C1335,$B$149:$B$1327,"&lt;&gt;all")</f>
        <v/>
      </c>
      <c r="AL1335" s="41">
        <f>SUMIFS(AL$149:AL$1327,$A$149:$A$1327,"ener",$C$149:$C$1327,$C1335,$B$149:$B$1327,"&lt;&gt;all")</f>
        <v/>
      </c>
      <c r="AM1335" s="41">
        <f>SUMIFS(AM$149:AM$1327,$A$149:$A$1327,"ener",$C$149:$C$1327,$C1335,$B$149:$B$1327,"&lt;&gt;all")</f>
        <v/>
      </c>
      <c r="AN1335" s="41">
        <f>SUMIFS(AN$149:AN$1327,$A$149:$A$1327,"ener",$C$149:$C$1327,$C1335,$B$149:$B$1327,"&lt;&gt;all")</f>
        <v/>
      </c>
    </row>
    <row r="1336" outlineLevel="1">
      <c r="A1336" s="5" t="inlineStr">
        <is>
          <t>ener</t>
        </is>
      </c>
      <c r="B1336" s="5" t="inlineStr">
        <is>
          <t>all</t>
        </is>
      </c>
      <c r="C1336" s="5" t="inlineStr">
        <is>
          <t>res</t>
        </is>
      </c>
      <c r="H1336" s="5">
        <f>INDEX(Variables!$B$5:$B$65,MATCH($A1336,Variables!$A$5:$A$65,0))&amp;IF($C1336="",""," | "&amp;INDEX(Mapping!$B$5:$B$25,MATCH($C1336,Mapping!$A$5:$A$25,0))&amp;" | "&amp;INDEX(Mapping!$B$29:$B$38,MATCH($B1336,Mapping!$A$29:$A$38,0)))</f>
        <v/>
      </c>
      <c r="I1336" s="5">
        <f>INDEX(Variables!$C$5:$C$65,MATCH($A1336,Variables!$A$5:$A$65,0))</f>
        <v/>
      </c>
      <c r="J1336" s="5">
        <f>INDEX(Variables!$E$5:$E$65,MATCH($A1336,Variables!$A$5:$A$65,0))</f>
        <v/>
      </c>
      <c r="K1336" s="23">
        <f>LOWER(Settings!$C$4)&amp;".mit."&amp;$A1336&amp;IF($C1336="","","."&amp;$C1336&amp;"."&amp;$B1336)&amp;IF(INDEX(Variables!$D$5:$D$65,MATCH($A1336,Variables!$A$5:$A$65,0))="","","."&amp;INDEX(Variables!$D$5:$D$65,MATCH($A1336,Variables!$A$5:$A$65,0)))&amp;"."&amp;K$5</f>
        <v/>
      </c>
      <c r="L1336" s="40">
        <f>SUMIFS(L$149:L$1327,$A$149:$A$1327,"ener",$C$149:$C$1327,$C1336,$B$149:$B$1327,"&lt;&gt;all")</f>
        <v/>
      </c>
      <c r="M1336" s="41">
        <f>SUMIFS(M$149:M$1327,$A$149:$A$1327,"ener",$C$149:$C$1327,$C1336,$B$149:$B$1327,"&lt;&gt;all")</f>
        <v/>
      </c>
      <c r="N1336" s="41">
        <f>SUMIFS(N$149:N$1327,$A$149:$A$1327,"ener",$C$149:$C$1327,$C1336,$B$149:$B$1327,"&lt;&gt;all")</f>
        <v/>
      </c>
      <c r="O1336" s="41">
        <f>SUMIFS(O$149:O$1327,$A$149:$A$1327,"ener",$C$149:$C$1327,$C1336,$B$149:$B$1327,"&lt;&gt;all")</f>
        <v/>
      </c>
      <c r="P1336" s="41">
        <f>SUMIFS(P$149:P$1327,$A$149:$A$1327,"ener",$C$149:$C$1327,$C1336,$B$149:$B$1327,"&lt;&gt;all")</f>
        <v/>
      </c>
      <c r="Q1336" s="41">
        <f>SUMIFS(Q$149:Q$1327,$A$149:$A$1327,"ener",$C$149:$C$1327,$C1336,$B$149:$B$1327,"&lt;&gt;all")</f>
        <v/>
      </c>
      <c r="R1336" s="41">
        <f>SUMIFS(R$149:R$1327,$A$149:$A$1327,"ener",$C$149:$C$1327,$C1336,$B$149:$B$1327,"&lt;&gt;all")</f>
        <v/>
      </c>
      <c r="S1336" s="41">
        <f>SUMIFS(S$149:S$1327,$A$149:$A$1327,"ener",$C$149:$C$1327,$C1336,$B$149:$B$1327,"&lt;&gt;all")</f>
        <v/>
      </c>
      <c r="T1336" s="41">
        <f>SUMIFS(T$149:T$1327,$A$149:$A$1327,"ener",$C$149:$C$1327,$C1336,$B$149:$B$1327,"&lt;&gt;all")</f>
        <v/>
      </c>
      <c r="U1336" s="41">
        <f>SUMIFS(U$149:U$1327,$A$149:$A$1327,"ener",$C$149:$C$1327,$C1336,$B$149:$B$1327,"&lt;&gt;all")</f>
        <v/>
      </c>
      <c r="V1336" s="41">
        <f>SUMIFS(V$149:V$1327,$A$149:$A$1327,"ener",$C$149:$C$1327,$C1336,$B$149:$B$1327,"&lt;&gt;all")</f>
        <v/>
      </c>
      <c r="W1336" s="41">
        <f>SUMIFS(W$149:W$1327,$A$149:$A$1327,"ener",$C$149:$C$1327,$C1336,$B$149:$B$1327,"&lt;&gt;all")</f>
        <v/>
      </c>
      <c r="X1336" s="41">
        <f>SUMIFS(X$149:X$1327,$A$149:$A$1327,"ener",$C$149:$C$1327,$C1336,$B$149:$B$1327,"&lt;&gt;all")</f>
        <v/>
      </c>
      <c r="Y1336" s="41">
        <f>SUMIFS(Y$149:Y$1327,$A$149:$A$1327,"ener",$C$149:$C$1327,$C1336,$B$149:$B$1327,"&lt;&gt;all")</f>
        <v/>
      </c>
      <c r="Z1336" s="23">
        <f>LOWER(Settings!$C$4)&amp;".mit."&amp;$A1336&amp;IF($C1336="","","."&amp;$C1336&amp;"."&amp;$B1336)&amp;IF(INDEX(Variables!$D$5:$D$65,MATCH($A1336,Variables!$A$5:$A$65,0))="","","."&amp;INDEX(Variables!$D$5:$D$65,MATCH($A1336,Variables!$A$5:$A$65,0)))&amp;"."&amp;Z$5</f>
        <v/>
      </c>
      <c r="AA1336" s="40">
        <f>SUMIFS(AA$149:AA$1327,$A$149:$A$1327,"ener",$C$149:$C$1327,$C1336,$B$149:$B$1327,"&lt;&gt;all")</f>
        <v/>
      </c>
      <c r="AB1336" s="41">
        <f>SUMIFS(AB$149:AB$1327,$A$149:$A$1327,"ener",$C$149:$C$1327,$C1336,$B$149:$B$1327,"&lt;&gt;all")</f>
        <v/>
      </c>
      <c r="AC1336" s="41">
        <f>SUMIFS(AC$149:AC$1327,$A$149:$A$1327,"ener",$C$149:$C$1327,$C1336,$B$149:$B$1327,"&lt;&gt;all")</f>
        <v/>
      </c>
      <c r="AD1336" s="41">
        <f>SUMIFS(AD$149:AD$1327,$A$149:$A$1327,"ener",$C$149:$C$1327,$C1336,$B$149:$B$1327,"&lt;&gt;all")</f>
        <v/>
      </c>
      <c r="AE1336" s="41">
        <f>SUMIFS(AE$149:AE$1327,$A$149:$A$1327,"ener",$C$149:$C$1327,$C1336,$B$149:$B$1327,"&lt;&gt;all")</f>
        <v/>
      </c>
      <c r="AF1336" s="41">
        <f>SUMIFS(AF$149:AF$1327,$A$149:$A$1327,"ener",$C$149:$C$1327,$C1336,$B$149:$B$1327,"&lt;&gt;all")</f>
        <v/>
      </c>
      <c r="AG1336" s="41">
        <f>SUMIFS(AG$149:AG$1327,$A$149:$A$1327,"ener",$C$149:$C$1327,$C1336,$B$149:$B$1327,"&lt;&gt;all")</f>
        <v/>
      </c>
      <c r="AH1336" s="41">
        <f>SUMIFS(AH$149:AH$1327,$A$149:$A$1327,"ener",$C$149:$C$1327,$C1336,$B$149:$B$1327,"&lt;&gt;all")</f>
        <v/>
      </c>
      <c r="AI1336" s="41">
        <f>SUMIFS(AI$149:AI$1327,$A$149:$A$1327,"ener",$C$149:$C$1327,$C1336,$B$149:$B$1327,"&lt;&gt;all")</f>
        <v/>
      </c>
      <c r="AJ1336" s="41">
        <f>SUMIFS(AJ$149:AJ$1327,$A$149:$A$1327,"ener",$C$149:$C$1327,$C1336,$B$149:$B$1327,"&lt;&gt;all")</f>
        <v/>
      </c>
      <c r="AK1336" s="41">
        <f>SUMIFS(AK$149:AK$1327,$A$149:$A$1327,"ener",$C$149:$C$1327,$C1336,$B$149:$B$1327,"&lt;&gt;all")</f>
        <v/>
      </c>
      <c r="AL1336" s="41">
        <f>SUMIFS(AL$149:AL$1327,$A$149:$A$1327,"ener",$C$149:$C$1327,$C1336,$B$149:$B$1327,"&lt;&gt;all")</f>
        <v/>
      </c>
      <c r="AM1336" s="41">
        <f>SUMIFS(AM$149:AM$1327,$A$149:$A$1327,"ener",$C$149:$C$1327,$C1336,$B$149:$B$1327,"&lt;&gt;all")</f>
        <v/>
      </c>
      <c r="AN1336" s="41">
        <f>SUMIFS(AN$149:AN$1327,$A$149:$A$1327,"ener",$C$149:$C$1327,$C1336,$B$149:$B$1327,"&lt;&gt;all")</f>
        <v/>
      </c>
    </row>
    <row r="1337" outlineLevel="1">
      <c r="A1337" s="5" t="inlineStr">
        <is>
          <t>ener</t>
        </is>
      </c>
      <c r="B1337" s="5" t="inlineStr">
        <is>
          <t>all</t>
        </is>
      </c>
      <c r="C1337" s="5" t="inlineStr">
        <is>
          <t>foo</t>
        </is>
      </c>
      <c r="H1337" s="5">
        <f>INDEX(Variables!$B$5:$B$65,MATCH($A1337,Variables!$A$5:$A$65,0))&amp;IF($C1337="",""," | "&amp;INDEX(Mapping!$B$5:$B$25,MATCH($C1337,Mapping!$A$5:$A$25,0))&amp;" | "&amp;INDEX(Mapping!$B$29:$B$38,MATCH($B1337,Mapping!$A$29:$A$38,0)))</f>
        <v/>
      </c>
      <c r="I1337" s="5">
        <f>INDEX(Variables!$C$5:$C$65,MATCH($A1337,Variables!$A$5:$A$65,0))</f>
        <v/>
      </c>
      <c r="J1337" s="5">
        <f>INDEX(Variables!$E$5:$E$65,MATCH($A1337,Variables!$A$5:$A$65,0))</f>
        <v/>
      </c>
      <c r="K1337" s="23">
        <f>LOWER(Settings!$C$4)&amp;".mit."&amp;$A1337&amp;IF($C1337="","","."&amp;$C1337&amp;"."&amp;$B1337)&amp;IF(INDEX(Variables!$D$5:$D$65,MATCH($A1337,Variables!$A$5:$A$65,0))="","","."&amp;INDEX(Variables!$D$5:$D$65,MATCH($A1337,Variables!$A$5:$A$65,0)))&amp;"."&amp;K$5</f>
        <v/>
      </c>
      <c r="L1337" s="40">
        <f>SUMIFS(L$149:L$1327,$A$149:$A$1327,"ener",$C$149:$C$1327,$C1337,$B$149:$B$1327,"&lt;&gt;all")</f>
        <v/>
      </c>
      <c r="M1337" s="41">
        <f>SUMIFS(M$149:M$1327,$A$149:$A$1327,"ener",$C$149:$C$1327,$C1337,$B$149:$B$1327,"&lt;&gt;all")</f>
        <v/>
      </c>
      <c r="N1337" s="41">
        <f>SUMIFS(N$149:N$1327,$A$149:$A$1327,"ener",$C$149:$C$1327,$C1337,$B$149:$B$1327,"&lt;&gt;all")</f>
        <v/>
      </c>
      <c r="O1337" s="41">
        <f>SUMIFS(O$149:O$1327,$A$149:$A$1327,"ener",$C$149:$C$1327,$C1337,$B$149:$B$1327,"&lt;&gt;all")</f>
        <v/>
      </c>
      <c r="P1337" s="41">
        <f>SUMIFS(P$149:P$1327,$A$149:$A$1327,"ener",$C$149:$C$1327,$C1337,$B$149:$B$1327,"&lt;&gt;all")</f>
        <v/>
      </c>
      <c r="Q1337" s="41">
        <f>SUMIFS(Q$149:Q$1327,$A$149:$A$1327,"ener",$C$149:$C$1327,$C1337,$B$149:$B$1327,"&lt;&gt;all")</f>
        <v/>
      </c>
      <c r="R1337" s="41">
        <f>SUMIFS(R$149:R$1327,$A$149:$A$1327,"ener",$C$149:$C$1327,$C1337,$B$149:$B$1327,"&lt;&gt;all")</f>
        <v/>
      </c>
      <c r="S1337" s="41">
        <f>SUMIFS(S$149:S$1327,$A$149:$A$1327,"ener",$C$149:$C$1327,$C1337,$B$149:$B$1327,"&lt;&gt;all")</f>
        <v/>
      </c>
      <c r="T1337" s="41">
        <f>SUMIFS(T$149:T$1327,$A$149:$A$1327,"ener",$C$149:$C$1327,$C1337,$B$149:$B$1327,"&lt;&gt;all")</f>
        <v/>
      </c>
      <c r="U1337" s="41">
        <f>SUMIFS(U$149:U$1327,$A$149:$A$1327,"ener",$C$149:$C$1327,$C1337,$B$149:$B$1327,"&lt;&gt;all")</f>
        <v/>
      </c>
      <c r="V1337" s="41">
        <f>SUMIFS(V$149:V$1327,$A$149:$A$1327,"ener",$C$149:$C$1327,$C1337,$B$149:$B$1327,"&lt;&gt;all")</f>
        <v/>
      </c>
      <c r="W1337" s="41">
        <f>SUMIFS(W$149:W$1327,$A$149:$A$1327,"ener",$C$149:$C$1327,$C1337,$B$149:$B$1327,"&lt;&gt;all")</f>
        <v/>
      </c>
      <c r="X1337" s="41">
        <f>SUMIFS(X$149:X$1327,$A$149:$A$1327,"ener",$C$149:$C$1327,$C1337,$B$149:$B$1327,"&lt;&gt;all")</f>
        <v/>
      </c>
      <c r="Y1337" s="41">
        <f>SUMIFS(Y$149:Y$1327,$A$149:$A$1327,"ener",$C$149:$C$1327,$C1337,$B$149:$B$1327,"&lt;&gt;all")</f>
        <v/>
      </c>
      <c r="Z1337" s="23">
        <f>LOWER(Settings!$C$4)&amp;".mit."&amp;$A1337&amp;IF($C1337="","","."&amp;$C1337&amp;"."&amp;$B1337)&amp;IF(INDEX(Variables!$D$5:$D$65,MATCH($A1337,Variables!$A$5:$A$65,0))="","","."&amp;INDEX(Variables!$D$5:$D$65,MATCH($A1337,Variables!$A$5:$A$65,0)))&amp;"."&amp;Z$5</f>
        <v/>
      </c>
      <c r="AA1337" s="40">
        <f>SUMIFS(AA$149:AA$1327,$A$149:$A$1327,"ener",$C$149:$C$1327,$C1337,$B$149:$B$1327,"&lt;&gt;all")</f>
        <v/>
      </c>
      <c r="AB1337" s="41">
        <f>SUMIFS(AB$149:AB$1327,$A$149:$A$1327,"ener",$C$149:$C$1327,$C1337,$B$149:$B$1327,"&lt;&gt;all")</f>
        <v/>
      </c>
      <c r="AC1337" s="41">
        <f>SUMIFS(AC$149:AC$1327,$A$149:$A$1327,"ener",$C$149:$C$1327,$C1337,$B$149:$B$1327,"&lt;&gt;all")</f>
        <v/>
      </c>
      <c r="AD1337" s="41">
        <f>SUMIFS(AD$149:AD$1327,$A$149:$A$1327,"ener",$C$149:$C$1327,$C1337,$B$149:$B$1327,"&lt;&gt;all")</f>
        <v/>
      </c>
      <c r="AE1337" s="41">
        <f>SUMIFS(AE$149:AE$1327,$A$149:$A$1327,"ener",$C$149:$C$1327,$C1337,$B$149:$B$1327,"&lt;&gt;all")</f>
        <v/>
      </c>
      <c r="AF1337" s="41">
        <f>SUMIFS(AF$149:AF$1327,$A$149:$A$1327,"ener",$C$149:$C$1327,$C1337,$B$149:$B$1327,"&lt;&gt;all")</f>
        <v/>
      </c>
      <c r="AG1337" s="41">
        <f>SUMIFS(AG$149:AG$1327,$A$149:$A$1327,"ener",$C$149:$C$1327,$C1337,$B$149:$B$1327,"&lt;&gt;all")</f>
        <v/>
      </c>
      <c r="AH1337" s="41">
        <f>SUMIFS(AH$149:AH$1327,$A$149:$A$1327,"ener",$C$149:$C$1327,$C1337,$B$149:$B$1327,"&lt;&gt;all")</f>
        <v/>
      </c>
      <c r="AI1337" s="41">
        <f>SUMIFS(AI$149:AI$1327,$A$149:$A$1327,"ener",$C$149:$C$1327,$C1337,$B$149:$B$1327,"&lt;&gt;all")</f>
        <v/>
      </c>
      <c r="AJ1337" s="41">
        <f>SUMIFS(AJ$149:AJ$1327,$A$149:$A$1327,"ener",$C$149:$C$1327,$C1337,$B$149:$B$1327,"&lt;&gt;all")</f>
        <v/>
      </c>
      <c r="AK1337" s="41">
        <f>SUMIFS(AK$149:AK$1327,$A$149:$A$1327,"ener",$C$149:$C$1327,$C1337,$B$149:$B$1327,"&lt;&gt;all")</f>
        <v/>
      </c>
      <c r="AL1337" s="41">
        <f>SUMIFS(AL$149:AL$1327,$A$149:$A$1327,"ener",$C$149:$C$1327,$C1337,$B$149:$B$1327,"&lt;&gt;all")</f>
        <v/>
      </c>
      <c r="AM1337" s="41">
        <f>SUMIFS(AM$149:AM$1327,$A$149:$A$1327,"ener",$C$149:$C$1327,$C1337,$B$149:$B$1327,"&lt;&gt;all")</f>
        <v/>
      </c>
      <c r="AN1337" s="41">
        <f>SUMIFS(AN$149:AN$1327,$A$149:$A$1327,"ener",$C$149:$C$1327,$C1337,$B$149:$B$1327,"&lt;&gt;all")</f>
        <v/>
      </c>
    </row>
    <row r="1338" outlineLevel="1">
      <c r="A1338" s="5" t="inlineStr">
        <is>
          <t>ener</t>
        </is>
      </c>
      <c r="B1338" s="5" t="inlineStr">
        <is>
          <t>all</t>
        </is>
      </c>
      <c r="C1338" s="5" t="inlineStr">
        <is>
          <t>srv</t>
        </is>
      </c>
      <c r="H1338" s="5">
        <f>INDEX(Variables!$B$5:$B$65,MATCH($A1338,Variables!$A$5:$A$65,0))&amp;IF($C1338="",""," | "&amp;INDEX(Mapping!$B$5:$B$25,MATCH($C1338,Mapping!$A$5:$A$25,0))&amp;" | "&amp;INDEX(Mapping!$B$29:$B$38,MATCH($B1338,Mapping!$A$29:$A$38,0)))</f>
        <v/>
      </c>
      <c r="I1338" s="5">
        <f>INDEX(Variables!$C$5:$C$65,MATCH($A1338,Variables!$A$5:$A$65,0))</f>
        <v/>
      </c>
      <c r="J1338" s="5">
        <f>INDEX(Variables!$E$5:$E$65,MATCH($A1338,Variables!$A$5:$A$65,0))</f>
        <v/>
      </c>
      <c r="K1338" s="23">
        <f>LOWER(Settings!$C$4)&amp;".mit."&amp;$A1338&amp;IF($C1338="","","."&amp;$C1338&amp;"."&amp;$B1338)&amp;IF(INDEX(Variables!$D$5:$D$65,MATCH($A1338,Variables!$A$5:$A$65,0))="","","."&amp;INDEX(Variables!$D$5:$D$65,MATCH($A1338,Variables!$A$5:$A$65,0)))&amp;"."&amp;K$5</f>
        <v/>
      </c>
      <c r="L1338" s="40">
        <f>SUMIFS(L$149:L$1327,$A$149:$A$1327,"ener",$C$149:$C$1327,$C1338,$B$149:$B$1327,"&lt;&gt;all")</f>
        <v/>
      </c>
      <c r="M1338" s="41">
        <f>SUMIFS(M$149:M$1327,$A$149:$A$1327,"ener",$C$149:$C$1327,$C1338,$B$149:$B$1327,"&lt;&gt;all")</f>
        <v/>
      </c>
      <c r="N1338" s="41">
        <f>SUMIFS(N$149:N$1327,$A$149:$A$1327,"ener",$C$149:$C$1327,$C1338,$B$149:$B$1327,"&lt;&gt;all")</f>
        <v/>
      </c>
      <c r="O1338" s="41">
        <f>SUMIFS(O$149:O$1327,$A$149:$A$1327,"ener",$C$149:$C$1327,$C1338,$B$149:$B$1327,"&lt;&gt;all")</f>
        <v/>
      </c>
      <c r="P1338" s="41">
        <f>SUMIFS(P$149:P$1327,$A$149:$A$1327,"ener",$C$149:$C$1327,$C1338,$B$149:$B$1327,"&lt;&gt;all")</f>
        <v/>
      </c>
      <c r="Q1338" s="41">
        <f>SUMIFS(Q$149:Q$1327,$A$149:$A$1327,"ener",$C$149:$C$1327,$C1338,$B$149:$B$1327,"&lt;&gt;all")</f>
        <v/>
      </c>
      <c r="R1338" s="41">
        <f>SUMIFS(R$149:R$1327,$A$149:$A$1327,"ener",$C$149:$C$1327,$C1338,$B$149:$B$1327,"&lt;&gt;all")</f>
        <v/>
      </c>
      <c r="S1338" s="41">
        <f>SUMIFS(S$149:S$1327,$A$149:$A$1327,"ener",$C$149:$C$1327,$C1338,$B$149:$B$1327,"&lt;&gt;all")</f>
        <v/>
      </c>
      <c r="T1338" s="41">
        <f>SUMIFS(T$149:T$1327,$A$149:$A$1327,"ener",$C$149:$C$1327,$C1338,$B$149:$B$1327,"&lt;&gt;all")</f>
        <v/>
      </c>
      <c r="U1338" s="41">
        <f>SUMIFS(U$149:U$1327,$A$149:$A$1327,"ener",$C$149:$C$1327,$C1338,$B$149:$B$1327,"&lt;&gt;all")</f>
        <v/>
      </c>
      <c r="V1338" s="41">
        <f>SUMIFS(V$149:V$1327,$A$149:$A$1327,"ener",$C$149:$C$1327,$C1338,$B$149:$B$1327,"&lt;&gt;all")</f>
        <v/>
      </c>
      <c r="W1338" s="41">
        <f>SUMIFS(W$149:W$1327,$A$149:$A$1327,"ener",$C$149:$C$1327,$C1338,$B$149:$B$1327,"&lt;&gt;all")</f>
        <v/>
      </c>
      <c r="X1338" s="41">
        <f>SUMIFS(X$149:X$1327,$A$149:$A$1327,"ener",$C$149:$C$1327,$C1338,$B$149:$B$1327,"&lt;&gt;all")</f>
        <v/>
      </c>
      <c r="Y1338" s="41">
        <f>SUMIFS(Y$149:Y$1327,$A$149:$A$1327,"ener",$C$149:$C$1327,$C1338,$B$149:$B$1327,"&lt;&gt;all")</f>
        <v/>
      </c>
      <c r="Z1338" s="23">
        <f>LOWER(Settings!$C$4)&amp;".mit."&amp;$A1338&amp;IF($C1338="","","."&amp;$C1338&amp;"."&amp;$B1338)&amp;IF(INDEX(Variables!$D$5:$D$65,MATCH($A1338,Variables!$A$5:$A$65,0))="","","."&amp;INDEX(Variables!$D$5:$D$65,MATCH($A1338,Variables!$A$5:$A$65,0)))&amp;"."&amp;Z$5</f>
        <v/>
      </c>
      <c r="AA1338" s="40">
        <f>SUMIFS(AA$149:AA$1327,$A$149:$A$1327,"ener",$C$149:$C$1327,$C1338,$B$149:$B$1327,"&lt;&gt;all")</f>
        <v/>
      </c>
      <c r="AB1338" s="41">
        <f>SUMIFS(AB$149:AB$1327,$A$149:$A$1327,"ener",$C$149:$C$1327,$C1338,$B$149:$B$1327,"&lt;&gt;all")</f>
        <v/>
      </c>
      <c r="AC1338" s="41">
        <f>SUMIFS(AC$149:AC$1327,$A$149:$A$1327,"ener",$C$149:$C$1327,$C1338,$B$149:$B$1327,"&lt;&gt;all")</f>
        <v/>
      </c>
      <c r="AD1338" s="41">
        <f>SUMIFS(AD$149:AD$1327,$A$149:$A$1327,"ener",$C$149:$C$1327,$C1338,$B$149:$B$1327,"&lt;&gt;all")</f>
        <v/>
      </c>
      <c r="AE1338" s="41">
        <f>SUMIFS(AE$149:AE$1327,$A$149:$A$1327,"ener",$C$149:$C$1327,$C1338,$B$149:$B$1327,"&lt;&gt;all")</f>
        <v/>
      </c>
      <c r="AF1338" s="41">
        <f>SUMIFS(AF$149:AF$1327,$A$149:$A$1327,"ener",$C$149:$C$1327,$C1338,$B$149:$B$1327,"&lt;&gt;all")</f>
        <v/>
      </c>
      <c r="AG1338" s="41">
        <f>SUMIFS(AG$149:AG$1327,$A$149:$A$1327,"ener",$C$149:$C$1327,$C1338,$B$149:$B$1327,"&lt;&gt;all")</f>
        <v/>
      </c>
      <c r="AH1338" s="41">
        <f>SUMIFS(AH$149:AH$1327,$A$149:$A$1327,"ener",$C$149:$C$1327,$C1338,$B$149:$B$1327,"&lt;&gt;all")</f>
        <v/>
      </c>
      <c r="AI1338" s="41">
        <f>SUMIFS(AI$149:AI$1327,$A$149:$A$1327,"ener",$C$149:$C$1327,$C1338,$B$149:$B$1327,"&lt;&gt;all")</f>
        <v/>
      </c>
      <c r="AJ1338" s="41">
        <f>SUMIFS(AJ$149:AJ$1327,$A$149:$A$1327,"ener",$C$149:$C$1327,$C1338,$B$149:$B$1327,"&lt;&gt;all")</f>
        <v/>
      </c>
      <c r="AK1338" s="41">
        <f>SUMIFS(AK$149:AK$1327,$A$149:$A$1327,"ener",$C$149:$C$1327,$C1338,$B$149:$B$1327,"&lt;&gt;all")</f>
        <v/>
      </c>
      <c r="AL1338" s="41">
        <f>SUMIFS(AL$149:AL$1327,$A$149:$A$1327,"ener",$C$149:$C$1327,$C1338,$B$149:$B$1327,"&lt;&gt;all")</f>
        <v/>
      </c>
      <c r="AM1338" s="41">
        <f>SUMIFS(AM$149:AM$1327,$A$149:$A$1327,"ener",$C$149:$C$1327,$C1338,$B$149:$B$1327,"&lt;&gt;all")</f>
        <v/>
      </c>
      <c r="AN1338" s="41">
        <f>SUMIFS(AN$149:AN$1327,$A$149:$A$1327,"ener",$C$149:$C$1327,$C1338,$B$149:$B$1327,"&lt;&gt;all")</f>
        <v/>
      </c>
    </row>
    <row r="1339" outlineLevel="1">
      <c r="A1339" s="5" t="inlineStr">
        <is>
          <t>ener</t>
        </is>
      </c>
      <c r="B1339" s="5" t="inlineStr">
        <is>
          <t>all</t>
        </is>
      </c>
      <c r="C1339" s="5" t="inlineStr">
        <is>
          <t>mch</t>
        </is>
      </c>
      <c r="H1339" s="5">
        <f>INDEX(Variables!$B$5:$B$65,MATCH($A1339,Variables!$A$5:$A$65,0))&amp;IF($C1339="",""," | "&amp;INDEX(Mapping!$B$5:$B$25,MATCH($C1339,Mapping!$A$5:$A$25,0))&amp;" | "&amp;INDEX(Mapping!$B$29:$B$38,MATCH($B1339,Mapping!$A$29:$A$38,0)))</f>
        <v/>
      </c>
      <c r="I1339" s="5">
        <f>INDEX(Variables!$C$5:$C$65,MATCH($A1339,Variables!$A$5:$A$65,0))</f>
        <v/>
      </c>
      <c r="J1339" s="5">
        <f>INDEX(Variables!$E$5:$E$65,MATCH($A1339,Variables!$A$5:$A$65,0))</f>
        <v/>
      </c>
      <c r="K1339" s="23">
        <f>LOWER(Settings!$C$4)&amp;".mit."&amp;$A1339&amp;IF($C1339="","","."&amp;$C1339&amp;"."&amp;$B1339)&amp;IF(INDEX(Variables!$D$5:$D$65,MATCH($A1339,Variables!$A$5:$A$65,0))="","","."&amp;INDEX(Variables!$D$5:$D$65,MATCH($A1339,Variables!$A$5:$A$65,0)))&amp;"."&amp;K$5</f>
        <v/>
      </c>
      <c r="L1339" s="40">
        <f>SUMIFS(L$149:L$1327,$A$149:$A$1327,"ener",$C$149:$C$1327,$C1339,$B$149:$B$1327,"&lt;&gt;all")</f>
        <v/>
      </c>
      <c r="M1339" s="41">
        <f>SUMIFS(M$149:M$1327,$A$149:$A$1327,"ener",$C$149:$C$1327,$C1339,$B$149:$B$1327,"&lt;&gt;all")</f>
        <v/>
      </c>
      <c r="N1339" s="41">
        <f>SUMIFS(N$149:N$1327,$A$149:$A$1327,"ener",$C$149:$C$1327,$C1339,$B$149:$B$1327,"&lt;&gt;all")</f>
        <v/>
      </c>
      <c r="O1339" s="41">
        <f>SUMIFS(O$149:O$1327,$A$149:$A$1327,"ener",$C$149:$C$1327,$C1339,$B$149:$B$1327,"&lt;&gt;all")</f>
        <v/>
      </c>
      <c r="P1339" s="41">
        <f>SUMIFS(P$149:P$1327,$A$149:$A$1327,"ener",$C$149:$C$1327,$C1339,$B$149:$B$1327,"&lt;&gt;all")</f>
        <v/>
      </c>
      <c r="Q1339" s="41">
        <f>SUMIFS(Q$149:Q$1327,$A$149:$A$1327,"ener",$C$149:$C$1327,$C1339,$B$149:$B$1327,"&lt;&gt;all")</f>
        <v/>
      </c>
      <c r="R1339" s="41">
        <f>SUMIFS(R$149:R$1327,$A$149:$A$1327,"ener",$C$149:$C$1327,$C1339,$B$149:$B$1327,"&lt;&gt;all")</f>
        <v/>
      </c>
      <c r="S1339" s="41">
        <f>SUMIFS(S$149:S$1327,$A$149:$A$1327,"ener",$C$149:$C$1327,$C1339,$B$149:$B$1327,"&lt;&gt;all")</f>
        <v/>
      </c>
      <c r="T1339" s="41">
        <f>SUMIFS(T$149:T$1327,$A$149:$A$1327,"ener",$C$149:$C$1327,$C1339,$B$149:$B$1327,"&lt;&gt;all")</f>
        <v/>
      </c>
      <c r="U1339" s="41">
        <f>SUMIFS(U$149:U$1327,$A$149:$A$1327,"ener",$C$149:$C$1327,$C1339,$B$149:$B$1327,"&lt;&gt;all")</f>
        <v/>
      </c>
      <c r="V1339" s="41">
        <f>SUMIFS(V$149:V$1327,$A$149:$A$1327,"ener",$C$149:$C$1327,$C1339,$B$149:$B$1327,"&lt;&gt;all")</f>
        <v/>
      </c>
      <c r="W1339" s="41">
        <f>SUMIFS(W$149:W$1327,$A$149:$A$1327,"ener",$C$149:$C$1327,$C1339,$B$149:$B$1327,"&lt;&gt;all")</f>
        <v/>
      </c>
      <c r="X1339" s="41">
        <f>SUMIFS(X$149:X$1327,$A$149:$A$1327,"ener",$C$149:$C$1327,$C1339,$B$149:$B$1327,"&lt;&gt;all")</f>
        <v/>
      </c>
      <c r="Y1339" s="41">
        <f>SUMIFS(Y$149:Y$1327,$A$149:$A$1327,"ener",$C$149:$C$1327,$C1339,$B$149:$B$1327,"&lt;&gt;all")</f>
        <v/>
      </c>
      <c r="Z1339" s="23">
        <f>LOWER(Settings!$C$4)&amp;".mit."&amp;$A1339&amp;IF($C1339="","","."&amp;$C1339&amp;"."&amp;$B1339)&amp;IF(INDEX(Variables!$D$5:$D$65,MATCH($A1339,Variables!$A$5:$A$65,0))="","","."&amp;INDEX(Variables!$D$5:$D$65,MATCH($A1339,Variables!$A$5:$A$65,0)))&amp;"."&amp;Z$5</f>
        <v/>
      </c>
      <c r="AA1339" s="40">
        <f>SUMIFS(AA$149:AA$1327,$A$149:$A$1327,"ener",$C$149:$C$1327,$C1339,$B$149:$B$1327,"&lt;&gt;all")</f>
        <v/>
      </c>
      <c r="AB1339" s="41">
        <f>SUMIFS(AB$149:AB$1327,$A$149:$A$1327,"ener",$C$149:$C$1327,$C1339,$B$149:$B$1327,"&lt;&gt;all")</f>
        <v/>
      </c>
      <c r="AC1339" s="41">
        <f>SUMIFS(AC$149:AC$1327,$A$149:$A$1327,"ener",$C$149:$C$1327,$C1339,$B$149:$B$1327,"&lt;&gt;all")</f>
        <v/>
      </c>
      <c r="AD1339" s="41">
        <f>SUMIFS(AD$149:AD$1327,$A$149:$A$1327,"ener",$C$149:$C$1327,$C1339,$B$149:$B$1327,"&lt;&gt;all")</f>
        <v/>
      </c>
      <c r="AE1339" s="41">
        <f>SUMIFS(AE$149:AE$1327,$A$149:$A$1327,"ener",$C$149:$C$1327,$C1339,$B$149:$B$1327,"&lt;&gt;all")</f>
        <v/>
      </c>
      <c r="AF1339" s="41">
        <f>SUMIFS(AF$149:AF$1327,$A$149:$A$1327,"ener",$C$149:$C$1327,$C1339,$B$149:$B$1327,"&lt;&gt;all")</f>
        <v/>
      </c>
      <c r="AG1339" s="41">
        <f>SUMIFS(AG$149:AG$1327,$A$149:$A$1327,"ener",$C$149:$C$1327,$C1339,$B$149:$B$1327,"&lt;&gt;all")</f>
        <v/>
      </c>
      <c r="AH1339" s="41">
        <f>SUMIFS(AH$149:AH$1327,$A$149:$A$1327,"ener",$C$149:$C$1327,$C1339,$B$149:$B$1327,"&lt;&gt;all")</f>
        <v/>
      </c>
      <c r="AI1339" s="41">
        <f>SUMIFS(AI$149:AI$1327,$A$149:$A$1327,"ener",$C$149:$C$1327,$C1339,$B$149:$B$1327,"&lt;&gt;all")</f>
        <v/>
      </c>
      <c r="AJ1339" s="41">
        <f>SUMIFS(AJ$149:AJ$1327,$A$149:$A$1327,"ener",$C$149:$C$1327,$C1339,$B$149:$B$1327,"&lt;&gt;all")</f>
        <v/>
      </c>
      <c r="AK1339" s="41">
        <f>SUMIFS(AK$149:AK$1327,$A$149:$A$1327,"ener",$C$149:$C$1327,$C1339,$B$149:$B$1327,"&lt;&gt;all")</f>
        <v/>
      </c>
      <c r="AL1339" s="41">
        <f>SUMIFS(AL$149:AL$1327,$A$149:$A$1327,"ener",$C$149:$C$1327,$C1339,$B$149:$B$1327,"&lt;&gt;all")</f>
        <v/>
      </c>
      <c r="AM1339" s="41">
        <f>SUMIFS(AM$149:AM$1327,$A$149:$A$1327,"ener",$C$149:$C$1327,$C1339,$B$149:$B$1327,"&lt;&gt;all")</f>
        <v/>
      </c>
      <c r="AN1339" s="41">
        <f>SUMIFS(AN$149:AN$1327,$A$149:$A$1327,"ener",$C$149:$C$1327,$C1339,$B$149:$B$1327,"&lt;&gt;all")</f>
        <v/>
      </c>
    </row>
    <row r="1340" outlineLevel="1">
      <c r="A1340" s="5" t="inlineStr">
        <is>
          <t>ener</t>
        </is>
      </c>
      <c r="B1340" s="5" t="inlineStr">
        <is>
          <t>all</t>
        </is>
      </c>
      <c r="C1340" s="5" t="inlineStr">
        <is>
          <t>irn</t>
        </is>
      </c>
      <c r="H1340" s="5">
        <f>INDEX(Variables!$B$5:$B$65,MATCH($A1340,Variables!$A$5:$A$65,0))&amp;IF($C1340="",""," | "&amp;INDEX(Mapping!$B$5:$B$25,MATCH($C1340,Mapping!$A$5:$A$25,0))&amp;" | "&amp;INDEX(Mapping!$B$29:$B$38,MATCH($B1340,Mapping!$A$29:$A$38,0)))</f>
        <v/>
      </c>
      <c r="I1340" s="5">
        <f>INDEX(Variables!$C$5:$C$65,MATCH($A1340,Variables!$A$5:$A$65,0))</f>
        <v/>
      </c>
      <c r="J1340" s="5">
        <f>INDEX(Variables!$E$5:$E$65,MATCH($A1340,Variables!$A$5:$A$65,0))</f>
        <v/>
      </c>
      <c r="K1340" s="23">
        <f>LOWER(Settings!$C$4)&amp;".mit."&amp;$A1340&amp;IF($C1340="","","."&amp;$C1340&amp;"."&amp;$B1340)&amp;IF(INDEX(Variables!$D$5:$D$65,MATCH($A1340,Variables!$A$5:$A$65,0))="","","."&amp;INDEX(Variables!$D$5:$D$65,MATCH($A1340,Variables!$A$5:$A$65,0)))&amp;"."&amp;K$5</f>
        <v/>
      </c>
      <c r="L1340" s="40">
        <f>SUMIFS(L$149:L$1327,$A$149:$A$1327,"ener",$C$149:$C$1327,$C1340,$B$149:$B$1327,"&lt;&gt;all")</f>
        <v/>
      </c>
      <c r="M1340" s="41">
        <f>SUMIFS(M$149:M$1327,$A$149:$A$1327,"ener",$C$149:$C$1327,$C1340,$B$149:$B$1327,"&lt;&gt;all")</f>
        <v/>
      </c>
      <c r="N1340" s="41">
        <f>SUMIFS(N$149:N$1327,$A$149:$A$1327,"ener",$C$149:$C$1327,$C1340,$B$149:$B$1327,"&lt;&gt;all")</f>
        <v/>
      </c>
      <c r="O1340" s="41">
        <f>SUMIFS(O$149:O$1327,$A$149:$A$1327,"ener",$C$149:$C$1327,$C1340,$B$149:$B$1327,"&lt;&gt;all")</f>
        <v/>
      </c>
      <c r="P1340" s="41">
        <f>SUMIFS(P$149:P$1327,$A$149:$A$1327,"ener",$C$149:$C$1327,$C1340,$B$149:$B$1327,"&lt;&gt;all")</f>
        <v/>
      </c>
      <c r="Q1340" s="41">
        <f>SUMIFS(Q$149:Q$1327,$A$149:$A$1327,"ener",$C$149:$C$1327,$C1340,$B$149:$B$1327,"&lt;&gt;all")</f>
        <v/>
      </c>
      <c r="R1340" s="41">
        <f>SUMIFS(R$149:R$1327,$A$149:$A$1327,"ener",$C$149:$C$1327,$C1340,$B$149:$B$1327,"&lt;&gt;all")</f>
        <v/>
      </c>
      <c r="S1340" s="41">
        <f>SUMIFS(S$149:S$1327,$A$149:$A$1327,"ener",$C$149:$C$1327,$C1340,$B$149:$B$1327,"&lt;&gt;all")</f>
        <v/>
      </c>
      <c r="T1340" s="41">
        <f>SUMIFS(T$149:T$1327,$A$149:$A$1327,"ener",$C$149:$C$1327,$C1340,$B$149:$B$1327,"&lt;&gt;all")</f>
        <v/>
      </c>
      <c r="U1340" s="41">
        <f>SUMIFS(U$149:U$1327,$A$149:$A$1327,"ener",$C$149:$C$1327,$C1340,$B$149:$B$1327,"&lt;&gt;all")</f>
        <v/>
      </c>
      <c r="V1340" s="41">
        <f>SUMIFS(V$149:V$1327,$A$149:$A$1327,"ener",$C$149:$C$1327,$C1340,$B$149:$B$1327,"&lt;&gt;all")</f>
        <v/>
      </c>
      <c r="W1340" s="41">
        <f>SUMIFS(W$149:W$1327,$A$149:$A$1327,"ener",$C$149:$C$1327,$C1340,$B$149:$B$1327,"&lt;&gt;all")</f>
        <v/>
      </c>
      <c r="X1340" s="41">
        <f>SUMIFS(X$149:X$1327,$A$149:$A$1327,"ener",$C$149:$C$1327,$C1340,$B$149:$B$1327,"&lt;&gt;all")</f>
        <v/>
      </c>
      <c r="Y1340" s="41">
        <f>SUMIFS(Y$149:Y$1327,$A$149:$A$1327,"ener",$C$149:$C$1327,$C1340,$B$149:$B$1327,"&lt;&gt;all")</f>
        <v/>
      </c>
      <c r="Z1340" s="23">
        <f>LOWER(Settings!$C$4)&amp;".mit."&amp;$A1340&amp;IF($C1340="","","."&amp;$C1340&amp;"."&amp;$B1340)&amp;IF(INDEX(Variables!$D$5:$D$65,MATCH($A1340,Variables!$A$5:$A$65,0))="","","."&amp;INDEX(Variables!$D$5:$D$65,MATCH($A1340,Variables!$A$5:$A$65,0)))&amp;"."&amp;Z$5</f>
        <v/>
      </c>
      <c r="AA1340" s="40">
        <f>SUMIFS(AA$149:AA$1327,$A$149:$A$1327,"ener",$C$149:$C$1327,$C1340,$B$149:$B$1327,"&lt;&gt;all")</f>
        <v/>
      </c>
      <c r="AB1340" s="41">
        <f>SUMIFS(AB$149:AB$1327,$A$149:$A$1327,"ener",$C$149:$C$1327,$C1340,$B$149:$B$1327,"&lt;&gt;all")</f>
        <v/>
      </c>
      <c r="AC1340" s="41">
        <f>SUMIFS(AC$149:AC$1327,$A$149:$A$1327,"ener",$C$149:$C$1327,$C1340,$B$149:$B$1327,"&lt;&gt;all")</f>
        <v/>
      </c>
      <c r="AD1340" s="41">
        <f>SUMIFS(AD$149:AD$1327,$A$149:$A$1327,"ener",$C$149:$C$1327,$C1340,$B$149:$B$1327,"&lt;&gt;all")</f>
        <v/>
      </c>
      <c r="AE1340" s="41">
        <f>SUMIFS(AE$149:AE$1327,$A$149:$A$1327,"ener",$C$149:$C$1327,$C1340,$B$149:$B$1327,"&lt;&gt;all")</f>
        <v/>
      </c>
      <c r="AF1340" s="41">
        <f>SUMIFS(AF$149:AF$1327,$A$149:$A$1327,"ener",$C$149:$C$1327,$C1340,$B$149:$B$1327,"&lt;&gt;all")</f>
        <v/>
      </c>
      <c r="AG1340" s="41">
        <f>SUMIFS(AG$149:AG$1327,$A$149:$A$1327,"ener",$C$149:$C$1327,$C1340,$B$149:$B$1327,"&lt;&gt;all")</f>
        <v/>
      </c>
      <c r="AH1340" s="41">
        <f>SUMIFS(AH$149:AH$1327,$A$149:$A$1327,"ener",$C$149:$C$1327,$C1340,$B$149:$B$1327,"&lt;&gt;all")</f>
        <v/>
      </c>
      <c r="AI1340" s="41">
        <f>SUMIFS(AI$149:AI$1327,$A$149:$A$1327,"ener",$C$149:$C$1327,$C1340,$B$149:$B$1327,"&lt;&gt;all")</f>
        <v/>
      </c>
      <c r="AJ1340" s="41">
        <f>SUMIFS(AJ$149:AJ$1327,$A$149:$A$1327,"ener",$C$149:$C$1327,$C1340,$B$149:$B$1327,"&lt;&gt;all")</f>
        <v/>
      </c>
      <c r="AK1340" s="41">
        <f>SUMIFS(AK$149:AK$1327,$A$149:$A$1327,"ener",$C$149:$C$1327,$C1340,$B$149:$B$1327,"&lt;&gt;all")</f>
        <v/>
      </c>
      <c r="AL1340" s="41">
        <f>SUMIFS(AL$149:AL$1327,$A$149:$A$1327,"ener",$C$149:$C$1327,$C1340,$B$149:$B$1327,"&lt;&gt;all")</f>
        <v/>
      </c>
      <c r="AM1340" s="41">
        <f>SUMIFS(AM$149:AM$1327,$A$149:$A$1327,"ener",$C$149:$C$1327,$C1340,$B$149:$B$1327,"&lt;&gt;all")</f>
        <v/>
      </c>
      <c r="AN1340" s="41">
        <f>SUMIFS(AN$149:AN$1327,$A$149:$A$1327,"ener",$C$149:$C$1327,$C1340,$B$149:$B$1327,"&lt;&gt;all")</f>
        <v/>
      </c>
    </row>
    <row r="1341" outlineLevel="1">
      <c r="A1341" s="5" t="inlineStr">
        <is>
          <t>ener</t>
        </is>
      </c>
      <c r="B1341" s="5" t="inlineStr">
        <is>
          <t>all</t>
        </is>
      </c>
      <c r="C1341" s="5" t="inlineStr">
        <is>
          <t>nfm</t>
        </is>
      </c>
      <c r="H1341" s="5">
        <f>INDEX(Variables!$B$5:$B$65,MATCH($A1341,Variables!$A$5:$A$65,0))&amp;IF($C1341="",""," | "&amp;INDEX(Mapping!$B$5:$B$25,MATCH($C1341,Mapping!$A$5:$A$25,0))&amp;" | "&amp;INDEX(Mapping!$B$29:$B$38,MATCH($B1341,Mapping!$A$29:$A$38,0)))</f>
        <v/>
      </c>
      <c r="I1341" s="5">
        <f>INDEX(Variables!$C$5:$C$65,MATCH($A1341,Variables!$A$5:$A$65,0))</f>
        <v/>
      </c>
      <c r="J1341" s="5">
        <f>INDEX(Variables!$E$5:$E$65,MATCH($A1341,Variables!$A$5:$A$65,0))</f>
        <v/>
      </c>
      <c r="K1341" s="23">
        <f>LOWER(Settings!$C$4)&amp;".mit."&amp;$A1341&amp;IF($C1341="","","."&amp;$C1341&amp;"."&amp;$B1341)&amp;IF(INDEX(Variables!$D$5:$D$65,MATCH($A1341,Variables!$A$5:$A$65,0))="","","."&amp;INDEX(Variables!$D$5:$D$65,MATCH($A1341,Variables!$A$5:$A$65,0)))&amp;"."&amp;K$5</f>
        <v/>
      </c>
      <c r="L1341" s="40">
        <f>SUMIFS(L$149:L$1327,$A$149:$A$1327,"ener",$C$149:$C$1327,$C1341,$B$149:$B$1327,"&lt;&gt;all")</f>
        <v/>
      </c>
      <c r="M1341" s="41">
        <f>SUMIFS(M$149:M$1327,$A$149:$A$1327,"ener",$C$149:$C$1327,$C1341,$B$149:$B$1327,"&lt;&gt;all")</f>
        <v/>
      </c>
      <c r="N1341" s="41">
        <f>SUMIFS(N$149:N$1327,$A$149:$A$1327,"ener",$C$149:$C$1327,$C1341,$B$149:$B$1327,"&lt;&gt;all")</f>
        <v/>
      </c>
      <c r="O1341" s="41">
        <f>SUMIFS(O$149:O$1327,$A$149:$A$1327,"ener",$C$149:$C$1327,$C1341,$B$149:$B$1327,"&lt;&gt;all")</f>
        <v/>
      </c>
      <c r="P1341" s="41">
        <f>SUMIFS(P$149:P$1327,$A$149:$A$1327,"ener",$C$149:$C$1327,$C1341,$B$149:$B$1327,"&lt;&gt;all")</f>
        <v/>
      </c>
      <c r="Q1341" s="41">
        <f>SUMIFS(Q$149:Q$1327,$A$149:$A$1327,"ener",$C$149:$C$1327,$C1341,$B$149:$B$1327,"&lt;&gt;all")</f>
        <v/>
      </c>
      <c r="R1341" s="41">
        <f>SUMIFS(R$149:R$1327,$A$149:$A$1327,"ener",$C$149:$C$1327,$C1341,$B$149:$B$1327,"&lt;&gt;all")</f>
        <v/>
      </c>
      <c r="S1341" s="41">
        <f>SUMIFS(S$149:S$1327,$A$149:$A$1327,"ener",$C$149:$C$1327,$C1341,$B$149:$B$1327,"&lt;&gt;all")</f>
        <v/>
      </c>
      <c r="T1341" s="41">
        <f>SUMIFS(T$149:T$1327,$A$149:$A$1327,"ener",$C$149:$C$1327,$C1341,$B$149:$B$1327,"&lt;&gt;all")</f>
        <v/>
      </c>
      <c r="U1341" s="41">
        <f>SUMIFS(U$149:U$1327,$A$149:$A$1327,"ener",$C$149:$C$1327,$C1341,$B$149:$B$1327,"&lt;&gt;all")</f>
        <v/>
      </c>
      <c r="V1341" s="41">
        <f>SUMIFS(V$149:V$1327,$A$149:$A$1327,"ener",$C$149:$C$1327,$C1341,$B$149:$B$1327,"&lt;&gt;all")</f>
        <v/>
      </c>
      <c r="W1341" s="41">
        <f>SUMIFS(W$149:W$1327,$A$149:$A$1327,"ener",$C$149:$C$1327,$C1341,$B$149:$B$1327,"&lt;&gt;all")</f>
        <v/>
      </c>
      <c r="X1341" s="41">
        <f>SUMIFS(X$149:X$1327,$A$149:$A$1327,"ener",$C$149:$C$1327,$C1341,$B$149:$B$1327,"&lt;&gt;all")</f>
        <v/>
      </c>
      <c r="Y1341" s="41">
        <f>SUMIFS(Y$149:Y$1327,$A$149:$A$1327,"ener",$C$149:$C$1327,$C1341,$B$149:$B$1327,"&lt;&gt;all")</f>
        <v/>
      </c>
      <c r="Z1341" s="23">
        <f>LOWER(Settings!$C$4)&amp;".mit."&amp;$A1341&amp;IF($C1341="","","."&amp;$C1341&amp;"."&amp;$B1341)&amp;IF(INDEX(Variables!$D$5:$D$65,MATCH($A1341,Variables!$A$5:$A$65,0))="","","."&amp;INDEX(Variables!$D$5:$D$65,MATCH($A1341,Variables!$A$5:$A$65,0)))&amp;"."&amp;Z$5</f>
        <v/>
      </c>
      <c r="AA1341" s="40">
        <f>SUMIFS(AA$149:AA$1327,$A$149:$A$1327,"ener",$C$149:$C$1327,$C1341,$B$149:$B$1327,"&lt;&gt;all")</f>
        <v/>
      </c>
      <c r="AB1341" s="41">
        <f>SUMIFS(AB$149:AB$1327,$A$149:$A$1327,"ener",$C$149:$C$1327,$C1341,$B$149:$B$1327,"&lt;&gt;all")</f>
        <v/>
      </c>
      <c r="AC1341" s="41">
        <f>SUMIFS(AC$149:AC$1327,$A$149:$A$1327,"ener",$C$149:$C$1327,$C1341,$B$149:$B$1327,"&lt;&gt;all")</f>
        <v/>
      </c>
      <c r="AD1341" s="41">
        <f>SUMIFS(AD$149:AD$1327,$A$149:$A$1327,"ener",$C$149:$C$1327,$C1341,$B$149:$B$1327,"&lt;&gt;all")</f>
        <v/>
      </c>
      <c r="AE1341" s="41">
        <f>SUMIFS(AE$149:AE$1327,$A$149:$A$1327,"ener",$C$149:$C$1327,$C1341,$B$149:$B$1327,"&lt;&gt;all")</f>
        <v/>
      </c>
      <c r="AF1341" s="41">
        <f>SUMIFS(AF$149:AF$1327,$A$149:$A$1327,"ener",$C$149:$C$1327,$C1341,$B$149:$B$1327,"&lt;&gt;all")</f>
        <v/>
      </c>
      <c r="AG1341" s="41">
        <f>SUMIFS(AG$149:AG$1327,$A$149:$A$1327,"ener",$C$149:$C$1327,$C1341,$B$149:$B$1327,"&lt;&gt;all")</f>
        <v/>
      </c>
      <c r="AH1341" s="41">
        <f>SUMIFS(AH$149:AH$1327,$A$149:$A$1327,"ener",$C$149:$C$1327,$C1341,$B$149:$B$1327,"&lt;&gt;all")</f>
        <v/>
      </c>
      <c r="AI1341" s="41">
        <f>SUMIFS(AI$149:AI$1327,$A$149:$A$1327,"ener",$C$149:$C$1327,$C1341,$B$149:$B$1327,"&lt;&gt;all")</f>
        <v/>
      </c>
      <c r="AJ1341" s="41">
        <f>SUMIFS(AJ$149:AJ$1327,$A$149:$A$1327,"ener",$C$149:$C$1327,$C1341,$B$149:$B$1327,"&lt;&gt;all")</f>
        <v/>
      </c>
      <c r="AK1341" s="41">
        <f>SUMIFS(AK$149:AK$1327,$A$149:$A$1327,"ener",$C$149:$C$1327,$C1341,$B$149:$B$1327,"&lt;&gt;all")</f>
        <v/>
      </c>
      <c r="AL1341" s="41">
        <f>SUMIFS(AL$149:AL$1327,$A$149:$A$1327,"ener",$C$149:$C$1327,$C1341,$B$149:$B$1327,"&lt;&gt;all")</f>
        <v/>
      </c>
      <c r="AM1341" s="41">
        <f>SUMIFS(AM$149:AM$1327,$A$149:$A$1327,"ener",$C$149:$C$1327,$C1341,$B$149:$B$1327,"&lt;&gt;all")</f>
        <v/>
      </c>
      <c r="AN1341" s="41">
        <f>SUMIFS(AN$149:AN$1327,$A$149:$A$1327,"ener",$C$149:$C$1327,$C1341,$B$149:$B$1327,"&lt;&gt;all")</f>
        <v/>
      </c>
    </row>
    <row r="1342" outlineLevel="1">
      <c r="A1342" s="5" t="inlineStr">
        <is>
          <t>ener</t>
        </is>
      </c>
      <c r="B1342" s="5" t="inlineStr">
        <is>
          <t>all</t>
        </is>
      </c>
      <c r="C1342" s="5" t="inlineStr">
        <is>
          <t>mac</t>
        </is>
      </c>
      <c r="H1342" s="5">
        <f>INDEX(Variables!$B$5:$B$65,MATCH($A1342,Variables!$A$5:$A$65,0))&amp;IF($C1342="",""," | "&amp;INDEX(Mapping!$B$5:$B$25,MATCH($C1342,Mapping!$A$5:$A$25,0))&amp;" | "&amp;INDEX(Mapping!$B$29:$B$38,MATCH($B1342,Mapping!$A$29:$A$38,0)))</f>
        <v/>
      </c>
      <c r="I1342" s="5">
        <f>INDEX(Variables!$C$5:$C$65,MATCH($A1342,Variables!$A$5:$A$65,0))</f>
        <v/>
      </c>
      <c r="J1342" s="5">
        <f>INDEX(Variables!$E$5:$E$65,MATCH($A1342,Variables!$A$5:$A$65,0))</f>
        <v/>
      </c>
      <c r="K1342" s="23">
        <f>LOWER(Settings!$C$4)&amp;".mit."&amp;$A1342&amp;IF($C1342="","","."&amp;$C1342&amp;"."&amp;$B1342)&amp;IF(INDEX(Variables!$D$5:$D$65,MATCH($A1342,Variables!$A$5:$A$65,0))="","","."&amp;INDEX(Variables!$D$5:$D$65,MATCH($A1342,Variables!$A$5:$A$65,0)))&amp;"."&amp;K$5</f>
        <v/>
      </c>
      <c r="L1342" s="40">
        <f>SUMIFS(L$149:L$1327,$A$149:$A$1327,"ener",$C$149:$C$1327,$C1342,$B$149:$B$1327,"&lt;&gt;all")</f>
        <v/>
      </c>
      <c r="M1342" s="41">
        <f>SUMIFS(M$149:M$1327,$A$149:$A$1327,"ener",$C$149:$C$1327,$C1342,$B$149:$B$1327,"&lt;&gt;all")</f>
        <v/>
      </c>
      <c r="N1342" s="41">
        <f>SUMIFS(N$149:N$1327,$A$149:$A$1327,"ener",$C$149:$C$1327,$C1342,$B$149:$B$1327,"&lt;&gt;all")</f>
        <v/>
      </c>
      <c r="O1342" s="41">
        <f>SUMIFS(O$149:O$1327,$A$149:$A$1327,"ener",$C$149:$C$1327,$C1342,$B$149:$B$1327,"&lt;&gt;all")</f>
        <v/>
      </c>
      <c r="P1342" s="41">
        <f>SUMIFS(P$149:P$1327,$A$149:$A$1327,"ener",$C$149:$C$1327,$C1342,$B$149:$B$1327,"&lt;&gt;all")</f>
        <v/>
      </c>
      <c r="Q1342" s="41">
        <f>SUMIFS(Q$149:Q$1327,$A$149:$A$1327,"ener",$C$149:$C$1327,$C1342,$B$149:$B$1327,"&lt;&gt;all")</f>
        <v/>
      </c>
      <c r="R1342" s="41">
        <f>SUMIFS(R$149:R$1327,$A$149:$A$1327,"ener",$C$149:$C$1327,$C1342,$B$149:$B$1327,"&lt;&gt;all")</f>
        <v/>
      </c>
      <c r="S1342" s="41">
        <f>SUMIFS(S$149:S$1327,$A$149:$A$1327,"ener",$C$149:$C$1327,$C1342,$B$149:$B$1327,"&lt;&gt;all")</f>
        <v/>
      </c>
      <c r="T1342" s="41">
        <f>SUMIFS(T$149:T$1327,$A$149:$A$1327,"ener",$C$149:$C$1327,$C1342,$B$149:$B$1327,"&lt;&gt;all")</f>
        <v/>
      </c>
      <c r="U1342" s="41">
        <f>SUMIFS(U$149:U$1327,$A$149:$A$1327,"ener",$C$149:$C$1327,$C1342,$B$149:$B$1327,"&lt;&gt;all")</f>
        <v/>
      </c>
      <c r="V1342" s="41">
        <f>SUMIFS(V$149:V$1327,$A$149:$A$1327,"ener",$C$149:$C$1327,$C1342,$B$149:$B$1327,"&lt;&gt;all")</f>
        <v/>
      </c>
      <c r="W1342" s="41">
        <f>SUMIFS(W$149:W$1327,$A$149:$A$1327,"ener",$C$149:$C$1327,$C1342,$B$149:$B$1327,"&lt;&gt;all")</f>
        <v/>
      </c>
      <c r="X1342" s="41">
        <f>SUMIFS(X$149:X$1327,$A$149:$A$1327,"ener",$C$149:$C$1327,$C1342,$B$149:$B$1327,"&lt;&gt;all")</f>
        <v/>
      </c>
      <c r="Y1342" s="41">
        <f>SUMIFS(Y$149:Y$1327,$A$149:$A$1327,"ener",$C$149:$C$1327,$C1342,$B$149:$B$1327,"&lt;&gt;all")</f>
        <v/>
      </c>
      <c r="Z1342" s="23">
        <f>LOWER(Settings!$C$4)&amp;".mit."&amp;$A1342&amp;IF($C1342="","","."&amp;$C1342&amp;"."&amp;$B1342)&amp;IF(INDEX(Variables!$D$5:$D$65,MATCH($A1342,Variables!$A$5:$A$65,0))="","","."&amp;INDEX(Variables!$D$5:$D$65,MATCH($A1342,Variables!$A$5:$A$65,0)))&amp;"."&amp;Z$5</f>
        <v/>
      </c>
      <c r="AA1342" s="40">
        <f>SUMIFS(AA$149:AA$1327,$A$149:$A$1327,"ener",$C$149:$C$1327,$C1342,$B$149:$B$1327,"&lt;&gt;all")</f>
        <v/>
      </c>
      <c r="AB1342" s="41">
        <f>SUMIFS(AB$149:AB$1327,$A$149:$A$1327,"ener",$C$149:$C$1327,$C1342,$B$149:$B$1327,"&lt;&gt;all")</f>
        <v/>
      </c>
      <c r="AC1342" s="41">
        <f>SUMIFS(AC$149:AC$1327,$A$149:$A$1327,"ener",$C$149:$C$1327,$C1342,$B$149:$B$1327,"&lt;&gt;all")</f>
        <v/>
      </c>
      <c r="AD1342" s="41">
        <f>SUMIFS(AD$149:AD$1327,$A$149:$A$1327,"ener",$C$149:$C$1327,$C1342,$B$149:$B$1327,"&lt;&gt;all")</f>
        <v/>
      </c>
      <c r="AE1342" s="41">
        <f>SUMIFS(AE$149:AE$1327,$A$149:$A$1327,"ener",$C$149:$C$1327,$C1342,$B$149:$B$1327,"&lt;&gt;all")</f>
        <v/>
      </c>
      <c r="AF1342" s="41">
        <f>SUMIFS(AF$149:AF$1327,$A$149:$A$1327,"ener",$C$149:$C$1327,$C1342,$B$149:$B$1327,"&lt;&gt;all")</f>
        <v/>
      </c>
      <c r="AG1342" s="41">
        <f>SUMIFS(AG$149:AG$1327,$A$149:$A$1327,"ener",$C$149:$C$1327,$C1342,$B$149:$B$1327,"&lt;&gt;all")</f>
        <v/>
      </c>
      <c r="AH1342" s="41">
        <f>SUMIFS(AH$149:AH$1327,$A$149:$A$1327,"ener",$C$149:$C$1327,$C1342,$B$149:$B$1327,"&lt;&gt;all")</f>
        <v/>
      </c>
      <c r="AI1342" s="41">
        <f>SUMIFS(AI$149:AI$1327,$A$149:$A$1327,"ener",$C$149:$C$1327,$C1342,$B$149:$B$1327,"&lt;&gt;all")</f>
        <v/>
      </c>
      <c r="AJ1342" s="41">
        <f>SUMIFS(AJ$149:AJ$1327,$A$149:$A$1327,"ener",$C$149:$C$1327,$C1342,$B$149:$B$1327,"&lt;&gt;all")</f>
        <v/>
      </c>
      <c r="AK1342" s="41">
        <f>SUMIFS(AK$149:AK$1327,$A$149:$A$1327,"ener",$C$149:$C$1327,$C1342,$B$149:$B$1327,"&lt;&gt;all")</f>
        <v/>
      </c>
      <c r="AL1342" s="41">
        <f>SUMIFS(AL$149:AL$1327,$A$149:$A$1327,"ener",$C$149:$C$1327,$C1342,$B$149:$B$1327,"&lt;&gt;all")</f>
        <v/>
      </c>
      <c r="AM1342" s="41">
        <f>SUMIFS(AM$149:AM$1327,$A$149:$A$1327,"ener",$C$149:$C$1327,$C1342,$B$149:$B$1327,"&lt;&gt;all")</f>
        <v/>
      </c>
      <c r="AN1342" s="41">
        <f>SUMIFS(AN$149:AN$1327,$A$149:$A$1327,"ener",$C$149:$C$1327,$C1342,$B$149:$B$1327,"&lt;&gt;all")</f>
        <v/>
      </c>
    </row>
    <row r="1343" outlineLevel="1">
      <c r="A1343" s="5" t="inlineStr">
        <is>
          <t>ener</t>
        </is>
      </c>
      <c r="B1343" s="5" t="inlineStr">
        <is>
          <t>all</t>
        </is>
      </c>
      <c r="C1343" s="5" t="inlineStr">
        <is>
          <t>cem</t>
        </is>
      </c>
      <c r="H1343" s="5">
        <f>INDEX(Variables!$B$5:$B$65,MATCH($A1343,Variables!$A$5:$A$65,0))&amp;IF($C1343="",""," | "&amp;INDEX(Mapping!$B$5:$B$25,MATCH($C1343,Mapping!$A$5:$A$25,0))&amp;" | "&amp;INDEX(Mapping!$B$29:$B$38,MATCH($B1343,Mapping!$A$29:$A$38,0)))</f>
        <v/>
      </c>
      <c r="I1343" s="5">
        <f>INDEX(Variables!$C$5:$C$65,MATCH($A1343,Variables!$A$5:$A$65,0))</f>
        <v/>
      </c>
      <c r="J1343" s="5">
        <f>INDEX(Variables!$E$5:$E$65,MATCH($A1343,Variables!$A$5:$A$65,0))</f>
        <v/>
      </c>
      <c r="K1343" s="23">
        <f>LOWER(Settings!$C$4)&amp;".mit."&amp;$A1343&amp;IF($C1343="","","."&amp;$C1343&amp;"."&amp;$B1343)&amp;IF(INDEX(Variables!$D$5:$D$65,MATCH($A1343,Variables!$A$5:$A$65,0))="","","."&amp;INDEX(Variables!$D$5:$D$65,MATCH($A1343,Variables!$A$5:$A$65,0)))&amp;"."&amp;K$5</f>
        <v/>
      </c>
      <c r="L1343" s="40">
        <f>SUMIFS(L$149:L$1327,$A$149:$A$1327,"ener",$C$149:$C$1327,$C1343,$B$149:$B$1327,"&lt;&gt;all")</f>
        <v/>
      </c>
      <c r="M1343" s="41">
        <f>SUMIFS(M$149:M$1327,$A$149:$A$1327,"ener",$C$149:$C$1327,$C1343,$B$149:$B$1327,"&lt;&gt;all")</f>
        <v/>
      </c>
      <c r="N1343" s="41">
        <f>SUMIFS(N$149:N$1327,$A$149:$A$1327,"ener",$C$149:$C$1327,$C1343,$B$149:$B$1327,"&lt;&gt;all")</f>
        <v/>
      </c>
      <c r="O1343" s="41">
        <f>SUMIFS(O$149:O$1327,$A$149:$A$1327,"ener",$C$149:$C$1327,$C1343,$B$149:$B$1327,"&lt;&gt;all")</f>
        <v/>
      </c>
      <c r="P1343" s="41">
        <f>SUMIFS(P$149:P$1327,$A$149:$A$1327,"ener",$C$149:$C$1327,$C1343,$B$149:$B$1327,"&lt;&gt;all")</f>
        <v/>
      </c>
      <c r="Q1343" s="41">
        <f>SUMIFS(Q$149:Q$1327,$A$149:$A$1327,"ener",$C$149:$C$1327,$C1343,$B$149:$B$1327,"&lt;&gt;all")</f>
        <v/>
      </c>
      <c r="R1343" s="41">
        <f>SUMIFS(R$149:R$1327,$A$149:$A$1327,"ener",$C$149:$C$1327,$C1343,$B$149:$B$1327,"&lt;&gt;all")</f>
        <v/>
      </c>
      <c r="S1343" s="41">
        <f>SUMIFS(S$149:S$1327,$A$149:$A$1327,"ener",$C$149:$C$1327,$C1343,$B$149:$B$1327,"&lt;&gt;all")</f>
        <v/>
      </c>
      <c r="T1343" s="41">
        <f>SUMIFS(T$149:T$1327,$A$149:$A$1327,"ener",$C$149:$C$1327,$C1343,$B$149:$B$1327,"&lt;&gt;all")</f>
        <v/>
      </c>
      <c r="U1343" s="41">
        <f>SUMIFS(U$149:U$1327,$A$149:$A$1327,"ener",$C$149:$C$1327,$C1343,$B$149:$B$1327,"&lt;&gt;all")</f>
        <v/>
      </c>
      <c r="V1343" s="41">
        <f>SUMIFS(V$149:V$1327,$A$149:$A$1327,"ener",$C$149:$C$1327,$C1343,$B$149:$B$1327,"&lt;&gt;all")</f>
        <v/>
      </c>
      <c r="W1343" s="41">
        <f>SUMIFS(W$149:W$1327,$A$149:$A$1327,"ener",$C$149:$C$1327,$C1343,$B$149:$B$1327,"&lt;&gt;all")</f>
        <v/>
      </c>
      <c r="X1343" s="41">
        <f>SUMIFS(X$149:X$1327,$A$149:$A$1327,"ener",$C$149:$C$1327,$C1343,$B$149:$B$1327,"&lt;&gt;all")</f>
        <v/>
      </c>
      <c r="Y1343" s="41">
        <f>SUMIFS(Y$149:Y$1327,$A$149:$A$1327,"ener",$C$149:$C$1327,$C1343,$B$149:$B$1327,"&lt;&gt;all")</f>
        <v/>
      </c>
      <c r="Z1343" s="23">
        <f>LOWER(Settings!$C$4)&amp;".mit."&amp;$A1343&amp;IF($C1343="","","."&amp;$C1343&amp;"."&amp;$B1343)&amp;IF(INDEX(Variables!$D$5:$D$65,MATCH($A1343,Variables!$A$5:$A$65,0))="","","."&amp;INDEX(Variables!$D$5:$D$65,MATCH($A1343,Variables!$A$5:$A$65,0)))&amp;"."&amp;Z$5</f>
        <v/>
      </c>
      <c r="AA1343" s="40">
        <f>SUMIFS(AA$149:AA$1327,$A$149:$A$1327,"ener",$C$149:$C$1327,$C1343,$B$149:$B$1327,"&lt;&gt;all")</f>
        <v/>
      </c>
      <c r="AB1343" s="41">
        <f>SUMIFS(AB$149:AB$1327,$A$149:$A$1327,"ener",$C$149:$C$1327,$C1343,$B$149:$B$1327,"&lt;&gt;all")</f>
        <v/>
      </c>
      <c r="AC1343" s="41">
        <f>SUMIFS(AC$149:AC$1327,$A$149:$A$1327,"ener",$C$149:$C$1327,$C1343,$B$149:$B$1327,"&lt;&gt;all")</f>
        <v/>
      </c>
      <c r="AD1343" s="41">
        <f>SUMIFS(AD$149:AD$1327,$A$149:$A$1327,"ener",$C$149:$C$1327,$C1343,$B$149:$B$1327,"&lt;&gt;all")</f>
        <v/>
      </c>
      <c r="AE1343" s="41">
        <f>SUMIFS(AE$149:AE$1327,$A$149:$A$1327,"ener",$C$149:$C$1327,$C1343,$B$149:$B$1327,"&lt;&gt;all")</f>
        <v/>
      </c>
      <c r="AF1343" s="41">
        <f>SUMIFS(AF$149:AF$1327,$A$149:$A$1327,"ener",$C$149:$C$1327,$C1343,$B$149:$B$1327,"&lt;&gt;all")</f>
        <v/>
      </c>
      <c r="AG1343" s="41">
        <f>SUMIFS(AG$149:AG$1327,$A$149:$A$1327,"ener",$C$149:$C$1327,$C1343,$B$149:$B$1327,"&lt;&gt;all")</f>
        <v/>
      </c>
      <c r="AH1343" s="41">
        <f>SUMIFS(AH$149:AH$1327,$A$149:$A$1327,"ener",$C$149:$C$1327,$C1343,$B$149:$B$1327,"&lt;&gt;all")</f>
        <v/>
      </c>
      <c r="AI1343" s="41">
        <f>SUMIFS(AI$149:AI$1327,$A$149:$A$1327,"ener",$C$149:$C$1327,$C1343,$B$149:$B$1327,"&lt;&gt;all")</f>
        <v/>
      </c>
      <c r="AJ1343" s="41">
        <f>SUMIFS(AJ$149:AJ$1327,$A$149:$A$1327,"ener",$C$149:$C$1327,$C1343,$B$149:$B$1327,"&lt;&gt;all")</f>
        <v/>
      </c>
      <c r="AK1343" s="41">
        <f>SUMIFS(AK$149:AK$1327,$A$149:$A$1327,"ener",$C$149:$C$1327,$C1343,$B$149:$B$1327,"&lt;&gt;all")</f>
        <v/>
      </c>
      <c r="AL1343" s="41">
        <f>SUMIFS(AL$149:AL$1327,$A$149:$A$1327,"ener",$C$149:$C$1327,$C1343,$B$149:$B$1327,"&lt;&gt;all")</f>
        <v/>
      </c>
      <c r="AM1343" s="41">
        <f>SUMIFS(AM$149:AM$1327,$A$149:$A$1327,"ener",$C$149:$C$1327,$C1343,$B$149:$B$1327,"&lt;&gt;all")</f>
        <v/>
      </c>
      <c r="AN1343" s="41">
        <f>SUMIFS(AN$149:AN$1327,$A$149:$A$1327,"ener",$C$149:$C$1327,$C1343,$B$149:$B$1327,"&lt;&gt;all")</f>
        <v/>
      </c>
    </row>
    <row r="1344" outlineLevel="1">
      <c r="A1344" s="5" t="inlineStr">
        <is>
          <t>ener</t>
        </is>
      </c>
      <c r="B1344" s="5" t="inlineStr">
        <is>
          <t>all</t>
        </is>
      </c>
      <c r="C1344" s="5" t="inlineStr">
        <is>
          <t>omn</t>
        </is>
      </c>
      <c r="H1344" s="5">
        <f>INDEX(Variables!$B$5:$B$65,MATCH($A1344,Variables!$A$5:$A$65,0))&amp;IF($C1344="",""," | "&amp;INDEX(Mapping!$B$5:$B$25,MATCH($C1344,Mapping!$A$5:$A$25,0))&amp;" | "&amp;INDEX(Mapping!$B$29:$B$38,MATCH($B1344,Mapping!$A$29:$A$38,0)))</f>
        <v/>
      </c>
      <c r="I1344" s="5">
        <f>INDEX(Variables!$C$5:$C$65,MATCH($A1344,Variables!$A$5:$A$65,0))</f>
        <v/>
      </c>
      <c r="J1344" s="5">
        <f>INDEX(Variables!$E$5:$E$65,MATCH($A1344,Variables!$A$5:$A$65,0))</f>
        <v/>
      </c>
      <c r="K1344" s="23">
        <f>LOWER(Settings!$C$4)&amp;".mit."&amp;$A1344&amp;IF($C1344="","","."&amp;$C1344&amp;"."&amp;$B1344)&amp;IF(INDEX(Variables!$D$5:$D$65,MATCH($A1344,Variables!$A$5:$A$65,0))="","","."&amp;INDEX(Variables!$D$5:$D$65,MATCH($A1344,Variables!$A$5:$A$65,0)))&amp;"."&amp;K$5</f>
        <v/>
      </c>
      <c r="L1344" s="40">
        <f>SUMIFS(L$149:L$1327,$A$149:$A$1327,"ener",$C$149:$C$1327,$C1344,$B$149:$B$1327,"&lt;&gt;all")</f>
        <v/>
      </c>
      <c r="M1344" s="41">
        <f>SUMIFS(M$149:M$1327,$A$149:$A$1327,"ener",$C$149:$C$1327,$C1344,$B$149:$B$1327,"&lt;&gt;all")</f>
        <v/>
      </c>
      <c r="N1344" s="41">
        <f>SUMIFS(N$149:N$1327,$A$149:$A$1327,"ener",$C$149:$C$1327,$C1344,$B$149:$B$1327,"&lt;&gt;all")</f>
        <v/>
      </c>
      <c r="O1344" s="41">
        <f>SUMIFS(O$149:O$1327,$A$149:$A$1327,"ener",$C$149:$C$1327,$C1344,$B$149:$B$1327,"&lt;&gt;all")</f>
        <v/>
      </c>
      <c r="P1344" s="41">
        <f>SUMIFS(P$149:P$1327,$A$149:$A$1327,"ener",$C$149:$C$1327,$C1344,$B$149:$B$1327,"&lt;&gt;all")</f>
        <v/>
      </c>
      <c r="Q1344" s="41">
        <f>SUMIFS(Q$149:Q$1327,$A$149:$A$1327,"ener",$C$149:$C$1327,$C1344,$B$149:$B$1327,"&lt;&gt;all")</f>
        <v/>
      </c>
      <c r="R1344" s="41">
        <f>SUMIFS(R$149:R$1327,$A$149:$A$1327,"ener",$C$149:$C$1327,$C1344,$B$149:$B$1327,"&lt;&gt;all")</f>
        <v/>
      </c>
      <c r="S1344" s="41">
        <f>SUMIFS(S$149:S$1327,$A$149:$A$1327,"ener",$C$149:$C$1327,$C1344,$B$149:$B$1327,"&lt;&gt;all")</f>
        <v/>
      </c>
      <c r="T1344" s="41">
        <f>SUMIFS(T$149:T$1327,$A$149:$A$1327,"ener",$C$149:$C$1327,$C1344,$B$149:$B$1327,"&lt;&gt;all")</f>
        <v/>
      </c>
      <c r="U1344" s="41">
        <f>SUMIFS(U$149:U$1327,$A$149:$A$1327,"ener",$C$149:$C$1327,$C1344,$B$149:$B$1327,"&lt;&gt;all")</f>
        <v/>
      </c>
      <c r="V1344" s="41">
        <f>SUMIFS(V$149:V$1327,$A$149:$A$1327,"ener",$C$149:$C$1327,$C1344,$B$149:$B$1327,"&lt;&gt;all")</f>
        <v/>
      </c>
      <c r="W1344" s="41">
        <f>SUMIFS(W$149:W$1327,$A$149:$A$1327,"ener",$C$149:$C$1327,$C1344,$B$149:$B$1327,"&lt;&gt;all")</f>
        <v/>
      </c>
      <c r="X1344" s="41">
        <f>SUMIFS(X$149:X$1327,$A$149:$A$1327,"ener",$C$149:$C$1327,$C1344,$B$149:$B$1327,"&lt;&gt;all")</f>
        <v/>
      </c>
      <c r="Y1344" s="41">
        <f>SUMIFS(Y$149:Y$1327,$A$149:$A$1327,"ener",$C$149:$C$1327,$C1344,$B$149:$B$1327,"&lt;&gt;all")</f>
        <v/>
      </c>
      <c r="Z1344" s="23">
        <f>LOWER(Settings!$C$4)&amp;".mit."&amp;$A1344&amp;IF($C1344="","","."&amp;$C1344&amp;"."&amp;$B1344)&amp;IF(INDEX(Variables!$D$5:$D$65,MATCH($A1344,Variables!$A$5:$A$65,0))="","","."&amp;INDEX(Variables!$D$5:$D$65,MATCH($A1344,Variables!$A$5:$A$65,0)))&amp;"."&amp;Z$5</f>
        <v/>
      </c>
      <c r="AA1344" s="40">
        <f>SUMIFS(AA$149:AA$1327,$A$149:$A$1327,"ener",$C$149:$C$1327,$C1344,$B$149:$B$1327,"&lt;&gt;all")</f>
        <v/>
      </c>
      <c r="AB1344" s="41">
        <f>SUMIFS(AB$149:AB$1327,$A$149:$A$1327,"ener",$C$149:$C$1327,$C1344,$B$149:$B$1327,"&lt;&gt;all")</f>
        <v/>
      </c>
      <c r="AC1344" s="41">
        <f>SUMIFS(AC$149:AC$1327,$A$149:$A$1327,"ener",$C$149:$C$1327,$C1344,$B$149:$B$1327,"&lt;&gt;all")</f>
        <v/>
      </c>
      <c r="AD1344" s="41">
        <f>SUMIFS(AD$149:AD$1327,$A$149:$A$1327,"ener",$C$149:$C$1327,$C1344,$B$149:$B$1327,"&lt;&gt;all")</f>
        <v/>
      </c>
      <c r="AE1344" s="41">
        <f>SUMIFS(AE$149:AE$1327,$A$149:$A$1327,"ener",$C$149:$C$1327,$C1344,$B$149:$B$1327,"&lt;&gt;all")</f>
        <v/>
      </c>
      <c r="AF1344" s="41">
        <f>SUMIFS(AF$149:AF$1327,$A$149:$A$1327,"ener",$C$149:$C$1327,$C1344,$B$149:$B$1327,"&lt;&gt;all")</f>
        <v/>
      </c>
      <c r="AG1344" s="41">
        <f>SUMIFS(AG$149:AG$1327,$A$149:$A$1327,"ener",$C$149:$C$1327,$C1344,$B$149:$B$1327,"&lt;&gt;all")</f>
        <v/>
      </c>
      <c r="AH1344" s="41">
        <f>SUMIFS(AH$149:AH$1327,$A$149:$A$1327,"ener",$C$149:$C$1327,$C1344,$B$149:$B$1327,"&lt;&gt;all")</f>
        <v/>
      </c>
      <c r="AI1344" s="41">
        <f>SUMIFS(AI$149:AI$1327,$A$149:$A$1327,"ener",$C$149:$C$1327,$C1344,$B$149:$B$1327,"&lt;&gt;all")</f>
        <v/>
      </c>
      <c r="AJ1344" s="41">
        <f>SUMIFS(AJ$149:AJ$1327,$A$149:$A$1327,"ener",$C$149:$C$1327,$C1344,$B$149:$B$1327,"&lt;&gt;all")</f>
        <v/>
      </c>
      <c r="AK1344" s="41">
        <f>SUMIFS(AK$149:AK$1327,$A$149:$A$1327,"ener",$C$149:$C$1327,$C1344,$B$149:$B$1327,"&lt;&gt;all")</f>
        <v/>
      </c>
      <c r="AL1344" s="41">
        <f>SUMIFS(AL$149:AL$1327,$A$149:$A$1327,"ener",$C$149:$C$1327,$C1344,$B$149:$B$1327,"&lt;&gt;all")</f>
        <v/>
      </c>
      <c r="AM1344" s="41">
        <f>SUMIFS(AM$149:AM$1327,$A$149:$A$1327,"ener",$C$149:$C$1327,$C1344,$B$149:$B$1327,"&lt;&gt;all")</f>
        <v/>
      </c>
      <c r="AN1344" s="41">
        <f>SUMIFS(AN$149:AN$1327,$A$149:$A$1327,"ener",$C$149:$C$1327,$C1344,$B$149:$B$1327,"&lt;&gt;all")</f>
        <v/>
      </c>
    </row>
    <row r="1345" outlineLevel="1">
      <c r="A1345" s="5" t="inlineStr">
        <is>
          <t>ener</t>
        </is>
      </c>
      <c r="B1345" s="5" t="inlineStr">
        <is>
          <t>all</t>
        </is>
      </c>
      <c r="C1345" s="5" t="inlineStr">
        <is>
          <t>cst</t>
        </is>
      </c>
      <c r="H1345" s="5">
        <f>INDEX(Variables!$B$5:$B$65,MATCH($A1345,Variables!$A$5:$A$65,0))&amp;IF($C1345="",""," | "&amp;INDEX(Mapping!$B$5:$B$25,MATCH($C1345,Mapping!$A$5:$A$25,0))&amp;" | "&amp;INDEX(Mapping!$B$29:$B$38,MATCH($B1345,Mapping!$A$29:$A$38,0)))</f>
        <v/>
      </c>
      <c r="I1345" s="5">
        <f>INDEX(Variables!$C$5:$C$65,MATCH($A1345,Variables!$A$5:$A$65,0))</f>
        <v/>
      </c>
      <c r="J1345" s="5">
        <f>INDEX(Variables!$E$5:$E$65,MATCH($A1345,Variables!$A$5:$A$65,0))</f>
        <v/>
      </c>
      <c r="K1345" s="23">
        <f>LOWER(Settings!$C$4)&amp;".mit."&amp;$A1345&amp;IF($C1345="","","."&amp;$C1345&amp;"."&amp;$B1345)&amp;IF(INDEX(Variables!$D$5:$D$65,MATCH($A1345,Variables!$A$5:$A$65,0))="","","."&amp;INDEX(Variables!$D$5:$D$65,MATCH($A1345,Variables!$A$5:$A$65,0)))&amp;"."&amp;K$5</f>
        <v/>
      </c>
      <c r="L1345" s="40">
        <f>SUMIFS(L$149:L$1327,$A$149:$A$1327,"ener",$C$149:$C$1327,$C1345,$B$149:$B$1327,"&lt;&gt;all")</f>
        <v/>
      </c>
      <c r="M1345" s="41">
        <f>SUMIFS(M$149:M$1327,$A$149:$A$1327,"ener",$C$149:$C$1327,$C1345,$B$149:$B$1327,"&lt;&gt;all")</f>
        <v/>
      </c>
      <c r="N1345" s="41">
        <f>SUMIFS(N$149:N$1327,$A$149:$A$1327,"ener",$C$149:$C$1327,$C1345,$B$149:$B$1327,"&lt;&gt;all")</f>
        <v/>
      </c>
      <c r="O1345" s="41">
        <f>SUMIFS(O$149:O$1327,$A$149:$A$1327,"ener",$C$149:$C$1327,$C1345,$B$149:$B$1327,"&lt;&gt;all")</f>
        <v/>
      </c>
      <c r="P1345" s="41">
        <f>SUMIFS(P$149:P$1327,$A$149:$A$1327,"ener",$C$149:$C$1327,$C1345,$B$149:$B$1327,"&lt;&gt;all")</f>
        <v/>
      </c>
      <c r="Q1345" s="41">
        <f>SUMIFS(Q$149:Q$1327,$A$149:$A$1327,"ener",$C$149:$C$1327,$C1345,$B$149:$B$1327,"&lt;&gt;all")</f>
        <v/>
      </c>
      <c r="R1345" s="41">
        <f>SUMIFS(R$149:R$1327,$A$149:$A$1327,"ener",$C$149:$C$1327,$C1345,$B$149:$B$1327,"&lt;&gt;all")</f>
        <v/>
      </c>
      <c r="S1345" s="41">
        <f>SUMIFS(S$149:S$1327,$A$149:$A$1327,"ener",$C$149:$C$1327,$C1345,$B$149:$B$1327,"&lt;&gt;all")</f>
        <v/>
      </c>
      <c r="T1345" s="41">
        <f>SUMIFS(T$149:T$1327,$A$149:$A$1327,"ener",$C$149:$C$1327,$C1345,$B$149:$B$1327,"&lt;&gt;all")</f>
        <v/>
      </c>
      <c r="U1345" s="41">
        <f>SUMIFS(U$149:U$1327,$A$149:$A$1327,"ener",$C$149:$C$1327,$C1345,$B$149:$B$1327,"&lt;&gt;all")</f>
        <v/>
      </c>
      <c r="V1345" s="41">
        <f>SUMIFS(V$149:V$1327,$A$149:$A$1327,"ener",$C$149:$C$1327,$C1345,$B$149:$B$1327,"&lt;&gt;all")</f>
        <v/>
      </c>
      <c r="W1345" s="41">
        <f>SUMIFS(W$149:W$1327,$A$149:$A$1327,"ener",$C$149:$C$1327,$C1345,$B$149:$B$1327,"&lt;&gt;all")</f>
        <v/>
      </c>
      <c r="X1345" s="41">
        <f>SUMIFS(X$149:X$1327,$A$149:$A$1327,"ener",$C$149:$C$1327,$C1345,$B$149:$B$1327,"&lt;&gt;all")</f>
        <v/>
      </c>
      <c r="Y1345" s="41">
        <f>SUMIFS(Y$149:Y$1327,$A$149:$A$1327,"ener",$C$149:$C$1327,$C1345,$B$149:$B$1327,"&lt;&gt;all")</f>
        <v/>
      </c>
      <c r="Z1345" s="23">
        <f>LOWER(Settings!$C$4)&amp;".mit."&amp;$A1345&amp;IF($C1345="","","."&amp;$C1345&amp;"."&amp;$B1345)&amp;IF(INDEX(Variables!$D$5:$D$65,MATCH($A1345,Variables!$A$5:$A$65,0))="","","."&amp;INDEX(Variables!$D$5:$D$65,MATCH($A1345,Variables!$A$5:$A$65,0)))&amp;"."&amp;Z$5</f>
        <v/>
      </c>
      <c r="AA1345" s="40">
        <f>SUMIFS(AA$149:AA$1327,$A$149:$A$1327,"ener",$C$149:$C$1327,$C1345,$B$149:$B$1327,"&lt;&gt;all")</f>
        <v/>
      </c>
      <c r="AB1345" s="41">
        <f>SUMIFS(AB$149:AB$1327,$A$149:$A$1327,"ener",$C$149:$C$1327,$C1345,$B$149:$B$1327,"&lt;&gt;all")</f>
        <v/>
      </c>
      <c r="AC1345" s="41">
        <f>SUMIFS(AC$149:AC$1327,$A$149:$A$1327,"ener",$C$149:$C$1327,$C1345,$B$149:$B$1327,"&lt;&gt;all")</f>
        <v/>
      </c>
      <c r="AD1345" s="41">
        <f>SUMIFS(AD$149:AD$1327,$A$149:$A$1327,"ener",$C$149:$C$1327,$C1345,$B$149:$B$1327,"&lt;&gt;all")</f>
        <v/>
      </c>
      <c r="AE1345" s="41">
        <f>SUMIFS(AE$149:AE$1327,$A$149:$A$1327,"ener",$C$149:$C$1327,$C1345,$B$149:$B$1327,"&lt;&gt;all")</f>
        <v/>
      </c>
      <c r="AF1345" s="41">
        <f>SUMIFS(AF$149:AF$1327,$A$149:$A$1327,"ener",$C$149:$C$1327,$C1345,$B$149:$B$1327,"&lt;&gt;all")</f>
        <v/>
      </c>
      <c r="AG1345" s="41">
        <f>SUMIFS(AG$149:AG$1327,$A$149:$A$1327,"ener",$C$149:$C$1327,$C1345,$B$149:$B$1327,"&lt;&gt;all")</f>
        <v/>
      </c>
      <c r="AH1345" s="41">
        <f>SUMIFS(AH$149:AH$1327,$A$149:$A$1327,"ener",$C$149:$C$1327,$C1345,$B$149:$B$1327,"&lt;&gt;all")</f>
        <v/>
      </c>
      <c r="AI1345" s="41">
        <f>SUMIFS(AI$149:AI$1327,$A$149:$A$1327,"ener",$C$149:$C$1327,$C1345,$B$149:$B$1327,"&lt;&gt;all")</f>
        <v/>
      </c>
      <c r="AJ1345" s="41">
        <f>SUMIFS(AJ$149:AJ$1327,$A$149:$A$1327,"ener",$C$149:$C$1327,$C1345,$B$149:$B$1327,"&lt;&gt;all")</f>
        <v/>
      </c>
      <c r="AK1345" s="41">
        <f>SUMIFS(AK$149:AK$1327,$A$149:$A$1327,"ener",$C$149:$C$1327,$C1345,$B$149:$B$1327,"&lt;&gt;all")</f>
        <v/>
      </c>
      <c r="AL1345" s="41">
        <f>SUMIFS(AL$149:AL$1327,$A$149:$A$1327,"ener",$C$149:$C$1327,$C1345,$B$149:$B$1327,"&lt;&gt;all")</f>
        <v/>
      </c>
      <c r="AM1345" s="41">
        <f>SUMIFS(AM$149:AM$1327,$A$149:$A$1327,"ener",$C$149:$C$1327,$C1345,$B$149:$B$1327,"&lt;&gt;all")</f>
        <v/>
      </c>
      <c r="AN1345" s="41">
        <f>SUMIFS(AN$149:AN$1327,$A$149:$A$1327,"ener",$C$149:$C$1327,$C1345,$B$149:$B$1327,"&lt;&gt;all")</f>
        <v/>
      </c>
    </row>
    <row r="1346" outlineLevel="1">
      <c r="A1346" s="5" t="inlineStr">
        <is>
          <t>ener</t>
        </is>
      </c>
      <c r="B1346" s="5" t="inlineStr">
        <is>
          <t>all</t>
        </is>
      </c>
      <c r="C1346" s="5" t="inlineStr">
        <is>
          <t>ftr</t>
        </is>
      </c>
      <c r="H1346" s="5">
        <f>INDEX(Variables!$B$5:$B$65,MATCH($A1346,Variables!$A$5:$A$65,0))&amp;IF($C1346="",""," | "&amp;INDEX(Mapping!$B$5:$B$25,MATCH($C1346,Mapping!$A$5:$A$25,0))&amp;" | "&amp;INDEX(Mapping!$B$29:$B$38,MATCH($B1346,Mapping!$A$29:$A$38,0)))</f>
        <v/>
      </c>
      <c r="I1346" s="5">
        <f>INDEX(Variables!$C$5:$C$65,MATCH($A1346,Variables!$A$5:$A$65,0))</f>
        <v/>
      </c>
      <c r="J1346" s="5">
        <f>INDEX(Variables!$E$5:$E$65,MATCH($A1346,Variables!$A$5:$A$65,0))</f>
        <v/>
      </c>
      <c r="K1346" s="23">
        <f>LOWER(Settings!$C$4)&amp;".mit."&amp;$A1346&amp;IF($C1346="","","."&amp;$C1346&amp;"."&amp;$B1346)&amp;IF(INDEX(Variables!$D$5:$D$65,MATCH($A1346,Variables!$A$5:$A$65,0))="","","."&amp;INDEX(Variables!$D$5:$D$65,MATCH($A1346,Variables!$A$5:$A$65,0)))&amp;"."&amp;K$5</f>
        <v/>
      </c>
      <c r="L1346" s="40">
        <f>SUMIFS(L$149:L$1327,$A$149:$A$1327,"ener",$C$149:$C$1327,$C1346,$B$149:$B$1327,"&lt;&gt;all")</f>
        <v/>
      </c>
      <c r="M1346" s="41">
        <f>SUMIFS(M$149:M$1327,$A$149:$A$1327,"ener",$C$149:$C$1327,$C1346,$B$149:$B$1327,"&lt;&gt;all")</f>
        <v/>
      </c>
      <c r="N1346" s="41">
        <f>SUMIFS(N$149:N$1327,$A$149:$A$1327,"ener",$C$149:$C$1327,$C1346,$B$149:$B$1327,"&lt;&gt;all")</f>
        <v/>
      </c>
      <c r="O1346" s="41">
        <f>SUMIFS(O$149:O$1327,$A$149:$A$1327,"ener",$C$149:$C$1327,$C1346,$B$149:$B$1327,"&lt;&gt;all")</f>
        <v/>
      </c>
      <c r="P1346" s="41">
        <f>SUMIFS(P$149:P$1327,$A$149:$A$1327,"ener",$C$149:$C$1327,$C1346,$B$149:$B$1327,"&lt;&gt;all")</f>
        <v/>
      </c>
      <c r="Q1346" s="41">
        <f>SUMIFS(Q$149:Q$1327,$A$149:$A$1327,"ener",$C$149:$C$1327,$C1346,$B$149:$B$1327,"&lt;&gt;all")</f>
        <v/>
      </c>
      <c r="R1346" s="41">
        <f>SUMIFS(R$149:R$1327,$A$149:$A$1327,"ener",$C$149:$C$1327,$C1346,$B$149:$B$1327,"&lt;&gt;all")</f>
        <v/>
      </c>
      <c r="S1346" s="41">
        <f>SUMIFS(S$149:S$1327,$A$149:$A$1327,"ener",$C$149:$C$1327,$C1346,$B$149:$B$1327,"&lt;&gt;all")</f>
        <v/>
      </c>
      <c r="T1346" s="41">
        <f>SUMIFS(T$149:T$1327,$A$149:$A$1327,"ener",$C$149:$C$1327,$C1346,$B$149:$B$1327,"&lt;&gt;all")</f>
        <v/>
      </c>
      <c r="U1346" s="41">
        <f>SUMIFS(U$149:U$1327,$A$149:$A$1327,"ener",$C$149:$C$1327,$C1346,$B$149:$B$1327,"&lt;&gt;all")</f>
        <v/>
      </c>
      <c r="V1346" s="41">
        <f>SUMIFS(V$149:V$1327,$A$149:$A$1327,"ener",$C$149:$C$1327,$C1346,$B$149:$B$1327,"&lt;&gt;all")</f>
        <v/>
      </c>
      <c r="W1346" s="41">
        <f>SUMIFS(W$149:W$1327,$A$149:$A$1327,"ener",$C$149:$C$1327,$C1346,$B$149:$B$1327,"&lt;&gt;all")</f>
        <v/>
      </c>
      <c r="X1346" s="41">
        <f>SUMIFS(X$149:X$1327,$A$149:$A$1327,"ener",$C$149:$C$1327,$C1346,$B$149:$B$1327,"&lt;&gt;all")</f>
        <v/>
      </c>
      <c r="Y1346" s="41">
        <f>SUMIFS(Y$149:Y$1327,$A$149:$A$1327,"ener",$C$149:$C$1327,$C1346,$B$149:$B$1327,"&lt;&gt;all")</f>
        <v/>
      </c>
      <c r="Z1346" s="23">
        <f>LOWER(Settings!$C$4)&amp;".mit."&amp;$A1346&amp;IF($C1346="","","."&amp;$C1346&amp;"."&amp;$B1346)&amp;IF(INDEX(Variables!$D$5:$D$65,MATCH($A1346,Variables!$A$5:$A$65,0))="","","."&amp;INDEX(Variables!$D$5:$D$65,MATCH($A1346,Variables!$A$5:$A$65,0)))&amp;"."&amp;Z$5</f>
        <v/>
      </c>
      <c r="AA1346" s="40">
        <f>SUMIFS(AA$149:AA$1327,$A$149:$A$1327,"ener",$C$149:$C$1327,$C1346,$B$149:$B$1327,"&lt;&gt;all")</f>
        <v/>
      </c>
      <c r="AB1346" s="41">
        <f>SUMIFS(AB$149:AB$1327,$A$149:$A$1327,"ener",$C$149:$C$1327,$C1346,$B$149:$B$1327,"&lt;&gt;all")</f>
        <v/>
      </c>
      <c r="AC1346" s="41">
        <f>SUMIFS(AC$149:AC$1327,$A$149:$A$1327,"ener",$C$149:$C$1327,$C1346,$B$149:$B$1327,"&lt;&gt;all")</f>
        <v/>
      </c>
      <c r="AD1346" s="41">
        <f>SUMIFS(AD$149:AD$1327,$A$149:$A$1327,"ener",$C$149:$C$1327,$C1346,$B$149:$B$1327,"&lt;&gt;all")</f>
        <v/>
      </c>
      <c r="AE1346" s="41">
        <f>SUMIFS(AE$149:AE$1327,$A$149:$A$1327,"ener",$C$149:$C$1327,$C1346,$B$149:$B$1327,"&lt;&gt;all")</f>
        <v/>
      </c>
      <c r="AF1346" s="41">
        <f>SUMIFS(AF$149:AF$1327,$A$149:$A$1327,"ener",$C$149:$C$1327,$C1346,$B$149:$B$1327,"&lt;&gt;all")</f>
        <v/>
      </c>
      <c r="AG1346" s="41">
        <f>SUMIFS(AG$149:AG$1327,$A$149:$A$1327,"ener",$C$149:$C$1327,$C1346,$B$149:$B$1327,"&lt;&gt;all")</f>
        <v/>
      </c>
      <c r="AH1346" s="41">
        <f>SUMIFS(AH$149:AH$1327,$A$149:$A$1327,"ener",$C$149:$C$1327,$C1346,$B$149:$B$1327,"&lt;&gt;all")</f>
        <v/>
      </c>
      <c r="AI1346" s="41">
        <f>SUMIFS(AI$149:AI$1327,$A$149:$A$1327,"ener",$C$149:$C$1327,$C1346,$B$149:$B$1327,"&lt;&gt;all")</f>
        <v/>
      </c>
      <c r="AJ1346" s="41">
        <f>SUMIFS(AJ$149:AJ$1327,$A$149:$A$1327,"ener",$C$149:$C$1327,$C1346,$B$149:$B$1327,"&lt;&gt;all")</f>
        <v/>
      </c>
      <c r="AK1346" s="41">
        <f>SUMIFS(AK$149:AK$1327,$A$149:$A$1327,"ener",$C$149:$C$1327,$C1346,$B$149:$B$1327,"&lt;&gt;all")</f>
        <v/>
      </c>
      <c r="AL1346" s="41">
        <f>SUMIFS(AL$149:AL$1327,$A$149:$A$1327,"ener",$C$149:$C$1327,$C1346,$B$149:$B$1327,"&lt;&gt;all")</f>
        <v/>
      </c>
      <c r="AM1346" s="41">
        <f>SUMIFS(AM$149:AM$1327,$A$149:$A$1327,"ener",$C$149:$C$1327,$C1346,$B$149:$B$1327,"&lt;&gt;all")</f>
        <v/>
      </c>
      <c r="AN1346" s="41">
        <f>SUMIFS(AN$149:AN$1327,$A$149:$A$1327,"ener",$C$149:$C$1327,$C1346,$B$149:$B$1327,"&lt;&gt;all")</f>
        <v/>
      </c>
    </row>
    <row r="1347" outlineLevel="1">
      <c r="A1347" s="5" t="inlineStr">
        <is>
          <t>ener</t>
        </is>
      </c>
      <c r="B1347" s="5" t="inlineStr">
        <is>
          <t>all</t>
        </is>
      </c>
      <c r="C1347" s="5" t="inlineStr">
        <is>
          <t>oen</t>
        </is>
      </c>
      <c r="H1347" s="5">
        <f>INDEX(Variables!$B$5:$B$65,MATCH($A1347,Variables!$A$5:$A$65,0))&amp;IF($C1347="",""," | "&amp;INDEX(Mapping!$B$5:$B$25,MATCH($C1347,Mapping!$A$5:$A$25,0))&amp;" | "&amp;INDEX(Mapping!$B$29:$B$38,MATCH($B1347,Mapping!$A$29:$A$38,0)))</f>
        <v/>
      </c>
      <c r="I1347" s="5">
        <f>INDEX(Variables!$C$5:$C$65,MATCH($A1347,Variables!$A$5:$A$65,0))</f>
        <v/>
      </c>
      <c r="J1347" s="5">
        <f>INDEX(Variables!$E$5:$E$65,MATCH($A1347,Variables!$A$5:$A$65,0))</f>
        <v/>
      </c>
      <c r="K1347" s="23">
        <f>LOWER(Settings!$C$4)&amp;".mit."&amp;$A1347&amp;IF($C1347="","","."&amp;$C1347&amp;"."&amp;$B1347)&amp;IF(INDEX(Variables!$D$5:$D$65,MATCH($A1347,Variables!$A$5:$A$65,0))="","","."&amp;INDEX(Variables!$D$5:$D$65,MATCH($A1347,Variables!$A$5:$A$65,0)))&amp;"."&amp;K$5</f>
        <v/>
      </c>
      <c r="L1347" s="40">
        <f>SUMIFS(L$149:L$1327,$A$149:$A$1327,"ener",$C$149:$C$1327,$C1347,$B$149:$B$1327,"&lt;&gt;all")</f>
        <v/>
      </c>
      <c r="M1347" s="41">
        <f>SUMIFS(M$149:M$1327,$A$149:$A$1327,"ener",$C$149:$C$1327,$C1347,$B$149:$B$1327,"&lt;&gt;all")</f>
        <v/>
      </c>
      <c r="N1347" s="41">
        <f>SUMIFS(N$149:N$1327,$A$149:$A$1327,"ener",$C$149:$C$1327,$C1347,$B$149:$B$1327,"&lt;&gt;all")</f>
        <v/>
      </c>
      <c r="O1347" s="41">
        <f>SUMIFS(O$149:O$1327,$A$149:$A$1327,"ener",$C$149:$C$1327,$C1347,$B$149:$B$1327,"&lt;&gt;all")</f>
        <v/>
      </c>
      <c r="P1347" s="41">
        <f>SUMIFS(P$149:P$1327,$A$149:$A$1327,"ener",$C$149:$C$1327,$C1347,$B$149:$B$1327,"&lt;&gt;all")</f>
        <v/>
      </c>
      <c r="Q1347" s="41">
        <f>SUMIFS(Q$149:Q$1327,$A$149:$A$1327,"ener",$C$149:$C$1327,$C1347,$B$149:$B$1327,"&lt;&gt;all")</f>
        <v/>
      </c>
      <c r="R1347" s="41">
        <f>SUMIFS(R$149:R$1327,$A$149:$A$1327,"ener",$C$149:$C$1327,$C1347,$B$149:$B$1327,"&lt;&gt;all")</f>
        <v/>
      </c>
      <c r="S1347" s="41">
        <f>SUMIFS(S$149:S$1327,$A$149:$A$1327,"ener",$C$149:$C$1327,$C1347,$B$149:$B$1327,"&lt;&gt;all")</f>
        <v/>
      </c>
      <c r="T1347" s="41">
        <f>SUMIFS(T$149:T$1327,$A$149:$A$1327,"ener",$C$149:$C$1327,$C1347,$B$149:$B$1327,"&lt;&gt;all")</f>
        <v/>
      </c>
      <c r="U1347" s="41">
        <f>SUMIFS(U$149:U$1327,$A$149:$A$1327,"ener",$C$149:$C$1327,$C1347,$B$149:$B$1327,"&lt;&gt;all")</f>
        <v/>
      </c>
      <c r="V1347" s="41">
        <f>SUMIFS(V$149:V$1327,$A$149:$A$1327,"ener",$C$149:$C$1327,$C1347,$B$149:$B$1327,"&lt;&gt;all")</f>
        <v/>
      </c>
      <c r="W1347" s="41">
        <f>SUMIFS(W$149:W$1327,$A$149:$A$1327,"ener",$C$149:$C$1327,$C1347,$B$149:$B$1327,"&lt;&gt;all")</f>
        <v/>
      </c>
      <c r="X1347" s="41">
        <f>SUMIFS(X$149:X$1327,$A$149:$A$1327,"ener",$C$149:$C$1327,$C1347,$B$149:$B$1327,"&lt;&gt;all")</f>
        <v/>
      </c>
      <c r="Y1347" s="41">
        <f>SUMIFS(Y$149:Y$1327,$A$149:$A$1327,"ener",$C$149:$C$1327,$C1347,$B$149:$B$1327,"&lt;&gt;all")</f>
        <v/>
      </c>
      <c r="Z1347" s="23">
        <f>LOWER(Settings!$C$4)&amp;".mit."&amp;$A1347&amp;IF($C1347="","","."&amp;$C1347&amp;"."&amp;$B1347)&amp;IF(INDEX(Variables!$D$5:$D$65,MATCH($A1347,Variables!$A$5:$A$65,0))="","","."&amp;INDEX(Variables!$D$5:$D$65,MATCH($A1347,Variables!$A$5:$A$65,0)))&amp;"."&amp;Z$5</f>
        <v/>
      </c>
      <c r="AA1347" s="40">
        <f>SUMIFS(AA$149:AA$1327,$A$149:$A$1327,"ener",$C$149:$C$1327,$C1347,$B$149:$B$1327,"&lt;&gt;all")</f>
        <v/>
      </c>
      <c r="AB1347" s="41">
        <f>SUMIFS(AB$149:AB$1327,$A$149:$A$1327,"ener",$C$149:$C$1327,$C1347,$B$149:$B$1327,"&lt;&gt;all")</f>
        <v/>
      </c>
      <c r="AC1347" s="41">
        <f>SUMIFS(AC$149:AC$1327,$A$149:$A$1327,"ener",$C$149:$C$1327,$C1347,$B$149:$B$1327,"&lt;&gt;all")</f>
        <v/>
      </c>
      <c r="AD1347" s="41">
        <f>SUMIFS(AD$149:AD$1327,$A$149:$A$1327,"ener",$C$149:$C$1327,$C1347,$B$149:$B$1327,"&lt;&gt;all")</f>
        <v/>
      </c>
      <c r="AE1347" s="41">
        <f>SUMIFS(AE$149:AE$1327,$A$149:$A$1327,"ener",$C$149:$C$1327,$C1347,$B$149:$B$1327,"&lt;&gt;all")</f>
        <v/>
      </c>
      <c r="AF1347" s="41">
        <f>SUMIFS(AF$149:AF$1327,$A$149:$A$1327,"ener",$C$149:$C$1327,$C1347,$B$149:$B$1327,"&lt;&gt;all")</f>
        <v/>
      </c>
      <c r="AG1347" s="41">
        <f>SUMIFS(AG$149:AG$1327,$A$149:$A$1327,"ener",$C$149:$C$1327,$C1347,$B$149:$B$1327,"&lt;&gt;all")</f>
        <v/>
      </c>
      <c r="AH1347" s="41">
        <f>SUMIFS(AH$149:AH$1327,$A$149:$A$1327,"ener",$C$149:$C$1327,$C1347,$B$149:$B$1327,"&lt;&gt;all")</f>
        <v/>
      </c>
      <c r="AI1347" s="41">
        <f>SUMIFS(AI$149:AI$1327,$A$149:$A$1327,"ener",$C$149:$C$1327,$C1347,$B$149:$B$1327,"&lt;&gt;all")</f>
        <v/>
      </c>
      <c r="AJ1347" s="41">
        <f>SUMIFS(AJ$149:AJ$1327,$A$149:$A$1327,"ener",$C$149:$C$1327,$C1347,$B$149:$B$1327,"&lt;&gt;all")</f>
        <v/>
      </c>
      <c r="AK1347" s="41">
        <f>SUMIFS(AK$149:AK$1327,$A$149:$A$1327,"ener",$C$149:$C$1327,$C1347,$B$149:$B$1327,"&lt;&gt;all")</f>
        <v/>
      </c>
      <c r="AL1347" s="41">
        <f>SUMIFS(AL$149:AL$1327,$A$149:$A$1327,"ener",$C$149:$C$1327,$C1347,$B$149:$B$1327,"&lt;&gt;all")</f>
        <v/>
      </c>
      <c r="AM1347" s="41">
        <f>SUMIFS(AM$149:AM$1327,$A$149:$A$1327,"ener",$C$149:$C$1327,$C1347,$B$149:$B$1327,"&lt;&gt;all")</f>
        <v/>
      </c>
      <c r="AN1347" s="41">
        <f>SUMIFS(AN$149:AN$1327,$A$149:$A$1327,"ener",$C$149:$C$1327,$C1347,$B$149:$B$1327,"&lt;&gt;all")</f>
        <v/>
      </c>
    </row>
    <row r="1348" outlineLevel="1"/>
    <row r="1349" outlineLevel="1">
      <c r="A1349" s="5" t="inlineStr">
        <is>
          <t>ener</t>
        </is>
      </c>
      <c r="B1349" s="5" t="inlineStr">
        <is>
          <t>coa</t>
        </is>
      </c>
      <c r="C1349" s="5" t="inlineStr">
        <is>
          <t>all</t>
        </is>
      </c>
      <c r="H1349" s="5">
        <f>INDEX(Variables!$B$5:$B$65,MATCH($A1349,Variables!$A$5:$A$65,0))&amp;IF($C1349="",""," | "&amp;INDEX(Mapping!$B$5:$B$25,MATCH($C1349,Mapping!$A$5:$A$25,0))&amp;" | "&amp;INDEX(Mapping!$B$29:$B$38,MATCH($B1349,Mapping!$A$29:$A$38,0)))</f>
        <v/>
      </c>
      <c r="I1349" s="5">
        <f>INDEX(Variables!$C$5:$C$65,MATCH($A1349,Variables!$A$5:$A$65,0))</f>
        <v/>
      </c>
      <c r="J1349" s="5">
        <f>INDEX(Variables!$E$5:$E$65,MATCH($A1349,Variables!$A$5:$A$65,0))</f>
        <v/>
      </c>
      <c r="K1349" s="23">
        <f>LOWER(Settings!$C$4)&amp;".mit."&amp;$A1349&amp;IF($C1349="","","."&amp;$C1349&amp;"."&amp;$B1349)&amp;IF(INDEX(Variables!$D$5:$D$65,MATCH($A1349,Variables!$A$5:$A$65,0))="","","."&amp;INDEX(Variables!$D$5:$D$65,MATCH($A1349,Variables!$A$5:$A$65,0)))&amp;"."&amp;K$5</f>
        <v/>
      </c>
      <c r="L1349" s="40">
        <f>SUMIFS(L$149:L$1327,$A$149:$A$1327,"ener",$B$149:$B$1327,$B1349)</f>
        <v/>
      </c>
      <c r="M1349" s="41">
        <f>SUMIFS(M$149:M$1327,$A$149:$A$1327,"ener",$B$149:$B$1327,$B1349)</f>
        <v/>
      </c>
      <c r="N1349" s="41">
        <f>SUMIFS(N$149:N$1327,$A$149:$A$1327,"ener",$B$149:$B$1327,$B1349)</f>
        <v/>
      </c>
      <c r="O1349" s="41">
        <f>SUMIFS(O$149:O$1327,$A$149:$A$1327,"ener",$B$149:$B$1327,$B1349)</f>
        <v/>
      </c>
      <c r="P1349" s="41">
        <f>SUMIFS(P$149:P$1327,$A$149:$A$1327,"ener",$B$149:$B$1327,$B1349)</f>
        <v/>
      </c>
      <c r="Q1349" s="41">
        <f>SUMIFS(Q$149:Q$1327,$A$149:$A$1327,"ener",$B$149:$B$1327,$B1349)</f>
        <v/>
      </c>
      <c r="R1349" s="41">
        <f>SUMIFS(R$149:R$1327,$A$149:$A$1327,"ener",$B$149:$B$1327,$B1349)</f>
        <v/>
      </c>
      <c r="S1349" s="41">
        <f>SUMIFS(S$149:S$1327,$A$149:$A$1327,"ener",$B$149:$B$1327,$B1349)</f>
        <v/>
      </c>
      <c r="T1349" s="41">
        <f>SUMIFS(T$149:T$1327,$A$149:$A$1327,"ener",$B$149:$B$1327,$B1349)</f>
        <v/>
      </c>
      <c r="U1349" s="41">
        <f>SUMIFS(U$149:U$1327,$A$149:$A$1327,"ener",$B$149:$B$1327,$B1349)</f>
        <v/>
      </c>
      <c r="V1349" s="41">
        <f>SUMIFS(V$149:V$1327,$A$149:$A$1327,"ener",$B$149:$B$1327,$B1349)</f>
        <v/>
      </c>
      <c r="W1349" s="41">
        <f>SUMIFS(W$149:W$1327,$A$149:$A$1327,"ener",$B$149:$B$1327,$B1349)</f>
        <v/>
      </c>
      <c r="X1349" s="41">
        <f>SUMIFS(X$149:X$1327,$A$149:$A$1327,"ener",$B$149:$B$1327,$B1349)</f>
        <v/>
      </c>
      <c r="Y1349" s="41">
        <f>SUMIFS(Y$149:Y$1327,$A$149:$A$1327,"ener",$B$149:$B$1327,$B1349)</f>
        <v/>
      </c>
      <c r="Z1349" s="23">
        <f>LOWER(Settings!$C$4)&amp;".mit."&amp;$A1349&amp;IF($C1349="","","."&amp;$C1349&amp;"."&amp;$B1349)&amp;IF(INDEX(Variables!$D$5:$D$65,MATCH($A1349,Variables!$A$5:$A$65,0))="","","."&amp;INDEX(Variables!$D$5:$D$65,MATCH($A1349,Variables!$A$5:$A$65,0)))&amp;"."&amp;Z$5</f>
        <v/>
      </c>
      <c r="AA1349" s="40">
        <f>SUMIFS(AA$149:AA$1327,$A$149:$A$1327,"ener",$B$149:$B$1327,$B1349)</f>
        <v/>
      </c>
      <c r="AB1349" s="41">
        <f>SUMIFS(AB$149:AB$1327,$A$149:$A$1327,"ener",$B$149:$B$1327,$B1349)</f>
        <v/>
      </c>
      <c r="AC1349" s="41">
        <f>SUMIFS(AC$149:AC$1327,$A$149:$A$1327,"ener",$B$149:$B$1327,$B1349)</f>
        <v/>
      </c>
      <c r="AD1349" s="41">
        <f>SUMIFS(AD$149:AD$1327,$A$149:$A$1327,"ener",$B$149:$B$1327,$B1349)</f>
        <v/>
      </c>
      <c r="AE1349" s="41">
        <f>SUMIFS(AE$149:AE$1327,$A$149:$A$1327,"ener",$B$149:$B$1327,$B1349)</f>
        <v/>
      </c>
      <c r="AF1349" s="41">
        <f>SUMIFS(AF$149:AF$1327,$A$149:$A$1327,"ener",$B$149:$B$1327,$B1349)</f>
        <v/>
      </c>
      <c r="AG1349" s="41">
        <f>SUMIFS(AG$149:AG$1327,$A$149:$A$1327,"ener",$B$149:$B$1327,$B1349)</f>
        <v/>
      </c>
      <c r="AH1349" s="41">
        <f>SUMIFS(AH$149:AH$1327,$A$149:$A$1327,"ener",$B$149:$B$1327,$B1349)</f>
        <v/>
      </c>
      <c r="AI1349" s="41">
        <f>SUMIFS(AI$149:AI$1327,$A$149:$A$1327,"ener",$B$149:$B$1327,$B1349)</f>
        <v/>
      </c>
      <c r="AJ1349" s="41">
        <f>SUMIFS(AJ$149:AJ$1327,$A$149:$A$1327,"ener",$B$149:$B$1327,$B1349)</f>
        <v/>
      </c>
      <c r="AK1349" s="41">
        <f>SUMIFS(AK$149:AK$1327,$A$149:$A$1327,"ener",$B$149:$B$1327,$B1349)</f>
        <v/>
      </c>
      <c r="AL1349" s="41">
        <f>SUMIFS(AL$149:AL$1327,$A$149:$A$1327,"ener",$B$149:$B$1327,$B1349)</f>
        <v/>
      </c>
      <c r="AM1349" s="41">
        <f>SUMIFS(AM$149:AM$1327,$A$149:$A$1327,"ener",$B$149:$B$1327,$B1349)</f>
        <v/>
      </c>
      <c r="AN1349" s="41">
        <f>SUMIFS(AN$149:AN$1327,$A$149:$A$1327,"ener",$B$149:$B$1327,$B1349)</f>
        <v/>
      </c>
    </row>
    <row r="1350" outlineLevel="1">
      <c r="A1350" s="5" t="inlineStr">
        <is>
          <t>ener</t>
        </is>
      </c>
      <c r="B1350" s="5" t="inlineStr">
        <is>
          <t>nga</t>
        </is>
      </c>
      <c r="C1350" s="5" t="inlineStr">
        <is>
          <t>all</t>
        </is>
      </c>
      <c r="H1350" s="5">
        <f>INDEX(Variables!$B$5:$B$65,MATCH($A1350,Variables!$A$5:$A$65,0))&amp;IF($C1350="",""," | "&amp;INDEX(Mapping!$B$5:$B$25,MATCH($C1350,Mapping!$A$5:$A$25,0))&amp;" | "&amp;INDEX(Mapping!$B$29:$B$38,MATCH($B1350,Mapping!$A$29:$A$38,0)))</f>
        <v/>
      </c>
      <c r="I1350" s="5">
        <f>INDEX(Variables!$C$5:$C$65,MATCH($A1350,Variables!$A$5:$A$65,0))</f>
        <v/>
      </c>
      <c r="J1350" s="5">
        <f>INDEX(Variables!$E$5:$E$65,MATCH($A1350,Variables!$A$5:$A$65,0))</f>
        <v/>
      </c>
      <c r="K1350" s="23">
        <f>LOWER(Settings!$C$4)&amp;".mit."&amp;$A1350&amp;IF($C1350="","","."&amp;$C1350&amp;"."&amp;$B1350)&amp;IF(INDEX(Variables!$D$5:$D$65,MATCH($A1350,Variables!$A$5:$A$65,0))="","","."&amp;INDEX(Variables!$D$5:$D$65,MATCH($A1350,Variables!$A$5:$A$65,0)))&amp;"."&amp;K$5</f>
        <v/>
      </c>
      <c r="L1350" s="40">
        <f>SUMIFS(L$149:L$1327,$A$149:$A$1327,"ener",$B$149:$B$1327,$B1350)</f>
        <v/>
      </c>
      <c r="M1350" s="41">
        <f>SUMIFS(M$149:M$1327,$A$149:$A$1327,"ener",$B$149:$B$1327,$B1350)</f>
        <v/>
      </c>
      <c r="N1350" s="41">
        <f>SUMIFS(N$149:N$1327,$A$149:$A$1327,"ener",$B$149:$B$1327,$B1350)</f>
        <v/>
      </c>
      <c r="O1350" s="41">
        <f>SUMIFS(O$149:O$1327,$A$149:$A$1327,"ener",$B$149:$B$1327,$B1350)</f>
        <v/>
      </c>
      <c r="P1350" s="41">
        <f>SUMIFS(P$149:P$1327,$A$149:$A$1327,"ener",$B$149:$B$1327,$B1350)</f>
        <v/>
      </c>
      <c r="Q1350" s="41">
        <f>SUMIFS(Q$149:Q$1327,$A$149:$A$1327,"ener",$B$149:$B$1327,$B1350)</f>
        <v/>
      </c>
      <c r="R1350" s="41">
        <f>SUMIFS(R$149:R$1327,$A$149:$A$1327,"ener",$B$149:$B$1327,$B1350)</f>
        <v/>
      </c>
      <c r="S1350" s="41">
        <f>SUMIFS(S$149:S$1327,$A$149:$A$1327,"ener",$B$149:$B$1327,$B1350)</f>
        <v/>
      </c>
      <c r="T1350" s="41">
        <f>SUMIFS(T$149:T$1327,$A$149:$A$1327,"ener",$B$149:$B$1327,$B1350)</f>
        <v/>
      </c>
      <c r="U1350" s="41">
        <f>SUMIFS(U$149:U$1327,$A$149:$A$1327,"ener",$B$149:$B$1327,$B1350)</f>
        <v/>
      </c>
      <c r="V1350" s="41">
        <f>SUMIFS(V$149:V$1327,$A$149:$A$1327,"ener",$B$149:$B$1327,$B1350)</f>
        <v/>
      </c>
      <c r="W1350" s="41">
        <f>SUMIFS(W$149:W$1327,$A$149:$A$1327,"ener",$B$149:$B$1327,$B1350)</f>
        <v/>
      </c>
      <c r="X1350" s="41">
        <f>SUMIFS(X$149:X$1327,$A$149:$A$1327,"ener",$B$149:$B$1327,$B1350)</f>
        <v/>
      </c>
      <c r="Y1350" s="41">
        <f>SUMIFS(Y$149:Y$1327,$A$149:$A$1327,"ener",$B$149:$B$1327,$B1350)</f>
        <v/>
      </c>
      <c r="Z1350" s="23">
        <f>LOWER(Settings!$C$4)&amp;".mit."&amp;$A1350&amp;IF($C1350="","","."&amp;$C1350&amp;"."&amp;$B1350)&amp;IF(INDEX(Variables!$D$5:$D$65,MATCH($A1350,Variables!$A$5:$A$65,0))="","","."&amp;INDEX(Variables!$D$5:$D$65,MATCH($A1350,Variables!$A$5:$A$65,0)))&amp;"."&amp;Z$5</f>
        <v/>
      </c>
      <c r="AA1350" s="40">
        <f>SUMIFS(AA$149:AA$1327,$A$149:$A$1327,"ener",$B$149:$B$1327,$B1350)</f>
        <v/>
      </c>
      <c r="AB1350" s="41">
        <f>SUMIFS(AB$149:AB$1327,$A$149:$A$1327,"ener",$B$149:$B$1327,$B1350)</f>
        <v/>
      </c>
      <c r="AC1350" s="41">
        <f>SUMIFS(AC$149:AC$1327,$A$149:$A$1327,"ener",$B$149:$B$1327,$B1350)</f>
        <v/>
      </c>
      <c r="AD1350" s="41">
        <f>SUMIFS(AD$149:AD$1327,$A$149:$A$1327,"ener",$B$149:$B$1327,$B1350)</f>
        <v/>
      </c>
      <c r="AE1350" s="41">
        <f>SUMIFS(AE$149:AE$1327,$A$149:$A$1327,"ener",$B$149:$B$1327,$B1350)</f>
        <v/>
      </c>
      <c r="AF1350" s="41">
        <f>SUMIFS(AF$149:AF$1327,$A$149:$A$1327,"ener",$B$149:$B$1327,$B1350)</f>
        <v/>
      </c>
      <c r="AG1350" s="41">
        <f>SUMIFS(AG$149:AG$1327,$A$149:$A$1327,"ener",$B$149:$B$1327,$B1350)</f>
        <v/>
      </c>
      <c r="AH1350" s="41">
        <f>SUMIFS(AH$149:AH$1327,$A$149:$A$1327,"ener",$B$149:$B$1327,$B1350)</f>
        <v/>
      </c>
      <c r="AI1350" s="41">
        <f>SUMIFS(AI$149:AI$1327,$A$149:$A$1327,"ener",$B$149:$B$1327,$B1350)</f>
        <v/>
      </c>
      <c r="AJ1350" s="41">
        <f>SUMIFS(AJ$149:AJ$1327,$A$149:$A$1327,"ener",$B$149:$B$1327,$B1350)</f>
        <v/>
      </c>
      <c r="AK1350" s="41">
        <f>SUMIFS(AK$149:AK$1327,$A$149:$A$1327,"ener",$B$149:$B$1327,$B1350)</f>
        <v/>
      </c>
      <c r="AL1350" s="41">
        <f>SUMIFS(AL$149:AL$1327,$A$149:$A$1327,"ener",$B$149:$B$1327,$B1350)</f>
        <v/>
      </c>
      <c r="AM1350" s="41">
        <f>SUMIFS(AM$149:AM$1327,$A$149:$A$1327,"ener",$B$149:$B$1327,$B1350)</f>
        <v/>
      </c>
      <c r="AN1350" s="41">
        <f>SUMIFS(AN$149:AN$1327,$A$149:$A$1327,"ener",$B$149:$B$1327,$B1350)</f>
        <v/>
      </c>
    </row>
    <row r="1351" outlineLevel="1">
      <c r="A1351" s="5" t="inlineStr">
        <is>
          <t>ener</t>
        </is>
      </c>
      <c r="B1351" s="5" t="inlineStr">
        <is>
          <t>gso</t>
        </is>
      </c>
      <c r="C1351" s="5" t="inlineStr">
        <is>
          <t>all</t>
        </is>
      </c>
      <c r="H1351" s="5">
        <f>INDEX(Variables!$B$5:$B$65,MATCH($A1351,Variables!$A$5:$A$65,0))&amp;IF($C1351="",""," | "&amp;INDEX(Mapping!$B$5:$B$25,MATCH($C1351,Mapping!$A$5:$A$25,0))&amp;" | "&amp;INDEX(Mapping!$B$29:$B$38,MATCH($B1351,Mapping!$A$29:$A$38,0)))</f>
        <v/>
      </c>
      <c r="I1351" s="5">
        <f>INDEX(Variables!$C$5:$C$65,MATCH($A1351,Variables!$A$5:$A$65,0))</f>
        <v/>
      </c>
      <c r="J1351" s="5">
        <f>INDEX(Variables!$E$5:$E$65,MATCH($A1351,Variables!$A$5:$A$65,0))</f>
        <v/>
      </c>
      <c r="K1351" s="23">
        <f>LOWER(Settings!$C$4)&amp;".mit."&amp;$A1351&amp;IF($C1351="","","."&amp;$C1351&amp;"."&amp;$B1351)&amp;IF(INDEX(Variables!$D$5:$D$65,MATCH($A1351,Variables!$A$5:$A$65,0))="","","."&amp;INDEX(Variables!$D$5:$D$65,MATCH($A1351,Variables!$A$5:$A$65,0)))&amp;"."&amp;K$5</f>
        <v/>
      </c>
      <c r="L1351" s="40">
        <f>SUMIFS(L$149:L$1327,$A$149:$A$1327,"ener",$B$149:$B$1327,$B1351)</f>
        <v/>
      </c>
      <c r="M1351" s="41">
        <f>SUMIFS(M$149:M$1327,$A$149:$A$1327,"ener",$B$149:$B$1327,$B1351)</f>
        <v/>
      </c>
      <c r="N1351" s="41">
        <f>SUMIFS(N$149:N$1327,$A$149:$A$1327,"ener",$B$149:$B$1327,$B1351)</f>
        <v/>
      </c>
      <c r="O1351" s="41">
        <f>SUMIFS(O$149:O$1327,$A$149:$A$1327,"ener",$B$149:$B$1327,$B1351)</f>
        <v/>
      </c>
      <c r="P1351" s="41">
        <f>SUMIFS(P$149:P$1327,$A$149:$A$1327,"ener",$B$149:$B$1327,$B1351)</f>
        <v/>
      </c>
      <c r="Q1351" s="41">
        <f>SUMIFS(Q$149:Q$1327,$A$149:$A$1327,"ener",$B$149:$B$1327,$B1351)</f>
        <v/>
      </c>
      <c r="R1351" s="41">
        <f>SUMIFS(R$149:R$1327,$A$149:$A$1327,"ener",$B$149:$B$1327,$B1351)</f>
        <v/>
      </c>
      <c r="S1351" s="41">
        <f>SUMIFS(S$149:S$1327,$A$149:$A$1327,"ener",$B$149:$B$1327,$B1351)</f>
        <v/>
      </c>
      <c r="T1351" s="41">
        <f>SUMIFS(T$149:T$1327,$A$149:$A$1327,"ener",$B$149:$B$1327,$B1351)</f>
        <v/>
      </c>
      <c r="U1351" s="41">
        <f>SUMIFS(U$149:U$1327,$A$149:$A$1327,"ener",$B$149:$B$1327,$B1351)</f>
        <v/>
      </c>
      <c r="V1351" s="41">
        <f>SUMIFS(V$149:V$1327,$A$149:$A$1327,"ener",$B$149:$B$1327,$B1351)</f>
        <v/>
      </c>
      <c r="W1351" s="41">
        <f>SUMIFS(W$149:W$1327,$A$149:$A$1327,"ener",$B$149:$B$1327,$B1351)</f>
        <v/>
      </c>
      <c r="X1351" s="41">
        <f>SUMIFS(X$149:X$1327,$A$149:$A$1327,"ener",$B$149:$B$1327,$B1351)</f>
        <v/>
      </c>
      <c r="Y1351" s="41">
        <f>SUMIFS(Y$149:Y$1327,$A$149:$A$1327,"ener",$B$149:$B$1327,$B1351)</f>
        <v/>
      </c>
      <c r="Z1351" s="23">
        <f>LOWER(Settings!$C$4)&amp;".mit."&amp;$A1351&amp;IF($C1351="","","."&amp;$C1351&amp;"."&amp;$B1351)&amp;IF(INDEX(Variables!$D$5:$D$65,MATCH($A1351,Variables!$A$5:$A$65,0))="","","."&amp;INDEX(Variables!$D$5:$D$65,MATCH($A1351,Variables!$A$5:$A$65,0)))&amp;"."&amp;Z$5</f>
        <v/>
      </c>
      <c r="AA1351" s="40">
        <f>SUMIFS(AA$149:AA$1327,$A$149:$A$1327,"ener",$B$149:$B$1327,$B1351)</f>
        <v/>
      </c>
      <c r="AB1351" s="41">
        <f>SUMIFS(AB$149:AB$1327,$A$149:$A$1327,"ener",$B$149:$B$1327,$B1351)</f>
        <v/>
      </c>
      <c r="AC1351" s="41">
        <f>SUMIFS(AC$149:AC$1327,$A$149:$A$1327,"ener",$B$149:$B$1327,$B1351)</f>
        <v/>
      </c>
      <c r="AD1351" s="41">
        <f>SUMIFS(AD$149:AD$1327,$A$149:$A$1327,"ener",$B$149:$B$1327,$B1351)</f>
        <v/>
      </c>
      <c r="AE1351" s="41">
        <f>SUMIFS(AE$149:AE$1327,$A$149:$A$1327,"ener",$B$149:$B$1327,$B1351)</f>
        <v/>
      </c>
      <c r="AF1351" s="41">
        <f>SUMIFS(AF$149:AF$1327,$A$149:$A$1327,"ener",$B$149:$B$1327,$B1351)</f>
        <v/>
      </c>
      <c r="AG1351" s="41">
        <f>SUMIFS(AG$149:AG$1327,$A$149:$A$1327,"ener",$B$149:$B$1327,$B1351)</f>
        <v/>
      </c>
      <c r="AH1351" s="41">
        <f>SUMIFS(AH$149:AH$1327,$A$149:$A$1327,"ener",$B$149:$B$1327,$B1351)</f>
        <v/>
      </c>
      <c r="AI1351" s="41">
        <f>SUMIFS(AI$149:AI$1327,$A$149:$A$1327,"ener",$B$149:$B$1327,$B1351)</f>
        <v/>
      </c>
      <c r="AJ1351" s="41">
        <f>SUMIFS(AJ$149:AJ$1327,$A$149:$A$1327,"ener",$B$149:$B$1327,$B1351)</f>
        <v/>
      </c>
      <c r="AK1351" s="41">
        <f>SUMIFS(AK$149:AK$1327,$A$149:$A$1327,"ener",$B$149:$B$1327,$B1351)</f>
        <v/>
      </c>
      <c r="AL1351" s="41">
        <f>SUMIFS(AL$149:AL$1327,$A$149:$A$1327,"ener",$B$149:$B$1327,$B1351)</f>
        <v/>
      </c>
      <c r="AM1351" s="41">
        <f>SUMIFS(AM$149:AM$1327,$A$149:$A$1327,"ener",$B$149:$B$1327,$B1351)</f>
        <v/>
      </c>
      <c r="AN1351" s="41">
        <f>SUMIFS(AN$149:AN$1327,$A$149:$A$1327,"ener",$B$149:$B$1327,$B1351)</f>
        <v/>
      </c>
    </row>
    <row r="1352" outlineLevel="1">
      <c r="A1352" s="5" t="inlineStr">
        <is>
          <t>ener</t>
        </is>
      </c>
      <c r="B1352" s="5" t="inlineStr">
        <is>
          <t>die</t>
        </is>
      </c>
      <c r="C1352" s="5" t="inlineStr">
        <is>
          <t>all</t>
        </is>
      </c>
      <c r="H1352" s="5">
        <f>INDEX(Variables!$B$5:$B$65,MATCH($A1352,Variables!$A$5:$A$65,0))&amp;IF($C1352="",""," | "&amp;INDEX(Mapping!$B$5:$B$25,MATCH($C1352,Mapping!$A$5:$A$25,0))&amp;" | "&amp;INDEX(Mapping!$B$29:$B$38,MATCH($B1352,Mapping!$A$29:$A$38,0)))</f>
        <v/>
      </c>
      <c r="I1352" s="5">
        <f>INDEX(Variables!$C$5:$C$65,MATCH($A1352,Variables!$A$5:$A$65,0))</f>
        <v/>
      </c>
      <c r="J1352" s="5">
        <f>INDEX(Variables!$E$5:$E$65,MATCH($A1352,Variables!$A$5:$A$65,0))</f>
        <v/>
      </c>
      <c r="K1352" s="23">
        <f>LOWER(Settings!$C$4)&amp;".mit."&amp;$A1352&amp;IF($C1352="","","."&amp;$C1352&amp;"."&amp;$B1352)&amp;IF(INDEX(Variables!$D$5:$D$65,MATCH($A1352,Variables!$A$5:$A$65,0))="","","."&amp;INDEX(Variables!$D$5:$D$65,MATCH($A1352,Variables!$A$5:$A$65,0)))&amp;"."&amp;K$5</f>
        <v/>
      </c>
      <c r="L1352" s="40">
        <f>SUMIFS(L$149:L$1327,$A$149:$A$1327,"ener",$B$149:$B$1327,$B1352)</f>
        <v/>
      </c>
      <c r="M1352" s="41">
        <f>SUMIFS(M$149:M$1327,$A$149:$A$1327,"ener",$B$149:$B$1327,$B1352)</f>
        <v/>
      </c>
      <c r="N1352" s="41">
        <f>SUMIFS(N$149:N$1327,$A$149:$A$1327,"ener",$B$149:$B$1327,$B1352)</f>
        <v/>
      </c>
      <c r="O1352" s="41">
        <f>SUMIFS(O$149:O$1327,$A$149:$A$1327,"ener",$B$149:$B$1327,$B1352)</f>
        <v/>
      </c>
      <c r="P1352" s="41">
        <f>SUMIFS(P$149:P$1327,$A$149:$A$1327,"ener",$B$149:$B$1327,$B1352)</f>
        <v/>
      </c>
      <c r="Q1352" s="41">
        <f>SUMIFS(Q$149:Q$1327,$A$149:$A$1327,"ener",$B$149:$B$1327,$B1352)</f>
        <v/>
      </c>
      <c r="R1352" s="41">
        <f>SUMIFS(R$149:R$1327,$A$149:$A$1327,"ener",$B$149:$B$1327,$B1352)</f>
        <v/>
      </c>
      <c r="S1352" s="41">
        <f>SUMIFS(S$149:S$1327,$A$149:$A$1327,"ener",$B$149:$B$1327,$B1352)</f>
        <v/>
      </c>
      <c r="T1352" s="41">
        <f>SUMIFS(T$149:T$1327,$A$149:$A$1327,"ener",$B$149:$B$1327,$B1352)</f>
        <v/>
      </c>
      <c r="U1352" s="41">
        <f>SUMIFS(U$149:U$1327,$A$149:$A$1327,"ener",$B$149:$B$1327,$B1352)</f>
        <v/>
      </c>
      <c r="V1352" s="41">
        <f>SUMIFS(V$149:V$1327,$A$149:$A$1327,"ener",$B$149:$B$1327,$B1352)</f>
        <v/>
      </c>
      <c r="W1352" s="41">
        <f>SUMIFS(W$149:W$1327,$A$149:$A$1327,"ener",$B$149:$B$1327,$B1352)</f>
        <v/>
      </c>
      <c r="X1352" s="41">
        <f>SUMIFS(X$149:X$1327,$A$149:$A$1327,"ener",$B$149:$B$1327,$B1352)</f>
        <v/>
      </c>
      <c r="Y1352" s="41">
        <f>SUMIFS(Y$149:Y$1327,$A$149:$A$1327,"ener",$B$149:$B$1327,$B1352)</f>
        <v/>
      </c>
      <c r="Z1352" s="23">
        <f>LOWER(Settings!$C$4)&amp;".mit."&amp;$A1352&amp;IF($C1352="","","."&amp;$C1352&amp;"."&amp;$B1352)&amp;IF(INDEX(Variables!$D$5:$D$65,MATCH($A1352,Variables!$A$5:$A$65,0))="","","."&amp;INDEX(Variables!$D$5:$D$65,MATCH($A1352,Variables!$A$5:$A$65,0)))&amp;"."&amp;Z$5</f>
        <v/>
      </c>
      <c r="AA1352" s="40">
        <f>SUMIFS(AA$149:AA$1327,$A$149:$A$1327,"ener",$B$149:$B$1327,$B1352)</f>
        <v/>
      </c>
      <c r="AB1352" s="41">
        <f>SUMIFS(AB$149:AB$1327,$A$149:$A$1327,"ener",$B$149:$B$1327,$B1352)</f>
        <v/>
      </c>
      <c r="AC1352" s="41">
        <f>SUMIFS(AC$149:AC$1327,$A$149:$A$1327,"ener",$B$149:$B$1327,$B1352)</f>
        <v/>
      </c>
      <c r="AD1352" s="41">
        <f>SUMIFS(AD$149:AD$1327,$A$149:$A$1327,"ener",$B$149:$B$1327,$B1352)</f>
        <v/>
      </c>
      <c r="AE1352" s="41">
        <f>SUMIFS(AE$149:AE$1327,$A$149:$A$1327,"ener",$B$149:$B$1327,$B1352)</f>
        <v/>
      </c>
      <c r="AF1352" s="41">
        <f>SUMIFS(AF$149:AF$1327,$A$149:$A$1327,"ener",$B$149:$B$1327,$B1352)</f>
        <v/>
      </c>
      <c r="AG1352" s="41">
        <f>SUMIFS(AG$149:AG$1327,$A$149:$A$1327,"ener",$B$149:$B$1327,$B1352)</f>
        <v/>
      </c>
      <c r="AH1352" s="41">
        <f>SUMIFS(AH$149:AH$1327,$A$149:$A$1327,"ener",$B$149:$B$1327,$B1352)</f>
        <v/>
      </c>
      <c r="AI1352" s="41">
        <f>SUMIFS(AI$149:AI$1327,$A$149:$A$1327,"ener",$B$149:$B$1327,$B1352)</f>
        <v/>
      </c>
      <c r="AJ1352" s="41">
        <f>SUMIFS(AJ$149:AJ$1327,$A$149:$A$1327,"ener",$B$149:$B$1327,$B1352)</f>
        <v/>
      </c>
      <c r="AK1352" s="41">
        <f>SUMIFS(AK$149:AK$1327,$A$149:$A$1327,"ener",$B$149:$B$1327,$B1352)</f>
        <v/>
      </c>
      <c r="AL1352" s="41">
        <f>SUMIFS(AL$149:AL$1327,$A$149:$A$1327,"ener",$B$149:$B$1327,$B1352)</f>
        <v/>
      </c>
      <c r="AM1352" s="41">
        <f>SUMIFS(AM$149:AM$1327,$A$149:$A$1327,"ener",$B$149:$B$1327,$B1352)</f>
        <v/>
      </c>
      <c r="AN1352" s="41">
        <f>SUMIFS(AN$149:AN$1327,$A$149:$A$1327,"ener",$B$149:$B$1327,$B1352)</f>
        <v/>
      </c>
    </row>
    <row r="1353" outlineLevel="1">
      <c r="A1353" s="5" t="inlineStr">
        <is>
          <t>ener</t>
        </is>
      </c>
      <c r="B1353" s="5" t="inlineStr">
        <is>
          <t>lpg</t>
        </is>
      </c>
      <c r="C1353" s="5" t="inlineStr">
        <is>
          <t>all</t>
        </is>
      </c>
      <c r="H1353" s="5">
        <f>INDEX(Variables!$B$5:$B$65,MATCH($A1353,Variables!$A$5:$A$65,0))&amp;IF($C1353="",""," | "&amp;INDEX(Mapping!$B$5:$B$25,MATCH($C1353,Mapping!$A$5:$A$25,0))&amp;" | "&amp;INDEX(Mapping!$B$29:$B$38,MATCH($B1353,Mapping!$A$29:$A$38,0)))</f>
        <v/>
      </c>
      <c r="I1353" s="5">
        <f>INDEX(Variables!$C$5:$C$65,MATCH($A1353,Variables!$A$5:$A$65,0))</f>
        <v/>
      </c>
      <c r="J1353" s="5">
        <f>INDEX(Variables!$E$5:$E$65,MATCH($A1353,Variables!$A$5:$A$65,0))</f>
        <v/>
      </c>
      <c r="K1353" s="23">
        <f>LOWER(Settings!$C$4)&amp;".mit."&amp;$A1353&amp;IF($C1353="","","."&amp;$C1353&amp;"."&amp;$B1353)&amp;IF(INDEX(Variables!$D$5:$D$65,MATCH($A1353,Variables!$A$5:$A$65,0))="","","."&amp;INDEX(Variables!$D$5:$D$65,MATCH($A1353,Variables!$A$5:$A$65,0)))&amp;"."&amp;K$5</f>
        <v/>
      </c>
      <c r="L1353" s="40">
        <f>SUMIFS(L$149:L$1327,$A$149:$A$1327,"ener",$B$149:$B$1327,$B1353)</f>
        <v/>
      </c>
      <c r="M1353" s="41">
        <f>SUMIFS(M$149:M$1327,$A$149:$A$1327,"ener",$B$149:$B$1327,$B1353)</f>
        <v/>
      </c>
      <c r="N1353" s="41">
        <f>SUMIFS(N$149:N$1327,$A$149:$A$1327,"ener",$B$149:$B$1327,$B1353)</f>
        <v/>
      </c>
      <c r="O1353" s="41">
        <f>SUMIFS(O$149:O$1327,$A$149:$A$1327,"ener",$B$149:$B$1327,$B1353)</f>
        <v/>
      </c>
      <c r="P1353" s="41">
        <f>SUMIFS(P$149:P$1327,$A$149:$A$1327,"ener",$B$149:$B$1327,$B1353)</f>
        <v/>
      </c>
      <c r="Q1353" s="41">
        <f>SUMIFS(Q$149:Q$1327,$A$149:$A$1327,"ener",$B$149:$B$1327,$B1353)</f>
        <v/>
      </c>
      <c r="R1353" s="41">
        <f>SUMIFS(R$149:R$1327,$A$149:$A$1327,"ener",$B$149:$B$1327,$B1353)</f>
        <v/>
      </c>
      <c r="S1353" s="41">
        <f>SUMIFS(S$149:S$1327,$A$149:$A$1327,"ener",$B$149:$B$1327,$B1353)</f>
        <v/>
      </c>
      <c r="T1353" s="41">
        <f>SUMIFS(T$149:T$1327,$A$149:$A$1327,"ener",$B$149:$B$1327,$B1353)</f>
        <v/>
      </c>
      <c r="U1353" s="41">
        <f>SUMIFS(U$149:U$1327,$A$149:$A$1327,"ener",$B$149:$B$1327,$B1353)</f>
        <v/>
      </c>
      <c r="V1353" s="41">
        <f>SUMIFS(V$149:V$1327,$A$149:$A$1327,"ener",$B$149:$B$1327,$B1353)</f>
        <v/>
      </c>
      <c r="W1353" s="41">
        <f>SUMIFS(W$149:W$1327,$A$149:$A$1327,"ener",$B$149:$B$1327,$B1353)</f>
        <v/>
      </c>
      <c r="X1353" s="41">
        <f>SUMIFS(X$149:X$1327,$A$149:$A$1327,"ener",$B$149:$B$1327,$B1353)</f>
        <v/>
      </c>
      <c r="Y1353" s="41">
        <f>SUMIFS(Y$149:Y$1327,$A$149:$A$1327,"ener",$B$149:$B$1327,$B1353)</f>
        <v/>
      </c>
      <c r="Z1353" s="23">
        <f>LOWER(Settings!$C$4)&amp;".mit."&amp;$A1353&amp;IF($C1353="","","."&amp;$C1353&amp;"."&amp;$B1353)&amp;IF(INDEX(Variables!$D$5:$D$65,MATCH($A1353,Variables!$A$5:$A$65,0))="","","."&amp;INDEX(Variables!$D$5:$D$65,MATCH($A1353,Variables!$A$5:$A$65,0)))&amp;"."&amp;Z$5</f>
        <v/>
      </c>
      <c r="AA1353" s="40">
        <f>SUMIFS(AA$149:AA$1327,$A$149:$A$1327,"ener",$B$149:$B$1327,$B1353)</f>
        <v/>
      </c>
      <c r="AB1353" s="41">
        <f>SUMIFS(AB$149:AB$1327,$A$149:$A$1327,"ener",$B$149:$B$1327,$B1353)</f>
        <v/>
      </c>
      <c r="AC1353" s="41">
        <f>SUMIFS(AC$149:AC$1327,$A$149:$A$1327,"ener",$B$149:$B$1327,$B1353)</f>
        <v/>
      </c>
      <c r="AD1353" s="41">
        <f>SUMIFS(AD$149:AD$1327,$A$149:$A$1327,"ener",$B$149:$B$1327,$B1353)</f>
        <v/>
      </c>
      <c r="AE1353" s="41">
        <f>SUMIFS(AE$149:AE$1327,$A$149:$A$1327,"ener",$B$149:$B$1327,$B1353)</f>
        <v/>
      </c>
      <c r="AF1353" s="41">
        <f>SUMIFS(AF$149:AF$1327,$A$149:$A$1327,"ener",$B$149:$B$1327,$B1353)</f>
        <v/>
      </c>
      <c r="AG1353" s="41">
        <f>SUMIFS(AG$149:AG$1327,$A$149:$A$1327,"ener",$B$149:$B$1327,$B1353)</f>
        <v/>
      </c>
      <c r="AH1353" s="41">
        <f>SUMIFS(AH$149:AH$1327,$A$149:$A$1327,"ener",$B$149:$B$1327,$B1353)</f>
        <v/>
      </c>
      <c r="AI1353" s="41">
        <f>SUMIFS(AI$149:AI$1327,$A$149:$A$1327,"ener",$B$149:$B$1327,$B1353)</f>
        <v/>
      </c>
      <c r="AJ1353" s="41">
        <f>SUMIFS(AJ$149:AJ$1327,$A$149:$A$1327,"ener",$B$149:$B$1327,$B1353)</f>
        <v/>
      </c>
      <c r="AK1353" s="41">
        <f>SUMIFS(AK$149:AK$1327,$A$149:$A$1327,"ener",$B$149:$B$1327,$B1353)</f>
        <v/>
      </c>
      <c r="AL1353" s="41">
        <f>SUMIFS(AL$149:AL$1327,$A$149:$A$1327,"ener",$B$149:$B$1327,$B1353)</f>
        <v/>
      </c>
      <c r="AM1353" s="41">
        <f>SUMIFS(AM$149:AM$1327,$A$149:$A$1327,"ener",$B$149:$B$1327,$B1353)</f>
        <v/>
      </c>
      <c r="AN1353" s="41">
        <f>SUMIFS(AN$149:AN$1327,$A$149:$A$1327,"ener",$B$149:$B$1327,$B1353)</f>
        <v/>
      </c>
    </row>
    <row r="1354" outlineLevel="1">
      <c r="A1354" s="5" t="inlineStr">
        <is>
          <t>ener</t>
        </is>
      </c>
      <c r="B1354" s="5" t="inlineStr">
        <is>
          <t>ker</t>
        </is>
      </c>
      <c r="C1354" s="5" t="inlineStr">
        <is>
          <t>all</t>
        </is>
      </c>
      <c r="H1354" s="5">
        <f>INDEX(Variables!$B$5:$B$65,MATCH($A1354,Variables!$A$5:$A$65,0))&amp;IF($C1354="",""," | "&amp;INDEX(Mapping!$B$5:$B$25,MATCH($C1354,Mapping!$A$5:$A$25,0))&amp;" | "&amp;INDEX(Mapping!$B$29:$B$38,MATCH($B1354,Mapping!$A$29:$A$38,0)))</f>
        <v/>
      </c>
      <c r="I1354" s="5">
        <f>INDEX(Variables!$C$5:$C$65,MATCH($A1354,Variables!$A$5:$A$65,0))</f>
        <v/>
      </c>
      <c r="J1354" s="5">
        <f>INDEX(Variables!$E$5:$E$65,MATCH($A1354,Variables!$A$5:$A$65,0))</f>
        <v/>
      </c>
      <c r="K1354" s="23">
        <f>LOWER(Settings!$C$4)&amp;".mit."&amp;$A1354&amp;IF($C1354="","","."&amp;$C1354&amp;"."&amp;$B1354)&amp;IF(INDEX(Variables!$D$5:$D$65,MATCH($A1354,Variables!$A$5:$A$65,0))="","","."&amp;INDEX(Variables!$D$5:$D$65,MATCH($A1354,Variables!$A$5:$A$65,0)))&amp;"."&amp;K$5</f>
        <v/>
      </c>
      <c r="L1354" s="40">
        <f>SUMIFS(L$149:L$1327,$A$149:$A$1327,"ener",$B$149:$B$1327,$B1354)</f>
        <v/>
      </c>
      <c r="M1354" s="41">
        <f>SUMIFS(M$149:M$1327,$A$149:$A$1327,"ener",$B$149:$B$1327,$B1354)</f>
        <v/>
      </c>
      <c r="N1354" s="41">
        <f>SUMIFS(N$149:N$1327,$A$149:$A$1327,"ener",$B$149:$B$1327,$B1354)</f>
        <v/>
      </c>
      <c r="O1354" s="41">
        <f>SUMIFS(O$149:O$1327,$A$149:$A$1327,"ener",$B$149:$B$1327,$B1354)</f>
        <v/>
      </c>
      <c r="P1354" s="41">
        <f>SUMIFS(P$149:P$1327,$A$149:$A$1327,"ener",$B$149:$B$1327,$B1354)</f>
        <v/>
      </c>
      <c r="Q1354" s="41">
        <f>SUMIFS(Q$149:Q$1327,$A$149:$A$1327,"ener",$B$149:$B$1327,$B1354)</f>
        <v/>
      </c>
      <c r="R1354" s="41">
        <f>SUMIFS(R$149:R$1327,$A$149:$A$1327,"ener",$B$149:$B$1327,$B1354)</f>
        <v/>
      </c>
      <c r="S1354" s="41">
        <f>SUMIFS(S$149:S$1327,$A$149:$A$1327,"ener",$B$149:$B$1327,$B1354)</f>
        <v/>
      </c>
      <c r="T1354" s="41">
        <f>SUMIFS(T$149:T$1327,$A$149:$A$1327,"ener",$B$149:$B$1327,$B1354)</f>
        <v/>
      </c>
      <c r="U1354" s="41">
        <f>SUMIFS(U$149:U$1327,$A$149:$A$1327,"ener",$B$149:$B$1327,$B1354)</f>
        <v/>
      </c>
      <c r="V1354" s="41">
        <f>SUMIFS(V$149:V$1327,$A$149:$A$1327,"ener",$B$149:$B$1327,$B1354)</f>
        <v/>
      </c>
      <c r="W1354" s="41">
        <f>SUMIFS(W$149:W$1327,$A$149:$A$1327,"ener",$B$149:$B$1327,$B1354)</f>
        <v/>
      </c>
      <c r="X1354" s="41">
        <f>SUMIFS(X$149:X$1327,$A$149:$A$1327,"ener",$B$149:$B$1327,$B1354)</f>
        <v/>
      </c>
      <c r="Y1354" s="41">
        <f>SUMIFS(Y$149:Y$1327,$A$149:$A$1327,"ener",$B$149:$B$1327,$B1354)</f>
        <v/>
      </c>
      <c r="Z1354" s="23">
        <f>LOWER(Settings!$C$4)&amp;".mit."&amp;$A1354&amp;IF($C1354="","","."&amp;$C1354&amp;"."&amp;$B1354)&amp;IF(INDEX(Variables!$D$5:$D$65,MATCH($A1354,Variables!$A$5:$A$65,0))="","","."&amp;INDEX(Variables!$D$5:$D$65,MATCH($A1354,Variables!$A$5:$A$65,0)))&amp;"."&amp;Z$5</f>
        <v/>
      </c>
      <c r="AA1354" s="40">
        <f>SUMIFS(AA$149:AA$1327,$A$149:$A$1327,"ener",$B$149:$B$1327,$B1354)</f>
        <v/>
      </c>
      <c r="AB1354" s="41">
        <f>SUMIFS(AB$149:AB$1327,$A$149:$A$1327,"ener",$B$149:$B$1327,$B1354)</f>
        <v/>
      </c>
      <c r="AC1354" s="41">
        <f>SUMIFS(AC$149:AC$1327,$A$149:$A$1327,"ener",$B$149:$B$1327,$B1354)</f>
        <v/>
      </c>
      <c r="AD1354" s="41">
        <f>SUMIFS(AD$149:AD$1327,$A$149:$A$1327,"ener",$B$149:$B$1327,$B1354)</f>
        <v/>
      </c>
      <c r="AE1354" s="41">
        <f>SUMIFS(AE$149:AE$1327,$A$149:$A$1327,"ener",$B$149:$B$1327,$B1354)</f>
        <v/>
      </c>
      <c r="AF1354" s="41">
        <f>SUMIFS(AF$149:AF$1327,$A$149:$A$1327,"ener",$B$149:$B$1327,$B1354)</f>
        <v/>
      </c>
      <c r="AG1354" s="41">
        <f>SUMIFS(AG$149:AG$1327,$A$149:$A$1327,"ener",$B$149:$B$1327,$B1354)</f>
        <v/>
      </c>
      <c r="AH1354" s="41">
        <f>SUMIFS(AH$149:AH$1327,$A$149:$A$1327,"ener",$B$149:$B$1327,$B1354)</f>
        <v/>
      </c>
      <c r="AI1354" s="41">
        <f>SUMIFS(AI$149:AI$1327,$A$149:$A$1327,"ener",$B$149:$B$1327,$B1354)</f>
        <v/>
      </c>
      <c r="AJ1354" s="41">
        <f>SUMIFS(AJ$149:AJ$1327,$A$149:$A$1327,"ener",$B$149:$B$1327,$B1354)</f>
        <v/>
      </c>
      <c r="AK1354" s="41">
        <f>SUMIFS(AK$149:AK$1327,$A$149:$A$1327,"ener",$B$149:$B$1327,$B1354)</f>
        <v/>
      </c>
      <c r="AL1354" s="41">
        <f>SUMIFS(AL$149:AL$1327,$A$149:$A$1327,"ener",$B$149:$B$1327,$B1354)</f>
        <v/>
      </c>
      <c r="AM1354" s="41">
        <f>SUMIFS(AM$149:AM$1327,$A$149:$A$1327,"ener",$B$149:$B$1327,$B1354)</f>
        <v/>
      </c>
      <c r="AN1354" s="41">
        <f>SUMIFS(AN$149:AN$1327,$A$149:$A$1327,"ener",$B$149:$B$1327,$B1354)</f>
        <v/>
      </c>
    </row>
    <row r="1355" outlineLevel="1">
      <c r="A1355" s="5" t="inlineStr">
        <is>
          <t>ener</t>
        </is>
      </c>
      <c r="B1355" s="5" t="inlineStr">
        <is>
          <t>oop</t>
        </is>
      </c>
      <c r="C1355" s="5" t="inlineStr">
        <is>
          <t>all</t>
        </is>
      </c>
      <c r="H1355" s="5">
        <f>INDEX(Variables!$B$5:$B$65,MATCH($A1355,Variables!$A$5:$A$65,0))&amp;IF($C1355="",""," | "&amp;INDEX(Mapping!$B$5:$B$25,MATCH($C1355,Mapping!$A$5:$A$25,0))&amp;" | "&amp;INDEX(Mapping!$B$29:$B$38,MATCH($B1355,Mapping!$A$29:$A$38,0)))</f>
        <v/>
      </c>
      <c r="I1355" s="5">
        <f>INDEX(Variables!$C$5:$C$65,MATCH($A1355,Variables!$A$5:$A$65,0))</f>
        <v/>
      </c>
      <c r="J1355" s="5">
        <f>INDEX(Variables!$E$5:$E$65,MATCH($A1355,Variables!$A$5:$A$65,0))</f>
        <v/>
      </c>
      <c r="K1355" s="23">
        <f>LOWER(Settings!$C$4)&amp;".mit."&amp;$A1355&amp;IF($C1355="","","."&amp;$C1355&amp;"."&amp;$B1355)&amp;IF(INDEX(Variables!$D$5:$D$65,MATCH($A1355,Variables!$A$5:$A$65,0))="","","."&amp;INDEX(Variables!$D$5:$D$65,MATCH($A1355,Variables!$A$5:$A$65,0)))&amp;"."&amp;K$5</f>
        <v/>
      </c>
      <c r="L1355" s="40">
        <f>SUMIFS(L$149:L$1327,$A$149:$A$1327,"ener",$B$149:$B$1327,$B1355)</f>
        <v/>
      </c>
      <c r="M1355" s="41">
        <f>SUMIFS(M$149:M$1327,$A$149:$A$1327,"ener",$B$149:$B$1327,$B1355)</f>
        <v/>
      </c>
      <c r="N1355" s="41">
        <f>SUMIFS(N$149:N$1327,$A$149:$A$1327,"ener",$B$149:$B$1327,$B1355)</f>
        <v/>
      </c>
      <c r="O1355" s="41">
        <f>SUMIFS(O$149:O$1327,$A$149:$A$1327,"ener",$B$149:$B$1327,$B1355)</f>
        <v/>
      </c>
      <c r="P1355" s="41">
        <f>SUMIFS(P$149:P$1327,$A$149:$A$1327,"ener",$B$149:$B$1327,$B1355)</f>
        <v/>
      </c>
      <c r="Q1355" s="41">
        <f>SUMIFS(Q$149:Q$1327,$A$149:$A$1327,"ener",$B$149:$B$1327,$B1355)</f>
        <v/>
      </c>
      <c r="R1355" s="41">
        <f>SUMIFS(R$149:R$1327,$A$149:$A$1327,"ener",$B$149:$B$1327,$B1355)</f>
        <v/>
      </c>
      <c r="S1355" s="41">
        <f>SUMIFS(S$149:S$1327,$A$149:$A$1327,"ener",$B$149:$B$1327,$B1355)</f>
        <v/>
      </c>
      <c r="T1355" s="41">
        <f>SUMIFS(T$149:T$1327,$A$149:$A$1327,"ener",$B$149:$B$1327,$B1355)</f>
        <v/>
      </c>
      <c r="U1355" s="41">
        <f>SUMIFS(U$149:U$1327,$A$149:$A$1327,"ener",$B$149:$B$1327,$B1355)</f>
        <v/>
      </c>
      <c r="V1355" s="41">
        <f>SUMIFS(V$149:V$1327,$A$149:$A$1327,"ener",$B$149:$B$1327,$B1355)</f>
        <v/>
      </c>
      <c r="W1355" s="41">
        <f>SUMIFS(W$149:W$1327,$A$149:$A$1327,"ener",$B$149:$B$1327,$B1355)</f>
        <v/>
      </c>
      <c r="X1355" s="41">
        <f>SUMIFS(X$149:X$1327,$A$149:$A$1327,"ener",$B$149:$B$1327,$B1355)</f>
        <v/>
      </c>
      <c r="Y1355" s="41">
        <f>SUMIFS(Y$149:Y$1327,$A$149:$A$1327,"ener",$B$149:$B$1327,$B1355)</f>
        <v/>
      </c>
      <c r="Z1355" s="23">
        <f>LOWER(Settings!$C$4)&amp;".mit."&amp;$A1355&amp;IF($C1355="","","."&amp;$C1355&amp;"."&amp;$B1355)&amp;IF(INDEX(Variables!$D$5:$D$65,MATCH($A1355,Variables!$A$5:$A$65,0))="","","."&amp;INDEX(Variables!$D$5:$D$65,MATCH($A1355,Variables!$A$5:$A$65,0)))&amp;"."&amp;Z$5</f>
        <v/>
      </c>
      <c r="AA1355" s="40">
        <f>SUMIFS(AA$149:AA$1327,$A$149:$A$1327,"ener",$B$149:$B$1327,$B1355)</f>
        <v/>
      </c>
      <c r="AB1355" s="41">
        <f>SUMIFS(AB$149:AB$1327,$A$149:$A$1327,"ener",$B$149:$B$1327,$B1355)</f>
        <v/>
      </c>
      <c r="AC1355" s="41">
        <f>SUMIFS(AC$149:AC$1327,$A$149:$A$1327,"ener",$B$149:$B$1327,$B1355)</f>
        <v/>
      </c>
      <c r="AD1355" s="41">
        <f>SUMIFS(AD$149:AD$1327,$A$149:$A$1327,"ener",$B$149:$B$1327,$B1355)</f>
        <v/>
      </c>
      <c r="AE1355" s="41">
        <f>SUMIFS(AE$149:AE$1327,$A$149:$A$1327,"ener",$B$149:$B$1327,$B1355)</f>
        <v/>
      </c>
      <c r="AF1355" s="41">
        <f>SUMIFS(AF$149:AF$1327,$A$149:$A$1327,"ener",$B$149:$B$1327,$B1355)</f>
        <v/>
      </c>
      <c r="AG1355" s="41">
        <f>SUMIFS(AG$149:AG$1327,$A$149:$A$1327,"ener",$B$149:$B$1327,$B1355)</f>
        <v/>
      </c>
      <c r="AH1355" s="41">
        <f>SUMIFS(AH$149:AH$1327,$A$149:$A$1327,"ener",$B$149:$B$1327,$B1355)</f>
        <v/>
      </c>
      <c r="AI1355" s="41">
        <f>SUMIFS(AI$149:AI$1327,$A$149:$A$1327,"ener",$B$149:$B$1327,$B1355)</f>
        <v/>
      </c>
      <c r="AJ1355" s="41">
        <f>SUMIFS(AJ$149:AJ$1327,$A$149:$A$1327,"ener",$B$149:$B$1327,$B1355)</f>
        <v/>
      </c>
      <c r="AK1355" s="41">
        <f>SUMIFS(AK$149:AK$1327,$A$149:$A$1327,"ener",$B$149:$B$1327,$B1355)</f>
        <v/>
      </c>
      <c r="AL1355" s="41">
        <f>SUMIFS(AL$149:AL$1327,$A$149:$A$1327,"ener",$B$149:$B$1327,$B1355)</f>
        <v/>
      </c>
      <c r="AM1355" s="41">
        <f>SUMIFS(AM$149:AM$1327,$A$149:$A$1327,"ener",$B$149:$B$1327,$B1355)</f>
        <v/>
      </c>
      <c r="AN1355" s="41">
        <f>SUMIFS(AN$149:AN$1327,$A$149:$A$1327,"ener",$B$149:$B$1327,$B1355)</f>
        <v/>
      </c>
    </row>
    <row r="1356" outlineLevel="1">
      <c r="A1356" s="5" t="inlineStr">
        <is>
          <t>ener</t>
        </is>
      </c>
      <c r="B1356" s="5" t="inlineStr">
        <is>
          <t>bio</t>
        </is>
      </c>
      <c r="C1356" s="5" t="inlineStr">
        <is>
          <t>all</t>
        </is>
      </c>
      <c r="H1356" s="5">
        <f>INDEX(Variables!$B$5:$B$65,MATCH($A1356,Variables!$A$5:$A$65,0))&amp;IF($C1356="",""," | "&amp;INDEX(Mapping!$B$5:$B$25,MATCH($C1356,Mapping!$A$5:$A$25,0))&amp;" | "&amp;INDEX(Mapping!$B$29:$B$38,MATCH($B1356,Mapping!$A$29:$A$38,0)))</f>
        <v/>
      </c>
      <c r="I1356" s="5">
        <f>INDEX(Variables!$C$5:$C$65,MATCH($A1356,Variables!$A$5:$A$65,0))</f>
        <v/>
      </c>
      <c r="J1356" s="5">
        <f>INDEX(Variables!$E$5:$E$65,MATCH($A1356,Variables!$A$5:$A$65,0))</f>
        <v/>
      </c>
      <c r="K1356" s="23">
        <f>LOWER(Settings!$C$4)&amp;".mit."&amp;$A1356&amp;IF($C1356="","","."&amp;$C1356&amp;"."&amp;$B1356)&amp;IF(INDEX(Variables!$D$5:$D$65,MATCH($A1356,Variables!$A$5:$A$65,0))="","","."&amp;INDEX(Variables!$D$5:$D$65,MATCH($A1356,Variables!$A$5:$A$65,0)))&amp;"."&amp;K$5</f>
        <v/>
      </c>
      <c r="L1356" s="40">
        <f>SUMIFS(L$149:L$1327,$A$149:$A$1327,"ener",$B$149:$B$1327,$B1356)</f>
        <v/>
      </c>
      <c r="M1356" s="41">
        <f>SUMIFS(M$149:M$1327,$A$149:$A$1327,"ener",$B$149:$B$1327,$B1356)</f>
        <v/>
      </c>
      <c r="N1356" s="41">
        <f>SUMIFS(N$149:N$1327,$A$149:$A$1327,"ener",$B$149:$B$1327,$B1356)</f>
        <v/>
      </c>
      <c r="O1356" s="41">
        <f>SUMIFS(O$149:O$1327,$A$149:$A$1327,"ener",$B$149:$B$1327,$B1356)</f>
        <v/>
      </c>
      <c r="P1356" s="41">
        <f>SUMIFS(P$149:P$1327,$A$149:$A$1327,"ener",$B$149:$B$1327,$B1356)</f>
        <v/>
      </c>
      <c r="Q1356" s="41">
        <f>SUMIFS(Q$149:Q$1327,$A$149:$A$1327,"ener",$B$149:$B$1327,$B1356)</f>
        <v/>
      </c>
      <c r="R1356" s="41">
        <f>SUMIFS(R$149:R$1327,$A$149:$A$1327,"ener",$B$149:$B$1327,$B1356)</f>
        <v/>
      </c>
      <c r="S1356" s="41">
        <f>SUMIFS(S$149:S$1327,$A$149:$A$1327,"ener",$B$149:$B$1327,$B1356)</f>
        <v/>
      </c>
      <c r="T1356" s="41">
        <f>SUMIFS(T$149:T$1327,$A$149:$A$1327,"ener",$B$149:$B$1327,$B1356)</f>
        <v/>
      </c>
      <c r="U1356" s="41">
        <f>SUMIFS(U$149:U$1327,$A$149:$A$1327,"ener",$B$149:$B$1327,$B1356)</f>
        <v/>
      </c>
      <c r="V1356" s="41">
        <f>SUMIFS(V$149:V$1327,$A$149:$A$1327,"ener",$B$149:$B$1327,$B1356)</f>
        <v/>
      </c>
      <c r="W1356" s="41">
        <f>SUMIFS(W$149:W$1327,$A$149:$A$1327,"ener",$B$149:$B$1327,$B1356)</f>
        <v/>
      </c>
      <c r="X1356" s="41">
        <f>SUMIFS(X$149:X$1327,$A$149:$A$1327,"ener",$B$149:$B$1327,$B1356)</f>
        <v/>
      </c>
      <c r="Y1356" s="41">
        <f>SUMIFS(Y$149:Y$1327,$A$149:$A$1327,"ener",$B$149:$B$1327,$B1356)</f>
        <v/>
      </c>
      <c r="Z1356" s="23">
        <f>LOWER(Settings!$C$4)&amp;".mit."&amp;$A1356&amp;IF($C1356="","","."&amp;$C1356&amp;"."&amp;$B1356)&amp;IF(INDEX(Variables!$D$5:$D$65,MATCH($A1356,Variables!$A$5:$A$65,0))="","","."&amp;INDEX(Variables!$D$5:$D$65,MATCH($A1356,Variables!$A$5:$A$65,0)))&amp;"."&amp;Z$5</f>
        <v/>
      </c>
      <c r="AA1356" s="40">
        <f>SUMIFS(AA$149:AA$1327,$A$149:$A$1327,"ener",$B$149:$B$1327,$B1356)</f>
        <v/>
      </c>
      <c r="AB1356" s="41">
        <f>SUMIFS(AB$149:AB$1327,$A$149:$A$1327,"ener",$B$149:$B$1327,$B1356)</f>
        <v/>
      </c>
      <c r="AC1356" s="41">
        <f>SUMIFS(AC$149:AC$1327,$A$149:$A$1327,"ener",$B$149:$B$1327,$B1356)</f>
        <v/>
      </c>
      <c r="AD1356" s="41">
        <f>SUMIFS(AD$149:AD$1327,$A$149:$A$1327,"ener",$B$149:$B$1327,$B1356)</f>
        <v/>
      </c>
      <c r="AE1356" s="41">
        <f>SUMIFS(AE$149:AE$1327,$A$149:$A$1327,"ener",$B$149:$B$1327,$B1356)</f>
        <v/>
      </c>
      <c r="AF1356" s="41">
        <f>SUMIFS(AF$149:AF$1327,$A$149:$A$1327,"ener",$B$149:$B$1327,$B1356)</f>
        <v/>
      </c>
      <c r="AG1356" s="41">
        <f>SUMIFS(AG$149:AG$1327,$A$149:$A$1327,"ener",$B$149:$B$1327,$B1356)</f>
        <v/>
      </c>
      <c r="AH1356" s="41">
        <f>SUMIFS(AH$149:AH$1327,$A$149:$A$1327,"ener",$B$149:$B$1327,$B1356)</f>
        <v/>
      </c>
      <c r="AI1356" s="41">
        <f>SUMIFS(AI$149:AI$1327,$A$149:$A$1327,"ener",$B$149:$B$1327,$B1356)</f>
        <v/>
      </c>
      <c r="AJ1356" s="41">
        <f>SUMIFS(AJ$149:AJ$1327,$A$149:$A$1327,"ener",$B$149:$B$1327,$B1356)</f>
        <v/>
      </c>
      <c r="AK1356" s="41">
        <f>SUMIFS(AK$149:AK$1327,$A$149:$A$1327,"ener",$B$149:$B$1327,$B1356)</f>
        <v/>
      </c>
      <c r="AL1356" s="41">
        <f>SUMIFS(AL$149:AL$1327,$A$149:$A$1327,"ener",$B$149:$B$1327,$B1356)</f>
        <v/>
      </c>
      <c r="AM1356" s="41">
        <f>SUMIFS(AM$149:AM$1327,$A$149:$A$1327,"ener",$B$149:$B$1327,$B1356)</f>
        <v/>
      </c>
      <c r="AN1356" s="41">
        <f>SUMIFS(AN$149:AN$1327,$A$149:$A$1327,"ener",$B$149:$B$1327,$B1356)</f>
        <v/>
      </c>
    </row>
    <row r="1357" outlineLevel="1"/>
    <row r="1358" outlineLevel="1">
      <c r="A1358" s="7" t="inlineStr">
        <is>
          <t>ener.chk</t>
        </is>
      </c>
      <c r="B1358" s="7" t="inlineStr"/>
      <c r="C1358" s="7" t="inlineStr"/>
      <c r="H1358" s="7">
        <f>INDEX(Variables!$B$5:$B$65,MATCH($A1358,Variables!$A$5:$A$65,0))&amp;IF($C1358="",""," | "&amp;INDEX(Mapping!$B$5:$B$25,MATCH($C1358,Mapping!$A$5:$A$25,0))&amp;" | "&amp;INDEX(Mapping!$B$29:$B$38,MATCH($B1358,Mapping!$A$29:$A$38,0)))</f>
        <v/>
      </c>
      <c r="I1358" s="7">
        <f>INDEX(Variables!$C$5:$C$65,MATCH($A1358,Variables!$A$5:$A$65,0))</f>
        <v/>
      </c>
      <c r="J1358" s="7">
        <f>INDEX(Variables!$E$5:$E$65,MATCH($A1358,Variables!$A$5:$A$65,0))</f>
        <v/>
      </c>
      <c r="K1358" s="23">
        <f>LOWER(Settings!$C$4)&amp;".mit."&amp;$A1358&amp;IF($C1358="","","."&amp;$C1358&amp;"."&amp;$B1358)&amp;IF(INDEX(Variables!$D$5:$D$65,MATCH($A1358,Variables!$A$5:$A$65,0))="","","."&amp;INDEX(Variables!$D$5:$D$65,MATCH($A1358,Variables!$A$5:$A$65,0)))&amp;"."&amp;K$5</f>
        <v/>
      </c>
      <c r="L1358" s="43">
        <f>ABS(SUM(L1332:L1347)-L1330)+ABS(SUM(L1349:L1356)-L1330)</f>
        <v/>
      </c>
      <c r="M1358" s="43">
        <f>ABS(SUM(M1332:M1347)-M1330)+ABS(SUM(M1349:M1356)-M1330)</f>
        <v/>
      </c>
      <c r="N1358" s="43">
        <f>ABS(SUM(N1332:N1347)-N1330)+ABS(SUM(N1349:N1356)-N1330)</f>
        <v/>
      </c>
      <c r="O1358" s="43">
        <f>ABS(SUM(O1332:O1347)-O1330)+ABS(SUM(O1349:O1356)-O1330)</f>
        <v/>
      </c>
      <c r="P1358" s="43">
        <f>ABS(SUM(P1332:P1347)-P1330)+ABS(SUM(P1349:P1356)-P1330)</f>
        <v/>
      </c>
      <c r="Q1358" s="43">
        <f>ABS(SUM(Q1332:Q1347)-Q1330)+ABS(SUM(Q1349:Q1356)-Q1330)</f>
        <v/>
      </c>
      <c r="R1358" s="43">
        <f>ABS(SUM(R1332:R1347)-R1330)+ABS(SUM(R1349:R1356)-R1330)</f>
        <v/>
      </c>
      <c r="S1358" s="43">
        <f>ABS(SUM(S1332:S1347)-S1330)+ABS(SUM(S1349:S1356)-S1330)</f>
        <v/>
      </c>
      <c r="T1358" s="43">
        <f>ABS(SUM(T1332:T1347)-T1330)+ABS(SUM(T1349:T1356)-T1330)</f>
        <v/>
      </c>
      <c r="U1358" s="43">
        <f>ABS(SUM(U1332:U1347)-U1330)+ABS(SUM(U1349:U1356)-U1330)</f>
        <v/>
      </c>
      <c r="V1358" s="43">
        <f>ABS(SUM(V1332:V1347)-V1330)+ABS(SUM(V1349:V1356)-V1330)</f>
        <v/>
      </c>
      <c r="W1358" s="43">
        <f>ABS(SUM(W1332:W1347)-W1330)+ABS(SUM(W1349:W1356)-W1330)</f>
        <v/>
      </c>
      <c r="X1358" s="43">
        <f>ABS(SUM(X1332:X1347)-X1330)+ABS(SUM(X1349:X1356)-X1330)</f>
        <v/>
      </c>
      <c r="Y1358" s="43">
        <f>ABS(SUM(Y1332:Y1347)-Y1330)+ABS(SUM(Y1349:Y1356)-Y1330)</f>
        <v/>
      </c>
      <c r="Z1358" s="23">
        <f>LOWER(Settings!$C$4)&amp;".mit."&amp;$A1358&amp;IF($C1358="","","."&amp;$C1358&amp;"."&amp;$B1358)&amp;IF(INDEX(Variables!$D$5:$D$65,MATCH($A1358,Variables!$A$5:$A$65,0))="","","."&amp;INDEX(Variables!$D$5:$D$65,MATCH($A1358,Variables!$A$5:$A$65,0)))&amp;"."&amp;Z$5</f>
        <v/>
      </c>
      <c r="AA1358" s="43">
        <f>ABS(SUM(AA1332:AA1347)-AA1330)+ABS(SUM(AA1349:AA1356)-AA1330)</f>
        <v/>
      </c>
      <c r="AB1358" s="43">
        <f>ABS(SUM(AB1332:AB1347)-AB1330)+ABS(SUM(AB1349:AB1356)-AB1330)</f>
        <v/>
      </c>
      <c r="AC1358" s="43">
        <f>ABS(SUM(AC1332:AC1347)-AC1330)+ABS(SUM(AC1349:AC1356)-AC1330)</f>
        <v/>
      </c>
      <c r="AD1358" s="43">
        <f>ABS(SUM(AD1332:AD1347)-AD1330)+ABS(SUM(AD1349:AD1356)-AD1330)</f>
        <v/>
      </c>
      <c r="AE1358" s="43">
        <f>ABS(SUM(AE1332:AE1347)-AE1330)+ABS(SUM(AE1349:AE1356)-AE1330)</f>
        <v/>
      </c>
      <c r="AF1358" s="43">
        <f>ABS(SUM(AF1332:AF1347)-AF1330)+ABS(SUM(AF1349:AF1356)-AF1330)</f>
        <v/>
      </c>
      <c r="AG1358" s="43">
        <f>ABS(SUM(AG1332:AG1347)-AG1330)+ABS(SUM(AG1349:AG1356)-AG1330)</f>
        <v/>
      </c>
      <c r="AH1358" s="43">
        <f>ABS(SUM(AH1332:AH1347)-AH1330)+ABS(SUM(AH1349:AH1356)-AH1330)</f>
        <v/>
      </c>
      <c r="AI1358" s="43">
        <f>ABS(SUM(AI1332:AI1347)-AI1330)+ABS(SUM(AI1349:AI1356)-AI1330)</f>
        <v/>
      </c>
      <c r="AJ1358" s="43">
        <f>ABS(SUM(AJ1332:AJ1347)-AJ1330)+ABS(SUM(AJ1349:AJ1356)-AJ1330)</f>
        <v/>
      </c>
      <c r="AK1358" s="43">
        <f>ABS(SUM(AK1332:AK1347)-AK1330)+ABS(SUM(AK1349:AK1356)-AK1330)</f>
        <v/>
      </c>
      <c r="AL1358" s="43">
        <f>ABS(SUM(AL1332:AL1347)-AL1330)+ABS(SUM(AL1349:AL1356)-AL1330)</f>
        <v/>
      </c>
      <c r="AM1358" s="43">
        <f>ABS(SUM(AM1332:AM1347)-AM1330)+ABS(SUM(AM1349:AM1356)-AM1330)</f>
        <v/>
      </c>
      <c r="AN1358" s="43">
        <f>ABS(SUM(AN1332:AN1347)-AN1330)+ABS(SUM(AN1349:AN1356)-AN1330)</f>
        <v/>
      </c>
    </row>
    <row r="1359" outlineLevel="1"/>
    <row r="1360" outlineLevel="1">
      <c r="A1360" s="7" t="inlineStr">
        <is>
          <t>ener.ref</t>
        </is>
      </c>
      <c r="B1360" s="7" t="inlineStr">
        <is>
          <t>all</t>
        </is>
      </c>
      <c r="C1360" s="7" t="inlineStr">
        <is>
          <t>all</t>
        </is>
      </c>
      <c r="H1360" s="7">
        <f>INDEX(Variables!$B$5:$B$65,MATCH($A1360,Variables!$A$5:$A$65,0))&amp;IF($C1360="",""," | "&amp;INDEX(Mapping!$B$5:$B$25,MATCH($C1360,Mapping!$A$5:$A$25,0))&amp;" | "&amp;INDEX(Mapping!$B$29:$B$38,MATCH($B1360,Mapping!$A$29:$A$38,0)))</f>
        <v/>
      </c>
      <c r="I1360" s="7">
        <f>INDEX(Variables!$C$5:$C$65,MATCH($A1360,Variables!$A$5:$A$65,0))</f>
        <v/>
      </c>
      <c r="J1360" s="7">
        <f>INDEX(Variables!$E$5:$E$65,MATCH($A1360,Variables!$A$5:$A$65,0))</f>
        <v/>
      </c>
      <c r="K1360" s="23">
        <f>LOWER(Settings!$C$4)&amp;".mit."&amp;$A1360&amp;IF($C1360="","","."&amp;$C1360&amp;"."&amp;$B1360)&amp;IF(INDEX(Variables!$D$5:$D$65,MATCH($A1360,Variables!$A$5:$A$65,0))="","","."&amp;INDEX(Variables!$D$5:$D$65,MATCH($A1360,Variables!$A$5:$A$65,0)))&amp;"."&amp;K$5</f>
        <v/>
      </c>
      <c r="L1360" s="40">
        <f>INDEX($K1330:$GH1330,MATCH(L$4,$K$4:$GH$4,0))</f>
        <v/>
      </c>
      <c r="M1360" s="41">
        <f>INDEX($K1330:$GH1330,MATCH(M$4,$K$4:$GH$4,0))</f>
        <v/>
      </c>
      <c r="N1360" s="41">
        <f>INDEX($K1330:$GH1330,MATCH(N$4,$K$4:$GH$4,0))</f>
        <v/>
      </c>
      <c r="O1360" s="41">
        <f>INDEX($K1330:$GH1330,MATCH(O$4,$K$4:$GH$4,0))</f>
        <v/>
      </c>
      <c r="P1360" s="41">
        <f>INDEX($K1330:$GH1330,MATCH(P$4,$K$4:$GH$4,0))</f>
        <v/>
      </c>
      <c r="Q1360" s="41">
        <f>INDEX($K1330:$GH1330,MATCH(Q$4,$K$4:$GH$4,0))</f>
        <v/>
      </c>
      <c r="R1360" s="41">
        <f>INDEX($K1330:$GH1330,MATCH(R$4,$K$4:$GH$4,0))</f>
        <v/>
      </c>
      <c r="S1360" s="41">
        <f>INDEX($K1330:$GH1330,MATCH(S$4,$K$4:$GH$4,0))</f>
        <v/>
      </c>
      <c r="T1360" s="41">
        <f>INDEX($K1330:$GH1330,MATCH(T$4,$K$4:$GH$4,0))</f>
        <v/>
      </c>
      <c r="U1360" s="41">
        <f>INDEX($K1330:$GH1330,MATCH(U$4,$K$4:$GH$4,0))</f>
        <v/>
      </c>
      <c r="V1360" s="41">
        <f>INDEX($K1330:$GH1330,MATCH(V$4,$K$4:$GH$4,0))</f>
        <v/>
      </c>
      <c r="W1360" s="41">
        <f>INDEX($K1330:$GH1330,MATCH(W$4,$K$4:$GH$4,0))</f>
        <v/>
      </c>
      <c r="X1360" s="41">
        <f>INDEX($K1330:$GH1330,MATCH(X$4,$K$4:$GH$4,0))</f>
        <v/>
      </c>
      <c r="Y1360" s="41">
        <f>INDEX($K1330:$GH1330,MATCH(Y$4,$K$4:$GH$4,0))</f>
        <v/>
      </c>
      <c r="Z1360" s="23">
        <f>LOWER(Settings!$C$4)&amp;".mit."&amp;$A1360&amp;IF($C1360="","","."&amp;$C1360&amp;"."&amp;$B1360)&amp;IF(INDEX(Variables!$D$5:$D$65,MATCH($A1360,Variables!$A$5:$A$65,0))="","","."&amp;INDEX(Variables!$D$5:$D$65,MATCH($A1360,Variables!$A$5:$A$65,0)))&amp;"."&amp;Z$5</f>
        <v/>
      </c>
      <c r="AA1360" s="40">
        <f>INDEX($K1330:$GH1330,MATCH(AA$4,$K$4:$GH$4,0))</f>
        <v/>
      </c>
      <c r="AB1360" s="41">
        <f>INDEX($K1330:$GH1330,MATCH(AB$4,$K$4:$GH$4,0))</f>
        <v/>
      </c>
      <c r="AC1360" s="41">
        <f>INDEX($K1330:$GH1330,MATCH(AC$4,$K$4:$GH$4,0))</f>
        <v/>
      </c>
      <c r="AD1360" s="41">
        <f>INDEX($K1330:$GH1330,MATCH(AD$4,$K$4:$GH$4,0))</f>
        <v/>
      </c>
      <c r="AE1360" s="41">
        <f>INDEX($K1330:$GH1330,MATCH(AE$4,$K$4:$GH$4,0))</f>
        <v/>
      </c>
      <c r="AF1360" s="41">
        <f>INDEX($K1330:$GH1330,MATCH(AF$4,$K$4:$GH$4,0))</f>
        <v/>
      </c>
      <c r="AG1360" s="41">
        <f>INDEX($K1330:$GH1330,MATCH(AG$4,$K$4:$GH$4,0))</f>
        <v/>
      </c>
      <c r="AH1360" s="41">
        <f>INDEX($K1330:$GH1330,MATCH(AH$4,$K$4:$GH$4,0))</f>
        <v/>
      </c>
      <c r="AI1360" s="41">
        <f>INDEX($K1330:$GH1330,MATCH(AI$4,$K$4:$GH$4,0))</f>
        <v/>
      </c>
      <c r="AJ1360" s="41">
        <f>INDEX($K1330:$GH1330,MATCH(AJ$4,$K$4:$GH$4,0))</f>
        <v/>
      </c>
      <c r="AK1360" s="41">
        <f>INDEX($K1330:$GH1330,MATCH(AK$4,$K$4:$GH$4,0))</f>
        <v/>
      </c>
      <c r="AL1360" s="41">
        <f>INDEX($K1330:$GH1330,MATCH(AL$4,$K$4:$GH$4,0))</f>
        <v/>
      </c>
      <c r="AM1360" s="41">
        <f>INDEX($K1330:$GH1330,MATCH(AM$4,$K$4:$GH$4,0))</f>
        <v/>
      </c>
      <c r="AN1360" s="41">
        <f>INDEX($K1330:$GH1330,MATCH(AN$4,$K$4:$GH$4,0))</f>
        <v/>
      </c>
    </row>
    <row r="1361" outlineLevel="1">
      <c r="A1361" s="7" t="inlineStr">
        <is>
          <t>ener.pct</t>
        </is>
      </c>
      <c r="B1361" s="7" t="inlineStr">
        <is>
          <t>all</t>
        </is>
      </c>
      <c r="C1361" s="7" t="inlineStr">
        <is>
          <t>all</t>
        </is>
      </c>
      <c r="H1361" s="7">
        <f>INDEX(Variables!$B$5:$B$65,MATCH($A1361,Variables!$A$5:$A$65,0))&amp;IF($C1361="",""," | "&amp;INDEX(Mapping!$B$5:$B$25,MATCH($C1361,Mapping!$A$5:$A$25,0))&amp;" | "&amp;INDEX(Mapping!$B$29:$B$38,MATCH($B1361,Mapping!$A$29:$A$38,0)))</f>
        <v/>
      </c>
      <c r="I1361" s="7">
        <f>INDEX(Variables!$C$5:$C$65,MATCH($A1361,Variables!$A$5:$A$65,0))</f>
        <v/>
      </c>
      <c r="J1361" s="7">
        <f>INDEX(Variables!$E$5:$E$65,MATCH($A1361,Variables!$A$5:$A$65,0))</f>
        <v/>
      </c>
      <c r="K1361" s="23">
        <f>LOWER(Settings!$C$4)&amp;".mit."&amp;$A1361&amp;IF($C1361="","","."&amp;$C1361&amp;"."&amp;$B1361)&amp;IF(INDEX(Variables!$D$5:$D$65,MATCH($A1361,Variables!$A$5:$A$65,0))="","","."&amp;INDEX(Variables!$D$5:$D$65,MATCH($A1361,Variables!$A$5:$A$65,0)))&amp;"."&amp;K$5</f>
        <v/>
      </c>
      <c r="L1361" s="44">
        <f>L1330/L1360-1</f>
        <v/>
      </c>
      <c r="M1361" s="45">
        <f>M1330/M1360-1</f>
        <v/>
      </c>
      <c r="N1361" s="45">
        <f>N1330/N1360-1</f>
        <v/>
      </c>
      <c r="O1361" s="45">
        <f>O1330/O1360-1</f>
        <v/>
      </c>
      <c r="P1361" s="45">
        <f>P1330/P1360-1</f>
        <v/>
      </c>
      <c r="Q1361" s="45">
        <f>Q1330/Q1360-1</f>
        <v/>
      </c>
      <c r="R1361" s="45">
        <f>R1330/R1360-1</f>
        <v/>
      </c>
      <c r="S1361" s="45">
        <f>S1330/S1360-1</f>
        <v/>
      </c>
      <c r="T1361" s="45">
        <f>T1330/T1360-1</f>
        <v/>
      </c>
      <c r="U1361" s="45">
        <f>U1330/U1360-1</f>
        <v/>
      </c>
      <c r="V1361" s="45">
        <f>V1330/V1360-1</f>
        <v/>
      </c>
      <c r="W1361" s="45">
        <f>W1330/W1360-1</f>
        <v/>
      </c>
      <c r="X1361" s="45">
        <f>X1330/X1360-1</f>
        <v/>
      </c>
      <c r="Y1361" s="45">
        <f>Y1330/Y1360-1</f>
        <v/>
      </c>
      <c r="Z1361" s="23">
        <f>LOWER(Settings!$C$4)&amp;".mit."&amp;$A1361&amp;IF($C1361="","","."&amp;$C1361&amp;"."&amp;$B1361)&amp;IF(INDEX(Variables!$D$5:$D$65,MATCH($A1361,Variables!$A$5:$A$65,0))="","","."&amp;INDEX(Variables!$D$5:$D$65,MATCH($A1361,Variables!$A$5:$A$65,0)))&amp;"."&amp;Z$5</f>
        <v/>
      </c>
      <c r="AA1361" s="44">
        <f>AA1330/AA1360-1</f>
        <v/>
      </c>
      <c r="AB1361" s="45">
        <f>AB1330/AB1360-1</f>
        <v/>
      </c>
      <c r="AC1361" s="45">
        <f>AC1330/AC1360-1</f>
        <v/>
      </c>
      <c r="AD1361" s="45">
        <f>AD1330/AD1360-1</f>
        <v/>
      </c>
      <c r="AE1361" s="45">
        <f>AE1330/AE1360-1</f>
        <v/>
      </c>
      <c r="AF1361" s="45">
        <f>AF1330/AF1360-1</f>
        <v/>
      </c>
      <c r="AG1361" s="45">
        <f>AG1330/AG1360-1</f>
        <v/>
      </c>
      <c r="AH1361" s="45">
        <f>AH1330/AH1360-1</f>
        <v/>
      </c>
      <c r="AI1361" s="45">
        <f>AI1330/AI1360-1</f>
        <v/>
      </c>
      <c r="AJ1361" s="45">
        <f>AJ1330/AJ1360-1</f>
        <v/>
      </c>
      <c r="AK1361" s="45">
        <f>AK1330/AK1360-1</f>
        <v/>
      </c>
      <c r="AL1361" s="45">
        <f>AL1330/AL1360-1</f>
        <v/>
      </c>
      <c r="AM1361" s="45">
        <f>AM1330/AM1360-1</f>
        <v/>
      </c>
      <c r="AN1361" s="45">
        <f>AN1330/AN1360-1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V1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2">
      <c r="A2" s="1" t="inlineStr">
        <is>
          <t>Inputs by fuel | subsector: every lookup used by Mitigation (data step, no calculations)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5" t="inlineStr">
        <is>
          <t>One row per fuel | subsector (same taxonomy as Mitigation columns B:C). Mitigation reads these columns with INDEX/MATCH on the key. Green = input.</t>
        </is>
      </c>
    </row>
    <row r="4" ht="48" customHeight="1">
      <c r="A4" s="46" t="inlineStr">
        <is>
          <t>Key (fuel|subsector)</t>
        </is>
      </c>
      <c r="B4" s="46" t="inlineStr">
        <is>
          <t>Fuel</t>
        </is>
      </c>
      <c r="C4" s="46" t="inlineStr">
        <is>
          <t>Subsector</t>
        </is>
      </c>
      <c r="D4" s="46" t="inlineStr">
        <is>
          <t>Elasticity sector</t>
        </is>
      </c>
      <c r="E4" s="46" t="inlineStr">
        <is>
          <t>Elasticity fuel</t>
        </is>
      </c>
      <c r="F4" s="46" t="inlineStr">
        <is>
          <t>AEEI fuel</t>
        </is>
      </c>
      <c r="G4" s="46" t="inlineStr">
        <is>
          <t>Price code</t>
        </is>
      </c>
      <c r="H4" s="46" t="inlineStr">
        <is>
          <t>EF sector</t>
        </is>
      </c>
      <c r="I4" s="46" t="inlineStr">
        <is>
          <t>GJ per price unit</t>
        </is>
      </c>
      <c r="J4" s="46" t="inlineStr">
        <is>
          <t>Fuel position (coverage)</t>
        </is>
      </c>
      <c r="K4" s="46" t="inlineStr">
        <is>
          <t>Sector position (coverage)</t>
        </is>
      </c>
      <c r="L4" s="46" t="inlineStr">
        <is>
          <t>Price-fuel position (fuel price reform)</t>
        </is>
      </c>
      <c r="M4" s="46" t="inlineStr">
        <is>
          <t>Feebate sector position</t>
        </is>
      </c>
      <c r="N4" s="46" t="inlineStr">
        <is>
          <t>eps_Y GDP</t>
        </is>
      </c>
      <c r="O4" s="46" t="inlineStr">
        <is>
          <t>eps_U usage</t>
        </is>
      </c>
      <c r="P4" s="46" t="inlineStr">
        <is>
          <t>eps_F efficiency</t>
        </is>
      </c>
      <c r="Q4" s="46" t="inlineStr">
        <is>
          <t>alpha AEEI</t>
        </is>
      </c>
      <c r="R4" s="46" t="inlineStr">
        <is>
          <t>Pre-tax price growth</t>
        </is>
      </c>
      <c r="S4" s="46" t="inlineStr">
        <is>
          <t>Base pre-tax price ($/GJ)</t>
        </is>
      </c>
      <c r="T4" s="46" t="inlineStr">
        <is>
          <t>Base tax ($/GJ)</t>
        </is>
      </c>
      <c r="U4" s="46" t="inlineStr">
        <is>
          <t>EF (tCO2/GJ)</t>
        </is>
      </c>
      <c r="V4" s="46" t="inlineStr">
        <is>
          <t>Base-year fuel use (ktoe)</t>
        </is>
      </c>
    </row>
    <row r="5">
      <c r="A5" s="5">
        <f>$B5&amp;"|"&amp;$C5</f>
        <v/>
      </c>
      <c r="B5" s="6" t="inlineStr">
        <is>
          <t>coa</t>
        </is>
      </c>
      <c r="C5" s="6" t="inlineStr">
        <is>
          <t>rod</t>
        </is>
      </c>
      <c r="D5" s="5">
        <f>INDEX(Mapping!$D$5:$D$20,MATCH($C5,Mapping!$A$5:$A$20,0))</f>
        <v/>
      </c>
      <c r="E5" s="5">
        <f>INDEX(Mapping!$C$29:$C$36,MATCH($B5,Mapping!$A$29:$A$36,0))</f>
        <v/>
      </c>
      <c r="F5" s="5">
        <f>INDEX(Mapping!$D$29:$D$36,MATCH($B5,Mapping!$A$29:$A$36,0))</f>
        <v/>
      </c>
      <c r="G5" s="5">
        <f>$B5&amp;"."&amp;IF(INDEX(Mapping!$E$29:$E$36,MATCH($B5,Mapping!$A$29:$A$36,0))="sub",INDEX(Mapping!$F$5:$F$20,MATCH($C5,Mapping!$A$5:$A$20,0)),"all")</f>
        <v/>
      </c>
      <c r="H5" s="5">
        <f>INDEX(Mapping!$E$5:$E$20,MATCH($C5,Mapping!$A$5:$A$20,0))</f>
        <v/>
      </c>
      <c r="I5" s="5">
        <f>INDEX(Mapping!$G$29:$G$36,MATCH($B5,Mapping!$A$29:$A$36,0))</f>
        <v/>
      </c>
      <c r="J5" s="5">
        <f>INDEX(Mapping!$H$29:$H$36,MATCH($B5,Mapping!$A$29:$A$36,0))</f>
        <v/>
      </c>
      <c r="K5" s="5">
        <f>INDEX(Mapping!$H$5:$H$20,MATCH($C5,Mapping!$A$5:$A$20,0))</f>
        <v/>
      </c>
      <c r="L5" s="5">
        <f>INDEX(Mapping!$E$42:$E$55,MATCH($G5,Mapping!$A$42:$A$55,0))</f>
        <v/>
      </c>
      <c r="M5" s="5">
        <f>INDEX(Mapping!$D$59:$D$62,MATCH(INDEX(Mapping!$G$5:$G$20,MATCH($C5,Mapping!$A$5:$A$20,0)),Mapping!$A$59:$A$62,0))</f>
        <v/>
      </c>
      <c r="N5" s="31">
        <f>INDEX(Elasticities!$F$4:$I$200,MATCH("inc|"&amp;$E5&amp;"|"&amp;$D5,Elasticities!$A$4:$A$200,0),MATCH(Settings!$C$6,Elasticities!$F$3:$I$3,0))</f>
        <v/>
      </c>
      <c r="O5" s="31">
        <f>INDEX(Elasticities!$F$4:$I$200,MATCH("usg|"&amp;$E5&amp;"|"&amp;$D5,Elasticities!$A$4:$A$200,0),MATCH(Settings!$C$6,Elasticities!$F$3:$I$3,0))</f>
        <v/>
      </c>
      <c r="P5" s="31">
        <f>INDEX(Elasticities!$F$4:$I$200,MATCH("eff|"&amp;$E5&amp;"|"&amp;$D5,Elasticities!$A$4:$A$200,0),MATCH(Settings!$C$6,Elasticities!$F$3:$I$3,0))</f>
        <v/>
      </c>
      <c r="Q5" s="25">
        <f>INDEX(Elasticities!$F$4:$I$200,MATCH("aei|"&amp;$F5&amp;"|"&amp;$D5,Elasticities!$A$4:$A$200,0),MATCH(Settings!$C$6,Elasticities!$F$3:$I$3,0))</f>
        <v/>
      </c>
      <c r="R5" s="47" t="n">
        <v>0</v>
      </c>
      <c r="S5" s="36">
        <f>INDEX(Prices_dom!$A$6:$CU$2000,MATCH(Settings!$C$4&amp;Settings!$C$7,Prices_dom!$A$6:$A$2000,0),MATCH("mit.sp."&amp;$G5,Prices_dom!$A$5:$CU$5,0))/$I5</f>
        <v/>
      </c>
      <c r="T5" s="36">
        <f>(INDEX(Prices_dom!$A$6:$CU$2000,MATCH(Settings!$C$4&amp;Settings!$C$7,Prices_dom!$A$6:$A$2000,0),MATCH("mit.rp."&amp;$G5,Prices_dom!$A$5:$CU$5,0))-INDEX(Prices_dom!$A$6:$CU$2000,MATCH(Settings!$C$4&amp;Settings!$C$7,Prices_dom!$A$6:$A$2000,0),MATCH("mit.sp."&amp;$G5,Prices_dom!$A$5:$CU$5,0)))/$I5</f>
        <v/>
      </c>
      <c r="U5" s="48">
        <f>INDEX(EF_GHG!$E$4:$E$1000,MATCH(Settings!$C$4&amp;"|"&amp;$B5&amp;"|"&amp;$H5,EF_GHG!$A$4:$A$1000,0))</f>
        <v/>
      </c>
      <c r="V5" s="41">
        <f>INDEX(EnergyCons!$F$4:$F$5000,MATCH(Settings!$C$4&amp;"|"&amp;Settings!$C$7&amp;"|"&amp;$C5&amp;"|"&amp;$B5,EnergyCons!$A$4:$A$5000,0))</f>
        <v/>
      </c>
    </row>
    <row r="6">
      <c r="A6" s="5">
        <f>$B6&amp;"|"&amp;$C6</f>
        <v/>
      </c>
      <c r="B6" s="6" t="inlineStr">
        <is>
          <t>nga</t>
        </is>
      </c>
      <c r="C6" s="6" t="inlineStr">
        <is>
          <t>rod</t>
        </is>
      </c>
      <c r="D6" s="5">
        <f>INDEX(Mapping!$D$5:$D$20,MATCH($C6,Mapping!$A$5:$A$20,0))</f>
        <v/>
      </c>
      <c r="E6" s="5">
        <f>INDEX(Mapping!$C$29:$C$36,MATCH($B6,Mapping!$A$29:$A$36,0))</f>
        <v/>
      </c>
      <c r="F6" s="5">
        <f>INDEX(Mapping!$D$29:$D$36,MATCH($B6,Mapping!$A$29:$A$36,0))</f>
        <v/>
      </c>
      <c r="G6" s="5">
        <f>$B6&amp;"."&amp;IF(INDEX(Mapping!$E$29:$E$36,MATCH($B6,Mapping!$A$29:$A$36,0))="sub",INDEX(Mapping!$F$5:$F$20,MATCH($C6,Mapping!$A$5:$A$20,0)),"all")</f>
        <v/>
      </c>
      <c r="H6" s="5">
        <f>INDEX(Mapping!$E$5:$E$20,MATCH($C6,Mapping!$A$5:$A$20,0))</f>
        <v/>
      </c>
      <c r="I6" s="5">
        <f>INDEX(Mapping!$G$29:$G$36,MATCH($B6,Mapping!$A$29:$A$36,0))</f>
        <v/>
      </c>
      <c r="J6" s="5">
        <f>INDEX(Mapping!$H$29:$H$36,MATCH($B6,Mapping!$A$29:$A$36,0))</f>
        <v/>
      </c>
      <c r="K6" s="5">
        <f>INDEX(Mapping!$H$5:$H$20,MATCH($C6,Mapping!$A$5:$A$20,0))</f>
        <v/>
      </c>
      <c r="L6" s="5">
        <f>INDEX(Mapping!$E$42:$E$55,MATCH($G6,Mapping!$A$42:$A$55,0))</f>
        <v/>
      </c>
      <c r="M6" s="5">
        <f>INDEX(Mapping!$D$59:$D$62,MATCH(INDEX(Mapping!$G$5:$G$20,MATCH($C6,Mapping!$A$5:$A$20,0)),Mapping!$A$59:$A$62,0))</f>
        <v/>
      </c>
      <c r="N6" s="31">
        <f>INDEX(Elasticities!$F$4:$I$200,MATCH("inc|"&amp;$E6&amp;"|"&amp;$D6,Elasticities!$A$4:$A$200,0),MATCH(Settings!$C$6,Elasticities!$F$3:$I$3,0))</f>
        <v/>
      </c>
      <c r="O6" s="31">
        <f>INDEX(Elasticities!$F$4:$I$200,MATCH("usg|"&amp;$E6&amp;"|"&amp;$D6,Elasticities!$A$4:$A$200,0),MATCH(Settings!$C$6,Elasticities!$F$3:$I$3,0))</f>
        <v/>
      </c>
      <c r="P6" s="31">
        <f>INDEX(Elasticities!$F$4:$I$200,MATCH("eff|"&amp;$E6&amp;"|"&amp;$D6,Elasticities!$A$4:$A$200,0),MATCH(Settings!$C$6,Elasticities!$F$3:$I$3,0))</f>
        <v/>
      </c>
      <c r="Q6" s="25">
        <f>INDEX(Elasticities!$F$4:$I$200,MATCH("aei|"&amp;$F6&amp;"|"&amp;$D6,Elasticities!$A$4:$A$200,0),MATCH(Settings!$C$6,Elasticities!$F$3:$I$3,0))</f>
        <v/>
      </c>
      <c r="R6" s="47" t="n">
        <v>0</v>
      </c>
      <c r="S6" s="36">
        <f>INDEX(Prices_dom!$A$6:$CU$2000,MATCH(Settings!$C$4&amp;Settings!$C$7,Prices_dom!$A$6:$A$2000,0),MATCH("mit.sp."&amp;$G6,Prices_dom!$A$5:$CU$5,0))/$I6</f>
        <v/>
      </c>
      <c r="T6" s="36">
        <f>(INDEX(Prices_dom!$A$6:$CU$2000,MATCH(Settings!$C$4&amp;Settings!$C$7,Prices_dom!$A$6:$A$2000,0),MATCH("mit.rp."&amp;$G6,Prices_dom!$A$5:$CU$5,0))-INDEX(Prices_dom!$A$6:$CU$2000,MATCH(Settings!$C$4&amp;Settings!$C$7,Prices_dom!$A$6:$A$2000,0),MATCH("mit.sp."&amp;$G6,Prices_dom!$A$5:$CU$5,0)))/$I6</f>
        <v/>
      </c>
      <c r="U6" s="48">
        <f>INDEX(EF_GHG!$E$4:$E$1000,MATCH(Settings!$C$4&amp;"|"&amp;$B6&amp;"|"&amp;$H6,EF_GHG!$A$4:$A$1000,0))</f>
        <v/>
      </c>
      <c r="V6" s="41">
        <f>INDEX(EnergyCons!$F$4:$F$5000,MATCH(Settings!$C$4&amp;"|"&amp;Settings!$C$7&amp;"|"&amp;$C6&amp;"|"&amp;$B6,EnergyCons!$A$4:$A$5000,0))</f>
        <v/>
      </c>
    </row>
    <row r="7">
      <c r="A7" s="5">
        <f>$B7&amp;"|"&amp;$C7</f>
        <v/>
      </c>
      <c r="B7" s="6" t="inlineStr">
        <is>
          <t>gso</t>
        </is>
      </c>
      <c r="C7" s="6" t="inlineStr">
        <is>
          <t>rod</t>
        </is>
      </c>
      <c r="D7" s="5">
        <f>INDEX(Mapping!$D$5:$D$20,MATCH($C7,Mapping!$A$5:$A$20,0))</f>
        <v/>
      </c>
      <c r="E7" s="5">
        <f>INDEX(Mapping!$C$29:$C$36,MATCH($B7,Mapping!$A$29:$A$36,0))</f>
        <v/>
      </c>
      <c r="F7" s="5">
        <f>INDEX(Mapping!$D$29:$D$36,MATCH($B7,Mapping!$A$29:$A$36,0))</f>
        <v/>
      </c>
      <c r="G7" s="5">
        <f>$B7&amp;"."&amp;IF(INDEX(Mapping!$E$29:$E$36,MATCH($B7,Mapping!$A$29:$A$36,0))="sub",INDEX(Mapping!$F$5:$F$20,MATCH($C7,Mapping!$A$5:$A$20,0)),"all")</f>
        <v/>
      </c>
      <c r="H7" s="5">
        <f>INDEX(Mapping!$E$5:$E$20,MATCH($C7,Mapping!$A$5:$A$20,0))</f>
        <v/>
      </c>
      <c r="I7" s="5">
        <f>INDEX(Mapping!$G$29:$G$36,MATCH($B7,Mapping!$A$29:$A$36,0))</f>
        <v/>
      </c>
      <c r="J7" s="5">
        <f>INDEX(Mapping!$H$29:$H$36,MATCH($B7,Mapping!$A$29:$A$36,0))</f>
        <v/>
      </c>
      <c r="K7" s="5">
        <f>INDEX(Mapping!$H$5:$H$20,MATCH($C7,Mapping!$A$5:$A$20,0))</f>
        <v/>
      </c>
      <c r="L7" s="5">
        <f>INDEX(Mapping!$E$42:$E$55,MATCH($G7,Mapping!$A$42:$A$55,0))</f>
        <v/>
      </c>
      <c r="M7" s="5">
        <f>INDEX(Mapping!$D$59:$D$62,MATCH(INDEX(Mapping!$G$5:$G$20,MATCH($C7,Mapping!$A$5:$A$20,0)),Mapping!$A$59:$A$62,0))</f>
        <v/>
      </c>
      <c r="N7" s="31">
        <f>INDEX(Elasticities!$F$4:$I$200,MATCH("inc|"&amp;$E7&amp;"|"&amp;$D7,Elasticities!$A$4:$A$200,0),MATCH(Settings!$C$6,Elasticities!$F$3:$I$3,0))</f>
        <v/>
      </c>
      <c r="O7" s="31">
        <f>INDEX(Elasticities!$F$4:$I$200,MATCH("usg|"&amp;$E7&amp;"|"&amp;$D7,Elasticities!$A$4:$A$200,0),MATCH(Settings!$C$6,Elasticities!$F$3:$I$3,0))</f>
        <v/>
      </c>
      <c r="P7" s="31">
        <f>INDEX(Elasticities!$F$4:$I$200,MATCH("eff|"&amp;$E7&amp;"|"&amp;$D7,Elasticities!$A$4:$A$200,0),MATCH(Settings!$C$6,Elasticities!$F$3:$I$3,0))</f>
        <v/>
      </c>
      <c r="Q7" s="25">
        <f>INDEX(Elasticities!$F$4:$I$200,MATCH("aei|"&amp;$F7&amp;"|"&amp;$D7,Elasticities!$A$4:$A$200,0),MATCH(Settings!$C$6,Elasticities!$F$3:$I$3,0))</f>
        <v/>
      </c>
      <c r="R7" s="47" t="n">
        <v>0</v>
      </c>
      <c r="S7" s="36">
        <f>INDEX(Prices_dom!$A$6:$CU$2000,MATCH(Settings!$C$4&amp;Settings!$C$7,Prices_dom!$A$6:$A$2000,0),MATCH("mit.sp."&amp;$G7,Prices_dom!$A$5:$CU$5,0))/$I7</f>
        <v/>
      </c>
      <c r="T7" s="36">
        <f>(INDEX(Prices_dom!$A$6:$CU$2000,MATCH(Settings!$C$4&amp;Settings!$C$7,Prices_dom!$A$6:$A$2000,0),MATCH("mit.rp."&amp;$G7,Prices_dom!$A$5:$CU$5,0))-INDEX(Prices_dom!$A$6:$CU$2000,MATCH(Settings!$C$4&amp;Settings!$C$7,Prices_dom!$A$6:$A$2000,0),MATCH("mit.sp."&amp;$G7,Prices_dom!$A$5:$CU$5,0)))/$I7</f>
        <v/>
      </c>
      <c r="U7" s="48">
        <f>INDEX(EF_GHG!$E$4:$E$1000,MATCH(Settings!$C$4&amp;"|"&amp;$B7&amp;"|"&amp;$H7,EF_GHG!$A$4:$A$1000,0))</f>
        <v/>
      </c>
      <c r="V7" s="41">
        <f>INDEX(EnergyCons!$F$4:$F$5000,MATCH(Settings!$C$4&amp;"|"&amp;Settings!$C$7&amp;"|"&amp;$C7&amp;"|"&amp;$B7,EnergyCons!$A$4:$A$5000,0))</f>
        <v/>
      </c>
    </row>
    <row r="8">
      <c r="A8" s="5">
        <f>$B8&amp;"|"&amp;$C8</f>
        <v/>
      </c>
      <c r="B8" s="6" t="inlineStr">
        <is>
          <t>die</t>
        </is>
      </c>
      <c r="C8" s="6" t="inlineStr">
        <is>
          <t>rod</t>
        </is>
      </c>
      <c r="D8" s="5">
        <f>INDEX(Mapping!$D$5:$D$20,MATCH($C8,Mapping!$A$5:$A$20,0))</f>
        <v/>
      </c>
      <c r="E8" s="5">
        <f>INDEX(Mapping!$C$29:$C$36,MATCH($B8,Mapping!$A$29:$A$36,0))</f>
        <v/>
      </c>
      <c r="F8" s="5">
        <f>INDEX(Mapping!$D$29:$D$36,MATCH($B8,Mapping!$A$29:$A$36,0))</f>
        <v/>
      </c>
      <c r="G8" s="5">
        <f>$B8&amp;"."&amp;IF(INDEX(Mapping!$E$29:$E$36,MATCH($B8,Mapping!$A$29:$A$36,0))="sub",INDEX(Mapping!$F$5:$F$20,MATCH($C8,Mapping!$A$5:$A$20,0)),"all")</f>
        <v/>
      </c>
      <c r="H8" s="5">
        <f>INDEX(Mapping!$E$5:$E$20,MATCH($C8,Mapping!$A$5:$A$20,0))</f>
        <v/>
      </c>
      <c r="I8" s="5">
        <f>INDEX(Mapping!$G$29:$G$36,MATCH($B8,Mapping!$A$29:$A$36,0))</f>
        <v/>
      </c>
      <c r="J8" s="5">
        <f>INDEX(Mapping!$H$29:$H$36,MATCH($B8,Mapping!$A$29:$A$36,0))</f>
        <v/>
      </c>
      <c r="K8" s="5">
        <f>INDEX(Mapping!$H$5:$H$20,MATCH($C8,Mapping!$A$5:$A$20,0))</f>
        <v/>
      </c>
      <c r="L8" s="5">
        <f>INDEX(Mapping!$E$42:$E$55,MATCH($G8,Mapping!$A$42:$A$55,0))</f>
        <v/>
      </c>
      <c r="M8" s="5">
        <f>INDEX(Mapping!$D$59:$D$62,MATCH(INDEX(Mapping!$G$5:$G$20,MATCH($C8,Mapping!$A$5:$A$20,0)),Mapping!$A$59:$A$62,0))</f>
        <v/>
      </c>
      <c r="N8" s="31">
        <f>INDEX(Elasticities!$F$4:$I$200,MATCH("inc|"&amp;$E8&amp;"|"&amp;$D8,Elasticities!$A$4:$A$200,0),MATCH(Settings!$C$6,Elasticities!$F$3:$I$3,0))</f>
        <v/>
      </c>
      <c r="O8" s="31">
        <f>INDEX(Elasticities!$F$4:$I$200,MATCH("usg|"&amp;$E8&amp;"|"&amp;$D8,Elasticities!$A$4:$A$200,0),MATCH(Settings!$C$6,Elasticities!$F$3:$I$3,0))</f>
        <v/>
      </c>
      <c r="P8" s="31">
        <f>INDEX(Elasticities!$F$4:$I$200,MATCH("eff|"&amp;$E8&amp;"|"&amp;$D8,Elasticities!$A$4:$A$200,0),MATCH(Settings!$C$6,Elasticities!$F$3:$I$3,0))</f>
        <v/>
      </c>
      <c r="Q8" s="25">
        <f>INDEX(Elasticities!$F$4:$I$200,MATCH("aei|"&amp;$F8&amp;"|"&amp;$D8,Elasticities!$A$4:$A$200,0),MATCH(Settings!$C$6,Elasticities!$F$3:$I$3,0))</f>
        <v/>
      </c>
      <c r="R8" s="47" t="n">
        <v>0</v>
      </c>
      <c r="S8" s="36">
        <f>INDEX(Prices_dom!$A$6:$CU$2000,MATCH(Settings!$C$4&amp;Settings!$C$7,Prices_dom!$A$6:$A$2000,0),MATCH("mit.sp."&amp;$G8,Prices_dom!$A$5:$CU$5,0))/$I8</f>
        <v/>
      </c>
      <c r="T8" s="36">
        <f>(INDEX(Prices_dom!$A$6:$CU$2000,MATCH(Settings!$C$4&amp;Settings!$C$7,Prices_dom!$A$6:$A$2000,0),MATCH("mit.rp."&amp;$G8,Prices_dom!$A$5:$CU$5,0))-INDEX(Prices_dom!$A$6:$CU$2000,MATCH(Settings!$C$4&amp;Settings!$C$7,Prices_dom!$A$6:$A$2000,0),MATCH("mit.sp."&amp;$G8,Prices_dom!$A$5:$CU$5,0)))/$I8</f>
        <v/>
      </c>
      <c r="U8" s="48">
        <f>INDEX(EF_GHG!$E$4:$E$1000,MATCH(Settings!$C$4&amp;"|"&amp;$B8&amp;"|"&amp;$H8,EF_GHG!$A$4:$A$1000,0))</f>
        <v/>
      </c>
      <c r="V8" s="41">
        <f>INDEX(EnergyCons!$F$4:$F$5000,MATCH(Settings!$C$4&amp;"|"&amp;Settings!$C$7&amp;"|"&amp;$C8&amp;"|"&amp;$B8,EnergyCons!$A$4:$A$5000,0))</f>
        <v/>
      </c>
    </row>
    <row r="9">
      <c r="A9" s="5">
        <f>$B9&amp;"|"&amp;$C9</f>
        <v/>
      </c>
      <c r="B9" s="6" t="inlineStr">
        <is>
          <t>lpg</t>
        </is>
      </c>
      <c r="C9" s="6" t="inlineStr">
        <is>
          <t>rod</t>
        </is>
      </c>
      <c r="D9" s="5">
        <f>INDEX(Mapping!$D$5:$D$20,MATCH($C9,Mapping!$A$5:$A$20,0))</f>
        <v/>
      </c>
      <c r="E9" s="5">
        <f>INDEX(Mapping!$C$29:$C$36,MATCH($B9,Mapping!$A$29:$A$36,0))</f>
        <v/>
      </c>
      <c r="F9" s="5">
        <f>INDEX(Mapping!$D$29:$D$36,MATCH($B9,Mapping!$A$29:$A$36,0))</f>
        <v/>
      </c>
      <c r="G9" s="5">
        <f>$B9&amp;"."&amp;IF(INDEX(Mapping!$E$29:$E$36,MATCH($B9,Mapping!$A$29:$A$36,0))="sub",INDEX(Mapping!$F$5:$F$20,MATCH($C9,Mapping!$A$5:$A$20,0)),"all")</f>
        <v/>
      </c>
      <c r="H9" s="5">
        <f>INDEX(Mapping!$E$5:$E$20,MATCH($C9,Mapping!$A$5:$A$20,0))</f>
        <v/>
      </c>
      <c r="I9" s="5">
        <f>INDEX(Mapping!$G$29:$G$36,MATCH($B9,Mapping!$A$29:$A$36,0))</f>
        <v/>
      </c>
      <c r="J9" s="5">
        <f>INDEX(Mapping!$H$29:$H$36,MATCH($B9,Mapping!$A$29:$A$36,0))</f>
        <v/>
      </c>
      <c r="K9" s="5">
        <f>INDEX(Mapping!$H$5:$H$20,MATCH($C9,Mapping!$A$5:$A$20,0))</f>
        <v/>
      </c>
      <c r="L9" s="5">
        <f>INDEX(Mapping!$E$42:$E$55,MATCH($G9,Mapping!$A$42:$A$55,0))</f>
        <v/>
      </c>
      <c r="M9" s="5">
        <f>INDEX(Mapping!$D$59:$D$62,MATCH(INDEX(Mapping!$G$5:$G$20,MATCH($C9,Mapping!$A$5:$A$20,0)),Mapping!$A$59:$A$62,0))</f>
        <v/>
      </c>
      <c r="N9" s="31">
        <f>INDEX(Elasticities!$F$4:$I$200,MATCH("inc|"&amp;$E9&amp;"|"&amp;$D9,Elasticities!$A$4:$A$200,0),MATCH(Settings!$C$6,Elasticities!$F$3:$I$3,0))</f>
        <v/>
      </c>
      <c r="O9" s="31">
        <f>INDEX(Elasticities!$F$4:$I$200,MATCH("usg|"&amp;$E9&amp;"|"&amp;$D9,Elasticities!$A$4:$A$200,0),MATCH(Settings!$C$6,Elasticities!$F$3:$I$3,0))</f>
        <v/>
      </c>
      <c r="P9" s="31">
        <f>INDEX(Elasticities!$F$4:$I$200,MATCH("eff|"&amp;$E9&amp;"|"&amp;$D9,Elasticities!$A$4:$A$200,0),MATCH(Settings!$C$6,Elasticities!$F$3:$I$3,0))</f>
        <v/>
      </c>
      <c r="Q9" s="25">
        <f>INDEX(Elasticities!$F$4:$I$200,MATCH("aei|"&amp;$F9&amp;"|"&amp;$D9,Elasticities!$A$4:$A$200,0),MATCH(Settings!$C$6,Elasticities!$F$3:$I$3,0))</f>
        <v/>
      </c>
      <c r="R9" s="47" t="n">
        <v>0</v>
      </c>
      <c r="S9" s="36">
        <f>INDEX(Prices_dom!$A$6:$CU$2000,MATCH(Settings!$C$4&amp;Settings!$C$7,Prices_dom!$A$6:$A$2000,0),MATCH("mit.sp."&amp;$G9,Prices_dom!$A$5:$CU$5,0))/$I9</f>
        <v/>
      </c>
      <c r="T9" s="36">
        <f>(INDEX(Prices_dom!$A$6:$CU$2000,MATCH(Settings!$C$4&amp;Settings!$C$7,Prices_dom!$A$6:$A$2000,0),MATCH("mit.rp."&amp;$G9,Prices_dom!$A$5:$CU$5,0))-INDEX(Prices_dom!$A$6:$CU$2000,MATCH(Settings!$C$4&amp;Settings!$C$7,Prices_dom!$A$6:$A$2000,0),MATCH("mit.sp."&amp;$G9,Prices_dom!$A$5:$CU$5,0)))/$I9</f>
        <v/>
      </c>
      <c r="U9" s="48">
        <f>INDEX(EF_GHG!$E$4:$E$1000,MATCH(Settings!$C$4&amp;"|"&amp;$B9&amp;"|"&amp;$H9,EF_GHG!$A$4:$A$1000,0))</f>
        <v/>
      </c>
      <c r="V9" s="41">
        <f>INDEX(EnergyCons!$F$4:$F$5000,MATCH(Settings!$C$4&amp;"|"&amp;Settings!$C$7&amp;"|"&amp;$C9&amp;"|"&amp;$B9,EnergyCons!$A$4:$A$5000,0))</f>
        <v/>
      </c>
    </row>
    <row r="10">
      <c r="A10" s="5">
        <f>$B10&amp;"|"&amp;$C10</f>
        <v/>
      </c>
      <c r="B10" s="6" t="inlineStr">
        <is>
          <t>ker</t>
        </is>
      </c>
      <c r="C10" s="6" t="inlineStr">
        <is>
          <t>rod</t>
        </is>
      </c>
      <c r="D10" s="5">
        <f>INDEX(Mapping!$D$5:$D$20,MATCH($C10,Mapping!$A$5:$A$20,0))</f>
        <v/>
      </c>
      <c r="E10" s="5">
        <f>INDEX(Mapping!$C$29:$C$36,MATCH($B10,Mapping!$A$29:$A$36,0))</f>
        <v/>
      </c>
      <c r="F10" s="5">
        <f>INDEX(Mapping!$D$29:$D$36,MATCH($B10,Mapping!$A$29:$A$36,0))</f>
        <v/>
      </c>
      <c r="G10" s="5">
        <f>$B10&amp;"."&amp;IF(INDEX(Mapping!$E$29:$E$36,MATCH($B10,Mapping!$A$29:$A$36,0))="sub",INDEX(Mapping!$F$5:$F$20,MATCH($C10,Mapping!$A$5:$A$20,0)),"all")</f>
        <v/>
      </c>
      <c r="H10" s="5">
        <f>INDEX(Mapping!$E$5:$E$20,MATCH($C10,Mapping!$A$5:$A$20,0))</f>
        <v/>
      </c>
      <c r="I10" s="5">
        <f>INDEX(Mapping!$G$29:$G$36,MATCH($B10,Mapping!$A$29:$A$36,0))</f>
        <v/>
      </c>
      <c r="J10" s="5">
        <f>INDEX(Mapping!$H$29:$H$36,MATCH($B10,Mapping!$A$29:$A$36,0))</f>
        <v/>
      </c>
      <c r="K10" s="5">
        <f>INDEX(Mapping!$H$5:$H$20,MATCH($C10,Mapping!$A$5:$A$20,0))</f>
        <v/>
      </c>
      <c r="L10" s="5">
        <f>INDEX(Mapping!$E$42:$E$55,MATCH($G10,Mapping!$A$42:$A$55,0))</f>
        <v/>
      </c>
      <c r="M10" s="5">
        <f>INDEX(Mapping!$D$59:$D$62,MATCH(INDEX(Mapping!$G$5:$G$20,MATCH($C10,Mapping!$A$5:$A$20,0)),Mapping!$A$59:$A$62,0))</f>
        <v/>
      </c>
      <c r="N10" s="31">
        <f>INDEX(Elasticities!$F$4:$I$200,MATCH("inc|"&amp;$E10&amp;"|"&amp;$D10,Elasticities!$A$4:$A$200,0),MATCH(Settings!$C$6,Elasticities!$F$3:$I$3,0))</f>
        <v/>
      </c>
      <c r="O10" s="31">
        <f>INDEX(Elasticities!$F$4:$I$200,MATCH("usg|"&amp;$E10&amp;"|"&amp;$D10,Elasticities!$A$4:$A$200,0),MATCH(Settings!$C$6,Elasticities!$F$3:$I$3,0))</f>
        <v/>
      </c>
      <c r="P10" s="31">
        <f>INDEX(Elasticities!$F$4:$I$200,MATCH("eff|"&amp;$E10&amp;"|"&amp;$D10,Elasticities!$A$4:$A$200,0),MATCH(Settings!$C$6,Elasticities!$F$3:$I$3,0))</f>
        <v/>
      </c>
      <c r="Q10" s="25">
        <f>INDEX(Elasticities!$F$4:$I$200,MATCH("aei|"&amp;$F10&amp;"|"&amp;$D10,Elasticities!$A$4:$A$200,0),MATCH(Settings!$C$6,Elasticities!$F$3:$I$3,0))</f>
        <v/>
      </c>
      <c r="R10" s="47" t="n">
        <v>0</v>
      </c>
      <c r="S10" s="36">
        <f>INDEX(Prices_dom!$A$6:$CU$2000,MATCH(Settings!$C$4&amp;Settings!$C$7,Prices_dom!$A$6:$A$2000,0),MATCH("mit.sp."&amp;$G10,Prices_dom!$A$5:$CU$5,0))/$I10</f>
        <v/>
      </c>
      <c r="T10" s="36">
        <f>(INDEX(Prices_dom!$A$6:$CU$2000,MATCH(Settings!$C$4&amp;Settings!$C$7,Prices_dom!$A$6:$A$2000,0),MATCH("mit.rp."&amp;$G10,Prices_dom!$A$5:$CU$5,0))-INDEX(Prices_dom!$A$6:$CU$2000,MATCH(Settings!$C$4&amp;Settings!$C$7,Prices_dom!$A$6:$A$2000,0),MATCH("mit.sp."&amp;$G10,Prices_dom!$A$5:$CU$5,0)))/$I10</f>
        <v/>
      </c>
      <c r="U10" s="48">
        <f>INDEX(EF_GHG!$E$4:$E$1000,MATCH(Settings!$C$4&amp;"|"&amp;$B10&amp;"|"&amp;$H10,EF_GHG!$A$4:$A$1000,0))</f>
        <v/>
      </c>
      <c r="V10" s="41">
        <f>INDEX(EnergyCons!$F$4:$F$5000,MATCH(Settings!$C$4&amp;"|"&amp;Settings!$C$7&amp;"|"&amp;$C10&amp;"|"&amp;$B10,EnergyCons!$A$4:$A$5000,0))</f>
        <v/>
      </c>
    </row>
    <row r="11">
      <c r="A11" s="5">
        <f>$B11&amp;"|"&amp;$C11</f>
        <v/>
      </c>
      <c r="B11" s="6" t="inlineStr">
        <is>
          <t>oop</t>
        </is>
      </c>
      <c r="C11" s="6" t="inlineStr">
        <is>
          <t>rod</t>
        </is>
      </c>
      <c r="D11" s="5">
        <f>INDEX(Mapping!$D$5:$D$20,MATCH($C11,Mapping!$A$5:$A$20,0))</f>
        <v/>
      </c>
      <c r="E11" s="5">
        <f>INDEX(Mapping!$C$29:$C$36,MATCH($B11,Mapping!$A$29:$A$36,0))</f>
        <v/>
      </c>
      <c r="F11" s="5">
        <f>INDEX(Mapping!$D$29:$D$36,MATCH($B11,Mapping!$A$29:$A$36,0))</f>
        <v/>
      </c>
      <c r="G11" s="5">
        <f>$B11&amp;"."&amp;IF(INDEX(Mapping!$E$29:$E$36,MATCH($B11,Mapping!$A$29:$A$36,0))="sub",INDEX(Mapping!$F$5:$F$20,MATCH($C11,Mapping!$A$5:$A$20,0)),"all")</f>
        <v/>
      </c>
      <c r="H11" s="5">
        <f>INDEX(Mapping!$E$5:$E$20,MATCH($C11,Mapping!$A$5:$A$20,0))</f>
        <v/>
      </c>
      <c r="I11" s="5">
        <f>INDEX(Mapping!$G$29:$G$36,MATCH($B11,Mapping!$A$29:$A$36,0))</f>
        <v/>
      </c>
      <c r="J11" s="5">
        <f>INDEX(Mapping!$H$29:$H$36,MATCH($B11,Mapping!$A$29:$A$36,0))</f>
        <v/>
      </c>
      <c r="K11" s="5">
        <f>INDEX(Mapping!$H$5:$H$20,MATCH($C11,Mapping!$A$5:$A$20,0))</f>
        <v/>
      </c>
      <c r="L11" s="5">
        <f>INDEX(Mapping!$E$42:$E$55,MATCH($G11,Mapping!$A$42:$A$55,0))</f>
        <v/>
      </c>
      <c r="M11" s="5">
        <f>INDEX(Mapping!$D$59:$D$62,MATCH(INDEX(Mapping!$G$5:$G$20,MATCH($C11,Mapping!$A$5:$A$20,0)),Mapping!$A$59:$A$62,0))</f>
        <v/>
      </c>
      <c r="N11" s="31">
        <f>INDEX(Elasticities!$F$4:$I$200,MATCH("inc|"&amp;$E11&amp;"|"&amp;$D11,Elasticities!$A$4:$A$200,0),MATCH(Settings!$C$6,Elasticities!$F$3:$I$3,0))</f>
        <v/>
      </c>
      <c r="O11" s="31">
        <f>INDEX(Elasticities!$F$4:$I$200,MATCH("usg|"&amp;$E11&amp;"|"&amp;$D11,Elasticities!$A$4:$A$200,0),MATCH(Settings!$C$6,Elasticities!$F$3:$I$3,0))</f>
        <v/>
      </c>
      <c r="P11" s="31">
        <f>INDEX(Elasticities!$F$4:$I$200,MATCH("eff|"&amp;$E11&amp;"|"&amp;$D11,Elasticities!$A$4:$A$200,0),MATCH(Settings!$C$6,Elasticities!$F$3:$I$3,0))</f>
        <v/>
      </c>
      <c r="Q11" s="25">
        <f>INDEX(Elasticities!$F$4:$I$200,MATCH("aei|"&amp;$F11&amp;"|"&amp;$D11,Elasticities!$A$4:$A$200,0),MATCH(Settings!$C$6,Elasticities!$F$3:$I$3,0))</f>
        <v/>
      </c>
      <c r="R11" s="47" t="n">
        <v>0</v>
      </c>
      <c r="S11" s="36">
        <f>INDEX(Prices_dom!$A$6:$CU$2000,MATCH(Settings!$C$4&amp;Settings!$C$7,Prices_dom!$A$6:$A$2000,0),MATCH("mit.sp."&amp;$G11,Prices_dom!$A$5:$CU$5,0))/$I11</f>
        <v/>
      </c>
      <c r="T11" s="36">
        <f>(INDEX(Prices_dom!$A$6:$CU$2000,MATCH(Settings!$C$4&amp;Settings!$C$7,Prices_dom!$A$6:$A$2000,0),MATCH("mit.rp."&amp;$G11,Prices_dom!$A$5:$CU$5,0))-INDEX(Prices_dom!$A$6:$CU$2000,MATCH(Settings!$C$4&amp;Settings!$C$7,Prices_dom!$A$6:$A$2000,0),MATCH("mit.sp."&amp;$G11,Prices_dom!$A$5:$CU$5,0)))/$I11</f>
        <v/>
      </c>
      <c r="U11" s="48">
        <f>INDEX(EF_GHG!$E$4:$E$1000,MATCH(Settings!$C$4&amp;"|"&amp;$B11&amp;"|"&amp;$H11,EF_GHG!$A$4:$A$1000,0))</f>
        <v/>
      </c>
      <c r="V11" s="41">
        <f>INDEX(EnergyCons!$F$4:$F$5000,MATCH(Settings!$C$4&amp;"|"&amp;Settings!$C$7&amp;"|"&amp;$C11&amp;"|"&amp;$B11,EnergyCons!$A$4:$A$5000,0))</f>
        <v/>
      </c>
    </row>
    <row r="12">
      <c r="A12" s="5">
        <f>$B12&amp;"|"&amp;$C12</f>
        <v/>
      </c>
      <c r="B12" s="6" t="inlineStr">
        <is>
          <t>bio</t>
        </is>
      </c>
      <c r="C12" s="6" t="inlineStr">
        <is>
          <t>rod</t>
        </is>
      </c>
      <c r="D12" s="5">
        <f>INDEX(Mapping!$D$5:$D$20,MATCH($C12,Mapping!$A$5:$A$20,0))</f>
        <v/>
      </c>
      <c r="E12" s="5">
        <f>INDEX(Mapping!$C$29:$C$36,MATCH($B12,Mapping!$A$29:$A$36,0))</f>
        <v/>
      </c>
      <c r="F12" s="5">
        <f>INDEX(Mapping!$D$29:$D$36,MATCH($B12,Mapping!$A$29:$A$36,0))</f>
        <v/>
      </c>
      <c r="G12" s="5">
        <f>$B12&amp;"."&amp;IF(INDEX(Mapping!$E$29:$E$36,MATCH($B12,Mapping!$A$29:$A$36,0))="sub",INDEX(Mapping!$F$5:$F$20,MATCH($C12,Mapping!$A$5:$A$20,0)),"all")</f>
        <v/>
      </c>
      <c r="H12" s="5">
        <f>INDEX(Mapping!$E$5:$E$20,MATCH($C12,Mapping!$A$5:$A$20,0))</f>
        <v/>
      </c>
      <c r="I12" s="5">
        <f>INDEX(Mapping!$G$29:$G$36,MATCH($B12,Mapping!$A$29:$A$36,0))</f>
        <v/>
      </c>
      <c r="J12" s="5">
        <f>INDEX(Mapping!$H$29:$H$36,MATCH($B12,Mapping!$A$29:$A$36,0))</f>
        <v/>
      </c>
      <c r="K12" s="5">
        <f>INDEX(Mapping!$H$5:$H$20,MATCH($C12,Mapping!$A$5:$A$20,0))</f>
        <v/>
      </c>
      <c r="L12" s="5">
        <f>INDEX(Mapping!$E$42:$E$55,MATCH($G12,Mapping!$A$42:$A$55,0))</f>
        <v/>
      </c>
      <c r="M12" s="5">
        <f>INDEX(Mapping!$D$59:$D$62,MATCH(INDEX(Mapping!$G$5:$G$20,MATCH($C12,Mapping!$A$5:$A$20,0)),Mapping!$A$59:$A$62,0))</f>
        <v/>
      </c>
      <c r="N12" s="31">
        <f>INDEX(Elasticities!$F$4:$I$200,MATCH("inc|"&amp;$E12&amp;"|"&amp;$D12,Elasticities!$A$4:$A$200,0),MATCH(Settings!$C$6,Elasticities!$F$3:$I$3,0))</f>
        <v/>
      </c>
      <c r="O12" s="31">
        <f>INDEX(Elasticities!$F$4:$I$200,MATCH("usg|"&amp;$E12&amp;"|"&amp;$D12,Elasticities!$A$4:$A$200,0),MATCH(Settings!$C$6,Elasticities!$F$3:$I$3,0))</f>
        <v/>
      </c>
      <c r="P12" s="31">
        <f>INDEX(Elasticities!$F$4:$I$200,MATCH("eff|"&amp;$E12&amp;"|"&amp;$D12,Elasticities!$A$4:$A$200,0),MATCH(Settings!$C$6,Elasticities!$F$3:$I$3,0))</f>
        <v/>
      </c>
      <c r="Q12" s="25">
        <f>INDEX(Elasticities!$F$4:$I$200,MATCH("aei|"&amp;$F12&amp;"|"&amp;$D12,Elasticities!$A$4:$A$200,0),MATCH(Settings!$C$6,Elasticities!$F$3:$I$3,0))</f>
        <v/>
      </c>
      <c r="R12" s="47" t="n">
        <v>0</v>
      </c>
      <c r="S12" s="36">
        <f>INDEX(Prices_dom!$A$6:$CU$2000,MATCH(Settings!$C$4&amp;Settings!$C$7,Prices_dom!$A$6:$A$2000,0),MATCH("mit.sp."&amp;$G12,Prices_dom!$A$5:$CU$5,0))/$I12</f>
        <v/>
      </c>
      <c r="T12" s="36">
        <f>(INDEX(Prices_dom!$A$6:$CU$2000,MATCH(Settings!$C$4&amp;Settings!$C$7,Prices_dom!$A$6:$A$2000,0),MATCH("mit.rp."&amp;$G12,Prices_dom!$A$5:$CU$5,0))-INDEX(Prices_dom!$A$6:$CU$2000,MATCH(Settings!$C$4&amp;Settings!$C$7,Prices_dom!$A$6:$A$2000,0),MATCH("mit.sp."&amp;$G12,Prices_dom!$A$5:$CU$5,0)))/$I12</f>
        <v/>
      </c>
      <c r="U12" s="48">
        <f>INDEX(EF_GHG!$E$4:$E$1000,MATCH(Settings!$C$4&amp;"|"&amp;$B12&amp;"|"&amp;$H12,EF_GHG!$A$4:$A$1000,0))</f>
        <v/>
      </c>
      <c r="V12" s="41">
        <f>INDEX(EnergyCons!$F$4:$F$5000,MATCH(Settings!$C$4&amp;"|"&amp;Settings!$C$7&amp;"|"&amp;$C12&amp;"|"&amp;$B12,EnergyCons!$A$4:$A$5000,0))</f>
        <v/>
      </c>
    </row>
    <row r="13">
      <c r="A13" s="5">
        <f>$B13&amp;"|"&amp;$C13</f>
        <v/>
      </c>
      <c r="B13" s="6" t="inlineStr">
        <is>
          <t>coa</t>
        </is>
      </c>
      <c r="C13" s="6" t="inlineStr">
        <is>
          <t>ral</t>
        </is>
      </c>
      <c r="D13" s="5">
        <f>INDEX(Mapping!$D$5:$D$20,MATCH($C13,Mapping!$A$5:$A$20,0))</f>
        <v/>
      </c>
      <c r="E13" s="5">
        <f>INDEX(Mapping!$C$29:$C$36,MATCH($B13,Mapping!$A$29:$A$36,0))</f>
        <v/>
      </c>
      <c r="F13" s="5">
        <f>INDEX(Mapping!$D$29:$D$36,MATCH($B13,Mapping!$A$29:$A$36,0))</f>
        <v/>
      </c>
      <c r="G13" s="5">
        <f>$B13&amp;"."&amp;IF(INDEX(Mapping!$E$29:$E$36,MATCH($B13,Mapping!$A$29:$A$36,0))="sub",INDEX(Mapping!$F$5:$F$20,MATCH($C13,Mapping!$A$5:$A$20,0)),"all")</f>
        <v/>
      </c>
      <c r="H13" s="5">
        <f>INDEX(Mapping!$E$5:$E$20,MATCH($C13,Mapping!$A$5:$A$20,0))</f>
        <v/>
      </c>
      <c r="I13" s="5">
        <f>INDEX(Mapping!$G$29:$G$36,MATCH($B13,Mapping!$A$29:$A$36,0))</f>
        <v/>
      </c>
      <c r="J13" s="5">
        <f>INDEX(Mapping!$H$29:$H$36,MATCH($B13,Mapping!$A$29:$A$36,0))</f>
        <v/>
      </c>
      <c r="K13" s="5">
        <f>INDEX(Mapping!$H$5:$H$20,MATCH($C13,Mapping!$A$5:$A$20,0))</f>
        <v/>
      </c>
      <c r="L13" s="5">
        <f>INDEX(Mapping!$E$42:$E$55,MATCH($G13,Mapping!$A$42:$A$55,0))</f>
        <v/>
      </c>
      <c r="M13" s="5">
        <f>INDEX(Mapping!$D$59:$D$62,MATCH(INDEX(Mapping!$G$5:$G$20,MATCH($C13,Mapping!$A$5:$A$20,0)),Mapping!$A$59:$A$62,0))</f>
        <v/>
      </c>
      <c r="N13" s="31">
        <f>INDEX(Elasticities!$F$4:$I$200,MATCH("inc|"&amp;$E13&amp;"|"&amp;$D13,Elasticities!$A$4:$A$200,0),MATCH(Settings!$C$6,Elasticities!$F$3:$I$3,0))</f>
        <v/>
      </c>
      <c r="O13" s="31">
        <f>INDEX(Elasticities!$F$4:$I$200,MATCH("usg|"&amp;$E13&amp;"|"&amp;$D13,Elasticities!$A$4:$A$200,0),MATCH(Settings!$C$6,Elasticities!$F$3:$I$3,0))</f>
        <v/>
      </c>
      <c r="P13" s="31">
        <f>INDEX(Elasticities!$F$4:$I$200,MATCH("eff|"&amp;$E13&amp;"|"&amp;$D13,Elasticities!$A$4:$A$200,0),MATCH(Settings!$C$6,Elasticities!$F$3:$I$3,0))</f>
        <v/>
      </c>
      <c r="Q13" s="25">
        <f>INDEX(Elasticities!$F$4:$I$200,MATCH("aei|"&amp;$F13&amp;"|"&amp;$D13,Elasticities!$A$4:$A$200,0),MATCH(Settings!$C$6,Elasticities!$F$3:$I$3,0))</f>
        <v/>
      </c>
      <c r="R13" s="47" t="n">
        <v>0</v>
      </c>
      <c r="S13" s="36">
        <f>INDEX(Prices_dom!$A$6:$CU$2000,MATCH(Settings!$C$4&amp;Settings!$C$7,Prices_dom!$A$6:$A$2000,0),MATCH("mit.sp."&amp;$G13,Prices_dom!$A$5:$CU$5,0))/$I13</f>
        <v/>
      </c>
      <c r="T13" s="36">
        <f>(INDEX(Prices_dom!$A$6:$CU$2000,MATCH(Settings!$C$4&amp;Settings!$C$7,Prices_dom!$A$6:$A$2000,0),MATCH("mit.rp."&amp;$G13,Prices_dom!$A$5:$CU$5,0))-INDEX(Prices_dom!$A$6:$CU$2000,MATCH(Settings!$C$4&amp;Settings!$C$7,Prices_dom!$A$6:$A$2000,0),MATCH("mit.sp."&amp;$G13,Prices_dom!$A$5:$CU$5,0)))/$I13</f>
        <v/>
      </c>
      <c r="U13" s="48">
        <f>INDEX(EF_GHG!$E$4:$E$1000,MATCH(Settings!$C$4&amp;"|"&amp;$B13&amp;"|"&amp;$H13,EF_GHG!$A$4:$A$1000,0))</f>
        <v/>
      </c>
      <c r="V13" s="41">
        <f>INDEX(EnergyCons!$F$4:$F$5000,MATCH(Settings!$C$4&amp;"|"&amp;Settings!$C$7&amp;"|"&amp;$C13&amp;"|"&amp;$B13,EnergyCons!$A$4:$A$5000,0))</f>
        <v/>
      </c>
    </row>
    <row r="14">
      <c r="A14" s="5">
        <f>$B14&amp;"|"&amp;$C14</f>
        <v/>
      </c>
      <c r="B14" s="6" t="inlineStr">
        <is>
          <t>nga</t>
        </is>
      </c>
      <c r="C14" s="6" t="inlineStr">
        <is>
          <t>ral</t>
        </is>
      </c>
      <c r="D14" s="5">
        <f>INDEX(Mapping!$D$5:$D$20,MATCH($C14,Mapping!$A$5:$A$20,0))</f>
        <v/>
      </c>
      <c r="E14" s="5">
        <f>INDEX(Mapping!$C$29:$C$36,MATCH($B14,Mapping!$A$29:$A$36,0))</f>
        <v/>
      </c>
      <c r="F14" s="5">
        <f>INDEX(Mapping!$D$29:$D$36,MATCH($B14,Mapping!$A$29:$A$36,0))</f>
        <v/>
      </c>
      <c r="G14" s="5">
        <f>$B14&amp;"."&amp;IF(INDEX(Mapping!$E$29:$E$36,MATCH($B14,Mapping!$A$29:$A$36,0))="sub",INDEX(Mapping!$F$5:$F$20,MATCH($C14,Mapping!$A$5:$A$20,0)),"all")</f>
        <v/>
      </c>
      <c r="H14" s="5">
        <f>INDEX(Mapping!$E$5:$E$20,MATCH($C14,Mapping!$A$5:$A$20,0))</f>
        <v/>
      </c>
      <c r="I14" s="5">
        <f>INDEX(Mapping!$G$29:$G$36,MATCH($B14,Mapping!$A$29:$A$36,0))</f>
        <v/>
      </c>
      <c r="J14" s="5">
        <f>INDEX(Mapping!$H$29:$H$36,MATCH($B14,Mapping!$A$29:$A$36,0))</f>
        <v/>
      </c>
      <c r="K14" s="5">
        <f>INDEX(Mapping!$H$5:$H$20,MATCH($C14,Mapping!$A$5:$A$20,0))</f>
        <v/>
      </c>
      <c r="L14" s="5">
        <f>INDEX(Mapping!$E$42:$E$55,MATCH($G14,Mapping!$A$42:$A$55,0))</f>
        <v/>
      </c>
      <c r="M14" s="5">
        <f>INDEX(Mapping!$D$59:$D$62,MATCH(INDEX(Mapping!$G$5:$G$20,MATCH($C14,Mapping!$A$5:$A$20,0)),Mapping!$A$59:$A$62,0))</f>
        <v/>
      </c>
      <c r="N14" s="31">
        <f>INDEX(Elasticities!$F$4:$I$200,MATCH("inc|"&amp;$E14&amp;"|"&amp;$D14,Elasticities!$A$4:$A$200,0),MATCH(Settings!$C$6,Elasticities!$F$3:$I$3,0))</f>
        <v/>
      </c>
      <c r="O14" s="31">
        <f>INDEX(Elasticities!$F$4:$I$200,MATCH("usg|"&amp;$E14&amp;"|"&amp;$D14,Elasticities!$A$4:$A$200,0),MATCH(Settings!$C$6,Elasticities!$F$3:$I$3,0))</f>
        <v/>
      </c>
      <c r="P14" s="31">
        <f>INDEX(Elasticities!$F$4:$I$200,MATCH("eff|"&amp;$E14&amp;"|"&amp;$D14,Elasticities!$A$4:$A$200,0),MATCH(Settings!$C$6,Elasticities!$F$3:$I$3,0))</f>
        <v/>
      </c>
      <c r="Q14" s="25">
        <f>INDEX(Elasticities!$F$4:$I$200,MATCH("aei|"&amp;$F14&amp;"|"&amp;$D14,Elasticities!$A$4:$A$200,0),MATCH(Settings!$C$6,Elasticities!$F$3:$I$3,0))</f>
        <v/>
      </c>
      <c r="R14" s="47" t="n">
        <v>0</v>
      </c>
      <c r="S14" s="36">
        <f>INDEX(Prices_dom!$A$6:$CU$2000,MATCH(Settings!$C$4&amp;Settings!$C$7,Prices_dom!$A$6:$A$2000,0),MATCH("mit.sp."&amp;$G14,Prices_dom!$A$5:$CU$5,0))/$I14</f>
        <v/>
      </c>
      <c r="T14" s="36">
        <f>(INDEX(Prices_dom!$A$6:$CU$2000,MATCH(Settings!$C$4&amp;Settings!$C$7,Prices_dom!$A$6:$A$2000,0),MATCH("mit.rp."&amp;$G14,Prices_dom!$A$5:$CU$5,0))-INDEX(Prices_dom!$A$6:$CU$2000,MATCH(Settings!$C$4&amp;Settings!$C$7,Prices_dom!$A$6:$A$2000,0),MATCH("mit.sp."&amp;$G14,Prices_dom!$A$5:$CU$5,0)))/$I14</f>
        <v/>
      </c>
      <c r="U14" s="48">
        <f>INDEX(EF_GHG!$E$4:$E$1000,MATCH(Settings!$C$4&amp;"|"&amp;$B14&amp;"|"&amp;$H14,EF_GHG!$A$4:$A$1000,0))</f>
        <v/>
      </c>
      <c r="V14" s="41">
        <f>INDEX(EnergyCons!$F$4:$F$5000,MATCH(Settings!$C$4&amp;"|"&amp;Settings!$C$7&amp;"|"&amp;$C14&amp;"|"&amp;$B14,EnergyCons!$A$4:$A$5000,0))</f>
        <v/>
      </c>
    </row>
    <row r="15">
      <c r="A15" s="5">
        <f>$B15&amp;"|"&amp;$C15</f>
        <v/>
      </c>
      <c r="B15" s="6" t="inlineStr">
        <is>
          <t>gso</t>
        </is>
      </c>
      <c r="C15" s="6" t="inlineStr">
        <is>
          <t>ral</t>
        </is>
      </c>
      <c r="D15" s="5">
        <f>INDEX(Mapping!$D$5:$D$20,MATCH($C15,Mapping!$A$5:$A$20,0))</f>
        <v/>
      </c>
      <c r="E15" s="5">
        <f>INDEX(Mapping!$C$29:$C$36,MATCH($B15,Mapping!$A$29:$A$36,0))</f>
        <v/>
      </c>
      <c r="F15" s="5">
        <f>INDEX(Mapping!$D$29:$D$36,MATCH($B15,Mapping!$A$29:$A$36,0))</f>
        <v/>
      </c>
      <c r="G15" s="5">
        <f>$B15&amp;"."&amp;IF(INDEX(Mapping!$E$29:$E$36,MATCH($B15,Mapping!$A$29:$A$36,0))="sub",INDEX(Mapping!$F$5:$F$20,MATCH($C15,Mapping!$A$5:$A$20,0)),"all")</f>
        <v/>
      </c>
      <c r="H15" s="5">
        <f>INDEX(Mapping!$E$5:$E$20,MATCH($C15,Mapping!$A$5:$A$20,0))</f>
        <v/>
      </c>
      <c r="I15" s="5">
        <f>INDEX(Mapping!$G$29:$G$36,MATCH($B15,Mapping!$A$29:$A$36,0))</f>
        <v/>
      </c>
      <c r="J15" s="5">
        <f>INDEX(Mapping!$H$29:$H$36,MATCH($B15,Mapping!$A$29:$A$36,0))</f>
        <v/>
      </c>
      <c r="K15" s="5">
        <f>INDEX(Mapping!$H$5:$H$20,MATCH($C15,Mapping!$A$5:$A$20,0))</f>
        <v/>
      </c>
      <c r="L15" s="5">
        <f>INDEX(Mapping!$E$42:$E$55,MATCH($G15,Mapping!$A$42:$A$55,0))</f>
        <v/>
      </c>
      <c r="M15" s="5">
        <f>INDEX(Mapping!$D$59:$D$62,MATCH(INDEX(Mapping!$G$5:$G$20,MATCH($C15,Mapping!$A$5:$A$20,0)),Mapping!$A$59:$A$62,0))</f>
        <v/>
      </c>
      <c r="N15" s="31">
        <f>INDEX(Elasticities!$F$4:$I$200,MATCH("inc|"&amp;$E15&amp;"|"&amp;$D15,Elasticities!$A$4:$A$200,0),MATCH(Settings!$C$6,Elasticities!$F$3:$I$3,0))</f>
        <v/>
      </c>
      <c r="O15" s="31">
        <f>INDEX(Elasticities!$F$4:$I$200,MATCH("usg|"&amp;$E15&amp;"|"&amp;$D15,Elasticities!$A$4:$A$200,0),MATCH(Settings!$C$6,Elasticities!$F$3:$I$3,0))</f>
        <v/>
      </c>
      <c r="P15" s="31">
        <f>INDEX(Elasticities!$F$4:$I$200,MATCH("eff|"&amp;$E15&amp;"|"&amp;$D15,Elasticities!$A$4:$A$200,0),MATCH(Settings!$C$6,Elasticities!$F$3:$I$3,0))</f>
        <v/>
      </c>
      <c r="Q15" s="25">
        <f>INDEX(Elasticities!$F$4:$I$200,MATCH("aei|"&amp;$F15&amp;"|"&amp;$D15,Elasticities!$A$4:$A$200,0),MATCH(Settings!$C$6,Elasticities!$F$3:$I$3,0))</f>
        <v/>
      </c>
      <c r="R15" s="47" t="n">
        <v>0</v>
      </c>
      <c r="S15" s="36">
        <f>INDEX(Prices_dom!$A$6:$CU$2000,MATCH(Settings!$C$4&amp;Settings!$C$7,Prices_dom!$A$6:$A$2000,0),MATCH("mit.sp."&amp;$G15,Prices_dom!$A$5:$CU$5,0))/$I15</f>
        <v/>
      </c>
      <c r="T15" s="36">
        <f>(INDEX(Prices_dom!$A$6:$CU$2000,MATCH(Settings!$C$4&amp;Settings!$C$7,Prices_dom!$A$6:$A$2000,0),MATCH("mit.rp."&amp;$G15,Prices_dom!$A$5:$CU$5,0))-INDEX(Prices_dom!$A$6:$CU$2000,MATCH(Settings!$C$4&amp;Settings!$C$7,Prices_dom!$A$6:$A$2000,0),MATCH("mit.sp."&amp;$G15,Prices_dom!$A$5:$CU$5,0)))/$I15</f>
        <v/>
      </c>
      <c r="U15" s="48">
        <f>INDEX(EF_GHG!$E$4:$E$1000,MATCH(Settings!$C$4&amp;"|"&amp;$B15&amp;"|"&amp;$H15,EF_GHG!$A$4:$A$1000,0))</f>
        <v/>
      </c>
      <c r="V15" s="41">
        <f>INDEX(EnergyCons!$F$4:$F$5000,MATCH(Settings!$C$4&amp;"|"&amp;Settings!$C$7&amp;"|"&amp;$C15&amp;"|"&amp;$B15,EnergyCons!$A$4:$A$5000,0))</f>
        <v/>
      </c>
    </row>
    <row r="16">
      <c r="A16" s="5">
        <f>$B16&amp;"|"&amp;$C16</f>
        <v/>
      </c>
      <c r="B16" s="6" t="inlineStr">
        <is>
          <t>die</t>
        </is>
      </c>
      <c r="C16" s="6" t="inlineStr">
        <is>
          <t>ral</t>
        </is>
      </c>
      <c r="D16" s="5">
        <f>INDEX(Mapping!$D$5:$D$20,MATCH($C16,Mapping!$A$5:$A$20,0))</f>
        <v/>
      </c>
      <c r="E16" s="5">
        <f>INDEX(Mapping!$C$29:$C$36,MATCH($B16,Mapping!$A$29:$A$36,0))</f>
        <v/>
      </c>
      <c r="F16" s="5">
        <f>INDEX(Mapping!$D$29:$D$36,MATCH($B16,Mapping!$A$29:$A$36,0))</f>
        <v/>
      </c>
      <c r="G16" s="5">
        <f>$B16&amp;"."&amp;IF(INDEX(Mapping!$E$29:$E$36,MATCH($B16,Mapping!$A$29:$A$36,0))="sub",INDEX(Mapping!$F$5:$F$20,MATCH($C16,Mapping!$A$5:$A$20,0)),"all")</f>
        <v/>
      </c>
      <c r="H16" s="5">
        <f>INDEX(Mapping!$E$5:$E$20,MATCH($C16,Mapping!$A$5:$A$20,0))</f>
        <v/>
      </c>
      <c r="I16" s="5">
        <f>INDEX(Mapping!$G$29:$G$36,MATCH($B16,Mapping!$A$29:$A$36,0))</f>
        <v/>
      </c>
      <c r="J16" s="5">
        <f>INDEX(Mapping!$H$29:$H$36,MATCH($B16,Mapping!$A$29:$A$36,0))</f>
        <v/>
      </c>
      <c r="K16" s="5">
        <f>INDEX(Mapping!$H$5:$H$20,MATCH($C16,Mapping!$A$5:$A$20,0))</f>
        <v/>
      </c>
      <c r="L16" s="5">
        <f>INDEX(Mapping!$E$42:$E$55,MATCH($G16,Mapping!$A$42:$A$55,0))</f>
        <v/>
      </c>
      <c r="M16" s="5">
        <f>INDEX(Mapping!$D$59:$D$62,MATCH(INDEX(Mapping!$G$5:$G$20,MATCH($C16,Mapping!$A$5:$A$20,0)),Mapping!$A$59:$A$62,0))</f>
        <v/>
      </c>
      <c r="N16" s="31">
        <f>INDEX(Elasticities!$F$4:$I$200,MATCH("inc|"&amp;$E16&amp;"|"&amp;$D16,Elasticities!$A$4:$A$200,0),MATCH(Settings!$C$6,Elasticities!$F$3:$I$3,0))</f>
        <v/>
      </c>
      <c r="O16" s="31">
        <f>INDEX(Elasticities!$F$4:$I$200,MATCH("usg|"&amp;$E16&amp;"|"&amp;$D16,Elasticities!$A$4:$A$200,0),MATCH(Settings!$C$6,Elasticities!$F$3:$I$3,0))</f>
        <v/>
      </c>
      <c r="P16" s="31">
        <f>INDEX(Elasticities!$F$4:$I$200,MATCH("eff|"&amp;$E16&amp;"|"&amp;$D16,Elasticities!$A$4:$A$200,0),MATCH(Settings!$C$6,Elasticities!$F$3:$I$3,0))</f>
        <v/>
      </c>
      <c r="Q16" s="25">
        <f>INDEX(Elasticities!$F$4:$I$200,MATCH("aei|"&amp;$F16&amp;"|"&amp;$D16,Elasticities!$A$4:$A$200,0),MATCH(Settings!$C$6,Elasticities!$F$3:$I$3,0))</f>
        <v/>
      </c>
      <c r="R16" s="47" t="n">
        <v>0</v>
      </c>
      <c r="S16" s="36">
        <f>INDEX(Prices_dom!$A$6:$CU$2000,MATCH(Settings!$C$4&amp;Settings!$C$7,Prices_dom!$A$6:$A$2000,0),MATCH("mit.sp."&amp;$G16,Prices_dom!$A$5:$CU$5,0))/$I16</f>
        <v/>
      </c>
      <c r="T16" s="36">
        <f>(INDEX(Prices_dom!$A$6:$CU$2000,MATCH(Settings!$C$4&amp;Settings!$C$7,Prices_dom!$A$6:$A$2000,0),MATCH("mit.rp."&amp;$G16,Prices_dom!$A$5:$CU$5,0))-INDEX(Prices_dom!$A$6:$CU$2000,MATCH(Settings!$C$4&amp;Settings!$C$7,Prices_dom!$A$6:$A$2000,0),MATCH("mit.sp."&amp;$G16,Prices_dom!$A$5:$CU$5,0)))/$I16</f>
        <v/>
      </c>
      <c r="U16" s="48">
        <f>INDEX(EF_GHG!$E$4:$E$1000,MATCH(Settings!$C$4&amp;"|"&amp;$B16&amp;"|"&amp;$H16,EF_GHG!$A$4:$A$1000,0))</f>
        <v/>
      </c>
      <c r="V16" s="41">
        <f>INDEX(EnergyCons!$F$4:$F$5000,MATCH(Settings!$C$4&amp;"|"&amp;Settings!$C$7&amp;"|"&amp;$C16&amp;"|"&amp;$B16,EnergyCons!$A$4:$A$5000,0))</f>
        <v/>
      </c>
    </row>
    <row r="17">
      <c r="A17" s="5">
        <f>$B17&amp;"|"&amp;$C17</f>
        <v/>
      </c>
      <c r="B17" s="6" t="inlineStr">
        <is>
          <t>lpg</t>
        </is>
      </c>
      <c r="C17" s="6" t="inlineStr">
        <is>
          <t>ral</t>
        </is>
      </c>
      <c r="D17" s="5">
        <f>INDEX(Mapping!$D$5:$D$20,MATCH($C17,Mapping!$A$5:$A$20,0))</f>
        <v/>
      </c>
      <c r="E17" s="5">
        <f>INDEX(Mapping!$C$29:$C$36,MATCH($B17,Mapping!$A$29:$A$36,0))</f>
        <v/>
      </c>
      <c r="F17" s="5">
        <f>INDEX(Mapping!$D$29:$D$36,MATCH($B17,Mapping!$A$29:$A$36,0))</f>
        <v/>
      </c>
      <c r="G17" s="5">
        <f>$B17&amp;"."&amp;IF(INDEX(Mapping!$E$29:$E$36,MATCH($B17,Mapping!$A$29:$A$36,0))="sub",INDEX(Mapping!$F$5:$F$20,MATCH($C17,Mapping!$A$5:$A$20,0)),"all")</f>
        <v/>
      </c>
      <c r="H17" s="5">
        <f>INDEX(Mapping!$E$5:$E$20,MATCH($C17,Mapping!$A$5:$A$20,0))</f>
        <v/>
      </c>
      <c r="I17" s="5">
        <f>INDEX(Mapping!$G$29:$G$36,MATCH($B17,Mapping!$A$29:$A$36,0))</f>
        <v/>
      </c>
      <c r="J17" s="5">
        <f>INDEX(Mapping!$H$29:$H$36,MATCH($B17,Mapping!$A$29:$A$36,0))</f>
        <v/>
      </c>
      <c r="K17" s="5">
        <f>INDEX(Mapping!$H$5:$H$20,MATCH($C17,Mapping!$A$5:$A$20,0))</f>
        <v/>
      </c>
      <c r="L17" s="5">
        <f>INDEX(Mapping!$E$42:$E$55,MATCH($G17,Mapping!$A$42:$A$55,0))</f>
        <v/>
      </c>
      <c r="M17" s="5">
        <f>INDEX(Mapping!$D$59:$D$62,MATCH(INDEX(Mapping!$G$5:$G$20,MATCH($C17,Mapping!$A$5:$A$20,0)),Mapping!$A$59:$A$62,0))</f>
        <v/>
      </c>
      <c r="N17" s="31">
        <f>INDEX(Elasticities!$F$4:$I$200,MATCH("inc|"&amp;$E17&amp;"|"&amp;$D17,Elasticities!$A$4:$A$200,0),MATCH(Settings!$C$6,Elasticities!$F$3:$I$3,0))</f>
        <v/>
      </c>
      <c r="O17" s="31">
        <f>INDEX(Elasticities!$F$4:$I$200,MATCH("usg|"&amp;$E17&amp;"|"&amp;$D17,Elasticities!$A$4:$A$200,0),MATCH(Settings!$C$6,Elasticities!$F$3:$I$3,0))</f>
        <v/>
      </c>
      <c r="P17" s="31">
        <f>INDEX(Elasticities!$F$4:$I$200,MATCH("eff|"&amp;$E17&amp;"|"&amp;$D17,Elasticities!$A$4:$A$200,0),MATCH(Settings!$C$6,Elasticities!$F$3:$I$3,0))</f>
        <v/>
      </c>
      <c r="Q17" s="25">
        <f>INDEX(Elasticities!$F$4:$I$200,MATCH("aei|"&amp;$F17&amp;"|"&amp;$D17,Elasticities!$A$4:$A$200,0),MATCH(Settings!$C$6,Elasticities!$F$3:$I$3,0))</f>
        <v/>
      </c>
      <c r="R17" s="47" t="n">
        <v>0</v>
      </c>
      <c r="S17" s="36">
        <f>INDEX(Prices_dom!$A$6:$CU$2000,MATCH(Settings!$C$4&amp;Settings!$C$7,Prices_dom!$A$6:$A$2000,0),MATCH("mit.sp."&amp;$G17,Prices_dom!$A$5:$CU$5,0))/$I17</f>
        <v/>
      </c>
      <c r="T17" s="36">
        <f>(INDEX(Prices_dom!$A$6:$CU$2000,MATCH(Settings!$C$4&amp;Settings!$C$7,Prices_dom!$A$6:$A$2000,0),MATCH("mit.rp."&amp;$G17,Prices_dom!$A$5:$CU$5,0))-INDEX(Prices_dom!$A$6:$CU$2000,MATCH(Settings!$C$4&amp;Settings!$C$7,Prices_dom!$A$6:$A$2000,0),MATCH("mit.sp."&amp;$G17,Prices_dom!$A$5:$CU$5,0)))/$I17</f>
        <v/>
      </c>
      <c r="U17" s="48">
        <f>INDEX(EF_GHG!$E$4:$E$1000,MATCH(Settings!$C$4&amp;"|"&amp;$B17&amp;"|"&amp;$H17,EF_GHG!$A$4:$A$1000,0))</f>
        <v/>
      </c>
      <c r="V17" s="41">
        <f>INDEX(EnergyCons!$F$4:$F$5000,MATCH(Settings!$C$4&amp;"|"&amp;Settings!$C$7&amp;"|"&amp;$C17&amp;"|"&amp;$B17,EnergyCons!$A$4:$A$5000,0))</f>
        <v/>
      </c>
    </row>
    <row r="18">
      <c r="A18" s="5">
        <f>$B18&amp;"|"&amp;$C18</f>
        <v/>
      </c>
      <c r="B18" s="6" t="inlineStr">
        <is>
          <t>ker</t>
        </is>
      </c>
      <c r="C18" s="6" t="inlineStr">
        <is>
          <t>ral</t>
        </is>
      </c>
      <c r="D18" s="5">
        <f>INDEX(Mapping!$D$5:$D$20,MATCH($C18,Mapping!$A$5:$A$20,0))</f>
        <v/>
      </c>
      <c r="E18" s="5">
        <f>INDEX(Mapping!$C$29:$C$36,MATCH($B18,Mapping!$A$29:$A$36,0))</f>
        <v/>
      </c>
      <c r="F18" s="5">
        <f>INDEX(Mapping!$D$29:$D$36,MATCH($B18,Mapping!$A$29:$A$36,0))</f>
        <v/>
      </c>
      <c r="G18" s="5">
        <f>$B18&amp;"."&amp;IF(INDEX(Mapping!$E$29:$E$36,MATCH($B18,Mapping!$A$29:$A$36,0))="sub",INDEX(Mapping!$F$5:$F$20,MATCH($C18,Mapping!$A$5:$A$20,0)),"all")</f>
        <v/>
      </c>
      <c r="H18" s="5">
        <f>INDEX(Mapping!$E$5:$E$20,MATCH($C18,Mapping!$A$5:$A$20,0))</f>
        <v/>
      </c>
      <c r="I18" s="5">
        <f>INDEX(Mapping!$G$29:$G$36,MATCH($B18,Mapping!$A$29:$A$36,0))</f>
        <v/>
      </c>
      <c r="J18" s="5">
        <f>INDEX(Mapping!$H$29:$H$36,MATCH($B18,Mapping!$A$29:$A$36,0))</f>
        <v/>
      </c>
      <c r="K18" s="5">
        <f>INDEX(Mapping!$H$5:$H$20,MATCH($C18,Mapping!$A$5:$A$20,0))</f>
        <v/>
      </c>
      <c r="L18" s="5">
        <f>INDEX(Mapping!$E$42:$E$55,MATCH($G18,Mapping!$A$42:$A$55,0))</f>
        <v/>
      </c>
      <c r="M18" s="5">
        <f>INDEX(Mapping!$D$59:$D$62,MATCH(INDEX(Mapping!$G$5:$G$20,MATCH($C18,Mapping!$A$5:$A$20,0)),Mapping!$A$59:$A$62,0))</f>
        <v/>
      </c>
      <c r="N18" s="31">
        <f>INDEX(Elasticities!$F$4:$I$200,MATCH("inc|"&amp;$E18&amp;"|"&amp;$D18,Elasticities!$A$4:$A$200,0),MATCH(Settings!$C$6,Elasticities!$F$3:$I$3,0))</f>
        <v/>
      </c>
      <c r="O18" s="31">
        <f>INDEX(Elasticities!$F$4:$I$200,MATCH("usg|"&amp;$E18&amp;"|"&amp;$D18,Elasticities!$A$4:$A$200,0),MATCH(Settings!$C$6,Elasticities!$F$3:$I$3,0))</f>
        <v/>
      </c>
      <c r="P18" s="31">
        <f>INDEX(Elasticities!$F$4:$I$200,MATCH("eff|"&amp;$E18&amp;"|"&amp;$D18,Elasticities!$A$4:$A$200,0),MATCH(Settings!$C$6,Elasticities!$F$3:$I$3,0))</f>
        <v/>
      </c>
      <c r="Q18" s="25">
        <f>INDEX(Elasticities!$F$4:$I$200,MATCH("aei|"&amp;$F18&amp;"|"&amp;$D18,Elasticities!$A$4:$A$200,0),MATCH(Settings!$C$6,Elasticities!$F$3:$I$3,0))</f>
        <v/>
      </c>
      <c r="R18" s="47" t="n">
        <v>0</v>
      </c>
      <c r="S18" s="36">
        <f>INDEX(Prices_dom!$A$6:$CU$2000,MATCH(Settings!$C$4&amp;Settings!$C$7,Prices_dom!$A$6:$A$2000,0),MATCH("mit.sp."&amp;$G18,Prices_dom!$A$5:$CU$5,0))/$I18</f>
        <v/>
      </c>
      <c r="T18" s="36">
        <f>(INDEX(Prices_dom!$A$6:$CU$2000,MATCH(Settings!$C$4&amp;Settings!$C$7,Prices_dom!$A$6:$A$2000,0),MATCH("mit.rp."&amp;$G18,Prices_dom!$A$5:$CU$5,0))-INDEX(Prices_dom!$A$6:$CU$2000,MATCH(Settings!$C$4&amp;Settings!$C$7,Prices_dom!$A$6:$A$2000,0),MATCH("mit.sp."&amp;$G18,Prices_dom!$A$5:$CU$5,0)))/$I18</f>
        <v/>
      </c>
      <c r="U18" s="48">
        <f>INDEX(EF_GHG!$E$4:$E$1000,MATCH(Settings!$C$4&amp;"|"&amp;$B18&amp;"|"&amp;$H18,EF_GHG!$A$4:$A$1000,0))</f>
        <v/>
      </c>
      <c r="V18" s="41">
        <f>INDEX(EnergyCons!$F$4:$F$5000,MATCH(Settings!$C$4&amp;"|"&amp;Settings!$C$7&amp;"|"&amp;$C18&amp;"|"&amp;$B18,EnergyCons!$A$4:$A$5000,0))</f>
        <v/>
      </c>
    </row>
    <row r="19">
      <c r="A19" s="5">
        <f>$B19&amp;"|"&amp;$C19</f>
        <v/>
      </c>
      <c r="B19" s="6" t="inlineStr">
        <is>
          <t>oop</t>
        </is>
      </c>
      <c r="C19" s="6" t="inlineStr">
        <is>
          <t>ral</t>
        </is>
      </c>
      <c r="D19" s="5">
        <f>INDEX(Mapping!$D$5:$D$20,MATCH($C19,Mapping!$A$5:$A$20,0))</f>
        <v/>
      </c>
      <c r="E19" s="5">
        <f>INDEX(Mapping!$C$29:$C$36,MATCH($B19,Mapping!$A$29:$A$36,0))</f>
        <v/>
      </c>
      <c r="F19" s="5">
        <f>INDEX(Mapping!$D$29:$D$36,MATCH($B19,Mapping!$A$29:$A$36,0))</f>
        <v/>
      </c>
      <c r="G19" s="5">
        <f>$B19&amp;"."&amp;IF(INDEX(Mapping!$E$29:$E$36,MATCH($B19,Mapping!$A$29:$A$36,0))="sub",INDEX(Mapping!$F$5:$F$20,MATCH($C19,Mapping!$A$5:$A$20,0)),"all")</f>
        <v/>
      </c>
      <c r="H19" s="5">
        <f>INDEX(Mapping!$E$5:$E$20,MATCH($C19,Mapping!$A$5:$A$20,0))</f>
        <v/>
      </c>
      <c r="I19" s="5">
        <f>INDEX(Mapping!$G$29:$G$36,MATCH($B19,Mapping!$A$29:$A$36,0))</f>
        <v/>
      </c>
      <c r="J19" s="5">
        <f>INDEX(Mapping!$H$29:$H$36,MATCH($B19,Mapping!$A$29:$A$36,0))</f>
        <v/>
      </c>
      <c r="K19" s="5">
        <f>INDEX(Mapping!$H$5:$H$20,MATCH($C19,Mapping!$A$5:$A$20,0))</f>
        <v/>
      </c>
      <c r="L19" s="5">
        <f>INDEX(Mapping!$E$42:$E$55,MATCH($G19,Mapping!$A$42:$A$55,0))</f>
        <v/>
      </c>
      <c r="M19" s="5">
        <f>INDEX(Mapping!$D$59:$D$62,MATCH(INDEX(Mapping!$G$5:$G$20,MATCH($C19,Mapping!$A$5:$A$20,0)),Mapping!$A$59:$A$62,0))</f>
        <v/>
      </c>
      <c r="N19" s="31">
        <f>INDEX(Elasticities!$F$4:$I$200,MATCH("inc|"&amp;$E19&amp;"|"&amp;$D19,Elasticities!$A$4:$A$200,0),MATCH(Settings!$C$6,Elasticities!$F$3:$I$3,0))</f>
        <v/>
      </c>
      <c r="O19" s="31">
        <f>INDEX(Elasticities!$F$4:$I$200,MATCH("usg|"&amp;$E19&amp;"|"&amp;$D19,Elasticities!$A$4:$A$200,0),MATCH(Settings!$C$6,Elasticities!$F$3:$I$3,0))</f>
        <v/>
      </c>
      <c r="P19" s="31">
        <f>INDEX(Elasticities!$F$4:$I$200,MATCH("eff|"&amp;$E19&amp;"|"&amp;$D19,Elasticities!$A$4:$A$200,0),MATCH(Settings!$C$6,Elasticities!$F$3:$I$3,0))</f>
        <v/>
      </c>
      <c r="Q19" s="25">
        <f>INDEX(Elasticities!$F$4:$I$200,MATCH("aei|"&amp;$F19&amp;"|"&amp;$D19,Elasticities!$A$4:$A$200,0),MATCH(Settings!$C$6,Elasticities!$F$3:$I$3,0))</f>
        <v/>
      </c>
      <c r="R19" s="47" t="n">
        <v>0</v>
      </c>
      <c r="S19" s="36">
        <f>INDEX(Prices_dom!$A$6:$CU$2000,MATCH(Settings!$C$4&amp;Settings!$C$7,Prices_dom!$A$6:$A$2000,0),MATCH("mit.sp."&amp;$G19,Prices_dom!$A$5:$CU$5,0))/$I19</f>
        <v/>
      </c>
      <c r="T19" s="36">
        <f>(INDEX(Prices_dom!$A$6:$CU$2000,MATCH(Settings!$C$4&amp;Settings!$C$7,Prices_dom!$A$6:$A$2000,0),MATCH("mit.rp."&amp;$G19,Prices_dom!$A$5:$CU$5,0))-INDEX(Prices_dom!$A$6:$CU$2000,MATCH(Settings!$C$4&amp;Settings!$C$7,Prices_dom!$A$6:$A$2000,0),MATCH("mit.sp."&amp;$G19,Prices_dom!$A$5:$CU$5,0)))/$I19</f>
        <v/>
      </c>
      <c r="U19" s="48">
        <f>INDEX(EF_GHG!$E$4:$E$1000,MATCH(Settings!$C$4&amp;"|"&amp;$B19&amp;"|"&amp;$H19,EF_GHG!$A$4:$A$1000,0))</f>
        <v/>
      </c>
      <c r="V19" s="41">
        <f>INDEX(EnergyCons!$F$4:$F$5000,MATCH(Settings!$C$4&amp;"|"&amp;Settings!$C$7&amp;"|"&amp;$C19&amp;"|"&amp;$B19,EnergyCons!$A$4:$A$5000,0))</f>
        <v/>
      </c>
    </row>
    <row r="20">
      <c r="A20" s="5">
        <f>$B20&amp;"|"&amp;$C20</f>
        <v/>
      </c>
      <c r="B20" s="6" t="inlineStr">
        <is>
          <t>bio</t>
        </is>
      </c>
      <c r="C20" s="6" t="inlineStr">
        <is>
          <t>ral</t>
        </is>
      </c>
      <c r="D20" s="5">
        <f>INDEX(Mapping!$D$5:$D$20,MATCH($C20,Mapping!$A$5:$A$20,0))</f>
        <v/>
      </c>
      <c r="E20" s="5">
        <f>INDEX(Mapping!$C$29:$C$36,MATCH($B20,Mapping!$A$29:$A$36,0))</f>
        <v/>
      </c>
      <c r="F20" s="5">
        <f>INDEX(Mapping!$D$29:$D$36,MATCH($B20,Mapping!$A$29:$A$36,0))</f>
        <v/>
      </c>
      <c r="G20" s="5">
        <f>$B20&amp;"."&amp;IF(INDEX(Mapping!$E$29:$E$36,MATCH($B20,Mapping!$A$29:$A$36,0))="sub",INDEX(Mapping!$F$5:$F$20,MATCH($C20,Mapping!$A$5:$A$20,0)),"all")</f>
        <v/>
      </c>
      <c r="H20" s="5">
        <f>INDEX(Mapping!$E$5:$E$20,MATCH($C20,Mapping!$A$5:$A$20,0))</f>
        <v/>
      </c>
      <c r="I20" s="5">
        <f>INDEX(Mapping!$G$29:$G$36,MATCH($B20,Mapping!$A$29:$A$36,0))</f>
        <v/>
      </c>
      <c r="J20" s="5">
        <f>INDEX(Mapping!$H$29:$H$36,MATCH($B20,Mapping!$A$29:$A$36,0))</f>
        <v/>
      </c>
      <c r="K20" s="5">
        <f>INDEX(Mapping!$H$5:$H$20,MATCH($C20,Mapping!$A$5:$A$20,0))</f>
        <v/>
      </c>
      <c r="L20" s="5">
        <f>INDEX(Mapping!$E$42:$E$55,MATCH($G20,Mapping!$A$42:$A$55,0))</f>
        <v/>
      </c>
      <c r="M20" s="5">
        <f>INDEX(Mapping!$D$59:$D$62,MATCH(INDEX(Mapping!$G$5:$G$20,MATCH($C20,Mapping!$A$5:$A$20,0)),Mapping!$A$59:$A$62,0))</f>
        <v/>
      </c>
      <c r="N20" s="31">
        <f>INDEX(Elasticities!$F$4:$I$200,MATCH("inc|"&amp;$E20&amp;"|"&amp;$D20,Elasticities!$A$4:$A$200,0),MATCH(Settings!$C$6,Elasticities!$F$3:$I$3,0))</f>
        <v/>
      </c>
      <c r="O20" s="31">
        <f>INDEX(Elasticities!$F$4:$I$200,MATCH("usg|"&amp;$E20&amp;"|"&amp;$D20,Elasticities!$A$4:$A$200,0),MATCH(Settings!$C$6,Elasticities!$F$3:$I$3,0))</f>
        <v/>
      </c>
      <c r="P20" s="31">
        <f>INDEX(Elasticities!$F$4:$I$200,MATCH("eff|"&amp;$E20&amp;"|"&amp;$D20,Elasticities!$A$4:$A$200,0),MATCH(Settings!$C$6,Elasticities!$F$3:$I$3,0))</f>
        <v/>
      </c>
      <c r="Q20" s="25">
        <f>INDEX(Elasticities!$F$4:$I$200,MATCH("aei|"&amp;$F20&amp;"|"&amp;$D20,Elasticities!$A$4:$A$200,0),MATCH(Settings!$C$6,Elasticities!$F$3:$I$3,0))</f>
        <v/>
      </c>
      <c r="R20" s="47" t="n">
        <v>0</v>
      </c>
      <c r="S20" s="36">
        <f>INDEX(Prices_dom!$A$6:$CU$2000,MATCH(Settings!$C$4&amp;Settings!$C$7,Prices_dom!$A$6:$A$2000,0),MATCH("mit.sp."&amp;$G20,Prices_dom!$A$5:$CU$5,0))/$I20</f>
        <v/>
      </c>
      <c r="T20" s="36">
        <f>(INDEX(Prices_dom!$A$6:$CU$2000,MATCH(Settings!$C$4&amp;Settings!$C$7,Prices_dom!$A$6:$A$2000,0),MATCH("mit.rp."&amp;$G20,Prices_dom!$A$5:$CU$5,0))-INDEX(Prices_dom!$A$6:$CU$2000,MATCH(Settings!$C$4&amp;Settings!$C$7,Prices_dom!$A$6:$A$2000,0),MATCH("mit.sp."&amp;$G20,Prices_dom!$A$5:$CU$5,0)))/$I20</f>
        <v/>
      </c>
      <c r="U20" s="48">
        <f>INDEX(EF_GHG!$E$4:$E$1000,MATCH(Settings!$C$4&amp;"|"&amp;$B20&amp;"|"&amp;$H20,EF_GHG!$A$4:$A$1000,0))</f>
        <v/>
      </c>
      <c r="V20" s="41">
        <f>INDEX(EnergyCons!$F$4:$F$5000,MATCH(Settings!$C$4&amp;"|"&amp;Settings!$C$7&amp;"|"&amp;$C20&amp;"|"&amp;$B20,EnergyCons!$A$4:$A$5000,0))</f>
        <v/>
      </c>
    </row>
    <row r="21">
      <c r="A21" s="5">
        <f>$B21&amp;"|"&amp;$C21</f>
        <v/>
      </c>
      <c r="B21" s="6" t="inlineStr">
        <is>
          <t>coa</t>
        </is>
      </c>
      <c r="C21" s="6" t="inlineStr">
        <is>
          <t>avi</t>
        </is>
      </c>
      <c r="D21" s="5">
        <f>INDEX(Mapping!$D$5:$D$20,MATCH($C21,Mapping!$A$5:$A$20,0))</f>
        <v/>
      </c>
      <c r="E21" s="5">
        <f>INDEX(Mapping!$C$29:$C$36,MATCH($B21,Mapping!$A$29:$A$36,0))</f>
        <v/>
      </c>
      <c r="F21" s="5">
        <f>INDEX(Mapping!$D$29:$D$36,MATCH($B21,Mapping!$A$29:$A$36,0))</f>
        <v/>
      </c>
      <c r="G21" s="5">
        <f>$B21&amp;"."&amp;IF(INDEX(Mapping!$E$29:$E$36,MATCH($B21,Mapping!$A$29:$A$36,0))="sub",INDEX(Mapping!$F$5:$F$20,MATCH($C21,Mapping!$A$5:$A$20,0)),"all")</f>
        <v/>
      </c>
      <c r="H21" s="5">
        <f>INDEX(Mapping!$E$5:$E$20,MATCH($C21,Mapping!$A$5:$A$20,0))</f>
        <v/>
      </c>
      <c r="I21" s="5">
        <f>INDEX(Mapping!$G$29:$G$36,MATCH($B21,Mapping!$A$29:$A$36,0))</f>
        <v/>
      </c>
      <c r="J21" s="5">
        <f>INDEX(Mapping!$H$29:$H$36,MATCH($B21,Mapping!$A$29:$A$36,0))</f>
        <v/>
      </c>
      <c r="K21" s="5">
        <f>INDEX(Mapping!$H$5:$H$20,MATCH($C21,Mapping!$A$5:$A$20,0))</f>
        <v/>
      </c>
      <c r="L21" s="5">
        <f>INDEX(Mapping!$E$42:$E$55,MATCH($G21,Mapping!$A$42:$A$55,0))</f>
        <v/>
      </c>
      <c r="M21" s="5">
        <f>INDEX(Mapping!$D$59:$D$62,MATCH(INDEX(Mapping!$G$5:$G$20,MATCH($C21,Mapping!$A$5:$A$20,0)),Mapping!$A$59:$A$62,0))</f>
        <v/>
      </c>
      <c r="N21" s="31">
        <f>INDEX(Elasticities!$F$4:$I$200,MATCH("inc|"&amp;$E21&amp;"|"&amp;$D21,Elasticities!$A$4:$A$200,0),MATCH(Settings!$C$6,Elasticities!$F$3:$I$3,0))</f>
        <v/>
      </c>
      <c r="O21" s="31">
        <f>INDEX(Elasticities!$F$4:$I$200,MATCH("usg|"&amp;$E21&amp;"|"&amp;$D21,Elasticities!$A$4:$A$200,0),MATCH(Settings!$C$6,Elasticities!$F$3:$I$3,0))</f>
        <v/>
      </c>
      <c r="P21" s="31">
        <f>INDEX(Elasticities!$F$4:$I$200,MATCH("eff|"&amp;$E21&amp;"|"&amp;$D21,Elasticities!$A$4:$A$200,0),MATCH(Settings!$C$6,Elasticities!$F$3:$I$3,0))</f>
        <v/>
      </c>
      <c r="Q21" s="25">
        <f>INDEX(Elasticities!$F$4:$I$200,MATCH("aei|"&amp;$F21&amp;"|"&amp;$D21,Elasticities!$A$4:$A$200,0),MATCH(Settings!$C$6,Elasticities!$F$3:$I$3,0))</f>
        <v/>
      </c>
      <c r="R21" s="47" t="n">
        <v>0</v>
      </c>
      <c r="S21" s="36">
        <f>INDEX(Prices_dom!$A$6:$CU$2000,MATCH(Settings!$C$4&amp;Settings!$C$7,Prices_dom!$A$6:$A$2000,0),MATCH("mit.sp."&amp;$G21,Prices_dom!$A$5:$CU$5,0))/$I21</f>
        <v/>
      </c>
      <c r="T21" s="36">
        <f>(INDEX(Prices_dom!$A$6:$CU$2000,MATCH(Settings!$C$4&amp;Settings!$C$7,Prices_dom!$A$6:$A$2000,0),MATCH("mit.rp."&amp;$G21,Prices_dom!$A$5:$CU$5,0))-INDEX(Prices_dom!$A$6:$CU$2000,MATCH(Settings!$C$4&amp;Settings!$C$7,Prices_dom!$A$6:$A$2000,0),MATCH("mit.sp."&amp;$G21,Prices_dom!$A$5:$CU$5,0)))/$I21</f>
        <v/>
      </c>
      <c r="U21" s="48">
        <f>INDEX(EF_GHG!$E$4:$E$1000,MATCH(Settings!$C$4&amp;"|"&amp;$B21&amp;"|"&amp;$H21,EF_GHG!$A$4:$A$1000,0))</f>
        <v/>
      </c>
      <c r="V21" s="41">
        <f>INDEX(EnergyCons!$F$4:$F$5000,MATCH(Settings!$C$4&amp;"|"&amp;Settings!$C$7&amp;"|"&amp;$C21&amp;"|"&amp;$B21,EnergyCons!$A$4:$A$5000,0))</f>
        <v/>
      </c>
    </row>
    <row r="22">
      <c r="A22" s="5">
        <f>$B22&amp;"|"&amp;$C22</f>
        <v/>
      </c>
      <c r="B22" s="6" t="inlineStr">
        <is>
          <t>nga</t>
        </is>
      </c>
      <c r="C22" s="6" t="inlineStr">
        <is>
          <t>avi</t>
        </is>
      </c>
      <c r="D22" s="5">
        <f>INDEX(Mapping!$D$5:$D$20,MATCH($C22,Mapping!$A$5:$A$20,0))</f>
        <v/>
      </c>
      <c r="E22" s="5">
        <f>INDEX(Mapping!$C$29:$C$36,MATCH($B22,Mapping!$A$29:$A$36,0))</f>
        <v/>
      </c>
      <c r="F22" s="5">
        <f>INDEX(Mapping!$D$29:$D$36,MATCH($B22,Mapping!$A$29:$A$36,0))</f>
        <v/>
      </c>
      <c r="G22" s="5">
        <f>$B22&amp;"."&amp;IF(INDEX(Mapping!$E$29:$E$36,MATCH($B22,Mapping!$A$29:$A$36,0))="sub",INDEX(Mapping!$F$5:$F$20,MATCH($C22,Mapping!$A$5:$A$20,0)),"all")</f>
        <v/>
      </c>
      <c r="H22" s="5">
        <f>INDEX(Mapping!$E$5:$E$20,MATCH($C22,Mapping!$A$5:$A$20,0))</f>
        <v/>
      </c>
      <c r="I22" s="5">
        <f>INDEX(Mapping!$G$29:$G$36,MATCH($B22,Mapping!$A$29:$A$36,0))</f>
        <v/>
      </c>
      <c r="J22" s="5">
        <f>INDEX(Mapping!$H$29:$H$36,MATCH($B22,Mapping!$A$29:$A$36,0))</f>
        <v/>
      </c>
      <c r="K22" s="5">
        <f>INDEX(Mapping!$H$5:$H$20,MATCH($C22,Mapping!$A$5:$A$20,0))</f>
        <v/>
      </c>
      <c r="L22" s="5">
        <f>INDEX(Mapping!$E$42:$E$55,MATCH($G22,Mapping!$A$42:$A$55,0))</f>
        <v/>
      </c>
      <c r="M22" s="5">
        <f>INDEX(Mapping!$D$59:$D$62,MATCH(INDEX(Mapping!$G$5:$G$20,MATCH($C22,Mapping!$A$5:$A$20,0)),Mapping!$A$59:$A$62,0))</f>
        <v/>
      </c>
      <c r="N22" s="31">
        <f>INDEX(Elasticities!$F$4:$I$200,MATCH("inc|"&amp;$E22&amp;"|"&amp;$D22,Elasticities!$A$4:$A$200,0),MATCH(Settings!$C$6,Elasticities!$F$3:$I$3,0))</f>
        <v/>
      </c>
      <c r="O22" s="31">
        <f>INDEX(Elasticities!$F$4:$I$200,MATCH("usg|"&amp;$E22&amp;"|"&amp;$D22,Elasticities!$A$4:$A$200,0),MATCH(Settings!$C$6,Elasticities!$F$3:$I$3,0))</f>
        <v/>
      </c>
      <c r="P22" s="31">
        <f>INDEX(Elasticities!$F$4:$I$200,MATCH("eff|"&amp;$E22&amp;"|"&amp;$D22,Elasticities!$A$4:$A$200,0),MATCH(Settings!$C$6,Elasticities!$F$3:$I$3,0))</f>
        <v/>
      </c>
      <c r="Q22" s="25">
        <f>INDEX(Elasticities!$F$4:$I$200,MATCH("aei|"&amp;$F22&amp;"|"&amp;$D22,Elasticities!$A$4:$A$200,0),MATCH(Settings!$C$6,Elasticities!$F$3:$I$3,0))</f>
        <v/>
      </c>
      <c r="R22" s="47" t="n">
        <v>0</v>
      </c>
      <c r="S22" s="36">
        <f>INDEX(Prices_dom!$A$6:$CU$2000,MATCH(Settings!$C$4&amp;Settings!$C$7,Prices_dom!$A$6:$A$2000,0),MATCH("mit.sp."&amp;$G22,Prices_dom!$A$5:$CU$5,0))/$I22</f>
        <v/>
      </c>
      <c r="T22" s="36">
        <f>(INDEX(Prices_dom!$A$6:$CU$2000,MATCH(Settings!$C$4&amp;Settings!$C$7,Prices_dom!$A$6:$A$2000,0),MATCH("mit.rp."&amp;$G22,Prices_dom!$A$5:$CU$5,0))-INDEX(Prices_dom!$A$6:$CU$2000,MATCH(Settings!$C$4&amp;Settings!$C$7,Prices_dom!$A$6:$A$2000,0),MATCH("mit.sp."&amp;$G22,Prices_dom!$A$5:$CU$5,0)))/$I22</f>
        <v/>
      </c>
      <c r="U22" s="48">
        <f>INDEX(EF_GHG!$E$4:$E$1000,MATCH(Settings!$C$4&amp;"|"&amp;$B22&amp;"|"&amp;$H22,EF_GHG!$A$4:$A$1000,0))</f>
        <v/>
      </c>
      <c r="V22" s="41">
        <f>INDEX(EnergyCons!$F$4:$F$5000,MATCH(Settings!$C$4&amp;"|"&amp;Settings!$C$7&amp;"|"&amp;$C22&amp;"|"&amp;$B22,EnergyCons!$A$4:$A$5000,0))</f>
        <v/>
      </c>
    </row>
    <row r="23">
      <c r="A23" s="5">
        <f>$B23&amp;"|"&amp;$C23</f>
        <v/>
      </c>
      <c r="B23" s="6" t="inlineStr">
        <is>
          <t>gso</t>
        </is>
      </c>
      <c r="C23" s="6" t="inlineStr">
        <is>
          <t>avi</t>
        </is>
      </c>
      <c r="D23" s="5">
        <f>INDEX(Mapping!$D$5:$D$20,MATCH($C23,Mapping!$A$5:$A$20,0))</f>
        <v/>
      </c>
      <c r="E23" s="5">
        <f>INDEX(Mapping!$C$29:$C$36,MATCH($B23,Mapping!$A$29:$A$36,0))</f>
        <v/>
      </c>
      <c r="F23" s="5">
        <f>INDEX(Mapping!$D$29:$D$36,MATCH($B23,Mapping!$A$29:$A$36,0))</f>
        <v/>
      </c>
      <c r="G23" s="5">
        <f>$B23&amp;"."&amp;IF(INDEX(Mapping!$E$29:$E$36,MATCH($B23,Mapping!$A$29:$A$36,0))="sub",INDEX(Mapping!$F$5:$F$20,MATCH($C23,Mapping!$A$5:$A$20,0)),"all")</f>
        <v/>
      </c>
      <c r="H23" s="5">
        <f>INDEX(Mapping!$E$5:$E$20,MATCH($C23,Mapping!$A$5:$A$20,0))</f>
        <v/>
      </c>
      <c r="I23" s="5">
        <f>INDEX(Mapping!$G$29:$G$36,MATCH($B23,Mapping!$A$29:$A$36,0))</f>
        <v/>
      </c>
      <c r="J23" s="5">
        <f>INDEX(Mapping!$H$29:$H$36,MATCH($B23,Mapping!$A$29:$A$36,0))</f>
        <v/>
      </c>
      <c r="K23" s="5">
        <f>INDEX(Mapping!$H$5:$H$20,MATCH($C23,Mapping!$A$5:$A$20,0))</f>
        <v/>
      </c>
      <c r="L23" s="5">
        <f>INDEX(Mapping!$E$42:$E$55,MATCH($G23,Mapping!$A$42:$A$55,0))</f>
        <v/>
      </c>
      <c r="M23" s="5">
        <f>INDEX(Mapping!$D$59:$D$62,MATCH(INDEX(Mapping!$G$5:$G$20,MATCH($C23,Mapping!$A$5:$A$20,0)),Mapping!$A$59:$A$62,0))</f>
        <v/>
      </c>
      <c r="N23" s="31">
        <f>INDEX(Elasticities!$F$4:$I$200,MATCH("inc|"&amp;$E23&amp;"|"&amp;$D23,Elasticities!$A$4:$A$200,0),MATCH(Settings!$C$6,Elasticities!$F$3:$I$3,0))</f>
        <v/>
      </c>
      <c r="O23" s="31">
        <f>INDEX(Elasticities!$F$4:$I$200,MATCH("usg|"&amp;$E23&amp;"|"&amp;$D23,Elasticities!$A$4:$A$200,0),MATCH(Settings!$C$6,Elasticities!$F$3:$I$3,0))</f>
        <v/>
      </c>
      <c r="P23" s="31">
        <f>INDEX(Elasticities!$F$4:$I$200,MATCH("eff|"&amp;$E23&amp;"|"&amp;$D23,Elasticities!$A$4:$A$200,0),MATCH(Settings!$C$6,Elasticities!$F$3:$I$3,0))</f>
        <v/>
      </c>
      <c r="Q23" s="25">
        <f>INDEX(Elasticities!$F$4:$I$200,MATCH("aei|"&amp;$F23&amp;"|"&amp;$D23,Elasticities!$A$4:$A$200,0),MATCH(Settings!$C$6,Elasticities!$F$3:$I$3,0))</f>
        <v/>
      </c>
      <c r="R23" s="47" t="n">
        <v>0</v>
      </c>
      <c r="S23" s="36">
        <f>INDEX(Prices_dom!$A$6:$CU$2000,MATCH(Settings!$C$4&amp;Settings!$C$7,Prices_dom!$A$6:$A$2000,0),MATCH("mit.sp."&amp;$G23,Prices_dom!$A$5:$CU$5,0))/$I23</f>
        <v/>
      </c>
      <c r="T23" s="36">
        <f>(INDEX(Prices_dom!$A$6:$CU$2000,MATCH(Settings!$C$4&amp;Settings!$C$7,Prices_dom!$A$6:$A$2000,0),MATCH("mit.rp."&amp;$G23,Prices_dom!$A$5:$CU$5,0))-INDEX(Prices_dom!$A$6:$CU$2000,MATCH(Settings!$C$4&amp;Settings!$C$7,Prices_dom!$A$6:$A$2000,0),MATCH("mit.sp."&amp;$G23,Prices_dom!$A$5:$CU$5,0)))/$I23</f>
        <v/>
      </c>
      <c r="U23" s="48">
        <f>INDEX(EF_GHG!$E$4:$E$1000,MATCH(Settings!$C$4&amp;"|"&amp;$B23&amp;"|"&amp;$H23,EF_GHG!$A$4:$A$1000,0))</f>
        <v/>
      </c>
      <c r="V23" s="41">
        <f>INDEX(EnergyCons!$F$4:$F$5000,MATCH(Settings!$C$4&amp;"|"&amp;Settings!$C$7&amp;"|"&amp;$C23&amp;"|"&amp;$B23,EnergyCons!$A$4:$A$5000,0))</f>
        <v/>
      </c>
    </row>
    <row r="24">
      <c r="A24" s="5">
        <f>$B24&amp;"|"&amp;$C24</f>
        <v/>
      </c>
      <c r="B24" s="6" t="inlineStr">
        <is>
          <t>die</t>
        </is>
      </c>
      <c r="C24" s="6" t="inlineStr">
        <is>
          <t>avi</t>
        </is>
      </c>
      <c r="D24" s="5">
        <f>INDEX(Mapping!$D$5:$D$20,MATCH($C24,Mapping!$A$5:$A$20,0))</f>
        <v/>
      </c>
      <c r="E24" s="5">
        <f>INDEX(Mapping!$C$29:$C$36,MATCH($B24,Mapping!$A$29:$A$36,0))</f>
        <v/>
      </c>
      <c r="F24" s="5">
        <f>INDEX(Mapping!$D$29:$D$36,MATCH($B24,Mapping!$A$29:$A$36,0))</f>
        <v/>
      </c>
      <c r="G24" s="5">
        <f>$B24&amp;"."&amp;IF(INDEX(Mapping!$E$29:$E$36,MATCH($B24,Mapping!$A$29:$A$36,0))="sub",INDEX(Mapping!$F$5:$F$20,MATCH($C24,Mapping!$A$5:$A$20,0)),"all")</f>
        <v/>
      </c>
      <c r="H24" s="5">
        <f>INDEX(Mapping!$E$5:$E$20,MATCH($C24,Mapping!$A$5:$A$20,0))</f>
        <v/>
      </c>
      <c r="I24" s="5">
        <f>INDEX(Mapping!$G$29:$G$36,MATCH($B24,Mapping!$A$29:$A$36,0))</f>
        <v/>
      </c>
      <c r="J24" s="5">
        <f>INDEX(Mapping!$H$29:$H$36,MATCH($B24,Mapping!$A$29:$A$36,0))</f>
        <v/>
      </c>
      <c r="K24" s="5">
        <f>INDEX(Mapping!$H$5:$H$20,MATCH($C24,Mapping!$A$5:$A$20,0))</f>
        <v/>
      </c>
      <c r="L24" s="5">
        <f>INDEX(Mapping!$E$42:$E$55,MATCH($G24,Mapping!$A$42:$A$55,0))</f>
        <v/>
      </c>
      <c r="M24" s="5">
        <f>INDEX(Mapping!$D$59:$D$62,MATCH(INDEX(Mapping!$G$5:$G$20,MATCH($C24,Mapping!$A$5:$A$20,0)),Mapping!$A$59:$A$62,0))</f>
        <v/>
      </c>
      <c r="N24" s="31">
        <f>INDEX(Elasticities!$F$4:$I$200,MATCH("inc|"&amp;$E24&amp;"|"&amp;$D24,Elasticities!$A$4:$A$200,0),MATCH(Settings!$C$6,Elasticities!$F$3:$I$3,0))</f>
        <v/>
      </c>
      <c r="O24" s="31">
        <f>INDEX(Elasticities!$F$4:$I$200,MATCH("usg|"&amp;$E24&amp;"|"&amp;$D24,Elasticities!$A$4:$A$200,0),MATCH(Settings!$C$6,Elasticities!$F$3:$I$3,0))</f>
        <v/>
      </c>
      <c r="P24" s="31">
        <f>INDEX(Elasticities!$F$4:$I$200,MATCH("eff|"&amp;$E24&amp;"|"&amp;$D24,Elasticities!$A$4:$A$200,0),MATCH(Settings!$C$6,Elasticities!$F$3:$I$3,0))</f>
        <v/>
      </c>
      <c r="Q24" s="25">
        <f>INDEX(Elasticities!$F$4:$I$200,MATCH("aei|"&amp;$F24&amp;"|"&amp;$D24,Elasticities!$A$4:$A$200,0),MATCH(Settings!$C$6,Elasticities!$F$3:$I$3,0))</f>
        <v/>
      </c>
      <c r="R24" s="47" t="n">
        <v>0</v>
      </c>
      <c r="S24" s="36">
        <f>INDEX(Prices_dom!$A$6:$CU$2000,MATCH(Settings!$C$4&amp;Settings!$C$7,Prices_dom!$A$6:$A$2000,0),MATCH("mit.sp."&amp;$G24,Prices_dom!$A$5:$CU$5,0))/$I24</f>
        <v/>
      </c>
      <c r="T24" s="36">
        <f>(INDEX(Prices_dom!$A$6:$CU$2000,MATCH(Settings!$C$4&amp;Settings!$C$7,Prices_dom!$A$6:$A$2000,0),MATCH("mit.rp."&amp;$G24,Prices_dom!$A$5:$CU$5,0))-INDEX(Prices_dom!$A$6:$CU$2000,MATCH(Settings!$C$4&amp;Settings!$C$7,Prices_dom!$A$6:$A$2000,0),MATCH("mit.sp."&amp;$G24,Prices_dom!$A$5:$CU$5,0)))/$I24</f>
        <v/>
      </c>
      <c r="U24" s="48">
        <f>INDEX(EF_GHG!$E$4:$E$1000,MATCH(Settings!$C$4&amp;"|"&amp;$B24&amp;"|"&amp;$H24,EF_GHG!$A$4:$A$1000,0))</f>
        <v/>
      </c>
      <c r="V24" s="41">
        <f>INDEX(EnergyCons!$F$4:$F$5000,MATCH(Settings!$C$4&amp;"|"&amp;Settings!$C$7&amp;"|"&amp;$C24&amp;"|"&amp;$B24,EnergyCons!$A$4:$A$5000,0))</f>
        <v/>
      </c>
    </row>
    <row r="25">
      <c r="A25" s="5">
        <f>$B25&amp;"|"&amp;$C25</f>
        <v/>
      </c>
      <c r="B25" s="6" t="inlineStr">
        <is>
          <t>lpg</t>
        </is>
      </c>
      <c r="C25" s="6" t="inlineStr">
        <is>
          <t>avi</t>
        </is>
      </c>
      <c r="D25" s="5">
        <f>INDEX(Mapping!$D$5:$D$20,MATCH($C25,Mapping!$A$5:$A$20,0))</f>
        <v/>
      </c>
      <c r="E25" s="5">
        <f>INDEX(Mapping!$C$29:$C$36,MATCH($B25,Mapping!$A$29:$A$36,0))</f>
        <v/>
      </c>
      <c r="F25" s="5">
        <f>INDEX(Mapping!$D$29:$D$36,MATCH($B25,Mapping!$A$29:$A$36,0))</f>
        <v/>
      </c>
      <c r="G25" s="5">
        <f>$B25&amp;"."&amp;IF(INDEX(Mapping!$E$29:$E$36,MATCH($B25,Mapping!$A$29:$A$36,0))="sub",INDEX(Mapping!$F$5:$F$20,MATCH($C25,Mapping!$A$5:$A$20,0)),"all")</f>
        <v/>
      </c>
      <c r="H25" s="5">
        <f>INDEX(Mapping!$E$5:$E$20,MATCH($C25,Mapping!$A$5:$A$20,0))</f>
        <v/>
      </c>
      <c r="I25" s="5">
        <f>INDEX(Mapping!$G$29:$G$36,MATCH($B25,Mapping!$A$29:$A$36,0))</f>
        <v/>
      </c>
      <c r="J25" s="5">
        <f>INDEX(Mapping!$H$29:$H$36,MATCH($B25,Mapping!$A$29:$A$36,0))</f>
        <v/>
      </c>
      <c r="K25" s="5">
        <f>INDEX(Mapping!$H$5:$H$20,MATCH($C25,Mapping!$A$5:$A$20,0))</f>
        <v/>
      </c>
      <c r="L25" s="5">
        <f>INDEX(Mapping!$E$42:$E$55,MATCH($G25,Mapping!$A$42:$A$55,0))</f>
        <v/>
      </c>
      <c r="M25" s="5">
        <f>INDEX(Mapping!$D$59:$D$62,MATCH(INDEX(Mapping!$G$5:$G$20,MATCH($C25,Mapping!$A$5:$A$20,0)),Mapping!$A$59:$A$62,0))</f>
        <v/>
      </c>
      <c r="N25" s="31">
        <f>INDEX(Elasticities!$F$4:$I$200,MATCH("inc|"&amp;$E25&amp;"|"&amp;$D25,Elasticities!$A$4:$A$200,0),MATCH(Settings!$C$6,Elasticities!$F$3:$I$3,0))</f>
        <v/>
      </c>
      <c r="O25" s="31">
        <f>INDEX(Elasticities!$F$4:$I$200,MATCH("usg|"&amp;$E25&amp;"|"&amp;$D25,Elasticities!$A$4:$A$200,0),MATCH(Settings!$C$6,Elasticities!$F$3:$I$3,0))</f>
        <v/>
      </c>
      <c r="P25" s="31">
        <f>INDEX(Elasticities!$F$4:$I$200,MATCH("eff|"&amp;$E25&amp;"|"&amp;$D25,Elasticities!$A$4:$A$200,0),MATCH(Settings!$C$6,Elasticities!$F$3:$I$3,0))</f>
        <v/>
      </c>
      <c r="Q25" s="25">
        <f>INDEX(Elasticities!$F$4:$I$200,MATCH("aei|"&amp;$F25&amp;"|"&amp;$D25,Elasticities!$A$4:$A$200,0),MATCH(Settings!$C$6,Elasticities!$F$3:$I$3,0))</f>
        <v/>
      </c>
      <c r="R25" s="47" t="n">
        <v>0</v>
      </c>
      <c r="S25" s="36">
        <f>INDEX(Prices_dom!$A$6:$CU$2000,MATCH(Settings!$C$4&amp;Settings!$C$7,Prices_dom!$A$6:$A$2000,0),MATCH("mit.sp."&amp;$G25,Prices_dom!$A$5:$CU$5,0))/$I25</f>
        <v/>
      </c>
      <c r="T25" s="36">
        <f>(INDEX(Prices_dom!$A$6:$CU$2000,MATCH(Settings!$C$4&amp;Settings!$C$7,Prices_dom!$A$6:$A$2000,0),MATCH("mit.rp."&amp;$G25,Prices_dom!$A$5:$CU$5,0))-INDEX(Prices_dom!$A$6:$CU$2000,MATCH(Settings!$C$4&amp;Settings!$C$7,Prices_dom!$A$6:$A$2000,0),MATCH("mit.sp."&amp;$G25,Prices_dom!$A$5:$CU$5,0)))/$I25</f>
        <v/>
      </c>
      <c r="U25" s="48">
        <f>INDEX(EF_GHG!$E$4:$E$1000,MATCH(Settings!$C$4&amp;"|"&amp;$B25&amp;"|"&amp;$H25,EF_GHG!$A$4:$A$1000,0))</f>
        <v/>
      </c>
      <c r="V25" s="41">
        <f>INDEX(EnergyCons!$F$4:$F$5000,MATCH(Settings!$C$4&amp;"|"&amp;Settings!$C$7&amp;"|"&amp;$C25&amp;"|"&amp;$B25,EnergyCons!$A$4:$A$5000,0))</f>
        <v/>
      </c>
    </row>
    <row r="26">
      <c r="A26" s="5">
        <f>$B26&amp;"|"&amp;$C26</f>
        <v/>
      </c>
      <c r="B26" s="6" t="inlineStr">
        <is>
          <t>ker</t>
        </is>
      </c>
      <c r="C26" s="6" t="inlineStr">
        <is>
          <t>avi</t>
        </is>
      </c>
      <c r="D26" s="5">
        <f>INDEX(Mapping!$D$5:$D$20,MATCH($C26,Mapping!$A$5:$A$20,0))</f>
        <v/>
      </c>
      <c r="E26" s="5">
        <f>INDEX(Mapping!$C$29:$C$36,MATCH($B26,Mapping!$A$29:$A$36,0))</f>
        <v/>
      </c>
      <c r="F26" s="5">
        <f>INDEX(Mapping!$D$29:$D$36,MATCH($B26,Mapping!$A$29:$A$36,0))</f>
        <v/>
      </c>
      <c r="G26" s="5">
        <f>$B26&amp;"."&amp;IF(INDEX(Mapping!$E$29:$E$36,MATCH($B26,Mapping!$A$29:$A$36,0))="sub",INDEX(Mapping!$F$5:$F$20,MATCH($C26,Mapping!$A$5:$A$20,0)),"all")</f>
        <v/>
      </c>
      <c r="H26" s="5">
        <f>INDEX(Mapping!$E$5:$E$20,MATCH($C26,Mapping!$A$5:$A$20,0))</f>
        <v/>
      </c>
      <c r="I26" s="5">
        <f>INDEX(Mapping!$G$29:$G$36,MATCH($B26,Mapping!$A$29:$A$36,0))</f>
        <v/>
      </c>
      <c r="J26" s="5">
        <f>INDEX(Mapping!$H$29:$H$36,MATCH($B26,Mapping!$A$29:$A$36,0))</f>
        <v/>
      </c>
      <c r="K26" s="5">
        <f>INDEX(Mapping!$H$5:$H$20,MATCH($C26,Mapping!$A$5:$A$20,0))</f>
        <v/>
      </c>
      <c r="L26" s="5">
        <f>INDEX(Mapping!$E$42:$E$55,MATCH($G26,Mapping!$A$42:$A$55,0))</f>
        <v/>
      </c>
      <c r="M26" s="5">
        <f>INDEX(Mapping!$D$59:$D$62,MATCH(INDEX(Mapping!$G$5:$G$20,MATCH($C26,Mapping!$A$5:$A$20,0)),Mapping!$A$59:$A$62,0))</f>
        <v/>
      </c>
      <c r="N26" s="31">
        <f>INDEX(Elasticities!$F$4:$I$200,MATCH("inc|"&amp;$E26&amp;"|"&amp;$D26,Elasticities!$A$4:$A$200,0),MATCH(Settings!$C$6,Elasticities!$F$3:$I$3,0))</f>
        <v/>
      </c>
      <c r="O26" s="31">
        <f>INDEX(Elasticities!$F$4:$I$200,MATCH("usg|"&amp;$E26&amp;"|"&amp;$D26,Elasticities!$A$4:$A$200,0),MATCH(Settings!$C$6,Elasticities!$F$3:$I$3,0))</f>
        <v/>
      </c>
      <c r="P26" s="31">
        <f>INDEX(Elasticities!$F$4:$I$200,MATCH("eff|"&amp;$E26&amp;"|"&amp;$D26,Elasticities!$A$4:$A$200,0),MATCH(Settings!$C$6,Elasticities!$F$3:$I$3,0))</f>
        <v/>
      </c>
      <c r="Q26" s="25">
        <f>INDEX(Elasticities!$F$4:$I$200,MATCH("aei|"&amp;$F26&amp;"|"&amp;$D26,Elasticities!$A$4:$A$200,0),MATCH(Settings!$C$6,Elasticities!$F$3:$I$3,0))</f>
        <v/>
      </c>
      <c r="R26" s="47" t="n">
        <v>0</v>
      </c>
      <c r="S26" s="36">
        <f>INDEX(Prices_dom!$A$6:$CU$2000,MATCH(Settings!$C$4&amp;Settings!$C$7,Prices_dom!$A$6:$A$2000,0),MATCH("mit.sp."&amp;$G26,Prices_dom!$A$5:$CU$5,0))/$I26</f>
        <v/>
      </c>
      <c r="T26" s="36">
        <f>(INDEX(Prices_dom!$A$6:$CU$2000,MATCH(Settings!$C$4&amp;Settings!$C$7,Prices_dom!$A$6:$A$2000,0),MATCH("mit.rp."&amp;$G26,Prices_dom!$A$5:$CU$5,0))-INDEX(Prices_dom!$A$6:$CU$2000,MATCH(Settings!$C$4&amp;Settings!$C$7,Prices_dom!$A$6:$A$2000,0),MATCH("mit.sp."&amp;$G26,Prices_dom!$A$5:$CU$5,0)))/$I26</f>
        <v/>
      </c>
      <c r="U26" s="48">
        <f>INDEX(EF_GHG!$E$4:$E$1000,MATCH(Settings!$C$4&amp;"|"&amp;$B26&amp;"|"&amp;$H26,EF_GHG!$A$4:$A$1000,0))</f>
        <v/>
      </c>
      <c r="V26" s="41">
        <f>INDEX(EnergyCons!$F$4:$F$5000,MATCH(Settings!$C$4&amp;"|"&amp;Settings!$C$7&amp;"|"&amp;$C26&amp;"|"&amp;$B26,EnergyCons!$A$4:$A$5000,0))</f>
        <v/>
      </c>
    </row>
    <row r="27">
      <c r="A27" s="5">
        <f>$B27&amp;"|"&amp;$C27</f>
        <v/>
      </c>
      <c r="B27" s="6" t="inlineStr">
        <is>
          <t>oop</t>
        </is>
      </c>
      <c r="C27" s="6" t="inlineStr">
        <is>
          <t>avi</t>
        </is>
      </c>
      <c r="D27" s="5">
        <f>INDEX(Mapping!$D$5:$D$20,MATCH($C27,Mapping!$A$5:$A$20,0))</f>
        <v/>
      </c>
      <c r="E27" s="5">
        <f>INDEX(Mapping!$C$29:$C$36,MATCH($B27,Mapping!$A$29:$A$36,0))</f>
        <v/>
      </c>
      <c r="F27" s="5">
        <f>INDEX(Mapping!$D$29:$D$36,MATCH($B27,Mapping!$A$29:$A$36,0))</f>
        <v/>
      </c>
      <c r="G27" s="5">
        <f>$B27&amp;"."&amp;IF(INDEX(Mapping!$E$29:$E$36,MATCH($B27,Mapping!$A$29:$A$36,0))="sub",INDEX(Mapping!$F$5:$F$20,MATCH($C27,Mapping!$A$5:$A$20,0)),"all")</f>
        <v/>
      </c>
      <c r="H27" s="5">
        <f>INDEX(Mapping!$E$5:$E$20,MATCH($C27,Mapping!$A$5:$A$20,0))</f>
        <v/>
      </c>
      <c r="I27" s="5">
        <f>INDEX(Mapping!$G$29:$G$36,MATCH($B27,Mapping!$A$29:$A$36,0))</f>
        <v/>
      </c>
      <c r="J27" s="5">
        <f>INDEX(Mapping!$H$29:$H$36,MATCH($B27,Mapping!$A$29:$A$36,0))</f>
        <v/>
      </c>
      <c r="K27" s="5">
        <f>INDEX(Mapping!$H$5:$H$20,MATCH($C27,Mapping!$A$5:$A$20,0))</f>
        <v/>
      </c>
      <c r="L27" s="5">
        <f>INDEX(Mapping!$E$42:$E$55,MATCH($G27,Mapping!$A$42:$A$55,0))</f>
        <v/>
      </c>
      <c r="M27" s="5">
        <f>INDEX(Mapping!$D$59:$D$62,MATCH(INDEX(Mapping!$G$5:$G$20,MATCH($C27,Mapping!$A$5:$A$20,0)),Mapping!$A$59:$A$62,0))</f>
        <v/>
      </c>
      <c r="N27" s="31">
        <f>INDEX(Elasticities!$F$4:$I$200,MATCH("inc|"&amp;$E27&amp;"|"&amp;$D27,Elasticities!$A$4:$A$200,0),MATCH(Settings!$C$6,Elasticities!$F$3:$I$3,0))</f>
        <v/>
      </c>
      <c r="O27" s="31">
        <f>INDEX(Elasticities!$F$4:$I$200,MATCH("usg|"&amp;$E27&amp;"|"&amp;$D27,Elasticities!$A$4:$A$200,0),MATCH(Settings!$C$6,Elasticities!$F$3:$I$3,0))</f>
        <v/>
      </c>
      <c r="P27" s="31">
        <f>INDEX(Elasticities!$F$4:$I$200,MATCH("eff|"&amp;$E27&amp;"|"&amp;$D27,Elasticities!$A$4:$A$200,0),MATCH(Settings!$C$6,Elasticities!$F$3:$I$3,0))</f>
        <v/>
      </c>
      <c r="Q27" s="25">
        <f>INDEX(Elasticities!$F$4:$I$200,MATCH("aei|"&amp;$F27&amp;"|"&amp;$D27,Elasticities!$A$4:$A$200,0),MATCH(Settings!$C$6,Elasticities!$F$3:$I$3,0))</f>
        <v/>
      </c>
      <c r="R27" s="47" t="n">
        <v>0</v>
      </c>
      <c r="S27" s="36">
        <f>INDEX(Prices_dom!$A$6:$CU$2000,MATCH(Settings!$C$4&amp;Settings!$C$7,Prices_dom!$A$6:$A$2000,0),MATCH("mit.sp."&amp;$G27,Prices_dom!$A$5:$CU$5,0))/$I27</f>
        <v/>
      </c>
      <c r="T27" s="36">
        <f>(INDEX(Prices_dom!$A$6:$CU$2000,MATCH(Settings!$C$4&amp;Settings!$C$7,Prices_dom!$A$6:$A$2000,0),MATCH("mit.rp."&amp;$G27,Prices_dom!$A$5:$CU$5,0))-INDEX(Prices_dom!$A$6:$CU$2000,MATCH(Settings!$C$4&amp;Settings!$C$7,Prices_dom!$A$6:$A$2000,0),MATCH("mit.sp."&amp;$G27,Prices_dom!$A$5:$CU$5,0)))/$I27</f>
        <v/>
      </c>
      <c r="U27" s="48">
        <f>INDEX(EF_GHG!$E$4:$E$1000,MATCH(Settings!$C$4&amp;"|"&amp;$B27&amp;"|"&amp;$H27,EF_GHG!$A$4:$A$1000,0))</f>
        <v/>
      </c>
      <c r="V27" s="41">
        <f>INDEX(EnergyCons!$F$4:$F$5000,MATCH(Settings!$C$4&amp;"|"&amp;Settings!$C$7&amp;"|"&amp;$C27&amp;"|"&amp;$B27,EnergyCons!$A$4:$A$5000,0))</f>
        <v/>
      </c>
    </row>
    <row r="28">
      <c r="A28" s="5">
        <f>$B28&amp;"|"&amp;$C28</f>
        <v/>
      </c>
      <c r="B28" s="6" t="inlineStr">
        <is>
          <t>bio</t>
        </is>
      </c>
      <c r="C28" s="6" t="inlineStr">
        <is>
          <t>avi</t>
        </is>
      </c>
      <c r="D28" s="5">
        <f>INDEX(Mapping!$D$5:$D$20,MATCH($C28,Mapping!$A$5:$A$20,0))</f>
        <v/>
      </c>
      <c r="E28" s="5">
        <f>INDEX(Mapping!$C$29:$C$36,MATCH($B28,Mapping!$A$29:$A$36,0))</f>
        <v/>
      </c>
      <c r="F28" s="5">
        <f>INDEX(Mapping!$D$29:$D$36,MATCH($B28,Mapping!$A$29:$A$36,0))</f>
        <v/>
      </c>
      <c r="G28" s="5">
        <f>$B28&amp;"."&amp;IF(INDEX(Mapping!$E$29:$E$36,MATCH($B28,Mapping!$A$29:$A$36,0))="sub",INDEX(Mapping!$F$5:$F$20,MATCH($C28,Mapping!$A$5:$A$20,0)),"all")</f>
        <v/>
      </c>
      <c r="H28" s="5">
        <f>INDEX(Mapping!$E$5:$E$20,MATCH($C28,Mapping!$A$5:$A$20,0))</f>
        <v/>
      </c>
      <c r="I28" s="5">
        <f>INDEX(Mapping!$G$29:$G$36,MATCH($B28,Mapping!$A$29:$A$36,0))</f>
        <v/>
      </c>
      <c r="J28" s="5">
        <f>INDEX(Mapping!$H$29:$H$36,MATCH($B28,Mapping!$A$29:$A$36,0))</f>
        <v/>
      </c>
      <c r="K28" s="5">
        <f>INDEX(Mapping!$H$5:$H$20,MATCH($C28,Mapping!$A$5:$A$20,0))</f>
        <v/>
      </c>
      <c r="L28" s="5">
        <f>INDEX(Mapping!$E$42:$E$55,MATCH($G28,Mapping!$A$42:$A$55,0))</f>
        <v/>
      </c>
      <c r="M28" s="5">
        <f>INDEX(Mapping!$D$59:$D$62,MATCH(INDEX(Mapping!$G$5:$G$20,MATCH($C28,Mapping!$A$5:$A$20,0)),Mapping!$A$59:$A$62,0))</f>
        <v/>
      </c>
      <c r="N28" s="31">
        <f>INDEX(Elasticities!$F$4:$I$200,MATCH("inc|"&amp;$E28&amp;"|"&amp;$D28,Elasticities!$A$4:$A$200,0),MATCH(Settings!$C$6,Elasticities!$F$3:$I$3,0))</f>
        <v/>
      </c>
      <c r="O28" s="31">
        <f>INDEX(Elasticities!$F$4:$I$200,MATCH("usg|"&amp;$E28&amp;"|"&amp;$D28,Elasticities!$A$4:$A$200,0),MATCH(Settings!$C$6,Elasticities!$F$3:$I$3,0))</f>
        <v/>
      </c>
      <c r="P28" s="31">
        <f>INDEX(Elasticities!$F$4:$I$200,MATCH("eff|"&amp;$E28&amp;"|"&amp;$D28,Elasticities!$A$4:$A$200,0),MATCH(Settings!$C$6,Elasticities!$F$3:$I$3,0))</f>
        <v/>
      </c>
      <c r="Q28" s="25">
        <f>INDEX(Elasticities!$F$4:$I$200,MATCH("aei|"&amp;$F28&amp;"|"&amp;$D28,Elasticities!$A$4:$A$200,0),MATCH(Settings!$C$6,Elasticities!$F$3:$I$3,0))</f>
        <v/>
      </c>
      <c r="R28" s="47" t="n">
        <v>0</v>
      </c>
      <c r="S28" s="36">
        <f>INDEX(Prices_dom!$A$6:$CU$2000,MATCH(Settings!$C$4&amp;Settings!$C$7,Prices_dom!$A$6:$A$2000,0),MATCH("mit.sp."&amp;$G28,Prices_dom!$A$5:$CU$5,0))/$I28</f>
        <v/>
      </c>
      <c r="T28" s="36">
        <f>(INDEX(Prices_dom!$A$6:$CU$2000,MATCH(Settings!$C$4&amp;Settings!$C$7,Prices_dom!$A$6:$A$2000,0),MATCH("mit.rp."&amp;$G28,Prices_dom!$A$5:$CU$5,0))-INDEX(Prices_dom!$A$6:$CU$2000,MATCH(Settings!$C$4&amp;Settings!$C$7,Prices_dom!$A$6:$A$2000,0),MATCH("mit.sp."&amp;$G28,Prices_dom!$A$5:$CU$5,0)))/$I28</f>
        <v/>
      </c>
      <c r="U28" s="48">
        <f>INDEX(EF_GHG!$E$4:$E$1000,MATCH(Settings!$C$4&amp;"|"&amp;$B28&amp;"|"&amp;$H28,EF_GHG!$A$4:$A$1000,0))</f>
        <v/>
      </c>
      <c r="V28" s="41">
        <f>INDEX(EnergyCons!$F$4:$F$5000,MATCH(Settings!$C$4&amp;"|"&amp;Settings!$C$7&amp;"|"&amp;$C28&amp;"|"&amp;$B28,EnergyCons!$A$4:$A$5000,0))</f>
        <v/>
      </c>
    </row>
    <row r="29">
      <c r="A29" s="5">
        <f>$B29&amp;"|"&amp;$C29</f>
        <v/>
      </c>
      <c r="B29" s="6" t="inlineStr">
        <is>
          <t>coa</t>
        </is>
      </c>
      <c r="C29" s="6" t="inlineStr">
        <is>
          <t>nav</t>
        </is>
      </c>
      <c r="D29" s="5">
        <f>INDEX(Mapping!$D$5:$D$20,MATCH($C29,Mapping!$A$5:$A$20,0))</f>
        <v/>
      </c>
      <c r="E29" s="5">
        <f>INDEX(Mapping!$C$29:$C$36,MATCH($B29,Mapping!$A$29:$A$36,0))</f>
        <v/>
      </c>
      <c r="F29" s="5">
        <f>INDEX(Mapping!$D$29:$D$36,MATCH($B29,Mapping!$A$29:$A$36,0))</f>
        <v/>
      </c>
      <c r="G29" s="5">
        <f>$B29&amp;"."&amp;IF(INDEX(Mapping!$E$29:$E$36,MATCH($B29,Mapping!$A$29:$A$36,0))="sub",INDEX(Mapping!$F$5:$F$20,MATCH($C29,Mapping!$A$5:$A$20,0)),"all")</f>
        <v/>
      </c>
      <c r="H29" s="5">
        <f>INDEX(Mapping!$E$5:$E$20,MATCH($C29,Mapping!$A$5:$A$20,0))</f>
        <v/>
      </c>
      <c r="I29" s="5">
        <f>INDEX(Mapping!$G$29:$G$36,MATCH($B29,Mapping!$A$29:$A$36,0))</f>
        <v/>
      </c>
      <c r="J29" s="5">
        <f>INDEX(Mapping!$H$29:$H$36,MATCH($B29,Mapping!$A$29:$A$36,0))</f>
        <v/>
      </c>
      <c r="K29" s="5">
        <f>INDEX(Mapping!$H$5:$H$20,MATCH($C29,Mapping!$A$5:$A$20,0))</f>
        <v/>
      </c>
      <c r="L29" s="5">
        <f>INDEX(Mapping!$E$42:$E$55,MATCH($G29,Mapping!$A$42:$A$55,0))</f>
        <v/>
      </c>
      <c r="M29" s="5">
        <f>INDEX(Mapping!$D$59:$D$62,MATCH(INDEX(Mapping!$G$5:$G$20,MATCH($C29,Mapping!$A$5:$A$20,0)),Mapping!$A$59:$A$62,0))</f>
        <v/>
      </c>
      <c r="N29" s="31">
        <f>INDEX(Elasticities!$F$4:$I$200,MATCH("inc|"&amp;$E29&amp;"|"&amp;$D29,Elasticities!$A$4:$A$200,0),MATCH(Settings!$C$6,Elasticities!$F$3:$I$3,0))</f>
        <v/>
      </c>
      <c r="O29" s="31">
        <f>INDEX(Elasticities!$F$4:$I$200,MATCH("usg|"&amp;$E29&amp;"|"&amp;$D29,Elasticities!$A$4:$A$200,0),MATCH(Settings!$C$6,Elasticities!$F$3:$I$3,0))</f>
        <v/>
      </c>
      <c r="P29" s="31">
        <f>INDEX(Elasticities!$F$4:$I$200,MATCH("eff|"&amp;$E29&amp;"|"&amp;$D29,Elasticities!$A$4:$A$200,0),MATCH(Settings!$C$6,Elasticities!$F$3:$I$3,0))</f>
        <v/>
      </c>
      <c r="Q29" s="25">
        <f>INDEX(Elasticities!$F$4:$I$200,MATCH("aei|"&amp;$F29&amp;"|"&amp;$D29,Elasticities!$A$4:$A$200,0),MATCH(Settings!$C$6,Elasticities!$F$3:$I$3,0))</f>
        <v/>
      </c>
      <c r="R29" s="47" t="n">
        <v>0</v>
      </c>
      <c r="S29" s="36">
        <f>INDEX(Prices_dom!$A$6:$CU$2000,MATCH(Settings!$C$4&amp;Settings!$C$7,Prices_dom!$A$6:$A$2000,0),MATCH("mit.sp."&amp;$G29,Prices_dom!$A$5:$CU$5,0))/$I29</f>
        <v/>
      </c>
      <c r="T29" s="36">
        <f>(INDEX(Prices_dom!$A$6:$CU$2000,MATCH(Settings!$C$4&amp;Settings!$C$7,Prices_dom!$A$6:$A$2000,0),MATCH("mit.rp."&amp;$G29,Prices_dom!$A$5:$CU$5,0))-INDEX(Prices_dom!$A$6:$CU$2000,MATCH(Settings!$C$4&amp;Settings!$C$7,Prices_dom!$A$6:$A$2000,0),MATCH("mit.sp."&amp;$G29,Prices_dom!$A$5:$CU$5,0)))/$I29</f>
        <v/>
      </c>
      <c r="U29" s="48">
        <f>INDEX(EF_GHG!$E$4:$E$1000,MATCH(Settings!$C$4&amp;"|"&amp;$B29&amp;"|"&amp;$H29,EF_GHG!$A$4:$A$1000,0))</f>
        <v/>
      </c>
      <c r="V29" s="41">
        <f>INDEX(EnergyCons!$F$4:$F$5000,MATCH(Settings!$C$4&amp;"|"&amp;Settings!$C$7&amp;"|"&amp;$C29&amp;"|"&amp;$B29,EnergyCons!$A$4:$A$5000,0))</f>
        <v/>
      </c>
    </row>
    <row r="30">
      <c r="A30" s="5">
        <f>$B30&amp;"|"&amp;$C30</f>
        <v/>
      </c>
      <c r="B30" s="6" t="inlineStr">
        <is>
          <t>nga</t>
        </is>
      </c>
      <c r="C30" s="6" t="inlineStr">
        <is>
          <t>nav</t>
        </is>
      </c>
      <c r="D30" s="5">
        <f>INDEX(Mapping!$D$5:$D$20,MATCH($C30,Mapping!$A$5:$A$20,0))</f>
        <v/>
      </c>
      <c r="E30" s="5">
        <f>INDEX(Mapping!$C$29:$C$36,MATCH($B30,Mapping!$A$29:$A$36,0))</f>
        <v/>
      </c>
      <c r="F30" s="5">
        <f>INDEX(Mapping!$D$29:$D$36,MATCH($B30,Mapping!$A$29:$A$36,0))</f>
        <v/>
      </c>
      <c r="G30" s="5">
        <f>$B30&amp;"."&amp;IF(INDEX(Mapping!$E$29:$E$36,MATCH($B30,Mapping!$A$29:$A$36,0))="sub",INDEX(Mapping!$F$5:$F$20,MATCH($C30,Mapping!$A$5:$A$20,0)),"all")</f>
        <v/>
      </c>
      <c r="H30" s="5">
        <f>INDEX(Mapping!$E$5:$E$20,MATCH($C30,Mapping!$A$5:$A$20,0))</f>
        <v/>
      </c>
      <c r="I30" s="5">
        <f>INDEX(Mapping!$G$29:$G$36,MATCH($B30,Mapping!$A$29:$A$36,0))</f>
        <v/>
      </c>
      <c r="J30" s="5">
        <f>INDEX(Mapping!$H$29:$H$36,MATCH($B30,Mapping!$A$29:$A$36,0))</f>
        <v/>
      </c>
      <c r="K30" s="5">
        <f>INDEX(Mapping!$H$5:$H$20,MATCH($C30,Mapping!$A$5:$A$20,0))</f>
        <v/>
      </c>
      <c r="L30" s="5">
        <f>INDEX(Mapping!$E$42:$E$55,MATCH($G30,Mapping!$A$42:$A$55,0))</f>
        <v/>
      </c>
      <c r="M30" s="5">
        <f>INDEX(Mapping!$D$59:$D$62,MATCH(INDEX(Mapping!$G$5:$G$20,MATCH($C30,Mapping!$A$5:$A$20,0)),Mapping!$A$59:$A$62,0))</f>
        <v/>
      </c>
      <c r="N30" s="31">
        <f>INDEX(Elasticities!$F$4:$I$200,MATCH("inc|"&amp;$E30&amp;"|"&amp;$D30,Elasticities!$A$4:$A$200,0),MATCH(Settings!$C$6,Elasticities!$F$3:$I$3,0))</f>
        <v/>
      </c>
      <c r="O30" s="31">
        <f>INDEX(Elasticities!$F$4:$I$200,MATCH("usg|"&amp;$E30&amp;"|"&amp;$D30,Elasticities!$A$4:$A$200,0),MATCH(Settings!$C$6,Elasticities!$F$3:$I$3,0))</f>
        <v/>
      </c>
      <c r="P30" s="31">
        <f>INDEX(Elasticities!$F$4:$I$200,MATCH("eff|"&amp;$E30&amp;"|"&amp;$D30,Elasticities!$A$4:$A$200,0),MATCH(Settings!$C$6,Elasticities!$F$3:$I$3,0))</f>
        <v/>
      </c>
      <c r="Q30" s="25">
        <f>INDEX(Elasticities!$F$4:$I$200,MATCH("aei|"&amp;$F30&amp;"|"&amp;$D30,Elasticities!$A$4:$A$200,0),MATCH(Settings!$C$6,Elasticities!$F$3:$I$3,0))</f>
        <v/>
      </c>
      <c r="R30" s="47" t="n">
        <v>0</v>
      </c>
      <c r="S30" s="36">
        <f>INDEX(Prices_dom!$A$6:$CU$2000,MATCH(Settings!$C$4&amp;Settings!$C$7,Prices_dom!$A$6:$A$2000,0),MATCH("mit.sp."&amp;$G30,Prices_dom!$A$5:$CU$5,0))/$I30</f>
        <v/>
      </c>
      <c r="T30" s="36">
        <f>(INDEX(Prices_dom!$A$6:$CU$2000,MATCH(Settings!$C$4&amp;Settings!$C$7,Prices_dom!$A$6:$A$2000,0),MATCH("mit.rp."&amp;$G30,Prices_dom!$A$5:$CU$5,0))-INDEX(Prices_dom!$A$6:$CU$2000,MATCH(Settings!$C$4&amp;Settings!$C$7,Prices_dom!$A$6:$A$2000,0),MATCH("mit.sp."&amp;$G30,Prices_dom!$A$5:$CU$5,0)))/$I30</f>
        <v/>
      </c>
      <c r="U30" s="48">
        <f>INDEX(EF_GHG!$E$4:$E$1000,MATCH(Settings!$C$4&amp;"|"&amp;$B30&amp;"|"&amp;$H30,EF_GHG!$A$4:$A$1000,0))</f>
        <v/>
      </c>
      <c r="V30" s="41">
        <f>INDEX(EnergyCons!$F$4:$F$5000,MATCH(Settings!$C$4&amp;"|"&amp;Settings!$C$7&amp;"|"&amp;$C30&amp;"|"&amp;$B30,EnergyCons!$A$4:$A$5000,0))</f>
        <v/>
      </c>
    </row>
    <row r="31">
      <c r="A31" s="5">
        <f>$B31&amp;"|"&amp;$C31</f>
        <v/>
      </c>
      <c r="B31" s="6" t="inlineStr">
        <is>
          <t>gso</t>
        </is>
      </c>
      <c r="C31" s="6" t="inlineStr">
        <is>
          <t>nav</t>
        </is>
      </c>
      <c r="D31" s="5">
        <f>INDEX(Mapping!$D$5:$D$20,MATCH($C31,Mapping!$A$5:$A$20,0))</f>
        <v/>
      </c>
      <c r="E31" s="5">
        <f>INDEX(Mapping!$C$29:$C$36,MATCH($B31,Mapping!$A$29:$A$36,0))</f>
        <v/>
      </c>
      <c r="F31" s="5">
        <f>INDEX(Mapping!$D$29:$D$36,MATCH($B31,Mapping!$A$29:$A$36,0))</f>
        <v/>
      </c>
      <c r="G31" s="5">
        <f>$B31&amp;"."&amp;IF(INDEX(Mapping!$E$29:$E$36,MATCH($B31,Mapping!$A$29:$A$36,0))="sub",INDEX(Mapping!$F$5:$F$20,MATCH($C31,Mapping!$A$5:$A$20,0)),"all")</f>
        <v/>
      </c>
      <c r="H31" s="5">
        <f>INDEX(Mapping!$E$5:$E$20,MATCH($C31,Mapping!$A$5:$A$20,0))</f>
        <v/>
      </c>
      <c r="I31" s="5">
        <f>INDEX(Mapping!$G$29:$G$36,MATCH($B31,Mapping!$A$29:$A$36,0))</f>
        <v/>
      </c>
      <c r="J31" s="5">
        <f>INDEX(Mapping!$H$29:$H$36,MATCH($B31,Mapping!$A$29:$A$36,0))</f>
        <v/>
      </c>
      <c r="K31" s="5">
        <f>INDEX(Mapping!$H$5:$H$20,MATCH($C31,Mapping!$A$5:$A$20,0))</f>
        <v/>
      </c>
      <c r="L31" s="5">
        <f>INDEX(Mapping!$E$42:$E$55,MATCH($G31,Mapping!$A$42:$A$55,0))</f>
        <v/>
      </c>
      <c r="M31" s="5">
        <f>INDEX(Mapping!$D$59:$D$62,MATCH(INDEX(Mapping!$G$5:$G$20,MATCH($C31,Mapping!$A$5:$A$20,0)),Mapping!$A$59:$A$62,0))</f>
        <v/>
      </c>
      <c r="N31" s="31">
        <f>INDEX(Elasticities!$F$4:$I$200,MATCH("inc|"&amp;$E31&amp;"|"&amp;$D31,Elasticities!$A$4:$A$200,0),MATCH(Settings!$C$6,Elasticities!$F$3:$I$3,0))</f>
        <v/>
      </c>
      <c r="O31" s="31">
        <f>INDEX(Elasticities!$F$4:$I$200,MATCH("usg|"&amp;$E31&amp;"|"&amp;$D31,Elasticities!$A$4:$A$200,0),MATCH(Settings!$C$6,Elasticities!$F$3:$I$3,0))</f>
        <v/>
      </c>
      <c r="P31" s="31">
        <f>INDEX(Elasticities!$F$4:$I$200,MATCH("eff|"&amp;$E31&amp;"|"&amp;$D31,Elasticities!$A$4:$A$200,0),MATCH(Settings!$C$6,Elasticities!$F$3:$I$3,0))</f>
        <v/>
      </c>
      <c r="Q31" s="25">
        <f>INDEX(Elasticities!$F$4:$I$200,MATCH("aei|"&amp;$F31&amp;"|"&amp;$D31,Elasticities!$A$4:$A$200,0),MATCH(Settings!$C$6,Elasticities!$F$3:$I$3,0))</f>
        <v/>
      </c>
      <c r="R31" s="47" t="n">
        <v>0</v>
      </c>
      <c r="S31" s="36">
        <f>INDEX(Prices_dom!$A$6:$CU$2000,MATCH(Settings!$C$4&amp;Settings!$C$7,Prices_dom!$A$6:$A$2000,0),MATCH("mit.sp."&amp;$G31,Prices_dom!$A$5:$CU$5,0))/$I31</f>
        <v/>
      </c>
      <c r="T31" s="36">
        <f>(INDEX(Prices_dom!$A$6:$CU$2000,MATCH(Settings!$C$4&amp;Settings!$C$7,Prices_dom!$A$6:$A$2000,0),MATCH("mit.rp."&amp;$G31,Prices_dom!$A$5:$CU$5,0))-INDEX(Prices_dom!$A$6:$CU$2000,MATCH(Settings!$C$4&amp;Settings!$C$7,Prices_dom!$A$6:$A$2000,0),MATCH("mit.sp."&amp;$G31,Prices_dom!$A$5:$CU$5,0)))/$I31</f>
        <v/>
      </c>
      <c r="U31" s="48">
        <f>INDEX(EF_GHG!$E$4:$E$1000,MATCH(Settings!$C$4&amp;"|"&amp;$B31&amp;"|"&amp;$H31,EF_GHG!$A$4:$A$1000,0))</f>
        <v/>
      </c>
      <c r="V31" s="41">
        <f>INDEX(EnergyCons!$F$4:$F$5000,MATCH(Settings!$C$4&amp;"|"&amp;Settings!$C$7&amp;"|"&amp;$C31&amp;"|"&amp;$B31,EnergyCons!$A$4:$A$5000,0))</f>
        <v/>
      </c>
    </row>
    <row r="32">
      <c r="A32" s="5">
        <f>$B32&amp;"|"&amp;$C32</f>
        <v/>
      </c>
      <c r="B32" s="6" t="inlineStr">
        <is>
          <t>die</t>
        </is>
      </c>
      <c r="C32" s="6" t="inlineStr">
        <is>
          <t>nav</t>
        </is>
      </c>
      <c r="D32" s="5">
        <f>INDEX(Mapping!$D$5:$D$20,MATCH($C32,Mapping!$A$5:$A$20,0))</f>
        <v/>
      </c>
      <c r="E32" s="5">
        <f>INDEX(Mapping!$C$29:$C$36,MATCH($B32,Mapping!$A$29:$A$36,0))</f>
        <v/>
      </c>
      <c r="F32" s="5">
        <f>INDEX(Mapping!$D$29:$D$36,MATCH($B32,Mapping!$A$29:$A$36,0))</f>
        <v/>
      </c>
      <c r="G32" s="5">
        <f>$B32&amp;"."&amp;IF(INDEX(Mapping!$E$29:$E$36,MATCH($B32,Mapping!$A$29:$A$36,0))="sub",INDEX(Mapping!$F$5:$F$20,MATCH($C32,Mapping!$A$5:$A$20,0)),"all")</f>
        <v/>
      </c>
      <c r="H32" s="5">
        <f>INDEX(Mapping!$E$5:$E$20,MATCH($C32,Mapping!$A$5:$A$20,0))</f>
        <v/>
      </c>
      <c r="I32" s="5">
        <f>INDEX(Mapping!$G$29:$G$36,MATCH($B32,Mapping!$A$29:$A$36,0))</f>
        <v/>
      </c>
      <c r="J32" s="5">
        <f>INDEX(Mapping!$H$29:$H$36,MATCH($B32,Mapping!$A$29:$A$36,0))</f>
        <v/>
      </c>
      <c r="K32" s="5">
        <f>INDEX(Mapping!$H$5:$H$20,MATCH($C32,Mapping!$A$5:$A$20,0))</f>
        <v/>
      </c>
      <c r="L32" s="5">
        <f>INDEX(Mapping!$E$42:$E$55,MATCH($G32,Mapping!$A$42:$A$55,0))</f>
        <v/>
      </c>
      <c r="M32" s="5">
        <f>INDEX(Mapping!$D$59:$D$62,MATCH(INDEX(Mapping!$G$5:$G$20,MATCH($C32,Mapping!$A$5:$A$20,0)),Mapping!$A$59:$A$62,0))</f>
        <v/>
      </c>
      <c r="N32" s="31">
        <f>INDEX(Elasticities!$F$4:$I$200,MATCH("inc|"&amp;$E32&amp;"|"&amp;$D32,Elasticities!$A$4:$A$200,0),MATCH(Settings!$C$6,Elasticities!$F$3:$I$3,0))</f>
        <v/>
      </c>
      <c r="O32" s="31">
        <f>INDEX(Elasticities!$F$4:$I$200,MATCH("usg|"&amp;$E32&amp;"|"&amp;$D32,Elasticities!$A$4:$A$200,0),MATCH(Settings!$C$6,Elasticities!$F$3:$I$3,0))</f>
        <v/>
      </c>
      <c r="P32" s="31">
        <f>INDEX(Elasticities!$F$4:$I$200,MATCH("eff|"&amp;$E32&amp;"|"&amp;$D32,Elasticities!$A$4:$A$200,0),MATCH(Settings!$C$6,Elasticities!$F$3:$I$3,0))</f>
        <v/>
      </c>
      <c r="Q32" s="25">
        <f>INDEX(Elasticities!$F$4:$I$200,MATCH("aei|"&amp;$F32&amp;"|"&amp;$D32,Elasticities!$A$4:$A$200,0),MATCH(Settings!$C$6,Elasticities!$F$3:$I$3,0))</f>
        <v/>
      </c>
      <c r="R32" s="47" t="n">
        <v>0</v>
      </c>
      <c r="S32" s="36">
        <f>INDEX(Prices_dom!$A$6:$CU$2000,MATCH(Settings!$C$4&amp;Settings!$C$7,Prices_dom!$A$6:$A$2000,0),MATCH("mit.sp."&amp;$G32,Prices_dom!$A$5:$CU$5,0))/$I32</f>
        <v/>
      </c>
      <c r="T32" s="36">
        <f>(INDEX(Prices_dom!$A$6:$CU$2000,MATCH(Settings!$C$4&amp;Settings!$C$7,Prices_dom!$A$6:$A$2000,0),MATCH("mit.rp."&amp;$G32,Prices_dom!$A$5:$CU$5,0))-INDEX(Prices_dom!$A$6:$CU$2000,MATCH(Settings!$C$4&amp;Settings!$C$7,Prices_dom!$A$6:$A$2000,0),MATCH("mit.sp."&amp;$G32,Prices_dom!$A$5:$CU$5,0)))/$I32</f>
        <v/>
      </c>
      <c r="U32" s="48">
        <f>INDEX(EF_GHG!$E$4:$E$1000,MATCH(Settings!$C$4&amp;"|"&amp;$B32&amp;"|"&amp;$H32,EF_GHG!$A$4:$A$1000,0))</f>
        <v/>
      </c>
      <c r="V32" s="41">
        <f>INDEX(EnergyCons!$F$4:$F$5000,MATCH(Settings!$C$4&amp;"|"&amp;Settings!$C$7&amp;"|"&amp;$C32&amp;"|"&amp;$B32,EnergyCons!$A$4:$A$5000,0))</f>
        <v/>
      </c>
    </row>
    <row r="33">
      <c r="A33" s="5">
        <f>$B33&amp;"|"&amp;$C33</f>
        <v/>
      </c>
      <c r="B33" s="6" t="inlineStr">
        <is>
          <t>lpg</t>
        </is>
      </c>
      <c r="C33" s="6" t="inlineStr">
        <is>
          <t>nav</t>
        </is>
      </c>
      <c r="D33" s="5">
        <f>INDEX(Mapping!$D$5:$D$20,MATCH($C33,Mapping!$A$5:$A$20,0))</f>
        <v/>
      </c>
      <c r="E33" s="5">
        <f>INDEX(Mapping!$C$29:$C$36,MATCH($B33,Mapping!$A$29:$A$36,0))</f>
        <v/>
      </c>
      <c r="F33" s="5">
        <f>INDEX(Mapping!$D$29:$D$36,MATCH($B33,Mapping!$A$29:$A$36,0))</f>
        <v/>
      </c>
      <c r="G33" s="5">
        <f>$B33&amp;"."&amp;IF(INDEX(Mapping!$E$29:$E$36,MATCH($B33,Mapping!$A$29:$A$36,0))="sub",INDEX(Mapping!$F$5:$F$20,MATCH($C33,Mapping!$A$5:$A$20,0)),"all")</f>
        <v/>
      </c>
      <c r="H33" s="5">
        <f>INDEX(Mapping!$E$5:$E$20,MATCH($C33,Mapping!$A$5:$A$20,0))</f>
        <v/>
      </c>
      <c r="I33" s="5">
        <f>INDEX(Mapping!$G$29:$G$36,MATCH($B33,Mapping!$A$29:$A$36,0))</f>
        <v/>
      </c>
      <c r="J33" s="5">
        <f>INDEX(Mapping!$H$29:$H$36,MATCH($B33,Mapping!$A$29:$A$36,0))</f>
        <v/>
      </c>
      <c r="K33" s="5">
        <f>INDEX(Mapping!$H$5:$H$20,MATCH($C33,Mapping!$A$5:$A$20,0))</f>
        <v/>
      </c>
      <c r="L33" s="5">
        <f>INDEX(Mapping!$E$42:$E$55,MATCH($G33,Mapping!$A$42:$A$55,0))</f>
        <v/>
      </c>
      <c r="M33" s="5">
        <f>INDEX(Mapping!$D$59:$D$62,MATCH(INDEX(Mapping!$G$5:$G$20,MATCH($C33,Mapping!$A$5:$A$20,0)),Mapping!$A$59:$A$62,0))</f>
        <v/>
      </c>
      <c r="N33" s="31">
        <f>INDEX(Elasticities!$F$4:$I$200,MATCH("inc|"&amp;$E33&amp;"|"&amp;$D33,Elasticities!$A$4:$A$200,0),MATCH(Settings!$C$6,Elasticities!$F$3:$I$3,0))</f>
        <v/>
      </c>
      <c r="O33" s="31">
        <f>INDEX(Elasticities!$F$4:$I$200,MATCH("usg|"&amp;$E33&amp;"|"&amp;$D33,Elasticities!$A$4:$A$200,0),MATCH(Settings!$C$6,Elasticities!$F$3:$I$3,0))</f>
        <v/>
      </c>
      <c r="P33" s="31">
        <f>INDEX(Elasticities!$F$4:$I$200,MATCH("eff|"&amp;$E33&amp;"|"&amp;$D33,Elasticities!$A$4:$A$200,0),MATCH(Settings!$C$6,Elasticities!$F$3:$I$3,0))</f>
        <v/>
      </c>
      <c r="Q33" s="25">
        <f>INDEX(Elasticities!$F$4:$I$200,MATCH("aei|"&amp;$F33&amp;"|"&amp;$D33,Elasticities!$A$4:$A$200,0),MATCH(Settings!$C$6,Elasticities!$F$3:$I$3,0))</f>
        <v/>
      </c>
      <c r="R33" s="47" t="n">
        <v>0</v>
      </c>
      <c r="S33" s="36">
        <f>INDEX(Prices_dom!$A$6:$CU$2000,MATCH(Settings!$C$4&amp;Settings!$C$7,Prices_dom!$A$6:$A$2000,0),MATCH("mit.sp."&amp;$G33,Prices_dom!$A$5:$CU$5,0))/$I33</f>
        <v/>
      </c>
      <c r="T33" s="36">
        <f>(INDEX(Prices_dom!$A$6:$CU$2000,MATCH(Settings!$C$4&amp;Settings!$C$7,Prices_dom!$A$6:$A$2000,0),MATCH("mit.rp."&amp;$G33,Prices_dom!$A$5:$CU$5,0))-INDEX(Prices_dom!$A$6:$CU$2000,MATCH(Settings!$C$4&amp;Settings!$C$7,Prices_dom!$A$6:$A$2000,0),MATCH("mit.sp."&amp;$G33,Prices_dom!$A$5:$CU$5,0)))/$I33</f>
        <v/>
      </c>
      <c r="U33" s="48">
        <f>INDEX(EF_GHG!$E$4:$E$1000,MATCH(Settings!$C$4&amp;"|"&amp;$B33&amp;"|"&amp;$H33,EF_GHG!$A$4:$A$1000,0))</f>
        <v/>
      </c>
      <c r="V33" s="41">
        <f>INDEX(EnergyCons!$F$4:$F$5000,MATCH(Settings!$C$4&amp;"|"&amp;Settings!$C$7&amp;"|"&amp;$C33&amp;"|"&amp;$B33,EnergyCons!$A$4:$A$5000,0))</f>
        <v/>
      </c>
    </row>
    <row r="34">
      <c r="A34" s="5">
        <f>$B34&amp;"|"&amp;$C34</f>
        <v/>
      </c>
      <c r="B34" s="6" t="inlineStr">
        <is>
          <t>ker</t>
        </is>
      </c>
      <c r="C34" s="6" t="inlineStr">
        <is>
          <t>nav</t>
        </is>
      </c>
      <c r="D34" s="5">
        <f>INDEX(Mapping!$D$5:$D$20,MATCH($C34,Mapping!$A$5:$A$20,0))</f>
        <v/>
      </c>
      <c r="E34" s="5">
        <f>INDEX(Mapping!$C$29:$C$36,MATCH($B34,Mapping!$A$29:$A$36,0))</f>
        <v/>
      </c>
      <c r="F34" s="5">
        <f>INDEX(Mapping!$D$29:$D$36,MATCH($B34,Mapping!$A$29:$A$36,0))</f>
        <v/>
      </c>
      <c r="G34" s="5">
        <f>$B34&amp;"."&amp;IF(INDEX(Mapping!$E$29:$E$36,MATCH($B34,Mapping!$A$29:$A$36,0))="sub",INDEX(Mapping!$F$5:$F$20,MATCH($C34,Mapping!$A$5:$A$20,0)),"all")</f>
        <v/>
      </c>
      <c r="H34" s="5">
        <f>INDEX(Mapping!$E$5:$E$20,MATCH($C34,Mapping!$A$5:$A$20,0))</f>
        <v/>
      </c>
      <c r="I34" s="5">
        <f>INDEX(Mapping!$G$29:$G$36,MATCH($B34,Mapping!$A$29:$A$36,0))</f>
        <v/>
      </c>
      <c r="J34" s="5">
        <f>INDEX(Mapping!$H$29:$H$36,MATCH($B34,Mapping!$A$29:$A$36,0))</f>
        <v/>
      </c>
      <c r="K34" s="5">
        <f>INDEX(Mapping!$H$5:$H$20,MATCH($C34,Mapping!$A$5:$A$20,0))</f>
        <v/>
      </c>
      <c r="L34" s="5">
        <f>INDEX(Mapping!$E$42:$E$55,MATCH($G34,Mapping!$A$42:$A$55,0))</f>
        <v/>
      </c>
      <c r="M34" s="5">
        <f>INDEX(Mapping!$D$59:$D$62,MATCH(INDEX(Mapping!$G$5:$G$20,MATCH($C34,Mapping!$A$5:$A$20,0)),Mapping!$A$59:$A$62,0))</f>
        <v/>
      </c>
      <c r="N34" s="31">
        <f>INDEX(Elasticities!$F$4:$I$200,MATCH("inc|"&amp;$E34&amp;"|"&amp;$D34,Elasticities!$A$4:$A$200,0),MATCH(Settings!$C$6,Elasticities!$F$3:$I$3,0))</f>
        <v/>
      </c>
      <c r="O34" s="31">
        <f>INDEX(Elasticities!$F$4:$I$200,MATCH("usg|"&amp;$E34&amp;"|"&amp;$D34,Elasticities!$A$4:$A$200,0),MATCH(Settings!$C$6,Elasticities!$F$3:$I$3,0))</f>
        <v/>
      </c>
      <c r="P34" s="31">
        <f>INDEX(Elasticities!$F$4:$I$200,MATCH("eff|"&amp;$E34&amp;"|"&amp;$D34,Elasticities!$A$4:$A$200,0),MATCH(Settings!$C$6,Elasticities!$F$3:$I$3,0))</f>
        <v/>
      </c>
      <c r="Q34" s="25">
        <f>INDEX(Elasticities!$F$4:$I$200,MATCH("aei|"&amp;$F34&amp;"|"&amp;$D34,Elasticities!$A$4:$A$200,0),MATCH(Settings!$C$6,Elasticities!$F$3:$I$3,0))</f>
        <v/>
      </c>
      <c r="R34" s="47" t="n">
        <v>0</v>
      </c>
      <c r="S34" s="36">
        <f>INDEX(Prices_dom!$A$6:$CU$2000,MATCH(Settings!$C$4&amp;Settings!$C$7,Prices_dom!$A$6:$A$2000,0),MATCH("mit.sp."&amp;$G34,Prices_dom!$A$5:$CU$5,0))/$I34</f>
        <v/>
      </c>
      <c r="T34" s="36">
        <f>(INDEX(Prices_dom!$A$6:$CU$2000,MATCH(Settings!$C$4&amp;Settings!$C$7,Prices_dom!$A$6:$A$2000,0),MATCH("mit.rp."&amp;$G34,Prices_dom!$A$5:$CU$5,0))-INDEX(Prices_dom!$A$6:$CU$2000,MATCH(Settings!$C$4&amp;Settings!$C$7,Prices_dom!$A$6:$A$2000,0),MATCH("mit.sp."&amp;$G34,Prices_dom!$A$5:$CU$5,0)))/$I34</f>
        <v/>
      </c>
      <c r="U34" s="48">
        <f>INDEX(EF_GHG!$E$4:$E$1000,MATCH(Settings!$C$4&amp;"|"&amp;$B34&amp;"|"&amp;$H34,EF_GHG!$A$4:$A$1000,0))</f>
        <v/>
      </c>
      <c r="V34" s="41">
        <f>INDEX(EnergyCons!$F$4:$F$5000,MATCH(Settings!$C$4&amp;"|"&amp;Settings!$C$7&amp;"|"&amp;$C34&amp;"|"&amp;$B34,EnergyCons!$A$4:$A$5000,0))</f>
        <v/>
      </c>
    </row>
    <row r="35">
      <c r="A35" s="5">
        <f>$B35&amp;"|"&amp;$C35</f>
        <v/>
      </c>
      <c r="B35" s="6" t="inlineStr">
        <is>
          <t>oop</t>
        </is>
      </c>
      <c r="C35" s="6" t="inlineStr">
        <is>
          <t>nav</t>
        </is>
      </c>
      <c r="D35" s="5">
        <f>INDEX(Mapping!$D$5:$D$20,MATCH($C35,Mapping!$A$5:$A$20,0))</f>
        <v/>
      </c>
      <c r="E35" s="5">
        <f>INDEX(Mapping!$C$29:$C$36,MATCH($B35,Mapping!$A$29:$A$36,0))</f>
        <v/>
      </c>
      <c r="F35" s="5">
        <f>INDEX(Mapping!$D$29:$D$36,MATCH($B35,Mapping!$A$29:$A$36,0))</f>
        <v/>
      </c>
      <c r="G35" s="5">
        <f>$B35&amp;"."&amp;IF(INDEX(Mapping!$E$29:$E$36,MATCH($B35,Mapping!$A$29:$A$36,0))="sub",INDEX(Mapping!$F$5:$F$20,MATCH($C35,Mapping!$A$5:$A$20,0)),"all")</f>
        <v/>
      </c>
      <c r="H35" s="5">
        <f>INDEX(Mapping!$E$5:$E$20,MATCH($C35,Mapping!$A$5:$A$20,0))</f>
        <v/>
      </c>
      <c r="I35" s="5">
        <f>INDEX(Mapping!$G$29:$G$36,MATCH($B35,Mapping!$A$29:$A$36,0))</f>
        <v/>
      </c>
      <c r="J35" s="5">
        <f>INDEX(Mapping!$H$29:$H$36,MATCH($B35,Mapping!$A$29:$A$36,0))</f>
        <v/>
      </c>
      <c r="K35" s="5">
        <f>INDEX(Mapping!$H$5:$H$20,MATCH($C35,Mapping!$A$5:$A$20,0))</f>
        <v/>
      </c>
      <c r="L35" s="5">
        <f>INDEX(Mapping!$E$42:$E$55,MATCH($G35,Mapping!$A$42:$A$55,0))</f>
        <v/>
      </c>
      <c r="M35" s="5">
        <f>INDEX(Mapping!$D$59:$D$62,MATCH(INDEX(Mapping!$G$5:$G$20,MATCH($C35,Mapping!$A$5:$A$20,0)),Mapping!$A$59:$A$62,0))</f>
        <v/>
      </c>
      <c r="N35" s="31">
        <f>INDEX(Elasticities!$F$4:$I$200,MATCH("inc|"&amp;$E35&amp;"|"&amp;$D35,Elasticities!$A$4:$A$200,0),MATCH(Settings!$C$6,Elasticities!$F$3:$I$3,0))</f>
        <v/>
      </c>
      <c r="O35" s="31">
        <f>INDEX(Elasticities!$F$4:$I$200,MATCH("usg|"&amp;$E35&amp;"|"&amp;$D35,Elasticities!$A$4:$A$200,0),MATCH(Settings!$C$6,Elasticities!$F$3:$I$3,0))</f>
        <v/>
      </c>
      <c r="P35" s="31">
        <f>INDEX(Elasticities!$F$4:$I$200,MATCH("eff|"&amp;$E35&amp;"|"&amp;$D35,Elasticities!$A$4:$A$200,0),MATCH(Settings!$C$6,Elasticities!$F$3:$I$3,0))</f>
        <v/>
      </c>
      <c r="Q35" s="25">
        <f>INDEX(Elasticities!$F$4:$I$200,MATCH("aei|"&amp;$F35&amp;"|"&amp;$D35,Elasticities!$A$4:$A$200,0),MATCH(Settings!$C$6,Elasticities!$F$3:$I$3,0))</f>
        <v/>
      </c>
      <c r="R35" s="47" t="n">
        <v>0</v>
      </c>
      <c r="S35" s="36">
        <f>INDEX(Prices_dom!$A$6:$CU$2000,MATCH(Settings!$C$4&amp;Settings!$C$7,Prices_dom!$A$6:$A$2000,0),MATCH("mit.sp."&amp;$G35,Prices_dom!$A$5:$CU$5,0))/$I35</f>
        <v/>
      </c>
      <c r="T35" s="36">
        <f>(INDEX(Prices_dom!$A$6:$CU$2000,MATCH(Settings!$C$4&amp;Settings!$C$7,Prices_dom!$A$6:$A$2000,0),MATCH("mit.rp."&amp;$G35,Prices_dom!$A$5:$CU$5,0))-INDEX(Prices_dom!$A$6:$CU$2000,MATCH(Settings!$C$4&amp;Settings!$C$7,Prices_dom!$A$6:$A$2000,0),MATCH("mit.sp."&amp;$G35,Prices_dom!$A$5:$CU$5,0)))/$I35</f>
        <v/>
      </c>
      <c r="U35" s="48">
        <f>INDEX(EF_GHG!$E$4:$E$1000,MATCH(Settings!$C$4&amp;"|"&amp;$B35&amp;"|"&amp;$H35,EF_GHG!$A$4:$A$1000,0))</f>
        <v/>
      </c>
      <c r="V35" s="41">
        <f>INDEX(EnergyCons!$F$4:$F$5000,MATCH(Settings!$C$4&amp;"|"&amp;Settings!$C$7&amp;"|"&amp;$C35&amp;"|"&amp;$B35,EnergyCons!$A$4:$A$5000,0))</f>
        <v/>
      </c>
    </row>
    <row r="36">
      <c r="A36" s="5">
        <f>$B36&amp;"|"&amp;$C36</f>
        <v/>
      </c>
      <c r="B36" s="6" t="inlineStr">
        <is>
          <t>bio</t>
        </is>
      </c>
      <c r="C36" s="6" t="inlineStr">
        <is>
          <t>nav</t>
        </is>
      </c>
      <c r="D36" s="5">
        <f>INDEX(Mapping!$D$5:$D$20,MATCH($C36,Mapping!$A$5:$A$20,0))</f>
        <v/>
      </c>
      <c r="E36" s="5">
        <f>INDEX(Mapping!$C$29:$C$36,MATCH($B36,Mapping!$A$29:$A$36,0))</f>
        <v/>
      </c>
      <c r="F36" s="5">
        <f>INDEX(Mapping!$D$29:$D$36,MATCH($B36,Mapping!$A$29:$A$36,0))</f>
        <v/>
      </c>
      <c r="G36" s="5">
        <f>$B36&amp;"."&amp;IF(INDEX(Mapping!$E$29:$E$36,MATCH($B36,Mapping!$A$29:$A$36,0))="sub",INDEX(Mapping!$F$5:$F$20,MATCH($C36,Mapping!$A$5:$A$20,0)),"all")</f>
        <v/>
      </c>
      <c r="H36" s="5">
        <f>INDEX(Mapping!$E$5:$E$20,MATCH($C36,Mapping!$A$5:$A$20,0))</f>
        <v/>
      </c>
      <c r="I36" s="5">
        <f>INDEX(Mapping!$G$29:$G$36,MATCH($B36,Mapping!$A$29:$A$36,0))</f>
        <v/>
      </c>
      <c r="J36" s="5">
        <f>INDEX(Mapping!$H$29:$H$36,MATCH($B36,Mapping!$A$29:$A$36,0))</f>
        <v/>
      </c>
      <c r="K36" s="5">
        <f>INDEX(Mapping!$H$5:$H$20,MATCH($C36,Mapping!$A$5:$A$20,0))</f>
        <v/>
      </c>
      <c r="L36" s="5">
        <f>INDEX(Mapping!$E$42:$E$55,MATCH($G36,Mapping!$A$42:$A$55,0))</f>
        <v/>
      </c>
      <c r="M36" s="5">
        <f>INDEX(Mapping!$D$59:$D$62,MATCH(INDEX(Mapping!$G$5:$G$20,MATCH($C36,Mapping!$A$5:$A$20,0)),Mapping!$A$59:$A$62,0))</f>
        <v/>
      </c>
      <c r="N36" s="31">
        <f>INDEX(Elasticities!$F$4:$I$200,MATCH("inc|"&amp;$E36&amp;"|"&amp;$D36,Elasticities!$A$4:$A$200,0),MATCH(Settings!$C$6,Elasticities!$F$3:$I$3,0))</f>
        <v/>
      </c>
      <c r="O36" s="31">
        <f>INDEX(Elasticities!$F$4:$I$200,MATCH("usg|"&amp;$E36&amp;"|"&amp;$D36,Elasticities!$A$4:$A$200,0),MATCH(Settings!$C$6,Elasticities!$F$3:$I$3,0))</f>
        <v/>
      </c>
      <c r="P36" s="31">
        <f>INDEX(Elasticities!$F$4:$I$200,MATCH("eff|"&amp;$E36&amp;"|"&amp;$D36,Elasticities!$A$4:$A$200,0),MATCH(Settings!$C$6,Elasticities!$F$3:$I$3,0))</f>
        <v/>
      </c>
      <c r="Q36" s="25">
        <f>INDEX(Elasticities!$F$4:$I$200,MATCH("aei|"&amp;$F36&amp;"|"&amp;$D36,Elasticities!$A$4:$A$200,0),MATCH(Settings!$C$6,Elasticities!$F$3:$I$3,0))</f>
        <v/>
      </c>
      <c r="R36" s="47" t="n">
        <v>0</v>
      </c>
      <c r="S36" s="36">
        <f>INDEX(Prices_dom!$A$6:$CU$2000,MATCH(Settings!$C$4&amp;Settings!$C$7,Prices_dom!$A$6:$A$2000,0),MATCH("mit.sp."&amp;$G36,Prices_dom!$A$5:$CU$5,0))/$I36</f>
        <v/>
      </c>
      <c r="T36" s="36">
        <f>(INDEX(Prices_dom!$A$6:$CU$2000,MATCH(Settings!$C$4&amp;Settings!$C$7,Prices_dom!$A$6:$A$2000,0),MATCH("mit.rp."&amp;$G36,Prices_dom!$A$5:$CU$5,0))-INDEX(Prices_dom!$A$6:$CU$2000,MATCH(Settings!$C$4&amp;Settings!$C$7,Prices_dom!$A$6:$A$2000,0),MATCH("mit.sp."&amp;$G36,Prices_dom!$A$5:$CU$5,0)))/$I36</f>
        <v/>
      </c>
      <c r="U36" s="48">
        <f>INDEX(EF_GHG!$E$4:$E$1000,MATCH(Settings!$C$4&amp;"|"&amp;$B36&amp;"|"&amp;$H36,EF_GHG!$A$4:$A$1000,0))</f>
        <v/>
      </c>
      <c r="V36" s="41">
        <f>INDEX(EnergyCons!$F$4:$F$5000,MATCH(Settings!$C$4&amp;"|"&amp;Settings!$C$7&amp;"|"&amp;$C36&amp;"|"&amp;$B36,EnergyCons!$A$4:$A$5000,0))</f>
        <v/>
      </c>
    </row>
    <row r="37">
      <c r="A37" s="5">
        <f>$B37&amp;"|"&amp;$C37</f>
        <v/>
      </c>
      <c r="B37" s="6" t="inlineStr">
        <is>
          <t>coa</t>
        </is>
      </c>
      <c r="C37" s="6" t="inlineStr">
        <is>
          <t>res</t>
        </is>
      </c>
      <c r="D37" s="5">
        <f>INDEX(Mapping!$D$5:$D$20,MATCH($C37,Mapping!$A$5:$A$20,0))</f>
        <v/>
      </c>
      <c r="E37" s="5">
        <f>INDEX(Mapping!$C$29:$C$36,MATCH($B37,Mapping!$A$29:$A$36,0))</f>
        <v/>
      </c>
      <c r="F37" s="5">
        <f>INDEX(Mapping!$D$29:$D$36,MATCH($B37,Mapping!$A$29:$A$36,0))</f>
        <v/>
      </c>
      <c r="G37" s="5">
        <f>$B37&amp;"."&amp;IF(INDEX(Mapping!$E$29:$E$36,MATCH($B37,Mapping!$A$29:$A$36,0))="sub",INDEX(Mapping!$F$5:$F$20,MATCH($C37,Mapping!$A$5:$A$20,0)),"all")</f>
        <v/>
      </c>
      <c r="H37" s="5">
        <f>INDEX(Mapping!$E$5:$E$20,MATCH($C37,Mapping!$A$5:$A$20,0))</f>
        <v/>
      </c>
      <c r="I37" s="5">
        <f>INDEX(Mapping!$G$29:$G$36,MATCH($B37,Mapping!$A$29:$A$36,0))</f>
        <v/>
      </c>
      <c r="J37" s="5">
        <f>INDEX(Mapping!$H$29:$H$36,MATCH($B37,Mapping!$A$29:$A$36,0))</f>
        <v/>
      </c>
      <c r="K37" s="5">
        <f>INDEX(Mapping!$H$5:$H$20,MATCH($C37,Mapping!$A$5:$A$20,0))</f>
        <v/>
      </c>
      <c r="L37" s="5">
        <f>INDEX(Mapping!$E$42:$E$55,MATCH($G37,Mapping!$A$42:$A$55,0))</f>
        <v/>
      </c>
      <c r="M37" s="5">
        <f>INDEX(Mapping!$D$59:$D$62,MATCH(INDEX(Mapping!$G$5:$G$20,MATCH($C37,Mapping!$A$5:$A$20,0)),Mapping!$A$59:$A$62,0))</f>
        <v/>
      </c>
      <c r="N37" s="31">
        <f>INDEX(Elasticities!$F$4:$I$200,MATCH("inc|"&amp;$E37&amp;"|"&amp;$D37,Elasticities!$A$4:$A$200,0),MATCH(Settings!$C$6,Elasticities!$F$3:$I$3,0))</f>
        <v/>
      </c>
      <c r="O37" s="31">
        <f>INDEX(Elasticities!$F$4:$I$200,MATCH("usg|"&amp;$E37&amp;"|"&amp;$D37,Elasticities!$A$4:$A$200,0),MATCH(Settings!$C$6,Elasticities!$F$3:$I$3,0))</f>
        <v/>
      </c>
      <c r="P37" s="31">
        <f>INDEX(Elasticities!$F$4:$I$200,MATCH("eff|"&amp;$E37&amp;"|"&amp;$D37,Elasticities!$A$4:$A$200,0),MATCH(Settings!$C$6,Elasticities!$F$3:$I$3,0))</f>
        <v/>
      </c>
      <c r="Q37" s="25">
        <f>INDEX(Elasticities!$F$4:$I$200,MATCH("aei|"&amp;$F37&amp;"|"&amp;$D37,Elasticities!$A$4:$A$200,0),MATCH(Settings!$C$6,Elasticities!$F$3:$I$3,0))</f>
        <v/>
      </c>
      <c r="R37" s="47" t="n">
        <v>0</v>
      </c>
      <c r="S37" s="36">
        <f>INDEX(Prices_dom!$A$6:$CU$2000,MATCH(Settings!$C$4&amp;Settings!$C$7,Prices_dom!$A$6:$A$2000,0),MATCH("mit.sp."&amp;$G37,Prices_dom!$A$5:$CU$5,0))/$I37</f>
        <v/>
      </c>
      <c r="T37" s="36">
        <f>(INDEX(Prices_dom!$A$6:$CU$2000,MATCH(Settings!$C$4&amp;Settings!$C$7,Prices_dom!$A$6:$A$2000,0),MATCH("mit.rp."&amp;$G37,Prices_dom!$A$5:$CU$5,0))-INDEX(Prices_dom!$A$6:$CU$2000,MATCH(Settings!$C$4&amp;Settings!$C$7,Prices_dom!$A$6:$A$2000,0),MATCH("mit.sp."&amp;$G37,Prices_dom!$A$5:$CU$5,0)))/$I37</f>
        <v/>
      </c>
      <c r="U37" s="48">
        <f>INDEX(EF_GHG!$E$4:$E$1000,MATCH(Settings!$C$4&amp;"|"&amp;$B37&amp;"|"&amp;$H37,EF_GHG!$A$4:$A$1000,0))</f>
        <v/>
      </c>
      <c r="V37" s="41">
        <f>INDEX(EnergyCons!$F$4:$F$5000,MATCH(Settings!$C$4&amp;"|"&amp;Settings!$C$7&amp;"|"&amp;$C37&amp;"|"&amp;$B37,EnergyCons!$A$4:$A$5000,0))</f>
        <v/>
      </c>
    </row>
    <row r="38">
      <c r="A38" s="5">
        <f>$B38&amp;"|"&amp;$C38</f>
        <v/>
      </c>
      <c r="B38" s="6" t="inlineStr">
        <is>
          <t>nga</t>
        </is>
      </c>
      <c r="C38" s="6" t="inlineStr">
        <is>
          <t>res</t>
        </is>
      </c>
      <c r="D38" s="5">
        <f>INDEX(Mapping!$D$5:$D$20,MATCH($C38,Mapping!$A$5:$A$20,0))</f>
        <v/>
      </c>
      <c r="E38" s="5">
        <f>INDEX(Mapping!$C$29:$C$36,MATCH($B38,Mapping!$A$29:$A$36,0))</f>
        <v/>
      </c>
      <c r="F38" s="5">
        <f>INDEX(Mapping!$D$29:$D$36,MATCH($B38,Mapping!$A$29:$A$36,0))</f>
        <v/>
      </c>
      <c r="G38" s="5">
        <f>$B38&amp;"."&amp;IF(INDEX(Mapping!$E$29:$E$36,MATCH($B38,Mapping!$A$29:$A$36,0))="sub",INDEX(Mapping!$F$5:$F$20,MATCH($C38,Mapping!$A$5:$A$20,0)),"all")</f>
        <v/>
      </c>
      <c r="H38" s="5">
        <f>INDEX(Mapping!$E$5:$E$20,MATCH($C38,Mapping!$A$5:$A$20,0))</f>
        <v/>
      </c>
      <c r="I38" s="5">
        <f>INDEX(Mapping!$G$29:$G$36,MATCH($B38,Mapping!$A$29:$A$36,0))</f>
        <v/>
      </c>
      <c r="J38" s="5">
        <f>INDEX(Mapping!$H$29:$H$36,MATCH($B38,Mapping!$A$29:$A$36,0))</f>
        <v/>
      </c>
      <c r="K38" s="5">
        <f>INDEX(Mapping!$H$5:$H$20,MATCH($C38,Mapping!$A$5:$A$20,0))</f>
        <v/>
      </c>
      <c r="L38" s="5">
        <f>INDEX(Mapping!$E$42:$E$55,MATCH($G38,Mapping!$A$42:$A$55,0))</f>
        <v/>
      </c>
      <c r="M38" s="5">
        <f>INDEX(Mapping!$D$59:$D$62,MATCH(INDEX(Mapping!$G$5:$G$20,MATCH($C38,Mapping!$A$5:$A$20,0)),Mapping!$A$59:$A$62,0))</f>
        <v/>
      </c>
      <c r="N38" s="31">
        <f>INDEX(Elasticities!$F$4:$I$200,MATCH("inc|"&amp;$E38&amp;"|"&amp;$D38,Elasticities!$A$4:$A$200,0),MATCH(Settings!$C$6,Elasticities!$F$3:$I$3,0))</f>
        <v/>
      </c>
      <c r="O38" s="31">
        <f>INDEX(Elasticities!$F$4:$I$200,MATCH("usg|"&amp;$E38&amp;"|"&amp;$D38,Elasticities!$A$4:$A$200,0),MATCH(Settings!$C$6,Elasticities!$F$3:$I$3,0))</f>
        <v/>
      </c>
      <c r="P38" s="31">
        <f>INDEX(Elasticities!$F$4:$I$200,MATCH("eff|"&amp;$E38&amp;"|"&amp;$D38,Elasticities!$A$4:$A$200,0),MATCH(Settings!$C$6,Elasticities!$F$3:$I$3,0))</f>
        <v/>
      </c>
      <c r="Q38" s="25">
        <f>INDEX(Elasticities!$F$4:$I$200,MATCH("aei|"&amp;$F38&amp;"|"&amp;$D38,Elasticities!$A$4:$A$200,0),MATCH(Settings!$C$6,Elasticities!$F$3:$I$3,0))</f>
        <v/>
      </c>
      <c r="R38" s="47" t="n">
        <v>0</v>
      </c>
      <c r="S38" s="36">
        <f>INDEX(Prices_dom!$A$6:$CU$2000,MATCH(Settings!$C$4&amp;Settings!$C$7,Prices_dom!$A$6:$A$2000,0),MATCH("mit.sp."&amp;$G38,Prices_dom!$A$5:$CU$5,0))/$I38</f>
        <v/>
      </c>
      <c r="T38" s="36">
        <f>(INDEX(Prices_dom!$A$6:$CU$2000,MATCH(Settings!$C$4&amp;Settings!$C$7,Prices_dom!$A$6:$A$2000,0),MATCH("mit.rp."&amp;$G38,Prices_dom!$A$5:$CU$5,0))-INDEX(Prices_dom!$A$6:$CU$2000,MATCH(Settings!$C$4&amp;Settings!$C$7,Prices_dom!$A$6:$A$2000,0),MATCH("mit.sp."&amp;$G38,Prices_dom!$A$5:$CU$5,0)))/$I38</f>
        <v/>
      </c>
      <c r="U38" s="48">
        <f>INDEX(EF_GHG!$E$4:$E$1000,MATCH(Settings!$C$4&amp;"|"&amp;$B38&amp;"|"&amp;$H38,EF_GHG!$A$4:$A$1000,0))</f>
        <v/>
      </c>
      <c r="V38" s="41">
        <f>INDEX(EnergyCons!$F$4:$F$5000,MATCH(Settings!$C$4&amp;"|"&amp;Settings!$C$7&amp;"|"&amp;$C38&amp;"|"&amp;$B38,EnergyCons!$A$4:$A$5000,0))</f>
        <v/>
      </c>
    </row>
    <row r="39">
      <c r="A39" s="5">
        <f>$B39&amp;"|"&amp;$C39</f>
        <v/>
      </c>
      <c r="B39" s="6" t="inlineStr">
        <is>
          <t>gso</t>
        </is>
      </c>
      <c r="C39" s="6" t="inlineStr">
        <is>
          <t>res</t>
        </is>
      </c>
      <c r="D39" s="5">
        <f>INDEX(Mapping!$D$5:$D$20,MATCH($C39,Mapping!$A$5:$A$20,0))</f>
        <v/>
      </c>
      <c r="E39" s="5">
        <f>INDEX(Mapping!$C$29:$C$36,MATCH($B39,Mapping!$A$29:$A$36,0))</f>
        <v/>
      </c>
      <c r="F39" s="5">
        <f>INDEX(Mapping!$D$29:$D$36,MATCH($B39,Mapping!$A$29:$A$36,0))</f>
        <v/>
      </c>
      <c r="G39" s="5">
        <f>$B39&amp;"."&amp;IF(INDEX(Mapping!$E$29:$E$36,MATCH($B39,Mapping!$A$29:$A$36,0))="sub",INDEX(Mapping!$F$5:$F$20,MATCH($C39,Mapping!$A$5:$A$20,0)),"all")</f>
        <v/>
      </c>
      <c r="H39" s="5">
        <f>INDEX(Mapping!$E$5:$E$20,MATCH($C39,Mapping!$A$5:$A$20,0))</f>
        <v/>
      </c>
      <c r="I39" s="5">
        <f>INDEX(Mapping!$G$29:$G$36,MATCH($B39,Mapping!$A$29:$A$36,0))</f>
        <v/>
      </c>
      <c r="J39" s="5">
        <f>INDEX(Mapping!$H$29:$H$36,MATCH($B39,Mapping!$A$29:$A$36,0))</f>
        <v/>
      </c>
      <c r="K39" s="5">
        <f>INDEX(Mapping!$H$5:$H$20,MATCH($C39,Mapping!$A$5:$A$20,0))</f>
        <v/>
      </c>
      <c r="L39" s="5">
        <f>INDEX(Mapping!$E$42:$E$55,MATCH($G39,Mapping!$A$42:$A$55,0))</f>
        <v/>
      </c>
      <c r="M39" s="5">
        <f>INDEX(Mapping!$D$59:$D$62,MATCH(INDEX(Mapping!$G$5:$G$20,MATCH($C39,Mapping!$A$5:$A$20,0)),Mapping!$A$59:$A$62,0))</f>
        <v/>
      </c>
      <c r="N39" s="31">
        <f>INDEX(Elasticities!$F$4:$I$200,MATCH("inc|"&amp;$E39&amp;"|"&amp;$D39,Elasticities!$A$4:$A$200,0),MATCH(Settings!$C$6,Elasticities!$F$3:$I$3,0))</f>
        <v/>
      </c>
      <c r="O39" s="31">
        <f>INDEX(Elasticities!$F$4:$I$200,MATCH("usg|"&amp;$E39&amp;"|"&amp;$D39,Elasticities!$A$4:$A$200,0),MATCH(Settings!$C$6,Elasticities!$F$3:$I$3,0))</f>
        <v/>
      </c>
      <c r="P39" s="31">
        <f>INDEX(Elasticities!$F$4:$I$200,MATCH("eff|"&amp;$E39&amp;"|"&amp;$D39,Elasticities!$A$4:$A$200,0),MATCH(Settings!$C$6,Elasticities!$F$3:$I$3,0))</f>
        <v/>
      </c>
      <c r="Q39" s="25">
        <f>INDEX(Elasticities!$F$4:$I$200,MATCH("aei|"&amp;$F39&amp;"|"&amp;$D39,Elasticities!$A$4:$A$200,0),MATCH(Settings!$C$6,Elasticities!$F$3:$I$3,0))</f>
        <v/>
      </c>
      <c r="R39" s="47" t="n">
        <v>0</v>
      </c>
      <c r="S39" s="36">
        <f>INDEX(Prices_dom!$A$6:$CU$2000,MATCH(Settings!$C$4&amp;Settings!$C$7,Prices_dom!$A$6:$A$2000,0),MATCH("mit.sp."&amp;$G39,Prices_dom!$A$5:$CU$5,0))/$I39</f>
        <v/>
      </c>
      <c r="T39" s="36">
        <f>(INDEX(Prices_dom!$A$6:$CU$2000,MATCH(Settings!$C$4&amp;Settings!$C$7,Prices_dom!$A$6:$A$2000,0),MATCH("mit.rp."&amp;$G39,Prices_dom!$A$5:$CU$5,0))-INDEX(Prices_dom!$A$6:$CU$2000,MATCH(Settings!$C$4&amp;Settings!$C$7,Prices_dom!$A$6:$A$2000,0),MATCH("mit.sp."&amp;$G39,Prices_dom!$A$5:$CU$5,0)))/$I39</f>
        <v/>
      </c>
      <c r="U39" s="48">
        <f>INDEX(EF_GHG!$E$4:$E$1000,MATCH(Settings!$C$4&amp;"|"&amp;$B39&amp;"|"&amp;$H39,EF_GHG!$A$4:$A$1000,0))</f>
        <v/>
      </c>
      <c r="V39" s="41">
        <f>INDEX(EnergyCons!$F$4:$F$5000,MATCH(Settings!$C$4&amp;"|"&amp;Settings!$C$7&amp;"|"&amp;$C39&amp;"|"&amp;$B39,EnergyCons!$A$4:$A$5000,0))</f>
        <v/>
      </c>
    </row>
    <row r="40">
      <c r="A40" s="5">
        <f>$B40&amp;"|"&amp;$C40</f>
        <v/>
      </c>
      <c r="B40" s="6" t="inlineStr">
        <is>
          <t>die</t>
        </is>
      </c>
      <c r="C40" s="6" t="inlineStr">
        <is>
          <t>res</t>
        </is>
      </c>
      <c r="D40" s="5">
        <f>INDEX(Mapping!$D$5:$D$20,MATCH($C40,Mapping!$A$5:$A$20,0))</f>
        <v/>
      </c>
      <c r="E40" s="5">
        <f>INDEX(Mapping!$C$29:$C$36,MATCH($B40,Mapping!$A$29:$A$36,0))</f>
        <v/>
      </c>
      <c r="F40" s="5">
        <f>INDEX(Mapping!$D$29:$D$36,MATCH($B40,Mapping!$A$29:$A$36,0))</f>
        <v/>
      </c>
      <c r="G40" s="5">
        <f>$B40&amp;"."&amp;IF(INDEX(Mapping!$E$29:$E$36,MATCH($B40,Mapping!$A$29:$A$36,0))="sub",INDEX(Mapping!$F$5:$F$20,MATCH($C40,Mapping!$A$5:$A$20,0)),"all")</f>
        <v/>
      </c>
      <c r="H40" s="5">
        <f>INDEX(Mapping!$E$5:$E$20,MATCH($C40,Mapping!$A$5:$A$20,0))</f>
        <v/>
      </c>
      <c r="I40" s="5">
        <f>INDEX(Mapping!$G$29:$G$36,MATCH($B40,Mapping!$A$29:$A$36,0))</f>
        <v/>
      </c>
      <c r="J40" s="5">
        <f>INDEX(Mapping!$H$29:$H$36,MATCH($B40,Mapping!$A$29:$A$36,0))</f>
        <v/>
      </c>
      <c r="K40" s="5">
        <f>INDEX(Mapping!$H$5:$H$20,MATCH($C40,Mapping!$A$5:$A$20,0))</f>
        <v/>
      </c>
      <c r="L40" s="5">
        <f>INDEX(Mapping!$E$42:$E$55,MATCH($G40,Mapping!$A$42:$A$55,0))</f>
        <v/>
      </c>
      <c r="M40" s="5">
        <f>INDEX(Mapping!$D$59:$D$62,MATCH(INDEX(Mapping!$G$5:$G$20,MATCH($C40,Mapping!$A$5:$A$20,0)),Mapping!$A$59:$A$62,0))</f>
        <v/>
      </c>
      <c r="N40" s="31">
        <f>INDEX(Elasticities!$F$4:$I$200,MATCH("inc|"&amp;$E40&amp;"|"&amp;$D40,Elasticities!$A$4:$A$200,0),MATCH(Settings!$C$6,Elasticities!$F$3:$I$3,0))</f>
        <v/>
      </c>
      <c r="O40" s="31">
        <f>INDEX(Elasticities!$F$4:$I$200,MATCH("usg|"&amp;$E40&amp;"|"&amp;$D40,Elasticities!$A$4:$A$200,0),MATCH(Settings!$C$6,Elasticities!$F$3:$I$3,0))</f>
        <v/>
      </c>
      <c r="P40" s="31">
        <f>INDEX(Elasticities!$F$4:$I$200,MATCH("eff|"&amp;$E40&amp;"|"&amp;$D40,Elasticities!$A$4:$A$200,0),MATCH(Settings!$C$6,Elasticities!$F$3:$I$3,0))</f>
        <v/>
      </c>
      <c r="Q40" s="25">
        <f>INDEX(Elasticities!$F$4:$I$200,MATCH("aei|"&amp;$F40&amp;"|"&amp;$D40,Elasticities!$A$4:$A$200,0),MATCH(Settings!$C$6,Elasticities!$F$3:$I$3,0))</f>
        <v/>
      </c>
      <c r="R40" s="47" t="n">
        <v>0</v>
      </c>
      <c r="S40" s="36">
        <f>INDEX(Prices_dom!$A$6:$CU$2000,MATCH(Settings!$C$4&amp;Settings!$C$7,Prices_dom!$A$6:$A$2000,0),MATCH("mit.sp."&amp;$G40,Prices_dom!$A$5:$CU$5,0))/$I40</f>
        <v/>
      </c>
      <c r="T40" s="36">
        <f>(INDEX(Prices_dom!$A$6:$CU$2000,MATCH(Settings!$C$4&amp;Settings!$C$7,Prices_dom!$A$6:$A$2000,0),MATCH("mit.rp."&amp;$G40,Prices_dom!$A$5:$CU$5,0))-INDEX(Prices_dom!$A$6:$CU$2000,MATCH(Settings!$C$4&amp;Settings!$C$7,Prices_dom!$A$6:$A$2000,0),MATCH("mit.sp."&amp;$G40,Prices_dom!$A$5:$CU$5,0)))/$I40</f>
        <v/>
      </c>
      <c r="U40" s="48">
        <f>INDEX(EF_GHG!$E$4:$E$1000,MATCH(Settings!$C$4&amp;"|"&amp;$B40&amp;"|"&amp;$H40,EF_GHG!$A$4:$A$1000,0))</f>
        <v/>
      </c>
      <c r="V40" s="41">
        <f>INDEX(EnergyCons!$F$4:$F$5000,MATCH(Settings!$C$4&amp;"|"&amp;Settings!$C$7&amp;"|"&amp;$C40&amp;"|"&amp;$B40,EnergyCons!$A$4:$A$5000,0))</f>
        <v/>
      </c>
    </row>
    <row r="41">
      <c r="A41" s="5">
        <f>$B41&amp;"|"&amp;$C41</f>
        <v/>
      </c>
      <c r="B41" s="6" t="inlineStr">
        <is>
          <t>lpg</t>
        </is>
      </c>
      <c r="C41" s="6" t="inlineStr">
        <is>
          <t>res</t>
        </is>
      </c>
      <c r="D41" s="5">
        <f>INDEX(Mapping!$D$5:$D$20,MATCH($C41,Mapping!$A$5:$A$20,0))</f>
        <v/>
      </c>
      <c r="E41" s="5">
        <f>INDEX(Mapping!$C$29:$C$36,MATCH($B41,Mapping!$A$29:$A$36,0))</f>
        <v/>
      </c>
      <c r="F41" s="5">
        <f>INDEX(Mapping!$D$29:$D$36,MATCH($B41,Mapping!$A$29:$A$36,0))</f>
        <v/>
      </c>
      <c r="G41" s="5">
        <f>$B41&amp;"."&amp;IF(INDEX(Mapping!$E$29:$E$36,MATCH($B41,Mapping!$A$29:$A$36,0))="sub",INDEX(Mapping!$F$5:$F$20,MATCH($C41,Mapping!$A$5:$A$20,0)),"all")</f>
        <v/>
      </c>
      <c r="H41" s="5">
        <f>INDEX(Mapping!$E$5:$E$20,MATCH($C41,Mapping!$A$5:$A$20,0))</f>
        <v/>
      </c>
      <c r="I41" s="5">
        <f>INDEX(Mapping!$G$29:$G$36,MATCH($B41,Mapping!$A$29:$A$36,0))</f>
        <v/>
      </c>
      <c r="J41" s="5">
        <f>INDEX(Mapping!$H$29:$H$36,MATCH($B41,Mapping!$A$29:$A$36,0))</f>
        <v/>
      </c>
      <c r="K41" s="5">
        <f>INDEX(Mapping!$H$5:$H$20,MATCH($C41,Mapping!$A$5:$A$20,0))</f>
        <v/>
      </c>
      <c r="L41" s="5">
        <f>INDEX(Mapping!$E$42:$E$55,MATCH($G41,Mapping!$A$42:$A$55,0))</f>
        <v/>
      </c>
      <c r="M41" s="5">
        <f>INDEX(Mapping!$D$59:$D$62,MATCH(INDEX(Mapping!$G$5:$G$20,MATCH($C41,Mapping!$A$5:$A$20,0)),Mapping!$A$59:$A$62,0))</f>
        <v/>
      </c>
      <c r="N41" s="31">
        <f>INDEX(Elasticities!$F$4:$I$200,MATCH("inc|"&amp;$E41&amp;"|"&amp;$D41,Elasticities!$A$4:$A$200,0),MATCH(Settings!$C$6,Elasticities!$F$3:$I$3,0))</f>
        <v/>
      </c>
      <c r="O41" s="31">
        <f>INDEX(Elasticities!$F$4:$I$200,MATCH("usg|"&amp;$E41&amp;"|"&amp;$D41,Elasticities!$A$4:$A$200,0),MATCH(Settings!$C$6,Elasticities!$F$3:$I$3,0))</f>
        <v/>
      </c>
      <c r="P41" s="31">
        <f>INDEX(Elasticities!$F$4:$I$200,MATCH("eff|"&amp;$E41&amp;"|"&amp;$D41,Elasticities!$A$4:$A$200,0),MATCH(Settings!$C$6,Elasticities!$F$3:$I$3,0))</f>
        <v/>
      </c>
      <c r="Q41" s="25">
        <f>INDEX(Elasticities!$F$4:$I$200,MATCH("aei|"&amp;$F41&amp;"|"&amp;$D41,Elasticities!$A$4:$A$200,0),MATCH(Settings!$C$6,Elasticities!$F$3:$I$3,0))</f>
        <v/>
      </c>
      <c r="R41" s="47" t="n">
        <v>0</v>
      </c>
      <c r="S41" s="36">
        <f>INDEX(Prices_dom!$A$6:$CU$2000,MATCH(Settings!$C$4&amp;Settings!$C$7,Prices_dom!$A$6:$A$2000,0),MATCH("mit.sp."&amp;$G41,Prices_dom!$A$5:$CU$5,0))/$I41</f>
        <v/>
      </c>
      <c r="T41" s="36">
        <f>(INDEX(Prices_dom!$A$6:$CU$2000,MATCH(Settings!$C$4&amp;Settings!$C$7,Prices_dom!$A$6:$A$2000,0),MATCH("mit.rp."&amp;$G41,Prices_dom!$A$5:$CU$5,0))-INDEX(Prices_dom!$A$6:$CU$2000,MATCH(Settings!$C$4&amp;Settings!$C$7,Prices_dom!$A$6:$A$2000,0),MATCH("mit.sp."&amp;$G41,Prices_dom!$A$5:$CU$5,0)))/$I41</f>
        <v/>
      </c>
      <c r="U41" s="48">
        <f>INDEX(EF_GHG!$E$4:$E$1000,MATCH(Settings!$C$4&amp;"|"&amp;$B41&amp;"|"&amp;$H41,EF_GHG!$A$4:$A$1000,0))</f>
        <v/>
      </c>
      <c r="V41" s="41">
        <f>INDEX(EnergyCons!$F$4:$F$5000,MATCH(Settings!$C$4&amp;"|"&amp;Settings!$C$7&amp;"|"&amp;$C41&amp;"|"&amp;$B41,EnergyCons!$A$4:$A$5000,0))</f>
        <v/>
      </c>
    </row>
    <row r="42">
      <c r="A42" s="5">
        <f>$B42&amp;"|"&amp;$C42</f>
        <v/>
      </c>
      <c r="B42" s="6" t="inlineStr">
        <is>
          <t>ker</t>
        </is>
      </c>
      <c r="C42" s="6" t="inlineStr">
        <is>
          <t>res</t>
        </is>
      </c>
      <c r="D42" s="5">
        <f>INDEX(Mapping!$D$5:$D$20,MATCH($C42,Mapping!$A$5:$A$20,0))</f>
        <v/>
      </c>
      <c r="E42" s="5">
        <f>INDEX(Mapping!$C$29:$C$36,MATCH($B42,Mapping!$A$29:$A$36,0))</f>
        <v/>
      </c>
      <c r="F42" s="5">
        <f>INDEX(Mapping!$D$29:$D$36,MATCH($B42,Mapping!$A$29:$A$36,0))</f>
        <v/>
      </c>
      <c r="G42" s="5">
        <f>$B42&amp;"."&amp;IF(INDEX(Mapping!$E$29:$E$36,MATCH($B42,Mapping!$A$29:$A$36,0))="sub",INDEX(Mapping!$F$5:$F$20,MATCH($C42,Mapping!$A$5:$A$20,0)),"all")</f>
        <v/>
      </c>
      <c r="H42" s="5">
        <f>INDEX(Mapping!$E$5:$E$20,MATCH($C42,Mapping!$A$5:$A$20,0))</f>
        <v/>
      </c>
      <c r="I42" s="5">
        <f>INDEX(Mapping!$G$29:$G$36,MATCH($B42,Mapping!$A$29:$A$36,0))</f>
        <v/>
      </c>
      <c r="J42" s="5">
        <f>INDEX(Mapping!$H$29:$H$36,MATCH($B42,Mapping!$A$29:$A$36,0))</f>
        <v/>
      </c>
      <c r="K42" s="5">
        <f>INDEX(Mapping!$H$5:$H$20,MATCH($C42,Mapping!$A$5:$A$20,0))</f>
        <v/>
      </c>
      <c r="L42" s="5">
        <f>INDEX(Mapping!$E$42:$E$55,MATCH($G42,Mapping!$A$42:$A$55,0))</f>
        <v/>
      </c>
      <c r="M42" s="5">
        <f>INDEX(Mapping!$D$59:$D$62,MATCH(INDEX(Mapping!$G$5:$G$20,MATCH($C42,Mapping!$A$5:$A$20,0)),Mapping!$A$59:$A$62,0))</f>
        <v/>
      </c>
      <c r="N42" s="31">
        <f>INDEX(Elasticities!$F$4:$I$200,MATCH("inc|"&amp;$E42&amp;"|"&amp;$D42,Elasticities!$A$4:$A$200,0),MATCH(Settings!$C$6,Elasticities!$F$3:$I$3,0))</f>
        <v/>
      </c>
      <c r="O42" s="31">
        <f>INDEX(Elasticities!$F$4:$I$200,MATCH("usg|"&amp;$E42&amp;"|"&amp;$D42,Elasticities!$A$4:$A$200,0),MATCH(Settings!$C$6,Elasticities!$F$3:$I$3,0))</f>
        <v/>
      </c>
      <c r="P42" s="31">
        <f>INDEX(Elasticities!$F$4:$I$200,MATCH("eff|"&amp;$E42&amp;"|"&amp;$D42,Elasticities!$A$4:$A$200,0),MATCH(Settings!$C$6,Elasticities!$F$3:$I$3,0))</f>
        <v/>
      </c>
      <c r="Q42" s="25">
        <f>INDEX(Elasticities!$F$4:$I$200,MATCH("aei|"&amp;$F42&amp;"|"&amp;$D42,Elasticities!$A$4:$A$200,0),MATCH(Settings!$C$6,Elasticities!$F$3:$I$3,0))</f>
        <v/>
      </c>
      <c r="R42" s="47" t="n">
        <v>0</v>
      </c>
      <c r="S42" s="36">
        <f>INDEX(Prices_dom!$A$6:$CU$2000,MATCH(Settings!$C$4&amp;Settings!$C$7,Prices_dom!$A$6:$A$2000,0),MATCH("mit.sp."&amp;$G42,Prices_dom!$A$5:$CU$5,0))/$I42</f>
        <v/>
      </c>
      <c r="T42" s="36">
        <f>(INDEX(Prices_dom!$A$6:$CU$2000,MATCH(Settings!$C$4&amp;Settings!$C$7,Prices_dom!$A$6:$A$2000,0),MATCH("mit.rp."&amp;$G42,Prices_dom!$A$5:$CU$5,0))-INDEX(Prices_dom!$A$6:$CU$2000,MATCH(Settings!$C$4&amp;Settings!$C$7,Prices_dom!$A$6:$A$2000,0),MATCH("mit.sp."&amp;$G42,Prices_dom!$A$5:$CU$5,0)))/$I42</f>
        <v/>
      </c>
      <c r="U42" s="48">
        <f>INDEX(EF_GHG!$E$4:$E$1000,MATCH(Settings!$C$4&amp;"|"&amp;$B42&amp;"|"&amp;$H42,EF_GHG!$A$4:$A$1000,0))</f>
        <v/>
      </c>
      <c r="V42" s="41">
        <f>INDEX(EnergyCons!$F$4:$F$5000,MATCH(Settings!$C$4&amp;"|"&amp;Settings!$C$7&amp;"|"&amp;$C42&amp;"|"&amp;$B42,EnergyCons!$A$4:$A$5000,0))</f>
        <v/>
      </c>
    </row>
    <row r="43">
      <c r="A43" s="5">
        <f>$B43&amp;"|"&amp;$C43</f>
        <v/>
      </c>
      <c r="B43" s="6" t="inlineStr">
        <is>
          <t>oop</t>
        </is>
      </c>
      <c r="C43" s="6" t="inlineStr">
        <is>
          <t>res</t>
        </is>
      </c>
      <c r="D43" s="5">
        <f>INDEX(Mapping!$D$5:$D$20,MATCH($C43,Mapping!$A$5:$A$20,0))</f>
        <v/>
      </c>
      <c r="E43" s="5">
        <f>INDEX(Mapping!$C$29:$C$36,MATCH($B43,Mapping!$A$29:$A$36,0))</f>
        <v/>
      </c>
      <c r="F43" s="5">
        <f>INDEX(Mapping!$D$29:$D$36,MATCH($B43,Mapping!$A$29:$A$36,0))</f>
        <v/>
      </c>
      <c r="G43" s="5">
        <f>$B43&amp;"."&amp;IF(INDEX(Mapping!$E$29:$E$36,MATCH($B43,Mapping!$A$29:$A$36,0))="sub",INDEX(Mapping!$F$5:$F$20,MATCH($C43,Mapping!$A$5:$A$20,0)),"all")</f>
        <v/>
      </c>
      <c r="H43" s="5">
        <f>INDEX(Mapping!$E$5:$E$20,MATCH($C43,Mapping!$A$5:$A$20,0))</f>
        <v/>
      </c>
      <c r="I43" s="5">
        <f>INDEX(Mapping!$G$29:$G$36,MATCH($B43,Mapping!$A$29:$A$36,0))</f>
        <v/>
      </c>
      <c r="J43" s="5">
        <f>INDEX(Mapping!$H$29:$H$36,MATCH($B43,Mapping!$A$29:$A$36,0))</f>
        <v/>
      </c>
      <c r="K43" s="5">
        <f>INDEX(Mapping!$H$5:$H$20,MATCH($C43,Mapping!$A$5:$A$20,0))</f>
        <v/>
      </c>
      <c r="L43" s="5">
        <f>INDEX(Mapping!$E$42:$E$55,MATCH($G43,Mapping!$A$42:$A$55,0))</f>
        <v/>
      </c>
      <c r="M43" s="5">
        <f>INDEX(Mapping!$D$59:$D$62,MATCH(INDEX(Mapping!$G$5:$G$20,MATCH($C43,Mapping!$A$5:$A$20,0)),Mapping!$A$59:$A$62,0))</f>
        <v/>
      </c>
      <c r="N43" s="31">
        <f>INDEX(Elasticities!$F$4:$I$200,MATCH("inc|"&amp;$E43&amp;"|"&amp;$D43,Elasticities!$A$4:$A$200,0),MATCH(Settings!$C$6,Elasticities!$F$3:$I$3,0))</f>
        <v/>
      </c>
      <c r="O43" s="31">
        <f>INDEX(Elasticities!$F$4:$I$200,MATCH("usg|"&amp;$E43&amp;"|"&amp;$D43,Elasticities!$A$4:$A$200,0),MATCH(Settings!$C$6,Elasticities!$F$3:$I$3,0))</f>
        <v/>
      </c>
      <c r="P43" s="31">
        <f>INDEX(Elasticities!$F$4:$I$200,MATCH("eff|"&amp;$E43&amp;"|"&amp;$D43,Elasticities!$A$4:$A$200,0),MATCH(Settings!$C$6,Elasticities!$F$3:$I$3,0))</f>
        <v/>
      </c>
      <c r="Q43" s="25">
        <f>INDEX(Elasticities!$F$4:$I$200,MATCH("aei|"&amp;$F43&amp;"|"&amp;$D43,Elasticities!$A$4:$A$200,0),MATCH(Settings!$C$6,Elasticities!$F$3:$I$3,0))</f>
        <v/>
      </c>
      <c r="R43" s="47" t="n">
        <v>0</v>
      </c>
      <c r="S43" s="36">
        <f>INDEX(Prices_dom!$A$6:$CU$2000,MATCH(Settings!$C$4&amp;Settings!$C$7,Prices_dom!$A$6:$A$2000,0),MATCH("mit.sp."&amp;$G43,Prices_dom!$A$5:$CU$5,0))/$I43</f>
        <v/>
      </c>
      <c r="T43" s="36">
        <f>(INDEX(Prices_dom!$A$6:$CU$2000,MATCH(Settings!$C$4&amp;Settings!$C$7,Prices_dom!$A$6:$A$2000,0),MATCH("mit.rp."&amp;$G43,Prices_dom!$A$5:$CU$5,0))-INDEX(Prices_dom!$A$6:$CU$2000,MATCH(Settings!$C$4&amp;Settings!$C$7,Prices_dom!$A$6:$A$2000,0),MATCH("mit.sp."&amp;$G43,Prices_dom!$A$5:$CU$5,0)))/$I43</f>
        <v/>
      </c>
      <c r="U43" s="48">
        <f>INDEX(EF_GHG!$E$4:$E$1000,MATCH(Settings!$C$4&amp;"|"&amp;$B43&amp;"|"&amp;$H43,EF_GHG!$A$4:$A$1000,0))</f>
        <v/>
      </c>
      <c r="V43" s="41">
        <f>INDEX(EnergyCons!$F$4:$F$5000,MATCH(Settings!$C$4&amp;"|"&amp;Settings!$C$7&amp;"|"&amp;$C43&amp;"|"&amp;$B43,EnergyCons!$A$4:$A$5000,0))</f>
        <v/>
      </c>
    </row>
    <row r="44">
      <c r="A44" s="5">
        <f>$B44&amp;"|"&amp;$C44</f>
        <v/>
      </c>
      <c r="B44" s="6" t="inlineStr">
        <is>
          <t>bio</t>
        </is>
      </c>
      <c r="C44" s="6" t="inlineStr">
        <is>
          <t>res</t>
        </is>
      </c>
      <c r="D44" s="5">
        <f>INDEX(Mapping!$D$5:$D$20,MATCH($C44,Mapping!$A$5:$A$20,0))</f>
        <v/>
      </c>
      <c r="E44" s="5">
        <f>INDEX(Mapping!$C$29:$C$36,MATCH($B44,Mapping!$A$29:$A$36,0))</f>
        <v/>
      </c>
      <c r="F44" s="5">
        <f>INDEX(Mapping!$D$29:$D$36,MATCH($B44,Mapping!$A$29:$A$36,0))</f>
        <v/>
      </c>
      <c r="G44" s="5">
        <f>$B44&amp;"."&amp;IF(INDEX(Mapping!$E$29:$E$36,MATCH($B44,Mapping!$A$29:$A$36,0))="sub",INDEX(Mapping!$F$5:$F$20,MATCH($C44,Mapping!$A$5:$A$20,0)),"all")</f>
        <v/>
      </c>
      <c r="H44" s="5">
        <f>INDEX(Mapping!$E$5:$E$20,MATCH($C44,Mapping!$A$5:$A$20,0))</f>
        <v/>
      </c>
      <c r="I44" s="5">
        <f>INDEX(Mapping!$G$29:$G$36,MATCH($B44,Mapping!$A$29:$A$36,0))</f>
        <v/>
      </c>
      <c r="J44" s="5">
        <f>INDEX(Mapping!$H$29:$H$36,MATCH($B44,Mapping!$A$29:$A$36,0))</f>
        <v/>
      </c>
      <c r="K44" s="5">
        <f>INDEX(Mapping!$H$5:$H$20,MATCH($C44,Mapping!$A$5:$A$20,0))</f>
        <v/>
      </c>
      <c r="L44" s="5">
        <f>INDEX(Mapping!$E$42:$E$55,MATCH($G44,Mapping!$A$42:$A$55,0))</f>
        <v/>
      </c>
      <c r="M44" s="5">
        <f>INDEX(Mapping!$D$59:$D$62,MATCH(INDEX(Mapping!$G$5:$G$20,MATCH($C44,Mapping!$A$5:$A$20,0)),Mapping!$A$59:$A$62,0))</f>
        <v/>
      </c>
      <c r="N44" s="31">
        <f>INDEX(Elasticities!$F$4:$I$200,MATCH("inc|"&amp;$E44&amp;"|"&amp;$D44,Elasticities!$A$4:$A$200,0),MATCH(Settings!$C$6,Elasticities!$F$3:$I$3,0))</f>
        <v/>
      </c>
      <c r="O44" s="31">
        <f>INDEX(Elasticities!$F$4:$I$200,MATCH("usg|"&amp;$E44&amp;"|"&amp;$D44,Elasticities!$A$4:$A$200,0),MATCH(Settings!$C$6,Elasticities!$F$3:$I$3,0))</f>
        <v/>
      </c>
      <c r="P44" s="31">
        <f>INDEX(Elasticities!$F$4:$I$200,MATCH("eff|"&amp;$E44&amp;"|"&amp;$D44,Elasticities!$A$4:$A$200,0),MATCH(Settings!$C$6,Elasticities!$F$3:$I$3,0))</f>
        <v/>
      </c>
      <c r="Q44" s="25">
        <f>INDEX(Elasticities!$F$4:$I$200,MATCH("aei|"&amp;$F44&amp;"|"&amp;$D44,Elasticities!$A$4:$A$200,0),MATCH(Settings!$C$6,Elasticities!$F$3:$I$3,0))</f>
        <v/>
      </c>
      <c r="R44" s="47" t="n">
        <v>0</v>
      </c>
      <c r="S44" s="36">
        <f>INDEX(Prices_dom!$A$6:$CU$2000,MATCH(Settings!$C$4&amp;Settings!$C$7,Prices_dom!$A$6:$A$2000,0),MATCH("mit.sp."&amp;$G44,Prices_dom!$A$5:$CU$5,0))/$I44</f>
        <v/>
      </c>
      <c r="T44" s="36">
        <f>(INDEX(Prices_dom!$A$6:$CU$2000,MATCH(Settings!$C$4&amp;Settings!$C$7,Prices_dom!$A$6:$A$2000,0),MATCH("mit.rp."&amp;$G44,Prices_dom!$A$5:$CU$5,0))-INDEX(Prices_dom!$A$6:$CU$2000,MATCH(Settings!$C$4&amp;Settings!$C$7,Prices_dom!$A$6:$A$2000,0),MATCH("mit.sp."&amp;$G44,Prices_dom!$A$5:$CU$5,0)))/$I44</f>
        <v/>
      </c>
      <c r="U44" s="48">
        <f>INDEX(EF_GHG!$E$4:$E$1000,MATCH(Settings!$C$4&amp;"|"&amp;$B44&amp;"|"&amp;$H44,EF_GHG!$A$4:$A$1000,0))</f>
        <v/>
      </c>
      <c r="V44" s="41">
        <f>INDEX(EnergyCons!$F$4:$F$5000,MATCH(Settings!$C$4&amp;"|"&amp;Settings!$C$7&amp;"|"&amp;$C44&amp;"|"&amp;$B44,EnergyCons!$A$4:$A$5000,0))</f>
        <v/>
      </c>
    </row>
    <row r="45">
      <c r="A45" s="5">
        <f>$B45&amp;"|"&amp;$C45</f>
        <v/>
      </c>
      <c r="B45" s="6" t="inlineStr">
        <is>
          <t>coa</t>
        </is>
      </c>
      <c r="C45" s="6" t="inlineStr">
        <is>
          <t>foo</t>
        </is>
      </c>
      <c r="D45" s="5">
        <f>INDEX(Mapping!$D$5:$D$20,MATCH($C45,Mapping!$A$5:$A$20,0))</f>
        <v/>
      </c>
      <c r="E45" s="5">
        <f>INDEX(Mapping!$C$29:$C$36,MATCH($B45,Mapping!$A$29:$A$36,0))</f>
        <v/>
      </c>
      <c r="F45" s="5">
        <f>INDEX(Mapping!$D$29:$D$36,MATCH($B45,Mapping!$A$29:$A$36,0))</f>
        <v/>
      </c>
      <c r="G45" s="5">
        <f>$B45&amp;"."&amp;IF(INDEX(Mapping!$E$29:$E$36,MATCH($B45,Mapping!$A$29:$A$36,0))="sub",INDEX(Mapping!$F$5:$F$20,MATCH($C45,Mapping!$A$5:$A$20,0)),"all")</f>
        <v/>
      </c>
      <c r="H45" s="5">
        <f>INDEX(Mapping!$E$5:$E$20,MATCH($C45,Mapping!$A$5:$A$20,0))</f>
        <v/>
      </c>
      <c r="I45" s="5">
        <f>INDEX(Mapping!$G$29:$G$36,MATCH($B45,Mapping!$A$29:$A$36,0))</f>
        <v/>
      </c>
      <c r="J45" s="5">
        <f>INDEX(Mapping!$H$29:$H$36,MATCH($B45,Mapping!$A$29:$A$36,0))</f>
        <v/>
      </c>
      <c r="K45" s="5">
        <f>INDEX(Mapping!$H$5:$H$20,MATCH($C45,Mapping!$A$5:$A$20,0))</f>
        <v/>
      </c>
      <c r="L45" s="5">
        <f>INDEX(Mapping!$E$42:$E$55,MATCH($G45,Mapping!$A$42:$A$55,0))</f>
        <v/>
      </c>
      <c r="M45" s="5">
        <f>INDEX(Mapping!$D$59:$D$62,MATCH(INDEX(Mapping!$G$5:$G$20,MATCH($C45,Mapping!$A$5:$A$20,0)),Mapping!$A$59:$A$62,0))</f>
        <v/>
      </c>
      <c r="N45" s="31">
        <f>INDEX(Elasticities!$F$4:$I$200,MATCH("inc|"&amp;$E45&amp;"|"&amp;$D45,Elasticities!$A$4:$A$200,0),MATCH(Settings!$C$6,Elasticities!$F$3:$I$3,0))</f>
        <v/>
      </c>
      <c r="O45" s="31">
        <f>INDEX(Elasticities!$F$4:$I$200,MATCH("usg|"&amp;$E45&amp;"|"&amp;$D45,Elasticities!$A$4:$A$200,0),MATCH(Settings!$C$6,Elasticities!$F$3:$I$3,0))</f>
        <v/>
      </c>
      <c r="P45" s="31">
        <f>INDEX(Elasticities!$F$4:$I$200,MATCH("eff|"&amp;$E45&amp;"|"&amp;$D45,Elasticities!$A$4:$A$200,0),MATCH(Settings!$C$6,Elasticities!$F$3:$I$3,0))</f>
        <v/>
      </c>
      <c r="Q45" s="25">
        <f>INDEX(Elasticities!$F$4:$I$200,MATCH("aei|"&amp;$F45&amp;"|"&amp;$D45,Elasticities!$A$4:$A$200,0),MATCH(Settings!$C$6,Elasticities!$F$3:$I$3,0))</f>
        <v/>
      </c>
      <c r="R45" s="47" t="n">
        <v>0</v>
      </c>
      <c r="S45" s="36">
        <f>INDEX(Prices_dom!$A$6:$CU$2000,MATCH(Settings!$C$4&amp;Settings!$C$7,Prices_dom!$A$6:$A$2000,0),MATCH("mit.sp."&amp;$G45,Prices_dom!$A$5:$CU$5,0))/$I45</f>
        <v/>
      </c>
      <c r="T45" s="36">
        <f>(INDEX(Prices_dom!$A$6:$CU$2000,MATCH(Settings!$C$4&amp;Settings!$C$7,Prices_dom!$A$6:$A$2000,0),MATCH("mit.rp."&amp;$G45,Prices_dom!$A$5:$CU$5,0))-INDEX(Prices_dom!$A$6:$CU$2000,MATCH(Settings!$C$4&amp;Settings!$C$7,Prices_dom!$A$6:$A$2000,0),MATCH("mit.sp."&amp;$G45,Prices_dom!$A$5:$CU$5,0)))/$I45</f>
        <v/>
      </c>
      <c r="U45" s="48">
        <f>INDEX(EF_GHG!$E$4:$E$1000,MATCH(Settings!$C$4&amp;"|"&amp;$B45&amp;"|"&amp;$H45,EF_GHG!$A$4:$A$1000,0))</f>
        <v/>
      </c>
      <c r="V45" s="41">
        <f>INDEX(EnergyCons!$F$4:$F$5000,MATCH(Settings!$C$4&amp;"|"&amp;Settings!$C$7&amp;"|"&amp;$C45&amp;"|"&amp;$B45,EnergyCons!$A$4:$A$5000,0))</f>
        <v/>
      </c>
    </row>
    <row r="46">
      <c r="A46" s="5">
        <f>$B46&amp;"|"&amp;$C46</f>
        <v/>
      </c>
      <c r="B46" s="6" t="inlineStr">
        <is>
          <t>nga</t>
        </is>
      </c>
      <c r="C46" s="6" t="inlineStr">
        <is>
          <t>foo</t>
        </is>
      </c>
      <c r="D46" s="5">
        <f>INDEX(Mapping!$D$5:$D$20,MATCH($C46,Mapping!$A$5:$A$20,0))</f>
        <v/>
      </c>
      <c r="E46" s="5">
        <f>INDEX(Mapping!$C$29:$C$36,MATCH($B46,Mapping!$A$29:$A$36,0))</f>
        <v/>
      </c>
      <c r="F46" s="5">
        <f>INDEX(Mapping!$D$29:$D$36,MATCH($B46,Mapping!$A$29:$A$36,0))</f>
        <v/>
      </c>
      <c r="G46" s="5">
        <f>$B46&amp;"."&amp;IF(INDEX(Mapping!$E$29:$E$36,MATCH($B46,Mapping!$A$29:$A$36,0))="sub",INDEX(Mapping!$F$5:$F$20,MATCH($C46,Mapping!$A$5:$A$20,0)),"all")</f>
        <v/>
      </c>
      <c r="H46" s="5">
        <f>INDEX(Mapping!$E$5:$E$20,MATCH($C46,Mapping!$A$5:$A$20,0))</f>
        <v/>
      </c>
      <c r="I46" s="5">
        <f>INDEX(Mapping!$G$29:$G$36,MATCH($B46,Mapping!$A$29:$A$36,0))</f>
        <v/>
      </c>
      <c r="J46" s="5">
        <f>INDEX(Mapping!$H$29:$H$36,MATCH($B46,Mapping!$A$29:$A$36,0))</f>
        <v/>
      </c>
      <c r="K46" s="5">
        <f>INDEX(Mapping!$H$5:$H$20,MATCH($C46,Mapping!$A$5:$A$20,0))</f>
        <v/>
      </c>
      <c r="L46" s="5">
        <f>INDEX(Mapping!$E$42:$E$55,MATCH($G46,Mapping!$A$42:$A$55,0))</f>
        <v/>
      </c>
      <c r="M46" s="5">
        <f>INDEX(Mapping!$D$59:$D$62,MATCH(INDEX(Mapping!$G$5:$G$20,MATCH($C46,Mapping!$A$5:$A$20,0)),Mapping!$A$59:$A$62,0))</f>
        <v/>
      </c>
      <c r="N46" s="31">
        <f>INDEX(Elasticities!$F$4:$I$200,MATCH("inc|"&amp;$E46&amp;"|"&amp;$D46,Elasticities!$A$4:$A$200,0),MATCH(Settings!$C$6,Elasticities!$F$3:$I$3,0))</f>
        <v/>
      </c>
      <c r="O46" s="31">
        <f>INDEX(Elasticities!$F$4:$I$200,MATCH("usg|"&amp;$E46&amp;"|"&amp;$D46,Elasticities!$A$4:$A$200,0),MATCH(Settings!$C$6,Elasticities!$F$3:$I$3,0))</f>
        <v/>
      </c>
      <c r="P46" s="31">
        <f>INDEX(Elasticities!$F$4:$I$200,MATCH("eff|"&amp;$E46&amp;"|"&amp;$D46,Elasticities!$A$4:$A$200,0),MATCH(Settings!$C$6,Elasticities!$F$3:$I$3,0))</f>
        <v/>
      </c>
      <c r="Q46" s="25">
        <f>INDEX(Elasticities!$F$4:$I$200,MATCH("aei|"&amp;$F46&amp;"|"&amp;$D46,Elasticities!$A$4:$A$200,0),MATCH(Settings!$C$6,Elasticities!$F$3:$I$3,0))</f>
        <v/>
      </c>
      <c r="R46" s="47" t="n">
        <v>0</v>
      </c>
      <c r="S46" s="36">
        <f>INDEX(Prices_dom!$A$6:$CU$2000,MATCH(Settings!$C$4&amp;Settings!$C$7,Prices_dom!$A$6:$A$2000,0),MATCH("mit.sp."&amp;$G46,Prices_dom!$A$5:$CU$5,0))/$I46</f>
        <v/>
      </c>
      <c r="T46" s="36">
        <f>(INDEX(Prices_dom!$A$6:$CU$2000,MATCH(Settings!$C$4&amp;Settings!$C$7,Prices_dom!$A$6:$A$2000,0),MATCH("mit.rp."&amp;$G46,Prices_dom!$A$5:$CU$5,0))-INDEX(Prices_dom!$A$6:$CU$2000,MATCH(Settings!$C$4&amp;Settings!$C$7,Prices_dom!$A$6:$A$2000,0),MATCH("mit.sp."&amp;$G46,Prices_dom!$A$5:$CU$5,0)))/$I46</f>
        <v/>
      </c>
      <c r="U46" s="48">
        <f>INDEX(EF_GHG!$E$4:$E$1000,MATCH(Settings!$C$4&amp;"|"&amp;$B46&amp;"|"&amp;$H46,EF_GHG!$A$4:$A$1000,0))</f>
        <v/>
      </c>
      <c r="V46" s="41">
        <f>INDEX(EnergyCons!$F$4:$F$5000,MATCH(Settings!$C$4&amp;"|"&amp;Settings!$C$7&amp;"|"&amp;$C46&amp;"|"&amp;$B46,EnergyCons!$A$4:$A$5000,0))</f>
        <v/>
      </c>
    </row>
    <row r="47">
      <c r="A47" s="5">
        <f>$B47&amp;"|"&amp;$C47</f>
        <v/>
      </c>
      <c r="B47" s="6" t="inlineStr">
        <is>
          <t>gso</t>
        </is>
      </c>
      <c r="C47" s="6" t="inlineStr">
        <is>
          <t>foo</t>
        </is>
      </c>
      <c r="D47" s="5">
        <f>INDEX(Mapping!$D$5:$D$20,MATCH($C47,Mapping!$A$5:$A$20,0))</f>
        <v/>
      </c>
      <c r="E47" s="5">
        <f>INDEX(Mapping!$C$29:$C$36,MATCH($B47,Mapping!$A$29:$A$36,0))</f>
        <v/>
      </c>
      <c r="F47" s="5">
        <f>INDEX(Mapping!$D$29:$D$36,MATCH($B47,Mapping!$A$29:$A$36,0))</f>
        <v/>
      </c>
      <c r="G47" s="5">
        <f>$B47&amp;"."&amp;IF(INDEX(Mapping!$E$29:$E$36,MATCH($B47,Mapping!$A$29:$A$36,0))="sub",INDEX(Mapping!$F$5:$F$20,MATCH($C47,Mapping!$A$5:$A$20,0)),"all")</f>
        <v/>
      </c>
      <c r="H47" s="5">
        <f>INDEX(Mapping!$E$5:$E$20,MATCH($C47,Mapping!$A$5:$A$20,0))</f>
        <v/>
      </c>
      <c r="I47" s="5">
        <f>INDEX(Mapping!$G$29:$G$36,MATCH($B47,Mapping!$A$29:$A$36,0))</f>
        <v/>
      </c>
      <c r="J47" s="5">
        <f>INDEX(Mapping!$H$29:$H$36,MATCH($B47,Mapping!$A$29:$A$36,0))</f>
        <v/>
      </c>
      <c r="K47" s="5">
        <f>INDEX(Mapping!$H$5:$H$20,MATCH($C47,Mapping!$A$5:$A$20,0))</f>
        <v/>
      </c>
      <c r="L47" s="5">
        <f>INDEX(Mapping!$E$42:$E$55,MATCH($G47,Mapping!$A$42:$A$55,0))</f>
        <v/>
      </c>
      <c r="M47" s="5">
        <f>INDEX(Mapping!$D$59:$D$62,MATCH(INDEX(Mapping!$G$5:$G$20,MATCH($C47,Mapping!$A$5:$A$20,0)),Mapping!$A$59:$A$62,0))</f>
        <v/>
      </c>
      <c r="N47" s="31">
        <f>INDEX(Elasticities!$F$4:$I$200,MATCH("inc|"&amp;$E47&amp;"|"&amp;$D47,Elasticities!$A$4:$A$200,0),MATCH(Settings!$C$6,Elasticities!$F$3:$I$3,0))</f>
        <v/>
      </c>
      <c r="O47" s="31">
        <f>INDEX(Elasticities!$F$4:$I$200,MATCH("usg|"&amp;$E47&amp;"|"&amp;$D47,Elasticities!$A$4:$A$200,0),MATCH(Settings!$C$6,Elasticities!$F$3:$I$3,0))</f>
        <v/>
      </c>
      <c r="P47" s="31">
        <f>INDEX(Elasticities!$F$4:$I$200,MATCH("eff|"&amp;$E47&amp;"|"&amp;$D47,Elasticities!$A$4:$A$200,0),MATCH(Settings!$C$6,Elasticities!$F$3:$I$3,0))</f>
        <v/>
      </c>
      <c r="Q47" s="25">
        <f>INDEX(Elasticities!$F$4:$I$200,MATCH("aei|"&amp;$F47&amp;"|"&amp;$D47,Elasticities!$A$4:$A$200,0),MATCH(Settings!$C$6,Elasticities!$F$3:$I$3,0))</f>
        <v/>
      </c>
      <c r="R47" s="47" t="n">
        <v>0</v>
      </c>
      <c r="S47" s="36">
        <f>INDEX(Prices_dom!$A$6:$CU$2000,MATCH(Settings!$C$4&amp;Settings!$C$7,Prices_dom!$A$6:$A$2000,0),MATCH("mit.sp."&amp;$G47,Prices_dom!$A$5:$CU$5,0))/$I47</f>
        <v/>
      </c>
      <c r="T47" s="36">
        <f>(INDEX(Prices_dom!$A$6:$CU$2000,MATCH(Settings!$C$4&amp;Settings!$C$7,Prices_dom!$A$6:$A$2000,0),MATCH("mit.rp."&amp;$G47,Prices_dom!$A$5:$CU$5,0))-INDEX(Prices_dom!$A$6:$CU$2000,MATCH(Settings!$C$4&amp;Settings!$C$7,Prices_dom!$A$6:$A$2000,0),MATCH("mit.sp."&amp;$G47,Prices_dom!$A$5:$CU$5,0)))/$I47</f>
        <v/>
      </c>
      <c r="U47" s="48">
        <f>INDEX(EF_GHG!$E$4:$E$1000,MATCH(Settings!$C$4&amp;"|"&amp;$B47&amp;"|"&amp;$H47,EF_GHG!$A$4:$A$1000,0))</f>
        <v/>
      </c>
      <c r="V47" s="41">
        <f>INDEX(EnergyCons!$F$4:$F$5000,MATCH(Settings!$C$4&amp;"|"&amp;Settings!$C$7&amp;"|"&amp;$C47&amp;"|"&amp;$B47,EnergyCons!$A$4:$A$5000,0))</f>
        <v/>
      </c>
    </row>
    <row r="48">
      <c r="A48" s="5">
        <f>$B48&amp;"|"&amp;$C48</f>
        <v/>
      </c>
      <c r="B48" s="6" t="inlineStr">
        <is>
          <t>die</t>
        </is>
      </c>
      <c r="C48" s="6" t="inlineStr">
        <is>
          <t>foo</t>
        </is>
      </c>
      <c r="D48" s="5">
        <f>INDEX(Mapping!$D$5:$D$20,MATCH($C48,Mapping!$A$5:$A$20,0))</f>
        <v/>
      </c>
      <c r="E48" s="5">
        <f>INDEX(Mapping!$C$29:$C$36,MATCH($B48,Mapping!$A$29:$A$36,0))</f>
        <v/>
      </c>
      <c r="F48" s="5">
        <f>INDEX(Mapping!$D$29:$D$36,MATCH($B48,Mapping!$A$29:$A$36,0))</f>
        <v/>
      </c>
      <c r="G48" s="5">
        <f>$B48&amp;"."&amp;IF(INDEX(Mapping!$E$29:$E$36,MATCH($B48,Mapping!$A$29:$A$36,0))="sub",INDEX(Mapping!$F$5:$F$20,MATCH($C48,Mapping!$A$5:$A$20,0)),"all")</f>
        <v/>
      </c>
      <c r="H48" s="5">
        <f>INDEX(Mapping!$E$5:$E$20,MATCH($C48,Mapping!$A$5:$A$20,0))</f>
        <v/>
      </c>
      <c r="I48" s="5">
        <f>INDEX(Mapping!$G$29:$G$36,MATCH($B48,Mapping!$A$29:$A$36,0))</f>
        <v/>
      </c>
      <c r="J48" s="5">
        <f>INDEX(Mapping!$H$29:$H$36,MATCH($B48,Mapping!$A$29:$A$36,0))</f>
        <v/>
      </c>
      <c r="K48" s="5">
        <f>INDEX(Mapping!$H$5:$H$20,MATCH($C48,Mapping!$A$5:$A$20,0))</f>
        <v/>
      </c>
      <c r="L48" s="5">
        <f>INDEX(Mapping!$E$42:$E$55,MATCH($G48,Mapping!$A$42:$A$55,0))</f>
        <v/>
      </c>
      <c r="M48" s="5">
        <f>INDEX(Mapping!$D$59:$D$62,MATCH(INDEX(Mapping!$G$5:$G$20,MATCH($C48,Mapping!$A$5:$A$20,0)),Mapping!$A$59:$A$62,0))</f>
        <v/>
      </c>
      <c r="N48" s="31">
        <f>INDEX(Elasticities!$F$4:$I$200,MATCH("inc|"&amp;$E48&amp;"|"&amp;$D48,Elasticities!$A$4:$A$200,0),MATCH(Settings!$C$6,Elasticities!$F$3:$I$3,0))</f>
        <v/>
      </c>
      <c r="O48" s="31">
        <f>INDEX(Elasticities!$F$4:$I$200,MATCH("usg|"&amp;$E48&amp;"|"&amp;$D48,Elasticities!$A$4:$A$200,0),MATCH(Settings!$C$6,Elasticities!$F$3:$I$3,0))</f>
        <v/>
      </c>
      <c r="P48" s="31">
        <f>INDEX(Elasticities!$F$4:$I$200,MATCH("eff|"&amp;$E48&amp;"|"&amp;$D48,Elasticities!$A$4:$A$200,0),MATCH(Settings!$C$6,Elasticities!$F$3:$I$3,0))</f>
        <v/>
      </c>
      <c r="Q48" s="25">
        <f>INDEX(Elasticities!$F$4:$I$200,MATCH("aei|"&amp;$F48&amp;"|"&amp;$D48,Elasticities!$A$4:$A$200,0),MATCH(Settings!$C$6,Elasticities!$F$3:$I$3,0))</f>
        <v/>
      </c>
      <c r="R48" s="47" t="n">
        <v>0</v>
      </c>
      <c r="S48" s="36">
        <f>INDEX(Prices_dom!$A$6:$CU$2000,MATCH(Settings!$C$4&amp;Settings!$C$7,Prices_dom!$A$6:$A$2000,0),MATCH("mit.sp."&amp;$G48,Prices_dom!$A$5:$CU$5,0))/$I48</f>
        <v/>
      </c>
      <c r="T48" s="36">
        <f>(INDEX(Prices_dom!$A$6:$CU$2000,MATCH(Settings!$C$4&amp;Settings!$C$7,Prices_dom!$A$6:$A$2000,0),MATCH("mit.rp."&amp;$G48,Prices_dom!$A$5:$CU$5,0))-INDEX(Prices_dom!$A$6:$CU$2000,MATCH(Settings!$C$4&amp;Settings!$C$7,Prices_dom!$A$6:$A$2000,0),MATCH("mit.sp."&amp;$G48,Prices_dom!$A$5:$CU$5,0)))/$I48</f>
        <v/>
      </c>
      <c r="U48" s="48">
        <f>INDEX(EF_GHG!$E$4:$E$1000,MATCH(Settings!$C$4&amp;"|"&amp;$B48&amp;"|"&amp;$H48,EF_GHG!$A$4:$A$1000,0))</f>
        <v/>
      </c>
      <c r="V48" s="41">
        <f>INDEX(EnergyCons!$F$4:$F$5000,MATCH(Settings!$C$4&amp;"|"&amp;Settings!$C$7&amp;"|"&amp;$C48&amp;"|"&amp;$B48,EnergyCons!$A$4:$A$5000,0))</f>
        <v/>
      </c>
    </row>
    <row r="49">
      <c r="A49" s="5">
        <f>$B49&amp;"|"&amp;$C49</f>
        <v/>
      </c>
      <c r="B49" s="6" t="inlineStr">
        <is>
          <t>lpg</t>
        </is>
      </c>
      <c r="C49" s="6" t="inlineStr">
        <is>
          <t>foo</t>
        </is>
      </c>
      <c r="D49" s="5">
        <f>INDEX(Mapping!$D$5:$D$20,MATCH($C49,Mapping!$A$5:$A$20,0))</f>
        <v/>
      </c>
      <c r="E49" s="5">
        <f>INDEX(Mapping!$C$29:$C$36,MATCH($B49,Mapping!$A$29:$A$36,0))</f>
        <v/>
      </c>
      <c r="F49" s="5">
        <f>INDEX(Mapping!$D$29:$D$36,MATCH($B49,Mapping!$A$29:$A$36,0))</f>
        <v/>
      </c>
      <c r="G49" s="5">
        <f>$B49&amp;"."&amp;IF(INDEX(Mapping!$E$29:$E$36,MATCH($B49,Mapping!$A$29:$A$36,0))="sub",INDEX(Mapping!$F$5:$F$20,MATCH($C49,Mapping!$A$5:$A$20,0)),"all")</f>
        <v/>
      </c>
      <c r="H49" s="5">
        <f>INDEX(Mapping!$E$5:$E$20,MATCH($C49,Mapping!$A$5:$A$20,0))</f>
        <v/>
      </c>
      <c r="I49" s="5">
        <f>INDEX(Mapping!$G$29:$G$36,MATCH($B49,Mapping!$A$29:$A$36,0))</f>
        <v/>
      </c>
      <c r="J49" s="5">
        <f>INDEX(Mapping!$H$29:$H$36,MATCH($B49,Mapping!$A$29:$A$36,0))</f>
        <v/>
      </c>
      <c r="K49" s="5">
        <f>INDEX(Mapping!$H$5:$H$20,MATCH($C49,Mapping!$A$5:$A$20,0))</f>
        <v/>
      </c>
      <c r="L49" s="5">
        <f>INDEX(Mapping!$E$42:$E$55,MATCH($G49,Mapping!$A$42:$A$55,0))</f>
        <v/>
      </c>
      <c r="M49" s="5">
        <f>INDEX(Mapping!$D$59:$D$62,MATCH(INDEX(Mapping!$G$5:$G$20,MATCH($C49,Mapping!$A$5:$A$20,0)),Mapping!$A$59:$A$62,0))</f>
        <v/>
      </c>
      <c r="N49" s="31">
        <f>INDEX(Elasticities!$F$4:$I$200,MATCH("inc|"&amp;$E49&amp;"|"&amp;$D49,Elasticities!$A$4:$A$200,0),MATCH(Settings!$C$6,Elasticities!$F$3:$I$3,0))</f>
        <v/>
      </c>
      <c r="O49" s="31">
        <f>INDEX(Elasticities!$F$4:$I$200,MATCH("usg|"&amp;$E49&amp;"|"&amp;$D49,Elasticities!$A$4:$A$200,0),MATCH(Settings!$C$6,Elasticities!$F$3:$I$3,0))</f>
        <v/>
      </c>
      <c r="P49" s="31">
        <f>INDEX(Elasticities!$F$4:$I$200,MATCH("eff|"&amp;$E49&amp;"|"&amp;$D49,Elasticities!$A$4:$A$200,0),MATCH(Settings!$C$6,Elasticities!$F$3:$I$3,0))</f>
        <v/>
      </c>
      <c r="Q49" s="25">
        <f>INDEX(Elasticities!$F$4:$I$200,MATCH("aei|"&amp;$F49&amp;"|"&amp;$D49,Elasticities!$A$4:$A$200,0),MATCH(Settings!$C$6,Elasticities!$F$3:$I$3,0))</f>
        <v/>
      </c>
      <c r="R49" s="47" t="n">
        <v>0</v>
      </c>
      <c r="S49" s="36">
        <f>INDEX(Prices_dom!$A$6:$CU$2000,MATCH(Settings!$C$4&amp;Settings!$C$7,Prices_dom!$A$6:$A$2000,0),MATCH("mit.sp."&amp;$G49,Prices_dom!$A$5:$CU$5,0))/$I49</f>
        <v/>
      </c>
      <c r="T49" s="36">
        <f>(INDEX(Prices_dom!$A$6:$CU$2000,MATCH(Settings!$C$4&amp;Settings!$C$7,Prices_dom!$A$6:$A$2000,0),MATCH("mit.rp."&amp;$G49,Prices_dom!$A$5:$CU$5,0))-INDEX(Prices_dom!$A$6:$CU$2000,MATCH(Settings!$C$4&amp;Settings!$C$7,Prices_dom!$A$6:$A$2000,0),MATCH("mit.sp."&amp;$G49,Prices_dom!$A$5:$CU$5,0)))/$I49</f>
        <v/>
      </c>
      <c r="U49" s="48">
        <f>INDEX(EF_GHG!$E$4:$E$1000,MATCH(Settings!$C$4&amp;"|"&amp;$B49&amp;"|"&amp;$H49,EF_GHG!$A$4:$A$1000,0))</f>
        <v/>
      </c>
      <c r="V49" s="41">
        <f>INDEX(EnergyCons!$F$4:$F$5000,MATCH(Settings!$C$4&amp;"|"&amp;Settings!$C$7&amp;"|"&amp;$C49&amp;"|"&amp;$B49,EnergyCons!$A$4:$A$5000,0))</f>
        <v/>
      </c>
    </row>
    <row r="50">
      <c r="A50" s="5">
        <f>$B50&amp;"|"&amp;$C50</f>
        <v/>
      </c>
      <c r="B50" s="6" t="inlineStr">
        <is>
          <t>ker</t>
        </is>
      </c>
      <c r="C50" s="6" t="inlineStr">
        <is>
          <t>foo</t>
        </is>
      </c>
      <c r="D50" s="5">
        <f>INDEX(Mapping!$D$5:$D$20,MATCH($C50,Mapping!$A$5:$A$20,0))</f>
        <v/>
      </c>
      <c r="E50" s="5">
        <f>INDEX(Mapping!$C$29:$C$36,MATCH($B50,Mapping!$A$29:$A$36,0))</f>
        <v/>
      </c>
      <c r="F50" s="5">
        <f>INDEX(Mapping!$D$29:$D$36,MATCH($B50,Mapping!$A$29:$A$36,0))</f>
        <v/>
      </c>
      <c r="G50" s="5">
        <f>$B50&amp;"."&amp;IF(INDEX(Mapping!$E$29:$E$36,MATCH($B50,Mapping!$A$29:$A$36,0))="sub",INDEX(Mapping!$F$5:$F$20,MATCH($C50,Mapping!$A$5:$A$20,0)),"all")</f>
        <v/>
      </c>
      <c r="H50" s="5">
        <f>INDEX(Mapping!$E$5:$E$20,MATCH($C50,Mapping!$A$5:$A$20,0))</f>
        <v/>
      </c>
      <c r="I50" s="5">
        <f>INDEX(Mapping!$G$29:$G$36,MATCH($B50,Mapping!$A$29:$A$36,0))</f>
        <v/>
      </c>
      <c r="J50" s="5">
        <f>INDEX(Mapping!$H$29:$H$36,MATCH($B50,Mapping!$A$29:$A$36,0))</f>
        <v/>
      </c>
      <c r="K50" s="5">
        <f>INDEX(Mapping!$H$5:$H$20,MATCH($C50,Mapping!$A$5:$A$20,0))</f>
        <v/>
      </c>
      <c r="L50" s="5">
        <f>INDEX(Mapping!$E$42:$E$55,MATCH($G50,Mapping!$A$42:$A$55,0))</f>
        <v/>
      </c>
      <c r="M50" s="5">
        <f>INDEX(Mapping!$D$59:$D$62,MATCH(INDEX(Mapping!$G$5:$G$20,MATCH($C50,Mapping!$A$5:$A$20,0)),Mapping!$A$59:$A$62,0))</f>
        <v/>
      </c>
      <c r="N50" s="31">
        <f>INDEX(Elasticities!$F$4:$I$200,MATCH("inc|"&amp;$E50&amp;"|"&amp;$D50,Elasticities!$A$4:$A$200,0),MATCH(Settings!$C$6,Elasticities!$F$3:$I$3,0))</f>
        <v/>
      </c>
      <c r="O50" s="31">
        <f>INDEX(Elasticities!$F$4:$I$200,MATCH("usg|"&amp;$E50&amp;"|"&amp;$D50,Elasticities!$A$4:$A$200,0),MATCH(Settings!$C$6,Elasticities!$F$3:$I$3,0))</f>
        <v/>
      </c>
      <c r="P50" s="31">
        <f>INDEX(Elasticities!$F$4:$I$200,MATCH("eff|"&amp;$E50&amp;"|"&amp;$D50,Elasticities!$A$4:$A$200,0),MATCH(Settings!$C$6,Elasticities!$F$3:$I$3,0))</f>
        <v/>
      </c>
      <c r="Q50" s="25">
        <f>INDEX(Elasticities!$F$4:$I$200,MATCH("aei|"&amp;$F50&amp;"|"&amp;$D50,Elasticities!$A$4:$A$200,0),MATCH(Settings!$C$6,Elasticities!$F$3:$I$3,0))</f>
        <v/>
      </c>
      <c r="R50" s="47" t="n">
        <v>0</v>
      </c>
      <c r="S50" s="36">
        <f>INDEX(Prices_dom!$A$6:$CU$2000,MATCH(Settings!$C$4&amp;Settings!$C$7,Prices_dom!$A$6:$A$2000,0),MATCH("mit.sp."&amp;$G50,Prices_dom!$A$5:$CU$5,0))/$I50</f>
        <v/>
      </c>
      <c r="T50" s="36">
        <f>(INDEX(Prices_dom!$A$6:$CU$2000,MATCH(Settings!$C$4&amp;Settings!$C$7,Prices_dom!$A$6:$A$2000,0),MATCH("mit.rp."&amp;$G50,Prices_dom!$A$5:$CU$5,0))-INDEX(Prices_dom!$A$6:$CU$2000,MATCH(Settings!$C$4&amp;Settings!$C$7,Prices_dom!$A$6:$A$2000,0),MATCH("mit.sp."&amp;$G50,Prices_dom!$A$5:$CU$5,0)))/$I50</f>
        <v/>
      </c>
      <c r="U50" s="48">
        <f>INDEX(EF_GHG!$E$4:$E$1000,MATCH(Settings!$C$4&amp;"|"&amp;$B50&amp;"|"&amp;$H50,EF_GHG!$A$4:$A$1000,0))</f>
        <v/>
      </c>
      <c r="V50" s="41">
        <f>INDEX(EnergyCons!$F$4:$F$5000,MATCH(Settings!$C$4&amp;"|"&amp;Settings!$C$7&amp;"|"&amp;$C50&amp;"|"&amp;$B50,EnergyCons!$A$4:$A$5000,0))</f>
        <v/>
      </c>
    </row>
    <row r="51">
      <c r="A51" s="5">
        <f>$B51&amp;"|"&amp;$C51</f>
        <v/>
      </c>
      <c r="B51" s="6" t="inlineStr">
        <is>
          <t>oop</t>
        </is>
      </c>
      <c r="C51" s="6" t="inlineStr">
        <is>
          <t>foo</t>
        </is>
      </c>
      <c r="D51" s="5">
        <f>INDEX(Mapping!$D$5:$D$20,MATCH($C51,Mapping!$A$5:$A$20,0))</f>
        <v/>
      </c>
      <c r="E51" s="5">
        <f>INDEX(Mapping!$C$29:$C$36,MATCH($B51,Mapping!$A$29:$A$36,0))</f>
        <v/>
      </c>
      <c r="F51" s="5">
        <f>INDEX(Mapping!$D$29:$D$36,MATCH($B51,Mapping!$A$29:$A$36,0))</f>
        <v/>
      </c>
      <c r="G51" s="5">
        <f>$B51&amp;"."&amp;IF(INDEX(Mapping!$E$29:$E$36,MATCH($B51,Mapping!$A$29:$A$36,0))="sub",INDEX(Mapping!$F$5:$F$20,MATCH($C51,Mapping!$A$5:$A$20,0)),"all")</f>
        <v/>
      </c>
      <c r="H51" s="5">
        <f>INDEX(Mapping!$E$5:$E$20,MATCH($C51,Mapping!$A$5:$A$20,0))</f>
        <v/>
      </c>
      <c r="I51" s="5">
        <f>INDEX(Mapping!$G$29:$G$36,MATCH($B51,Mapping!$A$29:$A$36,0))</f>
        <v/>
      </c>
      <c r="J51" s="5">
        <f>INDEX(Mapping!$H$29:$H$36,MATCH($B51,Mapping!$A$29:$A$36,0))</f>
        <v/>
      </c>
      <c r="K51" s="5">
        <f>INDEX(Mapping!$H$5:$H$20,MATCH($C51,Mapping!$A$5:$A$20,0))</f>
        <v/>
      </c>
      <c r="L51" s="5">
        <f>INDEX(Mapping!$E$42:$E$55,MATCH($G51,Mapping!$A$42:$A$55,0))</f>
        <v/>
      </c>
      <c r="M51" s="5">
        <f>INDEX(Mapping!$D$59:$D$62,MATCH(INDEX(Mapping!$G$5:$G$20,MATCH($C51,Mapping!$A$5:$A$20,0)),Mapping!$A$59:$A$62,0))</f>
        <v/>
      </c>
      <c r="N51" s="31">
        <f>INDEX(Elasticities!$F$4:$I$200,MATCH("inc|"&amp;$E51&amp;"|"&amp;$D51,Elasticities!$A$4:$A$200,0),MATCH(Settings!$C$6,Elasticities!$F$3:$I$3,0))</f>
        <v/>
      </c>
      <c r="O51" s="31">
        <f>INDEX(Elasticities!$F$4:$I$200,MATCH("usg|"&amp;$E51&amp;"|"&amp;$D51,Elasticities!$A$4:$A$200,0),MATCH(Settings!$C$6,Elasticities!$F$3:$I$3,0))</f>
        <v/>
      </c>
      <c r="P51" s="31">
        <f>INDEX(Elasticities!$F$4:$I$200,MATCH("eff|"&amp;$E51&amp;"|"&amp;$D51,Elasticities!$A$4:$A$200,0),MATCH(Settings!$C$6,Elasticities!$F$3:$I$3,0))</f>
        <v/>
      </c>
      <c r="Q51" s="25">
        <f>INDEX(Elasticities!$F$4:$I$200,MATCH("aei|"&amp;$F51&amp;"|"&amp;$D51,Elasticities!$A$4:$A$200,0),MATCH(Settings!$C$6,Elasticities!$F$3:$I$3,0))</f>
        <v/>
      </c>
      <c r="R51" s="47" t="n">
        <v>0</v>
      </c>
      <c r="S51" s="36">
        <f>INDEX(Prices_dom!$A$6:$CU$2000,MATCH(Settings!$C$4&amp;Settings!$C$7,Prices_dom!$A$6:$A$2000,0),MATCH("mit.sp."&amp;$G51,Prices_dom!$A$5:$CU$5,0))/$I51</f>
        <v/>
      </c>
      <c r="T51" s="36">
        <f>(INDEX(Prices_dom!$A$6:$CU$2000,MATCH(Settings!$C$4&amp;Settings!$C$7,Prices_dom!$A$6:$A$2000,0),MATCH("mit.rp."&amp;$G51,Prices_dom!$A$5:$CU$5,0))-INDEX(Prices_dom!$A$6:$CU$2000,MATCH(Settings!$C$4&amp;Settings!$C$7,Prices_dom!$A$6:$A$2000,0),MATCH("mit.sp."&amp;$G51,Prices_dom!$A$5:$CU$5,0)))/$I51</f>
        <v/>
      </c>
      <c r="U51" s="48">
        <f>INDEX(EF_GHG!$E$4:$E$1000,MATCH(Settings!$C$4&amp;"|"&amp;$B51&amp;"|"&amp;$H51,EF_GHG!$A$4:$A$1000,0))</f>
        <v/>
      </c>
      <c r="V51" s="41">
        <f>INDEX(EnergyCons!$F$4:$F$5000,MATCH(Settings!$C$4&amp;"|"&amp;Settings!$C$7&amp;"|"&amp;$C51&amp;"|"&amp;$B51,EnergyCons!$A$4:$A$5000,0))</f>
        <v/>
      </c>
    </row>
    <row r="52">
      <c r="A52" s="5">
        <f>$B52&amp;"|"&amp;$C52</f>
        <v/>
      </c>
      <c r="B52" s="6" t="inlineStr">
        <is>
          <t>bio</t>
        </is>
      </c>
      <c r="C52" s="6" t="inlineStr">
        <is>
          <t>foo</t>
        </is>
      </c>
      <c r="D52" s="5">
        <f>INDEX(Mapping!$D$5:$D$20,MATCH($C52,Mapping!$A$5:$A$20,0))</f>
        <v/>
      </c>
      <c r="E52" s="5">
        <f>INDEX(Mapping!$C$29:$C$36,MATCH($B52,Mapping!$A$29:$A$36,0))</f>
        <v/>
      </c>
      <c r="F52" s="5">
        <f>INDEX(Mapping!$D$29:$D$36,MATCH($B52,Mapping!$A$29:$A$36,0))</f>
        <v/>
      </c>
      <c r="G52" s="5">
        <f>$B52&amp;"."&amp;IF(INDEX(Mapping!$E$29:$E$36,MATCH($B52,Mapping!$A$29:$A$36,0))="sub",INDEX(Mapping!$F$5:$F$20,MATCH($C52,Mapping!$A$5:$A$20,0)),"all")</f>
        <v/>
      </c>
      <c r="H52" s="5">
        <f>INDEX(Mapping!$E$5:$E$20,MATCH($C52,Mapping!$A$5:$A$20,0))</f>
        <v/>
      </c>
      <c r="I52" s="5">
        <f>INDEX(Mapping!$G$29:$G$36,MATCH($B52,Mapping!$A$29:$A$36,0))</f>
        <v/>
      </c>
      <c r="J52" s="5">
        <f>INDEX(Mapping!$H$29:$H$36,MATCH($B52,Mapping!$A$29:$A$36,0))</f>
        <v/>
      </c>
      <c r="K52" s="5">
        <f>INDEX(Mapping!$H$5:$H$20,MATCH($C52,Mapping!$A$5:$A$20,0))</f>
        <v/>
      </c>
      <c r="L52" s="5">
        <f>INDEX(Mapping!$E$42:$E$55,MATCH($G52,Mapping!$A$42:$A$55,0))</f>
        <v/>
      </c>
      <c r="M52" s="5">
        <f>INDEX(Mapping!$D$59:$D$62,MATCH(INDEX(Mapping!$G$5:$G$20,MATCH($C52,Mapping!$A$5:$A$20,0)),Mapping!$A$59:$A$62,0))</f>
        <v/>
      </c>
      <c r="N52" s="31">
        <f>INDEX(Elasticities!$F$4:$I$200,MATCH("inc|"&amp;$E52&amp;"|"&amp;$D52,Elasticities!$A$4:$A$200,0),MATCH(Settings!$C$6,Elasticities!$F$3:$I$3,0))</f>
        <v/>
      </c>
      <c r="O52" s="31">
        <f>INDEX(Elasticities!$F$4:$I$200,MATCH("usg|"&amp;$E52&amp;"|"&amp;$D52,Elasticities!$A$4:$A$200,0),MATCH(Settings!$C$6,Elasticities!$F$3:$I$3,0))</f>
        <v/>
      </c>
      <c r="P52" s="31">
        <f>INDEX(Elasticities!$F$4:$I$200,MATCH("eff|"&amp;$E52&amp;"|"&amp;$D52,Elasticities!$A$4:$A$200,0),MATCH(Settings!$C$6,Elasticities!$F$3:$I$3,0))</f>
        <v/>
      </c>
      <c r="Q52" s="25">
        <f>INDEX(Elasticities!$F$4:$I$200,MATCH("aei|"&amp;$F52&amp;"|"&amp;$D52,Elasticities!$A$4:$A$200,0),MATCH(Settings!$C$6,Elasticities!$F$3:$I$3,0))</f>
        <v/>
      </c>
      <c r="R52" s="47" t="n">
        <v>0</v>
      </c>
      <c r="S52" s="36">
        <f>INDEX(Prices_dom!$A$6:$CU$2000,MATCH(Settings!$C$4&amp;Settings!$C$7,Prices_dom!$A$6:$A$2000,0),MATCH("mit.sp."&amp;$G52,Prices_dom!$A$5:$CU$5,0))/$I52</f>
        <v/>
      </c>
      <c r="T52" s="36">
        <f>(INDEX(Prices_dom!$A$6:$CU$2000,MATCH(Settings!$C$4&amp;Settings!$C$7,Prices_dom!$A$6:$A$2000,0),MATCH("mit.rp."&amp;$G52,Prices_dom!$A$5:$CU$5,0))-INDEX(Prices_dom!$A$6:$CU$2000,MATCH(Settings!$C$4&amp;Settings!$C$7,Prices_dom!$A$6:$A$2000,0),MATCH("mit.sp."&amp;$G52,Prices_dom!$A$5:$CU$5,0)))/$I52</f>
        <v/>
      </c>
      <c r="U52" s="48">
        <f>INDEX(EF_GHG!$E$4:$E$1000,MATCH(Settings!$C$4&amp;"|"&amp;$B52&amp;"|"&amp;$H52,EF_GHG!$A$4:$A$1000,0))</f>
        <v/>
      </c>
      <c r="V52" s="41">
        <f>INDEX(EnergyCons!$F$4:$F$5000,MATCH(Settings!$C$4&amp;"|"&amp;Settings!$C$7&amp;"|"&amp;$C52&amp;"|"&amp;$B52,EnergyCons!$A$4:$A$5000,0))</f>
        <v/>
      </c>
    </row>
    <row r="53">
      <c r="A53" s="5">
        <f>$B53&amp;"|"&amp;$C53</f>
        <v/>
      </c>
      <c r="B53" s="6" t="inlineStr">
        <is>
          <t>coa</t>
        </is>
      </c>
      <c r="C53" s="6" t="inlineStr">
        <is>
          <t>srv</t>
        </is>
      </c>
      <c r="D53" s="5">
        <f>INDEX(Mapping!$D$5:$D$20,MATCH($C53,Mapping!$A$5:$A$20,0))</f>
        <v/>
      </c>
      <c r="E53" s="5">
        <f>INDEX(Mapping!$C$29:$C$36,MATCH($B53,Mapping!$A$29:$A$36,0))</f>
        <v/>
      </c>
      <c r="F53" s="5">
        <f>INDEX(Mapping!$D$29:$D$36,MATCH($B53,Mapping!$A$29:$A$36,0))</f>
        <v/>
      </c>
      <c r="G53" s="5">
        <f>$B53&amp;"."&amp;IF(INDEX(Mapping!$E$29:$E$36,MATCH($B53,Mapping!$A$29:$A$36,0))="sub",INDEX(Mapping!$F$5:$F$20,MATCH($C53,Mapping!$A$5:$A$20,0)),"all")</f>
        <v/>
      </c>
      <c r="H53" s="5">
        <f>INDEX(Mapping!$E$5:$E$20,MATCH($C53,Mapping!$A$5:$A$20,0))</f>
        <v/>
      </c>
      <c r="I53" s="5">
        <f>INDEX(Mapping!$G$29:$G$36,MATCH($B53,Mapping!$A$29:$A$36,0))</f>
        <v/>
      </c>
      <c r="J53" s="5">
        <f>INDEX(Mapping!$H$29:$H$36,MATCH($B53,Mapping!$A$29:$A$36,0))</f>
        <v/>
      </c>
      <c r="K53" s="5">
        <f>INDEX(Mapping!$H$5:$H$20,MATCH($C53,Mapping!$A$5:$A$20,0))</f>
        <v/>
      </c>
      <c r="L53" s="5">
        <f>INDEX(Mapping!$E$42:$E$55,MATCH($G53,Mapping!$A$42:$A$55,0))</f>
        <v/>
      </c>
      <c r="M53" s="5">
        <f>INDEX(Mapping!$D$59:$D$62,MATCH(INDEX(Mapping!$G$5:$G$20,MATCH($C53,Mapping!$A$5:$A$20,0)),Mapping!$A$59:$A$62,0))</f>
        <v/>
      </c>
      <c r="N53" s="31">
        <f>INDEX(Elasticities!$F$4:$I$200,MATCH("inc|"&amp;$E53&amp;"|"&amp;$D53,Elasticities!$A$4:$A$200,0),MATCH(Settings!$C$6,Elasticities!$F$3:$I$3,0))</f>
        <v/>
      </c>
      <c r="O53" s="31">
        <f>INDEX(Elasticities!$F$4:$I$200,MATCH("usg|"&amp;$E53&amp;"|"&amp;$D53,Elasticities!$A$4:$A$200,0),MATCH(Settings!$C$6,Elasticities!$F$3:$I$3,0))</f>
        <v/>
      </c>
      <c r="P53" s="31">
        <f>INDEX(Elasticities!$F$4:$I$200,MATCH("eff|"&amp;$E53&amp;"|"&amp;$D53,Elasticities!$A$4:$A$200,0),MATCH(Settings!$C$6,Elasticities!$F$3:$I$3,0))</f>
        <v/>
      </c>
      <c r="Q53" s="25">
        <f>INDEX(Elasticities!$F$4:$I$200,MATCH("aei|"&amp;$F53&amp;"|"&amp;$D53,Elasticities!$A$4:$A$200,0),MATCH(Settings!$C$6,Elasticities!$F$3:$I$3,0))</f>
        <v/>
      </c>
      <c r="R53" s="47" t="n">
        <v>0</v>
      </c>
      <c r="S53" s="36">
        <f>INDEX(Prices_dom!$A$6:$CU$2000,MATCH(Settings!$C$4&amp;Settings!$C$7,Prices_dom!$A$6:$A$2000,0),MATCH("mit.sp."&amp;$G53,Prices_dom!$A$5:$CU$5,0))/$I53</f>
        <v/>
      </c>
      <c r="T53" s="36">
        <f>(INDEX(Prices_dom!$A$6:$CU$2000,MATCH(Settings!$C$4&amp;Settings!$C$7,Prices_dom!$A$6:$A$2000,0),MATCH("mit.rp."&amp;$G53,Prices_dom!$A$5:$CU$5,0))-INDEX(Prices_dom!$A$6:$CU$2000,MATCH(Settings!$C$4&amp;Settings!$C$7,Prices_dom!$A$6:$A$2000,0),MATCH("mit.sp."&amp;$G53,Prices_dom!$A$5:$CU$5,0)))/$I53</f>
        <v/>
      </c>
      <c r="U53" s="48">
        <f>INDEX(EF_GHG!$E$4:$E$1000,MATCH(Settings!$C$4&amp;"|"&amp;$B53&amp;"|"&amp;$H53,EF_GHG!$A$4:$A$1000,0))</f>
        <v/>
      </c>
      <c r="V53" s="41">
        <f>INDEX(EnergyCons!$F$4:$F$5000,MATCH(Settings!$C$4&amp;"|"&amp;Settings!$C$7&amp;"|"&amp;$C53&amp;"|"&amp;$B53,EnergyCons!$A$4:$A$5000,0))</f>
        <v/>
      </c>
    </row>
    <row r="54">
      <c r="A54" s="5">
        <f>$B54&amp;"|"&amp;$C54</f>
        <v/>
      </c>
      <c r="B54" s="6" t="inlineStr">
        <is>
          <t>nga</t>
        </is>
      </c>
      <c r="C54" s="6" t="inlineStr">
        <is>
          <t>srv</t>
        </is>
      </c>
      <c r="D54" s="5">
        <f>INDEX(Mapping!$D$5:$D$20,MATCH($C54,Mapping!$A$5:$A$20,0))</f>
        <v/>
      </c>
      <c r="E54" s="5">
        <f>INDEX(Mapping!$C$29:$C$36,MATCH($B54,Mapping!$A$29:$A$36,0))</f>
        <v/>
      </c>
      <c r="F54" s="5">
        <f>INDEX(Mapping!$D$29:$D$36,MATCH($B54,Mapping!$A$29:$A$36,0))</f>
        <v/>
      </c>
      <c r="G54" s="5">
        <f>$B54&amp;"."&amp;IF(INDEX(Mapping!$E$29:$E$36,MATCH($B54,Mapping!$A$29:$A$36,0))="sub",INDEX(Mapping!$F$5:$F$20,MATCH($C54,Mapping!$A$5:$A$20,0)),"all")</f>
        <v/>
      </c>
      <c r="H54" s="5">
        <f>INDEX(Mapping!$E$5:$E$20,MATCH($C54,Mapping!$A$5:$A$20,0))</f>
        <v/>
      </c>
      <c r="I54" s="5">
        <f>INDEX(Mapping!$G$29:$G$36,MATCH($B54,Mapping!$A$29:$A$36,0))</f>
        <v/>
      </c>
      <c r="J54" s="5">
        <f>INDEX(Mapping!$H$29:$H$36,MATCH($B54,Mapping!$A$29:$A$36,0))</f>
        <v/>
      </c>
      <c r="K54" s="5">
        <f>INDEX(Mapping!$H$5:$H$20,MATCH($C54,Mapping!$A$5:$A$20,0))</f>
        <v/>
      </c>
      <c r="L54" s="5">
        <f>INDEX(Mapping!$E$42:$E$55,MATCH($G54,Mapping!$A$42:$A$55,0))</f>
        <v/>
      </c>
      <c r="M54" s="5">
        <f>INDEX(Mapping!$D$59:$D$62,MATCH(INDEX(Mapping!$G$5:$G$20,MATCH($C54,Mapping!$A$5:$A$20,0)),Mapping!$A$59:$A$62,0))</f>
        <v/>
      </c>
      <c r="N54" s="31">
        <f>INDEX(Elasticities!$F$4:$I$200,MATCH("inc|"&amp;$E54&amp;"|"&amp;$D54,Elasticities!$A$4:$A$200,0),MATCH(Settings!$C$6,Elasticities!$F$3:$I$3,0))</f>
        <v/>
      </c>
      <c r="O54" s="31">
        <f>INDEX(Elasticities!$F$4:$I$200,MATCH("usg|"&amp;$E54&amp;"|"&amp;$D54,Elasticities!$A$4:$A$200,0),MATCH(Settings!$C$6,Elasticities!$F$3:$I$3,0))</f>
        <v/>
      </c>
      <c r="P54" s="31">
        <f>INDEX(Elasticities!$F$4:$I$200,MATCH("eff|"&amp;$E54&amp;"|"&amp;$D54,Elasticities!$A$4:$A$200,0),MATCH(Settings!$C$6,Elasticities!$F$3:$I$3,0))</f>
        <v/>
      </c>
      <c r="Q54" s="25">
        <f>INDEX(Elasticities!$F$4:$I$200,MATCH("aei|"&amp;$F54&amp;"|"&amp;$D54,Elasticities!$A$4:$A$200,0),MATCH(Settings!$C$6,Elasticities!$F$3:$I$3,0))</f>
        <v/>
      </c>
      <c r="R54" s="47" t="n">
        <v>0</v>
      </c>
      <c r="S54" s="36">
        <f>INDEX(Prices_dom!$A$6:$CU$2000,MATCH(Settings!$C$4&amp;Settings!$C$7,Prices_dom!$A$6:$A$2000,0),MATCH("mit.sp."&amp;$G54,Prices_dom!$A$5:$CU$5,0))/$I54</f>
        <v/>
      </c>
      <c r="T54" s="36">
        <f>(INDEX(Prices_dom!$A$6:$CU$2000,MATCH(Settings!$C$4&amp;Settings!$C$7,Prices_dom!$A$6:$A$2000,0),MATCH("mit.rp."&amp;$G54,Prices_dom!$A$5:$CU$5,0))-INDEX(Prices_dom!$A$6:$CU$2000,MATCH(Settings!$C$4&amp;Settings!$C$7,Prices_dom!$A$6:$A$2000,0),MATCH("mit.sp."&amp;$G54,Prices_dom!$A$5:$CU$5,0)))/$I54</f>
        <v/>
      </c>
      <c r="U54" s="48">
        <f>INDEX(EF_GHG!$E$4:$E$1000,MATCH(Settings!$C$4&amp;"|"&amp;$B54&amp;"|"&amp;$H54,EF_GHG!$A$4:$A$1000,0))</f>
        <v/>
      </c>
      <c r="V54" s="41">
        <f>INDEX(EnergyCons!$F$4:$F$5000,MATCH(Settings!$C$4&amp;"|"&amp;Settings!$C$7&amp;"|"&amp;$C54&amp;"|"&amp;$B54,EnergyCons!$A$4:$A$5000,0))</f>
        <v/>
      </c>
    </row>
    <row r="55">
      <c r="A55" s="5">
        <f>$B55&amp;"|"&amp;$C55</f>
        <v/>
      </c>
      <c r="B55" s="6" t="inlineStr">
        <is>
          <t>gso</t>
        </is>
      </c>
      <c r="C55" s="6" t="inlineStr">
        <is>
          <t>srv</t>
        </is>
      </c>
      <c r="D55" s="5">
        <f>INDEX(Mapping!$D$5:$D$20,MATCH($C55,Mapping!$A$5:$A$20,0))</f>
        <v/>
      </c>
      <c r="E55" s="5">
        <f>INDEX(Mapping!$C$29:$C$36,MATCH($B55,Mapping!$A$29:$A$36,0))</f>
        <v/>
      </c>
      <c r="F55" s="5">
        <f>INDEX(Mapping!$D$29:$D$36,MATCH($B55,Mapping!$A$29:$A$36,0))</f>
        <v/>
      </c>
      <c r="G55" s="5">
        <f>$B55&amp;"."&amp;IF(INDEX(Mapping!$E$29:$E$36,MATCH($B55,Mapping!$A$29:$A$36,0))="sub",INDEX(Mapping!$F$5:$F$20,MATCH($C55,Mapping!$A$5:$A$20,0)),"all")</f>
        <v/>
      </c>
      <c r="H55" s="5">
        <f>INDEX(Mapping!$E$5:$E$20,MATCH($C55,Mapping!$A$5:$A$20,0))</f>
        <v/>
      </c>
      <c r="I55" s="5">
        <f>INDEX(Mapping!$G$29:$G$36,MATCH($B55,Mapping!$A$29:$A$36,0))</f>
        <v/>
      </c>
      <c r="J55" s="5">
        <f>INDEX(Mapping!$H$29:$H$36,MATCH($B55,Mapping!$A$29:$A$36,0))</f>
        <v/>
      </c>
      <c r="K55" s="5">
        <f>INDEX(Mapping!$H$5:$H$20,MATCH($C55,Mapping!$A$5:$A$20,0))</f>
        <v/>
      </c>
      <c r="L55" s="5">
        <f>INDEX(Mapping!$E$42:$E$55,MATCH($G55,Mapping!$A$42:$A$55,0))</f>
        <v/>
      </c>
      <c r="M55" s="5">
        <f>INDEX(Mapping!$D$59:$D$62,MATCH(INDEX(Mapping!$G$5:$G$20,MATCH($C55,Mapping!$A$5:$A$20,0)),Mapping!$A$59:$A$62,0))</f>
        <v/>
      </c>
      <c r="N55" s="31">
        <f>INDEX(Elasticities!$F$4:$I$200,MATCH("inc|"&amp;$E55&amp;"|"&amp;$D55,Elasticities!$A$4:$A$200,0),MATCH(Settings!$C$6,Elasticities!$F$3:$I$3,0))</f>
        <v/>
      </c>
      <c r="O55" s="31">
        <f>INDEX(Elasticities!$F$4:$I$200,MATCH("usg|"&amp;$E55&amp;"|"&amp;$D55,Elasticities!$A$4:$A$200,0),MATCH(Settings!$C$6,Elasticities!$F$3:$I$3,0))</f>
        <v/>
      </c>
      <c r="P55" s="31">
        <f>INDEX(Elasticities!$F$4:$I$200,MATCH("eff|"&amp;$E55&amp;"|"&amp;$D55,Elasticities!$A$4:$A$200,0),MATCH(Settings!$C$6,Elasticities!$F$3:$I$3,0))</f>
        <v/>
      </c>
      <c r="Q55" s="25">
        <f>INDEX(Elasticities!$F$4:$I$200,MATCH("aei|"&amp;$F55&amp;"|"&amp;$D55,Elasticities!$A$4:$A$200,0),MATCH(Settings!$C$6,Elasticities!$F$3:$I$3,0))</f>
        <v/>
      </c>
      <c r="R55" s="47" t="n">
        <v>0</v>
      </c>
      <c r="S55" s="36">
        <f>INDEX(Prices_dom!$A$6:$CU$2000,MATCH(Settings!$C$4&amp;Settings!$C$7,Prices_dom!$A$6:$A$2000,0),MATCH("mit.sp."&amp;$G55,Prices_dom!$A$5:$CU$5,0))/$I55</f>
        <v/>
      </c>
      <c r="T55" s="36">
        <f>(INDEX(Prices_dom!$A$6:$CU$2000,MATCH(Settings!$C$4&amp;Settings!$C$7,Prices_dom!$A$6:$A$2000,0),MATCH("mit.rp."&amp;$G55,Prices_dom!$A$5:$CU$5,0))-INDEX(Prices_dom!$A$6:$CU$2000,MATCH(Settings!$C$4&amp;Settings!$C$7,Prices_dom!$A$6:$A$2000,0),MATCH("mit.sp."&amp;$G55,Prices_dom!$A$5:$CU$5,0)))/$I55</f>
        <v/>
      </c>
      <c r="U55" s="48">
        <f>INDEX(EF_GHG!$E$4:$E$1000,MATCH(Settings!$C$4&amp;"|"&amp;$B55&amp;"|"&amp;$H55,EF_GHG!$A$4:$A$1000,0))</f>
        <v/>
      </c>
      <c r="V55" s="41">
        <f>INDEX(EnergyCons!$F$4:$F$5000,MATCH(Settings!$C$4&amp;"|"&amp;Settings!$C$7&amp;"|"&amp;$C55&amp;"|"&amp;$B55,EnergyCons!$A$4:$A$5000,0))</f>
        <v/>
      </c>
    </row>
    <row r="56">
      <c r="A56" s="5">
        <f>$B56&amp;"|"&amp;$C56</f>
        <v/>
      </c>
      <c r="B56" s="6" t="inlineStr">
        <is>
          <t>die</t>
        </is>
      </c>
      <c r="C56" s="6" t="inlineStr">
        <is>
          <t>srv</t>
        </is>
      </c>
      <c r="D56" s="5">
        <f>INDEX(Mapping!$D$5:$D$20,MATCH($C56,Mapping!$A$5:$A$20,0))</f>
        <v/>
      </c>
      <c r="E56" s="5">
        <f>INDEX(Mapping!$C$29:$C$36,MATCH($B56,Mapping!$A$29:$A$36,0))</f>
        <v/>
      </c>
      <c r="F56" s="5">
        <f>INDEX(Mapping!$D$29:$D$36,MATCH($B56,Mapping!$A$29:$A$36,0))</f>
        <v/>
      </c>
      <c r="G56" s="5">
        <f>$B56&amp;"."&amp;IF(INDEX(Mapping!$E$29:$E$36,MATCH($B56,Mapping!$A$29:$A$36,0))="sub",INDEX(Mapping!$F$5:$F$20,MATCH($C56,Mapping!$A$5:$A$20,0)),"all")</f>
        <v/>
      </c>
      <c r="H56" s="5">
        <f>INDEX(Mapping!$E$5:$E$20,MATCH($C56,Mapping!$A$5:$A$20,0))</f>
        <v/>
      </c>
      <c r="I56" s="5">
        <f>INDEX(Mapping!$G$29:$G$36,MATCH($B56,Mapping!$A$29:$A$36,0))</f>
        <v/>
      </c>
      <c r="J56" s="5">
        <f>INDEX(Mapping!$H$29:$H$36,MATCH($B56,Mapping!$A$29:$A$36,0))</f>
        <v/>
      </c>
      <c r="K56" s="5">
        <f>INDEX(Mapping!$H$5:$H$20,MATCH($C56,Mapping!$A$5:$A$20,0))</f>
        <v/>
      </c>
      <c r="L56" s="5">
        <f>INDEX(Mapping!$E$42:$E$55,MATCH($G56,Mapping!$A$42:$A$55,0))</f>
        <v/>
      </c>
      <c r="M56" s="5">
        <f>INDEX(Mapping!$D$59:$D$62,MATCH(INDEX(Mapping!$G$5:$G$20,MATCH($C56,Mapping!$A$5:$A$20,0)),Mapping!$A$59:$A$62,0))</f>
        <v/>
      </c>
      <c r="N56" s="31">
        <f>INDEX(Elasticities!$F$4:$I$200,MATCH("inc|"&amp;$E56&amp;"|"&amp;$D56,Elasticities!$A$4:$A$200,0),MATCH(Settings!$C$6,Elasticities!$F$3:$I$3,0))</f>
        <v/>
      </c>
      <c r="O56" s="31">
        <f>INDEX(Elasticities!$F$4:$I$200,MATCH("usg|"&amp;$E56&amp;"|"&amp;$D56,Elasticities!$A$4:$A$200,0),MATCH(Settings!$C$6,Elasticities!$F$3:$I$3,0))</f>
        <v/>
      </c>
      <c r="P56" s="31">
        <f>INDEX(Elasticities!$F$4:$I$200,MATCH("eff|"&amp;$E56&amp;"|"&amp;$D56,Elasticities!$A$4:$A$200,0),MATCH(Settings!$C$6,Elasticities!$F$3:$I$3,0))</f>
        <v/>
      </c>
      <c r="Q56" s="25">
        <f>INDEX(Elasticities!$F$4:$I$200,MATCH("aei|"&amp;$F56&amp;"|"&amp;$D56,Elasticities!$A$4:$A$200,0),MATCH(Settings!$C$6,Elasticities!$F$3:$I$3,0))</f>
        <v/>
      </c>
      <c r="R56" s="47" t="n">
        <v>0</v>
      </c>
      <c r="S56" s="36">
        <f>INDEX(Prices_dom!$A$6:$CU$2000,MATCH(Settings!$C$4&amp;Settings!$C$7,Prices_dom!$A$6:$A$2000,0),MATCH("mit.sp."&amp;$G56,Prices_dom!$A$5:$CU$5,0))/$I56</f>
        <v/>
      </c>
      <c r="T56" s="36">
        <f>(INDEX(Prices_dom!$A$6:$CU$2000,MATCH(Settings!$C$4&amp;Settings!$C$7,Prices_dom!$A$6:$A$2000,0),MATCH("mit.rp."&amp;$G56,Prices_dom!$A$5:$CU$5,0))-INDEX(Prices_dom!$A$6:$CU$2000,MATCH(Settings!$C$4&amp;Settings!$C$7,Prices_dom!$A$6:$A$2000,0),MATCH("mit.sp."&amp;$G56,Prices_dom!$A$5:$CU$5,0)))/$I56</f>
        <v/>
      </c>
      <c r="U56" s="48">
        <f>INDEX(EF_GHG!$E$4:$E$1000,MATCH(Settings!$C$4&amp;"|"&amp;$B56&amp;"|"&amp;$H56,EF_GHG!$A$4:$A$1000,0))</f>
        <v/>
      </c>
      <c r="V56" s="41">
        <f>INDEX(EnergyCons!$F$4:$F$5000,MATCH(Settings!$C$4&amp;"|"&amp;Settings!$C$7&amp;"|"&amp;$C56&amp;"|"&amp;$B56,EnergyCons!$A$4:$A$5000,0))</f>
        <v/>
      </c>
    </row>
    <row r="57">
      <c r="A57" s="5">
        <f>$B57&amp;"|"&amp;$C57</f>
        <v/>
      </c>
      <c r="B57" s="6" t="inlineStr">
        <is>
          <t>lpg</t>
        </is>
      </c>
      <c r="C57" s="6" t="inlineStr">
        <is>
          <t>srv</t>
        </is>
      </c>
      <c r="D57" s="5">
        <f>INDEX(Mapping!$D$5:$D$20,MATCH($C57,Mapping!$A$5:$A$20,0))</f>
        <v/>
      </c>
      <c r="E57" s="5">
        <f>INDEX(Mapping!$C$29:$C$36,MATCH($B57,Mapping!$A$29:$A$36,0))</f>
        <v/>
      </c>
      <c r="F57" s="5">
        <f>INDEX(Mapping!$D$29:$D$36,MATCH($B57,Mapping!$A$29:$A$36,0))</f>
        <v/>
      </c>
      <c r="G57" s="5">
        <f>$B57&amp;"."&amp;IF(INDEX(Mapping!$E$29:$E$36,MATCH($B57,Mapping!$A$29:$A$36,0))="sub",INDEX(Mapping!$F$5:$F$20,MATCH($C57,Mapping!$A$5:$A$20,0)),"all")</f>
        <v/>
      </c>
      <c r="H57" s="5">
        <f>INDEX(Mapping!$E$5:$E$20,MATCH($C57,Mapping!$A$5:$A$20,0))</f>
        <v/>
      </c>
      <c r="I57" s="5">
        <f>INDEX(Mapping!$G$29:$G$36,MATCH($B57,Mapping!$A$29:$A$36,0))</f>
        <v/>
      </c>
      <c r="J57" s="5">
        <f>INDEX(Mapping!$H$29:$H$36,MATCH($B57,Mapping!$A$29:$A$36,0))</f>
        <v/>
      </c>
      <c r="K57" s="5">
        <f>INDEX(Mapping!$H$5:$H$20,MATCH($C57,Mapping!$A$5:$A$20,0))</f>
        <v/>
      </c>
      <c r="L57" s="5">
        <f>INDEX(Mapping!$E$42:$E$55,MATCH($G57,Mapping!$A$42:$A$55,0))</f>
        <v/>
      </c>
      <c r="M57" s="5">
        <f>INDEX(Mapping!$D$59:$D$62,MATCH(INDEX(Mapping!$G$5:$G$20,MATCH($C57,Mapping!$A$5:$A$20,0)),Mapping!$A$59:$A$62,0))</f>
        <v/>
      </c>
      <c r="N57" s="31">
        <f>INDEX(Elasticities!$F$4:$I$200,MATCH("inc|"&amp;$E57&amp;"|"&amp;$D57,Elasticities!$A$4:$A$200,0),MATCH(Settings!$C$6,Elasticities!$F$3:$I$3,0))</f>
        <v/>
      </c>
      <c r="O57" s="31">
        <f>INDEX(Elasticities!$F$4:$I$200,MATCH("usg|"&amp;$E57&amp;"|"&amp;$D57,Elasticities!$A$4:$A$200,0),MATCH(Settings!$C$6,Elasticities!$F$3:$I$3,0))</f>
        <v/>
      </c>
      <c r="P57" s="31">
        <f>INDEX(Elasticities!$F$4:$I$200,MATCH("eff|"&amp;$E57&amp;"|"&amp;$D57,Elasticities!$A$4:$A$200,0),MATCH(Settings!$C$6,Elasticities!$F$3:$I$3,0))</f>
        <v/>
      </c>
      <c r="Q57" s="25">
        <f>INDEX(Elasticities!$F$4:$I$200,MATCH("aei|"&amp;$F57&amp;"|"&amp;$D57,Elasticities!$A$4:$A$200,0),MATCH(Settings!$C$6,Elasticities!$F$3:$I$3,0))</f>
        <v/>
      </c>
      <c r="R57" s="47" t="n">
        <v>0</v>
      </c>
      <c r="S57" s="36">
        <f>INDEX(Prices_dom!$A$6:$CU$2000,MATCH(Settings!$C$4&amp;Settings!$C$7,Prices_dom!$A$6:$A$2000,0),MATCH("mit.sp."&amp;$G57,Prices_dom!$A$5:$CU$5,0))/$I57</f>
        <v/>
      </c>
      <c r="T57" s="36">
        <f>(INDEX(Prices_dom!$A$6:$CU$2000,MATCH(Settings!$C$4&amp;Settings!$C$7,Prices_dom!$A$6:$A$2000,0),MATCH("mit.rp."&amp;$G57,Prices_dom!$A$5:$CU$5,0))-INDEX(Prices_dom!$A$6:$CU$2000,MATCH(Settings!$C$4&amp;Settings!$C$7,Prices_dom!$A$6:$A$2000,0),MATCH("mit.sp."&amp;$G57,Prices_dom!$A$5:$CU$5,0)))/$I57</f>
        <v/>
      </c>
      <c r="U57" s="48">
        <f>INDEX(EF_GHG!$E$4:$E$1000,MATCH(Settings!$C$4&amp;"|"&amp;$B57&amp;"|"&amp;$H57,EF_GHG!$A$4:$A$1000,0))</f>
        <v/>
      </c>
      <c r="V57" s="41">
        <f>INDEX(EnergyCons!$F$4:$F$5000,MATCH(Settings!$C$4&amp;"|"&amp;Settings!$C$7&amp;"|"&amp;$C57&amp;"|"&amp;$B57,EnergyCons!$A$4:$A$5000,0))</f>
        <v/>
      </c>
    </row>
    <row r="58">
      <c r="A58" s="5">
        <f>$B58&amp;"|"&amp;$C58</f>
        <v/>
      </c>
      <c r="B58" s="6" t="inlineStr">
        <is>
          <t>ker</t>
        </is>
      </c>
      <c r="C58" s="6" t="inlineStr">
        <is>
          <t>srv</t>
        </is>
      </c>
      <c r="D58" s="5">
        <f>INDEX(Mapping!$D$5:$D$20,MATCH($C58,Mapping!$A$5:$A$20,0))</f>
        <v/>
      </c>
      <c r="E58" s="5">
        <f>INDEX(Mapping!$C$29:$C$36,MATCH($B58,Mapping!$A$29:$A$36,0))</f>
        <v/>
      </c>
      <c r="F58" s="5">
        <f>INDEX(Mapping!$D$29:$D$36,MATCH($B58,Mapping!$A$29:$A$36,0))</f>
        <v/>
      </c>
      <c r="G58" s="5">
        <f>$B58&amp;"."&amp;IF(INDEX(Mapping!$E$29:$E$36,MATCH($B58,Mapping!$A$29:$A$36,0))="sub",INDEX(Mapping!$F$5:$F$20,MATCH($C58,Mapping!$A$5:$A$20,0)),"all")</f>
        <v/>
      </c>
      <c r="H58" s="5">
        <f>INDEX(Mapping!$E$5:$E$20,MATCH($C58,Mapping!$A$5:$A$20,0))</f>
        <v/>
      </c>
      <c r="I58" s="5">
        <f>INDEX(Mapping!$G$29:$G$36,MATCH($B58,Mapping!$A$29:$A$36,0))</f>
        <v/>
      </c>
      <c r="J58" s="5">
        <f>INDEX(Mapping!$H$29:$H$36,MATCH($B58,Mapping!$A$29:$A$36,0))</f>
        <v/>
      </c>
      <c r="K58" s="5">
        <f>INDEX(Mapping!$H$5:$H$20,MATCH($C58,Mapping!$A$5:$A$20,0))</f>
        <v/>
      </c>
      <c r="L58" s="5">
        <f>INDEX(Mapping!$E$42:$E$55,MATCH($G58,Mapping!$A$42:$A$55,0))</f>
        <v/>
      </c>
      <c r="M58" s="5">
        <f>INDEX(Mapping!$D$59:$D$62,MATCH(INDEX(Mapping!$G$5:$G$20,MATCH($C58,Mapping!$A$5:$A$20,0)),Mapping!$A$59:$A$62,0))</f>
        <v/>
      </c>
      <c r="N58" s="31">
        <f>INDEX(Elasticities!$F$4:$I$200,MATCH("inc|"&amp;$E58&amp;"|"&amp;$D58,Elasticities!$A$4:$A$200,0),MATCH(Settings!$C$6,Elasticities!$F$3:$I$3,0))</f>
        <v/>
      </c>
      <c r="O58" s="31">
        <f>INDEX(Elasticities!$F$4:$I$200,MATCH("usg|"&amp;$E58&amp;"|"&amp;$D58,Elasticities!$A$4:$A$200,0),MATCH(Settings!$C$6,Elasticities!$F$3:$I$3,0))</f>
        <v/>
      </c>
      <c r="P58" s="31">
        <f>INDEX(Elasticities!$F$4:$I$200,MATCH("eff|"&amp;$E58&amp;"|"&amp;$D58,Elasticities!$A$4:$A$200,0),MATCH(Settings!$C$6,Elasticities!$F$3:$I$3,0))</f>
        <v/>
      </c>
      <c r="Q58" s="25">
        <f>INDEX(Elasticities!$F$4:$I$200,MATCH("aei|"&amp;$F58&amp;"|"&amp;$D58,Elasticities!$A$4:$A$200,0),MATCH(Settings!$C$6,Elasticities!$F$3:$I$3,0))</f>
        <v/>
      </c>
      <c r="R58" s="47" t="n">
        <v>0</v>
      </c>
      <c r="S58" s="36">
        <f>INDEX(Prices_dom!$A$6:$CU$2000,MATCH(Settings!$C$4&amp;Settings!$C$7,Prices_dom!$A$6:$A$2000,0),MATCH("mit.sp."&amp;$G58,Prices_dom!$A$5:$CU$5,0))/$I58</f>
        <v/>
      </c>
      <c r="T58" s="36">
        <f>(INDEX(Prices_dom!$A$6:$CU$2000,MATCH(Settings!$C$4&amp;Settings!$C$7,Prices_dom!$A$6:$A$2000,0),MATCH("mit.rp."&amp;$G58,Prices_dom!$A$5:$CU$5,0))-INDEX(Prices_dom!$A$6:$CU$2000,MATCH(Settings!$C$4&amp;Settings!$C$7,Prices_dom!$A$6:$A$2000,0),MATCH("mit.sp."&amp;$G58,Prices_dom!$A$5:$CU$5,0)))/$I58</f>
        <v/>
      </c>
      <c r="U58" s="48">
        <f>INDEX(EF_GHG!$E$4:$E$1000,MATCH(Settings!$C$4&amp;"|"&amp;$B58&amp;"|"&amp;$H58,EF_GHG!$A$4:$A$1000,0))</f>
        <v/>
      </c>
      <c r="V58" s="41">
        <f>INDEX(EnergyCons!$F$4:$F$5000,MATCH(Settings!$C$4&amp;"|"&amp;Settings!$C$7&amp;"|"&amp;$C58&amp;"|"&amp;$B58,EnergyCons!$A$4:$A$5000,0))</f>
        <v/>
      </c>
    </row>
    <row r="59">
      <c r="A59" s="5">
        <f>$B59&amp;"|"&amp;$C59</f>
        <v/>
      </c>
      <c r="B59" s="6" t="inlineStr">
        <is>
          <t>oop</t>
        </is>
      </c>
      <c r="C59" s="6" t="inlineStr">
        <is>
          <t>srv</t>
        </is>
      </c>
      <c r="D59" s="5">
        <f>INDEX(Mapping!$D$5:$D$20,MATCH($C59,Mapping!$A$5:$A$20,0))</f>
        <v/>
      </c>
      <c r="E59" s="5">
        <f>INDEX(Mapping!$C$29:$C$36,MATCH($B59,Mapping!$A$29:$A$36,0))</f>
        <v/>
      </c>
      <c r="F59" s="5">
        <f>INDEX(Mapping!$D$29:$D$36,MATCH($B59,Mapping!$A$29:$A$36,0))</f>
        <v/>
      </c>
      <c r="G59" s="5">
        <f>$B59&amp;"."&amp;IF(INDEX(Mapping!$E$29:$E$36,MATCH($B59,Mapping!$A$29:$A$36,0))="sub",INDEX(Mapping!$F$5:$F$20,MATCH($C59,Mapping!$A$5:$A$20,0)),"all")</f>
        <v/>
      </c>
      <c r="H59" s="5">
        <f>INDEX(Mapping!$E$5:$E$20,MATCH($C59,Mapping!$A$5:$A$20,0))</f>
        <v/>
      </c>
      <c r="I59" s="5">
        <f>INDEX(Mapping!$G$29:$G$36,MATCH($B59,Mapping!$A$29:$A$36,0))</f>
        <v/>
      </c>
      <c r="J59" s="5">
        <f>INDEX(Mapping!$H$29:$H$36,MATCH($B59,Mapping!$A$29:$A$36,0))</f>
        <v/>
      </c>
      <c r="K59" s="5">
        <f>INDEX(Mapping!$H$5:$H$20,MATCH($C59,Mapping!$A$5:$A$20,0))</f>
        <v/>
      </c>
      <c r="L59" s="5">
        <f>INDEX(Mapping!$E$42:$E$55,MATCH($G59,Mapping!$A$42:$A$55,0))</f>
        <v/>
      </c>
      <c r="M59" s="5">
        <f>INDEX(Mapping!$D$59:$D$62,MATCH(INDEX(Mapping!$G$5:$G$20,MATCH($C59,Mapping!$A$5:$A$20,0)),Mapping!$A$59:$A$62,0))</f>
        <v/>
      </c>
      <c r="N59" s="31">
        <f>INDEX(Elasticities!$F$4:$I$200,MATCH("inc|"&amp;$E59&amp;"|"&amp;$D59,Elasticities!$A$4:$A$200,0),MATCH(Settings!$C$6,Elasticities!$F$3:$I$3,0))</f>
        <v/>
      </c>
      <c r="O59" s="31">
        <f>INDEX(Elasticities!$F$4:$I$200,MATCH("usg|"&amp;$E59&amp;"|"&amp;$D59,Elasticities!$A$4:$A$200,0),MATCH(Settings!$C$6,Elasticities!$F$3:$I$3,0))</f>
        <v/>
      </c>
      <c r="P59" s="31">
        <f>INDEX(Elasticities!$F$4:$I$200,MATCH("eff|"&amp;$E59&amp;"|"&amp;$D59,Elasticities!$A$4:$A$200,0),MATCH(Settings!$C$6,Elasticities!$F$3:$I$3,0))</f>
        <v/>
      </c>
      <c r="Q59" s="25">
        <f>INDEX(Elasticities!$F$4:$I$200,MATCH("aei|"&amp;$F59&amp;"|"&amp;$D59,Elasticities!$A$4:$A$200,0),MATCH(Settings!$C$6,Elasticities!$F$3:$I$3,0))</f>
        <v/>
      </c>
      <c r="R59" s="47" t="n">
        <v>0</v>
      </c>
      <c r="S59" s="36">
        <f>INDEX(Prices_dom!$A$6:$CU$2000,MATCH(Settings!$C$4&amp;Settings!$C$7,Prices_dom!$A$6:$A$2000,0),MATCH("mit.sp."&amp;$G59,Prices_dom!$A$5:$CU$5,0))/$I59</f>
        <v/>
      </c>
      <c r="T59" s="36">
        <f>(INDEX(Prices_dom!$A$6:$CU$2000,MATCH(Settings!$C$4&amp;Settings!$C$7,Prices_dom!$A$6:$A$2000,0),MATCH("mit.rp."&amp;$G59,Prices_dom!$A$5:$CU$5,0))-INDEX(Prices_dom!$A$6:$CU$2000,MATCH(Settings!$C$4&amp;Settings!$C$7,Prices_dom!$A$6:$A$2000,0),MATCH("mit.sp."&amp;$G59,Prices_dom!$A$5:$CU$5,0)))/$I59</f>
        <v/>
      </c>
      <c r="U59" s="48">
        <f>INDEX(EF_GHG!$E$4:$E$1000,MATCH(Settings!$C$4&amp;"|"&amp;$B59&amp;"|"&amp;$H59,EF_GHG!$A$4:$A$1000,0))</f>
        <v/>
      </c>
      <c r="V59" s="41">
        <f>INDEX(EnergyCons!$F$4:$F$5000,MATCH(Settings!$C$4&amp;"|"&amp;Settings!$C$7&amp;"|"&amp;$C59&amp;"|"&amp;$B59,EnergyCons!$A$4:$A$5000,0))</f>
        <v/>
      </c>
    </row>
    <row r="60">
      <c r="A60" s="5">
        <f>$B60&amp;"|"&amp;$C60</f>
        <v/>
      </c>
      <c r="B60" s="6" t="inlineStr">
        <is>
          <t>bio</t>
        </is>
      </c>
      <c r="C60" s="6" t="inlineStr">
        <is>
          <t>srv</t>
        </is>
      </c>
      <c r="D60" s="5">
        <f>INDEX(Mapping!$D$5:$D$20,MATCH($C60,Mapping!$A$5:$A$20,0))</f>
        <v/>
      </c>
      <c r="E60" s="5">
        <f>INDEX(Mapping!$C$29:$C$36,MATCH($B60,Mapping!$A$29:$A$36,0))</f>
        <v/>
      </c>
      <c r="F60" s="5">
        <f>INDEX(Mapping!$D$29:$D$36,MATCH($B60,Mapping!$A$29:$A$36,0))</f>
        <v/>
      </c>
      <c r="G60" s="5">
        <f>$B60&amp;"."&amp;IF(INDEX(Mapping!$E$29:$E$36,MATCH($B60,Mapping!$A$29:$A$36,0))="sub",INDEX(Mapping!$F$5:$F$20,MATCH($C60,Mapping!$A$5:$A$20,0)),"all")</f>
        <v/>
      </c>
      <c r="H60" s="5">
        <f>INDEX(Mapping!$E$5:$E$20,MATCH($C60,Mapping!$A$5:$A$20,0))</f>
        <v/>
      </c>
      <c r="I60" s="5">
        <f>INDEX(Mapping!$G$29:$G$36,MATCH($B60,Mapping!$A$29:$A$36,0))</f>
        <v/>
      </c>
      <c r="J60" s="5">
        <f>INDEX(Mapping!$H$29:$H$36,MATCH($B60,Mapping!$A$29:$A$36,0))</f>
        <v/>
      </c>
      <c r="K60" s="5">
        <f>INDEX(Mapping!$H$5:$H$20,MATCH($C60,Mapping!$A$5:$A$20,0))</f>
        <v/>
      </c>
      <c r="L60" s="5">
        <f>INDEX(Mapping!$E$42:$E$55,MATCH($G60,Mapping!$A$42:$A$55,0))</f>
        <v/>
      </c>
      <c r="M60" s="5">
        <f>INDEX(Mapping!$D$59:$D$62,MATCH(INDEX(Mapping!$G$5:$G$20,MATCH($C60,Mapping!$A$5:$A$20,0)),Mapping!$A$59:$A$62,0))</f>
        <v/>
      </c>
      <c r="N60" s="31">
        <f>INDEX(Elasticities!$F$4:$I$200,MATCH("inc|"&amp;$E60&amp;"|"&amp;$D60,Elasticities!$A$4:$A$200,0),MATCH(Settings!$C$6,Elasticities!$F$3:$I$3,0))</f>
        <v/>
      </c>
      <c r="O60" s="31">
        <f>INDEX(Elasticities!$F$4:$I$200,MATCH("usg|"&amp;$E60&amp;"|"&amp;$D60,Elasticities!$A$4:$A$200,0),MATCH(Settings!$C$6,Elasticities!$F$3:$I$3,0))</f>
        <v/>
      </c>
      <c r="P60" s="31">
        <f>INDEX(Elasticities!$F$4:$I$200,MATCH("eff|"&amp;$E60&amp;"|"&amp;$D60,Elasticities!$A$4:$A$200,0),MATCH(Settings!$C$6,Elasticities!$F$3:$I$3,0))</f>
        <v/>
      </c>
      <c r="Q60" s="25">
        <f>INDEX(Elasticities!$F$4:$I$200,MATCH("aei|"&amp;$F60&amp;"|"&amp;$D60,Elasticities!$A$4:$A$200,0),MATCH(Settings!$C$6,Elasticities!$F$3:$I$3,0))</f>
        <v/>
      </c>
      <c r="R60" s="47" t="n">
        <v>0</v>
      </c>
      <c r="S60" s="36">
        <f>INDEX(Prices_dom!$A$6:$CU$2000,MATCH(Settings!$C$4&amp;Settings!$C$7,Prices_dom!$A$6:$A$2000,0),MATCH("mit.sp."&amp;$G60,Prices_dom!$A$5:$CU$5,0))/$I60</f>
        <v/>
      </c>
      <c r="T60" s="36">
        <f>(INDEX(Prices_dom!$A$6:$CU$2000,MATCH(Settings!$C$4&amp;Settings!$C$7,Prices_dom!$A$6:$A$2000,0),MATCH("mit.rp."&amp;$G60,Prices_dom!$A$5:$CU$5,0))-INDEX(Prices_dom!$A$6:$CU$2000,MATCH(Settings!$C$4&amp;Settings!$C$7,Prices_dom!$A$6:$A$2000,0),MATCH("mit.sp."&amp;$G60,Prices_dom!$A$5:$CU$5,0)))/$I60</f>
        <v/>
      </c>
      <c r="U60" s="48">
        <f>INDEX(EF_GHG!$E$4:$E$1000,MATCH(Settings!$C$4&amp;"|"&amp;$B60&amp;"|"&amp;$H60,EF_GHG!$A$4:$A$1000,0))</f>
        <v/>
      </c>
      <c r="V60" s="41">
        <f>INDEX(EnergyCons!$F$4:$F$5000,MATCH(Settings!$C$4&amp;"|"&amp;Settings!$C$7&amp;"|"&amp;$C60&amp;"|"&amp;$B60,EnergyCons!$A$4:$A$5000,0))</f>
        <v/>
      </c>
    </row>
    <row r="61">
      <c r="A61" s="5">
        <f>$B61&amp;"|"&amp;$C61</f>
        <v/>
      </c>
      <c r="B61" s="6" t="inlineStr">
        <is>
          <t>coa</t>
        </is>
      </c>
      <c r="C61" s="6" t="inlineStr">
        <is>
          <t>mch</t>
        </is>
      </c>
      <c r="D61" s="5">
        <f>INDEX(Mapping!$D$5:$D$20,MATCH($C61,Mapping!$A$5:$A$20,0))</f>
        <v/>
      </c>
      <c r="E61" s="5">
        <f>INDEX(Mapping!$C$29:$C$36,MATCH($B61,Mapping!$A$29:$A$36,0))</f>
        <v/>
      </c>
      <c r="F61" s="5">
        <f>INDEX(Mapping!$D$29:$D$36,MATCH($B61,Mapping!$A$29:$A$36,0))</f>
        <v/>
      </c>
      <c r="G61" s="5">
        <f>$B61&amp;"."&amp;IF(INDEX(Mapping!$E$29:$E$36,MATCH($B61,Mapping!$A$29:$A$36,0))="sub",INDEX(Mapping!$F$5:$F$20,MATCH($C61,Mapping!$A$5:$A$20,0)),"all")</f>
        <v/>
      </c>
      <c r="H61" s="5">
        <f>INDEX(Mapping!$E$5:$E$20,MATCH($C61,Mapping!$A$5:$A$20,0))</f>
        <v/>
      </c>
      <c r="I61" s="5">
        <f>INDEX(Mapping!$G$29:$G$36,MATCH($B61,Mapping!$A$29:$A$36,0))</f>
        <v/>
      </c>
      <c r="J61" s="5">
        <f>INDEX(Mapping!$H$29:$H$36,MATCH($B61,Mapping!$A$29:$A$36,0))</f>
        <v/>
      </c>
      <c r="K61" s="5">
        <f>INDEX(Mapping!$H$5:$H$20,MATCH($C61,Mapping!$A$5:$A$20,0))</f>
        <v/>
      </c>
      <c r="L61" s="5">
        <f>INDEX(Mapping!$E$42:$E$55,MATCH($G61,Mapping!$A$42:$A$55,0))</f>
        <v/>
      </c>
      <c r="M61" s="5">
        <f>INDEX(Mapping!$D$59:$D$62,MATCH(INDEX(Mapping!$G$5:$G$20,MATCH($C61,Mapping!$A$5:$A$20,0)),Mapping!$A$59:$A$62,0))</f>
        <v/>
      </c>
      <c r="N61" s="31">
        <f>INDEX(Elasticities!$F$4:$I$200,MATCH("inc|"&amp;$E61&amp;"|"&amp;$D61,Elasticities!$A$4:$A$200,0),MATCH(Settings!$C$6,Elasticities!$F$3:$I$3,0))</f>
        <v/>
      </c>
      <c r="O61" s="31">
        <f>INDEX(Elasticities!$F$4:$I$200,MATCH("usg|"&amp;$E61&amp;"|"&amp;$D61,Elasticities!$A$4:$A$200,0),MATCH(Settings!$C$6,Elasticities!$F$3:$I$3,0))</f>
        <v/>
      </c>
      <c r="P61" s="31">
        <f>INDEX(Elasticities!$F$4:$I$200,MATCH("eff|"&amp;$E61&amp;"|"&amp;$D61,Elasticities!$A$4:$A$200,0),MATCH(Settings!$C$6,Elasticities!$F$3:$I$3,0))</f>
        <v/>
      </c>
      <c r="Q61" s="25">
        <f>INDEX(Elasticities!$F$4:$I$200,MATCH("aei|"&amp;$F61&amp;"|"&amp;$D61,Elasticities!$A$4:$A$200,0),MATCH(Settings!$C$6,Elasticities!$F$3:$I$3,0))</f>
        <v/>
      </c>
      <c r="R61" s="47" t="n">
        <v>0</v>
      </c>
      <c r="S61" s="36">
        <f>INDEX(Prices_dom!$A$6:$CU$2000,MATCH(Settings!$C$4&amp;Settings!$C$7,Prices_dom!$A$6:$A$2000,0),MATCH("mit.sp."&amp;$G61,Prices_dom!$A$5:$CU$5,0))/$I61</f>
        <v/>
      </c>
      <c r="T61" s="36">
        <f>(INDEX(Prices_dom!$A$6:$CU$2000,MATCH(Settings!$C$4&amp;Settings!$C$7,Prices_dom!$A$6:$A$2000,0),MATCH("mit.rp."&amp;$G61,Prices_dom!$A$5:$CU$5,0))-INDEX(Prices_dom!$A$6:$CU$2000,MATCH(Settings!$C$4&amp;Settings!$C$7,Prices_dom!$A$6:$A$2000,0),MATCH("mit.sp."&amp;$G61,Prices_dom!$A$5:$CU$5,0)))/$I61</f>
        <v/>
      </c>
      <c r="U61" s="48">
        <f>INDEX(EF_GHG!$E$4:$E$1000,MATCH(Settings!$C$4&amp;"|"&amp;$B61&amp;"|"&amp;$H61,EF_GHG!$A$4:$A$1000,0))</f>
        <v/>
      </c>
      <c r="V61" s="41">
        <f>INDEX(EnergyCons!$F$4:$F$5000,MATCH(Settings!$C$4&amp;"|"&amp;Settings!$C$7&amp;"|"&amp;$C61&amp;"|"&amp;$B61,EnergyCons!$A$4:$A$5000,0))</f>
        <v/>
      </c>
    </row>
    <row r="62">
      <c r="A62" s="5">
        <f>$B62&amp;"|"&amp;$C62</f>
        <v/>
      </c>
      <c r="B62" s="6" t="inlineStr">
        <is>
          <t>nga</t>
        </is>
      </c>
      <c r="C62" s="6" t="inlineStr">
        <is>
          <t>mch</t>
        </is>
      </c>
      <c r="D62" s="5">
        <f>INDEX(Mapping!$D$5:$D$20,MATCH($C62,Mapping!$A$5:$A$20,0))</f>
        <v/>
      </c>
      <c r="E62" s="5">
        <f>INDEX(Mapping!$C$29:$C$36,MATCH($B62,Mapping!$A$29:$A$36,0))</f>
        <v/>
      </c>
      <c r="F62" s="5">
        <f>INDEX(Mapping!$D$29:$D$36,MATCH($B62,Mapping!$A$29:$A$36,0))</f>
        <v/>
      </c>
      <c r="G62" s="5">
        <f>$B62&amp;"."&amp;IF(INDEX(Mapping!$E$29:$E$36,MATCH($B62,Mapping!$A$29:$A$36,0))="sub",INDEX(Mapping!$F$5:$F$20,MATCH($C62,Mapping!$A$5:$A$20,0)),"all")</f>
        <v/>
      </c>
      <c r="H62" s="5">
        <f>INDEX(Mapping!$E$5:$E$20,MATCH($C62,Mapping!$A$5:$A$20,0))</f>
        <v/>
      </c>
      <c r="I62" s="5">
        <f>INDEX(Mapping!$G$29:$G$36,MATCH($B62,Mapping!$A$29:$A$36,0))</f>
        <v/>
      </c>
      <c r="J62" s="5">
        <f>INDEX(Mapping!$H$29:$H$36,MATCH($B62,Mapping!$A$29:$A$36,0))</f>
        <v/>
      </c>
      <c r="K62" s="5">
        <f>INDEX(Mapping!$H$5:$H$20,MATCH($C62,Mapping!$A$5:$A$20,0))</f>
        <v/>
      </c>
      <c r="L62" s="5">
        <f>INDEX(Mapping!$E$42:$E$55,MATCH($G62,Mapping!$A$42:$A$55,0))</f>
        <v/>
      </c>
      <c r="M62" s="5">
        <f>INDEX(Mapping!$D$59:$D$62,MATCH(INDEX(Mapping!$G$5:$G$20,MATCH($C62,Mapping!$A$5:$A$20,0)),Mapping!$A$59:$A$62,0))</f>
        <v/>
      </c>
      <c r="N62" s="31">
        <f>INDEX(Elasticities!$F$4:$I$200,MATCH("inc|"&amp;$E62&amp;"|"&amp;$D62,Elasticities!$A$4:$A$200,0),MATCH(Settings!$C$6,Elasticities!$F$3:$I$3,0))</f>
        <v/>
      </c>
      <c r="O62" s="31">
        <f>INDEX(Elasticities!$F$4:$I$200,MATCH("usg|"&amp;$E62&amp;"|"&amp;$D62,Elasticities!$A$4:$A$200,0),MATCH(Settings!$C$6,Elasticities!$F$3:$I$3,0))</f>
        <v/>
      </c>
      <c r="P62" s="31">
        <f>INDEX(Elasticities!$F$4:$I$200,MATCH("eff|"&amp;$E62&amp;"|"&amp;$D62,Elasticities!$A$4:$A$200,0),MATCH(Settings!$C$6,Elasticities!$F$3:$I$3,0))</f>
        <v/>
      </c>
      <c r="Q62" s="25">
        <f>INDEX(Elasticities!$F$4:$I$200,MATCH("aei|"&amp;$F62&amp;"|"&amp;$D62,Elasticities!$A$4:$A$200,0),MATCH(Settings!$C$6,Elasticities!$F$3:$I$3,0))</f>
        <v/>
      </c>
      <c r="R62" s="47" t="n">
        <v>0</v>
      </c>
      <c r="S62" s="36">
        <f>INDEX(Prices_dom!$A$6:$CU$2000,MATCH(Settings!$C$4&amp;Settings!$C$7,Prices_dom!$A$6:$A$2000,0),MATCH("mit.sp."&amp;$G62,Prices_dom!$A$5:$CU$5,0))/$I62</f>
        <v/>
      </c>
      <c r="T62" s="36">
        <f>(INDEX(Prices_dom!$A$6:$CU$2000,MATCH(Settings!$C$4&amp;Settings!$C$7,Prices_dom!$A$6:$A$2000,0),MATCH("mit.rp."&amp;$G62,Prices_dom!$A$5:$CU$5,0))-INDEX(Prices_dom!$A$6:$CU$2000,MATCH(Settings!$C$4&amp;Settings!$C$7,Prices_dom!$A$6:$A$2000,0),MATCH("mit.sp."&amp;$G62,Prices_dom!$A$5:$CU$5,0)))/$I62</f>
        <v/>
      </c>
      <c r="U62" s="48">
        <f>INDEX(EF_GHG!$E$4:$E$1000,MATCH(Settings!$C$4&amp;"|"&amp;$B62&amp;"|"&amp;$H62,EF_GHG!$A$4:$A$1000,0))</f>
        <v/>
      </c>
      <c r="V62" s="41">
        <f>INDEX(EnergyCons!$F$4:$F$5000,MATCH(Settings!$C$4&amp;"|"&amp;Settings!$C$7&amp;"|"&amp;$C62&amp;"|"&amp;$B62,EnergyCons!$A$4:$A$5000,0))</f>
        <v/>
      </c>
    </row>
    <row r="63">
      <c r="A63" s="5">
        <f>$B63&amp;"|"&amp;$C63</f>
        <v/>
      </c>
      <c r="B63" s="6" t="inlineStr">
        <is>
          <t>gso</t>
        </is>
      </c>
      <c r="C63" s="6" t="inlineStr">
        <is>
          <t>mch</t>
        </is>
      </c>
      <c r="D63" s="5">
        <f>INDEX(Mapping!$D$5:$D$20,MATCH($C63,Mapping!$A$5:$A$20,0))</f>
        <v/>
      </c>
      <c r="E63" s="5">
        <f>INDEX(Mapping!$C$29:$C$36,MATCH($B63,Mapping!$A$29:$A$36,0))</f>
        <v/>
      </c>
      <c r="F63" s="5">
        <f>INDEX(Mapping!$D$29:$D$36,MATCH($B63,Mapping!$A$29:$A$36,0))</f>
        <v/>
      </c>
      <c r="G63" s="5">
        <f>$B63&amp;"."&amp;IF(INDEX(Mapping!$E$29:$E$36,MATCH($B63,Mapping!$A$29:$A$36,0))="sub",INDEX(Mapping!$F$5:$F$20,MATCH($C63,Mapping!$A$5:$A$20,0)),"all")</f>
        <v/>
      </c>
      <c r="H63" s="5">
        <f>INDEX(Mapping!$E$5:$E$20,MATCH($C63,Mapping!$A$5:$A$20,0))</f>
        <v/>
      </c>
      <c r="I63" s="5">
        <f>INDEX(Mapping!$G$29:$G$36,MATCH($B63,Mapping!$A$29:$A$36,0))</f>
        <v/>
      </c>
      <c r="J63" s="5">
        <f>INDEX(Mapping!$H$29:$H$36,MATCH($B63,Mapping!$A$29:$A$36,0))</f>
        <v/>
      </c>
      <c r="K63" s="5">
        <f>INDEX(Mapping!$H$5:$H$20,MATCH($C63,Mapping!$A$5:$A$20,0))</f>
        <v/>
      </c>
      <c r="L63" s="5">
        <f>INDEX(Mapping!$E$42:$E$55,MATCH($G63,Mapping!$A$42:$A$55,0))</f>
        <v/>
      </c>
      <c r="M63" s="5">
        <f>INDEX(Mapping!$D$59:$D$62,MATCH(INDEX(Mapping!$G$5:$G$20,MATCH($C63,Mapping!$A$5:$A$20,0)),Mapping!$A$59:$A$62,0))</f>
        <v/>
      </c>
      <c r="N63" s="31">
        <f>INDEX(Elasticities!$F$4:$I$200,MATCH("inc|"&amp;$E63&amp;"|"&amp;$D63,Elasticities!$A$4:$A$200,0),MATCH(Settings!$C$6,Elasticities!$F$3:$I$3,0))</f>
        <v/>
      </c>
      <c r="O63" s="31">
        <f>INDEX(Elasticities!$F$4:$I$200,MATCH("usg|"&amp;$E63&amp;"|"&amp;$D63,Elasticities!$A$4:$A$200,0),MATCH(Settings!$C$6,Elasticities!$F$3:$I$3,0))</f>
        <v/>
      </c>
      <c r="P63" s="31">
        <f>INDEX(Elasticities!$F$4:$I$200,MATCH("eff|"&amp;$E63&amp;"|"&amp;$D63,Elasticities!$A$4:$A$200,0),MATCH(Settings!$C$6,Elasticities!$F$3:$I$3,0))</f>
        <v/>
      </c>
      <c r="Q63" s="25">
        <f>INDEX(Elasticities!$F$4:$I$200,MATCH("aei|"&amp;$F63&amp;"|"&amp;$D63,Elasticities!$A$4:$A$200,0),MATCH(Settings!$C$6,Elasticities!$F$3:$I$3,0))</f>
        <v/>
      </c>
      <c r="R63" s="47" t="n">
        <v>0</v>
      </c>
      <c r="S63" s="36">
        <f>INDEX(Prices_dom!$A$6:$CU$2000,MATCH(Settings!$C$4&amp;Settings!$C$7,Prices_dom!$A$6:$A$2000,0),MATCH("mit.sp."&amp;$G63,Prices_dom!$A$5:$CU$5,0))/$I63</f>
        <v/>
      </c>
      <c r="T63" s="36">
        <f>(INDEX(Prices_dom!$A$6:$CU$2000,MATCH(Settings!$C$4&amp;Settings!$C$7,Prices_dom!$A$6:$A$2000,0),MATCH("mit.rp."&amp;$G63,Prices_dom!$A$5:$CU$5,0))-INDEX(Prices_dom!$A$6:$CU$2000,MATCH(Settings!$C$4&amp;Settings!$C$7,Prices_dom!$A$6:$A$2000,0),MATCH("mit.sp."&amp;$G63,Prices_dom!$A$5:$CU$5,0)))/$I63</f>
        <v/>
      </c>
      <c r="U63" s="48">
        <f>INDEX(EF_GHG!$E$4:$E$1000,MATCH(Settings!$C$4&amp;"|"&amp;$B63&amp;"|"&amp;$H63,EF_GHG!$A$4:$A$1000,0))</f>
        <v/>
      </c>
      <c r="V63" s="41">
        <f>INDEX(EnergyCons!$F$4:$F$5000,MATCH(Settings!$C$4&amp;"|"&amp;Settings!$C$7&amp;"|"&amp;$C63&amp;"|"&amp;$B63,EnergyCons!$A$4:$A$5000,0))</f>
        <v/>
      </c>
    </row>
    <row r="64">
      <c r="A64" s="5">
        <f>$B64&amp;"|"&amp;$C64</f>
        <v/>
      </c>
      <c r="B64" s="6" t="inlineStr">
        <is>
          <t>die</t>
        </is>
      </c>
      <c r="C64" s="6" t="inlineStr">
        <is>
          <t>mch</t>
        </is>
      </c>
      <c r="D64" s="5">
        <f>INDEX(Mapping!$D$5:$D$20,MATCH($C64,Mapping!$A$5:$A$20,0))</f>
        <v/>
      </c>
      <c r="E64" s="5">
        <f>INDEX(Mapping!$C$29:$C$36,MATCH($B64,Mapping!$A$29:$A$36,0))</f>
        <v/>
      </c>
      <c r="F64" s="5">
        <f>INDEX(Mapping!$D$29:$D$36,MATCH($B64,Mapping!$A$29:$A$36,0))</f>
        <v/>
      </c>
      <c r="G64" s="5">
        <f>$B64&amp;"."&amp;IF(INDEX(Mapping!$E$29:$E$36,MATCH($B64,Mapping!$A$29:$A$36,0))="sub",INDEX(Mapping!$F$5:$F$20,MATCH($C64,Mapping!$A$5:$A$20,0)),"all")</f>
        <v/>
      </c>
      <c r="H64" s="5">
        <f>INDEX(Mapping!$E$5:$E$20,MATCH($C64,Mapping!$A$5:$A$20,0))</f>
        <v/>
      </c>
      <c r="I64" s="5">
        <f>INDEX(Mapping!$G$29:$G$36,MATCH($B64,Mapping!$A$29:$A$36,0))</f>
        <v/>
      </c>
      <c r="J64" s="5">
        <f>INDEX(Mapping!$H$29:$H$36,MATCH($B64,Mapping!$A$29:$A$36,0))</f>
        <v/>
      </c>
      <c r="K64" s="5">
        <f>INDEX(Mapping!$H$5:$H$20,MATCH($C64,Mapping!$A$5:$A$20,0))</f>
        <v/>
      </c>
      <c r="L64" s="5">
        <f>INDEX(Mapping!$E$42:$E$55,MATCH($G64,Mapping!$A$42:$A$55,0))</f>
        <v/>
      </c>
      <c r="M64" s="5">
        <f>INDEX(Mapping!$D$59:$D$62,MATCH(INDEX(Mapping!$G$5:$G$20,MATCH($C64,Mapping!$A$5:$A$20,0)),Mapping!$A$59:$A$62,0))</f>
        <v/>
      </c>
      <c r="N64" s="31">
        <f>INDEX(Elasticities!$F$4:$I$200,MATCH("inc|"&amp;$E64&amp;"|"&amp;$D64,Elasticities!$A$4:$A$200,0),MATCH(Settings!$C$6,Elasticities!$F$3:$I$3,0))</f>
        <v/>
      </c>
      <c r="O64" s="31">
        <f>INDEX(Elasticities!$F$4:$I$200,MATCH("usg|"&amp;$E64&amp;"|"&amp;$D64,Elasticities!$A$4:$A$200,0),MATCH(Settings!$C$6,Elasticities!$F$3:$I$3,0))</f>
        <v/>
      </c>
      <c r="P64" s="31">
        <f>INDEX(Elasticities!$F$4:$I$200,MATCH("eff|"&amp;$E64&amp;"|"&amp;$D64,Elasticities!$A$4:$A$200,0),MATCH(Settings!$C$6,Elasticities!$F$3:$I$3,0))</f>
        <v/>
      </c>
      <c r="Q64" s="25">
        <f>INDEX(Elasticities!$F$4:$I$200,MATCH("aei|"&amp;$F64&amp;"|"&amp;$D64,Elasticities!$A$4:$A$200,0),MATCH(Settings!$C$6,Elasticities!$F$3:$I$3,0))</f>
        <v/>
      </c>
      <c r="R64" s="47" t="n">
        <v>0</v>
      </c>
      <c r="S64" s="36">
        <f>INDEX(Prices_dom!$A$6:$CU$2000,MATCH(Settings!$C$4&amp;Settings!$C$7,Prices_dom!$A$6:$A$2000,0),MATCH("mit.sp."&amp;$G64,Prices_dom!$A$5:$CU$5,0))/$I64</f>
        <v/>
      </c>
      <c r="T64" s="36">
        <f>(INDEX(Prices_dom!$A$6:$CU$2000,MATCH(Settings!$C$4&amp;Settings!$C$7,Prices_dom!$A$6:$A$2000,0),MATCH("mit.rp."&amp;$G64,Prices_dom!$A$5:$CU$5,0))-INDEX(Prices_dom!$A$6:$CU$2000,MATCH(Settings!$C$4&amp;Settings!$C$7,Prices_dom!$A$6:$A$2000,0),MATCH("mit.sp."&amp;$G64,Prices_dom!$A$5:$CU$5,0)))/$I64</f>
        <v/>
      </c>
      <c r="U64" s="48">
        <f>INDEX(EF_GHG!$E$4:$E$1000,MATCH(Settings!$C$4&amp;"|"&amp;$B64&amp;"|"&amp;$H64,EF_GHG!$A$4:$A$1000,0))</f>
        <v/>
      </c>
      <c r="V64" s="41">
        <f>INDEX(EnergyCons!$F$4:$F$5000,MATCH(Settings!$C$4&amp;"|"&amp;Settings!$C$7&amp;"|"&amp;$C64&amp;"|"&amp;$B64,EnergyCons!$A$4:$A$5000,0))</f>
        <v/>
      </c>
    </row>
    <row r="65">
      <c r="A65" s="5">
        <f>$B65&amp;"|"&amp;$C65</f>
        <v/>
      </c>
      <c r="B65" s="6" t="inlineStr">
        <is>
          <t>lpg</t>
        </is>
      </c>
      <c r="C65" s="6" t="inlineStr">
        <is>
          <t>mch</t>
        </is>
      </c>
      <c r="D65" s="5">
        <f>INDEX(Mapping!$D$5:$D$20,MATCH($C65,Mapping!$A$5:$A$20,0))</f>
        <v/>
      </c>
      <c r="E65" s="5">
        <f>INDEX(Mapping!$C$29:$C$36,MATCH($B65,Mapping!$A$29:$A$36,0))</f>
        <v/>
      </c>
      <c r="F65" s="5">
        <f>INDEX(Mapping!$D$29:$D$36,MATCH($B65,Mapping!$A$29:$A$36,0))</f>
        <v/>
      </c>
      <c r="G65" s="5">
        <f>$B65&amp;"."&amp;IF(INDEX(Mapping!$E$29:$E$36,MATCH($B65,Mapping!$A$29:$A$36,0))="sub",INDEX(Mapping!$F$5:$F$20,MATCH($C65,Mapping!$A$5:$A$20,0)),"all")</f>
        <v/>
      </c>
      <c r="H65" s="5">
        <f>INDEX(Mapping!$E$5:$E$20,MATCH($C65,Mapping!$A$5:$A$20,0))</f>
        <v/>
      </c>
      <c r="I65" s="5">
        <f>INDEX(Mapping!$G$29:$G$36,MATCH($B65,Mapping!$A$29:$A$36,0))</f>
        <v/>
      </c>
      <c r="J65" s="5">
        <f>INDEX(Mapping!$H$29:$H$36,MATCH($B65,Mapping!$A$29:$A$36,0))</f>
        <v/>
      </c>
      <c r="K65" s="5">
        <f>INDEX(Mapping!$H$5:$H$20,MATCH($C65,Mapping!$A$5:$A$20,0))</f>
        <v/>
      </c>
      <c r="L65" s="5">
        <f>INDEX(Mapping!$E$42:$E$55,MATCH($G65,Mapping!$A$42:$A$55,0))</f>
        <v/>
      </c>
      <c r="M65" s="5">
        <f>INDEX(Mapping!$D$59:$D$62,MATCH(INDEX(Mapping!$G$5:$G$20,MATCH($C65,Mapping!$A$5:$A$20,0)),Mapping!$A$59:$A$62,0))</f>
        <v/>
      </c>
      <c r="N65" s="31">
        <f>INDEX(Elasticities!$F$4:$I$200,MATCH("inc|"&amp;$E65&amp;"|"&amp;$D65,Elasticities!$A$4:$A$200,0),MATCH(Settings!$C$6,Elasticities!$F$3:$I$3,0))</f>
        <v/>
      </c>
      <c r="O65" s="31">
        <f>INDEX(Elasticities!$F$4:$I$200,MATCH("usg|"&amp;$E65&amp;"|"&amp;$D65,Elasticities!$A$4:$A$200,0),MATCH(Settings!$C$6,Elasticities!$F$3:$I$3,0))</f>
        <v/>
      </c>
      <c r="P65" s="31">
        <f>INDEX(Elasticities!$F$4:$I$200,MATCH("eff|"&amp;$E65&amp;"|"&amp;$D65,Elasticities!$A$4:$A$200,0),MATCH(Settings!$C$6,Elasticities!$F$3:$I$3,0))</f>
        <v/>
      </c>
      <c r="Q65" s="25">
        <f>INDEX(Elasticities!$F$4:$I$200,MATCH("aei|"&amp;$F65&amp;"|"&amp;$D65,Elasticities!$A$4:$A$200,0),MATCH(Settings!$C$6,Elasticities!$F$3:$I$3,0))</f>
        <v/>
      </c>
      <c r="R65" s="47" t="n">
        <v>0</v>
      </c>
      <c r="S65" s="36">
        <f>INDEX(Prices_dom!$A$6:$CU$2000,MATCH(Settings!$C$4&amp;Settings!$C$7,Prices_dom!$A$6:$A$2000,0),MATCH("mit.sp."&amp;$G65,Prices_dom!$A$5:$CU$5,0))/$I65</f>
        <v/>
      </c>
      <c r="T65" s="36">
        <f>(INDEX(Prices_dom!$A$6:$CU$2000,MATCH(Settings!$C$4&amp;Settings!$C$7,Prices_dom!$A$6:$A$2000,0),MATCH("mit.rp."&amp;$G65,Prices_dom!$A$5:$CU$5,0))-INDEX(Prices_dom!$A$6:$CU$2000,MATCH(Settings!$C$4&amp;Settings!$C$7,Prices_dom!$A$6:$A$2000,0),MATCH("mit.sp."&amp;$G65,Prices_dom!$A$5:$CU$5,0)))/$I65</f>
        <v/>
      </c>
      <c r="U65" s="48">
        <f>INDEX(EF_GHG!$E$4:$E$1000,MATCH(Settings!$C$4&amp;"|"&amp;$B65&amp;"|"&amp;$H65,EF_GHG!$A$4:$A$1000,0))</f>
        <v/>
      </c>
      <c r="V65" s="41">
        <f>INDEX(EnergyCons!$F$4:$F$5000,MATCH(Settings!$C$4&amp;"|"&amp;Settings!$C$7&amp;"|"&amp;$C65&amp;"|"&amp;$B65,EnergyCons!$A$4:$A$5000,0))</f>
        <v/>
      </c>
    </row>
    <row r="66">
      <c r="A66" s="5">
        <f>$B66&amp;"|"&amp;$C66</f>
        <v/>
      </c>
      <c r="B66" s="6" t="inlineStr">
        <is>
          <t>ker</t>
        </is>
      </c>
      <c r="C66" s="6" t="inlineStr">
        <is>
          <t>mch</t>
        </is>
      </c>
      <c r="D66" s="5">
        <f>INDEX(Mapping!$D$5:$D$20,MATCH($C66,Mapping!$A$5:$A$20,0))</f>
        <v/>
      </c>
      <c r="E66" s="5">
        <f>INDEX(Mapping!$C$29:$C$36,MATCH($B66,Mapping!$A$29:$A$36,0))</f>
        <v/>
      </c>
      <c r="F66" s="5">
        <f>INDEX(Mapping!$D$29:$D$36,MATCH($B66,Mapping!$A$29:$A$36,0))</f>
        <v/>
      </c>
      <c r="G66" s="5">
        <f>$B66&amp;"."&amp;IF(INDEX(Mapping!$E$29:$E$36,MATCH($B66,Mapping!$A$29:$A$36,0))="sub",INDEX(Mapping!$F$5:$F$20,MATCH($C66,Mapping!$A$5:$A$20,0)),"all")</f>
        <v/>
      </c>
      <c r="H66" s="5">
        <f>INDEX(Mapping!$E$5:$E$20,MATCH($C66,Mapping!$A$5:$A$20,0))</f>
        <v/>
      </c>
      <c r="I66" s="5">
        <f>INDEX(Mapping!$G$29:$G$36,MATCH($B66,Mapping!$A$29:$A$36,0))</f>
        <v/>
      </c>
      <c r="J66" s="5">
        <f>INDEX(Mapping!$H$29:$H$36,MATCH($B66,Mapping!$A$29:$A$36,0))</f>
        <v/>
      </c>
      <c r="K66" s="5">
        <f>INDEX(Mapping!$H$5:$H$20,MATCH($C66,Mapping!$A$5:$A$20,0))</f>
        <v/>
      </c>
      <c r="L66" s="5">
        <f>INDEX(Mapping!$E$42:$E$55,MATCH($G66,Mapping!$A$42:$A$55,0))</f>
        <v/>
      </c>
      <c r="M66" s="5">
        <f>INDEX(Mapping!$D$59:$D$62,MATCH(INDEX(Mapping!$G$5:$G$20,MATCH($C66,Mapping!$A$5:$A$20,0)),Mapping!$A$59:$A$62,0))</f>
        <v/>
      </c>
      <c r="N66" s="31">
        <f>INDEX(Elasticities!$F$4:$I$200,MATCH("inc|"&amp;$E66&amp;"|"&amp;$D66,Elasticities!$A$4:$A$200,0),MATCH(Settings!$C$6,Elasticities!$F$3:$I$3,0))</f>
        <v/>
      </c>
      <c r="O66" s="31">
        <f>INDEX(Elasticities!$F$4:$I$200,MATCH("usg|"&amp;$E66&amp;"|"&amp;$D66,Elasticities!$A$4:$A$200,0),MATCH(Settings!$C$6,Elasticities!$F$3:$I$3,0))</f>
        <v/>
      </c>
      <c r="P66" s="31">
        <f>INDEX(Elasticities!$F$4:$I$200,MATCH("eff|"&amp;$E66&amp;"|"&amp;$D66,Elasticities!$A$4:$A$200,0),MATCH(Settings!$C$6,Elasticities!$F$3:$I$3,0))</f>
        <v/>
      </c>
      <c r="Q66" s="25">
        <f>INDEX(Elasticities!$F$4:$I$200,MATCH("aei|"&amp;$F66&amp;"|"&amp;$D66,Elasticities!$A$4:$A$200,0),MATCH(Settings!$C$6,Elasticities!$F$3:$I$3,0))</f>
        <v/>
      </c>
      <c r="R66" s="47" t="n">
        <v>0</v>
      </c>
      <c r="S66" s="36">
        <f>INDEX(Prices_dom!$A$6:$CU$2000,MATCH(Settings!$C$4&amp;Settings!$C$7,Prices_dom!$A$6:$A$2000,0),MATCH("mit.sp."&amp;$G66,Prices_dom!$A$5:$CU$5,0))/$I66</f>
        <v/>
      </c>
      <c r="T66" s="36">
        <f>(INDEX(Prices_dom!$A$6:$CU$2000,MATCH(Settings!$C$4&amp;Settings!$C$7,Prices_dom!$A$6:$A$2000,0),MATCH("mit.rp."&amp;$G66,Prices_dom!$A$5:$CU$5,0))-INDEX(Prices_dom!$A$6:$CU$2000,MATCH(Settings!$C$4&amp;Settings!$C$7,Prices_dom!$A$6:$A$2000,0),MATCH("mit.sp."&amp;$G66,Prices_dom!$A$5:$CU$5,0)))/$I66</f>
        <v/>
      </c>
      <c r="U66" s="48">
        <f>INDEX(EF_GHG!$E$4:$E$1000,MATCH(Settings!$C$4&amp;"|"&amp;$B66&amp;"|"&amp;$H66,EF_GHG!$A$4:$A$1000,0))</f>
        <v/>
      </c>
      <c r="V66" s="41">
        <f>INDEX(EnergyCons!$F$4:$F$5000,MATCH(Settings!$C$4&amp;"|"&amp;Settings!$C$7&amp;"|"&amp;$C66&amp;"|"&amp;$B66,EnergyCons!$A$4:$A$5000,0))</f>
        <v/>
      </c>
    </row>
    <row r="67">
      <c r="A67" s="5">
        <f>$B67&amp;"|"&amp;$C67</f>
        <v/>
      </c>
      <c r="B67" s="6" t="inlineStr">
        <is>
          <t>oop</t>
        </is>
      </c>
      <c r="C67" s="6" t="inlineStr">
        <is>
          <t>mch</t>
        </is>
      </c>
      <c r="D67" s="5">
        <f>INDEX(Mapping!$D$5:$D$20,MATCH($C67,Mapping!$A$5:$A$20,0))</f>
        <v/>
      </c>
      <c r="E67" s="5">
        <f>INDEX(Mapping!$C$29:$C$36,MATCH($B67,Mapping!$A$29:$A$36,0))</f>
        <v/>
      </c>
      <c r="F67" s="5">
        <f>INDEX(Mapping!$D$29:$D$36,MATCH($B67,Mapping!$A$29:$A$36,0))</f>
        <v/>
      </c>
      <c r="G67" s="5">
        <f>$B67&amp;"."&amp;IF(INDEX(Mapping!$E$29:$E$36,MATCH($B67,Mapping!$A$29:$A$36,0))="sub",INDEX(Mapping!$F$5:$F$20,MATCH($C67,Mapping!$A$5:$A$20,0)),"all")</f>
        <v/>
      </c>
      <c r="H67" s="5">
        <f>INDEX(Mapping!$E$5:$E$20,MATCH($C67,Mapping!$A$5:$A$20,0))</f>
        <v/>
      </c>
      <c r="I67" s="5">
        <f>INDEX(Mapping!$G$29:$G$36,MATCH($B67,Mapping!$A$29:$A$36,0))</f>
        <v/>
      </c>
      <c r="J67" s="5">
        <f>INDEX(Mapping!$H$29:$H$36,MATCH($B67,Mapping!$A$29:$A$36,0))</f>
        <v/>
      </c>
      <c r="K67" s="5">
        <f>INDEX(Mapping!$H$5:$H$20,MATCH($C67,Mapping!$A$5:$A$20,0))</f>
        <v/>
      </c>
      <c r="L67" s="5">
        <f>INDEX(Mapping!$E$42:$E$55,MATCH($G67,Mapping!$A$42:$A$55,0))</f>
        <v/>
      </c>
      <c r="M67" s="5">
        <f>INDEX(Mapping!$D$59:$D$62,MATCH(INDEX(Mapping!$G$5:$G$20,MATCH($C67,Mapping!$A$5:$A$20,0)),Mapping!$A$59:$A$62,0))</f>
        <v/>
      </c>
      <c r="N67" s="31">
        <f>INDEX(Elasticities!$F$4:$I$200,MATCH("inc|"&amp;$E67&amp;"|"&amp;$D67,Elasticities!$A$4:$A$200,0),MATCH(Settings!$C$6,Elasticities!$F$3:$I$3,0))</f>
        <v/>
      </c>
      <c r="O67" s="31">
        <f>INDEX(Elasticities!$F$4:$I$200,MATCH("usg|"&amp;$E67&amp;"|"&amp;$D67,Elasticities!$A$4:$A$200,0),MATCH(Settings!$C$6,Elasticities!$F$3:$I$3,0))</f>
        <v/>
      </c>
      <c r="P67" s="31">
        <f>INDEX(Elasticities!$F$4:$I$200,MATCH("eff|"&amp;$E67&amp;"|"&amp;$D67,Elasticities!$A$4:$A$200,0),MATCH(Settings!$C$6,Elasticities!$F$3:$I$3,0))</f>
        <v/>
      </c>
      <c r="Q67" s="25">
        <f>INDEX(Elasticities!$F$4:$I$200,MATCH("aei|"&amp;$F67&amp;"|"&amp;$D67,Elasticities!$A$4:$A$200,0),MATCH(Settings!$C$6,Elasticities!$F$3:$I$3,0))</f>
        <v/>
      </c>
      <c r="R67" s="47" t="n">
        <v>0</v>
      </c>
      <c r="S67" s="36">
        <f>INDEX(Prices_dom!$A$6:$CU$2000,MATCH(Settings!$C$4&amp;Settings!$C$7,Prices_dom!$A$6:$A$2000,0),MATCH("mit.sp."&amp;$G67,Prices_dom!$A$5:$CU$5,0))/$I67</f>
        <v/>
      </c>
      <c r="T67" s="36">
        <f>(INDEX(Prices_dom!$A$6:$CU$2000,MATCH(Settings!$C$4&amp;Settings!$C$7,Prices_dom!$A$6:$A$2000,0),MATCH("mit.rp."&amp;$G67,Prices_dom!$A$5:$CU$5,0))-INDEX(Prices_dom!$A$6:$CU$2000,MATCH(Settings!$C$4&amp;Settings!$C$7,Prices_dom!$A$6:$A$2000,0),MATCH("mit.sp."&amp;$G67,Prices_dom!$A$5:$CU$5,0)))/$I67</f>
        <v/>
      </c>
      <c r="U67" s="48">
        <f>INDEX(EF_GHG!$E$4:$E$1000,MATCH(Settings!$C$4&amp;"|"&amp;$B67&amp;"|"&amp;$H67,EF_GHG!$A$4:$A$1000,0))</f>
        <v/>
      </c>
      <c r="V67" s="41">
        <f>INDEX(EnergyCons!$F$4:$F$5000,MATCH(Settings!$C$4&amp;"|"&amp;Settings!$C$7&amp;"|"&amp;$C67&amp;"|"&amp;$B67,EnergyCons!$A$4:$A$5000,0))</f>
        <v/>
      </c>
    </row>
    <row r="68">
      <c r="A68" s="5">
        <f>$B68&amp;"|"&amp;$C68</f>
        <v/>
      </c>
      <c r="B68" s="6" t="inlineStr">
        <is>
          <t>bio</t>
        </is>
      </c>
      <c r="C68" s="6" t="inlineStr">
        <is>
          <t>mch</t>
        </is>
      </c>
      <c r="D68" s="5">
        <f>INDEX(Mapping!$D$5:$D$20,MATCH($C68,Mapping!$A$5:$A$20,0))</f>
        <v/>
      </c>
      <c r="E68" s="5">
        <f>INDEX(Mapping!$C$29:$C$36,MATCH($B68,Mapping!$A$29:$A$36,0))</f>
        <v/>
      </c>
      <c r="F68" s="5">
        <f>INDEX(Mapping!$D$29:$D$36,MATCH($B68,Mapping!$A$29:$A$36,0))</f>
        <v/>
      </c>
      <c r="G68" s="5">
        <f>$B68&amp;"."&amp;IF(INDEX(Mapping!$E$29:$E$36,MATCH($B68,Mapping!$A$29:$A$36,0))="sub",INDEX(Mapping!$F$5:$F$20,MATCH($C68,Mapping!$A$5:$A$20,0)),"all")</f>
        <v/>
      </c>
      <c r="H68" s="5">
        <f>INDEX(Mapping!$E$5:$E$20,MATCH($C68,Mapping!$A$5:$A$20,0))</f>
        <v/>
      </c>
      <c r="I68" s="5">
        <f>INDEX(Mapping!$G$29:$G$36,MATCH($B68,Mapping!$A$29:$A$36,0))</f>
        <v/>
      </c>
      <c r="J68" s="5">
        <f>INDEX(Mapping!$H$29:$H$36,MATCH($B68,Mapping!$A$29:$A$36,0))</f>
        <v/>
      </c>
      <c r="K68" s="5">
        <f>INDEX(Mapping!$H$5:$H$20,MATCH($C68,Mapping!$A$5:$A$20,0))</f>
        <v/>
      </c>
      <c r="L68" s="5">
        <f>INDEX(Mapping!$E$42:$E$55,MATCH($G68,Mapping!$A$42:$A$55,0))</f>
        <v/>
      </c>
      <c r="M68" s="5">
        <f>INDEX(Mapping!$D$59:$D$62,MATCH(INDEX(Mapping!$G$5:$G$20,MATCH($C68,Mapping!$A$5:$A$20,0)),Mapping!$A$59:$A$62,0))</f>
        <v/>
      </c>
      <c r="N68" s="31">
        <f>INDEX(Elasticities!$F$4:$I$200,MATCH("inc|"&amp;$E68&amp;"|"&amp;$D68,Elasticities!$A$4:$A$200,0),MATCH(Settings!$C$6,Elasticities!$F$3:$I$3,0))</f>
        <v/>
      </c>
      <c r="O68" s="31">
        <f>INDEX(Elasticities!$F$4:$I$200,MATCH("usg|"&amp;$E68&amp;"|"&amp;$D68,Elasticities!$A$4:$A$200,0),MATCH(Settings!$C$6,Elasticities!$F$3:$I$3,0))</f>
        <v/>
      </c>
      <c r="P68" s="31">
        <f>INDEX(Elasticities!$F$4:$I$200,MATCH("eff|"&amp;$E68&amp;"|"&amp;$D68,Elasticities!$A$4:$A$200,0),MATCH(Settings!$C$6,Elasticities!$F$3:$I$3,0))</f>
        <v/>
      </c>
      <c r="Q68" s="25">
        <f>INDEX(Elasticities!$F$4:$I$200,MATCH("aei|"&amp;$F68&amp;"|"&amp;$D68,Elasticities!$A$4:$A$200,0),MATCH(Settings!$C$6,Elasticities!$F$3:$I$3,0))</f>
        <v/>
      </c>
      <c r="R68" s="47" t="n">
        <v>0</v>
      </c>
      <c r="S68" s="36">
        <f>INDEX(Prices_dom!$A$6:$CU$2000,MATCH(Settings!$C$4&amp;Settings!$C$7,Prices_dom!$A$6:$A$2000,0),MATCH("mit.sp."&amp;$G68,Prices_dom!$A$5:$CU$5,0))/$I68</f>
        <v/>
      </c>
      <c r="T68" s="36">
        <f>(INDEX(Prices_dom!$A$6:$CU$2000,MATCH(Settings!$C$4&amp;Settings!$C$7,Prices_dom!$A$6:$A$2000,0),MATCH("mit.rp."&amp;$G68,Prices_dom!$A$5:$CU$5,0))-INDEX(Prices_dom!$A$6:$CU$2000,MATCH(Settings!$C$4&amp;Settings!$C$7,Prices_dom!$A$6:$A$2000,0),MATCH("mit.sp."&amp;$G68,Prices_dom!$A$5:$CU$5,0)))/$I68</f>
        <v/>
      </c>
      <c r="U68" s="48">
        <f>INDEX(EF_GHG!$E$4:$E$1000,MATCH(Settings!$C$4&amp;"|"&amp;$B68&amp;"|"&amp;$H68,EF_GHG!$A$4:$A$1000,0))</f>
        <v/>
      </c>
      <c r="V68" s="41">
        <f>INDEX(EnergyCons!$F$4:$F$5000,MATCH(Settings!$C$4&amp;"|"&amp;Settings!$C$7&amp;"|"&amp;$C68&amp;"|"&amp;$B68,EnergyCons!$A$4:$A$5000,0))</f>
        <v/>
      </c>
    </row>
    <row r="69">
      <c r="A69" s="5">
        <f>$B69&amp;"|"&amp;$C69</f>
        <v/>
      </c>
      <c r="B69" s="6" t="inlineStr">
        <is>
          <t>coa</t>
        </is>
      </c>
      <c r="C69" s="6" t="inlineStr">
        <is>
          <t>irn</t>
        </is>
      </c>
      <c r="D69" s="5">
        <f>INDEX(Mapping!$D$5:$D$20,MATCH($C69,Mapping!$A$5:$A$20,0))</f>
        <v/>
      </c>
      <c r="E69" s="5">
        <f>INDEX(Mapping!$C$29:$C$36,MATCH($B69,Mapping!$A$29:$A$36,0))</f>
        <v/>
      </c>
      <c r="F69" s="5">
        <f>INDEX(Mapping!$D$29:$D$36,MATCH($B69,Mapping!$A$29:$A$36,0))</f>
        <v/>
      </c>
      <c r="G69" s="5">
        <f>$B69&amp;"."&amp;IF(INDEX(Mapping!$E$29:$E$36,MATCH($B69,Mapping!$A$29:$A$36,0))="sub",INDEX(Mapping!$F$5:$F$20,MATCH($C69,Mapping!$A$5:$A$20,0)),"all")</f>
        <v/>
      </c>
      <c r="H69" s="5">
        <f>INDEX(Mapping!$E$5:$E$20,MATCH($C69,Mapping!$A$5:$A$20,0))</f>
        <v/>
      </c>
      <c r="I69" s="5">
        <f>INDEX(Mapping!$G$29:$G$36,MATCH($B69,Mapping!$A$29:$A$36,0))</f>
        <v/>
      </c>
      <c r="J69" s="5">
        <f>INDEX(Mapping!$H$29:$H$36,MATCH($B69,Mapping!$A$29:$A$36,0))</f>
        <v/>
      </c>
      <c r="K69" s="5">
        <f>INDEX(Mapping!$H$5:$H$20,MATCH($C69,Mapping!$A$5:$A$20,0))</f>
        <v/>
      </c>
      <c r="L69" s="5">
        <f>INDEX(Mapping!$E$42:$E$55,MATCH($G69,Mapping!$A$42:$A$55,0))</f>
        <v/>
      </c>
      <c r="M69" s="5">
        <f>INDEX(Mapping!$D$59:$D$62,MATCH(INDEX(Mapping!$G$5:$G$20,MATCH($C69,Mapping!$A$5:$A$20,0)),Mapping!$A$59:$A$62,0))</f>
        <v/>
      </c>
      <c r="N69" s="31">
        <f>INDEX(Elasticities!$F$4:$I$200,MATCH("inc|"&amp;$E69&amp;"|"&amp;$D69,Elasticities!$A$4:$A$200,0),MATCH(Settings!$C$6,Elasticities!$F$3:$I$3,0))</f>
        <v/>
      </c>
      <c r="O69" s="31">
        <f>INDEX(Elasticities!$F$4:$I$200,MATCH("usg|"&amp;$E69&amp;"|"&amp;$D69,Elasticities!$A$4:$A$200,0),MATCH(Settings!$C$6,Elasticities!$F$3:$I$3,0))</f>
        <v/>
      </c>
      <c r="P69" s="31">
        <f>INDEX(Elasticities!$F$4:$I$200,MATCH("eff|"&amp;$E69&amp;"|"&amp;$D69,Elasticities!$A$4:$A$200,0),MATCH(Settings!$C$6,Elasticities!$F$3:$I$3,0))</f>
        <v/>
      </c>
      <c r="Q69" s="25">
        <f>INDEX(Elasticities!$F$4:$I$200,MATCH("aei|"&amp;$F69&amp;"|"&amp;$D69,Elasticities!$A$4:$A$200,0),MATCH(Settings!$C$6,Elasticities!$F$3:$I$3,0))</f>
        <v/>
      </c>
      <c r="R69" s="47" t="n">
        <v>0</v>
      </c>
      <c r="S69" s="36">
        <f>INDEX(Prices_dom!$A$6:$CU$2000,MATCH(Settings!$C$4&amp;Settings!$C$7,Prices_dom!$A$6:$A$2000,0),MATCH("mit.sp."&amp;$G69,Prices_dom!$A$5:$CU$5,0))/$I69</f>
        <v/>
      </c>
      <c r="T69" s="36">
        <f>(INDEX(Prices_dom!$A$6:$CU$2000,MATCH(Settings!$C$4&amp;Settings!$C$7,Prices_dom!$A$6:$A$2000,0),MATCH("mit.rp."&amp;$G69,Prices_dom!$A$5:$CU$5,0))-INDEX(Prices_dom!$A$6:$CU$2000,MATCH(Settings!$C$4&amp;Settings!$C$7,Prices_dom!$A$6:$A$2000,0),MATCH("mit.sp."&amp;$G69,Prices_dom!$A$5:$CU$5,0)))/$I69</f>
        <v/>
      </c>
      <c r="U69" s="48">
        <f>INDEX(EF_GHG!$E$4:$E$1000,MATCH(Settings!$C$4&amp;"|"&amp;$B69&amp;"|"&amp;$H69,EF_GHG!$A$4:$A$1000,0))</f>
        <v/>
      </c>
      <c r="V69" s="41">
        <f>INDEX(EnergyCons!$F$4:$F$5000,MATCH(Settings!$C$4&amp;"|"&amp;Settings!$C$7&amp;"|"&amp;$C69&amp;"|"&amp;$B69,EnergyCons!$A$4:$A$5000,0))</f>
        <v/>
      </c>
    </row>
    <row r="70">
      <c r="A70" s="5">
        <f>$B70&amp;"|"&amp;$C70</f>
        <v/>
      </c>
      <c r="B70" s="6" t="inlineStr">
        <is>
          <t>nga</t>
        </is>
      </c>
      <c r="C70" s="6" t="inlineStr">
        <is>
          <t>irn</t>
        </is>
      </c>
      <c r="D70" s="5">
        <f>INDEX(Mapping!$D$5:$D$20,MATCH($C70,Mapping!$A$5:$A$20,0))</f>
        <v/>
      </c>
      <c r="E70" s="5">
        <f>INDEX(Mapping!$C$29:$C$36,MATCH($B70,Mapping!$A$29:$A$36,0))</f>
        <v/>
      </c>
      <c r="F70" s="5">
        <f>INDEX(Mapping!$D$29:$D$36,MATCH($B70,Mapping!$A$29:$A$36,0))</f>
        <v/>
      </c>
      <c r="G70" s="5">
        <f>$B70&amp;"."&amp;IF(INDEX(Mapping!$E$29:$E$36,MATCH($B70,Mapping!$A$29:$A$36,0))="sub",INDEX(Mapping!$F$5:$F$20,MATCH($C70,Mapping!$A$5:$A$20,0)),"all")</f>
        <v/>
      </c>
      <c r="H70" s="5">
        <f>INDEX(Mapping!$E$5:$E$20,MATCH($C70,Mapping!$A$5:$A$20,0))</f>
        <v/>
      </c>
      <c r="I70" s="5">
        <f>INDEX(Mapping!$G$29:$G$36,MATCH($B70,Mapping!$A$29:$A$36,0))</f>
        <v/>
      </c>
      <c r="J70" s="5">
        <f>INDEX(Mapping!$H$29:$H$36,MATCH($B70,Mapping!$A$29:$A$36,0))</f>
        <v/>
      </c>
      <c r="K70" s="5">
        <f>INDEX(Mapping!$H$5:$H$20,MATCH($C70,Mapping!$A$5:$A$20,0))</f>
        <v/>
      </c>
      <c r="L70" s="5">
        <f>INDEX(Mapping!$E$42:$E$55,MATCH($G70,Mapping!$A$42:$A$55,0))</f>
        <v/>
      </c>
      <c r="M70" s="5">
        <f>INDEX(Mapping!$D$59:$D$62,MATCH(INDEX(Mapping!$G$5:$G$20,MATCH($C70,Mapping!$A$5:$A$20,0)),Mapping!$A$59:$A$62,0))</f>
        <v/>
      </c>
      <c r="N70" s="31">
        <f>INDEX(Elasticities!$F$4:$I$200,MATCH("inc|"&amp;$E70&amp;"|"&amp;$D70,Elasticities!$A$4:$A$200,0),MATCH(Settings!$C$6,Elasticities!$F$3:$I$3,0))</f>
        <v/>
      </c>
      <c r="O70" s="31">
        <f>INDEX(Elasticities!$F$4:$I$200,MATCH("usg|"&amp;$E70&amp;"|"&amp;$D70,Elasticities!$A$4:$A$200,0),MATCH(Settings!$C$6,Elasticities!$F$3:$I$3,0))</f>
        <v/>
      </c>
      <c r="P70" s="31">
        <f>INDEX(Elasticities!$F$4:$I$200,MATCH("eff|"&amp;$E70&amp;"|"&amp;$D70,Elasticities!$A$4:$A$200,0),MATCH(Settings!$C$6,Elasticities!$F$3:$I$3,0))</f>
        <v/>
      </c>
      <c r="Q70" s="25">
        <f>INDEX(Elasticities!$F$4:$I$200,MATCH("aei|"&amp;$F70&amp;"|"&amp;$D70,Elasticities!$A$4:$A$200,0),MATCH(Settings!$C$6,Elasticities!$F$3:$I$3,0))</f>
        <v/>
      </c>
      <c r="R70" s="47" t="n">
        <v>0</v>
      </c>
      <c r="S70" s="36">
        <f>INDEX(Prices_dom!$A$6:$CU$2000,MATCH(Settings!$C$4&amp;Settings!$C$7,Prices_dom!$A$6:$A$2000,0),MATCH("mit.sp."&amp;$G70,Prices_dom!$A$5:$CU$5,0))/$I70</f>
        <v/>
      </c>
      <c r="T70" s="36">
        <f>(INDEX(Prices_dom!$A$6:$CU$2000,MATCH(Settings!$C$4&amp;Settings!$C$7,Prices_dom!$A$6:$A$2000,0),MATCH("mit.rp."&amp;$G70,Prices_dom!$A$5:$CU$5,0))-INDEX(Prices_dom!$A$6:$CU$2000,MATCH(Settings!$C$4&amp;Settings!$C$7,Prices_dom!$A$6:$A$2000,0),MATCH("mit.sp."&amp;$G70,Prices_dom!$A$5:$CU$5,0)))/$I70</f>
        <v/>
      </c>
      <c r="U70" s="48">
        <f>INDEX(EF_GHG!$E$4:$E$1000,MATCH(Settings!$C$4&amp;"|"&amp;$B70&amp;"|"&amp;$H70,EF_GHG!$A$4:$A$1000,0))</f>
        <v/>
      </c>
      <c r="V70" s="41">
        <f>INDEX(EnergyCons!$F$4:$F$5000,MATCH(Settings!$C$4&amp;"|"&amp;Settings!$C$7&amp;"|"&amp;$C70&amp;"|"&amp;$B70,EnergyCons!$A$4:$A$5000,0))</f>
        <v/>
      </c>
    </row>
    <row r="71">
      <c r="A71" s="5">
        <f>$B71&amp;"|"&amp;$C71</f>
        <v/>
      </c>
      <c r="B71" s="6" t="inlineStr">
        <is>
          <t>gso</t>
        </is>
      </c>
      <c r="C71" s="6" t="inlineStr">
        <is>
          <t>irn</t>
        </is>
      </c>
      <c r="D71" s="5">
        <f>INDEX(Mapping!$D$5:$D$20,MATCH($C71,Mapping!$A$5:$A$20,0))</f>
        <v/>
      </c>
      <c r="E71" s="5">
        <f>INDEX(Mapping!$C$29:$C$36,MATCH($B71,Mapping!$A$29:$A$36,0))</f>
        <v/>
      </c>
      <c r="F71" s="5">
        <f>INDEX(Mapping!$D$29:$D$36,MATCH($B71,Mapping!$A$29:$A$36,0))</f>
        <v/>
      </c>
      <c r="G71" s="5">
        <f>$B71&amp;"."&amp;IF(INDEX(Mapping!$E$29:$E$36,MATCH($B71,Mapping!$A$29:$A$36,0))="sub",INDEX(Mapping!$F$5:$F$20,MATCH($C71,Mapping!$A$5:$A$20,0)),"all")</f>
        <v/>
      </c>
      <c r="H71" s="5">
        <f>INDEX(Mapping!$E$5:$E$20,MATCH($C71,Mapping!$A$5:$A$20,0))</f>
        <v/>
      </c>
      <c r="I71" s="5">
        <f>INDEX(Mapping!$G$29:$G$36,MATCH($B71,Mapping!$A$29:$A$36,0))</f>
        <v/>
      </c>
      <c r="J71" s="5">
        <f>INDEX(Mapping!$H$29:$H$36,MATCH($B71,Mapping!$A$29:$A$36,0))</f>
        <v/>
      </c>
      <c r="K71" s="5">
        <f>INDEX(Mapping!$H$5:$H$20,MATCH($C71,Mapping!$A$5:$A$20,0))</f>
        <v/>
      </c>
      <c r="L71" s="5">
        <f>INDEX(Mapping!$E$42:$E$55,MATCH($G71,Mapping!$A$42:$A$55,0))</f>
        <v/>
      </c>
      <c r="M71" s="5">
        <f>INDEX(Mapping!$D$59:$D$62,MATCH(INDEX(Mapping!$G$5:$G$20,MATCH($C71,Mapping!$A$5:$A$20,0)),Mapping!$A$59:$A$62,0))</f>
        <v/>
      </c>
      <c r="N71" s="31">
        <f>INDEX(Elasticities!$F$4:$I$200,MATCH("inc|"&amp;$E71&amp;"|"&amp;$D71,Elasticities!$A$4:$A$200,0),MATCH(Settings!$C$6,Elasticities!$F$3:$I$3,0))</f>
        <v/>
      </c>
      <c r="O71" s="31">
        <f>INDEX(Elasticities!$F$4:$I$200,MATCH("usg|"&amp;$E71&amp;"|"&amp;$D71,Elasticities!$A$4:$A$200,0),MATCH(Settings!$C$6,Elasticities!$F$3:$I$3,0))</f>
        <v/>
      </c>
      <c r="P71" s="31">
        <f>INDEX(Elasticities!$F$4:$I$200,MATCH("eff|"&amp;$E71&amp;"|"&amp;$D71,Elasticities!$A$4:$A$200,0),MATCH(Settings!$C$6,Elasticities!$F$3:$I$3,0))</f>
        <v/>
      </c>
      <c r="Q71" s="25">
        <f>INDEX(Elasticities!$F$4:$I$200,MATCH("aei|"&amp;$F71&amp;"|"&amp;$D71,Elasticities!$A$4:$A$200,0),MATCH(Settings!$C$6,Elasticities!$F$3:$I$3,0))</f>
        <v/>
      </c>
      <c r="R71" s="47" t="n">
        <v>0</v>
      </c>
      <c r="S71" s="36">
        <f>INDEX(Prices_dom!$A$6:$CU$2000,MATCH(Settings!$C$4&amp;Settings!$C$7,Prices_dom!$A$6:$A$2000,0),MATCH("mit.sp."&amp;$G71,Prices_dom!$A$5:$CU$5,0))/$I71</f>
        <v/>
      </c>
      <c r="T71" s="36">
        <f>(INDEX(Prices_dom!$A$6:$CU$2000,MATCH(Settings!$C$4&amp;Settings!$C$7,Prices_dom!$A$6:$A$2000,0),MATCH("mit.rp."&amp;$G71,Prices_dom!$A$5:$CU$5,0))-INDEX(Prices_dom!$A$6:$CU$2000,MATCH(Settings!$C$4&amp;Settings!$C$7,Prices_dom!$A$6:$A$2000,0),MATCH("mit.sp."&amp;$G71,Prices_dom!$A$5:$CU$5,0)))/$I71</f>
        <v/>
      </c>
      <c r="U71" s="48">
        <f>INDEX(EF_GHG!$E$4:$E$1000,MATCH(Settings!$C$4&amp;"|"&amp;$B71&amp;"|"&amp;$H71,EF_GHG!$A$4:$A$1000,0))</f>
        <v/>
      </c>
      <c r="V71" s="41">
        <f>INDEX(EnergyCons!$F$4:$F$5000,MATCH(Settings!$C$4&amp;"|"&amp;Settings!$C$7&amp;"|"&amp;$C71&amp;"|"&amp;$B71,EnergyCons!$A$4:$A$5000,0))</f>
        <v/>
      </c>
    </row>
    <row r="72">
      <c r="A72" s="5">
        <f>$B72&amp;"|"&amp;$C72</f>
        <v/>
      </c>
      <c r="B72" s="6" t="inlineStr">
        <is>
          <t>die</t>
        </is>
      </c>
      <c r="C72" s="6" t="inlineStr">
        <is>
          <t>irn</t>
        </is>
      </c>
      <c r="D72" s="5">
        <f>INDEX(Mapping!$D$5:$D$20,MATCH($C72,Mapping!$A$5:$A$20,0))</f>
        <v/>
      </c>
      <c r="E72" s="5">
        <f>INDEX(Mapping!$C$29:$C$36,MATCH($B72,Mapping!$A$29:$A$36,0))</f>
        <v/>
      </c>
      <c r="F72" s="5">
        <f>INDEX(Mapping!$D$29:$D$36,MATCH($B72,Mapping!$A$29:$A$36,0))</f>
        <v/>
      </c>
      <c r="G72" s="5">
        <f>$B72&amp;"."&amp;IF(INDEX(Mapping!$E$29:$E$36,MATCH($B72,Mapping!$A$29:$A$36,0))="sub",INDEX(Mapping!$F$5:$F$20,MATCH($C72,Mapping!$A$5:$A$20,0)),"all")</f>
        <v/>
      </c>
      <c r="H72" s="5">
        <f>INDEX(Mapping!$E$5:$E$20,MATCH($C72,Mapping!$A$5:$A$20,0))</f>
        <v/>
      </c>
      <c r="I72" s="5">
        <f>INDEX(Mapping!$G$29:$G$36,MATCH($B72,Mapping!$A$29:$A$36,0))</f>
        <v/>
      </c>
      <c r="J72" s="5">
        <f>INDEX(Mapping!$H$29:$H$36,MATCH($B72,Mapping!$A$29:$A$36,0))</f>
        <v/>
      </c>
      <c r="K72" s="5">
        <f>INDEX(Mapping!$H$5:$H$20,MATCH($C72,Mapping!$A$5:$A$20,0))</f>
        <v/>
      </c>
      <c r="L72" s="5">
        <f>INDEX(Mapping!$E$42:$E$55,MATCH($G72,Mapping!$A$42:$A$55,0))</f>
        <v/>
      </c>
      <c r="M72" s="5">
        <f>INDEX(Mapping!$D$59:$D$62,MATCH(INDEX(Mapping!$G$5:$G$20,MATCH($C72,Mapping!$A$5:$A$20,0)),Mapping!$A$59:$A$62,0))</f>
        <v/>
      </c>
      <c r="N72" s="31">
        <f>INDEX(Elasticities!$F$4:$I$200,MATCH("inc|"&amp;$E72&amp;"|"&amp;$D72,Elasticities!$A$4:$A$200,0),MATCH(Settings!$C$6,Elasticities!$F$3:$I$3,0))</f>
        <v/>
      </c>
      <c r="O72" s="31">
        <f>INDEX(Elasticities!$F$4:$I$200,MATCH("usg|"&amp;$E72&amp;"|"&amp;$D72,Elasticities!$A$4:$A$200,0),MATCH(Settings!$C$6,Elasticities!$F$3:$I$3,0))</f>
        <v/>
      </c>
      <c r="P72" s="31">
        <f>INDEX(Elasticities!$F$4:$I$200,MATCH("eff|"&amp;$E72&amp;"|"&amp;$D72,Elasticities!$A$4:$A$200,0),MATCH(Settings!$C$6,Elasticities!$F$3:$I$3,0))</f>
        <v/>
      </c>
      <c r="Q72" s="25">
        <f>INDEX(Elasticities!$F$4:$I$200,MATCH("aei|"&amp;$F72&amp;"|"&amp;$D72,Elasticities!$A$4:$A$200,0),MATCH(Settings!$C$6,Elasticities!$F$3:$I$3,0))</f>
        <v/>
      </c>
      <c r="R72" s="47" t="n">
        <v>0</v>
      </c>
      <c r="S72" s="36">
        <f>INDEX(Prices_dom!$A$6:$CU$2000,MATCH(Settings!$C$4&amp;Settings!$C$7,Prices_dom!$A$6:$A$2000,0),MATCH("mit.sp."&amp;$G72,Prices_dom!$A$5:$CU$5,0))/$I72</f>
        <v/>
      </c>
      <c r="T72" s="36">
        <f>(INDEX(Prices_dom!$A$6:$CU$2000,MATCH(Settings!$C$4&amp;Settings!$C$7,Prices_dom!$A$6:$A$2000,0),MATCH("mit.rp."&amp;$G72,Prices_dom!$A$5:$CU$5,0))-INDEX(Prices_dom!$A$6:$CU$2000,MATCH(Settings!$C$4&amp;Settings!$C$7,Prices_dom!$A$6:$A$2000,0),MATCH("mit.sp."&amp;$G72,Prices_dom!$A$5:$CU$5,0)))/$I72</f>
        <v/>
      </c>
      <c r="U72" s="48">
        <f>INDEX(EF_GHG!$E$4:$E$1000,MATCH(Settings!$C$4&amp;"|"&amp;$B72&amp;"|"&amp;$H72,EF_GHG!$A$4:$A$1000,0))</f>
        <v/>
      </c>
      <c r="V72" s="41">
        <f>INDEX(EnergyCons!$F$4:$F$5000,MATCH(Settings!$C$4&amp;"|"&amp;Settings!$C$7&amp;"|"&amp;$C72&amp;"|"&amp;$B72,EnergyCons!$A$4:$A$5000,0))</f>
        <v/>
      </c>
    </row>
    <row r="73">
      <c r="A73" s="5">
        <f>$B73&amp;"|"&amp;$C73</f>
        <v/>
      </c>
      <c r="B73" s="6" t="inlineStr">
        <is>
          <t>lpg</t>
        </is>
      </c>
      <c r="C73" s="6" t="inlineStr">
        <is>
          <t>irn</t>
        </is>
      </c>
      <c r="D73" s="5">
        <f>INDEX(Mapping!$D$5:$D$20,MATCH($C73,Mapping!$A$5:$A$20,0))</f>
        <v/>
      </c>
      <c r="E73" s="5">
        <f>INDEX(Mapping!$C$29:$C$36,MATCH($B73,Mapping!$A$29:$A$36,0))</f>
        <v/>
      </c>
      <c r="F73" s="5">
        <f>INDEX(Mapping!$D$29:$D$36,MATCH($B73,Mapping!$A$29:$A$36,0))</f>
        <v/>
      </c>
      <c r="G73" s="5">
        <f>$B73&amp;"."&amp;IF(INDEX(Mapping!$E$29:$E$36,MATCH($B73,Mapping!$A$29:$A$36,0))="sub",INDEX(Mapping!$F$5:$F$20,MATCH($C73,Mapping!$A$5:$A$20,0)),"all")</f>
        <v/>
      </c>
      <c r="H73" s="5">
        <f>INDEX(Mapping!$E$5:$E$20,MATCH($C73,Mapping!$A$5:$A$20,0))</f>
        <v/>
      </c>
      <c r="I73" s="5">
        <f>INDEX(Mapping!$G$29:$G$36,MATCH($B73,Mapping!$A$29:$A$36,0))</f>
        <v/>
      </c>
      <c r="J73" s="5">
        <f>INDEX(Mapping!$H$29:$H$36,MATCH($B73,Mapping!$A$29:$A$36,0))</f>
        <v/>
      </c>
      <c r="K73" s="5">
        <f>INDEX(Mapping!$H$5:$H$20,MATCH($C73,Mapping!$A$5:$A$20,0))</f>
        <v/>
      </c>
      <c r="L73" s="5">
        <f>INDEX(Mapping!$E$42:$E$55,MATCH($G73,Mapping!$A$42:$A$55,0))</f>
        <v/>
      </c>
      <c r="M73" s="5">
        <f>INDEX(Mapping!$D$59:$D$62,MATCH(INDEX(Mapping!$G$5:$G$20,MATCH($C73,Mapping!$A$5:$A$20,0)),Mapping!$A$59:$A$62,0))</f>
        <v/>
      </c>
      <c r="N73" s="31">
        <f>INDEX(Elasticities!$F$4:$I$200,MATCH("inc|"&amp;$E73&amp;"|"&amp;$D73,Elasticities!$A$4:$A$200,0),MATCH(Settings!$C$6,Elasticities!$F$3:$I$3,0))</f>
        <v/>
      </c>
      <c r="O73" s="31">
        <f>INDEX(Elasticities!$F$4:$I$200,MATCH("usg|"&amp;$E73&amp;"|"&amp;$D73,Elasticities!$A$4:$A$200,0),MATCH(Settings!$C$6,Elasticities!$F$3:$I$3,0))</f>
        <v/>
      </c>
      <c r="P73" s="31">
        <f>INDEX(Elasticities!$F$4:$I$200,MATCH("eff|"&amp;$E73&amp;"|"&amp;$D73,Elasticities!$A$4:$A$200,0),MATCH(Settings!$C$6,Elasticities!$F$3:$I$3,0))</f>
        <v/>
      </c>
      <c r="Q73" s="25">
        <f>INDEX(Elasticities!$F$4:$I$200,MATCH("aei|"&amp;$F73&amp;"|"&amp;$D73,Elasticities!$A$4:$A$200,0),MATCH(Settings!$C$6,Elasticities!$F$3:$I$3,0))</f>
        <v/>
      </c>
      <c r="R73" s="47" t="n">
        <v>0</v>
      </c>
      <c r="S73" s="36">
        <f>INDEX(Prices_dom!$A$6:$CU$2000,MATCH(Settings!$C$4&amp;Settings!$C$7,Prices_dom!$A$6:$A$2000,0),MATCH("mit.sp."&amp;$G73,Prices_dom!$A$5:$CU$5,0))/$I73</f>
        <v/>
      </c>
      <c r="T73" s="36">
        <f>(INDEX(Prices_dom!$A$6:$CU$2000,MATCH(Settings!$C$4&amp;Settings!$C$7,Prices_dom!$A$6:$A$2000,0),MATCH("mit.rp."&amp;$G73,Prices_dom!$A$5:$CU$5,0))-INDEX(Prices_dom!$A$6:$CU$2000,MATCH(Settings!$C$4&amp;Settings!$C$7,Prices_dom!$A$6:$A$2000,0),MATCH("mit.sp."&amp;$G73,Prices_dom!$A$5:$CU$5,0)))/$I73</f>
        <v/>
      </c>
      <c r="U73" s="48">
        <f>INDEX(EF_GHG!$E$4:$E$1000,MATCH(Settings!$C$4&amp;"|"&amp;$B73&amp;"|"&amp;$H73,EF_GHG!$A$4:$A$1000,0))</f>
        <v/>
      </c>
      <c r="V73" s="41">
        <f>INDEX(EnergyCons!$F$4:$F$5000,MATCH(Settings!$C$4&amp;"|"&amp;Settings!$C$7&amp;"|"&amp;$C73&amp;"|"&amp;$B73,EnergyCons!$A$4:$A$5000,0))</f>
        <v/>
      </c>
    </row>
    <row r="74">
      <c r="A74" s="5">
        <f>$B74&amp;"|"&amp;$C74</f>
        <v/>
      </c>
      <c r="B74" s="6" t="inlineStr">
        <is>
          <t>ker</t>
        </is>
      </c>
      <c r="C74" s="6" t="inlineStr">
        <is>
          <t>irn</t>
        </is>
      </c>
      <c r="D74" s="5">
        <f>INDEX(Mapping!$D$5:$D$20,MATCH($C74,Mapping!$A$5:$A$20,0))</f>
        <v/>
      </c>
      <c r="E74" s="5">
        <f>INDEX(Mapping!$C$29:$C$36,MATCH($B74,Mapping!$A$29:$A$36,0))</f>
        <v/>
      </c>
      <c r="F74" s="5">
        <f>INDEX(Mapping!$D$29:$D$36,MATCH($B74,Mapping!$A$29:$A$36,0))</f>
        <v/>
      </c>
      <c r="G74" s="5">
        <f>$B74&amp;"."&amp;IF(INDEX(Mapping!$E$29:$E$36,MATCH($B74,Mapping!$A$29:$A$36,0))="sub",INDEX(Mapping!$F$5:$F$20,MATCH($C74,Mapping!$A$5:$A$20,0)),"all")</f>
        <v/>
      </c>
      <c r="H74" s="5">
        <f>INDEX(Mapping!$E$5:$E$20,MATCH($C74,Mapping!$A$5:$A$20,0))</f>
        <v/>
      </c>
      <c r="I74" s="5">
        <f>INDEX(Mapping!$G$29:$G$36,MATCH($B74,Mapping!$A$29:$A$36,0))</f>
        <v/>
      </c>
      <c r="J74" s="5">
        <f>INDEX(Mapping!$H$29:$H$36,MATCH($B74,Mapping!$A$29:$A$36,0))</f>
        <v/>
      </c>
      <c r="K74" s="5">
        <f>INDEX(Mapping!$H$5:$H$20,MATCH($C74,Mapping!$A$5:$A$20,0))</f>
        <v/>
      </c>
      <c r="L74" s="5">
        <f>INDEX(Mapping!$E$42:$E$55,MATCH($G74,Mapping!$A$42:$A$55,0))</f>
        <v/>
      </c>
      <c r="M74" s="5">
        <f>INDEX(Mapping!$D$59:$D$62,MATCH(INDEX(Mapping!$G$5:$G$20,MATCH($C74,Mapping!$A$5:$A$20,0)),Mapping!$A$59:$A$62,0))</f>
        <v/>
      </c>
      <c r="N74" s="31">
        <f>INDEX(Elasticities!$F$4:$I$200,MATCH("inc|"&amp;$E74&amp;"|"&amp;$D74,Elasticities!$A$4:$A$200,0),MATCH(Settings!$C$6,Elasticities!$F$3:$I$3,0))</f>
        <v/>
      </c>
      <c r="O74" s="31">
        <f>INDEX(Elasticities!$F$4:$I$200,MATCH("usg|"&amp;$E74&amp;"|"&amp;$D74,Elasticities!$A$4:$A$200,0),MATCH(Settings!$C$6,Elasticities!$F$3:$I$3,0))</f>
        <v/>
      </c>
      <c r="P74" s="31">
        <f>INDEX(Elasticities!$F$4:$I$200,MATCH("eff|"&amp;$E74&amp;"|"&amp;$D74,Elasticities!$A$4:$A$200,0),MATCH(Settings!$C$6,Elasticities!$F$3:$I$3,0))</f>
        <v/>
      </c>
      <c r="Q74" s="25">
        <f>INDEX(Elasticities!$F$4:$I$200,MATCH("aei|"&amp;$F74&amp;"|"&amp;$D74,Elasticities!$A$4:$A$200,0),MATCH(Settings!$C$6,Elasticities!$F$3:$I$3,0))</f>
        <v/>
      </c>
      <c r="R74" s="47" t="n">
        <v>0</v>
      </c>
      <c r="S74" s="36">
        <f>INDEX(Prices_dom!$A$6:$CU$2000,MATCH(Settings!$C$4&amp;Settings!$C$7,Prices_dom!$A$6:$A$2000,0),MATCH("mit.sp."&amp;$G74,Prices_dom!$A$5:$CU$5,0))/$I74</f>
        <v/>
      </c>
      <c r="T74" s="36">
        <f>(INDEX(Prices_dom!$A$6:$CU$2000,MATCH(Settings!$C$4&amp;Settings!$C$7,Prices_dom!$A$6:$A$2000,0),MATCH("mit.rp."&amp;$G74,Prices_dom!$A$5:$CU$5,0))-INDEX(Prices_dom!$A$6:$CU$2000,MATCH(Settings!$C$4&amp;Settings!$C$7,Prices_dom!$A$6:$A$2000,0),MATCH("mit.sp."&amp;$G74,Prices_dom!$A$5:$CU$5,0)))/$I74</f>
        <v/>
      </c>
      <c r="U74" s="48">
        <f>INDEX(EF_GHG!$E$4:$E$1000,MATCH(Settings!$C$4&amp;"|"&amp;$B74&amp;"|"&amp;$H74,EF_GHG!$A$4:$A$1000,0))</f>
        <v/>
      </c>
      <c r="V74" s="41">
        <f>INDEX(EnergyCons!$F$4:$F$5000,MATCH(Settings!$C$4&amp;"|"&amp;Settings!$C$7&amp;"|"&amp;$C74&amp;"|"&amp;$B74,EnergyCons!$A$4:$A$5000,0))</f>
        <v/>
      </c>
    </row>
    <row r="75">
      <c r="A75" s="5">
        <f>$B75&amp;"|"&amp;$C75</f>
        <v/>
      </c>
      <c r="B75" s="6" t="inlineStr">
        <is>
          <t>oop</t>
        </is>
      </c>
      <c r="C75" s="6" t="inlineStr">
        <is>
          <t>irn</t>
        </is>
      </c>
      <c r="D75" s="5">
        <f>INDEX(Mapping!$D$5:$D$20,MATCH($C75,Mapping!$A$5:$A$20,0))</f>
        <v/>
      </c>
      <c r="E75" s="5">
        <f>INDEX(Mapping!$C$29:$C$36,MATCH($B75,Mapping!$A$29:$A$36,0))</f>
        <v/>
      </c>
      <c r="F75" s="5">
        <f>INDEX(Mapping!$D$29:$D$36,MATCH($B75,Mapping!$A$29:$A$36,0))</f>
        <v/>
      </c>
      <c r="G75" s="5">
        <f>$B75&amp;"."&amp;IF(INDEX(Mapping!$E$29:$E$36,MATCH($B75,Mapping!$A$29:$A$36,0))="sub",INDEX(Mapping!$F$5:$F$20,MATCH($C75,Mapping!$A$5:$A$20,0)),"all")</f>
        <v/>
      </c>
      <c r="H75" s="5">
        <f>INDEX(Mapping!$E$5:$E$20,MATCH($C75,Mapping!$A$5:$A$20,0))</f>
        <v/>
      </c>
      <c r="I75" s="5">
        <f>INDEX(Mapping!$G$29:$G$36,MATCH($B75,Mapping!$A$29:$A$36,0))</f>
        <v/>
      </c>
      <c r="J75" s="5">
        <f>INDEX(Mapping!$H$29:$H$36,MATCH($B75,Mapping!$A$29:$A$36,0))</f>
        <v/>
      </c>
      <c r="K75" s="5">
        <f>INDEX(Mapping!$H$5:$H$20,MATCH($C75,Mapping!$A$5:$A$20,0))</f>
        <v/>
      </c>
      <c r="L75" s="5">
        <f>INDEX(Mapping!$E$42:$E$55,MATCH($G75,Mapping!$A$42:$A$55,0))</f>
        <v/>
      </c>
      <c r="M75" s="5">
        <f>INDEX(Mapping!$D$59:$D$62,MATCH(INDEX(Mapping!$G$5:$G$20,MATCH($C75,Mapping!$A$5:$A$20,0)),Mapping!$A$59:$A$62,0))</f>
        <v/>
      </c>
      <c r="N75" s="31">
        <f>INDEX(Elasticities!$F$4:$I$200,MATCH("inc|"&amp;$E75&amp;"|"&amp;$D75,Elasticities!$A$4:$A$200,0),MATCH(Settings!$C$6,Elasticities!$F$3:$I$3,0))</f>
        <v/>
      </c>
      <c r="O75" s="31">
        <f>INDEX(Elasticities!$F$4:$I$200,MATCH("usg|"&amp;$E75&amp;"|"&amp;$D75,Elasticities!$A$4:$A$200,0),MATCH(Settings!$C$6,Elasticities!$F$3:$I$3,0))</f>
        <v/>
      </c>
      <c r="P75" s="31">
        <f>INDEX(Elasticities!$F$4:$I$200,MATCH("eff|"&amp;$E75&amp;"|"&amp;$D75,Elasticities!$A$4:$A$200,0),MATCH(Settings!$C$6,Elasticities!$F$3:$I$3,0))</f>
        <v/>
      </c>
      <c r="Q75" s="25">
        <f>INDEX(Elasticities!$F$4:$I$200,MATCH("aei|"&amp;$F75&amp;"|"&amp;$D75,Elasticities!$A$4:$A$200,0),MATCH(Settings!$C$6,Elasticities!$F$3:$I$3,0))</f>
        <v/>
      </c>
      <c r="R75" s="47" t="n">
        <v>0</v>
      </c>
      <c r="S75" s="36">
        <f>INDEX(Prices_dom!$A$6:$CU$2000,MATCH(Settings!$C$4&amp;Settings!$C$7,Prices_dom!$A$6:$A$2000,0),MATCH("mit.sp."&amp;$G75,Prices_dom!$A$5:$CU$5,0))/$I75</f>
        <v/>
      </c>
      <c r="T75" s="36">
        <f>(INDEX(Prices_dom!$A$6:$CU$2000,MATCH(Settings!$C$4&amp;Settings!$C$7,Prices_dom!$A$6:$A$2000,0),MATCH("mit.rp."&amp;$G75,Prices_dom!$A$5:$CU$5,0))-INDEX(Prices_dom!$A$6:$CU$2000,MATCH(Settings!$C$4&amp;Settings!$C$7,Prices_dom!$A$6:$A$2000,0),MATCH("mit.sp."&amp;$G75,Prices_dom!$A$5:$CU$5,0)))/$I75</f>
        <v/>
      </c>
      <c r="U75" s="48">
        <f>INDEX(EF_GHG!$E$4:$E$1000,MATCH(Settings!$C$4&amp;"|"&amp;$B75&amp;"|"&amp;$H75,EF_GHG!$A$4:$A$1000,0))</f>
        <v/>
      </c>
      <c r="V75" s="41">
        <f>INDEX(EnergyCons!$F$4:$F$5000,MATCH(Settings!$C$4&amp;"|"&amp;Settings!$C$7&amp;"|"&amp;$C75&amp;"|"&amp;$B75,EnergyCons!$A$4:$A$5000,0))</f>
        <v/>
      </c>
    </row>
    <row r="76">
      <c r="A76" s="5">
        <f>$B76&amp;"|"&amp;$C76</f>
        <v/>
      </c>
      <c r="B76" s="6" t="inlineStr">
        <is>
          <t>bio</t>
        </is>
      </c>
      <c r="C76" s="6" t="inlineStr">
        <is>
          <t>irn</t>
        </is>
      </c>
      <c r="D76" s="5">
        <f>INDEX(Mapping!$D$5:$D$20,MATCH($C76,Mapping!$A$5:$A$20,0))</f>
        <v/>
      </c>
      <c r="E76" s="5">
        <f>INDEX(Mapping!$C$29:$C$36,MATCH($B76,Mapping!$A$29:$A$36,0))</f>
        <v/>
      </c>
      <c r="F76" s="5">
        <f>INDEX(Mapping!$D$29:$D$36,MATCH($B76,Mapping!$A$29:$A$36,0))</f>
        <v/>
      </c>
      <c r="G76" s="5">
        <f>$B76&amp;"."&amp;IF(INDEX(Mapping!$E$29:$E$36,MATCH($B76,Mapping!$A$29:$A$36,0))="sub",INDEX(Mapping!$F$5:$F$20,MATCH($C76,Mapping!$A$5:$A$20,0)),"all")</f>
        <v/>
      </c>
      <c r="H76" s="5">
        <f>INDEX(Mapping!$E$5:$E$20,MATCH($C76,Mapping!$A$5:$A$20,0))</f>
        <v/>
      </c>
      <c r="I76" s="5">
        <f>INDEX(Mapping!$G$29:$G$36,MATCH($B76,Mapping!$A$29:$A$36,0))</f>
        <v/>
      </c>
      <c r="J76" s="5">
        <f>INDEX(Mapping!$H$29:$H$36,MATCH($B76,Mapping!$A$29:$A$36,0))</f>
        <v/>
      </c>
      <c r="K76" s="5">
        <f>INDEX(Mapping!$H$5:$H$20,MATCH($C76,Mapping!$A$5:$A$20,0))</f>
        <v/>
      </c>
      <c r="L76" s="5">
        <f>INDEX(Mapping!$E$42:$E$55,MATCH($G76,Mapping!$A$42:$A$55,0))</f>
        <v/>
      </c>
      <c r="M76" s="5">
        <f>INDEX(Mapping!$D$59:$D$62,MATCH(INDEX(Mapping!$G$5:$G$20,MATCH($C76,Mapping!$A$5:$A$20,0)),Mapping!$A$59:$A$62,0))</f>
        <v/>
      </c>
      <c r="N76" s="31">
        <f>INDEX(Elasticities!$F$4:$I$200,MATCH("inc|"&amp;$E76&amp;"|"&amp;$D76,Elasticities!$A$4:$A$200,0),MATCH(Settings!$C$6,Elasticities!$F$3:$I$3,0))</f>
        <v/>
      </c>
      <c r="O76" s="31">
        <f>INDEX(Elasticities!$F$4:$I$200,MATCH("usg|"&amp;$E76&amp;"|"&amp;$D76,Elasticities!$A$4:$A$200,0),MATCH(Settings!$C$6,Elasticities!$F$3:$I$3,0))</f>
        <v/>
      </c>
      <c r="P76" s="31">
        <f>INDEX(Elasticities!$F$4:$I$200,MATCH("eff|"&amp;$E76&amp;"|"&amp;$D76,Elasticities!$A$4:$A$200,0),MATCH(Settings!$C$6,Elasticities!$F$3:$I$3,0))</f>
        <v/>
      </c>
      <c r="Q76" s="25">
        <f>INDEX(Elasticities!$F$4:$I$200,MATCH("aei|"&amp;$F76&amp;"|"&amp;$D76,Elasticities!$A$4:$A$200,0),MATCH(Settings!$C$6,Elasticities!$F$3:$I$3,0))</f>
        <v/>
      </c>
      <c r="R76" s="47" t="n">
        <v>0</v>
      </c>
      <c r="S76" s="36">
        <f>INDEX(Prices_dom!$A$6:$CU$2000,MATCH(Settings!$C$4&amp;Settings!$C$7,Prices_dom!$A$6:$A$2000,0),MATCH("mit.sp."&amp;$G76,Prices_dom!$A$5:$CU$5,0))/$I76</f>
        <v/>
      </c>
      <c r="T76" s="36">
        <f>(INDEX(Prices_dom!$A$6:$CU$2000,MATCH(Settings!$C$4&amp;Settings!$C$7,Prices_dom!$A$6:$A$2000,0),MATCH("mit.rp."&amp;$G76,Prices_dom!$A$5:$CU$5,0))-INDEX(Prices_dom!$A$6:$CU$2000,MATCH(Settings!$C$4&amp;Settings!$C$7,Prices_dom!$A$6:$A$2000,0),MATCH("mit.sp."&amp;$G76,Prices_dom!$A$5:$CU$5,0)))/$I76</f>
        <v/>
      </c>
      <c r="U76" s="48">
        <f>INDEX(EF_GHG!$E$4:$E$1000,MATCH(Settings!$C$4&amp;"|"&amp;$B76&amp;"|"&amp;$H76,EF_GHG!$A$4:$A$1000,0))</f>
        <v/>
      </c>
      <c r="V76" s="41">
        <f>INDEX(EnergyCons!$F$4:$F$5000,MATCH(Settings!$C$4&amp;"|"&amp;Settings!$C$7&amp;"|"&amp;$C76&amp;"|"&amp;$B76,EnergyCons!$A$4:$A$5000,0))</f>
        <v/>
      </c>
    </row>
    <row r="77">
      <c r="A77" s="5">
        <f>$B77&amp;"|"&amp;$C77</f>
        <v/>
      </c>
      <c r="B77" s="6" t="inlineStr">
        <is>
          <t>coa</t>
        </is>
      </c>
      <c r="C77" s="6" t="inlineStr">
        <is>
          <t>nfm</t>
        </is>
      </c>
      <c r="D77" s="5">
        <f>INDEX(Mapping!$D$5:$D$20,MATCH($C77,Mapping!$A$5:$A$20,0))</f>
        <v/>
      </c>
      <c r="E77" s="5">
        <f>INDEX(Mapping!$C$29:$C$36,MATCH($B77,Mapping!$A$29:$A$36,0))</f>
        <v/>
      </c>
      <c r="F77" s="5">
        <f>INDEX(Mapping!$D$29:$D$36,MATCH($B77,Mapping!$A$29:$A$36,0))</f>
        <v/>
      </c>
      <c r="G77" s="5">
        <f>$B77&amp;"."&amp;IF(INDEX(Mapping!$E$29:$E$36,MATCH($B77,Mapping!$A$29:$A$36,0))="sub",INDEX(Mapping!$F$5:$F$20,MATCH($C77,Mapping!$A$5:$A$20,0)),"all")</f>
        <v/>
      </c>
      <c r="H77" s="5">
        <f>INDEX(Mapping!$E$5:$E$20,MATCH($C77,Mapping!$A$5:$A$20,0))</f>
        <v/>
      </c>
      <c r="I77" s="5">
        <f>INDEX(Mapping!$G$29:$G$36,MATCH($B77,Mapping!$A$29:$A$36,0))</f>
        <v/>
      </c>
      <c r="J77" s="5">
        <f>INDEX(Mapping!$H$29:$H$36,MATCH($B77,Mapping!$A$29:$A$36,0))</f>
        <v/>
      </c>
      <c r="K77" s="5">
        <f>INDEX(Mapping!$H$5:$H$20,MATCH($C77,Mapping!$A$5:$A$20,0))</f>
        <v/>
      </c>
      <c r="L77" s="5">
        <f>INDEX(Mapping!$E$42:$E$55,MATCH($G77,Mapping!$A$42:$A$55,0))</f>
        <v/>
      </c>
      <c r="M77" s="5">
        <f>INDEX(Mapping!$D$59:$D$62,MATCH(INDEX(Mapping!$G$5:$G$20,MATCH($C77,Mapping!$A$5:$A$20,0)),Mapping!$A$59:$A$62,0))</f>
        <v/>
      </c>
      <c r="N77" s="31">
        <f>INDEX(Elasticities!$F$4:$I$200,MATCH("inc|"&amp;$E77&amp;"|"&amp;$D77,Elasticities!$A$4:$A$200,0),MATCH(Settings!$C$6,Elasticities!$F$3:$I$3,0))</f>
        <v/>
      </c>
      <c r="O77" s="31">
        <f>INDEX(Elasticities!$F$4:$I$200,MATCH("usg|"&amp;$E77&amp;"|"&amp;$D77,Elasticities!$A$4:$A$200,0),MATCH(Settings!$C$6,Elasticities!$F$3:$I$3,0))</f>
        <v/>
      </c>
      <c r="P77" s="31">
        <f>INDEX(Elasticities!$F$4:$I$200,MATCH("eff|"&amp;$E77&amp;"|"&amp;$D77,Elasticities!$A$4:$A$200,0),MATCH(Settings!$C$6,Elasticities!$F$3:$I$3,0))</f>
        <v/>
      </c>
      <c r="Q77" s="25">
        <f>INDEX(Elasticities!$F$4:$I$200,MATCH("aei|"&amp;$F77&amp;"|"&amp;$D77,Elasticities!$A$4:$A$200,0),MATCH(Settings!$C$6,Elasticities!$F$3:$I$3,0))</f>
        <v/>
      </c>
      <c r="R77" s="47" t="n">
        <v>0</v>
      </c>
      <c r="S77" s="36">
        <f>INDEX(Prices_dom!$A$6:$CU$2000,MATCH(Settings!$C$4&amp;Settings!$C$7,Prices_dom!$A$6:$A$2000,0),MATCH("mit.sp."&amp;$G77,Prices_dom!$A$5:$CU$5,0))/$I77</f>
        <v/>
      </c>
      <c r="T77" s="36">
        <f>(INDEX(Prices_dom!$A$6:$CU$2000,MATCH(Settings!$C$4&amp;Settings!$C$7,Prices_dom!$A$6:$A$2000,0),MATCH("mit.rp."&amp;$G77,Prices_dom!$A$5:$CU$5,0))-INDEX(Prices_dom!$A$6:$CU$2000,MATCH(Settings!$C$4&amp;Settings!$C$7,Prices_dom!$A$6:$A$2000,0),MATCH("mit.sp."&amp;$G77,Prices_dom!$A$5:$CU$5,0)))/$I77</f>
        <v/>
      </c>
      <c r="U77" s="48">
        <f>INDEX(EF_GHG!$E$4:$E$1000,MATCH(Settings!$C$4&amp;"|"&amp;$B77&amp;"|"&amp;$H77,EF_GHG!$A$4:$A$1000,0))</f>
        <v/>
      </c>
      <c r="V77" s="41">
        <f>INDEX(EnergyCons!$F$4:$F$5000,MATCH(Settings!$C$4&amp;"|"&amp;Settings!$C$7&amp;"|"&amp;$C77&amp;"|"&amp;$B77,EnergyCons!$A$4:$A$5000,0))</f>
        <v/>
      </c>
    </row>
    <row r="78">
      <c r="A78" s="5">
        <f>$B78&amp;"|"&amp;$C78</f>
        <v/>
      </c>
      <c r="B78" s="6" t="inlineStr">
        <is>
          <t>nga</t>
        </is>
      </c>
      <c r="C78" s="6" t="inlineStr">
        <is>
          <t>nfm</t>
        </is>
      </c>
      <c r="D78" s="5">
        <f>INDEX(Mapping!$D$5:$D$20,MATCH($C78,Mapping!$A$5:$A$20,0))</f>
        <v/>
      </c>
      <c r="E78" s="5">
        <f>INDEX(Mapping!$C$29:$C$36,MATCH($B78,Mapping!$A$29:$A$36,0))</f>
        <v/>
      </c>
      <c r="F78" s="5">
        <f>INDEX(Mapping!$D$29:$D$36,MATCH($B78,Mapping!$A$29:$A$36,0))</f>
        <v/>
      </c>
      <c r="G78" s="5">
        <f>$B78&amp;"."&amp;IF(INDEX(Mapping!$E$29:$E$36,MATCH($B78,Mapping!$A$29:$A$36,0))="sub",INDEX(Mapping!$F$5:$F$20,MATCH($C78,Mapping!$A$5:$A$20,0)),"all")</f>
        <v/>
      </c>
      <c r="H78" s="5">
        <f>INDEX(Mapping!$E$5:$E$20,MATCH($C78,Mapping!$A$5:$A$20,0))</f>
        <v/>
      </c>
      <c r="I78" s="5">
        <f>INDEX(Mapping!$G$29:$G$36,MATCH($B78,Mapping!$A$29:$A$36,0))</f>
        <v/>
      </c>
      <c r="J78" s="5">
        <f>INDEX(Mapping!$H$29:$H$36,MATCH($B78,Mapping!$A$29:$A$36,0))</f>
        <v/>
      </c>
      <c r="K78" s="5">
        <f>INDEX(Mapping!$H$5:$H$20,MATCH($C78,Mapping!$A$5:$A$20,0))</f>
        <v/>
      </c>
      <c r="L78" s="5">
        <f>INDEX(Mapping!$E$42:$E$55,MATCH($G78,Mapping!$A$42:$A$55,0))</f>
        <v/>
      </c>
      <c r="M78" s="5">
        <f>INDEX(Mapping!$D$59:$D$62,MATCH(INDEX(Mapping!$G$5:$G$20,MATCH($C78,Mapping!$A$5:$A$20,0)),Mapping!$A$59:$A$62,0))</f>
        <v/>
      </c>
      <c r="N78" s="31">
        <f>INDEX(Elasticities!$F$4:$I$200,MATCH("inc|"&amp;$E78&amp;"|"&amp;$D78,Elasticities!$A$4:$A$200,0),MATCH(Settings!$C$6,Elasticities!$F$3:$I$3,0))</f>
        <v/>
      </c>
      <c r="O78" s="31">
        <f>INDEX(Elasticities!$F$4:$I$200,MATCH("usg|"&amp;$E78&amp;"|"&amp;$D78,Elasticities!$A$4:$A$200,0),MATCH(Settings!$C$6,Elasticities!$F$3:$I$3,0))</f>
        <v/>
      </c>
      <c r="P78" s="31">
        <f>INDEX(Elasticities!$F$4:$I$200,MATCH("eff|"&amp;$E78&amp;"|"&amp;$D78,Elasticities!$A$4:$A$200,0),MATCH(Settings!$C$6,Elasticities!$F$3:$I$3,0))</f>
        <v/>
      </c>
      <c r="Q78" s="25">
        <f>INDEX(Elasticities!$F$4:$I$200,MATCH("aei|"&amp;$F78&amp;"|"&amp;$D78,Elasticities!$A$4:$A$200,0),MATCH(Settings!$C$6,Elasticities!$F$3:$I$3,0))</f>
        <v/>
      </c>
      <c r="R78" s="47" t="n">
        <v>0</v>
      </c>
      <c r="S78" s="36">
        <f>INDEX(Prices_dom!$A$6:$CU$2000,MATCH(Settings!$C$4&amp;Settings!$C$7,Prices_dom!$A$6:$A$2000,0),MATCH("mit.sp."&amp;$G78,Prices_dom!$A$5:$CU$5,0))/$I78</f>
        <v/>
      </c>
      <c r="T78" s="36">
        <f>(INDEX(Prices_dom!$A$6:$CU$2000,MATCH(Settings!$C$4&amp;Settings!$C$7,Prices_dom!$A$6:$A$2000,0),MATCH("mit.rp."&amp;$G78,Prices_dom!$A$5:$CU$5,0))-INDEX(Prices_dom!$A$6:$CU$2000,MATCH(Settings!$C$4&amp;Settings!$C$7,Prices_dom!$A$6:$A$2000,0),MATCH("mit.sp."&amp;$G78,Prices_dom!$A$5:$CU$5,0)))/$I78</f>
        <v/>
      </c>
      <c r="U78" s="48">
        <f>INDEX(EF_GHG!$E$4:$E$1000,MATCH(Settings!$C$4&amp;"|"&amp;$B78&amp;"|"&amp;$H78,EF_GHG!$A$4:$A$1000,0))</f>
        <v/>
      </c>
      <c r="V78" s="41">
        <f>INDEX(EnergyCons!$F$4:$F$5000,MATCH(Settings!$C$4&amp;"|"&amp;Settings!$C$7&amp;"|"&amp;$C78&amp;"|"&amp;$B78,EnergyCons!$A$4:$A$5000,0))</f>
        <v/>
      </c>
    </row>
    <row r="79">
      <c r="A79" s="5">
        <f>$B79&amp;"|"&amp;$C79</f>
        <v/>
      </c>
      <c r="B79" s="6" t="inlineStr">
        <is>
          <t>gso</t>
        </is>
      </c>
      <c r="C79" s="6" t="inlineStr">
        <is>
          <t>nfm</t>
        </is>
      </c>
      <c r="D79" s="5">
        <f>INDEX(Mapping!$D$5:$D$20,MATCH($C79,Mapping!$A$5:$A$20,0))</f>
        <v/>
      </c>
      <c r="E79" s="5">
        <f>INDEX(Mapping!$C$29:$C$36,MATCH($B79,Mapping!$A$29:$A$36,0))</f>
        <v/>
      </c>
      <c r="F79" s="5">
        <f>INDEX(Mapping!$D$29:$D$36,MATCH($B79,Mapping!$A$29:$A$36,0))</f>
        <v/>
      </c>
      <c r="G79" s="5">
        <f>$B79&amp;"."&amp;IF(INDEX(Mapping!$E$29:$E$36,MATCH($B79,Mapping!$A$29:$A$36,0))="sub",INDEX(Mapping!$F$5:$F$20,MATCH($C79,Mapping!$A$5:$A$20,0)),"all")</f>
        <v/>
      </c>
      <c r="H79" s="5">
        <f>INDEX(Mapping!$E$5:$E$20,MATCH($C79,Mapping!$A$5:$A$20,0))</f>
        <v/>
      </c>
      <c r="I79" s="5">
        <f>INDEX(Mapping!$G$29:$G$36,MATCH($B79,Mapping!$A$29:$A$36,0))</f>
        <v/>
      </c>
      <c r="J79" s="5">
        <f>INDEX(Mapping!$H$29:$H$36,MATCH($B79,Mapping!$A$29:$A$36,0))</f>
        <v/>
      </c>
      <c r="K79" s="5">
        <f>INDEX(Mapping!$H$5:$H$20,MATCH($C79,Mapping!$A$5:$A$20,0))</f>
        <v/>
      </c>
      <c r="L79" s="5">
        <f>INDEX(Mapping!$E$42:$E$55,MATCH($G79,Mapping!$A$42:$A$55,0))</f>
        <v/>
      </c>
      <c r="M79" s="5">
        <f>INDEX(Mapping!$D$59:$D$62,MATCH(INDEX(Mapping!$G$5:$G$20,MATCH($C79,Mapping!$A$5:$A$20,0)),Mapping!$A$59:$A$62,0))</f>
        <v/>
      </c>
      <c r="N79" s="31">
        <f>INDEX(Elasticities!$F$4:$I$200,MATCH("inc|"&amp;$E79&amp;"|"&amp;$D79,Elasticities!$A$4:$A$200,0),MATCH(Settings!$C$6,Elasticities!$F$3:$I$3,0))</f>
        <v/>
      </c>
      <c r="O79" s="31">
        <f>INDEX(Elasticities!$F$4:$I$200,MATCH("usg|"&amp;$E79&amp;"|"&amp;$D79,Elasticities!$A$4:$A$200,0),MATCH(Settings!$C$6,Elasticities!$F$3:$I$3,0))</f>
        <v/>
      </c>
      <c r="P79" s="31">
        <f>INDEX(Elasticities!$F$4:$I$200,MATCH("eff|"&amp;$E79&amp;"|"&amp;$D79,Elasticities!$A$4:$A$200,0),MATCH(Settings!$C$6,Elasticities!$F$3:$I$3,0))</f>
        <v/>
      </c>
      <c r="Q79" s="25">
        <f>INDEX(Elasticities!$F$4:$I$200,MATCH("aei|"&amp;$F79&amp;"|"&amp;$D79,Elasticities!$A$4:$A$200,0),MATCH(Settings!$C$6,Elasticities!$F$3:$I$3,0))</f>
        <v/>
      </c>
      <c r="R79" s="47" t="n">
        <v>0</v>
      </c>
      <c r="S79" s="36">
        <f>INDEX(Prices_dom!$A$6:$CU$2000,MATCH(Settings!$C$4&amp;Settings!$C$7,Prices_dom!$A$6:$A$2000,0),MATCH("mit.sp."&amp;$G79,Prices_dom!$A$5:$CU$5,0))/$I79</f>
        <v/>
      </c>
      <c r="T79" s="36">
        <f>(INDEX(Prices_dom!$A$6:$CU$2000,MATCH(Settings!$C$4&amp;Settings!$C$7,Prices_dom!$A$6:$A$2000,0),MATCH("mit.rp."&amp;$G79,Prices_dom!$A$5:$CU$5,0))-INDEX(Prices_dom!$A$6:$CU$2000,MATCH(Settings!$C$4&amp;Settings!$C$7,Prices_dom!$A$6:$A$2000,0),MATCH("mit.sp."&amp;$G79,Prices_dom!$A$5:$CU$5,0)))/$I79</f>
        <v/>
      </c>
      <c r="U79" s="48">
        <f>INDEX(EF_GHG!$E$4:$E$1000,MATCH(Settings!$C$4&amp;"|"&amp;$B79&amp;"|"&amp;$H79,EF_GHG!$A$4:$A$1000,0))</f>
        <v/>
      </c>
      <c r="V79" s="41">
        <f>INDEX(EnergyCons!$F$4:$F$5000,MATCH(Settings!$C$4&amp;"|"&amp;Settings!$C$7&amp;"|"&amp;$C79&amp;"|"&amp;$B79,EnergyCons!$A$4:$A$5000,0))</f>
        <v/>
      </c>
    </row>
    <row r="80">
      <c r="A80" s="5">
        <f>$B80&amp;"|"&amp;$C80</f>
        <v/>
      </c>
      <c r="B80" s="6" t="inlineStr">
        <is>
          <t>die</t>
        </is>
      </c>
      <c r="C80" s="6" t="inlineStr">
        <is>
          <t>nfm</t>
        </is>
      </c>
      <c r="D80" s="5">
        <f>INDEX(Mapping!$D$5:$D$20,MATCH($C80,Mapping!$A$5:$A$20,0))</f>
        <v/>
      </c>
      <c r="E80" s="5">
        <f>INDEX(Mapping!$C$29:$C$36,MATCH($B80,Mapping!$A$29:$A$36,0))</f>
        <v/>
      </c>
      <c r="F80" s="5">
        <f>INDEX(Mapping!$D$29:$D$36,MATCH($B80,Mapping!$A$29:$A$36,0))</f>
        <v/>
      </c>
      <c r="G80" s="5">
        <f>$B80&amp;"."&amp;IF(INDEX(Mapping!$E$29:$E$36,MATCH($B80,Mapping!$A$29:$A$36,0))="sub",INDEX(Mapping!$F$5:$F$20,MATCH($C80,Mapping!$A$5:$A$20,0)),"all")</f>
        <v/>
      </c>
      <c r="H80" s="5">
        <f>INDEX(Mapping!$E$5:$E$20,MATCH($C80,Mapping!$A$5:$A$20,0))</f>
        <v/>
      </c>
      <c r="I80" s="5">
        <f>INDEX(Mapping!$G$29:$G$36,MATCH($B80,Mapping!$A$29:$A$36,0))</f>
        <v/>
      </c>
      <c r="J80" s="5">
        <f>INDEX(Mapping!$H$29:$H$36,MATCH($B80,Mapping!$A$29:$A$36,0))</f>
        <v/>
      </c>
      <c r="K80" s="5">
        <f>INDEX(Mapping!$H$5:$H$20,MATCH($C80,Mapping!$A$5:$A$20,0))</f>
        <v/>
      </c>
      <c r="L80" s="5">
        <f>INDEX(Mapping!$E$42:$E$55,MATCH($G80,Mapping!$A$42:$A$55,0))</f>
        <v/>
      </c>
      <c r="M80" s="5">
        <f>INDEX(Mapping!$D$59:$D$62,MATCH(INDEX(Mapping!$G$5:$G$20,MATCH($C80,Mapping!$A$5:$A$20,0)),Mapping!$A$59:$A$62,0))</f>
        <v/>
      </c>
      <c r="N80" s="31">
        <f>INDEX(Elasticities!$F$4:$I$200,MATCH("inc|"&amp;$E80&amp;"|"&amp;$D80,Elasticities!$A$4:$A$200,0),MATCH(Settings!$C$6,Elasticities!$F$3:$I$3,0))</f>
        <v/>
      </c>
      <c r="O80" s="31">
        <f>INDEX(Elasticities!$F$4:$I$200,MATCH("usg|"&amp;$E80&amp;"|"&amp;$D80,Elasticities!$A$4:$A$200,0),MATCH(Settings!$C$6,Elasticities!$F$3:$I$3,0))</f>
        <v/>
      </c>
      <c r="P80" s="31">
        <f>INDEX(Elasticities!$F$4:$I$200,MATCH("eff|"&amp;$E80&amp;"|"&amp;$D80,Elasticities!$A$4:$A$200,0),MATCH(Settings!$C$6,Elasticities!$F$3:$I$3,0))</f>
        <v/>
      </c>
      <c r="Q80" s="25">
        <f>INDEX(Elasticities!$F$4:$I$200,MATCH("aei|"&amp;$F80&amp;"|"&amp;$D80,Elasticities!$A$4:$A$200,0),MATCH(Settings!$C$6,Elasticities!$F$3:$I$3,0))</f>
        <v/>
      </c>
      <c r="R80" s="47" t="n">
        <v>0</v>
      </c>
      <c r="S80" s="36">
        <f>INDEX(Prices_dom!$A$6:$CU$2000,MATCH(Settings!$C$4&amp;Settings!$C$7,Prices_dom!$A$6:$A$2000,0),MATCH("mit.sp."&amp;$G80,Prices_dom!$A$5:$CU$5,0))/$I80</f>
        <v/>
      </c>
      <c r="T80" s="36">
        <f>(INDEX(Prices_dom!$A$6:$CU$2000,MATCH(Settings!$C$4&amp;Settings!$C$7,Prices_dom!$A$6:$A$2000,0),MATCH("mit.rp."&amp;$G80,Prices_dom!$A$5:$CU$5,0))-INDEX(Prices_dom!$A$6:$CU$2000,MATCH(Settings!$C$4&amp;Settings!$C$7,Prices_dom!$A$6:$A$2000,0),MATCH("mit.sp."&amp;$G80,Prices_dom!$A$5:$CU$5,0)))/$I80</f>
        <v/>
      </c>
      <c r="U80" s="48">
        <f>INDEX(EF_GHG!$E$4:$E$1000,MATCH(Settings!$C$4&amp;"|"&amp;$B80&amp;"|"&amp;$H80,EF_GHG!$A$4:$A$1000,0))</f>
        <v/>
      </c>
      <c r="V80" s="41">
        <f>INDEX(EnergyCons!$F$4:$F$5000,MATCH(Settings!$C$4&amp;"|"&amp;Settings!$C$7&amp;"|"&amp;$C80&amp;"|"&amp;$B80,EnergyCons!$A$4:$A$5000,0))</f>
        <v/>
      </c>
    </row>
    <row r="81">
      <c r="A81" s="5">
        <f>$B81&amp;"|"&amp;$C81</f>
        <v/>
      </c>
      <c r="B81" s="6" t="inlineStr">
        <is>
          <t>lpg</t>
        </is>
      </c>
      <c r="C81" s="6" t="inlineStr">
        <is>
          <t>nfm</t>
        </is>
      </c>
      <c r="D81" s="5">
        <f>INDEX(Mapping!$D$5:$D$20,MATCH($C81,Mapping!$A$5:$A$20,0))</f>
        <v/>
      </c>
      <c r="E81" s="5">
        <f>INDEX(Mapping!$C$29:$C$36,MATCH($B81,Mapping!$A$29:$A$36,0))</f>
        <v/>
      </c>
      <c r="F81" s="5">
        <f>INDEX(Mapping!$D$29:$D$36,MATCH($B81,Mapping!$A$29:$A$36,0))</f>
        <v/>
      </c>
      <c r="G81" s="5">
        <f>$B81&amp;"."&amp;IF(INDEX(Mapping!$E$29:$E$36,MATCH($B81,Mapping!$A$29:$A$36,0))="sub",INDEX(Mapping!$F$5:$F$20,MATCH($C81,Mapping!$A$5:$A$20,0)),"all")</f>
        <v/>
      </c>
      <c r="H81" s="5">
        <f>INDEX(Mapping!$E$5:$E$20,MATCH($C81,Mapping!$A$5:$A$20,0))</f>
        <v/>
      </c>
      <c r="I81" s="5">
        <f>INDEX(Mapping!$G$29:$G$36,MATCH($B81,Mapping!$A$29:$A$36,0))</f>
        <v/>
      </c>
      <c r="J81" s="5">
        <f>INDEX(Mapping!$H$29:$H$36,MATCH($B81,Mapping!$A$29:$A$36,0))</f>
        <v/>
      </c>
      <c r="K81" s="5">
        <f>INDEX(Mapping!$H$5:$H$20,MATCH($C81,Mapping!$A$5:$A$20,0))</f>
        <v/>
      </c>
      <c r="L81" s="5">
        <f>INDEX(Mapping!$E$42:$E$55,MATCH($G81,Mapping!$A$42:$A$55,0))</f>
        <v/>
      </c>
      <c r="M81" s="5">
        <f>INDEX(Mapping!$D$59:$D$62,MATCH(INDEX(Mapping!$G$5:$G$20,MATCH($C81,Mapping!$A$5:$A$20,0)),Mapping!$A$59:$A$62,0))</f>
        <v/>
      </c>
      <c r="N81" s="31">
        <f>INDEX(Elasticities!$F$4:$I$200,MATCH("inc|"&amp;$E81&amp;"|"&amp;$D81,Elasticities!$A$4:$A$200,0),MATCH(Settings!$C$6,Elasticities!$F$3:$I$3,0))</f>
        <v/>
      </c>
      <c r="O81" s="31">
        <f>INDEX(Elasticities!$F$4:$I$200,MATCH("usg|"&amp;$E81&amp;"|"&amp;$D81,Elasticities!$A$4:$A$200,0),MATCH(Settings!$C$6,Elasticities!$F$3:$I$3,0))</f>
        <v/>
      </c>
      <c r="P81" s="31">
        <f>INDEX(Elasticities!$F$4:$I$200,MATCH("eff|"&amp;$E81&amp;"|"&amp;$D81,Elasticities!$A$4:$A$200,0),MATCH(Settings!$C$6,Elasticities!$F$3:$I$3,0))</f>
        <v/>
      </c>
      <c r="Q81" s="25">
        <f>INDEX(Elasticities!$F$4:$I$200,MATCH("aei|"&amp;$F81&amp;"|"&amp;$D81,Elasticities!$A$4:$A$200,0),MATCH(Settings!$C$6,Elasticities!$F$3:$I$3,0))</f>
        <v/>
      </c>
      <c r="R81" s="47" t="n">
        <v>0</v>
      </c>
      <c r="S81" s="36">
        <f>INDEX(Prices_dom!$A$6:$CU$2000,MATCH(Settings!$C$4&amp;Settings!$C$7,Prices_dom!$A$6:$A$2000,0),MATCH("mit.sp."&amp;$G81,Prices_dom!$A$5:$CU$5,0))/$I81</f>
        <v/>
      </c>
      <c r="T81" s="36">
        <f>(INDEX(Prices_dom!$A$6:$CU$2000,MATCH(Settings!$C$4&amp;Settings!$C$7,Prices_dom!$A$6:$A$2000,0),MATCH("mit.rp."&amp;$G81,Prices_dom!$A$5:$CU$5,0))-INDEX(Prices_dom!$A$6:$CU$2000,MATCH(Settings!$C$4&amp;Settings!$C$7,Prices_dom!$A$6:$A$2000,0),MATCH("mit.sp."&amp;$G81,Prices_dom!$A$5:$CU$5,0)))/$I81</f>
        <v/>
      </c>
      <c r="U81" s="48">
        <f>INDEX(EF_GHG!$E$4:$E$1000,MATCH(Settings!$C$4&amp;"|"&amp;$B81&amp;"|"&amp;$H81,EF_GHG!$A$4:$A$1000,0))</f>
        <v/>
      </c>
      <c r="V81" s="41">
        <f>INDEX(EnergyCons!$F$4:$F$5000,MATCH(Settings!$C$4&amp;"|"&amp;Settings!$C$7&amp;"|"&amp;$C81&amp;"|"&amp;$B81,EnergyCons!$A$4:$A$5000,0))</f>
        <v/>
      </c>
    </row>
    <row r="82">
      <c r="A82" s="5">
        <f>$B82&amp;"|"&amp;$C82</f>
        <v/>
      </c>
      <c r="B82" s="6" t="inlineStr">
        <is>
          <t>ker</t>
        </is>
      </c>
      <c r="C82" s="6" t="inlineStr">
        <is>
          <t>nfm</t>
        </is>
      </c>
      <c r="D82" s="5">
        <f>INDEX(Mapping!$D$5:$D$20,MATCH($C82,Mapping!$A$5:$A$20,0))</f>
        <v/>
      </c>
      <c r="E82" s="5">
        <f>INDEX(Mapping!$C$29:$C$36,MATCH($B82,Mapping!$A$29:$A$36,0))</f>
        <v/>
      </c>
      <c r="F82" s="5">
        <f>INDEX(Mapping!$D$29:$D$36,MATCH($B82,Mapping!$A$29:$A$36,0))</f>
        <v/>
      </c>
      <c r="G82" s="5">
        <f>$B82&amp;"."&amp;IF(INDEX(Mapping!$E$29:$E$36,MATCH($B82,Mapping!$A$29:$A$36,0))="sub",INDEX(Mapping!$F$5:$F$20,MATCH($C82,Mapping!$A$5:$A$20,0)),"all")</f>
        <v/>
      </c>
      <c r="H82" s="5">
        <f>INDEX(Mapping!$E$5:$E$20,MATCH($C82,Mapping!$A$5:$A$20,0))</f>
        <v/>
      </c>
      <c r="I82" s="5">
        <f>INDEX(Mapping!$G$29:$G$36,MATCH($B82,Mapping!$A$29:$A$36,0))</f>
        <v/>
      </c>
      <c r="J82" s="5">
        <f>INDEX(Mapping!$H$29:$H$36,MATCH($B82,Mapping!$A$29:$A$36,0))</f>
        <v/>
      </c>
      <c r="K82" s="5">
        <f>INDEX(Mapping!$H$5:$H$20,MATCH($C82,Mapping!$A$5:$A$20,0))</f>
        <v/>
      </c>
      <c r="L82" s="5">
        <f>INDEX(Mapping!$E$42:$E$55,MATCH($G82,Mapping!$A$42:$A$55,0))</f>
        <v/>
      </c>
      <c r="M82" s="5">
        <f>INDEX(Mapping!$D$59:$D$62,MATCH(INDEX(Mapping!$G$5:$G$20,MATCH($C82,Mapping!$A$5:$A$20,0)),Mapping!$A$59:$A$62,0))</f>
        <v/>
      </c>
      <c r="N82" s="31">
        <f>INDEX(Elasticities!$F$4:$I$200,MATCH("inc|"&amp;$E82&amp;"|"&amp;$D82,Elasticities!$A$4:$A$200,0),MATCH(Settings!$C$6,Elasticities!$F$3:$I$3,0))</f>
        <v/>
      </c>
      <c r="O82" s="31">
        <f>INDEX(Elasticities!$F$4:$I$200,MATCH("usg|"&amp;$E82&amp;"|"&amp;$D82,Elasticities!$A$4:$A$200,0),MATCH(Settings!$C$6,Elasticities!$F$3:$I$3,0))</f>
        <v/>
      </c>
      <c r="P82" s="31">
        <f>INDEX(Elasticities!$F$4:$I$200,MATCH("eff|"&amp;$E82&amp;"|"&amp;$D82,Elasticities!$A$4:$A$200,0),MATCH(Settings!$C$6,Elasticities!$F$3:$I$3,0))</f>
        <v/>
      </c>
      <c r="Q82" s="25">
        <f>INDEX(Elasticities!$F$4:$I$200,MATCH("aei|"&amp;$F82&amp;"|"&amp;$D82,Elasticities!$A$4:$A$200,0),MATCH(Settings!$C$6,Elasticities!$F$3:$I$3,0))</f>
        <v/>
      </c>
      <c r="R82" s="47" t="n">
        <v>0</v>
      </c>
      <c r="S82" s="36">
        <f>INDEX(Prices_dom!$A$6:$CU$2000,MATCH(Settings!$C$4&amp;Settings!$C$7,Prices_dom!$A$6:$A$2000,0),MATCH("mit.sp."&amp;$G82,Prices_dom!$A$5:$CU$5,0))/$I82</f>
        <v/>
      </c>
      <c r="T82" s="36">
        <f>(INDEX(Prices_dom!$A$6:$CU$2000,MATCH(Settings!$C$4&amp;Settings!$C$7,Prices_dom!$A$6:$A$2000,0),MATCH("mit.rp."&amp;$G82,Prices_dom!$A$5:$CU$5,0))-INDEX(Prices_dom!$A$6:$CU$2000,MATCH(Settings!$C$4&amp;Settings!$C$7,Prices_dom!$A$6:$A$2000,0),MATCH("mit.sp."&amp;$G82,Prices_dom!$A$5:$CU$5,0)))/$I82</f>
        <v/>
      </c>
      <c r="U82" s="48">
        <f>INDEX(EF_GHG!$E$4:$E$1000,MATCH(Settings!$C$4&amp;"|"&amp;$B82&amp;"|"&amp;$H82,EF_GHG!$A$4:$A$1000,0))</f>
        <v/>
      </c>
      <c r="V82" s="41">
        <f>INDEX(EnergyCons!$F$4:$F$5000,MATCH(Settings!$C$4&amp;"|"&amp;Settings!$C$7&amp;"|"&amp;$C82&amp;"|"&amp;$B82,EnergyCons!$A$4:$A$5000,0))</f>
        <v/>
      </c>
    </row>
    <row r="83">
      <c r="A83" s="5">
        <f>$B83&amp;"|"&amp;$C83</f>
        <v/>
      </c>
      <c r="B83" s="6" t="inlineStr">
        <is>
          <t>oop</t>
        </is>
      </c>
      <c r="C83" s="6" t="inlineStr">
        <is>
          <t>nfm</t>
        </is>
      </c>
      <c r="D83" s="5">
        <f>INDEX(Mapping!$D$5:$D$20,MATCH($C83,Mapping!$A$5:$A$20,0))</f>
        <v/>
      </c>
      <c r="E83" s="5">
        <f>INDEX(Mapping!$C$29:$C$36,MATCH($B83,Mapping!$A$29:$A$36,0))</f>
        <v/>
      </c>
      <c r="F83" s="5">
        <f>INDEX(Mapping!$D$29:$D$36,MATCH($B83,Mapping!$A$29:$A$36,0))</f>
        <v/>
      </c>
      <c r="G83" s="5">
        <f>$B83&amp;"."&amp;IF(INDEX(Mapping!$E$29:$E$36,MATCH($B83,Mapping!$A$29:$A$36,0))="sub",INDEX(Mapping!$F$5:$F$20,MATCH($C83,Mapping!$A$5:$A$20,0)),"all")</f>
        <v/>
      </c>
      <c r="H83" s="5">
        <f>INDEX(Mapping!$E$5:$E$20,MATCH($C83,Mapping!$A$5:$A$20,0))</f>
        <v/>
      </c>
      <c r="I83" s="5">
        <f>INDEX(Mapping!$G$29:$G$36,MATCH($B83,Mapping!$A$29:$A$36,0))</f>
        <v/>
      </c>
      <c r="J83" s="5">
        <f>INDEX(Mapping!$H$29:$H$36,MATCH($B83,Mapping!$A$29:$A$36,0))</f>
        <v/>
      </c>
      <c r="K83" s="5">
        <f>INDEX(Mapping!$H$5:$H$20,MATCH($C83,Mapping!$A$5:$A$20,0))</f>
        <v/>
      </c>
      <c r="L83" s="5">
        <f>INDEX(Mapping!$E$42:$E$55,MATCH($G83,Mapping!$A$42:$A$55,0))</f>
        <v/>
      </c>
      <c r="M83" s="5">
        <f>INDEX(Mapping!$D$59:$D$62,MATCH(INDEX(Mapping!$G$5:$G$20,MATCH($C83,Mapping!$A$5:$A$20,0)),Mapping!$A$59:$A$62,0))</f>
        <v/>
      </c>
      <c r="N83" s="31">
        <f>INDEX(Elasticities!$F$4:$I$200,MATCH("inc|"&amp;$E83&amp;"|"&amp;$D83,Elasticities!$A$4:$A$200,0),MATCH(Settings!$C$6,Elasticities!$F$3:$I$3,0))</f>
        <v/>
      </c>
      <c r="O83" s="31">
        <f>INDEX(Elasticities!$F$4:$I$200,MATCH("usg|"&amp;$E83&amp;"|"&amp;$D83,Elasticities!$A$4:$A$200,0),MATCH(Settings!$C$6,Elasticities!$F$3:$I$3,0))</f>
        <v/>
      </c>
      <c r="P83" s="31">
        <f>INDEX(Elasticities!$F$4:$I$200,MATCH("eff|"&amp;$E83&amp;"|"&amp;$D83,Elasticities!$A$4:$A$200,0),MATCH(Settings!$C$6,Elasticities!$F$3:$I$3,0))</f>
        <v/>
      </c>
      <c r="Q83" s="25">
        <f>INDEX(Elasticities!$F$4:$I$200,MATCH("aei|"&amp;$F83&amp;"|"&amp;$D83,Elasticities!$A$4:$A$200,0),MATCH(Settings!$C$6,Elasticities!$F$3:$I$3,0))</f>
        <v/>
      </c>
      <c r="R83" s="47" t="n">
        <v>0</v>
      </c>
      <c r="S83" s="36">
        <f>INDEX(Prices_dom!$A$6:$CU$2000,MATCH(Settings!$C$4&amp;Settings!$C$7,Prices_dom!$A$6:$A$2000,0),MATCH("mit.sp."&amp;$G83,Prices_dom!$A$5:$CU$5,0))/$I83</f>
        <v/>
      </c>
      <c r="T83" s="36">
        <f>(INDEX(Prices_dom!$A$6:$CU$2000,MATCH(Settings!$C$4&amp;Settings!$C$7,Prices_dom!$A$6:$A$2000,0),MATCH("mit.rp."&amp;$G83,Prices_dom!$A$5:$CU$5,0))-INDEX(Prices_dom!$A$6:$CU$2000,MATCH(Settings!$C$4&amp;Settings!$C$7,Prices_dom!$A$6:$A$2000,0),MATCH("mit.sp."&amp;$G83,Prices_dom!$A$5:$CU$5,0)))/$I83</f>
        <v/>
      </c>
      <c r="U83" s="48">
        <f>INDEX(EF_GHG!$E$4:$E$1000,MATCH(Settings!$C$4&amp;"|"&amp;$B83&amp;"|"&amp;$H83,EF_GHG!$A$4:$A$1000,0))</f>
        <v/>
      </c>
      <c r="V83" s="41">
        <f>INDEX(EnergyCons!$F$4:$F$5000,MATCH(Settings!$C$4&amp;"|"&amp;Settings!$C$7&amp;"|"&amp;$C83&amp;"|"&amp;$B83,EnergyCons!$A$4:$A$5000,0))</f>
        <v/>
      </c>
    </row>
    <row r="84">
      <c r="A84" s="5">
        <f>$B84&amp;"|"&amp;$C84</f>
        <v/>
      </c>
      <c r="B84" s="6" t="inlineStr">
        <is>
          <t>bio</t>
        </is>
      </c>
      <c r="C84" s="6" t="inlineStr">
        <is>
          <t>nfm</t>
        </is>
      </c>
      <c r="D84" s="5">
        <f>INDEX(Mapping!$D$5:$D$20,MATCH($C84,Mapping!$A$5:$A$20,0))</f>
        <v/>
      </c>
      <c r="E84" s="5">
        <f>INDEX(Mapping!$C$29:$C$36,MATCH($B84,Mapping!$A$29:$A$36,0))</f>
        <v/>
      </c>
      <c r="F84" s="5">
        <f>INDEX(Mapping!$D$29:$D$36,MATCH($B84,Mapping!$A$29:$A$36,0))</f>
        <v/>
      </c>
      <c r="G84" s="5">
        <f>$B84&amp;"."&amp;IF(INDEX(Mapping!$E$29:$E$36,MATCH($B84,Mapping!$A$29:$A$36,0))="sub",INDEX(Mapping!$F$5:$F$20,MATCH($C84,Mapping!$A$5:$A$20,0)),"all")</f>
        <v/>
      </c>
      <c r="H84" s="5">
        <f>INDEX(Mapping!$E$5:$E$20,MATCH($C84,Mapping!$A$5:$A$20,0))</f>
        <v/>
      </c>
      <c r="I84" s="5">
        <f>INDEX(Mapping!$G$29:$G$36,MATCH($B84,Mapping!$A$29:$A$36,0))</f>
        <v/>
      </c>
      <c r="J84" s="5">
        <f>INDEX(Mapping!$H$29:$H$36,MATCH($B84,Mapping!$A$29:$A$36,0))</f>
        <v/>
      </c>
      <c r="K84" s="5">
        <f>INDEX(Mapping!$H$5:$H$20,MATCH($C84,Mapping!$A$5:$A$20,0))</f>
        <v/>
      </c>
      <c r="L84" s="5">
        <f>INDEX(Mapping!$E$42:$E$55,MATCH($G84,Mapping!$A$42:$A$55,0))</f>
        <v/>
      </c>
      <c r="M84" s="5">
        <f>INDEX(Mapping!$D$59:$D$62,MATCH(INDEX(Mapping!$G$5:$G$20,MATCH($C84,Mapping!$A$5:$A$20,0)),Mapping!$A$59:$A$62,0))</f>
        <v/>
      </c>
      <c r="N84" s="31">
        <f>INDEX(Elasticities!$F$4:$I$200,MATCH("inc|"&amp;$E84&amp;"|"&amp;$D84,Elasticities!$A$4:$A$200,0),MATCH(Settings!$C$6,Elasticities!$F$3:$I$3,0))</f>
        <v/>
      </c>
      <c r="O84" s="31">
        <f>INDEX(Elasticities!$F$4:$I$200,MATCH("usg|"&amp;$E84&amp;"|"&amp;$D84,Elasticities!$A$4:$A$200,0),MATCH(Settings!$C$6,Elasticities!$F$3:$I$3,0))</f>
        <v/>
      </c>
      <c r="P84" s="31">
        <f>INDEX(Elasticities!$F$4:$I$200,MATCH("eff|"&amp;$E84&amp;"|"&amp;$D84,Elasticities!$A$4:$A$200,0),MATCH(Settings!$C$6,Elasticities!$F$3:$I$3,0))</f>
        <v/>
      </c>
      <c r="Q84" s="25">
        <f>INDEX(Elasticities!$F$4:$I$200,MATCH("aei|"&amp;$F84&amp;"|"&amp;$D84,Elasticities!$A$4:$A$200,0),MATCH(Settings!$C$6,Elasticities!$F$3:$I$3,0))</f>
        <v/>
      </c>
      <c r="R84" s="47" t="n">
        <v>0</v>
      </c>
      <c r="S84" s="36">
        <f>INDEX(Prices_dom!$A$6:$CU$2000,MATCH(Settings!$C$4&amp;Settings!$C$7,Prices_dom!$A$6:$A$2000,0),MATCH("mit.sp."&amp;$G84,Prices_dom!$A$5:$CU$5,0))/$I84</f>
        <v/>
      </c>
      <c r="T84" s="36">
        <f>(INDEX(Prices_dom!$A$6:$CU$2000,MATCH(Settings!$C$4&amp;Settings!$C$7,Prices_dom!$A$6:$A$2000,0),MATCH("mit.rp."&amp;$G84,Prices_dom!$A$5:$CU$5,0))-INDEX(Prices_dom!$A$6:$CU$2000,MATCH(Settings!$C$4&amp;Settings!$C$7,Prices_dom!$A$6:$A$2000,0),MATCH("mit.sp."&amp;$G84,Prices_dom!$A$5:$CU$5,0)))/$I84</f>
        <v/>
      </c>
      <c r="U84" s="48">
        <f>INDEX(EF_GHG!$E$4:$E$1000,MATCH(Settings!$C$4&amp;"|"&amp;$B84&amp;"|"&amp;$H84,EF_GHG!$A$4:$A$1000,0))</f>
        <v/>
      </c>
      <c r="V84" s="41">
        <f>INDEX(EnergyCons!$F$4:$F$5000,MATCH(Settings!$C$4&amp;"|"&amp;Settings!$C$7&amp;"|"&amp;$C84&amp;"|"&amp;$B84,EnergyCons!$A$4:$A$5000,0))</f>
        <v/>
      </c>
    </row>
    <row r="85">
      <c r="A85" s="5">
        <f>$B85&amp;"|"&amp;$C85</f>
        <v/>
      </c>
      <c r="B85" s="6" t="inlineStr">
        <is>
          <t>coa</t>
        </is>
      </c>
      <c r="C85" s="6" t="inlineStr">
        <is>
          <t>mac</t>
        </is>
      </c>
      <c r="D85" s="5">
        <f>INDEX(Mapping!$D$5:$D$20,MATCH($C85,Mapping!$A$5:$A$20,0))</f>
        <v/>
      </c>
      <c r="E85" s="5">
        <f>INDEX(Mapping!$C$29:$C$36,MATCH($B85,Mapping!$A$29:$A$36,0))</f>
        <v/>
      </c>
      <c r="F85" s="5">
        <f>INDEX(Mapping!$D$29:$D$36,MATCH($B85,Mapping!$A$29:$A$36,0))</f>
        <v/>
      </c>
      <c r="G85" s="5">
        <f>$B85&amp;"."&amp;IF(INDEX(Mapping!$E$29:$E$36,MATCH($B85,Mapping!$A$29:$A$36,0))="sub",INDEX(Mapping!$F$5:$F$20,MATCH($C85,Mapping!$A$5:$A$20,0)),"all")</f>
        <v/>
      </c>
      <c r="H85" s="5">
        <f>INDEX(Mapping!$E$5:$E$20,MATCH($C85,Mapping!$A$5:$A$20,0))</f>
        <v/>
      </c>
      <c r="I85" s="5">
        <f>INDEX(Mapping!$G$29:$G$36,MATCH($B85,Mapping!$A$29:$A$36,0))</f>
        <v/>
      </c>
      <c r="J85" s="5">
        <f>INDEX(Mapping!$H$29:$H$36,MATCH($B85,Mapping!$A$29:$A$36,0))</f>
        <v/>
      </c>
      <c r="K85" s="5">
        <f>INDEX(Mapping!$H$5:$H$20,MATCH($C85,Mapping!$A$5:$A$20,0))</f>
        <v/>
      </c>
      <c r="L85" s="5">
        <f>INDEX(Mapping!$E$42:$E$55,MATCH($G85,Mapping!$A$42:$A$55,0))</f>
        <v/>
      </c>
      <c r="M85" s="5">
        <f>INDEX(Mapping!$D$59:$D$62,MATCH(INDEX(Mapping!$G$5:$G$20,MATCH($C85,Mapping!$A$5:$A$20,0)),Mapping!$A$59:$A$62,0))</f>
        <v/>
      </c>
      <c r="N85" s="31">
        <f>INDEX(Elasticities!$F$4:$I$200,MATCH("inc|"&amp;$E85&amp;"|"&amp;$D85,Elasticities!$A$4:$A$200,0),MATCH(Settings!$C$6,Elasticities!$F$3:$I$3,0))</f>
        <v/>
      </c>
      <c r="O85" s="31">
        <f>INDEX(Elasticities!$F$4:$I$200,MATCH("usg|"&amp;$E85&amp;"|"&amp;$D85,Elasticities!$A$4:$A$200,0),MATCH(Settings!$C$6,Elasticities!$F$3:$I$3,0))</f>
        <v/>
      </c>
      <c r="P85" s="31">
        <f>INDEX(Elasticities!$F$4:$I$200,MATCH("eff|"&amp;$E85&amp;"|"&amp;$D85,Elasticities!$A$4:$A$200,0),MATCH(Settings!$C$6,Elasticities!$F$3:$I$3,0))</f>
        <v/>
      </c>
      <c r="Q85" s="25">
        <f>INDEX(Elasticities!$F$4:$I$200,MATCH("aei|"&amp;$F85&amp;"|"&amp;$D85,Elasticities!$A$4:$A$200,0),MATCH(Settings!$C$6,Elasticities!$F$3:$I$3,0))</f>
        <v/>
      </c>
      <c r="R85" s="47" t="n">
        <v>0</v>
      </c>
      <c r="S85" s="36">
        <f>INDEX(Prices_dom!$A$6:$CU$2000,MATCH(Settings!$C$4&amp;Settings!$C$7,Prices_dom!$A$6:$A$2000,0),MATCH("mit.sp."&amp;$G85,Prices_dom!$A$5:$CU$5,0))/$I85</f>
        <v/>
      </c>
      <c r="T85" s="36">
        <f>(INDEX(Prices_dom!$A$6:$CU$2000,MATCH(Settings!$C$4&amp;Settings!$C$7,Prices_dom!$A$6:$A$2000,0),MATCH("mit.rp."&amp;$G85,Prices_dom!$A$5:$CU$5,0))-INDEX(Prices_dom!$A$6:$CU$2000,MATCH(Settings!$C$4&amp;Settings!$C$7,Prices_dom!$A$6:$A$2000,0),MATCH("mit.sp."&amp;$G85,Prices_dom!$A$5:$CU$5,0)))/$I85</f>
        <v/>
      </c>
      <c r="U85" s="48">
        <f>INDEX(EF_GHG!$E$4:$E$1000,MATCH(Settings!$C$4&amp;"|"&amp;$B85&amp;"|"&amp;$H85,EF_GHG!$A$4:$A$1000,0))</f>
        <v/>
      </c>
      <c r="V85" s="41">
        <f>INDEX(EnergyCons!$F$4:$F$5000,MATCH(Settings!$C$4&amp;"|"&amp;Settings!$C$7&amp;"|"&amp;$C85&amp;"|"&amp;$B85,EnergyCons!$A$4:$A$5000,0))</f>
        <v/>
      </c>
    </row>
    <row r="86">
      <c r="A86" s="5">
        <f>$B86&amp;"|"&amp;$C86</f>
        <v/>
      </c>
      <c r="B86" s="6" t="inlineStr">
        <is>
          <t>nga</t>
        </is>
      </c>
      <c r="C86" s="6" t="inlineStr">
        <is>
          <t>mac</t>
        </is>
      </c>
      <c r="D86" s="5">
        <f>INDEX(Mapping!$D$5:$D$20,MATCH($C86,Mapping!$A$5:$A$20,0))</f>
        <v/>
      </c>
      <c r="E86" s="5">
        <f>INDEX(Mapping!$C$29:$C$36,MATCH($B86,Mapping!$A$29:$A$36,0))</f>
        <v/>
      </c>
      <c r="F86" s="5">
        <f>INDEX(Mapping!$D$29:$D$36,MATCH($B86,Mapping!$A$29:$A$36,0))</f>
        <v/>
      </c>
      <c r="G86" s="5">
        <f>$B86&amp;"."&amp;IF(INDEX(Mapping!$E$29:$E$36,MATCH($B86,Mapping!$A$29:$A$36,0))="sub",INDEX(Mapping!$F$5:$F$20,MATCH($C86,Mapping!$A$5:$A$20,0)),"all")</f>
        <v/>
      </c>
      <c r="H86" s="5">
        <f>INDEX(Mapping!$E$5:$E$20,MATCH($C86,Mapping!$A$5:$A$20,0))</f>
        <v/>
      </c>
      <c r="I86" s="5">
        <f>INDEX(Mapping!$G$29:$G$36,MATCH($B86,Mapping!$A$29:$A$36,0))</f>
        <v/>
      </c>
      <c r="J86" s="5">
        <f>INDEX(Mapping!$H$29:$H$36,MATCH($B86,Mapping!$A$29:$A$36,0))</f>
        <v/>
      </c>
      <c r="K86" s="5">
        <f>INDEX(Mapping!$H$5:$H$20,MATCH($C86,Mapping!$A$5:$A$20,0))</f>
        <v/>
      </c>
      <c r="L86" s="5">
        <f>INDEX(Mapping!$E$42:$E$55,MATCH($G86,Mapping!$A$42:$A$55,0))</f>
        <v/>
      </c>
      <c r="M86" s="5">
        <f>INDEX(Mapping!$D$59:$D$62,MATCH(INDEX(Mapping!$G$5:$G$20,MATCH($C86,Mapping!$A$5:$A$20,0)),Mapping!$A$59:$A$62,0))</f>
        <v/>
      </c>
      <c r="N86" s="31">
        <f>INDEX(Elasticities!$F$4:$I$200,MATCH("inc|"&amp;$E86&amp;"|"&amp;$D86,Elasticities!$A$4:$A$200,0),MATCH(Settings!$C$6,Elasticities!$F$3:$I$3,0))</f>
        <v/>
      </c>
      <c r="O86" s="31">
        <f>INDEX(Elasticities!$F$4:$I$200,MATCH("usg|"&amp;$E86&amp;"|"&amp;$D86,Elasticities!$A$4:$A$200,0),MATCH(Settings!$C$6,Elasticities!$F$3:$I$3,0))</f>
        <v/>
      </c>
      <c r="P86" s="31">
        <f>INDEX(Elasticities!$F$4:$I$200,MATCH("eff|"&amp;$E86&amp;"|"&amp;$D86,Elasticities!$A$4:$A$200,0),MATCH(Settings!$C$6,Elasticities!$F$3:$I$3,0))</f>
        <v/>
      </c>
      <c r="Q86" s="25">
        <f>INDEX(Elasticities!$F$4:$I$200,MATCH("aei|"&amp;$F86&amp;"|"&amp;$D86,Elasticities!$A$4:$A$200,0),MATCH(Settings!$C$6,Elasticities!$F$3:$I$3,0))</f>
        <v/>
      </c>
      <c r="R86" s="47" t="n">
        <v>0</v>
      </c>
      <c r="S86" s="36">
        <f>INDEX(Prices_dom!$A$6:$CU$2000,MATCH(Settings!$C$4&amp;Settings!$C$7,Prices_dom!$A$6:$A$2000,0),MATCH("mit.sp."&amp;$G86,Prices_dom!$A$5:$CU$5,0))/$I86</f>
        <v/>
      </c>
      <c r="T86" s="36">
        <f>(INDEX(Prices_dom!$A$6:$CU$2000,MATCH(Settings!$C$4&amp;Settings!$C$7,Prices_dom!$A$6:$A$2000,0),MATCH("mit.rp."&amp;$G86,Prices_dom!$A$5:$CU$5,0))-INDEX(Prices_dom!$A$6:$CU$2000,MATCH(Settings!$C$4&amp;Settings!$C$7,Prices_dom!$A$6:$A$2000,0),MATCH("mit.sp."&amp;$G86,Prices_dom!$A$5:$CU$5,0)))/$I86</f>
        <v/>
      </c>
      <c r="U86" s="48">
        <f>INDEX(EF_GHG!$E$4:$E$1000,MATCH(Settings!$C$4&amp;"|"&amp;$B86&amp;"|"&amp;$H86,EF_GHG!$A$4:$A$1000,0))</f>
        <v/>
      </c>
      <c r="V86" s="41">
        <f>INDEX(EnergyCons!$F$4:$F$5000,MATCH(Settings!$C$4&amp;"|"&amp;Settings!$C$7&amp;"|"&amp;$C86&amp;"|"&amp;$B86,EnergyCons!$A$4:$A$5000,0))</f>
        <v/>
      </c>
    </row>
    <row r="87">
      <c r="A87" s="5">
        <f>$B87&amp;"|"&amp;$C87</f>
        <v/>
      </c>
      <c r="B87" s="6" t="inlineStr">
        <is>
          <t>gso</t>
        </is>
      </c>
      <c r="C87" s="6" t="inlineStr">
        <is>
          <t>mac</t>
        </is>
      </c>
      <c r="D87" s="5">
        <f>INDEX(Mapping!$D$5:$D$20,MATCH($C87,Mapping!$A$5:$A$20,0))</f>
        <v/>
      </c>
      <c r="E87" s="5">
        <f>INDEX(Mapping!$C$29:$C$36,MATCH($B87,Mapping!$A$29:$A$36,0))</f>
        <v/>
      </c>
      <c r="F87" s="5">
        <f>INDEX(Mapping!$D$29:$D$36,MATCH($B87,Mapping!$A$29:$A$36,0))</f>
        <v/>
      </c>
      <c r="G87" s="5">
        <f>$B87&amp;"."&amp;IF(INDEX(Mapping!$E$29:$E$36,MATCH($B87,Mapping!$A$29:$A$36,0))="sub",INDEX(Mapping!$F$5:$F$20,MATCH($C87,Mapping!$A$5:$A$20,0)),"all")</f>
        <v/>
      </c>
      <c r="H87" s="5">
        <f>INDEX(Mapping!$E$5:$E$20,MATCH($C87,Mapping!$A$5:$A$20,0))</f>
        <v/>
      </c>
      <c r="I87" s="5">
        <f>INDEX(Mapping!$G$29:$G$36,MATCH($B87,Mapping!$A$29:$A$36,0))</f>
        <v/>
      </c>
      <c r="J87" s="5">
        <f>INDEX(Mapping!$H$29:$H$36,MATCH($B87,Mapping!$A$29:$A$36,0))</f>
        <v/>
      </c>
      <c r="K87" s="5">
        <f>INDEX(Mapping!$H$5:$H$20,MATCH($C87,Mapping!$A$5:$A$20,0))</f>
        <v/>
      </c>
      <c r="L87" s="5">
        <f>INDEX(Mapping!$E$42:$E$55,MATCH($G87,Mapping!$A$42:$A$55,0))</f>
        <v/>
      </c>
      <c r="M87" s="5">
        <f>INDEX(Mapping!$D$59:$D$62,MATCH(INDEX(Mapping!$G$5:$G$20,MATCH($C87,Mapping!$A$5:$A$20,0)),Mapping!$A$59:$A$62,0))</f>
        <v/>
      </c>
      <c r="N87" s="31">
        <f>INDEX(Elasticities!$F$4:$I$200,MATCH("inc|"&amp;$E87&amp;"|"&amp;$D87,Elasticities!$A$4:$A$200,0),MATCH(Settings!$C$6,Elasticities!$F$3:$I$3,0))</f>
        <v/>
      </c>
      <c r="O87" s="31">
        <f>INDEX(Elasticities!$F$4:$I$200,MATCH("usg|"&amp;$E87&amp;"|"&amp;$D87,Elasticities!$A$4:$A$200,0),MATCH(Settings!$C$6,Elasticities!$F$3:$I$3,0))</f>
        <v/>
      </c>
      <c r="P87" s="31">
        <f>INDEX(Elasticities!$F$4:$I$200,MATCH("eff|"&amp;$E87&amp;"|"&amp;$D87,Elasticities!$A$4:$A$200,0),MATCH(Settings!$C$6,Elasticities!$F$3:$I$3,0))</f>
        <v/>
      </c>
      <c r="Q87" s="25">
        <f>INDEX(Elasticities!$F$4:$I$200,MATCH("aei|"&amp;$F87&amp;"|"&amp;$D87,Elasticities!$A$4:$A$200,0),MATCH(Settings!$C$6,Elasticities!$F$3:$I$3,0))</f>
        <v/>
      </c>
      <c r="R87" s="47" t="n">
        <v>0</v>
      </c>
      <c r="S87" s="36">
        <f>INDEX(Prices_dom!$A$6:$CU$2000,MATCH(Settings!$C$4&amp;Settings!$C$7,Prices_dom!$A$6:$A$2000,0),MATCH("mit.sp."&amp;$G87,Prices_dom!$A$5:$CU$5,0))/$I87</f>
        <v/>
      </c>
      <c r="T87" s="36">
        <f>(INDEX(Prices_dom!$A$6:$CU$2000,MATCH(Settings!$C$4&amp;Settings!$C$7,Prices_dom!$A$6:$A$2000,0),MATCH("mit.rp."&amp;$G87,Prices_dom!$A$5:$CU$5,0))-INDEX(Prices_dom!$A$6:$CU$2000,MATCH(Settings!$C$4&amp;Settings!$C$7,Prices_dom!$A$6:$A$2000,0),MATCH("mit.sp."&amp;$G87,Prices_dom!$A$5:$CU$5,0)))/$I87</f>
        <v/>
      </c>
      <c r="U87" s="48">
        <f>INDEX(EF_GHG!$E$4:$E$1000,MATCH(Settings!$C$4&amp;"|"&amp;$B87&amp;"|"&amp;$H87,EF_GHG!$A$4:$A$1000,0))</f>
        <v/>
      </c>
      <c r="V87" s="41">
        <f>INDEX(EnergyCons!$F$4:$F$5000,MATCH(Settings!$C$4&amp;"|"&amp;Settings!$C$7&amp;"|"&amp;$C87&amp;"|"&amp;$B87,EnergyCons!$A$4:$A$5000,0))</f>
        <v/>
      </c>
    </row>
    <row r="88">
      <c r="A88" s="5">
        <f>$B88&amp;"|"&amp;$C88</f>
        <v/>
      </c>
      <c r="B88" s="6" t="inlineStr">
        <is>
          <t>die</t>
        </is>
      </c>
      <c r="C88" s="6" t="inlineStr">
        <is>
          <t>mac</t>
        </is>
      </c>
      <c r="D88" s="5">
        <f>INDEX(Mapping!$D$5:$D$20,MATCH($C88,Mapping!$A$5:$A$20,0))</f>
        <v/>
      </c>
      <c r="E88" s="5">
        <f>INDEX(Mapping!$C$29:$C$36,MATCH($B88,Mapping!$A$29:$A$36,0))</f>
        <v/>
      </c>
      <c r="F88" s="5">
        <f>INDEX(Mapping!$D$29:$D$36,MATCH($B88,Mapping!$A$29:$A$36,0))</f>
        <v/>
      </c>
      <c r="G88" s="5">
        <f>$B88&amp;"."&amp;IF(INDEX(Mapping!$E$29:$E$36,MATCH($B88,Mapping!$A$29:$A$36,0))="sub",INDEX(Mapping!$F$5:$F$20,MATCH($C88,Mapping!$A$5:$A$20,0)),"all")</f>
        <v/>
      </c>
      <c r="H88" s="5">
        <f>INDEX(Mapping!$E$5:$E$20,MATCH($C88,Mapping!$A$5:$A$20,0))</f>
        <v/>
      </c>
      <c r="I88" s="5">
        <f>INDEX(Mapping!$G$29:$G$36,MATCH($B88,Mapping!$A$29:$A$36,0))</f>
        <v/>
      </c>
      <c r="J88" s="5">
        <f>INDEX(Mapping!$H$29:$H$36,MATCH($B88,Mapping!$A$29:$A$36,0))</f>
        <v/>
      </c>
      <c r="K88" s="5">
        <f>INDEX(Mapping!$H$5:$H$20,MATCH($C88,Mapping!$A$5:$A$20,0))</f>
        <v/>
      </c>
      <c r="L88" s="5">
        <f>INDEX(Mapping!$E$42:$E$55,MATCH($G88,Mapping!$A$42:$A$55,0))</f>
        <v/>
      </c>
      <c r="M88" s="5">
        <f>INDEX(Mapping!$D$59:$D$62,MATCH(INDEX(Mapping!$G$5:$G$20,MATCH($C88,Mapping!$A$5:$A$20,0)),Mapping!$A$59:$A$62,0))</f>
        <v/>
      </c>
      <c r="N88" s="31">
        <f>INDEX(Elasticities!$F$4:$I$200,MATCH("inc|"&amp;$E88&amp;"|"&amp;$D88,Elasticities!$A$4:$A$200,0),MATCH(Settings!$C$6,Elasticities!$F$3:$I$3,0))</f>
        <v/>
      </c>
      <c r="O88" s="31">
        <f>INDEX(Elasticities!$F$4:$I$200,MATCH("usg|"&amp;$E88&amp;"|"&amp;$D88,Elasticities!$A$4:$A$200,0),MATCH(Settings!$C$6,Elasticities!$F$3:$I$3,0))</f>
        <v/>
      </c>
      <c r="P88" s="31">
        <f>INDEX(Elasticities!$F$4:$I$200,MATCH("eff|"&amp;$E88&amp;"|"&amp;$D88,Elasticities!$A$4:$A$200,0),MATCH(Settings!$C$6,Elasticities!$F$3:$I$3,0))</f>
        <v/>
      </c>
      <c r="Q88" s="25">
        <f>INDEX(Elasticities!$F$4:$I$200,MATCH("aei|"&amp;$F88&amp;"|"&amp;$D88,Elasticities!$A$4:$A$200,0),MATCH(Settings!$C$6,Elasticities!$F$3:$I$3,0))</f>
        <v/>
      </c>
      <c r="R88" s="47" t="n">
        <v>0</v>
      </c>
      <c r="S88" s="36">
        <f>INDEX(Prices_dom!$A$6:$CU$2000,MATCH(Settings!$C$4&amp;Settings!$C$7,Prices_dom!$A$6:$A$2000,0),MATCH("mit.sp."&amp;$G88,Prices_dom!$A$5:$CU$5,0))/$I88</f>
        <v/>
      </c>
      <c r="T88" s="36">
        <f>(INDEX(Prices_dom!$A$6:$CU$2000,MATCH(Settings!$C$4&amp;Settings!$C$7,Prices_dom!$A$6:$A$2000,0),MATCH("mit.rp."&amp;$G88,Prices_dom!$A$5:$CU$5,0))-INDEX(Prices_dom!$A$6:$CU$2000,MATCH(Settings!$C$4&amp;Settings!$C$7,Prices_dom!$A$6:$A$2000,0),MATCH("mit.sp."&amp;$G88,Prices_dom!$A$5:$CU$5,0)))/$I88</f>
        <v/>
      </c>
      <c r="U88" s="48">
        <f>INDEX(EF_GHG!$E$4:$E$1000,MATCH(Settings!$C$4&amp;"|"&amp;$B88&amp;"|"&amp;$H88,EF_GHG!$A$4:$A$1000,0))</f>
        <v/>
      </c>
      <c r="V88" s="41">
        <f>INDEX(EnergyCons!$F$4:$F$5000,MATCH(Settings!$C$4&amp;"|"&amp;Settings!$C$7&amp;"|"&amp;$C88&amp;"|"&amp;$B88,EnergyCons!$A$4:$A$5000,0))</f>
        <v/>
      </c>
    </row>
    <row r="89">
      <c r="A89" s="5">
        <f>$B89&amp;"|"&amp;$C89</f>
        <v/>
      </c>
      <c r="B89" s="6" t="inlineStr">
        <is>
          <t>lpg</t>
        </is>
      </c>
      <c r="C89" s="6" t="inlineStr">
        <is>
          <t>mac</t>
        </is>
      </c>
      <c r="D89" s="5">
        <f>INDEX(Mapping!$D$5:$D$20,MATCH($C89,Mapping!$A$5:$A$20,0))</f>
        <v/>
      </c>
      <c r="E89" s="5">
        <f>INDEX(Mapping!$C$29:$C$36,MATCH($B89,Mapping!$A$29:$A$36,0))</f>
        <v/>
      </c>
      <c r="F89" s="5">
        <f>INDEX(Mapping!$D$29:$D$36,MATCH($B89,Mapping!$A$29:$A$36,0))</f>
        <v/>
      </c>
      <c r="G89" s="5">
        <f>$B89&amp;"."&amp;IF(INDEX(Mapping!$E$29:$E$36,MATCH($B89,Mapping!$A$29:$A$36,0))="sub",INDEX(Mapping!$F$5:$F$20,MATCH($C89,Mapping!$A$5:$A$20,0)),"all")</f>
        <v/>
      </c>
      <c r="H89" s="5">
        <f>INDEX(Mapping!$E$5:$E$20,MATCH($C89,Mapping!$A$5:$A$20,0))</f>
        <v/>
      </c>
      <c r="I89" s="5">
        <f>INDEX(Mapping!$G$29:$G$36,MATCH($B89,Mapping!$A$29:$A$36,0))</f>
        <v/>
      </c>
      <c r="J89" s="5">
        <f>INDEX(Mapping!$H$29:$H$36,MATCH($B89,Mapping!$A$29:$A$36,0))</f>
        <v/>
      </c>
      <c r="K89" s="5">
        <f>INDEX(Mapping!$H$5:$H$20,MATCH($C89,Mapping!$A$5:$A$20,0))</f>
        <v/>
      </c>
      <c r="L89" s="5">
        <f>INDEX(Mapping!$E$42:$E$55,MATCH($G89,Mapping!$A$42:$A$55,0))</f>
        <v/>
      </c>
      <c r="M89" s="5">
        <f>INDEX(Mapping!$D$59:$D$62,MATCH(INDEX(Mapping!$G$5:$G$20,MATCH($C89,Mapping!$A$5:$A$20,0)),Mapping!$A$59:$A$62,0))</f>
        <v/>
      </c>
      <c r="N89" s="31">
        <f>INDEX(Elasticities!$F$4:$I$200,MATCH("inc|"&amp;$E89&amp;"|"&amp;$D89,Elasticities!$A$4:$A$200,0),MATCH(Settings!$C$6,Elasticities!$F$3:$I$3,0))</f>
        <v/>
      </c>
      <c r="O89" s="31">
        <f>INDEX(Elasticities!$F$4:$I$200,MATCH("usg|"&amp;$E89&amp;"|"&amp;$D89,Elasticities!$A$4:$A$200,0),MATCH(Settings!$C$6,Elasticities!$F$3:$I$3,0))</f>
        <v/>
      </c>
      <c r="P89" s="31">
        <f>INDEX(Elasticities!$F$4:$I$200,MATCH("eff|"&amp;$E89&amp;"|"&amp;$D89,Elasticities!$A$4:$A$200,0),MATCH(Settings!$C$6,Elasticities!$F$3:$I$3,0))</f>
        <v/>
      </c>
      <c r="Q89" s="25">
        <f>INDEX(Elasticities!$F$4:$I$200,MATCH("aei|"&amp;$F89&amp;"|"&amp;$D89,Elasticities!$A$4:$A$200,0),MATCH(Settings!$C$6,Elasticities!$F$3:$I$3,0))</f>
        <v/>
      </c>
      <c r="R89" s="47" t="n">
        <v>0</v>
      </c>
      <c r="S89" s="36">
        <f>INDEX(Prices_dom!$A$6:$CU$2000,MATCH(Settings!$C$4&amp;Settings!$C$7,Prices_dom!$A$6:$A$2000,0),MATCH("mit.sp."&amp;$G89,Prices_dom!$A$5:$CU$5,0))/$I89</f>
        <v/>
      </c>
      <c r="T89" s="36">
        <f>(INDEX(Prices_dom!$A$6:$CU$2000,MATCH(Settings!$C$4&amp;Settings!$C$7,Prices_dom!$A$6:$A$2000,0),MATCH("mit.rp."&amp;$G89,Prices_dom!$A$5:$CU$5,0))-INDEX(Prices_dom!$A$6:$CU$2000,MATCH(Settings!$C$4&amp;Settings!$C$7,Prices_dom!$A$6:$A$2000,0),MATCH("mit.sp."&amp;$G89,Prices_dom!$A$5:$CU$5,0)))/$I89</f>
        <v/>
      </c>
      <c r="U89" s="48">
        <f>INDEX(EF_GHG!$E$4:$E$1000,MATCH(Settings!$C$4&amp;"|"&amp;$B89&amp;"|"&amp;$H89,EF_GHG!$A$4:$A$1000,0))</f>
        <v/>
      </c>
      <c r="V89" s="41">
        <f>INDEX(EnergyCons!$F$4:$F$5000,MATCH(Settings!$C$4&amp;"|"&amp;Settings!$C$7&amp;"|"&amp;$C89&amp;"|"&amp;$B89,EnergyCons!$A$4:$A$5000,0))</f>
        <v/>
      </c>
    </row>
    <row r="90">
      <c r="A90" s="5">
        <f>$B90&amp;"|"&amp;$C90</f>
        <v/>
      </c>
      <c r="B90" s="6" t="inlineStr">
        <is>
          <t>ker</t>
        </is>
      </c>
      <c r="C90" s="6" t="inlineStr">
        <is>
          <t>mac</t>
        </is>
      </c>
      <c r="D90" s="5">
        <f>INDEX(Mapping!$D$5:$D$20,MATCH($C90,Mapping!$A$5:$A$20,0))</f>
        <v/>
      </c>
      <c r="E90" s="5">
        <f>INDEX(Mapping!$C$29:$C$36,MATCH($B90,Mapping!$A$29:$A$36,0))</f>
        <v/>
      </c>
      <c r="F90" s="5">
        <f>INDEX(Mapping!$D$29:$D$36,MATCH($B90,Mapping!$A$29:$A$36,0))</f>
        <v/>
      </c>
      <c r="G90" s="5">
        <f>$B90&amp;"."&amp;IF(INDEX(Mapping!$E$29:$E$36,MATCH($B90,Mapping!$A$29:$A$36,0))="sub",INDEX(Mapping!$F$5:$F$20,MATCH($C90,Mapping!$A$5:$A$20,0)),"all")</f>
        <v/>
      </c>
      <c r="H90" s="5">
        <f>INDEX(Mapping!$E$5:$E$20,MATCH($C90,Mapping!$A$5:$A$20,0))</f>
        <v/>
      </c>
      <c r="I90" s="5">
        <f>INDEX(Mapping!$G$29:$G$36,MATCH($B90,Mapping!$A$29:$A$36,0))</f>
        <v/>
      </c>
      <c r="J90" s="5">
        <f>INDEX(Mapping!$H$29:$H$36,MATCH($B90,Mapping!$A$29:$A$36,0))</f>
        <v/>
      </c>
      <c r="K90" s="5">
        <f>INDEX(Mapping!$H$5:$H$20,MATCH($C90,Mapping!$A$5:$A$20,0))</f>
        <v/>
      </c>
      <c r="L90" s="5">
        <f>INDEX(Mapping!$E$42:$E$55,MATCH($G90,Mapping!$A$42:$A$55,0))</f>
        <v/>
      </c>
      <c r="M90" s="5">
        <f>INDEX(Mapping!$D$59:$D$62,MATCH(INDEX(Mapping!$G$5:$G$20,MATCH($C90,Mapping!$A$5:$A$20,0)),Mapping!$A$59:$A$62,0))</f>
        <v/>
      </c>
      <c r="N90" s="31">
        <f>INDEX(Elasticities!$F$4:$I$200,MATCH("inc|"&amp;$E90&amp;"|"&amp;$D90,Elasticities!$A$4:$A$200,0),MATCH(Settings!$C$6,Elasticities!$F$3:$I$3,0))</f>
        <v/>
      </c>
      <c r="O90" s="31">
        <f>INDEX(Elasticities!$F$4:$I$200,MATCH("usg|"&amp;$E90&amp;"|"&amp;$D90,Elasticities!$A$4:$A$200,0),MATCH(Settings!$C$6,Elasticities!$F$3:$I$3,0))</f>
        <v/>
      </c>
      <c r="P90" s="31">
        <f>INDEX(Elasticities!$F$4:$I$200,MATCH("eff|"&amp;$E90&amp;"|"&amp;$D90,Elasticities!$A$4:$A$200,0),MATCH(Settings!$C$6,Elasticities!$F$3:$I$3,0))</f>
        <v/>
      </c>
      <c r="Q90" s="25">
        <f>INDEX(Elasticities!$F$4:$I$200,MATCH("aei|"&amp;$F90&amp;"|"&amp;$D90,Elasticities!$A$4:$A$200,0),MATCH(Settings!$C$6,Elasticities!$F$3:$I$3,0))</f>
        <v/>
      </c>
      <c r="R90" s="47" t="n">
        <v>0</v>
      </c>
      <c r="S90" s="36">
        <f>INDEX(Prices_dom!$A$6:$CU$2000,MATCH(Settings!$C$4&amp;Settings!$C$7,Prices_dom!$A$6:$A$2000,0),MATCH("mit.sp."&amp;$G90,Prices_dom!$A$5:$CU$5,0))/$I90</f>
        <v/>
      </c>
      <c r="T90" s="36">
        <f>(INDEX(Prices_dom!$A$6:$CU$2000,MATCH(Settings!$C$4&amp;Settings!$C$7,Prices_dom!$A$6:$A$2000,0),MATCH("mit.rp."&amp;$G90,Prices_dom!$A$5:$CU$5,0))-INDEX(Prices_dom!$A$6:$CU$2000,MATCH(Settings!$C$4&amp;Settings!$C$7,Prices_dom!$A$6:$A$2000,0),MATCH("mit.sp."&amp;$G90,Prices_dom!$A$5:$CU$5,0)))/$I90</f>
        <v/>
      </c>
      <c r="U90" s="48">
        <f>INDEX(EF_GHG!$E$4:$E$1000,MATCH(Settings!$C$4&amp;"|"&amp;$B90&amp;"|"&amp;$H90,EF_GHG!$A$4:$A$1000,0))</f>
        <v/>
      </c>
      <c r="V90" s="41">
        <f>INDEX(EnergyCons!$F$4:$F$5000,MATCH(Settings!$C$4&amp;"|"&amp;Settings!$C$7&amp;"|"&amp;$C90&amp;"|"&amp;$B90,EnergyCons!$A$4:$A$5000,0))</f>
        <v/>
      </c>
    </row>
    <row r="91">
      <c r="A91" s="5">
        <f>$B91&amp;"|"&amp;$C91</f>
        <v/>
      </c>
      <c r="B91" s="6" t="inlineStr">
        <is>
          <t>oop</t>
        </is>
      </c>
      <c r="C91" s="6" t="inlineStr">
        <is>
          <t>mac</t>
        </is>
      </c>
      <c r="D91" s="5">
        <f>INDEX(Mapping!$D$5:$D$20,MATCH($C91,Mapping!$A$5:$A$20,0))</f>
        <v/>
      </c>
      <c r="E91" s="5">
        <f>INDEX(Mapping!$C$29:$C$36,MATCH($B91,Mapping!$A$29:$A$36,0))</f>
        <v/>
      </c>
      <c r="F91" s="5">
        <f>INDEX(Mapping!$D$29:$D$36,MATCH($B91,Mapping!$A$29:$A$36,0))</f>
        <v/>
      </c>
      <c r="G91" s="5">
        <f>$B91&amp;"."&amp;IF(INDEX(Mapping!$E$29:$E$36,MATCH($B91,Mapping!$A$29:$A$36,0))="sub",INDEX(Mapping!$F$5:$F$20,MATCH($C91,Mapping!$A$5:$A$20,0)),"all")</f>
        <v/>
      </c>
      <c r="H91" s="5">
        <f>INDEX(Mapping!$E$5:$E$20,MATCH($C91,Mapping!$A$5:$A$20,0))</f>
        <v/>
      </c>
      <c r="I91" s="5">
        <f>INDEX(Mapping!$G$29:$G$36,MATCH($B91,Mapping!$A$29:$A$36,0))</f>
        <v/>
      </c>
      <c r="J91" s="5">
        <f>INDEX(Mapping!$H$29:$H$36,MATCH($B91,Mapping!$A$29:$A$36,0))</f>
        <v/>
      </c>
      <c r="K91" s="5">
        <f>INDEX(Mapping!$H$5:$H$20,MATCH($C91,Mapping!$A$5:$A$20,0))</f>
        <v/>
      </c>
      <c r="L91" s="5">
        <f>INDEX(Mapping!$E$42:$E$55,MATCH($G91,Mapping!$A$42:$A$55,0))</f>
        <v/>
      </c>
      <c r="M91" s="5">
        <f>INDEX(Mapping!$D$59:$D$62,MATCH(INDEX(Mapping!$G$5:$G$20,MATCH($C91,Mapping!$A$5:$A$20,0)),Mapping!$A$59:$A$62,0))</f>
        <v/>
      </c>
      <c r="N91" s="31">
        <f>INDEX(Elasticities!$F$4:$I$200,MATCH("inc|"&amp;$E91&amp;"|"&amp;$D91,Elasticities!$A$4:$A$200,0),MATCH(Settings!$C$6,Elasticities!$F$3:$I$3,0))</f>
        <v/>
      </c>
      <c r="O91" s="31">
        <f>INDEX(Elasticities!$F$4:$I$200,MATCH("usg|"&amp;$E91&amp;"|"&amp;$D91,Elasticities!$A$4:$A$200,0),MATCH(Settings!$C$6,Elasticities!$F$3:$I$3,0))</f>
        <v/>
      </c>
      <c r="P91" s="31">
        <f>INDEX(Elasticities!$F$4:$I$200,MATCH("eff|"&amp;$E91&amp;"|"&amp;$D91,Elasticities!$A$4:$A$200,0),MATCH(Settings!$C$6,Elasticities!$F$3:$I$3,0))</f>
        <v/>
      </c>
      <c r="Q91" s="25">
        <f>INDEX(Elasticities!$F$4:$I$200,MATCH("aei|"&amp;$F91&amp;"|"&amp;$D91,Elasticities!$A$4:$A$200,0),MATCH(Settings!$C$6,Elasticities!$F$3:$I$3,0))</f>
        <v/>
      </c>
      <c r="R91" s="47" t="n">
        <v>0</v>
      </c>
      <c r="S91" s="36">
        <f>INDEX(Prices_dom!$A$6:$CU$2000,MATCH(Settings!$C$4&amp;Settings!$C$7,Prices_dom!$A$6:$A$2000,0),MATCH("mit.sp."&amp;$G91,Prices_dom!$A$5:$CU$5,0))/$I91</f>
        <v/>
      </c>
      <c r="T91" s="36">
        <f>(INDEX(Prices_dom!$A$6:$CU$2000,MATCH(Settings!$C$4&amp;Settings!$C$7,Prices_dom!$A$6:$A$2000,0),MATCH("mit.rp."&amp;$G91,Prices_dom!$A$5:$CU$5,0))-INDEX(Prices_dom!$A$6:$CU$2000,MATCH(Settings!$C$4&amp;Settings!$C$7,Prices_dom!$A$6:$A$2000,0),MATCH("mit.sp."&amp;$G91,Prices_dom!$A$5:$CU$5,0)))/$I91</f>
        <v/>
      </c>
      <c r="U91" s="48">
        <f>INDEX(EF_GHG!$E$4:$E$1000,MATCH(Settings!$C$4&amp;"|"&amp;$B91&amp;"|"&amp;$H91,EF_GHG!$A$4:$A$1000,0))</f>
        <v/>
      </c>
      <c r="V91" s="41">
        <f>INDEX(EnergyCons!$F$4:$F$5000,MATCH(Settings!$C$4&amp;"|"&amp;Settings!$C$7&amp;"|"&amp;$C91&amp;"|"&amp;$B91,EnergyCons!$A$4:$A$5000,0))</f>
        <v/>
      </c>
    </row>
    <row r="92">
      <c r="A92" s="5">
        <f>$B92&amp;"|"&amp;$C92</f>
        <v/>
      </c>
      <c r="B92" s="6" t="inlineStr">
        <is>
          <t>bio</t>
        </is>
      </c>
      <c r="C92" s="6" t="inlineStr">
        <is>
          <t>mac</t>
        </is>
      </c>
      <c r="D92" s="5">
        <f>INDEX(Mapping!$D$5:$D$20,MATCH($C92,Mapping!$A$5:$A$20,0))</f>
        <v/>
      </c>
      <c r="E92" s="5">
        <f>INDEX(Mapping!$C$29:$C$36,MATCH($B92,Mapping!$A$29:$A$36,0))</f>
        <v/>
      </c>
      <c r="F92" s="5">
        <f>INDEX(Mapping!$D$29:$D$36,MATCH($B92,Mapping!$A$29:$A$36,0))</f>
        <v/>
      </c>
      <c r="G92" s="5">
        <f>$B92&amp;"."&amp;IF(INDEX(Mapping!$E$29:$E$36,MATCH($B92,Mapping!$A$29:$A$36,0))="sub",INDEX(Mapping!$F$5:$F$20,MATCH($C92,Mapping!$A$5:$A$20,0)),"all")</f>
        <v/>
      </c>
      <c r="H92" s="5">
        <f>INDEX(Mapping!$E$5:$E$20,MATCH($C92,Mapping!$A$5:$A$20,0))</f>
        <v/>
      </c>
      <c r="I92" s="5">
        <f>INDEX(Mapping!$G$29:$G$36,MATCH($B92,Mapping!$A$29:$A$36,0))</f>
        <v/>
      </c>
      <c r="J92" s="5">
        <f>INDEX(Mapping!$H$29:$H$36,MATCH($B92,Mapping!$A$29:$A$36,0))</f>
        <v/>
      </c>
      <c r="K92" s="5">
        <f>INDEX(Mapping!$H$5:$H$20,MATCH($C92,Mapping!$A$5:$A$20,0))</f>
        <v/>
      </c>
      <c r="L92" s="5">
        <f>INDEX(Mapping!$E$42:$E$55,MATCH($G92,Mapping!$A$42:$A$55,0))</f>
        <v/>
      </c>
      <c r="M92" s="5">
        <f>INDEX(Mapping!$D$59:$D$62,MATCH(INDEX(Mapping!$G$5:$G$20,MATCH($C92,Mapping!$A$5:$A$20,0)),Mapping!$A$59:$A$62,0))</f>
        <v/>
      </c>
      <c r="N92" s="31">
        <f>INDEX(Elasticities!$F$4:$I$200,MATCH("inc|"&amp;$E92&amp;"|"&amp;$D92,Elasticities!$A$4:$A$200,0),MATCH(Settings!$C$6,Elasticities!$F$3:$I$3,0))</f>
        <v/>
      </c>
      <c r="O92" s="31">
        <f>INDEX(Elasticities!$F$4:$I$200,MATCH("usg|"&amp;$E92&amp;"|"&amp;$D92,Elasticities!$A$4:$A$200,0),MATCH(Settings!$C$6,Elasticities!$F$3:$I$3,0))</f>
        <v/>
      </c>
      <c r="P92" s="31">
        <f>INDEX(Elasticities!$F$4:$I$200,MATCH("eff|"&amp;$E92&amp;"|"&amp;$D92,Elasticities!$A$4:$A$200,0),MATCH(Settings!$C$6,Elasticities!$F$3:$I$3,0))</f>
        <v/>
      </c>
      <c r="Q92" s="25">
        <f>INDEX(Elasticities!$F$4:$I$200,MATCH("aei|"&amp;$F92&amp;"|"&amp;$D92,Elasticities!$A$4:$A$200,0),MATCH(Settings!$C$6,Elasticities!$F$3:$I$3,0))</f>
        <v/>
      </c>
      <c r="R92" s="47" t="n">
        <v>0</v>
      </c>
      <c r="S92" s="36">
        <f>INDEX(Prices_dom!$A$6:$CU$2000,MATCH(Settings!$C$4&amp;Settings!$C$7,Prices_dom!$A$6:$A$2000,0),MATCH("mit.sp."&amp;$G92,Prices_dom!$A$5:$CU$5,0))/$I92</f>
        <v/>
      </c>
      <c r="T92" s="36">
        <f>(INDEX(Prices_dom!$A$6:$CU$2000,MATCH(Settings!$C$4&amp;Settings!$C$7,Prices_dom!$A$6:$A$2000,0),MATCH("mit.rp."&amp;$G92,Prices_dom!$A$5:$CU$5,0))-INDEX(Prices_dom!$A$6:$CU$2000,MATCH(Settings!$C$4&amp;Settings!$C$7,Prices_dom!$A$6:$A$2000,0),MATCH("mit.sp."&amp;$G92,Prices_dom!$A$5:$CU$5,0)))/$I92</f>
        <v/>
      </c>
      <c r="U92" s="48">
        <f>INDEX(EF_GHG!$E$4:$E$1000,MATCH(Settings!$C$4&amp;"|"&amp;$B92&amp;"|"&amp;$H92,EF_GHG!$A$4:$A$1000,0))</f>
        <v/>
      </c>
      <c r="V92" s="41">
        <f>INDEX(EnergyCons!$F$4:$F$5000,MATCH(Settings!$C$4&amp;"|"&amp;Settings!$C$7&amp;"|"&amp;$C92&amp;"|"&amp;$B92,EnergyCons!$A$4:$A$5000,0))</f>
        <v/>
      </c>
    </row>
    <row r="93">
      <c r="A93" s="5">
        <f>$B93&amp;"|"&amp;$C93</f>
        <v/>
      </c>
      <c r="B93" s="6" t="inlineStr">
        <is>
          <t>coa</t>
        </is>
      </c>
      <c r="C93" s="6" t="inlineStr">
        <is>
          <t>cem</t>
        </is>
      </c>
      <c r="D93" s="5">
        <f>INDEX(Mapping!$D$5:$D$20,MATCH($C93,Mapping!$A$5:$A$20,0))</f>
        <v/>
      </c>
      <c r="E93" s="5">
        <f>INDEX(Mapping!$C$29:$C$36,MATCH($B93,Mapping!$A$29:$A$36,0))</f>
        <v/>
      </c>
      <c r="F93" s="5">
        <f>INDEX(Mapping!$D$29:$D$36,MATCH($B93,Mapping!$A$29:$A$36,0))</f>
        <v/>
      </c>
      <c r="G93" s="5">
        <f>$B93&amp;"."&amp;IF(INDEX(Mapping!$E$29:$E$36,MATCH($B93,Mapping!$A$29:$A$36,0))="sub",INDEX(Mapping!$F$5:$F$20,MATCH($C93,Mapping!$A$5:$A$20,0)),"all")</f>
        <v/>
      </c>
      <c r="H93" s="5">
        <f>INDEX(Mapping!$E$5:$E$20,MATCH($C93,Mapping!$A$5:$A$20,0))</f>
        <v/>
      </c>
      <c r="I93" s="5">
        <f>INDEX(Mapping!$G$29:$G$36,MATCH($B93,Mapping!$A$29:$A$36,0))</f>
        <v/>
      </c>
      <c r="J93" s="5">
        <f>INDEX(Mapping!$H$29:$H$36,MATCH($B93,Mapping!$A$29:$A$36,0))</f>
        <v/>
      </c>
      <c r="K93" s="5">
        <f>INDEX(Mapping!$H$5:$H$20,MATCH($C93,Mapping!$A$5:$A$20,0))</f>
        <v/>
      </c>
      <c r="L93" s="5">
        <f>INDEX(Mapping!$E$42:$E$55,MATCH($G93,Mapping!$A$42:$A$55,0))</f>
        <v/>
      </c>
      <c r="M93" s="5">
        <f>INDEX(Mapping!$D$59:$D$62,MATCH(INDEX(Mapping!$G$5:$G$20,MATCH($C93,Mapping!$A$5:$A$20,0)),Mapping!$A$59:$A$62,0))</f>
        <v/>
      </c>
      <c r="N93" s="31">
        <f>INDEX(Elasticities!$F$4:$I$200,MATCH("inc|"&amp;$E93&amp;"|"&amp;$D93,Elasticities!$A$4:$A$200,0),MATCH(Settings!$C$6,Elasticities!$F$3:$I$3,0))</f>
        <v/>
      </c>
      <c r="O93" s="31">
        <f>INDEX(Elasticities!$F$4:$I$200,MATCH("usg|"&amp;$E93&amp;"|"&amp;$D93,Elasticities!$A$4:$A$200,0),MATCH(Settings!$C$6,Elasticities!$F$3:$I$3,0))</f>
        <v/>
      </c>
      <c r="P93" s="31">
        <f>INDEX(Elasticities!$F$4:$I$200,MATCH("eff|"&amp;$E93&amp;"|"&amp;$D93,Elasticities!$A$4:$A$200,0),MATCH(Settings!$C$6,Elasticities!$F$3:$I$3,0))</f>
        <v/>
      </c>
      <c r="Q93" s="25">
        <f>INDEX(Elasticities!$F$4:$I$200,MATCH("aei|"&amp;$F93&amp;"|"&amp;$D93,Elasticities!$A$4:$A$200,0),MATCH(Settings!$C$6,Elasticities!$F$3:$I$3,0))</f>
        <v/>
      </c>
      <c r="R93" s="47" t="n">
        <v>0</v>
      </c>
      <c r="S93" s="36">
        <f>INDEX(Prices_dom!$A$6:$CU$2000,MATCH(Settings!$C$4&amp;Settings!$C$7,Prices_dom!$A$6:$A$2000,0),MATCH("mit.sp."&amp;$G93,Prices_dom!$A$5:$CU$5,0))/$I93</f>
        <v/>
      </c>
      <c r="T93" s="36">
        <f>(INDEX(Prices_dom!$A$6:$CU$2000,MATCH(Settings!$C$4&amp;Settings!$C$7,Prices_dom!$A$6:$A$2000,0),MATCH("mit.rp."&amp;$G93,Prices_dom!$A$5:$CU$5,0))-INDEX(Prices_dom!$A$6:$CU$2000,MATCH(Settings!$C$4&amp;Settings!$C$7,Prices_dom!$A$6:$A$2000,0),MATCH("mit.sp."&amp;$G93,Prices_dom!$A$5:$CU$5,0)))/$I93</f>
        <v/>
      </c>
      <c r="U93" s="48">
        <f>INDEX(EF_GHG!$E$4:$E$1000,MATCH(Settings!$C$4&amp;"|"&amp;$B93&amp;"|"&amp;$H93,EF_GHG!$A$4:$A$1000,0))</f>
        <v/>
      </c>
      <c r="V93" s="41">
        <f>INDEX(EnergyCons!$F$4:$F$5000,MATCH(Settings!$C$4&amp;"|"&amp;Settings!$C$7&amp;"|"&amp;$C93&amp;"|"&amp;$B93,EnergyCons!$A$4:$A$5000,0))</f>
        <v/>
      </c>
    </row>
    <row r="94">
      <c r="A94" s="5">
        <f>$B94&amp;"|"&amp;$C94</f>
        <v/>
      </c>
      <c r="B94" s="6" t="inlineStr">
        <is>
          <t>nga</t>
        </is>
      </c>
      <c r="C94" s="6" t="inlineStr">
        <is>
          <t>cem</t>
        </is>
      </c>
      <c r="D94" s="5">
        <f>INDEX(Mapping!$D$5:$D$20,MATCH($C94,Mapping!$A$5:$A$20,0))</f>
        <v/>
      </c>
      <c r="E94" s="5">
        <f>INDEX(Mapping!$C$29:$C$36,MATCH($B94,Mapping!$A$29:$A$36,0))</f>
        <v/>
      </c>
      <c r="F94" s="5">
        <f>INDEX(Mapping!$D$29:$D$36,MATCH($B94,Mapping!$A$29:$A$36,0))</f>
        <v/>
      </c>
      <c r="G94" s="5">
        <f>$B94&amp;"."&amp;IF(INDEX(Mapping!$E$29:$E$36,MATCH($B94,Mapping!$A$29:$A$36,0))="sub",INDEX(Mapping!$F$5:$F$20,MATCH($C94,Mapping!$A$5:$A$20,0)),"all")</f>
        <v/>
      </c>
      <c r="H94" s="5">
        <f>INDEX(Mapping!$E$5:$E$20,MATCH($C94,Mapping!$A$5:$A$20,0))</f>
        <v/>
      </c>
      <c r="I94" s="5">
        <f>INDEX(Mapping!$G$29:$G$36,MATCH($B94,Mapping!$A$29:$A$36,0))</f>
        <v/>
      </c>
      <c r="J94" s="5">
        <f>INDEX(Mapping!$H$29:$H$36,MATCH($B94,Mapping!$A$29:$A$36,0))</f>
        <v/>
      </c>
      <c r="K94" s="5">
        <f>INDEX(Mapping!$H$5:$H$20,MATCH($C94,Mapping!$A$5:$A$20,0))</f>
        <v/>
      </c>
      <c r="L94" s="5">
        <f>INDEX(Mapping!$E$42:$E$55,MATCH($G94,Mapping!$A$42:$A$55,0))</f>
        <v/>
      </c>
      <c r="M94" s="5">
        <f>INDEX(Mapping!$D$59:$D$62,MATCH(INDEX(Mapping!$G$5:$G$20,MATCH($C94,Mapping!$A$5:$A$20,0)),Mapping!$A$59:$A$62,0))</f>
        <v/>
      </c>
      <c r="N94" s="31">
        <f>INDEX(Elasticities!$F$4:$I$200,MATCH("inc|"&amp;$E94&amp;"|"&amp;$D94,Elasticities!$A$4:$A$200,0),MATCH(Settings!$C$6,Elasticities!$F$3:$I$3,0))</f>
        <v/>
      </c>
      <c r="O94" s="31">
        <f>INDEX(Elasticities!$F$4:$I$200,MATCH("usg|"&amp;$E94&amp;"|"&amp;$D94,Elasticities!$A$4:$A$200,0),MATCH(Settings!$C$6,Elasticities!$F$3:$I$3,0))</f>
        <v/>
      </c>
      <c r="P94" s="31">
        <f>INDEX(Elasticities!$F$4:$I$200,MATCH("eff|"&amp;$E94&amp;"|"&amp;$D94,Elasticities!$A$4:$A$200,0),MATCH(Settings!$C$6,Elasticities!$F$3:$I$3,0))</f>
        <v/>
      </c>
      <c r="Q94" s="25">
        <f>INDEX(Elasticities!$F$4:$I$200,MATCH("aei|"&amp;$F94&amp;"|"&amp;$D94,Elasticities!$A$4:$A$200,0),MATCH(Settings!$C$6,Elasticities!$F$3:$I$3,0))</f>
        <v/>
      </c>
      <c r="R94" s="47" t="n">
        <v>0</v>
      </c>
      <c r="S94" s="36">
        <f>INDEX(Prices_dom!$A$6:$CU$2000,MATCH(Settings!$C$4&amp;Settings!$C$7,Prices_dom!$A$6:$A$2000,0),MATCH("mit.sp."&amp;$G94,Prices_dom!$A$5:$CU$5,0))/$I94</f>
        <v/>
      </c>
      <c r="T94" s="36">
        <f>(INDEX(Prices_dom!$A$6:$CU$2000,MATCH(Settings!$C$4&amp;Settings!$C$7,Prices_dom!$A$6:$A$2000,0),MATCH("mit.rp."&amp;$G94,Prices_dom!$A$5:$CU$5,0))-INDEX(Prices_dom!$A$6:$CU$2000,MATCH(Settings!$C$4&amp;Settings!$C$7,Prices_dom!$A$6:$A$2000,0),MATCH("mit.sp."&amp;$G94,Prices_dom!$A$5:$CU$5,0)))/$I94</f>
        <v/>
      </c>
      <c r="U94" s="48">
        <f>INDEX(EF_GHG!$E$4:$E$1000,MATCH(Settings!$C$4&amp;"|"&amp;$B94&amp;"|"&amp;$H94,EF_GHG!$A$4:$A$1000,0))</f>
        <v/>
      </c>
      <c r="V94" s="41">
        <f>INDEX(EnergyCons!$F$4:$F$5000,MATCH(Settings!$C$4&amp;"|"&amp;Settings!$C$7&amp;"|"&amp;$C94&amp;"|"&amp;$B94,EnergyCons!$A$4:$A$5000,0))</f>
        <v/>
      </c>
    </row>
    <row r="95">
      <c r="A95" s="5">
        <f>$B95&amp;"|"&amp;$C95</f>
        <v/>
      </c>
      <c r="B95" s="6" t="inlineStr">
        <is>
          <t>gso</t>
        </is>
      </c>
      <c r="C95" s="6" t="inlineStr">
        <is>
          <t>cem</t>
        </is>
      </c>
      <c r="D95" s="5">
        <f>INDEX(Mapping!$D$5:$D$20,MATCH($C95,Mapping!$A$5:$A$20,0))</f>
        <v/>
      </c>
      <c r="E95" s="5">
        <f>INDEX(Mapping!$C$29:$C$36,MATCH($B95,Mapping!$A$29:$A$36,0))</f>
        <v/>
      </c>
      <c r="F95" s="5">
        <f>INDEX(Mapping!$D$29:$D$36,MATCH($B95,Mapping!$A$29:$A$36,0))</f>
        <v/>
      </c>
      <c r="G95" s="5">
        <f>$B95&amp;"."&amp;IF(INDEX(Mapping!$E$29:$E$36,MATCH($B95,Mapping!$A$29:$A$36,0))="sub",INDEX(Mapping!$F$5:$F$20,MATCH($C95,Mapping!$A$5:$A$20,0)),"all")</f>
        <v/>
      </c>
      <c r="H95" s="5">
        <f>INDEX(Mapping!$E$5:$E$20,MATCH($C95,Mapping!$A$5:$A$20,0))</f>
        <v/>
      </c>
      <c r="I95" s="5">
        <f>INDEX(Mapping!$G$29:$G$36,MATCH($B95,Mapping!$A$29:$A$36,0))</f>
        <v/>
      </c>
      <c r="J95" s="5">
        <f>INDEX(Mapping!$H$29:$H$36,MATCH($B95,Mapping!$A$29:$A$36,0))</f>
        <v/>
      </c>
      <c r="K95" s="5">
        <f>INDEX(Mapping!$H$5:$H$20,MATCH($C95,Mapping!$A$5:$A$20,0))</f>
        <v/>
      </c>
      <c r="L95" s="5">
        <f>INDEX(Mapping!$E$42:$E$55,MATCH($G95,Mapping!$A$42:$A$55,0))</f>
        <v/>
      </c>
      <c r="M95" s="5">
        <f>INDEX(Mapping!$D$59:$D$62,MATCH(INDEX(Mapping!$G$5:$G$20,MATCH($C95,Mapping!$A$5:$A$20,0)),Mapping!$A$59:$A$62,0))</f>
        <v/>
      </c>
      <c r="N95" s="31">
        <f>INDEX(Elasticities!$F$4:$I$200,MATCH("inc|"&amp;$E95&amp;"|"&amp;$D95,Elasticities!$A$4:$A$200,0),MATCH(Settings!$C$6,Elasticities!$F$3:$I$3,0))</f>
        <v/>
      </c>
      <c r="O95" s="31">
        <f>INDEX(Elasticities!$F$4:$I$200,MATCH("usg|"&amp;$E95&amp;"|"&amp;$D95,Elasticities!$A$4:$A$200,0),MATCH(Settings!$C$6,Elasticities!$F$3:$I$3,0))</f>
        <v/>
      </c>
      <c r="P95" s="31">
        <f>INDEX(Elasticities!$F$4:$I$200,MATCH("eff|"&amp;$E95&amp;"|"&amp;$D95,Elasticities!$A$4:$A$200,0),MATCH(Settings!$C$6,Elasticities!$F$3:$I$3,0))</f>
        <v/>
      </c>
      <c r="Q95" s="25">
        <f>INDEX(Elasticities!$F$4:$I$200,MATCH("aei|"&amp;$F95&amp;"|"&amp;$D95,Elasticities!$A$4:$A$200,0),MATCH(Settings!$C$6,Elasticities!$F$3:$I$3,0))</f>
        <v/>
      </c>
      <c r="R95" s="47" t="n">
        <v>0</v>
      </c>
      <c r="S95" s="36">
        <f>INDEX(Prices_dom!$A$6:$CU$2000,MATCH(Settings!$C$4&amp;Settings!$C$7,Prices_dom!$A$6:$A$2000,0),MATCH("mit.sp."&amp;$G95,Prices_dom!$A$5:$CU$5,0))/$I95</f>
        <v/>
      </c>
      <c r="T95" s="36">
        <f>(INDEX(Prices_dom!$A$6:$CU$2000,MATCH(Settings!$C$4&amp;Settings!$C$7,Prices_dom!$A$6:$A$2000,0),MATCH("mit.rp."&amp;$G95,Prices_dom!$A$5:$CU$5,0))-INDEX(Prices_dom!$A$6:$CU$2000,MATCH(Settings!$C$4&amp;Settings!$C$7,Prices_dom!$A$6:$A$2000,0),MATCH("mit.sp."&amp;$G95,Prices_dom!$A$5:$CU$5,0)))/$I95</f>
        <v/>
      </c>
      <c r="U95" s="48">
        <f>INDEX(EF_GHG!$E$4:$E$1000,MATCH(Settings!$C$4&amp;"|"&amp;$B95&amp;"|"&amp;$H95,EF_GHG!$A$4:$A$1000,0))</f>
        <v/>
      </c>
      <c r="V95" s="41">
        <f>INDEX(EnergyCons!$F$4:$F$5000,MATCH(Settings!$C$4&amp;"|"&amp;Settings!$C$7&amp;"|"&amp;$C95&amp;"|"&amp;$B95,EnergyCons!$A$4:$A$5000,0))</f>
        <v/>
      </c>
    </row>
    <row r="96">
      <c r="A96" s="5">
        <f>$B96&amp;"|"&amp;$C96</f>
        <v/>
      </c>
      <c r="B96" s="6" t="inlineStr">
        <is>
          <t>die</t>
        </is>
      </c>
      <c r="C96" s="6" t="inlineStr">
        <is>
          <t>cem</t>
        </is>
      </c>
      <c r="D96" s="5">
        <f>INDEX(Mapping!$D$5:$D$20,MATCH($C96,Mapping!$A$5:$A$20,0))</f>
        <v/>
      </c>
      <c r="E96" s="5">
        <f>INDEX(Mapping!$C$29:$C$36,MATCH($B96,Mapping!$A$29:$A$36,0))</f>
        <v/>
      </c>
      <c r="F96" s="5">
        <f>INDEX(Mapping!$D$29:$D$36,MATCH($B96,Mapping!$A$29:$A$36,0))</f>
        <v/>
      </c>
      <c r="G96" s="5">
        <f>$B96&amp;"."&amp;IF(INDEX(Mapping!$E$29:$E$36,MATCH($B96,Mapping!$A$29:$A$36,0))="sub",INDEX(Mapping!$F$5:$F$20,MATCH($C96,Mapping!$A$5:$A$20,0)),"all")</f>
        <v/>
      </c>
      <c r="H96" s="5">
        <f>INDEX(Mapping!$E$5:$E$20,MATCH($C96,Mapping!$A$5:$A$20,0))</f>
        <v/>
      </c>
      <c r="I96" s="5">
        <f>INDEX(Mapping!$G$29:$G$36,MATCH($B96,Mapping!$A$29:$A$36,0))</f>
        <v/>
      </c>
      <c r="J96" s="5">
        <f>INDEX(Mapping!$H$29:$H$36,MATCH($B96,Mapping!$A$29:$A$36,0))</f>
        <v/>
      </c>
      <c r="K96" s="5">
        <f>INDEX(Mapping!$H$5:$H$20,MATCH($C96,Mapping!$A$5:$A$20,0))</f>
        <v/>
      </c>
      <c r="L96" s="5">
        <f>INDEX(Mapping!$E$42:$E$55,MATCH($G96,Mapping!$A$42:$A$55,0))</f>
        <v/>
      </c>
      <c r="M96" s="5">
        <f>INDEX(Mapping!$D$59:$D$62,MATCH(INDEX(Mapping!$G$5:$G$20,MATCH($C96,Mapping!$A$5:$A$20,0)),Mapping!$A$59:$A$62,0))</f>
        <v/>
      </c>
      <c r="N96" s="31">
        <f>INDEX(Elasticities!$F$4:$I$200,MATCH("inc|"&amp;$E96&amp;"|"&amp;$D96,Elasticities!$A$4:$A$200,0),MATCH(Settings!$C$6,Elasticities!$F$3:$I$3,0))</f>
        <v/>
      </c>
      <c r="O96" s="31">
        <f>INDEX(Elasticities!$F$4:$I$200,MATCH("usg|"&amp;$E96&amp;"|"&amp;$D96,Elasticities!$A$4:$A$200,0),MATCH(Settings!$C$6,Elasticities!$F$3:$I$3,0))</f>
        <v/>
      </c>
      <c r="P96" s="31">
        <f>INDEX(Elasticities!$F$4:$I$200,MATCH("eff|"&amp;$E96&amp;"|"&amp;$D96,Elasticities!$A$4:$A$200,0),MATCH(Settings!$C$6,Elasticities!$F$3:$I$3,0))</f>
        <v/>
      </c>
      <c r="Q96" s="25">
        <f>INDEX(Elasticities!$F$4:$I$200,MATCH("aei|"&amp;$F96&amp;"|"&amp;$D96,Elasticities!$A$4:$A$200,0),MATCH(Settings!$C$6,Elasticities!$F$3:$I$3,0))</f>
        <v/>
      </c>
      <c r="R96" s="47" t="n">
        <v>0</v>
      </c>
      <c r="S96" s="36">
        <f>INDEX(Prices_dom!$A$6:$CU$2000,MATCH(Settings!$C$4&amp;Settings!$C$7,Prices_dom!$A$6:$A$2000,0),MATCH("mit.sp."&amp;$G96,Prices_dom!$A$5:$CU$5,0))/$I96</f>
        <v/>
      </c>
      <c r="T96" s="36">
        <f>(INDEX(Prices_dom!$A$6:$CU$2000,MATCH(Settings!$C$4&amp;Settings!$C$7,Prices_dom!$A$6:$A$2000,0),MATCH("mit.rp."&amp;$G96,Prices_dom!$A$5:$CU$5,0))-INDEX(Prices_dom!$A$6:$CU$2000,MATCH(Settings!$C$4&amp;Settings!$C$7,Prices_dom!$A$6:$A$2000,0),MATCH("mit.sp."&amp;$G96,Prices_dom!$A$5:$CU$5,0)))/$I96</f>
        <v/>
      </c>
      <c r="U96" s="48">
        <f>INDEX(EF_GHG!$E$4:$E$1000,MATCH(Settings!$C$4&amp;"|"&amp;$B96&amp;"|"&amp;$H96,EF_GHG!$A$4:$A$1000,0))</f>
        <v/>
      </c>
      <c r="V96" s="41">
        <f>INDEX(EnergyCons!$F$4:$F$5000,MATCH(Settings!$C$4&amp;"|"&amp;Settings!$C$7&amp;"|"&amp;$C96&amp;"|"&amp;$B96,EnergyCons!$A$4:$A$5000,0))</f>
        <v/>
      </c>
    </row>
    <row r="97">
      <c r="A97" s="5">
        <f>$B97&amp;"|"&amp;$C97</f>
        <v/>
      </c>
      <c r="B97" s="6" t="inlineStr">
        <is>
          <t>lpg</t>
        </is>
      </c>
      <c r="C97" s="6" t="inlineStr">
        <is>
          <t>cem</t>
        </is>
      </c>
      <c r="D97" s="5">
        <f>INDEX(Mapping!$D$5:$D$20,MATCH($C97,Mapping!$A$5:$A$20,0))</f>
        <v/>
      </c>
      <c r="E97" s="5">
        <f>INDEX(Mapping!$C$29:$C$36,MATCH($B97,Mapping!$A$29:$A$36,0))</f>
        <v/>
      </c>
      <c r="F97" s="5">
        <f>INDEX(Mapping!$D$29:$D$36,MATCH($B97,Mapping!$A$29:$A$36,0))</f>
        <v/>
      </c>
      <c r="G97" s="5">
        <f>$B97&amp;"."&amp;IF(INDEX(Mapping!$E$29:$E$36,MATCH($B97,Mapping!$A$29:$A$36,0))="sub",INDEX(Mapping!$F$5:$F$20,MATCH($C97,Mapping!$A$5:$A$20,0)),"all")</f>
        <v/>
      </c>
      <c r="H97" s="5">
        <f>INDEX(Mapping!$E$5:$E$20,MATCH($C97,Mapping!$A$5:$A$20,0))</f>
        <v/>
      </c>
      <c r="I97" s="5">
        <f>INDEX(Mapping!$G$29:$G$36,MATCH($B97,Mapping!$A$29:$A$36,0))</f>
        <v/>
      </c>
      <c r="J97" s="5">
        <f>INDEX(Mapping!$H$29:$H$36,MATCH($B97,Mapping!$A$29:$A$36,0))</f>
        <v/>
      </c>
      <c r="K97" s="5">
        <f>INDEX(Mapping!$H$5:$H$20,MATCH($C97,Mapping!$A$5:$A$20,0))</f>
        <v/>
      </c>
      <c r="L97" s="5">
        <f>INDEX(Mapping!$E$42:$E$55,MATCH($G97,Mapping!$A$42:$A$55,0))</f>
        <v/>
      </c>
      <c r="M97" s="5">
        <f>INDEX(Mapping!$D$59:$D$62,MATCH(INDEX(Mapping!$G$5:$G$20,MATCH($C97,Mapping!$A$5:$A$20,0)),Mapping!$A$59:$A$62,0))</f>
        <v/>
      </c>
      <c r="N97" s="31">
        <f>INDEX(Elasticities!$F$4:$I$200,MATCH("inc|"&amp;$E97&amp;"|"&amp;$D97,Elasticities!$A$4:$A$200,0),MATCH(Settings!$C$6,Elasticities!$F$3:$I$3,0))</f>
        <v/>
      </c>
      <c r="O97" s="31">
        <f>INDEX(Elasticities!$F$4:$I$200,MATCH("usg|"&amp;$E97&amp;"|"&amp;$D97,Elasticities!$A$4:$A$200,0),MATCH(Settings!$C$6,Elasticities!$F$3:$I$3,0))</f>
        <v/>
      </c>
      <c r="P97" s="31">
        <f>INDEX(Elasticities!$F$4:$I$200,MATCH("eff|"&amp;$E97&amp;"|"&amp;$D97,Elasticities!$A$4:$A$200,0),MATCH(Settings!$C$6,Elasticities!$F$3:$I$3,0))</f>
        <v/>
      </c>
      <c r="Q97" s="25">
        <f>INDEX(Elasticities!$F$4:$I$200,MATCH("aei|"&amp;$F97&amp;"|"&amp;$D97,Elasticities!$A$4:$A$200,0),MATCH(Settings!$C$6,Elasticities!$F$3:$I$3,0))</f>
        <v/>
      </c>
      <c r="R97" s="47" t="n">
        <v>0</v>
      </c>
      <c r="S97" s="36">
        <f>INDEX(Prices_dom!$A$6:$CU$2000,MATCH(Settings!$C$4&amp;Settings!$C$7,Prices_dom!$A$6:$A$2000,0),MATCH("mit.sp."&amp;$G97,Prices_dom!$A$5:$CU$5,0))/$I97</f>
        <v/>
      </c>
      <c r="T97" s="36">
        <f>(INDEX(Prices_dom!$A$6:$CU$2000,MATCH(Settings!$C$4&amp;Settings!$C$7,Prices_dom!$A$6:$A$2000,0),MATCH("mit.rp."&amp;$G97,Prices_dom!$A$5:$CU$5,0))-INDEX(Prices_dom!$A$6:$CU$2000,MATCH(Settings!$C$4&amp;Settings!$C$7,Prices_dom!$A$6:$A$2000,0),MATCH("mit.sp."&amp;$G97,Prices_dom!$A$5:$CU$5,0)))/$I97</f>
        <v/>
      </c>
      <c r="U97" s="48">
        <f>INDEX(EF_GHG!$E$4:$E$1000,MATCH(Settings!$C$4&amp;"|"&amp;$B97&amp;"|"&amp;$H97,EF_GHG!$A$4:$A$1000,0))</f>
        <v/>
      </c>
      <c r="V97" s="41">
        <f>INDEX(EnergyCons!$F$4:$F$5000,MATCH(Settings!$C$4&amp;"|"&amp;Settings!$C$7&amp;"|"&amp;$C97&amp;"|"&amp;$B97,EnergyCons!$A$4:$A$5000,0))</f>
        <v/>
      </c>
    </row>
    <row r="98">
      <c r="A98" s="5">
        <f>$B98&amp;"|"&amp;$C98</f>
        <v/>
      </c>
      <c r="B98" s="6" t="inlineStr">
        <is>
          <t>ker</t>
        </is>
      </c>
      <c r="C98" s="6" t="inlineStr">
        <is>
          <t>cem</t>
        </is>
      </c>
      <c r="D98" s="5">
        <f>INDEX(Mapping!$D$5:$D$20,MATCH($C98,Mapping!$A$5:$A$20,0))</f>
        <v/>
      </c>
      <c r="E98" s="5">
        <f>INDEX(Mapping!$C$29:$C$36,MATCH($B98,Mapping!$A$29:$A$36,0))</f>
        <v/>
      </c>
      <c r="F98" s="5">
        <f>INDEX(Mapping!$D$29:$D$36,MATCH($B98,Mapping!$A$29:$A$36,0))</f>
        <v/>
      </c>
      <c r="G98" s="5">
        <f>$B98&amp;"."&amp;IF(INDEX(Mapping!$E$29:$E$36,MATCH($B98,Mapping!$A$29:$A$36,0))="sub",INDEX(Mapping!$F$5:$F$20,MATCH($C98,Mapping!$A$5:$A$20,0)),"all")</f>
        <v/>
      </c>
      <c r="H98" s="5">
        <f>INDEX(Mapping!$E$5:$E$20,MATCH($C98,Mapping!$A$5:$A$20,0))</f>
        <v/>
      </c>
      <c r="I98" s="5">
        <f>INDEX(Mapping!$G$29:$G$36,MATCH($B98,Mapping!$A$29:$A$36,0))</f>
        <v/>
      </c>
      <c r="J98" s="5">
        <f>INDEX(Mapping!$H$29:$H$36,MATCH($B98,Mapping!$A$29:$A$36,0))</f>
        <v/>
      </c>
      <c r="K98" s="5">
        <f>INDEX(Mapping!$H$5:$H$20,MATCH($C98,Mapping!$A$5:$A$20,0))</f>
        <v/>
      </c>
      <c r="L98" s="5">
        <f>INDEX(Mapping!$E$42:$E$55,MATCH($G98,Mapping!$A$42:$A$55,0))</f>
        <v/>
      </c>
      <c r="M98" s="5">
        <f>INDEX(Mapping!$D$59:$D$62,MATCH(INDEX(Mapping!$G$5:$G$20,MATCH($C98,Mapping!$A$5:$A$20,0)),Mapping!$A$59:$A$62,0))</f>
        <v/>
      </c>
      <c r="N98" s="31">
        <f>INDEX(Elasticities!$F$4:$I$200,MATCH("inc|"&amp;$E98&amp;"|"&amp;$D98,Elasticities!$A$4:$A$200,0),MATCH(Settings!$C$6,Elasticities!$F$3:$I$3,0))</f>
        <v/>
      </c>
      <c r="O98" s="31">
        <f>INDEX(Elasticities!$F$4:$I$200,MATCH("usg|"&amp;$E98&amp;"|"&amp;$D98,Elasticities!$A$4:$A$200,0),MATCH(Settings!$C$6,Elasticities!$F$3:$I$3,0))</f>
        <v/>
      </c>
      <c r="P98" s="31">
        <f>INDEX(Elasticities!$F$4:$I$200,MATCH("eff|"&amp;$E98&amp;"|"&amp;$D98,Elasticities!$A$4:$A$200,0),MATCH(Settings!$C$6,Elasticities!$F$3:$I$3,0))</f>
        <v/>
      </c>
      <c r="Q98" s="25">
        <f>INDEX(Elasticities!$F$4:$I$200,MATCH("aei|"&amp;$F98&amp;"|"&amp;$D98,Elasticities!$A$4:$A$200,0),MATCH(Settings!$C$6,Elasticities!$F$3:$I$3,0))</f>
        <v/>
      </c>
      <c r="R98" s="47" t="n">
        <v>0</v>
      </c>
      <c r="S98" s="36">
        <f>INDEX(Prices_dom!$A$6:$CU$2000,MATCH(Settings!$C$4&amp;Settings!$C$7,Prices_dom!$A$6:$A$2000,0),MATCH("mit.sp."&amp;$G98,Prices_dom!$A$5:$CU$5,0))/$I98</f>
        <v/>
      </c>
      <c r="T98" s="36">
        <f>(INDEX(Prices_dom!$A$6:$CU$2000,MATCH(Settings!$C$4&amp;Settings!$C$7,Prices_dom!$A$6:$A$2000,0),MATCH("mit.rp."&amp;$G98,Prices_dom!$A$5:$CU$5,0))-INDEX(Prices_dom!$A$6:$CU$2000,MATCH(Settings!$C$4&amp;Settings!$C$7,Prices_dom!$A$6:$A$2000,0),MATCH("mit.sp."&amp;$G98,Prices_dom!$A$5:$CU$5,0)))/$I98</f>
        <v/>
      </c>
      <c r="U98" s="48">
        <f>INDEX(EF_GHG!$E$4:$E$1000,MATCH(Settings!$C$4&amp;"|"&amp;$B98&amp;"|"&amp;$H98,EF_GHG!$A$4:$A$1000,0))</f>
        <v/>
      </c>
      <c r="V98" s="41">
        <f>INDEX(EnergyCons!$F$4:$F$5000,MATCH(Settings!$C$4&amp;"|"&amp;Settings!$C$7&amp;"|"&amp;$C98&amp;"|"&amp;$B98,EnergyCons!$A$4:$A$5000,0))</f>
        <v/>
      </c>
    </row>
    <row r="99">
      <c r="A99" s="5">
        <f>$B99&amp;"|"&amp;$C99</f>
        <v/>
      </c>
      <c r="B99" s="6" t="inlineStr">
        <is>
          <t>oop</t>
        </is>
      </c>
      <c r="C99" s="6" t="inlineStr">
        <is>
          <t>cem</t>
        </is>
      </c>
      <c r="D99" s="5">
        <f>INDEX(Mapping!$D$5:$D$20,MATCH($C99,Mapping!$A$5:$A$20,0))</f>
        <v/>
      </c>
      <c r="E99" s="5">
        <f>INDEX(Mapping!$C$29:$C$36,MATCH($B99,Mapping!$A$29:$A$36,0))</f>
        <v/>
      </c>
      <c r="F99" s="5">
        <f>INDEX(Mapping!$D$29:$D$36,MATCH($B99,Mapping!$A$29:$A$36,0))</f>
        <v/>
      </c>
      <c r="G99" s="5">
        <f>$B99&amp;"."&amp;IF(INDEX(Mapping!$E$29:$E$36,MATCH($B99,Mapping!$A$29:$A$36,0))="sub",INDEX(Mapping!$F$5:$F$20,MATCH($C99,Mapping!$A$5:$A$20,0)),"all")</f>
        <v/>
      </c>
      <c r="H99" s="5">
        <f>INDEX(Mapping!$E$5:$E$20,MATCH($C99,Mapping!$A$5:$A$20,0))</f>
        <v/>
      </c>
      <c r="I99" s="5">
        <f>INDEX(Mapping!$G$29:$G$36,MATCH($B99,Mapping!$A$29:$A$36,0))</f>
        <v/>
      </c>
      <c r="J99" s="5">
        <f>INDEX(Mapping!$H$29:$H$36,MATCH($B99,Mapping!$A$29:$A$36,0))</f>
        <v/>
      </c>
      <c r="K99" s="5">
        <f>INDEX(Mapping!$H$5:$H$20,MATCH($C99,Mapping!$A$5:$A$20,0))</f>
        <v/>
      </c>
      <c r="L99" s="5">
        <f>INDEX(Mapping!$E$42:$E$55,MATCH($G99,Mapping!$A$42:$A$55,0))</f>
        <v/>
      </c>
      <c r="M99" s="5">
        <f>INDEX(Mapping!$D$59:$D$62,MATCH(INDEX(Mapping!$G$5:$G$20,MATCH($C99,Mapping!$A$5:$A$20,0)),Mapping!$A$59:$A$62,0))</f>
        <v/>
      </c>
      <c r="N99" s="31">
        <f>INDEX(Elasticities!$F$4:$I$200,MATCH("inc|"&amp;$E99&amp;"|"&amp;$D99,Elasticities!$A$4:$A$200,0),MATCH(Settings!$C$6,Elasticities!$F$3:$I$3,0))</f>
        <v/>
      </c>
      <c r="O99" s="31">
        <f>INDEX(Elasticities!$F$4:$I$200,MATCH("usg|"&amp;$E99&amp;"|"&amp;$D99,Elasticities!$A$4:$A$200,0),MATCH(Settings!$C$6,Elasticities!$F$3:$I$3,0))</f>
        <v/>
      </c>
      <c r="P99" s="31">
        <f>INDEX(Elasticities!$F$4:$I$200,MATCH("eff|"&amp;$E99&amp;"|"&amp;$D99,Elasticities!$A$4:$A$200,0),MATCH(Settings!$C$6,Elasticities!$F$3:$I$3,0))</f>
        <v/>
      </c>
      <c r="Q99" s="25">
        <f>INDEX(Elasticities!$F$4:$I$200,MATCH("aei|"&amp;$F99&amp;"|"&amp;$D99,Elasticities!$A$4:$A$200,0),MATCH(Settings!$C$6,Elasticities!$F$3:$I$3,0))</f>
        <v/>
      </c>
      <c r="R99" s="47" t="n">
        <v>0</v>
      </c>
      <c r="S99" s="36">
        <f>INDEX(Prices_dom!$A$6:$CU$2000,MATCH(Settings!$C$4&amp;Settings!$C$7,Prices_dom!$A$6:$A$2000,0),MATCH("mit.sp."&amp;$G99,Prices_dom!$A$5:$CU$5,0))/$I99</f>
        <v/>
      </c>
      <c r="T99" s="36">
        <f>(INDEX(Prices_dom!$A$6:$CU$2000,MATCH(Settings!$C$4&amp;Settings!$C$7,Prices_dom!$A$6:$A$2000,0),MATCH("mit.rp."&amp;$G99,Prices_dom!$A$5:$CU$5,0))-INDEX(Prices_dom!$A$6:$CU$2000,MATCH(Settings!$C$4&amp;Settings!$C$7,Prices_dom!$A$6:$A$2000,0),MATCH("mit.sp."&amp;$G99,Prices_dom!$A$5:$CU$5,0)))/$I99</f>
        <v/>
      </c>
      <c r="U99" s="48">
        <f>INDEX(EF_GHG!$E$4:$E$1000,MATCH(Settings!$C$4&amp;"|"&amp;$B99&amp;"|"&amp;$H99,EF_GHG!$A$4:$A$1000,0))</f>
        <v/>
      </c>
      <c r="V99" s="41">
        <f>INDEX(EnergyCons!$F$4:$F$5000,MATCH(Settings!$C$4&amp;"|"&amp;Settings!$C$7&amp;"|"&amp;$C99&amp;"|"&amp;$B99,EnergyCons!$A$4:$A$5000,0))</f>
        <v/>
      </c>
    </row>
    <row r="100">
      <c r="A100" s="5">
        <f>$B100&amp;"|"&amp;$C100</f>
        <v/>
      </c>
      <c r="B100" s="6" t="inlineStr">
        <is>
          <t>bio</t>
        </is>
      </c>
      <c r="C100" s="6" t="inlineStr">
        <is>
          <t>cem</t>
        </is>
      </c>
      <c r="D100" s="5">
        <f>INDEX(Mapping!$D$5:$D$20,MATCH($C100,Mapping!$A$5:$A$20,0))</f>
        <v/>
      </c>
      <c r="E100" s="5">
        <f>INDEX(Mapping!$C$29:$C$36,MATCH($B100,Mapping!$A$29:$A$36,0))</f>
        <v/>
      </c>
      <c r="F100" s="5">
        <f>INDEX(Mapping!$D$29:$D$36,MATCH($B100,Mapping!$A$29:$A$36,0))</f>
        <v/>
      </c>
      <c r="G100" s="5">
        <f>$B100&amp;"."&amp;IF(INDEX(Mapping!$E$29:$E$36,MATCH($B100,Mapping!$A$29:$A$36,0))="sub",INDEX(Mapping!$F$5:$F$20,MATCH($C100,Mapping!$A$5:$A$20,0)),"all")</f>
        <v/>
      </c>
      <c r="H100" s="5">
        <f>INDEX(Mapping!$E$5:$E$20,MATCH($C100,Mapping!$A$5:$A$20,0))</f>
        <v/>
      </c>
      <c r="I100" s="5">
        <f>INDEX(Mapping!$G$29:$G$36,MATCH($B100,Mapping!$A$29:$A$36,0))</f>
        <v/>
      </c>
      <c r="J100" s="5">
        <f>INDEX(Mapping!$H$29:$H$36,MATCH($B100,Mapping!$A$29:$A$36,0))</f>
        <v/>
      </c>
      <c r="K100" s="5">
        <f>INDEX(Mapping!$H$5:$H$20,MATCH($C100,Mapping!$A$5:$A$20,0))</f>
        <v/>
      </c>
      <c r="L100" s="5">
        <f>INDEX(Mapping!$E$42:$E$55,MATCH($G100,Mapping!$A$42:$A$55,0))</f>
        <v/>
      </c>
      <c r="M100" s="5">
        <f>INDEX(Mapping!$D$59:$D$62,MATCH(INDEX(Mapping!$G$5:$G$20,MATCH($C100,Mapping!$A$5:$A$20,0)),Mapping!$A$59:$A$62,0))</f>
        <v/>
      </c>
      <c r="N100" s="31">
        <f>INDEX(Elasticities!$F$4:$I$200,MATCH("inc|"&amp;$E100&amp;"|"&amp;$D100,Elasticities!$A$4:$A$200,0),MATCH(Settings!$C$6,Elasticities!$F$3:$I$3,0))</f>
        <v/>
      </c>
      <c r="O100" s="31">
        <f>INDEX(Elasticities!$F$4:$I$200,MATCH("usg|"&amp;$E100&amp;"|"&amp;$D100,Elasticities!$A$4:$A$200,0),MATCH(Settings!$C$6,Elasticities!$F$3:$I$3,0))</f>
        <v/>
      </c>
      <c r="P100" s="31">
        <f>INDEX(Elasticities!$F$4:$I$200,MATCH("eff|"&amp;$E100&amp;"|"&amp;$D100,Elasticities!$A$4:$A$200,0),MATCH(Settings!$C$6,Elasticities!$F$3:$I$3,0))</f>
        <v/>
      </c>
      <c r="Q100" s="25">
        <f>INDEX(Elasticities!$F$4:$I$200,MATCH("aei|"&amp;$F100&amp;"|"&amp;$D100,Elasticities!$A$4:$A$200,0),MATCH(Settings!$C$6,Elasticities!$F$3:$I$3,0))</f>
        <v/>
      </c>
      <c r="R100" s="47" t="n">
        <v>0</v>
      </c>
      <c r="S100" s="36">
        <f>INDEX(Prices_dom!$A$6:$CU$2000,MATCH(Settings!$C$4&amp;Settings!$C$7,Prices_dom!$A$6:$A$2000,0),MATCH("mit.sp."&amp;$G100,Prices_dom!$A$5:$CU$5,0))/$I100</f>
        <v/>
      </c>
      <c r="T100" s="36">
        <f>(INDEX(Prices_dom!$A$6:$CU$2000,MATCH(Settings!$C$4&amp;Settings!$C$7,Prices_dom!$A$6:$A$2000,0),MATCH("mit.rp."&amp;$G100,Prices_dom!$A$5:$CU$5,0))-INDEX(Prices_dom!$A$6:$CU$2000,MATCH(Settings!$C$4&amp;Settings!$C$7,Prices_dom!$A$6:$A$2000,0),MATCH("mit.sp."&amp;$G100,Prices_dom!$A$5:$CU$5,0)))/$I100</f>
        <v/>
      </c>
      <c r="U100" s="48">
        <f>INDEX(EF_GHG!$E$4:$E$1000,MATCH(Settings!$C$4&amp;"|"&amp;$B100&amp;"|"&amp;$H100,EF_GHG!$A$4:$A$1000,0))</f>
        <v/>
      </c>
      <c r="V100" s="41">
        <f>INDEX(EnergyCons!$F$4:$F$5000,MATCH(Settings!$C$4&amp;"|"&amp;Settings!$C$7&amp;"|"&amp;$C100&amp;"|"&amp;$B100,EnergyCons!$A$4:$A$5000,0))</f>
        <v/>
      </c>
    </row>
    <row r="101">
      <c r="A101" s="5">
        <f>$B101&amp;"|"&amp;$C101</f>
        <v/>
      </c>
      <c r="B101" s="6" t="inlineStr">
        <is>
          <t>coa</t>
        </is>
      </c>
      <c r="C101" s="6" t="inlineStr">
        <is>
          <t>omn</t>
        </is>
      </c>
      <c r="D101" s="5">
        <f>INDEX(Mapping!$D$5:$D$20,MATCH($C101,Mapping!$A$5:$A$20,0))</f>
        <v/>
      </c>
      <c r="E101" s="5">
        <f>INDEX(Mapping!$C$29:$C$36,MATCH($B101,Mapping!$A$29:$A$36,0))</f>
        <v/>
      </c>
      <c r="F101" s="5">
        <f>INDEX(Mapping!$D$29:$D$36,MATCH($B101,Mapping!$A$29:$A$36,0))</f>
        <v/>
      </c>
      <c r="G101" s="5">
        <f>$B101&amp;"."&amp;IF(INDEX(Mapping!$E$29:$E$36,MATCH($B101,Mapping!$A$29:$A$36,0))="sub",INDEX(Mapping!$F$5:$F$20,MATCH($C101,Mapping!$A$5:$A$20,0)),"all")</f>
        <v/>
      </c>
      <c r="H101" s="5">
        <f>INDEX(Mapping!$E$5:$E$20,MATCH($C101,Mapping!$A$5:$A$20,0))</f>
        <v/>
      </c>
      <c r="I101" s="5">
        <f>INDEX(Mapping!$G$29:$G$36,MATCH($B101,Mapping!$A$29:$A$36,0))</f>
        <v/>
      </c>
      <c r="J101" s="5">
        <f>INDEX(Mapping!$H$29:$H$36,MATCH($B101,Mapping!$A$29:$A$36,0))</f>
        <v/>
      </c>
      <c r="K101" s="5">
        <f>INDEX(Mapping!$H$5:$H$20,MATCH($C101,Mapping!$A$5:$A$20,0))</f>
        <v/>
      </c>
      <c r="L101" s="5">
        <f>INDEX(Mapping!$E$42:$E$55,MATCH($G101,Mapping!$A$42:$A$55,0))</f>
        <v/>
      </c>
      <c r="M101" s="5">
        <f>INDEX(Mapping!$D$59:$D$62,MATCH(INDEX(Mapping!$G$5:$G$20,MATCH($C101,Mapping!$A$5:$A$20,0)),Mapping!$A$59:$A$62,0))</f>
        <v/>
      </c>
      <c r="N101" s="31">
        <f>INDEX(Elasticities!$F$4:$I$200,MATCH("inc|"&amp;$E101&amp;"|"&amp;$D101,Elasticities!$A$4:$A$200,0),MATCH(Settings!$C$6,Elasticities!$F$3:$I$3,0))</f>
        <v/>
      </c>
      <c r="O101" s="31">
        <f>INDEX(Elasticities!$F$4:$I$200,MATCH("usg|"&amp;$E101&amp;"|"&amp;$D101,Elasticities!$A$4:$A$200,0),MATCH(Settings!$C$6,Elasticities!$F$3:$I$3,0))</f>
        <v/>
      </c>
      <c r="P101" s="31">
        <f>INDEX(Elasticities!$F$4:$I$200,MATCH("eff|"&amp;$E101&amp;"|"&amp;$D101,Elasticities!$A$4:$A$200,0),MATCH(Settings!$C$6,Elasticities!$F$3:$I$3,0))</f>
        <v/>
      </c>
      <c r="Q101" s="25">
        <f>INDEX(Elasticities!$F$4:$I$200,MATCH("aei|"&amp;$F101&amp;"|"&amp;$D101,Elasticities!$A$4:$A$200,0),MATCH(Settings!$C$6,Elasticities!$F$3:$I$3,0))</f>
        <v/>
      </c>
      <c r="R101" s="47" t="n">
        <v>0</v>
      </c>
      <c r="S101" s="36">
        <f>INDEX(Prices_dom!$A$6:$CU$2000,MATCH(Settings!$C$4&amp;Settings!$C$7,Prices_dom!$A$6:$A$2000,0),MATCH("mit.sp."&amp;$G101,Prices_dom!$A$5:$CU$5,0))/$I101</f>
        <v/>
      </c>
      <c r="T101" s="36">
        <f>(INDEX(Prices_dom!$A$6:$CU$2000,MATCH(Settings!$C$4&amp;Settings!$C$7,Prices_dom!$A$6:$A$2000,0),MATCH("mit.rp."&amp;$G101,Prices_dom!$A$5:$CU$5,0))-INDEX(Prices_dom!$A$6:$CU$2000,MATCH(Settings!$C$4&amp;Settings!$C$7,Prices_dom!$A$6:$A$2000,0),MATCH("mit.sp."&amp;$G101,Prices_dom!$A$5:$CU$5,0)))/$I101</f>
        <v/>
      </c>
      <c r="U101" s="48">
        <f>INDEX(EF_GHG!$E$4:$E$1000,MATCH(Settings!$C$4&amp;"|"&amp;$B101&amp;"|"&amp;$H101,EF_GHG!$A$4:$A$1000,0))</f>
        <v/>
      </c>
      <c r="V101" s="41">
        <f>INDEX(EnergyCons!$F$4:$F$5000,MATCH(Settings!$C$4&amp;"|"&amp;Settings!$C$7&amp;"|"&amp;$C101&amp;"|"&amp;$B101,EnergyCons!$A$4:$A$5000,0))</f>
        <v/>
      </c>
    </row>
    <row r="102">
      <c r="A102" s="5">
        <f>$B102&amp;"|"&amp;$C102</f>
        <v/>
      </c>
      <c r="B102" s="6" t="inlineStr">
        <is>
          <t>nga</t>
        </is>
      </c>
      <c r="C102" s="6" t="inlineStr">
        <is>
          <t>omn</t>
        </is>
      </c>
      <c r="D102" s="5">
        <f>INDEX(Mapping!$D$5:$D$20,MATCH($C102,Mapping!$A$5:$A$20,0))</f>
        <v/>
      </c>
      <c r="E102" s="5">
        <f>INDEX(Mapping!$C$29:$C$36,MATCH($B102,Mapping!$A$29:$A$36,0))</f>
        <v/>
      </c>
      <c r="F102" s="5">
        <f>INDEX(Mapping!$D$29:$D$36,MATCH($B102,Mapping!$A$29:$A$36,0))</f>
        <v/>
      </c>
      <c r="G102" s="5">
        <f>$B102&amp;"."&amp;IF(INDEX(Mapping!$E$29:$E$36,MATCH($B102,Mapping!$A$29:$A$36,0))="sub",INDEX(Mapping!$F$5:$F$20,MATCH($C102,Mapping!$A$5:$A$20,0)),"all")</f>
        <v/>
      </c>
      <c r="H102" s="5">
        <f>INDEX(Mapping!$E$5:$E$20,MATCH($C102,Mapping!$A$5:$A$20,0))</f>
        <v/>
      </c>
      <c r="I102" s="5">
        <f>INDEX(Mapping!$G$29:$G$36,MATCH($B102,Mapping!$A$29:$A$36,0))</f>
        <v/>
      </c>
      <c r="J102" s="5">
        <f>INDEX(Mapping!$H$29:$H$36,MATCH($B102,Mapping!$A$29:$A$36,0))</f>
        <v/>
      </c>
      <c r="K102" s="5">
        <f>INDEX(Mapping!$H$5:$H$20,MATCH($C102,Mapping!$A$5:$A$20,0))</f>
        <v/>
      </c>
      <c r="L102" s="5">
        <f>INDEX(Mapping!$E$42:$E$55,MATCH($G102,Mapping!$A$42:$A$55,0))</f>
        <v/>
      </c>
      <c r="M102" s="5">
        <f>INDEX(Mapping!$D$59:$D$62,MATCH(INDEX(Mapping!$G$5:$G$20,MATCH($C102,Mapping!$A$5:$A$20,0)),Mapping!$A$59:$A$62,0))</f>
        <v/>
      </c>
      <c r="N102" s="31">
        <f>INDEX(Elasticities!$F$4:$I$200,MATCH("inc|"&amp;$E102&amp;"|"&amp;$D102,Elasticities!$A$4:$A$200,0),MATCH(Settings!$C$6,Elasticities!$F$3:$I$3,0))</f>
        <v/>
      </c>
      <c r="O102" s="31">
        <f>INDEX(Elasticities!$F$4:$I$200,MATCH("usg|"&amp;$E102&amp;"|"&amp;$D102,Elasticities!$A$4:$A$200,0),MATCH(Settings!$C$6,Elasticities!$F$3:$I$3,0))</f>
        <v/>
      </c>
      <c r="P102" s="31">
        <f>INDEX(Elasticities!$F$4:$I$200,MATCH("eff|"&amp;$E102&amp;"|"&amp;$D102,Elasticities!$A$4:$A$200,0),MATCH(Settings!$C$6,Elasticities!$F$3:$I$3,0))</f>
        <v/>
      </c>
      <c r="Q102" s="25">
        <f>INDEX(Elasticities!$F$4:$I$200,MATCH("aei|"&amp;$F102&amp;"|"&amp;$D102,Elasticities!$A$4:$A$200,0),MATCH(Settings!$C$6,Elasticities!$F$3:$I$3,0))</f>
        <v/>
      </c>
      <c r="R102" s="47" t="n">
        <v>0</v>
      </c>
      <c r="S102" s="36">
        <f>INDEX(Prices_dom!$A$6:$CU$2000,MATCH(Settings!$C$4&amp;Settings!$C$7,Prices_dom!$A$6:$A$2000,0),MATCH("mit.sp."&amp;$G102,Prices_dom!$A$5:$CU$5,0))/$I102</f>
        <v/>
      </c>
      <c r="T102" s="36">
        <f>(INDEX(Prices_dom!$A$6:$CU$2000,MATCH(Settings!$C$4&amp;Settings!$C$7,Prices_dom!$A$6:$A$2000,0),MATCH("mit.rp."&amp;$G102,Prices_dom!$A$5:$CU$5,0))-INDEX(Prices_dom!$A$6:$CU$2000,MATCH(Settings!$C$4&amp;Settings!$C$7,Prices_dom!$A$6:$A$2000,0),MATCH("mit.sp."&amp;$G102,Prices_dom!$A$5:$CU$5,0)))/$I102</f>
        <v/>
      </c>
      <c r="U102" s="48">
        <f>INDEX(EF_GHG!$E$4:$E$1000,MATCH(Settings!$C$4&amp;"|"&amp;$B102&amp;"|"&amp;$H102,EF_GHG!$A$4:$A$1000,0))</f>
        <v/>
      </c>
      <c r="V102" s="41">
        <f>INDEX(EnergyCons!$F$4:$F$5000,MATCH(Settings!$C$4&amp;"|"&amp;Settings!$C$7&amp;"|"&amp;$C102&amp;"|"&amp;$B102,EnergyCons!$A$4:$A$5000,0))</f>
        <v/>
      </c>
    </row>
    <row r="103">
      <c r="A103" s="5">
        <f>$B103&amp;"|"&amp;$C103</f>
        <v/>
      </c>
      <c r="B103" s="6" t="inlineStr">
        <is>
          <t>gso</t>
        </is>
      </c>
      <c r="C103" s="6" t="inlineStr">
        <is>
          <t>omn</t>
        </is>
      </c>
      <c r="D103" s="5">
        <f>INDEX(Mapping!$D$5:$D$20,MATCH($C103,Mapping!$A$5:$A$20,0))</f>
        <v/>
      </c>
      <c r="E103" s="5">
        <f>INDEX(Mapping!$C$29:$C$36,MATCH($B103,Mapping!$A$29:$A$36,0))</f>
        <v/>
      </c>
      <c r="F103" s="5">
        <f>INDEX(Mapping!$D$29:$D$36,MATCH($B103,Mapping!$A$29:$A$36,0))</f>
        <v/>
      </c>
      <c r="G103" s="5">
        <f>$B103&amp;"."&amp;IF(INDEX(Mapping!$E$29:$E$36,MATCH($B103,Mapping!$A$29:$A$36,0))="sub",INDEX(Mapping!$F$5:$F$20,MATCH($C103,Mapping!$A$5:$A$20,0)),"all")</f>
        <v/>
      </c>
      <c r="H103" s="5">
        <f>INDEX(Mapping!$E$5:$E$20,MATCH($C103,Mapping!$A$5:$A$20,0))</f>
        <v/>
      </c>
      <c r="I103" s="5">
        <f>INDEX(Mapping!$G$29:$G$36,MATCH($B103,Mapping!$A$29:$A$36,0))</f>
        <v/>
      </c>
      <c r="J103" s="5">
        <f>INDEX(Mapping!$H$29:$H$36,MATCH($B103,Mapping!$A$29:$A$36,0))</f>
        <v/>
      </c>
      <c r="K103" s="5">
        <f>INDEX(Mapping!$H$5:$H$20,MATCH($C103,Mapping!$A$5:$A$20,0))</f>
        <v/>
      </c>
      <c r="L103" s="5">
        <f>INDEX(Mapping!$E$42:$E$55,MATCH($G103,Mapping!$A$42:$A$55,0))</f>
        <v/>
      </c>
      <c r="M103" s="5">
        <f>INDEX(Mapping!$D$59:$D$62,MATCH(INDEX(Mapping!$G$5:$G$20,MATCH($C103,Mapping!$A$5:$A$20,0)),Mapping!$A$59:$A$62,0))</f>
        <v/>
      </c>
      <c r="N103" s="31">
        <f>INDEX(Elasticities!$F$4:$I$200,MATCH("inc|"&amp;$E103&amp;"|"&amp;$D103,Elasticities!$A$4:$A$200,0),MATCH(Settings!$C$6,Elasticities!$F$3:$I$3,0))</f>
        <v/>
      </c>
      <c r="O103" s="31">
        <f>INDEX(Elasticities!$F$4:$I$200,MATCH("usg|"&amp;$E103&amp;"|"&amp;$D103,Elasticities!$A$4:$A$200,0),MATCH(Settings!$C$6,Elasticities!$F$3:$I$3,0))</f>
        <v/>
      </c>
      <c r="P103" s="31">
        <f>INDEX(Elasticities!$F$4:$I$200,MATCH("eff|"&amp;$E103&amp;"|"&amp;$D103,Elasticities!$A$4:$A$200,0),MATCH(Settings!$C$6,Elasticities!$F$3:$I$3,0))</f>
        <v/>
      </c>
      <c r="Q103" s="25">
        <f>INDEX(Elasticities!$F$4:$I$200,MATCH("aei|"&amp;$F103&amp;"|"&amp;$D103,Elasticities!$A$4:$A$200,0),MATCH(Settings!$C$6,Elasticities!$F$3:$I$3,0))</f>
        <v/>
      </c>
      <c r="R103" s="47" t="n">
        <v>0</v>
      </c>
      <c r="S103" s="36">
        <f>INDEX(Prices_dom!$A$6:$CU$2000,MATCH(Settings!$C$4&amp;Settings!$C$7,Prices_dom!$A$6:$A$2000,0),MATCH("mit.sp."&amp;$G103,Prices_dom!$A$5:$CU$5,0))/$I103</f>
        <v/>
      </c>
      <c r="T103" s="36">
        <f>(INDEX(Prices_dom!$A$6:$CU$2000,MATCH(Settings!$C$4&amp;Settings!$C$7,Prices_dom!$A$6:$A$2000,0),MATCH("mit.rp."&amp;$G103,Prices_dom!$A$5:$CU$5,0))-INDEX(Prices_dom!$A$6:$CU$2000,MATCH(Settings!$C$4&amp;Settings!$C$7,Prices_dom!$A$6:$A$2000,0),MATCH("mit.sp."&amp;$G103,Prices_dom!$A$5:$CU$5,0)))/$I103</f>
        <v/>
      </c>
      <c r="U103" s="48">
        <f>INDEX(EF_GHG!$E$4:$E$1000,MATCH(Settings!$C$4&amp;"|"&amp;$B103&amp;"|"&amp;$H103,EF_GHG!$A$4:$A$1000,0))</f>
        <v/>
      </c>
      <c r="V103" s="41">
        <f>INDEX(EnergyCons!$F$4:$F$5000,MATCH(Settings!$C$4&amp;"|"&amp;Settings!$C$7&amp;"|"&amp;$C103&amp;"|"&amp;$B103,EnergyCons!$A$4:$A$5000,0))</f>
        <v/>
      </c>
    </row>
    <row r="104">
      <c r="A104" s="5">
        <f>$B104&amp;"|"&amp;$C104</f>
        <v/>
      </c>
      <c r="B104" s="6" t="inlineStr">
        <is>
          <t>die</t>
        </is>
      </c>
      <c r="C104" s="6" t="inlineStr">
        <is>
          <t>omn</t>
        </is>
      </c>
      <c r="D104" s="5">
        <f>INDEX(Mapping!$D$5:$D$20,MATCH($C104,Mapping!$A$5:$A$20,0))</f>
        <v/>
      </c>
      <c r="E104" s="5">
        <f>INDEX(Mapping!$C$29:$C$36,MATCH($B104,Mapping!$A$29:$A$36,0))</f>
        <v/>
      </c>
      <c r="F104" s="5">
        <f>INDEX(Mapping!$D$29:$D$36,MATCH($B104,Mapping!$A$29:$A$36,0))</f>
        <v/>
      </c>
      <c r="G104" s="5">
        <f>$B104&amp;"."&amp;IF(INDEX(Mapping!$E$29:$E$36,MATCH($B104,Mapping!$A$29:$A$36,0))="sub",INDEX(Mapping!$F$5:$F$20,MATCH($C104,Mapping!$A$5:$A$20,0)),"all")</f>
        <v/>
      </c>
      <c r="H104" s="5">
        <f>INDEX(Mapping!$E$5:$E$20,MATCH($C104,Mapping!$A$5:$A$20,0))</f>
        <v/>
      </c>
      <c r="I104" s="5">
        <f>INDEX(Mapping!$G$29:$G$36,MATCH($B104,Mapping!$A$29:$A$36,0))</f>
        <v/>
      </c>
      <c r="J104" s="5">
        <f>INDEX(Mapping!$H$29:$H$36,MATCH($B104,Mapping!$A$29:$A$36,0))</f>
        <v/>
      </c>
      <c r="K104" s="5">
        <f>INDEX(Mapping!$H$5:$H$20,MATCH($C104,Mapping!$A$5:$A$20,0))</f>
        <v/>
      </c>
      <c r="L104" s="5">
        <f>INDEX(Mapping!$E$42:$E$55,MATCH($G104,Mapping!$A$42:$A$55,0))</f>
        <v/>
      </c>
      <c r="M104" s="5">
        <f>INDEX(Mapping!$D$59:$D$62,MATCH(INDEX(Mapping!$G$5:$G$20,MATCH($C104,Mapping!$A$5:$A$20,0)),Mapping!$A$59:$A$62,0))</f>
        <v/>
      </c>
      <c r="N104" s="31">
        <f>INDEX(Elasticities!$F$4:$I$200,MATCH("inc|"&amp;$E104&amp;"|"&amp;$D104,Elasticities!$A$4:$A$200,0),MATCH(Settings!$C$6,Elasticities!$F$3:$I$3,0))</f>
        <v/>
      </c>
      <c r="O104" s="31">
        <f>INDEX(Elasticities!$F$4:$I$200,MATCH("usg|"&amp;$E104&amp;"|"&amp;$D104,Elasticities!$A$4:$A$200,0),MATCH(Settings!$C$6,Elasticities!$F$3:$I$3,0))</f>
        <v/>
      </c>
      <c r="P104" s="31">
        <f>INDEX(Elasticities!$F$4:$I$200,MATCH("eff|"&amp;$E104&amp;"|"&amp;$D104,Elasticities!$A$4:$A$200,0),MATCH(Settings!$C$6,Elasticities!$F$3:$I$3,0))</f>
        <v/>
      </c>
      <c r="Q104" s="25">
        <f>INDEX(Elasticities!$F$4:$I$200,MATCH("aei|"&amp;$F104&amp;"|"&amp;$D104,Elasticities!$A$4:$A$200,0),MATCH(Settings!$C$6,Elasticities!$F$3:$I$3,0))</f>
        <v/>
      </c>
      <c r="R104" s="47" t="n">
        <v>0</v>
      </c>
      <c r="S104" s="36">
        <f>INDEX(Prices_dom!$A$6:$CU$2000,MATCH(Settings!$C$4&amp;Settings!$C$7,Prices_dom!$A$6:$A$2000,0),MATCH("mit.sp."&amp;$G104,Prices_dom!$A$5:$CU$5,0))/$I104</f>
        <v/>
      </c>
      <c r="T104" s="36">
        <f>(INDEX(Prices_dom!$A$6:$CU$2000,MATCH(Settings!$C$4&amp;Settings!$C$7,Prices_dom!$A$6:$A$2000,0),MATCH("mit.rp."&amp;$G104,Prices_dom!$A$5:$CU$5,0))-INDEX(Prices_dom!$A$6:$CU$2000,MATCH(Settings!$C$4&amp;Settings!$C$7,Prices_dom!$A$6:$A$2000,0),MATCH("mit.sp."&amp;$G104,Prices_dom!$A$5:$CU$5,0)))/$I104</f>
        <v/>
      </c>
      <c r="U104" s="48">
        <f>INDEX(EF_GHG!$E$4:$E$1000,MATCH(Settings!$C$4&amp;"|"&amp;$B104&amp;"|"&amp;$H104,EF_GHG!$A$4:$A$1000,0))</f>
        <v/>
      </c>
      <c r="V104" s="41">
        <f>INDEX(EnergyCons!$F$4:$F$5000,MATCH(Settings!$C$4&amp;"|"&amp;Settings!$C$7&amp;"|"&amp;$C104&amp;"|"&amp;$B104,EnergyCons!$A$4:$A$5000,0))</f>
        <v/>
      </c>
    </row>
    <row r="105">
      <c r="A105" s="5">
        <f>$B105&amp;"|"&amp;$C105</f>
        <v/>
      </c>
      <c r="B105" s="6" t="inlineStr">
        <is>
          <t>lpg</t>
        </is>
      </c>
      <c r="C105" s="6" t="inlineStr">
        <is>
          <t>omn</t>
        </is>
      </c>
      <c r="D105" s="5">
        <f>INDEX(Mapping!$D$5:$D$20,MATCH($C105,Mapping!$A$5:$A$20,0))</f>
        <v/>
      </c>
      <c r="E105" s="5">
        <f>INDEX(Mapping!$C$29:$C$36,MATCH($B105,Mapping!$A$29:$A$36,0))</f>
        <v/>
      </c>
      <c r="F105" s="5">
        <f>INDEX(Mapping!$D$29:$D$36,MATCH($B105,Mapping!$A$29:$A$36,0))</f>
        <v/>
      </c>
      <c r="G105" s="5">
        <f>$B105&amp;"."&amp;IF(INDEX(Mapping!$E$29:$E$36,MATCH($B105,Mapping!$A$29:$A$36,0))="sub",INDEX(Mapping!$F$5:$F$20,MATCH($C105,Mapping!$A$5:$A$20,0)),"all")</f>
        <v/>
      </c>
      <c r="H105" s="5">
        <f>INDEX(Mapping!$E$5:$E$20,MATCH($C105,Mapping!$A$5:$A$20,0))</f>
        <v/>
      </c>
      <c r="I105" s="5">
        <f>INDEX(Mapping!$G$29:$G$36,MATCH($B105,Mapping!$A$29:$A$36,0))</f>
        <v/>
      </c>
      <c r="J105" s="5">
        <f>INDEX(Mapping!$H$29:$H$36,MATCH($B105,Mapping!$A$29:$A$36,0))</f>
        <v/>
      </c>
      <c r="K105" s="5">
        <f>INDEX(Mapping!$H$5:$H$20,MATCH($C105,Mapping!$A$5:$A$20,0))</f>
        <v/>
      </c>
      <c r="L105" s="5">
        <f>INDEX(Mapping!$E$42:$E$55,MATCH($G105,Mapping!$A$42:$A$55,0))</f>
        <v/>
      </c>
      <c r="M105" s="5">
        <f>INDEX(Mapping!$D$59:$D$62,MATCH(INDEX(Mapping!$G$5:$G$20,MATCH($C105,Mapping!$A$5:$A$20,0)),Mapping!$A$59:$A$62,0))</f>
        <v/>
      </c>
      <c r="N105" s="31">
        <f>INDEX(Elasticities!$F$4:$I$200,MATCH("inc|"&amp;$E105&amp;"|"&amp;$D105,Elasticities!$A$4:$A$200,0),MATCH(Settings!$C$6,Elasticities!$F$3:$I$3,0))</f>
        <v/>
      </c>
      <c r="O105" s="31">
        <f>INDEX(Elasticities!$F$4:$I$200,MATCH("usg|"&amp;$E105&amp;"|"&amp;$D105,Elasticities!$A$4:$A$200,0),MATCH(Settings!$C$6,Elasticities!$F$3:$I$3,0))</f>
        <v/>
      </c>
      <c r="P105" s="31">
        <f>INDEX(Elasticities!$F$4:$I$200,MATCH("eff|"&amp;$E105&amp;"|"&amp;$D105,Elasticities!$A$4:$A$200,0),MATCH(Settings!$C$6,Elasticities!$F$3:$I$3,0))</f>
        <v/>
      </c>
      <c r="Q105" s="25">
        <f>INDEX(Elasticities!$F$4:$I$200,MATCH("aei|"&amp;$F105&amp;"|"&amp;$D105,Elasticities!$A$4:$A$200,0),MATCH(Settings!$C$6,Elasticities!$F$3:$I$3,0))</f>
        <v/>
      </c>
      <c r="R105" s="47" t="n">
        <v>0</v>
      </c>
      <c r="S105" s="36">
        <f>INDEX(Prices_dom!$A$6:$CU$2000,MATCH(Settings!$C$4&amp;Settings!$C$7,Prices_dom!$A$6:$A$2000,0),MATCH("mit.sp."&amp;$G105,Prices_dom!$A$5:$CU$5,0))/$I105</f>
        <v/>
      </c>
      <c r="T105" s="36">
        <f>(INDEX(Prices_dom!$A$6:$CU$2000,MATCH(Settings!$C$4&amp;Settings!$C$7,Prices_dom!$A$6:$A$2000,0),MATCH("mit.rp."&amp;$G105,Prices_dom!$A$5:$CU$5,0))-INDEX(Prices_dom!$A$6:$CU$2000,MATCH(Settings!$C$4&amp;Settings!$C$7,Prices_dom!$A$6:$A$2000,0),MATCH("mit.sp."&amp;$G105,Prices_dom!$A$5:$CU$5,0)))/$I105</f>
        <v/>
      </c>
      <c r="U105" s="48">
        <f>INDEX(EF_GHG!$E$4:$E$1000,MATCH(Settings!$C$4&amp;"|"&amp;$B105&amp;"|"&amp;$H105,EF_GHG!$A$4:$A$1000,0))</f>
        <v/>
      </c>
      <c r="V105" s="41">
        <f>INDEX(EnergyCons!$F$4:$F$5000,MATCH(Settings!$C$4&amp;"|"&amp;Settings!$C$7&amp;"|"&amp;$C105&amp;"|"&amp;$B105,EnergyCons!$A$4:$A$5000,0))</f>
        <v/>
      </c>
    </row>
    <row r="106">
      <c r="A106" s="5">
        <f>$B106&amp;"|"&amp;$C106</f>
        <v/>
      </c>
      <c r="B106" s="6" t="inlineStr">
        <is>
          <t>ker</t>
        </is>
      </c>
      <c r="C106" s="6" t="inlineStr">
        <is>
          <t>omn</t>
        </is>
      </c>
      <c r="D106" s="5">
        <f>INDEX(Mapping!$D$5:$D$20,MATCH($C106,Mapping!$A$5:$A$20,0))</f>
        <v/>
      </c>
      <c r="E106" s="5">
        <f>INDEX(Mapping!$C$29:$C$36,MATCH($B106,Mapping!$A$29:$A$36,0))</f>
        <v/>
      </c>
      <c r="F106" s="5">
        <f>INDEX(Mapping!$D$29:$D$36,MATCH($B106,Mapping!$A$29:$A$36,0))</f>
        <v/>
      </c>
      <c r="G106" s="5">
        <f>$B106&amp;"."&amp;IF(INDEX(Mapping!$E$29:$E$36,MATCH($B106,Mapping!$A$29:$A$36,0))="sub",INDEX(Mapping!$F$5:$F$20,MATCH($C106,Mapping!$A$5:$A$20,0)),"all")</f>
        <v/>
      </c>
      <c r="H106" s="5">
        <f>INDEX(Mapping!$E$5:$E$20,MATCH($C106,Mapping!$A$5:$A$20,0))</f>
        <v/>
      </c>
      <c r="I106" s="5">
        <f>INDEX(Mapping!$G$29:$G$36,MATCH($B106,Mapping!$A$29:$A$36,0))</f>
        <v/>
      </c>
      <c r="J106" s="5">
        <f>INDEX(Mapping!$H$29:$H$36,MATCH($B106,Mapping!$A$29:$A$36,0))</f>
        <v/>
      </c>
      <c r="K106" s="5">
        <f>INDEX(Mapping!$H$5:$H$20,MATCH($C106,Mapping!$A$5:$A$20,0))</f>
        <v/>
      </c>
      <c r="L106" s="5">
        <f>INDEX(Mapping!$E$42:$E$55,MATCH($G106,Mapping!$A$42:$A$55,0))</f>
        <v/>
      </c>
      <c r="M106" s="5">
        <f>INDEX(Mapping!$D$59:$D$62,MATCH(INDEX(Mapping!$G$5:$G$20,MATCH($C106,Mapping!$A$5:$A$20,0)),Mapping!$A$59:$A$62,0))</f>
        <v/>
      </c>
      <c r="N106" s="31">
        <f>INDEX(Elasticities!$F$4:$I$200,MATCH("inc|"&amp;$E106&amp;"|"&amp;$D106,Elasticities!$A$4:$A$200,0),MATCH(Settings!$C$6,Elasticities!$F$3:$I$3,0))</f>
        <v/>
      </c>
      <c r="O106" s="31">
        <f>INDEX(Elasticities!$F$4:$I$200,MATCH("usg|"&amp;$E106&amp;"|"&amp;$D106,Elasticities!$A$4:$A$200,0),MATCH(Settings!$C$6,Elasticities!$F$3:$I$3,0))</f>
        <v/>
      </c>
      <c r="P106" s="31">
        <f>INDEX(Elasticities!$F$4:$I$200,MATCH("eff|"&amp;$E106&amp;"|"&amp;$D106,Elasticities!$A$4:$A$200,0),MATCH(Settings!$C$6,Elasticities!$F$3:$I$3,0))</f>
        <v/>
      </c>
      <c r="Q106" s="25">
        <f>INDEX(Elasticities!$F$4:$I$200,MATCH("aei|"&amp;$F106&amp;"|"&amp;$D106,Elasticities!$A$4:$A$200,0),MATCH(Settings!$C$6,Elasticities!$F$3:$I$3,0))</f>
        <v/>
      </c>
      <c r="R106" s="47" t="n">
        <v>0</v>
      </c>
      <c r="S106" s="36">
        <f>INDEX(Prices_dom!$A$6:$CU$2000,MATCH(Settings!$C$4&amp;Settings!$C$7,Prices_dom!$A$6:$A$2000,0),MATCH("mit.sp."&amp;$G106,Prices_dom!$A$5:$CU$5,0))/$I106</f>
        <v/>
      </c>
      <c r="T106" s="36">
        <f>(INDEX(Prices_dom!$A$6:$CU$2000,MATCH(Settings!$C$4&amp;Settings!$C$7,Prices_dom!$A$6:$A$2000,0),MATCH("mit.rp."&amp;$G106,Prices_dom!$A$5:$CU$5,0))-INDEX(Prices_dom!$A$6:$CU$2000,MATCH(Settings!$C$4&amp;Settings!$C$7,Prices_dom!$A$6:$A$2000,0),MATCH("mit.sp."&amp;$G106,Prices_dom!$A$5:$CU$5,0)))/$I106</f>
        <v/>
      </c>
      <c r="U106" s="48">
        <f>INDEX(EF_GHG!$E$4:$E$1000,MATCH(Settings!$C$4&amp;"|"&amp;$B106&amp;"|"&amp;$H106,EF_GHG!$A$4:$A$1000,0))</f>
        <v/>
      </c>
      <c r="V106" s="41">
        <f>INDEX(EnergyCons!$F$4:$F$5000,MATCH(Settings!$C$4&amp;"|"&amp;Settings!$C$7&amp;"|"&amp;$C106&amp;"|"&amp;$B106,EnergyCons!$A$4:$A$5000,0))</f>
        <v/>
      </c>
    </row>
    <row r="107">
      <c r="A107" s="5">
        <f>$B107&amp;"|"&amp;$C107</f>
        <v/>
      </c>
      <c r="B107" s="6" t="inlineStr">
        <is>
          <t>oop</t>
        </is>
      </c>
      <c r="C107" s="6" t="inlineStr">
        <is>
          <t>omn</t>
        </is>
      </c>
      <c r="D107" s="5">
        <f>INDEX(Mapping!$D$5:$D$20,MATCH($C107,Mapping!$A$5:$A$20,0))</f>
        <v/>
      </c>
      <c r="E107" s="5">
        <f>INDEX(Mapping!$C$29:$C$36,MATCH($B107,Mapping!$A$29:$A$36,0))</f>
        <v/>
      </c>
      <c r="F107" s="5">
        <f>INDEX(Mapping!$D$29:$D$36,MATCH($B107,Mapping!$A$29:$A$36,0))</f>
        <v/>
      </c>
      <c r="G107" s="5">
        <f>$B107&amp;"."&amp;IF(INDEX(Mapping!$E$29:$E$36,MATCH($B107,Mapping!$A$29:$A$36,0))="sub",INDEX(Mapping!$F$5:$F$20,MATCH($C107,Mapping!$A$5:$A$20,0)),"all")</f>
        <v/>
      </c>
      <c r="H107" s="5">
        <f>INDEX(Mapping!$E$5:$E$20,MATCH($C107,Mapping!$A$5:$A$20,0))</f>
        <v/>
      </c>
      <c r="I107" s="5">
        <f>INDEX(Mapping!$G$29:$G$36,MATCH($B107,Mapping!$A$29:$A$36,0))</f>
        <v/>
      </c>
      <c r="J107" s="5">
        <f>INDEX(Mapping!$H$29:$H$36,MATCH($B107,Mapping!$A$29:$A$36,0))</f>
        <v/>
      </c>
      <c r="K107" s="5">
        <f>INDEX(Mapping!$H$5:$H$20,MATCH($C107,Mapping!$A$5:$A$20,0))</f>
        <v/>
      </c>
      <c r="L107" s="5">
        <f>INDEX(Mapping!$E$42:$E$55,MATCH($G107,Mapping!$A$42:$A$55,0))</f>
        <v/>
      </c>
      <c r="M107" s="5">
        <f>INDEX(Mapping!$D$59:$D$62,MATCH(INDEX(Mapping!$G$5:$G$20,MATCH($C107,Mapping!$A$5:$A$20,0)),Mapping!$A$59:$A$62,0))</f>
        <v/>
      </c>
      <c r="N107" s="31">
        <f>INDEX(Elasticities!$F$4:$I$200,MATCH("inc|"&amp;$E107&amp;"|"&amp;$D107,Elasticities!$A$4:$A$200,0),MATCH(Settings!$C$6,Elasticities!$F$3:$I$3,0))</f>
        <v/>
      </c>
      <c r="O107" s="31">
        <f>INDEX(Elasticities!$F$4:$I$200,MATCH("usg|"&amp;$E107&amp;"|"&amp;$D107,Elasticities!$A$4:$A$200,0),MATCH(Settings!$C$6,Elasticities!$F$3:$I$3,0))</f>
        <v/>
      </c>
      <c r="P107" s="31">
        <f>INDEX(Elasticities!$F$4:$I$200,MATCH("eff|"&amp;$E107&amp;"|"&amp;$D107,Elasticities!$A$4:$A$200,0),MATCH(Settings!$C$6,Elasticities!$F$3:$I$3,0))</f>
        <v/>
      </c>
      <c r="Q107" s="25">
        <f>INDEX(Elasticities!$F$4:$I$200,MATCH("aei|"&amp;$F107&amp;"|"&amp;$D107,Elasticities!$A$4:$A$200,0),MATCH(Settings!$C$6,Elasticities!$F$3:$I$3,0))</f>
        <v/>
      </c>
      <c r="R107" s="47" t="n">
        <v>0</v>
      </c>
      <c r="S107" s="36">
        <f>INDEX(Prices_dom!$A$6:$CU$2000,MATCH(Settings!$C$4&amp;Settings!$C$7,Prices_dom!$A$6:$A$2000,0),MATCH("mit.sp."&amp;$G107,Prices_dom!$A$5:$CU$5,0))/$I107</f>
        <v/>
      </c>
      <c r="T107" s="36">
        <f>(INDEX(Prices_dom!$A$6:$CU$2000,MATCH(Settings!$C$4&amp;Settings!$C$7,Prices_dom!$A$6:$A$2000,0),MATCH("mit.rp."&amp;$G107,Prices_dom!$A$5:$CU$5,0))-INDEX(Prices_dom!$A$6:$CU$2000,MATCH(Settings!$C$4&amp;Settings!$C$7,Prices_dom!$A$6:$A$2000,0),MATCH("mit.sp."&amp;$G107,Prices_dom!$A$5:$CU$5,0)))/$I107</f>
        <v/>
      </c>
      <c r="U107" s="48">
        <f>INDEX(EF_GHG!$E$4:$E$1000,MATCH(Settings!$C$4&amp;"|"&amp;$B107&amp;"|"&amp;$H107,EF_GHG!$A$4:$A$1000,0))</f>
        <v/>
      </c>
      <c r="V107" s="41">
        <f>INDEX(EnergyCons!$F$4:$F$5000,MATCH(Settings!$C$4&amp;"|"&amp;Settings!$C$7&amp;"|"&amp;$C107&amp;"|"&amp;$B107,EnergyCons!$A$4:$A$5000,0))</f>
        <v/>
      </c>
    </row>
    <row r="108">
      <c r="A108" s="5">
        <f>$B108&amp;"|"&amp;$C108</f>
        <v/>
      </c>
      <c r="B108" s="6" t="inlineStr">
        <is>
          <t>bio</t>
        </is>
      </c>
      <c r="C108" s="6" t="inlineStr">
        <is>
          <t>omn</t>
        </is>
      </c>
      <c r="D108" s="5">
        <f>INDEX(Mapping!$D$5:$D$20,MATCH($C108,Mapping!$A$5:$A$20,0))</f>
        <v/>
      </c>
      <c r="E108" s="5">
        <f>INDEX(Mapping!$C$29:$C$36,MATCH($B108,Mapping!$A$29:$A$36,0))</f>
        <v/>
      </c>
      <c r="F108" s="5">
        <f>INDEX(Mapping!$D$29:$D$36,MATCH($B108,Mapping!$A$29:$A$36,0))</f>
        <v/>
      </c>
      <c r="G108" s="5">
        <f>$B108&amp;"."&amp;IF(INDEX(Mapping!$E$29:$E$36,MATCH($B108,Mapping!$A$29:$A$36,0))="sub",INDEX(Mapping!$F$5:$F$20,MATCH($C108,Mapping!$A$5:$A$20,0)),"all")</f>
        <v/>
      </c>
      <c r="H108" s="5">
        <f>INDEX(Mapping!$E$5:$E$20,MATCH($C108,Mapping!$A$5:$A$20,0))</f>
        <v/>
      </c>
      <c r="I108" s="5">
        <f>INDEX(Mapping!$G$29:$G$36,MATCH($B108,Mapping!$A$29:$A$36,0))</f>
        <v/>
      </c>
      <c r="J108" s="5">
        <f>INDEX(Mapping!$H$29:$H$36,MATCH($B108,Mapping!$A$29:$A$36,0))</f>
        <v/>
      </c>
      <c r="K108" s="5">
        <f>INDEX(Mapping!$H$5:$H$20,MATCH($C108,Mapping!$A$5:$A$20,0))</f>
        <v/>
      </c>
      <c r="L108" s="5">
        <f>INDEX(Mapping!$E$42:$E$55,MATCH($G108,Mapping!$A$42:$A$55,0))</f>
        <v/>
      </c>
      <c r="M108" s="5">
        <f>INDEX(Mapping!$D$59:$D$62,MATCH(INDEX(Mapping!$G$5:$G$20,MATCH($C108,Mapping!$A$5:$A$20,0)),Mapping!$A$59:$A$62,0))</f>
        <v/>
      </c>
      <c r="N108" s="31">
        <f>INDEX(Elasticities!$F$4:$I$200,MATCH("inc|"&amp;$E108&amp;"|"&amp;$D108,Elasticities!$A$4:$A$200,0),MATCH(Settings!$C$6,Elasticities!$F$3:$I$3,0))</f>
        <v/>
      </c>
      <c r="O108" s="31">
        <f>INDEX(Elasticities!$F$4:$I$200,MATCH("usg|"&amp;$E108&amp;"|"&amp;$D108,Elasticities!$A$4:$A$200,0),MATCH(Settings!$C$6,Elasticities!$F$3:$I$3,0))</f>
        <v/>
      </c>
      <c r="P108" s="31">
        <f>INDEX(Elasticities!$F$4:$I$200,MATCH("eff|"&amp;$E108&amp;"|"&amp;$D108,Elasticities!$A$4:$A$200,0),MATCH(Settings!$C$6,Elasticities!$F$3:$I$3,0))</f>
        <v/>
      </c>
      <c r="Q108" s="25">
        <f>INDEX(Elasticities!$F$4:$I$200,MATCH("aei|"&amp;$F108&amp;"|"&amp;$D108,Elasticities!$A$4:$A$200,0),MATCH(Settings!$C$6,Elasticities!$F$3:$I$3,0))</f>
        <v/>
      </c>
      <c r="R108" s="47" t="n">
        <v>0</v>
      </c>
      <c r="S108" s="36">
        <f>INDEX(Prices_dom!$A$6:$CU$2000,MATCH(Settings!$C$4&amp;Settings!$C$7,Prices_dom!$A$6:$A$2000,0),MATCH("mit.sp."&amp;$G108,Prices_dom!$A$5:$CU$5,0))/$I108</f>
        <v/>
      </c>
      <c r="T108" s="36">
        <f>(INDEX(Prices_dom!$A$6:$CU$2000,MATCH(Settings!$C$4&amp;Settings!$C$7,Prices_dom!$A$6:$A$2000,0),MATCH("mit.rp."&amp;$G108,Prices_dom!$A$5:$CU$5,0))-INDEX(Prices_dom!$A$6:$CU$2000,MATCH(Settings!$C$4&amp;Settings!$C$7,Prices_dom!$A$6:$A$2000,0),MATCH("mit.sp."&amp;$G108,Prices_dom!$A$5:$CU$5,0)))/$I108</f>
        <v/>
      </c>
      <c r="U108" s="48">
        <f>INDEX(EF_GHG!$E$4:$E$1000,MATCH(Settings!$C$4&amp;"|"&amp;$B108&amp;"|"&amp;$H108,EF_GHG!$A$4:$A$1000,0))</f>
        <v/>
      </c>
      <c r="V108" s="41">
        <f>INDEX(EnergyCons!$F$4:$F$5000,MATCH(Settings!$C$4&amp;"|"&amp;Settings!$C$7&amp;"|"&amp;$C108&amp;"|"&amp;$B108,EnergyCons!$A$4:$A$5000,0))</f>
        <v/>
      </c>
    </row>
    <row r="109">
      <c r="A109" s="5">
        <f>$B109&amp;"|"&amp;$C109</f>
        <v/>
      </c>
      <c r="B109" s="6" t="inlineStr">
        <is>
          <t>coa</t>
        </is>
      </c>
      <c r="C109" s="6" t="inlineStr">
        <is>
          <t>cst</t>
        </is>
      </c>
      <c r="D109" s="5">
        <f>INDEX(Mapping!$D$5:$D$20,MATCH($C109,Mapping!$A$5:$A$20,0))</f>
        <v/>
      </c>
      <c r="E109" s="5">
        <f>INDEX(Mapping!$C$29:$C$36,MATCH($B109,Mapping!$A$29:$A$36,0))</f>
        <v/>
      </c>
      <c r="F109" s="5">
        <f>INDEX(Mapping!$D$29:$D$36,MATCH($B109,Mapping!$A$29:$A$36,0))</f>
        <v/>
      </c>
      <c r="G109" s="5">
        <f>$B109&amp;"."&amp;IF(INDEX(Mapping!$E$29:$E$36,MATCH($B109,Mapping!$A$29:$A$36,0))="sub",INDEX(Mapping!$F$5:$F$20,MATCH($C109,Mapping!$A$5:$A$20,0)),"all")</f>
        <v/>
      </c>
      <c r="H109" s="5">
        <f>INDEX(Mapping!$E$5:$E$20,MATCH($C109,Mapping!$A$5:$A$20,0))</f>
        <v/>
      </c>
      <c r="I109" s="5">
        <f>INDEX(Mapping!$G$29:$G$36,MATCH($B109,Mapping!$A$29:$A$36,0))</f>
        <v/>
      </c>
      <c r="J109" s="5">
        <f>INDEX(Mapping!$H$29:$H$36,MATCH($B109,Mapping!$A$29:$A$36,0))</f>
        <v/>
      </c>
      <c r="K109" s="5">
        <f>INDEX(Mapping!$H$5:$H$20,MATCH($C109,Mapping!$A$5:$A$20,0))</f>
        <v/>
      </c>
      <c r="L109" s="5">
        <f>INDEX(Mapping!$E$42:$E$55,MATCH($G109,Mapping!$A$42:$A$55,0))</f>
        <v/>
      </c>
      <c r="M109" s="5">
        <f>INDEX(Mapping!$D$59:$D$62,MATCH(INDEX(Mapping!$G$5:$G$20,MATCH($C109,Mapping!$A$5:$A$20,0)),Mapping!$A$59:$A$62,0))</f>
        <v/>
      </c>
      <c r="N109" s="31">
        <f>INDEX(Elasticities!$F$4:$I$200,MATCH("inc|"&amp;$E109&amp;"|"&amp;$D109,Elasticities!$A$4:$A$200,0),MATCH(Settings!$C$6,Elasticities!$F$3:$I$3,0))</f>
        <v/>
      </c>
      <c r="O109" s="31">
        <f>INDEX(Elasticities!$F$4:$I$200,MATCH("usg|"&amp;$E109&amp;"|"&amp;$D109,Elasticities!$A$4:$A$200,0),MATCH(Settings!$C$6,Elasticities!$F$3:$I$3,0))</f>
        <v/>
      </c>
      <c r="P109" s="31">
        <f>INDEX(Elasticities!$F$4:$I$200,MATCH("eff|"&amp;$E109&amp;"|"&amp;$D109,Elasticities!$A$4:$A$200,0),MATCH(Settings!$C$6,Elasticities!$F$3:$I$3,0))</f>
        <v/>
      </c>
      <c r="Q109" s="25">
        <f>INDEX(Elasticities!$F$4:$I$200,MATCH("aei|"&amp;$F109&amp;"|"&amp;$D109,Elasticities!$A$4:$A$200,0),MATCH(Settings!$C$6,Elasticities!$F$3:$I$3,0))</f>
        <v/>
      </c>
      <c r="R109" s="47" t="n">
        <v>0</v>
      </c>
      <c r="S109" s="36">
        <f>INDEX(Prices_dom!$A$6:$CU$2000,MATCH(Settings!$C$4&amp;Settings!$C$7,Prices_dom!$A$6:$A$2000,0),MATCH("mit.sp."&amp;$G109,Prices_dom!$A$5:$CU$5,0))/$I109</f>
        <v/>
      </c>
      <c r="T109" s="36">
        <f>(INDEX(Prices_dom!$A$6:$CU$2000,MATCH(Settings!$C$4&amp;Settings!$C$7,Prices_dom!$A$6:$A$2000,0),MATCH("mit.rp."&amp;$G109,Prices_dom!$A$5:$CU$5,0))-INDEX(Prices_dom!$A$6:$CU$2000,MATCH(Settings!$C$4&amp;Settings!$C$7,Prices_dom!$A$6:$A$2000,0),MATCH("mit.sp."&amp;$G109,Prices_dom!$A$5:$CU$5,0)))/$I109</f>
        <v/>
      </c>
      <c r="U109" s="48">
        <f>INDEX(EF_GHG!$E$4:$E$1000,MATCH(Settings!$C$4&amp;"|"&amp;$B109&amp;"|"&amp;$H109,EF_GHG!$A$4:$A$1000,0))</f>
        <v/>
      </c>
      <c r="V109" s="41">
        <f>INDEX(EnergyCons!$F$4:$F$5000,MATCH(Settings!$C$4&amp;"|"&amp;Settings!$C$7&amp;"|"&amp;$C109&amp;"|"&amp;$B109,EnergyCons!$A$4:$A$5000,0))</f>
        <v/>
      </c>
    </row>
    <row r="110">
      <c r="A110" s="5">
        <f>$B110&amp;"|"&amp;$C110</f>
        <v/>
      </c>
      <c r="B110" s="6" t="inlineStr">
        <is>
          <t>nga</t>
        </is>
      </c>
      <c r="C110" s="6" t="inlineStr">
        <is>
          <t>cst</t>
        </is>
      </c>
      <c r="D110" s="5">
        <f>INDEX(Mapping!$D$5:$D$20,MATCH($C110,Mapping!$A$5:$A$20,0))</f>
        <v/>
      </c>
      <c r="E110" s="5">
        <f>INDEX(Mapping!$C$29:$C$36,MATCH($B110,Mapping!$A$29:$A$36,0))</f>
        <v/>
      </c>
      <c r="F110" s="5">
        <f>INDEX(Mapping!$D$29:$D$36,MATCH($B110,Mapping!$A$29:$A$36,0))</f>
        <v/>
      </c>
      <c r="G110" s="5">
        <f>$B110&amp;"."&amp;IF(INDEX(Mapping!$E$29:$E$36,MATCH($B110,Mapping!$A$29:$A$36,0))="sub",INDEX(Mapping!$F$5:$F$20,MATCH($C110,Mapping!$A$5:$A$20,0)),"all")</f>
        <v/>
      </c>
      <c r="H110" s="5">
        <f>INDEX(Mapping!$E$5:$E$20,MATCH($C110,Mapping!$A$5:$A$20,0))</f>
        <v/>
      </c>
      <c r="I110" s="5">
        <f>INDEX(Mapping!$G$29:$G$36,MATCH($B110,Mapping!$A$29:$A$36,0))</f>
        <v/>
      </c>
      <c r="J110" s="5">
        <f>INDEX(Mapping!$H$29:$H$36,MATCH($B110,Mapping!$A$29:$A$36,0))</f>
        <v/>
      </c>
      <c r="K110" s="5">
        <f>INDEX(Mapping!$H$5:$H$20,MATCH($C110,Mapping!$A$5:$A$20,0))</f>
        <v/>
      </c>
      <c r="L110" s="5">
        <f>INDEX(Mapping!$E$42:$E$55,MATCH($G110,Mapping!$A$42:$A$55,0))</f>
        <v/>
      </c>
      <c r="M110" s="5">
        <f>INDEX(Mapping!$D$59:$D$62,MATCH(INDEX(Mapping!$G$5:$G$20,MATCH($C110,Mapping!$A$5:$A$20,0)),Mapping!$A$59:$A$62,0))</f>
        <v/>
      </c>
      <c r="N110" s="31">
        <f>INDEX(Elasticities!$F$4:$I$200,MATCH("inc|"&amp;$E110&amp;"|"&amp;$D110,Elasticities!$A$4:$A$200,0),MATCH(Settings!$C$6,Elasticities!$F$3:$I$3,0))</f>
        <v/>
      </c>
      <c r="O110" s="31">
        <f>INDEX(Elasticities!$F$4:$I$200,MATCH("usg|"&amp;$E110&amp;"|"&amp;$D110,Elasticities!$A$4:$A$200,0),MATCH(Settings!$C$6,Elasticities!$F$3:$I$3,0))</f>
        <v/>
      </c>
      <c r="P110" s="31">
        <f>INDEX(Elasticities!$F$4:$I$200,MATCH("eff|"&amp;$E110&amp;"|"&amp;$D110,Elasticities!$A$4:$A$200,0),MATCH(Settings!$C$6,Elasticities!$F$3:$I$3,0))</f>
        <v/>
      </c>
      <c r="Q110" s="25">
        <f>INDEX(Elasticities!$F$4:$I$200,MATCH("aei|"&amp;$F110&amp;"|"&amp;$D110,Elasticities!$A$4:$A$200,0),MATCH(Settings!$C$6,Elasticities!$F$3:$I$3,0))</f>
        <v/>
      </c>
      <c r="R110" s="47" t="n">
        <v>0</v>
      </c>
      <c r="S110" s="36">
        <f>INDEX(Prices_dom!$A$6:$CU$2000,MATCH(Settings!$C$4&amp;Settings!$C$7,Prices_dom!$A$6:$A$2000,0),MATCH("mit.sp."&amp;$G110,Prices_dom!$A$5:$CU$5,0))/$I110</f>
        <v/>
      </c>
      <c r="T110" s="36">
        <f>(INDEX(Prices_dom!$A$6:$CU$2000,MATCH(Settings!$C$4&amp;Settings!$C$7,Prices_dom!$A$6:$A$2000,0),MATCH("mit.rp."&amp;$G110,Prices_dom!$A$5:$CU$5,0))-INDEX(Prices_dom!$A$6:$CU$2000,MATCH(Settings!$C$4&amp;Settings!$C$7,Prices_dom!$A$6:$A$2000,0),MATCH("mit.sp."&amp;$G110,Prices_dom!$A$5:$CU$5,0)))/$I110</f>
        <v/>
      </c>
      <c r="U110" s="48">
        <f>INDEX(EF_GHG!$E$4:$E$1000,MATCH(Settings!$C$4&amp;"|"&amp;$B110&amp;"|"&amp;$H110,EF_GHG!$A$4:$A$1000,0))</f>
        <v/>
      </c>
      <c r="V110" s="41">
        <f>INDEX(EnergyCons!$F$4:$F$5000,MATCH(Settings!$C$4&amp;"|"&amp;Settings!$C$7&amp;"|"&amp;$C110&amp;"|"&amp;$B110,EnergyCons!$A$4:$A$5000,0))</f>
        <v/>
      </c>
    </row>
    <row r="111">
      <c r="A111" s="5">
        <f>$B111&amp;"|"&amp;$C111</f>
        <v/>
      </c>
      <c r="B111" s="6" t="inlineStr">
        <is>
          <t>gso</t>
        </is>
      </c>
      <c r="C111" s="6" t="inlineStr">
        <is>
          <t>cst</t>
        </is>
      </c>
      <c r="D111" s="5">
        <f>INDEX(Mapping!$D$5:$D$20,MATCH($C111,Mapping!$A$5:$A$20,0))</f>
        <v/>
      </c>
      <c r="E111" s="5">
        <f>INDEX(Mapping!$C$29:$C$36,MATCH($B111,Mapping!$A$29:$A$36,0))</f>
        <v/>
      </c>
      <c r="F111" s="5">
        <f>INDEX(Mapping!$D$29:$D$36,MATCH($B111,Mapping!$A$29:$A$36,0))</f>
        <v/>
      </c>
      <c r="G111" s="5">
        <f>$B111&amp;"."&amp;IF(INDEX(Mapping!$E$29:$E$36,MATCH($B111,Mapping!$A$29:$A$36,0))="sub",INDEX(Mapping!$F$5:$F$20,MATCH($C111,Mapping!$A$5:$A$20,0)),"all")</f>
        <v/>
      </c>
      <c r="H111" s="5">
        <f>INDEX(Mapping!$E$5:$E$20,MATCH($C111,Mapping!$A$5:$A$20,0))</f>
        <v/>
      </c>
      <c r="I111" s="5">
        <f>INDEX(Mapping!$G$29:$G$36,MATCH($B111,Mapping!$A$29:$A$36,0))</f>
        <v/>
      </c>
      <c r="J111" s="5">
        <f>INDEX(Mapping!$H$29:$H$36,MATCH($B111,Mapping!$A$29:$A$36,0))</f>
        <v/>
      </c>
      <c r="K111" s="5">
        <f>INDEX(Mapping!$H$5:$H$20,MATCH($C111,Mapping!$A$5:$A$20,0))</f>
        <v/>
      </c>
      <c r="L111" s="5">
        <f>INDEX(Mapping!$E$42:$E$55,MATCH($G111,Mapping!$A$42:$A$55,0))</f>
        <v/>
      </c>
      <c r="M111" s="5">
        <f>INDEX(Mapping!$D$59:$D$62,MATCH(INDEX(Mapping!$G$5:$G$20,MATCH($C111,Mapping!$A$5:$A$20,0)),Mapping!$A$59:$A$62,0))</f>
        <v/>
      </c>
      <c r="N111" s="31">
        <f>INDEX(Elasticities!$F$4:$I$200,MATCH("inc|"&amp;$E111&amp;"|"&amp;$D111,Elasticities!$A$4:$A$200,0),MATCH(Settings!$C$6,Elasticities!$F$3:$I$3,0))</f>
        <v/>
      </c>
      <c r="O111" s="31">
        <f>INDEX(Elasticities!$F$4:$I$200,MATCH("usg|"&amp;$E111&amp;"|"&amp;$D111,Elasticities!$A$4:$A$200,0),MATCH(Settings!$C$6,Elasticities!$F$3:$I$3,0))</f>
        <v/>
      </c>
      <c r="P111" s="31">
        <f>INDEX(Elasticities!$F$4:$I$200,MATCH("eff|"&amp;$E111&amp;"|"&amp;$D111,Elasticities!$A$4:$A$200,0),MATCH(Settings!$C$6,Elasticities!$F$3:$I$3,0))</f>
        <v/>
      </c>
      <c r="Q111" s="25">
        <f>INDEX(Elasticities!$F$4:$I$200,MATCH("aei|"&amp;$F111&amp;"|"&amp;$D111,Elasticities!$A$4:$A$200,0),MATCH(Settings!$C$6,Elasticities!$F$3:$I$3,0))</f>
        <v/>
      </c>
      <c r="R111" s="47" t="n">
        <v>0</v>
      </c>
      <c r="S111" s="36">
        <f>INDEX(Prices_dom!$A$6:$CU$2000,MATCH(Settings!$C$4&amp;Settings!$C$7,Prices_dom!$A$6:$A$2000,0),MATCH("mit.sp."&amp;$G111,Prices_dom!$A$5:$CU$5,0))/$I111</f>
        <v/>
      </c>
      <c r="T111" s="36">
        <f>(INDEX(Prices_dom!$A$6:$CU$2000,MATCH(Settings!$C$4&amp;Settings!$C$7,Prices_dom!$A$6:$A$2000,0),MATCH("mit.rp."&amp;$G111,Prices_dom!$A$5:$CU$5,0))-INDEX(Prices_dom!$A$6:$CU$2000,MATCH(Settings!$C$4&amp;Settings!$C$7,Prices_dom!$A$6:$A$2000,0),MATCH("mit.sp."&amp;$G111,Prices_dom!$A$5:$CU$5,0)))/$I111</f>
        <v/>
      </c>
      <c r="U111" s="48">
        <f>INDEX(EF_GHG!$E$4:$E$1000,MATCH(Settings!$C$4&amp;"|"&amp;$B111&amp;"|"&amp;$H111,EF_GHG!$A$4:$A$1000,0))</f>
        <v/>
      </c>
      <c r="V111" s="41">
        <f>INDEX(EnergyCons!$F$4:$F$5000,MATCH(Settings!$C$4&amp;"|"&amp;Settings!$C$7&amp;"|"&amp;$C111&amp;"|"&amp;$B111,EnergyCons!$A$4:$A$5000,0))</f>
        <v/>
      </c>
    </row>
    <row r="112">
      <c r="A112" s="5">
        <f>$B112&amp;"|"&amp;$C112</f>
        <v/>
      </c>
      <c r="B112" s="6" t="inlineStr">
        <is>
          <t>die</t>
        </is>
      </c>
      <c r="C112" s="6" t="inlineStr">
        <is>
          <t>cst</t>
        </is>
      </c>
      <c r="D112" s="5">
        <f>INDEX(Mapping!$D$5:$D$20,MATCH($C112,Mapping!$A$5:$A$20,0))</f>
        <v/>
      </c>
      <c r="E112" s="5">
        <f>INDEX(Mapping!$C$29:$C$36,MATCH($B112,Mapping!$A$29:$A$36,0))</f>
        <v/>
      </c>
      <c r="F112" s="5">
        <f>INDEX(Mapping!$D$29:$D$36,MATCH($B112,Mapping!$A$29:$A$36,0))</f>
        <v/>
      </c>
      <c r="G112" s="5">
        <f>$B112&amp;"."&amp;IF(INDEX(Mapping!$E$29:$E$36,MATCH($B112,Mapping!$A$29:$A$36,0))="sub",INDEX(Mapping!$F$5:$F$20,MATCH($C112,Mapping!$A$5:$A$20,0)),"all")</f>
        <v/>
      </c>
      <c r="H112" s="5">
        <f>INDEX(Mapping!$E$5:$E$20,MATCH($C112,Mapping!$A$5:$A$20,0))</f>
        <v/>
      </c>
      <c r="I112" s="5">
        <f>INDEX(Mapping!$G$29:$G$36,MATCH($B112,Mapping!$A$29:$A$36,0))</f>
        <v/>
      </c>
      <c r="J112" s="5">
        <f>INDEX(Mapping!$H$29:$H$36,MATCH($B112,Mapping!$A$29:$A$36,0))</f>
        <v/>
      </c>
      <c r="K112" s="5">
        <f>INDEX(Mapping!$H$5:$H$20,MATCH($C112,Mapping!$A$5:$A$20,0))</f>
        <v/>
      </c>
      <c r="L112" s="5">
        <f>INDEX(Mapping!$E$42:$E$55,MATCH($G112,Mapping!$A$42:$A$55,0))</f>
        <v/>
      </c>
      <c r="M112" s="5">
        <f>INDEX(Mapping!$D$59:$D$62,MATCH(INDEX(Mapping!$G$5:$G$20,MATCH($C112,Mapping!$A$5:$A$20,0)),Mapping!$A$59:$A$62,0))</f>
        <v/>
      </c>
      <c r="N112" s="31">
        <f>INDEX(Elasticities!$F$4:$I$200,MATCH("inc|"&amp;$E112&amp;"|"&amp;$D112,Elasticities!$A$4:$A$200,0),MATCH(Settings!$C$6,Elasticities!$F$3:$I$3,0))</f>
        <v/>
      </c>
      <c r="O112" s="31">
        <f>INDEX(Elasticities!$F$4:$I$200,MATCH("usg|"&amp;$E112&amp;"|"&amp;$D112,Elasticities!$A$4:$A$200,0),MATCH(Settings!$C$6,Elasticities!$F$3:$I$3,0))</f>
        <v/>
      </c>
      <c r="P112" s="31">
        <f>INDEX(Elasticities!$F$4:$I$200,MATCH("eff|"&amp;$E112&amp;"|"&amp;$D112,Elasticities!$A$4:$A$200,0),MATCH(Settings!$C$6,Elasticities!$F$3:$I$3,0))</f>
        <v/>
      </c>
      <c r="Q112" s="25">
        <f>INDEX(Elasticities!$F$4:$I$200,MATCH("aei|"&amp;$F112&amp;"|"&amp;$D112,Elasticities!$A$4:$A$200,0),MATCH(Settings!$C$6,Elasticities!$F$3:$I$3,0))</f>
        <v/>
      </c>
      <c r="R112" s="47" t="n">
        <v>0</v>
      </c>
      <c r="S112" s="36">
        <f>INDEX(Prices_dom!$A$6:$CU$2000,MATCH(Settings!$C$4&amp;Settings!$C$7,Prices_dom!$A$6:$A$2000,0),MATCH("mit.sp."&amp;$G112,Prices_dom!$A$5:$CU$5,0))/$I112</f>
        <v/>
      </c>
      <c r="T112" s="36">
        <f>(INDEX(Prices_dom!$A$6:$CU$2000,MATCH(Settings!$C$4&amp;Settings!$C$7,Prices_dom!$A$6:$A$2000,0),MATCH("mit.rp."&amp;$G112,Prices_dom!$A$5:$CU$5,0))-INDEX(Prices_dom!$A$6:$CU$2000,MATCH(Settings!$C$4&amp;Settings!$C$7,Prices_dom!$A$6:$A$2000,0),MATCH("mit.sp."&amp;$G112,Prices_dom!$A$5:$CU$5,0)))/$I112</f>
        <v/>
      </c>
      <c r="U112" s="48">
        <f>INDEX(EF_GHG!$E$4:$E$1000,MATCH(Settings!$C$4&amp;"|"&amp;$B112&amp;"|"&amp;$H112,EF_GHG!$A$4:$A$1000,0))</f>
        <v/>
      </c>
      <c r="V112" s="41">
        <f>INDEX(EnergyCons!$F$4:$F$5000,MATCH(Settings!$C$4&amp;"|"&amp;Settings!$C$7&amp;"|"&amp;$C112&amp;"|"&amp;$B112,EnergyCons!$A$4:$A$5000,0))</f>
        <v/>
      </c>
    </row>
    <row r="113">
      <c r="A113" s="5">
        <f>$B113&amp;"|"&amp;$C113</f>
        <v/>
      </c>
      <c r="B113" s="6" t="inlineStr">
        <is>
          <t>lpg</t>
        </is>
      </c>
      <c r="C113" s="6" t="inlineStr">
        <is>
          <t>cst</t>
        </is>
      </c>
      <c r="D113" s="5">
        <f>INDEX(Mapping!$D$5:$D$20,MATCH($C113,Mapping!$A$5:$A$20,0))</f>
        <v/>
      </c>
      <c r="E113" s="5">
        <f>INDEX(Mapping!$C$29:$C$36,MATCH($B113,Mapping!$A$29:$A$36,0))</f>
        <v/>
      </c>
      <c r="F113" s="5">
        <f>INDEX(Mapping!$D$29:$D$36,MATCH($B113,Mapping!$A$29:$A$36,0))</f>
        <v/>
      </c>
      <c r="G113" s="5">
        <f>$B113&amp;"."&amp;IF(INDEX(Mapping!$E$29:$E$36,MATCH($B113,Mapping!$A$29:$A$36,0))="sub",INDEX(Mapping!$F$5:$F$20,MATCH($C113,Mapping!$A$5:$A$20,0)),"all")</f>
        <v/>
      </c>
      <c r="H113" s="5">
        <f>INDEX(Mapping!$E$5:$E$20,MATCH($C113,Mapping!$A$5:$A$20,0))</f>
        <v/>
      </c>
      <c r="I113" s="5">
        <f>INDEX(Mapping!$G$29:$G$36,MATCH($B113,Mapping!$A$29:$A$36,0))</f>
        <v/>
      </c>
      <c r="J113" s="5">
        <f>INDEX(Mapping!$H$29:$H$36,MATCH($B113,Mapping!$A$29:$A$36,0))</f>
        <v/>
      </c>
      <c r="K113" s="5">
        <f>INDEX(Mapping!$H$5:$H$20,MATCH($C113,Mapping!$A$5:$A$20,0))</f>
        <v/>
      </c>
      <c r="L113" s="5">
        <f>INDEX(Mapping!$E$42:$E$55,MATCH($G113,Mapping!$A$42:$A$55,0))</f>
        <v/>
      </c>
      <c r="M113" s="5">
        <f>INDEX(Mapping!$D$59:$D$62,MATCH(INDEX(Mapping!$G$5:$G$20,MATCH($C113,Mapping!$A$5:$A$20,0)),Mapping!$A$59:$A$62,0))</f>
        <v/>
      </c>
      <c r="N113" s="31">
        <f>INDEX(Elasticities!$F$4:$I$200,MATCH("inc|"&amp;$E113&amp;"|"&amp;$D113,Elasticities!$A$4:$A$200,0),MATCH(Settings!$C$6,Elasticities!$F$3:$I$3,0))</f>
        <v/>
      </c>
      <c r="O113" s="31">
        <f>INDEX(Elasticities!$F$4:$I$200,MATCH("usg|"&amp;$E113&amp;"|"&amp;$D113,Elasticities!$A$4:$A$200,0),MATCH(Settings!$C$6,Elasticities!$F$3:$I$3,0))</f>
        <v/>
      </c>
      <c r="P113" s="31">
        <f>INDEX(Elasticities!$F$4:$I$200,MATCH("eff|"&amp;$E113&amp;"|"&amp;$D113,Elasticities!$A$4:$A$200,0),MATCH(Settings!$C$6,Elasticities!$F$3:$I$3,0))</f>
        <v/>
      </c>
      <c r="Q113" s="25">
        <f>INDEX(Elasticities!$F$4:$I$200,MATCH("aei|"&amp;$F113&amp;"|"&amp;$D113,Elasticities!$A$4:$A$200,0),MATCH(Settings!$C$6,Elasticities!$F$3:$I$3,0))</f>
        <v/>
      </c>
      <c r="R113" s="47" t="n">
        <v>0</v>
      </c>
      <c r="S113" s="36">
        <f>INDEX(Prices_dom!$A$6:$CU$2000,MATCH(Settings!$C$4&amp;Settings!$C$7,Prices_dom!$A$6:$A$2000,0),MATCH("mit.sp."&amp;$G113,Prices_dom!$A$5:$CU$5,0))/$I113</f>
        <v/>
      </c>
      <c r="T113" s="36">
        <f>(INDEX(Prices_dom!$A$6:$CU$2000,MATCH(Settings!$C$4&amp;Settings!$C$7,Prices_dom!$A$6:$A$2000,0),MATCH("mit.rp."&amp;$G113,Prices_dom!$A$5:$CU$5,0))-INDEX(Prices_dom!$A$6:$CU$2000,MATCH(Settings!$C$4&amp;Settings!$C$7,Prices_dom!$A$6:$A$2000,0),MATCH("mit.sp."&amp;$G113,Prices_dom!$A$5:$CU$5,0)))/$I113</f>
        <v/>
      </c>
      <c r="U113" s="48">
        <f>INDEX(EF_GHG!$E$4:$E$1000,MATCH(Settings!$C$4&amp;"|"&amp;$B113&amp;"|"&amp;$H113,EF_GHG!$A$4:$A$1000,0))</f>
        <v/>
      </c>
      <c r="V113" s="41">
        <f>INDEX(EnergyCons!$F$4:$F$5000,MATCH(Settings!$C$4&amp;"|"&amp;Settings!$C$7&amp;"|"&amp;$C113&amp;"|"&amp;$B113,EnergyCons!$A$4:$A$5000,0))</f>
        <v/>
      </c>
    </row>
    <row r="114">
      <c r="A114" s="5">
        <f>$B114&amp;"|"&amp;$C114</f>
        <v/>
      </c>
      <c r="B114" s="6" t="inlineStr">
        <is>
          <t>ker</t>
        </is>
      </c>
      <c r="C114" s="6" t="inlineStr">
        <is>
          <t>cst</t>
        </is>
      </c>
      <c r="D114" s="5">
        <f>INDEX(Mapping!$D$5:$D$20,MATCH($C114,Mapping!$A$5:$A$20,0))</f>
        <v/>
      </c>
      <c r="E114" s="5">
        <f>INDEX(Mapping!$C$29:$C$36,MATCH($B114,Mapping!$A$29:$A$36,0))</f>
        <v/>
      </c>
      <c r="F114" s="5">
        <f>INDEX(Mapping!$D$29:$D$36,MATCH($B114,Mapping!$A$29:$A$36,0))</f>
        <v/>
      </c>
      <c r="G114" s="5">
        <f>$B114&amp;"."&amp;IF(INDEX(Mapping!$E$29:$E$36,MATCH($B114,Mapping!$A$29:$A$36,0))="sub",INDEX(Mapping!$F$5:$F$20,MATCH($C114,Mapping!$A$5:$A$20,0)),"all")</f>
        <v/>
      </c>
      <c r="H114" s="5">
        <f>INDEX(Mapping!$E$5:$E$20,MATCH($C114,Mapping!$A$5:$A$20,0))</f>
        <v/>
      </c>
      <c r="I114" s="5">
        <f>INDEX(Mapping!$G$29:$G$36,MATCH($B114,Mapping!$A$29:$A$36,0))</f>
        <v/>
      </c>
      <c r="J114" s="5">
        <f>INDEX(Mapping!$H$29:$H$36,MATCH($B114,Mapping!$A$29:$A$36,0))</f>
        <v/>
      </c>
      <c r="K114" s="5">
        <f>INDEX(Mapping!$H$5:$H$20,MATCH($C114,Mapping!$A$5:$A$20,0))</f>
        <v/>
      </c>
      <c r="L114" s="5">
        <f>INDEX(Mapping!$E$42:$E$55,MATCH($G114,Mapping!$A$42:$A$55,0))</f>
        <v/>
      </c>
      <c r="M114" s="5">
        <f>INDEX(Mapping!$D$59:$D$62,MATCH(INDEX(Mapping!$G$5:$G$20,MATCH($C114,Mapping!$A$5:$A$20,0)),Mapping!$A$59:$A$62,0))</f>
        <v/>
      </c>
      <c r="N114" s="31">
        <f>INDEX(Elasticities!$F$4:$I$200,MATCH("inc|"&amp;$E114&amp;"|"&amp;$D114,Elasticities!$A$4:$A$200,0),MATCH(Settings!$C$6,Elasticities!$F$3:$I$3,0))</f>
        <v/>
      </c>
      <c r="O114" s="31">
        <f>INDEX(Elasticities!$F$4:$I$200,MATCH("usg|"&amp;$E114&amp;"|"&amp;$D114,Elasticities!$A$4:$A$200,0),MATCH(Settings!$C$6,Elasticities!$F$3:$I$3,0))</f>
        <v/>
      </c>
      <c r="P114" s="31">
        <f>INDEX(Elasticities!$F$4:$I$200,MATCH("eff|"&amp;$E114&amp;"|"&amp;$D114,Elasticities!$A$4:$A$200,0),MATCH(Settings!$C$6,Elasticities!$F$3:$I$3,0))</f>
        <v/>
      </c>
      <c r="Q114" s="25">
        <f>INDEX(Elasticities!$F$4:$I$200,MATCH("aei|"&amp;$F114&amp;"|"&amp;$D114,Elasticities!$A$4:$A$200,0),MATCH(Settings!$C$6,Elasticities!$F$3:$I$3,0))</f>
        <v/>
      </c>
      <c r="R114" s="47" t="n">
        <v>0</v>
      </c>
      <c r="S114" s="36">
        <f>INDEX(Prices_dom!$A$6:$CU$2000,MATCH(Settings!$C$4&amp;Settings!$C$7,Prices_dom!$A$6:$A$2000,0),MATCH("mit.sp."&amp;$G114,Prices_dom!$A$5:$CU$5,0))/$I114</f>
        <v/>
      </c>
      <c r="T114" s="36">
        <f>(INDEX(Prices_dom!$A$6:$CU$2000,MATCH(Settings!$C$4&amp;Settings!$C$7,Prices_dom!$A$6:$A$2000,0),MATCH("mit.rp."&amp;$G114,Prices_dom!$A$5:$CU$5,0))-INDEX(Prices_dom!$A$6:$CU$2000,MATCH(Settings!$C$4&amp;Settings!$C$7,Prices_dom!$A$6:$A$2000,0),MATCH("mit.sp."&amp;$G114,Prices_dom!$A$5:$CU$5,0)))/$I114</f>
        <v/>
      </c>
      <c r="U114" s="48">
        <f>INDEX(EF_GHG!$E$4:$E$1000,MATCH(Settings!$C$4&amp;"|"&amp;$B114&amp;"|"&amp;$H114,EF_GHG!$A$4:$A$1000,0))</f>
        <v/>
      </c>
      <c r="V114" s="41">
        <f>INDEX(EnergyCons!$F$4:$F$5000,MATCH(Settings!$C$4&amp;"|"&amp;Settings!$C$7&amp;"|"&amp;$C114&amp;"|"&amp;$B114,EnergyCons!$A$4:$A$5000,0))</f>
        <v/>
      </c>
    </row>
    <row r="115">
      <c r="A115" s="5">
        <f>$B115&amp;"|"&amp;$C115</f>
        <v/>
      </c>
      <c r="B115" s="6" t="inlineStr">
        <is>
          <t>oop</t>
        </is>
      </c>
      <c r="C115" s="6" t="inlineStr">
        <is>
          <t>cst</t>
        </is>
      </c>
      <c r="D115" s="5">
        <f>INDEX(Mapping!$D$5:$D$20,MATCH($C115,Mapping!$A$5:$A$20,0))</f>
        <v/>
      </c>
      <c r="E115" s="5">
        <f>INDEX(Mapping!$C$29:$C$36,MATCH($B115,Mapping!$A$29:$A$36,0))</f>
        <v/>
      </c>
      <c r="F115" s="5">
        <f>INDEX(Mapping!$D$29:$D$36,MATCH($B115,Mapping!$A$29:$A$36,0))</f>
        <v/>
      </c>
      <c r="G115" s="5">
        <f>$B115&amp;"."&amp;IF(INDEX(Mapping!$E$29:$E$36,MATCH($B115,Mapping!$A$29:$A$36,0))="sub",INDEX(Mapping!$F$5:$F$20,MATCH($C115,Mapping!$A$5:$A$20,0)),"all")</f>
        <v/>
      </c>
      <c r="H115" s="5">
        <f>INDEX(Mapping!$E$5:$E$20,MATCH($C115,Mapping!$A$5:$A$20,0))</f>
        <v/>
      </c>
      <c r="I115" s="5">
        <f>INDEX(Mapping!$G$29:$G$36,MATCH($B115,Mapping!$A$29:$A$36,0))</f>
        <v/>
      </c>
      <c r="J115" s="5">
        <f>INDEX(Mapping!$H$29:$H$36,MATCH($B115,Mapping!$A$29:$A$36,0))</f>
        <v/>
      </c>
      <c r="K115" s="5">
        <f>INDEX(Mapping!$H$5:$H$20,MATCH($C115,Mapping!$A$5:$A$20,0))</f>
        <v/>
      </c>
      <c r="L115" s="5">
        <f>INDEX(Mapping!$E$42:$E$55,MATCH($G115,Mapping!$A$42:$A$55,0))</f>
        <v/>
      </c>
      <c r="M115" s="5">
        <f>INDEX(Mapping!$D$59:$D$62,MATCH(INDEX(Mapping!$G$5:$G$20,MATCH($C115,Mapping!$A$5:$A$20,0)),Mapping!$A$59:$A$62,0))</f>
        <v/>
      </c>
      <c r="N115" s="31">
        <f>INDEX(Elasticities!$F$4:$I$200,MATCH("inc|"&amp;$E115&amp;"|"&amp;$D115,Elasticities!$A$4:$A$200,0),MATCH(Settings!$C$6,Elasticities!$F$3:$I$3,0))</f>
        <v/>
      </c>
      <c r="O115" s="31">
        <f>INDEX(Elasticities!$F$4:$I$200,MATCH("usg|"&amp;$E115&amp;"|"&amp;$D115,Elasticities!$A$4:$A$200,0),MATCH(Settings!$C$6,Elasticities!$F$3:$I$3,0))</f>
        <v/>
      </c>
      <c r="P115" s="31">
        <f>INDEX(Elasticities!$F$4:$I$200,MATCH("eff|"&amp;$E115&amp;"|"&amp;$D115,Elasticities!$A$4:$A$200,0),MATCH(Settings!$C$6,Elasticities!$F$3:$I$3,0))</f>
        <v/>
      </c>
      <c r="Q115" s="25">
        <f>INDEX(Elasticities!$F$4:$I$200,MATCH("aei|"&amp;$F115&amp;"|"&amp;$D115,Elasticities!$A$4:$A$200,0),MATCH(Settings!$C$6,Elasticities!$F$3:$I$3,0))</f>
        <v/>
      </c>
      <c r="R115" s="47" t="n">
        <v>0</v>
      </c>
      <c r="S115" s="36">
        <f>INDEX(Prices_dom!$A$6:$CU$2000,MATCH(Settings!$C$4&amp;Settings!$C$7,Prices_dom!$A$6:$A$2000,0),MATCH("mit.sp."&amp;$G115,Prices_dom!$A$5:$CU$5,0))/$I115</f>
        <v/>
      </c>
      <c r="T115" s="36">
        <f>(INDEX(Prices_dom!$A$6:$CU$2000,MATCH(Settings!$C$4&amp;Settings!$C$7,Prices_dom!$A$6:$A$2000,0),MATCH("mit.rp."&amp;$G115,Prices_dom!$A$5:$CU$5,0))-INDEX(Prices_dom!$A$6:$CU$2000,MATCH(Settings!$C$4&amp;Settings!$C$7,Prices_dom!$A$6:$A$2000,0),MATCH("mit.sp."&amp;$G115,Prices_dom!$A$5:$CU$5,0)))/$I115</f>
        <v/>
      </c>
      <c r="U115" s="48">
        <f>INDEX(EF_GHG!$E$4:$E$1000,MATCH(Settings!$C$4&amp;"|"&amp;$B115&amp;"|"&amp;$H115,EF_GHG!$A$4:$A$1000,0))</f>
        <v/>
      </c>
      <c r="V115" s="41">
        <f>INDEX(EnergyCons!$F$4:$F$5000,MATCH(Settings!$C$4&amp;"|"&amp;Settings!$C$7&amp;"|"&amp;$C115&amp;"|"&amp;$B115,EnergyCons!$A$4:$A$5000,0))</f>
        <v/>
      </c>
    </row>
    <row r="116">
      <c r="A116" s="5">
        <f>$B116&amp;"|"&amp;$C116</f>
        <v/>
      </c>
      <c r="B116" s="6" t="inlineStr">
        <is>
          <t>bio</t>
        </is>
      </c>
      <c r="C116" s="6" t="inlineStr">
        <is>
          <t>cst</t>
        </is>
      </c>
      <c r="D116" s="5">
        <f>INDEX(Mapping!$D$5:$D$20,MATCH($C116,Mapping!$A$5:$A$20,0))</f>
        <v/>
      </c>
      <c r="E116" s="5">
        <f>INDEX(Mapping!$C$29:$C$36,MATCH($B116,Mapping!$A$29:$A$36,0))</f>
        <v/>
      </c>
      <c r="F116" s="5">
        <f>INDEX(Mapping!$D$29:$D$36,MATCH($B116,Mapping!$A$29:$A$36,0))</f>
        <v/>
      </c>
      <c r="G116" s="5">
        <f>$B116&amp;"."&amp;IF(INDEX(Mapping!$E$29:$E$36,MATCH($B116,Mapping!$A$29:$A$36,0))="sub",INDEX(Mapping!$F$5:$F$20,MATCH($C116,Mapping!$A$5:$A$20,0)),"all")</f>
        <v/>
      </c>
      <c r="H116" s="5">
        <f>INDEX(Mapping!$E$5:$E$20,MATCH($C116,Mapping!$A$5:$A$20,0))</f>
        <v/>
      </c>
      <c r="I116" s="5">
        <f>INDEX(Mapping!$G$29:$G$36,MATCH($B116,Mapping!$A$29:$A$36,0))</f>
        <v/>
      </c>
      <c r="J116" s="5">
        <f>INDEX(Mapping!$H$29:$H$36,MATCH($B116,Mapping!$A$29:$A$36,0))</f>
        <v/>
      </c>
      <c r="K116" s="5">
        <f>INDEX(Mapping!$H$5:$H$20,MATCH($C116,Mapping!$A$5:$A$20,0))</f>
        <v/>
      </c>
      <c r="L116" s="5">
        <f>INDEX(Mapping!$E$42:$E$55,MATCH($G116,Mapping!$A$42:$A$55,0))</f>
        <v/>
      </c>
      <c r="M116" s="5">
        <f>INDEX(Mapping!$D$59:$D$62,MATCH(INDEX(Mapping!$G$5:$G$20,MATCH($C116,Mapping!$A$5:$A$20,0)),Mapping!$A$59:$A$62,0))</f>
        <v/>
      </c>
      <c r="N116" s="31">
        <f>INDEX(Elasticities!$F$4:$I$200,MATCH("inc|"&amp;$E116&amp;"|"&amp;$D116,Elasticities!$A$4:$A$200,0),MATCH(Settings!$C$6,Elasticities!$F$3:$I$3,0))</f>
        <v/>
      </c>
      <c r="O116" s="31">
        <f>INDEX(Elasticities!$F$4:$I$200,MATCH("usg|"&amp;$E116&amp;"|"&amp;$D116,Elasticities!$A$4:$A$200,0),MATCH(Settings!$C$6,Elasticities!$F$3:$I$3,0))</f>
        <v/>
      </c>
      <c r="P116" s="31">
        <f>INDEX(Elasticities!$F$4:$I$200,MATCH("eff|"&amp;$E116&amp;"|"&amp;$D116,Elasticities!$A$4:$A$200,0),MATCH(Settings!$C$6,Elasticities!$F$3:$I$3,0))</f>
        <v/>
      </c>
      <c r="Q116" s="25">
        <f>INDEX(Elasticities!$F$4:$I$200,MATCH("aei|"&amp;$F116&amp;"|"&amp;$D116,Elasticities!$A$4:$A$200,0),MATCH(Settings!$C$6,Elasticities!$F$3:$I$3,0))</f>
        <v/>
      </c>
      <c r="R116" s="47" t="n">
        <v>0</v>
      </c>
      <c r="S116" s="36">
        <f>INDEX(Prices_dom!$A$6:$CU$2000,MATCH(Settings!$C$4&amp;Settings!$C$7,Prices_dom!$A$6:$A$2000,0),MATCH("mit.sp."&amp;$G116,Prices_dom!$A$5:$CU$5,0))/$I116</f>
        <v/>
      </c>
      <c r="T116" s="36">
        <f>(INDEX(Prices_dom!$A$6:$CU$2000,MATCH(Settings!$C$4&amp;Settings!$C$7,Prices_dom!$A$6:$A$2000,0),MATCH("mit.rp."&amp;$G116,Prices_dom!$A$5:$CU$5,0))-INDEX(Prices_dom!$A$6:$CU$2000,MATCH(Settings!$C$4&amp;Settings!$C$7,Prices_dom!$A$6:$A$2000,0),MATCH("mit.sp."&amp;$G116,Prices_dom!$A$5:$CU$5,0)))/$I116</f>
        <v/>
      </c>
      <c r="U116" s="48">
        <f>INDEX(EF_GHG!$E$4:$E$1000,MATCH(Settings!$C$4&amp;"|"&amp;$B116&amp;"|"&amp;$H116,EF_GHG!$A$4:$A$1000,0))</f>
        <v/>
      </c>
      <c r="V116" s="41">
        <f>INDEX(EnergyCons!$F$4:$F$5000,MATCH(Settings!$C$4&amp;"|"&amp;Settings!$C$7&amp;"|"&amp;$C116&amp;"|"&amp;$B116,EnergyCons!$A$4:$A$5000,0))</f>
        <v/>
      </c>
    </row>
    <row r="117">
      <c r="A117" s="5">
        <f>$B117&amp;"|"&amp;$C117</f>
        <v/>
      </c>
      <c r="B117" s="6" t="inlineStr">
        <is>
          <t>coa</t>
        </is>
      </c>
      <c r="C117" s="6" t="inlineStr">
        <is>
          <t>ftr</t>
        </is>
      </c>
      <c r="D117" s="5">
        <f>INDEX(Mapping!$D$5:$D$20,MATCH($C117,Mapping!$A$5:$A$20,0))</f>
        <v/>
      </c>
      <c r="E117" s="5">
        <f>INDEX(Mapping!$C$29:$C$36,MATCH($B117,Mapping!$A$29:$A$36,0))</f>
        <v/>
      </c>
      <c r="F117" s="5">
        <f>INDEX(Mapping!$D$29:$D$36,MATCH($B117,Mapping!$A$29:$A$36,0))</f>
        <v/>
      </c>
      <c r="G117" s="5">
        <f>$B117&amp;"."&amp;IF(INDEX(Mapping!$E$29:$E$36,MATCH($B117,Mapping!$A$29:$A$36,0))="sub",INDEX(Mapping!$F$5:$F$20,MATCH($C117,Mapping!$A$5:$A$20,0)),"all")</f>
        <v/>
      </c>
      <c r="H117" s="5">
        <f>INDEX(Mapping!$E$5:$E$20,MATCH($C117,Mapping!$A$5:$A$20,0))</f>
        <v/>
      </c>
      <c r="I117" s="5">
        <f>INDEX(Mapping!$G$29:$G$36,MATCH($B117,Mapping!$A$29:$A$36,0))</f>
        <v/>
      </c>
      <c r="J117" s="5">
        <f>INDEX(Mapping!$H$29:$H$36,MATCH($B117,Mapping!$A$29:$A$36,0))</f>
        <v/>
      </c>
      <c r="K117" s="5">
        <f>INDEX(Mapping!$H$5:$H$20,MATCH($C117,Mapping!$A$5:$A$20,0))</f>
        <v/>
      </c>
      <c r="L117" s="5">
        <f>INDEX(Mapping!$E$42:$E$55,MATCH($G117,Mapping!$A$42:$A$55,0))</f>
        <v/>
      </c>
      <c r="M117" s="5">
        <f>INDEX(Mapping!$D$59:$D$62,MATCH(INDEX(Mapping!$G$5:$G$20,MATCH($C117,Mapping!$A$5:$A$20,0)),Mapping!$A$59:$A$62,0))</f>
        <v/>
      </c>
      <c r="N117" s="31">
        <f>INDEX(Elasticities!$F$4:$I$200,MATCH("inc|"&amp;$E117&amp;"|"&amp;$D117,Elasticities!$A$4:$A$200,0),MATCH(Settings!$C$6,Elasticities!$F$3:$I$3,0))</f>
        <v/>
      </c>
      <c r="O117" s="31">
        <f>INDEX(Elasticities!$F$4:$I$200,MATCH("usg|"&amp;$E117&amp;"|"&amp;$D117,Elasticities!$A$4:$A$200,0),MATCH(Settings!$C$6,Elasticities!$F$3:$I$3,0))</f>
        <v/>
      </c>
      <c r="P117" s="31">
        <f>INDEX(Elasticities!$F$4:$I$200,MATCH("eff|"&amp;$E117&amp;"|"&amp;$D117,Elasticities!$A$4:$A$200,0),MATCH(Settings!$C$6,Elasticities!$F$3:$I$3,0))</f>
        <v/>
      </c>
      <c r="Q117" s="25">
        <f>INDEX(Elasticities!$F$4:$I$200,MATCH("aei|"&amp;$F117&amp;"|"&amp;$D117,Elasticities!$A$4:$A$200,0),MATCH(Settings!$C$6,Elasticities!$F$3:$I$3,0))</f>
        <v/>
      </c>
      <c r="R117" s="47" t="n">
        <v>0</v>
      </c>
      <c r="S117" s="36">
        <f>INDEX(Prices_dom!$A$6:$CU$2000,MATCH(Settings!$C$4&amp;Settings!$C$7,Prices_dom!$A$6:$A$2000,0),MATCH("mit.sp."&amp;$G117,Prices_dom!$A$5:$CU$5,0))/$I117</f>
        <v/>
      </c>
      <c r="T117" s="36">
        <f>(INDEX(Prices_dom!$A$6:$CU$2000,MATCH(Settings!$C$4&amp;Settings!$C$7,Prices_dom!$A$6:$A$2000,0),MATCH("mit.rp."&amp;$G117,Prices_dom!$A$5:$CU$5,0))-INDEX(Prices_dom!$A$6:$CU$2000,MATCH(Settings!$C$4&amp;Settings!$C$7,Prices_dom!$A$6:$A$2000,0),MATCH("mit.sp."&amp;$G117,Prices_dom!$A$5:$CU$5,0)))/$I117</f>
        <v/>
      </c>
      <c r="U117" s="48">
        <f>INDEX(EF_GHG!$E$4:$E$1000,MATCH(Settings!$C$4&amp;"|"&amp;$B117&amp;"|"&amp;$H117,EF_GHG!$A$4:$A$1000,0))</f>
        <v/>
      </c>
      <c r="V117" s="41">
        <f>INDEX(EnergyCons!$F$4:$F$5000,MATCH(Settings!$C$4&amp;"|"&amp;Settings!$C$7&amp;"|"&amp;$C117&amp;"|"&amp;$B117,EnergyCons!$A$4:$A$5000,0))</f>
        <v/>
      </c>
    </row>
    <row r="118">
      <c r="A118" s="5">
        <f>$B118&amp;"|"&amp;$C118</f>
        <v/>
      </c>
      <c r="B118" s="6" t="inlineStr">
        <is>
          <t>nga</t>
        </is>
      </c>
      <c r="C118" s="6" t="inlineStr">
        <is>
          <t>ftr</t>
        </is>
      </c>
      <c r="D118" s="5">
        <f>INDEX(Mapping!$D$5:$D$20,MATCH($C118,Mapping!$A$5:$A$20,0))</f>
        <v/>
      </c>
      <c r="E118" s="5">
        <f>INDEX(Mapping!$C$29:$C$36,MATCH($B118,Mapping!$A$29:$A$36,0))</f>
        <v/>
      </c>
      <c r="F118" s="5">
        <f>INDEX(Mapping!$D$29:$D$36,MATCH($B118,Mapping!$A$29:$A$36,0))</f>
        <v/>
      </c>
      <c r="G118" s="5">
        <f>$B118&amp;"."&amp;IF(INDEX(Mapping!$E$29:$E$36,MATCH($B118,Mapping!$A$29:$A$36,0))="sub",INDEX(Mapping!$F$5:$F$20,MATCH($C118,Mapping!$A$5:$A$20,0)),"all")</f>
        <v/>
      </c>
      <c r="H118" s="5">
        <f>INDEX(Mapping!$E$5:$E$20,MATCH($C118,Mapping!$A$5:$A$20,0))</f>
        <v/>
      </c>
      <c r="I118" s="5">
        <f>INDEX(Mapping!$G$29:$G$36,MATCH($B118,Mapping!$A$29:$A$36,0))</f>
        <v/>
      </c>
      <c r="J118" s="5">
        <f>INDEX(Mapping!$H$29:$H$36,MATCH($B118,Mapping!$A$29:$A$36,0))</f>
        <v/>
      </c>
      <c r="K118" s="5">
        <f>INDEX(Mapping!$H$5:$H$20,MATCH($C118,Mapping!$A$5:$A$20,0))</f>
        <v/>
      </c>
      <c r="L118" s="5">
        <f>INDEX(Mapping!$E$42:$E$55,MATCH($G118,Mapping!$A$42:$A$55,0))</f>
        <v/>
      </c>
      <c r="M118" s="5">
        <f>INDEX(Mapping!$D$59:$D$62,MATCH(INDEX(Mapping!$G$5:$G$20,MATCH($C118,Mapping!$A$5:$A$20,0)),Mapping!$A$59:$A$62,0))</f>
        <v/>
      </c>
      <c r="N118" s="31">
        <f>INDEX(Elasticities!$F$4:$I$200,MATCH("inc|"&amp;$E118&amp;"|"&amp;$D118,Elasticities!$A$4:$A$200,0),MATCH(Settings!$C$6,Elasticities!$F$3:$I$3,0))</f>
        <v/>
      </c>
      <c r="O118" s="31">
        <f>INDEX(Elasticities!$F$4:$I$200,MATCH("usg|"&amp;$E118&amp;"|"&amp;$D118,Elasticities!$A$4:$A$200,0),MATCH(Settings!$C$6,Elasticities!$F$3:$I$3,0))</f>
        <v/>
      </c>
      <c r="P118" s="31">
        <f>INDEX(Elasticities!$F$4:$I$200,MATCH("eff|"&amp;$E118&amp;"|"&amp;$D118,Elasticities!$A$4:$A$200,0),MATCH(Settings!$C$6,Elasticities!$F$3:$I$3,0))</f>
        <v/>
      </c>
      <c r="Q118" s="25">
        <f>INDEX(Elasticities!$F$4:$I$200,MATCH("aei|"&amp;$F118&amp;"|"&amp;$D118,Elasticities!$A$4:$A$200,0),MATCH(Settings!$C$6,Elasticities!$F$3:$I$3,0))</f>
        <v/>
      </c>
      <c r="R118" s="47" t="n">
        <v>0</v>
      </c>
      <c r="S118" s="36">
        <f>INDEX(Prices_dom!$A$6:$CU$2000,MATCH(Settings!$C$4&amp;Settings!$C$7,Prices_dom!$A$6:$A$2000,0),MATCH("mit.sp."&amp;$G118,Prices_dom!$A$5:$CU$5,0))/$I118</f>
        <v/>
      </c>
      <c r="T118" s="36">
        <f>(INDEX(Prices_dom!$A$6:$CU$2000,MATCH(Settings!$C$4&amp;Settings!$C$7,Prices_dom!$A$6:$A$2000,0),MATCH("mit.rp."&amp;$G118,Prices_dom!$A$5:$CU$5,0))-INDEX(Prices_dom!$A$6:$CU$2000,MATCH(Settings!$C$4&amp;Settings!$C$7,Prices_dom!$A$6:$A$2000,0),MATCH("mit.sp."&amp;$G118,Prices_dom!$A$5:$CU$5,0)))/$I118</f>
        <v/>
      </c>
      <c r="U118" s="48">
        <f>INDEX(EF_GHG!$E$4:$E$1000,MATCH(Settings!$C$4&amp;"|"&amp;$B118&amp;"|"&amp;$H118,EF_GHG!$A$4:$A$1000,0))</f>
        <v/>
      </c>
      <c r="V118" s="41">
        <f>INDEX(EnergyCons!$F$4:$F$5000,MATCH(Settings!$C$4&amp;"|"&amp;Settings!$C$7&amp;"|"&amp;$C118&amp;"|"&amp;$B118,EnergyCons!$A$4:$A$5000,0))</f>
        <v/>
      </c>
    </row>
    <row r="119">
      <c r="A119" s="5">
        <f>$B119&amp;"|"&amp;$C119</f>
        <v/>
      </c>
      <c r="B119" s="6" t="inlineStr">
        <is>
          <t>gso</t>
        </is>
      </c>
      <c r="C119" s="6" t="inlineStr">
        <is>
          <t>ftr</t>
        </is>
      </c>
      <c r="D119" s="5">
        <f>INDEX(Mapping!$D$5:$D$20,MATCH($C119,Mapping!$A$5:$A$20,0))</f>
        <v/>
      </c>
      <c r="E119" s="5">
        <f>INDEX(Mapping!$C$29:$C$36,MATCH($B119,Mapping!$A$29:$A$36,0))</f>
        <v/>
      </c>
      <c r="F119" s="5">
        <f>INDEX(Mapping!$D$29:$D$36,MATCH($B119,Mapping!$A$29:$A$36,0))</f>
        <v/>
      </c>
      <c r="G119" s="5">
        <f>$B119&amp;"."&amp;IF(INDEX(Mapping!$E$29:$E$36,MATCH($B119,Mapping!$A$29:$A$36,0))="sub",INDEX(Mapping!$F$5:$F$20,MATCH($C119,Mapping!$A$5:$A$20,0)),"all")</f>
        <v/>
      </c>
      <c r="H119" s="5">
        <f>INDEX(Mapping!$E$5:$E$20,MATCH($C119,Mapping!$A$5:$A$20,0))</f>
        <v/>
      </c>
      <c r="I119" s="5">
        <f>INDEX(Mapping!$G$29:$G$36,MATCH($B119,Mapping!$A$29:$A$36,0))</f>
        <v/>
      </c>
      <c r="J119" s="5">
        <f>INDEX(Mapping!$H$29:$H$36,MATCH($B119,Mapping!$A$29:$A$36,0))</f>
        <v/>
      </c>
      <c r="K119" s="5">
        <f>INDEX(Mapping!$H$5:$H$20,MATCH($C119,Mapping!$A$5:$A$20,0))</f>
        <v/>
      </c>
      <c r="L119" s="5">
        <f>INDEX(Mapping!$E$42:$E$55,MATCH($G119,Mapping!$A$42:$A$55,0))</f>
        <v/>
      </c>
      <c r="M119" s="5">
        <f>INDEX(Mapping!$D$59:$D$62,MATCH(INDEX(Mapping!$G$5:$G$20,MATCH($C119,Mapping!$A$5:$A$20,0)),Mapping!$A$59:$A$62,0))</f>
        <v/>
      </c>
      <c r="N119" s="31">
        <f>INDEX(Elasticities!$F$4:$I$200,MATCH("inc|"&amp;$E119&amp;"|"&amp;$D119,Elasticities!$A$4:$A$200,0),MATCH(Settings!$C$6,Elasticities!$F$3:$I$3,0))</f>
        <v/>
      </c>
      <c r="O119" s="31">
        <f>INDEX(Elasticities!$F$4:$I$200,MATCH("usg|"&amp;$E119&amp;"|"&amp;$D119,Elasticities!$A$4:$A$200,0),MATCH(Settings!$C$6,Elasticities!$F$3:$I$3,0))</f>
        <v/>
      </c>
      <c r="P119" s="31">
        <f>INDEX(Elasticities!$F$4:$I$200,MATCH("eff|"&amp;$E119&amp;"|"&amp;$D119,Elasticities!$A$4:$A$200,0),MATCH(Settings!$C$6,Elasticities!$F$3:$I$3,0))</f>
        <v/>
      </c>
      <c r="Q119" s="25">
        <f>INDEX(Elasticities!$F$4:$I$200,MATCH("aei|"&amp;$F119&amp;"|"&amp;$D119,Elasticities!$A$4:$A$200,0),MATCH(Settings!$C$6,Elasticities!$F$3:$I$3,0))</f>
        <v/>
      </c>
      <c r="R119" s="47" t="n">
        <v>0</v>
      </c>
      <c r="S119" s="36">
        <f>INDEX(Prices_dom!$A$6:$CU$2000,MATCH(Settings!$C$4&amp;Settings!$C$7,Prices_dom!$A$6:$A$2000,0),MATCH("mit.sp."&amp;$G119,Prices_dom!$A$5:$CU$5,0))/$I119</f>
        <v/>
      </c>
      <c r="T119" s="36">
        <f>(INDEX(Prices_dom!$A$6:$CU$2000,MATCH(Settings!$C$4&amp;Settings!$C$7,Prices_dom!$A$6:$A$2000,0),MATCH("mit.rp."&amp;$G119,Prices_dom!$A$5:$CU$5,0))-INDEX(Prices_dom!$A$6:$CU$2000,MATCH(Settings!$C$4&amp;Settings!$C$7,Prices_dom!$A$6:$A$2000,0),MATCH("mit.sp."&amp;$G119,Prices_dom!$A$5:$CU$5,0)))/$I119</f>
        <v/>
      </c>
      <c r="U119" s="48">
        <f>INDEX(EF_GHG!$E$4:$E$1000,MATCH(Settings!$C$4&amp;"|"&amp;$B119&amp;"|"&amp;$H119,EF_GHG!$A$4:$A$1000,0))</f>
        <v/>
      </c>
      <c r="V119" s="41">
        <f>INDEX(EnergyCons!$F$4:$F$5000,MATCH(Settings!$C$4&amp;"|"&amp;Settings!$C$7&amp;"|"&amp;$C119&amp;"|"&amp;$B119,EnergyCons!$A$4:$A$5000,0))</f>
        <v/>
      </c>
    </row>
    <row r="120">
      <c r="A120" s="5">
        <f>$B120&amp;"|"&amp;$C120</f>
        <v/>
      </c>
      <c r="B120" s="6" t="inlineStr">
        <is>
          <t>die</t>
        </is>
      </c>
      <c r="C120" s="6" t="inlineStr">
        <is>
          <t>ftr</t>
        </is>
      </c>
      <c r="D120" s="5">
        <f>INDEX(Mapping!$D$5:$D$20,MATCH($C120,Mapping!$A$5:$A$20,0))</f>
        <v/>
      </c>
      <c r="E120" s="5">
        <f>INDEX(Mapping!$C$29:$C$36,MATCH($B120,Mapping!$A$29:$A$36,0))</f>
        <v/>
      </c>
      <c r="F120" s="5">
        <f>INDEX(Mapping!$D$29:$D$36,MATCH($B120,Mapping!$A$29:$A$36,0))</f>
        <v/>
      </c>
      <c r="G120" s="5">
        <f>$B120&amp;"."&amp;IF(INDEX(Mapping!$E$29:$E$36,MATCH($B120,Mapping!$A$29:$A$36,0))="sub",INDEX(Mapping!$F$5:$F$20,MATCH($C120,Mapping!$A$5:$A$20,0)),"all")</f>
        <v/>
      </c>
      <c r="H120" s="5">
        <f>INDEX(Mapping!$E$5:$E$20,MATCH($C120,Mapping!$A$5:$A$20,0))</f>
        <v/>
      </c>
      <c r="I120" s="5">
        <f>INDEX(Mapping!$G$29:$G$36,MATCH($B120,Mapping!$A$29:$A$36,0))</f>
        <v/>
      </c>
      <c r="J120" s="5">
        <f>INDEX(Mapping!$H$29:$H$36,MATCH($B120,Mapping!$A$29:$A$36,0))</f>
        <v/>
      </c>
      <c r="K120" s="5">
        <f>INDEX(Mapping!$H$5:$H$20,MATCH($C120,Mapping!$A$5:$A$20,0))</f>
        <v/>
      </c>
      <c r="L120" s="5">
        <f>INDEX(Mapping!$E$42:$E$55,MATCH($G120,Mapping!$A$42:$A$55,0))</f>
        <v/>
      </c>
      <c r="M120" s="5">
        <f>INDEX(Mapping!$D$59:$D$62,MATCH(INDEX(Mapping!$G$5:$G$20,MATCH($C120,Mapping!$A$5:$A$20,0)),Mapping!$A$59:$A$62,0))</f>
        <v/>
      </c>
      <c r="N120" s="31">
        <f>INDEX(Elasticities!$F$4:$I$200,MATCH("inc|"&amp;$E120&amp;"|"&amp;$D120,Elasticities!$A$4:$A$200,0),MATCH(Settings!$C$6,Elasticities!$F$3:$I$3,0))</f>
        <v/>
      </c>
      <c r="O120" s="31">
        <f>INDEX(Elasticities!$F$4:$I$200,MATCH("usg|"&amp;$E120&amp;"|"&amp;$D120,Elasticities!$A$4:$A$200,0),MATCH(Settings!$C$6,Elasticities!$F$3:$I$3,0))</f>
        <v/>
      </c>
      <c r="P120" s="31">
        <f>INDEX(Elasticities!$F$4:$I$200,MATCH("eff|"&amp;$E120&amp;"|"&amp;$D120,Elasticities!$A$4:$A$200,0),MATCH(Settings!$C$6,Elasticities!$F$3:$I$3,0))</f>
        <v/>
      </c>
      <c r="Q120" s="25">
        <f>INDEX(Elasticities!$F$4:$I$200,MATCH("aei|"&amp;$F120&amp;"|"&amp;$D120,Elasticities!$A$4:$A$200,0),MATCH(Settings!$C$6,Elasticities!$F$3:$I$3,0))</f>
        <v/>
      </c>
      <c r="R120" s="47" t="n">
        <v>0</v>
      </c>
      <c r="S120" s="36">
        <f>INDEX(Prices_dom!$A$6:$CU$2000,MATCH(Settings!$C$4&amp;Settings!$C$7,Prices_dom!$A$6:$A$2000,0),MATCH("mit.sp."&amp;$G120,Prices_dom!$A$5:$CU$5,0))/$I120</f>
        <v/>
      </c>
      <c r="T120" s="36">
        <f>(INDEX(Prices_dom!$A$6:$CU$2000,MATCH(Settings!$C$4&amp;Settings!$C$7,Prices_dom!$A$6:$A$2000,0),MATCH("mit.rp."&amp;$G120,Prices_dom!$A$5:$CU$5,0))-INDEX(Prices_dom!$A$6:$CU$2000,MATCH(Settings!$C$4&amp;Settings!$C$7,Prices_dom!$A$6:$A$2000,0),MATCH("mit.sp."&amp;$G120,Prices_dom!$A$5:$CU$5,0)))/$I120</f>
        <v/>
      </c>
      <c r="U120" s="48">
        <f>INDEX(EF_GHG!$E$4:$E$1000,MATCH(Settings!$C$4&amp;"|"&amp;$B120&amp;"|"&amp;$H120,EF_GHG!$A$4:$A$1000,0))</f>
        <v/>
      </c>
      <c r="V120" s="41">
        <f>INDEX(EnergyCons!$F$4:$F$5000,MATCH(Settings!$C$4&amp;"|"&amp;Settings!$C$7&amp;"|"&amp;$C120&amp;"|"&amp;$B120,EnergyCons!$A$4:$A$5000,0))</f>
        <v/>
      </c>
    </row>
    <row r="121">
      <c r="A121" s="5">
        <f>$B121&amp;"|"&amp;$C121</f>
        <v/>
      </c>
      <c r="B121" s="6" t="inlineStr">
        <is>
          <t>lpg</t>
        </is>
      </c>
      <c r="C121" s="6" t="inlineStr">
        <is>
          <t>ftr</t>
        </is>
      </c>
      <c r="D121" s="5">
        <f>INDEX(Mapping!$D$5:$D$20,MATCH($C121,Mapping!$A$5:$A$20,0))</f>
        <v/>
      </c>
      <c r="E121" s="5">
        <f>INDEX(Mapping!$C$29:$C$36,MATCH($B121,Mapping!$A$29:$A$36,0))</f>
        <v/>
      </c>
      <c r="F121" s="5">
        <f>INDEX(Mapping!$D$29:$D$36,MATCH($B121,Mapping!$A$29:$A$36,0))</f>
        <v/>
      </c>
      <c r="G121" s="5">
        <f>$B121&amp;"."&amp;IF(INDEX(Mapping!$E$29:$E$36,MATCH($B121,Mapping!$A$29:$A$36,0))="sub",INDEX(Mapping!$F$5:$F$20,MATCH($C121,Mapping!$A$5:$A$20,0)),"all")</f>
        <v/>
      </c>
      <c r="H121" s="5">
        <f>INDEX(Mapping!$E$5:$E$20,MATCH($C121,Mapping!$A$5:$A$20,0))</f>
        <v/>
      </c>
      <c r="I121" s="5">
        <f>INDEX(Mapping!$G$29:$G$36,MATCH($B121,Mapping!$A$29:$A$36,0))</f>
        <v/>
      </c>
      <c r="J121" s="5">
        <f>INDEX(Mapping!$H$29:$H$36,MATCH($B121,Mapping!$A$29:$A$36,0))</f>
        <v/>
      </c>
      <c r="K121" s="5">
        <f>INDEX(Mapping!$H$5:$H$20,MATCH($C121,Mapping!$A$5:$A$20,0))</f>
        <v/>
      </c>
      <c r="L121" s="5">
        <f>INDEX(Mapping!$E$42:$E$55,MATCH($G121,Mapping!$A$42:$A$55,0))</f>
        <v/>
      </c>
      <c r="M121" s="5">
        <f>INDEX(Mapping!$D$59:$D$62,MATCH(INDEX(Mapping!$G$5:$G$20,MATCH($C121,Mapping!$A$5:$A$20,0)),Mapping!$A$59:$A$62,0))</f>
        <v/>
      </c>
      <c r="N121" s="31">
        <f>INDEX(Elasticities!$F$4:$I$200,MATCH("inc|"&amp;$E121&amp;"|"&amp;$D121,Elasticities!$A$4:$A$200,0),MATCH(Settings!$C$6,Elasticities!$F$3:$I$3,0))</f>
        <v/>
      </c>
      <c r="O121" s="31">
        <f>INDEX(Elasticities!$F$4:$I$200,MATCH("usg|"&amp;$E121&amp;"|"&amp;$D121,Elasticities!$A$4:$A$200,0),MATCH(Settings!$C$6,Elasticities!$F$3:$I$3,0))</f>
        <v/>
      </c>
      <c r="P121" s="31">
        <f>INDEX(Elasticities!$F$4:$I$200,MATCH("eff|"&amp;$E121&amp;"|"&amp;$D121,Elasticities!$A$4:$A$200,0),MATCH(Settings!$C$6,Elasticities!$F$3:$I$3,0))</f>
        <v/>
      </c>
      <c r="Q121" s="25">
        <f>INDEX(Elasticities!$F$4:$I$200,MATCH("aei|"&amp;$F121&amp;"|"&amp;$D121,Elasticities!$A$4:$A$200,0),MATCH(Settings!$C$6,Elasticities!$F$3:$I$3,0))</f>
        <v/>
      </c>
      <c r="R121" s="47" t="n">
        <v>0</v>
      </c>
      <c r="S121" s="36">
        <f>INDEX(Prices_dom!$A$6:$CU$2000,MATCH(Settings!$C$4&amp;Settings!$C$7,Prices_dom!$A$6:$A$2000,0),MATCH("mit.sp."&amp;$G121,Prices_dom!$A$5:$CU$5,0))/$I121</f>
        <v/>
      </c>
      <c r="T121" s="36">
        <f>(INDEX(Prices_dom!$A$6:$CU$2000,MATCH(Settings!$C$4&amp;Settings!$C$7,Prices_dom!$A$6:$A$2000,0),MATCH("mit.rp."&amp;$G121,Prices_dom!$A$5:$CU$5,0))-INDEX(Prices_dom!$A$6:$CU$2000,MATCH(Settings!$C$4&amp;Settings!$C$7,Prices_dom!$A$6:$A$2000,0),MATCH("mit.sp."&amp;$G121,Prices_dom!$A$5:$CU$5,0)))/$I121</f>
        <v/>
      </c>
      <c r="U121" s="48">
        <f>INDEX(EF_GHG!$E$4:$E$1000,MATCH(Settings!$C$4&amp;"|"&amp;$B121&amp;"|"&amp;$H121,EF_GHG!$A$4:$A$1000,0))</f>
        <v/>
      </c>
      <c r="V121" s="41">
        <f>INDEX(EnergyCons!$F$4:$F$5000,MATCH(Settings!$C$4&amp;"|"&amp;Settings!$C$7&amp;"|"&amp;$C121&amp;"|"&amp;$B121,EnergyCons!$A$4:$A$5000,0))</f>
        <v/>
      </c>
    </row>
    <row r="122">
      <c r="A122" s="5">
        <f>$B122&amp;"|"&amp;$C122</f>
        <v/>
      </c>
      <c r="B122" s="6" t="inlineStr">
        <is>
          <t>ker</t>
        </is>
      </c>
      <c r="C122" s="6" t="inlineStr">
        <is>
          <t>ftr</t>
        </is>
      </c>
      <c r="D122" s="5">
        <f>INDEX(Mapping!$D$5:$D$20,MATCH($C122,Mapping!$A$5:$A$20,0))</f>
        <v/>
      </c>
      <c r="E122" s="5">
        <f>INDEX(Mapping!$C$29:$C$36,MATCH($B122,Mapping!$A$29:$A$36,0))</f>
        <v/>
      </c>
      <c r="F122" s="5">
        <f>INDEX(Mapping!$D$29:$D$36,MATCH($B122,Mapping!$A$29:$A$36,0))</f>
        <v/>
      </c>
      <c r="G122" s="5">
        <f>$B122&amp;"."&amp;IF(INDEX(Mapping!$E$29:$E$36,MATCH($B122,Mapping!$A$29:$A$36,0))="sub",INDEX(Mapping!$F$5:$F$20,MATCH($C122,Mapping!$A$5:$A$20,0)),"all")</f>
        <v/>
      </c>
      <c r="H122" s="5">
        <f>INDEX(Mapping!$E$5:$E$20,MATCH($C122,Mapping!$A$5:$A$20,0))</f>
        <v/>
      </c>
      <c r="I122" s="5">
        <f>INDEX(Mapping!$G$29:$G$36,MATCH($B122,Mapping!$A$29:$A$36,0))</f>
        <v/>
      </c>
      <c r="J122" s="5">
        <f>INDEX(Mapping!$H$29:$H$36,MATCH($B122,Mapping!$A$29:$A$36,0))</f>
        <v/>
      </c>
      <c r="K122" s="5">
        <f>INDEX(Mapping!$H$5:$H$20,MATCH($C122,Mapping!$A$5:$A$20,0))</f>
        <v/>
      </c>
      <c r="L122" s="5">
        <f>INDEX(Mapping!$E$42:$E$55,MATCH($G122,Mapping!$A$42:$A$55,0))</f>
        <v/>
      </c>
      <c r="M122" s="5">
        <f>INDEX(Mapping!$D$59:$D$62,MATCH(INDEX(Mapping!$G$5:$G$20,MATCH($C122,Mapping!$A$5:$A$20,0)),Mapping!$A$59:$A$62,0))</f>
        <v/>
      </c>
      <c r="N122" s="31">
        <f>INDEX(Elasticities!$F$4:$I$200,MATCH("inc|"&amp;$E122&amp;"|"&amp;$D122,Elasticities!$A$4:$A$200,0),MATCH(Settings!$C$6,Elasticities!$F$3:$I$3,0))</f>
        <v/>
      </c>
      <c r="O122" s="31">
        <f>INDEX(Elasticities!$F$4:$I$200,MATCH("usg|"&amp;$E122&amp;"|"&amp;$D122,Elasticities!$A$4:$A$200,0),MATCH(Settings!$C$6,Elasticities!$F$3:$I$3,0))</f>
        <v/>
      </c>
      <c r="P122" s="31">
        <f>INDEX(Elasticities!$F$4:$I$200,MATCH("eff|"&amp;$E122&amp;"|"&amp;$D122,Elasticities!$A$4:$A$200,0),MATCH(Settings!$C$6,Elasticities!$F$3:$I$3,0))</f>
        <v/>
      </c>
      <c r="Q122" s="25">
        <f>INDEX(Elasticities!$F$4:$I$200,MATCH("aei|"&amp;$F122&amp;"|"&amp;$D122,Elasticities!$A$4:$A$200,0),MATCH(Settings!$C$6,Elasticities!$F$3:$I$3,0))</f>
        <v/>
      </c>
      <c r="R122" s="47" t="n">
        <v>0</v>
      </c>
      <c r="S122" s="36">
        <f>INDEX(Prices_dom!$A$6:$CU$2000,MATCH(Settings!$C$4&amp;Settings!$C$7,Prices_dom!$A$6:$A$2000,0),MATCH("mit.sp."&amp;$G122,Prices_dom!$A$5:$CU$5,0))/$I122</f>
        <v/>
      </c>
      <c r="T122" s="36">
        <f>(INDEX(Prices_dom!$A$6:$CU$2000,MATCH(Settings!$C$4&amp;Settings!$C$7,Prices_dom!$A$6:$A$2000,0),MATCH("mit.rp."&amp;$G122,Prices_dom!$A$5:$CU$5,0))-INDEX(Prices_dom!$A$6:$CU$2000,MATCH(Settings!$C$4&amp;Settings!$C$7,Prices_dom!$A$6:$A$2000,0),MATCH("mit.sp."&amp;$G122,Prices_dom!$A$5:$CU$5,0)))/$I122</f>
        <v/>
      </c>
      <c r="U122" s="48">
        <f>INDEX(EF_GHG!$E$4:$E$1000,MATCH(Settings!$C$4&amp;"|"&amp;$B122&amp;"|"&amp;$H122,EF_GHG!$A$4:$A$1000,0))</f>
        <v/>
      </c>
      <c r="V122" s="41">
        <f>INDEX(EnergyCons!$F$4:$F$5000,MATCH(Settings!$C$4&amp;"|"&amp;Settings!$C$7&amp;"|"&amp;$C122&amp;"|"&amp;$B122,EnergyCons!$A$4:$A$5000,0))</f>
        <v/>
      </c>
    </row>
    <row r="123">
      <c r="A123" s="5">
        <f>$B123&amp;"|"&amp;$C123</f>
        <v/>
      </c>
      <c r="B123" s="6" t="inlineStr">
        <is>
          <t>oop</t>
        </is>
      </c>
      <c r="C123" s="6" t="inlineStr">
        <is>
          <t>ftr</t>
        </is>
      </c>
      <c r="D123" s="5">
        <f>INDEX(Mapping!$D$5:$D$20,MATCH($C123,Mapping!$A$5:$A$20,0))</f>
        <v/>
      </c>
      <c r="E123" s="5">
        <f>INDEX(Mapping!$C$29:$C$36,MATCH($B123,Mapping!$A$29:$A$36,0))</f>
        <v/>
      </c>
      <c r="F123" s="5">
        <f>INDEX(Mapping!$D$29:$D$36,MATCH($B123,Mapping!$A$29:$A$36,0))</f>
        <v/>
      </c>
      <c r="G123" s="5">
        <f>$B123&amp;"."&amp;IF(INDEX(Mapping!$E$29:$E$36,MATCH($B123,Mapping!$A$29:$A$36,0))="sub",INDEX(Mapping!$F$5:$F$20,MATCH($C123,Mapping!$A$5:$A$20,0)),"all")</f>
        <v/>
      </c>
      <c r="H123" s="5">
        <f>INDEX(Mapping!$E$5:$E$20,MATCH($C123,Mapping!$A$5:$A$20,0))</f>
        <v/>
      </c>
      <c r="I123" s="5">
        <f>INDEX(Mapping!$G$29:$G$36,MATCH($B123,Mapping!$A$29:$A$36,0))</f>
        <v/>
      </c>
      <c r="J123" s="5">
        <f>INDEX(Mapping!$H$29:$H$36,MATCH($B123,Mapping!$A$29:$A$36,0))</f>
        <v/>
      </c>
      <c r="K123" s="5">
        <f>INDEX(Mapping!$H$5:$H$20,MATCH($C123,Mapping!$A$5:$A$20,0))</f>
        <v/>
      </c>
      <c r="L123" s="5">
        <f>INDEX(Mapping!$E$42:$E$55,MATCH($G123,Mapping!$A$42:$A$55,0))</f>
        <v/>
      </c>
      <c r="M123" s="5">
        <f>INDEX(Mapping!$D$59:$D$62,MATCH(INDEX(Mapping!$G$5:$G$20,MATCH($C123,Mapping!$A$5:$A$20,0)),Mapping!$A$59:$A$62,0))</f>
        <v/>
      </c>
      <c r="N123" s="31">
        <f>INDEX(Elasticities!$F$4:$I$200,MATCH("inc|"&amp;$E123&amp;"|"&amp;$D123,Elasticities!$A$4:$A$200,0),MATCH(Settings!$C$6,Elasticities!$F$3:$I$3,0))</f>
        <v/>
      </c>
      <c r="O123" s="31">
        <f>INDEX(Elasticities!$F$4:$I$200,MATCH("usg|"&amp;$E123&amp;"|"&amp;$D123,Elasticities!$A$4:$A$200,0),MATCH(Settings!$C$6,Elasticities!$F$3:$I$3,0))</f>
        <v/>
      </c>
      <c r="P123" s="31">
        <f>INDEX(Elasticities!$F$4:$I$200,MATCH("eff|"&amp;$E123&amp;"|"&amp;$D123,Elasticities!$A$4:$A$200,0),MATCH(Settings!$C$6,Elasticities!$F$3:$I$3,0))</f>
        <v/>
      </c>
      <c r="Q123" s="25">
        <f>INDEX(Elasticities!$F$4:$I$200,MATCH("aei|"&amp;$F123&amp;"|"&amp;$D123,Elasticities!$A$4:$A$200,0),MATCH(Settings!$C$6,Elasticities!$F$3:$I$3,0))</f>
        <v/>
      </c>
      <c r="R123" s="47" t="n">
        <v>0</v>
      </c>
      <c r="S123" s="36">
        <f>INDEX(Prices_dom!$A$6:$CU$2000,MATCH(Settings!$C$4&amp;Settings!$C$7,Prices_dom!$A$6:$A$2000,0),MATCH("mit.sp."&amp;$G123,Prices_dom!$A$5:$CU$5,0))/$I123</f>
        <v/>
      </c>
      <c r="T123" s="36">
        <f>(INDEX(Prices_dom!$A$6:$CU$2000,MATCH(Settings!$C$4&amp;Settings!$C$7,Prices_dom!$A$6:$A$2000,0),MATCH("mit.rp."&amp;$G123,Prices_dom!$A$5:$CU$5,0))-INDEX(Prices_dom!$A$6:$CU$2000,MATCH(Settings!$C$4&amp;Settings!$C$7,Prices_dom!$A$6:$A$2000,0),MATCH("mit.sp."&amp;$G123,Prices_dom!$A$5:$CU$5,0)))/$I123</f>
        <v/>
      </c>
      <c r="U123" s="48">
        <f>INDEX(EF_GHG!$E$4:$E$1000,MATCH(Settings!$C$4&amp;"|"&amp;$B123&amp;"|"&amp;$H123,EF_GHG!$A$4:$A$1000,0))</f>
        <v/>
      </c>
      <c r="V123" s="41">
        <f>INDEX(EnergyCons!$F$4:$F$5000,MATCH(Settings!$C$4&amp;"|"&amp;Settings!$C$7&amp;"|"&amp;$C123&amp;"|"&amp;$B123,EnergyCons!$A$4:$A$5000,0))</f>
        <v/>
      </c>
    </row>
    <row r="124">
      <c r="A124" s="5">
        <f>$B124&amp;"|"&amp;$C124</f>
        <v/>
      </c>
      <c r="B124" s="6" t="inlineStr">
        <is>
          <t>bio</t>
        </is>
      </c>
      <c r="C124" s="6" t="inlineStr">
        <is>
          <t>ftr</t>
        </is>
      </c>
      <c r="D124" s="5">
        <f>INDEX(Mapping!$D$5:$D$20,MATCH($C124,Mapping!$A$5:$A$20,0))</f>
        <v/>
      </c>
      <c r="E124" s="5">
        <f>INDEX(Mapping!$C$29:$C$36,MATCH($B124,Mapping!$A$29:$A$36,0))</f>
        <v/>
      </c>
      <c r="F124" s="5">
        <f>INDEX(Mapping!$D$29:$D$36,MATCH($B124,Mapping!$A$29:$A$36,0))</f>
        <v/>
      </c>
      <c r="G124" s="5">
        <f>$B124&amp;"."&amp;IF(INDEX(Mapping!$E$29:$E$36,MATCH($B124,Mapping!$A$29:$A$36,0))="sub",INDEX(Mapping!$F$5:$F$20,MATCH($C124,Mapping!$A$5:$A$20,0)),"all")</f>
        <v/>
      </c>
      <c r="H124" s="5">
        <f>INDEX(Mapping!$E$5:$E$20,MATCH($C124,Mapping!$A$5:$A$20,0))</f>
        <v/>
      </c>
      <c r="I124" s="5">
        <f>INDEX(Mapping!$G$29:$G$36,MATCH($B124,Mapping!$A$29:$A$36,0))</f>
        <v/>
      </c>
      <c r="J124" s="5">
        <f>INDEX(Mapping!$H$29:$H$36,MATCH($B124,Mapping!$A$29:$A$36,0))</f>
        <v/>
      </c>
      <c r="K124" s="5">
        <f>INDEX(Mapping!$H$5:$H$20,MATCH($C124,Mapping!$A$5:$A$20,0))</f>
        <v/>
      </c>
      <c r="L124" s="5">
        <f>INDEX(Mapping!$E$42:$E$55,MATCH($G124,Mapping!$A$42:$A$55,0))</f>
        <v/>
      </c>
      <c r="M124" s="5">
        <f>INDEX(Mapping!$D$59:$D$62,MATCH(INDEX(Mapping!$G$5:$G$20,MATCH($C124,Mapping!$A$5:$A$20,0)),Mapping!$A$59:$A$62,0))</f>
        <v/>
      </c>
      <c r="N124" s="31">
        <f>INDEX(Elasticities!$F$4:$I$200,MATCH("inc|"&amp;$E124&amp;"|"&amp;$D124,Elasticities!$A$4:$A$200,0),MATCH(Settings!$C$6,Elasticities!$F$3:$I$3,0))</f>
        <v/>
      </c>
      <c r="O124" s="31">
        <f>INDEX(Elasticities!$F$4:$I$200,MATCH("usg|"&amp;$E124&amp;"|"&amp;$D124,Elasticities!$A$4:$A$200,0),MATCH(Settings!$C$6,Elasticities!$F$3:$I$3,0))</f>
        <v/>
      </c>
      <c r="P124" s="31">
        <f>INDEX(Elasticities!$F$4:$I$200,MATCH("eff|"&amp;$E124&amp;"|"&amp;$D124,Elasticities!$A$4:$A$200,0),MATCH(Settings!$C$6,Elasticities!$F$3:$I$3,0))</f>
        <v/>
      </c>
      <c r="Q124" s="25">
        <f>INDEX(Elasticities!$F$4:$I$200,MATCH("aei|"&amp;$F124&amp;"|"&amp;$D124,Elasticities!$A$4:$A$200,0),MATCH(Settings!$C$6,Elasticities!$F$3:$I$3,0))</f>
        <v/>
      </c>
      <c r="R124" s="47" t="n">
        <v>0</v>
      </c>
      <c r="S124" s="36">
        <f>INDEX(Prices_dom!$A$6:$CU$2000,MATCH(Settings!$C$4&amp;Settings!$C$7,Prices_dom!$A$6:$A$2000,0),MATCH("mit.sp."&amp;$G124,Prices_dom!$A$5:$CU$5,0))/$I124</f>
        <v/>
      </c>
      <c r="T124" s="36">
        <f>(INDEX(Prices_dom!$A$6:$CU$2000,MATCH(Settings!$C$4&amp;Settings!$C$7,Prices_dom!$A$6:$A$2000,0),MATCH("mit.rp."&amp;$G124,Prices_dom!$A$5:$CU$5,0))-INDEX(Prices_dom!$A$6:$CU$2000,MATCH(Settings!$C$4&amp;Settings!$C$7,Prices_dom!$A$6:$A$2000,0),MATCH("mit.sp."&amp;$G124,Prices_dom!$A$5:$CU$5,0)))/$I124</f>
        <v/>
      </c>
      <c r="U124" s="48">
        <f>INDEX(EF_GHG!$E$4:$E$1000,MATCH(Settings!$C$4&amp;"|"&amp;$B124&amp;"|"&amp;$H124,EF_GHG!$A$4:$A$1000,0))</f>
        <v/>
      </c>
      <c r="V124" s="41">
        <f>INDEX(EnergyCons!$F$4:$F$5000,MATCH(Settings!$C$4&amp;"|"&amp;Settings!$C$7&amp;"|"&amp;$C124&amp;"|"&amp;$B124,EnergyCons!$A$4:$A$5000,0))</f>
        <v/>
      </c>
    </row>
    <row r="125">
      <c r="A125" s="5">
        <f>$B125&amp;"|"&amp;$C125</f>
        <v/>
      </c>
      <c r="B125" s="6" t="inlineStr">
        <is>
          <t>coa</t>
        </is>
      </c>
      <c r="C125" s="6" t="inlineStr">
        <is>
          <t>oen</t>
        </is>
      </c>
      <c r="D125" s="5">
        <f>INDEX(Mapping!$D$5:$D$20,MATCH($C125,Mapping!$A$5:$A$20,0))</f>
        <v/>
      </c>
      <c r="E125" s="5">
        <f>INDEX(Mapping!$C$29:$C$36,MATCH($B125,Mapping!$A$29:$A$36,0))</f>
        <v/>
      </c>
      <c r="F125" s="5">
        <f>INDEX(Mapping!$D$29:$D$36,MATCH($B125,Mapping!$A$29:$A$36,0))</f>
        <v/>
      </c>
      <c r="G125" s="5">
        <f>$B125&amp;"."&amp;IF(INDEX(Mapping!$E$29:$E$36,MATCH($B125,Mapping!$A$29:$A$36,0))="sub",INDEX(Mapping!$F$5:$F$20,MATCH($C125,Mapping!$A$5:$A$20,0)),"all")</f>
        <v/>
      </c>
      <c r="H125" s="5">
        <f>INDEX(Mapping!$E$5:$E$20,MATCH($C125,Mapping!$A$5:$A$20,0))</f>
        <v/>
      </c>
      <c r="I125" s="5">
        <f>INDEX(Mapping!$G$29:$G$36,MATCH($B125,Mapping!$A$29:$A$36,0))</f>
        <v/>
      </c>
      <c r="J125" s="5">
        <f>INDEX(Mapping!$H$29:$H$36,MATCH($B125,Mapping!$A$29:$A$36,0))</f>
        <v/>
      </c>
      <c r="K125" s="5">
        <f>INDEX(Mapping!$H$5:$H$20,MATCH($C125,Mapping!$A$5:$A$20,0))</f>
        <v/>
      </c>
      <c r="L125" s="5">
        <f>INDEX(Mapping!$E$42:$E$55,MATCH($G125,Mapping!$A$42:$A$55,0))</f>
        <v/>
      </c>
      <c r="M125" s="5">
        <f>INDEX(Mapping!$D$59:$D$62,MATCH(INDEX(Mapping!$G$5:$G$20,MATCH($C125,Mapping!$A$5:$A$20,0)),Mapping!$A$59:$A$62,0))</f>
        <v/>
      </c>
      <c r="N125" s="31">
        <f>INDEX(Elasticities!$F$4:$I$200,MATCH("inc|"&amp;$E125&amp;"|"&amp;$D125,Elasticities!$A$4:$A$200,0),MATCH(Settings!$C$6,Elasticities!$F$3:$I$3,0))</f>
        <v/>
      </c>
      <c r="O125" s="31">
        <f>INDEX(Elasticities!$F$4:$I$200,MATCH("usg|"&amp;$E125&amp;"|"&amp;$D125,Elasticities!$A$4:$A$200,0),MATCH(Settings!$C$6,Elasticities!$F$3:$I$3,0))</f>
        <v/>
      </c>
      <c r="P125" s="31">
        <f>INDEX(Elasticities!$F$4:$I$200,MATCH("eff|"&amp;$E125&amp;"|"&amp;$D125,Elasticities!$A$4:$A$200,0),MATCH(Settings!$C$6,Elasticities!$F$3:$I$3,0))</f>
        <v/>
      </c>
      <c r="Q125" s="25">
        <f>INDEX(Elasticities!$F$4:$I$200,MATCH("aei|"&amp;$F125&amp;"|"&amp;$D125,Elasticities!$A$4:$A$200,0),MATCH(Settings!$C$6,Elasticities!$F$3:$I$3,0))</f>
        <v/>
      </c>
      <c r="R125" s="47" t="n">
        <v>0</v>
      </c>
      <c r="S125" s="36">
        <f>INDEX(Prices_dom!$A$6:$CU$2000,MATCH(Settings!$C$4&amp;Settings!$C$7,Prices_dom!$A$6:$A$2000,0),MATCH("mit.sp."&amp;$G125,Prices_dom!$A$5:$CU$5,0))/$I125</f>
        <v/>
      </c>
      <c r="T125" s="36">
        <f>(INDEX(Prices_dom!$A$6:$CU$2000,MATCH(Settings!$C$4&amp;Settings!$C$7,Prices_dom!$A$6:$A$2000,0),MATCH("mit.rp."&amp;$G125,Prices_dom!$A$5:$CU$5,0))-INDEX(Prices_dom!$A$6:$CU$2000,MATCH(Settings!$C$4&amp;Settings!$C$7,Prices_dom!$A$6:$A$2000,0),MATCH("mit.sp."&amp;$G125,Prices_dom!$A$5:$CU$5,0)))/$I125</f>
        <v/>
      </c>
      <c r="U125" s="48">
        <f>INDEX(EF_GHG!$E$4:$E$1000,MATCH(Settings!$C$4&amp;"|"&amp;$B125&amp;"|"&amp;$H125,EF_GHG!$A$4:$A$1000,0))</f>
        <v/>
      </c>
      <c r="V125" s="41">
        <f>INDEX(EnergyCons!$F$4:$F$5000,MATCH(Settings!$C$4&amp;"|"&amp;Settings!$C$7&amp;"|"&amp;$C125&amp;"|"&amp;$B125,EnergyCons!$A$4:$A$5000,0))</f>
        <v/>
      </c>
    </row>
    <row r="126">
      <c r="A126" s="5">
        <f>$B126&amp;"|"&amp;$C126</f>
        <v/>
      </c>
      <c r="B126" s="6" t="inlineStr">
        <is>
          <t>nga</t>
        </is>
      </c>
      <c r="C126" s="6" t="inlineStr">
        <is>
          <t>oen</t>
        </is>
      </c>
      <c r="D126" s="5">
        <f>INDEX(Mapping!$D$5:$D$20,MATCH($C126,Mapping!$A$5:$A$20,0))</f>
        <v/>
      </c>
      <c r="E126" s="5">
        <f>INDEX(Mapping!$C$29:$C$36,MATCH($B126,Mapping!$A$29:$A$36,0))</f>
        <v/>
      </c>
      <c r="F126" s="5">
        <f>INDEX(Mapping!$D$29:$D$36,MATCH($B126,Mapping!$A$29:$A$36,0))</f>
        <v/>
      </c>
      <c r="G126" s="5">
        <f>$B126&amp;"."&amp;IF(INDEX(Mapping!$E$29:$E$36,MATCH($B126,Mapping!$A$29:$A$36,0))="sub",INDEX(Mapping!$F$5:$F$20,MATCH($C126,Mapping!$A$5:$A$20,0)),"all")</f>
        <v/>
      </c>
      <c r="H126" s="5">
        <f>INDEX(Mapping!$E$5:$E$20,MATCH($C126,Mapping!$A$5:$A$20,0))</f>
        <v/>
      </c>
      <c r="I126" s="5">
        <f>INDEX(Mapping!$G$29:$G$36,MATCH($B126,Mapping!$A$29:$A$36,0))</f>
        <v/>
      </c>
      <c r="J126" s="5">
        <f>INDEX(Mapping!$H$29:$H$36,MATCH($B126,Mapping!$A$29:$A$36,0))</f>
        <v/>
      </c>
      <c r="K126" s="5">
        <f>INDEX(Mapping!$H$5:$H$20,MATCH($C126,Mapping!$A$5:$A$20,0))</f>
        <v/>
      </c>
      <c r="L126" s="5">
        <f>INDEX(Mapping!$E$42:$E$55,MATCH($G126,Mapping!$A$42:$A$55,0))</f>
        <v/>
      </c>
      <c r="M126" s="5">
        <f>INDEX(Mapping!$D$59:$D$62,MATCH(INDEX(Mapping!$G$5:$G$20,MATCH($C126,Mapping!$A$5:$A$20,0)),Mapping!$A$59:$A$62,0))</f>
        <v/>
      </c>
      <c r="N126" s="31">
        <f>INDEX(Elasticities!$F$4:$I$200,MATCH("inc|"&amp;$E126&amp;"|"&amp;$D126,Elasticities!$A$4:$A$200,0),MATCH(Settings!$C$6,Elasticities!$F$3:$I$3,0))</f>
        <v/>
      </c>
      <c r="O126" s="31">
        <f>INDEX(Elasticities!$F$4:$I$200,MATCH("usg|"&amp;$E126&amp;"|"&amp;$D126,Elasticities!$A$4:$A$200,0),MATCH(Settings!$C$6,Elasticities!$F$3:$I$3,0))</f>
        <v/>
      </c>
      <c r="P126" s="31">
        <f>INDEX(Elasticities!$F$4:$I$200,MATCH("eff|"&amp;$E126&amp;"|"&amp;$D126,Elasticities!$A$4:$A$200,0),MATCH(Settings!$C$6,Elasticities!$F$3:$I$3,0))</f>
        <v/>
      </c>
      <c r="Q126" s="25">
        <f>INDEX(Elasticities!$F$4:$I$200,MATCH("aei|"&amp;$F126&amp;"|"&amp;$D126,Elasticities!$A$4:$A$200,0),MATCH(Settings!$C$6,Elasticities!$F$3:$I$3,0))</f>
        <v/>
      </c>
      <c r="R126" s="47" t="n">
        <v>0</v>
      </c>
      <c r="S126" s="36">
        <f>INDEX(Prices_dom!$A$6:$CU$2000,MATCH(Settings!$C$4&amp;Settings!$C$7,Prices_dom!$A$6:$A$2000,0),MATCH("mit.sp."&amp;$G126,Prices_dom!$A$5:$CU$5,0))/$I126</f>
        <v/>
      </c>
      <c r="T126" s="36">
        <f>(INDEX(Prices_dom!$A$6:$CU$2000,MATCH(Settings!$C$4&amp;Settings!$C$7,Prices_dom!$A$6:$A$2000,0),MATCH("mit.rp."&amp;$G126,Prices_dom!$A$5:$CU$5,0))-INDEX(Prices_dom!$A$6:$CU$2000,MATCH(Settings!$C$4&amp;Settings!$C$7,Prices_dom!$A$6:$A$2000,0),MATCH("mit.sp."&amp;$G126,Prices_dom!$A$5:$CU$5,0)))/$I126</f>
        <v/>
      </c>
      <c r="U126" s="48">
        <f>INDEX(EF_GHG!$E$4:$E$1000,MATCH(Settings!$C$4&amp;"|"&amp;$B126&amp;"|"&amp;$H126,EF_GHG!$A$4:$A$1000,0))</f>
        <v/>
      </c>
      <c r="V126" s="41">
        <f>INDEX(EnergyCons!$F$4:$F$5000,MATCH(Settings!$C$4&amp;"|"&amp;Settings!$C$7&amp;"|"&amp;$C126&amp;"|"&amp;$B126,EnergyCons!$A$4:$A$5000,0))</f>
        <v/>
      </c>
    </row>
    <row r="127">
      <c r="A127" s="5">
        <f>$B127&amp;"|"&amp;$C127</f>
        <v/>
      </c>
      <c r="B127" s="6" t="inlineStr">
        <is>
          <t>gso</t>
        </is>
      </c>
      <c r="C127" s="6" t="inlineStr">
        <is>
          <t>oen</t>
        </is>
      </c>
      <c r="D127" s="5">
        <f>INDEX(Mapping!$D$5:$D$20,MATCH($C127,Mapping!$A$5:$A$20,0))</f>
        <v/>
      </c>
      <c r="E127" s="5">
        <f>INDEX(Mapping!$C$29:$C$36,MATCH($B127,Mapping!$A$29:$A$36,0))</f>
        <v/>
      </c>
      <c r="F127" s="5">
        <f>INDEX(Mapping!$D$29:$D$36,MATCH($B127,Mapping!$A$29:$A$36,0))</f>
        <v/>
      </c>
      <c r="G127" s="5">
        <f>$B127&amp;"."&amp;IF(INDEX(Mapping!$E$29:$E$36,MATCH($B127,Mapping!$A$29:$A$36,0))="sub",INDEX(Mapping!$F$5:$F$20,MATCH($C127,Mapping!$A$5:$A$20,0)),"all")</f>
        <v/>
      </c>
      <c r="H127" s="5">
        <f>INDEX(Mapping!$E$5:$E$20,MATCH($C127,Mapping!$A$5:$A$20,0))</f>
        <v/>
      </c>
      <c r="I127" s="5">
        <f>INDEX(Mapping!$G$29:$G$36,MATCH($B127,Mapping!$A$29:$A$36,0))</f>
        <v/>
      </c>
      <c r="J127" s="5">
        <f>INDEX(Mapping!$H$29:$H$36,MATCH($B127,Mapping!$A$29:$A$36,0))</f>
        <v/>
      </c>
      <c r="K127" s="5">
        <f>INDEX(Mapping!$H$5:$H$20,MATCH($C127,Mapping!$A$5:$A$20,0))</f>
        <v/>
      </c>
      <c r="L127" s="5">
        <f>INDEX(Mapping!$E$42:$E$55,MATCH($G127,Mapping!$A$42:$A$55,0))</f>
        <v/>
      </c>
      <c r="M127" s="5">
        <f>INDEX(Mapping!$D$59:$D$62,MATCH(INDEX(Mapping!$G$5:$G$20,MATCH($C127,Mapping!$A$5:$A$20,0)),Mapping!$A$59:$A$62,0))</f>
        <v/>
      </c>
      <c r="N127" s="31">
        <f>INDEX(Elasticities!$F$4:$I$200,MATCH("inc|"&amp;$E127&amp;"|"&amp;$D127,Elasticities!$A$4:$A$200,0),MATCH(Settings!$C$6,Elasticities!$F$3:$I$3,0))</f>
        <v/>
      </c>
      <c r="O127" s="31">
        <f>INDEX(Elasticities!$F$4:$I$200,MATCH("usg|"&amp;$E127&amp;"|"&amp;$D127,Elasticities!$A$4:$A$200,0),MATCH(Settings!$C$6,Elasticities!$F$3:$I$3,0))</f>
        <v/>
      </c>
      <c r="P127" s="31">
        <f>INDEX(Elasticities!$F$4:$I$200,MATCH("eff|"&amp;$E127&amp;"|"&amp;$D127,Elasticities!$A$4:$A$200,0),MATCH(Settings!$C$6,Elasticities!$F$3:$I$3,0))</f>
        <v/>
      </c>
      <c r="Q127" s="25">
        <f>INDEX(Elasticities!$F$4:$I$200,MATCH("aei|"&amp;$F127&amp;"|"&amp;$D127,Elasticities!$A$4:$A$200,0),MATCH(Settings!$C$6,Elasticities!$F$3:$I$3,0))</f>
        <v/>
      </c>
      <c r="R127" s="47" t="n">
        <v>0</v>
      </c>
      <c r="S127" s="36">
        <f>INDEX(Prices_dom!$A$6:$CU$2000,MATCH(Settings!$C$4&amp;Settings!$C$7,Prices_dom!$A$6:$A$2000,0),MATCH("mit.sp."&amp;$G127,Prices_dom!$A$5:$CU$5,0))/$I127</f>
        <v/>
      </c>
      <c r="T127" s="36">
        <f>(INDEX(Prices_dom!$A$6:$CU$2000,MATCH(Settings!$C$4&amp;Settings!$C$7,Prices_dom!$A$6:$A$2000,0),MATCH("mit.rp."&amp;$G127,Prices_dom!$A$5:$CU$5,0))-INDEX(Prices_dom!$A$6:$CU$2000,MATCH(Settings!$C$4&amp;Settings!$C$7,Prices_dom!$A$6:$A$2000,0),MATCH("mit.sp."&amp;$G127,Prices_dom!$A$5:$CU$5,0)))/$I127</f>
        <v/>
      </c>
      <c r="U127" s="48">
        <f>INDEX(EF_GHG!$E$4:$E$1000,MATCH(Settings!$C$4&amp;"|"&amp;$B127&amp;"|"&amp;$H127,EF_GHG!$A$4:$A$1000,0))</f>
        <v/>
      </c>
      <c r="V127" s="41">
        <f>INDEX(EnergyCons!$F$4:$F$5000,MATCH(Settings!$C$4&amp;"|"&amp;Settings!$C$7&amp;"|"&amp;$C127&amp;"|"&amp;$B127,EnergyCons!$A$4:$A$5000,0))</f>
        <v/>
      </c>
    </row>
    <row r="128">
      <c r="A128" s="5">
        <f>$B128&amp;"|"&amp;$C128</f>
        <v/>
      </c>
      <c r="B128" s="6" t="inlineStr">
        <is>
          <t>die</t>
        </is>
      </c>
      <c r="C128" s="6" t="inlineStr">
        <is>
          <t>oen</t>
        </is>
      </c>
      <c r="D128" s="5">
        <f>INDEX(Mapping!$D$5:$D$20,MATCH($C128,Mapping!$A$5:$A$20,0))</f>
        <v/>
      </c>
      <c r="E128" s="5">
        <f>INDEX(Mapping!$C$29:$C$36,MATCH($B128,Mapping!$A$29:$A$36,0))</f>
        <v/>
      </c>
      <c r="F128" s="5">
        <f>INDEX(Mapping!$D$29:$D$36,MATCH($B128,Mapping!$A$29:$A$36,0))</f>
        <v/>
      </c>
      <c r="G128" s="5">
        <f>$B128&amp;"."&amp;IF(INDEX(Mapping!$E$29:$E$36,MATCH($B128,Mapping!$A$29:$A$36,0))="sub",INDEX(Mapping!$F$5:$F$20,MATCH($C128,Mapping!$A$5:$A$20,0)),"all")</f>
        <v/>
      </c>
      <c r="H128" s="5">
        <f>INDEX(Mapping!$E$5:$E$20,MATCH($C128,Mapping!$A$5:$A$20,0))</f>
        <v/>
      </c>
      <c r="I128" s="5">
        <f>INDEX(Mapping!$G$29:$G$36,MATCH($B128,Mapping!$A$29:$A$36,0))</f>
        <v/>
      </c>
      <c r="J128" s="5">
        <f>INDEX(Mapping!$H$29:$H$36,MATCH($B128,Mapping!$A$29:$A$36,0))</f>
        <v/>
      </c>
      <c r="K128" s="5">
        <f>INDEX(Mapping!$H$5:$H$20,MATCH($C128,Mapping!$A$5:$A$20,0))</f>
        <v/>
      </c>
      <c r="L128" s="5">
        <f>INDEX(Mapping!$E$42:$E$55,MATCH($G128,Mapping!$A$42:$A$55,0))</f>
        <v/>
      </c>
      <c r="M128" s="5">
        <f>INDEX(Mapping!$D$59:$D$62,MATCH(INDEX(Mapping!$G$5:$G$20,MATCH($C128,Mapping!$A$5:$A$20,0)),Mapping!$A$59:$A$62,0))</f>
        <v/>
      </c>
      <c r="N128" s="31">
        <f>INDEX(Elasticities!$F$4:$I$200,MATCH("inc|"&amp;$E128&amp;"|"&amp;$D128,Elasticities!$A$4:$A$200,0),MATCH(Settings!$C$6,Elasticities!$F$3:$I$3,0))</f>
        <v/>
      </c>
      <c r="O128" s="31">
        <f>INDEX(Elasticities!$F$4:$I$200,MATCH("usg|"&amp;$E128&amp;"|"&amp;$D128,Elasticities!$A$4:$A$200,0),MATCH(Settings!$C$6,Elasticities!$F$3:$I$3,0))</f>
        <v/>
      </c>
      <c r="P128" s="31">
        <f>INDEX(Elasticities!$F$4:$I$200,MATCH("eff|"&amp;$E128&amp;"|"&amp;$D128,Elasticities!$A$4:$A$200,0),MATCH(Settings!$C$6,Elasticities!$F$3:$I$3,0))</f>
        <v/>
      </c>
      <c r="Q128" s="25">
        <f>INDEX(Elasticities!$F$4:$I$200,MATCH("aei|"&amp;$F128&amp;"|"&amp;$D128,Elasticities!$A$4:$A$200,0),MATCH(Settings!$C$6,Elasticities!$F$3:$I$3,0))</f>
        <v/>
      </c>
      <c r="R128" s="47" t="n">
        <v>0</v>
      </c>
      <c r="S128" s="36">
        <f>INDEX(Prices_dom!$A$6:$CU$2000,MATCH(Settings!$C$4&amp;Settings!$C$7,Prices_dom!$A$6:$A$2000,0),MATCH("mit.sp."&amp;$G128,Prices_dom!$A$5:$CU$5,0))/$I128</f>
        <v/>
      </c>
      <c r="T128" s="36">
        <f>(INDEX(Prices_dom!$A$6:$CU$2000,MATCH(Settings!$C$4&amp;Settings!$C$7,Prices_dom!$A$6:$A$2000,0),MATCH("mit.rp."&amp;$G128,Prices_dom!$A$5:$CU$5,0))-INDEX(Prices_dom!$A$6:$CU$2000,MATCH(Settings!$C$4&amp;Settings!$C$7,Prices_dom!$A$6:$A$2000,0),MATCH("mit.sp."&amp;$G128,Prices_dom!$A$5:$CU$5,0)))/$I128</f>
        <v/>
      </c>
      <c r="U128" s="48">
        <f>INDEX(EF_GHG!$E$4:$E$1000,MATCH(Settings!$C$4&amp;"|"&amp;$B128&amp;"|"&amp;$H128,EF_GHG!$A$4:$A$1000,0))</f>
        <v/>
      </c>
      <c r="V128" s="41">
        <f>INDEX(EnergyCons!$F$4:$F$5000,MATCH(Settings!$C$4&amp;"|"&amp;Settings!$C$7&amp;"|"&amp;$C128&amp;"|"&amp;$B128,EnergyCons!$A$4:$A$5000,0))</f>
        <v/>
      </c>
    </row>
    <row r="129">
      <c r="A129" s="5">
        <f>$B129&amp;"|"&amp;$C129</f>
        <v/>
      </c>
      <c r="B129" s="6" t="inlineStr">
        <is>
          <t>lpg</t>
        </is>
      </c>
      <c r="C129" s="6" t="inlineStr">
        <is>
          <t>oen</t>
        </is>
      </c>
      <c r="D129" s="5">
        <f>INDEX(Mapping!$D$5:$D$20,MATCH($C129,Mapping!$A$5:$A$20,0))</f>
        <v/>
      </c>
      <c r="E129" s="5">
        <f>INDEX(Mapping!$C$29:$C$36,MATCH($B129,Mapping!$A$29:$A$36,0))</f>
        <v/>
      </c>
      <c r="F129" s="5">
        <f>INDEX(Mapping!$D$29:$D$36,MATCH($B129,Mapping!$A$29:$A$36,0))</f>
        <v/>
      </c>
      <c r="G129" s="5">
        <f>$B129&amp;"."&amp;IF(INDEX(Mapping!$E$29:$E$36,MATCH($B129,Mapping!$A$29:$A$36,0))="sub",INDEX(Mapping!$F$5:$F$20,MATCH($C129,Mapping!$A$5:$A$20,0)),"all")</f>
        <v/>
      </c>
      <c r="H129" s="5">
        <f>INDEX(Mapping!$E$5:$E$20,MATCH($C129,Mapping!$A$5:$A$20,0))</f>
        <v/>
      </c>
      <c r="I129" s="5">
        <f>INDEX(Mapping!$G$29:$G$36,MATCH($B129,Mapping!$A$29:$A$36,0))</f>
        <v/>
      </c>
      <c r="J129" s="5">
        <f>INDEX(Mapping!$H$29:$H$36,MATCH($B129,Mapping!$A$29:$A$36,0))</f>
        <v/>
      </c>
      <c r="K129" s="5">
        <f>INDEX(Mapping!$H$5:$H$20,MATCH($C129,Mapping!$A$5:$A$20,0))</f>
        <v/>
      </c>
      <c r="L129" s="5">
        <f>INDEX(Mapping!$E$42:$E$55,MATCH($G129,Mapping!$A$42:$A$55,0))</f>
        <v/>
      </c>
      <c r="M129" s="5">
        <f>INDEX(Mapping!$D$59:$D$62,MATCH(INDEX(Mapping!$G$5:$G$20,MATCH($C129,Mapping!$A$5:$A$20,0)),Mapping!$A$59:$A$62,0))</f>
        <v/>
      </c>
      <c r="N129" s="31">
        <f>INDEX(Elasticities!$F$4:$I$200,MATCH("inc|"&amp;$E129&amp;"|"&amp;$D129,Elasticities!$A$4:$A$200,0),MATCH(Settings!$C$6,Elasticities!$F$3:$I$3,0))</f>
        <v/>
      </c>
      <c r="O129" s="31">
        <f>INDEX(Elasticities!$F$4:$I$200,MATCH("usg|"&amp;$E129&amp;"|"&amp;$D129,Elasticities!$A$4:$A$200,0),MATCH(Settings!$C$6,Elasticities!$F$3:$I$3,0))</f>
        <v/>
      </c>
      <c r="P129" s="31">
        <f>INDEX(Elasticities!$F$4:$I$200,MATCH("eff|"&amp;$E129&amp;"|"&amp;$D129,Elasticities!$A$4:$A$200,0),MATCH(Settings!$C$6,Elasticities!$F$3:$I$3,0))</f>
        <v/>
      </c>
      <c r="Q129" s="25">
        <f>INDEX(Elasticities!$F$4:$I$200,MATCH("aei|"&amp;$F129&amp;"|"&amp;$D129,Elasticities!$A$4:$A$200,0),MATCH(Settings!$C$6,Elasticities!$F$3:$I$3,0))</f>
        <v/>
      </c>
      <c r="R129" s="47" t="n">
        <v>0</v>
      </c>
      <c r="S129" s="36">
        <f>INDEX(Prices_dom!$A$6:$CU$2000,MATCH(Settings!$C$4&amp;Settings!$C$7,Prices_dom!$A$6:$A$2000,0),MATCH("mit.sp."&amp;$G129,Prices_dom!$A$5:$CU$5,0))/$I129</f>
        <v/>
      </c>
      <c r="T129" s="36">
        <f>(INDEX(Prices_dom!$A$6:$CU$2000,MATCH(Settings!$C$4&amp;Settings!$C$7,Prices_dom!$A$6:$A$2000,0),MATCH("mit.rp."&amp;$G129,Prices_dom!$A$5:$CU$5,0))-INDEX(Prices_dom!$A$6:$CU$2000,MATCH(Settings!$C$4&amp;Settings!$C$7,Prices_dom!$A$6:$A$2000,0),MATCH("mit.sp."&amp;$G129,Prices_dom!$A$5:$CU$5,0)))/$I129</f>
        <v/>
      </c>
      <c r="U129" s="48">
        <f>INDEX(EF_GHG!$E$4:$E$1000,MATCH(Settings!$C$4&amp;"|"&amp;$B129&amp;"|"&amp;$H129,EF_GHG!$A$4:$A$1000,0))</f>
        <v/>
      </c>
      <c r="V129" s="41">
        <f>INDEX(EnergyCons!$F$4:$F$5000,MATCH(Settings!$C$4&amp;"|"&amp;Settings!$C$7&amp;"|"&amp;$C129&amp;"|"&amp;$B129,EnergyCons!$A$4:$A$5000,0))</f>
        <v/>
      </c>
    </row>
    <row r="130">
      <c r="A130" s="5">
        <f>$B130&amp;"|"&amp;$C130</f>
        <v/>
      </c>
      <c r="B130" s="6" t="inlineStr">
        <is>
          <t>ker</t>
        </is>
      </c>
      <c r="C130" s="6" t="inlineStr">
        <is>
          <t>oen</t>
        </is>
      </c>
      <c r="D130" s="5">
        <f>INDEX(Mapping!$D$5:$D$20,MATCH($C130,Mapping!$A$5:$A$20,0))</f>
        <v/>
      </c>
      <c r="E130" s="5">
        <f>INDEX(Mapping!$C$29:$C$36,MATCH($B130,Mapping!$A$29:$A$36,0))</f>
        <v/>
      </c>
      <c r="F130" s="5">
        <f>INDEX(Mapping!$D$29:$D$36,MATCH($B130,Mapping!$A$29:$A$36,0))</f>
        <v/>
      </c>
      <c r="G130" s="5">
        <f>$B130&amp;"."&amp;IF(INDEX(Mapping!$E$29:$E$36,MATCH($B130,Mapping!$A$29:$A$36,0))="sub",INDEX(Mapping!$F$5:$F$20,MATCH($C130,Mapping!$A$5:$A$20,0)),"all")</f>
        <v/>
      </c>
      <c r="H130" s="5">
        <f>INDEX(Mapping!$E$5:$E$20,MATCH($C130,Mapping!$A$5:$A$20,0))</f>
        <v/>
      </c>
      <c r="I130" s="5">
        <f>INDEX(Mapping!$G$29:$G$36,MATCH($B130,Mapping!$A$29:$A$36,0))</f>
        <v/>
      </c>
      <c r="J130" s="5">
        <f>INDEX(Mapping!$H$29:$H$36,MATCH($B130,Mapping!$A$29:$A$36,0))</f>
        <v/>
      </c>
      <c r="K130" s="5">
        <f>INDEX(Mapping!$H$5:$H$20,MATCH($C130,Mapping!$A$5:$A$20,0))</f>
        <v/>
      </c>
      <c r="L130" s="5">
        <f>INDEX(Mapping!$E$42:$E$55,MATCH($G130,Mapping!$A$42:$A$55,0))</f>
        <v/>
      </c>
      <c r="M130" s="5">
        <f>INDEX(Mapping!$D$59:$D$62,MATCH(INDEX(Mapping!$G$5:$G$20,MATCH($C130,Mapping!$A$5:$A$20,0)),Mapping!$A$59:$A$62,0))</f>
        <v/>
      </c>
      <c r="N130" s="31">
        <f>INDEX(Elasticities!$F$4:$I$200,MATCH("inc|"&amp;$E130&amp;"|"&amp;$D130,Elasticities!$A$4:$A$200,0),MATCH(Settings!$C$6,Elasticities!$F$3:$I$3,0))</f>
        <v/>
      </c>
      <c r="O130" s="31">
        <f>INDEX(Elasticities!$F$4:$I$200,MATCH("usg|"&amp;$E130&amp;"|"&amp;$D130,Elasticities!$A$4:$A$200,0),MATCH(Settings!$C$6,Elasticities!$F$3:$I$3,0))</f>
        <v/>
      </c>
      <c r="P130" s="31">
        <f>INDEX(Elasticities!$F$4:$I$200,MATCH("eff|"&amp;$E130&amp;"|"&amp;$D130,Elasticities!$A$4:$A$200,0),MATCH(Settings!$C$6,Elasticities!$F$3:$I$3,0))</f>
        <v/>
      </c>
      <c r="Q130" s="25">
        <f>INDEX(Elasticities!$F$4:$I$200,MATCH("aei|"&amp;$F130&amp;"|"&amp;$D130,Elasticities!$A$4:$A$200,0),MATCH(Settings!$C$6,Elasticities!$F$3:$I$3,0))</f>
        <v/>
      </c>
      <c r="R130" s="47" t="n">
        <v>0</v>
      </c>
      <c r="S130" s="36">
        <f>INDEX(Prices_dom!$A$6:$CU$2000,MATCH(Settings!$C$4&amp;Settings!$C$7,Prices_dom!$A$6:$A$2000,0),MATCH("mit.sp."&amp;$G130,Prices_dom!$A$5:$CU$5,0))/$I130</f>
        <v/>
      </c>
      <c r="T130" s="36">
        <f>(INDEX(Prices_dom!$A$6:$CU$2000,MATCH(Settings!$C$4&amp;Settings!$C$7,Prices_dom!$A$6:$A$2000,0),MATCH("mit.rp."&amp;$G130,Prices_dom!$A$5:$CU$5,0))-INDEX(Prices_dom!$A$6:$CU$2000,MATCH(Settings!$C$4&amp;Settings!$C$7,Prices_dom!$A$6:$A$2000,0),MATCH("mit.sp."&amp;$G130,Prices_dom!$A$5:$CU$5,0)))/$I130</f>
        <v/>
      </c>
      <c r="U130" s="48">
        <f>INDEX(EF_GHG!$E$4:$E$1000,MATCH(Settings!$C$4&amp;"|"&amp;$B130&amp;"|"&amp;$H130,EF_GHG!$A$4:$A$1000,0))</f>
        <v/>
      </c>
      <c r="V130" s="41">
        <f>INDEX(EnergyCons!$F$4:$F$5000,MATCH(Settings!$C$4&amp;"|"&amp;Settings!$C$7&amp;"|"&amp;$C130&amp;"|"&amp;$B130,EnergyCons!$A$4:$A$5000,0))</f>
        <v/>
      </c>
    </row>
    <row r="131">
      <c r="A131" s="5">
        <f>$B131&amp;"|"&amp;$C131</f>
        <v/>
      </c>
      <c r="B131" s="6" t="inlineStr">
        <is>
          <t>oop</t>
        </is>
      </c>
      <c r="C131" s="6" t="inlineStr">
        <is>
          <t>oen</t>
        </is>
      </c>
      <c r="D131" s="5">
        <f>INDEX(Mapping!$D$5:$D$20,MATCH($C131,Mapping!$A$5:$A$20,0))</f>
        <v/>
      </c>
      <c r="E131" s="5">
        <f>INDEX(Mapping!$C$29:$C$36,MATCH($B131,Mapping!$A$29:$A$36,0))</f>
        <v/>
      </c>
      <c r="F131" s="5">
        <f>INDEX(Mapping!$D$29:$D$36,MATCH($B131,Mapping!$A$29:$A$36,0))</f>
        <v/>
      </c>
      <c r="G131" s="5">
        <f>$B131&amp;"."&amp;IF(INDEX(Mapping!$E$29:$E$36,MATCH($B131,Mapping!$A$29:$A$36,0))="sub",INDEX(Mapping!$F$5:$F$20,MATCH($C131,Mapping!$A$5:$A$20,0)),"all")</f>
        <v/>
      </c>
      <c r="H131" s="5">
        <f>INDEX(Mapping!$E$5:$E$20,MATCH($C131,Mapping!$A$5:$A$20,0))</f>
        <v/>
      </c>
      <c r="I131" s="5">
        <f>INDEX(Mapping!$G$29:$G$36,MATCH($B131,Mapping!$A$29:$A$36,0))</f>
        <v/>
      </c>
      <c r="J131" s="5">
        <f>INDEX(Mapping!$H$29:$H$36,MATCH($B131,Mapping!$A$29:$A$36,0))</f>
        <v/>
      </c>
      <c r="K131" s="5">
        <f>INDEX(Mapping!$H$5:$H$20,MATCH($C131,Mapping!$A$5:$A$20,0))</f>
        <v/>
      </c>
      <c r="L131" s="5">
        <f>INDEX(Mapping!$E$42:$E$55,MATCH($G131,Mapping!$A$42:$A$55,0))</f>
        <v/>
      </c>
      <c r="M131" s="5">
        <f>INDEX(Mapping!$D$59:$D$62,MATCH(INDEX(Mapping!$G$5:$G$20,MATCH($C131,Mapping!$A$5:$A$20,0)),Mapping!$A$59:$A$62,0))</f>
        <v/>
      </c>
      <c r="N131" s="31">
        <f>INDEX(Elasticities!$F$4:$I$200,MATCH("inc|"&amp;$E131&amp;"|"&amp;$D131,Elasticities!$A$4:$A$200,0),MATCH(Settings!$C$6,Elasticities!$F$3:$I$3,0))</f>
        <v/>
      </c>
      <c r="O131" s="31">
        <f>INDEX(Elasticities!$F$4:$I$200,MATCH("usg|"&amp;$E131&amp;"|"&amp;$D131,Elasticities!$A$4:$A$200,0),MATCH(Settings!$C$6,Elasticities!$F$3:$I$3,0))</f>
        <v/>
      </c>
      <c r="P131" s="31">
        <f>INDEX(Elasticities!$F$4:$I$200,MATCH("eff|"&amp;$E131&amp;"|"&amp;$D131,Elasticities!$A$4:$A$200,0),MATCH(Settings!$C$6,Elasticities!$F$3:$I$3,0))</f>
        <v/>
      </c>
      <c r="Q131" s="25">
        <f>INDEX(Elasticities!$F$4:$I$200,MATCH("aei|"&amp;$F131&amp;"|"&amp;$D131,Elasticities!$A$4:$A$200,0),MATCH(Settings!$C$6,Elasticities!$F$3:$I$3,0))</f>
        <v/>
      </c>
      <c r="R131" s="47" t="n">
        <v>0</v>
      </c>
      <c r="S131" s="36">
        <f>INDEX(Prices_dom!$A$6:$CU$2000,MATCH(Settings!$C$4&amp;Settings!$C$7,Prices_dom!$A$6:$A$2000,0),MATCH("mit.sp."&amp;$G131,Prices_dom!$A$5:$CU$5,0))/$I131</f>
        <v/>
      </c>
      <c r="T131" s="36">
        <f>(INDEX(Prices_dom!$A$6:$CU$2000,MATCH(Settings!$C$4&amp;Settings!$C$7,Prices_dom!$A$6:$A$2000,0),MATCH("mit.rp."&amp;$G131,Prices_dom!$A$5:$CU$5,0))-INDEX(Prices_dom!$A$6:$CU$2000,MATCH(Settings!$C$4&amp;Settings!$C$7,Prices_dom!$A$6:$A$2000,0),MATCH("mit.sp."&amp;$G131,Prices_dom!$A$5:$CU$5,0)))/$I131</f>
        <v/>
      </c>
      <c r="U131" s="48">
        <f>INDEX(EF_GHG!$E$4:$E$1000,MATCH(Settings!$C$4&amp;"|"&amp;$B131&amp;"|"&amp;$H131,EF_GHG!$A$4:$A$1000,0))</f>
        <v/>
      </c>
      <c r="V131" s="41">
        <f>INDEX(EnergyCons!$F$4:$F$5000,MATCH(Settings!$C$4&amp;"|"&amp;Settings!$C$7&amp;"|"&amp;$C131&amp;"|"&amp;$B131,EnergyCons!$A$4:$A$5000,0))</f>
        <v/>
      </c>
    </row>
    <row r="132">
      <c r="A132" s="5">
        <f>$B132&amp;"|"&amp;$C132</f>
        <v/>
      </c>
      <c r="B132" s="6" t="inlineStr">
        <is>
          <t>bio</t>
        </is>
      </c>
      <c r="C132" s="6" t="inlineStr">
        <is>
          <t>oen</t>
        </is>
      </c>
      <c r="D132" s="5">
        <f>INDEX(Mapping!$D$5:$D$20,MATCH($C132,Mapping!$A$5:$A$20,0))</f>
        <v/>
      </c>
      <c r="E132" s="5">
        <f>INDEX(Mapping!$C$29:$C$36,MATCH($B132,Mapping!$A$29:$A$36,0))</f>
        <v/>
      </c>
      <c r="F132" s="5">
        <f>INDEX(Mapping!$D$29:$D$36,MATCH($B132,Mapping!$A$29:$A$36,0))</f>
        <v/>
      </c>
      <c r="G132" s="5">
        <f>$B132&amp;"."&amp;IF(INDEX(Mapping!$E$29:$E$36,MATCH($B132,Mapping!$A$29:$A$36,0))="sub",INDEX(Mapping!$F$5:$F$20,MATCH($C132,Mapping!$A$5:$A$20,0)),"all")</f>
        <v/>
      </c>
      <c r="H132" s="5">
        <f>INDEX(Mapping!$E$5:$E$20,MATCH($C132,Mapping!$A$5:$A$20,0))</f>
        <v/>
      </c>
      <c r="I132" s="5">
        <f>INDEX(Mapping!$G$29:$G$36,MATCH($B132,Mapping!$A$29:$A$36,0))</f>
        <v/>
      </c>
      <c r="J132" s="5">
        <f>INDEX(Mapping!$H$29:$H$36,MATCH($B132,Mapping!$A$29:$A$36,0))</f>
        <v/>
      </c>
      <c r="K132" s="5">
        <f>INDEX(Mapping!$H$5:$H$20,MATCH($C132,Mapping!$A$5:$A$20,0))</f>
        <v/>
      </c>
      <c r="L132" s="5">
        <f>INDEX(Mapping!$E$42:$E$55,MATCH($G132,Mapping!$A$42:$A$55,0))</f>
        <v/>
      </c>
      <c r="M132" s="5">
        <f>INDEX(Mapping!$D$59:$D$62,MATCH(INDEX(Mapping!$G$5:$G$20,MATCH($C132,Mapping!$A$5:$A$20,0)),Mapping!$A$59:$A$62,0))</f>
        <v/>
      </c>
      <c r="N132" s="31">
        <f>INDEX(Elasticities!$F$4:$I$200,MATCH("inc|"&amp;$E132&amp;"|"&amp;$D132,Elasticities!$A$4:$A$200,0),MATCH(Settings!$C$6,Elasticities!$F$3:$I$3,0))</f>
        <v/>
      </c>
      <c r="O132" s="31">
        <f>INDEX(Elasticities!$F$4:$I$200,MATCH("usg|"&amp;$E132&amp;"|"&amp;$D132,Elasticities!$A$4:$A$200,0),MATCH(Settings!$C$6,Elasticities!$F$3:$I$3,0))</f>
        <v/>
      </c>
      <c r="P132" s="31">
        <f>INDEX(Elasticities!$F$4:$I$200,MATCH("eff|"&amp;$E132&amp;"|"&amp;$D132,Elasticities!$A$4:$A$200,0),MATCH(Settings!$C$6,Elasticities!$F$3:$I$3,0))</f>
        <v/>
      </c>
      <c r="Q132" s="25">
        <f>INDEX(Elasticities!$F$4:$I$200,MATCH("aei|"&amp;$F132&amp;"|"&amp;$D132,Elasticities!$A$4:$A$200,0),MATCH(Settings!$C$6,Elasticities!$F$3:$I$3,0))</f>
        <v/>
      </c>
      <c r="R132" s="47" t="n">
        <v>0</v>
      </c>
      <c r="S132" s="36">
        <f>INDEX(Prices_dom!$A$6:$CU$2000,MATCH(Settings!$C$4&amp;Settings!$C$7,Prices_dom!$A$6:$A$2000,0),MATCH("mit.sp."&amp;$G132,Prices_dom!$A$5:$CU$5,0))/$I132</f>
        <v/>
      </c>
      <c r="T132" s="36">
        <f>(INDEX(Prices_dom!$A$6:$CU$2000,MATCH(Settings!$C$4&amp;Settings!$C$7,Prices_dom!$A$6:$A$2000,0),MATCH("mit.rp."&amp;$G132,Prices_dom!$A$5:$CU$5,0))-INDEX(Prices_dom!$A$6:$CU$2000,MATCH(Settings!$C$4&amp;Settings!$C$7,Prices_dom!$A$6:$A$2000,0),MATCH("mit.sp."&amp;$G132,Prices_dom!$A$5:$CU$5,0)))/$I132</f>
        <v/>
      </c>
      <c r="U132" s="48">
        <f>INDEX(EF_GHG!$E$4:$E$1000,MATCH(Settings!$C$4&amp;"|"&amp;$B132&amp;"|"&amp;$H132,EF_GHG!$A$4:$A$1000,0))</f>
        <v/>
      </c>
      <c r="V132" s="41">
        <f>INDEX(EnergyCons!$F$4:$F$5000,MATCH(Settings!$C$4&amp;"|"&amp;Settings!$C$7&amp;"|"&amp;$C132&amp;"|"&amp;$B132,EnergyCons!$A$4:$A$5000,0))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9" customWidth="1" min="3" max="3"/>
    <col width="9" customWidth="1" min="4" max="4"/>
    <col width="34" customWidth="1" min="5" max="5"/>
    <col width="60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A2" s="1" t="inlineStr">
        <is>
          <t>Variables: label, unit, code suffix, source and parameter columns by variable code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5" t="inlineStr">
        <is>
          <t>Mitigation looks up Description, Unit and Source here and builds the output code country.mit.&lt;variable&gt;.&lt;subsector&gt;.&lt;fuel&gt;.&lt;suffix&gt;.&lt;scenario&gt;. Param 1-4 = Mitigation D:G.</t>
        </is>
      </c>
    </row>
    <row r="4">
      <c r="A4" s="8" t="inlineStr">
        <is>
          <t>Variable code</t>
        </is>
      </c>
      <c r="B4" s="8" t="inlineStr">
        <is>
          <t>Label</t>
        </is>
      </c>
      <c r="C4" s="8" t="inlineStr">
        <is>
          <t>Unit</t>
        </is>
      </c>
      <c r="D4" s="8" t="inlineStr">
        <is>
          <t>Code suffix</t>
        </is>
      </c>
      <c r="E4" s="8" t="inlineStr">
        <is>
          <t>Source</t>
        </is>
      </c>
      <c r="F4" s="8" t="inlineStr">
        <is>
          <t>Legacy reference</t>
        </is>
      </c>
      <c r="G4" s="8" t="inlineStr">
        <is>
          <t>Param 1 (D)</t>
        </is>
      </c>
      <c r="H4" s="8" t="inlineStr">
        <is>
          <t>Param 2 (E)</t>
        </is>
      </c>
      <c r="I4" s="8" t="inlineStr">
        <is>
          <t>Param 3 (F)</t>
        </is>
      </c>
      <c r="J4" s="8" t="inlineStr">
        <is>
          <t>Param 4 (G)</t>
        </is>
      </c>
    </row>
    <row r="5">
      <c r="A5" s="6" t="inlineStr">
        <is>
          <t>gdp.pos.pct</t>
        </is>
      </c>
      <c r="B5" s="6" t="inlineStr">
        <is>
          <t>Real GDP growth</t>
        </is>
      </c>
      <c r="C5" s="6" t="inlineStr">
        <is>
          <t>%</t>
        </is>
      </c>
      <c r="D5" s="6" t="inlineStr"/>
      <c r="E5" s="6" t="inlineStr">
        <is>
          <t>WEO (lookup by country)</t>
        </is>
      </c>
      <c r="F5" s="5" t="inlineStr">
        <is>
          <t>legacy Mitigation row 2446</t>
        </is>
      </c>
    </row>
    <row r="6">
      <c r="A6" s="6" t="inlineStr">
        <is>
          <t>CPIntro</t>
        </is>
      </c>
      <c r="B6" s="5">
        <f>INDEX(MTInputs!$B$8:$B$415,MATCH($A6,MTInputs!$H$8:$H$415,0))&amp;""</f>
        <v/>
      </c>
      <c r="C6" s="5">
        <f>INDEX(MTInputs!$C$8:$C$415,MATCH($A6,MTInputs!$H$8:$H$415,0))&amp;""</f>
        <v/>
      </c>
      <c r="D6" s="6" t="inlineStr"/>
      <c r="E6" s="6" t="inlineStr">
        <is>
          <t>MTInputs (scenario column)</t>
        </is>
      </c>
      <c r="F6" s="5" t="inlineStr">
        <is>
          <t>MTInputs row 18</t>
        </is>
      </c>
    </row>
    <row r="7">
      <c r="A7" s="6" t="inlineStr">
        <is>
          <t>CPLevelStart</t>
        </is>
      </c>
      <c r="B7" s="5">
        <f>INDEX(MTInputs!$B$8:$B$415,MATCH($A7,MTInputs!$H$8:$H$415,0))&amp;""</f>
        <v/>
      </c>
      <c r="C7" s="5">
        <f>INDEX(MTInputs!$C$8:$C$415,MATCH($A7,MTInputs!$H$8:$H$415,0))&amp;""</f>
        <v/>
      </c>
      <c r="D7" s="6" t="inlineStr"/>
      <c r="E7" s="6" t="inlineStr">
        <is>
          <t>MTInputs (scenario column)</t>
        </is>
      </c>
      <c r="F7" s="5" t="inlineStr">
        <is>
          <t>MTInputs row 19</t>
        </is>
      </c>
    </row>
    <row r="8">
      <c r="A8" s="6" t="inlineStr">
        <is>
          <t>CPLevelTarget</t>
        </is>
      </c>
      <c r="B8" s="5">
        <f>INDEX(MTInputs!$B$8:$B$415,MATCH($A8,MTInputs!$H$8:$H$415,0))&amp;""</f>
        <v/>
      </c>
      <c r="C8" s="5">
        <f>INDEX(MTInputs!$C$8:$C$415,MATCH($A8,MTInputs!$H$8:$H$415,0))&amp;""</f>
        <v/>
      </c>
      <c r="D8" s="6" t="inlineStr"/>
      <c r="E8" s="6" t="inlineStr">
        <is>
          <t>MTInputs (scenario column)</t>
        </is>
      </c>
      <c r="F8" s="5" t="inlineStr">
        <is>
          <t>MTInputs row 20</t>
        </is>
      </c>
    </row>
    <row r="9">
      <c r="A9" s="6" t="inlineStr">
        <is>
          <t>CPOutro</t>
        </is>
      </c>
      <c r="B9" s="5">
        <f>INDEX(MTInputs!$B$8:$B$415,MATCH($A9,MTInputs!$H$8:$H$415,0))&amp;""</f>
        <v/>
      </c>
      <c r="C9" s="5">
        <f>INDEX(MTInputs!$C$8:$C$415,MATCH($A9,MTInputs!$H$8:$H$415,0))&amp;""</f>
        <v/>
      </c>
      <c r="D9" s="6" t="inlineStr"/>
      <c r="E9" s="6" t="inlineStr">
        <is>
          <t>MTInputs (scenario column)</t>
        </is>
      </c>
      <c r="F9" s="5" t="inlineStr">
        <is>
          <t>MTInputs row 21</t>
        </is>
      </c>
    </row>
    <row r="10">
      <c r="A10" s="6" t="inlineStr">
        <is>
          <t>ExtendCarbonPriceBeyondOutro</t>
        </is>
      </c>
      <c r="B10" s="5">
        <f>INDEX(MTInputs!$B$8:$B$415,MATCH($A10,MTInputs!$H$8:$H$415,0))&amp;""</f>
        <v/>
      </c>
      <c r="C10" s="5">
        <f>INDEX(MTInputs!$C$8:$C$415,MATCH($A10,MTInputs!$H$8:$H$415,0))&amp;""</f>
        <v/>
      </c>
      <c r="D10" s="6" t="inlineStr"/>
      <c r="E10" s="6" t="inlineStr">
        <is>
          <t>MTInputs (scenario column)</t>
        </is>
      </c>
      <c r="F10" s="5" t="inlineStr">
        <is>
          <t>MTInputs row 265</t>
        </is>
      </c>
    </row>
    <row r="11">
      <c r="A11" s="6" t="inlineStr">
        <is>
          <t>cptraj</t>
        </is>
      </c>
      <c r="B11" s="6" t="inlineStr">
        <is>
          <t>Carbon price trajectory used</t>
        </is>
      </c>
      <c r="C11" s="6" t="inlineStr">
        <is>
          <t>$/tCO2 real</t>
        </is>
      </c>
      <c r="D11" s="6" t="inlineStr"/>
      <c r="E11" s="6" t="inlineStr">
        <is>
          <t>Calculation (legacy rows 2248, 2251)</t>
        </is>
      </c>
      <c r="F11" s="5" t="inlineStr">
        <is>
          <t>legacy Mitigation row 2251: egy.mit.cptraj.1</t>
        </is>
      </c>
    </row>
    <row r="12">
      <c r="A12" s="6" t="inlineStr">
        <is>
          <t>ctcov</t>
        </is>
      </c>
      <c r="B12" s="6" t="inlineStr">
        <is>
          <t>Carbon tax coverage (Apply tax?)</t>
        </is>
      </c>
      <c r="C12" s="6" t="inlineStr">
        <is>
          <t>switch</t>
        </is>
      </c>
      <c r="D12" s="6" t="inlineStr"/>
      <c r="E12" s="6" t="inlineStr">
        <is>
          <t>MTInputs (scenario column)</t>
        </is>
      </c>
      <c r="F12" s="5" t="inlineStr">
        <is>
          <t>MTInputs MCov* rows 23-47; biomass has no switch (EF 0)</t>
        </is>
      </c>
    </row>
    <row r="13">
      <c r="A13" s="6" t="inlineStr">
        <is>
          <t>fpr.yr0</t>
        </is>
      </c>
      <c r="B13" s="6" t="inlineStr">
        <is>
          <t>Fuel price reform: starting year</t>
        </is>
      </c>
      <c r="C13" s="6" t="inlineStr">
        <is>
          <t>year</t>
        </is>
      </c>
      <c r="D13" s="6" t="inlineStr"/>
      <c r="E13" s="6" t="inlineStr">
        <is>
          <t>MTInputs (scenario column)</t>
        </is>
      </c>
      <c r="F13" s="5" t="inlineStr">
        <is>
          <t>MTInputs row 140</t>
        </is>
      </c>
    </row>
    <row r="14">
      <c r="A14" s="6" t="inlineStr">
        <is>
          <t>fpr.yr1</t>
        </is>
      </c>
      <c r="B14" s="6" t="inlineStr">
        <is>
          <t>Fuel price reform: target year</t>
        </is>
      </c>
      <c r="C14" s="6" t="inlineStr">
        <is>
          <t>year</t>
        </is>
      </c>
      <c r="D14" s="6" t="inlineStr"/>
      <c r="E14" s="6" t="inlineStr">
        <is>
          <t>MTInputs (scenario column)</t>
        </is>
      </c>
      <c r="F14" s="5" t="inlineStr">
        <is>
          <t>MTInputs row 141</t>
        </is>
      </c>
    </row>
    <row r="15">
      <c r="A15" s="6" t="inlineStr">
        <is>
          <t>fpr.s</t>
        </is>
      </c>
      <c r="B15" s="6" t="inlineStr">
        <is>
          <t>Fuel price reform: starting price increase</t>
        </is>
      </c>
      <c r="C15" s="6" t="inlineStr">
        <is>
          <t>price unit</t>
        </is>
      </c>
      <c r="D15" s="6" t="inlineStr"/>
      <c r="E15" s="6" t="inlineStr">
        <is>
          <t>MTInputs (scenario column)</t>
        </is>
      </c>
      <c r="F15" s="5" t="inlineStr">
        <is>
          <t>MTInputs rows 142-155</t>
        </is>
      </c>
    </row>
    <row r="16">
      <c r="A16" s="6" t="inlineStr">
        <is>
          <t>fpr.f</t>
        </is>
      </c>
      <c r="B16" s="6" t="inlineStr">
        <is>
          <t>Fuel price reform: final price increase</t>
        </is>
      </c>
      <c r="C16" s="6" t="inlineStr">
        <is>
          <t>price unit</t>
        </is>
      </c>
      <c r="D16" s="6" t="inlineStr"/>
      <c r="E16" s="6" t="inlineStr">
        <is>
          <t>MTInputs (scenario column)</t>
        </is>
      </c>
      <c r="F16" s="5" t="inlineStr">
        <is>
          <t>MTInputs rows 156-169</t>
        </is>
      </c>
    </row>
    <row r="17">
      <c r="A17" s="6" t="inlineStr">
        <is>
          <t>fpr</t>
        </is>
      </c>
      <c r="B17" s="6" t="inlineStr">
        <is>
          <t>Fuel price reform: price increase path</t>
        </is>
      </c>
      <c r="C17" s="6" t="inlineStr">
        <is>
          <t>price unit</t>
        </is>
      </c>
      <c r="D17" s="6" t="inlineStr"/>
      <c r="E17" s="6" t="inlineStr">
        <is>
          <t>Calculation (assumed linear)</t>
        </is>
      </c>
      <c r="F17" s="5" t="inlineStr">
        <is>
          <t>new</t>
        </is>
      </c>
    </row>
    <row r="18">
      <c r="A18" s="6" t="inlineStr">
        <is>
          <t>fb.yr0</t>
        </is>
      </c>
      <c r="B18" s="6" t="inlineStr">
        <is>
          <t>Feebates: start date</t>
        </is>
      </c>
      <c r="C18" s="6" t="inlineStr">
        <is>
          <t>year</t>
        </is>
      </c>
      <c r="D18" s="6" t="inlineStr"/>
      <c r="E18" s="6" t="inlineStr">
        <is>
          <t>MTInputs (scenario column)</t>
        </is>
      </c>
      <c r="F18" s="5" t="inlineStr">
        <is>
          <t>MTInputs row 53</t>
        </is>
      </c>
    </row>
    <row r="19">
      <c r="A19" s="6" t="inlineStr">
        <is>
          <t>fb.yr1</t>
        </is>
      </c>
      <c r="B19" s="6" t="inlineStr">
        <is>
          <t>Feebates: target date</t>
        </is>
      </c>
      <c r="C19" s="6" t="inlineStr">
        <is>
          <t>year</t>
        </is>
      </c>
      <c r="D19" s="6" t="inlineStr"/>
      <c r="E19" s="6" t="inlineStr">
        <is>
          <t>MTInputs (scenario column)</t>
        </is>
      </c>
      <c r="F19" s="5" t="inlineStr">
        <is>
          <t>MTInputs row 54</t>
        </is>
      </c>
    </row>
    <row r="20">
      <c r="A20" s="6" t="inlineStr">
        <is>
          <t>fb.s</t>
        </is>
      </c>
      <c r="B20" s="6" t="inlineStr">
        <is>
          <t>Feebates: starting rate</t>
        </is>
      </c>
      <c r="C20" s="6" t="inlineStr">
        <is>
          <t>USD/tCO2</t>
        </is>
      </c>
      <c r="D20" s="6" t="inlineStr"/>
      <c r="E20" s="6" t="inlineStr">
        <is>
          <t>MTInputs (scenario column)</t>
        </is>
      </c>
      <c r="F20" s="5" t="inlineStr">
        <is>
          <t>MTInputs rows 56-59</t>
        </is>
      </c>
    </row>
    <row r="21">
      <c r="A21" s="6" t="inlineStr">
        <is>
          <t>fb.t</t>
        </is>
      </c>
      <c r="B21" s="6" t="inlineStr">
        <is>
          <t>Feebates: target rate</t>
        </is>
      </c>
      <c r="C21" s="6" t="inlineStr">
        <is>
          <t>USD/tCO2</t>
        </is>
      </c>
      <c r="D21" s="6" t="inlineStr"/>
      <c r="E21" s="6" t="inlineStr">
        <is>
          <t>MTInputs (scenario column)</t>
        </is>
      </c>
      <c r="F21" s="5" t="inlineStr">
        <is>
          <t>MTInputs rows 61-64</t>
        </is>
      </c>
    </row>
    <row r="22">
      <c r="A22" s="6" t="inlineStr">
        <is>
          <t>fb</t>
        </is>
      </c>
      <c r="B22" s="6" t="inlineStr">
        <is>
          <t>Feebates: rate path</t>
        </is>
      </c>
      <c r="C22" s="6" t="inlineStr">
        <is>
          <t>USD/tCO2</t>
        </is>
      </c>
      <c r="D22" s="6" t="inlineStr"/>
      <c r="E22" s="6" t="inlineStr">
        <is>
          <t>Calculation (assumed linear)</t>
        </is>
      </c>
      <c r="F22" s="5" t="inlineStr">
        <is>
          <t>legacy rows 2000-2004</t>
        </is>
      </c>
    </row>
    <row r="23">
      <c r="A23" s="6" t="inlineStr">
        <is>
          <t>fbcov</t>
        </is>
      </c>
      <c r="B23" s="6" t="inlineStr">
        <is>
          <t>Feebates sector coverage (Apply?)</t>
        </is>
      </c>
      <c r="C23" s="6" t="inlineStr">
        <is>
          <t>switch</t>
        </is>
      </c>
      <c r="D23" s="6" t="inlineStr"/>
      <c r="E23" s="6" t="inlineStr">
        <is>
          <t>MTInputs (scenario column)</t>
        </is>
      </c>
      <c r="F23" s="5" t="inlineStr">
        <is>
          <t>MTInputs rows 66-82</t>
        </is>
      </c>
    </row>
    <row r="24">
      <c r="A24" s="6" t="inlineStr">
        <is>
          <t>ssc.adj</t>
        </is>
      </c>
      <c r="B24" s="6" t="inlineStr">
        <is>
          <t>Efficiency-margin adjustment, feebates</t>
        </is>
      </c>
      <c r="C24" s="6" t="inlineStr">
        <is>
          <t>share</t>
        </is>
      </c>
      <c r="D24" s="6" t="inlineStr"/>
      <c r="E24" s="6" t="inlineStr">
        <is>
          <t>cpat_coded default (feebates 1.0)</t>
        </is>
      </c>
      <c r="F24" s="5" t="inlineStr">
        <is>
          <t>MTInputs rows 247-250 hold the adjustments for regulations (not yet used)</t>
        </is>
      </c>
    </row>
    <row r="25">
      <c r="A25" s="6" t="inlineStr">
        <is>
          <t>shps</t>
        </is>
      </c>
      <c r="B25" s="6" t="inlineStr">
        <is>
          <t>Shadow price by sector (feebates; later + non-auctioned ETS, regulations)</t>
        </is>
      </c>
      <c r="C25" s="6" t="inlineStr">
        <is>
          <t>USD/tCO2</t>
        </is>
      </c>
      <c r="D25" s="6" t="inlineStr"/>
      <c r="E25" s="6" t="inlineStr">
        <is>
          <t>Calculation</t>
        </is>
      </c>
      <c r="F25" s="5" t="inlineStr">
        <is>
          <t>legacy Mitigation rows 2345-2349</t>
        </is>
      </c>
    </row>
    <row r="26">
      <c r="A26" s="6" t="inlineStr">
        <is>
          <t>ssc</t>
        </is>
      </c>
      <c r="B26" s="6" t="inlineStr">
        <is>
          <t>Share of shadow price impacting efficiency</t>
        </is>
      </c>
      <c r="C26" s="6" t="inlineStr">
        <is>
          <t>share</t>
        </is>
      </c>
      <c r="D26" s="6" t="inlineStr"/>
      <c r="E26" s="6" t="inlineStr">
        <is>
          <t>Feebate coverage x adjustment</t>
        </is>
      </c>
      <c r="F26" s="5" t="inlineStr">
        <is>
          <t>legacy Mitigation rows 2403-2419: egy.mit.ssc.rod.1</t>
        </is>
      </c>
    </row>
    <row r="27">
      <c r="A27" s="6" t="inlineStr">
        <is>
          <t>sp</t>
        </is>
      </c>
      <c r="B27" s="6" t="inlineStr">
        <is>
          <t>Pre-tax price (supply cost)</t>
        </is>
      </c>
      <c r="C27" s="6" t="inlineStr">
        <is>
          <t>$/GJ</t>
        </is>
      </c>
      <c r="D27" s="6" t="inlineStr">
        <is>
          <t>a</t>
        </is>
      </c>
      <c r="E27" s="6" t="inlineStr">
        <is>
          <t>Inputs (base year), then growth</t>
        </is>
      </c>
      <c r="F27" s="5" t="inlineStr">
        <is>
          <t>legacy Mitigation row 2498: egy.mit.sp.ind.coa.a.1</t>
        </is>
      </c>
      <c r="G27" s="5" t="inlineStr">
        <is>
          <t>growth</t>
        </is>
      </c>
    </row>
    <row r="28">
      <c r="A28" s="6" t="inlineStr">
        <is>
          <t>ctxnew</t>
        </is>
      </c>
      <c r="B28" s="6" t="inlineStr">
        <is>
          <t>New carbon tax</t>
        </is>
      </c>
      <c r="C28" s="6" t="inlineStr">
        <is>
          <t>$/GJ</t>
        </is>
      </c>
      <c r="D28" s="6" t="inlineStr">
        <is>
          <t>a</t>
        </is>
      </c>
      <c r="E28" s="6" t="inlineStr">
        <is>
          <t>Carbon price x EF x fuel and sector coverage</t>
        </is>
      </c>
      <c r="F28" s="5" t="inlineStr">
        <is>
          <t>legacy Mitigation row 2510: egy.mit.ctxnew.ind.coa.a.1</t>
        </is>
      </c>
      <c r="G28" s="5" t="inlineStr">
        <is>
          <t>EF</t>
        </is>
      </c>
      <c r="H28" s="5" t="inlineStr">
        <is>
          <t>fuel position</t>
        </is>
      </c>
      <c r="I28" s="5" t="inlineStr">
        <is>
          <t>sector position</t>
        </is>
      </c>
    </row>
    <row r="29">
      <c r="A29" s="6" t="inlineStr">
        <is>
          <t>ntx</t>
        </is>
      </c>
      <c r="B29" s="6" t="inlineStr">
        <is>
          <t>New excise tax (fuel price reform)</t>
        </is>
      </c>
      <c r="C29" s="6" t="inlineStr">
        <is>
          <t>$/GJ</t>
        </is>
      </c>
      <c r="D29" s="6" t="inlineStr">
        <is>
          <t>a</t>
        </is>
      </c>
      <c r="E29" s="6" t="inlineStr">
        <is>
          <t>Fuel price reform path / GJ per unit</t>
        </is>
      </c>
      <c r="F29" s="5" t="inlineStr">
        <is>
          <t>legacy Mitigation row 2512: egy.mit.ntx.ind.coa.a.1</t>
        </is>
      </c>
      <c r="G29" s="5" t="inlineStr">
        <is>
          <t>price-fuel position</t>
        </is>
      </c>
      <c r="H29" s="5" t="inlineStr">
        <is>
          <t>GJ per unit</t>
        </is>
      </c>
    </row>
    <row r="30">
      <c r="A30" s="6" t="inlineStr">
        <is>
          <t>nce</t>
        </is>
      </c>
      <c r="B30" s="6" t="inlineStr">
        <is>
          <t>Total new policy</t>
        </is>
      </c>
      <c r="C30" s="6" t="inlineStr">
        <is>
          <t>$/GJ</t>
        </is>
      </c>
      <c r="D30" s="6" t="inlineStr">
        <is>
          <t>a</t>
        </is>
      </c>
      <c r="E30" s="6" t="inlineStr">
        <is>
          <t>New carbon tax + new excise tax</t>
        </is>
      </c>
      <c r="F30" s="5" t="inlineStr">
        <is>
          <t>legacy Mitigation row 2514: egy.mit.nce.ind.coa.a.1</t>
        </is>
      </c>
    </row>
    <row r="31">
      <c r="A31" s="6" t="inlineStr">
        <is>
          <t>tax</t>
        </is>
      </c>
      <c r="B31" s="6" t="inlineStr">
        <is>
          <t>Tax (base tax + total new policy)</t>
        </is>
      </c>
      <c r="C31" s="6" t="inlineStr">
        <is>
          <t>$/GJ</t>
        </is>
      </c>
      <c r="D31" s="6" t="inlineStr">
        <is>
          <t>a</t>
        </is>
      </c>
      <c r="E31" s="6" t="inlineStr">
        <is>
          <t>Inputs (base tax); total new policy</t>
        </is>
      </c>
      <c r="F31" s="5" t="inlineStr">
        <is>
          <t>new: legacy splits taxes into txo, vat, ctx, ets, nce</t>
        </is>
      </c>
      <c r="G31" s="5" t="inlineStr">
        <is>
          <t>base tax</t>
        </is>
      </c>
    </row>
    <row r="32">
      <c r="A32" s="6" t="inlineStr">
        <is>
          <t>atp</t>
        </is>
      </c>
      <c r="B32" s="6" t="inlineStr">
        <is>
          <t>After-tax price</t>
        </is>
      </c>
      <c r="C32" s="6" t="inlineStr">
        <is>
          <t>$/GJ</t>
        </is>
      </c>
      <c r="D32" s="6" t="inlineStr">
        <is>
          <t>e</t>
        </is>
      </c>
      <c r="E32" s="6" t="inlineStr">
        <is>
          <t>Pre-tax price + tax</t>
        </is>
      </c>
      <c r="F32" s="5" t="inlineStr">
        <is>
          <t>legacy Mitigation row 5416: egy.mit.atp.rod.gso.e.1 (legacy unit $/liter for liquids)</t>
        </is>
      </c>
    </row>
    <row r="33">
      <c r="A33" s="6" t="inlineStr">
        <is>
          <t>shp</t>
        </is>
      </c>
      <c r="B33" s="6" t="inlineStr">
        <is>
          <t>Shadow price on the efficiency margin</t>
        </is>
      </c>
      <c r="C33" s="6" t="inlineStr">
        <is>
          <t>$/GJ</t>
        </is>
      </c>
      <c r="D33" s="6" t="inlineStr"/>
      <c r="E33" s="6" t="inlineStr">
        <is>
          <t>Sector shadow price x EF x share</t>
        </is>
      </c>
      <c r="F33" s="5" t="inlineStr">
        <is>
          <t>legacy Mitigation row 2377: egy.mit.shp.coa.pow.1</t>
        </is>
      </c>
      <c r="G33" s="5" t="inlineStr">
        <is>
          <t>feebate sector position</t>
        </is>
      </c>
      <c r="H33" s="5" t="inlineStr">
        <is>
          <t>EF</t>
        </is>
      </c>
      <c r="I33" s="5" t="inlineStr">
        <is>
          <t>sector position</t>
        </is>
      </c>
    </row>
    <row r="34">
      <c r="A34" s="6" t="inlineStr">
        <is>
          <t>ener</t>
        </is>
      </c>
      <c r="B34" s="6" t="inlineStr">
        <is>
          <t>Fuel use</t>
        </is>
      </c>
      <c r="C34" s="6" t="inlineStr">
        <is>
          <t>ktoe</t>
        </is>
      </c>
      <c r="D34" s="6" t="inlineStr">
        <is>
          <t>e</t>
        </is>
      </c>
      <c r="E34" s="6" t="inlineStr">
        <is>
          <t>Inputs (base year), CPAT eq. 3.3.3</t>
        </is>
      </c>
      <c r="F34" s="5" t="inlineStr">
        <is>
          <t>legacy Mitigation row 5430: egy.mit.ener.rod.gso.e.1</t>
        </is>
      </c>
      <c r="G34" s="5" t="inlineStr">
        <is>
          <t>eps_Y</t>
        </is>
      </c>
      <c r="H34" s="5" t="inlineStr">
        <is>
          <t>eps_U</t>
        </is>
      </c>
      <c r="I34" s="5" t="inlineStr">
        <is>
          <t>eps_F</t>
        </is>
      </c>
      <c r="J34" s="5" t="inlineStr">
        <is>
          <t>alpha</t>
        </is>
      </c>
    </row>
    <row r="35">
      <c r="A35" s="6" t="inlineStr">
        <is>
          <t>ener.chk</t>
        </is>
      </c>
      <c r="B35" s="6" t="inlineStr">
        <is>
          <t>Check: totals by subsector and by fuel minus total fuel use (should be 0)</t>
        </is>
      </c>
      <c r="C35" s="6" t="inlineStr">
        <is>
          <t>ktoe</t>
        </is>
      </c>
      <c r="D35" s="6" t="inlineStr"/>
      <c r="E35" s="6" t="inlineStr">
        <is>
          <t>Check</t>
        </is>
      </c>
      <c r="F35" s="5" t="inlineStr">
        <is>
          <t>new</t>
        </is>
      </c>
    </row>
    <row r="36">
      <c r="A36" s="6" t="inlineStr">
        <is>
          <t>ener.ref</t>
        </is>
      </c>
      <c r="B36" s="6" t="inlineStr">
        <is>
          <t>Fuel use, scenario 1 (same year)</t>
        </is>
      </c>
      <c r="C36" s="6" t="inlineStr">
        <is>
          <t>ktoe</t>
        </is>
      </c>
      <c r="D36" s="6" t="inlineStr">
        <is>
          <t>e</t>
        </is>
      </c>
      <c r="E36" s="6" t="inlineStr">
        <is>
          <t>Lookup</t>
        </is>
      </c>
      <c r="F36" s="5" t="inlineStr">
        <is>
          <t>new</t>
        </is>
      </c>
    </row>
    <row r="37">
      <c r="A37" s="6" t="inlineStr">
        <is>
          <t>ener.pct</t>
        </is>
      </c>
      <c r="B37" s="6" t="inlineStr">
        <is>
          <t>Change in fuel use vs scenario 1</t>
        </is>
      </c>
      <c r="C37" s="6" t="inlineStr">
        <is>
          <t>%</t>
        </is>
      </c>
      <c r="D37" s="6" t="inlineStr">
        <is>
          <t>e</t>
        </is>
      </c>
      <c r="E37" s="6" t="inlineStr">
        <is>
          <t>Calculation</t>
        </is>
      </c>
      <c r="F37" s="5" t="inlineStr">
        <is>
          <t>new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H69"/>
  <sheetViews>
    <sheetView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A2" s="1" t="inlineStr">
        <is>
          <t>Mapping: subsectors, fuels and policy keys to CPAT parameter groups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7" t="inlineStr">
        <is>
          <t>Subsectors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Group</t>
        </is>
      </c>
      <c r="D4" s="8" t="inlineStr">
        <is>
          <t>Elasticity sector</t>
        </is>
      </c>
      <c r="E4" s="8" t="inlineStr">
        <is>
          <t>EF sector</t>
        </is>
      </c>
      <c r="F4" s="8" t="inlineStr">
        <is>
          <t>Coal/gas price sector</t>
        </is>
      </c>
      <c r="G4" s="8" t="inlineStr">
        <is>
          <t>Feebate sector</t>
        </is>
      </c>
      <c r="H4" s="8" t="inlineStr">
        <is>
          <t>Coverage position</t>
        </is>
      </c>
    </row>
    <row r="5">
      <c r="A5" s="5" t="inlineStr">
        <is>
          <t>rod</t>
        </is>
      </c>
      <c r="B5" s="5" t="inlineStr">
        <is>
          <t>Road</t>
        </is>
      </c>
      <c r="C5" s="6" t="inlineStr">
        <is>
          <t>tra</t>
        </is>
      </c>
      <c r="D5" s="6" t="inlineStr">
        <is>
          <t>tra</t>
        </is>
      </c>
      <c r="E5" s="6" t="inlineStr">
        <is>
          <t>rod</t>
        </is>
      </c>
      <c r="F5" s="6" t="inlineStr">
        <is>
          <t>res</t>
        </is>
      </c>
      <c r="G5" s="6" t="inlineStr">
        <is>
          <t>tra</t>
        </is>
      </c>
      <c r="H5" s="6" t="n">
        <v>2</v>
      </c>
    </row>
    <row r="6">
      <c r="A6" s="5" t="inlineStr">
        <is>
          <t>ral</t>
        </is>
      </c>
      <c r="B6" s="5" t="inlineStr">
        <is>
          <t>Rail</t>
        </is>
      </c>
      <c r="C6" s="6" t="inlineStr">
        <is>
          <t>tra</t>
        </is>
      </c>
      <c r="D6" s="6" t="inlineStr">
        <is>
          <t>tra</t>
        </is>
      </c>
      <c r="E6" s="6" t="inlineStr">
        <is>
          <t>rod</t>
        </is>
      </c>
      <c r="F6" s="6" t="inlineStr">
        <is>
          <t>ind</t>
        </is>
      </c>
      <c r="G6" s="6" t="inlineStr">
        <is>
          <t>tra</t>
        </is>
      </c>
      <c r="H6" s="6" t="n">
        <v>3</v>
      </c>
    </row>
    <row r="7">
      <c r="A7" s="5" t="inlineStr">
        <is>
          <t>avi</t>
        </is>
      </c>
      <c r="B7" s="5" t="inlineStr">
        <is>
          <t>Domestic aviation</t>
        </is>
      </c>
      <c r="C7" s="6" t="inlineStr">
        <is>
          <t>tra</t>
        </is>
      </c>
      <c r="D7" s="6" t="inlineStr">
        <is>
          <t>tra</t>
        </is>
      </c>
      <c r="E7" s="6" t="inlineStr">
        <is>
          <t>rod</t>
        </is>
      </c>
      <c r="F7" s="6" t="inlineStr">
        <is>
          <t>ind</t>
        </is>
      </c>
      <c r="G7" s="6" t="inlineStr">
        <is>
          <t>tra</t>
        </is>
      </c>
      <c r="H7" s="6" t="n">
        <v>4</v>
      </c>
    </row>
    <row r="8">
      <c r="A8" s="5" t="inlineStr">
        <is>
          <t>nav</t>
        </is>
      </c>
      <c r="B8" s="5" t="inlineStr">
        <is>
          <t>Domestic navigation</t>
        </is>
      </c>
      <c r="C8" s="6" t="inlineStr">
        <is>
          <t>tra</t>
        </is>
      </c>
      <c r="D8" s="6" t="inlineStr">
        <is>
          <t>tra</t>
        </is>
      </c>
      <c r="E8" s="6" t="inlineStr">
        <is>
          <t>rod</t>
        </is>
      </c>
      <c r="F8" s="6" t="inlineStr">
        <is>
          <t>ind</t>
        </is>
      </c>
      <c r="G8" s="6" t="inlineStr">
        <is>
          <t>tra</t>
        </is>
      </c>
      <c r="H8" s="6" t="n">
        <v>5</v>
      </c>
    </row>
    <row r="9">
      <c r="A9" s="5" t="inlineStr">
        <is>
          <t>res</t>
        </is>
      </c>
      <c r="B9" s="5" t="inlineStr">
        <is>
          <t>Residential</t>
        </is>
      </c>
      <c r="C9" s="6" t="inlineStr">
        <is>
          <t>bld</t>
        </is>
      </c>
      <c r="D9" s="6" t="inlineStr">
        <is>
          <t>res</t>
        </is>
      </c>
      <c r="E9" s="6" t="inlineStr">
        <is>
          <t>res</t>
        </is>
      </c>
      <c r="F9" s="6" t="inlineStr">
        <is>
          <t>res</t>
        </is>
      </c>
      <c r="G9" s="6" t="inlineStr">
        <is>
          <t>res</t>
        </is>
      </c>
      <c r="H9" s="6" t="n">
        <v>6</v>
      </c>
    </row>
    <row r="10">
      <c r="A10" s="5" t="inlineStr">
        <is>
          <t>foo</t>
        </is>
      </c>
      <c r="B10" s="5" t="inlineStr">
        <is>
          <t>Food &amp; forestry</t>
        </is>
      </c>
      <c r="C10" s="6" t="inlineStr">
        <is>
          <t>bld</t>
        </is>
      </c>
      <c r="D10" s="6" t="inlineStr">
        <is>
          <t>ind</t>
        </is>
      </c>
      <c r="E10" s="6" t="inlineStr">
        <is>
          <t>res</t>
        </is>
      </c>
      <c r="F10" s="6" t="inlineStr">
        <is>
          <t>ind</t>
        </is>
      </c>
      <c r="G10" s="6" t="inlineStr">
        <is>
          <t>res</t>
        </is>
      </c>
      <c r="H10" s="6" t="n">
        <v>7</v>
      </c>
    </row>
    <row r="11">
      <c r="A11" s="5" t="inlineStr">
        <is>
          <t>srv</t>
        </is>
      </c>
      <c r="B11" s="5" t="inlineStr">
        <is>
          <t>Services (public &amp; private)</t>
        </is>
      </c>
      <c r="C11" s="6" t="inlineStr">
        <is>
          <t>bld</t>
        </is>
      </c>
      <c r="D11" s="6" t="inlineStr">
        <is>
          <t>srv</t>
        </is>
      </c>
      <c r="E11" s="6" t="inlineStr">
        <is>
          <t>res</t>
        </is>
      </c>
      <c r="F11" s="6" t="inlineStr">
        <is>
          <t>ind</t>
        </is>
      </c>
      <c r="G11" s="6" t="inlineStr">
        <is>
          <t>res</t>
        </is>
      </c>
      <c r="H11" s="6" t="n">
        <v>8</v>
      </c>
    </row>
    <row r="12">
      <c r="A12" s="5" t="inlineStr">
        <is>
          <t>mch</t>
        </is>
      </c>
      <c r="B12" s="5" t="inlineStr">
        <is>
          <t>Mining &amp; chemicals</t>
        </is>
      </c>
      <c r="C12" s="6" t="inlineStr">
        <is>
          <t>ind</t>
        </is>
      </c>
      <c r="D12" s="6" t="inlineStr">
        <is>
          <t>ind</t>
        </is>
      </c>
      <c r="E12" s="6" t="inlineStr">
        <is>
          <t>ind</t>
        </is>
      </c>
      <c r="F12" s="6" t="inlineStr">
        <is>
          <t>ind</t>
        </is>
      </c>
      <c r="G12" s="6" t="inlineStr">
        <is>
          <t>ind</t>
        </is>
      </c>
      <c r="H12" s="6" t="n">
        <v>9</v>
      </c>
    </row>
    <row r="13">
      <c r="A13" s="5" t="inlineStr">
        <is>
          <t>irn</t>
        </is>
      </c>
      <c r="B13" s="5" t="inlineStr">
        <is>
          <t>Iron &amp; steel</t>
        </is>
      </c>
      <c r="C13" s="6" t="inlineStr">
        <is>
          <t>ind</t>
        </is>
      </c>
      <c r="D13" s="6" t="inlineStr">
        <is>
          <t>ind</t>
        </is>
      </c>
      <c r="E13" s="6" t="inlineStr">
        <is>
          <t>ind</t>
        </is>
      </c>
      <c r="F13" s="6" t="inlineStr">
        <is>
          <t>ind</t>
        </is>
      </c>
      <c r="G13" s="6" t="inlineStr">
        <is>
          <t>ind</t>
        </is>
      </c>
      <c r="H13" s="6" t="n">
        <v>10</v>
      </c>
    </row>
    <row r="14">
      <c r="A14" s="5" t="inlineStr">
        <is>
          <t>nfm</t>
        </is>
      </c>
      <c r="B14" s="5" t="inlineStr">
        <is>
          <t>Other metals</t>
        </is>
      </c>
      <c r="C14" s="6" t="inlineStr">
        <is>
          <t>ind</t>
        </is>
      </c>
      <c r="D14" s="6" t="inlineStr">
        <is>
          <t>ind</t>
        </is>
      </c>
      <c r="E14" s="6" t="inlineStr">
        <is>
          <t>ind</t>
        </is>
      </c>
      <c r="F14" s="6" t="inlineStr">
        <is>
          <t>ind</t>
        </is>
      </c>
      <c r="G14" s="6" t="inlineStr">
        <is>
          <t>ind</t>
        </is>
      </c>
      <c r="H14" s="6" t="n">
        <v>11</v>
      </c>
    </row>
    <row r="15">
      <c r="A15" s="5" t="inlineStr">
        <is>
          <t>mac</t>
        </is>
      </c>
      <c r="B15" s="5" t="inlineStr">
        <is>
          <t>Machinery</t>
        </is>
      </c>
      <c r="C15" s="6" t="inlineStr">
        <is>
          <t>ind</t>
        </is>
      </c>
      <c r="D15" s="6" t="inlineStr">
        <is>
          <t>ind</t>
        </is>
      </c>
      <c r="E15" s="6" t="inlineStr">
        <is>
          <t>ind</t>
        </is>
      </c>
      <c r="F15" s="6" t="inlineStr">
        <is>
          <t>ind</t>
        </is>
      </c>
      <c r="G15" s="6" t="inlineStr">
        <is>
          <t>ind</t>
        </is>
      </c>
      <c r="H15" s="6" t="n">
        <v>12</v>
      </c>
    </row>
    <row r="16">
      <c r="A16" s="5" t="inlineStr">
        <is>
          <t>cem</t>
        </is>
      </c>
      <c r="B16" s="5" t="inlineStr">
        <is>
          <t>Cement</t>
        </is>
      </c>
      <c r="C16" s="6" t="inlineStr">
        <is>
          <t>ind</t>
        </is>
      </c>
      <c r="D16" s="6" t="inlineStr">
        <is>
          <t>ind</t>
        </is>
      </c>
      <c r="E16" s="6" t="inlineStr">
        <is>
          <t>ind</t>
        </is>
      </c>
      <c r="F16" s="6" t="inlineStr">
        <is>
          <t>ind</t>
        </is>
      </c>
      <c r="G16" s="6" t="inlineStr">
        <is>
          <t>ind</t>
        </is>
      </c>
      <c r="H16" s="6" t="n">
        <v>13</v>
      </c>
    </row>
    <row r="17">
      <c r="A17" s="5" t="inlineStr">
        <is>
          <t>omn</t>
        </is>
      </c>
      <c r="B17" s="5" t="inlineStr">
        <is>
          <t>Other manufacturing</t>
        </is>
      </c>
      <c r="C17" s="6" t="inlineStr">
        <is>
          <t>ind</t>
        </is>
      </c>
      <c r="D17" s="6" t="inlineStr">
        <is>
          <t>ind</t>
        </is>
      </c>
      <c r="E17" s="6" t="inlineStr">
        <is>
          <t>ind</t>
        </is>
      </c>
      <c r="F17" s="6" t="inlineStr">
        <is>
          <t>ind</t>
        </is>
      </c>
      <c r="G17" s="6" t="inlineStr">
        <is>
          <t>ind</t>
        </is>
      </c>
      <c r="H17" s="6" t="n">
        <v>14</v>
      </c>
    </row>
    <row r="18">
      <c r="A18" s="5" t="inlineStr">
        <is>
          <t>cst</t>
        </is>
      </c>
      <c r="B18" s="5" t="inlineStr">
        <is>
          <t>Construction</t>
        </is>
      </c>
      <c r="C18" s="6" t="inlineStr">
        <is>
          <t>ind</t>
        </is>
      </c>
      <c r="D18" s="6" t="inlineStr">
        <is>
          <t>ind</t>
        </is>
      </c>
      <c r="E18" s="6" t="inlineStr">
        <is>
          <t>ind</t>
        </is>
      </c>
      <c r="F18" s="6" t="inlineStr">
        <is>
          <t>ind</t>
        </is>
      </c>
      <c r="G18" s="6" t="inlineStr">
        <is>
          <t>ind</t>
        </is>
      </c>
      <c r="H18" s="6" t="n">
        <v>15</v>
      </c>
    </row>
    <row r="19">
      <c r="A19" s="5" t="inlineStr">
        <is>
          <t>ftr</t>
        </is>
      </c>
      <c r="B19" s="5" t="inlineStr">
        <is>
          <t>Fuel transformation</t>
        </is>
      </c>
      <c r="C19" s="6" t="inlineStr">
        <is>
          <t>ind</t>
        </is>
      </c>
      <c r="D19" s="6" t="inlineStr">
        <is>
          <t>ind</t>
        </is>
      </c>
      <c r="E19" s="6" t="inlineStr">
        <is>
          <t>ind</t>
        </is>
      </c>
      <c r="F19" s="6" t="inlineStr">
        <is>
          <t>ind</t>
        </is>
      </c>
      <c r="G19" s="6" t="inlineStr">
        <is>
          <t>ind</t>
        </is>
      </c>
      <c r="H19" s="6" t="n">
        <v>16</v>
      </c>
    </row>
    <row r="20">
      <c r="A20" s="5" t="inlineStr">
        <is>
          <t>oen</t>
        </is>
      </c>
      <c r="B20" s="5" t="inlineStr">
        <is>
          <t>Other energy use</t>
        </is>
      </c>
      <c r="C20" s="6" t="inlineStr">
        <is>
          <t>oen</t>
        </is>
      </c>
      <c r="D20" s="6" t="inlineStr">
        <is>
          <t>ind</t>
        </is>
      </c>
      <c r="E20" s="6" t="inlineStr">
        <is>
          <t>ind</t>
        </is>
      </c>
      <c r="F20" s="6" t="inlineStr">
        <is>
          <t>ind</t>
        </is>
      </c>
      <c r="G20" s="6" t="inlineStr">
        <is>
          <t>ind</t>
        </is>
      </c>
      <c r="H20" s="6" t="n">
        <v>17</v>
      </c>
    </row>
    <row r="21">
      <c r="A21" s="5" t="inlineStr">
        <is>
          <t>all</t>
        </is>
      </c>
      <c r="B21" s="5" t="inlineStr">
        <is>
          <t>All subsectors</t>
        </is>
      </c>
    </row>
    <row r="22">
      <c r="A22" s="5" t="inlineStr">
        <is>
          <t>pow</t>
        </is>
      </c>
      <c r="B22" s="5" t="inlineStr">
        <is>
          <t>Power</t>
        </is>
      </c>
    </row>
    <row r="23">
      <c r="A23" s="5" t="inlineStr">
        <is>
          <t>tra</t>
        </is>
      </c>
      <c r="B23" s="5" t="inlineStr">
        <is>
          <t>Transport</t>
        </is>
      </c>
    </row>
    <row r="24">
      <c r="A24" s="5" t="inlineStr">
        <is>
          <t>bld</t>
        </is>
      </c>
      <c r="B24" s="5" t="inlineStr">
        <is>
          <t>Buildings</t>
        </is>
      </c>
    </row>
    <row r="25">
      <c r="A25" s="5" t="inlineStr">
        <is>
          <t>ind</t>
        </is>
      </c>
      <c r="B25" s="5" t="inlineStr">
        <is>
          <t>Industry</t>
        </is>
      </c>
    </row>
    <row r="27">
      <c r="A27" s="7" t="inlineStr">
        <is>
          <t>Fuels</t>
        </is>
      </c>
    </row>
    <row r="28">
      <c r="A28" s="8" t="inlineStr">
        <is>
          <t>Code</t>
        </is>
      </c>
      <c r="B28" s="8" t="inlineStr">
        <is>
          <t>Name</t>
        </is>
      </c>
      <c r="C28" s="8" t="inlineStr">
        <is>
          <t>Elasticity fuel</t>
        </is>
      </c>
      <c r="D28" s="8" t="inlineStr">
        <is>
          <t>AEEI fuel</t>
        </is>
      </c>
      <c r="E28" s="8" t="inlineStr">
        <is>
          <t>Price sector rule</t>
        </is>
      </c>
      <c r="F28" s="8" t="inlineStr">
        <is>
          <t>Price unit</t>
        </is>
      </c>
      <c r="G28" s="8" t="inlineStr">
        <is>
          <t>GJ per price unit</t>
        </is>
      </c>
      <c r="H28" s="8" t="inlineStr">
        <is>
          <t>Fuel position</t>
        </is>
      </c>
    </row>
    <row r="29">
      <c r="A29" s="5" t="inlineStr">
        <is>
          <t>coa</t>
        </is>
      </c>
      <c r="B29" s="5" t="inlineStr">
        <is>
          <t>Coal</t>
        </is>
      </c>
      <c r="C29" s="6" t="inlineStr">
        <is>
          <t>coa</t>
        </is>
      </c>
      <c r="D29" s="6" t="inlineStr">
        <is>
          <t>coa</t>
        </is>
      </c>
      <c r="E29" s="6" t="inlineStr">
        <is>
          <t>sub</t>
        </is>
      </c>
      <c r="F29" s="6" t="inlineStr">
        <is>
          <t>$/GJ</t>
        </is>
      </c>
      <c r="G29" s="6" t="n">
        <v>1</v>
      </c>
      <c r="H29" s="6" t="n">
        <v>1</v>
      </c>
    </row>
    <row r="30">
      <c r="A30" s="5" t="inlineStr">
        <is>
          <t>nga</t>
        </is>
      </c>
      <c r="B30" s="5" t="inlineStr">
        <is>
          <t>Natural gas</t>
        </is>
      </c>
      <c r="C30" s="6" t="inlineStr">
        <is>
          <t>nga</t>
        </is>
      </c>
      <c r="D30" s="6" t="inlineStr">
        <is>
          <t>nga</t>
        </is>
      </c>
      <c r="E30" s="6" t="inlineStr">
        <is>
          <t>sub</t>
        </is>
      </c>
      <c r="F30" s="6" t="inlineStr">
        <is>
          <t>$/GJ</t>
        </is>
      </c>
      <c r="G30" s="6" t="n">
        <v>1</v>
      </c>
      <c r="H30" s="6" t="n">
        <v>2</v>
      </c>
    </row>
    <row r="31">
      <c r="A31" s="5" t="inlineStr">
        <is>
          <t>gso</t>
        </is>
      </c>
      <c r="B31" s="5" t="inlineStr">
        <is>
          <t>Gasoline</t>
        </is>
      </c>
      <c r="C31" s="6" t="inlineStr">
        <is>
          <t>gso</t>
        </is>
      </c>
      <c r="D31" s="6" t="inlineStr">
        <is>
          <t>oil</t>
        </is>
      </c>
      <c r="E31" s="6" t="inlineStr">
        <is>
          <t>all</t>
        </is>
      </c>
      <c r="F31" s="6" t="inlineStr">
        <is>
          <t>$/liter</t>
        </is>
      </c>
      <c r="G31" s="6" t="n">
        <v>0.03496974000000001</v>
      </c>
      <c r="H31" s="6" t="n">
        <v>3</v>
      </c>
    </row>
    <row r="32">
      <c r="A32" s="5" t="inlineStr">
        <is>
          <t>die</t>
        </is>
      </c>
      <c r="B32" s="5" t="inlineStr">
        <is>
          <t>Diesel</t>
        </is>
      </c>
      <c r="C32" s="6" t="inlineStr">
        <is>
          <t>die</t>
        </is>
      </c>
      <c r="D32" s="6" t="inlineStr">
        <is>
          <t>oil</t>
        </is>
      </c>
      <c r="E32" s="6" t="inlineStr">
        <is>
          <t>all</t>
        </is>
      </c>
      <c r="F32" s="6" t="inlineStr">
        <is>
          <t>$/liter</t>
        </is>
      </c>
      <c r="G32" s="6" t="n">
        <v>0.03729519000000001</v>
      </c>
      <c r="H32" s="6" t="n">
        <v>4</v>
      </c>
    </row>
    <row r="33">
      <c r="A33" s="5" t="inlineStr">
        <is>
          <t>lpg</t>
        </is>
      </c>
      <c r="B33" s="5" t="inlineStr">
        <is>
          <t>LPG</t>
        </is>
      </c>
      <c r="C33" s="6" t="inlineStr">
        <is>
          <t>oil</t>
        </is>
      </c>
      <c r="D33" s="6" t="inlineStr">
        <is>
          <t>oil</t>
        </is>
      </c>
      <c r="E33" s="6" t="inlineStr">
        <is>
          <t>all</t>
        </is>
      </c>
      <c r="F33" s="6" t="inlineStr">
        <is>
          <t>$/liter</t>
        </is>
      </c>
      <c r="G33" s="6" t="n">
        <v>0.02577968854495125</v>
      </c>
      <c r="H33" s="6" t="n">
        <v>5</v>
      </c>
    </row>
    <row r="34">
      <c r="A34" s="5" t="inlineStr">
        <is>
          <t>ker</t>
        </is>
      </c>
      <c r="B34" s="5" t="inlineStr">
        <is>
          <t>Kerosene</t>
        </is>
      </c>
      <c r="C34" s="6" t="inlineStr">
        <is>
          <t>oil</t>
        </is>
      </c>
      <c r="D34" s="6" t="inlineStr">
        <is>
          <t>oil</t>
        </is>
      </c>
      <c r="E34" s="6" t="inlineStr">
        <is>
          <t>all</t>
        </is>
      </c>
      <c r="F34" s="6" t="inlineStr">
        <is>
          <t>$/liter</t>
        </is>
      </c>
      <c r="G34" s="6" t="n">
        <v>0.03774882965510715</v>
      </c>
      <c r="H34" s="6" t="n">
        <v>6</v>
      </c>
    </row>
    <row r="35">
      <c r="A35" s="5" t="inlineStr">
        <is>
          <t>oop</t>
        </is>
      </c>
      <c r="B35" s="5" t="inlineStr">
        <is>
          <t>Other oil products</t>
        </is>
      </c>
      <c r="C35" s="6" t="inlineStr">
        <is>
          <t>oil</t>
        </is>
      </c>
      <c r="D35" s="6" t="inlineStr">
        <is>
          <t>oil</t>
        </is>
      </c>
      <c r="E35" s="6" t="inlineStr">
        <is>
          <t>all</t>
        </is>
      </c>
      <c r="F35" s="6" t="inlineStr">
        <is>
          <t>$/bbl</t>
        </is>
      </c>
      <c r="G35" s="6" t="n">
        <v>6.12</v>
      </c>
      <c r="H35" s="6" t="n">
        <v>7</v>
      </c>
    </row>
    <row r="36">
      <c r="A36" s="5" t="inlineStr">
        <is>
          <t>bio</t>
        </is>
      </c>
      <c r="B36" s="5" t="inlineStr">
        <is>
          <t>Biomass</t>
        </is>
      </c>
      <c r="C36" s="6" t="inlineStr">
        <is>
          <t>bio</t>
        </is>
      </c>
      <c r="D36" s="6" t="inlineStr">
        <is>
          <t>bio</t>
        </is>
      </c>
      <c r="E36" s="6" t="inlineStr">
        <is>
          <t>all</t>
        </is>
      </c>
      <c r="F36" s="6" t="inlineStr">
        <is>
          <t>$/GJ</t>
        </is>
      </c>
      <c r="G36" s="6" t="n">
        <v>1</v>
      </c>
      <c r="H36" s="6" t="n">
        <v>8</v>
      </c>
    </row>
    <row r="37">
      <c r="A37" s="5" t="inlineStr">
        <is>
          <t>all</t>
        </is>
      </c>
      <c r="B37" s="5" t="inlineStr">
        <is>
          <t>All fuels</t>
        </is>
      </c>
    </row>
    <row r="38">
      <c r="A38" s="5" t="inlineStr">
        <is>
          <t>ecy</t>
        </is>
      </c>
      <c r="B38" s="5" t="inlineStr">
        <is>
          <t>Electricity</t>
        </is>
      </c>
    </row>
    <row r="40">
      <c r="A40" s="7" t="inlineStr">
        <is>
          <t>Price fuels (fuel price reform, MTInputs rows 142-169)</t>
        </is>
      </c>
    </row>
    <row r="41">
      <c r="A41" s="8" t="inlineStr">
        <is>
          <t>Price code</t>
        </is>
      </c>
      <c r="B41" s="8" t="inlineStr">
        <is>
          <t>Label</t>
        </is>
      </c>
      <c r="C41" s="8" t="inlineStr">
        <is>
          <t>MTInputs row: starting increase</t>
        </is>
      </c>
      <c r="D41" s="8" t="inlineStr">
        <is>
          <t>MTInputs row: final increase</t>
        </is>
      </c>
      <c r="E41" s="8" t="inlineStr">
        <is>
          <t>Position</t>
        </is>
      </c>
    </row>
    <row r="42">
      <c r="A42" s="5" t="inlineStr">
        <is>
          <t>coa.pow</t>
        </is>
      </c>
      <c r="B42" s="5" t="inlineStr">
        <is>
          <t>Coal, Power</t>
        </is>
      </c>
      <c r="C42" s="5" t="n">
        <v>142</v>
      </c>
      <c r="D42" s="5" t="n">
        <v>156</v>
      </c>
      <c r="E42" s="5" t="n">
        <v>1</v>
      </c>
    </row>
    <row r="43">
      <c r="A43" s="5" t="inlineStr">
        <is>
          <t>coa.res</t>
        </is>
      </c>
      <c r="B43" s="5" t="inlineStr">
        <is>
          <t>Coal, Residential</t>
        </is>
      </c>
      <c r="C43" s="5" t="n">
        <v>143</v>
      </c>
      <c r="D43" s="5" t="n">
        <v>157</v>
      </c>
      <c r="E43" s="5" t="n">
        <v>2</v>
      </c>
    </row>
    <row r="44">
      <c r="A44" s="5" t="inlineStr">
        <is>
          <t>coa.ind</t>
        </is>
      </c>
      <c r="B44" s="5" t="inlineStr">
        <is>
          <t>Coal, Industry</t>
        </is>
      </c>
      <c r="C44" s="5" t="n">
        <v>144</v>
      </c>
      <c r="D44" s="5" t="n">
        <v>158</v>
      </c>
      <c r="E44" s="5" t="n">
        <v>3</v>
      </c>
    </row>
    <row r="45">
      <c r="A45" s="5" t="inlineStr">
        <is>
          <t>nga.pow</t>
        </is>
      </c>
      <c r="B45" s="5" t="inlineStr">
        <is>
          <t>Natural gas, Power</t>
        </is>
      </c>
      <c r="C45" s="5" t="n">
        <v>145</v>
      </c>
      <c r="D45" s="5" t="n">
        <v>159</v>
      </c>
      <c r="E45" s="5" t="n">
        <v>4</v>
      </c>
    </row>
    <row r="46">
      <c r="A46" s="5" t="inlineStr">
        <is>
          <t>nga.res</t>
        </is>
      </c>
      <c r="B46" s="5" t="inlineStr">
        <is>
          <t>Natural gas, Residential</t>
        </is>
      </c>
      <c r="C46" s="5" t="n">
        <v>146</v>
      </c>
      <c r="D46" s="5" t="n">
        <v>160</v>
      </c>
      <c r="E46" s="5" t="n">
        <v>5</v>
      </c>
    </row>
    <row r="47">
      <c r="A47" s="5" t="inlineStr">
        <is>
          <t>nga.ind</t>
        </is>
      </c>
      <c r="B47" s="5" t="inlineStr">
        <is>
          <t>Natural gas, Industry</t>
        </is>
      </c>
      <c r="C47" s="5" t="n">
        <v>147</v>
      </c>
      <c r="D47" s="5" t="n">
        <v>161</v>
      </c>
      <c r="E47" s="5" t="n">
        <v>6</v>
      </c>
    </row>
    <row r="48">
      <c r="A48" s="5" t="inlineStr">
        <is>
          <t>ecy.res</t>
        </is>
      </c>
      <c r="B48" s="5" t="inlineStr">
        <is>
          <t>Electricity, Residential</t>
        </is>
      </c>
      <c r="C48" s="5" t="n">
        <v>148</v>
      </c>
      <c r="D48" s="5" t="n">
        <v>162</v>
      </c>
      <c r="E48" s="5" t="n">
        <v>7</v>
      </c>
    </row>
    <row r="49">
      <c r="A49" s="5" t="inlineStr">
        <is>
          <t>ecy.ind</t>
        </is>
      </c>
      <c r="B49" s="5" t="inlineStr">
        <is>
          <t>Electricity, Industry</t>
        </is>
      </c>
      <c r="C49" s="5" t="n">
        <v>149</v>
      </c>
      <c r="D49" s="5" t="n">
        <v>163</v>
      </c>
      <c r="E49" s="5" t="n">
        <v>8</v>
      </c>
    </row>
    <row r="50">
      <c r="A50" s="5" t="inlineStr">
        <is>
          <t>gso.all</t>
        </is>
      </c>
      <c r="B50" s="5" t="inlineStr">
        <is>
          <t>Gasoline, All</t>
        </is>
      </c>
      <c r="C50" s="5" t="n">
        <v>150</v>
      </c>
      <c r="D50" s="5" t="n">
        <v>164</v>
      </c>
      <c r="E50" s="5" t="n">
        <v>9</v>
      </c>
    </row>
    <row r="51">
      <c r="A51" s="5" t="inlineStr">
        <is>
          <t>die.all</t>
        </is>
      </c>
      <c r="B51" s="5" t="inlineStr">
        <is>
          <t>Diesel, All</t>
        </is>
      </c>
      <c r="C51" s="5" t="n">
        <v>151</v>
      </c>
      <c r="D51" s="5" t="n">
        <v>165</v>
      </c>
      <c r="E51" s="5" t="n">
        <v>10</v>
      </c>
    </row>
    <row r="52">
      <c r="A52" s="5" t="inlineStr">
        <is>
          <t>lpg.all</t>
        </is>
      </c>
      <c r="B52" s="5" t="inlineStr">
        <is>
          <t>LPG, All</t>
        </is>
      </c>
      <c r="C52" s="5" t="n">
        <v>152</v>
      </c>
      <c r="D52" s="5" t="n">
        <v>166</v>
      </c>
      <c r="E52" s="5" t="n">
        <v>11</v>
      </c>
    </row>
    <row r="53">
      <c r="A53" s="5" t="inlineStr">
        <is>
          <t>ker.all</t>
        </is>
      </c>
      <c r="B53" s="5" t="inlineStr">
        <is>
          <t>Kerosene, All</t>
        </is>
      </c>
      <c r="C53" s="5" t="n">
        <v>153</v>
      </c>
      <c r="D53" s="5" t="n">
        <v>167</v>
      </c>
      <c r="E53" s="5" t="n">
        <v>12</v>
      </c>
    </row>
    <row r="54">
      <c r="A54" s="5" t="inlineStr">
        <is>
          <t>oop.all</t>
        </is>
      </c>
      <c r="B54" s="5" t="inlineStr">
        <is>
          <t>Other oil products, All</t>
        </is>
      </c>
      <c r="C54" s="5" t="n">
        <v>154</v>
      </c>
      <c r="D54" s="5" t="n">
        <v>168</v>
      </c>
      <c r="E54" s="5" t="n">
        <v>13</v>
      </c>
    </row>
    <row r="55">
      <c r="A55" s="5" t="inlineStr">
        <is>
          <t>bio.all</t>
        </is>
      </c>
      <c r="B55" s="5" t="inlineStr">
        <is>
          <t>Biomass, All</t>
        </is>
      </c>
      <c r="C55" s="5" t="n">
        <v>155</v>
      </c>
      <c r="D55" s="5" t="n">
        <v>169</v>
      </c>
      <c r="E55" s="5" t="n">
        <v>14</v>
      </c>
    </row>
    <row r="57">
      <c r="A57" s="7" t="inlineStr">
        <is>
          <t>Feebate sectors (MTInputs rows 56-64)</t>
        </is>
      </c>
    </row>
    <row r="58">
      <c r="A58" s="8" t="inlineStr">
        <is>
          <t>Code</t>
        </is>
      </c>
      <c r="B58" s="8" t="inlineStr">
        <is>
          <t>Starting rate (NameOfParameter)</t>
        </is>
      </c>
      <c r="C58" s="8" t="inlineStr">
        <is>
          <t>Target rate (NameOfParameter)</t>
        </is>
      </c>
      <c r="D58" s="8" t="inlineStr">
        <is>
          <t>Position</t>
        </is>
      </c>
    </row>
    <row r="59">
      <c r="A59" s="5" t="inlineStr">
        <is>
          <t>pow</t>
        </is>
      </c>
      <c r="B59" s="5" t="inlineStr">
        <is>
          <t>D_Feb_Level_Start_Pow</t>
        </is>
      </c>
      <c r="C59" s="5" t="inlineStr">
        <is>
          <t>D_Feb_Level_Target_Pow</t>
        </is>
      </c>
      <c r="D59" s="5" t="n">
        <v>1</v>
      </c>
    </row>
    <row r="60">
      <c r="A60" s="5" t="inlineStr">
        <is>
          <t>tra</t>
        </is>
      </c>
      <c r="B60" s="5" t="inlineStr">
        <is>
          <t>D_Feb_Level_Start_Trans</t>
        </is>
      </c>
      <c r="C60" s="5" t="inlineStr">
        <is>
          <t>D_Feb_Level_Target_Trans</t>
        </is>
      </c>
      <c r="D60" s="5" t="n">
        <v>2</v>
      </c>
    </row>
    <row r="61">
      <c r="A61" s="5" t="inlineStr">
        <is>
          <t>res</t>
        </is>
      </c>
      <c r="B61" s="5" t="inlineStr">
        <is>
          <t>D_Feb_Level_Start_Res</t>
        </is>
      </c>
      <c r="C61" s="5" t="inlineStr">
        <is>
          <t>D_Feb_Level_Target_Res</t>
        </is>
      </c>
      <c r="D61" s="5" t="n">
        <v>3</v>
      </c>
    </row>
    <row r="62">
      <c r="A62" s="5" t="inlineStr">
        <is>
          <t>ind</t>
        </is>
      </c>
      <c r="B62" s="5" t="inlineStr">
        <is>
          <t>D_Feb_Level_Start_Ind</t>
        </is>
      </c>
      <c r="C62" s="5" t="inlineStr">
        <is>
          <t>D_Feb_Level_Target_Ind</t>
        </is>
      </c>
      <c r="D62" s="5" t="n">
        <v>4</v>
      </c>
    </row>
    <row r="65">
      <c r="A65" s="5" t="inlineStr">
        <is>
          <t>Price sector rule: 'sub' = the subsector's coal/gas price sector (rod and res use residential coal/gas prices, as CPAT); 'all' = the fuel's single price.</t>
        </is>
      </c>
    </row>
    <row r="66">
      <c r="A66" s="5" t="inlineStr">
        <is>
          <t>GJ per price unit: legacy Mitigation rows 980-1009 (conversion factor, volume unit to GJ).</t>
        </is>
      </c>
    </row>
    <row r="67">
      <c r="A67" s="5" t="inlineStr">
        <is>
          <t>Coverage position: order of the MTInputs sector switches (power first, then the 16 subsectors).</t>
        </is>
      </c>
    </row>
    <row r="68">
      <c r="A68" s="5" t="inlineStr">
        <is>
          <t>Feebate sector for food &amp; forestry and services = residential (assumption; legacy groups them as Commercial).</t>
        </is>
      </c>
    </row>
    <row r="69">
      <c r="A69" s="5" t="inlineStr">
        <is>
          <t>Rows 21-25 and 37-38: labels only (totals, policy rows).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 sheets follow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138-141 (country columns)</t>
        </is>
      </c>
    </row>
    <row r="2">
      <c r="A2" s="1" t="inlineStr">
        <is>
          <t>Countries: code, region and income group</t>
        </is>
      </c>
      <c r="B2" s="2" t="n"/>
      <c r="C2" s="2" t="n"/>
      <c r="D2" s="2" t="n"/>
      <c r="E2" s="2" t="n"/>
    </row>
    <row r="3">
      <c r="A3" s="8" t="inlineStr">
        <is>
          <t>code</t>
        </is>
      </c>
      <c r="B3" s="8" t="inlineStr">
        <is>
          <t>name</t>
        </is>
      </c>
      <c r="C3" s="8" t="inlineStr">
        <is>
          <t>region</t>
        </is>
      </c>
      <c r="D3" s="8" t="inlineStr">
        <is>
          <t>income_group</t>
        </is>
      </c>
      <c r="E3" s="8" t="inlineStr">
        <is>
          <t>source</t>
        </is>
      </c>
    </row>
    <row r="4">
      <c r="A4" s="5" t="inlineStr">
        <is>
          <t>ABW</t>
        </is>
      </c>
      <c r="B4" s="5" t="inlineStr">
        <is>
          <t>Aruba</t>
        </is>
      </c>
      <c r="C4" s="5" t="inlineStr">
        <is>
          <t>LCN</t>
        </is>
      </c>
      <c r="D4" s="5" t="inlineStr">
        <is>
          <t>HIC</t>
        </is>
      </c>
      <c r="E4" s="5" t="inlineStr">
        <is>
          <t>Elasticities!13:138-141</t>
        </is>
      </c>
    </row>
    <row r="5">
      <c r="A5" s="5" t="inlineStr">
        <is>
          <t>AFG</t>
        </is>
      </c>
      <c r="B5" s="5" t="inlineStr">
        <is>
          <t>Afghanistan</t>
        </is>
      </c>
      <c r="C5" s="5" t="inlineStr">
        <is>
          <t>SAS</t>
        </is>
      </c>
      <c r="D5" s="5" t="inlineStr">
        <is>
          <t>LIC</t>
        </is>
      </c>
      <c r="E5" s="5" t="inlineStr">
        <is>
          <t>Elasticities!14:138-141</t>
        </is>
      </c>
    </row>
    <row r="6">
      <c r="A6" s="5" t="inlineStr">
        <is>
          <t>AGO</t>
        </is>
      </c>
      <c r="B6" s="5" t="inlineStr">
        <is>
          <t>Angola</t>
        </is>
      </c>
      <c r="C6" s="5" t="inlineStr">
        <is>
          <t>SSF</t>
        </is>
      </c>
      <c r="D6" s="5" t="inlineStr">
        <is>
          <t>LMIC</t>
        </is>
      </c>
      <c r="E6" s="5" t="inlineStr">
        <is>
          <t>Elasticities!15:138-141</t>
        </is>
      </c>
    </row>
    <row r="7">
      <c r="A7" s="5" t="inlineStr">
        <is>
          <t>ALB</t>
        </is>
      </c>
      <c r="B7" s="5" t="inlineStr">
        <is>
          <t>Albania</t>
        </is>
      </c>
      <c r="C7" s="5" t="inlineStr">
        <is>
          <t>ECS</t>
        </is>
      </c>
      <c r="D7" s="5" t="inlineStr">
        <is>
          <t>UMIC</t>
        </is>
      </c>
      <c r="E7" s="5" t="inlineStr">
        <is>
          <t>Elasticities!16:138-141</t>
        </is>
      </c>
    </row>
    <row r="8">
      <c r="A8" s="5" t="inlineStr">
        <is>
          <t>AND</t>
        </is>
      </c>
      <c r="B8" s="5" t="inlineStr">
        <is>
          <t>Andorra</t>
        </is>
      </c>
      <c r="C8" s="5" t="inlineStr">
        <is>
          <t>ECS</t>
        </is>
      </c>
      <c r="D8" s="5" t="inlineStr">
        <is>
          <t>HIC</t>
        </is>
      </c>
      <c r="E8" s="5" t="inlineStr">
        <is>
          <t>Elasticities!17:138-141</t>
        </is>
      </c>
    </row>
    <row r="9">
      <c r="A9" s="5" t="inlineStr">
        <is>
          <t>ARE</t>
        </is>
      </c>
      <c r="B9" s="5" t="inlineStr">
        <is>
          <t>United Arab Emirates</t>
        </is>
      </c>
      <c r="C9" s="5" t="inlineStr">
        <is>
          <t>MEA</t>
        </is>
      </c>
      <c r="D9" s="5" t="inlineStr">
        <is>
          <t>HIC</t>
        </is>
      </c>
      <c r="E9" s="5" t="inlineStr">
        <is>
          <t>Elasticities!18:138-141</t>
        </is>
      </c>
    </row>
    <row r="10">
      <c r="A10" s="5" t="inlineStr">
        <is>
          <t>ARG</t>
        </is>
      </c>
      <c r="B10" s="5" t="inlineStr">
        <is>
          <t>Argentina</t>
        </is>
      </c>
      <c r="C10" s="5" t="inlineStr">
        <is>
          <t>LCN</t>
        </is>
      </c>
      <c r="D10" s="5" t="inlineStr">
        <is>
          <t>HIC</t>
        </is>
      </c>
      <c r="E10" s="5" t="inlineStr">
        <is>
          <t>Elasticities!19:138-141</t>
        </is>
      </c>
    </row>
    <row r="11">
      <c r="A11" s="5" t="inlineStr">
        <is>
          <t>ARM</t>
        </is>
      </c>
      <c r="B11" s="5" t="inlineStr">
        <is>
          <t>Armenia</t>
        </is>
      </c>
      <c r="C11" s="5" t="inlineStr">
        <is>
          <t>ECS</t>
        </is>
      </c>
      <c r="D11" s="5" t="inlineStr">
        <is>
          <t>UMIC</t>
        </is>
      </c>
      <c r="E11" s="5" t="inlineStr">
        <is>
          <t>Elasticities!20:138-141</t>
        </is>
      </c>
    </row>
    <row r="12">
      <c r="A12" s="5" t="inlineStr">
        <is>
          <t>ASM</t>
        </is>
      </c>
      <c r="B12" s="5" t="inlineStr">
        <is>
          <t>American Samoa</t>
        </is>
      </c>
      <c r="C12" s="5" t="inlineStr">
        <is>
          <t>EAS</t>
        </is>
      </c>
      <c r="D12" s="5" t="inlineStr">
        <is>
          <t>UMIC</t>
        </is>
      </c>
      <c r="E12" s="5" t="inlineStr">
        <is>
          <t>Elasticities!21:138-141</t>
        </is>
      </c>
    </row>
    <row r="13">
      <c r="A13" s="5" t="inlineStr">
        <is>
          <t>ATG</t>
        </is>
      </c>
      <c r="B13" s="5" t="inlineStr">
        <is>
          <t>Antigua and Barbuda</t>
        </is>
      </c>
      <c r="C13" s="5" t="inlineStr">
        <is>
          <t>LCN</t>
        </is>
      </c>
      <c r="D13" s="5" t="inlineStr">
        <is>
          <t>HIC</t>
        </is>
      </c>
      <c r="E13" s="5" t="inlineStr">
        <is>
          <t>Elasticities!22:138-141</t>
        </is>
      </c>
    </row>
    <row r="14">
      <c r="A14" s="5" t="inlineStr">
        <is>
          <t>AUS</t>
        </is>
      </c>
      <c r="B14" s="5" t="inlineStr">
        <is>
          <t>Australia</t>
        </is>
      </c>
      <c r="C14" s="5" t="inlineStr">
        <is>
          <t>EAS</t>
        </is>
      </c>
      <c r="D14" s="5" t="inlineStr">
        <is>
          <t>HIC</t>
        </is>
      </c>
      <c r="E14" s="5" t="inlineStr">
        <is>
          <t>Elasticities!23:138-141</t>
        </is>
      </c>
    </row>
    <row r="15">
      <c r="A15" s="5" t="inlineStr">
        <is>
          <t>AUT</t>
        </is>
      </c>
      <c r="B15" s="5" t="inlineStr">
        <is>
          <t>Austria</t>
        </is>
      </c>
      <c r="C15" s="5" t="inlineStr">
        <is>
          <t>ECS</t>
        </is>
      </c>
      <c r="D15" s="5" t="inlineStr">
        <is>
          <t>HIC</t>
        </is>
      </c>
      <c r="E15" s="5" t="inlineStr">
        <is>
          <t>Elasticities!24:138-141</t>
        </is>
      </c>
    </row>
    <row r="16">
      <c r="A16" s="5" t="inlineStr">
        <is>
          <t>AZE</t>
        </is>
      </c>
      <c r="B16" s="5" t="inlineStr">
        <is>
          <t>Azerbaijan</t>
        </is>
      </c>
      <c r="C16" s="5" t="inlineStr">
        <is>
          <t>ECS</t>
        </is>
      </c>
      <c r="D16" s="5" t="inlineStr">
        <is>
          <t>UMIC</t>
        </is>
      </c>
      <c r="E16" s="5" t="inlineStr">
        <is>
          <t>Elasticities!25:138-141</t>
        </is>
      </c>
    </row>
    <row r="17">
      <c r="A17" s="5" t="inlineStr">
        <is>
          <t>BDI</t>
        </is>
      </c>
      <c r="B17" s="5" t="inlineStr">
        <is>
          <t>Burundi</t>
        </is>
      </c>
      <c r="C17" s="5" t="inlineStr">
        <is>
          <t>SSF</t>
        </is>
      </c>
      <c r="D17" s="5" t="inlineStr">
        <is>
          <t>LIC</t>
        </is>
      </c>
      <c r="E17" s="5" t="inlineStr">
        <is>
          <t>Elasticities!26:138-141</t>
        </is>
      </c>
    </row>
    <row r="18">
      <c r="A18" s="5" t="inlineStr">
        <is>
          <t>BEL</t>
        </is>
      </c>
      <c r="B18" s="5" t="inlineStr">
        <is>
          <t>Belgium</t>
        </is>
      </c>
      <c r="C18" s="5" t="inlineStr">
        <is>
          <t>ECS</t>
        </is>
      </c>
      <c r="D18" s="5" t="inlineStr">
        <is>
          <t>HIC</t>
        </is>
      </c>
      <c r="E18" s="5" t="inlineStr">
        <is>
          <t>Elasticities!27:138-141</t>
        </is>
      </c>
    </row>
    <row r="19">
      <c r="A19" s="5" t="inlineStr">
        <is>
          <t>BEN</t>
        </is>
      </c>
      <c r="B19" s="5" t="inlineStr">
        <is>
          <t>Benin</t>
        </is>
      </c>
      <c r="C19" s="5" t="inlineStr">
        <is>
          <t>SSF</t>
        </is>
      </c>
      <c r="D19" s="5" t="inlineStr">
        <is>
          <t>LIC</t>
        </is>
      </c>
      <c r="E19" s="5" t="inlineStr">
        <is>
          <t>Elasticities!28:138-141</t>
        </is>
      </c>
    </row>
    <row r="20">
      <c r="A20" s="5" t="inlineStr">
        <is>
          <t>BFA</t>
        </is>
      </c>
      <c r="B20" s="5" t="inlineStr">
        <is>
          <t>Burkina Faso</t>
        </is>
      </c>
      <c r="C20" s="5" t="inlineStr">
        <is>
          <t>SSF</t>
        </is>
      </c>
      <c r="D20" s="5" t="inlineStr">
        <is>
          <t>LIC</t>
        </is>
      </c>
      <c r="E20" s="5" t="inlineStr">
        <is>
          <t>Elasticities!29:138-141</t>
        </is>
      </c>
    </row>
    <row r="21">
      <c r="A21" s="5" t="inlineStr">
        <is>
          <t>BGD</t>
        </is>
      </c>
      <c r="B21" s="5" t="inlineStr">
        <is>
          <t>Bangladesh</t>
        </is>
      </c>
      <c r="C21" s="5" t="inlineStr">
        <is>
          <t>SAS</t>
        </is>
      </c>
      <c r="D21" s="5" t="inlineStr">
        <is>
          <t>LMIC</t>
        </is>
      </c>
      <c r="E21" s="5" t="inlineStr">
        <is>
          <t>Elasticities!30:138-141</t>
        </is>
      </c>
    </row>
    <row r="22">
      <c r="A22" s="5" t="inlineStr">
        <is>
          <t>BGR</t>
        </is>
      </c>
      <c r="B22" s="5" t="inlineStr">
        <is>
          <t>Bulgaria</t>
        </is>
      </c>
      <c r="C22" s="5" t="inlineStr">
        <is>
          <t>ECS</t>
        </is>
      </c>
      <c r="D22" s="5" t="inlineStr">
        <is>
          <t>UMIC</t>
        </is>
      </c>
      <c r="E22" s="5" t="inlineStr">
        <is>
          <t>Elasticities!31:138-141</t>
        </is>
      </c>
    </row>
    <row r="23">
      <c r="A23" s="5" t="inlineStr">
        <is>
          <t>BHR</t>
        </is>
      </c>
      <c r="B23" s="5" t="inlineStr">
        <is>
          <t>Bahrain</t>
        </is>
      </c>
      <c r="C23" s="5" t="inlineStr">
        <is>
          <t>MEA</t>
        </is>
      </c>
      <c r="D23" s="5" t="inlineStr">
        <is>
          <t>HIC</t>
        </is>
      </c>
      <c r="E23" s="5" t="inlineStr">
        <is>
          <t>Elasticities!32:138-141</t>
        </is>
      </c>
    </row>
    <row r="24">
      <c r="A24" s="5" t="inlineStr">
        <is>
          <t>BHS</t>
        </is>
      </c>
      <c r="B24" s="5" t="inlineStr">
        <is>
          <t>Bahamas, The</t>
        </is>
      </c>
      <c r="C24" s="5" t="inlineStr">
        <is>
          <t>LCN</t>
        </is>
      </c>
      <c r="D24" s="5" t="inlineStr">
        <is>
          <t>HIC</t>
        </is>
      </c>
      <c r="E24" s="5" t="inlineStr">
        <is>
          <t>Elasticities!33:138-141</t>
        </is>
      </c>
    </row>
    <row r="25">
      <c r="A25" s="5" t="inlineStr">
        <is>
          <t>BIH</t>
        </is>
      </c>
      <c r="B25" s="5" t="inlineStr">
        <is>
          <t>Bosnia and Herzegovina</t>
        </is>
      </c>
      <c r="C25" s="5" t="inlineStr">
        <is>
          <t>ECS</t>
        </is>
      </c>
      <c r="D25" s="5" t="inlineStr">
        <is>
          <t>UMIC</t>
        </is>
      </c>
      <c r="E25" s="5" t="inlineStr">
        <is>
          <t>Elasticities!34:138-141</t>
        </is>
      </c>
    </row>
    <row r="26">
      <c r="A26" s="5" t="inlineStr">
        <is>
          <t>BLR</t>
        </is>
      </c>
      <c r="B26" s="5" t="inlineStr">
        <is>
          <t>Belarus</t>
        </is>
      </c>
      <c r="C26" s="5" t="inlineStr">
        <is>
          <t>ECS</t>
        </is>
      </c>
      <c r="D26" s="5" t="inlineStr">
        <is>
          <t>UMIC</t>
        </is>
      </c>
      <c r="E26" s="5" t="inlineStr">
        <is>
          <t>Elasticities!35:138-141</t>
        </is>
      </c>
    </row>
    <row r="27">
      <c r="A27" s="5" t="inlineStr">
        <is>
          <t>BLZ</t>
        </is>
      </c>
      <c r="B27" s="5" t="inlineStr">
        <is>
          <t>Belize</t>
        </is>
      </c>
      <c r="C27" s="5" t="inlineStr">
        <is>
          <t>LCN</t>
        </is>
      </c>
      <c r="D27" s="5" t="inlineStr">
        <is>
          <t>UMIC</t>
        </is>
      </c>
      <c r="E27" s="5" t="inlineStr">
        <is>
          <t>Elasticities!36:138-141</t>
        </is>
      </c>
    </row>
    <row r="28">
      <c r="A28" s="5" t="inlineStr">
        <is>
          <t>BMU</t>
        </is>
      </c>
      <c r="B28" s="5" t="inlineStr">
        <is>
          <t>Bermuda</t>
        </is>
      </c>
      <c r="C28" s="5" t="inlineStr">
        <is>
          <t>NAC</t>
        </is>
      </c>
      <c r="D28" s="5" t="inlineStr">
        <is>
          <t>HIC</t>
        </is>
      </c>
      <c r="E28" s="5" t="inlineStr">
        <is>
          <t>Elasticities!37:138-141</t>
        </is>
      </c>
    </row>
    <row r="29">
      <c r="A29" s="5" t="inlineStr">
        <is>
          <t>BOL</t>
        </is>
      </c>
      <c r="B29" s="5" t="inlineStr">
        <is>
          <t>Bolivia</t>
        </is>
      </c>
      <c r="C29" s="5" t="inlineStr">
        <is>
          <t>LCN</t>
        </is>
      </c>
      <c r="D29" s="5" t="inlineStr">
        <is>
          <t>LMIC</t>
        </is>
      </c>
      <c r="E29" s="5" t="inlineStr">
        <is>
          <t>Elasticities!38:138-141</t>
        </is>
      </c>
    </row>
    <row r="30">
      <c r="A30" s="5" t="inlineStr">
        <is>
          <t>BRA</t>
        </is>
      </c>
      <c r="B30" s="5" t="inlineStr">
        <is>
          <t>Brazil</t>
        </is>
      </c>
      <c r="C30" s="5" t="inlineStr">
        <is>
          <t>LCN</t>
        </is>
      </c>
      <c r="D30" s="5" t="inlineStr">
        <is>
          <t>UMIC</t>
        </is>
      </c>
      <c r="E30" s="5" t="inlineStr">
        <is>
          <t>Elasticities!39:138-141</t>
        </is>
      </c>
    </row>
    <row r="31">
      <c r="A31" s="5" t="inlineStr">
        <is>
          <t>BRB</t>
        </is>
      </c>
      <c r="B31" s="5" t="inlineStr">
        <is>
          <t>Barbados</t>
        </is>
      </c>
      <c r="C31" s="5" t="inlineStr">
        <is>
          <t>LCN</t>
        </is>
      </c>
      <c r="D31" s="5" t="inlineStr">
        <is>
          <t>HIC</t>
        </is>
      </c>
      <c r="E31" s="5" t="inlineStr">
        <is>
          <t>Elasticities!40:138-141</t>
        </is>
      </c>
    </row>
    <row r="32">
      <c r="A32" s="5" t="inlineStr">
        <is>
          <t>BRN</t>
        </is>
      </c>
      <c r="B32" s="5" t="inlineStr">
        <is>
          <t>Brunei Darussalam</t>
        </is>
      </c>
      <c r="C32" s="5" t="inlineStr">
        <is>
          <t>EAS</t>
        </is>
      </c>
      <c r="D32" s="5" t="inlineStr">
        <is>
          <t>HIC</t>
        </is>
      </c>
      <c r="E32" s="5" t="inlineStr">
        <is>
          <t>Elasticities!41:138-141</t>
        </is>
      </c>
    </row>
    <row r="33">
      <c r="A33" s="5" t="inlineStr">
        <is>
          <t>BTN</t>
        </is>
      </c>
      <c r="B33" s="5" t="inlineStr">
        <is>
          <t>Bhutan</t>
        </is>
      </c>
      <c r="C33" s="5" t="inlineStr">
        <is>
          <t>SAS</t>
        </is>
      </c>
      <c r="D33" s="5" t="inlineStr">
        <is>
          <t>LMIC</t>
        </is>
      </c>
      <c r="E33" s="5" t="inlineStr">
        <is>
          <t>Elasticities!42:138-141</t>
        </is>
      </c>
    </row>
    <row r="34">
      <c r="A34" s="5" t="inlineStr">
        <is>
          <t>BWA</t>
        </is>
      </c>
      <c r="B34" s="5" t="inlineStr">
        <is>
          <t>Botswana</t>
        </is>
      </c>
      <c r="C34" s="5" t="inlineStr">
        <is>
          <t>SSF</t>
        </is>
      </c>
      <c r="D34" s="5" t="inlineStr">
        <is>
          <t>UMIC</t>
        </is>
      </c>
      <c r="E34" s="5" t="inlineStr">
        <is>
          <t>Elasticities!43:138-141</t>
        </is>
      </c>
    </row>
    <row r="35">
      <c r="A35" s="5" t="inlineStr">
        <is>
          <t>CAF</t>
        </is>
      </c>
      <c r="B35" s="5" t="inlineStr">
        <is>
          <t>Central African Republic</t>
        </is>
      </c>
      <c r="C35" s="5" t="inlineStr">
        <is>
          <t>SSF</t>
        </is>
      </c>
      <c r="D35" s="5" t="inlineStr">
        <is>
          <t>LIC</t>
        </is>
      </c>
      <c r="E35" s="5" t="inlineStr">
        <is>
          <t>Elasticities!44:138-141</t>
        </is>
      </c>
    </row>
    <row r="36">
      <c r="A36" s="5" t="inlineStr">
        <is>
          <t>CAN</t>
        </is>
      </c>
      <c r="B36" s="5" t="inlineStr">
        <is>
          <t>Canada</t>
        </is>
      </c>
      <c r="C36" s="5" t="inlineStr">
        <is>
          <t>NAC</t>
        </is>
      </c>
      <c r="D36" s="5" t="inlineStr">
        <is>
          <t>HIC</t>
        </is>
      </c>
      <c r="E36" s="5" t="inlineStr">
        <is>
          <t>Elasticities!45:138-141</t>
        </is>
      </c>
    </row>
    <row r="37">
      <c r="A37" s="5" t="inlineStr">
        <is>
          <t>CHE</t>
        </is>
      </c>
      <c r="B37" s="5" t="inlineStr">
        <is>
          <t>Switzerland</t>
        </is>
      </c>
      <c r="C37" s="5" t="inlineStr">
        <is>
          <t>ECS</t>
        </is>
      </c>
      <c r="D37" s="5" t="inlineStr">
        <is>
          <t>HIC</t>
        </is>
      </c>
      <c r="E37" s="5" t="inlineStr">
        <is>
          <t>Elasticities!46:138-141</t>
        </is>
      </c>
    </row>
    <row r="38">
      <c r="A38" s="5" t="inlineStr">
        <is>
          <t>CHI</t>
        </is>
      </c>
      <c r="B38" s="5" t="inlineStr">
        <is>
          <t>Channel Islands</t>
        </is>
      </c>
      <c r="C38" s="5" t="inlineStr">
        <is>
          <t>ECS</t>
        </is>
      </c>
      <c r="D38" s="5" t="inlineStr">
        <is>
          <t>HIC</t>
        </is>
      </c>
      <c r="E38" s="5" t="inlineStr">
        <is>
          <t>Elasticities!47:138-141</t>
        </is>
      </c>
    </row>
    <row r="39">
      <c r="A39" s="5" t="inlineStr">
        <is>
          <t>CHL</t>
        </is>
      </c>
      <c r="B39" s="5" t="inlineStr">
        <is>
          <t>Chile</t>
        </is>
      </c>
      <c r="C39" s="5" t="inlineStr">
        <is>
          <t>LCN</t>
        </is>
      </c>
      <c r="D39" s="5" t="inlineStr">
        <is>
          <t>HIC</t>
        </is>
      </c>
      <c r="E39" s="5" t="inlineStr">
        <is>
          <t>Elasticities!48:138-141</t>
        </is>
      </c>
    </row>
    <row r="40">
      <c r="A40" s="5" t="inlineStr">
        <is>
          <t>CHN</t>
        </is>
      </c>
      <c r="B40" s="5" t="inlineStr">
        <is>
          <t>China</t>
        </is>
      </c>
      <c r="C40" s="5" t="inlineStr">
        <is>
          <t>EAS</t>
        </is>
      </c>
      <c r="D40" s="5" t="inlineStr">
        <is>
          <t>UMIC</t>
        </is>
      </c>
      <c r="E40" s="5" t="inlineStr">
        <is>
          <t>Elasticities!49:138-141</t>
        </is>
      </c>
    </row>
    <row r="41">
      <c r="A41" s="5" t="inlineStr">
        <is>
          <t>CIV</t>
        </is>
      </c>
      <c r="B41" s="5" t="inlineStr">
        <is>
          <t>Côte d'Ivoire</t>
        </is>
      </c>
      <c r="C41" s="5" t="inlineStr">
        <is>
          <t>SSF</t>
        </is>
      </c>
      <c r="D41" s="5" t="inlineStr">
        <is>
          <t>LMIC</t>
        </is>
      </c>
      <c r="E41" s="5" t="inlineStr">
        <is>
          <t>Elasticities!50:138-141</t>
        </is>
      </c>
    </row>
    <row r="42">
      <c r="A42" s="5" t="inlineStr">
        <is>
          <t>CMR</t>
        </is>
      </c>
      <c r="B42" s="5" t="inlineStr">
        <is>
          <t>Cameroon</t>
        </is>
      </c>
      <c r="C42" s="5" t="inlineStr">
        <is>
          <t>SSF</t>
        </is>
      </c>
      <c r="D42" s="5" t="inlineStr">
        <is>
          <t>LMIC</t>
        </is>
      </c>
      <c r="E42" s="5" t="inlineStr">
        <is>
          <t>Elasticities!51:138-141</t>
        </is>
      </c>
    </row>
    <row r="43">
      <c r="A43" s="5" t="inlineStr">
        <is>
          <t>COD</t>
        </is>
      </c>
      <c r="B43" s="5" t="inlineStr">
        <is>
          <t>Congo, Democratic Republic of the</t>
        </is>
      </c>
      <c r="C43" s="5" t="inlineStr">
        <is>
          <t>SSF</t>
        </is>
      </c>
      <c r="D43" s="5" t="inlineStr">
        <is>
          <t>LIC</t>
        </is>
      </c>
      <c r="E43" s="5" t="inlineStr">
        <is>
          <t>Elasticities!52:138-141</t>
        </is>
      </c>
    </row>
    <row r="44">
      <c r="A44" s="5" t="inlineStr">
        <is>
          <t>COG</t>
        </is>
      </c>
      <c r="B44" s="5" t="inlineStr">
        <is>
          <t>Congo, Republic of</t>
        </is>
      </c>
      <c r="C44" s="5" t="inlineStr">
        <is>
          <t>SSF</t>
        </is>
      </c>
      <c r="D44" s="5" t="inlineStr">
        <is>
          <t>LMIC</t>
        </is>
      </c>
      <c r="E44" s="5" t="inlineStr">
        <is>
          <t>Elasticities!53:138-141</t>
        </is>
      </c>
    </row>
    <row r="45">
      <c r="A45" s="5" t="inlineStr">
        <is>
          <t>COL</t>
        </is>
      </c>
      <c r="B45" s="5" t="inlineStr">
        <is>
          <t>Colombia</t>
        </is>
      </c>
      <c r="C45" s="5" t="inlineStr">
        <is>
          <t>LCN</t>
        </is>
      </c>
      <c r="D45" s="5" t="inlineStr">
        <is>
          <t>UMIC</t>
        </is>
      </c>
      <c r="E45" s="5" t="inlineStr">
        <is>
          <t>Elasticities!54:138-141</t>
        </is>
      </c>
    </row>
    <row r="46">
      <c r="A46" s="5" t="inlineStr">
        <is>
          <t>COM</t>
        </is>
      </c>
      <c r="B46" s="5" t="inlineStr">
        <is>
          <t>Comoros</t>
        </is>
      </c>
      <c r="C46" s="5" t="inlineStr">
        <is>
          <t>SSF</t>
        </is>
      </c>
      <c r="D46" s="5" t="inlineStr">
        <is>
          <t>LIC</t>
        </is>
      </c>
      <c r="E46" s="5" t="inlineStr">
        <is>
          <t>Elasticities!55:138-141</t>
        </is>
      </c>
    </row>
    <row r="47">
      <c r="A47" s="5" t="inlineStr">
        <is>
          <t>CPV</t>
        </is>
      </c>
      <c r="B47" s="5" t="inlineStr">
        <is>
          <t>Cabo Verde</t>
        </is>
      </c>
      <c r="C47" s="5" t="inlineStr">
        <is>
          <t>SSF</t>
        </is>
      </c>
      <c r="D47" s="5" t="inlineStr">
        <is>
          <t>LMIC</t>
        </is>
      </c>
      <c r="E47" s="5" t="inlineStr">
        <is>
          <t>Elasticities!56:138-141</t>
        </is>
      </c>
    </row>
    <row r="48">
      <c r="A48" s="5" t="inlineStr">
        <is>
          <t>CRI</t>
        </is>
      </c>
      <c r="B48" s="5" t="inlineStr">
        <is>
          <t>Costa Rica</t>
        </is>
      </c>
      <c r="C48" s="5" t="inlineStr">
        <is>
          <t>LCN</t>
        </is>
      </c>
      <c r="D48" s="5" t="inlineStr">
        <is>
          <t>UMIC</t>
        </is>
      </c>
      <c r="E48" s="5" t="inlineStr">
        <is>
          <t>Elasticities!57:138-141</t>
        </is>
      </c>
    </row>
    <row r="49">
      <c r="A49" s="5" t="inlineStr">
        <is>
          <t>CUB</t>
        </is>
      </c>
      <c r="B49" s="5" t="inlineStr">
        <is>
          <t>Cuba</t>
        </is>
      </c>
      <c r="C49" s="5" t="inlineStr">
        <is>
          <t>LCN</t>
        </is>
      </c>
      <c r="D49" s="5" t="inlineStr">
        <is>
          <t>UMIC</t>
        </is>
      </c>
      <c r="E49" s="5" t="inlineStr">
        <is>
          <t>Elasticities!58:138-141</t>
        </is>
      </c>
    </row>
    <row r="50">
      <c r="A50" s="5" t="inlineStr">
        <is>
          <t>CUW</t>
        </is>
      </c>
      <c r="B50" s="5" t="inlineStr">
        <is>
          <t>Curaçao</t>
        </is>
      </c>
      <c r="C50" s="5" t="inlineStr">
        <is>
          <t>LCN</t>
        </is>
      </c>
      <c r="D50" s="5" t="inlineStr">
        <is>
          <t>HIC</t>
        </is>
      </c>
      <c r="E50" s="5" t="inlineStr">
        <is>
          <t>Elasticities!59:138-141</t>
        </is>
      </c>
    </row>
    <row r="51">
      <c r="A51" s="5" t="inlineStr">
        <is>
          <t>CYM</t>
        </is>
      </c>
      <c r="B51" s="5" t="inlineStr">
        <is>
          <t>Cayman Islands</t>
        </is>
      </c>
      <c r="C51" s="5" t="inlineStr">
        <is>
          <t>LCN</t>
        </is>
      </c>
      <c r="D51" s="5" t="inlineStr">
        <is>
          <t>HIC</t>
        </is>
      </c>
      <c r="E51" s="5" t="inlineStr">
        <is>
          <t>Elasticities!60:138-141</t>
        </is>
      </c>
    </row>
    <row r="52">
      <c r="A52" s="5" t="inlineStr">
        <is>
          <t>CYP</t>
        </is>
      </c>
      <c r="B52" s="5" t="inlineStr">
        <is>
          <t>Cyprus</t>
        </is>
      </c>
      <c r="C52" s="5" t="inlineStr">
        <is>
          <t>ECS</t>
        </is>
      </c>
      <c r="D52" s="5" t="inlineStr">
        <is>
          <t>HIC</t>
        </is>
      </c>
      <c r="E52" s="5" t="inlineStr">
        <is>
          <t>Elasticities!61:138-141</t>
        </is>
      </c>
    </row>
    <row r="53">
      <c r="A53" s="5" t="inlineStr">
        <is>
          <t>CZE</t>
        </is>
      </c>
      <c r="B53" s="5" t="inlineStr">
        <is>
          <t>Czechia</t>
        </is>
      </c>
      <c r="C53" s="5" t="inlineStr">
        <is>
          <t>ECS</t>
        </is>
      </c>
      <c r="D53" s="5" t="inlineStr">
        <is>
          <t>HIC</t>
        </is>
      </c>
      <c r="E53" s="5" t="inlineStr">
        <is>
          <t>Elasticities!62:138-141</t>
        </is>
      </c>
    </row>
    <row r="54">
      <c r="A54" s="5" t="inlineStr">
        <is>
          <t>DEU</t>
        </is>
      </c>
      <c r="B54" s="5" t="inlineStr">
        <is>
          <t>Germany</t>
        </is>
      </c>
      <c r="C54" s="5" t="inlineStr">
        <is>
          <t>ECS</t>
        </is>
      </c>
      <c r="D54" s="5" t="inlineStr">
        <is>
          <t>HIC</t>
        </is>
      </c>
      <c r="E54" s="5" t="inlineStr">
        <is>
          <t>Elasticities!63:138-141</t>
        </is>
      </c>
    </row>
    <row r="55">
      <c r="A55" s="5" t="inlineStr">
        <is>
          <t>DJI</t>
        </is>
      </c>
      <c r="B55" s="5" t="inlineStr">
        <is>
          <t>Djibouti</t>
        </is>
      </c>
      <c r="C55" s="5" t="inlineStr">
        <is>
          <t>MEA</t>
        </is>
      </c>
      <c r="D55" s="5" t="inlineStr">
        <is>
          <t>LMIC</t>
        </is>
      </c>
      <c r="E55" s="5" t="inlineStr">
        <is>
          <t>Elasticities!64:138-141</t>
        </is>
      </c>
    </row>
    <row r="56">
      <c r="A56" s="5" t="inlineStr">
        <is>
          <t>DMA</t>
        </is>
      </c>
      <c r="B56" s="5" t="inlineStr">
        <is>
          <t>Dominica</t>
        </is>
      </c>
      <c r="C56" s="5" t="inlineStr">
        <is>
          <t>LCN</t>
        </is>
      </c>
      <c r="D56" s="5" t="inlineStr">
        <is>
          <t>UMIC</t>
        </is>
      </c>
      <c r="E56" s="5" t="inlineStr">
        <is>
          <t>Elasticities!65:138-141</t>
        </is>
      </c>
    </row>
    <row r="57">
      <c r="A57" s="5" t="inlineStr">
        <is>
          <t>DNK</t>
        </is>
      </c>
      <c r="B57" s="5" t="inlineStr">
        <is>
          <t>Denmark</t>
        </is>
      </c>
      <c r="C57" s="5" t="inlineStr">
        <is>
          <t>ECS</t>
        </is>
      </c>
      <c r="D57" s="5" t="inlineStr">
        <is>
          <t>HIC</t>
        </is>
      </c>
      <c r="E57" s="5" t="inlineStr">
        <is>
          <t>Elasticities!66:138-141</t>
        </is>
      </c>
    </row>
    <row r="58">
      <c r="A58" s="5" t="inlineStr">
        <is>
          <t>DOM</t>
        </is>
      </c>
      <c r="B58" s="5" t="inlineStr">
        <is>
          <t>Dominican Republic</t>
        </is>
      </c>
      <c r="C58" s="5" t="inlineStr">
        <is>
          <t>LCN</t>
        </is>
      </c>
      <c r="D58" s="5" t="inlineStr">
        <is>
          <t>UMIC</t>
        </is>
      </c>
      <c r="E58" s="5" t="inlineStr">
        <is>
          <t>Elasticities!67:138-141</t>
        </is>
      </c>
    </row>
    <row r="59">
      <c r="A59" s="5" t="inlineStr">
        <is>
          <t>DZA</t>
        </is>
      </c>
      <c r="B59" s="5" t="inlineStr">
        <is>
          <t>Algeria</t>
        </is>
      </c>
      <c r="C59" s="5" t="inlineStr">
        <is>
          <t>MEA</t>
        </is>
      </c>
      <c r="D59" s="5" t="inlineStr">
        <is>
          <t>UMIC</t>
        </is>
      </c>
      <c r="E59" s="5" t="inlineStr">
        <is>
          <t>Elasticities!68:138-141</t>
        </is>
      </c>
    </row>
    <row r="60">
      <c r="A60" s="5" t="inlineStr">
        <is>
          <t>ECU</t>
        </is>
      </c>
      <c r="B60" s="5" t="inlineStr">
        <is>
          <t>Ecuador</t>
        </is>
      </c>
      <c r="C60" s="5" t="inlineStr">
        <is>
          <t>LCN</t>
        </is>
      </c>
      <c r="D60" s="5" t="inlineStr">
        <is>
          <t>UMIC</t>
        </is>
      </c>
      <c r="E60" s="5" t="inlineStr">
        <is>
          <t>Elasticities!69:138-141</t>
        </is>
      </c>
    </row>
    <row r="61">
      <c r="A61" s="5" t="inlineStr">
        <is>
          <t>EGY</t>
        </is>
      </c>
      <c r="B61" s="5" t="inlineStr">
        <is>
          <t>Egypt</t>
        </is>
      </c>
      <c r="C61" s="5" t="inlineStr">
        <is>
          <t>MEA</t>
        </is>
      </c>
      <c r="D61" s="5" t="inlineStr">
        <is>
          <t>LMIC</t>
        </is>
      </c>
      <c r="E61" s="5" t="inlineStr">
        <is>
          <t>Elasticities!70:138-141</t>
        </is>
      </c>
    </row>
    <row r="62">
      <c r="A62" s="5" t="inlineStr">
        <is>
          <t>ERI</t>
        </is>
      </c>
      <c r="B62" s="5" t="inlineStr">
        <is>
          <t>Eritrea</t>
        </is>
      </c>
      <c r="C62" s="5" t="inlineStr">
        <is>
          <t>SSF</t>
        </is>
      </c>
      <c r="D62" s="5" t="inlineStr">
        <is>
          <t>LIC</t>
        </is>
      </c>
      <c r="E62" s="5" t="inlineStr">
        <is>
          <t>Elasticities!71:138-141</t>
        </is>
      </c>
    </row>
    <row r="63">
      <c r="A63" s="5" t="inlineStr">
        <is>
          <t>ESP</t>
        </is>
      </c>
      <c r="B63" s="5" t="inlineStr">
        <is>
          <t>Spain</t>
        </is>
      </c>
      <c r="C63" s="5" t="inlineStr">
        <is>
          <t>ECS</t>
        </is>
      </c>
      <c r="D63" s="5" t="inlineStr">
        <is>
          <t>HIC</t>
        </is>
      </c>
      <c r="E63" s="5" t="inlineStr">
        <is>
          <t>Elasticities!72:138-141</t>
        </is>
      </c>
    </row>
    <row r="64">
      <c r="A64" s="5" t="inlineStr">
        <is>
          <t>EST</t>
        </is>
      </c>
      <c r="B64" s="5" t="inlineStr">
        <is>
          <t>Estonia</t>
        </is>
      </c>
      <c r="C64" s="5" t="inlineStr">
        <is>
          <t>ECS</t>
        </is>
      </c>
      <c r="D64" s="5" t="inlineStr">
        <is>
          <t>HIC</t>
        </is>
      </c>
      <c r="E64" s="5" t="inlineStr">
        <is>
          <t>Elasticities!73:138-141</t>
        </is>
      </c>
    </row>
    <row r="65">
      <c r="A65" s="5" t="inlineStr">
        <is>
          <t>ETH</t>
        </is>
      </c>
      <c r="B65" s="5" t="inlineStr">
        <is>
          <t>Ethiopia</t>
        </is>
      </c>
      <c r="C65" s="5" t="inlineStr">
        <is>
          <t>SSF</t>
        </is>
      </c>
      <c r="D65" s="5" t="inlineStr">
        <is>
          <t>LIC</t>
        </is>
      </c>
      <c r="E65" s="5" t="inlineStr">
        <is>
          <t>Elasticities!74:138-141</t>
        </is>
      </c>
    </row>
    <row r="66">
      <c r="A66" s="5" t="inlineStr">
        <is>
          <t>FIN</t>
        </is>
      </c>
      <c r="B66" s="5" t="inlineStr">
        <is>
          <t>Finland</t>
        </is>
      </c>
      <c r="C66" s="5" t="inlineStr">
        <is>
          <t>ECS</t>
        </is>
      </c>
      <c r="D66" s="5" t="inlineStr">
        <is>
          <t>HIC</t>
        </is>
      </c>
      <c r="E66" s="5" t="inlineStr">
        <is>
          <t>Elasticities!75:138-141</t>
        </is>
      </c>
    </row>
    <row r="67">
      <c r="A67" s="5" t="inlineStr">
        <is>
          <t>FJI</t>
        </is>
      </c>
      <c r="B67" s="5" t="inlineStr">
        <is>
          <t>Fiji</t>
        </is>
      </c>
      <c r="C67" s="5" t="inlineStr">
        <is>
          <t>EAS</t>
        </is>
      </c>
      <c r="D67" s="5" t="inlineStr">
        <is>
          <t>UMIC</t>
        </is>
      </c>
      <c r="E67" s="5" t="inlineStr">
        <is>
          <t>Elasticities!76:138-141</t>
        </is>
      </c>
    </row>
    <row r="68">
      <c r="A68" s="5" t="inlineStr">
        <is>
          <t>FRA</t>
        </is>
      </c>
      <c r="B68" s="5" t="inlineStr">
        <is>
          <t>France</t>
        </is>
      </c>
      <c r="C68" s="5" t="inlineStr">
        <is>
          <t>ECS</t>
        </is>
      </c>
      <c r="D68" s="5" t="inlineStr">
        <is>
          <t>HIC</t>
        </is>
      </c>
      <c r="E68" s="5" t="inlineStr">
        <is>
          <t>Elasticities!77:138-141</t>
        </is>
      </c>
    </row>
    <row r="69">
      <c r="A69" s="5" t="inlineStr">
        <is>
          <t>FRO</t>
        </is>
      </c>
      <c r="B69" s="5" t="inlineStr">
        <is>
          <t>Faroe Islands</t>
        </is>
      </c>
      <c r="C69" s="5" t="inlineStr">
        <is>
          <t>ECS</t>
        </is>
      </c>
      <c r="D69" s="5" t="inlineStr">
        <is>
          <t>HIC</t>
        </is>
      </c>
      <c r="E69" s="5" t="inlineStr">
        <is>
          <t>Elasticities!78:138-141</t>
        </is>
      </c>
    </row>
    <row r="70">
      <c r="A70" s="5" t="inlineStr">
        <is>
          <t>FSM</t>
        </is>
      </c>
      <c r="B70" s="5" t="inlineStr">
        <is>
          <t>Micronesia</t>
        </is>
      </c>
      <c r="C70" s="5" t="inlineStr">
        <is>
          <t>EAS</t>
        </is>
      </c>
      <c r="D70" s="5" t="inlineStr">
        <is>
          <t>LMIC</t>
        </is>
      </c>
      <c r="E70" s="5" t="inlineStr">
        <is>
          <t>Elasticities!79:138-141</t>
        </is>
      </c>
    </row>
    <row r="71">
      <c r="A71" s="5" t="inlineStr">
        <is>
          <t>GAB</t>
        </is>
      </c>
      <c r="B71" s="5" t="inlineStr">
        <is>
          <t>Gabon</t>
        </is>
      </c>
      <c r="C71" s="5" t="inlineStr">
        <is>
          <t>SSF</t>
        </is>
      </c>
      <c r="D71" s="5" t="inlineStr">
        <is>
          <t>UMIC</t>
        </is>
      </c>
      <c r="E71" s="5" t="inlineStr">
        <is>
          <t>Elasticities!80:138-141</t>
        </is>
      </c>
    </row>
    <row r="72">
      <c r="A72" s="5" t="inlineStr">
        <is>
          <t>GBR</t>
        </is>
      </c>
      <c r="B72" s="5" t="inlineStr">
        <is>
          <t>United Kingdom</t>
        </is>
      </c>
      <c r="C72" s="5" t="inlineStr">
        <is>
          <t>ECS</t>
        </is>
      </c>
      <c r="D72" s="5" t="inlineStr">
        <is>
          <t>HIC</t>
        </is>
      </c>
      <c r="E72" s="5" t="inlineStr">
        <is>
          <t>Elasticities!81:138-141</t>
        </is>
      </c>
    </row>
    <row r="73">
      <c r="A73" s="5" t="inlineStr">
        <is>
          <t>GEO</t>
        </is>
      </c>
      <c r="B73" s="5" t="inlineStr">
        <is>
          <t>Georgia</t>
        </is>
      </c>
      <c r="C73" s="5" t="inlineStr">
        <is>
          <t>ECS</t>
        </is>
      </c>
      <c r="D73" s="5" t="inlineStr">
        <is>
          <t>LMIC</t>
        </is>
      </c>
      <c r="E73" s="5" t="inlineStr">
        <is>
          <t>Elasticities!82:138-141</t>
        </is>
      </c>
    </row>
    <row r="74">
      <c r="A74" s="5" t="inlineStr">
        <is>
          <t>GHA</t>
        </is>
      </c>
      <c r="B74" s="5" t="inlineStr">
        <is>
          <t>Ghana</t>
        </is>
      </c>
      <c r="C74" s="5" t="inlineStr">
        <is>
          <t>SSF</t>
        </is>
      </c>
      <c r="D74" s="5" t="inlineStr">
        <is>
          <t>LMIC</t>
        </is>
      </c>
      <c r="E74" s="5" t="inlineStr">
        <is>
          <t>Elasticities!83:138-141</t>
        </is>
      </c>
    </row>
    <row r="75">
      <c r="A75" s="5" t="inlineStr">
        <is>
          <t>GIB</t>
        </is>
      </c>
      <c r="B75" s="5" t="inlineStr">
        <is>
          <t>Gibraltar</t>
        </is>
      </c>
      <c r="C75" s="5" t="inlineStr">
        <is>
          <t>ECS</t>
        </is>
      </c>
      <c r="D75" s="5" t="inlineStr">
        <is>
          <t>HIC</t>
        </is>
      </c>
      <c r="E75" s="5" t="inlineStr">
        <is>
          <t>Elasticities!84:138-141</t>
        </is>
      </c>
    </row>
    <row r="76">
      <c r="A76" s="5" t="inlineStr">
        <is>
          <t>GIN</t>
        </is>
      </c>
      <c r="B76" s="5" t="inlineStr">
        <is>
          <t>Guinea</t>
        </is>
      </c>
      <c r="C76" s="5" t="inlineStr">
        <is>
          <t>SSF</t>
        </is>
      </c>
      <c r="D76" s="5" t="inlineStr">
        <is>
          <t>LIC</t>
        </is>
      </c>
      <c r="E76" s="5" t="inlineStr">
        <is>
          <t>Elasticities!85:138-141</t>
        </is>
      </c>
    </row>
    <row r="77">
      <c r="A77" s="5" t="inlineStr">
        <is>
          <t>GMB</t>
        </is>
      </c>
      <c r="B77" s="5" t="inlineStr">
        <is>
          <t>Gambia, The</t>
        </is>
      </c>
      <c r="C77" s="5" t="inlineStr">
        <is>
          <t>SSF</t>
        </is>
      </c>
      <c r="D77" s="5" t="inlineStr">
        <is>
          <t>LIC</t>
        </is>
      </c>
      <c r="E77" s="5" t="inlineStr">
        <is>
          <t>Elasticities!86:138-141</t>
        </is>
      </c>
    </row>
    <row r="78">
      <c r="A78" s="5" t="inlineStr">
        <is>
          <t>GNB</t>
        </is>
      </c>
      <c r="B78" s="5" t="inlineStr">
        <is>
          <t>Guinea-Bissau</t>
        </is>
      </c>
      <c r="C78" s="5" t="inlineStr">
        <is>
          <t>SSF</t>
        </is>
      </c>
      <c r="D78" s="5" t="inlineStr">
        <is>
          <t>LIC</t>
        </is>
      </c>
      <c r="E78" s="5" t="inlineStr">
        <is>
          <t>Elasticities!87:138-141</t>
        </is>
      </c>
    </row>
    <row r="79">
      <c r="A79" s="5" t="inlineStr">
        <is>
          <t>GNQ</t>
        </is>
      </c>
      <c r="B79" s="5" t="inlineStr">
        <is>
          <t>Equatorial Guinea</t>
        </is>
      </c>
      <c r="C79" s="5" t="inlineStr">
        <is>
          <t>SSF</t>
        </is>
      </c>
      <c r="D79" s="5" t="inlineStr">
        <is>
          <t>UMIC</t>
        </is>
      </c>
      <c r="E79" s="5" t="inlineStr">
        <is>
          <t>Elasticities!88:138-141</t>
        </is>
      </c>
    </row>
    <row r="80">
      <c r="A80" s="5" t="inlineStr">
        <is>
          <t>GRC</t>
        </is>
      </c>
      <c r="B80" s="5" t="inlineStr">
        <is>
          <t>Greece</t>
        </is>
      </c>
      <c r="C80" s="5" t="inlineStr">
        <is>
          <t>ECS</t>
        </is>
      </c>
      <c r="D80" s="5" t="inlineStr">
        <is>
          <t>HIC</t>
        </is>
      </c>
      <c r="E80" s="5" t="inlineStr">
        <is>
          <t>Elasticities!89:138-141</t>
        </is>
      </c>
    </row>
    <row r="81">
      <c r="A81" s="5" t="inlineStr">
        <is>
          <t>GRD</t>
        </is>
      </c>
      <c r="B81" s="5" t="inlineStr">
        <is>
          <t>Grenada</t>
        </is>
      </c>
      <c r="C81" s="5" t="inlineStr">
        <is>
          <t>LCN</t>
        </is>
      </c>
      <c r="D81" s="5" t="inlineStr">
        <is>
          <t>UMIC</t>
        </is>
      </c>
      <c r="E81" s="5" t="inlineStr">
        <is>
          <t>Elasticities!90:138-141</t>
        </is>
      </c>
    </row>
    <row r="82">
      <c r="A82" s="5" t="inlineStr">
        <is>
          <t>GRL</t>
        </is>
      </c>
      <c r="B82" s="5" t="inlineStr">
        <is>
          <t>Greenland</t>
        </is>
      </c>
      <c r="C82" s="5" t="inlineStr">
        <is>
          <t>ECS</t>
        </is>
      </c>
      <c r="D82" s="5" t="inlineStr">
        <is>
          <t>HIC</t>
        </is>
      </c>
      <c r="E82" s="5" t="inlineStr">
        <is>
          <t>Elasticities!91:138-141</t>
        </is>
      </c>
    </row>
    <row r="83">
      <c r="A83" s="5" t="inlineStr">
        <is>
          <t>GTM</t>
        </is>
      </c>
      <c r="B83" s="5" t="inlineStr">
        <is>
          <t>Guatemala</t>
        </is>
      </c>
      <c r="C83" s="5" t="inlineStr">
        <is>
          <t>LCN</t>
        </is>
      </c>
      <c r="D83" s="5" t="inlineStr">
        <is>
          <t>UMIC</t>
        </is>
      </c>
      <c r="E83" s="5" t="inlineStr">
        <is>
          <t>Elasticities!92:138-141</t>
        </is>
      </c>
    </row>
    <row r="84">
      <c r="A84" s="5" t="inlineStr">
        <is>
          <t>GUM</t>
        </is>
      </c>
      <c r="B84" s="5" t="inlineStr">
        <is>
          <t>Guam</t>
        </is>
      </c>
      <c r="C84" s="5" t="inlineStr">
        <is>
          <t>EAS</t>
        </is>
      </c>
      <c r="D84" s="5" t="inlineStr">
        <is>
          <t>HIC</t>
        </is>
      </c>
      <c r="E84" s="5" t="inlineStr">
        <is>
          <t>Elasticities!93:138-141</t>
        </is>
      </c>
    </row>
    <row r="85">
      <c r="A85" s="5" t="inlineStr">
        <is>
          <t>GUY</t>
        </is>
      </c>
      <c r="B85" s="5" t="inlineStr">
        <is>
          <t>Guyana</t>
        </is>
      </c>
      <c r="C85" s="5" t="inlineStr">
        <is>
          <t>LCN</t>
        </is>
      </c>
      <c r="D85" s="5" t="inlineStr">
        <is>
          <t>UMIC</t>
        </is>
      </c>
      <c r="E85" s="5" t="inlineStr">
        <is>
          <t>Elasticities!94:138-141</t>
        </is>
      </c>
    </row>
    <row r="86">
      <c r="A86" s="5" t="inlineStr">
        <is>
          <t>HIC</t>
        </is>
      </c>
      <c r="B86" s="5" t="inlineStr">
        <is>
          <t>HIC</t>
        </is>
      </c>
      <c r="C86" s="5" t="inlineStr">
        <is>
          <t>N/A</t>
        </is>
      </c>
      <c r="D86" s="5" t="inlineStr">
        <is>
          <t>HIC</t>
        </is>
      </c>
      <c r="E86" s="5" t="inlineStr">
        <is>
          <t>Elasticities!95:138-141</t>
        </is>
      </c>
    </row>
    <row r="87">
      <c r="A87" s="5" t="inlineStr">
        <is>
          <t>HKG</t>
        </is>
      </c>
      <c r="B87" s="5" t="inlineStr">
        <is>
          <t>Hong Kong SAR</t>
        </is>
      </c>
      <c r="C87" s="5" t="inlineStr">
        <is>
          <t>EAS</t>
        </is>
      </c>
      <c r="D87" s="5" t="inlineStr">
        <is>
          <t>HIC</t>
        </is>
      </c>
      <c r="E87" s="5" t="inlineStr">
        <is>
          <t>Elasticities!96:138-141</t>
        </is>
      </c>
    </row>
    <row r="88">
      <c r="A88" s="5" t="inlineStr">
        <is>
          <t>HND</t>
        </is>
      </c>
      <c r="B88" s="5" t="inlineStr">
        <is>
          <t>Honduras</t>
        </is>
      </c>
      <c r="C88" s="5" t="inlineStr">
        <is>
          <t>LCN</t>
        </is>
      </c>
      <c r="D88" s="5" t="inlineStr">
        <is>
          <t>LMIC</t>
        </is>
      </c>
      <c r="E88" s="5" t="inlineStr">
        <is>
          <t>Elasticities!97:138-141</t>
        </is>
      </c>
    </row>
    <row r="89">
      <c r="A89" s="5" t="inlineStr">
        <is>
          <t>HRV</t>
        </is>
      </c>
      <c r="B89" s="5" t="inlineStr">
        <is>
          <t>Croatia</t>
        </is>
      </c>
      <c r="C89" s="5" t="inlineStr">
        <is>
          <t>ECS</t>
        </is>
      </c>
      <c r="D89" s="5" t="inlineStr">
        <is>
          <t>HIC</t>
        </is>
      </c>
      <c r="E89" s="5" t="inlineStr">
        <is>
          <t>Elasticities!98:138-141</t>
        </is>
      </c>
    </row>
    <row r="90">
      <c r="A90" s="5" t="inlineStr">
        <is>
          <t>HTI</t>
        </is>
      </c>
      <c r="B90" s="5" t="inlineStr">
        <is>
          <t>Haiti</t>
        </is>
      </c>
      <c r="C90" s="5" t="inlineStr">
        <is>
          <t>LCN</t>
        </is>
      </c>
      <c r="D90" s="5" t="inlineStr">
        <is>
          <t>LIC</t>
        </is>
      </c>
      <c r="E90" s="5" t="inlineStr">
        <is>
          <t>Elasticities!99:138-141</t>
        </is>
      </c>
    </row>
    <row r="91">
      <c r="A91" s="5" t="inlineStr">
        <is>
          <t>HUN</t>
        </is>
      </c>
      <c r="B91" s="5" t="inlineStr">
        <is>
          <t>Hungary</t>
        </is>
      </c>
      <c r="C91" s="5" t="inlineStr">
        <is>
          <t>ECS</t>
        </is>
      </c>
      <c r="D91" s="5" t="inlineStr">
        <is>
          <t>HIC</t>
        </is>
      </c>
      <c r="E91" s="5" t="inlineStr">
        <is>
          <t>Elasticities!100:138-141</t>
        </is>
      </c>
    </row>
    <row r="92">
      <c r="A92" s="5" t="inlineStr">
        <is>
          <t>IDN</t>
        </is>
      </c>
      <c r="B92" s="5" t="inlineStr">
        <is>
          <t>Indonesia</t>
        </is>
      </c>
      <c r="C92" s="5" t="inlineStr">
        <is>
          <t>EAS</t>
        </is>
      </c>
      <c r="D92" s="5" t="inlineStr">
        <is>
          <t>LMIC</t>
        </is>
      </c>
      <c r="E92" s="5" t="inlineStr">
        <is>
          <t>Elasticities!101:138-141</t>
        </is>
      </c>
    </row>
    <row r="93">
      <c r="A93" s="5" t="inlineStr">
        <is>
          <t>IMN</t>
        </is>
      </c>
      <c r="B93" s="5" t="inlineStr">
        <is>
          <t>Isle of Man</t>
        </is>
      </c>
      <c r="C93" s="5" t="inlineStr">
        <is>
          <t>ECS</t>
        </is>
      </c>
      <c r="D93" s="5" t="inlineStr">
        <is>
          <t>HIC</t>
        </is>
      </c>
      <c r="E93" s="5" t="inlineStr">
        <is>
          <t>Elasticities!102:138-141</t>
        </is>
      </c>
    </row>
    <row r="94">
      <c r="A94" s="5" t="inlineStr">
        <is>
          <t>IND</t>
        </is>
      </c>
      <c r="B94" s="5" t="inlineStr">
        <is>
          <t>India</t>
        </is>
      </c>
      <c r="C94" s="5" t="inlineStr">
        <is>
          <t>SAS</t>
        </is>
      </c>
      <c r="D94" s="5" t="inlineStr">
        <is>
          <t>LMIC</t>
        </is>
      </c>
      <c r="E94" s="5" t="inlineStr">
        <is>
          <t>Elasticities!103:138-141</t>
        </is>
      </c>
    </row>
    <row r="95">
      <c r="A95" s="5" t="inlineStr">
        <is>
          <t>IRL</t>
        </is>
      </c>
      <c r="B95" s="5" t="inlineStr">
        <is>
          <t>Ireland</t>
        </is>
      </c>
      <c r="C95" s="5" t="inlineStr">
        <is>
          <t>ECS</t>
        </is>
      </c>
      <c r="D95" s="5" t="inlineStr">
        <is>
          <t>HIC</t>
        </is>
      </c>
      <c r="E95" s="5" t="inlineStr">
        <is>
          <t>Elasticities!104:138-141</t>
        </is>
      </c>
    </row>
    <row r="96">
      <c r="A96" s="5" t="inlineStr">
        <is>
          <t>IRN</t>
        </is>
      </c>
      <c r="B96" s="5" t="inlineStr">
        <is>
          <t>Iran</t>
        </is>
      </c>
      <c r="C96" s="5" t="inlineStr">
        <is>
          <t>MEA</t>
        </is>
      </c>
      <c r="D96" s="5" t="inlineStr">
        <is>
          <t>UMIC</t>
        </is>
      </c>
      <c r="E96" s="5" t="inlineStr">
        <is>
          <t>Elasticities!105:138-141</t>
        </is>
      </c>
    </row>
    <row r="97">
      <c r="A97" s="5" t="inlineStr">
        <is>
          <t>IRQ</t>
        </is>
      </c>
      <c r="B97" s="5" t="inlineStr">
        <is>
          <t>Iraq</t>
        </is>
      </c>
      <c r="C97" s="5" t="inlineStr">
        <is>
          <t>MEA</t>
        </is>
      </c>
      <c r="D97" s="5" t="inlineStr">
        <is>
          <t>UMIC</t>
        </is>
      </c>
      <c r="E97" s="5" t="inlineStr">
        <is>
          <t>Elasticities!106:138-141</t>
        </is>
      </c>
    </row>
    <row r="98">
      <c r="A98" s="5" t="inlineStr">
        <is>
          <t>ISL</t>
        </is>
      </c>
      <c r="B98" s="5" t="inlineStr">
        <is>
          <t>Iceland</t>
        </is>
      </c>
      <c r="C98" s="5" t="inlineStr">
        <is>
          <t>ECS</t>
        </is>
      </c>
      <c r="D98" s="5" t="inlineStr">
        <is>
          <t>HIC</t>
        </is>
      </c>
      <c r="E98" s="5" t="inlineStr">
        <is>
          <t>Elasticities!107:138-141</t>
        </is>
      </c>
    </row>
    <row r="99">
      <c r="A99" s="5" t="inlineStr">
        <is>
          <t>ISR</t>
        </is>
      </c>
      <c r="B99" s="5" t="inlineStr">
        <is>
          <t>Israel</t>
        </is>
      </c>
      <c r="C99" s="5" t="inlineStr">
        <is>
          <t>MEA</t>
        </is>
      </c>
      <c r="D99" s="5" t="inlineStr">
        <is>
          <t>HIC</t>
        </is>
      </c>
      <c r="E99" s="5" t="inlineStr">
        <is>
          <t>Elasticities!108:138-141</t>
        </is>
      </c>
    </row>
    <row r="100">
      <c r="A100" s="5" t="inlineStr">
        <is>
          <t>ITA</t>
        </is>
      </c>
      <c r="B100" s="5" t="inlineStr">
        <is>
          <t>Italy</t>
        </is>
      </c>
      <c r="C100" s="5" t="inlineStr">
        <is>
          <t>ECS</t>
        </is>
      </c>
      <c r="D100" s="5" t="inlineStr">
        <is>
          <t>HIC</t>
        </is>
      </c>
      <c r="E100" s="5" t="inlineStr">
        <is>
          <t>Elasticities!109:138-141</t>
        </is>
      </c>
    </row>
    <row r="101">
      <c r="A101" s="5" t="inlineStr">
        <is>
          <t>JAM</t>
        </is>
      </c>
      <c r="B101" s="5" t="inlineStr">
        <is>
          <t>Jamaica</t>
        </is>
      </c>
      <c r="C101" s="5" t="inlineStr">
        <is>
          <t>LCN</t>
        </is>
      </c>
      <c r="D101" s="5" t="inlineStr">
        <is>
          <t>UMIC</t>
        </is>
      </c>
      <c r="E101" s="5" t="inlineStr">
        <is>
          <t>Elasticities!110:138-141</t>
        </is>
      </c>
    </row>
    <row r="102">
      <c r="A102" s="5" t="inlineStr">
        <is>
          <t>JOR</t>
        </is>
      </c>
      <c r="B102" s="5" t="inlineStr">
        <is>
          <t>Jordan</t>
        </is>
      </c>
      <c r="C102" s="5" t="inlineStr">
        <is>
          <t>MEA</t>
        </is>
      </c>
      <c r="D102" s="5" t="inlineStr">
        <is>
          <t>UMIC</t>
        </is>
      </c>
      <c r="E102" s="5" t="inlineStr">
        <is>
          <t>Elasticities!111:138-141</t>
        </is>
      </c>
    </row>
    <row r="103">
      <c r="A103" s="5" t="inlineStr">
        <is>
          <t>JPN</t>
        </is>
      </c>
      <c r="B103" s="5" t="inlineStr">
        <is>
          <t>Japan</t>
        </is>
      </c>
      <c r="C103" s="5" t="inlineStr">
        <is>
          <t>EAS</t>
        </is>
      </c>
      <c r="D103" s="5" t="inlineStr">
        <is>
          <t>HIC</t>
        </is>
      </c>
      <c r="E103" s="5" t="inlineStr">
        <is>
          <t>Elasticities!112:138-141</t>
        </is>
      </c>
    </row>
    <row r="104">
      <c r="A104" s="5" t="inlineStr">
        <is>
          <t>KAZ</t>
        </is>
      </c>
      <c r="B104" s="5" t="inlineStr">
        <is>
          <t>Kazakhstan</t>
        </is>
      </c>
      <c r="C104" s="5" t="inlineStr">
        <is>
          <t>ECS</t>
        </is>
      </c>
      <c r="D104" s="5" t="inlineStr">
        <is>
          <t>UMIC</t>
        </is>
      </c>
      <c r="E104" s="5" t="inlineStr">
        <is>
          <t>Elasticities!113:138-141</t>
        </is>
      </c>
    </row>
    <row r="105">
      <c r="A105" s="5" t="inlineStr">
        <is>
          <t>KEN</t>
        </is>
      </c>
      <c r="B105" s="5" t="inlineStr">
        <is>
          <t>Kenya</t>
        </is>
      </c>
      <c r="C105" s="5" t="inlineStr">
        <is>
          <t>SSF</t>
        </is>
      </c>
      <c r="D105" s="5" t="inlineStr">
        <is>
          <t>LMIC</t>
        </is>
      </c>
      <c r="E105" s="5" t="inlineStr">
        <is>
          <t>Elasticities!114:138-141</t>
        </is>
      </c>
    </row>
    <row r="106">
      <c r="A106" s="5" t="inlineStr">
        <is>
          <t>KGZ</t>
        </is>
      </c>
      <c r="B106" s="5" t="inlineStr">
        <is>
          <t>Kyrgyz Republic</t>
        </is>
      </c>
      <c r="C106" s="5" t="inlineStr">
        <is>
          <t>ECS</t>
        </is>
      </c>
      <c r="D106" s="5" t="inlineStr">
        <is>
          <t>LMIC</t>
        </is>
      </c>
      <c r="E106" s="5" t="inlineStr">
        <is>
          <t>Elasticities!115:138-141</t>
        </is>
      </c>
    </row>
    <row r="107">
      <c r="A107" s="5" t="inlineStr">
        <is>
          <t>KHM</t>
        </is>
      </c>
      <c r="B107" s="5" t="inlineStr">
        <is>
          <t>Cambodia</t>
        </is>
      </c>
      <c r="C107" s="5" t="inlineStr">
        <is>
          <t>EAS</t>
        </is>
      </c>
      <c r="D107" s="5" t="inlineStr">
        <is>
          <t>LMIC</t>
        </is>
      </c>
      <c r="E107" s="5" t="inlineStr">
        <is>
          <t>Elasticities!116:138-141</t>
        </is>
      </c>
    </row>
    <row r="108">
      <c r="A108" s="5" t="inlineStr">
        <is>
          <t>KIR</t>
        </is>
      </c>
      <c r="B108" s="5" t="inlineStr">
        <is>
          <t>Kiribati</t>
        </is>
      </c>
      <c r="C108" s="5" t="inlineStr">
        <is>
          <t>EAS</t>
        </is>
      </c>
      <c r="D108" s="5" t="inlineStr">
        <is>
          <t>LMIC</t>
        </is>
      </c>
      <c r="E108" s="5" t="inlineStr">
        <is>
          <t>Elasticities!117:138-141</t>
        </is>
      </c>
    </row>
    <row r="109">
      <c r="A109" s="5" t="inlineStr">
        <is>
          <t>KNA</t>
        </is>
      </c>
      <c r="B109" s="5" t="inlineStr">
        <is>
          <t>St. Kitts and Nevis</t>
        </is>
      </c>
      <c r="C109" s="5" t="inlineStr">
        <is>
          <t>LCN</t>
        </is>
      </c>
      <c r="D109" s="5" t="inlineStr">
        <is>
          <t>HIC</t>
        </is>
      </c>
      <c r="E109" s="5" t="inlineStr">
        <is>
          <t>Elasticities!118:138-141</t>
        </is>
      </c>
    </row>
    <row r="110">
      <c r="A110" s="5" t="inlineStr">
        <is>
          <t>KOR</t>
        </is>
      </c>
      <c r="B110" s="5" t="inlineStr">
        <is>
          <t>Korea</t>
        </is>
      </c>
      <c r="C110" s="5" t="inlineStr">
        <is>
          <t>EAS</t>
        </is>
      </c>
      <c r="D110" s="5" t="inlineStr">
        <is>
          <t>HIC</t>
        </is>
      </c>
      <c r="E110" s="5" t="inlineStr">
        <is>
          <t>Elasticities!119:138-141</t>
        </is>
      </c>
    </row>
    <row r="111">
      <c r="A111" s="5" t="inlineStr">
        <is>
          <t>KWT</t>
        </is>
      </c>
      <c r="B111" s="5" t="inlineStr">
        <is>
          <t>Kuwait</t>
        </is>
      </c>
      <c r="C111" s="5" t="inlineStr">
        <is>
          <t>MEA</t>
        </is>
      </c>
      <c r="D111" s="5" t="inlineStr">
        <is>
          <t>HIC</t>
        </is>
      </c>
      <c r="E111" s="5" t="inlineStr">
        <is>
          <t>Elasticities!120:138-141</t>
        </is>
      </c>
    </row>
    <row r="112">
      <c r="A112" s="5" t="inlineStr">
        <is>
          <t>LAO</t>
        </is>
      </c>
      <c r="B112" s="5" t="inlineStr">
        <is>
          <t>Lao P.D.R.</t>
        </is>
      </c>
      <c r="C112" s="5" t="inlineStr">
        <is>
          <t>EAS</t>
        </is>
      </c>
      <c r="D112" s="5" t="inlineStr">
        <is>
          <t>LMIC</t>
        </is>
      </c>
      <c r="E112" s="5" t="inlineStr">
        <is>
          <t>Elasticities!121:138-141</t>
        </is>
      </c>
    </row>
    <row r="113">
      <c r="A113" s="5" t="inlineStr">
        <is>
          <t>LBN</t>
        </is>
      </c>
      <c r="B113" s="5" t="inlineStr">
        <is>
          <t>Lebanon</t>
        </is>
      </c>
      <c r="C113" s="5" t="inlineStr">
        <is>
          <t>MEA</t>
        </is>
      </c>
      <c r="D113" s="5" t="inlineStr">
        <is>
          <t>UMIC</t>
        </is>
      </c>
      <c r="E113" s="5" t="inlineStr">
        <is>
          <t>Elasticities!122:138-141</t>
        </is>
      </c>
    </row>
    <row r="114">
      <c r="A114" s="5" t="inlineStr">
        <is>
          <t>LBR</t>
        </is>
      </c>
      <c r="B114" s="5" t="inlineStr">
        <is>
          <t>Liberia</t>
        </is>
      </c>
      <c r="C114" s="5" t="inlineStr">
        <is>
          <t>SSF</t>
        </is>
      </c>
      <c r="D114" s="5" t="inlineStr">
        <is>
          <t>LIC</t>
        </is>
      </c>
      <c r="E114" s="5" t="inlineStr">
        <is>
          <t>Elasticities!123:138-141</t>
        </is>
      </c>
    </row>
    <row r="115">
      <c r="A115" s="5" t="inlineStr">
        <is>
          <t>LBY</t>
        </is>
      </c>
      <c r="B115" s="5" t="inlineStr">
        <is>
          <t>Libya</t>
        </is>
      </c>
      <c r="C115" s="5" t="inlineStr">
        <is>
          <t>MEA</t>
        </is>
      </c>
      <c r="D115" s="5" t="inlineStr">
        <is>
          <t>UMIC</t>
        </is>
      </c>
      <c r="E115" s="5" t="inlineStr">
        <is>
          <t>Elasticities!124:138-141</t>
        </is>
      </c>
    </row>
    <row r="116">
      <c r="A116" s="5" t="inlineStr">
        <is>
          <t>LCA</t>
        </is>
      </c>
      <c r="B116" s="5" t="inlineStr">
        <is>
          <t>St. Lucia</t>
        </is>
      </c>
      <c r="C116" s="5" t="inlineStr">
        <is>
          <t>LCN</t>
        </is>
      </c>
      <c r="D116" s="5" t="inlineStr">
        <is>
          <t>UMIC</t>
        </is>
      </c>
      <c r="E116" s="5" t="inlineStr">
        <is>
          <t>Elasticities!125:138-141</t>
        </is>
      </c>
    </row>
    <row r="117">
      <c r="A117" s="5" t="inlineStr">
        <is>
          <t>LIE</t>
        </is>
      </c>
      <c r="B117" s="5" t="inlineStr">
        <is>
          <t>Liechtenstein</t>
        </is>
      </c>
      <c r="C117" s="5" t="inlineStr">
        <is>
          <t>ECS</t>
        </is>
      </c>
      <c r="D117" s="5" t="inlineStr">
        <is>
          <t>HIC</t>
        </is>
      </c>
      <c r="E117" s="5" t="inlineStr">
        <is>
          <t>Elasticities!126:138-141</t>
        </is>
      </c>
    </row>
    <row r="118">
      <c r="A118" s="5" t="inlineStr">
        <is>
          <t>LKA</t>
        </is>
      </c>
      <c r="B118" s="5" t="inlineStr">
        <is>
          <t>Sri Lanka</t>
        </is>
      </c>
      <c r="C118" s="5" t="inlineStr">
        <is>
          <t>SAS</t>
        </is>
      </c>
      <c r="D118" s="5" t="inlineStr">
        <is>
          <t>LMIC</t>
        </is>
      </c>
      <c r="E118" s="5" t="inlineStr">
        <is>
          <t>Elasticities!127:138-141</t>
        </is>
      </c>
    </row>
    <row r="119">
      <c r="A119" s="5" t="inlineStr">
        <is>
          <t>LSO</t>
        </is>
      </c>
      <c r="B119" s="5" t="inlineStr">
        <is>
          <t>Lesotho</t>
        </is>
      </c>
      <c r="C119" s="5" t="inlineStr">
        <is>
          <t>SSF</t>
        </is>
      </c>
      <c r="D119" s="5" t="inlineStr">
        <is>
          <t>LMIC</t>
        </is>
      </c>
      <c r="E119" s="5" t="inlineStr">
        <is>
          <t>Elasticities!128:138-141</t>
        </is>
      </c>
    </row>
    <row r="120">
      <c r="A120" s="5" t="inlineStr">
        <is>
          <t>LTU</t>
        </is>
      </c>
      <c r="B120" s="5" t="inlineStr">
        <is>
          <t>Lithuania</t>
        </is>
      </c>
      <c r="C120" s="5" t="inlineStr">
        <is>
          <t>ECS</t>
        </is>
      </c>
      <c r="D120" s="5" t="inlineStr">
        <is>
          <t>HIC</t>
        </is>
      </c>
      <c r="E120" s="5" t="inlineStr">
        <is>
          <t>Elasticities!129:138-141</t>
        </is>
      </c>
    </row>
    <row r="121">
      <c r="A121" s="5" t="inlineStr">
        <is>
          <t>LUX</t>
        </is>
      </c>
      <c r="B121" s="5" t="inlineStr">
        <is>
          <t>Luxembourg</t>
        </is>
      </c>
      <c r="C121" s="5" t="inlineStr">
        <is>
          <t>ECS</t>
        </is>
      </c>
      <c r="D121" s="5" t="inlineStr">
        <is>
          <t>HIC</t>
        </is>
      </c>
      <c r="E121" s="5" t="inlineStr">
        <is>
          <t>Elasticities!130:138-141</t>
        </is>
      </c>
    </row>
    <row r="122">
      <c r="A122" s="5" t="inlineStr">
        <is>
          <t>LVA</t>
        </is>
      </c>
      <c r="B122" s="5" t="inlineStr">
        <is>
          <t>Latvia</t>
        </is>
      </c>
      <c r="C122" s="5" t="inlineStr">
        <is>
          <t>ECS</t>
        </is>
      </c>
      <c r="D122" s="5" t="inlineStr">
        <is>
          <t>HIC</t>
        </is>
      </c>
      <c r="E122" s="5" t="inlineStr">
        <is>
          <t>Elasticities!131:138-141</t>
        </is>
      </c>
    </row>
    <row r="123">
      <c r="A123" s="5" t="inlineStr">
        <is>
          <t>MAC</t>
        </is>
      </c>
      <c r="B123" s="5" t="inlineStr">
        <is>
          <t>Macao SAR</t>
        </is>
      </c>
      <c r="C123" s="5" t="inlineStr">
        <is>
          <t>EAS</t>
        </is>
      </c>
      <c r="D123" s="5" t="inlineStr">
        <is>
          <t>HIC</t>
        </is>
      </c>
      <c r="E123" s="5" t="inlineStr">
        <is>
          <t>Elasticities!132:138-141</t>
        </is>
      </c>
    </row>
    <row r="124">
      <c r="A124" s="5" t="inlineStr">
        <is>
          <t>MAF</t>
        </is>
      </c>
      <c r="B124" s="5" t="inlineStr">
        <is>
          <t>St. Martin (French part)</t>
        </is>
      </c>
      <c r="C124" s="5" t="inlineStr">
        <is>
          <t>LCN</t>
        </is>
      </c>
      <c r="D124" s="5" t="inlineStr">
        <is>
          <t>HIC</t>
        </is>
      </c>
      <c r="E124" s="5" t="inlineStr">
        <is>
          <t>Elasticities!133:138-141</t>
        </is>
      </c>
    </row>
    <row r="125">
      <c r="A125" s="5" t="inlineStr">
        <is>
          <t>MAR</t>
        </is>
      </c>
      <c r="B125" s="5" t="inlineStr">
        <is>
          <t>Morocco</t>
        </is>
      </c>
      <c r="C125" s="5" t="inlineStr">
        <is>
          <t>MEA</t>
        </is>
      </c>
      <c r="D125" s="5" t="inlineStr">
        <is>
          <t>LMIC</t>
        </is>
      </c>
      <c r="E125" s="5" t="inlineStr">
        <is>
          <t>Elasticities!134:138-141</t>
        </is>
      </c>
    </row>
    <row r="126">
      <c r="A126" s="5" t="inlineStr">
        <is>
          <t>MCO</t>
        </is>
      </c>
      <c r="B126" s="5" t="inlineStr">
        <is>
          <t>Monaco</t>
        </is>
      </c>
      <c r="C126" s="5" t="inlineStr">
        <is>
          <t>ECS</t>
        </is>
      </c>
      <c r="D126" s="5" t="inlineStr">
        <is>
          <t>HIC</t>
        </is>
      </c>
      <c r="E126" s="5" t="inlineStr">
        <is>
          <t>Elasticities!135:138-141</t>
        </is>
      </c>
    </row>
    <row r="127">
      <c r="A127" s="5" t="inlineStr">
        <is>
          <t>MDA</t>
        </is>
      </c>
      <c r="B127" s="5" t="inlineStr">
        <is>
          <t>Moldova</t>
        </is>
      </c>
      <c r="C127" s="5" t="inlineStr">
        <is>
          <t>ECS</t>
        </is>
      </c>
      <c r="D127" s="5" t="inlineStr">
        <is>
          <t>LMIC</t>
        </is>
      </c>
      <c r="E127" s="5" t="inlineStr">
        <is>
          <t>Elasticities!136:138-141</t>
        </is>
      </c>
    </row>
    <row r="128">
      <c r="A128" s="5" t="inlineStr">
        <is>
          <t>MDG</t>
        </is>
      </c>
      <c r="B128" s="5" t="inlineStr">
        <is>
          <t>Madagascar</t>
        </is>
      </c>
      <c r="C128" s="5" t="inlineStr">
        <is>
          <t>SSF</t>
        </is>
      </c>
      <c r="D128" s="5" t="inlineStr">
        <is>
          <t>LIC</t>
        </is>
      </c>
      <c r="E128" s="5" t="inlineStr">
        <is>
          <t>Elasticities!137:138-141</t>
        </is>
      </c>
    </row>
    <row r="129">
      <c r="A129" s="5" t="inlineStr">
        <is>
          <t>MDV</t>
        </is>
      </c>
      <c r="B129" s="5" t="inlineStr">
        <is>
          <t>Maldives</t>
        </is>
      </c>
      <c r="C129" s="5" t="inlineStr">
        <is>
          <t>SAS</t>
        </is>
      </c>
      <c r="D129" s="5" t="inlineStr">
        <is>
          <t>UMIC</t>
        </is>
      </c>
      <c r="E129" s="5" t="inlineStr">
        <is>
          <t>Elasticities!138:138-141</t>
        </is>
      </c>
    </row>
    <row r="130">
      <c r="A130" s="5" t="inlineStr">
        <is>
          <t>MEX</t>
        </is>
      </c>
      <c r="B130" s="5" t="inlineStr">
        <is>
          <t>Mexico</t>
        </is>
      </c>
      <c r="C130" s="5" t="inlineStr">
        <is>
          <t>LCN</t>
        </is>
      </c>
      <c r="D130" s="5" t="inlineStr">
        <is>
          <t>UMIC</t>
        </is>
      </c>
      <c r="E130" s="5" t="inlineStr">
        <is>
          <t>Elasticities!139:138-141</t>
        </is>
      </c>
    </row>
    <row r="131">
      <c r="A131" s="5" t="inlineStr">
        <is>
          <t>MHL</t>
        </is>
      </c>
      <c r="B131" s="5" t="inlineStr">
        <is>
          <t>Marshall Islands</t>
        </is>
      </c>
      <c r="C131" s="5" t="inlineStr">
        <is>
          <t>EAS</t>
        </is>
      </c>
      <c r="D131" s="5" t="inlineStr">
        <is>
          <t>UMIC</t>
        </is>
      </c>
      <c r="E131" s="5" t="inlineStr">
        <is>
          <t>Elasticities!140:138-141</t>
        </is>
      </c>
    </row>
    <row r="132">
      <c r="A132" s="5" t="inlineStr">
        <is>
          <t>MKD</t>
        </is>
      </c>
      <c r="B132" s="5" t="inlineStr">
        <is>
          <t>North Macedonia</t>
        </is>
      </c>
      <c r="C132" s="5" t="inlineStr">
        <is>
          <t>ECS</t>
        </is>
      </c>
      <c r="D132" s="5" t="inlineStr">
        <is>
          <t>UMIC</t>
        </is>
      </c>
      <c r="E132" s="5" t="inlineStr">
        <is>
          <t>Elasticities!141:138-141</t>
        </is>
      </c>
    </row>
    <row r="133">
      <c r="A133" s="5" t="inlineStr">
        <is>
          <t>MLI</t>
        </is>
      </c>
      <c r="B133" s="5" t="inlineStr">
        <is>
          <t>Mali</t>
        </is>
      </c>
      <c r="C133" s="5" t="inlineStr">
        <is>
          <t>SSF</t>
        </is>
      </c>
      <c r="D133" s="5" t="inlineStr">
        <is>
          <t>LIC</t>
        </is>
      </c>
      <c r="E133" s="5" t="inlineStr">
        <is>
          <t>Elasticities!142:138-141</t>
        </is>
      </c>
    </row>
    <row r="134">
      <c r="A134" s="5" t="inlineStr">
        <is>
          <t>MLT</t>
        </is>
      </c>
      <c r="B134" s="5" t="inlineStr">
        <is>
          <t>Malta</t>
        </is>
      </c>
      <c r="C134" s="5" t="inlineStr">
        <is>
          <t>MEA</t>
        </is>
      </c>
      <c r="D134" s="5" t="inlineStr">
        <is>
          <t>HIC</t>
        </is>
      </c>
      <c r="E134" s="5" t="inlineStr">
        <is>
          <t>Elasticities!143:138-141</t>
        </is>
      </c>
    </row>
    <row r="135">
      <c r="A135" s="5" t="inlineStr">
        <is>
          <t>MMR</t>
        </is>
      </c>
      <c r="B135" s="5" t="inlineStr">
        <is>
          <t>Myanmar</t>
        </is>
      </c>
      <c r="C135" s="5" t="inlineStr">
        <is>
          <t>EAS</t>
        </is>
      </c>
      <c r="D135" s="5" t="inlineStr">
        <is>
          <t>LMIC</t>
        </is>
      </c>
      <c r="E135" s="5" t="inlineStr">
        <is>
          <t>Elasticities!144:138-141</t>
        </is>
      </c>
    </row>
    <row r="136">
      <c r="A136" s="5" t="inlineStr">
        <is>
          <t>MNE</t>
        </is>
      </c>
      <c r="B136" s="5" t="inlineStr">
        <is>
          <t>Montenegro, Rep. of</t>
        </is>
      </c>
      <c r="C136" s="5" t="inlineStr">
        <is>
          <t>ECS</t>
        </is>
      </c>
      <c r="D136" s="5" t="inlineStr">
        <is>
          <t>UMIC</t>
        </is>
      </c>
      <c r="E136" s="5" t="inlineStr">
        <is>
          <t>Elasticities!145:138-141</t>
        </is>
      </c>
    </row>
    <row r="137">
      <c r="A137" s="5" t="inlineStr">
        <is>
          <t>MNG</t>
        </is>
      </c>
      <c r="B137" s="5" t="inlineStr">
        <is>
          <t>Mongolia</t>
        </is>
      </c>
      <c r="C137" s="5" t="inlineStr">
        <is>
          <t>EAS</t>
        </is>
      </c>
      <c r="D137" s="5" t="inlineStr">
        <is>
          <t>LMIC</t>
        </is>
      </c>
      <c r="E137" s="5" t="inlineStr">
        <is>
          <t>Elasticities!146:138-141</t>
        </is>
      </c>
    </row>
    <row r="138">
      <c r="A138" s="5" t="inlineStr">
        <is>
          <t>MNP</t>
        </is>
      </c>
      <c r="B138" s="5" t="inlineStr">
        <is>
          <t>Northern Mariana Islands</t>
        </is>
      </c>
      <c r="C138" s="5" t="inlineStr">
        <is>
          <t>EAS</t>
        </is>
      </c>
      <c r="D138" s="5" t="inlineStr">
        <is>
          <t>HIC</t>
        </is>
      </c>
      <c r="E138" s="5" t="inlineStr">
        <is>
          <t>Elasticities!147:138-141</t>
        </is>
      </c>
    </row>
    <row r="139">
      <c r="A139" s="5" t="inlineStr">
        <is>
          <t>MOZ</t>
        </is>
      </c>
      <c r="B139" s="5" t="inlineStr">
        <is>
          <t>Mozambique</t>
        </is>
      </c>
      <c r="C139" s="5" t="inlineStr">
        <is>
          <t>SSF</t>
        </is>
      </c>
      <c r="D139" s="5" t="inlineStr">
        <is>
          <t>LIC</t>
        </is>
      </c>
      <c r="E139" s="5" t="inlineStr">
        <is>
          <t>Elasticities!148:138-141</t>
        </is>
      </c>
    </row>
    <row r="140">
      <c r="A140" s="5" t="inlineStr">
        <is>
          <t>MRT</t>
        </is>
      </c>
      <c r="B140" s="5" t="inlineStr">
        <is>
          <t>Mauritania</t>
        </is>
      </c>
      <c r="C140" s="5" t="inlineStr">
        <is>
          <t>SSF</t>
        </is>
      </c>
      <c r="D140" s="5" t="inlineStr">
        <is>
          <t>LMIC</t>
        </is>
      </c>
      <c r="E140" s="5" t="inlineStr">
        <is>
          <t>Elasticities!149:138-141</t>
        </is>
      </c>
    </row>
    <row r="141">
      <c r="A141" s="5" t="inlineStr">
        <is>
          <t>MUS</t>
        </is>
      </c>
      <c r="B141" s="5" t="inlineStr">
        <is>
          <t>Mauritius</t>
        </is>
      </c>
      <c r="C141" s="5" t="inlineStr">
        <is>
          <t>SSF</t>
        </is>
      </c>
      <c r="D141" s="5" t="inlineStr">
        <is>
          <t>UMIC</t>
        </is>
      </c>
      <c r="E141" s="5" t="inlineStr">
        <is>
          <t>Elasticities!150:138-141</t>
        </is>
      </c>
    </row>
    <row r="142">
      <c r="A142" s="5" t="inlineStr">
        <is>
          <t>MWI</t>
        </is>
      </c>
      <c r="B142" s="5" t="inlineStr">
        <is>
          <t>Malawi</t>
        </is>
      </c>
      <c r="C142" s="5" t="inlineStr">
        <is>
          <t>SSF</t>
        </is>
      </c>
      <c r="D142" s="5" t="inlineStr">
        <is>
          <t>LIC</t>
        </is>
      </c>
      <c r="E142" s="5" t="inlineStr">
        <is>
          <t>Elasticities!151:138-141</t>
        </is>
      </c>
    </row>
    <row r="143">
      <c r="A143" s="5" t="inlineStr">
        <is>
          <t>MYS</t>
        </is>
      </c>
      <c r="B143" s="5" t="inlineStr">
        <is>
          <t>Malaysia</t>
        </is>
      </c>
      <c r="C143" s="5" t="inlineStr">
        <is>
          <t>EAS</t>
        </is>
      </c>
      <c r="D143" s="5" t="inlineStr">
        <is>
          <t>UMIC</t>
        </is>
      </c>
      <c r="E143" s="5" t="inlineStr">
        <is>
          <t>Elasticities!152:138-141</t>
        </is>
      </c>
    </row>
    <row r="144">
      <c r="A144" s="5" t="inlineStr">
        <is>
          <t>NAM</t>
        </is>
      </c>
      <c r="B144" s="5" t="inlineStr">
        <is>
          <t>Namibia</t>
        </is>
      </c>
      <c r="C144" s="5" t="inlineStr">
        <is>
          <t>SSF</t>
        </is>
      </c>
      <c r="D144" s="5" t="inlineStr">
        <is>
          <t>UMIC</t>
        </is>
      </c>
      <c r="E144" s="5" t="inlineStr">
        <is>
          <t>Elasticities!153:138-141</t>
        </is>
      </c>
    </row>
    <row r="145">
      <c r="A145" s="5" t="inlineStr">
        <is>
          <t>NCL</t>
        </is>
      </c>
      <c r="B145" s="5" t="inlineStr">
        <is>
          <t>New Caledonia</t>
        </is>
      </c>
      <c r="C145" s="5" t="inlineStr">
        <is>
          <t>EAS</t>
        </is>
      </c>
      <c r="D145" s="5" t="inlineStr">
        <is>
          <t>HIC</t>
        </is>
      </c>
      <c r="E145" s="5" t="inlineStr">
        <is>
          <t>Elasticities!154:138-141</t>
        </is>
      </c>
    </row>
    <row r="146">
      <c r="A146" s="5" t="inlineStr">
        <is>
          <t>NER</t>
        </is>
      </c>
      <c r="B146" s="5" t="inlineStr">
        <is>
          <t>Niger</t>
        </is>
      </c>
      <c r="C146" s="5" t="inlineStr">
        <is>
          <t>SSF</t>
        </is>
      </c>
      <c r="D146" s="5" t="inlineStr">
        <is>
          <t>LIC</t>
        </is>
      </c>
      <c r="E146" s="5" t="inlineStr">
        <is>
          <t>Elasticities!155:138-141</t>
        </is>
      </c>
    </row>
    <row r="147">
      <c r="A147" s="5" t="inlineStr">
        <is>
          <t>NGA</t>
        </is>
      </c>
      <c r="B147" s="5" t="inlineStr">
        <is>
          <t>Nigeria</t>
        </is>
      </c>
      <c r="C147" s="5" t="inlineStr">
        <is>
          <t>SSF</t>
        </is>
      </c>
      <c r="D147" s="5" t="inlineStr">
        <is>
          <t>LMIC</t>
        </is>
      </c>
      <c r="E147" s="5" t="inlineStr">
        <is>
          <t>Elasticities!156:138-141</t>
        </is>
      </c>
    </row>
    <row r="148">
      <c r="A148" s="5" t="inlineStr">
        <is>
          <t>NIC</t>
        </is>
      </c>
      <c r="B148" s="5" t="inlineStr">
        <is>
          <t>Nicaragua</t>
        </is>
      </c>
      <c r="C148" s="5" t="inlineStr">
        <is>
          <t>LCN</t>
        </is>
      </c>
      <c r="D148" s="5" t="inlineStr">
        <is>
          <t>LMIC</t>
        </is>
      </c>
      <c r="E148" s="5" t="inlineStr">
        <is>
          <t>Elasticities!157:138-141</t>
        </is>
      </c>
    </row>
    <row r="149">
      <c r="A149" s="5" t="inlineStr">
        <is>
          <t>NLD</t>
        </is>
      </c>
      <c r="B149" s="5" t="inlineStr">
        <is>
          <t>Netherlands</t>
        </is>
      </c>
      <c r="C149" s="5" t="inlineStr">
        <is>
          <t>ECS</t>
        </is>
      </c>
      <c r="D149" s="5" t="inlineStr">
        <is>
          <t>HIC</t>
        </is>
      </c>
      <c r="E149" s="5" t="inlineStr">
        <is>
          <t>Elasticities!158:138-141</t>
        </is>
      </c>
    </row>
    <row r="150">
      <c r="A150" s="5" t="inlineStr">
        <is>
          <t>NOR</t>
        </is>
      </c>
      <c r="B150" s="5" t="inlineStr">
        <is>
          <t>Norway</t>
        </is>
      </c>
      <c r="C150" s="5" t="inlineStr">
        <is>
          <t>ECS</t>
        </is>
      </c>
      <c r="D150" s="5" t="inlineStr">
        <is>
          <t>HIC</t>
        </is>
      </c>
      <c r="E150" s="5" t="inlineStr">
        <is>
          <t>Elasticities!159:138-141</t>
        </is>
      </c>
    </row>
    <row r="151">
      <c r="A151" s="5" t="inlineStr">
        <is>
          <t>NPL</t>
        </is>
      </c>
      <c r="B151" s="5" t="inlineStr">
        <is>
          <t>Nepal</t>
        </is>
      </c>
      <c r="C151" s="5" t="inlineStr">
        <is>
          <t>SAS</t>
        </is>
      </c>
      <c r="D151" s="5" t="inlineStr">
        <is>
          <t>LIC</t>
        </is>
      </c>
      <c r="E151" s="5" t="inlineStr">
        <is>
          <t>Elasticities!160:138-141</t>
        </is>
      </c>
    </row>
    <row r="152">
      <c r="A152" s="5" t="inlineStr">
        <is>
          <t>NRU</t>
        </is>
      </c>
      <c r="B152" s="5" t="inlineStr">
        <is>
          <t>Nauru</t>
        </is>
      </c>
      <c r="C152" s="5" t="inlineStr">
        <is>
          <t>EAS</t>
        </is>
      </c>
      <c r="D152" s="5" t="inlineStr">
        <is>
          <t>UMIC</t>
        </is>
      </c>
      <c r="E152" s="5" t="inlineStr">
        <is>
          <t>Elasticities!161:138-141</t>
        </is>
      </c>
    </row>
    <row r="153">
      <c r="A153" s="5" t="inlineStr">
        <is>
          <t>NZL</t>
        </is>
      </c>
      <c r="B153" s="5" t="inlineStr">
        <is>
          <t>New Zealand</t>
        </is>
      </c>
      <c r="C153" s="5" t="inlineStr">
        <is>
          <t>EAS</t>
        </is>
      </c>
      <c r="D153" s="5" t="inlineStr">
        <is>
          <t>HIC</t>
        </is>
      </c>
      <c r="E153" s="5" t="inlineStr">
        <is>
          <t>Elasticities!162:138-141</t>
        </is>
      </c>
    </row>
    <row r="154">
      <c r="A154" s="5" t="inlineStr">
        <is>
          <t>OMN</t>
        </is>
      </c>
      <c r="B154" s="5" t="inlineStr">
        <is>
          <t>Oman</t>
        </is>
      </c>
      <c r="C154" s="5" t="inlineStr">
        <is>
          <t>MEA</t>
        </is>
      </c>
      <c r="D154" s="5" t="inlineStr">
        <is>
          <t>HIC</t>
        </is>
      </c>
      <c r="E154" s="5" t="inlineStr">
        <is>
          <t>Elasticities!163:138-141</t>
        </is>
      </c>
    </row>
    <row r="155">
      <c r="A155" s="5" t="inlineStr">
        <is>
          <t>PAK</t>
        </is>
      </c>
      <c r="B155" s="5" t="inlineStr">
        <is>
          <t>Pakistan</t>
        </is>
      </c>
      <c r="C155" s="5" t="inlineStr">
        <is>
          <t>SAS</t>
        </is>
      </c>
      <c r="D155" s="5" t="inlineStr">
        <is>
          <t>LMIC</t>
        </is>
      </c>
      <c r="E155" s="5" t="inlineStr">
        <is>
          <t>Elasticities!164:138-141</t>
        </is>
      </c>
    </row>
    <row r="156">
      <c r="A156" s="5" t="inlineStr">
        <is>
          <t>PAN</t>
        </is>
      </c>
      <c r="B156" s="5" t="inlineStr">
        <is>
          <t>Panama</t>
        </is>
      </c>
      <c r="C156" s="5" t="inlineStr">
        <is>
          <t>LCN</t>
        </is>
      </c>
      <c r="D156" s="5" t="inlineStr">
        <is>
          <t>HIC</t>
        </is>
      </c>
      <c r="E156" s="5" t="inlineStr">
        <is>
          <t>Elasticities!165:138-141</t>
        </is>
      </c>
    </row>
    <row r="157">
      <c r="A157" s="5" t="inlineStr">
        <is>
          <t>PER</t>
        </is>
      </c>
      <c r="B157" s="5" t="inlineStr">
        <is>
          <t>Peru</t>
        </is>
      </c>
      <c r="C157" s="5" t="inlineStr">
        <is>
          <t>LCN</t>
        </is>
      </c>
      <c r="D157" s="5" t="inlineStr">
        <is>
          <t>UMIC</t>
        </is>
      </c>
      <c r="E157" s="5" t="inlineStr">
        <is>
          <t>Elasticities!166:138-141</t>
        </is>
      </c>
    </row>
    <row r="158">
      <c r="A158" s="5" t="inlineStr">
        <is>
          <t>PHL</t>
        </is>
      </c>
      <c r="B158" s="5" t="inlineStr">
        <is>
          <t>Philippines</t>
        </is>
      </c>
      <c r="C158" s="5" t="inlineStr">
        <is>
          <t>EAS</t>
        </is>
      </c>
      <c r="D158" s="5" t="inlineStr">
        <is>
          <t>LMIC</t>
        </is>
      </c>
      <c r="E158" s="5" t="inlineStr">
        <is>
          <t>Elasticities!167:138-141</t>
        </is>
      </c>
    </row>
    <row r="159">
      <c r="A159" s="5" t="inlineStr">
        <is>
          <t>PLW</t>
        </is>
      </c>
      <c r="B159" s="5" t="inlineStr">
        <is>
          <t>Palau</t>
        </is>
      </c>
      <c r="C159" s="5" t="inlineStr">
        <is>
          <t>EAS</t>
        </is>
      </c>
      <c r="D159" s="5" t="inlineStr">
        <is>
          <t>HIC</t>
        </is>
      </c>
      <c r="E159" s="5" t="inlineStr">
        <is>
          <t>Elasticities!168:138-141</t>
        </is>
      </c>
    </row>
    <row r="160">
      <c r="A160" s="5" t="inlineStr">
        <is>
          <t>PNG</t>
        </is>
      </c>
      <c r="B160" s="5" t="inlineStr">
        <is>
          <t>Papua New Guinea</t>
        </is>
      </c>
      <c r="C160" s="5" t="inlineStr">
        <is>
          <t>EAS</t>
        </is>
      </c>
      <c r="D160" s="5" t="inlineStr">
        <is>
          <t>LMIC</t>
        </is>
      </c>
      <c r="E160" s="5" t="inlineStr">
        <is>
          <t>Elasticities!169:138-141</t>
        </is>
      </c>
    </row>
    <row r="161">
      <c r="A161" s="5" t="inlineStr">
        <is>
          <t>POL</t>
        </is>
      </c>
      <c r="B161" s="5" t="inlineStr">
        <is>
          <t>Poland</t>
        </is>
      </c>
      <c r="C161" s="5" t="inlineStr">
        <is>
          <t>ECS</t>
        </is>
      </c>
      <c r="D161" s="5" t="inlineStr">
        <is>
          <t>HIC</t>
        </is>
      </c>
      <c r="E161" s="5" t="inlineStr">
        <is>
          <t>Elasticities!170:138-141</t>
        </is>
      </c>
    </row>
    <row r="162">
      <c r="A162" s="5" t="inlineStr">
        <is>
          <t>PRI</t>
        </is>
      </c>
      <c r="B162" s="5" t="inlineStr">
        <is>
          <t>Puerto Rico</t>
        </is>
      </c>
      <c r="C162" s="5" t="inlineStr">
        <is>
          <t>LCN</t>
        </is>
      </c>
      <c r="D162" s="5" t="inlineStr">
        <is>
          <t>HIC</t>
        </is>
      </c>
      <c r="E162" s="5" t="inlineStr">
        <is>
          <t>Elasticities!171:138-141</t>
        </is>
      </c>
    </row>
    <row r="163">
      <c r="A163" s="5" t="inlineStr">
        <is>
          <t>PRK</t>
        </is>
      </c>
      <c r="B163" s="5" t="inlineStr">
        <is>
          <t>Korea, Dem. People's Rep.</t>
        </is>
      </c>
      <c r="C163" s="5" t="inlineStr">
        <is>
          <t>EAS</t>
        </is>
      </c>
      <c r="D163" s="5" t="inlineStr">
        <is>
          <t>LIC</t>
        </is>
      </c>
      <c r="E163" s="5" t="inlineStr">
        <is>
          <t>Elasticities!172:138-141</t>
        </is>
      </c>
    </row>
    <row r="164">
      <c r="A164" s="5" t="inlineStr">
        <is>
          <t>PRT</t>
        </is>
      </c>
      <c r="B164" s="5" t="inlineStr">
        <is>
          <t>Portugal</t>
        </is>
      </c>
      <c r="C164" s="5" t="inlineStr">
        <is>
          <t>ECS</t>
        </is>
      </c>
      <c r="D164" s="5" t="inlineStr">
        <is>
          <t>HIC</t>
        </is>
      </c>
      <c r="E164" s="5" t="inlineStr">
        <is>
          <t>Elasticities!173:138-141</t>
        </is>
      </c>
    </row>
    <row r="165">
      <c r="A165" s="5" t="inlineStr">
        <is>
          <t>PRY</t>
        </is>
      </c>
      <c r="B165" s="5" t="inlineStr">
        <is>
          <t>Paraguay</t>
        </is>
      </c>
      <c r="C165" s="5" t="inlineStr">
        <is>
          <t>LCN</t>
        </is>
      </c>
      <c r="D165" s="5" t="inlineStr">
        <is>
          <t>UMIC</t>
        </is>
      </c>
      <c r="E165" s="5" t="inlineStr">
        <is>
          <t>Elasticities!174:138-141</t>
        </is>
      </c>
    </row>
    <row r="166">
      <c r="A166" s="5" t="inlineStr">
        <is>
          <t>PSE</t>
        </is>
      </c>
      <c r="B166" s="5" t="inlineStr">
        <is>
          <t>West Bank and Gaza</t>
        </is>
      </c>
      <c r="C166" s="5" t="inlineStr">
        <is>
          <t>MEA</t>
        </is>
      </c>
      <c r="D166" s="5" t="inlineStr">
        <is>
          <t>LMIC</t>
        </is>
      </c>
      <c r="E166" s="5" t="inlineStr">
        <is>
          <t>Elasticities!175:138-141</t>
        </is>
      </c>
    </row>
    <row r="167">
      <c r="A167" s="5" t="inlineStr">
        <is>
          <t>PYF</t>
        </is>
      </c>
      <c r="B167" s="5" t="inlineStr">
        <is>
          <t>French Polynesia</t>
        </is>
      </c>
      <c r="C167" s="5" t="inlineStr">
        <is>
          <t>EAS</t>
        </is>
      </c>
      <c r="D167" s="5" t="inlineStr">
        <is>
          <t>HIC</t>
        </is>
      </c>
      <c r="E167" s="5" t="inlineStr">
        <is>
          <t>Elasticities!176:138-141</t>
        </is>
      </c>
    </row>
    <row r="168">
      <c r="A168" s="5" t="inlineStr">
        <is>
          <t>QAT</t>
        </is>
      </c>
      <c r="B168" s="5" t="inlineStr">
        <is>
          <t>Qatar</t>
        </is>
      </c>
      <c r="C168" s="5" t="inlineStr">
        <is>
          <t>MEA</t>
        </is>
      </c>
      <c r="D168" s="5" t="inlineStr">
        <is>
          <t>HIC</t>
        </is>
      </c>
      <c r="E168" s="5" t="inlineStr">
        <is>
          <t>Elasticities!177:138-141</t>
        </is>
      </c>
    </row>
    <row r="169">
      <c r="A169" s="5" t="inlineStr">
        <is>
          <t>ROU</t>
        </is>
      </c>
      <c r="B169" s="5" t="inlineStr">
        <is>
          <t>Romania</t>
        </is>
      </c>
      <c r="C169" s="5" t="inlineStr">
        <is>
          <t>ECS</t>
        </is>
      </c>
      <c r="D169" s="5" t="inlineStr">
        <is>
          <t>UMIC</t>
        </is>
      </c>
      <c r="E169" s="5" t="inlineStr">
        <is>
          <t>Elasticities!178:138-141</t>
        </is>
      </c>
    </row>
    <row r="170">
      <c r="A170" s="5" t="inlineStr">
        <is>
          <t>RUS</t>
        </is>
      </c>
      <c r="B170" s="5" t="inlineStr">
        <is>
          <t>Russia</t>
        </is>
      </c>
      <c r="C170" s="5" t="inlineStr">
        <is>
          <t>ECS</t>
        </is>
      </c>
      <c r="D170" s="5" t="inlineStr">
        <is>
          <t>UMIC</t>
        </is>
      </c>
      <c r="E170" s="5" t="inlineStr">
        <is>
          <t>Elasticities!179:138-141</t>
        </is>
      </c>
    </row>
    <row r="171">
      <c r="A171" s="5" t="inlineStr">
        <is>
          <t>RWA</t>
        </is>
      </c>
      <c r="B171" s="5" t="inlineStr">
        <is>
          <t>Rwanda</t>
        </is>
      </c>
      <c r="C171" s="5" t="inlineStr">
        <is>
          <t>SSF</t>
        </is>
      </c>
      <c r="D171" s="5" t="inlineStr">
        <is>
          <t>LIC</t>
        </is>
      </c>
      <c r="E171" s="5" t="inlineStr">
        <is>
          <t>Elasticities!180:138-141</t>
        </is>
      </c>
    </row>
    <row r="172">
      <c r="A172" s="5" t="inlineStr">
        <is>
          <t>SAU</t>
        </is>
      </c>
      <c r="B172" s="5" t="inlineStr">
        <is>
          <t>Saudi Arabia</t>
        </is>
      </c>
      <c r="C172" s="5" t="inlineStr">
        <is>
          <t>MEA</t>
        </is>
      </c>
      <c r="D172" s="5" t="inlineStr">
        <is>
          <t>HIC</t>
        </is>
      </c>
      <c r="E172" s="5" t="inlineStr">
        <is>
          <t>Elasticities!181:138-141</t>
        </is>
      </c>
    </row>
    <row r="173">
      <c r="A173" s="5" t="inlineStr">
        <is>
          <t>SDN</t>
        </is>
      </c>
      <c r="B173" s="5" t="inlineStr">
        <is>
          <t>Sudan</t>
        </is>
      </c>
      <c r="C173" s="5" t="inlineStr">
        <is>
          <t>SSF</t>
        </is>
      </c>
      <c r="D173" s="5" t="inlineStr">
        <is>
          <t>LMIC</t>
        </is>
      </c>
      <c r="E173" s="5" t="inlineStr">
        <is>
          <t>Elasticities!182:138-141</t>
        </is>
      </c>
    </row>
    <row r="174">
      <c r="A174" s="5" t="inlineStr">
        <is>
          <t>SEN</t>
        </is>
      </c>
      <c r="B174" s="5" t="inlineStr">
        <is>
          <t>Senegal</t>
        </is>
      </c>
      <c r="C174" s="5" t="inlineStr">
        <is>
          <t>SSF</t>
        </is>
      </c>
      <c r="D174" s="5" t="inlineStr">
        <is>
          <t>LIC</t>
        </is>
      </c>
      <c r="E174" s="5" t="inlineStr">
        <is>
          <t>Elasticities!183:138-141</t>
        </is>
      </c>
    </row>
    <row r="175">
      <c r="A175" s="5" t="inlineStr">
        <is>
          <t>SGP</t>
        </is>
      </c>
      <c r="B175" s="5" t="inlineStr">
        <is>
          <t>Singapore</t>
        </is>
      </c>
      <c r="C175" s="5" t="inlineStr">
        <is>
          <t>EAS</t>
        </is>
      </c>
      <c r="D175" s="5" t="inlineStr">
        <is>
          <t>HIC</t>
        </is>
      </c>
      <c r="E175" s="5" t="inlineStr">
        <is>
          <t>Elasticities!184:138-141</t>
        </is>
      </c>
    </row>
    <row r="176">
      <c r="A176" s="5" t="inlineStr">
        <is>
          <t>SLB</t>
        </is>
      </c>
      <c r="B176" s="5" t="inlineStr">
        <is>
          <t>Solomon Islands</t>
        </is>
      </c>
      <c r="C176" s="5" t="inlineStr">
        <is>
          <t>EAS</t>
        </is>
      </c>
      <c r="D176" s="5" t="inlineStr">
        <is>
          <t>LMIC</t>
        </is>
      </c>
      <c r="E176" s="5" t="inlineStr">
        <is>
          <t>Elasticities!185:138-141</t>
        </is>
      </c>
    </row>
    <row r="177">
      <c r="A177" s="5" t="inlineStr">
        <is>
          <t>SLE</t>
        </is>
      </c>
      <c r="B177" s="5" t="inlineStr">
        <is>
          <t>Sierra Leone</t>
        </is>
      </c>
      <c r="C177" s="5" t="inlineStr">
        <is>
          <t>SSF</t>
        </is>
      </c>
      <c r="D177" s="5" t="inlineStr">
        <is>
          <t>LIC</t>
        </is>
      </c>
      <c r="E177" s="5" t="inlineStr">
        <is>
          <t>Elasticities!186:138-141</t>
        </is>
      </c>
    </row>
    <row r="178">
      <c r="A178" s="5" t="inlineStr">
        <is>
          <t>SLV</t>
        </is>
      </c>
      <c r="B178" s="5" t="inlineStr">
        <is>
          <t>El Salvador</t>
        </is>
      </c>
      <c r="C178" s="5" t="inlineStr">
        <is>
          <t>LCN</t>
        </is>
      </c>
      <c r="D178" s="5" t="inlineStr">
        <is>
          <t>LMIC</t>
        </is>
      </c>
      <c r="E178" s="5" t="inlineStr">
        <is>
          <t>Elasticities!187:138-141</t>
        </is>
      </c>
    </row>
    <row r="179">
      <c r="A179" s="5" t="inlineStr">
        <is>
          <t>SMR</t>
        </is>
      </c>
      <c r="B179" s="5" t="inlineStr">
        <is>
          <t>San Marino</t>
        </is>
      </c>
      <c r="C179" s="5" t="inlineStr">
        <is>
          <t>ECS</t>
        </is>
      </c>
      <c r="D179" s="5" t="inlineStr">
        <is>
          <t>HIC</t>
        </is>
      </c>
      <c r="E179" s="5" t="inlineStr">
        <is>
          <t>Elasticities!188:138-141</t>
        </is>
      </c>
    </row>
    <row r="180">
      <c r="A180" s="5" t="inlineStr">
        <is>
          <t>SOM</t>
        </is>
      </c>
      <c r="B180" s="5" t="inlineStr">
        <is>
          <t>Somalia</t>
        </is>
      </c>
      <c r="C180" s="5" t="inlineStr">
        <is>
          <t>SSF</t>
        </is>
      </c>
      <c r="D180" s="5" t="inlineStr">
        <is>
          <t>LIC</t>
        </is>
      </c>
      <c r="E180" s="5" t="inlineStr">
        <is>
          <t>Elasticities!189:138-141</t>
        </is>
      </c>
    </row>
    <row r="181">
      <c r="A181" s="5" t="inlineStr">
        <is>
          <t>SRB</t>
        </is>
      </c>
      <c r="B181" s="5" t="inlineStr">
        <is>
          <t>Serbia</t>
        </is>
      </c>
      <c r="C181" s="5" t="inlineStr">
        <is>
          <t>ECS</t>
        </is>
      </c>
      <c r="D181" s="5" t="inlineStr">
        <is>
          <t>UMIC</t>
        </is>
      </c>
      <c r="E181" s="5" t="inlineStr">
        <is>
          <t>Elasticities!190:138-141</t>
        </is>
      </c>
    </row>
    <row r="182">
      <c r="A182" s="5" t="inlineStr">
        <is>
          <t>SSD</t>
        </is>
      </c>
      <c r="B182" s="5" t="inlineStr">
        <is>
          <t>South Sudan</t>
        </is>
      </c>
      <c r="C182" s="5" t="inlineStr">
        <is>
          <t>SSF</t>
        </is>
      </c>
      <c r="D182" s="5" t="inlineStr">
        <is>
          <t>LIC</t>
        </is>
      </c>
      <c r="E182" s="5" t="inlineStr">
        <is>
          <t>Elasticities!191:138-141</t>
        </is>
      </c>
    </row>
    <row r="183">
      <c r="A183" s="5" t="inlineStr">
        <is>
          <t>SSF</t>
        </is>
      </c>
      <c r="B183" s="5" t="inlineStr">
        <is>
          <t>Sub-Saharan Africa</t>
        </is>
      </c>
      <c r="C183" s="5" t="inlineStr">
        <is>
          <t>SSF</t>
        </is>
      </c>
      <c r="D183" s="5" t="inlineStr">
        <is>
          <t>N/A</t>
        </is>
      </c>
      <c r="E183" s="5" t="inlineStr">
        <is>
          <t>Elasticities!192:138-141</t>
        </is>
      </c>
    </row>
    <row r="184">
      <c r="A184" s="5" t="inlineStr">
        <is>
          <t>STP</t>
        </is>
      </c>
      <c r="B184" s="5" t="inlineStr">
        <is>
          <t>São Tomé and Príncipe</t>
        </is>
      </c>
      <c r="C184" s="5" t="inlineStr">
        <is>
          <t>SSF</t>
        </is>
      </c>
      <c r="D184" s="5" t="inlineStr">
        <is>
          <t>LMIC</t>
        </is>
      </c>
      <c r="E184" s="5" t="inlineStr">
        <is>
          <t>Elasticities!193:138-141</t>
        </is>
      </c>
    </row>
    <row r="185">
      <c r="A185" s="5" t="inlineStr">
        <is>
          <t>SUR</t>
        </is>
      </c>
      <c r="B185" s="5" t="inlineStr">
        <is>
          <t>Suriname</t>
        </is>
      </c>
      <c r="C185" s="5" t="inlineStr">
        <is>
          <t>LCN</t>
        </is>
      </c>
      <c r="D185" s="5" t="inlineStr">
        <is>
          <t>UMIC</t>
        </is>
      </c>
      <c r="E185" s="5" t="inlineStr">
        <is>
          <t>Elasticities!194:138-141</t>
        </is>
      </c>
    </row>
    <row r="186">
      <c r="A186" s="5" t="inlineStr">
        <is>
          <t>SVK</t>
        </is>
      </c>
      <c r="B186" s="5" t="inlineStr">
        <is>
          <t>Slovak Republic</t>
        </is>
      </c>
      <c r="C186" s="5" t="inlineStr">
        <is>
          <t>ECS</t>
        </is>
      </c>
      <c r="D186" s="5" t="inlineStr">
        <is>
          <t>HIC</t>
        </is>
      </c>
      <c r="E186" s="5" t="inlineStr">
        <is>
          <t>Elasticities!195:138-141</t>
        </is>
      </c>
    </row>
    <row r="187">
      <c r="A187" s="5" t="inlineStr">
        <is>
          <t>SVN</t>
        </is>
      </c>
      <c r="B187" s="5" t="inlineStr">
        <is>
          <t>Slovenia</t>
        </is>
      </c>
      <c r="C187" s="5" t="inlineStr">
        <is>
          <t>ECS</t>
        </is>
      </c>
      <c r="D187" s="5" t="inlineStr">
        <is>
          <t>HIC</t>
        </is>
      </c>
      <c r="E187" s="5" t="inlineStr">
        <is>
          <t>Elasticities!196:138-141</t>
        </is>
      </c>
    </row>
    <row r="188">
      <c r="A188" s="5" t="inlineStr">
        <is>
          <t>SWE</t>
        </is>
      </c>
      <c r="B188" s="5" t="inlineStr">
        <is>
          <t>Sweden</t>
        </is>
      </c>
      <c r="C188" s="5" t="inlineStr">
        <is>
          <t>ECS</t>
        </is>
      </c>
      <c r="D188" s="5" t="inlineStr">
        <is>
          <t>HIC</t>
        </is>
      </c>
      <c r="E188" s="5" t="inlineStr">
        <is>
          <t>Elasticities!197:138-141</t>
        </is>
      </c>
    </row>
    <row r="189">
      <c r="A189" s="5" t="inlineStr">
        <is>
          <t>SWZ</t>
        </is>
      </c>
      <c r="B189" s="5" t="inlineStr">
        <is>
          <t>Eswatini</t>
        </is>
      </c>
      <c r="C189" s="5" t="inlineStr">
        <is>
          <t>SSF</t>
        </is>
      </c>
      <c r="D189" s="5" t="inlineStr">
        <is>
          <t>LMIC</t>
        </is>
      </c>
      <c r="E189" s="5" t="inlineStr">
        <is>
          <t>Elasticities!198:138-141</t>
        </is>
      </c>
    </row>
    <row r="190">
      <c r="A190" s="5" t="inlineStr">
        <is>
          <t>SXM</t>
        </is>
      </c>
      <c r="B190" s="5" t="inlineStr">
        <is>
          <t>Sint Maarten (Dutch part)</t>
        </is>
      </c>
      <c r="C190" s="5" t="inlineStr">
        <is>
          <t>LCN</t>
        </is>
      </c>
      <c r="D190" s="5" t="inlineStr">
        <is>
          <t>HIC</t>
        </is>
      </c>
      <c r="E190" s="5" t="inlineStr">
        <is>
          <t>Elasticities!199:138-141</t>
        </is>
      </c>
    </row>
    <row r="191">
      <c r="A191" s="5" t="inlineStr">
        <is>
          <t>SYC</t>
        </is>
      </c>
      <c r="B191" s="5" t="inlineStr">
        <is>
          <t>Seychelles</t>
        </is>
      </c>
      <c r="C191" s="5" t="inlineStr">
        <is>
          <t>SSF</t>
        </is>
      </c>
      <c r="D191" s="5" t="inlineStr">
        <is>
          <t>HIC</t>
        </is>
      </c>
      <c r="E191" s="5" t="inlineStr">
        <is>
          <t>Elasticities!200:138-141</t>
        </is>
      </c>
    </row>
    <row r="192">
      <c r="A192" s="5" t="inlineStr">
        <is>
          <t>SYR</t>
        </is>
      </c>
      <c r="B192" s="5" t="inlineStr">
        <is>
          <t>Syria</t>
        </is>
      </c>
      <c r="C192" s="5" t="inlineStr">
        <is>
          <t>MEA</t>
        </is>
      </c>
      <c r="D192" s="5" t="inlineStr">
        <is>
          <t>LIC</t>
        </is>
      </c>
      <c r="E192" s="5" t="inlineStr">
        <is>
          <t>Elasticities!201:138-141</t>
        </is>
      </c>
    </row>
    <row r="193">
      <c r="A193" s="5" t="inlineStr">
        <is>
          <t>TCA</t>
        </is>
      </c>
      <c r="B193" s="5" t="inlineStr">
        <is>
          <t>Turks and Caicos Islands</t>
        </is>
      </c>
      <c r="C193" s="5" t="inlineStr">
        <is>
          <t>LCN</t>
        </is>
      </c>
      <c r="D193" s="5" t="inlineStr">
        <is>
          <t>HIC</t>
        </is>
      </c>
      <c r="E193" s="5" t="inlineStr">
        <is>
          <t>Elasticities!202:138-141</t>
        </is>
      </c>
    </row>
    <row r="194">
      <c r="A194" s="5" t="inlineStr">
        <is>
          <t>TCD</t>
        </is>
      </c>
      <c r="B194" s="5" t="inlineStr">
        <is>
          <t>Chad</t>
        </is>
      </c>
      <c r="C194" s="5" t="inlineStr">
        <is>
          <t>SSF</t>
        </is>
      </c>
      <c r="D194" s="5" t="inlineStr">
        <is>
          <t>LIC</t>
        </is>
      </c>
      <c r="E194" s="5" t="inlineStr">
        <is>
          <t>Elasticities!203:138-141</t>
        </is>
      </c>
    </row>
    <row r="195">
      <c r="A195" s="5" t="inlineStr">
        <is>
          <t>TGO</t>
        </is>
      </c>
      <c r="B195" s="5" t="inlineStr">
        <is>
          <t>Togo</t>
        </is>
      </c>
      <c r="C195" s="5" t="inlineStr">
        <is>
          <t>SSF</t>
        </is>
      </c>
      <c r="D195" s="5" t="inlineStr">
        <is>
          <t>LIC</t>
        </is>
      </c>
      <c r="E195" s="5" t="inlineStr">
        <is>
          <t>Elasticities!204:138-141</t>
        </is>
      </c>
    </row>
    <row r="196">
      <c r="A196" s="5" t="inlineStr">
        <is>
          <t>THA</t>
        </is>
      </c>
      <c r="B196" s="5" t="inlineStr">
        <is>
          <t>Thailand</t>
        </is>
      </c>
      <c r="C196" s="5" t="inlineStr">
        <is>
          <t>EAS</t>
        </is>
      </c>
      <c r="D196" s="5" t="inlineStr">
        <is>
          <t>UMIC</t>
        </is>
      </c>
      <c r="E196" s="5" t="inlineStr">
        <is>
          <t>Elasticities!205:138-141</t>
        </is>
      </c>
    </row>
    <row r="197">
      <c r="A197" s="5" t="inlineStr">
        <is>
          <t>TJK</t>
        </is>
      </c>
      <c r="B197" s="5" t="inlineStr">
        <is>
          <t>Tajikistan</t>
        </is>
      </c>
      <c r="C197" s="5" t="inlineStr">
        <is>
          <t>ECS</t>
        </is>
      </c>
      <c r="D197" s="5" t="inlineStr">
        <is>
          <t>LIC</t>
        </is>
      </c>
      <c r="E197" s="5" t="inlineStr">
        <is>
          <t>Elasticities!206:138-141</t>
        </is>
      </c>
    </row>
    <row r="198">
      <c r="A198" s="5" t="inlineStr">
        <is>
          <t>TKM</t>
        </is>
      </c>
      <c r="B198" s="5" t="inlineStr">
        <is>
          <t>Turkmenistan</t>
        </is>
      </c>
      <c r="C198" s="5" t="inlineStr">
        <is>
          <t>ECS</t>
        </is>
      </c>
      <c r="D198" s="5" t="inlineStr">
        <is>
          <t>UMIC</t>
        </is>
      </c>
      <c r="E198" s="5" t="inlineStr">
        <is>
          <t>Elasticities!207:138-141</t>
        </is>
      </c>
    </row>
    <row r="199">
      <c r="A199" s="5" t="inlineStr">
        <is>
          <t>TLS</t>
        </is>
      </c>
      <c r="B199" s="5" t="inlineStr">
        <is>
          <t>Timor-Leste</t>
        </is>
      </c>
      <c r="C199" s="5" t="inlineStr">
        <is>
          <t>EAS</t>
        </is>
      </c>
      <c r="D199" s="5" t="inlineStr">
        <is>
          <t>LMIC</t>
        </is>
      </c>
      <c r="E199" s="5" t="inlineStr">
        <is>
          <t>Elasticities!208:138-141</t>
        </is>
      </c>
    </row>
    <row r="200">
      <c r="A200" s="5" t="inlineStr">
        <is>
          <t>TON</t>
        </is>
      </c>
      <c r="B200" s="5" t="inlineStr">
        <is>
          <t>Tonga</t>
        </is>
      </c>
      <c r="C200" s="5" t="inlineStr">
        <is>
          <t>EAS</t>
        </is>
      </c>
      <c r="D200" s="5" t="inlineStr">
        <is>
          <t>UMIC</t>
        </is>
      </c>
      <c r="E200" s="5" t="inlineStr">
        <is>
          <t>Elasticities!209:138-141</t>
        </is>
      </c>
    </row>
    <row r="201">
      <c r="A201" s="5" t="inlineStr">
        <is>
          <t>TTO</t>
        </is>
      </c>
      <c r="B201" s="5" t="inlineStr">
        <is>
          <t>Trinidad and Tobago</t>
        </is>
      </c>
      <c r="C201" s="5" t="inlineStr">
        <is>
          <t>LCN</t>
        </is>
      </c>
      <c r="D201" s="5" t="inlineStr">
        <is>
          <t>HIC</t>
        </is>
      </c>
      <c r="E201" s="5" t="inlineStr">
        <is>
          <t>Elasticities!210:138-141</t>
        </is>
      </c>
    </row>
    <row r="202">
      <c r="A202" s="5" t="inlineStr">
        <is>
          <t>TUN</t>
        </is>
      </c>
      <c r="B202" s="5" t="inlineStr">
        <is>
          <t>Tunisia</t>
        </is>
      </c>
      <c r="C202" s="5" t="inlineStr">
        <is>
          <t>MEA</t>
        </is>
      </c>
      <c r="D202" s="5" t="inlineStr">
        <is>
          <t>LMIC</t>
        </is>
      </c>
      <c r="E202" s="5" t="inlineStr">
        <is>
          <t>Elasticities!211:138-141</t>
        </is>
      </c>
    </row>
    <row r="203">
      <c r="A203" s="5" t="inlineStr">
        <is>
          <t>TUR</t>
        </is>
      </c>
      <c r="B203" s="5" t="inlineStr">
        <is>
          <t>Turkiye</t>
        </is>
      </c>
      <c r="C203" s="5" t="inlineStr">
        <is>
          <t>ECS</t>
        </is>
      </c>
      <c r="D203" s="5" t="inlineStr">
        <is>
          <t>UMIC</t>
        </is>
      </c>
      <c r="E203" s="5" t="inlineStr">
        <is>
          <t>Elasticities!212:138-141</t>
        </is>
      </c>
    </row>
    <row r="204">
      <c r="A204" s="5" t="inlineStr">
        <is>
          <t>TUV</t>
        </is>
      </c>
      <c r="B204" s="5" t="inlineStr">
        <is>
          <t>Tuvalu</t>
        </is>
      </c>
      <c r="C204" s="5" t="inlineStr">
        <is>
          <t>EAS</t>
        </is>
      </c>
      <c r="D204" s="5" t="inlineStr">
        <is>
          <t>UMIC</t>
        </is>
      </c>
      <c r="E204" s="5" t="inlineStr">
        <is>
          <t>Elasticities!213:138-141</t>
        </is>
      </c>
    </row>
    <row r="205">
      <c r="A205" s="5" t="inlineStr">
        <is>
          <t>TWN</t>
        </is>
      </c>
      <c r="B205" s="5" t="inlineStr">
        <is>
          <t>Taiwan Province of China</t>
        </is>
      </c>
      <c r="C205" s="5" t="inlineStr">
        <is>
          <t>EAS</t>
        </is>
      </c>
      <c r="D205" s="5" t="inlineStr">
        <is>
          <t>HIC</t>
        </is>
      </c>
      <c r="E205" s="5" t="inlineStr">
        <is>
          <t>Elasticities!214:138-141</t>
        </is>
      </c>
    </row>
    <row r="206">
      <c r="A206" s="5" t="inlineStr">
        <is>
          <t>TZA</t>
        </is>
      </c>
      <c r="B206" s="5" t="inlineStr">
        <is>
          <t>Tanzania</t>
        </is>
      </c>
      <c r="C206" s="5" t="inlineStr">
        <is>
          <t>SSF</t>
        </is>
      </c>
      <c r="D206" s="5" t="inlineStr">
        <is>
          <t>LIC</t>
        </is>
      </c>
      <c r="E206" s="5" t="inlineStr">
        <is>
          <t>Elasticities!215:138-141</t>
        </is>
      </c>
    </row>
    <row r="207">
      <c r="A207" s="5" t="inlineStr">
        <is>
          <t>UGA</t>
        </is>
      </c>
      <c r="B207" s="5" t="inlineStr">
        <is>
          <t>Uganda</t>
        </is>
      </c>
      <c r="C207" s="5" t="inlineStr">
        <is>
          <t>SSF</t>
        </is>
      </c>
      <c r="D207" s="5" t="inlineStr">
        <is>
          <t>LIC</t>
        </is>
      </c>
      <c r="E207" s="5" t="inlineStr">
        <is>
          <t>Elasticities!216:138-141</t>
        </is>
      </c>
    </row>
    <row r="208">
      <c r="A208" s="5" t="inlineStr">
        <is>
          <t>UKR</t>
        </is>
      </c>
      <c r="B208" s="5" t="inlineStr">
        <is>
          <t>Ukraine</t>
        </is>
      </c>
      <c r="C208" s="5" t="inlineStr">
        <is>
          <t>ECS</t>
        </is>
      </c>
      <c r="D208" s="5" t="inlineStr">
        <is>
          <t>LMIC</t>
        </is>
      </c>
      <c r="E208" s="5" t="inlineStr">
        <is>
          <t>Elasticities!217:138-141</t>
        </is>
      </c>
    </row>
    <row r="209">
      <c r="A209" s="5" t="inlineStr">
        <is>
          <t>URY</t>
        </is>
      </c>
      <c r="B209" s="5" t="inlineStr">
        <is>
          <t>Uruguay</t>
        </is>
      </c>
      <c r="C209" s="5" t="inlineStr">
        <is>
          <t>LCN</t>
        </is>
      </c>
      <c r="D209" s="5" t="inlineStr">
        <is>
          <t>HIC</t>
        </is>
      </c>
      <c r="E209" s="5" t="inlineStr">
        <is>
          <t>Elasticities!218:138-141</t>
        </is>
      </c>
    </row>
    <row r="210">
      <c r="A210" s="5" t="inlineStr">
        <is>
          <t>USA</t>
        </is>
      </c>
      <c r="B210" s="5" t="inlineStr">
        <is>
          <t>United States</t>
        </is>
      </c>
      <c r="C210" s="5" t="inlineStr">
        <is>
          <t>NAC</t>
        </is>
      </c>
      <c r="D210" s="5" t="inlineStr">
        <is>
          <t>HIC</t>
        </is>
      </c>
      <c r="E210" s="5" t="inlineStr">
        <is>
          <t>Elasticities!219:138-141</t>
        </is>
      </c>
    </row>
    <row r="211">
      <c r="A211" s="5" t="inlineStr">
        <is>
          <t>UZB</t>
        </is>
      </c>
      <c r="B211" s="5" t="inlineStr">
        <is>
          <t>Uzbekistan</t>
        </is>
      </c>
      <c r="C211" s="5" t="inlineStr">
        <is>
          <t>ECS</t>
        </is>
      </c>
      <c r="D211" s="5" t="inlineStr">
        <is>
          <t>LMIC</t>
        </is>
      </c>
      <c r="E211" s="5" t="inlineStr">
        <is>
          <t>Elasticities!220:138-141</t>
        </is>
      </c>
    </row>
    <row r="212">
      <c r="A212" s="5" t="inlineStr">
        <is>
          <t>VCT</t>
        </is>
      </c>
      <c r="B212" s="5" t="inlineStr">
        <is>
          <t>St. Vincent and the Grenadines</t>
        </is>
      </c>
      <c r="C212" s="5" t="inlineStr">
        <is>
          <t>LCN</t>
        </is>
      </c>
      <c r="D212" s="5" t="inlineStr">
        <is>
          <t>UMIC</t>
        </is>
      </c>
      <c r="E212" s="5" t="inlineStr">
        <is>
          <t>Elasticities!221:138-141</t>
        </is>
      </c>
    </row>
    <row r="213">
      <c r="A213" s="5" t="inlineStr">
        <is>
          <t>VEN</t>
        </is>
      </c>
      <c r="B213" s="5" t="inlineStr">
        <is>
          <t>Venezuela</t>
        </is>
      </c>
      <c r="C213" s="5" t="inlineStr">
        <is>
          <t>LCN</t>
        </is>
      </c>
      <c r="D213" s="5" t="inlineStr">
        <is>
          <t>UMIC</t>
        </is>
      </c>
      <c r="E213" s="5" t="inlineStr">
        <is>
          <t>Elasticities!222:138-141</t>
        </is>
      </c>
    </row>
    <row r="214">
      <c r="A214" s="5" t="inlineStr">
        <is>
          <t>VGB</t>
        </is>
      </c>
      <c r="B214" s="5" t="inlineStr">
        <is>
          <t>British Virgin Islands</t>
        </is>
      </c>
      <c r="C214" s="5" t="inlineStr">
        <is>
          <t>LCN</t>
        </is>
      </c>
      <c r="D214" s="5" t="inlineStr">
        <is>
          <t>HIC</t>
        </is>
      </c>
      <c r="E214" s="5" t="inlineStr">
        <is>
          <t>Elasticities!223:138-141</t>
        </is>
      </c>
    </row>
    <row r="215">
      <c r="A215" s="5" t="inlineStr">
        <is>
          <t>VIR</t>
        </is>
      </c>
      <c r="B215" s="5" t="inlineStr">
        <is>
          <t>Virgin Islands (U.S.)</t>
        </is>
      </c>
      <c r="C215" s="5" t="inlineStr">
        <is>
          <t>LCN</t>
        </is>
      </c>
      <c r="D215" s="5" t="inlineStr">
        <is>
          <t>HIC</t>
        </is>
      </c>
      <c r="E215" s="5" t="inlineStr">
        <is>
          <t>Elasticities!224:138-141</t>
        </is>
      </c>
    </row>
    <row r="216">
      <c r="A216" s="5" t="inlineStr">
        <is>
          <t>VNM</t>
        </is>
      </c>
      <c r="B216" s="5" t="inlineStr">
        <is>
          <t>Vietnam</t>
        </is>
      </c>
      <c r="C216" s="5" t="inlineStr">
        <is>
          <t>EAS</t>
        </is>
      </c>
      <c r="D216" s="5" t="inlineStr">
        <is>
          <t>LMIC</t>
        </is>
      </c>
      <c r="E216" s="5" t="inlineStr">
        <is>
          <t>Elasticities!225:138-141</t>
        </is>
      </c>
    </row>
    <row r="217">
      <c r="A217" s="5" t="inlineStr">
        <is>
          <t>VUT</t>
        </is>
      </c>
      <c r="B217" s="5" t="inlineStr">
        <is>
          <t>Vanuatu</t>
        </is>
      </c>
      <c r="C217" s="5" t="inlineStr">
        <is>
          <t>EAS</t>
        </is>
      </c>
      <c r="D217" s="5" t="inlineStr">
        <is>
          <t>LMIC</t>
        </is>
      </c>
      <c r="E217" s="5" t="inlineStr">
        <is>
          <t>Elasticities!226:138-141</t>
        </is>
      </c>
    </row>
    <row r="218">
      <c r="A218" s="5" t="inlineStr">
        <is>
          <t>WAV</t>
        </is>
      </c>
      <c r="B218" s="5" t="inlineStr">
        <is>
          <t>World aviation bunkers</t>
        </is>
      </c>
      <c r="C218" s="5" t="inlineStr">
        <is>
          <t>NA</t>
        </is>
      </c>
      <c r="D218" s="5" t="inlineStr">
        <is>
          <t>NA</t>
        </is>
      </c>
      <c r="E218" s="5" t="inlineStr">
        <is>
          <t>Elasticities!227:138-141</t>
        </is>
      </c>
    </row>
    <row r="219">
      <c r="A219" s="5" t="inlineStr">
        <is>
          <t>WMR</t>
        </is>
      </c>
      <c r="B219" s="5" t="inlineStr">
        <is>
          <t>World marine bunkers</t>
        </is>
      </c>
      <c r="C219" s="5" t="inlineStr">
        <is>
          <t>NA</t>
        </is>
      </c>
      <c r="D219" s="5" t="inlineStr">
        <is>
          <t>NA</t>
        </is>
      </c>
      <c r="E219" s="5" t="inlineStr">
        <is>
          <t>Elasticities!228:138-141</t>
        </is>
      </c>
    </row>
    <row r="220">
      <c r="A220" s="5" t="inlineStr">
        <is>
          <t>WSM</t>
        </is>
      </c>
      <c r="B220" s="5" t="inlineStr">
        <is>
          <t>Samoa</t>
        </is>
      </c>
      <c r="C220" s="5" t="inlineStr">
        <is>
          <t>EAS</t>
        </is>
      </c>
      <c r="D220" s="5" t="inlineStr">
        <is>
          <t>UMIC</t>
        </is>
      </c>
      <c r="E220" s="5" t="inlineStr">
        <is>
          <t>Elasticities!229:138-141</t>
        </is>
      </c>
    </row>
    <row r="221">
      <c r="A221" s="5" t="inlineStr">
        <is>
          <t>XKX</t>
        </is>
      </c>
      <c r="B221" s="5" t="inlineStr">
        <is>
          <t>Kosovo</t>
        </is>
      </c>
      <c r="C221" s="5" t="inlineStr">
        <is>
          <t>ECS</t>
        </is>
      </c>
      <c r="D221" s="5" t="inlineStr">
        <is>
          <t>LMIC</t>
        </is>
      </c>
      <c r="E221" s="5" t="inlineStr">
        <is>
          <t>Elasticities!230:138-141</t>
        </is>
      </c>
    </row>
    <row r="222">
      <c r="A222" s="5" t="inlineStr">
        <is>
          <t>YEM</t>
        </is>
      </c>
      <c r="B222" s="5" t="inlineStr">
        <is>
          <t>Yemen</t>
        </is>
      </c>
      <c r="C222" s="5" t="inlineStr">
        <is>
          <t>MEA</t>
        </is>
      </c>
      <c r="D222" s="5" t="inlineStr">
        <is>
          <t>LIC</t>
        </is>
      </c>
      <c r="E222" s="5" t="inlineStr">
        <is>
          <t>Elasticities!231:138-141</t>
        </is>
      </c>
    </row>
    <row r="223">
      <c r="A223" s="5" t="inlineStr">
        <is>
          <t>ZAF</t>
        </is>
      </c>
      <c r="B223" s="5" t="inlineStr">
        <is>
          <t>South Africa</t>
        </is>
      </c>
      <c r="C223" s="5" t="inlineStr">
        <is>
          <t>SSF</t>
        </is>
      </c>
      <c r="D223" s="5" t="inlineStr">
        <is>
          <t>UMIC</t>
        </is>
      </c>
      <c r="E223" s="5" t="inlineStr">
        <is>
          <t>Elasticities!232:138-141</t>
        </is>
      </c>
    </row>
    <row r="224">
      <c r="A224" s="5" t="inlineStr">
        <is>
          <t>ZMB</t>
        </is>
      </c>
      <c r="B224" s="5" t="inlineStr">
        <is>
          <t>Zambia</t>
        </is>
      </c>
      <c r="C224" s="5" t="inlineStr">
        <is>
          <t>SSF</t>
        </is>
      </c>
      <c r="D224" s="5" t="inlineStr">
        <is>
          <t>LMIC</t>
        </is>
      </c>
      <c r="E224" s="5" t="inlineStr">
        <is>
          <t>Elasticities!233:138-141</t>
        </is>
      </c>
    </row>
    <row r="225">
      <c r="A225" s="5" t="inlineStr">
        <is>
          <t>ZWE</t>
        </is>
      </c>
      <c r="B225" s="5" t="inlineStr">
        <is>
          <t>Zimbabwe</t>
        </is>
      </c>
      <c r="C225" s="5" t="inlineStr">
        <is>
          <t>SSF</t>
        </is>
      </c>
      <c r="D225" s="5" t="inlineStr">
        <is>
          <t>LIC</t>
        </is>
      </c>
      <c r="E225" s="5" t="inlineStr">
        <is>
          <t>Elasticities!234:138-141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Elasticities rows 143-282 ('Simple' option, income-group specific)</t>
        </is>
      </c>
    </row>
    <row r="2">
      <c r="A2" s="1" t="inlineStr">
        <is>
          <t>Elasticities by income group (legacy CPAT values, CPAT sector and fuel groups)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8" t="inlineStr">
        <is>
          <t>key</t>
        </is>
      </c>
      <c r="B3" s="8" t="inlineStr">
        <is>
          <t>type</t>
        </is>
      </c>
      <c r="C3" s="8" t="inlineStr">
        <is>
          <t>fuel_group</t>
        </is>
      </c>
      <c r="D3" s="8" t="inlineStr">
        <is>
          <t>sector_group</t>
        </is>
      </c>
      <c r="E3" s="8" t="inlineStr">
        <is>
          <t>legacy_code</t>
        </is>
      </c>
      <c r="F3" s="8" t="inlineStr">
        <is>
          <t>LIC</t>
        </is>
      </c>
      <c r="G3" s="8" t="inlineStr">
        <is>
          <t>LMIC</t>
        </is>
      </c>
      <c r="H3" s="8" t="inlineStr">
        <is>
          <t>UMIC</t>
        </is>
      </c>
      <c r="I3" s="8" t="inlineStr">
        <is>
          <t>HIC</t>
        </is>
      </c>
      <c r="J3" s="8" t="inlineStr">
        <is>
          <t>source</t>
        </is>
      </c>
    </row>
    <row r="4">
      <c r="A4" s="5" t="inlineStr">
        <is>
          <t>inc|coa|tra</t>
        </is>
      </c>
      <c r="B4" s="5" t="inlineStr">
        <is>
          <t>inc</t>
        </is>
      </c>
      <c r="C4" s="5" t="inlineStr">
        <is>
          <t>coa</t>
        </is>
      </c>
      <c r="D4" s="5" t="inlineStr">
        <is>
          <t>tra</t>
        </is>
      </c>
      <c r="E4" s="5" t="inlineStr">
        <is>
          <t>coa_inc_tot</t>
        </is>
      </c>
      <c r="F4" s="5" t="n">
        <v>0</v>
      </c>
      <c r="G4" s="5" t="n">
        <v>0</v>
      </c>
      <c r="H4" s="5" t="n">
        <v>0</v>
      </c>
      <c r="I4" s="5" t="n">
        <v>0</v>
      </c>
      <c r="J4" s="5" t="inlineStr">
        <is>
          <t>Elasticities row 143</t>
        </is>
      </c>
    </row>
    <row r="5">
      <c r="A5" s="5" t="inlineStr">
        <is>
          <t>inc|nga|tra</t>
        </is>
      </c>
      <c r="B5" s="5" t="inlineStr">
        <is>
          <t>inc</t>
        </is>
      </c>
      <c r="C5" s="5" t="inlineStr">
        <is>
          <t>nga</t>
        </is>
      </c>
      <c r="D5" s="5" t="inlineStr">
        <is>
          <t>tra</t>
        </is>
      </c>
      <c r="E5" s="5" t="inlineStr">
        <is>
          <t>nga_inc_tot</t>
        </is>
      </c>
      <c r="F5" s="5" t="n">
        <v>0.5</v>
      </c>
      <c r="G5" s="5" t="n">
        <v>0.5</v>
      </c>
      <c r="H5" s="5" t="n">
        <v>0.5</v>
      </c>
      <c r="I5" s="5" t="n">
        <v>0.5</v>
      </c>
      <c r="J5" s="5" t="inlineStr">
        <is>
          <t>Elasticities row 144</t>
        </is>
      </c>
    </row>
    <row r="6">
      <c r="A6" s="5" t="inlineStr">
        <is>
          <t>inc|gso|tra</t>
        </is>
      </c>
      <c r="B6" s="5" t="inlineStr">
        <is>
          <t>inc</t>
        </is>
      </c>
      <c r="C6" s="5" t="inlineStr">
        <is>
          <t>gso</t>
        </is>
      </c>
      <c r="D6" s="5" t="inlineStr">
        <is>
          <t>tra</t>
        </is>
      </c>
      <c r="E6" s="5" t="inlineStr">
        <is>
          <t>oil_inc_res</t>
        </is>
      </c>
      <c r="F6" s="5" t="n">
        <v>0.7</v>
      </c>
      <c r="G6" s="5" t="n">
        <v>0.7</v>
      </c>
      <c r="H6" s="5" t="n">
        <v>0.7</v>
      </c>
      <c r="I6" s="5" t="n">
        <v>0.7</v>
      </c>
      <c r="J6" s="5" t="inlineStr">
        <is>
          <t>Elasticities row 145</t>
        </is>
      </c>
    </row>
    <row r="7">
      <c r="A7" s="5" t="inlineStr">
        <is>
          <t>inc|die|tra</t>
        </is>
      </c>
      <c r="B7" s="5" t="inlineStr">
        <is>
          <t>inc</t>
        </is>
      </c>
      <c r="C7" s="5" t="inlineStr">
        <is>
          <t>die</t>
        </is>
      </c>
      <c r="D7" s="5" t="inlineStr">
        <is>
          <t>tra</t>
        </is>
      </c>
      <c r="E7" s="5" t="inlineStr">
        <is>
          <t>bio_inc_res</t>
        </is>
      </c>
      <c r="F7" s="5" t="n">
        <v>0.6</v>
      </c>
      <c r="G7" s="5" t="n">
        <v>0.6</v>
      </c>
      <c r="H7" s="5" t="n">
        <v>0.6</v>
      </c>
      <c r="I7" s="5" t="n">
        <v>0.6</v>
      </c>
      <c r="J7" s="5" t="inlineStr">
        <is>
          <t>Elasticities row 146</t>
        </is>
      </c>
    </row>
    <row r="8">
      <c r="A8" s="5" t="inlineStr">
        <is>
          <t>inc|oil|tra</t>
        </is>
      </c>
      <c r="B8" s="5" t="inlineStr">
        <is>
          <t>inc</t>
        </is>
      </c>
      <c r="C8" s="5" t="inlineStr">
        <is>
          <t>oil</t>
        </is>
      </c>
      <c r="D8" s="5" t="inlineStr">
        <is>
          <t>tra</t>
        </is>
      </c>
      <c r="E8" s="5" t="inlineStr">
        <is>
          <t>oil_inc_tot</t>
        </is>
      </c>
      <c r="F8" s="5" t="n">
        <v>0.8</v>
      </c>
      <c r="G8" s="5" t="n">
        <v>0.8</v>
      </c>
      <c r="H8" s="5" t="n">
        <v>0.8</v>
      </c>
      <c r="I8" s="5" t="n">
        <v>0.8</v>
      </c>
      <c r="J8" s="5" t="inlineStr">
        <is>
          <t>Elasticities row 147</t>
        </is>
      </c>
    </row>
    <row r="9">
      <c r="A9" s="5" t="inlineStr">
        <is>
          <t>inc|bio|tra</t>
        </is>
      </c>
      <c r="B9" s="5" t="inlineStr">
        <is>
          <t>inc</t>
        </is>
      </c>
      <c r="C9" s="5" t="inlineStr">
        <is>
          <t>bio</t>
        </is>
      </c>
      <c r="D9" s="5" t="inlineStr">
        <is>
          <t>tra</t>
        </is>
      </c>
      <c r="E9" s="5" t="inlineStr">
        <is>
          <t>die_inc_res</t>
        </is>
      </c>
      <c r="F9" s="5" t="n">
        <v>0</v>
      </c>
      <c r="G9" s="5" t="n">
        <v>0</v>
      </c>
      <c r="H9" s="5" t="n">
        <v>0</v>
      </c>
      <c r="I9" s="5" t="n">
        <v>0</v>
      </c>
      <c r="J9" s="5" t="inlineStr">
        <is>
          <t>Elasticities row 148</t>
        </is>
      </c>
    </row>
    <row r="10">
      <c r="A10" s="5" t="inlineStr">
        <is>
          <t>inc|ren|tra</t>
        </is>
      </c>
      <c r="B10" s="5" t="inlineStr">
        <is>
          <t>inc</t>
        </is>
      </c>
      <c r="C10" s="5" t="inlineStr">
        <is>
          <t>ren</t>
        </is>
      </c>
      <c r="D10" s="5" t="inlineStr">
        <is>
          <t>tra</t>
        </is>
      </c>
      <c r="E10" s="5" t="inlineStr">
        <is>
          <t>rnw_inc_tot</t>
        </is>
      </c>
      <c r="F10" s="5" t="n">
        <v>1</v>
      </c>
      <c r="G10" s="5" t="n">
        <v>1</v>
      </c>
      <c r="H10" s="5" t="n">
        <v>1</v>
      </c>
      <c r="I10" s="5" t="n">
        <v>1</v>
      </c>
      <c r="J10" s="5" t="inlineStr">
        <is>
          <t>Elasticities row 149</t>
        </is>
      </c>
    </row>
    <row r="11">
      <c r="A11" s="5" t="inlineStr">
        <is>
          <t>inc|ecy|tra</t>
        </is>
      </c>
      <c r="B11" s="5" t="inlineStr">
        <is>
          <t>inc</t>
        </is>
      </c>
      <c r="C11" s="5" t="inlineStr">
        <is>
          <t>ecy</t>
        </is>
      </c>
      <c r="D11" s="5" t="inlineStr">
        <is>
          <t>tra</t>
        </is>
      </c>
      <c r="E11" s="5" t="inlineStr">
        <is>
          <t>ecy_inc_tot</t>
        </is>
      </c>
      <c r="F11" s="5" t="n">
        <v>1.2</v>
      </c>
      <c r="G11" s="5" t="n">
        <v>1.2</v>
      </c>
      <c r="H11" s="5" t="n">
        <v>1.2</v>
      </c>
      <c r="I11" s="5" t="n">
        <v>1.2</v>
      </c>
      <c r="J11" s="5" t="inlineStr">
        <is>
          <t>Elasticities row 150</t>
        </is>
      </c>
    </row>
    <row r="12">
      <c r="A12" s="5" t="inlineStr">
        <is>
          <t>inc|coa|res</t>
        </is>
      </c>
      <c r="B12" s="5" t="inlineStr">
        <is>
          <t>inc</t>
        </is>
      </c>
      <c r="C12" s="5" t="inlineStr">
        <is>
          <t>coa</t>
        </is>
      </c>
      <c r="D12" s="5" t="inlineStr">
        <is>
          <t>res</t>
        </is>
      </c>
      <c r="E12" s="5" t="inlineStr">
        <is>
          <t>coa_inc_res</t>
        </is>
      </c>
      <c r="F12" s="5" t="n">
        <v>0.3</v>
      </c>
      <c r="G12" s="5" t="n">
        <v>0.3</v>
      </c>
      <c r="H12" s="5" t="n">
        <v>0.3</v>
      </c>
      <c r="I12" s="5" t="n">
        <v>0.3</v>
      </c>
      <c r="J12" s="5" t="inlineStr">
        <is>
          <t>Elasticities row 151</t>
        </is>
      </c>
    </row>
    <row r="13">
      <c r="A13" s="5" t="inlineStr">
        <is>
          <t>inc|nga|res</t>
        </is>
      </c>
      <c r="B13" s="5" t="inlineStr">
        <is>
          <t>inc</t>
        </is>
      </c>
      <c r="C13" s="5" t="inlineStr">
        <is>
          <t>nga</t>
        </is>
      </c>
      <c r="D13" s="5" t="inlineStr">
        <is>
          <t>res</t>
        </is>
      </c>
      <c r="E13" s="5" t="inlineStr">
        <is>
          <t>nga_inc_res</t>
        </is>
      </c>
      <c r="F13" s="5" t="n">
        <v>0.3</v>
      </c>
      <c r="G13" s="5" t="n">
        <v>0.3</v>
      </c>
      <c r="H13" s="5" t="n">
        <v>0.3</v>
      </c>
      <c r="I13" s="5" t="n">
        <v>0.3</v>
      </c>
      <c r="J13" s="5" t="inlineStr">
        <is>
          <t>Elasticities row 152</t>
        </is>
      </c>
    </row>
    <row r="14">
      <c r="A14" s="5" t="inlineStr">
        <is>
          <t>inc|gso|res</t>
        </is>
      </c>
      <c r="B14" s="5" t="inlineStr">
        <is>
          <t>inc</t>
        </is>
      </c>
      <c r="C14" s="5" t="inlineStr">
        <is>
          <t>gso</t>
        </is>
      </c>
      <c r="D14" s="5" t="inlineStr">
        <is>
          <t>res</t>
        </is>
      </c>
      <c r="E14" s="5" t="inlineStr">
        <is>
          <t>oil_inc_res</t>
        </is>
      </c>
      <c r="F14" s="5" t="n">
        <v>0.5</v>
      </c>
      <c r="G14" s="5" t="n">
        <v>0.5</v>
      </c>
      <c r="H14" s="5" t="n">
        <v>0.5</v>
      </c>
      <c r="I14" s="5" t="n">
        <v>0.5</v>
      </c>
      <c r="J14" s="5" t="inlineStr">
        <is>
          <t>Elasticities row 153</t>
        </is>
      </c>
    </row>
    <row r="15">
      <c r="A15" s="5" t="inlineStr">
        <is>
          <t>inc|die|res</t>
        </is>
      </c>
      <c r="B15" s="5" t="inlineStr">
        <is>
          <t>inc</t>
        </is>
      </c>
      <c r="C15" s="5" t="inlineStr">
        <is>
          <t>die</t>
        </is>
      </c>
      <c r="D15" s="5" t="inlineStr">
        <is>
          <t>res</t>
        </is>
      </c>
      <c r="E15" s="5" t="inlineStr">
        <is>
          <t>bio_inc_res</t>
        </is>
      </c>
      <c r="F15" s="5" t="n">
        <v>0.5</v>
      </c>
      <c r="G15" s="5" t="n">
        <v>0.5</v>
      </c>
      <c r="H15" s="5" t="n">
        <v>0.5</v>
      </c>
      <c r="I15" s="5" t="n">
        <v>0.5</v>
      </c>
      <c r="J15" s="5" t="inlineStr">
        <is>
          <t>Elasticities row 154</t>
        </is>
      </c>
    </row>
    <row r="16">
      <c r="A16" s="5" t="inlineStr">
        <is>
          <t>inc|oil|res</t>
        </is>
      </c>
      <c r="B16" s="5" t="inlineStr">
        <is>
          <t>inc</t>
        </is>
      </c>
      <c r="C16" s="5" t="inlineStr">
        <is>
          <t>oil</t>
        </is>
      </c>
      <c r="D16" s="5" t="inlineStr">
        <is>
          <t>res</t>
        </is>
      </c>
      <c r="E16" s="5" t="inlineStr">
        <is>
          <t>oil_inc_res</t>
        </is>
      </c>
      <c r="F16" s="5" t="n">
        <v>0.5</v>
      </c>
      <c r="G16" s="5" t="n">
        <v>0.5</v>
      </c>
      <c r="H16" s="5" t="n">
        <v>0.5</v>
      </c>
      <c r="I16" s="5" t="n">
        <v>0.5</v>
      </c>
      <c r="J16" s="5" t="inlineStr">
        <is>
          <t>Elasticities row 155</t>
        </is>
      </c>
    </row>
    <row r="17">
      <c r="A17" s="5" t="inlineStr">
        <is>
          <t>inc|bio|res</t>
        </is>
      </c>
      <c r="B17" s="5" t="inlineStr">
        <is>
          <t>inc</t>
        </is>
      </c>
      <c r="C17" s="5" t="inlineStr">
        <is>
          <t>bio</t>
        </is>
      </c>
      <c r="D17" s="5" t="inlineStr">
        <is>
          <t>res</t>
        </is>
      </c>
      <c r="E17" s="5" t="inlineStr">
        <is>
          <t>bio_inc_res</t>
        </is>
      </c>
      <c r="F17" s="5" t="n">
        <v>0.1</v>
      </c>
      <c r="G17" s="5" t="n">
        <v>0.1</v>
      </c>
      <c r="H17" s="5" t="n">
        <v>0.1</v>
      </c>
      <c r="I17" s="5" t="n">
        <v>0.1</v>
      </c>
      <c r="J17" s="5" t="inlineStr">
        <is>
          <t>Elasticities row 156</t>
        </is>
      </c>
    </row>
    <row r="18">
      <c r="A18" s="5" t="inlineStr">
        <is>
          <t>inc|ren|res</t>
        </is>
      </c>
      <c r="B18" s="5" t="inlineStr">
        <is>
          <t>inc</t>
        </is>
      </c>
      <c r="C18" s="5" t="inlineStr">
        <is>
          <t>ren</t>
        </is>
      </c>
      <c r="D18" s="5" t="inlineStr">
        <is>
          <t>res</t>
        </is>
      </c>
      <c r="E18" s="5" t="inlineStr">
        <is>
          <t>rnw_inc_tot</t>
        </is>
      </c>
      <c r="F18" s="5" t="n">
        <v>0.8</v>
      </c>
      <c r="G18" s="5" t="n">
        <v>0.8</v>
      </c>
      <c r="H18" s="5" t="n">
        <v>0.8</v>
      </c>
      <c r="I18" s="5" t="n">
        <v>0.8</v>
      </c>
      <c r="J18" s="5" t="inlineStr">
        <is>
          <t>Elasticities row 157</t>
        </is>
      </c>
    </row>
    <row r="19">
      <c r="A19" s="5" t="inlineStr">
        <is>
          <t>inc|ecy|res</t>
        </is>
      </c>
      <c r="B19" s="5" t="inlineStr">
        <is>
          <t>inc</t>
        </is>
      </c>
      <c r="C19" s="5" t="inlineStr">
        <is>
          <t>ecy</t>
        </is>
      </c>
      <c r="D19" s="5" t="inlineStr">
        <is>
          <t>res</t>
        </is>
      </c>
      <c r="E19" s="5" t="inlineStr">
        <is>
          <t>ecy_inc_res</t>
        </is>
      </c>
      <c r="F19" s="5" t="n">
        <v>0.8</v>
      </c>
      <c r="G19" s="5" t="n">
        <v>0.8</v>
      </c>
      <c r="H19" s="5" t="n">
        <v>0.8</v>
      </c>
      <c r="I19" s="5" t="n">
        <v>0.8</v>
      </c>
      <c r="J19" s="5" t="inlineStr">
        <is>
          <t>Elasticities row 158</t>
        </is>
      </c>
    </row>
    <row r="20">
      <c r="A20" s="5" t="inlineStr">
        <is>
          <t>inc|coa|ind</t>
        </is>
      </c>
      <c r="B20" s="5" t="inlineStr">
        <is>
          <t>inc</t>
        </is>
      </c>
      <c r="C20" s="5" t="inlineStr">
        <is>
          <t>coa</t>
        </is>
      </c>
      <c r="D20" s="5" t="inlineStr">
        <is>
          <t>ind</t>
        </is>
      </c>
      <c r="E20" s="5" t="inlineStr">
        <is>
          <t>coa_inc_ind</t>
        </is>
      </c>
      <c r="F20" s="5" t="n">
        <v>0.5</v>
      </c>
      <c r="G20" s="5" t="n">
        <v>0.5</v>
      </c>
      <c r="H20" s="5" t="n">
        <v>0.5</v>
      </c>
      <c r="I20" s="5" t="n">
        <v>0.5</v>
      </c>
      <c r="J20" s="5" t="inlineStr">
        <is>
          <t>Elasticities row 159</t>
        </is>
      </c>
    </row>
    <row r="21">
      <c r="A21" s="5" t="inlineStr">
        <is>
          <t>inc|nga|ind</t>
        </is>
      </c>
      <c r="B21" s="5" t="inlineStr">
        <is>
          <t>inc</t>
        </is>
      </c>
      <c r="C21" s="5" t="inlineStr">
        <is>
          <t>nga</t>
        </is>
      </c>
      <c r="D21" s="5" t="inlineStr">
        <is>
          <t>ind</t>
        </is>
      </c>
      <c r="E21" s="5" t="inlineStr">
        <is>
          <t>nga_inc_ind</t>
        </is>
      </c>
      <c r="F21" s="5" t="n">
        <v>1</v>
      </c>
      <c r="G21" s="5" t="n">
        <v>1</v>
      </c>
      <c r="H21" s="5" t="n">
        <v>1</v>
      </c>
      <c r="I21" s="5" t="n">
        <v>1</v>
      </c>
      <c r="J21" s="5" t="inlineStr">
        <is>
          <t>Elasticities row 160</t>
        </is>
      </c>
    </row>
    <row r="22">
      <c r="A22" s="5" t="inlineStr">
        <is>
          <t>inc|gso|ind</t>
        </is>
      </c>
      <c r="B22" s="5" t="inlineStr">
        <is>
          <t>inc</t>
        </is>
      </c>
      <c r="C22" s="5" t="inlineStr">
        <is>
          <t>gso</t>
        </is>
      </c>
      <c r="D22" s="5" t="inlineStr">
        <is>
          <t>ind</t>
        </is>
      </c>
      <c r="E22" s="5" t="inlineStr">
        <is>
          <t>oil_inc_res</t>
        </is>
      </c>
      <c r="F22" s="5" t="n">
        <v>0.5</v>
      </c>
      <c r="G22" s="5" t="n">
        <v>0.5</v>
      </c>
      <c r="H22" s="5" t="n">
        <v>0.5</v>
      </c>
      <c r="I22" s="5" t="n">
        <v>0.5</v>
      </c>
      <c r="J22" s="5" t="inlineStr">
        <is>
          <t>Elasticities row 161</t>
        </is>
      </c>
    </row>
    <row r="23">
      <c r="A23" s="5" t="inlineStr">
        <is>
          <t>inc|die|ind</t>
        </is>
      </c>
      <c r="B23" s="5" t="inlineStr">
        <is>
          <t>inc</t>
        </is>
      </c>
      <c r="C23" s="5" t="inlineStr">
        <is>
          <t>die</t>
        </is>
      </c>
      <c r="D23" s="5" t="inlineStr">
        <is>
          <t>ind</t>
        </is>
      </c>
      <c r="E23" s="5" t="inlineStr">
        <is>
          <t>die_inc_res</t>
        </is>
      </c>
      <c r="F23" s="5" t="n">
        <v>0.5</v>
      </c>
      <c r="G23" s="5" t="n">
        <v>0.5</v>
      </c>
      <c r="H23" s="5" t="n">
        <v>0.5</v>
      </c>
      <c r="I23" s="5" t="n">
        <v>0.5</v>
      </c>
      <c r="J23" s="5" t="inlineStr">
        <is>
          <t>Elasticities row 162</t>
        </is>
      </c>
    </row>
    <row r="24">
      <c r="A24" s="5" t="inlineStr">
        <is>
          <t>inc|oil|ind</t>
        </is>
      </c>
      <c r="B24" s="5" t="inlineStr">
        <is>
          <t>inc</t>
        </is>
      </c>
      <c r="C24" s="5" t="inlineStr">
        <is>
          <t>oil</t>
        </is>
      </c>
      <c r="D24" s="5" t="inlineStr">
        <is>
          <t>ind</t>
        </is>
      </c>
      <c r="E24" s="5" t="inlineStr">
        <is>
          <t>oil_inc_ind</t>
        </is>
      </c>
      <c r="F24" s="5" t="n">
        <v>0.8</v>
      </c>
      <c r="G24" s="5" t="n">
        <v>0.8</v>
      </c>
      <c r="H24" s="5" t="n">
        <v>0.8</v>
      </c>
      <c r="I24" s="5" t="n">
        <v>0.8</v>
      </c>
      <c r="J24" s="5" t="inlineStr">
        <is>
          <t>Elasticities row 163</t>
        </is>
      </c>
    </row>
    <row r="25">
      <c r="A25" s="5" t="inlineStr">
        <is>
          <t>inc|bio|ind</t>
        </is>
      </c>
      <c r="B25" s="5" t="inlineStr">
        <is>
          <t>inc</t>
        </is>
      </c>
      <c r="C25" s="5" t="inlineStr">
        <is>
          <t>bio</t>
        </is>
      </c>
      <c r="D25" s="5" t="inlineStr">
        <is>
          <t>ind</t>
        </is>
      </c>
      <c r="E25" s="5" t="inlineStr">
        <is>
          <t>bio_inc_res</t>
        </is>
      </c>
      <c r="F25" s="5" t="n">
        <v>0.1</v>
      </c>
      <c r="G25" s="5" t="n">
        <v>0.1</v>
      </c>
      <c r="H25" s="5" t="n">
        <v>0.1</v>
      </c>
      <c r="I25" s="5" t="n">
        <v>0.1</v>
      </c>
      <c r="J25" s="5" t="inlineStr">
        <is>
          <t>Elasticities row 164</t>
        </is>
      </c>
    </row>
    <row r="26">
      <c r="A26" s="5" t="inlineStr">
        <is>
          <t>inc|ren|ind</t>
        </is>
      </c>
      <c r="B26" s="5" t="inlineStr">
        <is>
          <t>inc</t>
        </is>
      </c>
      <c r="C26" s="5" t="inlineStr">
        <is>
          <t>ren</t>
        </is>
      </c>
      <c r="D26" s="5" t="inlineStr">
        <is>
          <t>ind</t>
        </is>
      </c>
      <c r="E26" s="5" t="inlineStr">
        <is>
          <t>rnw_inc_tot</t>
        </is>
      </c>
      <c r="F26" s="5" t="n">
        <v>0.8</v>
      </c>
      <c r="G26" s="5" t="n">
        <v>0.8</v>
      </c>
      <c r="H26" s="5" t="n">
        <v>0.8</v>
      </c>
      <c r="I26" s="5" t="n">
        <v>0.8</v>
      </c>
      <c r="J26" s="5" t="inlineStr">
        <is>
          <t>Elasticities row 165</t>
        </is>
      </c>
    </row>
    <row r="27">
      <c r="A27" s="5" t="inlineStr">
        <is>
          <t>inc|ecy|ind</t>
        </is>
      </c>
      <c r="B27" s="5" t="inlineStr">
        <is>
          <t>inc</t>
        </is>
      </c>
      <c r="C27" s="5" t="inlineStr">
        <is>
          <t>ecy</t>
        </is>
      </c>
      <c r="D27" s="5" t="inlineStr">
        <is>
          <t>ind</t>
        </is>
      </c>
      <c r="E27" s="5" t="inlineStr">
        <is>
          <t>ecy_inc_ind</t>
        </is>
      </c>
      <c r="F27" s="5" t="n">
        <v>0.8</v>
      </c>
      <c r="G27" s="5" t="n">
        <v>0.8</v>
      </c>
      <c r="H27" s="5" t="n">
        <v>0.8</v>
      </c>
      <c r="I27" s="5" t="n">
        <v>0.8</v>
      </c>
      <c r="J27" s="5" t="inlineStr">
        <is>
          <t>Elasticities row 166</t>
        </is>
      </c>
    </row>
    <row r="28">
      <c r="A28" s="5" t="inlineStr">
        <is>
          <t>inc|coa|srv</t>
        </is>
      </c>
      <c r="B28" s="5" t="inlineStr">
        <is>
          <t>inc</t>
        </is>
      </c>
      <c r="C28" s="5" t="inlineStr">
        <is>
          <t>coa</t>
        </is>
      </c>
      <c r="D28" s="5" t="inlineStr">
        <is>
          <t>srv</t>
        </is>
      </c>
      <c r="E28" s="5" t="inlineStr">
        <is>
          <t>coa_inc_srv</t>
        </is>
      </c>
      <c r="F28" s="5" t="n">
        <v>0.7</v>
      </c>
      <c r="G28" s="5" t="n">
        <v>0.7</v>
      </c>
      <c r="H28" s="5" t="n">
        <v>0.7</v>
      </c>
      <c r="I28" s="5" t="n">
        <v>0.7</v>
      </c>
      <c r="J28" s="5" t="inlineStr">
        <is>
          <t>Elasticities row 167</t>
        </is>
      </c>
    </row>
    <row r="29">
      <c r="A29" s="5" t="inlineStr">
        <is>
          <t>inc|nga|srv</t>
        </is>
      </c>
      <c r="B29" s="5" t="inlineStr">
        <is>
          <t>inc</t>
        </is>
      </c>
      <c r="C29" s="5" t="inlineStr">
        <is>
          <t>nga</t>
        </is>
      </c>
      <c r="D29" s="5" t="inlineStr">
        <is>
          <t>srv</t>
        </is>
      </c>
      <c r="E29" s="5" t="inlineStr">
        <is>
          <t>nga_inc_srv</t>
        </is>
      </c>
      <c r="F29" s="5" t="n">
        <v>1</v>
      </c>
      <c r="G29" s="5" t="n">
        <v>1</v>
      </c>
      <c r="H29" s="5" t="n">
        <v>1</v>
      </c>
      <c r="I29" s="5" t="n">
        <v>1</v>
      </c>
      <c r="J29" s="5" t="inlineStr">
        <is>
          <t>Elasticities row 168</t>
        </is>
      </c>
    </row>
    <row r="30">
      <c r="A30" s="5" t="inlineStr">
        <is>
          <t>inc|gso|srv</t>
        </is>
      </c>
      <c r="B30" s="5" t="inlineStr">
        <is>
          <t>inc</t>
        </is>
      </c>
      <c r="C30" s="5" t="inlineStr">
        <is>
          <t>gso</t>
        </is>
      </c>
      <c r="D30" s="5" t="inlineStr">
        <is>
          <t>srv</t>
        </is>
      </c>
      <c r="E30" s="5" t="inlineStr">
        <is>
          <t>oil_inc_res</t>
        </is>
      </c>
      <c r="F30" s="5" t="n">
        <v>0.5</v>
      </c>
      <c r="G30" s="5" t="n">
        <v>0.5</v>
      </c>
      <c r="H30" s="5" t="n">
        <v>0.5</v>
      </c>
      <c r="I30" s="5" t="n">
        <v>0.5</v>
      </c>
      <c r="J30" s="5" t="inlineStr">
        <is>
          <t>Elasticities row 169</t>
        </is>
      </c>
    </row>
    <row r="31">
      <c r="A31" s="5" t="inlineStr">
        <is>
          <t>inc|die|srv</t>
        </is>
      </c>
      <c r="B31" s="5" t="inlineStr">
        <is>
          <t>inc</t>
        </is>
      </c>
      <c r="C31" s="5" t="inlineStr">
        <is>
          <t>die</t>
        </is>
      </c>
      <c r="D31" s="5" t="inlineStr">
        <is>
          <t>srv</t>
        </is>
      </c>
      <c r="E31" s="5" t="inlineStr">
        <is>
          <t>die_inc_res</t>
        </is>
      </c>
      <c r="F31" s="5" t="n">
        <v>0.5</v>
      </c>
      <c r="G31" s="5" t="n">
        <v>0.5</v>
      </c>
      <c r="H31" s="5" t="n">
        <v>0.5</v>
      </c>
      <c r="I31" s="5" t="n">
        <v>0.5</v>
      </c>
      <c r="J31" s="5" t="inlineStr">
        <is>
          <t>Elasticities row 170</t>
        </is>
      </c>
    </row>
    <row r="32">
      <c r="A32" s="5" t="inlineStr">
        <is>
          <t>inc|oil|srv</t>
        </is>
      </c>
      <c r="B32" s="5" t="inlineStr">
        <is>
          <t>inc</t>
        </is>
      </c>
      <c r="C32" s="5" t="inlineStr">
        <is>
          <t>oil</t>
        </is>
      </c>
      <c r="D32" s="5" t="inlineStr">
        <is>
          <t>srv</t>
        </is>
      </c>
      <c r="E32" s="5" t="inlineStr">
        <is>
          <t>oil_inc_srv</t>
        </is>
      </c>
      <c r="F32" s="5" t="n">
        <v>1.2</v>
      </c>
      <c r="G32" s="5" t="n">
        <v>1.2</v>
      </c>
      <c r="H32" s="5" t="n">
        <v>1.2</v>
      </c>
      <c r="I32" s="5" t="n">
        <v>1.2</v>
      </c>
      <c r="J32" s="5" t="inlineStr">
        <is>
          <t>Elasticities row 171</t>
        </is>
      </c>
    </row>
    <row r="33">
      <c r="A33" s="5" t="inlineStr">
        <is>
          <t>inc|bio|srv</t>
        </is>
      </c>
      <c r="B33" s="5" t="inlineStr">
        <is>
          <t>inc</t>
        </is>
      </c>
      <c r="C33" s="5" t="inlineStr">
        <is>
          <t>bio</t>
        </is>
      </c>
      <c r="D33" s="5" t="inlineStr">
        <is>
          <t>srv</t>
        </is>
      </c>
      <c r="E33" s="5" t="inlineStr">
        <is>
          <t>bio_inc_res</t>
        </is>
      </c>
      <c r="F33" s="5" t="n">
        <v>0.1</v>
      </c>
      <c r="G33" s="5" t="n">
        <v>0.1</v>
      </c>
      <c r="H33" s="5" t="n">
        <v>0.1</v>
      </c>
      <c r="I33" s="5" t="n">
        <v>0.1</v>
      </c>
      <c r="J33" s="5" t="inlineStr">
        <is>
          <t>Elasticities row 172</t>
        </is>
      </c>
    </row>
    <row r="34">
      <c r="A34" s="5" t="inlineStr">
        <is>
          <t>inc|ren|srv</t>
        </is>
      </c>
      <c r="B34" s="5" t="inlineStr">
        <is>
          <t>inc</t>
        </is>
      </c>
      <c r="C34" s="5" t="inlineStr">
        <is>
          <t>ren</t>
        </is>
      </c>
      <c r="D34" s="5" t="inlineStr">
        <is>
          <t>srv</t>
        </is>
      </c>
      <c r="E34" s="5" t="inlineStr">
        <is>
          <t>rnw_inc_tot</t>
        </is>
      </c>
      <c r="F34" s="5" t="n">
        <v>1</v>
      </c>
      <c r="G34" s="5" t="n">
        <v>1</v>
      </c>
      <c r="H34" s="5" t="n">
        <v>1</v>
      </c>
      <c r="I34" s="5" t="n">
        <v>1</v>
      </c>
      <c r="J34" s="5" t="inlineStr">
        <is>
          <t>Elasticities row 173</t>
        </is>
      </c>
    </row>
    <row r="35">
      <c r="A35" s="5" t="inlineStr">
        <is>
          <t>inc|ecy|srv</t>
        </is>
      </c>
      <c r="B35" s="5" t="inlineStr">
        <is>
          <t>inc</t>
        </is>
      </c>
      <c r="C35" s="5" t="inlineStr">
        <is>
          <t>ecy</t>
        </is>
      </c>
      <c r="D35" s="5" t="inlineStr">
        <is>
          <t>srv</t>
        </is>
      </c>
      <c r="E35" s="5" t="inlineStr">
        <is>
          <t>ecy_inc_srv</t>
        </is>
      </c>
      <c r="F35" s="5" t="n">
        <v>1.1</v>
      </c>
      <c r="G35" s="5" t="n">
        <v>1.1</v>
      </c>
      <c r="H35" s="5" t="n">
        <v>1.1</v>
      </c>
      <c r="I35" s="5" t="n">
        <v>1.1</v>
      </c>
      <c r="J35" s="5" t="inlineStr">
        <is>
          <t>Elasticities row 174</t>
        </is>
      </c>
    </row>
    <row r="36">
      <c r="A36" s="5" t="inlineStr">
        <is>
          <t>usg|coa|tra</t>
        </is>
      </c>
      <c r="B36" s="5" t="inlineStr">
        <is>
          <t>usg</t>
        </is>
      </c>
      <c r="C36" s="5" t="inlineStr">
        <is>
          <t>coa</t>
        </is>
      </c>
      <c r="D36" s="5" t="inlineStr">
        <is>
          <t>tra</t>
        </is>
      </c>
      <c r="E36" s="5" t="inlineStr">
        <is>
          <t>coa_owp_tot_sr</t>
        </is>
      </c>
      <c r="F36" s="5" t="n">
        <v>-0.3</v>
      </c>
      <c r="G36" s="5" t="n">
        <v>-0.3</v>
      </c>
      <c r="H36" s="5" t="n">
        <v>-0.3</v>
      </c>
      <c r="I36" s="5" t="n">
        <v>-0.2</v>
      </c>
      <c r="J36" s="5" t="inlineStr">
        <is>
          <t>Elasticities row 178</t>
        </is>
      </c>
    </row>
    <row r="37">
      <c r="A37" s="5" t="inlineStr">
        <is>
          <t>usg|nga|tra</t>
        </is>
      </c>
      <c r="B37" s="5" t="inlineStr">
        <is>
          <t>usg</t>
        </is>
      </c>
      <c r="C37" s="5" t="inlineStr">
        <is>
          <t>nga</t>
        </is>
      </c>
      <c r="D37" s="5" t="inlineStr">
        <is>
          <t>tra</t>
        </is>
      </c>
      <c r="E37" s="5" t="inlineStr">
        <is>
          <t>nga_owp_tot_sr</t>
        </is>
      </c>
      <c r="F37" s="5" t="n">
        <v>-0.5</v>
      </c>
      <c r="G37" s="5" t="n">
        <v>-0.5</v>
      </c>
      <c r="H37" s="5" t="n">
        <v>-0.5</v>
      </c>
      <c r="I37" s="5" t="n">
        <v>-0.4</v>
      </c>
      <c r="J37" s="5" t="inlineStr">
        <is>
          <t>Elasticities row 179</t>
        </is>
      </c>
    </row>
    <row r="38">
      <c r="A38" s="5" t="inlineStr">
        <is>
          <t>usg|gso|tra</t>
        </is>
      </c>
      <c r="B38" s="5" t="inlineStr">
        <is>
          <t>usg</t>
        </is>
      </c>
      <c r="C38" s="5" t="inlineStr">
        <is>
          <t>gso</t>
        </is>
      </c>
      <c r="D38" s="5" t="inlineStr">
        <is>
          <t>tra</t>
        </is>
      </c>
      <c r="E38" s="5" t="inlineStr">
        <is>
          <t>gso_owp_tot_sr</t>
        </is>
      </c>
      <c r="F38" s="5" t="n">
        <v>-0.4</v>
      </c>
      <c r="G38" s="5" t="n">
        <v>-0.4</v>
      </c>
      <c r="H38" s="5" t="n">
        <v>-0.4</v>
      </c>
      <c r="I38" s="5" t="n">
        <v>-0.3</v>
      </c>
      <c r="J38" s="5" t="inlineStr">
        <is>
          <t>Elasticities row 180</t>
        </is>
      </c>
    </row>
    <row r="39">
      <c r="A39" s="5" t="inlineStr">
        <is>
          <t>usg|die|tra</t>
        </is>
      </c>
      <c r="B39" s="5" t="inlineStr">
        <is>
          <t>usg</t>
        </is>
      </c>
      <c r="C39" s="5" t="inlineStr">
        <is>
          <t>die</t>
        </is>
      </c>
      <c r="D39" s="5" t="inlineStr">
        <is>
          <t>tra</t>
        </is>
      </c>
      <c r="E39" s="5" t="inlineStr">
        <is>
          <t>die_owp_tot_sr</t>
        </is>
      </c>
      <c r="F39" s="5" t="n">
        <v>-0.3</v>
      </c>
      <c r="G39" s="5" t="n">
        <v>-0.3</v>
      </c>
      <c r="H39" s="5" t="n">
        <v>-0.3</v>
      </c>
      <c r="I39" s="5" t="n">
        <v>-0.2</v>
      </c>
      <c r="J39" s="5" t="inlineStr">
        <is>
          <t>Elasticities row 181</t>
        </is>
      </c>
    </row>
    <row r="40">
      <c r="A40" s="5" t="inlineStr">
        <is>
          <t>usg|oil|tra</t>
        </is>
      </c>
      <c r="B40" s="5" t="inlineStr">
        <is>
          <t>usg</t>
        </is>
      </c>
      <c r="C40" s="5" t="inlineStr">
        <is>
          <t>oil</t>
        </is>
      </c>
      <c r="D40" s="5" t="inlineStr">
        <is>
          <t>tra</t>
        </is>
      </c>
      <c r="E40" s="5" t="inlineStr">
        <is>
          <t>oil_owp_tot_sr</t>
        </is>
      </c>
      <c r="F40" s="5" t="n">
        <v>-0.3</v>
      </c>
      <c r="G40" s="5" t="n">
        <v>-0.3</v>
      </c>
      <c r="H40" s="5" t="n">
        <v>-0.3</v>
      </c>
      <c r="I40" s="5" t="n">
        <v>-0.2</v>
      </c>
      <c r="J40" s="5" t="inlineStr">
        <is>
          <t>Elasticities row 182</t>
        </is>
      </c>
    </row>
    <row r="41">
      <c r="A41" s="5" t="inlineStr">
        <is>
          <t>usg|bio|tra</t>
        </is>
      </c>
      <c r="B41" s="5" t="inlineStr">
        <is>
          <t>usg</t>
        </is>
      </c>
      <c r="C41" s="5" t="inlineStr">
        <is>
          <t>bio</t>
        </is>
      </c>
      <c r="D41" s="5" t="inlineStr">
        <is>
          <t>tra</t>
        </is>
      </c>
      <c r="E41" s="5" t="inlineStr">
        <is>
          <t>bio_owp_ind_sr</t>
        </is>
      </c>
      <c r="F41" s="5" t="n">
        <v>-0.3</v>
      </c>
      <c r="G41" s="5" t="n">
        <v>-0.3</v>
      </c>
      <c r="H41" s="5" t="n">
        <v>-0.3</v>
      </c>
      <c r="I41" s="5" t="n">
        <v>-0.2</v>
      </c>
      <c r="J41" s="5" t="inlineStr">
        <is>
          <t>Elasticities row 183</t>
        </is>
      </c>
    </row>
    <row r="42">
      <c r="A42" s="5" t="inlineStr">
        <is>
          <t>usg|ren|tra</t>
        </is>
      </c>
      <c r="B42" s="5" t="inlineStr">
        <is>
          <t>usg</t>
        </is>
      </c>
      <c r="C42" s="5" t="inlineStr">
        <is>
          <t>ren</t>
        </is>
      </c>
      <c r="D42" s="5" t="inlineStr">
        <is>
          <t>tra</t>
        </is>
      </c>
      <c r="E42" s="5" t="inlineStr">
        <is>
          <t>rnw_owp_tot_lr</t>
        </is>
      </c>
      <c r="F42" s="5" t="n">
        <v>-0.5</v>
      </c>
      <c r="G42" s="5" t="n">
        <v>-0.5</v>
      </c>
      <c r="H42" s="5" t="n">
        <v>-0.5</v>
      </c>
      <c r="I42" s="5" t="n">
        <v>-0.4</v>
      </c>
      <c r="J42" s="5" t="inlineStr">
        <is>
          <t>Elasticities row 184</t>
        </is>
      </c>
    </row>
    <row r="43">
      <c r="A43" s="5" t="inlineStr">
        <is>
          <t>usg|ecy|tra</t>
        </is>
      </c>
      <c r="B43" s="5" t="inlineStr">
        <is>
          <t>usg</t>
        </is>
      </c>
      <c r="C43" s="5" t="inlineStr">
        <is>
          <t>ecy</t>
        </is>
      </c>
      <c r="D43" s="5" t="inlineStr">
        <is>
          <t>tra</t>
        </is>
      </c>
      <c r="E43" s="5" t="inlineStr">
        <is>
          <t>ecy_owp_tot_sr</t>
        </is>
      </c>
      <c r="F43" s="5" t="n">
        <v>-0.2</v>
      </c>
      <c r="G43" s="5" t="n">
        <v>-0.2</v>
      </c>
      <c r="H43" s="5" t="n">
        <v>-0.2</v>
      </c>
      <c r="I43" s="5" t="n">
        <v>-0.1</v>
      </c>
      <c r="J43" s="5" t="inlineStr">
        <is>
          <t>Elasticities row 185</t>
        </is>
      </c>
    </row>
    <row r="44">
      <c r="A44" s="5" t="inlineStr">
        <is>
          <t>usg|coa|res</t>
        </is>
      </c>
      <c r="B44" s="5" t="inlineStr">
        <is>
          <t>usg</t>
        </is>
      </c>
      <c r="C44" s="5" t="inlineStr">
        <is>
          <t>coa</t>
        </is>
      </c>
      <c r="D44" s="5" t="inlineStr">
        <is>
          <t>res</t>
        </is>
      </c>
      <c r="E44" s="5" t="inlineStr">
        <is>
          <t>coa_owp_res_sr</t>
        </is>
      </c>
      <c r="F44" s="5" t="n">
        <v>-0.3</v>
      </c>
      <c r="G44" s="5" t="n">
        <v>-0.3</v>
      </c>
      <c r="H44" s="5" t="n">
        <v>-0.3</v>
      </c>
      <c r="I44" s="5" t="n">
        <v>-0.2</v>
      </c>
      <c r="J44" s="5" t="inlineStr">
        <is>
          <t>Elasticities row 186</t>
        </is>
      </c>
    </row>
    <row r="45">
      <c r="A45" s="5" t="inlineStr">
        <is>
          <t>usg|nga|res</t>
        </is>
      </c>
      <c r="B45" s="5" t="inlineStr">
        <is>
          <t>usg</t>
        </is>
      </c>
      <c r="C45" s="5" t="inlineStr">
        <is>
          <t>nga</t>
        </is>
      </c>
      <c r="D45" s="5" t="inlineStr">
        <is>
          <t>res</t>
        </is>
      </c>
      <c r="E45" s="5" t="inlineStr">
        <is>
          <t>nga_owp_res_sr</t>
        </is>
      </c>
      <c r="F45" s="5" t="n">
        <v>-0.4</v>
      </c>
      <c r="G45" s="5" t="n">
        <v>-0.4</v>
      </c>
      <c r="H45" s="5" t="n">
        <v>-0.4</v>
      </c>
      <c r="I45" s="5" t="n">
        <v>-0.3</v>
      </c>
      <c r="J45" s="5" t="inlineStr">
        <is>
          <t>Elasticities row 187</t>
        </is>
      </c>
    </row>
    <row r="46">
      <c r="A46" s="5" t="inlineStr">
        <is>
          <t>usg|gso|res</t>
        </is>
      </c>
      <c r="B46" s="5" t="inlineStr">
        <is>
          <t>usg</t>
        </is>
      </c>
      <c r="C46" s="5" t="inlineStr">
        <is>
          <t>gso</t>
        </is>
      </c>
      <c r="D46" s="5" t="inlineStr">
        <is>
          <t>res</t>
        </is>
      </c>
      <c r="E46" s="5" t="inlineStr">
        <is>
          <t>gso_owp_tot_sr</t>
        </is>
      </c>
      <c r="F46" s="5" t="n">
        <v>-0.5</v>
      </c>
      <c r="G46" s="5" t="n">
        <v>-0.5</v>
      </c>
      <c r="H46" s="5" t="n">
        <v>-0.5</v>
      </c>
      <c r="I46" s="5" t="n">
        <v>-0.4</v>
      </c>
      <c r="J46" s="5" t="inlineStr">
        <is>
          <t>Elasticities row 188</t>
        </is>
      </c>
    </row>
    <row r="47">
      <c r="A47" s="5" t="inlineStr">
        <is>
          <t>usg|die|res</t>
        </is>
      </c>
      <c r="B47" s="5" t="inlineStr">
        <is>
          <t>usg</t>
        </is>
      </c>
      <c r="C47" s="5" t="inlineStr">
        <is>
          <t>die</t>
        </is>
      </c>
      <c r="D47" s="5" t="inlineStr">
        <is>
          <t>res</t>
        </is>
      </c>
      <c r="E47" s="5" t="inlineStr">
        <is>
          <t>die_owp_tot_sr</t>
        </is>
      </c>
      <c r="F47" s="5" t="n">
        <v>-0.3</v>
      </c>
      <c r="G47" s="5" t="n">
        <v>-0.3</v>
      </c>
      <c r="H47" s="5" t="n">
        <v>-0.3</v>
      </c>
      <c r="I47" s="5" t="n">
        <v>-0.2</v>
      </c>
      <c r="J47" s="5" t="inlineStr">
        <is>
          <t>Elasticities row 189</t>
        </is>
      </c>
    </row>
    <row r="48">
      <c r="A48" s="5" t="inlineStr">
        <is>
          <t>usg|oil|res</t>
        </is>
      </c>
      <c r="B48" s="5" t="inlineStr">
        <is>
          <t>usg</t>
        </is>
      </c>
      <c r="C48" s="5" t="inlineStr">
        <is>
          <t>oil</t>
        </is>
      </c>
      <c r="D48" s="5" t="inlineStr">
        <is>
          <t>res</t>
        </is>
      </c>
      <c r="E48" s="5" t="inlineStr">
        <is>
          <t>oil_owp_tot_sr</t>
        </is>
      </c>
      <c r="F48" s="5" t="n">
        <v>-0.3</v>
      </c>
      <c r="G48" s="5" t="n">
        <v>-0.3</v>
      </c>
      <c r="H48" s="5" t="n">
        <v>-0.3</v>
      </c>
      <c r="I48" s="5" t="n">
        <v>-0.2</v>
      </c>
      <c r="J48" s="5" t="inlineStr">
        <is>
          <t>Elasticities row 190</t>
        </is>
      </c>
    </row>
    <row r="49">
      <c r="A49" s="5" t="inlineStr">
        <is>
          <t>usg|bio|res</t>
        </is>
      </c>
      <c r="B49" s="5" t="inlineStr">
        <is>
          <t>usg</t>
        </is>
      </c>
      <c r="C49" s="5" t="inlineStr">
        <is>
          <t>bio</t>
        </is>
      </c>
      <c r="D49" s="5" t="inlineStr">
        <is>
          <t>res</t>
        </is>
      </c>
      <c r="E49" s="5" t="inlineStr">
        <is>
          <t>bio_owp_ind_sr</t>
        </is>
      </c>
      <c r="F49" s="5" t="n">
        <v>-0.3</v>
      </c>
      <c r="G49" s="5" t="n">
        <v>-0.3</v>
      </c>
      <c r="H49" s="5" t="n">
        <v>-0.3</v>
      </c>
      <c r="I49" s="5" t="n">
        <v>-0.2</v>
      </c>
      <c r="J49" s="5" t="inlineStr">
        <is>
          <t>Elasticities row 191</t>
        </is>
      </c>
    </row>
    <row r="50">
      <c r="A50" s="5" t="inlineStr">
        <is>
          <t>usg|ren|res</t>
        </is>
      </c>
      <c r="B50" s="5" t="inlineStr">
        <is>
          <t>usg</t>
        </is>
      </c>
      <c r="C50" s="5" t="inlineStr">
        <is>
          <t>ren</t>
        </is>
      </c>
      <c r="D50" s="5" t="inlineStr">
        <is>
          <t>res</t>
        </is>
      </c>
      <c r="E50" s="5" t="inlineStr">
        <is>
          <t>rnw_owp_tot_lr</t>
        </is>
      </c>
      <c r="F50" s="5" t="n">
        <v>-0.5</v>
      </c>
      <c r="G50" s="5" t="n">
        <v>-0.5</v>
      </c>
      <c r="H50" s="5" t="n">
        <v>-0.5</v>
      </c>
      <c r="I50" s="5" t="n">
        <v>-0.4</v>
      </c>
      <c r="J50" s="5" t="inlineStr">
        <is>
          <t>Elasticities row 192</t>
        </is>
      </c>
    </row>
    <row r="51">
      <c r="A51" s="5" t="inlineStr">
        <is>
          <t>usg|ecy|res</t>
        </is>
      </c>
      <c r="B51" s="5" t="inlineStr">
        <is>
          <t>usg</t>
        </is>
      </c>
      <c r="C51" s="5" t="inlineStr">
        <is>
          <t>ecy</t>
        </is>
      </c>
      <c r="D51" s="5" t="inlineStr">
        <is>
          <t>res</t>
        </is>
      </c>
      <c r="E51" s="5" t="inlineStr">
        <is>
          <t>ecy_owp_res_sr</t>
        </is>
      </c>
      <c r="F51" s="5" t="n">
        <v>-0.3</v>
      </c>
      <c r="G51" s="5" t="n">
        <v>-0.3</v>
      </c>
      <c r="H51" s="5" t="n">
        <v>-0.3</v>
      </c>
      <c r="I51" s="5" t="n">
        <v>-0.2</v>
      </c>
      <c r="J51" s="5" t="inlineStr">
        <is>
          <t>Elasticities row 193</t>
        </is>
      </c>
    </row>
    <row r="52">
      <c r="A52" s="5" t="inlineStr">
        <is>
          <t>usg|coa|ind</t>
        </is>
      </c>
      <c r="B52" s="5" t="inlineStr">
        <is>
          <t>usg</t>
        </is>
      </c>
      <c r="C52" s="5" t="inlineStr">
        <is>
          <t>coa</t>
        </is>
      </c>
      <c r="D52" s="5" t="inlineStr">
        <is>
          <t>ind</t>
        </is>
      </c>
      <c r="E52" s="5" t="inlineStr">
        <is>
          <t>coa_owp_ind_sr</t>
        </is>
      </c>
      <c r="F52" s="5" t="n">
        <v>-0.3</v>
      </c>
      <c r="G52" s="5" t="n">
        <v>-0.3</v>
      </c>
      <c r="H52" s="5" t="n">
        <v>-0.3</v>
      </c>
      <c r="I52" s="5" t="n">
        <v>-0.2</v>
      </c>
      <c r="J52" s="5" t="inlineStr">
        <is>
          <t>Elasticities row 194</t>
        </is>
      </c>
    </row>
    <row r="53">
      <c r="A53" s="5" t="inlineStr">
        <is>
          <t>usg|nga|ind</t>
        </is>
      </c>
      <c r="B53" s="5" t="inlineStr">
        <is>
          <t>usg</t>
        </is>
      </c>
      <c r="C53" s="5" t="inlineStr">
        <is>
          <t>nga</t>
        </is>
      </c>
      <c r="D53" s="5" t="inlineStr">
        <is>
          <t>ind</t>
        </is>
      </c>
      <c r="E53" s="5" t="inlineStr">
        <is>
          <t>nga_owp_ind_sr</t>
        </is>
      </c>
      <c r="F53" s="5" t="n">
        <v>-0.5</v>
      </c>
      <c r="G53" s="5" t="n">
        <v>-0.5</v>
      </c>
      <c r="H53" s="5" t="n">
        <v>-0.5</v>
      </c>
      <c r="I53" s="5" t="n">
        <v>-0.4</v>
      </c>
      <c r="J53" s="5" t="inlineStr">
        <is>
          <t>Elasticities row 195</t>
        </is>
      </c>
    </row>
    <row r="54">
      <c r="A54" s="5" t="inlineStr">
        <is>
          <t>usg|gso|ind</t>
        </is>
      </c>
      <c r="B54" s="5" t="inlineStr">
        <is>
          <t>usg</t>
        </is>
      </c>
      <c r="C54" s="5" t="inlineStr">
        <is>
          <t>gso</t>
        </is>
      </c>
      <c r="D54" s="5" t="inlineStr">
        <is>
          <t>ind</t>
        </is>
      </c>
      <c r="E54" s="5" t="inlineStr">
        <is>
          <t>gso_owp_tot_sr</t>
        </is>
      </c>
      <c r="F54" s="5" t="n">
        <v>-0.4</v>
      </c>
      <c r="G54" s="5" t="n">
        <v>-0.4</v>
      </c>
      <c r="H54" s="5" t="n">
        <v>-0.4</v>
      </c>
      <c r="I54" s="5" t="n">
        <v>-0.3</v>
      </c>
      <c r="J54" s="5" t="inlineStr">
        <is>
          <t>Elasticities row 196</t>
        </is>
      </c>
    </row>
    <row r="55">
      <c r="A55" s="5" t="inlineStr">
        <is>
          <t>usg|die|ind</t>
        </is>
      </c>
      <c r="B55" s="5" t="inlineStr">
        <is>
          <t>usg</t>
        </is>
      </c>
      <c r="C55" s="5" t="inlineStr">
        <is>
          <t>die</t>
        </is>
      </c>
      <c r="D55" s="5" t="inlineStr">
        <is>
          <t>ind</t>
        </is>
      </c>
      <c r="E55" s="5" t="inlineStr">
        <is>
          <t>die_owp_tot_sr</t>
        </is>
      </c>
      <c r="F55" s="5" t="n">
        <v>-0.7</v>
      </c>
      <c r="G55" s="5" t="n">
        <v>-0.7</v>
      </c>
      <c r="H55" s="5" t="n">
        <v>-0.7</v>
      </c>
      <c r="I55" s="5" t="n">
        <v>-0.6</v>
      </c>
      <c r="J55" s="5" t="inlineStr">
        <is>
          <t>Elasticities row 197</t>
        </is>
      </c>
    </row>
    <row r="56">
      <c r="A56" s="5" t="inlineStr">
        <is>
          <t>usg|oil|ind</t>
        </is>
      </c>
      <c r="B56" s="5" t="inlineStr">
        <is>
          <t>usg</t>
        </is>
      </c>
      <c r="C56" s="5" t="inlineStr">
        <is>
          <t>oil</t>
        </is>
      </c>
      <c r="D56" s="5" t="inlineStr">
        <is>
          <t>ind</t>
        </is>
      </c>
      <c r="E56" s="5" t="inlineStr">
        <is>
          <t>oil_owp_ind_sr</t>
        </is>
      </c>
      <c r="F56" s="5" t="n">
        <v>-0.4</v>
      </c>
      <c r="G56" s="5" t="n">
        <v>-0.4</v>
      </c>
      <c r="H56" s="5" t="n">
        <v>-0.4</v>
      </c>
      <c r="I56" s="5" t="n">
        <v>-0.3</v>
      </c>
      <c r="J56" s="5" t="inlineStr">
        <is>
          <t>Elasticities row 198</t>
        </is>
      </c>
    </row>
    <row r="57">
      <c r="A57" s="5" t="inlineStr">
        <is>
          <t>usg|bio|ind</t>
        </is>
      </c>
      <c r="B57" s="5" t="inlineStr">
        <is>
          <t>usg</t>
        </is>
      </c>
      <c r="C57" s="5" t="inlineStr">
        <is>
          <t>bio</t>
        </is>
      </c>
      <c r="D57" s="5" t="inlineStr">
        <is>
          <t>ind</t>
        </is>
      </c>
      <c r="E57" s="5" t="inlineStr">
        <is>
          <t>bio_owp_ind_sr</t>
        </is>
      </c>
      <c r="F57" s="5" t="n">
        <v>-0.3</v>
      </c>
      <c r="G57" s="5" t="n">
        <v>-0.3</v>
      </c>
      <c r="H57" s="5" t="n">
        <v>-0.3</v>
      </c>
      <c r="I57" s="5" t="n">
        <v>-0.2</v>
      </c>
      <c r="J57" s="5" t="inlineStr">
        <is>
          <t>Elasticities row 199</t>
        </is>
      </c>
    </row>
    <row r="58">
      <c r="A58" s="5" t="inlineStr">
        <is>
          <t>usg|ren|ind</t>
        </is>
      </c>
      <c r="B58" s="5" t="inlineStr">
        <is>
          <t>usg</t>
        </is>
      </c>
      <c r="C58" s="5" t="inlineStr">
        <is>
          <t>ren</t>
        </is>
      </c>
      <c r="D58" s="5" t="inlineStr">
        <is>
          <t>ind</t>
        </is>
      </c>
      <c r="E58" s="5" t="inlineStr">
        <is>
          <t>rnw_owp_tot_lr</t>
        </is>
      </c>
      <c r="F58" s="5" t="n">
        <v>-0.5</v>
      </c>
      <c r="G58" s="5" t="n">
        <v>-0.5</v>
      </c>
      <c r="H58" s="5" t="n">
        <v>-0.5</v>
      </c>
      <c r="I58" s="5" t="n">
        <v>-0.4</v>
      </c>
      <c r="J58" s="5" t="inlineStr">
        <is>
          <t>Elasticities row 200</t>
        </is>
      </c>
    </row>
    <row r="59">
      <c r="A59" s="5" t="inlineStr">
        <is>
          <t>usg|ecy|ind</t>
        </is>
      </c>
      <c r="B59" s="5" t="inlineStr">
        <is>
          <t>usg</t>
        </is>
      </c>
      <c r="C59" s="5" t="inlineStr">
        <is>
          <t>ecy</t>
        </is>
      </c>
      <c r="D59" s="5" t="inlineStr">
        <is>
          <t>ind</t>
        </is>
      </c>
      <c r="E59" s="5" t="inlineStr">
        <is>
          <t>ecy_owp_ind_sr</t>
        </is>
      </c>
      <c r="F59" s="5" t="n">
        <v>-0.3</v>
      </c>
      <c r="G59" s="5" t="n">
        <v>-0.3</v>
      </c>
      <c r="H59" s="5" t="n">
        <v>-0.3</v>
      </c>
      <c r="I59" s="5" t="n">
        <v>-0.2</v>
      </c>
      <c r="J59" s="5" t="inlineStr">
        <is>
          <t>Elasticities row 201</t>
        </is>
      </c>
    </row>
    <row r="60">
      <c r="A60" s="5" t="inlineStr">
        <is>
          <t>usg|coa|srv</t>
        </is>
      </c>
      <c r="B60" s="5" t="inlineStr">
        <is>
          <t>usg</t>
        </is>
      </c>
      <c r="C60" s="5" t="inlineStr">
        <is>
          <t>coa</t>
        </is>
      </c>
      <c r="D60" s="5" t="inlineStr">
        <is>
          <t>srv</t>
        </is>
      </c>
      <c r="E60" s="5" t="inlineStr">
        <is>
          <t>coa_owp_ind_sr</t>
        </is>
      </c>
      <c r="F60" s="5" t="n">
        <v>-0.4</v>
      </c>
      <c r="G60" s="5" t="n">
        <v>-0.4</v>
      </c>
      <c r="H60" s="5" t="n">
        <v>-0.4</v>
      </c>
      <c r="I60" s="5" t="n">
        <v>-0.3</v>
      </c>
      <c r="J60" s="5" t="inlineStr">
        <is>
          <t>Elasticities row 202</t>
        </is>
      </c>
    </row>
    <row r="61">
      <c r="A61" s="5" t="inlineStr">
        <is>
          <t>usg|nga|srv</t>
        </is>
      </c>
      <c r="B61" s="5" t="inlineStr">
        <is>
          <t>usg</t>
        </is>
      </c>
      <c r="C61" s="5" t="inlineStr">
        <is>
          <t>nga</t>
        </is>
      </c>
      <c r="D61" s="5" t="inlineStr">
        <is>
          <t>srv</t>
        </is>
      </c>
      <c r="E61" s="5" t="inlineStr">
        <is>
          <t>nga_owp_ind_sr</t>
        </is>
      </c>
      <c r="F61" s="5" t="n">
        <v>-0.6</v>
      </c>
      <c r="G61" s="5" t="n">
        <v>-0.6</v>
      </c>
      <c r="H61" s="5" t="n">
        <v>-0.6</v>
      </c>
      <c r="I61" s="5" t="n">
        <v>-0.5</v>
      </c>
      <c r="J61" s="5" t="inlineStr">
        <is>
          <t>Elasticities row 203</t>
        </is>
      </c>
    </row>
    <row r="62">
      <c r="A62" s="5" t="inlineStr">
        <is>
          <t>usg|gso|srv</t>
        </is>
      </c>
      <c r="B62" s="5" t="inlineStr">
        <is>
          <t>usg</t>
        </is>
      </c>
      <c r="C62" s="5" t="inlineStr">
        <is>
          <t>gso</t>
        </is>
      </c>
      <c r="D62" s="5" t="inlineStr">
        <is>
          <t>srv</t>
        </is>
      </c>
      <c r="E62" s="5" t="inlineStr">
        <is>
          <t>gso_owp_tot_sr</t>
        </is>
      </c>
      <c r="F62" s="5" t="n">
        <v>-0.6</v>
      </c>
      <c r="G62" s="5" t="n">
        <v>-0.6</v>
      </c>
      <c r="H62" s="5" t="n">
        <v>-0.6</v>
      </c>
      <c r="I62" s="5" t="n">
        <v>-0.5</v>
      </c>
      <c r="J62" s="5" t="inlineStr">
        <is>
          <t>Elasticities row 204</t>
        </is>
      </c>
    </row>
    <row r="63">
      <c r="A63" s="5" t="inlineStr">
        <is>
          <t>usg|die|srv</t>
        </is>
      </c>
      <c r="B63" s="5" t="inlineStr">
        <is>
          <t>usg</t>
        </is>
      </c>
      <c r="C63" s="5" t="inlineStr">
        <is>
          <t>die</t>
        </is>
      </c>
      <c r="D63" s="5" t="inlineStr">
        <is>
          <t>srv</t>
        </is>
      </c>
      <c r="E63" s="5" t="inlineStr">
        <is>
          <t>die_owp_tot_sr</t>
        </is>
      </c>
      <c r="F63" s="5" t="n">
        <v>-0.5</v>
      </c>
      <c r="G63" s="5" t="n">
        <v>-0.5</v>
      </c>
      <c r="H63" s="5" t="n">
        <v>-0.5</v>
      </c>
      <c r="I63" s="5" t="n">
        <v>-0.4</v>
      </c>
      <c r="J63" s="5" t="inlineStr">
        <is>
          <t>Elasticities row 205</t>
        </is>
      </c>
    </row>
    <row r="64">
      <c r="A64" s="5" t="inlineStr">
        <is>
          <t>usg|oil|srv</t>
        </is>
      </c>
      <c r="B64" s="5" t="inlineStr">
        <is>
          <t>usg</t>
        </is>
      </c>
      <c r="C64" s="5" t="inlineStr">
        <is>
          <t>oil</t>
        </is>
      </c>
      <c r="D64" s="5" t="inlineStr">
        <is>
          <t>srv</t>
        </is>
      </c>
      <c r="E64" s="5" t="inlineStr">
        <is>
          <t>oil_owp_ind_sr</t>
        </is>
      </c>
      <c r="F64" s="5" t="n">
        <v>-0.5</v>
      </c>
      <c r="G64" s="5" t="n">
        <v>-0.5</v>
      </c>
      <c r="H64" s="5" t="n">
        <v>-0.5</v>
      </c>
      <c r="I64" s="5" t="n">
        <v>-0.4</v>
      </c>
      <c r="J64" s="5" t="inlineStr">
        <is>
          <t>Elasticities row 206</t>
        </is>
      </c>
    </row>
    <row r="65">
      <c r="A65" s="5" t="inlineStr">
        <is>
          <t>usg|bio|srv</t>
        </is>
      </c>
      <c r="B65" s="5" t="inlineStr">
        <is>
          <t>usg</t>
        </is>
      </c>
      <c r="C65" s="5" t="inlineStr">
        <is>
          <t>bio</t>
        </is>
      </c>
      <c r="D65" s="5" t="inlineStr">
        <is>
          <t>srv</t>
        </is>
      </c>
      <c r="E65" s="5" t="inlineStr">
        <is>
          <t>bio_owp_ind_sr</t>
        </is>
      </c>
      <c r="F65" s="5" t="n">
        <v>-0.4</v>
      </c>
      <c r="G65" s="5" t="n">
        <v>-0.4</v>
      </c>
      <c r="H65" s="5" t="n">
        <v>-0.4</v>
      </c>
      <c r="I65" s="5" t="n">
        <v>-0.3</v>
      </c>
      <c r="J65" s="5" t="inlineStr">
        <is>
          <t>Elasticities row 207</t>
        </is>
      </c>
    </row>
    <row r="66">
      <c r="A66" s="5" t="inlineStr">
        <is>
          <t>usg|ren|srv</t>
        </is>
      </c>
      <c r="B66" s="5" t="inlineStr">
        <is>
          <t>usg</t>
        </is>
      </c>
      <c r="C66" s="5" t="inlineStr">
        <is>
          <t>ren</t>
        </is>
      </c>
      <c r="D66" s="5" t="inlineStr">
        <is>
          <t>srv</t>
        </is>
      </c>
      <c r="E66" s="5" t="inlineStr">
        <is>
          <t>rnw_owp_tot_lr</t>
        </is>
      </c>
      <c r="F66" s="5" t="n">
        <v>-0.7</v>
      </c>
      <c r="G66" s="5" t="n">
        <v>-0.7</v>
      </c>
      <c r="H66" s="5" t="n">
        <v>-0.7</v>
      </c>
      <c r="I66" s="5" t="n">
        <v>-0.6</v>
      </c>
      <c r="J66" s="5" t="inlineStr">
        <is>
          <t>Elasticities row 208</t>
        </is>
      </c>
    </row>
    <row r="67">
      <c r="A67" s="5" t="inlineStr">
        <is>
          <t>usg|ecy|srv</t>
        </is>
      </c>
      <c r="B67" s="5" t="inlineStr">
        <is>
          <t>usg</t>
        </is>
      </c>
      <c r="C67" s="5" t="inlineStr">
        <is>
          <t>ecy</t>
        </is>
      </c>
      <c r="D67" s="5" t="inlineStr">
        <is>
          <t>srv</t>
        </is>
      </c>
      <c r="E67" s="5" t="inlineStr">
        <is>
          <t>ecy_owp_ind_sr</t>
        </is>
      </c>
      <c r="F67" s="5" t="n">
        <v>-0.5</v>
      </c>
      <c r="G67" s="5" t="n">
        <v>-0.5</v>
      </c>
      <c r="H67" s="5" t="n">
        <v>-0.5</v>
      </c>
      <c r="I67" s="5" t="n">
        <v>-0.4</v>
      </c>
      <c r="J67" s="5" t="inlineStr">
        <is>
          <t>Elasticities row 209</t>
        </is>
      </c>
    </row>
    <row r="68">
      <c r="A68" s="5" t="inlineStr">
        <is>
          <t>eff|coa|tra</t>
        </is>
      </c>
      <c r="B68" s="5" t="inlineStr">
        <is>
          <t>eff</t>
        </is>
      </c>
      <c r="C68" s="5" t="inlineStr">
        <is>
          <t>coa</t>
        </is>
      </c>
      <c r="D68" s="5" t="inlineStr">
        <is>
          <t>tra</t>
        </is>
      </c>
      <c r="E68" s="5" t="inlineStr">
        <is>
          <t>coa_owp_tot_lr</t>
        </is>
      </c>
      <c r="F68" s="5" t="n">
        <v>-0.4</v>
      </c>
      <c r="G68" s="5" t="n">
        <v>-0.4</v>
      </c>
      <c r="H68" s="5" t="n">
        <v>-0.4</v>
      </c>
      <c r="I68" s="5" t="n">
        <v>-0.4</v>
      </c>
      <c r="J68" s="5" t="inlineStr">
        <is>
          <t>Elasticities row 211</t>
        </is>
      </c>
    </row>
    <row r="69">
      <c r="A69" s="5" t="inlineStr">
        <is>
          <t>eff|nga|tra</t>
        </is>
      </c>
      <c r="B69" s="5" t="inlineStr">
        <is>
          <t>eff</t>
        </is>
      </c>
      <c r="C69" s="5" t="inlineStr">
        <is>
          <t>nga</t>
        </is>
      </c>
      <c r="D69" s="5" t="inlineStr">
        <is>
          <t>tra</t>
        </is>
      </c>
      <c r="E69" s="5" t="inlineStr">
        <is>
          <t>nga_owp_tot_lr</t>
        </is>
      </c>
      <c r="F69" s="5" t="n">
        <v>-0.4</v>
      </c>
      <c r="G69" s="5" t="n">
        <v>-0.4</v>
      </c>
      <c r="H69" s="5" t="n">
        <v>-0.4</v>
      </c>
      <c r="I69" s="5" t="n">
        <v>-0.4</v>
      </c>
      <c r="J69" s="5" t="inlineStr">
        <is>
          <t>Elasticities row 212</t>
        </is>
      </c>
    </row>
    <row r="70">
      <c r="A70" s="5" t="inlineStr">
        <is>
          <t>eff|gso|tra</t>
        </is>
      </c>
      <c r="B70" s="5" t="inlineStr">
        <is>
          <t>eff</t>
        </is>
      </c>
      <c r="C70" s="5" t="inlineStr">
        <is>
          <t>gso</t>
        </is>
      </c>
      <c r="D70" s="5" t="inlineStr">
        <is>
          <t>tra</t>
        </is>
      </c>
      <c r="E70" s="5" t="inlineStr">
        <is>
          <t>gso_owp_tot_lr</t>
        </is>
      </c>
      <c r="F70" s="5" t="n">
        <v>-0.4</v>
      </c>
      <c r="G70" s="5" t="n">
        <v>-0.4</v>
      </c>
      <c r="H70" s="5" t="n">
        <v>-0.4</v>
      </c>
      <c r="I70" s="5" t="n">
        <v>-0.4</v>
      </c>
      <c r="J70" s="5" t="inlineStr">
        <is>
          <t>Elasticities row 213</t>
        </is>
      </c>
    </row>
    <row r="71">
      <c r="A71" s="5" t="inlineStr">
        <is>
          <t>eff|die|tra</t>
        </is>
      </c>
      <c r="B71" s="5" t="inlineStr">
        <is>
          <t>eff</t>
        </is>
      </c>
      <c r="C71" s="5" t="inlineStr">
        <is>
          <t>die</t>
        </is>
      </c>
      <c r="D71" s="5" t="inlineStr">
        <is>
          <t>tra</t>
        </is>
      </c>
      <c r="E71" s="5" t="inlineStr">
        <is>
          <t>die_owp_tot_lr</t>
        </is>
      </c>
      <c r="F71" s="5" t="n">
        <v>-0.3</v>
      </c>
      <c r="G71" s="5" t="n">
        <v>-0.3</v>
      </c>
      <c r="H71" s="5" t="n">
        <v>-0.3</v>
      </c>
      <c r="I71" s="5" t="n">
        <v>-0.3</v>
      </c>
      <c r="J71" s="5" t="inlineStr">
        <is>
          <t>Elasticities row 214</t>
        </is>
      </c>
    </row>
    <row r="72">
      <c r="A72" s="5" t="inlineStr">
        <is>
          <t>eff|oil|tra</t>
        </is>
      </c>
      <c r="B72" s="5" t="inlineStr">
        <is>
          <t>eff</t>
        </is>
      </c>
      <c r="C72" s="5" t="inlineStr">
        <is>
          <t>oil</t>
        </is>
      </c>
      <c r="D72" s="5" t="inlineStr">
        <is>
          <t>tra</t>
        </is>
      </c>
      <c r="E72" s="5" t="inlineStr">
        <is>
          <t>oil_owp_tot_lr</t>
        </is>
      </c>
      <c r="F72" s="5" t="n">
        <v>-0.4</v>
      </c>
      <c r="G72" s="5" t="n">
        <v>-0.4</v>
      </c>
      <c r="H72" s="5" t="n">
        <v>-0.4</v>
      </c>
      <c r="I72" s="5" t="n">
        <v>-0.4</v>
      </c>
      <c r="J72" s="5" t="inlineStr">
        <is>
          <t>Elasticities row 215</t>
        </is>
      </c>
    </row>
    <row r="73">
      <c r="A73" s="5" t="inlineStr">
        <is>
          <t>eff|bio|tra</t>
        </is>
      </c>
      <c r="B73" s="5" t="inlineStr">
        <is>
          <t>eff</t>
        </is>
      </c>
      <c r="C73" s="5" t="inlineStr">
        <is>
          <t>bio</t>
        </is>
      </c>
      <c r="D73" s="5" t="inlineStr">
        <is>
          <t>tra</t>
        </is>
      </c>
      <c r="E73" s="5" t="inlineStr">
        <is>
          <t>bio_owp_ind_lr</t>
        </is>
      </c>
      <c r="F73" s="5" t="n">
        <v>-0.2</v>
      </c>
      <c r="G73" s="5" t="n">
        <v>-0.2</v>
      </c>
      <c r="H73" s="5" t="n">
        <v>-0.2</v>
      </c>
      <c r="I73" s="5" t="n">
        <v>-0.2</v>
      </c>
      <c r="J73" s="5" t="inlineStr">
        <is>
          <t>Elasticities row 216</t>
        </is>
      </c>
    </row>
    <row r="74">
      <c r="A74" s="5" t="inlineStr">
        <is>
          <t>eff|ren|tra</t>
        </is>
      </c>
      <c r="B74" s="5" t="inlineStr">
        <is>
          <t>eff</t>
        </is>
      </c>
      <c r="C74" s="5" t="inlineStr">
        <is>
          <t>ren</t>
        </is>
      </c>
      <c r="D74" s="5" t="inlineStr">
        <is>
          <t>tra</t>
        </is>
      </c>
      <c r="E74" s="5" t="inlineStr">
        <is>
          <t>rnw_owp_tot_lr</t>
        </is>
      </c>
      <c r="F74" s="5" t="n">
        <v>-0.4</v>
      </c>
      <c r="G74" s="5" t="n">
        <v>-0.4</v>
      </c>
      <c r="H74" s="5" t="n">
        <v>-0.4</v>
      </c>
      <c r="I74" s="5" t="n">
        <v>-0.4</v>
      </c>
      <c r="J74" s="5" t="inlineStr">
        <is>
          <t>Elasticities row 217</t>
        </is>
      </c>
    </row>
    <row r="75">
      <c r="A75" s="5" t="inlineStr">
        <is>
          <t>eff|ecy|tra</t>
        </is>
      </c>
      <c r="B75" s="5" t="inlineStr">
        <is>
          <t>eff</t>
        </is>
      </c>
      <c r="C75" s="5" t="inlineStr">
        <is>
          <t>ecy</t>
        </is>
      </c>
      <c r="D75" s="5" t="inlineStr">
        <is>
          <t>tra</t>
        </is>
      </c>
      <c r="E75" s="5" t="inlineStr">
        <is>
          <t>ecy_owp_tot_lr</t>
        </is>
      </c>
      <c r="F75" s="5" t="n">
        <v>-0.2</v>
      </c>
      <c r="G75" s="5" t="n">
        <v>-0.2</v>
      </c>
      <c r="H75" s="5" t="n">
        <v>-0.2</v>
      </c>
      <c r="I75" s="5" t="n">
        <v>-0.2</v>
      </c>
      <c r="J75" s="5" t="inlineStr">
        <is>
          <t>Elasticities row 218</t>
        </is>
      </c>
    </row>
    <row r="76">
      <c r="A76" s="5" t="inlineStr">
        <is>
          <t>eff|coa|res</t>
        </is>
      </c>
      <c r="B76" s="5" t="inlineStr">
        <is>
          <t>eff</t>
        </is>
      </c>
      <c r="C76" s="5" t="inlineStr">
        <is>
          <t>coa</t>
        </is>
      </c>
      <c r="D76" s="5" t="inlineStr">
        <is>
          <t>res</t>
        </is>
      </c>
      <c r="E76" s="5" t="inlineStr">
        <is>
          <t>coa_owp_res_lr</t>
        </is>
      </c>
      <c r="F76" s="5" t="n">
        <v>-0.4</v>
      </c>
      <c r="G76" s="5" t="n">
        <v>-0.4</v>
      </c>
      <c r="H76" s="5" t="n">
        <v>-0.4</v>
      </c>
      <c r="I76" s="5" t="n">
        <v>-0.4</v>
      </c>
      <c r="J76" s="5" t="inlineStr">
        <is>
          <t>Elasticities row 219</t>
        </is>
      </c>
    </row>
    <row r="77">
      <c r="A77" s="5" t="inlineStr">
        <is>
          <t>eff|nga|res</t>
        </is>
      </c>
      <c r="B77" s="5" t="inlineStr">
        <is>
          <t>eff</t>
        </is>
      </c>
      <c r="C77" s="5" t="inlineStr">
        <is>
          <t>nga</t>
        </is>
      </c>
      <c r="D77" s="5" t="inlineStr">
        <is>
          <t>res</t>
        </is>
      </c>
      <c r="E77" s="5" t="inlineStr">
        <is>
          <t>nga_owp_res_lr</t>
        </is>
      </c>
      <c r="F77" s="5" t="n">
        <v>-0.5</v>
      </c>
      <c r="G77" s="5" t="n">
        <v>-0.5</v>
      </c>
      <c r="H77" s="5" t="n">
        <v>-0.5</v>
      </c>
      <c r="I77" s="5" t="n">
        <v>-0.5</v>
      </c>
      <c r="J77" s="5" t="inlineStr">
        <is>
          <t>Elasticities row 220</t>
        </is>
      </c>
    </row>
    <row r="78">
      <c r="A78" s="5" t="inlineStr">
        <is>
          <t>eff|gso|res</t>
        </is>
      </c>
      <c r="B78" s="5" t="inlineStr">
        <is>
          <t>eff</t>
        </is>
      </c>
      <c r="C78" s="5" t="inlineStr">
        <is>
          <t>gso</t>
        </is>
      </c>
      <c r="D78" s="5" t="inlineStr">
        <is>
          <t>res</t>
        </is>
      </c>
      <c r="E78" s="5" t="inlineStr">
        <is>
          <t>gso_owp_tot_lr</t>
        </is>
      </c>
      <c r="F78" s="5" t="n">
        <v>-0.6</v>
      </c>
      <c r="G78" s="5" t="n">
        <v>-0.6</v>
      </c>
      <c r="H78" s="5" t="n">
        <v>-0.6</v>
      </c>
      <c r="I78" s="5" t="n">
        <v>-0.6</v>
      </c>
      <c r="J78" s="5" t="inlineStr">
        <is>
          <t>Elasticities row 221</t>
        </is>
      </c>
    </row>
    <row r="79">
      <c r="A79" s="5" t="inlineStr">
        <is>
          <t>eff|die|res</t>
        </is>
      </c>
      <c r="B79" s="5" t="inlineStr">
        <is>
          <t>eff</t>
        </is>
      </c>
      <c r="C79" s="5" t="inlineStr">
        <is>
          <t>die</t>
        </is>
      </c>
      <c r="D79" s="5" t="inlineStr">
        <is>
          <t>res</t>
        </is>
      </c>
      <c r="E79" s="5" t="inlineStr">
        <is>
          <t>die_owp_tot_lr</t>
        </is>
      </c>
      <c r="F79" s="5" t="n">
        <v>-0.3</v>
      </c>
      <c r="G79" s="5" t="n">
        <v>-0.3</v>
      </c>
      <c r="H79" s="5" t="n">
        <v>-0.3</v>
      </c>
      <c r="I79" s="5" t="n">
        <v>-0.3</v>
      </c>
      <c r="J79" s="5" t="inlineStr">
        <is>
          <t>Elasticities row 222</t>
        </is>
      </c>
    </row>
    <row r="80">
      <c r="A80" s="5" t="inlineStr">
        <is>
          <t>eff|oil|res</t>
        </is>
      </c>
      <c r="B80" s="5" t="inlineStr">
        <is>
          <t>eff</t>
        </is>
      </c>
      <c r="C80" s="5" t="inlineStr">
        <is>
          <t>oil</t>
        </is>
      </c>
      <c r="D80" s="5" t="inlineStr">
        <is>
          <t>res</t>
        </is>
      </c>
      <c r="E80" s="5" t="inlineStr">
        <is>
          <t>oil_owp_tot_lr</t>
        </is>
      </c>
      <c r="F80" s="5" t="n">
        <v>-0.4</v>
      </c>
      <c r="G80" s="5" t="n">
        <v>-0.4</v>
      </c>
      <c r="H80" s="5" t="n">
        <v>-0.4</v>
      </c>
      <c r="I80" s="5" t="n">
        <v>-0.4</v>
      </c>
      <c r="J80" s="5" t="inlineStr">
        <is>
          <t>Elasticities row 223</t>
        </is>
      </c>
    </row>
    <row r="81">
      <c r="A81" s="5" t="inlineStr">
        <is>
          <t>eff|bio|res</t>
        </is>
      </c>
      <c r="B81" s="5" t="inlineStr">
        <is>
          <t>eff</t>
        </is>
      </c>
      <c r="C81" s="5" t="inlineStr">
        <is>
          <t>bio</t>
        </is>
      </c>
      <c r="D81" s="5" t="inlineStr">
        <is>
          <t>res</t>
        </is>
      </c>
      <c r="E81" s="5" t="inlineStr">
        <is>
          <t>bio_owp_ind_lr</t>
        </is>
      </c>
      <c r="F81" s="5" t="n">
        <v>-0.2</v>
      </c>
      <c r="G81" s="5" t="n">
        <v>-0.2</v>
      </c>
      <c r="H81" s="5" t="n">
        <v>-0.2</v>
      </c>
      <c r="I81" s="5" t="n">
        <v>-0.2</v>
      </c>
      <c r="J81" s="5" t="inlineStr">
        <is>
          <t>Elasticities row 224</t>
        </is>
      </c>
    </row>
    <row r="82">
      <c r="A82" s="5" t="inlineStr">
        <is>
          <t>eff|ren|res</t>
        </is>
      </c>
      <c r="B82" s="5" t="inlineStr">
        <is>
          <t>eff</t>
        </is>
      </c>
      <c r="C82" s="5" t="inlineStr">
        <is>
          <t>ren</t>
        </is>
      </c>
      <c r="D82" s="5" t="inlineStr">
        <is>
          <t>res</t>
        </is>
      </c>
      <c r="E82" s="5" t="inlineStr">
        <is>
          <t>rnw_owp_tot_lr</t>
        </is>
      </c>
      <c r="F82" s="5" t="n">
        <v>-0.4</v>
      </c>
      <c r="G82" s="5" t="n">
        <v>-0.4</v>
      </c>
      <c r="H82" s="5" t="n">
        <v>-0.4</v>
      </c>
      <c r="I82" s="5" t="n">
        <v>-0.4</v>
      </c>
      <c r="J82" s="5" t="inlineStr">
        <is>
          <t>Elasticities row 225</t>
        </is>
      </c>
    </row>
    <row r="83">
      <c r="A83" s="5" t="inlineStr">
        <is>
          <t>eff|ecy|res</t>
        </is>
      </c>
      <c r="B83" s="5" t="inlineStr">
        <is>
          <t>eff</t>
        </is>
      </c>
      <c r="C83" s="5" t="inlineStr">
        <is>
          <t>ecy</t>
        </is>
      </c>
      <c r="D83" s="5" t="inlineStr">
        <is>
          <t>res</t>
        </is>
      </c>
      <c r="E83" s="5" t="inlineStr">
        <is>
          <t>ecy_owp_res_lr</t>
        </is>
      </c>
      <c r="F83" s="5" t="n">
        <v>-0.2</v>
      </c>
      <c r="G83" s="5" t="n">
        <v>-0.2</v>
      </c>
      <c r="H83" s="5" t="n">
        <v>-0.2</v>
      </c>
      <c r="I83" s="5" t="n">
        <v>-0.2</v>
      </c>
      <c r="J83" s="5" t="inlineStr">
        <is>
          <t>Elasticities row 226</t>
        </is>
      </c>
    </row>
    <row r="84">
      <c r="A84" s="5" t="inlineStr">
        <is>
          <t>eff|coa|ind</t>
        </is>
      </c>
      <c r="B84" s="5" t="inlineStr">
        <is>
          <t>eff</t>
        </is>
      </c>
      <c r="C84" s="5" t="inlineStr">
        <is>
          <t>coa</t>
        </is>
      </c>
      <c r="D84" s="5" t="inlineStr">
        <is>
          <t>ind</t>
        </is>
      </c>
      <c r="E84" s="5" t="inlineStr">
        <is>
          <t>coa_owp_ind_lr</t>
        </is>
      </c>
      <c r="F84" s="5" t="n">
        <v>-0.4</v>
      </c>
      <c r="G84" s="5" t="n">
        <v>-0.4</v>
      </c>
      <c r="H84" s="5" t="n">
        <v>-0.4</v>
      </c>
      <c r="I84" s="5" t="n">
        <v>-0.4</v>
      </c>
      <c r="J84" s="5" t="inlineStr">
        <is>
          <t>Elasticities row 227</t>
        </is>
      </c>
    </row>
    <row r="85">
      <c r="A85" s="5" t="inlineStr">
        <is>
          <t>eff|nga|ind</t>
        </is>
      </c>
      <c r="B85" s="5" t="inlineStr">
        <is>
          <t>eff</t>
        </is>
      </c>
      <c r="C85" s="5" t="inlineStr">
        <is>
          <t>nga</t>
        </is>
      </c>
      <c r="D85" s="5" t="inlineStr">
        <is>
          <t>ind</t>
        </is>
      </c>
      <c r="E85" s="5" t="inlineStr">
        <is>
          <t>nga_owp_ind_lr</t>
        </is>
      </c>
      <c r="F85" s="5" t="n">
        <v>-0.5</v>
      </c>
      <c r="G85" s="5" t="n">
        <v>-0.5</v>
      </c>
      <c r="H85" s="5" t="n">
        <v>-0.5</v>
      </c>
      <c r="I85" s="5" t="n">
        <v>-0.5</v>
      </c>
      <c r="J85" s="5" t="inlineStr">
        <is>
          <t>Elasticities row 228</t>
        </is>
      </c>
    </row>
    <row r="86">
      <c r="A86" s="5" t="inlineStr">
        <is>
          <t>eff|gso|ind</t>
        </is>
      </c>
      <c r="B86" s="5" t="inlineStr">
        <is>
          <t>eff</t>
        </is>
      </c>
      <c r="C86" s="5" t="inlineStr">
        <is>
          <t>gso</t>
        </is>
      </c>
      <c r="D86" s="5" t="inlineStr">
        <is>
          <t>ind</t>
        </is>
      </c>
      <c r="E86" s="5" t="inlineStr">
        <is>
          <t>gso_owp_tot_lr</t>
        </is>
      </c>
      <c r="F86" s="5" t="n">
        <v>-0.7</v>
      </c>
      <c r="G86" s="5" t="n">
        <v>-0.7</v>
      </c>
      <c r="H86" s="5" t="n">
        <v>-0.7</v>
      </c>
      <c r="I86" s="5" t="n">
        <v>-0.7</v>
      </c>
      <c r="J86" s="5" t="inlineStr">
        <is>
          <t>Elasticities row 229</t>
        </is>
      </c>
    </row>
    <row r="87">
      <c r="A87" s="5" t="inlineStr">
        <is>
          <t>eff|die|ind</t>
        </is>
      </c>
      <c r="B87" s="5" t="inlineStr">
        <is>
          <t>eff</t>
        </is>
      </c>
      <c r="C87" s="5" t="inlineStr">
        <is>
          <t>die</t>
        </is>
      </c>
      <c r="D87" s="5" t="inlineStr">
        <is>
          <t>ind</t>
        </is>
      </c>
      <c r="E87" s="5" t="inlineStr">
        <is>
          <t>die_owp_tot_lr</t>
        </is>
      </c>
      <c r="F87" s="5" t="n">
        <v>-1.2</v>
      </c>
      <c r="G87" s="5" t="n">
        <v>-1.2</v>
      </c>
      <c r="H87" s="5" t="n">
        <v>-1.2</v>
      </c>
      <c r="I87" s="5" t="n">
        <v>-1.2</v>
      </c>
      <c r="J87" s="5" t="inlineStr">
        <is>
          <t>Elasticities row 230</t>
        </is>
      </c>
    </row>
    <row r="88">
      <c r="A88" s="5" t="inlineStr">
        <is>
          <t>eff|oil|ind</t>
        </is>
      </c>
      <c r="B88" s="5" t="inlineStr">
        <is>
          <t>eff</t>
        </is>
      </c>
      <c r="C88" s="5" t="inlineStr">
        <is>
          <t>oil</t>
        </is>
      </c>
      <c r="D88" s="5" t="inlineStr">
        <is>
          <t>ind</t>
        </is>
      </c>
      <c r="E88" s="5" t="inlineStr">
        <is>
          <t>oil_owp_ind_lr</t>
        </is>
      </c>
      <c r="F88" s="5" t="n">
        <v>-0.4</v>
      </c>
      <c r="G88" s="5" t="n">
        <v>-0.4</v>
      </c>
      <c r="H88" s="5" t="n">
        <v>-0.4</v>
      </c>
      <c r="I88" s="5" t="n">
        <v>-0.4</v>
      </c>
      <c r="J88" s="5" t="inlineStr">
        <is>
          <t>Elasticities row 231</t>
        </is>
      </c>
    </row>
    <row r="89">
      <c r="A89" s="5" t="inlineStr">
        <is>
          <t>eff|bio|ind</t>
        </is>
      </c>
      <c r="B89" s="5" t="inlineStr">
        <is>
          <t>eff</t>
        </is>
      </c>
      <c r="C89" s="5" t="inlineStr">
        <is>
          <t>bio</t>
        </is>
      </c>
      <c r="D89" s="5" t="inlineStr">
        <is>
          <t>ind</t>
        </is>
      </c>
      <c r="E89" s="5" t="inlineStr">
        <is>
          <t>bio_owp_ind_lr</t>
        </is>
      </c>
      <c r="F89" s="5" t="n">
        <v>-0.2</v>
      </c>
      <c r="G89" s="5" t="n">
        <v>-0.2</v>
      </c>
      <c r="H89" s="5" t="n">
        <v>-0.2</v>
      </c>
      <c r="I89" s="5" t="n">
        <v>-0.2</v>
      </c>
      <c r="J89" s="5" t="inlineStr">
        <is>
          <t>Elasticities row 232</t>
        </is>
      </c>
    </row>
    <row r="90">
      <c r="A90" s="5" t="inlineStr">
        <is>
          <t>eff|ren|ind</t>
        </is>
      </c>
      <c r="B90" s="5" t="inlineStr">
        <is>
          <t>eff</t>
        </is>
      </c>
      <c r="C90" s="5" t="inlineStr">
        <is>
          <t>ren</t>
        </is>
      </c>
      <c r="D90" s="5" t="inlineStr">
        <is>
          <t>ind</t>
        </is>
      </c>
      <c r="E90" s="5" t="inlineStr">
        <is>
          <t>rnw_owp_tot_lr</t>
        </is>
      </c>
      <c r="F90" s="5" t="n">
        <v>-0.4</v>
      </c>
      <c r="G90" s="5" t="n">
        <v>-0.4</v>
      </c>
      <c r="H90" s="5" t="n">
        <v>-0.4</v>
      </c>
      <c r="I90" s="5" t="n">
        <v>-0.4</v>
      </c>
      <c r="J90" s="5" t="inlineStr">
        <is>
          <t>Elasticities row 233</t>
        </is>
      </c>
    </row>
    <row r="91">
      <c r="A91" s="5" t="inlineStr">
        <is>
          <t>eff|ecy|ind</t>
        </is>
      </c>
      <c r="B91" s="5" t="inlineStr">
        <is>
          <t>eff</t>
        </is>
      </c>
      <c r="C91" s="5" t="inlineStr">
        <is>
          <t>ecy</t>
        </is>
      </c>
      <c r="D91" s="5" t="inlineStr">
        <is>
          <t>ind</t>
        </is>
      </c>
      <c r="E91" s="5" t="inlineStr">
        <is>
          <t>ecy_owp_ind_lr</t>
        </is>
      </c>
      <c r="F91" s="5" t="n">
        <v>-0.2</v>
      </c>
      <c r="G91" s="5" t="n">
        <v>-0.2</v>
      </c>
      <c r="H91" s="5" t="n">
        <v>-0.2</v>
      </c>
      <c r="I91" s="5" t="n">
        <v>-0.2</v>
      </c>
      <c r="J91" s="5" t="inlineStr">
        <is>
          <t>Elasticities row 234</t>
        </is>
      </c>
    </row>
    <row r="92">
      <c r="A92" s="5" t="inlineStr">
        <is>
          <t>eff|coa|srv</t>
        </is>
      </c>
      <c r="B92" s="5" t="inlineStr">
        <is>
          <t>eff</t>
        </is>
      </c>
      <c r="C92" s="5" t="inlineStr">
        <is>
          <t>coa</t>
        </is>
      </c>
      <c r="D92" s="5" t="inlineStr">
        <is>
          <t>srv</t>
        </is>
      </c>
      <c r="E92" s="5" t="inlineStr">
        <is>
          <t>coa_owp_ind_lr</t>
        </is>
      </c>
      <c r="F92" s="5" t="n">
        <v>-0.6</v>
      </c>
      <c r="G92" s="5" t="n">
        <v>-0.6</v>
      </c>
      <c r="H92" s="5" t="n">
        <v>-0.6</v>
      </c>
      <c r="I92" s="5" t="n">
        <v>-0.6</v>
      </c>
      <c r="J92" s="5" t="inlineStr">
        <is>
          <t>Elasticities row 235</t>
        </is>
      </c>
    </row>
    <row r="93">
      <c r="A93" s="5" t="inlineStr">
        <is>
          <t>eff|nga|srv</t>
        </is>
      </c>
      <c r="B93" s="5" t="inlineStr">
        <is>
          <t>eff</t>
        </is>
      </c>
      <c r="C93" s="5" t="inlineStr">
        <is>
          <t>nga</t>
        </is>
      </c>
      <c r="D93" s="5" t="inlineStr">
        <is>
          <t>srv</t>
        </is>
      </c>
      <c r="E93" s="5" t="inlineStr">
        <is>
          <t>nga_owp_ind_lr</t>
        </is>
      </c>
      <c r="F93" s="5" t="n">
        <v>-1</v>
      </c>
      <c r="G93" s="5" t="n">
        <v>-1</v>
      </c>
      <c r="H93" s="5" t="n">
        <v>-1</v>
      </c>
      <c r="I93" s="5" t="n">
        <v>-1</v>
      </c>
      <c r="J93" s="5" t="inlineStr">
        <is>
          <t>Elasticities row 236</t>
        </is>
      </c>
    </row>
    <row r="94">
      <c r="A94" s="5" t="inlineStr">
        <is>
          <t>eff|gso|srv</t>
        </is>
      </c>
      <c r="B94" s="5" t="inlineStr">
        <is>
          <t>eff</t>
        </is>
      </c>
      <c r="C94" s="5" t="inlineStr">
        <is>
          <t>gso</t>
        </is>
      </c>
      <c r="D94" s="5" t="inlineStr">
        <is>
          <t>srv</t>
        </is>
      </c>
      <c r="E94" s="5" t="inlineStr">
        <is>
          <t>gso_owp_tot_lr</t>
        </is>
      </c>
      <c r="F94" s="5" t="n">
        <v>-1.1</v>
      </c>
      <c r="G94" s="5" t="n">
        <v>-1.1</v>
      </c>
      <c r="H94" s="5" t="n">
        <v>-1.1</v>
      </c>
      <c r="I94" s="5" t="n">
        <v>-1.1</v>
      </c>
      <c r="J94" s="5" t="inlineStr">
        <is>
          <t>Elasticities row 237</t>
        </is>
      </c>
    </row>
    <row r="95">
      <c r="A95" s="5" t="inlineStr">
        <is>
          <t>eff|die|srv</t>
        </is>
      </c>
      <c r="B95" s="5" t="inlineStr">
        <is>
          <t>eff</t>
        </is>
      </c>
      <c r="C95" s="5" t="inlineStr">
        <is>
          <t>die</t>
        </is>
      </c>
      <c r="D95" s="5" t="inlineStr">
        <is>
          <t>srv</t>
        </is>
      </c>
      <c r="E95" s="5" t="inlineStr">
        <is>
          <t>die_owp_tot_lr</t>
        </is>
      </c>
      <c r="F95" s="5" t="n">
        <v>-0.4</v>
      </c>
      <c r="G95" s="5" t="n">
        <v>-0.4</v>
      </c>
      <c r="H95" s="5" t="n">
        <v>-0.4</v>
      </c>
      <c r="I95" s="5" t="n">
        <v>-0.4</v>
      </c>
      <c r="J95" s="5" t="inlineStr">
        <is>
          <t>Elasticities row 238</t>
        </is>
      </c>
    </row>
    <row r="96">
      <c r="A96" s="5" t="inlineStr">
        <is>
          <t>eff|oil|srv</t>
        </is>
      </c>
      <c r="B96" s="5" t="inlineStr">
        <is>
          <t>eff</t>
        </is>
      </c>
      <c r="C96" s="5" t="inlineStr">
        <is>
          <t>oil</t>
        </is>
      </c>
      <c r="D96" s="5" t="inlineStr">
        <is>
          <t>srv</t>
        </is>
      </c>
      <c r="E96" s="5" t="inlineStr">
        <is>
          <t>oil_owp_ind_lr</t>
        </is>
      </c>
      <c r="F96" s="5" t="n">
        <v>-0.6</v>
      </c>
      <c r="G96" s="5" t="n">
        <v>-0.6</v>
      </c>
      <c r="H96" s="5" t="n">
        <v>-0.6</v>
      </c>
      <c r="I96" s="5" t="n">
        <v>-0.6</v>
      </c>
      <c r="J96" s="5" t="inlineStr">
        <is>
          <t>Elasticities row 239</t>
        </is>
      </c>
    </row>
    <row r="97">
      <c r="A97" s="5" t="inlineStr">
        <is>
          <t>eff|bio|srv</t>
        </is>
      </c>
      <c r="B97" s="5" t="inlineStr">
        <is>
          <t>eff</t>
        </is>
      </c>
      <c r="C97" s="5" t="inlineStr">
        <is>
          <t>bio</t>
        </is>
      </c>
      <c r="D97" s="5" t="inlineStr">
        <is>
          <t>srv</t>
        </is>
      </c>
      <c r="E97" s="5" t="inlineStr">
        <is>
          <t>bio_owp_ind_lr</t>
        </is>
      </c>
      <c r="F97" s="5" t="n">
        <v>-0.3</v>
      </c>
      <c r="G97" s="5" t="n">
        <v>-0.3</v>
      </c>
      <c r="H97" s="5" t="n">
        <v>-0.3</v>
      </c>
      <c r="I97" s="5" t="n">
        <v>-0.3</v>
      </c>
      <c r="J97" s="5" t="inlineStr">
        <is>
          <t>Elasticities row 240</t>
        </is>
      </c>
    </row>
    <row r="98">
      <c r="A98" s="5" t="inlineStr">
        <is>
          <t>eff|ren|srv</t>
        </is>
      </c>
      <c r="B98" s="5" t="inlineStr">
        <is>
          <t>eff</t>
        </is>
      </c>
      <c r="C98" s="5" t="inlineStr">
        <is>
          <t>ren</t>
        </is>
      </c>
      <c r="D98" s="5" t="inlineStr">
        <is>
          <t>srv</t>
        </is>
      </c>
      <c r="E98" s="5" t="inlineStr">
        <is>
          <t>rnw_owp_tot_lr</t>
        </is>
      </c>
      <c r="F98" s="5" t="n">
        <v>-0.6</v>
      </c>
      <c r="G98" s="5" t="n">
        <v>-0.6</v>
      </c>
      <c r="H98" s="5" t="n">
        <v>-0.6</v>
      </c>
      <c r="I98" s="5" t="n">
        <v>-0.6</v>
      </c>
      <c r="J98" s="5" t="inlineStr">
        <is>
          <t>Elasticities row 241</t>
        </is>
      </c>
    </row>
    <row r="99">
      <c r="A99" s="5" t="inlineStr">
        <is>
          <t>eff|ecy|srv</t>
        </is>
      </c>
      <c r="B99" s="5" t="inlineStr">
        <is>
          <t>eff</t>
        </is>
      </c>
      <c r="C99" s="5" t="inlineStr">
        <is>
          <t>ecy</t>
        </is>
      </c>
      <c r="D99" s="5" t="inlineStr">
        <is>
          <t>srv</t>
        </is>
      </c>
      <c r="E99" s="5" t="inlineStr">
        <is>
          <t>ecy_owp_ind_lr</t>
        </is>
      </c>
      <c r="F99" s="5" t="n">
        <v>-0.4</v>
      </c>
      <c r="G99" s="5" t="n">
        <v>-0.4</v>
      </c>
      <c r="H99" s="5" t="n">
        <v>-0.4</v>
      </c>
      <c r="I99" s="5" t="n">
        <v>-0.4</v>
      </c>
      <c r="J99" s="5" t="inlineStr">
        <is>
          <t>Elasticities row 242</t>
        </is>
      </c>
    </row>
    <row r="100">
      <c r="A100" s="5" t="inlineStr">
        <is>
          <t>aei|coa|tra</t>
        </is>
      </c>
      <c r="B100" s="5" t="inlineStr">
        <is>
          <t>aei</t>
        </is>
      </c>
      <c r="C100" s="5" t="inlineStr">
        <is>
          <t>coa</t>
        </is>
      </c>
      <c r="D100" s="5" t="inlineStr">
        <is>
          <t>tra</t>
        </is>
      </c>
      <c r="E100" s="5" t="inlineStr">
        <is>
          <t>eff_imp_coa_rod</t>
        </is>
      </c>
      <c r="F100" s="5" t="n">
        <v>0.01</v>
      </c>
      <c r="G100" s="5" t="n">
        <v>0.01</v>
      </c>
      <c r="H100" s="5" t="n">
        <v>0.01</v>
      </c>
      <c r="I100" s="5" t="n">
        <v>0.01</v>
      </c>
      <c r="J100" s="5" t="inlineStr">
        <is>
          <t>Elasticities row 256</t>
        </is>
      </c>
    </row>
    <row r="101">
      <c r="A101" s="5" t="inlineStr">
        <is>
          <t>aei|nga|tra</t>
        </is>
      </c>
      <c r="B101" s="5" t="inlineStr">
        <is>
          <t>aei</t>
        </is>
      </c>
      <c r="C101" s="5" t="inlineStr">
        <is>
          <t>nga</t>
        </is>
      </c>
      <c r="D101" s="5" t="inlineStr">
        <is>
          <t>tra</t>
        </is>
      </c>
      <c r="E101" s="5" t="inlineStr">
        <is>
          <t>eff_imp_nga_rod</t>
        </is>
      </c>
      <c r="F101" s="5" t="n">
        <v>0.01</v>
      </c>
      <c r="G101" s="5" t="n">
        <v>0.01</v>
      </c>
      <c r="H101" s="5" t="n">
        <v>0.01</v>
      </c>
      <c r="I101" s="5" t="n">
        <v>0.01</v>
      </c>
      <c r="J101" s="5" t="inlineStr">
        <is>
          <t>Elasticities row 257</t>
        </is>
      </c>
    </row>
    <row r="102">
      <c r="A102" s="5" t="inlineStr">
        <is>
          <t>aei|oil|tra</t>
        </is>
      </c>
      <c r="B102" s="5" t="inlineStr">
        <is>
          <t>aei</t>
        </is>
      </c>
      <c r="C102" s="5" t="inlineStr">
        <is>
          <t>oil</t>
        </is>
      </c>
      <c r="D102" s="5" t="inlineStr">
        <is>
          <t>tra</t>
        </is>
      </c>
      <c r="E102" s="5" t="inlineStr">
        <is>
          <t>eff_imp_oil_rod</t>
        </is>
      </c>
      <c r="F102" s="5" t="n">
        <v>0.01</v>
      </c>
      <c r="G102" s="5" t="n">
        <v>0.01</v>
      </c>
      <c r="H102" s="5" t="n">
        <v>0.01</v>
      </c>
      <c r="I102" s="5" t="n">
        <v>0.01</v>
      </c>
      <c r="J102" s="5" t="inlineStr">
        <is>
          <t>Elasticities row 258</t>
        </is>
      </c>
    </row>
    <row r="103">
      <c r="A103" s="5" t="inlineStr">
        <is>
          <t>aei|bio|tra</t>
        </is>
      </c>
      <c r="B103" s="5" t="inlineStr">
        <is>
          <t>aei</t>
        </is>
      </c>
      <c r="C103" s="5" t="inlineStr">
        <is>
          <t>bio</t>
        </is>
      </c>
      <c r="D103" s="5" t="inlineStr">
        <is>
          <t>tra</t>
        </is>
      </c>
      <c r="E103" s="5" t="inlineStr">
        <is>
          <t>eff_imp_bio_rod</t>
        </is>
      </c>
      <c r="F103" s="5" t="n">
        <v>0.01</v>
      </c>
      <c r="G103" s="5" t="n">
        <v>0.01</v>
      </c>
      <c r="H103" s="5" t="n">
        <v>0.01</v>
      </c>
      <c r="I103" s="5" t="n">
        <v>0.01</v>
      </c>
      <c r="J103" s="5" t="inlineStr">
        <is>
          <t>Elasticities row 259</t>
        </is>
      </c>
    </row>
    <row r="104">
      <c r="A104" s="5" t="inlineStr">
        <is>
          <t>aei|ren|tra</t>
        </is>
      </c>
      <c r="B104" s="5" t="inlineStr">
        <is>
          <t>aei</t>
        </is>
      </c>
      <c r="C104" s="5" t="inlineStr">
        <is>
          <t>ren</t>
        </is>
      </c>
      <c r="D104" s="5" t="inlineStr">
        <is>
          <t>tra</t>
        </is>
      </c>
      <c r="E104" s="5" t="inlineStr">
        <is>
          <t>eff_imp_ren_rod</t>
        </is>
      </c>
      <c r="F104" s="5" t="n">
        <v>0.01</v>
      </c>
      <c r="G104" s="5" t="n">
        <v>0.01</v>
      </c>
      <c r="H104" s="5" t="n">
        <v>0.01</v>
      </c>
      <c r="I104" s="5" t="n">
        <v>0.01</v>
      </c>
      <c r="J104" s="5" t="inlineStr">
        <is>
          <t>Elasticities row 260</t>
        </is>
      </c>
    </row>
    <row r="105">
      <c r="A105" s="5" t="inlineStr">
        <is>
          <t>aei|ecy|tra</t>
        </is>
      </c>
      <c r="B105" s="5" t="inlineStr">
        <is>
          <t>aei</t>
        </is>
      </c>
      <c r="C105" s="5" t="inlineStr">
        <is>
          <t>ecy</t>
        </is>
      </c>
      <c r="D105" s="5" t="inlineStr">
        <is>
          <t>tra</t>
        </is>
      </c>
      <c r="E105" s="5" t="inlineStr">
        <is>
          <t>eff_imp_ecy_rod</t>
        </is>
      </c>
      <c r="F105" s="5" t="n">
        <v>0.01</v>
      </c>
      <c r="G105" s="5" t="n">
        <v>0.01</v>
      </c>
      <c r="H105" s="5" t="n">
        <v>0.01</v>
      </c>
      <c r="I105" s="5" t="n">
        <v>0.01</v>
      </c>
      <c r="J105" s="5" t="inlineStr">
        <is>
          <t>Elasticities row 261</t>
        </is>
      </c>
    </row>
    <row r="106">
      <c r="A106" s="5" t="inlineStr">
        <is>
          <t>aei|coa|res</t>
        </is>
      </c>
      <c r="B106" s="5" t="inlineStr">
        <is>
          <t>aei</t>
        </is>
      </c>
      <c r="C106" s="5" t="inlineStr">
        <is>
          <t>coa</t>
        </is>
      </c>
      <c r="D106" s="5" t="inlineStr">
        <is>
          <t>res</t>
        </is>
      </c>
      <c r="E106" s="5" t="inlineStr">
        <is>
          <t>eff_imp_coa</t>
        </is>
      </c>
      <c r="F106" s="5" t="n">
        <v>0.005</v>
      </c>
      <c r="G106" s="5" t="n">
        <v>0.005</v>
      </c>
      <c r="H106" s="5" t="n">
        <v>0.005</v>
      </c>
      <c r="I106" s="5" t="n">
        <v>0.005</v>
      </c>
      <c r="J106" s="5" t="inlineStr">
        <is>
          <t>Elasticities row 263</t>
        </is>
      </c>
    </row>
    <row r="107">
      <c r="A107" s="5" t="inlineStr">
        <is>
          <t>aei|nga|res</t>
        </is>
      </c>
      <c r="B107" s="5" t="inlineStr">
        <is>
          <t>aei</t>
        </is>
      </c>
      <c r="C107" s="5" t="inlineStr">
        <is>
          <t>nga</t>
        </is>
      </c>
      <c r="D107" s="5" t="inlineStr">
        <is>
          <t>res</t>
        </is>
      </c>
      <c r="E107" s="5" t="inlineStr">
        <is>
          <t>eff_imp_nga</t>
        </is>
      </c>
      <c r="F107" s="5" t="n">
        <v>0.01</v>
      </c>
      <c r="G107" s="5" t="n">
        <v>0.01</v>
      </c>
      <c r="H107" s="5" t="n">
        <v>0.01</v>
      </c>
      <c r="I107" s="5" t="n">
        <v>0.01</v>
      </c>
      <c r="J107" s="5" t="inlineStr">
        <is>
          <t>Elasticities row 264</t>
        </is>
      </c>
    </row>
    <row r="108">
      <c r="A108" s="5" t="inlineStr">
        <is>
          <t>aei|oil|res</t>
        </is>
      </c>
      <c r="B108" s="5" t="inlineStr">
        <is>
          <t>aei</t>
        </is>
      </c>
      <c r="C108" s="5" t="inlineStr">
        <is>
          <t>oil</t>
        </is>
      </c>
      <c r="D108" s="5" t="inlineStr">
        <is>
          <t>res</t>
        </is>
      </c>
      <c r="E108" s="5" t="inlineStr">
        <is>
          <t>eff_imp_oil</t>
        </is>
      </c>
      <c r="F108" s="5" t="n">
        <v>0.005</v>
      </c>
      <c r="G108" s="5" t="n">
        <v>0.005</v>
      </c>
      <c r="H108" s="5" t="n">
        <v>0.005</v>
      </c>
      <c r="I108" s="5" t="n">
        <v>0.005</v>
      </c>
      <c r="J108" s="5" t="inlineStr">
        <is>
          <t>Elasticities row 265</t>
        </is>
      </c>
    </row>
    <row r="109">
      <c r="A109" s="5" t="inlineStr">
        <is>
          <t>aei|bio|res</t>
        </is>
      </c>
      <c r="B109" s="5" t="inlineStr">
        <is>
          <t>aei</t>
        </is>
      </c>
      <c r="C109" s="5" t="inlineStr">
        <is>
          <t>bio</t>
        </is>
      </c>
      <c r="D109" s="5" t="inlineStr">
        <is>
          <t>res</t>
        </is>
      </c>
      <c r="E109" s="5" t="inlineStr">
        <is>
          <t>eff_imp_bio</t>
        </is>
      </c>
      <c r="F109" s="5" t="n">
        <v>0.005</v>
      </c>
      <c r="G109" s="5" t="n">
        <v>0.005</v>
      </c>
      <c r="H109" s="5" t="n">
        <v>0.005</v>
      </c>
      <c r="I109" s="5" t="n">
        <v>0.005</v>
      </c>
      <c r="J109" s="5" t="inlineStr">
        <is>
          <t>Elasticities row 266</t>
        </is>
      </c>
    </row>
    <row r="110">
      <c r="A110" s="5" t="inlineStr">
        <is>
          <t>aei|ren|res</t>
        </is>
      </c>
      <c r="B110" s="5" t="inlineStr">
        <is>
          <t>aei</t>
        </is>
      </c>
      <c r="C110" s="5" t="inlineStr">
        <is>
          <t>ren</t>
        </is>
      </c>
      <c r="D110" s="5" t="inlineStr">
        <is>
          <t>res</t>
        </is>
      </c>
      <c r="E110" s="5" t="inlineStr">
        <is>
          <t>eff_imp_ren</t>
        </is>
      </c>
      <c r="F110" s="5" t="n">
        <v>0.005</v>
      </c>
      <c r="G110" s="5" t="n">
        <v>0.005</v>
      </c>
      <c r="H110" s="5" t="n">
        <v>0.005</v>
      </c>
      <c r="I110" s="5" t="n">
        <v>0.005</v>
      </c>
      <c r="J110" s="5" t="inlineStr">
        <is>
          <t>Elasticities row 267</t>
        </is>
      </c>
    </row>
    <row r="111">
      <c r="A111" s="5" t="inlineStr">
        <is>
          <t>aei|ecy|res</t>
        </is>
      </c>
      <c r="B111" s="5" t="inlineStr">
        <is>
          <t>aei</t>
        </is>
      </c>
      <c r="C111" s="5" t="inlineStr">
        <is>
          <t>ecy</t>
        </is>
      </c>
      <c r="D111" s="5" t="inlineStr">
        <is>
          <t>res</t>
        </is>
      </c>
      <c r="E111" s="5" t="inlineStr">
        <is>
          <t>eff_imp_ecy</t>
        </is>
      </c>
      <c r="F111" s="5" t="n">
        <v>0.005</v>
      </c>
      <c r="G111" s="5" t="n">
        <v>0.005</v>
      </c>
      <c r="H111" s="5" t="n">
        <v>0.005</v>
      </c>
      <c r="I111" s="5" t="n">
        <v>0.005</v>
      </c>
      <c r="J111" s="5" t="inlineStr">
        <is>
          <t>Elasticities row 268</t>
        </is>
      </c>
    </row>
    <row r="112">
      <c r="A112" s="5" t="inlineStr">
        <is>
          <t>aei|coa|ind</t>
        </is>
      </c>
      <c r="B112" s="5" t="inlineStr">
        <is>
          <t>aei</t>
        </is>
      </c>
      <c r="C112" s="5" t="inlineStr">
        <is>
          <t>coa</t>
        </is>
      </c>
      <c r="D112" s="5" t="inlineStr">
        <is>
          <t>ind</t>
        </is>
      </c>
      <c r="E112" s="5" t="inlineStr">
        <is>
          <t>eff_imp_coa</t>
        </is>
      </c>
      <c r="F112" s="5" t="n">
        <v>0.005</v>
      </c>
      <c r="G112" s="5" t="n">
        <v>0.005</v>
      </c>
      <c r="H112" s="5" t="n">
        <v>0.005</v>
      </c>
      <c r="I112" s="5" t="n">
        <v>0.005</v>
      </c>
      <c r="J112" s="5" t="inlineStr">
        <is>
          <t>Elasticities row 270</t>
        </is>
      </c>
    </row>
    <row r="113">
      <c r="A113" s="5" t="inlineStr">
        <is>
          <t>aei|nga|ind</t>
        </is>
      </c>
      <c r="B113" s="5" t="inlineStr">
        <is>
          <t>aei</t>
        </is>
      </c>
      <c r="C113" s="5" t="inlineStr">
        <is>
          <t>nga</t>
        </is>
      </c>
      <c r="D113" s="5" t="inlineStr">
        <is>
          <t>ind</t>
        </is>
      </c>
      <c r="E113" s="5" t="inlineStr">
        <is>
          <t>eff_imp_nga</t>
        </is>
      </c>
      <c r="F113" s="5" t="n">
        <v>0.01</v>
      </c>
      <c r="G113" s="5" t="n">
        <v>0.01</v>
      </c>
      <c r="H113" s="5" t="n">
        <v>0.01</v>
      </c>
      <c r="I113" s="5" t="n">
        <v>0.01</v>
      </c>
      <c r="J113" s="5" t="inlineStr">
        <is>
          <t>Elasticities row 271</t>
        </is>
      </c>
    </row>
    <row r="114">
      <c r="A114" s="5" t="inlineStr">
        <is>
          <t>aei|oil|ind</t>
        </is>
      </c>
      <c r="B114" s="5" t="inlineStr">
        <is>
          <t>aei</t>
        </is>
      </c>
      <c r="C114" s="5" t="inlineStr">
        <is>
          <t>oil</t>
        </is>
      </c>
      <c r="D114" s="5" t="inlineStr">
        <is>
          <t>ind</t>
        </is>
      </c>
      <c r="E114" s="5" t="inlineStr">
        <is>
          <t>eff_imp_oil</t>
        </is>
      </c>
      <c r="F114" s="5" t="n">
        <v>0.005</v>
      </c>
      <c r="G114" s="5" t="n">
        <v>0.005</v>
      </c>
      <c r="H114" s="5" t="n">
        <v>0.005</v>
      </c>
      <c r="I114" s="5" t="n">
        <v>0.005</v>
      </c>
      <c r="J114" s="5" t="inlineStr">
        <is>
          <t>Elasticities row 272</t>
        </is>
      </c>
    </row>
    <row r="115">
      <c r="A115" s="5" t="inlineStr">
        <is>
          <t>aei|bio|ind</t>
        </is>
      </c>
      <c r="B115" s="5" t="inlineStr">
        <is>
          <t>aei</t>
        </is>
      </c>
      <c r="C115" s="5" t="inlineStr">
        <is>
          <t>bio</t>
        </is>
      </c>
      <c r="D115" s="5" t="inlineStr">
        <is>
          <t>ind</t>
        </is>
      </c>
      <c r="E115" s="5" t="inlineStr">
        <is>
          <t>eff_imp_bio</t>
        </is>
      </c>
      <c r="F115" s="5" t="n">
        <v>0.005</v>
      </c>
      <c r="G115" s="5" t="n">
        <v>0.005</v>
      </c>
      <c r="H115" s="5" t="n">
        <v>0.005</v>
      </c>
      <c r="I115" s="5" t="n">
        <v>0.005</v>
      </c>
      <c r="J115" s="5" t="inlineStr">
        <is>
          <t>Elasticities row 273</t>
        </is>
      </c>
    </row>
    <row r="116">
      <c r="A116" s="5" t="inlineStr">
        <is>
          <t>aei|ren|ind</t>
        </is>
      </c>
      <c r="B116" s="5" t="inlineStr">
        <is>
          <t>aei</t>
        </is>
      </c>
      <c r="C116" s="5" t="inlineStr">
        <is>
          <t>ren</t>
        </is>
      </c>
      <c r="D116" s="5" t="inlineStr">
        <is>
          <t>ind</t>
        </is>
      </c>
      <c r="E116" s="5" t="inlineStr">
        <is>
          <t>eff_imp_ren</t>
        </is>
      </c>
      <c r="F116" s="5" t="n">
        <v>0.005</v>
      </c>
      <c r="G116" s="5" t="n">
        <v>0.005</v>
      </c>
      <c r="H116" s="5" t="n">
        <v>0.005</v>
      </c>
      <c r="I116" s="5" t="n">
        <v>0.005</v>
      </c>
      <c r="J116" s="5" t="inlineStr">
        <is>
          <t>Elasticities row 274</t>
        </is>
      </c>
    </row>
    <row r="117">
      <c r="A117" s="5" t="inlineStr">
        <is>
          <t>aei|ecy|ind</t>
        </is>
      </c>
      <c r="B117" s="5" t="inlineStr">
        <is>
          <t>aei</t>
        </is>
      </c>
      <c r="C117" s="5" t="inlineStr">
        <is>
          <t>ecy</t>
        </is>
      </c>
      <c r="D117" s="5" t="inlineStr">
        <is>
          <t>ind</t>
        </is>
      </c>
      <c r="E117" s="5" t="inlineStr">
        <is>
          <t>eff_imp_ecy</t>
        </is>
      </c>
      <c r="F117" s="5" t="n">
        <v>0.005</v>
      </c>
      <c r="G117" s="5" t="n">
        <v>0.005</v>
      </c>
      <c r="H117" s="5" t="n">
        <v>0.005</v>
      </c>
      <c r="I117" s="5" t="n">
        <v>0.005</v>
      </c>
      <c r="J117" s="5" t="inlineStr">
        <is>
          <t>Elasticities row 275</t>
        </is>
      </c>
    </row>
    <row r="118">
      <c r="A118" s="5" t="inlineStr">
        <is>
          <t>aei|coa|srv</t>
        </is>
      </c>
      <c r="B118" s="5" t="inlineStr">
        <is>
          <t>aei</t>
        </is>
      </c>
      <c r="C118" s="5" t="inlineStr">
        <is>
          <t>coa</t>
        </is>
      </c>
      <c r="D118" s="5" t="inlineStr">
        <is>
          <t>srv</t>
        </is>
      </c>
      <c r="E118" s="5" t="inlineStr">
        <is>
          <t>eff_imp_coa</t>
        </is>
      </c>
      <c r="F118" s="5" t="n">
        <v>0.005</v>
      </c>
      <c r="G118" s="5" t="n">
        <v>0.005</v>
      </c>
      <c r="H118" s="5" t="n">
        <v>0.005</v>
      </c>
      <c r="I118" s="5" t="n">
        <v>0.005</v>
      </c>
      <c r="J118" s="5" t="inlineStr">
        <is>
          <t>Elasticities row 277</t>
        </is>
      </c>
    </row>
    <row r="119">
      <c r="A119" s="5" t="inlineStr">
        <is>
          <t>aei|nga|srv</t>
        </is>
      </c>
      <c r="B119" s="5" t="inlineStr">
        <is>
          <t>aei</t>
        </is>
      </c>
      <c r="C119" s="5" t="inlineStr">
        <is>
          <t>nga</t>
        </is>
      </c>
      <c r="D119" s="5" t="inlineStr">
        <is>
          <t>srv</t>
        </is>
      </c>
      <c r="E119" s="5" t="inlineStr">
        <is>
          <t>eff_imp_nga</t>
        </is>
      </c>
      <c r="F119" s="5" t="n">
        <v>0.01</v>
      </c>
      <c r="G119" s="5" t="n">
        <v>0.01</v>
      </c>
      <c r="H119" s="5" t="n">
        <v>0.01</v>
      </c>
      <c r="I119" s="5" t="n">
        <v>0.01</v>
      </c>
      <c r="J119" s="5" t="inlineStr">
        <is>
          <t>Elasticities row 278</t>
        </is>
      </c>
    </row>
    <row r="120">
      <c r="A120" s="5" t="inlineStr">
        <is>
          <t>aei|oil|srv</t>
        </is>
      </c>
      <c r="B120" s="5" t="inlineStr">
        <is>
          <t>aei</t>
        </is>
      </c>
      <c r="C120" s="5" t="inlineStr">
        <is>
          <t>oil</t>
        </is>
      </c>
      <c r="D120" s="5" t="inlineStr">
        <is>
          <t>srv</t>
        </is>
      </c>
      <c r="E120" s="5" t="inlineStr">
        <is>
          <t>eff_imp_oil</t>
        </is>
      </c>
      <c r="F120" s="5" t="n">
        <v>0.005</v>
      </c>
      <c r="G120" s="5" t="n">
        <v>0.005</v>
      </c>
      <c r="H120" s="5" t="n">
        <v>0.005</v>
      </c>
      <c r="I120" s="5" t="n">
        <v>0.005</v>
      </c>
      <c r="J120" s="5" t="inlineStr">
        <is>
          <t>Elasticities row 279</t>
        </is>
      </c>
    </row>
    <row r="121">
      <c r="A121" s="5" t="inlineStr">
        <is>
          <t>aei|bio|srv</t>
        </is>
      </c>
      <c r="B121" s="5" t="inlineStr">
        <is>
          <t>aei</t>
        </is>
      </c>
      <c r="C121" s="5" t="inlineStr">
        <is>
          <t>bio</t>
        </is>
      </c>
      <c r="D121" s="5" t="inlineStr">
        <is>
          <t>srv</t>
        </is>
      </c>
      <c r="E121" s="5" t="inlineStr">
        <is>
          <t>eff_imp_bio</t>
        </is>
      </c>
      <c r="F121" s="5" t="n">
        <v>0.005</v>
      </c>
      <c r="G121" s="5" t="n">
        <v>0.005</v>
      </c>
      <c r="H121" s="5" t="n">
        <v>0.005</v>
      </c>
      <c r="I121" s="5" t="n">
        <v>0.005</v>
      </c>
      <c r="J121" s="5" t="inlineStr">
        <is>
          <t>Elasticities row 280</t>
        </is>
      </c>
    </row>
    <row r="122">
      <c r="A122" s="5" t="inlineStr">
        <is>
          <t>aei|ren|srv</t>
        </is>
      </c>
      <c r="B122" s="5" t="inlineStr">
        <is>
          <t>aei</t>
        </is>
      </c>
      <c r="C122" s="5" t="inlineStr">
        <is>
          <t>ren</t>
        </is>
      </c>
      <c r="D122" s="5" t="inlineStr">
        <is>
          <t>srv</t>
        </is>
      </c>
      <c r="E122" s="5" t="inlineStr">
        <is>
          <t>eff_imp_ren</t>
        </is>
      </c>
      <c r="F122" s="5" t="n">
        <v>0.005</v>
      </c>
      <c r="G122" s="5" t="n">
        <v>0.005</v>
      </c>
      <c r="H122" s="5" t="n">
        <v>0.005</v>
      </c>
      <c r="I122" s="5" t="n">
        <v>0.005</v>
      </c>
      <c r="J122" s="5" t="inlineStr">
        <is>
          <t>Elasticities row 281</t>
        </is>
      </c>
    </row>
    <row r="123">
      <c r="A123" s="5" t="inlineStr">
        <is>
          <t>aei|ecy|srv</t>
        </is>
      </c>
      <c r="B123" s="5" t="inlineStr">
        <is>
          <t>aei</t>
        </is>
      </c>
      <c r="C123" s="5" t="inlineStr">
        <is>
          <t>ecy</t>
        </is>
      </c>
      <c r="D123" s="5" t="inlineStr">
        <is>
          <t>srv</t>
        </is>
      </c>
      <c r="E123" s="5" t="inlineStr">
        <is>
          <t>eff_imp_ecy</t>
        </is>
      </c>
      <c r="F123" s="5" t="n">
        <v>0.005</v>
      </c>
      <c r="G123" s="5" t="n">
        <v>0.005</v>
      </c>
      <c r="H123" s="5" t="n">
        <v>0.005</v>
      </c>
      <c r="I123" s="5" t="n">
        <v>0.005</v>
      </c>
      <c r="J123" s="5" t="inlineStr">
        <is>
          <t>Elasticities row 282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U885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5" t="inlineStr">
        <is>
          <t>Fuels:</t>
        </is>
      </c>
      <c r="F1" s="5" t="inlineStr">
        <is>
          <t>all</t>
        </is>
      </c>
      <c r="G1" s="5" t="inlineStr">
        <is>
          <t>Coal</t>
        </is>
      </c>
      <c r="Y1" s="5" t="inlineStr">
        <is>
          <t>Natural gas</t>
        </is>
      </c>
      <c r="AQ1" s="5" t="inlineStr">
        <is>
          <t>Gasoline</t>
        </is>
      </c>
      <c r="AW1" s="5" t="inlineStr">
        <is>
          <t>Diesel</t>
        </is>
      </c>
      <c r="BC1" s="5" t="inlineStr">
        <is>
          <t>LPG</t>
        </is>
      </c>
      <c r="BI1" s="5" t="inlineStr">
        <is>
          <t>Kerosene</t>
        </is>
      </c>
      <c r="BO1" s="5" t="inlineStr">
        <is>
          <t>Electricity</t>
        </is>
      </c>
      <c r="BY1" s="5" t="inlineStr">
        <is>
          <t>Biomass</t>
        </is>
      </c>
      <c r="CC1" s="5" t="inlineStr">
        <is>
          <t>Other oil products</t>
        </is>
      </c>
      <c r="CI1" s="5" t="inlineStr">
        <is>
          <t>Override - no subsidy</t>
        </is>
      </c>
      <c r="CK1" s="5" t="inlineStr">
        <is>
          <t>Producer subsidies</t>
        </is>
      </c>
      <c r="CP1" s="5" t="inlineStr">
        <is>
          <t>Portion from domestic production and costs</t>
        </is>
      </c>
      <c r="CT1" s="5" t="inlineStr">
        <is>
          <t>International prices</t>
        </is>
      </c>
    </row>
    <row r="2">
      <c r="A2" s="5" t="inlineStr">
        <is>
          <t>Sectors:</t>
        </is>
      </c>
      <c r="F2" s="5" t="inlineStr">
        <is>
          <t>all</t>
        </is>
      </c>
      <c r="G2" s="5" t="inlineStr">
        <is>
          <t>Power sector</t>
        </is>
      </c>
      <c r="M2" s="5" t="inlineStr">
        <is>
          <t>Industry</t>
        </is>
      </c>
      <c r="S2" s="5" t="inlineStr">
        <is>
          <t>Residential</t>
        </is>
      </c>
      <c r="Y2" s="5" t="inlineStr">
        <is>
          <t>Power sector</t>
        </is>
      </c>
      <c r="AE2" s="5" t="inlineStr">
        <is>
          <t>Industry</t>
        </is>
      </c>
      <c r="AK2" s="5" t="inlineStr">
        <is>
          <t>Residential sector</t>
        </is>
      </c>
      <c r="AQ2" s="5" t="inlineStr">
        <is>
          <t>All</t>
        </is>
      </c>
      <c r="AW2" s="5" t="inlineStr">
        <is>
          <t>All</t>
        </is>
      </c>
      <c r="BC2" s="5" t="inlineStr">
        <is>
          <t>All</t>
        </is>
      </c>
      <c r="BI2" s="5" t="inlineStr">
        <is>
          <t>All</t>
        </is>
      </c>
      <c r="BO2" s="5" t="inlineStr">
        <is>
          <t>Industry</t>
        </is>
      </c>
      <c r="BT2" s="5" t="inlineStr">
        <is>
          <t>Residential sector</t>
        </is>
      </c>
      <c r="BY2" s="5" t="inlineStr">
        <is>
          <t>All</t>
        </is>
      </c>
      <c r="CC2" s="5" t="inlineStr">
        <is>
          <t>All</t>
        </is>
      </c>
      <c r="CI2" s="5" t="inlineStr">
        <is>
          <t>Electricity</t>
        </is>
      </c>
      <c r="CK2" s="5" t="inlineStr">
        <is>
          <t>Biomass</t>
        </is>
      </c>
      <c r="CL2" s="5" t="inlineStr">
        <is>
          <t>Coal</t>
        </is>
      </c>
      <c r="CM2" s="5" t="inlineStr">
        <is>
          <t>Electricity</t>
        </is>
      </c>
      <c r="CN2" s="5" t="inlineStr">
        <is>
          <t>Natural gas</t>
        </is>
      </c>
      <c r="CO2" s="5" t="inlineStr">
        <is>
          <t>Oil</t>
        </is>
      </c>
      <c r="CP2" s="5" t="inlineStr">
        <is>
          <t>Coal</t>
        </is>
      </c>
      <c r="CR2" s="5" t="inlineStr">
        <is>
          <t>Natural gas</t>
        </is>
      </c>
      <c r="CT2" s="5" t="inlineStr">
        <is>
          <t>Coal</t>
        </is>
      </c>
      <c r="CU2" s="5" t="inlineStr">
        <is>
          <t>Natural gas</t>
        </is>
      </c>
    </row>
    <row r="3">
      <c r="A3" s="5" t="inlineStr">
        <is>
          <t>Indicators:</t>
        </is>
      </c>
      <c r="F3" s="5" t="inlineStr">
        <is>
          <t>General 
VAT rate</t>
        </is>
      </c>
      <c r="G3" s="5" t="inlineStr">
        <is>
          <t>supply cost</t>
        </is>
      </c>
      <c r="H3" s="5" t="inlineStr">
        <is>
          <t>margin over int. prices</t>
        </is>
      </c>
      <c r="I3" s="5" t="inlineStr">
        <is>
          <t>Excise &amp; other taxes</t>
        </is>
      </c>
      <c r="J3" s="5" t="inlineStr">
        <is>
          <t>retail price</t>
        </is>
      </c>
      <c r="K3" s="5" t="inlineStr">
        <is>
          <t>VAT rate</t>
        </is>
      </c>
      <c r="L3" s="5" t="inlineStr">
        <is>
          <t>Passthrough</t>
        </is>
      </c>
      <c r="M3" s="5" t="inlineStr">
        <is>
          <t>supply cost</t>
        </is>
      </c>
      <c r="N3" s="5" t="inlineStr">
        <is>
          <t>margin over int. prices</t>
        </is>
      </c>
      <c r="O3" s="5" t="inlineStr">
        <is>
          <t>Excise &amp; other taxes</t>
        </is>
      </c>
      <c r="P3" s="5" t="inlineStr">
        <is>
          <t>retail price</t>
        </is>
      </c>
      <c r="Q3" s="5" t="inlineStr">
        <is>
          <t>VAT rate</t>
        </is>
      </c>
      <c r="R3" s="5" t="inlineStr">
        <is>
          <t>Passthrough</t>
        </is>
      </c>
      <c r="S3" s="5" t="inlineStr">
        <is>
          <t>supply cost</t>
        </is>
      </c>
      <c r="T3" s="5" t="inlineStr">
        <is>
          <t>margin over int. prices</t>
        </is>
      </c>
      <c r="U3" s="5" t="inlineStr">
        <is>
          <t>Excise &amp; other taxes</t>
        </is>
      </c>
      <c r="V3" s="5" t="inlineStr">
        <is>
          <t>retail price</t>
        </is>
      </c>
      <c r="W3" s="5" t="inlineStr">
        <is>
          <t>VAT rate</t>
        </is>
      </c>
      <c r="X3" s="5" t="inlineStr">
        <is>
          <t>Passthrough</t>
        </is>
      </c>
      <c r="Y3" s="5" t="inlineStr">
        <is>
          <t>supply cost</t>
        </is>
      </c>
      <c r="Z3" s="5" t="inlineStr">
        <is>
          <t>margin over int. prices</t>
        </is>
      </c>
      <c r="AA3" s="5" t="inlineStr">
        <is>
          <t>Excise &amp; other taxes</t>
        </is>
      </c>
      <c r="AB3" s="5" t="inlineStr">
        <is>
          <t>retail price</t>
        </is>
      </c>
      <c r="AC3" s="5" t="inlineStr">
        <is>
          <t>VAT rate</t>
        </is>
      </c>
      <c r="AD3" s="5" t="inlineStr">
        <is>
          <t>Passthrough</t>
        </is>
      </c>
      <c r="AE3" s="5" t="inlineStr">
        <is>
          <t>supply cost</t>
        </is>
      </c>
      <c r="AF3" s="5" t="inlineStr">
        <is>
          <t>margin over int. prices</t>
        </is>
      </c>
      <c r="AG3" s="5" t="inlineStr">
        <is>
          <t>Excise &amp; other taxes</t>
        </is>
      </c>
      <c r="AH3" s="5" t="inlineStr">
        <is>
          <t>retail price</t>
        </is>
      </c>
      <c r="AI3" s="5" t="inlineStr">
        <is>
          <t>VAT rate</t>
        </is>
      </c>
      <c r="AJ3" s="5" t="inlineStr">
        <is>
          <t>Passthrough</t>
        </is>
      </c>
      <c r="AK3" s="5" t="inlineStr">
        <is>
          <t>supply cost</t>
        </is>
      </c>
      <c r="AL3" s="5" t="inlineStr">
        <is>
          <t>margin over int. prices</t>
        </is>
      </c>
      <c r="AM3" s="5" t="inlineStr">
        <is>
          <t>Excise &amp; other taxes</t>
        </is>
      </c>
      <c r="AN3" s="5" t="inlineStr">
        <is>
          <t>retail price</t>
        </is>
      </c>
      <c r="AO3" s="5" t="inlineStr">
        <is>
          <t>VAT rate</t>
        </is>
      </c>
      <c r="AP3" s="5" t="inlineStr">
        <is>
          <t>Passthrough</t>
        </is>
      </c>
      <c r="AQ3" s="5" t="inlineStr">
        <is>
          <t>supply cost</t>
        </is>
      </c>
      <c r="AR3" s="5" t="inlineStr">
        <is>
          <t>margin over int. prices</t>
        </is>
      </c>
      <c r="AS3" s="5" t="inlineStr">
        <is>
          <t>Excise &amp; other taxes</t>
        </is>
      </c>
      <c r="AT3" s="5" t="inlineStr">
        <is>
          <t>retail price</t>
        </is>
      </c>
      <c r="AU3" s="5" t="inlineStr">
        <is>
          <t>VAT rate</t>
        </is>
      </c>
      <c r="AV3" s="5" t="inlineStr">
        <is>
          <t>Passthrough</t>
        </is>
      </c>
      <c r="AW3" s="5" t="inlineStr">
        <is>
          <t>supply cost</t>
        </is>
      </c>
      <c r="AX3" s="5" t="inlineStr">
        <is>
          <t>margin over int. prices</t>
        </is>
      </c>
      <c r="AY3" s="5" t="inlineStr">
        <is>
          <t>Excise &amp; other taxes</t>
        </is>
      </c>
      <c r="AZ3" s="5" t="inlineStr">
        <is>
          <t>retail price</t>
        </is>
      </c>
      <c r="BA3" s="5" t="inlineStr">
        <is>
          <t>VAT rate</t>
        </is>
      </c>
      <c r="BB3" s="5" t="inlineStr">
        <is>
          <t>Passthrough</t>
        </is>
      </c>
      <c r="BC3" s="5" t="inlineStr">
        <is>
          <t>supply cost</t>
        </is>
      </c>
      <c r="BD3" s="5" t="inlineStr">
        <is>
          <t>margin over int. prices</t>
        </is>
      </c>
      <c r="BE3" s="5" t="inlineStr">
        <is>
          <t>Excise &amp; other taxes</t>
        </is>
      </c>
      <c r="BF3" s="5" t="inlineStr">
        <is>
          <t>retail price</t>
        </is>
      </c>
      <c r="BG3" s="5" t="inlineStr">
        <is>
          <t>VAT rate</t>
        </is>
      </c>
      <c r="BH3" s="5" t="inlineStr">
        <is>
          <t>Passthrough</t>
        </is>
      </c>
      <c r="BI3" s="5" t="inlineStr">
        <is>
          <t>supply cost</t>
        </is>
      </c>
      <c r="BJ3" s="5" t="inlineStr">
        <is>
          <t>margin over int. prices</t>
        </is>
      </c>
      <c r="BK3" s="5" t="inlineStr">
        <is>
          <t>Excise &amp; other taxes</t>
        </is>
      </c>
      <c r="BL3" s="5" t="inlineStr">
        <is>
          <t>retail price</t>
        </is>
      </c>
      <c r="BM3" s="5" t="inlineStr">
        <is>
          <t>VAT rate</t>
        </is>
      </c>
      <c r="BN3" s="5" t="inlineStr">
        <is>
          <t>Passthrough</t>
        </is>
      </c>
      <c r="BO3" s="5" t="inlineStr">
        <is>
          <t>supply cost</t>
        </is>
      </c>
      <c r="BP3" s="5" t="inlineStr">
        <is>
          <t>Excise &amp; other taxes</t>
        </is>
      </c>
      <c r="BQ3" s="5" t="inlineStr">
        <is>
          <t>retail price</t>
        </is>
      </c>
      <c r="BR3" s="5" t="inlineStr">
        <is>
          <t>VAT rate</t>
        </is>
      </c>
      <c r="BS3" s="5" t="inlineStr">
        <is>
          <t>Passthrough</t>
        </is>
      </c>
      <c r="BT3" s="5" t="inlineStr">
        <is>
          <t>supply cost</t>
        </is>
      </c>
      <c r="BU3" s="5" t="inlineStr">
        <is>
          <t>Excise &amp; other taxes</t>
        </is>
      </c>
      <c r="BV3" s="5" t="inlineStr">
        <is>
          <t>retail price</t>
        </is>
      </c>
      <c r="BW3" s="5" t="inlineStr">
        <is>
          <t>VAT rate</t>
        </is>
      </c>
      <c r="BX3" s="5" t="inlineStr">
        <is>
          <t>Passthrough</t>
        </is>
      </c>
      <c r="BY3" s="5" t="inlineStr">
        <is>
          <t>supply cost</t>
        </is>
      </c>
      <c r="BZ3" s="5" t="inlineStr">
        <is>
          <t>Excise &amp; other taxes</t>
        </is>
      </c>
      <c r="CA3" s="5" t="inlineStr">
        <is>
          <t>retail price</t>
        </is>
      </c>
      <c r="CB3" s="5" t="inlineStr">
        <is>
          <t>VAT rate</t>
        </is>
      </c>
      <c r="CC3" s="5" t="inlineStr">
        <is>
          <t>supply cost</t>
        </is>
      </c>
      <c r="CD3" s="5" t="inlineStr">
        <is>
          <t>margin over int. prices</t>
        </is>
      </c>
      <c r="CE3" s="5" t="inlineStr">
        <is>
          <t>Excise &amp; other taxes</t>
        </is>
      </c>
      <c r="CF3" s="5" t="inlineStr">
        <is>
          <t>retail price</t>
        </is>
      </c>
      <c r="CG3" s="5" t="inlineStr">
        <is>
          <t>VAT rate</t>
        </is>
      </c>
      <c r="CH3" s="5" t="inlineStr">
        <is>
          <t>Passthrough</t>
        </is>
      </c>
      <c r="CI3" s="5" t="inlineStr">
        <is>
          <t>Residential</t>
        </is>
      </c>
      <c r="CJ3" s="5" t="inlineStr">
        <is>
          <t>Industry</t>
        </is>
      </c>
      <c r="CK3" s="5" t="inlineStr">
        <is>
          <t>All</t>
        </is>
      </c>
      <c r="CL3" s="5" t="inlineStr">
        <is>
          <t>All</t>
        </is>
      </c>
      <c r="CM3" s="5" t="inlineStr">
        <is>
          <t>All</t>
        </is>
      </c>
      <c r="CN3" s="5" t="inlineStr">
        <is>
          <t>All</t>
        </is>
      </c>
      <c r="CO3" s="5" t="inlineStr">
        <is>
          <t>All</t>
        </is>
      </c>
      <c r="CP3" s="5" t="inlineStr">
        <is>
          <t>Portion from dom. prod.</t>
        </is>
      </c>
      <c r="CQ3" s="5" t="inlineStr">
        <is>
          <t>Dom. prod. costs</t>
        </is>
      </c>
      <c r="CR3" s="5" t="inlineStr">
        <is>
          <t>Portion from dom. prod.</t>
        </is>
      </c>
      <c r="CS3" s="5" t="inlineStr">
        <is>
          <t>Dom. prod. costs</t>
        </is>
      </c>
    </row>
    <row r="4">
      <c r="A4" s="5" t="inlineStr">
        <is>
          <t>Units:</t>
        </is>
      </c>
      <c r="F4" s="5" t="inlineStr">
        <is>
          <t>%</t>
        </is>
      </c>
      <c r="G4" s="5" t="inlineStr">
        <is>
          <t>current USD/GJ</t>
        </is>
      </c>
      <c r="H4" s="5" t="inlineStr">
        <is>
          <t>current USD/GJ</t>
        </is>
      </c>
      <c r="I4" s="5" t="inlineStr">
        <is>
          <t>current USD/GJ</t>
        </is>
      </c>
      <c r="J4" s="5" t="inlineStr">
        <is>
          <t>current USD/GJ</t>
        </is>
      </c>
      <c r="K4" s="5" t="inlineStr">
        <is>
          <t>%</t>
        </is>
      </c>
      <c r="L4" s="5" t="inlineStr">
        <is>
          <t>%</t>
        </is>
      </c>
      <c r="M4" s="5" t="inlineStr">
        <is>
          <t>current USD/GJ</t>
        </is>
      </c>
      <c r="N4" s="5" t="inlineStr">
        <is>
          <t>current USD/GJ</t>
        </is>
      </c>
      <c r="O4" s="5" t="inlineStr">
        <is>
          <t>current USD/GJ</t>
        </is>
      </c>
      <c r="P4" s="5" t="inlineStr">
        <is>
          <t>current USD/GJ</t>
        </is>
      </c>
      <c r="Q4" s="5" t="inlineStr">
        <is>
          <t>%</t>
        </is>
      </c>
      <c r="R4" s="5" t="inlineStr">
        <is>
          <t>%</t>
        </is>
      </c>
      <c r="S4" s="5" t="inlineStr">
        <is>
          <t>current USD/GJ</t>
        </is>
      </c>
      <c r="T4" s="5" t="inlineStr">
        <is>
          <t>current USD/GJ</t>
        </is>
      </c>
      <c r="U4" s="5" t="inlineStr">
        <is>
          <t>current USD/GJ</t>
        </is>
      </c>
      <c r="V4" s="5" t="inlineStr">
        <is>
          <t>current USD/GJ</t>
        </is>
      </c>
      <c r="W4" s="5" t="inlineStr">
        <is>
          <t>%</t>
        </is>
      </c>
      <c r="X4" s="5" t="inlineStr">
        <is>
          <t>%</t>
        </is>
      </c>
      <c r="Y4" s="5" t="inlineStr">
        <is>
          <t>current USD/GJ</t>
        </is>
      </c>
      <c r="Z4" s="5" t="inlineStr">
        <is>
          <t>current USD/GJ</t>
        </is>
      </c>
      <c r="AA4" s="5" t="inlineStr">
        <is>
          <t>current USD/GJ</t>
        </is>
      </c>
      <c r="AB4" s="5" t="inlineStr">
        <is>
          <t>current USD/GJ</t>
        </is>
      </c>
      <c r="AC4" s="5" t="inlineStr">
        <is>
          <t>%</t>
        </is>
      </c>
      <c r="AD4" s="5" t="inlineStr">
        <is>
          <t>%</t>
        </is>
      </c>
      <c r="AE4" s="5" t="inlineStr">
        <is>
          <t>current USD/GJ</t>
        </is>
      </c>
      <c r="AF4" s="5" t="inlineStr">
        <is>
          <t>current USD/GJ</t>
        </is>
      </c>
      <c r="AG4" s="5" t="inlineStr">
        <is>
          <t>current USD/GJ</t>
        </is>
      </c>
      <c r="AH4" s="5" t="inlineStr">
        <is>
          <t>current USD/GJ</t>
        </is>
      </c>
      <c r="AI4" s="5" t="inlineStr">
        <is>
          <t>%</t>
        </is>
      </c>
      <c r="AJ4" s="5" t="inlineStr">
        <is>
          <t>%</t>
        </is>
      </c>
      <c r="AK4" s="5" t="inlineStr">
        <is>
          <t>current USD/GJ</t>
        </is>
      </c>
      <c r="AL4" s="5" t="inlineStr">
        <is>
          <t>current USD/GJ</t>
        </is>
      </c>
      <c r="AM4" s="5" t="inlineStr">
        <is>
          <t>current USD/GJ</t>
        </is>
      </c>
      <c r="AN4" s="5" t="inlineStr">
        <is>
          <t>current USD/GJ</t>
        </is>
      </c>
      <c r="AO4" s="5" t="inlineStr">
        <is>
          <t>%</t>
        </is>
      </c>
      <c r="AP4" s="5" t="inlineStr">
        <is>
          <t>%</t>
        </is>
      </c>
      <c r="AQ4" s="5" t="inlineStr">
        <is>
          <t>current USD/lit</t>
        </is>
      </c>
      <c r="AR4" s="5" t="inlineStr">
        <is>
          <t>current USD/lit</t>
        </is>
      </c>
      <c r="AS4" s="5" t="inlineStr">
        <is>
          <t>current USD/lit</t>
        </is>
      </c>
      <c r="AT4" s="5" t="inlineStr">
        <is>
          <t>current USD/lit</t>
        </is>
      </c>
      <c r="AU4" s="5" t="inlineStr">
        <is>
          <t>%</t>
        </is>
      </c>
      <c r="AV4" s="5" t="inlineStr">
        <is>
          <t>%</t>
        </is>
      </c>
      <c r="AW4" s="5" t="inlineStr">
        <is>
          <t>current USD/lit</t>
        </is>
      </c>
      <c r="AX4" s="5" t="inlineStr">
        <is>
          <t>current USD/lit</t>
        </is>
      </c>
      <c r="AY4" s="5" t="inlineStr">
        <is>
          <t>current USD/lit</t>
        </is>
      </c>
      <c r="AZ4" s="5" t="inlineStr">
        <is>
          <t>current USD/lit</t>
        </is>
      </c>
      <c r="BA4" s="5" t="inlineStr">
        <is>
          <t>%</t>
        </is>
      </c>
      <c r="BB4" s="5" t="inlineStr">
        <is>
          <t>%</t>
        </is>
      </c>
      <c r="BC4" s="5" t="inlineStr">
        <is>
          <t>current USD/lit</t>
        </is>
      </c>
      <c r="BD4" s="5" t="inlineStr">
        <is>
          <t>current USD/lit</t>
        </is>
      </c>
      <c r="BE4" s="5" t="inlineStr">
        <is>
          <t>current USD/lit</t>
        </is>
      </c>
      <c r="BF4" s="5" t="inlineStr">
        <is>
          <t>current USD/lit</t>
        </is>
      </c>
      <c r="BG4" s="5" t="inlineStr">
        <is>
          <t>%</t>
        </is>
      </c>
      <c r="BH4" s="5" t="inlineStr">
        <is>
          <t>%</t>
        </is>
      </c>
      <c r="BI4" s="5" t="inlineStr">
        <is>
          <t>current USD/lit</t>
        </is>
      </c>
      <c r="BJ4" s="5" t="inlineStr">
        <is>
          <t>current USD/lit</t>
        </is>
      </c>
      <c r="BK4" s="5" t="inlineStr">
        <is>
          <t>current USD/lit</t>
        </is>
      </c>
      <c r="BL4" s="5" t="inlineStr">
        <is>
          <t>current USD/lit</t>
        </is>
      </c>
      <c r="BM4" s="5" t="inlineStr">
        <is>
          <t>%</t>
        </is>
      </c>
      <c r="BN4" s="5" t="inlineStr">
        <is>
          <t>%</t>
        </is>
      </c>
      <c r="BO4" s="5" t="inlineStr">
        <is>
          <t>current USD/kWh</t>
        </is>
      </c>
      <c r="BP4" s="5" t="inlineStr">
        <is>
          <t>current USD/kWh</t>
        </is>
      </c>
      <c r="BQ4" s="5" t="inlineStr">
        <is>
          <t>current USD/kWh</t>
        </is>
      </c>
      <c r="BR4" s="5" t="inlineStr">
        <is>
          <t>%</t>
        </is>
      </c>
      <c r="BS4" s="5" t="inlineStr">
        <is>
          <t>%</t>
        </is>
      </c>
      <c r="BT4" s="5" t="inlineStr">
        <is>
          <t>current USD/kWh</t>
        </is>
      </c>
      <c r="BU4" s="5" t="inlineStr">
        <is>
          <t>current USD/kWh</t>
        </is>
      </c>
      <c r="BV4" s="5" t="inlineStr">
        <is>
          <t>current USD/kWh</t>
        </is>
      </c>
      <c r="BW4" s="5" t="inlineStr">
        <is>
          <t>%</t>
        </is>
      </c>
      <c r="BX4" s="5" t="inlineStr">
        <is>
          <t>%</t>
        </is>
      </c>
      <c r="BY4" s="5" t="inlineStr">
        <is>
          <t>current USD/GJ</t>
        </is>
      </c>
      <c r="BZ4" s="5" t="inlineStr">
        <is>
          <t>current USD/GJ</t>
        </is>
      </c>
      <c r="CA4" s="5" t="inlineStr">
        <is>
          <t>current USD/GJ</t>
        </is>
      </c>
      <c r="CB4" s="5" t="inlineStr">
        <is>
          <t>%</t>
        </is>
      </c>
      <c r="CC4" s="5" t="inlineStr">
        <is>
          <t>current USD/bbl</t>
        </is>
      </c>
      <c r="CD4" s="5" t="inlineStr">
        <is>
          <t>current USD/bbl</t>
        </is>
      </c>
      <c r="CE4" s="5" t="inlineStr">
        <is>
          <t>current USD/bbl</t>
        </is>
      </c>
      <c r="CF4" s="5" t="inlineStr">
        <is>
          <t>current USD/bbl</t>
        </is>
      </c>
      <c r="CG4" s="5" t="inlineStr">
        <is>
          <t>%</t>
        </is>
      </c>
      <c r="CH4" s="5" t="inlineStr">
        <is>
          <t>%</t>
        </is>
      </c>
      <c r="CI4" s="5" t="inlineStr">
        <is>
          <t>1 = override</t>
        </is>
      </c>
      <c r="CK4" s="5" t="inlineStr">
        <is>
          <t>USD bln</t>
        </is>
      </c>
      <c r="CL4" s="5" t="inlineStr">
        <is>
          <t>USD bln</t>
        </is>
      </c>
      <c r="CM4" s="5" t="inlineStr">
        <is>
          <t>USD bln</t>
        </is>
      </c>
      <c r="CN4" s="5" t="inlineStr">
        <is>
          <t>USD bln</t>
        </is>
      </c>
      <c r="CO4" s="5" t="inlineStr">
        <is>
          <t>USD bln</t>
        </is>
      </c>
      <c r="CP4" s="5" t="inlineStr">
        <is>
          <t>%</t>
        </is>
      </c>
      <c r="CQ4" s="5" t="inlineStr">
        <is>
          <t>$/GJ</t>
        </is>
      </c>
      <c r="CR4" s="5" t="inlineStr">
        <is>
          <t>%</t>
        </is>
      </c>
      <c r="CS4" s="5" t="inlineStr">
        <is>
          <t>$/GJ</t>
        </is>
      </c>
      <c r="CT4" s="5" t="inlineStr">
        <is>
          <t>$/GJ</t>
        </is>
      </c>
      <c r="CU4" s="5" t="inlineStr">
        <is>
          <t>$/GJ</t>
        </is>
      </c>
    </row>
    <row r="5">
      <c r="A5" s="8" t="inlineStr">
        <is>
          <t>country_year</t>
        </is>
      </c>
      <c r="B5" s="8" t="inlineStr">
        <is>
          <t>countrycode_weo</t>
        </is>
      </c>
      <c r="C5" s="8" t="inlineStr">
        <is>
          <t>countrycode</t>
        </is>
      </c>
      <c r="D5" s="8" t="inlineStr">
        <is>
          <t>countryname</t>
        </is>
      </c>
      <c r="E5" s="8" t="inlineStr">
        <is>
          <t>year</t>
        </is>
      </c>
      <c r="F5" s="8" t="inlineStr">
        <is>
          <t>VAT_WEO</t>
        </is>
      </c>
      <c r="G5" s="8" t="inlineStr">
        <is>
          <t>mit.sp.coa.pow</t>
        </is>
      </c>
      <c r="H5" s="8" t="inlineStr">
        <is>
          <t>mit.mar.coa.pow</t>
        </is>
      </c>
      <c r="I5" s="8" t="inlineStr">
        <is>
          <t>mit.txo.coa.pow</t>
        </is>
      </c>
      <c r="J5" s="8" t="inlineStr">
        <is>
          <t>mit.rp.coa.pow</t>
        </is>
      </c>
      <c r="K5" s="8" t="inlineStr">
        <is>
          <t>mit.vatrate.coa.pow</t>
        </is>
      </c>
      <c r="L5" s="8" t="inlineStr">
        <is>
          <t>mit.ps.coa.pow</t>
        </is>
      </c>
      <c r="M5" s="8" t="inlineStr">
        <is>
          <t>mit.sp.coa.ind</t>
        </is>
      </c>
      <c r="N5" s="8" t="inlineStr">
        <is>
          <t>mit.mar.coa.ind</t>
        </is>
      </c>
      <c r="O5" s="8" t="inlineStr">
        <is>
          <t>mit.txo.coa.ind</t>
        </is>
      </c>
      <c r="P5" s="8" t="inlineStr">
        <is>
          <t>mit.rp.coa.ind</t>
        </is>
      </c>
      <c r="Q5" s="8" t="inlineStr">
        <is>
          <t>mit.vatrate.coa.ind</t>
        </is>
      </c>
      <c r="R5" s="8" t="inlineStr">
        <is>
          <t>mit.ps.coa.ind</t>
        </is>
      </c>
      <c r="S5" s="8" t="inlineStr">
        <is>
          <t>mit.sp.coa.res</t>
        </is>
      </c>
      <c r="T5" s="8" t="inlineStr">
        <is>
          <t>mit.mar.coa.res</t>
        </is>
      </c>
      <c r="U5" s="8" t="inlineStr">
        <is>
          <t>mit.txo.coa.res</t>
        </is>
      </c>
      <c r="V5" s="8" t="inlineStr">
        <is>
          <t>mit.rp.coa.res</t>
        </is>
      </c>
      <c r="W5" s="8" t="inlineStr">
        <is>
          <t>mit.vatrate.coa.res</t>
        </is>
      </c>
      <c r="X5" s="8" t="inlineStr">
        <is>
          <t>mit.ps.coa.res</t>
        </is>
      </c>
      <c r="Y5" s="8" t="inlineStr">
        <is>
          <t>mit.sp.nga.pow</t>
        </is>
      </c>
      <c r="Z5" s="8" t="inlineStr">
        <is>
          <t>mit.mar.nga.pow</t>
        </is>
      </c>
      <c r="AA5" s="8" t="inlineStr">
        <is>
          <t>mit.txo.nga.pow</t>
        </is>
      </c>
      <c r="AB5" s="8" t="inlineStr">
        <is>
          <t>mit.rp.nga.pow</t>
        </is>
      </c>
      <c r="AC5" s="8" t="inlineStr">
        <is>
          <t>mit.vatrate.nga.pow</t>
        </is>
      </c>
      <c r="AD5" s="8" t="inlineStr">
        <is>
          <t>mit.ps.nga.pow</t>
        </is>
      </c>
      <c r="AE5" s="8" t="inlineStr">
        <is>
          <t>mit.sp.nga.ind</t>
        </is>
      </c>
      <c r="AF5" s="8" t="inlineStr">
        <is>
          <t>mit.mar.nga.ind</t>
        </is>
      </c>
      <c r="AG5" s="8" t="inlineStr">
        <is>
          <t>mit.txo.nga.ind</t>
        </is>
      </c>
      <c r="AH5" s="8" t="inlineStr">
        <is>
          <t>mit.rp.nga.ind</t>
        </is>
      </c>
      <c r="AI5" s="8" t="inlineStr">
        <is>
          <t>mit.vatrate.nga.ind</t>
        </is>
      </c>
      <c r="AJ5" s="8" t="inlineStr">
        <is>
          <t>mit.ps.nga.ind</t>
        </is>
      </c>
      <c r="AK5" s="8" t="inlineStr">
        <is>
          <t>mit.sp.nga.res</t>
        </is>
      </c>
      <c r="AL5" s="8" t="inlineStr">
        <is>
          <t>mit.mar.nga.res</t>
        </is>
      </c>
      <c r="AM5" s="8" t="inlineStr">
        <is>
          <t>mit.txo.nga.res</t>
        </is>
      </c>
      <c r="AN5" s="8" t="inlineStr">
        <is>
          <t>mit.rp.nga.res</t>
        </is>
      </c>
      <c r="AO5" s="8" t="inlineStr">
        <is>
          <t>mit.vatrate.nga.res</t>
        </is>
      </c>
      <c r="AP5" s="8" t="inlineStr">
        <is>
          <t>mit.ps.nga.res</t>
        </is>
      </c>
      <c r="AQ5" s="8" t="inlineStr">
        <is>
          <t>mit.sp.gso.all</t>
        </is>
      </c>
      <c r="AR5" s="8" t="inlineStr">
        <is>
          <t>mit.mar.gso.all</t>
        </is>
      </c>
      <c r="AS5" s="8" t="inlineStr">
        <is>
          <t>mit.txo.gso.all</t>
        </is>
      </c>
      <c r="AT5" s="8" t="inlineStr">
        <is>
          <t>mit.rp.gso.all</t>
        </is>
      </c>
      <c r="AU5" s="8" t="inlineStr">
        <is>
          <t>mit.vatrate.gso.all</t>
        </is>
      </c>
      <c r="AV5" s="8" t="inlineStr">
        <is>
          <t>mit.ps.gso.all</t>
        </is>
      </c>
      <c r="AW5" s="8" t="inlineStr">
        <is>
          <t>mit.sp.die.all</t>
        </is>
      </c>
      <c r="AX5" s="8" t="inlineStr">
        <is>
          <t>mit.mar.die.all</t>
        </is>
      </c>
      <c r="AY5" s="8" t="inlineStr">
        <is>
          <t>mit.txo.die.all</t>
        </is>
      </c>
      <c r="AZ5" s="8" t="inlineStr">
        <is>
          <t>mit.rp.die.all</t>
        </is>
      </c>
      <c r="BA5" s="8" t="inlineStr">
        <is>
          <t>mit.vatrate.die.all</t>
        </is>
      </c>
      <c r="BB5" s="8" t="inlineStr">
        <is>
          <t>mit.ps.die.all</t>
        </is>
      </c>
      <c r="BC5" s="8" t="inlineStr">
        <is>
          <t>mit.sp.lpg.all</t>
        </is>
      </c>
      <c r="BD5" s="8" t="inlineStr">
        <is>
          <t>mit.mar.lpg.all</t>
        </is>
      </c>
      <c r="BE5" s="8" t="inlineStr">
        <is>
          <t>mit.txo.lpg.all</t>
        </is>
      </c>
      <c r="BF5" s="8" t="inlineStr">
        <is>
          <t>mit.rp.lpg.all</t>
        </is>
      </c>
      <c r="BG5" s="8" t="inlineStr">
        <is>
          <t>mit.vatrate.lpg.all</t>
        </is>
      </c>
      <c r="BH5" s="8" t="inlineStr">
        <is>
          <t>mit.ps.lpg.all</t>
        </is>
      </c>
      <c r="BI5" s="8" t="inlineStr">
        <is>
          <t>mit.sp.ker.all</t>
        </is>
      </c>
      <c r="BJ5" s="8" t="inlineStr">
        <is>
          <t>mit.mar.ker.all</t>
        </is>
      </c>
      <c r="BK5" s="8" t="inlineStr">
        <is>
          <t>mit.txo.ker.all</t>
        </is>
      </c>
      <c r="BL5" s="8" t="inlineStr">
        <is>
          <t>mit.rp.ker.all</t>
        </is>
      </c>
      <c r="BM5" s="8" t="inlineStr">
        <is>
          <t>mit.vatrate.ker.all</t>
        </is>
      </c>
      <c r="BN5" s="8" t="inlineStr">
        <is>
          <t>mit.ps.ker.all</t>
        </is>
      </c>
      <c r="BO5" s="8" t="inlineStr">
        <is>
          <t>mit.sp.ecy.ind</t>
        </is>
      </c>
      <c r="BP5" s="8" t="inlineStr">
        <is>
          <t>mit.txo.ecy.ind</t>
        </is>
      </c>
      <c r="BQ5" s="8" t="inlineStr">
        <is>
          <t>mit.rp.ecy.ind</t>
        </is>
      </c>
      <c r="BR5" s="8" t="inlineStr">
        <is>
          <t>mit.vatrate.ecy.ind</t>
        </is>
      </c>
      <c r="BS5" s="8" t="inlineStr">
        <is>
          <t>mit.ps.ecy.ind</t>
        </is>
      </c>
      <c r="BT5" s="8" t="inlineStr">
        <is>
          <t>mit.sp.ecy.res</t>
        </is>
      </c>
      <c r="BU5" s="8" t="inlineStr">
        <is>
          <t>mit.txo.ecy.res</t>
        </is>
      </c>
      <c r="BV5" s="8" t="inlineStr">
        <is>
          <t>mit.rp.ecy.res</t>
        </is>
      </c>
      <c r="BW5" s="8" t="inlineStr">
        <is>
          <t>mit.vatrate.ecy.res</t>
        </is>
      </c>
      <c r="BX5" s="8" t="inlineStr">
        <is>
          <t>mit.ps.ecy.res</t>
        </is>
      </c>
      <c r="BY5" s="8" t="inlineStr">
        <is>
          <t>mit.sp.bio.all</t>
        </is>
      </c>
      <c r="BZ5" s="8" t="inlineStr">
        <is>
          <t>mit.txo.bio.all</t>
        </is>
      </c>
      <c r="CA5" s="8" t="inlineStr">
        <is>
          <t>mit.rp.bio.all</t>
        </is>
      </c>
      <c r="CB5" s="8" t="inlineStr">
        <is>
          <t>mit.vatrate.bio.all</t>
        </is>
      </c>
      <c r="CC5" s="8" t="inlineStr">
        <is>
          <t>mit.sp.oop.all</t>
        </is>
      </c>
      <c r="CD5" s="8" t="inlineStr">
        <is>
          <t>mit.mar.oop.all</t>
        </is>
      </c>
      <c r="CE5" s="8" t="inlineStr">
        <is>
          <t>mit.txo.oop.all</t>
        </is>
      </c>
      <c r="CF5" s="8" t="inlineStr">
        <is>
          <t>mit.rp.oop.all</t>
        </is>
      </c>
      <c r="CG5" s="8" t="inlineStr">
        <is>
          <t>mit.vatrate.oop.all</t>
        </is>
      </c>
      <c r="CH5" s="8" t="inlineStr">
        <is>
          <t>mit.ps.oop.all</t>
        </is>
      </c>
      <c r="CI5" s="8" t="inlineStr">
        <is>
          <t>mit.sub.or.ecy.res</t>
        </is>
      </c>
      <c r="CJ5" s="8" t="inlineStr">
        <is>
          <t>mit.sub.or.ecy.ind</t>
        </is>
      </c>
      <c r="CK5" s="8" t="inlineStr">
        <is>
          <t>mit.pros.bio.all</t>
        </is>
      </c>
      <c r="CL5" s="8" t="inlineStr">
        <is>
          <t>mit.pros.coa.all</t>
        </is>
      </c>
      <c r="CM5" s="8" t="inlineStr">
        <is>
          <t>mit.pros.ecy.all</t>
        </is>
      </c>
      <c r="CN5" s="8" t="inlineStr">
        <is>
          <t>mit.pros.nga.all</t>
        </is>
      </c>
      <c r="CO5" s="8" t="inlineStr">
        <is>
          <t>mit.pros.oil.all</t>
        </is>
      </c>
      <c r="CP5" s="8" t="inlineStr">
        <is>
          <t>mit.coa.prod</t>
        </is>
      </c>
      <c r="CQ5" s="8" t="inlineStr">
        <is>
          <t>mit.coa.prod.cost</t>
        </is>
      </c>
      <c r="CR5" s="8" t="inlineStr">
        <is>
          <t>mit.nga.prod</t>
        </is>
      </c>
      <c r="CS5" s="8" t="inlineStr">
        <is>
          <t>mit.nga.prod.cost</t>
        </is>
      </c>
      <c r="CT5" s="8" t="inlineStr">
        <is>
          <t>mit.spot.coa</t>
        </is>
      </c>
      <c r="CU5" s="8" t="inlineStr">
        <is>
          <t>mit.spot.nga</t>
        </is>
      </c>
    </row>
    <row r="6">
      <c r="A6" s="5" t="inlineStr">
        <is>
          <t>AFG2021</t>
        </is>
      </c>
      <c r="B6" s="5" t="inlineStr">
        <is>
          <t>AFG</t>
        </is>
      </c>
      <c r="C6" s="5" t="inlineStr">
        <is>
          <t>AFG</t>
        </is>
      </c>
      <c r="D6" s="5" t="inlineStr">
        <is>
          <t>Afghanistan</t>
        </is>
      </c>
      <c r="E6" s="5" t="n">
        <v>2021</v>
      </c>
      <c r="F6" s="5" t="n">
        <v>0.1</v>
      </c>
      <c r="G6" s="5" t="n">
        <v>4.747</v>
      </c>
      <c r="H6" s="5" t="n">
        <v>1.143</v>
      </c>
      <c r="I6" s="5" t="n">
        <v>0</v>
      </c>
      <c r="J6" s="5" t="n">
        <v>4.747</v>
      </c>
      <c r="K6" s="5" t="n">
        <v>0</v>
      </c>
      <c r="L6" s="5" t="n">
        <v>1</v>
      </c>
      <c r="M6" s="5" t="n">
        <v>7.964</v>
      </c>
      <c r="N6" s="5" t="n">
        <v>3.43</v>
      </c>
      <c r="O6" s="5" t="n">
        <v>0</v>
      </c>
      <c r="P6" s="5" t="n">
        <v>7.964</v>
      </c>
      <c r="Q6" s="5" t="n">
        <v>0</v>
      </c>
      <c r="R6" s="5" t="n">
        <v>1</v>
      </c>
      <c r="S6" s="5" t="n">
        <v>10.464</v>
      </c>
      <c r="T6" s="5" t="n">
        <v>6.86</v>
      </c>
      <c r="U6" s="5" t="n">
        <v>8.237</v>
      </c>
      <c r="V6" s="5" t="n">
        <v>20.572</v>
      </c>
      <c r="W6" s="5" t="n">
        <v>0.1</v>
      </c>
      <c r="X6" s="5" t="n">
        <v>1</v>
      </c>
      <c r="Y6" s="5" t="n">
        <v>4.427</v>
      </c>
      <c r="Z6" s="5" t="n">
        <v>0.517</v>
      </c>
      <c r="AA6" s="5" t="n">
        <v>0</v>
      </c>
      <c r="AB6" s="5" t="n">
        <v>4.427</v>
      </c>
      <c r="AC6" s="5" t="n">
        <v>0</v>
      </c>
      <c r="AD6" s="5" t="n">
        <v>1</v>
      </c>
      <c r="AE6" s="5" t="n">
        <v>5.57</v>
      </c>
      <c r="AF6" s="5" t="n">
        <v>1.152</v>
      </c>
      <c r="AG6" s="5" t="n">
        <v>0</v>
      </c>
      <c r="AH6" s="5" t="n">
        <v>5.57</v>
      </c>
      <c r="AI6" s="5" t="n">
        <v>0</v>
      </c>
      <c r="AJ6" s="5" t="n">
        <v>1</v>
      </c>
      <c r="AK6" s="5" t="n">
        <v>12.43</v>
      </c>
      <c r="AL6" s="5" t="n">
        <v>6.195</v>
      </c>
      <c r="AM6" s="5" t="n">
        <v>0</v>
      </c>
      <c r="AN6" s="5" t="n">
        <v>13.673</v>
      </c>
      <c r="AO6" s="5" t="n">
        <v>0.1</v>
      </c>
      <c r="AP6" s="5" t="n">
        <v>1</v>
      </c>
      <c r="AQ6" s="5" t="n">
        <v>0.621</v>
      </c>
      <c r="AR6" s="5" t="n">
        <v>0.114</v>
      </c>
      <c r="AS6" s="5" t="n">
        <v>-0.045</v>
      </c>
      <c r="AT6" s="5" t="n">
        <v>0.633</v>
      </c>
      <c r="AU6" s="5" t="n">
        <v>0.1</v>
      </c>
      <c r="AV6" s="5" t="n">
        <v>1</v>
      </c>
      <c r="AW6" s="5" t="n">
        <v>0.593</v>
      </c>
      <c r="AX6" s="5" t="n">
        <v>0.114</v>
      </c>
      <c r="AY6" s="5" t="n">
        <v>-0.034</v>
      </c>
      <c r="AZ6" s="5" t="n">
        <v>0.615</v>
      </c>
      <c r="BA6" s="5" t="n">
        <v>0.1</v>
      </c>
      <c r="BB6" s="5" t="n">
        <v>1</v>
      </c>
      <c r="BC6" s="5" t="n">
        <v>0.44</v>
      </c>
      <c r="BD6" s="5" t="n">
        <v>0.114</v>
      </c>
      <c r="BE6" s="5" t="n">
        <v>-0.068</v>
      </c>
      <c r="BF6" s="5" t="n">
        <v>0.409</v>
      </c>
      <c r="BG6" s="5" t="n">
        <v>0</v>
      </c>
      <c r="BH6" s="5" t="n">
        <v>0</v>
      </c>
      <c r="BI6" s="5" t="n">
        <v>0.5600000000000001</v>
      </c>
      <c r="BJ6" s="5" t="n">
        <v>0.114</v>
      </c>
      <c r="BK6" s="5" t="n">
        <v>0</v>
      </c>
      <c r="BL6" s="5" t="n">
        <v>0.616</v>
      </c>
      <c r="BM6" s="5" t="n">
        <v>0.1</v>
      </c>
      <c r="BN6" s="5" t="n">
        <v>1</v>
      </c>
      <c r="BO6" s="5" t="n">
        <v>0</v>
      </c>
      <c r="BP6" s="5" t="n">
        <v>0</v>
      </c>
      <c r="BQ6" s="5" t="n">
        <v>0.025</v>
      </c>
      <c r="BR6" s="5" t="n">
        <v>0</v>
      </c>
      <c r="BS6" s="5" t="n">
        <v>1</v>
      </c>
      <c r="BT6" s="5" t="n">
        <v>0</v>
      </c>
      <c r="BU6" s="5" t="n">
        <v>0</v>
      </c>
      <c r="BV6" s="5" t="n">
        <v>0.051</v>
      </c>
      <c r="BW6" s="5" t="n">
        <v>0</v>
      </c>
      <c r="BX6" s="5" t="n">
        <v>0.833</v>
      </c>
      <c r="BY6" s="5" t="n">
        <v>11.787</v>
      </c>
      <c r="BZ6" s="5" t="n">
        <v>0</v>
      </c>
      <c r="CA6" s="5" t="n">
        <v>11.787</v>
      </c>
      <c r="CB6" s="5" t="n">
        <v>0</v>
      </c>
      <c r="CC6" s="5" t="n">
        <v>81.69499999999999</v>
      </c>
      <c r="CD6" s="5" t="n">
        <v>7.95</v>
      </c>
      <c r="CE6" s="5" t="n">
        <v>0</v>
      </c>
      <c r="CF6" s="5" t="n">
        <v>89.86499999999999</v>
      </c>
      <c r="CG6" s="5" t="n">
        <v>0.1</v>
      </c>
      <c r="CH6" s="5" t="n">
        <v>1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1.198</v>
      </c>
      <c r="CR6" s="5" t="n">
        <v>0</v>
      </c>
      <c r="CS6" s="5" t="n">
        <v>8.686999999999999</v>
      </c>
      <c r="CT6" s="5" t="n">
        <v>3.604</v>
      </c>
      <c r="CU6" s="5" t="n">
        <v>16.843</v>
      </c>
    </row>
    <row r="7">
      <c r="A7" s="5" t="inlineStr">
        <is>
          <t>AFG2022</t>
        </is>
      </c>
      <c r="B7" s="5" t="inlineStr">
        <is>
          <t>AFG</t>
        </is>
      </c>
      <c r="C7" s="5" t="inlineStr">
        <is>
          <t>AFG</t>
        </is>
      </c>
      <c r="D7" s="5" t="inlineStr">
        <is>
          <t>Afghanistan</t>
        </is>
      </c>
      <c r="E7" s="5" t="n">
        <v>2022</v>
      </c>
      <c r="F7" s="5" t="n">
        <v>0.1</v>
      </c>
      <c r="G7" s="5" t="n">
        <v>8.788</v>
      </c>
      <c r="H7" s="5" t="n">
        <v>1.235</v>
      </c>
      <c r="I7" s="5" t="n">
        <v>0</v>
      </c>
      <c r="J7" s="5" t="n">
        <v>8.788</v>
      </c>
      <c r="K7" s="5" t="n">
        <v>0</v>
      </c>
      <c r="L7" s="5" t="n">
        <v>1</v>
      </c>
      <c r="M7" s="5" t="n">
        <v>9.782999999999999</v>
      </c>
      <c r="N7" s="5" t="n">
        <v>3.704</v>
      </c>
      <c r="O7" s="5" t="n">
        <v>0</v>
      </c>
      <c r="P7" s="5" t="n">
        <v>9.782999999999999</v>
      </c>
      <c r="Q7" s="5" t="n">
        <v>0</v>
      </c>
      <c r="R7" s="5" t="n">
        <v>1</v>
      </c>
      <c r="S7" s="5" t="n">
        <v>14.962</v>
      </c>
      <c r="T7" s="5" t="n">
        <v>7.408</v>
      </c>
      <c r="U7" s="5" t="n">
        <v>9.071999999999999</v>
      </c>
      <c r="V7" s="5" t="n">
        <v>26.243</v>
      </c>
      <c r="W7" s="5" t="n">
        <v>0.1</v>
      </c>
      <c r="X7" s="5" t="n">
        <v>1</v>
      </c>
      <c r="Y7" s="5" t="n">
        <v>4.781</v>
      </c>
      <c r="Z7" s="5" t="n">
        <v>0.5580000000000001</v>
      </c>
      <c r="AA7" s="5" t="n">
        <v>0</v>
      </c>
      <c r="AB7" s="5" t="n">
        <v>4.781</v>
      </c>
      <c r="AC7" s="5" t="n">
        <v>0</v>
      </c>
      <c r="AD7" s="5" t="n">
        <v>1</v>
      </c>
      <c r="AE7" s="5" t="n">
        <v>6.015</v>
      </c>
      <c r="AF7" s="5" t="n">
        <v>1.244</v>
      </c>
      <c r="AG7" s="5" t="n">
        <v>0</v>
      </c>
      <c r="AH7" s="5" t="n">
        <v>6.015</v>
      </c>
      <c r="AI7" s="5" t="n">
        <v>0</v>
      </c>
      <c r="AJ7" s="5" t="n">
        <v>1</v>
      </c>
      <c r="AK7" s="5" t="n">
        <v>13.424</v>
      </c>
      <c r="AL7" s="5" t="n">
        <v>6.69</v>
      </c>
      <c r="AM7" s="5" t="n">
        <v>0.099</v>
      </c>
      <c r="AN7" s="5" t="n">
        <v>14.766</v>
      </c>
      <c r="AO7" s="5" t="n">
        <v>0.1</v>
      </c>
      <c r="AP7" s="5" t="n">
        <v>1</v>
      </c>
      <c r="AQ7" s="5" t="n">
        <v>0.847</v>
      </c>
      <c r="AR7" s="5" t="n">
        <v>0.123</v>
      </c>
      <c r="AS7" s="5" t="n">
        <v>-0.04</v>
      </c>
      <c r="AT7" s="5" t="n">
        <v>0.887</v>
      </c>
      <c r="AU7" s="5" t="n">
        <v>0.1</v>
      </c>
      <c r="AV7" s="5" t="n">
        <v>1</v>
      </c>
      <c r="AW7" s="5" t="n">
        <v>0.947</v>
      </c>
      <c r="AX7" s="5" t="n">
        <v>0.123</v>
      </c>
      <c r="AY7" s="5" t="n">
        <v>-0.017</v>
      </c>
      <c r="AZ7" s="5" t="n">
        <v>1.022</v>
      </c>
      <c r="BA7" s="5" t="n">
        <v>0.1</v>
      </c>
      <c r="BB7" s="5" t="n">
        <v>1</v>
      </c>
      <c r="BC7" s="5" t="n">
        <v>0.589</v>
      </c>
      <c r="BD7" s="5" t="n">
        <v>0.123</v>
      </c>
      <c r="BE7" s="5" t="n">
        <v>-0.185</v>
      </c>
      <c r="BF7" s="5" t="n">
        <v>0.444</v>
      </c>
      <c r="BG7" s="5" t="n">
        <v>0</v>
      </c>
      <c r="BH7" s="5" t="n">
        <v>0</v>
      </c>
      <c r="BI7" s="5" t="n">
        <v>0.6889999999999999</v>
      </c>
      <c r="BJ7" s="5" t="n">
        <v>0.123</v>
      </c>
      <c r="BK7" s="5" t="n">
        <v>0.005</v>
      </c>
      <c r="BL7" s="5" t="n">
        <v>0.758</v>
      </c>
      <c r="BM7" s="5" t="n">
        <v>0.1</v>
      </c>
      <c r="BN7" s="5" t="n">
        <v>1</v>
      </c>
      <c r="BO7" s="5" t="n">
        <v>0</v>
      </c>
      <c r="BP7" s="5" t="n">
        <v>0</v>
      </c>
      <c r="BQ7" s="5" t="n">
        <v>0.027</v>
      </c>
      <c r="BR7" s="5" t="n">
        <v>0</v>
      </c>
      <c r="BS7" s="5" t="n">
        <v>1</v>
      </c>
      <c r="BT7" s="5" t="n">
        <v>0</v>
      </c>
      <c r="BU7" s="5" t="n">
        <v>0</v>
      </c>
      <c r="BV7" s="5" t="n">
        <v>0.055</v>
      </c>
      <c r="BW7" s="5" t="n">
        <v>0</v>
      </c>
      <c r="BX7" s="5" t="n">
        <v>0.833</v>
      </c>
      <c r="BY7" s="5" t="n">
        <v>12.729</v>
      </c>
      <c r="BZ7" s="5" t="n">
        <v>0</v>
      </c>
      <c r="CA7" s="5" t="n">
        <v>12.729</v>
      </c>
      <c r="CB7" s="5" t="n">
        <v>0</v>
      </c>
      <c r="CC7" s="5" t="n">
        <v>102.477</v>
      </c>
      <c r="CD7" s="5" t="n">
        <v>7.95</v>
      </c>
      <c r="CE7" s="5" t="n">
        <v>0.758</v>
      </c>
      <c r="CF7" s="5" t="n">
        <v>112.724</v>
      </c>
      <c r="CG7" s="5" t="n">
        <v>0.1</v>
      </c>
      <c r="CH7" s="5" t="n">
        <v>1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1.294</v>
      </c>
      <c r="CR7" s="5" t="n">
        <v>0</v>
      </c>
      <c r="CS7" s="5" t="n">
        <v>9.381</v>
      </c>
      <c r="CT7" s="5" t="n">
        <v>7.554</v>
      </c>
      <c r="CU7" s="5" t="n">
        <v>30.149</v>
      </c>
    </row>
    <row r="8">
      <c r="A8" s="5" t="inlineStr">
        <is>
          <t>AFG2023</t>
        </is>
      </c>
      <c r="B8" s="5" t="inlineStr">
        <is>
          <t>AFG</t>
        </is>
      </c>
      <c r="C8" s="5" t="inlineStr">
        <is>
          <t>AFG</t>
        </is>
      </c>
      <c r="D8" s="5" t="inlineStr">
        <is>
          <t>Afghanistan</t>
        </is>
      </c>
      <c r="E8" s="5" t="n">
        <v>2023</v>
      </c>
      <c r="F8" s="5" t="n">
        <v>0.1</v>
      </c>
      <c r="G8" s="5" t="n">
        <v>5.77</v>
      </c>
      <c r="H8" s="5" t="n">
        <v>1.286</v>
      </c>
      <c r="I8" s="5" t="n">
        <v>0</v>
      </c>
      <c r="J8" s="5" t="n">
        <v>5.77</v>
      </c>
      <c r="K8" s="5" t="n">
        <v>0</v>
      </c>
      <c r="L8" s="5" t="n">
        <v>1</v>
      </c>
      <c r="M8" s="5" t="n">
        <v>7.886</v>
      </c>
      <c r="N8" s="5" t="n">
        <v>3.857</v>
      </c>
      <c r="O8" s="5" t="n">
        <v>0</v>
      </c>
      <c r="P8" s="5" t="n">
        <v>7.886</v>
      </c>
      <c r="Q8" s="5" t="n">
        <v>0</v>
      </c>
      <c r="R8" s="5" t="n">
        <v>1</v>
      </c>
      <c r="S8" s="5" t="n">
        <v>12.198</v>
      </c>
      <c r="T8" s="5" t="n">
        <v>7.714</v>
      </c>
      <c r="U8" s="5" t="n">
        <v>9.500999999999999</v>
      </c>
      <c r="V8" s="5" t="n">
        <v>23.608</v>
      </c>
      <c r="W8" s="5" t="n">
        <v>0.1</v>
      </c>
      <c r="X8" s="5" t="n">
        <v>1</v>
      </c>
      <c r="Y8" s="5" t="n">
        <v>4.978</v>
      </c>
      <c r="Z8" s="5" t="n">
        <v>0.581</v>
      </c>
      <c r="AA8" s="5" t="n">
        <v>0</v>
      </c>
      <c r="AB8" s="5" t="n">
        <v>4.978</v>
      </c>
      <c r="AC8" s="5" t="n">
        <v>0</v>
      </c>
      <c r="AD8" s="5" t="n">
        <v>1</v>
      </c>
      <c r="AE8" s="5" t="n">
        <v>6.264</v>
      </c>
      <c r="AF8" s="5" t="n">
        <v>1.295</v>
      </c>
      <c r="AG8" s="5" t="n">
        <v>0</v>
      </c>
      <c r="AH8" s="5" t="n">
        <v>6.264</v>
      </c>
      <c r="AI8" s="5" t="n">
        <v>0</v>
      </c>
      <c r="AJ8" s="5" t="n">
        <v>1</v>
      </c>
      <c r="AK8" s="5" t="n">
        <v>13.978</v>
      </c>
      <c r="AL8" s="5" t="n">
        <v>6.966</v>
      </c>
      <c r="AM8" s="5" t="n">
        <v>0.155</v>
      </c>
      <c r="AN8" s="5" t="n">
        <v>15.375</v>
      </c>
      <c r="AO8" s="5" t="n">
        <v>0.1</v>
      </c>
      <c r="AP8" s="5" t="n">
        <v>1</v>
      </c>
      <c r="AQ8" s="5" t="n">
        <v>0.749</v>
      </c>
      <c r="AR8" s="5" t="n">
        <v>0.129</v>
      </c>
      <c r="AS8" s="5" t="n">
        <v>0.065</v>
      </c>
      <c r="AT8" s="5" t="n">
        <v>0.895</v>
      </c>
      <c r="AU8" s="5" t="n">
        <v>0.1</v>
      </c>
      <c r="AV8" s="5" t="n">
        <v>1</v>
      </c>
      <c r="AW8" s="5" t="n">
        <v>0.783</v>
      </c>
      <c r="AX8" s="5" t="n">
        <v>0.129</v>
      </c>
      <c r="AY8" s="5" t="n">
        <v>0.041</v>
      </c>
      <c r="AZ8" s="5" t="n">
        <v>0.905</v>
      </c>
      <c r="BA8" s="5" t="n">
        <v>0.1</v>
      </c>
      <c r="BB8" s="5" t="n">
        <v>1</v>
      </c>
      <c r="BC8" s="5" t="n">
        <v>0.527</v>
      </c>
      <c r="BD8" s="5" t="n">
        <v>0.129</v>
      </c>
      <c r="BE8" s="5" t="n">
        <v>-0.143</v>
      </c>
      <c r="BF8" s="5" t="n">
        <v>0.423</v>
      </c>
      <c r="BG8" s="5" t="n">
        <v>0</v>
      </c>
      <c r="BH8" s="5" t="n">
        <v>0</v>
      </c>
      <c r="BI8" s="5" t="n">
        <v>0.64</v>
      </c>
      <c r="BJ8" s="5" t="n">
        <v>0.129</v>
      </c>
      <c r="BK8" s="5" t="n">
        <v>0.007</v>
      </c>
      <c r="BL8" s="5" t="n">
        <v>0.704</v>
      </c>
      <c r="BM8" s="5" t="n">
        <v>0.1</v>
      </c>
      <c r="BN8" s="5" t="n">
        <v>1</v>
      </c>
      <c r="BO8" s="5" t="n">
        <v>0</v>
      </c>
      <c r="BP8" s="5" t="n">
        <v>0</v>
      </c>
      <c r="BQ8" s="5" t="n">
        <v>0.028</v>
      </c>
      <c r="BR8" s="5" t="n">
        <v>0</v>
      </c>
      <c r="BS8" s="5" t="n">
        <v>1</v>
      </c>
      <c r="BT8" s="5" t="n">
        <v>0</v>
      </c>
      <c r="BU8" s="5" t="n">
        <v>0</v>
      </c>
      <c r="BV8" s="5" t="n">
        <v>0.057</v>
      </c>
      <c r="BW8" s="5" t="n">
        <v>0</v>
      </c>
      <c r="BX8" s="5" t="n">
        <v>0.833</v>
      </c>
      <c r="BY8" s="5" t="n">
        <v>13.254</v>
      </c>
      <c r="BZ8" s="5" t="n">
        <v>0</v>
      </c>
      <c r="CA8" s="5" t="n">
        <v>13.254</v>
      </c>
      <c r="CB8" s="5" t="n">
        <v>0</v>
      </c>
      <c r="CC8" s="5" t="n">
        <v>87.07899999999999</v>
      </c>
      <c r="CD8" s="5" t="n">
        <v>7.95</v>
      </c>
      <c r="CE8" s="5" t="n">
        <v>0.964</v>
      </c>
      <c r="CF8" s="5" t="n">
        <v>95.78700000000001</v>
      </c>
      <c r="CG8" s="5" t="n">
        <v>0.1</v>
      </c>
      <c r="CH8" s="5" t="n">
        <v>1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0</v>
      </c>
      <c r="CN8" s="5" t="n">
        <v>0</v>
      </c>
      <c r="CO8" s="5" t="n">
        <v>0</v>
      </c>
      <c r="CP8" s="5" t="n">
        <v>0</v>
      </c>
      <c r="CQ8" s="5" t="n">
        <v>1.348</v>
      </c>
      <c r="CR8" s="5" t="n">
        <v>0</v>
      </c>
      <c r="CS8" s="5" t="n">
        <v>9.769</v>
      </c>
      <c r="CT8" s="5" t="n">
        <v>4.484</v>
      </c>
      <c r="CU8" s="5" t="n">
        <v>12.392</v>
      </c>
    </row>
    <row r="9">
      <c r="A9" s="5" t="inlineStr">
        <is>
          <t>AFG2024</t>
        </is>
      </c>
      <c r="B9" s="5" t="inlineStr">
        <is>
          <t>AFG</t>
        </is>
      </c>
      <c r="C9" s="5" t="inlineStr">
        <is>
          <t>AFG</t>
        </is>
      </c>
      <c r="D9" s="5" t="inlineStr">
        <is>
          <t>Afghanistan</t>
        </is>
      </c>
      <c r="E9" s="5" t="n">
        <v>2024</v>
      </c>
      <c r="F9" s="5" t="n">
        <v>0.1</v>
      </c>
      <c r="G9" s="5" t="n">
        <v>4.833</v>
      </c>
      <c r="H9" s="5" t="n">
        <v>1.324</v>
      </c>
      <c r="I9" s="5" t="n">
        <v>0</v>
      </c>
      <c r="J9" s="5" t="n">
        <v>4.833</v>
      </c>
      <c r="K9" s="5" t="n">
        <v>0</v>
      </c>
      <c r="L9" s="5" t="n">
        <v>1</v>
      </c>
      <c r="M9" s="5" t="n">
        <v>7.124</v>
      </c>
      <c r="N9" s="5" t="n">
        <v>3.971</v>
      </c>
      <c r="O9" s="5" t="n">
        <v>0</v>
      </c>
      <c r="P9" s="5" t="n">
        <v>7.124</v>
      </c>
      <c r="Q9" s="5" t="n">
        <v>0</v>
      </c>
      <c r="R9" s="5" t="n">
        <v>1</v>
      </c>
      <c r="S9" s="5" t="n">
        <v>11.451</v>
      </c>
      <c r="T9" s="5" t="n">
        <v>7.942</v>
      </c>
      <c r="U9" s="5" t="n">
        <v>9.821999999999999</v>
      </c>
      <c r="V9" s="5" t="n">
        <v>23.086</v>
      </c>
      <c r="W9" s="5" t="n">
        <v>0.1</v>
      </c>
      <c r="X9" s="5" t="n">
        <v>1</v>
      </c>
      <c r="Y9" s="5" t="n">
        <v>5.125</v>
      </c>
      <c r="Z9" s="5" t="n">
        <v>0.598</v>
      </c>
      <c r="AA9" s="5" t="n">
        <v>0</v>
      </c>
      <c r="AB9" s="5" t="n">
        <v>5.125</v>
      </c>
      <c r="AC9" s="5" t="n">
        <v>0</v>
      </c>
      <c r="AD9" s="5" t="n">
        <v>1</v>
      </c>
      <c r="AE9" s="5" t="n">
        <v>6.449</v>
      </c>
      <c r="AF9" s="5" t="n">
        <v>1.333</v>
      </c>
      <c r="AG9" s="5" t="n">
        <v>0</v>
      </c>
      <c r="AH9" s="5" t="n">
        <v>6.449</v>
      </c>
      <c r="AI9" s="5" t="n">
        <v>0</v>
      </c>
      <c r="AJ9" s="5" t="n">
        <v>1</v>
      </c>
      <c r="AK9" s="5" t="n">
        <v>14.39</v>
      </c>
      <c r="AL9" s="5" t="n">
        <v>7.172</v>
      </c>
      <c r="AM9" s="5" t="n">
        <v>0.196</v>
      </c>
      <c r="AN9" s="5" t="n">
        <v>15.829</v>
      </c>
      <c r="AO9" s="5" t="n">
        <v>0.1</v>
      </c>
      <c r="AP9" s="5" t="n">
        <v>1</v>
      </c>
      <c r="AQ9" s="5" t="n">
        <v>0.72</v>
      </c>
      <c r="AR9" s="5" t="n">
        <v>0.132</v>
      </c>
      <c r="AS9" s="5" t="n">
        <v>0.078</v>
      </c>
      <c r="AT9" s="5" t="n">
        <v>0.878</v>
      </c>
      <c r="AU9" s="5" t="n">
        <v>0.1</v>
      </c>
      <c r="AV9" s="5" t="n">
        <v>1</v>
      </c>
      <c r="AW9" s="5" t="n">
        <v>0.734</v>
      </c>
      <c r="AX9" s="5" t="n">
        <v>0.132</v>
      </c>
      <c r="AY9" s="5" t="n">
        <v>0.043</v>
      </c>
      <c r="AZ9" s="5" t="n">
        <v>0.855</v>
      </c>
      <c r="BA9" s="5" t="n">
        <v>0.1</v>
      </c>
      <c r="BB9" s="5" t="n">
        <v>1</v>
      </c>
      <c r="BC9" s="5" t="n">
        <v>0.51</v>
      </c>
      <c r="BD9" s="5" t="n">
        <v>0.132</v>
      </c>
      <c r="BE9" s="5" t="n">
        <v>-0.134</v>
      </c>
      <c r="BF9" s="5" t="n">
        <v>0.414</v>
      </c>
      <c r="BG9" s="5" t="n">
        <v>0</v>
      </c>
      <c r="BH9" s="5" t="n">
        <v>0</v>
      </c>
      <c r="BI9" s="5" t="n">
        <v>0.652</v>
      </c>
      <c r="BJ9" s="5" t="n">
        <v>0.132</v>
      </c>
      <c r="BK9" s="5" t="n">
        <v>0.008999999999999999</v>
      </c>
      <c r="BL9" s="5" t="n">
        <v>0.717</v>
      </c>
      <c r="BM9" s="5" t="n">
        <v>0.1</v>
      </c>
      <c r="BN9" s="5" t="n">
        <v>1</v>
      </c>
      <c r="BO9" s="5" t="n">
        <v>0</v>
      </c>
      <c r="BP9" s="5" t="n">
        <v>0</v>
      </c>
      <c r="BQ9" s="5" t="n">
        <v>0.029</v>
      </c>
      <c r="BR9" s="5" t="n">
        <v>0</v>
      </c>
      <c r="BS9" s="5" t="n">
        <v>1</v>
      </c>
      <c r="BT9" s="5" t="n">
        <v>0</v>
      </c>
      <c r="BU9" s="5" t="n">
        <v>0</v>
      </c>
      <c r="BV9" s="5" t="n">
        <v>0.059</v>
      </c>
      <c r="BW9" s="5" t="n">
        <v>0</v>
      </c>
      <c r="BX9" s="5" t="n">
        <v>0.833</v>
      </c>
      <c r="BY9" s="5" t="n">
        <v>13.646</v>
      </c>
      <c r="BZ9" s="5" t="n">
        <v>0</v>
      </c>
      <c r="CA9" s="5" t="n">
        <v>13.646</v>
      </c>
      <c r="CB9" s="5" t="n">
        <v>0</v>
      </c>
      <c r="CC9" s="5" t="n">
        <v>86.38500000000001</v>
      </c>
      <c r="CD9" s="5" t="n">
        <v>7.95</v>
      </c>
      <c r="CE9" s="5" t="n">
        <v>1.177</v>
      </c>
      <c r="CF9" s="5" t="n">
        <v>95.024</v>
      </c>
      <c r="CG9" s="5" t="n">
        <v>0.1</v>
      </c>
      <c r="CH9" s="5" t="n">
        <v>1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1.387</v>
      </c>
      <c r="CR9" s="5" t="n">
        <v>0</v>
      </c>
      <c r="CS9" s="5" t="n">
        <v>10.057</v>
      </c>
      <c r="CT9" s="5" t="n">
        <v>3.509</v>
      </c>
      <c r="CU9" s="5" t="n">
        <v>10.792</v>
      </c>
    </row>
    <row r="10">
      <c r="A10" s="5" t="inlineStr">
        <is>
          <t>ALB2021</t>
        </is>
      </c>
      <c r="B10" s="5" t="inlineStr">
        <is>
          <t>ALB</t>
        </is>
      </c>
      <c r="C10" s="5" t="inlineStr">
        <is>
          <t>ALB</t>
        </is>
      </c>
      <c r="D10" s="5" t="inlineStr">
        <is>
          <t>Albania</t>
        </is>
      </c>
      <c r="E10" s="5" t="n">
        <v>2021</v>
      </c>
      <c r="F10" s="5" t="n">
        <v>0.2</v>
      </c>
      <c r="G10" s="5" t="n">
        <v>3.369</v>
      </c>
      <c r="H10" s="5" t="n">
        <v>0.8129999999999999</v>
      </c>
      <c r="I10" s="5" t="n">
        <v>0.112</v>
      </c>
      <c r="J10" s="5" t="n">
        <v>3.481</v>
      </c>
      <c r="K10" s="5" t="n">
        <v>0</v>
      </c>
      <c r="L10" s="5" t="n">
        <v>1</v>
      </c>
      <c r="M10" s="5" t="n">
        <v>5.048</v>
      </c>
      <c r="N10" s="5" t="n">
        <v>2.44</v>
      </c>
      <c r="O10" s="5" t="n">
        <v>0</v>
      </c>
      <c r="P10" s="5" t="n">
        <v>5.048</v>
      </c>
      <c r="Q10" s="5" t="n">
        <v>0</v>
      </c>
      <c r="R10" s="5" t="n">
        <v>1</v>
      </c>
      <c r="S10" s="5" t="n">
        <v>7.435</v>
      </c>
      <c r="T10" s="5" t="n">
        <v>4.88</v>
      </c>
      <c r="U10" s="5" t="n">
        <v>0.112</v>
      </c>
      <c r="V10" s="5" t="n">
        <v>9.055999999999999</v>
      </c>
      <c r="W10" s="5" t="n">
        <v>0.2</v>
      </c>
      <c r="X10" s="5" t="n">
        <v>1</v>
      </c>
      <c r="Y10" s="5" t="n">
        <v>5.347</v>
      </c>
      <c r="Z10" s="5" t="n">
        <v>0.393</v>
      </c>
      <c r="AA10" s="5" t="n">
        <v>0</v>
      </c>
      <c r="AB10" s="5" t="n">
        <v>5.347</v>
      </c>
      <c r="AC10" s="5" t="n">
        <v>0</v>
      </c>
      <c r="AD10" s="5" t="n">
        <v>1</v>
      </c>
      <c r="AE10" s="5" t="n">
        <v>5.919</v>
      </c>
      <c r="AF10" s="5" t="n">
        <v>0.8</v>
      </c>
      <c r="AG10" s="5" t="n">
        <v>0</v>
      </c>
      <c r="AH10" s="5" t="n">
        <v>5.919</v>
      </c>
      <c r="AI10" s="5" t="n">
        <v>0</v>
      </c>
      <c r="AJ10" s="5" t="n">
        <v>1</v>
      </c>
      <c r="AK10" s="5" t="n">
        <v>9.349</v>
      </c>
      <c r="AL10" s="5" t="n">
        <v>3.473</v>
      </c>
      <c r="AM10" s="5" t="n">
        <v>0</v>
      </c>
      <c r="AN10" s="5" t="n">
        <v>11.219</v>
      </c>
      <c r="AO10" s="5" t="n">
        <v>0.2</v>
      </c>
      <c r="AP10" s="5" t="n">
        <v>1</v>
      </c>
      <c r="AQ10" s="5" t="n">
        <v>0.619</v>
      </c>
      <c r="AR10" s="5" t="n">
        <v>0.114</v>
      </c>
      <c r="AS10" s="5" t="n">
        <v>0.732</v>
      </c>
      <c r="AT10" s="5" t="n">
        <v>1.621</v>
      </c>
      <c r="AU10" s="5" t="n">
        <v>0.2</v>
      </c>
      <c r="AV10" s="5" t="n">
        <v>1</v>
      </c>
      <c r="AW10" s="5" t="n">
        <v>0.599</v>
      </c>
      <c r="AX10" s="5" t="n">
        <v>0.114</v>
      </c>
      <c r="AY10" s="5" t="n">
        <v>0.705</v>
      </c>
      <c r="AZ10" s="5" t="n">
        <v>1.565</v>
      </c>
      <c r="BA10" s="5" t="n">
        <v>0.2</v>
      </c>
      <c r="BB10" s="5" t="n">
        <v>1</v>
      </c>
      <c r="BC10" s="5" t="n">
        <v>0.439</v>
      </c>
      <c r="BD10" s="5" t="n">
        <v>0.114</v>
      </c>
      <c r="BE10" s="5" t="n">
        <v>0</v>
      </c>
      <c r="BF10" s="5" t="n">
        <v>0.527</v>
      </c>
      <c r="BG10" s="5" t="n">
        <v>0.2</v>
      </c>
      <c r="BH10" s="5" t="n">
        <v>1</v>
      </c>
      <c r="BI10" s="5" t="n">
        <v>0.505</v>
      </c>
      <c r="BJ10" s="5" t="n">
        <v>0.114</v>
      </c>
      <c r="BK10" s="5" t="n">
        <v>0</v>
      </c>
      <c r="BL10" s="5" t="n">
        <v>0.606</v>
      </c>
      <c r="BM10" s="5" t="n">
        <v>0.2</v>
      </c>
      <c r="BN10" s="5" t="n">
        <v>1</v>
      </c>
      <c r="BO10" s="5" t="n">
        <v>0</v>
      </c>
      <c r="BP10" s="5" t="n">
        <v>0</v>
      </c>
      <c r="BQ10" s="5" t="n">
        <v>0.124</v>
      </c>
      <c r="BR10" s="5" t="n">
        <v>0</v>
      </c>
      <c r="BS10" s="5" t="n">
        <v>0.667</v>
      </c>
      <c r="BT10" s="5" t="n">
        <v>0</v>
      </c>
      <c r="BU10" s="5" t="n">
        <v>0</v>
      </c>
      <c r="BV10" s="5" t="n">
        <v>0.11</v>
      </c>
      <c r="BW10" s="5" t="n">
        <v>0.2</v>
      </c>
      <c r="BX10" s="5" t="n">
        <v>0.5</v>
      </c>
      <c r="BY10" s="5" t="n">
        <v>11.787</v>
      </c>
      <c r="BZ10" s="5" t="n">
        <v>0</v>
      </c>
      <c r="CA10" s="5" t="n">
        <v>11.787</v>
      </c>
      <c r="CB10" s="5" t="n">
        <v>0</v>
      </c>
      <c r="CC10" s="5" t="n">
        <v>78.125</v>
      </c>
      <c r="CD10" s="5" t="n">
        <v>7.95</v>
      </c>
      <c r="CE10" s="5" t="n">
        <v>0</v>
      </c>
      <c r="CF10" s="5" t="n">
        <v>93.75</v>
      </c>
      <c r="CG10" s="5" t="n">
        <v>0.2</v>
      </c>
      <c r="CH10" s="5" t="n">
        <v>1</v>
      </c>
      <c r="CI10" s="5" t="n">
        <v>0</v>
      </c>
      <c r="CJ10" s="5" t="n">
        <v>0</v>
      </c>
      <c r="CK10" s="5" t="n">
        <v>0</v>
      </c>
      <c r="CL10" s="5" t="n">
        <v>0</v>
      </c>
      <c r="CM10" s="5" t="n">
        <v>0</v>
      </c>
      <c r="CN10" s="5" t="n">
        <v>0</v>
      </c>
      <c r="CO10" s="5" t="n">
        <v>0</v>
      </c>
      <c r="CP10" s="5" t="n">
        <v>0.577</v>
      </c>
      <c r="CQ10" s="5" t="n">
        <v>1.198</v>
      </c>
      <c r="CR10" s="5" t="n">
        <v>1</v>
      </c>
      <c r="CS10" s="5" t="n">
        <v>4.776</v>
      </c>
      <c r="CT10" s="5" t="n">
        <v>4.41</v>
      </c>
      <c r="CU10" s="5" t="n">
        <v>15.162</v>
      </c>
    </row>
    <row r="11">
      <c r="A11" s="5" t="inlineStr">
        <is>
          <t>ALB2022</t>
        </is>
      </c>
      <c r="B11" s="5" t="inlineStr">
        <is>
          <t>ALB</t>
        </is>
      </c>
      <c r="C11" s="5" t="inlineStr">
        <is>
          <t>ALB</t>
        </is>
      </c>
      <c r="D11" s="5" t="inlineStr">
        <is>
          <t>Albania</t>
        </is>
      </c>
      <c r="E11" s="5" t="n">
        <v>2022</v>
      </c>
      <c r="F11" s="5" t="n">
        <v>0.2</v>
      </c>
      <c r="G11" s="5" t="n">
        <v>3.776</v>
      </c>
      <c r="H11" s="5" t="n">
        <v>0.84</v>
      </c>
      <c r="I11" s="5" t="n">
        <v>0.127</v>
      </c>
      <c r="J11" s="5" t="n">
        <v>3.903</v>
      </c>
      <c r="K11" s="5" t="n">
        <v>0</v>
      </c>
      <c r="L11" s="5" t="n">
        <v>1</v>
      </c>
      <c r="M11" s="5" t="n">
        <v>5.542</v>
      </c>
      <c r="N11" s="5" t="n">
        <v>2.521</v>
      </c>
      <c r="O11" s="5" t="n">
        <v>0</v>
      </c>
      <c r="P11" s="5" t="n">
        <v>5.542</v>
      </c>
      <c r="Q11" s="5" t="n">
        <v>0</v>
      </c>
      <c r="R11" s="5" t="n">
        <v>1</v>
      </c>
      <c r="S11" s="5" t="n">
        <v>7.977</v>
      </c>
      <c r="T11" s="5" t="n">
        <v>5.041</v>
      </c>
      <c r="U11" s="5" t="n">
        <v>0.247</v>
      </c>
      <c r="V11" s="5" t="n">
        <v>9.725</v>
      </c>
      <c r="W11" s="5" t="n">
        <v>0.2</v>
      </c>
      <c r="X11" s="5" t="n">
        <v>1</v>
      </c>
      <c r="Y11" s="5" t="n">
        <v>5.775</v>
      </c>
      <c r="Z11" s="5" t="n">
        <v>0.425</v>
      </c>
      <c r="AA11" s="5" t="n">
        <v>0</v>
      </c>
      <c r="AB11" s="5" t="n">
        <v>5.775</v>
      </c>
      <c r="AC11" s="5" t="n">
        <v>0</v>
      </c>
      <c r="AD11" s="5" t="n">
        <v>1</v>
      </c>
      <c r="AE11" s="5" t="n">
        <v>6.392</v>
      </c>
      <c r="AF11" s="5" t="n">
        <v>0.864</v>
      </c>
      <c r="AG11" s="5" t="n">
        <v>0</v>
      </c>
      <c r="AH11" s="5" t="n">
        <v>6.392</v>
      </c>
      <c r="AI11" s="5" t="n">
        <v>0</v>
      </c>
      <c r="AJ11" s="5" t="n">
        <v>1</v>
      </c>
      <c r="AK11" s="5" t="n">
        <v>10.096</v>
      </c>
      <c r="AL11" s="5" t="n">
        <v>3.751</v>
      </c>
      <c r="AM11" s="5" t="n">
        <v>0.149</v>
      </c>
      <c r="AN11" s="5" t="n">
        <v>12.116</v>
      </c>
      <c r="AO11" s="5" t="n">
        <v>0.2</v>
      </c>
      <c r="AP11" s="5" t="n">
        <v>1</v>
      </c>
      <c r="AQ11" s="5" t="n">
        <v>0.861</v>
      </c>
      <c r="AR11" s="5" t="n">
        <v>0.123</v>
      </c>
      <c r="AS11" s="5" t="n">
        <v>0.676</v>
      </c>
      <c r="AT11" s="5" t="n">
        <v>1.845</v>
      </c>
      <c r="AU11" s="5" t="n">
        <v>0.2</v>
      </c>
      <c r="AV11" s="5" t="n">
        <v>1</v>
      </c>
      <c r="AW11" s="5" t="n">
        <v>0.986</v>
      </c>
      <c r="AX11" s="5" t="n">
        <v>0.123</v>
      </c>
      <c r="AY11" s="5" t="n">
        <v>0.619</v>
      </c>
      <c r="AZ11" s="5" t="n">
        <v>1.926</v>
      </c>
      <c r="BA11" s="5" t="n">
        <v>0.2</v>
      </c>
      <c r="BB11" s="5" t="n">
        <v>1</v>
      </c>
      <c r="BC11" s="5" t="n">
        <v>0.598</v>
      </c>
      <c r="BD11" s="5" t="n">
        <v>0.123</v>
      </c>
      <c r="BE11" s="5" t="n">
        <v>0.008999999999999999</v>
      </c>
      <c r="BF11" s="5" t="n">
        <v>0.717</v>
      </c>
      <c r="BG11" s="5" t="n">
        <v>0.2</v>
      </c>
      <c r="BH11" s="5" t="n">
        <v>1</v>
      </c>
      <c r="BI11" s="5" t="n">
        <v>0.612</v>
      </c>
      <c r="BJ11" s="5" t="n">
        <v>0.123</v>
      </c>
      <c r="BK11" s="5" t="n">
        <v>0.008999999999999999</v>
      </c>
      <c r="BL11" s="5" t="n">
        <v>0.735</v>
      </c>
      <c r="BM11" s="5" t="n">
        <v>0.2</v>
      </c>
      <c r="BN11" s="5" t="n">
        <v>1</v>
      </c>
      <c r="BO11" s="5" t="n">
        <v>0</v>
      </c>
      <c r="BP11" s="5" t="n">
        <v>0</v>
      </c>
      <c r="BQ11" s="5" t="n">
        <v>0.113</v>
      </c>
      <c r="BR11" s="5" t="n">
        <v>0</v>
      </c>
      <c r="BS11" s="5" t="n">
        <v>0.667</v>
      </c>
      <c r="BT11" s="5" t="n">
        <v>0</v>
      </c>
      <c r="BU11" s="5" t="n">
        <v>0</v>
      </c>
      <c r="BV11" s="5" t="n">
        <v>0.101</v>
      </c>
      <c r="BW11" s="5" t="n">
        <v>0.2</v>
      </c>
      <c r="BX11" s="5" t="n">
        <v>0.5</v>
      </c>
      <c r="BY11" s="5" t="n">
        <v>12.729</v>
      </c>
      <c r="BZ11" s="5" t="n">
        <v>0</v>
      </c>
      <c r="CA11" s="5" t="n">
        <v>12.729</v>
      </c>
      <c r="CB11" s="5" t="n">
        <v>0</v>
      </c>
      <c r="CC11" s="5" t="n">
        <v>97.90000000000001</v>
      </c>
      <c r="CD11" s="5" t="n">
        <v>7.95</v>
      </c>
      <c r="CE11" s="5" t="n">
        <v>1.449</v>
      </c>
      <c r="CF11" s="5" t="n">
        <v>117.48</v>
      </c>
      <c r="CG11" s="5" t="n">
        <v>0.2</v>
      </c>
      <c r="CH11" s="5" t="n">
        <v>1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0.639</v>
      </c>
      <c r="CQ11" s="5" t="n">
        <v>1.294</v>
      </c>
      <c r="CR11" s="5" t="n">
        <v>1</v>
      </c>
      <c r="CS11" s="5" t="n">
        <v>5.158</v>
      </c>
      <c r="CT11" s="5" t="n">
        <v>5.842</v>
      </c>
      <c r="CU11" s="5" t="n">
        <v>31.326</v>
      </c>
    </row>
    <row r="12">
      <c r="A12" s="5" t="inlineStr">
        <is>
          <t>ALB2023</t>
        </is>
      </c>
      <c r="B12" s="5" t="inlineStr">
        <is>
          <t>ALB</t>
        </is>
      </c>
      <c r="C12" s="5" t="inlineStr">
        <is>
          <t>ALB</t>
        </is>
      </c>
      <c r="D12" s="5" t="inlineStr">
        <is>
          <t>Albania</t>
        </is>
      </c>
      <c r="E12" s="5" t="n">
        <v>2023</v>
      </c>
      <c r="F12" s="5" t="n">
        <v>0.2</v>
      </c>
      <c r="G12" s="5" t="n">
        <v>3.433</v>
      </c>
      <c r="H12" s="5" t="n">
        <v>0.979</v>
      </c>
      <c r="I12" s="5" t="n">
        <v>1.436</v>
      </c>
      <c r="J12" s="5" t="n">
        <v>4.869</v>
      </c>
      <c r="K12" s="5" t="n">
        <v>0</v>
      </c>
      <c r="L12" s="5" t="n">
        <v>1</v>
      </c>
      <c r="M12" s="5" t="n">
        <v>5.685</v>
      </c>
      <c r="N12" s="5" t="n">
        <v>2.936</v>
      </c>
      <c r="O12" s="5" t="n">
        <v>0</v>
      </c>
      <c r="P12" s="5" t="n">
        <v>5.685</v>
      </c>
      <c r="Q12" s="5" t="n">
        <v>0</v>
      </c>
      <c r="R12" s="5" t="n">
        <v>1</v>
      </c>
      <c r="S12" s="5" t="n">
        <v>8.327</v>
      </c>
      <c r="T12" s="5" t="n">
        <v>5.872</v>
      </c>
      <c r="U12" s="5" t="n">
        <v>1.651</v>
      </c>
      <c r="V12" s="5" t="n">
        <v>11.714</v>
      </c>
      <c r="W12" s="5" t="n">
        <v>0.2</v>
      </c>
      <c r="X12" s="5" t="n">
        <v>1</v>
      </c>
      <c r="Y12" s="5" t="n">
        <v>6.013</v>
      </c>
      <c r="Z12" s="5" t="n">
        <v>0.442</v>
      </c>
      <c r="AA12" s="5" t="n">
        <v>0.762</v>
      </c>
      <c r="AB12" s="5" t="n">
        <v>6.775</v>
      </c>
      <c r="AC12" s="5" t="n">
        <v>0</v>
      </c>
      <c r="AD12" s="5" t="n">
        <v>1</v>
      </c>
      <c r="AE12" s="5" t="n">
        <v>6.656</v>
      </c>
      <c r="AF12" s="5" t="n">
        <v>0.9</v>
      </c>
      <c r="AG12" s="5" t="n">
        <v>0</v>
      </c>
      <c r="AH12" s="5" t="n">
        <v>6.656</v>
      </c>
      <c r="AI12" s="5" t="n">
        <v>0</v>
      </c>
      <c r="AJ12" s="5" t="n">
        <v>1</v>
      </c>
      <c r="AK12" s="5" t="n">
        <v>10.513</v>
      </c>
      <c r="AL12" s="5" t="n">
        <v>3.906</v>
      </c>
      <c r="AM12" s="5" t="n">
        <v>1.012</v>
      </c>
      <c r="AN12" s="5" t="n">
        <v>13.53</v>
      </c>
      <c r="AO12" s="5" t="n">
        <v>0.2</v>
      </c>
      <c r="AP12" s="5" t="n">
        <v>1</v>
      </c>
      <c r="AQ12" s="5" t="n">
        <v>0.76</v>
      </c>
      <c r="AR12" s="5" t="n">
        <v>0.129</v>
      </c>
      <c r="AS12" s="5" t="n">
        <v>0.8169999999999999</v>
      </c>
      <c r="AT12" s="5" t="n">
        <v>1.892</v>
      </c>
      <c r="AU12" s="5" t="n">
        <v>0.2</v>
      </c>
      <c r="AV12" s="5" t="n">
        <v>1</v>
      </c>
      <c r="AW12" s="5" t="n">
        <v>0.8110000000000001</v>
      </c>
      <c r="AX12" s="5" t="n">
        <v>0.129</v>
      </c>
      <c r="AY12" s="5" t="n">
        <v>0.738</v>
      </c>
      <c r="AZ12" s="5" t="n">
        <v>1.859</v>
      </c>
      <c r="BA12" s="5" t="n">
        <v>0.2</v>
      </c>
      <c r="BB12" s="5" t="n">
        <v>1</v>
      </c>
      <c r="BC12" s="5" t="n">
        <v>0.535</v>
      </c>
      <c r="BD12" s="5" t="n">
        <v>0.129</v>
      </c>
      <c r="BE12" s="5" t="n">
        <v>0.012</v>
      </c>
      <c r="BF12" s="5" t="n">
        <v>0.642</v>
      </c>
      <c r="BG12" s="5" t="n">
        <v>0.2</v>
      </c>
      <c r="BH12" s="5" t="n">
        <v>1</v>
      </c>
      <c r="BI12" s="5" t="n">
        <v>0.579</v>
      </c>
      <c r="BJ12" s="5" t="n">
        <v>0.129</v>
      </c>
      <c r="BK12" s="5" t="n">
        <v>0.013</v>
      </c>
      <c r="BL12" s="5" t="n">
        <v>0.695</v>
      </c>
      <c r="BM12" s="5" t="n">
        <v>0.2</v>
      </c>
      <c r="BN12" s="5" t="n">
        <v>1</v>
      </c>
      <c r="BO12" s="5" t="n">
        <v>0</v>
      </c>
      <c r="BP12" s="5" t="n">
        <v>0</v>
      </c>
      <c r="BQ12" s="5" t="n">
        <v>0.127</v>
      </c>
      <c r="BR12" s="5" t="n">
        <v>0</v>
      </c>
      <c r="BS12" s="5" t="n">
        <v>0.667</v>
      </c>
      <c r="BT12" s="5" t="n">
        <v>0</v>
      </c>
      <c r="BU12" s="5" t="n">
        <v>0</v>
      </c>
      <c r="BV12" s="5" t="n">
        <v>0.113</v>
      </c>
      <c r="BW12" s="5" t="n">
        <v>0.2</v>
      </c>
      <c r="BX12" s="5" t="n">
        <v>0.5</v>
      </c>
      <c r="BY12" s="5" t="n">
        <v>13.254</v>
      </c>
      <c r="BZ12" s="5" t="n">
        <v>0</v>
      </c>
      <c r="CA12" s="5" t="n">
        <v>13.254</v>
      </c>
      <c r="CB12" s="5" t="n">
        <v>0</v>
      </c>
      <c r="CC12" s="5" t="n">
        <v>83.248</v>
      </c>
      <c r="CD12" s="5" t="n">
        <v>7.95</v>
      </c>
      <c r="CE12" s="5" t="n">
        <v>1.843</v>
      </c>
      <c r="CF12" s="5" t="n">
        <v>99.898</v>
      </c>
      <c r="CG12" s="5" t="n">
        <v>0.2</v>
      </c>
      <c r="CH12" s="5" t="n">
        <v>1</v>
      </c>
      <c r="CI12" s="5" t="n">
        <v>0</v>
      </c>
      <c r="CJ12" s="5" t="n">
        <v>0</v>
      </c>
      <c r="CK12" s="5" t="n">
        <v>0</v>
      </c>
      <c r="CL12" s="5" t="n">
        <v>0</v>
      </c>
      <c r="CM12" s="5" t="n">
        <v>0</v>
      </c>
      <c r="CN12" s="5" t="n">
        <v>0</v>
      </c>
      <c r="CO12" s="5" t="n">
        <v>0</v>
      </c>
      <c r="CP12" s="5" t="n">
        <v>0.478</v>
      </c>
      <c r="CQ12" s="5" t="n">
        <v>1.348</v>
      </c>
      <c r="CR12" s="5" t="n">
        <v>1</v>
      </c>
      <c r="CS12" s="5" t="n">
        <v>5.37</v>
      </c>
      <c r="CT12" s="5" t="n">
        <v>3.466</v>
      </c>
      <c r="CU12" s="5" t="n">
        <v>11.622</v>
      </c>
    </row>
    <row r="13">
      <c r="A13" s="5" t="inlineStr">
        <is>
          <t>ALB2024</t>
        </is>
      </c>
      <c r="B13" s="5" t="inlineStr">
        <is>
          <t>ALB</t>
        </is>
      </c>
      <c r="C13" s="5" t="inlineStr">
        <is>
          <t>ALB</t>
        </is>
      </c>
      <c r="D13" s="5" t="inlineStr">
        <is>
          <t>Albania</t>
        </is>
      </c>
      <c r="E13" s="5" t="n">
        <v>2024</v>
      </c>
      <c r="F13" s="5" t="n">
        <v>0.2</v>
      </c>
      <c r="G13" s="5" t="n">
        <v>3.252</v>
      </c>
      <c r="H13" s="5" t="n">
        <v>1.008</v>
      </c>
      <c r="I13" s="5" t="n">
        <v>1.462</v>
      </c>
      <c r="J13" s="5" t="n">
        <v>4.713</v>
      </c>
      <c r="K13" s="5" t="n">
        <v>0</v>
      </c>
      <c r="L13" s="5" t="n">
        <v>1</v>
      </c>
      <c r="M13" s="5" t="n">
        <v>5.333</v>
      </c>
      <c r="N13" s="5" t="n">
        <v>3.023</v>
      </c>
      <c r="O13" s="5" t="n">
        <v>0</v>
      </c>
      <c r="P13" s="5" t="n">
        <v>5.333</v>
      </c>
      <c r="Q13" s="5" t="n">
        <v>0</v>
      </c>
      <c r="R13" s="5" t="n">
        <v>1</v>
      </c>
      <c r="S13" s="5" t="n">
        <v>8.289</v>
      </c>
      <c r="T13" s="5" t="n">
        <v>6.045</v>
      </c>
      <c r="U13" s="5" t="n">
        <v>1.726</v>
      </c>
      <c r="V13" s="5" t="n">
        <v>11.7</v>
      </c>
      <c r="W13" s="5" t="n">
        <v>0.2</v>
      </c>
      <c r="X13" s="5" t="n">
        <v>1</v>
      </c>
      <c r="Y13" s="5" t="n">
        <v>6.191</v>
      </c>
      <c r="Z13" s="5" t="n">
        <v>0.455</v>
      </c>
      <c r="AA13" s="5" t="n">
        <v>0.785</v>
      </c>
      <c r="AB13" s="5" t="n">
        <v>6.975</v>
      </c>
      <c r="AC13" s="5" t="n">
        <v>0</v>
      </c>
      <c r="AD13" s="5" t="n">
        <v>1</v>
      </c>
      <c r="AE13" s="5" t="n">
        <v>6.853</v>
      </c>
      <c r="AF13" s="5" t="n">
        <v>0.926</v>
      </c>
      <c r="AG13" s="5" t="n">
        <v>0</v>
      </c>
      <c r="AH13" s="5" t="n">
        <v>6.853</v>
      </c>
      <c r="AI13" s="5" t="n">
        <v>0</v>
      </c>
      <c r="AJ13" s="5" t="n">
        <v>1</v>
      </c>
      <c r="AK13" s="5" t="n">
        <v>10.823</v>
      </c>
      <c r="AL13" s="5" t="n">
        <v>4.021</v>
      </c>
      <c r="AM13" s="5" t="n">
        <v>1.101</v>
      </c>
      <c r="AN13" s="5" t="n">
        <v>13.93</v>
      </c>
      <c r="AO13" s="5" t="n">
        <v>0.2</v>
      </c>
      <c r="AP13" s="5" t="n">
        <v>1</v>
      </c>
      <c r="AQ13" s="5" t="n">
        <v>0.724</v>
      </c>
      <c r="AR13" s="5" t="n">
        <v>0.132</v>
      </c>
      <c r="AS13" s="5" t="n">
        <v>0.91</v>
      </c>
      <c r="AT13" s="5" t="n">
        <v>1.961</v>
      </c>
      <c r="AU13" s="5" t="n">
        <v>0.2</v>
      </c>
      <c r="AV13" s="5" t="n">
        <v>1</v>
      </c>
      <c r="AW13" s="5" t="n">
        <v>0.75</v>
      </c>
      <c r="AX13" s="5" t="n">
        <v>0.132</v>
      </c>
      <c r="AY13" s="5" t="n">
        <v>0.846</v>
      </c>
      <c r="AZ13" s="5" t="n">
        <v>1.915</v>
      </c>
      <c r="BA13" s="5" t="n">
        <v>0.2</v>
      </c>
      <c r="BB13" s="5" t="n">
        <v>1</v>
      </c>
      <c r="BC13" s="5" t="n">
        <v>0.513</v>
      </c>
      <c r="BD13" s="5" t="n">
        <v>0.132</v>
      </c>
      <c r="BE13" s="5" t="n">
        <v>0.014</v>
      </c>
      <c r="BF13" s="5" t="n">
        <v>0.616</v>
      </c>
      <c r="BG13" s="5" t="n">
        <v>0.2</v>
      </c>
      <c r="BH13" s="5" t="n">
        <v>1</v>
      </c>
      <c r="BI13" s="5" t="n">
        <v>0.591</v>
      </c>
      <c r="BJ13" s="5" t="n">
        <v>0.132</v>
      </c>
      <c r="BK13" s="5" t="n">
        <v>0.016</v>
      </c>
      <c r="BL13" s="5" t="n">
        <v>0.71</v>
      </c>
      <c r="BM13" s="5" t="n">
        <v>0.2</v>
      </c>
      <c r="BN13" s="5" t="n">
        <v>1</v>
      </c>
      <c r="BO13" s="5" t="n">
        <v>0</v>
      </c>
      <c r="BP13" s="5" t="n">
        <v>0</v>
      </c>
      <c r="BQ13" s="5" t="n">
        <v>0.138</v>
      </c>
      <c r="BR13" s="5" t="n">
        <v>0</v>
      </c>
      <c r="BS13" s="5" t="n">
        <v>0.667</v>
      </c>
      <c r="BT13" s="5" t="n">
        <v>0</v>
      </c>
      <c r="BU13" s="5" t="n">
        <v>0</v>
      </c>
      <c r="BV13" s="5" t="n">
        <v>0.123</v>
      </c>
      <c r="BW13" s="5" t="n">
        <v>0.2</v>
      </c>
      <c r="BX13" s="5" t="n">
        <v>0.5</v>
      </c>
      <c r="BY13" s="5" t="n">
        <v>13.646</v>
      </c>
      <c r="BZ13" s="5" t="n">
        <v>0</v>
      </c>
      <c r="CA13" s="5" t="n">
        <v>13.646</v>
      </c>
      <c r="CB13" s="5" t="n">
        <v>0</v>
      </c>
      <c r="CC13" s="5" t="n">
        <v>82.58799999999999</v>
      </c>
      <c r="CD13" s="5" t="n">
        <v>7.95</v>
      </c>
      <c r="CE13" s="5" t="n">
        <v>2.25</v>
      </c>
      <c r="CF13" s="5" t="n">
        <v>99.10599999999999</v>
      </c>
      <c r="CG13" s="5" t="n">
        <v>0.2</v>
      </c>
      <c r="CH13" s="5" t="n">
        <v>1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0.478</v>
      </c>
      <c r="CQ13" s="5" t="n">
        <v>1.387</v>
      </c>
      <c r="CR13" s="5" t="n">
        <v>1</v>
      </c>
      <c r="CS13" s="5" t="n">
        <v>5.529</v>
      </c>
      <c r="CT13" s="5" t="n">
        <v>3.027</v>
      </c>
      <c r="CU13" s="5" t="n">
        <v>10.168</v>
      </c>
    </row>
    <row r="14">
      <c r="A14" s="5" t="inlineStr">
        <is>
          <t>DZA2021</t>
        </is>
      </c>
      <c r="B14" s="5" t="inlineStr">
        <is>
          <t>DZA</t>
        </is>
      </c>
      <c r="C14" s="5" t="inlineStr">
        <is>
          <t>DZA</t>
        </is>
      </c>
      <c r="D14" s="5" t="inlineStr">
        <is>
          <t>Algeria</t>
        </is>
      </c>
      <c r="E14" s="5" t="n">
        <v>2021</v>
      </c>
      <c r="F14" s="5" t="n">
        <v>0.19</v>
      </c>
      <c r="G14" s="5" t="n">
        <v>5.897</v>
      </c>
      <c r="H14" s="5" t="n">
        <v>1.143</v>
      </c>
      <c r="I14" s="5" t="n">
        <v>0.238</v>
      </c>
      <c r="J14" s="5" t="n">
        <v>6.134</v>
      </c>
      <c r="K14" s="5" t="n">
        <v>0</v>
      </c>
      <c r="L14" s="5" t="n">
        <v>1</v>
      </c>
      <c r="M14" s="5" t="n">
        <v>7.964</v>
      </c>
      <c r="N14" s="5" t="n">
        <v>3.43</v>
      </c>
      <c r="O14" s="5" t="n">
        <v>0.227</v>
      </c>
      <c r="P14" s="5" t="n">
        <v>8.191000000000001</v>
      </c>
      <c r="Q14" s="5" t="n">
        <v>0</v>
      </c>
      <c r="R14" s="5" t="n">
        <v>1</v>
      </c>
      <c r="S14" s="5" t="n">
        <v>11.613</v>
      </c>
      <c r="T14" s="5" t="n">
        <v>6.86</v>
      </c>
      <c r="U14" s="5" t="n">
        <v>0.238</v>
      </c>
      <c r="V14" s="5" t="n">
        <v>14.103</v>
      </c>
      <c r="W14" s="5" t="n">
        <v>0.19</v>
      </c>
      <c r="X14" s="5" t="n">
        <v>1</v>
      </c>
      <c r="Y14" s="5" t="n">
        <v>3.799</v>
      </c>
      <c r="Z14" s="5" t="n">
        <v>0.417</v>
      </c>
      <c r="AA14" s="5" t="n">
        <v>-2.687</v>
      </c>
      <c r="AB14" s="5" t="n">
        <v>1.112</v>
      </c>
      <c r="AC14" s="5" t="n">
        <v>0</v>
      </c>
      <c r="AD14" s="5" t="n">
        <v>0</v>
      </c>
      <c r="AE14" s="5" t="n">
        <v>4.371</v>
      </c>
      <c r="AF14" s="5" t="n">
        <v>0.85</v>
      </c>
      <c r="AG14" s="5" t="n">
        <v>-3.388</v>
      </c>
      <c r="AH14" s="5" t="n">
        <v>0.983</v>
      </c>
      <c r="AI14" s="5" t="n">
        <v>0</v>
      </c>
      <c r="AJ14" s="5" t="n">
        <v>0</v>
      </c>
      <c r="AK14" s="5" t="n">
        <v>7.801</v>
      </c>
      <c r="AL14" s="5" t="n">
        <v>3.68</v>
      </c>
      <c r="AM14" s="5" t="n">
        <v>-7.137</v>
      </c>
      <c r="AN14" s="5" t="n">
        <v>0.79</v>
      </c>
      <c r="AO14" s="5" t="n">
        <v>0</v>
      </c>
      <c r="AP14" s="5" t="n">
        <v>0</v>
      </c>
      <c r="AQ14" s="5" t="n">
        <v>0.621</v>
      </c>
      <c r="AR14" s="5" t="n">
        <v>0.114</v>
      </c>
      <c r="AS14" s="5" t="n">
        <v>-0.335</v>
      </c>
      <c r="AT14" s="5" t="n">
        <v>0.34</v>
      </c>
      <c r="AU14" s="5" t="n">
        <v>0</v>
      </c>
      <c r="AV14" s="5" t="n">
        <v>0</v>
      </c>
      <c r="AW14" s="5" t="n">
        <v>0.593</v>
      </c>
      <c r="AX14" s="5" t="n">
        <v>0.114</v>
      </c>
      <c r="AY14" s="5" t="n">
        <v>-0.413</v>
      </c>
      <c r="AZ14" s="5" t="n">
        <v>0.215</v>
      </c>
      <c r="BA14" s="5" t="n">
        <v>0</v>
      </c>
      <c r="BB14" s="5" t="n">
        <v>0</v>
      </c>
      <c r="BC14" s="5" t="n">
        <v>0.44</v>
      </c>
      <c r="BD14" s="5" t="n">
        <v>0.114</v>
      </c>
      <c r="BE14" s="5" t="n">
        <v>-0.384</v>
      </c>
      <c r="BF14" s="5" t="n">
        <v>0.067</v>
      </c>
      <c r="BG14" s="5" t="n">
        <v>0</v>
      </c>
      <c r="BH14" s="5" t="n">
        <v>0</v>
      </c>
      <c r="BI14" s="5" t="n">
        <v>0.5600000000000001</v>
      </c>
      <c r="BJ14" s="5" t="n">
        <v>0.114</v>
      </c>
      <c r="BK14" s="5" t="n">
        <v>0</v>
      </c>
      <c r="BL14" s="5" t="n">
        <v>0.667</v>
      </c>
      <c r="BM14" s="5" t="n">
        <v>0.19</v>
      </c>
      <c r="BN14" s="5" t="n">
        <v>1</v>
      </c>
      <c r="BO14" s="5" t="n">
        <v>0</v>
      </c>
      <c r="BP14" s="5" t="n">
        <v>-0.067</v>
      </c>
      <c r="BQ14" s="5" t="n">
        <v>0.013</v>
      </c>
      <c r="BR14" s="5" t="n">
        <v>0</v>
      </c>
      <c r="BS14" s="5" t="n">
        <v>0.667</v>
      </c>
      <c r="BT14" s="5" t="n">
        <v>0</v>
      </c>
      <c r="BU14" s="5" t="n">
        <v>-0.067</v>
      </c>
      <c r="BV14" s="5" t="n">
        <v>0.04</v>
      </c>
      <c r="BW14" s="5" t="n">
        <v>0</v>
      </c>
      <c r="BX14" s="5" t="n">
        <v>0.667</v>
      </c>
      <c r="BY14" s="5" t="n">
        <v>11.787</v>
      </c>
      <c r="BZ14" s="5" t="n">
        <v>0</v>
      </c>
      <c r="CA14" s="5" t="n">
        <v>11.787</v>
      </c>
      <c r="CB14" s="5" t="n">
        <v>0</v>
      </c>
      <c r="CC14" s="5" t="n">
        <v>81.69499999999999</v>
      </c>
      <c r="CD14" s="5" t="n">
        <v>7.95</v>
      </c>
      <c r="CE14" s="5" t="n">
        <v>-68.24299999999999</v>
      </c>
      <c r="CF14" s="5" t="n">
        <v>16.009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0</v>
      </c>
      <c r="CM14" s="5" t="n">
        <v>0</v>
      </c>
      <c r="CN14" s="5" t="n">
        <v>0</v>
      </c>
      <c r="CO14" s="5" t="n">
        <v>0</v>
      </c>
      <c r="CP14" s="5" t="n">
        <v>0</v>
      </c>
      <c r="CQ14" s="5" t="n">
        <v>1.198</v>
      </c>
      <c r="CR14" s="5" t="n">
        <v>1</v>
      </c>
      <c r="CS14" s="5" t="n">
        <v>3.228</v>
      </c>
      <c r="CT14" s="5" t="n">
        <v>4.753</v>
      </c>
      <c r="CU14" s="5" t="n">
        <v>14.129</v>
      </c>
    </row>
    <row r="15">
      <c r="A15" s="5" t="inlineStr">
        <is>
          <t>DZA2022</t>
        </is>
      </c>
      <c r="B15" s="5" t="inlineStr">
        <is>
          <t>DZA</t>
        </is>
      </c>
      <c r="C15" s="5" t="inlineStr">
        <is>
          <t>DZA</t>
        </is>
      </c>
      <c r="D15" s="5" t="inlineStr">
        <is>
          <t>Algeria</t>
        </is>
      </c>
      <c r="E15" s="5" t="n">
        <v>2022</v>
      </c>
      <c r="F15" s="5" t="n">
        <v>0.19</v>
      </c>
      <c r="G15" s="5" t="n">
        <v>11.667</v>
      </c>
      <c r="H15" s="5" t="n">
        <v>1.231</v>
      </c>
      <c r="I15" s="5" t="n">
        <v>0.5629999999999999</v>
      </c>
      <c r="J15" s="5" t="n">
        <v>12.23</v>
      </c>
      <c r="K15" s="5" t="n">
        <v>0</v>
      </c>
      <c r="L15" s="5" t="n">
        <v>1</v>
      </c>
      <c r="M15" s="5" t="n">
        <v>9.747</v>
      </c>
      <c r="N15" s="5" t="n">
        <v>3.694</v>
      </c>
      <c r="O15" s="5" t="n">
        <v>0.326</v>
      </c>
      <c r="P15" s="5" t="n">
        <v>10.073</v>
      </c>
      <c r="Q15" s="5" t="n">
        <v>0</v>
      </c>
      <c r="R15" s="5" t="n">
        <v>1</v>
      </c>
      <c r="S15" s="5" t="n">
        <v>17.824</v>
      </c>
      <c r="T15" s="5" t="n">
        <v>7.388</v>
      </c>
      <c r="U15" s="5" t="n">
        <v>0.822</v>
      </c>
      <c r="V15" s="5" t="n">
        <v>21.881</v>
      </c>
      <c r="W15" s="5" t="n">
        <v>0.19</v>
      </c>
      <c r="X15" s="5" t="n">
        <v>1</v>
      </c>
      <c r="Y15" s="5" t="n">
        <v>4.103</v>
      </c>
      <c r="Z15" s="5" t="n">
        <v>0.45</v>
      </c>
      <c r="AA15" s="5" t="n">
        <v>-2.902</v>
      </c>
      <c r="AB15" s="5" t="n">
        <v>1.201</v>
      </c>
      <c r="AC15" s="5" t="n">
        <v>0</v>
      </c>
      <c r="AD15" s="5" t="n">
        <v>0</v>
      </c>
      <c r="AE15" s="5" t="n">
        <v>4.72</v>
      </c>
      <c r="AF15" s="5" t="n">
        <v>0.918</v>
      </c>
      <c r="AG15" s="5" t="n">
        <v>-3.785</v>
      </c>
      <c r="AH15" s="5" t="n">
        <v>0.9350000000000001</v>
      </c>
      <c r="AI15" s="5" t="n">
        <v>0</v>
      </c>
      <c r="AJ15" s="5" t="n">
        <v>0</v>
      </c>
      <c r="AK15" s="5" t="n">
        <v>8.423999999999999</v>
      </c>
      <c r="AL15" s="5" t="n">
        <v>3.974</v>
      </c>
      <c r="AM15" s="5" t="n">
        <v>-7.793</v>
      </c>
      <c r="AN15" s="5" t="n">
        <v>0.751</v>
      </c>
      <c r="AO15" s="5" t="n">
        <v>0</v>
      </c>
      <c r="AP15" s="5" t="n">
        <v>0</v>
      </c>
      <c r="AQ15" s="5" t="n">
        <v>0.847</v>
      </c>
      <c r="AR15" s="5" t="n">
        <v>0.123</v>
      </c>
      <c r="AS15" s="5" t="n">
        <v>-0.575</v>
      </c>
      <c r="AT15" s="5" t="n">
        <v>0.324</v>
      </c>
      <c r="AU15" s="5" t="n">
        <v>0</v>
      </c>
      <c r="AV15" s="5" t="n">
        <v>0</v>
      </c>
      <c r="AW15" s="5" t="n">
        <v>0.947</v>
      </c>
      <c r="AX15" s="5" t="n">
        <v>0.123</v>
      </c>
      <c r="AY15" s="5" t="n">
        <v>-0.775</v>
      </c>
      <c r="AZ15" s="5" t="n">
        <v>0.204</v>
      </c>
      <c r="BA15" s="5" t="n">
        <v>0</v>
      </c>
      <c r="BB15" s="5" t="n">
        <v>0</v>
      </c>
      <c r="BC15" s="5" t="n">
        <v>0.589</v>
      </c>
      <c r="BD15" s="5" t="n">
        <v>0.123</v>
      </c>
      <c r="BE15" s="5" t="n">
        <v>-0.535</v>
      </c>
      <c r="BF15" s="5" t="n">
        <v>0.063</v>
      </c>
      <c r="BG15" s="5" t="n">
        <v>0</v>
      </c>
      <c r="BH15" s="5" t="n">
        <v>0</v>
      </c>
      <c r="BI15" s="5" t="n">
        <v>0.6889999999999999</v>
      </c>
      <c r="BJ15" s="5" t="n">
        <v>0.123</v>
      </c>
      <c r="BK15" s="5" t="n">
        <v>0.01</v>
      </c>
      <c r="BL15" s="5" t="n">
        <v>0.82</v>
      </c>
      <c r="BM15" s="5" t="n">
        <v>0.19</v>
      </c>
      <c r="BN15" s="5" t="n">
        <v>1</v>
      </c>
      <c r="BO15" s="5" t="n">
        <v>0</v>
      </c>
      <c r="BP15" s="5" t="n">
        <v>-0.067</v>
      </c>
      <c r="BQ15" s="5" t="n">
        <v>0.012</v>
      </c>
      <c r="BR15" s="5" t="n">
        <v>0</v>
      </c>
      <c r="BS15" s="5" t="n">
        <v>0.667</v>
      </c>
      <c r="BT15" s="5" t="n">
        <v>0</v>
      </c>
      <c r="BU15" s="5" t="n">
        <v>-0.067</v>
      </c>
      <c r="BV15" s="5" t="n">
        <v>0.038</v>
      </c>
      <c r="BW15" s="5" t="n">
        <v>0</v>
      </c>
      <c r="BX15" s="5" t="n">
        <v>0.667</v>
      </c>
      <c r="BY15" s="5" t="n">
        <v>12.729</v>
      </c>
      <c r="BZ15" s="5" t="n">
        <v>0</v>
      </c>
      <c r="CA15" s="5" t="n">
        <v>12.729</v>
      </c>
      <c r="CB15" s="5" t="n">
        <v>0</v>
      </c>
      <c r="CC15" s="5" t="n">
        <v>102.477</v>
      </c>
      <c r="CD15" s="5" t="n">
        <v>7.95</v>
      </c>
      <c r="CE15" s="5" t="n">
        <v>-89.68000000000001</v>
      </c>
      <c r="CF15" s="5" t="n">
        <v>15.227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0.005</v>
      </c>
      <c r="CQ15" s="5" t="n">
        <v>1.294</v>
      </c>
      <c r="CR15" s="5" t="n">
        <v>1</v>
      </c>
      <c r="CS15" s="5" t="n">
        <v>3.486</v>
      </c>
      <c r="CT15" s="5" t="n">
        <v>10.485</v>
      </c>
      <c r="CU15" s="5" t="n">
        <v>28.059</v>
      </c>
    </row>
    <row r="16">
      <c r="A16" s="5" t="inlineStr">
        <is>
          <t>DZA2023</t>
        </is>
      </c>
      <c r="B16" s="5" t="inlineStr">
        <is>
          <t>DZA</t>
        </is>
      </c>
      <c r="C16" s="5" t="inlineStr">
        <is>
          <t>DZA</t>
        </is>
      </c>
      <c r="D16" s="5" t="inlineStr">
        <is>
          <t>Algeria</t>
        </is>
      </c>
      <c r="E16" s="5" t="n">
        <v>2023</v>
      </c>
      <c r="F16" s="5" t="n">
        <v>0.19</v>
      </c>
      <c r="G16" s="5" t="n">
        <v>6.147</v>
      </c>
      <c r="H16" s="5" t="n">
        <v>1.286</v>
      </c>
      <c r="I16" s="5" t="n">
        <v>0.273</v>
      </c>
      <c r="J16" s="5" t="n">
        <v>6.42</v>
      </c>
      <c r="K16" s="5" t="n">
        <v>0</v>
      </c>
      <c r="L16" s="5" t="n">
        <v>1</v>
      </c>
      <c r="M16" s="5" t="n">
        <v>7.886</v>
      </c>
      <c r="N16" s="5" t="n">
        <v>3.857</v>
      </c>
      <c r="O16" s="5" t="n">
        <v>0.227</v>
      </c>
      <c r="P16" s="5" t="n">
        <v>8.113</v>
      </c>
      <c r="Q16" s="5" t="n">
        <v>0</v>
      </c>
      <c r="R16" s="5" t="n">
        <v>1</v>
      </c>
      <c r="S16" s="5" t="n">
        <v>12.575</v>
      </c>
      <c r="T16" s="5" t="n">
        <v>7.714</v>
      </c>
      <c r="U16" s="5" t="n">
        <v>0.544</v>
      </c>
      <c r="V16" s="5" t="n">
        <v>15.29</v>
      </c>
      <c r="W16" s="5" t="n">
        <v>0.19</v>
      </c>
      <c r="X16" s="5" t="n">
        <v>1</v>
      </c>
      <c r="Y16" s="5" t="n">
        <v>4.272</v>
      </c>
      <c r="Z16" s="5" t="n">
        <v>0.469</v>
      </c>
      <c r="AA16" s="5" t="n">
        <v>-3.047</v>
      </c>
      <c r="AB16" s="5" t="n">
        <v>1.225</v>
      </c>
      <c r="AC16" s="5" t="n">
        <v>0</v>
      </c>
      <c r="AD16" s="5" t="n">
        <v>0</v>
      </c>
      <c r="AE16" s="5" t="n">
        <v>4.915</v>
      </c>
      <c r="AF16" s="5" t="n">
        <v>0.956</v>
      </c>
      <c r="AG16" s="5" t="n">
        <v>-3.938</v>
      </c>
      <c r="AH16" s="5" t="n">
        <v>0.977</v>
      </c>
      <c r="AI16" s="5" t="n">
        <v>0</v>
      </c>
      <c r="AJ16" s="5" t="n">
        <v>0</v>
      </c>
      <c r="AK16" s="5" t="n">
        <v>8.772</v>
      </c>
      <c r="AL16" s="5" t="n">
        <v>4.138</v>
      </c>
      <c r="AM16" s="5" t="n">
        <v>-8.112</v>
      </c>
      <c r="AN16" s="5" t="n">
        <v>0.785</v>
      </c>
      <c r="AO16" s="5" t="n">
        <v>0</v>
      </c>
      <c r="AP16" s="5" t="n">
        <v>0</v>
      </c>
      <c r="AQ16" s="5" t="n">
        <v>0.749</v>
      </c>
      <c r="AR16" s="5" t="n">
        <v>0.129</v>
      </c>
      <c r="AS16" s="5" t="n">
        <v>-0.464</v>
      </c>
      <c r="AT16" s="5" t="n">
        <v>0.338</v>
      </c>
      <c r="AU16" s="5" t="n">
        <v>0</v>
      </c>
      <c r="AV16" s="5" t="n">
        <v>0</v>
      </c>
      <c r="AW16" s="5" t="n">
        <v>0.783</v>
      </c>
      <c r="AX16" s="5" t="n">
        <v>0.129</v>
      </c>
      <c r="AY16" s="5" t="n">
        <v>-0.603</v>
      </c>
      <c r="AZ16" s="5" t="n">
        <v>0.214</v>
      </c>
      <c r="BA16" s="5" t="n">
        <v>0</v>
      </c>
      <c r="BB16" s="5" t="n">
        <v>0</v>
      </c>
      <c r="BC16" s="5" t="n">
        <v>0.527</v>
      </c>
      <c r="BD16" s="5" t="n">
        <v>0.129</v>
      </c>
      <c r="BE16" s="5" t="n">
        <v>-0.472</v>
      </c>
      <c r="BF16" s="5" t="n">
        <v>0.066</v>
      </c>
      <c r="BG16" s="5" t="n">
        <v>0</v>
      </c>
      <c r="BH16" s="5" t="n">
        <v>0</v>
      </c>
      <c r="BI16" s="5" t="n">
        <v>0.64</v>
      </c>
      <c r="BJ16" s="5" t="n">
        <v>0.129</v>
      </c>
      <c r="BK16" s="5" t="n">
        <v>0.013</v>
      </c>
      <c r="BL16" s="5" t="n">
        <v>0.761</v>
      </c>
      <c r="BM16" s="5" t="n">
        <v>0.19</v>
      </c>
      <c r="BN16" s="5" t="n">
        <v>1</v>
      </c>
      <c r="BO16" s="5" t="n">
        <v>0</v>
      </c>
      <c r="BP16" s="5" t="n">
        <v>-0.067</v>
      </c>
      <c r="BQ16" s="5" t="n">
        <v>0.013</v>
      </c>
      <c r="BR16" s="5" t="n">
        <v>0</v>
      </c>
      <c r="BS16" s="5" t="n">
        <v>0.667</v>
      </c>
      <c r="BT16" s="5" t="n">
        <v>0</v>
      </c>
      <c r="BU16" s="5" t="n">
        <v>-0.067</v>
      </c>
      <c r="BV16" s="5" t="n">
        <v>0.039</v>
      </c>
      <c r="BW16" s="5" t="n">
        <v>0</v>
      </c>
      <c r="BX16" s="5" t="n">
        <v>0.667</v>
      </c>
      <c r="BY16" s="5" t="n">
        <v>13.254</v>
      </c>
      <c r="BZ16" s="5" t="n">
        <v>0</v>
      </c>
      <c r="CA16" s="5" t="n">
        <v>13.254</v>
      </c>
      <c r="CB16" s="5" t="n">
        <v>0</v>
      </c>
      <c r="CC16" s="5" t="n">
        <v>87.07899999999999</v>
      </c>
      <c r="CD16" s="5" t="n">
        <v>7.95</v>
      </c>
      <c r="CE16" s="5" t="n">
        <v>-73.703</v>
      </c>
      <c r="CF16" s="5" t="n">
        <v>15.917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0</v>
      </c>
      <c r="CQ16" s="5" t="n">
        <v>1.348</v>
      </c>
      <c r="CR16" s="5" t="n">
        <v>1</v>
      </c>
      <c r="CS16" s="5" t="n">
        <v>3.629</v>
      </c>
      <c r="CT16" s="5" t="n">
        <v>4.861</v>
      </c>
      <c r="CU16" s="5" t="n">
        <v>9.260999999999999</v>
      </c>
    </row>
    <row r="17">
      <c r="A17" s="5" t="inlineStr">
        <is>
          <t>DZA2024</t>
        </is>
      </c>
      <c r="B17" s="5" t="inlineStr">
        <is>
          <t>DZA</t>
        </is>
      </c>
      <c r="C17" s="5" t="inlineStr">
        <is>
          <t>DZA</t>
        </is>
      </c>
      <c r="D17" s="5" t="inlineStr">
        <is>
          <t>Algeria</t>
        </is>
      </c>
      <c r="E17" s="5" t="n">
        <v>2024</v>
      </c>
      <c r="F17" s="5" t="n">
        <v>0.19</v>
      </c>
      <c r="G17" s="5" t="n">
        <v>5.575</v>
      </c>
      <c r="H17" s="5" t="n">
        <v>1.324</v>
      </c>
      <c r="I17" s="5" t="n">
        <v>0.213</v>
      </c>
      <c r="J17" s="5" t="n">
        <v>5.787</v>
      </c>
      <c r="K17" s="5" t="n">
        <v>0</v>
      </c>
      <c r="L17" s="5" t="n">
        <v>1</v>
      </c>
      <c r="M17" s="5" t="n">
        <v>7.124</v>
      </c>
      <c r="N17" s="5" t="n">
        <v>3.971</v>
      </c>
      <c r="O17" s="5" t="n">
        <v>0.158</v>
      </c>
      <c r="P17" s="5" t="n">
        <v>7.281</v>
      </c>
      <c r="Q17" s="5" t="n">
        <v>0</v>
      </c>
      <c r="R17" s="5" t="n">
        <v>1</v>
      </c>
      <c r="S17" s="5" t="n">
        <v>12.193</v>
      </c>
      <c r="T17" s="5" t="n">
        <v>7.942</v>
      </c>
      <c r="U17" s="5" t="n">
        <v>0.534</v>
      </c>
      <c r="V17" s="5" t="n">
        <v>14.762</v>
      </c>
      <c r="W17" s="5" t="n">
        <v>0.19</v>
      </c>
      <c r="X17" s="5" t="n">
        <v>1</v>
      </c>
      <c r="Y17" s="5" t="n">
        <v>4.398</v>
      </c>
      <c r="Z17" s="5" t="n">
        <v>0.483</v>
      </c>
      <c r="AA17" s="5" t="n">
        <v>-3.137</v>
      </c>
      <c r="AB17" s="5" t="n">
        <v>1.262</v>
      </c>
      <c r="AC17" s="5" t="n">
        <v>0</v>
      </c>
      <c r="AD17" s="5" t="n">
        <v>0</v>
      </c>
      <c r="AE17" s="5" t="n">
        <v>5.06</v>
      </c>
      <c r="AF17" s="5" t="n">
        <v>0.984</v>
      </c>
      <c r="AG17" s="5" t="n">
        <v>-4.07</v>
      </c>
      <c r="AH17" s="5" t="n">
        <v>0.99</v>
      </c>
      <c r="AI17" s="5" t="n">
        <v>0</v>
      </c>
      <c r="AJ17" s="5" t="n">
        <v>0</v>
      </c>
      <c r="AK17" s="5" t="n">
        <v>9.031000000000001</v>
      </c>
      <c r="AL17" s="5" t="n">
        <v>4.26</v>
      </c>
      <c r="AM17" s="5" t="n">
        <v>-8.362</v>
      </c>
      <c r="AN17" s="5" t="n">
        <v>0.796</v>
      </c>
      <c r="AO17" s="5" t="n">
        <v>0</v>
      </c>
      <c r="AP17" s="5" t="n">
        <v>0</v>
      </c>
      <c r="AQ17" s="5" t="n">
        <v>0.72</v>
      </c>
      <c r="AR17" s="5" t="n">
        <v>0.132</v>
      </c>
      <c r="AS17" s="5" t="n">
        <v>-0.432</v>
      </c>
      <c r="AT17" s="5" t="n">
        <v>0.343</v>
      </c>
      <c r="AU17" s="5" t="n">
        <v>0</v>
      </c>
      <c r="AV17" s="5" t="n">
        <v>0</v>
      </c>
      <c r="AW17" s="5" t="n">
        <v>0.734</v>
      </c>
      <c r="AX17" s="5" t="n">
        <v>0.132</v>
      </c>
      <c r="AY17" s="5" t="n">
        <v>-0.552</v>
      </c>
      <c r="AZ17" s="5" t="n">
        <v>0.216</v>
      </c>
      <c r="BA17" s="5" t="n">
        <v>0</v>
      </c>
      <c r="BB17" s="5" t="n">
        <v>0</v>
      </c>
      <c r="BC17" s="5" t="n">
        <v>0.51</v>
      </c>
      <c r="BD17" s="5" t="n">
        <v>0.132</v>
      </c>
      <c r="BE17" s="5" t="n">
        <v>-0.454</v>
      </c>
      <c r="BF17" s="5" t="n">
        <v>0.067</v>
      </c>
      <c r="BG17" s="5" t="n">
        <v>0</v>
      </c>
      <c r="BH17" s="5" t="n">
        <v>0</v>
      </c>
      <c r="BI17" s="5" t="n">
        <v>0.652</v>
      </c>
      <c r="BJ17" s="5" t="n">
        <v>0.132</v>
      </c>
      <c r="BK17" s="5" t="n">
        <v>0.017</v>
      </c>
      <c r="BL17" s="5" t="n">
        <v>0.776</v>
      </c>
      <c r="BM17" s="5" t="n">
        <v>0.19</v>
      </c>
      <c r="BN17" s="5" t="n">
        <v>1</v>
      </c>
      <c r="BO17" s="5" t="n">
        <v>0</v>
      </c>
      <c r="BP17" s="5" t="n">
        <v>-0.06900000000000001</v>
      </c>
      <c r="BQ17" s="5" t="n">
        <v>0.013</v>
      </c>
      <c r="BR17" s="5" t="n">
        <v>0</v>
      </c>
      <c r="BS17" s="5" t="n">
        <v>0.667</v>
      </c>
      <c r="BT17" s="5" t="n">
        <v>0</v>
      </c>
      <c r="BU17" s="5" t="n">
        <v>-0.06900000000000001</v>
      </c>
      <c r="BV17" s="5" t="n">
        <v>0.036</v>
      </c>
      <c r="BW17" s="5" t="n">
        <v>0</v>
      </c>
      <c r="BX17" s="5" t="n">
        <v>0.667</v>
      </c>
      <c r="BY17" s="5" t="n">
        <v>13.646</v>
      </c>
      <c r="BZ17" s="5" t="n">
        <v>0</v>
      </c>
      <c r="CA17" s="5" t="n">
        <v>13.646</v>
      </c>
      <c r="CB17" s="5" t="n">
        <v>0</v>
      </c>
      <c r="CC17" s="5" t="n">
        <v>86.38500000000001</v>
      </c>
      <c r="CD17" s="5" t="n">
        <v>7.95</v>
      </c>
      <c r="CE17" s="5" t="n">
        <v>-72.831</v>
      </c>
      <c r="CF17" s="5" t="n">
        <v>16.129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1.387</v>
      </c>
      <c r="CR17" s="5" t="n">
        <v>1</v>
      </c>
      <c r="CS17" s="5" t="n">
        <v>3.737</v>
      </c>
      <c r="CT17" s="5" t="n">
        <v>4.251</v>
      </c>
      <c r="CU17" s="5" t="n">
        <v>7.598</v>
      </c>
    </row>
    <row r="18">
      <c r="A18" s="5" t="inlineStr">
        <is>
          <t>ASM2021</t>
        </is>
      </c>
      <c r="B18" s="5" t="inlineStr">
        <is>
          <t>ASM</t>
        </is>
      </c>
      <c r="C18" s="5" t="inlineStr">
        <is>
          <t>ASM</t>
        </is>
      </c>
      <c r="D18" s="5" t="inlineStr">
        <is>
          <t>American Samoa</t>
        </is>
      </c>
      <c r="E18" s="5" t="n">
        <v>2021</v>
      </c>
      <c r="F18" s="5" t="n">
        <v>0</v>
      </c>
      <c r="G18" s="5" t="n">
        <v>4.747</v>
      </c>
      <c r="H18" s="5" t="n">
        <v>1.143</v>
      </c>
      <c r="I18" s="5" t="n">
        <v>0</v>
      </c>
      <c r="J18" s="5" t="n">
        <v>4.747</v>
      </c>
      <c r="K18" s="5" t="n">
        <v>0</v>
      </c>
      <c r="L18" s="5" t="n">
        <v>1</v>
      </c>
      <c r="M18" s="5" t="n">
        <v>7.964</v>
      </c>
      <c r="N18" s="5" t="n">
        <v>3.43</v>
      </c>
      <c r="O18" s="5" t="n">
        <v>0</v>
      </c>
      <c r="P18" s="5" t="n">
        <v>7.964</v>
      </c>
      <c r="Q18" s="5" t="n">
        <v>0</v>
      </c>
      <c r="R18" s="5" t="n">
        <v>1</v>
      </c>
      <c r="S18" s="5" t="n">
        <v>10.464</v>
      </c>
      <c r="T18" s="5" t="n">
        <v>6.86</v>
      </c>
      <c r="U18" s="5" t="n">
        <v>0</v>
      </c>
      <c r="V18" s="5" t="n">
        <v>10.464</v>
      </c>
      <c r="W18" s="5" t="n">
        <v>0</v>
      </c>
      <c r="X18" s="5" t="n">
        <v>1</v>
      </c>
      <c r="Y18" s="5" t="n">
        <v>10.551</v>
      </c>
      <c r="Z18" s="5" t="n">
        <v>1.302</v>
      </c>
      <c r="AA18" s="5" t="n">
        <v>0</v>
      </c>
      <c r="AB18" s="5" t="n">
        <v>10.551</v>
      </c>
      <c r="AC18" s="5" t="n">
        <v>0</v>
      </c>
      <c r="AD18" s="5" t="n">
        <v>1</v>
      </c>
      <c r="AE18" s="5" t="n">
        <v>11.694</v>
      </c>
      <c r="AF18" s="5" t="n">
        <v>2.549</v>
      </c>
      <c r="AG18" s="5" t="n">
        <v>0</v>
      </c>
      <c r="AH18" s="5" t="n">
        <v>11.694</v>
      </c>
      <c r="AI18" s="5" t="n">
        <v>0</v>
      </c>
      <c r="AJ18" s="5" t="n">
        <v>1</v>
      </c>
      <c r="AK18" s="5" t="n">
        <v>18.554</v>
      </c>
      <c r="AL18" s="5" t="n">
        <v>9.627000000000001</v>
      </c>
      <c r="AM18" s="5" t="n">
        <v>0</v>
      </c>
      <c r="AN18" s="5" t="n">
        <v>18.554</v>
      </c>
      <c r="AO18" s="5" t="n">
        <v>0</v>
      </c>
      <c r="AP18" s="5" t="n">
        <v>1</v>
      </c>
      <c r="AQ18" s="5" t="n">
        <v>0.621</v>
      </c>
      <c r="AR18" s="5" t="n">
        <v>0.114</v>
      </c>
      <c r="AS18" s="5" t="n">
        <v>0</v>
      </c>
      <c r="AT18" s="5" t="n">
        <v>0.621</v>
      </c>
      <c r="AU18" s="5" t="n">
        <v>0</v>
      </c>
      <c r="AV18" s="5" t="n">
        <v>1</v>
      </c>
      <c r="AW18" s="5" t="n">
        <v>0.593</v>
      </c>
      <c r="AX18" s="5" t="n">
        <v>0.114</v>
      </c>
      <c r="AY18" s="5" t="n">
        <v>0</v>
      </c>
      <c r="AZ18" s="5" t="n">
        <v>0.593</v>
      </c>
      <c r="BA18" s="5" t="n">
        <v>0</v>
      </c>
      <c r="BB18" s="5" t="n">
        <v>1</v>
      </c>
      <c r="BC18" s="5" t="n">
        <v>0.44</v>
      </c>
      <c r="BD18" s="5" t="n">
        <v>0.114</v>
      </c>
      <c r="BE18" s="5" t="n">
        <v>0</v>
      </c>
      <c r="BF18" s="5" t="n">
        <v>0.44</v>
      </c>
      <c r="BG18" s="5" t="n">
        <v>0</v>
      </c>
      <c r="BH18" s="5" t="n">
        <v>1</v>
      </c>
      <c r="BI18" s="5" t="n">
        <v>0.5600000000000001</v>
      </c>
      <c r="BJ18" s="5" t="n">
        <v>0.114</v>
      </c>
      <c r="BK18" s="5" t="n">
        <v>0</v>
      </c>
      <c r="BL18" s="5" t="n">
        <v>0.5600000000000001</v>
      </c>
      <c r="BM18" s="5" t="n">
        <v>0</v>
      </c>
      <c r="BN18" s="5" t="n">
        <v>1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1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1</v>
      </c>
      <c r="BY18" s="5" t="n">
        <v>11.787</v>
      </c>
      <c r="BZ18" s="5" t="n">
        <v>0</v>
      </c>
      <c r="CA18" s="5" t="n">
        <v>11.787</v>
      </c>
      <c r="CB18" s="5" t="n">
        <v>0</v>
      </c>
      <c r="CC18" s="5" t="n">
        <v>81.69499999999999</v>
      </c>
      <c r="CD18" s="5" t="n">
        <v>7.95</v>
      </c>
      <c r="CE18" s="5" t="n">
        <v>0</v>
      </c>
      <c r="CF18" s="5" t="n">
        <v>81.69499999999999</v>
      </c>
      <c r="CG18" s="5" t="n">
        <v>0</v>
      </c>
      <c r="CH18" s="5" t="n">
        <v>1</v>
      </c>
      <c r="CI18" s="5" t="n">
        <v>0</v>
      </c>
      <c r="CJ18" s="5" t="n">
        <v>0</v>
      </c>
      <c r="CK18" s="5" t="n">
        <v>0</v>
      </c>
      <c r="CL18" s="5" t="n">
        <v>0</v>
      </c>
      <c r="CM18" s="5" t="n">
        <v>0</v>
      </c>
      <c r="CN18" s="5" t="n">
        <v>0</v>
      </c>
      <c r="CO18" s="5" t="n">
        <v>0</v>
      </c>
      <c r="CP18" s="5" t="n">
        <v>0</v>
      </c>
      <c r="CQ18" s="5" t="n">
        <v>1.198</v>
      </c>
      <c r="CR18" s="5" t="n">
        <v>0</v>
      </c>
      <c r="CS18" s="5" t="n">
        <v>4.776</v>
      </c>
      <c r="CT18" s="5" t="n">
        <v>3.604</v>
      </c>
      <c r="CU18" s="5" t="n">
        <v>9.407999999999999</v>
      </c>
    </row>
    <row r="19">
      <c r="A19" s="5" t="inlineStr">
        <is>
          <t>ASM2022</t>
        </is>
      </c>
      <c r="B19" s="5" t="inlineStr">
        <is>
          <t>ASM</t>
        </is>
      </c>
      <c r="C19" s="5" t="inlineStr">
        <is>
          <t>ASM</t>
        </is>
      </c>
      <c r="D19" s="5" t="inlineStr">
        <is>
          <t>American Samoa</t>
        </is>
      </c>
      <c r="E19" s="5" t="n">
        <v>2022</v>
      </c>
      <c r="F19" s="5" t="n">
        <v>0</v>
      </c>
      <c r="G19" s="5" t="n">
        <v>8.788</v>
      </c>
      <c r="H19" s="5" t="n">
        <v>1.235</v>
      </c>
      <c r="I19" s="5" t="n">
        <v>0</v>
      </c>
      <c r="J19" s="5" t="n">
        <v>8.788</v>
      </c>
      <c r="K19" s="5" t="n">
        <v>0</v>
      </c>
      <c r="L19" s="5" t="n">
        <v>1</v>
      </c>
      <c r="M19" s="5" t="n">
        <v>9.782999999999999</v>
      </c>
      <c r="N19" s="5" t="n">
        <v>3.704</v>
      </c>
      <c r="O19" s="5" t="n">
        <v>0</v>
      </c>
      <c r="P19" s="5" t="n">
        <v>9.782999999999999</v>
      </c>
      <c r="Q19" s="5" t="n">
        <v>0</v>
      </c>
      <c r="R19" s="5" t="n">
        <v>1</v>
      </c>
      <c r="S19" s="5" t="n">
        <v>14.962</v>
      </c>
      <c r="T19" s="5" t="n">
        <v>7.408</v>
      </c>
      <c r="U19" s="5" t="n">
        <v>0</v>
      </c>
      <c r="V19" s="5" t="n">
        <v>14.962</v>
      </c>
      <c r="W19" s="5" t="n">
        <v>0</v>
      </c>
      <c r="X19" s="5" t="n">
        <v>1</v>
      </c>
      <c r="Y19" s="5" t="n">
        <v>17.332</v>
      </c>
      <c r="Z19" s="5" t="n">
        <v>2.139</v>
      </c>
      <c r="AA19" s="5" t="n">
        <v>0</v>
      </c>
      <c r="AB19" s="5" t="n">
        <v>17.332</v>
      </c>
      <c r="AC19" s="5" t="n">
        <v>0</v>
      </c>
      <c r="AD19" s="5" t="n">
        <v>1</v>
      </c>
      <c r="AE19" s="5" t="n">
        <v>18.566</v>
      </c>
      <c r="AF19" s="5" t="n">
        <v>4.048</v>
      </c>
      <c r="AG19" s="5" t="n">
        <v>0</v>
      </c>
      <c r="AH19" s="5" t="n">
        <v>18.566</v>
      </c>
      <c r="AI19" s="5" t="n">
        <v>0</v>
      </c>
      <c r="AJ19" s="5" t="n">
        <v>1</v>
      </c>
      <c r="AK19" s="5" t="n">
        <v>25.974</v>
      </c>
      <c r="AL19" s="5" t="n">
        <v>13.478</v>
      </c>
      <c r="AM19" s="5" t="n">
        <v>0</v>
      </c>
      <c r="AN19" s="5" t="n">
        <v>25.974</v>
      </c>
      <c r="AO19" s="5" t="n">
        <v>0</v>
      </c>
      <c r="AP19" s="5" t="n">
        <v>1</v>
      </c>
      <c r="AQ19" s="5" t="n">
        <v>0.847</v>
      </c>
      <c r="AR19" s="5" t="n">
        <v>0.123</v>
      </c>
      <c r="AS19" s="5" t="n">
        <v>0</v>
      </c>
      <c r="AT19" s="5" t="n">
        <v>0.847</v>
      </c>
      <c r="AU19" s="5" t="n">
        <v>0</v>
      </c>
      <c r="AV19" s="5" t="n">
        <v>1</v>
      </c>
      <c r="AW19" s="5" t="n">
        <v>0.947</v>
      </c>
      <c r="AX19" s="5" t="n">
        <v>0.123</v>
      </c>
      <c r="AY19" s="5" t="n">
        <v>0</v>
      </c>
      <c r="AZ19" s="5" t="n">
        <v>0.947</v>
      </c>
      <c r="BA19" s="5" t="n">
        <v>0</v>
      </c>
      <c r="BB19" s="5" t="n">
        <v>1</v>
      </c>
      <c r="BC19" s="5" t="n">
        <v>0.589</v>
      </c>
      <c r="BD19" s="5" t="n">
        <v>0.123</v>
      </c>
      <c r="BE19" s="5" t="n">
        <v>0</v>
      </c>
      <c r="BF19" s="5" t="n">
        <v>0.589</v>
      </c>
      <c r="BG19" s="5" t="n">
        <v>0</v>
      </c>
      <c r="BH19" s="5" t="n">
        <v>1</v>
      </c>
      <c r="BI19" s="5" t="n">
        <v>0.6889999999999999</v>
      </c>
      <c r="BJ19" s="5" t="n">
        <v>0.123</v>
      </c>
      <c r="BK19" s="5" t="n">
        <v>0</v>
      </c>
      <c r="BL19" s="5" t="n">
        <v>0.6889999999999999</v>
      </c>
      <c r="BM19" s="5" t="n">
        <v>0</v>
      </c>
      <c r="BN19" s="5" t="n">
        <v>1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1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1</v>
      </c>
      <c r="BY19" s="5" t="n">
        <v>12.729</v>
      </c>
      <c r="BZ19" s="5" t="n">
        <v>0</v>
      </c>
      <c r="CA19" s="5" t="n">
        <v>12.729</v>
      </c>
      <c r="CB19" s="5" t="n">
        <v>0</v>
      </c>
      <c r="CC19" s="5" t="n">
        <v>102.477</v>
      </c>
      <c r="CD19" s="5" t="n">
        <v>7.95</v>
      </c>
      <c r="CE19" s="5" t="n">
        <v>0</v>
      </c>
      <c r="CF19" s="5" t="n">
        <v>102.477</v>
      </c>
      <c r="CG19" s="5" t="n">
        <v>0</v>
      </c>
      <c r="CH19" s="5" t="n">
        <v>1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1.294</v>
      </c>
      <c r="CR19" s="5" t="n">
        <v>0</v>
      </c>
      <c r="CS19" s="5" t="n">
        <v>5.158</v>
      </c>
      <c r="CT19" s="5" t="n">
        <v>7.554</v>
      </c>
      <c r="CU19" s="5" t="n">
        <v>16.097</v>
      </c>
    </row>
    <row r="20">
      <c r="A20" s="5" t="inlineStr">
        <is>
          <t>ASM2023</t>
        </is>
      </c>
      <c r="B20" s="5" t="inlineStr">
        <is>
          <t>ASM</t>
        </is>
      </c>
      <c r="C20" s="5" t="inlineStr">
        <is>
          <t>ASM</t>
        </is>
      </c>
      <c r="D20" s="5" t="inlineStr">
        <is>
          <t>American Samoa</t>
        </is>
      </c>
      <c r="E20" s="5" t="n">
        <v>2023</v>
      </c>
      <c r="F20" s="5" t="n">
        <v>0</v>
      </c>
      <c r="G20" s="5" t="n">
        <v>5.77</v>
      </c>
      <c r="H20" s="5" t="n">
        <v>1.286</v>
      </c>
      <c r="I20" s="5" t="n">
        <v>0</v>
      </c>
      <c r="J20" s="5" t="n">
        <v>5.77</v>
      </c>
      <c r="K20" s="5" t="n">
        <v>0</v>
      </c>
      <c r="L20" s="5" t="n">
        <v>1</v>
      </c>
      <c r="M20" s="5" t="n">
        <v>7.886</v>
      </c>
      <c r="N20" s="5" t="n">
        <v>3.857</v>
      </c>
      <c r="O20" s="5" t="n">
        <v>0</v>
      </c>
      <c r="P20" s="5" t="n">
        <v>7.886</v>
      </c>
      <c r="Q20" s="5" t="n">
        <v>0</v>
      </c>
      <c r="R20" s="5" t="n">
        <v>1</v>
      </c>
      <c r="S20" s="5" t="n">
        <v>12.198</v>
      </c>
      <c r="T20" s="5" t="n">
        <v>7.714</v>
      </c>
      <c r="U20" s="5" t="n">
        <v>0</v>
      </c>
      <c r="V20" s="5" t="n">
        <v>12.198</v>
      </c>
      <c r="W20" s="5" t="n">
        <v>0</v>
      </c>
      <c r="X20" s="5" t="n">
        <v>1</v>
      </c>
      <c r="Y20" s="5" t="n">
        <v>13.814</v>
      </c>
      <c r="Z20" s="5" t="n">
        <v>1.705</v>
      </c>
      <c r="AA20" s="5" t="n">
        <v>0</v>
      </c>
      <c r="AB20" s="5" t="n">
        <v>13.814</v>
      </c>
      <c r="AC20" s="5" t="n">
        <v>0</v>
      </c>
      <c r="AD20" s="5" t="n">
        <v>1</v>
      </c>
      <c r="AE20" s="5" t="n">
        <v>15.1</v>
      </c>
      <c r="AF20" s="5" t="n">
        <v>3.292</v>
      </c>
      <c r="AG20" s="5" t="n">
        <v>0</v>
      </c>
      <c r="AH20" s="5" t="n">
        <v>15.1</v>
      </c>
      <c r="AI20" s="5" t="n">
        <v>0</v>
      </c>
      <c r="AJ20" s="5" t="n">
        <v>1</v>
      </c>
      <c r="AK20" s="5" t="n">
        <v>22.814</v>
      </c>
      <c r="AL20" s="5" t="n">
        <v>11.838</v>
      </c>
      <c r="AM20" s="5" t="n">
        <v>0</v>
      </c>
      <c r="AN20" s="5" t="n">
        <v>22.814</v>
      </c>
      <c r="AO20" s="5" t="n">
        <v>0</v>
      </c>
      <c r="AP20" s="5" t="n">
        <v>1</v>
      </c>
      <c r="AQ20" s="5" t="n">
        <v>0.749</v>
      </c>
      <c r="AR20" s="5" t="n">
        <v>0.129</v>
      </c>
      <c r="AS20" s="5" t="n">
        <v>0</v>
      </c>
      <c r="AT20" s="5" t="n">
        <v>0.749</v>
      </c>
      <c r="AU20" s="5" t="n">
        <v>0</v>
      </c>
      <c r="AV20" s="5" t="n">
        <v>1</v>
      </c>
      <c r="AW20" s="5" t="n">
        <v>0.783</v>
      </c>
      <c r="AX20" s="5" t="n">
        <v>0.129</v>
      </c>
      <c r="AY20" s="5" t="n">
        <v>0</v>
      </c>
      <c r="AZ20" s="5" t="n">
        <v>0.783</v>
      </c>
      <c r="BA20" s="5" t="n">
        <v>0</v>
      </c>
      <c r="BB20" s="5" t="n">
        <v>1</v>
      </c>
      <c r="BC20" s="5" t="n">
        <v>0.527</v>
      </c>
      <c r="BD20" s="5" t="n">
        <v>0.129</v>
      </c>
      <c r="BE20" s="5" t="n">
        <v>0</v>
      </c>
      <c r="BF20" s="5" t="n">
        <v>0.527</v>
      </c>
      <c r="BG20" s="5" t="n">
        <v>0</v>
      </c>
      <c r="BH20" s="5" t="n">
        <v>1</v>
      </c>
      <c r="BI20" s="5" t="n">
        <v>0.64</v>
      </c>
      <c r="BJ20" s="5" t="n">
        <v>0.129</v>
      </c>
      <c r="BK20" s="5" t="n">
        <v>0</v>
      </c>
      <c r="BL20" s="5" t="n">
        <v>0.64</v>
      </c>
      <c r="BM20" s="5" t="n">
        <v>0</v>
      </c>
      <c r="BN20" s="5" t="n">
        <v>1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1</v>
      </c>
      <c r="BT20" s="5" t="n">
        <v>0</v>
      </c>
      <c r="BU20" s="5" t="n">
        <v>0</v>
      </c>
      <c r="BV20" s="5" t="n">
        <v>0</v>
      </c>
      <c r="BW20" s="5" t="n">
        <v>0</v>
      </c>
      <c r="BX20" s="5" t="n">
        <v>1</v>
      </c>
      <c r="BY20" s="5" t="n">
        <v>13.254</v>
      </c>
      <c r="BZ20" s="5" t="n">
        <v>0</v>
      </c>
      <c r="CA20" s="5" t="n">
        <v>13.254</v>
      </c>
      <c r="CB20" s="5" t="n">
        <v>0</v>
      </c>
      <c r="CC20" s="5" t="n">
        <v>87.07899999999999</v>
      </c>
      <c r="CD20" s="5" t="n">
        <v>7.95</v>
      </c>
      <c r="CE20" s="5" t="n">
        <v>0</v>
      </c>
      <c r="CF20" s="5" t="n">
        <v>87.07899999999999</v>
      </c>
      <c r="CG20" s="5" t="n">
        <v>0</v>
      </c>
      <c r="CH20" s="5" t="n">
        <v>1</v>
      </c>
      <c r="CI20" s="5" t="n">
        <v>0</v>
      </c>
      <c r="CJ20" s="5" t="n">
        <v>0</v>
      </c>
      <c r="CK20" s="5" t="n">
        <v>0</v>
      </c>
      <c r="CL20" s="5" t="n">
        <v>0</v>
      </c>
      <c r="CM20" s="5" t="n">
        <v>0</v>
      </c>
      <c r="CN20" s="5" t="n">
        <v>0</v>
      </c>
      <c r="CO20" s="5" t="n">
        <v>0</v>
      </c>
      <c r="CP20" s="5" t="n">
        <v>0</v>
      </c>
      <c r="CQ20" s="5" t="n">
        <v>1.348</v>
      </c>
      <c r="CR20" s="5" t="n">
        <v>0</v>
      </c>
      <c r="CS20" s="5" t="n">
        <v>5.37</v>
      </c>
      <c r="CT20" s="5" t="n">
        <v>4.484</v>
      </c>
      <c r="CU20" s="5" t="n">
        <v>12.529</v>
      </c>
    </row>
    <row r="21">
      <c r="A21" s="5" t="inlineStr">
        <is>
          <t>ASM2024</t>
        </is>
      </c>
      <c r="B21" s="5" t="inlineStr">
        <is>
          <t>ASM</t>
        </is>
      </c>
      <c r="C21" s="5" t="inlineStr">
        <is>
          <t>ASM</t>
        </is>
      </c>
      <c r="D21" s="5" t="inlineStr">
        <is>
          <t>American Samoa</t>
        </is>
      </c>
      <c r="E21" s="5" t="n">
        <v>2024</v>
      </c>
      <c r="F21" s="5" t="n">
        <v>0</v>
      </c>
      <c r="G21" s="5" t="n">
        <v>4.833</v>
      </c>
      <c r="H21" s="5" t="n">
        <v>1.324</v>
      </c>
      <c r="I21" s="5" t="n">
        <v>0</v>
      </c>
      <c r="J21" s="5" t="n">
        <v>4.833</v>
      </c>
      <c r="K21" s="5" t="n">
        <v>0</v>
      </c>
      <c r="L21" s="5" t="n">
        <v>1</v>
      </c>
      <c r="M21" s="5" t="n">
        <v>7.124</v>
      </c>
      <c r="N21" s="5" t="n">
        <v>3.971</v>
      </c>
      <c r="O21" s="5" t="n">
        <v>0</v>
      </c>
      <c r="P21" s="5" t="n">
        <v>7.124</v>
      </c>
      <c r="Q21" s="5" t="n">
        <v>0</v>
      </c>
      <c r="R21" s="5" t="n">
        <v>1</v>
      </c>
      <c r="S21" s="5" t="n">
        <v>11.451</v>
      </c>
      <c r="T21" s="5" t="n">
        <v>7.942</v>
      </c>
      <c r="U21" s="5" t="n">
        <v>0</v>
      </c>
      <c r="V21" s="5" t="n">
        <v>11.451</v>
      </c>
      <c r="W21" s="5" t="n">
        <v>0</v>
      </c>
      <c r="X21" s="5" t="n">
        <v>1</v>
      </c>
      <c r="Y21" s="5" t="n">
        <v>12.219</v>
      </c>
      <c r="Z21" s="5" t="n">
        <v>1.508</v>
      </c>
      <c r="AA21" s="5" t="n">
        <v>0</v>
      </c>
      <c r="AB21" s="5" t="n">
        <v>12.219</v>
      </c>
      <c r="AC21" s="5" t="n">
        <v>0</v>
      </c>
      <c r="AD21" s="5" t="n">
        <v>1</v>
      </c>
      <c r="AE21" s="5" t="n">
        <v>13.543</v>
      </c>
      <c r="AF21" s="5" t="n">
        <v>2.952</v>
      </c>
      <c r="AG21" s="5" t="n">
        <v>0</v>
      </c>
      <c r="AH21" s="5" t="n">
        <v>13.543</v>
      </c>
      <c r="AI21" s="5" t="n">
        <v>0</v>
      </c>
      <c r="AJ21" s="5" t="n">
        <v>1</v>
      </c>
      <c r="AK21" s="5" t="n">
        <v>21.484</v>
      </c>
      <c r="AL21" s="5" t="n">
        <v>11.148</v>
      </c>
      <c r="AM21" s="5" t="n">
        <v>0</v>
      </c>
      <c r="AN21" s="5" t="n">
        <v>21.484</v>
      </c>
      <c r="AO21" s="5" t="n">
        <v>0</v>
      </c>
      <c r="AP21" s="5" t="n">
        <v>1</v>
      </c>
      <c r="AQ21" s="5" t="n">
        <v>0.72</v>
      </c>
      <c r="AR21" s="5" t="n">
        <v>0.132</v>
      </c>
      <c r="AS21" s="5" t="n">
        <v>0</v>
      </c>
      <c r="AT21" s="5" t="n">
        <v>0.72</v>
      </c>
      <c r="AU21" s="5" t="n">
        <v>0</v>
      </c>
      <c r="AV21" s="5" t="n">
        <v>1</v>
      </c>
      <c r="AW21" s="5" t="n">
        <v>0.734</v>
      </c>
      <c r="AX21" s="5" t="n">
        <v>0.132</v>
      </c>
      <c r="AY21" s="5" t="n">
        <v>0</v>
      </c>
      <c r="AZ21" s="5" t="n">
        <v>0.734</v>
      </c>
      <c r="BA21" s="5" t="n">
        <v>0</v>
      </c>
      <c r="BB21" s="5" t="n">
        <v>1</v>
      </c>
      <c r="BC21" s="5" t="n">
        <v>0.51</v>
      </c>
      <c r="BD21" s="5" t="n">
        <v>0.132</v>
      </c>
      <c r="BE21" s="5" t="n">
        <v>0</v>
      </c>
      <c r="BF21" s="5" t="n">
        <v>0.51</v>
      </c>
      <c r="BG21" s="5" t="n">
        <v>0</v>
      </c>
      <c r="BH21" s="5" t="n">
        <v>1</v>
      </c>
      <c r="BI21" s="5" t="n">
        <v>0.652</v>
      </c>
      <c r="BJ21" s="5" t="n">
        <v>0.132</v>
      </c>
      <c r="BK21" s="5" t="n">
        <v>0</v>
      </c>
      <c r="BL21" s="5" t="n">
        <v>0.652</v>
      </c>
      <c r="BM21" s="5" t="n">
        <v>0</v>
      </c>
      <c r="BN21" s="5" t="n">
        <v>1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1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1</v>
      </c>
      <c r="BY21" s="5" t="n">
        <v>13.646</v>
      </c>
      <c r="BZ21" s="5" t="n">
        <v>0</v>
      </c>
      <c r="CA21" s="5" t="n">
        <v>13.646</v>
      </c>
      <c r="CB21" s="5" t="n">
        <v>0</v>
      </c>
      <c r="CC21" s="5" t="n">
        <v>86.38500000000001</v>
      </c>
      <c r="CD21" s="5" t="n">
        <v>7.95</v>
      </c>
      <c r="CE21" s="5" t="n">
        <v>0</v>
      </c>
      <c r="CF21" s="5" t="n">
        <v>86.38500000000001</v>
      </c>
      <c r="CG21" s="5" t="n">
        <v>0</v>
      </c>
      <c r="CH21" s="5" t="n">
        <v>1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1.387</v>
      </c>
      <c r="CR21" s="5" t="n">
        <v>0</v>
      </c>
      <c r="CS21" s="5" t="n">
        <v>5.529</v>
      </c>
      <c r="CT21" s="5" t="n">
        <v>3.509</v>
      </c>
      <c r="CU21" s="5" t="n">
        <v>10.896</v>
      </c>
    </row>
    <row r="22">
      <c r="A22" s="5" t="inlineStr">
        <is>
          <t>AND2021</t>
        </is>
      </c>
      <c r="B22" s="5" t="inlineStr">
        <is>
          <t>AND</t>
        </is>
      </c>
      <c r="C22" s="5" t="inlineStr">
        <is>
          <t>AND</t>
        </is>
      </c>
      <c r="D22" s="5" t="inlineStr">
        <is>
          <t>Andorra</t>
        </is>
      </c>
      <c r="E22" s="5" t="n">
        <v>2021</v>
      </c>
      <c r="F22" s="5" t="n">
        <v>0.045</v>
      </c>
      <c r="G22" s="5" t="n">
        <v>5.553</v>
      </c>
      <c r="H22" s="5" t="n">
        <v>1.143</v>
      </c>
      <c r="I22" s="5" t="n">
        <v>0</v>
      </c>
      <c r="J22" s="5" t="n">
        <v>5.553</v>
      </c>
      <c r="K22" s="5" t="n">
        <v>0</v>
      </c>
      <c r="L22" s="5" t="n">
        <v>1</v>
      </c>
      <c r="M22" s="5" t="n">
        <v>7.964</v>
      </c>
      <c r="N22" s="5" t="n">
        <v>3.43</v>
      </c>
      <c r="O22" s="5" t="n">
        <v>0</v>
      </c>
      <c r="P22" s="5" t="n">
        <v>7.964</v>
      </c>
      <c r="Q22" s="5" t="n">
        <v>0</v>
      </c>
      <c r="R22" s="5" t="n">
        <v>1</v>
      </c>
      <c r="S22" s="5" t="n">
        <v>11.27</v>
      </c>
      <c r="T22" s="5" t="n">
        <v>6.86</v>
      </c>
      <c r="U22" s="5" t="n">
        <v>0</v>
      </c>
      <c r="V22" s="5" t="n">
        <v>11.777</v>
      </c>
      <c r="W22" s="5" t="n">
        <v>0.045</v>
      </c>
      <c r="X22" s="5" t="n">
        <v>1</v>
      </c>
      <c r="Y22" s="5" t="n">
        <v>16.296</v>
      </c>
      <c r="Z22" s="5" t="n">
        <v>2.202</v>
      </c>
      <c r="AA22" s="5" t="n">
        <v>0</v>
      </c>
      <c r="AB22" s="5" t="n">
        <v>16.296</v>
      </c>
      <c r="AC22" s="5" t="n">
        <v>0</v>
      </c>
      <c r="AD22" s="5" t="n">
        <v>1</v>
      </c>
      <c r="AE22" s="5" t="n">
        <v>17.439</v>
      </c>
      <c r="AF22" s="5" t="n">
        <v>4.078</v>
      </c>
      <c r="AG22" s="5" t="n">
        <v>0</v>
      </c>
      <c r="AH22" s="5" t="n">
        <v>17.439</v>
      </c>
      <c r="AI22" s="5" t="n">
        <v>0</v>
      </c>
      <c r="AJ22" s="5" t="n">
        <v>1</v>
      </c>
      <c r="AK22" s="5" t="n">
        <v>24.299</v>
      </c>
      <c r="AL22" s="5" t="n">
        <v>12.942</v>
      </c>
      <c r="AM22" s="5" t="n">
        <v>0</v>
      </c>
      <c r="AN22" s="5" t="n">
        <v>25.393</v>
      </c>
      <c r="AO22" s="5" t="n">
        <v>0.045</v>
      </c>
      <c r="AP22" s="5" t="n">
        <v>1</v>
      </c>
      <c r="AQ22" s="5" t="n">
        <v>0.619</v>
      </c>
      <c r="AR22" s="5" t="n">
        <v>0.114</v>
      </c>
      <c r="AS22" s="5" t="n">
        <v>0</v>
      </c>
      <c r="AT22" s="5" t="n">
        <v>0.647</v>
      </c>
      <c r="AU22" s="5" t="n">
        <v>0.045</v>
      </c>
      <c r="AV22" s="5" t="n">
        <v>1</v>
      </c>
      <c r="AW22" s="5" t="n">
        <v>0.599</v>
      </c>
      <c r="AX22" s="5" t="n">
        <v>0.114</v>
      </c>
      <c r="AY22" s="5" t="n">
        <v>0</v>
      </c>
      <c r="AZ22" s="5" t="n">
        <v>0.626</v>
      </c>
      <c r="BA22" s="5" t="n">
        <v>0.045</v>
      </c>
      <c r="BB22" s="5" t="n">
        <v>1</v>
      </c>
      <c r="BC22" s="5" t="n">
        <v>0.439</v>
      </c>
      <c r="BD22" s="5" t="n">
        <v>0.114</v>
      </c>
      <c r="BE22" s="5" t="n">
        <v>0</v>
      </c>
      <c r="BF22" s="5" t="n">
        <v>0.459</v>
      </c>
      <c r="BG22" s="5" t="n">
        <v>0.045</v>
      </c>
      <c r="BH22" s="5" t="n">
        <v>1</v>
      </c>
      <c r="BI22" s="5" t="n">
        <v>0.505</v>
      </c>
      <c r="BJ22" s="5" t="n">
        <v>0.114</v>
      </c>
      <c r="BK22" s="5" t="n">
        <v>0</v>
      </c>
      <c r="BL22" s="5" t="n">
        <v>0.527</v>
      </c>
      <c r="BM22" s="5" t="n">
        <v>0.045</v>
      </c>
      <c r="BN22" s="5" t="n">
        <v>1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1</v>
      </c>
      <c r="BT22" s="5" t="n">
        <v>0</v>
      </c>
      <c r="BU22" s="5" t="n">
        <v>0</v>
      </c>
      <c r="BV22" s="5" t="n">
        <v>0</v>
      </c>
      <c r="BW22" s="5" t="n">
        <v>0.045</v>
      </c>
      <c r="BX22" s="5" t="n">
        <v>1</v>
      </c>
      <c r="BY22" s="5" t="n">
        <v>11.787</v>
      </c>
      <c r="BZ22" s="5" t="n">
        <v>0</v>
      </c>
      <c r="CA22" s="5" t="n">
        <v>11.787</v>
      </c>
      <c r="CB22" s="5" t="n">
        <v>0</v>
      </c>
      <c r="CC22" s="5" t="n">
        <v>78.125</v>
      </c>
      <c r="CD22" s="5" t="n">
        <v>7.95</v>
      </c>
      <c r="CE22" s="5" t="n">
        <v>0</v>
      </c>
      <c r="CF22" s="5" t="n">
        <v>81.64100000000001</v>
      </c>
      <c r="CG22" s="5" t="n">
        <v>0.045</v>
      </c>
      <c r="CH22" s="5" t="n">
        <v>1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0</v>
      </c>
      <c r="CQ22" s="5" t="n">
        <v>1.198</v>
      </c>
      <c r="CR22" s="5" t="n">
        <v>0</v>
      </c>
      <c r="CS22" s="5" t="n">
        <v>4.776</v>
      </c>
      <c r="CT22" s="5" t="n">
        <v>4.41</v>
      </c>
      <c r="CU22" s="5" t="n">
        <v>15.162</v>
      </c>
    </row>
    <row r="23">
      <c r="A23" s="5" t="inlineStr">
        <is>
          <t>AND2022</t>
        </is>
      </c>
      <c r="B23" s="5" t="inlineStr">
        <is>
          <t>AND</t>
        </is>
      </c>
      <c r="C23" s="5" t="inlineStr">
        <is>
          <t>AND</t>
        </is>
      </c>
      <c r="D23" s="5" t="inlineStr">
        <is>
          <t>Andorra</t>
        </is>
      </c>
      <c r="E23" s="5" t="n">
        <v>2022</v>
      </c>
      <c r="F23" s="5" t="n">
        <v>0.045</v>
      </c>
      <c r="G23" s="5" t="n">
        <v>7.077</v>
      </c>
      <c r="H23" s="5" t="n">
        <v>1.235</v>
      </c>
      <c r="I23" s="5" t="n">
        <v>0</v>
      </c>
      <c r="J23" s="5" t="n">
        <v>7.077</v>
      </c>
      <c r="K23" s="5" t="n">
        <v>0</v>
      </c>
      <c r="L23" s="5" t="n">
        <v>1</v>
      </c>
      <c r="M23" s="5" t="n">
        <v>9.782999999999999</v>
      </c>
      <c r="N23" s="5" t="n">
        <v>3.704</v>
      </c>
      <c r="O23" s="5" t="n">
        <v>0</v>
      </c>
      <c r="P23" s="5" t="n">
        <v>9.782999999999999</v>
      </c>
      <c r="Q23" s="5" t="n">
        <v>0</v>
      </c>
      <c r="R23" s="5" t="n">
        <v>1</v>
      </c>
      <c r="S23" s="5" t="n">
        <v>13.25</v>
      </c>
      <c r="T23" s="5" t="n">
        <v>7.408</v>
      </c>
      <c r="U23" s="5" t="n">
        <v>0.044</v>
      </c>
      <c r="V23" s="5" t="n">
        <v>13.847</v>
      </c>
      <c r="W23" s="5" t="n">
        <v>0.045</v>
      </c>
      <c r="X23" s="5" t="n">
        <v>1</v>
      </c>
      <c r="Y23" s="5" t="n">
        <v>32.537</v>
      </c>
      <c r="Z23" s="5" t="n">
        <v>4.398</v>
      </c>
      <c r="AA23" s="5" t="n">
        <v>0</v>
      </c>
      <c r="AB23" s="5" t="n">
        <v>32.537</v>
      </c>
      <c r="AC23" s="5" t="n">
        <v>0</v>
      </c>
      <c r="AD23" s="5" t="n">
        <v>1</v>
      </c>
      <c r="AE23" s="5" t="n">
        <v>33.772</v>
      </c>
      <c r="AF23" s="5" t="n">
        <v>7.897</v>
      </c>
      <c r="AG23" s="5" t="n">
        <v>0</v>
      </c>
      <c r="AH23" s="5" t="n">
        <v>33.772</v>
      </c>
      <c r="AI23" s="5" t="n">
        <v>0</v>
      </c>
      <c r="AJ23" s="5" t="n">
        <v>1</v>
      </c>
      <c r="AK23" s="5" t="n">
        <v>41.18</v>
      </c>
      <c r="AL23" s="5" t="n">
        <v>21.932</v>
      </c>
      <c r="AM23" s="5" t="n">
        <v>0.137</v>
      </c>
      <c r="AN23" s="5" t="n">
        <v>43.033</v>
      </c>
      <c r="AO23" s="5" t="n">
        <v>0.045</v>
      </c>
      <c r="AP23" s="5" t="n">
        <v>1</v>
      </c>
      <c r="AQ23" s="5" t="n">
        <v>0.861</v>
      </c>
      <c r="AR23" s="5" t="n">
        <v>0.123</v>
      </c>
      <c r="AS23" s="5" t="n">
        <v>0.003</v>
      </c>
      <c r="AT23" s="5" t="n">
        <v>0.9</v>
      </c>
      <c r="AU23" s="5" t="n">
        <v>0.045</v>
      </c>
      <c r="AV23" s="5" t="n">
        <v>1</v>
      </c>
      <c r="AW23" s="5" t="n">
        <v>0.986</v>
      </c>
      <c r="AX23" s="5" t="n">
        <v>0.123</v>
      </c>
      <c r="AY23" s="5" t="n">
        <v>0.003</v>
      </c>
      <c r="AZ23" s="5" t="n">
        <v>1.031</v>
      </c>
      <c r="BA23" s="5" t="n">
        <v>0.045</v>
      </c>
      <c r="BB23" s="5" t="n">
        <v>1</v>
      </c>
      <c r="BC23" s="5" t="n">
        <v>0.598</v>
      </c>
      <c r="BD23" s="5" t="n">
        <v>0.123</v>
      </c>
      <c r="BE23" s="5" t="n">
        <v>0.002</v>
      </c>
      <c r="BF23" s="5" t="n">
        <v>0.625</v>
      </c>
      <c r="BG23" s="5" t="n">
        <v>0.045</v>
      </c>
      <c r="BH23" s="5" t="n">
        <v>1</v>
      </c>
      <c r="BI23" s="5" t="n">
        <v>0.612</v>
      </c>
      <c r="BJ23" s="5" t="n">
        <v>0.123</v>
      </c>
      <c r="BK23" s="5" t="n">
        <v>0.002</v>
      </c>
      <c r="BL23" s="5" t="n">
        <v>0.64</v>
      </c>
      <c r="BM23" s="5" t="n">
        <v>0.045</v>
      </c>
      <c r="BN23" s="5" t="n">
        <v>1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1</v>
      </c>
      <c r="BT23" s="5" t="n">
        <v>0</v>
      </c>
      <c r="BU23" s="5" t="n">
        <v>0</v>
      </c>
      <c r="BV23" s="5" t="n">
        <v>0</v>
      </c>
      <c r="BW23" s="5" t="n">
        <v>0.045</v>
      </c>
      <c r="BX23" s="5" t="n">
        <v>1</v>
      </c>
      <c r="BY23" s="5" t="n">
        <v>12.729</v>
      </c>
      <c r="BZ23" s="5" t="n">
        <v>0</v>
      </c>
      <c r="CA23" s="5" t="n">
        <v>12.729</v>
      </c>
      <c r="CB23" s="5" t="n">
        <v>0</v>
      </c>
      <c r="CC23" s="5" t="n">
        <v>97.90000000000001</v>
      </c>
      <c r="CD23" s="5" t="n">
        <v>7.95</v>
      </c>
      <c r="CE23" s="5" t="n">
        <v>0.326</v>
      </c>
      <c r="CF23" s="5" t="n">
        <v>102.306</v>
      </c>
      <c r="CG23" s="5" t="n">
        <v>0.045</v>
      </c>
      <c r="CH23" s="5" t="n">
        <v>1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1.294</v>
      </c>
      <c r="CR23" s="5" t="n">
        <v>0</v>
      </c>
      <c r="CS23" s="5" t="n">
        <v>5.158</v>
      </c>
      <c r="CT23" s="5" t="n">
        <v>5.842</v>
      </c>
      <c r="CU23" s="5" t="n">
        <v>31.326</v>
      </c>
    </row>
    <row r="24">
      <c r="A24" s="5" t="inlineStr">
        <is>
          <t>AND2023</t>
        </is>
      </c>
      <c r="B24" s="5" t="inlineStr">
        <is>
          <t>AND</t>
        </is>
      </c>
      <c r="C24" s="5" t="inlineStr">
        <is>
          <t>AND</t>
        </is>
      </c>
      <c r="D24" s="5" t="inlineStr">
        <is>
          <t>Andorra</t>
        </is>
      </c>
      <c r="E24" s="5" t="n">
        <v>2023</v>
      </c>
      <c r="F24" s="5" t="n">
        <v>0.045</v>
      </c>
      <c r="G24" s="5" t="n">
        <v>4.752</v>
      </c>
      <c r="H24" s="5" t="n">
        <v>1.286</v>
      </c>
      <c r="I24" s="5" t="n">
        <v>0</v>
      </c>
      <c r="J24" s="5" t="n">
        <v>4.752</v>
      </c>
      <c r="K24" s="5" t="n">
        <v>0</v>
      </c>
      <c r="L24" s="5" t="n">
        <v>1</v>
      </c>
      <c r="M24" s="5" t="n">
        <v>7.886</v>
      </c>
      <c r="N24" s="5" t="n">
        <v>3.857</v>
      </c>
      <c r="O24" s="5" t="n">
        <v>0</v>
      </c>
      <c r="P24" s="5" t="n">
        <v>7.886</v>
      </c>
      <c r="Q24" s="5" t="n">
        <v>0</v>
      </c>
      <c r="R24" s="5" t="n">
        <v>1</v>
      </c>
      <c r="S24" s="5" t="n">
        <v>11.18</v>
      </c>
      <c r="T24" s="5" t="n">
        <v>7.714</v>
      </c>
      <c r="U24" s="5" t="n">
        <v>0.056</v>
      </c>
      <c r="V24" s="5" t="n">
        <v>11.683</v>
      </c>
      <c r="W24" s="5" t="n">
        <v>0.045</v>
      </c>
      <c r="X24" s="5" t="n">
        <v>1</v>
      </c>
      <c r="Y24" s="5" t="n">
        <v>12.903</v>
      </c>
      <c r="Z24" s="5" t="n">
        <v>1.744</v>
      </c>
      <c r="AA24" s="5" t="n">
        <v>0</v>
      </c>
      <c r="AB24" s="5" t="n">
        <v>12.903</v>
      </c>
      <c r="AC24" s="5" t="n">
        <v>0</v>
      </c>
      <c r="AD24" s="5" t="n">
        <v>1</v>
      </c>
      <c r="AE24" s="5" t="n">
        <v>14.188</v>
      </c>
      <c r="AF24" s="5" t="n">
        <v>3.318</v>
      </c>
      <c r="AG24" s="5" t="n">
        <v>0</v>
      </c>
      <c r="AH24" s="5" t="n">
        <v>14.188</v>
      </c>
      <c r="AI24" s="5" t="n">
        <v>0</v>
      </c>
      <c r="AJ24" s="5" t="n">
        <v>1</v>
      </c>
      <c r="AK24" s="5" t="n">
        <v>21.902</v>
      </c>
      <c r="AL24" s="5" t="n">
        <v>11.665</v>
      </c>
      <c r="AM24" s="5" t="n">
        <v>0.109</v>
      </c>
      <c r="AN24" s="5" t="n">
        <v>22.888</v>
      </c>
      <c r="AO24" s="5" t="n">
        <v>0.045</v>
      </c>
      <c r="AP24" s="5" t="n">
        <v>1</v>
      </c>
      <c r="AQ24" s="5" t="n">
        <v>0.76</v>
      </c>
      <c r="AR24" s="5" t="n">
        <v>0.129</v>
      </c>
      <c r="AS24" s="5" t="n">
        <v>0.004</v>
      </c>
      <c r="AT24" s="5" t="n">
        <v>0.795</v>
      </c>
      <c r="AU24" s="5" t="n">
        <v>0.045</v>
      </c>
      <c r="AV24" s="5" t="n">
        <v>1</v>
      </c>
      <c r="AW24" s="5" t="n">
        <v>0.8110000000000001</v>
      </c>
      <c r="AX24" s="5" t="n">
        <v>0.129</v>
      </c>
      <c r="AY24" s="5" t="n">
        <v>0.004</v>
      </c>
      <c r="AZ24" s="5" t="n">
        <v>0.848</v>
      </c>
      <c r="BA24" s="5" t="n">
        <v>0.045</v>
      </c>
      <c r="BB24" s="5" t="n">
        <v>1</v>
      </c>
      <c r="BC24" s="5" t="n">
        <v>0.535</v>
      </c>
      <c r="BD24" s="5" t="n">
        <v>0.129</v>
      </c>
      <c r="BE24" s="5" t="n">
        <v>0.003</v>
      </c>
      <c r="BF24" s="5" t="n">
        <v>0.5590000000000001</v>
      </c>
      <c r="BG24" s="5" t="n">
        <v>0.045</v>
      </c>
      <c r="BH24" s="5" t="n">
        <v>1</v>
      </c>
      <c r="BI24" s="5" t="n">
        <v>0.579</v>
      </c>
      <c r="BJ24" s="5" t="n">
        <v>0.129</v>
      </c>
      <c r="BK24" s="5" t="n">
        <v>0.003</v>
      </c>
      <c r="BL24" s="5" t="n">
        <v>0.605</v>
      </c>
      <c r="BM24" s="5" t="n">
        <v>0.045</v>
      </c>
      <c r="BN24" s="5" t="n">
        <v>1</v>
      </c>
      <c r="BO24" s="5" t="n">
        <v>0</v>
      </c>
      <c r="BP24" s="5" t="n">
        <v>0</v>
      </c>
      <c r="BQ24" s="5" t="n">
        <v>0</v>
      </c>
      <c r="BR24" s="5" t="n">
        <v>0</v>
      </c>
      <c r="BS24" s="5" t="n">
        <v>1</v>
      </c>
      <c r="BT24" s="5" t="n">
        <v>0</v>
      </c>
      <c r="BU24" s="5" t="n">
        <v>0</v>
      </c>
      <c r="BV24" s="5" t="n">
        <v>0</v>
      </c>
      <c r="BW24" s="5" t="n">
        <v>0.045</v>
      </c>
      <c r="BX24" s="5" t="n">
        <v>1</v>
      </c>
      <c r="BY24" s="5" t="n">
        <v>13.254</v>
      </c>
      <c r="BZ24" s="5" t="n">
        <v>0</v>
      </c>
      <c r="CA24" s="5" t="n">
        <v>13.254</v>
      </c>
      <c r="CB24" s="5" t="n">
        <v>0</v>
      </c>
      <c r="CC24" s="5" t="n">
        <v>83.248</v>
      </c>
      <c r="CD24" s="5" t="n">
        <v>7.95</v>
      </c>
      <c r="CE24" s="5" t="n">
        <v>0.415</v>
      </c>
      <c r="CF24" s="5" t="n">
        <v>86.994</v>
      </c>
      <c r="CG24" s="5" t="n">
        <v>0.045</v>
      </c>
      <c r="CH24" s="5" t="n">
        <v>1</v>
      </c>
      <c r="CI24" s="5" t="n">
        <v>0</v>
      </c>
      <c r="CJ24" s="5" t="n">
        <v>0</v>
      </c>
      <c r="CK24" s="5" t="n">
        <v>0</v>
      </c>
      <c r="CL24" s="5" t="n">
        <v>0</v>
      </c>
      <c r="CM24" s="5" t="n">
        <v>0</v>
      </c>
      <c r="CN24" s="5" t="n">
        <v>0</v>
      </c>
      <c r="CO24" s="5" t="n">
        <v>0</v>
      </c>
      <c r="CP24" s="5" t="n">
        <v>0</v>
      </c>
      <c r="CQ24" s="5" t="n">
        <v>1.348</v>
      </c>
      <c r="CR24" s="5" t="n">
        <v>0</v>
      </c>
      <c r="CS24" s="5" t="n">
        <v>5.37</v>
      </c>
      <c r="CT24" s="5" t="n">
        <v>3.466</v>
      </c>
      <c r="CU24" s="5" t="n">
        <v>11.622</v>
      </c>
    </row>
    <row r="25">
      <c r="A25" s="5" t="inlineStr">
        <is>
          <t>AND2024</t>
        </is>
      </c>
      <c r="B25" s="5" t="inlineStr">
        <is>
          <t>AND</t>
        </is>
      </c>
      <c r="C25" s="5" t="inlineStr">
        <is>
          <t>AND</t>
        </is>
      </c>
      <c r="D25" s="5" t="inlineStr">
        <is>
          <t>Andorra</t>
        </is>
      </c>
      <c r="E25" s="5" t="n">
        <v>2024</v>
      </c>
      <c r="F25" s="5" t="n">
        <v>0.045</v>
      </c>
      <c r="G25" s="5" t="n">
        <v>4.351</v>
      </c>
      <c r="H25" s="5" t="n">
        <v>1.324</v>
      </c>
      <c r="I25" s="5" t="n">
        <v>0</v>
      </c>
      <c r="J25" s="5" t="n">
        <v>4.351</v>
      </c>
      <c r="K25" s="5" t="n">
        <v>0</v>
      </c>
      <c r="L25" s="5" t="n">
        <v>1</v>
      </c>
      <c r="M25" s="5" t="n">
        <v>7.124</v>
      </c>
      <c r="N25" s="5" t="n">
        <v>3.971</v>
      </c>
      <c r="O25" s="5" t="n">
        <v>0</v>
      </c>
      <c r="P25" s="5" t="n">
        <v>7.124</v>
      </c>
      <c r="Q25" s="5" t="n">
        <v>0</v>
      </c>
      <c r="R25" s="5" t="n">
        <v>1</v>
      </c>
      <c r="S25" s="5" t="n">
        <v>10.969</v>
      </c>
      <c r="T25" s="5" t="n">
        <v>7.942</v>
      </c>
      <c r="U25" s="5" t="n">
        <v>0.067</v>
      </c>
      <c r="V25" s="5" t="n">
        <v>11.462</v>
      </c>
      <c r="W25" s="5" t="n">
        <v>0.045</v>
      </c>
      <c r="X25" s="5" t="n">
        <v>1</v>
      </c>
      <c r="Y25" s="5" t="n">
        <v>11.488</v>
      </c>
      <c r="Z25" s="5" t="n">
        <v>1.553</v>
      </c>
      <c r="AA25" s="5" t="n">
        <v>0</v>
      </c>
      <c r="AB25" s="5" t="n">
        <v>11.488</v>
      </c>
      <c r="AC25" s="5" t="n">
        <v>0</v>
      </c>
      <c r="AD25" s="5" t="n">
        <v>1</v>
      </c>
      <c r="AE25" s="5" t="n">
        <v>12.811</v>
      </c>
      <c r="AF25" s="5" t="n">
        <v>2.996</v>
      </c>
      <c r="AG25" s="5" t="n">
        <v>0</v>
      </c>
      <c r="AH25" s="5" t="n">
        <v>12.811</v>
      </c>
      <c r="AI25" s="5" t="n">
        <v>0</v>
      </c>
      <c r="AJ25" s="5" t="n">
        <v>1</v>
      </c>
      <c r="AK25" s="5" t="n">
        <v>20.753</v>
      </c>
      <c r="AL25" s="5" t="n">
        <v>11.053</v>
      </c>
      <c r="AM25" s="5" t="n">
        <v>0.127</v>
      </c>
      <c r="AN25" s="5" t="n">
        <v>21.687</v>
      </c>
      <c r="AO25" s="5" t="n">
        <v>0.045</v>
      </c>
      <c r="AP25" s="5" t="n">
        <v>1</v>
      </c>
      <c r="AQ25" s="5" t="n">
        <v>0.724</v>
      </c>
      <c r="AR25" s="5" t="n">
        <v>0.132</v>
      </c>
      <c r="AS25" s="5" t="n">
        <v>0.004</v>
      </c>
      <c r="AT25" s="5" t="n">
        <v>0.757</v>
      </c>
      <c r="AU25" s="5" t="n">
        <v>0.045</v>
      </c>
      <c r="AV25" s="5" t="n">
        <v>1</v>
      </c>
      <c r="AW25" s="5" t="n">
        <v>0.75</v>
      </c>
      <c r="AX25" s="5" t="n">
        <v>0.132</v>
      </c>
      <c r="AY25" s="5" t="n">
        <v>0.005</v>
      </c>
      <c r="AZ25" s="5" t="n">
        <v>0.784</v>
      </c>
      <c r="BA25" s="5" t="n">
        <v>0.045</v>
      </c>
      <c r="BB25" s="5" t="n">
        <v>1</v>
      </c>
      <c r="BC25" s="5" t="n">
        <v>0.513</v>
      </c>
      <c r="BD25" s="5" t="n">
        <v>0.132</v>
      </c>
      <c r="BE25" s="5" t="n">
        <v>0.003</v>
      </c>
      <c r="BF25" s="5" t="n">
        <v>0.536</v>
      </c>
      <c r="BG25" s="5" t="n">
        <v>0.045</v>
      </c>
      <c r="BH25" s="5" t="n">
        <v>1</v>
      </c>
      <c r="BI25" s="5" t="n">
        <v>0.591</v>
      </c>
      <c r="BJ25" s="5" t="n">
        <v>0.132</v>
      </c>
      <c r="BK25" s="5" t="n">
        <v>0.004</v>
      </c>
      <c r="BL25" s="5" t="n">
        <v>0.618</v>
      </c>
      <c r="BM25" s="5" t="n">
        <v>0.045</v>
      </c>
      <c r="BN25" s="5" t="n">
        <v>1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1</v>
      </c>
      <c r="BT25" s="5" t="n">
        <v>0</v>
      </c>
      <c r="BU25" s="5" t="n">
        <v>0</v>
      </c>
      <c r="BV25" s="5" t="n">
        <v>0</v>
      </c>
      <c r="BW25" s="5" t="n">
        <v>0.045</v>
      </c>
      <c r="BX25" s="5" t="n">
        <v>1</v>
      </c>
      <c r="BY25" s="5" t="n">
        <v>13.646</v>
      </c>
      <c r="BZ25" s="5" t="n">
        <v>0</v>
      </c>
      <c r="CA25" s="5" t="n">
        <v>13.646</v>
      </c>
      <c r="CB25" s="5" t="n">
        <v>0</v>
      </c>
      <c r="CC25" s="5" t="n">
        <v>82.58799999999999</v>
      </c>
      <c r="CD25" s="5" t="n">
        <v>7.95</v>
      </c>
      <c r="CE25" s="5" t="n">
        <v>0.506</v>
      </c>
      <c r="CF25" s="5" t="n">
        <v>86.304</v>
      </c>
      <c r="CG25" s="5" t="n">
        <v>0.045</v>
      </c>
      <c r="CH25" s="5" t="n">
        <v>1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1.387</v>
      </c>
      <c r="CR25" s="5" t="n">
        <v>0</v>
      </c>
      <c r="CS25" s="5" t="n">
        <v>5.529</v>
      </c>
      <c r="CT25" s="5" t="n">
        <v>3.027</v>
      </c>
      <c r="CU25" s="5" t="n">
        <v>10.168</v>
      </c>
    </row>
    <row r="26">
      <c r="A26" s="5" t="inlineStr">
        <is>
          <t>AGO2021</t>
        </is>
      </c>
      <c r="B26" s="5" t="inlineStr">
        <is>
          <t>AGO</t>
        </is>
      </c>
      <c r="C26" s="5" t="inlineStr">
        <is>
          <t>AGO</t>
        </is>
      </c>
      <c r="D26" s="5" t="inlineStr">
        <is>
          <t>Angola</t>
        </is>
      </c>
      <c r="E26" s="5" t="n">
        <v>2021</v>
      </c>
      <c r="F26" s="5" t="n">
        <v>0.14</v>
      </c>
      <c r="G26" s="5" t="n">
        <v>5.897</v>
      </c>
      <c r="H26" s="5" t="n">
        <v>1.143</v>
      </c>
      <c r="I26" s="5" t="n">
        <v>0.095</v>
      </c>
      <c r="J26" s="5" t="n">
        <v>5.992</v>
      </c>
      <c r="K26" s="5" t="n">
        <v>0</v>
      </c>
      <c r="L26" s="5" t="n">
        <v>1</v>
      </c>
      <c r="M26" s="5" t="n">
        <v>7.964</v>
      </c>
      <c r="N26" s="5" t="n">
        <v>3.43</v>
      </c>
      <c r="O26" s="5" t="n">
        <v>0.091</v>
      </c>
      <c r="P26" s="5" t="n">
        <v>8.055</v>
      </c>
      <c r="Q26" s="5" t="n">
        <v>0</v>
      </c>
      <c r="R26" s="5" t="n">
        <v>1</v>
      </c>
      <c r="S26" s="5" t="n">
        <v>11.613</v>
      </c>
      <c r="T26" s="5" t="n">
        <v>6.86</v>
      </c>
      <c r="U26" s="5" t="n">
        <v>0.095</v>
      </c>
      <c r="V26" s="5" t="n">
        <v>13.348</v>
      </c>
      <c r="W26" s="5" t="n">
        <v>0.14</v>
      </c>
      <c r="X26" s="5" t="n">
        <v>1</v>
      </c>
      <c r="Y26" s="5" t="n">
        <v>5.213</v>
      </c>
      <c r="Z26" s="5" t="n">
        <v>0.572</v>
      </c>
      <c r="AA26" s="5" t="n">
        <v>0</v>
      </c>
      <c r="AB26" s="5" t="n">
        <v>5.213</v>
      </c>
      <c r="AC26" s="5" t="n">
        <v>0</v>
      </c>
      <c r="AD26" s="5" t="n">
        <v>1</v>
      </c>
      <c r="AE26" s="5" t="n">
        <v>5.784</v>
      </c>
      <c r="AF26" s="5" t="n">
        <v>1.125</v>
      </c>
      <c r="AG26" s="5" t="n">
        <v>0</v>
      </c>
      <c r="AH26" s="5" t="n">
        <v>5.784</v>
      </c>
      <c r="AI26" s="5" t="n">
        <v>0</v>
      </c>
      <c r="AJ26" s="5" t="n">
        <v>1</v>
      </c>
      <c r="AK26" s="5" t="n">
        <v>9.214</v>
      </c>
      <c r="AL26" s="5" t="n">
        <v>4.347</v>
      </c>
      <c r="AM26" s="5" t="n">
        <v>0</v>
      </c>
      <c r="AN26" s="5" t="n">
        <v>10.504</v>
      </c>
      <c r="AO26" s="5" t="n">
        <v>0.14</v>
      </c>
      <c r="AP26" s="5" t="n">
        <v>1</v>
      </c>
      <c r="AQ26" s="5" t="n">
        <v>0.619</v>
      </c>
      <c r="AR26" s="5" t="n">
        <v>0.114</v>
      </c>
      <c r="AS26" s="5" t="n">
        <v>-0.395</v>
      </c>
      <c r="AT26" s="5" t="n">
        <v>0.256</v>
      </c>
      <c r="AU26" s="5" t="n">
        <v>0</v>
      </c>
      <c r="AV26" s="5" t="n">
        <v>0</v>
      </c>
      <c r="AW26" s="5" t="n">
        <v>0.599</v>
      </c>
      <c r="AX26" s="5" t="n">
        <v>0.114</v>
      </c>
      <c r="AY26" s="5" t="n">
        <v>-0.41</v>
      </c>
      <c r="AZ26" s="5" t="n">
        <v>0.216</v>
      </c>
      <c r="BA26" s="5" t="n">
        <v>0</v>
      </c>
      <c r="BB26" s="5" t="n">
        <v>0</v>
      </c>
      <c r="BC26" s="5" t="n">
        <v>0.439</v>
      </c>
      <c r="BD26" s="5" t="n">
        <v>0.114</v>
      </c>
      <c r="BE26" s="5" t="n">
        <v>-0.267</v>
      </c>
      <c r="BF26" s="5" t="n">
        <v>0.196</v>
      </c>
      <c r="BG26" s="5" t="n">
        <v>0</v>
      </c>
      <c r="BH26" s="5" t="n">
        <v>0</v>
      </c>
      <c r="BI26" s="5" t="n">
        <v>0.505</v>
      </c>
      <c r="BJ26" s="5" t="n">
        <v>0.114</v>
      </c>
      <c r="BK26" s="5" t="n">
        <v>-0.408</v>
      </c>
      <c r="BL26" s="5" t="n">
        <v>0.111</v>
      </c>
      <c r="BM26" s="5" t="n">
        <v>0</v>
      </c>
      <c r="BN26" s="5" t="n">
        <v>0</v>
      </c>
      <c r="BO26" s="5" t="n">
        <v>0</v>
      </c>
      <c r="BP26" s="5" t="n">
        <v>-0.1</v>
      </c>
      <c r="BQ26" s="5" t="n">
        <v>0.012</v>
      </c>
      <c r="BR26" s="5" t="n">
        <v>0</v>
      </c>
      <c r="BS26" s="5" t="n">
        <v>1</v>
      </c>
      <c r="BT26" s="5" t="n">
        <v>0</v>
      </c>
      <c r="BU26" s="5" t="n">
        <v>-0.1</v>
      </c>
      <c r="BV26" s="5" t="n">
        <v>0.017</v>
      </c>
      <c r="BW26" s="5" t="n">
        <v>0</v>
      </c>
      <c r="BX26" s="5" t="n">
        <v>1</v>
      </c>
      <c r="BY26" s="5" t="n">
        <v>11.787</v>
      </c>
      <c r="BZ26" s="5" t="n">
        <v>0</v>
      </c>
      <c r="CA26" s="5" t="n">
        <v>11.787</v>
      </c>
      <c r="CB26" s="5" t="n">
        <v>0</v>
      </c>
      <c r="CC26" s="5" t="n">
        <v>78.125</v>
      </c>
      <c r="CD26" s="5" t="n">
        <v>7.95</v>
      </c>
      <c r="CE26" s="5" t="n">
        <v>0</v>
      </c>
      <c r="CF26" s="5" t="n">
        <v>89.063</v>
      </c>
      <c r="CG26" s="5" t="n">
        <v>0.14</v>
      </c>
      <c r="CH26" s="5" t="n">
        <v>1</v>
      </c>
      <c r="CI26" s="5" t="n">
        <v>0</v>
      </c>
      <c r="CJ26" s="5" t="n">
        <v>0</v>
      </c>
      <c r="CK26" s="5" t="n">
        <v>0</v>
      </c>
      <c r="CL26" s="5" t="n">
        <v>0</v>
      </c>
      <c r="CM26" s="5" t="n">
        <v>0</v>
      </c>
      <c r="CN26" s="5" t="n">
        <v>0</v>
      </c>
      <c r="CO26" s="5" t="n">
        <v>0</v>
      </c>
      <c r="CP26" s="5" t="n">
        <v>0</v>
      </c>
      <c r="CQ26" s="5" t="n">
        <v>1.198</v>
      </c>
      <c r="CR26" s="5" t="n">
        <v>1</v>
      </c>
      <c r="CS26" s="5" t="n">
        <v>4.641</v>
      </c>
      <c r="CT26" s="5" t="n">
        <v>4.753</v>
      </c>
      <c r="CU26" s="5" t="n">
        <v>14.129</v>
      </c>
    </row>
    <row r="27">
      <c r="A27" s="5" t="inlineStr">
        <is>
          <t>AGO2022</t>
        </is>
      </c>
      <c r="B27" s="5" t="inlineStr">
        <is>
          <t>AGO</t>
        </is>
      </c>
      <c r="C27" s="5" t="inlineStr">
        <is>
          <t>AGO</t>
        </is>
      </c>
      <c r="D27" s="5" t="inlineStr">
        <is>
          <t>Angola</t>
        </is>
      </c>
      <c r="E27" s="5" t="n">
        <v>2022</v>
      </c>
      <c r="F27" s="5" t="n">
        <v>0.14</v>
      </c>
      <c r="G27" s="5" t="n">
        <v>11.72</v>
      </c>
      <c r="H27" s="5" t="n">
        <v>1.235</v>
      </c>
      <c r="I27" s="5" t="n">
        <v>0.226</v>
      </c>
      <c r="J27" s="5" t="n">
        <v>11.946</v>
      </c>
      <c r="K27" s="5" t="n">
        <v>0</v>
      </c>
      <c r="L27" s="5" t="n">
        <v>1</v>
      </c>
      <c r="M27" s="5" t="n">
        <v>9.782999999999999</v>
      </c>
      <c r="N27" s="5" t="n">
        <v>3.704</v>
      </c>
      <c r="O27" s="5" t="n">
        <v>0.131</v>
      </c>
      <c r="P27" s="5" t="n">
        <v>9.914</v>
      </c>
      <c r="Q27" s="5" t="n">
        <v>0</v>
      </c>
      <c r="R27" s="5" t="n">
        <v>1</v>
      </c>
      <c r="S27" s="5" t="n">
        <v>17.893</v>
      </c>
      <c r="T27" s="5" t="n">
        <v>7.408</v>
      </c>
      <c r="U27" s="5" t="n">
        <v>0.414</v>
      </c>
      <c r="V27" s="5" t="n">
        <v>20.657</v>
      </c>
      <c r="W27" s="5" t="n">
        <v>0.14</v>
      </c>
      <c r="X27" s="5" t="n">
        <v>1</v>
      </c>
      <c r="Y27" s="5" t="n">
        <v>5.629</v>
      </c>
      <c r="Z27" s="5" t="n">
        <v>0.618</v>
      </c>
      <c r="AA27" s="5" t="n">
        <v>0</v>
      </c>
      <c r="AB27" s="5" t="n">
        <v>5.629</v>
      </c>
      <c r="AC27" s="5" t="n">
        <v>0</v>
      </c>
      <c r="AD27" s="5" t="n">
        <v>1</v>
      </c>
      <c r="AE27" s="5" t="n">
        <v>6.246</v>
      </c>
      <c r="AF27" s="5" t="n">
        <v>1.215</v>
      </c>
      <c r="AG27" s="5" t="n">
        <v>0</v>
      </c>
      <c r="AH27" s="5" t="n">
        <v>6.246</v>
      </c>
      <c r="AI27" s="5" t="n">
        <v>0</v>
      </c>
      <c r="AJ27" s="5" t="n">
        <v>1</v>
      </c>
      <c r="AK27" s="5" t="n">
        <v>9.951000000000001</v>
      </c>
      <c r="AL27" s="5" t="n">
        <v>4.694</v>
      </c>
      <c r="AM27" s="5" t="n">
        <v>0.103</v>
      </c>
      <c r="AN27" s="5" t="n">
        <v>11.344</v>
      </c>
      <c r="AO27" s="5" t="n">
        <v>0.14</v>
      </c>
      <c r="AP27" s="5" t="n">
        <v>1</v>
      </c>
      <c r="AQ27" s="5" t="n">
        <v>0.861</v>
      </c>
      <c r="AR27" s="5" t="n">
        <v>0.123</v>
      </c>
      <c r="AS27" s="5" t="n">
        <v>-0.554</v>
      </c>
      <c r="AT27" s="5" t="n">
        <v>0.35</v>
      </c>
      <c r="AU27" s="5" t="n">
        <v>0</v>
      </c>
      <c r="AV27" s="5" t="n">
        <v>0</v>
      </c>
      <c r="AW27" s="5" t="n">
        <v>0.986</v>
      </c>
      <c r="AX27" s="5" t="n">
        <v>0.123</v>
      </c>
      <c r="AY27" s="5" t="n">
        <v>-0.727</v>
      </c>
      <c r="AZ27" s="5" t="n">
        <v>0.295</v>
      </c>
      <c r="BA27" s="5" t="n">
        <v>0</v>
      </c>
      <c r="BB27" s="5" t="n">
        <v>0</v>
      </c>
      <c r="BC27" s="5" t="n">
        <v>0.598</v>
      </c>
      <c r="BD27" s="5" t="n">
        <v>0.123</v>
      </c>
      <c r="BE27" s="5" t="n">
        <v>-0.399</v>
      </c>
      <c r="BF27" s="5" t="n">
        <v>0.226</v>
      </c>
      <c r="BG27" s="5" t="n">
        <v>0</v>
      </c>
      <c r="BH27" s="5" t="n">
        <v>0</v>
      </c>
      <c r="BI27" s="5" t="n">
        <v>0.612</v>
      </c>
      <c r="BJ27" s="5" t="n">
        <v>0.123</v>
      </c>
      <c r="BK27" s="5" t="n">
        <v>-0.479</v>
      </c>
      <c r="BL27" s="5" t="n">
        <v>0.152</v>
      </c>
      <c r="BM27" s="5" t="n">
        <v>0</v>
      </c>
      <c r="BN27" s="5" t="n">
        <v>0</v>
      </c>
      <c r="BO27" s="5" t="n">
        <v>0</v>
      </c>
      <c r="BP27" s="5" t="n">
        <v>-0.113</v>
      </c>
      <c r="BQ27" s="5" t="n">
        <v>0.016</v>
      </c>
      <c r="BR27" s="5" t="n">
        <v>0</v>
      </c>
      <c r="BS27" s="5" t="n">
        <v>1</v>
      </c>
      <c r="BT27" s="5" t="n">
        <v>0</v>
      </c>
      <c r="BU27" s="5" t="n">
        <v>-0.113</v>
      </c>
      <c r="BV27" s="5" t="n">
        <v>0.024</v>
      </c>
      <c r="BW27" s="5" t="n">
        <v>0</v>
      </c>
      <c r="BX27" s="5" t="n">
        <v>1</v>
      </c>
      <c r="BY27" s="5" t="n">
        <v>12.729</v>
      </c>
      <c r="BZ27" s="5" t="n">
        <v>0</v>
      </c>
      <c r="CA27" s="5" t="n">
        <v>12.729</v>
      </c>
      <c r="CB27" s="5" t="n">
        <v>0</v>
      </c>
      <c r="CC27" s="5" t="n">
        <v>97.90000000000001</v>
      </c>
      <c r="CD27" s="5" t="n">
        <v>7.95</v>
      </c>
      <c r="CE27" s="5" t="n">
        <v>1.014</v>
      </c>
      <c r="CF27" s="5" t="n">
        <v>111.606</v>
      </c>
      <c r="CG27" s="5" t="n">
        <v>0.14</v>
      </c>
      <c r="CH27" s="5" t="n">
        <v>1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1.294</v>
      </c>
      <c r="CR27" s="5" t="n">
        <v>1</v>
      </c>
      <c r="CS27" s="5" t="n">
        <v>5.012</v>
      </c>
      <c r="CT27" s="5" t="n">
        <v>10.485</v>
      </c>
      <c r="CU27" s="5" t="n">
        <v>28.059</v>
      </c>
    </row>
    <row r="28">
      <c r="A28" s="5" t="inlineStr">
        <is>
          <t>AGO2023</t>
        </is>
      </c>
      <c r="B28" s="5" t="inlineStr">
        <is>
          <t>AGO</t>
        </is>
      </c>
      <c r="C28" s="5" t="inlineStr">
        <is>
          <t>AGO</t>
        </is>
      </c>
      <c r="D28" s="5" t="inlineStr">
        <is>
          <t>Angola</t>
        </is>
      </c>
      <c r="E28" s="5" t="n">
        <v>2023</v>
      </c>
      <c r="F28" s="5" t="n">
        <v>0.14</v>
      </c>
      <c r="G28" s="5" t="n">
        <v>6.147</v>
      </c>
      <c r="H28" s="5" t="n">
        <v>1.286</v>
      </c>
      <c r="I28" s="5" t="n">
        <v>0.109</v>
      </c>
      <c r="J28" s="5" t="n">
        <v>6.256</v>
      </c>
      <c r="K28" s="5" t="n">
        <v>0</v>
      </c>
      <c r="L28" s="5" t="n">
        <v>1</v>
      </c>
      <c r="M28" s="5" t="n">
        <v>7.886</v>
      </c>
      <c r="N28" s="5" t="n">
        <v>3.857</v>
      </c>
      <c r="O28" s="5" t="n">
        <v>0.091</v>
      </c>
      <c r="P28" s="5" t="n">
        <v>7.977</v>
      </c>
      <c r="Q28" s="5" t="n">
        <v>0</v>
      </c>
      <c r="R28" s="5" t="n">
        <v>1</v>
      </c>
      <c r="S28" s="5" t="n">
        <v>12.575</v>
      </c>
      <c r="T28" s="5" t="n">
        <v>7.714</v>
      </c>
      <c r="U28" s="5" t="n">
        <v>0.306</v>
      </c>
      <c r="V28" s="5" t="n">
        <v>14.46</v>
      </c>
      <c r="W28" s="5" t="n">
        <v>0.14</v>
      </c>
      <c r="X28" s="5" t="n">
        <v>1</v>
      </c>
      <c r="Y28" s="5" t="n">
        <v>5.861</v>
      </c>
      <c r="Z28" s="5" t="n">
        <v>0.643</v>
      </c>
      <c r="AA28" s="5" t="n">
        <v>0</v>
      </c>
      <c r="AB28" s="5" t="n">
        <v>5.861</v>
      </c>
      <c r="AC28" s="5" t="n">
        <v>0</v>
      </c>
      <c r="AD28" s="5" t="n">
        <v>1</v>
      </c>
      <c r="AE28" s="5" t="n">
        <v>6.504</v>
      </c>
      <c r="AF28" s="5" t="n">
        <v>1.265</v>
      </c>
      <c r="AG28" s="5" t="n">
        <v>0</v>
      </c>
      <c r="AH28" s="5" t="n">
        <v>6.504</v>
      </c>
      <c r="AI28" s="5" t="n">
        <v>0</v>
      </c>
      <c r="AJ28" s="5" t="n">
        <v>1</v>
      </c>
      <c r="AK28" s="5" t="n">
        <v>10.361</v>
      </c>
      <c r="AL28" s="5" t="n">
        <v>4.888</v>
      </c>
      <c r="AM28" s="5" t="n">
        <v>0.161</v>
      </c>
      <c r="AN28" s="5" t="n">
        <v>11.812</v>
      </c>
      <c r="AO28" s="5" t="n">
        <v>0.14</v>
      </c>
      <c r="AP28" s="5" t="n">
        <v>1</v>
      </c>
      <c r="AQ28" s="5" t="n">
        <v>0.76</v>
      </c>
      <c r="AR28" s="5" t="n">
        <v>0.129</v>
      </c>
      <c r="AS28" s="5" t="n">
        <v>-0.456</v>
      </c>
      <c r="AT28" s="5" t="n">
        <v>0.347</v>
      </c>
      <c r="AU28" s="5" t="n">
        <v>0</v>
      </c>
      <c r="AV28" s="5" t="n">
        <v>0</v>
      </c>
      <c r="AW28" s="5" t="n">
        <v>0.8110000000000001</v>
      </c>
      <c r="AX28" s="5" t="n">
        <v>0.129</v>
      </c>
      <c r="AY28" s="5" t="n">
        <v>-0.629</v>
      </c>
      <c r="AZ28" s="5" t="n">
        <v>0.208</v>
      </c>
      <c r="BA28" s="5" t="n">
        <v>0</v>
      </c>
      <c r="BB28" s="5" t="n">
        <v>0</v>
      </c>
      <c r="BC28" s="5" t="n">
        <v>0.535</v>
      </c>
      <c r="BD28" s="5" t="n">
        <v>0.129</v>
      </c>
      <c r="BE28" s="5" t="n">
        <v>-0.366</v>
      </c>
      <c r="BF28" s="5" t="n">
        <v>0.193</v>
      </c>
      <c r="BG28" s="5" t="n">
        <v>0</v>
      </c>
      <c r="BH28" s="5" t="n">
        <v>0</v>
      </c>
      <c r="BI28" s="5" t="n">
        <v>0.579</v>
      </c>
      <c r="BJ28" s="5" t="n">
        <v>0.129</v>
      </c>
      <c r="BK28" s="5" t="n">
        <v>-0.486</v>
      </c>
      <c r="BL28" s="5" t="n">
        <v>0.106</v>
      </c>
      <c r="BM28" s="5" t="n">
        <v>0</v>
      </c>
      <c r="BN28" s="5" t="n">
        <v>0</v>
      </c>
      <c r="BO28" s="5" t="n">
        <v>0</v>
      </c>
      <c r="BP28" s="5" t="n">
        <v>-0.109</v>
      </c>
      <c r="BQ28" s="5" t="n">
        <v>0.011</v>
      </c>
      <c r="BR28" s="5" t="n">
        <v>0</v>
      </c>
      <c r="BS28" s="5" t="n">
        <v>1</v>
      </c>
      <c r="BT28" s="5" t="n">
        <v>0</v>
      </c>
      <c r="BU28" s="5" t="n">
        <v>-0.109</v>
      </c>
      <c r="BV28" s="5" t="n">
        <v>0.016</v>
      </c>
      <c r="BW28" s="5" t="n">
        <v>0</v>
      </c>
      <c r="BX28" s="5" t="n">
        <v>1</v>
      </c>
      <c r="BY28" s="5" t="n">
        <v>13.254</v>
      </c>
      <c r="BZ28" s="5" t="n">
        <v>0</v>
      </c>
      <c r="CA28" s="5" t="n">
        <v>13.254</v>
      </c>
      <c r="CB28" s="5" t="n">
        <v>0</v>
      </c>
      <c r="CC28" s="5" t="n">
        <v>83.248</v>
      </c>
      <c r="CD28" s="5" t="n">
        <v>7.95</v>
      </c>
      <c r="CE28" s="5" t="n">
        <v>1.29</v>
      </c>
      <c r="CF28" s="5" t="n">
        <v>94.90300000000001</v>
      </c>
      <c r="CG28" s="5" t="n">
        <v>0.14</v>
      </c>
      <c r="CH28" s="5" t="n">
        <v>1</v>
      </c>
      <c r="CI28" s="5" t="n">
        <v>0</v>
      </c>
      <c r="CJ28" s="5" t="n">
        <v>0</v>
      </c>
      <c r="CK28" s="5" t="n">
        <v>0</v>
      </c>
      <c r="CL28" s="5" t="n">
        <v>0</v>
      </c>
      <c r="CM28" s="5" t="n">
        <v>0</v>
      </c>
      <c r="CN28" s="5" t="n">
        <v>0</v>
      </c>
      <c r="CO28" s="5" t="n">
        <v>0</v>
      </c>
      <c r="CP28" s="5" t="n">
        <v>0</v>
      </c>
      <c r="CQ28" s="5" t="n">
        <v>1.348</v>
      </c>
      <c r="CR28" s="5" t="n">
        <v>1</v>
      </c>
      <c r="CS28" s="5" t="n">
        <v>5.219</v>
      </c>
      <c r="CT28" s="5" t="n">
        <v>4.861</v>
      </c>
      <c r="CU28" s="5" t="n">
        <v>9.260999999999999</v>
      </c>
    </row>
    <row r="29">
      <c r="A29" s="5" t="inlineStr">
        <is>
          <t>AGO2024</t>
        </is>
      </c>
      <c r="B29" s="5" t="inlineStr">
        <is>
          <t>AGO</t>
        </is>
      </c>
      <c r="C29" s="5" t="inlineStr">
        <is>
          <t>AGO</t>
        </is>
      </c>
      <c r="D29" s="5" t="inlineStr">
        <is>
          <t>Angola</t>
        </is>
      </c>
      <c r="E29" s="5" t="n">
        <v>2024</v>
      </c>
      <c r="F29" s="5" t="n">
        <v>0.14</v>
      </c>
      <c r="G29" s="5" t="n">
        <v>5.575</v>
      </c>
      <c r="H29" s="5" t="n">
        <v>1.324</v>
      </c>
      <c r="I29" s="5" t="n">
        <v>0.08500000000000001</v>
      </c>
      <c r="J29" s="5" t="n">
        <v>5.66</v>
      </c>
      <c r="K29" s="5" t="n">
        <v>0</v>
      </c>
      <c r="L29" s="5" t="n">
        <v>1</v>
      </c>
      <c r="M29" s="5" t="n">
        <v>7.124</v>
      </c>
      <c r="N29" s="5" t="n">
        <v>3.971</v>
      </c>
      <c r="O29" s="5" t="n">
        <v>0.063</v>
      </c>
      <c r="P29" s="5" t="n">
        <v>7.187</v>
      </c>
      <c r="Q29" s="5" t="n">
        <v>0</v>
      </c>
      <c r="R29" s="5" t="n">
        <v>1</v>
      </c>
      <c r="S29" s="5" t="n">
        <v>12.193</v>
      </c>
      <c r="T29" s="5" t="n">
        <v>7.942</v>
      </c>
      <c r="U29" s="5" t="n">
        <v>0.319</v>
      </c>
      <c r="V29" s="5" t="n">
        <v>13.997</v>
      </c>
      <c r="W29" s="5" t="n">
        <v>0.14</v>
      </c>
      <c r="X29" s="5" t="n">
        <v>1</v>
      </c>
      <c r="Y29" s="5" t="n">
        <v>6.034</v>
      </c>
      <c r="Z29" s="5" t="n">
        <v>0.662</v>
      </c>
      <c r="AA29" s="5" t="n">
        <v>0</v>
      </c>
      <c r="AB29" s="5" t="n">
        <v>6.034</v>
      </c>
      <c r="AC29" s="5" t="n">
        <v>0</v>
      </c>
      <c r="AD29" s="5" t="n">
        <v>1</v>
      </c>
      <c r="AE29" s="5" t="n">
        <v>6.696</v>
      </c>
      <c r="AF29" s="5" t="n">
        <v>1.302</v>
      </c>
      <c r="AG29" s="5" t="n">
        <v>0</v>
      </c>
      <c r="AH29" s="5" t="n">
        <v>6.696</v>
      </c>
      <c r="AI29" s="5" t="n">
        <v>0</v>
      </c>
      <c r="AJ29" s="5" t="n">
        <v>1</v>
      </c>
      <c r="AK29" s="5" t="n">
        <v>10.667</v>
      </c>
      <c r="AL29" s="5" t="n">
        <v>5.032</v>
      </c>
      <c r="AM29" s="5" t="n">
        <v>0.203</v>
      </c>
      <c r="AN29" s="5" t="n">
        <v>12.161</v>
      </c>
      <c r="AO29" s="5" t="n">
        <v>0.14</v>
      </c>
      <c r="AP29" s="5" t="n">
        <v>1</v>
      </c>
      <c r="AQ29" s="5" t="n">
        <v>0.724</v>
      </c>
      <c r="AR29" s="5" t="n">
        <v>0.132</v>
      </c>
      <c r="AS29" s="5" t="n">
        <v>-0.421</v>
      </c>
      <c r="AT29" s="5" t="n">
        <v>0.345</v>
      </c>
      <c r="AU29" s="5" t="n">
        <v>0</v>
      </c>
      <c r="AV29" s="5" t="n">
        <v>0</v>
      </c>
      <c r="AW29" s="5" t="n">
        <v>0.75</v>
      </c>
      <c r="AX29" s="5" t="n">
        <v>0.132</v>
      </c>
      <c r="AY29" s="5" t="n">
        <v>-0.5649999999999999</v>
      </c>
      <c r="AZ29" s="5" t="n">
        <v>0.211</v>
      </c>
      <c r="BA29" s="5" t="n">
        <v>0</v>
      </c>
      <c r="BB29" s="5" t="n">
        <v>0</v>
      </c>
      <c r="BC29" s="5" t="n">
        <v>0.513</v>
      </c>
      <c r="BD29" s="5" t="n">
        <v>0.132</v>
      </c>
      <c r="BE29" s="5" t="n">
        <v>-0.361</v>
      </c>
      <c r="BF29" s="5" t="n">
        <v>0.173</v>
      </c>
      <c r="BG29" s="5" t="n">
        <v>0</v>
      </c>
      <c r="BH29" s="5" t="n">
        <v>0</v>
      </c>
      <c r="BI29" s="5" t="n">
        <v>0.591</v>
      </c>
      <c r="BJ29" s="5" t="n">
        <v>0.132</v>
      </c>
      <c r="BK29" s="5" t="n">
        <v>-0.522</v>
      </c>
      <c r="BL29" s="5" t="n">
        <v>0.079</v>
      </c>
      <c r="BM29" s="5" t="n">
        <v>0</v>
      </c>
      <c r="BN29" s="5" t="n">
        <v>0</v>
      </c>
      <c r="BO29" s="5" t="n">
        <v>0</v>
      </c>
      <c r="BP29" s="5" t="n">
        <v>-0.112</v>
      </c>
      <c r="BQ29" s="5" t="n">
        <v>0.007</v>
      </c>
      <c r="BR29" s="5" t="n">
        <v>0</v>
      </c>
      <c r="BS29" s="5" t="n">
        <v>1</v>
      </c>
      <c r="BT29" s="5" t="n">
        <v>0</v>
      </c>
      <c r="BU29" s="5" t="n">
        <v>-0.112</v>
      </c>
      <c r="BV29" s="5" t="n">
        <v>0.012</v>
      </c>
      <c r="BW29" s="5" t="n">
        <v>0</v>
      </c>
      <c r="BX29" s="5" t="n">
        <v>1</v>
      </c>
      <c r="BY29" s="5" t="n">
        <v>13.646</v>
      </c>
      <c r="BZ29" s="5" t="n">
        <v>0</v>
      </c>
      <c r="CA29" s="5" t="n">
        <v>13.646</v>
      </c>
      <c r="CB29" s="5" t="n">
        <v>0</v>
      </c>
      <c r="CC29" s="5" t="n">
        <v>82.58799999999999</v>
      </c>
      <c r="CD29" s="5" t="n">
        <v>7.95</v>
      </c>
      <c r="CE29" s="5" t="n">
        <v>1.575</v>
      </c>
      <c r="CF29" s="5" t="n">
        <v>94.15000000000001</v>
      </c>
      <c r="CG29" s="5" t="n">
        <v>0.14</v>
      </c>
      <c r="CH29" s="5" t="n">
        <v>1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1.387</v>
      </c>
      <c r="CR29" s="5" t="n">
        <v>1</v>
      </c>
      <c r="CS29" s="5" t="n">
        <v>5.373</v>
      </c>
      <c r="CT29" s="5" t="n">
        <v>4.251</v>
      </c>
      <c r="CU29" s="5" t="n">
        <v>7.598</v>
      </c>
    </row>
    <row r="30">
      <c r="A30" s="5" t="inlineStr">
        <is>
          <t>AIA2021</t>
        </is>
      </c>
      <c r="B30" s="5" t="inlineStr">
        <is>
          <t>AIA</t>
        </is>
      </c>
      <c r="C30" s="5" t="inlineStr">
        <is>
          <t>AIA</t>
        </is>
      </c>
      <c r="D30" s="5" t="inlineStr">
        <is>
          <t>Anguilla</t>
        </is>
      </c>
      <c r="E30" s="5" t="n">
        <v>2021</v>
      </c>
      <c r="F30" s="5" t="n">
        <v>0</v>
      </c>
      <c r="G30" s="5" t="n">
        <v>5.897</v>
      </c>
      <c r="H30" s="5" t="n">
        <v>1.143</v>
      </c>
      <c r="I30" s="5" t="n">
        <v>0</v>
      </c>
      <c r="J30" s="5" t="n">
        <v>5.897</v>
      </c>
      <c r="K30" s="5" t="n">
        <v>0</v>
      </c>
      <c r="L30" s="5" t="n">
        <v>1</v>
      </c>
      <c r="M30" s="5" t="n">
        <v>7.964</v>
      </c>
      <c r="N30" s="5" t="n">
        <v>3.43</v>
      </c>
      <c r="O30" s="5" t="n">
        <v>0</v>
      </c>
      <c r="P30" s="5" t="n">
        <v>7.964</v>
      </c>
      <c r="Q30" s="5" t="n">
        <v>0</v>
      </c>
      <c r="R30" s="5" t="n">
        <v>1</v>
      </c>
      <c r="S30" s="5" t="n">
        <v>11.613</v>
      </c>
      <c r="T30" s="5" t="n">
        <v>6.86</v>
      </c>
      <c r="U30" s="5" t="n">
        <v>0</v>
      </c>
      <c r="V30" s="5" t="n">
        <v>11.613</v>
      </c>
      <c r="W30" s="5" t="n">
        <v>0</v>
      </c>
      <c r="X30" s="5" t="n">
        <v>1</v>
      </c>
      <c r="Y30" s="5" t="n">
        <v>17.127</v>
      </c>
      <c r="Z30" s="5" t="n">
        <v>2.304</v>
      </c>
      <c r="AA30" s="5" t="n">
        <v>0</v>
      </c>
      <c r="AB30" s="5" t="n">
        <v>17.127</v>
      </c>
      <c r="AC30" s="5" t="n">
        <v>0</v>
      </c>
      <c r="AD30" s="5" t="n">
        <v>1</v>
      </c>
      <c r="AE30" s="5" t="n">
        <v>18.27</v>
      </c>
      <c r="AF30" s="5" t="n">
        <v>4.278</v>
      </c>
      <c r="AG30" s="5" t="n">
        <v>0</v>
      </c>
      <c r="AH30" s="5" t="n">
        <v>18.27</v>
      </c>
      <c r="AI30" s="5" t="n">
        <v>0</v>
      </c>
      <c r="AJ30" s="5" t="n">
        <v>1</v>
      </c>
      <c r="AK30" s="5" t="n">
        <v>25.13</v>
      </c>
      <c r="AL30" s="5" t="n">
        <v>13.503</v>
      </c>
      <c r="AM30" s="5" t="n">
        <v>0</v>
      </c>
      <c r="AN30" s="5" t="n">
        <v>25.13</v>
      </c>
      <c r="AO30" s="5" t="n">
        <v>0</v>
      </c>
      <c r="AP30" s="5" t="n">
        <v>1</v>
      </c>
      <c r="AQ30" s="5" t="n">
        <v>0.649</v>
      </c>
      <c r="AR30" s="5" t="n">
        <v>0.114</v>
      </c>
      <c r="AS30" s="5" t="n">
        <v>0</v>
      </c>
      <c r="AT30" s="5" t="n">
        <v>0.649</v>
      </c>
      <c r="AU30" s="5" t="n">
        <v>0</v>
      </c>
      <c r="AV30" s="5" t="n">
        <v>1</v>
      </c>
      <c r="AW30" s="5" t="n">
        <v>0.577</v>
      </c>
      <c r="AX30" s="5" t="n">
        <v>0.114</v>
      </c>
      <c r="AY30" s="5" t="n">
        <v>0</v>
      </c>
      <c r="AZ30" s="5" t="n">
        <v>0.577</v>
      </c>
      <c r="BA30" s="5" t="n">
        <v>0</v>
      </c>
      <c r="BB30" s="5" t="n">
        <v>1</v>
      </c>
      <c r="BC30" s="5" t="n">
        <v>0.458</v>
      </c>
      <c r="BD30" s="5" t="n">
        <v>0.114</v>
      </c>
      <c r="BE30" s="5" t="n">
        <v>0</v>
      </c>
      <c r="BF30" s="5" t="n">
        <v>0.458</v>
      </c>
      <c r="BG30" s="5" t="n">
        <v>0</v>
      </c>
      <c r="BH30" s="5" t="n">
        <v>1</v>
      </c>
      <c r="BI30" s="5" t="n">
        <v>0.491</v>
      </c>
      <c r="BJ30" s="5" t="n">
        <v>0.114</v>
      </c>
      <c r="BK30" s="5" t="n">
        <v>0</v>
      </c>
      <c r="BL30" s="5" t="n">
        <v>0.491</v>
      </c>
      <c r="BM30" s="5" t="n">
        <v>0</v>
      </c>
      <c r="BN30" s="5" t="n">
        <v>1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1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1</v>
      </c>
      <c r="BY30" s="5" t="n">
        <v>11.787</v>
      </c>
      <c r="BZ30" s="5" t="n">
        <v>0</v>
      </c>
      <c r="CA30" s="5" t="n">
        <v>11.787</v>
      </c>
      <c r="CB30" s="5" t="n">
        <v>0</v>
      </c>
      <c r="CC30" s="5" t="n">
        <v>78.125</v>
      </c>
      <c r="CD30" s="5" t="n">
        <v>7.95</v>
      </c>
      <c r="CE30" s="5" t="n">
        <v>0</v>
      </c>
      <c r="CF30" s="5" t="n">
        <v>78.125</v>
      </c>
      <c r="CG30" s="5" t="n">
        <v>0</v>
      </c>
      <c r="CH30" s="5" t="n">
        <v>1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1.198</v>
      </c>
      <c r="CR30" s="5" t="n">
        <v>0</v>
      </c>
      <c r="CS30" s="5" t="n">
        <v>4.776</v>
      </c>
      <c r="CT30" s="5" t="n">
        <v>4.753</v>
      </c>
      <c r="CU30" s="5" t="n">
        <v>15.983</v>
      </c>
    </row>
    <row r="31">
      <c r="A31" s="5" t="inlineStr">
        <is>
          <t>AIA2022</t>
        </is>
      </c>
      <c r="B31" s="5" t="inlineStr">
        <is>
          <t>AIA</t>
        </is>
      </c>
      <c r="C31" s="5" t="inlineStr">
        <is>
          <t>AIA</t>
        </is>
      </c>
      <c r="D31" s="5" t="inlineStr">
        <is>
          <t>Anguilla</t>
        </is>
      </c>
      <c r="E31" s="5" t="n">
        <v>2022</v>
      </c>
      <c r="F31" s="5" t="n">
        <v>0</v>
      </c>
      <c r="G31" s="5" t="n">
        <v>11.72</v>
      </c>
      <c r="H31" s="5" t="n">
        <v>1.235</v>
      </c>
      <c r="I31" s="5" t="n">
        <v>0</v>
      </c>
      <c r="J31" s="5" t="n">
        <v>11.72</v>
      </c>
      <c r="K31" s="5" t="n">
        <v>0</v>
      </c>
      <c r="L31" s="5" t="n">
        <v>1</v>
      </c>
      <c r="M31" s="5" t="n">
        <v>9.782999999999999</v>
      </c>
      <c r="N31" s="5" t="n">
        <v>3.704</v>
      </c>
      <c r="O31" s="5" t="n">
        <v>0</v>
      </c>
      <c r="P31" s="5" t="n">
        <v>9.782999999999999</v>
      </c>
      <c r="Q31" s="5" t="n">
        <v>0</v>
      </c>
      <c r="R31" s="5" t="n">
        <v>1</v>
      </c>
      <c r="S31" s="5" t="n">
        <v>17.893</v>
      </c>
      <c r="T31" s="5" t="n">
        <v>7.408</v>
      </c>
      <c r="U31" s="5" t="n">
        <v>0</v>
      </c>
      <c r="V31" s="5" t="n">
        <v>17.893</v>
      </c>
      <c r="W31" s="5" t="n">
        <v>0</v>
      </c>
      <c r="X31" s="5" t="n">
        <v>1</v>
      </c>
      <c r="Y31" s="5" t="n">
        <v>30.728</v>
      </c>
      <c r="Z31" s="5" t="n">
        <v>4.133</v>
      </c>
      <c r="AA31" s="5" t="n">
        <v>0</v>
      </c>
      <c r="AB31" s="5" t="n">
        <v>30.728</v>
      </c>
      <c r="AC31" s="5" t="n">
        <v>0</v>
      </c>
      <c r="AD31" s="5" t="n">
        <v>1</v>
      </c>
      <c r="AE31" s="5" t="n">
        <v>31.963</v>
      </c>
      <c r="AF31" s="5" t="n">
        <v>7.485</v>
      </c>
      <c r="AG31" s="5" t="n">
        <v>0</v>
      </c>
      <c r="AH31" s="5" t="n">
        <v>31.963</v>
      </c>
      <c r="AI31" s="5" t="n">
        <v>0</v>
      </c>
      <c r="AJ31" s="5" t="n">
        <v>1</v>
      </c>
      <c r="AK31" s="5" t="n">
        <v>39.371</v>
      </c>
      <c r="AL31" s="5" t="n">
        <v>21.155</v>
      </c>
      <c r="AM31" s="5" t="n">
        <v>0</v>
      </c>
      <c r="AN31" s="5" t="n">
        <v>39.371</v>
      </c>
      <c r="AO31" s="5" t="n">
        <v>0</v>
      </c>
      <c r="AP31" s="5" t="n">
        <v>1</v>
      </c>
      <c r="AQ31" s="5" t="n">
        <v>0.896</v>
      </c>
      <c r="AR31" s="5" t="n">
        <v>0.123</v>
      </c>
      <c r="AS31" s="5" t="n">
        <v>0</v>
      </c>
      <c r="AT31" s="5" t="n">
        <v>0.896</v>
      </c>
      <c r="AU31" s="5" t="n">
        <v>0</v>
      </c>
      <c r="AV31" s="5" t="n">
        <v>1</v>
      </c>
      <c r="AW31" s="5" t="n">
        <v>0.89</v>
      </c>
      <c r="AX31" s="5" t="n">
        <v>0.123</v>
      </c>
      <c r="AY31" s="5" t="n">
        <v>0</v>
      </c>
      <c r="AZ31" s="5" t="n">
        <v>0.89</v>
      </c>
      <c r="BA31" s="5" t="n">
        <v>0</v>
      </c>
      <c r="BB31" s="5" t="n">
        <v>1</v>
      </c>
      <c r="BC31" s="5" t="n">
        <v>0.62</v>
      </c>
      <c r="BD31" s="5" t="n">
        <v>0.123</v>
      </c>
      <c r="BE31" s="5" t="n">
        <v>0</v>
      </c>
      <c r="BF31" s="5" t="n">
        <v>0.62</v>
      </c>
      <c r="BG31" s="5" t="n">
        <v>0</v>
      </c>
      <c r="BH31" s="5" t="n">
        <v>1</v>
      </c>
      <c r="BI31" s="5" t="n">
        <v>0.608</v>
      </c>
      <c r="BJ31" s="5" t="n">
        <v>0.123</v>
      </c>
      <c r="BK31" s="5" t="n">
        <v>0</v>
      </c>
      <c r="BL31" s="5" t="n">
        <v>0.608</v>
      </c>
      <c r="BM31" s="5" t="n">
        <v>0</v>
      </c>
      <c r="BN31" s="5" t="n">
        <v>1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1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1</v>
      </c>
      <c r="BY31" s="5" t="n">
        <v>12.729</v>
      </c>
      <c r="BZ31" s="5" t="n">
        <v>0</v>
      </c>
      <c r="CA31" s="5" t="n">
        <v>12.729</v>
      </c>
      <c r="CB31" s="5" t="n">
        <v>0</v>
      </c>
      <c r="CC31" s="5" t="n">
        <v>97.90000000000001</v>
      </c>
      <c r="CD31" s="5" t="n">
        <v>7.95</v>
      </c>
      <c r="CE31" s="5" t="n">
        <v>0</v>
      </c>
      <c r="CF31" s="5" t="n">
        <v>97.90000000000001</v>
      </c>
      <c r="CG31" s="5" t="n">
        <v>0</v>
      </c>
      <c r="CH31" s="5" t="n">
        <v>1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1.294</v>
      </c>
      <c r="CR31" s="5" t="n">
        <v>0</v>
      </c>
      <c r="CS31" s="5" t="n">
        <v>5.158</v>
      </c>
      <c r="CT31" s="5" t="n">
        <v>10.485</v>
      </c>
      <c r="CU31" s="5" t="n">
        <v>29.494</v>
      </c>
    </row>
    <row r="32">
      <c r="A32" s="5" t="inlineStr">
        <is>
          <t>AIA2023</t>
        </is>
      </c>
      <c r="B32" s="5" t="inlineStr">
        <is>
          <t>AIA</t>
        </is>
      </c>
      <c r="C32" s="5" t="inlineStr">
        <is>
          <t>AIA</t>
        </is>
      </c>
      <c r="D32" s="5" t="inlineStr">
        <is>
          <t>Anguilla</t>
        </is>
      </c>
      <c r="E32" s="5" t="n">
        <v>2023</v>
      </c>
      <c r="F32" s="5" t="n">
        <v>0</v>
      </c>
      <c r="G32" s="5" t="n">
        <v>6.147</v>
      </c>
      <c r="H32" s="5" t="n">
        <v>1.286</v>
      </c>
      <c r="I32" s="5" t="n">
        <v>0</v>
      </c>
      <c r="J32" s="5" t="n">
        <v>6.147</v>
      </c>
      <c r="K32" s="5" t="n">
        <v>0</v>
      </c>
      <c r="L32" s="5" t="n">
        <v>1</v>
      </c>
      <c r="M32" s="5" t="n">
        <v>7.886</v>
      </c>
      <c r="N32" s="5" t="n">
        <v>3.857</v>
      </c>
      <c r="O32" s="5" t="n">
        <v>0</v>
      </c>
      <c r="P32" s="5" t="n">
        <v>7.886</v>
      </c>
      <c r="Q32" s="5" t="n">
        <v>0</v>
      </c>
      <c r="R32" s="5" t="n">
        <v>1</v>
      </c>
      <c r="S32" s="5" t="n">
        <v>12.575</v>
      </c>
      <c r="T32" s="5" t="n">
        <v>7.714</v>
      </c>
      <c r="U32" s="5" t="n">
        <v>0</v>
      </c>
      <c r="V32" s="5" t="n">
        <v>12.575</v>
      </c>
      <c r="W32" s="5" t="n">
        <v>0</v>
      </c>
      <c r="X32" s="5" t="n">
        <v>1</v>
      </c>
      <c r="Y32" s="5" t="n">
        <v>12.478</v>
      </c>
      <c r="Z32" s="5" t="n">
        <v>1.678</v>
      </c>
      <c r="AA32" s="5" t="n">
        <v>0</v>
      </c>
      <c r="AB32" s="5" t="n">
        <v>12.478</v>
      </c>
      <c r="AC32" s="5" t="n">
        <v>0</v>
      </c>
      <c r="AD32" s="5" t="n">
        <v>1</v>
      </c>
      <c r="AE32" s="5" t="n">
        <v>13.763</v>
      </c>
      <c r="AF32" s="5" t="n">
        <v>3.223</v>
      </c>
      <c r="AG32" s="5" t="n">
        <v>0</v>
      </c>
      <c r="AH32" s="5" t="n">
        <v>13.763</v>
      </c>
      <c r="AI32" s="5" t="n">
        <v>0</v>
      </c>
      <c r="AJ32" s="5" t="n">
        <v>1</v>
      </c>
      <c r="AK32" s="5" t="n">
        <v>21.477</v>
      </c>
      <c r="AL32" s="5" t="n">
        <v>11.54</v>
      </c>
      <c r="AM32" s="5" t="n">
        <v>0</v>
      </c>
      <c r="AN32" s="5" t="n">
        <v>21.477</v>
      </c>
      <c r="AO32" s="5" t="n">
        <v>0</v>
      </c>
      <c r="AP32" s="5" t="n">
        <v>1</v>
      </c>
      <c r="AQ32" s="5" t="n">
        <v>0.791</v>
      </c>
      <c r="AR32" s="5" t="n">
        <v>0.129</v>
      </c>
      <c r="AS32" s="5" t="n">
        <v>0</v>
      </c>
      <c r="AT32" s="5" t="n">
        <v>0.791</v>
      </c>
      <c r="AU32" s="5" t="n">
        <v>0</v>
      </c>
      <c r="AV32" s="5" t="n">
        <v>1</v>
      </c>
      <c r="AW32" s="5" t="n">
        <v>0.618</v>
      </c>
      <c r="AX32" s="5" t="n">
        <v>0.129</v>
      </c>
      <c r="AY32" s="5" t="n">
        <v>0</v>
      </c>
      <c r="AZ32" s="5" t="n">
        <v>0.618</v>
      </c>
      <c r="BA32" s="5" t="n">
        <v>0</v>
      </c>
      <c r="BB32" s="5" t="n">
        <v>1</v>
      </c>
      <c r="BC32" s="5" t="n">
        <v>0.554</v>
      </c>
      <c r="BD32" s="5" t="n">
        <v>0.129</v>
      </c>
      <c r="BE32" s="5" t="n">
        <v>0</v>
      </c>
      <c r="BF32" s="5" t="n">
        <v>0.554</v>
      </c>
      <c r="BG32" s="5" t="n">
        <v>0</v>
      </c>
      <c r="BH32" s="5" t="n">
        <v>1</v>
      </c>
      <c r="BI32" s="5" t="n">
        <v>0.5570000000000001</v>
      </c>
      <c r="BJ32" s="5" t="n">
        <v>0.129</v>
      </c>
      <c r="BK32" s="5" t="n">
        <v>0</v>
      </c>
      <c r="BL32" s="5" t="n">
        <v>0.5570000000000001</v>
      </c>
      <c r="BM32" s="5" t="n">
        <v>0</v>
      </c>
      <c r="BN32" s="5" t="n">
        <v>1</v>
      </c>
      <c r="BO32" s="5" t="n">
        <v>0</v>
      </c>
      <c r="BP32" s="5" t="n">
        <v>0</v>
      </c>
      <c r="BQ32" s="5" t="n">
        <v>0</v>
      </c>
      <c r="BR32" s="5" t="n">
        <v>0</v>
      </c>
      <c r="BS32" s="5" t="n">
        <v>1</v>
      </c>
      <c r="BT32" s="5" t="n">
        <v>0</v>
      </c>
      <c r="BU32" s="5" t="n">
        <v>0</v>
      </c>
      <c r="BV32" s="5" t="n">
        <v>0</v>
      </c>
      <c r="BW32" s="5" t="n">
        <v>0</v>
      </c>
      <c r="BX32" s="5" t="n">
        <v>1</v>
      </c>
      <c r="BY32" s="5" t="n">
        <v>13.254</v>
      </c>
      <c r="BZ32" s="5" t="n">
        <v>0</v>
      </c>
      <c r="CA32" s="5" t="n">
        <v>13.254</v>
      </c>
      <c r="CB32" s="5" t="n">
        <v>0</v>
      </c>
      <c r="CC32" s="5" t="n">
        <v>83.248</v>
      </c>
      <c r="CD32" s="5" t="n">
        <v>7.95</v>
      </c>
      <c r="CE32" s="5" t="n">
        <v>0</v>
      </c>
      <c r="CF32" s="5" t="n">
        <v>83.248</v>
      </c>
      <c r="CG32" s="5" t="n">
        <v>0</v>
      </c>
      <c r="CH32" s="5" t="n">
        <v>1</v>
      </c>
      <c r="CI32" s="5" t="n">
        <v>0</v>
      </c>
      <c r="CJ32" s="5" t="n">
        <v>0</v>
      </c>
      <c r="CK32" s="5" t="n">
        <v>0</v>
      </c>
      <c r="CL32" s="5" t="n">
        <v>0</v>
      </c>
      <c r="CM32" s="5" t="n">
        <v>0</v>
      </c>
      <c r="CN32" s="5" t="n">
        <v>0</v>
      </c>
      <c r="CO32" s="5" t="n">
        <v>0</v>
      </c>
      <c r="CP32" s="5" t="n">
        <v>0</v>
      </c>
      <c r="CQ32" s="5" t="n">
        <v>1.348</v>
      </c>
      <c r="CR32" s="5" t="n">
        <v>0</v>
      </c>
      <c r="CS32" s="5" t="n">
        <v>5.37</v>
      </c>
      <c r="CT32" s="5" t="n">
        <v>4.861</v>
      </c>
      <c r="CU32" s="5" t="n">
        <v>11.192</v>
      </c>
    </row>
    <row r="33">
      <c r="A33" s="5" t="inlineStr">
        <is>
          <t>AIA2024</t>
        </is>
      </c>
      <c r="B33" s="5" t="inlineStr">
        <is>
          <t>AIA</t>
        </is>
      </c>
      <c r="C33" s="5" t="inlineStr">
        <is>
          <t>AIA</t>
        </is>
      </c>
      <c r="D33" s="5" t="inlineStr">
        <is>
          <t>Anguilla</t>
        </is>
      </c>
      <c r="E33" s="5" t="n">
        <v>2024</v>
      </c>
      <c r="F33" s="5" t="n">
        <v>0</v>
      </c>
      <c r="G33" s="5" t="n">
        <v>5.575</v>
      </c>
      <c r="H33" s="5" t="n">
        <v>1.324</v>
      </c>
      <c r="I33" s="5" t="n">
        <v>0</v>
      </c>
      <c r="J33" s="5" t="n">
        <v>5.575</v>
      </c>
      <c r="K33" s="5" t="n">
        <v>0</v>
      </c>
      <c r="L33" s="5" t="n">
        <v>1</v>
      </c>
      <c r="M33" s="5" t="n">
        <v>7.124</v>
      </c>
      <c r="N33" s="5" t="n">
        <v>3.971</v>
      </c>
      <c r="O33" s="5" t="n">
        <v>0</v>
      </c>
      <c r="P33" s="5" t="n">
        <v>7.124</v>
      </c>
      <c r="Q33" s="5" t="n">
        <v>0</v>
      </c>
      <c r="R33" s="5" t="n">
        <v>1</v>
      </c>
      <c r="S33" s="5" t="n">
        <v>12.193</v>
      </c>
      <c r="T33" s="5" t="n">
        <v>7.942</v>
      </c>
      <c r="U33" s="5" t="n">
        <v>0</v>
      </c>
      <c r="V33" s="5" t="n">
        <v>12.193</v>
      </c>
      <c r="W33" s="5" t="n">
        <v>0</v>
      </c>
      <c r="X33" s="5" t="n">
        <v>1</v>
      </c>
      <c r="Y33" s="5" t="n">
        <v>11.447</v>
      </c>
      <c r="Z33" s="5" t="n">
        <v>1.54</v>
      </c>
      <c r="AA33" s="5" t="n">
        <v>0</v>
      </c>
      <c r="AB33" s="5" t="n">
        <v>11.447</v>
      </c>
      <c r="AC33" s="5" t="n">
        <v>0</v>
      </c>
      <c r="AD33" s="5" t="n">
        <v>1</v>
      </c>
      <c r="AE33" s="5" t="n">
        <v>12.771</v>
      </c>
      <c r="AF33" s="5" t="n">
        <v>2.991</v>
      </c>
      <c r="AG33" s="5" t="n">
        <v>0</v>
      </c>
      <c r="AH33" s="5" t="n">
        <v>12.771</v>
      </c>
      <c r="AI33" s="5" t="n">
        <v>0</v>
      </c>
      <c r="AJ33" s="5" t="n">
        <v>1</v>
      </c>
      <c r="AK33" s="5" t="n">
        <v>20.712</v>
      </c>
      <c r="AL33" s="5" t="n">
        <v>11.129</v>
      </c>
      <c r="AM33" s="5" t="n">
        <v>0</v>
      </c>
      <c r="AN33" s="5" t="n">
        <v>20.712</v>
      </c>
      <c r="AO33" s="5" t="n">
        <v>0</v>
      </c>
      <c r="AP33" s="5" t="n">
        <v>1</v>
      </c>
      <c r="AQ33" s="5" t="n">
        <v>0.756</v>
      </c>
      <c r="AR33" s="5" t="n">
        <v>0.132</v>
      </c>
      <c r="AS33" s="5" t="n">
        <v>0</v>
      </c>
      <c r="AT33" s="5" t="n">
        <v>0.756</v>
      </c>
      <c r="AU33" s="5" t="n">
        <v>0</v>
      </c>
      <c r="AV33" s="5" t="n">
        <v>1</v>
      </c>
      <c r="AW33" s="5" t="n">
        <v>0.655</v>
      </c>
      <c r="AX33" s="5" t="n">
        <v>0.132</v>
      </c>
      <c r="AY33" s="5" t="n">
        <v>0</v>
      </c>
      <c r="AZ33" s="5" t="n">
        <v>0.655</v>
      </c>
      <c r="BA33" s="5" t="n">
        <v>0</v>
      </c>
      <c r="BB33" s="5" t="n">
        <v>1</v>
      </c>
      <c r="BC33" s="5" t="n">
        <v>0.534</v>
      </c>
      <c r="BD33" s="5" t="n">
        <v>0.132</v>
      </c>
      <c r="BE33" s="5" t="n">
        <v>0</v>
      </c>
      <c r="BF33" s="5" t="n">
        <v>0.534</v>
      </c>
      <c r="BG33" s="5" t="n">
        <v>0</v>
      </c>
      <c r="BH33" s="5" t="n">
        <v>1</v>
      </c>
      <c r="BI33" s="5" t="n">
        <v>0.5679999999999999</v>
      </c>
      <c r="BJ33" s="5" t="n">
        <v>0.132</v>
      </c>
      <c r="BK33" s="5" t="n">
        <v>0</v>
      </c>
      <c r="BL33" s="5" t="n">
        <v>0.5679999999999999</v>
      </c>
      <c r="BM33" s="5" t="n">
        <v>0</v>
      </c>
      <c r="BN33" s="5" t="n">
        <v>1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1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1</v>
      </c>
      <c r="BY33" s="5" t="n">
        <v>13.646</v>
      </c>
      <c r="BZ33" s="5" t="n">
        <v>0</v>
      </c>
      <c r="CA33" s="5" t="n">
        <v>13.646</v>
      </c>
      <c r="CB33" s="5" t="n">
        <v>0</v>
      </c>
      <c r="CC33" s="5" t="n">
        <v>82.58799999999999</v>
      </c>
      <c r="CD33" s="5" t="n">
        <v>7.95</v>
      </c>
      <c r="CE33" s="5" t="n">
        <v>0</v>
      </c>
      <c r="CF33" s="5" t="n">
        <v>82.58799999999999</v>
      </c>
      <c r="CG33" s="5" t="n">
        <v>0</v>
      </c>
      <c r="CH33" s="5" t="n">
        <v>1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1.387</v>
      </c>
      <c r="CR33" s="5" t="n">
        <v>0</v>
      </c>
      <c r="CS33" s="5" t="n">
        <v>5.529</v>
      </c>
      <c r="CT33" s="5" t="n">
        <v>4.251</v>
      </c>
      <c r="CU33" s="5" t="n">
        <v>10.123</v>
      </c>
    </row>
    <row r="34">
      <c r="A34" s="5" t="inlineStr">
        <is>
          <t>ATG2021</t>
        </is>
      </c>
      <c r="B34" s="5" t="inlineStr">
        <is>
          <t>ATG</t>
        </is>
      </c>
      <c r="C34" s="5" t="inlineStr">
        <is>
          <t>ATG</t>
        </is>
      </c>
      <c r="D34" s="5" t="inlineStr">
        <is>
          <t>Antigua and Barbuda</t>
        </is>
      </c>
      <c r="E34" s="5" t="n">
        <v>2021</v>
      </c>
      <c r="F34" s="5" t="n">
        <v>0.15</v>
      </c>
      <c r="G34" s="5" t="n">
        <v>5.897</v>
      </c>
      <c r="H34" s="5" t="n">
        <v>1.143</v>
      </c>
      <c r="I34" s="5" t="n">
        <v>0</v>
      </c>
      <c r="J34" s="5" t="n">
        <v>5.897</v>
      </c>
      <c r="K34" s="5" t="n">
        <v>0</v>
      </c>
      <c r="L34" s="5" t="n">
        <v>1</v>
      </c>
      <c r="M34" s="5" t="n">
        <v>7.964</v>
      </c>
      <c r="N34" s="5" t="n">
        <v>3.43</v>
      </c>
      <c r="O34" s="5" t="n">
        <v>0</v>
      </c>
      <c r="P34" s="5" t="n">
        <v>7.964</v>
      </c>
      <c r="Q34" s="5" t="n">
        <v>0</v>
      </c>
      <c r="R34" s="5" t="n">
        <v>1</v>
      </c>
      <c r="S34" s="5" t="n">
        <v>11.613</v>
      </c>
      <c r="T34" s="5" t="n">
        <v>6.86</v>
      </c>
      <c r="U34" s="5" t="n">
        <v>0</v>
      </c>
      <c r="V34" s="5" t="n">
        <v>13.588</v>
      </c>
      <c r="W34" s="5" t="n">
        <v>0.17</v>
      </c>
      <c r="X34" s="5" t="n">
        <v>1</v>
      </c>
      <c r="Y34" s="5" t="n">
        <v>17.127</v>
      </c>
      <c r="Z34" s="5" t="n">
        <v>2.304</v>
      </c>
      <c r="AA34" s="5" t="n">
        <v>0</v>
      </c>
      <c r="AB34" s="5" t="n">
        <v>17.127</v>
      </c>
      <c r="AC34" s="5" t="n">
        <v>0</v>
      </c>
      <c r="AD34" s="5" t="n">
        <v>1</v>
      </c>
      <c r="AE34" s="5" t="n">
        <v>18.27</v>
      </c>
      <c r="AF34" s="5" t="n">
        <v>4.278</v>
      </c>
      <c r="AG34" s="5" t="n">
        <v>0</v>
      </c>
      <c r="AH34" s="5" t="n">
        <v>18.27</v>
      </c>
      <c r="AI34" s="5" t="n">
        <v>0</v>
      </c>
      <c r="AJ34" s="5" t="n">
        <v>1</v>
      </c>
      <c r="AK34" s="5" t="n">
        <v>25.13</v>
      </c>
      <c r="AL34" s="5" t="n">
        <v>13.503</v>
      </c>
      <c r="AM34" s="5" t="n">
        <v>0</v>
      </c>
      <c r="AN34" s="5" t="n">
        <v>29.402</v>
      </c>
      <c r="AO34" s="5" t="n">
        <v>0.17</v>
      </c>
      <c r="AP34" s="5" t="n">
        <v>1</v>
      </c>
      <c r="AQ34" s="5" t="n">
        <v>0.649</v>
      </c>
      <c r="AR34" s="5" t="n">
        <v>0.114</v>
      </c>
      <c r="AS34" s="5" t="n">
        <v>0.554</v>
      </c>
      <c r="AT34" s="5" t="n">
        <v>1.218</v>
      </c>
      <c r="AU34" s="5" t="n">
        <v>0.013</v>
      </c>
      <c r="AV34" s="5" t="n">
        <v>1</v>
      </c>
      <c r="AW34" s="5" t="n">
        <v>0.577</v>
      </c>
      <c r="AX34" s="5" t="n">
        <v>0.114</v>
      </c>
      <c r="AY34" s="5" t="n">
        <v>0.202</v>
      </c>
      <c r="AZ34" s="5" t="n">
        <v>0.911</v>
      </c>
      <c r="BA34" s="5" t="n">
        <v>0.17</v>
      </c>
      <c r="BB34" s="5" t="n">
        <v>1</v>
      </c>
      <c r="BC34" s="5" t="n">
        <v>0.458</v>
      </c>
      <c r="BD34" s="5" t="n">
        <v>0.114</v>
      </c>
      <c r="BE34" s="5" t="n">
        <v>0.158</v>
      </c>
      <c r="BF34" s="5" t="n">
        <v>0.721</v>
      </c>
      <c r="BG34" s="5" t="n">
        <v>0.17</v>
      </c>
      <c r="BH34" s="5" t="n">
        <v>0</v>
      </c>
      <c r="BI34" s="5" t="n">
        <v>0.491</v>
      </c>
      <c r="BJ34" s="5" t="n">
        <v>0.114</v>
      </c>
      <c r="BK34" s="5" t="n">
        <v>0.018</v>
      </c>
      <c r="BL34" s="5" t="n">
        <v>0.595</v>
      </c>
      <c r="BM34" s="5" t="n">
        <v>0.17</v>
      </c>
      <c r="BN34" s="5" t="n">
        <v>1</v>
      </c>
      <c r="BO34" s="5" t="n">
        <v>0</v>
      </c>
      <c r="BP34" s="5" t="n">
        <v>0.126</v>
      </c>
      <c r="BQ34" s="5" t="n">
        <v>0.71</v>
      </c>
      <c r="BR34" s="5" t="n">
        <v>0</v>
      </c>
      <c r="BS34" s="5" t="n">
        <v>1</v>
      </c>
      <c r="BT34" s="5" t="n">
        <v>0</v>
      </c>
      <c r="BU34" s="5" t="n">
        <v>0</v>
      </c>
      <c r="BV34" s="5" t="n">
        <v>0.388</v>
      </c>
      <c r="BW34" s="5" t="n">
        <v>0</v>
      </c>
      <c r="BX34" s="5" t="n">
        <v>0.667</v>
      </c>
      <c r="BY34" s="5" t="n">
        <v>11.787</v>
      </c>
      <c r="BZ34" s="5" t="n">
        <v>0</v>
      </c>
      <c r="CA34" s="5" t="n">
        <v>11.787</v>
      </c>
      <c r="CB34" s="5" t="n">
        <v>0</v>
      </c>
      <c r="CC34" s="5" t="n">
        <v>78.125</v>
      </c>
      <c r="CD34" s="5" t="n">
        <v>7.95</v>
      </c>
      <c r="CE34" s="5" t="n">
        <v>0</v>
      </c>
      <c r="CF34" s="5" t="n">
        <v>91.40600000000001</v>
      </c>
      <c r="CG34" s="5" t="n">
        <v>0.17</v>
      </c>
      <c r="CH34" s="5" t="n">
        <v>1</v>
      </c>
      <c r="CI34" s="5" t="n">
        <v>0</v>
      </c>
      <c r="CJ34" s="5" t="n">
        <v>0</v>
      </c>
      <c r="CK34" s="5" t="n">
        <v>0</v>
      </c>
      <c r="CL34" s="5" t="n">
        <v>0</v>
      </c>
      <c r="CM34" s="5" t="n">
        <v>0</v>
      </c>
      <c r="CN34" s="5" t="n">
        <v>0</v>
      </c>
      <c r="CO34" s="5" t="n">
        <v>0</v>
      </c>
      <c r="CP34" s="5" t="n">
        <v>0</v>
      </c>
      <c r="CQ34" s="5" t="n">
        <v>1.198</v>
      </c>
      <c r="CR34" s="5" t="n">
        <v>0</v>
      </c>
      <c r="CS34" s="5" t="n">
        <v>4.776</v>
      </c>
      <c r="CT34" s="5" t="n">
        <v>4.753</v>
      </c>
      <c r="CU34" s="5" t="n">
        <v>15.983</v>
      </c>
    </row>
    <row r="35">
      <c r="A35" s="5" t="inlineStr">
        <is>
          <t>ATG2022</t>
        </is>
      </c>
      <c r="B35" s="5" t="inlineStr">
        <is>
          <t>ATG</t>
        </is>
      </c>
      <c r="C35" s="5" t="inlineStr">
        <is>
          <t>ATG</t>
        </is>
      </c>
      <c r="D35" s="5" t="inlineStr">
        <is>
          <t>Antigua and Barbuda</t>
        </is>
      </c>
      <c r="E35" s="5" t="n">
        <v>2022</v>
      </c>
      <c r="F35" s="5" t="n">
        <v>0.15</v>
      </c>
      <c r="G35" s="5" t="n">
        <v>11.72</v>
      </c>
      <c r="H35" s="5" t="n">
        <v>1.235</v>
      </c>
      <c r="I35" s="5" t="n">
        <v>0</v>
      </c>
      <c r="J35" s="5" t="n">
        <v>11.72</v>
      </c>
      <c r="K35" s="5" t="n">
        <v>0</v>
      </c>
      <c r="L35" s="5" t="n">
        <v>1</v>
      </c>
      <c r="M35" s="5" t="n">
        <v>9.782999999999999</v>
      </c>
      <c r="N35" s="5" t="n">
        <v>3.704</v>
      </c>
      <c r="O35" s="5" t="n">
        <v>0</v>
      </c>
      <c r="P35" s="5" t="n">
        <v>9.782999999999999</v>
      </c>
      <c r="Q35" s="5" t="n">
        <v>0</v>
      </c>
      <c r="R35" s="5" t="n">
        <v>1</v>
      </c>
      <c r="S35" s="5" t="n">
        <v>17.893</v>
      </c>
      <c r="T35" s="5" t="n">
        <v>7.408</v>
      </c>
      <c r="U35" s="5" t="n">
        <v>0.225</v>
      </c>
      <c r="V35" s="5" t="n">
        <v>20.935</v>
      </c>
      <c r="W35" s="5" t="n">
        <v>0.17</v>
      </c>
      <c r="X35" s="5" t="n">
        <v>1</v>
      </c>
      <c r="Y35" s="5" t="n">
        <v>30.728</v>
      </c>
      <c r="Z35" s="5" t="n">
        <v>4.133</v>
      </c>
      <c r="AA35" s="5" t="n">
        <v>0</v>
      </c>
      <c r="AB35" s="5" t="n">
        <v>30.728</v>
      </c>
      <c r="AC35" s="5" t="n">
        <v>0</v>
      </c>
      <c r="AD35" s="5" t="n">
        <v>1</v>
      </c>
      <c r="AE35" s="5" t="n">
        <v>31.963</v>
      </c>
      <c r="AF35" s="5" t="n">
        <v>7.485</v>
      </c>
      <c r="AG35" s="5" t="n">
        <v>0</v>
      </c>
      <c r="AH35" s="5" t="n">
        <v>31.963</v>
      </c>
      <c r="AI35" s="5" t="n">
        <v>0</v>
      </c>
      <c r="AJ35" s="5" t="n">
        <v>1</v>
      </c>
      <c r="AK35" s="5" t="n">
        <v>39.371</v>
      </c>
      <c r="AL35" s="5" t="n">
        <v>21.155</v>
      </c>
      <c r="AM35" s="5" t="n">
        <v>0.495</v>
      </c>
      <c r="AN35" s="5" t="n">
        <v>46.064</v>
      </c>
      <c r="AO35" s="5" t="n">
        <v>0.17</v>
      </c>
      <c r="AP35" s="5" t="n">
        <v>1</v>
      </c>
      <c r="AQ35" s="5" t="n">
        <v>0.896</v>
      </c>
      <c r="AR35" s="5" t="n">
        <v>0.123</v>
      </c>
      <c r="AS35" s="5" t="n">
        <v>0.5629999999999999</v>
      </c>
      <c r="AT35" s="5" t="n">
        <v>1.479</v>
      </c>
      <c r="AU35" s="5" t="n">
        <v>0.013</v>
      </c>
      <c r="AV35" s="5" t="n">
        <v>1</v>
      </c>
      <c r="AW35" s="5" t="n">
        <v>0.89</v>
      </c>
      <c r="AX35" s="5" t="n">
        <v>0.123</v>
      </c>
      <c r="AY35" s="5" t="n">
        <v>0.105</v>
      </c>
      <c r="AZ35" s="5" t="n">
        <v>1.165</v>
      </c>
      <c r="BA35" s="5" t="n">
        <v>0.17</v>
      </c>
      <c r="BB35" s="5" t="n">
        <v>1</v>
      </c>
      <c r="BC35" s="5" t="n">
        <v>0.62</v>
      </c>
      <c r="BD35" s="5" t="n">
        <v>0.123</v>
      </c>
      <c r="BE35" s="5" t="n">
        <v>-0.004</v>
      </c>
      <c r="BF35" s="5" t="n">
        <v>0.721</v>
      </c>
      <c r="BG35" s="5" t="n">
        <v>0.17</v>
      </c>
      <c r="BH35" s="5" t="n">
        <v>0</v>
      </c>
      <c r="BI35" s="5" t="n">
        <v>0.608</v>
      </c>
      <c r="BJ35" s="5" t="n">
        <v>0.123</v>
      </c>
      <c r="BK35" s="5" t="n">
        <v>0.016</v>
      </c>
      <c r="BL35" s="5" t="n">
        <v>0.72</v>
      </c>
      <c r="BM35" s="5" t="n">
        <v>0.17</v>
      </c>
      <c r="BN35" s="5" t="n">
        <v>1</v>
      </c>
      <c r="BO35" s="5" t="n">
        <v>0</v>
      </c>
      <c r="BP35" s="5" t="n">
        <v>0.136</v>
      </c>
      <c r="BQ35" s="5" t="n">
        <v>0.767</v>
      </c>
      <c r="BR35" s="5" t="n">
        <v>0</v>
      </c>
      <c r="BS35" s="5" t="n">
        <v>1</v>
      </c>
      <c r="BT35" s="5" t="n">
        <v>0</v>
      </c>
      <c r="BU35" s="5" t="n">
        <v>0</v>
      </c>
      <c r="BV35" s="5" t="n">
        <v>0.419</v>
      </c>
      <c r="BW35" s="5" t="n">
        <v>0</v>
      </c>
      <c r="BX35" s="5" t="n">
        <v>0.667</v>
      </c>
      <c r="BY35" s="5" t="n">
        <v>12.729</v>
      </c>
      <c r="BZ35" s="5" t="n">
        <v>0</v>
      </c>
      <c r="CA35" s="5" t="n">
        <v>12.729</v>
      </c>
      <c r="CB35" s="5" t="n">
        <v>0</v>
      </c>
      <c r="CC35" s="5" t="n">
        <v>97.90000000000001</v>
      </c>
      <c r="CD35" s="5" t="n">
        <v>7.95</v>
      </c>
      <c r="CE35" s="5" t="n">
        <v>1.232</v>
      </c>
      <c r="CF35" s="5" t="n">
        <v>114.543</v>
      </c>
      <c r="CG35" s="5" t="n">
        <v>0.17</v>
      </c>
      <c r="CH35" s="5" t="n">
        <v>1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1.294</v>
      </c>
      <c r="CR35" s="5" t="n">
        <v>0</v>
      </c>
      <c r="CS35" s="5" t="n">
        <v>5.158</v>
      </c>
      <c r="CT35" s="5" t="n">
        <v>10.485</v>
      </c>
      <c r="CU35" s="5" t="n">
        <v>29.494</v>
      </c>
    </row>
    <row r="36">
      <c r="A36" s="5" t="inlineStr">
        <is>
          <t>ATG2023</t>
        </is>
      </c>
      <c r="B36" s="5" t="inlineStr">
        <is>
          <t>ATG</t>
        </is>
      </c>
      <c r="C36" s="5" t="inlineStr">
        <is>
          <t>ATG</t>
        </is>
      </c>
      <c r="D36" s="5" t="inlineStr">
        <is>
          <t>Antigua and Barbuda</t>
        </is>
      </c>
      <c r="E36" s="5" t="n">
        <v>2023</v>
      </c>
      <c r="F36" s="5" t="n">
        <v>0.15</v>
      </c>
      <c r="G36" s="5" t="n">
        <v>6.147</v>
      </c>
      <c r="H36" s="5" t="n">
        <v>1.286</v>
      </c>
      <c r="I36" s="5" t="n">
        <v>0</v>
      </c>
      <c r="J36" s="5" t="n">
        <v>6.147</v>
      </c>
      <c r="K36" s="5" t="n">
        <v>0</v>
      </c>
      <c r="L36" s="5" t="n">
        <v>1</v>
      </c>
      <c r="M36" s="5" t="n">
        <v>7.886</v>
      </c>
      <c r="N36" s="5" t="n">
        <v>3.857</v>
      </c>
      <c r="O36" s="5" t="n">
        <v>0</v>
      </c>
      <c r="P36" s="5" t="n">
        <v>7.886</v>
      </c>
      <c r="Q36" s="5" t="n">
        <v>0</v>
      </c>
      <c r="R36" s="5" t="n">
        <v>1</v>
      </c>
      <c r="S36" s="5" t="n">
        <v>12.575</v>
      </c>
      <c r="T36" s="5" t="n">
        <v>7.714</v>
      </c>
      <c r="U36" s="5" t="n">
        <v>0.237</v>
      </c>
      <c r="V36" s="5" t="n">
        <v>14.713</v>
      </c>
      <c r="W36" s="5" t="n">
        <v>0.17</v>
      </c>
      <c r="X36" s="5" t="n">
        <v>1</v>
      </c>
      <c r="Y36" s="5" t="n">
        <v>12.478</v>
      </c>
      <c r="Z36" s="5" t="n">
        <v>1.678</v>
      </c>
      <c r="AA36" s="5" t="n">
        <v>0</v>
      </c>
      <c r="AB36" s="5" t="n">
        <v>12.478</v>
      </c>
      <c r="AC36" s="5" t="n">
        <v>0</v>
      </c>
      <c r="AD36" s="5" t="n">
        <v>1</v>
      </c>
      <c r="AE36" s="5" t="n">
        <v>13.763</v>
      </c>
      <c r="AF36" s="5" t="n">
        <v>3.223</v>
      </c>
      <c r="AG36" s="5" t="n">
        <v>0</v>
      </c>
      <c r="AH36" s="5" t="n">
        <v>13.763</v>
      </c>
      <c r="AI36" s="5" t="n">
        <v>0</v>
      </c>
      <c r="AJ36" s="5" t="n">
        <v>1</v>
      </c>
      <c r="AK36" s="5" t="n">
        <v>21.477</v>
      </c>
      <c r="AL36" s="5" t="n">
        <v>11.54</v>
      </c>
      <c r="AM36" s="5" t="n">
        <v>0.404</v>
      </c>
      <c r="AN36" s="5" t="n">
        <v>25.129</v>
      </c>
      <c r="AO36" s="5" t="n">
        <v>0.17</v>
      </c>
      <c r="AP36" s="5" t="n">
        <v>1</v>
      </c>
      <c r="AQ36" s="5" t="n">
        <v>0.791</v>
      </c>
      <c r="AR36" s="5" t="n">
        <v>0.129</v>
      </c>
      <c r="AS36" s="5" t="n">
        <v>0.713</v>
      </c>
      <c r="AT36" s="5" t="n">
        <v>1.521</v>
      </c>
      <c r="AU36" s="5" t="n">
        <v>0.013</v>
      </c>
      <c r="AV36" s="5" t="n">
        <v>1</v>
      </c>
      <c r="AW36" s="5" t="n">
        <v>0.618</v>
      </c>
      <c r="AX36" s="5" t="n">
        <v>0.129</v>
      </c>
      <c r="AY36" s="5" t="n">
        <v>0.527</v>
      </c>
      <c r="AZ36" s="5" t="n">
        <v>1.34</v>
      </c>
      <c r="BA36" s="5" t="n">
        <v>0.17</v>
      </c>
      <c r="BB36" s="5" t="n">
        <v>1</v>
      </c>
      <c r="BC36" s="5" t="n">
        <v>0.554</v>
      </c>
      <c r="BD36" s="5" t="n">
        <v>0.129</v>
      </c>
      <c r="BE36" s="5" t="n">
        <v>-0.236</v>
      </c>
      <c r="BF36" s="5" t="n">
        <v>0.372</v>
      </c>
      <c r="BG36" s="5" t="n">
        <v>0.17</v>
      </c>
      <c r="BH36" s="5" t="n">
        <v>0</v>
      </c>
      <c r="BI36" s="5" t="n">
        <v>0.5570000000000001</v>
      </c>
      <c r="BJ36" s="5" t="n">
        <v>0.129</v>
      </c>
      <c r="BK36" s="5" t="n">
        <v>0.03</v>
      </c>
      <c r="BL36" s="5" t="n">
        <v>0.675</v>
      </c>
      <c r="BM36" s="5" t="n">
        <v>0.17</v>
      </c>
      <c r="BN36" s="5" t="n">
        <v>1</v>
      </c>
      <c r="BO36" s="5" t="n">
        <v>0</v>
      </c>
      <c r="BP36" s="5" t="n">
        <v>0.142</v>
      </c>
      <c r="BQ36" s="5" t="n">
        <v>0.799</v>
      </c>
      <c r="BR36" s="5" t="n">
        <v>0</v>
      </c>
      <c r="BS36" s="5" t="n">
        <v>1</v>
      </c>
      <c r="BT36" s="5" t="n">
        <v>0</v>
      </c>
      <c r="BU36" s="5" t="n">
        <v>0</v>
      </c>
      <c r="BV36" s="5" t="n">
        <v>0.436</v>
      </c>
      <c r="BW36" s="5" t="n">
        <v>0</v>
      </c>
      <c r="BX36" s="5" t="n">
        <v>0.667</v>
      </c>
      <c r="BY36" s="5" t="n">
        <v>13.254</v>
      </c>
      <c r="BZ36" s="5" t="n">
        <v>0</v>
      </c>
      <c r="CA36" s="5" t="n">
        <v>13.254</v>
      </c>
      <c r="CB36" s="5" t="n">
        <v>0</v>
      </c>
      <c r="CC36" s="5" t="n">
        <v>83.248</v>
      </c>
      <c r="CD36" s="5" t="n">
        <v>7.95</v>
      </c>
      <c r="CE36" s="5" t="n">
        <v>1.567</v>
      </c>
      <c r="CF36" s="5" t="n">
        <v>97.40000000000001</v>
      </c>
      <c r="CG36" s="5" t="n">
        <v>0.17</v>
      </c>
      <c r="CH36" s="5" t="n">
        <v>1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1.348</v>
      </c>
      <c r="CR36" s="5" t="n">
        <v>0</v>
      </c>
      <c r="CS36" s="5" t="n">
        <v>5.37</v>
      </c>
      <c r="CT36" s="5" t="n">
        <v>4.861</v>
      </c>
      <c r="CU36" s="5" t="n">
        <v>11.192</v>
      </c>
    </row>
    <row r="37">
      <c r="A37" s="5" t="inlineStr">
        <is>
          <t>ATG2024</t>
        </is>
      </c>
      <c r="B37" s="5" t="inlineStr">
        <is>
          <t>ATG</t>
        </is>
      </c>
      <c r="C37" s="5" t="inlineStr">
        <is>
          <t>ATG</t>
        </is>
      </c>
      <c r="D37" s="5" t="inlineStr">
        <is>
          <t>Antigua and Barbuda</t>
        </is>
      </c>
      <c r="E37" s="5" t="n">
        <v>2024</v>
      </c>
      <c r="F37" s="5" t="n">
        <v>0.15</v>
      </c>
      <c r="G37" s="5" t="n">
        <v>5.575</v>
      </c>
      <c r="H37" s="5" t="n">
        <v>1.324</v>
      </c>
      <c r="I37" s="5" t="n">
        <v>0</v>
      </c>
      <c r="J37" s="5" t="n">
        <v>5.575</v>
      </c>
      <c r="K37" s="5" t="n">
        <v>0</v>
      </c>
      <c r="L37" s="5" t="n">
        <v>1</v>
      </c>
      <c r="M37" s="5" t="n">
        <v>7.124</v>
      </c>
      <c r="N37" s="5" t="n">
        <v>3.971</v>
      </c>
      <c r="O37" s="5" t="n">
        <v>0</v>
      </c>
      <c r="P37" s="5" t="n">
        <v>7.124</v>
      </c>
      <c r="Q37" s="5" t="n">
        <v>0</v>
      </c>
      <c r="R37" s="5" t="n">
        <v>1</v>
      </c>
      <c r="S37" s="5" t="n">
        <v>12.193</v>
      </c>
      <c r="T37" s="5" t="n">
        <v>7.942</v>
      </c>
      <c r="U37" s="5" t="n">
        <v>0.282</v>
      </c>
      <c r="V37" s="5" t="n">
        <v>14.266</v>
      </c>
      <c r="W37" s="5" t="n">
        <v>0.17</v>
      </c>
      <c r="X37" s="5" t="n">
        <v>1</v>
      </c>
      <c r="Y37" s="5" t="n">
        <v>11.447</v>
      </c>
      <c r="Z37" s="5" t="n">
        <v>1.54</v>
      </c>
      <c r="AA37" s="5" t="n">
        <v>0</v>
      </c>
      <c r="AB37" s="5" t="n">
        <v>11.447</v>
      </c>
      <c r="AC37" s="5" t="n">
        <v>0</v>
      </c>
      <c r="AD37" s="5" t="n">
        <v>1</v>
      </c>
      <c r="AE37" s="5" t="n">
        <v>12.771</v>
      </c>
      <c r="AF37" s="5" t="n">
        <v>2.991</v>
      </c>
      <c r="AG37" s="5" t="n">
        <v>0</v>
      </c>
      <c r="AH37" s="5" t="n">
        <v>12.771</v>
      </c>
      <c r="AI37" s="5" t="n">
        <v>0</v>
      </c>
      <c r="AJ37" s="5" t="n">
        <v>1</v>
      </c>
      <c r="AK37" s="5" t="n">
        <v>20.712</v>
      </c>
      <c r="AL37" s="5" t="n">
        <v>11.129</v>
      </c>
      <c r="AM37" s="5" t="n">
        <v>0.48</v>
      </c>
      <c r="AN37" s="5" t="n">
        <v>24.233</v>
      </c>
      <c r="AO37" s="5" t="n">
        <v>0.17</v>
      </c>
      <c r="AP37" s="5" t="n">
        <v>1</v>
      </c>
      <c r="AQ37" s="5" t="n">
        <v>0.756</v>
      </c>
      <c r="AR37" s="5" t="n">
        <v>0.132</v>
      </c>
      <c r="AS37" s="5" t="n">
        <v>0.784</v>
      </c>
      <c r="AT37" s="5" t="n">
        <v>1.558</v>
      </c>
      <c r="AU37" s="5" t="n">
        <v>0.014</v>
      </c>
      <c r="AV37" s="5" t="n">
        <v>1</v>
      </c>
      <c r="AW37" s="5" t="n">
        <v>0.655</v>
      </c>
      <c r="AX37" s="5" t="n">
        <v>0.132</v>
      </c>
      <c r="AY37" s="5" t="n">
        <v>0.507</v>
      </c>
      <c r="AZ37" s="5" t="n">
        <v>1.36</v>
      </c>
      <c r="BA37" s="5" t="n">
        <v>0.17</v>
      </c>
      <c r="BB37" s="5" t="n">
        <v>1</v>
      </c>
      <c r="BC37" s="5" t="n">
        <v>0.534</v>
      </c>
      <c r="BD37" s="5" t="n">
        <v>0.132</v>
      </c>
      <c r="BE37" s="5" t="n">
        <v>-0.211</v>
      </c>
      <c r="BF37" s="5" t="n">
        <v>0.378</v>
      </c>
      <c r="BG37" s="5" t="n">
        <v>0.17</v>
      </c>
      <c r="BH37" s="5" t="n">
        <v>0</v>
      </c>
      <c r="BI37" s="5" t="n">
        <v>0.5679999999999999</v>
      </c>
      <c r="BJ37" s="5" t="n">
        <v>0.132</v>
      </c>
      <c r="BK37" s="5" t="n">
        <v>0.034</v>
      </c>
      <c r="BL37" s="5" t="n">
        <v>0.6889999999999999</v>
      </c>
      <c r="BM37" s="5" t="n">
        <v>0.17</v>
      </c>
      <c r="BN37" s="5" t="n">
        <v>1</v>
      </c>
      <c r="BO37" s="5" t="n">
        <v>0</v>
      </c>
      <c r="BP37" s="5" t="n">
        <v>0.146</v>
      </c>
      <c r="BQ37" s="5" t="n">
        <v>0.822</v>
      </c>
      <c r="BR37" s="5" t="n">
        <v>0</v>
      </c>
      <c r="BS37" s="5" t="n">
        <v>1</v>
      </c>
      <c r="BT37" s="5" t="n">
        <v>0</v>
      </c>
      <c r="BU37" s="5" t="n">
        <v>0</v>
      </c>
      <c r="BV37" s="5" t="n">
        <v>0.449</v>
      </c>
      <c r="BW37" s="5" t="n">
        <v>0</v>
      </c>
      <c r="BX37" s="5" t="n">
        <v>0.667</v>
      </c>
      <c r="BY37" s="5" t="n">
        <v>13.646</v>
      </c>
      <c r="BZ37" s="5" t="n">
        <v>0</v>
      </c>
      <c r="CA37" s="5" t="n">
        <v>13.646</v>
      </c>
      <c r="CB37" s="5" t="n">
        <v>0</v>
      </c>
      <c r="CC37" s="5" t="n">
        <v>82.58799999999999</v>
      </c>
      <c r="CD37" s="5" t="n">
        <v>7.95</v>
      </c>
      <c r="CE37" s="5" t="n">
        <v>1.912</v>
      </c>
      <c r="CF37" s="5" t="n">
        <v>96.628</v>
      </c>
      <c r="CG37" s="5" t="n">
        <v>0.17</v>
      </c>
      <c r="CH37" s="5" t="n">
        <v>1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1.387</v>
      </c>
      <c r="CR37" s="5" t="n">
        <v>0</v>
      </c>
      <c r="CS37" s="5" t="n">
        <v>5.529</v>
      </c>
      <c r="CT37" s="5" t="n">
        <v>4.251</v>
      </c>
      <c r="CU37" s="5" t="n">
        <v>10.123</v>
      </c>
    </row>
    <row r="38">
      <c r="A38" s="5" t="inlineStr">
        <is>
          <t>ARG2021</t>
        </is>
      </c>
      <c r="B38" s="5" t="inlineStr">
        <is>
          <t>ARG</t>
        </is>
      </c>
      <c r="C38" s="5" t="inlineStr">
        <is>
          <t>ARG</t>
        </is>
      </c>
      <c r="D38" s="5" t="inlineStr">
        <is>
          <t>Argentina</t>
        </is>
      </c>
      <c r="E38" s="5" t="n">
        <v>2021</v>
      </c>
      <c r="F38" s="5" t="n">
        <v>0.21</v>
      </c>
      <c r="G38" s="5" t="n">
        <v>5.857</v>
      </c>
      <c r="H38" s="5" t="n">
        <v>1.138</v>
      </c>
      <c r="I38" s="5" t="n">
        <v>0.382</v>
      </c>
      <c r="J38" s="5" t="n">
        <v>6.239</v>
      </c>
      <c r="K38" s="5" t="n">
        <v>0</v>
      </c>
      <c r="L38" s="5" t="n">
        <v>1</v>
      </c>
      <c r="M38" s="5" t="n">
        <v>7.915</v>
      </c>
      <c r="N38" s="5" t="n">
        <v>3.413</v>
      </c>
      <c r="O38" s="5" t="n">
        <v>0.405</v>
      </c>
      <c r="P38" s="5" t="n">
        <v>8.321</v>
      </c>
      <c r="Q38" s="5" t="n">
        <v>0</v>
      </c>
      <c r="R38" s="5" t="n">
        <v>1</v>
      </c>
      <c r="S38" s="5" t="n">
        <v>11.546</v>
      </c>
      <c r="T38" s="5" t="n">
        <v>6.827</v>
      </c>
      <c r="U38" s="5" t="n">
        <v>0.382</v>
      </c>
      <c r="V38" s="5" t="n">
        <v>14.433</v>
      </c>
      <c r="W38" s="5" t="n">
        <v>0.21</v>
      </c>
      <c r="X38" s="5" t="n">
        <v>1</v>
      </c>
      <c r="Y38" s="5" t="n">
        <v>7.825</v>
      </c>
      <c r="Z38" s="5" t="n">
        <v>0.656</v>
      </c>
      <c r="AA38" s="5" t="n">
        <v>-3.795</v>
      </c>
      <c r="AB38" s="5" t="n">
        <v>4.029</v>
      </c>
      <c r="AC38" s="5" t="n">
        <v>0</v>
      </c>
      <c r="AD38" s="5" t="n">
        <v>0</v>
      </c>
      <c r="AE38" s="5" t="n">
        <v>8.494</v>
      </c>
      <c r="AF38" s="5" t="n">
        <v>1.3</v>
      </c>
      <c r="AG38" s="5" t="n">
        <v>-1.102</v>
      </c>
      <c r="AH38" s="5" t="n">
        <v>7.393</v>
      </c>
      <c r="AI38" s="5" t="n">
        <v>0</v>
      </c>
      <c r="AJ38" s="5" t="n">
        <v>0</v>
      </c>
      <c r="AK38" s="5" t="n">
        <v>12.51</v>
      </c>
      <c r="AL38" s="5" t="n">
        <v>5.115</v>
      </c>
      <c r="AM38" s="5" t="n">
        <v>-6.83</v>
      </c>
      <c r="AN38" s="5" t="n">
        <v>6.873</v>
      </c>
      <c r="AO38" s="5" t="n">
        <v>0</v>
      </c>
      <c r="AP38" s="5" t="n">
        <v>0</v>
      </c>
      <c r="AQ38" s="5" t="n">
        <v>0.649</v>
      </c>
      <c r="AR38" s="5" t="n">
        <v>0.114</v>
      </c>
      <c r="AS38" s="5" t="n">
        <v>0.101</v>
      </c>
      <c r="AT38" s="5" t="n">
        <v>0.908</v>
      </c>
      <c r="AU38" s="5" t="n">
        <v>0.21</v>
      </c>
      <c r="AV38" s="5" t="n">
        <v>1</v>
      </c>
      <c r="AW38" s="5" t="n">
        <v>0.577</v>
      </c>
      <c r="AX38" s="5" t="n">
        <v>0.114</v>
      </c>
      <c r="AY38" s="5" t="n">
        <v>0.127</v>
      </c>
      <c r="AZ38" s="5" t="n">
        <v>0.852</v>
      </c>
      <c r="BA38" s="5" t="n">
        <v>0.21</v>
      </c>
      <c r="BB38" s="5" t="n">
        <v>1</v>
      </c>
      <c r="BC38" s="5" t="n">
        <v>0.458</v>
      </c>
      <c r="BD38" s="5" t="n">
        <v>0.114</v>
      </c>
      <c r="BE38" s="5" t="n">
        <v>-0.334</v>
      </c>
      <c r="BF38" s="5" t="n">
        <v>0.15</v>
      </c>
      <c r="BG38" s="5" t="n">
        <v>0</v>
      </c>
      <c r="BH38" s="5" t="n">
        <v>0</v>
      </c>
      <c r="BI38" s="5" t="n">
        <v>0.491</v>
      </c>
      <c r="BJ38" s="5" t="n">
        <v>0.114</v>
      </c>
      <c r="BK38" s="5" t="n">
        <v>0.292</v>
      </c>
      <c r="BL38" s="5" t="n">
        <v>0.948</v>
      </c>
      <c r="BM38" s="5" t="n">
        <v>0.21</v>
      </c>
      <c r="BN38" s="5" t="n">
        <v>1</v>
      </c>
      <c r="BO38" s="5" t="n">
        <v>0</v>
      </c>
      <c r="BP38" s="5" t="n">
        <v>-0.04</v>
      </c>
      <c r="BQ38" s="5" t="n">
        <v>0.059</v>
      </c>
      <c r="BR38" s="5" t="n">
        <v>0</v>
      </c>
      <c r="BS38" s="5" t="n">
        <v>1</v>
      </c>
      <c r="BT38" s="5" t="n">
        <v>0</v>
      </c>
      <c r="BU38" s="5" t="n">
        <v>-0.04</v>
      </c>
      <c r="BV38" s="5" t="n">
        <v>0.056</v>
      </c>
      <c r="BW38" s="5" t="n">
        <v>0</v>
      </c>
      <c r="BX38" s="5" t="n">
        <v>1</v>
      </c>
      <c r="BY38" s="5" t="n">
        <v>11.787</v>
      </c>
      <c r="BZ38" s="5" t="n">
        <v>0</v>
      </c>
      <c r="CA38" s="5" t="n">
        <v>11.787</v>
      </c>
      <c r="CB38" s="5" t="n">
        <v>0</v>
      </c>
      <c r="CC38" s="5" t="n">
        <v>78.125</v>
      </c>
      <c r="CD38" s="5" t="n">
        <v>7.95</v>
      </c>
      <c r="CE38" s="5" t="n">
        <v>-21.704</v>
      </c>
      <c r="CF38" s="5" t="n">
        <v>68.27</v>
      </c>
      <c r="CG38" s="5" t="n">
        <v>0</v>
      </c>
      <c r="CH38" s="5" t="n">
        <v>1</v>
      </c>
      <c r="CI38" s="5" t="n">
        <v>0</v>
      </c>
      <c r="CJ38" s="5" t="n">
        <v>0</v>
      </c>
      <c r="CK38" s="5" t="n">
        <v>0</v>
      </c>
      <c r="CL38" s="5" t="n">
        <v>0.102</v>
      </c>
      <c r="CM38" s="5" t="n">
        <v>0.835</v>
      </c>
      <c r="CN38" s="5" t="n">
        <v>2.043</v>
      </c>
      <c r="CO38" s="5" t="n">
        <v>0.604</v>
      </c>
      <c r="CP38" s="5" t="n">
        <v>0.01</v>
      </c>
      <c r="CQ38" s="5" t="n">
        <v>1.198</v>
      </c>
      <c r="CR38" s="5" t="n">
        <v>0.829</v>
      </c>
      <c r="CS38" s="5" t="n">
        <v>6.22</v>
      </c>
      <c r="CT38" s="5" t="n">
        <v>4.753</v>
      </c>
      <c r="CU38" s="5" t="n">
        <v>16.171</v>
      </c>
    </row>
    <row r="39">
      <c r="A39" s="5" t="inlineStr">
        <is>
          <t>ARG2022</t>
        </is>
      </c>
      <c r="B39" s="5" t="inlineStr">
        <is>
          <t>ARG</t>
        </is>
      </c>
      <c r="C39" s="5" t="inlineStr">
        <is>
          <t>ARG</t>
        </is>
      </c>
      <c r="D39" s="5" t="inlineStr">
        <is>
          <t>Argentina</t>
        </is>
      </c>
      <c r="E39" s="5" t="n">
        <v>2022</v>
      </c>
      <c r="F39" s="5" t="n">
        <v>0.21</v>
      </c>
      <c r="G39" s="5" t="n">
        <v>11.627</v>
      </c>
      <c r="H39" s="5" t="n">
        <v>1.229</v>
      </c>
      <c r="I39" s="5" t="n">
        <v>0.278</v>
      </c>
      <c r="J39" s="5" t="n">
        <v>11.905</v>
      </c>
      <c r="K39" s="5" t="n">
        <v>0</v>
      </c>
      <c r="L39" s="5" t="n">
        <v>1</v>
      </c>
      <c r="M39" s="5" t="n">
        <v>9.720000000000001</v>
      </c>
      <c r="N39" s="5" t="n">
        <v>3.687</v>
      </c>
      <c r="O39" s="5" t="n">
        <v>0.295</v>
      </c>
      <c r="P39" s="5" t="n">
        <v>10.015</v>
      </c>
      <c r="Q39" s="5" t="n">
        <v>0</v>
      </c>
      <c r="R39" s="5" t="n">
        <v>1</v>
      </c>
      <c r="S39" s="5" t="n">
        <v>17.771</v>
      </c>
      <c r="T39" s="5" t="n">
        <v>7.373</v>
      </c>
      <c r="U39" s="5" t="n">
        <v>0.5590000000000001</v>
      </c>
      <c r="V39" s="5" t="n">
        <v>21.84</v>
      </c>
      <c r="W39" s="5" t="n">
        <v>0.21</v>
      </c>
      <c r="X39" s="5" t="n">
        <v>1</v>
      </c>
      <c r="Y39" s="5" t="n">
        <v>9.192</v>
      </c>
      <c r="Z39" s="5" t="n">
        <v>0.77</v>
      </c>
      <c r="AA39" s="5" t="n">
        <v>-5.312</v>
      </c>
      <c r="AB39" s="5" t="n">
        <v>3.879</v>
      </c>
      <c r="AC39" s="5" t="n">
        <v>0</v>
      </c>
      <c r="AD39" s="5" t="n">
        <v>0</v>
      </c>
      <c r="AE39" s="5" t="n">
        <v>9.888</v>
      </c>
      <c r="AF39" s="5" t="n">
        <v>1.514</v>
      </c>
      <c r="AG39" s="5" t="n">
        <v>-1.19</v>
      </c>
      <c r="AH39" s="5" t="n">
        <v>8.699</v>
      </c>
      <c r="AI39" s="5" t="n">
        <v>0</v>
      </c>
      <c r="AJ39" s="5" t="n">
        <v>0</v>
      </c>
      <c r="AK39" s="5" t="n">
        <v>14.068</v>
      </c>
      <c r="AL39" s="5" t="n">
        <v>5.752</v>
      </c>
      <c r="AM39" s="5" t="n">
        <v>-7.717</v>
      </c>
      <c r="AN39" s="5" t="n">
        <v>7.684</v>
      </c>
      <c r="AO39" s="5" t="n">
        <v>0</v>
      </c>
      <c r="AP39" s="5" t="n">
        <v>0</v>
      </c>
      <c r="AQ39" s="5" t="n">
        <v>0.896</v>
      </c>
      <c r="AR39" s="5" t="n">
        <v>0.123</v>
      </c>
      <c r="AS39" s="5" t="n">
        <v>-0.099</v>
      </c>
      <c r="AT39" s="5" t="n">
        <v>0.964</v>
      </c>
      <c r="AU39" s="5" t="n">
        <v>0.21</v>
      </c>
      <c r="AV39" s="5" t="n">
        <v>1</v>
      </c>
      <c r="AW39" s="5" t="n">
        <v>0.89</v>
      </c>
      <c r="AX39" s="5" t="n">
        <v>0.123</v>
      </c>
      <c r="AY39" s="5" t="n">
        <v>-0.124</v>
      </c>
      <c r="AZ39" s="5" t="n">
        <v>0.927</v>
      </c>
      <c r="BA39" s="5" t="n">
        <v>0.21</v>
      </c>
      <c r="BB39" s="5" t="n">
        <v>1</v>
      </c>
      <c r="BC39" s="5" t="n">
        <v>0.62</v>
      </c>
      <c r="BD39" s="5" t="n">
        <v>0.123</v>
      </c>
      <c r="BE39" s="5" t="n">
        <v>-0.474</v>
      </c>
      <c r="BF39" s="5" t="n">
        <v>0.177</v>
      </c>
      <c r="BG39" s="5" t="n">
        <v>0</v>
      </c>
      <c r="BH39" s="5" t="n">
        <v>0</v>
      </c>
      <c r="BI39" s="5" t="n">
        <v>0.608</v>
      </c>
      <c r="BJ39" s="5" t="n">
        <v>0.123</v>
      </c>
      <c r="BK39" s="5" t="n">
        <v>0.245</v>
      </c>
      <c r="BL39" s="5" t="n">
        <v>1.032</v>
      </c>
      <c r="BM39" s="5" t="n">
        <v>0.21</v>
      </c>
      <c r="BN39" s="5" t="n">
        <v>1</v>
      </c>
      <c r="BO39" s="5" t="n">
        <v>0</v>
      </c>
      <c r="BP39" s="5" t="n">
        <v>-0.032</v>
      </c>
      <c r="BQ39" s="5" t="n">
        <v>0.096</v>
      </c>
      <c r="BR39" s="5" t="n">
        <v>0</v>
      </c>
      <c r="BS39" s="5" t="n">
        <v>1</v>
      </c>
      <c r="BT39" s="5" t="n">
        <v>0</v>
      </c>
      <c r="BU39" s="5" t="n">
        <v>-0.032</v>
      </c>
      <c r="BV39" s="5" t="n">
        <v>0.096</v>
      </c>
      <c r="BW39" s="5" t="n">
        <v>0</v>
      </c>
      <c r="BX39" s="5" t="n">
        <v>1</v>
      </c>
      <c r="BY39" s="5" t="n">
        <v>12.729</v>
      </c>
      <c r="BZ39" s="5" t="n">
        <v>0</v>
      </c>
      <c r="CA39" s="5" t="n">
        <v>12.729</v>
      </c>
      <c r="CB39" s="5" t="n">
        <v>0</v>
      </c>
      <c r="CC39" s="5" t="n">
        <v>97.90000000000001</v>
      </c>
      <c r="CD39" s="5" t="n">
        <v>7.95</v>
      </c>
      <c r="CE39" s="5" t="n">
        <v>-18.689</v>
      </c>
      <c r="CF39" s="5" t="n">
        <v>95.845</v>
      </c>
      <c r="CG39" s="5" t="n">
        <v>0</v>
      </c>
      <c r="CH39" s="5" t="n">
        <v>1</v>
      </c>
      <c r="CI39" s="5" t="n">
        <v>0</v>
      </c>
      <c r="CJ39" s="5" t="n">
        <v>0</v>
      </c>
      <c r="CK39" s="5" t="n">
        <v>0</v>
      </c>
      <c r="CL39" s="5" t="n">
        <v>0.11</v>
      </c>
      <c r="CM39" s="5" t="n">
        <v>0.902</v>
      </c>
      <c r="CN39" s="5" t="n">
        <v>2.368</v>
      </c>
      <c r="CO39" s="5" t="n">
        <v>0.745</v>
      </c>
      <c r="CP39" s="5" t="n">
        <v>0.008999999999999999</v>
      </c>
      <c r="CQ39" s="5" t="n">
        <v>1.294</v>
      </c>
      <c r="CR39" s="5" t="n">
        <v>0.872</v>
      </c>
      <c r="CS39" s="5" t="n">
        <v>6.717</v>
      </c>
      <c r="CT39" s="5" t="n">
        <v>10.485</v>
      </c>
      <c r="CU39" s="5" t="n">
        <v>29.688</v>
      </c>
    </row>
    <row r="40">
      <c r="A40" s="5" t="inlineStr">
        <is>
          <t>ARG2023</t>
        </is>
      </c>
      <c r="B40" s="5" t="inlineStr">
        <is>
          <t>ARG</t>
        </is>
      </c>
      <c r="C40" s="5" t="inlineStr">
        <is>
          <t>ARG</t>
        </is>
      </c>
      <c r="D40" s="5" t="inlineStr">
        <is>
          <t>Argentina</t>
        </is>
      </c>
      <c r="E40" s="5" t="n">
        <v>2023</v>
      </c>
      <c r="F40" s="5" t="n">
        <v>0.21</v>
      </c>
      <c r="G40" s="5" t="n">
        <v>6.103</v>
      </c>
      <c r="H40" s="5" t="n">
        <v>1.279</v>
      </c>
      <c r="I40" s="5" t="n">
        <v>0.321</v>
      </c>
      <c r="J40" s="5" t="n">
        <v>6.424</v>
      </c>
      <c r="K40" s="5" t="n">
        <v>0</v>
      </c>
      <c r="L40" s="5" t="n">
        <v>1</v>
      </c>
      <c r="M40" s="5" t="n">
        <v>7.838</v>
      </c>
      <c r="N40" s="5" t="n">
        <v>3.837</v>
      </c>
      <c r="O40" s="5" t="n">
        <v>0.34</v>
      </c>
      <c r="P40" s="5" t="n">
        <v>8.178000000000001</v>
      </c>
      <c r="Q40" s="5" t="n">
        <v>0</v>
      </c>
      <c r="R40" s="5" t="n">
        <v>1</v>
      </c>
      <c r="S40" s="5" t="n">
        <v>12.498</v>
      </c>
      <c r="T40" s="5" t="n">
        <v>7.674</v>
      </c>
      <c r="U40" s="5" t="n">
        <v>0.619</v>
      </c>
      <c r="V40" s="5" t="n">
        <v>15.511</v>
      </c>
      <c r="W40" s="5" t="n">
        <v>0.21</v>
      </c>
      <c r="X40" s="5" t="n">
        <v>1</v>
      </c>
      <c r="Y40" s="5" t="n">
        <v>8.051</v>
      </c>
      <c r="Z40" s="5" t="n">
        <v>0.675</v>
      </c>
      <c r="AA40" s="5" t="n">
        <v>-4.199</v>
      </c>
      <c r="AB40" s="5" t="n">
        <v>3.851</v>
      </c>
      <c r="AC40" s="5" t="n">
        <v>0</v>
      </c>
      <c r="AD40" s="5" t="n">
        <v>0</v>
      </c>
      <c r="AE40" s="5" t="n">
        <v>8.763999999999999</v>
      </c>
      <c r="AF40" s="5" t="n">
        <v>1.342</v>
      </c>
      <c r="AG40" s="5" t="n">
        <v>-1.239</v>
      </c>
      <c r="AH40" s="5" t="n">
        <v>7.525</v>
      </c>
      <c r="AI40" s="5" t="n">
        <v>0</v>
      </c>
      <c r="AJ40" s="5" t="n">
        <v>0</v>
      </c>
      <c r="AK40" s="5" t="n">
        <v>13.043</v>
      </c>
      <c r="AL40" s="5" t="n">
        <v>5.333</v>
      </c>
      <c r="AM40" s="5" t="n">
        <v>-5.547</v>
      </c>
      <c r="AN40" s="5" t="n">
        <v>9.07</v>
      </c>
      <c r="AO40" s="5" t="n">
        <v>0</v>
      </c>
      <c r="AP40" s="5" t="n">
        <v>0</v>
      </c>
      <c r="AQ40" s="5" t="n">
        <v>0.791</v>
      </c>
      <c r="AR40" s="5" t="n">
        <v>0.129</v>
      </c>
      <c r="AS40" s="5" t="n">
        <v>-0.074</v>
      </c>
      <c r="AT40" s="5" t="n">
        <v>0.868</v>
      </c>
      <c r="AU40" s="5" t="n">
        <v>0.21</v>
      </c>
      <c r="AV40" s="5" t="n">
        <v>1</v>
      </c>
      <c r="AW40" s="5" t="n">
        <v>0.618</v>
      </c>
      <c r="AX40" s="5" t="n">
        <v>0.129</v>
      </c>
      <c r="AY40" s="5" t="n">
        <v>0.176</v>
      </c>
      <c r="AZ40" s="5" t="n">
        <v>0.961</v>
      </c>
      <c r="BA40" s="5" t="n">
        <v>0.21</v>
      </c>
      <c r="BB40" s="5" t="n">
        <v>1</v>
      </c>
      <c r="BC40" s="5" t="n">
        <v>0.554</v>
      </c>
      <c r="BD40" s="5" t="n">
        <v>0.129</v>
      </c>
      <c r="BE40" s="5" t="n">
        <v>-0.42</v>
      </c>
      <c r="BF40" s="5" t="n">
        <v>0.162</v>
      </c>
      <c r="BG40" s="5" t="n">
        <v>0</v>
      </c>
      <c r="BH40" s="5" t="n">
        <v>0</v>
      </c>
      <c r="BI40" s="5" t="n">
        <v>0.5570000000000001</v>
      </c>
      <c r="BJ40" s="5" t="n">
        <v>0.129</v>
      </c>
      <c r="BK40" s="5" t="n">
        <v>0.393</v>
      </c>
      <c r="BL40" s="5" t="n">
        <v>1.149</v>
      </c>
      <c r="BM40" s="5" t="n">
        <v>0.21</v>
      </c>
      <c r="BN40" s="5" t="n">
        <v>1</v>
      </c>
      <c r="BO40" s="5" t="n">
        <v>0</v>
      </c>
      <c r="BP40" s="5" t="n">
        <v>-0.038</v>
      </c>
      <c r="BQ40" s="5" t="n">
        <v>0.091</v>
      </c>
      <c r="BR40" s="5" t="n">
        <v>0</v>
      </c>
      <c r="BS40" s="5" t="n">
        <v>1</v>
      </c>
      <c r="BT40" s="5" t="n">
        <v>0</v>
      </c>
      <c r="BU40" s="5" t="n">
        <v>-0.038</v>
      </c>
      <c r="BV40" s="5" t="n">
        <v>0.093</v>
      </c>
      <c r="BW40" s="5" t="n">
        <v>0</v>
      </c>
      <c r="BX40" s="5" t="n">
        <v>1</v>
      </c>
      <c r="BY40" s="5" t="n">
        <v>13.254</v>
      </c>
      <c r="BZ40" s="5" t="n">
        <v>0</v>
      </c>
      <c r="CA40" s="5" t="n">
        <v>13.254</v>
      </c>
      <c r="CB40" s="5" t="n">
        <v>0</v>
      </c>
      <c r="CC40" s="5" t="n">
        <v>83.248</v>
      </c>
      <c r="CD40" s="5" t="n">
        <v>7.95</v>
      </c>
      <c r="CE40" s="5" t="n">
        <v>-0.74</v>
      </c>
      <c r="CF40" s="5" t="n">
        <v>99.83499999999999</v>
      </c>
      <c r="CG40" s="5" t="n">
        <v>0</v>
      </c>
      <c r="CH40" s="5" t="n">
        <v>1</v>
      </c>
      <c r="CI40" s="5" t="n">
        <v>0</v>
      </c>
      <c r="CJ40" s="5" t="n">
        <v>0</v>
      </c>
      <c r="CK40" s="5" t="n">
        <v>0</v>
      </c>
      <c r="CL40" s="5" t="n">
        <v>0.115</v>
      </c>
      <c r="CM40" s="5" t="n">
        <v>0.9389999999999999</v>
      </c>
      <c r="CN40" s="5" t="n">
        <v>2.585</v>
      </c>
      <c r="CO40" s="5" t="n">
        <v>0.836</v>
      </c>
      <c r="CP40" s="5" t="n">
        <v>0.01</v>
      </c>
      <c r="CQ40" s="5" t="n">
        <v>1.348</v>
      </c>
      <c r="CR40" s="5" t="n">
        <v>0.891</v>
      </c>
      <c r="CS40" s="5" t="n">
        <v>6.995</v>
      </c>
      <c r="CT40" s="5" t="n">
        <v>4.861</v>
      </c>
      <c r="CU40" s="5" t="n">
        <v>11.658</v>
      </c>
    </row>
    <row r="41">
      <c r="A41" s="5" t="inlineStr">
        <is>
          <t>ARG2024</t>
        </is>
      </c>
      <c r="B41" s="5" t="inlineStr">
        <is>
          <t>ARG</t>
        </is>
      </c>
      <c r="C41" s="5" t="inlineStr">
        <is>
          <t>ARG</t>
        </is>
      </c>
      <c r="D41" s="5" t="inlineStr">
        <is>
          <t>Argentina</t>
        </is>
      </c>
      <c r="E41" s="5" t="n">
        <v>2024</v>
      </c>
      <c r="F41" s="5" t="n">
        <v>0.21</v>
      </c>
      <c r="G41" s="5" t="n">
        <v>5.538</v>
      </c>
      <c r="H41" s="5" t="n">
        <v>1.317</v>
      </c>
      <c r="I41" s="5" t="n">
        <v>0.229</v>
      </c>
      <c r="J41" s="5" t="n">
        <v>5.767</v>
      </c>
      <c r="K41" s="5" t="n">
        <v>0</v>
      </c>
      <c r="L41" s="5" t="n">
        <v>1</v>
      </c>
      <c r="M41" s="5" t="n">
        <v>7.084</v>
      </c>
      <c r="N41" s="5" t="n">
        <v>3.95</v>
      </c>
      <c r="O41" s="5" t="n">
        <v>0.243</v>
      </c>
      <c r="P41" s="5" t="n">
        <v>7.328</v>
      </c>
      <c r="Q41" s="5" t="n">
        <v>0</v>
      </c>
      <c r="R41" s="5" t="n">
        <v>1</v>
      </c>
      <c r="S41" s="5" t="n">
        <v>12.121</v>
      </c>
      <c r="T41" s="5" t="n">
        <v>7.9</v>
      </c>
      <c r="U41" s="5" t="n">
        <v>0.583</v>
      </c>
      <c r="V41" s="5" t="n">
        <v>14.944</v>
      </c>
      <c r="W41" s="5" t="n">
        <v>0.21</v>
      </c>
      <c r="X41" s="5" t="n">
        <v>1</v>
      </c>
      <c r="Y41" s="5" t="n">
        <v>8.117000000000001</v>
      </c>
      <c r="Z41" s="5" t="n">
        <v>0.68</v>
      </c>
      <c r="AA41" s="5" t="n">
        <v>-3.715</v>
      </c>
      <c r="AB41" s="5" t="n">
        <v>4.402</v>
      </c>
      <c r="AC41" s="5" t="n">
        <v>0</v>
      </c>
      <c r="AD41" s="5" t="n">
        <v>0</v>
      </c>
      <c r="AE41" s="5" t="n">
        <v>8.851000000000001</v>
      </c>
      <c r="AF41" s="5" t="n">
        <v>1.355</v>
      </c>
      <c r="AG41" s="5" t="n">
        <v>-1.275</v>
      </c>
      <c r="AH41" s="5" t="n">
        <v>7.576</v>
      </c>
      <c r="AI41" s="5" t="n">
        <v>0</v>
      </c>
      <c r="AJ41" s="5" t="n">
        <v>0</v>
      </c>
      <c r="AK41" s="5" t="n">
        <v>13.257</v>
      </c>
      <c r="AL41" s="5" t="n">
        <v>5.42</v>
      </c>
      <c r="AM41" s="5" t="n">
        <v>-5.211</v>
      </c>
      <c r="AN41" s="5" t="n">
        <v>9.734999999999999</v>
      </c>
      <c r="AO41" s="5" t="n">
        <v>0</v>
      </c>
      <c r="AP41" s="5" t="n">
        <v>0</v>
      </c>
      <c r="AQ41" s="5" t="n">
        <v>0.756</v>
      </c>
      <c r="AR41" s="5" t="n">
        <v>0.132</v>
      </c>
      <c r="AS41" s="5" t="n">
        <v>0.129</v>
      </c>
      <c r="AT41" s="5" t="n">
        <v>1.071</v>
      </c>
      <c r="AU41" s="5" t="n">
        <v>0.21</v>
      </c>
      <c r="AV41" s="5" t="n">
        <v>1</v>
      </c>
      <c r="AW41" s="5" t="n">
        <v>0.655</v>
      </c>
      <c r="AX41" s="5" t="n">
        <v>0.132</v>
      </c>
      <c r="AY41" s="5" t="n">
        <v>0.249</v>
      </c>
      <c r="AZ41" s="5" t="n">
        <v>1.094</v>
      </c>
      <c r="BA41" s="5" t="n">
        <v>0.21</v>
      </c>
      <c r="BB41" s="5" t="n">
        <v>1</v>
      </c>
      <c r="BC41" s="5" t="n">
        <v>0.534</v>
      </c>
      <c r="BD41" s="5" t="n">
        <v>0.132</v>
      </c>
      <c r="BE41" s="5" t="n">
        <v>-0.368</v>
      </c>
      <c r="BF41" s="5" t="n">
        <v>0.166</v>
      </c>
      <c r="BG41" s="5" t="n">
        <v>0</v>
      </c>
      <c r="BH41" s="5" t="n">
        <v>0</v>
      </c>
      <c r="BI41" s="5" t="n">
        <v>0.5679999999999999</v>
      </c>
      <c r="BJ41" s="5" t="n">
        <v>0.132</v>
      </c>
      <c r="BK41" s="5" t="n">
        <v>0.604</v>
      </c>
      <c r="BL41" s="5" t="n">
        <v>1.418</v>
      </c>
      <c r="BM41" s="5" t="n">
        <v>0.21</v>
      </c>
      <c r="BN41" s="5" t="n">
        <v>1</v>
      </c>
      <c r="BO41" s="5" t="n">
        <v>0</v>
      </c>
      <c r="BP41" s="5" t="n">
        <v>-0.017</v>
      </c>
      <c r="BQ41" s="5" t="n">
        <v>0.121</v>
      </c>
      <c r="BR41" s="5" t="n">
        <v>0</v>
      </c>
      <c r="BS41" s="5" t="n">
        <v>1</v>
      </c>
      <c r="BT41" s="5" t="n">
        <v>0</v>
      </c>
      <c r="BU41" s="5" t="n">
        <v>-0.016</v>
      </c>
      <c r="BV41" s="5" t="n">
        <v>0.08799999999999999</v>
      </c>
      <c r="BW41" s="5" t="n">
        <v>0</v>
      </c>
      <c r="BX41" s="5" t="n">
        <v>1</v>
      </c>
      <c r="BY41" s="5" t="n">
        <v>13.646</v>
      </c>
      <c r="BZ41" s="5" t="n">
        <v>0</v>
      </c>
      <c r="CA41" s="5" t="n">
        <v>13.646</v>
      </c>
      <c r="CB41" s="5" t="n">
        <v>0</v>
      </c>
      <c r="CC41" s="5" t="n">
        <v>82.58799999999999</v>
      </c>
      <c r="CD41" s="5" t="n">
        <v>7.95</v>
      </c>
      <c r="CE41" s="5" t="n">
        <v>-18.722</v>
      </c>
      <c r="CF41" s="5" t="n">
        <v>77.277</v>
      </c>
      <c r="CG41" s="5" t="n">
        <v>0</v>
      </c>
      <c r="CH41" s="5" t="n">
        <v>1</v>
      </c>
      <c r="CI41" s="5" t="n">
        <v>0</v>
      </c>
      <c r="CJ41" s="5" t="n">
        <v>0</v>
      </c>
      <c r="CK41" s="5" t="n">
        <v>0</v>
      </c>
      <c r="CL41" s="5" t="n">
        <v>0.118</v>
      </c>
      <c r="CM41" s="5" t="n">
        <v>0.966</v>
      </c>
      <c r="CN41" s="5" t="n">
        <v>2.82</v>
      </c>
      <c r="CO41" s="5" t="n">
        <v>0.921</v>
      </c>
      <c r="CP41" s="5" t="n">
        <v>0.01</v>
      </c>
      <c r="CQ41" s="5" t="n">
        <v>1.387</v>
      </c>
      <c r="CR41" s="5" t="n">
        <v>0.891</v>
      </c>
      <c r="CS41" s="5" t="n">
        <v>7.201</v>
      </c>
      <c r="CT41" s="5" t="n">
        <v>4.251</v>
      </c>
      <c r="CU41" s="5" t="n">
        <v>10.306</v>
      </c>
    </row>
    <row r="42">
      <c r="A42" s="5" t="inlineStr">
        <is>
          <t>ARM2021</t>
        </is>
      </c>
      <c r="B42" s="5" t="inlineStr">
        <is>
          <t>ARM</t>
        </is>
      </c>
      <c r="C42" s="5" t="inlineStr">
        <is>
          <t>ARM</t>
        </is>
      </c>
      <c r="D42" s="5" t="inlineStr">
        <is>
          <t>Armenia</t>
        </is>
      </c>
      <c r="E42" s="5" t="n">
        <v>2021</v>
      </c>
      <c r="F42" s="5" t="n">
        <v>0.2</v>
      </c>
      <c r="G42" s="5" t="n">
        <v>5.548</v>
      </c>
      <c r="H42" s="5" t="n">
        <v>1.142</v>
      </c>
      <c r="I42" s="5" t="n">
        <v>0</v>
      </c>
      <c r="J42" s="5" t="n">
        <v>5.548</v>
      </c>
      <c r="K42" s="5" t="n">
        <v>0</v>
      </c>
      <c r="L42" s="5" t="n">
        <v>1</v>
      </c>
      <c r="M42" s="5" t="n">
        <v>7.957</v>
      </c>
      <c r="N42" s="5" t="n">
        <v>3.427</v>
      </c>
      <c r="O42" s="5" t="n">
        <v>0</v>
      </c>
      <c r="P42" s="5" t="n">
        <v>7.957</v>
      </c>
      <c r="Q42" s="5" t="n">
        <v>0</v>
      </c>
      <c r="R42" s="5" t="n">
        <v>1</v>
      </c>
      <c r="S42" s="5" t="n">
        <v>11.26</v>
      </c>
      <c r="T42" s="5" t="n">
        <v>6.855</v>
      </c>
      <c r="U42" s="5" t="n">
        <v>0</v>
      </c>
      <c r="V42" s="5" t="n">
        <v>13.512</v>
      </c>
      <c r="W42" s="5" t="n">
        <v>0.2</v>
      </c>
      <c r="X42" s="5" t="n">
        <v>1</v>
      </c>
      <c r="Y42" s="5" t="n">
        <v>5.306</v>
      </c>
      <c r="Z42" s="5" t="n">
        <v>0.586</v>
      </c>
      <c r="AA42" s="5" t="n">
        <v>1.151</v>
      </c>
      <c r="AB42" s="5" t="n">
        <v>6.458</v>
      </c>
      <c r="AC42" s="5" t="n">
        <v>0</v>
      </c>
      <c r="AD42" s="5" t="n">
        <v>1</v>
      </c>
      <c r="AE42" s="5" t="n">
        <v>6.448</v>
      </c>
      <c r="AF42" s="5" t="n">
        <v>1.269</v>
      </c>
      <c r="AG42" s="5" t="n">
        <v>0.035</v>
      </c>
      <c r="AH42" s="5" t="n">
        <v>6.483</v>
      </c>
      <c r="AI42" s="5" t="n">
        <v>0</v>
      </c>
      <c r="AJ42" s="5" t="n">
        <v>1</v>
      </c>
      <c r="AK42" s="5" t="n">
        <v>13.298</v>
      </c>
      <c r="AL42" s="5" t="n">
        <v>6.527</v>
      </c>
      <c r="AM42" s="5" t="n">
        <v>1.291</v>
      </c>
      <c r="AN42" s="5" t="n">
        <v>15.957</v>
      </c>
      <c r="AO42" s="5" t="n">
        <v>0.2</v>
      </c>
      <c r="AP42" s="5" t="n">
        <v>1</v>
      </c>
      <c r="AQ42" s="5" t="n">
        <v>0.619</v>
      </c>
      <c r="AR42" s="5" t="n">
        <v>0.114</v>
      </c>
      <c r="AS42" s="5" t="n">
        <v>0.17</v>
      </c>
      <c r="AT42" s="5" t="n">
        <v>0.947</v>
      </c>
      <c r="AU42" s="5" t="n">
        <v>0.2</v>
      </c>
      <c r="AV42" s="5" t="n">
        <v>1</v>
      </c>
      <c r="AW42" s="5" t="n">
        <v>0.599</v>
      </c>
      <c r="AX42" s="5" t="n">
        <v>0.114</v>
      </c>
      <c r="AY42" s="5" t="n">
        <v>0.13</v>
      </c>
      <c r="AZ42" s="5" t="n">
        <v>0.876</v>
      </c>
      <c r="BA42" s="5" t="n">
        <v>0.2</v>
      </c>
      <c r="BB42" s="5" t="n">
        <v>1</v>
      </c>
      <c r="BC42" s="5" t="n">
        <v>0.439</v>
      </c>
      <c r="BD42" s="5" t="n">
        <v>0.114</v>
      </c>
      <c r="BE42" s="5" t="n">
        <v>0</v>
      </c>
      <c r="BF42" s="5" t="n">
        <v>0.527</v>
      </c>
      <c r="BG42" s="5" t="n">
        <v>0.2</v>
      </c>
      <c r="BH42" s="5" t="n">
        <v>1</v>
      </c>
      <c r="BI42" s="5" t="n">
        <v>0.505</v>
      </c>
      <c r="BJ42" s="5" t="n">
        <v>0.114</v>
      </c>
      <c r="BK42" s="5" t="n">
        <v>0</v>
      </c>
      <c r="BL42" s="5" t="n">
        <v>0.606</v>
      </c>
      <c r="BM42" s="5" t="n">
        <v>0.2</v>
      </c>
      <c r="BN42" s="5" t="n">
        <v>1</v>
      </c>
      <c r="BO42" s="5" t="n">
        <v>0</v>
      </c>
      <c r="BP42" s="5" t="n">
        <v>0</v>
      </c>
      <c r="BQ42" s="5" t="n">
        <v>0.08400000000000001</v>
      </c>
      <c r="BR42" s="5" t="n">
        <v>0</v>
      </c>
      <c r="BS42" s="5" t="n">
        <v>0.5</v>
      </c>
      <c r="BT42" s="5" t="n">
        <v>0</v>
      </c>
      <c r="BU42" s="5" t="n">
        <v>0</v>
      </c>
      <c r="BV42" s="5" t="n">
        <v>0.08599999999999999</v>
      </c>
      <c r="BW42" s="5" t="n">
        <v>0.2</v>
      </c>
      <c r="BX42" s="5" t="n">
        <v>0.5</v>
      </c>
      <c r="BY42" s="5" t="n">
        <v>11.787</v>
      </c>
      <c r="BZ42" s="5" t="n">
        <v>0</v>
      </c>
      <c r="CA42" s="5" t="n">
        <v>11.787</v>
      </c>
      <c r="CB42" s="5" t="n">
        <v>0</v>
      </c>
      <c r="CC42" s="5" t="n">
        <v>78.125</v>
      </c>
      <c r="CD42" s="5" t="n">
        <v>7.95</v>
      </c>
      <c r="CE42" s="5" t="n">
        <v>0</v>
      </c>
      <c r="CF42" s="5" t="n">
        <v>93.75</v>
      </c>
      <c r="CG42" s="5" t="n">
        <v>0.2</v>
      </c>
      <c r="CH42" s="5" t="n">
        <v>1</v>
      </c>
      <c r="CI42" s="5" t="n">
        <v>1</v>
      </c>
      <c r="CJ42" s="5" t="n">
        <v>1</v>
      </c>
      <c r="CK42" s="5" t="n">
        <v>0</v>
      </c>
      <c r="CL42" s="5" t="n">
        <v>0</v>
      </c>
      <c r="CM42" s="5" t="n">
        <v>0</v>
      </c>
      <c r="CN42" s="5" t="n">
        <v>0</v>
      </c>
      <c r="CO42" s="5" t="n">
        <v>0</v>
      </c>
      <c r="CP42" s="5" t="n">
        <v>0.001</v>
      </c>
      <c r="CQ42" s="5" t="n">
        <v>1.198</v>
      </c>
      <c r="CR42" s="5" t="n">
        <v>0</v>
      </c>
      <c r="CS42" s="5" t="n">
        <v>4.165</v>
      </c>
      <c r="CT42" s="5" t="n">
        <v>4.41</v>
      </c>
      <c r="CU42" s="5" t="n">
        <v>4.165</v>
      </c>
    </row>
    <row r="43">
      <c r="A43" s="5" t="inlineStr">
        <is>
          <t>ARM2022</t>
        </is>
      </c>
      <c r="B43" s="5" t="inlineStr">
        <is>
          <t>ARM</t>
        </is>
      </c>
      <c r="C43" s="5" t="inlineStr">
        <is>
          <t>ARM</t>
        </is>
      </c>
      <c r="D43" s="5" t="inlineStr">
        <is>
          <t>Armenia</t>
        </is>
      </c>
      <c r="E43" s="5" t="n">
        <v>2022</v>
      </c>
      <c r="F43" s="5" t="n">
        <v>0.2</v>
      </c>
      <c r="G43" s="5" t="n">
        <v>7.075</v>
      </c>
      <c r="H43" s="5" t="n">
        <v>1.235</v>
      </c>
      <c r="I43" s="5" t="n">
        <v>0</v>
      </c>
      <c r="J43" s="5" t="n">
        <v>7.075</v>
      </c>
      <c r="K43" s="5" t="n">
        <v>0</v>
      </c>
      <c r="L43" s="5" t="n">
        <v>1</v>
      </c>
      <c r="M43" s="5" t="n">
        <v>9.781000000000001</v>
      </c>
      <c r="N43" s="5" t="n">
        <v>3.704</v>
      </c>
      <c r="O43" s="5" t="n">
        <v>0</v>
      </c>
      <c r="P43" s="5" t="n">
        <v>9.781000000000001</v>
      </c>
      <c r="Q43" s="5" t="n">
        <v>0</v>
      </c>
      <c r="R43" s="5" t="n">
        <v>1</v>
      </c>
      <c r="S43" s="5" t="n">
        <v>13.248</v>
      </c>
      <c r="T43" s="5" t="n">
        <v>7.407</v>
      </c>
      <c r="U43" s="5" t="n">
        <v>0.196</v>
      </c>
      <c r="V43" s="5" t="n">
        <v>15.898</v>
      </c>
      <c r="W43" s="5" t="n">
        <v>0.2</v>
      </c>
      <c r="X43" s="5" t="n">
        <v>1</v>
      </c>
      <c r="Y43" s="5" t="n">
        <v>5.627</v>
      </c>
      <c r="Z43" s="5" t="n">
        <v>0.59</v>
      </c>
      <c r="AA43" s="5" t="n">
        <v>0</v>
      </c>
      <c r="AB43" s="5" t="n">
        <v>5.627</v>
      </c>
      <c r="AC43" s="5" t="n">
        <v>0</v>
      </c>
      <c r="AD43" s="5" t="n">
        <v>1</v>
      </c>
      <c r="AE43" s="5" t="n">
        <v>6.862</v>
      </c>
      <c r="AF43" s="5" t="n">
        <v>1.272</v>
      </c>
      <c r="AG43" s="5" t="n">
        <v>0.06</v>
      </c>
      <c r="AH43" s="5" t="n">
        <v>6.922</v>
      </c>
      <c r="AI43" s="5" t="n">
        <v>0</v>
      </c>
      <c r="AJ43" s="5" t="n">
        <v>1</v>
      </c>
      <c r="AK43" s="5" t="n">
        <v>14.27</v>
      </c>
      <c r="AL43" s="5" t="n">
        <v>6.815</v>
      </c>
      <c r="AM43" s="5" t="n">
        <v>1.256</v>
      </c>
      <c r="AN43" s="5" t="n">
        <v>17.124</v>
      </c>
      <c r="AO43" s="5" t="n">
        <v>0.2</v>
      </c>
      <c r="AP43" s="5" t="n">
        <v>1</v>
      </c>
      <c r="AQ43" s="5" t="n">
        <v>0.861</v>
      </c>
      <c r="AR43" s="5" t="n">
        <v>0.123</v>
      </c>
      <c r="AS43" s="5" t="n">
        <v>0.154</v>
      </c>
      <c r="AT43" s="5" t="n">
        <v>1.218</v>
      </c>
      <c r="AU43" s="5" t="n">
        <v>0.2</v>
      </c>
      <c r="AV43" s="5" t="n">
        <v>1</v>
      </c>
      <c r="AW43" s="5" t="n">
        <v>0.986</v>
      </c>
      <c r="AX43" s="5" t="n">
        <v>0.123</v>
      </c>
      <c r="AY43" s="5" t="n">
        <v>0.167</v>
      </c>
      <c r="AZ43" s="5" t="n">
        <v>1.384</v>
      </c>
      <c r="BA43" s="5" t="n">
        <v>0.2</v>
      </c>
      <c r="BB43" s="5" t="n">
        <v>1</v>
      </c>
      <c r="BC43" s="5" t="n">
        <v>0.598</v>
      </c>
      <c r="BD43" s="5" t="n">
        <v>0.123</v>
      </c>
      <c r="BE43" s="5" t="n">
        <v>0.008999999999999999</v>
      </c>
      <c r="BF43" s="5" t="n">
        <v>0.717</v>
      </c>
      <c r="BG43" s="5" t="n">
        <v>0.2</v>
      </c>
      <c r="BH43" s="5" t="n">
        <v>1</v>
      </c>
      <c r="BI43" s="5" t="n">
        <v>0.612</v>
      </c>
      <c r="BJ43" s="5" t="n">
        <v>0.123</v>
      </c>
      <c r="BK43" s="5" t="n">
        <v>0.008999999999999999</v>
      </c>
      <c r="BL43" s="5" t="n">
        <v>0.735</v>
      </c>
      <c r="BM43" s="5" t="n">
        <v>0.2</v>
      </c>
      <c r="BN43" s="5" t="n">
        <v>1</v>
      </c>
      <c r="BO43" s="5" t="n">
        <v>0</v>
      </c>
      <c r="BP43" s="5" t="n">
        <v>0</v>
      </c>
      <c r="BQ43" s="5" t="n">
        <v>0.123</v>
      </c>
      <c r="BR43" s="5" t="n">
        <v>0</v>
      </c>
      <c r="BS43" s="5" t="n">
        <v>0.5</v>
      </c>
      <c r="BT43" s="5" t="n">
        <v>0</v>
      </c>
      <c r="BU43" s="5" t="n">
        <v>0</v>
      </c>
      <c r="BV43" s="5" t="n">
        <v>0.107</v>
      </c>
      <c r="BW43" s="5" t="n">
        <v>0.2</v>
      </c>
      <c r="BX43" s="5" t="n">
        <v>0.5</v>
      </c>
      <c r="BY43" s="5" t="n">
        <v>12.729</v>
      </c>
      <c r="BZ43" s="5" t="n">
        <v>0</v>
      </c>
      <c r="CA43" s="5" t="n">
        <v>12.729</v>
      </c>
      <c r="CB43" s="5" t="n">
        <v>0</v>
      </c>
      <c r="CC43" s="5" t="n">
        <v>97.90000000000001</v>
      </c>
      <c r="CD43" s="5" t="n">
        <v>7.95</v>
      </c>
      <c r="CE43" s="5" t="n">
        <v>1.449</v>
      </c>
      <c r="CF43" s="5" t="n">
        <v>117.48</v>
      </c>
      <c r="CG43" s="5" t="n">
        <v>0.2</v>
      </c>
      <c r="CH43" s="5" t="n">
        <v>1</v>
      </c>
      <c r="CI43" s="5" t="n">
        <v>1</v>
      </c>
      <c r="CJ43" s="5" t="n">
        <v>1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1.294</v>
      </c>
      <c r="CR43" s="5" t="n">
        <v>0</v>
      </c>
      <c r="CS43" s="5" t="n">
        <v>4.393</v>
      </c>
      <c r="CT43" s="5" t="n">
        <v>5.842</v>
      </c>
      <c r="CU43" s="5" t="n">
        <v>4.393</v>
      </c>
    </row>
    <row r="44">
      <c r="A44" s="5" t="inlineStr">
        <is>
          <t>ARM2023</t>
        </is>
      </c>
      <c r="B44" s="5" t="inlineStr">
        <is>
          <t>ARM</t>
        </is>
      </c>
      <c r="C44" s="5" t="inlineStr">
        <is>
          <t>ARM</t>
        </is>
      </c>
      <c r="D44" s="5" t="inlineStr">
        <is>
          <t>Armenia</t>
        </is>
      </c>
      <c r="E44" s="5" t="n">
        <v>2023</v>
      </c>
      <c r="F44" s="5" t="n">
        <v>0.2</v>
      </c>
      <c r="G44" s="5" t="n">
        <v>4.751</v>
      </c>
      <c r="H44" s="5" t="n">
        <v>1.285</v>
      </c>
      <c r="I44" s="5" t="n">
        <v>0</v>
      </c>
      <c r="J44" s="5" t="n">
        <v>4.751</v>
      </c>
      <c r="K44" s="5" t="n">
        <v>0</v>
      </c>
      <c r="L44" s="5" t="n">
        <v>1</v>
      </c>
      <c r="M44" s="5" t="n">
        <v>7.885</v>
      </c>
      <c r="N44" s="5" t="n">
        <v>3.856</v>
      </c>
      <c r="O44" s="5" t="n">
        <v>0</v>
      </c>
      <c r="P44" s="5" t="n">
        <v>7.885</v>
      </c>
      <c r="Q44" s="5" t="n">
        <v>0</v>
      </c>
      <c r="R44" s="5" t="n">
        <v>1</v>
      </c>
      <c r="S44" s="5" t="n">
        <v>11.178</v>
      </c>
      <c r="T44" s="5" t="n">
        <v>7.713</v>
      </c>
      <c r="U44" s="5" t="n">
        <v>0.248</v>
      </c>
      <c r="V44" s="5" t="n">
        <v>13.414</v>
      </c>
      <c r="W44" s="5" t="n">
        <v>0.2</v>
      </c>
      <c r="X44" s="5" t="n">
        <v>1</v>
      </c>
      <c r="Y44" s="5" t="n">
        <v>2.794</v>
      </c>
      <c r="Z44" s="5" t="n">
        <v>0.313</v>
      </c>
      <c r="AA44" s="5" t="n">
        <v>1.001</v>
      </c>
      <c r="AB44" s="5" t="n">
        <v>3.795</v>
      </c>
      <c r="AC44" s="5" t="n">
        <v>0</v>
      </c>
      <c r="AD44" s="5" t="n">
        <v>1</v>
      </c>
      <c r="AE44" s="5" t="n">
        <v>4.08</v>
      </c>
      <c r="AF44" s="5" t="n">
        <v>0.8120000000000001</v>
      </c>
      <c r="AG44" s="5" t="n">
        <v>2.871</v>
      </c>
      <c r="AH44" s="5" t="n">
        <v>6.951</v>
      </c>
      <c r="AI44" s="5" t="n">
        <v>0</v>
      </c>
      <c r="AJ44" s="5" t="n">
        <v>1</v>
      </c>
      <c r="AK44" s="5" t="n">
        <v>11.794</v>
      </c>
      <c r="AL44" s="5" t="n">
        <v>5.842</v>
      </c>
      <c r="AM44" s="5" t="n">
        <v>0.584</v>
      </c>
      <c r="AN44" s="5" t="n">
        <v>14.152</v>
      </c>
      <c r="AO44" s="5" t="n">
        <v>0.2</v>
      </c>
      <c r="AP44" s="5" t="n">
        <v>1</v>
      </c>
      <c r="AQ44" s="5" t="n">
        <v>0.76</v>
      </c>
      <c r="AR44" s="5" t="n">
        <v>0.129</v>
      </c>
      <c r="AS44" s="5" t="n">
        <v>0.223</v>
      </c>
      <c r="AT44" s="5" t="n">
        <v>1.181</v>
      </c>
      <c r="AU44" s="5" t="n">
        <v>0.2</v>
      </c>
      <c r="AV44" s="5" t="n">
        <v>1</v>
      </c>
      <c r="AW44" s="5" t="n">
        <v>0.8110000000000001</v>
      </c>
      <c r="AX44" s="5" t="n">
        <v>0.129</v>
      </c>
      <c r="AY44" s="5" t="n">
        <v>0.308</v>
      </c>
      <c r="AZ44" s="5" t="n">
        <v>1.343</v>
      </c>
      <c r="BA44" s="5" t="n">
        <v>0.2</v>
      </c>
      <c r="BB44" s="5" t="n">
        <v>1</v>
      </c>
      <c r="BC44" s="5" t="n">
        <v>0.535</v>
      </c>
      <c r="BD44" s="5" t="n">
        <v>0.129</v>
      </c>
      <c r="BE44" s="5" t="n">
        <v>0.012</v>
      </c>
      <c r="BF44" s="5" t="n">
        <v>0.642</v>
      </c>
      <c r="BG44" s="5" t="n">
        <v>0.2</v>
      </c>
      <c r="BH44" s="5" t="n">
        <v>1</v>
      </c>
      <c r="BI44" s="5" t="n">
        <v>0.579</v>
      </c>
      <c r="BJ44" s="5" t="n">
        <v>0.129</v>
      </c>
      <c r="BK44" s="5" t="n">
        <v>0.013</v>
      </c>
      <c r="BL44" s="5" t="n">
        <v>0.695</v>
      </c>
      <c r="BM44" s="5" t="n">
        <v>0.2</v>
      </c>
      <c r="BN44" s="5" t="n">
        <v>1</v>
      </c>
      <c r="BO44" s="5" t="n">
        <v>0</v>
      </c>
      <c r="BP44" s="5" t="n">
        <v>0</v>
      </c>
      <c r="BQ44" s="5" t="n">
        <v>0.136</v>
      </c>
      <c r="BR44" s="5" t="n">
        <v>0</v>
      </c>
      <c r="BS44" s="5" t="n">
        <v>0.5</v>
      </c>
      <c r="BT44" s="5" t="n">
        <v>0</v>
      </c>
      <c r="BU44" s="5" t="n">
        <v>0</v>
      </c>
      <c r="BV44" s="5" t="n">
        <v>0.119</v>
      </c>
      <c r="BW44" s="5" t="n">
        <v>0.2</v>
      </c>
      <c r="BX44" s="5" t="n">
        <v>0.5</v>
      </c>
      <c r="BY44" s="5" t="n">
        <v>13.254</v>
      </c>
      <c r="BZ44" s="5" t="n">
        <v>0</v>
      </c>
      <c r="CA44" s="5" t="n">
        <v>13.254</v>
      </c>
      <c r="CB44" s="5" t="n">
        <v>0</v>
      </c>
      <c r="CC44" s="5" t="n">
        <v>83.248</v>
      </c>
      <c r="CD44" s="5" t="n">
        <v>7.95</v>
      </c>
      <c r="CE44" s="5" t="n">
        <v>1.843</v>
      </c>
      <c r="CF44" s="5" t="n">
        <v>99.898</v>
      </c>
      <c r="CG44" s="5" t="n">
        <v>0.2</v>
      </c>
      <c r="CH44" s="5" t="n">
        <v>1</v>
      </c>
      <c r="CI44" s="5" t="n">
        <v>1</v>
      </c>
      <c r="CJ44" s="5" t="n">
        <v>1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1.348</v>
      </c>
      <c r="CR44" s="5" t="n">
        <v>0</v>
      </c>
      <c r="CS44" s="5" t="n">
        <v>1.508</v>
      </c>
      <c r="CT44" s="5" t="n">
        <v>3.466</v>
      </c>
      <c r="CU44" s="5" t="n">
        <v>1.508</v>
      </c>
    </row>
    <row r="45">
      <c r="A45" s="5" t="inlineStr">
        <is>
          <t>ARM2024</t>
        </is>
      </c>
      <c r="B45" s="5" t="inlineStr">
        <is>
          <t>ARM</t>
        </is>
      </c>
      <c r="C45" s="5" t="inlineStr">
        <is>
          <t>ARM</t>
        </is>
      </c>
      <c r="D45" s="5" t="inlineStr">
        <is>
          <t>Armenia</t>
        </is>
      </c>
      <c r="E45" s="5" t="n">
        <v>2024</v>
      </c>
      <c r="F45" s="5" t="n">
        <v>0.2</v>
      </c>
      <c r="G45" s="5" t="n">
        <v>4.35</v>
      </c>
      <c r="H45" s="5" t="n">
        <v>1.323</v>
      </c>
      <c r="I45" s="5" t="n">
        <v>0</v>
      </c>
      <c r="J45" s="5" t="n">
        <v>4.35</v>
      </c>
      <c r="K45" s="5" t="n">
        <v>0</v>
      </c>
      <c r="L45" s="5" t="n">
        <v>1</v>
      </c>
      <c r="M45" s="5" t="n">
        <v>7.123</v>
      </c>
      <c r="N45" s="5" t="n">
        <v>3.97</v>
      </c>
      <c r="O45" s="5" t="n">
        <v>0</v>
      </c>
      <c r="P45" s="5" t="n">
        <v>7.123</v>
      </c>
      <c r="Q45" s="5" t="n">
        <v>0</v>
      </c>
      <c r="R45" s="5" t="n">
        <v>1</v>
      </c>
      <c r="S45" s="5" t="n">
        <v>10.967</v>
      </c>
      <c r="T45" s="5" t="n">
        <v>7.941</v>
      </c>
      <c r="U45" s="5" t="n">
        <v>0.299</v>
      </c>
      <c r="V45" s="5" t="n">
        <v>13.161</v>
      </c>
      <c r="W45" s="5" t="n">
        <v>0.2</v>
      </c>
      <c r="X45" s="5" t="n">
        <v>1</v>
      </c>
      <c r="Y45" s="5" t="n">
        <v>2.599</v>
      </c>
      <c r="Z45" s="5" t="n">
        <v>0.328</v>
      </c>
      <c r="AA45" s="5" t="n">
        <v>0</v>
      </c>
      <c r="AB45" s="5" t="n">
        <v>2.599</v>
      </c>
      <c r="AC45" s="5" t="n">
        <v>0</v>
      </c>
      <c r="AD45" s="5" t="n">
        <v>1</v>
      </c>
      <c r="AE45" s="5" t="n">
        <v>3.922</v>
      </c>
      <c r="AF45" s="5" t="n">
        <v>0.859</v>
      </c>
      <c r="AG45" s="5" t="n">
        <v>3.225</v>
      </c>
      <c r="AH45" s="5" t="n">
        <v>7.147</v>
      </c>
      <c r="AI45" s="5" t="n">
        <v>0</v>
      </c>
      <c r="AJ45" s="5" t="n">
        <v>1</v>
      </c>
      <c r="AK45" s="5" t="n">
        <v>11.864</v>
      </c>
      <c r="AL45" s="5" t="n">
        <v>6.034</v>
      </c>
      <c r="AM45" s="5" t="n">
        <v>0.598</v>
      </c>
      <c r="AN45" s="5" t="n">
        <v>14.237</v>
      </c>
      <c r="AO45" s="5" t="n">
        <v>0.2</v>
      </c>
      <c r="AP45" s="5" t="n">
        <v>1</v>
      </c>
      <c r="AQ45" s="5" t="n">
        <v>0.724</v>
      </c>
      <c r="AR45" s="5" t="n">
        <v>0.132</v>
      </c>
      <c r="AS45" s="5" t="n">
        <v>0.401</v>
      </c>
      <c r="AT45" s="5" t="n">
        <v>1.35</v>
      </c>
      <c r="AU45" s="5" t="n">
        <v>0.2</v>
      </c>
      <c r="AV45" s="5" t="n">
        <v>1</v>
      </c>
      <c r="AW45" s="5" t="n">
        <v>0.75</v>
      </c>
      <c r="AX45" s="5" t="n">
        <v>0.132</v>
      </c>
      <c r="AY45" s="5" t="n">
        <v>0.389</v>
      </c>
      <c r="AZ45" s="5" t="n">
        <v>1.368</v>
      </c>
      <c r="BA45" s="5" t="n">
        <v>0.2</v>
      </c>
      <c r="BB45" s="5" t="n">
        <v>1</v>
      </c>
      <c r="BC45" s="5" t="n">
        <v>0.513</v>
      </c>
      <c r="BD45" s="5" t="n">
        <v>0.132</v>
      </c>
      <c r="BE45" s="5" t="n">
        <v>0.014</v>
      </c>
      <c r="BF45" s="5" t="n">
        <v>0.616</v>
      </c>
      <c r="BG45" s="5" t="n">
        <v>0.2</v>
      </c>
      <c r="BH45" s="5" t="n">
        <v>1</v>
      </c>
      <c r="BI45" s="5" t="n">
        <v>0.591</v>
      </c>
      <c r="BJ45" s="5" t="n">
        <v>0.132</v>
      </c>
      <c r="BK45" s="5" t="n">
        <v>0.016</v>
      </c>
      <c r="BL45" s="5" t="n">
        <v>0.71</v>
      </c>
      <c r="BM45" s="5" t="n">
        <v>0.2</v>
      </c>
      <c r="BN45" s="5" t="n">
        <v>1</v>
      </c>
      <c r="BO45" s="5" t="n">
        <v>0</v>
      </c>
      <c r="BP45" s="5" t="n">
        <v>0</v>
      </c>
      <c r="BQ45" s="5" t="n">
        <v>0.123</v>
      </c>
      <c r="BR45" s="5" t="n">
        <v>0</v>
      </c>
      <c r="BS45" s="5" t="n">
        <v>0.5</v>
      </c>
      <c r="BT45" s="5" t="n">
        <v>0</v>
      </c>
      <c r="BU45" s="5" t="n">
        <v>0</v>
      </c>
      <c r="BV45" s="5" t="n">
        <v>0.111</v>
      </c>
      <c r="BW45" s="5" t="n">
        <v>0.2</v>
      </c>
      <c r="BX45" s="5" t="n">
        <v>0.5</v>
      </c>
      <c r="BY45" s="5" t="n">
        <v>13.646</v>
      </c>
      <c r="BZ45" s="5" t="n">
        <v>0</v>
      </c>
      <c r="CA45" s="5" t="n">
        <v>13.646</v>
      </c>
      <c r="CB45" s="5" t="n">
        <v>0</v>
      </c>
      <c r="CC45" s="5" t="n">
        <v>82.58799999999999</v>
      </c>
      <c r="CD45" s="5" t="n">
        <v>7.95</v>
      </c>
      <c r="CE45" s="5" t="n">
        <v>2.25</v>
      </c>
      <c r="CF45" s="5" t="n">
        <v>99.10599999999999</v>
      </c>
      <c r="CG45" s="5" t="n">
        <v>0.2</v>
      </c>
      <c r="CH45" s="5" t="n">
        <v>1</v>
      </c>
      <c r="CI45" s="5" t="n">
        <v>1</v>
      </c>
      <c r="CJ45" s="5" t="n">
        <v>1</v>
      </c>
      <c r="CK45" s="5" t="n">
        <v>0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1.387</v>
      </c>
      <c r="CR45" s="5" t="n">
        <v>0</v>
      </c>
      <c r="CS45" s="5" t="n">
        <v>1.275</v>
      </c>
      <c r="CT45" s="5" t="n">
        <v>3.027</v>
      </c>
      <c r="CU45" s="5" t="n">
        <v>1.275</v>
      </c>
    </row>
    <row r="46">
      <c r="A46" s="5" t="inlineStr">
        <is>
          <t>ABW2021</t>
        </is>
      </c>
      <c r="B46" s="5" t="inlineStr">
        <is>
          <t>ABW</t>
        </is>
      </c>
      <c r="C46" s="5" t="inlineStr">
        <is>
          <t>ABW</t>
        </is>
      </c>
      <c r="D46" s="5" t="inlineStr">
        <is>
          <t>Aruba</t>
        </is>
      </c>
      <c r="E46" s="5" t="n">
        <v>2021</v>
      </c>
      <c r="F46" s="5" t="n">
        <v>0.02</v>
      </c>
      <c r="G46" s="5" t="n">
        <v>5.897</v>
      </c>
      <c r="H46" s="5" t="n">
        <v>1.143</v>
      </c>
      <c r="I46" s="5" t="n">
        <v>0</v>
      </c>
      <c r="J46" s="5" t="n">
        <v>5.897</v>
      </c>
      <c r="K46" s="5" t="n">
        <v>0</v>
      </c>
      <c r="L46" s="5" t="n">
        <v>1</v>
      </c>
      <c r="M46" s="5" t="n">
        <v>7.964</v>
      </c>
      <c r="N46" s="5" t="n">
        <v>3.43</v>
      </c>
      <c r="O46" s="5" t="n">
        <v>0</v>
      </c>
      <c r="P46" s="5" t="n">
        <v>7.964</v>
      </c>
      <c r="Q46" s="5" t="n">
        <v>0</v>
      </c>
      <c r="R46" s="5" t="n">
        <v>1</v>
      </c>
      <c r="S46" s="5" t="n">
        <v>11.613</v>
      </c>
      <c r="T46" s="5" t="n">
        <v>6.86</v>
      </c>
      <c r="U46" s="5" t="n">
        <v>0</v>
      </c>
      <c r="V46" s="5" t="n">
        <v>11.846</v>
      </c>
      <c r="W46" s="5" t="n">
        <v>0.02</v>
      </c>
      <c r="X46" s="5" t="n">
        <v>1</v>
      </c>
      <c r="Y46" s="5" t="n">
        <v>5.919</v>
      </c>
      <c r="Z46" s="5" t="n">
        <v>0.796</v>
      </c>
      <c r="AA46" s="5" t="n">
        <v>-3.796</v>
      </c>
      <c r="AB46" s="5" t="n">
        <v>2.123</v>
      </c>
      <c r="AC46" s="5" t="n">
        <v>0</v>
      </c>
      <c r="AD46" s="5" t="n">
        <v>0</v>
      </c>
      <c r="AE46" s="5" t="n">
        <v>7.062</v>
      </c>
      <c r="AF46" s="5" t="n">
        <v>1.654</v>
      </c>
      <c r="AG46" s="5" t="n">
        <v>-4.94</v>
      </c>
      <c r="AH46" s="5" t="n">
        <v>2.123</v>
      </c>
      <c r="AI46" s="5" t="n">
        <v>0</v>
      </c>
      <c r="AJ46" s="5" t="n">
        <v>0</v>
      </c>
      <c r="AK46" s="5" t="n">
        <v>13.922</v>
      </c>
      <c r="AL46" s="5" t="n">
        <v>7.481</v>
      </c>
      <c r="AM46" s="5" t="n">
        <v>-4.96</v>
      </c>
      <c r="AN46" s="5" t="n">
        <v>8.962</v>
      </c>
      <c r="AO46" s="5" t="n">
        <v>0</v>
      </c>
      <c r="AP46" s="5" t="n">
        <v>0</v>
      </c>
      <c r="AQ46" s="5" t="n">
        <v>0.649</v>
      </c>
      <c r="AR46" s="5" t="n">
        <v>0.114</v>
      </c>
      <c r="AS46" s="5" t="n">
        <v>0.656</v>
      </c>
      <c r="AT46" s="5" t="n">
        <v>1.305</v>
      </c>
      <c r="AU46" s="5" t="n">
        <v>0</v>
      </c>
      <c r="AV46" s="5" t="n">
        <v>1</v>
      </c>
      <c r="AW46" s="5" t="n">
        <v>0.577</v>
      </c>
      <c r="AX46" s="5" t="n">
        <v>0.114</v>
      </c>
      <c r="AY46" s="5" t="n">
        <v>0.529</v>
      </c>
      <c r="AZ46" s="5" t="n">
        <v>1.128</v>
      </c>
      <c r="BA46" s="5" t="n">
        <v>0.02</v>
      </c>
      <c r="BB46" s="5" t="n">
        <v>1</v>
      </c>
      <c r="BC46" s="5" t="n">
        <v>0.458</v>
      </c>
      <c r="BD46" s="5" t="n">
        <v>0.114</v>
      </c>
      <c r="BE46" s="5" t="n">
        <v>0</v>
      </c>
      <c r="BF46" s="5" t="n">
        <v>0.467</v>
      </c>
      <c r="BG46" s="5" t="n">
        <v>0.02</v>
      </c>
      <c r="BH46" s="5" t="n">
        <v>1</v>
      </c>
      <c r="BI46" s="5" t="n">
        <v>0.491</v>
      </c>
      <c r="BJ46" s="5" t="n">
        <v>0.114</v>
      </c>
      <c r="BK46" s="5" t="n">
        <v>0.384</v>
      </c>
      <c r="BL46" s="5" t="n">
        <v>0.893</v>
      </c>
      <c r="BM46" s="5" t="n">
        <v>0.02</v>
      </c>
      <c r="BN46" s="5" t="n">
        <v>1</v>
      </c>
      <c r="BO46" s="5" t="n">
        <v>0</v>
      </c>
      <c r="BP46" s="5" t="n">
        <v>0</v>
      </c>
      <c r="BQ46" s="5" t="n">
        <v>0.276</v>
      </c>
      <c r="BR46" s="5" t="n">
        <v>0</v>
      </c>
      <c r="BS46" s="5" t="n">
        <v>0.833</v>
      </c>
      <c r="BT46" s="5" t="n">
        <v>0</v>
      </c>
      <c r="BU46" s="5" t="n">
        <v>0</v>
      </c>
      <c r="BV46" s="5" t="n">
        <v>0.248</v>
      </c>
      <c r="BW46" s="5" t="n">
        <v>0.02</v>
      </c>
      <c r="BX46" s="5" t="n">
        <v>0.833</v>
      </c>
      <c r="BY46" s="5" t="n">
        <v>11.787</v>
      </c>
      <c r="BZ46" s="5" t="n">
        <v>0</v>
      </c>
      <c r="CA46" s="5" t="n">
        <v>11.787</v>
      </c>
      <c r="CB46" s="5" t="n">
        <v>0</v>
      </c>
      <c r="CC46" s="5" t="n">
        <v>78.125</v>
      </c>
      <c r="CD46" s="5" t="n">
        <v>7.95</v>
      </c>
      <c r="CE46" s="5" t="n">
        <v>0</v>
      </c>
      <c r="CF46" s="5" t="n">
        <v>79.688</v>
      </c>
      <c r="CG46" s="5" t="n">
        <v>0.02</v>
      </c>
      <c r="CH46" s="5" t="n">
        <v>1</v>
      </c>
      <c r="CI46" s="5" t="n">
        <v>0</v>
      </c>
      <c r="CJ46" s="5" t="n">
        <v>0</v>
      </c>
      <c r="CK46" s="5" t="n">
        <v>0</v>
      </c>
      <c r="CL46" s="5" t="n">
        <v>0</v>
      </c>
      <c r="CM46" s="5" t="n">
        <v>0</v>
      </c>
      <c r="CN46" s="5" t="n">
        <v>0</v>
      </c>
      <c r="CO46" s="5" t="n">
        <v>0</v>
      </c>
      <c r="CP46" s="5" t="n">
        <v>0</v>
      </c>
      <c r="CQ46" s="5" t="n">
        <v>1.198</v>
      </c>
      <c r="CR46" s="5" t="n">
        <v>0</v>
      </c>
      <c r="CS46" s="5" t="n">
        <v>4.776</v>
      </c>
      <c r="CT46" s="5" t="n">
        <v>4.753</v>
      </c>
      <c r="CU46" s="5" t="n">
        <v>15.983</v>
      </c>
    </row>
    <row r="47">
      <c r="A47" s="5" t="inlineStr">
        <is>
          <t>ABW2022</t>
        </is>
      </c>
      <c r="B47" s="5" t="inlineStr">
        <is>
          <t>ABW</t>
        </is>
      </c>
      <c r="C47" s="5" t="inlineStr">
        <is>
          <t>ABW</t>
        </is>
      </c>
      <c r="D47" s="5" t="inlineStr">
        <is>
          <t>Aruba</t>
        </is>
      </c>
      <c r="E47" s="5" t="n">
        <v>2022</v>
      </c>
      <c r="F47" s="5" t="n">
        <v>0.015</v>
      </c>
      <c r="G47" s="5" t="n">
        <v>11.72</v>
      </c>
      <c r="H47" s="5" t="n">
        <v>1.235</v>
      </c>
      <c r="I47" s="5" t="n">
        <v>0</v>
      </c>
      <c r="J47" s="5" t="n">
        <v>11.72</v>
      </c>
      <c r="K47" s="5" t="n">
        <v>0</v>
      </c>
      <c r="L47" s="5" t="n">
        <v>1</v>
      </c>
      <c r="M47" s="5" t="n">
        <v>9.782999999999999</v>
      </c>
      <c r="N47" s="5" t="n">
        <v>3.704</v>
      </c>
      <c r="O47" s="5" t="n">
        <v>0</v>
      </c>
      <c r="P47" s="5" t="n">
        <v>9.782999999999999</v>
      </c>
      <c r="Q47" s="5" t="n">
        <v>0</v>
      </c>
      <c r="R47" s="5" t="n">
        <v>1</v>
      </c>
      <c r="S47" s="5" t="n">
        <v>17.893</v>
      </c>
      <c r="T47" s="5" t="n">
        <v>7.408</v>
      </c>
      <c r="U47" s="5" t="n">
        <v>0.02</v>
      </c>
      <c r="V47" s="5" t="n">
        <v>18.162</v>
      </c>
      <c r="W47" s="5" t="n">
        <v>0.015</v>
      </c>
      <c r="X47" s="5" t="n">
        <v>1</v>
      </c>
      <c r="Y47" s="5" t="n">
        <v>6.392</v>
      </c>
      <c r="Z47" s="5" t="n">
        <v>0.86</v>
      </c>
      <c r="AA47" s="5" t="n">
        <v>-4.1</v>
      </c>
      <c r="AB47" s="5" t="n">
        <v>2.292</v>
      </c>
      <c r="AC47" s="5" t="n">
        <v>0</v>
      </c>
      <c r="AD47" s="5" t="n">
        <v>0</v>
      </c>
      <c r="AE47" s="5" t="n">
        <v>7.627</v>
      </c>
      <c r="AF47" s="5" t="n">
        <v>1.786</v>
      </c>
      <c r="AG47" s="5" t="n">
        <v>-5.334</v>
      </c>
      <c r="AH47" s="5" t="n">
        <v>2.292</v>
      </c>
      <c r="AI47" s="5" t="n">
        <v>0</v>
      </c>
      <c r="AJ47" s="5" t="n">
        <v>0</v>
      </c>
      <c r="AK47" s="5" t="n">
        <v>15.035</v>
      </c>
      <c r="AL47" s="5" t="n">
        <v>8.079000000000001</v>
      </c>
      <c r="AM47" s="5" t="n">
        <v>-5.357</v>
      </c>
      <c r="AN47" s="5" t="n">
        <v>9.678000000000001</v>
      </c>
      <c r="AO47" s="5" t="n">
        <v>0</v>
      </c>
      <c r="AP47" s="5" t="n">
        <v>0</v>
      </c>
      <c r="AQ47" s="5" t="n">
        <v>0.896</v>
      </c>
      <c r="AR47" s="5" t="n">
        <v>0.123</v>
      </c>
      <c r="AS47" s="5" t="n">
        <v>0.711</v>
      </c>
      <c r="AT47" s="5" t="n">
        <v>1.607</v>
      </c>
      <c r="AU47" s="5" t="n">
        <v>0</v>
      </c>
      <c r="AV47" s="5" t="n">
        <v>1</v>
      </c>
      <c r="AW47" s="5" t="n">
        <v>0.89</v>
      </c>
      <c r="AX47" s="5" t="n">
        <v>0.123</v>
      </c>
      <c r="AY47" s="5" t="n">
        <v>0.673</v>
      </c>
      <c r="AZ47" s="5" t="n">
        <v>1.586</v>
      </c>
      <c r="BA47" s="5" t="n">
        <v>0.015</v>
      </c>
      <c r="BB47" s="5" t="n">
        <v>1</v>
      </c>
      <c r="BC47" s="5" t="n">
        <v>0.62</v>
      </c>
      <c r="BD47" s="5" t="n">
        <v>0.123</v>
      </c>
      <c r="BE47" s="5" t="n">
        <v>0.001</v>
      </c>
      <c r="BF47" s="5" t="n">
        <v>0.63</v>
      </c>
      <c r="BG47" s="5" t="n">
        <v>0.015</v>
      </c>
      <c r="BH47" s="5" t="n">
        <v>1</v>
      </c>
      <c r="BI47" s="5" t="n">
        <v>0.608</v>
      </c>
      <c r="BJ47" s="5" t="n">
        <v>0.123</v>
      </c>
      <c r="BK47" s="5" t="n">
        <v>0.728</v>
      </c>
      <c r="BL47" s="5" t="n">
        <v>1.355</v>
      </c>
      <c r="BM47" s="5" t="n">
        <v>0.015</v>
      </c>
      <c r="BN47" s="5" t="n">
        <v>1</v>
      </c>
      <c r="BO47" s="5" t="n">
        <v>0</v>
      </c>
      <c r="BP47" s="5" t="n">
        <v>0</v>
      </c>
      <c r="BQ47" s="5" t="n">
        <v>0.309</v>
      </c>
      <c r="BR47" s="5" t="n">
        <v>0</v>
      </c>
      <c r="BS47" s="5" t="n">
        <v>0.833</v>
      </c>
      <c r="BT47" s="5" t="n">
        <v>0</v>
      </c>
      <c r="BU47" s="5" t="n">
        <v>0</v>
      </c>
      <c r="BV47" s="5" t="n">
        <v>0.259</v>
      </c>
      <c r="BW47" s="5" t="n">
        <v>0.015</v>
      </c>
      <c r="BX47" s="5" t="n">
        <v>0.833</v>
      </c>
      <c r="BY47" s="5" t="n">
        <v>12.729</v>
      </c>
      <c r="BZ47" s="5" t="n">
        <v>0</v>
      </c>
      <c r="CA47" s="5" t="n">
        <v>12.729</v>
      </c>
      <c r="CB47" s="5" t="n">
        <v>0</v>
      </c>
      <c r="CC47" s="5" t="n">
        <v>97.90000000000001</v>
      </c>
      <c r="CD47" s="5" t="n">
        <v>7.95</v>
      </c>
      <c r="CE47" s="5" t="n">
        <v>0.109</v>
      </c>
      <c r="CF47" s="5" t="n">
        <v>99.36799999999999</v>
      </c>
      <c r="CG47" s="5" t="n">
        <v>0.015</v>
      </c>
      <c r="CH47" s="5" t="n">
        <v>1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1.294</v>
      </c>
      <c r="CR47" s="5" t="n">
        <v>0</v>
      </c>
      <c r="CS47" s="5" t="n">
        <v>5.158</v>
      </c>
      <c r="CT47" s="5" t="n">
        <v>10.485</v>
      </c>
      <c r="CU47" s="5" t="n">
        <v>29.494</v>
      </c>
    </row>
    <row r="48">
      <c r="A48" s="5" t="inlineStr">
        <is>
          <t>ABW2023</t>
        </is>
      </c>
      <c r="B48" s="5" t="inlineStr">
        <is>
          <t>ABW</t>
        </is>
      </c>
      <c r="C48" s="5" t="inlineStr">
        <is>
          <t>ABW</t>
        </is>
      </c>
      <c r="D48" s="5" t="inlineStr">
        <is>
          <t>Aruba</t>
        </is>
      </c>
      <c r="E48" s="5" t="n">
        <v>2023</v>
      </c>
      <c r="F48" s="5" t="n">
        <v>0.015</v>
      </c>
      <c r="G48" s="5" t="n">
        <v>6.147</v>
      </c>
      <c r="H48" s="5" t="n">
        <v>1.286</v>
      </c>
      <c r="I48" s="5" t="n">
        <v>0</v>
      </c>
      <c r="J48" s="5" t="n">
        <v>6.147</v>
      </c>
      <c r="K48" s="5" t="n">
        <v>0</v>
      </c>
      <c r="L48" s="5" t="n">
        <v>1</v>
      </c>
      <c r="M48" s="5" t="n">
        <v>7.886</v>
      </c>
      <c r="N48" s="5" t="n">
        <v>3.857</v>
      </c>
      <c r="O48" s="5" t="n">
        <v>0</v>
      </c>
      <c r="P48" s="5" t="n">
        <v>7.886</v>
      </c>
      <c r="Q48" s="5" t="n">
        <v>0</v>
      </c>
      <c r="R48" s="5" t="n">
        <v>1</v>
      </c>
      <c r="S48" s="5" t="n">
        <v>12.575</v>
      </c>
      <c r="T48" s="5" t="n">
        <v>7.714</v>
      </c>
      <c r="U48" s="5" t="n">
        <v>0.021</v>
      </c>
      <c r="V48" s="5" t="n">
        <v>12.764</v>
      </c>
      <c r="W48" s="5" t="n">
        <v>0.015</v>
      </c>
      <c r="X48" s="5" t="n">
        <v>1</v>
      </c>
      <c r="Y48" s="5" t="n">
        <v>6.656</v>
      </c>
      <c r="Z48" s="5" t="n">
        <v>0.895</v>
      </c>
      <c r="AA48" s="5" t="n">
        <v>-4.269</v>
      </c>
      <c r="AB48" s="5" t="n">
        <v>2.387</v>
      </c>
      <c r="AC48" s="5" t="n">
        <v>0</v>
      </c>
      <c r="AD48" s="5" t="n">
        <v>0</v>
      </c>
      <c r="AE48" s="5" t="n">
        <v>7.942</v>
      </c>
      <c r="AF48" s="5" t="n">
        <v>1.86</v>
      </c>
      <c r="AG48" s="5" t="n">
        <v>-5.555</v>
      </c>
      <c r="AH48" s="5" t="n">
        <v>2.387</v>
      </c>
      <c r="AI48" s="5" t="n">
        <v>0</v>
      </c>
      <c r="AJ48" s="5" t="n">
        <v>0</v>
      </c>
      <c r="AK48" s="5" t="n">
        <v>15.656</v>
      </c>
      <c r="AL48" s="5" t="n">
        <v>8.412000000000001</v>
      </c>
      <c r="AM48" s="5" t="n">
        <v>-5.578</v>
      </c>
      <c r="AN48" s="5" t="n">
        <v>10.078</v>
      </c>
      <c r="AO48" s="5" t="n">
        <v>0</v>
      </c>
      <c r="AP48" s="5" t="n">
        <v>0</v>
      </c>
      <c r="AQ48" s="5" t="n">
        <v>0.791</v>
      </c>
      <c r="AR48" s="5" t="n">
        <v>0.129</v>
      </c>
      <c r="AS48" s="5" t="n">
        <v>0.731</v>
      </c>
      <c r="AT48" s="5" t="n">
        <v>1.522</v>
      </c>
      <c r="AU48" s="5" t="n">
        <v>0</v>
      </c>
      <c r="AV48" s="5" t="n">
        <v>1</v>
      </c>
      <c r="AW48" s="5" t="n">
        <v>0.618</v>
      </c>
      <c r="AX48" s="5" t="n">
        <v>0.129</v>
      </c>
      <c r="AY48" s="5" t="n">
        <v>0.8</v>
      </c>
      <c r="AZ48" s="5" t="n">
        <v>1.439</v>
      </c>
      <c r="BA48" s="5" t="n">
        <v>0.015</v>
      </c>
      <c r="BB48" s="5" t="n">
        <v>1</v>
      </c>
      <c r="BC48" s="5" t="n">
        <v>0.554</v>
      </c>
      <c r="BD48" s="5" t="n">
        <v>0.129</v>
      </c>
      <c r="BE48" s="5" t="n">
        <v>0.001</v>
      </c>
      <c r="BF48" s="5" t="n">
        <v>0.5629999999999999</v>
      </c>
      <c r="BG48" s="5" t="n">
        <v>0.015</v>
      </c>
      <c r="BH48" s="5" t="n">
        <v>1</v>
      </c>
      <c r="BI48" s="5" t="n">
        <v>0.5570000000000001</v>
      </c>
      <c r="BJ48" s="5" t="n">
        <v>0.129</v>
      </c>
      <c r="BK48" s="5" t="n">
        <v>0.65</v>
      </c>
      <c r="BL48" s="5" t="n">
        <v>1.225</v>
      </c>
      <c r="BM48" s="5" t="n">
        <v>0.015</v>
      </c>
      <c r="BN48" s="5" t="n">
        <v>1</v>
      </c>
      <c r="BO48" s="5" t="n">
        <v>0</v>
      </c>
      <c r="BP48" s="5" t="n">
        <v>0</v>
      </c>
      <c r="BQ48" s="5" t="n">
        <v>0.33</v>
      </c>
      <c r="BR48" s="5" t="n">
        <v>0</v>
      </c>
      <c r="BS48" s="5" t="n">
        <v>0.833</v>
      </c>
      <c r="BT48" s="5" t="n">
        <v>0</v>
      </c>
      <c r="BU48" s="5" t="n">
        <v>0</v>
      </c>
      <c r="BV48" s="5" t="n">
        <v>0.283</v>
      </c>
      <c r="BW48" s="5" t="n">
        <v>0.015</v>
      </c>
      <c r="BX48" s="5" t="n">
        <v>0.833</v>
      </c>
      <c r="BY48" s="5" t="n">
        <v>13.254</v>
      </c>
      <c r="BZ48" s="5" t="n">
        <v>0</v>
      </c>
      <c r="CA48" s="5" t="n">
        <v>13.254</v>
      </c>
      <c r="CB48" s="5" t="n">
        <v>0</v>
      </c>
      <c r="CC48" s="5" t="n">
        <v>83.248</v>
      </c>
      <c r="CD48" s="5" t="n">
        <v>7.95</v>
      </c>
      <c r="CE48" s="5" t="n">
        <v>0.138</v>
      </c>
      <c r="CF48" s="5" t="n">
        <v>84.497</v>
      </c>
      <c r="CG48" s="5" t="n">
        <v>0.015</v>
      </c>
      <c r="CH48" s="5" t="n">
        <v>1</v>
      </c>
      <c r="CI48" s="5" t="n">
        <v>0</v>
      </c>
      <c r="CJ48" s="5" t="n">
        <v>0</v>
      </c>
      <c r="CK48" s="5" t="n">
        <v>0</v>
      </c>
      <c r="CL48" s="5" t="n">
        <v>0</v>
      </c>
      <c r="CM48" s="5" t="n">
        <v>0</v>
      </c>
      <c r="CN48" s="5" t="n">
        <v>0</v>
      </c>
      <c r="CO48" s="5" t="n">
        <v>0</v>
      </c>
      <c r="CP48" s="5" t="n">
        <v>0</v>
      </c>
      <c r="CQ48" s="5" t="n">
        <v>1.348</v>
      </c>
      <c r="CR48" s="5" t="n">
        <v>0</v>
      </c>
      <c r="CS48" s="5" t="n">
        <v>5.37</v>
      </c>
      <c r="CT48" s="5" t="n">
        <v>4.861</v>
      </c>
      <c r="CU48" s="5" t="n">
        <v>11.192</v>
      </c>
    </row>
    <row r="49">
      <c r="A49" s="5" t="inlineStr">
        <is>
          <t>ABW2024</t>
        </is>
      </c>
      <c r="B49" s="5" t="inlineStr">
        <is>
          <t>ABW</t>
        </is>
      </c>
      <c r="C49" s="5" t="inlineStr">
        <is>
          <t>ABW</t>
        </is>
      </c>
      <c r="D49" s="5" t="inlineStr">
        <is>
          <t>Aruba</t>
        </is>
      </c>
      <c r="E49" s="5" t="n">
        <v>2024</v>
      </c>
      <c r="F49" s="5" t="n">
        <v>0.015</v>
      </c>
      <c r="G49" s="5" t="n">
        <v>5.575</v>
      </c>
      <c r="H49" s="5" t="n">
        <v>1.324</v>
      </c>
      <c r="I49" s="5" t="n">
        <v>0</v>
      </c>
      <c r="J49" s="5" t="n">
        <v>5.575</v>
      </c>
      <c r="K49" s="5" t="n">
        <v>0</v>
      </c>
      <c r="L49" s="5" t="n">
        <v>1</v>
      </c>
      <c r="M49" s="5" t="n">
        <v>7.124</v>
      </c>
      <c r="N49" s="5" t="n">
        <v>3.971</v>
      </c>
      <c r="O49" s="5" t="n">
        <v>0</v>
      </c>
      <c r="P49" s="5" t="n">
        <v>7.124</v>
      </c>
      <c r="Q49" s="5" t="n">
        <v>0</v>
      </c>
      <c r="R49" s="5" t="n">
        <v>1</v>
      </c>
      <c r="S49" s="5" t="n">
        <v>12.193</v>
      </c>
      <c r="T49" s="5" t="n">
        <v>7.942</v>
      </c>
      <c r="U49" s="5" t="n">
        <v>0.025</v>
      </c>
      <c r="V49" s="5" t="n">
        <v>12.376</v>
      </c>
      <c r="W49" s="5" t="n">
        <v>0.015</v>
      </c>
      <c r="X49" s="5" t="n">
        <v>1</v>
      </c>
      <c r="Y49" s="5" t="n">
        <v>6.853</v>
      </c>
      <c r="Z49" s="5" t="n">
        <v>0.922</v>
      </c>
      <c r="AA49" s="5" t="n">
        <v>-4.395</v>
      </c>
      <c r="AB49" s="5" t="n">
        <v>2.458</v>
      </c>
      <c r="AC49" s="5" t="n">
        <v>0</v>
      </c>
      <c r="AD49" s="5" t="n">
        <v>0</v>
      </c>
      <c r="AE49" s="5" t="n">
        <v>8.176</v>
      </c>
      <c r="AF49" s="5" t="n">
        <v>1.915</v>
      </c>
      <c r="AG49" s="5" t="n">
        <v>-5.719</v>
      </c>
      <c r="AH49" s="5" t="n">
        <v>2.458</v>
      </c>
      <c r="AI49" s="5" t="n">
        <v>0</v>
      </c>
      <c r="AJ49" s="5" t="n">
        <v>0</v>
      </c>
      <c r="AK49" s="5" t="n">
        <v>16.118</v>
      </c>
      <c r="AL49" s="5" t="n">
        <v>8.66</v>
      </c>
      <c r="AM49" s="5" t="n">
        <v>-5.743</v>
      </c>
      <c r="AN49" s="5" t="n">
        <v>10.375</v>
      </c>
      <c r="AO49" s="5" t="n">
        <v>0</v>
      </c>
      <c r="AP49" s="5" t="n">
        <v>0</v>
      </c>
      <c r="AQ49" s="5" t="n">
        <v>0.756</v>
      </c>
      <c r="AR49" s="5" t="n">
        <v>0.132</v>
      </c>
      <c r="AS49" s="5" t="n">
        <v>0.706</v>
      </c>
      <c r="AT49" s="5" t="n">
        <v>1.462</v>
      </c>
      <c r="AU49" s="5" t="n">
        <v>0</v>
      </c>
      <c r="AV49" s="5" t="n">
        <v>1</v>
      </c>
      <c r="AW49" s="5" t="n">
        <v>0.655</v>
      </c>
      <c r="AX49" s="5" t="n">
        <v>0.132</v>
      </c>
      <c r="AY49" s="5" t="n">
        <v>0.666</v>
      </c>
      <c r="AZ49" s="5" t="n">
        <v>1.341</v>
      </c>
      <c r="BA49" s="5" t="n">
        <v>0.015</v>
      </c>
      <c r="BB49" s="5" t="n">
        <v>1</v>
      </c>
      <c r="BC49" s="5" t="n">
        <v>0.534</v>
      </c>
      <c r="BD49" s="5" t="n">
        <v>0.132</v>
      </c>
      <c r="BE49" s="5" t="n">
        <v>0.001</v>
      </c>
      <c r="BF49" s="5" t="n">
        <v>0.542</v>
      </c>
      <c r="BG49" s="5" t="n">
        <v>0.015</v>
      </c>
      <c r="BH49" s="5" t="n">
        <v>1</v>
      </c>
      <c r="BI49" s="5" t="n">
        <v>0.5679999999999999</v>
      </c>
      <c r="BJ49" s="5" t="n">
        <v>0.132</v>
      </c>
      <c r="BK49" s="5" t="n">
        <v>0.525</v>
      </c>
      <c r="BL49" s="5" t="n">
        <v>1.109</v>
      </c>
      <c r="BM49" s="5" t="n">
        <v>0.015</v>
      </c>
      <c r="BN49" s="5" t="n">
        <v>1</v>
      </c>
      <c r="BO49" s="5" t="n">
        <v>0</v>
      </c>
      <c r="BP49" s="5" t="n">
        <v>0</v>
      </c>
      <c r="BQ49" s="5" t="n">
        <v>0.318</v>
      </c>
      <c r="BR49" s="5" t="n">
        <v>0</v>
      </c>
      <c r="BS49" s="5" t="n">
        <v>0.833</v>
      </c>
      <c r="BT49" s="5" t="n">
        <v>0</v>
      </c>
      <c r="BU49" s="5" t="n">
        <v>0</v>
      </c>
      <c r="BV49" s="5" t="n">
        <v>0.275</v>
      </c>
      <c r="BW49" s="5" t="n">
        <v>0.015</v>
      </c>
      <c r="BX49" s="5" t="n">
        <v>0.833</v>
      </c>
      <c r="BY49" s="5" t="n">
        <v>13.646</v>
      </c>
      <c r="BZ49" s="5" t="n">
        <v>0</v>
      </c>
      <c r="CA49" s="5" t="n">
        <v>13.646</v>
      </c>
      <c r="CB49" s="5" t="n">
        <v>0</v>
      </c>
      <c r="CC49" s="5" t="n">
        <v>82.58799999999999</v>
      </c>
      <c r="CD49" s="5" t="n">
        <v>7.95</v>
      </c>
      <c r="CE49" s="5" t="n">
        <v>0.169</v>
      </c>
      <c r="CF49" s="5" t="n">
        <v>83.827</v>
      </c>
      <c r="CG49" s="5" t="n">
        <v>0.015</v>
      </c>
      <c r="CH49" s="5" t="n">
        <v>1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1.387</v>
      </c>
      <c r="CR49" s="5" t="n">
        <v>0</v>
      </c>
      <c r="CS49" s="5" t="n">
        <v>5.529</v>
      </c>
      <c r="CT49" s="5" t="n">
        <v>4.251</v>
      </c>
      <c r="CU49" s="5" t="n">
        <v>10.123</v>
      </c>
    </row>
    <row r="50">
      <c r="A50" s="5" t="inlineStr">
        <is>
          <t>AUS2021</t>
        </is>
      </c>
      <c r="B50" s="5" t="inlineStr">
        <is>
          <t>AUS</t>
        </is>
      </c>
      <c r="C50" s="5" t="inlineStr">
        <is>
          <t>AUS</t>
        </is>
      </c>
      <c r="D50" s="5" t="inlineStr">
        <is>
          <t>Australia</t>
        </is>
      </c>
      <c r="E50" s="5" t="n">
        <v>2021</v>
      </c>
      <c r="F50" s="5" t="n">
        <v>0.1</v>
      </c>
      <c r="G50" s="5" t="n">
        <v>1.895</v>
      </c>
      <c r="H50" s="5" t="n">
        <v>0.576</v>
      </c>
      <c r="I50" s="5" t="n">
        <v>0</v>
      </c>
      <c r="J50" s="5" t="n">
        <v>1.895</v>
      </c>
      <c r="K50" s="5" t="n">
        <v>0</v>
      </c>
      <c r="L50" s="5" t="n">
        <v>1</v>
      </c>
      <c r="M50" s="5" t="n">
        <v>3.047</v>
      </c>
      <c r="N50" s="5" t="n">
        <v>1.728</v>
      </c>
      <c r="O50" s="5" t="n">
        <v>0</v>
      </c>
      <c r="P50" s="5" t="n">
        <v>3.047</v>
      </c>
      <c r="Q50" s="5" t="n">
        <v>0</v>
      </c>
      <c r="R50" s="5" t="n">
        <v>1</v>
      </c>
      <c r="S50" s="5" t="n">
        <v>4.774</v>
      </c>
      <c r="T50" s="5" t="n">
        <v>3.455</v>
      </c>
      <c r="U50" s="5" t="n">
        <v>0</v>
      </c>
      <c r="V50" s="5" t="n">
        <v>5.252</v>
      </c>
      <c r="W50" s="5" t="n">
        <v>0.1</v>
      </c>
      <c r="X50" s="5" t="n">
        <v>1</v>
      </c>
      <c r="Y50" s="5" t="n">
        <v>7.323</v>
      </c>
      <c r="Z50" s="5" t="n">
        <v>0.641</v>
      </c>
      <c r="AA50" s="5" t="n">
        <v>0</v>
      </c>
      <c r="AB50" s="5" t="n">
        <v>7.323</v>
      </c>
      <c r="AC50" s="5" t="n">
        <v>0</v>
      </c>
      <c r="AD50" s="5" t="n">
        <v>1</v>
      </c>
      <c r="AE50" s="5" t="n">
        <v>8.465999999999999</v>
      </c>
      <c r="AF50" s="5" t="n">
        <v>1.283</v>
      </c>
      <c r="AG50" s="5" t="n">
        <v>0</v>
      </c>
      <c r="AH50" s="5" t="n">
        <v>8.465999999999999</v>
      </c>
      <c r="AI50" s="5" t="n">
        <v>0</v>
      </c>
      <c r="AJ50" s="5" t="n">
        <v>1</v>
      </c>
      <c r="AK50" s="5" t="n">
        <v>15.326</v>
      </c>
      <c r="AL50" s="5" t="n">
        <v>5.132</v>
      </c>
      <c r="AM50" s="5" t="n">
        <v>-0.265</v>
      </c>
      <c r="AN50" s="5" t="n">
        <v>16.568</v>
      </c>
      <c r="AO50" s="5" t="n">
        <v>0.1</v>
      </c>
      <c r="AP50" s="5" t="n">
        <v>1</v>
      </c>
      <c r="AQ50" s="5" t="n">
        <v>0.621</v>
      </c>
      <c r="AR50" s="5" t="n">
        <v>0.114</v>
      </c>
      <c r="AS50" s="5" t="n">
        <v>0.396</v>
      </c>
      <c r="AT50" s="5" t="n">
        <v>1.119</v>
      </c>
      <c r="AU50" s="5" t="n">
        <v>0.1</v>
      </c>
      <c r="AV50" s="5" t="n">
        <v>1</v>
      </c>
      <c r="AW50" s="5" t="n">
        <v>0.593</v>
      </c>
      <c r="AX50" s="5" t="n">
        <v>0.114</v>
      </c>
      <c r="AY50" s="5" t="n">
        <v>0.382</v>
      </c>
      <c r="AZ50" s="5" t="n">
        <v>1.073</v>
      </c>
      <c r="BA50" s="5" t="n">
        <v>0.1</v>
      </c>
      <c r="BB50" s="5" t="n">
        <v>1</v>
      </c>
      <c r="BC50" s="5" t="n">
        <v>0.44</v>
      </c>
      <c r="BD50" s="5" t="n">
        <v>0.114</v>
      </c>
      <c r="BE50" s="5" t="n">
        <v>0.131</v>
      </c>
      <c r="BF50" s="5" t="n">
        <v>0.628</v>
      </c>
      <c r="BG50" s="5" t="n">
        <v>0.1</v>
      </c>
      <c r="BH50" s="5" t="n">
        <v>1</v>
      </c>
      <c r="BI50" s="5" t="n">
        <v>0.5600000000000001</v>
      </c>
      <c r="BJ50" s="5" t="n">
        <v>0.114</v>
      </c>
      <c r="BK50" s="5" t="n">
        <v>0.027</v>
      </c>
      <c r="BL50" s="5" t="n">
        <v>0.646</v>
      </c>
      <c r="BM50" s="5" t="n">
        <v>0.1</v>
      </c>
      <c r="BN50" s="5" t="n">
        <v>1</v>
      </c>
      <c r="BO50" s="5" t="n">
        <v>0</v>
      </c>
      <c r="BP50" s="5" t="n">
        <v>0</v>
      </c>
      <c r="BQ50" s="5" t="n">
        <v>0.163</v>
      </c>
      <c r="BR50" s="5" t="n">
        <v>0</v>
      </c>
      <c r="BS50" s="5" t="n">
        <v>1</v>
      </c>
      <c r="BT50" s="5" t="n">
        <v>0</v>
      </c>
      <c r="BU50" s="5" t="n">
        <v>0</v>
      </c>
      <c r="BV50" s="5" t="n">
        <v>0.236</v>
      </c>
      <c r="BW50" s="5" t="n">
        <v>0.1</v>
      </c>
      <c r="BX50" s="5" t="n">
        <v>1</v>
      </c>
      <c r="BY50" s="5" t="n">
        <v>11.787</v>
      </c>
      <c r="BZ50" s="5" t="n">
        <v>0</v>
      </c>
      <c r="CA50" s="5" t="n">
        <v>11.787</v>
      </c>
      <c r="CB50" s="5" t="n">
        <v>0</v>
      </c>
      <c r="CC50" s="5" t="n">
        <v>81.69499999999999</v>
      </c>
      <c r="CD50" s="5" t="n">
        <v>7.95</v>
      </c>
      <c r="CE50" s="5" t="n">
        <v>0</v>
      </c>
      <c r="CF50" s="5" t="n">
        <v>89.86499999999999</v>
      </c>
      <c r="CG50" s="5" t="n">
        <v>0.1</v>
      </c>
      <c r="CH50" s="5" t="n">
        <v>1</v>
      </c>
      <c r="CI50" s="5" t="n">
        <v>0</v>
      </c>
      <c r="CJ50" s="5" t="n">
        <v>0</v>
      </c>
      <c r="CK50" s="5" t="n">
        <v>0</v>
      </c>
      <c r="CL50" s="5" t="n">
        <v>0.001</v>
      </c>
      <c r="CM50" s="5" t="n">
        <v>0</v>
      </c>
      <c r="CN50" s="5" t="n">
        <v>0.021</v>
      </c>
      <c r="CO50" s="5" t="n">
        <v>2.211</v>
      </c>
      <c r="CP50" s="5" t="n">
        <v>0.993</v>
      </c>
      <c r="CQ50" s="5" t="n">
        <v>1.296</v>
      </c>
      <c r="CR50" s="5" t="n">
        <v>0</v>
      </c>
      <c r="CS50" s="5" t="n">
        <v>4.005</v>
      </c>
      <c r="CT50" s="5" t="n">
        <v>4.466</v>
      </c>
      <c r="CU50" s="5" t="n">
        <v>6.18</v>
      </c>
    </row>
    <row r="51">
      <c r="A51" s="5" t="inlineStr">
        <is>
          <t>AUS2022</t>
        </is>
      </c>
      <c r="B51" s="5" t="inlineStr">
        <is>
          <t>AUS</t>
        </is>
      </c>
      <c r="C51" s="5" t="inlineStr">
        <is>
          <t>AUS</t>
        </is>
      </c>
      <c r="D51" s="5" t="inlineStr">
        <is>
          <t>Australia</t>
        </is>
      </c>
      <c r="E51" s="5" t="n">
        <v>2022</v>
      </c>
      <c r="F51" s="5" t="n">
        <v>0.1</v>
      </c>
      <c r="G51" s="5" t="n">
        <v>2.107</v>
      </c>
      <c r="H51" s="5" t="n">
        <v>0.623</v>
      </c>
      <c r="I51" s="5" t="n">
        <v>0</v>
      </c>
      <c r="J51" s="5" t="n">
        <v>2.107</v>
      </c>
      <c r="K51" s="5" t="n">
        <v>0</v>
      </c>
      <c r="L51" s="5" t="n">
        <v>1</v>
      </c>
      <c r="M51" s="5" t="n">
        <v>3.354</v>
      </c>
      <c r="N51" s="5" t="n">
        <v>1.87</v>
      </c>
      <c r="O51" s="5" t="n">
        <v>0</v>
      </c>
      <c r="P51" s="5" t="n">
        <v>3.354</v>
      </c>
      <c r="Q51" s="5" t="n">
        <v>0</v>
      </c>
      <c r="R51" s="5" t="n">
        <v>1</v>
      </c>
      <c r="S51" s="5" t="n">
        <v>5.223</v>
      </c>
      <c r="T51" s="5" t="n">
        <v>3.74</v>
      </c>
      <c r="U51" s="5" t="n">
        <v>0.039</v>
      </c>
      <c r="V51" s="5" t="n">
        <v>5.746</v>
      </c>
      <c r="W51" s="5" t="n">
        <v>0.1</v>
      </c>
      <c r="X51" s="5" t="n">
        <v>1</v>
      </c>
      <c r="Y51" s="5" t="n">
        <v>12.903</v>
      </c>
      <c r="Z51" s="5" t="n">
        <v>0.676</v>
      </c>
      <c r="AA51" s="5" t="n">
        <v>0</v>
      </c>
      <c r="AB51" s="5" t="n">
        <v>12.903</v>
      </c>
      <c r="AC51" s="5" t="n">
        <v>0</v>
      </c>
      <c r="AD51" s="5" t="n">
        <v>1</v>
      </c>
      <c r="AE51" s="5" t="n">
        <v>14.138</v>
      </c>
      <c r="AF51" s="5" t="n">
        <v>1.352</v>
      </c>
      <c r="AG51" s="5" t="n">
        <v>0</v>
      </c>
      <c r="AH51" s="5" t="n">
        <v>14.138</v>
      </c>
      <c r="AI51" s="5" t="n">
        <v>0</v>
      </c>
      <c r="AJ51" s="5" t="n">
        <v>1</v>
      </c>
      <c r="AK51" s="5" t="n">
        <v>21.546</v>
      </c>
      <c r="AL51" s="5" t="n">
        <v>5.408</v>
      </c>
      <c r="AM51" s="5" t="n">
        <v>0.026</v>
      </c>
      <c r="AN51" s="5" t="n">
        <v>23.555</v>
      </c>
      <c r="AO51" s="5" t="n">
        <v>0.1</v>
      </c>
      <c r="AP51" s="5" t="n">
        <v>1</v>
      </c>
      <c r="AQ51" s="5" t="n">
        <v>0.847</v>
      </c>
      <c r="AR51" s="5" t="n">
        <v>0.123</v>
      </c>
      <c r="AS51" s="5" t="n">
        <v>0.304</v>
      </c>
      <c r="AT51" s="5" t="n">
        <v>1.266</v>
      </c>
      <c r="AU51" s="5" t="n">
        <v>0.1</v>
      </c>
      <c r="AV51" s="5" t="n">
        <v>1</v>
      </c>
      <c r="AW51" s="5" t="n">
        <v>0.947</v>
      </c>
      <c r="AX51" s="5" t="n">
        <v>0.123</v>
      </c>
      <c r="AY51" s="5" t="n">
        <v>0.343</v>
      </c>
      <c r="AZ51" s="5" t="n">
        <v>1.419</v>
      </c>
      <c r="BA51" s="5" t="n">
        <v>0.1</v>
      </c>
      <c r="BB51" s="5" t="n">
        <v>1</v>
      </c>
      <c r="BC51" s="5" t="n">
        <v>0.589</v>
      </c>
      <c r="BD51" s="5" t="n">
        <v>0.123</v>
      </c>
      <c r="BE51" s="5" t="n">
        <v>0.031</v>
      </c>
      <c r="BF51" s="5" t="n">
        <v>0.681</v>
      </c>
      <c r="BG51" s="5" t="n">
        <v>0.1</v>
      </c>
      <c r="BH51" s="5" t="n">
        <v>1</v>
      </c>
      <c r="BI51" s="5" t="n">
        <v>0.6889999999999999</v>
      </c>
      <c r="BJ51" s="5" t="n">
        <v>0.123</v>
      </c>
      <c r="BK51" s="5" t="n">
        <v>0.031</v>
      </c>
      <c r="BL51" s="5" t="n">
        <v>0.786</v>
      </c>
      <c r="BM51" s="5" t="n">
        <v>0.1</v>
      </c>
      <c r="BN51" s="5" t="n">
        <v>1</v>
      </c>
      <c r="BO51" s="5" t="n">
        <v>0</v>
      </c>
      <c r="BP51" s="5" t="n">
        <v>0</v>
      </c>
      <c r="BQ51" s="5" t="n">
        <v>0.27</v>
      </c>
      <c r="BR51" s="5" t="n">
        <v>0</v>
      </c>
      <c r="BS51" s="5" t="n">
        <v>1</v>
      </c>
      <c r="BT51" s="5" t="n">
        <v>0</v>
      </c>
      <c r="BU51" s="5" t="n">
        <v>0</v>
      </c>
      <c r="BV51" s="5" t="n">
        <v>0.233</v>
      </c>
      <c r="BW51" s="5" t="n">
        <v>0.1</v>
      </c>
      <c r="BX51" s="5" t="n">
        <v>1</v>
      </c>
      <c r="BY51" s="5" t="n">
        <v>12.729</v>
      </c>
      <c r="BZ51" s="5" t="n">
        <v>0</v>
      </c>
      <c r="CA51" s="5" t="n">
        <v>12.729</v>
      </c>
      <c r="CB51" s="5" t="n">
        <v>0</v>
      </c>
      <c r="CC51" s="5" t="n">
        <v>102.477</v>
      </c>
      <c r="CD51" s="5" t="n">
        <v>7.95</v>
      </c>
      <c r="CE51" s="5" t="n">
        <v>0.758</v>
      </c>
      <c r="CF51" s="5" t="n">
        <v>112.724</v>
      </c>
      <c r="CG51" s="5" t="n">
        <v>0.1</v>
      </c>
      <c r="CH51" s="5" t="n">
        <v>1</v>
      </c>
      <c r="CI51" s="5" t="n">
        <v>0</v>
      </c>
      <c r="CJ51" s="5" t="n">
        <v>0</v>
      </c>
      <c r="CK51" s="5" t="n">
        <v>0</v>
      </c>
      <c r="CL51" s="5" t="n">
        <v>0.001</v>
      </c>
      <c r="CM51" s="5" t="n">
        <v>0</v>
      </c>
      <c r="CN51" s="5" t="n">
        <v>0.023</v>
      </c>
      <c r="CO51" s="5" t="n">
        <v>2.308</v>
      </c>
      <c r="CP51" s="5" t="n">
        <v>0.99</v>
      </c>
      <c r="CQ51" s="5" t="n">
        <v>1.399</v>
      </c>
      <c r="CR51" s="5" t="n">
        <v>0</v>
      </c>
      <c r="CS51" s="5" t="n">
        <v>4.325</v>
      </c>
      <c r="CT51" s="5" t="n">
        <v>10.204</v>
      </c>
      <c r="CU51" s="5" t="n">
        <v>11.669</v>
      </c>
    </row>
    <row r="52">
      <c r="A52" s="5" t="inlineStr">
        <is>
          <t>AUS2023</t>
        </is>
      </c>
      <c r="B52" s="5" t="inlineStr">
        <is>
          <t>AUS</t>
        </is>
      </c>
      <c r="C52" s="5" t="inlineStr">
        <is>
          <t>AUS</t>
        </is>
      </c>
      <c r="D52" s="5" t="inlineStr">
        <is>
          <t>Australia</t>
        </is>
      </c>
      <c r="E52" s="5" t="n">
        <v>2023</v>
      </c>
      <c r="F52" s="5" t="n">
        <v>0.1</v>
      </c>
      <c r="G52" s="5" t="n">
        <v>2.147</v>
      </c>
      <c r="H52" s="5" t="n">
        <v>0.649</v>
      </c>
      <c r="I52" s="5" t="n">
        <v>0</v>
      </c>
      <c r="J52" s="5" t="n">
        <v>2.147</v>
      </c>
      <c r="K52" s="5" t="n">
        <v>0</v>
      </c>
      <c r="L52" s="5" t="n">
        <v>1</v>
      </c>
      <c r="M52" s="5" t="n">
        <v>3.45</v>
      </c>
      <c r="N52" s="5" t="n">
        <v>1.948</v>
      </c>
      <c r="O52" s="5" t="n">
        <v>0</v>
      </c>
      <c r="P52" s="5" t="n">
        <v>3.45</v>
      </c>
      <c r="Q52" s="5" t="n">
        <v>0</v>
      </c>
      <c r="R52" s="5" t="n">
        <v>1</v>
      </c>
      <c r="S52" s="5" t="n">
        <v>5.394</v>
      </c>
      <c r="T52" s="5" t="n">
        <v>3.896</v>
      </c>
      <c r="U52" s="5" t="n">
        <v>0.06</v>
      </c>
      <c r="V52" s="5" t="n">
        <v>5.934</v>
      </c>
      <c r="W52" s="5" t="n">
        <v>0.1</v>
      </c>
      <c r="X52" s="5" t="n">
        <v>1</v>
      </c>
      <c r="Y52" s="5" t="n">
        <v>8.851000000000001</v>
      </c>
      <c r="Z52" s="5" t="n">
        <v>0.661</v>
      </c>
      <c r="AA52" s="5" t="n">
        <v>0</v>
      </c>
      <c r="AB52" s="5" t="n">
        <v>8.851000000000001</v>
      </c>
      <c r="AC52" s="5" t="n">
        <v>0</v>
      </c>
      <c r="AD52" s="5" t="n">
        <v>1</v>
      </c>
      <c r="AE52" s="5" t="n">
        <v>10.136</v>
      </c>
      <c r="AF52" s="5" t="n">
        <v>1.322</v>
      </c>
      <c r="AG52" s="5" t="n">
        <v>0</v>
      </c>
      <c r="AH52" s="5" t="n">
        <v>10.136</v>
      </c>
      <c r="AI52" s="5" t="n">
        <v>0</v>
      </c>
      <c r="AJ52" s="5" t="n">
        <v>1</v>
      </c>
      <c r="AK52" s="5" t="n">
        <v>17.85</v>
      </c>
      <c r="AL52" s="5" t="n">
        <v>5.289</v>
      </c>
      <c r="AM52" s="5" t="n">
        <v>0.198</v>
      </c>
      <c r="AN52" s="5" t="n">
        <v>19.635</v>
      </c>
      <c r="AO52" s="5" t="n">
        <v>0.1</v>
      </c>
      <c r="AP52" s="5" t="n">
        <v>1</v>
      </c>
      <c r="AQ52" s="5" t="n">
        <v>0.749</v>
      </c>
      <c r="AR52" s="5" t="n">
        <v>0.129</v>
      </c>
      <c r="AS52" s="5" t="n">
        <v>0.365</v>
      </c>
      <c r="AT52" s="5" t="n">
        <v>1.225</v>
      </c>
      <c r="AU52" s="5" t="n">
        <v>0.1</v>
      </c>
      <c r="AV52" s="5" t="n">
        <v>1</v>
      </c>
      <c r="AW52" s="5" t="n">
        <v>0.783</v>
      </c>
      <c r="AX52" s="5" t="n">
        <v>0.129</v>
      </c>
      <c r="AY52" s="5" t="n">
        <v>0.4</v>
      </c>
      <c r="AZ52" s="5" t="n">
        <v>1.301</v>
      </c>
      <c r="BA52" s="5" t="n">
        <v>0.1</v>
      </c>
      <c r="BB52" s="5" t="n">
        <v>1</v>
      </c>
      <c r="BC52" s="5" t="n">
        <v>0.527</v>
      </c>
      <c r="BD52" s="5" t="n">
        <v>0.129</v>
      </c>
      <c r="BE52" s="5" t="n">
        <v>0.058</v>
      </c>
      <c r="BF52" s="5" t="n">
        <v>0.644</v>
      </c>
      <c r="BG52" s="5" t="n">
        <v>0.1</v>
      </c>
      <c r="BH52" s="5" t="n">
        <v>1</v>
      </c>
      <c r="BI52" s="5" t="n">
        <v>0.64</v>
      </c>
      <c r="BJ52" s="5" t="n">
        <v>0.129</v>
      </c>
      <c r="BK52" s="5" t="n">
        <v>0.031</v>
      </c>
      <c r="BL52" s="5" t="n">
        <v>0.73</v>
      </c>
      <c r="BM52" s="5" t="n">
        <v>0.1</v>
      </c>
      <c r="BN52" s="5" t="n">
        <v>1</v>
      </c>
      <c r="BO52" s="5" t="n">
        <v>0</v>
      </c>
      <c r="BP52" s="5" t="n">
        <v>0</v>
      </c>
      <c r="BQ52" s="5" t="n">
        <v>0.228</v>
      </c>
      <c r="BR52" s="5" t="n">
        <v>0</v>
      </c>
      <c r="BS52" s="5" t="n">
        <v>1</v>
      </c>
      <c r="BT52" s="5" t="n">
        <v>0</v>
      </c>
      <c r="BU52" s="5" t="n">
        <v>0</v>
      </c>
      <c r="BV52" s="5" t="n">
        <v>0.255</v>
      </c>
      <c r="BW52" s="5" t="n">
        <v>0.1</v>
      </c>
      <c r="BX52" s="5" t="n">
        <v>1</v>
      </c>
      <c r="BY52" s="5" t="n">
        <v>13.254</v>
      </c>
      <c r="BZ52" s="5" t="n">
        <v>0</v>
      </c>
      <c r="CA52" s="5" t="n">
        <v>13.254</v>
      </c>
      <c r="CB52" s="5" t="n">
        <v>0</v>
      </c>
      <c r="CC52" s="5" t="n">
        <v>87.07899999999999</v>
      </c>
      <c r="CD52" s="5" t="n">
        <v>7.95</v>
      </c>
      <c r="CE52" s="5" t="n">
        <v>0.964</v>
      </c>
      <c r="CF52" s="5" t="n">
        <v>95.78700000000001</v>
      </c>
      <c r="CG52" s="5" t="n">
        <v>0.1</v>
      </c>
      <c r="CH52" s="5" t="n">
        <v>1</v>
      </c>
      <c r="CI52" s="5" t="n">
        <v>0</v>
      </c>
      <c r="CJ52" s="5" t="n">
        <v>0</v>
      </c>
      <c r="CK52" s="5" t="n">
        <v>0</v>
      </c>
      <c r="CL52" s="5" t="n">
        <v>0.001</v>
      </c>
      <c r="CM52" s="5" t="n">
        <v>0</v>
      </c>
      <c r="CN52" s="5" t="n">
        <v>0.024</v>
      </c>
      <c r="CO52" s="5" t="n">
        <v>2.168</v>
      </c>
      <c r="CP52" s="5" t="n">
        <v>0.99</v>
      </c>
      <c r="CQ52" s="5" t="n">
        <v>1.457</v>
      </c>
      <c r="CR52" s="5" t="n">
        <v>0</v>
      </c>
      <c r="CS52" s="5" t="n">
        <v>4.504</v>
      </c>
      <c r="CT52" s="5" t="n">
        <v>5.487</v>
      </c>
      <c r="CU52" s="5" t="n">
        <v>7.565</v>
      </c>
    </row>
    <row r="53">
      <c r="A53" s="5" t="inlineStr">
        <is>
          <t>AUS2024</t>
        </is>
      </c>
      <c r="B53" s="5" t="inlineStr">
        <is>
          <t>AUS</t>
        </is>
      </c>
      <c r="C53" s="5" t="inlineStr">
        <is>
          <t>AUS</t>
        </is>
      </c>
      <c r="D53" s="5" t="inlineStr">
        <is>
          <t>Australia</t>
        </is>
      </c>
      <c r="E53" s="5" t="n">
        <v>2024</v>
      </c>
      <c r="F53" s="5" t="n">
        <v>0.1</v>
      </c>
      <c r="G53" s="5" t="n">
        <v>2.199</v>
      </c>
      <c r="H53" s="5" t="n">
        <v>0.669</v>
      </c>
      <c r="I53" s="5" t="n">
        <v>2.262</v>
      </c>
      <c r="J53" s="5" t="n">
        <v>4.461</v>
      </c>
      <c r="K53" s="5" t="n">
        <v>0</v>
      </c>
      <c r="L53" s="5" t="n">
        <v>1</v>
      </c>
      <c r="M53" s="5" t="n">
        <v>3.54</v>
      </c>
      <c r="N53" s="5" t="n">
        <v>2.006</v>
      </c>
      <c r="O53" s="5" t="n">
        <v>2.237</v>
      </c>
      <c r="P53" s="5" t="n">
        <v>5.777</v>
      </c>
      <c r="Q53" s="5" t="n">
        <v>0</v>
      </c>
      <c r="R53" s="5" t="n">
        <v>1</v>
      </c>
      <c r="S53" s="5" t="n">
        <v>5.542</v>
      </c>
      <c r="T53" s="5" t="n">
        <v>4.011</v>
      </c>
      <c r="U53" s="5" t="n">
        <v>0.075</v>
      </c>
      <c r="V53" s="5" t="n">
        <v>6.096</v>
      </c>
      <c r="W53" s="5" t="n">
        <v>0.1</v>
      </c>
      <c r="X53" s="5" t="n">
        <v>1</v>
      </c>
      <c r="Y53" s="5" t="n">
        <v>8.603999999999999</v>
      </c>
      <c r="Z53" s="5" t="n">
        <v>0.681</v>
      </c>
      <c r="AA53" s="5" t="n">
        <v>1.31</v>
      </c>
      <c r="AB53" s="5" t="n">
        <v>9.914</v>
      </c>
      <c r="AC53" s="5" t="n">
        <v>0</v>
      </c>
      <c r="AD53" s="5" t="n">
        <v>1</v>
      </c>
      <c r="AE53" s="5" t="n">
        <v>9.928000000000001</v>
      </c>
      <c r="AF53" s="5" t="n">
        <v>1.361</v>
      </c>
      <c r="AG53" s="5" t="n">
        <v>1.31</v>
      </c>
      <c r="AH53" s="5" t="n">
        <v>11.238</v>
      </c>
      <c r="AI53" s="5" t="n">
        <v>0</v>
      </c>
      <c r="AJ53" s="5" t="n">
        <v>1</v>
      </c>
      <c r="AK53" s="5" t="n">
        <v>17.87</v>
      </c>
      <c r="AL53" s="5" t="n">
        <v>5.445</v>
      </c>
      <c r="AM53" s="5" t="n">
        <v>0.286</v>
      </c>
      <c r="AN53" s="5" t="n">
        <v>19.703</v>
      </c>
      <c r="AO53" s="5" t="n">
        <v>0.1</v>
      </c>
      <c r="AP53" s="5" t="n">
        <v>1</v>
      </c>
      <c r="AQ53" s="5" t="n">
        <v>0.72</v>
      </c>
      <c r="AR53" s="5" t="n">
        <v>0.132</v>
      </c>
      <c r="AS53" s="5" t="n">
        <v>0.365</v>
      </c>
      <c r="AT53" s="5" t="n">
        <v>1.194</v>
      </c>
      <c r="AU53" s="5" t="n">
        <v>0.1</v>
      </c>
      <c r="AV53" s="5" t="n">
        <v>1</v>
      </c>
      <c r="AW53" s="5" t="n">
        <v>0.734</v>
      </c>
      <c r="AX53" s="5" t="n">
        <v>0.132</v>
      </c>
      <c r="AY53" s="5" t="n">
        <v>0.368</v>
      </c>
      <c r="AZ53" s="5" t="n">
        <v>1.211</v>
      </c>
      <c r="BA53" s="5" t="n">
        <v>0.1</v>
      </c>
      <c r="BB53" s="5" t="n">
        <v>1</v>
      </c>
      <c r="BC53" s="5" t="n">
        <v>0.51</v>
      </c>
      <c r="BD53" s="5" t="n">
        <v>0.132</v>
      </c>
      <c r="BE53" s="5" t="n">
        <v>0.054</v>
      </c>
      <c r="BF53" s="5" t="n">
        <v>0.621</v>
      </c>
      <c r="BG53" s="5" t="n">
        <v>0.1</v>
      </c>
      <c r="BH53" s="5" t="n">
        <v>1</v>
      </c>
      <c r="BI53" s="5" t="n">
        <v>0.652</v>
      </c>
      <c r="BJ53" s="5" t="n">
        <v>0.132</v>
      </c>
      <c r="BK53" s="5" t="n">
        <v>0.092</v>
      </c>
      <c r="BL53" s="5" t="n">
        <v>0.8080000000000001</v>
      </c>
      <c r="BM53" s="5" t="n">
        <v>0.1</v>
      </c>
      <c r="BN53" s="5" t="n">
        <v>1</v>
      </c>
      <c r="BO53" s="5" t="n">
        <v>0</v>
      </c>
      <c r="BP53" s="5" t="n">
        <v>0</v>
      </c>
      <c r="BQ53" s="5" t="n">
        <v>0.235</v>
      </c>
      <c r="BR53" s="5" t="n">
        <v>0</v>
      </c>
      <c r="BS53" s="5" t="n">
        <v>1</v>
      </c>
      <c r="BT53" s="5" t="n">
        <v>0</v>
      </c>
      <c r="BU53" s="5" t="n">
        <v>0</v>
      </c>
      <c r="BV53" s="5" t="n">
        <v>0.257</v>
      </c>
      <c r="BW53" s="5" t="n">
        <v>0.1</v>
      </c>
      <c r="BX53" s="5" t="n">
        <v>1</v>
      </c>
      <c r="BY53" s="5" t="n">
        <v>13.646</v>
      </c>
      <c r="BZ53" s="5" t="n">
        <v>0</v>
      </c>
      <c r="CA53" s="5" t="n">
        <v>13.646</v>
      </c>
      <c r="CB53" s="5" t="n">
        <v>0</v>
      </c>
      <c r="CC53" s="5" t="n">
        <v>86.38500000000001</v>
      </c>
      <c r="CD53" s="5" t="n">
        <v>7.95</v>
      </c>
      <c r="CE53" s="5" t="n">
        <v>12.349</v>
      </c>
      <c r="CF53" s="5" t="n">
        <v>107.149</v>
      </c>
      <c r="CG53" s="5" t="n">
        <v>0.1</v>
      </c>
      <c r="CH53" s="5" t="n">
        <v>1</v>
      </c>
      <c r="CI53" s="5" t="n">
        <v>0</v>
      </c>
      <c r="CJ53" s="5" t="n">
        <v>0</v>
      </c>
      <c r="CK53" s="5" t="n">
        <v>0</v>
      </c>
      <c r="CL53" s="5" t="n">
        <v>0.001</v>
      </c>
      <c r="CM53" s="5" t="n">
        <v>0</v>
      </c>
      <c r="CN53" s="5" t="n">
        <v>0.025</v>
      </c>
      <c r="CO53" s="5" t="n">
        <v>2.037</v>
      </c>
      <c r="CP53" s="5" t="n">
        <v>0.99</v>
      </c>
      <c r="CQ53" s="5" t="n">
        <v>1.5</v>
      </c>
      <c r="CR53" s="5" t="n">
        <v>0</v>
      </c>
      <c r="CS53" s="5" t="n">
        <v>4.637</v>
      </c>
      <c r="CT53" s="5" t="n">
        <v>4.509</v>
      </c>
      <c r="CU53" s="5" t="n">
        <v>7.281</v>
      </c>
    </row>
    <row r="54">
      <c r="A54" s="5" t="inlineStr">
        <is>
          <t>AUT2021</t>
        </is>
      </c>
      <c r="B54" s="5" t="inlineStr">
        <is>
          <t>AUT</t>
        </is>
      </c>
      <c r="C54" s="5" t="inlineStr">
        <is>
          <t>AUT</t>
        </is>
      </c>
      <c r="D54" s="5" t="inlineStr">
        <is>
          <t>Austria</t>
        </is>
      </c>
      <c r="E54" s="5" t="n">
        <v>2021</v>
      </c>
      <c r="F54" s="5" t="n">
        <v>0.2</v>
      </c>
      <c r="G54" s="5" t="n">
        <v>5.326</v>
      </c>
      <c r="H54" s="5" t="n">
        <v>1.165</v>
      </c>
      <c r="I54" s="5" t="n">
        <v>1.894</v>
      </c>
      <c r="J54" s="5" t="n">
        <v>7.22</v>
      </c>
      <c r="K54" s="5" t="n">
        <v>0</v>
      </c>
      <c r="L54" s="5" t="n">
        <v>1</v>
      </c>
      <c r="M54" s="5" t="n">
        <v>7.305</v>
      </c>
      <c r="N54" s="5" t="n">
        <v>3.311</v>
      </c>
      <c r="O54" s="5" t="n">
        <v>2.459</v>
      </c>
      <c r="P54" s="5" t="n">
        <v>9.765000000000001</v>
      </c>
      <c r="Q54" s="5" t="n">
        <v>0</v>
      </c>
      <c r="R54" s="5" t="n">
        <v>1</v>
      </c>
      <c r="S54" s="5" t="n">
        <v>11.27</v>
      </c>
      <c r="T54" s="5" t="n">
        <v>6.86</v>
      </c>
      <c r="U54" s="5" t="n">
        <v>2.566</v>
      </c>
      <c r="V54" s="5" t="n">
        <v>16.603</v>
      </c>
      <c r="W54" s="5" t="n">
        <v>0.2</v>
      </c>
      <c r="X54" s="5" t="n">
        <v>1</v>
      </c>
      <c r="Y54" s="5" t="n">
        <v>19.207</v>
      </c>
      <c r="Z54" s="5" t="n">
        <v>2.122</v>
      </c>
      <c r="AA54" s="5" t="n">
        <v>-5.131</v>
      </c>
      <c r="AB54" s="5" t="n">
        <v>14.076</v>
      </c>
      <c r="AC54" s="5" t="n">
        <v>0</v>
      </c>
      <c r="AD54" s="5" t="n">
        <v>1</v>
      </c>
      <c r="AE54" s="5" t="n">
        <v>19.163</v>
      </c>
      <c r="AF54" s="5" t="n">
        <v>3.771</v>
      </c>
      <c r="AG54" s="5" t="n">
        <v>-5.087</v>
      </c>
      <c r="AH54" s="5" t="n">
        <v>14.076</v>
      </c>
      <c r="AI54" s="5" t="n">
        <v>0</v>
      </c>
      <c r="AJ54" s="5" t="n">
        <v>1</v>
      </c>
      <c r="AK54" s="5" t="n">
        <v>30.123</v>
      </c>
      <c r="AL54" s="5" t="n">
        <v>14.784</v>
      </c>
      <c r="AM54" s="5" t="n">
        <v>-11.904</v>
      </c>
      <c r="AN54" s="5" t="n">
        <v>21.862</v>
      </c>
      <c r="AO54" s="5" t="n">
        <v>0.2</v>
      </c>
      <c r="AP54" s="5" t="n">
        <v>1</v>
      </c>
      <c r="AQ54" s="5" t="n">
        <v>0.619</v>
      </c>
      <c r="AR54" s="5" t="n">
        <v>0.114</v>
      </c>
      <c r="AS54" s="5" t="n">
        <v>0.646</v>
      </c>
      <c r="AT54" s="5" t="n">
        <v>1.518</v>
      </c>
      <c r="AU54" s="5" t="n">
        <v>0.2</v>
      </c>
      <c r="AV54" s="5" t="n">
        <v>1</v>
      </c>
      <c r="AW54" s="5" t="n">
        <v>0.599</v>
      </c>
      <c r="AX54" s="5" t="n">
        <v>0.114</v>
      </c>
      <c r="AY54" s="5" t="n">
        <v>0.62</v>
      </c>
      <c r="AZ54" s="5" t="n">
        <v>1.463</v>
      </c>
      <c r="BA54" s="5" t="n">
        <v>0.2</v>
      </c>
      <c r="BB54" s="5" t="n">
        <v>1</v>
      </c>
      <c r="BC54" s="5" t="n">
        <v>0.439</v>
      </c>
      <c r="BD54" s="5" t="n">
        <v>0.114</v>
      </c>
      <c r="BE54" s="5" t="n">
        <v>0.357</v>
      </c>
      <c r="BF54" s="5" t="n">
        <v>0.955</v>
      </c>
      <c r="BG54" s="5" t="n">
        <v>0.2</v>
      </c>
      <c r="BH54" s="5" t="n">
        <v>1</v>
      </c>
      <c r="BI54" s="5" t="n">
        <v>0.505</v>
      </c>
      <c r="BJ54" s="5" t="n">
        <v>0.114</v>
      </c>
      <c r="BK54" s="5" t="n">
        <v>0.235</v>
      </c>
      <c r="BL54" s="5" t="n">
        <v>0.887</v>
      </c>
      <c r="BM54" s="5" t="n">
        <v>0.2</v>
      </c>
      <c r="BN54" s="5" t="n">
        <v>1</v>
      </c>
      <c r="BO54" s="5" t="n">
        <v>0</v>
      </c>
      <c r="BP54" s="5" t="n">
        <v>0.029</v>
      </c>
      <c r="BQ54" s="5" t="n">
        <v>0.128</v>
      </c>
      <c r="BR54" s="5" t="n">
        <v>0</v>
      </c>
      <c r="BS54" s="5" t="n">
        <v>1</v>
      </c>
      <c r="BT54" s="5" t="n">
        <v>0</v>
      </c>
      <c r="BU54" s="5" t="n">
        <v>0.054</v>
      </c>
      <c r="BV54" s="5" t="n">
        <v>0.266</v>
      </c>
      <c r="BW54" s="5" t="n">
        <v>0.2</v>
      </c>
      <c r="BX54" s="5" t="n">
        <v>1</v>
      </c>
      <c r="BY54" s="5" t="n">
        <v>11.787</v>
      </c>
      <c r="BZ54" s="5" t="n">
        <v>0</v>
      </c>
      <c r="CA54" s="5" t="n">
        <v>11.787</v>
      </c>
      <c r="CB54" s="5" t="n">
        <v>0</v>
      </c>
      <c r="CC54" s="5" t="n">
        <v>78.125</v>
      </c>
      <c r="CD54" s="5" t="n">
        <v>7.95</v>
      </c>
      <c r="CE54" s="5" t="n">
        <v>47.305</v>
      </c>
      <c r="CF54" s="5" t="n">
        <v>150.516</v>
      </c>
      <c r="CG54" s="5" t="n">
        <v>0.2</v>
      </c>
      <c r="CH54" s="5" t="n">
        <v>1</v>
      </c>
      <c r="CI54" s="5" t="n">
        <v>0</v>
      </c>
      <c r="CJ54" s="5" t="n">
        <v>0</v>
      </c>
      <c r="CK54" s="5" t="n">
        <v>0</v>
      </c>
      <c r="CL54" s="5" t="n">
        <v>0</v>
      </c>
      <c r="CM54" s="5" t="n">
        <v>0</v>
      </c>
      <c r="CN54" s="5" t="n">
        <v>0.035</v>
      </c>
      <c r="CO54" s="5" t="n">
        <v>0</v>
      </c>
      <c r="CP54" s="5" t="n">
        <v>0</v>
      </c>
      <c r="CQ54" s="5" t="n">
        <v>1.198</v>
      </c>
      <c r="CR54" s="5" t="n">
        <v>0</v>
      </c>
      <c r="CS54" s="5" t="n">
        <v>5.154</v>
      </c>
      <c r="CT54" s="5" t="n">
        <v>4.41</v>
      </c>
      <c r="CU54" s="5" t="n">
        <v>14.942</v>
      </c>
    </row>
    <row r="55">
      <c r="A55" s="5" t="inlineStr">
        <is>
          <t>AUT2022</t>
        </is>
      </c>
      <c r="B55" s="5" t="inlineStr">
        <is>
          <t>AUT</t>
        </is>
      </c>
      <c r="C55" s="5" t="inlineStr">
        <is>
          <t>AUT</t>
        </is>
      </c>
      <c r="D55" s="5" t="inlineStr">
        <is>
          <t>Austria</t>
        </is>
      </c>
      <c r="E55" s="5" t="n">
        <v>2022</v>
      </c>
      <c r="F55" s="5" t="n">
        <v>0.2</v>
      </c>
      <c r="G55" s="5" t="n">
        <v>9.805999999999999</v>
      </c>
      <c r="H55" s="5" t="n">
        <v>1.523</v>
      </c>
      <c r="I55" s="5" t="n">
        <v>8.159000000000001</v>
      </c>
      <c r="J55" s="5" t="n">
        <v>17.965</v>
      </c>
      <c r="K55" s="5" t="n">
        <v>0</v>
      </c>
      <c r="L55" s="5" t="n">
        <v>1</v>
      </c>
      <c r="M55" s="5" t="n">
        <v>11.604</v>
      </c>
      <c r="N55" s="5" t="n">
        <v>4.792</v>
      </c>
      <c r="O55" s="5" t="n">
        <v>9.045</v>
      </c>
      <c r="P55" s="5" t="n">
        <v>20.649</v>
      </c>
      <c r="Q55" s="5" t="n">
        <v>0</v>
      </c>
      <c r="R55" s="5" t="n">
        <v>1</v>
      </c>
      <c r="S55" s="5" t="n">
        <v>13.25</v>
      </c>
      <c r="T55" s="5" t="n">
        <v>7.408</v>
      </c>
      <c r="U55" s="5" t="n">
        <v>2.688</v>
      </c>
      <c r="V55" s="5" t="n">
        <v>18.847</v>
      </c>
      <c r="W55" s="5" t="n">
        <v>0.2</v>
      </c>
      <c r="X55" s="5" t="n">
        <v>1</v>
      </c>
      <c r="Y55" s="5" t="n">
        <v>41.829</v>
      </c>
      <c r="Z55" s="5" t="n">
        <v>4.388</v>
      </c>
      <c r="AA55" s="5" t="n">
        <v>-15.291</v>
      </c>
      <c r="AB55" s="5" t="n">
        <v>26.538</v>
      </c>
      <c r="AC55" s="5" t="n">
        <v>0</v>
      </c>
      <c r="AD55" s="5" t="n">
        <v>1</v>
      </c>
      <c r="AE55" s="5" t="n">
        <v>41.877</v>
      </c>
      <c r="AF55" s="5" t="n">
        <v>7.763</v>
      </c>
      <c r="AG55" s="5" t="n">
        <v>-15.339</v>
      </c>
      <c r="AH55" s="5" t="n">
        <v>26.538</v>
      </c>
      <c r="AI55" s="5" t="n">
        <v>0</v>
      </c>
      <c r="AJ55" s="5" t="n">
        <v>1</v>
      </c>
      <c r="AK55" s="5" t="n">
        <v>53.385</v>
      </c>
      <c r="AL55" s="5" t="n">
        <v>25.493</v>
      </c>
      <c r="AM55" s="5" t="n">
        <v>-28.988</v>
      </c>
      <c r="AN55" s="5" t="n">
        <v>29.277</v>
      </c>
      <c r="AO55" s="5" t="n">
        <v>0.2</v>
      </c>
      <c r="AP55" s="5" t="n">
        <v>1</v>
      </c>
      <c r="AQ55" s="5" t="n">
        <v>0.861</v>
      </c>
      <c r="AR55" s="5" t="n">
        <v>0.123</v>
      </c>
      <c r="AS55" s="5" t="n">
        <v>0.655</v>
      </c>
      <c r="AT55" s="5" t="n">
        <v>1.819</v>
      </c>
      <c r="AU55" s="5" t="n">
        <v>0.2</v>
      </c>
      <c r="AV55" s="5" t="n">
        <v>1</v>
      </c>
      <c r="AW55" s="5" t="n">
        <v>0.986</v>
      </c>
      <c r="AX55" s="5" t="n">
        <v>0.123</v>
      </c>
      <c r="AY55" s="5" t="n">
        <v>0.611</v>
      </c>
      <c r="AZ55" s="5" t="n">
        <v>1.917</v>
      </c>
      <c r="BA55" s="5" t="n">
        <v>0.2</v>
      </c>
      <c r="BB55" s="5" t="n">
        <v>1</v>
      </c>
      <c r="BC55" s="5" t="n">
        <v>0.598</v>
      </c>
      <c r="BD55" s="5" t="n">
        <v>0.123</v>
      </c>
      <c r="BE55" s="5" t="n">
        <v>0.436</v>
      </c>
      <c r="BF55" s="5" t="n">
        <v>1.241</v>
      </c>
      <c r="BG55" s="5" t="n">
        <v>0.2</v>
      </c>
      <c r="BH55" s="5" t="n">
        <v>1</v>
      </c>
      <c r="BI55" s="5" t="n">
        <v>0.612</v>
      </c>
      <c r="BJ55" s="5" t="n">
        <v>0.123</v>
      </c>
      <c r="BK55" s="5" t="n">
        <v>0.633</v>
      </c>
      <c r="BL55" s="5" t="n">
        <v>1.494</v>
      </c>
      <c r="BM55" s="5" t="n">
        <v>0.2</v>
      </c>
      <c r="BN55" s="5" t="n">
        <v>1</v>
      </c>
      <c r="BO55" s="5" t="n">
        <v>0</v>
      </c>
      <c r="BP55" s="5" t="n">
        <v>0.01</v>
      </c>
      <c r="BQ55" s="5" t="n">
        <v>0.195</v>
      </c>
      <c r="BR55" s="5" t="n">
        <v>0</v>
      </c>
      <c r="BS55" s="5" t="n">
        <v>1</v>
      </c>
      <c r="BT55" s="5" t="n">
        <v>0</v>
      </c>
      <c r="BU55" s="5" t="n">
        <v>0.008999999999999999</v>
      </c>
      <c r="BV55" s="5" t="n">
        <v>0.243</v>
      </c>
      <c r="BW55" s="5" t="n">
        <v>0.2</v>
      </c>
      <c r="BX55" s="5" t="n">
        <v>1</v>
      </c>
      <c r="BY55" s="5" t="n">
        <v>12.729</v>
      </c>
      <c r="BZ55" s="5" t="n">
        <v>0</v>
      </c>
      <c r="CA55" s="5" t="n">
        <v>12.729</v>
      </c>
      <c r="CB55" s="5" t="n">
        <v>0</v>
      </c>
      <c r="CC55" s="5" t="n">
        <v>97.90000000000001</v>
      </c>
      <c r="CD55" s="5" t="n">
        <v>7.95</v>
      </c>
      <c r="CE55" s="5" t="n">
        <v>133.885</v>
      </c>
      <c r="CF55" s="5" t="n">
        <v>278.142</v>
      </c>
      <c r="CG55" s="5" t="n">
        <v>0.2</v>
      </c>
      <c r="CH55" s="5" t="n">
        <v>1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0.039</v>
      </c>
      <c r="CO55" s="5" t="n">
        <v>0</v>
      </c>
      <c r="CP55" s="5" t="n">
        <v>0</v>
      </c>
      <c r="CQ55" s="5" t="n">
        <v>1.294</v>
      </c>
      <c r="CR55" s="5" t="n">
        <v>0</v>
      </c>
      <c r="CS55" s="5" t="n">
        <v>5.566</v>
      </c>
      <c r="CT55" s="5" t="n">
        <v>5.842</v>
      </c>
      <c r="CU55" s="5" t="n">
        <v>37.473</v>
      </c>
    </row>
    <row r="56">
      <c r="A56" s="5" t="inlineStr">
        <is>
          <t>AUT2023</t>
        </is>
      </c>
      <c r="B56" s="5" t="inlineStr">
        <is>
          <t>AUT</t>
        </is>
      </c>
      <c r="C56" s="5" t="inlineStr">
        <is>
          <t>AUT</t>
        </is>
      </c>
      <c r="D56" s="5" t="inlineStr">
        <is>
          <t>Austria</t>
        </is>
      </c>
      <c r="E56" s="5" t="n">
        <v>2023</v>
      </c>
      <c r="F56" s="5" t="n">
        <v>0.2</v>
      </c>
      <c r="G56" s="5" t="n">
        <v>12.441</v>
      </c>
      <c r="H56" s="5" t="n">
        <v>2.834</v>
      </c>
      <c r="I56" s="5" t="n">
        <v>9.456</v>
      </c>
      <c r="J56" s="5" t="n">
        <v>21.897</v>
      </c>
      <c r="K56" s="5" t="n">
        <v>0</v>
      </c>
      <c r="L56" s="5" t="n">
        <v>1</v>
      </c>
      <c r="M56" s="5" t="n">
        <v>10.478</v>
      </c>
      <c r="N56" s="5" t="n">
        <v>5.197</v>
      </c>
      <c r="O56" s="5" t="n">
        <v>10.392</v>
      </c>
      <c r="P56" s="5" t="n">
        <v>20.869</v>
      </c>
      <c r="Q56" s="5" t="n">
        <v>0</v>
      </c>
      <c r="R56" s="5" t="n">
        <v>1</v>
      </c>
      <c r="S56" s="5" t="n">
        <v>11.18</v>
      </c>
      <c r="T56" s="5" t="n">
        <v>7.714</v>
      </c>
      <c r="U56" s="5" t="n">
        <v>6.234</v>
      </c>
      <c r="V56" s="5" t="n">
        <v>20.444</v>
      </c>
      <c r="W56" s="5" t="n">
        <v>0.2</v>
      </c>
      <c r="X56" s="5" t="n">
        <v>1</v>
      </c>
      <c r="Y56" s="5" t="n">
        <v>17.014</v>
      </c>
      <c r="Z56" s="5" t="n">
        <v>1.906</v>
      </c>
      <c r="AA56" s="5" t="n">
        <v>9.558999999999999</v>
      </c>
      <c r="AB56" s="5" t="n">
        <v>26.573</v>
      </c>
      <c r="AC56" s="5" t="n">
        <v>0</v>
      </c>
      <c r="AD56" s="5" t="n">
        <v>1</v>
      </c>
      <c r="AE56" s="5" t="n">
        <v>17.113</v>
      </c>
      <c r="AF56" s="5" t="n">
        <v>3.408</v>
      </c>
      <c r="AG56" s="5" t="n">
        <v>9.460000000000001</v>
      </c>
      <c r="AH56" s="5" t="n">
        <v>26.573</v>
      </c>
      <c r="AI56" s="5" t="n">
        <v>0</v>
      </c>
      <c r="AJ56" s="5" t="n">
        <v>1</v>
      </c>
      <c r="AK56" s="5" t="n">
        <v>28.927</v>
      </c>
      <c r="AL56" s="5" t="n">
        <v>14.33</v>
      </c>
      <c r="AM56" s="5" t="n">
        <v>9.08</v>
      </c>
      <c r="AN56" s="5" t="n">
        <v>45.609</v>
      </c>
      <c r="AO56" s="5" t="n">
        <v>0.2</v>
      </c>
      <c r="AP56" s="5" t="n">
        <v>1</v>
      </c>
      <c r="AQ56" s="5" t="n">
        <v>0.76</v>
      </c>
      <c r="AR56" s="5" t="n">
        <v>0.129</v>
      </c>
      <c r="AS56" s="5" t="n">
        <v>0.677</v>
      </c>
      <c r="AT56" s="5" t="n">
        <v>1.725</v>
      </c>
      <c r="AU56" s="5" t="n">
        <v>0.2</v>
      </c>
      <c r="AV56" s="5" t="n">
        <v>1</v>
      </c>
      <c r="AW56" s="5" t="n">
        <v>0.8110000000000001</v>
      </c>
      <c r="AX56" s="5" t="n">
        <v>0.129</v>
      </c>
      <c r="AY56" s="5" t="n">
        <v>0.668</v>
      </c>
      <c r="AZ56" s="5" t="n">
        <v>1.776</v>
      </c>
      <c r="BA56" s="5" t="n">
        <v>0.2</v>
      </c>
      <c r="BB56" s="5" t="n">
        <v>1</v>
      </c>
      <c r="BC56" s="5" t="n">
        <v>0.535</v>
      </c>
      <c r="BD56" s="5" t="n">
        <v>0.129</v>
      </c>
      <c r="BE56" s="5" t="n">
        <v>0.505</v>
      </c>
      <c r="BF56" s="5" t="n">
        <v>1.248</v>
      </c>
      <c r="BG56" s="5" t="n">
        <v>0.2</v>
      </c>
      <c r="BH56" s="5" t="n">
        <v>1</v>
      </c>
      <c r="BI56" s="5" t="n">
        <v>0.579</v>
      </c>
      <c r="BJ56" s="5" t="n">
        <v>0.129</v>
      </c>
      <c r="BK56" s="5" t="n">
        <v>0.515</v>
      </c>
      <c r="BL56" s="5" t="n">
        <v>1.313</v>
      </c>
      <c r="BM56" s="5" t="n">
        <v>0.2</v>
      </c>
      <c r="BN56" s="5" t="n">
        <v>1</v>
      </c>
      <c r="BO56" s="5" t="n">
        <v>0</v>
      </c>
      <c r="BP56" s="5" t="n">
        <v>0.005</v>
      </c>
      <c r="BQ56" s="5" t="n">
        <v>0.238</v>
      </c>
      <c r="BR56" s="5" t="n">
        <v>0</v>
      </c>
      <c r="BS56" s="5" t="n">
        <v>1</v>
      </c>
      <c r="BT56" s="5" t="n">
        <v>0</v>
      </c>
      <c r="BU56" s="5" t="n">
        <v>-0.064</v>
      </c>
      <c r="BV56" s="5" t="n">
        <v>0.292</v>
      </c>
      <c r="BW56" s="5" t="n">
        <v>0.2</v>
      </c>
      <c r="BX56" s="5" t="n">
        <v>1</v>
      </c>
      <c r="BY56" s="5" t="n">
        <v>13.254</v>
      </c>
      <c r="BZ56" s="5" t="n">
        <v>0</v>
      </c>
      <c r="CA56" s="5" t="n">
        <v>13.254</v>
      </c>
      <c r="CB56" s="5" t="n">
        <v>0</v>
      </c>
      <c r="CC56" s="5" t="n">
        <v>83.248</v>
      </c>
      <c r="CD56" s="5" t="n">
        <v>7.95</v>
      </c>
      <c r="CE56" s="5" t="n">
        <v>129.924</v>
      </c>
      <c r="CF56" s="5" t="n">
        <v>255.807</v>
      </c>
      <c r="CG56" s="5" t="n">
        <v>0.2</v>
      </c>
      <c r="CH56" s="5" t="n">
        <v>1</v>
      </c>
      <c r="CI56" s="5" t="n">
        <v>0</v>
      </c>
      <c r="CJ56" s="5" t="n">
        <v>0</v>
      </c>
      <c r="CK56" s="5" t="n">
        <v>0</v>
      </c>
      <c r="CL56" s="5" t="n">
        <v>0</v>
      </c>
      <c r="CM56" s="5" t="n">
        <v>0</v>
      </c>
      <c r="CN56" s="5" t="n">
        <v>0.038</v>
      </c>
      <c r="CO56" s="5" t="n">
        <v>0</v>
      </c>
      <c r="CP56" s="5" t="n">
        <v>0</v>
      </c>
      <c r="CQ56" s="5" t="n">
        <v>1.348</v>
      </c>
      <c r="CR56" s="5" t="n">
        <v>0</v>
      </c>
      <c r="CS56" s="5" t="n">
        <v>5.796</v>
      </c>
      <c r="CT56" s="5" t="n">
        <v>3.466</v>
      </c>
      <c r="CU56" s="5" t="n">
        <v>12.608</v>
      </c>
    </row>
    <row r="57">
      <c r="A57" s="5" t="inlineStr">
        <is>
          <t>AUT2024</t>
        </is>
      </c>
      <c r="B57" s="5" t="inlineStr">
        <is>
          <t>AUT</t>
        </is>
      </c>
      <c r="C57" s="5" t="inlineStr">
        <is>
          <t>AUT</t>
        </is>
      </c>
      <c r="D57" s="5" t="inlineStr">
        <is>
          <t>Austria</t>
        </is>
      </c>
      <c r="E57" s="5" t="n">
        <v>2024</v>
      </c>
      <c r="F57" s="5" t="n">
        <v>0.2</v>
      </c>
      <c r="G57" s="5" t="n">
        <v>12.129</v>
      </c>
      <c r="H57" s="5" t="n">
        <v>3.073</v>
      </c>
      <c r="I57" s="5" t="n">
        <v>6.197</v>
      </c>
      <c r="J57" s="5" t="n">
        <v>18.327</v>
      </c>
      <c r="K57" s="5" t="n">
        <v>0</v>
      </c>
      <c r="L57" s="5" t="n">
        <v>1</v>
      </c>
      <c r="M57" s="5" t="n">
        <v>19.923</v>
      </c>
      <c r="N57" s="5" t="n">
        <v>10.853</v>
      </c>
      <c r="O57" s="5" t="n">
        <v>6.956</v>
      </c>
      <c r="P57" s="5" t="n">
        <v>26.879</v>
      </c>
      <c r="Q57" s="5" t="n">
        <v>0</v>
      </c>
      <c r="R57" s="5" t="n">
        <v>1</v>
      </c>
      <c r="S57" s="5" t="n">
        <v>10.969</v>
      </c>
      <c r="T57" s="5" t="n">
        <v>7.942</v>
      </c>
      <c r="U57" s="5" t="n">
        <v>7.79</v>
      </c>
      <c r="V57" s="5" t="n">
        <v>21.913</v>
      </c>
      <c r="W57" s="5" t="n">
        <v>0.2</v>
      </c>
      <c r="X57" s="5" t="n">
        <v>1</v>
      </c>
      <c r="Y57" s="5" t="n">
        <v>15.793</v>
      </c>
      <c r="Z57" s="5" t="n">
        <v>1.994</v>
      </c>
      <c r="AA57" s="5" t="n">
        <v>5.103</v>
      </c>
      <c r="AB57" s="5" t="n">
        <v>20.896</v>
      </c>
      <c r="AC57" s="5" t="n">
        <v>0</v>
      </c>
      <c r="AD57" s="5" t="n">
        <v>1</v>
      </c>
      <c r="AE57" s="5" t="n">
        <v>15.793</v>
      </c>
      <c r="AF57" s="5" t="n">
        <v>3.46</v>
      </c>
      <c r="AG57" s="5" t="n">
        <v>5.103</v>
      </c>
      <c r="AH57" s="5" t="n">
        <v>20.896</v>
      </c>
      <c r="AI57" s="5" t="n">
        <v>0</v>
      </c>
      <c r="AJ57" s="5" t="n">
        <v>1</v>
      </c>
      <c r="AK57" s="5" t="n">
        <v>29.728</v>
      </c>
      <c r="AL57" s="5" t="n">
        <v>15.12</v>
      </c>
      <c r="AM57" s="5" t="n">
        <v>3.051</v>
      </c>
      <c r="AN57" s="5" t="n">
        <v>39.334</v>
      </c>
      <c r="AO57" s="5" t="n">
        <v>0.2</v>
      </c>
      <c r="AP57" s="5" t="n">
        <v>1</v>
      </c>
      <c r="AQ57" s="5" t="n">
        <v>0.724</v>
      </c>
      <c r="AR57" s="5" t="n">
        <v>0.132</v>
      </c>
      <c r="AS57" s="5" t="n">
        <v>0.6899999999999999</v>
      </c>
      <c r="AT57" s="5" t="n">
        <v>1.697</v>
      </c>
      <c r="AU57" s="5" t="n">
        <v>0.2</v>
      </c>
      <c r="AV57" s="5" t="n">
        <v>1</v>
      </c>
      <c r="AW57" s="5" t="n">
        <v>0.75</v>
      </c>
      <c r="AX57" s="5" t="n">
        <v>0.132</v>
      </c>
      <c r="AY57" s="5" t="n">
        <v>0.6899999999999999</v>
      </c>
      <c r="AZ57" s="5" t="n">
        <v>1.729</v>
      </c>
      <c r="BA57" s="5" t="n">
        <v>0.2</v>
      </c>
      <c r="BB57" s="5" t="n">
        <v>1</v>
      </c>
      <c r="BC57" s="5" t="n">
        <v>0.513</v>
      </c>
      <c r="BD57" s="5" t="n">
        <v>0.132</v>
      </c>
      <c r="BE57" s="5" t="n">
        <v>0.332</v>
      </c>
      <c r="BF57" s="5" t="n">
        <v>1.015</v>
      </c>
      <c r="BG57" s="5" t="n">
        <v>0.2</v>
      </c>
      <c r="BH57" s="5" t="n">
        <v>1</v>
      </c>
      <c r="BI57" s="5" t="n">
        <v>0.591</v>
      </c>
      <c r="BJ57" s="5" t="n">
        <v>0.132</v>
      </c>
      <c r="BK57" s="5" t="n">
        <v>0.298</v>
      </c>
      <c r="BL57" s="5" t="n">
        <v>1.067</v>
      </c>
      <c r="BM57" s="5" t="n">
        <v>0.2</v>
      </c>
      <c r="BN57" s="5" t="n">
        <v>1</v>
      </c>
      <c r="BO57" s="5" t="n">
        <v>0</v>
      </c>
      <c r="BP57" s="5" t="n">
        <v>0.004</v>
      </c>
      <c r="BQ57" s="5" t="n">
        <v>0.167</v>
      </c>
      <c r="BR57" s="5" t="n">
        <v>0</v>
      </c>
      <c r="BS57" s="5" t="n">
        <v>1</v>
      </c>
      <c r="BT57" s="5" t="n">
        <v>0</v>
      </c>
      <c r="BU57" s="5" t="n">
        <v>-0.07099999999999999</v>
      </c>
      <c r="BV57" s="5" t="n">
        <v>0.28</v>
      </c>
      <c r="BW57" s="5" t="n">
        <v>0.2</v>
      </c>
      <c r="BX57" s="5" t="n">
        <v>1</v>
      </c>
      <c r="BY57" s="5" t="n">
        <v>13.646</v>
      </c>
      <c r="BZ57" s="5" t="n">
        <v>0</v>
      </c>
      <c r="CA57" s="5" t="n">
        <v>13.646</v>
      </c>
      <c r="CB57" s="5" t="n">
        <v>0</v>
      </c>
      <c r="CC57" s="5" t="n">
        <v>82.58799999999999</v>
      </c>
      <c r="CD57" s="5" t="n">
        <v>7.95</v>
      </c>
      <c r="CE57" s="5" t="n">
        <v>109.01</v>
      </c>
      <c r="CF57" s="5" t="n">
        <v>229.918</v>
      </c>
      <c r="CG57" s="5" t="n">
        <v>0.2</v>
      </c>
      <c r="CH57" s="5" t="n">
        <v>1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0.038</v>
      </c>
      <c r="CO57" s="5" t="n">
        <v>0</v>
      </c>
      <c r="CP57" s="5" t="n">
        <v>0</v>
      </c>
      <c r="CQ57" s="5" t="n">
        <v>1.387</v>
      </c>
      <c r="CR57" s="5" t="n">
        <v>0</v>
      </c>
      <c r="CS57" s="5" t="n">
        <v>5.967</v>
      </c>
      <c r="CT57" s="5" t="n">
        <v>3.027</v>
      </c>
      <c r="CU57" s="5" t="n">
        <v>10.564</v>
      </c>
    </row>
    <row r="58">
      <c r="A58" s="5" t="inlineStr">
        <is>
          <t>AZE2021</t>
        </is>
      </c>
      <c r="B58" s="5" t="inlineStr">
        <is>
          <t>AZE</t>
        </is>
      </c>
      <c r="C58" s="5" t="inlineStr">
        <is>
          <t>AZE</t>
        </is>
      </c>
      <c r="D58" s="5" t="inlineStr">
        <is>
          <t>Azerbaijan</t>
        </is>
      </c>
      <c r="E58" s="5" t="n">
        <v>2021</v>
      </c>
      <c r="F58" s="5" t="n">
        <v>0.18</v>
      </c>
      <c r="G58" s="5" t="n">
        <v>5.553</v>
      </c>
      <c r="H58" s="5" t="n">
        <v>1.143</v>
      </c>
      <c r="I58" s="5" t="n">
        <v>0.028</v>
      </c>
      <c r="J58" s="5" t="n">
        <v>5.581</v>
      </c>
      <c r="K58" s="5" t="n">
        <v>0</v>
      </c>
      <c r="L58" s="5" t="n">
        <v>1</v>
      </c>
      <c r="M58" s="5" t="n">
        <v>7.964</v>
      </c>
      <c r="N58" s="5" t="n">
        <v>3.43</v>
      </c>
      <c r="O58" s="5" t="n">
        <v>0.04</v>
      </c>
      <c r="P58" s="5" t="n">
        <v>8.005000000000001</v>
      </c>
      <c r="Q58" s="5" t="n">
        <v>0</v>
      </c>
      <c r="R58" s="5" t="n">
        <v>1</v>
      </c>
      <c r="S58" s="5" t="n">
        <v>11.27</v>
      </c>
      <c r="T58" s="5" t="n">
        <v>6.86</v>
      </c>
      <c r="U58" s="5" t="n">
        <v>0.028</v>
      </c>
      <c r="V58" s="5" t="n">
        <v>13.331</v>
      </c>
      <c r="W58" s="5" t="n">
        <v>0.18</v>
      </c>
      <c r="X58" s="5" t="n">
        <v>1</v>
      </c>
      <c r="Y58" s="5" t="n">
        <v>4.275</v>
      </c>
      <c r="Z58" s="5" t="n">
        <v>0.485</v>
      </c>
      <c r="AA58" s="5" t="n">
        <v>-1.129</v>
      </c>
      <c r="AB58" s="5" t="n">
        <v>3.145</v>
      </c>
      <c r="AC58" s="5" t="n">
        <v>0</v>
      </c>
      <c r="AD58" s="5" t="n">
        <v>0</v>
      </c>
      <c r="AE58" s="5" t="n">
        <v>4.846</v>
      </c>
      <c r="AF58" s="5" t="n">
        <v>0.972</v>
      </c>
      <c r="AG58" s="5" t="n">
        <v>-1.701</v>
      </c>
      <c r="AH58" s="5" t="n">
        <v>3.145</v>
      </c>
      <c r="AI58" s="5" t="n">
        <v>0</v>
      </c>
      <c r="AJ58" s="5" t="n">
        <v>0</v>
      </c>
      <c r="AK58" s="5" t="n">
        <v>8.276</v>
      </c>
      <c r="AL58" s="5" t="n">
        <v>3.986</v>
      </c>
      <c r="AM58" s="5" t="n">
        <v>-5.611</v>
      </c>
      <c r="AN58" s="5" t="n">
        <v>3.145</v>
      </c>
      <c r="AO58" s="5" t="n">
        <v>0</v>
      </c>
      <c r="AP58" s="5" t="n">
        <v>0</v>
      </c>
      <c r="AQ58" s="5" t="n">
        <v>0.619</v>
      </c>
      <c r="AR58" s="5" t="n">
        <v>0.114</v>
      </c>
      <c r="AS58" s="5" t="n">
        <v>-0.121</v>
      </c>
      <c r="AT58" s="5" t="n">
        <v>0.588</v>
      </c>
      <c r="AU58" s="5" t="n">
        <v>0</v>
      </c>
      <c r="AV58" s="5" t="n">
        <v>0</v>
      </c>
      <c r="AW58" s="5" t="n">
        <v>0.599</v>
      </c>
      <c r="AX58" s="5" t="n">
        <v>0.114</v>
      </c>
      <c r="AY58" s="5" t="n">
        <v>-0.235</v>
      </c>
      <c r="AZ58" s="5" t="n">
        <v>0.429</v>
      </c>
      <c r="BA58" s="5" t="n">
        <v>0</v>
      </c>
      <c r="BB58" s="5" t="n">
        <v>0</v>
      </c>
      <c r="BC58" s="5" t="n">
        <v>0.439</v>
      </c>
      <c r="BD58" s="5" t="n">
        <v>0.114</v>
      </c>
      <c r="BE58" s="5" t="n">
        <v>-0.113</v>
      </c>
      <c r="BF58" s="5" t="n">
        <v>0.326</v>
      </c>
      <c r="BG58" s="5" t="n">
        <v>0</v>
      </c>
      <c r="BH58" s="5" t="n">
        <v>0</v>
      </c>
      <c r="BI58" s="5" t="n">
        <v>0.505</v>
      </c>
      <c r="BJ58" s="5" t="n">
        <v>0.114</v>
      </c>
      <c r="BK58" s="5" t="n">
        <v>0</v>
      </c>
      <c r="BL58" s="5" t="n">
        <v>0.596</v>
      </c>
      <c r="BM58" s="5" t="n">
        <v>0.18</v>
      </c>
      <c r="BN58" s="5" t="n">
        <v>1</v>
      </c>
      <c r="BO58" s="5" t="n">
        <v>0</v>
      </c>
      <c r="BP58" s="5" t="n">
        <v>-0.064</v>
      </c>
      <c r="BQ58" s="5" t="n">
        <v>0.053</v>
      </c>
      <c r="BR58" s="5" t="n">
        <v>0</v>
      </c>
      <c r="BS58" s="5" t="n">
        <v>0.333</v>
      </c>
      <c r="BT58" s="5" t="n">
        <v>0</v>
      </c>
      <c r="BU58" s="5" t="n">
        <v>-0.064</v>
      </c>
      <c r="BV58" s="5" t="n">
        <v>0.053</v>
      </c>
      <c r="BW58" s="5" t="n">
        <v>0</v>
      </c>
      <c r="BX58" s="5" t="n">
        <v>0.5</v>
      </c>
      <c r="BY58" s="5" t="n">
        <v>11.787</v>
      </c>
      <c r="BZ58" s="5" t="n">
        <v>0</v>
      </c>
      <c r="CA58" s="5" t="n">
        <v>11.787</v>
      </c>
      <c r="CB58" s="5" t="n">
        <v>0</v>
      </c>
      <c r="CC58" s="5" t="n">
        <v>78.125</v>
      </c>
      <c r="CD58" s="5" t="n">
        <v>7.95</v>
      </c>
      <c r="CE58" s="5" t="n">
        <v>0</v>
      </c>
      <c r="CF58" s="5" t="n">
        <v>92.188</v>
      </c>
      <c r="CG58" s="5" t="n">
        <v>0.18</v>
      </c>
      <c r="CH58" s="5" t="n">
        <v>1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0.02</v>
      </c>
      <c r="CO58" s="5" t="n">
        <v>0.01</v>
      </c>
      <c r="CP58" s="5" t="n">
        <v>0</v>
      </c>
      <c r="CQ58" s="5" t="n">
        <v>1.198</v>
      </c>
      <c r="CR58" s="5" t="n">
        <v>1</v>
      </c>
      <c r="CS58" s="5" t="n">
        <v>3.703</v>
      </c>
      <c r="CT58" s="5" t="n">
        <v>4.41</v>
      </c>
      <c r="CU58" s="5" t="n">
        <v>14.129</v>
      </c>
    </row>
    <row r="59">
      <c r="A59" s="5" t="inlineStr">
        <is>
          <t>AZE2022</t>
        </is>
      </c>
      <c r="B59" s="5" t="inlineStr">
        <is>
          <t>AZE</t>
        </is>
      </c>
      <c r="C59" s="5" t="inlineStr">
        <is>
          <t>AZE</t>
        </is>
      </c>
      <c r="D59" s="5" t="inlineStr">
        <is>
          <t>Azerbaijan</t>
        </is>
      </c>
      <c r="E59" s="5" t="n">
        <v>2022</v>
      </c>
      <c r="F59" s="5" t="n">
        <v>0.18</v>
      </c>
      <c r="G59" s="5" t="n">
        <v>7.077</v>
      </c>
      <c r="H59" s="5" t="n">
        <v>1.235</v>
      </c>
      <c r="I59" s="5" t="n">
        <v>0.043</v>
      </c>
      <c r="J59" s="5" t="n">
        <v>7.12</v>
      </c>
      <c r="K59" s="5" t="n">
        <v>0</v>
      </c>
      <c r="L59" s="5" t="n">
        <v>1</v>
      </c>
      <c r="M59" s="5" t="n">
        <v>9.782999999999999</v>
      </c>
      <c r="N59" s="5" t="n">
        <v>3.704</v>
      </c>
      <c r="O59" s="5" t="n">
        <v>0.058</v>
      </c>
      <c r="P59" s="5" t="n">
        <v>9.84</v>
      </c>
      <c r="Q59" s="5" t="n">
        <v>0</v>
      </c>
      <c r="R59" s="5" t="n">
        <v>1</v>
      </c>
      <c r="S59" s="5" t="n">
        <v>13.25</v>
      </c>
      <c r="T59" s="5" t="n">
        <v>7.408</v>
      </c>
      <c r="U59" s="5" t="n">
        <v>0.22</v>
      </c>
      <c r="V59" s="5" t="n">
        <v>15.686</v>
      </c>
      <c r="W59" s="5" t="n">
        <v>0.18</v>
      </c>
      <c r="X59" s="5" t="n">
        <v>1</v>
      </c>
      <c r="Y59" s="5" t="n">
        <v>4.591</v>
      </c>
      <c r="Z59" s="5" t="n">
        <v>0.521</v>
      </c>
      <c r="AA59" s="5" t="n">
        <v>-0.833</v>
      </c>
      <c r="AB59" s="5" t="n">
        <v>3.758</v>
      </c>
      <c r="AC59" s="5" t="n">
        <v>0</v>
      </c>
      <c r="AD59" s="5" t="n">
        <v>0</v>
      </c>
      <c r="AE59" s="5" t="n">
        <v>5.277</v>
      </c>
      <c r="AF59" s="5" t="n">
        <v>1.058</v>
      </c>
      <c r="AG59" s="5" t="n">
        <v>-1.519</v>
      </c>
      <c r="AH59" s="5" t="n">
        <v>3.758</v>
      </c>
      <c r="AI59" s="5" t="n">
        <v>0</v>
      </c>
      <c r="AJ59" s="5" t="n">
        <v>0</v>
      </c>
      <c r="AK59" s="5" t="n">
        <v>9.394</v>
      </c>
      <c r="AL59" s="5" t="n">
        <v>4.524</v>
      </c>
      <c r="AM59" s="5" t="n">
        <v>-6.209</v>
      </c>
      <c r="AN59" s="5" t="n">
        <v>3.758</v>
      </c>
      <c r="AO59" s="5" t="n">
        <v>0</v>
      </c>
      <c r="AP59" s="5" t="n">
        <v>0</v>
      </c>
      <c r="AQ59" s="5" t="n">
        <v>0.861</v>
      </c>
      <c r="AR59" s="5" t="n">
        <v>0.123</v>
      </c>
      <c r="AS59" s="5" t="n">
        <v>-0.363</v>
      </c>
      <c r="AT59" s="5" t="n">
        <v>0.588</v>
      </c>
      <c r="AU59" s="5" t="n">
        <v>0</v>
      </c>
      <c r="AV59" s="5" t="n">
        <v>0</v>
      </c>
      <c r="AW59" s="5" t="n">
        <v>0.986</v>
      </c>
      <c r="AX59" s="5" t="n">
        <v>0.123</v>
      </c>
      <c r="AY59" s="5" t="n">
        <v>-0.622</v>
      </c>
      <c r="AZ59" s="5" t="n">
        <v>0.43</v>
      </c>
      <c r="BA59" s="5" t="n">
        <v>0</v>
      </c>
      <c r="BB59" s="5" t="n">
        <v>0</v>
      </c>
      <c r="BC59" s="5" t="n">
        <v>0.598</v>
      </c>
      <c r="BD59" s="5" t="n">
        <v>0.123</v>
      </c>
      <c r="BE59" s="5" t="n">
        <v>-0.122</v>
      </c>
      <c r="BF59" s="5" t="n">
        <v>0.476</v>
      </c>
      <c r="BG59" s="5" t="n">
        <v>0</v>
      </c>
      <c r="BH59" s="5" t="n">
        <v>0</v>
      </c>
      <c r="BI59" s="5" t="n">
        <v>0.612</v>
      </c>
      <c r="BJ59" s="5" t="n">
        <v>0.123</v>
      </c>
      <c r="BK59" s="5" t="n">
        <v>0.008</v>
      </c>
      <c r="BL59" s="5" t="n">
        <v>0.723</v>
      </c>
      <c r="BM59" s="5" t="n">
        <v>0.18</v>
      </c>
      <c r="BN59" s="5" t="n">
        <v>1</v>
      </c>
      <c r="BO59" s="5" t="n">
        <v>0</v>
      </c>
      <c r="BP59" s="5" t="n">
        <v>-0.064</v>
      </c>
      <c r="BQ59" s="5" t="n">
        <v>0.065</v>
      </c>
      <c r="BR59" s="5" t="n">
        <v>0</v>
      </c>
      <c r="BS59" s="5" t="n">
        <v>0.333</v>
      </c>
      <c r="BT59" s="5" t="n">
        <v>0</v>
      </c>
      <c r="BU59" s="5" t="n">
        <v>-0.064</v>
      </c>
      <c r="BV59" s="5" t="n">
        <v>0.047</v>
      </c>
      <c r="BW59" s="5" t="n">
        <v>0</v>
      </c>
      <c r="BX59" s="5" t="n">
        <v>0.5</v>
      </c>
      <c r="BY59" s="5" t="n">
        <v>12.729</v>
      </c>
      <c r="BZ59" s="5" t="n">
        <v>0</v>
      </c>
      <c r="CA59" s="5" t="n">
        <v>12.729</v>
      </c>
      <c r="CB59" s="5" t="n">
        <v>0</v>
      </c>
      <c r="CC59" s="5" t="n">
        <v>97.90000000000001</v>
      </c>
      <c r="CD59" s="5" t="n">
        <v>7.95</v>
      </c>
      <c r="CE59" s="5" t="n">
        <v>1.304</v>
      </c>
      <c r="CF59" s="5" t="n">
        <v>115.522</v>
      </c>
      <c r="CG59" s="5" t="n">
        <v>0.18</v>
      </c>
      <c r="CH59" s="5" t="n">
        <v>1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0.023</v>
      </c>
      <c r="CO59" s="5" t="n">
        <v>0.011</v>
      </c>
      <c r="CP59" s="5" t="n">
        <v>0</v>
      </c>
      <c r="CQ59" s="5" t="n">
        <v>1.294</v>
      </c>
      <c r="CR59" s="5" t="n">
        <v>0.889</v>
      </c>
      <c r="CS59" s="5" t="n">
        <v>3.999</v>
      </c>
      <c r="CT59" s="5" t="n">
        <v>5.842</v>
      </c>
      <c r="CU59" s="5" t="n">
        <v>28.059</v>
      </c>
    </row>
    <row r="60">
      <c r="A60" s="5" t="inlineStr">
        <is>
          <t>AZE2023</t>
        </is>
      </c>
      <c r="B60" s="5" t="inlineStr">
        <is>
          <t>AZE</t>
        </is>
      </c>
      <c r="C60" s="5" t="inlineStr">
        <is>
          <t>AZE</t>
        </is>
      </c>
      <c r="D60" s="5" t="inlineStr">
        <is>
          <t>Azerbaijan</t>
        </is>
      </c>
      <c r="E60" s="5" t="n">
        <v>2023</v>
      </c>
      <c r="F60" s="5" t="n">
        <v>0.18</v>
      </c>
      <c r="G60" s="5" t="n">
        <v>4.752</v>
      </c>
      <c r="H60" s="5" t="n">
        <v>1.286</v>
      </c>
      <c r="I60" s="5" t="n">
        <v>0.027</v>
      </c>
      <c r="J60" s="5" t="n">
        <v>4.778</v>
      </c>
      <c r="K60" s="5" t="n">
        <v>0</v>
      </c>
      <c r="L60" s="5" t="n">
        <v>1</v>
      </c>
      <c r="M60" s="5" t="n">
        <v>7.886</v>
      </c>
      <c r="N60" s="5" t="n">
        <v>3.857</v>
      </c>
      <c r="O60" s="5" t="n">
        <v>0.04</v>
      </c>
      <c r="P60" s="5" t="n">
        <v>7.926</v>
      </c>
      <c r="Q60" s="5" t="n">
        <v>0</v>
      </c>
      <c r="R60" s="5" t="n">
        <v>1</v>
      </c>
      <c r="S60" s="5" t="n">
        <v>11.18</v>
      </c>
      <c r="T60" s="5" t="n">
        <v>7.714</v>
      </c>
      <c r="U60" s="5" t="n">
        <v>0.25</v>
      </c>
      <c r="V60" s="5" t="n">
        <v>13.224</v>
      </c>
      <c r="W60" s="5" t="n">
        <v>0.18</v>
      </c>
      <c r="X60" s="5" t="n">
        <v>1</v>
      </c>
      <c r="Y60" s="5" t="n">
        <v>4.685</v>
      </c>
      <c r="Z60" s="5" t="n">
        <v>0.532</v>
      </c>
      <c r="AA60" s="5" t="n">
        <v>-0.927</v>
      </c>
      <c r="AB60" s="5" t="n">
        <v>3.758</v>
      </c>
      <c r="AC60" s="5" t="n">
        <v>0</v>
      </c>
      <c r="AD60" s="5" t="n">
        <v>0</v>
      </c>
      <c r="AE60" s="5" t="n">
        <v>5.429</v>
      </c>
      <c r="AF60" s="5" t="n">
        <v>1.089</v>
      </c>
      <c r="AG60" s="5" t="n">
        <v>-1.671</v>
      </c>
      <c r="AH60" s="5" t="n">
        <v>3.758</v>
      </c>
      <c r="AI60" s="5" t="n">
        <v>0</v>
      </c>
      <c r="AJ60" s="5" t="n">
        <v>0</v>
      </c>
      <c r="AK60" s="5" t="n">
        <v>9.890000000000001</v>
      </c>
      <c r="AL60" s="5" t="n">
        <v>4.763</v>
      </c>
      <c r="AM60" s="5" t="n">
        <v>-6.705</v>
      </c>
      <c r="AN60" s="5" t="n">
        <v>3.758</v>
      </c>
      <c r="AO60" s="5" t="n">
        <v>0</v>
      </c>
      <c r="AP60" s="5" t="n">
        <v>0</v>
      </c>
      <c r="AQ60" s="5" t="n">
        <v>0.76</v>
      </c>
      <c r="AR60" s="5" t="n">
        <v>0.129</v>
      </c>
      <c r="AS60" s="5" t="n">
        <v>-0.262</v>
      </c>
      <c r="AT60" s="5" t="n">
        <v>0.588</v>
      </c>
      <c r="AU60" s="5" t="n">
        <v>0</v>
      </c>
      <c r="AV60" s="5" t="n">
        <v>0</v>
      </c>
      <c r="AW60" s="5" t="n">
        <v>0.8110000000000001</v>
      </c>
      <c r="AX60" s="5" t="n">
        <v>0.129</v>
      </c>
      <c r="AY60" s="5" t="n">
        <v>-0.447</v>
      </c>
      <c r="AZ60" s="5" t="n">
        <v>0.43</v>
      </c>
      <c r="BA60" s="5" t="n">
        <v>0</v>
      </c>
      <c r="BB60" s="5" t="n">
        <v>0</v>
      </c>
      <c r="BC60" s="5" t="n">
        <v>0.535</v>
      </c>
      <c r="BD60" s="5" t="n">
        <v>0.129</v>
      </c>
      <c r="BE60" s="5" t="n">
        <v>-0.127</v>
      </c>
      <c r="BF60" s="5" t="n">
        <v>0.408</v>
      </c>
      <c r="BG60" s="5" t="n">
        <v>0</v>
      </c>
      <c r="BH60" s="5" t="n">
        <v>0</v>
      </c>
      <c r="BI60" s="5" t="n">
        <v>0.579</v>
      </c>
      <c r="BJ60" s="5" t="n">
        <v>0.129</v>
      </c>
      <c r="BK60" s="5" t="n">
        <v>0.012</v>
      </c>
      <c r="BL60" s="5" t="n">
        <v>0.6840000000000001</v>
      </c>
      <c r="BM60" s="5" t="n">
        <v>0.18</v>
      </c>
      <c r="BN60" s="5" t="n">
        <v>1</v>
      </c>
      <c r="BO60" s="5" t="n">
        <v>0</v>
      </c>
      <c r="BP60" s="5" t="n">
        <v>-0.064</v>
      </c>
      <c r="BQ60" s="5" t="n">
        <v>0.065</v>
      </c>
      <c r="BR60" s="5" t="n">
        <v>0</v>
      </c>
      <c r="BS60" s="5" t="n">
        <v>0.333</v>
      </c>
      <c r="BT60" s="5" t="n">
        <v>0</v>
      </c>
      <c r="BU60" s="5" t="n">
        <v>-0.064</v>
      </c>
      <c r="BV60" s="5" t="n">
        <v>0.047</v>
      </c>
      <c r="BW60" s="5" t="n">
        <v>0</v>
      </c>
      <c r="BX60" s="5" t="n">
        <v>0.5</v>
      </c>
      <c r="BY60" s="5" t="n">
        <v>13.254</v>
      </c>
      <c r="BZ60" s="5" t="n">
        <v>0</v>
      </c>
      <c r="CA60" s="5" t="n">
        <v>13.254</v>
      </c>
      <c r="CB60" s="5" t="n">
        <v>0</v>
      </c>
      <c r="CC60" s="5" t="n">
        <v>83.248</v>
      </c>
      <c r="CD60" s="5" t="n">
        <v>7.95</v>
      </c>
      <c r="CE60" s="5" t="n">
        <v>1.659</v>
      </c>
      <c r="CF60" s="5" t="n">
        <v>98.233</v>
      </c>
      <c r="CG60" s="5" t="n">
        <v>0.18</v>
      </c>
      <c r="CH60" s="5" t="n">
        <v>1</v>
      </c>
      <c r="CI60" s="5" t="n">
        <v>0</v>
      </c>
      <c r="CJ60" s="5" t="n">
        <v>0</v>
      </c>
      <c r="CK60" s="5" t="n">
        <v>0</v>
      </c>
      <c r="CL60" s="5" t="n">
        <v>0</v>
      </c>
      <c r="CM60" s="5" t="n">
        <v>0</v>
      </c>
      <c r="CN60" s="5" t="n">
        <v>0.025</v>
      </c>
      <c r="CO60" s="5" t="n">
        <v>0.01</v>
      </c>
      <c r="CP60" s="5" t="n">
        <v>0</v>
      </c>
      <c r="CQ60" s="5" t="n">
        <v>1.348</v>
      </c>
      <c r="CR60" s="5" t="n">
        <v>0.843</v>
      </c>
      <c r="CS60" s="5" t="n">
        <v>4.164</v>
      </c>
      <c r="CT60" s="5" t="n">
        <v>3.466</v>
      </c>
      <c r="CU60" s="5" t="n">
        <v>9.260999999999999</v>
      </c>
    </row>
    <row r="61">
      <c r="A61" s="5" t="inlineStr">
        <is>
          <t>AZE2024</t>
        </is>
      </c>
      <c r="B61" s="5" t="inlineStr">
        <is>
          <t>AZE</t>
        </is>
      </c>
      <c r="C61" s="5" t="inlineStr">
        <is>
          <t>AZE</t>
        </is>
      </c>
      <c r="D61" s="5" t="inlineStr">
        <is>
          <t>Azerbaijan</t>
        </is>
      </c>
      <c r="E61" s="5" t="n">
        <v>2024</v>
      </c>
      <c r="F61" s="5" t="n">
        <v>0.18</v>
      </c>
      <c r="G61" s="5" t="n">
        <v>4.351</v>
      </c>
      <c r="H61" s="5" t="n">
        <v>1.324</v>
      </c>
      <c r="I61" s="5" t="n">
        <v>0.021</v>
      </c>
      <c r="J61" s="5" t="n">
        <v>4.371</v>
      </c>
      <c r="K61" s="5" t="n">
        <v>0</v>
      </c>
      <c r="L61" s="5" t="n">
        <v>1</v>
      </c>
      <c r="M61" s="5" t="n">
        <v>7.124</v>
      </c>
      <c r="N61" s="5" t="n">
        <v>3.971</v>
      </c>
      <c r="O61" s="5" t="n">
        <v>0.028</v>
      </c>
      <c r="P61" s="5" t="n">
        <v>7.151</v>
      </c>
      <c r="Q61" s="5" t="n">
        <v>0</v>
      </c>
      <c r="R61" s="5" t="n">
        <v>1</v>
      </c>
      <c r="S61" s="5" t="n">
        <v>10.969</v>
      </c>
      <c r="T61" s="5" t="n">
        <v>7.942</v>
      </c>
      <c r="U61" s="5" t="n">
        <v>0.29</v>
      </c>
      <c r="V61" s="5" t="n">
        <v>12.967</v>
      </c>
      <c r="W61" s="5" t="n">
        <v>0.18</v>
      </c>
      <c r="X61" s="5" t="n">
        <v>1</v>
      </c>
      <c r="Y61" s="5" t="n">
        <v>4.794</v>
      </c>
      <c r="Z61" s="5" t="n">
        <v>0.544</v>
      </c>
      <c r="AA61" s="5" t="n">
        <v>-1.036</v>
      </c>
      <c r="AB61" s="5" t="n">
        <v>3.758</v>
      </c>
      <c r="AC61" s="5" t="n">
        <v>0</v>
      </c>
      <c r="AD61" s="5" t="n">
        <v>0</v>
      </c>
      <c r="AE61" s="5" t="n">
        <v>5.56</v>
      </c>
      <c r="AF61" s="5" t="n">
        <v>1.115</v>
      </c>
      <c r="AG61" s="5" t="n">
        <v>-1.802</v>
      </c>
      <c r="AH61" s="5" t="n">
        <v>3.758</v>
      </c>
      <c r="AI61" s="5" t="n">
        <v>0</v>
      </c>
      <c r="AJ61" s="5" t="n">
        <v>0</v>
      </c>
      <c r="AK61" s="5" t="n">
        <v>10.153</v>
      </c>
      <c r="AL61" s="5" t="n">
        <v>4.89</v>
      </c>
      <c r="AM61" s="5" t="n">
        <v>-6.968</v>
      </c>
      <c r="AN61" s="5" t="n">
        <v>3.758</v>
      </c>
      <c r="AO61" s="5" t="n">
        <v>0</v>
      </c>
      <c r="AP61" s="5" t="n">
        <v>0</v>
      </c>
      <c r="AQ61" s="5" t="n">
        <v>0.724</v>
      </c>
      <c r="AR61" s="5" t="n">
        <v>0.132</v>
      </c>
      <c r="AS61" s="5" t="n">
        <v>-0.187</v>
      </c>
      <c r="AT61" s="5" t="n">
        <v>0.634</v>
      </c>
      <c r="AU61" s="5" t="n">
        <v>0</v>
      </c>
      <c r="AV61" s="5" t="n">
        <v>0</v>
      </c>
      <c r="AW61" s="5" t="n">
        <v>0.75</v>
      </c>
      <c r="AX61" s="5" t="n">
        <v>0.132</v>
      </c>
      <c r="AY61" s="5" t="n">
        <v>-0.303</v>
      </c>
      <c r="AZ61" s="5" t="n">
        <v>0.528</v>
      </c>
      <c r="BA61" s="5" t="n">
        <v>0</v>
      </c>
      <c r="BB61" s="5" t="n">
        <v>0</v>
      </c>
      <c r="BC61" s="5" t="n">
        <v>0.513</v>
      </c>
      <c r="BD61" s="5" t="n">
        <v>0.132</v>
      </c>
      <c r="BE61" s="5" t="n">
        <v>-0.189</v>
      </c>
      <c r="BF61" s="5" t="n">
        <v>0.382</v>
      </c>
      <c r="BG61" s="5" t="n">
        <v>0</v>
      </c>
      <c r="BH61" s="5" t="n">
        <v>0</v>
      </c>
      <c r="BI61" s="5" t="n">
        <v>0.591</v>
      </c>
      <c r="BJ61" s="5" t="n">
        <v>0.132</v>
      </c>
      <c r="BK61" s="5" t="n">
        <v>0.014</v>
      </c>
      <c r="BL61" s="5" t="n">
        <v>0.698</v>
      </c>
      <c r="BM61" s="5" t="n">
        <v>0.18</v>
      </c>
      <c r="BN61" s="5" t="n">
        <v>1</v>
      </c>
      <c r="BO61" s="5" t="n">
        <v>0</v>
      </c>
      <c r="BP61" s="5" t="n">
        <v>-0.066</v>
      </c>
      <c r="BQ61" s="5" t="n">
        <v>0.063</v>
      </c>
      <c r="BR61" s="5" t="n">
        <v>0</v>
      </c>
      <c r="BS61" s="5" t="n">
        <v>0.333</v>
      </c>
      <c r="BT61" s="5" t="n">
        <v>0</v>
      </c>
      <c r="BU61" s="5" t="n">
        <v>-0.066</v>
      </c>
      <c r="BV61" s="5" t="n">
        <v>0.046</v>
      </c>
      <c r="BW61" s="5" t="n">
        <v>0</v>
      </c>
      <c r="BX61" s="5" t="n">
        <v>0.5</v>
      </c>
      <c r="BY61" s="5" t="n">
        <v>13.646</v>
      </c>
      <c r="BZ61" s="5" t="n">
        <v>0</v>
      </c>
      <c r="CA61" s="5" t="n">
        <v>13.646</v>
      </c>
      <c r="CB61" s="5" t="n">
        <v>0</v>
      </c>
      <c r="CC61" s="5" t="n">
        <v>82.58799999999999</v>
      </c>
      <c r="CD61" s="5" t="n">
        <v>7.95</v>
      </c>
      <c r="CE61" s="5" t="n">
        <v>2.025</v>
      </c>
      <c r="CF61" s="5" t="n">
        <v>97.45399999999999</v>
      </c>
      <c r="CG61" s="5" t="n">
        <v>0.18</v>
      </c>
      <c r="CH61" s="5" t="n">
        <v>1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0.026</v>
      </c>
      <c r="CO61" s="5" t="n">
        <v>0.01</v>
      </c>
      <c r="CP61" s="5" t="n">
        <v>0</v>
      </c>
      <c r="CQ61" s="5" t="n">
        <v>1.387</v>
      </c>
      <c r="CR61" s="5" t="n">
        <v>0.843</v>
      </c>
      <c r="CS61" s="5" t="n">
        <v>4.287</v>
      </c>
      <c r="CT61" s="5" t="n">
        <v>3.027</v>
      </c>
      <c r="CU61" s="5" t="n">
        <v>7.598</v>
      </c>
    </row>
    <row r="62">
      <c r="A62" s="5" t="inlineStr">
        <is>
          <t>BHS2021</t>
        </is>
      </c>
      <c r="B62" s="5" t="inlineStr">
        <is>
          <t>BHS</t>
        </is>
      </c>
      <c r="C62" s="5" t="inlineStr">
        <is>
          <t>BHS</t>
        </is>
      </c>
      <c r="D62" s="5" t="inlineStr">
        <is>
          <t>Bahamas, The</t>
        </is>
      </c>
      <c r="E62" s="5" t="n">
        <v>2021</v>
      </c>
      <c r="F62" s="5" t="n">
        <v>0.12</v>
      </c>
      <c r="G62" s="5" t="n">
        <v>5.897</v>
      </c>
      <c r="H62" s="5" t="n">
        <v>1.143</v>
      </c>
      <c r="I62" s="5" t="n">
        <v>0</v>
      </c>
      <c r="J62" s="5" t="n">
        <v>5.897</v>
      </c>
      <c r="K62" s="5" t="n">
        <v>0</v>
      </c>
      <c r="L62" s="5" t="n">
        <v>1</v>
      </c>
      <c r="M62" s="5" t="n">
        <v>7.964</v>
      </c>
      <c r="N62" s="5" t="n">
        <v>3.43</v>
      </c>
      <c r="O62" s="5" t="n">
        <v>0</v>
      </c>
      <c r="P62" s="5" t="n">
        <v>7.964</v>
      </c>
      <c r="Q62" s="5" t="n">
        <v>0</v>
      </c>
      <c r="R62" s="5" t="n">
        <v>1</v>
      </c>
      <c r="S62" s="5" t="n">
        <v>11.613</v>
      </c>
      <c r="T62" s="5" t="n">
        <v>6.86</v>
      </c>
      <c r="U62" s="5" t="n">
        <v>0</v>
      </c>
      <c r="V62" s="5" t="n">
        <v>13.007</v>
      </c>
      <c r="W62" s="5" t="n">
        <v>0.12</v>
      </c>
      <c r="X62" s="5" t="n">
        <v>1</v>
      </c>
      <c r="Y62" s="5" t="n">
        <v>16.985</v>
      </c>
      <c r="Z62" s="5" t="n">
        <v>2.285</v>
      </c>
      <c r="AA62" s="5" t="n">
        <v>0</v>
      </c>
      <c r="AB62" s="5" t="n">
        <v>16.985</v>
      </c>
      <c r="AC62" s="5" t="n">
        <v>0</v>
      </c>
      <c r="AD62" s="5" t="n">
        <v>1</v>
      </c>
      <c r="AE62" s="5" t="n">
        <v>18.128</v>
      </c>
      <c r="AF62" s="5" t="n">
        <v>4.245</v>
      </c>
      <c r="AG62" s="5" t="n">
        <v>0</v>
      </c>
      <c r="AH62" s="5" t="n">
        <v>18.128</v>
      </c>
      <c r="AI62" s="5" t="n">
        <v>0</v>
      </c>
      <c r="AJ62" s="5" t="n">
        <v>1</v>
      </c>
      <c r="AK62" s="5" t="n">
        <v>24.988</v>
      </c>
      <c r="AL62" s="5" t="n">
        <v>13.427</v>
      </c>
      <c r="AM62" s="5" t="n">
        <v>0</v>
      </c>
      <c r="AN62" s="5" t="n">
        <v>27.987</v>
      </c>
      <c r="AO62" s="5" t="n">
        <v>0.12</v>
      </c>
      <c r="AP62" s="5" t="n">
        <v>1</v>
      </c>
      <c r="AQ62" s="5" t="n">
        <v>0.649</v>
      </c>
      <c r="AR62" s="5" t="n">
        <v>0.114</v>
      </c>
      <c r="AS62" s="5" t="n">
        <v>0.609</v>
      </c>
      <c r="AT62" s="5" t="n">
        <v>1.409</v>
      </c>
      <c r="AU62" s="5" t="n">
        <v>0.12</v>
      </c>
      <c r="AV62" s="5" t="n">
        <v>1</v>
      </c>
      <c r="AW62" s="5" t="n">
        <v>0.577</v>
      </c>
      <c r="AX62" s="5" t="n">
        <v>0.114</v>
      </c>
      <c r="AY62" s="5" t="n">
        <v>0.498</v>
      </c>
      <c r="AZ62" s="5" t="n">
        <v>1.204</v>
      </c>
      <c r="BA62" s="5" t="n">
        <v>0.12</v>
      </c>
      <c r="BB62" s="5" t="n">
        <v>1</v>
      </c>
      <c r="BC62" s="5" t="n">
        <v>0.458</v>
      </c>
      <c r="BD62" s="5" t="n">
        <v>0.114</v>
      </c>
      <c r="BE62" s="5" t="n">
        <v>0.002</v>
      </c>
      <c r="BF62" s="5" t="n">
        <v>0.515</v>
      </c>
      <c r="BG62" s="5" t="n">
        <v>0.12</v>
      </c>
      <c r="BH62" s="5" t="n">
        <v>1</v>
      </c>
      <c r="BI62" s="5" t="n">
        <v>0.491</v>
      </c>
      <c r="BJ62" s="5" t="n">
        <v>0.114</v>
      </c>
      <c r="BK62" s="5" t="n">
        <v>0.022</v>
      </c>
      <c r="BL62" s="5" t="n">
        <v>0.575</v>
      </c>
      <c r="BM62" s="5" t="n">
        <v>0.12</v>
      </c>
      <c r="BN62" s="5" t="n">
        <v>1</v>
      </c>
      <c r="BO62" s="5" t="n">
        <v>0</v>
      </c>
      <c r="BP62" s="5" t="n">
        <v>0</v>
      </c>
      <c r="BQ62" s="5" t="n">
        <v>0.253</v>
      </c>
      <c r="BR62" s="5" t="n">
        <v>0</v>
      </c>
      <c r="BS62" s="5" t="n">
        <v>1</v>
      </c>
      <c r="BT62" s="5" t="n">
        <v>0</v>
      </c>
      <c r="BU62" s="5" t="n">
        <v>0</v>
      </c>
      <c r="BV62" s="5" t="n">
        <v>0.262</v>
      </c>
      <c r="BW62" s="5" t="n">
        <v>0.12</v>
      </c>
      <c r="BX62" s="5" t="n">
        <v>1</v>
      </c>
      <c r="BY62" s="5" t="n">
        <v>11.787</v>
      </c>
      <c r="BZ62" s="5" t="n">
        <v>0</v>
      </c>
      <c r="CA62" s="5" t="n">
        <v>11.787</v>
      </c>
      <c r="CB62" s="5" t="n">
        <v>0</v>
      </c>
      <c r="CC62" s="5" t="n">
        <v>78.125</v>
      </c>
      <c r="CD62" s="5" t="n">
        <v>7.95</v>
      </c>
      <c r="CE62" s="5" t="n">
        <v>0</v>
      </c>
      <c r="CF62" s="5" t="n">
        <v>87.5</v>
      </c>
      <c r="CG62" s="5" t="n">
        <v>0.12</v>
      </c>
      <c r="CH62" s="5" t="n">
        <v>1</v>
      </c>
      <c r="CI62" s="5" t="n">
        <v>0</v>
      </c>
      <c r="CJ62" s="5" t="n">
        <v>0</v>
      </c>
      <c r="CK62" s="5" t="n">
        <v>0</v>
      </c>
      <c r="CL62" s="5" t="n">
        <v>0</v>
      </c>
      <c r="CM62" s="5" t="n">
        <v>0</v>
      </c>
      <c r="CN62" s="5" t="n">
        <v>0</v>
      </c>
      <c r="CO62" s="5" t="n">
        <v>0</v>
      </c>
      <c r="CP62" s="5" t="n">
        <v>0</v>
      </c>
      <c r="CQ62" s="5" t="n">
        <v>1.198</v>
      </c>
      <c r="CR62" s="5" t="n">
        <v>0</v>
      </c>
      <c r="CS62" s="5" t="n">
        <v>4.776</v>
      </c>
      <c r="CT62" s="5" t="n">
        <v>4.753</v>
      </c>
      <c r="CU62" s="5" t="n">
        <v>15.983</v>
      </c>
    </row>
    <row r="63">
      <c r="A63" s="5" t="inlineStr">
        <is>
          <t>BHS2022</t>
        </is>
      </c>
      <c r="B63" s="5" t="inlineStr">
        <is>
          <t>BHS</t>
        </is>
      </c>
      <c r="C63" s="5" t="inlineStr">
        <is>
          <t>BHS</t>
        </is>
      </c>
      <c r="D63" s="5" t="inlineStr">
        <is>
          <t>Bahamas, The</t>
        </is>
      </c>
      <c r="E63" s="5" t="n">
        <v>2022</v>
      </c>
      <c r="F63" s="5" t="n">
        <v>0.1</v>
      </c>
      <c r="G63" s="5" t="n">
        <v>11.72</v>
      </c>
      <c r="H63" s="5" t="n">
        <v>1.235</v>
      </c>
      <c r="I63" s="5" t="n">
        <v>0</v>
      </c>
      <c r="J63" s="5" t="n">
        <v>11.72</v>
      </c>
      <c r="K63" s="5" t="n">
        <v>0</v>
      </c>
      <c r="L63" s="5" t="n">
        <v>1</v>
      </c>
      <c r="M63" s="5" t="n">
        <v>9.782999999999999</v>
      </c>
      <c r="N63" s="5" t="n">
        <v>3.704</v>
      </c>
      <c r="O63" s="5" t="n">
        <v>0</v>
      </c>
      <c r="P63" s="5" t="n">
        <v>9.782999999999999</v>
      </c>
      <c r="Q63" s="5" t="n">
        <v>0</v>
      </c>
      <c r="R63" s="5" t="n">
        <v>1</v>
      </c>
      <c r="S63" s="5" t="n">
        <v>17.893</v>
      </c>
      <c r="T63" s="5" t="n">
        <v>7.408</v>
      </c>
      <c r="U63" s="5" t="n">
        <v>0.132</v>
      </c>
      <c r="V63" s="5" t="n">
        <v>19.683</v>
      </c>
      <c r="W63" s="5" t="n">
        <v>0.1</v>
      </c>
      <c r="X63" s="5" t="n">
        <v>1</v>
      </c>
      <c r="Y63" s="5" t="n">
        <v>30.435</v>
      </c>
      <c r="Z63" s="5" t="n">
        <v>4.094</v>
      </c>
      <c r="AA63" s="5" t="n">
        <v>0</v>
      </c>
      <c r="AB63" s="5" t="n">
        <v>30.435</v>
      </c>
      <c r="AC63" s="5" t="n">
        <v>0</v>
      </c>
      <c r="AD63" s="5" t="n">
        <v>1</v>
      </c>
      <c r="AE63" s="5" t="n">
        <v>31.67</v>
      </c>
      <c r="AF63" s="5" t="n">
        <v>7.416</v>
      </c>
      <c r="AG63" s="5" t="n">
        <v>0</v>
      </c>
      <c r="AH63" s="5" t="n">
        <v>31.67</v>
      </c>
      <c r="AI63" s="5" t="n">
        <v>0</v>
      </c>
      <c r="AJ63" s="5" t="n">
        <v>1</v>
      </c>
      <c r="AK63" s="5" t="n">
        <v>39.078</v>
      </c>
      <c r="AL63" s="5" t="n">
        <v>20.998</v>
      </c>
      <c r="AM63" s="5" t="n">
        <v>0.289</v>
      </c>
      <c r="AN63" s="5" t="n">
        <v>42.986</v>
      </c>
      <c r="AO63" s="5" t="n">
        <v>0.1</v>
      </c>
      <c r="AP63" s="5" t="n">
        <v>1</v>
      </c>
      <c r="AQ63" s="5" t="n">
        <v>0.896</v>
      </c>
      <c r="AR63" s="5" t="n">
        <v>0.123</v>
      </c>
      <c r="AS63" s="5" t="n">
        <v>0.676</v>
      </c>
      <c r="AT63" s="5" t="n">
        <v>1.716</v>
      </c>
      <c r="AU63" s="5" t="n">
        <v>0.1</v>
      </c>
      <c r="AV63" s="5" t="n">
        <v>1</v>
      </c>
      <c r="AW63" s="5" t="n">
        <v>0.89</v>
      </c>
      <c r="AX63" s="5" t="n">
        <v>0.123</v>
      </c>
      <c r="AY63" s="5" t="n">
        <v>0.545</v>
      </c>
      <c r="AZ63" s="5" t="n">
        <v>1.567</v>
      </c>
      <c r="BA63" s="5" t="n">
        <v>0.1</v>
      </c>
      <c r="BB63" s="5" t="n">
        <v>1</v>
      </c>
      <c r="BC63" s="5" t="n">
        <v>0.62</v>
      </c>
      <c r="BD63" s="5" t="n">
        <v>0.123</v>
      </c>
      <c r="BE63" s="5" t="n">
        <v>0.007</v>
      </c>
      <c r="BF63" s="5" t="n">
        <v>0.6850000000000001</v>
      </c>
      <c r="BG63" s="5" t="n">
        <v>0.1</v>
      </c>
      <c r="BH63" s="5" t="n">
        <v>1</v>
      </c>
      <c r="BI63" s="5" t="n">
        <v>0.608</v>
      </c>
      <c r="BJ63" s="5" t="n">
        <v>0.123</v>
      </c>
      <c r="BK63" s="5" t="n">
        <v>0.037</v>
      </c>
      <c r="BL63" s="5" t="n">
        <v>0.703</v>
      </c>
      <c r="BM63" s="5" t="n">
        <v>0.1</v>
      </c>
      <c r="BN63" s="5" t="n">
        <v>1</v>
      </c>
      <c r="BO63" s="5" t="n">
        <v>0</v>
      </c>
      <c r="BP63" s="5" t="n">
        <v>0</v>
      </c>
      <c r="BQ63" s="5" t="n">
        <v>0.264</v>
      </c>
      <c r="BR63" s="5" t="n">
        <v>0</v>
      </c>
      <c r="BS63" s="5" t="n">
        <v>1</v>
      </c>
      <c r="BT63" s="5" t="n">
        <v>0</v>
      </c>
      <c r="BU63" s="5" t="n">
        <v>0</v>
      </c>
      <c r="BV63" s="5" t="n">
        <v>0.273</v>
      </c>
      <c r="BW63" s="5" t="n">
        <v>0.1</v>
      </c>
      <c r="BX63" s="5" t="n">
        <v>1</v>
      </c>
      <c r="BY63" s="5" t="n">
        <v>12.729</v>
      </c>
      <c r="BZ63" s="5" t="n">
        <v>0</v>
      </c>
      <c r="CA63" s="5" t="n">
        <v>12.729</v>
      </c>
      <c r="CB63" s="5" t="n">
        <v>0</v>
      </c>
      <c r="CC63" s="5" t="n">
        <v>97.90000000000001</v>
      </c>
      <c r="CD63" s="5" t="n">
        <v>7.95</v>
      </c>
      <c r="CE63" s="5" t="n">
        <v>0.725</v>
      </c>
      <c r="CF63" s="5" t="n">
        <v>107.69</v>
      </c>
      <c r="CG63" s="5" t="n">
        <v>0.1</v>
      </c>
      <c r="CH63" s="5" t="n">
        <v>1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1.294</v>
      </c>
      <c r="CR63" s="5" t="n">
        <v>0</v>
      </c>
      <c r="CS63" s="5" t="n">
        <v>5.158</v>
      </c>
      <c r="CT63" s="5" t="n">
        <v>10.485</v>
      </c>
      <c r="CU63" s="5" t="n">
        <v>29.494</v>
      </c>
    </row>
    <row r="64">
      <c r="A64" s="5" t="inlineStr">
        <is>
          <t>BHS2023</t>
        </is>
      </c>
      <c r="B64" s="5" t="inlineStr">
        <is>
          <t>BHS</t>
        </is>
      </c>
      <c r="C64" s="5" t="inlineStr">
        <is>
          <t>BHS</t>
        </is>
      </c>
      <c r="D64" s="5" t="inlineStr">
        <is>
          <t>Bahamas, The</t>
        </is>
      </c>
      <c r="E64" s="5" t="n">
        <v>2023</v>
      </c>
      <c r="F64" s="5" t="n">
        <v>0.1</v>
      </c>
      <c r="G64" s="5" t="n">
        <v>6.147</v>
      </c>
      <c r="H64" s="5" t="n">
        <v>1.286</v>
      </c>
      <c r="I64" s="5" t="n">
        <v>0</v>
      </c>
      <c r="J64" s="5" t="n">
        <v>6.147</v>
      </c>
      <c r="K64" s="5" t="n">
        <v>0</v>
      </c>
      <c r="L64" s="5" t="n">
        <v>1</v>
      </c>
      <c r="M64" s="5" t="n">
        <v>7.886</v>
      </c>
      <c r="N64" s="5" t="n">
        <v>3.857</v>
      </c>
      <c r="O64" s="5" t="n">
        <v>0</v>
      </c>
      <c r="P64" s="5" t="n">
        <v>7.886</v>
      </c>
      <c r="Q64" s="5" t="n">
        <v>0</v>
      </c>
      <c r="R64" s="5" t="n">
        <v>1</v>
      </c>
      <c r="S64" s="5" t="n">
        <v>12.575</v>
      </c>
      <c r="T64" s="5" t="n">
        <v>7.714</v>
      </c>
      <c r="U64" s="5" t="n">
        <v>0.139</v>
      </c>
      <c r="V64" s="5" t="n">
        <v>13.833</v>
      </c>
      <c r="W64" s="5" t="n">
        <v>0.1</v>
      </c>
      <c r="X64" s="5" t="n">
        <v>1</v>
      </c>
      <c r="Y64" s="5" t="n">
        <v>12.477</v>
      </c>
      <c r="Z64" s="5" t="n">
        <v>1.678</v>
      </c>
      <c r="AA64" s="5" t="n">
        <v>0</v>
      </c>
      <c r="AB64" s="5" t="n">
        <v>12.477</v>
      </c>
      <c r="AC64" s="5" t="n">
        <v>0</v>
      </c>
      <c r="AD64" s="5" t="n">
        <v>1</v>
      </c>
      <c r="AE64" s="5" t="n">
        <v>13.763</v>
      </c>
      <c r="AF64" s="5" t="n">
        <v>3.223</v>
      </c>
      <c r="AG64" s="5" t="n">
        <v>0</v>
      </c>
      <c r="AH64" s="5" t="n">
        <v>13.763</v>
      </c>
      <c r="AI64" s="5" t="n">
        <v>0</v>
      </c>
      <c r="AJ64" s="5" t="n">
        <v>1</v>
      </c>
      <c r="AK64" s="5" t="n">
        <v>21.477</v>
      </c>
      <c r="AL64" s="5" t="n">
        <v>11.54</v>
      </c>
      <c r="AM64" s="5" t="n">
        <v>0.238</v>
      </c>
      <c r="AN64" s="5" t="n">
        <v>23.624</v>
      </c>
      <c r="AO64" s="5" t="n">
        <v>0.1</v>
      </c>
      <c r="AP64" s="5" t="n">
        <v>1</v>
      </c>
      <c r="AQ64" s="5" t="n">
        <v>0.791</v>
      </c>
      <c r="AR64" s="5" t="n">
        <v>0.129</v>
      </c>
      <c r="AS64" s="5" t="n">
        <v>0.721</v>
      </c>
      <c r="AT64" s="5" t="n">
        <v>1.645</v>
      </c>
      <c r="AU64" s="5" t="n">
        <v>0.1</v>
      </c>
      <c r="AV64" s="5" t="n">
        <v>1</v>
      </c>
      <c r="AW64" s="5" t="n">
        <v>0.618</v>
      </c>
      <c r="AX64" s="5" t="n">
        <v>0.129</v>
      </c>
      <c r="AY64" s="5" t="n">
        <v>0.598</v>
      </c>
      <c r="AZ64" s="5" t="n">
        <v>1.323</v>
      </c>
      <c r="BA64" s="5" t="n">
        <v>0.1</v>
      </c>
      <c r="BB64" s="5" t="n">
        <v>1</v>
      </c>
      <c r="BC64" s="5" t="n">
        <v>0.554</v>
      </c>
      <c r="BD64" s="5" t="n">
        <v>0.129</v>
      </c>
      <c r="BE64" s="5" t="n">
        <v>0.008</v>
      </c>
      <c r="BF64" s="5" t="n">
        <v>0.612</v>
      </c>
      <c r="BG64" s="5" t="n">
        <v>0.1</v>
      </c>
      <c r="BH64" s="5" t="n">
        <v>1</v>
      </c>
      <c r="BI64" s="5" t="n">
        <v>0.5570000000000001</v>
      </c>
      <c r="BJ64" s="5" t="n">
        <v>0.129</v>
      </c>
      <c r="BK64" s="5" t="n">
        <v>0.035</v>
      </c>
      <c r="BL64" s="5" t="n">
        <v>0.644</v>
      </c>
      <c r="BM64" s="5" t="n">
        <v>0.1</v>
      </c>
      <c r="BN64" s="5" t="n">
        <v>1</v>
      </c>
      <c r="BO64" s="5" t="n">
        <v>0</v>
      </c>
      <c r="BP64" s="5" t="n">
        <v>0</v>
      </c>
      <c r="BQ64" s="5" t="n">
        <v>0.402</v>
      </c>
      <c r="BR64" s="5" t="n">
        <v>0</v>
      </c>
      <c r="BS64" s="5" t="n">
        <v>1</v>
      </c>
      <c r="BT64" s="5" t="n">
        <v>0</v>
      </c>
      <c r="BU64" s="5" t="n">
        <v>0</v>
      </c>
      <c r="BV64" s="5" t="n">
        <v>0.41</v>
      </c>
      <c r="BW64" s="5" t="n">
        <v>0.1</v>
      </c>
      <c r="BX64" s="5" t="n">
        <v>1</v>
      </c>
      <c r="BY64" s="5" t="n">
        <v>13.254</v>
      </c>
      <c r="BZ64" s="5" t="n">
        <v>0</v>
      </c>
      <c r="CA64" s="5" t="n">
        <v>13.254</v>
      </c>
      <c r="CB64" s="5" t="n">
        <v>0</v>
      </c>
      <c r="CC64" s="5" t="n">
        <v>83.248</v>
      </c>
      <c r="CD64" s="5" t="n">
        <v>7.95</v>
      </c>
      <c r="CE64" s="5" t="n">
        <v>0.922</v>
      </c>
      <c r="CF64" s="5" t="n">
        <v>91.57299999999999</v>
      </c>
      <c r="CG64" s="5" t="n">
        <v>0.1</v>
      </c>
      <c r="CH64" s="5" t="n">
        <v>1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1.348</v>
      </c>
      <c r="CR64" s="5" t="n">
        <v>0</v>
      </c>
      <c r="CS64" s="5" t="n">
        <v>5.37</v>
      </c>
      <c r="CT64" s="5" t="n">
        <v>4.861</v>
      </c>
      <c r="CU64" s="5" t="n">
        <v>11.192</v>
      </c>
    </row>
    <row r="65">
      <c r="A65" s="5" t="inlineStr">
        <is>
          <t>BHS2024</t>
        </is>
      </c>
      <c r="B65" s="5" t="inlineStr">
        <is>
          <t>BHS</t>
        </is>
      </c>
      <c r="C65" s="5" t="inlineStr">
        <is>
          <t>BHS</t>
        </is>
      </c>
      <c r="D65" s="5" t="inlineStr">
        <is>
          <t>Bahamas, The</t>
        </is>
      </c>
      <c r="E65" s="5" t="n">
        <v>2024</v>
      </c>
      <c r="F65" s="5" t="n">
        <v>0.1</v>
      </c>
      <c r="G65" s="5" t="n">
        <v>5.575</v>
      </c>
      <c r="H65" s="5" t="n">
        <v>1.324</v>
      </c>
      <c r="I65" s="5" t="n">
        <v>0</v>
      </c>
      <c r="J65" s="5" t="n">
        <v>5.575</v>
      </c>
      <c r="K65" s="5" t="n">
        <v>0</v>
      </c>
      <c r="L65" s="5" t="n">
        <v>1</v>
      </c>
      <c r="M65" s="5" t="n">
        <v>7.124</v>
      </c>
      <c r="N65" s="5" t="n">
        <v>3.971</v>
      </c>
      <c r="O65" s="5" t="n">
        <v>0</v>
      </c>
      <c r="P65" s="5" t="n">
        <v>7.124</v>
      </c>
      <c r="Q65" s="5" t="n">
        <v>0</v>
      </c>
      <c r="R65" s="5" t="n">
        <v>1</v>
      </c>
      <c r="S65" s="5" t="n">
        <v>12.193</v>
      </c>
      <c r="T65" s="5" t="n">
        <v>7.942</v>
      </c>
      <c r="U65" s="5" t="n">
        <v>0.166</v>
      </c>
      <c r="V65" s="5" t="n">
        <v>13.412</v>
      </c>
      <c r="W65" s="5" t="n">
        <v>0.1</v>
      </c>
      <c r="X65" s="5" t="n">
        <v>1</v>
      </c>
      <c r="Y65" s="5" t="n">
        <v>11.446</v>
      </c>
      <c r="Z65" s="5" t="n">
        <v>1.54</v>
      </c>
      <c r="AA65" s="5" t="n">
        <v>0</v>
      </c>
      <c r="AB65" s="5" t="n">
        <v>11.446</v>
      </c>
      <c r="AC65" s="5" t="n">
        <v>0</v>
      </c>
      <c r="AD65" s="5" t="n">
        <v>1</v>
      </c>
      <c r="AE65" s="5" t="n">
        <v>12.77</v>
      </c>
      <c r="AF65" s="5" t="n">
        <v>2.99</v>
      </c>
      <c r="AG65" s="5" t="n">
        <v>0</v>
      </c>
      <c r="AH65" s="5" t="n">
        <v>12.77</v>
      </c>
      <c r="AI65" s="5" t="n">
        <v>0</v>
      </c>
      <c r="AJ65" s="5" t="n">
        <v>1</v>
      </c>
      <c r="AK65" s="5" t="n">
        <v>20.712</v>
      </c>
      <c r="AL65" s="5" t="n">
        <v>11.129</v>
      </c>
      <c r="AM65" s="5" t="n">
        <v>0.282</v>
      </c>
      <c r="AN65" s="5" t="n">
        <v>22.783</v>
      </c>
      <c r="AO65" s="5" t="n">
        <v>0.1</v>
      </c>
      <c r="AP65" s="5" t="n">
        <v>1</v>
      </c>
      <c r="AQ65" s="5" t="n">
        <v>0.756</v>
      </c>
      <c r="AR65" s="5" t="n">
        <v>0.132</v>
      </c>
      <c r="AS65" s="5" t="n">
        <v>0.751</v>
      </c>
      <c r="AT65" s="5" t="n">
        <v>1.635</v>
      </c>
      <c r="AU65" s="5" t="n">
        <v>0.1</v>
      </c>
      <c r="AV65" s="5" t="n">
        <v>1</v>
      </c>
      <c r="AW65" s="5" t="n">
        <v>0.655</v>
      </c>
      <c r="AX65" s="5" t="n">
        <v>0.132</v>
      </c>
      <c r="AY65" s="5" t="n">
        <v>0.617</v>
      </c>
      <c r="AZ65" s="5" t="n">
        <v>1.381</v>
      </c>
      <c r="BA65" s="5" t="n">
        <v>0.1</v>
      </c>
      <c r="BB65" s="5" t="n">
        <v>1</v>
      </c>
      <c r="BC65" s="5" t="n">
        <v>0.534</v>
      </c>
      <c r="BD65" s="5" t="n">
        <v>0.132</v>
      </c>
      <c r="BE65" s="5" t="n">
        <v>0.008999999999999999</v>
      </c>
      <c r="BF65" s="5" t="n">
        <v>0.589</v>
      </c>
      <c r="BG65" s="5" t="n">
        <v>0.1</v>
      </c>
      <c r="BH65" s="5" t="n">
        <v>1</v>
      </c>
      <c r="BI65" s="5" t="n">
        <v>0.5679999999999999</v>
      </c>
      <c r="BJ65" s="5" t="n">
        <v>0.132</v>
      </c>
      <c r="BK65" s="5" t="n">
        <v>0.037</v>
      </c>
      <c r="BL65" s="5" t="n">
        <v>0.656</v>
      </c>
      <c r="BM65" s="5" t="n">
        <v>0.1</v>
      </c>
      <c r="BN65" s="5" t="n">
        <v>1</v>
      </c>
      <c r="BO65" s="5" t="n">
        <v>0</v>
      </c>
      <c r="BP65" s="5" t="n">
        <v>0</v>
      </c>
      <c r="BQ65" s="5" t="n">
        <v>0.357</v>
      </c>
      <c r="BR65" s="5" t="n">
        <v>0</v>
      </c>
      <c r="BS65" s="5" t="n">
        <v>1</v>
      </c>
      <c r="BT65" s="5" t="n">
        <v>0</v>
      </c>
      <c r="BU65" s="5" t="n">
        <v>0</v>
      </c>
      <c r="BV65" s="5" t="n">
        <v>0.331</v>
      </c>
      <c r="BW65" s="5" t="n">
        <v>0.1</v>
      </c>
      <c r="BX65" s="5" t="n">
        <v>1</v>
      </c>
      <c r="BY65" s="5" t="n">
        <v>13.646</v>
      </c>
      <c r="BZ65" s="5" t="n">
        <v>0</v>
      </c>
      <c r="CA65" s="5" t="n">
        <v>13.646</v>
      </c>
      <c r="CB65" s="5" t="n">
        <v>0</v>
      </c>
      <c r="CC65" s="5" t="n">
        <v>82.58799999999999</v>
      </c>
      <c r="CD65" s="5" t="n">
        <v>7.95</v>
      </c>
      <c r="CE65" s="5" t="n">
        <v>1.125</v>
      </c>
      <c r="CF65" s="5" t="n">
        <v>90.84699999999999</v>
      </c>
      <c r="CG65" s="5" t="n">
        <v>0.1</v>
      </c>
      <c r="CH65" s="5" t="n">
        <v>1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1.387</v>
      </c>
      <c r="CR65" s="5" t="n">
        <v>0</v>
      </c>
      <c r="CS65" s="5" t="n">
        <v>5.529</v>
      </c>
      <c r="CT65" s="5" t="n">
        <v>4.251</v>
      </c>
      <c r="CU65" s="5" t="n">
        <v>10.123</v>
      </c>
    </row>
    <row r="66">
      <c r="A66" s="5" t="inlineStr">
        <is>
          <t>BHR2021</t>
        </is>
      </c>
      <c r="B66" s="5" t="inlineStr">
        <is>
          <t>BHR</t>
        </is>
      </c>
      <c r="C66" s="5" t="inlineStr">
        <is>
          <t>BHR</t>
        </is>
      </c>
      <c r="D66" s="5" t="inlineStr">
        <is>
          <t>Bahrain</t>
        </is>
      </c>
      <c r="E66" s="5" t="n">
        <v>2021</v>
      </c>
      <c r="F66" s="5" t="n">
        <v>0.05</v>
      </c>
      <c r="G66" s="5" t="n">
        <v>5.897</v>
      </c>
      <c r="H66" s="5" t="n">
        <v>1.143</v>
      </c>
      <c r="I66" s="5" t="n">
        <v>0.238</v>
      </c>
      <c r="J66" s="5" t="n">
        <v>6.134</v>
      </c>
      <c r="K66" s="5" t="n">
        <v>0</v>
      </c>
      <c r="L66" s="5" t="n">
        <v>1</v>
      </c>
      <c r="M66" s="5" t="n">
        <v>7.964</v>
      </c>
      <c r="N66" s="5" t="n">
        <v>3.43</v>
      </c>
      <c r="O66" s="5" t="n">
        <v>0.227</v>
      </c>
      <c r="P66" s="5" t="n">
        <v>8.191000000000001</v>
      </c>
      <c r="Q66" s="5" t="n">
        <v>0</v>
      </c>
      <c r="R66" s="5" t="n">
        <v>1</v>
      </c>
      <c r="S66" s="5" t="n">
        <v>11.613</v>
      </c>
      <c r="T66" s="5" t="n">
        <v>6.86</v>
      </c>
      <c r="U66" s="5" t="n">
        <v>0.238</v>
      </c>
      <c r="V66" s="5" t="n">
        <v>12.444</v>
      </c>
      <c r="W66" s="5" t="n">
        <v>0.05</v>
      </c>
      <c r="X66" s="5" t="n">
        <v>1</v>
      </c>
      <c r="Y66" s="5" t="n">
        <v>2.611</v>
      </c>
      <c r="Z66" s="5" t="n">
        <v>0.236</v>
      </c>
      <c r="AA66" s="5" t="n">
        <v>1.345</v>
      </c>
      <c r="AB66" s="5" t="n">
        <v>3.956</v>
      </c>
      <c r="AC66" s="5" t="n">
        <v>0</v>
      </c>
      <c r="AD66" s="5" t="n">
        <v>1</v>
      </c>
      <c r="AE66" s="5" t="n">
        <v>3.182</v>
      </c>
      <c r="AF66" s="5" t="n">
        <v>0.519</v>
      </c>
      <c r="AG66" s="5" t="n">
        <v>0.774</v>
      </c>
      <c r="AH66" s="5" t="n">
        <v>3.956</v>
      </c>
      <c r="AI66" s="5" t="n">
        <v>0</v>
      </c>
      <c r="AJ66" s="5" t="n">
        <v>1</v>
      </c>
      <c r="AK66" s="5" t="n">
        <v>6.612</v>
      </c>
      <c r="AL66" s="5" t="n">
        <v>2.78</v>
      </c>
      <c r="AM66" s="5" t="n">
        <v>-3.094</v>
      </c>
      <c r="AN66" s="5" t="n">
        <v>3.694</v>
      </c>
      <c r="AO66" s="5" t="n">
        <v>0</v>
      </c>
      <c r="AP66" s="5" t="n">
        <v>0</v>
      </c>
      <c r="AQ66" s="5" t="n">
        <v>0.621</v>
      </c>
      <c r="AR66" s="5" t="n">
        <v>0.114</v>
      </c>
      <c r="AS66" s="5" t="n">
        <v>-0.2</v>
      </c>
      <c r="AT66" s="5" t="n">
        <v>0.42</v>
      </c>
      <c r="AU66" s="5" t="n">
        <v>0</v>
      </c>
      <c r="AV66" s="5" t="n">
        <v>0</v>
      </c>
      <c r="AW66" s="5" t="n">
        <v>0.593</v>
      </c>
      <c r="AX66" s="5" t="n">
        <v>0.114</v>
      </c>
      <c r="AY66" s="5" t="n">
        <v>-0.115</v>
      </c>
      <c r="AZ66" s="5" t="n">
        <v>0.478</v>
      </c>
      <c r="BA66" s="5" t="n">
        <v>0</v>
      </c>
      <c r="BB66" s="5" t="n">
        <v>0</v>
      </c>
      <c r="BC66" s="5" t="n">
        <v>0.44</v>
      </c>
      <c r="BD66" s="5" t="n">
        <v>0.114</v>
      </c>
      <c r="BE66" s="5" t="n">
        <v>-0.289</v>
      </c>
      <c r="BF66" s="5" t="n">
        <v>0.151</v>
      </c>
      <c r="BG66" s="5" t="n">
        <v>0</v>
      </c>
      <c r="BH66" s="5" t="n">
        <v>0</v>
      </c>
      <c r="BI66" s="5" t="n">
        <v>0.5600000000000001</v>
      </c>
      <c r="BJ66" s="5" t="n">
        <v>0.114</v>
      </c>
      <c r="BK66" s="5" t="n">
        <v>-0.132</v>
      </c>
      <c r="BL66" s="5" t="n">
        <v>0.428</v>
      </c>
      <c r="BM66" s="5" t="n">
        <v>0</v>
      </c>
      <c r="BN66" s="5" t="n">
        <v>0</v>
      </c>
      <c r="BO66" s="5" t="n">
        <v>0</v>
      </c>
      <c r="BP66" s="5" t="n">
        <v>-0.054</v>
      </c>
      <c r="BQ66" s="5" t="n">
        <v>0.037</v>
      </c>
      <c r="BR66" s="5" t="n">
        <v>0</v>
      </c>
      <c r="BS66" s="5" t="n">
        <v>0.167</v>
      </c>
      <c r="BT66" s="5" t="n">
        <v>0</v>
      </c>
      <c r="BU66" s="5" t="n">
        <v>-0.054</v>
      </c>
      <c r="BV66" s="5" t="n">
        <v>0.021</v>
      </c>
      <c r="BW66" s="5" t="n">
        <v>0</v>
      </c>
      <c r="BX66" s="5" t="n">
        <v>0.167</v>
      </c>
      <c r="BY66" s="5" t="n">
        <v>11.787</v>
      </c>
      <c r="BZ66" s="5" t="n">
        <v>0</v>
      </c>
      <c r="CA66" s="5" t="n">
        <v>11.787</v>
      </c>
      <c r="CB66" s="5" t="n">
        <v>0</v>
      </c>
      <c r="CC66" s="5" t="n">
        <v>81.69499999999999</v>
      </c>
      <c r="CD66" s="5" t="n">
        <v>7.95</v>
      </c>
      <c r="CE66" s="5" t="n">
        <v>-17.258</v>
      </c>
      <c r="CF66" s="5" t="n">
        <v>67.66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0</v>
      </c>
      <c r="CM66" s="5" t="n">
        <v>0</v>
      </c>
      <c r="CN66" s="5" t="n">
        <v>0</v>
      </c>
      <c r="CO66" s="5" t="n">
        <v>0</v>
      </c>
      <c r="CP66" s="5" t="n">
        <v>0</v>
      </c>
      <c r="CQ66" s="5" t="n">
        <v>1.198</v>
      </c>
      <c r="CR66" s="5" t="n">
        <v>1</v>
      </c>
      <c r="CS66" s="5" t="n">
        <v>2.039</v>
      </c>
      <c r="CT66" s="5" t="n">
        <v>4.753</v>
      </c>
      <c r="CU66" s="5" t="n">
        <v>14.162</v>
      </c>
    </row>
    <row r="67">
      <c r="A67" s="5" t="inlineStr">
        <is>
          <t>BHR2022</t>
        </is>
      </c>
      <c r="B67" s="5" t="inlineStr">
        <is>
          <t>BHR</t>
        </is>
      </c>
      <c r="C67" s="5" t="inlineStr">
        <is>
          <t>BHR</t>
        </is>
      </c>
      <c r="D67" s="5" t="inlineStr">
        <is>
          <t>Bahrain</t>
        </is>
      </c>
      <c r="E67" s="5" t="n">
        <v>2022</v>
      </c>
      <c r="F67" s="5" t="n">
        <v>0.1</v>
      </c>
      <c r="G67" s="5" t="n">
        <v>11.72</v>
      </c>
      <c r="H67" s="5" t="n">
        <v>1.235</v>
      </c>
      <c r="I67" s="5" t="n">
        <v>0.5659999999999999</v>
      </c>
      <c r="J67" s="5" t="n">
        <v>12.286</v>
      </c>
      <c r="K67" s="5" t="n">
        <v>0</v>
      </c>
      <c r="L67" s="5" t="n">
        <v>1</v>
      </c>
      <c r="M67" s="5" t="n">
        <v>9.782999999999999</v>
      </c>
      <c r="N67" s="5" t="n">
        <v>3.704</v>
      </c>
      <c r="O67" s="5" t="n">
        <v>0.328</v>
      </c>
      <c r="P67" s="5" t="n">
        <v>10.111</v>
      </c>
      <c r="Q67" s="5" t="n">
        <v>0</v>
      </c>
      <c r="R67" s="5" t="n">
        <v>1</v>
      </c>
      <c r="S67" s="5" t="n">
        <v>17.893</v>
      </c>
      <c r="T67" s="5" t="n">
        <v>7.408</v>
      </c>
      <c r="U67" s="5" t="n">
        <v>0.703</v>
      </c>
      <c r="V67" s="5" t="n">
        <v>20.305</v>
      </c>
      <c r="W67" s="5" t="n">
        <v>0.1</v>
      </c>
      <c r="X67" s="5" t="n">
        <v>1</v>
      </c>
      <c r="Y67" s="5" t="n">
        <v>2.819</v>
      </c>
      <c r="Z67" s="5" t="n">
        <v>0.255</v>
      </c>
      <c r="AA67" s="5" t="n">
        <v>1.401</v>
      </c>
      <c r="AB67" s="5" t="n">
        <v>4.22</v>
      </c>
      <c r="AC67" s="5" t="n">
        <v>0</v>
      </c>
      <c r="AD67" s="5" t="n">
        <v>1</v>
      </c>
      <c r="AE67" s="5" t="n">
        <v>3.437</v>
      </c>
      <c r="AF67" s="5" t="n">
        <v>0.5610000000000001</v>
      </c>
      <c r="AG67" s="5" t="n">
        <v>0.783</v>
      </c>
      <c r="AH67" s="5" t="n">
        <v>4.22</v>
      </c>
      <c r="AI67" s="5" t="n">
        <v>0</v>
      </c>
      <c r="AJ67" s="5" t="n">
        <v>1</v>
      </c>
      <c r="AK67" s="5" t="n">
        <v>7.141</v>
      </c>
      <c r="AL67" s="5" t="n">
        <v>3.002</v>
      </c>
      <c r="AM67" s="5" t="n">
        <v>-3.783</v>
      </c>
      <c r="AN67" s="5" t="n">
        <v>3.694</v>
      </c>
      <c r="AO67" s="5" t="n">
        <v>0</v>
      </c>
      <c r="AP67" s="5" t="n">
        <v>0</v>
      </c>
      <c r="AQ67" s="5" t="n">
        <v>0.847</v>
      </c>
      <c r="AR67" s="5" t="n">
        <v>0.123</v>
      </c>
      <c r="AS67" s="5" t="n">
        <v>-0.427</v>
      </c>
      <c r="AT67" s="5" t="n">
        <v>0.42</v>
      </c>
      <c r="AU67" s="5" t="n">
        <v>0</v>
      </c>
      <c r="AV67" s="5" t="n">
        <v>0</v>
      </c>
      <c r="AW67" s="5" t="n">
        <v>0.947</v>
      </c>
      <c r="AX67" s="5" t="n">
        <v>0.123</v>
      </c>
      <c r="AY67" s="5" t="n">
        <v>-0.469</v>
      </c>
      <c r="AZ67" s="5" t="n">
        <v>0.478</v>
      </c>
      <c r="BA67" s="5" t="n">
        <v>0</v>
      </c>
      <c r="BB67" s="5" t="n">
        <v>0</v>
      </c>
      <c r="BC67" s="5" t="n">
        <v>0.589</v>
      </c>
      <c r="BD67" s="5" t="n">
        <v>0.123</v>
      </c>
      <c r="BE67" s="5" t="n">
        <v>-0.438</v>
      </c>
      <c r="BF67" s="5" t="n">
        <v>0.151</v>
      </c>
      <c r="BG67" s="5" t="n">
        <v>0</v>
      </c>
      <c r="BH67" s="5" t="n">
        <v>0</v>
      </c>
      <c r="BI67" s="5" t="n">
        <v>0.6889999999999999</v>
      </c>
      <c r="BJ67" s="5" t="n">
        <v>0.123</v>
      </c>
      <c r="BK67" s="5" t="n">
        <v>-0.261</v>
      </c>
      <c r="BL67" s="5" t="n">
        <v>0.428</v>
      </c>
      <c r="BM67" s="5" t="n">
        <v>0</v>
      </c>
      <c r="BN67" s="5" t="n">
        <v>0</v>
      </c>
      <c r="BO67" s="5" t="n">
        <v>0</v>
      </c>
      <c r="BP67" s="5" t="n">
        <v>-0.1</v>
      </c>
      <c r="BQ67" s="5" t="n">
        <v>0.037</v>
      </c>
      <c r="BR67" s="5" t="n">
        <v>0</v>
      </c>
      <c r="BS67" s="5" t="n">
        <v>0.167</v>
      </c>
      <c r="BT67" s="5" t="n">
        <v>0</v>
      </c>
      <c r="BU67" s="5" t="n">
        <v>-0.1</v>
      </c>
      <c r="BV67" s="5" t="n">
        <v>0.021</v>
      </c>
      <c r="BW67" s="5" t="n">
        <v>0</v>
      </c>
      <c r="BX67" s="5" t="n">
        <v>0.167</v>
      </c>
      <c r="BY67" s="5" t="n">
        <v>12.729</v>
      </c>
      <c r="BZ67" s="5" t="n">
        <v>0</v>
      </c>
      <c r="CA67" s="5" t="n">
        <v>12.729</v>
      </c>
      <c r="CB67" s="5" t="n">
        <v>0</v>
      </c>
      <c r="CC67" s="5" t="n">
        <v>102.477</v>
      </c>
      <c r="CD67" s="5" t="n">
        <v>7.95</v>
      </c>
      <c r="CE67" s="5" t="n">
        <v>-40.968</v>
      </c>
      <c r="CF67" s="5" t="n">
        <v>67.66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1.294</v>
      </c>
      <c r="CR67" s="5" t="n">
        <v>1</v>
      </c>
      <c r="CS67" s="5" t="n">
        <v>2.202</v>
      </c>
      <c r="CT67" s="5" t="n">
        <v>10.485</v>
      </c>
      <c r="CU67" s="5" t="n">
        <v>30.326</v>
      </c>
    </row>
    <row r="68">
      <c r="A68" s="5" t="inlineStr">
        <is>
          <t>BHR2023</t>
        </is>
      </c>
      <c r="B68" s="5" t="inlineStr">
        <is>
          <t>BHR</t>
        </is>
      </c>
      <c r="C68" s="5" t="inlineStr">
        <is>
          <t>BHR</t>
        </is>
      </c>
      <c r="D68" s="5" t="inlineStr">
        <is>
          <t>Bahrain</t>
        </is>
      </c>
      <c r="E68" s="5" t="n">
        <v>2023</v>
      </c>
      <c r="F68" s="5" t="n">
        <v>0.1</v>
      </c>
      <c r="G68" s="5" t="n">
        <v>6.147</v>
      </c>
      <c r="H68" s="5" t="n">
        <v>1.286</v>
      </c>
      <c r="I68" s="5" t="n">
        <v>0.273</v>
      </c>
      <c r="J68" s="5" t="n">
        <v>6.42</v>
      </c>
      <c r="K68" s="5" t="n">
        <v>0</v>
      </c>
      <c r="L68" s="5" t="n">
        <v>1</v>
      </c>
      <c r="M68" s="5" t="n">
        <v>7.886</v>
      </c>
      <c r="N68" s="5" t="n">
        <v>3.857</v>
      </c>
      <c r="O68" s="5" t="n">
        <v>0.227</v>
      </c>
      <c r="P68" s="5" t="n">
        <v>8.113</v>
      </c>
      <c r="Q68" s="5" t="n">
        <v>0</v>
      </c>
      <c r="R68" s="5" t="n">
        <v>1</v>
      </c>
      <c r="S68" s="5" t="n">
        <v>12.575</v>
      </c>
      <c r="T68" s="5" t="n">
        <v>7.714</v>
      </c>
      <c r="U68" s="5" t="n">
        <v>0.416</v>
      </c>
      <c r="V68" s="5" t="n">
        <v>14.133</v>
      </c>
      <c r="W68" s="5" t="n">
        <v>0.1</v>
      </c>
      <c r="X68" s="5" t="n">
        <v>1</v>
      </c>
      <c r="Y68" s="5" t="n">
        <v>2.936</v>
      </c>
      <c r="Z68" s="5" t="n">
        <v>0.266</v>
      </c>
      <c r="AA68" s="5" t="n">
        <v>1.284</v>
      </c>
      <c r="AB68" s="5" t="n">
        <v>4.22</v>
      </c>
      <c r="AC68" s="5" t="n">
        <v>0</v>
      </c>
      <c r="AD68" s="5" t="n">
        <v>1</v>
      </c>
      <c r="AE68" s="5" t="n">
        <v>3.579</v>
      </c>
      <c r="AF68" s="5" t="n">
        <v>0.584</v>
      </c>
      <c r="AG68" s="5" t="n">
        <v>0.641</v>
      </c>
      <c r="AH68" s="5" t="n">
        <v>4.22</v>
      </c>
      <c r="AI68" s="5" t="n">
        <v>0</v>
      </c>
      <c r="AJ68" s="5" t="n">
        <v>1</v>
      </c>
      <c r="AK68" s="5" t="n">
        <v>7.436</v>
      </c>
      <c r="AL68" s="5" t="n">
        <v>3.126</v>
      </c>
      <c r="AM68" s="5" t="n">
        <v>-4.078</v>
      </c>
      <c r="AN68" s="5" t="n">
        <v>3.694</v>
      </c>
      <c r="AO68" s="5" t="n">
        <v>0</v>
      </c>
      <c r="AP68" s="5" t="n">
        <v>0</v>
      </c>
      <c r="AQ68" s="5" t="n">
        <v>0.749</v>
      </c>
      <c r="AR68" s="5" t="n">
        <v>0.129</v>
      </c>
      <c r="AS68" s="5" t="n">
        <v>-0.329</v>
      </c>
      <c r="AT68" s="5" t="n">
        <v>0.42</v>
      </c>
      <c r="AU68" s="5" t="n">
        <v>0</v>
      </c>
      <c r="AV68" s="5" t="n">
        <v>0</v>
      </c>
      <c r="AW68" s="5" t="n">
        <v>0.783</v>
      </c>
      <c r="AX68" s="5" t="n">
        <v>0.129</v>
      </c>
      <c r="AY68" s="5" t="n">
        <v>-0.305</v>
      </c>
      <c r="AZ68" s="5" t="n">
        <v>0.478</v>
      </c>
      <c r="BA68" s="5" t="n">
        <v>0</v>
      </c>
      <c r="BB68" s="5" t="n">
        <v>0</v>
      </c>
      <c r="BC68" s="5" t="n">
        <v>0.527</v>
      </c>
      <c r="BD68" s="5" t="n">
        <v>0.129</v>
      </c>
      <c r="BE68" s="5" t="n">
        <v>-0.374</v>
      </c>
      <c r="BF68" s="5" t="n">
        <v>0.153</v>
      </c>
      <c r="BG68" s="5" t="n">
        <v>0</v>
      </c>
      <c r="BH68" s="5" t="n">
        <v>0</v>
      </c>
      <c r="BI68" s="5" t="n">
        <v>0.64</v>
      </c>
      <c r="BJ68" s="5" t="n">
        <v>0.129</v>
      </c>
      <c r="BK68" s="5" t="n">
        <v>-0.215</v>
      </c>
      <c r="BL68" s="5" t="n">
        <v>0.425</v>
      </c>
      <c r="BM68" s="5" t="n">
        <v>0</v>
      </c>
      <c r="BN68" s="5" t="n">
        <v>0</v>
      </c>
      <c r="BO68" s="5" t="n">
        <v>0</v>
      </c>
      <c r="BP68" s="5" t="n">
        <v>-0.07199999999999999</v>
      </c>
      <c r="BQ68" s="5" t="n">
        <v>0.037</v>
      </c>
      <c r="BR68" s="5" t="n">
        <v>0</v>
      </c>
      <c r="BS68" s="5" t="n">
        <v>0.167</v>
      </c>
      <c r="BT68" s="5" t="n">
        <v>0</v>
      </c>
      <c r="BU68" s="5" t="n">
        <v>-0.07199999999999999</v>
      </c>
      <c r="BV68" s="5" t="n">
        <v>0.021</v>
      </c>
      <c r="BW68" s="5" t="n">
        <v>0</v>
      </c>
      <c r="BX68" s="5" t="n">
        <v>0.167</v>
      </c>
      <c r="BY68" s="5" t="n">
        <v>13.254</v>
      </c>
      <c r="BZ68" s="5" t="n">
        <v>0</v>
      </c>
      <c r="CA68" s="5" t="n">
        <v>13.254</v>
      </c>
      <c r="CB68" s="5" t="n">
        <v>0</v>
      </c>
      <c r="CC68" s="5" t="n">
        <v>87.07899999999999</v>
      </c>
      <c r="CD68" s="5" t="n">
        <v>7.95</v>
      </c>
      <c r="CE68" s="5" t="n">
        <v>-25.57</v>
      </c>
      <c r="CF68" s="5" t="n">
        <v>67.66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0</v>
      </c>
      <c r="CM68" s="5" t="n">
        <v>0</v>
      </c>
      <c r="CN68" s="5" t="n">
        <v>0</v>
      </c>
      <c r="CO68" s="5" t="n">
        <v>0</v>
      </c>
      <c r="CP68" s="5" t="n">
        <v>0</v>
      </c>
      <c r="CQ68" s="5" t="n">
        <v>1.348</v>
      </c>
      <c r="CR68" s="5" t="n">
        <v>1</v>
      </c>
      <c r="CS68" s="5" t="n">
        <v>2.293</v>
      </c>
      <c r="CT68" s="5" t="n">
        <v>4.861</v>
      </c>
      <c r="CU68" s="5" t="n">
        <v>10.622</v>
      </c>
    </row>
    <row r="69">
      <c r="A69" s="5" t="inlineStr">
        <is>
          <t>BHR2024</t>
        </is>
      </c>
      <c r="B69" s="5" t="inlineStr">
        <is>
          <t>BHR</t>
        </is>
      </c>
      <c r="C69" s="5" t="inlineStr">
        <is>
          <t>BHR</t>
        </is>
      </c>
      <c r="D69" s="5" t="inlineStr">
        <is>
          <t>Bahrain</t>
        </is>
      </c>
      <c r="E69" s="5" t="n">
        <v>2024</v>
      </c>
      <c r="F69" s="5" t="n">
        <v>0.1</v>
      </c>
      <c r="G69" s="5" t="n">
        <v>5.575</v>
      </c>
      <c r="H69" s="5" t="n">
        <v>1.324</v>
      </c>
      <c r="I69" s="5" t="n">
        <v>0.213</v>
      </c>
      <c r="J69" s="5" t="n">
        <v>5.787</v>
      </c>
      <c r="K69" s="5" t="n">
        <v>0</v>
      </c>
      <c r="L69" s="5" t="n">
        <v>1</v>
      </c>
      <c r="M69" s="5" t="n">
        <v>7.124</v>
      </c>
      <c r="N69" s="5" t="n">
        <v>3.971</v>
      </c>
      <c r="O69" s="5" t="n">
        <v>0.158</v>
      </c>
      <c r="P69" s="5" t="n">
        <v>7.281</v>
      </c>
      <c r="Q69" s="5" t="n">
        <v>0</v>
      </c>
      <c r="R69" s="5" t="n">
        <v>1</v>
      </c>
      <c r="S69" s="5" t="n">
        <v>12.193</v>
      </c>
      <c r="T69" s="5" t="n">
        <v>7.942</v>
      </c>
      <c r="U69" s="5" t="n">
        <v>0.382</v>
      </c>
      <c r="V69" s="5" t="n">
        <v>13.646</v>
      </c>
      <c r="W69" s="5" t="n">
        <v>0.1</v>
      </c>
      <c r="X69" s="5" t="n">
        <v>1</v>
      </c>
      <c r="Y69" s="5" t="n">
        <v>3.022</v>
      </c>
      <c r="Z69" s="5" t="n">
        <v>0.274</v>
      </c>
      <c r="AA69" s="5" t="n">
        <v>1.198</v>
      </c>
      <c r="AB69" s="5" t="n">
        <v>4.22</v>
      </c>
      <c r="AC69" s="5" t="n">
        <v>0</v>
      </c>
      <c r="AD69" s="5" t="n">
        <v>1</v>
      </c>
      <c r="AE69" s="5" t="n">
        <v>3.684</v>
      </c>
      <c r="AF69" s="5" t="n">
        <v>0.601</v>
      </c>
      <c r="AG69" s="5" t="n">
        <v>0.536</v>
      </c>
      <c r="AH69" s="5" t="n">
        <v>4.22</v>
      </c>
      <c r="AI69" s="5" t="n">
        <v>0</v>
      </c>
      <c r="AJ69" s="5" t="n">
        <v>1</v>
      </c>
      <c r="AK69" s="5" t="n">
        <v>7.655</v>
      </c>
      <c r="AL69" s="5" t="n">
        <v>3.218</v>
      </c>
      <c r="AM69" s="5" t="n">
        <v>-4.297</v>
      </c>
      <c r="AN69" s="5" t="n">
        <v>3.694</v>
      </c>
      <c r="AO69" s="5" t="n">
        <v>0</v>
      </c>
      <c r="AP69" s="5" t="n">
        <v>0</v>
      </c>
      <c r="AQ69" s="5" t="n">
        <v>0.72</v>
      </c>
      <c r="AR69" s="5" t="n">
        <v>0.132</v>
      </c>
      <c r="AS69" s="5" t="n">
        <v>-0.3</v>
      </c>
      <c r="AT69" s="5" t="n">
        <v>0.42</v>
      </c>
      <c r="AU69" s="5" t="n">
        <v>0</v>
      </c>
      <c r="AV69" s="5" t="n">
        <v>0</v>
      </c>
      <c r="AW69" s="5" t="n">
        <v>0.734</v>
      </c>
      <c r="AX69" s="5" t="n">
        <v>0.132</v>
      </c>
      <c r="AY69" s="5" t="n">
        <v>-0.256</v>
      </c>
      <c r="AZ69" s="5" t="n">
        <v>0.478</v>
      </c>
      <c r="BA69" s="5" t="n">
        <v>0</v>
      </c>
      <c r="BB69" s="5" t="n">
        <v>0</v>
      </c>
      <c r="BC69" s="5" t="n">
        <v>0.51</v>
      </c>
      <c r="BD69" s="5" t="n">
        <v>0.132</v>
      </c>
      <c r="BE69" s="5" t="n">
        <v>-0.357</v>
      </c>
      <c r="BF69" s="5" t="n">
        <v>0.153</v>
      </c>
      <c r="BG69" s="5" t="n">
        <v>0</v>
      </c>
      <c r="BH69" s="5" t="n">
        <v>0</v>
      </c>
      <c r="BI69" s="5" t="n">
        <v>0.652</v>
      </c>
      <c r="BJ69" s="5" t="n">
        <v>0.132</v>
      </c>
      <c r="BK69" s="5" t="n">
        <v>-0.227</v>
      </c>
      <c r="BL69" s="5" t="n">
        <v>0.425</v>
      </c>
      <c r="BM69" s="5" t="n">
        <v>0</v>
      </c>
      <c r="BN69" s="5" t="n">
        <v>0</v>
      </c>
      <c r="BO69" s="5" t="n">
        <v>0</v>
      </c>
      <c r="BP69" s="5" t="n">
        <v>-0.074</v>
      </c>
      <c r="BQ69" s="5" t="n">
        <v>0.037</v>
      </c>
      <c r="BR69" s="5" t="n">
        <v>0</v>
      </c>
      <c r="BS69" s="5" t="n">
        <v>0.167</v>
      </c>
      <c r="BT69" s="5" t="n">
        <v>0</v>
      </c>
      <c r="BU69" s="5" t="n">
        <v>-0.074</v>
      </c>
      <c r="BV69" s="5" t="n">
        <v>0.021</v>
      </c>
      <c r="BW69" s="5" t="n">
        <v>0</v>
      </c>
      <c r="BX69" s="5" t="n">
        <v>0.167</v>
      </c>
      <c r="BY69" s="5" t="n">
        <v>13.646</v>
      </c>
      <c r="BZ69" s="5" t="n">
        <v>0</v>
      </c>
      <c r="CA69" s="5" t="n">
        <v>13.646</v>
      </c>
      <c r="CB69" s="5" t="n">
        <v>0</v>
      </c>
      <c r="CC69" s="5" t="n">
        <v>86.38500000000001</v>
      </c>
      <c r="CD69" s="5" t="n">
        <v>7.95</v>
      </c>
      <c r="CE69" s="5" t="n">
        <v>-24.877</v>
      </c>
      <c r="CF69" s="5" t="n">
        <v>67.66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1.387</v>
      </c>
      <c r="CR69" s="5" t="n">
        <v>1</v>
      </c>
      <c r="CS69" s="5" t="n">
        <v>2.361</v>
      </c>
      <c r="CT69" s="5" t="n">
        <v>4.251</v>
      </c>
      <c r="CU69" s="5" t="n">
        <v>9.167999999999999</v>
      </c>
    </row>
    <row r="70">
      <c r="A70" s="5" t="inlineStr">
        <is>
          <t>BGD2021</t>
        </is>
      </c>
      <c r="B70" s="5" t="inlineStr">
        <is>
          <t>BGD</t>
        </is>
      </c>
      <c r="C70" s="5" t="inlineStr">
        <is>
          <t>BGD</t>
        </is>
      </c>
      <c r="D70" s="5" t="inlineStr">
        <is>
          <t>Bangladesh</t>
        </is>
      </c>
      <c r="E70" s="5" t="n">
        <v>2021</v>
      </c>
      <c r="F70" s="5" t="n">
        <v>0.15</v>
      </c>
      <c r="G70" s="5" t="n">
        <v>4.388</v>
      </c>
      <c r="H70" s="5" t="n">
        <v>1.074</v>
      </c>
      <c r="I70" s="5" t="n">
        <v>0</v>
      </c>
      <c r="J70" s="5" t="n">
        <v>4.388</v>
      </c>
      <c r="K70" s="5" t="n">
        <v>0</v>
      </c>
      <c r="L70" s="5" t="n">
        <v>1</v>
      </c>
      <c r="M70" s="5" t="n">
        <v>7.355</v>
      </c>
      <c r="N70" s="5" t="n">
        <v>3.223</v>
      </c>
      <c r="O70" s="5" t="n">
        <v>0.199</v>
      </c>
      <c r="P70" s="5" t="n">
        <v>7.554</v>
      </c>
      <c r="Q70" s="5" t="n">
        <v>0</v>
      </c>
      <c r="R70" s="5" t="n">
        <v>1</v>
      </c>
      <c r="S70" s="5" t="n">
        <v>9.76</v>
      </c>
      <c r="T70" s="5" t="n">
        <v>6.446</v>
      </c>
      <c r="U70" s="5" t="n">
        <v>0</v>
      </c>
      <c r="V70" s="5" t="n">
        <v>11.223</v>
      </c>
      <c r="W70" s="5" t="n">
        <v>0.15</v>
      </c>
      <c r="X70" s="5" t="n">
        <v>1</v>
      </c>
      <c r="Y70" s="5" t="n">
        <v>4.113</v>
      </c>
      <c r="Z70" s="5" t="n">
        <v>0.278</v>
      </c>
      <c r="AA70" s="5" t="n">
        <v>-2.759</v>
      </c>
      <c r="AB70" s="5" t="n">
        <v>1.354</v>
      </c>
      <c r="AC70" s="5" t="n">
        <v>0</v>
      </c>
      <c r="AD70" s="5" t="n">
        <v>0</v>
      </c>
      <c r="AE70" s="5" t="n">
        <v>4.796</v>
      </c>
      <c r="AF70" s="5" t="n">
        <v>0.601</v>
      </c>
      <c r="AG70" s="5" t="n">
        <v>-1.54</v>
      </c>
      <c r="AH70" s="5" t="n">
        <v>3.256</v>
      </c>
      <c r="AI70" s="5" t="n">
        <v>0</v>
      </c>
      <c r="AJ70" s="5" t="n">
        <v>1</v>
      </c>
      <c r="AK70" s="5" t="n">
        <v>8.894</v>
      </c>
      <c r="AL70" s="5" t="n">
        <v>3.159</v>
      </c>
      <c r="AM70" s="5" t="n">
        <v>-5.56</v>
      </c>
      <c r="AN70" s="5" t="n">
        <v>3.834</v>
      </c>
      <c r="AO70" s="5" t="n">
        <v>0</v>
      </c>
      <c r="AP70" s="5" t="n">
        <v>0</v>
      </c>
      <c r="AQ70" s="5" t="n">
        <v>0.621</v>
      </c>
      <c r="AR70" s="5" t="n">
        <v>0.114</v>
      </c>
      <c r="AS70" s="5" t="n">
        <v>0.289</v>
      </c>
      <c r="AT70" s="5" t="n">
        <v>1.046</v>
      </c>
      <c r="AU70" s="5" t="n">
        <v>0.15</v>
      </c>
      <c r="AV70" s="5" t="n">
        <v>1</v>
      </c>
      <c r="AW70" s="5" t="n">
        <v>0.593</v>
      </c>
      <c r="AX70" s="5" t="n">
        <v>0.114</v>
      </c>
      <c r="AY70" s="5" t="n">
        <v>0.225</v>
      </c>
      <c r="AZ70" s="5" t="n">
        <v>0.9399999999999999</v>
      </c>
      <c r="BA70" s="5" t="n">
        <v>0.15</v>
      </c>
      <c r="BB70" s="5" t="n">
        <v>1</v>
      </c>
      <c r="BC70" s="5" t="n">
        <v>0.44</v>
      </c>
      <c r="BD70" s="5" t="n">
        <v>0.114</v>
      </c>
      <c r="BE70" s="5" t="n">
        <v>-0.138</v>
      </c>
      <c r="BF70" s="5" t="n">
        <v>0.323</v>
      </c>
      <c r="BG70" s="5" t="n">
        <v>0</v>
      </c>
      <c r="BH70" s="5" t="n">
        <v>0</v>
      </c>
      <c r="BI70" s="5" t="n">
        <v>0.5600000000000001</v>
      </c>
      <c r="BJ70" s="5" t="n">
        <v>0.114</v>
      </c>
      <c r="BK70" s="5" t="n">
        <v>0.243</v>
      </c>
      <c r="BL70" s="5" t="n">
        <v>0.9399999999999999</v>
      </c>
      <c r="BM70" s="5" t="n">
        <v>0.17</v>
      </c>
      <c r="BN70" s="5" t="n">
        <v>1</v>
      </c>
      <c r="BO70" s="5" t="n">
        <v>0</v>
      </c>
      <c r="BP70" s="5" t="n">
        <v>-0.032</v>
      </c>
      <c r="BQ70" s="5" t="n">
        <v>0.099</v>
      </c>
      <c r="BR70" s="5" t="n">
        <v>0</v>
      </c>
      <c r="BS70" s="5" t="n">
        <v>0.833</v>
      </c>
      <c r="BT70" s="5" t="n">
        <v>0</v>
      </c>
      <c r="BU70" s="5" t="n">
        <v>-0.032</v>
      </c>
      <c r="BV70" s="5" t="n">
        <v>0.073</v>
      </c>
      <c r="BW70" s="5" t="n">
        <v>0</v>
      </c>
      <c r="BX70" s="5" t="n">
        <v>0.833</v>
      </c>
      <c r="BY70" s="5" t="n">
        <v>11.787</v>
      </c>
      <c r="BZ70" s="5" t="n">
        <v>0</v>
      </c>
      <c r="CA70" s="5" t="n">
        <v>11.787</v>
      </c>
      <c r="CB70" s="5" t="n">
        <v>0</v>
      </c>
      <c r="CC70" s="5" t="n">
        <v>81.69499999999999</v>
      </c>
      <c r="CD70" s="5" t="n">
        <v>7.95</v>
      </c>
      <c r="CE70" s="5" t="n">
        <v>10.145</v>
      </c>
      <c r="CF70" s="5" t="n">
        <v>107.453</v>
      </c>
      <c r="CG70" s="5" t="n">
        <v>0.17</v>
      </c>
      <c r="CH70" s="5" t="n">
        <v>1</v>
      </c>
      <c r="CI70" s="5" t="n">
        <v>0</v>
      </c>
      <c r="CJ70" s="5" t="n">
        <v>0</v>
      </c>
      <c r="CK70" s="5" t="n">
        <v>0</v>
      </c>
      <c r="CL70" s="5" t="n">
        <v>0</v>
      </c>
      <c r="CM70" s="5" t="n">
        <v>1.051</v>
      </c>
      <c r="CN70" s="5" t="n">
        <v>0</v>
      </c>
      <c r="CO70" s="5" t="n">
        <v>0</v>
      </c>
      <c r="CP70" s="5" t="n">
        <v>0.121</v>
      </c>
      <c r="CQ70" s="5" t="n">
        <v>1.198</v>
      </c>
      <c r="CR70" s="5" t="n">
        <v>0.805</v>
      </c>
      <c r="CS70" s="5" t="n">
        <v>1.314</v>
      </c>
      <c r="CT70" s="5" t="n">
        <v>3.604</v>
      </c>
      <c r="CU70" s="5" t="n">
        <v>16.843</v>
      </c>
    </row>
    <row r="71">
      <c r="A71" s="5" t="inlineStr">
        <is>
          <t>BGD2022</t>
        </is>
      </c>
      <c r="B71" s="5" t="inlineStr">
        <is>
          <t>BGD</t>
        </is>
      </c>
      <c r="C71" s="5" t="inlineStr">
        <is>
          <t>BGD</t>
        </is>
      </c>
      <c r="D71" s="5" t="inlineStr">
        <is>
          <t>Bangladesh</t>
        </is>
      </c>
      <c r="E71" s="5" t="n">
        <v>2022</v>
      </c>
      <c r="F71" s="5" t="n">
        <v>0.15</v>
      </c>
      <c r="G71" s="5" t="n">
        <v>8.175000000000001</v>
      </c>
      <c r="H71" s="5" t="n">
        <v>1.18</v>
      </c>
      <c r="I71" s="5" t="n">
        <v>0</v>
      </c>
      <c r="J71" s="5" t="n">
        <v>8.175000000000001</v>
      </c>
      <c r="K71" s="5" t="n">
        <v>0</v>
      </c>
      <c r="L71" s="5" t="n">
        <v>1</v>
      </c>
      <c r="M71" s="5" t="n">
        <v>9.19</v>
      </c>
      <c r="N71" s="5" t="n">
        <v>3.539</v>
      </c>
      <c r="O71" s="5" t="n">
        <v>0.277</v>
      </c>
      <c r="P71" s="5" t="n">
        <v>9.467000000000001</v>
      </c>
      <c r="Q71" s="5" t="n">
        <v>0</v>
      </c>
      <c r="R71" s="5" t="n">
        <v>1</v>
      </c>
      <c r="S71" s="5" t="n">
        <v>14.073</v>
      </c>
      <c r="T71" s="5" t="n">
        <v>7.078</v>
      </c>
      <c r="U71" s="5" t="n">
        <v>0.156</v>
      </c>
      <c r="V71" s="5" t="n">
        <v>16.184</v>
      </c>
      <c r="W71" s="5" t="n">
        <v>0.15</v>
      </c>
      <c r="X71" s="5" t="n">
        <v>1</v>
      </c>
      <c r="Y71" s="5" t="n">
        <v>6.64</v>
      </c>
      <c r="Z71" s="5" t="n">
        <v>0.448</v>
      </c>
      <c r="AA71" s="5" t="n">
        <v>-5.224</v>
      </c>
      <c r="AB71" s="5" t="n">
        <v>1.417</v>
      </c>
      <c r="AC71" s="5" t="n">
        <v>0</v>
      </c>
      <c r="AD71" s="5" t="n">
        <v>0</v>
      </c>
      <c r="AE71" s="5" t="n">
        <v>7.395</v>
      </c>
      <c r="AF71" s="5" t="n">
        <v>0.927</v>
      </c>
      <c r="AG71" s="5" t="n">
        <v>-4.07</v>
      </c>
      <c r="AH71" s="5" t="n">
        <v>3.325</v>
      </c>
      <c r="AI71" s="5" t="n">
        <v>0</v>
      </c>
      <c r="AJ71" s="5" t="n">
        <v>1</v>
      </c>
      <c r="AK71" s="5" t="n">
        <v>11.922</v>
      </c>
      <c r="AL71" s="5" t="n">
        <v>4.235</v>
      </c>
      <c r="AM71" s="5" t="n">
        <v>-7.505</v>
      </c>
      <c r="AN71" s="5" t="n">
        <v>5.08</v>
      </c>
      <c r="AO71" s="5" t="n">
        <v>0</v>
      </c>
      <c r="AP71" s="5" t="n">
        <v>0</v>
      </c>
      <c r="AQ71" s="5" t="n">
        <v>0.847</v>
      </c>
      <c r="AR71" s="5" t="n">
        <v>0.123</v>
      </c>
      <c r="AS71" s="5" t="n">
        <v>0.159</v>
      </c>
      <c r="AT71" s="5" t="n">
        <v>1.157</v>
      </c>
      <c r="AU71" s="5" t="n">
        <v>0.15</v>
      </c>
      <c r="AV71" s="5" t="n">
        <v>1</v>
      </c>
      <c r="AW71" s="5" t="n">
        <v>0.947</v>
      </c>
      <c r="AX71" s="5" t="n">
        <v>0.123</v>
      </c>
      <c r="AY71" s="5" t="n">
        <v>-0.081</v>
      </c>
      <c r="AZ71" s="5" t="n">
        <v>0.996</v>
      </c>
      <c r="BA71" s="5" t="n">
        <v>0.15</v>
      </c>
      <c r="BB71" s="5" t="n">
        <v>1</v>
      </c>
      <c r="BC71" s="5" t="n">
        <v>0.589</v>
      </c>
      <c r="BD71" s="5" t="n">
        <v>0.123</v>
      </c>
      <c r="BE71" s="5" t="n">
        <v>-0.272</v>
      </c>
      <c r="BF71" s="5" t="n">
        <v>0.339</v>
      </c>
      <c r="BG71" s="5" t="n">
        <v>0</v>
      </c>
      <c r="BH71" s="5" t="n">
        <v>0</v>
      </c>
      <c r="BI71" s="5" t="n">
        <v>0.6889999999999999</v>
      </c>
      <c r="BJ71" s="5" t="n">
        <v>0.123</v>
      </c>
      <c r="BK71" s="5" t="n">
        <v>0.191</v>
      </c>
      <c r="BL71" s="5" t="n">
        <v>1.03</v>
      </c>
      <c r="BM71" s="5" t="n">
        <v>0.17</v>
      </c>
      <c r="BN71" s="5" t="n">
        <v>1</v>
      </c>
      <c r="BO71" s="5" t="n">
        <v>0</v>
      </c>
      <c r="BP71" s="5" t="n">
        <v>-0.032</v>
      </c>
      <c r="BQ71" s="5" t="n">
        <v>0.09</v>
      </c>
      <c r="BR71" s="5" t="n">
        <v>0</v>
      </c>
      <c r="BS71" s="5" t="n">
        <v>0.833</v>
      </c>
      <c r="BT71" s="5" t="n">
        <v>0</v>
      </c>
      <c r="BU71" s="5" t="n">
        <v>-0.032</v>
      </c>
      <c r="BV71" s="5" t="n">
        <v>0.066</v>
      </c>
      <c r="BW71" s="5" t="n">
        <v>0</v>
      </c>
      <c r="BX71" s="5" t="n">
        <v>0.833</v>
      </c>
      <c r="BY71" s="5" t="n">
        <v>12.729</v>
      </c>
      <c r="BZ71" s="5" t="n">
        <v>0</v>
      </c>
      <c r="CA71" s="5" t="n">
        <v>12.729</v>
      </c>
      <c r="CB71" s="5" t="n">
        <v>0</v>
      </c>
      <c r="CC71" s="5" t="n">
        <v>102.477</v>
      </c>
      <c r="CD71" s="5" t="n">
        <v>7.95</v>
      </c>
      <c r="CE71" s="5" t="n">
        <v>5.486</v>
      </c>
      <c r="CF71" s="5" t="n">
        <v>126.317</v>
      </c>
      <c r="CG71" s="5" t="n">
        <v>0.17</v>
      </c>
      <c r="CH71" s="5" t="n">
        <v>1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1.395</v>
      </c>
      <c r="CN71" s="5" t="n">
        <v>0</v>
      </c>
      <c r="CO71" s="5" t="n">
        <v>0</v>
      </c>
      <c r="CP71" s="5" t="n">
        <v>0.089</v>
      </c>
      <c r="CQ71" s="5" t="n">
        <v>1.294</v>
      </c>
      <c r="CR71" s="5" t="n">
        <v>0.778</v>
      </c>
      <c r="CS71" s="5" t="n">
        <v>1.419</v>
      </c>
      <c r="CT71" s="5" t="n">
        <v>7.554</v>
      </c>
      <c r="CU71" s="5" t="n">
        <v>30.149</v>
      </c>
    </row>
    <row r="72">
      <c r="A72" s="5" t="inlineStr">
        <is>
          <t>BGD2023</t>
        </is>
      </c>
      <c r="B72" s="5" t="inlineStr">
        <is>
          <t>BGD</t>
        </is>
      </c>
      <c r="C72" s="5" t="inlineStr">
        <is>
          <t>BGD</t>
        </is>
      </c>
      <c r="D72" s="5" t="inlineStr">
        <is>
          <t>Bangladesh</t>
        </is>
      </c>
      <c r="E72" s="5" t="n">
        <v>2023</v>
      </c>
      <c r="F72" s="5" t="n">
        <v>0.15</v>
      </c>
      <c r="G72" s="5" t="n">
        <v>5.326</v>
      </c>
      <c r="H72" s="5" t="n">
        <v>1.21</v>
      </c>
      <c r="I72" s="5" t="n">
        <v>0</v>
      </c>
      <c r="J72" s="5" t="n">
        <v>5.326</v>
      </c>
      <c r="K72" s="5" t="n">
        <v>0</v>
      </c>
      <c r="L72" s="5" t="n">
        <v>1</v>
      </c>
      <c r="M72" s="5" t="n">
        <v>7.344</v>
      </c>
      <c r="N72" s="5" t="n">
        <v>3.63</v>
      </c>
      <c r="O72" s="5" t="n">
        <v>0.178</v>
      </c>
      <c r="P72" s="5" t="n">
        <v>7.522</v>
      </c>
      <c r="Q72" s="5" t="n">
        <v>0</v>
      </c>
      <c r="R72" s="5" t="n">
        <v>1</v>
      </c>
      <c r="S72" s="5" t="n">
        <v>11.377</v>
      </c>
      <c r="T72" s="5" t="n">
        <v>7.261</v>
      </c>
      <c r="U72" s="5" t="n">
        <v>0.189</v>
      </c>
      <c r="V72" s="5" t="n">
        <v>13.083</v>
      </c>
      <c r="W72" s="5" t="n">
        <v>0.15</v>
      </c>
      <c r="X72" s="5" t="n">
        <v>1</v>
      </c>
      <c r="Y72" s="5" t="n">
        <v>4.267</v>
      </c>
      <c r="Z72" s="5" t="n">
        <v>0.288</v>
      </c>
      <c r="AA72" s="5" t="n">
        <v>-0.857</v>
      </c>
      <c r="AB72" s="5" t="n">
        <v>3.41</v>
      </c>
      <c r="AC72" s="5" t="n">
        <v>0</v>
      </c>
      <c r="AD72" s="5" t="n">
        <v>0</v>
      </c>
      <c r="AE72" s="5" t="n">
        <v>5.076</v>
      </c>
      <c r="AF72" s="5" t="n">
        <v>0.636</v>
      </c>
      <c r="AG72" s="5" t="n">
        <v>2.23</v>
      </c>
      <c r="AH72" s="5" t="n">
        <v>7.307</v>
      </c>
      <c r="AI72" s="5" t="n">
        <v>0</v>
      </c>
      <c r="AJ72" s="5" t="n">
        <v>1</v>
      </c>
      <c r="AK72" s="5" t="n">
        <v>9.933</v>
      </c>
      <c r="AL72" s="5" t="n">
        <v>3.528</v>
      </c>
      <c r="AM72" s="5" t="n">
        <v>-6.121</v>
      </c>
      <c r="AN72" s="5" t="n">
        <v>4.384</v>
      </c>
      <c r="AO72" s="5" t="n">
        <v>0</v>
      </c>
      <c r="AP72" s="5" t="n">
        <v>0</v>
      </c>
      <c r="AQ72" s="5" t="n">
        <v>0.749</v>
      </c>
      <c r="AR72" s="5" t="n">
        <v>0.129</v>
      </c>
      <c r="AS72" s="5" t="n">
        <v>0.302</v>
      </c>
      <c r="AT72" s="5" t="n">
        <v>1.209</v>
      </c>
      <c r="AU72" s="5" t="n">
        <v>0.15</v>
      </c>
      <c r="AV72" s="5" t="n">
        <v>1</v>
      </c>
      <c r="AW72" s="5" t="n">
        <v>0.783</v>
      </c>
      <c r="AX72" s="5" t="n">
        <v>0.129</v>
      </c>
      <c r="AY72" s="5" t="n">
        <v>0.185</v>
      </c>
      <c r="AZ72" s="5" t="n">
        <v>1.113</v>
      </c>
      <c r="BA72" s="5" t="n">
        <v>0.15</v>
      </c>
      <c r="BB72" s="5" t="n">
        <v>1</v>
      </c>
      <c r="BC72" s="5" t="n">
        <v>0.527</v>
      </c>
      <c r="BD72" s="5" t="n">
        <v>0.129</v>
      </c>
      <c r="BE72" s="5" t="n">
        <v>-0.268</v>
      </c>
      <c r="BF72" s="5" t="n">
        <v>0.277</v>
      </c>
      <c r="BG72" s="5" t="n">
        <v>0</v>
      </c>
      <c r="BH72" s="5" t="n">
        <v>0</v>
      </c>
      <c r="BI72" s="5" t="n">
        <v>0.64</v>
      </c>
      <c r="BJ72" s="5" t="n">
        <v>0.129</v>
      </c>
      <c r="BK72" s="5" t="n">
        <v>0.216</v>
      </c>
      <c r="BL72" s="5" t="n">
        <v>1.002</v>
      </c>
      <c r="BM72" s="5" t="n">
        <v>0.17</v>
      </c>
      <c r="BN72" s="5" t="n">
        <v>1</v>
      </c>
      <c r="BO72" s="5" t="n">
        <v>0</v>
      </c>
      <c r="BP72" s="5" t="n">
        <v>-0.032</v>
      </c>
      <c r="BQ72" s="5" t="n">
        <v>0.08799999999999999</v>
      </c>
      <c r="BR72" s="5" t="n">
        <v>0</v>
      </c>
      <c r="BS72" s="5" t="n">
        <v>0.833</v>
      </c>
      <c r="BT72" s="5" t="n">
        <v>0</v>
      </c>
      <c r="BU72" s="5" t="n">
        <v>-0.032</v>
      </c>
      <c r="BV72" s="5" t="n">
        <v>0.063</v>
      </c>
      <c r="BW72" s="5" t="n">
        <v>0</v>
      </c>
      <c r="BX72" s="5" t="n">
        <v>0.833</v>
      </c>
      <c r="BY72" s="5" t="n">
        <v>13.254</v>
      </c>
      <c r="BZ72" s="5" t="n">
        <v>0</v>
      </c>
      <c r="CA72" s="5" t="n">
        <v>13.254</v>
      </c>
      <c r="CB72" s="5" t="n">
        <v>0</v>
      </c>
      <c r="CC72" s="5" t="n">
        <v>87.07899999999999</v>
      </c>
      <c r="CD72" s="5" t="n">
        <v>7.95</v>
      </c>
      <c r="CE72" s="5" t="n">
        <v>14.039</v>
      </c>
      <c r="CF72" s="5" t="n">
        <v>118.308</v>
      </c>
      <c r="CG72" s="5" t="n">
        <v>0.17</v>
      </c>
      <c r="CH72" s="5" t="n">
        <v>1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2.776</v>
      </c>
      <c r="CN72" s="5" t="n">
        <v>0</v>
      </c>
      <c r="CO72" s="5" t="n">
        <v>0</v>
      </c>
      <c r="CP72" s="5" t="n">
        <v>0.118</v>
      </c>
      <c r="CQ72" s="5" t="n">
        <v>1.348</v>
      </c>
      <c r="CR72" s="5" t="n">
        <v>0.741</v>
      </c>
      <c r="CS72" s="5" t="n">
        <v>1.477</v>
      </c>
      <c r="CT72" s="5" t="n">
        <v>4.484</v>
      </c>
      <c r="CU72" s="5" t="n">
        <v>12.392</v>
      </c>
    </row>
    <row r="73">
      <c r="A73" s="5" t="inlineStr">
        <is>
          <t>BGD2024</t>
        </is>
      </c>
      <c r="B73" s="5" t="inlineStr">
        <is>
          <t>BGD</t>
        </is>
      </c>
      <c r="C73" s="5" t="inlineStr">
        <is>
          <t>BGD</t>
        </is>
      </c>
      <c r="D73" s="5" t="inlineStr">
        <is>
          <t>Bangladesh</t>
        </is>
      </c>
      <c r="E73" s="5" t="n">
        <v>2024</v>
      </c>
      <c r="F73" s="5" t="n">
        <v>0.15</v>
      </c>
      <c r="G73" s="5" t="n">
        <v>4.506</v>
      </c>
      <c r="H73" s="5" t="n">
        <v>1.246</v>
      </c>
      <c r="I73" s="5" t="n">
        <v>0</v>
      </c>
      <c r="J73" s="5" t="n">
        <v>4.506</v>
      </c>
      <c r="K73" s="5" t="n">
        <v>0</v>
      </c>
      <c r="L73" s="5" t="n">
        <v>1</v>
      </c>
      <c r="M73" s="5" t="n">
        <v>6.683</v>
      </c>
      <c r="N73" s="5" t="n">
        <v>3.738</v>
      </c>
      <c r="O73" s="5" t="n">
        <v>0.139</v>
      </c>
      <c r="P73" s="5" t="n">
        <v>6.822</v>
      </c>
      <c r="Q73" s="5" t="n">
        <v>0</v>
      </c>
      <c r="R73" s="5" t="n">
        <v>1</v>
      </c>
      <c r="S73" s="5" t="n">
        <v>10.735</v>
      </c>
      <c r="T73" s="5" t="n">
        <v>7.475</v>
      </c>
      <c r="U73" s="5" t="n">
        <v>0.219</v>
      </c>
      <c r="V73" s="5" t="n">
        <v>12.345</v>
      </c>
      <c r="W73" s="5" t="n">
        <v>0.15</v>
      </c>
      <c r="X73" s="5" t="n">
        <v>1</v>
      </c>
      <c r="Y73" s="5" t="n">
        <v>4.036</v>
      </c>
      <c r="Z73" s="5" t="n">
        <v>0.272</v>
      </c>
      <c r="AA73" s="5" t="n">
        <v>-0.5649999999999999</v>
      </c>
      <c r="AB73" s="5" t="n">
        <v>3.472</v>
      </c>
      <c r="AC73" s="5" t="n">
        <v>0</v>
      </c>
      <c r="AD73" s="5" t="n">
        <v>0</v>
      </c>
      <c r="AE73" s="5" t="n">
        <v>4.869</v>
      </c>
      <c r="AF73" s="5" t="n">
        <v>0.61</v>
      </c>
      <c r="AG73" s="5" t="n">
        <v>1.85</v>
      </c>
      <c r="AH73" s="5" t="n">
        <v>6.719</v>
      </c>
      <c r="AI73" s="5" t="n">
        <v>0</v>
      </c>
      <c r="AJ73" s="5" t="n">
        <v>1</v>
      </c>
      <c r="AK73" s="5" t="n">
        <v>9.869</v>
      </c>
      <c r="AL73" s="5" t="n">
        <v>3.506</v>
      </c>
      <c r="AM73" s="5" t="n">
        <v>-6.364</v>
      </c>
      <c r="AN73" s="5" t="n">
        <v>4.031</v>
      </c>
      <c r="AO73" s="5" t="n">
        <v>0</v>
      </c>
      <c r="AP73" s="5" t="n">
        <v>0</v>
      </c>
      <c r="AQ73" s="5" t="n">
        <v>0.72</v>
      </c>
      <c r="AR73" s="5" t="n">
        <v>0.132</v>
      </c>
      <c r="AS73" s="5" t="n">
        <v>0.456</v>
      </c>
      <c r="AT73" s="5" t="n">
        <v>1.376</v>
      </c>
      <c r="AU73" s="5" t="n">
        <v>0.17</v>
      </c>
      <c r="AV73" s="5" t="n">
        <v>1</v>
      </c>
      <c r="AW73" s="5" t="n">
        <v>0.734</v>
      </c>
      <c r="AX73" s="5" t="n">
        <v>0.132</v>
      </c>
      <c r="AY73" s="5" t="n">
        <v>0.138</v>
      </c>
      <c r="AZ73" s="5" t="n">
        <v>1.019</v>
      </c>
      <c r="BA73" s="5" t="n">
        <v>0.17</v>
      </c>
      <c r="BB73" s="5" t="n">
        <v>1</v>
      </c>
      <c r="BC73" s="5" t="n">
        <v>0.51</v>
      </c>
      <c r="BD73" s="5" t="n">
        <v>0.132</v>
      </c>
      <c r="BE73" s="5" t="n">
        <v>-0.257</v>
      </c>
      <c r="BF73" s="5" t="n">
        <v>0.296</v>
      </c>
      <c r="BG73" s="5" t="n">
        <v>0</v>
      </c>
      <c r="BH73" s="5" t="n">
        <v>0</v>
      </c>
      <c r="BI73" s="5" t="n">
        <v>0.652</v>
      </c>
      <c r="BJ73" s="5" t="n">
        <v>0.132</v>
      </c>
      <c r="BK73" s="5" t="n">
        <v>0.1</v>
      </c>
      <c r="BL73" s="5" t="n">
        <v>0.88</v>
      </c>
      <c r="BM73" s="5" t="n">
        <v>0.17</v>
      </c>
      <c r="BN73" s="5" t="n">
        <v>1</v>
      </c>
      <c r="BO73" s="5" t="n">
        <v>0</v>
      </c>
      <c r="BP73" s="5" t="n">
        <v>-0.033</v>
      </c>
      <c r="BQ73" s="5" t="n">
        <v>0.097</v>
      </c>
      <c r="BR73" s="5" t="n">
        <v>0</v>
      </c>
      <c r="BS73" s="5" t="n">
        <v>0.833</v>
      </c>
      <c r="BT73" s="5" t="n">
        <v>0</v>
      </c>
      <c r="BU73" s="5" t="n">
        <v>-0.033</v>
      </c>
      <c r="BV73" s="5" t="n">
        <v>0.068</v>
      </c>
      <c r="BW73" s="5" t="n">
        <v>0</v>
      </c>
      <c r="BX73" s="5" t="n">
        <v>0.833</v>
      </c>
      <c r="BY73" s="5" t="n">
        <v>13.646</v>
      </c>
      <c r="BZ73" s="5" t="n">
        <v>0</v>
      </c>
      <c r="CA73" s="5" t="n">
        <v>13.646</v>
      </c>
      <c r="CB73" s="5" t="n">
        <v>0</v>
      </c>
      <c r="CC73" s="5" t="n">
        <v>86.38500000000001</v>
      </c>
      <c r="CD73" s="5" t="n">
        <v>7.95</v>
      </c>
      <c r="CE73" s="5" t="n">
        <v>8.976000000000001</v>
      </c>
      <c r="CF73" s="5" t="n">
        <v>111.573</v>
      </c>
      <c r="CG73" s="5" t="n">
        <v>0.17</v>
      </c>
      <c r="CH73" s="5" t="n">
        <v>1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2.855</v>
      </c>
      <c r="CN73" s="5" t="n">
        <v>0</v>
      </c>
      <c r="CO73" s="5" t="n">
        <v>0</v>
      </c>
      <c r="CP73" s="5" t="n">
        <v>0.118</v>
      </c>
      <c r="CQ73" s="5" t="n">
        <v>1.387</v>
      </c>
      <c r="CR73" s="5" t="n">
        <v>0.741</v>
      </c>
      <c r="CS73" s="5" t="n">
        <v>1.521</v>
      </c>
      <c r="CT73" s="5" t="n">
        <v>3.509</v>
      </c>
      <c r="CU73" s="5" t="n">
        <v>10.792</v>
      </c>
    </row>
    <row r="74">
      <c r="A74" s="5" t="inlineStr">
        <is>
          <t>BRB2021</t>
        </is>
      </c>
      <c r="B74" s="5" t="inlineStr">
        <is>
          <t>BRB</t>
        </is>
      </c>
      <c r="C74" s="5" t="inlineStr">
        <is>
          <t>BRB</t>
        </is>
      </c>
      <c r="D74" s="5" t="inlineStr">
        <is>
          <t>Barbados</t>
        </is>
      </c>
      <c r="E74" s="5" t="n">
        <v>2021</v>
      </c>
      <c r="F74" s="5" t="n">
        <v>0.175</v>
      </c>
      <c r="G74" s="5" t="n">
        <v>5.897</v>
      </c>
      <c r="H74" s="5" t="n">
        <v>1.143</v>
      </c>
      <c r="I74" s="5" t="n">
        <v>0</v>
      </c>
      <c r="J74" s="5" t="n">
        <v>5.897</v>
      </c>
      <c r="K74" s="5" t="n">
        <v>0</v>
      </c>
      <c r="L74" s="5" t="n">
        <v>1</v>
      </c>
      <c r="M74" s="5" t="n">
        <v>7.964</v>
      </c>
      <c r="N74" s="5" t="n">
        <v>3.43</v>
      </c>
      <c r="O74" s="5" t="n">
        <v>0</v>
      </c>
      <c r="P74" s="5" t="n">
        <v>7.964</v>
      </c>
      <c r="Q74" s="5" t="n">
        <v>0</v>
      </c>
      <c r="R74" s="5" t="n">
        <v>1</v>
      </c>
      <c r="S74" s="5" t="n">
        <v>11.613</v>
      </c>
      <c r="T74" s="5" t="n">
        <v>6.86</v>
      </c>
      <c r="U74" s="5" t="n">
        <v>0</v>
      </c>
      <c r="V74" s="5" t="n">
        <v>13.646</v>
      </c>
      <c r="W74" s="5" t="n">
        <v>0.175</v>
      </c>
      <c r="X74" s="5" t="n">
        <v>1</v>
      </c>
      <c r="Y74" s="5" t="n">
        <v>9.228</v>
      </c>
      <c r="Z74" s="5" t="n">
        <v>1.241</v>
      </c>
      <c r="AA74" s="5" t="n">
        <v>12.499</v>
      </c>
      <c r="AB74" s="5" t="n">
        <v>21.728</v>
      </c>
      <c r="AC74" s="5" t="n">
        <v>0</v>
      </c>
      <c r="AD74" s="5" t="n">
        <v>1</v>
      </c>
      <c r="AE74" s="5" t="n">
        <v>10.372</v>
      </c>
      <c r="AF74" s="5" t="n">
        <v>2.429</v>
      </c>
      <c r="AG74" s="5" t="n">
        <v>11.356</v>
      </c>
      <c r="AH74" s="5" t="n">
        <v>21.728</v>
      </c>
      <c r="AI74" s="5" t="n">
        <v>0</v>
      </c>
      <c r="AJ74" s="5" t="n">
        <v>1</v>
      </c>
      <c r="AK74" s="5" t="n">
        <v>17.232</v>
      </c>
      <c r="AL74" s="5" t="n">
        <v>9.259</v>
      </c>
      <c r="AM74" s="5" t="n">
        <v>3.566</v>
      </c>
      <c r="AN74" s="5" t="n">
        <v>24.437</v>
      </c>
      <c r="AO74" s="5" t="n">
        <v>0.175</v>
      </c>
      <c r="AP74" s="5" t="n">
        <v>1</v>
      </c>
      <c r="AQ74" s="5" t="n">
        <v>0.649</v>
      </c>
      <c r="AR74" s="5" t="n">
        <v>0.114</v>
      </c>
      <c r="AS74" s="5" t="n">
        <v>0.9360000000000001</v>
      </c>
      <c r="AT74" s="5" t="n">
        <v>1.863</v>
      </c>
      <c r="AU74" s="5" t="n">
        <v>0.175</v>
      </c>
      <c r="AV74" s="5" t="n">
        <v>1</v>
      </c>
      <c r="AW74" s="5" t="n">
        <v>0.577</v>
      </c>
      <c r="AX74" s="5" t="n">
        <v>0.114</v>
      </c>
      <c r="AY74" s="5" t="n">
        <v>0.6909999999999999</v>
      </c>
      <c r="AZ74" s="5" t="n">
        <v>1.49</v>
      </c>
      <c r="BA74" s="5" t="n">
        <v>0.175</v>
      </c>
      <c r="BB74" s="5" t="n">
        <v>1</v>
      </c>
      <c r="BC74" s="5" t="n">
        <v>0.458</v>
      </c>
      <c r="BD74" s="5" t="n">
        <v>0.114</v>
      </c>
      <c r="BE74" s="5" t="n">
        <v>0.291</v>
      </c>
      <c r="BF74" s="5" t="n">
        <v>0.88</v>
      </c>
      <c r="BG74" s="5" t="n">
        <v>0.175</v>
      </c>
      <c r="BH74" s="5" t="n">
        <v>1</v>
      </c>
      <c r="BI74" s="5" t="n">
        <v>0.491</v>
      </c>
      <c r="BJ74" s="5" t="n">
        <v>0.114</v>
      </c>
      <c r="BK74" s="5" t="n">
        <v>0.148</v>
      </c>
      <c r="BL74" s="5" t="n">
        <v>0.639</v>
      </c>
      <c r="BM74" s="5" t="n">
        <v>0</v>
      </c>
      <c r="BN74" s="5" t="n">
        <v>1</v>
      </c>
      <c r="BO74" s="5" t="n">
        <v>0</v>
      </c>
      <c r="BP74" s="5" t="n">
        <v>0</v>
      </c>
      <c r="BQ74" s="5" t="n">
        <v>0.261</v>
      </c>
      <c r="BR74" s="5" t="n">
        <v>0</v>
      </c>
      <c r="BS74" s="5" t="n">
        <v>1</v>
      </c>
      <c r="BT74" s="5" t="n">
        <v>0</v>
      </c>
      <c r="BU74" s="5" t="n">
        <v>0</v>
      </c>
      <c r="BV74" s="5" t="n">
        <v>0.279</v>
      </c>
      <c r="BW74" s="5" t="n">
        <v>0</v>
      </c>
      <c r="BX74" s="5" t="n">
        <v>1</v>
      </c>
      <c r="BY74" s="5" t="n">
        <v>11.787</v>
      </c>
      <c r="BZ74" s="5" t="n">
        <v>0</v>
      </c>
      <c r="CA74" s="5" t="n">
        <v>11.787</v>
      </c>
      <c r="CB74" s="5" t="n">
        <v>0</v>
      </c>
      <c r="CC74" s="5" t="n">
        <v>78.125</v>
      </c>
      <c r="CD74" s="5" t="n">
        <v>7.95</v>
      </c>
      <c r="CE74" s="5" t="n">
        <v>31.732</v>
      </c>
      <c r="CF74" s="5" t="n">
        <v>129.081</v>
      </c>
      <c r="CG74" s="5" t="n">
        <v>0.175</v>
      </c>
      <c r="CH74" s="5" t="n">
        <v>1</v>
      </c>
      <c r="CI74" s="5" t="n">
        <v>0</v>
      </c>
      <c r="CJ74" s="5" t="n">
        <v>0</v>
      </c>
      <c r="CK74" s="5" t="n">
        <v>0</v>
      </c>
      <c r="CL74" s="5" t="n">
        <v>0</v>
      </c>
      <c r="CM74" s="5" t="n">
        <v>0</v>
      </c>
      <c r="CN74" s="5" t="n">
        <v>0</v>
      </c>
      <c r="CO74" s="5" t="n">
        <v>0</v>
      </c>
      <c r="CP74" s="5" t="n">
        <v>0</v>
      </c>
      <c r="CQ74" s="5" t="n">
        <v>1.198</v>
      </c>
      <c r="CR74" s="5" t="n">
        <v>0</v>
      </c>
      <c r="CS74" s="5" t="n">
        <v>4.776</v>
      </c>
      <c r="CT74" s="5" t="n">
        <v>4.753</v>
      </c>
      <c r="CU74" s="5" t="n">
        <v>15.983</v>
      </c>
    </row>
    <row r="75">
      <c r="A75" s="5" t="inlineStr">
        <is>
          <t>BRB2022</t>
        </is>
      </c>
      <c r="B75" s="5" t="inlineStr">
        <is>
          <t>BRB</t>
        </is>
      </c>
      <c r="C75" s="5" t="inlineStr">
        <is>
          <t>BRB</t>
        </is>
      </c>
      <c r="D75" s="5" t="inlineStr">
        <is>
          <t>Barbados</t>
        </is>
      </c>
      <c r="E75" s="5" t="n">
        <v>2022</v>
      </c>
      <c r="F75" s="5" t="n">
        <v>0.175</v>
      </c>
      <c r="G75" s="5" t="n">
        <v>11.72</v>
      </c>
      <c r="H75" s="5" t="n">
        <v>1.235</v>
      </c>
      <c r="I75" s="5" t="n">
        <v>0</v>
      </c>
      <c r="J75" s="5" t="n">
        <v>11.72</v>
      </c>
      <c r="K75" s="5" t="n">
        <v>0</v>
      </c>
      <c r="L75" s="5" t="n">
        <v>1</v>
      </c>
      <c r="M75" s="5" t="n">
        <v>9.782999999999999</v>
      </c>
      <c r="N75" s="5" t="n">
        <v>3.704</v>
      </c>
      <c r="O75" s="5" t="n">
        <v>0</v>
      </c>
      <c r="P75" s="5" t="n">
        <v>9.782999999999999</v>
      </c>
      <c r="Q75" s="5" t="n">
        <v>0</v>
      </c>
      <c r="R75" s="5" t="n">
        <v>1</v>
      </c>
      <c r="S75" s="5" t="n">
        <v>17.893</v>
      </c>
      <c r="T75" s="5" t="n">
        <v>7.408</v>
      </c>
      <c r="U75" s="5" t="n">
        <v>0.232</v>
      </c>
      <c r="V75" s="5" t="n">
        <v>21.025</v>
      </c>
      <c r="W75" s="5" t="n">
        <v>0.175</v>
      </c>
      <c r="X75" s="5" t="n">
        <v>1</v>
      </c>
      <c r="Y75" s="5" t="n">
        <v>13.632</v>
      </c>
      <c r="Z75" s="5" t="n">
        <v>1.834</v>
      </c>
      <c r="AA75" s="5" t="n">
        <v>11.082</v>
      </c>
      <c r="AB75" s="5" t="n">
        <v>24.714</v>
      </c>
      <c r="AC75" s="5" t="n">
        <v>0</v>
      </c>
      <c r="AD75" s="5" t="n">
        <v>1</v>
      </c>
      <c r="AE75" s="5" t="n">
        <v>14.867</v>
      </c>
      <c r="AF75" s="5" t="n">
        <v>3.481</v>
      </c>
      <c r="AG75" s="5" t="n">
        <v>9.847</v>
      </c>
      <c r="AH75" s="5" t="n">
        <v>24.714</v>
      </c>
      <c r="AI75" s="5" t="n">
        <v>0</v>
      </c>
      <c r="AJ75" s="5" t="n">
        <v>1</v>
      </c>
      <c r="AK75" s="5" t="n">
        <v>22.275</v>
      </c>
      <c r="AL75" s="5" t="n">
        <v>11.969</v>
      </c>
      <c r="AM75" s="5" t="n">
        <v>-1.33</v>
      </c>
      <c r="AN75" s="5" t="n">
        <v>24.61</v>
      </c>
      <c r="AO75" s="5" t="n">
        <v>0.175</v>
      </c>
      <c r="AP75" s="5" t="n">
        <v>1</v>
      </c>
      <c r="AQ75" s="5" t="n">
        <v>0.896</v>
      </c>
      <c r="AR75" s="5" t="n">
        <v>0.123</v>
      </c>
      <c r="AS75" s="5" t="n">
        <v>0.899</v>
      </c>
      <c r="AT75" s="5" t="n">
        <v>2.109</v>
      </c>
      <c r="AU75" s="5" t="n">
        <v>0.175</v>
      </c>
      <c r="AV75" s="5" t="n">
        <v>1</v>
      </c>
      <c r="AW75" s="5" t="n">
        <v>0.89</v>
      </c>
      <c r="AX75" s="5" t="n">
        <v>0.123</v>
      </c>
      <c r="AY75" s="5" t="n">
        <v>0.703</v>
      </c>
      <c r="AZ75" s="5" t="n">
        <v>1.872</v>
      </c>
      <c r="BA75" s="5" t="n">
        <v>0.175</v>
      </c>
      <c r="BB75" s="5" t="n">
        <v>1</v>
      </c>
      <c r="BC75" s="5" t="n">
        <v>0.62</v>
      </c>
      <c r="BD75" s="5" t="n">
        <v>0.123</v>
      </c>
      <c r="BE75" s="5" t="n">
        <v>0.151</v>
      </c>
      <c r="BF75" s="5" t="n">
        <v>0.906</v>
      </c>
      <c r="BG75" s="5" t="n">
        <v>0.175</v>
      </c>
      <c r="BH75" s="5" t="n">
        <v>1</v>
      </c>
      <c r="BI75" s="5" t="n">
        <v>0.608</v>
      </c>
      <c r="BJ75" s="5" t="n">
        <v>0.123</v>
      </c>
      <c r="BK75" s="5" t="n">
        <v>0.466</v>
      </c>
      <c r="BL75" s="5" t="n">
        <v>1.073</v>
      </c>
      <c r="BM75" s="5" t="n">
        <v>0</v>
      </c>
      <c r="BN75" s="5" t="n">
        <v>1</v>
      </c>
      <c r="BO75" s="5" t="n">
        <v>0</v>
      </c>
      <c r="BP75" s="5" t="n">
        <v>0</v>
      </c>
      <c r="BQ75" s="5" t="n">
        <v>0.347</v>
      </c>
      <c r="BR75" s="5" t="n">
        <v>0</v>
      </c>
      <c r="BS75" s="5" t="n">
        <v>1</v>
      </c>
      <c r="BT75" s="5" t="n">
        <v>0</v>
      </c>
      <c r="BU75" s="5" t="n">
        <v>0</v>
      </c>
      <c r="BV75" s="5" t="n">
        <v>0.305</v>
      </c>
      <c r="BW75" s="5" t="n">
        <v>0</v>
      </c>
      <c r="BX75" s="5" t="n">
        <v>1</v>
      </c>
      <c r="BY75" s="5" t="n">
        <v>12.729</v>
      </c>
      <c r="BZ75" s="5" t="n">
        <v>0</v>
      </c>
      <c r="CA75" s="5" t="n">
        <v>12.729</v>
      </c>
      <c r="CB75" s="5" t="n">
        <v>0</v>
      </c>
      <c r="CC75" s="5" t="n">
        <v>97.90000000000001</v>
      </c>
      <c r="CD75" s="5" t="n">
        <v>7.95</v>
      </c>
      <c r="CE75" s="5" t="n">
        <v>33.938</v>
      </c>
      <c r="CF75" s="5" t="n">
        <v>152.929</v>
      </c>
      <c r="CG75" s="5" t="n">
        <v>0.175</v>
      </c>
      <c r="CH75" s="5" t="n">
        <v>1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1.294</v>
      </c>
      <c r="CR75" s="5" t="n">
        <v>0</v>
      </c>
      <c r="CS75" s="5" t="n">
        <v>5.158</v>
      </c>
      <c r="CT75" s="5" t="n">
        <v>10.485</v>
      </c>
      <c r="CU75" s="5" t="n">
        <v>29.494</v>
      </c>
    </row>
    <row r="76">
      <c r="A76" s="5" t="inlineStr">
        <is>
          <t>BRB2023</t>
        </is>
      </c>
      <c r="B76" s="5" t="inlineStr">
        <is>
          <t>BRB</t>
        </is>
      </c>
      <c r="C76" s="5" t="inlineStr">
        <is>
          <t>BRB</t>
        </is>
      </c>
      <c r="D76" s="5" t="inlineStr">
        <is>
          <t>Barbados</t>
        </is>
      </c>
      <c r="E76" s="5" t="n">
        <v>2023</v>
      </c>
      <c r="F76" s="5" t="n">
        <v>0.175</v>
      </c>
      <c r="G76" s="5" t="n">
        <v>6.147</v>
      </c>
      <c r="H76" s="5" t="n">
        <v>1.286</v>
      </c>
      <c r="I76" s="5" t="n">
        <v>0</v>
      </c>
      <c r="J76" s="5" t="n">
        <v>6.147</v>
      </c>
      <c r="K76" s="5" t="n">
        <v>0</v>
      </c>
      <c r="L76" s="5" t="n">
        <v>1</v>
      </c>
      <c r="M76" s="5" t="n">
        <v>7.886</v>
      </c>
      <c r="N76" s="5" t="n">
        <v>3.857</v>
      </c>
      <c r="O76" s="5" t="n">
        <v>0</v>
      </c>
      <c r="P76" s="5" t="n">
        <v>7.886</v>
      </c>
      <c r="Q76" s="5" t="n">
        <v>0</v>
      </c>
      <c r="R76" s="5" t="n">
        <v>1</v>
      </c>
      <c r="S76" s="5" t="n">
        <v>12.575</v>
      </c>
      <c r="T76" s="5" t="n">
        <v>7.714</v>
      </c>
      <c r="U76" s="5" t="n">
        <v>0.244</v>
      </c>
      <c r="V76" s="5" t="n">
        <v>14.776</v>
      </c>
      <c r="W76" s="5" t="n">
        <v>0.175</v>
      </c>
      <c r="X76" s="5" t="n">
        <v>1</v>
      </c>
      <c r="Y76" s="5" t="n">
        <v>8.345000000000001</v>
      </c>
      <c r="Z76" s="5" t="n">
        <v>1.122</v>
      </c>
      <c r="AA76" s="5" t="n">
        <v>24.771</v>
      </c>
      <c r="AB76" s="5" t="n">
        <v>33.116</v>
      </c>
      <c r="AC76" s="5" t="n">
        <v>0</v>
      </c>
      <c r="AD76" s="5" t="n">
        <v>1</v>
      </c>
      <c r="AE76" s="5" t="n">
        <v>9.631</v>
      </c>
      <c r="AF76" s="5" t="n">
        <v>2.255</v>
      </c>
      <c r="AG76" s="5" t="n">
        <v>23.486</v>
      </c>
      <c r="AH76" s="5" t="n">
        <v>33.116</v>
      </c>
      <c r="AI76" s="5" t="n">
        <v>0</v>
      </c>
      <c r="AJ76" s="5" t="n">
        <v>1</v>
      </c>
      <c r="AK76" s="5" t="n">
        <v>17.345</v>
      </c>
      <c r="AL76" s="5" t="n">
        <v>9.32</v>
      </c>
      <c r="AM76" s="5" t="n">
        <v>4.28</v>
      </c>
      <c r="AN76" s="5" t="n">
        <v>25.409</v>
      </c>
      <c r="AO76" s="5" t="n">
        <v>0.175</v>
      </c>
      <c r="AP76" s="5" t="n">
        <v>1</v>
      </c>
      <c r="AQ76" s="5" t="n">
        <v>0.791</v>
      </c>
      <c r="AR76" s="5" t="n">
        <v>0.129</v>
      </c>
      <c r="AS76" s="5" t="n">
        <v>0.9350000000000001</v>
      </c>
      <c r="AT76" s="5" t="n">
        <v>2.027</v>
      </c>
      <c r="AU76" s="5" t="n">
        <v>0.175</v>
      </c>
      <c r="AV76" s="5" t="n">
        <v>1</v>
      </c>
      <c r="AW76" s="5" t="n">
        <v>0.618</v>
      </c>
      <c r="AX76" s="5" t="n">
        <v>0.129</v>
      </c>
      <c r="AY76" s="5" t="n">
        <v>0.857</v>
      </c>
      <c r="AZ76" s="5" t="n">
        <v>1.733</v>
      </c>
      <c r="BA76" s="5" t="n">
        <v>0.175</v>
      </c>
      <c r="BB76" s="5" t="n">
        <v>1</v>
      </c>
      <c r="BC76" s="5" t="n">
        <v>0.554</v>
      </c>
      <c r="BD76" s="5" t="n">
        <v>0.129</v>
      </c>
      <c r="BE76" s="5" t="n">
        <v>0.206</v>
      </c>
      <c r="BF76" s="5" t="n">
        <v>0.893</v>
      </c>
      <c r="BG76" s="5" t="n">
        <v>0.175</v>
      </c>
      <c r="BH76" s="5" t="n">
        <v>1</v>
      </c>
      <c r="BI76" s="5" t="n">
        <v>0.5570000000000001</v>
      </c>
      <c r="BJ76" s="5" t="n">
        <v>0.129</v>
      </c>
      <c r="BK76" s="5" t="n">
        <v>0.373</v>
      </c>
      <c r="BL76" s="5" t="n">
        <v>0.931</v>
      </c>
      <c r="BM76" s="5" t="n">
        <v>0</v>
      </c>
      <c r="BN76" s="5" t="n">
        <v>1</v>
      </c>
      <c r="BO76" s="5" t="n">
        <v>0</v>
      </c>
      <c r="BP76" s="5" t="n">
        <v>0</v>
      </c>
      <c r="BQ76" s="5" t="n">
        <v>0.325</v>
      </c>
      <c r="BR76" s="5" t="n">
        <v>0</v>
      </c>
      <c r="BS76" s="5" t="n">
        <v>1</v>
      </c>
      <c r="BT76" s="5" t="n">
        <v>0</v>
      </c>
      <c r="BU76" s="5" t="n">
        <v>0</v>
      </c>
      <c r="BV76" s="5" t="n">
        <v>0.294</v>
      </c>
      <c r="BW76" s="5" t="n">
        <v>0</v>
      </c>
      <c r="BX76" s="5" t="n">
        <v>1</v>
      </c>
      <c r="BY76" s="5" t="n">
        <v>13.254</v>
      </c>
      <c r="BZ76" s="5" t="n">
        <v>0</v>
      </c>
      <c r="CA76" s="5" t="n">
        <v>13.254</v>
      </c>
      <c r="CB76" s="5" t="n">
        <v>0</v>
      </c>
      <c r="CC76" s="5" t="n">
        <v>83.248</v>
      </c>
      <c r="CD76" s="5" t="n">
        <v>7.95</v>
      </c>
      <c r="CE76" s="5" t="n">
        <v>38.685</v>
      </c>
      <c r="CF76" s="5" t="n">
        <v>140.549</v>
      </c>
      <c r="CG76" s="5" t="n">
        <v>0.175</v>
      </c>
      <c r="CH76" s="5" t="n">
        <v>1</v>
      </c>
      <c r="CI76" s="5" t="n">
        <v>0</v>
      </c>
      <c r="CJ76" s="5" t="n">
        <v>0</v>
      </c>
      <c r="CK76" s="5" t="n">
        <v>0</v>
      </c>
      <c r="CL76" s="5" t="n">
        <v>0</v>
      </c>
      <c r="CM76" s="5" t="n">
        <v>0</v>
      </c>
      <c r="CN76" s="5" t="n">
        <v>0</v>
      </c>
      <c r="CO76" s="5" t="n">
        <v>0</v>
      </c>
      <c r="CP76" s="5" t="n">
        <v>0</v>
      </c>
      <c r="CQ76" s="5" t="n">
        <v>1.348</v>
      </c>
      <c r="CR76" s="5" t="n">
        <v>0</v>
      </c>
      <c r="CS76" s="5" t="n">
        <v>5.37</v>
      </c>
      <c r="CT76" s="5" t="n">
        <v>4.861</v>
      </c>
      <c r="CU76" s="5" t="n">
        <v>11.192</v>
      </c>
    </row>
    <row r="77">
      <c r="A77" s="5" t="inlineStr">
        <is>
          <t>BRB2024</t>
        </is>
      </c>
      <c r="B77" s="5" t="inlineStr">
        <is>
          <t>BRB</t>
        </is>
      </c>
      <c r="C77" s="5" t="inlineStr">
        <is>
          <t>BRB</t>
        </is>
      </c>
      <c r="D77" s="5" t="inlineStr">
        <is>
          <t>Barbados</t>
        </is>
      </c>
      <c r="E77" s="5" t="n">
        <v>2024</v>
      </c>
      <c r="F77" s="5" t="n">
        <v>0.175</v>
      </c>
      <c r="G77" s="5" t="n">
        <v>5.575</v>
      </c>
      <c r="H77" s="5" t="n">
        <v>1.324</v>
      </c>
      <c r="I77" s="5" t="n">
        <v>0</v>
      </c>
      <c r="J77" s="5" t="n">
        <v>5.575</v>
      </c>
      <c r="K77" s="5" t="n">
        <v>0</v>
      </c>
      <c r="L77" s="5" t="n">
        <v>1</v>
      </c>
      <c r="M77" s="5" t="n">
        <v>7.124</v>
      </c>
      <c r="N77" s="5" t="n">
        <v>3.971</v>
      </c>
      <c r="O77" s="5" t="n">
        <v>0</v>
      </c>
      <c r="P77" s="5" t="n">
        <v>7.124</v>
      </c>
      <c r="Q77" s="5" t="n">
        <v>0</v>
      </c>
      <c r="R77" s="5" t="n">
        <v>1</v>
      </c>
      <c r="S77" s="5" t="n">
        <v>12.193</v>
      </c>
      <c r="T77" s="5" t="n">
        <v>7.942</v>
      </c>
      <c r="U77" s="5" t="n">
        <v>0.291</v>
      </c>
      <c r="V77" s="5" t="n">
        <v>14.327</v>
      </c>
      <c r="W77" s="5" t="n">
        <v>0.175</v>
      </c>
      <c r="X77" s="5" t="n">
        <v>1</v>
      </c>
      <c r="Y77" s="5" t="n">
        <v>8.172000000000001</v>
      </c>
      <c r="Z77" s="5" t="n">
        <v>1.099</v>
      </c>
      <c r="AA77" s="5" t="n">
        <v>24.944</v>
      </c>
      <c r="AB77" s="5" t="n">
        <v>33.116</v>
      </c>
      <c r="AC77" s="5" t="n">
        <v>0</v>
      </c>
      <c r="AD77" s="5" t="n">
        <v>1</v>
      </c>
      <c r="AE77" s="5" t="n">
        <v>9.496</v>
      </c>
      <c r="AF77" s="5" t="n">
        <v>2.224</v>
      </c>
      <c r="AG77" s="5" t="n">
        <v>23.62</v>
      </c>
      <c r="AH77" s="5" t="n">
        <v>33.116</v>
      </c>
      <c r="AI77" s="5" t="n">
        <v>0</v>
      </c>
      <c r="AJ77" s="5" t="n">
        <v>1</v>
      </c>
      <c r="AK77" s="5" t="n">
        <v>17.438</v>
      </c>
      <c r="AL77" s="5" t="n">
        <v>9.369999999999999</v>
      </c>
      <c r="AM77" s="5" t="n">
        <v>4.187</v>
      </c>
      <c r="AN77" s="5" t="n">
        <v>25.409</v>
      </c>
      <c r="AO77" s="5" t="n">
        <v>0.175</v>
      </c>
      <c r="AP77" s="5" t="n">
        <v>1</v>
      </c>
      <c r="AQ77" s="5" t="n">
        <v>0.756</v>
      </c>
      <c r="AR77" s="5" t="n">
        <v>0.132</v>
      </c>
      <c r="AS77" s="5" t="n">
        <v>1.006</v>
      </c>
      <c r="AT77" s="5" t="n">
        <v>2.071</v>
      </c>
      <c r="AU77" s="5" t="n">
        <v>0.175</v>
      </c>
      <c r="AV77" s="5" t="n">
        <v>1</v>
      </c>
      <c r="AW77" s="5" t="n">
        <v>0.655</v>
      </c>
      <c r="AX77" s="5" t="n">
        <v>0.132</v>
      </c>
      <c r="AY77" s="5" t="n">
        <v>0.799</v>
      </c>
      <c r="AZ77" s="5" t="n">
        <v>1.709</v>
      </c>
      <c r="BA77" s="5" t="n">
        <v>0.175</v>
      </c>
      <c r="BB77" s="5" t="n">
        <v>1</v>
      </c>
      <c r="BC77" s="5" t="n">
        <v>0.534</v>
      </c>
      <c r="BD77" s="5" t="n">
        <v>0.132</v>
      </c>
      <c r="BE77" s="5" t="n">
        <v>0.224</v>
      </c>
      <c r="BF77" s="5" t="n">
        <v>0.89</v>
      </c>
      <c r="BG77" s="5" t="n">
        <v>0.175</v>
      </c>
      <c r="BH77" s="5" t="n">
        <v>1</v>
      </c>
      <c r="BI77" s="5" t="n">
        <v>0.5679999999999999</v>
      </c>
      <c r="BJ77" s="5" t="n">
        <v>0.132</v>
      </c>
      <c r="BK77" s="5" t="n">
        <v>0.416</v>
      </c>
      <c r="BL77" s="5" t="n">
        <v>0.984</v>
      </c>
      <c r="BM77" s="5" t="n">
        <v>0</v>
      </c>
      <c r="BN77" s="5" t="n">
        <v>1</v>
      </c>
      <c r="BO77" s="5" t="n">
        <v>0</v>
      </c>
      <c r="BP77" s="5" t="n">
        <v>0</v>
      </c>
      <c r="BQ77" s="5" t="n">
        <v>0.336</v>
      </c>
      <c r="BR77" s="5" t="n">
        <v>0</v>
      </c>
      <c r="BS77" s="5" t="n">
        <v>1</v>
      </c>
      <c r="BT77" s="5" t="n">
        <v>0</v>
      </c>
      <c r="BU77" s="5" t="n">
        <v>0</v>
      </c>
      <c r="BV77" s="5" t="n">
        <v>0.344</v>
      </c>
      <c r="BW77" s="5" t="n">
        <v>0</v>
      </c>
      <c r="BX77" s="5" t="n">
        <v>1</v>
      </c>
      <c r="BY77" s="5" t="n">
        <v>13.646</v>
      </c>
      <c r="BZ77" s="5" t="n">
        <v>0</v>
      </c>
      <c r="CA77" s="5" t="n">
        <v>13.646</v>
      </c>
      <c r="CB77" s="5" t="n">
        <v>0</v>
      </c>
      <c r="CC77" s="5" t="n">
        <v>82.58799999999999</v>
      </c>
      <c r="CD77" s="5" t="n">
        <v>7.95</v>
      </c>
      <c r="CE77" s="5" t="n">
        <v>40.778</v>
      </c>
      <c r="CF77" s="5" t="n">
        <v>141.58</v>
      </c>
      <c r="CG77" s="5" t="n">
        <v>0.175</v>
      </c>
      <c r="CH77" s="5" t="n">
        <v>1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1.387</v>
      </c>
      <c r="CR77" s="5" t="n">
        <v>0</v>
      </c>
      <c r="CS77" s="5" t="n">
        <v>5.529</v>
      </c>
      <c r="CT77" s="5" t="n">
        <v>4.251</v>
      </c>
      <c r="CU77" s="5" t="n">
        <v>10.123</v>
      </c>
    </row>
    <row r="78">
      <c r="A78" s="5" t="inlineStr">
        <is>
          <t>BLR2021</t>
        </is>
      </c>
      <c r="B78" s="5" t="inlineStr">
        <is>
          <t>BLR</t>
        </is>
      </c>
      <c r="C78" s="5" t="inlineStr">
        <is>
          <t>BLR</t>
        </is>
      </c>
      <c r="D78" s="5" t="inlineStr">
        <is>
          <t>Belarus</t>
        </is>
      </c>
      <c r="E78" s="5" t="n">
        <v>2021</v>
      </c>
      <c r="F78" s="5" t="n">
        <v>0.2</v>
      </c>
      <c r="G78" s="5" t="n">
        <v>5.553</v>
      </c>
      <c r="H78" s="5" t="n">
        <v>1.143</v>
      </c>
      <c r="I78" s="5" t="n">
        <v>0</v>
      </c>
      <c r="J78" s="5" t="n">
        <v>5.553</v>
      </c>
      <c r="K78" s="5" t="n">
        <v>0</v>
      </c>
      <c r="L78" s="5" t="n">
        <v>1</v>
      </c>
      <c r="M78" s="5" t="n">
        <v>7.964</v>
      </c>
      <c r="N78" s="5" t="n">
        <v>3.43</v>
      </c>
      <c r="O78" s="5" t="n">
        <v>0</v>
      </c>
      <c r="P78" s="5" t="n">
        <v>7.964</v>
      </c>
      <c r="Q78" s="5" t="n">
        <v>0</v>
      </c>
      <c r="R78" s="5" t="n">
        <v>1</v>
      </c>
      <c r="S78" s="5" t="n">
        <v>13.63</v>
      </c>
      <c r="T78" s="5" t="n">
        <v>6.86</v>
      </c>
      <c r="U78" s="5" t="n">
        <v>-9.984999999999999</v>
      </c>
      <c r="V78" s="5" t="n">
        <v>3.703</v>
      </c>
      <c r="W78" s="5" t="n">
        <v>0</v>
      </c>
      <c r="X78" s="5" t="n">
        <v>0</v>
      </c>
      <c r="Y78" s="5" t="n">
        <v>5.914</v>
      </c>
      <c r="Z78" s="5" t="n">
        <v>0.795</v>
      </c>
      <c r="AA78" s="5" t="n">
        <v>0.979</v>
      </c>
      <c r="AB78" s="5" t="n">
        <v>6.893</v>
      </c>
      <c r="AC78" s="5" t="n">
        <v>0</v>
      </c>
      <c r="AD78" s="5" t="n">
        <v>0</v>
      </c>
      <c r="AE78" s="5" t="n">
        <v>7.053</v>
      </c>
      <c r="AF78" s="5" t="n">
        <v>1.641</v>
      </c>
      <c r="AG78" s="5" t="n">
        <v>-0.159</v>
      </c>
      <c r="AH78" s="5" t="n">
        <v>6.893</v>
      </c>
      <c r="AI78" s="5" t="n">
        <v>0</v>
      </c>
      <c r="AJ78" s="5" t="n">
        <v>0</v>
      </c>
      <c r="AK78" s="5" t="n">
        <v>13.883</v>
      </c>
      <c r="AL78" s="5" t="n">
        <v>7.373</v>
      </c>
      <c r="AM78" s="5" t="n">
        <v>-12.698</v>
      </c>
      <c r="AN78" s="5" t="n">
        <v>1.422</v>
      </c>
      <c r="AO78" s="5" t="n">
        <v>0</v>
      </c>
      <c r="AP78" s="5" t="n">
        <v>0</v>
      </c>
      <c r="AQ78" s="5" t="n">
        <v>0.619</v>
      </c>
      <c r="AR78" s="5" t="n">
        <v>0.114</v>
      </c>
      <c r="AS78" s="5" t="n">
        <v>0.03</v>
      </c>
      <c r="AT78" s="5" t="n">
        <v>0.779</v>
      </c>
      <c r="AU78" s="5" t="n">
        <v>0.2</v>
      </c>
      <c r="AV78" s="5" t="n">
        <v>1</v>
      </c>
      <c r="AW78" s="5" t="n">
        <v>0.599</v>
      </c>
      <c r="AX78" s="5" t="n">
        <v>0.114</v>
      </c>
      <c r="AY78" s="5" t="n">
        <v>0.05</v>
      </c>
      <c r="AZ78" s="5" t="n">
        <v>0.779</v>
      </c>
      <c r="BA78" s="5" t="n">
        <v>0.2</v>
      </c>
      <c r="BB78" s="5" t="n">
        <v>1</v>
      </c>
      <c r="BC78" s="5" t="n">
        <v>0.439</v>
      </c>
      <c r="BD78" s="5" t="n">
        <v>0.114</v>
      </c>
      <c r="BE78" s="5" t="n">
        <v>-0.092</v>
      </c>
      <c r="BF78" s="5" t="n">
        <v>0.416</v>
      </c>
      <c r="BG78" s="5" t="n">
        <v>0</v>
      </c>
      <c r="BH78" s="5" t="n">
        <v>0</v>
      </c>
      <c r="BI78" s="5" t="n">
        <v>0.505</v>
      </c>
      <c r="BJ78" s="5" t="n">
        <v>0.114</v>
      </c>
      <c r="BK78" s="5" t="n">
        <v>0</v>
      </c>
      <c r="BL78" s="5" t="n">
        <v>0.606</v>
      </c>
      <c r="BM78" s="5" t="n">
        <v>0.2</v>
      </c>
      <c r="BN78" s="5" t="n">
        <v>1</v>
      </c>
      <c r="BO78" s="5" t="n">
        <v>0</v>
      </c>
      <c r="BP78" s="5" t="n">
        <v>0</v>
      </c>
      <c r="BQ78" s="5" t="n">
        <v>0.093</v>
      </c>
      <c r="BR78" s="5" t="n">
        <v>0</v>
      </c>
      <c r="BS78" s="5" t="n">
        <v>1</v>
      </c>
      <c r="BT78" s="5" t="n">
        <v>0</v>
      </c>
      <c r="BU78" s="5" t="n">
        <v>0</v>
      </c>
      <c r="BV78" s="5" t="n">
        <v>0.077</v>
      </c>
      <c r="BW78" s="5" t="n">
        <v>0.2</v>
      </c>
      <c r="BX78" s="5" t="n">
        <v>1</v>
      </c>
      <c r="BY78" s="5" t="n">
        <v>11.787</v>
      </c>
      <c r="BZ78" s="5" t="n">
        <v>0</v>
      </c>
      <c r="CA78" s="5" t="n">
        <v>11.787</v>
      </c>
      <c r="CB78" s="5" t="n">
        <v>0</v>
      </c>
      <c r="CC78" s="5" t="n">
        <v>78.125</v>
      </c>
      <c r="CD78" s="5" t="n">
        <v>7.95</v>
      </c>
      <c r="CE78" s="5" t="n">
        <v>0</v>
      </c>
      <c r="CF78" s="5" t="n">
        <v>93.75</v>
      </c>
      <c r="CG78" s="5" t="n">
        <v>0.2</v>
      </c>
      <c r="CH78" s="5" t="n">
        <v>1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0.019</v>
      </c>
      <c r="CN78" s="5" t="n">
        <v>0.041</v>
      </c>
      <c r="CO78" s="5" t="n">
        <v>0</v>
      </c>
      <c r="CP78" s="5" t="n">
        <v>0</v>
      </c>
      <c r="CQ78" s="5" t="n">
        <v>1.198</v>
      </c>
      <c r="CR78" s="5" t="n">
        <v>0.008999999999999999</v>
      </c>
      <c r="CS78" s="5" t="n">
        <v>4.776</v>
      </c>
      <c r="CT78" s="5" t="n">
        <v>4.41</v>
      </c>
      <c r="CU78" s="5" t="n">
        <v>15.162</v>
      </c>
    </row>
    <row r="79">
      <c r="A79" s="5" t="inlineStr">
        <is>
          <t>BLR2022</t>
        </is>
      </c>
      <c r="B79" s="5" t="inlineStr">
        <is>
          <t>BLR</t>
        </is>
      </c>
      <c r="C79" s="5" t="inlineStr">
        <is>
          <t>BLR</t>
        </is>
      </c>
      <c r="D79" s="5" t="inlineStr">
        <is>
          <t>Belarus</t>
        </is>
      </c>
      <c r="E79" s="5" t="n">
        <v>2022</v>
      </c>
      <c r="F79" s="5" t="n">
        <v>0.2</v>
      </c>
      <c r="G79" s="5" t="n">
        <v>7.077</v>
      </c>
      <c r="H79" s="5" t="n">
        <v>1.235</v>
      </c>
      <c r="I79" s="5" t="n">
        <v>0</v>
      </c>
      <c r="J79" s="5" t="n">
        <v>7.077</v>
      </c>
      <c r="K79" s="5" t="n">
        <v>0</v>
      </c>
      <c r="L79" s="5" t="n">
        <v>1</v>
      </c>
      <c r="M79" s="5" t="n">
        <v>9.782999999999999</v>
      </c>
      <c r="N79" s="5" t="n">
        <v>3.704</v>
      </c>
      <c r="O79" s="5" t="n">
        <v>0</v>
      </c>
      <c r="P79" s="5" t="n">
        <v>9.782999999999999</v>
      </c>
      <c r="Q79" s="5" t="n">
        <v>0</v>
      </c>
      <c r="R79" s="5" t="n">
        <v>1</v>
      </c>
      <c r="S79" s="5" t="n">
        <v>15.8</v>
      </c>
      <c r="T79" s="5" t="n">
        <v>7.408</v>
      </c>
      <c r="U79" s="5" t="n">
        <v>-11.888</v>
      </c>
      <c r="V79" s="5" t="n">
        <v>3.968</v>
      </c>
      <c r="W79" s="5" t="n">
        <v>0</v>
      </c>
      <c r="X79" s="5" t="n">
        <v>0</v>
      </c>
      <c r="Y79" s="5" t="n">
        <v>6.387</v>
      </c>
      <c r="Z79" s="5" t="n">
        <v>0.859</v>
      </c>
      <c r="AA79" s="5" t="n">
        <v>0.171</v>
      </c>
      <c r="AB79" s="5" t="n">
        <v>6.558</v>
      </c>
      <c r="AC79" s="5" t="n">
        <v>0</v>
      </c>
      <c r="AD79" s="5" t="n">
        <v>0</v>
      </c>
      <c r="AE79" s="5" t="n">
        <v>7.616</v>
      </c>
      <c r="AF79" s="5" t="n">
        <v>1.773</v>
      </c>
      <c r="AG79" s="5" t="n">
        <v>-1.058</v>
      </c>
      <c r="AH79" s="5" t="n">
        <v>6.558</v>
      </c>
      <c r="AI79" s="5" t="n">
        <v>0</v>
      </c>
      <c r="AJ79" s="5" t="n">
        <v>0</v>
      </c>
      <c r="AK79" s="5" t="n">
        <v>14.993</v>
      </c>
      <c r="AL79" s="5" t="n">
        <v>7.962</v>
      </c>
      <c r="AM79" s="5" t="n">
        <v>-13.472</v>
      </c>
      <c r="AN79" s="5" t="n">
        <v>1.825</v>
      </c>
      <c r="AO79" s="5" t="n">
        <v>0</v>
      </c>
      <c r="AP79" s="5" t="n">
        <v>0</v>
      </c>
      <c r="AQ79" s="5" t="n">
        <v>0.861</v>
      </c>
      <c r="AR79" s="5" t="n">
        <v>0.123</v>
      </c>
      <c r="AS79" s="5" t="n">
        <v>-0.118</v>
      </c>
      <c r="AT79" s="5" t="n">
        <v>0.892</v>
      </c>
      <c r="AU79" s="5" t="n">
        <v>0.2</v>
      </c>
      <c r="AV79" s="5" t="n">
        <v>1</v>
      </c>
      <c r="AW79" s="5" t="n">
        <v>0.986</v>
      </c>
      <c r="AX79" s="5" t="n">
        <v>0.123</v>
      </c>
      <c r="AY79" s="5" t="n">
        <v>-0.243</v>
      </c>
      <c r="AZ79" s="5" t="n">
        <v>0.892</v>
      </c>
      <c r="BA79" s="5" t="n">
        <v>0.2</v>
      </c>
      <c r="BB79" s="5" t="n">
        <v>1</v>
      </c>
      <c r="BC79" s="5" t="n">
        <v>0.598</v>
      </c>
      <c r="BD79" s="5" t="n">
        <v>0.123</v>
      </c>
      <c r="BE79" s="5" t="n">
        <v>-0.189</v>
      </c>
      <c r="BF79" s="5" t="n">
        <v>0.491</v>
      </c>
      <c r="BG79" s="5" t="n">
        <v>0</v>
      </c>
      <c r="BH79" s="5" t="n">
        <v>0</v>
      </c>
      <c r="BI79" s="5" t="n">
        <v>0.612</v>
      </c>
      <c r="BJ79" s="5" t="n">
        <v>0.123</v>
      </c>
      <c r="BK79" s="5" t="n">
        <v>0.008999999999999999</v>
      </c>
      <c r="BL79" s="5" t="n">
        <v>0.735</v>
      </c>
      <c r="BM79" s="5" t="n">
        <v>0.2</v>
      </c>
      <c r="BN79" s="5" t="n">
        <v>1</v>
      </c>
      <c r="BO79" s="5" t="n">
        <v>0</v>
      </c>
      <c r="BP79" s="5" t="n">
        <v>0</v>
      </c>
      <c r="BQ79" s="5" t="n">
        <v>0.098</v>
      </c>
      <c r="BR79" s="5" t="n">
        <v>0</v>
      </c>
      <c r="BS79" s="5" t="n">
        <v>1</v>
      </c>
      <c r="BT79" s="5" t="n">
        <v>0</v>
      </c>
      <c r="BU79" s="5" t="n">
        <v>0</v>
      </c>
      <c r="BV79" s="5" t="n">
        <v>0.064</v>
      </c>
      <c r="BW79" s="5" t="n">
        <v>0.2</v>
      </c>
      <c r="BX79" s="5" t="n">
        <v>1</v>
      </c>
      <c r="BY79" s="5" t="n">
        <v>12.729</v>
      </c>
      <c r="BZ79" s="5" t="n">
        <v>0</v>
      </c>
      <c r="CA79" s="5" t="n">
        <v>12.729</v>
      </c>
      <c r="CB79" s="5" t="n">
        <v>0</v>
      </c>
      <c r="CC79" s="5" t="n">
        <v>97.90000000000001</v>
      </c>
      <c r="CD79" s="5" t="n">
        <v>7.95</v>
      </c>
      <c r="CE79" s="5" t="n">
        <v>1.449</v>
      </c>
      <c r="CF79" s="5" t="n">
        <v>117.48</v>
      </c>
      <c r="CG79" s="5" t="n">
        <v>0.2</v>
      </c>
      <c r="CH79" s="5" t="n">
        <v>1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0.021</v>
      </c>
      <c r="CN79" s="5" t="n">
        <v>0.044</v>
      </c>
      <c r="CO79" s="5" t="n">
        <v>0</v>
      </c>
      <c r="CP79" s="5" t="n">
        <v>0</v>
      </c>
      <c r="CQ79" s="5" t="n">
        <v>1.294</v>
      </c>
      <c r="CR79" s="5" t="n">
        <v>0.008999999999999999</v>
      </c>
      <c r="CS79" s="5" t="n">
        <v>5.158</v>
      </c>
      <c r="CT79" s="5" t="n">
        <v>5.842</v>
      </c>
      <c r="CU79" s="5" t="n">
        <v>31.326</v>
      </c>
    </row>
    <row r="80">
      <c r="A80" s="5" t="inlineStr">
        <is>
          <t>BLR2023</t>
        </is>
      </c>
      <c r="B80" s="5" t="inlineStr">
        <is>
          <t>BLR</t>
        </is>
      </c>
      <c r="C80" s="5" t="inlineStr">
        <is>
          <t>BLR</t>
        </is>
      </c>
      <c r="D80" s="5" t="inlineStr">
        <is>
          <t>Belarus</t>
        </is>
      </c>
      <c r="E80" s="5" t="n">
        <v>2023</v>
      </c>
      <c r="F80" s="5" t="n">
        <v>0.2</v>
      </c>
      <c r="G80" s="5" t="n">
        <v>4.752</v>
      </c>
      <c r="H80" s="5" t="n">
        <v>1.286</v>
      </c>
      <c r="I80" s="5" t="n">
        <v>0</v>
      </c>
      <c r="J80" s="5" t="n">
        <v>4.752</v>
      </c>
      <c r="K80" s="5" t="n">
        <v>0</v>
      </c>
      <c r="L80" s="5" t="n">
        <v>1</v>
      </c>
      <c r="M80" s="5" t="n">
        <v>7.886</v>
      </c>
      <c r="N80" s="5" t="n">
        <v>3.857</v>
      </c>
      <c r="O80" s="5" t="n">
        <v>0</v>
      </c>
      <c r="P80" s="5" t="n">
        <v>7.886</v>
      </c>
      <c r="Q80" s="5" t="n">
        <v>0</v>
      </c>
      <c r="R80" s="5" t="n">
        <v>1</v>
      </c>
      <c r="S80" s="5" t="n">
        <v>13.834</v>
      </c>
      <c r="T80" s="5" t="n">
        <v>7.714</v>
      </c>
      <c r="U80" s="5" t="n">
        <v>-9.807</v>
      </c>
      <c r="V80" s="5" t="n">
        <v>4.078</v>
      </c>
      <c r="W80" s="5" t="n">
        <v>0</v>
      </c>
      <c r="X80" s="5" t="n">
        <v>0</v>
      </c>
      <c r="Y80" s="5" t="n">
        <v>6.65</v>
      </c>
      <c r="Z80" s="5" t="n">
        <v>0.894</v>
      </c>
      <c r="AA80" s="5" t="n">
        <v>-0.485</v>
      </c>
      <c r="AB80" s="5" t="n">
        <v>6.165</v>
      </c>
      <c r="AC80" s="5" t="n">
        <v>0</v>
      </c>
      <c r="AD80" s="5" t="n">
        <v>0</v>
      </c>
      <c r="AE80" s="5" t="n">
        <v>7.93</v>
      </c>
      <c r="AF80" s="5" t="n">
        <v>1.845</v>
      </c>
      <c r="AG80" s="5" t="n">
        <v>-1.764</v>
      </c>
      <c r="AH80" s="5" t="n">
        <v>6.165</v>
      </c>
      <c r="AI80" s="5" t="n">
        <v>0</v>
      </c>
      <c r="AJ80" s="5" t="n">
        <v>0</v>
      </c>
      <c r="AK80" s="5" t="n">
        <v>15.607</v>
      </c>
      <c r="AL80" s="5" t="n">
        <v>8.289</v>
      </c>
      <c r="AM80" s="5" t="n">
        <v>-14.222</v>
      </c>
      <c r="AN80" s="5" t="n">
        <v>1.663</v>
      </c>
      <c r="AO80" s="5" t="n">
        <v>0</v>
      </c>
      <c r="AP80" s="5" t="n">
        <v>0</v>
      </c>
      <c r="AQ80" s="5" t="n">
        <v>0.76</v>
      </c>
      <c r="AR80" s="5" t="n">
        <v>0.129</v>
      </c>
      <c r="AS80" s="5" t="n">
        <v>-0.099</v>
      </c>
      <c r="AT80" s="5" t="n">
        <v>0.793</v>
      </c>
      <c r="AU80" s="5" t="n">
        <v>0.2</v>
      </c>
      <c r="AV80" s="5" t="n">
        <v>1</v>
      </c>
      <c r="AW80" s="5" t="n">
        <v>0.8110000000000001</v>
      </c>
      <c r="AX80" s="5" t="n">
        <v>0.129</v>
      </c>
      <c r="AY80" s="5" t="n">
        <v>-0.15</v>
      </c>
      <c r="AZ80" s="5" t="n">
        <v>0.793</v>
      </c>
      <c r="BA80" s="5" t="n">
        <v>0.2</v>
      </c>
      <c r="BB80" s="5" t="n">
        <v>1</v>
      </c>
      <c r="BC80" s="5" t="n">
        <v>0.535</v>
      </c>
      <c r="BD80" s="5" t="n">
        <v>0.129</v>
      </c>
      <c r="BE80" s="5" t="n">
        <v>-0.187</v>
      </c>
      <c r="BF80" s="5" t="n">
        <v>0.417</v>
      </c>
      <c r="BG80" s="5" t="n">
        <v>0</v>
      </c>
      <c r="BH80" s="5" t="n">
        <v>0</v>
      </c>
      <c r="BI80" s="5" t="n">
        <v>0.579</v>
      </c>
      <c r="BJ80" s="5" t="n">
        <v>0.129</v>
      </c>
      <c r="BK80" s="5" t="n">
        <v>0.013</v>
      </c>
      <c r="BL80" s="5" t="n">
        <v>0.695</v>
      </c>
      <c r="BM80" s="5" t="n">
        <v>0.2</v>
      </c>
      <c r="BN80" s="5" t="n">
        <v>1</v>
      </c>
      <c r="BO80" s="5" t="n">
        <v>0</v>
      </c>
      <c r="BP80" s="5" t="n">
        <v>0</v>
      </c>
      <c r="BQ80" s="5" t="n">
        <v>0.128</v>
      </c>
      <c r="BR80" s="5" t="n">
        <v>0</v>
      </c>
      <c r="BS80" s="5" t="n">
        <v>1</v>
      </c>
      <c r="BT80" s="5" t="n">
        <v>0</v>
      </c>
      <c r="BU80" s="5" t="n">
        <v>0</v>
      </c>
      <c r="BV80" s="5" t="n">
        <v>0.083</v>
      </c>
      <c r="BW80" s="5" t="n">
        <v>0.2</v>
      </c>
      <c r="BX80" s="5" t="n">
        <v>1</v>
      </c>
      <c r="BY80" s="5" t="n">
        <v>13.254</v>
      </c>
      <c r="BZ80" s="5" t="n">
        <v>0</v>
      </c>
      <c r="CA80" s="5" t="n">
        <v>13.254</v>
      </c>
      <c r="CB80" s="5" t="n">
        <v>0</v>
      </c>
      <c r="CC80" s="5" t="n">
        <v>83.248</v>
      </c>
      <c r="CD80" s="5" t="n">
        <v>7.95</v>
      </c>
      <c r="CE80" s="5" t="n">
        <v>1.843</v>
      </c>
      <c r="CF80" s="5" t="n">
        <v>99.898</v>
      </c>
      <c r="CG80" s="5" t="n">
        <v>0.2</v>
      </c>
      <c r="CH80" s="5" t="n">
        <v>1</v>
      </c>
      <c r="CI80" s="5" t="n">
        <v>0</v>
      </c>
      <c r="CJ80" s="5" t="n">
        <v>0</v>
      </c>
      <c r="CK80" s="5" t="n">
        <v>0</v>
      </c>
      <c r="CL80" s="5" t="n">
        <v>0</v>
      </c>
      <c r="CM80" s="5" t="n">
        <v>0.022</v>
      </c>
      <c r="CN80" s="5" t="n">
        <v>0.046</v>
      </c>
      <c r="CO80" s="5" t="n">
        <v>0</v>
      </c>
      <c r="CP80" s="5" t="n">
        <v>0</v>
      </c>
      <c r="CQ80" s="5" t="n">
        <v>1.348</v>
      </c>
      <c r="CR80" s="5" t="n">
        <v>0.008999999999999999</v>
      </c>
      <c r="CS80" s="5" t="n">
        <v>5.37</v>
      </c>
      <c r="CT80" s="5" t="n">
        <v>3.466</v>
      </c>
      <c r="CU80" s="5" t="n">
        <v>11.622</v>
      </c>
    </row>
    <row r="81">
      <c r="A81" s="5" t="inlineStr">
        <is>
          <t>BLR2024</t>
        </is>
      </c>
      <c r="B81" s="5" t="inlineStr">
        <is>
          <t>BLR</t>
        </is>
      </c>
      <c r="C81" s="5" t="inlineStr">
        <is>
          <t>BLR</t>
        </is>
      </c>
      <c r="D81" s="5" t="inlineStr">
        <is>
          <t>Belarus</t>
        </is>
      </c>
      <c r="E81" s="5" t="n">
        <v>2024</v>
      </c>
      <c r="F81" s="5" t="n">
        <v>0.2</v>
      </c>
      <c r="G81" s="5" t="n">
        <v>4.351</v>
      </c>
      <c r="H81" s="5" t="n">
        <v>1.324</v>
      </c>
      <c r="I81" s="5" t="n">
        <v>0</v>
      </c>
      <c r="J81" s="5" t="n">
        <v>4.351</v>
      </c>
      <c r="K81" s="5" t="n">
        <v>0</v>
      </c>
      <c r="L81" s="5" t="n">
        <v>1</v>
      </c>
      <c r="M81" s="5" t="n">
        <v>7.124</v>
      </c>
      <c r="N81" s="5" t="n">
        <v>3.971</v>
      </c>
      <c r="O81" s="5" t="n">
        <v>0</v>
      </c>
      <c r="P81" s="5" t="n">
        <v>7.124</v>
      </c>
      <c r="Q81" s="5" t="n">
        <v>0</v>
      </c>
      <c r="R81" s="5" t="n">
        <v>1</v>
      </c>
      <c r="S81" s="5" t="n">
        <v>13.702</v>
      </c>
      <c r="T81" s="5" t="n">
        <v>7.942</v>
      </c>
      <c r="U81" s="5" t="n">
        <v>-9.58</v>
      </c>
      <c r="V81" s="5" t="n">
        <v>4.167</v>
      </c>
      <c r="W81" s="5" t="n">
        <v>0</v>
      </c>
      <c r="X81" s="5" t="n">
        <v>0</v>
      </c>
      <c r="Y81" s="5" t="n">
        <v>6.846</v>
      </c>
      <c r="Z81" s="5" t="n">
        <v>0.92</v>
      </c>
      <c r="AA81" s="5" t="n">
        <v>-1.092</v>
      </c>
      <c r="AB81" s="5" t="n">
        <v>5.755</v>
      </c>
      <c r="AC81" s="5" t="n">
        <v>0</v>
      </c>
      <c r="AD81" s="5" t="n">
        <v>0</v>
      </c>
      <c r="AE81" s="5" t="n">
        <v>8.164</v>
      </c>
      <c r="AF81" s="5" t="n">
        <v>1.9</v>
      </c>
      <c r="AG81" s="5" t="n">
        <v>-2.409</v>
      </c>
      <c r="AH81" s="5" t="n">
        <v>5.755</v>
      </c>
      <c r="AI81" s="5" t="n">
        <v>0</v>
      </c>
      <c r="AJ81" s="5" t="n">
        <v>0</v>
      </c>
      <c r="AK81" s="5" t="n">
        <v>16.068</v>
      </c>
      <c r="AL81" s="5" t="n">
        <v>8.532999999999999</v>
      </c>
      <c r="AM81" s="5" t="n">
        <v>-14.57</v>
      </c>
      <c r="AN81" s="5" t="n">
        <v>1.797</v>
      </c>
      <c r="AO81" s="5" t="n">
        <v>0</v>
      </c>
      <c r="AP81" s="5" t="n">
        <v>0</v>
      </c>
      <c r="AQ81" s="5" t="n">
        <v>0.724</v>
      </c>
      <c r="AR81" s="5" t="n">
        <v>0.132</v>
      </c>
      <c r="AS81" s="5" t="n">
        <v>-0.107</v>
      </c>
      <c r="AT81" s="5" t="n">
        <v>0.741</v>
      </c>
      <c r="AU81" s="5" t="n">
        <v>0.2</v>
      </c>
      <c r="AV81" s="5" t="n">
        <v>1</v>
      </c>
      <c r="AW81" s="5" t="n">
        <v>0.75</v>
      </c>
      <c r="AX81" s="5" t="n">
        <v>0.132</v>
      </c>
      <c r="AY81" s="5" t="n">
        <v>-0.133</v>
      </c>
      <c r="AZ81" s="5" t="n">
        <v>0.741</v>
      </c>
      <c r="BA81" s="5" t="n">
        <v>0.2</v>
      </c>
      <c r="BB81" s="5" t="n">
        <v>1</v>
      </c>
      <c r="BC81" s="5" t="n">
        <v>0.513</v>
      </c>
      <c r="BD81" s="5" t="n">
        <v>0.132</v>
      </c>
      <c r="BE81" s="5" t="n">
        <v>-0.196</v>
      </c>
      <c r="BF81" s="5" t="n">
        <v>0.38</v>
      </c>
      <c r="BG81" s="5" t="n">
        <v>0</v>
      </c>
      <c r="BH81" s="5" t="n">
        <v>0</v>
      </c>
      <c r="BI81" s="5" t="n">
        <v>0.591</v>
      </c>
      <c r="BJ81" s="5" t="n">
        <v>0.132</v>
      </c>
      <c r="BK81" s="5" t="n">
        <v>0.016</v>
      </c>
      <c r="BL81" s="5" t="n">
        <v>0.71</v>
      </c>
      <c r="BM81" s="5" t="n">
        <v>0.2</v>
      </c>
      <c r="BN81" s="5" t="n">
        <v>1</v>
      </c>
      <c r="BO81" s="5" t="n">
        <v>0</v>
      </c>
      <c r="BP81" s="5" t="n">
        <v>0</v>
      </c>
      <c r="BQ81" s="5" t="n">
        <v>0.097</v>
      </c>
      <c r="BR81" s="5" t="n">
        <v>0</v>
      </c>
      <c r="BS81" s="5" t="n">
        <v>1</v>
      </c>
      <c r="BT81" s="5" t="n">
        <v>0</v>
      </c>
      <c r="BU81" s="5" t="n">
        <v>0</v>
      </c>
      <c r="BV81" s="5" t="n">
        <v>0.073</v>
      </c>
      <c r="BW81" s="5" t="n">
        <v>0.2</v>
      </c>
      <c r="BX81" s="5" t="n">
        <v>1</v>
      </c>
      <c r="BY81" s="5" t="n">
        <v>13.646</v>
      </c>
      <c r="BZ81" s="5" t="n">
        <v>0</v>
      </c>
      <c r="CA81" s="5" t="n">
        <v>13.646</v>
      </c>
      <c r="CB81" s="5" t="n">
        <v>0</v>
      </c>
      <c r="CC81" s="5" t="n">
        <v>82.58799999999999</v>
      </c>
      <c r="CD81" s="5" t="n">
        <v>7.95</v>
      </c>
      <c r="CE81" s="5" t="n">
        <v>2.25</v>
      </c>
      <c r="CF81" s="5" t="n">
        <v>99.10599999999999</v>
      </c>
      <c r="CG81" s="5" t="n">
        <v>0.2</v>
      </c>
      <c r="CH81" s="5" t="n">
        <v>1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0.022</v>
      </c>
      <c r="CN81" s="5" t="n">
        <v>0.048</v>
      </c>
      <c r="CO81" s="5" t="n">
        <v>0</v>
      </c>
      <c r="CP81" s="5" t="n">
        <v>0</v>
      </c>
      <c r="CQ81" s="5" t="n">
        <v>1.387</v>
      </c>
      <c r="CR81" s="5" t="n">
        <v>0.008999999999999999</v>
      </c>
      <c r="CS81" s="5" t="n">
        <v>5.529</v>
      </c>
      <c r="CT81" s="5" t="n">
        <v>3.027</v>
      </c>
      <c r="CU81" s="5" t="n">
        <v>10.168</v>
      </c>
    </row>
    <row r="82">
      <c r="A82" s="5" t="inlineStr">
        <is>
          <t>BEL2021</t>
        </is>
      </c>
      <c r="B82" s="5" t="inlineStr">
        <is>
          <t>BEL</t>
        </is>
      </c>
      <c r="C82" s="5" t="inlineStr">
        <is>
          <t>BEL</t>
        </is>
      </c>
      <c r="D82" s="5" t="inlineStr">
        <is>
          <t>Belgium</t>
        </is>
      </c>
      <c r="E82" s="5" t="n">
        <v>2021</v>
      </c>
      <c r="F82" s="5" t="n">
        <v>0.21</v>
      </c>
      <c r="G82" s="5" t="n">
        <v>4.698</v>
      </c>
      <c r="H82" s="5" t="n">
        <v>1.028</v>
      </c>
      <c r="I82" s="5" t="n">
        <v>1.866</v>
      </c>
      <c r="J82" s="5" t="n">
        <v>6.564</v>
      </c>
      <c r="K82" s="5" t="n">
        <v>0</v>
      </c>
      <c r="L82" s="5" t="n">
        <v>1</v>
      </c>
      <c r="M82" s="5" t="n">
        <v>4.654</v>
      </c>
      <c r="N82" s="5" t="n">
        <v>2.109</v>
      </c>
      <c r="O82" s="5" t="n">
        <v>1.91</v>
      </c>
      <c r="P82" s="5" t="n">
        <v>6.564</v>
      </c>
      <c r="Q82" s="5" t="n">
        <v>0</v>
      </c>
      <c r="R82" s="5" t="n">
        <v>1</v>
      </c>
      <c r="S82" s="5" t="n">
        <v>11.101</v>
      </c>
      <c r="T82" s="5" t="n">
        <v>6.698</v>
      </c>
      <c r="U82" s="5" t="n">
        <v>0</v>
      </c>
      <c r="V82" s="5" t="n">
        <v>13.433</v>
      </c>
      <c r="W82" s="5" t="n">
        <v>0.21</v>
      </c>
      <c r="X82" s="5" t="n">
        <v>1</v>
      </c>
      <c r="Y82" s="5" t="n">
        <v>17.859</v>
      </c>
      <c r="Z82" s="5" t="n">
        <v>1.973</v>
      </c>
      <c r="AA82" s="5" t="n">
        <v>-7.544</v>
      </c>
      <c r="AB82" s="5" t="n">
        <v>10.315</v>
      </c>
      <c r="AC82" s="5" t="n">
        <v>0</v>
      </c>
      <c r="AD82" s="5" t="n">
        <v>1</v>
      </c>
      <c r="AE82" s="5" t="n">
        <v>17.815</v>
      </c>
      <c r="AF82" s="5" t="n">
        <v>3.506</v>
      </c>
      <c r="AG82" s="5" t="n">
        <v>-7.5</v>
      </c>
      <c r="AH82" s="5" t="n">
        <v>10.315</v>
      </c>
      <c r="AI82" s="5" t="n">
        <v>0</v>
      </c>
      <c r="AJ82" s="5" t="n">
        <v>1</v>
      </c>
      <c r="AK82" s="5" t="n">
        <v>24.137</v>
      </c>
      <c r="AL82" s="5" t="n">
        <v>11.846</v>
      </c>
      <c r="AM82" s="5" t="n">
        <v>-8.603</v>
      </c>
      <c r="AN82" s="5" t="n">
        <v>18.796</v>
      </c>
      <c r="AO82" s="5" t="n">
        <v>0.21</v>
      </c>
      <c r="AP82" s="5" t="n">
        <v>1</v>
      </c>
      <c r="AQ82" s="5" t="n">
        <v>0.619</v>
      </c>
      <c r="AR82" s="5" t="n">
        <v>0.114</v>
      </c>
      <c r="AS82" s="5" t="n">
        <v>0.833</v>
      </c>
      <c r="AT82" s="5" t="n">
        <v>1.757</v>
      </c>
      <c r="AU82" s="5" t="n">
        <v>0.21</v>
      </c>
      <c r="AV82" s="5" t="n">
        <v>1</v>
      </c>
      <c r="AW82" s="5" t="n">
        <v>0.599</v>
      </c>
      <c r="AX82" s="5" t="n">
        <v>0.114</v>
      </c>
      <c r="AY82" s="5" t="n">
        <v>0.864</v>
      </c>
      <c r="AZ82" s="5" t="n">
        <v>1.77</v>
      </c>
      <c r="BA82" s="5" t="n">
        <v>0.21</v>
      </c>
      <c r="BB82" s="5" t="n">
        <v>1</v>
      </c>
      <c r="BC82" s="5" t="n">
        <v>0.439</v>
      </c>
      <c r="BD82" s="5" t="n">
        <v>0.114</v>
      </c>
      <c r="BE82" s="5" t="n">
        <v>0.192</v>
      </c>
      <c r="BF82" s="5" t="n">
        <v>0.763</v>
      </c>
      <c r="BG82" s="5" t="n">
        <v>0.21</v>
      </c>
      <c r="BH82" s="5" t="n">
        <v>1</v>
      </c>
      <c r="BI82" s="5" t="n">
        <v>0.505</v>
      </c>
      <c r="BJ82" s="5" t="n">
        <v>0.114</v>
      </c>
      <c r="BK82" s="5" t="n">
        <v>0.309</v>
      </c>
      <c r="BL82" s="5" t="n">
        <v>0.984</v>
      </c>
      <c r="BM82" s="5" t="n">
        <v>0.21</v>
      </c>
      <c r="BN82" s="5" t="n">
        <v>1</v>
      </c>
      <c r="BO82" s="5" t="n">
        <v>0</v>
      </c>
      <c r="BP82" s="5" t="n">
        <v>0.026</v>
      </c>
      <c r="BQ82" s="5" t="n">
        <v>0.118</v>
      </c>
      <c r="BR82" s="5" t="n">
        <v>0</v>
      </c>
      <c r="BS82" s="5" t="n">
        <v>1</v>
      </c>
      <c r="BT82" s="5" t="n">
        <v>0</v>
      </c>
      <c r="BU82" s="5" t="n">
        <v>0.056</v>
      </c>
      <c r="BV82" s="5" t="n">
        <v>0.337</v>
      </c>
      <c r="BW82" s="5" t="n">
        <v>0.21</v>
      </c>
      <c r="BX82" s="5" t="n">
        <v>1</v>
      </c>
      <c r="BY82" s="5" t="n">
        <v>11.787</v>
      </c>
      <c r="BZ82" s="5" t="n">
        <v>0</v>
      </c>
      <c r="CA82" s="5" t="n">
        <v>11.787</v>
      </c>
      <c r="CB82" s="5" t="n">
        <v>0</v>
      </c>
      <c r="CC82" s="5" t="n">
        <v>78.125</v>
      </c>
      <c r="CD82" s="5" t="n">
        <v>7.95</v>
      </c>
      <c r="CE82" s="5" t="n">
        <v>28.91</v>
      </c>
      <c r="CF82" s="5" t="n">
        <v>129.512</v>
      </c>
      <c r="CG82" s="5" t="n">
        <v>0.21</v>
      </c>
      <c r="CH82" s="5" t="n">
        <v>1</v>
      </c>
      <c r="CI82" s="5" t="n">
        <v>0</v>
      </c>
      <c r="CJ82" s="5" t="n">
        <v>0</v>
      </c>
      <c r="CK82" s="5" t="n">
        <v>0</v>
      </c>
      <c r="CL82" s="5" t="n">
        <v>0</v>
      </c>
      <c r="CM82" s="5" t="n">
        <v>0</v>
      </c>
      <c r="CN82" s="5" t="n">
        <v>0</v>
      </c>
      <c r="CO82" s="5" t="n">
        <v>0</v>
      </c>
      <c r="CP82" s="5" t="n">
        <v>0</v>
      </c>
      <c r="CQ82" s="5" t="n">
        <v>1.198</v>
      </c>
      <c r="CR82" s="5" t="n">
        <v>0</v>
      </c>
      <c r="CS82" s="5" t="n">
        <v>4.776</v>
      </c>
      <c r="CT82" s="5" t="n">
        <v>4.561</v>
      </c>
      <c r="CU82" s="5" t="n">
        <v>15.107</v>
      </c>
    </row>
    <row r="83">
      <c r="A83" s="5" t="inlineStr">
        <is>
          <t>BEL2022</t>
        </is>
      </c>
      <c r="B83" s="5" t="inlineStr">
        <is>
          <t>BEL</t>
        </is>
      </c>
      <c r="C83" s="5" t="inlineStr">
        <is>
          <t>BEL</t>
        </is>
      </c>
      <c r="D83" s="5" t="inlineStr">
        <is>
          <t>Belgium</t>
        </is>
      </c>
      <c r="E83" s="5" t="n">
        <v>2022</v>
      </c>
      <c r="F83" s="5" t="n">
        <v>0.21</v>
      </c>
      <c r="G83" s="5" t="n">
        <v>10.197</v>
      </c>
      <c r="H83" s="5" t="n">
        <v>1.583</v>
      </c>
      <c r="I83" s="5" t="n">
        <v>8.159000000000001</v>
      </c>
      <c r="J83" s="5" t="n">
        <v>18.356</v>
      </c>
      <c r="K83" s="5" t="n">
        <v>0</v>
      </c>
      <c r="L83" s="5" t="n">
        <v>1</v>
      </c>
      <c r="M83" s="5" t="n">
        <v>10.039</v>
      </c>
      <c r="N83" s="5" t="n">
        <v>4.146</v>
      </c>
      <c r="O83" s="5" t="n">
        <v>8.317</v>
      </c>
      <c r="P83" s="5" t="n">
        <v>18.356</v>
      </c>
      <c r="Q83" s="5" t="n">
        <v>0</v>
      </c>
      <c r="R83" s="5" t="n">
        <v>1</v>
      </c>
      <c r="S83" s="5" t="n">
        <v>18.108</v>
      </c>
      <c r="T83" s="5" t="n">
        <v>7.408</v>
      </c>
      <c r="U83" s="5" t="n">
        <v>0.288</v>
      </c>
      <c r="V83" s="5" t="n">
        <v>21.918</v>
      </c>
      <c r="W83" s="5" t="n">
        <v>0.21</v>
      </c>
      <c r="X83" s="5" t="n">
        <v>1</v>
      </c>
      <c r="Y83" s="5" t="n">
        <v>34.07</v>
      </c>
      <c r="Z83" s="5" t="n">
        <v>3.574</v>
      </c>
      <c r="AA83" s="5" t="n">
        <v>-12.795</v>
      </c>
      <c r="AB83" s="5" t="n">
        <v>21.275</v>
      </c>
      <c r="AC83" s="5" t="n">
        <v>0</v>
      </c>
      <c r="AD83" s="5" t="n">
        <v>1</v>
      </c>
      <c r="AE83" s="5" t="n">
        <v>34.118</v>
      </c>
      <c r="AF83" s="5" t="n">
        <v>6.325</v>
      </c>
      <c r="AG83" s="5" t="n">
        <v>-12.843</v>
      </c>
      <c r="AH83" s="5" t="n">
        <v>21.275</v>
      </c>
      <c r="AI83" s="5" t="n">
        <v>0</v>
      </c>
      <c r="AJ83" s="5" t="n">
        <v>1</v>
      </c>
      <c r="AK83" s="5" t="n">
        <v>40.988</v>
      </c>
      <c r="AL83" s="5" t="n">
        <v>19.573</v>
      </c>
      <c r="AM83" s="5" t="n">
        <v>-13.124</v>
      </c>
      <c r="AN83" s="5" t="n">
        <v>33.715</v>
      </c>
      <c r="AO83" s="5" t="n">
        <v>0.21</v>
      </c>
      <c r="AP83" s="5" t="n">
        <v>1</v>
      </c>
      <c r="AQ83" s="5" t="n">
        <v>0.861</v>
      </c>
      <c r="AR83" s="5" t="n">
        <v>0.123</v>
      </c>
      <c r="AS83" s="5" t="n">
        <v>0.704</v>
      </c>
      <c r="AT83" s="5" t="n">
        <v>1.893</v>
      </c>
      <c r="AU83" s="5" t="n">
        <v>0.21</v>
      </c>
      <c r="AV83" s="5" t="n">
        <v>1</v>
      </c>
      <c r="AW83" s="5" t="n">
        <v>0.986</v>
      </c>
      <c r="AX83" s="5" t="n">
        <v>0.123</v>
      </c>
      <c r="AY83" s="5" t="n">
        <v>0.6899999999999999</v>
      </c>
      <c r="AZ83" s="5" t="n">
        <v>2.028</v>
      </c>
      <c r="BA83" s="5" t="n">
        <v>0.21</v>
      </c>
      <c r="BB83" s="5" t="n">
        <v>1</v>
      </c>
      <c r="BC83" s="5" t="n">
        <v>0.598</v>
      </c>
      <c r="BD83" s="5" t="n">
        <v>0.123</v>
      </c>
      <c r="BE83" s="5" t="n">
        <v>0.11</v>
      </c>
      <c r="BF83" s="5" t="n">
        <v>0.856</v>
      </c>
      <c r="BG83" s="5" t="n">
        <v>0.21</v>
      </c>
      <c r="BH83" s="5" t="n">
        <v>1</v>
      </c>
      <c r="BI83" s="5" t="n">
        <v>0.612</v>
      </c>
      <c r="BJ83" s="5" t="n">
        <v>0.123</v>
      </c>
      <c r="BK83" s="5" t="n">
        <v>0.65</v>
      </c>
      <c r="BL83" s="5" t="n">
        <v>1.528</v>
      </c>
      <c r="BM83" s="5" t="n">
        <v>0.21</v>
      </c>
      <c r="BN83" s="5" t="n">
        <v>1</v>
      </c>
      <c r="BO83" s="5" t="n">
        <v>0</v>
      </c>
      <c r="BP83" s="5" t="n">
        <v>0.021</v>
      </c>
      <c r="BQ83" s="5" t="n">
        <v>0.173</v>
      </c>
      <c r="BR83" s="5" t="n">
        <v>0</v>
      </c>
      <c r="BS83" s="5" t="n">
        <v>1</v>
      </c>
      <c r="BT83" s="5" t="n">
        <v>0</v>
      </c>
      <c r="BU83" s="5" t="n">
        <v>0.047</v>
      </c>
      <c r="BV83" s="5" t="n">
        <v>0.417</v>
      </c>
      <c r="BW83" s="5" t="n">
        <v>0.21</v>
      </c>
      <c r="BX83" s="5" t="n">
        <v>1</v>
      </c>
      <c r="BY83" s="5" t="n">
        <v>12.729</v>
      </c>
      <c r="BZ83" s="5" t="n">
        <v>0</v>
      </c>
      <c r="CA83" s="5" t="n">
        <v>12.729</v>
      </c>
      <c r="CB83" s="5" t="n">
        <v>0</v>
      </c>
      <c r="CC83" s="5" t="n">
        <v>97.90000000000001</v>
      </c>
      <c r="CD83" s="5" t="n">
        <v>7.95</v>
      </c>
      <c r="CE83" s="5" t="n">
        <v>98.408</v>
      </c>
      <c r="CF83" s="5" t="n">
        <v>237.532</v>
      </c>
      <c r="CG83" s="5" t="n">
        <v>0.21</v>
      </c>
      <c r="CH83" s="5" t="n">
        <v>1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1.294</v>
      </c>
      <c r="CR83" s="5" t="n">
        <v>0</v>
      </c>
      <c r="CS83" s="5" t="n">
        <v>5.158</v>
      </c>
      <c r="CT83" s="5" t="n">
        <v>10.7</v>
      </c>
      <c r="CU83" s="5" t="n">
        <v>31.227</v>
      </c>
    </row>
    <row r="84">
      <c r="A84" s="5" t="inlineStr">
        <is>
          <t>BEL2023</t>
        </is>
      </c>
      <c r="B84" s="5" t="inlineStr">
        <is>
          <t>BEL</t>
        </is>
      </c>
      <c r="C84" s="5" t="inlineStr">
        <is>
          <t>BEL</t>
        </is>
      </c>
      <c r="D84" s="5" t="inlineStr">
        <is>
          <t>Belgium</t>
        </is>
      </c>
      <c r="E84" s="5" t="n">
        <v>2023</v>
      </c>
      <c r="F84" s="5" t="n">
        <v>0.21</v>
      </c>
      <c r="G84" s="5" t="n">
        <v>8.573</v>
      </c>
      <c r="H84" s="5" t="n">
        <v>1.953</v>
      </c>
      <c r="I84" s="5" t="n">
        <v>9.456</v>
      </c>
      <c r="J84" s="5" t="n">
        <v>18.029</v>
      </c>
      <c r="K84" s="5" t="n">
        <v>0</v>
      </c>
      <c r="L84" s="5" t="n">
        <v>1</v>
      </c>
      <c r="M84" s="5" t="n">
        <v>8.393000000000001</v>
      </c>
      <c r="N84" s="5" t="n">
        <v>4.163</v>
      </c>
      <c r="O84" s="5" t="n">
        <v>9.635999999999999</v>
      </c>
      <c r="P84" s="5" t="n">
        <v>18.029</v>
      </c>
      <c r="Q84" s="5" t="n">
        <v>0</v>
      </c>
      <c r="R84" s="5" t="n">
        <v>1</v>
      </c>
      <c r="S84" s="5" t="n">
        <v>19.078</v>
      </c>
      <c r="T84" s="5" t="n">
        <v>7.714</v>
      </c>
      <c r="U84" s="5" t="n">
        <v>0.455</v>
      </c>
      <c r="V84" s="5" t="n">
        <v>23.099</v>
      </c>
      <c r="W84" s="5" t="n">
        <v>0.21</v>
      </c>
      <c r="X84" s="5" t="n">
        <v>1</v>
      </c>
      <c r="Y84" s="5" t="n">
        <v>15.019</v>
      </c>
      <c r="Z84" s="5" t="n">
        <v>1.682</v>
      </c>
      <c r="AA84" s="5" t="n">
        <v>8.029999999999999</v>
      </c>
      <c r="AB84" s="5" t="n">
        <v>23.049</v>
      </c>
      <c r="AC84" s="5" t="n">
        <v>0</v>
      </c>
      <c r="AD84" s="5" t="n">
        <v>1</v>
      </c>
      <c r="AE84" s="5" t="n">
        <v>15.117</v>
      </c>
      <c r="AF84" s="5" t="n">
        <v>3.011</v>
      </c>
      <c r="AG84" s="5" t="n">
        <v>7.931</v>
      </c>
      <c r="AH84" s="5" t="n">
        <v>23.049</v>
      </c>
      <c r="AI84" s="5" t="n">
        <v>0</v>
      </c>
      <c r="AJ84" s="5" t="n">
        <v>1</v>
      </c>
      <c r="AK84" s="5" t="n">
        <v>22.293</v>
      </c>
      <c r="AL84" s="5" t="n">
        <v>11.043</v>
      </c>
      <c r="AM84" s="5" t="n">
        <v>4.26</v>
      </c>
      <c r="AN84" s="5" t="n">
        <v>32.129</v>
      </c>
      <c r="AO84" s="5" t="n">
        <v>0.21</v>
      </c>
      <c r="AP84" s="5" t="n">
        <v>1</v>
      </c>
      <c r="AQ84" s="5" t="n">
        <v>0.76</v>
      </c>
      <c r="AR84" s="5" t="n">
        <v>0.129</v>
      </c>
      <c r="AS84" s="5" t="n">
        <v>0.779</v>
      </c>
      <c r="AT84" s="5" t="n">
        <v>1.863</v>
      </c>
      <c r="AU84" s="5" t="n">
        <v>0.21</v>
      </c>
      <c r="AV84" s="5" t="n">
        <v>1</v>
      </c>
      <c r="AW84" s="5" t="n">
        <v>0.8110000000000001</v>
      </c>
      <c r="AX84" s="5" t="n">
        <v>0.129</v>
      </c>
      <c r="AY84" s="5" t="n">
        <v>0.769</v>
      </c>
      <c r="AZ84" s="5" t="n">
        <v>1.912</v>
      </c>
      <c r="BA84" s="5" t="n">
        <v>0.21</v>
      </c>
      <c r="BB84" s="5" t="n">
        <v>1</v>
      </c>
      <c r="BC84" s="5" t="n">
        <v>0.535</v>
      </c>
      <c r="BD84" s="5" t="n">
        <v>0.129</v>
      </c>
      <c r="BE84" s="5" t="n">
        <v>0.076</v>
      </c>
      <c r="BF84" s="5" t="n">
        <v>0.739</v>
      </c>
      <c r="BG84" s="5" t="n">
        <v>0.21</v>
      </c>
      <c r="BH84" s="5" t="n">
        <v>1</v>
      </c>
      <c r="BI84" s="5" t="n">
        <v>0.579</v>
      </c>
      <c r="BJ84" s="5" t="n">
        <v>0.129</v>
      </c>
      <c r="BK84" s="5" t="n">
        <v>0.515</v>
      </c>
      <c r="BL84" s="5" t="n">
        <v>1.325</v>
      </c>
      <c r="BM84" s="5" t="n">
        <v>0.21</v>
      </c>
      <c r="BN84" s="5" t="n">
        <v>1</v>
      </c>
      <c r="BO84" s="5" t="n">
        <v>0</v>
      </c>
      <c r="BP84" s="5" t="n">
        <v>0.019</v>
      </c>
      <c r="BQ84" s="5" t="n">
        <v>0.193</v>
      </c>
      <c r="BR84" s="5" t="n">
        <v>0</v>
      </c>
      <c r="BS84" s="5" t="n">
        <v>1</v>
      </c>
      <c r="BT84" s="5" t="n">
        <v>0</v>
      </c>
      <c r="BU84" s="5" t="n">
        <v>0.07000000000000001</v>
      </c>
      <c r="BV84" s="5" t="n">
        <v>0.439</v>
      </c>
      <c r="BW84" s="5" t="n">
        <v>0.21</v>
      </c>
      <c r="BX84" s="5" t="n">
        <v>1</v>
      </c>
      <c r="BY84" s="5" t="n">
        <v>13.254</v>
      </c>
      <c r="BZ84" s="5" t="n">
        <v>0</v>
      </c>
      <c r="CA84" s="5" t="n">
        <v>13.254</v>
      </c>
      <c r="CB84" s="5" t="n">
        <v>0</v>
      </c>
      <c r="CC84" s="5" t="n">
        <v>83.248</v>
      </c>
      <c r="CD84" s="5" t="n">
        <v>7.95</v>
      </c>
      <c r="CE84" s="5" t="n">
        <v>90.292</v>
      </c>
      <c r="CF84" s="5" t="n">
        <v>209.983</v>
      </c>
      <c r="CG84" s="5" t="n">
        <v>0.21</v>
      </c>
      <c r="CH84" s="5" t="n">
        <v>1</v>
      </c>
      <c r="CI84" s="5" t="n">
        <v>0</v>
      </c>
      <c r="CJ84" s="5" t="n">
        <v>0</v>
      </c>
      <c r="CK84" s="5" t="n">
        <v>0</v>
      </c>
      <c r="CL84" s="5" t="n">
        <v>0</v>
      </c>
      <c r="CM84" s="5" t="n">
        <v>0</v>
      </c>
      <c r="CN84" s="5" t="n">
        <v>0</v>
      </c>
      <c r="CO84" s="5" t="n">
        <v>0</v>
      </c>
      <c r="CP84" s="5" t="n">
        <v>0</v>
      </c>
      <c r="CQ84" s="5" t="n">
        <v>1.348</v>
      </c>
      <c r="CR84" s="5" t="n">
        <v>0</v>
      </c>
      <c r="CS84" s="5" t="n">
        <v>5.37</v>
      </c>
      <c r="CT84" s="5" t="n">
        <v>11.365</v>
      </c>
      <c r="CU84" s="5" t="n">
        <v>12.124</v>
      </c>
    </row>
    <row r="85">
      <c r="A85" s="5" t="inlineStr">
        <is>
          <t>BEL2024</t>
        </is>
      </c>
      <c r="B85" s="5" t="inlineStr">
        <is>
          <t>BEL</t>
        </is>
      </c>
      <c r="C85" s="5" t="inlineStr">
        <is>
          <t>BEL</t>
        </is>
      </c>
      <c r="D85" s="5" t="inlineStr">
        <is>
          <t>Belgium</t>
        </is>
      </c>
      <c r="E85" s="5" t="n">
        <v>2024</v>
      </c>
      <c r="F85" s="5" t="n">
        <v>0.21</v>
      </c>
      <c r="G85" s="5" t="n">
        <v>15.168</v>
      </c>
      <c r="H85" s="5" t="n">
        <v>3.843</v>
      </c>
      <c r="I85" s="5" t="n">
        <v>6.197</v>
      </c>
      <c r="J85" s="5" t="n">
        <v>21.366</v>
      </c>
      <c r="K85" s="5" t="n">
        <v>0</v>
      </c>
      <c r="L85" s="5" t="n">
        <v>1</v>
      </c>
      <c r="M85" s="5" t="n">
        <v>15.048</v>
      </c>
      <c r="N85" s="5" t="n">
        <v>8.196999999999999</v>
      </c>
      <c r="O85" s="5" t="n">
        <v>6.318</v>
      </c>
      <c r="P85" s="5" t="n">
        <v>21.366</v>
      </c>
      <c r="Q85" s="5" t="n">
        <v>0</v>
      </c>
      <c r="R85" s="5" t="n">
        <v>1</v>
      </c>
      <c r="S85" s="5" t="n">
        <v>15.416</v>
      </c>
      <c r="T85" s="5" t="n">
        <v>7.942</v>
      </c>
      <c r="U85" s="5" t="n">
        <v>0.453</v>
      </c>
      <c r="V85" s="5" t="n">
        <v>18.668</v>
      </c>
      <c r="W85" s="5" t="n">
        <v>0.21</v>
      </c>
      <c r="X85" s="5" t="n">
        <v>1</v>
      </c>
      <c r="Y85" s="5" t="n">
        <v>14.196</v>
      </c>
      <c r="Z85" s="5" t="n">
        <v>1.793</v>
      </c>
      <c r="AA85" s="5" t="n">
        <v>4.198</v>
      </c>
      <c r="AB85" s="5" t="n">
        <v>18.394</v>
      </c>
      <c r="AC85" s="5" t="n">
        <v>0</v>
      </c>
      <c r="AD85" s="5" t="n">
        <v>1</v>
      </c>
      <c r="AE85" s="5" t="n">
        <v>14.196</v>
      </c>
      <c r="AF85" s="5" t="n">
        <v>3.11</v>
      </c>
      <c r="AG85" s="5" t="n">
        <v>4.198</v>
      </c>
      <c r="AH85" s="5" t="n">
        <v>18.394</v>
      </c>
      <c r="AI85" s="5" t="n">
        <v>0</v>
      </c>
      <c r="AJ85" s="5" t="n">
        <v>1</v>
      </c>
      <c r="AK85" s="5" t="n">
        <v>18.243</v>
      </c>
      <c r="AL85" s="5" t="n">
        <v>9.279</v>
      </c>
      <c r="AM85" s="5" t="n">
        <v>2.929</v>
      </c>
      <c r="AN85" s="5" t="n">
        <v>25.619</v>
      </c>
      <c r="AO85" s="5" t="n">
        <v>0.21</v>
      </c>
      <c r="AP85" s="5" t="n">
        <v>1</v>
      </c>
      <c r="AQ85" s="5" t="n">
        <v>0.724</v>
      </c>
      <c r="AR85" s="5" t="n">
        <v>0.132</v>
      </c>
      <c r="AS85" s="5" t="n">
        <v>0.739</v>
      </c>
      <c r="AT85" s="5" t="n">
        <v>1.771</v>
      </c>
      <c r="AU85" s="5" t="n">
        <v>0.21</v>
      </c>
      <c r="AV85" s="5" t="n">
        <v>1</v>
      </c>
      <c r="AW85" s="5" t="n">
        <v>0.75</v>
      </c>
      <c r="AX85" s="5" t="n">
        <v>0.132</v>
      </c>
      <c r="AY85" s="5" t="n">
        <v>0.788</v>
      </c>
      <c r="AZ85" s="5" t="n">
        <v>1.861</v>
      </c>
      <c r="BA85" s="5" t="n">
        <v>0.21</v>
      </c>
      <c r="BB85" s="5" t="n">
        <v>1</v>
      </c>
      <c r="BC85" s="5" t="n">
        <v>0.513</v>
      </c>
      <c r="BD85" s="5" t="n">
        <v>0.132</v>
      </c>
      <c r="BE85" s="5" t="n">
        <v>0.157</v>
      </c>
      <c r="BF85" s="5" t="n">
        <v>0.8110000000000001</v>
      </c>
      <c r="BG85" s="5" t="n">
        <v>0.21</v>
      </c>
      <c r="BH85" s="5" t="n">
        <v>1</v>
      </c>
      <c r="BI85" s="5" t="n">
        <v>0.591</v>
      </c>
      <c r="BJ85" s="5" t="n">
        <v>0.132</v>
      </c>
      <c r="BK85" s="5" t="n">
        <v>0.43</v>
      </c>
      <c r="BL85" s="5" t="n">
        <v>1.236</v>
      </c>
      <c r="BM85" s="5" t="n">
        <v>0.21</v>
      </c>
      <c r="BN85" s="5" t="n">
        <v>1</v>
      </c>
      <c r="BO85" s="5" t="n">
        <v>0</v>
      </c>
      <c r="BP85" s="5" t="n">
        <v>0.019</v>
      </c>
      <c r="BQ85" s="5" t="n">
        <v>0.141</v>
      </c>
      <c r="BR85" s="5" t="n">
        <v>0</v>
      </c>
      <c r="BS85" s="5" t="n">
        <v>1</v>
      </c>
      <c r="BT85" s="5" t="n">
        <v>0</v>
      </c>
      <c r="BU85" s="5" t="n">
        <v>0.077</v>
      </c>
      <c r="BV85" s="5" t="n">
        <v>0.361</v>
      </c>
      <c r="BW85" s="5" t="n">
        <v>0.21</v>
      </c>
      <c r="BX85" s="5" t="n">
        <v>1</v>
      </c>
      <c r="BY85" s="5" t="n">
        <v>13.646</v>
      </c>
      <c r="BZ85" s="5" t="n">
        <v>0</v>
      </c>
      <c r="CA85" s="5" t="n">
        <v>13.646</v>
      </c>
      <c r="CB85" s="5" t="n">
        <v>0</v>
      </c>
      <c r="CC85" s="5" t="n">
        <v>82.58799999999999</v>
      </c>
      <c r="CD85" s="5" t="n">
        <v>7.95</v>
      </c>
      <c r="CE85" s="5" t="n">
        <v>69.15300000000001</v>
      </c>
      <c r="CF85" s="5" t="n">
        <v>183.607</v>
      </c>
      <c r="CG85" s="5" t="n">
        <v>0.21</v>
      </c>
      <c r="CH85" s="5" t="n">
        <v>1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1.387</v>
      </c>
      <c r="CR85" s="5" t="n">
        <v>0</v>
      </c>
      <c r="CS85" s="5" t="n">
        <v>5.529</v>
      </c>
      <c r="CT85" s="5" t="n">
        <v>7.474</v>
      </c>
      <c r="CU85" s="5" t="n">
        <v>10.304</v>
      </c>
    </row>
    <row r="86">
      <c r="A86" s="5" t="inlineStr">
        <is>
          <t>BLZ2021</t>
        </is>
      </c>
      <c r="B86" s="5" t="inlineStr">
        <is>
          <t>BLZ</t>
        </is>
      </c>
      <c r="C86" s="5" t="inlineStr">
        <is>
          <t>BLZ</t>
        </is>
      </c>
      <c r="D86" s="5" t="inlineStr">
        <is>
          <t>Belize</t>
        </is>
      </c>
      <c r="E86" s="5" t="n">
        <v>2021</v>
      </c>
      <c r="F86" s="5" t="n">
        <v>0.125</v>
      </c>
      <c r="G86" s="5" t="n">
        <v>5.897</v>
      </c>
      <c r="H86" s="5" t="n">
        <v>1.143</v>
      </c>
      <c r="I86" s="5" t="n">
        <v>0</v>
      </c>
      <c r="J86" s="5" t="n">
        <v>5.897</v>
      </c>
      <c r="K86" s="5" t="n">
        <v>0</v>
      </c>
      <c r="L86" s="5" t="n">
        <v>1</v>
      </c>
      <c r="M86" s="5" t="n">
        <v>7.964</v>
      </c>
      <c r="N86" s="5" t="n">
        <v>3.43</v>
      </c>
      <c r="O86" s="5" t="n">
        <v>0</v>
      </c>
      <c r="P86" s="5" t="n">
        <v>7.964</v>
      </c>
      <c r="Q86" s="5" t="n">
        <v>0</v>
      </c>
      <c r="R86" s="5" t="n">
        <v>1</v>
      </c>
      <c r="S86" s="5" t="n">
        <v>11.613</v>
      </c>
      <c r="T86" s="5" t="n">
        <v>6.86</v>
      </c>
      <c r="U86" s="5" t="n">
        <v>0</v>
      </c>
      <c r="V86" s="5" t="n">
        <v>13.065</v>
      </c>
      <c r="W86" s="5" t="n">
        <v>0.125</v>
      </c>
      <c r="X86" s="5" t="n">
        <v>1</v>
      </c>
      <c r="Y86" s="5" t="n">
        <v>5.919</v>
      </c>
      <c r="Z86" s="5" t="n">
        <v>0.796</v>
      </c>
      <c r="AA86" s="5" t="n">
        <v>0</v>
      </c>
      <c r="AB86" s="5" t="n">
        <v>5.919</v>
      </c>
      <c r="AC86" s="5" t="n">
        <v>0</v>
      </c>
      <c r="AD86" s="5" t="n">
        <v>1</v>
      </c>
      <c r="AE86" s="5" t="n">
        <v>7.062</v>
      </c>
      <c r="AF86" s="5" t="n">
        <v>1.654</v>
      </c>
      <c r="AG86" s="5" t="n">
        <v>0</v>
      </c>
      <c r="AH86" s="5" t="n">
        <v>7.062</v>
      </c>
      <c r="AI86" s="5" t="n">
        <v>0</v>
      </c>
      <c r="AJ86" s="5" t="n">
        <v>1</v>
      </c>
      <c r="AK86" s="5" t="n">
        <v>13.922</v>
      </c>
      <c r="AL86" s="5" t="n">
        <v>7.481</v>
      </c>
      <c r="AM86" s="5" t="n">
        <v>0</v>
      </c>
      <c r="AN86" s="5" t="n">
        <v>15.663</v>
      </c>
      <c r="AO86" s="5" t="n">
        <v>0.125</v>
      </c>
      <c r="AP86" s="5" t="n">
        <v>1</v>
      </c>
      <c r="AQ86" s="5" t="n">
        <v>0.649</v>
      </c>
      <c r="AR86" s="5" t="n">
        <v>0.114</v>
      </c>
      <c r="AS86" s="5" t="n">
        <v>0.628</v>
      </c>
      <c r="AT86" s="5" t="n">
        <v>1.437</v>
      </c>
      <c r="AU86" s="5" t="n">
        <v>0.125</v>
      </c>
      <c r="AV86" s="5" t="n">
        <v>1</v>
      </c>
      <c r="AW86" s="5" t="n">
        <v>0.577</v>
      </c>
      <c r="AX86" s="5" t="n">
        <v>0.114</v>
      </c>
      <c r="AY86" s="5" t="n">
        <v>0.616</v>
      </c>
      <c r="AZ86" s="5" t="n">
        <v>1.342</v>
      </c>
      <c r="BA86" s="5" t="n">
        <v>0.125</v>
      </c>
      <c r="BB86" s="5" t="n">
        <v>1</v>
      </c>
      <c r="BC86" s="5" t="n">
        <v>0.458</v>
      </c>
      <c r="BD86" s="5" t="n">
        <v>0.114</v>
      </c>
      <c r="BE86" s="5" t="n">
        <v>0</v>
      </c>
      <c r="BF86" s="5" t="n">
        <v>0.515</v>
      </c>
      <c r="BG86" s="5" t="n">
        <v>0.125</v>
      </c>
      <c r="BH86" s="5" t="n">
        <v>1</v>
      </c>
      <c r="BI86" s="5" t="n">
        <v>0.491</v>
      </c>
      <c r="BJ86" s="5" t="n">
        <v>0.114</v>
      </c>
      <c r="BK86" s="5" t="n">
        <v>0.366</v>
      </c>
      <c r="BL86" s="5" t="n">
        <v>0.964</v>
      </c>
      <c r="BM86" s="5" t="n">
        <v>0.125</v>
      </c>
      <c r="BN86" s="5" t="n">
        <v>1</v>
      </c>
      <c r="BO86" s="5" t="n">
        <v>0</v>
      </c>
      <c r="BP86" s="5" t="n">
        <v>0</v>
      </c>
      <c r="BQ86" s="5" t="n">
        <v>0.175</v>
      </c>
      <c r="BR86" s="5" t="n">
        <v>0</v>
      </c>
      <c r="BS86" s="5" t="n">
        <v>0.333</v>
      </c>
      <c r="BT86" s="5" t="n">
        <v>0</v>
      </c>
      <c r="BU86" s="5" t="n">
        <v>0</v>
      </c>
      <c r="BV86" s="5" t="n">
        <v>0.222</v>
      </c>
      <c r="BW86" s="5" t="n">
        <v>0.125</v>
      </c>
      <c r="BX86" s="5" t="n">
        <v>0.667</v>
      </c>
      <c r="BY86" s="5" t="n">
        <v>11.787</v>
      </c>
      <c r="BZ86" s="5" t="n">
        <v>0</v>
      </c>
      <c r="CA86" s="5" t="n">
        <v>11.787</v>
      </c>
      <c r="CB86" s="5" t="n">
        <v>0</v>
      </c>
      <c r="CC86" s="5" t="n">
        <v>78.125</v>
      </c>
      <c r="CD86" s="5" t="n">
        <v>7.95</v>
      </c>
      <c r="CE86" s="5" t="n">
        <v>68.08799999999999</v>
      </c>
      <c r="CF86" s="5" t="n">
        <v>164.49</v>
      </c>
      <c r="CG86" s="5" t="n">
        <v>0.125</v>
      </c>
      <c r="CH86" s="5" t="n">
        <v>1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1.198</v>
      </c>
      <c r="CR86" s="5" t="n">
        <v>0</v>
      </c>
      <c r="CS86" s="5" t="n">
        <v>4.776</v>
      </c>
      <c r="CT86" s="5" t="n">
        <v>4.753</v>
      </c>
      <c r="CU86" s="5" t="n">
        <v>15.983</v>
      </c>
    </row>
    <row r="87">
      <c r="A87" s="5" t="inlineStr">
        <is>
          <t>BLZ2022</t>
        </is>
      </c>
      <c r="B87" s="5" t="inlineStr">
        <is>
          <t>BLZ</t>
        </is>
      </c>
      <c r="C87" s="5" t="inlineStr">
        <is>
          <t>BLZ</t>
        </is>
      </c>
      <c r="D87" s="5" t="inlineStr">
        <is>
          <t>Belize</t>
        </is>
      </c>
      <c r="E87" s="5" t="n">
        <v>2022</v>
      </c>
      <c r="F87" s="5" t="n">
        <v>0.125</v>
      </c>
      <c r="G87" s="5" t="n">
        <v>11.72</v>
      </c>
      <c r="H87" s="5" t="n">
        <v>1.235</v>
      </c>
      <c r="I87" s="5" t="n">
        <v>0</v>
      </c>
      <c r="J87" s="5" t="n">
        <v>11.72</v>
      </c>
      <c r="K87" s="5" t="n">
        <v>0</v>
      </c>
      <c r="L87" s="5" t="n">
        <v>1</v>
      </c>
      <c r="M87" s="5" t="n">
        <v>9.782999999999999</v>
      </c>
      <c r="N87" s="5" t="n">
        <v>3.704</v>
      </c>
      <c r="O87" s="5" t="n">
        <v>0</v>
      </c>
      <c r="P87" s="5" t="n">
        <v>9.782999999999999</v>
      </c>
      <c r="Q87" s="5" t="n">
        <v>0</v>
      </c>
      <c r="R87" s="5" t="n">
        <v>1</v>
      </c>
      <c r="S87" s="5" t="n">
        <v>17.893</v>
      </c>
      <c r="T87" s="5" t="n">
        <v>7.408</v>
      </c>
      <c r="U87" s="5" t="n">
        <v>0.166</v>
      </c>
      <c r="V87" s="5" t="n">
        <v>20.13</v>
      </c>
      <c r="W87" s="5" t="n">
        <v>0.125</v>
      </c>
      <c r="X87" s="5" t="n">
        <v>1</v>
      </c>
      <c r="Y87" s="5" t="n">
        <v>6.392</v>
      </c>
      <c r="Z87" s="5" t="n">
        <v>0.86</v>
      </c>
      <c r="AA87" s="5" t="n">
        <v>0</v>
      </c>
      <c r="AB87" s="5" t="n">
        <v>6.392</v>
      </c>
      <c r="AC87" s="5" t="n">
        <v>0</v>
      </c>
      <c r="AD87" s="5" t="n">
        <v>1</v>
      </c>
      <c r="AE87" s="5" t="n">
        <v>7.627</v>
      </c>
      <c r="AF87" s="5" t="n">
        <v>1.786</v>
      </c>
      <c r="AG87" s="5" t="n">
        <v>0</v>
      </c>
      <c r="AH87" s="5" t="n">
        <v>7.627</v>
      </c>
      <c r="AI87" s="5" t="n">
        <v>0</v>
      </c>
      <c r="AJ87" s="5" t="n">
        <v>1</v>
      </c>
      <c r="AK87" s="5" t="n">
        <v>15.035</v>
      </c>
      <c r="AL87" s="5" t="n">
        <v>8.079000000000001</v>
      </c>
      <c r="AM87" s="5" t="n">
        <v>0.139</v>
      </c>
      <c r="AN87" s="5" t="n">
        <v>16.914</v>
      </c>
      <c r="AO87" s="5" t="n">
        <v>0.125</v>
      </c>
      <c r="AP87" s="5" t="n">
        <v>1</v>
      </c>
      <c r="AQ87" s="5" t="n">
        <v>0.896</v>
      </c>
      <c r="AR87" s="5" t="n">
        <v>0.123</v>
      </c>
      <c r="AS87" s="5" t="n">
        <v>0.351</v>
      </c>
      <c r="AT87" s="5" t="n">
        <v>1.403</v>
      </c>
      <c r="AU87" s="5" t="n">
        <v>0.125</v>
      </c>
      <c r="AV87" s="5" t="n">
        <v>1</v>
      </c>
      <c r="AW87" s="5" t="n">
        <v>0.89</v>
      </c>
      <c r="AX87" s="5" t="n">
        <v>0.123</v>
      </c>
      <c r="AY87" s="5" t="n">
        <v>0.35</v>
      </c>
      <c r="AZ87" s="5" t="n">
        <v>1.395</v>
      </c>
      <c r="BA87" s="5" t="n">
        <v>0.125</v>
      </c>
      <c r="BB87" s="5" t="n">
        <v>1</v>
      </c>
      <c r="BC87" s="5" t="n">
        <v>0.62</v>
      </c>
      <c r="BD87" s="5" t="n">
        <v>0.123</v>
      </c>
      <c r="BE87" s="5" t="n">
        <v>0.006</v>
      </c>
      <c r="BF87" s="5" t="n">
        <v>0.698</v>
      </c>
      <c r="BG87" s="5" t="n">
        <v>0.125</v>
      </c>
      <c r="BH87" s="5" t="n">
        <v>1</v>
      </c>
      <c r="BI87" s="5" t="n">
        <v>0.608</v>
      </c>
      <c r="BJ87" s="5" t="n">
        <v>0.123</v>
      </c>
      <c r="BK87" s="5" t="n">
        <v>0.712</v>
      </c>
      <c r="BL87" s="5" t="n">
        <v>1.484</v>
      </c>
      <c r="BM87" s="5" t="n">
        <v>0.125</v>
      </c>
      <c r="BN87" s="5" t="n">
        <v>1</v>
      </c>
      <c r="BO87" s="5" t="n">
        <v>0</v>
      </c>
      <c r="BP87" s="5" t="n">
        <v>0</v>
      </c>
      <c r="BQ87" s="5" t="n">
        <v>0.175</v>
      </c>
      <c r="BR87" s="5" t="n">
        <v>0</v>
      </c>
      <c r="BS87" s="5" t="n">
        <v>0.333</v>
      </c>
      <c r="BT87" s="5" t="n">
        <v>0</v>
      </c>
      <c r="BU87" s="5" t="n">
        <v>0</v>
      </c>
      <c r="BV87" s="5" t="n">
        <v>0.219</v>
      </c>
      <c r="BW87" s="5" t="n">
        <v>0.125</v>
      </c>
      <c r="BX87" s="5" t="n">
        <v>0.667</v>
      </c>
      <c r="BY87" s="5" t="n">
        <v>12.729</v>
      </c>
      <c r="BZ87" s="5" t="n">
        <v>0</v>
      </c>
      <c r="CA87" s="5" t="n">
        <v>12.729</v>
      </c>
      <c r="CB87" s="5" t="n">
        <v>0</v>
      </c>
      <c r="CC87" s="5" t="n">
        <v>97.90000000000001</v>
      </c>
      <c r="CD87" s="5" t="n">
        <v>7.95</v>
      </c>
      <c r="CE87" s="5" t="n">
        <v>73.599</v>
      </c>
      <c r="CF87" s="5" t="n">
        <v>191.168</v>
      </c>
      <c r="CG87" s="5" t="n">
        <v>0.125</v>
      </c>
      <c r="CH87" s="5" t="n">
        <v>1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1.294</v>
      </c>
      <c r="CR87" s="5" t="n">
        <v>0</v>
      </c>
      <c r="CS87" s="5" t="n">
        <v>5.158</v>
      </c>
      <c r="CT87" s="5" t="n">
        <v>10.485</v>
      </c>
      <c r="CU87" s="5" t="n">
        <v>29.494</v>
      </c>
    </row>
    <row r="88">
      <c r="A88" s="5" t="inlineStr">
        <is>
          <t>BLZ2023</t>
        </is>
      </c>
      <c r="B88" s="5" t="inlineStr">
        <is>
          <t>BLZ</t>
        </is>
      </c>
      <c r="C88" s="5" t="inlineStr">
        <is>
          <t>BLZ</t>
        </is>
      </c>
      <c r="D88" s="5" t="inlineStr">
        <is>
          <t>Belize</t>
        </is>
      </c>
      <c r="E88" s="5" t="n">
        <v>2023</v>
      </c>
      <c r="F88" s="5" t="n">
        <v>0.125</v>
      </c>
      <c r="G88" s="5" t="n">
        <v>6.147</v>
      </c>
      <c r="H88" s="5" t="n">
        <v>1.286</v>
      </c>
      <c r="I88" s="5" t="n">
        <v>0</v>
      </c>
      <c r="J88" s="5" t="n">
        <v>6.147</v>
      </c>
      <c r="K88" s="5" t="n">
        <v>0</v>
      </c>
      <c r="L88" s="5" t="n">
        <v>1</v>
      </c>
      <c r="M88" s="5" t="n">
        <v>7.886</v>
      </c>
      <c r="N88" s="5" t="n">
        <v>3.857</v>
      </c>
      <c r="O88" s="5" t="n">
        <v>0</v>
      </c>
      <c r="P88" s="5" t="n">
        <v>7.886</v>
      </c>
      <c r="Q88" s="5" t="n">
        <v>0</v>
      </c>
      <c r="R88" s="5" t="n">
        <v>1</v>
      </c>
      <c r="S88" s="5" t="n">
        <v>12.575</v>
      </c>
      <c r="T88" s="5" t="n">
        <v>7.714</v>
      </c>
      <c r="U88" s="5" t="n">
        <v>0.174</v>
      </c>
      <c r="V88" s="5" t="n">
        <v>14.147</v>
      </c>
      <c r="W88" s="5" t="n">
        <v>0.125</v>
      </c>
      <c r="X88" s="5" t="n">
        <v>1</v>
      </c>
      <c r="Y88" s="5" t="n">
        <v>3.731</v>
      </c>
      <c r="Z88" s="5" t="n">
        <v>0.502</v>
      </c>
      <c r="AA88" s="5" t="n">
        <v>0</v>
      </c>
      <c r="AB88" s="5" t="n">
        <v>3.731</v>
      </c>
      <c r="AC88" s="5" t="n">
        <v>0</v>
      </c>
      <c r="AD88" s="5" t="n">
        <v>1</v>
      </c>
      <c r="AE88" s="5" t="n">
        <v>5.016</v>
      </c>
      <c r="AF88" s="5" t="n">
        <v>1.175</v>
      </c>
      <c r="AG88" s="5" t="n">
        <v>0</v>
      </c>
      <c r="AH88" s="5" t="n">
        <v>5.016</v>
      </c>
      <c r="AI88" s="5" t="n">
        <v>0</v>
      </c>
      <c r="AJ88" s="5" t="n">
        <v>1</v>
      </c>
      <c r="AK88" s="5" t="n">
        <v>12.73</v>
      </c>
      <c r="AL88" s="5" t="n">
        <v>6.84</v>
      </c>
      <c r="AM88" s="5" t="n">
        <v>0.176</v>
      </c>
      <c r="AN88" s="5" t="n">
        <v>14.322</v>
      </c>
      <c r="AO88" s="5" t="n">
        <v>0.125</v>
      </c>
      <c r="AP88" s="5" t="n">
        <v>1</v>
      </c>
      <c r="AQ88" s="5" t="n">
        <v>0.791</v>
      </c>
      <c r="AR88" s="5" t="n">
        <v>0.129</v>
      </c>
      <c r="AS88" s="5" t="n">
        <v>0.4</v>
      </c>
      <c r="AT88" s="5" t="n">
        <v>1.339</v>
      </c>
      <c r="AU88" s="5" t="n">
        <v>0.125</v>
      </c>
      <c r="AV88" s="5" t="n">
        <v>1</v>
      </c>
      <c r="AW88" s="5" t="n">
        <v>0.618</v>
      </c>
      <c r="AX88" s="5" t="n">
        <v>0.129</v>
      </c>
      <c r="AY88" s="5" t="n">
        <v>0.55</v>
      </c>
      <c r="AZ88" s="5" t="n">
        <v>1.314</v>
      </c>
      <c r="BA88" s="5" t="n">
        <v>0.125</v>
      </c>
      <c r="BB88" s="5" t="n">
        <v>1</v>
      </c>
      <c r="BC88" s="5" t="n">
        <v>0.554</v>
      </c>
      <c r="BD88" s="5" t="n">
        <v>0.129</v>
      </c>
      <c r="BE88" s="5" t="n">
        <v>0.008</v>
      </c>
      <c r="BF88" s="5" t="n">
        <v>0.624</v>
      </c>
      <c r="BG88" s="5" t="n">
        <v>0.125</v>
      </c>
      <c r="BH88" s="5" t="n">
        <v>1</v>
      </c>
      <c r="BI88" s="5" t="n">
        <v>0.5570000000000001</v>
      </c>
      <c r="BJ88" s="5" t="n">
        <v>0.129</v>
      </c>
      <c r="BK88" s="5" t="n">
        <v>0.613</v>
      </c>
      <c r="BL88" s="5" t="n">
        <v>1.317</v>
      </c>
      <c r="BM88" s="5" t="n">
        <v>0.125</v>
      </c>
      <c r="BN88" s="5" t="n">
        <v>1</v>
      </c>
      <c r="BO88" s="5" t="n">
        <v>0</v>
      </c>
      <c r="BP88" s="5" t="n">
        <v>0</v>
      </c>
      <c r="BQ88" s="5" t="n">
        <v>0.175</v>
      </c>
      <c r="BR88" s="5" t="n">
        <v>0</v>
      </c>
      <c r="BS88" s="5" t="n">
        <v>0.333</v>
      </c>
      <c r="BT88" s="5" t="n">
        <v>0</v>
      </c>
      <c r="BU88" s="5" t="n">
        <v>0</v>
      </c>
      <c r="BV88" s="5" t="n">
        <v>0.219</v>
      </c>
      <c r="BW88" s="5" t="n">
        <v>0.125</v>
      </c>
      <c r="BX88" s="5" t="n">
        <v>0.667</v>
      </c>
      <c r="BY88" s="5" t="n">
        <v>13.254</v>
      </c>
      <c r="BZ88" s="5" t="n">
        <v>0</v>
      </c>
      <c r="CA88" s="5" t="n">
        <v>13.254</v>
      </c>
      <c r="CB88" s="5" t="n">
        <v>0</v>
      </c>
      <c r="CC88" s="5" t="n">
        <v>83.248</v>
      </c>
      <c r="CD88" s="5" t="n">
        <v>7.95</v>
      </c>
      <c r="CE88" s="5" t="n">
        <v>79.29600000000001</v>
      </c>
      <c r="CF88" s="5" t="n">
        <v>180.366</v>
      </c>
      <c r="CG88" s="5" t="n">
        <v>0.125</v>
      </c>
      <c r="CH88" s="5" t="n">
        <v>1</v>
      </c>
      <c r="CI88" s="5" t="n">
        <v>0</v>
      </c>
      <c r="CJ88" s="5" t="n">
        <v>0</v>
      </c>
      <c r="CK88" s="5" t="n">
        <v>0</v>
      </c>
      <c r="CL88" s="5" t="n">
        <v>0</v>
      </c>
      <c r="CM88" s="5" t="n">
        <v>0</v>
      </c>
      <c r="CN88" s="5" t="n">
        <v>0</v>
      </c>
      <c r="CO88" s="5" t="n">
        <v>0</v>
      </c>
      <c r="CP88" s="5" t="n">
        <v>0</v>
      </c>
      <c r="CQ88" s="5" t="n">
        <v>1.348</v>
      </c>
      <c r="CR88" s="5" t="n">
        <v>0</v>
      </c>
      <c r="CS88" s="5" t="n">
        <v>5.37</v>
      </c>
      <c r="CT88" s="5" t="n">
        <v>4.861</v>
      </c>
      <c r="CU88" s="5" t="n">
        <v>11.192</v>
      </c>
    </row>
    <row r="89">
      <c r="A89" s="5" t="inlineStr">
        <is>
          <t>BLZ2024</t>
        </is>
      </c>
      <c r="B89" s="5" t="inlineStr">
        <is>
          <t>BLZ</t>
        </is>
      </c>
      <c r="C89" s="5" t="inlineStr">
        <is>
          <t>BLZ</t>
        </is>
      </c>
      <c r="D89" s="5" t="inlineStr">
        <is>
          <t>Belize</t>
        </is>
      </c>
      <c r="E89" s="5" t="n">
        <v>2024</v>
      </c>
      <c r="F89" s="5" t="n">
        <v>0.125</v>
      </c>
      <c r="G89" s="5" t="n">
        <v>5.575</v>
      </c>
      <c r="H89" s="5" t="n">
        <v>1.324</v>
      </c>
      <c r="I89" s="5" t="n">
        <v>0</v>
      </c>
      <c r="J89" s="5" t="n">
        <v>5.575</v>
      </c>
      <c r="K89" s="5" t="n">
        <v>0</v>
      </c>
      <c r="L89" s="5" t="n">
        <v>1</v>
      </c>
      <c r="M89" s="5" t="n">
        <v>7.124</v>
      </c>
      <c r="N89" s="5" t="n">
        <v>3.971</v>
      </c>
      <c r="O89" s="5" t="n">
        <v>0</v>
      </c>
      <c r="P89" s="5" t="n">
        <v>7.124</v>
      </c>
      <c r="Q89" s="5" t="n">
        <v>0</v>
      </c>
      <c r="R89" s="5" t="n">
        <v>1</v>
      </c>
      <c r="S89" s="5" t="n">
        <v>12.193</v>
      </c>
      <c r="T89" s="5" t="n">
        <v>7.942</v>
      </c>
      <c r="U89" s="5" t="n">
        <v>0.208</v>
      </c>
      <c r="V89" s="5" t="n">
        <v>13.717</v>
      </c>
      <c r="W89" s="5" t="n">
        <v>0.125</v>
      </c>
      <c r="X89" s="5" t="n">
        <v>1</v>
      </c>
      <c r="Y89" s="5" t="n">
        <v>3.841</v>
      </c>
      <c r="Z89" s="5" t="n">
        <v>0.517</v>
      </c>
      <c r="AA89" s="5" t="n">
        <v>0</v>
      </c>
      <c r="AB89" s="5" t="n">
        <v>3.841</v>
      </c>
      <c r="AC89" s="5" t="n">
        <v>0</v>
      </c>
      <c r="AD89" s="5" t="n">
        <v>1</v>
      </c>
      <c r="AE89" s="5" t="n">
        <v>5.164</v>
      </c>
      <c r="AF89" s="5" t="n">
        <v>1.209</v>
      </c>
      <c r="AG89" s="5" t="n">
        <v>0</v>
      </c>
      <c r="AH89" s="5" t="n">
        <v>5.164</v>
      </c>
      <c r="AI89" s="5" t="n">
        <v>0</v>
      </c>
      <c r="AJ89" s="5" t="n">
        <v>1</v>
      </c>
      <c r="AK89" s="5" t="n">
        <v>13.106</v>
      </c>
      <c r="AL89" s="5" t="n">
        <v>7.042</v>
      </c>
      <c r="AM89" s="5" t="n">
        <v>0.223</v>
      </c>
      <c r="AN89" s="5" t="n">
        <v>14.744</v>
      </c>
      <c r="AO89" s="5" t="n">
        <v>0.125</v>
      </c>
      <c r="AP89" s="5" t="n">
        <v>1</v>
      </c>
      <c r="AQ89" s="5" t="n">
        <v>0.756</v>
      </c>
      <c r="AR89" s="5" t="n">
        <v>0.132</v>
      </c>
      <c r="AS89" s="5" t="n">
        <v>0.153</v>
      </c>
      <c r="AT89" s="5" t="n">
        <v>1.023</v>
      </c>
      <c r="AU89" s="5" t="n">
        <v>0.125</v>
      </c>
      <c r="AV89" s="5" t="n">
        <v>1</v>
      </c>
      <c r="AW89" s="5" t="n">
        <v>0.655</v>
      </c>
      <c r="AX89" s="5" t="n">
        <v>0.132</v>
      </c>
      <c r="AY89" s="5" t="n">
        <v>0.489</v>
      </c>
      <c r="AZ89" s="5" t="n">
        <v>1.287</v>
      </c>
      <c r="BA89" s="5" t="n">
        <v>0.125</v>
      </c>
      <c r="BB89" s="5" t="n">
        <v>1</v>
      </c>
      <c r="BC89" s="5" t="n">
        <v>0.534</v>
      </c>
      <c r="BD89" s="5" t="n">
        <v>0.132</v>
      </c>
      <c r="BE89" s="5" t="n">
        <v>0.008999999999999999</v>
      </c>
      <c r="BF89" s="5" t="n">
        <v>0.6</v>
      </c>
      <c r="BG89" s="5" t="n">
        <v>0.125</v>
      </c>
      <c r="BH89" s="5" t="n">
        <v>1</v>
      </c>
      <c r="BI89" s="5" t="n">
        <v>0.5679999999999999</v>
      </c>
      <c r="BJ89" s="5" t="n">
        <v>0.132</v>
      </c>
      <c r="BK89" s="5" t="n">
        <v>0.652</v>
      </c>
      <c r="BL89" s="5" t="n">
        <v>1.35</v>
      </c>
      <c r="BM89" s="5" t="n">
        <v>0.125</v>
      </c>
      <c r="BN89" s="5" t="n">
        <v>1</v>
      </c>
      <c r="BO89" s="5" t="n">
        <v>0</v>
      </c>
      <c r="BP89" s="5" t="n">
        <v>0</v>
      </c>
      <c r="BQ89" s="5" t="n">
        <v>0.175</v>
      </c>
      <c r="BR89" s="5" t="n">
        <v>0</v>
      </c>
      <c r="BS89" s="5" t="n">
        <v>0.333</v>
      </c>
      <c r="BT89" s="5" t="n">
        <v>0</v>
      </c>
      <c r="BU89" s="5" t="n">
        <v>0</v>
      </c>
      <c r="BV89" s="5" t="n">
        <v>0.219</v>
      </c>
      <c r="BW89" s="5" t="n">
        <v>0.125</v>
      </c>
      <c r="BX89" s="5" t="n">
        <v>0.667</v>
      </c>
      <c r="BY89" s="5" t="n">
        <v>13.646</v>
      </c>
      <c r="BZ89" s="5" t="n">
        <v>0</v>
      </c>
      <c r="CA89" s="5" t="n">
        <v>13.646</v>
      </c>
      <c r="CB89" s="5" t="n">
        <v>0</v>
      </c>
      <c r="CC89" s="5" t="n">
        <v>82.58799999999999</v>
      </c>
      <c r="CD89" s="5" t="n">
        <v>7.95</v>
      </c>
      <c r="CE89" s="5" t="n">
        <v>82.462</v>
      </c>
      <c r="CF89" s="5" t="n">
        <v>182.572</v>
      </c>
      <c r="CG89" s="5" t="n">
        <v>0.125</v>
      </c>
      <c r="CH89" s="5" t="n">
        <v>1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1.387</v>
      </c>
      <c r="CR89" s="5" t="n">
        <v>0</v>
      </c>
      <c r="CS89" s="5" t="n">
        <v>5.529</v>
      </c>
      <c r="CT89" s="5" t="n">
        <v>4.251</v>
      </c>
      <c r="CU89" s="5" t="n">
        <v>10.123</v>
      </c>
    </row>
    <row r="90">
      <c r="A90" s="5" t="inlineStr">
        <is>
          <t>BEN2021</t>
        </is>
      </c>
      <c r="B90" s="5" t="inlineStr">
        <is>
          <t>BEN</t>
        </is>
      </c>
      <c r="C90" s="5" t="inlineStr">
        <is>
          <t>BEN</t>
        </is>
      </c>
      <c r="D90" s="5" t="inlineStr">
        <is>
          <t>Benin</t>
        </is>
      </c>
      <c r="E90" s="5" t="n">
        <v>2021</v>
      </c>
      <c r="F90" s="5" t="n">
        <v>0.18</v>
      </c>
      <c r="G90" s="5" t="n">
        <v>5.897</v>
      </c>
      <c r="H90" s="5" t="n">
        <v>1.143</v>
      </c>
      <c r="I90" s="5" t="n">
        <v>0</v>
      </c>
      <c r="J90" s="5" t="n">
        <v>5.897</v>
      </c>
      <c r="K90" s="5" t="n">
        <v>0</v>
      </c>
      <c r="L90" s="5" t="n">
        <v>1</v>
      </c>
      <c r="M90" s="5" t="n">
        <v>7.964</v>
      </c>
      <c r="N90" s="5" t="n">
        <v>3.43</v>
      </c>
      <c r="O90" s="5" t="n">
        <v>0</v>
      </c>
      <c r="P90" s="5" t="n">
        <v>7.964</v>
      </c>
      <c r="Q90" s="5" t="n">
        <v>0</v>
      </c>
      <c r="R90" s="5" t="n">
        <v>1</v>
      </c>
      <c r="S90" s="5" t="n">
        <v>11.613</v>
      </c>
      <c r="T90" s="5" t="n">
        <v>6.86</v>
      </c>
      <c r="U90" s="5" t="n">
        <v>0</v>
      </c>
      <c r="V90" s="5" t="n">
        <v>13.704</v>
      </c>
      <c r="W90" s="5" t="n">
        <v>0.18</v>
      </c>
      <c r="X90" s="5" t="n">
        <v>1</v>
      </c>
      <c r="Y90" s="5" t="n">
        <v>5.721</v>
      </c>
      <c r="Z90" s="5" t="n">
        <v>0.773</v>
      </c>
      <c r="AA90" s="5" t="n">
        <v>0</v>
      </c>
      <c r="AB90" s="5" t="n">
        <v>5.721</v>
      </c>
      <c r="AC90" s="5" t="n">
        <v>0</v>
      </c>
      <c r="AD90" s="5" t="n">
        <v>1</v>
      </c>
      <c r="AE90" s="5" t="n">
        <v>6.864</v>
      </c>
      <c r="AF90" s="5" t="n">
        <v>1.605</v>
      </c>
      <c r="AG90" s="5" t="n">
        <v>0</v>
      </c>
      <c r="AH90" s="5" t="n">
        <v>6.864</v>
      </c>
      <c r="AI90" s="5" t="n">
        <v>0</v>
      </c>
      <c r="AJ90" s="5" t="n">
        <v>1</v>
      </c>
      <c r="AK90" s="5" t="n">
        <v>13.724</v>
      </c>
      <c r="AL90" s="5" t="n">
        <v>7.309</v>
      </c>
      <c r="AM90" s="5" t="n">
        <v>0</v>
      </c>
      <c r="AN90" s="5" t="n">
        <v>16.195</v>
      </c>
      <c r="AO90" s="5" t="n">
        <v>0.18</v>
      </c>
      <c r="AP90" s="5" t="n">
        <v>1</v>
      </c>
      <c r="AQ90" s="5" t="n">
        <v>0.619</v>
      </c>
      <c r="AR90" s="5" t="n">
        <v>0.114</v>
      </c>
      <c r="AS90" s="5" t="n">
        <v>0.158</v>
      </c>
      <c r="AT90" s="5" t="n">
        <v>0.917</v>
      </c>
      <c r="AU90" s="5" t="n">
        <v>0.18</v>
      </c>
      <c r="AV90" s="5" t="n">
        <v>1</v>
      </c>
      <c r="AW90" s="5" t="n">
        <v>0.599</v>
      </c>
      <c r="AX90" s="5" t="n">
        <v>0.114</v>
      </c>
      <c r="AY90" s="5" t="n">
        <v>0.197</v>
      </c>
      <c r="AZ90" s="5" t="n">
        <v>0.9399999999999999</v>
      </c>
      <c r="BA90" s="5" t="n">
        <v>0.18</v>
      </c>
      <c r="BB90" s="5" t="n">
        <v>1</v>
      </c>
      <c r="BC90" s="5" t="n">
        <v>0.439</v>
      </c>
      <c r="BD90" s="5" t="n">
        <v>0.114</v>
      </c>
      <c r="BE90" s="5" t="n">
        <v>0.055</v>
      </c>
      <c r="BF90" s="5" t="n">
        <v>0.583</v>
      </c>
      <c r="BG90" s="5" t="n">
        <v>0.18</v>
      </c>
      <c r="BH90" s="5" t="n">
        <v>1</v>
      </c>
      <c r="BI90" s="5" t="n">
        <v>0.505</v>
      </c>
      <c r="BJ90" s="5" t="n">
        <v>0.114</v>
      </c>
      <c r="BK90" s="5" t="n">
        <v>0.282</v>
      </c>
      <c r="BL90" s="5" t="n">
        <v>0.928</v>
      </c>
      <c r="BM90" s="5" t="n">
        <v>0.18</v>
      </c>
      <c r="BN90" s="5" t="n">
        <v>1</v>
      </c>
      <c r="BO90" s="5" t="n">
        <v>0</v>
      </c>
      <c r="BP90" s="5" t="n">
        <v>0</v>
      </c>
      <c r="BQ90" s="5" t="n">
        <v>0.214</v>
      </c>
      <c r="BR90" s="5" t="n">
        <v>0</v>
      </c>
      <c r="BS90" s="5" t="n">
        <v>0.667</v>
      </c>
      <c r="BT90" s="5" t="n">
        <v>0</v>
      </c>
      <c r="BU90" s="5" t="n">
        <v>0</v>
      </c>
      <c r="BV90" s="5" t="n">
        <v>0.216</v>
      </c>
      <c r="BW90" s="5" t="n">
        <v>0.18</v>
      </c>
      <c r="BX90" s="5" t="n">
        <v>0.667</v>
      </c>
      <c r="BY90" s="5" t="n">
        <v>11.787</v>
      </c>
      <c r="BZ90" s="5" t="n">
        <v>0</v>
      </c>
      <c r="CA90" s="5" t="n">
        <v>11.787</v>
      </c>
      <c r="CB90" s="5" t="n">
        <v>0</v>
      </c>
      <c r="CC90" s="5" t="n">
        <v>78.125</v>
      </c>
      <c r="CD90" s="5" t="n">
        <v>7.95</v>
      </c>
      <c r="CE90" s="5" t="n">
        <v>71.617</v>
      </c>
      <c r="CF90" s="5" t="n">
        <v>176.696</v>
      </c>
      <c r="CG90" s="5" t="n">
        <v>0.18</v>
      </c>
      <c r="CH90" s="5" t="n">
        <v>1</v>
      </c>
      <c r="CI90" s="5" t="n">
        <v>0</v>
      </c>
      <c r="CJ90" s="5" t="n">
        <v>0</v>
      </c>
      <c r="CK90" s="5" t="n">
        <v>0</v>
      </c>
      <c r="CL90" s="5" t="n">
        <v>0</v>
      </c>
      <c r="CM90" s="5" t="n">
        <v>0</v>
      </c>
      <c r="CN90" s="5" t="n">
        <v>0</v>
      </c>
      <c r="CO90" s="5" t="n">
        <v>0</v>
      </c>
      <c r="CP90" s="5" t="n">
        <v>0</v>
      </c>
      <c r="CQ90" s="5" t="n">
        <v>1.198</v>
      </c>
      <c r="CR90" s="5" t="n">
        <v>0</v>
      </c>
      <c r="CS90" s="5" t="n">
        <v>4.776</v>
      </c>
      <c r="CT90" s="5" t="n">
        <v>4.753</v>
      </c>
      <c r="CU90" s="5" t="n">
        <v>15.162</v>
      </c>
    </row>
    <row r="91">
      <c r="A91" s="5" t="inlineStr">
        <is>
          <t>BEN2022</t>
        </is>
      </c>
      <c r="B91" s="5" t="inlineStr">
        <is>
          <t>BEN</t>
        </is>
      </c>
      <c r="C91" s="5" t="inlineStr">
        <is>
          <t>BEN</t>
        </is>
      </c>
      <c r="D91" s="5" t="inlineStr">
        <is>
          <t>Benin</t>
        </is>
      </c>
      <c r="E91" s="5" t="n">
        <v>2022</v>
      </c>
      <c r="F91" s="5" t="n">
        <v>0.18</v>
      </c>
      <c r="G91" s="5" t="n">
        <v>11.72</v>
      </c>
      <c r="H91" s="5" t="n">
        <v>1.235</v>
      </c>
      <c r="I91" s="5" t="n">
        <v>0</v>
      </c>
      <c r="J91" s="5" t="n">
        <v>11.72</v>
      </c>
      <c r="K91" s="5" t="n">
        <v>0</v>
      </c>
      <c r="L91" s="5" t="n">
        <v>1</v>
      </c>
      <c r="M91" s="5" t="n">
        <v>9.782999999999999</v>
      </c>
      <c r="N91" s="5" t="n">
        <v>3.704</v>
      </c>
      <c r="O91" s="5" t="n">
        <v>0</v>
      </c>
      <c r="P91" s="5" t="n">
        <v>9.782999999999999</v>
      </c>
      <c r="Q91" s="5" t="n">
        <v>0</v>
      </c>
      <c r="R91" s="5" t="n">
        <v>1</v>
      </c>
      <c r="S91" s="5" t="n">
        <v>17.893</v>
      </c>
      <c r="T91" s="5" t="n">
        <v>7.408</v>
      </c>
      <c r="U91" s="5" t="n">
        <v>0.238</v>
      </c>
      <c r="V91" s="5" t="n">
        <v>21.114</v>
      </c>
      <c r="W91" s="5" t="n">
        <v>0.18</v>
      </c>
      <c r="X91" s="5" t="n">
        <v>1</v>
      </c>
      <c r="Y91" s="5" t="n">
        <v>6.488</v>
      </c>
      <c r="Z91" s="5" t="n">
        <v>0.877</v>
      </c>
      <c r="AA91" s="5" t="n">
        <v>0</v>
      </c>
      <c r="AB91" s="5" t="n">
        <v>6.488</v>
      </c>
      <c r="AC91" s="5" t="n">
        <v>0</v>
      </c>
      <c r="AD91" s="5" t="n">
        <v>1</v>
      </c>
      <c r="AE91" s="5" t="n">
        <v>7.723</v>
      </c>
      <c r="AF91" s="5" t="n">
        <v>1.806</v>
      </c>
      <c r="AG91" s="5" t="n">
        <v>0</v>
      </c>
      <c r="AH91" s="5" t="n">
        <v>7.723</v>
      </c>
      <c r="AI91" s="5" t="n">
        <v>0</v>
      </c>
      <c r="AJ91" s="5" t="n">
        <v>1</v>
      </c>
      <c r="AK91" s="5" t="n">
        <v>15.131</v>
      </c>
      <c r="AL91" s="5" t="n">
        <v>8.058999999999999</v>
      </c>
      <c r="AM91" s="5" t="n">
        <v>0.202</v>
      </c>
      <c r="AN91" s="5" t="n">
        <v>17.855</v>
      </c>
      <c r="AO91" s="5" t="n">
        <v>0.18</v>
      </c>
      <c r="AP91" s="5" t="n">
        <v>1</v>
      </c>
      <c r="AQ91" s="5" t="n">
        <v>0.861</v>
      </c>
      <c r="AR91" s="5" t="n">
        <v>0.123</v>
      </c>
      <c r="AS91" s="5" t="n">
        <v>-0.047</v>
      </c>
      <c r="AT91" s="5" t="n">
        <v>0.961</v>
      </c>
      <c r="AU91" s="5" t="n">
        <v>0.18</v>
      </c>
      <c r="AV91" s="5" t="n">
        <v>1</v>
      </c>
      <c r="AW91" s="5" t="n">
        <v>0.986</v>
      </c>
      <c r="AX91" s="5" t="n">
        <v>0.123</v>
      </c>
      <c r="AY91" s="5" t="n">
        <v>-0.112</v>
      </c>
      <c r="AZ91" s="5" t="n">
        <v>1.032</v>
      </c>
      <c r="BA91" s="5" t="n">
        <v>0.18</v>
      </c>
      <c r="BB91" s="5" t="n">
        <v>1</v>
      </c>
      <c r="BC91" s="5" t="n">
        <v>0.598</v>
      </c>
      <c r="BD91" s="5" t="n">
        <v>0.123</v>
      </c>
      <c r="BE91" s="5" t="n">
        <v>-0.005</v>
      </c>
      <c r="BF91" s="5" t="n">
        <v>0.699</v>
      </c>
      <c r="BG91" s="5" t="n">
        <v>0.18</v>
      </c>
      <c r="BH91" s="5" t="n">
        <v>1</v>
      </c>
      <c r="BI91" s="5" t="n">
        <v>0.612</v>
      </c>
      <c r="BJ91" s="5" t="n">
        <v>0.123</v>
      </c>
      <c r="BK91" s="5" t="n">
        <v>0.444</v>
      </c>
      <c r="BL91" s="5" t="n">
        <v>1.246</v>
      </c>
      <c r="BM91" s="5" t="n">
        <v>0.18</v>
      </c>
      <c r="BN91" s="5" t="n">
        <v>1</v>
      </c>
      <c r="BO91" s="5" t="n">
        <v>0</v>
      </c>
      <c r="BP91" s="5" t="n">
        <v>0</v>
      </c>
      <c r="BQ91" s="5" t="n">
        <v>0.191</v>
      </c>
      <c r="BR91" s="5" t="n">
        <v>0</v>
      </c>
      <c r="BS91" s="5" t="n">
        <v>0.667</v>
      </c>
      <c r="BT91" s="5" t="n">
        <v>0</v>
      </c>
      <c r="BU91" s="5" t="n">
        <v>0</v>
      </c>
      <c r="BV91" s="5" t="n">
        <v>0.192</v>
      </c>
      <c r="BW91" s="5" t="n">
        <v>0.18</v>
      </c>
      <c r="BX91" s="5" t="n">
        <v>0.667</v>
      </c>
      <c r="BY91" s="5" t="n">
        <v>12.729</v>
      </c>
      <c r="BZ91" s="5" t="n">
        <v>0</v>
      </c>
      <c r="CA91" s="5" t="n">
        <v>12.729</v>
      </c>
      <c r="CB91" s="5" t="n">
        <v>0</v>
      </c>
      <c r="CC91" s="5" t="n">
        <v>97.90000000000001</v>
      </c>
      <c r="CD91" s="5" t="n">
        <v>7.95</v>
      </c>
      <c r="CE91" s="5" t="n">
        <v>94.369</v>
      </c>
      <c r="CF91" s="5" t="n">
        <v>226.877</v>
      </c>
      <c r="CG91" s="5" t="n">
        <v>0.18</v>
      </c>
      <c r="CH91" s="5" t="n">
        <v>1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1.294</v>
      </c>
      <c r="CR91" s="5" t="n">
        <v>0</v>
      </c>
      <c r="CS91" s="5" t="n">
        <v>5.158</v>
      </c>
      <c r="CT91" s="5" t="n">
        <v>10.485</v>
      </c>
      <c r="CU91" s="5" t="n">
        <v>31.326</v>
      </c>
    </row>
    <row r="92">
      <c r="A92" s="5" t="inlineStr">
        <is>
          <t>BEN2023</t>
        </is>
      </c>
      <c r="B92" s="5" t="inlineStr">
        <is>
          <t>BEN</t>
        </is>
      </c>
      <c r="C92" s="5" t="inlineStr">
        <is>
          <t>BEN</t>
        </is>
      </c>
      <c r="D92" s="5" t="inlineStr">
        <is>
          <t>Benin</t>
        </is>
      </c>
      <c r="E92" s="5" t="n">
        <v>2023</v>
      </c>
      <c r="F92" s="5" t="n">
        <v>0.18</v>
      </c>
      <c r="G92" s="5" t="n">
        <v>6.147</v>
      </c>
      <c r="H92" s="5" t="n">
        <v>1.286</v>
      </c>
      <c r="I92" s="5" t="n">
        <v>0</v>
      </c>
      <c r="J92" s="5" t="n">
        <v>6.147</v>
      </c>
      <c r="K92" s="5" t="n">
        <v>0</v>
      </c>
      <c r="L92" s="5" t="n">
        <v>1</v>
      </c>
      <c r="M92" s="5" t="n">
        <v>7.886</v>
      </c>
      <c r="N92" s="5" t="n">
        <v>3.857</v>
      </c>
      <c r="O92" s="5" t="n">
        <v>0</v>
      </c>
      <c r="P92" s="5" t="n">
        <v>7.886</v>
      </c>
      <c r="Q92" s="5" t="n">
        <v>0</v>
      </c>
      <c r="R92" s="5" t="n">
        <v>1</v>
      </c>
      <c r="S92" s="5" t="n">
        <v>12.575</v>
      </c>
      <c r="T92" s="5" t="n">
        <v>7.714</v>
      </c>
      <c r="U92" s="5" t="n">
        <v>0.251</v>
      </c>
      <c r="V92" s="5" t="n">
        <v>14.839</v>
      </c>
      <c r="W92" s="5" t="n">
        <v>0.18</v>
      </c>
      <c r="X92" s="5" t="n">
        <v>1</v>
      </c>
      <c r="Y92" s="5" t="n">
        <v>6.433</v>
      </c>
      <c r="Z92" s="5" t="n">
        <v>0.869</v>
      </c>
      <c r="AA92" s="5" t="n">
        <v>0</v>
      </c>
      <c r="AB92" s="5" t="n">
        <v>6.433</v>
      </c>
      <c r="AC92" s="5" t="n">
        <v>0</v>
      </c>
      <c r="AD92" s="5" t="n">
        <v>1</v>
      </c>
      <c r="AE92" s="5" t="n">
        <v>7.719</v>
      </c>
      <c r="AF92" s="5" t="n">
        <v>1.805</v>
      </c>
      <c r="AG92" s="5" t="n">
        <v>0</v>
      </c>
      <c r="AH92" s="5" t="n">
        <v>7.719</v>
      </c>
      <c r="AI92" s="5" t="n">
        <v>0</v>
      </c>
      <c r="AJ92" s="5" t="n">
        <v>1</v>
      </c>
      <c r="AK92" s="5" t="n">
        <v>15.433</v>
      </c>
      <c r="AL92" s="5" t="n">
        <v>8.218999999999999</v>
      </c>
      <c r="AM92" s="5" t="n">
        <v>0.308</v>
      </c>
      <c r="AN92" s="5" t="n">
        <v>18.211</v>
      </c>
      <c r="AO92" s="5" t="n">
        <v>0.18</v>
      </c>
      <c r="AP92" s="5" t="n">
        <v>1</v>
      </c>
      <c r="AQ92" s="5" t="n">
        <v>0.76</v>
      </c>
      <c r="AR92" s="5" t="n">
        <v>0.129</v>
      </c>
      <c r="AS92" s="5" t="n">
        <v>0.164</v>
      </c>
      <c r="AT92" s="5" t="n">
        <v>1.091</v>
      </c>
      <c r="AU92" s="5" t="n">
        <v>0.18</v>
      </c>
      <c r="AV92" s="5" t="n">
        <v>1</v>
      </c>
      <c r="AW92" s="5" t="n">
        <v>0.8110000000000001</v>
      </c>
      <c r="AX92" s="5" t="n">
        <v>0.129</v>
      </c>
      <c r="AY92" s="5" t="n">
        <v>0.166</v>
      </c>
      <c r="AZ92" s="5" t="n">
        <v>1.154</v>
      </c>
      <c r="BA92" s="5" t="n">
        <v>0.18</v>
      </c>
      <c r="BB92" s="5" t="n">
        <v>1</v>
      </c>
      <c r="BC92" s="5" t="n">
        <v>0.535</v>
      </c>
      <c r="BD92" s="5" t="n">
        <v>0.129</v>
      </c>
      <c r="BE92" s="5" t="n">
        <v>0.116</v>
      </c>
      <c r="BF92" s="5" t="n">
        <v>0.768</v>
      </c>
      <c r="BG92" s="5" t="n">
        <v>0.18</v>
      </c>
      <c r="BH92" s="5" t="n">
        <v>1</v>
      </c>
      <c r="BI92" s="5" t="n">
        <v>0.579</v>
      </c>
      <c r="BJ92" s="5" t="n">
        <v>0.129</v>
      </c>
      <c r="BK92" s="5" t="n">
        <v>0.609</v>
      </c>
      <c r="BL92" s="5" t="n">
        <v>1.403</v>
      </c>
      <c r="BM92" s="5" t="n">
        <v>0.18</v>
      </c>
      <c r="BN92" s="5" t="n">
        <v>1</v>
      </c>
      <c r="BO92" s="5" t="n">
        <v>0</v>
      </c>
      <c r="BP92" s="5" t="n">
        <v>0</v>
      </c>
      <c r="BQ92" s="5" t="n">
        <v>0.196</v>
      </c>
      <c r="BR92" s="5" t="n">
        <v>0</v>
      </c>
      <c r="BS92" s="5" t="n">
        <v>0.667</v>
      </c>
      <c r="BT92" s="5" t="n">
        <v>0</v>
      </c>
      <c r="BU92" s="5" t="n">
        <v>0</v>
      </c>
      <c r="BV92" s="5" t="n">
        <v>0.197</v>
      </c>
      <c r="BW92" s="5" t="n">
        <v>0.18</v>
      </c>
      <c r="BX92" s="5" t="n">
        <v>0.667</v>
      </c>
      <c r="BY92" s="5" t="n">
        <v>13.254</v>
      </c>
      <c r="BZ92" s="5" t="n">
        <v>0</v>
      </c>
      <c r="CA92" s="5" t="n">
        <v>13.254</v>
      </c>
      <c r="CB92" s="5" t="n">
        <v>0</v>
      </c>
      <c r="CC92" s="5" t="n">
        <v>83.248</v>
      </c>
      <c r="CD92" s="5" t="n">
        <v>7.95</v>
      </c>
      <c r="CE92" s="5" t="n">
        <v>161.243</v>
      </c>
      <c r="CF92" s="5" t="n">
        <v>288.499</v>
      </c>
      <c r="CG92" s="5" t="n">
        <v>0.18</v>
      </c>
      <c r="CH92" s="5" t="n">
        <v>1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1.348</v>
      </c>
      <c r="CR92" s="5" t="n">
        <v>0</v>
      </c>
      <c r="CS92" s="5" t="n">
        <v>5.37</v>
      </c>
      <c r="CT92" s="5" t="n">
        <v>4.861</v>
      </c>
      <c r="CU92" s="5" t="n">
        <v>11.622</v>
      </c>
    </row>
    <row r="93">
      <c r="A93" s="5" t="inlineStr">
        <is>
          <t>BEN2024</t>
        </is>
      </c>
      <c r="B93" s="5" t="inlineStr">
        <is>
          <t>BEN</t>
        </is>
      </c>
      <c r="C93" s="5" t="inlineStr">
        <is>
          <t>BEN</t>
        </is>
      </c>
      <c r="D93" s="5" t="inlineStr">
        <is>
          <t>Benin</t>
        </is>
      </c>
      <c r="E93" s="5" t="n">
        <v>2024</v>
      </c>
      <c r="F93" s="5" t="n">
        <v>0.18</v>
      </c>
      <c r="G93" s="5" t="n">
        <v>5.575</v>
      </c>
      <c r="H93" s="5" t="n">
        <v>1.324</v>
      </c>
      <c r="I93" s="5" t="n">
        <v>0</v>
      </c>
      <c r="J93" s="5" t="n">
        <v>5.575</v>
      </c>
      <c r="K93" s="5" t="n">
        <v>0</v>
      </c>
      <c r="L93" s="5" t="n">
        <v>1</v>
      </c>
      <c r="M93" s="5" t="n">
        <v>7.124</v>
      </c>
      <c r="N93" s="5" t="n">
        <v>3.971</v>
      </c>
      <c r="O93" s="5" t="n">
        <v>0</v>
      </c>
      <c r="P93" s="5" t="n">
        <v>7.124</v>
      </c>
      <c r="Q93" s="5" t="n">
        <v>0</v>
      </c>
      <c r="R93" s="5" t="n">
        <v>1</v>
      </c>
      <c r="S93" s="5" t="n">
        <v>12.193</v>
      </c>
      <c r="T93" s="5" t="n">
        <v>7.942</v>
      </c>
      <c r="U93" s="5" t="n">
        <v>0.299</v>
      </c>
      <c r="V93" s="5" t="n">
        <v>14.388</v>
      </c>
      <c r="W93" s="5" t="n">
        <v>0.18</v>
      </c>
      <c r="X93" s="5" t="n">
        <v>1</v>
      </c>
      <c r="Y93" s="5" t="n">
        <v>6.623</v>
      </c>
      <c r="Z93" s="5" t="n">
        <v>0.895</v>
      </c>
      <c r="AA93" s="5" t="n">
        <v>0</v>
      </c>
      <c r="AB93" s="5" t="n">
        <v>6.623</v>
      </c>
      <c r="AC93" s="5" t="n">
        <v>0</v>
      </c>
      <c r="AD93" s="5" t="n">
        <v>1</v>
      </c>
      <c r="AE93" s="5" t="n">
        <v>7.947</v>
      </c>
      <c r="AF93" s="5" t="n">
        <v>1.858</v>
      </c>
      <c r="AG93" s="5" t="n">
        <v>0</v>
      </c>
      <c r="AH93" s="5" t="n">
        <v>7.947</v>
      </c>
      <c r="AI93" s="5" t="n">
        <v>0</v>
      </c>
      <c r="AJ93" s="5" t="n">
        <v>1</v>
      </c>
      <c r="AK93" s="5" t="n">
        <v>15.888</v>
      </c>
      <c r="AL93" s="5" t="n">
        <v>8.462</v>
      </c>
      <c r="AM93" s="5" t="n">
        <v>0.39</v>
      </c>
      <c r="AN93" s="5" t="n">
        <v>18.748</v>
      </c>
      <c r="AO93" s="5" t="n">
        <v>0.18</v>
      </c>
      <c r="AP93" s="5" t="n">
        <v>1</v>
      </c>
      <c r="AQ93" s="5" t="n">
        <v>0.724</v>
      </c>
      <c r="AR93" s="5" t="n">
        <v>0.132</v>
      </c>
      <c r="AS93" s="5" t="n">
        <v>0.223</v>
      </c>
      <c r="AT93" s="5" t="n">
        <v>1.118</v>
      </c>
      <c r="AU93" s="5" t="n">
        <v>0.18</v>
      </c>
      <c r="AV93" s="5" t="n">
        <v>1</v>
      </c>
      <c r="AW93" s="5" t="n">
        <v>0.75</v>
      </c>
      <c r="AX93" s="5" t="n">
        <v>0.132</v>
      </c>
      <c r="AY93" s="5" t="n">
        <v>0.228</v>
      </c>
      <c r="AZ93" s="5" t="n">
        <v>1.154</v>
      </c>
      <c r="BA93" s="5" t="n">
        <v>0.18</v>
      </c>
      <c r="BB93" s="5" t="n">
        <v>1</v>
      </c>
      <c r="BC93" s="5" t="n">
        <v>0.513</v>
      </c>
      <c r="BD93" s="5" t="n">
        <v>0.132</v>
      </c>
      <c r="BE93" s="5" t="n">
        <v>0.158</v>
      </c>
      <c r="BF93" s="5" t="n">
        <v>0.792</v>
      </c>
      <c r="BG93" s="5" t="n">
        <v>0.18</v>
      </c>
      <c r="BH93" s="5" t="n">
        <v>1</v>
      </c>
      <c r="BI93" s="5" t="n">
        <v>0.591</v>
      </c>
      <c r="BJ93" s="5" t="n">
        <v>0.132</v>
      </c>
      <c r="BK93" s="5" t="n">
        <v>0.598</v>
      </c>
      <c r="BL93" s="5" t="n">
        <v>1.403</v>
      </c>
      <c r="BM93" s="5" t="n">
        <v>0.18</v>
      </c>
      <c r="BN93" s="5" t="n">
        <v>1</v>
      </c>
      <c r="BO93" s="5" t="n">
        <v>0</v>
      </c>
      <c r="BP93" s="5" t="n">
        <v>0</v>
      </c>
      <c r="BQ93" s="5" t="n">
        <v>0.202</v>
      </c>
      <c r="BR93" s="5" t="n">
        <v>0</v>
      </c>
      <c r="BS93" s="5" t="n">
        <v>0.667</v>
      </c>
      <c r="BT93" s="5" t="n">
        <v>0</v>
      </c>
      <c r="BU93" s="5" t="n">
        <v>0</v>
      </c>
      <c r="BV93" s="5" t="n">
        <v>0.203</v>
      </c>
      <c r="BW93" s="5" t="n">
        <v>0.18</v>
      </c>
      <c r="BX93" s="5" t="n">
        <v>0.667</v>
      </c>
      <c r="BY93" s="5" t="n">
        <v>13.646</v>
      </c>
      <c r="BZ93" s="5" t="n">
        <v>0</v>
      </c>
      <c r="CA93" s="5" t="n">
        <v>13.646</v>
      </c>
      <c r="CB93" s="5" t="n">
        <v>0</v>
      </c>
      <c r="CC93" s="5" t="n">
        <v>82.58799999999999</v>
      </c>
      <c r="CD93" s="5" t="n">
        <v>7.95</v>
      </c>
      <c r="CE93" s="5" t="n">
        <v>173.791</v>
      </c>
      <c r="CF93" s="5" t="n">
        <v>295.287</v>
      </c>
      <c r="CG93" s="5" t="n">
        <v>0.18</v>
      </c>
      <c r="CH93" s="5" t="n">
        <v>1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1.387</v>
      </c>
      <c r="CR93" s="5" t="n">
        <v>0</v>
      </c>
      <c r="CS93" s="5" t="n">
        <v>5.529</v>
      </c>
      <c r="CT93" s="5" t="n">
        <v>4.251</v>
      </c>
      <c r="CU93" s="5" t="n">
        <v>10.168</v>
      </c>
    </row>
    <row r="94">
      <c r="A94" s="5" t="inlineStr">
        <is>
          <t>BMU2021</t>
        </is>
      </c>
      <c r="B94" s="5" t="inlineStr">
        <is>
          <t>BMU</t>
        </is>
      </c>
      <c r="C94" s="5" t="inlineStr">
        <is>
          <t>BMU</t>
        </is>
      </c>
      <c r="D94" s="5" t="inlineStr">
        <is>
          <t>Bermuda</t>
        </is>
      </c>
      <c r="E94" s="5" t="n">
        <v>2021</v>
      </c>
      <c r="F94" s="5" t="n">
        <v>0</v>
      </c>
      <c r="G94" s="5" t="n">
        <v>3.885</v>
      </c>
      <c r="H94" s="5" t="n">
        <v>1.143</v>
      </c>
      <c r="I94" s="5" t="n">
        <v>0</v>
      </c>
      <c r="J94" s="5" t="n">
        <v>3.885</v>
      </c>
      <c r="K94" s="5" t="n">
        <v>0</v>
      </c>
      <c r="L94" s="5" t="n">
        <v>1</v>
      </c>
      <c r="M94" s="5" t="n">
        <v>7.964</v>
      </c>
      <c r="N94" s="5" t="n">
        <v>3.43</v>
      </c>
      <c r="O94" s="5" t="n">
        <v>0</v>
      </c>
      <c r="P94" s="5" t="n">
        <v>7.964</v>
      </c>
      <c r="Q94" s="5" t="n">
        <v>0</v>
      </c>
      <c r="R94" s="5" t="n">
        <v>1</v>
      </c>
      <c r="S94" s="5" t="n">
        <v>9.601000000000001</v>
      </c>
      <c r="T94" s="5" t="n">
        <v>6.86</v>
      </c>
      <c r="U94" s="5" t="n">
        <v>0</v>
      </c>
      <c r="V94" s="5" t="n">
        <v>9.601000000000001</v>
      </c>
      <c r="W94" s="5" t="n">
        <v>0</v>
      </c>
      <c r="X94" s="5" t="n">
        <v>1</v>
      </c>
      <c r="Y94" s="5" t="n">
        <v>4.665</v>
      </c>
      <c r="Z94" s="5" t="n">
        <v>1.091</v>
      </c>
      <c r="AA94" s="5" t="n">
        <v>0</v>
      </c>
      <c r="AB94" s="5" t="n">
        <v>4.665</v>
      </c>
      <c r="AC94" s="5" t="n">
        <v>0</v>
      </c>
      <c r="AD94" s="5" t="n">
        <v>1</v>
      </c>
      <c r="AE94" s="5" t="n">
        <v>5.809</v>
      </c>
      <c r="AF94" s="5" t="n">
        <v>2.169</v>
      </c>
      <c r="AG94" s="5" t="n">
        <v>0</v>
      </c>
      <c r="AH94" s="5" t="n">
        <v>5.809</v>
      </c>
      <c r="AI94" s="5" t="n">
        <v>0</v>
      </c>
      <c r="AJ94" s="5" t="n">
        <v>1</v>
      </c>
      <c r="AK94" s="5" t="n">
        <v>12.669</v>
      </c>
      <c r="AL94" s="5" t="n">
        <v>8.759</v>
      </c>
      <c r="AM94" s="5" t="n">
        <v>0</v>
      </c>
      <c r="AN94" s="5" t="n">
        <v>12.669</v>
      </c>
      <c r="AO94" s="5" t="n">
        <v>0</v>
      </c>
      <c r="AP94" s="5" t="n">
        <v>1</v>
      </c>
      <c r="AQ94" s="5" t="n">
        <v>0.649</v>
      </c>
      <c r="AR94" s="5" t="n">
        <v>0.114</v>
      </c>
      <c r="AS94" s="5" t="n">
        <v>0</v>
      </c>
      <c r="AT94" s="5" t="n">
        <v>0.649</v>
      </c>
      <c r="AU94" s="5" t="n">
        <v>0</v>
      </c>
      <c r="AV94" s="5" t="n">
        <v>1</v>
      </c>
      <c r="AW94" s="5" t="n">
        <v>0.577</v>
      </c>
      <c r="AX94" s="5" t="n">
        <v>0.114</v>
      </c>
      <c r="AY94" s="5" t="n">
        <v>0</v>
      </c>
      <c r="AZ94" s="5" t="n">
        <v>0.577</v>
      </c>
      <c r="BA94" s="5" t="n">
        <v>0</v>
      </c>
      <c r="BB94" s="5" t="n">
        <v>1</v>
      </c>
      <c r="BC94" s="5" t="n">
        <v>0.458</v>
      </c>
      <c r="BD94" s="5" t="n">
        <v>0.114</v>
      </c>
      <c r="BE94" s="5" t="n">
        <v>0</v>
      </c>
      <c r="BF94" s="5" t="n">
        <v>0.458</v>
      </c>
      <c r="BG94" s="5" t="n">
        <v>0</v>
      </c>
      <c r="BH94" s="5" t="n">
        <v>1</v>
      </c>
      <c r="BI94" s="5" t="n">
        <v>0.491</v>
      </c>
      <c r="BJ94" s="5" t="n">
        <v>0.114</v>
      </c>
      <c r="BK94" s="5" t="n">
        <v>0</v>
      </c>
      <c r="BL94" s="5" t="n">
        <v>0.491</v>
      </c>
      <c r="BM94" s="5" t="n">
        <v>0</v>
      </c>
      <c r="BN94" s="5" t="n">
        <v>1</v>
      </c>
      <c r="BO94" s="5" t="n">
        <v>0</v>
      </c>
      <c r="BP94" s="5" t="n">
        <v>0</v>
      </c>
      <c r="BQ94" s="5" t="n">
        <v>0.218</v>
      </c>
      <c r="BR94" s="5" t="n">
        <v>0</v>
      </c>
      <c r="BS94" s="5" t="n">
        <v>0.833</v>
      </c>
      <c r="BT94" s="5" t="n">
        <v>0</v>
      </c>
      <c r="BU94" s="5" t="n">
        <v>0</v>
      </c>
      <c r="BV94" s="5" t="n">
        <v>0.378</v>
      </c>
      <c r="BW94" s="5" t="n">
        <v>0</v>
      </c>
      <c r="BX94" s="5" t="n">
        <v>1</v>
      </c>
      <c r="BY94" s="5" t="n">
        <v>11.787</v>
      </c>
      <c r="BZ94" s="5" t="n">
        <v>0</v>
      </c>
      <c r="CA94" s="5" t="n">
        <v>11.787</v>
      </c>
      <c r="CB94" s="5" t="n">
        <v>0</v>
      </c>
      <c r="CC94" s="5" t="n">
        <v>78.125</v>
      </c>
      <c r="CD94" s="5" t="n">
        <v>7.95</v>
      </c>
      <c r="CE94" s="5" t="n">
        <v>0</v>
      </c>
      <c r="CF94" s="5" t="n">
        <v>78.125</v>
      </c>
      <c r="CG94" s="5" t="n">
        <v>0</v>
      </c>
      <c r="CH94" s="5" t="n">
        <v>1</v>
      </c>
      <c r="CI94" s="5" t="n">
        <v>0</v>
      </c>
      <c r="CJ94" s="5" t="n">
        <v>0</v>
      </c>
      <c r="CK94" s="5" t="n">
        <v>0</v>
      </c>
      <c r="CL94" s="5" t="n">
        <v>0</v>
      </c>
      <c r="CM94" s="5" t="n">
        <v>0</v>
      </c>
      <c r="CN94" s="5" t="n">
        <v>0</v>
      </c>
      <c r="CO94" s="5" t="n">
        <v>0</v>
      </c>
      <c r="CP94" s="5" t="n">
        <v>0</v>
      </c>
      <c r="CQ94" s="5" t="n">
        <v>1.198</v>
      </c>
      <c r="CR94" s="5" t="n">
        <v>0</v>
      </c>
      <c r="CS94" s="5" t="n">
        <v>3.522</v>
      </c>
      <c r="CT94" s="5" t="n">
        <v>2.742</v>
      </c>
      <c r="CU94" s="5" t="n">
        <v>3.522</v>
      </c>
    </row>
    <row r="95">
      <c r="A95" s="5" t="inlineStr">
        <is>
          <t>BMU2022</t>
        </is>
      </c>
      <c r="B95" s="5" t="inlineStr">
        <is>
          <t>BMU</t>
        </is>
      </c>
      <c r="C95" s="5" t="inlineStr">
        <is>
          <t>BMU</t>
        </is>
      </c>
      <c r="D95" s="5" t="inlineStr">
        <is>
          <t>Bermuda</t>
        </is>
      </c>
      <c r="E95" s="5" t="n">
        <v>2022</v>
      </c>
      <c r="F95" s="5" t="n">
        <v>0</v>
      </c>
      <c r="G95" s="5" t="n">
        <v>7.537</v>
      </c>
      <c r="H95" s="5" t="n">
        <v>1.235</v>
      </c>
      <c r="I95" s="5" t="n">
        <v>0</v>
      </c>
      <c r="J95" s="5" t="n">
        <v>7.537</v>
      </c>
      <c r="K95" s="5" t="n">
        <v>0</v>
      </c>
      <c r="L95" s="5" t="n">
        <v>1</v>
      </c>
      <c r="M95" s="5" t="n">
        <v>9.782999999999999</v>
      </c>
      <c r="N95" s="5" t="n">
        <v>3.704</v>
      </c>
      <c r="O95" s="5" t="n">
        <v>0</v>
      </c>
      <c r="P95" s="5" t="n">
        <v>9.782999999999999</v>
      </c>
      <c r="Q95" s="5" t="n">
        <v>0</v>
      </c>
      <c r="R95" s="5" t="n">
        <v>1</v>
      </c>
      <c r="S95" s="5" t="n">
        <v>13.711</v>
      </c>
      <c r="T95" s="5" t="n">
        <v>7.408</v>
      </c>
      <c r="U95" s="5" t="n">
        <v>0</v>
      </c>
      <c r="V95" s="5" t="n">
        <v>13.711</v>
      </c>
      <c r="W95" s="5" t="n">
        <v>0</v>
      </c>
      <c r="X95" s="5" t="n">
        <v>1</v>
      </c>
      <c r="Y95" s="5" t="n">
        <v>6.392</v>
      </c>
      <c r="Z95" s="5" t="n">
        <v>1.495</v>
      </c>
      <c r="AA95" s="5" t="n">
        <v>0</v>
      </c>
      <c r="AB95" s="5" t="n">
        <v>6.392</v>
      </c>
      <c r="AC95" s="5" t="n">
        <v>0</v>
      </c>
      <c r="AD95" s="5" t="n">
        <v>1</v>
      </c>
      <c r="AE95" s="5" t="n">
        <v>7.627</v>
      </c>
      <c r="AF95" s="5" t="n">
        <v>2.848</v>
      </c>
      <c r="AG95" s="5" t="n">
        <v>0</v>
      </c>
      <c r="AH95" s="5" t="n">
        <v>7.627</v>
      </c>
      <c r="AI95" s="5" t="n">
        <v>0</v>
      </c>
      <c r="AJ95" s="5" t="n">
        <v>1</v>
      </c>
      <c r="AK95" s="5" t="n">
        <v>15.035</v>
      </c>
      <c r="AL95" s="5" t="n">
        <v>10.395</v>
      </c>
      <c r="AM95" s="5" t="n">
        <v>0</v>
      </c>
      <c r="AN95" s="5" t="n">
        <v>15.035</v>
      </c>
      <c r="AO95" s="5" t="n">
        <v>0</v>
      </c>
      <c r="AP95" s="5" t="n">
        <v>1</v>
      </c>
      <c r="AQ95" s="5" t="n">
        <v>0.896</v>
      </c>
      <c r="AR95" s="5" t="n">
        <v>0.123</v>
      </c>
      <c r="AS95" s="5" t="n">
        <v>0</v>
      </c>
      <c r="AT95" s="5" t="n">
        <v>0.896</v>
      </c>
      <c r="AU95" s="5" t="n">
        <v>0</v>
      </c>
      <c r="AV95" s="5" t="n">
        <v>1</v>
      </c>
      <c r="AW95" s="5" t="n">
        <v>0.89</v>
      </c>
      <c r="AX95" s="5" t="n">
        <v>0.123</v>
      </c>
      <c r="AY95" s="5" t="n">
        <v>0</v>
      </c>
      <c r="AZ95" s="5" t="n">
        <v>0.89</v>
      </c>
      <c r="BA95" s="5" t="n">
        <v>0</v>
      </c>
      <c r="BB95" s="5" t="n">
        <v>1</v>
      </c>
      <c r="BC95" s="5" t="n">
        <v>0.62</v>
      </c>
      <c r="BD95" s="5" t="n">
        <v>0.123</v>
      </c>
      <c r="BE95" s="5" t="n">
        <v>0</v>
      </c>
      <c r="BF95" s="5" t="n">
        <v>0.62</v>
      </c>
      <c r="BG95" s="5" t="n">
        <v>0</v>
      </c>
      <c r="BH95" s="5" t="n">
        <v>1</v>
      </c>
      <c r="BI95" s="5" t="n">
        <v>0.608</v>
      </c>
      <c r="BJ95" s="5" t="n">
        <v>0.123</v>
      </c>
      <c r="BK95" s="5" t="n">
        <v>0</v>
      </c>
      <c r="BL95" s="5" t="n">
        <v>0.608</v>
      </c>
      <c r="BM95" s="5" t="n">
        <v>0</v>
      </c>
      <c r="BN95" s="5" t="n">
        <v>1</v>
      </c>
      <c r="BO95" s="5" t="n">
        <v>0</v>
      </c>
      <c r="BP95" s="5" t="n">
        <v>0</v>
      </c>
      <c r="BQ95" s="5" t="n">
        <v>0.264</v>
      </c>
      <c r="BR95" s="5" t="n">
        <v>0</v>
      </c>
      <c r="BS95" s="5" t="n">
        <v>0.833</v>
      </c>
      <c r="BT95" s="5" t="n">
        <v>0</v>
      </c>
      <c r="BU95" s="5" t="n">
        <v>0</v>
      </c>
      <c r="BV95" s="5" t="n">
        <v>0.419</v>
      </c>
      <c r="BW95" s="5" t="n">
        <v>0</v>
      </c>
      <c r="BX95" s="5" t="n">
        <v>1</v>
      </c>
      <c r="BY95" s="5" t="n">
        <v>12.729</v>
      </c>
      <c r="BZ95" s="5" t="n">
        <v>0</v>
      </c>
      <c r="CA95" s="5" t="n">
        <v>12.729</v>
      </c>
      <c r="CB95" s="5" t="n">
        <v>0</v>
      </c>
      <c r="CC95" s="5" t="n">
        <v>97.90000000000001</v>
      </c>
      <c r="CD95" s="5" t="n">
        <v>7.95</v>
      </c>
      <c r="CE95" s="5" t="n">
        <v>0</v>
      </c>
      <c r="CF95" s="5" t="n">
        <v>97.90000000000001</v>
      </c>
      <c r="CG95" s="5" t="n">
        <v>0</v>
      </c>
      <c r="CH95" s="5" t="n">
        <v>1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1.294</v>
      </c>
      <c r="CR95" s="5" t="n">
        <v>0</v>
      </c>
      <c r="CS95" s="5" t="n">
        <v>5.158</v>
      </c>
      <c r="CT95" s="5" t="n">
        <v>6.303</v>
      </c>
      <c r="CU95" s="5" t="n">
        <v>6.176</v>
      </c>
    </row>
    <row r="96">
      <c r="A96" s="5" t="inlineStr">
        <is>
          <t>BMU2023</t>
        </is>
      </c>
      <c r="B96" s="5" t="inlineStr">
        <is>
          <t>BMU</t>
        </is>
      </c>
      <c r="C96" s="5" t="inlineStr">
        <is>
          <t>BMU</t>
        </is>
      </c>
      <c r="D96" s="5" t="inlineStr">
        <is>
          <t>Bermuda</t>
        </is>
      </c>
      <c r="E96" s="5" t="n">
        <v>2023</v>
      </c>
      <c r="F96" s="5" t="n">
        <v>0</v>
      </c>
      <c r="G96" s="5" t="n">
        <v>4.229</v>
      </c>
      <c r="H96" s="5" t="n">
        <v>1.286</v>
      </c>
      <c r="I96" s="5" t="n">
        <v>0</v>
      </c>
      <c r="J96" s="5" t="n">
        <v>4.229</v>
      </c>
      <c r="K96" s="5" t="n">
        <v>0</v>
      </c>
      <c r="L96" s="5" t="n">
        <v>1</v>
      </c>
      <c r="M96" s="5" t="n">
        <v>7.886</v>
      </c>
      <c r="N96" s="5" t="n">
        <v>3.857</v>
      </c>
      <c r="O96" s="5" t="n">
        <v>0</v>
      </c>
      <c r="P96" s="5" t="n">
        <v>7.886</v>
      </c>
      <c r="Q96" s="5" t="n">
        <v>0</v>
      </c>
      <c r="R96" s="5" t="n">
        <v>1</v>
      </c>
      <c r="S96" s="5" t="n">
        <v>10.657</v>
      </c>
      <c r="T96" s="5" t="n">
        <v>7.714</v>
      </c>
      <c r="U96" s="5" t="n">
        <v>0</v>
      </c>
      <c r="V96" s="5" t="n">
        <v>10.657</v>
      </c>
      <c r="W96" s="5" t="n">
        <v>0</v>
      </c>
      <c r="X96" s="5" t="n">
        <v>1</v>
      </c>
      <c r="Y96" s="5" t="n">
        <v>3.817</v>
      </c>
      <c r="Z96" s="5" t="n">
        <v>0.893</v>
      </c>
      <c r="AA96" s="5" t="n">
        <v>0</v>
      </c>
      <c r="AB96" s="5" t="n">
        <v>3.817</v>
      </c>
      <c r="AC96" s="5" t="n">
        <v>0</v>
      </c>
      <c r="AD96" s="5" t="n">
        <v>1</v>
      </c>
      <c r="AE96" s="5" t="n">
        <v>5.103</v>
      </c>
      <c r="AF96" s="5" t="n">
        <v>1.906</v>
      </c>
      <c r="AG96" s="5" t="n">
        <v>0</v>
      </c>
      <c r="AH96" s="5" t="n">
        <v>5.103</v>
      </c>
      <c r="AI96" s="5" t="n">
        <v>0</v>
      </c>
      <c r="AJ96" s="5" t="n">
        <v>1</v>
      </c>
      <c r="AK96" s="5" t="n">
        <v>12.817</v>
      </c>
      <c r="AL96" s="5" t="n">
        <v>8.862</v>
      </c>
      <c r="AM96" s="5" t="n">
        <v>0</v>
      </c>
      <c r="AN96" s="5" t="n">
        <v>12.817</v>
      </c>
      <c r="AO96" s="5" t="n">
        <v>0</v>
      </c>
      <c r="AP96" s="5" t="n">
        <v>1</v>
      </c>
      <c r="AQ96" s="5" t="n">
        <v>0.791</v>
      </c>
      <c r="AR96" s="5" t="n">
        <v>0.129</v>
      </c>
      <c r="AS96" s="5" t="n">
        <v>0</v>
      </c>
      <c r="AT96" s="5" t="n">
        <v>0.791</v>
      </c>
      <c r="AU96" s="5" t="n">
        <v>0</v>
      </c>
      <c r="AV96" s="5" t="n">
        <v>1</v>
      </c>
      <c r="AW96" s="5" t="n">
        <v>0.618</v>
      </c>
      <c r="AX96" s="5" t="n">
        <v>0.129</v>
      </c>
      <c r="AY96" s="5" t="n">
        <v>0</v>
      </c>
      <c r="AZ96" s="5" t="n">
        <v>0.618</v>
      </c>
      <c r="BA96" s="5" t="n">
        <v>0</v>
      </c>
      <c r="BB96" s="5" t="n">
        <v>1</v>
      </c>
      <c r="BC96" s="5" t="n">
        <v>0.554</v>
      </c>
      <c r="BD96" s="5" t="n">
        <v>0.129</v>
      </c>
      <c r="BE96" s="5" t="n">
        <v>0</v>
      </c>
      <c r="BF96" s="5" t="n">
        <v>0.554</v>
      </c>
      <c r="BG96" s="5" t="n">
        <v>0</v>
      </c>
      <c r="BH96" s="5" t="n">
        <v>1</v>
      </c>
      <c r="BI96" s="5" t="n">
        <v>0.5570000000000001</v>
      </c>
      <c r="BJ96" s="5" t="n">
        <v>0.129</v>
      </c>
      <c r="BK96" s="5" t="n">
        <v>0</v>
      </c>
      <c r="BL96" s="5" t="n">
        <v>0.5570000000000001</v>
      </c>
      <c r="BM96" s="5" t="n">
        <v>0</v>
      </c>
      <c r="BN96" s="5" t="n">
        <v>1</v>
      </c>
      <c r="BO96" s="5" t="n">
        <v>0</v>
      </c>
      <c r="BP96" s="5" t="n">
        <v>0</v>
      </c>
      <c r="BQ96" s="5" t="n">
        <v>0.265</v>
      </c>
      <c r="BR96" s="5" t="n">
        <v>0</v>
      </c>
      <c r="BS96" s="5" t="n">
        <v>0.833</v>
      </c>
      <c r="BT96" s="5" t="n">
        <v>0</v>
      </c>
      <c r="BU96" s="5" t="n">
        <v>0</v>
      </c>
      <c r="BV96" s="5" t="n">
        <v>0.44</v>
      </c>
      <c r="BW96" s="5" t="n">
        <v>0</v>
      </c>
      <c r="BX96" s="5" t="n">
        <v>1</v>
      </c>
      <c r="BY96" s="5" t="n">
        <v>13.254</v>
      </c>
      <c r="BZ96" s="5" t="n">
        <v>0</v>
      </c>
      <c r="CA96" s="5" t="n">
        <v>13.254</v>
      </c>
      <c r="CB96" s="5" t="n">
        <v>0</v>
      </c>
      <c r="CC96" s="5" t="n">
        <v>83.248</v>
      </c>
      <c r="CD96" s="5" t="n">
        <v>7.95</v>
      </c>
      <c r="CE96" s="5" t="n">
        <v>0</v>
      </c>
      <c r="CF96" s="5" t="n">
        <v>83.248</v>
      </c>
      <c r="CG96" s="5" t="n">
        <v>0</v>
      </c>
      <c r="CH96" s="5" t="n">
        <v>1</v>
      </c>
      <c r="CI96" s="5" t="n">
        <v>0</v>
      </c>
      <c r="CJ96" s="5" t="n">
        <v>0</v>
      </c>
      <c r="CK96" s="5" t="n">
        <v>0</v>
      </c>
      <c r="CL96" s="5" t="n">
        <v>0</v>
      </c>
      <c r="CM96" s="5" t="n">
        <v>0</v>
      </c>
      <c r="CN96" s="5" t="n">
        <v>0</v>
      </c>
      <c r="CO96" s="5" t="n">
        <v>0</v>
      </c>
      <c r="CP96" s="5" t="n">
        <v>0</v>
      </c>
      <c r="CQ96" s="5" t="n">
        <v>1.348</v>
      </c>
      <c r="CR96" s="5" t="n">
        <v>0</v>
      </c>
      <c r="CS96" s="5" t="n">
        <v>2.532</v>
      </c>
      <c r="CT96" s="5" t="n">
        <v>2.943</v>
      </c>
      <c r="CU96" s="5" t="n">
        <v>2.532</v>
      </c>
    </row>
    <row r="97">
      <c r="A97" s="5" t="inlineStr">
        <is>
          <t>BMU2024</t>
        </is>
      </c>
      <c r="B97" s="5" t="inlineStr">
        <is>
          <t>BMU</t>
        </is>
      </c>
      <c r="C97" s="5" t="inlineStr">
        <is>
          <t>BMU</t>
        </is>
      </c>
      <c r="D97" s="5" t="inlineStr">
        <is>
          <t>Bermuda</t>
        </is>
      </c>
      <c r="E97" s="5" t="n">
        <v>2024</v>
      </c>
      <c r="F97" s="5" t="n">
        <v>0</v>
      </c>
      <c r="G97" s="5" t="n">
        <v>3.627</v>
      </c>
      <c r="H97" s="5" t="n">
        <v>1.324</v>
      </c>
      <c r="I97" s="5" t="n">
        <v>0</v>
      </c>
      <c r="J97" s="5" t="n">
        <v>3.627</v>
      </c>
      <c r="K97" s="5" t="n">
        <v>0</v>
      </c>
      <c r="L97" s="5" t="n">
        <v>1</v>
      </c>
      <c r="M97" s="5" t="n">
        <v>7.124</v>
      </c>
      <c r="N97" s="5" t="n">
        <v>3.971</v>
      </c>
      <c r="O97" s="5" t="n">
        <v>0</v>
      </c>
      <c r="P97" s="5" t="n">
        <v>7.124</v>
      </c>
      <c r="Q97" s="5" t="n">
        <v>0</v>
      </c>
      <c r="R97" s="5" t="n">
        <v>1</v>
      </c>
      <c r="S97" s="5" t="n">
        <v>10.245</v>
      </c>
      <c r="T97" s="5" t="n">
        <v>7.942</v>
      </c>
      <c r="U97" s="5" t="n">
        <v>0</v>
      </c>
      <c r="V97" s="5" t="n">
        <v>10.245</v>
      </c>
      <c r="W97" s="5" t="n">
        <v>0</v>
      </c>
      <c r="X97" s="5" t="n">
        <v>1</v>
      </c>
      <c r="Y97" s="5" t="n">
        <v>3.615</v>
      </c>
      <c r="Z97" s="5" t="n">
        <v>0.845</v>
      </c>
      <c r="AA97" s="5" t="n">
        <v>0</v>
      </c>
      <c r="AB97" s="5" t="n">
        <v>3.615</v>
      </c>
      <c r="AC97" s="5" t="n">
        <v>0</v>
      </c>
      <c r="AD97" s="5" t="n">
        <v>1</v>
      </c>
      <c r="AE97" s="5" t="n">
        <v>4.939</v>
      </c>
      <c r="AF97" s="5" t="n">
        <v>1.845</v>
      </c>
      <c r="AG97" s="5" t="n">
        <v>0</v>
      </c>
      <c r="AH97" s="5" t="n">
        <v>4.939</v>
      </c>
      <c r="AI97" s="5" t="n">
        <v>0</v>
      </c>
      <c r="AJ97" s="5" t="n">
        <v>1</v>
      </c>
      <c r="AK97" s="5" t="n">
        <v>12.881</v>
      </c>
      <c r="AL97" s="5" t="n">
        <v>8.906000000000001</v>
      </c>
      <c r="AM97" s="5" t="n">
        <v>0</v>
      </c>
      <c r="AN97" s="5" t="n">
        <v>12.881</v>
      </c>
      <c r="AO97" s="5" t="n">
        <v>0</v>
      </c>
      <c r="AP97" s="5" t="n">
        <v>1</v>
      </c>
      <c r="AQ97" s="5" t="n">
        <v>0.756</v>
      </c>
      <c r="AR97" s="5" t="n">
        <v>0.132</v>
      </c>
      <c r="AS97" s="5" t="n">
        <v>0</v>
      </c>
      <c r="AT97" s="5" t="n">
        <v>0.756</v>
      </c>
      <c r="AU97" s="5" t="n">
        <v>0</v>
      </c>
      <c r="AV97" s="5" t="n">
        <v>1</v>
      </c>
      <c r="AW97" s="5" t="n">
        <v>0.655</v>
      </c>
      <c r="AX97" s="5" t="n">
        <v>0.132</v>
      </c>
      <c r="AY97" s="5" t="n">
        <v>0</v>
      </c>
      <c r="AZ97" s="5" t="n">
        <v>0.655</v>
      </c>
      <c r="BA97" s="5" t="n">
        <v>0</v>
      </c>
      <c r="BB97" s="5" t="n">
        <v>1</v>
      </c>
      <c r="BC97" s="5" t="n">
        <v>0.534</v>
      </c>
      <c r="BD97" s="5" t="n">
        <v>0.132</v>
      </c>
      <c r="BE97" s="5" t="n">
        <v>0</v>
      </c>
      <c r="BF97" s="5" t="n">
        <v>0.534</v>
      </c>
      <c r="BG97" s="5" t="n">
        <v>0</v>
      </c>
      <c r="BH97" s="5" t="n">
        <v>1</v>
      </c>
      <c r="BI97" s="5" t="n">
        <v>0.5679999999999999</v>
      </c>
      <c r="BJ97" s="5" t="n">
        <v>0.132</v>
      </c>
      <c r="BK97" s="5" t="n">
        <v>0</v>
      </c>
      <c r="BL97" s="5" t="n">
        <v>0.5679999999999999</v>
      </c>
      <c r="BM97" s="5" t="n">
        <v>0</v>
      </c>
      <c r="BN97" s="5" t="n">
        <v>1</v>
      </c>
      <c r="BO97" s="5" t="n">
        <v>0</v>
      </c>
      <c r="BP97" s="5" t="n">
        <v>0</v>
      </c>
      <c r="BQ97" s="5" t="n">
        <v>0.279</v>
      </c>
      <c r="BR97" s="5" t="n">
        <v>0</v>
      </c>
      <c r="BS97" s="5" t="n">
        <v>0.833</v>
      </c>
      <c r="BT97" s="5" t="n">
        <v>0</v>
      </c>
      <c r="BU97" s="5" t="n">
        <v>0</v>
      </c>
      <c r="BV97" s="5" t="n">
        <v>0.47</v>
      </c>
      <c r="BW97" s="5" t="n">
        <v>0</v>
      </c>
      <c r="BX97" s="5" t="n">
        <v>1</v>
      </c>
      <c r="BY97" s="5" t="n">
        <v>13.646</v>
      </c>
      <c r="BZ97" s="5" t="n">
        <v>0</v>
      </c>
      <c r="CA97" s="5" t="n">
        <v>13.646</v>
      </c>
      <c r="CB97" s="5" t="n">
        <v>0</v>
      </c>
      <c r="CC97" s="5" t="n">
        <v>82.58799999999999</v>
      </c>
      <c r="CD97" s="5" t="n">
        <v>7.95</v>
      </c>
      <c r="CE97" s="5" t="n">
        <v>0</v>
      </c>
      <c r="CF97" s="5" t="n">
        <v>82.58799999999999</v>
      </c>
      <c r="CG97" s="5" t="n">
        <v>0</v>
      </c>
      <c r="CH97" s="5" t="n">
        <v>1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1.387</v>
      </c>
      <c r="CR97" s="5" t="n">
        <v>0</v>
      </c>
      <c r="CS97" s="5" t="n">
        <v>2.292</v>
      </c>
      <c r="CT97" s="5" t="n">
        <v>2.303</v>
      </c>
      <c r="CU97" s="5" t="n">
        <v>2.292</v>
      </c>
    </row>
    <row r="98">
      <c r="A98" s="5" t="inlineStr">
        <is>
          <t>BTN2021</t>
        </is>
      </c>
      <c r="B98" s="5" t="inlineStr">
        <is>
          <t>BTN</t>
        </is>
      </c>
      <c r="C98" s="5" t="inlineStr">
        <is>
          <t>BTN</t>
        </is>
      </c>
      <c r="D98" s="5" t="inlineStr">
        <is>
          <t>Bhutan</t>
        </is>
      </c>
      <c r="E98" s="5" t="n">
        <v>2021</v>
      </c>
      <c r="F98" s="5" t="n">
        <v>0.1</v>
      </c>
      <c r="G98" s="5" t="n">
        <v>4.747</v>
      </c>
      <c r="H98" s="5" t="n">
        <v>1.143</v>
      </c>
      <c r="I98" s="5" t="n">
        <v>0</v>
      </c>
      <c r="J98" s="5" t="n">
        <v>4.747</v>
      </c>
      <c r="K98" s="5" t="n">
        <v>0</v>
      </c>
      <c r="L98" s="5" t="n">
        <v>1</v>
      </c>
      <c r="M98" s="5" t="n">
        <v>7.964</v>
      </c>
      <c r="N98" s="5" t="n">
        <v>3.43</v>
      </c>
      <c r="O98" s="5" t="n">
        <v>0</v>
      </c>
      <c r="P98" s="5" t="n">
        <v>7.964</v>
      </c>
      <c r="Q98" s="5" t="n">
        <v>0</v>
      </c>
      <c r="R98" s="5" t="n">
        <v>1</v>
      </c>
      <c r="S98" s="5" t="n">
        <v>10.464</v>
      </c>
      <c r="T98" s="5" t="n">
        <v>6.86</v>
      </c>
      <c r="U98" s="5" t="n">
        <v>0</v>
      </c>
      <c r="V98" s="5" t="n">
        <v>11.51</v>
      </c>
      <c r="W98" s="5" t="n">
        <v>0.1</v>
      </c>
      <c r="X98" s="5" t="n">
        <v>1</v>
      </c>
      <c r="Y98" s="5" t="n">
        <v>17.987</v>
      </c>
      <c r="Z98" s="5" t="n">
        <v>2.1</v>
      </c>
      <c r="AA98" s="5" t="n">
        <v>0</v>
      </c>
      <c r="AB98" s="5" t="n">
        <v>17.987</v>
      </c>
      <c r="AC98" s="5" t="n">
        <v>0</v>
      </c>
      <c r="AD98" s="5" t="n">
        <v>1</v>
      </c>
      <c r="AE98" s="5" t="n">
        <v>19.13</v>
      </c>
      <c r="AF98" s="5" t="n">
        <v>3.956</v>
      </c>
      <c r="AG98" s="5" t="n">
        <v>0</v>
      </c>
      <c r="AH98" s="5" t="n">
        <v>19.13</v>
      </c>
      <c r="AI98" s="5" t="n">
        <v>0</v>
      </c>
      <c r="AJ98" s="5" t="n">
        <v>1</v>
      </c>
      <c r="AK98" s="5" t="n">
        <v>25.99</v>
      </c>
      <c r="AL98" s="5" t="n">
        <v>12.953</v>
      </c>
      <c r="AM98" s="5" t="n">
        <v>0</v>
      </c>
      <c r="AN98" s="5" t="n">
        <v>28.589</v>
      </c>
      <c r="AO98" s="5" t="n">
        <v>0.1</v>
      </c>
      <c r="AP98" s="5" t="n">
        <v>1</v>
      </c>
      <c r="AQ98" s="5" t="n">
        <v>0.621</v>
      </c>
      <c r="AR98" s="5" t="n">
        <v>0.114</v>
      </c>
      <c r="AS98" s="5" t="n">
        <v>0.533</v>
      </c>
      <c r="AT98" s="5" t="n">
        <v>1.269</v>
      </c>
      <c r="AU98" s="5" t="n">
        <v>0.1</v>
      </c>
      <c r="AV98" s="5" t="n">
        <v>1</v>
      </c>
      <c r="AW98" s="5" t="n">
        <v>0.593</v>
      </c>
      <c r="AX98" s="5" t="n">
        <v>0.114</v>
      </c>
      <c r="AY98" s="5" t="n">
        <v>0.335</v>
      </c>
      <c r="AZ98" s="5" t="n">
        <v>1.021</v>
      </c>
      <c r="BA98" s="5" t="n">
        <v>0.1</v>
      </c>
      <c r="BB98" s="5" t="n">
        <v>1</v>
      </c>
      <c r="BC98" s="5" t="n">
        <v>0.44</v>
      </c>
      <c r="BD98" s="5" t="n">
        <v>0.114</v>
      </c>
      <c r="BE98" s="5" t="n">
        <v>0</v>
      </c>
      <c r="BF98" s="5" t="n">
        <v>0.484</v>
      </c>
      <c r="BG98" s="5" t="n">
        <v>0.1</v>
      </c>
      <c r="BH98" s="5" t="n">
        <v>1</v>
      </c>
      <c r="BI98" s="5" t="n">
        <v>0.5600000000000001</v>
      </c>
      <c r="BJ98" s="5" t="n">
        <v>0.114</v>
      </c>
      <c r="BK98" s="5" t="n">
        <v>0</v>
      </c>
      <c r="BL98" s="5" t="n">
        <v>0.616</v>
      </c>
      <c r="BM98" s="5" t="n">
        <v>0.1</v>
      </c>
      <c r="BN98" s="5" t="n">
        <v>1</v>
      </c>
      <c r="BO98" s="5" t="n">
        <v>0</v>
      </c>
      <c r="BP98" s="5" t="n">
        <v>0</v>
      </c>
      <c r="BQ98" s="5" t="n">
        <v>0.035</v>
      </c>
      <c r="BR98" s="5" t="n">
        <v>0</v>
      </c>
      <c r="BS98" s="5" t="n">
        <v>1</v>
      </c>
      <c r="BT98" s="5" t="n">
        <v>0</v>
      </c>
      <c r="BU98" s="5" t="n">
        <v>0</v>
      </c>
      <c r="BV98" s="5" t="n">
        <v>0.017</v>
      </c>
      <c r="BW98" s="5" t="n">
        <v>0.1</v>
      </c>
      <c r="BX98" s="5" t="n">
        <v>0.833</v>
      </c>
      <c r="BY98" s="5" t="n">
        <v>11.787</v>
      </c>
      <c r="BZ98" s="5" t="n">
        <v>0</v>
      </c>
      <c r="CA98" s="5" t="n">
        <v>11.787</v>
      </c>
      <c r="CB98" s="5" t="n">
        <v>0</v>
      </c>
      <c r="CC98" s="5" t="n">
        <v>81.69499999999999</v>
      </c>
      <c r="CD98" s="5" t="n">
        <v>7.95</v>
      </c>
      <c r="CE98" s="5" t="n">
        <v>0</v>
      </c>
      <c r="CF98" s="5" t="n">
        <v>89.86499999999999</v>
      </c>
      <c r="CG98" s="5" t="n">
        <v>0.1</v>
      </c>
      <c r="CH98" s="5" t="n">
        <v>1</v>
      </c>
      <c r="CI98" s="5" t="n">
        <v>0</v>
      </c>
      <c r="CJ98" s="5" t="n">
        <v>0</v>
      </c>
      <c r="CK98" s="5" t="n">
        <v>0</v>
      </c>
      <c r="CL98" s="5" t="n">
        <v>0</v>
      </c>
      <c r="CM98" s="5" t="n">
        <v>0</v>
      </c>
      <c r="CN98" s="5" t="n">
        <v>0</v>
      </c>
      <c r="CO98" s="5" t="n">
        <v>0</v>
      </c>
      <c r="CP98" s="5" t="n">
        <v>0</v>
      </c>
      <c r="CQ98" s="5" t="n">
        <v>1.198</v>
      </c>
      <c r="CR98" s="5" t="n">
        <v>0</v>
      </c>
      <c r="CS98" s="5" t="n">
        <v>4.776</v>
      </c>
      <c r="CT98" s="5" t="n">
        <v>3.604</v>
      </c>
      <c r="CU98" s="5" t="n">
        <v>16.843</v>
      </c>
    </row>
    <row r="99">
      <c r="A99" s="5" t="inlineStr">
        <is>
          <t>BTN2022</t>
        </is>
      </c>
      <c r="B99" s="5" t="inlineStr">
        <is>
          <t>BTN</t>
        </is>
      </c>
      <c r="C99" s="5" t="inlineStr">
        <is>
          <t>BTN</t>
        </is>
      </c>
      <c r="D99" s="5" t="inlineStr">
        <is>
          <t>Bhutan</t>
        </is>
      </c>
      <c r="E99" s="5" t="n">
        <v>2022</v>
      </c>
      <c r="F99" s="5" t="n">
        <v>0.1</v>
      </c>
      <c r="G99" s="5" t="n">
        <v>8.788</v>
      </c>
      <c r="H99" s="5" t="n">
        <v>1.235</v>
      </c>
      <c r="I99" s="5" t="n">
        <v>0</v>
      </c>
      <c r="J99" s="5" t="n">
        <v>8.788</v>
      </c>
      <c r="K99" s="5" t="n">
        <v>0</v>
      </c>
      <c r="L99" s="5" t="n">
        <v>1</v>
      </c>
      <c r="M99" s="5" t="n">
        <v>9.782999999999999</v>
      </c>
      <c r="N99" s="5" t="n">
        <v>3.704</v>
      </c>
      <c r="O99" s="5" t="n">
        <v>0</v>
      </c>
      <c r="P99" s="5" t="n">
        <v>9.782999999999999</v>
      </c>
      <c r="Q99" s="5" t="n">
        <v>0</v>
      </c>
      <c r="R99" s="5" t="n">
        <v>1</v>
      </c>
      <c r="S99" s="5" t="n">
        <v>14.962</v>
      </c>
      <c r="T99" s="5" t="n">
        <v>7.408</v>
      </c>
      <c r="U99" s="5" t="n">
        <v>0.111</v>
      </c>
      <c r="V99" s="5" t="n">
        <v>16.458</v>
      </c>
      <c r="W99" s="5" t="n">
        <v>0.1</v>
      </c>
      <c r="X99" s="5" t="n">
        <v>1</v>
      </c>
      <c r="Y99" s="5" t="n">
        <v>31.383</v>
      </c>
      <c r="Z99" s="5" t="n">
        <v>3.665</v>
      </c>
      <c r="AA99" s="5" t="n">
        <v>0</v>
      </c>
      <c r="AB99" s="5" t="n">
        <v>31.383</v>
      </c>
      <c r="AC99" s="5" t="n">
        <v>0</v>
      </c>
      <c r="AD99" s="5" t="n">
        <v>1</v>
      </c>
      <c r="AE99" s="5" t="n">
        <v>32.618</v>
      </c>
      <c r="AF99" s="5" t="n">
        <v>6.745</v>
      </c>
      <c r="AG99" s="5" t="n">
        <v>0</v>
      </c>
      <c r="AH99" s="5" t="n">
        <v>32.618</v>
      </c>
      <c r="AI99" s="5" t="n">
        <v>0</v>
      </c>
      <c r="AJ99" s="5" t="n">
        <v>1</v>
      </c>
      <c r="AK99" s="5" t="n">
        <v>40.026</v>
      </c>
      <c r="AL99" s="5" t="n">
        <v>19.948</v>
      </c>
      <c r="AM99" s="5" t="n">
        <v>0.296</v>
      </c>
      <c r="AN99" s="5" t="n">
        <v>44.029</v>
      </c>
      <c r="AO99" s="5" t="n">
        <v>0.1</v>
      </c>
      <c r="AP99" s="5" t="n">
        <v>1</v>
      </c>
      <c r="AQ99" s="5" t="n">
        <v>0.847</v>
      </c>
      <c r="AR99" s="5" t="n">
        <v>0.123</v>
      </c>
      <c r="AS99" s="5" t="n">
        <v>0.57</v>
      </c>
      <c r="AT99" s="5" t="n">
        <v>1.547</v>
      </c>
      <c r="AU99" s="5" t="n">
        <v>0.1</v>
      </c>
      <c r="AV99" s="5" t="n">
        <v>1</v>
      </c>
      <c r="AW99" s="5" t="n">
        <v>0.947</v>
      </c>
      <c r="AX99" s="5" t="n">
        <v>0.123</v>
      </c>
      <c r="AY99" s="5" t="n">
        <v>0.343</v>
      </c>
      <c r="AZ99" s="5" t="n">
        <v>1.409</v>
      </c>
      <c r="BA99" s="5" t="n">
        <v>0.1</v>
      </c>
      <c r="BB99" s="5" t="n">
        <v>1</v>
      </c>
      <c r="BC99" s="5" t="n">
        <v>0.589</v>
      </c>
      <c r="BD99" s="5" t="n">
        <v>0.123</v>
      </c>
      <c r="BE99" s="5" t="n">
        <v>0.004</v>
      </c>
      <c r="BF99" s="5" t="n">
        <v>0.647</v>
      </c>
      <c r="BG99" s="5" t="n">
        <v>0.1</v>
      </c>
      <c r="BH99" s="5" t="n">
        <v>1</v>
      </c>
      <c r="BI99" s="5" t="n">
        <v>0.6889999999999999</v>
      </c>
      <c r="BJ99" s="5" t="n">
        <v>0.123</v>
      </c>
      <c r="BK99" s="5" t="n">
        <v>0.005</v>
      </c>
      <c r="BL99" s="5" t="n">
        <v>0.758</v>
      </c>
      <c r="BM99" s="5" t="n">
        <v>0.1</v>
      </c>
      <c r="BN99" s="5" t="n">
        <v>1</v>
      </c>
      <c r="BO99" s="5" t="n">
        <v>0</v>
      </c>
      <c r="BP99" s="5" t="n">
        <v>0</v>
      </c>
      <c r="BQ99" s="5" t="n">
        <v>0.031</v>
      </c>
      <c r="BR99" s="5" t="n">
        <v>0</v>
      </c>
      <c r="BS99" s="5" t="n">
        <v>1</v>
      </c>
      <c r="BT99" s="5" t="n">
        <v>0</v>
      </c>
      <c r="BU99" s="5" t="n">
        <v>0</v>
      </c>
      <c r="BV99" s="5" t="n">
        <v>0.016</v>
      </c>
      <c r="BW99" s="5" t="n">
        <v>0.1</v>
      </c>
      <c r="BX99" s="5" t="n">
        <v>0.833</v>
      </c>
      <c r="BY99" s="5" t="n">
        <v>12.729</v>
      </c>
      <c r="BZ99" s="5" t="n">
        <v>0</v>
      </c>
      <c r="CA99" s="5" t="n">
        <v>12.729</v>
      </c>
      <c r="CB99" s="5" t="n">
        <v>0</v>
      </c>
      <c r="CC99" s="5" t="n">
        <v>102.477</v>
      </c>
      <c r="CD99" s="5" t="n">
        <v>7.95</v>
      </c>
      <c r="CE99" s="5" t="n">
        <v>0.758</v>
      </c>
      <c r="CF99" s="5" t="n">
        <v>112.724</v>
      </c>
      <c r="CG99" s="5" t="n">
        <v>0.1</v>
      </c>
      <c r="CH99" s="5" t="n">
        <v>1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1.294</v>
      </c>
      <c r="CR99" s="5" t="n">
        <v>0</v>
      </c>
      <c r="CS99" s="5" t="n">
        <v>5.158</v>
      </c>
      <c r="CT99" s="5" t="n">
        <v>7.554</v>
      </c>
      <c r="CU99" s="5" t="n">
        <v>30.149</v>
      </c>
    </row>
    <row r="100">
      <c r="A100" s="5" t="inlineStr">
        <is>
          <t>BTN2023</t>
        </is>
      </c>
      <c r="B100" s="5" t="inlineStr">
        <is>
          <t>BTN</t>
        </is>
      </c>
      <c r="C100" s="5" t="inlineStr">
        <is>
          <t>BTN</t>
        </is>
      </c>
      <c r="D100" s="5" t="inlineStr">
        <is>
          <t>Bhutan</t>
        </is>
      </c>
      <c r="E100" s="5" t="n">
        <v>2023</v>
      </c>
      <c r="F100" s="5" t="n">
        <v>0.1</v>
      </c>
      <c r="G100" s="5" t="n">
        <v>5.77</v>
      </c>
      <c r="H100" s="5" t="n">
        <v>1.286</v>
      </c>
      <c r="I100" s="5" t="n">
        <v>0</v>
      </c>
      <c r="J100" s="5" t="n">
        <v>5.77</v>
      </c>
      <c r="K100" s="5" t="n">
        <v>0</v>
      </c>
      <c r="L100" s="5" t="n">
        <v>1</v>
      </c>
      <c r="M100" s="5" t="n">
        <v>7.886</v>
      </c>
      <c r="N100" s="5" t="n">
        <v>3.857</v>
      </c>
      <c r="O100" s="5" t="n">
        <v>0</v>
      </c>
      <c r="P100" s="5" t="n">
        <v>7.886</v>
      </c>
      <c r="Q100" s="5" t="n">
        <v>0</v>
      </c>
      <c r="R100" s="5" t="n">
        <v>1</v>
      </c>
      <c r="S100" s="5" t="n">
        <v>12.198</v>
      </c>
      <c r="T100" s="5" t="n">
        <v>7.714</v>
      </c>
      <c r="U100" s="5" t="n">
        <v>0.135</v>
      </c>
      <c r="V100" s="5" t="n">
        <v>13.418</v>
      </c>
      <c r="W100" s="5" t="n">
        <v>0.1</v>
      </c>
      <c r="X100" s="5" t="n">
        <v>1</v>
      </c>
      <c r="Y100" s="5" t="n">
        <v>13.678</v>
      </c>
      <c r="Z100" s="5" t="n">
        <v>1.597</v>
      </c>
      <c r="AA100" s="5" t="n">
        <v>0</v>
      </c>
      <c r="AB100" s="5" t="n">
        <v>13.678</v>
      </c>
      <c r="AC100" s="5" t="n">
        <v>0</v>
      </c>
      <c r="AD100" s="5" t="n">
        <v>1</v>
      </c>
      <c r="AE100" s="5" t="n">
        <v>14.963</v>
      </c>
      <c r="AF100" s="5" t="n">
        <v>3.094</v>
      </c>
      <c r="AG100" s="5" t="n">
        <v>0</v>
      </c>
      <c r="AH100" s="5" t="n">
        <v>14.963</v>
      </c>
      <c r="AI100" s="5" t="n">
        <v>0</v>
      </c>
      <c r="AJ100" s="5" t="n">
        <v>1</v>
      </c>
      <c r="AK100" s="5" t="n">
        <v>22.677</v>
      </c>
      <c r="AL100" s="5" t="n">
        <v>11.302</v>
      </c>
      <c r="AM100" s="5" t="n">
        <v>0.251</v>
      </c>
      <c r="AN100" s="5" t="n">
        <v>24.945</v>
      </c>
      <c r="AO100" s="5" t="n">
        <v>0.1</v>
      </c>
      <c r="AP100" s="5" t="n">
        <v>1</v>
      </c>
      <c r="AQ100" s="5" t="n">
        <v>0.749</v>
      </c>
      <c r="AR100" s="5" t="n">
        <v>0.129</v>
      </c>
      <c r="AS100" s="5" t="n">
        <v>0.609</v>
      </c>
      <c r="AT100" s="5" t="n">
        <v>1.478</v>
      </c>
      <c r="AU100" s="5" t="n">
        <v>0.1</v>
      </c>
      <c r="AV100" s="5" t="n">
        <v>1</v>
      </c>
      <c r="AW100" s="5" t="n">
        <v>0.783</v>
      </c>
      <c r="AX100" s="5" t="n">
        <v>0.129</v>
      </c>
      <c r="AY100" s="5" t="n">
        <v>0.379</v>
      </c>
      <c r="AZ100" s="5" t="n">
        <v>1.264</v>
      </c>
      <c r="BA100" s="5" t="n">
        <v>0.1</v>
      </c>
      <c r="BB100" s="5" t="n">
        <v>1</v>
      </c>
      <c r="BC100" s="5" t="n">
        <v>0.527</v>
      </c>
      <c r="BD100" s="5" t="n">
        <v>0.129</v>
      </c>
      <c r="BE100" s="5" t="n">
        <v>0.006</v>
      </c>
      <c r="BF100" s="5" t="n">
        <v>0.58</v>
      </c>
      <c r="BG100" s="5" t="n">
        <v>0.1</v>
      </c>
      <c r="BH100" s="5" t="n">
        <v>1</v>
      </c>
      <c r="BI100" s="5" t="n">
        <v>0.64</v>
      </c>
      <c r="BJ100" s="5" t="n">
        <v>0.129</v>
      </c>
      <c r="BK100" s="5" t="n">
        <v>0.007</v>
      </c>
      <c r="BL100" s="5" t="n">
        <v>0.704</v>
      </c>
      <c r="BM100" s="5" t="n">
        <v>0.1</v>
      </c>
      <c r="BN100" s="5" t="n">
        <v>1</v>
      </c>
      <c r="BO100" s="5" t="n">
        <v>0</v>
      </c>
      <c r="BP100" s="5" t="n">
        <v>0</v>
      </c>
      <c r="BQ100" s="5" t="n">
        <v>0.02</v>
      </c>
      <c r="BR100" s="5" t="n">
        <v>0</v>
      </c>
      <c r="BS100" s="5" t="n">
        <v>1</v>
      </c>
      <c r="BT100" s="5" t="n">
        <v>0</v>
      </c>
      <c r="BU100" s="5" t="n">
        <v>0</v>
      </c>
      <c r="BV100" s="5" t="n">
        <v>0.015</v>
      </c>
      <c r="BW100" s="5" t="n">
        <v>0.1</v>
      </c>
      <c r="BX100" s="5" t="n">
        <v>0.833</v>
      </c>
      <c r="BY100" s="5" t="n">
        <v>13.254</v>
      </c>
      <c r="BZ100" s="5" t="n">
        <v>0</v>
      </c>
      <c r="CA100" s="5" t="n">
        <v>13.254</v>
      </c>
      <c r="CB100" s="5" t="n">
        <v>0</v>
      </c>
      <c r="CC100" s="5" t="n">
        <v>87.07899999999999</v>
      </c>
      <c r="CD100" s="5" t="n">
        <v>7.95</v>
      </c>
      <c r="CE100" s="5" t="n">
        <v>0.964</v>
      </c>
      <c r="CF100" s="5" t="n">
        <v>95.78700000000001</v>
      </c>
      <c r="CG100" s="5" t="n">
        <v>0.1</v>
      </c>
      <c r="CH100" s="5" t="n">
        <v>1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1.348</v>
      </c>
      <c r="CR100" s="5" t="n">
        <v>0</v>
      </c>
      <c r="CS100" s="5" t="n">
        <v>5.37</v>
      </c>
      <c r="CT100" s="5" t="n">
        <v>4.484</v>
      </c>
      <c r="CU100" s="5" t="n">
        <v>12.392</v>
      </c>
    </row>
    <row r="101">
      <c r="A101" s="5" t="inlineStr">
        <is>
          <t>BTN2024</t>
        </is>
      </c>
      <c r="B101" s="5" t="inlineStr">
        <is>
          <t>BTN</t>
        </is>
      </c>
      <c r="C101" s="5" t="inlineStr">
        <is>
          <t>BTN</t>
        </is>
      </c>
      <c r="D101" s="5" t="inlineStr">
        <is>
          <t>Bhutan</t>
        </is>
      </c>
      <c r="E101" s="5" t="n">
        <v>2024</v>
      </c>
      <c r="F101" s="5" t="n">
        <v>0.1</v>
      </c>
      <c r="G101" s="5" t="n">
        <v>4.833</v>
      </c>
      <c r="H101" s="5" t="n">
        <v>1.324</v>
      </c>
      <c r="I101" s="5" t="n">
        <v>0</v>
      </c>
      <c r="J101" s="5" t="n">
        <v>4.833</v>
      </c>
      <c r="K101" s="5" t="n">
        <v>0</v>
      </c>
      <c r="L101" s="5" t="n">
        <v>1</v>
      </c>
      <c r="M101" s="5" t="n">
        <v>7.124</v>
      </c>
      <c r="N101" s="5" t="n">
        <v>3.971</v>
      </c>
      <c r="O101" s="5" t="n">
        <v>0</v>
      </c>
      <c r="P101" s="5" t="n">
        <v>7.124</v>
      </c>
      <c r="Q101" s="5" t="n">
        <v>0</v>
      </c>
      <c r="R101" s="5" t="n">
        <v>1</v>
      </c>
      <c r="S101" s="5" t="n">
        <v>11.451</v>
      </c>
      <c r="T101" s="5" t="n">
        <v>7.942</v>
      </c>
      <c r="U101" s="5" t="n">
        <v>0.156</v>
      </c>
      <c r="V101" s="5" t="n">
        <v>12.596</v>
      </c>
      <c r="W101" s="5" t="n">
        <v>0.1</v>
      </c>
      <c r="X101" s="5" t="n">
        <v>1</v>
      </c>
      <c r="Y101" s="5" t="n">
        <v>12.116</v>
      </c>
      <c r="Z101" s="5" t="n">
        <v>1.415</v>
      </c>
      <c r="AA101" s="5" t="n">
        <v>0</v>
      </c>
      <c r="AB101" s="5" t="n">
        <v>12.116</v>
      </c>
      <c r="AC101" s="5" t="n">
        <v>0</v>
      </c>
      <c r="AD101" s="5" t="n">
        <v>1</v>
      </c>
      <c r="AE101" s="5" t="n">
        <v>13.439</v>
      </c>
      <c r="AF101" s="5" t="n">
        <v>2.779</v>
      </c>
      <c r="AG101" s="5" t="n">
        <v>0</v>
      </c>
      <c r="AH101" s="5" t="n">
        <v>13.439</v>
      </c>
      <c r="AI101" s="5" t="n">
        <v>0</v>
      </c>
      <c r="AJ101" s="5" t="n">
        <v>1</v>
      </c>
      <c r="AK101" s="5" t="n">
        <v>21.381</v>
      </c>
      <c r="AL101" s="5" t="n">
        <v>10.656</v>
      </c>
      <c r="AM101" s="5" t="n">
        <v>0.291</v>
      </c>
      <c r="AN101" s="5" t="n">
        <v>23.519</v>
      </c>
      <c r="AO101" s="5" t="n">
        <v>0.1</v>
      </c>
      <c r="AP101" s="5" t="n">
        <v>1</v>
      </c>
      <c r="AQ101" s="5" t="n">
        <v>0.72</v>
      </c>
      <c r="AR101" s="5" t="n">
        <v>0.132</v>
      </c>
      <c r="AS101" s="5" t="n">
        <v>0.635</v>
      </c>
      <c r="AT101" s="5" t="n">
        <v>1.47</v>
      </c>
      <c r="AU101" s="5" t="n">
        <v>0.1</v>
      </c>
      <c r="AV101" s="5" t="n">
        <v>1</v>
      </c>
      <c r="AW101" s="5" t="n">
        <v>0.734</v>
      </c>
      <c r="AX101" s="5" t="n">
        <v>0.132</v>
      </c>
      <c r="AY101" s="5" t="n">
        <v>0.399</v>
      </c>
      <c r="AZ101" s="5" t="n">
        <v>1.229</v>
      </c>
      <c r="BA101" s="5" t="n">
        <v>0.1</v>
      </c>
      <c r="BB101" s="5" t="n">
        <v>1</v>
      </c>
      <c r="BC101" s="5" t="n">
        <v>0.51</v>
      </c>
      <c r="BD101" s="5" t="n">
        <v>0.132</v>
      </c>
      <c r="BE101" s="5" t="n">
        <v>0.007</v>
      </c>
      <c r="BF101" s="5" t="n">
        <v>0.5610000000000001</v>
      </c>
      <c r="BG101" s="5" t="n">
        <v>0.1</v>
      </c>
      <c r="BH101" s="5" t="n">
        <v>1</v>
      </c>
      <c r="BI101" s="5" t="n">
        <v>0.652</v>
      </c>
      <c r="BJ101" s="5" t="n">
        <v>0.132</v>
      </c>
      <c r="BK101" s="5" t="n">
        <v>0.008999999999999999</v>
      </c>
      <c r="BL101" s="5" t="n">
        <v>0.717</v>
      </c>
      <c r="BM101" s="5" t="n">
        <v>0.1</v>
      </c>
      <c r="BN101" s="5" t="n">
        <v>1</v>
      </c>
      <c r="BO101" s="5" t="n">
        <v>0</v>
      </c>
      <c r="BP101" s="5" t="n">
        <v>0</v>
      </c>
      <c r="BQ101" s="5" t="n">
        <v>0.019</v>
      </c>
      <c r="BR101" s="5" t="n">
        <v>0</v>
      </c>
      <c r="BS101" s="5" t="n">
        <v>1</v>
      </c>
      <c r="BT101" s="5" t="n">
        <v>0</v>
      </c>
      <c r="BU101" s="5" t="n">
        <v>0</v>
      </c>
      <c r="BV101" s="5" t="n">
        <v>0.015</v>
      </c>
      <c r="BW101" s="5" t="n">
        <v>0.1</v>
      </c>
      <c r="BX101" s="5" t="n">
        <v>0.833</v>
      </c>
      <c r="BY101" s="5" t="n">
        <v>13.646</v>
      </c>
      <c r="BZ101" s="5" t="n">
        <v>0</v>
      </c>
      <c r="CA101" s="5" t="n">
        <v>13.646</v>
      </c>
      <c r="CB101" s="5" t="n">
        <v>0</v>
      </c>
      <c r="CC101" s="5" t="n">
        <v>86.38500000000001</v>
      </c>
      <c r="CD101" s="5" t="n">
        <v>7.95</v>
      </c>
      <c r="CE101" s="5" t="n">
        <v>1.177</v>
      </c>
      <c r="CF101" s="5" t="n">
        <v>95.024</v>
      </c>
      <c r="CG101" s="5" t="n">
        <v>0.1</v>
      </c>
      <c r="CH101" s="5" t="n">
        <v>1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1.387</v>
      </c>
      <c r="CR101" s="5" t="n">
        <v>0</v>
      </c>
      <c r="CS101" s="5" t="n">
        <v>5.529</v>
      </c>
      <c r="CT101" s="5" t="n">
        <v>3.509</v>
      </c>
      <c r="CU101" s="5" t="n">
        <v>10.792</v>
      </c>
    </row>
    <row r="102">
      <c r="A102" s="5" t="inlineStr">
        <is>
          <t>BOL2021</t>
        </is>
      </c>
      <c r="B102" s="5" t="inlineStr">
        <is>
          <t>BOL</t>
        </is>
      </c>
      <c r="C102" s="5" t="inlineStr">
        <is>
          <t>BOL</t>
        </is>
      </c>
      <c r="D102" s="5" t="inlineStr">
        <is>
          <t>Bolivia</t>
        </is>
      </c>
      <c r="E102" s="5" t="n">
        <v>2021</v>
      </c>
      <c r="F102" s="5" t="n">
        <v>0.149</v>
      </c>
      <c r="G102" s="5" t="n">
        <v>5.897</v>
      </c>
      <c r="H102" s="5" t="n">
        <v>1.143</v>
      </c>
      <c r="I102" s="5" t="n">
        <v>0.238</v>
      </c>
      <c r="J102" s="5" t="n">
        <v>6.134</v>
      </c>
      <c r="K102" s="5" t="n">
        <v>0</v>
      </c>
      <c r="L102" s="5" t="n">
        <v>1</v>
      </c>
      <c r="M102" s="5" t="n">
        <v>7.964</v>
      </c>
      <c r="N102" s="5" t="n">
        <v>3.43</v>
      </c>
      <c r="O102" s="5" t="n">
        <v>0.227</v>
      </c>
      <c r="P102" s="5" t="n">
        <v>8.191000000000001</v>
      </c>
      <c r="Q102" s="5" t="n">
        <v>0</v>
      </c>
      <c r="R102" s="5" t="n">
        <v>1</v>
      </c>
      <c r="S102" s="5" t="n">
        <v>11.613</v>
      </c>
      <c r="T102" s="5" t="n">
        <v>6.86</v>
      </c>
      <c r="U102" s="5" t="n">
        <v>0.238</v>
      </c>
      <c r="V102" s="5" t="n">
        <v>13.622</v>
      </c>
      <c r="W102" s="5" t="n">
        <v>0.149</v>
      </c>
      <c r="X102" s="5" t="n">
        <v>1</v>
      </c>
      <c r="Y102" s="5" t="n">
        <v>9.832000000000001</v>
      </c>
      <c r="Z102" s="5" t="n">
        <v>1.079</v>
      </c>
      <c r="AA102" s="5" t="n">
        <v>-7.712</v>
      </c>
      <c r="AB102" s="5" t="n">
        <v>2.12</v>
      </c>
      <c r="AC102" s="5" t="n">
        <v>0</v>
      </c>
      <c r="AD102" s="5" t="n">
        <v>0</v>
      </c>
      <c r="AE102" s="5" t="n">
        <v>10.404</v>
      </c>
      <c r="AF102" s="5" t="n">
        <v>2.023</v>
      </c>
      <c r="AG102" s="5" t="n">
        <v>-2.788</v>
      </c>
      <c r="AH102" s="5" t="n">
        <v>7.616</v>
      </c>
      <c r="AI102" s="5" t="n">
        <v>0</v>
      </c>
      <c r="AJ102" s="5" t="n">
        <v>0</v>
      </c>
      <c r="AK102" s="5" t="n">
        <v>13.834</v>
      </c>
      <c r="AL102" s="5" t="n">
        <v>6.526</v>
      </c>
      <c r="AM102" s="5" t="n">
        <v>-6.162</v>
      </c>
      <c r="AN102" s="5" t="n">
        <v>7.671</v>
      </c>
      <c r="AO102" s="5" t="n">
        <v>0</v>
      </c>
      <c r="AP102" s="5" t="n">
        <v>0</v>
      </c>
      <c r="AQ102" s="5" t="n">
        <v>0.649</v>
      </c>
      <c r="AR102" s="5" t="n">
        <v>0.114</v>
      </c>
      <c r="AS102" s="5" t="n">
        <v>-0.175</v>
      </c>
      <c r="AT102" s="5" t="n">
        <v>0.545</v>
      </c>
      <c r="AU102" s="5" t="n">
        <v>0</v>
      </c>
      <c r="AV102" s="5" t="n">
        <v>0</v>
      </c>
      <c r="AW102" s="5" t="n">
        <v>0.577</v>
      </c>
      <c r="AX102" s="5" t="n">
        <v>0.114</v>
      </c>
      <c r="AY102" s="5" t="n">
        <v>-0.105</v>
      </c>
      <c r="AZ102" s="5" t="n">
        <v>0.542</v>
      </c>
      <c r="BA102" s="5" t="n">
        <v>0</v>
      </c>
      <c r="BB102" s="5" t="n">
        <v>0</v>
      </c>
      <c r="BC102" s="5" t="n">
        <v>0.458</v>
      </c>
      <c r="BD102" s="5" t="n">
        <v>0.114</v>
      </c>
      <c r="BE102" s="5" t="n">
        <v>-0.313</v>
      </c>
      <c r="BF102" s="5" t="n">
        <v>0.167</v>
      </c>
      <c r="BG102" s="5" t="n">
        <v>0</v>
      </c>
      <c r="BH102" s="5" t="n">
        <v>0</v>
      </c>
      <c r="BI102" s="5" t="n">
        <v>0.491</v>
      </c>
      <c r="BJ102" s="5" t="n">
        <v>0.114</v>
      </c>
      <c r="BK102" s="5" t="n">
        <v>-0.146</v>
      </c>
      <c r="BL102" s="5" t="n">
        <v>0.397</v>
      </c>
      <c r="BM102" s="5" t="n">
        <v>0</v>
      </c>
      <c r="BN102" s="5" t="n">
        <v>0</v>
      </c>
      <c r="BO102" s="5" t="n">
        <v>0</v>
      </c>
      <c r="BP102" s="5" t="n">
        <v>-0.004</v>
      </c>
      <c r="BQ102" s="5" t="n">
        <v>0.08</v>
      </c>
      <c r="BR102" s="5" t="n">
        <v>0</v>
      </c>
      <c r="BS102" s="5" t="n">
        <v>0.5</v>
      </c>
      <c r="BT102" s="5" t="n">
        <v>0</v>
      </c>
      <c r="BU102" s="5" t="n">
        <v>-0.004</v>
      </c>
      <c r="BV102" s="5" t="n">
        <v>0.102</v>
      </c>
      <c r="BW102" s="5" t="n">
        <v>0.149</v>
      </c>
      <c r="BX102" s="5" t="n">
        <v>0.833</v>
      </c>
      <c r="BY102" s="5" t="n">
        <v>11.787</v>
      </c>
      <c r="BZ102" s="5" t="n">
        <v>0</v>
      </c>
      <c r="CA102" s="5" t="n">
        <v>11.787</v>
      </c>
      <c r="CB102" s="5" t="n">
        <v>0</v>
      </c>
      <c r="CC102" s="5" t="n">
        <v>78.125</v>
      </c>
      <c r="CD102" s="5" t="n">
        <v>7.95</v>
      </c>
      <c r="CE102" s="5" t="n">
        <v>-22.1</v>
      </c>
      <c r="CF102" s="5" t="n">
        <v>64.395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0</v>
      </c>
      <c r="CM102" s="5" t="n">
        <v>0</v>
      </c>
      <c r="CN102" s="5" t="n">
        <v>0</v>
      </c>
      <c r="CO102" s="5" t="n">
        <v>0</v>
      </c>
      <c r="CP102" s="5" t="n">
        <v>0</v>
      </c>
      <c r="CQ102" s="5" t="n">
        <v>1.198</v>
      </c>
      <c r="CR102" s="5" t="n">
        <v>1</v>
      </c>
      <c r="CS102" s="5" t="n">
        <v>9.260999999999999</v>
      </c>
      <c r="CT102" s="5" t="n">
        <v>4.753</v>
      </c>
      <c r="CU102" s="5" t="n">
        <v>14.129</v>
      </c>
    </row>
    <row r="103">
      <c r="A103" s="5" t="inlineStr">
        <is>
          <t>BOL2022</t>
        </is>
      </c>
      <c r="B103" s="5" t="inlineStr">
        <is>
          <t>BOL</t>
        </is>
      </c>
      <c r="C103" s="5" t="inlineStr">
        <is>
          <t>BOL</t>
        </is>
      </c>
      <c r="D103" s="5" t="inlineStr">
        <is>
          <t>Bolivia</t>
        </is>
      </c>
      <c r="E103" s="5" t="n">
        <v>2022</v>
      </c>
      <c r="F103" s="5" t="n">
        <v>0.149</v>
      </c>
      <c r="G103" s="5" t="n">
        <v>11.72</v>
      </c>
      <c r="H103" s="5" t="n">
        <v>1.235</v>
      </c>
      <c r="I103" s="5" t="n">
        <v>0.5659999999999999</v>
      </c>
      <c r="J103" s="5" t="n">
        <v>12.286</v>
      </c>
      <c r="K103" s="5" t="n">
        <v>0</v>
      </c>
      <c r="L103" s="5" t="n">
        <v>1</v>
      </c>
      <c r="M103" s="5" t="n">
        <v>9.782999999999999</v>
      </c>
      <c r="N103" s="5" t="n">
        <v>3.704</v>
      </c>
      <c r="O103" s="5" t="n">
        <v>0.328</v>
      </c>
      <c r="P103" s="5" t="n">
        <v>10.111</v>
      </c>
      <c r="Q103" s="5" t="n">
        <v>0</v>
      </c>
      <c r="R103" s="5" t="n">
        <v>1</v>
      </c>
      <c r="S103" s="5" t="n">
        <v>17.893</v>
      </c>
      <c r="T103" s="5" t="n">
        <v>7.408</v>
      </c>
      <c r="U103" s="5" t="n">
        <v>0.77</v>
      </c>
      <c r="V103" s="5" t="n">
        <v>21.217</v>
      </c>
      <c r="W103" s="5" t="n">
        <v>0.149</v>
      </c>
      <c r="X103" s="5" t="n">
        <v>1</v>
      </c>
      <c r="Y103" s="5" t="n">
        <v>10.618</v>
      </c>
      <c r="Z103" s="5" t="n">
        <v>1.165</v>
      </c>
      <c r="AA103" s="5" t="n">
        <v>-8.329000000000001</v>
      </c>
      <c r="AB103" s="5" t="n">
        <v>2.289</v>
      </c>
      <c r="AC103" s="5" t="n">
        <v>0</v>
      </c>
      <c r="AD103" s="5" t="n">
        <v>0</v>
      </c>
      <c r="AE103" s="5" t="n">
        <v>11.235</v>
      </c>
      <c r="AF103" s="5" t="n">
        <v>2.185</v>
      </c>
      <c r="AG103" s="5" t="n">
        <v>-3.011</v>
      </c>
      <c r="AH103" s="5" t="n">
        <v>8.225</v>
      </c>
      <c r="AI103" s="5" t="n">
        <v>0</v>
      </c>
      <c r="AJ103" s="5" t="n">
        <v>0</v>
      </c>
      <c r="AK103" s="5" t="n">
        <v>14.94</v>
      </c>
      <c r="AL103" s="5" t="n">
        <v>7.047</v>
      </c>
      <c r="AM103" s="5" t="n">
        <v>-6.655</v>
      </c>
      <c r="AN103" s="5" t="n">
        <v>8.285</v>
      </c>
      <c r="AO103" s="5" t="n">
        <v>0</v>
      </c>
      <c r="AP103" s="5" t="n">
        <v>0</v>
      </c>
      <c r="AQ103" s="5" t="n">
        <v>0.896</v>
      </c>
      <c r="AR103" s="5" t="n">
        <v>0.123</v>
      </c>
      <c r="AS103" s="5" t="n">
        <v>-0.422</v>
      </c>
      <c r="AT103" s="5" t="n">
        <v>0.545</v>
      </c>
      <c r="AU103" s="5" t="n">
        <v>0</v>
      </c>
      <c r="AV103" s="5" t="n">
        <v>0</v>
      </c>
      <c r="AW103" s="5" t="n">
        <v>0.89</v>
      </c>
      <c r="AX103" s="5" t="n">
        <v>0.123</v>
      </c>
      <c r="AY103" s="5" t="n">
        <v>-0.419</v>
      </c>
      <c r="AZ103" s="5" t="n">
        <v>0.542</v>
      </c>
      <c r="BA103" s="5" t="n">
        <v>0</v>
      </c>
      <c r="BB103" s="5" t="n">
        <v>0</v>
      </c>
      <c r="BC103" s="5" t="n">
        <v>0.62</v>
      </c>
      <c r="BD103" s="5" t="n">
        <v>0.123</v>
      </c>
      <c r="BE103" s="5" t="n">
        <v>-0.475</v>
      </c>
      <c r="BF103" s="5" t="n">
        <v>0.167</v>
      </c>
      <c r="BG103" s="5" t="n">
        <v>0</v>
      </c>
      <c r="BH103" s="5" t="n">
        <v>0</v>
      </c>
      <c r="BI103" s="5" t="n">
        <v>0.608</v>
      </c>
      <c r="BJ103" s="5" t="n">
        <v>0.123</v>
      </c>
      <c r="BK103" s="5" t="n">
        <v>-0.262</v>
      </c>
      <c r="BL103" s="5" t="n">
        <v>0.397</v>
      </c>
      <c r="BM103" s="5" t="n">
        <v>0</v>
      </c>
      <c r="BN103" s="5" t="n">
        <v>0</v>
      </c>
      <c r="BO103" s="5" t="n">
        <v>0</v>
      </c>
      <c r="BP103" s="5" t="n">
        <v>-0.005</v>
      </c>
      <c r="BQ103" s="5" t="n">
        <v>0.081</v>
      </c>
      <c r="BR103" s="5" t="n">
        <v>0</v>
      </c>
      <c r="BS103" s="5" t="n">
        <v>0.5</v>
      </c>
      <c r="BT103" s="5" t="n">
        <v>0</v>
      </c>
      <c r="BU103" s="5" t="n">
        <v>-0.005</v>
      </c>
      <c r="BV103" s="5" t="n">
        <v>0.106</v>
      </c>
      <c r="BW103" s="5" t="n">
        <v>0.149</v>
      </c>
      <c r="BX103" s="5" t="n">
        <v>0.833</v>
      </c>
      <c r="BY103" s="5" t="n">
        <v>12.729</v>
      </c>
      <c r="BZ103" s="5" t="n">
        <v>0</v>
      </c>
      <c r="CA103" s="5" t="n">
        <v>12.729</v>
      </c>
      <c r="CB103" s="5" t="n">
        <v>0</v>
      </c>
      <c r="CC103" s="5" t="n">
        <v>97.90000000000001</v>
      </c>
      <c r="CD103" s="5" t="n">
        <v>7.95</v>
      </c>
      <c r="CE103" s="5" t="n">
        <v>-41.875</v>
      </c>
      <c r="CF103" s="5" t="n">
        <v>64.395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1.294</v>
      </c>
      <c r="CR103" s="5" t="n">
        <v>1</v>
      </c>
      <c r="CS103" s="5" t="n">
        <v>10.001</v>
      </c>
      <c r="CT103" s="5" t="n">
        <v>10.485</v>
      </c>
      <c r="CU103" s="5" t="n">
        <v>28.059</v>
      </c>
    </row>
    <row r="104">
      <c r="A104" s="5" t="inlineStr">
        <is>
          <t>BOL2023</t>
        </is>
      </c>
      <c r="B104" s="5" t="inlineStr">
        <is>
          <t>BOL</t>
        </is>
      </c>
      <c r="C104" s="5" t="inlineStr">
        <is>
          <t>BOL</t>
        </is>
      </c>
      <c r="D104" s="5" t="inlineStr">
        <is>
          <t>Bolivia</t>
        </is>
      </c>
      <c r="E104" s="5" t="n">
        <v>2023</v>
      </c>
      <c r="F104" s="5" t="n">
        <v>0.149</v>
      </c>
      <c r="G104" s="5" t="n">
        <v>6.147</v>
      </c>
      <c r="H104" s="5" t="n">
        <v>1.286</v>
      </c>
      <c r="I104" s="5" t="n">
        <v>0.273</v>
      </c>
      <c r="J104" s="5" t="n">
        <v>6.42</v>
      </c>
      <c r="K104" s="5" t="n">
        <v>0</v>
      </c>
      <c r="L104" s="5" t="n">
        <v>1</v>
      </c>
      <c r="M104" s="5" t="n">
        <v>7.886</v>
      </c>
      <c r="N104" s="5" t="n">
        <v>3.857</v>
      </c>
      <c r="O104" s="5" t="n">
        <v>0.227</v>
      </c>
      <c r="P104" s="5" t="n">
        <v>8.113</v>
      </c>
      <c r="Q104" s="5" t="n">
        <v>0</v>
      </c>
      <c r="R104" s="5" t="n">
        <v>1</v>
      </c>
      <c r="S104" s="5" t="n">
        <v>12.575</v>
      </c>
      <c r="T104" s="5" t="n">
        <v>7.714</v>
      </c>
      <c r="U104" s="5" t="n">
        <v>0.486</v>
      </c>
      <c r="V104" s="5" t="n">
        <v>14.768</v>
      </c>
      <c r="W104" s="5" t="n">
        <v>0.149</v>
      </c>
      <c r="X104" s="5" t="n">
        <v>1</v>
      </c>
      <c r="Y104" s="5" t="n">
        <v>9.904</v>
      </c>
      <c r="Z104" s="5" t="n">
        <v>1.087</v>
      </c>
      <c r="AA104" s="5" t="n">
        <v>-7.521</v>
      </c>
      <c r="AB104" s="5" t="n">
        <v>2.384</v>
      </c>
      <c r="AC104" s="5" t="n">
        <v>0</v>
      </c>
      <c r="AD104" s="5" t="n">
        <v>0</v>
      </c>
      <c r="AE104" s="5" t="n">
        <v>10.547</v>
      </c>
      <c r="AF104" s="5" t="n">
        <v>2.051</v>
      </c>
      <c r="AG104" s="5" t="n">
        <v>-3.135</v>
      </c>
      <c r="AH104" s="5" t="n">
        <v>7.412</v>
      </c>
      <c r="AI104" s="5" t="n">
        <v>0</v>
      </c>
      <c r="AJ104" s="5" t="n">
        <v>0</v>
      </c>
      <c r="AK104" s="5" t="n">
        <v>14.404</v>
      </c>
      <c r="AL104" s="5" t="n">
        <v>6.795</v>
      </c>
      <c r="AM104" s="5" t="n">
        <v>-5.969</v>
      </c>
      <c r="AN104" s="5" t="n">
        <v>8.435</v>
      </c>
      <c r="AO104" s="5" t="n">
        <v>0</v>
      </c>
      <c r="AP104" s="5" t="n">
        <v>0</v>
      </c>
      <c r="AQ104" s="5" t="n">
        <v>0.791</v>
      </c>
      <c r="AR104" s="5" t="n">
        <v>0.129</v>
      </c>
      <c r="AS104" s="5" t="n">
        <v>-0.314</v>
      </c>
      <c r="AT104" s="5" t="n">
        <v>0.548</v>
      </c>
      <c r="AU104" s="5" t="n">
        <v>0</v>
      </c>
      <c r="AV104" s="5" t="n">
        <v>0</v>
      </c>
      <c r="AW104" s="5" t="n">
        <v>0.618</v>
      </c>
      <c r="AX104" s="5" t="n">
        <v>0.129</v>
      </c>
      <c r="AY104" s="5" t="n">
        <v>-0.124</v>
      </c>
      <c r="AZ104" s="5" t="n">
        <v>0.5679999999999999</v>
      </c>
      <c r="BA104" s="5" t="n">
        <v>0</v>
      </c>
      <c r="BB104" s="5" t="n">
        <v>0</v>
      </c>
      <c r="BC104" s="5" t="n">
        <v>0.554</v>
      </c>
      <c r="BD104" s="5" t="n">
        <v>0.129</v>
      </c>
      <c r="BE104" s="5" t="n">
        <v>-0.409</v>
      </c>
      <c r="BF104" s="5" t="n">
        <v>0.167</v>
      </c>
      <c r="BG104" s="5" t="n">
        <v>0</v>
      </c>
      <c r="BH104" s="5" t="n">
        <v>0</v>
      </c>
      <c r="BI104" s="5" t="n">
        <v>0.5570000000000001</v>
      </c>
      <c r="BJ104" s="5" t="n">
        <v>0.129</v>
      </c>
      <c r="BK104" s="5" t="n">
        <v>-0.212</v>
      </c>
      <c r="BL104" s="5" t="n">
        <v>0.397</v>
      </c>
      <c r="BM104" s="5" t="n">
        <v>0</v>
      </c>
      <c r="BN104" s="5" t="n">
        <v>0</v>
      </c>
      <c r="BO104" s="5" t="n">
        <v>0</v>
      </c>
      <c r="BP104" s="5" t="n">
        <v>0</v>
      </c>
      <c r="BQ104" s="5" t="n">
        <v>0.082</v>
      </c>
      <c r="BR104" s="5" t="n">
        <v>0</v>
      </c>
      <c r="BS104" s="5" t="n">
        <v>0.5</v>
      </c>
      <c r="BT104" s="5" t="n">
        <v>0</v>
      </c>
      <c r="BU104" s="5" t="n">
        <v>0</v>
      </c>
      <c r="BV104" s="5" t="n">
        <v>0.11</v>
      </c>
      <c r="BW104" s="5" t="n">
        <v>0.149</v>
      </c>
      <c r="BX104" s="5" t="n">
        <v>0.833</v>
      </c>
      <c r="BY104" s="5" t="n">
        <v>13.254</v>
      </c>
      <c r="BZ104" s="5" t="n">
        <v>0</v>
      </c>
      <c r="CA104" s="5" t="n">
        <v>13.254</v>
      </c>
      <c r="CB104" s="5" t="n">
        <v>0</v>
      </c>
      <c r="CC104" s="5" t="n">
        <v>83.248</v>
      </c>
      <c r="CD104" s="5" t="n">
        <v>7.95</v>
      </c>
      <c r="CE104" s="5" t="n">
        <v>-27.61</v>
      </c>
      <c r="CF104" s="5" t="n">
        <v>63.95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0</v>
      </c>
      <c r="CM104" s="5" t="n">
        <v>0</v>
      </c>
      <c r="CN104" s="5" t="n">
        <v>0</v>
      </c>
      <c r="CO104" s="5" t="n">
        <v>0</v>
      </c>
      <c r="CP104" s="5" t="n">
        <v>0</v>
      </c>
      <c r="CQ104" s="5" t="n">
        <v>1.348</v>
      </c>
      <c r="CR104" s="5" t="n">
        <v>1</v>
      </c>
      <c r="CS104" s="5" t="n">
        <v>9.260999999999999</v>
      </c>
      <c r="CT104" s="5" t="n">
        <v>4.861</v>
      </c>
      <c r="CU104" s="5" t="n">
        <v>9.260999999999999</v>
      </c>
    </row>
    <row r="105">
      <c r="A105" s="5" t="inlineStr">
        <is>
          <t>BOL2024</t>
        </is>
      </c>
      <c r="B105" s="5" t="inlineStr">
        <is>
          <t>BOL</t>
        </is>
      </c>
      <c r="C105" s="5" t="inlineStr">
        <is>
          <t>BOL</t>
        </is>
      </c>
      <c r="D105" s="5" t="inlineStr">
        <is>
          <t>Bolivia</t>
        </is>
      </c>
      <c r="E105" s="5" t="n">
        <v>2024</v>
      </c>
      <c r="F105" s="5" t="n">
        <v>0.149</v>
      </c>
      <c r="G105" s="5" t="n">
        <v>5.575</v>
      </c>
      <c r="H105" s="5" t="n">
        <v>1.324</v>
      </c>
      <c r="I105" s="5" t="n">
        <v>0.213</v>
      </c>
      <c r="J105" s="5" t="n">
        <v>5.787</v>
      </c>
      <c r="K105" s="5" t="n">
        <v>0</v>
      </c>
      <c r="L105" s="5" t="n">
        <v>1</v>
      </c>
      <c r="M105" s="5" t="n">
        <v>7.124</v>
      </c>
      <c r="N105" s="5" t="n">
        <v>3.971</v>
      </c>
      <c r="O105" s="5" t="n">
        <v>0.158</v>
      </c>
      <c r="P105" s="5" t="n">
        <v>7.281</v>
      </c>
      <c r="Q105" s="5" t="n">
        <v>0</v>
      </c>
      <c r="R105" s="5" t="n">
        <v>1</v>
      </c>
      <c r="S105" s="5" t="n">
        <v>12.193</v>
      </c>
      <c r="T105" s="5" t="n">
        <v>7.942</v>
      </c>
      <c r="U105" s="5" t="n">
        <v>0.465</v>
      </c>
      <c r="V105" s="5" t="n">
        <v>14.259</v>
      </c>
      <c r="W105" s="5" t="n">
        <v>0.149</v>
      </c>
      <c r="X105" s="5" t="n">
        <v>1</v>
      </c>
      <c r="Y105" s="5" t="n">
        <v>8.26</v>
      </c>
      <c r="Z105" s="5" t="n">
        <v>0.906</v>
      </c>
      <c r="AA105" s="5" t="n">
        <v>-5.806</v>
      </c>
      <c r="AB105" s="5" t="n">
        <v>2.454</v>
      </c>
      <c r="AC105" s="5" t="n">
        <v>0</v>
      </c>
      <c r="AD105" s="5" t="n">
        <v>0</v>
      </c>
      <c r="AE105" s="5" t="n">
        <v>8.922000000000001</v>
      </c>
      <c r="AF105" s="5" t="n">
        <v>1.735</v>
      </c>
      <c r="AG105" s="5" t="n">
        <v>-3.227</v>
      </c>
      <c r="AH105" s="5" t="n">
        <v>5.694</v>
      </c>
      <c r="AI105" s="5" t="n">
        <v>0</v>
      </c>
      <c r="AJ105" s="5" t="n">
        <v>0</v>
      </c>
      <c r="AK105" s="5" t="n">
        <v>12.892</v>
      </c>
      <c r="AL105" s="5" t="n">
        <v>6.082</v>
      </c>
      <c r="AM105" s="5" t="n">
        <v>-4.531</v>
      </c>
      <c r="AN105" s="5" t="n">
        <v>8.362</v>
      </c>
      <c r="AO105" s="5" t="n">
        <v>0</v>
      </c>
      <c r="AP105" s="5" t="n">
        <v>0</v>
      </c>
      <c r="AQ105" s="5" t="n">
        <v>0.756</v>
      </c>
      <c r="AR105" s="5" t="n">
        <v>0.132</v>
      </c>
      <c r="AS105" s="5" t="n">
        <v>-0.268</v>
      </c>
      <c r="AT105" s="5" t="n">
        <v>0.5610000000000001</v>
      </c>
      <c r="AU105" s="5" t="n">
        <v>0</v>
      </c>
      <c r="AV105" s="5" t="n">
        <v>0</v>
      </c>
      <c r="AW105" s="5" t="n">
        <v>0.655</v>
      </c>
      <c r="AX105" s="5" t="n">
        <v>0.132</v>
      </c>
      <c r="AY105" s="5" t="n">
        <v>-0.167</v>
      </c>
      <c r="AZ105" s="5" t="n">
        <v>0.5610000000000001</v>
      </c>
      <c r="BA105" s="5" t="n">
        <v>0</v>
      </c>
      <c r="BB105" s="5" t="n">
        <v>0</v>
      </c>
      <c r="BC105" s="5" t="n">
        <v>0.534</v>
      </c>
      <c r="BD105" s="5" t="n">
        <v>0.132</v>
      </c>
      <c r="BE105" s="5" t="n">
        <v>-0.388</v>
      </c>
      <c r="BF105" s="5" t="n">
        <v>0.167</v>
      </c>
      <c r="BG105" s="5" t="n">
        <v>0</v>
      </c>
      <c r="BH105" s="5" t="n">
        <v>0</v>
      </c>
      <c r="BI105" s="5" t="n">
        <v>0.5679999999999999</v>
      </c>
      <c r="BJ105" s="5" t="n">
        <v>0.132</v>
      </c>
      <c r="BK105" s="5" t="n">
        <v>-0.223</v>
      </c>
      <c r="BL105" s="5" t="n">
        <v>0.397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0.08400000000000001</v>
      </c>
      <c r="BR105" s="5" t="n">
        <v>0</v>
      </c>
      <c r="BS105" s="5" t="n">
        <v>0.5</v>
      </c>
      <c r="BT105" s="5" t="n">
        <v>0</v>
      </c>
      <c r="BU105" s="5" t="n">
        <v>0</v>
      </c>
      <c r="BV105" s="5" t="n">
        <v>0.113</v>
      </c>
      <c r="BW105" s="5" t="n">
        <v>0.149</v>
      </c>
      <c r="BX105" s="5" t="n">
        <v>0.833</v>
      </c>
      <c r="BY105" s="5" t="n">
        <v>13.646</v>
      </c>
      <c r="BZ105" s="5" t="n">
        <v>0</v>
      </c>
      <c r="CA105" s="5" t="n">
        <v>13.646</v>
      </c>
      <c r="CB105" s="5" t="n">
        <v>0</v>
      </c>
      <c r="CC105" s="5" t="n">
        <v>82.58799999999999</v>
      </c>
      <c r="CD105" s="5" t="n">
        <v>7.95</v>
      </c>
      <c r="CE105" s="5" t="n">
        <v>-26.95</v>
      </c>
      <c r="CF105" s="5" t="n">
        <v>63.95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1.387</v>
      </c>
      <c r="CR105" s="5" t="n">
        <v>1</v>
      </c>
      <c r="CS105" s="5" t="n">
        <v>7.598</v>
      </c>
      <c r="CT105" s="5" t="n">
        <v>4.251</v>
      </c>
      <c r="CU105" s="5" t="n">
        <v>7.598</v>
      </c>
    </row>
    <row r="106">
      <c r="A106" s="5" t="inlineStr">
        <is>
          <t>BIH2021</t>
        </is>
      </c>
      <c r="B106" s="5" t="inlineStr">
        <is>
          <t>BIH</t>
        </is>
      </c>
      <c r="C106" s="5" t="inlineStr">
        <is>
          <t>BIH</t>
        </is>
      </c>
      <c r="D106" s="5" t="inlineStr">
        <is>
          <t>Bosnia and Herzegovina</t>
        </is>
      </c>
      <c r="E106" s="5" t="n">
        <v>2021</v>
      </c>
      <c r="F106" s="5" t="n">
        <v>0.17</v>
      </c>
      <c r="G106" s="5" t="n">
        <v>2.809</v>
      </c>
      <c r="H106" s="5" t="n">
        <v>0.729</v>
      </c>
      <c r="I106" s="5" t="n">
        <v>0.124</v>
      </c>
      <c r="J106" s="5" t="n">
        <v>2.933</v>
      </c>
      <c r="K106" s="5" t="n">
        <v>0</v>
      </c>
      <c r="L106" s="5" t="n">
        <v>1</v>
      </c>
      <c r="M106" s="5" t="n">
        <v>4.301</v>
      </c>
      <c r="N106" s="5" t="n">
        <v>2.186</v>
      </c>
      <c r="O106" s="5" t="n">
        <v>-1.368</v>
      </c>
      <c r="P106" s="5" t="n">
        <v>2.933</v>
      </c>
      <c r="Q106" s="5" t="n">
        <v>0</v>
      </c>
      <c r="R106" s="5" t="n">
        <v>0</v>
      </c>
      <c r="S106" s="5" t="n">
        <v>6.452</v>
      </c>
      <c r="T106" s="5" t="n">
        <v>4.372</v>
      </c>
      <c r="U106" s="5" t="n">
        <v>0</v>
      </c>
      <c r="V106" s="5" t="n">
        <v>7.549</v>
      </c>
      <c r="W106" s="5" t="n">
        <v>0.17</v>
      </c>
      <c r="X106" s="5" t="n">
        <v>1</v>
      </c>
      <c r="Y106" s="5" t="n">
        <v>22.51</v>
      </c>
      <c r="Z106" s="5" t="n">
        <v>2.486</v>
      </c>
      <c r="AA106" s="5" t="n">
        <v>-10.342</v>
      </c>
      <c r="AB106" s="5" t="n">
        <v>12.168</v>
      </c>
      <c r="AC106" s="5" t="n">
        <v>0</v>
      </c>
      <c r="AD106" s="5" t="n">
        <v>1</v>
      </c>
      <c r="AE106" s="5" t="n">
        <v>22.467</v>
      </c>
      <c r="AF106" s="5" t="n">
        <v>4.421</v>
      </c>
      <c r="AG106" s="5" t="n">
        <v>-10.298</v>
      </c>
      <c r="AH106" s="5" t="n">
        <v>12.168</v>
      </c>
      <c r="AI106" s="5" t="n">
        <v>0</v>
      </c>
      <c r="AJ106" s="5" t="n">
        <v>1</v>
      </c>
      <c r="AK106" s="5" t="n">
        <v>26.868</v>
      </c>
      <c r="AL106" s="5" t="n">
        <v>13.187</v>
      </c>
      <c r="AM106" s="5" t="n">
        <v>-17.256</v>
      </c>
      <c r="AN106" s="5" t="n">
        <v>11.246</v>
      </c>
      <c r="AO106" s="5" t="n">
        <v>0</v>
      </c>
      <c r="AP106" s="5" t="n">
        <v>0</v>
      </c>
      <c r="AQ106" s="5" t="n">
        <v>0.619</v>
      </c>
      <c r="AR106" s="5" t="n">
        <v>0.114</v>
      </c>
      <c r="AS106" s="5" t="n">
        <v>0.5</v>
      </c>
      <c r="AT106" s="5" t="n">
        <v>1.31</v>
      </c>
      <c r="AU106" s="5" t="n">
        <v>0.17</v>
      </c>
      <c r="AV106" s="5" t="n">
        <v>1</v>
      </c>
      <c r="AW106" s="5" t="n">
        <v>0.599</v>
      </c>
      <c r="AX106" s="5" t="n">
        <v>0.114</v>
      </c>
      <c r="AY106" s="5" t="n">
        <v>0.486</v>
      </c>
      <c r="AZ106" s="5" t="n">
        <v>1.27</v>
      </c>
      <c r="BA106" s="5" t="n">
        <v>0.17</v>
      </c>
      <c r="BB106" s="5" t="n">
        <v>1</v>
      </c>
      <c r="BC106" s="5" t="n">
        <v>0.439</v>
      </c>
      <c r="BD106" s="5" t="n">
        <v>0.114</v>
      </c>
      <c r="BE106" s="5" t="n">
        <v>0.184</v>
      </c>
      <c r="BF106" s="5" t="n">
        <v>0.729</v>
      </c>
      <c r="BG106" s="5" t="n">
        <v>0.17</v>
      </c>
      <c r="BH106" s="5" t="n">
        <v>1</v>
      </c>
      <c r="BI106" s="5" t="n">
        <v>0.505</v>
      </c>
      <c r="BJ106" s="5" t="n">
        <v>0.114</v>
      </c>
      <c r="BK106" s="5" t="n">
        <v>0.19</v>
      </c>
      <c r="BL106" s="5" t="n">
        <v>0.8129999999999999</v>
      </c>
      <c r="BM106" s="5" t="n">
        <v>0.17</v>
      </c>
      <c r="BN106" s="5" t="n">
        <v>1</v>
      </c>
      <c r="BO106" s="5" t="n">
        <v>0</v>
      </c>
      <c r="BP106" s="5" t="n">
        <v>0.003</v>
      </c>
      <c r="BQ106" s="5" t="n">
        <v>0.07199999999999999</v>
      </c>
      <c r="BR106" s="5" t="n">
        <v>0</v>
      </c>
      <c r="BS106" s="5" t="n">
        <v>1</v>
      </c>
      <c r="BT106" s="5" t="n">
        <v>0</v>
      </c>
      <c r="BU106" s="5" t="n">
        <v>0.003</v>
      </c>
      <c r="BV106" s="5" t="n">
        <v>0.103</v>
      </c>
      <c r="BW106" s="5" t="n">
        <v>0.17</v>
      </c>
      <c r="BX106" s="5" t="n">
        <v>1</v>
      </c>
      <c r="BY106" s="5" t="n">
        <v>11.787</v>
      </c>
      <c r="BZ106" s="5" t="n">
        <v>0</v>
      </c>
      <c r="CA106" s="5" t="n">
        <v>11.787</v>
      </c>
      <c r="CB106" s="5" t="n">
        <v>0</v>
      </c>
      <c r="CC106" s="5" t="n">
        <v>78.125</v>
      </c>
      <c r="CD106" s="5" t="n">
        <v>7.95</v>
      </c>
      <c r="CE106" s="5" t="n">
        <v>0</v>
      </c>
      <c r="CF106" s="5" t="n">
        <v>91.40600000000001</v>
      </c>
      <c r="CG106" s="5" t="n">
        <v>0.17</v>
      </c>
      <c r="CH106" s="5" t="n">
        <v>1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0.725</v>
      </c>
      <c r="CQ106" s="5" t="n">
        <v>1.198</v>
      </c>
      <c r="CR106" s="5" t="n">
        <v>0</v>
      </c>
      <c r="CS106" s="5" t="n">
        <v>4.776</v>
      </c>
      <c r="CT106" s="5" t="n">
        <v>4.41</v>
      </c>
      <c r="CU106" s="5" t="n">
        <v>20.363</v>
      </c>
    </row>
    <row r="107">
      <c r="A107" s="5" t="inlineStr">
        <is>
          <t>BIH2022</t>
        </is>
      </c>
      <c r="B107" s="5" t="inlineStr">
        <is>
          <t>BIH</t>
        </is>
      </c>
      <c r="C107" s="5" t="inlineStr">
        <is>
          <t>BIH</t>
        </is>
      </c>
      <c r="D107" s="5" t="inlineStr">
        <is>
          <t>Bosnia and Herzegovina</t>
        </is>
      </c>
      <c r="E107" s="5" t="n">
        <v>2022</v>
      </c>
      <c r="F107" s="5" t="n">
        <v>0.17</v>
      </c>
      <c r="G107" s="5" t="n">
        <v>3.179</v>
      </c>
      <c r="H107" s="5" t="n">
        <v>0.769</v>
      </c>
      <c r="I107" s="5" t="n">
        <v>0.134</v>
      </c>
      <c r="J107" s="5" t="n">
        <v>3.313</v>
      </c>
      <c r="K107" s="5" t="n">
        <v>0</v>
      </c>
      <c r="L107" s="5" t="n">
        <v>1</v>
      </c>
      <c r="M107" s="5" t="n">
        <v>4.775</v>
      </c>
      <c r="N107" s="5" t="n">
        <v>2.307</v>
      </c>
      <c r="O107" s="5" t="n">
        <v>-1.477</v>
      </c>
      <c r="P107" s="5" t="n">
        <v>3.298</v>
      </c>
      <c r="Q107" s="5" t="n">
        <v>0</v>
      </c>
      <c r="R107" s="5" t="n">
        <v>0</v>
      </c>
      <c r="S107" s="5" t="n">
        <v>7.023</v>
      </c>
      <c r="T107" s="5" t="n">
        <v>4.613</v>
      </c>
      <c r="U107" s="5" t="n">
        <v>0.08799999999999999</v>
      </c>
      <c r="V107" s="5" t="n">
        <v>8.217000000000001</v>
      </c>
      <c r="W107" s="5" t="n">
        <v>0.17</v>
      </c>
      <c r="X107" s="5" t="n">
        <v>1</v>
      </c>
      <c r="Y107" s="5" t="n">
        <v>50.269</v>
      </c>
      <c r="Z107" s="5" t="n">
        <v>5.273</v>
      </c>
      <c r="AA107" s="5" t="n">
        <v>-34.302</v>
      </c>
      <c r="AB107" s="5" t="n">
        <v>15.967</v>
      </c>
      <c r="AC107" s="5" t="n">
        <v>0</v>
      </c>
      <c r="AD107" s="5" t="n">
        <v>1</v>
      </c>
      <c r="AE107" s="5" t="n">
        <v>50.317</v>
      </c>
      <c r="AF107" s="5" t="n">
        <v>9.327999999999999</v>
      </c>
      <c r="AG107" s="5" t="n">
        <v>-34.349</v>
      </c>
      <c r="AH107" s="5" t="n">
        <v>15.967</v>
      </c>
      <c r="AI107" s="5" t="n">
        <v>0</v>
      </c>
      <c r="AJ107" s="5" t="n">
        <v>1</v>
      </c>
      <c r="AK107" s="5" t="n">
        <v>55.255</v>
      </c>
      <c r="AL107" s="5" t="n">
        <v>26.386</v>
      </c>
      <c r="AM107" s="5" t="n">
        <v>-41.591</v>
      </c>
      <c r="AN107" s="5" t="n">
        <v>15.987</v>
      </c>
      <c r="AO107" s="5" t="n">
        <v>0</v>
      </c>
      <c r="AP107" s="5" t="n">
        <v>0</v>
      </c>
      <c r="AQ107" s="5" t="n">
        <v>0.861</v>
      </c>
      <c r="AR107" s="5" t="n">
        <v>0.123</v>
      </c>
      <c r="AS107" s="5" t="n">
        <v>0.473</v>
      </c>
      <c r="AT107" s="5" t="n">
        <v>1.561</v>
      </c>
      <c r="AU107" s="5" t="n">
        <v>0.17</v>
      </c>
      <c r="AV107" s="5" t="n">
        <v>1</v>
      </c>
      <c r="AW107" s="5" t="n">
        <v>0.986</v>
      </c>
      <c r="AX107" s="5" t="n">
        <v>0.123</v>
      </c>
      <c r="AY107" s="5" t="n">
        <v>0.452</v>
      </c>
      <c r="AZ107" s="5" t="n">
        <v>1.683</v>
      </c>
      <c r="BA107" s="5" t="n">
        <v>0.17</v>
      </c>
      <c r="BB107" s="5" t="n">
        <v>1</v>
      </c>
      <c r="BC107" s="5" t="n">
        <v>0.598</v>
      </c>
      <c r="BD107" s="5" t="n">
        <v>0.123</v>
      </c>
      <c r="BE107" s="5" t="n">
        <v>0.135</v>
      </c>
      <c r="BF107" s="5" t="n">
        <v>0.857</v>
      </c>
      <c r="BG107" s="5" t="n">
        <v>0.17</v>
      </c>
      <c r="BH107" s="5" t="n">
        <v>1</v>
      </c>
      <c r="BI107" s="5" t="n">
        <v>0.612</v>
      </c>
      <c r="BJ107" s="5" t="n">
        <v>0.123</v>
      </c>
      <c r="BK107" s="5" t="n">
        <v>0.217</v>
      </c>
      <c r="BL107" s="5" t="n">
        <v>0.959</v>
      </c>
      <c r="BM107" s="5" t="n">
        <v>0.17</v>
      </c>
      <c r="BN107" s="5" t="n">
        <v>1</v>
      </c>
      <c r="BO107" s="5" t="n">
        <v>0</v>
      </c>
      <c r="BP107" s="5" t="n">
        <v>0.003</v>
      </c>
      <c r="BQ107" s="5" t="n">
        <v>0.08599999999999999</v>
      </c>
      <c r="BR107" s="5" t="n">
        <v>0</v>
      </c>
      <c r="BS107" s="5" t="n">
        <v>1</v>
      </c>
      <c r="BT107" s="5" t="n">
        <v>0</v>
      </c>
      <c r="BU107" s="5" t="n">
        <v>0.003</v>
      </c>
      <c r="BV107" s="5" t="n">
        <v>0.094</v>
      </c>
      <c r="BW107" s="5" t="n">
        <v>0.17</v>
      </c>
      <c r="BX107" s="5" t="n">
        <v>1</v>
      </c>
      <c r="BY107" s="5" t="n">
        <v>12.729</v>
      </c>
      <c r="BZ107" s="5" t="n">
        <v>0</v>
      </c>
      <c r="CA107" s="5" t="n">
        <v>12.729</v>
      </c>
      <c r="CB107" s="5" t="n">
        <v>0</v>
      </c>
      <c r="CC107" s="5" t="n">
        <v>97.90000000000001</v>
      </c>
      <c r="CD107" s="5" t="n">
        <v>7.95</v>
      </c>
      <c r="CE107" s="5" t="n">
        <v>1.232</v>
      </c>
      <c r="CF107" s="5" t="n">
        <v>114.543</v>
      </c>
      <c r="CG107" s="5" t="n">
        <v>0.17</v>
      </c>
      <c r="CH107" s="5" t="n">
        <v>1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0.755</v>
      </c>
      <c r="CQ107" s="5" t="n">
        <v>1.294</v>
      </c>
      <c r="CR107" s="5" t="n">
        <v>0</v>
      </c>
      <c r="CS107" s="5" t="n">
        <v>5.158</v>
      </c>
      <c r="CT107" s="5" t="n">
        <v>5.842</v>
      </c>
      <c r="CU107" s="5" t="n">
        <v>48.03</v>
      </c>
    </row>
    <row r="108">
      <c r="A108" s="5" t="inlineStr">
        <is>
          <t>BIH2023</t>
        </is>
      </c>
      <c r="B108" s="5" t="inlineStr">
        <is>
          <t>BIH</t>
        </is>
      </c>
      <c r="C108" s="5" t="inlineStr">
        <is>
          <t>BIH</t>
        </is>
      </c>
      <c r="D108" s="5" t="inlineStr">
        <is>
          <t>Bosnia and Herzegovina</t>
        </is>
      </c>
      <c r="E108" s="5" t="n">
        <v>2023</v>
      </c>
      <c r="F108" s="5" t="n">
        <v>0.17</v>
      </c>
      <c r="G108" s="5" t="n">
        <v>2.595</v>
      </c>
      <c r="H108" s="5" t="n">
        <v>0.784</v>
      </c>
      <c r="I108" s="5" t="n">
        <v>0.139</v>
      </c>
      <c r="J108" s="5" t="n">
        <v>2.734</v>
      </c>
      <c r="K108" s="5" t="n">
        <v>0</v>
      </c>
      <c r="L108" s="5" t="n">
        <v>1</v>
      </c>
      <c r="M108" s="5" t="n">
        <v>4.285</v>
      </c>
      <c r="N108" s="5" t="n">
        <v>2.351</v>
      </c>
      <c r="O108" s="5" t="n">
        <v>-1.538</v>
      </c>
      <c r="P108" s="5" t="n">
        <v>2.747</v>
      </c>
      <c r="Q108" s="5" t="n">
        <v>0</v>
      </c>
      <c r="R108" s="5" t="n">
        <v>0</v>
      </c>
      <c r="S108" s="5" t="n">
        <v>6.513</v>
      </c>
      <c r="T108" s="5" t="n">
        <v>4.701</v>
      </c>
      <c r="U108" s="5" t="n">
        <v>0.123</v>
      </c>
      <c r="V108" s="5" t="n">
        <v>7.62</v>
      </c>
      <c r="W108" s="5" t="n">
        <v>0.17</v>
      </c>
      <c r="X108" s="5" t="n">
        <v>1</v>
      </c>
      <c r="Y108" s="5" t="n">
        <v>18.781</v>
      </c>
      <c r="Z108" s="5" t="n">
        <v>2.104</v>
      </c>
      <c r="AA108" s="5" t="n">
        <v>-2.333</v>
      </c>
      <c r="AB108" s="5" t="n">
        <v>16.448</v>
      </c>
      <c r="AC108" s="5" t="n">
        <v>0</v>
      </c>
      <c r="AD108" s="5" t="n">
        <v>1</v>
      </c>
      <c r="AE108" s="5" t="n">
        <v>18.88</v>
      </c>
      <c r="AF108" s="5" t="n">
        <v>3.76</v>
      </c>
      <c r="AG108" s="5" t="n">
        <v>-2.432</v>
      </c>
      <c r="AH108" s="5" t="n">
        <v>16.448</v>
      </c>
      <c r="AI108" s="5" t="n">
        <v>0</v>
      </c>
      <c r="AJ108" s="5" t="n">
        <v>1</v>
      </c>
      <c r="AK108" s="5" t="n">
        <v>24.023</v>
      </c>
      <c r="AL108" s="5" t="n">
        <v>11.9</v>
      </c>
      <c r="AM108" s="5" t="n">
        <v>-9.874000000000001</v>
      </c>
      <c r="AN108" s="5" t="n">
        <v>16.554</v>
      </c>
      <c r="AO108" s="5" t="n">
        <v>0</v>
      </c>
      <c r="AP108" s="5" t="n">
        <v>0</v>
      </c>
      <c r="AQ108" s="5" t="n">
        <v>0.76</v>
      </c>
      <c r="AR108" s="5" t="n">
        <v>0.129</v>
      </c>
      <c r="AS108" s="5" t="n">
        <v>0.49</v>
      </c>
      <c r="AT108" s="5" t="n">
        <v>1.463</v>
      </c>
      <c r="AU108" s="5" t="n">
        <v>0.17</v>
      </c>
      <c r="AV108" s="5" t="n">
        <v>1</v>
      </c>
      <c r="AW108" s="5" t="n">
        <v>0.8110000000000001</v>
      </c>
      <c r="AX108" s="5" t="n">
        <v>0.129</v>
      </c>
      <c r="AY108" s="5" t="n">
        <v>0.456</v>
      </c>
      <c r="AZ108" s="5" t="n">
        <v>1.482</v>
      </c>
      <c r="BA108" s="5" t="n">
        <v>0.17</v>
      </c>
      <c r="BB108" s="5" t="n">
        <v>1</v>
      </c>
      <c r="BC108" s="5" t="n">
        <v>0.535</v>
      </c>
      <c r="BD108" s="5" t="n">
        <v>0.129</v>
      </c>
      <c r="BE108" s="5" t="n">
        <v>0.095</v>
      </c>
      <c r="BF108" s="5" t="n">
        <v>0.737</v>
      </c>
      <c r="BG108" s="5" t="n">
        <v>0.17</v>
      </c>
      <c r="BH108" s="5" t="n">
        <v>1</v>
      </c>
      <c r="BI108" s="5" t="n">
        <v>0.579</v>
      </c>
      <c r="BJ108" s="5" t="n">
        <v>0.129</v>
      </c>
      <c r="BK108" s="5" t="n">
        <v>0.229</v>
      </c>
      <c r="BL108" s="5" t="n">
        <v>0.929</v>
      </c>
      <c r="BM108" s="5" t="n">
        <v>0.17</v>
      </c>
      <c r="BN108" s="5" t="n">
        <v>1</v>
      </c>
      <c r="BO108" s="5" t="n">
        <v>0</v>
      </c>
      <c r="BP108" s="5" t="n">
        <v>0.001</v>
      </c>
      <c r="BQ108" s="5" t="n">
        <v>0.092</v>
      </c>
      <c r="BR108" s="5" t="n">
        <v>0</v>
      </c>
      <c r="BS108" s="5" t="n">
        <v>1</v>
      </c>
      <c r="BT108" s="5" t="n">
        <v>0</v>
      </c>
      <c r="BU108" s="5" t="n">
        <v>0.001</v>
      </c>
      <c r="BV108" s="5" t="n">
        <v>0.093</v>
      </c>
      <c r="BW108" s="5" t="n">
        <v>0.17</v>
      </c>
      <c r="BX108" s="5" t="n">
        <v>1</v>
      </c>
      <c r="BY108" s="5" t="n">
        <v>13.254</v>
      </c>
      <c r="BZ108" s="5" t="n">
        <v>0</v>
      </c>
      <c r="CA108" s="5" t="n">
        <v>13.254</v>
      </c>
      <c r="CB108" s="5" t="n">
        <v>0</v>
      </c>
      <c r="CC108" s="5" t="n">
        <v>83.248</v>
      </c>
      <c r="CD108" s="5" t="n">
        <v>7.95</v>
      </c>
      <c r="CE108" s="5" t="n">
        <v>1.567</v>
      </c>
      <c r="CF108" s="5" t="n">
        <v>97.40000000000001</v>
      </c>
      <c r="CG108" s="5" t="n">
        <v>0.17</v>
      </c>
      <c r="CH108" s="5" t="n">
        <v>1</v>
      </c>
      <c r="CI108" s="5" t="n">
        <v>0</v>
      </c>
      <c r="CJ108" s="5" t="n">
        <v>0</v>
      </c>
      <c r="CK108" s="5" t="n">
        <v>0</v>
      </c>
      <c r="CL108" s="5" t="n">
        <v>0</v>
      </c>
      <c r="CM108" s="5" t="n">
        <v>0</v>
      </c>
      <c r="CN108" s="5" t="n">
        <v>0</v>
      </c>
      <c r="CO108" s="5" t="n">
        <v>0</v>
      </c>
      <c r="CP108" s="5" t="n">
        <v>0.781</v>
      </c>
      <c r="CQ108" s="5" t="n">
        <v>1.348</v>
      </c>
      <c r="CR108" s="5" t="n">
        <v>0</v>
      </c>
      <c r="CS108" s="5" t="n">
        <v>5.37</v>
      </c>
      <c r="CT108" s="5" t="n">
        <v>3.466</v>
      </c>
      <c r="CU108" s="5" t="n">
        <v>16.492</v>
      </c>
    </row>
    <row r="109">
      <c r="A109" s="5" t="inlineStr">
        <is>
          <t>BIH2024</t>
        </is>
      </c>
      <c r="B109" s="5" t="inlineStr">
        <is>
          <t>BIH</t>
        </is>
      </c>
      <c r="C109" s="5" t="inlineStr">
        <is>
          <t>BIH</t>
        </is>
      </c>
      <c r="D109" s="5" t="inlineStr">
        <is>
          <t>Bosnia and Herzegovina</t>
        </is>
      </c>
      <c r="E109" s="5" t="n">
        <v>2024</v>
      </c>
      <c r="F109" s="5" t="n">
        <v>0.17</v>
      </c>
      <c r="G109" s="5" t="n">
        <v>2.553</v>
      </c>
      <c r="H109" s="5" t="n">
        <v>0.8070000000000001</v>
      </c>
      <c r="I109" s="5" t="n">
        <v>0.143</v>
      </c>
      <c r="J109" s="5" t="n">
        <v>2.696</v>
      </c>
      <c r="K109" s="5" t="n">
        <v>0</v>
      </c>
      <c r="L109" s="5" t="n">
        <v>1</v>
      </c>
      <c r="M109" s="5" t="n">
        <v>4.194</v>
      </c>
      <c r="N109" s="5" t="n">
        <v>2.42</v>
      </c>
      <c r="O109" s="5" t="n">
        <v>-1.583</v>
      </c>
      <c r="P109" s="5" t="n">
        <v>2.61</v>
      </c>
      <c r="Q109" s="5" t="n">
        <v>0</v>
      </c>
      <c r="R109" s="5" t="n">
        <v>0</v>
      </c>
      <c r="S109" s="5" t="n">
        <v>6.586</v>
      </c>
      <c r="T109" s="5" t="n">
        <v>4.84</v>
      </c>
      <c r="U109" s="5" t="n">
        <v>0.153</v>
      </c>
      <c r="V109" s="5" t="n">
        <v>7.706</v>
      </c>
      <c r="W109" s="5" t="n">
        <v>0.17</v>
      </c>
      <c r="X109" s="5" t="n">
        <v>1</v>
      </c>
      <c r="Y109" s="5" t="n">
        <v>15.707</v>
      </c>
      <c r="Z109" s="5" t="n">
        <v>1.983</v>
      </c>
      <c r="AA109" s="5" t="n">
        <v>0.138</v>
      </c>
      <c r="AB109" s="5" t="n">
        <v>15.846</v>
      </c>
      <c r="AC109" s="5" t="n">
        <v>0</v>
      </c>
      <c r="AD109" s="5" t="n">
        <v>1</v>
      </c>
      <c r="AE109" s="5" t="n">
        <v>15.707</v>
      </c>
      <c r="AF109" s="5" t="n">
        <v>3.441</v>
      </c>
      <c r="AG109" s="5" t="n">
        <v>0.138</v>
      </c>
      <c r="AH109" s="5" t="n">
        <v>15.846</v>
      </c>
      <c r="AI109" s="5" t="n">
        <v>0</v>
      </c>
      <c r="AJ109" s="5" t="n">
        <v>1</v>
      </c>
      <c r="AK109" s="5" t="n">
        <v>20.479</v>
      </c>
      <c r="AL109" s="5" t="n">
        <v>10.416</v>
      </c>
      <c r="AM109" s="5" t="n">
        <v>-6.978</v>
      </c>
      <c r="AN109" s="5" t="n">
        <v>15.796</v>
      </c>
      <c r="AO109" s="5" t="n">
        <v>0</v>
      </c>
      <c r="AP109" s="5" t="n">
        <v>0</v>
      </c>
      <c r="AQ109" s="5" t="n">
        <v>0.724</v>
      </c>
      <c r="AR109" s="5" t="n">
        <v>0.132</v>
      </c>
      <c r="AS109" s="5" t="n">
        <v>0.486</v>
      </c>
      <c r="AT109" s="5" t="n">
        <v>1.416</v>
      </c>
      <c r="AU109" s="5" t="n">
        <v>0.17</v>
      </c>
      <c r="AV109" s="5" t="n">
        <v>1</v>
      </c>
      <c r="AW109" s="5" t="n">
        <v>0.75</v>
      </c>
      <c r="AX109" s="5" t="n">
        <v>0.132</v>
      </c>
      <c r="AY109" s="5" t="n">
        <v>0.448</v>
      </c>
      <c r="AZ109" s="5" t="n">
        <v>1.402</v>
      </c>
      <c r="BA109" s="5" t="n">
        <v>0.17</v>
      </c>
      <c r="BB109" s="5" t="n">
        <v>1</v>
      </c>
      <c r="BC109" s="5" t="n">
        <v>0.513</v>
      </c>
      <c r="BD109" s="5" t="n">
        <v>0.132</v>
      </c>
      <c r="BE109" s="5" t="n">
        <v>0.08799999999999999</v>
      </c>
      <c r="BF109" s="5" t="n">
        <v>0.703</v>
      </c>
      <c r="BG109" s="5" t="n">
        <v>0.17</v>
      </c>
      <c r="BH109" s="5" t="n">
        <v>1</v>
      </c>
      <c r="BI109" s="5" t="n">
        <v>0.591</v>
      </c>
      <c r="BJ109" s="5" t="n">
        <v>0.132</v>
      </c>
      <c r="BK109" s="5" t="n">
        <v>0.239</v>
      </c>
      <c r="BL109" s="5" t="n">
        <v>0.95</v>
      </c>
      <c r="BM109" s="5" t="n">
        <v>0.17</v>
      </c>
      <c r="BN109" s="5" t="n">
        <v>1</v>
      </c>
      <c r="BO109" s="5" t="n">
        <v>0</v>
      </c>
      <c r="BP109" s="5" t="n">
        <v>0</v>
      </c>
      <c r="BQ109" s="5" t="n">
        <v>0.096</v>
      </c>
      <c r="BR109" s="5" t="n">
        <v>0</v>
      </c>
      <c r="BS109" s="5" t="n">
        <v>1</v>
      </c>
      <c r="BT109" s="5" t="n">
        <v>0</v>
      </c>
      <c r="BU109" s="5" t="n">
        <v>0.001</v>
      </c>
      <c r="BV109" s="5" t="n">
        <v>0.095</v>
      </c>
      <c r="BW109" s="5" t="n">
        <v>0.17</v>
      </c>
      <c r="BX109" s="5" t="n">
        <v>1</v>
      </c>
      <c r="BY109" s="5" t="n">
        <v>13.646</v>
      </c>
      <c r="BZ109" s="5" t="n">
        <v>0</v>
      </c>
      <c r="CA109" s="5" t="n">
        <v>13.646</v>
      </c>
      <c r="CB109" s="5" t="n">
        <v>0</v>
      </c>
      <c r="CC109" s="5" t="n">
        <v>82.58799999999999</v>
      </c>
      <c r="CD109" s="5" t="n">
        <v>7.95</v>
      </c>
      <c r="CE109" s="5" t="n">
        <v>1.912</v>
      </c>
      <c r="CF109" s="5" t="n">
        <v>96.628</v>
      </c>
      <c r="CG109" s="5" t="n">
        <v>0.17</v>
      </c>
      <c r="CH109" s="5" t="n">
        <v>1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</v>
      </c>
      <c r="CP109" s="5" t="n">
        <v>0.781</v>
      </c>
      <c r="CQ109" s="5" t="n">
        <v>1.387</v>
      </c>
      <c r="CR109" s="5" t="n">
        <v>0</v>
      </c>
      <c r="CS109" s="5" t="n">
        <v>5.529</v>
      </c>
      <c r="CT109" s="5" t="n">
        <v>3.027</v>
      </c>
      <c r="CU109" s="5" t="n">
        <v>13.942</v>
      </c>
    </row>
    <row r="110">
      <c r="A110" s="5" t="inlineStr">
        <is>
          <t>BWA2021</t>
        </is>
      </c>
      <c r="B110" s="5" t="inlineStr">
        <is>
          <t>BWA</t>
        </is>
      </c>
      <c r="C110" s="5" t="inlineStr">
        <is>
          <t>BWA</t>
        </is>
      </c>
      <c r="D110" s="5" t="inlineStr">
        <is>
          <t>Botswana</t>
        </is>
      </c>
      <c r="E110" s="5" t="n">
        <v>2021</v>
      </c>
      <c r="F110" s="5" t="n">
        <v>0.12</v>
      </c>
      <c r="G110" s="5" t="n">
        <v>1.77</v>
      </c>
      <c r="H110" s="5" t="n">
        <v>0.572</v>
      </c>
      <c r="I110" s="5" t="n">
        <v>0</v>
      </c>
      <c r="J110" s="5" t="n">
        <v>1.77</v>
      </c>
      <c r="K110" s="5" t="n">
        <v>0</v>
      </c>
      <c r="L110" s="5" t="n">
        <v>1</v>
      </c>
      <c r="M110" s="5" t="n">
        <v>2.913</v>
      </c>
      <c r="N110" s="5" t="n">
        <v>1.715</v>
      </c>
      <c r="O110" s="5" t="n">
        <v>0</v>
      </c>
      <c r="P110" s="5" t="n">
        <v>2.913</v>
      </c>
      <c r="Q110" s="5" t="n">
        <v>0</v>
      </c>
      <c r="R110" s="5" t="n">
        <v>1</v>
      </c>
      <c r="S110" s="5" t="n">
        <v>4.628</v>
      </c>
      <c r="T110" s="5" t="n">
        <v>3.43</v>
      </c>
      <c r="U110" s="5" t="n">
        <v>0</v>
      </c>
      <c r="V110" s="5" t="n">
        <v>5.276</v>
      </c>
      <c r="W110" s="5" t="n">
        <v>0.14</v>
      </c>
      <c r="X110" s="5" t="n">
        <v>1</v>
      </c>
      <c r="Y110" s="5" t="n">
        <v>14.663</v>
      </c>
      <c r="Z110" s="5" t="n">
        <v>1.982</v>
      </c>
      <c r="AA110" s="5" t="n">
        <v>0</v>
      </c>
      <c r="AB110" s="5" t="n">
        <v>14.663</v>
      </c>
      <c r="AC110" s="5" t="n">
        <v>0</v>
      </c>
      <c r="AD110" s="5" t="n">
        <v>1</v>
      </c>
      <c r="AE110" s="5" t="n">
        <v>15.806</v>
      </c>
      <c r="AF110" s="5" t="n">
        <v>3.696</v>
      </c>
      <c r="AG110" s="5" t="n">
        <v>0</v>
      </c>
      <c r="AH110" s="5" t="n">
        <v>15.806</v>
      </c>
      <c r="AI110" s="5" t="n">
        <v>0</v>
      </c>
      <c r="AJ110" s="5" t="n">
        <v>1</v>
      </c>
      <c r="AK110" s="5" t="n">
        <v>22.666</v>
      </c>
      <c r="AL110" s="5" t="n">
        <v>12.072</v>
      </c>
      <c r="AM110" s="5" t="n">
        <v>0</v>
      </c>
      <c r="AN110" s="5" t="n">
        <v>25.839</v>
      </c>
      <c r="AO110" s="5" t="n">
        <v>0.14</v>
      </c>
      <c r="AP110" s="5" t="n">
        <v>1</v>
      </c>
      <c r="AQ110" s="5" t="n">
        <v>0.619</v>
      </c>
      <c r="AR110" s="5" t="n">
        <v>0.114</v>
      </c>
      <c r="AS110" s="5" t="n">
        <v>0.424</v>
      </c>
      <c r="AT110" s="5" t="n">
        <v>1.189</v>
      </c>
      <c r="AU110" s="5" t="n">
        <v>0.14</v>
      </c>
      <c r="AV110" s="5" t="n">
        <v>1</v>
      </c>
      <c r="AW110" s="5" t="n">
        <v>0.599</v>
      </c>
      <c r="AX110" s="5" t="n">
        <v>0.114</v>
      </c>
      <c r="AY110" s="5" t="n">
        <v>0.206</v>
      </c>
      <c r="AZ110" s="5" t="n">
        <v>0.918</v>
      </c>
      <c r="BA110" s="5" t="n">
        <v>0.14</v>
      </c>
      <c r="BB110" s="5" t="n">
        <v>1</v>
      </c>
      <c r="BC110" s="5" t="n">
        <v>0.439</v>
      </c>
      <c r="BD110" s="5" t="n">
        <v>0.114</v>
      </c>
      <c r="BE110" s="5" t="n">
        <v>0.679</v>
      </c>
      <c r="BF110" s="5" t="n">
        <v>1.118</v>
      </c>
      <c r="BG110" s="5" t="n">
        <v>0</v>
      </c>
      <c r="BH110" s="5" t="n">
        <v>1</v>
      </c>
      <c r="BI110" s="5" t="n">
        <v>0.505</v>
      </c>
      <c r="BJ110" s="5" t="n">
        <v>0.114</v>
      </c>
      <c r="BK110" s="5" t="n">
        <v>0.192</v>
      </c>
      <c r="BL110" s="5" t="n">
        <v>0.794</v>
      </c>
      <c r="BM110" s="5" t="n">
        <v>0.14</v>
      </c>
      <c r="BN110" s="5" t="n">
        <v>1</v>
      </c>
      <c r="BO110" s="5" t="n">
        <v>0</v>
      </c>
      <c r="BP110" s="5" t="n">
        <v>0</v>
      </c>
      <c r="BQ110" s="5" t="n">
        <v>0.124</v>
      </c>
      <c r="BR110" s="5" t="n">
        <v>0</v>
      </c>
      <c r="BS110" s="5" t="n">
        <v>1</v>
      </c>
      <c r="BT110" s="5" t="n">
        <v>0</v>
      </c>
      <c r="BU110" s="5" t="n">
        <v>0</v>
      </c>
      <c r="BV110" s="5" t="n">
        <v>0.108</v>
      </c>
      <c r="BW110" s="5" t="n">
        <v>0.14</v>
      </c>
      <c r="BX110" s="5" t="n">
        <v>1</v>
      </c>
      <c r="BY110" s="5" t="n">
        <v>11.787</v>
      </c>
      <c r="BZ110" s="5" t="n">
        <v>0</v>
      </c>
      <c r="CA110" s="5" t="n">
        <v>11.787</v>
      </c>
      <c r="CB110" s="5" t="n">
        <v>0</v>
      </c>
      <c r="CC110" s="5" t="n">
        <v>78.125</v>
      </c>
      <c r="CD110" s="5" t="n">
        <v>7.95</v>
      </c>
      <c r="CE110" s="5" t="n">
        <v>34.597</v>
      </c>
      <c r="CF110" s="5" t="n">
        <v>128.503</v>
      </c>
      <c r="CG110" s="5" t="n">
        <v>0.14</v>
      </c>
      <c r="CH110" s="5" t="n">
        <v>1</v>
      </c>
      <c r="CI110" s="5" t="n">
        <v>0</v>
      </c>
      <c r="CJ110" s="5" t="n">
        <v>0</v>
      </c>
      <c r="CK110" s="5" t="n">
        <v>0</v>
      </c>
      <c r="CL110" s="5" t="n">
        <v>0</v>
      </c>
      <c r="CM110" s="5" t="n">
        <v>0</v>
      </c>
      <c r="CN110" s="5" t="n">
        <v>0</v>
      </c>
      <c r="CO110" s="5" t="n">
        <v>0</v>
      </c>
      <c r="CP110" s="5" t="n">
        <v>1</v>
      </c>
      <c r="CQ110" s="5" t="n">
        <v>1.198</v>
      </c>
      <c r="CR110" s="5" t="n">
        <v>0</v>
      </c>
      <c r="CS110" s="5" t="n">
        <v>1.643</v>
      </c>
      <c r="CT110" s="5" t="n">
        <v>4.753</v>
      </c>
      <c r="CU110" s="5" t="n">
        <v>15.162</v>
      </c>
    </row>
    <row r="111">
      <c r="A111" s="5" t="inlineStr">
        <is>
          <t>BWA2022</t>
        </is>
      </c>
      <c r="B111" s="5" t="inlineStr">
        <is>
          <t>BWA</t>
        </is>
      </c>
      <c r="C111" s="5" t="inlineStr">
        <is>
          <t>BWA</t>
        </is>
      </c>
      <c r="D111" s="5" t="inlineStr">
        <is>
          <t>Botswana</t>
        </is>
      </c>
      <c r="E111" s="5" t="n">
        <v>2022</v>
      </c>
      <c r="F111" s="5" t="n">
        <v>0.12</v>
      </c>
      <c r="G111" s="5" t="n">
        <v>1.911</v>
      </c>
      <c r="H111" s="5" t="n">
        <v>0.617</v>
      </c>
      <c r="I111" s="5" t="n">
        <v>0</v>
      </c>
      <c r="J111" s="5" t="n">
        <v>1.911</v>
      </c>
      <c r="K111" s="5" t="n">
        <v>0</v>
      </c>
      <c r="L111" s="5" t="n">
        <v>1</v>
      </c>
      <c r="M111" s="5" t="n">
        <v>3.146</v>
      </c>
      <c r="N111" s="5" t="n">
        <v>1.852</v>
      </c>
      <c r="O111" s="5" t="n">
        <v>0</v>
      </c>
      <c r="P111" s="5" t="n">
        <v>3.146</v>
      </c>
      <c r="Q111" s="5" t="n">
        <v>0</v>
      </c>
      <c r="R111" s="5" t="n">
        <v>1</v>
      </c>
      <c r="S111" s="5" t="n">
        <v>4.998</v>
      </c>
      <c r="T111" s="5" t="n">
        <v>3.704</v>
      </c>
      <c r="U111" s="5" t="n">
        <v>0.052</v>
      </c>
      <c r="V111" s="5" t="n">
        <v>5.698</v>
      </c>
      <c r="W111" s="5" t="n">
        <v>0.14</v>
      </c>
      <c r="X111" s="5" t="n">
        <v>1</v>
      </c>
      <c r="Y111" s="5" t="n">
        <v>30.514</v>
      </c>
      <c r="Z111" s="5" t="n">
        <v>4.124</v>
      </c>
      <c r="AA111" s="5" t="n">
        <v>0</v>
      </c>
      <c r="AB111" s="5" t="n">
        <v>30.514</v>
      </c>
      <c r="AC111" s="5" t="n">
        <v>0</v>
      </c>
      <c r="AD111" s="5" t="n">
        <v>1</v>
      </c>
      <c r="AE111" s="5" t="n">
        <v>31.748</v>
      </c>
      <c r="AF111" s="5" t="n">
        <v>7.424</v>
      </c>
      <c r="AG111" s="5" t="n">
        <v>0</v>
      </c>
      <c r="AH111" s="5" t="n">
        <v>31.748</v>
      </c>
      <c r="AI111" s="5" t="n">
        <v>0</v>
      </c>
      <c r="AJ111" s="5" t="n">
        <v>1</v>
      </c>
      <c r="AK111" s="5" t="n">
        <v>39.157</v>
      </c>
      <c r="AL111" s="5" t="n">
        <v>20.855</v>
      </c>
      <c r="AM111" s="5" t="n">
        <v>0.406</v>
      </c>
      <c r="AN111" s="5" t="n">
        <v>44.638</v>
      </c>
      <c r="AO111" s="5" t="n">
        <v>0.14</v>
      </c>
      <c r="AP111" s="5" t="n">
        <v>1</v>
      </c>
      <c r="AQ111" s="5" t="n">
        <v>0.861</v>
      </c>
      <c r="AR111" s="5" t="n">
        <v>0.123</v>
      </c>
      <c r="AS111" s="5" t="n">
        <v>0.246</v>
      </c>
      <c r="AT111" s="5" t="n">
        <v>1.262</v>
      </c>
      <c r="AU111" s="5" t="n">
        <v>0.14</v>
      </c>
      <c r="AV111" s="5" t="n">
        <v>1</v>
      </c>
      <c r="AW111" s="5" t="n">
        <v>0.986</v>
      </c>
      <c r="AX111" s="5" t="n">
        <v>0.123</v>
      </c>
      <c r="AY111" s="5" t="n">
        <v>0.184</v>
      </c>
      <c r="AZ111" s="5" t="n">
        <v>1.334</v>
      </c>
      <c r="BA111" s="5" t="n">
        <v>0.14</v>
      </c>
      <c r="BB111" s="5" t="n">
        <v>1</v>
      </c>
      <c r="BC111" s="5" t="n">
        <v>0.598</v>
      </c>
      <c r="BD111" s="5" t="n">
        <v>0.123</v>
      </c>
      <c r="BE111" s="5" t="n">
        <v>0.529</v>
      </c>
      <c r="BF111" s="5" t="n">
        <v>1.127</v>
      </c>
      <c r="BG111" s="5" t="n">
        <v>0</v>
      </c>
      <c r="BH111" s="5" t="n">
        <v>1</v>
      </c>
      <c r="BI111" s="5" t="n">
        <v>0.612</v>
      </c>
      <c r="BJ111" s="5" t="n">
        <v>0.123</v>
      </c>
      <c r="BK111" s="5" t="n">
        <v>0.375</v>
      </c>
      <c r="BL111" s="5" t="n">
        <v>1.125</v>
      </c>
      <c r="BM111" s="5" t="n">
        <v>0.14</v>
      </c>
      <c r="BN111" s="5" t="n">
        <v>1</v>
      </c>
      <c r="BO111" s="5" t="n">
        <v>0</v>
      </c>
      <c r="BP111" s="5" t="n">
        <v>0</v>
      </c>
      <c r="BQ111" s="5" t="n">
        <v>0.118</v>
      </c>
      <c r="BR111" s="5" t="n">
        <v>0</v>
      </c>
      <c r="BS111" s="5" t="n">
        <v>1</v>
      </c>
      <c r="BT111" s="5" t="n">
        <v>0</v>
      </c>
      <c r="BU111" s="5" t="n">
        <v>0</v>
      </c>
      <c r="BV111" s="5" t="n">
        <v>0.103</v>
      </c>
      <c r="BW111" s="5" t="n">
        <v>0.14</v>
      </c>
      <c r="BX111" s="5" t="n">
        <v>1</v>
      </c>
      <c r="BY111" s="5" t="n">
        <v>12.729</v>
      </c>
      <c r="BZ111" s="5" t="n">
        <v>0</v>
      </c>
      <c r="CA111" s="5" t="n">
        <v>12.729</v>
      </c>
      <c r="CB111" s="5" t="n">
        <v>0</v>
      </c>
      <c r="CC111" s="5" t="n">
        <v>97.90000000000001</v>
      </c>
      <c r="CD111" s="5" t="n">
        <v>7.95</v>
      </c>
      <c r="CE111" s="5" t="n">
        <v>59.54</v>
      </c>
      <c r="CF111" s="5" t="n">
        <v>179.481</v>
      </c>
      <c r="CG111" s="5" t="n">
        <v>0.14</v>
      </c>
      <c r="CH111" s="5" t="n">
        <v>1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0</v>
      </c>
      <c r="CO111" s="5" t="n">
        <v>0</v>
      </c>
      <c r="CP111" s="5" t="n">
        <v>1</v>
      </c>
      <c r="CQ111" s="5" t="n">
        <v>1.294</v>
      </c>
      <c r="CR111" s="5" t="n">
        <v>0</v>
      </c>
      <c r="CS111" s="5" t="n">
        <v>1.774</v>
      </c>
      <c r="CT111" s="5" t="n">
        <v>10.485</v>
      </c>
      <c r="CU111" s="5" t="n">
        <v>31.326</v>
      </c>
    </row>
    <row r="112">
      <c r="A112" s="5" t="inlineStr">
        <is>
          <t>BWA2023</t>
        </is>
      </c>
      <c r="B112" s="5" t="inlineStr">
        <is>
          <t>BWA</t>
        </is>
      </c>
      <c r="C112" s="5" t="inlineStr">
        <is>
          <t>BWA</t>
        </is>
      </c>
      <c r="D112" s="5" t="inlineStr">
        <is>
          <t>Botswana</t>
        </is>
      </c>
      <c r="E112" s="5" t="n">
        <v>2023</v>
      </c>
      <c r="F112" s="5" t="n">
        <v>0.12</v>
      </c>
      <c r="G112" s="5" t="n">
        <v>1.99</v>
      </c>
      <c r="H112" s="5" t="n">
        <v>0.643</v>
      </c>
      <c r="I112" s="5" t="n">
        <v>0</v>
      </c>
      <c r="J112" s="5" t="n">
        <v>1.99</v>
      </c>
      <c r="K112" s="5" t="n">
        <v>0</v>
      </c>
      <c r="L112" s="5" t="n">
        <v>1</v>
      </c>
      <c r="M112" s="5" t="n">
        <v>3.276</v>
      </c>
      <c r="N112" s="5" t="n">
        <v>1.928</v>
      </c>
      <c r="O112" s="5" t="n">
        <v>0</v>
      </c>
      <c r="P112" s="5" t="n">
        <v>3.276</v>
      </c>
      <c r="Q112" s="5" t="n">
        <v>0</v>
      </c>
      <c r="R112" s="5" t="n">
        <v>1</v>
      </c>
      <c r="S112" s="5" t="n">
        <v>5.205</v>
      </c>
      <c r="T112" s="5" t="n">
        <v>3.857</v>
      </c>
      <c r="U112" s="5" t="n">
        <v>0.081</v>
      </c>
      <c r="V112" s="5" t="n">
        <v>5.933</v>
      </c>
      <c r="W112" s="5" t="n">
        <v>0.14</v>
      </c>
      <c r="X112" s="5" t="n">
        <v>1</v>
      </c>
      <c r="Y112" s="5" t="n">
        <v>12.039</v>
      </c>
      <c r="Z112" s="5" t="n">
        <v>1.627</v>
      </c>
      <c r="AA112" s="5" t="n">
        <v>0</v>
      </c>
      <c r="AB112" s="5" t="n">
        <v>12.039</v>
      </c>
      <c r="AC112" s="5" t="n">
        <v>0</v>
      </c>
      <c r="AD112" s="5" t="n">
        <v>1</v>
      </c>
      <c r="AE112" s="5" t="n">
        <v>13.324</v>
      </c>
      <c r="AF112" s="5" t="n">
        <v>3.116</v>
      </c>
      <c r="AG112" s="5" t="n">
        <v>0</v>
      </c>
      <c r="AH112" s="5" t="n">
        <v>13.324</v>
      </c>
      <c r="AI112" s="5" t="n">
        <v>0</v>
      </c>
      <c r="AJ112" s="5" t="n">
        <v>1</v>
      </c>
      <c r="AK112" s="5" t="n">
        <v>21.038</v>
      </c>
      <c r="AL112" s="5" t="n">
        <v>11.205</v>
      </c>
      <c r="AM112" s="5" t="n">
        <v>0.326</v>
      </c>
      <c r="AN112" s="5" t="n">
        <v>23.984</v>
      </c>
      <c r="AO112" s="5" t="n">
        <v>0.14</v>
      </c>
      <c r="AP112" s="5" t="n">
        <v>1</v>
      </c>
      <c r="AQ112" s="5" t="n">
        <v>0.76</v>
      </c>
      <c r="AR112" s="5" t="n">
        <v>0.129</v>
      </c>
      <c r="AS112" s="5" t="n">
        <v>0.231</v>
      </c>
      <c r="AT112" s="5" t="n">
        <v>1.13</v>
      </c>
      <c r="AU112" s="5" t="n">
        <v>0.14</v>
      </c>
      <c r="AV112" s="5" t="n">
        <v>1</v>
      </c>
      <c r="AW112" s="5" t="n">
        <v>0.8110000000000001</v>
      </c>
      <c r="AX112" s="5" t="n">
        <v>0.129</v>
      </c>
      <c r="AY112" s="5" t="n">
        <v>0.251</v>
      </c>
      <c r="AZ112" s="5" t="n">
        <v>1.211</v>
      </c>
      <c r="BA112" s="5" t="n">
        <v>0.14</v>
      </c>
      <c r="BB112" s="5" t="n">
        <v>1</v>
      </c>
      <c r="BC112" s="5" t="n">
        <v>0.535</v>
      </c>
      <c r="BD112" s="5" t="n">
        <v>0.129</v>
      </c>
      <c r="BE112" s="5" t="n">
        <v>0.474</v>
      </c>
      <c r="BF112" s="5" t="n">
        <v>1.009</v>
      </c>
      <c r="BG112" s="5" t="n">
        <v>0</v>
      </c>
      <c r="BH112" s="5" t="n">
        <v>1</v>
      </c>
      <c r="BI112" s="5" t="n">
        <v>0.579</v>
      </c>
      <c r="BJ112" s="5" t="n">
        <v>0.129</v>
      </c>
      <c r="BK112" s="5" t="n">
        <v>0.345</v>
      </c>
      <c r="BL112" s="5" t="n">
        <v>1.053</v>
      </c>
      <c r="BM112" s="5" t="n">
        <v>0.14</v>
      </c>
      <c r="BN112" s="5" t="n">
        <v>1</v>
      </c>
      <c r="BO112" s="5" t="n">
        <v>0</v>
      </c>
      <c r="BP112" s="5" t="n">
        <v>0</v>
      </c>
      <c r="BQ112" s="5" t="n">
        <v>0.115</v>
      </c>
      <c r="BR112" s="5" t="n">
        <v>0</v>
      </c>
      <c r="BS112" s="5" t="n">
        <v>1</v>
      </c>
      <c r="BT112" s="5" t="n">
        <v>0</v>
      </c>
      <c r="BU112" s="5" t="n">
        <v>0</v>
      </c>
      <c r="BV112" s="5" t="n">
        <v>0.095</v>
      </c>
      <c r="BW112" s="5" t="n">
        <v>0.14</v>
      </c>
      <c r="BX112" s="5" t="n">
        <v>1</v>
      </c>
      <c r="BY112" s="5" t="n">
        <v>13.254</v>
      </c>
      <c r="BZ112" s="5" t="n">
        <v>0</v>
      </c>
      <c r="CA112" s="5" t="n">
        <v>13.254</v>
      </c>
      <c r="CB112" s="5" t="n">
        <v>0</v>
      </c>
      <c r="CC112" s="5" t="n">
        <v>83.248</v>
      </c>
      <c r="CD112" s="5" t="n">
        <v>7.95</v>
      </c>
      <c r="CE112" s="5" t="n">
        <v>77.672</v>
      </c>
      <c r="CF112" s="5" t="n">
        <v>183.448</v>
      </c>
      <c r="CG112" s="5" t="n">
        <v>0.14</v>
      </c>
      <c r="CH112" s="5" t="n">
        <v>1</v>
      </c>
      <c r="CI112" s="5" t="n">
        <v>0</v>
      </c>
      <c r="CJ112" s="5" t="n">
        <v>0</v>
      </c>
      <c r="CK112" s="5" t="n">
        <v>0</v>
      </c>
      <c r="CL112" s="5" t="n">
        <v>0</v>
      </c>
      <c r="CM112" s="5" t="n">
        <v>0</v>
      </c>
      <c r="CN112" s="5" t="n">
        <v>0</v>
      </c>
      <c r="CO112" s="5" t="n">
        <v>0</v>
      </c>
      <c r="CP112" s="5" t="n">
        <v>1</v>
      </c>
      <c r="CQ112" s="5" t="n">
        <v>1.348</v>
      </c>
      <c r="CR112" s="5" t="n">
        <v>0</v>
      </c>
      <c r="CS112" s="5" t="n">
        <v>1.847</v>
      </c>
      <c r="CT112" s="5" t="n">
        <v>4.861</v>
      </c>
      <c r="CU112" s="5" t="n">
        <v>11.622</v>
      </c>
    </row>
    <row r="113">
      <c r="A113" s="5" t="inlineStr">
        <is>
          <t>BWA2024</t>
        </is>
      </c>
      <c r="B113" s="5" t="inlineStr">
        <is>
          <t>BWA</t>
        </is>
      </c>
      <c r="C113" s="5" t="inlineStr">
        <is>
          <t>BWA</t>
        </is>
      </c>
      <c r="D113" s="5" t="inlineStr">
        <is>
          <t>Botswana</t>
        </is>
      </c>
      <c r="E113" s="5" t="n">
        <v>2024</v>
      </c>
      <c r="F113" s="5" t="n">
        <v>0.12</v>
      </c>
      <c r="G113" s="5" t="n">
        <v>2.049</v>
      </c>
      <c r="H113" s="5" t="n">
        <v>0.662</v>
      </c>
      <c r="I113" s="5" t="n">
        <v>0</v>
      </c>
      <c r="J113" s="5" t="n">
        <v>2.049</v>
      </c>
      <c r="K113" s="5" t="n">
        <v>0</v>
      </c>
      <c r="L113" s="5" t="n">
        <v>1</v>
      </c>
      <c r="M113" s="5" t="n">
        <v>3.373</v>
      </c>
      <c r="N113" s="5" t="n">
        <v>1.985</v>
      </c>
      <c r="O113" s="5" t="n">
        <v>0</v>
      </c>
      <c r="P113" s="5" t="n">
        <v>3.373</v>
      </c>
      <c r="Q113" s="5" t="n">
        <v>0</v>
      </c>
      <c r="R113" s="5" t="n">
        <v>1</v>
      </c>
      <c r="S113" s="5" t="n">
        <v>5.358</v>
      </c>
      <c r="T113" s="5" t="n">
        <v>3.971</v>
      </c>
      <c r="U113" s="5" t="n">
        <v>0.102</v>
      </c>
      <c r="V113" s="5" t="n">
        <v>6.108</v>
      </c>
      <c r="W113" s="5" t="n">
        <v>0.14</v>
      </c>
      <c r="X113" s="5" t="n">
        <v>1</v>
      </c>
      <c r="Y113" s="5" t="n">
        <v>10.757</v>
      </c>
      <c r="Z113" s="5" t="n">
        <v>1.454</v>
      </c>
      <c r="AA113" s="5" t="n">
        <v>0</v>
      </c>
      <c r="AB113" s="5" t="n">
        <v>10.757</v>
      </c>
      <c r="AC113" s="5" t="n">
        <v>0</v>
      </c>
      <c r="AD113" s="5" t="n">
        <v>1</v>
      </c>
      <c r="AE113" s="5" t="n">
        <v>12.08</v>
      </c>
      <c r="AF113" s="5" t="n">
        <v>2.825</v>
      </c>
      <c r="AG113" s="5" t="n">
        <v>0</v>
      </c>
      <c r="AH113" s="5" t="n">
        <v>12.08</v>
      </c>
      <c r="AI113" s="5" t="n">
        <v>0</v>
      </c>
      <c r="AJ113" s="5" t="n">
        <v>1</v>
      </c>
      <c r="AK113" s="5" t="n">
        <v>20.022</v>
      </c>
      <c r="AL113" s="5" t="n">
        <v>10.664</v>
      </c>
      <c r="AM113" s="5" t="n">
        <v>0.382</v>
      </c>
      <c r="AN113" s="5" t="n">
        <v>22.825</v>
      </c>
      <c r="AO113" s="5" t="n">
        <v>0.14</v>
      </c>
      <c r="AP113" s="5" t="n">
        <v>1</v>
      </c>
      <c r="AQ113" s="5" t="n">
        <v>0.724</v>
      </c>
      <c r="AR113" s="5" t="n">
        <v>0.132</v>
      </c>
      <c r="AS113" s="5" t="n">
        <v>0.29</v>
      </c>
      <c r="AT113" s="5" t="n">
        <v>1.156</v>
      </c>
      <c r="AU113" s="5" t="n">
        <v>0.14</v>
      </c>
      <c r="AV113" s="5" t="n">
        <v>1</v>
      </c>
      <c r="AW113" s="5" t="n">
        <v>0.75</v>
      </c>
      <c r="AX113" s="5" t="n">
        <v>0.132</v>
      </c>
      <c r="AY113" s="5" t="n">
        <v>0.294</v>
      </c>
      <c r="AZ113" s="5" t="n">
        <v>1.19</v>
      </c>
      <c r="BA113" s="5" t="n">
        <v>0.14</v>
      </c>
      <c r="BB113" s="5" t="n">
        <v>1</v>
      </c>
      <c r="BC113" s="5" t="n">
        <v>0.513</v>
      </c>
      <c r="BD113" s="5" t="n">
        <v>0.132</v>
      </c>
      <c r="BE113" s="5" t="n">
        <v>0.455</v>
      </c>
      <c r="BF113" s="5" t="n">
        <v>0.968</v>
      </c>
      <c r="BG113" s="5" t="n">
        <v>0</v>
      </c>
      <c r="BH113" s="5" t="n">
        <v>1</v>
      </c>
      <c r="BI113" s="5" t="n">
        <v>0.591</v>
      </c>
      <c r="BJ113" s="5" t="n">
        <v>0.132</v>
      </c>
      <c r="BK113" s="5" t="n">
        <v>0.286</v>
      </c>
      <c r="BL113" s="5" t="n">
        <v>1.001</v>
      </c>
      <c r="BM113" s="5" t="n">
        <v>0.14</v>
      </c>
      <c r="BN113" s="5" t="n">
        <v>1</v>
      </c>
      <c r="BO113" s="5" t="n">
        <v>0</v>
      </c>
      <c r="BP113" s="5" t="n">
        <v>0</v>
      </c>
      <c r="BQ113" s="5" t="n">
        <v>0.108</v>
      </c>
      <c r="BR113" s="5" t="n">
        <v>0</v>
      </c>
      <c r="BS113" s="5" t="n">
        <v>1</v>
      </c>
      <c r="BT113" s="5" t="n">
        <v>0</v>
      </c>
      <c r="BU113" s="5" t="n">
        <v>0</v>
      </c>
      <c r="BV113" s="5" t="n">
        <v>0.094</v>
      </c>
      <c r="BW113" s="5" t="n">
        <v>0.14</v>
      </c>
      <c r="BX113" s="5" t="n">
        <v>1</v>
      </c>
      <c r="BY113" s="5" t="n">
        <v>13.646</v>
      </c>
      <c r="BZ113" s="5" t="n">
        <v>0</v>
      </c>
      <c r="CA113" s="5" t="n">
        <v>13.646</v>
      </c>
      <c r="CB113" s="5" t="n">
        <v>0</v>
      </c>
      <c r="CC113" s="5" t="n">
        <v>82.58799999999999</v>
      </c>
      <c r="CD113" s="5" t="n">
        <v>7.95</v>
      </c>
      <c r="CE113" s="5" t="n">
        <v>77.649</v>
      </c>
      <c r="CF113" s="5" t="n">
        <v>182.67</v>
      </c>
      <c r="CG113" s="5" t="n">
        <v>0.14</v>
      </c>
      <c r="CH113" s="5" t="n">
        <v>1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1</v>
      </c>
      <c r="CQ113" s="5" t="n">
        <v>1.387</v>
      </c>
      <c r="CR113" s="5" t="n">
        <v>0</v>
      </c>
      <c r="CS113" s="5" t="n">
        <v>1.902</v>
      </c>
      <c r="CT113" s="5" t="n">
        <v>4.251</v>
      </c>
      <c r="CU113" s="5" t="n">
        <v>10.168</v>
      </c>
    </row>
    <row r="114">
      <c r="A114" s="5" t="inlineStr">
        <is>
          <t>BRA2021</t>
        </is>
      </c>
      <c r="B114" s="5" t="inlineStr">
        <is>
          <t>BRA</t>
        </is>
      </c>
      <c r="C114" s="5" t="inlineStr">
        <is>
          <t>BRA</t>
        </is>
      </c>
      <c r="D114" s="5" t="inlineStr">
        <is>
          <t>Brazil</t>
        </is>
      </c>
      <c r="E114" s="5" t="n">
        <v>2021</v>
      </c>
      <c r="F114" s="5" t="n">
        <v>0.18</v>
      </c>
      <c r="G114" s="5" t="n">
        <v>4.394</v>
      </c>
      <c r="H114" s="5" t="n">
        <v>0.961</v>
      </c>
      <c r="I114" s="5" t="n">
        <v>0</v>
      </c>
      <c r="J114" s="5" t="n">
        <v>4.394</v>
      </c>
      <c r="K114" s="5" t="n">
        <v>0</v>
      </c>
      <c r="L114" s="5" t="n">
        <v>1</v>
      </c>
      <c r="M114" s="5" t="n">
        <v>4.394</v>
      </c>
      <c r="N114" s="5" t="n">
        <v>1.991</v>
      </c>
      <c r="O114" s="5" t="n">
        <v>0</v>
      </c>
      <c r="P114" s="5" t="n">
        <v>4.394</v>
      </c>
      <c r="Q114" s="5" t="n">
        <v>0</v>
      </c>
      <c r="R114" s="5" t="n">
        <v>1</v>
      </c>
      <c r="S114" s="5" t="n">
        <v>10.534</v>
      </c>
      <c r="T114" s="5" t="n">
        <v>6.33</v>
      </c>
      <c r="U114" s="5" t="n">
        <v>0</v>
      </c>
      <c r="V114" s="5" t="n">
        <v>12.43</v>
      </c>
      <c r="W114" s="5" t="n">
        <v>0.18</v>
      </c>
      <c r="X114" s="5" t="n">
        <v>1</v>
      </c>
      <c r="Y114" s="5" t="n">
        <v>12.137</v>
      </c>
      <c r="Z114" s="5" t="n">
        <v>1.341</v>
      </c>
      <c r="AA114" s="5" t="n">
        <v>-0.268</v>
      </c>
      <c r="AB114" s="5" t="n">
        <v>11.869</v>
      </c>
      <c r="AC114" s="5" t="n">
        <v>0</v>
      </c>
      <c r="AD114" s="5" t="n">
        <v>1</v>
      </c>
      <c r="AE114" s="5" t="n">
        <v>11.869</v>
      </c>
      <c r="AF114" s="5" t="n">
        <v>2.336</v>
      </c>
      <c r="AG114" s="5" t="n">
        <v>0</v>
      </c>
      <c r="AH114" s="5" t="n">
        <v>11.869</v>
      </c>
      <c r="AI114" s="5" t="n">
        <v>0</v>
      </c>
      <c r="AJ114" s="5" t="n">
        <v>1</v>
      </c>
      <c r="AK114" s="5" t="n">
        <v>32.754</v>
      </c>
      <c r="AL114" s="5" t="n">
        <v>16.076</v>
      </c>
      <c r="AM114" s="5" t="n">
        <v>0</v>
      </c>
      <c r="AN114" s="5" t="n">
        <v>32.754</v>
      </c>
      <c r="AO114" s="5" t="n">
        <v>0</v>
      </c>
      <c r="AP114" s="5" t="n">
        <v>1</v>
      </c>
      <c r="AQ114" s="5" t="n">
        <v>0.649</v>
      </c>
      <c r="AR114" s="5" t="n">
        <v>0.114</v>
      </c>
      <c r="AS114" s="5" t="n">
        <v>0.208</v>
      </c>
      <c r="AT114" s="5" t="n">
        <v>1.072</v>
      </c>
      <c r="AU114" s="5" t="n">
        <v>0.25</v>
      </c>
      <c r="AV114" s="5" t="n">
        <v>1</v>
      </c>
      <c r="AW114" s="5" t="n">
        <v>0.577</v>
      </c>
      <c r="AX114" s="5" t="n">
        <v>0.114</v>
      </c>
      <c r="AY114" s="5" t="n">
        <v>0.174</v>
      </c>
      <c r="AZ114" s="5" t="n">
        <v>0.841</v>
      </c>
      <c r="BA114" s="5" t="n">
        <v>0.12</v>
      </c>
      <c r="BB114" s="5" t="n">
        <v>1</v>
      </c>
      <c r="BC114" s="5" t="n">
        <v>0.458</v>
      </c>
      <c r="BD114" s="5" t="n">
        <v>0.114</v>
      </c>
      <c r="BE114" s="5" t="n">
        <v>0.165</v>
      </c>
      <c r="BF114" s="5" t="n">
        <v>0.698</v>
      </c>
      <c r="BG114" s="5" t="n">
        <v>0.12</v>
      </c>
      <c r="BH114" s="5" t="n">
        <v>1</v>
      </c>
      <c r="BI114" s="5" t="n">
        <v>0.491</v>
      </c>
      <c r="BJ114" s="5" t="n">
        <v>0.114</v>
      </c>
      <c r="BK114" s="5" t="n">
        <v>-0.061</v>
      </c>
      <c r="BL114" s="5" t="n">
        <v>0.538</v>
      </c>
      <c r="BM114" s="5" t="n">
        <v>0.25</v>
      </c>
      <c r="BN114" s="5" t="n">
        <v>1</v>
      </c>
      <c r="BO114" s="5" t="n">
        <v>0</v>
      </c>
      <c r="BP114" s="5" t="n">
        <v>0.007</v>
      </c>
      <c r="BQ114" s="5" t="n">
        <v>0.143</v>
      </c>
      <c r="BR114" s="5" t="n">
        <v>0</v>
      </c>
      <c r="BS114" s="5" t="n">
        <v>1</v>
      </c>
      <c r="BT114" s="5" t="n">
        <v>0</v>
      </c>
      <c r="BU114" s="5" t="n">
        <v>0.028</v>
      </c>
      <c r="BV114" s="5" t="n">
        <v>0.162</v>
      </c>
      <c r="BW114" s="5" t="n">
        <v>0</v>
      </c>
      <c r="BX114" s="5" t="n">
        <v>0.667</v>
      </c>
      <c r="BY114" s="5" t="n">
        <v>24.816</v>
      </c>
      <c r="BZ114" s="5" t="n">
        <v>0</v>
      </c>
      <c r="CA114" s="5" t="n">
        <v>24.816</v>
      </c>
      <c r="CB114" s="5" t="n">
        <v>0</v>
      </c>
      <c r="CC114" s="5" t="n">
        <v>78.125</v>
      </c>
      <c r="CD114" s="5" t="n">
        <v>7.95</v>
      </c>
      <c r="CE114" s="5" t="n">
        <v>-3.175</v>
      </c>
      <c r="CF114" s="5" t="n">
        <v>88.44</v>
      </c>
      <c r="CG114" s="5" t="n">
        <v>0.18</v>
      </c>
      <c r="CH114" s="5" t="n">
        <v>1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0.225</v>
      </c>
      <c r="CO114" s="5" t="n">
        <v>1.629</v>
      </c>
      <c r="CP114" s="5" t="n">
        <v>0</v>
      </c>
      <c r="CQ114" s="5" t="n">
        <v>1.198</v>
      </c>
      <c r="CR114" s="5" t="n">
        <v>0</v>
      </c>
      <c r="CS114" s="5" t="n">
        <v>5.226</v>
      </c>
      <c r="CT114" s="5" t="n">
        <v>4.753</v>
      </c>
      <c r="CU114" s="5" t="n">
        <v>11.128</v>
      </c>
    </row>
    <row r="115">
      <c r="A115" s="5" t="inlineStr">
        <is>
          <t>BRA2022</t>
        </is>
      </c>
      <c r="B115" s="5" t="inlineStr">
        <is>
          <t>BRA</t>
        </is>
      </c>
      <c r="C115" s="5" t="inlineStr">
        <is>
          <t>BRA</t>
        </is>
      </c>
      <c r="D115" s="5" t="inlineStr">
        <is>
          <t>Brazil</t>
        </is>
      </c>
      <c r="E115" s="5" t="n">
        <v>2022</v>
      </c>
      <c r="F115" s="5" t="n">
        <v>0.17</v>
      </c>
      <c r="G115" s="5" t="n">
        <v>10.205</v>
      </c>
      <c r="H115" s="5" t="n">
        <v>1.585</v>
      </c>
      <c r="I115" s="5" t="n">
        <v>0</v>
      </c>
      <c r="J115" s="5" t="n">
        <v>10.205</v>
      </c>
      <c r="K115" s="5" t="n">
        <v>0</v>
      </c>
      <c r="L115" s="5" t="n">
        <v>1</v>
      </c>
      <c r="M115" s="5" t="n">
        <v>10.205</v>
      </c>
      <c r="N115" s="5" t="n">
        <v>4.214</v>
      </c>
      <c r="O115" s="5" t="n">
        <v>0</v>
      </c>
      <c r="P115" s="5" t="n">
        <v>10.205</v>
      </c>
      <c r="Q115" s="5" t="n">
        <v>0</v>
      </c>
      <c r="R115" s="5" t="n">
        <v>1</v>
      </c>
      <c r="S115" s="5" t="n">
        <v>15.819</v>
      </c>
      <c r="T115" s="5" t="n">
        <v>6.812</v>
      </c>
      <c r="U115" s="5" t="n">
        <v>0.199</v>
      </c>
      <c r="V115" s="5" t="n">
        <v>18.508</v>
      </c>
      <c r="W115" s="5" t="n">
        <v>0.17</v>
      </c>
      <c r="X115" s="5" t="n">
        <v>1</v>
      </c>
      <c r="Y115" s="5" t="n">
        <v>17.263</v>
      </c>
      <c r="Z115" s="5" t="n">
        <v>1.811</v>
      </c>
      <c r="AA115" s="5" t="n">
        <v>-0.277</v>
      </c>
      <c r="AB115" s="5" t="n">
        <v>16.986</v>
      </c>
      <c r="AC115" s="5" t="n">
        <v>0</v>
      </c>
      <c r="AD115" s="5" t="n">
        <v>1</v>
      </c>
      <c r="AE115" s="5" t="n">
        <v>16.986</v>
      </c>
      <c r="AF115" s="5" t="n">
        <v>3.149</v>
      </c>
      <c r="AG115" s="5" t="n">
        <v>0</v>
      </c>
      <c r="AH115" s="5" t="n">
        <v>16.986</v>
      </c>
      <c r="AI115" s="5" t="n">
        <v>0</v>
      </c>
      <c r="AJ115" s="5" t="n">
        <v>1</v>
      </c>
      <c r="AK115" s="5" t="n">
        <v>46.272</v>
      </c>
      <c r="AL115" s="5" t="n">
        <v>22.097</v>
      </c>
      <c r="AM115" s="5" t="n">
        <v>0</v>
      </c>
      <c r="AN115" s="5" t="n">
        <v>46.272</v>
      </c>
      <c r="AO115" s="5" t="n">
        <v>0</v>
      </c>
      <c r="AP115" s="5" t="n">
        <v>1</v>
      </c>
      <c r="AQ115" s="5" t="n">
        <v>0.896</v>
      </c>
      <c r="AR115" s="5" t="n">
        <v>0.123</v>
      </c>
      <c r="AS115" s="5" t="n">
        <v>0.055</v>
      </c>
      <c r="AT115" s="5" t="n">
        <v>1.189</v>
      </c>
      <c r="AU115" s="5" t="n">
        <v>0.25</v>
      </c>
      <c r="AV115" s="5" t="n">
        <v>1</v>
      </c>
      <c r="AW115" s="5" t="n">
        <v>0.89</v>
      </c>
      <c r="AX115" s="5" t="n">
        <v>0.123</v>
      </c>
      <c r="AY115" s="5" t="n">
        <v>0.243</v>
      </c>
      <c r="AZ115" s="5" t="n">
        <v>1.27</v>
      </c>
      <c r="BA115" s="5" t="n">
        <v>0.12</v>
      </c>
      <c r="BB115" s="5" t="n">
        <v>1</v>
      </c>
      <c r="BC115" s="5" t="n">
        <v>0.62</v>
      </c>
      <c r="BD115" s="5" t="n">
        <v>0.123</v>
      </c>
      <c r="BE115" s="5" t="n">
        <v>0.171</v>
      </c>
      <c r="BF115" s="5" t="n">
        <v>0.887</v>
      </c>
      <c r="BG115" s="5" t="n">
        <v>0.12</v>
      </c>
      <c r="BH115" s="5" t="n">
        <v>1</v>
      </c>
      <c r="BI115" s="5" t="n">
        <v>0.608</v>
      </c>
      <c r="BJ115" s="5" t="n">
        <v>0.123</v>
      </c>
      <c r="BK115" s="5" t="n">
        <v>0.143</v>
      </c>
      <c r="BL115" s="5" t="n">
        <v>0.9379999999999999</v>
      </c>
      <c r="BM115" s="5" t="n">
        <v>0.25</v>
      </c>
      <c r="BN115" s="5" t="n">
        <v>1</v>
      </c>
      <c r="BO115" s="5" t="n">
        <v>0</v>
      </c>
      <c r="BP115" s="5" t="n">
        <v>0.006</v>
      </c>
      <c r="BQ115" s="5" t="n">
        <v>0.151</v>
      </c>
      <c r="BR115" s="5" t="n">
        <v>0</v>
      </c>
      <c r="BS115" s="5" t="n">
        <v>1</v>
      </c>
      <c r="BT115" s="5" t="n">
        <v>0</v>
      </c>
      <c r="BU115" s="5" t="n">
        <v>0.022</v>
      </c>
      <c r="BV115" s="5" t="n">
        <v>0.166</v>
      </c>
      <c r="BW115" s="5" t="n">
        <v>0</v>
      </c>
      <c r="BX115" s="5" t="n">
        <v>0.667</v>
      </c>
      <c r="BY115" s="5" t="n">
        <v>26.8</v>
      </c>
      <c r="BZ115" s="5" t="n">
        <v>0</v>
      </c>
      <c r="CA115" s="5" t="n">
        <v>26.8</v>
      </c>
      <c r="CB115" s="5" t="n">
        <v>0</v>
      </c>
      <c r="CC115" s="5" t="n">
        <v>97.90000000000001</v>
      </c>
      <c r="CD115" s="5" t="n">
        <v>7.95</v>
      </c>
      <c r="CE115" s="5" t="n">
        <v>15.82</v>
      </c>
      <c r="CF115" s="5" t="n">
        <v>133.053</v>
      </c>
      <c r="CG115" s="5" t="n">
        <v>0.17</v>
      </c>
      <c r="CH115" s="5" t="n">
        <v>1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0.227</v>
      </c>
      <c r="CO115" s="5" t="n">
        <v>1.817</v>
      </c>
      <c r="CP115" s="5" t="n">
        <v>0</v>
      </c>
      <c r="CQ115" s="5" t="n">
        <v>1.294</v>
      </c>
      <c r="CR115" s="5" t="n">
        <v>0</v>
      </c>
      <c r="CS115" s="5" t="n">
        <v>5.644</v>
      </c>
      <c r="CT115" s="5" t="n">
        <v>10.485</v>
      </c>
      <c r="CU115" s="5" t="n">
        <v>20.306</v>
      </c>
    </row>
    <row r="116">
      <c r="A116" s="5" t="inlineStr">
        <is>
          <t>BRA2023</t>
        </is>
      </c>
      <c r="B116" s="5" t="inlineStr">
        <is>
          <t>BRA</t>
        </is>
      </c>
      <c r="C116" s="5" t="inlineStr">
        <is>
          <t>BRA</t>
        </is>
      </c>
      <c r="D116" s="5" t="inlineStr">
        <is>
          <t>Brazil</t>
        </is>
      </c>
      <c r="E116" s="5" t="n">
        <v>2023</v>
      </c>
      <c r="F116" s="5" t="n">
        <v>0.17</v>
      </c>
      <c r="G116" s="5" t="n">
        <v>7.662</v>
      </c>
      <c r="H116" s="5" t="n">
        <v>1.745</v>
      </c>
      <c r="I116" s="5" t="n">
        <v>0</v>
      </c>
      <c r="J116" s="5" t="n">
        <v>7.662</v>
      </c>
      <c r="K116" s="5" t="n">
        <v>0</v>
      </c>
      <c r="L116" s="5" t="n">
        <v>1</v>
      </c>
      <c r="M116" s="5" t="n">
        <v>7.662</v>
      </c>
      <c r="N116" s="5" t="n">
        <v>3.8</v>
      </c>
      <c r="O116" s="5" t="n">
        <v>0</v>
      </c>
      <c r="P116" s="5" t="n">
        <v>7.662</v>
      </c>
      <c r="Q116" s="5" t="n">
        <v>0</v>
      </c>
      <c r="R116" s="5" t="n">
        <v>1</v>
      </c>
      <c r="S116" s="5" t="n">
        <v>11.366</v>
      </c>
      <c r="T116" s="5" t="n">
        <v>7.081</v>
      </c>
      <c r="U116" s="5" t="n">
        <v>0.214</v>
      </c>
      <c r="V116" s="5" t="n">
        <v>13.299</v>
      </c>
      <c r="W116" s="5" t="n">
        <v>0.17</v>
      </c>
      <c r="X116" s="5" t="n">
        <v>1</v>
      </c>
      <c r="Y116" s="5" t="n">
        <v>20.673</v>
      </c>
      <c r="Z116" s="5" t="n">
        <v>2.316</v>
      </c>
      <c r="AA116" s="5" t="n">
        <v>-0.286</v>
      </c>
      <c r="AB116" s="5" t="n">
        <v>20.387</v>
      </c>
      <c r="AC116" s="5" t="n">
        <v>0</v>
      </c>
      <c r="AD116" s="5" t="n">
        <v>1</v>
      </c>
      <c r="AE116" s="5" t="n">
        <v>20.387</v>
      </c>
      <c r="AF116" s="5" t="n">
        <v>4.06</v>
      </c>
      <c r="AG116" s="5" t="n">
        <v>0</v>
      </c>
      <c r="AH116" s="5" t="n">
        <v>20.387</v>
      </c>
      <c r="AI116" s="5" t="n">
        <v>0</v>
      </c>
      <c r="AJ116" s="5" t="n">
        <v>1</v>
      </c>
      <c r="AK116" s="5" t="n">
        <v>50.233</v>
      </c>
      <c r="AL116" s="5" t="n">
        <v>24.884</v>
      </c>
      <c r="AM116" s="5" t="n">
        <v>0</v>
      </c>
      <c r="AN116" s="5" t="n">
        <v>50.233</v>
      </c>
      <c r="AO116" s="5" t="n">
        <v>0</v>
      </c>
      <c r="AP116" s="5" t="n">
        <v>1</v>
      </c>
      <c r="AQ116" s="5" t="n">
        <v>0.791</v>
      </c>
      <c r="AR116" s="5" t="n">
        <v>0.129</v>
      </c>
      <c r="AS116" s="5" t="n">
        <v>0.092</v>
      </c>
      <c r="AT116" s="5" t="n">
        <v>1.104</v>
      </c>
      <c r="AU116" s="5" t="n">
        <v>0.25</v>
      </c>
      <c r="AV116" s="5" t="n">
        <v>1</v>
      </c>
      <c r="AW116" s="5" t="n">
        <v>0.618</v>
      </c>
      <c r="AX116" s="5" t="n">
        <v>0.129</v>
      </c>
      <c r="AY116" s="5" t="n">
        <v>0.41</v>
      </c>
      <c r="AZ116" s="5" t="n">
        <v>1.152</v>
      </c>
      <c r="BA116" s="5" t="n">
        <v>0.12</v>
      </c>
      <c r="BB116" s="5" t="n">
        <v>1</v>
      </c>
      <c r="BC116" s="5" t="n">
        <v>0.554</v>
      </c>
      <c r="BD116" s="5" t="n">
        <v>0.129</v>
      </c>
      <c r="BE116" s="5" t="n">
        <v>0.209</v>
      </c>
      <c r="BF116" s="5" t="n">
        <v>0.855</v>
      </c>
      <c r="BG116" s="5" t="n">
        <v>0.12</v>
      </c>
      <c r="BH116" s="5" t="n">
        <v>1</v>
      </c>
      <c r="BI116" s="5" t="n">
        <v>0.5570000000000001</v>
      </c>
      <c r="BJ116" s="5" t="n">
        <v>0.129</v>
      </c>
      <c r="BK116" s="5" t="n">
        <v>0.065</v>
      </c>
      <c r="BL116" s="5" t="n">
        <v>0.778</v>
      </c>
      <c r="BM116" s="5" t="n">
        <v>0.25</v>
      </c>
      <c r="BN116" s="5" t="n">
        <v>1</v>
      </c>
      <c r="BO116" s="5" t="n">
        <v>0</v>
      </c>
      <c r="BP116" s="5" t="n">
        <v>0.005</v>
      </c>
      <c r="BQ116" s="5" t="n">
        <v>0.151</v>
      </c>
      <c r="BR116" s="5" t="n">
        <v>0</v>
      </c>
      <c r="BS116" s="5" t="n">
        <v>1</v>
      </c>
      <c r="BT116" s="5" t="n">
        <v>0</v>
      </c>
      <c r="BU116" s="5" t="n">
        <v>0.02</v>
      </c>
      <c r="BV116" s="5" t="n">
        <v>0.166</v>
      </c>
      <c r="BW116" s="5" t="n">
        <v>0</v>
      </c>
      <c r="BX116" s="5" t="n">
        <v>0.667</v>
      </c>
      <c r="BY116" s="5" t="n">
        <v>27.906</v>
      </c>
      <c r="BZ116" s="5" t="n">
        <v>0</v>
      </c>
      <c r="CA116" s="5" t="n">
        <v>27.906</v>
      </c>
      <c r="CB116" s="5" t="n">
        <v>0</v>
      </c>
      <c r="CC116" s="5" t="n">
        <v>83.248</v>
      </c>
      <c r="CD116" s="5" t="n">
        <v>7.95</v>
      </c>
      <c r="CE116" s="5" t="n">
        <v>17.463</v>
      </c>
      <c r="CF116" s="5" t="n">
        <v>117.832</v>
      </c>
      <c r="CG116" s="5" t="n">
        <v>0.17</v>
      </c>
      <c r="CH116" s="5" t="n">
        <v>1</v>
      </c>
      <c r="CI116" s="5" t="n">
        <v>0</v>
      </c>
      <c r="CJ116" s="5" t="n">
        <v>0</v>
      </c>
      <c r="CK116" s="5" t="n">
        <v>0</v>
      </c>
      <c r="CL116" s="5" t="n">
        <v>0</v>
      </c>
      <c r="CM116" s="5" t="n">
        <v>0</v>
      </c>
      <c r="CN116" s="5" t="n">
        <v>0.234</v>
      </c>
      <c r="CO116" s="5" t="n">
        <v>2.082</v>
      </c>
      <c r="CP116" s="5" t="n">
        <v>0</v>
      </c>
      <c r="CQ116" s="5" t="n">
        <v>1.348</v>
      </c>
      <c r="CR116" s="5" t="n">
        <v>0</v>
      </c>
      <c r="CS116" s="5" t="n">
        <v>5.877</v>
      </c>
      <c r="CT116" s="5" t="n">
        <v>4.861</v>
      </c>
      <c r="CU116" s="5" t="n">
        <v>9.675000000000001</v>
      </c>
    </row>
    <row r="117">
      <c r="A117" s="5" t="inlineStr">
        <is>
          <t>BRA2024</t>
        </is>
      </c>
      <c r="B117" s="5" t="inlineStr">
        <is>
          <t>BRA</t>
        </is>
      </c>
      <c r="C117" s="5" t="inlineStr">
        <is>
          <t>BRA</t>
        </is>
      </c>
      <c r="D117" s="5" t="inlineStr">
        <is>
          <t>Brazil</t>
        </is>
      </c>
      <c r="E117" s="5" t="n">
        <v>2024</v>
      </c>
      <c r="F117" s="5" t="n">
        <v>0.17</v>
      </c>
      <c r="G117" s="5" t="n">
        <v>6.222</v>
      </c>
      <c r="H117" s="5" t="n">
        <v>1.576</v>
      </c>
      <c r="I117" s="5" t="n">
        <v>0</v>
      </c>
      <c r="J117" s="5" t="n">
        <v>6.222</v>
      </c>
      <c r="K117" s="5" t="n">
        <v>0</v>
      </c>
      <c r="L117" s="5" t="n">
        <v>1</v>
      </c>
      <c r="M117" s="5" t="n">
        <v>6.222</v>
      </c>
      <c r="N117" s="5" t="n">
        <v>3.389</v>
      </c>
      <c r="O117" s="5" t="n">
        <v>0</v>
      </c>
      <c r="P117" s="5" t="n">
        <v>6.222</v>
      </c>
      <c r="Q117" s="5" t="n">
        <v>0</v>
      </c>
      <c r="R117" s="5" t="n">
        <v>1</v>
      </c>
      <c r="S117" s="5" t="n">
        <v>11.072</v>
      </c>
      <c r="T117" s="5" t="n">
        <v>7.29</v>
      </c>
      <c r="U117" s="5" t="n">
        <v>0.256</v>
      </c>
      <c r="V117" s="5" t="n">
        <v>12.954</v>
      </c>
      <c r="W117" s="5" t="n">
        <v>0.17</v>
      </c>
      <c r="X117" s="5" t="n">
        <v>1</v>
      </c>
      <c r="Y117" s="5" t="n">
        <v>17.661</v>
      </c>
      <c r="Z117" s="5" t="n">
        <v>2.23</v>
      </c>
      <c r="AA117" s="5" t="n">
        <v>-0.295</v>
      </c>
      <c r="AB117" s="5" t="n">
        <v>17.367</v>
      </c>
      <c r="AC117" s="5" t="n">
        <v>0</v>
      </c>
      <c r="AD117" s="5" t="n">
        <v>1</v>
      </c>
      <c r="AE117" s="5" t="n">
        <v>17.367</v>
      </c>
      <c r="AF117" s="5" t="n">
        <v>3.804</v>
      </c>
      <c r="AG117" s="5" t="n">
        <v>0</v>
      </c>
      <c r="AH117" s="5" t="n">
        <v>17.367</v>
      </c>
      <c r="AI117" s="5" t="n">
        <v>0</v>
      </c>
      <c r="AJ117" s="5" t="n">
        <v>1</v>
      </c>
      <c r="AK117" s="5" t="n">
        <v>45.956</v>
      </c>
      <c r="AL117" s="5" t="n">
        <v>23.374</v>
      </c>
      <c r="AM117" s="5" t="n">
        <v>0</v>
      </c>
      <c r="AN117" s="5" t="n">
        <v>45.956</v>
      </c>
      <c r="AO117" s="5" t="n">
        <v>0</v>
      </c>
      <c r="AP117" s="5" t="n">
        <v>1</v>
      </c>
      <c r="AQ117" s="5" t="n">
        <v>0.756</v>
      </c>
      <c r="AR117" s="5" t="n">
        <v>0.132</v>
      </c>
      <c r="AS117" s="5" t="n">
        <v>0.126</v>
      </c>
      <c r="AT117" s="5" t="n">
        <v>1.103</v>
      </c>
      <c r="AU117" s="5" t="n">
        <v>0.25</v>
      </c>
      <c r="AV117" s="5" t="n">
        <v>1</v>
      </c>
      <c r="AW117" s="5" t="n">
        <v>0.655</v>
      </c>
      <c r="AX117" s="5" t="n">
        <v>0.132</v>
      </c>
      <c r="AY117" s="5" t="n">
        <v>0.328</v>
      </c>
      <c r="AZ117" s="5" t="n">
        <v>1.102</v>
      </c>
      <c r="BA117" s="5" t="n">
        <v>0.12</v>
      </c>
      <c r="BB117" s="5" t="n">
        <v>1</v>
      </c>
      <c r="BC117" s="5" t="n">
        <v>0.534</v>
      </c>
      <c r="BD117" s="5" t="n">
        <v>0.132</v>
      </c>
      <c r="BE117" s="5" t="n">
        <v>0.174</v>
      </c>
      <c r="BF117" s="5" t="n">
        <v>0.792</v>
      </c>
      <c r="BG117" s="5" t="n">
        <v>0.12</v>
      </c>
      <c r="BH117" s="5" t="n">
        <v>1</v>
      </c>
      <c r="BI117" s="5" t="n">
        <v>0.5679999999999999</v>
      </c>
      <c r="BJ117" s="5" t="n">
        <v>0.132</v>
      </c>
      <c r="BK117" s="5" t="n">
        <v>0.09</v>
      </c>
      <c r="BL117" s="5" t="n">
        <v>0.796</v>
      </c>
      <c r="BM117" s="5" t="n">
        <v>0.25</v>
      </c>
      <c r="BN117" s="5" t="n">
        <v>1</v>
      </c>
      <c r="BO117" s="5" t="n">
        <v>0</v>
      </c>
      <c r="BP117" s="5" t="n">
        <v>0.005</v>
      </c>
      <c r="BQ117" s="5" t="n">
        <v>0.133</v>
      </c>
      <c r="BR117" s="5" t="n">
        <v>0</v>
      </c>
      <c r="BS117" s="5" t="n">
        <v>1</v>
      </c>
      <c r="BT117" s="5" t="n">
        <v>0</v>
      </c>
      <c r="BU117" s="5" t="n">
        <v>0.02</v>
      </c>
      <c r="BV117" s="5" t="n">
        <v>0.16</v>
      </c>
      <c r="BW117" s="5" t="n">
        <v>0</v>
      </c>
      <c r="BX117" s="5" t="n">
        <v>0.667</v>
      </c>
      <c r="BY117" s="5" t="n">
        <v>28.73</v>
      </c>
      <c r="BZ117" s="5" t="n">
        <v>0</v>
      </c>
      <c r="CA117" s="5" t="n">
        <v>28.73</v>
      </c>
      <c r="CB117" s="5" t="n">
        <v>0</v>
      </c>
      <c r="CC117" s="5" t="n">
        <v>82.58799999999999</v>
      </c>
      <c r="CD117" s="5" t="n">
        <v>7.95</v>
      </c>
      <c r="CE117" s="5" t="n">
        <v>21.376</v>
      </c>
      <c r="CF117" s="5" t="n">
        <v>118.885</v>
      </c>
      <c r="CG117" s="5" t="n">
        <v>0.17</v>
      </c>
      <c r="CH117" s="5" t="n">
        <v>1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0.229</v>
      </c>
      <c r="CO117" s="5" t="n">
        <v>2.244</v>
      </c>
      <c r="CP117" s="5" t="n">
        <v>0</v>
      </c>
      <c r="CQ117" s="5" t="n">
        <v>1.387</v>
      </c>
      <c r="CR117" s="5" t="n">
        <v>0</v>
      </c>
      <c r="CS117" s="5" t="n">
        <v>6.05</v>
      </c>
      <c r="CT117" s="5" t="n">
        <v>4.251</v>
      </c>
      <c r="CU117" s="5" t="n">
        <v>9.278</v>
      </c>
    </row>
    <row r="118">
      <c r="A118" s="5" t="inlineStr">
        <is>
          <t>VGB2021</t>
        </is>
      </c>
      <c r="B118" s="5" t="inlineStr">
        <is>
          <t>VGB</t>
        </is>
      </c>
      <c r="C118" s="5" t="inlineStr">
        <is>
          <t>VGB</t>
        </is>
      </c>
      <c r="D118" s="5" t="inlineStr">
        <is>
          <t>British Virgin Islands</t>
        </is>
      </c>
      <c r="E118" s="5" t="n">
        <v>2021</v>
      </c>
      <c r="F118" s="5" t="n">
        <v>0.21</v>
      </c>
      <c r="G118" s="5" t="n">
        <v>5.897</v>
      </c>
      <c r="H118" s="5" t="n">
        <v>1.143</v>
      </c>
      <c r="I118" s="5" t="n">
        <v>0</v>
      </c>
      <c r="J118" s="5" t="n">
        <v>5.897</v>
      </c>
      <c r="K118" s="5" t="n">
        <v>0</v>
      </c>
      <c r="L118" s="5" t="n">
        <v>1</v>
      </c>
      <c r="M118" s="5" t="n">
        <v>7.964</v>
      </c>
      <c r="N118" s="5" t="n">
        <v>3.43</v>
      </c>
      <c r="O118" s="5" t="n">
        <v>0</v>
      </c>
      <c r="P118" s="5" t="n">
        <v>7.964</v>
      </c>
      <c r="Q118" s="5" t="n">
        <v>0</v>
      </c>
      <c r="R118" s="5" t="n">
        <v>1</v>
      </c>
      <c r="S118" s="5" t="n">
        <v>11.613</v>
      </c>
      <c r="T118" s="5" t="n">
        <v>6.86</v>
      </c>
      <c r="U118" s="5" t="n">
        <v>0</v>
      </c>
      <c r="V118" s="5" t="n">
        <v>14.052</v>
      </c>
      <c r="W118" s="5" t="n">
        <v>0.21</v>
      </c>
      <c r="X118" s="5" t="n">
        <v>1</v>
      </c>
      <c r="Y118" s="5" t="n">
        <v>17.127</v>
      </c>
      <c r="Z118" s="5" t="n">
        <v>2.304</v>
      </c>
      <c r="AA118" s="5" t="n">
        <v>0</v>
      </c>
      <c r="AB118" s="5" t="n">
        <v>17.127</v>
      </c>
      <c r="AC118" s="5" t="n">
        <v>0</v>
      </c>
      <c r="AD118" s="5" t="n">
        <v>1</v>
      </c>
      <c r="AE118" s="5" t="n">
        <v>18.27</v>
      </c>
      <c r="AF118" s="5" t="n">
        <v>4.278</v>
      </c>
      <c r="AG118" s="5" t="n">
        <v>0</v>
      </c>
      <c r="AH118" s="5" t="n">
        <v>18.27</v>
      </c>
      <c r="AI118" s="5" t="n">
        <v>0</v>
      </c>
      <c r="AJ118" s="5" t="n">
        <v>1</v>
      </c>
      <c r="AK118" s="5" t="n">
        <v>25.13</v>
      </c>
      <c r="AL118" s="5" t="n">
        <v>13.503</v>
      </c>
      <c r="AM118" s="5" t="n">
        <v>0</v>
      </c>
      <c r="AN118" s="5" t="n">
        <v>30.407</v>
      </c>
      <c r="AO118" s="5" t="n">
        <v>0.21</v>
      </c>
      <c r="AP118" s="5" t="n">
        <v>1</v>
      </c>
      <c r="AQ118" s="5" t="n">
        <v>0.649</v>
      </c>
      <c r="AR118" s="5" t="n">
        <v>0.114</v>
      </c>
      <c r="AS118" s="5" t="n">
        <v>0</v>
      </c>
      <c r="AT118" s="5" t="n">
        <v>0.785</v>
      </c>
      <c r="AU118" s="5" t="n">
        <v>0.21</v>
      </c>
      <c r="AV118" s="5" t="n">
        <v>1</v>
      </c>
      <c r="AW118" s="5" t="n">
        <v>0.577</v>
      </c>
      <c r="AX118" s="5" t="n">
        <v>0.114</v>
      </c>
      <c r="AY118" s="5" t="n">
        <v>0</v>
      </c>
      <c r="AZ118" s="5" t="n">
        <v>0.698</v>
      </c>
      <c r="BA118" s="5" t="n">
        <v>0.21</v>
      </c>
      <c r="BB118" s="5" t="n">
        <v>1</v>
      </c>
      <c r="BC118" s="5" t="n">
        <v>0.458</v>
      </c>
      <c r="BD118" s="5" t="n">
        <v>0.114</v>
      </c>
      <c r="BE118" s="5" t="n">
        <v>0</v>
      </c>
      <c r="BF118" s="5" t="n">
        <v>0.554</v>
      </c>
      <c r="BG118" s="5" t="n">
        <v>0.21</v>
      </c>
      <c r="BH118" s="5" t="n">
        <v>1</v>
      </c>
      <c r="BI118" s="5" t="n">
        <v>0.491</v>
      </c>
      <c r="BJ118" s="5" t="n">
        <v>0.114</v>
      </c>
      <c r="BK118" s="5" t="n">
        <v>0</v>
      </c>
      <c r="BL118" s="5" t="n">
        <v>0.594</v>
      </c>
      <c r="BM118" s="5" t="n">
        <v>0.21</v>
      </c>
      <c r="BN118" s="5" t="n">
        <v>1</v>
      </c>
      <c r="BO118" s="5" t="n">
        <v>0</v>
      </c>
      <c r="BP118" s="5" t="n">
        <v>0</v>
      </c>
      <c r="BQ118" s="5" t="n">
        <v>0</v>
      </c>
      <c r="BR118" s="5" t="n">
        <v>0</v>
      </c>
      <c r="BS118" s="5" t="n">
        <v>1</v>
      </c>
      <c r="BT118" s="5" t="n">
        <v>0</v>
      </c>
      <c r="BU118" s="5" t="n">
        <v>0</v>
      </c>
      <c r="BV118" s="5" t="n">
        <v>0</v>
      </c>
      <c r="BW118" s="5" t="n">
        <v>0.21</v>
      </c>
      <c r="BX118" s="5" t="n">
        <v>1</v>
      </c>
      <c r="BY118" s="5" t="n">
        <v>11.787</v>
      </c>
      <c r="BZ118" s="5" t="n">
        <v>0</v>
      </c>
      <c r="CA118" s="5" t="n">
        <v>11.787</v>
      </c>
      <c r="CB118" s="5" t="n">
        <v>0</v>
      </c>
      <c r="CC118" s="5" t="n">
        <v>78.125</v>
      </c>
      <c r="CD118" s="5" t="n">
        <v>7.95</v>
      </c>
      <c r="CE118" s="5" t="n">
        <v>0</v>
      </c>
      <c r="CF118" s="5" t="n">
        <v>94.53100000000001</v>
      </c>
      <c r="CG118" s="5" t="n">
        <v>0.21</v>
      </c>
      <c r="CH118" s="5" t="n">
        <v>1</v>
      </c>
      <c r="CI118" s="5" t="n">
        <v>0</v>
      </c>
      <c r="CJ118" s="5" t="n">
        <v>0</v>
      </c>
      <c r="CK118" s="5" t="n">
        <v>0</v>
      </c>
      <c r="CL118" s="5" t="n">
        <v>0</v>
      </c>
      <c r="CM118" s="5" t="n">
        <v>0</v>
      </c>
      <c r="CN118" s="5" t="n">
        <v>0</v>
      </c>
      <c r="CO118" s="5" t="n">
        <v>0</v>
      </c>
      <c r="CP118" s="5" t="n">
        <v>0</v>
      </c>
      <c r="CQ118" s="5" t="n">
        <v>1.198</v>
      </c>
      <c r="CR118" s="5" t="n">
        <v>0</v>
      </c>
      <c r="CS118" s="5" t="n">
        <v>4.776</v>
      </c>
      <c r="CT118" s="5" t="n">
        <v>4.753</v>
      </c>
      <c r="CU118" s="5" t="n">
        <v>15.983</v>
      </c>
    </row>
    <row r="119">
      <c r="A119" s="5" t="inlineStr">
        <is>
          <t>VGB2022</t>
        </is>
      </c>
      <c r="B119" s="5" t="inlineStr">
        <is>
          <t>VGB</t>
        </is>
      </c>
      <c r="C119" s="5" t="inlineStr">
        <is>
          <t>VGB</t>
        </is>
      </c>
      <c r="D119" s="5" t="inlineStr">
        <is>
          <t>British Virgin Islands</t>
        </is>
      </c>
      <c r="E119" s="5" t="n">
        <v>2022</v>
      </c>
      <c r="F119" s="5" t="n">
        <v>0.21</v>
      </c>
      <c r="G119" s="5" t="n">
        <v>11.72</v>
      </c>
      <c r="H119" s="5" t="n">
        <v>1.235</v>
      </c>
      <c r="I119" s="5" t="n">
        <v>0</v>
      </c>
      <c r="J119" s="5" t="n">
        <v>11.72</v>
      </c>
      <c r="K119" s="5" t="n">
        <v>0</v>
      </c>
      <c r="L119" s="5" t="n">
        <v>1</v>
      </c>
      <c r="M119" s="5" t="n">
        <v>9.782999999999999</v>
      </c>
      <c r="N119" s="5" t="n">
        <v>3.704</v>
      </c>
      <c r="O119" s="5" t="n">
        <v>0</v>
      </c>
      <c r="P119" s="5" t="n">
        <v>9.782999999999999</v>
      </c>
      <c r="Q119" s="5" t="n">
        <v>0</v>
      </c>
      <c r="R119" s="5" t="n">
        <v>1</v>
      </c>
      <c r="S119" s="5" t="n">
        <v>17.893</v>
      </c>
      <c r="T119" s="5" t="n">
        <v>7.408</v>
      </c>
      <c r="U119" s="5" t="n">
        <v>0.278</v>
      </c>
      <c r="V119" s="5" t="n">
        <v>21.651</v>
      </c>
      <c r="W119" s="5" t="n">
        <v>0.21</v>
      </c>
      <c r="X119" s="5" t="n">
        <v>1</v>
      </c>
      <c r="Y119" s="5" t="n">
        <v>30.728</v>
      </c>
      <c r="Z119" s="5" t="n">
        <v>4.133</v>
      </c>
      <c r="AA119" s="5" t="n">
        <v>0</v>
      </c>
      <c r="AB119" s="5" t="n">
        <v>30.728</v>
      </c>
      <c r="AC119" s="5" t="n">
        <v>0</v>
      </c>
      <c r="AD119" s="5" t="n">
        <v>1</v>
      </c>
      <c r="AE119" s="5" t="n">
        <v>31.963</v>
      </c>
      <c r="AF119" s="5" t="n">
        <v>7.485</v>
      </c>
      <c r="AG119" s="5" t="n">
        <v>0</v>
      </c>
      <c r="AH119" s="5" t="n">
        <v>31.963</v>
      </c>
      <c r="AI119" s="5" t="n">
        <v>0</v>
      </c>
      <c r="AJ119" s="5" t="n">
        <v>1</v>
      </c>
      <c r="AK119" s="5" t="n">
        <v>39.371</v>
      </c>
      <c r="AL119" s="5" t="n">
        <v>21.155</v>
      </c>
      <c r="AM119" s="5" t="n">
        <v>0.612</v>
      </c>
      <c r="AN119" s="5" t="n">
        <v>47.639</v>
      </c>
      <c r="AO119" s="5" t="n">
        <v>0.21</v>
      </c>
      <c r="AP119" s="5" t="n">
        <v>1</v>
      </c>
      <c r="AQ119" s="5" t="n">
        <v>0.896</v>
      </c>
      <c r="AR119" s="5" t="n">
        <v>0.123</v>
      </c>
      <c r="AS119" s="5" t="n">
        <v>0.014</v>
      </c>
      <c r="AT119" s="5" t="n">
        <v>1.084</v>
      </c>
      <c r="AU119" s="5" t="n">
        <v>0.21</v>
      </c>
      <c r="AV119" s="5" t="n">
        <v>1</v>
      </c>
      <c r="AW119" s="5" t="n">
        <v>0.89</v>
      </c>
      <c r="AX119" s="5" t="n">
        <v>0.123</v>
      </c>
      <c r="AY119" s="5" t="n">
        <v>0.014</v>
      </c>
      <c r="AZ119" s="5" t="n">
        <v>1.077</v>
      </c>
      <c r="BA119" s="5" t="n">
        <v>0.21</v>
      </c>
      <c r="BB119" s="5" t="n">
        <v>1</v>
      </c>
      <c r="BC119" s="5" t="n">
        <v>0.62</v>
      </c>
      <c r="BD119" s="5" t="n">
        <v>0.123</v>
      </c>
      <c r="BE119" s="5" t="n">
        <v>0.01</v>
      </c>
      <c r="BF119" s="5" t="n">
        <v>0.751</v>
      </c>
      <c r="BG119" s="5" t="n">
        <v>0.21</v>
      </c>
      <c r="BH119" s="5" t="n">
        <v>1</v>
      </c>
      <c r="BI119" s="5" t="n">
        <v>0.608</v>
      </c>
      <c r="BJ119" s="5" t="n">
        <v>0.123</v>
      </c>
      <c r="BK119" s="5" t="n">
        <v>0.008999999999999999</v>
      </c>
      <c r="BL119" s="5" t="n">
        <v>0.735</v>
      </c>
      <c r="BM119" s="5" t="n">
        <v>0.21</v>
      </c>
      <c r="BN119" s="5" t="n">
        <v>1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1</v>
      </c>
      <c r="BT119" s="5" t="n">
        <v>0</v>
      </c>
      <c r="BU119" s="5" t="n">
        <v>0</v>
      </c>
      <c r="BV119" s="5" t="n">
        <v>0</v>
      </c>
      <c r="BW119" s="5" t="n">
        <v>0.21</v>
      </c>
      <c r="BX119" s="5" t="n">
        <v>1</v>
      </c>
      <c r="BY119" s="5" t="n">
        <v>12.729</v>
      </c>
      <c r="BZ119" s="5" t="n">
        <v>0</v>
      </c>
      <c r="CA119" s="5" t="n">
        <v>12.729</v>
      </c>
      <c r="CB119" s="5" t="n">
        <v>0</v>
      </c>
      <c r="CC119" s="5" t="n">
        <v>97.90000000000001</v>
      </c>
      <c r="CD119" s="5" t="n">
        <v>7.95</v>
      </c>
      <c r="CE119" s="5" t="n">
        <v>1.522</v>
      </c>
      <c r="CF119" s="5" t="n">
        <v>118.459</v>
      </c>
      <c r="CG119" s="5" t="n">
        <v>0.21</v>
      </c>
      <c r="CH119" s="5" t="n">
        <v>1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0</v>
      </c>
      <c r="CQ119" s="5" t="n">
        <v>1.294</v>
      </c>
      <c r="CR119" s="5" t="n">
        <v>0</v>
      </c>
      <c r="CS119" s="5" t="n">
        <v>5.158</v>
      </c>
      <c r="CT119" s="5" t="n">
        <v>10.485</v>
      </c>
      <c r="CU119" s="5" t="n">
        <v>29.494</v>
      </c>
    </row>
    <row r="120">
      <c r="A120" s="5" t="inlineStr">
        <is>
          <t>VGB2023</t>
        </is>
      </c>
      <c r="B120" s="5" t="inlineStr">
        <is>
          <t>VGB</t>
        </is>
      </c>
      <c r="C120" s="5" t="inlineStr">
        <is>
          <t>VGB</t>
        </is>
      </c>
      <c r="D120" s="5" t="inlineStr">
        <is>
          <t>British Virgin Islands</t>
        </is>
      </c>
      <c r="E120" s="5" t="n">
        <v>2023</v>
      </c>
      <c r="F120" s="5" t="n">
        <v>0.21</v>
      </c>
      <c r="G120" s="5" t="n">
        <v>6.147</v>
      </c>
      <c r="H120" s="5" t="n">
        <v>1.286</v>
      </c>
      <c r="I120" s="5" t="n">
        <v>0</v>
      </c>
      <c r="J120" s="5" t="n">
        <v>6.147</v>
      </c>
      <c r="K120" s="5" t="n">
        <v>0</v>
      </c>
      <c r="L120" s="5" t="n">
        <v>1</v>
      </c>
      <c r="M120" s="5" t="n">
        <v>7.886</v>
      </c>
      <c r="N120" s="5" t="n">
        <v>3.857</v>
      </c>
      <c r="O120" s="5" t="n">
        <v>0</v>
      </c>
      <c r="P120" s="5" t="n">
        <v>7.886</v>
      </c>
      <c r="Q120" s="5" t="n">
        <v>0</v>
      </c>
      <c r="R120" s="5" t="n">
        <v>1</v>
      </c>
      <c r="S120" s="5" t="n">
        <v>12.575</v>
      </c>
      <c r="T120" s="5" t="n">
        <v>7.714</v>
      </c>
      <c r="U120" s="5" t="n">
        <v>0.292</v>
      </c>
      <c r="V120" s="5" t="n">
        <v>15.216</v>
      </c>
      <c r="W120" s="5" t="n">
        <v>0.21</v>
      </c>
      <c r="X120" s="5" t="n">
        <v>1</v>
      </c>
      <c r="Y120" s="5" t="n">
        <v>12.478</v>
      </c>
      <c r="Z120" s="5" t="n">
        <v>1.678</v>
      </c>
      <c r="AA120" s="5" t="n">
        <v>0</v>
      </c>
      <c r="AB120" s="5" t="n">
        <v>12.478</v>
      </c>
      <c r="AC120" s="5" t="n">
        <v>0</v>
      </c>
      <c r="AD120" s="5" t="n">
        <v>1</v>
      </c>
      <c r="AE120" s="5" t="n">
        <v>13.763</v>
      </c>
      <c r="AF120" s="5" t="n">
        <v>3.223</v>
      </c>
      <c r="AG120" s="5" t="n">
        <v>0</v>
      </c>
      <c r="AH120" s="5" t="n">
        <v>13.763</v>
      </c>
      <c r="AI120" s="5" t="n">
        <v>0</v>
      </c>
      <c r="AJ120" s="5" t="n">
        <v>1</v>
      </c>
      <c r="AK120" s="5" t="n">
        <v>21.477</v>
      </c>
      <c r="AL120" s="5" t="n">
        <v>11.54</v>
      </c>
      <c r="AM120" s="5" t="n">
        <v>0.499</v>
      </c>
      <c r="AN120" s="5" t="n">
        <v>25.988</v>
      </c>
      <c r="AO120" s="5" t="n">
        <v>0.21</v>
      </c>
      <c r="AP120" s="5" t="n">
        <v>1</v>
      </c>
      <c r="AQ120" s="5" t="n">
        <v>0.791</v>
      </c>
      <c r="AR120" s="5" t="n">
        <v>0.129</v>
      </c>
      <c r="AS120" s="5" t="n">
        <v>0.018</v>
      </c>
      <c r="AT120" s="5" t="n">
        <v>0.957</v>
      </c>
      <c r="AU120" s="5" t="n">
        <v>0.21</v>
      </c>
      <c r="AV120" s="5" t="n">
        <v>1</v>
      </c>
      <c r="AW120" s="5" t="n">
        <v>0.618</v>
      </c>
      <c r="AX120" s="5" t="n">
        <v>0.129</v>
      </c>
      <c r="AY120" s="5" t="n">
        <v>0.014</v>
      </c>
      <c r="AZ120" s="5" t="n">
        <v>0.748</v>
      </c>
      <c r="BA120" s="5" t="n">
        <v>0.21</v>
      </c>
      <c r="BB120" s="5" t="n">
        <v>1</v>
      </c>
      <c r="BC120" s="5" t="n">
        <v>0.554</v>
      </c>
      <c r="BD120" s="5" t="n">
        <v>0.129</v>
      </c>
      <c r="BE120" s="5" t="n">
        <v>0.013</v>
      </c>
      <c r="BF120" s="5" t="n">
        <v>0.671</v>
      </c>
      <c r="BG120" s="5" t="n">
        <v>0.21</v>
      </c>
      <c r="BH120" s="5" t="n">
        <v>1</v>
      </c>
      <c r="BI120" s="5" t="n">
        <v>0.5570000000000001</v>
      </c>
      <c r="BJ120" s="5" t="n">
        <v>0.129</v>
      </c>
      <c r="BK120" s="5" t="n">
        <v>0.013</v>
      </c>
      <c r="BL120" s="5" t="n">
        <v>0.674</v>
      </c>
      <c r="BM120" s="5" t="n">
        <v>0.21</v>
      </c>
      <c r="BN120" s="5" t="n">
        <v>1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1</v>
      </c>
      <c r="BT120" s="5" t="n">
        <v>0</v>
      </c>
      <c r="BU120" s="5" t="n">
        <v>0</v>
      </c>
      <c r="BV120" s="5" t="n">
        <v>0</v>
      </c>
      <c r="BW120" s="5" t="n">
        <v>0.21</v>
      </c>
      <c r="BX120" s="5" t="n">
        <v>1</v>
      </c>
      <c r="BY120" s="5" t="n">
        <v>13.254</v>
      </c>
      <c r="BZ120" s="5" t="n">
        <v>0</v>
      </c>
      <c r="CA120" s="5" t="n">
        <v>13.254</v>
      </c>
      <c r="CB120" s="5" t="n">
        <v>0</v>
      </c>
      <c r="CC120" s="5" t="n">
        <v>83.248</v>
      </c>
      <c r="CD120" s="5" t="n">
        <v>7.95</v>
      </c>
      <c r="CE120" s="5" t="n">
        <v>1.936</v>
      </c>
      <c r="CF120" s="5" t="n">
        <v>100.73</v>
      </c>
      <c r="CG120" s="5" t="n">
        <v>0.21</v>
      </c>
      <c r="CH120" s="5" t="n">
        <v>1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1.348</v>
      </c>
      <c r="CR120" s="5" t="n">
        <v>0</v>
      </c>
      <c r="CS120" s="5" t="n">
        <v>5.37</v>
      </c>
      <c r="CT120" s="5" t="n">
        <v>4.861</v>
      </c>
      <c r="CU120" s="5" t="n">
        <v>11.192</v>
      </c>
    </row>
    <row r="121">
      <c r="A121" s="5" t="inlineStr">
        <is>
          <t>VGB2024</t>
        </is>
      </c>
      <c r="B121" s="5" t="inlineStr">
        <is>
          <t>VGB</t>
        </is>
      </c>
      <c r="C121" s="5" t="inlineStr">
        <is>
          <t>VGB</t>
        </is>
      </c>
      <c r="D121" s="5" t="inlineStr">
        <is>
          <t>British Virgin Islands</t>
        </is>
      </c>
      <c r="E121" s="5" t="n">
        <v>2024</v>
      </c>
      <c r="F121" s="5" t="n">
        <v>0.21</v>
      </c>
      <c r="G121" s="5" t="n">
        <v>5.575</v>
      </c>
      <c r="H121" s="5" t="n">
        <v>1.324</v>
      </c>
      <c r="I121" s="5" t="n">
        <v>0</v>
      </c>
      <c r="J121" s="5" t="n">
        <v>5.575</v>
      </c>
      <c r="K121" s="5" t="n">
        <v>0</v>
      </c>
      <c r="L121" s="5" t="n">
        <v>1</v>
      </c>
      <c r="M121" s="5" t="n">
        <v>7.124</v>
      </c>
      <c r="N121" s="5" t="n">
        <v>3.971</v>
      </c>
      <c r="O121" s="5" t="n">
        <v>0</v>
      </c>
      <c r="P121" s="5" t="n">
        <v>7.124</v>
      </c>
      <c r="Q121" s="5" t="n">
        <v>0</v>
      </c>
      <c r="R121" s="5" t="n">
        <v>1</v>
      </c>
      <c r="S121" s="5" t="n">
        <v>12.193</v>
      </c>
      <c r="T121" s="5" t="n">
        <v>7.942</v>
      </c>
      <c r="U121" s="5" t="n">
        <v>0.349</v>
      </c>
      <c r="V121" s="5" t="n">
        <v>14.753</v>
      </c>
      <c r="W121" s="5" t="n">
        <v>0.21</v>
      </c>
      <c r="X121" s="5" t="n">
        <v>1</v>
      </c>
      <c r="Y121" s="5" t="n">
        <v>11.447</v>
      </c>
      <c r="Z121" s="5" t="n">
        <v>1.54</v>
      </c>
      <c r="AA121" s="5" t="n">
        <v>0</v>
      </c>
      <c r="AB121" s="5" t="n">
        <v>11.447</v>
      </c>
      <c r="AC121" s="5" t="n">
        <v>0</v>
      </c>
      <c r="AD121" s="5" t="n">
        <v>1</v>
      </c>
      <c r="AE121" s="5" t="n">
        <v>12.771</v>
      </c>
      <c r="AF121" s="5" t="n">
        <v>2.991</v>
      </c>
      <c r="AG121" s="5" t="n">
        <v>0</v>
      </c>
      <c r="AH121" s="5" t="n">
        <v>12.771</v>
      </c>
      <c r="AI121" s="5" t="n">
        <v>0</v>
      </c>
      <c r="AJ121" s="5" t="n">
        <v>1</v>
      </c>
      <c r="AK121" s="5" t="n">
        <v>20.712</v>
      </c>
      <c r="AL121" s="5" t="n">
        <v>11.129</v>
      </c>
      <c r="AM121" s="5" t="n">
        <v>0.592</v>
      </c>
      <c r="AN121" s="5" t="n">
        <v>25.062</v>
      </c>
      <c r="AO121" s="5" t="n">
        <v>0.21</v>
      </c>
      <c r="AP121" s="5" t="n">
        <v>1</v>
      </c>
      <c r="AQ121" s="5" t="n">
        <v>0.756</v>
      </c>
      <c r="AR121" s="5" t="n">
        <v>0.132</v>
      </c>
      <c r="AS121" s="5" t="n">
        <v>0.022</v>
      </c>
      <c r="AT121" s="5" t="n">
        <v>0.915</v>
      </c>
      <c r="AU121" s="5" t="n">
        <v>0.21</v>
      </c>
      <c r="AV121" s="5" t="n">
        <v>1</v>
      </c>
      <c r="AW121" s="5" t="n">
        <v>0.655</v>
      </c>
      <c r="AX121" s="5" t="n">
        <v>0.132</v>
      </c>
      <c r="AY121" s="5" t="n">
        <v>0.019</v>
      </c>
      <c r="AZ121" s="5" t="n">
        <v>0.793</v>
      </c>
      <c r="BA121" s="5" t="n">
        <v>0.21</v>
      </c>
      <c r="BB121" s="5" t="n">
        <v>1</v>
      </c>
      <c r="BC121" s="5" t="n">
        <v>0.534</v>
      </c>
      <c r="BD121" s="5" t="n">
        <v>0.132</v>
      </c>
      <c r="BE121" s="5" t="n">
        <v>0.015</v>
      </c>
      <c r="BF121" s="5" t="n">
        <v>0.646</v>
      </c>
      <c r="BG121" s="5" t="n">
        <v>0.21</v>
      </c>
      <c r="BH121" s="5" t="n">
        <v>1</v>
      </c>
      <c r="BI121" s="5" t="n">
        <v>0.5679999999999999</v>
      </c>
      <c r="BJ121" s="5" t="n">
        <v>0.132</v>
      </c>
      <c r="BK121" s="5" t="n">
        <v>0.016</v>
      </c>
      <c r="BL121" s="5" t="n">
        <v>0.6870000000000001</v>
      </c>
      <c r="BM121" s="5" t="n">
        <v>0.21</v>
      </c>
      <c r="BN121" s="5" t="n">
        <v>1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1</v>
      </c>
      <c r="BT121" s="5" t="n">
        <v>0</v>
      </c>
      <c r="BU121" s="5" t="n">
        <v>0</v>
      </c>
      <c r="BV121" s="5" t="n">
        <v>0</v>
      </c>
      <c r="BW121" s="5" t="n">
        <v>0.21</v>
      </c>
      <c r="BX121" s="5" t="n">
        <v>1</v>
      </c>
      <c r="BY121" s="5" t="n">
        <v>13.646</v>
      </c>
      <c r="BZ121" s="5" t="n">
        <v>0</v>
      </c>
      <c r="CA121" s="5" t="n">
        <v>13.646</v>
      </c>
      <c r="CB121" s="5" t="n">
        <v>0</v>
      </c>
      <c r="CC121" s="5" t="n">
        <v>82.58799999999999</v>
      </c>
      <c r="CD121" s="5" t="n">
        <v>7.95</v>
      </c>
      <c r="CE121" s="5" t="n">
        <v>2.362</v>
      </c>
      <c r="CF121" s="5" t="n">
        <v>99.931</v>
      </c>
      <c r="CG121" s="5" t="n">
        <v>0.21</v>
      </c>
      <c r="CH121" s="5" t="n">
        <v>1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1.387</v>
      </c>
      <c r="CR121" s="5" t="n">
        <v>0</v>
      </c>
      <c r="CS121" s="5" t="n">
        <v>5.529</v>
      </c>
      <c r="CT121" s="5" t="n">
        <v>4.251</v>
      </c>
      <c r="CU121" s="5" t="n">
        <v>10.123</v>
      </c>
    </row>
    <row r="122">
      <c r="A122" s="5" t="inlineStr">
        <is>
          <t>BRN2021</t>
        </is>
      </c>
      <c r="B122" s="5" t="inlineStr">
        <is>
          <t>BRN</t>
        </is>
      </c>
      <c r="C122" s="5" t="inlineStr">
        <is>
          <t>BRN</t>
        </is>
      </c>
      <c r="D122" s="5" t="inlineStr">
        <is>
          <t>Brunei Darussalam</t>
        </is>
      </c>
      <c r="E122" s="5" t="n">
        <v>2021</v>
      </c>
      <c r="F122" s="5" t="n">
        <v>0</v>
      </c>
      <c r="G122" s="5" t="n">
        <v>4.747</v>
      </c>
      <c r="H122" s="5" t="n">
        <v>1.143</v>
      </c>
      <c r="I122" s="5" t="n">
        <v>0</v>
      </c>
      <c r="J122" s="5" t="n">
        <v>4.747</v>
      </c>
      <c r="K122" s="5" t="n">
        <v>0</v>
      </c>
      <c r="L122" s="5" t="n">
        <v>1</v>
      </c>
      <c r="M122" s="5" t="n">
        <v>7.964</v>
      </c>
      <c r="N122" s="5" t="n">
        <v>3.43</v>
      </c>
      <c r="O122" s="5" t="n">
        <v>0</v>
      </c>
      <c r="P122" s="5" t="n">
        <v>7.964</v>
      </c>
      <c r="Q122" s="5" t="n">
        <v>0</v>
      </c>
      <c r="R122" s="5" t="n">
        <v>1</v>
      </c>
      <c r="S122" s="5" t="n">
        <v>10.464</v>
      </c>
      <c r="T122" s="5" t="n">
        <v>6.86</v>
      </c>
      <c r="U122" s="5" t="n">
        <v>0</v>
      </c>
      <c r="V122" s="5" t="n">
        <v>10.464</v>
      </c>
      <c r="W122" s="5" t="n">
        <v>0</v>
      </c>
      <c r="X122" s="5" t="n">
        <v>1</v>
      </c>
      <c r="Y122" s="5" t="n">
        <v>3.471</v>
      </c>
      <c r="Z122" s="5" t="n">
        <v>0.381</v>
      </c>
      <c r="AA122" s="5" t="n">
        <v>0.783</v>
      </c>
      <c r="AB122" s="5" t="n">
        <v>4.253</v>
      </c>
      <c r="AC122" s="5" t="n">
        <v>0</v>
      </c>
      <c r="AD122" s="5" t="n">
        <v>1</v>
      </c>
      <c r="AE122" s="5" t="n">
        <v>4.042</v>
      </c>
      <c r="AF122" s="5" t="n">
        <v>0.786</v>
      </c>
      <c r="AG122" s="5" t="n">
        <v>0.211</v>
      </c>
      <c r="AH122" s="5" t="n">
        <v>4.253</v>
      </c>
      <c r="AI122" s="5" t="n">
        <v>0</v>
      </c>
      <c r="AJ122" s="5" t="n">
        <v>1</v>
      </c>
      <c r="AK122" s="5" t="n">
        <v>7.472</v>
      </c>
      <c r="AL122" s="5" t="n">
        <v>3.525</v>
      </c>
      <c r="AM122" s="5" t="n">
        <v>-3.219</v>
      </c>
      <c r="AN122" s="5" t="n">
        <v>4.253</v>
      </c>
      <c r="AO122" s="5" t="n">
        <v>0</v>
      </c>
      <c r="AP122" s="5" t="n">
        <v>0</v>
      </c>
      <c r="AQ122" s="5" t="n">
        <v>0.621</v>
      </c>
      <c r="AR122" s="5" t="n">
        <v>0.114</v>
      </c>
      <c r="AS122" s="5" t="n">
        <v>-0.342</v>
      </c>
      <c r="AT122" s="5" t="n">
        <v>0.278</v>
      </c>
      <c r="AU122" s="5" t="n">
        <v>0</v>
      </c>
      <c r="AV122" s="5" t="n">
        <v>0</v>
      </c>
      <c r="AW122" s="5" t="n">
        <v>0.593</v>
      </c>
      <c r="AX122" s="5" t="n">
        <v>0.114</v>
      </c>
      <c r="AY122" s="5" t="n">
        <v>-0.355</v>
      </c>
      <c r="AZ122" s="5" t="n">
        <v>0.238</v>
      </c>
      <c r="BA122" s="5" t="n">
        <v>0</v>
      </c>
      <c r="BB122" s="5" t="n">
        <v>0</v>
      </c>
      <c r="BC122" s="5" t="n">
        <v>0.44</v>
      </c>
      <c r="BD122" s="5" t="n">
        <v>0.114</v>
      </c>
      <c r="BE122" s="5" t="n">
        <v>-0.301</v>
      </c>
      <c r="BF122" s="5" t="n">
        <v>0.139</v>
      </c>
      <c r="BG122" s="5" t="n">
        <v>0</v>
      </c>
      <c r="BH122" s="5" t="n">
        <v>0</v>
      </c>
      <c r="BI122" s="5" t="n">
        <v>0.5600000000000001</v>
      </c>
      <c r="BJ122" s="5" t="n">
        <v>0.114</v>
      </c>
      <c r="BK122" s="5" t="n">
        <v>-0.276</v>
      </c>
      <c r="BL122" s="5" t="n">
        <v>0.284</v>
      </c>
      <c r="BM122" s="5" t="n">
        <v>0</v>
      </c>
      <c r="BN122" s="5" t="n">
        <v>0</v>
      </c>
      <c r="BO122" s="5" t="n">
        <v>0</v>
      </c>
      <c r="BP122" s="5" t="n">
        <v>-0.021</v>
      </c>
      <c r="BQ122" s="5" t="n">
        <v>0.046</v>
      </c>
      <c r="BR122" s="5" t="n">
        <v>0</v>
      </c>
      <c r="BS122" s="5" t="n">
        <v>1</v>
      </c>
      <c r="BT122" s="5" t="n">
        <v>0</v>
      </c>
      <c r="BU122" s="5" t="n">
        <v>-0.021</v>
      </c>
      <c r="BV122" s="5" t="n">
        <v>0.076</v>
      </c>
      <c r="BW122" s="5" t="n">
        <v>0</v>
      </c>
      <c r="BX122" s="5" t="n">
        <v>1</v>
      </c>
      <c r="BY122" s="5" t="n">
        <v>11.787</v>
      </c>
      <c r="BZ122" s="5" t="n">
        <v>0</v>
      </c>
      <c r="CA122" s="5" t="n">
        <v>11.787</v>
      </c>
      <c r="CB122" s="5" t="n">
        <v>0</v>
      </c>
      <c r="CC122" s="5" t="n">
        <v>81.69499999999999</v>
      </c>
      <c r="CD122" s="5" t="n">
        <v>7.95</v>
      </c>
      <c r="CE122" s="5" t="n">
        <v>0</v>
      </c>
      <c r="CF122" s="5" t="n">
        <v>81.69499999999999</v>
      </c>
      <c r="CG122" s="5" t="n">
        <v>0</v>
      </c>
      <c r="CH122" s="5" t="n">
        <v>1</v>
      </c>
      <c r="CI122" s="5" t="n">
        <v>0</v>
      </c>
      <c r="CJ122" s="5" t="n">
        <v>0</v>
      </c>
      <c r="CK122" s="5" t="n">
        <v>0</v>
      </c>
      <c r="CL122" s="5" t="n">
        <v>0</v>
      </c>
      <c r="CM122" s="5" t="n">
        <v>0</v>
      </c>
      <c r="CN122" s="5" t="n">
        <v>0</v>
      </c>
      <c r="CO122" s="5" t="n">
        <v>0</v>
      </c>
      <c r="CP122" s="5" t="n">
        <v>0</v>
      </c>
      <c r="CQ122" s="5" t="n">
        <v>1.198</v>
      </c>
      <c r="CR122" s="5" t="n">
        <v>1</v>
      </c>
      <c r="CS122" s="5" t="n">
        <v>2.899</v>
      </c>
      <c r="CT122" s="5" t="n">
        <v>3.604</v>
      </c>
      <c r="CU122" s="5" t="n">
        <v>14.129</v>
      </c>
    </row>
    <row r="123">
      <c r="A123" s="5" t="inlineStr">
        <is>
          <t>BRN2022</t>
        </is>
      </c>
      <c r="B123" s="5" t="inlineStr">
        <is>
          <t>BRN</t>
        </is>
      </c>
      <c r="C123" s="5" t="inlineStr">
        <is>
          <t>BRN</t>
        </is>
      </c>
      <c r="D123" s="5" t="inlineStr">
        <is>
          <t>Brunei Darussalam</t>
        </is>
      </c>
      <c r="E123" s="5" t="n">
        <v>2022</v>
      </c>
      <c r="F123" s="5" t="n">
        <v>0</v>
      </c>
      <c r="G123" s="5" t="n">
        <v>8.788</v>
      </c>
      <c r="H123" s="5" t="n">
        <v>1.235</v>
      </c>
      <c r="I123" s="5" t="n">
        <v>0</v>
      </c>
      <c r="J123" s="5" t="n">
        <v>8.788</v>
      </c>
      <c r="K123" s="5" t="n">
        <v>0</v>
      </c>
      <c r="L123" s="5" t="n">
        <v>1</v>
      </c>
      <c r="M123" s="5" t="n">
        <v>9.782999999999999</v>
      </c>
      <c r="N123" s="5" t="n">
        <v>3.704</v>
      </c>
      <c r="O123" s="5" t="n">
        <v>0</v>
      </c>
      <c r="P123" s="5" t="n">
        <v>9.782999999999999</v>
      </c>
      <c r="Q123" s="5" t="n">
        <v>0</v>
      </c>
      <c r="R123" s="5" t="n">
        <v>1</v>
      </c>
      <c r="S123" s="5" t="n">
        <v>14.962</v>
      </c>
      <c r="T123" s="5" t="n">
        <v>7.408</v>
      </c>
      <c r="U123" s="5" t="n">
        <v>0</v>
      </c>
      <c r="V123" s="5" t="n">
        <v>14.962</v>
      </c>
      <c r="W123" s="5" t="n">
        <v>0</v>
      </c>
      <c r="X123" s="5" t="n">
        <v>1</v>
      </c>
      <c r="Y123" s="5" t="n">
        <v>3.748</v>
      </c>
      <c r="Z123" s="5" t="n">
        <v>0.411</v>
      </c>
      <c r="AA123" s="5" t="n">
        <v>0.845</v>
      </c>
      <c r="AB123" s="5" t="n">
        <v>4.593</v>
      </c>
      <c r="AC123" s="5" t="n">
        <v>0</v>
      </c>
      <c r="AD123" s="5" t="n">
        <v>1</v>
      </c>
      <c r="AE123" s="5" t="n">
        <v>4.366</v>
      </c>
      <c r="AF123" s="5" t="n">
        <v>0.849</v>
      </c>
      <c r="AG123" s="5" t="n">
        <v>0.228</v>
      </c>
      <c r="AH123" s="5" t="n">
        <v>4.593</v>
      </c>
      <c r="AI123" s="5" t="n">
        <v>0</v>
      </c>
      <c r="AJ123" s="5" t="n">
        <v>1</v>
      </c>
      <c r="AK123" s="5" t="n">
        <v>8.07</v>
      </c>
      <c r="AL123" s="5" t="n">
        <v>3.807</v>
      </c>
      <c r="AM123" s="5" t="n">
        <v>-3.476</v>
      </c>
      <c r="AN123" s="5" t="n">
        <v>4.593</v>
      </c>
      <c r="AO123" s="5" t="n">
        <v>0</v>
      </c>
      <c r="AP123" s="5" t="n">
        <v>0</v>
      </c>
      <c r="AQ123" s="5" t="n">
        <v>0.847</v>
      </c>
      <c r="AR123" s="5" t="n">
        <v>0.123</v>
      </c>
      <c r="AS123" s="5" t="n">
        <v>-0.541</v>
      </c>
      <c r="AT123" s="5" t="n">
        <v>0.305</v>
      </c>
      <c r="AU123" s="5" t="n">
        <v>0</v>
      </c>
      <c r="AV123" s="5" t="n">
        <v>0</v>
      </c>
      <c r="AW123" s="5" t="n">
        <v>0.947</v>
      </c>
      <c r="AX123" s="5" t="n">
        <v>0.123</v>
      </c>
      <c r="AY123" s="5" t="n">
        <v>-0.6850000000000001</v>
      </c>
      <c r="AZ123" s="5" t="n">
        <v>0.262</v>
      </c>
      <c r="BA123" s="5" t="n">
        <v>0</v>
      </c>
      <c r="BB123" s="5" t="n">
        <v>0</v>
      </c>
      <c r="BC123" s="5" t="n">
        <v>0.589</v>
      </c>
      <c r="BD123" s="5" t="n">
        <v>0.123</v>
      </c>
      <c r="BE123" s="5" t="n">
        <v>-0.436</v>
      </c>
      <c r="BF123" s="5" t="n">
        <v>0.153</v>
      </c>
      <c r="BG123" s="5" t="n">
        <v>0</v>
      </c>
      <c r="BH123" s="5" t="n">
        <v>0</v>
      </c>
      <c r="BI123" s="5" t="n">
        <v>0.6889999999999999</v>
      </c>
      <c r="BJ123" s="5" t="n">
        <v>0.123</v>
      </c>
      <c r="BK123" s="5" t="n">
        <v>-0.381</v>
      </c>
      <c r="BL123" s="5" t="n">
        <v>0.308</v>
      </c>
      <c r="BM123" s="5" t="n">
        <v>0</v>
      </c>
      <c r="BN123" s="5" t="n">
        <v>0</v>
      </c>
      <c r="BO123" s="5" t="n">
        <v>0</v>
      </c>
      <c r="BP123" s="5" t="n">
        <v>-0.021</v>
      </c>
      <c r="BQ123" s="5" t="n">
        <v>0.049</v>
      </c>
      <c r="BR123" s="5" t="n">
        <v>0</v>
      </c>
      <c r="BS123" s="5" t="n">
        <v>1</v>
      </c>
      <c r="BT123" s="5" t="n">
        <v>0</v>
      </c>
      <c r="BU123" s="5" t="n">
        <v>-0.021</v>
      </c>
      <c r="BV123" s="5" t="n">
        <v>0.082</v>
      </c>
      <c r="BW123" s="5" t="n">
        <v>0</v>
      </c>
      <c r="BX123" s="5" t="n">
        <v>1</v>
      </c>
      <c r="BY123" s="5" t="n">
        <v>12.729</v>
      </c>
      <c r="BZ123" s="5" t="n">
        <v>0</v>
      </c>
      <c r="CA123" s="5" t="n">
        <v>12.729</v>
      </c>
      <c r="CB123" s="5" t="n">
        <v>0</v>
      </c>
      <c r="CC123" s="5" t="n">
        <v>102.477</v>
      </c>
      <c r="CD123" s="5" t="n">
        <v>7.95</v>
      </c>
      <c r="CE123" s="5" t="n">
        <v>0</v>
      </c>
      <c r="CF123" s="5" t="n">
        <v>102.477</v>
      </c>
      <c r="CG123" s="5" t="n">
        <v>0</v>
      </c>
      <c r="CH123" s="5" t="n">
        <v>1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1.294</v>
      </c>
      <c r="CR123" s="5" t="n">
        <v>1</v>
      </c>
      <c r="CS123" s="5" t="n">
        <v>3.131</v>
      </c>
      <c r="CT123" s="5" t="n">
        <v>7.554</v>
      </c>
      <c r="CU123" s="5" t="n">
        <v>28.059</v>
      </c>
    </row>
    <row r="124">
      <c r="A124" s="5" t="inlineStr">
        <is>
          <t>BRN2023</t>
        </is>
      </c>
      <c r="B124" s="5" t="inlineStr">
        <is>
          <t>BRN</t>
        </is>
      </c>
      <c r="C124" s="5" t="inlineStr">
        <is>
          <t>BRN</t>
        </is>
      </c>
      <c r="D124" s="5" t="inlineStr">
        <is>
          <t>Brunei Darussalam</t>
        </is>
      </c>
      <c r="E124" s="5" t="n">
        <v>2023</v>
      </c>
      <c r="F124" s="5" t="n">
        <v>0</v>
      </c>
      <c r="G124" s="5" t="n">
        <v>5.77</v>
      </c>
      <c r="H124" s="5" t="n">
        <v>1.286</v>
      </c>
      <c r="I124" s="5" t="n">
        <v>0</v>
      </c>
      <c r="J124" s="5" t="n">
        <v>5.77</v>
      </c>
      <c r="K124" s="5" t="n">
        <v>0</v>
      </c>
      <c r="L124" s="5" t="n">
        <v>1</v>
      </c>
      <c r="M124" s="5" t="n">
        <v>7.886</v>
      </c>
      <c r="N124" s="5" t="n">
        <v>3.857</v>
      </c>
      <c r="O124" s="5" t="n">
        <v>0</v>
      </c>
      <c r="P124" s="5" t="n">
        <v>7.886</v>
      </c>
      <c r="Q124" s="5" t="n">
        <v>0</v>
      </c>
      <c r="R124" s="5" t="n">
        <v>1</v>
      </c>
      <c r="S124" s="5" t="n">
        <v>12.198</v>
      </c>
      <c r="T124" s="5" t="n">
        <v>7.714</v>
      </c>
      <c r="U124" s="5" t="n">
        <v>0</v>
      </c>
      <c r="V124" s="5" t="n">
        <v>12.198</v>
      </c>
      <c r="W124" s="5" t="n">
        <v>0</v>
      </c>
      <c r="X124" s="5" t="n">
        <v>1</v>
      </c>
      <c r="Y124" s="5" t="n">
        <v>3.903</v>
      </c>
      <c r="Z124" s="5" t="n">
        <v>0.428</v>
      </c>
      <c r="AA124" s="5" t="n">
        <v>0.88</v>
      </c>
      <c r="AB124" s="5" t="n">
        <v>4.783</v>
      </c>
      <c r="AC124" s="5" t="n">
        <v>0</v>
      </c>
      <c r="AD124" s="5" t="n">
        <v>1</v>
      </c>
      <c r="AE124" s="5" t="n">
        <v>4.546</v>
      </c>
      <c r="AF124" s="5" t="n">
        <v>0.884</v>
      </c>
      <c r="AG124" s="5" t="n">
        <v>0.237</v>
      </c>
      <c r="AH124" s="5" t="n">
        <v>4.783</v>
      </c>
      <c r="AI124" s="5" t="n">
        <v>0</v>
      </c>
      <c r="AJ124" s="5" t="n">
        <v>1</v>
      </c>
      <c r="AK124" s="5" t="n">
        <v>8.403</v>
      </c>
      <c r="AL124" s="5" t="n">
        <v>3.964</v>
      </c>
      <c r="AM124" s="5" t="n">
        <v>-3.62</v>
      </c>
      <c r="AN124" s="5" t="n">
        <v>4.783</v>
      </c>
      <c r="AO124" s="5" t="n">
        <v>0</v>
      </c>
      <c r="AP124" s="5" t="n">
        <v>0</v>
      </c>
      <c r="AQ124" s="5" t="n">
        <v>0.749</v>
      </c>
      <c r="AR124" s="5" t="n">
        <v>0.129</v>
      </c>
      <c r="AS124" s="5" t="n">
        <v>-0.434</v>
      </c>
      <c r="AT124" s="5" t="n">
        <v>0.314</v>
      </c>
      <c r="AU124" s="5" t="n">
        <v>0</v>
      </c>
      <c r="AV124" s="5" t="n">
        <v>0</v>
      </c>
      <c r="AW124" s="5" t="n">
        <v>0.783</v>
      </c>
      <c r="AX124" s="5" t="n">
        <v>0.129</v>
      </c>
      <c r="AY124" s="5" t="n">
        <v>-0.513</v>
      </c>
      <c r="AZ124" s="5" t="n">
        <v>0.269</v>
      </c>
      <c r="BA124" s="5" t="n">
        <v>0</v>
      </c>
      <c r="BB124" s="5" t="n">
        <v>0</v>
      </c>
      <c r="BC124" s="5" t="n">
        <v>0.527</v>
      </c>
      <c r="BD124" s="5" t="n">
        <v>0.129</v>
      </c>
      <c r="BE124" s="5" t="n">
        <v>-0.37</v>
      </c>
      <c r="BF124" s="5" t="n">
        <v>0.157</v>
      </c>
      <c r="BG124" s="5" t="n">
        <v>0</v>
      </c>
      <c r="BH124" s="5" t="n">
        <v>0</v>
      </c>
      <c r="BI124" s="5" t="n">
        <v>0.64</v>
      </c>
      <c r="BJ124" s="5" t="n">
        <v>0.129</v>
      </c>
      <c r="BK124" s="5" t="n">
        <v>-0.32</v>
      </c>
      <c r="BL124" s="5" t="n">
        <v>0.32</v>
      </c>
      <c r="BM124" s="5" t="n">
        <v>0</v>
      </c>
      <c r="BN124" s="5" t="n">
        <v>0</v>
      </c>
      <c r="BO124" s="5" t="n">
        <v>0</v>
      </c>
      <c r="BP124" s="5" t="n">
        <v>-0.021</v>
      </c>
      <c r="BQ124" s="5" t="n">
        <v>0.051</v>
      </c>
      <c r="BR124" s="5" t="n">
        <v>0</v>
      </c>
      <c r="BS124" s="5" t="n">
        <v>1</v>
      </c>
      <c r="BT124" s="5" t="n">
        <v>0</v>
      </c>
      <c r="BU124" s="5" t="n">
        <v>-0.021</v>
      </c>
      <c r="BV124" s="5" t="n">
        <v>0.08500000000000001</v>
      </c>
      <c r="BW124" s="5" t="n">
        <v>0</v>
      </c>
      <c r="BX124" s="5" t="n">
        <v>1</v>
      </c>
      <c r="BY124" s="5" t="n">
        <v>13.254</v>
      </c>
      <c r="BZ124" s="5" t="n">
        <v>0</v>
      </c>
      <c r="CA124" s="5" t="n">
        <v>13.254</v>
      </c>
      <c r="CB124" s="5" t="n">
        <v>0</v>
      </c>
      <c r="CC124" s="5" t="n">
        <v>87.07899999999999</v>
      </c>
      <c r="CD124" s="5" t="n">
        <v>7.95</v>
      </c>
      <c r="CE124" s="5" t="n">
        <v>0</v>
      </c>
      <c r="CF124" s="5" t="n">
        <v>87.07899999999999</v>
      </c>
      <c r="CG124" s="5" t="n">
        <v>0</v>
      </c>
      <c r="CH124" s="5" t="n">
        <v>1</v>
      </c>
      <c r="CI124" s="5" t="n">
        <v>0</v>
      </c>
      <c r="CJ124" s="5" t="n">
        <v>0</v>
      </c>
      <c r="CK124" s="5" t="n">
        <v>0</v>
      </c>
      <c r="CL124" s="5" t="n">
        <v>0</v>
      </c>
      <c r="CM124" s="5" t="n">
        <v>0</v>
      </c>
      <c r="CN124" s="5" t="n">
        <v>0</v>
      </c>
      <c r="CO124" s="5" t="n">
        <v>0</v>
      </c>
      <c r="CP124" s="5" t="n">
        <v>0</v>
      </c>
      <c r="CQ124" s="5" t="n">
        <v>1.348</v>
      </c>
      <c r="CR124" s="5" t="n">
        <v>1</v>
      </c>
      <c r="CS124" s="5" t="n">
        <v>3.26</v>
      </c>
      <c r="CT124" s="5" t="n">
        <v>4.484</v>
      </c>
      <c r="CU124" s="5" t="n">
        <v>9.260999999999999</v>
      </c>
    </row>
    <row r="125">
      <c r="A125" s="5" t="inlineStr">
        <is>
          <t>BRN2024</t>
        </is>
      </c>
      <c r="B125" s="5" t="inlineStr">
        <is>
          <t>BRN</t>
        </is>
      </c>
      <c r="C125" s="5" t="inlineStr">
        <is>
          <t>BRN</t>
        </is>
      </c>
      <c r="D125" s="5" t="inlineStr">
        <is>
          <t>Brunei Darussalam</t>
        </is>
      </c>
      <c r="E125" s="5" t="n">
        <v>2024</v>
      </c>
      <c r="F125" s="5" t="n">
        <v>0</v>
      </c>
      <c r="G125" s="5" t="n">
        <v>4.833</v>
      </c>
      <c r="H125" s="5" t="n">
        <v>1.324</v>
      </c>
      <c r="I125" s="5" t="n">
        <v>0</v>
      </c>
      <c r="J125" s="5" t="n">
        <v>4.833</v>
      </c>
      <c r="K125" s="5" t="n">
        <v>0</v>
      </c>
      <c r="L125" s="5" t="n">
        <v>1</v>
      </c>
      <c r="M125" s="5" t="n">
        <v>7.124</v>
      </c>
      <c r="N125" s="5" t="n">
        <v>3.971</v>
      </c>
      <c r="O125" s="5" t="n">
        <v>0</v>
      </c>
      <c r="P125" s="5" t="n">
        <v>7.124</v>
      </c>
      <c r="Q125" s="5" t="n">
        <v>0</v>
      </c>
      <c r="R125" s="5" t="n">
        <v>1</v>
      </c>
      <c r="S125" s="5" t="n">
        <v>11.451</v>
      </c>
      <c r="T125" s="5" t="n">
        <v>7.942</v>
      </c>
      <c r="U125" s="5" t="n">
        <v>0</v>
      </c>
      <c r="V125" s="5" t="n">
        <v>11.451</v>
      </c>
      <c r="W125" s="5" t="n">
        <v>0</v>
      </c>
      <c r="X125" s="5" t="n">
        <v>1</v>
      </c>
      <c r="Y125" s="5" t="n">
        <v>4.018</v>
      </c>
      <c r="Z125" s="5" t="n">
        <v>0.441</v>
      </c>
      <c r="AA125" s="5" t="n">
        <v>0.906</v>
      </c>
      <c r="AB125" s="5" t="n">
        <v>4.924</v>
      </c>
      <c r="AC125" s="5" t="n">
        <v>0</v>
      </c>
      <c r="AD125" s="5" t="n">
        <v>1</v>
      </c>
      <c r="AE125" s="5" t="n">
        <v>4.68</v>
      </c>
      <c r="AF125" s="5" t="n">
        <v>0.91</v>
      </c>
      <c r="AG125" s="5" t="n">
        <v>0.244</v>
      </c>
      <c r="AH125" s="5" t="n">
        <v>4.924</v>
      </c>
      <c r="AI125" s="5" t="n">
        <v>0</v>
      </c>
      <c r="AJ125" s="5" t="n">
        <v>1</v>
      </c>
      <c r="AK125" s="5" t="n">
        <v>8.651</v>
      </c>
      <c r="AL125" s="5" t="n">
        <v>4.081</v>
      </c>
      <c r="AM125" s="5" t="n">
        <v>-3.727</v>
      </c>
      <c r="AN125" s="5" t="n">
        <v>4.924</v>
      </c>
      <c r="AO125" s="5" t="n">
        <v>0</v>
      </c>
      <c r="AP125" s="5" t="n">
        <v>0</v>
      </c>
      <c r="AQ125" s="5" t="n">
        <v>0.72</v>
      </c>
      <c r="AR125" s="5" t="n">
        <v>0.132</v>
      </c>
      <c r="AS125" s="5" t="n">
        <v>-0.398</v>
      </c>
      <c r="AT125" s="5" t="n">
        <v>0.322</v>
      </c>
      <c r="AU125" s="5" t="n">
        <v>0</v>
      </c>
      <c r="AV125" s="5" t="n">
        <v>0</v>
      </c>
      <c r="AW125" s="5" t="n">
        <v>0.734</v>
      </c>
      <c r="AX125" s="5" t="n">
        <v>0.132</v>
      </c>
      <c r="AY125" s="5" t="n">
        <v>-0.457</v>
      </c>
      <c r="AZ125" s="5" t="n">
        <v>0.276</v>
      </c>
      <c r="BA125" s="5" t="n">
        <v>0</v>
      </c>
      <c r="BB125" s="5" t="n">
        <v>0</v>
      </c>
      <c r="BC125" s="5" t="n">
        <v>0.51</v>
      </c>
      <c r="BD125" s="5" t="n">
        <v>0.132</v>
      </c>
      <c r="BE125" s="5" t="n">
        <v>-0.349</v>
      </c>
      <c r="BF125" s="5" t="n">
        <v>0.161</v>
      </c>
      <c r="BG125" s="5" t="n">
        <v>0</v>
      </c>
      <c r="BH125" s="5" t="n">
        <v>0</v>
      </c>
      <c r="BI125" s="5" t="n">
        <v>0.652</v>
      </c>
      <c r="BJ125" s="5" t="n">
        <v>0.132</v>
      </c>
      <c r="BK125" s="5" t="n">
        <v>-0.323</v>
      </c>
      <c r="BL125" s="5" t="n">
        <v>0.329</v>
      </c>
      <c r="BM125" s="5" t="n">
        <v>0</v>
      </c>
      <c r="BN125" s="5" t="n">
        <v>0</v>
      </c>
      <c r="BO125" s="5" t="n">
        <v>0</v>
      </c>
      <c r="BP125" s="5" t="n">
        <v>-0.022</v>
      </c>
      <c r="BQ125" s="5" t="n">
        <v>0.053</v>
      </c>
      <c r="BR125" s="5" t="n">
        <v>0</v>
      </c>
      <c r="BS125" s="5" t="n">
        <v>1</v>
      </c>
      <c r="BT125" s="5" t="n">
        <v>0</v>
      </c>
      <c r="BU125" s="5" t="n">
        <v>-0.022</v>
      </c>
      <c r="BV125" s="5" t="n">
        <v>0.08799999999999999</v>
      </c>
      <c r="BW125" s="5" t="n">
        <v>0</v>
      </c>
      <c r="BX125" s="5" t="n">
        <v>1</v>
      </c>
      <c r="BY125" s="5" t="n">
        <v>13.646</v>
      </c>
      <c r="BZ125" s="5" t="n">
        <v>0</v>
      </c>
      <c r="CA125" s="5" t="n">
        <v>13.646</v>
      </c>
      <c r="CB125" s="5" t="n">
        <v>0</v>
      </c>
      <c r="CC125" s="5" t="n">
        <v>86.38500000000001</v>
      </c>
      <c r="CD125" s="5" t="n">
        <v>7.95</v>
      </c>
      <c r="CE125" s="5" t="n">
        <v>0</v>
      </c>
      <c r="CF125" s="5" t="n">
        <v>86.38500000000001</v>
      </c>
      <c r="CG125" s="5" t="n">
        <v>0</v>
      </c>
      <c r="CH125" s="5" t="n">
        <v>1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0</v>
      </c>
      <c r="CN125" s="5" t="n">
        <v>0</v>
      </c>
      <c r="CO125" s="5" t="n">
        <v>0</v>
      </c>
      <c r="CP125" s="5" t="n">
        <v>0</v>
      </c>
      <c r="CQ125" s="5" t="n">
        <v>1.387</v>
      </c>
      <c r="CR125" s="5" t="n">
        <v>1</v>
      </c>
      <c r="CS125" s="5" t="n">
        <v>3.356</v>
      </c>
      <c r="CT125" s="5" t="n">
        <v>3.509</v>
      </c>
      <c r="CU125" s="5" t="n">
        <v>7.598</v>
      </c>
    </row>
    <row r="126">
      <c r="A126" s="5" t="inlineStr">
        <is>
          <t>BGR2021</t>
        </is>
      </c>
      <c r="B126" s="5" t="inlineStr">
        <is>
          <t>BGR</t>
        </is>
      </c>
      <c r="C126" s="5" t="inlineStr">
        <is>
          <t>BGR</t>
        </is>
      </c>
      <c r="D126" s="5" t="inlineStr">
        <is>
          <t>Bulgaria</t>
        </is>
      </c>
      <c r="E126" s="5" t="n">
        <v>2021</v>
      </c>
      <c r="F126" s="5" t="n">
        <v>0.2</v>
      </c>
      <c r="G126" s="5" t="n">
        <v>5.895</v>
      </c>
      <c r="H126" s="5" t="n">
        <v>1.29</v>
      </c>
      <c r="I126" s="5" t="n">
        <v>1.782</v>
      </c>
      <c r="J126" s="5" t="n">
        <v>7.676</v>
      </c>
      <c r="K126" s="5" t="n">
        <v>0</v>
      </c>
      <c r="L126" s="5" t="n">
        <v>1</v>
      </c>
      <c r="M126" s="5" t="n">
        <v>5.998</v>
      </c>
      <c r="N126" s="5" t="n">
        <v>2.719</v>
      </c>
      <c r="O126" s="5" t="n">
        <v>1.721</v>
      </c>
      <c r="P126" s="5" t="n">
        <v>7.72</v>
      </c>
      <c r="Q126" s="5" t="n">
        <v>0</v>
      </c>
      <c r="R126" s="5" t="n">
        <v>1</v>
      </c>
      <c r="S126" s="5" t="n">
        <v>4.822</v>
      </c>
      <c r="T126" s="5" t="n">
        <v>2.988</v>
      </c>
      <c r="U126" s="5" t="n">
        <v>0.295</v>
      </c>
      <c r="V126" s="5" t="n">
        <v>6.141</v>
      </c>
      <c r="W126" s="5" t="n">
        <v>0.2</v>
      </c>
      <c r="X126" s="5" t="n">
        <v>1</v>
      </c>
      <c r="Y126" s="5" t="n">
        <v>18.292</v>
      </c>
      <c r="Z126" s="5" t="n">
        <v>2.02</v>
      </c>
      <c r="AA126" s="5" t="n">
        <v>-4.869</v>
      </c>
      <c r="AB126" s="5" t="n">
        <v>13.423</v>
      </c>
      <c r="AC126" s="5" t="n">
        <v>0</v>
      </c>
      <c r="AD126" s="5" t="n">
        <v>1</v>
      </c>
      <c r="AE126" s="5" t="n">
        <v>18.248</v>
      </c>
      <c r="AF126" s="5" t="n">
        <v>3.591</v>
      </c>
      <c r="AG126" s="5" t="n">
        <v>-4.825</v>
      </c>
      <c r="AH126" s="5" t="n">
        <v>13.423</v>
      </c>
      <c r="AI126" s="5" t="n">
        <v>0</v>
      </c>
      <c r="AJ126" s="5" t="n">
        <v>1</v>
      </c>
      <c r="AK126" s="5" t="n">
        <v>21.611</v>
      </c>
      <c r="AL126" s="5" t="n">
        <v>10.607</v>
      </c>
      <c r="AM126" s="5" t="n">
        <v>-8.42</v>
      </c>
      <c r="AN126" s="5" t="n">
        <v>17.664</v>
      </c>
      <c r="AO126" s="5" t="n">
        <v>0.339</v>
      </c>
      <c r="AP126" s="5" t="n">
        <v>1</v>
      </c>
      <c r="AQ126" s="5" t="n">
        <v>0.619</v>
      </c>
      <c r="AR126" s="5" t="n">
        <v>0.114</v>
      </c>
      <c r="AS126" s="5" t="n">
        <v>0.441</v>
      </c>
      <c r="AT126" s="5" t="n">
        <v>1.273</v>
      </c>
      <c r="AU126" s="5" t="n">
        <v>0.2</v>
      </c>
      <c r="AV126" s="5" t="n">
        <v>1</v>
      </c>
      <c r="AW126" s="5" t="n">
        <v>0.599</v>
      </c>
      <c r="AX126" s="5" t="n">
        <v>0.114</v>
      </c>
      <c r="AY126" s="5" t="n">
        <v>0.45</v>
      </c>
      <c r="AZ126" s="5" t="n">
        <v>1.26</v>
      </c>
      <c r="BA126" s="5" t="n">
        <v>0.2</v>
      </c>
      <c r="BB126" s="5" t="n">
        <v>1</v>
      </c>
      <c r="BC126" s="5" t="n">
        <v>0.439</v>
      </c>
      <c r="BD126" s="5" t="n">
        <v>0.114</v>
      </c>
      <c r="BE126" s="5" t="n">
        <v>0.108</v>
      </c>
      <c r="BF126" s="5" t="n">
        <v>0.657</v>
      </c>
      <c r="BG126" s="5" t="n">
        <v>0.2</v>
      </c>
      <c r="BH126" s="5" t="n">
        <v>1</v>
      </c>
      <c r="BI126" s="5" t="n">
        <v>0.505</v>
      </c>
      <c r="BJ126" s="5" t="n">
        <v>0.114</v>
      </c>
      <c r="BK126" s="5" t="n">
        <v>0.509</v>
      </c>
      <c r="BL126" s="5" t="n">
        <v>1.216</v>
      </c>
      <c r="BM126" s="5" t="n">
        <v>0.2</v>
      </c>
      <c r="BN126" s="5" t="n">
        <v>1</v>
      </c>
      <c r="BO126" s="5" t="n">
        <v>0</v>
      </c>
      <c r="BP126" s="5" t="n">
        <v>-0.004</v>
      </c>
      <c r="BQ126" s="5" t="n">
        <v>0.133</v>
      </c>
      <c r="BR126" s="5" t="n">
        <v>0</v>
      </c>
      <c r="BS126" s="5" t="n">
        <v>1</v>
      </c>
      <c r="BT126" s="5" t="n">
        <v>0</v>
      </c>
      <c r="BU126" s="5" t="n">
        <v>0</v>
      </c>
      <c r="BV126" s="5" t="n">
        <v>0.125</v>
      </c>
      <c r="BW126" s="5" t="n">
        <v>0.295</v>
      </c>
      <c r="BX126" s="5" t="n">
        <v>1</v>
      </c>
      <c r="BY126" s="5" t="n">
        <v>11.787</v>
      </c>
      <c r="BZ126" s="5" t="n">
        <v>0</v>
      </c>
      <c r="CA126" s="5" t="n">
        <v>11.787</v>
      </c>
      <c r="CB126" s="5" t="n">
        <v>0</v>
      </c>
      <c r="CC126" s="5" t="n">
        <v>78.125</v>
      </c>
      <c r="CD126" s="5" t="n">
        <v>7.95</v>
      </c>
      <c r="CE126" s="5" t="n">
        <v>80.877</v>
      </c>
      <c r="CF126" s="5" t="n">
        <v>190.803</v>
      </c>
      <c r="CG126" s="5" t="n">
        <v>0.2</v>
      </c>
      <c r="CH126" s="5" t="n">
        <v>1</v>
      </c>
      <c r="CI126" s="5" t="n">
        <v>0</v>
      </c>
      <c r="CJ126" s="5" t="n">
        <v>0</v>
      </c>
      <c r="CK126" s="5" t="n">
        <v>0</v>
      </c>
      <c r="CL126" s="5" t="n">
        <v>0.075</v>
      </c>
      <c r="CM126" s="5" t="n">
        <v>0</v>
      </c>
      <c r="CN126" s="5" t="n">
        <v>0.066</v>
      </c>
      <c r="CO126" s="5" t="n">
        <v>0</v>
      </c>
      <c r="CP126" s="5" t="n">
        <v>0</v>
      </c>
      <c r="CQ126" s="5" t="n">
        <v>1.198</v>
      </c>
      <c r="CR126" s="5" t="n">
        <v>0</v>
      </c>
      <c r="CS126" s="5" t="n">
        <v>4.776</v>
      </c>
      <c r="CT126" s="5" t="n">
        <v>3.867</v>
      </c>
      <c r="CU126" s="5" t="n">
        <v>15.162</v>
      </c>
    </row>
    <row r="127">
      <c r="A127" s="5" t="inlineStr">
        <is>
          <t>BGR2022</t>
        </is>
      </c>
      <c r="B127" s="5" t="inlineStr">
        <is>
          <t>BGR</t>
        </is>
      </c>
      <c r="C127" s="5" t="inlineStr">
        <is>
          <t>BGR</t>
        </is>
      </c>
      <c r="D127" s="5" t="inlineStr">
        <is>
          <t>Bulgaria</t>
        </is>
      </c>
      <c r="E127" s="5" t="n">
        <v>2022</v>
      </c>
      <c r="F127" s="5" t="n">
        <v>0.2</v>
      </c>
      <c r="G127" s="5" t="n">
        <v>6.644</v>
      </c>
      <c r="H127" s="5" t="n">
        <v>1.032</v>
      </c>
      <c r="I127" s="5" t="n">
        <v>8.48</v>
      </c>
      <c r="J127" s="5" t="n">
        <v>15.124</v>
      </c>
      <c r="K127" s="5" t="n">
        <v>0</v>
      </c>
      <c r="L127" s="5" t="n">
        <v>1</v>
      </c>
      <c r="M127" s="5" t="n">
        <v>6.685</v>
      </c>
      <c r="N127" s="5" t="n">
        <v>2.76</v>
      </c>
      <c r="O127" s="5" t="n">
        <v>8.193</v>
      </c>
      <c r="P127" s="5" t="n">
        <v>14.878</v>
      </c>
      <c r="Q127" s="5" t="n">
        <v>0</v>
      </c>
      <c r="R127" s="5" t="n">
        <v>1</v>
      </c>
      <c r="S127" s="5" t="n">
        <v>5.895</v>
      </c>
      <c r="T127" s="5" t="n">
        <v>2.887</v>
      </c>
      <c r="U127" s="5" t="n">
        <v>0.411</v>
      </c>
      <c r="V127" s="5" t="n">
        <v>7.457</v>
      </c>
      <c r="W127" s="5" t="n">
        <v>0.2</v>
      </c>
      <c r="X127" s="5" t="n">
        <v>1</v>
      </c>
      <c r="Y127" s="5" t="n">
        <v>34.547</v>
      </c>
      <c r="Z127" s="5" t="n">
        <v>3.624</v>
      </c>
      <c r="AA127" s="5" t="n">
        <v>-3.662</v>
      </c>
      <c r="AB127" s="5" t="n">
        <v>30.885</v>
      </c>
      <c r="AC127" s="5" t="n">
        <v>0</v>
      </c>
      <c r="AD127" s="5" t="n">
        <v>1</v>
      </c>
      <c r="AE127" s="5" t="n">
        <v>34.595</v>
      </c>
      <c r="AF127" s="5" t="n">
        <v>6.413</v>
      </c>
      <c r="AG127" s="5" t="n">
        <v>-3.71</v>
      </c>
      <c r="AH127" s="5" t="n">
        <v>30.885</v>
      </c>
      <c r="AI127" s="5" t="n">
        <v>0</v>
      </c>
      <c r="AJ127" s="5" t="n">
        <v>1</v>
      </c>
      <c r="AK127" s="5" t="n">
        <v>38.506</v>
      </c>
      <c r="AL127" s="5" t="n">
        <v>18.388</v>
      </c>
      <c r="AM127" s="5" t="n">
        <v>-17.353</v>
      </c>
      <c r="AN127" s="5" t="n">
        <v>28.326</v>
      </c>
      <c r="AO127" s="5" t="n">
        <v>0.339</v>
      </c>
      <c r="AP127" s="5" t="n">
        <v>1</v>
      </c>
      <c r="AQ127" s="5" t="n">
        <v>0.861</v>
      </c>
      <c r="AR127" s="5" t="n">
        <v>0.123</v>
      </c>
      <c r="AS127" s="5" t="n">
        <v>0.423</v>
      </c>
      <c r="AT127" s="5" t="n">
        <v>1.541</v>
      </c>
      <c r="AU127" s="5" t="n">
        <v>0.2</v>
      </c>
      <c r="AV127" s="5" t="n">
        <v>1</v>
      </c>
      <c r="AW127" s="5" t="n">
        <v>0.986</v>
      </c>
      <c r="AX127" s="5" t="n">
        <v>0.123</v>
      </c>
      <c r="AY127" s="5" t="n">
        <v>0.389</v>
      </c>
      <c r="AZ127" s="5" t="n">
        <v>1.65</v>
      </c>
      <c r="BA127" s="5" t="n">
        <v>0.2</v>
      </c>
      <c r="BB127" s="5" t="n">
        <v>1</v>
      </c>
      <c r="BC127" s="5" t="n">
        <v>0.598</v>
      </c>
      <c r="BD127" s="5" t="n">
        <v>0.123</v>
      </c>
      <c r="BE127" s="5" t="n">
        <v>-0.028</v>
      </c>
      <c r="BF127" s="5" t="n">
        <v>0.6840000000000001</v>
      </c>
      <c r="BG127" s="5" t="n">
        <v>0.2</v>
      </c>
      <c r="BH127" s="5" t="n">
        <v>1</v>
      </c>
      <c r="BI127" s="5" t="n">
        <v>0.612</v>
      </c>
      <c r="BJ127" s="5" t="n">
        <v>0.123</v>
      </c>
      <c r="BK127" s="5" t="n">
        <v>0.801</v>
      </c>
      <c r="BL127" s="5" t="n">
        <v>1.696</v>
      </c>
      <c r="BM127" s="5" t="n">
        <v>0.2</v>
      </c>
      <c r="BN127" s="5" t="n">
        <v>1</v>
      </c>
      <c r="BO127" s="5" t="n">
        <v>0</v>
      </c>
      <c r="BP127" s="5" t="n">
        <v>-0.108</v>
      </c>
      <c r="BQ127" s="5" t="n">
        <v>0.171</v>
      </c>
      <c r="BR127" s="5" t="n">
        <v>0</v>
      </c>
      <c r="BS127" s="5" t="n">
        <v>1</v>
      </c>
      <c r="BT127" s="5" t="n">
        <v>0</v>
      </c>
      <c r="BU127" s="5" t="n">
        <v>0</v>
      </c>
      <c r="BV127" s="5" t="n">
        <v>0.118</v>
      </c>
      <c r="BW127" s="5" t="n">
        <v>0.295</v>
      </c>
      <c r="BX127" s="5" t="n">
        <v>1</v>
      </c>
      <c r="BY127" s="5" t="n">
        <v>12.729</v>
      </c>
      <c r="BZ127" s="5" t="n">
        <v>0</v>
      </c>
      <c r="CA127" s="5" t="n">
        <v>12.729</v>
      </c>
      <c r="CB127" s="5" t="n">
        <v>0</v>
      </c>
      <c r="CC127" s="5" t="n">
        <v>97.90000000000001</v>
      </c>
      <c r="CD127" s="5" t="n">
        <v>7.95</v>
      </c>
      <c r="CE127" s="5" t="n">
        <v>150.931</v>
      </c>
      <c r="CF127" s="5" t="n">
        <v>298.597</v>
      </c>
      <c r="CG127" s="5" t="n">
        <v>0.2</v>
      </c>
      <c r="CH127" s="5" t="n">
        <v>1</v>
      </c>
      <c r="CI127" s="5" t="n">
        <v>0</v>
      </c>
      <c r="CJ127" s="5" t="n">
        <v>0</v>
      </c>
      <c r="CK127" s="5" t="n">
        <v>0</v>
      </c>
      <c r="CL127" s="5" t="n">
        <v>0.081</v>
      </c>
      <c r="CM127" s="5" t="n">
        <v>0</v>
      </c>
      <c r="CN127" s="5" t="n">
        <v>0.059</v>
      </c>
      <c r="CO127" s="5" t="n">
        <v>0</v>
      </c>
      <c r="CP127" s="5" t="n">
        <v>0</v>
      </c>
      <c r="CQ127" s="5" t="n">
        <v>1.294</v>
      </c>
      <c r="CR127" s="5" t="n">
        <v>0</v>
      </c>
      <c r="CS127" s="5" t="n">
        <v>5.158</v>
      </c>
      <c r="CT127" s="5" t="n">
        <v>8.077999999999999</v>
      </c>
      <c r="CU127" s="5" t="n">
        <v>31.326</v>
      </c>
    </row>
    <row r="128">
      <c r="A128" s="5" t="inlineStr">
        <is>
          <t>BGR2023</t>
        </is>
      </c>
      <c r="B128" s="5" t="inlineStr">
        <is>
          <t>BGR</t>
        </is>
      </c>
      <c r="C128" s="5" t="inlineStr">
        <is>
          <t>BGR</t>
        </is>
      </c>
      <c r="D128" s="5" t="inlineStr">
        <is>
          <t>Bulgaria</t>
        </is>
      </c>
      <c r="E128" s="5" t="n">
        <v>2023</v>
      </c>
      <c r="F128" s="5" t="n">
        <v>0.2</v>
      </c>
      <c r="G128" s="5" t="n">
        <v>6.249</v>
      </c>
      <c r="H128" s="5" t="n">
        <v>1.423</v>
      </c>
      <c r="I128" s="5" t="n">
        <v>9.827999999999999</v>
      </c>
      <c r="J128" s="5" t="n">
        <v>16.077</v>
      </c>
      <c r="K128" s="5" t="n">
        <v>0</v>
      </c>
      <c r="L128" s="5" t="n">
        <v>1</v>
      </c>
      <c r="M128" s="5" t="n">
        <v>6.392</v>
      </c>
      <c r="N128" s="5" t="n">
        <v>3.17</v>
      </c>
      <c r="O128" s="5" t="n">
        <v>9.638999999999999</v>
      </c>
      <c r="P128" s="5" t="n">
        <v>16.031</v>
      </c>
      <c r="Q128" s="5" t="n">
        <v>0</v>
      </c>
      <c r="R128" s="5" t="n">
        <v>1</v>
      </c>
      <c r="S128" s="5" t="n">
        <v>5.557</v>
      </c>
      <c r="T128" s="5" t="n">
        <v>3.485</v>
      </c>
      <c r="U128" s="5" t="n">
        <v>0.462</v>
      </c>
      <c r="V128" s="5" t="n">
        <v>7.067</v>
      </c>
      <c r="W128" s="5" t="n">
        <v>0.2</v>
      </c>
      <c r="X128" s="5" t="n">
        <v>1</v>
      </c>
      <c r="Y128" s="5" t="n">
        <v>14.895</v>
      </c>
      <c r="Z128" s="5" t="n">
        <v>1.668</v>
      </c>
      <c r="AA128" s="5" t="n">
        <v>7.415</v>
      </c>
      <c r="AB128" s="5" t="n">
        <v>22.31</v>
      </c>
      <c r="AC128" s="5" t="n">
        <v>0</v>
      </c>
      <c r="AD128" s="5" t="n">
        <v>1</v>
      </c>
      <c r="AE128" s="5" t="n">
        <v>14.993</v>
      </c>
      <c r="AF128" s="5" t="n">
        <v>2.986</v>
      </c>
      <c r="AG128" s="5" t="n">
        <v>7.316</v>
      </c>
      <c r="AH128" s="5" t="n">
        <v>22.31</v>
      </c>
      <c r="AI128" s="5" t="n">
        <v>0</v>
      </c>
      <c r="AJ128" s="5" t="n">
        <v>1</v>
      </c>
      <c r="AK128" s="5" t="n">
        <v>19.21</v>
      </c>
      <c r="AL128" s="5" t="n">
        <v>9.516</v>
      </c>
      <c r="AM128" s="5" t="n">
        <v>-1.472</v>
      </c>
      <c r="AN128" s="5" t="n">
        <v>23.754</v>
      </c>
      <c r="AO128" s="5" t="n">
        <v>0.339</v>
      </c>
      <c r="AP128" s="5" t="n">
        <v>1</v>
      </c>
      <c r="AQ128" s="5" t="n">
        <v>0.76</v>
      </c>
      <c r="AR128" s="5" t="n">
        <v>0.129</v>
      </c>
      <c r="AS128" s="5" t="n">
        <v>0.445</v>
      </c>
      <c r="AT128" s="5" t="n">
        <v>1.446</v>
      </c>
      <c r="AU128" s="5" t="n">
        <v>0.2</v>
      </c>
      <c r="AV128" s="5" t="n">
        <v>1</v>
      </c>
      <c r="AW128" s="5" t="n">
        <v>0.8110000000000001</v>
      </c>
      <c r="AX128" s="5" t="n">
        <v>0.129</v>
      </c>
      <c r="AY128" s="5" t="n">
        <v>0.422</v>
      </c>
      <c r="AZ128" s="5" t="n">
        <v>1.48</v>
      </c>
      <c r="BA128" s="5" t="n">
        <v>0.2</v>
      </c>
      <c r="BB128" s="5" t="n">
        <v>1</v>
      </c>
      <c r="BC128" s="5" t="n">
        <v>0.535</v>
      </c>
      <c r="BD128" s="5" t="n">
        <v>0.129</v>
      </c>
      <c r="BE128" s="5" t="n">
        <v>-0.036</v>
      </c>
      <c r="BF128" s="5" t="n">
        <v>0.599</v>
      </c>
      <c r="BG128" s="5" t="n">
        <v>0.2</v>
      </c>
      <c r="BH128" s="5" t="n">
        <v>1</v>
      </c>
      <c r="BI128" s="5" t="n">
        <v>0.579</v>
      </c>
      <c r="BJ128" s="5" t="n">
        <v>0.129</v>
      </c>
      <c r="BK128" s="5" t="n">
        <v>0.876</v>
      </c>
      <c r="BL128" s="5" t="n">
        <v>1.708</v>
      </c>
      <c r="BM128" s="5" t="n">
        <v>0.2</v>
      </c>
      <c r="BN128" s="5" t="n">
        <v>1</v>
      </c>
      <c r="BO128" s="5" t="n">
        <v>0</v>
      </c>
      <c r="BP128" s="5" t="n">
        <v>-0.005</v>
      </c>
      <c r="BQ128" s="5" t="n">
        <v>0.15</v>
      </c>
      <c r="BR128" s="5" t="n">
        <v>0</v>
      </c>
      <c r="BS128" s="5" t="n">
        <v>1</v>
      </c>
      <c r="BT128" s="5" t="n">
        <v>0</v>
      </c>
      <c r="BU128" s="5" t="n">
        <v>0</v>
      </c>
      <c r="BV128" s="5" t="n">
        <v>0.126</v>
      </c>
      <c r="BW128" s="5" t="n">
        <v>0.295</v>
      </c>
      <c r="BX128" s="5" t="n">
        <v>1</v>
      </c>
      <c r="BY128" s="5" t="n">
        <v>13.254</v>
      </c>
      <c r="BZ128" s="5" t="n">
        <v>0</v>
      </c>
      <c r="CA128" s="5" t="n">
        <v>13.254</v>
      </c>
      <c r="CB128" s="5" t="n">
        <v>0</v>
      </c>
      <c r="CC128" s="5" t="n">
        <v>83.248</v>
      </c>
      <c r="CD128" s="5" t="n">
        <v>7.95</v>
      </c>
      <c r="CE128" s="5" t="n">
        <v>131.156</v>
      </c>
      <c r="CF128" s="5" t="n">
        <v>257.285</v>
      </c>
      <c r="CG128" s="5" t="n">
        <v>0.2</v>
      </c>
      <c r="CH128" s="5" t="n">
        <v>1</v>
      </c>
      <c r="CI128" s="5" t="n">
        <v>0</v>
      </c>
      <c r="CJ128" s="5" t="n">
        <v>0</v>
      </c>
      <c r="CK128" s="5" t="n">
        <v>0</v>
      </c>
      <c r="CL128" s="5" t="n">
        <v>0.08400000000000001</v>
      </c>
      <c r="CM128" s="5" t="n">
        <v>0</v>
      </c>
      <c r="CN128" s="5" t="n">
        <v>0.052</v>
      </c>
      <c r="CO128" s="5" t="n">
        <v>0</v>
      </c>
      <c r="CP128" s="5" t="n">
        <v>0</v>
      </c>
      <c r="CQ128" s="5" t="n">
        <v>1.348</v>
      </c>
      <c r="CR128" s="5" t="n">
        <v>0</v>
      </c>
      <c r="CS128" s="5" t="n">
        <v>5.37</v>
      </c>
      <c r="CT128" s="5" t="n">
        <v>5.402</v>
      </c>
      <c r="CU128" s="5" t="n">
        <v>11.622</v>
      </c>
    </row>
    <row r="129">
      <c r="A129" s="5" t="inlineStr">
        <is>
          <t>BGR2024</t>
        </is>
      </c>
      <c r="B129" s="5" t="inlineStr">
        <is>
          <t>BGR</t>
        </is>
      </c>
      <c r="C129" s="5" t="inlineStr">
        <is>
          <t>BGR</t>
        </is>
      </c>
      <c r="D129" s="5" t="inlineStr">
        <is>
          <t>Bulgaria</t>
        </is>
      </c>
      <c r="E129" s="5" t="n">
        <v>2024</v>
      </c>
      <c r="F129" s="5" t="n">
        <v>0.2</v>
      </c>
      <c r="G129" s="5" t="n">
        <v>6.181</v>
      </c>
      <c r="H129" s="5" t="n">
        <v>1.566</v>
      </c>
      <c r="I129" s="5" t="n">
        <v>6.441</v>
      </c>
      <c r="J129" s="5" t="n">
        <v>12.622</v>
      </c>
      <c r="K129" s="5" t="n">
        <v>0</v>
      </c>
      <c r="L129" s="5" t="n">
        <v>1</v>
      </c>
      <c r="M129" s="5" t="n">
        <v>6.545</v>
      </c>
      <c r="N129" s="5" t="n">
        <v>3.565</v>
      </c>
      <c r="O129" s="5" t="n">
        <v>6.366</v>
      </c>
      <c r="P129" s="5" t="n">
        <v>12.911</v>
      </c>
      <c r="Q129" s="5" t="n">
        <v>0</v>
      </c>
      <c r="R129" s="5" t="n">
        <v>1</v>
      </c>
      <c r="S129" s="5" t="n">
        <v>5.594</v>
      </c>
      <c r="T129" s="5" t="n">
        <v>3.703</v>
      </c>
      <c r="U129" s="5" t="n">
        <v>0.504</v>
      </c>
      <c r="V129" s="5" t="n">
        <v>7.123</v>
      </c>
      <c r="W129" s="5" t="n">
        <v>0.2</v>
      </c>
      <c r="X129" s="5" t="n">
        <v>1</v>
      </c>
      <c r="Y129" s="5" t="n">
        <v>12.466</v>
      </c>
      <c r="Z129" s="5" t="n">
        <v>1.574</v>
      </c>
      <c r="AA129" s="5" t="n">
        <v>3.964</v>
      </c>
      <c r="AB129" s="5" t="n">
        <v>16.43</v>
      </c>
      <c r="AC129" s="5" t="n">
        <v>0</v>
      </c>
      <c r="AD129" s="5" t="n">
        <v>1</v>
      </c>
      <c r="AE129" s="5" t="n">
        <v>12.466</v>
      </c>
      <c r="AF129" s="5" t="n">
        <v>2.731</v>
      </c>
      <c r="AG129" s="5" t="n">
        <v>3.964</v>
      </c>
      <c r="AH129" s="5" t="n">
        <v>16.43</v>
      </c>
      <c r="AI129" s="5" t="n">
        <v>0</v>
      </c>
      <c r="AJ129" s="5" t="n">
        <v>1</v>
      </c>
      <c r="AK129" s="5" t="n">
        <v>16.238</v>
      </c>
      <c r="AL129" s="5" t="n">
        <v>8.259</v>
      </c>
      <c r="AM129" s="5" t="n">
        <v>-2.003</v>
      </c>
      <c r="AN129" s="5" t="n">
        <v>19.063</v>
      </c>
      <c r="AO129" s="5" t="n">
        <v>0.339</v>
      </c>
      <c r="AP129" s="5" t="n">
        <v>1</v>
      </c>
      <c r="AQ129" s="5" t="n">
        <v>0.724</v>
      </c>
      <c r="AR129" s="5" t="n">
        <v>0.132</v>
      </c>
      <c r="AS129" s="5" t="n">
        <v>0.458</v>
      </c>
      <c r="AT129" s="5" t="n">
        <v>1.419</v>
      </c>
      <c r="AU129" s="5" t="n">
        <v>0.2</v>
      </c>
      <c r="AV129" s="5" t="n">
        <v>1</v>
      </c>
      <c r="AW129" s="5" t="n">
        <v>0.75</v>
      </c>
      <c r="AX129" s="5" t="n">
        <v>0.132</v>
      </c>
      <c r="AY129" s="5" t="n">
        <v>0.431</v>
      </c>
      <c r="AZ129" s="5" t="n">
        <v>1.417</v>
      </c>
      <c r="BA129" s="5" t="n">
        <v>0.2</v>
      </c>
      <c r="BB129" s="5" t="n">
        <v>1</v>
      </c>
      <c r="BC129" s="5" t="n">
        <v>0.513</v>
      </c>
      <c r="BD129" s="5" t="n">
        <v>0.132</v>
      </c>
      <c r="BE129" s="5" t="n">
        <v>0.037</v>
      </c>
      <c r="BF129" s="5" t="n">
        <v>0.66</v>
      </c>
      <c r="BG129" s="5" t="n">
        <v>0.2</v>
      </c>
      <c r="BH129" s="5" t="n">
        <v>1</v>
      </c>
      <c r="BI129" s="5" t="n">
        <v>0.591</v>
      </c>
      <c r="BJ129" s="5" t="n">
        <v>0.132</v>
      </c>
      <c r="BK129" s="5" t="n">
        <v>0.91</v>
      </c>
      <c r="BL129" s="5" t="n">
        <v>1.754</v>
      </c>
      <c r="BM129" s="5" t="n">
        <v>0.2</v>
      </c>
      <c r="BN129" s="5" t="n">
        <v>1</v>
      </c>
      <c r="BO129" s="5" t="n">
        <v>0</v>
      </c>
      <c r="BP129" s="5" t="n">
        <v>-0.013</v>
      </c>
      <c r="BQ129" s="5" t="n">
        <v>0.126</v>
      </c>
      <c r="BR129" s="5" t="n">
        <v>0</v>
      </c>
      <c r="BS129" s="5" t="n">
        <v>1</v>
      </c>
      <c r="BT129" s="5" t="n">
        <v>0</v>
      </c>
      <c r="BU129" s="5" t="n">
        <v>0</v>
      </c>
      <c r="BV129" s="5" t="n">
        <v>0.13</v>
      </c>
      <c r="BW129" s="5" t="n">
        <v>0.295</v>
      </c>
      <c r="BX129" s="5" t="n">
        <v>1</v>
      </c>
      <c r="BY129" s="5" t="n">
        <v>13.646</v>
      </c>
      <c r="BZ129" s="5" t="n">
        <v>0</v>
      </c>
      <c r="CA129" s="5" t="n">
        <v>13.646</v>
      </c>
      <c r="CB129" s="5" t="n">
        <v>0</v>
      </c>
      <c r="CC129" s="5" t="n">
        <v>82.58799999999999</v>
      </c>
      <c r="CD129" s="5" t="n">
        <v>7.95</v>
      </c>
      <c r="CE129" s="5" t="n">
        <v>141.49</v>
      </c>
      <c r="CF129" s="5" t="n">
        <v>261.762</v>
      </c>
      <c r="CG129" s="5" t="n">
        <v>0.2</v>
      </c>
      <c r="CH129" s="5" t="n">
        <v>1</v>
      </c>
      <c r="CI129" s="5" t="n">
        <v>0</v>
      </c>
      <c r="CJ129" s="5" t="n">
        <v>0</v>
      </c>
      <c r="CK129" s="5" t="n">
        <v>0</v>
      </c>
      <c r="CL129" s="5" t="n">
        <v>0.08699999999999999</v>
      </c>
      <c r="CM129" s="5" t="n">
        <v>0</v>
      </c>
      <c r="CN129" s="5" t="n">
        <v>0.045</v>
      </c>
      <c r="CO129" s="5" t="n">
        <v>0</v>
      </c>
      <c r="CP129" s="5" t="n">
        <v>0</v>
      </c>
      <c r="CQ129" s="5" t="n">
        <v>1.387</v>
      </c>
      <c r="CR129" s="5" t="n">
        <v>0</v>
      </c>
      <c r="CS129" s="5" t="n">
        <v>5.529</v>
      </c>
      <c r="CT129" s="5" t="n">
        <v>4.174</v>
      </c>
      <c r="CU129" s="5" t="n">
        <v>10.168</v>
      </c>
    </row>
    <row r="130">
      <c r="A130" s="5" t="inlineStr">
        <is>
          <t>BFA2021</t>
        </is>
      </c>
      <c r="B130" s="5" t="inlineStr">
        <is>
          <t>BFA</t>
        </is>
      </c>
      <c r="C130" s="5" t="inlineStr">
        <is>
          <t>BFA</t>
        </is>
      </c>
      <c r="D130" s="5" t="inlineStr">
        <is>
          <t>Burkina Faso</t>
        </is>
      </c>
      <c r="E130" s="5" t="n">
        <v>2021</v>
      </c>
      <c r="F130" s="5" t="n">
        <v>0.18</v>
      </c>
      <c r="G130" s="5" t="n">
        <v>5.897</v>
      </c>
      <c r="H130" s="5" t="n">
        <v>1.143</v>
      </c>
      <c r="I130" s="5" t="n">
        <v>0</v>
      </c>
      <c r="J130" s="5" t="n">
        <v>5.897</v>
      </c>
      <c r="K130" s="5" t="n">
        <v>0</v>
      </c>
      <c r="L130" s="5" t="n">
        <v>1</v>
      </c>
      <c r="M130" s="5" t="n">
        <v>7.964</v>
      </c>
      <c r="N130" s="5" t="n">
        <v>3.43</v>
      </c>
      <c r="O130" s="5" t="n">
        <v>0</v>
      </c>
      <c r="P130" s="5" t="n">
        <v>7.964</v>
      </c>
      <c r="Q130" s="5" t="n">
        <v>0</v>
      </c>
      <c r="R130" s="5" t="n">
        <v>1</v>
      </c>
      <c r="S130" s="5" t="n">
        <v>11.613</v>
      </c>
      <c r="T130" s="5" t="n">
        <v>6.86</v>
      </c>
      <c r="U130" s="5" t="n">
        <v>-2.985</v>
      </c>
      <c r="V130" s="5" t="n">
        <v>10.182</v>
      </c>
      <c r="W130" s="5" t="n">
        <v>0.18</v>
      </c>
      <c r="X130" s="5" t="n">
        <v>0</v>
      </c>
      <c r="Y130" s="5" t="n">
        <v>5.919</v>
      </c>
      <c r="Z130" s="5" t="n">
        <v>0.8</v>
      </c>
      <c r="AA130" s="5" t="n">
        <v>0</v>
      </c>
      <c r="AB130" s="5" t="n">
        <v>5.919</v>
      </c>
      <c r="AC130" s="5" t="n">
        <v>0</v>
      </c>
      <c r="AD130" s="5" t="n">
        <v>1</v>
      </c>
      <c r="AE130" s="5" t="n">
        <v>7.062</v>
      </c>
      <c r="AF130" s="5" t="n">
        <v>1.651</v>
      </c>
      <c r="AG130" s="5" t="n">
        <v>0</v>
      </c>
      <c r="AH130" s="5" t="n">
        <v>7.062</v>
      </c>
      <c r="AI130" s="5" t="n">
        <v>0</v>
      </c>
      <c r="AJ130" s="5" t="n">
        <v>1</v>
      </c>
      <c r="AK130" s="5" t="n">
        <v>13.922</v>
      </c>
      <c r="AL130" s="5" t="n">
        <v>7.415</v>
      </c>
      <c r="AM130" s="5" t="n">
        <v>0</v>
      </c>
      <c r="AN130" s="5" t="n">
        <v>16.428</v>
      </c>
      <c r="AO130" s="5" t="n">
        <v>0.18</v>
      </c>
      <c r="AP130" s="5" t="n">
        <v>1</v>
      </c>
      <c r="AQ130" s="5" t="n">
        <v>0.619</v>
      </c>
      <c r="AR130" s="5" t="n">
        <v>0.114</v>
      </c>
      <c r="AS130" s="5" t="n">
        <v>0.321</v>
      </c>
      <c r="AT130" s="5" t="n">
        <v>1.109</v>
      </c>
      <c r="AU130" s="5" t="n">
        <v>0.18</v>
      </c>
      <c r="AV130" s="5" t="n">
        <v>1</v>
      </c>
      <c r="AW130" s="5" t="n">
        <v>0.599</v>
      </c>
      <c r="AX130" s="5" t="n">
        <v>0.114</v>
      </c>
      <c r="AY130" s="5" t="n">
        <v>0.308</v>
      </c>
      <c r="AZ130" s="5" t="n">
        <v>1.071</v>
      </c>
      <c r="BA130" s="5" t="n">
        <v>0.18</v>
      </c>
      <c r="BB130" s="5" t="n">
        <v>1</v>
      </c>
      <c r="BC130" s="5" t="n">
        <v>0.439</v>
      </c>
      <c r="BD130" s="5" t="n">
        <v>0.114</v>
      </c>
      <c r="BE130" s="5" t="n">
        <v>-0.045</v>
      </c>
      <c r="BF130" s="5" t="n">
        <v>0.394</v>
      </c>
      <c r="BG130" s="5" t="n">
        <v>0</v>
      </c>
      <c r="BH130" s="5" t="n">
        <v>0</v>
      </c>
      <c r="BI130" s="5" t="n">
        <v>0.505</v>
      </c>
      <c r="BJ130" s="5" t="n">
        <v>0.114</v>
      </c>
      <c r="BK130" s="5" t="n">
        <v>0.478</v>
      </c>
      <c r="BL130" s="5" t="n">
        <v>0.983</v>
      </c>
      <c r="BM130" s="5" t="n">
        <v>0</v>
      </c>
      <c r="BN130" s="5" t="n">
        <v>1</v>
      </c>
      <c r="BO130" s="5" t="n">
        <v>0</v>
      </c>
      <c r="BP130" s="5" t="n">
        <v>0</v>
      </c>
      <c r="BQ130" s="5" t="n">
        <v>0.48</v>
      </c>
      <c r="BR130" s="5" t="n">
        <v>0</v>
      </c>
      <c r="BS130" s="5" t="n">
        <v>0.833</v>
      </c>
      <c r="BT130" s="5" t="n">
        <v>0</v>
      </c>
      <c r="BU130" s="5" t="n">
        <v>0</v>
      </c>
      <c r="BV130" s="5" t="n">
        <v>0.222</v>
      </c>
      <c r="BW130" s="5" t="n">
        <v>0.18</v>
      </c>
      <c r="BX130" s="5" t="n">
        <v>0.5</v>
      </c>
      <c r="BY130" s="5" t="n">
        <v>11.787</v>
      </c>
      <c r="BZ130" s="5" t="n">
        <v>0</v>
      </c>
      <c r="CA130" s="5" t="n">
        <v>11.787</v>
      </c>
      <c r="CB130" s="5" t="n">
        <v>0</v>
      </c>
      <c r="CC130" s="5" t="n">
        <v>78.125</v>
      </c>
      <c r="CD130" s="5" t="n">
        <v>7.95</v>
      </c>
      <c r="CE130" s="5" t="n">
        <v>52.361</v>
      </c>
      <c r="CF130" s="5" t="n">
        <v>153.973</v>
      </c>
      <c r="CG130" s="5" t="n">
        <v>0.18</v>
      </c>
      <c r="CH130" s="5" t="n">
        <v>1</v>
      </c>
      <c r="CI130" s="5" t="n">
        <v>0</v>
      </c>
      <c r="CJ130" s="5" t="n">
        <v>0</v>
      </c>
      <c r="CK130" s="5" t="n">
        <v>0</v>
      </c>
      <c r="CL130" s="5" t="n">
        <v>0</v>
      </c>
      <c r="CM130" s="5" t="n">
        <v>0</v>
      </c>
      <c r="CN130" s="5" t="n">
        <v>0</v>
      </c>
      <c r="CO130" s="5" t="n">
        <v>0</v>
      </c>
      <c r="CP130" s="5" t="n">
        <v>0</v>
      </c>
      <c r="CQ130" s="5" t="n">
        <v>1.198</v>
      </c>
      <c r="CR130" s="5" t="n">
        <v>0</v>
      </c>
      <c r="CS130" s="5" t="n">
        <v>4.776</v>
      </c>
      <c r="CT130" s="5" t="n">
        <v>4.753</v>
      </c>
      <c r="CU130" s="5" t="n">
        <v>15.162</v>
      </c>
    </row>
    <row r="131">
      <c r="A131" s="5" t="inlineStr">
        <is>
          <t>BFA2022</t>
        </is>
      </c>
      <c r="B131" s="5" t="inlineStr">
        <is>
          <t>BFA</t>
        </is>
      </c>
      <c r="C131" s="5" t="inlineStr">
        <is>
          <t>BFA</t>
        </is>
      </c>
      <c r="D131" s="5" t="inlineStr">
        <is>
          <t>Burkina Faso</t>
        </is>
      </c>
      <c r="E131" s="5" t="n">
        <v>2022</v>
      </c>
      <c r="F131" s="5" t="n">
        <v>0.18</v>
      </c>
      <c r="G131" s="5" t="n">
        <v>11.72</v>
      </c>
      <c r="H131" s="5" t="n">
        <v>1.235</v>
      </c>
      <c r="I131" s="5" t="n">
        <v>0</v>
      </c>
      <c r="J131" s="5" t="n">
        <v>11.72</v>
      </c>
      <c r="K131" s="5" t="n">
        <v>0</v>
      </c>
      <c r="L131" s="5" t="n">
        <v>1</v>
      </c>
      <c r="M131" s="5" t="n">
        <v>9.782999999999999</v>
      </c>
      <c r="N131" s="5" t="n">
        <v>3.704</v>
      </c>
      <c r="O131" s="5" t="n">
        <v>0</v>
      </c>
      <c r="P131" s="5" t="n">
        <v>9.782999999999999</v>
      </c>
      <c r="Q131" s="5" t="n">
        <v>0</v>
      </c>
      <c r="R131" s="5" t="n">
        <v>1</v>
      </c>
      <c r="S131" s="5" t="n">
        <v>17.893</v>
      </c>
      <c r="T131" s="5" t="n">
        <v>7.408</v>
      </c>
      <c r="U131" s="5" t="n">
        <v>-8.252000000000001</v>
      </c>
      <c r="V131" s="5" t="n">
        <v>11.377</v>
      </c>
      <c r="W131" s="5" t="n">
        <v>0.18</v>
      </c>
      <c r="X131" s="5" t="n">
        <v>0</v>
      </c>
      <c r="Y131" s="5" t="n">
        <v>6.392</v>
      </c>
      <c r="Z131" s="5" t="n">
        <v>0.864</v>
      </c>
      <c r="AA131" s="5" t="n">
        <v>0</v>
      </c>
      <c r="AB131" s="5" t="n">
        <v>6.392</v>
      </c>
      <c r="AC131" s="5" t="n">
        <v>0</v>
      </c>
      <c r="AD131" s="5" t="n">
        <v>1</v>
      </c>
      <c r="AE131" s="5" t="n">
        <v>7.627</v>
      </c>
      <c r="AF131" s="5" t="n">
        <v>1.783</v>
      </c>
      <c r="AG131" s="5" t="n">
        <v>0</v>
      </c>
      <c r="AH131" s="5" t="n">
        <v>7.627</v>
      </c>
      <c r="AI131" s="5" t="n">
        <v>0</v>
      </c>
      <c r="AJ131" s="5" t="n">
        <v>1</v>
      </c>
      <c r="AK131" s="5" t="n">
        <v>15.035</v>
      </c>
      <c r="AL131" s="5" t="n">
        <v>8.007999999999999</v>
      </c>
      <c r="AM131" s="5" t="n">
        <v>0.2</v>
      </c>
      <c r="AN131" s="5" t="n">
        <v>17.741</v>
      </c>
      <c r="AO131" s="5" t="n">
        <v>0.18</v>
      </c>
      <c r="AP131" s="5" t="n">
        <v>1</v>
      </c>
      <c r="AQ131" s="5" t="n">
        <v>0.861</v>
      </c>
      <c r="AR131" s="5" t="n">
        <v>0.123</v>
      </c>
      <c r="AS131" s="5" t="n">
        <v>0.08799999999999999</v>
      </c>
      <c r="AT131" s="5" t="n">
        <v>1.12</v>
      </c>
      <c r="AU131" s="5" t="n">
        <v>0.18</v>
      </c>
      <c r="AV131" s="5" t="n">
        <v>1</v>
      </c>
      <c r="AW131" s="5" t="n">
        <v>0.986</v>
      </c>
      <c r="AX131" s="5" t="n">
        <v>0.123</v>
      </c>
      <c r="AY131" s="5" t="n">
        <v>0.011</v>
      </c>
      <c r="AZ131" s="5" t="n">
        <v>1.177</v>
      </c>
      <c r="BA131" s="5" t="n">
        <v>0.18</v>
      </c>
      <c r="BB131" s="5" t="n">
        <v>1</v>
      </c>
      <c r="BC131" s="5" t="n">
        <v>0.598</v>
      </c>
      <c r="BD131" s="5" t="n">
        <v>0.123</v>
      </c>
      <c r="BE131" s="5" t="n">
        <v>-0.267</v>
      </c>
      <c r="BF131" s="5" t="n">
        <v>0.331</v>
      </c>
      <c r="BG131" s="5" t="n">
        <v>0</v>
      </c>
      <c r="BH131" s="5" t="n">
        <v>0</v>
      </c>
      <c r="BI131" s="5" t="n">
        <v>0.612</v>
      </c>
      <c r="BJ131" s="5" t="n">
        <v>0.123</v>
      </c>
      <c r="BK131" s="5" t="n">
        <v>0.635</v>
      </c>
      <c r="BL131" s="5" t="n">
        <v>1.248</v>
      </c>
      <c r="BM131" s="5" t="n">
        <v>0</v>
      </c>
      <c r="BN131" s="5" t="n">
        <v>1</v>
      </c>
      <c r="BO131" s="5" t="n">
        <v>0</v>
      </c>
      <c r="BP131" s="5" t="n">
        <v>0</v>
      </c>
      <c r="BQ131" s="5" t="n">
        <v>0.437</v>
      </c>
      <c r="BR131" s="5" t="n">
        <v>0</v>
      </c>
      <c r="BS131" s="5" t="n">
        <v>0.833</v>
      </c>
      <c r="BT131" s="5" t="n">
        <v>0</v>
      </c>
      <c r="BU131" s="5" t="n">
        <v>0</v>
      </c>
      <c r="BV131" s="5" t="n">
        <v>0.198</v>
      </c>
      <c r="BW131" s="5" t="n">
        <v>0.18</v>
      </c>
      <c r="BX131" s="5" t="n">
        <v>0.5</v>
      </c>
      <c r="BY131" s="5" t="n">
        <v>12.729</v>
      </c>
      <c r="BZ131" s="5" t="n">
        <v>0</v>
      </c>
      <c r="CA131" s="5" t="n">
        <v>12.729</v>
      </c>
      <c r="CB131" s="5" t="n">
        <v>0</v>
      </c>
      <c r="CC131" s="5" t="n">
        <v>97.90000000000001</v>
      </c>
      <c r="CD131" s="5" t="n">
        <v>7.95</v>
      </c>
      <c r="CE131" s="5" t="n">
        <v>60.506</v>
      </c>
      <c r="CF131" s="5" t="n">
        <v>186.919</v>
      </c>
      <c r="CG131" s="5" t="n">
        <v>0.18</v>
      </c>
      <c r="CH131" s="5" t="n">
        <v>1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0</v>
      </c>
      <c r="CN131" s="5" t="n">
        <v>0</v>
      </c>
      <c r="CO131" s="5" t="n">
        <v>0</v>
      </c>
      <c r="CP131" s="5" t="n">
        <v>0</v>
      </c>
      <c r="CQ131" s="5" t="n">
        <v>1.294</v>
      </c>
      <c r="CR131" s="5" t="n">
        <v>0</v>
      </c>
      <c r="CS131" s="5" t="n">
        <v>5.158</v>
      </c>
      <c r="CT131" s="5" t="n">
        <v>10.485</v>
      </c>
      <c r="CU131" s="5" t="n">
        <v>31.326</v>
      </c>
    </row>
    <row r="132">
      <c r="A132" s="5" t="inlineStr">
        <is>
          <t>BFA2023</t>
        </is>
      </c>
      <c r="B132" s="5" t="inlineStr">
        <is>
          <t>BFA</t>
        </is>
      </c>
      <c r="C132" s="5" t="inlineStr">
        <is>
          <t>BFA</t>
        </is>
      </c>
      <c r="D132" s="5" t="inlineStr">
        <is>
          <t>Burkina Faso</t>
        </is>
      </c>
      <c r="E132" s="5" t="n">
        <v>2023</v>
      </c>
      <c r="F132" s="5" t="n">
        <v>0.18</v>
      </c>
      <c r="G132" s="5" t="n">
        <v>6.147</v>
      </c>
      <c r="H132" s="5" t="n">
        <v>1.286</v>
      </c>
      <c r="I132" s="5" t="n">
        <v>0</v>
      </c>
      <c r="J132" s="5" t="n">
        <v>6.147</v>
      </c>
      <c r="K132" s="5" t="n">
        <v>0</v>
      </c>
      <c r="L132" s="5" t="n">
        <v>1</v>
      </c>
      <c r="M132" s="5" t="n">
        <v>7.886</v>
      </c>
      <c r="N132" s="5" t="n">
        <v>3.857</v>
      </c>
      <c r="O132" s="5" t="n">
        <v>0</v>
      </c>
      <c r="P132" s="5" t="n">
        <v>7.886</v>
      </c>
      <c r="Q132" s="5" t="n">
        <v>0</v>
      </c>
      <c r="R132" s="5" t="n">
        <v>1</v>
      </c>
      <c r="S132" s="5" t="n">
        <v>12.575</v>
      </c>
      <c r="T132" s="5" t="n">
        <v>7.714</v>
      </c>
      <c r="U132" s="5" t="n">
        <v>-2.918</v>
      </c>
      <c r="V132" s="5" t="n">
        <v>11.396</v>
      </c>
      <c r="W132" s="5" t="n">
        <v>0.18</v>
      </c>
      <c r="X132" s="5" t="n">
        <v>0</v>
      </c>
      <c r="Y132" s="5" t="n">
        <v>6.656</v>
      </c>
      <c r="Z132" s="5" t="n">
        <v>0.9</v>
      </c>
      <c r="AA132" s="5" t="n">
        <v>0</v>
      </c>
      <c r="AB132" s="5" t="n">
        <v>6.656</v>
      </c>
      <c r="AC132" s="5" t="n">
        <v>0</v>
      </c>
      <c r="AD132" s="5" t="n">
        <v>1</v>
      </c>
      <c r="AE132" s="5" t="n">
        <v>7.942</v>
      </c>
      <c r="AF132" s="5" t="n">
        <v>1.857</v>
      </c>
      <c r="AG132" s="5" t="n">
        <v>0</v>
      </c>
      <c r="AH132" s="5" t="n">
        <v>7.942</v>
      </c>
      <c r="AI132" s="5" t="n">
        <v>0</v>
      </c>
      <c r="AJ132" s="5" t="n">
        <v>1</v>
      </c>
      <c r="AK132" s="5" t="n">
        <v>15.656</v>
      </c>
      <c r="AL132" s="5" t="n">
        <v>8.337999999999999</v>
      </c>
      <c r="AM132" s="5" t="n">
        <v>0.312</v>
      </c>
      <c r="AN132" s="5" t="n">
        <v>18.474</v>
      </c>
      <c r="AO132" s="5" t="n">
        <v>0.18</v>
      </c>
      <c r="AP132" s="5" t="n">
        <v>1</v>
      </c>
      <c r="AQ132" s="5" t="n">
        <v>0.76</v>
      </c>
      <c r="AR132" s="5" t="n">
        <v>0.129</v>
      </c>
      <c r="AS132" s="5" t="n">
        <v>0.424</v>
      </c>
      <c r="AT132" s="5" t="n">
        <v>1.397</v>
      </c>
      <c r="AU132" s="5" t="n">
        <v>0.18</v>
      </c>
      <c r="AV132" s="5" t="n">
        <v>1</v>
      </c>
      <c r="AW132" s="5" t="n">
        <v>0.8110000000000001</v>
      </c>
      <c r="AX132" s="5" t="n">
        <v>0.129</v>
      </c>
      <c r="AY132" s="5" t="n">
        <v>0.264</v>
      </c>
      <c r="AZ132" s="5" t="n">
        <v>1.269</v>
      </c>
      <c r="BA132" s="5" t="n">
        <v>0.18</v>
      </c>
      <c r="BB132" s="5" t="n">
        <v>1</v>
      </c>
      <c r="BC132" s="5" t="n">
        <v>0.535</v>
      </c>
      <c r="BD132" s="5" t="n">
        <v>0.129</v>
      </c>
      <c r="BE132" s="5" t="n">
        <v>-0.195</v>
      </c>
      <c r="BF132" s="5" t="n">
        <v>0.34</v>
      </c>
      <c r="BG132" s="5" t="n">
        <v>0</v>
      </c>
      <c r="BH132" s="5" t="n">
        <v>0</v>
      </c>
      <c r="BI132" s="5" t="n">
        <v>0.579</v>
      </c>
      <c r="BJ132" s="5" t="n">
        <v>0.129</v>
      </c>
      <c r="BK132" s="5" t="n">
        <v>1.099</v>
      </c>
      <c r="BL132" s="5" t="n">
        <v>1.678</v>
      </c>
      <c r="BM132" s="5" t="n">
        <v>0</v>
      </c>
      <c r="BN132" s="5" t="n">
        <v>1</v>
      </c>
      <c r="BO132" s="5" t="n">
        <v>0</v>
      </c>
      <c r="BP132" s="5" t="n">
        <v>0</v>
      </c>
      <c r="BQ132" s="5" t="n">
        <v>0.196</v>
      </c>
      <c r="BR132" s="5" t="n">
        <v>0</v>
      </c>
      <c r="BS132" s="5" t="n">
        <v>0.833</v>
      </c>
      <c r="BT132" s="5" t="n">
        <v>0</v>
      </c>
      <c r="BU132" s="5" t="n">
        <v>0</v>
      </c>
      <c r="BV132" s="5" t="n">
        <v>0.203</v>
      </c>
      <c r="BW132" s="5" t="n">
        <v>0.18</v>
      </c>
      <c r="BX132" s="5" t="n">
        <v>0.5</v>
      </c>
      <c r="BY132" s="5" t="n">
        <v>13.254</v>
      </c>
      <c r="BZ132" s="5" t="n">
        <v>0</v>
      </c>
      <c r="CA132" s="5" t="n">
        <v>13.254</v>
      </c>
      <c r="CB132" s="5" t="n">
        <v>0</v>
      </c>
      <c r="CC132" s="5" t="n">
        <v>83.248</v>
      </c>
      <c r="CD132" s="5" t="n">
        <v>7.95</v>
      </c>
      <c r="CE132" s="5" t="n">
        <v>134.453</v>
      </c>
      <c r="CF132" s="5" t="n">
        <v>256.887</v>
      </c>
      <c r="CG132" s="5" t="n">
        <v>0.18</v>
      </c>
      <c r="CH132" s="5" t="n">
        <v>1</v>
      </c>
      <c r="CI132" s="5" t="n">
        <v>0</v>
      </c>
      <c r="CJ132" s="5" t="n">
        <v>0</v>
      </c>
      <c r="CK132" s="5" t="n">
        <v>0</v>
      </c>
      <c r="CL132" s="5" t="n">
        <v>0</v>
      </c>
      <c r="CM132" s="5" t="n">
        <v>0</v>
      </c>
      <c r="CN132" s="5" t="n">
        <v>0</v>
      </c>
      <c r="CO132" s="5" t="n">
        <v>0</v>
      </c>
      <c r="CP132" s="5" t="n">
        <v>0</v>
      </c>
      <c r="CQ132" s="5" t="n">
        <v>1.348</v>
      </c>
      <c r="CR132" s="5" t="n">
        <v>0</v>
      </c>
      <c r="CS132" s="5" t="n">
        <v>5.37</v>
      </c>
      <c r="CT132" s="5" t="n">
        <v>4.861</v>
      </c>
      <c r="CU132" s="5" t="n">
        <v>11.622</v>
      </c>
    </row>
    <row r="133">
      <c r="A133" s="5" t="inlineStr">
        <is>
          <t>BFA2024</t>
        </is>
      </c>
      <c r="B133" s="5" t="inlineStr">
        <is>
          <t>BFA</t>
        </is>
      </c>
      <c r="C133" s="5" t="inlineStr">
        <is>
          <t>BFA</t>
        </is>
      </c>
      <c r="D133" s="5" t="inlineStr">
        <is>
          <t>Burkina Faso</t>
        </is>
      </c>
      <c r="E133" s="5" t="n">
        <v>2024</v>
      </c>
      <c r="F133" s="5" t="n">
        <v>0.18</v>
      </c>
      <c r="G133" s="5" t="n">
        <v>5.575</v>
      </c>
      <c r="H133" s="5" t="n">
        <v>1.324</v>
      </c>
      <c r="I133" s="5" t="n">
        <v>0</v>
      </c>
      <c r="J133" s="5" t="n">
        <v>5.575</v>
      </c>
      <c r="K133" s="5" t="n">
        <v>0</v>
      </c>
      <c r="L133" s="5" t="n">
        <v>1</v>
      </c>
      <c r="M133" s="5" t="n">
        <v>7.124</v>
      </c>
      <c r="N133" s="5" t="n">
        <v>3.971</v>
      </c>
      <c r="O133" s="5" t="n">
        <v>0</v>
      </c>
      <c r="P133" s="5" t="n">
        <v>7.124</v>
      </c>
      <c r="Q133" s="5" t="n">
        <v>0</v>
      </c>
      <c r="R133" s="5" t="n">
        <v>1</v>
      </c>
      <c r="S133" s="5" t="n">
        <v>12.193</v>
      </c>
      <c r="T133" s="5" t="n">
        <v>7.942</v>
      </c>
      <c r="U133" s="5" t="n">
        <v>-2.779</v>
      </c>
      <c r="V133" s="5" t="n">
        <v>10.843</v>
      </c>
      <c r="W133" s="5" t="n">
        <v>0.18</v>
      </c>
      <c r="X133" s="5" t="n">
        <v>0</v>
      </c>
      <c r="Y133" s="5" t="n">
        <v>5.675</v>
      </c>
      <c r="Z133" s="5" t="n">
        <v>0.767</v>
      </c>
      <c r="AA133" s="5" t="n">
        <v>0</v>
      </c>
      <c r="AB133" s="5" t="n">
        <v>5.675</v>
      </c>
      <c r="AC133" s="5" t="n">
        <v>0</v>
      </c>
      <c r="AD133" s="5" t="n">
        <v>1</v>
      </c>
      <c r="AE133" s="5" t="n">
        <v>6.998</v>
      </c>
      <c r="AF133" s="5" t="n">
        <v>1.636</v>
      </c>
      <c r="AG133" s="5" t="n">
        <v>0</v>
      </c>
      <c r="AH133" s="5" t="n">
        <v>6.998</v>
      </c>
      <c r="AI133" s="5" t="n">
        <v>0</v>
      </c>
      <c r="AJ133" s="5" t="n">
        <v>1</v>
      </c>
      <c r="AK133" s="5" t="n">
        <v>14.94</v>
      </c>
      <c r="AL133" s="5" t="n">
        <v>7.957</v>
      </c>
      <c r="AM133" s="5" t="n">
        <v>0.366</v>
      </c>
      <c r="AN133" s="5" t="n">
        <v>17.629</v>
      </c>
      <c r="AO133" s="5" t="n">
        <v>0.18</v>
      </c>
      <c r="AP133" s="5" t="n">
        <v>1</v>
      </c>
      <c r="AQ133" s="5" t="n">
        <v>0.724</v>
      </c>
      <c r="AR133" s="5" t="n">
        <v>0.132</v>
      </c>
      <c r="AS133" s="5" t="n">
        <v>0.475</v>
      </c>
      <c r="AT133" s="5" t="n">
        <v>1.415</v>
      </c>
      <c r="AU133" s="5" t="n">
        <v>0.18</v>
      </c>
      <c r="AV133" s="5" t="n">
        <v>1</v>
      </c>
      <c r="AW133" s="5" t="n">
        <v>0.75</v>
      </c>
      <c r="AX133" s="5" t="n">
        <v>0.132</v>
      </c>
      <c r="AY133" s="5" t="n">
        <v>0.325</v>
      </c>
      <c r="AZ133" s="5" t="n">
        <v>1.269</v>
      </c>
      <c r="BA133" s="5" t="n">
        <v>0.18</v>
      </c>
      <c r="BB133" s="5" t="n">
        <v>1</v>
      </c>
      <c r="BC133" s="5" t="n">
        <v>0.513</v>
      </c>
      <c r="BD133" s="5" t="n">
        <v>0.132</v>
      </c>
      <c r="BE133" s="5" t="n">
        <v>-0.188</v>
      </c>
      <c r="BF133" s="5" t="n">
        <v>0.325</v>
      </c>
      <c r="BG133" s="5" t="n">
        <v>0</v>
      </c>
      <c r="BH133" s="5" t="n">
        <v>0</v>
      </c>
      <c r="BI133" s="5" t="n">
        <v>0.591</v>
      </c>
      <c r="BJ133" s="5" t="n">
        <v>0.132</v>
      </c>
      <c r="BK133" s="5" t="n">
        <v>1.115</v>
      </c>
      <c r="BL133" s="5" t="n">
        <v>1.707</v>
      </c>
      <c r="BM133" s="5" t="n">
        <v>0</v>
      </c>
      <c r="BN133" s="5" t="n">
        <v>1</v>
      </c>
      <c r="BO133" s="5" t="n">
        <v>0</v>
      </c>
      <c r="BP133" s="5" t="n">
        <v>0</v>
      </c>
      <c r="BQ133" s="5" t="n">
        <v>0.304</v>
      </c>
      <c r="BR133" s="5" t="n">
        <v>0</v>
      </c>
      <c r="BS133" s="5" t="n">
        <v>0.833</v>
      </c>
      <c r="BT133" s="5" t="n">
        <v>0</v>
      </c>
      <c r="BU133" s="5" t="n">
        <v>0</v>
      </c>
      <c r="BV133" s="5" t="n">
        <v>0.186</v>
      </c>
      <c r="BW133" s="5" t="n">
        <v>0.18</v>
      </c>
      <c r="BX133" s="5" t="n">
        <v>0.5</v>
      </c>
      <c r="BY133" s="5" t="n">
        <v>13.646</v>
      </c>
      <c r="BZ133" s="5" t="n">
        <v>0</v>
      </c>
      <c r="CA133" s="5" t="n">
        <v>13.646</v>
      </c>
      <c r="CB133" s="5" t="n">
        <v>0</v>
      </c>
      <c r="CC133" s="5" t="n">
        <v>82.58799999999999</v>
      </c>
      <c r="CD133" s="5" t="n">
        <v>7.95</v>
      </c>
      <c r="CE133" s="5" t="n">
        <v>131.815</v>
      </c>
      <c r="CF133" s="5" t="n">
        <v>252.995</v>
      </c>
      <c r="CG133" s="5" t="n">
        <v>0.18</v>
      </c>
      <c r="CH133" s="5" t="n">
        <v>1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0</v>
      </c>
      <c r="CP133" s="5" t="n">
        <v>0</v>
      </c>
      <c r="CQ133" s="5" t="n">
        <v>1.387</v>
      </c>
      <c r="CR133" s="5" t="n">
        <v>0</v>
      </c>
      <c r="CS133" s="5" t="n">
        <v>5.529</v>
      </c>
      <c r="CT133" s="5" t="n">
        <v>4.251</v>
      </c>
      <c r="CU133" s="5" t="n">
        <v>10.168</v>
      </c>
    </row>
    <row r="134">
      <c r="A134" s="5" t="inlineStr">
        <is>
          <t>BDI2021</t>
        </is>
      </c>
      <c r="B134" s="5" t="inlineStr">
        <is>
          <t>BDI</t>
        </is>
      </c>
      <c r="C134" s="5" t="inlineStr">
        <is>
          <t>BDI</t>
        </is>
      </c>
      <c r="D134" s="5" t="inlineStr">
        <is>
          <t>Burundi</t>
        </is>
      </c>
      <c r="E134" s="5" t="n">
        <v>2021</v>
      </c>
      <c r="F134" s="5" t="n">
        <v>0.18</v>
      </c>
      <c r="G134" s="5" t="n">
        <v>5.897</v>
      </c>
      <c r="H134" s="5" t="n">
        <v>1.143</v>
      </c>
      <c r="I134" s="5" t="n">
        <v>0</v>
      </c>
      <c r="J134" s="5" t="n">
        <v>5.897</v>
      </c>
      <c r="K134" s="5" t="n">
        <v>0</v>
      </c>
      <c r="L134" s="5" t="n">
        <v>1</v>
      </c>
      <c r="M134" s="5" t="n">
        <v>7.964</v>
      </c>
      <c r="N134" s="5" t="n">
        <v>3.43</v>
      </c>
      <c r="O134" s="5" t="n">
        <v>0</v>
      </c>
      <c r="P134" s="5" t="n">
        <v>7.964</v>
      </c>
      <c r="Q134" s="5" t="n">
        <v>0</v>
      </c>
      <c r="R134" s="5" t="n">
        <v>1</v>
      </c>
      <c r="S134" s="5" t="n">
        <v>11.613</v>
      </c>
      <c r="T134" s="5" t="n">
        <v>6.86</v>
      </c>
      <c r="U134" s="5" t="n">
        <v>0</v>
      </c>
      <c r="V134" s="5" t="n">
        <v>13.704</v>
      </c>
      <c r="W134" s="5" t="n">
        <v>0.18</v>
      </c>
      <c r="X134" s="5" t="n">
        <v>1</v>
      </c>
      <c r="Y134" s="5" t="n">
        <v>16.167</v>
      </c>
      <c r="Z134" s="5" t="n">
        <v>2.185</v>
      </c>
      <c r="AA134" s="5" t="n">
        <v>0</v>
      </c>
      <c r="AB134" s="5" t="n">
        <v>16.167</v>
      </c>
      <c r="AC134" s="5" t="n">
        <v>0</v>
      </c>
      <c r="AD134" s="5" t="n">
        <v>1</v>
      </c>
      <c r="AE134" s="5" t="n">
        <v>17.31</v>
      </c>
      <c r="AF134" s="5" t="n">
        <v>4.048</v>
      </c>
      <c r="AG134" s="5" t="n">
        <v>0</v>
      </c>
      <c r="AH134" s="5" t="n">
        <v>17.31</v>
      </c>
      <c r="AI134" s="5" t="n">
        <v>0</v>
      </c>
      <c r="AJ134" s="5" t="n">
        <v>1</v>
      </c>
      <c r="AK134" s="5" t="n">
        <v>24.17</v>
      </c>
      <c r="AL134" s="5" t="n">
        <v>12.873</v>
      </c>
      <c r="AM134" s="5" t="n">
        <v>0</v>
      </c>
      <c r="AN134" s="5" t="n">
        <v>28.521</v>
      </c>
      <c r="AO134" s="5" t="n">
        <v>0.18</v>
      </c>
      <c r="AP134" s="5" t="n">
        <v>1</v>
      </c>
      <c r="AQ134" s="5" t="n">
        <v>0.619</v>
      </c>
      <c r="AR134" s="5" t="n">
        <v>0.114</v>
      </c>
      <c r="AS134" s="5" t="n">
        <v>0.523</v>
      </c>
      <c r="AT134" s="5" t="n">
        <v>1.348</v>
      </c>
      <c r="AU134" s="5" t="n">
        <v>0.18</v>
      </c>
      <c r="AV134" s="5" t="n">
        <v>1</v>
      </c>
      <c r="AW134" s="5" t="n">
        <v>0.599</v>
      </c>
      <c r="AX134" s="5" t="n">
        <v>0.114</v>
      </c>
      <c r="AY134" s="5" t="n">
        <v>0.53</v>
      </c>
      <c r="AZ134" s="5" t="n">
        <v>1.333</v>
      </c>
      <c r="BA134" s="5" t="n">
        <v>0.18</v>
      </c>
      <c r="BB134" s="5" t="n">
        <v>1</v>
      </c>
      <c r="BC134" s="5" t="n">
        <v>0.439</v>
      </c>
      <c r="BD134" s="5" t="n">
        <v>0.114</v>
      </c>
      <c r="BE134" s="5" t="n">
        <v>0</v>
      </c>
      <c r="BF134" s="5" t="n">
        <v>0.518</v>
      </c>
      <c r="BG134" s="5" t="n">
        <v>0.18</v>
      </c>
      <c r="BH134" s="5" t="n">
        <v>1</v>
      </c>
      <c r="BI134" s="5" t="n">
        <v>0.505</v>
      </c>
      <c r="BJ134" s="5" t="n">
        <v>0.114</v>
      </c>
      <c r="BK134" s="5" t="n">
        <v>0.499</v>
      </c>
      <c r="BL134" s="5" t="n">
        <v>1.185</v>
      </c>
      <c r="BM134" s="5" t="n">
        <v>0.18</v>
      </c>
      <c r="BN134" s="5" t="n">
        <v>1</v>
      </c>
      <c r="BO134" s="5" t="n">
        <v>0</v>
      </c>
      <c r="BP134" s="5" t="n">
        <v>0</v>
      </c>
      <c r="BQ134" s="5" t="n">
        <v>0.202</v>
      </c>
      <c r="BR134" s="5" t="n">
        <v>0</v>
      </c>
      <c r="BS134" s="5" t="n">
        <v>1</v>
      </c>
      <c r="BT134" s="5" t="n">
        <v>0</v>
      </c>
      <c r="BU134" s="5" t="n">
        <v>0</v>
      </c>
      <c r="BV134" s="5" t="n">
        <v>0.147</v>
      </c>
      <c r="BW134" s="5" t="n">
        <v>0.18</v>
      </c>
      <c r="BX134" s="5" t="n">
        <v>1</v>
      </c>
      <c r="BY134" s="5" t="n">
        <v>11.787</v>
      </c>
      <c r="BZ134" s="5" t="n">
        <v>0</v>
      </c>
      <c r="CA134" s="5" t="n">
        <v>11.787</v>
      </c>
      <c r="CB134" s="5" t="n">
        <v>0</v>
      </c>
      <c r="CC134" s="5" t="n">
        <v>78.125</v>
      </c>
      <c r="CD134" s="5" t="n">
        <v>7.95</v>
      </c>
      <c r="CE134" s="5" t="n">
        <v>0</v>
      </c>
      <c r="CF134" s="5" t="n">
        <v>92.188</v>
      </c>
      <c r="CG134" s="5" t="n">
        <v>0.18</v>
      </c>
      <c r="CH134" s="5" t="n">
        <v>1</v>
      </c>
      <c r="CI134" s="5" t="n">
        <v>0</v>
      </c>
      <c r="CJ134" s="5" t="n">
        <v>0</v>
      </c>
      <c r="CK134" s="5" t="n">
        <v>0</v>
      </c>
      <c r="CL134" s="5" t="n">
        <v>0</v>
      </c>
      <c r="CM134" s="5" t="n">
        <v>0</v>
      </c>
      <c r="CN134" s="5" t="n">
        <v>0</v>
      </c>
      <c r="CO134" s="5" t="n">
        <v>0</v>
      </c>
      <c r="CP134" s="5" t="n">
        <v>0</v>
      </c>
      <c r="CQ134" s="5" t="n">
        <v>1.198</v>
      </c>
      <c r="CR134" s="5" t="n">
        <v>0</v>
      </c>
      <c r="CS134" s="5" t="n">
        <v>4.776</v>
      </c>
      <c r="CT134" s="5" t="n">
        <v>4.753</v>
      </c>
      <c r="CU134" s="5" t="n">
        <v>15.162</v>
      </c>
    </row>
    <row r="135">
      <c r="A135" s="5" t="inlineStr">
        <is>
          <t>BDI2022</t>
        </is>
      </c>
      <c r="B135" s="5" t="inlineStr">
        <is>
          <t>BDI</t>
        </is>
      </c>
      <c r="C135" s="5" t="inlineStr">
        <is>
          <t>BDI</t>
        </is>
      </c>
      <c r="D135" s="5" t="inlineStr">
        <is>
          <t>Burundi</t>
        </is>
      </c>
      <c r="E135" s="5" t="n">
        <v>2022</v>
      </c>
      <c r="F135" s="5" t="n">
        <v>0.18</v>
      </c>
      <c r="G135" s="5" t="n">
        <v>11.72</v>
      </c>
      <c r="H135" s="5" t="n">
        <v>1.235</v>
      </c>
      <c r="I135" s="5" t="n">
        <v>0</v>
      </c>
      <c r="J135" s="5" t="n">
        <v>11.72</v>
      </c>
      <c r="K135" s="5" t="n">
        <v>0</v>
      </c>
      <c r="L135" s="5" t="n">
        <v>1</v>
      </c>
      <c r="M135" s="5" t="n">
        <v>9.782999999999999</v>
      </c>
      <c r="N135" s="5" t="n">
        <v>3.704</v>
      </c>
      <c r="O135" s="5" t="n">
        <v>0</v>
      </c>
      <c r="P135" s="5" t="n">
        <v>9.782999999999999</v>
      </c>
      <c r="Q135" s="5" t="n">
        <v>0</v>
      </c>
      <c r="R135" s="5" t="n">
        <v>1</v>
      </c>
      <c r="S135" s="5" t="n">
        <v>17.893</v>
      </c>
      <c r="T135" s="5" t="n">
        <v>7.408</v>
      </c>
      <c r="U135" s="5" t="n">
        <v>0.238</v>
      </c>
      <c r="V135" s="5" t="n">
        <v>21.114</v>
      </c>
      <c r="W135" s="5" t="n">
        <v>0.18</v>
      </c>
      <c r="X135" s="5" t="n">
        <v>1</v>
      </c>
      <c r="Y135" s="5" t="n">
        <v>32.463</v>
      </c>
      <c r="Z135" s="5" t="n">
        <v>4.387</v>
      </c>
      <c r="AA135" s="5" t="n">
        <v>0</v>
      </c>
      <c r="AB135" s="5" t="n">
        <v>32.463</v>
      </c>
      <c r="AC135" s="5" t="n">
        <v>0</v>
      </c>
      <c r="AD135" s="5" t="n">
        <v>1</v>
      </c>
      <c r="AE135" s="5" t="n">
        <v>33.697</v>
      </c>
      <c r="AF135" s="5" t="n">
        <v>7.879</v>
      </c>
      <c r="AG135" s="5" t="n">
        <v>0</v>
      </c>
      <c r="AH135" s="5" t="n">
        <v>33.697</v>
      </c>
      <c r="AI135" s="5" t="n">
        <v>0</v>
      </c>
      <c r="AJ135" s="5" t="n">
        <v>1</v>
      </c>
      <c r="AK135" s="5" t="n">
        <v>41.105</v>
      </c>
      <c r="AL135" s="5" t="n">
        <v>21.893</v>
      </c>
      <c r="AM135" s="5" t="n">
        <v>0.548</v>
      </c>
      <c r="AN135" s="5" t="n">
        <v>48.504</v>
      </c>
      <c r="AO135" s="5" t="n">
        <v>0.18</v>
      </c>
      <c r="AP135" s="5" t="n">
        <v>1</v>
      </c>
      <c r="AQ135" s="5" t="n">
        <v>0.861</v>
      </c>
      <c r="AR135" s="5" t="n">
        <v>0.123</v>
      </c>
      <c r="AS135" s="5" t="n">
        <v>0.389</v>
      </c>
      <c r="AT135" s="5" t="n">
        <v>1.456</v>
      </c>
      <c r="AU135" s="5" t="n">
        <v>0.18</v>
      </c>
      <c r="AV135" s="5" t="n">
        <v>1</v>
      </c>
      <c r="AW135" s="5" t="n">
        <v>0.986</v>
      </c>
      <c r="AX135" s="5" t="n">
        <v>0.123</v>
      </c>
      <c r="AY135" s="5" t="n">
        <v>0.444</v>
      </c>
      <c r="AZ135" s="5" t="n">
        <v>1.666</v>
      </c>
      <c r="BA135" s="5" t="n">
        <v>0.18</v>
      </c>
      <c r="BB135" s="5" t="n">
        <v>1</v>
      </c>
      <c r="BC135" s="5" t="n">
        <v>0.598</v>
      </c>
      <c r="BD135" s="5" t="n">
        <v>0.123</v>
      </c>
      <c r="BE135" s="5" t="n">
        <v>0.008</v>
      </c>
      <c r="BF135" s="5" t="n">
        <v>0.705</v>
      </c>
      <c r="BG135" s="5" t="n">
        <v>0.18</v>
      </c>
      <c r="BH135" s="5" t="n">
        <v>1</v>
      </c>
      <c r="BI135" s="5" t="n">
        <v>0.612</v>
      </c>
      <c r="BJ135" s="5" t="n">
        <v>0.123</v>
      </c>
      <c r="BK135" s="5" t="n">
        <v>0.525</v>
      </c>
      <c r="BL135" s="5" t="n">
        <v>1.324</v>
      </c>
      <c r="BM135" s="5" t="n">
        <v>0.18</v>
      </c>
      <c r="BN135" s="5" t="n">
        <v>1</v>
      </c>
      <c r="BO135" s="5" t="n">
        <v>0</v>
      </c>
      <c r="BP135" s="5" t="n">
        <v>0</v>
      </c>
      <c r="BQ135" s="5" t="n">
        <v>0.196</v>
      </c>
      <c r="BR135" s="5" t="n">
        <v>0</v>
      </c>
      <c r="BS135" s="5" t="n">
        <v>1</v>
      </c>
      <c r="BT135" s="5" t="n">
        <v>0</v>
      </c>
      <c r="BU135" s="5" t="n">
        <v>0</v>
      </c>
      <c r="BV135" s="5" t="n">
        <v>0.142</v>
      </c>
      <c r="BW135" s="5" t="n">
        <v>0.18</v>
      </c>
      <c r="BX135" s="5" t="n">
        <v>1</v>
      </c>
      <c r="BY135" s="5" t="n">
        <v>12.729</v>
      </c>
      <c r="BZ135" s="5" t="n">
        <v>0</v>
      </c>
      <c r="CA135" s="5" t="n">
        <v>12.729</v>
      </c>
      <c r="CB135" s="5" t="n">
        <v>0</v>
      </c>
      <c r="CC135" s="5" t="n">
        <v>97.90000000000001</v>
      </c>
      <c r="CD135" s="5" t="n">
        <v>7.95</v>
      </c>
      <c r="CE135" s="5" t="n">
        <v>1.304</v>
      </c>
      <c r="CF135" s="5" t="n">
        <v>115.522</v>
      </c>
      <c r="CG135" s="5" t="n">
        <v>0.18</v>
      </c>
      <c r="CH135" s="5" t="n">
        <v>1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1.294</v>
      </c>
      <c r="CR135" s="5" t="n">
        <v>0</v>
      </c>
      <c r="CS135" s="5" t="n">
        <v>5.158</v>
      </c>
      <c r="CT135" s="5" t="n">
        <v>10.485</v>
      </c>
      <c r="CU135" s="5" t="n">
        <v>31.326</v>
      </c>
    </row>
    <row r="136">
      <c r="A136" s="5" t="inlineStr">
        <is>
          <t>BDI2023</t>
        </is>
      </c>
      <c r="B136" s="5" t="inlineStr">
        <is>
          <t>BDI</t>
        </is>
      </c>
      <c r="C136" s="5" t="inlineStr">
        <is>
          <t>BDI</t>
        </is>
      </c>
      <c r="D136" s="5" t="inlineStr">
        <is>
          <t>Burundi</t>
        </is>
      </c>
      <c r="E136" s="5" t="n">
        <v>2023</v>
      </c>
      <c r="F136" s="5" t="n">
        <v>0.18</v>
      </c>
      <c r="G136" s="5" t="n">
        <v>6.147</v>
      </c>
      <c r="H136" s="5" t="n">
        <v>1.286</v>
      </c>
      <c r="I136" s="5" t="n">
        <v>0</v>
      </c>
      <c r="J136" s="5" t="n">
        <v>6.147</v>
      </c>
      <c r="K136" s="5" t="n">
        <v>0</v>
      </c>
      <c r="L136" s="5" t="n">
        <v>1</v>
      </c>
      <c r="M136" s="5" t="n">
        <v>7.886</v>
      </c>
      <c r="N136" s="5" t="n">
        <v>3.857</v>
      </c>
      <c r="O136" s="5" t="n">
        <v>0</v>
      </c>
      <c r="P136" s="5" t="n">
        <v>7.886</v>
      </c>
      <c r="Q136" s="5" t="n">
        <v>0</v>
      </c>
      <c r="R136" s="5" t="n">
        <v>1</v>
      </c>
      <c r="S136" s="5" t="n">
        <v>12.575</v>
      </c>
      <c r="T136" s="5" t="n">
        <v>7.714</v>
      </c>
      <c r="U136" s="5" t="n">
        <v>0.251</v>
      </c>
      <c r="V136" s="5" t="n">
        <v>14.839</v>
      </c>
      <c r="W136" s="5" t="n">
        <v>0.18</v>
      </c>
      <c r="X136" s="5" t="n">
        <v>1</v>
      </c>
      <c r="Y136" s="5" t="n">
        <v>12.881</v>
      </c>
      <c r="Z136" s="5" t="n">
        <v>1.741</v>
      </c>
      <c r="AA136" s="5" t="n">
        <v>0</v>
      </c>
      <c r="AB136" s="5" t="n">
        <v>12.881</v>
      </c>
      <c r="AC136" s="5" t="n">
        <v>0</v>
      </c>
      <c r="AD136" s="5" t="n">
        <v>1</v>
      </c>
      <c r="AE136" s="5" t="n">
        <v>14.167</v>
      </c>
      <c r="AF136" s="5" t="n">
        <v>3.313</v>
      </c>
      <c r="AG136" s="5" t="n">
        <v>0</v>
      </c>
      <c r="AH136" s="5" t="n">
        <v>14.167</v>
      </c>
      <c r="AI136" s="5" t="n">
        <v>0</v>
      </c>
      <c r="AJ136" s="5" t="n">
        <v>1</v>
      </c>
      <c r="AK136" s="5" t="n">
        <v>21.881</v>
      </c>
      <c r="AL136" s="5" t="n">
        <v>11.654</v>
      </c>
      <c r="AM136" s="5" t="n">
        <v>0.436</v>
      </c>
      <c r="AN136" s="5" t="n">
        <v>25.819</v>
      </c>
      <c r="AO136" s="5" t="n">
        <v>0.18</v>
      </c>
      <c r="AP136" s="5" t="n">
        <v>1</v>
      </c>
      <c r="AQ136" s="5" t="n">
        <v>0.76</v>
      </c>
      <c r="AR136" s="5" t="n">
        <v>0.129</v>
      </c>
      <c r="AS136" s="5" t="n">
        <v>0.55</v>
      </c>
      <c r="AT136" s="5" t="n">
        <v>1.516</v>
      </c>
      <c r="AU136" s="5" t="n">
        <v>0.18</v>
      </c>
      <c r="AV136" s="5" t="n">
        <v>1</v>
      </c>
      <c r="AW136" s="5" t="n">
        <v>0.8110000000000001</v>
      </c>
      <c r="AX136" s="5" t="n">
        <v>0.129</v>
      </c>
      <c r="AY136" s="5" t="n">
        <v>0.5629999999999999</v>
      </c>
      <c r="AZ136" s="5" t="n">
        <v>1.591</v>
      </c>
      <c r="BA136" s="5" t="n">
        <v>0.18</v>
      </c>
      <c r="BB136" s="5" t="n">
        <v>1</v>
      </c>
      <c r="BC136" s="5" t="n">
        <v>0.535</v>
      </c>
      <c r="BD136" s="5" t="n">
        <v>0.129</v>
      </c>
      <c r="BE136" s="5" t="n">
        <v>0.011</v>
      </c>
      <c r="BF136" s="5" t="n">
        <v>0.631</v>
      </c>
      <c r="BG136" s="5" t="n">
        <v>0.18</v>
      </c>
      <c r="BH136" s="5" t="n">
        <v>1</v>
      </c>
      <c r="BI136" s="5" t="n">
        <v>0.579</v>
      </c>
      <c r="BJ136" s="5" t="n">
        <v>0.129</v>
      </c>
      <c r="BK136" s="5" t="n">
        <v>0.579</v>
      </c>
      <c r="BL136" s="5" t="n">
        <v>1.34</v>
      </c>
      <c r="BM136" s="5" t="n">
        <v>0.18</v>
      </c>
      <c r="BN136" s="5" t="n">
        <v>1</v>
      </c>
      <c r="BO136" s="5" t="n">
        <v>0</v>
      </c>
      <c r="BP136" s="5" t="n">
        <v>0</v>
      </c>
      <c r="BQ136" s="5" t="n">
        <v>0.159</v>
      </c>
      <c r="BR136" s="5" t="n">
        <v>0</v>
      </c>
      <c r="BS136" s="5" t="n">
        <v>1</v>
      </c>
      <c r="BT136" s="5" t="n">
        <v>0</v>
      </c>
      <c r="BU136" s="5" t="n">
        <v>0</v>
      </c>
      <c r="BV136" s="5" t="n">
        <v>0.116</v>
      </c>
      <c r="BW136" s="5" t="n">
        <v>0.18</v>
      </c>
      <c r="BX136" s="5" t="n">
        <v>1</v>
      </c>
      <c r="BY136" s="5" t="n">
        <v>13.254</v>
      </c>
      <c r="BZ136" s="5" t="n">
        <v>0</v>
      </c>
      <c r="CA136" s="5" t="n">
        <v>13.254</v>
      </c>
      <c r="CB136" s="5" t="n">
        <v>0</v>
      </c>
      <c r="CC136" s="5" t="n">
        <v>83.248</v>
      </c>
      <c r="CD136" s="5" t="n">
        <v>7.95</v>
      </c>
      <c r="CE136" s="5" t="n">
        <v>1.659</v>
      </c>
      <c r="CF136" s="5" t="n">
        <v>98.233</v>
      </c>
      <c r="CG136" s="5" t="n">
        <v>0.18</v>
      </c>
      <c r="CH136" s="5" t="n">
        <v>1</v>
      </c>
      <c r="CI136" s="5" t="n">
        <v>0</v>
      </c>
      <c r="CJ136" s="5" t="n">
        <v>0</v>
      </c>
      <c r="CK136" s="5" t="n">
        <v>0</v>
      </c>
      <c r="CL136" s="5" t="n">
        <v>0</v>
      </c>
      <c r="CM136" s="5" t="n">
        <v>0</v>
      </c>
      <c r="CN136" s="5" t="n">
        <v>0</v>
      </c>
      <c r="CO136" s="5" t="n">
        <v>0</v>
      </c>
      <c r="CP136" s="5" t="n">
        <v>0</v>
      </c>
      <c r="CQ136" s="5" t="n">
        <v>1.348</v>
      </c>
      <c r="CR136" s="5" t="n">
        <v>0</v>
      </c>
      <c r="CS136" s="5" t="n">
        <v>5.37</v>
      </c>
      <c r="CT136" s="5" t="n">
        <v>4.861</v>
      </c>
      <c r="CU136" s="5" t="n">
        <v>11.622</v>
      </c>
    </row>
    <row r="137">
      <c r="A137" s="5" t="inlineStr">
        <is>
          <t>BDI2024</t>
        </is>
      </c>
      <c r="B137" s="5" t="inlineStr">
        <is>
          <t>BDI</t>
        </is>
      </c>
      <c r="C137" s="5" t="inlineStr">
        <is>
          <t>BDI</t>
        </is>
      </c>
      <c r="D137" s="5" t="inlineStr">
        <is>
          <t>Burundi</t>
        </is>
      </c>
      <c r="E137" s="5" t="n">
        <v>2024</v>
      </c>
      <c r="F137" s="5" t="n">
        <v>0.18</v>
      </c>
      <c r="G137" s="5" t="n">
        <v>5.575</v>
      </c>
      <c r="H137" s="5" t="n">
        <v>1.324</v>
      </c>
      <c r="I137" s="5" t="n">
        <v>0</v>
      </c>
      <c r="J137" s="5" t="n">
        <v>5.575</v>
      </c>
      <c r="K137" s="5" t="n">
        <v>0</v>
      </c>
      <c r="L137" s="5" t="n">
        <v>1</v>
      </c>
      <c r="M137" s="5" t="n">
        <v>7.124</v>
      </c>
      <c r="N137" s="5" t="n">
        <v>3.971</v>
      </c>
      <c r="O137" s="5" t="n">
        <v>0</v>
      </c>
      <c r="P137" s="5" t="n">
        <v>7.124</v>
      </c>
      <c r="Q137" s="5" t="n">
        <v>0</v>
      </c>
      <c r="R137" s="5" t="n">
        <v>1</v>
      </c>
      <c r="S137" s="5" t="n">
        <v>12.193</v>
      </c>
      <c r="T137" s="5" t="n">
        <v>7.942</v>
      </c>
      <c r="U137" s="5" t="n">
        <v>0.299</v>
      </c>
      <c r="V137" s="5" t="n">
        <v>14.388</v>
      </c>
      <c r="W137" s="5" t="n">
        <v>0.18</v>
      </c>
      <c r="X137" s="5" t="n">
        <v>1</v>
      </c>
      <c r="Y137" s="5" t="n">
        <v>11.471</v>
      </c>
      <c r="Z137" s="5" t="n">
        <v>1.55</v>
      </c>
      <c r="AA137" s="5" t="n">
        <v>0</v>
      </c>
      <c r="AB137" s="5" t="n">
        <v>11.471</v>
      </c>
      <c r="AC137" s="5" t="n">
        <v>0</v>
      </c>
      <c r="AD137" s="5" t="n">
        <v>1</v>
      </c>
      <c r="AE137" s="5" t="n">
        <v>12.794</v>
      </c>
      <c r="AF137" s="5" t="n">
        <v>2.992</v>
      </c>
      <c r="AG137" s="5" t="n">
        <v>0</v>
      </c>
      <c r="AH137" s="5" t="n">
        <v>12.794</v>
      </c>
      <c r="AI137" s="5" t="n">
        <v>0</v>
      </c>
      <c r="AJ137" s="5" t="n">
        <v>1</v>
      </c>
      <c r="AK137" s="5" t="n">
        <v>20.736</v>
      </c>
      <c r="AL137" s="5" t="n">
        <v>11.044</v>
      </c>
      <c r="AM137" s="5" t="n">
        <v>0.508</v>
      </c>
      <c r="AN137" s="5" t="n">
        <v>24.468</v>
      </c>
      <c r="AO137" s="5" t="n">
        <v>0.18</v>
      </c>
      <c r="AP137" s="5" t="n">
        <v>1</v>
      </c>
      <c r="AQ137" s="5" t="n">
        <v>0.724</v>
      </c>
      <c r="AR137" s="5" t="n">
        <v>0.132</v>
      </c>
      <c r="AS137" s="5" t="n">
        <v>0.631</v>
      </c>
      <c r="AT137" s="5" t="n">
        <v>1.56</v>
      </c>
      <c r="AU137" s="5" t="n">
        <v>0.18</v>
      </c>
      <c r="AV137" s="5" t="n">
        <v>1</v>
      </c>
      <c r="AW137" s="5" t="n">
        <v>0.75</v>
      </c>
      <c r="AX137" s="5" t="n">
        <v>0.132</v>
      </c>
      <c r="AY137" s="5" t="n">
        <v>0.622</v>
      </c>
      <c r="AZ137" s="5" t="n">
        <v>1.58</v>
      </c>
      <c r="BA137" s="5" t="n">
        <v>0.18</v>
      </c>
      <c r="BB137" s="5" t="n">
        <v>1</v>
      </c>
      <c r="BC137" s="5" t="n">
        <v>0.513</v>
      </c>
      <c r="BD137" s="5" t="n">
        <v>0.132</v>
      </c>
      <c r="BE137" s="5" t="n">
        <v>0.013</v>
      </c>
      <c r="BF137" s="5" t="n">
        <v>0.605</v>
      </c>
      <c r="BG137" s="5" t="n">
        <v>0.18</v>
      </c>
      <c r="BH137" s="5" t="n">
        <v>1</v>
      </c>
      <c r="BI137" s="5" t="n">
        <v>0.591</v>
      </c>
      <c r="BJ137" s="5" t="n">
        <v>0.132</v>
      </c>
      <c r="BK137" s="5" t="n">
        <v>0.604</v>
      </c>
      <c r="BL137" s="5" t="n">
        <v>1.376</v>
      </c>
      <c r="BM137" s="5" t="n">
        <v>0.18</v>
      </c>
      <c r="BN137" s="5" t="n">
        <v>1</v>
      </c>
      <c r="BO137" s="5" t="n">
        <v>0</v>
      </c>
      <c r="BP137" s="5" t="n">
        <v>0</v>
      </c>
      <c r="BQ137" s="5" t="n">
        <v>0.164</v>
      </c>
      <c r="BR137" s="5" t="n">
        <v>0</v>
      </c>
      <c r="BS137" s="5" t="n">
        <v>1</v>
      </c>
      <c r="BT137" s="5" t="n">
        <v>0</v>
      </c>
      <c r="BU137" s="5" t="n">
        <v>0</v>
      </c>
      <c r="BV137" s="5" t="n">
        <v>0.119</v>
      </c>
      <c r="BW137" s="5" t="n">
        <v>0.18</v>
      </c>
      <c r="BX137" s="5" t="n">
        <v>1</v>
      </c>
      <c r="BY137" s="5" t="n">
        <v>13.646</v>
      </c>
      <c r="BZ137" s="5" t="n">
        <v>0</v>
      </c>
      <c r="CA137" s="5" t="n">
        <v>13.646</v>
      </c>
      <c r="CB137" s="5" t="n">
        <v>0</v>
      </c>
      <c r="CC137" s="5" t="n">
        <v>82.58799999999999</v>
      </c>
      <c r="CD137" s="5" t="n">
        <v>7.95</v>
      </c>
      <c r="CE137" s="5" t="n">
        <v>2.025</v>
      </c>
      <c r="CF137" s="5" t="n">
        <v>97.45399999999999</v>
      </c>
      <c r="CG137" s="5" t="n">
        <v>0.18</v>
      </c>
      <c r="CH137" s="5" t="n">
        <v>1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1.387</v>
      </c>
      <c r="CR137" s="5" t="n">
        <v>0</v>
      </c>
      <c r="CS137" s="5" t="n">
        <v>5.529</v>
      </c>
      <c r="CT137" s="5" t="n">
        <v>4.251</v>
      </c>
      <c r="CU137" s="5" t="n">
        <v>10.168</v>
      </c>
    </row>
    <row r="138">
      <c r="A138" s="5" t="inlineStr">
        <is>
          <t>CPV2021</t>
        </is>
      </c>
      <c r="B138" s="5" t="inlineStr">
        <is>
          <t>CPV</t>
        </is>
      </c>
      <c r="C138" s="5" t="inlineStr">
        <is>
          <t>CPV</t>
        </is>
      </c>
      <c r="D138" s="5" t="inlineStr">
        <is>
          <t>Cabo Verde</t>
        </is>
      </c>
      <c r="E138" s="5" t="n">
        <v>2021</v>
      </c>
      <c r="F138" s="5" t="n">
        <v>0.15</v>
      </c>
      <c r="G138" s="5" t="n">
        <v>5.897</v>
      </c>
      <c r="H138" s="5" t="n">
        <v>1.143</v>
      </c>
      <c r="I138" s="5" t="n">
        <v>0</v>
      </c>
      <c r="J138" s="5" t="n">
        <v>5.897</v>
      </c>
      <c r="K138" s="5" t="n">
        <v>0</v>
      </c>
      <c r="L138" s="5" t="n">
        <v>1</v>
      </c>
      <c r="M138" s="5" t="n">
        <v>7.964</v>
      </c>
      <c r="N138" s="5" t="n">
        <v>3.43</v>
      </c>
      <c r="O138" s="5" t="n">
        <v>0</v>
      </c>
      <c r="P138" s="5" t="n">
        <v>7.964</v>
      </c>
      <c r="Q138" s="5" t="n">
        <v>0</v>
      </c>
      <c r="R138" s="5" t="n">
        <v>1</v>
      </c>
      <c r="S138" s="5" t="n">
        <v>11.613</v>
      </c>
      <c r="T138" s="5" t="n">
        <v>6.86</v>
      </c>
      <c r="U138" s="5" t="n">
        <v>0</v>
      </c>
      <c r="V138" s="5" t="n">
        <v>13.355</v>
      </c>
      <c r="W138" s="5" t="n">
        <v>0.15</v>
      </c>
      <c r="X138" s="5" t="n">
        <v>1</v>
      </c>
      <c r="Y138" s="5" t="n">
        <v>4.768</v>
      </c>
      <c r="Z138" s="5" t="n">
        <v>0.644</v>
      </c>
      <c r="AA138" s="5" t="n">
        <v>0</v>
      </c>
      <c r="AB138" s="5" t="n">
        <v>4.768</v>
      </c>
      <c r="AC138" s="5" t="n">
        <v>0</v>
      </c>
      <c r="AD138" s="5" t="n">
        <v>1</v>
      </c>
      <c r="AE138" s="5" t="n">
        <v>5.911</v>
      </c>
      <c r="AF138" s="5" t="n">
        <v>1.382</v>
      </c>
      <c r="AG138" s="5" t="n">
        <v>0</v>
      </c>
      <c r="AH138" s="5" t="n">
        <v>5.911</v>
      </c>
      <c r="AI138" s="5" t="n">
        <v>0</v>
      </c>
      <c r="AJ138" s="5" t="n">
        <v>1</v>
      </c>
      <c r="AK138" s="5" t="n">
        <v>12.771</v>
      </c>
      <c r="AL138" s="5" t="n">
        <v>6.802</v>
      </c>
      <c r="AM138" s="5" t="n">
        <v>0</v>
      </c>
      <c r="AN138" s="5" t="n">
        <v>14.686</v>
      </c>
      <c r="AO138" s="5" t="n">
        <v>0.15</v>
      </c>
      <c r="AP138" s="5" t="n">
        <v>1</v>
      </c>
      <c r="AQ138" s="5" t="n">
        <v>0.619</v>
      </c>
      <c r="AR138" s="5" t="n">
        <v>0.114</v>
      </c>
      <c r="AS138" s="5" t="n">
        <v>0.548</v>
      </c>
      <c r="AT138" s="5" t="n">
        <v>1.342</v>
      </c>
      <c r="AU138" s="5" t="n">
        <v>0.15</v>
      </c>
      <c r="AV138" s="5" t="n">
        <v>1</v>
      </c>
      <c r="AW138" s="5" t="n">
        <v>0.599</v>
      </c>
      <c r="AX138" s="5" t="n">
        <v>0.114</v>
      </c>
      <c r="AY138" s="5" t="n">
        <v>0.312</v>
      </c>
      <c r="AZ138" s="5" t="n">
        <v>1.048</v>
      </c>
      <c r="BA138" s="5" t="n">
        <v>0.15</v>
      </c>
      <c r="BB138" s="5" t="n">
        <v>1</v>
      </c>
      <c r="BC138" s="5" t="n">
        <v>0.439</v>
      </c>
      <c r="BD138" s="5" t="n">
        <v>0.114</v>
      </c>
      <c r="BE138" s="5" t="n">
        <v>0.311</v>
      </c>
      <c r="BF138" s="5" t="n">
        <v>0.863</v>
      </c>
      <c r="BG138" s="5" t="n">
        <v>0.15</v>
      </c>
      <c r="BH138" s="5" t="n">
        <v>1</v>
      </c>
      <c r="BI138" s="5" t="n">
        <v>0.505</v>
      </c>
      <c r="BJ138" s="5" t="n">
        <v>0.114</v>
      </c>
      <c r="BK138" s="5" t="n">
        <v>0.258</v>
      </c>
      <c r="BL138" s="5" t="n">
        <v>0.877</v>
      </c>
      <c r="BM138" s="5" t="n">
        <v>0.15</v>
      </c>
      <c r="BN138" s="5" t="n">
        <v>1</v>
      </c>
      <c r="BO138" s="5" t="n">
        <v>0</v>
      </c>
      <c r="BP138" s="5" t="n">
        <v>0</v>
      </c>
      <c r="BQ138" s="5" t="n">
        <v>0.234</v>
      </c>
      <c r="BR138" s="5" t="n">
        <v>0</v>
      </c>
      <c r="BS138" s="5" t="n">
        <v>0.5</v>
      </c>
      <c r="BT138" s="5" t="n">
        <v>0</v>
      </c>
      <c r="BU138" s="5" t="n">
        <v>0</v>
      </c>
      <c r="BV138" s="5" t="n">
        <v>0.289</v>
      </c>
      <c r="BW138" s="5" t="n">
        <v>0.15</v>
      </c>
      <c r="BX138" s="5" t="n">
        <v>0.833</v>
      </c>
      <c r="BY138" s="5" t="n">
        <v>11.787</v>
      </c>
      <c r="BZ138" s="5" t="n">
        <v>0</v>
      </c>
      <c r="CA138" s="5" t="n">
        <v>11.787</v>
      </c>
      <c r="CB138" s="5" t="n">
        <v>0</v>
      </c>
      <c r="CC138" s="5" t="n">
        <v>78.125</v>
      </c>
      <c r="CD138" s="5" t="n">
        <v>7.95</v>
      </c>
      <c r="CE138" s="5" t="n">
        <v>21.469</v>
      </c>
      <c r="CF138" s="5" t="n">
        <v>114.533</v>
      </c>
      <c r="CG138" s="5" t="n">
        <v>0.15</v>
      </c>
      <c r="CH138" s="5" t="n">
        <v>1</v>
      </c>
      <c r="CI138" s="5" t="n">
        <v>0</v>
      </c>
      <c r="CJ138" s="5" t="n">
        <v>0</v>
      </c>
      <c r="CK138" s="5" t="n">
        <v>0</v>
      </c>
      <c r="CL138" s="5" t="n">
        <v>0</v>
      </c>
      <c r="CM138" s="5" t="n">
        <v>0</v>
      </c>
      <c r="CN138" s="5" t="n">
        <v>0</v>
      </c>
      <c r="CO138" s="5" t="n">
        <v>0</v>
      </c>
      <c r="CP138" s="5" t="n">
        <v>0</v>
      </c>
      <c r="CQ138" s="5" t="n">
        <v>1.198</v>
      </c>
      <c r="CR138" s="5" t="n">
        <v>0</v>
      </c>
      <c r="CS138" s="5" t="n">
        <v>4.776</v>
      </c>
      <c r="CT138" s="5" t="n">
        <v>4.753</v>
      </c>
      <c r="CU138" s="5" t="n">
        <v>15.162</v>
      </c>
    </row>
    <row r="139">
      <c r="A139" s="5" t="inlineStr">
        <is>
          <t>CPV2022</t>
        </is>
      </c>
      <c r="B139" s="5" t="inlineStr">
        <is>
          <t>CPV</t>
        </is>
      </c>
      <c r="C139" s="5" t="inlineStr">
        <is>
          <t>CPV</t>
        </is>
      </c>
      <c r="D139" s="5" t="inlineStr">
        <is>
          <t>Cabo Verde</t>
        </is>
      </c>
      <c r="E139" s="5" t="n">
        <v>2022</v>
      </c>
      <c r="F139" s="5" t="n">
        <v>0.15</v>
      </c>
      <c r="G139" s="5" t="n">
        <v>11.72</v>
      </c>
      <c r="H139" s="5" t="n">
        <v>1.235</v>
      </c>
      <c r="I139" s="5" t="n">
        <v>0</v>
      </c>
      <c r="J139" s="5" t="n">
        <v>11.72</v>
      </c>
      <c r="K139" s="5" t="n">
        <v>0</v>
      </c>
      <c r="L139" s="5" t="n">
        <v>1</v>
      </c>
      <c r="M139" s="5" t="n">
        <v>9.782999999999999</v>
      </c>
      <c r="N139" s="5" t="n">
        <v>3.704</v>
      </c>
      <c r="O139" s="5" t="n">
        <v>0</v>
      </c>
      <c r="P139" s="5" t="n">
        <v>9.782999999999999</v>
      </c>
      <c r="Q139" s="5" t="n">
        <v>0</v>
      </c>
      <c r="R139" s="5" t="n">
        <v>1</v>
      </c>
      <c r="S139" s="5" t="n">
        <v>17.893</v>
      </c>
      <c r="T139" s="5" t="n">
        <v>7.408</v>
      </c>
      <c r="U139" s="5" t="n">
        <v>0.199</v>
      </c>
      <c r="V139" s="5" t="n">
        <v>20.577</v>
      </c>
      <c r="W139" s="5" t="n">
        <v>0.15</v>
      </c>
      <c r="X139" s="5" t="n">
        <v>1</v>
      </c>
      <c r="Y139" s="5" t="n">
        <v>5.853</v>
      </c>
      <c r="Z139" s="5" t="n">
        <v>0.791</v>
      </c>
      <c r="AA139" s="5" t="n">
        <v>0</v>
      </c>
      <c r="AB139" s="5" t="n">
        <v>5.853</v>
      </c>
      <c r="AC139" s="5" t="n">
        <v>0</v>
      </c>
      <c r="AD139" s="5" t="n">
        <v>1</v>
      </c>
      <c r="AE139" s="5" t="n">
        <v>7.088</v>
      </c>
      <c r="AF139" s="5" t="n">
        <v>1.657</v>
      </c>
      <c r="AG139" s="5" t="n">
        <v>0</v>
      </c>
      <c r="AH139" s="5" t="n">
        <v>7.088</v>
      </c>
      <c r="AI139" s="5" t="n">
        <v>0</v>
      </c>
      <c r="AJ139" s="5" t="n">
        <v>1</v>
      </c>
      <c r="AK139" s="5" t="n">
        <v>14.496</v>
      </c>
      <c r="AL139" s="5" t="n">
        <v>7.72</v>
      </c>
      <c r="AM139" s="5" t="n">
        <v>0.161</v>
      </c>
      <c r="AN139" s="5" t="n">
        <v>16.67</v>
      </c>
      <c r="AO139" s="5" t="n">
        <v>0.15</v>
      </c>
      <c r="AP139" s="5" t="n">
        <v>1</v>
      </c>
      <c r="AQ139" s="5" t="n">
        <v>0.861</v>
      </c>
      <c r="AR139" s="5" t="n">
        <v>0.123</v>
      </c>
      <c r="AS139" s="5" t="n">
        <v>0.462</v>
      </c>
      <c r="AT139" s="5" t="n">
        <v>1.522</v>
      </c>
      <c r="AU139" s="5" t="n">
        <v>0.15</v>
      </c>
      <c r="AV139" s="5" t="n">
        <v>1</v>
      </c>
      <c r="AW139" s="5" t="n">
        <v>0.986</v>
      </c>
      <c r="AX139" s="5" t="n">
        <v>0.123</v>
      </c>
      <c r="AY139" s="5" t="n">
        <v>0.263</v>
      </c>
      <c r="AZ139" s="5" t="n">
        <v>1.437</v>
      </c>
      <c r="BA139" s="5" t="n">
        <v>0.15</v>
      </c>
      <c r="BB139" s="5" t="n">
        <v>1</v>
      </c>
      <c r="BC139" s="5" t="n">
        <v>0.598</v>
      </c>
      <c r="BD139" s="5" t="n">
        <v>0.123</v>
      </c>
      <c r="BE139" s="5" t="n">
        <v>0.187</v>
      </c>
      <c r="BF139" s="5" t="n">
        <v>0.902</v>
      </c>
      <c r="BG139" s="5" t="n">
        <v>0.15</v>
      </c>
      <c r="BH139" s="5" t="n">
        <v>1</v>
      </c>
      <c r="BI139" s="5" t="n">
        <v>0.612</v>
      </c>
      <c r="BJ139" s="5" t="n">
        <v>0.123</v>
      </c>
      <c r="BK139" s="5" t="n">
        <v>0.611</v>
      </c>
      <c r="BL139" s="5" t="n">
        <v>1.407</v>
      </c>
      <c r="BM139" s="5" t="n">
        <v>0.15</v>
      </c>
      <c r="BN139" s="5" t="n">
        <v>1</v>
      </c>
      <c r="BO139" s="5" t="n">
        <v>0</v>
      </c>
      <c r="BP139" s="5" t="n">
        <v>0</v>
      </c>
      <c r="BQ139" s="5" t="n">
        <v>0.194</v>
      </c>
      <c r="BR139" s="5" t="n">
        <v>0</v>
      </c>
      <c r="BS139" s="5" t="n">
        <v>0.5</v>
      </c>
      <c r="BT139" s="5" t="n">
        <v>0</v>
      </c>
      <c r="BU139" s="5" t="n">
        <v>0</v>
      </c>
      <c r="BV139" s="5" t="n">
        <v>0.303</v>
      </c>
      <c r="BW139" s="5" t="n">
        <v>0.08</v>
      </c>
      <c r="BX139" s="5" t="n">
        <v>0.833</v>
      </c>
      <c r="BY139" s="5" t="n">
        <v>12.729</v>
      </c>
      <c r="BZ139" s="5" t="n">
        <v>0</v>
      </c>
      <c r="CA139" s="5" t="n">
        <v>12.729</v>
      </c>
      <c r="CB139" s="5" t="n">
        <v>0</v>
      </c>
      <c r="CC139" s="5" t="n">
        <v>97.90000000000001</v>
      </c>
      <c r="CD139" s="5" t="n">
        <v>7.95</v>
      </c>
      <c r="CE139" s="5" t="n">
        <v>26.176</v>
      </c>
      <c r="CF139" s="5" t="n">
        <v>142.687</v>
      </c>
      <c r="CG139" s="5" t="n">
        <v>0.15</v>
      </c>
      <c r="CH139" s="5" t="n">
        <v>1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0</v>
      </c>
      <c r="CN139" s="5" t="n">
        <v>0</v>
      </c>
      <c r="CO139" s="5" t="n">
        <v>0</v>
      </c>
      <c r="CP139" s="5" t="n">
        <v>0</v>
      </c>
      <c r="CQ139" s="5" t="n">
        <v>1.294</v>
      </c>
      <c r="CR139" s="5" t="n">
        <v>0</v>
      </c>
      <c r="CS139" s="5" t="n">
        <v>5.158</v>
      </c>
      <c r="CT139" s="5" t="n">
        <v>10.485</v>
      </c>
      <c r="CU139" s="5" t="n">
        <v>31.326</v>
      </c>
    </row>
    <row r="140">
      <c r="A140" s="5" t="inlineStr">
        <is>
          <t>CPV2023</t>
        </is>
      </c>
      <c r="B140" s="5" t="inlineStr">
        <is>
          <t>CPV</t>
        </is>
      </c>
      <c r="C140" s="5" t="inlineStr">
        <is>
          <t>CPV</t>
        </is>
      </c>
      <c r="D140" s="5" t="inlineStr">
        <is>
          <t>Cabo Verde</t>
        </is>
      </c>
      <c r="E140" s="5" t="n">
        <v>2023</v>
      </c>
      <c r="F140" s="5" t="n">
        <v>0.15</v>
      </c>
      <c r="G140" s="5" t="n">
        <v>6.147</v>
      </c>
      <c r="H140" s="5" t="n">
        <v>1.286</v>
      </c>
      <c r="I140" s="5" t="n">
        <v>0</v>
      </c>
      <c r="J140" s="5" t="n">
        <v>6.147</v>
      </c>
      <c r="K140" s="5" t="n">
        <v>0</v>
      </c>
      <c r="L140" s="5" t="n">
        <v>1</v>
      </c>
      <c r="M140" s="5" t="n">
        <v>7.886</v>
      </c>
      <c r="N140" s="5" t="n">
        <v>3.857</v>
      </c>
      <c r="O140" s="5" t="n">
        <v>0</v>
      </c>
      <c r="P140" s="5" t="n">
        <v>7.886</v>
      </c>
      <c r="Q140" s="5" t="n">
        <v>0</v>
      </c>
      <c r="R140" s="5" t="n">
        <v>1</v>
      </c>
      <c r="S140" s="5" t="n">
        <v>12.575</v>
      </c>
      <c r="T140" s="5" t="n">
        <v>7.714</v>
      </c>
      <c r="U140" s="5" t="n">
        <v>0.209</v>
      </c>
      <c r="V140" s="5" t="n">
        <v>14.461</v>
      </c>
      <c r="W140" s="5" t="n">
        <v>0.15</v>
      </c>
      <c r="X140" s="5" t="n">
        <v>1</v>
      </c>
      <c r="Y140" s="5" t="n">
        <v>9.028</v>
      </c>
      <c r="Z140" s="5" t="n">
        <v>1.22</v>
      </c>
      <c r="AA140" s="5" t="n">
        <v>0</v>
      </c>
      <c r="AB140" s="5" t="n">
        <v>9.028</v>
      </c>
      <c r="AC140" s="5" t="n">
        <v>0</v>
      </c>
      <c r="AD140" s="5" t="n">
        <v>1</v>
      </c>
      <c r="AE140" s="5" t="n">
        <v>10.314</v>
      </c>
      <c r="AF140" s="5" t="n">
        <v>2.412</v>
      </c>
      <c r="AG140" s="5" t="n">
        <v>0</v>
      </c>
      <c r="AH140" s="5" t="n">
        <v>10.314</v>
      </c>
      <c r="AI140" s="5" t="n">
        <v>0</v>
      </c>
      <c r="AJ140" s="5" t="n">
        <v>1</v>
      </c>
      <c r="AK140" s="5" t="n">
        <v>18.028</v>
      </c>
      <c r="AL140" s="5" t="n">
        <v>9.602</v>
      </c>
      <c r="AM140" s="5" t="n">
        <v>0.299</v>
      </c>
      <c r="AN140" s="5" t="n">
        <v>20.732</v>
      </c>
      <c r="AO140" s="5" t="n">
        <v>0.15</v>
      </c>
      <c r="AP140" s="5" t="n">
        <v>1</v>
      </c>
      <c r="AQ140" s="5" t="n">
        <v>0.76</v>
      </c>
      <c r="AR140" s="5" t="n">
        <v>0.129</v>
      </c>
      <c r="AS140" s="5" t="n">
        <v>0.469</v>
      </c>
      <c r="AT140" s="5" t="n">
        <v>1.414</v>
      </c>
      <c r="AU140" s="5" t="n">
        <v>0.15</v>
      </c>
      <c r="AV140" s="5" t="n">
        <v>1</v>
      </c>
      <c r="AW140" s="5" t="n">
        <v>0.8110000000000001</v>
      </c>
      <c r="AX140" s="5" t="n">
        <v>0.129</v>
      </c>
      <c r="AY140" s="5" t="n">
        <v>0.317</v>
      </c>
      <c r="AZ140" s="5" t="n">
        <v>1.297</v>
      </c>
      <c r="BA140" s="5" t="n">
        <v>0.15</v>
      </c>
      <c r="BB140" s="5" t="n">
        <v>1</v>
      </c>
      <c r="BC140" s="5" t="n">
        <v>0.535</v>
      </c>
      <c r="BD140" s="5" t="n">
        <v>0.129</v>
      </c>
      <c r="BE140" s="5" t="n">
        <v>0.157</v>
      </c>
      <c r="BF140" s="5" t="n">
        <v>0.795</v>
      </c>
      <c r="BG140" s="5" t="n">
        <v>0.15</v>
      </c>
      <c r="BH140" s="5" t="n">
        <v>1</v>
      </c>
      <c r="BI140" s="5" t="n">
        <v>0.579</v>
      </c>
      <c r="BJ140" s="5" t="n">
        <v>0.129</v>
      </c>
      <c r="BK140" s="5" t="n">
        <v>0.668</v>
      </c>
      <c r="BL140" s="5" t="n">
        <v>1.434</v>
      </c>
      <c r="BM140" s="5" t="n">
        <v>0.15</v>
      </c>
      <c r="BN140" s="5" t="n">
        <v>1</v>
      </c>
      <c r="BO140" s="5" t="n">
        <v>0</v>
      </c>
      <c r="BP140" s="5" t="n">
        <v>0</v>
      </c>
      <c r="BQ140" s="5" t="n">
        <v>0.199</v>
      </c>
      <c r="BR140" s="5" t="n">
        <v>0</v>
      </c>
      <c r="BS140" s="5" t="n">
        <v>0.5</v>
      </c>
      <c r="BT140" s="5" t="n">
        <v>0</v>
      </c>
      <c r="BU140" s="5" t="n">
        <v>0</v>
      </c>
      <c r="BV140" s="5" t="n">
        <v>0.312</v>
      </c>
      <c r="BW140" s="5" t="n">
        <v>0.08</v>
      </c>
      <c r="BX140" s="5" t="n">
        <v>0.833</v>
      </c>
      <c r="BY140" s="5" t="n">
        <v>13.254</v>
      </c>
      <c r="BZ140" s="5" t="n">
        <v>0</v>
      </c>
      <c r="CA140" s="5" t="n">
        <v>13.254</v>
      </c>
      <c r="CB140" s="5" t="n">
        <v>0</v>
      </c>
      <c r="CC140" s="5" t="n">
        <v>83.248</v>
      </c>
      <c r="CD140" s="5" t="n">
        <v>7.95</v>
      </c>
      <c r="CE140" s="5" t="n">
        <v>23.129</v>
      </c>
      <c r="CF140" s="5" t="n">
        <v>122.334</v>
      </c>
      <c r="CG140" s="5" t="n">
        <v>0.15</v>
      </c>
      <c r="CH140" s="5" t="n">
        <v>1</v>
      </c>
      <c r="CI140" s="5" t="n">
        <v>0</v>
      </c>
      <c r="CJ140" s="5" t="n">
        <v>0</v>
      </c>
      <c r="CK140" s="5" t="n">
        <v>0</v>
      </c>
      <c r="CL140" s="5" t="n">
        <v>0</v>
      </c>
      <c r="CM140" s="5" t="n">
        <v>0</v>
      </c>
      <c r="CN140" s="5" t="n">
        <v>0</v>
      </c>
      <c r="CO140" s="5" t="n">
        <v>0</v>
      </c>
      <c r="CP140" s="5" t="n">
        <v>0</v>
      </c>
      <c r="CQ140" s="5" t="n">
        <v>1.348</v>
      </c>
      <c r="CR140" s="5" t="n">
        <v>0</v>
      </c>
      <c r="CS140" s="5" t="n">
        <v>5.37</v>
      </c>
      <c r="CT140" s="5" t="n">
        <v>4.861</v>
      </c>
      <c r="CU140" s="5" t="n">
        <v>11.622</v>
      </c>
    </row>
    <row r="141">
      <c r="A141" s="5" t="inlineStr">
        <is>
          <t>CPV2024</t>
        </is>
      </c>
      <c r="B141" s="5" t="inlineStr">
        <is>
          <t>CPV</t>
        </is>
      </c>
      <c r="C141" s="5" t="inlineStr">
        <is>
          <t>CPV</t>
        </is>
      </c>
      <c r="D141" s="5" t="inlineStr">
        <is>
          <t>Cabo Verde</t>
        </is>
      </c>
      <c r="E141" s="5" t="n">
        <v>2024</v>
      </c>
      <c r="F141" s="5" t="n">
        <v>0.15</v>
      </c>
      <c r="G141" s="5" t="n">
        <v>5.575</v>
      </c>
      <c r="H141" s="5" t="n">
        <v>1.324</v>
      </c>
      <c r="I141" s="5" t="n">
        <v>0</v>
      </c>
      <c r="J141" s="5" t="n">
        <v>5.575</v>
      </c>
      <c r="K141" s="5" t="n">
        <v>0</v>
      </c>
      <c r="L141" s="5" t="n">
        <v>1</v>
      </c>
      <c r="M141" s="5" t="n">
        <v>7.124</v>
      </c>
      <c r="N141" s="5" t="n">
        <v>3.971</v>
      </c>
      <c r="O141" s="5" t="n">
        <v>0</v>
      </c>
      <c r="P141" s="5" t="n">
        <v>7.124</v>
      </c>
      <c r="Q141" s="5" t="n">
        <v>0</v>
      </c>
      <c r="R141" s="5" t="n">
        <v>1</v>
      </c>
      <c r="S141" s="5" t="n">
        <v>12.193</v>
      </c>
      <c r="T141" s="5" t="n">
        <v>7.942</v>
      </c>
      <c r="U141" s="5" t="n">
        <v>0.249</v>
      </c>
      <c r="V141" s="5" t="n">
        <v>14.022</v>
      </c>
      <c r="W141" s="5" t="n">
        <v>0.15</v>
      </c>
      <c r="X141" s="5" t="n">
        <v>1</v>
      </c>
      <c r="Y141" s="5" t="n">
        <v>8.521000000000001</v>
      </c>
      <c r="Z141" s="5" t="n">
        <v>1.152</v>
      </c>
      <c r="AA141" s="5" t="n">
        <v>0</v>
      </c>
      <c r="AB141" s="5" t="n">
        <v>8.521000000000001</v>
      </c>
      <c r="AC141" s="5" t="n">
        <v>0</v>
      </c>
      <c r="AD141" s="5" t="n">
        <v>1</v>
      </c>
      <c r="AE141" s="5" t="n">
        <v>9.843999999999999</v>
      </c>
      <c r="AF141" s="5" t="n">
        <v>2.302</v>
      </c>
      <c r="AG141" s="5" t="n">
        <v>0</v>
      </c>
      <c r="AH141" s="5" t="n">
        <v>9.843999999999999</v>
      </c>
      <c r="AI141" s="5" t="n">
        <v>0</v>
      </c>
      <c r="AJ141" s="5" t="n">
        <v>1</v>
      </c>
      <c r="AK141" s="5" t="n">
        <v>17.786</v>
      </c>
      <c r="AL141" s="5" t="n">
        <v>9.473000000000001</v>
      </c>
      <c r="AM141" s="5" t="n">
        <v>0.363</v>
      </c>
      <c r="AN141" s="5" t="n">
        <v>20.454</v>
      </c>
      <c r="AO141" s="5" t="n">
        <v>0.15</v>
      </c>
      <c r="AP141" s="5" t="n">
        <v>1</v>
      </c>
      <c r="AQ141" s="5" t="n">
        <v>0.724</v>
      </c>
      <c r="AR141" s="5" t="n">
        <v>0.132</v>
      </c>
      <c r="AS141" s="5" t="n">
        <v>0.459</v>
      </c>
      <c r="AT141" s="5" t="n">
        <v>1.361</v>
      </c>
      <c r="AU141" s="5" t="n">
        <v>0.15</v>
      </c>
      <c r="AV141" s="5" t="n">
        <v>1</v>
      </c>
      <c r="AW141" s="5" t="n">
        <v>0.75</v>
      </c>
      <c r="AX141" s="5" t="n">
        <v>0.132</v>
      </c>
      <c r="AY141" s="5" t="n">
        <v>0.289</v>
      </c>
      <c r="AZ141" s="5" t="n">
        <v>1.195</v>
      </c>
      <c r="BA141" s="5" t="n">
        <v>0.15</v>
      </c>
      <c r="BB141" s="5" t="n">
        <v>1</v>
      </c>
      <c r="BC141" s="5" t="n">
        <v>0.513</v>
      </c>
      <c r="BD141" s="5" t="n">
        <v>0.132</v>
      </c>
      <c r="BE141" s="5" t="n">
        <v>0.188</v>
      </c>
      <c r="BF141" s="5" t="n">
        <v>0.806</v>
      </c>
      <c r="BG141" s="5" t="n">
        <v>0.15</v>
      </c>
      <c r="BH141" s="5" t="n">
        <v>1</v>
      </c>
      <c r="BI141" s="5" t="n">
        <v>0.591</v>
      </c>
      <c r="BJ141" s="5" t="n">
        <v>0.132</v>
      </c>
      <c r="BK141" s="5" t="n">
        <v>0.5659999999999999</v>
      </c>
      <c r="BL141" s="5" t="n">
        <v>1.331</v>
      </c>
      <c r="BM141" s="5" t="n">
        <v>0.15</v>
      </c>
      <c r="BN141" s="5" t="n">
        <v>1</v>
      </c>
      <c r="BO141" s="5" t="n">
        <v>0</v>
      </c>
      <c r="BP141" s="5" t="n">
        <v>0</v>
      </c>
      <c r="BQ141" s="5" t="n">
        <v>0.199</v>
      </c>
      <c r="BR141" s="5" t="n">
        <v>0</v>
      </c>
      <c r="BS141" s="5" t="n">
        <v>0.5</v>
      </c>
      <c r="BT141" s="5" t="n">
        <v>0</v>
      </c>
      <c r="BU141" s="5" t="n">
        <v>0</v>
      </c>
      <c r="BV141" s="5" t="n">
        <v>0.352</v>
      </c>
      <c r="BW141" s="5" t="n">
        <v>0.08</v>
      </c>
      <c r="BX141" s="5" t="n">
        <v>0.833</v>
      </c>
      <c r="BY141" s="5" t="n">
        <v>13.646</v>
      </c>
      <c r="BZ141" s="5" t="n">
        <v>0</v>
      </c>
      <c r="CA141" s="5" t="n">
        <v>13.646</v>
      </c>
      <c r="CB141" s="5" t="n">
        <v>0</v>
      </c>
      <c r="CC141" s="5" t="n">
        <v>82.58799999999999</v>
      </c>
      <c r="CD141" s="5" t="n">
        <v>7.95</v>
      </c>
      <c r="CE141" s="5" t="n">
        <v>19.848</v>
      </c>
      <c r="CF141" s="5" t="n">
        <v>117.802</v>
      </c>
      <c r="CG141" s="5" t="n">
        <v>0.15</v>
      </c>
      <c r="CH141" s="5" t="n">
        <v>1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1.387</v>
      </c>
      <c r="CR141" s="5" t="n">
        <v>0</v>
      </c>
      <c r="CS141" s="5" t="n">
        <v>5.529</v>
      </c>
      <c r="CT141" s="5" t="n">
        <v>4.251</v>
      </c>
      <c r="CU141" s="5" t="n">
        <v>10.168</v>
      </c>
    </row>
    <row r="142">
      <c r="A142" s="5" t="inlineStr">
        <is>
          <t>KHM2021</t>
        </is>
      </c>
      <c r="B142" s="5" t="inlineStr">
        <is>
          <t>KHM</t>
        </is>
      </c>
      <c r="C142" s="5" t="inlineStr">
        <is>
          <t>KHM</t>
        </is>
      </c>
      <c r="D142" s="5" t="inlineStr">
        <is>
          <t>Cambodia</t>
        </is>
      </c>
      <c r="E142" s="5" t="n">
        <v>2021</v>
      </c>
      <c r="F142" s="5" t="n">
        <v>0.1</v>
      </c>
      <c r="G142" s="5" t="n">
        <v>4.733</v>
      </c>
      <c r="H142" s="5" t="n">
        <v>1.141</v>
      </c>
      <c r="I142" s="5" t="n">
        <v>0</v>
      </c>
      <c r="J142" s="5" t="n">
        <v>4.733</v>
      </c>
      <c r="K142" s="5" t="n">
        <v>0</v>
      </c>
      <c r="L142" s="5" t="n">
        <v>1</v>
      </c>
      <c r="M142" s="5" t="n">
        <v>7.94</v>
      </c>
      <c r="N142" s="5" t="n">
        <v>3.422</v>
      </c>
      <c r="O142" s="5" t="n">
        <v>0</v>
      </c>
      <c r="P142" s="5" t="n">
        <v>7.94</v>
      </c>
      <c r="Q142" s="5" t="n">
        <v>0</v>
      </c>
      <c r="R142" s="5" t="n">
        <v>1</v>
      </c>
      <c r="S142" s="5" t="n">
        <v>10.436</v>
      </c>
      <c r="T142" s="5" t="n">
        <v>6.843</v>
      </c>
      <c r="U142" s="5" t="n">
        <v>0</v>
      </c>
      <c r="V142" s="5" t="n">
        <v>11.479</v>
      </c>
      <c r="W142" s="5" t="n">
        <v>0.1</v>
      </c>
      <c r="X142" s="5" t="n">
        <v>1</v>
      </c>
      <c r="Y142" s="5" t="n">
        <v>10.551</v>
      </c>
      <c r="Z142" s="5" t="n">
        <v>1.302</v>
      </c>
      <c r="AA142" s="5" t="n">
        <v>0</v>
      </c>
      <c r="AB142" s="5" t="n">
        <v>10.551</v>
      </c>
      <c r="AC142" s="5" t="n">
        <v>0</v>
      </c>
      <c r="AD142" s="5" t="n">
        <v>1</v>
      </c>
      <c r="AE142" s="5" t="n">
        <v>11.694</v>
      </c>
      <c r="AF142" s="5" t="n">
        <v>2.549</v>
      </c>
      <c r="AG142" s="5" t="n">
        <v>0</v>
      </c>
      <c r="AH142" s="5" t="n">
        <v>11.694</v>
      </c>
      <c r="AI142" s="5" t="n">
        <v>0</v>
      </c>
      <c r="AJ142" s="5" t="n">
        <v>1</v>
      </c>
      <c r="AK142" s="5" t="n">
        <v>18.554</v>
      </c>
      <c r="AL142" s="5" t="n">
        <v>9.627000000000001</v>
      </c>
      <c r="AM142" s="5" t="n">
        <v>0</v>
      </c>
      <c r="AN142" s="5" t="n">
        <v>20.41</v>
      </c>
      <c r="AO142" s="5" t="n">
        <v>0.1</v>
      </c>
      <c r="AP142" s="5" t="n">
        <v>1</v>
      </c>
      <c r="AQ142" s="5" t="n">
        <v>0.621</v>
      </c>
      <c r="AR142" s="5" t="n">
        <v>0.114</v>
      </c>
      <c r="AS142" s="5" t="n">
        <v>0.237</v>
      </c>
      <c r="AT142" s="5" t="n">
        <v>0.9429999999999999</v>
      </c>
      <c r="AU142" s="5" t="n">
        <v>0.1</v>
      </c>
      <c r="AV142" s="5" t="n">
        <v>1</v>
      </c>
      <c r="AW142" s="5" t="n">
        <v>0.593</v>
      </c>
      <c r="AX142" s="5" t="n">
        <v>0.114</v>
      </c>
      <c r="AY142" s="5" t="n">
        <v>0.241</v>
      </c>
      <c r="AZ142" s="5" t="n">
        <v>0.918</v>
      </c>
      <c r="BA142" s="5" t="n">
        <v>0.1</v>
      </c>
      <c r="BB142" s="5" t="n">
        <v>1</v>
      </c>
      <c r="BC142" s="5" t="n">
        <v>0.44</v>
      </c>
      <c r="BD142" s="5" t="n">
        <v>0.114</v>
      </c>
      <c r="BE142" s="5" t="n">
        <v>0.049</v>
      </c>
      <c r="BF142" s="5" t="n">
        <v>0.537</v>
      </c>
      <c r="BG142" s="5" t="n">
        <v>0.1</v>
      </c>
      <c r="BH142" s="5" t="n">
        <v>1</v>
      </c>
      <c r="BI142" s="5" t="n">
        <v>0.5600000000000001</v>
      </c>
      <c r="BJ142" s="5" t="n">
        <v>0.114</v>
      </c>
      <c r="BK142" s="5" t="n">
        <v>0</v>
      </c>
      <c r="BL142" s="5" t="n">
        <v>0.616</v>
      </c>
      <c r="BM142" s="5" t="n">
        <v>0.1</v>
      </c>
      <c r="BN142" s="5" t="n">
        <v>1</v>
      </c>
      <c r="BO142" s="5" t="n">
        <v>0</v>
      </c>
      <c r="BP142" s="5" t="n">
        <v>0</v>
      </c>
      <c r="BQ142" s="5" t="n">
        <v>0.158</v>
      </c>
      <c r="BR142" s="5" t="n">
        <v>0</v>
      </c>
      <c r="BS142" s="5" t="n">
        <v>0.5</v>
      </c>
      <c r="BT142" s="5" t="n">
        <v>0</v>
      </c>
      <c r="BU142" s="5" t="n">
        <v>0</v>
      </c>
      <c r="BV142" s="5" t="n">
        <v>0.118</v>
      </c>
      <c r="BW142" s="5" t="n">
        <v>0.1</v>
      </c>
      <c r="BX142" s="5" t="n">
        <v>0.667</v>
      </c>
      <c r="BY142" s="5" t="n">
        <v>11.787</v>
      </c>
      <c r="BZ142" s="5" t="n">
        <v>0</v>
      </c>
      <c r="CA142" s="5" t="n">
        <v>11.787</v>
      </c>
      <c r="CB142" s="5" t="n">
        <v>0</v>
      </c>
      <c r="CC142" s="5" t="n">
        <v>81.69499999999999</v>
      </c>
      <c r="CD142" s="5" t="n">
        <v>7.95</v>
      </c>
      <c r="CE142" s="5" t="n">
        <v>0</v>
      </c>
      <c r="CF142" s="5" t="n">
        <v>89.86499999999999</v>
      </c>
      <c r="CG142" s="5" t="n">
        <v>0.1</v>
      </c>
      <c r="CH142" s="5" t="n">
        <v>1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0</v>
      </c>
      <c r="CP142" s="5" t="n">
        <v>0.005</v>
      </c>
      <c r="CQ142" s="5" t="n">
        <v>1.198</v>
      </c>
      <c r="CR142" s="5" t="n">
        <v>0</v>
      </c>
      <c r="CS142" s="5" t="n">
        <v>4.776</v>
      </c>
      <c r="CT142" s="5" t="n">
        <v>3.604</v>
      </c>
      <c r="CU142" s="5" t="n">
        <v>9.407999999999999</v>
      </c>
    </row>
    <row r="143">
      <c r="A143" s="5" t="inlineStr">
        <is>
          <t>KHM2022</t>
        </is>
      </c>
      <c r="B143" s="5" t="inlineStr">
        <is>
          <t>KHM</t>
        </is>
      </c>
      <c r="C143" s="5" t="inlineStr">
        <is>
          <t>KHM</t>
        </is>
      </c>
      <c r="D143" s="5" t="inlineStr">
        <is>
          <t>Cambodia</t>
        </is>
      </c>
      <c r="E143" s="5" t="n">
        <v>2022</v>
      </c>
      <c r="F143" s="5" t="n">
        <v>0.1</v>
      </c>
      <c r="G143" s="5" t="n">
        <v>8.752000000000001</v>
      </c>
      <c r="H143" s="5" t="n">
        <v>1.231</v>
      </c>
      <c r="I143" s="5" t="n">
        <v>0</v>
      </c>
      <c r="J143" s="5" t="n">
        <v>8.752000000000001</v>
      </c>
      <c r="K143" s="5" t="n">
        <v>0</v>
      </c>
      <c r="L143" s="5" t="n">
        <v>1</v>
      </c>
      <c r="M143" s="5" t="n">
        <v>9.747999999999999</v>
      </c>
      <c r="N143" s="5" t="n">
        <v>3.694</v>
      </c>
      <c r="O143" s="5" t="n">
        <v>0</v>
      </c>
      <c r="P143" s="5" t="n">
        <v>9.747999999999999</v>
      </c>
      <c r="Q143" s="5" t="n">
        <v>0</v>
      </c>
      <c r="R143" s="5" t="n">
        <v>1</v>
      </c>
      <c r="S143" s="5" t="n">
        <v>14.91</v>
      </c>
      <c r="T143" s="5" t="n">
        <v>7.389</v>
      </c>
      <c r="U143" s="5" t="n">
        <v>0.11</v>
      </c>
      <c r="V143" s="5" t="n">
        <v>16.401</v>
      </c>
      <c r="W143" s="5" t="n">
        <v>0.1</v>
      </c>
      <c r="X143" s="5" t="n">
        <v>1</v>
      </c>
      <c r="Y143" s="5" t="n">
        <v>17.332</v>
      </c>
      <c r="Z143" s="5" t="n">
        <v>2.139</v>
      </c>
      <c r="AA143" s="5" t="n">
        <v>0</v>
      </c>
      <c r="AB143" s="5" t="n">
        <v>17.332</v>
      </c>
      <c r="AC143" s="5" t="n">
        <v>0</v>
      </c>
      <c r="AD143" s="5" t="n">
        <v>1</v>
      </c>
      <c r="AE143" s="5" t="n">
        <v>18.566</v>
      </c>
      <c r="AF143" s="5" t="n">
        <v>4.048</v>
      </c>
      <c r="AG143" s="5" t="n">
        <v>0</v>
      </c>
      <c r="AH143" s="5" t="n">
        <v>18.566</v>
      </c>
      <c r="AI143" s="5" t="n">
        <v>0</v>
      </c>
      <c r="AJ143" s="5" t="n">
        <v>1</v>
      </c>
      <c r="AK143" s="5" t="n">
        <v>25.974</v>
      </c>
      <c r="AL143" s="5" t="n">
        <v>13.478</v>
      </c>
      <c r="AM143" s="5" t="n">
        <v>0.192</v>
      </c>
      <c r="AN143" s="5" t="n">
        <v>28.572</v>
      </c>
      <c r="AO143" s="5" t="n">
        <v>0.1</v>
      </c>
      <c r="AP143" s="5" t="n">
        <v>1</v>
      </c>
      <c r="AQ143" s="5" t="n">
        <v>0.847</v>
      </c>
      <c r="AR143" s="5" t="n">
        <v>0.123</v>
      </c>
      <c r="AS143" s="5" t="n">
        <v>0.184</v>
      </c>
      <c r="AT143" s="5" t="n">
        <v>1.133</v>
      </c>
      <c r="AU143" s="5" t="n">
        <v>0.1</v>
      </c>
      <c r="AV143" s="5" t="n">
        <v>1</v>
      </c>
      <c r="AW143" s="5" t="n">
        <v>0.947</v>
      </c>
      <c r="AX143" s="5" t="n">
        <v>0.123</v>
      </c>
      <c r="AY143" s="5" t="n">
        <v>0.169</v>
      </c>
      <c r="AZ143" s="5" t="n">
        <v>1.227</v>
      </c>
      <c r="BA143" s="5" t="n">
        <v>0.1</v>
      </c>
      <c r="BB143" s="5" t="n">
        <v>1</v>
      </c>
      <c r="BC143" s="5" t="n">
        <v>0.589</v>
      </c>
      <c r="BD143" s="5" t="n">
        <v>0.123</v>
      </c>
      <c r="BE143" s="5" t="n">
        <v>-0.026</v>
      </c>
      <c r="BF143" s="5" t="n">
        <v>0.619</v>
      </c>
      <c r="BG143" s="5" t="n">
        <v>0.1</v>
      </c>
      <c r="BH143" s="5" t="n">
        <v>1</v>
      </c>
      <c r="BI143" s="5" t="n">
        <v>0.6889999999999999</v>
      </c>
      <c r="BJ143" s="5" t="n">
        <v>0.123</v>
      </c>
      <c r="BK143" s="5" t="n">
        <v>0.005</v>
      </c>
      <c r="BL143" s="5" t="n">
        <v>0.758</v>
      </c>
      <c r="BM143" s="5" t="n">
        <v>0.1</v>
      </c>
      <c r="BN143" s="5" t="n">
        <v>1</v>
      </c>
      <c r="BO143" s="5" t="n">
        <v>0</v>
      </c>
      <c r="BP143" s="5" t="n">
        <v>0</v>
      </c>
      <c r="BQ143" s="5" t="n">
        <v>0.158</v>
      </c>
      <c r="BR143" s="5" t="n">
        <v>0</v>
      </c>
      <c r="BS143" s="5" t="n">
        <v>0.5</v>
      </c>
      <c r="BT143" s="5" t="n">
        <v>0</v>
      </c>
      <c r="BU143" s="5" t="n">
        <v>0</v>
      </c>
      <c r="BV143" s="5" t="n">
        <v>0.117</v>
      </c>
      <c r="BW143" s="5" t="n">
        <v>0.1</v>
      </c>
      <c r="BX143" s="5" t="n">
        <v>0.667</v>
      </c>
      <c r="BY143" s="5" t="n">
        <v>12.729</v>
      </c>
      <c r="BZ143" s="5" t="n">
        <v>0</v>
      </c>
      <c r="CA143" s="5" t="n">
        <v>12.729</v>
      </c>
      <c r="CB143" s="5" t="n">
        <v>0</v>
      </c>
      <c r="CC143" s="5" t="n">
        <v>102.477</v>
      </c>
      <c r="CD143" s="5" t="n">
        <v>7.95</v>
      </c>
      <c r="CE143" s="5" t="n">
        <v>0.758</v>
      </c>
      <c r="CF143" s="5" t="n">
        <v>112.724</v>
      </c>
      <c r="CG143" s="5" t="n">
        <v>0.1</v>
      </c>
      <c r="CH143" s="5" t="n">
        <v>1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0.005</v>
      </c>
      <c r="CQ143" s="5" t="n">
        <v>1.294</v>
      </c>
      <c r="CR143" s="5" t="n">
        <v>0</v>
      </c>
      <c r="CS143" s="5" t="n">
        <v>5.158</v>
      </c>
      <c r="CT143" s="5" t="n">
        <v>7.554</v>
      </c>
      <c r="CU143" s="5" t="n">
        <v>16.097</v>
      </c>
    </row>
    <row r="144">
      <c r="A144" s="5" t="inlineStr">
        <is>
          <t>KHM2023</t>
        </is>
      </c>
      <c r="B144" s="5" t="inlineStr">
        <is>
          <t>KHM</t>
        </is>
      </c>
      <c r="C144" s="5" t="inlineStr">
        <is>
          <t>KHM</t>
        </is>
      </c>
      <c r="D144" s="5" t="inlineStr">
        <is>
          <t>Cambodia</t>
        </is>
      </c>
      <c r="E144" s="5" t="n">
        <v>2023</v>
      </c>
      <c r="F144" s="5" t="n">
        <v>0.1</v>
      </c>
      <c r="G144" s="5" t="n">
        <v>5.761</v>
      </c>
      <c r="H144" s="5" t="n">
        <v>1.284</v>
      </c>
      <c r="I144" s="5" t="n">
        <v>0</v>
      </c>
      <c r="J144" s="5" t="n">
        <v>5.761</v>
      </c>
      <c r="K144" s="5" t="n">
        <v>0</v>
      </c>
      <c r="L144" s="5" t="n">
        <v>1</v>
      </c>
      <c r="M144" s="5" t="n">
        <v>7.876</v>
      </c>
      <c r="N144" s="5" t="n">
        <v>3.853</v>
      </c>
      <c r="O144" s="5" t="n">
        <v>0</v>
      </c>
      <c r="P144" s="5" t="n">
        <v>7.876</v>
      </c>
      <c r="Q144" s="5" t="n">
        <v>0</v>
      </c>
      <c r="R144" s="5" t="n">
        <v>1</v>
      </c>
      <c r="S144" s="5" t="n">
        <v>12.182</v>
      </c>
      <c r="T144" s="5" t="n">
        <v>7.705</v>
      </c>
      <c r="U144" s="5" t="n">
        <v>0.135</v>
      </c>
      <c r="V144" s="5" t="n">
        <v>13.401</v>
      </c>
      <c r="W144" s="5" t="n">
        <v>0.1</v>
      </c>
      <c r="X144" s="5" t="n">
        <v>1</v>
      </c>
      <c r="Y144" s="5" t="n">
        <v>13.814</v>
      </c>
      <c r="Z144" s="5" t="n">
        <v>1.705</v>
      </c>
      <c r="AA144" s="5" t="n">
        <v>0</v>
      </c>
      <c r="AB144" s="5" t="n">
        <v>13.814</v>
      </c>
      <c r="AC144" s="5" t="n">
        <v>0</v>
      </c>
      <c r="AD144" s="5" t="n">
        <v>1</v>
      </c>
      <c r="AE144" s="5" t="n">
        <v>15.1</v>
      </c>
      <c r="AF144" s="5" t="n">
        <v>3.292</v>
      </c>
      <c r="AG144" s="5" t="n">
        <v>0</v>
      </c>
      <c r="AH144" s="5" t="n">
        <v>15.1</v>
      </c>
      <c r="AI144" s="5" t="n">
        <v>0</v>
      </c>
      <c r="AJ144" s="5" t="n">
        <v>1</v>
      </c>
      <c r="AK144" s="5" t="n">
        <v>22.814</v>
      </c>
      <c r="AL144" s="5" t="n">
        <v>11.838</v>
      </c>
      <c r="AM144" s="5" t="n">
        <v>0.253</v>
      </c>
      <c r="AN144" s="5" t="n">
        <v>25.095</v>
      </c>
      <c r="AO144" s="5" t="n">
        <v>0.1</v>
      </c>
      <c r="AP144" s="5" t="n">
        <v>1</v>
      </c>
      <c r="AQ144" s="5" t="n">
        <v>0.749</v>
      </c>
      <c r="AR144" s="5" t="n">
        <v>0.129</v>
      </c>
      <c r="AS144" s="5" t="n">
        <v>0.203</v>
      </c>
      <c r="AT144" s="5" t="n">
        <v>1.046</v>
      </c>
      <c r="AU144" s="5" t="n">
        <v>0.1</v>
      </c>
      <c r="AV144" s="5" t="n">
        <v>1</v>
      </c>
      <c r="AW144" s="5" t="n">
        <v>0.783</v>
      </c>
      <c r="AX144" s="5" t="n">
        <v>0.129</v>
      </c>
      <c r="AY144" s="5" t="n">
        <v>0.168</v>
      </c>
      <c r="AZ144" s="5" t="n">
        <v>1.046</v>
      </c>
      <c r="BA144" s="5" t="n">
        <v>0.1</v>
      </c>
      <c r="BB144" s="5" t="n">
        <v>1</v>
      </c>
      <c r="BC144" s="5" t="n">
        <v>0.527</v>
      </c>
      <c r="BD144" s="5" t="n">
        <v>0.129</v>
      </c>
      <c r="BE144" s="5" t="n">
        <v>-0.013</v>
      </c>
      <c r="BF144" s="5" t="n">
        <v>0.5590000000000001</v>
      </c>
      <c r="BG144" s="5" t="n">
        <v>0.1</v>
      </c>
      <c r="BH144" s="5" t="n">
        <v>1</v>
      </c>
      <c r="BI144" s="5" t="n">
        <v>0.64</v>
      </c>
      <c r="BJ144" s="5" t="n">
        <v>0.129</v>
      </c>
      <c r="BK144" s="5" t="n">
        <v>0.007</v>
      </c>
      <c r="BL144" s="5" t="n">
        <v>0.704</v>
      </c>
      <c r="BM144" s="5" t="n">
        <v>0.1</v>
      </c>
      <c r="BN144" s="5" t="n">
        <v>1</v>
      </c>
      <c r="BO144" s="5" t="n">
        <v>0</v>
      </c>
      <c r="BP144" s="5" t="n">
        <v>0</v>
      </c>
      <c r="BQ144" s="5" t="n">
        <v>0.158</v>
      </c>
      <c r="BR144" s="5" t="n">
        <v>0</v>
      </c>
      <c r="BS144" s="5" t="n">
        <v>0.5</v>
      </c>
      <c r="BT144" s="5" t="n">
        <v>0</v>
      </c>
      <c r="BU144" s="5" t="n">
        <v>0</v>
      </c>
      <c r="BV144" s="5" t="n">
        <v>0.117</v>
      </c>
      <c r="BW144" s="5" t="n">
        <v>0.1</v>
      </c>
      <c r="BX144" s="5" t="n">
        <v>0.667</v>
      </c>
      <c r="BY144" s="5" t="n">
        <v>13.254</v>
      </c>
      <c r="BZ144" s="5" t="n">
        <v>0</v>
      </c>
      <c r="CA144" s="5" t="n">
        <v>13.254</v>
      </c>
      <c r="CB144" s="5" t="n">
        <v>0</v>
      </c>
      <c r="CC144" s="5" t="n">
        <v>87.07899999999999</v>
      </c>
      <c r="CD144" s="5" t="n">
        <v>7.95</v>
      </c>
      <c r="CE144" s="5" t="n">
        <v>0.964</v>
      </c>
      <c r="CF144" s="5" t="n">
        <v>95.78700000000001</v>
      </c>
      <c r="CG144" s="5" t="n">
        <v>0.1</v>
      </c>
      <c r="CH144" s="5" t="n">
        <v>1</v>
      </c>
      <c r="CI144" s="5" t="n">
        <v>0</v>
      </c>
      <c r="CJ144" s="5" t="n">
        <v>0</v>
      </c>
      <c r="CK144" s="5" t="n">
        <v>0</v>
      </c>
      <c r="CL144" s="5" t="n">
        <v>0</v>
      </c>
      <c r="CM144" s="5" t="n">
        <v>0</v>
      </c>
      <c r="CN144" s="5" t="n">
        <v>0</v>
      </c>
      <c r="CO144" s="5" t="n">
        <v>0</v>
      </c>
      <c r="CP144" s="5" t="n">
        <v>0.002</v>
      </c>
      <c r="CQ144" s="5" t="n">
        <v>1.348</v>
      </c>
      <c r="CR144" s="5" t="n">
        <v>0</v>
      </c>
      <c r="CS144" s="5" t="n">
        <v>5.37</v>
      </c>
      <c r="CT144" s="5" t="n">
        <v>4.484</v>
      </c>
      <c r="CU144" s="5" t="n">
        <v>12.529</v>
      </c>
    </row>
    <row r="145">
      <c r="A145" s="5" t="inlineStr">
        <is>
          <t>KHM2024</t>
        </is>
      </c>
      <c r="B145" s="5" t="inlineStr">
        <is>
          <t>KHM</t>
        </is>
      </c>
      <c r="C145" s="5" t="inlineStr">
        <is>
          <t>KHM</t>
        </is>
      </c>
      <c r="D145" s="5" t="inlineStr">
        <is>
          <t>Cambodia</t>
        </is>
      </c>
      <c r="E145" s="5" t="n">
        <v>2024</v>
      </c>
      <c r="F145" s="5" t="n">
        <v>0.1</v>
      </c>
      <c r="G145" s="5" t="n">
        <v>4.826</v>
      </c>
      <c r="H145" s="5" t="n">
        <v>1.322</v>
      </c>
      <c r="I145" s="5" t="n">
        <v>0</v>
      </c>
      <c r="J145" s="5" t="n">
        <v>4.826</v>
      </c>
      <c r="K145" s="5" t="n">
        <v>0</v>
      </c>
      <c r="L145" s="5" t="n">
        <v>1</v>
      </c>
      <c r="M145" s="5" t="n">
        <v>7.115</v>
      </c>
      <c r="N145" s="5" t="n">
        <v>3.966</v>
      </c>
      <c r="O145" s="5" t="n">
        <v>0</v>
      </c>
      <c r="P145" s="5" t="n">
        <v>7.115</v>
      </c>
      <c r="Q145" s="5" t="n">
        <v>0</v>
      </c>
      <c r="R145" s="5" t="n">
        <v>1</v>
      </c>
      <c r="S145" s="5" t="n">
        <v>11.437</v>
      </c>
      <c r="T145" s="5" t="n">
        <v>7.933</v>
      </c>
      <c r="U145" s="5" t="n">
        <v>0.156</v>
      </c>
      <c r="V145" s="5" t="n">
        <v>12.581</v>
      </c>
      <c r="W145" s="5" t="n">
        <v>0.1</v>
      </c>
      <c r="X145" s="5" t="n">
        <v>1</v>
      </c>
      <c r="Y145" s="5" t="n">
        <v>12.219</v>
      </c>
      <c r="Z145" s="5" t="n">
        <v>1.508</v>
      </c>
      <c r="AA145" s="5" t="n">
        <v>0</v>
      </c>
      <c r="AB145" s="5" t="n">
        <v>12.219</v>
      </c>
      <c r="AC145" s="5" t="n">
        <v>0</v>
      </c>
      <c r="AD145" s="5" t="n">
        <v>1</v>
      </c>
      <c r="AE145" s="5" t="n">
        <v>13.543</v>
      </c>
      <c r="AF145" s="5" t="n">
        <v>2.952</v>
      </c>
      <c r="AG145" s="5" t="n">
        <v>0</v>
      </c>
      <c r="AH145" s="5" t="n">
        <v>13.543</v>
      </c>
      <c r="AI145" s="5" t="n">
        <v>0</v>
      </c>
      <c r="AJ145" s="5" t="n">
        <v>1</v>
      </c>
      <c r="AK145" s="5" t="n">
        <v>21.484</v>
      </c>
      <c r="AL145" s="5" t="n">
        <v>11.148</v>
      </c>
      <c r="AM145" s="5" t="n">
        <v>0.293</v>
      </c>
      <c r="AN145" s="5" t="n">
        <v>23.633</v>
      </c>
      <c r="AO145" s="5" t="n">
        <v>0.1</v>
      </c>
      <c r="AP145" s="5" t="n">
        <v>1</v>
      </c>
      <c r="AQ145" s="5" t="n">
        <v>0.72</v>
      </c>
      <c r="AR145" s="5" t="n">
        <v>0.132</v>
      </c>
      <c r="AS145" s="5" t="n">
        <v>0.202</v>
      </c>
      <c r="AT145" s="5" t="n">
        <v>1.014</v>
      </c>
      <c r="AU145" s="5" t="n">
        <v>0.1</v>
      </c>
      <c r="AV145" s="5" t="n">
        <v>1</v>
      </c>
      <c r="AW145" s="5" t="n">
        <v>0.734</v>
      </c>
      <c r="AX145" s="5" t="n">
        <v>0.132</v>
      </c>
      <c r="AY145" s="5" t="n">
        <v>0.159</v>
      </c>
      <c r="AZ145" s="5" t="n">
        <v>0.982</v>
      </c>
      <c r="BA145" s="5" t="n">
        <v>0.1</v>
      </c>
      <c r="BB145" s="5" t="n">
        <v>1</v>
      </c>
      <c r="BC145" s="5" t="n">
        <v>0.51</v>
      </c>
      <c r="BD145" s="5" t="n">
        <v>0.132</v>
      </c>
      <c r="BE145" s="5" t="n">
        <v>-0.01</v>
      </c>
      <c r="BF145" s="5" t="n">
        <v>0.543</v>
      </c>
      <c r="BG145" s="5" t="n">
        <v>0.1</v>
      </c>
      <c r="BH145" s="5" t="n">
        <v>1</v>
      </c>
      <c r="BI145" s="5" t="n">
        <v>0.652</v>
      </c>
      <c r="BJ145" s="5" t="n">
        <v>0.132</v>
      </c>
      <c r="BK145" s="5" t="n">
        <v>0.008999999999999999</v>
      </c>
      <c r="BL145" s="5" t="n">
        <v>0.717</v>
      </c>
      <c r="BM145" s="5" t="n">
        <v>0.1</v>
      </c>
      <c r="BN145" s="5" t="n">
        <v>1</v>
      </c>
      <c r="BO145" s="5" t="n">
        <v>0</v>
      </c>
      <c r="BP145" s="5" t="n">
        <v>0</v>
      </c>
      <c r="BQ145" s="5" t="n">
        <v>0.155</v>
      </c>
      <c r="BR145" s="5" t="n">
        <v>0</v>
      </c>
      <c r="BS145" s="5" t="n">
        <v>0.5</v>
      </c>
      <c r="BT145" s="5" t="n">
        <v>0</v>
      </c>
      <c r="BU145" s="5" t="n">
        <v>0</v>
      </c>
      <c r="BV145" s="5" t="n">
        <v>0.118</v>
      </c>
      <c r="BW145" s="5" t="n">
        <v>0.1</v>
      </c>
      <c r="BX145" s="5" t="n">
        <v>0.667</v>
      </c>
      <c r="BY145" s="5" t="n">
        <v>13.646</v>
      </c>
      <c r="BZ145" s="5" t="n">
        <v>0</v>
      </c>
      <c r="CA145" s="5" t="n">
        <v>13.646</v>
      </c>
      <c r="CB145" s="5" t="n">
        <v>0</v>
      </c>
      <c r="CC145" s="5" t="n">
        <v>86.38500000000001</v>
      </c>
      <c r="CD145" s="5" t="n">
        <v>7.95</v>
      </c>
      <c r="CE145" s="5" t="n">
        <v>1.177</v>
      </c>
      <c r="CF145" s="5" t="n">
        <v>95.024</v>
      </c>
      <c r="CG145" s="5" t="n">
        <v>0.1</v>
      </c>
      <c r="CH145" s="5" t="n">
        <v>1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0.002</v>
      </c>
      <c r="CQ145" s="5" t="n">
        <v>1.387</v>
      </c>
      <c r="CR145" s="5" t="n">
        <v>0</v>
      </c>
      <c r="CS145" s="5" t="n">
        <v>5.529</v>
      </c>
      <c r="CT145" s="5" t="n">
        <v>3.509</v>
      </c>
      <c r="CU145" s="5" t="n">
        <v>10.896</v>
      </c>
    </row>
    <row r="146">
      <c r="A146" s="5" t="inlineStr">
        <is>
          <t>CMR2021</t>
        </is>
      </c>
      <c r="B146" s="5" t="inlineStr">
        <is>
          <t>CMR</t>
        </is>
      </c>
      <c r="C146" s="5" t="inlineStr">
        <is>
          <t>CMR</t>
        </is>
      </c>
      <c r="D146" s="5" t="inlineStr">
        <is>
          <t>Cameroon</t>
        </is>
      </c>
      <c r="E146" s="5" t="n">
        <v>2021</v>
      </c>
      <c r="F146" s="5" t="n">
        <v>0.192</v>
      </c>
      <c r="G146" s="5" t="n">
        <v>5.897</v>
      </c>
      <c r="H146" s="5" t="n">
        <v>1.143</v>
      </c>
      <c r="I146" s="5" t="n">
        <v>0</v>
      </c>
      <c r="J146" s="5" t="n">
        <v>5.897</v>
      </c>
      <c r="K146" s="5" t="n">
        <v>0</v>
      </c>
      <c r="L146" s="5" t="n">
        <v>1</v>
      </c>
      <c r="M146" s="5" t="n">
        <v>7.964</v>
      </c>
      <c r="N146" s="5" t="n">
        <v>3.43</v>
      </c>
      <c r="O146" s="5" t="n">
        <v>0</v>
      </c>
      <c r="P146" s="5" t="n">
        <v>7.964</v>
      </c>
      <c r="Q146" s="5" t="n">
        <v>0</v>
      </c>
      <c r="R146" s="5" t="n">
        <v>1</v>
      </c>
      <c r="S146" s="5" t="n">
        <v>11.613</v>
      </c>
      <c r="T146" s="5" t="n">
        <v>6.86</v>
      </c>
      <c r="U146" s="5" t="n">
        <v>0</v>
      </c>
      <c r="V146" s="5" t="n">
        <v>13.849</v>
      </c>
      <c r="W146" s="5" t="n">
        <v>0.192</v>
      </c>
      <c r="X146" s="5" t="n">
        <v>1</v>
      </c>
      <c r="Y146" s="5" t="n">
        <v>10.838</v>
      </c>
      <c r="Z146" s="5" t="n">
        <v>1.189</v>
      </c>
      <c r="AA146" s="5" t="n">
        <v>0</v>
      </c>
      <c r="AB146" s="5" t="n">
        <v>10.838</v>
      </c>
      <c r="AC146" s="5" t="n">
        <v>0</v>
      </c>
      <c r="AD146" s="5" t="n">
        <v>1</v>
      </c>
      <c r="AE146" s="5" t="n">
        <v>11.41</v>
      </c>
      <c r="AF146" s="5" t="n">
        <v>2.219</v>
      </c>
      <c r="AG146" s="5" t="n">
        <v>0</v>
      </c>
      <c r="AH146" s="5" t="n">
        <v>11.41</v>
      </c>
      <c r="AI146" s="5" t="n">
        <v>0</v>
      </c>
      <c r="AJ146" s="5" t="n">
        <v>1</v>
      </c>
      <c r="AK146" s="5" t="n">
        <v>14.84</v>
      </c>
      <c r="AL146" s="5" t="n">
        <v>7</v>
      </c>
      <c r="AM146" s="5" t="n">
        <v>0</v>
      </c>
      <c r="AN146" s="5" t="n">
        <v>17.696</v>
      </c>
      <c r="AO146" s="5" t="n">
        <v>0.192</v>
      </c>
      <c r="AP146" s="5" t="n">
        <v>1</v>
      </c>
      <c r="AQ146" s="5" t="n">
        <v>0.619</v>
      </c>
      <c r="AR146" s="5" t="n">
        <v>0.114</v>
      </c>
      <c r="AS146" s="5" t="n">
        <v>0.334</v>
      </c>
      <c r="AT146" s="5" t="n">
        <v>1.136</v>
      </c>
      <c r="AU146" s="5" t="n">
        <v>0.192</v>
      </c>
      <c r="AV146" s="5" t="n">
        <v>1</v>
      </c>
      <c r="AW146" s="5" t="n">
        <v>0.599</v>
      </c>
      <c r="AX146" s="5" t="n">
        <v>0.114</v>
      </c>
      <c r="AY146" s="5" t="n">
        <v>0.27</v>
      </c>
      <c r="AZ146" s="5" t="n">
        <v>1.037</v>
      </c>
      <c r="BA146" s="5" t="n">
        <v>0.192</v>
      </c>
      <c r="BB146" s="5" t="n">
        <v>1</v>
      </c>
      <c r="BC146" s="5" t="n">
        <v>0.439</v>
      </c>
      <c r="BD146" s="5" t="n">
        <v>0.114</v>
      </c>
      <c r="BE146" s="5" t="n">
        <v>-0.038</v>
      </c>
      <c r="BF146" s="5" t="n">
        <v>0.478</v>
      </c>
      <c r="BG146" s="5" t="n">
        <v>0.192</v>
      </c>
      <c r="BH146" s="5" t="n">
        <v>0</v>
      </c>
      <c r="BI146" s="5" t="n">
        <v>0.505</v>
      </c>
      <c r="BJ146" s="5" t="n">
        <v>0.114</v>
      </c>
      <c r="BK146" s="5" t="n">
        <v>0.025</v>
      </c>
      <c r="BL146" s="5" t="n">
        <v>0.631</v>
      </c>
      <c r="BM146" s="5" t="n">
        <v>0.192</v>
      </c>
      <c r="BN146" s="5" t="n">
        <v>1</v>
      </c>
      <c r="BO146" s="5" t="n">
        <v>0</v>
      </c>
      <c r="BP146" s="5" t="n">
        <v>0</v>
      </c>
      <c r="BQ146" s="5" t="n">
        <v>0.159</v>
      </c>
      <c r="BR146" s="5" t="n">
        <v>0</v>
      </c>
      <c r="BS146" s="5" t="n">
        <v>0.667</v>
      </c>
      <c r="BT146" s="5" t="n">
        <v>0</v>
      </c>
      <c r="BU146" s="5" t="n">
        <v>0</v>
      </c>
      <c r="BV146" s="5" t="n">
        <v>0.145</v>
      </c>
      <c r="BW146" s="5" t="n">
        <v>0.192</v>
      </c>
      <c r="BX146" s="5" t="n">
        <v>0.667</v>
      </c>
      <c r="BY146" s="5" t="n">
        <v>11.787</v>
      </c>
      <c r="BZ146" s="5" t="n">
        <v>0</v>
      </c>
      <c r="CA146" s="5" t="n">
        <v>11.787</v>
      </c>
      <c r="CB146" s="5" t="n">
        <v>0</v>
      </c>
      <c r="CC146" s="5" t="n">
        <v>78.125</v>
      </c>
      <c r="CD146" s="5" t="n">
        <v>7.95</v>
      </c>
      <c r="CE146" s="5" t="n">
        <v>20.503</v>
      </c>
      <c r="CF146" s="5" t="n">
        <v>117.613</v>
      </c>
      <c r="CG146" s="5" t="n">
        <v>0.192</v>
      </c>
      <c r="CH146" s="5" t="n">
        <v>1</v>
      </c>
      <c r="CI146" s="5" t="n">
        <v>0</v>
      </c>
      <c r="CJ146" s="5" t="n">
        <v>0</v>
      </c>
      <c r="CK146" s="5" t="n">
        <v>0</v>
      </c>
      <c r="CL146" s="5" t="n">
        <v>0</v>
      </c>
      <c r="CM146" s="5" t="n">
        <v>0</v>
      </c>
      <c r="CN146" s="5" t="n">
        <v>0</v>
      </c>
      <c r="CO146" s="5" t="n">
        <v>0</v>
      </c>
      <c r="CP146" s="5" t="n">
        <v>0</v>
      </c>
      <c r="CQ146" s="5" t="n">
        <v>1.198</v>
      </c>
      <c r="CR146" s="5" t="n">
        <v>1</v>
      </c>
      <c r="CS146" s="5" t="n">
        <v>10.266</v>
      </c>
      <c r="CT146" s="5" t="n">
        <v>4.753</v>
      </c>
      <c r="CU146" s="5" t="n">
        <v>14.129</v>
      </c>
    </row>
    <row r="147">
      <c r="A147" s="5" t="inlineStr">
        <is>
          <t>CMR2022</t>
        </is>
      </c>
      <c r="B147" s="5" t="inlineStr">
        <is>
          <t>CMR</t>
        </is>
      </c>
      <c r="C147" s="5" t="inlineStr">
        <is>
          <t>CMR</t>
        </is>
      </c>
      <c r="D147" s="5" t="inlineStr">
        <is>
          <t>Cameroon</t>
        </is>
      </c>
      <c r="E147" s="5" t="n">
        <v>2022</v>
      </c>
      <c r="F147" s="5" t="n">
        <v>0.192</v>
      </c>
      <c r="G147" s="5" t="n">
        <v>11.72</v>
      </c>
      <c r="H147" s="5" t="n">
        <v>1.235</v>
      </c>
      <c r="I147" s="5" t="n">
        <v>0</v>
      </c>
      <c r="J147" s="5" t="n">
        <v>11.72</v>
      </c>
      <c r="K147" s="5" t="n">
        <v>0</v>
      </c>
      <c r="L147" s="5" t="n">
        <v>1</v>
      </c>
      <c r="M147" s="5" t="n">
        <v>9.782999999999999</v>
      </c>
      <c r="N147" s="5" t="n">
        <v>3.704</v>
      </c>
      <c r="O147" s="5" t="n">
        <v>0</v>
      </c>
      <c r="P147" s="5" t="n">
        <v>9.782999999999999</v>
      </c>
      <c r="Q147" s="5" t="n">
        <v>0</v>
      </c>
      <c r="R147" s="5" t="n">
        <v>1</v>
      </c>
      <c r="S147" s="5" t="n">
        <v>17.893</v>
      </c>
      <c r="T147" s="5" t="n">
        <v>7.408</v>
      </c>
      <c r="U147" s="5" t="n">
        <v>0.255</v>
      </c>
      <c r="V147" s="5" t="n">
        <v>21.338</v>
      </c>
      <c r="W147" s="5" t="n">
        <v>0.192</v>
      </c>
      <c r="X147" s="5" t="n">
        <v>1</v>
      </c>
      <c r="Y147" s="5" t="n">
        <v>11.704</v>
      </c>
      <c r="Z147" s="5" t="n">
        <v>1.284</v>
      </c>
      <c r="AA147" s="5" t="n">
        <v>0</v>
      </c>
      <c r="AB147" s="5" t="n">
        <v>11.704</v>
      </c>
      <c r="AC147" s="5" t="n">
        <v>0</v>
      </c>
      <c r="AD147" s="5" t="n">
        <v>1</v>
      </c>
      <c r="AE147" s="5" t="n">
        <v>12.322</v>
      </c>
      <c r="AF147" s="5" t="n">
        <v>2.396</v>
      </c>
      <c r="AG147" s="5" t="n">
        <v>0</v>
      </c>
      <c r="AH147" s="5" t="n">
        <v>12.322</v>
      </c>
      <c r="AI147" s="5" t="n">
        <v>0</v>
      </c>
      <c r="AJ147" s="5" t="n">
        <v>1</v>
      </c>
      <c r="AK147" s="5" t="n">
        <v>16.026</v>
      </c>
      <c r="AL147" s="5" t="n">
        <v>7.56</v>
      </c>
      <c r="AM147" s="5" t="n">
        <v>0.228</v>
      </c>
      <c r="AN147" s="5" t="n">
        <v>19.111</v>
      </c>
      <c r="AO147" s="5" t="n">
        <v>0.192</v>
      </c>
      <c r="AP147" s="5" t="n">
        <v>1</v>
      </c>
      <c r="AQ147" s="5" t="n">
        <v>0.861</v>
      </c>
      <c r="AR147" s="5" t="n">
        <v>0.123</v>
      </c>
      <c r="AS147" s="5" t="n">
        <v>-0.003</v>
      </c>
      <c r="AT147" s="5" t="n">
        <v>1.024</v>
      </c>
      <c r="AU147" s="5" t="n">
        <v>0.192</v>
      </c>
      <c r="AV147" s="5" t="n">
        <v>1</v>
      </c>
      <c r="AW147" s="5" t="n">
        <v>0.986</v>
      </c>
      <c r="AX147" s="5" t="n">
        <v>0.123</v>
      </c>
      <c r="AY147" s="5" t="n">
        <v>-0.199</v>
      </c>
      <c r="AZ147" s="5" t="n">
        <v>0.9389999999999999</v>
      </c>
      <c r="BA147" s="5" t="n">
        <v>0.192</v>
      </c>
      <c r="BB147" s="5" t="n">
        <v>1</v>
      </c>
      <c r="BC147" s="5" t="n">
        <v>0.598</v>
      </c>
      <c r="BD147" s="5" t="n">
        <v>0.123</v>
      </c>
      <c r="BE147" s="5" t="n">
        <v>-0.241</v>
      </c>
      <c r="BF147" s="5" t="n">
        <v>0.425</v>
      </c>
      <c r="BG147" s="5" t="n">
        <v>0.192</v>
      </c>
      <c r="BH147" s="5" t="n">
        <v>0</v>
      </c>
      <c r="BI147" s="5" t="n">
        <v>0.612</v>
      </c>
      <c r="BJ147" s="5" t="n">
        <v>0.123</v>
      </c>
      <c r="BK147" s="5" t="n">
        <v>-0.141</v>
      </c>
      <c r="BL147" s="5" t="n">
        <v>0.5620000000000001</v>
      </c>
      <c r="BM147" s="5" t="n">
        <v>0.192</v>
      </c>
      <c r="BN147" s="5" t="n">
        <v>1</v>
      </c>
      <c r="BO147" s="5" t="n">
        <v>0</v>
      </c>
      <c r="BP147" s="5" t="n">
        <v>0</v>
      </c>
      <c r="BQ147" s="5" t="n">
        <v>0.141</v>
      </c>
      <c r="BR147" s="5" t="n">
        <v>0</v>
      </c>
      <c r="BS147" s="5" t="n">
        <v>0.667</v>
      </c>
      <c r="BT147" s="5" t="n">
        <v>0</v>
      </c>
      <c r="BU147" s="5" t="n">
        <v>0</v>
      </c>
      <c r="BV147" s="5" t="n">
        <v>0.129</v>
      </c>
      <c r="BW147" s="5" t="n">
        <v>0.192</v>
      </c>
      <c r="BX147" s="5" t="n">
        <v>0.667</v>
      </c>
      <c r="BY147" s="5" t="n">
        <v>12.729</v>
      </c>
      <c r="BZ147" s="5" t="n">
        <v>0</v>
      </c>
      <c r="CA147" s="5" t="n">
        <v>12.729</v>
      </c>
      <c r="CB147" s="5" t="n">
        <v>0</v>
      </c>
      <c r="CC147" s="5" t="n">
        <v>97.90000000000001</v>
      </c>
      <c r="CD147" s="5" t="n">
        <v>7.95</v>
      </c>
      <c r="CE147" s="5" t="n">
        <v>-10.219</v>
      </c>
      <c r="CF147" s="5" t="n">
        <v>104.56</v>
      </c>
      <c r="CG147" s="5" t="n">
        <v>0.192</v>
      </c>
      <c r="CH147" s="5" t="n">
        <v>1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1.294</v>
      </c>
      <c r="CR147" s="5" t="n">
        <v>1</v>
      </c>
      <c r="CS147" s="5" t="n">
        <v>11.087</v>
      </c>
      <c r="CT147" s="5" t="n">
        <v>10.485</v>
      </c>
      <c r="CU147" s="5" t="n">
        <v>28.059</v>
      </c>
    </row>
    <row r="148">
      <c r="A148" s="5" t="inlineStr">
        <is>
          <t>CMR2023</t>
        </is>
      </c>
      <c r="B148" s="5" t="inlineStr">
        <is>
          <t>CMR</t>
        </is>
      </c>
      <c r="C148" s="5" t="inlineStr">
        <is>
          <t>CMR</t>
        </is>
      </c>
      <c r="D148" s="5" t="inlineStr">
        <is>
          <t>Cameroon</t>
        </is>
      </c>
      <c r="E148" s="5" t="n">
        <v>2023</v>
      </c>
      <c r="F148" s="5" t="n">
        <v>0.192</v>
      </c>
      <c r="G148" s="5" t="n">
        <v>6.147</v>
      </c>
      <c r="H148" s="5" t="n">
        <v>1.286</v>
      </c>
      <c r="I148" s="5" t="n">
        <v>0</v>
      </c>
      <c r="J148" s="5" t="n">
        <v>6.147</v>
      </c>
      <c r="K148" s="5" t="n">
        <v>0</v>
      </c>
      <c r="L148" s="5" t="n">
        <v>1</v>
      </c>
      <c r="M148" s="5" t="n">
        <v>7.886</v>
      </c>
      <c r="N148" s="5" t="n">
        <v>3.857</v>
      </c>
      <c r="O148" s="5" t="n">
        <v>0</v>
      </c>
      <c r="P148" s="5" t="n">
        <v>7.886</v>
      </c>
      <c r="Q148" s="5" t="n">
        <v>0</v>
      </c>
      <c r="R148" s="5" t="n">
        <v>1</v>
      </c>
      <c r="S148" s="5" t="n">
        <v>12.575</v>
      </c>
      <c r="T148" s="5" t="n">
        <v>7.714</v>
      </c>
      <c r="U148" s="5" t="n">
        <v>0.268</v>
      </c>
      <c r="V148" s="5" t="n">
        <v>14.996</v>
      </c>
      <c r="W148" s="5" t="n">
        <v>0.192</v>
      </c>
      <c r="X148" s="5" t="n">
        <v>1</v>
      </c>
      <c r="Y148" s="5" t="n">
        <v>9.904</v>
      </c>
      <c r="Z148" s="5" t="n">
        <v>1.087</v>
      </c>
      <c r="AA148" s="5" t="n">
        <v>0</v>
      </c>
      <c r="AB148" s="5" t="n">
        <v>9.904</v>
      </c>
      <c r="AC148" s="5" t="n">
        <v>0</v>
      </c>
      <c r="AD148" s="5" t="n">
        <v>1</v>
      </c>
      <c r="AE148" s="5" t="n">
        <v>10.547</v>
      </c>
      <c r="AF148" s="5" t="n">
        <v>2.051</v>
      </c>
      <c r="AG148" s="5" t="n">
        <v>0</v>
      </c>
      <c r="AH148" s="5" t="n">
        <v>10.547</v>
      </c>
      <c r="AI148" s="5" t="n">
        <v>0</v>
      </c>
      <c r="AJ148" s="5" t="n">
        <v>1</v>
      </c>
      <c r="AK148" s="5" t="n">
        <v>14.404</v>
      </c>
      <c r="AL148" s="5" t="n">
        <v>6.795</v>
      </c>
      <c r="AM148" s="5" t="n">
        <v>0.307</v>
      </c>
      <c r="AN148" s="5" t="n">
        <v>17.177</v>
      </c>
      <c r="AO148" s="5" t="n">
        <v>0.192</v>
      </c>
      <c r="AP148" s="5" t="n">
        <v>1</v>
      </c>
      <c r="AQ148" s="5" t="n">
        <v>0.76</v>
      </c>
      <c r="AR148" s="5" t="n">
        <v>0.129</v>
      </c>
      <c r="AS148" s="5" t="n">
        <v>0.238</v>
      </c>
      <c r="AT148" s="5" t="n">
        <v>1.191</v>
      </c>
      <c r="AU148" s="5" t="n">
        <v>0.192</v>
      </c>
      <c r="AV148" s="5" t="n">
        <v>1</v>
      </c>
      <c r="AW148" s="5" t="n">
        <v>0.8110000000000001</v>
      </c>
      <c r="AX148" s="5" t="n">
        <v>0.129</v>
      </c>
      <c r="AY148" s="5" t="n">
        <v>0.169</v>
      </c>
      <c r="AZ148" s="5" t="n">
        <v>1.169</v>
      </c>
      <c r="BA148" s="5" t="n">
        <v>0.192</v>
      </c>
      <c r="BB148" s="5" t="n">
        <v>1</v>
      </c>
      <c r="BC148" s="5" t="n">
        <v>0.535</v>
      </c>
      <c r="BD148" s="5" t="n">
        <v>0.129</v>
      </c>
      <c r="BE148" s="5" t="n">
        <v>-0.168</v>
      </c>
      <c r="BF148" s="5" t="n">
        <v>0.437</v>
      </c>
      <c r="BG148" s="5" t="n">
        <v>0.192</v>
      </c>
      <c r="BH148" s="5" t="n">
        <v>0</v>
      </c>
      <c r="BI148" s="5" t="n">
        <v>0.579</v>
      </c>
      <c r="BJ148" s="5" t="n">
        <v>0.129</v>
      </c>
      <c r="BK148" s="5" t="n">
        <v>-0.095</v>
      </c>
      <c r="BL148" s="5" t="n">
        <v>0.577</v>
      </c>
      <c r="BM148" s="5" t="n">
        <v>0.192</v>
      </c>
      <c r="BN148" s="5" t="n">
        <v>1</v>
      </c>
      <c r="BO148" s="5" t="n">
        <v>0</v>
      </c>
      <c r="BP148" s="5" t="n">
        <v>0</v>
      </c>
      <c r="BQ148" s="5" t="n">
        <v>0.145</v>
      </c>
      <c r="BR148" s="5" t="n">
        <v>0</v>
      </c>
      <c r="BS148" s="5" t="n">
        <v>0.667</v>
      </c>
      <c r="BT148" s="5" t="n">
        <v>0</v>
      </c>
      <c r="BU148" s="5" t="n">
        <v>0</v>
      </c>
      <c r="BV148" s="5" t="n">
        <v>0.133</v>
      </c>
      <c r="BW148" s="5" t="n">
        <v>0.192</v>
      </c>
      <c r="BX148" s="5" t="n">
        <v>0.667</v>
      </c>
      <c r="BY148" s="5" t="n">
        <v>13.254</v>
      </c>
      <c r="BZ148" s="5" t="n">
        <v>0</v>
      </c>
      <c r="CA148" s="5" t="n">
        <v>13.254</v>
      </c>
      <c r="CB148" s="5" t="n">
        <v>0</v>
      </c>
      <c r="CC148" s="5" t="n">
        <v>83.248</v>
      </c>
      <c r="CD148" s="5" t="n">
        <v>7.95</v>
      </c>
      <c r="CE148" s="5" t="n">
        <v>37.143</v>
      </c>
      <c r="CF148" s="5" t="n">
        <v>143.566</v>
      </c>
      <c r="CG148" s="5" t="n">
        <v>0.192</v>
      </c>
      <c r="CH148" s="5" t="n">
        <v>1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0</v>
      </c>
      <c r="CQ148" s="5" t="n">
        <v>1.348</v>
      </c>
      <c r="CR148" s="5" t="n">
        <v>1</v>
      </c>
      <c r="CS148" s="5" t="n">
        <v>9.260999999999999</v>
      </c>
      <c r="CT148" s="5" t="n">
        <v>4.861</v>
      </c>
      <c r="CU148" s="5" t="n">
        <v>9.260999999999999</v>
      </c>
    </row>
    <row r="149">
      <c r="A149" s="5" t="inlineStr">
        <is>
          <t>CMR2024</t>
        </is>
      </c>
      <c r="B149" s="5" t="inlineStr">
        <is>
          <t>CMR</t>
        </is>
      </c>
      <c r="C149" s="5" t="inlineStr">
        <is>
          <t>CMR</t>
        </is>
      </c>
      <c r="D149" s="5" t="inlineStr">
        <is>
          <t>Cameroon</t>
        </is>
      </c>
      <c r="E149" s="5" t="n">
        <v>2024</v>
      </c>
      <c r="F149" s="5" t="n">
        <v>0.192</v>
      </c>
      <c r="G149" s="5" t="n">
        <v>5.575</v>
      </c>
      <c r="H149" s="5" t="n">
        <v>1.324</v>
      </c>
      <c r="I149" s="5" t="n">
        <v>0</v>
      </c>
      <c r="J149" s="5" t="n">
        <v>5.575</v>
      </c>
      <c r="K149" s="5" t="n">
        <v>0</v>
      </c>
      <c r="L149" s="5" t="n">
        <v>1</v>
      </c>
      <c r="M149" s="5" t="n">
        <v>7.124</v>
      </c>
      <c r="N149" s="5" t="n">
        <v>3.971</v>
      </c>
      <c r="O149" s="5" t="n">
        <v>0</v>
      </c>
      <c r="P149" s="5" t="n">
        <v>7.124</v>
      </c>
      <c r="Q149" s="5" t="n">
        <v>0</v>
      </c>
      <c r="R149" s="5" t="n">
        <v>1</v>
      </c>
      <c r="S149" s="5" t="n">
        <v>12.193</v>
      </c>
      <c r="T149" s="5" t="n">
        <v>7.942</v>
      </c>
      <c r="U149" s="5" t="n">
        <v>0.32</v>
      </c>
      <c r="V149" s="5" t="n">
        <v>14.54</v>
      </c>
      <c r="W149" s="5" t="n">
        <v>0.192</v>
      </c>
      <c r="X149" s="5" t="n">
        <v>1</v>
      </c>
      <c r="Y149" s="5" t="n">
        <v>8.26</v>
      </c>
      <c r="Z149" s="5" t="n">
        <v>0.906</v>
      </c>
      <c r="AA149" s="5" t="n">
        <v>0</v>
      </c>
      <c r="AB149" s="5" t="n">
        <v>8.26</v>
      </c>
      <c r="AC149" s="5" t="n">
        <v>0</v>
      </c>
      <c r="AD149" s="5" t="n">
        <v>1</v>
      </c>
      <c r="AE149" s="5" t="n">
        <v>8.922000000000001</v>
      </c>
      <c r="AF149" s="5" t="n">
        <v>1.735</v>
      </c>
      <c r="AG149" s="5" t="n">
        <v>0</v>
      </c>
      <c r="AH149" s="5" t="n">
        <v>8.922000000000001</v>
      </c>
      <c r="AI149" s="5" t="n">
        <v>0</v>
      </c>
      <c r="AJ149" s="5" t="n">
        <v>1</v>
      </c>
      <c r="AK149" s="5" t="n">
        <v>12.892</v>
      </c>
      <c r="AL149" s="5" t="n">
        <v>6.082</v>
      </c>
      <c r="AM149" s="5" t="n">
        <v>0.338</v>
      </c>
      <c r="AN149" s="5" t="n">
        <v>15.374</v>
      </c>
      <c r="AO149" s="5" t="n">
        <v>0.192</v>
      </c>
      <c r="AP149" s="5" t="n">
        <v>1</v>
      </c>
      <c r="AQ149" s="5" t="n">
        <v>0.724</v>
      </c>
      <c r="AR149" s="5" t="n">
        <v>0.132</v>
      </c>
      <c r="AS149" s="5" t="n">
        <v>0.423</v>
      </c>
      <c r="AT149" s="5" t="n">
        <v>1.369</v>
      </c>
      <c r="AU149" s="5" t="n">
        <v>0.192</v>
      </c>
      <c r="AV149" s="5" t="n">
        <v>1</v>
      </c>
      <c r="AW149" s="5" t="n">
        <v>0.75</v>
      </c>
      <c r="AX149" s="5" t="n">
        <v>0.132</v>
      </c>
      <c r="AY149" s="5" t="n">
        <v>0.381</v>
      </c>
      <c r="AZ149" s="5" t="n">
        <v>1.349</v>
      </c>
      <c r="BA149" s="5" t="n">
        <v>0.192</v>
      </c>
      <c r="BB149" s="5" t="n">
        <v>1</v>
      </c>
      <c r="BC149" s="5" t="n">
        <v>0.513</v>
      </c>
      <c r="BD149" s="5" t="n">
        <v>0.132</v>
      </c>
      <c r="BE149" s="5" t="n">
        <v>-0.143</v>
      </c>
      <c r="BF149" s="5" t="n">
        <v>0.442</v>
      </c>
      <c r="BG149" s="5" t="n">
        <v>0.192</v>
      </c>
      <c r="BH149" s="5" t="n">
        <v>0</v>
      </c>
      <c r="BI149" s="5" t="n">
        <v>0.591</v>
      </c>
      <c r="BJ149" s="5" t="n">
        <v>0.132</v>
      </c>
      <c r="BK149" s="5" t="n">
        <v>-0.107</v>
      </c>
      <c r="BL149" s="5" t="n">
        <v>0.577</v>
      </c>
      <c r="BM149" s="5" t="n">
        <v>0.192</v>
      </c>
      <c r="BN149" s="5" t="n">
        <v>1</v>
      </c>
      <c r="BO149" s="5" t="n">
        <v>0</v>
      </c>
      <c r="BP149" s="5" t="n">
        <v>0</v>
      </c>
      <c r="BQ149" s="5" t="n">
        <v>0.154</v>
      </c>
      <c r="BR149" s="5" t="n">
        <v>0</v>
      </c>
      <c r="BS149" s="5" t="n">
        <v>0.667</v>
      </c>
      <c r="BT149" s="5" t="n">
        <v>0</v>
      </c>
      <c r="BU149" s="5" t="n">
        <v>0</v>
      </c>
      <c r="BV149" s="5" t="n">
        <v>0.108</v>
      </c>
      <c r="BW149" s="5" t="n">
        <v>0.192</v>
      </c>
      <c r="BX149" s="5" t="n">
        <v>0.667</v>
      </c>
      <c r="BY149" s="5" t="n">
        <v>13.646</v>
      </c>
      <c r="BZ149" s="5" t="n">
        <v>0</v>
      </c>
      <c r="CA149" s="5" t="n">
        <v>13.646</v>
      </c>
      <c r="CB149" s="5" t="n">
        <v>0</v>
      </c>
      <c r="CC149" s="5" t="n">
        <v>82.58799999999999</v>
      </c>
      <c r="CD149" s="5" t="n">
        <v>7.95</v>
      </c>
      <c r="CE149" s="5" t="n">
        <v>40.596</v>
      </c>
      <c r="CF149" s="5" t="n">
        <v>146.897</v>
      </c>
      <c r="CG149" s="5" t="n">
        <v>0.192</v>
      </c>
      <c r="CH149" s="5" t="n">
        <v>1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1.387</v>
      </c>
      <c r="CR149" s="5" t="n">
        <v>1</v>
      </c>
      <c r="CS149" s="5" t="n">
        <v>7.598</v>
      </c>
      <c r="CT149" s="5" t="n">
        <v>4.251</v>
      </c>
      <c r="CU149" s="5" t="n">
        <v>7.598</v>
      </c>
    </row>
    <row r="150">
      <c r="A150" s="5" t="inlineStr">
        <is>
          <t>CAN2021</t>
        </is>
      </c>
      <c r="B150" s="5" t="inlineStr">
        <is>
          <t>CAN</t>
        </is>
      </c>
      <c r="C150" s="5" t="inlineStr">
        <is>
          <t>CAN</t>
        </is>
      </c>
      <c r="D150" s="5" t="inlineStr">
        <is>
          <t>Canada</t>
        </is>
      </c>
      <c r="E150" s="5" t="n">
        <v>2021</v>
      </c>
      <c r="F150" s="5" t="n">
        <v>0.05</v>
      </c>
      <c r="G150" s="5" t="n">
        <v>3.254</v>
      </c>
      <c r="H150" s="5" t="n">
        <v>0.8129999999999999</v>
      </c>
      <c r="I150" s="5" t="n">
        <v>0</v>
      </c>
      <c r="J150" s="5" t="n">
        <v>3.254</v>
      </c>
      <c r="K150" s="5" t="n">
        <v>0</v>
      </c>
      <c r="L150" s="5" t="n">
        <v>1</v>
      </c>
      <c r="M150" s="5" t="n">
        <v>5.042</v>
      </c>
      <c r="N150" s="5" t="n">
        <v>2.438</v>
      </c>
      <c r="O150" s="5" t="n">
        <v>0</v>
      </c>
      <c r="P150" s="5" t="n">
        <v>5.042</v>
      </c>
      <c r="Q150" s="5" t="n">
        <v>0</v>
      </c>
      <c r="R150" s="5" t="n">
        <v>1</v>
      </c>
      <c r="S150" s="5" t="n">
        <v>7.316</v>
      </c>
      <c r="T150" s="5" t="n">
        <v>4.875</v>
      </c>
      <c r="U150" s="5" t="n">
        <v>0.313</v>
      </c>
      <c r="V150" s="5" t="n">
        <v>8.010999999999999</v>
      </c>
      <c r="W150" s="5" t="n">
        <v>0.05</v>
      </c>
      <c r="X150" s="5" t="n">
        <v>1</v>
      </c>
      <c r="Y150" s="5" t="n">
        <v>7.144</v>
      </c>
      <c r="Z150" s="5" t="n">
        <v>0.789</v>
      </c>
      <c r="AA150" s="5" t="n">
        <v>-2.105</v>
      </c>
      <c r="AB150" s="5" t="n">
        <v>5.04</v>
      </c>
      <c r="AC150" s="5" t="n">
        <v>0</v>
      </c>
      <c r="AD150" s="5" t="n">
        <v>1</v>
      </c>
      <c r="AE150" s="5" t="n">
        <v>7.101</v>
      </c>
      <c r="AF150" s="5" t="n">
        <v>1.397</v>
      </c>
      <c r="AG150" s="5" t="n">
        <v>-2.061</v>
      </c>
      <c r="AH150" s="5" t="n">
        <v>5.04</v>
      </c>
      <c r="AI150" s="5" t="n">
        <v>0</v>
      </c>
      <c r="AJ150" s="5" t="n">
        <v>1</v>
      </c>
      <c r="AK150" s="5" t="n">
        <v>9.089</v>
      </c>
      <c r="AL150" s="5" t="n">
        <v>4.461</v>
      </c>
      <c r="AM150" s="5" t="n">
        <v>-0.439</v>
      </c>
      <c r="AN150" s="5" t="n">
        <v>9.083</v>
      </c>
      <c r="AO150" s="5" t="n">
        <v>0.05</v>
      </c>
      <c r="AP150" s="5" t="n">
        <v>1</v>
      </c>
      <c r="AQ150" s="5" t="n">
        <v>0.649</v>
      </c>
      <c r="AR150" s="5" t="n">
        <v>0.114</v>
      </c>
      <c r="AS150" s="5" t="n">
        <v>0.497</v>
      </c>
      <c r="AT150" s="5" t="n">
        <v>1.203</v>
      </c>
      <c r="AU150" s="5" t="n">
        <v>0.05</v>
      </c>
      <c r="AV150" s="5" t="n">
        <v>1</v>
      </c>
      <c r="AW150" s="5" t="n">
        <v>0.577</v>
      </c>
      <c r="AX150" s="5" t="n">
        <v>0.114</v>
      </c>
      <c r="AY150" s="5" t="n">
        <v>0.411</v>
      </c>
      <c r="AZ150" s="5" t="n">
        <v>1.037</v>
      </c>
      <c r="BA150" s="5" t="n">
        <v>0.05</v>
      </c>
      <c r="BB150" s="5" t="n">
        <v>1</v>
      </c>
      <c r="BC150" s="5" t="n">
        <v>0.458</v>
      </c>
      <c r="BD150" s="5" t="n">
        <v>0.114</v>
      </c>
      <c r="BE150" s="5" t="n">
        <v>0.253</v>
      </c>
      <c r="BF150" s="5" t="n">
        <v>0.746</v>
      </c>
      <c r="BG150" s="5" t="n">
        <v>0.05</v>
      </c>
      <c r="BH150" s="5" t="n">
        <v>1</v>
      </c>
      <c r="BI150" s="5" t="n">
        <v>0.491</v>
      </c>
      <c r="BJ150" s="5" t="n">
        <v>0.114</v>
      </c>
      <c r="BK150" s="5" t="n">
        <v>0.396</v>
      </c>
      <c r="BL150" s="5" t="n">
        <v>0.931</v>
      </c>
      <c r="BM150" s="5" t="n">
        <v>0.05</v>
      </c>
      <c r="BN150" s="5" t="n">
        <v>1</v>
      </c>
      <c r="BO150" s="5" t="n">
        <v>0</v>
      </c>
      <c r="BP150" s="5" t="n">
        <v>0.011</v>
      </c>
      <c r="BQ150" s="5" t="n">
        <v>0.098</v>
      </c>
      <c r="BR150" s="5" t="n">
        <v>0</v>
      </c>
      <c r="BS150" s="5" t="n">
        <v>1</v>
      </c>
      <c r="BT150" s="5" t="n">
        <v>0</v>
      </c>
      <c r="BU150" s="5" t="n">
        <v>0.007</v>
      </c>
      <c r="BV150" s="5" t="n">
        <v>0.116</v>
      </c>
      <c r="BW150" s="5" t="n">
        <v>0.05</v>
      </c>
      <c r="BX150" s="5" t="n">
        <v>0.833</v>
      </c>
      <c r="BY150" s="5" t="n">
        <v>11.787</v>
      </c>
      <c r="BZ150" s="5" t="n">
        <v>0</v>
      </c>
      <c r="CA150" s="5" t="n">
        <v>11.787</v>
      </c>
      <c r="CB150" s="5" t="n">
        <v>0</v>
      </c>
      <c r="CC150" s="5" t="n">
        <v>78.125</v>
      </c>
      <c r="CD150" s="5" t="n">
        <v>7.95</v>
      </c>
      <c r="CE150" s="5" t="n">
        <v>56.537</v>
      </c>
      <c r="CF150" s="5" t="n">
        <v>152.168</v>
      </c>
      <c r="CG150" s="5" t="n">
        <v>0.13</v>
      </c>
      <c r="CH150" s="5" t="n">
        <v>1</v>
      </c>
      <c r="CI150" s="5" t="n">
        <v>0</v>
      </c>
      <c r="CJ150" s="5" t="n">
        <v>0</v>
      </c>
      <c r="CK150" s="5" t="n">
        <v>0</v>
      </c>
      <c r="CL150" s="5" t="n">
        <v>0.013</v>
      </c>
      <c r="CM150" s="5" t="n">
        <v>0</v>
      </c>
      <c r="CN150" s="5" t="n">
        <v>1.014</v>
      </c>
      <c r="CO150" s="5" t="n">
        <v>0.36</v>
      </c>
      <c r="CP150" s="5" t="n">
        <v>0.579</v>
      </c>
      <c r="CQ150" s="5" t="n">
        <v>1.198</v>
      </c>
      <c r="CR150" s="5" t="n">
        <v>0</v>
      </c>
      <c r="CS150" s="5" t="n">
        <v>2.471</v>
      </c>
      <c r="CT150" s="5" t="n">
        <v>4.147</v>
      </c>
      <c r="CU150" s="5" t="n">
        <v>2.471</v>
      </c>
    </row>
    <row r="151">
      <c r="A151" s="5" t="inlineStr">
        <is>
          <t>CAN2022</t>
        </is>
      </c>
      <c r="B151" s="5" t="inlineStr">
        <is>
          <t>CAN</t>
        </is>
      </c>
      <c r="C151" s="5" t="inlineStr">
        <is>
          <t>CAN</t>
        </is>
      </c>
      <c r="D151" s="5" t="inlineStr">
        <is>
          <t>Canada</t>
        </is>
      </c>
      <c r="E151" s="5" t="n">
        <v>2022</v>
      </c>
      <c r="F151" s="5" t="n">
        <v>0.05</v>
      </c>
      <c r="G151" s="5" t="n">
        <v>7.405</v>
      </c>
      <c r="H151" s="5" t="n">
        <v>0.959</v>
      </c>
      <c r="I151" s="5" t="n">
        <v>3.809</v>
      </c>
      <c r="J151" s="5" t="n">
        <v>11.214</v>
      </c>
      <c r="K151" s="5" t="n">
        <v>0</v>
      </c>
      <c r="L151" s="5" t="n">
        <v>1</v>
      </c>
      <c r="M151" s="5" t="n">
        <v>6.822</v>
      </c>
      <c r="N151" s="5" t="n">
        <v>2.878</v>
      </c>
      <c r="O151" s="5" t="n">
        <v>3.878</v>
      </c>
      <c r="P151" s="5" t="n">
        <v>10.7</v>
      </c>
      <c r="Q151" s="5" t="n">
        <v>0</v>
      </c>
      <c r="R151" s="5" t="n">
        <v>1</v>
      </c>
      <c r="S151" s="5" t="n">
        <v>12.202</v>
      </c>
      <c r="T151" s="5" t="n">
        <v>5.756</v>
      </c>
      <c r="U151" s="5" t="n">
        <v>0.5590000000000001</v>
      </c>
      <c r="V151" s="5" t="n">
        <v>13.349</v>
      </c>
      <c r="W151" s="5" t="n">
        <v>0.05</v>
      </c>
      <c r="X151" s="5" t="n">
        <v>1</v>
      </c>
      <c r="Y151" s="5" t="n">
        <v>8.439</v>
      </c>
      <c r="Z151" s="5" t="n">
        <v>0.885</v>
      </c>
      <c r="AA151" s="5" t="n">
        <v>1.367</v>
      </c>
      <c r="AB151" s="5" t="n">
        <v>9.805999999999999</v>
      </c>
      <c r="AC151" s="5" t="n">
        <v>0</v>
      </c>
      <c r="AD151" s="5" t="n">
        <v>1</v>
      </c>
      <c r="AE151" s="5" t="n">
        <v>8.488</v>
      </c>
      <c r="AF151" s="5" t="n">
        <v>1.573</v>
      </c>
      <c r="AG151" s="5" t="n">
        <v>1.319</v>
      </c>
      <c r="AH151" s="5" t="n">
        <v>9.805999999999999</v>
      </c>
      <c r="AI151" s="5" t="n">
        <v>0</v>
      </c>
      <c r="AJ151" s="5" t="n">
        <v>1</v>
      </c>
      <c r="AK151" s="5" t="n">
        <v>11.023</v>
      </c>
      <c r="AL151" s="5" t="n">
        <v>5.264</v>
      </c>
      <c r="AM151" s="5" t="n">
        <v>0.257</v>
      </c>
      <c r="AN151" s="5" t="n">
        <v>11.845</v>
      </c>
      <c r="AO151" s="5" t="n">
        <v>0.05</v>
      </c>
      <c r="AP151" s="5" t="n">
        <v>1</v>
      </c>
      <c r="AQ151" s="5" t="n">
        <v>0.896</v>
      </c>
      <c r="AR151" s="5" t="n">
        <v>0.123</v>
      </c>
      <c r="AS151" s="5" t="n">
        <v>0.491</v>
      </c>
      <c r="AT151" s="5" t="n">
        <v>1.456</v>
      </c>
      <c r="AU151" s="5" t="n">
        <v>0.05</v>
      </c>
      <c r="AV151" s="5" t="n">
        <v>1</v>
      </c>
      <c r="AW151" s="5" t="n">
        <v>0.89</v>
      </c>
      <c r="AX151" s="5" t="n">
        <v>0.123</v>
      </c>
      <c r="AY151" s="5" t="n">
        <v>0.5580000000000001</v>
      </c>
      <c r="AZ151" s="5" t="n">
        <v>1.52</v>
      </c>
      <c r="BA151" s="5" t="n">
        <v>0.05</v>
      </c>
      <c r="BB151" s="5" t="n">
        <v>1</v>
      </c>
      <c r="BC151" s="5" t="n">
        <v>0.62</v>
      </c>
      <c r="BD151" s="5" t="n">
        <v>0.123</v>
      </c>
      <c r="BE151" s="5" t="n">
        <v>0.284</v>
      </c>
      <c r="BF151" s="5" t="n">
        <v>0.95</v>
      </c>
      <c r="BG151" s="5" t="n">
        <v>0.05</v>
      </c>
      <c r="BH151" s="5" t="n">
        <v>1</v>
      </c>
      <c r="BI151" s="5" t="n">
        <v>0.608</v>
      </c>
      <c r="BJ151" s="5" t="n">
        <v>0.123</v>
      </c>
      <c r="BK151" s="5" t="n">
        <v>0.743</v>
      </c>
      <c r="BL151" s="5" t="n">
        <v>1.418</v>
      </c>
      <c r="BM151" s="5" t="n">
        <v>0.05</v>
      </c>
      <c r="BN151" s="5" t="n">
        <v>1</v>
      </c>
      <c r="BO151" s="5" t="n">
        <v>0</v>
      </c>
      <c r="BP151" s="5" t="n">
        <v>0.011</v>
      </c>
      <c r="BQ151" s="5" t="n">
        <v>0.099</v>
      </c>
      <c r="BR151" s="5" t="n">
        <v>0</v>
      </c>
      <c r="BS151" s="5" t="n">
        <v>1</v>
      </c>
      <c r="BT151" s="5" t="n">
        <v>0</v>
      </c>
      <c r="BU151" s="5" t="n">
        <v>0.007</v>
      </c>
      <c r="BV151" s="5" t="n">
        <v>0.122</v>
      </c>
      <c r="BW151" s="5" t="n">
        <v>0.05</v>
      </c>
      <c r="BX151" s="5" t="n">
        <v>0.833</v>
      </c>
      <c r="BY151" s="5" t="n">
        <v>12.729</v>
      </c>
      <c r="BZ151" s="5" t="n">
        <v>0</v>
      </c>
      <c r="CA151" s="5" t="n">
        <v>12.729</v>
      </c>
      <c r="CB151" s="5" t="n">
        <v>0</v>
      </c>
      <c r="CC151" s="5" t="n">
        <v>97.90000000000001</v>
      </c>
      <c r="CD151" s="5" t="n">
        <v>7.95</v>
      </c>
      <c r="CE151" s="5" t="n">
        <v>124.321</v>
      </c>
      <c r="CF151" s="5" t="n">
        <v>251.109</v>
      </c>
      <c r="CG151" s="5" t="n">
        <v>0.13</v>
      </c>
      <c r="CH151" s="5" t="n">
        <v>1</v>
      </c>
      <c r="CI151" s="5" t="n">
        <v>0</v>
      </c>
      <c r="CJ151" s="5" t="n">
        <v>0</v>
      </c>
      <c r="CK151" s="5" t="n">
        <v>0</v>
      </c>
      <c r="CL151" s="5" t="n">
        <v>0.014</v>
      </c>
      <c r="CM151" s="5" t="n">
        <v>0</v>
      </c>
      <c r="CN151" s="5" t="n">
        <v>1.176</v>
      </c>
      <c r="CO151" s="5" t="n">
        <v>0.398</v>
      </c>
      <c r="CP151" s="5" t="n">
        <v>0.446</v>
      </c>
      <c r="CQ151" s="5" t="n">
        <v>1.294</v>
      </c>
      <c r="CR151" s="5" t="n">
        <v>0</v>
      </c>
      <c r="CS151" s="5" t="n">
        <v>3.674</v>
      </c>
      <c r="CT151" s="5" t="n">
        <v>10.596</v>
      </c>
      <c r="CU151" s="5" t="n">
        <v>3.674</v>
      </c>
    </row>
    <row r="152">
      <c r="A152" s="5" t="inlineStr">
        <is>
          <t>CAN2023</t>
        </is>
      </c>
      <c r="B152" s="5" t="inlineStr">
        <is>
          <t>CAN</t>
        </is>
      </c>
      <c r="C152" s="5" t="inlineStr">
        <is>
          <t>CAN</t>
        </is>
      </c>
      <c r="D152" s="5" t="inlineStr">
        <is>
          <t>Canada</t>
        </is>
      </c>
      <c r="E152" s="5" t="n">
        <v>2023</v>
      </c>
      <c r="F152" s="5" t="n">
        <v>0.05</v>
      </c>
      <c r="G152" s="5" t="n">
        <v>4.691</v>
      </c>
      <c r="H152" s="5" t="n">
        <v>1.038</v>
      </c>
      <c r="I152" s="5" t="n">
        <v>4.767</v>
      </c>
      <c r="J152" s="5" t="n">
        <v>9.458</v>
      </c>
      <c r="K152" s="5" t="n">
        <v>0</v>
      </c>
      <c r="L152" s="5" t="n">
        <v>1</v>
      </c>
      <c r="M152" s="5" t="n">
        <v>6.109</v>
      </c>
      <c r="N152" s="5" t="n">
        <v>3.114</v>
      </c>
      <c r="O152" s="5" t="n">
        <v>4.853</v>
      </c>
      <c r="P152" s="5" t="n">
        <v>10.963</v>
      </c>
      <c r="Q152" s="5" t="n">
        <v>0</v>
      </c>
      <c r="R152" s="5" t="n">
        <v>1</v>
      </c>
      <c r="S152" s="5" t="n">
        <v>9.881</v>
      </c>
      <c r="T152" s="5" t="n">
        <v>6.228</v>
      </c>
      <c r="U152" s="5" t="n">
        <v>0.769</v>
      </c>
      <c r="V152" s="5" t="n">
        <v>11.12</v>
      </c>
      <c r="W152" s="5" t="n">
        <v>0.05</v>
      </c>
      <c r="X152" s="5" t="n">
        <v>1</v>
      </c>
      <c r="Y152" s="5" t="n">
        <v>6.639</v>
      </c>
      <c r="Z152" s="5" t="n">
        <v>0.744</v>
      </c>
      <c r="AA152" s="5" t="n">
        <v>2.788</v>
      </c>
      <c r="AB152" s="5" t="n">
        <v>9.427</v>
      </c>
      <c r="AC152" s="5" t="n">
        <v>0</v>
      </c>
      <c r="AD152" s="5" t="n">
        <v>1</v>
      </c>
      <c r="AE152" s="5" t="n">
        <v>6.739</v>
      </c>
      <c r="AF152" s="5" t="n">
        <v>1.342</v>
      </c>
      <c r="AG152" s="5" t="n">
        <v>2.688</v>
      </c>
      <c r="AH152" s="5" t="n">
        <v>9.427</v>
      </c>
      <c r="AI152" s="5" t="n">
        <v>0</v>
      </c>
      <c r="AJ152" s="5" t="n">
        <v>1</v>
      </c>
      <c r="AK152" s="5" t="n">
        <v>9.58</v>
      </c>
      <c r="AL152" s="5" t="n">
        <v>4.746</v>
      </c>
      <c r="AM152" s="5" t="n">
        <v>0.954</v>
      </c>
      <c r="AN152" s="5" t="n">
        <v>11.06</v>
      </c>
      <c r="AO152" s="5" t="n">
        <v>0.05</v>
      </c>
      <c r="AP152" s="5" t="n">
        <v>1</v>
      </c>
      <c r="AQ152" s="5" t="n">
        <v>0.791</v>
      </c>
      <c r="AR152" s="5" t="n">
        <v>0.129</v>
      </c>
      <c r="AS152" s="5" t="n">
        <v>0.457</v>
      </c>
      <c r="AT152" s="5" t="n">
        <v>1.31</v>
      </c>
      <c r="AU152" s="5" t="n">
        <v>0.05</v>
      </c>
      <c r="AV152" s="5" t="n">
        <v>1</v>
      </c>
      <c r="AW152" s="5" t="n">
        <v>0.618</v>
      </c>
      <c r="AX152" s="5" t="n">
        <v>0.129</v>
      </c>
      <c r="AY152" s="5" t="n">
        <v>0.616</v>
      </c>
      <c r="AZ152" s="5" t="n">
        <v>1.296</v>
      </c>
      <c r="BA152" s="5" t="n">
        <v>0.05</v>
      </c>
      <c r="BB152" s="5" t="n">
        <v>1</v>
      </c>
      <c r="BC152" s="5" t="n">
        <v>0.554</v>
      </c>
      <c r="BD152" s="5" t="n">
        <v>0.129</v>
      </c>
      <c r="BE152" s="5" t="n">
        <v>0.339</v>
      </c>
      <c r="BF152" s="5" t="n">
        <v>0.9389999999999999</v>
      </c>
      <c r="BG152" s="5" t="n">
        <v>0.05</v>
      </c>
      <c r="BH152" s="5" t="n">
        <v>1</v>
      </c>
      <c r="BI152" s="5" t="n">
        <v>0.5570000000000001</v>
      </c>
      <c r="BJ152" s="5" t="n">
        <v>0.129</v>
      </c>
      <c r="BK152" s="5" t="n">
        <v>0.598</v>
      </c>
      <c r="BL152" s="5" t="n">
        <v>1.213</v>
      </c>
      <c r="BM152" s="5" t="n">
        <v>0.05</v>
      </c>
      <c r="BN152" s="5" t="n">
        <v>1</v>
      </c>
      <c r="BO152" s="5" t="n">
        <v>0</v>
      </c>
      <c r="BP152" s="5" t="n">
        <v>0.011</v>
      </c>
      <c r="BQ152" s="5" t="n">
        <v>0.109</v>
      </c>
      <c r="BR152" s="5" t="n">
        <v>0</v>
      </c>
      <c r="BS152" s="5" t="n">
        <v>1</v>
      </c>
      <c r="BT152" s="5" t="n">
        <v>0</v>
      </c>
      <c r="BU152" s="5" t="n">
        <v>0.007</v>
      </c>
      <c r="BV152" s="5" t="n">
        <v>0.125</v>
      </c>
      <c r="BW152" s="5" t="n">
        <v>0.05</v>
      </c>
      <c r="BX152" s="5" t="n">
        <v>0.833</v>
      </c>
      <c r="BY152" s="5" t="n">
        <v>13.254</v>
      </c>
      <c r="BZ152" s="5" t="n">
        <v>0</v>
      </c>
      <c r="CA152" s="5" t="n">
        <v>13.254</v>
      </c>
      <c r="CB152" s="5" t="n">
        <v>0</v>
      </c>
      <c r="CC152" s="5" t="n">
        <v>83.248</v>
      </c>
      <c r="CD152" s="5" t="n">
        <v>7.95</v>
      </c>
      <c r="CE152" s="5" t="n">
        <v>114.102</v>
      </c>
      <c r="CF152" s="5" t="n">
        <v>223.006</v>
      </c>
      <c r="CG152" s="5" t="n">
        <v>0.13</v>
      </c>
      <c r="CH152" s="5" t="n">
        <v>1</v>
      </c>
      <c r="CI152" s="5" t="n">
        <v>0</v>
      </c>
      <c r="CJ152" s="5" t="n">
        <v>0</v>
      </c>
      <c r="CK152" s="5" t="n">
        <v>0</v>
      </c>
      <c r="CL152" s="5" t="n">
        <v>0.015</v>
      </c>
      <c r="CM152" s="5" t="n">
        <v>0</v>
      </c>
      <c r="CN152" s="5" t="n">
        <v>1.26</v>
      </c>
      <c r="CO152" s="5" t="n">
        <v>0.415</v>
      </c>
      <c r="CP152" s="5" t="n">
        <v>0.385</v>
      </c>
      <c r="CQ152" s="5" t="n">
        <v>1.348</v>
      </c>
      <c r="CR152" s="5" t="n">
        <v>0</v>
      </c>
      <c r="CS152" s="5" t="n">
        <v>1.823</v>
      </c>
      <c r="CT152" s="5" t="n">
        <v>5.099</v>
      </c>
      <c r="CU152" s="5" t="n">
        <v>1.823</v>
      </c>
    </row>
    <row r="153">
      <c r="A153" s="5" t="inlineStr">
        <is>
          <t>CAN2024</t>
        </is>
      </c>
      <c r="B153" s="5" t="inlineStr">
        <is>
          <t>CAN</t>
        </is>
      </c>
      <c r="C153" s="5" t="inlineStr">
        <is>
          <t>CAN</t>
        </is>
      </c>
      <c r="D153" s="5" t="inlineStr">
        <is>
          <t>Canada</t>
        </is>
      </c>
      <c r="E153" s="5" t="n">
        <v>2024</v>
      </c>
      <c r="F153" s="5" t="n">
        <v>0.05</v>
      </c>
      <c r="G153" s="5" t="n">
        <v>4.055</v>
      </c>
      <c r="H153" s="5" t="n">
        <v>1.069</v>
      </c>
      <c r="I153" s="5" t="n">
        <v>6.023</v>
      </c>
      <c r="J153" s="5" t="n">
        <v>10.078</v>
      </c>
      <c r="K153" s="5" t="n">
        <v>0</v>
      </c>
      <c r="L153" s="5" t="n">
        <v>1</v>
      </c>
      <c r="M153" s="5" t="n">
        <v>5.678</v>
      </c>
      <c r="N153" s="5" t="n">
        <v>3.206</v>
      </c>
      <c r="O153" s="5" t="n">
        <v>6.133</v>
      </c>
      <c r="P153" s="5" t="n">
        <v>11.811</v>
      </c>
      <c r="Q153" s="5" t="n">
        <v>0</v>
      </c>
      <c r="R153" s="5" t="n">
        <v>1</v>
      </c>
      <c r="S153" s="5" t="n">
        <v>9.398</v>
      </c>
      <c r="T153" s="5" t="n">
        <v>6.411</v>
      </c>
      <c r="U153" s="5" t="n">
        <v>0.8</v>
      </c>
      <c r="V153" s="5" t="n">
        <v>10.635</v>
      </c>
      <c r="W153" s="5" t="n">
        <v>0.05</v>
      </c>
      <c r="X153" s="5" t="n">
        <v>1</v>
      </c>
      <c r="Y153" s="5" t="n">
        <v>5.223</v>
      </c>
      <c r="Z153" s="5" t="n">
        <v>0.659</v>
      </c>
      <c r="AA153" s="5" t="n">
        <v>3.527</v>
      </c>
      <c r="AB153" s="5" t="n">
        <v>8.749000000000001</v>
      </c>
      <c r="AC153" s="5" t="n">
        <v>0</v>
      </c>
      <c r="AD153" s="5" t="n">
        <v>1</v>
      </c>
      <c r="AE153" s="5" t="n">
        <v>5.223</v>
      </c>
      <c r="AF153" s="5" t="n">
        <v>1.144</v>
      </c>
      <c r="AG153" s="5" t="n">
        <v>3.526</v>
      </c>
      <c r="AH153" s="5" t="n">
        <v>8.749000000000001</v>
      </c>
      <c r="AI153" s="5" t="n">
        <v>0</v>
      </c>
      <c r="AJ153" s="5" t="n">
        <v>1</v>
      </c>
      <c r="AK153" s="5" t="n">
        <v>8.335000000000001</v>
      </c>
      <c r="AL153" s="5" t="n">
        <v>4.24</v>
      </c>
      <c r="AM153" s="5" t="n">
        <v>1.131</v>
      </c>
      <c r="AN153" s="5" t="n">
        <v>9.94</v>
      </c>
      <c r="AO153" s="5" t="n">
        <v>0.05</v>
      </c>
      <c r="AP153" s="5" t="n">
        <v>1</v>
      </c>
      <c r="AQ153" s="5" t="n">
        <v>0.756</v>
      </c>
      <c r="AR153" s="5" t="n">
        <v>0.132</v>
      </c>
      <c r="AS153" s="5" t="n">
        <v>0.485</v>
      </c>
      <c r="AT153" s="5" t="n">
        <v>1.304</v>
      </c>
      <c r="AU153" s="5" t="n">
        <v>0.05</v>
      </c>
      <c r="AV153" s="5" t="n">
        <v>1</v>
      </c>
      <c r="AW153" s="5" t="n">
        <v>0.655</v>
      </c>
      <c r="AX153" s="5" t="n">
        <v>0.132</v>
      </c>
      <c r="AY153" s="5" t="n">
        <v>0.514</v>
      </c>
      <c r="AZ153" s="5" t="n">
        <v>1.228</v>
      </c>
      <c r="BA153" s="5" t="n">
        <v>0.05</v>
      </c>
      <c r="BB153" s="5" t="n">
        <v>1</v>
      </c>
      <c r="BC153" s="5" t="n">
        <v>0.534</v>
      </c>
      <c r="BD153" s="5" t="n">
        <v>0.132</v>
      </c>
      <c r="BE153" s="5" t="n">
        <v>0.356</v>
      </c>
      <c r="BF153" s="5" t="n">
        <v>0.9340000000000001</v>
      </c>
      <c r="BG153" s="5" t="n">
        <v>0.05</v>
      </c>
      <c r="BH153" s="5" t="n">
        <v>1</v>
      </c>
      <c r="BI153" s="5" t="n">
        <v>0.5679999999999999</v>
      </c>
      <c r="BJ153" s="5" t="n">
        <v>0.132</v>
      </c>
      <c r="BK153" s="5" t="n">
        <v>0.651</v>
      </c>
      <c r="BL153" s="5" t="n">
        <v>1.28</v>
      </c>
      <c r="BM153" s="5" t="n">
        <v>0.05</v>
      </c>
      <c r="BN153" s="5" t="n">
        <v>1</v>
      </c>
      <c r="BO153" s="5" t="n">
        <v>0</v>
      </c>
      <c r="BP153" s="5" t="n">
        <v>0.012</v>
      </c>
      <c r="BQ153" s="5" t="n">
        <v>0.106</v>
      </c>
      <c r="BR153" s="5" t="n">
        <v>0</v>
      </c>
      <c r="BS153" s="5" t="n">
        <v>1</v>
      </c>
      <c r="BT153" s="5" t="n">
        <v>0</v>
      </c>
      <c r="BU153" s="5" t="n">
        <v>0.008</v>
      </c>
      <c r="BV153" s="5" t="n">
        <v>0.122</v>
      </c>
      <c r="BW153" s="5" t="n">
        <v>0.05</v>
      </c>
      <c r="BX153" s="5" t="n">
        <v>0.833</v>
      </c>
      <c r="BY153" s="5" t="n">
        <v>13.646</v>
      </c>
      <c r="BZ153" s="5" t="n">
        <v>0</v>
      </c>
      <c r="CA153" s="5" t="n">
        <v>13.646</v>
      </c>
      <c r="CB153" s="5" t="n">
        <v>0</v>
      </c>
      <c r="CC153" s="5" t="n">
        <v>82.58799999999999</v>
      </c>
      <c r="CD153" s="5" t="n">
        <v>7.95</v>
      </c>
      <c r="CE153" s="5" t="n">
        <v>99.848</v>
      </c>
      <c r="CF153" s="5" t="n">
        <v>206.153</v>
      </c>
      <c r="CG153" s="5" t="n">
        <v>0.13</v>
      </c>
      <c r="CH153" s="5" t="n">
        <v>1</v>
      </c>
      <c r="CI153" s="5" t="n">
        <v>0</v>
      </c>
      <c r="CJ153" s="5" t="n">
        <v>0</v>
      </c>
      <c r="CK153" s="5" t="n">
        <v>0</v>
      </c>
      <c r="CL153" s="5" t="n">
        <v>0.015</v>
      </c>
      <c r="CM153" s="5" t="n">
        <v>0</v>
      </c>
      <c r="CN153" s="5" t="n">
        <v>1.406</v>
      </c>
      <c r="CO153" s="5" t="n">
        <v>0.442</v>
      </c>
      <c r="CP153" s="5" t="n">
        <v>0.385</v>
      </c>
      <c r="CQ153" s="5" t="n">
        <v>1.387</v>
      </c>
      <c r="CR153" s="5" t="n">
        <v>0</v>
      </c>
      <c r="CS153" s="5" t="n">
        <v>0.827</v>
      </c>
      <c r="CT153" s="5" t="n">
        <v>3.99</v>
      </c>
      <c r="CU153" s="5" t="n">
        <v>0.827</v>
      </c>
    </row>
    <row r="154">
      <c r="A154" s="5" t="inlineStr">
        <is>
          <t>CYM2021</t>
        </is>
      </c>
      <c r="B154" s="5" t="inlineStr">
        <is>
          <t>CYM</t>
        </is>
      </c>
      <c r="C154" s="5" t="inlineStr">
        <is>
          <t>CYM</t>
        </is>
      </c>
      <c r="D154" s="5" t="inlineStr">
        <is>
          <t>Cayman Islands</t>
        </is>
      </c>
      <c r="E154" s="5" t="n">
        <v>2021</v>
      </c>
      <c r="F154" s="5" t="n">
        <v>0</v>
      </c>
      <c r="G154" s="5" t="n">
        <v>5.897</v>
      </c>
      <c r="H154" s="5" t="n">
        <v>1.143</v>
      </c>
      <c r="I154" s="5" t="n">
        <v>0</v>
      </c>
      <c r="J154" s="5" t="n">
        <v>5.897</v>
      </c>
      <c r="K154" s="5" t="n">
        <v>0</v>
      </c>
      <c r="L154" s="5" t="n">
        <v>1</v>
      </c>
      <c r="M154" s="5" t="n">
        <v>7.964</v>
      </c>
      <c r="N154" s="5" t="n">
        <v>3.43</v>
      </c>
      <c r="O154" s="5" t="n">
        <v>0</v>
      </c>
      <c r="P154" s="5" t="n">
        <v>7.964</v>
      </c>
      <c r="Q154" s="5" t="n">
        <v>0</v>
      </c>
      <c r="R154" s="5" t="n">
        <v>1</v>
      </c>
      <c r="S154" s="5" t="n">
        <v>11.613</v>
      </c>
      <c r="T154" s="5" t="n">
        <v>6.86</v>
      </c>
      <c r="U154" s="5" t="n">
        <v>0</v>
      </c>
      <c r="V154" s="5" t="n">
        <v>11.613</v>
      </c>
      <c r="W154" s="5" t="n">
        <v>0</v>
      </c>
      <c r="X154" s="5" t="n">
        <v>1</v>
      </c>
      <c r="Y154" s="5" t="n">
        <v>16.158</v>
      </c>
      <c r="Z154" s="5" t="n">
        <v>2.173</v>
      </c>
      <c r="AA154" s="5" t="n">
        <v>0</v>
      </c>
      <c r="AB154" s="5" t="n">
        <v>16.158</v>
      </c>
      <c r="AC154" s="5" t="n">
        <v>0</v>
      </c>
      <c r="AD154" s="5" t="n">
        <v>1</v>
      </c>
      <c r="AE154" s="5" t="n">
        <v>17.301</v>
      </c>
      <c r="AF154" s="5" t="n">
        <v>4.052</v>
      </c>
      <c r="AG154" s="5" t="n">
        <v>0</v>
      </c>
      <c r="AH154" s="5" t="n">
        <v>17.301</v>
      </c>
      <c r="AI154" s="5" t="n">
        <v>0</v>
      </c>
      <c r="AJ154" s="5" t="n">
        <v>1</v>
      </c>
      <c r="AK154" s="5" t="n">
        <v>24.161</v>
      </c>
      <c r="AL154" s="5" t="n">
        <v>12.982</v>
      </c>
      <c r="AM154" s="5" t="n">
        <v>0</v>
      </c>
      <c r="AN154" s="5" t="n">
        <v>24.161</v>
      </c>
      <c r="AO154" s="5" t="n">
        <v>0</v>
      </c>
      <c r="AP154" s="5" t="n">
        <v>1</v>
      </c>
      <c r="AQ154" s="5" t="n">
        <v>0.649</v>
      </c>
      <c r="AR154" s="5" t="n">
        <v>0.114</v>
      </c>
      <c r="AS154" s="5" t="n">
        <v>0.628</v>
      </c>
      <c r="AT154" s="5" t="n">
        <v>1.277</v>
      </c>
      <c r="AU154" s="5" t="n">
        <v>0</v>
      </c>
      <c r="AV154" s="5" t="n">
        <v>1</v>
      </c>
      <c r="AW154" s="5" t="n">
        <v>0.577</v>
      </c>
      <c r="AX154" s="5" t="n">
        <v>0.114</v>
      </c>
      <c r="AY154" s="5" t="n">
        <v>0.574</v>
      </c>
      <c r="AZ154" s="5" t="n">
        <v>1.151</v>
      </c>
      <c r="BA154" s="5" t="n">
        <v>0</v>
      </c>
      <c r="BB154" s="5" t="n">
        <v>1</v>
      </c>
      <c r="BC154" s="5" t="n">
        <v>0.458</v>
      </c>
      <c r="BD154" s="5" t="n">
        <v>0.114</v>
      </c>
      <c r="BE154" s="5" t="n">
        <v>0</v>
      </c>
      <c r="BF154" s="5" t="n">
        <v>0.458</v>
      </c>
      <c r="BG154" s="5" t="n">
        <v>0</v>
      </c>
      <c r="BH154" s="5" t="n">
        <v>1</v>
      </c>
      <c r="BI154" s="5" t="n">
        <v>0.491</v>
      </c>
      <c r="BJ154" s="5" t="n">
        <v>0.114</v>
      </c>
      <c r="BK154" s="5" t="n">
        <v>0</v>
      </c>
      <c r="BL154" s="5" t="n">
        <v>0.491</v>
      </c>
      <c r="BM154" s="5" t="n">
        <v>0</v>
      </c>
      <c r="BN154" s="5" t="n">
        <v>1</v>
      </c>
      <c r="BO154" s="5" t="n">
        <v>0</v>
      </c>
      <c r="BP154" s="5" t="n">
        <v>0</v>
      </c>
      <c r="BQ154" s="5" t="n">
        <v>0.286</v>
      </c>
      <c r="BR154" s="5" t="n">
        <v>0</v>
      </c>
      <c r="BS154" s="5" t="n">
        <v>1</v>
      </c>
      <c r="BT154" s="5" t="n">
        <v>0</v>
      </c>
      <c r="BU154" s="5" t="n">
        <v>0</v>
      </c>
      <c r="BV154" s="5" t="n">
        <v>0.318</v>
      </c>
      <c r="BW154" s="5" t="n">
        <v>0</v>
      </c>
      <c r="BX154" s="5" t="n">
        <v>0.833</v>
      </c>
      <c r="BY154" s="5" t="n">
        <v>11.787</v>
      </c>
      <c r="BZ154" s="5" t="n">
        <v>0</v>
      </c>
      <c r="CA154" s="5" t="n">
        <v>11.787</v>
      </c>
      <c r="CB154" s="5" t="n">
        <v>0</v>
      </c>
      <c r="CC154" s="5" t="n">
        <v>78.125</v>
      </c>
      <c r="CD154" s="5" t="n">
        <v>7.95</v>
      </c>
      <c r="CE154" s="5" t="n">
        <v>0</v>
      </c>
      <c r="CF154" s="5" t="n">
        <v>78.125</v>
      </c>
      <c r="CG154" s="5" t="n">
        <v>0</v>
      </c>
      <c r="CH154" s="5" t="n">
        <v>1</v>
      </c>
      <c r="CI154" s="5" t="n">
        <v>0</v>
      </c>
      <c r="CJ154" s="5" t="n">
        <v>0</v>
      </c>
      <c r="CK154" s="5" t="n">
        <v>0</v>
      </c>
      <c r="CL154" s="5" t="n">
        <v>0</v>
      </c>
      <c r="CM154" s="5" t="n">
        <v>0</v>
      </c>
      <c r="CN154" s="5" t="n">
        <v>0</v>
      </c>
      <c r="CO154" s="5" t="n">
        <v>0</v>
      </c>
      <c r="CP154" s="5" t="n">
        <v>0</v>
      </c>
      <c r="CQ154" s="5" t="n">
        <v>1.198</v>
      </c>
      <c r="CR154" s="5" t="n">
        <v>0</v>
      </c>
      <c r="CS154" s="5" t="n">
        <v>4.776</v>
      </c>
      <c r="CT154" s="5" t="n">
        <v>4.753</v>
      </c>
      <c r="CU154" s="5" t="n">
        <v>15.983</v>
      </c>
    </row>
    <row r="155">
      <c r="A155" s="5" t="inlineStr">
        <is>
          <t>CYM2022</t>
        </is>
      </c>
      <c r="B155" s="5" t="inlineStr">
        <is>
          <t>CYM</t>
        </is>
      </c>
      <c r="C155" s="5" t="inlineStr">
        <is>
          <t>CYM</t>
        </is>
      </c>
      <c r="D155" s="5" t="inlineStr">
        <is>
          <t>Cayman Islands</t>
        </is>
      </c>
      <c r="E155" s="5" t="n">
        <v>2022</v>
      </c>
      <c r="F155" s="5" t="n">
        <v>0</v>
      </c>
      <c r="G155" s="5" t="n">
        <v>11.72</v>
      </c>
      <c r="H155" s="5" t="n">
        <v>1.235</v>
      </c>
      <c r="I155" s="5" t="n">
        <v>0</v>
      </c>
      <c r="J155" s="5" t="n">
        <v>11.72</v>
      </c>
      <c r="K155" s="5" t="n">
        <v>0</v>
      </c>
      <c r="L155" s="5" t="n">
        <v>1</v>
      </c>
      <c r="M155" s="5" t="n">
        <v>9.782999999999999</v>
      </c>
      <c r="N155" s="5" t="n">
        <v>3.704</v>
      </c>
      <c r="O155" s="5" t="n">
        <v>0</v>
      </c>
      <c r="P155" s="5" t="n">
        <v>9.782999999999999</v>
      </c>
      <c r="Q155" s="5" t="n">
        <v>0</v>
      </c>
      <c r="R155" s="5" t="n">
        <v>1</v>
      </c>
      <c r="S155" s="5" t="n">
        <v>17.893</v>
      </c>
      <c r="T155" s="5" t="n">
        <v>7.408</v>
      </c>
      <c r="U155" s="5" t="n">
        <v>0</v>
      </c>
      <c r="V155" s="5" t="n">
        <v>17.893</v>
      </c>
      <c r="W155" s="5" t="n">
        <v>0</v>
      </c>
      <c r="X155" s="5" t="n">
        <v>1</v>
      </c>
      <c r="Y155" s="5" t="n">
        <v>28.798</v>
      </c>
      <c r="Z155" s="5" t="n">
        <v>3.873</v>
      </c>
      <c r="AA155" s="5" t="n">
        <v>0</v>
      </c>
      <c r="AB155" s="5" t="n">
        <v>28.798</v>
      </c>
      <c r="AC155" s="5" t="n">
        <v>0</v>
      </c>
      <c r="AD155" s="5" t="n">
        <v>1</v>
      </c>
      <c r="AE155" s="5" t="n">
        <v>30.032</v>
      </c>
      <c r="AF155" s="5" t="n">
        <v>7.033</v>
      </c>
      <c r="AG155" s="5" t="n">
        <v>0</v>
      </c>
      <c r="AH155" s="5" t="n">
        <v>30.032</v>
      </c>
      <c r="AI155" s="5" t="n">
        <v>0</v>
      </c>
      <c r="AJ155" s="5" t="n">
        <v>1</v>
      </c>
      <c r="AK155" s="5" t="n">
        <v>37.44</v>
      </c>
      <c r="AL155" s="5" t="n">
        <v>20.118</v>
      </c>
      <c r="AM155" s="5" t="n">
        <v>0</v>
      </c>
      <c r="AN155" s="5" t="n">
        <v>37.44</v>
      </c>
      <c r="AO155" s="5" t="n">
        <v>0</v>
      </c>
      <c r="AP155" s="5" t="n">
        <v>1</v>
      </c>
      <c r="AQ155" s="5" t="n">
        <v>0.896</v>
      </c>
      <c r="AR155" s="5" t="n">
        <v>0.123</v>
      </c>
      <c r="AS155" s="5" t="n">
        <v>0.754</v>
      </c>
      <c r="AT155" s="5" t="n">
        <v>1.65</v>
      </c>
      <c r="AU155" s="5" t="n">
        <v>0</v>
      </c>
      <c r="AV155" s="5" t="n">
        <v>1</v>
      </c>
      <c r="AW155" s="5" t="n">
        <v>0.89</v>
      </c>
      <c r="AX155" s="5" t="n">
        <v>0.123</v>
      </c>
      <c r="AY155" s="5" t="n">
        <v>0.676</v>
      </c>
      <c r="AZ155" s="5" t="n">
        <v>1.566</v>
      </c>
      <c r="BA155" s="5" t="n">
        <v>0</v>
      </c>
      <c r="BB155" s="5" t="n">
        <v>1</v>
      </c>
      <c r="BC155" s="5" t="n">
        <v>0.62</v>
      </c>
      <c r="BD155" s="5" t="n">
        <v>0.123</v>
      </c>
      <c r="BE155" s="5" t="n">
        <v>0</v>
      </c>
      <c r="BF155" s="5" t="n">
        <v>0.62</v>
      </c>
      <c r="BG155" s="5" t="n">
        <v>0</v>
      </c>
      <c r="BH155" s="5" t="n">
        <v>1</v>
      </c>
      <c r="BI155" s="5" t="n">
        <v>0.608</v>
      </c>
      <c r="BJ155" s="5" t="n">
        <v>0.123</v>
      </c>
      <c r="BK155" s="5" t="n">
        <v>0</v>
      </c>
      <c r="BL155" s="5" t="n">
        <v>0.608</v>
      </c>
      <c r="BM155" s="5" t="n">
        <v>0</v>
      </c>
      <c r="BN155" s="5" t="n">
        <v>1</v>
      </c>
      <c r="BO155" s="5" t="n">
        <v>0</v>
      </c>
      <c r="BP155" s="5" t="n">
        <v>0</v>
      </c>
      <c r="BQ155" s="5" t="n">
        <v>0.383</v>
      </c>
      <c r="BR155" s="5" t="n">
        <v>0</v>
      </c>
      <c r="BS155" s="5" t="n">
        <v>1</v>
      </c>
      <c r="BT155" s="5" t="n">
        <v>0</v>
      </c>
      <c r="BU155" s="5" t="n">
        <v>0</v>
      </c>
      <c r="BV155" s="5" t="n">
        <v>0.411</v>
      </c>
      <c r="BW155" s="5" t="n">
        <v>0</v>
      </c>
      <c r="BX155" s="5" t="n">
        <v>0.833</v>
      </c>
      <c r="BY155" s="5" t="n">
        <v>12.729</v>
      </c>
      <c r="BZ155" s="5" t="n">
        <v>0</v>
      </c>
      <c r="CA155" s="5" t="n">
        <v>12.729</v>
      </c>
      <c r="CB155" s="5" t="n">
        <v>0</v>
      </c>
      <c r="CC155" s="5" t="n">
        <v>97.90000000000001</v>
      </c>
      <c r="CD155" s="5" t="n">
        <v>7.95</v>
      </c>
      <c r="CE155" s="5" t="n">
        <v>0</v>
      </c>
      <c r="CF155" s="5" t="n">
        <v>97.90000000000001</v>
      </c>
      <c r="CG155" s="5" t="n">
        <v>0</v>
      </c>
      <c r="CH155" s="5" t="n">
        <v>1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1.294</v>
      </c>
      <c r="CR155" s="5" t="n">
        <v>0</v>
      </c>
      <c r="CS155" s="5" t="n">
        <v>5.158</v>
      </c>
      <c r="CT155" s="5" t="n">
        <v>10.485</v>
      </c>
      <c r="CU155" s="5" t="n">
        <v>29.494</v>
      </c>
    </row>
    <row r="156">
      <c r="A156" s="5" t="inlineStr">
        <is>
          <t>CYM2023</t>
        </is>
      </c>
      <c r="B156" s="5" t="inlineStr">
        <is>
          <t>CYM</t>
        </is>
      </c>
      <c r="C156" s="5" t="inlineStr">
        <is>
          <t>CYM</t>
        </is>
      </c>
      <c r="D156" s="5" t="inlineStr">
        <is>
          <t>Cayman Islands</t>
        </is>
      </c>
      <c r="E156" s="5" t="n">
        <v>2023</v>
      </c>
      <c r="F156" s="5" t="n">
        <v>0</v>
      </c>
      <c r="G156" s="5" t="n">
        <v>6.147</v>
      </c>
      <c r="H156" s="5" t="n">
        <v>1.286</v>
      </c>
      <c r="I156" s="5" t="n">
        <v>0</v>
      </c>
      <c r="J156" s="5" t="n">
        <v>6.147</v>
      </c>
      <c r="K156" s="5" t="n">
        <v>0</v>
      </c>
      <c r="L156" s="5" t="n">
        <v>1</v>
      </c>
      <c r="M156" s="5" t="n">
        <v>7.886</v>
      </c>
      <c r="N156" s="5" t="n">
        <v>3.857</v>
      </c>
      <c r="O156" s="5" t="n">
        <v>0</v>
      </c>
      <c r="P156" s="5" t="n">
        <v>7.886</v>
      </c>
      <c r="Q156" s="5" t="n">
        <v>0</v>
      </c>
      <c r="R156" s="5" t="n">
        <v>1</v>
      </c>
      <c r="S156" s="5" t="n">
        <v>12.575</v>
      </c>
      <c r="T156" s="5" t="n">
        <v>7.714</v>
      </c>
      <c r="U156" s="5" t="n">
        <v>0</v>
      </c>
      <c r="V156" s="5" t="n">
        <v>12.575</v>
      </c>
      <c r="W156" s="5" t="n">
        <v>0</v>
      </c>
      <c r="X156" s="5" t="n">
        <v>1</v>
      </c>
      <c r="Y156" s="5" t="n">
        <v>11.879</v>
      </c>
      <c r="Z156" s="5" t="n">
        <v>1.598</v>
      </c>
      <c r="AA156" s="5" t="n">
        <v>0</v>
      </c>
      <c r="AB156" s="5" t="n">
        <v>11.879</v>
      </c>
      <c r="AC156" s="5" t="n">
        <v>0</v>
      </c>
      <c r="AD156" s="5" t="n">
        <v>1</v>
      </c>
      <c r="AE156" s="5" t="n">
        <v>13.165</v>
      </c>
      <c r="AF156" s="5" t="n">
        <v>3.083</v>
      </c>
      <c r="AG156" s="5" t="n">
        <v>0</v>
      </c>
      <c r="AH156" s="5" t="n">
        <v>13.165</v>
      </c>
      <c r="AI156" s="5" t="n">
        <v>0</v>
      </c>
      <c r="AJ156" s="5" t="n">
        <v>1</v>
      </c>
      <c r="AK156" s="5" t="n">
        <v>20.879</v>
      </c>
      <c r="AL156" s="5" t="n">
        <v>11.219</v>
      </c>
      <c r="AM156" s="5" t="n">
        <v>0</v>
      </c>
      <c r="AN156" s="5" t="n">
        <v>20.879</v>
      </c>
      <c r="AO156" s="5" t="n">
        <v>0</v>
      </c>
      <c r="AP156" s="5" t="n">
        <v>1</v>
      </c>
      <c r="AQ156" s="5" t="n">
        <v>0.791</v>
      </c>
      <c r="AR156" s="5" t="n">
        <v>0.129</v>
      </c>
      <c r="AS156" s="5" t="n">
        <v>0.774</v>
      </c>
      <c r="AT156" s="5" t="n">
        <v>1.565</v>
      </c>
      <c r="AU156" s="5" t="n">
        <v>0</v>
      </c>
      <c r="AV156" s="5" t="n">
        <v>1</v>
      </c>
      <c r="AW156" s="5" t="n">
        <v>0.618</v>
      </c>
      <c r="AX156" s="5" t="n">
        <v>0.129</v>
      </c>
      <c r="AY156" s="5" t="n">
        <v>0.888</v>
      </c>
      <c r="AZ156" s="5" t="n">
        <v>1.506</v>
      </c>
      <c r="BA156" s="5" t="n">
        <v>0</v>
      </c>
      <c r="BB156" s="5" t="n">
        <v>1</v>
      </c>
      <c r="BC156" s="5" t="n">
        <v>0.554</v>
      </c>
      <c r="BD156" s="5" t="n">
        <v>0.129</v>
      </c>
      <c r="BE156" s="5" t="n">
        <v>0</v>
      </c>
      <c r="BF156" s="5" t="n">
        <v>0.554</v>
      </c>
      <c r="BG156" s="5" t="n">
        <v>0</v>
      </c>
      <c r="BH156" s="5" t="n">
        <v>1</v>
      </c>
      <c r="BI156" s="5" t="n">
        <v>0.5570000000000001</v>
      </c>
      <c r="BJ156" s="5" t="n">
        <v>0.129</v>
      </c>
      <c r="BK156" s="5" t="n">
        <v>0</v>
      </c>
      <c r="BL156" s="5" t="n">
        <v>0.5570000000000001</v>
      </c>
      <c r="BM156" s="5" t="n">
        <v>0</v>
      </c>
      <c r="BN156" s="5" t="n">
        <v>1</v>
      </c>
      <c r="BO156" s="5" t="n">
        <v>0</v>
      </c>
      <c r="BP156" s="5" t="n">
        <v>0</v>
      </c>
      <c r="BQ156" s="5" t="n">
        <v>0.372</v>
      </c>
      <c r="BR156" s="5" t="n">
        <v>0</v>
      </c>
      <c r="BS156" s="5" t="n">
        <v>1</v>
      </c>
      <c r="BT156" s="5" t="n">
        <v>0</v>
      </c>
      <c r="BU156" s="5" t="n">
        <v>0</v>
      </c>
      <c r="BV156" s="5" t="n">
        <v>0.411</v>
      </c>
      <c r="BW156" s="5" t="n">
        <v>0</v>
      </c>
      <c r="BX156" s="5" t="n">
        <v>0.833</v>
      </c>
      <c r="BY156" s="5" t="n">
        <v>13.254</v>
      </c>
      <c r="BZ156" s="5" t="n">
        <v>0</v>
      </c>
      <c r="CA156" s="5" t="n">
        <v>13.254</v>
      </c>
      <c r="CB156" s="5" t="n">
        <v>0</v>
      </c>
      <c r="CC156" s="5" t="n">
        <v>83.248</v>
      </c>
      <c r="CD156" s="5" t="n">
        <v>7.95</v>
      </c>
      <c r="CE156" s="5" t="n">
        <v>0</v>
      </c>
      <c r="CF156" s="5" t="n">
        <v>83.248</v>
      </c>
      <c r="CG156" s="5" t="n">
        <v>0</v>
      </c>
      <c r="CH156" s="5" t="n">
        <v>1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0</v>
      </c>
      <c r="CP156" s="5" t="n">
        <v>0</v>
      </c>
      <c r="CQ156" s="5" t="n">
        <v>1.348</v>
      </c>
      <c r="CR156" s="5" t="n">
        <v>0</v>
      </c>
      <c r="CS156" s="5" t="n">
        <v>5.37</v>
      </c>
      <c r="CT156" s="5" t="n">
        <v>4.861</v>
      </c>
      <c r="CU156" s="5" t="n">
        <v>11.192</v>
      </c>
    </row>
    <row r="157">
      <c r="A157" s="5" t="inlineStr">
        <is>
          <t>CYM2024</t>
        </is>
      </c>
      <c r="B157" s="5" t="inlineStr">
        <is>
          <t>CYM</t>
        </is>
      </c>
      <c r="C157" s="5" t="inlineStr">
        <is>
          <t>CYM</t>
        </is>
      </c>
      <c r="D157" s="5" t="inlineStr">
        <is>
          <t>Cayman Islands</t>
        </is>
      </c>
      <c r="E157" s="5" t="n">
        <v>2024</v>
      </c>
      <c r="F157" s="5" t="n">
        <v>0</v>
      </c>
      <c r="G157" s="5" t="n">
        <v>5.575</v>
      </c>
      <c r="H157" s="5" t="n">
        <v>1.324</v>
      </c>
      <c r="I157" s="5" t="n">
        <v>0</v>
      </c>
      <c r="J157" s="5" t="n">
        <v>5.575</v>
      </c>
      <c r="K157" s="5" t="n">
        <v>0</v>
      </c>
      <c r="L157" s="5" t="n">
        <v>1</v>
      </c>
      <c r="M157" s="5" t="n">
        <v>7.124</v>
      </c>
      <c r="N157" s="5" t="n">
        <v>3.971</v>
      </c>
      <c r="O157" s="5" t="n">
        <v>0</v>
      </c>
      <c r="P157" s="5" t="n">
        <v>7.124</v>
      </c>
      <c r="Q157" s="5" t="n">
        <v>0</v>
      </c>
      <c r="R157" s="5" t="n">
        <v>1</v>
      </c>
      <c r="S157" s="5" t="n">
        <v>12.193</v>
      </c>
      <c r="T157" s="5" t="n">
        <v>7.942</v>
      </c>
      <c r="U157" s="5" t="n">
        <v>0</v>
      </c>
      <c r="V157" s="5" t="n">
        <v>12.193</v>
      </c>
      <c r="W157" s="5" t="n">
        <v>0</v>
      </c>
      <c r="X157" s="5" t="n">
        <v>1</v>
      </c>
      <c r="Y157" s="5" t="n">
        <v>10.932</v>
      </c>
      <c r="Z157" s="5" t="n">
        <v>1.47</v>
      </c>
      <c r="AA157" s="5" t="n">
        <v>0</v>
      </c>
      <c r="AB157" s="5" t="n">
        <v>10.932</v>
      </c>
      <c r="AC157" s="5" t="n">
        <v>0</v>
      </c>
      <c r="AD157" s="5" t="n">
        <v>1</v>
      </c>
      <c r="AE157" s="5" t="n">
        <v>12.256</v>
      </c>
      <c r="AF157" s="5" t="n">
        <v>2.87</v>
      </c>
      <c r="AG157" s="5" t="n">
        <v>0</v>
      </c>
      <c r="AH157" s="5" t="n">
        <v>12.256</v>
      </c>
      <c r="AI157" s="5" t="n">
        <v>0</v>
      </c>
      <c r="AJ157" s="5" t="n">
        <v>1</v>
      </c>
      <c r="AK157" s="5" t="n">
        <v>20.197</v>
      </c>
      <c r="AL157" s="5" t="n">
        <v>10.852</v>
      </c>
      <c r="AM157" s="5" t="n">
        <v>0</v>
      </c>
      <c r="AN157" s="5" t="n">
        <v>20.197</v>
      </c>
      <c r="AO157" s="5" t="n">
        <v>0</v>
      </c>
      <c r="AP157" s="5" t="n">
        <v>1</v>
      </c>
      <c r="AQ157" s="5" t="n">
        <v>0.756</v>
      </c>
      <c r="AR157" s="5" t="n">
        <v>0.132</v>
      </c>
      <c r="AS157" s="5" t="n">
        <v>0.752</v>
      </c>
      <c r="AT157" s="5" t="n">
        <v>1.508</v>
      </c>
      <c r="AU157" s="5" t="n">
        <v>0</v>
      </c>
      <c r="AV157" s="5" t="n">
        <v>1</v>
      </c>
      <c r="AW157" s="5" t="n">
        <v>0.655</v>
      </c>
      <c r="AX157" s="5" t="n">
        <v>0.132</v>
      </c>
      <c r="AY157" s="5" t="n">
        <v>0.751</v>
      </c>
      <c r="AZ157" s="5" t="n">
        <v>1.406</v>
      </c>
      <c r="BA157" s="5" t="n">
        <v>0</v>
      </c>
      <c r="BB157" s="5" t="n">
        <v>1</v>
      </c>
      <c r="BC157" s="5" t="n">
        <v>0.534</v>
      </c>
      <c r="BD157" s="5" t="n">
        <v>0.132</v>
      </c>
      <c r="BE157" s="5" t="n">
        <v>0</v>
      </c>
      <c r="BF157" s="5" t="n">
        <v>0.534</v>
      </c>
      <c r="BG157" s="5" t="n">
        <v>0</v>
      </c>
      <c r="BH157" s="5" t="n">
        <v>1</v>
      </c>
      <c r="BI157" s="5" t="n">
        <v>0.5679999999999999</v>
      </c>
      <c r="BJ157" s="5" t="n">
        <v>0.132</v>
      </c>
      <c r="BK157" s="5" t="n">
        <v>0</v>
      </c>
      <c r="BL157" s="5" t="n">
        <v>0.5679999999999999</v>
      </c>
      <c r="BM157" s="5" t="n">
        <v>0</v>
      </c>
      <c r="BN157" s="5" t="n">
        <v>1</v>
      </c>
      <c r="BO157" s="5" t="n">
        <v>0</v>
      </c>
      <c r="BP157" s="5" t="n">
        <v>0</v>
      </c>
      <c r="BQ157" s="5" t="n">
        <v>0.378</v>
      </c>
      <c r="BR157" s="5" t="n">
        <v>0</v>
      </c>
      <c r="BS157" s="5" t="n">
        <v>1</v>
      </c>
      <c r="BT157" s="5" t="n">
        <v>0</v>
      </c>
      <c r="BU157" s="5" t="n">
        <v>0</v>
      </c>
      <c r="BV157" s="5" t="n">
        <v>0.425</v>
      </c>
      <c r="BW157" s="5" t="n">
        <v>0</v>
      </c>
      <c r="BX157" s="5" t="n">
        <v>0.833</v>
      </c>
      <c r="BY157" s="5" t="n">
        <v>13.646</v>
      </c>
      <c r="BZ157" s="5" t="n">
        <v>0</v>
      </c>
      <c r="CA157" s="5" t="n">
        <v>13.646</v>
      </c>
      <c r="CB157" s="5" t="n">
        <v>0</v>
      </c>
      <c r="CC157" s="5" t="n">
        <v>82.58799999999999</v>
      </c>
      <c r="CD157" s="5" t="n">
        <v>7.95</v>
      </c>
      <c r="CE157" s="5" t="n">
        <v>0</v>
      </c>
      <c r="CF157" s="5" t="n">
        <v>82.58799999999999</v>
      </c>
      <c r="CG157" s="5" t="n">
        <v>0</v>
      </c>
      <c r="CH157" s="5" t="n">
        <v>1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1.387</v>
      </c>
      <c r="CR157" s="5" t="n">
        <v>0</v>
      </c>
      <c r="CS157" s="5" t="n">
        <v>5.529</v>
      </c>
      <c r="CT157" s="5" t="n">
        <v>4.251</v>
      </c>
      <c r="CU157" s="5" t="n">
        <v>10.123</v>
      </c>
    </row>
    <row r="158">
      <c r="A158" s="5" t="inlineStr">
        <is>
          <t>CAF2021</t>
        </is>
      </c>
      <c r="B158" s="5" t="inlineStr">
        <is>
          <t>CAF</t>
        </is>
      </c>
      <c r="C158" s="5" t="inlineStr">
        <is>
          <t>CAF</t>
        </is>
      </c>
      <c r="D158" s="5" t="inlineStr">
        <is>
          <t>Central African Republic</t>
        </is>
      </c>
      <c r="E158" s="5" t="n">
        <v>2021</v>
      </c>
      <c r="F158" s="5" t="n">
        <v>0.19</v>
      </c>
      <c r="G158" s="5" t="n">
        <v>5.897</v>
      </c>
      <c r="H158" s="5" t="n">
        <v>1.143</v>
      </c>
      <c r="I158" s="5" t="n">
        <v>0</v>
      </c>
      <c r="J158" s="5" t="n">
        <v>5.897</v>
      </c>
      <c r="K158" s="5" t="n">
        <v>0</v>
      </c>
      <c r="L158" s="5" t="n">
        <v>1</v>
      </c>
      <c r="M158" s="5" t="n">
        <v>7.964</v>
      </c>
      <c r="N158" s="5" t="n">
        <v>3.43</v>
      </c>
      <c r="O158" s="5" t="n">
        <v>0</v>
      </c>
      <c r="P158" s="5" t="n">
        <v>7.964</v>
      </c>
      <c r="Q158" s="5" t="n">
        <v>0</v>
      </c>
      <c r="R158" s="5" t="n">
        <v>1</v>
      </c>
      <c r="S158" s="5" t="n">
        <v>11.613</v>
      </c>
      <c r="T158" s="5" t="n">
        <v>6.86</v>
      </c>
      <c r="U158" s="5" t="n">
        <v>0</v>
      </c>
      <c r="V158" s="5" t="n">
        <v>13.82</v>
      </c>
      <c r="W158" s="5" t="n">
        <v>0.19</v>
      </c>
      <c r="X158" s="5" t="n">
        <v>1</v>
      </c>
      <c r="Y158" s="5" t="n">
        <v>5.919</v>
      </c>
      <c r="Z158" s="5" t="n">
        <v>0.8</v>
      </c>
      <c r="AA158" s="5" t="n">
        <v>0</v>
      </c>
      <c r="AB158" s="5" t="n">
        <v>5.919</v>
      </c>
      <c r="AC158" s="5" t="n">
        <v>0</v>
      </c>
      <c r="AD158" s="5" t="n">
        <v>1</v>
      </c>
      <c r="AE158" s="5" t="n">
        <v>7.062</v>
      </c>
      <c r="AF158" s="5" t="n">
        <v>1.651</v>
      </c>
      <c r="AG158" s="5" t="n">
        <v>0</v>
      </c>
      <c r="AH158" s="5" t="n">
        <v>7.062</v>
      </c>
      <c r="AI158" s="5" t="n">
        <v>0</v>
      </c>
      <c r="AJ158" s="5" t="n">
        <v>1</v>
      </c>
      <c r="AK158" s="5" t="n">
        <v>13.922</v>
      </c>
      <c r="AL158" s="5" t="n">
        <v>7.415</v>
      </c>
      <c r="AM158" s="5" t="n">
        <v>0</v>
      </c>
      <c r="AN158" s="5" t="n">
        <v>16.568</v>
      </c>
      <c r="AO158" s="5" t="n">
        <v>0.19</v>
      </c>
      <c r="AP158" s="5" t="n">
        <v>1</v>
      </c>
      <c r="AQ158" s="5" t="n">
        <v>0.619</v>
      </c>
      <c r="AR158" s="5" t="n">
        <v>0.114</v>
      </c>
      <c r="AS158" s="5" t="n">
        <v>0.6919999999999999</v>
      </c>
      <c r="AT158" s="5" t="n">
        <v>1.56</v>
      </c>
      <c r="AU158" s="5" t="n">
        <v>0.19</v>
      </c>
      <c r="AV158" s="5" t="n">
        <v>1</v>
      </c>
      <c r="AW158" s="5" t="n">
        <v>0.599</v>
      </c>
      <c r="AX158" s="5" t="n">
        <v>0.114</v>
      </c>
      <c r="AY158" s="5" t="n">
        <v>0.696</v>
      </c>
      <c r="AZ158" s="5" t="n">
        <v>1.542</v>
      </c>
      <c r="BA158" s="5" t="n">
        <v>0.19</v>
      </c>
      <c r="BB158" s="5" t="n">
        <v>1</v>
      </c>
      <c r="BC158" s="5" t="n">
        <v>0.439</v>
      </c>
      <c r="BD158" s="5" t="n">
        <v>0.114</v>
      </c>
      <c r="BE158" s="5" t="n">
        <v>-0.052</v>
      </c>
      <c r="BF158" s="5" t="n">
        <v>0.46</v>
      </c>
      <c r="BG158" s="5" t="n">
        <v>0.19</v>
      </c>
      <c r="BH158" s="5" t="n">
        <v>0</v>
      </c>
      <c r="BI158" s="5" t="n">
        <v>0.505</v>
      </c>
      <c r="BJ158" s="5" t="n">
        <v>0.114</v>
      </c>
      <c r="BK158" s="5" t="n">
        <v>0.473</v>
      </c>
      <c r="BL158" s="5" t="n">
        <v>1.163</v>
      </c>
      <c r="BM158" s="5" t="n">
        <v>0.19</v>
      </c>
      <c r="BN158" s="5" t="n">
        <v>1</v>
      </c>
      <c r="BO158" s="5" t="n">
        <v>0</v>
      </c>
      <c r="BP158" s="5" t="n">
        <v>0</v>
      </c>
      <c r="BQ158" s="5" t="n">
        <v>0.082</v>
      </c>
      <c r="BR158" s="5" t="n">
        <v>0</v>
      </c>
      <c r="BS158" s="5" t="n">
        <v>1</v>
      </c>
      <c r="BT158" s="5" t="n">
        <v>0</v>
      </c>
      <c r="BU158" s="5" t="n">
        <v>0</v>
      </c>
      <c r="BV158" s="5" t="n">
        <v>0.152</v>
      </c>
      <c r="BW158" s="5" t="n">
        <v>0.19</v>
      </c>
      <c r="BX158" s="5" t="n">
        <v>1</v>
      </c>
      <c r="BY158" s="5" t="n">
        <v>11.787</v>
      </c>
      <c r="BZ158" s="5" t="n">
        <v>0</v>
      </c>
      <c r="CA158" s="5" t="n">
        <v>11.787</v>
      </c>
      <c r="CB158" s="5" t="n">
        <v>0</v>
      </c>
      <c r="CC158" s="5" t="n">
        <v>78.125</v>
      </c>
      <c r="CD158" s="5" t="n">
        <v>7.95</v>
      </c>
      <c r="CE158" s="5" t="n">
        <v>0</v>
      </c>
      <c r="CF158" s="5" t="n">
        <v>92.96899999999999</v>
      </c>
      <c r="CG158" s="5" t="n">
        <v>0.19</v>
      </c>
      <c r="CH158" s="5" t="n">
        <v>1</v>
      </c>
      <c r="CI158" s="5" t="n">
        <v>0</v>
      </c>
      <c r="CJ158" s="5" t="n">
        <v>0</v>
      </c>
      <c r="CK158" s="5" t="n">
        <v>0</v>
      </c>
      <c r="CL158" s="5" t="n">
        <v>0</v>
      </c>
      <c r="CM158" s="5" t="n">
        <v>0</v>
      </c>
      <c r="CN158" s="5" t="n">
        <v>0</v>
      </c>
      <c r="CO158" s="5" t="n">
        <v>0</v>
      </c>
      <c r="CP158" s="5" t="n">
        <v>0</v>
      </c>
      <c r="CQ158" s="5" t="n">
        <v>1.198</v>
      </c>
      <c r="CR158" s="5" t="n">
        <v>0</v>
      </c>
      <c r="CS158" s="5" t="n">
        <v>4.776</v>
      </c>
      <c r="CT158" s="5" t="n">
        <v>4.753</v>
      </c>
      <c r="CU158" s="5" t="n">
        <v>15.162</v>
      </c>
    </row>
    <row r="159">
      <c r="A159" s="5" t="inlineStr">
        <is>
          <t>CAF2022</t>
        </is>
      </c>
      <c r="B159" s="5" t="inlineStr">
        <is>
          <t>CAF</t>
        </is>
      </c>
      <c r="C159" s="5" t="inlineStr">
        <is>
          <t>CAF</t>
        </is>
      </c>
      <c r="D159" s="5" t="inlineStr">
        <is>
          <t>Central African Republic</t>
        </is>
      </c>
      <c r="E159" s="5" t="n">
        <v>2022</v>
      </c>
      <c r="F159" s="5" t="n">
        <v>0.19</v>
      </c>
      <c r="G159" s="5" t="n">
        <v>11.72</v>
      </c>
      <c r="H159" s="5" t="n">
        <v>1.235</v>
      </c>
      <c r="I159" s="5" t="n">
        <v>0</v>
      </c>
      <c r="J159" s="5" t="n">
        <v>11.72</v>
      </c>
      <c r="K159" s="5" t="n">
        <v>0</v>
      </c>
      <c r="L159" s="5" t="n">
        <v>1</v>
      </c>
      <c r="M159" s="5" t="n">
        <v>9.782999999999999</v>
      </c>
      <c r="N159" s="5" t="n">
        <v>3.704</v>
      </c>
      <c r="O159" s="5" t="n">
        <v>0</v>
      </c>
      <c r="P159" s="5" t="n">
        <v>9.782999999999999</v>
      </c>
      <c r="Q159" s="5" t="n">
        <v>0</v>
      </c>
      <c r="R159" s="5" t="n">
        <v>1</v>
      </c>
      <c r="S159" s="5" t="n">
        <v>17.893</v>
      </c>
      <c r="T159" s="5" t="n">
        <v>7.408</v>
      </c>
      <c r="U159" s="5" t="n">
        <v>0.252</v>
      </c>
      <c r="V159" s="5" t="n">
        <v>21.293</v>
      </c>
      <c r="W159" s="5" t="n">
        <v>0.19</v>
      </c>
      <c r="X159" s="5" t="n">
        <v>1</v>
      </c>
      <c r="Y159" s="5" t="n">
        <v>6.392</v>
      </c>
      <c r="Z159" s="5" t="n">
        <v>0.864</v>
      </c>
      <c r="AA159" s="5" t="n">
        <v>0</v>
      </c>
      <c r="AB159" s="5" t="n">
        <v>6.392</v>
      </c>
      <c r="AC159" s="5" t="n">
        <v>0</v>
      </c>
      <c r="AD159" s="5" t="n">
        <v>1</v>
      </c>
      <c r="AE159" s="5" t="n">
        <v>7.627</v>
      </c>
      <c r="AF159" s="5" t="n">
        <v>1.783</v>
      </c>
      <c r="AG159" s="5" t="n">
        <v>0</v>
      </c>
      <c r="AH159" s="5" t="n">
        <v>7.627</v>
      </c>
      <c r="AI159" s="5" t="n">
        <v>0</v>
      </c>
      <c r="AJ159" s="5" t="n">
        <v>1</v>
      </c>
      <c r="AK159" s="5" t="n">
        <v>15.035</v>
      </c>
      <c r="AL159" s="5" t="n">
        <v>8.007999999999999</v>
      </c>
      <c r="AM159" s="5" t="n">
        <v>0.211</v>
      </c>
      <c r="AN159" s="5" t="n">
        <v>17.892</v>
      </c>
      <c r="AO159" s="5" t="n">
        <v>0.19</v>
      </c>
      <c r="AP159" s="5" t="n">
        <v>1</v>
      </c>
      <c r="AQ159" s="5" t="n">
        <v>0.861</v>
      </c>
      <c r="AR159" s="5" t="n">
        <v>0.123</v>
      </c>
      <c r="AS159" s="5" t="n">
        <v>0.304</v>
      </c>
      <c r="AT159" s="5" t="n">
        <v>1.387</v>
      </c>
      <c r="AU159" s="5" t="n">
        <v>0.19</v>
      </c>
      <c r="AV159" s="5" t="n">
        <v>1</v>
      </c>
      <c r="AW159" s="5" t="n">
        <v>0.986</v>
      </c>
      <c r="AX159" s="5" t="n">
        <v>0.123</v>
      </c>
      <c r="AY159" s="5" t="n">
        <v>0.166</v>
      </c>
      <c r="AZ159" s="5" t="n">
        <v>1.371</v>
      </c>
      <c r="BA159" s="5" t="n">
        <v>0.19</v>
      </c>
      <c r="BB159" s="5" t="n">
        <v>1</v>
      </c>
      <c r="BC159" s="5" t="n">
        <v>0.598</v>
      </c>
      <c r="BD159" s="5" t="n">
        <v>0.123</v>
      </c>
      <c r="BE159" s="5" t="n">
        <v>-0.253</v>
      </c>
      <c r="BF159" s="5" t="n">
        <v>0.41</v>
      </c>
      <c r="BG159" s="5" t="n">
        <v>0.19</v>
      </c>
      <c r="BH159" s="5" t="n">
        <v>0</v>
      </c>
      <c r="BI159" s="5" t="n">
        <v>0.612</v>
      </c>
      <c r="BJ159" s="5" t="n">
        <v>0.123</v>
      </c>
      <c r="BK159" s="5" t="n">
        <v>0.257</v>
      </c>
      <c r="BL159" s="5" t="n">
        <v>1.034</v>
      </c>
      <c r="BM159" s="5" t="n">
        <v>0.19</v>
      </c>
      <c r="BN159" s="5" t="n">
        <v>1</v>
      </c>
      <c r="BO159" s="5" t="n">
        <v>0</v>
      </c>
      <c r="BP159" s="5" t="n">
        <v>0</v>
      </c>
      <c r="BQ159" s="5" t="n">
        <v>0.073</v>
      </c>
      <c r="BR159" s="5" t="n">
        <v>0</v>
      </c>
      <c r="BS159" s="5" t="n">
        <v>1</v>
      </c>
      <c r="BT159" s="5" t="n">
        <v>0</v>
      </c>
      <c r="BU159" s="5" t="n">
        <v>0</v>
      </c>
      <c r="BV159" s="5" t="n">
        <v>0.135</v>
      </c>
      <c r="BW159" s="5" t="n">
        <v>0.19</v>
      </c>
      <c r="BX159" s="5" t="n">
        <v>1</v>
      </c>
      <c r="BY159" s="5" t="n">
        <v>12.729</v>
      </c>
      <c r="BZ159" s="5" t="n">
        <v>0</v>
      </c>
      <c r="CA159" s="5" t="n">
        <v>12.729</v>
      </c>
      <c r="CB159" s="5" t="n">
        <v>0</v>
      </c>
      <c r="CC159" s="5" t="n">
        <v>97.90000000000001</v>
      </c>
      <c r="CD159" s="5" t="n">
        <v>7.95</v>
      </c>
      <c r="CE159" s="5" t="n">
        <v>1.377</v>
      </c>
      <c r="CF159" s="5" t="n">
        <v>116.501</v>
      </c>
      <c r="CG159" s="5" t="n">
        <v>0.19</v>
      </c>
      <c r="CH159" s="5" t="n">
        <v>1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1.294</v>
      </c>
      <c r="CR159" s="5" t="n">
        <v>0</v>
      </c>
      <c r="CS159" s="5" t="n">
        <v>5.158</v>
      </c>
      <c r="CT159" s="5" t="n">
        <v>10.485</v>
      </c>
      <c r="CU159" s="5" t="n">
        <v>31.326</v>
      </c>
    </row>
    <row r="160">
      <c r="A160" s="5" t="inlineStr">
        <is>
          <t>CAF2023</t>
        </is>
      </c>
      <c r="B160" s="5" t="inlineStr">
        <is>
          <t>CAF</t>
        </is>
      </c>
      <c r="C160" s="5" t="inlineStr">
        <is>
          <t>CAF</t>
        </is>
      </c>
      <c r="D160" s="5" t="inlineStr">
        <is>
          <t>Central African Republic</t>
        </is>
      </c>
      <c r="E160" s="5" t="n">
        <v>2023</v>
      </c>
      <c r="F160" s="5" t="n">
        <v>0.19</v>
      </c>
      <c r="G160" s="5" t="n">
        <v>6.147</v>
      </c>
      <c r="H160" s="5" t="n">
        <v>1.286</v>
      </c>
      <c r="I160" s="5" t="n">
        <v>0</v>
      </c>
      <c r="J160" s="5" t="n">
        <v>6.147</v>
      </c>
      <c r="K160" s="5" t="n">
        <v>0</v>
      </c>
      <c r="L160" s="5" t="n">
        <v>1</v>
      </c>
      <c r="M160" s="5" t="n">
        <v>7.886</v>
      </c>
      <c r="N160" s="5" t="n">
        <v>3.857</v>
      </c>
      <c r="O160" s="5" t="n">
        <v>0</v>
      </c>
      <c r="P160" s="5" t="n">
        <v>7.886</v>
      </c>
      <c r="Q160" s="5" t="n">
        <v>0</v>
      </c>
      <c r="R160" s="5" t="n">
        <v>1</v>
      </c>
      <c r="S160" s="5" t="n">
        <v>12.575</v>
      </c>
      <c r="T160" s="5" t="n">
        <v>7.714</v>
      </c>
      <c r="U160" s="5" t="n">
        <v>0.265</v>
      </c>
      <c r="V160" s="5" t="n">
        <v>14.964</v>
      </c>
      <c r="W160" s="5" t="n">
        <v>0.19</v>
      </c>
      <c r="X160" s="5" t="n">
        <v>1</v>
      </c>
      <c r="Y160" s="5" t="n">
        <v>6.656</v>
      </c>
      <c r="Z160" s="5" t="n">
        <v>0.9</v>
      </c>
      <c r="AA160" s="5" t="n">
        <v>0</v>
      </c>
      <c r="AB160" s="5" t="n">
        <v>6.656</v>
      </c>
      <c r="AC160" s="5" t="n">
        <v>0</v>
      </c>
      <c r="AD160" s="5" t="n">
        <v>1</v>
      </c>
      <c r="AE160" s="5" t="n">
        <v>7.942</v>
      </c>
      <c r="AF160" s="5" t="n">
        <v>1.857</v>
      </c>
      <c r="AG160" s="5" t="n">
        <v>0</v>
      </c>
      <c r="AH160" s="5" t="n">
        <v>7.942</v>
      </c>
      <c r="AI160" s="5" t="n">
        <v>0</v>
      </c>
      <c r="AJ160" s="5" t="n">
        <v>1</v>
      </c>
      <c r="AK160" s="5" t="n">
        <v>15.656</v>
      </c>
      <c r="AL160" s="5" t="n">
        <v>8.337999999999999</v>
      </c>
      <c r="AM160" s="5" t="n">
        <v>0.329</v>
      </c>
      <c r="AN160" s="5" t="n">
        <v>18.63</v>
      </c>
      <c r="AO160" s="5" t="n">
        <v>0.19</v>
      </c>
      <c r="AP160" s="5" t="n">
        <v>1</v>
      </c>
      <c r="AQ160" s="5" t="n">
        <v>0.76</v>
      </c>
      <c r="AR160" s="5" t="n">
        <v>0.129</v>
      </c>
      <c r="AS160" s="5" t="n">
        <v>0.902</v>
      </c>
      <c r="AT160" s="5" t="n">
        <v>1.978</v>
      </c>
      <c r="AU160" s="5" t="n">
        <v>0.19</v>
      </c>
      <c r="AV160" s="5" t="n">
        <v>1</v>
      </c>
      <c r="AW160" s="5" t="n">
        <v>0.8110000000000001</v>
      </c>
      <c r="AX160" s="5" t="n">
        <v>0.129</v>
      </c>
      <c r="AY160" s="5" t="n">
        <v>1.128</v>
      </c>
      <c r="AZ160" s="5" t="n">
        <v>2.308</v>
      </c>
      <c r="BA160" s="5" t="n">
        <v>0.19</v>
      </c>
      <c r="BB160" s="5" t="n">
        <v>1</v>
      </c>
      <c r="BC160" s="5" t="n">
        <v>0.535</v>
      </c>
      <c r="BD160" s="5" t="n">
        <v>0.129</v>
      </c>
      <c r="BE160" s="5" t="n">
        <v>-0.184</v>
      </c>
      <c r="BF160" s="5" t="n">
        <v>0.418</v>
      </c>
      <c r="BG160" s="5" t="n">
        <v>0.19</v>
      </c>
      <c r="BH160" s="5" t="n">
        <v>0</v>
      </c>
      <c r="BI160" s="5" t="n">
        <v>0.579</v>
      </c>
      <c r="BJ160" s="5" t="n">
        <v>0.129</v>
      </c>
      <c r="BK160" s="5" t="n">
        <v>0.806</v>
      </c>
      <c r="BL160" s="5" t="n">
        <v>1.649</v>
      </c>
      <c r="BM160" s="5" t="n">
        <v>0.19</v>
      </c>
      <c r="BN160" s="5" t="n">
        <v>1</v>
      </c>
      <c r="BO160" s="5" t="n">
        <v>0</v>
      </c>
      <c r="BP160" s="5" t="n">
        <v>0</v>
      </c>
      <c r="BQ160" s="5" t="n">
        <v>0.075</v>
      </c>
      <c r="BR160" s="5" t="n">
        <v>0</v>
      </c>
      <c r="BS160" s="5" t="n">
        <v>1</v>
      </c>
      <c r="BT160" s="5" t="n">
        <v>0</v>
      </c>
      <c r="BU160" s="5" t="n">
        <v>0</v>
      </c>
      <c r="BV160" s="5" t="n">
        <v>0.139</v>
      </c>
      <c r="BW160" s="5" t="n">
        <v>0.19</v>
      </c>
      <c r="BX160" s="5" t="n">
        <v>1</v>
      </c>
      <c r="BY160" s="5" t="n">
        <v>13.254</v>
      </c>
      <c r="BZ160" s="5" t="n">
        <v>0</v>
      </c>
      <c r="CA160" s="5" t="n">
        <v>13.254</v>
      </c>
      <c r="CB160" s="5" t="n">
        <v>0</v>
      </c>
      <c r="CC160" s="5" t="n">
        <v>83.248</v>
      </c>
      <c r="CD160" s="5" t="n">
        <v>7.95</v>
      </c>
      <c r="CE160" s="5" t="n">
        <v>1.751</v>
      </c>
      <c r="CF160" s="5" t="n">
        <v>99.065</v>
      </c>
      <c r="CG160" s="5" t="n">
        <v>0.19</v>
      </c>
      <c r="CH160" s="5" t="n">
        <v>1</v>
      </c>
      <c r="CI160" s="5" t="n">
        <v>0</v>
      </c>
      <c r="CJ160" s="5" t="n">
        <v>0</v>
      </c>
      <c r="CK160" s="5" t="n">
        <v>0</v>
      </c>
      <c r="CL160" s="5" t="n">
        <v>0</v>
      </c>
      <c r="CM160" s="5" t="n">
        <v>0</v>
      </c>
      <c r="CN160" s="5" t="n">
        <v>0</v>
      </c>
      <c r="CO160" s="5" t="n">
        <v>0</v>
      </c>
      <c r="CP160" s="5" t="n">
        <v>0</v>
      </c>
      <c r="CQ160" s="5" t="n">
        <v>1.348</v>
      </c>
      <c r="CR160" s="5" t="n">
        <v>0</v>
      </c>
      <c r="CS160" s="5" t="n">
        <v>5.37</v>
      </c>
      <c r="CT160" s="5" t="n">
        <v>4.861</v>
      </c>
      <c r="CU160" s="5" t="n">
        <v>11.622</v>
      </c>
    </row>
    <row r="161">
      <c r="A161" s="5" t="inlineStr">
        <is>
          <t>CAF2024</t>
        </is>
      </c>
      <c r="B161" s="5" t="inlineStr">
        <is>
          <t>CAF</t>
        </is>
      </c>
      <c r="C161" s="5" t="inlineStr">
        <is>
          <t>CAF</t>
        </is>
      </c>
      <c r="D161" s="5" t="inlineStr">
        <is>
          <t>Central African Republic</t>
        </is>
      </c>
      <c r="E161" s="5" t="n">
        <v>2024</v>
      </c>
      <c r="F161" s="5" t="n">
        <v>0.19</v>
      </c>
      <c r="G161" s="5" t="n">
        <v>5.575</v>
      </c>
      <c r="H161" s="5" t="n">
        <v>1.324</v>
      </c>
      <c r="I161" s="5" t="n">
        <v>0</v>
      </c>
      <c r="J161" s="5" t="n">
        <v>5.575</v>
      </c>
      <c r="K161" s="5" t="n">
        <v>0</v>
      </c>
      <c r="L161" s="5" t="n">
        <v>1</v>
      </c>
      <c r="M161" s="5" t="n">
        <v>7.124</v>
      </c>
      <c r="N161" s="5" t="n">
        <v>3.971</v>
      </c>
      <c r="O161" s="5" t="n">
        <v>0</v>
      </c>
      <c r="P161" s="5" t="n">
        <v>7.124</v>
      </c>
      <c r="Q161" s="5" t="n">
        <v>0</v>
      </c>
      <c r="R161" s="5" t="n">
        <v>1</v>
      </c>
      <c r="S161" s="5" t="n">
        <v>12.193</v>
      </c>
      <c r="T161" s="5" t="n">
        <v>7.942</v>
      </c>
      <c r="U161" s="5" t="n">
        <v>0.316</v>
      </c>
      <c r="V161" s="5" t="n">
        <v>14.509</v>
      </c>
      <c r="W161" s="5" t="n">
        <v>0.19</v>
      </c>
      <c r="X161" s="5" t="n">
        <v>1</v>
      </c>
      <c r="Y161" s="5" t="n">
        <v>6.853</v>
      </c>
      <c r="Z161" s="5" t="n">
        <v>0.926</v>
      </c>
      <c r="AA161" s="5" t="n">
        <v>0</v>
      </c>
      <c r="AB161" s="5" t="n">
        <v>6.853</v>
      </c>
      <c r="AC161" s="5" t="n">
        <v>0</v>
      </c>
      <c r="AD161" s="5" t="n">
        <v>1</v>
      </c>
      <c r="AE161" s="5" t="n">
        <v>8.176</v>
      </c>
      <c r="AF161" s="5" t="n">
        <v>1.912</v>
      </c>
      <c r="AG161" s="5" t="n">
        <v>0</v>
      </c>
      <c r="AH161" s="5" t="n">
        <v>8.176</v>
      </c>
      <c r="AI161" s="5" t="n">
        <v>0</v>
      </c>
      <c r="AJ161" s="5" t="n">
        <v>1</v>
      </c>
      <c r="AK161" s="5" t="n">
        <v>16.118</v>
      </c>
      <c r="AL161" s="5" t="n">
        <v>8.584</v>
      </c>
      <c r="AM161" s="5" t="n">
        <v>0.417</v>
      </c>
      <c r="AN161" s="5" t="n">
        <v>19.18</v>
      </c>
      <c r="AO161" s="5" t="n">
        <v>0.19</v>
      </c>
      <c r="AP161" s="5" t="n">
        <v>1</v>
      </c>
      <c r="AQ161" s="5" t="n">
        <v>0.724</v>
      </c>
      <c r="AR161" s="5" t="n">
        <v>0.132</v>
      </c>
      <c r="AS161" s="5" t="n">
        <v>0.8</v>
      </c>
      <c r="AT161" s="5" t="n">
        <v>1.814</v>
      </c>
      <c r="AU161" s="5" t="n">
        <v>0.19</v>
      </c>
      <c r="AV161" s="5" t="n">
        <v>1</v>
      </c>
      <c r="AW161" s="5" t="n">
        <v>0.75</v>
      </c>
      <c r="AX161" s="5" t="n">
        <v>0.132</v>
      </c>
      <c r="AY161" s="5" t="n">
        <v>1.121</v>
      </c>
      <c r="AZ161" s="5" t="n">
        <v>2.226</v>
      </c>
      <c r="BA161" s="5" t="n">
        <v>0.19</v>
      </c>
      <c r="BB161" s="5" t="n">
        <v>1</v>
      </c>
      <c r="BC161" s="5" t="n">
        <v>0.513</v>
      </c>
      <c r="BD161" s="5" t="n">
        <v>0.132</v>
      </c>
      <c r="BE161" s="5" t="n">
        <v>-0.142</v>
      </c>
      <c r="BF161" s="5" t="n">
        <v>0.43</v>
      </c>
      <c r="BG161" s="5" t="n">
        <v>0.19</v>
      </c>
      <c r="BH161" s="5" t="n">
        <v>0</v>
      </c>
      <c r="BI161" s="5" t="n">
        <v>0.591</v>
      </c>
      <c r="BJ161" s="5" t="n">
        <v>0.132</v>
      </c>
      <c r="BK161" s="5" t="n">
        <v>0.587</v>
      </c>
      <c r="BL161" s="5" t="n">
        <v>1.402</v>
      </c>
      <c r="BM161" s="5" t="n">
        <v>0.19</v>
      </c>
      <c r="BN161" s="5" t="n">
        <v>1</v>
      </c>
      <c r="BO161" s="5" t="n">
        <v>0</v>
      </c>
      <c r="BP161" s="5" t="n">
        <v>0</v>
      </c>
      <c r="BQ161" s="5" t="n">
        <v>0.077</v>
      </c>
      <c r="BR161" s="5" t="n">
        <v>0</v>
      </c>
      <c r="BS161" s="5" t="n">
        <v>1</v>
      </c>
      <c r="BT161" s="5" t="n">
        <v>0</v>
      </c>
      <c r="BU161" s="5" t="n">
        <v>0</v>
      </c>
      <c r="BV161" s="5" t="n">
        <v>0.143</v>
      </c>
      <c r="BW161" s="5" t="n">
        <v>0.19</v>
      </c>
      <c r="BX161" s="5" t="n">
        <v>1</v>
      </c>
      <c r="BY161" s="5" t="n">
        <v>13.646</v>
      </c>
      <c r="BZ161" s="5" t="n">
        <v>0</v>
      </c>
      <c r="CA161" s="5" t="n">
        <v>13.646</v>
      </c>
      <c r="CB161" s="5" t="n">
        <v>0</v>
      </c>
      <c r="CC161" s="5" t="n">
        <v>82.58799999999999</v>
      </c>
      <c r="CD161" s="5" t="n">
        <v>7.95</v>
      </c>
      <c r="CE161" s="5" t="n">
        <v>2.137</v>
      </c>
      <c r="CF161" s="5" t="n">
        <v>98.28</v>
      </c>
      <c r="CG161" s="5" t="n">
        <v>0.19</v>
      </c>
      <c r="CH161" s="5" t="n">
        <v>1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0</v>
      </c>
      <c r="CN161" s="5" t="n">
        <v>0</v>
      </c>
      <c r="CO161" s="5" t="n">
        <v>0</v>
      </c>
      <c r="CP161" s="5" t="n">
        <v>0</v>
      </c>
      <c r="CQ161" s="5" t="n">
        <v>1.387</v>
      </c>
      <c r="CR161" s="5" t="n">
        <v>0</v>
      </c>
      <c r="CS161" s="5" t="n">
        <v>5.529</v>
      </c>
      <c r="CT161" s="5" t="n">
        <v>4.251</v>
      </c>
      <c r="CU161" s="5" t="n">
        <v>10.168</v>
      </c>
    </row>
    <row r="162">
      <c r="A162" s="5" t="inlineStr">
        <is>
          <t>TCD2021</t>
        </is>
      </c>
      <c r="B162" s="5" t="inlineStr">
        <is>
          <t>TCD</t>
        </is>
      </c>
      <c r="C162" s="5" t="inlineStr">
        <is>
          <t>TCD</t>
        </is>
      </c>
      <c r="D162" s="5" t="inlineStr">
        <is>
          <t>Chad</t>
        </is>
      </c>
      <c r="E162" s="5" t="n">
        <v>2021</v>
      </c>
      <c r="F162" s="5" t="n">
        <v>0.18</v>
      </c>
      <c r="G162" s="5" t="n">
        <v>5.897</v>
      </c>
      <c r="H162" s="5" t="n">
        <v>1.143</v>
      </c>
      <c r="I162" s="5" t="n">
        <v>0</v>
      </c>
      <c r="J162" s="5" t="n">
        <v>5.897</v>
      </c>
      <c r="K162" s="5" t="n">
        <v>0</v>
      </c>
      <c r="L162" s="5" t="n">
        <v>1</v>
      </c>
      <c r="M162" s="5" t="n">
        <v>7.964</v>
      </c>
      <c r="N162" s="5" t="n">
        <v>3.43</v>
      </c>
      <c r="O162" s="5" t="n">
        <v>0</v>
      </c>
      <c r="P162" s="5" t="n">
        <v>7.964</v>
      </c>
      <c r="Q162" s="5" t="n">
        <v>0</v>
      </c>
      <c r="R162" s="5" t="n">
        <v>1</v>
      </c>
      <c r="S162" s="5" t="n">
        <v>11.613</v>
      </c>
      <c r="T162" s="5" t="n">
        <v>6.86</v>
      </c>
      <c r="U162" s="5" t="n">
        <v>0</v>
      </c>
      <c r="V162" s="5" t="n">
        <v>13.704</v>
      </c>
      <c r="W162" s="5" t="n">
        <v>0.18</v>
      </c>
      <c r="X162" s="5" t="n">
        <v>1</v>
      </c>
      <c r="Y162" s="5" t="n">
        <v>16.305</v>
      </c>
      <c r="Z162" s="5" t="n">
        <v>2.204</v>
      </c>
      <c r="AA162" s="5" t="n">
        <v>0</v>
      </c>
      <c r="AB162" s="5" t="n">
        <v>16.305</v>
      </c>
      <c r="AC162" s="5" t="n">
        <v>0</v>
      </c>
      <c r="AD162" s="5" t="n">
        <v>1</v>
      </c>
      <c r="AE162" s="5" t="n">
        <v>17.449</v>
      </c>
      <c r="AF162" s="5" t="n">
        <v>4.08</v>
      </c>
      <c r="AG162" s="5" t="n">
        <v>0</v>
      </c>
      <c r="AH162" s="5" t="n">
        <v>17.449</v>
      </c>
      <c r="AI162" s="5" t="n">
        <v>0</v>
      </c>
      <c r="AJ162" s="5" t="n">
        <v>1</v>
      </c>
      <c r="AK162" s="5" t="n">
        <v>24.309</v>
      </c>
      <c r="AL162" s="5" t="n">
        <v>12.947</v>
      </c>
      <c r="AM162" s="5" t="n">
        <v>0</v>
      </c>
      <c r="AN162" s="5" t="n">
        <v>28.684</v>
      </c>
      <c r="AO162" s="5" t="n">
        <v>0.18</v>
      </c>
      <c r="AP162" s="5" t="n">
        <v>1</v>
      </c>
      <c r="AQ162" s="5" t="n">
        <v>0.714</v>
      </c>
      <c r="AR162" s="5" t="n">
        <v>0.131</v>
      </c>
      <c r="AS162" s="5" t="n">
        <v>0.193</v>
      </c>
      <c r="AT162" s="5" t="n">
        <v>0.907</v>
      </c>
      <c r="AU162" s="5" t="n">
        <v>0</v>
      </c>
      <c r="AV162" s="5" t="n">
        <v>1</v>
      </c>
      <c r="AW162" s="5" t="n">
        <v>0.711</v>
      </c>
      <c r="AX162" s="5" t="n">
        <v>0.137</v>
      </c>
      <c r="AY162" s="5" t="n">
        <v>0.284</v>
      </c>
      <c r="AZ162" s="5" t="n">
        <v>0.995</v>
      </c>
      <c r="BA162" s="5" t="n">
        <v>0</v>
      </c>
      <c r="BB162" s="5" t="n">
        <v>1</v>
      </c>
      <c r="BC162" s="5" t="n">
        <v>0.439</v>
      </c>
      <c r="BD162" s="5" t="n">
        <v>0.114</v>
      </c>
      <c r="BE162" s="5" t="n">
        <v>-0.163</v>
      </c>
      <c r="BF162" s="5" t="n">
        <v>0.326</v>
      </c>
      <c r="BG162" s="5" t="n">
        <v>0</v>
      </c>
      <c r="BH162" s="5" t="n">
        <v>0</v>
      </c>
      <c r="BI162" s="5" t="n">
        <v>0.729</v>
      </c>
      <c r="BJ162" s="5" t="n">
        <v>0.161</v>
      </c>
      <c r="BK162" s="5" t="n">
        <v>0.169</v>
      </c>
      <c r="BL162" s="5" t="n">
        <v>0.898</v>
      </c>
      <c r="BM162" s="5" t="n">
        <v>0</v>
      </c>
      <c r="BN162" s="5" t="n">
        <v>1</v>
      </c>
      <c r="BO162" s="5" t="n">
        <v>0</v>
      </c>
      <c r="BP162" s="5" t="n">
        <v>-0.179</v>
      </c>
      <c r="BQ162" s="5" t="n">
        <v>0.178</v>
      </c>
      <c r="BR162" s="5" t="n">
        <v>0</v>
      </c>
      <c r="BS162" s="5" t="n">
        <v>1</v>
      </c>
      <c r="BT162" s="5" t="n">
        <v>0</v>
      </c>
      <c r="BU162" s="5" t="n">
        <v>-0.337</v>
      </c>
      <c r="BV162" s="5" t="n">
        <v>0.2</v>
      </c>
      <c r="BW162" s="5" t="n">
        <v>0</v>
      </c>
      <c r="BX162" s="5" t="n">
        <v>0.833</v>
      </c>
      <c r="BY162" s="5" t="n">
        <v>11.787</v>
      </c>
      <c r="BZ162" s="5" t="n">
        <v>0</v>
      </c>
      <c r="CA162" s="5" t="n">
        <v>11.787</v>
      </c>
      <c r="CB162" s="5" t="n">
        <v>0</v>
      </c>
      <c r="CC162" s="5" t="n">
        <v>78.125</v>
      </c>
      <c r="CD162" s="5" t="n">
        <v>7.95</v>
      </c>
      <c r="CE162" s="5" t="n">
        <v>13.799</v>
      </c>
      <c r="CF162" s="5" t="n">
        <v>91.92400000000001</v>
      </c>
      <c r="CG162" s="5" t="n">
        <v>0</v>
      </c>
      <c r="CH162" s="5" t="n">
        <v>1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0</v>
      </c>
      <c r="CP162" s="5" t="n">
        <v>0</v>
      </c>
      <c r="CQ162" s="5" t="n">
        <v>1.198</v>
      </c>
      <c r="CR162" s="5" t="n">
        <v>0</v>
      </c>
      <c r="CS162" s="5" t="n">
        <v>4.776</v>
      </c>
      <c r="CT162" s="5" t="n">
        <v>4.753</v>
      </c>
      <c r="CU162" s="5" t="n">
        <v>15.162</v>
      </c>
    </row>
    <row r="163">
      <c r="A163" s="5" t="inlineStr">
        <is>
          <t>TCD2022</t>
        </is>
      </c>
      <c r="B163" s="5" t="inlineStr">
        <is>
          <t>TCD</t>
        </is>
      </c>
      <c r="C163" s="5" t="inlineStr">
        <is>
          <t>TCD</t>
        </is>
      </c>
      <c r="D163" s="5" t="inlineStr">
        <is>
          <t>Chad</t>
        </is>
      </c>
      <c r="E163" s="5" t="n">
        <v>2022</v>
      </c>
      <c r="F163" s="5" t="n">
        <v>0.18</v>
      </c>
      <c r="G163" s="5" t="n">
        <v>11.72</v>
      </c>
      <c r="H163" s="5" t="n">
        <v>1.235</v>
      </c>
      <c r="I163" s="5" t="n">
        <v>0</v>
      </c>
      <c r="J163" s="5" t="n">
        <v>11.72</v>
      </c>
      <c r="K163" s="5" t="n">
        <v>0</v>
      </c>
      <c r="L163" s="5" t="n">
        <v>1</v>
      </c>
      <c r="M163" s="5" t="n">
        <v>9.782999999999999</v>
      </c>
      <c r="N163" s="5" t="n">
        <v>3.704</v>
      </c>
      <c r="O163" s="5" t="n">
        <v>0</v>
      </c>
      <c r="P163" s="5" t="n">
        <v>9.782999999999999</v>
      </c>
      <c r="Q163" s="5" t="n">
        <v>0</v>
      </c>
      <c r="R163" s="5" t="n">
        <v>1</v>
      </c>
      <c r="S163" s="5" t="n">
        <v>17.893</v>
      </c>
      <c r="T163" s="5" t="n">
        <v>7.408</v>
      </c>
      <c r="U163" s="5" t="n">
        <v>0.238</v>
      </c>
      <c r="V163" s="5" t="n">
        <v>21.114</v>
      </c>
      <c r="W163" s="5" t="n">
        <v>0.18</v>
      </c>
      <c r="X163" s="5" t="n">
        <v>1</v>
      </c>
      <c r="Y163" s="5" t="n">
        <v>32.56</v>
      </c>
      <c r="Z163" s="5" t="n">
        <v>4.401</v>
      </c>
      <c r="AA163" s="5" t="n">
        <v>0</v>
      </c>
      <c r="AB163" s="5" t="n">
        <v>32.56</v>
      </c>
      <c r="AC163" s="5" t="n">
        <v>0</v>
      </c>
      <c r="AD163" s="5" t="n">
        <v>1</v>
      </c>
      <c r="AE163" s="5" t="n">
        <v>33.795</v>
      </c>
      <c r="AF163" s="5" t="n">
        <v>7.902</v>
      </c>
      <c r="AG163" s="5" t="n">
        <v>0</v>
      </c>
      <c r="AH163" s="5" t="n">
        <v>33.795</v>
      </c>
      <c r="AI163" s="5" t="n">
        <v>0</v>
      </c>
      <c r="AJ163" s="5" t="n">
        <v>1</v>
      </c>
      <c r="AK163" s="5" t="n">
        <v>41.203</v>
      </c>
      <c r="AL163" s="5" t="n">
        <v>21.945</v>
      </c>
      <c r="AM163" s="5" t="n">
        <v>0.549</v>
      </c>
      <c r="AN163" s="5" t="n">
        <v>48.62</v>
      </c>
      <c r="AO163" s="5" t="n">
        <v>0.18</v>
      </c>
      <c r="AP163" s="5" t="n">
        <v>1</v>
      </c>
      <c r="AQ163" s="5" t="n">
        <v>0.616</v>
      </c>
      <c r="AR163" s="5" t="n">
        <v>0.08799999999999999</v>
      </c>
      <c r="AS163" s="5" t="n">
        <v>0.184</v>
      </c>
      <c r="AT163" s="5" t="n">
        <v>0.799</v>
      </c>
      <c r="AU163" s="5" t="n">
        <v>0</v>
      </c>
      <c r="AV163" s="5" t="n">
        <v>1</v>
      </c>
      <c r="AW163" s="5" t="n">
        <v>0.612</v>
      </c>
      <c r="AX163" s="5" t="n">
        <v>0.08</v>
      </c>
      <c r="AY163" s="5" t="n">
        <v>0.273</v>
      </c>
      <c r="AZ163" s="5" t="n">
        <v>0.885</v>
      </c>
      <c r="BA163" s="5" t="n">
        <v>0</v>
      </c>
      <c r="BB163" s="5" t="n">
        <v>1</v>
      </c>
      <c r="BC163" s="5" t="n">
        <v>0.598</v>
      </c>
      <c r="BD163" s="5" t="n">
        <v>0.123</v>
      </c>
      <c r="BE163" s="5" t="n">
        <v>-0.348</v>
      </c>
      <c r="BF163" s="5" t="n">
        <v>0.294</v>
      </c>
      <c r="BG163" s="5" t="n">
        <v>0</v>
      </c>
      <c r="BH163" s="5" t="n">
        <v>0</v>
      </c>
      <c r="BI163" s="5" t="n">
        <v>0.753</v>
      </c>
      <c r="BJ163" s="5" t="n">
        <v>0.147</v>
      </c>
      <c r="BK163" s="5" t="n">
        <v>0.182</v>
      </c>
      <c r="BL163" s="5" t="n">
        <v>0.9350000000000001</v>
      </c>
      <c r="BM163" s="5" t="n">
        <v>0</v>
      </c>
      <c r="BN163" s="5" t="n">
        <v>1</v>
      </c>
      <c r="BO163" s="5" t="n">
        <v>0</v>
      </c>
      <c r="BP163" s="5" t="n">
        <v>-0.194</v>
      </c>
      <c r="BQ163" s="5" t="n">
        <v>0.192</v>
      </c>
      <c r="BR163" s="5" t="n">
        <v>0</v>
      </c>
      <c r="BS163" s="5" t="n">
        <v>1</v>
      </c>
      <c r="BT163" s="5" t="n">
        <v>0</v>
      </c>
      <c r="BU163" s="5" t="n">
        <v>-0.333</v>
      </c>
      <c r="BV163" s="5" t="n">
        <v>0.183</v>
      </c>
      <c r="BW163" s="5" t="n">
        <v>0</v>
      </c>
      <c r="BX163" s="5" t="n">
        <v>0.833</v>
      </c>
      <c r="BY163" s="5" t="n">
        <v>12.729</v>
      </c>
      <c r="BZ163" s="5" t="n">
        <v>0</v>
      </c>
      <c r="CA163" s="5" t="n">
        <v>12.729</v>
      </c>
      <c r="CB163" s="5" t="n">
        <v>0</v>
      </c>
      <c r="CC163" s="5" t="n">
        <v>97.90000000000001</v>
      </c>
      <c r="CD163" s="5" t="n">
        <v>7.95</v>
      </c>
      <c r="CE163" s="5" t="n">
        <v>3.174</v>
      </c>
      <c r="CF163" s="5" t="n">
        <v>101.074</v>
      </c>
      <c r="CG163" s="5" t="n">
        <v>0</v>
      </c>
      <c r="CH163" s="5" t="n">
        <v>1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1.294</v>
      </c>
      <c r="CR163" s="5" t="n">
        <v>0</v>
      </c>
      <c r="CS163" s="5" t="n">
        <v>5.158</v>
      </c>
      <c r="CT163" s="5" t="n">
        <v>10.485</v>
      </c>
      <c r="CU163" s="5" t="n">
        <v>31.326</v>
      </c>
    </row>
    <row r="164">
      <c r="A164" s="5" t="inlineStr">
        <is>
          <t>TCD2023</t>
        </is>
      </c>
      <c r="B164" s="5" t="inlineStr">
        <is>
          <t>TCD</t>
        </is>
      </c>
      <c r="C164" s="5" t="inlineStr">
        <is>
          <t>TCD</t>
        </is>
      </c>
      <c r="D164" s="5" t="inlineStr">
        <is>
          <t>Chad</t>
        </is>
      </c>
      <c r="E164" s="5" t="n">
        <v>2023</v>
      </c>
      <c r="F164" s="5" t="n">
        <v>0.18</v>
      </c>
      <c r="G164" s="5" t="n">
        <v>6.147</v>
      </c>
      <c r="H164" s="5" t="n">
        <v>1.286</v>
      </c>
      <c r="I164" s="5" t="n">
        <v>0</v>
      </c>
      <c r="J164" s="5" t="n">
        <v>6.147</v>
      </c>
      <c r="K164" s="5" t="n">
        <v>0</v>
      </c>
      <c r="L164" s="5" t="n">
        <v>1</v>
      </c>
      <c r="M164" s="5" t="n">
        <v>7.886</v>
      </c>
      <c r="N164" s="5" t="n">
        <v>3.857</v>
      </c>
      <c r="O164" s="5" t="n">
        <v>0</v>
      </c>
      <c r="P164" s="5" t="n">
        <v>7.886</v>
      </c>
      <c r="Q164" s="5" t="n">
        <v>0</v>
      </c>
      <c r="R164" s="5" t="n">
        <v>1</v>
      </c>
      <c r="S164" s="5" t="n">
        <v>12.575</v>
      </c>
      <c r="T164" s="5" t="n">
        <v>7.714</v>
      </c>
      <c r="U164" s="5" t="n">
        <v>0.251</v>
      </c>
      <c r="V164" s="5" t="n">
        <v>14.839</v>
      </c>
      <c r="W164" s="5" t="n">
        <v>0.18</v>
      </c>
      <c r="X164" s="5" t="n">
        <v>1</v>
      </c>
      <c r="Y164" s="5" t="n">
        <v>12.908</v>
      </c>
      <c r="Z164" s="5" t="n">
        <v>1.745</v>
      </c>
      <c r="AA164" s="5" t="n">
        <v>0</v>
      </c>
      <c r="AB164" s="5" t="n">
        <v>12.908</v>
      </c>
      <c r="AC164" s="5" t="n">
        <v>0</v>
      </c>
      <c r="AD164" s="5" t="n">
        <v>1</v>
      </c>
      <c r="AE164" s="5" t="n">
        <v>14.194</v>
      </c>
      <c r="AF164" s="5" t="n">
        <v>3.319</v>
      </c>
      <c r="AG164" s="5" t="n">
        <v>0</v>
      </c>
      <c r="AH164" s="5" t="n">
        <v>14.194</v>
      </c>
      <c r="AI164" s="5" t="n">
        <v>0</v>
      </c>
      <c r="AJ164" s="5" t="n">
        <v>1</v>
      </c>
      <c r="AK164" s="5" t="n">
        <v>21.908</v>
      </c>
      <c r="AL164" s="5" t="n">
        <v>11.668</v>
      </c>
      <c r="AM164" s="5" t="n">
        <v>0.437</v>
      </c>
      <c r="AN164" s="5" t="n">
        <v>25.851</v>
      </c>
      <c r="AO164" s="5" t="n">
        <v>0.18</v>
      </c>
      <c r="AP164" s="5" t="n">
        <v>1</v>
      </c>
      <c r="AQ164" s="5" t="n">
        <v>0.65</v>
      </c>
      <c r="AR164" s="5" t="n">
        <v>0.11</v>
      </c>
      <c r="AS164" s="5" t="n">
        <v>0.204</v>
      </c>
      <c r="AT164" s="5" t="n">
        <v>0.854</v>
      </c>
      <c r="AU164" s="5" t="n">
        <v>0</v>
      </c>
      <c r="AV164" s="5" t="n">
        <v>1</v>
      </c>
      <c r="AW164" s="5" t="n">
        <v>0.784</v>
      </c>
      <c r="AX164" s="5" t="n">
        <v>0.134</v>
      </c>
      <c r="AY164" s="5" t="n">
        <v>0.37</v>
      </c>
      <c r="AZ164" s="5" t="n">
        <v>1.154</v>
      </c>
      <c r="BA164" s="5" t="n">
        <v>0</v>
      </c>
      <c r="BB164" s="5" t="n">
        <v>1</v>
      </c>
      <c r="BC164" s="5" t="n">
        <v>0.535</v>
      </c>
      <c r="BD164" s="5" t="n">
        <v>0.129</v>
      </c>
      <c r="BE164" s="5" t="n">
        <v>-0.282</v>
      </c>
      <c r="BF164" s="5" t="n">
        <v>0.298</v>
      </c>
      <c r="BG164" s="5" t="n">
        <v>0</v>
      </c>
      <c r="BH164" s="5" t="n">
        <v>0</v>
      </c>
      <c r="BI164" s="5" t="n">
        <v>0.767</v>
      </c>
      <c r="BJ164" s="5" t="n">
        <v>0.167</v>
      </c>
      <c r="BK164" s="5" t="n">
        <v>0.19</v>
      </c>
      <c r="BL164" s="5" t="n">
        <v>0.956</v>
      </c>
      <c r="BM164" s="5" t="n">
        <v>0</v>
      </c>
      <c r="BN164" s="5" t="n">
        <v>1</v>
      </c>
      <c r="BO164" s="5" t="n">
        <v>0</v>
      </c>
      <c r="BP164" s="5" t="n">
        <v>-0.202</v>
      </c>
      <c r="BQ164" s="5" t="n">
        <v>0.2</v>
      </c>
      <c r="BR164" s="5" t="n">
        <v>0</v>
      </c>
      <c r="BS164" s="5" t="n">
        <v>1</v>
      </c>
      <c r="BT164" s="5" t="n">
        <v>0</v>
      </c>
      <c r="BU164" s="5" t="n">
        <v>-0.354</v>
      </c>
      <c r="BV164" s="5" t="n">
        <v>0.187</v>
      </c>
      <c r="BW164" s="5" t="n">
        <v>0</v>
      </c>
      <c r="BX164" s="5" t="n">
        <v>0.833</v>
      </c>
      <c r="BY164" s="5" t="n">
        <v>13.254</v>
      </c>
      <c r="BZ164" s="5" t="n">
        <v>0</v>
      </c>
      <c r="CA164" s="5" t="n">
        <v>13.254</v>
      </c>
      <c r="CB164" s="5" t="n">
        <v>0</v>
      </c>
      <c r="CC164" s="5" t="n">
        <v>83.248</v>
      </c>
      <c r="CD164" s="5" t="n">
        <v>7.95</v>
      </c>
      <c r="CE164" s="5" t="n">
        <v>19.507</v>
      </c>
      <c r="CF164" s="5" t="n">
        <v>102.755</v>
      </c>
      <c r="CG164" s="5" t="n">
        <v>0</v>
      </c>
      <c r="CH164" s="5" t="n">
        <v>1</v>
      </c>
      <c r="CI164" s="5" t="n">
        <v>0</v>
      </c>
      <c r="CJ164" s="5" t="n">
        <v>0</v>
      </c>
      <c r="CK164" s="5" t="n">
        <v>0</v>
      </c>
      <c r="CL164" s="5" t="n">
        <v>0</v>
      </c>
      <c r="CM164" s="5" t="n">
        <v>0</v>
      </c>
      <c r="CN164" s="5" t="n">
        <v>0</v>
      </c>
      <c r="CO164" s="5" t="n">
        <v>0</v>
      </c>
      <c r="CP164" s="5" t="n">
        <v>0</v>
      </c>
      <c r="CQ164" s="5" t="n">
        <v>1.348</v>
      </c>
      <c r="CR164" s="5" t="n">
        <v>0</v>
      </c>
      <c r="CS164" s="5" t="n">
        <v>5.37</v>
      </c>
      <c r="CT164" s="5" t="n">
        <v>4.861</v>
      </c>
      <c r="CU164" s="5" t="n">
        <v>11.622</v>
      </c>
    </row>
    <row r="165">
      <c r="A165" s="5" t="inlineStr">
        <is>
          <t>TCD2024</t>
        </is>
      </c>
      <c r="B165" s="5" t="inlineStr">
        <is>
          <t>TCD</t>
        </is>
      </c>
      <c r="C165" s="5" t="inlineStr">
        <is>
          <t>TCD</t>
        </is>
      </c>
      <c r="D165" s="5" t="inlineStr">
        <is>
          <t>Chad</t>
        </is>
      </c>
      <c r="E165" s="5" t="n">
        <v>2024</v>
      </c>
      <c r="F165" s="5" t="n">
        <v>0.18</v>
      </c>
      <c r="G165" s="5" t="n">
        <v>5.575</v>
      </c>
      <c r="H165" s="5" t="n">
        <v>1.324</v>
      </c>
      <c r="I165" s="5" t="n">
        <v>0</v>
      </c>
      <c r="J165" s="5" t="n">
        <v>5.575</v>
      </c>
      <c r="K165" s="5" t="n">
        <v>0</v>
      </c>
      <c r="L165" s="5" t="n">
        <v>1</v>
      </c>
      <c r="M165" s="5" t="n">
        <v>7.124</v>
      </c>
      <c r="N165" s="5" t="n">
        <v>3.971</v>
      </c>
      <c r="O165" s="5" t="n">
        <v>0</v>
      </c>
      <c r="P165" s="5" t="n">
        <v>7.124</v>
      </c>
      <c r="Q165" s="5" t="n">
        <v>0</v>
      </c>
      <c r="R165" s="5" t="n">
        <v>1</v>
      </c>
      <c r="S165" s="5" t="n">
        <v>12.193</v>
      </c>
      <c r="T165" s="5" t="n">
        <v>7.942</v>
      </c>
      <c r="U165" s="5" t="n">
        <v>0.299</v>
      </c>
      <c r="V165" s="5" t="n">
        <v>14.388</v>
      </c>
      <c r="W165" s="5" t="n">
        <v>0.18</v>
      </c>
      <c r="X165" s="5" t="n">
        <v>1</v>
      </c>
      <c r="Y165" s="5" t="n">
        <v>11.492</v>
      </c>
      <c r="Z165" s="5" t="n">
        <v>1.553</v>
      </c>
      <c r="AA165" s="5" t="n">
        <v>0</v>
      </c>
      <c r="AB165" s="5" t="n">
        <v>11.492</v>
      </c>
      <c r="AC165" s="5" t="n">
        <v>0</v>
      </c>
      <c r="AD165" s="5" t="n">
        <v>1</v>
      </c>
      <c r="AE165" s="5" t="n">
        <v>12.815</v>
      </c>
      <c r="AF165" s="5" t="n">
        <v>2.997</v>
      </c>
      <c r="AG165" s="5" t="n">
        <v>0</v>
      </c>
      <c r="AH165" s="5" t="n">
        <v>12.815</v>
      </c>
      <c r="AI165" s="5" t="n">
        <v>0</v>
      </c>
      <c r="AJ165" s="5" t="n">
        <v>1</v>
      </c>
      <c r="AK165" s="5" t="n">
        <v>20.757</v>
      </c>
      <c r="AL165" s="5" t="n">
        <v>11.055</v>
      </c>
      <c r="AM165" s="5" t="n">
        <v>0.509</v>
      </c>
      <c r="AN165" s="5" t="n">
        <v>24.493</v>
      </c>
      <c r="AO165" s="5" t="n">
        <v>0.18</v>
      </c>
      <c r="AP165" s="5" t="n">
        <v>1</v>
      </c>
      <c r="AQ165" s="5" t="n">
        <v>0.66</v>
      </c>
      <c r="AR165" s="5" t="n">
        <v>0.12</v>
      </c>
      <c r="AS165" s="5" t="n">
        <v>0.495</v>
      </c>
      <c r="AT165" s="5" t="n">
        <v>1.154</v>
      </c>
      <c r="AU165" s="5" t="n">
        <v>0</v>
      </c>
      <c r="AV165" s="5" t="n">
        <v>1</v>
      </c>
      <c r="AW165" s="5" t="n">
        <v>0.796</v>
      </c>
      <c r="AX165" s="5" t="n">
        <v>0.146</v>
      </c>
      <c r="AY165" s="5" t="n">
        <v>0.524</v>
      </c>
      <c r="AZ165" s="5" t="n">
        <v>1.319</v>
      </c>
      <c r="BA165" s="5" t="n">
        <v>0</v>
      </c>
      <c r="BB165" s="5" t="n">
        <v>1</v>
      </c>
      <c r="BC165" s="5" t="n">
        <v>0.513</v>
      </c>
      <c r="BD165" s="5" t="n">
        <v>0.132</v>
      </c>
      <c r="BE165" s="5" t="n">
        <v>-0.26</v>
      </c>
      <c r="BF165" s="5" t="n">
        <v>0.298</v>
      </c>
      <c r="BG165" s="5" t="n">
        <v>0</v>
      </c>
      <c r="BH165" s="5" t="n">
        <v>0</v>
      </c>
      <c r="BI165" s="5" t="n">
        <v>0.792</v>
      </c>
      <c r="BJ165" s="5" t="n">
        <v>0.174</v>
      </c>
      <c r="BK165" s="5" t="n">
        <v>0.165</v>
      </c>
      <c r="BL165" s="5" t="n">
        <v>0.957</v>
      </c>
      <c r="BM165" s="5" t="n">
        <v>0</v>
      </c>
      <c r="BN165" s="5" t="n">
        <v>1</v>
      </c>
      <c r="BO165" s="5" t="n">
        <v>0</v>
      </c>
      <c r="BP165" s="5" t="n">
        <v>-0.208</v>
      </c>
      <c r="BQ165" s="5" t="n">
        <v>0.206</v>
      </c>
      <c r="BR165" s="5" t="n">
        <v>0</v>
      </c>
      <c r="BS165" s="5" t="n">
        <v>1</v>
      </c>
      <c r="BT165" s="5" t="n">
        <v>0</v>
      </c>
      <c r="BU165" s="5" t="n">
        <v>-0.274</v>
      </c>
      <c r="BV165" s="5" t="n">
        <v>0.14</v>
      </c>
      <c r="BW165" s="5" t="n">
        <v>0</v>
      </c>
      <c r="BX165" s="5" t="n">
        <v>0.833</v>
      </c>
      <c r="BY165" s="5" t="n">
        <v>13.646</v>
      </c>
      <c r="BZ165" s="5" t="n">
        <v>0</v>
      </c>
      <c r="CA165" s="5" t="n">
        <v>13.646</v>
      </c>
      <c r="CB165" s="5" t="n">
        <v>0</v>
      </c>
      <c r="CC165" s="5" t="n">
        <v>82.58799999999999</v>
      </c>
      <c r="CD165" s="5" t="n">
        <v>7.95</v>
      </c>
      <c r="CE165" s="5" t="n">
        <v>20.205</v>
      </c>
      <c r="CF165" s="5" t="n">
        <v>102.793</v>
      </c>
      <c r="CG165" s="5" t="n">
        <v>0</v>
      </c>
      <c r="CH165" s="5" t="n">
        <v>1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1.387</v>
      </c>
      <c r="CR165" s="5" t="n">
        <v>0</v>
      </c>
      <c r="CS165" s="5" t="n">
        <v>5.529</v>
      </c>
      <c r="CT165" s="5" t="n">
        <v>4.251</v>
      </c>
      <c r="CU165" s="5" t="n">
        <v>10.168</v>
      </c>
    </row>
    <row r="166">
      <c r="A166" s="5" t="inlineStr">
        <is>
          <t>CHI2021</t>
        </is>
      </c>
      <c r="B166" s="5" t="inlineStr">
        <is>
          <t>CHI</t>
        </is>
      </c>
      <c r="C166" s="5" t="inlineStr">
        <is>
          <t>CHI</t>
        </is>
      </c>
      <c r="D166" s="5" t="inlineStr">
        <is>
          <t>Channel Islands</t>
        </is>
      </c>
      <c r="E166" s="5" t="n">
        <v>2021</v>
      </c>
      <c r="F166" s="5" t="n">
        <v>0</v>
      </c>
      <c r="G166" s="5" t="n">
        <v>5.553</v>
      </c>
      <c r="H166" s="5" t="n">
        <v>1.143</v>
      </c>
      <c r="I166" s="5" t="n">
        <v>0</v>
      </c>
      <c r="J166" s="5" t="n">
        <v>5.553</v>
      </c>
      <c r="K166" s="5" t="n">
        <v>0</v>
      </c>
      <c r="L166" s="5" t="n">
        <v>1</v>
      </c>
      <c r="M166" s="5" t="n">
        <v>7.964</v>
      </c>
      <c r="N166" s="5" t="n">
        <v>3.43</v>
      </c>
      <c r="O166" s="5" t="n">
        <v>0</v>
      </c>
      <c r="P166" s="5" t="n">
        <v>7.964</v>
      </c>
      <c r="Q166" s="5" t="n">
        <v>0</v>
      </c>
      <c r="R166" s="5" t="n">
        <v>1</v>
      </c>
      <c r="S166" s="5" t="n">
        <v>11.27</v>
      </c>
      <c r="T166" s="5" t="n">
        <v>6.86</v>
      </c>
      <c r="U166" s="5" t="n">
        <v>0</v>
      </c>
      <c r="V166" s="5" t="n">
        <v>11.27</v>
      </c>
      <c r="W166" s="5" t="n">
        <v>0</v>
      </c>
      <c r="X166" s="5" t="n">
        <v>1</v>
      </c>
      <c r="Y166" s="5" t="n">
        <v>16.305</v>
      </c>
      <c r="Z166" s="5" t="n">
        <v>2.204</v>
      </c>
      <c r="AA166" s="5" t="n">
        <v>0</v>
      </c>
      <c r="AB166" s="5" t="n">
        <v>16.305</v>
      </c>
      <c r="AC166" s="5" t="n">
        <v>0</v>
      </c>
      <c r="AD166" s="5" t="n">
        <v>1</v>
      </c>
      <c r="AE166" s="5" t="n">
        <v>17.449</v>
      </c>
      <c r="AF166" s="5" t="n">
        <v>4.08</v>
      </c>
      <c r="AG166" s="5" t="n">
        <v>0</v>
      </c>
      <c r="AH166" s="5" t="n">
        <v>17.449</v>
      </c>
      <c r="AI166" s="5" t="n">
        <v>0</v>
      </c>
      <c r="AJ166" s="5" t="n">
        <v>1</v>
      </c>
      <c r="AK166" s="5" t="n">
        <v>24.309</v>
      </c>
      <c r="AL166" s="5" t="n">
        <v>12.947</v>
      </c>
      <c r="AM166" s="5" t="n">
        <v>0</v>
      </c>
      <c r="AN166" s="5" t="n">
        <v>24.309</v>
      </c>
      <c r="AO166" s="5" t="n">
        <v>0</v>
      </c>
      <c r="AP166" s="5" t="n">
        <v>1</v>
      </c>
      <c r="AQ166" s="5" t="n">
        <v>0.619</v>
      </c>
      <c r="AR166" s="5" t="n">
        <v>0.114</v>
      </c>
      <c r="AS166" s="5" t="n">
        <v>0</v>
      </c>
      <c r="AT166" s="5" t="n">
        <v>0.619</v>
      </c>
      <c r="AU166" s="5" t="n">
        <v>0</v>
      </c>
      <c r="AV166" s="5" t="n">
        <v>1</v>
      </c>
      <c r="AW166" s="5" t="n">
        <v>0.599</v>
      </c>
      <c r="AX166" s="5" t="n">
        <v>0.114</v>
      </c>
      <c r="AY166" s="5" t="n">
        <v>0</v>
      </c>
      <c r="AZ166" s="5" t="n">
        <v>0.599</v>
      </c>
      <c r="BA166" s="5" t="n">
        <v>0</v>
      </c>
      <c r="BB166" s="5" t="n">
        <v>1</v>
      </c>
      <c r="BC166" s="5" t="n">
        <v>0.439</v>
      </c>
      <c r="BD166" s="5" t="n">
        <v>0.114</v>
      </c>
      <c r="BE166" s="5" t="n">
        <v>0</v>
      </c>
      <c r="BF166" s="5" t="n">
        <v>0.439</v>
      </c>
      <c r="BG166" s="5" t="n">
        <v>0</v>
      </c>
      <c r="BH166" s="5" t="n">
        <v>1</v>
      </c>
      <c r="BI166" s="5" t="n">
        <v>0.505</v>
      </c>
      <c r="BJ166" s="5" t="n">
        <v>0.114</v>
      </c>
      <c r="BK166" s="5" t="n">
        <v>0</v>
      </c>
      <c r="BL166" s="5" t="n">
        <v>0.505</v>
      </c>
      <c r="BM166" s="5" t="n">
        <v>0</v>
      </c>
      <c r="BN166" s="5" t="n">
        <v>1</v>
      </c>
      <c r="BO166" s="5" t="n">
        <v>0</v>
      </c>
      <c r="BP166" s="5" t="n">
        <v>0</v>
      </c>
      <c r="BQ166" s="5" t="n">
        <v>0</v>
      </c>
      <c r="BR166" s="5" t="n">
        <v>0</v>
      </c>
      <c r="BS166" s="5" t="n">
        <v>1</v>
      </c>
      <c r="BT166" s="5" t="n">
        <v>0</v>
      </c>
      <c r="BU166" s="5" t="n">
        <v>0</v>
      </c>
      <c r="BV166" s="5" t="n">
        <v>0</v>
      </c>
      <c r="BW166" s="5" t="n">
        <v>0</v>
      </c>
      <c r="BX166" s="5" t="n">
        <v>1</v>
      </c>
      <c r="BY166" s="5" t="n">
        <v>11.787</v>
      </c>
      <c r="BZ166" s="5" t="n">
        <v>0</v>
      </c>
      <c r="CA166" s="5" t="n">
        <v>11.787</v>
      </c>
      <c r="CB166" s="5" t="n">
        <v>0</v>
      </c>
      <c r="CC166" s="5" t="n">
        <v>78.125</v>
      </c>
      <c r="CD166" s="5" t="n">
        <v>7.95</v>
      </c>
      <c r="CE166" s="5" t="n">
        <v>0</v>
      </c>
      <c r="CF166" s="5" t="n">
        <v>78.125</v>
      </c>
      <c r="CG166" s="5" t="n">
        <v>0</v>
      </c>
      <c r="CH166" s="5" t="n">
        <v>1</v>
      </c>
      <c r="CI166" s="5" t="n">
        <v>0</v>
      </c>
      <c r="CJ166" s="5" t="n">
        <v>0</v>
      </c>
      <c r="CK166" s="5" t="n">
        <v>0</v>
      </c>
      <c r="CL166" s="5" t="n">
        <v>0</v>
      </c>
      <c r="CM166" s="5" t="n">
        <v>0</v>
      </c>
      <c r="CN166" s="5" t="n">
        <v>0</v>
      </c>
      <c r="CO166" s="5" t="n">
        <v>0</v>
      </c>
      <c r="CP166" s="5" t="n">
        <v>0</v>
      </c>
      <c r="CQ166" s="5" t="n">
        <v>1.198</v>
      </c>
      <c r="CR166" s="5" t="n">
        <v>0</v>
      </c>
      <c r="CS166" s="5" t="n">
        <v>4.776</v>
      </c>
      <c r="CT166" s="5" t="n">
        <v>4.41</v>
      </c>
      <c r="CU166" s="5" t="n">
        <v>15.162</v>
      </c>
    </row>
    <row r="167">
      <c r="A167" s="5" t="inlineStr">
        <is>
          <t>CHI2022</t>
        </is>
      </c>
      <c r="B167" s="5" t="inlineStr">
        <is>
          <t>CHI</t>
        </is>
      </c>
      <c r="C167" s="5" t="inlineStr">
        <is>
          <t>CHI</t>
        </is>
      </c>
      <c r="D167" s="5" t="inlineStr">
        <is>
          <t>Channel Islands</t>
        </is>
      </c>
      <c r="E167" s="5" t="n">
        <v>2022</v>
      </c>
      <c r="F167" s="5" t="n">
        <v>0</v>
      </c>
      <c r="G167" s="5" t="n">
        <v>7.077</v>
      </c>
      <c r="H167" s="5" t="n">
        <v>1.235</v>
      </c>
      <c r="I167" s="5" t="n">
        <v>0</v>
      </c>
      <c r="J167" s="5" t="n">
        <v>7.077</v>
      </c>
      <c r="K167" s="5" t="n">
        <v>0</v>
      </c>
      <c r="L167" s="5" t="n">
        <v>1</v>
      </c>
      <c r="M167" s="5" t="n">
        <v>9.782999999999999</v>
      </c>
      <c r="N167" s="5" t="n">
        <v>3.704</v>
      </c>
      <c r="O167" s="5" t="n">
        <v>0</v>
      </c>
      <c r="P167" s="5" t="n">
        <v>9.782999999999999</v>
      </c>
      <c r="Q167" s="5" t="n">
        <v>0</v>
      </c>
      <c r="R167" s="5" t="n">
        <v>1</v>
      </c>
      <c r="S167" s="5" t="n">
        <v>13.25</v>
      </c>
      <c r="T167" s="5" t="n">
        <v>7.408</v>
      </c>
      <c r="U167" s="5" t="n">
        <v>0</v>
      </c>
      <c r="V167" s="5" t="n">
        <v>13.25</v>
      </c>
      <c r="W167" s="5" t="n">
        <v>0</v>
      </c>
      <c r="X167" s="5" t="n">
        <v>1</v>
      </c>
      <c r="Y167" s="5" t="n">
        <v>32.56</v>
      </c>
      <c r="Z167" s="5" t="n">
        <v>4.401</v>
      </c>
      <c r="AA167" s="5" t="n">
        <v>0</v>
      </c>
      <c r="AB167" s="5" t="n">
        <v>32.56</v>
      </c>
      <c r="AC167" s="5" t="n">
        <v>0</v>
      </c>
      <c r="AD167" s="5" t="n">
        <v>1</v>
      </c>
      <c r="AE167" s="5" t="n">
        <v>33.795</v>
      </c>
      <c r="AF167" s="5" t="n">
        <v>7.902</v>
      </c>
      <c r="AG167" s="5" t="n">
        <v>0</v>
      </c>
      <c r="AH167" s="5" t="n">
        <v>33.795</v>
      </c>
      <c r="AI167" s="5" t="n">
        <v>0</v>
      </c>
      <c r="AJ167" s="5" t="n">
        <v>1</v>
      </c>
      <c r="AK167" s="5" t="n">
        <v>41.203</v>
      </c>
      <c r="AL167" s="5" t="n">
        <v>21.945</v>
      </c>
      <c r="AM167" s="5" t="n">
        <v>0</v>
      </c>
      <c r="AN167" s="5" t="n">
        <v>41.203</v>
      </c>
      <c r="AO167" s="5" t="n">
        <v>0</v>
      </c>
      <c r="AP167" s="5" t="n">
        <v>1</v>
      </c>
      <c r="AQ167" s="5" t="n">
        <v>0.861</v>
      </c>
      <c r="AR167" s="5" t="n">
        <v>0.123</v>
      </c>
      <c r="AS167" s="5" t="n">
        <v>0</v>
      </c>
      <c r="AT167" s="5" t="n">
        <v>0.861</v>
      </c>
      <c r="AU167" s="5" t="n">
        <v>0</v>
      </c>
      <c r="AV167" s="5" t="n">
        <v>1</v>
      </c>
      <c r="AW167" s="5" t="n">
        <v>0.986</v>
      </c>
      <c r="AX167" s="5" t="n">
        <v>0.123</v>
      </c>
      <c r="AY167" s="5" t="n">
        <v>0</v>
      </c>
      <c r="AZ167" s="5" t="n">
        <v>0.986</v>
      </c>
      <c r="BA167" s="5" t="n">
        <v>0</v>
      </c>
      <c r="BB167" s="5" t="n">
        <v>1</v>
      </c>
      <c r="BC167" s="5" t="n">
        <v>0.598</v>
      </c>
      <c r="BD167" s="5" t="n">
        <v>0.123</v>
      </c>
      <c r="BE167" s="5" t="n">
        <v>0</v>
      </c>
      <c r="BF167" s="5" t="n">
        <v>0.598</v>
      </c>
      <c r="BG167" s="5" t="n">
        <v>0</v>
      </c>
      <c r="BH167" s="5" t="n">
        <v>1</v>
      </c>
      <c r="BI167" s="5" t="n">
        <v>0.612</v>
      </c>
      <c r="BJ167" s="5" t="n">
        <v>0.123</v>
      </c>
      <c r="BK167" s="5" t="n">
        <v>0</v>
      </c>
      <c r="BL167" s="5" t="n">
        <v>0.612</v>
      </c>
      <c r="BM167" s="5" t="n">
        <v>0</v>
      </c>
      <c r="BN167" s="5" t="n">
        <v>1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1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1</v>
      </c>
      <c r="BY167" s="5" t="n">
        <v>12.729</v>
      </c>
      <c r="BZ167" s="5" t="n">
        <v>0</v>
      </c>
      <c r="CA167" s="5" t="n">
        <v>12.729</v>
      </c>
      <c r="CB167" s="5" t="n">
        <v>0</v>
      </c>
      <c r="CC167" s="5" t="n">
        <v>97.90000000000001</v>
      </c>
      <c r="CD167" s="5" t="n">
        <v>7.95</v>
      </c>
      <c r="CE167" s="5" t="n">
        <v>0</v>
      </c>
      <c r="CF167" s="5" t="n">
        <v>97.90000000000001</v>
      </c>
      <c r="CG167" s="5" t="n">
        <v>0</v>
      </c>
      <c r="CH167" s="5" t="n">
        <v>1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1.294</v>
      </c>
      <c r="CR167" s="5" t="n">
        <v>0</v>
      </c>
      <c r="CS167" s="5" t="n">
        <v>5.158</v>
      </c>
      <c r="CT167" s="5" t="n">
        <v>5.842</v>
      </c>
      <c r="CU167" s="5" t="n">
        <v>31.326</v>
      </c>
    </row>
    <row r="168">
      <c r="A168" s="5" t="inlineStr">
        <is>
          <t>CHI2023</t>
        </is>
      </c>
      <c r="B168" s="5" t="inlineStr">
        <is>
          <t>CHI</t>
        </is>
      </c>
      <c r="C168" s="5" t="inlineStr">
        <is>
          <t>CHI</t>
        </is>
      </c>
      <c r="D168" s="5" t="inlineStr">
        <is>
          <t>Channel Islands</t>
        </is>
      </c>
      <c r="E168" s="5" t="n">
        <v>2023</v>
      </c>
      <c r="F168" s="5" t="n">
        <v>0</v>
      </c>
      <c r="G168" s="5" t="n">
        <v>4.752</v>
      </c>
      <c r="H168" s="5" t="n">
        <v>1.286</v>
      </c>
      <c r="I168" s="5" t="n">
        <v>0</v>
      </c>
      <c r="J168" s="5" t="n">
        <v>4.752</v>
      </c>
      <c r="K168" s="5" t="n">
        <v>0</v>
      </c>
      <c r="L168" s="5" t="n">
        <v>1</v>
      </c>
      <c r="M168" s="5" t="n">
        <v>7.886</v>
      </c>
      <c r="N168" s="5" t="n">
        <v>3.857</v>
      </c>
      <c r="O168" s="5" t="n">
        <v>0</v>
      </c>
      <c r="P168" s="5" t="n">
        <v>7.886</v>
      </c>
      <c r="Q168" s="5" t="n">
        <v>0</v>
      </c>
      <c r="R168" s="5" t="n">
        <v>1</v>
      </c>
      <c r="S168" s="5" t="n">
        <v>11.18</v>
      </c>
      <c r="T168" s="5" t="n">
        <v>7.714</v>
      </c>
      <c r="U168" s="5" t="n">
        <v>0</v>
      </c>
      <c r="V168" s="5" t="n">
        <v>11.18</v>
      </c>
      <c r="W168" s="5" t="n">
        <v>0</v>
      </c>
      <c r="X168" s="5" t="n">
        <v>1</v>
      </c>
      <c r="Y168" s="5" t="n">
        <v>12.908</v>
      </c>
      <c r="Z168" s="5" t="n">
        <v>1.745</v>
      </c>
      <c r="AA168" s="5" t="n">
        <v>0</v>
      </c>
      <c r="AB168" s="5" t="n">
        <v>12.908</v>
      </c>
      <c r="AC168" s="5" t="n">
        <v>0</v>
      </c>
      <c r="AD168" s="5" t="n">
        <v>1</v>
      </c>
      <c r="AE168" s="5" t="n">
        <v>14.194</v>
      </c>
      <c r="AF168" s="5" t="n">
        <v>3.319</v>
      </c>
      <c r="AG168" s="5" t="n">
        <v>0</v>
      </c>
      <c r="AH168" s="5" t="n">
        <v>14.194</v>
      </c>
      <c r="AI168" s="5" t="n">
        <v>0</v>
      </c>
      <c r="AJ168" s="5" t="n">
        <v>1</v>
      </c>
      <c r="AK168" s="5" t="n">
        <v>21.908</v>
      </c>
      <c r="AL168" s="5" t="n">
        <v>11.668</v>
      </c>
      <c r="AM168" s="5" t="n">
        <v>0</v>
      </c>
      <c r="AN168" s="5" t="n">
        <v>21.908</v>
      </c>
      <c r="AO168" s="5" t="n">
        <v>0</v>
      </c>
      <c r="AP168" s="5" t="n">
        <v>1</v>
      </c>
      <c r="AQ168" s="5" t="n">
        <v>0.76</v>
      </c>
      <c r="AR168" s="5" t="n">
        <v>0.129</v>
      </c>
      <c r="AS168" s="5" t="n">
        <v>0</v>
      </c>
      <c r="AT168" s="5" t="n">
        <v>0.76</v>
      </c>
      <c r="AU168" s="5" t="n">
        <v>0</v>
      </c>
      <c r="AV168" s="5" t="n">
        <v>1</v>
      </c>
      <c r="AW168" s="5" t="n">
        <v>0.8110000000000001</v>
      </c>
      <c r="AX168" s="5" t="n">
        <v>0.129</v>
      </c>
      <c r="AY168" s="5" t="n">
        <v>0</v>
      </c>
      <c r="AZ168" s="5" t="n">
        <v>0.8110000000000001</v>
      </c>
      <c r="BA168" s="5" t="n">
        <v>0</v>
      </c>
      <c r="BB168" s="5" t="n">
        <v>1</v>
      </c>
      <c r="BC168" s="5" t="n">
        <v>0.535</v>
      </c>
      <c r="BD168" s="5" t="n">
        <v>0.129</v>
      </c>
      <c r="BE168" s="5" t="n">
        <v>0</v>
      </c>
      <c r="BF168" s="5" t="n">
        <v>0.535</v>
      </c>
      <c r="BG168" s="5" t="n">
        <v>0</v>
      </c>
      <c r="BH168" s="5" t="n">
        <v>1</v>
      </c>
      <c r="BI168" s="5" t="n">
        <v>0.579</v>
      </c>
      <c r="BJ168" s="5" t="n">
        <v>0.129</v>
      </c>
      <c r="BK168" s="5" t="n">
        <v>0</v>
      </c>
      <c r="BL168" s="5" t="n">
        <v>0.579</v>
      </c>
      <c r="BM168" s="5" t="n">
        <v>0</v>
      </c>
      <c r="BN168" s="5" t="n">
        <v>1</v>
      </c>
      <c r="BO168" s="5" t="n">
        <v>0</v>
      </c>
      <c r="BP168" s="5" t="n">
        <v>0</v>
      </c>
      <c r="BQ168" s="5" t="n">
        <v>0</v>
      </c>
      <c r="BR168" s="5" t="n">
        <v>0</v>
      </c>
      <c r="BS168" s="5" t="n">
        <v>1</v>
      </c>
      <c r="BT168" s="5" t="n">
        <v>0</v>
      </c>
      <c r="BU168" s="5" t="n">
        <v>0</v>
      </c>
      <c r="BV168" s="5" t="n">
        <v>0</v>
      </c>
      <c r="BW168" s="5" t="n">
        <v>0</v>
      </c>
      <c r="BX168" s="5" t="n">
        <v>1</v>
      </c>
      <c r="BY168" s="5" t="n">
        <v>13.254</v>
      </c>
      <c r="BZ168" s="5" t="n">
        <v>0</v>
      </c>
      <c r="CA168" s="5" t="n">
        <v>13.254</v>
      </c>
      <c r="CB168" s="5" t="n">
        <v>0</v>
      </c>
      <c r="CC168" s="5" t="n">
        <v>83.248</v>
      </c>
      <c r="CD168" s="5" t="n">
        <v>7.95</v>
      </c>
      <c r="CE168" s="5" t="n">
        <v>0</v>
      </c>
      <c r="CF168" s="5" t="n">
        <v>83.248</v>
      </c>
      <c r="CG168" s="5" t="n">
        <v>0</v>
      </c>
      <c r="CH168" s="5" t="n">
        <v>1</v>
      </c>
      <c r="CI168" s="5" t="n">
        <v>0</v>
      </c>
      <c r="CJ168" s="5" t="n">
        <v>0</v>
      </c>
      <c r="CK168" s="5" t="n">
        <v>0</v>
      </c>
      <c r="CL168" s="5" t="n">
        <v>0</v>
      </c>
      <c r="CM168" s="5" t="n">
        <v>0</v>
      </c>
      <c r="CN168" s="5" t="n">
        <v>0</v>
      </c>
      <c r="CO168" s="5" t="n">
        <v>0</v>
      </c>
      <c r="CP168" s="5" t="n">
        <v>0</v>
      </c>
      <c r="CQ168" s="5" t="n">
        <v>1.348</v>
      </c>
      <c r="CR168" s="5" t="n">
        <v>0</v>
      </c>
      <c r="CS168" s="5" t="n">
        <v>5.37</v>
      </c>
      <c r="CT168" s="5" t="n">
        <v>3.466</v>
      </c>
      <c r="CU168" s="5" t="n">
        <v>11.622</v>
      </c>
    </row>
    <row r="169">
      <c r="A169" s="5" t="inlineStr">
        <is>
          <t>CHI2024</t>
        </is>
      </c>
      <c r="B169" s="5" t="inlineStr">
        <is>
          <t>CHI</t>
        </is>
      </c>
      <c r="C169" s="5" t="inlineStr">
        <is>
          <t>CHI</t>
        </is>
      </c>
      <c r="D169" s="5" t="inlineStr">
        <is>
          <t>Channel Islands</t>
        </is>
      </c>
      <c r="E169" s="5" t="n">
        <v>2024</v>
      </c>
      <c r="F169" s="5" t="n">
        <v>0</v>
      </c>
      <c r="G169" s="5" t="n">
        <v>4.351</v>
      </c>
      <c r="H169" s="5" t="n">
        <v>1.324</v>
      </c>
      <c r="I169" s="5" t="n">
        <v>0</v>
      </c>
      <c r="J169" s="5" t="n">
        <v>4.351</v>
      </c>
      <c r="K169" s="5" t="n">
        <v>0</v>
      </c>
      <c r="L169" s="5" t="n">
        <v>1</v>
      </c>
      <c r="M169" s="5" t="n">
        <v>7.124</v>
      </c>
      <c r="N169" s="5" t="n">
        <v>3.971</v>
      </c>
      <c r="O169" s="5" t="n">
        <v>0</v>
      </c>
      <c r="P169" s="5" t="n">
        <v>7.124</v>
      </c>
      <c r="Q169" s="5" t="n">
        <v>0</v>
      </c>
      <c r="R169" s="5" t="n">
        <v>1</v>
      </c>
      <c r="S169" s="5" t="n">
        <v>10.969</v>
      </c>
      <c r="T169" s="5" t="n">
        <v>7.942</v>
      </c>
      <c r="U169" s="5" t="n">
        <v>0</v>
      </c>
      <c r="V169" s="5" t="n">
        <v>10.969</v>
      </c>
      <c r="W169" s="5" t="n">
        <v>0</v>
      </c>
      <c r="X169" s="5" t="n">
        <v>1</v>
      </c>
      <c r="Y169" s="5" t="n">
        <v>11.492</v>
      </c>
      <c r="Z169" s="5" t="n">
        <v>1.553</v>
      </c>
      <c r="AA169" s="5" t="n">
        <v>0</v>
      </c>
      <c r="AB169" s="5" t="n">
        <v>11.492</v>
      </c>
      <c r="AC169" s="5" t="n">
        <v>0</v>
      </c>
      <c r="AD169" s="5" t="n">
        <v>1</v>
      </c>
      <c r="AE169" s="5" t="n">
        <v>12.815</v>
      </c>
      <c r="AF169" s="5" t="n">
        <v>2.997</v>
      </c>
      <c r="AG169" s="5" t="n">
        <v>0</v>
      </c>
      <c r="AH169" s="5" t="n">
        <v>12.815</v>
      </c>
      <c r="AI169" s="5" t="n">
        <v>0</v>
      </c>
      <c r="AJ169" s="5" t="n">
        <v>1</v>
      </c>
      <c r="AK169" s="5" t="n">
        <v>20.757</v>
      </c>
      <c r="AL169" s="5" t="n">
        <v>11.055</v>
      </c>
      <c r="AM169" s="5" t="n">
        <v>0</v>
      </c>
      <c r="AN169" s="5" t="n">
        <v>20.757</v>
      </c>
      <c r="AO169" s="5" t="n">
        <v>0</v>
      </c>
      <c r="AP169" s="5" t="n">
        <v>1</v>
      </c>
      <c r="AQ169" s="5" t="n">
        <v>0.724</v>
      </c>
      <c r="AR169" s="5" t="n">
        <v>0.132</v>
      </c>
      <c r="AS169" s="5" t="n">
        <v>0</v>
      </c>
      <c r="AT169" s="5" t="n">
        <v>0.724</v>
      </c>
      <c r="AU169" s="5" t="n">
        <v>0</v>
      </c>
      <c r="AV169" s="5" t="n">
        <v>1</v>
      </c>
      <c r="AW169" s="5" t="n">
        <v>0.75</v>
      </c>
      <c r="AX169" s="5" t="n">
        <v>0.132</v>
      </c>
      <c r="AY169" s="5" t="n">
        <v>0</v>
      </c>
      <c r="AZ169" s="5" t="n">
        <v>0.75</v>
      </c>
      <c r="BA169" s="5" t="n">
        <v>0</v>
      </c>
      <c r="BB169" s="5" t="n">
        <v>1</v>
      </c>
      <c r="BC169" s="5" t="n">
        <v>0.513</v>
      </c>
      <c r="BD169" s="5" t="n">
        <v>0.132</v>
      </c>
      <c r="BE169" s="5" t="n">
        <v>0</v>
      </c>
      <c r="BF169" s="5" t="n">
        <v>0.513</v>
      </c>
      <c r="BG169" s="5" t="n">
        <v>0</v>
      </c>
      <c r="BH169" s="5" t="n">
        <v>1</v>
      </c>
      <c r="BI169" s="5" t="n">
        <v>0.591</v>
      </c>
      <c r="BJ169" s="5" t="n">
        <v>0.132</v>
      </c>
      <c r="BK169" s="5" t="n">
        <v>0</v>
      </c>
      <c r="BL169" s="5" t="n">
        <v>0.591</v>
      </c>
      <c r="BM169" s="5" t="n">
        <v>0</v>
      </c>
      <c r="BN169" s="5" t="n">
        <v>1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1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1</v>
      </c>
      <c r="BY169" s="5" t="n">
        <v>13.646</v>
      </c>
      <c r="BZ169" s="5" t="n">
        <v>0</v>
      </c>
      <c r="CA169" s="5" t="n">
        <v>13.646</v>
      </c>
      <c r="CB169" s="5" t="n">
        <v>0</v>
      </c>
      <c r="CC169" s="5" t="n">
        <v>82.58799999999999</v>
      </c>
      <c r="CD169" s="5" t="n">
        <v>7.95</v>
      </c>
      <c r="CE169" s="5" t="n">
        <v>0</v>
      </c>
      <c r="CF169" s="5" t="n">
        <v>82.58799999999999</v>
      </c>
      <c r="CG169" s="5" t="n">
        <v>0</v>
      </c>
      <c r="CH169" s="5" t="n">
        <v>1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1.387</v>
      </c>
      <c r="CR169" s="5" t="n">
        <v>0</v>
      </c>
      <c r="CS169" s="5" t="n">
        <v>5.529</v>
      </c>
      <c r="CT169" s="5" t="n">
        <v>3.027</v>
      </c>
      <c r="CU169" s="5" t="n">
        <v>10.168</v>
      </c>
    </row>
    <row r="170">
      <c r="A170" s="5" t="inlineStr">
        <is>
          <t>CHL2021</t>
        </is>
      </c>
      <c r="B170" s="5" t="inlineStr">
        <is>
          <t>CHL</t>
        </is>
      </c>
      <c r="C170" s="5" t="inlineStr">
        <is>
          <t>CHL</t>
        </is>
      </c>
      <c r="D170" s="5" t="inlineStr">
        <is>
          <t>Chile</t>
        </is>
      </c>
      <c r="E170" s="5" t="n">
        <v>2021</v>
      </c>
      <c r="F170" s="5" t="n">
        <v>0.19</v>
      </c>
      <c r="G170" s="5" t="n">
        <v>3.214</v>
      </c>
      <c r="H170" s="5" t="n">
        <v>0.703</v>
      </c>
      <c r="I170" s="5" t="n">
        <v>0.702</v>
      </c>
      <c r="J170" s="5" t="n">
        <v>3.916</v>
      </c>
      <c r="K170" s="5" t="n">
        <v>0</v>
      </c>
      <c r="L170" s="5" t="n">
        <v>1</v>
      </c>
      <c r="M170" s="5" t="n">
        <v>5.268</v>
      </c>
      <c r="N170" s="5" t="n">
        <v>2.387</v>
      </c>
      <c r="O170" s="5" t="n">
        <v>0.703</v>
      </c>
      <c r="P170" s="5" t="n">
        <v>5.97</v>
      </c>
      <c r="Q170" s="5" t="n">
        <v>0</v>
      </c>
      <c r="R170" s="5" t="n">
        <v>1</v>
      </c>
      <c r="S170" s="5" t="n">
        <v>11.613</v>
      </c>
      <c r="T170" s="5" t="n">
        <v>6.86</v>
      </c>
      <c r="U170" s="5" t="n">
        <v>0.758</v>
      </c>
      <c r="V170" s="5" t="n">
        <v>14.722</v>
      </c>
      <c r="W170" s="5" t="n">
        <v>0.19</v>
      </c>
      <c r="X170" s="5" t="n">
        <v>1</v>
      </c>
      <c r="Y170" s="5" t="n">
        <v>14.318</v>
      </c>
      <c r="Z170" s="5" t="n">
        <v>1.581</v>
      </c>
      <c r="AA170" s="5" t="n">
        <v>1.044</v>
      </c>
      <c r="AB170" s="5" t="n">
        <v>15.362</v>
      </c>
      <c r="AC170" s="5" t="n">
        <v>0</v>
      </c>
      <c r="AD170" s="5" t="n">
        <v>1</v>
      </c>
      <c r="AE170" s="5" t="n">
        <v>14.318</v>
      </c>
      <c r="AF170" s="5" t="n">
        <v>2.817</v>
      </c>
      <c r="AG170" s="5" t="n">
        <v>1.044</v>
      </c>
      <c r="AH170" s="5" t="n">
        <v>15.362</v>
      </c>
      <c r="AI170" s="5" t="n">
        <v>0</v>
      </c>
      <c r="AJ170" s="5" t="n">
        <v>1</v>
      </c>
      <c r="AK170" s="5" t="n">
        <v>28.248</v>
      </c>
      <c r="AL170" s="5" t="n">
        <v>13.865</v>
      </c>
      <c r="AM170" s="5" t="n">
        <v>-1.768</v>
      </c>
      <c r="AN170" s="5" t="n">
        <v>31.512</v>
      </c>
      <c r="AO170" s="5" t="n">
        <v>0.19</v>
      </c>
      <c r="AP170" s="5" t="n">
        <v>1</v>
      </c>
      <c r="AQ170" s="5" t="n">
        <v>0.649</v>
      </c>
      <c r="AR170" s="5" t="n">
        <v>0.114</v>
      </c>
      <c r="AS170" s="5" t="n">
        <v>0.303</v>
      </c>
      <c r="AT170" s="5" t="n">
        <v>1.133</v>
      </c>
      <c r="AU170" s="5" t="n">
        <v>0.19</v>
      </c>
      <c r="AV170" s="5" t="n">
        <v>1</v>
      </c>
      <c r="AW170" s="5" t="n">
        <v>0.577</v>
      </c>
      <c r="AX170" s="5" t="n">
        <v>0.114</v>
      </c>
      <c r="AY170" s="5" t="n">
        <v>0.126</v>
      </c>
      <c r="AZ170" s="5" t="n">
        <v>0.836</v>
      </c>
      <c r="BA170" s="5" t="n">
        <v>0.19</v>
      </c>
      <c r="BB170" s="5" t="n">
        <v>1</v>
      </c>
      <c r="BC170" s="5" t="n">
        <v>0.458</v>
      </c>
      <c r="BD170" s="5" t="n">
        <v>0.114</v>
      </c>
      <c r="BE170" s="5" t="n">
        <v>0.413</v>
      </c>
      <c r="BF170" s="5" t="n">
        <v>1.037</v>
      </c>
      <c r="BG170" s="5" t="n">
        <v>0.19</v>
      </c>
      <c r="BH170" s="5" t="n">
        <v>1</v>
      </c>
      <c r="BI170" s="5" t="n">
        <v>0.491</v>
      </c>
      <c r="BJ170" s="5" t="n">
        <v>0.114</v>
      </c>
      <c r="BK170" s="5" t="n">
        <v>0.281</v>
      </c>
      <c r="BL170" s="5" t="n">
        <v>0.919</v>
      </c>
      <c r="BM170" s="5" t="n">
        <v>0.19</v>
      </c>
      <c r="BN170" s="5" t="n">
        <v>1</v>
      </c>
      <c r="BO170" s="5" t="n">
        <v>0</v>
      </c>
      <c r="BP170" s="5" t="n">
        <v>0.004</v>
      </c>
      <c r="BQ170" s="5" t="n">
        <v>0.175</v>
      </c>
      <c r="BR170" s="5" t="n">
        <v>0</v>
      </c>
      <c r="BS170" s="5" t="n">
        <v>0.833</v>
      </c>
      <c r="BT170" s="5" t="n">
        <v>0</v>
      </c>
      <c r="BU170" s="5" t="n">
        <v>0</v>
      </c>
      <c r="BV170" s="5" t="n">
        <v>0.192</v>
      </c>
      <c r="BW170" s="5" t="n">
        <v>0</v>
      </c>
      <c r="BX170" s="5" t="n">
        <v>1</v>
      </c>
      <c r="BY170" s="5" t="n">
        <v>11.787</v>
      </c>
      <c r="BZ170" s="5" t="n">
        <v>0</v>
      </c>
      <c r="CA170" s="5" t="n">
        <v>11.787</v>
      </c>
      <c r="CB170" s="5" t="n">
        <v>0</v>
      </c>
      <c r="CC170" s="5" t="n">
        <v>78.125</v>
      </c>
      <c r="CD170" s="5" t="n">
        <v>7.95</v>
      </c>
      <c r="CE170" s="5" t="n">
        <v>-10.517</v>
      </c>
      <c r="CF170" s="5" t="n">
        <v>80.45399999999999</v>
      </c>
      <c r="CG170" s="5" t="n">
        <v>0.19</v>
      </c>
      <c r="CH170" s="5" t="n">
        <v>1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0</v>
      </c>
      <c r="CP170" s="5" t="n">
        <v>0</v>
      </c>
      <c r="CQ170" s="5" t="n">
        <v>1.198</v>
      </c>
      <c r="CR170" s="5" t="n">
        <v>0</v>
      </c>
      <c r="CS170" s="5" t="n">
        <v>7.25</v>
      </c>
      <c r="CT170" s="5" t="n">
        <v>4.753</v>
      </c>
      <c r="CU170" s="5" t="n">
        <v>16.491</v>
      </c>
    </row>
    <row r="171">
      <c r="A171" s="5" t="inlineStr">
        <is>
          <t>CHL2022</t>
        </is>
      </c>
      <c r="B171" s="5" t="inlineStr">
        <is>
          <t>CHL</t>
        </is>
      </c>
      <c r="C171" s="5" t="inlineStr">
        <is>
          <t>CHL</t>
        </is>
      </c>
      <c r="D171" s="5" t="inlineStr">
        <is>
          <t>Chile</t>
        </is>
      </c>
      <c r="E171" s="5" t="n">
        <v>2022</v>
      </c>
      <c r="F171" s="5" t="n">
        <v>0.19</v>
      </c>
      <c r="G171" s="5" t="n">
        <v>8.279999999999999</v>
      </c>
      <c r="H171" s="5" t="n">
        <v>1.286</v>
      </c>
      <c r="I171" s="5" t="n">
        <v>0.999</v>
      </c>
      <c r="J171" s="5" t="n">
        <v>9.279</v>
      </c>
      <c r="K171" s="5" t="n">
        <v>0</v>
      </c>
      <c r="L171" s="5" t="n">
        <v>1</v>
      </c>
      <c r="M171" s="5" t="n">
        <v>12.687</v>
      </c>
      <c r="N171" s="5" t="n">
        <v>5.239</v>
      </c>
      <c r="O171" s="5" t="n">
        <v>0.752</v>
      </c>
      <c r="P171" s="5" t="n">
        <v>13.439</v>
      </c>
      <c r="Q171" s="5" t="n">
        <v>0</v>
      </c>
      <c r="R171" s="5" t="n">
        <v>1</v>
      </c>
      <c r="S171" s="5" t="n">
        <v>17.652</v>
      </c>
      <c r="T171" s="5" t="n">
        <v>7.339</v>
      </c>
      <c r="U171" s="5" t="n">
        <v>1.363</v>
      </c>
      <c r="V171" s="5" t="n">
        <v>22.314</v>
      </c>
      <c r="W171" s="5" t="n">
        <v>0.19</v>
      </c>
      <c r="X171" s="5" t="n">
        <v>1</v>
      </c>
      <c r="Y171" s="5" t="n">
        <v>17.326</v>
      </c>
      <c r="Z171" s="5" t="n">
        <v>1.818</v>
      </c>
      <c r="AA171" s="5" t="n">
        <v>1.719</v>
      </c>
      <c r="AB171" s="5" t="n">
        <v>19.045</v>
      </c>
      <c r="AC171" s="5" t="n">
        <v>0</v>
      </c>
      <c r="AD171" s="5" t="n">
        <v>1</v>
      </c>
      <c r="AE171" s="5" t="n">
        <v>17.326</v>
      </c>
      <c r="AF171" s="5" t="n">
        <v>3.212</v>
      </c>
      <c r="AG171" s="5" t="n">
        <v>1.719</v>
      </c>
      <c r="AH171" s="5" t="n">
        <v>19.045</v>
      </c>
      <c r="AI171" s="5" t="n">
        <v>0</v>
      </c>
      <c r="AJ171" s="5" t="n">
        <v>1</v>
      </c>
      <c r="AK171" s="5" t="n">
        <v>28.914</v>
      </c>
      <c r="AL171" s="5" t="n">
        <v>13.808</v>
      </c>
      <c r="AM171" s="5" t="n">
        <v>-0.913</v>
      </c>
      <c r="AN171" s="5" t="n">
        <v>33.322</v>
      </c>
      <c r="AO171" s="5" t="n">
        <v>0.19</v>
      </c>
      <c r="AP171" s="5" t="n">
        <v>1</v>
      </c>
      <c r="AQ171" s="5" t="n">
        <v>0.896</v>
      </c>
      <c r="AR171" s="5" t="n">
        <v>0.123</v>
      </c>
      <c r="AS171" s="5" t="n">
        <v>0.191</v>
      </c>
      <c r="AT171" s="5" t="n">
        <v>1.294</v>
      </c>
      <c r="AU171" s="5" t="n">
        <v>0.19</v>
      </c>
      <c r="AV171" s="5" t="n">
        <v>1</v>
      </c>
      <c r="AW171" s="5" t="n">
        <v>0.89</v>
      </c>
      <c r="AX171" s="5" t="n">
        <v>0.123</v>
      </c>
      <c r="AY171" s="5" t="n">
        <v>-0.004</v>
      </c>
      <c r="AZ171" s="5" t="n">
        <v>1.054</v>
      </c>
      <c r="BA171" s="5" t="n">
        <v>0.19</v>
      </c>
      <c r="BB171" s="5" t="n">
        <v>1</v>
      </c>
      <c r="BC171" s="5" t="n">
        <v>0.62</v>
      </c>
      <c r="BD171" s="5" t="n">
        <v>0.123</v>
      </c>
      <c r="BE171" s="5" t="n">
        <v>0.291</v>
      </c>
      <c r="BF171" s="5" t="n">
        <v>1.085</v>
      </c>
      <c r="BG171" s="5" t="n">
        <v>0.19</v>
      </c>
      <c r="BH171" s="5" t="n">
        <v>1</v>
      </c>
      <c r="BI171" s="5" t="n">
        <v>0.608</v>
      </c>
      <c r="BJ171" s="5" t="n">
        <v>0.123</v>
      </c>
      <c r="BK171" s="5" t="n">
        <v>0.464</v>
      </c>
      <c r="BL171" s="5" t="n">
        <v>1.275</v>
      </c>
      <c r="BM171" s="5" t="n">
        <v>0.19</v>
      </c>
      <c r="BN171" s="5" t="n">
        <v>1</v>
      </c>
      <c r="BO171" s="5" t="n">
        <v>0</v>
      </c>
      <c r="BP171" s="5" t="n">
        <v>0</v>
      </c>
      <c r="BQ171" s="5" t="n">
        <v>0.116</v>
      </c>
      <c r="BR171" s="5" t="n">
        <v>0</v>
      </c>
      <c r="BS171" s="5" t="n">
        <v>0.833</v>
      </c>
      <c r="BT171" s="5" t="n">
        <v>0</v>
      </c>
      <c r="BU171" s="5" t="n">
        <v>0</v>
      </c>
      <c r="BV171" s="5" t="n">
        <v>0.127</v>
      </c>
      <c r="BW171" s="5" t="n">
        <v>0</v>
      </c>
      <c r="BX171" s="5" t="n">
        <v>1</v>
      </c>
      <c r="BY171" s="5" t="n">
        <v>12.729</v>
      </c>
      <c r="BZ171" s="5" t="n">
        <v>0</v>
      </c>
      <c r="CA171" s="5" t="n">
        <v>12.729</v>
      </c>
      <c r="CB171" s="5" t="n">
        <v>0</v>
      </c>
      <c r="CC171" s="5" t="n">
        <v>97.90000000000001</v>
      </c>
      <c r="CD171" s="5" t="n">
        <v>7.95</v>
      </c>
      <c r="CE171" s="5" t="n">
        <v>0.573</v>
      </c>
      <c r="CF171" s="5" t="n">
        <v>117.183</v>
      </c>
      <c r="CG171" s="5" t="n">
        <v>0.19</v>
      </c>
      <c r="CH171" s="5" t="n">
        <v>1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0</v>
      </c>
      <c r="CN171" s="5" t="n">
        <v>0</v>
      </c>
      <c r="CO171" s="5" t="n">
        <v>0</v>
      </c>
      <c r="CP171" s="5" t="n">
        <v>0</v>
      </c>
      <c r="CQ171" s="5" t="n">
        <v>1.294</v>
      </c>
      <c r="CR171" s="5" t="n">
        <v>0</v>
      </c>
      <c r="CS171" s="5" t="n">
        <v>7.83</v>
      </c>
      <c r="CT171" s="5" t="n">
        <v>10.485</v>
      </c>
      <c r="CU171" s="5" t="n">
        <v>30.272</v>
      </c>
    </row>
    <row r="172">
      <c r="A172" s="5" t="inlineStr">
        <is>
          <t>CHL2023</t>
        </is>
      </c>
      <c r="B172" s="5" t="inlineStr">
        <is>
          <t>CHL</t>
        </is>
      </c>
      <c r="C172" s="5" t="inlineStr">
        <is>
          <t>CHL</t>
        </is>
      </c>
      <c r="D172" s="5" t="inlineStr">
        <is>
          <t>Chile</t>
        </is>
      </c>
      <c r="E172" s="5" t="n">
        <v>2023</v>
      </c>
      <c r="F172" s="5" t="n">
        <v>0.19</v>
      </c>
      <c r="G172" s="5" t="n">
        <v>6.065</v>
      </c>
      <c r="H172" s="5" t="n">
        <v>1.381</v>
      </c>
      <c r="I172" s="5" t="n">
        <v>0.716</v>
      </c>
      <c r="J172" s="5" t="n">
        <v>6.781</v>
      </c>
      <c r="K172" s="5" t="n">
        <v>0</v>
      </c>
      <c r="L172" s="5" t="n">
        <v>1</v>
      </c>
      <c r="M172" s="5" t="n">
        <v>9.289</v>
      </c>
      <c r="N172" s="5" t="n">
        <v>4.607</v>
      </c>
      <c r="O172" s="5" t="n">
        <v>0.681</v>
      </c>
      <c r="P172" s="5" t="n">
        <v>9.970000000000001</v>
      </c>
      <c r="Q172" s="5" t="n">
        <v>0</v>
      </c>
      <c r="R172" s="5" t="n">
        <v>1</v>
      </c>
      <c r="S172" s="5" t="n">
        <v>12.486</v>
      </c>
      <c r="T172" s="5" t="n">
        <v>7.667</v>
      </c>
      <c r="U172" s="5" t="n">
        <v>1.059</v>
      </c>
      <c r="V172" s="5" t="n">
        <v>15.787</v>
      </c>
      <c r="W172" s="5" t="n">
        <v>0.19</v>
      </c>
      <c r="X172" s="5" t="n">
        <v>1</v>
      </c>
      <c r="Y172" s="5" t="n">
        <v>13.843</v>
      </c>
      <c r="Z172" s="5" t="n">
        <v>1.551</v>
      </c>
      <c r="AA172" s="5" t="n">
        <v>0.8149999999999999</v>
      </c>
      <c r="AB172" s="5" t="n">
        <v>14.657</v>
      </c>
      <c r="AC172" s="5" t="n">
        <v>0</v>
      </c>
      <c r="AD172" s="5" t="n">
        <v>1</v>
      </c>
      <c r="AE172" s="5" t="n">
        <v>13.843</v>
      </c>
      <c r="AF172" s="5" t="n">
        <v>2.757</v>
      </c>
      <c r="AG172" s="5" t="n">
        <v>0.8149999999999999</v>
      </c>
      <c r="AH172" s="5" t="n">
        <v>14.657</v>
      </c>
      <c r="AI172" s="5" t="n">
        <v>0</v>
      </c>
      <c r="AJ172" s="5" t="n">
        <v>1</v>
      </c>
      <c r="AK172" s="5" t="n">
        <v>33.217</v>
      </c>
      <c r="AL172" s="5" t="n">
        <v>16.455</v>
      </c>
      <c r="AM172" s="5" t="n">
        <v>-1.684</v>
      </c>
      <c r="AN172" s="5" t="n">
        <v>37.524</v>
      </c>
      <c r="AO172" s="5" t="n">
        <v>0.19</v>
      </c>
      <c r="AP172" s="5" t="n">
        <v>1</v>
      </c>
      <c r="AQ172" s="5" t="n">
        <v>0.791</v>
      </c>
      <c r="AR172" s="5" t="n">
        <v>0.129</v>
      </c>
      <c r="AS172" s="5" t="n">
        <v>0.447</v>
      </c>
      <c r="AT172" s="5" t="n">
        <v>1.473</v>
      </c>
      <c r="AU172" s="5" t="n">
        <v>0.19</v>
      </c>
      <c r="AV172" s="5" t="n">
        <v>1</v>
      </c>
      <c r="AW172" s="5" t="n">
        <v>0.618</v>
      </c>
      <c r="AX172" s="5" t="n">
        <v>0.129</v>
      </c>
      <c r="AY172" s="5" t="n">
        <v>0.424</v>
      </c>
      <c r="AZ172" s="5" t="n">
        <v>1.24</v>
      </c>
      <c r="BA172" s="5" t="n">
        <v>0.19</v>
      </c>
      <c r="BB172" s="5" t="n">
        <v>1</v>
      </c>
      <c r="BC172" s="5" t="n">
        <v>0.554</v>
      </c>
      <c r="BD172" s="5" t="n">
        <v>0.129</v>
      </c>
      <c r="BE172" s="5" t="n">
        <v>0.327</v>
      </c>
      <c r="BF172" s="5" t="n">
        <v>1.049</v>
      </c>
      <c r="BG172" s="5" t="n">
        <v>0.19</v>
      </c>
      <c r="BH172" s="5" t="n">
        <v>1</v>
      </c>
      <c r="BI172" s="5" t="n">
        <v>0.5570000000000001</v>
      </c>
      <c r="BJ172" s="5" t="n">
        <v>0.129</v>
      </c>
      <c r="BK172" s="5" t="n">
        <v>0.507</v>
      </c>
      <c r="BL172" s="5" t="n">
        <v>1.266</v>
      </c>
      <c r="BM172" s="5" t="n">
        <v>0.19</v>
      </c>
      <c r="BN172" s="5" t="n">
        <v>1</v>
      </c>
      <c r="BO172" s="5" t="n">
        <v>0</v>
      </c>
      <c r="BP172" s="5" t="n">
        <v>0.002</v>
      </c>
      <c r="BQ172" s="5" t="n">
        <v>0.151</v>
      </c>
      <c r="BR172" s="5" t="n">
        <v>0</v>
      </c>
      <c r="BS172" s="5" t="n">
        <v>0.833</v>
      </c>
      <c r="BT172" s="5" t="n">
        <v>0</v>
      </c>
      <c r="BU172" s="5" t="n">
        <v>0</v>
      </c>
      <c r="BV172" s="5" t="n">
        <v>0.166</v>
      </c>
      <c r="BW172" s="5" t="n">
        <v>0</v>
      </c>
      <c r="BX172" s="5" t="n">
        <v>1</v>
      </c>
      <c r="BY172" s="5" t="n">
        <v>13.254</v>
      </c>
      <c r="BZ172" s="5" t="n">
        <v>0</v>
      </c>
      <c r="CA172" s="5" t="n">
        <v>13.254</v>
      </c>
      <c r="CB172" s="5" t="n">
        <v>0</v>
      </c>
      <c r="CC172" s="5" t="n">
        <v>83.248</v>
      </c>
      <c r="CD172" s="5" t="n">
        <v>7.95</v>
      </c>
      <c r="CE172" s="5" t="n">
        <v>25.05</v>
      </c>
      <c r="CF172" s="5" t="n">
        <v>128.874</v>
      </c>
      <c r="CG172" s="5" t="n">
        <v>0.19</v>
      </c>
      <c r="CH172" s="5" t="n">
        <v>1</v>
      </c>
      <c r="CI172" s="5" t="n">
        <v>0</v>
      </c>
      <c r="CJ172" s="5" t="n">
        <v>0</v>
      </c>
      <c r="CK172" s="5" t="n">
        <v>0</v>
      </c>
      <c r="CL172" s="5" t="n">
        <v>0</v>
      </c>
      <c r="CM172" s="5" t="n">
        <v>0</v>
      </c>
      <c r="CN172" s="5" t="n">
        <v>0</v>
      </c>
      <c r="CO172" s="5" t="n">
        <v>0</v>
      </c>
      <c r="CP172" s="5" t="n">
        <v>0</v>
      </c>
      <c r="CQ172" s="5" t="n">
        <v>1.348</v>
      </c>
      <c r="CR172" s="5" t="n">
        <v>0</v>
      </c>
      <c r="CS172" s="5" t="n">
        <v>8.153</v>
      </c>
      <c r="CT172" s="5" t="n">
        <v>4.861</v>
      </c>
      <c r="CU172" s="5" t="n">
        <v>11.733</v>
      </c>
    </row>
    <row r="173">
      <c r="A173" s="5" t="inlineStr">
        <is>
          <t>CHL2024</t>
        </is>
      </c>
      <c r="B173" s="5" t="inlineStr">
        <is>
          <t>CHL</t>
        </is>
      </c>
      <c r="C173" s="5" t="inlineStr">
        <is>
          <t>CHL</t>
        </is>
      </c>
      <c r="D173" s="5" t="inlineStr">
        <is>
          <t>Chile</t>
        </is>
      </c>
      <c r="E173" s="5" t="n">
        <v>2024</v>
      </c>
      <c r="F173" s="5" t="n">
        <v>0.19</v>
      </c>
      <c r="G173" s="5" t="n">
        <v>3.853</v>
      </c>
      <c r="H173" s="5" t="n">
        <v>0.976</v>
      </c>
      <c r="I173" s="5" t="n">
        <v>0.6929999999999999</v>
      </c>
      <c r="J173" s="5" t="n">
        <v>4.546</v>
      </c>
      <c r="K173" s="5" t="n">
        <v>0</v>
      </c>
      <c r="L173" s="5" t="n">
        <v>1</v>
      </c>
      <c r="M173" s="5" t="n">
        <v>8.794</v>
      </c>
      <c r="N173" s="5" t="n">
        <v>4.79</v>
      </c>
      <c r="O173" s="5" t="n">
        <v>0.642</v>
      </c>
      <c r="P173" s="5" t="n">
        <v>9.436</v>
      </c>
      <c r="Q173" s="5" t="n">
        <v>0</v>
      </c>
      <c r="R173" s="5" t="n">
        <v>1</v>
      </c>
      <c r="S173" s="5" t="n">
        <v>12.11</v>
      </c>
      <c r="T173" s="5" t="n">
        <v>7.894</v>
      </c>
      <c r="U173" s="5" t="n">
        <v>1.091</v>
      </c>
      <c r="V173" s="5" t="n">
        <v>15.314</v>
      </c>
      <c r="W173" s="5" t="n">
        <v>0.19</v>
      </c>
      <c r="X173" s="5" t="n">
        <v>1</v>
      </c>
      <c r="Y173" s="5" t="n">
        <v>13.977</v>
      </c>
      <c r="Z173" s="5" t="n">
        <v>1.765</v>
      </c>
      <c r="AA173" s="5" t="n">
        <v>0.761</v>
      </c>
      <c r="AB173" s="5" t="n">
        <v>14.738</v>
      </c>
      <c r="AC173" s="5" t="n">
        <v>0</v>
      </c>
      <c r="AD173" s="5" t="n">
        <v>1</v>
      </c>
      <c r="AE173" s="5" t="n">
        <v>13.977</v>
      </c>
      <c r="AF173" s="5" t="n">
        <v>3.062</v>
      </c>
      <c r="AG173" s="5" t="n">
        <v>0.761</v>
      </c>
      <c r="AH173" s="5" t="n">
        <v>14.738</v>
      </c>
      <c r="AI173" s="5" t="n">
        <v>0</v>
      </c>
      <c r="AJ173" s="5" t="n">
        <v>1</v>
      </c>
      <c r="AK173" s="5" t="n">
        <v>32.734</v>
      </c>
      <c r="AL173" s="5" t="n">
        <v>16.649</v>
      </c>
      <c r="AM173" s="5" t="n">
        <v>-2.223</v>
      </c>
      <c r="AN173" s="5" t="n">
        <v>36.308</v>
      </c>
      <c r="AO173" s="5" t="n">
        <v>0.19</v>
      </c>
      <c r="AP173" s="5" t="n">
        <v>1</v>
      </c>
      <c r="AQ173" s="5" t="n">
        <v>0.756</v>
      </c>
      <c r="AR173" s="5" t="n">
        <v>0.132</v>
      </c>
      <c r="AS173" s="5" t="n">
        <v>0.383</v>
      </c>
      <c r="AT173" s="5" t="n">
        <v>1.355</v>
      </c>
      <c r="AU173" s="5" t="n">
        <v>0.19</v>
      </c>
      <c r="AV173" s="5" t="n">
        <v>1</v>
      </c>
      <c r="AW173" s="5" t="n">
        <v>0.655</v>
      </c>
      <c r="AX173" s="5" t="n">
        <v>0.132</v>
      </c>
      <c r="AY173" s="5" t="n">
        <v>0.232</v>
      </c>
      <c r="AZ173" s="5" t="n">
        <v>1.055</v>
      </c>
      <c r="BA173" s="5" t="n">
        <v>0.19</v>
      </c>
      <c r="BB173" s="5" t="n">
        <v>1</v>
      </c>
      <c r="BC173" s="5" t="n">
        <v>0.534</v>
      </c>
      <c r="BD173" s="5" t="n">
        <v>0.132</v>
      </c>
      <c r="BE173" s="5" t="n">
        <v>0.319</v>
      </c>
      <c r="BF173" s="5" t="n">
        <v>1.015</v>
      </c>
      <c r="BG173" s="5" t="n">
        <v>0.19</v>
      </c>
      <c r="BH173" s="5" t="n">
        <v>1</v>
      </c>
      <c r="BI173" s="5" t="n">
        <v>0.5679999999999999</v>
      </c>
      <c r="BJ173" s="5" t="n">
        <v>0.132</v>
      </c>
      <c r="BK173" s="5" t="n">
        <v>0.411</v>
      </c>
      <c r="BL173" s="5" t="n">
        <v>1.165</v>
      </c>
      <c r="BM173" s="5" t="n">
        <v>0.19</v>
      </c>
      <c r="BN173" s="5" t="n">
        <v>1</v>
      </c>
      <c r="BO173" s="5" t="n">
        <v>0</v>
      </c>
      <c r="BP173" s="5" t="n">
        <v>0.003</v>
      </c>
      <c r="BQ173" s="5" t="n">
        <v>0.164</v>
      </c>
      <c r="BR173" s="5" t="n">
        <v>0</v>
      </c>
      <c r="BS173" s="5" t="n">
        <v>0.833</v>
      </c>
      <c r="BT173" s="5" t="n">
        <v>0</v>
      </c>
      <c r="BU173" s="5" t="n">
        <v>0</v>
      </c>
      <c r="BV173" s="5" t="n">
        <v>0.182</v>
      </c>
      <c r="BW173" s="5" t="n">
        <v>0</v>
      </c>
      <c r="BX173" s="5" t="n">
        <v>1</v>
      </c>
      <c r="BY173" s="5" t="n">
        <v>13.646</v>
      </c>
      <c r="BZ173" s="5" t="n">
        <v>0</v>
      </c>
      <c r="CA173" s="5" t="n">
        <v>13.646</v>
      </c>
      <c r="CB173" s="5" t="n">
        <v>0</v>
      </c>
      <c r="CC173" s="5" t="n">
        <v>82.58799999999999</v>
      </c>
      <c r="CD173" s="5" t="n">
        <v>7.95</v>
      </c>
      <c r="CE173" s="5" t="n">
        <v>13.913</v>
      </c>
      <c r="CF173" s="5" t="n">
        <v>114.836</v>
      </c>
      <c r="CG173" s="5" t="n">
        <v>0.19</v>
      </c>
      <c r="CH173" s="5" t="n">
        <v>1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1.387</v>
      </c>
      <c r="CR173" s="5" t="n">
        <v>0</v>
      </c>
      <c r="CS173" s="5" t="n">
        <v>8.393000000000001</v>
      </c>
      <c r="CT173" s="5" t="n">
        <v>4.251</v>
      </c>
      <c r="CU173" s="5" t="n">
        <v>10.46</v>
      </c>
    </row>
    <row r="174">
      <c r="A174" s="5" t="inlineStr">
        <is>
          <t>CHN2021</t>
        </is>
      </c>
      <c r="B174" s="5" t="inlineStr">
        <is>
          <t>CHN</t>
        </is>
      </c>
      <c r="C174" s="5" t="inlineStr">
        <is>
          <t>CHN</t>
        </is>
      </c>
      <c r="D174" s="5" t="inlineStr">
        <is>
          <t>China</t>
        </is>
      </c>
      <c r="E174" s="5" t="n">
        <v>2021</v>
      </c>
      <c r="F174" s="5" t="n">
        <v>0.13</v>
      </c>
      <c r="G174" s="5" t="n">
        <v>3.796</v>
      </c>
      <c r="H174" s="5" t="n">
        <v>0.83</v>
      </c>
      <c r="I174" s="5" t="n">
        <v>0.016</v>
      </c>
      <c r="J174" s="5" t="n">
        <v>3.812</v>
      </c>
      <c r="K174" s="5" t="n">
        <v>0</v>
      </c>
      <c r="L174" s="5" t="n">
        <v>1</v>
      </c>
      <c r="M174" s="5" t="n">
        <v>8.916</v>
      </c>
      <c r="N174" s="5" t="n">
        <v>4.041</v>
      </c>
      <c r="O174" s="5" t="n">
        <v>0.025</v>
      </c>
      <c r="P174" s="5" t="n">
        <v>8.941000000000001</v>
      </c>
      <c r="Q174" s="5" t="n">
        <v>0</v>
      </c>
      <c r="R174" s="5" t="n">
        <v>1</v>
      </c>
      <c r="S174" s="5" t="n">
        <v>1.672</v>
      </c>
      <c r="T174" s="5" t="n">
        <v>1.036</v>
      </c>
      <c r="U174" s="5" t="n">
        <v>0.033</v>
      </c>
      <c r="V174" s="5" t="n">
        <v>1.927</v>
      </c>
      <c r="W174" s="5" t="n">
        <v>0.13</v>
      </c>
      <c r="X174" s="5" t="n">
        <v>1</v>
      </c>
      <c r="Y174" s="5" t="n">
        <v>14.313</v>
      </c>
      <c r="Z174" s="5" t="n">
        <v>1.581</v>
      </c>
      <c r="AA174" s="5" t="n">
        <v>-2.102</v>
      </c>
      <c r="AB174" s="5" t="n">
        <v>12.211</v>
      </c>
      <c r="AC174" s="5" t="n">
        <v>0</v>
      </c>
      <c r="AD174" s="5" t="n">
        <v>1</v>
      </c>
      <c r="AE174" s="5" t="n">
        <v>14.294</v>
      </c>
      <c r="AF174" s="5" t="n">
        <v>2.813</v>
      </c>
      <c r="AG174" s="5" t="n">
        <v>-2.083</v>
      </c>
      <c r="AH174" s="5" t="n">
        <v>12.211</v>
      </c>
      <c r="AI174" s="5" t="n">
        <v>0</v>
      </c>
      <c r="AJ174" s="5" t="n">
        <v>1</v>
      </c>
      <c r="AK174" s="5" t="n">
        <v>17.372</v>
      </c>
      <c r="AL174" s="5" t="n">
        <v>8.526</v>
      </c>
      <c r="AM174" s="5" t="n">
        <v>-7.341</v>
      </c>
      <c r="AN174" s="5" t="n">
        <v>10.934</v>
      </c>
      <c r="AO174" s="5" t="n">
        <v>0</v>
      </c>
      <c r="AP174" s="5" t="n">
        <v>0</v>
      </c>
      <c r="AQ174" s="5" t="n">
        <v>0.669</v>
      </c>
      <c r="AR174" s="5" t="n">
        <v>0.122</v>
      </c>
      <c r="AS174" s="5" t="n">
        <v>0.271</v>
      </c>
      <c r="AT174" s="5" t="n">
        <v>1.062</v>
      </c>
      <c r="AU174" s="5" t="n">
        <v>0.13</v>
      </c>
      <c r="AV174" s="5" t="n">
        <v>1</v>
      </c>
      <c r="AW174" s="5" t="n">
        <v>0.673</v>
      </c>
      <c r="AX174" s="5" t="n">
        <v>0.13</v>
      </c>
      <c r="AY174" s="5" t="n">
        <v>0.215</v>
      </c>
      <c r="AZ174" s="5" t="n">
        <v>1.003</v>
      </c>
      <c r="BA174" s="5" t="n">
        <v>0.13</v>
      </c>
      <c r="BB174" s="5" t="n">
        <v>1</v>
      </c>
      <c r="BC174" s="5" t="n">
        <v>0.554</v>
      </c>
      <c r="BD174" s="5" t="n">
        <v>0.143</v>
      </c>
      <c r="BE174" s="5" t="n">
        <v>0.016</v>
      </c>
      <c r="BF174" s="5" t="n">
        <v>0.621</v>
      </c>
      <c r="BG174" s="5" t="n">
        <v>0.09</v>
      </c>
      <c r="BH174" s="5" t="n">
        <v>1</v>
      </c>
      <c r="BI174" s="5" t="n">
        <v>0.5600000000000001</v>
      </c>
      <c r="BJ174" s="5" t="n">
        <v>0.114</v>
      </c>
      <c r="BK174" s="5" t="n">
        <v>0.215</v>
      </c>
      <c r="BL174" s="5" t="n">
        <v>0.876</v>
      </c>
      <c r="BM174" s="5" t="n">
        <v>0.13</v>
      </c>
      <c r="BN174" s="5" t="n">
        <v>1</v>
      </c>
      <c r="BO174" s="5" t="n">
        <v>0</v>
      </c>
      <c r="BP174" s="5" t="n">
        <v>-0.003</v>
      </c>
      <c r="BQ174" s="5" t="n">
        <v>0.095</v>
      </c>
      <c r="BR174" s="5" t="n">
        <v>0</v>
      </c>
      <c r="BS174" s="5" t="n">
        <v>0.833</v>
      </c>
      <c r="BT174" s="5" t="n">
        <v>0</v>
      </c>
      <c r="BU174" s="5" t="n">
        <v>-0.003</v>
      </c>
      <c r="BV174" s="5" t="n">
        <v>0.081</v>
      </c>
      <c r="BW174" s="5" t="n">
        <v>0.13</v>
      </c>
      <c r="BX174" s="5" t="n">
        <v>0</v>
      </c>
      <c r="BY174" s="5" t="n">
        <v>11.787</v>
      </c>
      <c r="BZ174" s="5" t="n">
        <v>0</v>
      </c>
      <c r="CA174" s="5" t="n">
        <v>11.787</v>
      </c>
      <c r="CB174" s="5" t="n">
        <v>0</v>
      </c>
      <c r="CC174" s="5" t="n">
        <v>81.69499999999999</v>
      </c>
      <c r="CD174" s="5" t="n">
        <v>7.95</v>
      </c>
      <c r="CE174" s="5" t="n">
        <v>34.413</v>
      </c>
      <c r="CF174" s="5" t="n">
        <v>131.203</v>
      </c>
      <c r="CG174" s="5" t="n">
        <v>0.13</v>
      </c>
      <c r="CH174" s="5" t="n">
        <v>1</v>
      </c>
      <c r="CI174" s="5" t="n">
        <v>0</v>
      </c>
      <c r="CJ174" s="5" t="n">
        <v>0</v>
      </c>
      <c r="CK174" s="5" t="n">
        <v>0</v>
      </c>
      <c r="CL174" s="5" t="n">
        <v>0.783</v>
      </c>
      <c r="CM174" s="5" t="n">
        <v>0</v>
      </c>
      <c r="CN174" s="5" t="n">
        <v>1.445</v>
      </c>
      <c r="CO174" s="5" t="n">
        <v>1.047</v>
      </c>
      <c r="CP174" s="5" t="n">
        <v>0</v>
      </c>
      <c r="CQ174" s="5" t="n">
        <v>1.137</v>
      </c>
      <c r="CR174" s="5" t="n">
        <v>0</v>
      </c>
      <c r="CS174" s="5" t="n">
        <v>4.117</v>
      </c>
      <c r="CT174" s="5" t="n">
        <v>4.634</v>
      </c>
      <c r="CU174" s="5" t="n">
        <v>12.488</v>
      </c>
    </row>
    <row r="175">
      <c r="A175" s="5" t="inlineStr">
        <is>
          <t>CHN2022</t>
        </is>
      </c>
      <c r="B175" s="5" t="inlineStr">
        <is>
          <t>CHN</t>
        </is>
      </c>
      <c r="C175" s="5" t="inlineStr">
        <is>
          <t>CHN</t>
        </is>
      </c>
      <c r="D175" s="5" t="inlineStr">
        <is>
          <t>China</t>
        </is>
      </c>
      <c r="E175" s="5" t="n">
        <v>2022</v>
      </c>
      <c r="F175" s="5" t="n">
        <v>0.13</v>
      </c>
      <c r="G175" s="5" t="n">
        <v>4.02</v>
      </c>
      <c r="H175" s="5" t="n">
        <v>0.624</v>
      </c>
      <c r="I175" s="5" t="n">
        <v>0.883</v>
      </c>
      <c r="J175" s="5" t="n">
        <v>4.903</v>
      </c>
      <c r="K175" s="5" t="n">
        <v>0</v>
      </c>
      <c r="L175" s="5" t="n">
        <v>1</v>
      </c>
      <c r="M175" s="5" t="n">
        <v>10.033</v>
      </c>
      <c r="N175" s="5" t="n">
        <v>4.143</v>
      </c>
      <c r="O175" s="5" t="n">
        <v>0.902</v>
      </c>
      <c r="P175" s="5" t="n">
        <v>10.936</v>
      </c>
      <c r="Q175" s="5" t="n">
        <v>0</v>
      </c>
      <c r="R175" s="5" t="n">
        <v>1</v>
      </c>
      <c r="S175" s="5" t="n">
        <v>1.826</v>
      </c>
      <c r="T175" s="5" t="n">
        <v>0.894</v>
      </c>
      <c r="U175" s="5" t="n">
        <v>0.055</v>
      </c>
      <c r="V175" s="5" t="n">
        <v>2.105</v>
      </c>
      <c r="W175" s="5" t="n">
        <v>0.13</v>
      </c>
      <c r="X175" s="5" t="n">
        <v>1</v>
      </c>
      <c r="Y175" s="5" t="n">
        <v>16.416</v>
      </c>
      <c r="Z175" s="5" t="n">
        <v>1.722</v>
      </c>
      <c r="AA175" s="5" t="n">
        <v>-2.84</v>
      </c>
      <c r="AB175" s="5" t="n">
        <v>13.576</v>
      </c>
      <c r="AC175" s="5" t="n">
        <v>0</v>
      </c>
      <c r="AD175" s="5" t="n">
        <v>1</v>
      </c>
      <c r="AE175" s="5" t="n">
        <v>16.439</v>
      </c>
      <c r="AF175" s="5" t="n">
        <v>3.048</v>
      </c>
      <c r="AG175" s="5" t="n">
        <v>-2.863</v>
      </c>
      <c r="AH175" s="5" t="n">
        <v>13.576</v>
      </c>
      <c r="AI175" s="5" t="n">
        <v>0</v>
      </c>
      <c r="AJ175" s="5" t="n">
        <v>1</v>
      </c>
      <c r="AK175" s="5" t="n">
        <v>19.77</v>
      </c>
      <c r="AL175" s="5" t="n">
        <v>9.441000000000001</v>
      </c>
      <c r="AM175" s="5" t="n">
        <v>-10.126</v>
      </c>
      <c r="AN175" s="5" t="n">
        <v>10.513</v>
      </c>
      <c r="AO175" s="5" t="n">
        <v>0</v>
      </c>
      <c r="AP175" s="5" t="n">
        <v>0</v>
      </c>
      <c r="AQ175" s="5" t="n">
        <v>0.8120000000000001</v>
      </c>
      <c r="AR175" s="5" t="n">
        <v>0.116</v>
      </c>
      <c r="AS175" s="5" t="n">
        <v>0.276</v>
      </c>
      <c r="AT175" s="5" t="n">
        <v>1.229</v>
      </c>
      <c r="AU175" s="5" t="n">
        <v>0.13</v>
      </c>
      <c r="AV175" s="5" t="n">
        <v>1</v>
      </c>
      <c r="AW175" s="5" t="n">
        <v>0.8149999999999999</v>
      </c>
      <c r="AX175" s="5" t="n">
        <v>0.106</v>
      </c>
      <c r="AY175" s="5" t="n">
        <v>0.228</v>
      </c>
      <c r="AZ175" s="5" t="n">
        <v>1.178</v>
      </c>
      <c r="BA175" s="5" t="n">
        <v>0.13</v>
      </c>
      <c r="BB175" s="5" t="n">
        <v>1</v>
      </c>
      <c r="BC175" s="5" t="n">
        <v>0.582</v>
      </c>
      <c r="BD175" s="5" t="n">
        <v>0.12</v>
      </c>
      <c r="BE175" s="5" t="n">
        <v>0.023</v>
      </c>
      <c r="BF175" s="5" t="n">
        <v>0.66</v>
      </c>
      <c r="BG175" s="5" t="n">
        <v>0.09</v>
      </c>
      <c r="BH175" s="5" t="n">
        <v>1</v>
      </c>
      <c r="BI175" s="5" t="n">
        <v>0.6889999999999999</v>
      </c>
      <c r="BJ175" s="5" t="n">
        <v>0.123</v>
      </c>
      <c r="BK175" s="5" t="n">
        <v>0.224</v>
      </c>
      <c r="BL175" s="5" t="n">
        <v>1.022</v>
      </c>
      <c r="BM175" s="5" t="n">
        <v>0.13</v>
      </c>
      <c r="BN175" s="5" t="n">
        <v>1</v>
      </c>
      <c r="BO175" s="5" t="n">
        <v>0</v>
      </c>
      <c r="BP175" s="5" t="n">
        <v>-0.007</v>
      </c>
      <c r="BQ175" s="5" t="n">
        <v>0.092</v>
      </c>
      <c r="BR175" s="5" t="n">
        <v>0</v>
      </c>
      <c r="BS175" s="5" t="n">
        <v>0.833</v>
      </c>
      <c r="BT175" s="5" t="n">
        <v>0</v>
      </c>
      <c r="BU175" s="5" t="n">
        <v>-0.007</v>
      </c>
      <c r="BV175" s="5" t="n">
        <v>0.077</v>
      </c>
      <c r="BW175" s="5" t="n">
        <v>0.13</v>
      </c>
      <c r="BX175" s="5" t="n">
        <v>0</v>
      </c>
      <c r="BY175" s="5" t="n">
        <v>12.729</v>
      </c>
      <c r="BZ175" s="5" t="n">
        <v>0</v>
      </c>
      <c r="CA175" s="5" t="n">
        <v>12.729</v>
      </c>
      <c r="CB175" s="5" t="n">
        <v>0</v>
      </c>
      <c r="CC175" s="5" t="n">
        <v>102.477</v>
      </c>
      <c r="CD175" s="5" t="n">
        <v>7.95</v>
      </c>
      <c r="CE175" s="5" t="n">
        <v>40.185</v>
      </c>
      <c r="CF175" s="5" t="n">
        <v>159.672</v>
      </c>
      <c r="CG175" s="5" t="n">
        <v>0.13</v>
      </c>
      <c r="CH175" s="5" t="n">
        <v>1</v>
      </c>
      <c r="CI175" s="5" t="n">
        <v>0</v>
      </c>
      <c r="CJ175" s="5" t="n">
        <v>0</v>
      </c>
      <c r="CK175" s="5" t="n">
        <v>0</v>
      </c>
      <c r="CL175" s="5" t="n">
        <v>0.846</v>
      </c>
      <c r="CM175" s="5" t="n">
        <v>0</v>
      </c>
      <c r="CN175" s="5" t="n">
        <v>1.659</v>
      </c>
      <c r="CO175" s="5" t="n">
        <v>1.163</v>
      </c>
      <c r="CP175" s="5" t="n">
        <v>0</v>
      </c>
      <c r="CQ175" s="5" t="n">
        <v>1.227</v>
      </c>
      <c r="CR175" s="5" t="n">
        <v>0</v>
      </c>
      <c r="CS175" s="5" t="n">
        <v>4.446</v>
      </c>
      <c r="CT175" s="5" t="n">
        <v>6.365</v>
      </c>
      <c r="CU175" s="5" t="n">
        <v>20.007</v>
      </c>
    </row>
    <row r="176">
      <c r="A176" s="5" t="inlineStr">
        <is>
          <t>CHN2023</t>
        </is>
      </c>
      <c r="B176" s="5" t="inlineStr">
        <is>
          <t>CHN</t>
        </is>
      </c>
      <c r="C176" s="5" t="inlineStr">
        <is>
          <t>CHN</t>
        </is>
      </c>
      <c r="D176" s="5" t="inlineStr">
        <is>
          <t>China</t>
        </is>
      </c>
      <c r="E176" s="5" t="n">
        <v>2023</v>
      </c>
      <c r="F176" s="5" t="n">
        <v>0.13</v>
      </c>
      <c r="G176" s="5" t="n">
        <v>4.106</v>
      </c>
      <c r="H176" s="5" t="n">
        <v>0.9350000000000001</v>
      </c>
      <c r="I176" s="5" t="n">
        <v>0.8110000000000001</v>
      </c>
      <c r="J176" s="5" t="n">
        <v>4.918</v>
      </c>
      <c r="K176" s="5" t="n">
        <v>0</v>
      </c>
      <c r="L176" s="5" t="n">
        <v>1</v>
      </c>
      <c r="M176" s="5" t="n">
        <v>8.242000000000001</v>
      </c>
      <c r="N176" s="5" t="n">
        <v>4.088</v>
      </c>
      <c r="O176" s="5" t="n">
        <v>0.835</v>
      </c>
      <c r="P176" s="5" t="n">
        <v>9.077</v>
      </c>
      <c r="Q176" s="5" t="n">
        <v>0</v>
      </c>
      <c r="R176" s="5" t="n">
        <v>1</v>
      </c>
      <c r="S176" s="5" t="n">
        <v>1.923</v>
      </c>
      <c r="T176" s="5" t="n">
        <v>1.206</v>
      </c>
      <c r="U176" s="5" t="n">
        <v>0.064</v>
      </c>
      <c r="V176" s="5" t="n">
        <v>2.214</v>
      </c>
      <c r="W176" s="5" t="n">
        <v>0.13</v>
      </c>
      <c r="X176" s="5" t="n">
        <v>1</v>
      </c>
      <c r="Y176" s="5" t="n">
        <v>13.96</v>
      </c>
      <c r="Z176" s="5" t="n">
        <v>1.564</v>
      </c>
      <c r="AA176" s="5" t="n">
        <v>-0.308</v>
      </c>
      <c r="AB176" s="5" t="n">
        <v>13.653</v>
      </c>
      <c r="AC176" s="5" t="n">
        <v>0</v>
      </c>
      <c r="AD176" s="5" t="n">
        <v>1</v>
      </c>
      <c r="AE176" s="5" t="n">
        <v>14.026</v>
      </c>
      <c r="AF176" s="5" t="n">
        <v>2.793</v>
      </c>
      <c r="AG176" s="5" t="n">
        <v>-0.373</v>
      </c>
      <c r="AH176" s="5" t="n">
        <v>13.653</v>
      </c>
      <c r="AI176" s="5" t="n">
        <v>0</v>
      </c>
      <c r="AJ176" s="5" t="n">
        <v>1</v>
      </c>
      <c r="AK176" s="5" t="n">
        <v>17.608</v>
      </c>
      <c r="AL176" s="5" t="n">
        <v>8.723000000000001</v>
      </c>
      <c r="AM176" s="5" t="n">
        <v>-8.265000000000001</v>
      </c>
      <c r="AN176" s="5" t="n">
        <v>10.184</v>
      </c>
      <c r="AO176" s="5" t="n">
        <v>0</v>
      </c>
      <c r="AP176" s="5" t="n">
        <v>0</v>
      </c>
      <c r="AQ176" s="5" t="n">
        <v>0.727</v>
      </c>
      <c r="AR176" s="5" t="n">
        <v>0.123</v>
      </c>
      <c r="AS176" s="5" t="n">
        <v>0.258</v>
      </c>
      <c r="AT176" s="5" t="n">
        <v>1.113</v>
      </c>
      <c r="AU176" s="5" t="n">
        <v>0.13</v>
      </c>
      <c r="AV176" s="5" t="n">
        <v>1</v>
      </c>
      <c r="AW176" s="5" t="n">
        <v>0.729</v>
      </c>
      <c r="AX176" s="5" t="n">
        <v>0.125</v>
      </c>
      <c r="AY176" s="5" t="n">
        <v>0.209</v>
      </c>
      <c r="AZ176" s="5" t="n">
        <v>1.059</v>
      </c>
      <c r="BA176" s="5" t="n">
        <v>0.13</v>
      </c>
      <c r="BB176" s="5" t="n">
        <v>1</v>
      </c>
      <c r="BC176" s="5" t="n">
        <v>0.5580000000000001</v>
      </c>
      <c r="BD176" s="5" t="n">
        <v>0.134</v>
      </c>
      <c r="BE176" s="5" t="n">
        <v>0.02</v>
      </c>
      <c r="BF176" s="5" t="n">
        <v>0.63</v>
      </c>
      <c r="BG176" s="5" t="n">
        <v>0.09</v>
      </c>
      <c r="BH176" s="5" t="n">
        <v>1</v>
      </c>
      <c r="BI176" s="5" t="n">
        <v>0.64</v>
      </c>
      <c r="BJ176" s="5" t="n">
        <v>0.129</v>
      </c>
      <c r="BK176" s="5" t="n">
        <v>0.215</v>
      </c>
      <c r="BL176" s="5" t="n">
        <v>0.952</v>
      </c>
      <c r="BM176" s="5" t="n">
        <v>0.13</v>
      </c>
      <c r="BN176" s="5" t="n">
        <v>1</v>
      </c>
      <c r="BO176" s="5" t="n">
        <v>0</v>
      </c>
      <c r="BP176" s="5" t="n">
        <v>-0.003</v>
      </c>
      <c r="BQ176" s="5" t="n">
        <v>0.089</v>
      </c>
      <c r="BR176" s="5" t="n">
        <v>0</v>
      </c>
      <c r="BS176" s="5" t="n">
        <v>0.833</v>
      </c>
      <c r="BT176" s="5" t="n">
        <v>0</v>
      </c>
      <c r="BU176" s="5" t="n">
        <v>-0.003</v>
      </c>
      <c r="BV176" s="5" t="n">
        <v>0.073</v>
      </c>
      <c r="BW176" s="5" t="n">
        <v>0.13</v>
      </c>
      <c r="BX176" s="5" t="n">
        <v>0</v>
      </c>
      <c r="BY176" s="5" t="n">
        <v>13.254</v>
      </c>
      <c r="BZ176" s="5" t="n">
        <v>0</v>
      </c>
      <c r="CA176" s="5" t="n">
        <v>13.254</v>
      </c>
      <c r="CB176" s="5" t="n">
        <v>0</v>
      </c>
      <c r="CC176" s="5" t="n">
        <v>87.07899999999999</v>
      </c>
      <c r="CD176" s="5" t="n">
        <v>7.95</v>
      </c>
      <c r="CE176" s="5" t="n">
        <v>37.871</v>
      </c>
      <c r="CF176" s="5" t="n">
        <v>139.19</v>
      </c>
      <c r="CG176" s="5" t="n">
        <v>0.13</v>
      </c>
      <c r="CH176" s="5" t="n">
        <v>1</v>
      </c>
      <c r="CI176" s="5" t="n">
        <v>0</v>
      </c>
      <c r="CJ176" s="5" t="n">
        <v>0</v>
      </c>
      <c r="CK176" s="5" t="n">
        <v>0</v>
      </c>
      <c r="CL176" s="5" t="n">
        <v>0.881</v>
      </c>
      <c r="CM176" s="5" t="n">
        <v>0</v>
      </c>
      <c r="CN176" s="5" t="n">
        <v>1.803</v>
      </c>
      <c r="CO176" s="5" t="n">
        <v>1.254</v>
      </c>
      <c r="CP176" s="5" t="n">
        <v>0</v>
      </c>
      <c r="CQ176" s="5" t="n">
        <v>1.278</v>
      </c>
      <c r="CR176" s="5" t="n">
        <v>0</v>
      </c>
      <c r="CS176" s="5" t="n">
        <v>4.629</v>
      </c>
      <c r="CT176" s="5" t="n">
        <v>4.66</v>
      </c>
      <c r="CU176" s="5" t="n">
        <v>11.873</v>
      </c>
    </row>
    <row r="177">
      <c r="A177" s="5" t="inlineStr">
        <is>
          <t>CHN2024</t>
        </is>
      </c>
      <c r="B177" s="5" t="inlineStr">
        <is>
          <t>CHN</t>
        </is>
      </c>
      <c r="C177" s="5" t="inlineStr">
        <is>
          <t>CHN</t>
        </is>
      </c>
      <c r="D177" s="5" t="inlineStr">
        <is>
          <t>China</t>
        </is>
      </c>
      <c r="E177" s="5" t="n">
        <v>2024</v>
      </c>
      <c r="F177" s="5" t="n">
        <v>0.13</v>
      </c>
      <c r="G177" s="5" t="n">
        <v>4.109</v>
      </c>
      <c r="H177" s="5" t="n">
        <v>1.041</v>
      </c>
      <c r="I177" s="5" t="n">
        <v>1.28</v>
      </c>
      <c r="J177" s="5" t="n">
        <v>5.389</v>
      </c>
      <c r="K177" s="5" t="n">
        <v>0</v>
      </c>
      <c r="L177" s="5" t="n">
        <v>1</v>
      </c>
      <c r="M177" s="5" t="n">
        <v>7.656</v>
      </c>
      <c r="N177" s="5" t="n">
        <v>4.171</v>
      </c>
      <c r="O177" s="5" t="n">
        <v>1.304</v>
      </c>
      <c r="P177" s="5" t="n">
        <v>8.960000000000001</v>
      </c>
      <c r="Q177" s="5" t="n">
        <v>0</v>
      </c>
      <c r="R177" s="5" t="n">
        <v>1</v>
      </c>
      <c r="S177" s="5" t="n">
        <v>1.961</v>
      </c>
      <c r="T177" s="5" t="n">
        <v>1.298</v>
      </c>
      <c r="U177" s="5" t="n">
        <v>0.07000000000000001</v>
      </c>
      <c r="V177" s="5" t="n">
        <v>2.255</v>
      </c>
      <c r="W177" s="5" t="n">
        <v>0.13</v>
      </c>
      <c r="X177" s="5" t="n">
        <v>1</v>
      </c>
      <c r="Y177" s="5" t="n">
        <v>13.283</v>
      </c>
      <c r="Z177" s="5" t="n">
        <v>1.677</v>
      </c>
      <c r="AA177" s="5" t="n">
        <v>0.662</v>
      </c>
      <c r="AB177" s="5" t="n">
        <v>13.944</v>
      </c>
      <c r="AC177" s="5" t="n">
        <v>0</v>
      </c>
      <c r="AD177" s="5" t="n">
        <v>1</v>
      </c>
      <c r="AE177" s="5" t="n">
        <v>13.283</v>
      </c>
      <c r="AF177" s="5" t="n">
        <v>2.91</v>
      </c>
      <c r="AG177" s="5" t="n">
        <v>0.662</v>
      </c>
      <c r="AH177" s="5" t="n">
        <v>13.944</v>
      </c>
      <c r="AI177" s="5" t="n">
        <v>0</v>
      </c>
      <c r="AJ177" s="5" t="n">
        <v>1</v>
      </c>
      <c r="AK177" s="5" t="n">
        <v>16.157</v>
      </c>
      <c r="AL177" s="5" t="n">
        <v>8.218</v>
      </c>
      <c r="AM177" s="5" t="n">
        <v>-6.759</v>
      </c>
      <c r="AN177" s="5" t="n">
        <v>10.244</v>
      </c>
      <c r="AO177" s="5" t="n">
        <v>0</v>
      </c>
      <c r="AP177" s="5" t="n">
        <v>0</v>
      </c>
      <c r="AQ177" s="5" t="n">
        <v>0.705</v>
      </c>
      <c r="AR177" s="5" t="n">
        <v>0.128</v>
      </c>
      <c r="AS177" s="5" t="n">
        <v>0.252</v>
      </c>
      <c r="AT177" s="5" t="n">
        <v>1.081</v>
      </c>
      <c r="AU177" s="5" t="n">
        <v>0.13</v>
      </c>
      <c r="AV177" s="5" t="n">
        <v>1</v>
      </c>
      <c r="AW177" s="5" t="n">
        <v>0.711</v>
      </c>
      <c r="AX177" s="5" t="n">
        <v>0.13</v>
      </c>
      <c r="AY177" s="5" t="n">
        <v>0.203</v>
      </c>
      <c r="AZ177" s="5" t="n">
        <v>1.032</v>
      </c>
      <c r="BA177" s="5" t="n">
        <v>0.13</v>
      </c>
      <c r="BB177" s="5" t="n">
        <v>1</v>
      </c>
      <c r="BC177" s="5" t="n">
        <v>0.5570000000000001</v>
      </c>
      <c r="BD177" s="5" t="n">
        <v>0.143</v>
      </c>
      <c r="BE177" s="5" t="n">
        <v>0.019</v>
      </c>
      <c r="BF177" s="5" t="n">
        <v>0.627</v>
      </c>
      <c r="BG177" s="5" t="n">
        <v>0.09</v>
      </c>
      <c r="BH177" s="5" t="n">
        <v>1</v>
      </c>
      <c r="BI177" s="5" t="n">
        <v>0.652</v>
      </c>
      <c r="BJ177" s="5" t="n">
        <v>0.132</v>
      </c>
      <c r="BK177" s="5" t="n">
        <v>0.216</v>
      </c>
      <c r="BL177" s="5" t="n">
        <v>0.964</v>
      </c>
      <c r="BM177" s="5" t="n">
        <v>0.13</v>
      </c>
      <c r="BN177" s="5" t="n">
        <v>1</v>
      </c>
      <c r="BO177" s="5" t="n">
        <v>0</v>
      </c>
      <c r="BP177" s="5" t="n">
        <v>-0.003</v>
      </c>
      <c r="BQ177" s="5" t="n">
        <v>0.08799999999999999</v>
      </c>
      <c r="BR177" s="5" t="n">
        <v>0</v>
      </c>
      <c r="BS177" s="5" t="n">
        <v>0.833</v>
      </c>
      <c r="BT177" s="5" t="n">
        <v>0</v>
      </c>
      <c r="BU177" s="5" t="n">
        <v>-0.003</v>
      </c>
      <c r="BV177" s="5" t="n">
        <v>0.07199999999999999</v>
      </c>
      <c r="BW177" s="5" t="n">
        <v>0.13</v>
      </c>
      <c r="BX177" s="5" t="n">
        <v>0</v>
      </c>
      <c r="BY177" s="5" t="n">
        <v>13.646</v>
      </c>
      <c r="BZ177" s="5" t="n">
        <v>0</v>
      </c>
      <c r="CA177" s="5" t="n">
        <v>13.646</v>
      </c>
      <c r="CB177" s="5" t="n">
        <v>0</v>
      </c>
      <c r="CC177" s="5" t="n">
        <v>86.38500000000001</v>
      </c>
      <c r="CD177" s="5" t="n">
        <v>7.95</v>
      </c>
      <c r="CE177" s="5" t="n">
        <v>40.172</v>
      </c>
      <c r="CF177" s="5" t="n">
        <v>140.522</v>
      </c>
      <c r="CG177" s="5" t="n">
        <v>0.13</v>
      </c>
      <c r="CH177" s="5" t="n">
        <v>1</v>
      </c>
      <c r="CI177" s="5" t="n">
        <v>0</v>
      </c>
      <c r="CJ177" s="5" t="n">
        <v>0</v>
      </c>
      <c r="CK177" s="5" t="n">
        <v>0</v>
      </c>
      <c r="CL177" s="5" t="n">
        <v>0.907</v>
      </c>
      <c r="CM177" s="5" t="n">
        <v>0</v>
      </c>
      <c r="CN177" s="5" t="n">
        <v>1.978</v>
      </c>
      <c r="CO177" s="5" t="n">
        <v>1.316</v>
      </c>
      <c r="CP177" s="5" t="n">
        <v>0</v>
      </c>
      <c r="CQ177" s="5" t="n">
        <v>1.316</v>
      </c>
      <c r="CR177" s="5" t="n">
        <v>0</v>
      </c>
      <c r="CS177" s="5" t="n">
        <v>4.766</v>
      </c>
      <c r="CT177" s="5" t="n">
        <v>4.15</v>
      </c>
      <c r="CU177" s="5" t="n">
        <v>10.873</v>
      </c>
    </row>
    <row r="178">
      <c r="A178" s="5" t="inlineStr">
        <is>
          <t>COL2021</t>
        </is>
      </c>
      <c r="B178" s="5" t="inlineStr">
        <is>
          <t>COL</t>
        </is>
      </c>
      <c r="C178" s="5" t="inlineStr">
        <is>
          <t>COL</t>
        </is>
      </c>
      <c r="D178" s="5" t="inlineStr">
        <is>
          <t>Colombia</t>
        </is>
      </c>
      <c r="E178" s="5" t="n">
        <v>2021</v>
      </c>
      <c r="F178" s="5" t="n">
        <v>0.19</v>
      </c>
      <c r="G178" s="5" t="n">
        <v>2.052</v>
      </c>
      <c r="H178" s="5" t="n">
        <v>0.449</v>
      </c>
      <c r="I178" s="5" t="n">
        <v>0</v>
      </c>
      <c r="J178" s="5" t="n">
        <v>2.052</v>
      </c>
      <c r="K178" s="5" t="n">
        <v>0</v>
      </c>
      <c r="L178" s="5" t="n">
        <v>1</v>
      </c>
      <c r="M178" s="5" t="n">
        <v>2.084</v>
      </c>
      <c r="N178" s="5" t="n">
        <v>0.944</v>
      </c>
      <c r="O178" s="5" t="n">
        <v>0</v>
      </c>
      <c r="P178" s="5" t="n">
        <v>2.084</v>
      </c>
      <c r="Q178" s="5" t="n">
        <v>0</v>
      </c>
      <c r="R178" s="5" t="n">
        <v>1</v>
      </c>
      <c r="S178" s="5" t="n">
        <v>4.589</v>
      </c>
      <c r="T178" s="5" t="n">
        <v>3.43</v>
      </c>
      <c r="U178" s="5" t="n">
        <v>0</v>
      </c>
      <c r="V178" s="5" t="n">
        <v>5.461</v>
      </c>
      <c r="W178" s="5" t="n">
        <v>0.19</v>
      </c>
      <c r="X178" s="5" t="n">
        <v>1</v>
      </c>
      <c r="Y178" s="5" t="n">
        <v>12.169</v>
      </c>
      <c r="Z178" s="5" t="n">
        <v>1.344</v>
      </c>
      <c r="AA178" s="5" t="n">
        <v>0.06</v>
      </c>
      <c r="AB178" s="5" t="n">
        <v>12.229</v>
      </c>
      <c r="AC178" s="5" t="n">
        <v>0</v>
      </c>
      <c r="AD178" s="5" t="n">
        <v>1</v>
      </c>
      <c r="AE178" s="5" t="n">
        <v>12.169</v>
      </c>
      <c r="AF178" s="5" t="n">
        <v>2.395</v>
      </c>
      <c r="AG178" s="5" t="n">
        <v>0.06</v>
      </c>
      <c r="AH178" s="5" t="n">
        <v>12.229</v>
      </c>
      <c r="AI178" s="5" t="n">
        <v>0</v>
      </c>
      <c r="AJ178" s="5" t="n">
        <v>1</v>
      </c>
      <c r="AK178" s="5" t="n">
        <v>14.143</v>
      </c>
      <c r="AL178" s="5" t="n">
        <v>6.941</v>
      </c>
      <c r="AM178" s="5" t="n">
        <v>-2.963</v>
      </c>
      <c r="AN178" s="5" t="n">
        <v>13.304</v>
      </c>
      <c r="AO178" s="5" t="n">
        <v>0</v>
      </c>
      <c r="AP178" s="5" t="n">
        <v>1</v>
      </c>
      <c r="AQ178" s="5" t="n">
        <v>0.649</v>
      </c>
      <c r="AR178" s="5" t="n">
        <v>0.114</v>
      </c>
      <c r="AS178" s="5" t="n">
        <v>-0.131</v>
      </c>
      <c r="AT178" s="5" t="n">
        <v>0.616</v>
      </c>
      <c r="AU178" s="5" t="n">
        <v>0.19</v>
      </c>
      <c r="AV178" s="5" t="n">
        <v>1</v>
      </c>
      <c r="AW178" s="5" t="n">
        <v>0.577</v>
      </c>
      <c r="AX178" s="5" t="n">
        <v>0.114</v>
      </c>
      <c r="AY178" s="5" t="n">
        <v>-0.063</v>
      </c>
      <c r="AZ178" s="5" t="n">
        <v>0.611</v>
      </c>
      <c r="BA178" s="5" t="n">
        <v>0.19</v>
      </c>
      <c r="BB178" s="5" t="n">
        <v>1</v>
      </c>
      <c r="BC178" s="5" t="n">
        <v>0.458</v>
      </c>
      <c r="BD178" s="5" t="n">
        <v>0.114</v>
      </c>
      <c r="BE178" s="5" t="n">
        <v>-0.07099999999999999</v>
      </c>
      <c r="BF178" s="5" t="n">
        <v>0.46</v>
      </c>
      <c r="BG178" s="5" t="n">
        <v>0.19</v>
      </c>
      <c r="BH178" s="5" t="n">
        <v>1</v>
      </c>
      <c r="BI178" s="5" t="n">
        <v>0.491</v>
      </c>
      <c r="BJ178" s="5" t="n">
        <v>0.114</v>
      </c>
      <c r="BK178" s="5" t="n">
        <v>0.158</v>
      </c>
      <c r="BL178" s="5" t="n">
        <v>0.773</v>
      </c>
      <c r="BM178" s="5" t="n">
        <v>0.19</v>
      </c>
      <c r="BN178" s="5" t="n">
        <v>1</v>
      </c>
      <c r="BO178" s="5" t="n">
        <v>0</v>
      </c>
      <c r="BP178" s="5" t="n">
        <v>0</v>
      </c>
      <c r="BQ178" s="5" t="n">
        <v>0.121</v>
      </c>
      <c r="BR178" s="5" t="n">
        <v>0</v>
      </c>
      <c r="BS178" s="5" t="n">
        <v>1</v>
      </c>
      <c r="BT178" s="5" t="n">
        <v>0</v>
      </c>
      <c r="BU178" s="5" t="n">
        <v>-0.025</v>
      </c>
      <c r="BV178" s="5" t="n">
        <v>0.165</v>
      </c>
      <c r="BW178" s="5" t="n">
        <v>0.19</v>
      </c>
      <c r="BX178" s="5" t="n">
        <v>1</v>
      </c>
      <c r="BY178" s="5" t="n">
        <v>11.787</v>
      </c>
      <c r="BZ178" s="5" t="n">
        <v>0</v>
      </c>
      <c r="CA178" s="5" t="n">
        <v>11.787</v>
      </c>
      <c r="CB178" s="5" t="n">
        <v>0</v>
      </c>
      <c r="CC178" s="5" t="n">
        <v>78.125</v>
      </c>
      <c r="CD178" s="5" t="n">
        <v>7.95</v>
      </c>
      <c r="CE178" s="5" t="n">
        <v>-22.809</v>
      </c>
      <c r="CF178" s="5" t="n">
        <v>65.82599999999999</v>
      </c>
      <c r="CG178" s="5" t="n">
        <v>0</v>
      </c>
      <c r="CH178" s="5" t="n">
        <v>1</v>
      </c>
      <c r="CI178" s="5" t="n">
        <v>0</v>
      </c>
      <c r="CJ178" s="5" t="n">
        <v>0</v>
      </c>
      <c r="CK178" s="5" t="n">
        <v>0</v>
      </c>
      <c r="CL178" s="5" t="n">
        <v>0.083</v>
      </c>
      <c r="CM178" s="5" t="n">
        <v>0.101</v>
      </c>
      <c r="CN178" s="5" t="n">
        <v>0.179</v>
      </c>
      <c r="CO178" s="5" t="n">
        <v>0</v>
      </c>
      <c r="CP178" s="5" t="n">
        <v>0</v>
      </c>
      <c r="CQ178" s="5" t="n">
        <v>1.159</v>
      </c>
      <c r="CR178" s="5" t="n">
        <v>0</v>
      </c>
      <c r="CS178" s="5" t="n">
        <v>6.734</v>
      </c>
      <c r="CT178" s="5" t="n">
        <v>3.984</v>
      </c>
      <c r="CU178" s="5" t="n">
        <v>14.129</v>
      </c>
    </row>
    <row r="179">
      <c r="A179" s="5" t="inlineStr">
        <is>
          <t>COL2022</t>
        </is>
      </c>
      <c r="B179" s="5" t="inlineStr">
        <is>
          <t>COL</t>
        </is>
      </c>
      <c r="C179" s="5" t="inlineStr">
        <is>
          <t>COL</t>
        </is>
      </c>
      <c r="D179" s="5" t="inlineStr">
        <is>
          <t>Colombia</t>
        </is>
      </c>
      <c r="E179" s="5" t="n">
        <v>2022</v>
      </c>
      <c r="F179" s="5" t="n">
        <v>0.19</v>
      </c>
      <c r="G179" s="5" t="n">
        <v>2.191</v>
      </c>
      <c r="H179" s="5" t="n">
        <v>0.34</v>
      </c>
      <c r="I179" s="5" t="n">
        <v>0</v>
      </c>
      <c r="J179" s="5" t="n">
        <v>2.191</v>
      </c>
      <c r="K179" s="5" t="n">
        <v>0</v>
      </c>
      <c r="L179" s="5" t="n">
        <v>1</v>
      </c>
      <c r="M179" s="5" t="n">
        <v>2.314</v>
      </c>
      <c r="N179" s="5" t="n">
        <v>0.956</v>
      </c>
      <c r="O179" s="5" t="n">
        <v>0</v>
      </c>
      <c r="P179" s="5" t="n">
        <v>2.314</v>
      </c>
      <c r="Q179" s="5" t="n">
        <v>0</v>
      </c>
      <c r="R179" s="5" t="n">
        <v>1</v>
      </c>
      <c r="S179" s="5" t="n">
        <v>4.957</v>
      </c>
      <c r="T179" s="5" t="n">
        <v>3.704</v>
      </c>
      <c r="U179" s="5" t="n">
        <v>0.07000000000000001</v>
      </c>
      <c r="V179" s="5" t="n">
        <v>5.898</v>
      </c>
      <c r="W179" s="5" t="n">
        <v>0.19</v>
      </c>
      <c r="X179" s="5" t="n">
        <v>1</v>
      </c>
      <c r="Y179" s="5" t="n">
        <v>12.712</v>
      </c>
      <c r="Z179" s="5" t="n">
        <v>1.334</v>
      </c>
      <c r="AA179" s="5" t="n">
        <v>0.2</v>
      </c>
      <c r="AB179" s="5" t="n">
        <v>12.912</v>
      </c>
      <c r="AC179" s="5" t="n">
        <v>0</v>
      </c>
      <c r="AD179" s="5" t="n">
        <v>1</v>
      </c>
      <c r="AE179" s="5" t="n">
        <v>12.712</v>
      </c>
      <c r="AF179" s="5" t="n">
        <v>2.357</v>
      </c>
      <c r="AG179" s="5" t="n">
        <v>0.2</v>
      </c>
      <c r="AH179" s="5" t="n">
        <v>12.912</v>
      </c>
      <c r="AI179" s="5" t="n">
        <v>0</v>
      </c>
      <c r="AJ179" s="5" t="n">
        <v>1</v>
      </c>
      <c r="AK179" s="5" t="n">
        <v>15.166</v>
      </c>
      <c r="AL179" s="5" t="n">
        <v>7.242</v>
      </c>
      <c r="AM179" s="5" t="n">
        <v>-3.391</v>
      </c>
      <c r="AN179" s="5" t="n">
        <v>14.013</v>
      </c>
      <c r="AO179" s="5" t="n">
        <v>0</v>
      </c>
      <c r="AP179" s="5" t="n">
        <v>1</v>
      </c>
      <c r="AQ179" s="5" t="n">
        <v>0.896</v>
      </c>
      <c r="AR179" s="5" t="n">
        <v>0.123</v>
      </c>
      <c r="AS179" s="5" t="n">
        <v>-0.381</v>
      </c>
      <c r="AT179" s="5" t="n">
        <v>0.613</v>
      </c>
      <c r="AU179" s="5" t="n">
        <v>0.19</v>
      </c>
      <c r="AV179" s="5" t="n">
        <v>1</v>
      </c>
      <c r="AW179" s="5" t="n">
        <v>0.89</v>
      </c>
      <c r="AX179" s="5" t="n">
        <v>0.123</v>
      </c>
      <c r="AY179" s="5" t="n">
        <v>-0.383</v>
      </c>
      <c r="AZ179" s="5" t="n">
        <v>0.603</v>
      </c>
      <c r="BA179" s="5" t="n">
        <v>0.19</v>
      </c>
      <c r="BB179" s="5" t="n">
        <v>1</v>
      </c>
      <c r="BC179" s="5" t="n">
        <v>0.62</v>
      </c>
      <c r="BD179" s="5" t="n">
        <v>0.123</v>
      </c>
      <c r="BE179" s="5" t="n">
        <v>-0.249</v>
      </c>
      <c r="BF179" s="5" t="n">
        <v>0.442</v>
      </c>
      <c r="BG179" s="5" t="n">
        <v>0.19</v>
      </c>
      <c r="BH179" s="5" t="n">
        <v>1</v>
      </c>
      <c r="BI179" s="5" t="n">
        <v>0.608</v>
      </c>
      <c r="BJ179" s="5" t="n">
        <v>0.123</v>
      </c>
      <c r="BK179" s="5" t="n">
        <v>0.167</v>
      </c>
      <c r="BL179" s="5" t="n">
        <v>0.921</v>
      </c>
      <c r="BM179" s="5" t="n">
        <v>0.19</v>
      </c>
      <c r="BN179" s="5" t="n">
        <v>1</v>
      </c>
      <c r="BO179" s="5" t="n">
        <v>0</v>
      </c>
      <c r="BP179" s="5" t="n">
        <v>0</v>
      </c>
      <c r="BQ179" s="5" t="n">
        <v>0.131</v>
      </c>
      <c r="BR179" s="5" t="n">
        <v>0</v>
      </c>
      <c r="BS179" s="5" t="n">
        <v>1</v>
      </c>
      <c r="BT179" s="5" t="n">
        <v>0</v>
      </c>
      <c r="BU179" s="5" t="n">
        <v>-0.027</v>
      </c>
      <c r="BV179" s="5" t="n">
        <v>0.175</v>
      </c>
      <c r="BW179" s="5" t="n">
        <v>0.19</v>
      </c>
      <c r="BX179" s="5" t="n">
        <v>1</v>
      </c>
      <c r="BY179" s="5" t="n">
        <v>12.729</v>
      </c>
      <c r="BZ179" s="5" t="n">
        <v>0</v>
      </c>
      <c r="CA179" s="5" t="n">
        <v>12.729</v>
      </c>
      <c r="CB179" s="5" t="n">
        <v>0</v>
      </c>
      <c r="CC179" s="5" t="n">
        <v>97.90000000000001</v>
      </c>
      <c r="CD179" s="5" t="n">
        <v>7.95</v>
      </c>
      <c r="CE179" s="5" t="n">
        <v>-12.82</v>
      </c>
      <c r="CF179" s="5" t="n">
        <v>101.245</v>
      </c>
      <c r="CG179" s="5" t="n">
        <v>0</v>
      </c>
      <c r="CH179" s="5" t="n">
        <v>1</v>
      </c>
      <c r="CI179" s="5" t="n">
        <v>0</v>
      </c>
      <c r="CJ179" s="5" t="n">
        <v>0</v>
      </c>
      <c r="CK179" s="5" t="n">
        <v>0</v>
      </c>
      <c r="CL179" s="5" t="n">
        <v>0.089</v>
      </c>
      <c r="CM179" s="5" t="n">
        <v>0.109</v>
      </c>
      <c r="CN179" s="5" t="n">
        <v>0.191</v>
      </c>
      <c r="CO179" s="5" t="n">
        <v>0</v>
      </c>
      <c r="CP179" s="5" t="n">
        <v>0</v>
      </c>
      <c r="CQ179" s="5" t="n">
        <v>1.252</v>
      </c>
      <c r="CR179" s="5" t="n">
        <v>0</v>
      </c>
      <c r="CS179" s="5" t="n">
        <v>7.272</v>
      </c>
      <c r="CT179" s="5" t="n">
        <v>9.856</v>
      </c>
      <c r="CU179" s="5" t="n">
        <v>28.059</v>
      </c>
    </row>
    <row r="180">
      <c r="A180" s="5" t="inlineStr">
        <is>
          <t>COL2023</t>
        </is>
      </c>
      <c r="B180" s="5" t="inlineStr">
        <is>
          <t>COL</t>
        </is>
      </c>
      <c r="C180" s="5" t="inlineStr">
        <is>
          <t>COL</t>
        </is>
      </c>
      <c r="D180" s="5" t="inlineStr">
        <is>
          <t>Colombia</t>
        </is>
      </c>
      <c r="E180" s="5" t="n">
        <v>2023</v>
      </c>
      <c r="F180" s="5" t="n">
        <v>0.19</v>
      </c>
      <c r="G180" s="5" t="n">
        <v>2.268</v>
      </c>
      <c r="H180" s="5" t="n">
        <v>0.517</v>
      </c>
      <c r="I180" s="5" t="n">
        <v>0</v>
      </c>
      <c r="J180" s="5" t="n">
        <v>2.268</v>
      </c>
      <c r="K180" s="5" t="n">
        <v>0</v>
      </c>
      <c r="L180" s="5" t="n">
        <v>1</v>
      </c>
      <c r="M180" s="5" t="n">
        <v>2.442</v>
      </c>
      <c r="N180" s="5" t="n">
        <v>1.211</v>
      </c>
      <c r="O180" s="5" t="n">
        <v>0</v>
      </c>
      <c r="P180" s="5" t="n">
        <v>2.442</v>
      </c>
      <c r="Q180" s="5" t="n">
        <v>0</v>
      </c>
      <c r="R180" s="5" t="n">
        <v>1</v>
      </c>
      <c r="S180" s="5" t="n">
        <v>5.161</v>
      </c>
      <c r="T180" s="5" t="n">
        <v>3.857</v>
      </c>
      <c r="U180" s="5" t="n">
        <v>0.109</v>
      </c>
      <c r="V180" s="5" t="n">
        <v>6.142</v>
      </c>
      <c r="W180" s="5" t="n">
        <v>0.19</v>
      </c>
      <c r="X180" s="5" t="n">
        <v>1</v>
      </c>
      <c r="Y180" s="5" t="n">
        <v>13.518</v>
      </c>
      <c r="Z180" s="5" t="n">
        <v>1.514</v>
      </c>
      <c r="AA180" s="5" t="n">
        <v>0.197</v>
      </c>
      <c r="AB180" s="5" t="n">
        <v>13.715</v>
      </c>
      <c r="AC180" s="5" t="n">
        <v>0</v>
      </c>
      <c r="AD180" s="5" t="n">
        <v>1</v>
      </c>
      <c r="AE180" s="5" t="n">
        <v>13.518</v>
      </c>
      <c r="AF180" s="5" t="n">
        <v>2.692</v>
      </c>
      <c r="AG180" s="5" t="n">
        <v>0.197</v>
      </c>
      <c r="AH180" s="5" t="n">
        <v>13.715</v>
      </c>
      <c r="AI180" s="5" t="n">
        <v>0</v>
      </c>
      <c r="AJ180" s="5" t="n">
        <v>1</v>
      </c>
      <c r="AK180" s="5" t="n">
        <v>16.16</v>
      </c>
      <c r="AL180" s="5" t="n">
        <v>8.005000000000001</v>
      </c>
      <c r="AM180" s="5" t="n">
        <v>-3.704</v>
      </c>
      <c r="AN180" s="5" t="n">
        <v>14.822</v>
      </c>
      <c r="AO180" s="5" t="n">
        <v>0</v>
      </c>
      <c r="AP180" s="5" t="n">
        <v>1</v>
      </c>
      <c r="AQ180" s="5" t="n">
        <v>0.791</v>
      </c>
      <c r="AR180" s="5" t="n">
        <v>0.129</v>
      </c>
      <c r="AS180" s="5" t="n">
        <v>-0.024</v>
      </c>
      <c r="AT180" s="5" t="n">
        <v>0.912</v>
      </c>
      <c r="AU180" s="5" t="n">
        <v>0.19</v>
      </c>
      <c r="AV180" s="5" t="n">
        <v>1</v>
      </c>
      <c r="AW180" s="5" t="n">
        <v>0.618</v>
      </c>
      <c r="AX180" s="5" t="n">
        <v>0.129</v>
      </c>
      <c r="AY180" s="5" t="n">
        <v>-0.131</v>
      </c>
      <c r="AZ180" s="5" t="n">
        <v>0.579</v>
      </c>
      <c r="BA180" s="5" t="n">
        <v>0.19</v>
      </c>
      <c r="BB180" s="5" t="n">
        <v>1</v>
      </c>
      <c r="BC180" s="5" t="n">
        <v>0.554</v>
      </c>
      <c r="BD180" s="5" t="n">
        <v>0.129</v>
      </c>
      <c r="BE180" s="5" t="n">
        <v>-0.08799999999999999</v>
      </c>
      <c r="BF180" s="5" t="n">
        <v>0.555</v>
      </c>
      <c r="BG180" s="5" t="n">
        <v>0.19</v>
      </c>
      <c r="BH180" s="5" t="n">
        <v>1</v>
      </c>
      <c r="BI180" s="5" t="n">
        <v>0.5570000000000001</v>
      </c>
      <c r="BJ180" s="5" t="n">
        <v>0.129</v>
      </c>
      <c r="BK180" s="5" t="n">
        <v>0.414</v>
      </c>
      <c r="BL180" s="5" t="n">
        <v>1.156</v>
      </c>
      <c r="BM180" s="5" t="n">
        <v>0.19</v>
      </c>
      <c r="BN180" s="5" t="n">
        <v>1</v>
      </c>
      <c r="BO180" s="5" t="n">
        <v>0</v>
      </c>
      <c r="BP180" s="5" t="n">
        <v>0</v>
      </c>
      <c r="BQ180" s="5" t="n">
        <v>0.151</v>
      </c>
      <c r="BR180" s="5" t="n">
        <v>0</v>
      </c>
      <c r="BS180" s="5" t="n">
        <v>1</v>
      </c>
      <c r="BT180" s="5" t="n">
        <v>0</v>
      </c>
      <c r="BU180" s="5" t="n">
        <v>-0.028</v>
      </c>
      <c r="BV180" s="5" t="n">
        <v>0.192</v>
      </c>
      <c r="BW180" s="5" t="n">
        <v>0.19</v>
      </c>
      <c r="BX180" s="5" t="n">
        <v>1</v>
      </c>
      <c r="BY180" s="5" t="n">
        <v>13.254</v>
      </c>
      <c r="BZ180" s="5" t="n">
        <v>0</v>
      </c>
      <c r="CA180" s="5" t="n">
        <v>13.254</v>
      </c>
      <c r="CB180" s="5" t="n">
        <v>0</v>
      </c>
      <c r="CC180" s="5" t="n">
        <v>83.248</v>
      </c>
      <c r="CD180" s="5" t="n">
        <v>7.95</v>
      </c>
      <c r="CE180" s="5" t="n">
        <v>-4.573</v>
      </c>
      <c r="CF180" s="5" t="n">
        <v>93.623</v>
      </c>
      <c r="CG180" s="5" t="n">
        <v>0</v>
      </c>
      <c r="CH180" s="5" t="n">
        <v>1</v>
      </c>
      <c r="CI180" s="5" t="n">
        <v>0</v>
      </c>
      <c r="CJ180" s="5" t="n">
        <v>0</v>
      </c>
      <c r="CK180" s="5" t="n">
        <v>0</v>
      </c>
      <c r="CL180" s="5" t="n">
        <v>0.093</v>
      </c>
      <c r="CM180" s="5" t="n">
        <v>0.114</v>
      </c>
      <c r="CN180" s="5" t="n">
        <v>0.201</v>
      </c>
      <c r="CO180" s="5" t="n">
        <v>0</v>
      </c>
      <c r="CP180" s="5" t="n">
        <v>0</v>
      </c>
      <c r="CQ180" s="5" t="n">
        <v>1.304</v>
      </c>
      <c r="CR180" s="5" t="n">
        <v>0</v>
      </c>
      <c r="CS180" s="5" t="n">
        <v>7.572</v>
      </c>
      <c r="CT180" s="5" t="n">
        <v>3.963</v>
      </c>
      <c r="CU180" s="5" t="n">
        <v>9.260999999999999</v>
      </c>
    </row>
    <row r="181">
      <c r="A181" s="5" t="inlineStr">
        <is>
          <t>COL2024</t>
        </is>
      </c>
      <c r="B181" s="5" t="inlineStr">
        <is>
          <t>COL</t>
        </is>
      </c>
      <c r="C181" s="5" t="inlineStr">
        <is>
          <t>COL</t>
        </is>
      </c>
      <c r="D181" s="5" t="inlineStr">
        <is>
          <t>Colombia</t>
        </is>
      </c>
      <c r="E181" s="5" t="n">
        <v>2024</v>
      </c>
      <c r="F181" s="5" t="n">
        <v>0.19</v>
      </c>
      <c r="G181" s="5" t="n">
        <v>2.325</v>
      </c>
      <c r="H181" s="5" t="n">
        <v>0.589</v>
      </c>
      <c r="I181" s="5" t="n">
        <v>0</v>
      </c>
      <c r="J181" s="5" t="n">
        <v>2.325</v>
      </c>
      <c r="K181" s="5" t="n">
        <v>0</v>
      </c>
      <c r="L181" s="5" t="n">
        <v>1</v>
      </c>
      <c r="M181" s="5" t="n">
        <v>2.537</v>
      </c>
      <c r="N181" s="5" t="n">
        <v>1.382</v>
      </c>
      <c r="O181" s="5" t="n">
        <v>0</v>
      </c>
      <c r="P181" s="5" t="n">
        <v>2.537</v>
      </c>
      <c r="Q181" s="5" t="n">
        <v>0</v>
      </c>
      <c r="R181" s="5" t="n">
        <v>1</v>
      </c>
      <c r="S181" s="5" t="n">
        <v>5.313</v>
      </c>
      <c r="T181" s="5" t="n">
        <v>3.971</v>
      </c>
      <c r="U181" s="5" t="n">
        <v>0.138</v>
      </c>
      <c r="V181" s="5" t="n">
        <v>6.323</v>
      </c>
      <c r="W181" s="5" t="n">
        <v>0.19</v>
      </c>
      <c r="X181" s="5" t="n">
        <v>1</v>
      </c>
      <c r="Y181" s="5" t="n">
        <v>13.978</v>
      </c>
      <c r="Z181" s="5" t="n">
        <v>1.765</v>
      </c>
      <c r="AA181" s="5" t="n">
        <v>0.267</v>
      </c>
      <c r="AB181" s="5" t="n">
        <v>14.245</v>
      </c>
      <c r="AC181" s="5" t="n">
        <v>0</v>
      </c>
      <c r="AD181" s="5" t="n">
        <v>1</v>
      </c>
      <c r="AE181" s="5" t="n">
        <v>13.978</v>
      </c>
      <c r="AF181" s="5" t="n">
        <v>3.062</v>
      </c>
      <c r="AG181" s="5" t="n">
        <v>0.267</v>
      </c>
      <c r="AH181" s="5" t="n">
        <v>14.245</v>
      </c>
      <c r="AI181" s="5" t="n">
        <v>0</v>
      </c>
      <c r="AJ181" s="5" t="n">
        <v>1</v>
      </c>
      <c r="AK181" s="5" t="n">
        <v>16.698</v>
      </c>
      <c r="AL181" s="5" t="n">
        <v>8.493</v>
      </c>
      <c r="AM181" s="5" t="n">
        <v>-3.733</v>
      </c>
      <c r="AN181" s="5" t="n">
        <v>15.428</v>
      </c>
      <c r="AO181" s="5" t="n">
        <v>0</v>
      </c>
      <c r="AP181" s="5" t="n">
        <v>1</v>
      </c>
      <c r="AQ181" s="5" t="n">
        <v>0.756</v>
      </c>
      <c r="AR181" s="5" t="n">
        <v>0.132</v>
      </c>
      <c r="AS181" s="5" t="n">
        <v>0.217</v>
      </c>
      <c r="AT181" s="5" t="n">
        <v>1.158</v>
      </c>
      <c r="AU181" s="5" t="n">
        <v>0.19</v>
      </c>
      <c r="AV181" s="5" t="n">
        <v>1</v>
      </c>
      <c r="AW181" s="5" t="n">
        <v>0.655</v>
      </c>
      <c r="AX181" s="5" t="n">
        <v>0.132</v>
      </c>
      <c r="AY181" s="5" t="n">
        <v>-0.112</v>
      </c>
      <c r="AZ181" s="5" t="n">
        <v>0.647</v>
      </c>
      <c r="BA181" s="5" t="n">
        <v>0.19</v>
      </c>
      <c r="BB181" s="5" t="n">
        <v>1</v>
      </c>
      <c r="BC181" s="5" t="n">
        <v>0.534</v>
      </c>
      <c r="BD181" s="5" t="n">
        <v>0.132</v>
      </c>
      <c r="BE181" s="5" t="n">
        <v>-0.03</v>
      </c>
      <c r="BF181" s="5" t="n">
        <v>0.599</v>
      </c>
      <c r="BG181" s="5" t="n">
        <v>0.19</v>
      </c>
      <c r="BH181" s="5" t="n">
        <v>1</v>
      </c>
      <c r="BI181" s="5" t="n">
        <v>0.5679999999999999</v>
      </c>
      <c r="BJ181" s="5" t="n">
        <v>0.132</v>
      </c>
      <c r="BK181" s="5" t="n">
        <v>0.48</v>
      </c>
      <c r="BL181" s="5" t="n">
        <v>1.247</v>
      </c>
      <c r="BM181" s="5" t="n">
        <v>0.19</v>
      </c>
      <c r="BN181" s="5" t="n">
        <v>1</v>
      </c>
      <c r="BO181" s="5" t="n">
        <v>0</v>
      </c>
      <c r="BP181" s="5" t="n">
        <v>0</v>
      </c>
      <c r="BQ181" s="5" t="n">
        <v>0.18</v>
      </c>
      <c r="BR181" s="5" t="n">
        <v>0</v>
      </c>
      <c r="BS181" s="5" t="n">
        <v>1</v>
      </c>
      <c r="BT181" s="5" t="n">
        <v>0</v>
      </c>
      <c r="BU181" s="5" t="n">
        <v>-0.029</v>
      </c>
      <c r="BV181" s="5" t="n">
        <v>0.222</v>
      </c>
      <c r="BW181" s="5" t="n">
        <v>0.19</v>
      </c>
      <c r="BX181" s="5" t="n">
        <v>1</v>
      </c>
      <c r="BY181" s="5" t="n">
        <v>13.646</v>
      </c>
      <c r="BZ181" s="5" t="n">
        <v>0</v>
      </c>
      <c r="CA181" s="5" t="n">
        <v>13.646</v>
      </c>
      <c r="CB181" s="5" t="n">
        <v>0</v>
      </c>
      <c r="CC181" s="5" t="n">
        <v>82.58799999999999</v>
      </c>
      <c r="CD181" s="5" t="n">
        <v>7.95</v>
      </c>
      <c r="CE181" s="5" t="n">
        <v>2.313</v>
      </c>
      <c r="CF181" s="5" t="n">
        <v>101.032</v>
      </c>
      <c r="CG181" s="5" t="n">
        <v>0</v>
      </c>
      <c r="CH181" s="5" t="n">
        <v>1</v>
      </c>
      <c r="CI181" s="5" t="n">
        <v>0</v>
      </c>
      <c r="CJ181" s="5" t="n">
        <v>0</v>
      </c>
      <c r="CK181" s="5" t="n">
        <v>0</v>
      </c>
      <c r="CL181" s="5" t="n">
        <v>0.096</v>
      </c>
      <c r="CM181" s="5" t="n">
        <v>0.117</v>
      </c>
      <c r="CN181" s="5" t="n">
        <v>0.194</v>
      </c>
      <c r="CO181" s="5" t="n">
        <v>0</v>
      </c>
      <c r="CP181" s="5" t="n">
        <v>0</v>
      </c>
      <c r="CQ181" s="5" t="n">
        <v>1.342</v>
      </c>
      <c r="CR181" s="5" t="n">
        <v>0</v>
      </c>
      <c r="CS181" s="5" t="n">
        <v>7.598</v>
      </c>
      <c r="CT181" s="5" t="n">
        <v>3.101</v>
      </c>
      <c r="CU181" s="5" t="n">
        <v>7.598</v>
      </c>
    </row>
    <row r="182">
      <c r="A182" s="5" t="inlineStr">
        <is>
          <t>COM2021</t>
        </is>
      </c>
      <c r="B182" s="5" t="inlineStr">
        <is>
          <t>COM</t>
        </is>
      </c>
      <c r="C182" s="5" t="inlineStr">
        <is>
          <t>COM</t>
        </is>
      </c>
      <c r="D182" s="5" t="inlineStr">
        <is>
          <t>Comoros</t>
        </is>
      </c>
      <c r="E182" s="5" t="n">
        <v>2021</v>
      </c>
      <c r="F182" s="5" t="n">
        <v>0.1</v>
      </c>
      <c r="G182" s="5" t="n">
        <v>5.897</v>
      </c>
      <c r="H182" s="5" t="n">
        <v>1.143</v>
      </c>
      <c r="I182" s="5" t="n">
        <v>0</v>
      </c>
      <c r="J182" s="5" t="n">
        <v>5.897</v>
      </c>
      <c r="K182" s="5" t="n">
        <v>0</v>
      </c>
      <c r="L182" s="5" t="n">
        <v>1</v>
      </c>
      <c r="M182" s="5" t="n">
        <v>7.964</v>
      </c>
      <c r="N182" s="5" t="n">
        <v>3.43</v>
      </c>
      <c r="O182" s="5" t="n">
        <v>0</v>
      </c>
      <c r="P182" s="5" t="n">
        <v>7.964</v>
      </c>
      <c r="Q182" s="5" t="n">
        <v>0</v>
      </c>
      <c r="R182" s="5" t="n">
        <v>1</v>
      </c>
      <c r="S182" s="5" t="n">
        <v>11.613</v>
      </c>
      <c r="T182" s="5" t="n">
        <v>6.86</v>
      </c>
      <c r="U182" s="5" t="n">
        <v>0</v>
      </c>
      <c r="V182" s="5" t="n">
        <v>12.775</v>
      </c>
      <c r="W182" s="5" t="n">
        <v>0.1</v>
      </c>
      <c r="X182" s="5" t="n">
        <v>1</v>
      </c>
      <c r="Y182" s="5" t="n">
        <v>10.633</v>
      </c>
      <c r="Z182" s="5" t="n">
        <v>1.437</v>
      </c>
      <c r="AA182" s="5" t="n">
        <v>0</v>
      </c>
      <c r="AB182" s="5" t="n">
        <v>10.633</v>
      </c>
      <c r="AC182" s="5" t="n">
        <v>0</v>
      </c>
      <c r="AD182" s="5" t="n">
        <v>1</v>
      </c>
      <c r="AE182" s="5" t="n">
        <v>11.776</v>
      </c>
      <c r="AF182" s="5" t="n">
        <v>2.754</v>
      </c>
      <c r="AG182" s="5" t="n">
        <v>0</v>
      </c>
      <c r="AH182" s="5" t="n">
        <v>11.776</v>
      </c>
      <c r="AI182" s="5" t="n">
        <v>0</v>
      </c>
      <c r="AJ182" s="5" t="n">
        <v>1</v>
      </c>
      <c r="AK182" s="5" t="n">
        <v>18.636</v>
      </c>
      <c r="AL182" s="5" t="n">
        <v>9.925000000000001</v>
      </c>
      <c r="AM182" s="5" t="n">
        <v>0</v>
      </c>
      <c r="AN182" s="5" t="n">
        <v>20.499</v>
      </c>
      <c r="AO182" s="5" t="n">
        <v>0.1</v>
      </c>
      <c r="AP182" s="5" t="n">
        <v>1</v>
      </c>
      <c r="AQ182" s="5" t="n">
        <v>0.619</v>
      </c>
      <c r="AR182" s="5" t="n">
        <v>0.114</v>
      </c>
      <c r="AS182" s="5" t="n">
        <v>0.712</v>
      </c>
      <c r="AT182" s="5" t="n">
        <v>1.464</v>
      </c>
      <c r="AU182" s="5" t="n">
        <v>0.1</v>
      </c>
      <c r="AV182" s="5" t="n">
        <v>1</v>
      </c>
      <c r="AW182" s="5" t="n">
        <v>0.599</v>
      </c>
      <c r="AX182" s="5" t="n">
        <v>0.114</v>
      </c>
      <c r="AY182" s="5" t="n">
        <v>0.378</v>
      </c>
      <c r="AZ182" s="5" t="n">
        <v>1.075</v>
      </c>
      <c r="BA182" s="5" t="n">
        <v>0.1</v>
      </c>
      <c r="BB182" s="5" t="n">
        <v>1</v>
      </c>
      <c r="BC182" s="5" t="n">
        <v>0.439</v>
      </c>
      <c r="BD182" s="5" t="n">
        <v>0.114</v>
      </c>
      <c r="BE182" s="5" t="n">
        <v>0</v>
      </c>
      <c r="BF182" s="5" t="n">
        <v>0.483</v>
      </c>
      <c r="BG182" s="5" t="n">
        <v>0.1</v>
      </c>
      <c r="BH182" s="5" t="n">
        <v>1</v>
      </c>
      <c r="BI182" s="5" t="n">
        <v>0.505</v>
      </c>
      <c r="BJ182" s="5" t="n">
        <v>0.114</v>
      </c>
      <c r="BK182" s="5" t="n">
        <v>0.053</v>
      </c>
      <c r="BL182" s="5" t="n">
        <v>0.613</v>
      </c>
      <c r="BM182" s="5" t="n">
        <v>0.1</v>
      </c>
      <c r="BN182" s="5" t="n">
        <v>1</v>
      </c>
      <c r="BO182" s="5" t="n">
        <v>0</v>
      </c>
      <c r="BP182" s="5" t="n">
        <v>0</v>
      </c>
      <c r="BQ182" s="5" t="n">
        <v>0</v>
      </c>
      <c r="BR182" s="5" t="n">
        <v>0</v>
      </c>
      <c r="BS182" s="5" t="n">
        <v>1</v>
      </c>
      <c r="BT182" s="5" t="n">
        <v>0</v>
      </c>
      <c r="BU182" s="5" t="n">
        <v>0</v>
      </c>
      <c r="BV182" s="5" t="n">
        <v>0</v>
      </c>
      <c r="BW182" s="5" t="n">
        <v>0.1</v>
      </c>
      <c r="BX182" s="5" t="n">
        <v>1</v>
      </c>
      <c r="BY182" s="5" t="n">
        <v>11.787</v>
      </c>
      <c r="BZ182" s="5" t="n">
        <v>0</v>
      </c>
      <c r="CA182" s="5" t="n">
        <v>11.787</v>
      </c>
      <c r="CB182" s="5" t="n">
        <v>0</v>
      </c>
      <c r="CC182" s="5" t="n">
        <v>78.125</v>
      </c>
      <c r="CD182" s="5" t="n">
        <v>7.95</v>
      </c>
      <c r="CE182" s="5" t="n">
        <v>0</v>
      </c>
      <c r="CF182" s="5" t="n">
        <v>85.938</v>
      </c>
      <c r="CG182" s="5" t="n">
        <v>0.1</v>
      </c>
      <c r="CH182" s="5" t="n">
        <v>1</v>
      </c>
      <c r="CI182" s="5" t="n">
        <v>0</v>
      </c>
      <c r="CJ182" s="5" t="n">
        <v>0</v>
      </c>
      <c r="CK182" s="5" t="n">
        <v>0</v>
      </c>
      <c r="CL182" s="5" t="n">
        <v>0</v>
      </c>
      <c r="CM182" s="5" t="n">
        <v>0</v>
      </c>
      <c r="CN182" s="5" t="n">
        <v>0</v>
      </c>
      <c r="CO182" s="5" t="n">
        <v>0</v>
      </c>
      <c r="CP182" s="5" t="n">
        <v>0</v>
      </c>
      <c r="CQ182" s="5" t="n">
        <v>1.198</v>
      </c>
      <c r="CR182" s="5" t="n">
        <v>0</v>
      </c>
      <c r="CS182" s="5" t="n">
        <v>4.776</v>
      </c>
      <c r="CT182" s="5" t="n">
        <v>4.753</v>
      </c>
      <c r="CU182" s="5" t="n">
        <v>15.162</v>
      </c>
    </row>
    <row r="183">
      <c r="A183" s="5" t="inlineStr">
        <is>
          <t>COM2022</t>
        </is>
      </c>
      <c r="B183" s="5" t="inlineStr">
        <is>
          <t>COM</t>
        </is>
      </c>
      <c r="C183" s="5" t="inlineStr">
        <is>
          <t>COM</t>
        </is>
      </c>
      <c r="D183" s="5" t="inlineStr">
        <is>
          <t>Comoros</t>
        </is>
      </c>
      <c r="E183" s="5" t="n">
        <v>2022</v>
      </c>
      <c r="F183" s="5" t="n">
        <v>0.1</v>
      </c>
      <c r="G183" s="5" t="n">
        <v>11.72</v>
      </c>
      <c r="H183" s="5" t="n">
        <v>1.235</v>
      </c>
      <c r="I183" s="5" t="n">
        <v>0</v>
      </c>
      <c r="J183" s="5" t="n">
        <v>11.72</v>
      </c>
      <c r="K183" s="5" t="n">
        <v>0</v>
      </c>
      <c r="L183" s="5" t="n">
        <v>1</v>
      </c>
      <c r="M183" s="5" t="n">
        <v>9.782999999999999</v>
      </c>
      <c r="N183" s="5" t="n">
        <v>3.704</v>
      </c>
      <c r="O183" s="5" t="n">
        <v>0</v>
      </c>
      <c r="P183" s="5" t="n">
        <v>9.782999999999999</v>
      </c>
      <c r="Q183" s="5" t="n">
        <v>0</v>
      </c>
      <c r="R183" s="5" t="n">
        <v>1</v>
      </c>
      <c r="S183" s="5" t="n">
        <v>17.893</v>
      </c>
      <c r="T183" s="5" t="n">
        <v>7.408</v>
      </c>
      <c r="U183" s="5" t="n">
        <v>0.132</v>
      </c>
      <c r="V183" s="5" t="n">
        <v>19.683</v>
      </c>
      <c r="W183" s="5" t="n">
        <v>0.1</v>
      </c>
      <c r="X183" s="5" t="n">
        <v>1</v>
      </c>
      <c r="Y183" s="5" t="n">
        <v>19.012</v>
      </c>
      <c r="Z183" s="5" t="n">
        <v>2.569</v>
      </c>
      <c r="AA183" s="5" t="n">
        <v>0</v>
      </c>
      <c r="AB183" s="5" t="n">
        <v>19.012</v>
      </c>
      <c r="AC183" s="5" t="n">
        <v>0</v>
      </c>
      <c r="AD183" s="5" t="n">
        <v>1</v>
      </c>
      <c r="AE183" s="5" t="n">
        <v>20.246</v>
      </c>
      <c r="AF183" s="5" t="n">
        <v>4.734</v>
      </c>
      <c r="AG183" s="5" t="n">
        <v>0</v>
      </c>
      <c r="AH183" s="5" t="n">
        <v>20.246</v>
      </c>
      <c r="AI183" s="5" t="n">
        <v>0</v>
      </c>
      <c r="AJ183" s="5" t="n">
        <v>1</v>
      </c>
      <c r="AK183" s="5" t="n">
        <v>27.655</v>
      </c>
      <c r="AL183" s="5" t="n">
        <v>14.729</v>
      </c>
      <c r="AM183" s="5" t="n">
        <v>0.205</v>
      </c>
      <c r="AN183" s="5" t="n">
        <v>30.42</v>
      </c>
      <c r="AO183" s="5" t="n">
        <v>0.1</v>
      </c>
      <c r="AP183" s="5" t="n">
        <v>1</v>
      </c>
      <c r="AQ183" s="5" t="n">
        <v>0.861</v>
      </c>
      <c r="AR183" s="5" t="n">
        <v>0.123</v>
      </c>
      <c r="AS183" s="5" t="n">
        <v>0.6909999999999999</v>
      </c>
      <c r="AT183" s="5" t="n">
        <v>1.695</v>
      </c>
      <c r="AU183" s="5" t="n">
        <v>0.1</v>
      </c>
      <c r="AV183" s="5" t="n">
        <v>1</v>
      </c>
      <c r="AW183" s="5" t="n">
        <v>0.986</v>
      </c>
      <c r="AX183" s="5" t="n">
        <v>0.123</v>
      </c>
      <c r="AY183" s="5" t="n">
        <v>0.17</v>
      </c>
      <c r="AZ183" s="5" t="n">
        <v>1.262</v>
      </c>
      <c r="BA183" s="5" t="n">
        <v>0.1</v>
      </c>
      <c r="BB183" s="5" t="n">
        <v>1</v>
      </c>
      <c r="BC183" s="5" t="n">
        <v>0.598</v>
      </c>
      <c r="BD183" s="5" t="n">
        <v>0.123</v>
      </c>
      <c r="BE183" s="5" t="n">
        <v>0.004</v>
      </c>
      <c r="BF183" s="5" t="n">
        <v>0.658</v>
      </c>
      <c r="BG183" s="5" t="n">
        <v>0.1</v>
      </c>
      <c r="BH183" s="5" t="n">
        <v>1</v>
      </c>
      <c r="BI183" s="5" t="n">
        <v>0.612</v>
      </c>
      <c r="BJ183" s="5" t="n">
        <v>0.123</v>
      </c>
      <c r="BK183" s="5" t="n">
        <v>0.005</v>
      </c>
      <c r="BL183" s="5" t="n">
        <v>0.675</v>
      </c>
      <c r="BM183" s="5" t="n">
        <v>0.1</v>
      </c>
      <c r="BN183" s="5" t="n">
        <v>1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1</v>
      </c>
      <c r="BT183" s="5" t="n">
        <v>0</v>
      </c>
      <c r="BU183" s="5" t="n">
        <v>0</v>
      </c>
      <c r="BV183" s="5" t="n">
        <v>0</v>
      </c>
      <c r="BW183" s="5" t="n">
        <v>0.1</v>
      </c>
      <c r="BX183" s="5" t="n">
        <v>1</v>
      </c>
      <c r="BY183" s="5" t="n">
        <v>12.729</v>
      </c>
      <c r="BZ183" s="5" t="n">
        <v>0</v>
      </c>
      <c r="CA183" s="5" t="n">
        <v>12.729</v>
      </c>
      <c r="CB183" s="5" t="n">
        <v>0</v>
      </c>
      <c r="CC183" s="5" t="n">
        <v>97.90000000000001</v>
      </c>
      <c r="CD183" s="5" t="n">
        <v>7.95</v>
      </c>
      <c r="CE183" s="5" t="n">
        <v>0.725</v>
      </c>
      <c r="CF183" s="5" t="n">
        <v>107.69</v>
      </c>
      <c r="CG183" s="5" t="n">
        <v>0.1</v>
      </c>
      <c r="CH183" s="5" t="n">
        <v>1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1.294</v>
      </c>
      <c r="CR183" s="5" t="n">
        <v>0</v>
      </c>
      <c r="CS183" s="5" t="n">
        <v>5.158</v>
      </c>
      <c r="CT183" s="5" t="n">
        <v>10.485</v>
      </c>
      <c r="CU183" s="5" t="n">
        <v>31.326</v>
      </c>
    </row>
    <row r="184">
      <c r="A184" s="5" t="inlineStr">
        <is>
          <t>COM2023</t>
        </is>
      </c>
      <c r="B184" s="5" t="inlineStr">
        <is>
          <t>COM</t>
        </is>
      </c>
      <c r="C184" s="5" t="inlineStr">
        <is>
          <t>COM</t>
        </is>
      </c>
      <c r="D184" s="5" t="inlineStr">
        <is>
          <t>Comoros</t>
        </is>
      </c>
      <c r="E184" s="5" t="n">
        <v>2023</v>
      </c>
      <c r="F184" s="5" t="n">
        <v>0.1</v>
      </c>
      <c r="G184" s="5" t="n">
        <v>6.147</v>
      </c>
      <c r="H184" s="5" t="n">
        <v>1.286</v>
      </c>
      <c r="I184" s="5" t="n">
        <v>0</v>
      </c>
      <c r="J184" s="5" t="n">
        <v>6.147</v>
      </c>
      <c r="K184" s="5" t="n">
        <v>0</v>
      </c>
      <c r="L184" s="5" t="n">
        <v>1</v>
      </c>
      <c r="M184" s="5" t="n">
        <v>7.886</v>
      </c>
      <c r="N184" s="5" t="n">
        <v>3.857</v>
      </c>
      <c r="O184" s="5" t="n">
        <v>0</v>
      </c>
      <c r="P184" s="5" t="n">
        <v>7.886</v>
      </c>
      <c r="Q184" s="5" t="n">
        <v>0</v>
      </c>
      <c r="R184" s="5" t="n">
        <v>1</v>
      </c>
      <c r="S184" s="5" t="n">
        <v>12.575</v>
      </c>
      <c r="T184" s="5" t="n">
        <v>7.714</v>
      </c>
      <c r="U184" s="5" t="n">
        <v>0.139</v>
      </c>
      <c r="V184" s="5" t="n">
        <v>13.833</v>
      </c>
      <c r="W184" s="5" t="n">
        <v>0.1</v>
      </c>
      <c r="X184" s="5" t="n">
        <v>1</v>
      </c>
      <c r="Y184" s="5" t="n">
        <v>9.223000000000001</v>
      </c>
      <c r="Z184" s="5" t="n">
        <v>1.247</v>
      </c>
      <c r="AA184" s="5" t="n">
        <v>0</v>
      </c>
      <c r="AB184" s="5" t="n">
        <v>9.223000000000001</v>
      </c>
      <c r="AC184" s="5" t="n">
        <v>0</v>
      </c>
      <c r="AD184" s="5" t="n">
        <v>1</v>
      </c>
      <c r="AE184" s="5" t="n">
        <v>10.509</v>
      </c>
      <c r="AF184" s="5" t="n">
        <v>2.457</v>
      </c>
      <c r="AG184" s="5" t="n">
        <v>0</v>
      </c>
      <c r="AH184" s="5" t="n">
        <v>10.509</v>
      </c>
      <c r="AI184" s="5" t="n">
        <v>0</v>
      </c>
      <c r="AJ184" s="5" t="n">
        <v>1</v>
      </c>
      <c r="AK184" s="5" t="n">
        <v>18.223</v>
      </c>
      <c r="AL184" s="5" t="n">
        <v>9.705</v>
      </c>
      <c r="AM184" s="5" t="n">
        <v>0.202</v>
      </c>
      <c r="AN184" s="5" t="n">
        <v>20.045</v>
      </c>
      <c r="AO184" s="5" t="n">
        <v>0.1</v>
      </c>
      <c r="AP184" s="5" t="n">
        <v>1</v>
      </c>
      <c r="AQ184" s="5" t="n">
        <v>0.76</v>
      </c>
      <c r="AR184" s="5" t="n">
        <v>0.129</v>
      </c>
      <c r="AS184" s="5" t="n">
        <v>0.788</v>
      </c>
      <c r="AT184" s="5" t="n">
        <v>1.685</v>
      </c>
      <c r="AU184" s="5" t="n">
        <v>0.1</v>
      </c>
      <c r="AV184" s="5" t="n">
        <v>1</v>
      </c>
      <c r="AW184" s="5" t="n">
        <v>0.8110000000000001</v>
      </c>
      <c r="AX184" s="5" t="n">
        <v>0.129</v>
      </c>
      <c r="AY184" s="5" t="n">
        <v>0.338</v>
      </c>
      <c r="AZ184" s="5" t="n">
        <v>1.25</v>
      </c>
      <c r="BA184" s="5" t="n">
        <v>0.1</v>
      </c>
      <c r="BB184" s="5" t="n">
        <v>1</v>
      </c>
      <c r="BC184" s="5" t="n">
        <v>0.535</v>
      </c>
      <c r="BD184" s="5" t="n">
        <v>0.129</v>
      </c>
      <c r="BE184" s="5" t="n">
        <v>0.006</v>
      </c>
      <c r="BF184" s="5" t="n">
        <v>0.588</v>
      </c>
      <c r="BG184" s="5" t="n">
        <v>0.1</v>
      </c>
      <c r="BH184" s="5" t="n">
        <v>1</v>
      </c>
      <c r="BI184" s="5" t="n">
        <v>0.579</v>
      </c>
      <c r="BJ184" s="5" t="n">
        <v>0.129</v>
      </c>
      <c r="BK184" s="5" t="n">
        <v>0.056</v>
      </c>
      <c r="BL184" s="5" t="n">
        <v>0.6919999999999999</v>
      </c>
      <c r="BM184" s="5" t="n">
        <v>0.1</v>
      </c>
      <c r="BN184" s="5" t="n">
        <v>1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1</v>
      </c>
      <c r="BT184" s="5" t="n">
        <v>0</v>
      </c>
      <c r="BU184" s="5" t="n">
        <v>0</v>
      </c>
      <c r="BV184" s="5" t="n">
        <v>0</v>
      </c>
      <c r="BW184" s="5" t="n">
        <v>0.1</v>
      </c>
      <c r="BX184" s="5" t="n">
        <v>1</v>
      </c>
      <c r="BY184" s="5" t="n">
        <v>13.254</v>
      </c>
      <c r="BZ184" s="5" t="n">
        <v>0</v>
      </c>
      <c r="CA184" s="5" t="n">
        <v>13.254</v>
      </c>
      <c r="CB184" s="5" t="n">
        <v>0</v>
      </c>
      <c r="CC184" s="5" t="n">
        <v>83.248</v>
      </c>
      <c r="CD184" s="5" t="n">
        <v>7.95</v>
      </c>
      <c r="CE184" s="5" t="n">
        <v>0.922</v>
      </c>
      <c r="CF184" s="5" t="n">
        <v>91.57299999999999</v>
      </c>
      <c r="CG184" s="5" t="n">
        <v>0.1</v>
      </c>
      <c r="CH184" s="5" t="n">
        <v>1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1.348</v>
      </c>
      <c r="CR184" s="5" t="n">
        <v>0</v>
      </c>
      <c r="CS184" s="5" t="n">
        <v>5.37</v>
      </c>
      <c r="CT184" s="5" t="n">
        <v>4.861</v>
      </c>
      <c r="CU184" s="5" t="n">
        <v>11.622</v>
      </c>
    </row>
    <row r="185">
      <c r="A185" s="5" t="inlineStr">
        <is>
          <t>COM2024</t>
        </is>
      </c>
      <c r="B185" s="5" t="inlineStr">
        <is>
          <t>COM</t>
        </is>
      </c>
      <c r="C185" s="5" t="inlineStr">
        <is>
          <t>COM</t>
        </is>
      </c>
      <c r="D185" s="5" t="inlineStr">
        <is>
          <t>Comoros</t>
        </is>
      </c>
      <c r="E185" s="5" t="n">
        <v>2024</v>
      </c>
      <c r="F185" s="5" t="n">
        <v>0.1</v>
      </c>
      <c r="G185" s="5" t="n">
        <v>5.575</v>
      </c>
      <c r="H185" s="5" t="n">
        <v>1.324</v>
      </c>
      <c r="I185" s="5" t="n">
        <v>0</v>
      </c>
      <c r="J185" s="5" t="n">
        <v>5.575</v>
      </c>
      <c r="K185" s="5" t="n">
        <v>0</v>
      </c>
      <c r="L185" s="5" t="n">
        <v>1</v>
      </c>
      <c r="M185" s="5" t="n">
        <v>7.124</v>
      </c>
      <c r="N185" s="5" t="n">
        <v>3.971</v>
      </c>
      <c r="O185" s="5" t="n">
        <v>0</v>
      </c>
      <c r="P185" s="5" t="n">
        <v>7.124</v>
      </c>
      <c r="Q185" s="5" t="n">
        <v>0</v>
      </c>
      <c r="R185" s="5" t="n">
        <v>1</v>
      </c>
      <c r="S185" s="5" t="n">
        <v>12.193</v>
      </c>
      <c r="T185" s="5" t="n">
        <v>7.942</v>
      </c>
      <c r="U185" s="5" t="n">
        <v>0.166</v>
      </c>
      <c r="V185" s="5" t="n">
        <v>13.412</v>
      </c>
      <c r="W185" s="5" t="n">
        <v>0.1</v>
      </c>
      <c r="X185" s="5" t="n">
        <v>1</v>
      </c>
      <c r="Y185" s="5" t="n">
        <v>8.590999999999999</v>
      </c>
      <c r="Z185" s="5" t="n">
        <v>1.161</v>
      </c>
      <c r="AA185" s="5" t="n">
        <v>0</v>
      </c>
      <c r="AB185" s="5" t="n">
        <v>8.590999999999999</v>
      </c>
      <c r="AC185" s="5" t="n">
        <v>0</v>
      </c>
      <c r="AD185" s="5" t="n">
        <v>1</v>
      </c>
      <c r="AE185" s="5" t="n">
        <v>9.914</v>
      </c>
      <c r="AF185" s="5" t="n">
        <v>2.318</v>
      </c>
      <c r="AG185" s="5" t="n">
        <v>0</v>
      </c>
      <c r="AH185" s="5" t="n">
        <v>9.914</v>
      </c>
      <c r="AI185" s="5" t="n">
        <v>0</v>
      </c>
      <c r="AJ185" s="5" t="n">
        <v>1</v>
      </c>
      <c r="AK185" s="5" t="n">
        <v>17.856</v>
      </c>
      <c r="AL185" s="5" t="n">
        <v>9.51</v>
      </c>
      <c r="AM185" s="5" t="n">
        <v>0.243</v>
      </c>
      <c r="AN185" s="5" t="n">
        <v>19.641</v>
      </c>
      <c r="AO185" s="5" t="n">
        <v>0.1</v>
      </c>
      <c r="AP185" s="5" t="n">
        <v>1</v>
      </c>
      <c r="AQ185" s="5" t="n">
        <v>0.724</v>
      </c>
      <c r="AR185" s="5" t="n">
        <v>0.132</v>
      </c>
      <c r="AS185" s="5" t="n">
        <v>0.842</v>
      </c>
      <c r="AT185" s="5" t="n">
        <v>1.7</v>
      </c>
      <c r="AU185" s="5" t="n">
        <v>0.1</v>
      </c>
      <c r="AV185" s="5" t="n">
        <v>1</v>
      </c>
      <c r="AW185" s="5" t="n">
        <v>0.75</v>
      </c>
      <c r="AX185" s="5" t="n">
        <v>0.132</v>
      </c>
      <c r="AY185" s="5" t="n">
        <v>0.413</v>
      </c>
      <c r="AZ185" s="5" t="n">
        <v>1.262</v>
      </c>
      <c r="BA185" s="5" t="n">
        <v>0.1</v>
      </c>
      <c r="BB185" s="5" t="n">
        <v>1</v>
      </c>
      <c r="BC185" s="5" t="n">
        <v>0.513</v>
      </c>
      <c r="BD185" s="5" t="n">
        <v>0.132</v>
      </c>
      <c r="BE185" s="5" t="n">
        <v>0.007</v>
      </c>
      <c r="BF185" s="5" t="n">
        <v>0.5639999999999999</v>
      </c>
      <c r="BG185" s="5" t="n">
        <v>0.1</v>
      </c>
      <c r="BH185" s="5" t="n">
        <v>1</v>
      </c>
      <c r="BI185" s="5" t="n">
        <v>0.591</v>
      </c>
      <c r="BJ185" s="5" t="n">
        <v>0.132</v>
      </c>
      <c r="BK185" s="5" t="n">
        <v>0.064</v>
      </c>
      <c r="BL185" s="5" t="n">
        <v>0.711</v>
      </c>
      <c r="BM185" s="5" t="n">
        <v>0.1</v>
      </c>
      <c r="BN185" s="5" t="n">
        <v>1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1</v>
      </c>
      <c r="BT185" s="5" t="n">
        <v>0</v>
      </c>
      <c r="BU185" s="5" t="n">
        <v>0</v>
      </c>
      <c r="BV185" s="5" t="n">
        <v>0</v>
      </c>
      <c r="BW185" s="5" t="n">
        <v>0.1</v>
      </c>
      <c r="BX185" s="5" t="n">
        <v>1</v>
      </c>
      <c r="BY185" s="5" t="n">
        <v>13.646</v>
      </c>
      <c r="BZ185" s="5" t="n">
        <v>0</v>
      </c>
      <c r="CA185" s="5" t="n">
        <v>13.646</v>
      </c>
      <c r="CB185" s="5" t="n">
        <v>0</v>
      </c>
      <c r="CC185" s="5" t="n">
        <v>82.58799999999999</v>
      </c>
      <c r="CD185" s="5" t="n">
        <v>7.95</v>
      </c>
      <c r="CE185" s="5" t="n">
        <v>1.125</v>
      </c>
      <c r="CF185" s="5" t="n">
        <v>90.84699999999999</v>
      </c>
      <c r="CG185" s="5" t="n">
        <v>0.1</v>
      </c>
      <c r="CH185" s="5" t="n">
        <v>1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0</v>
      </c>
      <c r="CN185" s="5" t="n">
        <v>0</v>
      </c>
      <c r="CO185" s="5" t="n">
        <v>0</v>
      </c>
      <c r="CP185" s="5" t="n">
        <v>0</v>
      </c>
      <c r="CQ185" s="5" t="n">
        <v>1.387</v>
      </c>
      <c r="CR185" s="5" t="n">
        <v>0</v>
      </c>
      <c r="CS185" s="5" t="n">
        <v>5.529</v>
      </c>
      <c r="CT185" s="5" t="n">
        <v>4.251</v>
      </c>
      <c r="CU185" s="5" t="n">
        <v>10.168</v>
      </c>
    </row>
    <row r="186">
      <c r="A186" s="5" t="inlineStr">
        <is>
          <t>COD2021</t>
        </is>
      </c>
      <c r="B186" s="5" t="inlineStr">
        <is>
          <t>COD</t>
        </is>
      </c>
      <c r="C186" s="5" t="inlineStr">
        <is>
          <t>COD</t>
        </is>
      </c>
      <c r="D186" s="5" t="inlineStr">
        <is>
          <t>Congo, Democratic Republic of the</t>
        </is>
      </c>
      <c r="E186" s="5" t="n">
        <v>2021</v>
      </c>
      <c r="F186" s="5" t="n">
        <v>0.16</v>
      </c>
      <c r="G186" s="5" t="n">
        <v>5.897</v>
      </c>
      <c r="H186" s="5" t="n">
        <v>1.143</v>
      </c>
      <c r="I186" s="5" t="n">
        <v>0</v>
      </c>
      <c r="J186" s="5" t="n">
        <v>5.897</v>
      </c>
      <c r="K186" s="5" t="n">
        <v>0</v>
      </c>
      <c r="L186" s="5" t="n">
        <v>1</v>
      </c>
      <c r="M186" s="5" t="n">
        <v>7.964</v>
      </c>
      <c r="N186" s="5" t="n">
        <v>3.43</v>
      </c>
      <c r="O186" s="5" t="n">
        <v>0</v>
      </c>
      <c r="P186" s="5" t="n">
        <v>7.964</v>
      </c>
      <c r="Q186" s="5" t="n">
        <v>0</v>
      </c>
      <c r="R186" s="5" t="n">
        <v>1</v>
      </c>
      <c r="S186" s="5" t="n">
        <v>11.613</v>
      </c>
      <c r="T186" s="5" t="n">
        <v>6.86</v>
      </c>
      <c r="U186" s="5" t="n">
        <v>0</v>
      </c>
      <c r="V186" s="5" t="n">
        <v>13.471</v>
      </c>
      <c r="W186" s="5" t="n">
        <v>0.16</v>
      </c>
      <c r="X186" s="5" t="n">
        <v>1</v>
      </c>
      <c r="Y186" s="5" t="n">
        <v>5.347</v>
      </c>
      <c r="Z186" s="5" t="n">
        <v>0.393</v>
      </c>
      <c r="AA186" s="5" t="n">
        <v>0</v>
      </c>
      <c r="AB186" s="5" t="n">
        <v>5.347</v>
      </c>
      <c r="AC186" s="5" t="n">
        <v>0</v>
      </c>
      <c r="AD186" s="5" t="n">
        <v>1</v>
      </c>
      <c r="AE186" s="5" t="n">
        <v>5.919</v>
      </c>
      <c r="AF186" s="5" t="n">
        <v>0.8</v>
      </c>
      <c r="AG186" s="5" t="n">
        <v>0</v>
      </c>
      <c r="AH186" s="5" t="n">
        <v>5.919</v>
      </c>
      <c r="AI186" s="5" t="n">
        <v>0</v>
      </c>
      <c r="AJ186" s="5" t="n">
        <v>1</v>
      </c>
      <c r="AK186" s="5" t="n">
        <v>9.349</v>
      </c>
      <c r="AL186" s="5" t="n">
        <v>3.473</v>
      </c>
      <c r="AM186" s="5" t="n">
        <v>0</v>
      </c>
      <c r="AN186" s="5" t="n">
        <v>10.845</v>
      </c>
      <c r="AO186" s="5" t="n">
        <v>0.16</v>
      </c>
      <c r="AP186" s="5" t="n">
        <v>1</v>
      </c>
      <c r="AQ186" s="5" t="n">
        <v>0.619</v>
      </c>
      <c r="AR186" s="5" t="n">
        <v>0.114</v>
      </c>
      <c r="AS186" s="5" t="n">
        <v>0.268</v>
      </c>
      <c r="AT186" s="5" t="n">
        <v>1.003</v>
      </c>
      <c r="AU186" s="5" t="n">
        <v>0.13</v>
      </c>
      <c r="AV186" s="5" t="n">
        <v>1</v>
      </c>
      <c r="AW186" s="5" t="n">
        <v>0.599</v>
      </c>
      <c r="AX186" s="5" t="n">
        <v>0.114</v>
      </c>
      <c r="AY186" s="5" t="n">
        <v>0.284</v>
      </c>
      <c r="AZ186" s="5" t="n">
        <v>0.998</v>
      </c>
      <c r="BA186" s="5" t="n">
        <v>0.13</v>
      </c>
      <c r="BB186" s="5" t="n">
        <v>1</v>
      </c>
      <c r="BC186" s="5" t="n">
        <v>0.439</v>
      </c>
      <c r="BD186" s="5" t="n">
        <v>0.114</v>
      </c>
      <c r="BE186" s="5" t="n">
        <v>0.297</v>
      </c>
      <c r="BF186" s="5" t="n">
        <v>0.832</v>
      </c>
      <c r="BG186" s="5" t="n">
        <v>0.13</v>
      </c>
      <c r="BH186" s="5" t="n">
        <v>1</v>
      </c>
      <c r="BI186" s="5" t="n">
        <v>0.505</v>
      </c>
      <c r="BJ186" s="5" t="n">
        <v>0.114</v>
      </c>
      <c r="BK186" s="5" t="n">
        <v>0.196</v>
      </c>
      <c r="BL186" s="5" t="n">
        <v>0.792</v>
      </c>
      <c r="BM186" s="5" t="n">
        <v>0.13</v>
      </c>
      <c r="BN186" s="5" t="n">
        <v>1</v>
      </c>
      <c r="BO186" s="5" t="n">
        <v>0</v>
      </c>
      <c r="BP186" s="5" t="n">
        <v>0</v>
      </c>
      <c r="BQ186" s="5" t="n">
        <v>0.07199999999999999</v>
      </c>
      <c r="BR186" s="5" t="n">
        <v>0</v>
      </c>
      <c r="BS186" s="5" t="n">
        <v>0.833</v>
      </c>
      <c r="BT186" s="5" t="n">
        <v>0</v>
      </c>
      <c r="BU186" s="5" t="n">
        <v>0</v>
      </c>
      <c r="BV186" s="5" t="n">
        <v>0.083</v>
      </c>
      <c r="BW186" s="5" t="n">
        <v>0.16</v>
      </c>
      <c r="BX186" s="5" t="n">
        <v>0.833</v>
      </c>
      <c r="BY186" s="5" t="n">
        <v>11.787</v>
      </c>
      <c r="BZ186" s="5" t="n">
        <v>0</v>
      </c>
      <c r="CA186" s="5" t="n">
        <v>11.787</v>
      </c>
      <c r="CB186" s="5" t="n">
        <v>0</v>
      </c>
      <c r="CC186" s="5" t="n">
        <v>78.125</v>
      </c>
      <c r="CD186" s="5" t="n">
        <v>7.95</v>
      </c>
      <c r="CE186" s="5" t="n">
        <v>13.957</v>
      </c>
      <c r="CF186" s="5" t="n">
        <v>104.053</v>
      </c>
      <c r="CG186" s="5" t="n">
        <v>0.13</v>
      </c>
      <c r="CH186" s="5" t="n">
        <v>1</v>
      </c>
      <c r="CI186" s="5" t="n">
        <v>0</v>
      </c>
      <c r="CJ186" s="5" t="n">
        <v>0</v>
      </c>
      <c r="CK186" s="5" t="n">
        <v>0</v>
      </c>
      <c r="CL186" s="5" t="n">
        <v>0</v>
      </c>
      <c r="CM186" s="5" t="n">
        <v>0</v>
      </c>
      <c r="CN186" s="5" t="n">
        <v>0</v>
      </c>
      <c r="CO186" s="5" t="n">
        <v>0</v>
      </c>
      <c r="CP186" s="5" t="n">
        <v>0</v>
      </c>
      <c r="CQ186" s="5" t="n">
        <v>1.198</v>
      </c>
      <c r="CR186" s="5" t="n">
        <v>1</v>
      </c>
      <c r="CS186" s="5" t="n">
        <v>4.776</v>
      </c>
      <c r="CT186" s="5" t="n">
        <v>4.753</v>
      </c>
      <c r="CU186" s="5" t="n">
        <v>15.162</v>
      </c>
    </row>
    <row r="187">
      <c r="A187" s="5" t="inlineStr">
        <is>
          <t>COD2022</t>
        </is>
      </c>
      <c r="B187" s="5" t="inlineStr">
        <is>
          <t>COD</t>
        </is>
      </c>
      <c r="C187" s="5" t="inlineStr">
        <is>
          <t>COD</t>
        </is>
      </c>
      <c r="D187" s="5" t="inlineStr">
        <is>
          <t>Congo, Democratic Republic of the</t>
        </is>
      </c>
      <c r="E187" s="5" t="n">
        <v>2022</v>
      </c>
      <c r="F187" s="5" t="n">
        <v>0.16</v>
      </c>
      <c r="G187" s="5" t="n">
        <v>11.72</v>
      </c>
      <c r="H187" s="5" t="n">
        <v>1.235</v>
      </c>
      <c r="I187" s="5" t="n">
        <v>0</v>
      </c>
      <c r="J187" s="5" t="n">
        <v>11.72</v>
      </c>
      <c r="K187" s="5" t="n">
        <v>0</v>
      </c>
      <c r="L187" s="5" t="n">
        <v>1</v>
      </c>
      <c r="M187" s="5" t="n">
        <v>9.782999999999999</v>
      </c>
      <c r="N187" s="5" t="n">
        <v>3.704</v>
      </c>
      <c r="O187" s="5" t="n">
        <v>0</v>
      </c>
      <c r="P187" s="5" t="n">
        <v>9.782999999999999</v>
      </c>
      <c r="Q187" s="5" t="n">
        <v>0</v>
      </c>
      <c r="R187" s="5" t="n">
        <v>1</v>
      </c>
      <c r="S187" s="5" t="n">
        <v>17.893</v>
      </c>
      <c r="T187" s="5" t="n">
        <v>7.408</v>
      </c>
      <c r="U187" s="5" t="n">
        <v>0.212</v>
      </c>
      <c r="V187" s="5" t="n">
        <v>20.756</v>
      </c>
      <c r="W187" s="5" t="n">
        <v>0.16</v>
      </c>
      <c r="X187" s="5" t="n">
        <v>1</v>
      </c>
      <c r="Y187" s="5" t="n">
        <v>5.775</v>
      </c>
      <c r="Z187" s="5" t="n">
        <v>0.425</v>
      </c>
      <c r="AA187" s="5" t="n">
        <v>0</v>
      </c>
      <c r="AB187" s="5" t="n">
        <v>5.775</v>
      </c>
      <c r="AC187" s="5" t="n">
        <v>0</v>
      </c>
      <c r="AD187" s="5" t="n">
        <v>1</v>
      </c>
      <c r="AE187" s="5" t="n">
        <v>6.392</v>
      </c>
      <c r="AF187" s="5" t="n">
        <v>0.864</v>
      </c>
      <c r="AG187" s="5" t="n">
        <v>0</v>
      </c>
      <c r="AH187" s="5" t="n">
        <v>6.392</v>
      </c>
      <c r="AI187" s="5" t="n">
        <v>0</v>
      </c>
      <c r="AJ187" s="5" t="n">
        <v>1</v>
      </c>
      <c r="AK187" s="5" t="n">
        <v>10.096</v>
      </c>
      <c r="AL187" s="5" t="n">
        <v>3.751</v>
      </c>
      <c r="AM187" s="5" t="n">
        <v>0.12</v>
      </c>
      <c r="AN187" s="5" t="n">
        <v>11.712</v>
      </c>
      <c r="AO187" s="5" t="n">
        <v>0.16</v>
      </c>
      <c r="AP187" s="5" t="n">
        <v>1</v>
      </c>
      <c r="AQ187" s="5" t="n">
        <v>0.861</v>
      </c>
      <c r="AR187" s="5" t="n">
        <v>0.123</v>
      </c>
      <c r="AS187" s="5" t="n">
        <v>0.398</v>
      </c>
      <c r="AT187" s="5" t="n">
        <v>1.423</v>
      </c>
      <c r="AU187" s="5" t="n">
        <v>0.13</v>
      </c>
      <c r="AV187" s="5" t="n">
        <v>1</v>
      </c>
      <c r="AW187" s="5" t="n">
        <v>0.986</v>
      </c>
      <c r="AX187" s="5" t="n">
        <v>0.123</v>
      </c>
      <c r="AY187" s="5" t="n">
        <v>0.269</v>
      </c>
      <c r="AZ187" s="5" t="n">
        <v>1.418</v>
      </c>
      <c r="BA187" s="5" t="n">
        <v>0.13</v>
      </c>
      <c r="BB187" s="5" t="n">
        <v>1</v>
      </c>
      <c r="BC187" s="5" t="n">
        <v>0.598</v>
      </c>
      <c r="BD187" s="5" t="n">
        <v>0.123</v>
      </c>
      <c r="BE187" s="5" t="n">
        <v>0.314</v>
      </c>
      <c r="BF187" s="5" t="n">
        <v>1.031</v>
      </c>
      <c r="BG187" s="5" t="n">
        <v>0.13</v>
      </c>
      <c r="BH187" s="5" t="n">
        <v>1</v>
      </c>
      <c r="BI187" s="5" t="n">
        <v>0.612</v>
      </c>
      <c r="BJ187" s="5" t="n">
        <v>0.123</v>
      </c>
      <c r="BK187" s="5" t="n">
        <v>0.647</v>
      </c>
      <c r="BL187" s="5" t="n">
        <v>1.423</v>
      </c>
      <c r="BM187" s="5" t="n">
        <v>0.13</v>
      </c>
      <c r="BN187" s="5" t="n">
        <v>1</v>
      </c>
      <c r="BO187" s="5" t="n">
        <v>0</v>
      </c>
      <c r="BP187" s="5" t="n">
        <v>0</v>
      </c>
      <c r="BQ187" s="5" t="n">
        <v>0.059</v>
      </c>
      <c r="BR187" s="5" t="n">
        <v>0</v>
      </c>
      <c r="BS187" s="5" t="n">
        <v>0.833</v>
      </c>
      <c r="BT187" s="5" t="n">
        <v>0</v>
      </c>
      <c r="BU187" s="5" t="n">
        <v>0</v>
      </c>
      <c r="BV187" s="5" t="n">
        <v>0.06900000000000001</v>
      </c>
      <c r="BW187" s="5" t="n">
        <v>0.16</v>
      </c>
      <c r="BX187" s="5" t="n">
        <v>0.833</v>
      </c>
      <c r="BY187" s="5" t="n">
        <v>12.729</v>
      </c>
      <c r="BZ187" s="5" t="n">
        <v>0</v>
      </c>
      <c r="CA187" s="5" t="n">
        <v>12.729</v>
      </c>
      <c r="CB187" s="5" t="n">
        <v>0</v>
      </c>
      <c r="CC187" s="5" t="n">
        <v>97.90000000000001</v>
      </c>
      <c r="CD187" s="5" t="n">
        <v>7.95</v>
      </c>
      <c r="CE187" s="5" t="n">
        <v>4.633</v>
      </c>
      <c r="CF187" s="5" t="n">
        <v>115.862</v>
      </c>
      <c r="CG187" s="5" t="n">
        <v>0.13</v>
      </c>
      <c r="CH187" s="5" t="n">
        <v>1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1.294</v>
      </c>
      <c r="CR187" s="5" t="n">
        <v>1</v>
      </c>
      <c r="CS187" s="5" t="n">
        <v>5.158</v>
      </c>
      <c r="CT187" s="5" t="n">
        <v>10.485</v>
      </c>
      <c r="CU187" s="5" t="n">
        <v>31.326</v>
      </c>
    </row>
    <row r="188">
      <c r="A188" s="5" t="inlineStr">
        <is>
          <t>COD2023</t>
        </is>
      </c>
      <c r="B188" s="5" t="inlineStr">
        <is>
          <t>COD</t>
        </is>
      </c>
      <c r="C188" s="5" t="inlineStr">
        <is>
          <t>COD</t>
        </is>
      </c>
      <c r="D188" s="5" t="inlineStr">
        <is>
          <t>Congo, Democratic Republic of the</t>
        </is>
      </c>
      <c r="E188" s="5" t="n">
        <v>2023</v>
      </c>
      <c r="F188" s="5" t="n">
        <v>0.16</v>
      </c>
      <c r="G188" s="5" t="n">
        <v>6.147</v>
      </c>
      <c r="H188" s="5" t="n">
        <v>1.286</v>
      </c>
      <c r="I188" s="5" t="n">
        <v>0</v>
      </c>
      <c r="J188" s="5" t="n">
        <v>6.147</v>
      </c>
      <c r="K188" s="5" t="n">
        <v>0</v>
      </c>
      <c r="L188" s="5" t="n">
        <v>1</v>
      </c>
      <c r="M188" s="5" t="n">
        <v>7.886</v>
      </c>
      <c r="N188" s="5" t="n">
        <v>3.857</v>
      </c>
      <c r="O188" s="5" t="n">
        <v>0</v>
      </c>
      <c r="P188" s="5" t="n">
        <v>7.886</v>
      </c>
      <c r="Q188" s="5" t="n">
        <v>0</v>
      </c>
      <c r="R188" s="5" t="n">
        <v>1</v>
      </c>
      <c r="S188" s="5" t="n">
        <v>12.575</v>
      </c>
      <c r="T188" s="5" t="n">
        <v>7.714</v>
      </c>
      <c r="U188" s="5" t="n">
        <v>0.223</v>
      </c>
      <c r="V188" s="5" t="n">
        <v>14.587</v>
      </c>
      <c r="W188" s="5" t="n">
        <v>0.16</v>
      </c>
      <c r="X188" s="5" t="n">
        <v>1</v>
      </c>
      <c r="Y188" s="5" t="n">
        <v>6.013</v>
      </c>
      <c r="Z188" s="5" t="n">
        <v>0.442</v>
      </c>
      <c r="AA188" s="5" t="n">
        <v>0</v>
      </c>
      <c r="AB188" s="5" t="n">
        <v>6.013</v>
      </c>
      <c r="AC188" s="5" t="n">
        <v>0</v>
      </c>
      <c r="AD188" s="5" t="n">
        <v>1</v>
      </c>
      <c r="AE188" s="5" t="n">
        <v>6.656</v>
      </c>
      <c r="AF188" s="5" t="n">
        <v>0.9</v>
      </c>
      <c r="AG188" s="5" t="n">
        <v>0</v>
      </c>
      <c r="AH188" s="5" t="n">
        <v>6.656</v>
      </c>
      <c r="AI188" s="5" t="n">
        <v>0</v>
      </c>
      <c r="AJ188" s="5" t="n">
        <v>1</v>
      </c>
      <c r="AK188" s="5" t="n">
        <v>10.513</v>
      </c>
      <c r="AL188" s="5" t="n">
        <v>3.906</v>
      </c>
      <c r="AM188" s="5" t="n">
        <v>0.186</v>
      </c>
      <c r="AN188" s="5" t="n">
        <v>12.195</v>
      </c>
      <c r="AO188" s="5" t="n">
        <v>0.16</v>
      </c>
      <c r="AP188" s="5" t="n">
        <v>1</v>
      </c>
      <c r="AQ188" s="5" t="n">
        <v>0.76</v>
      </c>
      <c r="AR188" s="5" t="n">
        <v>0.129</v>
      </c>
      <c r="AS188" s="5" t="n">
        <v>0.459</v>
      </c>
      <c r="AT188" s="5" t="n">
        <v>1.378</v>
      </c>
      <c r="AU188" s="5" t="n">
        <v>0.13</v>
      </c>
      <c r="AV188" s="5" t="n">
        <v>1</v>
      </c>
      <c r="AW188" s="5" t="n">
        <v>0.8110000000000001</v>
      </c>
      <c r="AX188" s="5" t="n">
        <v>0.129</v>
      </c>
      <c r="AY188" s="5" t="n">
        <v>0.404</v>
      </c>
      <c r="AZ188" s="5" t="n">
        <v>1.374</v>
      </c>
      <c r="BA188" s="5" t="n">
        <v>0.13</v>
      </c>
      <c r="BB188" s="5" t="n">
        <v>1</v>
      </c>
      <c r="BC188" s="5" t="n">
        <v>0.535</v>
      </c>
      <c r="BD188" s="5" t="n">
        <v>0.129</v>
      </c>
      <c r="BE188" s="5" t="n">
        <v>0.397</v>
      </c>
      <c r="BF188" s="5" t="n">
        <v>1.053</v>
      </c>
      <c r="BG188" s="5" t="n">
        <v>0.13</v>
      </c>
      <c r="BH188" s="5" t="n">
        <v>1</v>
      </c>
      <c r="BI188" s="5" t="n">
        <v>0.579</v>
      </c>
      <c r="BJ188" s="5" t="n">
        <v>0.129</v>
      </c>
      <c r="BK188" s="5" t="n">
        <v>0.501</v>
      </c>
      <c r="BL188" s="5" t="n">
        <v>1.22</v>
      </c>
      <c r="BM188" s="5" t="n">
        <v>0.13</v>
      </c>
      <c r="BN188" s="5" t="n">
        <v>1</v>
      </c>
      <c r="BO188" s="5" t="n">
        <v>0</v>
      </c>
      <c r="BP188" s="5" t="n">
        <v>0</v>
      </c>
      <c r="BQ188" s="5" t="n">
        <v>0.05</v>
      </c>
      <c r="BR188" s="5" t="n">
        <v>0</v>
      </c>
      <c r="BS188" s="5" t="n">
        <v>0.833</v>
      </c>
      <c r="BT188" s="5" t="n">
        <v>0</v>
      </c>
      <c r="BU188" s="5" t="n">
        <v>0</v>
      </c>
      <c r="BV188" s="5" t="n">
        <v>0.06</v>
      </c>
      <c r="BW188" s="5" t="n">
        <v>0.16</v>
      </c>
      <c r="BX188" s="5" t="n">
        <v>0.833</v>
      </c>
      <c r="BY188" s="5" t="n">
        <v>13.254</v>
      </c>
      <c r="BZ188" s="5" t="n">
        <v>0</v>
      </c>
      <c r="CA188" s="5" t="n">
        <v>13.254</v>
      </c>
      <c r="CB188" s="5" t="n">
        <v>0</v>
      </c>
      <c r="CC188" s="5" t="n">
        <v>83.248</v>
      </c>
      <c r="CD188" s="5" t="n">
        <v>7.95</v>
      </c>
      <c r="CE188" s="5" t="n">
        <v>40.685</v>
      </c>
      <c r="CF188" s="5" t="n">
        <v>140.044</v>
      </c>
      <c r="CG188" s="5" t="n">
        <v>0.13</v>
      </c>
      <c r="CH188" s="5" t="n">
        <v>1</v>
      </c>
      <c r="CI188" s="5" t="n">
        <v>0</v>
      </c>
      <c r="CJ188" s="5" t="n">
        <v>0</v>
      </c>
      <c r="CK188" s="5" t="n">
        <v>0</v>
      </c>
      <c r="CL188" s="5" t="n">
        <v>0</v>
      </c>
      <c r="CM188" s="5" t="n">
        <v>0</v>
      </c>
      <c r="CN188" s="5" t="n">
        <v>0</v>
      </c>
      <c r="CO188" s="5" t="n">
        <v>0</v>
      </c>
      <c r="CP188" s="5" t="n">
        <v>0</v>
      </c>
      <c r="CQ188" s="5" t="n">
        <v>1.348</v>
      </c>
      <c r="CR188" s="5" t="n">
        <v>1</v>
      </c>
      <c r="CS188" s="5" t="n">
        <v>5.37</v>
      </c>
      <c r="CT188" s="5" t="n">
        <v>4.861</v>
      </c>
      <c r="CU188" s="5" t="n">
        <v>11.622</v>
      </c>
    </row>
    <row r="189">
      <c r="A189" s="5" t="inlineStr">
        <is>
          <t>COD2024</t>
        </is>
      </c>
      <c r="B189" s="5" t="inlineStr">
        <is>
          <t>COD</t>
        </is>
      </c>
      <c r="C189" s="5" t="inlineStr">
        <is>
          <t>COD</t>
        </is>
      </c>
      <c r="D189" s="5" t="inlineStr">
        <is>
          <t>Congo, Democratic Republic of the</t>
        </is>
      </c>
      <c r="E189" s="5" t="n">
        <v>2024</v>
      </c>
      <c r="F189" s="5" t="n">
        <v>0.16</v>
      </c>
      <c r="G189" s="5" t="n">
        <v>5.575</v>
      </c>
      <c r="H189" s="5" t="n">
        <v>1.324</v>
      </c>
      <c r="I189" s="5" t="n">
        <v>0</v>
      </c>
      <c r="J189" s="5" t="n">
        <v>5.575</v>
      </c>
      <c r="K189" s="5" t="n">
        <v>0</v>
      </c>
      <c r="L189" s="5" t="n">
        <v>1</v>
      </c>
      <c r="M189" s="5" t="n">
        <v>7.124</v>
      </c>
      <c r="N189" s="5" t="n">
        <v>3.971</v>
      </c>
      <c r="O189" s="5" t="n">
        <v>0</v>
      </c>
      <c r="P189" s="5" t="n">
        <v>7.124</v>
      </c>
      <c r="Q189" s="5" t="n">
        <v>0</v>
      </c>
      <c r="R189" s="5" t="n">
        <v>1</v>
      </c>
      <c r="S189" s="5" t="n">
        <v>12.193</v>
      </c>
      <c r="T189" s="5" t="n">
        <v>7.942</v>
      </c>
      <c r="U189" s="5" t="n">
        <v>0.266</v>
      </c>
      <c r="V189" s="5" t="n">
        <v>14.144</v>
      </c>
      <c r="W189" s="5" t="n">
        <v>0.16</v>
      </c>
      <c r="X189" s="5" t="n">
        <v>1</v>
      </c>
      <c r="Y189" s="5" t="n">
        <v>6.191</v>
      </c>
      <c r="Z189" s="5" t="n">
        <v>0.455</v>
      </c>
      <c r="AA189" s="5" t="n">
        <v>0</v>
      </c>
      <c r="AB189" s="5" t="n">
        <v>6.191</v>
      </c>
      <c r="AC189" s="5" t="n">
        <v>0</v>
      </c>
      <c r="AD189" s="5" t="n">
        <v>1</v>
      </c>
      <c r="AE189" s="5" t="n">
        <v>6.853</v>
      </c>
      <c r="AF189" s="5" t="n">
        <v>0.926</v>
      </c>
      <c r="AG189" s="5" t="n">
        <v>0</v>
      </c>
      <c r="AH189" s="5" t="n">
        <v>6.853</v>
      </c>
      <c r="AI189" s="5" t="n">
        <v>0</v>
      </c>
      <c r="AJ189" s="5" t="n">
        <v>1</v>
      </c>
      <c r="AK189" s="5" t="n">
        <v>10.823</v>
      </c>
      <c r="AL189" s="5" t="n">
        <v>4.021</v>
      </c>
      <c r="AM189" s="5" t="n">
        <v>0.236</v>
      </c>
      <c r="AN189" s="5" t="n">
        <v>12.555</v>
      </c>
      <c r="AO189" s="5" t="n">
        <v>0.16</v>
      </c>
      <c r="AP189" s="5" t="n">
        <v>1</v>
      </c>
      <c r="AQ189" s="5" t="n">
        <v>0.724</v>
      </c>
      <c r="AR189" s="5" t="n">
        <v>0.132</v>
      </c>
      <c r="AS189" s="5" t="n">
        <v>0.414</v>
      </c>
      <c r="AT189" s="5" t="n">
        <v>1.286</v>
      </c>
      <c r="AU189" s="5" t="n">
        <v>0.13</v>
      </c>
      <c r="AV189" s="5" t="n">
        <v>1</v>
      </c>
      <c r="AW189" s="5" t="n">
        <v>0.75</v>
      </c>
      <c r="AX189" s="5" t="n">
        <v>0.132</v>
      </c>
      <c r="AY189" s="5" t="n">
        <v>0.384</v>
      </c>
      <c r="AZ189" s="5" t="n">
        <v>1.282</v>
      </c>
      <c r="BA189" s="5" t="n">
        <v>0.13</v>
      </c>
      <c r="BB189" s="5" t="n">
        <v>1</v>
      </c>
      <c r="BC189" s="5" t="n">
        <v>0.513</v>
      </c>
      <c r="BD189" s="5" t="n">
        <v>0.132</v>
      </c>
      <c r="BE189" s="5" t="n">
        <v>0.464</v>
      </c>
      <c r="BF189" s="5" t="n">
        <v>1.084</v>
      </c>
      <c r="BG189" s="5" t="n">
        <v>0.13</v>
      </c>
      <c r="BH189" s="5" t="n">
        <v>1</v>
      </c>
      <c r="BI189" s="5" t="n">
        <v>0.591</v>
      </c>
      <c r="BJ189" s="5" t="n">
        <v>0.132</v>
      </c>
      <c r="BK189" s="5" t="n">
        <v>0.285</v>
      </c>
      <c r="BL189" s="5" t="n">
        <v>0.99</v>
      </c>
      <c r="BM189" s="5" t="n">
        <v>0.13</v>
      </c>
      <c r="BN189" s="5" t="n">
        <v>1</v>
      </c>
      <c r="BO189" s="5" t="n">
        <v>0</v>
      </c>
      <c r="BP189" s="5" t="n">
        <v>0</v>
      </c>
      <c r="BQ189" s="5" t="n">
        <v>0.049</v>
      </c>
      <c r="BR189" s="5" t="n">
        <v>0</v>
      </c>
      <c r="BS189" s="5" t="n">
        <v>0.833</v>
      </c>
      <c r="BT189" s="5" t="n">
        <v>0</v>
      </c>
      <c r="BU189" s="5" t="n">
        <v>0</v>
      </c>
      <c r="BV189" s="5" t="n">
        <v>0.063</v>
      </c>
      <c r="BW189" s="5" t="n">
        <v>0.16</v>
      </c>
      <c r="BX189" s="5" t="n">
        <v>0.833</v>
      </c>
      <c r="BY189" s="5" t="n">
        <v>13.646</v>
      </c>
      <c r="BZ189" s="5" t="n">
        <v>0</v>
      </c>
      <c r="CA189" s="5" t="n">
        <v>13.646</v>
      </c>
      <c r="CB189" s="5" t="n">
        <v>0</v>
      </c>
      <c r="CC189" s="5" t="n">
        <v>82.58799999999999</v>
      </c>
      <c r="CD189" s="5" t="n">
        <v>7.95</v>
      </c>
      <c r="CE189" s="5" t="n">
        <v>28.151</v>
      </c>
      <c r="CF189" s="5" t="n">
        <v>125.135</v>
      </c>
      <c r="CG189" s="5" t="n">
        <v>0.13</v>
      </c>
      <c r="CH189" s="5" t="n">
        <v>1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0</v>
      </c>
      <c r="CN189" s="5" t="n">
        <v>0</v>
      </c>
      <c r="CO189" s="5" t="n">
        <v>0</v>
      </c>
      <c r="CP189" s="5" t="n">
        <v>0</v>
      </c>
      <c r="CQ189" s="5" t="n">
        <v>1.387</v>
      </c>
      <c r="CR189" s="5" t="n">
        <v>1</v>
      </c>
      <c r="CS189" s="5" t="n">
        <v>5.529</v>
      </c>
      <c r="CT189" s="5" t="n">
        <v>4.251</v>
      </c>
      <c r="CU189" s="5" t="n">
        <v>10.168</v>
      </c>
    </row>
    <row r="190">
      <c r="A190" s="5" t="inlineStr">
        <is>
          <t>COG2021</t>
        </is>
      </c>
      <c r="B190" s="5" t="inlineStr">
        <is>
          <t>COG</t>
        </is>
      </c>
      <c r="C190" s="5" t="inlineStr">
        <is>
          <t>COG</t>
        </is>
      </c>
      <c r="D190" s="5" t="inlineStr">
        <is>
          <t>Congo, Republic of</t>
        </is>
      </c>
      <c r="E190" s="5" t="n">
        <v>2021</v>
      </c>
      <c r="F190" s="5" t="n">
        <v>0.18</v>
      </c>
      <c r="G190" s="5" t="n">
        <v>5.897</v>
      </c>
      <c r="H190" s="5" t="n">
        <v>1.143</v>
      </c>
      <c r="I190" s="5" t="n">
        <v>0</v>
      </c>
      <c r="J190" s="5" t="n">
        <v>5.897</v>
      </c>
      <c r="K190" s="5" t="n">
        <v>0</v>
      </c>
      <c r="L190" s="5" t="n">
        <v>1</v>
      </c>
      <c r="M190" s="5" t="n">
        <v>7.964</v>
      </c>
      <c r="N190" s="5" t="n">
        <v>3.43</v>
      </c>
      <c r="O190" s="5" t="n">
        <v>0</v>
      </c>
      <c r="P190" s="5" t="n">
        <v>7.964</v>
      </c>
      <c r="Q190" s="5" t="n">
        <v>0</v>
      </c>
      <c r="R190" s="5" t="n">
        <v>1</v>
      </c>
      <c r="S190" s="5" t="n">
        <v>11.613</v>
      </c>
      <c r="T190" s="5" t="n">
        <v>6.86</v>
      </c>
      <c r="U190" s="5" t="n">
        <v>0</v>
      </c>
      <c r="V190" s="5" t="n">
        <v>13.704</v>
      </c>
      <c r="W190" s="5" t="n">
        <v>0.18</v>
      </c>
      <c r="X190" s="5" t="n">
        <v>1</v>
      </c>
      <c r="Y190" s="5" t="n">
        <v>6.369</v>
      </c>
      <c r="Z190" s="5" t="n">
        <v>0.468</v>
      </c>
      <c r="AA190" s="5" t="n">
        <v>0</v>
      </c>
      <c r="AB190" s="5" t="n">
        <v>6.369</v>
      </c>
      <c r="AC190" s="5" t="n">
        <v>0</v>
      </c>
      <c r="AD190" s="5" t="n">
        <v>1</v>
      </c>
      <c r="AE190" s="5" t="n">
        <v>6.941</v>
      </c>
      <c r="AF190" s="5" t="n">
        <v>0.9379999999999999</v>
      </c>
      <c r="AG190" s="5" t="n">
        <v>0</v>
      </c>
      <c r="AH190" s="5" t="n">
        <v>6.941</v>
      </c>
      <c r="AI190" s="5" t="n">
        <v>0</v>
      </c>
      <c r="AJ190" s="5" t="n">
        <v>1</v>
      </c>
      <c r="AK190" s="5" t="n">
        <v>10.371</v>
      </c>
      <c r="AL190" s="5" t="n">
        <v>3.853</v>
      </c>
      <c r="AM190" s="5" t="n">
        <v>0</v>
      </c>
      <c r="AN190" s="5" t="n">
        <v>12.238</v>
      </c>
      <c r="AO190" s="5" t="n">
        <v>0.18</v>
      </c>
      <c r="AP190" s="5" t="n">
        <v>1</v>
      </c>
      <c r="AQ190" s="5" t="n">
        <v>0.619</v>
      </c>
      <c r="AR190" s="5" t="n">
        <v>0.114</v>
      </c>
      <c r="AS190" s="5" t="n">
        <v>0.29</v>
      </c>
      <c r="AT190" s="5" t="n">
        <v>1.073</v>
      </c>
      <c r="AU190" s="5" t="n">
        <v>0.18</v>
      </c>
      <c r="AV190" s="5" t="n">
        <v>1</v>
      </c>
      <c r="AW190" s="5" t="n">
        <v>0.599</v>
      </c>
      <c r="AX190" s="5" t="n">
        <v>0.114</v>
      </c>
      <c r="AY190" s="5" t="n">
        <v>0.127</v>
      </c>
      <c r="AZ190" s="5" t="n">
        <v>0.857</v>
      </c>
      <c r="BA190" s="5" t="n">
        <v>0.18</v>
      </c>
      <c r="BB190" s="5" t="n">
        <v>1</v>
      </c>
      <c r="BC190" s="5" t="n">
        <v>0.439</v>
      </c>
      <c r="BD190" s="5" t="n">
        <v>0.114</v>
      </c>
      <c r="BE190" s="5" t="n">
        <v>-0.324</v>
      </c>
      <c r="BF190" s="5" t="n">
        <v>0.135</v>
      </c>
      <c r="BG190" s="5" t="n">
        <v>0</v>
      </c>
      <c r="BH190" s="5" t="n">
        <v>0</v>
      </c>
      <c r="BI190" s="5" t="n">
        <v>0.505</v>
      </c>
      <c r="BJ190" s="5" t="n">
        <v>0.114</v>
      </c>
      <c r="BK190" s="5" t="n">
        <v>-0.016</v>
      </c>
      <c r="BL190" s="5" t="n">
        <v>0.577</v>
      </c>
      <c r="BM190" s="5" t="n">
        <v>0.18</v>
      </c>
      <c r="BN190" s="5" t="n">
        <v>0</v>
      </c>
      <c r="BO190" s="5" t="n">
        <v>0</v>
      </c>
      <c r="BP190" s="5" t="n">
        <v>0</v>
      </c>
      <c r="BQ190" s="5" t="n">
        <v>0.048</v>
      </c>
      <c r="BR190" s="5" t="n">
        <v>0</v>
      </c>
      <c r="BS190" s="5" t="n">
        <v>1</v>
      </c>
      <c r="BT190" s="5" t="n">
        <v>0</v>
      </c>
      <c r="BU190" s="5" t="n">
        <v>0</v>
      </c>
      <c r="BV190" s="5" t="n">
        <v>0.136</v>
      </c>
      <c r="BW190" s="5" t="n">
        <v>0.18</v>
      </c>
      <c r="BX190" s="5" t="n">
        <v>1</v>
      </c>
      <c r="BY190" s="5" t="n">
        <v>11.787</v>
      </c>
      <c r="BZ190" s="5" t="n">
        <v>0</v>
      </c>
      <c r="CA190" s="5" t="n">
        <v>11.787</v>
      </c>
      <c r="CB190" s="5" t="n">
        <v>0</v>
      </c>
      <c r="CC190" s="5" t="n">
        <v>78.125</v>
      </c>
      <c r="CD190" s="5" t="n">
        <v>7.95</v>
      </c>
      <c r="CE190" s="5" t="n">
        <v>6.922</v>
      </c>
      <c r="CF190" s="5" t="n">
        <v>100.355</v>
      </c>
      <c r="CG190" s="5" t="n">
        <v>0.18</v>
      </c>
      <c r="CH190" s="5" t="n">
        <v>1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0.047</v>
      </c>
      <c r="CP190" s="5" t="n">
        <v>0</v>
      </c>
      <c r="CQ190" s="5" t="n">
        <v>1.198</v>
      </c>
      <c r="CR190" s="5" t="n">
        <v>1</v>
      </c>
      <c r="CS190" s="5" t="n">
        <v>5.798</v>
      </c>
      <c r="CT190" s="5" t="n">
        <v>4.753</v>
      </c>
      <c r="CU190" s="5" t="n">
        <v>15.162</v>
      </c>
    </row>
    <row r="191">
      <c r="A191" s="5" t="inlineStr">
        <is>
          <t>COG2022</t>
        </is>
      </c>
      <c r="B191" s="5" t="inlineStr">
        <is>
          <t>COG</t>
        </is>
      </c>
      <c r="C191" s="5" t="inlineStr">
        <is>
          <t>COG</t>
        </is>
      </c>
      <c r="D191" s="5" t="inlineStr">
        <is>
          <t>Congo, Republic of</t>
        </is>
      </c>
      <c r="E191" s="5" t="n">
        <v>2022</v>
      </c>
      <c r="F191" s="5" t="n">
        <v>0.18</v>
      </c>
      <c r="G191" s="5" t="n">
        <v>11.72</v>
      </c>
      <c r="H191" s="5" t="n">
        <v>1.235</v>
      </c>
      <c r="I191" s="5" t="n">
        <v>0</v>
      </c>
      <c r="J191" s="5" t="n">
        <v>11.72</v>
      </c>
      <c r="K191" s="5" t="n">
        <v>0</v>
      </c>
      <c r="L191" s="5" t="n">
        <v>1</v>
      </c>
      <c r="M191" s="5" t="n">
        <v>9.782999999999999</v>
      </c>
      <c r="N191" s="5" t="n">
        <v>3.704</v>
      </c>
      <c r="O191" s="5" t="n">
        <v>0</v>
      </c>
      <c r="P191" s="5" t="n">
        <v>9.782999999999999</v>
      </c>
      <c r="Q191" s="5" t="n">
        <v>0</v>
      </c>
      <c r="R191" s="5" t="n">
        <v>1</v>
      </c>
      <c r="S191" s="5" t="n">
        <v>17.893</v>
      </c>
      <c r="T191" s="5" t="n">
        <v>7.408</v>
      </c>
      <c r="U191" s="5" t="n">
        <v>0.238</v>
      </c>
      <c r="V191" s="5" t="n">
        <v>21.114</v>
      </c>
      <c r="W191" s="5" t="n">
        <v>0.18</v>
      </c>
      <c r="X191" s="5" t="n">
        <v>1</v>
      </c>
      <c r="Y191" s="5" t="n">
        <v>6.878</v>
      </c>
      <c r="Z191" s="5" t="n">
        <v>0.506</v>
      </c>
      <c r="AA191" s="5" t="n">
        <v>0</v>
      </c>
      <c r="AB191" s="5" t="n">
        <v>6.878</v>
      </c>
      <c r="AC191" s="5" t="n">
        <v>0</v>
      </c>
      <c r="AD191" s="5" t="n">
        <v>1</v>
      </c>
      <c r="AE191" s="5" t="n">
        <v>7.496</v>
      </c>
      <c r="AF191" s="5" t="n">
        <v>1.013</v>
      </c>
      <c r="AG191" s="5" t="n">
        <v>0</v>
      </c>
      <c r="AH191" s="5" t="n">
        <v>7.496</v>
      </c>
      <c r="AI191" s="5" t="n">
        <v>0</v>
      </c>
      <c r="AJ191" s="5" t="n">
        <v>1</v>
      </c>
      <c r="AK191" s="5" t="n">
        <v>11.2</v>
      </c>
      <c r="AL191" s="5" t="n">
        <v>4.161</v>
      </c>
      <c r="AM191" s="5" t="n">
        <v>0.149</v>
      </c>
      <c r="AN191" s="5" t="n">
        <v>13.216</v>
      </c>
      <c r="AO191" s="5" t="n">
        <v>0.18</v>
      </c>
      <c r="AP191" s="5" t="n">
        <v>1</v>
      </c>
      <c r="AQ191" s="5" t="n">
        <v>0.861</v>
      </c>
      <c r="AR191" s="5" t="n">
        <v>0.123</v>
      </c>
      <c r="AS191" s="5" t="n">
        <v>-0.053</v>
      </c>
      <c r="AT191" s="5" t="n">
        <v>0.954</v>
      </c>
      <c r="AU191" s="5" t="n">
        <v>0.18</v>
      </c>
      <c r="AV191" s="5" t="n">
        <v>1</v>
      </c>
      <c r="AW191" s="5" t="n">
        <v>0.986</v>
      </c>
      <c r="AX191" s="5" t="n">
        <v>0.123</v>
      </c>
      <c r="AY191" s="5" t="n">
        <v>-0.341</v>
      </c>
      <c r="AZ191" s="5" t="n">
        <v>0.762</v>
      </c>
      <c r="BA191" s="5" t="n">
        <v>0.18</v>
      </c>
      <c r="BB191" s="5" t="n">
        <v>1</v>
      </c>
      <c r="BC191" s="5" t="n">
        <v>0.598</v>
      </c>
      <c r="BD191" s="5" t="n">
        <v>0.123</v>
      </c>
      <c r="BE191" s="5" t="n">
        <v>-0.484</v>
      </c>
      <c r="BF191" s="5" t="n">
        <v>0.134</v>
      </c>
      <c r="BG191" s="5" t="n">
        <v>0</v>
      </c>
      <c r="BH191" s="5" t="n">
        <v>0</v>
      </c>
      <c r="BI191" s="5" t="n">
        <v>0.612</v>
      </c>
      <c r="BJ191" s="5" t="n">
        <v>0.123</v>
      </c>
      <c r="BK191" s="5" t="n">
        <v>-0.178</v>
      </c>
      <c r="BL191" s="5" t="n">
        <v>0.513</v>
      </c>
      <c r="BM191" s="5" t="n">
        <v>0.18</v>
      </c>
      <c r="BN191" s="5" t="n">
        <v>0</v>
      </c>
      <c r="BO191" s="5" t="n">
        <v>0</v>
      </c>
      <c r="BP191" s="5" t="n">
        <v>0</v>
      </c>
      <c r="BQ191" s="5" t="n">
        <v>0.042</v>
      </c>
      <c r="BR191" s="5" t="n">
        <v>0</v>
      </c>
      <c r="BS191" s="5" t="n">
        <v>1</v>
      </c>
      <c r="BT191" s="5" t="n">
        <v>0</v>
      </c>
      <c r="BU191" s="5" t="n">
        <v>0</v>
      </c>
      <c r="BV191" s="5" t="n">
        <v>0.121</v>
      </c>
      <c r="BW191" s="5" t="n">
        <v>0.18</v>
      </c>
      <c r="BX191" s="5" t="n">
        <v>1</v>
      </c>
      <c r="BY191" s="5" t="n">
        <v>12.729</v>
      </c>
      <c r="BZ191" s="5" t="n">
        <v>0</v>
      </c>
      <c r="CA191" s="5" t="n">
        <v>12.729</v>
      </c>
      <c r="CB191" s="5" t="n">
        <v>0</v>
      </c>
      <c r="CC191" s="5" t="n">
        <v>97.90000000000001</v>
      </c>
      <c r="CD191" s="5" t="n">
        <v>7.95</v>
      </c>
      <c r="CE191" s="5" t="n">
        <v>-22.292</v>
      </c>
      <c r="CF191" s="5" t="n">
        <v>89.217</v>
      </c>
      <c r="CG191" s="5" t="n">
        <v>0.18</v>
      </c>
      <c r="CH191" s="5" t="n">
        <v>1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0.021</v>
      </c>
      <c r="CP191" s="5" t="n">
        <v>0</v>
      </c>
      <c r="CQ191" s="5" t="n">
        <v>1.294</v>
      </c>
      <c r="CR191" s="5" t="n">
        <v>1</v>
      </c>
      <c r="CS191" s="5" t="n">
        <v>6.261</v>
      </c>
      <c r="CT191" s="5" t="n">
        <v>10.485</v>
      </c>
      <c r="CU191" s="5" t="n">
        <v>31.326</v>
      </c>
    </row>
    <row r="192">
      <c r="A192" s="5" t="inlineStr">
        <is>
          <t>COG2023</t>
        </is>
      </c>
      <c r="B192" s="5" t="inlineStr">
        <is>
          <t>COG</t>
        </is>
      </c>
      <c r="C192" s="5" t="inlineStr">
        <is>
          <t>COG</t>
        </is>
      </c>
      <c r="D192" s="5" t="inlineStr">
        <is>
          <t>Congo, Republic of</t>
        </is>
      </c>
      <c r="E192" s="5" t="n">
        <v>2023</v>
      </c>
      <c r="F192" s="5" t="n">
        <v>0.18</v>
      </c>
      <c r="G192" s="5" t="n">
        <v>6.147</v>
      </c>
      <c r="H192" s="5" t="n">
        <v>1.286</v>
      </c>
      <c r="I192" s="5" t="n">
        <v>0</v>
      </c>
      <c r="J192" s="5" t="n">
        <v>6.147</v>
      </c>
      <c r="K192" s="5" t="n">
        <v>0</v>
      </c>
      <c r="L192" s="5" t="n">
        <v>1</v>
      </c>
      <c r="M192" s="5" t="n">
        <v>7.886</v>
      </c>
      <c r="N192" s="5" t="n">
        <v>3.857</v>
      </c>
      <c r="O192" s="5" t="n">
        <v>0</v>
      </c>
      <c r="P192" s="5" t="n">
        <v>7.886</v>
      </c>
      <c r="Q192" s="5" t="n">
        <v>0</v>
      </c>
      <c r="R192" s="5" t="n">
        <v>1</v>
      </c>
      <c r="S192" s="5" t="n">
        <v>12.575</v>
      </c>
      <c r="T192" s="5" t="n">
        <v>7.714</v>
      </c>
      <c r="U192" s="5" t="n">
        <v>0.251</v>
      </c>
      <c r="V192" s="5" t="n">
        <v>14.839</v>
      </c>
      <c r="W192" s="5" t="n">
        <v>0.18</v>
      </c>
      <c r="X192" s="5" t="n">
        <v>1</v>
      </c>
      <c r="Y192" s="5" t="n">
        <v>7.162</v>
      </c>
      <c r="Z192" s="5" t="n">
        <v>0.527</v>
      </c>
      <c r="AA192" s="5" t="n">
        <v>0</v>
      </c>
      <c r="AB192" s="5" t="n">
        <v>7.162</v>
      </c>
      <c r="AC192" s="5" t="n">
        <v>0</v>
      </c>
      <c r="AD192" s="5" t="n">
        <v>1</v>
      </c>
      <c r="AE192" s="5" t="n">
        <v>7.805</v>
      </c>
      <c r="AF192" s="5" t="n">
        <v>1.055</v>
      </c>
      <c r="AG192" s="5" t="n">
        <v>0</v>
      </c>
      <c r="AH192" s="5" t="n">
        <v>7.805</v>
      </c>
      <c r="AI192" s="5" t="n">
        <v>0</v>
      </c>
      <c r="AJ192" s="5" t="n">
        <v>1</v>
      </c>
      <c r="AK192" s="5" t="n">
        <v>11.662</v>
      </c>
      <c r="AL192" s="5" t="n">
        <v>4.332</v>
      </c>
      <c r="AM192" s="5" t="n">
        <v>0.232</v>
      </c>
      <c r="AN192" s="5" t="n">
        <v>13.761</v>
      </c>
      <c r="AO192" s="5" t="n">
        <v>0.18</v>
      </c>
      <c r="AP192" s="5" t="n">
        <v>1</v>
      </c>
      <c r="AQ192" s="5" t="n">
        <v>0.76</v>
      </c>
      <c r="AR192" s="5" t="n">
        <v>0.129</v>
      </c>
      <c r="AS192" s="5" t="n">
        <v>0.218</v>
      </c>
      <c r="AT192" s="5" t="n">
        <v>1.154</v>
      </c>
      <c r="AU192" s="5" t="n">
        <v>0.18</v>
      </c>
      <c r="AV192" s="5" t="n">
        <v>1</v>
      </c>
      <c r="AW192" s="5" t="n">
        <v>0.8110000000000001</v>
      </c>
      <c r="AX192" s="5" t="n">
        <v>0.129</v>
      </c>
      <c r="AY192" s="5" t="n">
        <v>-0.08400000000000001</v>
      </c>
      <c r="AZ192" s="5" t="n">
        <v>0.859</v>
      </c>
      <c r="BA192" s="5" t="n">
        <v>0.18</v>
      </c>
      <c r="BB192" s="5" t="n">
        <v>1</v>
      </c>
      <c r="BC192" s="5" t="n">
        <v>0.535</v>
      </c>
      <c r="BD192" s="5" t="n">
        <v>0.129</v>
      </c>
      <c r="BE192" s="5" t="n">
        <v>-0.395</v>
      </c>
      <c r="BF192" s="5" t="n">
        <v>0.14</v>
      </c>
      <c r="BG192" s="5" t="n">
        <v>0</v>
      </c>
      <c r="BH192" s="5" t="n">
        <v>0</v>
      </c>
      <c r="BI192" s="5" t="n">
        <v>0.579</v>
      </c>
      <c r="BJ192" s="5" t="n">
        <v>0.129</v>
      </c>
      <c r="BK192" s="5" t="n">
        <v>-0.132</v>
      </c>
      <c r="BL192" s="5" t="n">
        <v>0.528</v>
      </c>
      <c r="BM192" s="5" t="n">
        <v>0.18</v>
      </c>
      <c r="BN192" s="5" t="n">
        <v>0</v>
      </c>
      <c r="BO192" s="5" t="n">
        <v>0</v>
      </c>
      <c r="BP192" s="5" t="n">
        <v>0</v>
      </c>
      <c r="BQ192" s="5" t="n">
        <v>0.044</v>
      </c>
      <c r="BR192" s="5" t="n">
        <v>0</v>
      </c>
      <c r="BS192" s="5" t="n">
        <v>1</v>
      </c>
      <c r="BT192" s="5" t="n">
        <v>0</v>
      </c>
      <c r="BU192" s="5" t="n">
        <v>0</v>
      </c>
      <c r="BV192" s="5" t="n">
        <v>0.124</v>
      </c>
      <c r="BW192" s="5" t="n">
        <v>0.18</v>
      </c>
      <c r="BX192" s="5" t="n">
        <v>1</v>
      </c>
      <c r="BY192" s="5" t="n">
        <v>13.254</v>
      </c>
      <c r="BZ192" s="5" t="n">
        <v>0</v>
      </c>
      <c r="CA192" s="5" t="n">
        <v>13.254</v>
      </c>
      <c r="CB192" s="5" t="n">
        <v>0</v>
      </c>
      <c r="CC192" s="5" t="n">
        <v>83.248</v>
      </c>
      <c r="CD192" s="5" t="n">
        <v>7.95</v>
      </c>
      <c r="CE192" s="5" t="n">
        <v>-5.498</v>
      </c>
      <c r="CF192" s="5" t="n">
        <v>91.745</v>
      </c>
      <c r="CG192" s="5" t="n">
        <v>0.18</v>
      </c>
      <c r="CH192" s="5" t="n">
        <v>1</v>
      </c>
      <c r="CI192" s="5" t="n">
        <v>0</v>
      </c>
      <c r="CJ192" s="5" t="n">
        <v>0</v>
      </c>
      <c r="CK192" s="5" t="n">
        <v>0</v>
      </c>
      <c r="CL192" s="5" t="n">
        <v>0</v>
      </c>
      <c r="CM192" s="5" t="n">
        <v>0</v>
      </c>
      <c r="CN192" s="5" t="n">
        <v>0</v>
      </c>
      <c r="CO192" s="5" t="n">
        <v>0.054</v>
      </c>
      <c r="CP192" s="5" t="n">
        <v>0</v>
      </c>
      <c r="CQ192" s="5" t="n">
        <v>1.348</v>
      </c>
      <c r="CR192" s="5" t="n">
        <v>1</v>
      </c>
      <c r="CS192" s="5" t="n">
        <v>6.519</v>
      </c>
      <c r="CT192" s="5" t="n">
        <v>4.861</v>
      </c>
      <c r="CU192" s="5" t="n">
        <v>11.622</v>
      </c>
    </row>
    <row r="193">
      <c r="A193" s="5" t="inlineStr">
        <is>
          <t>COG2024</t>
        </is>
      </c>
      <c r="B193" s="5" t="inlineStr">
        <is>
          <t>COG</t>
        </is>
      </c>
      <c r="C193" s="5" t="inlineStr">
        <is>
          <t>COG</t>
        </is>
      </c>
      <c r="D193" s="5" t="inlineStr">
        <is>
          <t>Congo, Republic of</t>
        </is>
      </c>
      <c r="E193" s="5" t="n">
        <v>2024</v>
      </c>
      <c r="F193" s="5" t="n">
        <v>0.18</v>
      </c>
      <c r="G193" s="5" t="n">
        <v>5.575</v>
      </c>
      <c r="H193" s="5" t="n">
        <v>1.324</v>
      </c>
      <c r="I193" s="5" t="n">
        <v>0</v>
      </c>
      <c r="J193" s="5" t="n">
        <v>5.575</v>
      </c>
      <c r="K193" s="5" t="n">
        <v>0</v>
      </c>
      <c r="L193" s="5" t="n">
        <v>1</v>
      </c>
      <c r="M193" s="5" t="n">
        <v>7.124</v>
      </c>
      <c r="N193" s="5" t="n">
        <v>3.971</v>
      </c>
      <c r="O193" s="5" t="n">
        <v>0</v>
      </c>
      <c r="P193" s="5" t="n">
        <v>7.124</v>
      </c>
      <c r="Q193" s="5" t="n">
        <v>0</v>
      </c>
      <c r="R193" s="5" t="n">
        <v>1</v>
      </c>
      <c r="S193" s="5" t="n">
        <v>12.193</v>
      </c>
      <c r="T193" s="5" t="n">
        <v>7.942</v>
      </c>
      <c r="U193" s="5" t="n">
        <v>0.299</v>
      </c>
      <c r="V193" s="5" t="n">
        <v>14.388</v>
      </c>
      <c r="W193" s="5" t="n">
        <v>0.18</v>
      </c>
      <c r="X193" s="5" t="n">
        <v>1</v>
      </c>
      <c r="Y193" s="5" t="n">
        <v>7.374</v>
      </c>
      <c r="Z193" s="5" t="n">
        <v>0.542</v>
      </c>
      <c r="AA193" s="5" t="n">
        <v>0</v>
      </c>
      <c r="AB193" s="5" t="n">
        <v>7.374</v>
      </c>
      <c r="AC193" s="5" t="n">
        <v>0</v>
      </c>
      <c r="AD193" s="5" t="n">
        <v>1</v>
      </c>
      <c r="AE193" s="5" t="n">
        <v>8.036</v>
      </c>
      <c r="AF193" s="5" t="n">
        <v>1.086</v>
      </c>
      <c r="AG193" s="5" t="n">
        <v>0</v>
      </c>
      <c r="AH193" s="5" t="n">
        <v>8.036</v>
      </c>
      <c r="AI193" s="5" t="n">
        <v>0</v>
      </c>
      <c r="AJ193" s="5" t="n">
        <v>1</v>
      </c>
      <c r="AK193" s="5" t="n">
        <v>12.006</v>
      </c>
      <c r="AL193" s="5" t="n">
        <v>4.46</v>
      </c>
      <c r="AM193" s="5" t="n">
        <v>0.294</v>
      </c>
      <c r="AN193" s="5" t="n">
        <v>14.167</v>
      </c>
      <c r="AO193" s="5" t="n">
        <v>0.18</v>
      </c>
      <c r="AP193" s="5" t="n">
        <v>1</v>
      </c>
      <c r="AQ193" s="5" t="n">
        <v>0.724</v>
      </c>
      <c r="AR193" s="5" t="n">
        <v>0.132</v>
      </c>
      <c r="AS193" s="5" t="n">
        <v>0.359</v>
      </c>
      <c r="AT193" s="5" t="n">
        <v>1.278</v>
      </c>
      <c r="AU193" s="5" t="n">
        <v>0.18</v>
      </c>
      <c r="AV193" s="5" t="n">
        <v>1</v>
      </c>
      <c r="AW193" s="5" t="n">
        <v>0.75</v>
      </c>
      <c r="AX193" s="5" t="n">
        <v>0.132</v>
      </c>
      <c r="AY193" s="5" t="n">
        <v>0.123</v>
      </c>
      <c r="AZ193" s="5" t="n">
        <v>1.031</v>
      </c>
      <c r="BA193" s="5" t="n">
        <v>0.18</v>
      </c>
      <c r="BB193" s="5" t="n">
        <v>1</v>
      </c>
      <c r="BC193" s="5" t="n">
        <v>0.513</v>
      </c>
      <c r="BD193" s="5" t="n">
        <v>0.132</v>
      </c>
      <c r="BE193" s="5" t="n">
        <v>-0.369</v>
      </c>
      <c r="BF193" s="5" t="n">
        <v>0.144</v>
      </c>
      <c r="BG193" s="5" t="n">
        <v>0</v>
      </c>
      <c r="BH193" s="5" t="n">
        <v>0</v>
      </c>
      <c r="BI193" s="5" t="n">
        <v>0.591</v>
      </c>
      <c r="BJ193" s="5" t="n">
        <v>0.132</v>
      </c>
      <c r="BK193" s="5" t="n">
        <v>-0.144</v>
      </c>
      <c r="BL193" s="5" t="n">
        <v>0.528</v>
      </c>
      <c r="BM193" s="5" t="n">
        <v>0.18</v>
      </c>
      <c r="BN193" s="5" t="n">
        <v>0</v>
      </c>
      <c r="BO193" s="5" t="n">
        <v>0</v>
      </c>
      <c r="BP193" s="5" t="n">
        <v>0</v>
      </c>
      <c r="BQ193" s="5" t="n">
        <v>0.045</v>
      </c>
      <c r="BR193" s="5" t="n">
        <v>0</v>
      </c>
      <c r="BS193" s="5" t="n">
        <v>1</v>
      </c>
      <c r="BT193" s="5" t="n">
        <v>0</v>
      </c>
      <c r="BU193" s="5" t="n">
        <v>0</v>
      </c>
      <c r="BV193" s="5" t="n">
        <v>0.128</v>
      </c>
      <c r="BW193" s="5" t="n">
        <v>0.18</v>
      </c>
      <c r="BX193" s="5" t="n">
        <v>1</v>
      </c>
      <c r="BY193" s="5" t="n">
        <v>13.646</v>
      </c>
      <c r="BZ193" s="5" t="n">
        <v>0</v>
      </c>
      <c r="CA193" s="5" t="n">
        <v>13.646</v>
      </c>
      <c r="CB193" s="5" t="n">
        <v>0</v>
      </c>
      <c r="CC193" s="5" t="n">
        <v>82.58799999999999</v>
      </c>
      <c r="CD193" s="5" t="n">
        <v>7.95</v>
      </c>
      <c r="CE193" s="5" t="n">
        <v>-4.809</v>
      </c>
      <c r="CF193" s="5" t="n">
        <v>91.779</v>
      </c>
      <c r="CG193" s="5" t="n">
        <v>0.18</v>
      </c>
      <c r="CH193" s="5" t="n">
        <v>1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0</v>
      </c>
      <c r="CO193" s="5" t="n">
        <v>0.051</v>
      </c>
      <c r="CP193" s="5" t="n">
        <v>0</v>
      </c>
      <c r="CQ193" s="5" t="n">
        <v>1.387</v>
      </c>
      <c r="CR193" s="5" t="n">
        <v>1</v>
      </c>
      <c r="CS193" s="5" t="n">
        <v>6.712</v>
      </c>
      <c r="CT193" s="5" t="n">
        <v>4.251</v>
      </c>
      <c r="CU193" s="5" t="n">
        <v>10.168</v>
      </c>
    </row>
    <row r="194">
      <c r="A194" s="5" t="inlineStr">
        <is>
          <t>CRI2021</t>
        </is>
      </c>
      <c r="B194" s="5" t="inlineStr">
        <is>
          <t>CRI</t>
        </is>
      </c>
      <c r="C194" s="5" t="inlineStr">
        <is>
          <t>CRI</t>
        </is>
      </c>
      <c r="D194" s="5" t="inlineStr">
        <is>
          <t>Costa Rica</t>
        </is>
      </c>
      <c r="E194" s="5" t="n">
        <v>2021</v>
      </c>
      <c r="F194" s="5" t="n">
        <v>0.13</v>
      </c>
      <c r="G194" s="5" t="n">
        <v>5.897</v>
      </c>
      <c r="H194" s="5" t="n">
        <v>1.143</v>
      </c>
      <c r="I194" s="5" t="n">
        <v>0</v>
      </c>
      <c r="J194" s="5" t="n">
        <v>5.897</v>
      </c>
      <c r="K194" s="5" t="n">
        <v>0</v>
      </c>
      <c r="L194" s="5" t="n">
        <v>1</v>
      </c>
      <c r="M194" s="5" t="n">
        <v>7.964</v>
      </c>
      <c r="N194" s="5" t="n">
        <v>3.43</v>
      </c>
      <c r="O194" s="5" t="n">
        <v>0</v>
      </c>
      <c r="P194" s="5" t="n">
        <v>7.964</v>
      </c>
      <c r="Q194" s="5" t="n">
        <v>0</v>
      </c>
      <c r="R194" s="5" t="n">
        <v>1</v>
      </c>
      <c r="S194" s="5" t="n">
        <v>11.613</v>
      </c>
      <c r="T194" s="5" t="n">
        <v>6.86</v>
      </c>
      <c r="U194" s="5" t="n">
        <v>0</v>
      </c>
      <c r="V194" s="5" t="n">
        <v>13.123</v>
      </c>
      <c r="W194" s="5" t="n">
        <v>0.13</v>
      </c>
      <c r="X194" s="5" t="n">
        <v>1</v>
      </c>
      <c r="Y194" s="5" t="n">
        <v>3.738</v>
      </c>
      <c r="Z194" s="5" t="n">
        <v>0.503</v>
      </c>
      <c r="AA194" s="5" t="n">
        <v>0</v>
      </c>
      <c r="AB194" s="5" t="n">
        <v>3.738</v>
      </c>
      <c r="AC194" s="5" t="n">
        <v>0</v>
      </c>
      <c r="AD194" s="5" t="n">
        <v>1</v>
      </c>
      <c r="AE194" s="5" t="n">
        <v>4.881</v>
      </c>
      <c r="AF194" s="5" t="n">
        <v>1.143</v>
      </c>
      <c r="AG194" s="5" t="n">
        <v>0</v>
      </c>
      <c r="AH194" s="5" t="n">
        <v>4.881</v>
      </c>
      <c r="AI194" s="5" t="n">
        <v>0</v>
      </c>
      <c r="AJ194" s="5" t="n">
        <v>1</v>
      </c>
      <c r="AK194" s="5" t="n">
        <v>11.741</v>
      </c>
      <c r="AL194" s="5" t="n">
        <v>6.309</v>
      </c>
      <c r="AM194" s="5" t="n">
        <v>0</v>
      </c>
      <c r="AN194" s="5" t="n">
        <v>13.267</v>
      </c>
      <c r="AO194" s="5" t="n">
        <v>0.13</v>
      </c>
      <c r="AP194" s="5" t="n">
        <v>1</v>
      </c>
      <c r="AQ194" s="5" t="n">
        <v>0.649</v>
      </c>
      <c r="AR194" s="5" t="n">
        <v>0.114</v>
      </c>
      <c r="AS194" s="5" t="n">
        <v>0.321</v>
      </c>
      <c r="AT194" s="5" t="n">
        <v>1.096</v>
      </c>
      <c r="AU194" s="5" t="n">
        <v>0.13</v>
      </c>
      <c r="AV194" s="5" t="n">
        <v>1</v>
      </c>
      <c r="AW194" s="5" t="n">
        <v>0.577</v>
      </c>
      <c r="AX194" s="5" t="n">
        <v>0.114</v>
      </c>
      <c r="AY194" s="5" t="n">
        <v>0.236</v>
      </c>
      <c r="AZ194" s="5" t="n">
        <v>0.919</v>
      </c>
      <c r="BA194" s="5" t="n">
        <v>0.13</v>
      </c>
      <c r="BB194" s="5" t="n">
        <v>1</v>
      </c>
      <c r="BC194" s="5" t="n">
        <v>0.458</v>
      </c>
      <c r="BD194" s="5" t="n">
        <v>0.114</v>
      </c>
      <c r="BE194" s="5" t="n">
        <v>-0.199</v>
      </c>
      <c r="BF194" s="5" t="n">
        <v>0.293</v>
      </c>
      <c r="BG194" s="5" t="n">
        <v>0</v>
      </c>
      <c r="BH194" s="5" t="n">
        <v>0</v>
      </c>
      <c r="BI194" s="5" t="n">
        <v>0.491</v>
      </c>
      <c r="BJ194" s="5" t="n">
        <v>0.114</v>
      </c>
      <c r="BK194" s="5" t="n">
        <v>0.127</v>
      </c>
      <c r="BL194" s="5" t="n">
        <v>0.698</v>
      </c>
      <c r="BM194" s="5" t="n">
        <v>0.13</v>
      </c>
      <c r="BN194" s="5" t="n">
        <v>1</v>
      </c>
      <c r="BO194" s="5" t="n">
        <v>0</v>
      </c>
      <c r="BP194" s="5" t="n">
        <v>0.002</v>
      </c>
      <c r="BQ194" s="5" t="n">
        <v>0.171</v>
      </c>
      <c r="BR194" s="5" t="n">
        <v>0</v>
      </c>
      <c r="BS194" s="5" t="n">
        <v>1</v>
      </c>
      <c r="BT194" s="5" t="n">
        <v>0</v>
      </c>
      <c r="BU194" s="5" t="n">
        <v>0.016</v>
      </c>
      <c r="BV194" s="5" t="n">
        <v>0.152</v>
      </c>
      <c r="BW194" s="5" t="n">
        <v>0</v>
      </c>
      <c r="BX194" s="5" t="n">
        <v>0.833</v>
      </c>
      <c r="BY194" s="5" t="n">
        <v>11.787</v>
      </c>
      <c r="BZ194" s="5" t="n">
        <v>0</v>
      </c>
      <c r="CA194" s="5" t="n">
        <v>11.787</v>
      </c>
      <c r="CB194" s="5" t="n">
        <v>0</v>
      </c>
      <c r="CC194" s="5" t="n">
        <v>78.125</v>
      </c>
      <c r="CD194" s="5" t="n">
        <v>7.95</v>
      </c>
      <c r="CE194" s="5" t="n">
        <v>-11.373</v>
      </c>
      <c r="CF194" s="5" t="n">
        <v>75.43000000000001</v>
      </c>
      <c r="CG194" s="5" t="n">
        <v>0.13</v>
      </c>
      <c r="CH194" s="5" t="n">
        <v>1</v>
      </c>
      <c r="CI194" s="5" t="n">
        <v>0</v>
      </c>
      <c r="CJ194" s="5" t="n">
        <v>0</v>
      </c>
      <c r="CK194" s="5" t="n">
        <v>0</v>
      </c>
      <c r="CL194" s="5" t="n">
        <v>0</v>
      </c>
      <c r="CM194" s="5" t="n">
        <v>0</v>
      </c>
      <c r="CN194" s="5" t="n">
        <v>0</v>
      </c>
      <c r="CO194" s="5" t="n">
        <v>0.053</v>
      </c>
      <c r="CP194" s="5" t="n">
        <v>0</v>
      </c>
      <c r="CQ194" s="5" t="n">
        <v>1.198</v>
      </c>
      <c r="CR194" s="5" t="n">
        <v>0</v>
      </c>
      <c r="CS194" s="5" t="n">
        <v>4.776</v>
      </c>
      <c r="CT194" s="5" t="n">
        <v>4.753</v>
      </c>
      <c r="CU194" s="5" t="n">
        <v>15.983</v>
      </c>
    </row>
    <row r="195">
      <c r="A195" s="5" t="inlineStr">
        <is>
          <t>CRI2022</t>
        </is>
      </c>
      <c r="B195" s="5" t="inlineStr">
        <is>
          <t>CRI</t>
        </is>
      </c>
      <c r="C195" s="5" t="inlineStr">
        <is>
          <t>CRI</t>
        </is>
      </c>
      <c r="D195" s="5" t="inlineStr">
        <is>
          <t>Costa Rica</t>
        </is>
      </c>
      <c r="E195" s="5" t="n">
        <v>2022</v>
      </c>
      <c r="F195" s="5" t="n">
        <v>0.13</v>
      </c>
      <c r="G195" s="5" t="n">
        <v>11.72</v>
      </c>
      <c r="H195" s="5" t="n">
        <v>1.235</v>
      </c>
      <c r="I195" s="5" t="n">
        <v>0</v>
      </c>
      <c r="J195" s="5" t="n">
        <v>11.72</v>
      </c>
      <c r="K195" s="5" t="n">
        <v>0</v>
      </c>
      <c r="L195" s="5" t="n">
        <v>1</v>
      </c>
      <c r="M195" s="5" t="n">
        <v>9.782999999999999</v>
      </c>
      <c r="N195" s="5" t="n">
        <v>3.704</v>
      </c>
      <c r="O195" s="5" t="n">
        <v>0</v>
      </c>
      <c r="P195" s="5" t="n">
        <v>9.782999999999999</v>
      </c>
      <c r="Q195" s="5" t="n">
        <v>0</v>
      </c>
      <c r="R195" s="5" t="n">
        <v>1</v>
      </c>
      <c r="S195" s="5" t="n">
        <v>17.893</v>
      </c>
      <c r="T195" s="5" t="n">
        <v>7.408</v>
      </c>
      <c r="U195" s="5" t="n">
        <v>0.172</v>
      </c>
      <c r="V195" s="5" t="n">
        <v>20.219</v>
      </c>
      <c r="W195" s="5" t="n">
        <v>0.13</v>
      </c>
      <c r="X195" s="5" t="n">
        <v>1</v>
      </c>
      <c r="Y195" s="5" t="n">
        <v>4.036</v>
      </c>
      <c r="Z195" s="5" t="n">
        <v>0.543</v>
      </c>
      <c r="AA195" s="5" t="n">
        <v>0</v>
      </c>
      <c r="AB195" s="5" t="n">
        <v>4.036</v>
      </c>
      <c r="AC195" s="5" t="n">
        <v>0</v>
      </c>
      <c r="AD195" s="5" t="n">
        <v>1</v>
      </c>
      <c r="AE195" s="5" t="n">
        <v>5.271</v>
      </c>
      <c r="AF195" s="5" t="n">
        <v>1.234</v>
      </c>
      <c r="AG195" s="5" t="n">
        <v>0</v>
      </c>
      <c r="AH195" s="5" t="n">
        <v>5.271</v>
      </c>
      <c r="AI195" s="5" t="n">
        <v>0</v>
      </c>
      <c r="AJ195" s="5" t="n">
        <v>1</v>
      </c>
      <c r="AK195" s="5" t="n">
        <v>12.679</v>
      </c>
      <c r="AL195" s="5" t="n">
        <v>6.813</v>
      </c>
      <c r="AM195" s="5" t="n">
        <v>0.122</v>
      </c>
      <c r="AN195" s="5" t="n">
        <v>14.327</v>
      </c>
      <c r="AO195" s="5" t="n">
        <v>0.13</v>
      </c>
      <c r="AP195" s="5" t="n">
        <v>1</v>
      </c>
      <c r="AQ195" s="5" t="n">
        <v>0.896</v>
      </c>
      <c r="AR195" s="5" t="n">
        <v>0.123</v>
      </c>
      <c r="AS195" s="5" t="n">
        <v>0.294</v>
      </c>
      <c r="AT195" s="5" t="n">
        <v>1.345</v>
      </c>
      <c r="AU195" s="5" t="n">
        <v>0.13</v>
      </c>
      <c r="AV195" s="5" t="n">
        <v>1</v>
      </c>
      <c r="AW195" s="5" t="n">
        <v>0.89</v>
      </c>
      <c r="AX195" s="5" t="n">
        <v>0.123</v>
      </c>
      <c r="AY195" s="5" t="n">
        <v>0.244</v>
      </c>
      <c r="AZ195" s="5" t="n">
        <v>1.281</v>
      </c>
      <c r="BA195" s="5" t="n">
        <v>0.13</v>
      </c>
      <c r="BB195" s="5" t="n">
        <v>1</v>
      </c>
      <c r="BC195" s="5" t="n">
        <v>0.62</v>
      </c>
      <c r="BD195" s="5" t="n">
        <v>0.123</v>
      </c>
      <c r="BE195" s="5" t="n">
        <v>-0.256</v>
      </c>
      <c r="BF195" s="5" t="n">
        <v>0.412</v>
      </c>
      <c r="BG195" s="5" t="n">
        <v>0</v>
      </c>
      <c r="BH195" s="5" t="n">
        <v>0</v>
      </c>
      <c r="BI195" s="5" t="n">
        <v>0.608</v>
      </c>
      <c r="BJ195" s="5" t="n">
        <v>0.123</v>
      </c>
      <c r="BK195" s="5" t="n">
        <v>0.382</v>
      </c>
      <c r="BL195" s="5" t="n">
        <v>1.119</v>
      </c>
      <c r="BM195" s="5" t="n">
        <v>0.13</v>
      </c>
      <c r="BN195" s="5" t="n">
        <v>1</v>
      </c>
      <c r="BO195" s="5" t="n">
        <v>0</v>
      </c>
      <c r="BP195" s="5" t="n">
        <v>0.005</v>
      </c>
      <c r="BQ195" s="5" t="n">
        <v>0.161</v>
      </c>
      <c r="BR195" s="5" t="n">
        <v>0</v>
      </c>
      <c r="BS195" s="5" t="n">
        <v>1</v>
      </c>
      <c r="BT195" s="5" t="n">
        <v>0</v>
      </c>
      <c r="BU195" s="5" t="n">
        <v>0.016</v>
      </c>
      <c r="BV195" s="5" t="n">
        <v>0.131</v>
      </c>
      <c r="BW195" s="5" t="n">
        <v>0</v>
      </c>
      <c r="BX195" s="5" t="n">
        <v>0.833</v>
      </c>
      <c r="BY195" s="5" t="n">
        <v>12.729</v>
      </c>
      <c r="BZ195" s="5" t="n">
        <v>0</v>
      </c>
      <c r="CA195" s="5" t="n">
        <v>12.729</v>
      </c>
      <c r="CB195" s="5" t="n">
        <v>0</v>
      </c>
      <c r="CC195" s="5" t="n">
        <v>97.90000000000001</v>
      </c>
      <c r="CD195" s="5" t="n">
        <v>7.95</v>
      </c>
      <c r="CE195" s="5" t="n">
        <v>4.575</v>
      </c>
      <c r="CF195" s="5" t="n">
        <v>115.797</v>
      </c>
      <c r="CG195" s="5" t="n">
        <v>0.13</v>
      </c>
      <c r="CH195" s="5" t="n">
        <v>1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0</v>
      </c>
      <c r="CN195" s="5" t="n">
        <v>0</v>
      </c>
      <c r="CO195" s="5" t="n">
        <v>0.058</v>
      </c>
      <c r="CP195" s="5" t="n">
        <v>0</v>
      </c>
      <c r="CQ195" s="5" t="n">
        <v>1.294</v>
      </c>
      <c r="CR195" s="5" t="n">
        <v>0</v>
      </c>
      <c r="CS195" s="5" t="n">
        <v>5.158</v>
      </c>
      <c r="CT195" s="5" t="n">
        <v>10.485</v>
      </c>
      <c r="CU195" s="5" t="n">
        <v>29.494</v>
      </c>
    </row>
    <row r="196">
      <c r="A196" s="5" t="inlineStr">
        <is>
          <t>CRI2023</t>
        </is>
      </c>
      <c r="B196" s="5" t="inlineStr">
        <is>
          <t>CRI</t>
        </is>
      </c>
      <c r="C196" s="5" t="inlineStr">
        <is>
          <t>CRI</t>
        </is>
      </c>
      <c r="D196" s="5" t="inlineStr">
        <is>
          <t>Costa Rica</t>
        </is>
      </c>
      <c r="E196" s="5" t="n">
        <v>2023</v>
      </c>
      <c r="F196" s="5" t="n">
        <v>0.13</v>
      </c>
      <c r="G196" s="5" t="n">
        <v>6.147</v>
      </c>
      <c r="H196" s="5" t="n">
        <v>1.286</v>
      </c>
      <c r="I196" s="5" t="n">
        <v>0</v>
      </c>
      <c r="J196" s="5" t="n">
        <v>6.147</v>
      </c>
      <c r="K196" s="5" t="n">
        <v>0</v>
      </c>
      <c r="L196" s="5" t="n">
        <v>1</v>
      </c>
      <c r="M196" s="5" t="n">
        <v>7.886</v>
      </c>
      <c r="N196" s="5" t="n">
        <v>3.857</v>
      </c>
      <c r="O196" s="5" t="n">
        <v>0</v>
      </c>
      <c r="P196" s="5" t="n">
        <v>7.886</v>
      </c>
      <c r="Q196" s="5" t="n">
        <v>0</v>
      </c>
      <c r="R196" s="5" t="n">
        <v>1</v>
      </c>
      <c r="S196" s="5" t="n">
        <v>12.575</v>
      </c>
      <c r="T196" s="5" t="n">
        <v>7.714</v>
      </c>
      <c r="U196" s="5" t="n">
        <v>0.181</v>
      </c>
      <c r="V196" s="5" t="n">
        <v>14.21</v>
      </c>
      <c r="W196" s="5" t="n">
        <v>0.13</v>
      </c>
      <c r="X196" s="5" t="n">
        <v>1</v>
      </c>
      <c r="Y196" s="5" t="n">
        <v>3.731</v>
      </c>
      <c r="Z196" s="5" t="n">
        <v>0.502</v>
      </c>
      <c r="AA196" s="5" t="n">
        <v>0</v>
      </c>
      <c r="AB196" s="5" t="n">
        <v>3.731</v>
      </c>
      <c r="AC196" s="5" t="n">
        <v>0</v>
      </c>
      <c r="AD196" s="5" t="n">
        <v>1</v>
      </c>
      <c r="AE196" s="5" t="n">
        <v>5.016</v>
      </c>
      <c r="AF196" s="5" t="n">
        <v>1.175</v>
      </c>
      <c r="AG196" s="5" t="n">
        <v>0</v>
      </c>
      <c r="AH196" s="5" t="n">
        <v>5.016</v>
      </c>
      <c r="AI196" s="5" t="n">
        <v>0</v>
      </c>
      <c r="AJ196" s="5" t="n">
        <v>1</v>
      </c>
      <c r="AK196" s="5" t="n">
        <v>12.73</v>
      </c>
      <c r="AL196" s="5" t="n">
        <v>6.84</v>
      </c>
      <c r="AM196" s="5" t="n">
        <v>0.183</v>
      </c>
      <c r="AN196" s="5" t="n">
        <v>14.385</v>
      </c>
      <c r="AO196" s="5" t="n">
        <v>0.13</v>
      </c>
      <c r="AP196" s="5" t="n">
        <v>1</v>
      </c>
      <c r="AQ196" s="5" t="n">
        <v>0.791</v>
      </c>
      <c r="AR196" s="5" t="n">
        <v>0.129</v>
      </c>
      <c r="AS196" s="5" t="n">
        <v>0.391</v>
      </c>
      <c r="AT196" s="5" t="n">
        <v>1.336</v>
      </c>
      <c r="AU196" s="5" t="n">
        <v>0.13</v>
      </c>
      <c r="AV196" s="5" t="n">
        <v>1</v>
      </c>
      <c r="AW196" s="5" t="n">
        <v>0.618</v>
      </c>
      <c r="AX196" s="5" t="n">
        <v>0.129</v>
      </c>
      <c r="AY196" s="5" t="n">
        <v>0.457</v>
      </c>
      <c r="AZ196" s="5" t="n">
        <v>1.214</v>
      </c>
      <c r="BA196" s="5" t="n">
        <v>0.13</v>
      </c>
      <c r="BB196" s="5" t="n">
        <v>1</v>
      </c>
      <c r="BC196" s="5" t="n">
        <v>0.554</v>
      </c>
      <c r="BD196" s="5" t="n">
        <v>0.129</v>
      </c>
      <c r="BE196" s="5" t="n">
        <v>-0.195</v>
      </c>
      <c r="BF196" s="5" t="n">
        <v>0.406</v>
      </c>
      <c r="BG196" s="5" t="n">
        <v>0</v>
      </c>
      <c r="BH196" s="5" t="n">
        <v>0</v>
      </c>
      <c r="BI196" s="5" t="n">
        <v>0.5570000000000001</v>
      </c>
      <c r="BJ196" s="5" t="n">
        <v>0.129</v>
      </c>
      <c r="BK196" s="5" t="n">
        <v>0.392</v>
      </c>
      <c r="BL196" s="5" t="n">
        <v>1.073</v>
      </c>
      <c r="BM196" s="5" t="n">
        <v>0.13</v>
      </c>
      <c r="BN196" s="5" t="n">
        <v>1</v>
      </c>
      <c r="BO196" s="5" t="n">
        <v>0</v>
      </c>
      <c r="BP196" s="5" t="n">
        <v>0.01</v>
      </c>
      <c r="BQ196" s="5" t="n">
        <v>0.201</v>
      </c>
      <c r="BR196" s="5" t="n">
        <v>0</v>
      </c>
      <c r="BS196" s="5" t="n">
        <v>1</v>
      </c>
      <c r="BT196" s="5" t="n">
        <v>0</v>
      </c>
      <c r="BU196" s="5" t="n">
        <v>0.016</v>
      </c>
      <c r="BV196" s="5" t="n">
        <v>0.167</v>
      </c>
      <c r="BW196" s="5" t="n">
        <v>0</v>
      </c>
      <c r="BX196" s="5" t="n">
        <v>0.833</v>
      </c>
      <c r="BY196" s="5" t="n">
        <v>13.254</v>
      </c>
      <c r="BZ196" s="5" t="n">
        <v>0</v>
      </c>
      <c r="CA196" s="5" t="n">
        <v>13.254</v>
      </c>
      <c r="CB196" s="5" t="n">
        <v>0</v>
      </c>
      <c r="CC196" s="5" t="n">
        <v>83.248</v>
      </c>
      <c r="CD196" s="5" t="n">
        <v>7.95</v>
      </c>
      <c r="CE196" s="5" t="n">
        <v>-9.032999999999999</v>
      </c>
      <c r="CF196" s="5" t="n">
        <v>83.863</v>
      </c>
      <c r="CG196" s="5" t="n">
        <v>0.13</v>
      </c>
      <c r="CH196" s="5" t="n">
        <v>1</v>
      </c>
      <c r="CI196" s="5" t="n">
        <v>0</v>
      </c>
      <c r="CJ196" s="5" t="n">
        <v>0</v>
      </c>
      <c r="CK196" s="5" t="n">
        <v>0</v>
      </c>
      <c r="CL196" s="5" t="n">
        <v>0</v>
      </c>
      <c r="CM196" s="5" t="n">
        <v>0</v>
      </c>
      <c r="CN196" s="5" t="n">
        <v>0</v>
      </c>
      <c r="CO196" s="5" t="n">
        <v>0.062</v>
      </c>
      <c r="CP196" s="5" t="n">
        <v>0</v>
      </c>
      <c r="CQ196" s="5" t="n">
        <v>1.348</v>
      </c>
      <c r="CR196" s="5" t="n">
        <v>0</v>
      </c>
      <c r="CS196" s="5" t="n">
        <v>5.37</v>
      </c>
      <c r="CT196" s="5" t="n">
        <v>4.861</v>
      </c>
      <c r="CU196" s="5" t="n">
        <v>11.192</v>
      </c>
    </row>
    <row r="197">
      <c r="A197" s="5" t="inlineStr">
        <is>
          <t>CRI2024</t>
        </is>
      </c>
      <c r="B197" s="5" t="inlineStr">
        <is>
          <t>CRI</t>
        </is>
      </c>
      <c r="C197" s="5" t="inlineStr">
        <is>
          <t>CRI</t>
        </is>
      </c>
      <c r="D197" s="5" t="inlineStr">
        <is>
          <t>Costa Rica</t>
        </is>
      </c>
      <c r="E197" s="5" t="n">
        <v>2024</v>
      </c>
      <c r="F197" s="5" t="n">
        <v>0.13</v>
      </c>
      <c r="G197" s="5" t="n">
        <v>5.575</v>
      </c>
      <c r="H197" s="5" t="n">
        <v>1.324</v>
      </c>
      <c r="I197" s="5" t="n">
        <v>0</v>
      </c>
      <c r="J197" s="5" t="n">
        <v>5.575</v>
      </c>
      <c r="K197" s="5" t="n">
        <v>0</v>
      </c>
      <c r="L197" s="5" t="n">
        <v>1</v>
      </c>
      <c r="M197" s="5" t="n">
        <v>7.124</v>
      </c>
      <c r="N197" s="5" t="n">
        <v>3.971</v>
      </c>
      <c r="O197" s="5" t="n">
        <v>0</v>
      </c>
      <c r="P197" s="5" t="n">
        <v>7.124</v>
      </c>
      <c r="Q197" s="5" t="n">
        <v>0</v>
      </c>
      <c r="R197" s="5" t="n">
        <v>1</v>
      </c>
      <c r="S197" s="5" t="n">
        <v>12.193</v>
      </c>
      <c r="T197" s="5" t="n">
        <v>7.942</v>
      </c>
      <c r="U197" s="5" t="n">
        <v>0.216</v>
      </c>
      <c r="V197" s="5" t="n">
        <v>13.778</v>
      </c>
      <c r="W197" s="5" t="n">
        <v>0.13</v>
      </c>
      <c r="X197" s="5" t="n">
        <v>1</v>
      </c>
      <c r="Y197" s="5" t="n">
        <v>3.841</v>
      </c>
      <c r="Z197" s="5" t="n">
        <v>0.517</v>
      </c>
      <c r="AA197" s="5" t="n">
        <v>0</v>
      </c>
      <c r="AB197" s="5" t="n">
        <v>3.841</v>
      </c>
      <c r="AC197" s="5" t="n">
        <v>0</v>
      </c>
      <c r="AD197" s="5" t="n">
        <v>1</v>
      </c>
      <c r="AE197" s="5" t="n">
        <v>5.164</v>
      </c>
      <c r="AF197" s="5" t="n">
        <v>1.209</v>
      </c>
      <c r="AG197" s="5" t="n">
        <v>0</v>
      </c>
      <c r="AH197" s="5" t="n">
        <v>5.164</v>
      </c>
      <c r="AI197" s="5" t="n">
        <v>0</v>
      </c>
      <c r="AJ197" s="5" t="n">
        <v>1</v>
      </c>
      <c r="AK197" s="5" t="n">
        <v>13.106</v>
      </c>
      <c r="AL197" s="5" t="n">
        <v>7.042</v>
      </c>
      <c r="AM197" s="5" t="n">
        <v>0.232</v>
      </c>
      <c r="AN197" s="5" t="n">
        <v>14.81</v>
      </c>
      <c r="AO197" s="5" t="n">
        <v>0.13</v>
      </c>
      <c r="AP197" s="5" t="n">
        <v>1</v>
      </c>
      <c r="AQ197" s="5" t="n">
        <v>0.756</v>
      </c>
      <c r="AR197" s="5" t="n">
        <v>0.132</v>
      </c>
      <c r="AS197" s="5" t="n">
        <v>0.412</v>
      </c>
      <c r="AT197" s="5" t="n">
        <v>1.32</v>
      </c>
      <c r="AU197" s="5" t="n">
        <v>0.13</v>
      </c>
      <c r="AV197" s="5" t="n">
        <v>1</v>
      </c>
      <c r="AW197" s="5" t="n">
        <v>0.655</v>
      </c>
      <c r="AX197" s="5" t="n">
        <v>0.132</v>
      </c>
      <c r="AY197" s="5" t="n">
        <v>0.518</v>
      </c>
      <c r="AZ197" s="5" t="n">
        <v>1.325</v>
      </c>
      <c r="BA197" s="5" t="n">
        <v>0.13</v>
      </c>
      <c r="BB197" s="5" t="n">
        <v>1</v>
      </c>
      <c r="BC197" s="5" t="n">
        <v>0.534</v>
      </c>
      <c r="BD197" s="5" t="n">
        <v>0.132</v>
      </c>
      <c r="BE197" s="5" t="n">
        <v>-0.233</v>
      </c>
      <c r="BF197" s="5" t="n">
        <v>0.34</v>
      </c>
      <c r="BG197" s="5" t="n">
        <v>0</v>
      </c>
      <c r="BH197" s="5" t="n">
        <v>0</v>
      </c>
      <c r="BI197" s="5" t="n">
        <v>0.5679999999999999</v>
      </c>
      <c r="BJ197" s="5" t="n">
        <v>0.132</v>
      </c>
      <c r="BK197" s="5" t="n">
        <v>0.294</v>
      </c>
      <c r="BL197" s="5" t="n">
        <v>0.974</v>
      </c>
      <c r="BM197" s="5" t="n">
        <v>0.13</v>
      </c>
      <c r="BN197" s="5" t="n">
        <v>1</v>
      </c>
      <c r="BO197" s="5" t="n">
        <v>0</v>
      </c>
      <c r="BP197" s="5" t="n">
        <v>0.014</v>
      </c>
      <c r="BQ197" s="5" t="n">
        <v>0.232</v>
      </c>
      <c r="BR197" s="5" t="n">
        <v>0</v>
      </c>
      <c r="BS197" s="5" t="n">
        <v>1</v>
      </c>
      <c r="BT197" s="5" t="n">
        <v>0</v>
      </c>
      <c r="BU197" s="5" t="n">
        <v>0.016</v>
      </c>
      <c r="BV197" s="5" t="n">
        <v>0.191</v>
      </c>
      <c r="BW197" s="5" t="n">
        <v>0</v>
      </c>
      <c r="BX197" s="5" t="n">
        <v>0.833</v>
      </c>
      <c r="BY197" s="5" t="n">
        <v>13.646</v>
      </c>
      <c r="BZ197" s="5" t="n">
        <v>0</v>
      </c>
      <c r="CA197" s="5" t="n">
        <v>13.646</v>
      </c>
      <c r="CB197" s="5" t="n">
        <v>0</v>
      </c>
      <c r="CC197" s="5" t="n">
        <v>82.58799999999999</v>
      </c>
      <c r="CD197" s="5" t="n">
        <v>7.95</v>
      </c>
      <c r="CE197" s="5" t="n">
        <v>-7.326</v>
      </c>
      <c r="CF197" s="5" t="n">
        <v>85.04600000000001</v>
      </c>
      <c r="CG197" s="5" t="n">
        <v>0.13</v>
      </c>
      <c r="CH197" s="5" t="n">
        <v>1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0.065</v>
      </c>
      <c r="CP197" s="5" t="n">
        <v>0</v>
      </c>
      <c r="CQ197" s="5" t="n">
        <v>1.387</v>
      </c>
      <c r="CR197" s="5" t="n">
        <v>0</v>
      </c>
      <c r="CS197" s="5" t="n">
        <v>5.529</v>
      </c>
      <c r="CT197" s="5" t="n">
        <v>4.251</v>
      </c>
      <c r="CU197" s="5" t="n">
        <v>10.123</v>
      </c>
    </row>
    <row r="198">
      <c r="A198" s="5" t="inlineStr">
        <is>
          <t>HRV2021</t>
        </is>
      </c>
      <c r="B198" s="5" t="inlineStr">
        <is>
          <t>HRV</t>
        </is>
      </c>
      <c r="C198" s="5" t="inlineStr">
        <is>
          <t>HRV</t>
        </is>
      </c>
      <c r="D198" s="5" t="inlineStr">
        <is>
          <t>Croatia</t>
        </is>
      </c>
      <c r="E198" s="5" t="n">
        <v>2021</v>
      </c>
      <c r="F198" s="5" t="n">
        <v>0.25</v>
      </c>
      <c r="G198" s="5" t="n">
        <v>7.431</v>
      </c>
      <c r="H198" s="5" t="n">
        <v>1.626</v>
      </c>
      <c r="I198" s="5" t="n">
        <v>0.731</v>
      </c>
      <c r="J198" s="5" t="n">
        <v>8.163</v>
      </c>
      <c r="K198" s="5" t="n">
        <v>0</v>
      </c>
      <c r="L198" s="5" t="n">
        <v>1</v>
      </c>
      <c r="M198" s="5" t="n">
        <v>10.953</v>
      </c>
      <c r="N198" s="5" t="n">
        <v>4.964</v>
      </c>
      <c r="O198" s="5" t="n">
        <v>0.759</v>
      </c>
      <c r="P198" s="5" t="n">
        <v>11.711</v>
      </c>
      <c r="Q198" s="5" t="n">
        <v>0</v>
      </c>
      <c r="R198" s="5" t="n">
        <v>1</v>
      </c>
      <c r="S198" s="5" t="n">
        <v>9.023</v>
      </c>
      <c r="T198" s="5" t="n">
        <v>5.591</v>
      </c>
      <c r="U198" s="5" t="n">
        <v>0.335</v>
      </c>
      <c r="V198" s="5" t="n">
        <v>11.563</v>
      </c>
      <c r="W198" s="5" t="n">
        <v>0.236</v>
      </c>
      <c r="X198" s="5" t="n">
        <v>1</v>
      </c>
      <c r="Y198" s="5" t="n">
        <v>13.603</v>
      </c>
      <c r="Z198" s="5" t="n">
        <v>1.503</v>
      </c>
      <c r="AA198" s="5" t="n">
        <v>-2.069</v>
      </c>
      <c r="AB198" s="5" t="n">
        <v>11.533</v>
      </c>
      <c r="AC198" s="5" t="n">
        <v>0</v>
      </c>
      <c r="AD198" s="5" t="n">
        <v>1</v>
      </c>
      <c r="AE198" s="5" t="n">
        <v>13.559</v>
      </c>
      <c r="AF198" s="5" t="n">
        <v>2.668</v>
      </c>
      <c r="AG198" s="5" t="n">
        <v>-2.026</v>
      </c>
      <c r="AH198" s="5" t="n">
        <v>11.533</v>
      </c>
      <c r="AI198" s="5" t="n">
        <v>0</v>
      </c>
      <c r="AJ198" s="5" t="n">
        <v>1</v>
      </c>
      <c r="AK198" s="5" t="n">
        <v>16.803</v>
      </c>
      <c r="AL198" s="5" t="n">
        <v>8.247</v>
      </c>
      <c r="AM198" s="5" t="n">
        <v>-6.658</v>
      </c>
      <c r="AN198" s="5" t="n">
        <v>12.681</v>
      </c>
      <c r="AO198" s="5" t="n">
        <v>0</v>
      </c>
      <c r="AP198" s="5" t="n">
        <v>0</v>
      </c>
      <c r="AQ198" s="5" t="n">
        <v>0.619</v>
      </c>
      <c r="AR198" s="5" t="n">
        <v>0.114</v>
      </c>
      <c r="AS198" s="5" t="n">
        <v>0.708</v>
      </c>
      <c r="AT198" s="5" t="n">
        <v>1.659</v>
      </c>
      <c r="AU198" s="5" t="n">
        <v>0.25</v>
      </c>
      <c r="AV198" s="5" t="n">
        <v>1</v>
      </c>
      <c r="AW198" s="5" t="n">
        <v>0.599</v>
      </c>
      <c r="AX198" s="5" t="n">
        <v>0.114</v>
      </c>
      <c r="AY198" s="5" t="n">
        <v>0.6899999999999999</v>
      </c>
      <c r="AZ198" s="5" t="n">
        <v>1.611</v>
      </c>
      <c r="BA198" s="5" t="n">
        <v>0.25</v>
      </c>
      <c r="BB198" s="5" t="n">
        <v>1</v>
      </c>
      <c r="BC198" s="5" t="n">
        <v>0.439</v>
      </c>
      <c r="BD198" s="5" t="n">
        <v>0.114</v>
      </c>
      <c r="BE198" s="5" t="n">
        <v>0.22</v>
      </c>
      <c r="BF198" s="5" t="n">
        <v>0.824</v>
      </c>
      <c r="BG198" s="5" t="n">
        <v>0.25</v>
      </c>
      <c r="BH198" s="5" t="n">
        <v>1</v>
      </c>
      <c r="BI198" s="5" t="n">
        <v>0.505</v>
      </c>
      <c r="BJ198" s="5" t="n">
        <v>0.114</v>
      </c>
      <c r="BK198" s="5" t="n">
        <v>0.124</v>
      </c>
      <c r="BL198" s="5" t="n">
        <v>0.785</v>
      </c>
      <c r="BM198" s="5" t="n">
        <v>0.25</v>
      </c>
      <c r="BN198" s="5" t="n">
        <v>1</v>
      </c>
      <c r="BO198" s="5" t="n">
        <v>0</v>
      </c>
      <c r="BP198" s="5" t="n">
        <v>0.012</v>
      </c>
      <c r="BQ198" s="5" t="n">
        <v>0.102</v>
      </c>
      <c r="BR198" s="5" t="n">
        <v>0</v>
      </c>
      <c r="BS198" s="5" t="n">
        <v>1</v>
      </c>
      <c r="BT198" s="5" t="n">
        <v>0</v>
      </c>
      <c r="BU198" s="5" t="n">
        <v>0.016</v>
      </c>
      <c r="BV198" s="5" t="n">
        <v>0.154</v>
      </c>
      <c r="BW198" s="5" t="n">
        <v>0.13</v>
      </c>
      <c r="BX198" s="5" t="n">
        <v>0.5</v>
      </c>
      <c r="BY198" s="5" t="n">
        <v>11.787</v>
      </c>
      <c r="BZ198" s="5" t="n">
        <v>0</v>
      </c>
      <c r="CA198" s="5" t="n">
        <v>11.787</v>
      </c>
      <c r="CB198" s="5" t="n">
        <v>0</v>
      </c>
      <c r="CC198" s="5" t="n">
        <v>78.125</v>
      </c>
      <c r="CD198" s="5" t="n">
        <v>7.95</v>
      </c>
      <c r="CE198" s="5" t="n">
        <v>24.804</v>
      </c>
      <c r="CF198" s="5" t="n">
        <v>128.661</v>
      </c>
      <c r="CG198" s="5" t="n">
        <v>0.25</v>
      </c>
      <c r="CH198" s="5" t="n">
        <v>1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0.007</v>
      </c>
      <c r="CN198" s="5" t="n">
        <v>0.109</v>
      </c>
      <c r="CO198" s="5" t="n">
        <v>0.201</v>
      </c>
      <c r="CP198" s="5" t="n">
        <v>0</v>
      </c>
      <c r="CQ198" s="5" t="n">
        <v>1.198</v>
      </c>
      <c r="CR198" s="5" t="n">
        <v>0</v>
      </c>
      <c r="CS198" s="5" t="n">
        <v>3.929</v>
      </c>
      <c r="CT198" s="5" t="n">
        <v>5.61</v>
      </c>
      <c r="CU198" s="5" t="n">
        <v>8.303000000000001</v>
      </c>
    </row>
    <row r="199">
      <c r="A199" s="5" t="inlineStr">
        <is>
          <t>HRV2022</t>
        </is>
      </c>
      <c r="B199" s="5" t="inlineStr">
        <is>
          <t>HRV</t>
        </is>
      </c>
      <c r="C199" s="5" t="inlineStr">
        <is>
          <t>HRV</t>
        </is>
      </c>
      <c r="D199" s="5" t="inlineStr">
        <is>
          <t>Croatia</t>
        </is>
      </c>
      <c r="E199" s="5" t="n">
        <v>2022</v>
      </c>
      <c r="F199" s="5" t="n">
        <v>0.25</v>
      </c>
      <c r="G199" s="5" t="n">
        <v>15.227</v>
      </c>
      <c r="H199" s="5" t="n">
        <v>2.365</v>
      </c>
      <c r="I199" s="5" t="n">
        <v>8.161</v>
      </c>
      <c r="J199" s="5" t="n">
        <v>23.388</v>
      </c>
      <c r="K199" s="5" t="n">
        <v>0</v>
      </c>
      <c r="L199" s="5" t="n">
        <v>1</v>
      </c>
      <c r="M199" s="5" t="n">
        <v>12.771</v>
      </c>
      <c r="N199" s="5" t="n">
        <v>5.274</v>
      </c>
      <c r="O199" s="5" t="n">
        <v>8.465999999999999</v>
      </c>
      <c r="P199" s="5" t="n">
        <v>21.237</v>
      </c>
      <c r="Q199" s="5" t="n">
        <v>0</v>
      </c>
      <c r="R199" s="5" t="n">
        <v>1</v>
      </c>
      <c r="S199" s="5" t="n">
        <v>17.275</v>
      </c>
      <c r="T199" s="5" t="n">
        <v>8.461</v>
      </c>
      <c r="U199" s="5" t="n">
        <v>0.336</v>
      </c>
      <c r="V199" s="5" t="n">
        <v>21.387</v>
      </c>
      <c r="W199" s="5" t="n">
        <v>0.236</v>
      </c>
      <c r="X199" s="5" t="n">
        <v>1</v>
      </c>
      <c r="Y199" s="5" t="n">
        <v>35.731</v>
      </c>
      <c r="Z199" s="5" t="n">
        <v>3.748</v>
      </c>
      <c r="AA199" s="5" t="n">
        <v>-10.721</v>
      </c>
      <c r="AB199" s="5" t="n">
        <v>25.009</v>
      </c>
      <c r="AC199" s="5" t="n">
        <v>0</v>
      </c>
      <c r="AD199" s="5" t="n">
        <v>1</v>
      </c>
      <c r="AE199" s="5" t="n">
        <v>35.778</v>
      </c>
      <c r="AF199" s="5" t="n">
        <v>6.633</v>
      </c>
      <c r="AG199" s="5" t="n">
        <v>-10.769</v>
      </c>
      <c r="AH199" s="5" t="n">
        <v>25.009</v>
      </c>
      <c r="AI199" s="5" t="n">
        <v>0</v>
      </c>
      <c r="AJ199" s="5" t="n">
        <v>1</v>
      </c>
      <c r="AK199" s="5" t="n">
        <v>39.571</v>
      </c>
      <c r="AL199" s="5" t="n">
        <v>18.897</v>
      </c>
      <c r="AM199" s="5" t="n">
        <v>-27.556</v>
      </c>
      <c r="AN199" s="5" t="n">
        <v>12.615</v>
      </c>
      <c r="AO199" s="5" t="n">
        <v>0</v>
      </c>
      <c r="AP199" s="5" t="n">
        <v>0</v>
      </c>
      <c r="AQ199" s="5" t="n">
        <v>0.861</v>
      </c>
      <c r="AR199" s="5" t="n">
        <v>0.123</v>
      </c>
      <c r="AS199" s="5" t="n">
        <v>0.495</v>
      </c>
      <c r="AT199" s="5" t="n">
        <v>1.696</v>
      </c>
      <c r="AU199" s="5" t="n">
        <v>0.25</v>
      </c>
      <c r="AV199" s="5" t="n">
        <v>1</v>
      </c>
      <c r="AW199" s="5" t="n">
        <v>0.986</v>
      </c>
      <c r="AX199" s="5" t="n">
        <v>0.123</v>
      </c>
      <c r="AY199" s="5" t="n">
        <v>0.504</v>
      </c>
      <c r="AZ199" s="5" t="n">
        <v>1.862</v>
      </c>
      <c r="BA199" s="5" t="n">
        <v>0.25</v>
      </c>
      <c r="BB199" s="5" t="n">
        <v>1</v>
      </c>
      <c r="BC199" s="5" t="n">
        <v>0.598</v>
      </c>
      <c r="BD199" s="5" t="n">
        <v>0.123</v>
      </c>
      <c r="BE199" s="5" t="n">
        <v>0.198</v>
      </c>
      <c r="BF199" s="5" t="n">
        <v>0.995</v>
      </c>
      <c r="BG199" s="5" t="n">
        <v>0.25</v>
      </c>
      <c r="BH199" s="5" t="n">
        <v>1</v>
      </c>
      <c r="BI199" s="5" t="n">
        <v>0.612</v>
      </c>
      <c r="BJ199" s="5" t="n">
        <v>0.123</v>
      </c>
      <c r="BK199" s="5" t="n">
        <v>0.387</v>
      </c>
      <c r="BL199" s="5" t="n">
        <v>1.249</v>
      </c>
      <c r="BM199" s="5" t="n">
        <v>0.25</v>
      </c>
      <c r="BN199" s="5" t="n">
        <v>1</v>
      </c>
      <c r="BO199" s="5" t="n">
        <v>0</v>
      </c>
      <c r="BP199" s="5" t="n">
        <v>0.012</v>
      </c>
      <c r="BQ199" s="5" t="n">
        <v>0.157</v>
      </c>
      <c r="BR199" s="5" t="n">
        <v>0</v>
      </c>
      <c r="BS199" s="5" t="n">
        <v>1</v>
      </c>
      <c r="BT199" s="5" t="n">
        <v>0</v>
      </c>
      <c r="BU199" s="5" t="n">
        <v>0.015</v>
      </c>
      <c r="BV199" s="5" t="n">
        <v>0.149</v>
      </c>
      <c r="BW199" s="5" t="n">
        <v>0.13</v>
      </c>
      <c r="BX199" s="5" t="n">
        <v>0.5</v>
      </c>
      <c r="BY199" s="5" t="n">
        <v>12.729</v>
      </c>
      <c r="BZ199" s="5" t="n">
        <v>0</v>
      </c>
      <c r="CA199" s="5" t="n">
        <v>12.729</v>
      </c>
      <c r="CB199" s="5" t="n">
        <v>0</v>
      </c>
      <c r="CC199" s="5" t="n">
        <v>97.90000000000001</v>
      </c>
      <c r="CD199" s="5" t="n">
        <v>7.95</v>
      </c>
      <c r="CE199" s="5" t="n">
        <v>92.86799999999999</v>
      </c>
      <c r="CF199" s="5" t="n">
        <v>238.46</v>
      </c>
      <c r="CG199" s="5" t="n">
        <v>0.25</v>
      </c>
      <c r="CH199" s="5" t="n">
        <v>1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0.008</v>
      </c>
      <c r="CN199" s="5" t="n">
        <v>0.113</v>
      </c>
      <c r="CO199" s="5" t="n">
        <v>0.211</v>
      </c>
      <c r="CP199" s="5" t="n">
        <v>0</v>
      </c>
      <c r="CQ199" s="5" t="n">
        <v>1.294</v>
      </c>
      <c r="CR199" s="5" t="n">
        <v>0</v>
      </c>
      <c r="CS199" s="5" t="n">
        <v>4.243</v>
      </c>
      <c r="CT199" s="5" t="n">
        <v>13.314</v>
      </c>
      <c r="CU199" s="5" t="n">
        <v>30.339</v>
      </c>
    </row>
    <row r="200">
      <c r="A200" s="5" t="inlineStr">
        <is>
          <t>HRV2023</t>
        </is>
      </c>
      <c r="B200" s="5" t="inlineStr">
        <is>
          <t>HRV</t>
        </is>
      </c>
      <c r="C200" s="5" t="inlineStr">
        <is>
          <t>HRV</t>
        </is>
      </c>
      <c r="D200" s="5" t="inlineStr">
        <is>
          <t>Croatia</t>
        </is>
      </c>
      <c r="E200" s="5" t="n">
        <v>2023</v>
      </c>
      <c r="F200" s="5" t="n">
        <v>0.25</v>
      </c>
      <c r="G200" s="5" t="n">
        <v>8.023</v>
      </c>
      <c r="H200" s="5" t="n">
        <v>1.827</v>
      </c>
      <c r="I200" s="5" t="n">
        <v>9.458</v>
      </c>
      <c r="J200" s="5" t="n">
        <v>17.481</v>
      </c>
      <c r="K200" s="5" t="n">
        <v>0</v>
      </c>
      <c r="L200" s="5" t="n">
        <v>1</v>
      </c>
      <c r="M200" s="5" t="n">
        <v>10.874</v>
      </c>
      <c r="N200" s="5" t="n">
        <v>5.393</v>
      </c>
      <c r="O200" s="5" t="n">
        <v>10.146</v>
      </c>
      <c r="P200" s="5" t="n">
        <v>21.021</v>
      </c>
      <c r="Q200" s="5" t="n">
        <v>0</v>
      </c>
      <c r="R200" s="5" t="n">
        <v>1</v>
      </c>
      <c r="S200" s="5" t="n">
        <v>10.326</v>
      </c>
      <c r="T200" s="5" t="n">
        <v>6.476</v>
      </c>
      <c r="U200" s="5" t="n">
        <v>0.613</v>
      </c>
      <c r="V200" s="5" t="n">
        <v>13.174</v>
      </c>
      <c r="W200" s="5" t="n">
        <v>0.236</v>
      </c>
      <c r="X200" s="5" t="n">
        <v>1</v>
      </c>
      <c r="Y200" s="5" t="n">
        <v>17.935</v>
      </c>
      <c r="Z200" s="5" t="n">
        <v>2.009</v>
      </c>
      <c r="AA200" s="5" t="n">
        <v>6.898</v>
      </c>
      <c r="AB200" s="5" t="n">
        <v>24.832</v>
      </c>
      <c r="AC200" s="5" t="n">
        <v>0</v>
      </c>
      <c r="AD200" s="5" t="n">
        <v>1</v>
      </c>
      <c r="AE200" s="5" t="n">
        <v>18.033</v>
      </c>
      <c r="AF200" s="5" t="n">
        <v>3.592</v>
      </c>
      <c r="AG200" s="5" t="n">
        <v>6.799</v>
      </c>
      <c r="AH200" s="5" t="n">
        <v>24.832</v>
      </c>
      <c r="AI200" s="5" t="n">
        <v>0</v>
      </c>
      <c r="AJ200" s="5" t="n">
        <v>1</v>
      </c>
      <c r="AK200" s="5" t="n">
        <v>22.131</v>
      </c>
      <c r="AL200" s="5" t="n">
        <v>10.963</v>
      </c>
      <c r="AM200" s="5" t="n">
        <v>-9.256</v>
      </c>
      <c r="AN200" s="5" t="n">
        <v>13.52</v>
      </c>
      <c r="AO200" s="5" t="n">
        <v>0</v>
      </c>
      <c r="AP200" s="5" t="n">
        <v>0</v>
      </c>
      <c r="AQ200" s="5" t="n">
        <v>0.76</v>
      </c>
      <c r="AR200" s="5" t="n">
        <v>0.129</v>
      </c>
      <c r="AS200" s="5" t="n">
        <v>0.302</v>
      </c>
      <c r="AT200" s="5" t="n">
        <v>1.328</v>
      </c>
      <c r="AU200" s="5" t="n">
        <v>0.25</v>
      </c>
      <c r="AV200" s="5" t="n">
        <v>1</v>
      </c>
      <c r="AW200" s="5" t="n">
        <v>0.8110000000000001</v>
      </c>
      <c r="AX200" s="5" t="n">
        <v>0.129</v>
      </c>
      <c r="AY200" s="5" t="n">
        <v>0.363</v>
      </c>
      <c r="AZ200" s="5" t="n">
        <v>1.468</v>
      </c>
      <c r="BA200" s="5" t="n">
        <v>0.25</v>
      </c>
      <c r="BB200" s="5" t="n">
        <v>1</v>
      </c>
      <c r="BC200" s="5" t="n">
        <v>0.535</v>
      </c>
      <c r="BD200" s="5" t="n">
        <v>0.129</v>
      </c>
      <c r="BE200" s="5" t="n">
        <v>0.231</v>
      </c>
      <c r="BF200" s="5" t="n">
        <v>0.957</v>
      </c>
      <c r="BG200" s="5" t="n">
        <v>0.25</v>
      </c>
      <c r="BH200" s="5" t="n">
        <v>1</v>
      </c>
      <c r="BI200" s="5" t="n">
        <v>0.579</v>
      </c>
      <c r="BJ200" s="5" t="n">
        <v>0.129</v>
      </c>
      <c r="BK200" s="5" t="n">
        <v>0.283</v>
      </c>
      <c r="BL200" s="5" t="n">
        <v>1.078</v>
      </c>
      <c r="BM200" s="5" t="n">
        <v>0.25</v>
      </c>
      <c r="BN200" s="5" t="n">
        <v>1</v>
      </c>
      <c r="BO200" s="5" t="n">
        <v>0</v>
      </c>
      <c r="BP200" s="5" t="n">
        <v>0.014</v>
      </c>
      <c r="BQ200" s="5" t="n">
        <v>0.234</v>
      </c>
      <c r="BR200" s="5" t="n">
        <v>0</v>
      </c>
      <c r="BS200" s="5" t="n">
        <v>1</v>
      </c>
      <c r="BT200" s="5" t="n">
        <v>0</v>
      </c>
      <c r="BU200" s="5" t="n">
        <v>0.015</v>
      </c>
      <c r="BV200" s="5" t="n">
        <v>0.16</v>
      </c>
      <c r="BW200" s="5" t="n">
        <v>0.13</v>
      </c>
      <c r="BX200" s="5" t="n">
        <v>0.5</v>
      </c>
      <c r="BY200" s="5" t="n">
        <v>13.254</v>
      </c>
      <c r="BZ200" s="5" t="n">
        <v>0</v>
      </c>
      <c r="CA200" s="5" t="n">
        <v>13.254</v>
      </c>
      <c r="CB200" s="5" t="n">
        <v>0</v>
      </c>
      <c r="CC200" s="5" t="n">
        <v>83.248</v>
      </c>
      <c r="CD200" s="5" t="n">
        <v>7.95</v>
      </c>
      <c r="CE200" s="5" t="n">
        <v>91.529</v>
      </c>
      <c r="CF200" s="5" t="n">
        <v>218.471</v>
      </c>
      <c r="CG200" s="5" t="n">
        <v>0.25</v>
      </c>
      <c r="CH200" s="5" t="n">
        <v>1</v>
      </c>
      <c r="CI200" s="5" t="n">
        <v>0</v>
      </c>
      <c r="CJ200" s="5" t="n">
        <v>0</v>
      </c>
      <c r="CK200" s="5" t="n">
        <v>0</v>
      </c>
      <c r="CL200" s="5" t="n">
        <v>0</v>
      </c>
      <c r="CM200" s="5" t="n">
        <v>0.008</v>
      </c>
      <c r="CN200" s="5" t="n">
        <v>0.112</v>
      </c>
      <c r="CO200" s="5" t="n">
        <v>0.198</v>
      </c>
      <c r="CP200" s="5" t="n">
        <v>0</v>
      </c>
      <c r="CQ200" s="5" t="n">
        <v>1.348</v>
      </c>
      <c r="CR200" s="5" t="n">
        <v>0</v>
      </c>
      <c r="CS200" s="5" t="n">
        <v>4.418</v>
      </c>
      <c r="CT200" s="5" t="n">
        <v>6.059</v>
      </c>
      <c r="CU200" s="5" t="n">
        <v>12.492</v>
      </c>
    </row>
    <row r="201">
      <c r="A201" s="5" t="inlineStr">
        <is>
          <t>HRV2024</t>
        </is>
      </c>
      <c r="B201" s="5" t="inlineStr">
        <is>
          <t>HRV</t>
        </is>
      </c>
      <c r="C201" s="5" t="inlineStr">
        <is>
          <t>HRV</t>
        </is>
      </c>
      <c r="D201" s="5" t="inlineStr">
        <is>
          <t>Croatia</t>
        </is>
      </c>
      <c r="E201" s="5" t="n">
        <v>2024</v>
      </c>
      <c r="F201" s="5" t="n">
        <v>0.25</v>
      </c>
      <c r="G201" s="5" t="n">
        <v>6.577</v>
      </c>
      <c r="H201" s="5" t="n">
        <v>1.666</v>
      </c>
      <c r="I201" s="5" t="n">
        <v>6.198</v>
      </c>
      <c r="J201" s="5" t="n">
        <v>12.775</v>
      </c>
      <c r="K201" s="5" t="n">
        <v>0</v>
      </c>
      <c r="L201" s="5" t="n">
        <v>1</v>
      </c>
      <c r="M201" s="5" t="n">
        <v>10.112</v>
      </c>
      <c r="N201" s="5" t="n">
        <v>5.508</v>
      </c>
      <c r="O201" s="5" t="n">
        <v>6.765</v>
      </c>
      <c r="P201" s="5" t="n">
        <v>16.877</v>
      </c>
      <c r="Q201" s="5" t="n">
        <v>0</v>
      </c>
      <c r="R201" s="5" t="n">
        <v>1</v>
      </c>
      <c r="S201" s="5" t="n">
        <v>9.07</v>
      </c>
      <c r="T201" s="5" t="n">
        <v>6.004</v>
      </c>
      <c r="U201" s="5" t="n">
        <v>0.647</v>
      </c>
      <c r="V201" s="5" t="n">
        <v>11.633</v>
      </c>
      <c r="W201" s="5" t="n">
        <v>0.236</v>
      </c>
      <c r="X201" s="5" t="n">
        <v>1</v>
      </c>
      <c r="Y201" s="5" t="n">
        <v>15.604</v>
      </c>
      <c r="Z201" s="5" t="n">
        <v>1.97</v>
      </c>
      <c r="AA201" s="5" t="n">
        <v>3.893</v>
      </c>
      <c r="AB201" s="5" t="n">
        <v>19.497</v>
      </c>
      <c r="AC201" s="5" t="n">
        <v>0</v>
      </c>
      <c r="AD201" s="5" t="n">
        <v>1</v>
      </c>
      <c r="AE201" s="5" t="n">
        <v>15.604</v>
      </c>
      <c r="AF201" s="5" t="n">
        <v>3.418</v>
      </c>
      <c r="AG201" s="5" t="n">
        <v>3.893</v>
      </c>
      <c r="AH201" s="5" t="n">
        <v>19.497</v>
      </c>
      <c r="AI201" s="5" t="n">
        <v>0</v>
      </c>
      <c r="AJ201" s="5" t="n">
        <v>1</v>
      </c>
      <c r="AK201" s="5" t="n">
        <v>18.243</v>
      </c>
      <c r="AL201" s="5" t="n">
        <v>9.279</v>
      </c>
      <c r="AM201" s="5" t="n">
        <v>-5.315</v>
      </c>
      <c r="AN201" s="5" t="n">
        <v>13.575</v>
      </c>
      <c r="AO201" s="5" t="n">
        <v>0</v>
      </c>
      <c r="AP201" s="5" t="n">
        <v>0</v>
      </c>
      <c r="AQ201" s="5" t="n">
        <v>0.724</v>
      </c>
      <c r="AR201" s="5" t="n">
        <v>0.132</v>
      </c>
      <c r="AS201" s="5" t="n">
        <v>0.613</v>
      </c>
      <c r="AT201" s="5" t="n">
        <v>1.672</v>
      </c>
      <c r="AU201" s="5" t="n">
        <v>0.25</v>
      </c>
      <c r="AV201" s="5" t="n">
        <v>1</v>
      </c>
      <c r="AW201" s="5" t="n">
        <v>0.75</v>
      </c>
      <c r="AX201" s="5" t="n">
        <v>0.132</v>
      </c>
      <c r="AY201" s="5" t="n">
        <v>0.606</v>
      </c>
      <c r="AZ201" s="5" t="n">
        <v>1.696</v>
      </c>
      <c r="BA201" s="5" t="n">
        <v>0.25</v>
      </c>
      <c r="BB201" s="5" t="n">
        <v>1</v>
      </c>
      <c r="BC201" s="5" t="n">
        <v>0.513</v>
      </c>
      <c r="BD201" s="5" t="n">
        <v>0.132</v>
      </c>
      <c r="BE201" s="5" t="n">
        <v>0.164</v>
      </c>
      <c r="BF201" s="5" t="n">
        <v>0.846</v>
      </c>
      <c r="BG201" s="5" t="n">
        <v>0.25</v>
      </c>
      <c r="BH201" s="5" t="n">
        <v>1</v>
      </c>
      <c r="BI201" s="5" t="n">
        <v>0.591</v>
      </c>
      <c r="BJ201" s="5" t="n">
        <v>0.132</v>
      </c>
      <c r="BK201" s="5" t="n">
        <v>0.323</v>
      </c>
      <c r="BL201" s="5" t="n">
        <v>1.105</v>
      </c>
      <c r="BM201" s="5" t="n">
        <v>0.25</v>
      </c>
      <c r="BN201" s="5" t="n">
        <v>1</v>
      </c>
      <c r="BO201" s="5" t="n">
        <v>0</v>
      </c>
      <c r="BP201" s="5" t="n">
        <v>0.014</v>
      </c>
      <c r="BQ201" s="5" t="n">
        <v>0.218</v>
      </c>
      <c r="BR201" s="5" t="n">
        <v>0</v>
      </c>
      <c r="BS201" s="5" t="n">
        <v>1</v>
      </c>
      <c r="BT201" s="5" t="n">
        <v>0</v>
      </c>
      <c r="BU201" s="5" t="n">
        <v>0.015</v>
      </c>
      <c r="BV201" s="5" t="n">
        <v>0.16</v>
      </c>
      <c r="BW201" s="5" t="n">
        <v>0.13</v>
      </c>
      <c r="BX201" s="5" t="n">
        <v>0.5</v>
      </c>
      <c r="BY201" s="5" t="n">
        <v>13.646</v>
      </c>
      <c r="BZ201" s="5" t="n">
        <v>0</v>
      </c>
      <c r="CA201" s="5" t="n">
        <v>13.646</v>
      </c>
      <c r="CB201" s="5" t="n">
        <v>0</v>
      </c>
      <c r="CC201" s="5" t="n">
        <v>82.58799999999999</v>
      </c>
      <c r="CD201" s="5" t="n">
        <v>7.95</v>
      </c>
      <c r="CE201" s="5" t="n">
        <v>72.22799999999999</v>
      </c>
      <c r="CF201" s="5" t="n">
        <v>193.52</v>
      </c>
      <c r="CG201" s="5" t="n">
        <v>0.25</v>
      </c>
      <c r="CH201" s="5" t="n">
        <v>1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0.008</v>
      </c>
      <c r="CN201" s="5" t="n">
        <v>0.107</v>
      </c>
      <c r="CO201" s="5" t="n">
        <v>0.18</v>
      </c>
      <c r="CP201" s="5" t="n">
        <v>0</v>
      </c>
      <c r="CQ201" s="5" t="n">
        <v>1.387</v>
      </c>
      <c r="CR201" s="5" t="n">
        <v>0</v>
      </c>
      <c r="CS201" s="5" t="n">
        <v>4.548</v>
      </c>
      <c r="CT201" s="5" t="n">
        <v>4.575</v>
      </c>
      <c r="CU201" s="5" t="n">
        <v>5.564</v>
      </c>
    </row>
    <row r="202">
      <c r="A202" s="5" t="inlineStr">
        <is>
          <t>CUB2021</t>
        </is>
      </c>
      <c r="B202" s="5" t="inlineStr">
        <is>
          <t>CUB</t>
        </is>
      </c>
      <c r="C202" s="5" t="inlineStr">
        <is>
          <t>CUB</t>
        </is>
      </c>
      <c r="D202" s="5" t="inlineStr">
        <is>
          <t>Cuba</t>
        </is>
      </c>
      <c r="E202" s="5" t="n">
        <v>2021</v>
      </c>
      <c r="F202" s="5" t="n">
        <v>0.1</v>
      </c>
      <c r="G202" s="5" t="n">
        <v>5.897</v>
      </c>
      <c r="H202" s="5" t="n">
        <v>1.143</v>
      </c>
      <c r="I202" s="5" t="n">
        <v>0</v>
      </c>
      <c r="J202" s="5" t="n">
        <v>5.897</v>
      </c>
      <c r="K202" s="5" t="n">
        <v>0</v>
      </c>
      <c r="L202" s="5" t="n">
        <v>1</v>
      </c>
      <c r="M202" s="5" t="n">
        <v>7.964</v>
      </c>
      <c r="N202" s="5" t="n">
        <v>3.43</v>
      </c>
      <c r="O202" s="5" t="n">
        <v>0</v>
      </c>
      <c r="P202" s="5" t="n">
        <v>7.964</v>
      </c>
      <c r="Q202" s="5" t="n">
        <v>0</v>
      </c>
      <c r="R202" s="5" t="n">
        <v>1</v>
      </c>
      <c r="S202" s="5" t="n">
        <v>11.613</v>
      </c>
      <c r="T202" s="5" t="n">
        <v>6.86</v>
      </c>
      <c r="U202" s="5" t="n">
        <v>0</v>
      </c>
      <c r="V202" s="5" t="n">
        <v>12.775</v>
      </c>
      <c r="W202" s="5" t="n">
        <v>0.1</v>
      </c>
      <c r="X202" s="5" t="n">
        <v>1</v>
      </c>
      <c r="Y202" s="5" t="n">
        <v>17.127</v>
      </c>
      <c r="Z202" s="5" t="n">
        <v>2.304</v>
      </c>
      <c r="AA202" s="5" t="n">
        <v>0</v>
      </c>
      <c r="AB202" s="5" t="n">
        <v>17.127</v>
      </c>
      <c r="AC202" s="5" t="n">
        <v>0</v>
      </c>
      <c r="AD202" s="5" t="n">
        <v>1</v>
      </c>
      <c r="AE202" s="5" t="n">
        <v>18.27</v>
      </c>
      <c r="AF202" s="5" t="n">
        <v>4.278</v>
      </c>
      <c r="AG202" s="5" t="n">
        <v>0</v>
      </c>
      <c r="AH202" s="5" t="n">
        <v>18.27</v>
      </c>
      <c r="AI202" s="5" t="n">
        <v>0</v>
      </c>
      <c r="AJ202" s="5" t="n">
        <v>1</v>
      </c>
      <c r="AK202" s="5" t="n">
        <v>25.13</v>
      </c>
      <c r="AL202" s="5" t="n">
        <v>13.503</v>
      </c>
      <c r="AM202" s="5" t="n">
        <v>0</v>
      </c>
      <c r="AN202" s="5" t="n">
        <v>27.643</v>
      </c>
      <c r="AO202" s="5" t="n">
        <v>0.1</v>
      </c>
      <c r="AP202" s="5" t="n">
        <v>1</v>
      </c>
      <c r="AQ202" s="5" t="n">
        <v>0.649</v>
      </c>
      <c r="AR202" s="5" t="n">
        <v>0.114</v>
      </c>
      <c r="AS202" s="5" t="n">
        <v>0.8179999999999999</v>
      </c>
      <c r="AT202" s="5" t="n">
        <v>1.613</v>
      </c>
      <c r="AU202" s="5" t="n">
        <v>0.1</v>
      </c>
      <c r="AV202" s="5" t="n">
        <v>1</v>
      </c>
      <c r="AW202" s="5" t="n">
        <v>0.577</v>
      </c>
      <c r="AX202" s="5" t="n">
        <v>0.114</v>
      </c>
      <c r="AY202" s="5" t="n">
        <v>0.727</v>
      </c>
      <c r="AZ202" s="5" t="n">
        <v>1.434</v>
      </c>
      <c r="BA202" s="5" t="n">
        <v>0.1</v>
      </c>
      <c r="BB202" s="5" t="n">
        <v>1</v>
      </c>
      <c r="BC202" s="5" t="n">
        <v>0.458</v>
      </c>
      <c r="BD202" s="5" t="n">
        <v>0.114</v>
      </c>
      <c r="BE202" s="5" t="n">
        <v>0</v>
      </c>
      <c r="BF202" s="5" t="n">
        <v>0.504</v>
      </c>
      <c r="BG202" s="5" t="n">
        <v>0.1</v>
      </c>
      <c r="BH202" s="5" t="n">
        <v>1</v>
      </c>
      <c r="BI202" s="5" t="n">
        <v>0.491</v>
      </c>
      <c r="BJ202" s="5" t="n">
        <v>0.114</v>
      </c>
      <c r="BK202" s="5" t="n">
        <v>0</v>
      </c>
      <c r="BL202" s="5" t="n">
        <v>0.54</v>
      </c>
      <c r="BM202" s="5" t="n">
        <v>0.1</v>
      </c>
      <c r="BN202" s="5" t="n">
        <v>1</v>
      </c>
      <c r="BO202" s="5" t="n">
        <v>0</v>
      </c>
      <c r="BP202" s="5" t="n">
        <v>0</v>
      </c>
      <c r="BQ202" s="5" t="n">
        <v>0.183</v>
      </c>
      <c r="BR202" s="5" t="n">
        <v>0</v>
      </c>
      <c r="BS202" s="5" t="n">
        <v>0.833</v>
      </c>
      <c r="BT202" s="5" t="n">
        <v>0</v>
      </c>
      <c r="BU202" s="5" t="n">
        <v>0</v>
      </c>
      <c r="BV202" s="5" t="n">
        <v>0.209</v>
      </c>
      <c r="BW202" s="5" t="n">
        <v>0</v>
      </c>
      <c r="BX202" s="5" t="n">
        <v>0.833</v>
      </c>
      <c r="BY202" s="5" t="n">
        <v>11.787</v>
      </c>
      <c r="BZ202" s="5" t="n">
        <v>0</v>
      </c>
      <c r="CA202" s="5" t="n">
        <v>11.787</v>
      </c>
      <c r="CB202" s="5" t="n">
        <v>0</v>
      </c>
      <c r="CC202" s="5" t="n">
        <v>78.125</v>
      </c>
      <c r="CD202" s="5" t="n">
        <v>7.95</v>
      </c>
      <c r="CE202" s="5" t="n">
        <v>0</v>
      </c>
      <c r="CF202" s="5" t="n">
        <v>85.938</v>
      </c>
      <c r="CG202" s="5" t="n">
        <v>0.1</v>
      </c>
      <c r="CH202" s="5" t="n">
        <v>1</v>
      </c>
      <c r="CI202" s="5" t="n">
        <v>0</v>
      </c>
      <c r="CJ202" s="5" t="n">
        <v>0</v>
      </c>
      <c r="CK202" s="5" t="n">
        <v>0</v>
      </c>
      <c r="CL202" s="5" t="n">
        <v>0</v>
      </c>
      <c r="CM202" s="5" t="n">
        <v>0</v>
      </c>
      <c r="CN202" s="5" t="n">
        <v>0</v>
      </c>
      <c r="CO202" s="5" t="n">
        <v>0</v>
      </c>
      <c r="CP202" s="5" t="n">
        <v>0</v>
      </c>
      <c r="CQ202" s="5" t="n">
        <v>1.198</v>
      </c>
      <c r="CR202" s="5" t="n">
        <v>0</v>
      </c>
      <c r="CS202" s="5" t="n">
        <v>4.776</v>
      </c>
      <c r="CT202" s="5" t="n">
        <v>4.753</v>
      </c>
      <c r="CU202" s="5" t="n">
        <v>15.983</v>
      </c>
    </row>
    <row r="203">
      <c r="A203" s="5" t="inlineStr">
        <is>
          <t>CUB2022</t>
        </is>
      </c>
      <c r="B203" s="5" t="inlineStr">
        <is>
          <t>CUB</t>
        </is>
      </c>
      <c r="C203" s="5" t="inlineStr">
        <is>
          <t>CUB</t>
        </is>
      </c>
      <c r="D203" s="5" t="inlineStr">
        <is>
          <t>Cuba</t>
        </is>
      </c>
      <c r="E203" s="5" t="n">
        <v>2022</v>
      </c>
      <c r="F203" s="5" t="n">
        <v>0.1</v>
      </c>
      <c r="G203" s="5" t="n">
        <v>11.72</v>
      </c>
      <c r="H203" s="5" t="n">
        <v>1.235</v>
      </c>
      <c r="I203" s="5" t="n">
        <v>0</v>
      </c>
      <c r="J203" s="5" t="n">
        <v>11.72</v>
      </c>
      <c r="K203" s="5" t="n">
        <v>0</v>
      </c>
      <c r="L203" s="5" t="n">
        <v>1</v>
      </c>
      <c r="M203" s="5" t="n">
        <v>9.782999999999999</v>
      </c>
      <c r="N203" s="5" t="n">
        <v>3.704</v>
      </c>
      <c r="O203" s="5" t="n">
        <v>0</v>
      </c>
      <c r="P203" s="5" t="n">
        <v>9.782999999999999</v>
      </c>
      <c r="Q203" s="5" t="n">
        <v>0</v>
      </c>
      <c r="R203" s="5" t="n">
        <v>1</v>
      </c>
      <c r="S203" s="5" t="n">
        <v>17.893</v>
      </c>
      <c r="T203" s="5" t="n">
        <v>7.408</v>
      </c>
      <c r="U203" s="5" t="n">
        <v>0.132</v>
      </c>
      <c r="V203" s="5" t="n">
        <v>19.683</v>
      </c>
      <c r="W203" s="5" t="n">
        <v>0.1</v>
      </c>
      <c r="X203" s="5" t="n">
        <v>1</v>
      </c>
      <c r="Y203" s="5" t="n">
        <v>30.728</v>
      </c>
      <c r="Z203" s="5" t="n">
        <v>4.133</v>
      </c>
      <c r="AA203" s="5" t="n">
        <v>0</v>
      </c>
      <c r="AB203" s="5" t="n">
        <v>30.728</v>
      </c>
      <c r="AC203" s="5" t="n">
        <v>0</v>
      </c>
      <c r="AD203" s="5" t="n">
        <v>1</v>
      </c>
      <c r="AE203" s="5" t="n">
        <v>31.963</v>
      </c>
      <c r="AF203" s="5" t="n">
        <v>7.485</v>
      </c>
      <c r="AG203" s="5" t="n">
        <v>0</v>
      </c>
      <c r="AH203" s="5" t="n">
        <v>31.963</v>
      </c>
      <c r="AI203" s="5" t="n">
        <v>0</v>
      </c>
      <c r="AJ203" s="5" t="n">
        <v>1</v>
      </c>
      <c r="AK203" s="5" t="n">
        <v>39.371</v>
      </c>
      <c r="AL203" s="5" t="n">
        <v>21.155</v>
      </c>
      <c r="AM203" s="5" t="n">
        <v>0.291</v>
      </c>
      <c r="AN203" s="5" t="n">
        <v>43.308</v>
      </c>
      <c r="AO203" s="5" t="n">
        <v>0.1</v>
      </c>
      <c r="AP203" s="5" t="n">
        <v>1</v>
      </c>
      <c r="AQ203" s="5" t="n">
        <v>0.896</v>
      </c>
      <c r="AR203" s="5" t="n">
        <v>0.123</v>
      </c>
      <c r="AS203" s="5" t="n">
        <v>0.878</v>
      </c>
      <c r="AT203" s="5" t="n">
        <v>1.937</v>
      </c>
      <c r="AU203" s="5" t="n">
        <v>0.1</v>
      </c>
      <c r="AV203" s="5" t="n">
        <v>1</v>
      </c>
      <c r="AW203" s="5" t="n">
        <v>0.89</v>
      </c>
      <c r="AX203" s="5" t="n">
        <v>0.123</v>
      </c>
      <c r="AY203" s="5" t="n">
        <v>0.773</v>
      </c>
      <c r="AZ203" s="5" t="n">
        <v>1.816</v>
      </c>
      <c r="BA203" s="5" t="n">
        <v>0.1</v>
      </c>
      <c r="BB203" s="5" t="n">
        <v>1</v>
      </c>
      <c r="BC203" s="5" t="n">
        <v>0.62</v>
      </c>
      <c r="BD203" s="5" t="n">
        <v>0.123</v>
      </c>
      <c r="BE203" s="5" t="n">
        <v>0.005</v>
      </c>
      <c r="BF203" s="5" t="n">
        <v>0.6820000000000001</v>
      </c>
      <c r="BG203" s="5" t="n">
        <v>0.1</v>
      </c>
      <c r="BH203" s="5" t="n">
        <v>1</v>
      </c>
      <c r="BI203" s="5" t="n">
        <v>0.608</v>
      </c>
      <c r="BJ203" s="5" t="n">
        <v>0.123</v>
      </c>
      <c r="BK203" s="5" t="n">
        <v>0.004</v>
      </c>
      <c r="BL203" s="5" t="n">
        <v>0.668</v>
      </c>
      <c r="BM203" s="5" t="n">
        <v>0.1</v>
      </c>
      <c r="BN203" s="5" t="n">
        <v>1</v>
      </c>
      <c r="BO203" s="5" t="n">
        <v>0</v>
      </c>
      <c r="BP203" s="5" t="n">
        <v>0</v>
      </c>
      <c r="BQ203" s="5" t="n">
        <v>0.198</v>
      </c>
      <c r="BR203" s="5" t="n">
        <v>0</v>
      </c>
      <c r="BS203" s="5" t="n">
        <v>0.833</v>
      </c>
      <c r="BT203" s="5" t="n">
        <v>0</v>
      </c>
      <c r="BU203" s="5" t="n">
        <v>0</v>
      </c>
      <c r="BV203" s="5" t="n">
        <v>0.226</v>
      </c>
      <c r="BW203" s="5" t="n">
        <v>0</v>
      </c>
      <c r="BX203" s="5" t="n">
        <v>0.833</v>
      </c>
      <c r="BY203" s="5" t="n">
        <v>12.729</v>
      </c>
      <c r="BZ203" s="5" t="n">
        <v>0</v>
      </c>
      <c r="CA203" s="5" t="n">
        <v>12.729</v>
      </c>
      <c r="CB203" s="5" t="n">
        <v>0</v>
      </c>
      <c r="CC203" s="5" t="n">
        <v>97.90000000000001</v>
      </c>
      <c r="CD203" s="5" t="n">
        <v>7.95</v>
      </c>
      <c r="CE203" s="5" t="n">
        <v>0.725</v>
      </c>
      <c r="CF203" s="5" t="n">
        <v>107.69</v>
      </c>
      <c r="CG203" s="5" t="n">
        <v>0.1</v>
      </c>
      <c r="CH203" s="5" t="n">
        <v>1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1.294</v>
      </c>
      <c r="CR203" s="5" t="n">
        <v>0</v>
      </c>
      <c r="CS203" s="5" t="n">
        <v>5.158</v>
      </c>
      <c r="CT203" s="5" t="n">
        <v>10.485</v>
      </c>
      <c r="CU203" s="5" t="n">
        <v>29.494</v>
      </c>
    </row>
    <row r="204">
      <c r="A204" s="5" t="inlineStr">
        <is>
          <t>CUB2023</t>
        </is>
      </c>
      <c r="B204" s="5" t="inlineStr">
        <is>
          <t>CUB</t>
        </is>
      </c>
      <c r="C204" s="5" t="inlineStr">
        <is>
          <t>CUB</t>
        </is>
      </c>
      <c r="D204" s="5" t="inlineStr">
        <is>
          <t>Cuba</t>
        </is>
      </c>
      <c r="E204" s="5" t="n">
        <v>2023</v>
      </c>
      <c r="F204" s="5" t="n">
        <v>0.1</v>
      </c>
      <c r="G204" s="5" t="n">
        <v>6.147</v>
      </c>
      <c r="H204" s="5" t="n">
        <v>1.286</v>
      </c>
      <c r="I204" s="5" t="n">
        <v>0</v>
      </c>
      <c r="J204" s="5" t="n">
        <v>6.147</v>
      </c>
      <c r="K204" s="5" t="n">
        <v>0</v>
      </c>
      <c r="L204" s="5" t="n">
        <v>1</v>
      </c>
      <c r="M204" s="5" t="n">
        <v>7.886</v>
      </c>
      <c r="N204" s="5" t="n">
        <v>3.857</v>
      </c>
      <c r="O204" s="5" t="n">
        <v>0</v>
      </c>
      <c r="P204" s="5" t="n">
        <v>7.886</v>
      </c>
      <c r="Q204" s="5" t="n">
        <v>0</v>
      </c>
      <c r="R204" s="5" t="n">
        <v>1</v>
      </c>
      <c r="S204" s="5" t="n">
        <v>12.575</v>
      </c>
      <c r="T204" s="5" t="n">
        <v>7.714</v>
      </c>
      <c r="U204" s="5" t="n">
        <v>0.139</v>
      </c>
      <c r="V204" s="5" t="n">
        <v>13.833</v>
      </c>
      <c r="W204" s="5" t="n">
        <v>0.1</v>
      </c>
      <c r="X204" s="5" t="n">
        <v>1</v>
      </c>
      <c r="Y204" s="5" t="n">
        <v>12.478</v>
      </c>
      <c r="Z204" s="5" t="n">
        <v>1.678</v>
      </c>
      <c r="AA204" s="5" t="n">
        <v>0</v>
      </c>
      <c r="AB204" s="5" t="n">
        <v>12.478</v>
      </c>
      <c r="AC204" s="5" t="n">
        <v>0</v>
      </c>
      <c r="AD204" s="5" t="n">
        <v>1</v>
      </c>
      <c r="AE204" s="5" t="n">
        <v>13.763</v>
      </c>
      <c r="AF204" s="5" t="n">
        <v>3.223</v>
      </c>
      <c r="AG204" s="5" t="n">
        <v>0</v>
      </c>
      <c r="AH204" s="5" t="n">
        <v>13.763</v>
      </c>
      <c r="AI204" s="5" t="n">
        <v>0</v>
      </c>
      <c r="AJ204" s="5" t="n">
        <v>1</v>
      </c>
      <c r="AK204" s="5" t="n">
        <v>21.477</v>
      </c>
      <c r="AL204" s="5" t="n">
        <v>11.54</v>
      </c>
      <c r="AM204" s="5" t="n">
        <v>0.238</v>
      </c>
      <c r="AN204" s="5" t="n">
        <v>23.625</v>
      </c>
      <c r="AO204" s="5" t="n">
        <v>0.1</v>
      </c>
      <c r="AP204" s="5" t="n">
        <v>1</v>
      </c>
      <c r="AQ204" s="5" t="n">
        <v>0.791</v>
      </c>
      <c r="AR204" s="5" t="n">
        <v>0.129</v>
      </c>
      <c r="AS204" s="5" t="n">
        <v>0.9330000000000001</v>
      </c>
      <c r="AT204" s="5" t="n">
        <v>1.875</v>
      </c>
      <c r="AU204" s="5" t="n">
        <v>0.1</v>
      </c>
      <c r="AV204" s="5" t="n">
        <v>1</v>
      </c>
      <c r="AW204" s="5" t="n">
        <v>0.618</v>
      </c>
      <c r="AX204" s="5" t="n">
        <v>0.129</v>
      </c>
      <c r="AY204" s="5" t="n">
        <v>0.837</v>
      </c>
      <c r="AZ204" s="5" t="n">
        <v>1.583</v>
      </c>
      <c r="BA204" s="5" t="n">
        <v>0.1</v>
      </c>
      <c r="BB204" s="5" t="n">
        <v>1</v>
      </c>
      <c r="BC204" s="5" t="n">
        <v>0.554</v>
      </c>
      <c r="BD204" s="5" t="n">
        <v>0.129</v>
      </c>
      <c r="BE204" s="5" t="n">
        <v>0.006</v>
      </c>
      <c r="BF204" s="5" t="n">
        <v>0.61</v>
      </c>
      <c r="BG204" s="5" t="n">
        <v>0.1</v>
      </c>
      <c r="BH204" s="5" t="n">
        <v>1</v>
      </c>
      <c r="BI204" s="5" t="n">
        <v>0.5570000000000001</v>
      </c>
      <c r="BJ204" s="5" t="n">
        <v>0.129</v>
      </c>
      <c r="BK204" s="5" t="n">
        <v>0.006</v>
      </c>
      <c r="BL204" s="5" t="n">
        <v>0.613</v>
      </c>
      <c r="BM204" s="5" t="n">
        <v>0.1</v>
      </c>
      <c r="BN204" s="5" t="n">
        <v>1</v>
      </c>
      <c r="BO204" s="5" t="n">
        <v>0</v>
      </c>
      <c r="BP204" s="5" t="n">
        <v>0</v>
      </c>
      <c r="BQ204" s="5" t="n">
        <v>0.206</v>
      </c>
      <c r="BR204" s="5" t="n">
        <v>0</v>
      </c>
      <c r="BS204" s="5" t="n">
        <v>0.833</v>
      </c>
      <c r="BT204" s="5" t="n">
        <v>0</v>
      </c>
      <c r="BU204" s="5" t="n">
        <v>0</v>
      </c>
      <c r="BV204" s="5" t="n">
        <v>0.235</v>
      </c>
      <c r="BW204" s="5" t="n">
        <v>0</v>
      </c>
      <c r="BX204" s="5" t="n">
        <v>0.833</v>
      </c>
      <c r="BY204" s="5" t="n">
        <v>13.254</v>
      </c>
      <c r="BZ204" s="5" t="n">
        <v>0</v>
      </c>
      <c r="CA204" s="5" t="n">
        <v>13.254</v>
      </c>
      <c r="CB204" s="5" t="n">
        <v>0</v>
      </c>
      <c r="CC204" s="5" t="n">
        <v>83.248</v>
      </c>
      <c r="CD204" s="5" t="n">
        <v>7.95</v>
      </c>
      <c r="CE204" s="5" t="n">
        <v>0.922</v>
      </c>
      <c r="CF204" s="5" t="n">
        <v>91.57299999999999</v>
      </c>
      <c r="CG204" s="5" t="n">
        <v>0.1</v>
      </c>
      <c r="CH204" s="5" t="n">
        <v>1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1.348</v>
      </c>
      <c r="CR204" s="5" t="n">
        <v>0</v>
      </c>
      <c r="CS204" s="5" t="n">
        <v>5.37</v>
      </c>
      <c r="CT204" s="5" t="n">
        <v>4.861</v>
      </c>
      <c r="CU204" s="5" t="n">
        <v>11.192</v>
      </c>
    </row>
    <row r="205">
      <c r="A205" s="5" t="inlineStr">
        <is>
          <t>CUB2024</t>
        </is>
      </c>
      <c r="B205" s="5" t="inlineStr">
        <is>
          <t>CUB</t>
        </is>
      </c>
      <c r="C205" s="5" t="inlineStr">
        <is>
          <t>CUB</t>
        </is>
      </c>
      <c r="D205" s="5" t="inlineStr">
        <is>
          <t>Cuba</t>
        </is>
      </c>
      <c r="E205" s="5" t="n">
        <v>2024</v>
      </c>
      <c r="F205" s="5" t="n">
        <v>0.1</v>
      </c>
      <c r="G205" s="5" t="n">
        <v>5.575</v>
      </c>
      <c r="H205" s="5" t="n">
        <v>1.324</v>
      </c>
      <c r="I205" s="5" t="n">
        <v>0</v>
      </c>
      <c r="J205" s="5" t="n">
        <v>5.575</v>
      </c>
      <c r="K205" s="5" t="n">
        <v>0</v>
      </c>
      <c r="L205" s="5" t="n">
        <v>1</v>
      </c>
      <c r="M205" s="5" t="n">
        <v>7.124</v>
      </c>
      <c r="N205" s="5" t="n">
        <v>3.971</v>
      </c>
      <c r="O205" s="5" t="n">
        <v>0</v>
      </c>
      <c r="P205" s="5" t="n">
        <v>7.124</v>
      </c>
      <c r="Q205" s="5" t="n">
        <v>0</v>
      </c>
      <c r="R205" s="5" t="n">
        <v>1</v>
      </c>
      <c r="S205" s="5" t="n">
        <v>12.193</v>
      </c>
      <c r="T205" s="5" t="n">
        <v>7.942</v>
      </c>
      <c r="U205" s="5" t="n">
        <v>0.166</v>
      </c>
      <c r="V205" s="5" t="n">
        <v>13.412</v>
      </c>
      <c r="W205" s="5" t="n">
        <v>0.1</v>
      </c>
      <c r="X205" s="5" t="n">
        <v>1</v>
      </c>
      <c r="Y205" s="5" t="n">
        <v>11.447</v>
      </c>
      <c r="Z205" s="5" t="n">
        <v>1.54</v>
      </c>
      <c r="AA205" s="5" t="n">
        <v>0</v>
      </c>
      <c r="AB205" s="5" t="n">
        <v>11.447</v>
      </c>
      <c r="AC205" s="5" t="n">
        <v>0</v>
      </c>
      <c r="AD205" s="5" t="n">
        <v>1</v>
      </c>
      <c r="AE205" s="5" t="n">
        <v>12.771</v>
      </c>
      <c r="AF205" s="5" t="n">
        <v>2.991</v>
      </c>
      <c r="AG205" s="5" t="n">
        <v>0</v>
      </c>
      <c r="AH205" s="5" t="n">
        <v>12.771</v>
      </c>
      <c r="AI205" s="5" t="n">
        <v>0</v>
      </c>
      <c r="AJ205" s="5" t="n">
        <v>1</v>
      </c>
      <c r="AK205" s="5" t="n">
        <v>20.712</v>
      </c>
      <c r="AL205" s="5" t="n">
        <v>11.129</v>
      </c>
      <c r="AM205" s="5" t="n">
        <v>0.282</v>
      </c>
      <c r="AN205" s="5" t="n">
        <v>22.784</v>
      </c>
      <c r="AO205" s="5" t="n">
        <v>0.1</v>
      </c>
      <c r="AP205" s="5" t="n">
        <v>1</v>
      </c>
      <c r="AQ205" s="5" t="n">
        <v>0.756</v>
      </c>
      <c r="AR205" s="5" t="n">
        <v>0.132</v>
      </c>
      <c r="AS205" s="5" t="n">
        <v>0.969</v>
      </c>
      <c r="AT205" s="5" t="n">
        <v>1.872</v>
      </c>
      <c r="AU205" s="5" t="n">
        <v>0.1</v>
      </c>
      <c r="AV205" s="5" t="n">
        <v>1</v>
      </c>
      <c r="AW205" s="5" t="n">
        <v>0.655</v>
      </c>
      <c r="AX205" s="5" t="n">
        <v>0.132</v>
      </c>
      <c r="AY205" s="5" t="n">
        <v>0.864</v>
      </c>
      <c r="AZ205" s="5" t="n">
        <v>1.648</v>
      </c>
      <c r="BA205" s="5" t="n">
        <v>0.1</v>
      </c>
      <c r="BB205" s="5" t="n">
        <v>1</v>
      </c>
      <c r="BC205" s="5" t="n">
        <v>0.534</v>
      </c>
      <c r="BD205" s="5" t="n">
        <v>0.132</v>
      </c>
      <c r="BE205" s="5" t="n">
        <v>0.007</v>
      </c>
      <c r="BF205" s="5" t="n">
        <v>0.587</v>
      </c>
      <c r="BG205" s="5" t="n">
        <v>0.1</v>
      </c>
      <c r="BH205" s="5" t="n">
        <v>1</v>
      </c>
      <c r="BI205" s="5" t="n">
        <v>0.5679999999999999</v>
      </c>
      <c r="BJ205" s="5" t="n">
        <v>0.132</v>
      </c>
      <c r="BK205" s="5" t="n">
        <v>0.008</v>
      </c>
      <c r="BL205" s="5" t="n">
        <v>0.625</v>
      </c>
      <c r="BM205" s="5" t="n">
        <v>0.1</v>
      </c>
      <c r="BN205" s="5" t="n">
        <v>1</v>
      </c>
      <c r="BO205" s="5" t="n">
        <v>0</v>
      </c>
      <c r="BP205" s="5" t="n">
        <v>0</v>
      </c>
      <c r="BQ205" s="5" t="n">
        <v>0.212</v>
      </c>
      <c r="BR205" s="5" t="n">
        <v>0</v>
      </c>
      <c r="BS205" s="5" t="n">
        <v>0.833</v>
      </c>
      <c r="BT205" s="5" t="n">
        <v>0</v>
      </c>
      <c r="BU205" s="5" t="n">
        <v>0</v>
      </c>
      <c r="BV205" s="5" t="n">
        <v>0.242</v>
      </c>
      <c r="BW205" s="5" t="n">
        <v>0</v>
      </c>
      <c r="BX205" s="5" t="n">
        <v>0.833</v>
      </c>
      <c r="BY205" s="5" t="n">
        <v>13.646</v>
      </c>
      <c r="BZ205" s="5" t="n">
        <v>0</v>
      </c>
      <c r="CA205" s="5" t="n">
        <v>13.646</v>
      </c>
      <c r="CB205" s="5" t="n">
        <v>0</v>
      </c>
      <c r="CC205" s="5" t="n">
        <v>82.58799999999999</v>
      </c>
      <c r="CD205" s="5" t="n">
        <v>7.95</v>
      </c>
      <c r="CE205" s="5" t="n">
        <v>1.125</v>
      </c>
      <c r="CF205" s="5" t="n">
        <v>90.84699999999999</v>
      </c>
      <c r="CG205" s="5" t="n">
        <v>0.1</v>
      </c>
      <c r="CH205" s="5" t="n">
        <v>1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1.387</v>
      </c>
      <c r="CR205" s="5" t="n">
        <v>0</v>
      </c>
      <c r="CS205" s="5" t="n">
        <v>5.529</v>
      </c>
      <c r="CT205" s="5" t="n">
        <v>4.251</v>
      </c>
      <c r="CU205" s="5" t="n">
        <v>10.123</v>
      </c>
    </row>
    <row r="206">
      <c r="A206" s="5" t="inlineStr">
        <is>
          <t>CUW2021</t>
        </is>
      </c>
      <c r="B206" s="5" t="inlineStr">
        <is>
          <t>CUW</t>
        </is>
      </c>
      <c r="C206" s="5" t="inlineStr">
        <is>
          <t>CUW</t>
        </is>
      </c>
      <c r="D206" s="5" t="inlineStr">
        <is>
          <t>Curaçao</t>
        </is>
      </c>
      <c r="E206" s="5" t="n">
        <v>2021</v>
      </c>
      <c r="F206" s="5" t="n">
        <v>0.06</v>
      </c>
      <c r="G206" s="5" t="n">
        <v>5.897</v>
      </c>
      <c r="H206" s="5" t="n">
        <v>1.143</v>
      </c>
      <c r="I206" s="5" t="n">
        <v>0</v>
      </c>
      <c r="J206" s="5" t="n">
        <v>5.897</v>
      </c>
      <c r="K206" s="5" t="n">
        <v>0</v>
      </c>
      <c r="L206" s="5" t="n">
        <v>1</v>
      </c>
      <c r="M206" s="5" t="n">
        <v>7.964</v>
      </c>
      <c r="N206" s="5" t="n">
        <v>3.43</v>
      </c>
      <c r="O206" s="5" t="n">
        <v>0</v>
      </c>
      <c r="P206" s="5" t="n">
        <v>7.964</v>
      </c>
      <c r="Q206" s="5" t="n">
        <v>0</v>
      </c>
      <c r="R206" s="5" t="n">
        <v>1</v>
      </c>
      <c r="S206" s="5" t="n">
        <v>11.613</v>
      </c>
      <c r="T206" s="5" t="n">
        <v>6.86</v>
      </c>
      <c r="U206" s="5" t="n">
        <v>0</v>
      </c>
      <c r="V206" s="5" t="n">
        <v>12.31</v>
      </c>
      <c r="W206" s="5" t="n">
        <v>0.06</v>
      </c>
      <c r="X206" s="5" t="n">
        <v>1</v>
      </c>
      <c r="Y206" s="5" t="n">
        <v>5.919</v>
      </c>
      <c r="Z206" s="5" t="n">
        <v>0.796</v>
      </c>
      <c r="AA206" s="5" t="n">
        <v>0</v>
      </c>
      <c r="AB206" s="5" t="n">
        <v>5.919</v>
      </c>
      <c r="AC206" s="5" t="n">
        <v>0</v>
      </c>
      <c r="AD206" s="5" t="n">
        <v>1</v>
      </c>
      <c r="AE206" s="5" t="n">
        <v>7.062</v>
      </c>
      <c r="AF206" s="5" t="n">
        <v>1.654</v>
      </c>
      <c r="AG206" s="5" t="n">
        <v>0</v>
      </c>
      <c r="AH206" s="5" t="n">
        <v>7.062</v>
      </c>
      <c r="AI206" s="5" t="n">
        <v>0</v>
      </c>
      <c r="AJ206" s="5" t="n">
        <v>1</v>
      </c>
      <c r="AK206" s="5" t="n">
        <v>13.922</v>
      </c>
      <c r="AL206" s="5" t="n">
        <v>7.481</v>
      </c>
      <c r="AM206" s="5" t="n">
        <v>0</v>
      </c>
      <c r="AN206" s="5" t="n">
        <v>14.758</v>
      </c>
      <c r="AO206" s="5" t="n">
        <v>0.06</v>
      </c>
      <c r="AP206" s="5" t="n">
        <v>1</v>
      </c>
      <c r="AQ206" s="5" t="n">
        <v>0.649</v>
      </c>
      <c r="AR206" s="5" t="n">
        <v>0.114</v>
      </c>
      <c r="AS206" s="5" t="n">
        <v>0.364</v>
      </c>
      <c r="AT206" s="5" t="n">
        <v>1.074</v>
      </c>
      <c r="AU206" s="5" t="n">
        <v>0.06</v>
      </c>
      <c r="AV206" s="5" t="n">
        <v>1</v>
      </c>
      <c r="AW206" s="5" t="n">
        <v>0.577</v>
      </c>
      <c r="AX206" s="5" t="n">
        <v>0.114</v>
      </c>
      <c r="AY206" s="5" t="n">
        <v>0.309</v>
      </c>
      <c r="AZ206" s="5" t="n">
        <v>0.9389999999999999</v>
      </c>
      <c r="BA206" s="5" t="n">
        <v>0.06</v>
      </c>
      <c r="BB206" s="5" t="n">
        <v>1</v>
      </c>
      <c r="BC206" s="5" t="n">
        <v>0.458</v>
      </c>
      <c r="BD206" s="5" t="n">
        <v>0.114</v>
      </c>
      <c r="BE206" s="5" t="n">
        <v>0</v>
      </c>
      <c r="BF206" s="5" t="n">
        <v>0.486</v>
      </c>
      <c r="BG206" s="5" t="n">
        <v>0.06</v>
      </c>
      <c r="BH206" s="5" t="n">
        <v>1</v>
      </c>
      <c r="BI206" s="5" t="n">
        <v>0.491</v>
      </c>
      <c r="BJ206" s="5" t="n">
        <v>0.114</v>
      </c>
      <c r="BK206" s="5" t="n">
        <v>0.344</v>
      </c>
      <c r="BL206" s="5" t="n">
        <v>0.885</v>
      </c>
      <c r="BM206" s="5" t="n">
        <v>0.06</v>
      </c>
      <c r="BN206" s="5" t="n">
        <v>1</v>
      </c>
      <c r="BO206" s="5" t="n">
        <v>0</v>
      </c>
      <c r="BP206" s="5" t="n">
        <v>0</v>
      </c>
      <c r="BQ206" s="5" t="n">
        <v>0</v>
      </c>
      <c r="BR206" s="5" t="n">
        <v>0</v>
      </c>
      <c r="BS206" s="5" t="n">
        <v>1</v>
      </c>
      <c r="BT206" s="5" t="n">
        <v>0</v>
      </c>
      <c r="BU206" s="5" t="n">
        <v>0</v>
      </c>
      <c r="BV206" s="5" t="n">
        <v>0</v>
      </c>
      <c r="BW206" s="5" t="n">
        <v>0.06</v>
      </c>
      <c r="BX206" s="5" t="n">
        <v>1</v>
      </c>
      <c r="BY206" s="5" t="n">
        <v>11.787</v>
      </c>
      <c r="BZ206" s="5" t="n">
        <v>0</v>
      </c>
      <c r="CA206" s="5" t="n">
        <v>11.787</v>
      </c>
      <c r="CB206" s="5" t="n">
        <v>0</v>
      </c>
      <c r="CC206" s="5" t="n">
        <v>78.125</v>
      </c>
      <c r="CD206" s="5" t="n">
        <v>7.95</v>
      </c>
      <c r="CE206" s="5" t="n">
        <v>0</v>
      </c>
      <c r="CF206" s="5" t="n">
        <v>82.813</v>
      </c>
      <c r="CG206" s="5" t="n">
        <v>0.06</v>
      </c>
      <c r="CH206" s="5" t="n">
        <v>1</v>
      </c>
      <c r="CI206" s="5" t="n">
        <v>0</v>
      </c>
      <c r="CJ206" s="5" t="n">
        <v>0</v>
      </c>
      <c r="CK206" s="5" t="n">
        <v>0</v>
      </c>
      <c r="CL206" s="5" t="n">
        <v>0</v>
      </c>
      <c r="CM206" s="5" t="n">
        <v>0</v>
      </c>
      <c r="CN206" s="5" t="n">
        <v>0</v>
      </c>
      <c r="CO206" s="5" t="n">
        <v>0</v>
      </c>
      <c r="CP206" s="5" t="n">
        <v>0</v>
      </c>
      <c r="CQ206" s="5" t="n">
        <v>1.198</v>
      </c>
      <c r="CR206" s="5" t="n">
        <v>0</v>
      </c>
      <c r="CS206" s="5" t="n">
        <v>4.776</v>
      </c>
      <c r="CT206" s="5" t="n">
        <v>4.753</v>
      </c>
      <c r="CU206" s="5" t="n">
        <v>15.983</v>
      </c>
    </row>
    <row r="207">
      <c r="A207" s="5" t="inlineStr">
        <is>
          <t>CUW2022</t>
        </is>
      </c>
      <c r="B207" s="5" t="inlineStr">
        <is>
          <t>CUW</t>
        </is>
      </c>
      <c r="C207" s="5" t="inlineStr">
        <is>
          <t>CUW</t>
        </is>
      </c>
      <c r="D207" s="5" t="inlineStr">
        <is>
          <t>Curaçao</t>
        </is>
      </c>
      <c r="E207" s="5" t="n">
        <v>2022</v>
      </c>
      <c r="F207" s="5" t="n">
        <v>0.06</v>
      </c>
      <c r="G207" s="5" t="n">
        <v>11.72</v>
      </c>
      <c r="H207" s="5" t="n">
        <v>1.235</v>
      </c>
      <c r="I207" s="5" t="n">
        <v>0</v>
      </c>
      <c r="J207" s="5" t="n">
        <v>11.72</v>
      </c>
      <c r="K207" s="5" t="n">
        <v>0</v>
      </c>
      <c r="L207" s="5" t="n">
        <v>1</v>
      </c>
      <c r="M207" s="5" t="n">
        <v>9.782999999999999</v>
      </c>
      <c r="N207" s="5" t="n">
        <v>3.704</v>
      </c>
      <c r="O207" s="5" t="n">
        <v>0</v>
      </c>
      <c r="P207" s="5" t="n">
        <v>9.782999999999999</v>
      </c>
      <c r="Q207" s="5" t="n">
        <v>0</v>
      </c>
      <c r="R207" s="5" t="n">
        <v>1</v>
      </c>
      <c r="S207" s="5" t="n">
        <v>17.893</v>
      </c>
      <c r="T207" s="5" t="n">
        <v>7.408</v>
      </c>
      <c r="U207" s="5" t="n">
        <v>0.079</v>
      </c>
      <c r="V207" s="5" t="n">
        <v>18.967</v>
      </c>
      <c r="W207" s="5" t="n">
        <v>0.06</v>
      </c>
      <c r="X207" s="5" t="n">
        <v>1</v>
      </c>
      <c r="Y207" s="5" t="n">
        <v>6.392</v>
      </c>
      <c r="Z207" s="5" t="n">
        <v>0.86</v>
      </c>
      <c r="AA207" s="5" t="n">
        <v>0</v>
      </c>
      <c r="AB207" s="5" t="n">
        <v>6.392</v>
      </c>
      <c r="AC207" s="5" t="n">
        <v>0</v>
      </c>
      <c r="AD207" s="5" t="n">
        <v>1</v>
      </c>
      <c r="AE207" s="5" t="n">
        <v>7.627</v>
      </c>
      <c r="AF207" s="5" t="n">
        <v>1.786</v>
      </c>
      <c r="AG207" s="5" t="n">
        <v>0</v>
      </c>
      <c r="AH207" s="5" t="n">
        <v>7.627</v>
      </c>
      <c r="AI207" s="5" t="n">
        <v>0</v>
      </c>
      <c r="AJ207" s="5" t="n">
        <v>1</v>
      </c>
      <c r="AK207" s="5" t="n">
        <v>15.035</v>
      </c>
      <c r="AL207" s="5" t="n">
        <v>8.079000000000001</v>
      </c>
      <c r="AM207" s="5" t="n">
        <v>0.067</v>
      </c>
      <c r="AN207" s="5" t="n">
        <v>15.937</v>
      </c>
      <c r="AO207" s="5" t="n">
        <v>0.06</v>
      </c>
      <c r="AP207" s="5" t="n">
        <v>1</v>
      </c>
      <c r="AQ207" s="5" t="n">
        <v>0.896</v>
      </c>
      <c r="AR207" s="5" t="n">
        <v>0.123</v>
      </c>
      <c r="AS207" s="5" t="n">
        <v>0.387</v>
      </c>
      <c r="AT207" s="5" t="n">
        <v>1.354</v>
      </c>
      <c r="AU207" s="5" t="n">
        <v>0.06</v>
      </c>
      <c r="AV207" s="5" t="n">
        <v>1</v>
      </c>
      <c r="AW207" s="5" t="n">
        <v>0.89</v>
      </c>
      <c r="AX207" s="5" t="n">
        <v>0.123</v>
      </c>
      <c r="AY207" s="5" t="n">
        <v>0.324</v>
      </c>
      <c r="AZ207" s="5" t="n">
        <v>1.282</v>
      </c>
      <c r="BA207" s="5" t="n">
        <v>0.06</v>
      </c>
      <c r="BB207" s="5" t="n">
        <v>1</v>
      </c>
      <c r="BC207" s="5" t="n">
        <v>0.62</v>
      </c>
      <c r="BD207" s="5" t="n">
        <v>0.123</v>
      </c>
      <c r="BE207" s="5" t="n">
        <v>0.003</v>
      </c>
      <c r="BF207" s="5" t="n">
        <v>0.658</v>
      </c>
      <c r="BG207" s="5" t="n">
        <v>0.06</v>
      </c>
      <c r="BH207" s="5" t="n">
        <v>1</v>
      </c>
      <c r="BI207" s="5" t="n">
        <v>0.608</v>
      </c>
      <c r="BJ207" s="5" t="n">
        <v>0.123</v>
      </c>
      <c r="BK207" s="5" t="n">
        <v>0.372</v>
      </c>
      <c r="BL207" s="5" t="n">
        <v>1.033</v>
      </c>
      <c r="BM207" s="5" t="n">
        <v>0.06</v>
      </c>
      <c r="BN207" s="5" t="n">
        <v>1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1</v>
      </c>
      <c r="BT207" s="5" t="n">
        <v>0</v>
      </c>
      <c r="BU207" s="5" t="n">
        <v>0</v>
      </c>
      <c r="BV207" s="5" t="n">
        <v>0</v>
      </c>
      <c r="BW207" s="5" t="n">
        <v>0.06</v>
      </c>
      <c r="BX207" s="5" t="n">
        <v>1</v>
      </c>
      <c r="BY207" s="5" t="n">
        <v>12.729</v>
      </c>
      <c r="BZ207" s="5" t="n">
        <v>0</v>
      </c>
      <c r="CA207" s="5" t="n">
        <v>12.729</v>
      </c>
      <c r="CB207" s="5" t="n">
        <v>0</v>
      </c>
      <c r="CC207" s="5" t="n">
        <v>97.90000000000001</v>
      </c>
      <c r="CD207" s="5" t="n">
        <v>7.95</v>
      </c>
      <c r="CE207" s="5" t="n">
        <v>0.435</v>
      </c>
      <c r="CF207" s="5" t="n">
        <v>103.774</v>
      </c>
      <c r="CG207" s="5" t="n">
        <v>0.06</v>
      </c>
      <c r="CH207" s="5" t="n">
        <v>1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1.294</v>
      </c>
      <c r="CR207" s="5" t="n">
        <v>0</v>
      </c>
      <c r="CS207" s="5" t="n">
        <v>5.158</v>
      </c>
      <c r="CT207" s="5" t="n">
        <v>10.485</v>
      </c>
      <c r="CU207" s="5" t="n">
        <v>29.494</v>
      </c>
    </row>
    <row r="208">
      <c r="A208" s="5" t="inlineStr">
        <is>
          <t>CUW2023</t>
        </is>
      </c>
      <c r="B208" s="5" t="inlineStr">
        <is>
          <t>CUW</t>
        </is>
      </c>
      <c r="C208" s="5" t="inlineStr">
        <is>
          <t>CUW</t>
        </is>
      </c>
      <c r="D208" s="5" t="inlineStr">
        <is>
          <t>Curaçao</t>
        </is>
      </c>
      <c r="E208" s="5" t="n">
        <v>2023</v>
      </c>
      <c r="F208" s="5" t="n">
        <v>0.06</v>
      </c>
      <c r="G208" s="5" t="n">
        <v>6.147</v>
      </c>
      <c r="H208" s="5" t="n">
        <v>1.286</v>
      </c>
      <c r="I208" s="5" t="n">
        <v>0</v>
      </c>
      <c r="J208" s="5" t="n">
        <v>6.147</v>
      </c>
      <c r="K208" s="5" t="n">
        <v>0</v>
      </c>
      <c r="L208" s="5" t="n">
        <v>1</v>
      </c>
      <c r="M208" s="5" t="n">
        <v>7.886</v>
      </c>
      <c r="N208" s="5" t="n">
        <v>3.857</v>
      </c>
      <c r="O208" s="5" t="n">
        <v>0</v>
      </c>
      <c r="P208" s="5" t="n">
        <v>7.886</v>
      </c>
      <c r="Q208" s="5" t="n">
        <v>0</v>
      </c>
      <c r="R208" s="5" t="n">
        <v>1</v>
      </c>
      <c r="S208" s="5" t="n">
        <v>12.575</v>
      </c>
      <c r="T208" s="5" t="n">
        <v>7.714</v>
      </c>
      <c r="U208" s="5" t="n">
        <v>0.08400000000000001</v>
      </c>
      <c r="V208" s="5" t="n">
        <v>13.33</v>
      </c>
      <c r="W208" s="5" t="n">
        <v>0.06</v>
      </c>
      <c r="X208" s="5" t="n">
        <v>1</v>
      </c>
      <c r="Y208" s="5" t="n">
        <v>6.656</v>
      </c>
      <c r="Z208" s="5" t="n">
        <v>0.895</v>
      </c>
      <c r="AA208" s="5" t="n">
        <v>0</v>
      </c>
      <c r="AB208" s="5" t="n">
        <v>6.656</v>
      </c>
      <c r="AC208" s="5" t="n">
        <v>0</v>
      </c>
      <c r="AD208" s="5" t="n">
        <v>1</v>
      </c>
      <c r="AE208" s="5" t="n">
        <v>7.942</v>
      </c>
      <c r="AF208" s="5" t="n">
        <v>1.86</v>
      </c>
      <c r="AG208" s="5" t="n">
        <v>0</v>
      </c>
      <c r="AH208" s="5" t="n">
        <v>7.942</v>
      </c>
      <c r="AI208" s="5" t="n">
        <v>0</v>
      </c>
      <c r="AJ208" s="5" t="n">
        <v>1</v>
      </c>
      <c r="AK208" s="5" t="n">
        <v>15.656</v>
      </c>
      <c r="AL208" s="5" t="n">
        <v>8.412000000000001</v>
      </c>
      <c r="AM208" s="5" t="n">
        <v>0.104</v>
      </c>
      <c r="AN208" s="5" t="n">
        <v>16.595</v>
      </c>
      <c r="AO208" s="5" t="n">
        <v>0.06</v>
      </c>
      <c r="AP208" s="5" t="n">
        <v>1</v>
      </c>
      <c r="AQ208" s="5" t="n">
        <v>0.791</v>
      </c>
      <c r="AR208" s="5" t="n">
        <v>0.129</v>
      </c>
      <c r="AS208" s="5" t="n">
        <v>0.406</v>
      </c>
      <c r="AT208" s="5" t="n">
        <v>1.268</v>
      </c>
      <c r="AU208" s="5" t="n">
        <v>0.06</v>
      </c>
      <c r="AV208" s="5" t="n">
        <v>1</v>
      </c>
      <c r="AW208" s="5" t="n">
        <v>0.618</v>
      </c>
      <c r="AX208" s="5" t="n">
        <v>0.129</v>
      </c>
      <c r="AY208" s="5" t="n">
        <v>0.35</v>
      </c>
      <c r="AZ208" s="5" t="n">
        <v>1.026</v>
      </c>
      <c r="BA208" s="5" t="n">
        <v>0.06</v>
      </c>
      <c r="BB208" s="5" t="n">
        <v>1</v>
      </c>
      <c r="BC208" s="5" t="n">
        <v>0.554</v>
      </c>
      <c r="BD208" s="5" t="n">
        <v>0.129</v>
      </c>
      <c r="BE208" s="5" t="n">
        <v>0.004</v>
      </c>
      <c r="BF208" s="5" t="n">
        <v>0.588</v>
      </c>
      <c r="BG208" s="5" t="n">
        <v>0.06</v>
      </c>
      <c r="BH208" s="5" t="n">
        <v>1</v>
      </c>
      <c r="BI208" s="5" t="n">
        <v>0.5570000000000001</v>
      </c>
      <c r="BJ208" s="5" t="n">
        <v>0.129</v>
      </c>
      <c r="BK208" s="5" t="n">
        <v>0.387</v>
      </c>
      <c r="BL208" s="5" t="n">
        <v>1.001</v>
      </c>
      <c r="BM208" s="5" t="n">
        <v>0.06</v>
      </c>
      <c r="BN208" s="5" t="n">
        <v>1</v>
      </c>
      <c r="BO208" s="5" t="n">
        <v>0</v>
      </c>
      <c r="BP208" s="5" t="n">
        <v>0</v>
      </c>
      <c r="BQ208" s="5" t="n">
        <v>0</v>
      </c>
      <c r="BR208" s="5" t="n">
        <v>0</v>
      </c>
      <c r="BS208" s="5" t="n">
        <v>1</v>
      </c>
      <c r="BT208" s="5" t="n">
        <v>0</v>
      </c>
      <c r="BU208" s="5" t="n">
        <v>0</v>
      </c>
      <c r="BV208" s="5" t="n">
        <v>0</v>
      </c>
      <c r="BW208" s="5" t="n">
        <v>0.06</v>
      </c>
      <c r="BX208" s="5" t="n">
        <v>1</v>
      </c>
      <c r="BY208" s="5" t="n">
        <v>13.254</v>
      </c>
      <c r="BZ208" s="5" t="n">
        <v>0</v>
      </c>
      <c r="CA208" s="5" t="n">
        <v>13.254</v>
      </c>
      <c r="CB208" s="5" t="n">
        <v>0</v>
      </c>
      <c r="CC208" s="5" t="n">
        <v>83.248</v>
      </c>
      <c r="CD208" s="5" t="n">
        <v>7.95</v>
      </c>
      <c r="CE208" s="5" t="n">
        <v>0.553</v>
      </c>
      <c r="CF208" s="5" t="n">
        <v>88.24299999999999</v>
      </c>
      <c r="CG208" s="5" t="n">
        <v>0.06</v>
      </c>
      <c r="CH208" s="5" t="n">
        <v>1</v>
      </c>
      <c r="CI208" s="5" t="n">
        <v>0</v>
      </c>
      <c r="CJ208" s="5" t="n">
        <v>0</v>
      </c>
      <c r="CK208" s="5" t="n">
        <v>0</v>
      </c>
      <c r="CL208" s="5" t="n">
        <v>0</v>
      </c>
      <c r="CM208" s="5" t="n">
        <v>0</v>
      </c>
      <c r="CN208" s="5" t="n">
        <v>0</v>
      </c>
      <c r="CO208" s="5" t="n">
        <v>0</v>
      </c>
      <c r="CP208" s="5" t="n">
        <v>0</v>
      </c>
      <c r="CQ208" s="5" t="n">
        <v>1.348</v>
      </c>
      <c r="CR208" s="5" t="n">
        <v>0</v>
      </c>
      <c r="CS208" s="5" t="n">
        <v>5.37</v>
      </c>
      <c r="CT208" s="5" t="n">
        <v>4.861</v>
      </c>
      <c r="CU208" s="5" t="n">
        <v>11.192</v>
      </c>
    </row>
    <row r="209">
      <c r="A209" s="5" t="inlineStr">
        <is>
          <t>CUW2024</t>
        </is>
      </c>
      <c r="B209" s="5" t="inlineStr">
        <is>
          <t>CUW</t>
        </is>
      </c>
      <c r="C209" s="5" t="inlineStr">
        <is>
          <t>CUW</t>
        </is>
      </c>
      <c r="D209" s="5" t="inlineStr">
        <is>
          <t>Curaçao</t>
        </is>
      </c>
      <c r="E209" s="5" t="n">
        <v>2024</v>
      </c>
      <c r="F209" s="5" t="n">
        <v>0.06</v>
      </c>
      <c r="G209" s="5" t="n">
        <v>5.575</v>
      </c>
      <c r="H209" s="5" t="n">
        <v>1.324</v>
      </c>
      <c r="I209" s="5" t="n">
        <v>0</v>
      </c>
      <c r="J209" s="5" t="n">
        <v>5.575</v>
      </c>
      <c r="K209" s="5" t="n">
        <v>0</v>
      </c>
      <c r="L209" s="5" t="n">
        <v>1</v>
      </c>
      <c r="M209" s="5" t="n">
        <v>7.124</v>
      </c>
      <c r="N209" s="5" t="n">
        <v>3.971</v>
      </c>
      <c r="O209" s="5" t="n">
        <v>0</v>
      </c>
      <c r="P209" s="5" t="n">
        <v>7.124</v>
      </c>
      <c r="Q209" s="5" t="n">
        <v>0</v>
      </c>
      <c r="R209" s="5" t="n">
        <v>1</v>
      </c>
      <c r="S209" s="5" t="n">
        <v>12.193</v>
      </c>
      <c r="T209" s="5" t="n">
        <v>7.942</v>
      </c>
      <c r="U209" s="5" t="n">
        <v>0.1</v>
      </c>
      <c r="V209" s="5" t="n">
        <v>12.924</v>
      </c>
      <c r="W209" s="5" t="n">
        <v>0.06</v>
      </c>
      <c r="X209" s="5" t="n">
        <v>1</v>
      </c>
      <c r="Y209" s="5" t="n">
        <v>6.853</v>
      </c>
      <c r="Z209" s="5" t="n">
        <v>0.922</v>
      </c>
      <c r="AA209" s="5" t="n">
        <v>0</v>
      </c>
      <c r="AB209" s="5" t="n">
        <v>6.853</v>
      </c>
      <c r="AC209" s="5" t="n">
        <v>0</v>
      </c>
      <c r="AD209" s="5" t="n">
        <v>1</v>
      </c>
      <c r="AE209" s="5" t="n">
        <v>8.176</v>
      </c>
      <c r="AF209" s="5" t="n">
        <v>1.915</v>
      </c>
      <c r="AG209" s="5" t="n">
        <v>0</v>
      </c>
      <c r="AH209" s="5" t="n">
        <v>8.176</v>
      </c>
      <c r="AI209" s="5" t="n">
        <v>0</v>
      </c>
      <c r="AJ209" s="5" t="n">
        <v>1</v>
      </c>
      <c r="AK209" s="5" t="n">
        <v>16.118</v>
      </c>
      <c r="AL209" s="5" t="n">
        <v>8.66</v>
      </c>
      <c r="AM209" s="5" t="n">
        <v>0.132</v>
      </c>
      <c r="AN209" s="5" t="n">
        <v>17.085</v>
      </c>
      <c r="AO209" s="5" t="n">
        <v>0.06</v>
      </c>
      <c r="AP209" s="5" t="n">
        <v>1</v>
      </c>
      <c r="AQ209" s="5" t="n">
        <v>0.756</v>
      </c>
      <c r="AR209" s="5" t="n">
        <v>0.132</v>
      </c>
      <c r="AS209" s="5" t="n">
        <v>0.372</v>
      </c>
      <c r="AT209" s="5" t="n">
        <v>1.196</v>
      </c>
      <c r="AU209" s="5" t="n">
        <v>0.06</v>
      </c>
      <c r="AV209" s="5" t="n">
        <v>1</v>
      </c>
      <c r="AW209" s="5" t="n">
        <v>0.655</v>
      </c>
      <c r="AX209" s="5" t="n">
        <v>0.132</v>
      </c>
      <c r="AY209" s="5" t="n">
        <v>0.286</v>
      </c>
      <c r="AZ209" s="5" t="n">
        <v>0.997</v>
      </c>
      <c r="BA209" s="5" t="n">
        <v>0.06</v>
      </c>
      <c r="BB209" s="5" t="n">
        <v>1</v>
      </c>
      <c r="BC209" s="5" t="n">
        <v>0.534</v>
      </c>
      <c r="BD209" s="5" t="n">
        <v>0.132</v>
      </c>
      <c r="BE209" s="5" t="n">
        <v>0.004</v>
      </c>
      <c r="BF209" s="5" t="n">
        <v>0.5659999999999999</v>
      </c>
      <c r="BG209" s="5" t="n">
        <v>0.06</v>
      </c>
      <c r="BH209" s="5" t="n">
        <v>1</v>
      </c>
      <c r="BI209" s="5" t="n">
        <v>0.5679999999999999</v>
      </c>
      <c r="BJ209" s="5" t="n">
        <v>0.132</v>
      </c>
      <c r="BK209" s="5" t="n">
        <v>0.268</v>
      </c>
      <c r="BL209" s="5" t="n">
        <v>0.885</v>
      </c>
      <c r="BM209" s="5" t="n">
        <v>0.06</v>
      </c>
      <c r="BN209" s="5" t="n">
        <v>1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1</v>
      </c>
      <c r="BT209" s="5" t="n">
        <v>0</v>
      </c>
      <c r="BU209" s="5" t="n">
        <v>0</v>
      </c>
      <c r="BV209" s="5" t="n">
        <v>0</v>
      </c>
      <c r="BW209" s="5" t="n">
        <v>0.06</v>
      </c>
      <c r="BX209" s="5" t="n">
        <v>1</v>
      </c>
      <c r="BY209" s="5" t="n">
        <v>13.646</v>
      </c>
      <c r="BZ209" s="5" t="n">
        <v>0</v>
      </c>
      <c r="CA209" s="5" t="n">
        <v>13.646</v>
      </c>
      <c r="CB209" s="5" t="n">
        <v>0</v>
      </c>
      <c r="CC209" s="5" t="n">
        <v>82.58799999999999</v>
      </c>
      <c r="CD209" s="5" t="n">
        <v>7.95</v>
      </c>
      <c r="CE209" s="5" t="n">
        <v>0.675</v>
      </c>
      <c r="CF209" s="5" t="n">
        <v>87.54300000000001</v>
      </c>
      <c r="CG209" s="5" t="n">
        <v>0.06</v>
      </c>
      <c r="CH209" s="5" t="n">
        <v>1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0</v>
      </c>
      <c r="CN209" s="5" t="n">
        <v>0</v>
      </c>
      <c r="CO209" s="5" t="n">
        <v>0</v>
      </c>
      <c r="CP209" s="5" t="n">
        <v>0</v>
      </c>
      <c r="CQ209" s="5" t="n">
        <v>1.387</v>
      </c>
      <c r="CR209" s="5" t="n">
        <v>0</v>
      </c>
      <c r="CS209" s="5" t="n">
        <v>5.529</v>
      </c>
      <c r="CT209" s="5" t="n">
        <v>4.251</v>
      </c>
      <c r="CU209" s="5" t="n">
        <v>10.123</v>
      </c>
    </row>
    <row r="210">
      <c r="A210" s="5" t="inlineStr">
        <is>
          <t>CYP2021</t>
        </is>
      </c>
      <c r="B210" s="5" t="inlineStr">
        <is>
          <t>CYP</t>
        </is>
      </c>
      <c r="C210" s="5" t="inlineStr">
        <is>
          <t>CYP</t>
        </is>
      </c>
      <c r="D210" s="5" t="inlineStr">
        <is>
          <t>Cyprus</t>
        </is>
      </c>
      <c r="E210" s="5" t="n">
        <v>2021</v>
      </c>
      <c r="F210" s="5" t="n">
        <v>0.19</v>
      </c>
      <c r="G210" s="5" t="n">
        <v>5.702</v>
      </c>
      <c r="H210" s="5" t="n">
        <v>1.13</v>
      </c>
      <c r="I210" s="5" t="n">
        <v>2.34</v>
      </c>
      <c r="J210" s="5" t="n">
        <v>8.041</v>
      </c>
      <c r="K210" s="5" t="n">
        <v>0</v>
      </c>
      <c r="L210" s="5" t="n">
        <v>1</v>
      </c>
      <c r="M210" s="5" t="n">
        <v>7.843</v>
      </c>
      <c r="N210" s="5" t="n">
        <v>3.389</v>
      </c>
      <c r="O210" s="5" t="n">
        <v>2.324</v>
      </c>
      <c r="P210" s="5" t="n">
        <v>10.167</v>
      </c>
      <c r="Q210" s="5" t="n">
        <v>0</v>
      </c>
      <c r="R210" s="5" t="n">
        <v>1</v>
      </c>
      <c r="S210" s="5" t="n">
        <v>11.349</v>
      </c>
      <c r="T210" s="5" t="n">
        <v>6.777</v>
      </c>
      <c r="U210" s="5" t="n">
        <v>0</v>
      </c>
      <c r="V210" s="5" t="n">
        <v>13.506</v>
      </c>
      <c r="W210" s="5" t="n">
        <v>0.19</v>
      </c>
      <c r="X210" s="5" t="n">
        <v>1</v>
      </c>
      <c r="Y210" s="5" t="n">
        <v>16.305</v>
      </c>
      <c r="Z210" s="5" t="n">
        <v>1.143</v>
      </c>
      <c r="AA210" s="5" t="n">
        <v>1.343</v>
      </c>
      <c r="AB210" s="5" t="n">
        <v>17.648</v>
      </c>
      <c r="AC210" s="5" t="n">
        <v>0</v>
      </c>
      <c r="AD210" s="5" t="n">
        <v>1</v>
      </c>
      <c r="AE210" s="5" t="n">
        <v>17.449</v>
      </c>
      <c r="AF210" s="5" t="n">
        <v>2.287</v>
      </c>
      <c r="AG210" s="5" t="n">
        <v>1.343</v>
      </c>
      <c r="AH210" s="5" t="n">
        <v>18.792</v>
      </c>
      <c r="AI210" s="5" t="n">
        <v>0</v>
      </c>
      <c r="AJ210" s="5" t="n">
        <v>1</v>
      </c>
      <c r="AK210" s="5" t="n">
        <v>24.309</v>
      </c>
      <c r="AL210" s="5" t="n">
        <v>9.147</v>
      </c>
      <c r="AM210" s="5" t="n">
        <v>0</v>
      </c>
      <c r="AN210" s="5" t="n">
        <v>28.927</v>
      </c>
      <c r="AO210" s="5" t="n">
        <v>0.19</v>
      </c>
      <c r="AP210" s="5" t="n">
        <v>1</v>
      </c>
      <c r="AQ210" s="5" t="n">
        <v>0.619</v>
      </c>
      <c r="AR210" s="5" t="n">
        <v>0.114</v>
      </c>
      <c r="AS210" s="5" t="n">
        <v>0.619</v>
      </c>
      <c r="AT210" s="5" t="n">
        <v>1.474</v>
      </c>
      <c r="AU210" s="5" t="n">
        <v>0.19</v>
      </c>
      <c r="AV210" s="5" t="n">
        <v>1</v>
      </c>
      <c r="AW210" s="5" t="n">
        <v>0.599</v>
      </c>
      <c r="AX210" s="5" t="n">
        <v>0.114</v>
      </c>
      <c r="AY210" s="5" t="n">
        <v>0.675</v>
      </c>
      <c r="AZ210" s="5" t="n">
        <v>1.517</v>
      </c>
      <c r="BA210" s="5" t="n">
        <v>0.19</v>
      </c>
      <c r="BB210" s="5" t="n">
        <v>1</v>
      </c>
      <c r="BC210" s="5" t="n">
        <v>0.439</v>
      </c>
      <c r="BD210" s="5" t="n">
        <v>0.114</v>
      </c>
      <c r="BE210" s="5" t="n">
        <v>0.005</v>
      </c>
      <c r="BF210" s="5" t="n">
        <v>0.528</v>
      </c>
      <c r="BG210" s="5" t="n">
        <v>0.19</v>
      </c>
      <c r="BH210" s="5" t="n">
        <v>1</v>
      </c>
      <c r="BI210" s="5" t="n">
        <v>0.505</v>
      </c>
      <c r="BJ210" s="5" t="n">
        <v>0.114</v>
      </c>
      <c r="BK210" s="5" t="n">
        <v>0.311</v>
      </c>
      <c r="BL210" s="5" t="n">
        <v>0.971</v>
      </c>
      <c r="BM210" s="5" t="n">
        <v>0.19</v>
      </c>
      <c r="BN210" s="5" t="n">
        <v>1</v>
      </c>
      <c r="BO210" s="5" t="n">
        <v>0</v>
      </c>
      <c r="BP210" s="5" t="n">
        <v>0.058</v>
      </c>
      <c r="BQ210" s="5" t="n">
        <v>0.2</v>
      </c>
      <c r="BR210" s="5" t="n">
        <v>0</v>
      </c>
      <c r="BS210" s="5" t="n">
        <v>1</v>
      </c>
      <c r="BT210" s="5" t="n">
        <v>0</v>
      </c>
      <c r="BU210" s="5" t="n">
        <v>0.052</v>
      </c>
      <c r="BV210" s="5" t="n">
        <v>0.253</v>
      </c>
      <c r="BW210" s="5" t="n">
        <v>0.19</v>
      </c>
      <c r="BX210" s="5" t="n">
        <v>1</v>
      </c>
      <c r="BY210" s="5" t="n">
        <v>11.787</v>
      </c>
      <c r="BZ210" s="5" t="n">
        <v>0</v>
      </c>
      <c r="CA210" s="5" t="n">
        <v>11.787</v>
      </c>
      <c r="CB210" s="5" t="n">
        <v>0</v>
      </c>
      <c r="CC210" s="5" t="n">
        <v>78.125</v>
      </c>
      <c r="CD210" s="5" t="n">
        <v>7.95</v>
      </c>
      <c r="CE210" s="5" t="n">
        <v>59.674</v>
      </c>
      <c r="CF210" s="5" t="n">
        <v>163.981</v>
      </c>
      <c r="CG210" s="5" t="n">
        <v>0.19</v>
      </c>
      <c r="CH210" s="5" t="n">
        <v>1</v>
      </c>
      <c r="CI210" s="5" t="n">
        <v>0</v>
      </c>
      <c r="CJ210" s="5" t="n">
        <v>0</v>
      </c>
      <c r="CK210" s="5" t="n">
        <v>0</v>
      </c>
      <c r="CL210" s="5" t="n">
        <v>0</v>
      </c>
      <c r="CM210" s="5" t="n">
        <v>0</v>
      </c>
      <c r="CN210" s="5" t="n">
        <v>0</v>
      </c>
      <c r="CO210" s="5" t="n">
        <v>0</v>
      </c>
      <c r="CP210" s="5" t="n">
        <v>0.024</v>
      </c>
      <c r="CQ210" s="5" t="n">
        <v>1.198</v>
      </c>
      <c r="CR210" s="5" t="n">
        <v>0</v>
      </c>
      <c r="CS210" s="5" t="n">
        <v>3.979</v>
      </c>
      <c r="CT210" s="5" t="n">
        <v>4.655</v>
      </c>
      <c r="CU210" s="5" t="n">
        <v>15.162</v>
      </c>
    </row>
    <row r="211">
      <c r="A211" s="5" t="inlineStr">
        <is>
          <t>CYP2022</t>
        </is>
      </c>
      <c r="B211" s="5" t="inlineStr">
        <is>
          <t>CYP</t>
        </is>
      </c>
      <c r="C211" s="5" t="inlineStr">
        <is>
          <t>CYP</t>
        </is>
      </c>
      <c r="D211" s="5" t="inlineStr">
        <is>
          <t>Cyprus</t>
        </is>
      </c>
      <c r="E211" s="5" t="n">
        <v>2022</v>
      </c>
      <c r="F211" s="5" t="n">
        <v>0.19</v>
      </c>
      <c r="G211" s="5" t="n">
        <v>9.759</v>
      </c>
      <c r="H211" s="5" t="n">
        <v>1.235</v>
      </c>
      <c r="I211" s="5" t="n">
        <v>8.414</v>
      </c>
      <c r="J211" s="5" t="n">
        <v>18.173</v>
      </c>
      <c r="K211" s="5" t="n">
        <v>0</v>
      </c>
      <c r="L211" s="5" t="n">
        <v>1</v>
      </c>
      <c r="M211" s="5" t="n">
        <v>9.782999999999999</v>
      </c>
      <c r="N211" s="5" t="n">
        <v>3.704</v>
      </c>
      <c r="O211" s="5" t="n">
        <v>8.358000000000001</v>
      </c>
      <c r="P211" s="5" t="n">
        <v>18.141</v>
      </c>
      <c r="Q211" s="5" t="n">
        <v>0</v>
      </c>
      <c r="R211" s="5" t="n">
        <v>1</v>
      </c>
      <c r="S211" s="5" t="n">
        <v>15.932</v>
      </c>
      <c r="T211" s="5" t="n">
        <v>7.408</v>
      </c>
      <c r="U211" s="5" t="n">
        <v>0.224</v>
      </c>
      <c r="V211" s="5" t="n">
        <v>18.959</v>
      </c>
      <c r="W211" s="5" t="n">
        <v>0.19</v>
      </c>
      <c r="X211" s="5" t="n">
        <v>1</v>
      </c>
      <c r="Y211" s="5" t="n">
        <v>32.56</v>
      </c>
      <c r="Z211" s="5" t="n">
        <v>1.235</v>
      </c>
      <c r="AA211" s="5" t="n">
        <v>4.829</v>
      </c>
      <c r="AB211" s="5" t="n">
        <v>37.389</v>
      </c>
      <c r="AC211" s="5" t="n">
        <v>0</v>
      </c>
      <c r="AD211" s="5" t="n">
        <v>1</v>
      </c>
      <c r="AE211" s="5" t="n">
        <v>33.795</v>
      </c>
      <c r="AF211" s="5" t="n">
        <v>2.469</v>
      </c>
      <c r="AG211" s="5" t="n">
        <v>4.831</v>
      </c>
      <c r="AH211" s="5" t="n">
        <v>38.626</v>
      </c>
      <c r="AI211" s="5" t="n">
        <v>0</v>
      </c>
      <c r="AJ211" s="5" t="n">
        <v>1</v>
      </c>
      <c r="AK211" s="5" t="n">
        <v>41.203</v>
      </c>
      <c r="AL211" s="5" t="n">
        <v>9.878</v>
      </c>
      <c r="AM211" s="5" t="n">
        <v>0.579</v>
      </c>
      <c r="AN211" s="5" t="n">
        <v>49.032</v>
      </c>
      <c r="AO211" s="5" t="n">
        <v>0.19</v>
      </c>
      <c r="AP211" s="5" t="n">
        <v>1</v>
      </c>
      <c r="AQ211" s="5" t="n">
        <v>0.861</v>
      </c>
      <c r="AR211" s="5" t="n">
        <v>0.123</v>
      </c>
      <c r="AS211" s="5" t="n">
        <v>0.499</v>
      </c>
      <c r="AT211" s="5" t="n">
        <v>1.618</v>
      </c>
      <c r="AU211" s="5" t="n">
        <v>0.19</v>
      </c>
      <c r="AV211" s="5" t="n">
        <v>1</v>
      </c>
      <c r="AW211" s="5" t="n">
        <v>0.986</v>
      </c>
      <c r="AX211" s="5" t="n">
        <v>0.123</v>
      </c>
      <c r="AY211" s="5" t="n">
        <v>0.556</v>
      </c>
      <c r="AZ211" s="5" t="n">
        <v>1.835</v>
      </c>
      <c r="BA211" s="5" t="n">
        <v>0.19</v>
      </c>
      <c r="BB211" s="5" t="n">
        <v>1</v>
      </c>
      <c r="BC211" s="5" t="n">
        <v>0.598</v>
      </c>
      <c r="BD211" s="5" t="n">
        <v>0.123</v>
      </c>
      <c r="BE211" s="5" t="n">
        <v>0.016</v>
      </c>
      <c r="BF211" s="5" t="n">
        <v>0.72</v>
      </c>
      <c r="BG211" s="5" t="n">
        <v>0.19</v>
      </c>
      <c r="BH211" s="5" t="n">
        <v>1</v>
      </c>
      <c r="BI211" s="5" t="n">
        <v>0.612</v>
      </c>
      <c r="BJ211" s="5" t="n">
        <v>0.123</v>
      </c>
      <c r="BK211" s="5" t="n">
        <v>0.525</v>
      </c>
      <c r="BL211" s="5" t="n">
        <v>1.353</v>
      </c>
      <c r="BM211" s="5" t="n">
        <v>0.19</v>
      </c>
      <c r="BN211" s="5" t="n">
        <v>1</v>
      </c>
      <c r="BO211" s="5" t="n">
        <v>0</v>
      </c>
      <c r="BP211" s="5" t="n">
        <v>0.076</v>
      </c>
      <c r="BQ211" s="5" t="n">
        <v>0.285</v>
      </c>
      <c r="BR211" s="5" t="n">
        <v>0</v>
      </c>
      <c r="BS211" s="5" t="n">
        <v>1</v>
      </c>
      <c r="BT211" s="5" t="n">
        <v>0</v>
      </c>
      <c r="BU211" s="5" t="n">
        <v>0.046</v>
      </c>
      <c r="BV211" s="5" t="n">
        <v>0.309</v>
      </c>
      <c r="BW211" s="5" t="n">
        <v>0.19</v>
      </c>
      <c r="BX211" s="5" t="n">
        <v>1</v>
      </c>
      <c r="BY211" s="5" t="n">
        <v>12.729</v>
      </c>
      <c r="BZ211" s="5" t="n">
        <v>0</v>
      </c>
      <c r="CA211" s="5" t="n">
        <v>12.729</v>
      </c>
      <c r="CB211" s="5" t="n">
        <v>0</v>
      </c>
      <c r="CC211" s="5" t="n">
        <v>97.90000000000001</v>
      </c>
      <c r="CD211" s="5" t="n">
        <v>7.95</v>
      </c>
      <c r="CE211" s="5" t="n">
        <v>116.835</v>
      </c>
      <c r="CF211" s="5" t="n">
        <v>255.534</v>
      </c>
      <c r="CG211" s="5" t="n">
        <v>0.19</v>
      </c>
      <c r="CH211" s="5" t="n">
        <v>1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1.294</v>
      </c>
      <c r="CR211" s="5" t="n">
        <v>0</v>
      </c>
      <c r="CS211" s="5" t="n">
        <v>4.297</v>
      </c>
      <c r="CT211" s="5" t="n">
        <v>8.523999999999999</v>
      </c>
      <c r="CU211" s="5" t="n">
        <v>31.326</v>
      </c>
    </row>
    <row r="212">
      <c r="A212" s="5" t="inlineStr">
        <is>
          <t>CYP2023</t>
        </is>
      </c>
      <c r="B212" s="5" t="inlineStr">
        <is>
          <t>CYP</t>
        </is>
      </c>
      <c r="C212" s="5" t="inlineStr">
        <is>
          <t>CYP</t>
        </is>
      </c>
      <c r="D212" s="5" t="inlineStr">
        <is>
          <t>Cyprus</t>
        </is>
      </c>
      <c r="E212" s="5" t="n">
        <v>2023</v>
      </c>
      <c r="F212" s="5" t="n">
        <v>0.19</v>
      </c>
      <c r="G212" s="5" t="n">
        <v>4.261</v>
      </c>
      <c r="H212" s="5" t="n">
        <v>0.947</v>
      </c>
      <c r="I212" s="5" t="n">
        <v>9.750999999999999</v>
      </c>
      <c r="J212" s="5" t="n">
        <v>14.011</v>
      </c>
      <c r="K212" s="5" t="n">
        <v>0</v>
      </c>
      <c r="L212" s="5" t="n">
        <v>1</v>
      </c>
      <c r="M212" s="5" t="n">
        <v>5.459</v>
      </c>
      <c r="N212" s="5" t="n">
        <v>2.841</v>
      </c>
      <c r="O212" s="5" t="n">
        <v>9.686</v>
      </c>
      <c r="P212" s="5" t="n">
        <v>15.145</v>
      </c>
      <c r="Q212" s="5" t="n">
        <v>0</v>
      </c>
      <c r="R212" s="5" t="n">
        <v>1</v>
      </c>
      <c r="S212" s="5" t="n">
        <v>8.997</v>
      </c>
      <c r="T212" s="5" t="n">
        <v>5.683</v>
      </c>
      <c r="U212" s="5" t="n">
        <v>0.189</v>
      </c>
      <c r="V212" s="5" t="n">
        <v>10.706</v>
      </c>
      <c r="W212" s="5" t="n">
        <v>0.19</v>
      </c>
      <c r="X212" s="5" t="n">
        <v>1</v>
      </c>
      <c r="Y212" s="5" t="n">
        <v>12.908</v>
      </c>
      <c r="Z212" s="5" t="n">
        <v>1.286</v>
      </c>
      <c r="AA212" s="5" t="n">
        <v>5.596</v>
      </c>
      <c r="AB212" s="5" t="n">
        <v>18.504</v>
      </c>
      <c r="AC212" s="5" t="n">
        <v>0</v>
      </c>
      <c r="AD212" s="5" t="n">
        <v>1</v>
      </c>
      <c r="AE212" s="5" t="n">
        <v>14.194</v>
      </c>
      <c r="AF212" s="5" t="n">
        <v>2.571</v>
      </c>
      <c r="AG212" s="5" t="n">
        <v>5.598</v>
      </c>
      <c r="AH212" s="5" t="n">
        <v>19.792</v>
      </c>
      <c r="AI212" s="5" t="n">
        <v>0</v>
      </c>
      <c r="AJ212" s="5" t="n">
        <v>1</v>
      </c>
      <c r="AK212" s="5" t="n">
        <v>21.908</v>
      </c>
      <c r="AL212" s="5" t="n">
        <v>10.285</v>
      </c>
      <c r="AM212" s="5" t="n">
        <v>0.461</v>
      </c>
      <c r="AN212" s="5" t="n">
        <v>26.07</v>
      </c>
      <c r="AO212" s="5" t="n">
        <v>0.19</v>
      </c>
      <c r="AP212" s="5" t="n">
        <v>1</v>
      </c>
      <c r="AQ212" s="5" t="n">
        <v>0.76</v>
      </c>
      <c r="AR212" s="5" t="n">
        <v>0.129</v>
      </c>
      <c r="AS212" s="5" t="n">
        <v>0.555</v>
      </c>
      <c r="AT212" s="5" t="n">
        <v>1.566</v>
      </c>
      <c r="AU212" s="5" t="n">
        <v>0.19</v>
      </c>
      <c r="AV212" s="5" t="n">
        <v>1</v>
      </c>
      <c r="AW212" s="5" t="n">
        <v>0.8110000000000001</v>
      </c>
      <c r="AX212" s="5" t="n">
        <v>0.129</v>
      </c>
      <c r="AY212" s="5" t="n">
        <v>0.594</v>
      </c>
      <c r="AZ212" s="5" t="n">
        <v>1.673</v>
      </c>
      <c r="BA212" s="5" t="n">
        <v>0.19</v>
      </c>
      <c r="BB212" s="5" t="n">
        <v>1</v>
      </c>
      <c r="BC212" s="5" t="n">
        <v>0.535</v>
      </c>
      <c r="BD212" s="5" t="n">
        <v>0.129</v>
      </c>
      <c r="BE212" s="5" t="n">
        <v>0.018</v>
      </c>
      <c r="BF212" s="5" t="n">
        <v>0.644</v>
      </c>
      <c r="BG212" s="5" t="n">
        <v>0.19</v>
      </c>
      <c r="BH212" s="5" t="n">
        <v>1</v>
      </c>
      <c r="BI212" s="5" t="n">
        <v>0.579</v>
      </c>
      <c r="BJ212" s="5" t="n">
        <v>0.129</v>
      </c>
      <c r="BK212" s="5" t="n">
        <v>0.497</v>
      </c>
      <c r="BL212" s="5" t="n">
        <v>1.281</v>
      </c>
      <c r="BM212" s="5" t="n">
        <v>0.19</v>
      </c>
      <c r="BN212" s="5" t="n">
        <v>1</v>
      </c>
      <c r="BO212" s="5" t="n">
        <v>0</v>
      </c>
      <c r="BP212" s="5" t="n">
        <v>0.08599999999999999</v>
      </c>
      <c r="BQ212" s="5" t="n">
        <v>0.291</v>
      </c>
      <c r="BR212" s="5" t="n">
        <v>0</v>
      </c>
      <c r="BS212" s="5" t="n">
        <v>1</v>
      </c>
      <c r="BT212" s="5" t="n">
        <v>0</v>
      </c>
      <c r="BU212" s="5" t="n">
        <v>0.089</v>
      </c>
      <c r="BV212" s="5" t="n">
        <v>0.389</v>
      </c>
      <c r="BW212" s="5" t="n">
        <v>0.19</v>
      </c>
      <c r="BX212" s="5" t="n">
        <v>1</v>
      </c>
      <c r="BY212" s="5" t="n">
        <v>13.254</v>
      </c>
      <c r="BZ212" s="5" t="n">
        <v>0</v>
      </c>
      <c r="CA212" s="5" t="n">
        <v>13.254</v>
      </c>
      <c r="CB212" s="5" t="n">
        <v>0</v>
      </c>
      <c r="CC212" s="5" t="n">
        <v>83.248</v>
      </c>
      <c r="CD212" s="5" t="n">
        <v>7.95</v>
      </c>
      <c r="CE212" s="5" t="n">
        <v>115.756</v>
      </c>
      <c r="CF212" s="5" t="n">
        <v>236.815</v>
      </c>
      <c r="CG212" s="5" t="n">
        <v>0.19</v>
      </c>
      <c r="CH212" s="5" t="n">
        <v>1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0.527</v>
      </c>
      <c r="CQ212" s="5" t="n">
        <v>1.348</v>
      </c>
      <c r="CR212" s="5" t="n">
        <v>0</v>
      </c>
      <c r="CS212" s="5" t="n">
        <v>4.474</v>
      </c>
      <c r="CT212" s="5" t="n">
        <v>5.5</v>
      </c>
      <c r="CU212" s="5" t="n">
        <v>11.622</v>
      </c>
    </row>
    <row r="213">
      <c r="A213" s="5" t="inlineStr">
        <is>
          <t>CYP2024</t>
        </is>
      </c>
      <c r="B213" s="5" t="inlineStr">
        <is>
          <t>CYP</t>
        </is>
      </c>
      <c r="C213" s="5" t="inlineStr">
        <is>
          <t>CYP</t>
        </is>
      </c>
      <c r="D213" s="5" t="inlineStr">
        <is>
          <t>Cyprus</t>
        </is>
      </c>
      <c r="E213" s="5" t="n">
        <v>2024</v>
      </c>
      <c r="F213" s="5" t="n">
        <v>0.19</v>
      </c>
      <c r="G213" s="5" t="n">
        <v>3.922</v>
      </c>
      <c r="H213" s="5" t="n">
        <v>0.975</v>
      </c>
      <c r="I213" s="5" t="n">
        <v>6.39</v>
      </c>
      <c r="J213" s="5" t="n">
        <v>10.312</v>
      </c>
      <c r="K213" s="5" t="n">
        <v>0</v>
      </c>
      <c r="L213" s="5" t="n">
        <v>1</v>
      </c>
      <c r="M213" s="5" t="n">
        <v>5.149</v>
      </c>
      <c r="N213" s="5" t="n">
        <v>2.925</v>
      </c>
      <c r="O213" s="5" t="n">
        <v>6.347</v>
      </c>
      <c r="P213" s="5" t="n">
        <v>11.496</v>
      </c>
      <c r="Q213" s="5" t="n">
        <v>0</v>
      </c>
      <c r="R213" s="5" t="n">
        <v>1</v>
      </c>
      <c r="S213" s="5" t="n">
        <v>8.797000000000001</v>
      </c>
      <c r="T213" s="5" t="n">
        <v>5.851</v>
      </c>
      <c r="U213" s="5" t="n">
        <v>0.228</v>
      </c>
      <c r="V213" s="5" t="n">
        <v>10.469</v>
      </c>
      <c r="W213" s="5" t="n">
        <v>0.19</v>
      </c>
      <c r="X213" s="5" t="n">
        <v>1</v>
      </c>
      <c r="Y213" s="5" t="n">
        <v>11.492</v>
      </c>
      <c r="Z213" s="5" t="n">
        <v>1.324</v>
      </c>
      <c r="AA213" s="5" t="n">
        <v>3.667</v>
      </c>
      <c r="AB213" s="5" t="n">
        <v>15.159</v>
      </c>
      <c r="AC213" s="5" t="n">
        <v>0</v>
      </c>
      <c r="AD213" s="5" t="n">
        <v>1</v>
      </c>
      <c r="AE213" s="5" t="n">
        <v>12.815</v>
      </c>
      <c r="AF213" s="5" t="n">
        <v>2.647</v>
      </c>
      <c r="AG213" s="5" t="n">
        <v>3.668</v>
      </c>
      <c r="AH213" s="5" t="n">
        <v>16.484</v>
      </c>
      <c r="AI213" s="5" t="n">
        <v>0</v>
      </c>
      <c r="AJ213" s="5" t="n">
        <v>1</v>
      </c>
      <c r="AK213" s="5" t="n">
        <v>20.757</v>
      </c>
      <c r="AL213" s="5" t="n">
        <v>10.589</v>
      </c>
      <c r="AM213" s="5" t="n">
        <v>0.537</v>
      </c>
      <c r="AN213" s="5" t="n">
        <v>24.701</v>
      </c>
      <c r="AO213" s="5" t="n">
        <v>0.19</v>
      </c>
      <c r="AP213" s="5" t="n">
        <v>1</v>
      </c>
      <c r="AQ213" s="5" t="n">
        <v>0.724</v>
      </c>
      <c r="AR213" s="5" t="n">
        <v>0.132</v>
      </c>
      <c r="AS213" s="5" t="n">
        <v>0.585</v>
      </c>
      <c r="AT213" s="5" t="n">
        <v>1.558</v>
      </c>
      <c r="AU213" s="5" t="n">
        <v>0.19</v>
      </c>
      <c r="AV213" s="5" t="n">
        <v>1</v>
      </c>
      <c r="AW213" s="5" t="n">
        <v>0.75</v>
      </c>
      <c r="AX213" s="5" t="n">
        <v>0.132</v>
      </c>
      <c r="AY213" s="5" t="n">
        <v>0.62</v>
      </c>
      <c r="AZ213" s="5" t="n">
        <v>1.63</v>
      </c>
      <c r="BA213" s="5" t="n">
        <v>0.19</v>
      </c>
      <c r="BB213" s="5" t="n">
        <v>1</v>
      </c>
      <c r="BC213" s="5" t="n">
        <v>0.513</v>
      </c>
      <c r="BD213" s="5" t="n">
        <v>0.132</v>
      </c>
      <c r="BE213" s="5" t="n">
        <v>0.019</v>
      </c>
      <c r="BF213" s="5" t="n">
        <v>0.618</v>
      </c>
      <c r="BG213" s="5" t="n">
        <v>0.19</v>
      </c>
      <c r="BH213" s="5" t="n">
        <v>1</v>
      </c>
      <c r="BI213" s="5" t="n">
        <v>0.591</v>
      </c>
      <c r="BJ213" s="5" t="n">
        <v>0.132</v>
      </c>
      <c r="BK213" s="5" t="n">
        <v>0.468</v>
      </c>
      <c r="BL213" s="5" t="n">
        <v>1.261</v>
      </c>
      <c r="BM213" s="5" t="n">
        <v>0.19</v>
      </c>
      <c r="BN213" s="5" t="n">
        <v>1</v>
      </c>
      <c r="BO213" s="5" t="n">
        <v>0</v>
      </c>
      <c r="BP213" s="5" t="n">
        <v>0.06900000000000001</v>
      </c>
      <c r="BQ213" s="5" t="n">
        <v>0.262</v>
      </c>
      <c r="BR213" s="5" t="n">
        <v>0</v>
      </c>
      <c r="BS213" s="5" t="n">
        <v>1</v>
      </c>
      <c r="BT213" s="5" t="n">
        <v>0</v>
      </c>
      <c r="BU213" s="5" t="n">
        <v>0.06900000000000001</v>
      </c>
      <c r="BV213" s="5" t="n">
        <v>0.351</v>
      </c>
      <c r="BW213" s="5" t="n">
        <v>0.19</v>
      </c>
      <c r="BX213" s="5" t="n">
        <v>1</v>
      </c>
      <c r="BY213" s="5" t="n">
        <v>13.646</v>
      </c>
      <c r="BZ213" s="5" t="n">
        <v>0</v>
      </c>
      <c r="CA213" s="5" t="n">
        <v>13.646</v>
      </c>
      <c r="CB213" s="5" t="n">
        <v>0</v>
      </c>
      <c r="CC213" s="5" t="n">
        <v>82.58799999999999</v>
      </c>
      <c r="CD213" s="5" t="n">
        <v>7.95</v>
      </c>
      <c r="CE213" s="5" t="n">
        <v>97.929</v>
      </c>
      <c r="CF213" s="5" t="n">
        <v>214.815</v>
      </c>
      <c r="CG213" s="5" t="n">
        <v>0.19</v>
      </c>
      <c r="CH213" s="5" t="n">
        <v>1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0</v>
      </c>
      <c r="CN213" s="5" t="n">
        <v>0</v>
      </c>
      <c r="CO213" s="5" t="n">
        <v>0</v>
      </c>
      <c r="CP213" s="5" t="n">
        <v>0.527</v>
      </c>
      <c r="CQ213" s="5" t="n">
        <v>1.387</v>
      </c>
      <c r="CR213" s="5" t="n">
        <v>0</v>
      </c>
      <c r="CS213" s="5" t="n">
        <v>4.607</v>
      </c>
      <c r="CT213" s="5" t="n">
        <v>4.681</v>
      </c>
      <c r="CU213" s="5" t="n">
        <v>10.168</v>
      </c>
    </row>
    <row r="214">
      <c r="A214" s="5" t="inlineStr">
        <is>
          <t>CZE2021</t>
        </is>
      </c>
      <c r="B214" s="5" t="inlineStr">
        <is>
          <t>CZE</t>
        </is>
      </c>
      <c r="C214" s="5" t="inlineStr">
        <is>
          <t>CZE</t>
        </is>
      </c>
      <c r="D214" s="5" t="inlineStr">
        <is>
          <t>Czechia</t>
        </is>
      </c>
      <c r="E214" s="5" t="n">
        <v>2021</v>
      </c>
      <c r="F214" s="5" t="n">
        <v>0.21</v>
      </c>
      <c r="G214" s="5" t="n">
        <v>1.563</v>
      </c>
      <c r="H214" s="5" t="n">
        <v>0.342</v>
      </c>
      <c r="I214" s="5" t="n">
        <v>1.887</v>
      </c>
      <c r="J214" s="5" t="n">
        <v>3.449</v>
      </c>
      <c r="K214" s="5" t="n">
        <v>0</v>
      </c>
      <c r="L214" s="5" t="n">
        <v>1</v>
      </c>
      <c r="M214" s="5" t="n">
        <v>1.508</v>
      </c>
      <c r="N214" s="5" t="n">
        <v>0.6840000000000001</v>
      </c>
      <c r="O214" s="5" t="n">
        <v>1.941</v>
      </c>
      <c r="P214" s="5" t="n">
        <v>3.449</v>
      </c>
      <c r="Q214" s="5" t="n">
        <v>0</v>
      </c>
      <c r="R214" s="5" t="n">
        <v>1</v>
      </c>
      <c r="S214" s="5" t="n">
        <v>5.018</v>
      </c>
      <c r="T214" s="5" t="n">
        <v>3.11</v>
      </c>
      <c r="U214" s="5" t="n">
        <v>0.396</v>
      </c>
      <c r="V214" s="5" t="n">
        <v>6.55</v>
      </c>
      <c r="W214" s="5" t="n">
        <v>0.21</v>
      </c>
      <c r="X214" s="5" t="n">
        <v>1</v>
      </c>
      <c r="Y214" s="5" t="n">
        <v>14.741</v>
      </c>
      <c r="Z214" s="5" t="n">
        <v>1.628</v>
      </c>
      <c r="AA214" s="5" t="n">
        <v>-4.153</v>
      </c>
      <c r="AB214" s="5" t="n">
        <v>10.587</v>
      </c>
      <c r="AC214" s="5" t="n">
        <v>0</v>
      </c>
      <c r="AD214" s="5" t="n">
        <v>1</v>
      </c>
      <c r="AE214" s="5" t="n">
        <v>14.697</v>
      </c>
      <c r="AF214" s="5" t="n">
        <v>2.892</v>
      </c>
      <c r="AG214" s="5" t="n">
        <v>-4.11</v>
      </c>
      <c r="AH214" s="5" t="n">
        <v>10.587</v>
      </c>
      <c r="AI214" s="5" t="n">
        <v>0</v>
      </c>
      <c r="AJ214" s="5" t="n">
        <v>1</v>
      </c>
      <c r="AK214" s="5" t="n">
        <v>21.341</v>
      </c>
      <c r="AL214" s="5" t="n">
        <v>10.474</v>
      </c>
      <c r="AM214" s="5" t="n">
        <v>-6.187</v>
      </c>
      <c r="AN214" s="5" t="n">
        <v>18.335</v>
      </c>
      <c r="AO214" s="5" t="n">
        <v>0.21</v>
      </c>
      <c r="AP214" s="5" t="n">
        <v>1</v>
      </c>
      <c r="AQ214" s="5" t="n">
        <v>0.619</v>
      </c>
      <c r="AR214" s="5" t="n">
        <v>0.114</v>
      </c>
      <c r="AS214" s="5" t="n">
        <v>0.634</v>
      </c>
      <c r="AT214" s="5" t="n">
        <v>1.516</v>
      </c>
      <c r="AU214" s="5" t="n">
        <v>0.21</v>
      </c>
      <c r="AV214" s="5" t="n">
        <v>1</v>
      </c>
      <c r="AW214" s="5" t="n">
        <v>0.599</v>
      </c>
      <c r="AX214" s="5" t="n">
        <v>0.114</v>
      </c>
      <c r="AY214" s="5" t="n">
        <v>0.595</v>
      </c>
      <c r="AZ214" s="5" t="n">
        <v>1.445</v>
      </c>
      <c r="BA214" s="5" t="n">
        <v>0.21</v>
      </c>
      <c r="BB214" s="5" t="n">
        <v>1</v>
      </c>
      <c r="BC214" s="5" t="n">
        <v>0.439</v>
      </c>
      <c r="BD214" s="5" t="n">
        <v>0.114</v>
      </c>
      <c r="BE214" s="5" t="n">
        <v>0.103</v>
      </c>
      <c r="BF214" s="5" t="n">
        <v>0.656</v>
      </c>
      <c r="BG214" s="5" t="n">
        <v>0.21</v>
      </c>
      <c r="BH214" s="5" t="n">
        <v>1</v>
      </c>
      <c r="BI214" s="5" t="n">
        <v>0.505</v>
      </c>
      <c r="BJ214" s="5" t="n">
        <v>0.114</v>
      </c>
      <c r="BK214" s="5" t="n">
        <v>0.227</v>
      </c>
      <c r="BL214" s="5" t="n">
        <v>0.885</v>
      </c>
      <c r="BM214" s="5" t="n">
        <v>0.21</v>
      </c>
      <c r="BN214" s="5" t="n">
        <v>1</v>
      </c>
      <c r="BO214" s="5" t="n">
        <v>0</v>
      </c>
      <c r="BP214" s="5" t="n">
        <v>0.01</v>
      </c>
      <c r="BQ214" s="5" t="n">
        <v>0.096</v>
      </c>
      <c r="BR214" s="5" t="n">
        <v>0</v>
      </c>
      <c r="BS214" s="5" t="n">
        <v>1</v>
      </c>
      <c r="BT214" s="5" t="n">
        <v>0</v>
      </c>
      <c r="BU214" s="5" t="n">
        <v>0.021</v>
      </c>
      <c r="BV214" s="5" t="n">
        <v>0.218</v>
      </c>
      <c r="BW214" s="5" t="n">
        <v>0.21</v>
      </c>
      <c r="BX214" s="5" t="n">
        <v>1</v>
      </c>
      <c r="BY214" s="5" t="n">
        <v>11.787</v>
      </c>
      <c r="BZ214" s="5" t="n">
        <v>0</v>
      </c>
      <c r="CA214" s="5" t="n">
        <v>11.787</v>
      </c>
      <c r="CB214" s="5" t="n">
        <v>0</v>
      </c>
      <c r="CC214" s="5" t="n">
        <v>78.125</v>
      </c>
      <c r="CD214" s="5" t="n">
        <v>7.95</v>
      </c>
      <c r="CE214" s="5" t="n">
        <v>39.796</v>
      </c>
      <c r="CF214" s="5" t="n">
        <v>142.685</v>
      </c>
      <c r="CG214" s="5" t="n">
        <v>0.21</v>
      </c>
      <c r="CH214" s="5" t="n">
        <v>1</v>
      </c>
      <c r="CI214" s="5" t="n">
        <v>0</v>
      </c>
      <c r="CJ214" s="5" t="n">
        <v>0</v>
      </c>
      <c r="CK214" s="5" t="n">
        <v>0</v>
      </c>
      <c r="CL214" s="5" t="n">
        <v>0</v>
      </c>
      <c r="CM214" s="5" t="n">
        <v>0</v>
      </c>
      <c r="CN214" s="5" t="n">
        <v>0</v>
      </c>
      <c r="CO214" s="5" t="n">
        <v>0</v>
      </c>
      <c r="CP214" s="5" t="n">
        <v>0</v>
      </c>
      <c r="CQ214" s="5" t="n">
        <v>1.198</v>
      </c>
      <c r="CR214" s="5" t="n">
        <v>0</v>
      </c>
      <c r="CS214" s="5" t="n">
        <v>4.776</v>
      </c>
      <c r="CT214" s="5" t="n">
        <v>5.416</v>
      </c>
      <c r="CU214" s="5" t="n">
        <v>10.236</v>
      </c>
    </row>
    <row r="215">
      <c r="A215" s="5" t="inlineStr">
        <is>
          <t>CZE2022</t>
        </is>
      </c>
      <c r="B215" s="5" t="inlineStr">
        <is>
          <t>CZE</t>
        </is>
      </c>
      <c r="C215" s="5" t="inlineStr">
        <is>
          <t>CZE</t>
        </is>
      </c>
      <c r="D215" s="5" t="inlineStr">
        <is>
          <t>Czechia</t>
        </is>
      </c>
      <c r="E215" s="5" t="n">
        <v>2022</v>
      </c>
      <c r="F215" s="5" t="n">
        <v>0.21</v>
      </c>
      <c r="G215" s="5" t="n">
        <v>3.418</v>
      </c>
      <c r="H215" s="5" t="n">
        <v>0.531</v>
      </c>
      <c r="I215" s="5" t="n">
        <v>8.521000000000001</v>
      </c>
      <c r="J215" s="5" t="n">
        <v>11.939</v>
      </c>
      <c r="K215" s="5" t="n">
        <v>0</v>
      </c>
      <c r="L215" s="5" t="n">
        <v>1</v>
      </c>
      <c r="M215" s="5" t="n">
        <v>3.304</v>
      </c>
      <c r="N215" s="5" t="n">
        <v>1.364</v>
      </c>
      <c r="O215" s="5" t="n">
        <v>8.634</v>
      </c>
      <c r="P215" s="5" t="n">
        <v>11.939</v>
      </c>
      <c r="Q215" s="5" t="n">
        <v>0</v>
      </c>
      <c r="R215" s="5" t="n">
        <v>1</v>
      </c>
      <c r="S215" s="5" t="n">
        <v>7.282</v>
      </c>
      <c r="T215" s="5" t="n">
        <v>3.566</v>
      </c>
      <c r="U215" s="5" t="n">
        <v>0.392</v>
      </c>
      <c r="V215" s="5" t="n">
        <v>9.285</v>
      </c>
      <c r="W215" s="5" t="n">
        <v>0.21</v>
      </c>
      <c r="X215" s="5" t="n">
        <v>1</v>
      </c>
      <c r="Y215" s="5" t="n">
        <v>31.968</v>
      </c>
      <c r="Z215" s="5" t="n">
        <v>3.354</v>
      </c>
      <c r="AA215" s="5" t="n">
        <v>-5.173</v>
      </c>
      <c r="AB215" s="5" t="n">
        <v>26.795</v>
      </c>
      <c r="AC215" s="5" t="n">
        <v>0</v>
      </c>
      <c r="AD215" s="5" t="n">
        <v>1</v>
      </c>
      <c r="AE215" s="5" t="n">
        <v>32.016</v>
      </c>
      <c r="AF215" s="5" t="n">
        <v>5.935</v>
      </c>
      <c r="AG215" s="5" t="n">
        <v>-5.221</v>
      </c>
      <c r="AH215" s="5" t="n">
        <v>26.795</v>
      </c>
      <c r="AI215" s="5" t="n">
        <v>0</v>
      </c>
      <c r="AJ215" s="5" t="n">
        <v>1</v>
      </c>
      <c r="AK215" s="5" t="n">
        <v>39.208</v>
      </c>
      <c r="AL215" s="5" t="n">
        <v>18.723</v>
      </c>
      <c r="AM215" s="5" t="n">
        <v>-17.909</v>
      </c>
      <c r="AN215" s="5" t="n">
        <v>25.771</v>
      </c>
      <c r="AO215" s="5" t="n">
        <v>0.21</v>
      </c>
      <c r="AP215" s="5" t="n">
        <v>1</v>
      </c>
      <c r="AQ215" s="5" t="n">
        <v>0.861</v>
      </c>
      <c r="AR215" s="5" t="n">
        <v>0.123</v>
      </c>
      <c r="AS215" s="5" t="n">
        <v>0.615</v>
      </c>
      <c r="AT215" s="5" t="n">
        <v>1.786</v>
      </c>
      <c r="AU215" s="5" t="n">
        <v>0.21</v>
      </c>
      <c r="AV215" s="5" t="n">
        <v>1</v>
      </c>
      <c r="AW215" s="5" t="n">
        <v>0.986</v>
      </c>
      <c r="AX215" s="5" t="n">
        <v>0.123</v>
      </c>
      <c r="AY215" s="5" t="n">
        <v>0.549</v>
      </c>
      <c r="AZ215" s="5" t="n">
        <v>1.857</v>
      </c>
      <c r="BA215" s="5" t="n">
        <v>0.21</v>
      </c>
      <c r="BB215" s="5" t="n">
        <v>1</v>
      </c>
      <c r="BC215" s="5" t="n">
        <v>0.598</v>
      </c>
      <c r="BD215" s="5" t="n">
        <v>0.123</v>
      </c>
      <c r="BE215" s="5" t="n">
        <v>0.068</v>
      </c>
      <c r="BF215" s="5" t="n">
        <v>0.806</v>
      </c>
      <c r="BG215" s="5" t="n">
        <v>0.21</v>
      </c>
      <c r="BH215" s="5" t="n">
        <v>1</v>
      </c>
      <c r="BI215" s="5" t="n">
        <v>0.612</v>
      </c>
      <c r="BJ215" s="5" t="n">
        <v>0.123</v>
      </c>
      <c r="BK215" s="5" t="n">
        <v>0.549</v>
      </c>
      <c r="BL215" s="5" t="n">
        <v>1.406</v>
      </c>
      <c r="BM215" s="5" t="n">
        <v>0.21</v>
      </c>
      <c r="BN215" s="5" t="n">
        <v>1</v>
      </c>
      <c r="BO215" s="5" t="n">
        <v>0</v>
      </c>
      <c r="BP215" s="5" t="n">
        <v>0.006</v>
      </c>
      <c r="BQ215" s="5" t="n">
        <v>0.187</v>
      </c>
      <c r="BR215" s="5" t="n">
        <v>0</v>
      </c>
      <c r="BS215" s="5" t="n">
        <v>1</v>
      </c>
      <c r="BT215" s="5" t="n">
        <v>0</v>
      </c>
      <c r="BU215" s="5" t="n">
        <v>-0.035</v>
      </c>
      <c r="BV215" s="5" t="n">
        <v>0.219</v>
      </c>
      <c r="BW215" s="5" t="n">
        <v>0.21</v>
      </c>
      <c r="BX215" s="5" t="n">
        <v>1</v>
      </c>
      <c r="BY215" s="5" t="n">
        <v>12.729</v>
      </c>
      <c r="BZ215" s="5" t="n">
        <v>0</v>
      </c>
      <c r="CA215" s="5" t="n">
        <v>12.729</v>
      </c>
      <c r="CB215" s="5" t="n">
        <v>0</v>
      </c>
      <c r="CC215" s="5" t="n">
        <v>97.90000000000001</v>
      </c>
      <c r="CD215" s="5" t="n">
        <v>7.95</v>
      </c>
      <c r="CE215" s="5" t="n">
        <v>114.227</v>
      </c>
      <c r="CF215" s="5" t="n">
        <v>256.674</v>
      </c>
      <c r="CG215" s="5" t="n">
        <v>0.21</v>
      </c>
      <c r="CH215" s="5" t="n">
        <v>1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1.294</v>
      </c>
      <c r="CR215" s="5" t="n">
        <v>0</v>
      </c>
      <c r="CS215" s="5" t="n">
        <v>5.158</v>
      </c>
      <c r="CT215" s="5" t="n">
        <v>11.285</v>
      </c>
      <c r="CU215" s="5" t="n">
        <v>27.372</v>
      </c>
    </row>
    <row r="216">
      <c r="A216" s="5" t="inlineStr">
        <is>
          <t>CZE2023</t>
        </is>
      </c>
      <c r="B216" s="5" t="inlineStr">
        <is>
          <t>CZE</t>
        </is>
      </c>
      <c r="C216" s="5" t="inlineStr">
        <is>
          <t>CZE</t>
        </is>
      </c>
      <c r="D216" s="5" t="inlineStr">
        <is>
          <t>Czechia</t>
        </is>
      </c>
      <c r="E216" s="5" t="n">
        <v>2023</v>
      </c>
      <c r="F216" s="5" t="n">
        <v>0.21</v>
      </c>
      <c r="G216" s="5" t="n">
        <v>4.158</v>
      </c>
      <c r="H216" s="5" t="n">
        <v>0.947</v>
      </c>
      <c r="I216" s="5" t="n">
        <v>9.875</v>
      </c>
      <c r="J216" s="5" t="n">
        <v>14.033</v>
      </c>
      <c r="K216" s="5" t="n">
        <v>0</v>
      </c>
      <c r="L216" s="5" t="n">
        <v>1</v>
      </c>
      <c r="M216" s="5" t="n">
        <v>4.033</v>
      </c>
      <c r="N216" s="5" t="n">
        <v>2</v>
      </c>
      <c r="O216" s="5" t="n">
        <v>10</v>
      </c>
      <c r="P216" s="5" t="n">
        <v>14.033</v>
      </c>
      <c r="Q216" s="5" t="n">
        <v>0</v>
      </c>
      <c r="R216" s="5" t="n">
        <v>1</v>
      </c>
      <c r="S216" s="5" t="n">
        <v>9.648999999999999</v>
      </c>
      <c r="T216" s="5" t="n">
        <v>6.051</v>
      </c>
      <c r="U216" s="5" t="n">
        <v>0.388</v>
      </c>
      <c r="V216" s="5" t="n">
        <v>12.144</v>
      </c>
      <c r="W216" s="5" t="n">
        <v>0.21</v>
      </c>
      <c r="X216" s="5" t="n">
        <v>1</v>
      </c>
      <c r="Y216" s="5" t="n">
        <v>19.47</v>
      </c>
      <c r="Z216" s="5" t="n">
        <v>2.181</v>
      </c>
      <c r="AA216" s="5" t="n">
        <v>8.135</v>
      </c>
      <c r="AB216" s="5" t="n">
        <v>27.605</v>
      </c>
      <c r="AC216" s="5" t="n">
        <v>0</v>
      </c>
      <c r="AD216" s="5" t="n">
        <v>1</v>
      </c>
      <c r="AE216" s="5" t="n">
        <v>19.569</v>
      </c>
      <c r="AF216" s="5" t="n">
        <v>3.897</v>
      </c>
      <c r="AG216" s="5" t="n">
        <v>8.036</v>
      </c>
      <c r="AH216" s="5" t="n">
        <v>27.605</v>
      </c>
      <c r="AI216" s="5" t="n">
        <v>0</v>
      </c>
      <c r="AJ216" s="5" t="n">
        <v>1</v>
      </c>
      <c r="AK216" s="5" t="n">
        <v>27.067</v>
      </c>
      <c r="AL216" s="5" t="n">
        <v>13.408</v>
      </c>
      <c r="AM216" s="5" t="n">
        <v>1.029</v>
      </c>
      <c r="AN216" s="5" t="n">
        <v>33.996</v>
      </c>
      <c r="AO216" s="5" t="n">
        <v>0.21</v>
      </c>
      <c r="AP216" s="5" t="n">
        <v>1</v>
      </c>
      <c r="AQ216" s="5" t="n">
        <v>0.76</v>
      </c>
      <c r="AR216" s="5" t="n">
        <v>0.129</v>
      </c>
      <c r="AS216" s="5" t="n">
        <v>0.646</v>
      </c>
      <c r="AT216" s="5" t="n">
        <v>1.702</v>
      </c>
      <c r="AU216" s="5" t="n">
        <v>0.21</v>
      </c>
      <c r="AV216" s="5" t="n">
        <v>1</v>
      </c>
      <c r="AW216" s="5" t="n">
        <v>0.8110000000000001</v>
      </c>
      <c r="AX216" s="5" t="n">
        <v>0.129</v>
      </c>
      <c r="AY216" s="5" t="n">
        <v>0.529</v>
      </c>
      <c r="AZ216" s="5" t="n">
        <v>1.622</v>
      </c>
      <c r="BA216" s="5" t="n">
        <v>0.21</v>
      </c>
      <c r="BB216" s="5" t="n">
        <v>1</v>
      </c>
      <c r="BC216" s="5" t="n">
        <v>0.535</v>
      </c>
      <c r="BD216" s="5" t="n">
        <v>0.129</v>
      </c>
      <c r="BE216" s="5" t="n">
        <v>0.053</v>
      </c>
      <c r="BF216" s="5" t="n">
        <v>0.711</v>
      </c>
      <c r="BG216" s="5" t="n">
        <v>0.21</v>
      </c>
      <c r="BH216" s="5" t="n">
        <v>1</v>
      </c>
      <c r="BI216" s="5" t="n">
        <v>0.579</v>
      </c>
      <c r="BJ216" s="5" t="n">
        <v>0.129</v>
      </c>
      <c r="BK216" s="5" t="n">
        <v>0.348</v>
      </c>
      <c r="BL216" s="5" t="n">
        <v>1.122</v>
      </c>
      <c r="BM216" s="5" t="n">
        <v>0.21</v>
      </c>
      <c r="BN216" s="5" t="n">
        <v>1</v>
      </c>
      <c r="BO216" s="5" t="n">
        <v>0</v>
      </c>
      <c r="BP216" s="5" t="n">
        <v>0.001</v>
      </c>
      <c r="BQ216" s="5" t="n">
        <v>0.199</v>
      </c>
      <c r="BR216" s="5" t="n">
        <v>0</v>
      </c>
      <c r="BS216" s="5" t="n">
        <v>1</v>
      </c>
      <c r="BT216" s="5" t="n">
        <v>0</v>
      </c>
      <c r="BU216" s="5" t="n">
        <v>0.002</v>
      </c>
      <c r="BV216" s="5" t="n">
        <v>0.343</v>
      </c>
      <c r="BW216" s="5" t="n">
        <v>0.21</v>
      </c>
      <c r="BX216" s="5" t="n">
        <v>1</v>
      </c>
      <c r="BY216" s="5" t="n">
        <v>13.254</v>
      </c>
      <c r="BZ216" s="5" t="n">
        <v>0</v>
      </c>
      <c r="CA216" s="5" t="n">
        <v>13.254</v>
      </c>
      <c r="CB216" s="5" t="n">
        <v>0</v>
      </c>
      <c r="CC216" s="5" t="n">
        <v>83.248</v>
      </c>
      <c r="CD216" s="5" t="n">
        <v>7.95</v>
      </c>
      <c r="CE216" s="5" t="n">
        <v>103.863</v>
      </c>
      <c r="CF216" s="5" t="n">
        <v>226.404</v>
      </c>
      <c r="CG216" s="5" t="n">
        <v>0.21</v>
      </c>
      <c r="CH216" s="5" t="n">
        <v>1</v>
      </c>
      <c r="CI216" s="5" t="n">
        <v>0</v>
      </c>
      <c r="CJ216" s="5" t="n">
        <v>0</v>
      </c>
      <c r="CK216" s="5" t="n">
        <v>0</v>
      </c>
      <c r="CL216" s="5" t="n">
        <v>0</v>
      </c>
      <c r="CM216" s="5" t="n">
        <v>0</v>
      </c>
      <c r="CN216" s="5" t="n">
        <v>0</v>
      </c>
      <c r="CO216" s="5" t="n">
        <v>0</v>
      </c>
      <c r="CP216" s="5" t="n">
        <v>0</v>
      </c>
      <c r="CQ216" s="5" t="n">
        <v>1.348</v>
      </c>
      <c r="CR216" s="5" t="n">
        <v>0</v>
      </c>
      <c r="CS216" s="5" t="n">
        <v>5.37</v>
      </c>
      <c r="CT216" s="5" t="n">
        <v>9.798</v>
      </c>
      <c r="CU216" s="5" t="n">
        <v>14.823</v>
      </c>
    </row>
    <row r="217">
      <c r="A217" s="5" t="inlineStr">
        <is>
          <t>CZE2024</t>
        </is>
      </c>
      <c r="B217" s="5" t="inlineStr">
        <is>
          <t>CZE</t>
        </is>
      </c>
      <c r="C217" s="5" t="inlineStr">
        <is>
          <t>CZE</t>
        </is>
      </c>
      <c r="D217" s="5" t="inlineStr">
        <is>
          <t>Czechia</t>
        </is>
      </c>
      <c r="E217" s="5" t="n">
        <v>2024</v>
      </c>
      <c r="F217" s="5" t="n">
        <v>0.21</v>
      </c>
      <c r="G217" s="5" t="n">
        <v>3.674</v>
      </c>
      <c r="H217" s="5" t="n">
        <v>0.931</v>
      </c>
      <c r="I217" s="5" t="n">
        <v>6.472</v>
      </c>
      <c r="J217" s="5" t="n">
        <v>10.146</v>
      </c>
      <c r="K217" s="5" t="n">
        <v>0</v>
      </c>
      <c r="L217" s="5" t="n">
        <v>1</v>
      </c>
      <c r="M217" s="5" t="n">
        <v>3.58</v>
      </c>
      <c r="N217" s="5" t="n">
        <v>1.95</v>
      </c>
      <c r="O217" s="5" t="n">
        <v>6.566</v>
      </c>
      <c r="P217" s="5" t="n">
        <v>10.146</v>
      </c>
      <c r="Q217" s="5" t="n">
        <v>0</v>
      </c>
      <c r="R217" s="5" t="n">
        <v>1</v>
      </c>
      <c r="S217" s="5" t="n">
        <v>9.407999999999999</v>
      </c>
      <c r="T217" s="5" t="n">
        <v>6.228</v>
      </c>
      <c r="U217" s="5" t="n">
        <v>0.388</v>
      </c>
      <c r="V217" s="5" t="n">
        <v>11.853</v>
      </c>
      <c r="W217" s="5" t="n">
        <v>0.21</v>
      </c>
      <c r="X217" s="5" t="n">
        <v>1</v>
      </c>
      <c r="Y217" s="5" t="n">
        <v>18.851</v>
      </c>
      <c r="Z217" s="5" t="n">
        <v>2.38</v>
      </c>
      <c r="AA217" s="5" t="n">
        <v>4.068</v>
      </c>
      <c r="AB217" s="5" t="n">
        <v>22.918</v>
      </c>
      <c r="AC217" s="5" t="n">
        <v>0</v>
      </c>
      <c r="AD217" s="5" t="n">
        <v>1</v>
      </c>
      <c r="AE217" s="5" t="n">
        <v>18.851</v>
      </c>
      <c r="AF217" s="5" t="n">
        <v>4.129</v>
      </c>
      <c r="AG217" s="5" t="n">
        <v>4.068</v>
      </c>
      <c r="AH217" s="5" t="n">
        <v>22.918</v>
      </c>
      <c r="AI217" s="5" t="n">
        <v>0</v>
      </c>
      <c r="AJ217" s="5" t="n">
        <v>1</v>
      </c>
      <c r="AK217" s="5" t="n">
        <v>26.226</v>
      </c>
      <c r="AL217" s="5" t="n">
        <v>13.339</v>
      </c>
      <c r="AM217" s="5" t="n">
        <v>0.033</v>
      </c>
      <c r="AN217" s="5" t="n">
        <v>31.773</v>
      </c>
      <c r="AO217" s="5" t="n">
        <v>0.21</v>
      </c>
      <c r="AP217" s="5" t="n">
        <v>1</v>
      </c>
      <c r="AQ217" s="5" t="n">
        <v>0.724</v>
      </c>
      <c r="AR217" s="5" t="n">
        <v>0.132</v>
      </c>
      <c r="AS217" s="5" t="n">
        <v>0.607</v>
      </c>
      <c r="AT217" s="5" t="n">
        <v>1.611</v>
      </c>
      <c r="AU217" s="5" t="n">
        <v>0.21</v>
      </c>
      <c r="AV217" s="5" t="n">
        <v>1</v>
      </c>
      <c r="AW217" s="5" t="n">
        <v>0.75</v>
      </c>
      <c r="AX217" s="5" t="n">
        <v>0.132</v>
      </c>
      <c r="AY217" s="5" t="n">
        <v>0.548</v>
      </c>
      <c r="AZ217" s="5" t="n">
        <v>1.571</v>
      </c>
      <c r="BA217" s="5" t="n">
        <v>0.21</v>
      </c>
      <c r="BB217" s="5" t="n">
        <v>1</v>
      </c>
      <c r="BC217" s="5" t="n">
        <v>0.513</v>
      </c>
      <c r="BD217" s="5" t="n">
        <v>0.132</v>
      </c>
      <c r="BE217" s="5" t="n">
        <v>0.097</v>
      </c>
      <c r="BF217" s="5" t="n">
        <v>0.739</v>
      </c>
      <c r="BG217" s="5" t="n">
        <v>0.21</v>
      </c>
      <c r="BH217" s="5" t="n">
        <v>1</v>
      </c>
      <c r="BI217" s="5" t="n">
        <v>0.591</v>
      </c>
      <c r="BJ217" s="5" t="n">
        <v>0.132</v>
      </c>
      <c r="BK217" s="5" t="n">
        <v>0.255</v>
      </c>
      <c r="BL217" s="5" t="n">
        <v>1.024</v>
      </c>
      <c r="BM217" s="5" t="n">
        <v>0.21</v>
      </c>
      <c r="BN217" s="5" t="n">
        <v>1</v>
      </c>
      <c r="BO217" s="5" t="n">
        <v>0</v>
      </c>
      <c r="BP217" s="5" t="n">
        <v>0.015</v>
      </c>
      <c r="BQ217" s="5" t="n">
        <v>0.188</v>
      </c>
      <c r="BR217" s="5" t="n">
        <v>0</v>
      </c>
      <c r="BS217" s="5" t="n">
        <v>1</v>
      </c>
      <c r="BT217" s="5" t="n">
        <v>0</v>
      </c>
      <c r="BU217" s="5" t="n">
        <v>0.024</v>
      </c>
      <c r="BV217" s="5" t="n">
        <v>0.362</v>
      </c>
      <c r="BW217" s="5" t="n">
        <v>0.21</v>
      </c>
      <c r="BX217" s="5" t="n">
        <v>1</v>
      </c>
      <c r="BY217" s="5" t="n">
        <v>13.646</v>
      </c>
      <c r="BZ217" s="5" t="n">
        <v>0</v>
      </c>
      <c r="CA217" s="5" t="n">
        <v>13.646</v>
      </c>
      <c r="CB217" s="5" t="n">
        <v>0</v>
      </c>
      <c r="CC217" s="5" t="n">
        <v>82.58799999999999</v>
      </c>
      <c r="CD217" s="5" t="n">
        <v>7.95</v>
      </c>
      <c r="CE217" s="5" t="n">
        <v>79.05500000000001</v>
      </c>
      <c r="CF217" s="5" t="n">
        <v>195.588</v>
      </c>
      <c r="CG217" s="5" t="n">
        <v>0.21</v>
      </c>
      <c r="CH217" s="5" t="n">
        <v>1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1.387</v>
      </c>
      <c r="CR217" s="5" t="n">
        <v>0</v>
      </c>
      <c r="CS217" s="5" t="n">
        <v>5.529</v>
      </c>
      <c r="CT217" s="5" t="n">
        <v>4.91</v>
      </c>
      <c r="CU217" s="5" t="n">
        <v>12.35</v>
      </c>
    </row>
    <row r="218">
      <c r="A218" s="5" t="inlineStr">
        <is>
          <t>CIV2021</t>
        </is>
      </c>
      <c r="B218" s="5" t="inlineStr">
        <is>
          <t>CIV</t>
        </is>
      </c>
      <c r="C218" s="5" t="inlineStr">
        <is>
          <t>CIV</t>
        </is>
      </c>
      <c r="D218" s="5" t="inlineStr">
        <is>
          <t>Côte d'Ivoire</t>
        </is>
      </c>
      <c r="E218" s="5" t="n">
        <v>2021</v>
      </c>
      <c r="F218" s="5" t="n">
        <v>0.18</v>
      </c>
      <c r="G218" s="5" t="n">
        <v>5.897</v>
      </c>
      <c r="H218" s="5" t="n">
        <v>1.143</v>
      </c>
      <c r="I218" s="5" t="n">
        <v>0</v>
      </c>
      <c r="J218" s="5" t="n">
        <v>5.897</v>
      </c>
      <c r="K218" s="5" t="n">
        <v>0</v>
      </c>
      <c r="L218" s="5" t="n">
        <v>1</v>
      </c>
      <c r="M218" s="5" t="n">
        <v>7.964</v>
      </c>
      <c r="N218" s="5" t="n">
        <v>3.43</v>
      </c>
      <c r="O218" s="5" t="n">
        <v>0</v>
      </c>
      <c r="P218" s="5" t="n">
        <v>7.964</v>
      </c>
      <c r="Q218" s="5" t="n">
        <v>0</v>
      </c>
      <c r="R218" s="5" t="n">
        <v>1</v>
      </c>
      <c r="S218" s="5" t="n">
        <v>11.613</v>
      </c>
      <c r="T218" s="5" t="n">
        <v>6.86</v>
      </c>
      <c r="U218" s="5" t="n">
        <v>0</v>
      </c>
      <c r="V218" s="5" t="n">
        <v>13.704</v>
      </c>
      <c r="W218" s="5" t="n">
        <v>0.18</v>
      </c>
      <c r="X218" s="5" t="n">
        <v>1</v>
      </c>
      <c r="Y218" s="5" t="n">
        <v>5.739</v>
      </c>
      <c r="Z218" s="5" t="n">
        <v>0.634</v>
      </c>
      <c r="AA218" s="5" t="n">
        <v>0</v>
      </c>
      <c r="AB218" s="5" t="n">
        <v>5.739</v>
      </c>
      <c r="AC218" s="5" t="n">
        <v>0</v>
      </c>
      <c r="AD218" s="5" t="n">
        <v>1</v>
      </c>
      <c r="AE218" s="5" t="n">
        <v>7.783</v>
      </c>
      <c r="AF218" s="5" t="n">
        <v>1.052</v>
      </c>
      <c r="AG218" s="5" t="n">
        <v>0</v>
      </c>
      <c r="AH218" s="5" t="n">
        <v>7.783</v>
      </c>
      <c r="AI218" s="5" t="n">
        <v>0</v>
      </c>
      <c r="AJ218" s="5" t="n">
        <v>1</v>
      </c>
      <c r="AK218" s="5" t="n">
        <v>11.213</v>
      </c>
      <c r="AL218" s="5" t="n">
        <v>4.166</v>
      </c>
      <c r="AM218" s="5" t="n">
        <v>0</v>
      </c>
      <c r="AN218" s="5" t="n">
        <v>13.231</v>
      </c>
      <c r="AO218" s="5" t="n">
        <v>0.18</v>
      </c>
      <c r="AP218" s="5" t="n">
        <v>1</v>
      </c>
      <c r="AQ218" s="5" t="n">
        <v>0.619</v>
      </c>
      <c r="AR218" s="5" t="n">
        <v>0.114</v>
      </c>
      <c r="AS218" s="5" t="n">
        <v>0.391</v>
      </c>
      <c r="AT218" s="5" t="n">
        <v>1.101</v>
      </c>
      <c r="AU218" s="5" t="n">
        <v>0.09</v>
      </c>
      <c r="AV218" s="5" t="n">
        <v>1</v>
      </c>
      <c r="AW218" s="5" t="n">
        <v>0.6850000000000001</v>
      </c>
      <c r="AX218" s="5" t="n">
        <v>0.132</v>
      </c>
      <c r="AY218" s="5" t="n">
        <v>0.325</v>
      </c>
      <c r="AZ218" s="5" t="n">
        <v>1.101</v>
      </c>
      <c r="BA218" s="5" t="n">
        <v>0.09</v>
      </c>
      <c r="BB218" s="5" t="n">
        <v>1</v>
      </c>
      <c r="BC218" s="5" t="n">
        <v>0.439</v>
      </c>
      <c r="BD218" s="5" t="n">
        <v>0.114</v>
      </c>
      <c r="BE218" s="5" t="n">
        <v>0.08400000000000001</v>
      </c>
      <c r="BF218" s="5" t="n">
        <v>0.522</v>
      </c>
      <c r="BG218" s="5" t="n">
        <v>0</v>
      </c>
      <c r="BH218" s="5" t="n">
        <v>1</v>
      </c>
      <c r="BI218" s="5" t="n">
        <v>0.505</v>
      </c>
      <c r="BJ218" s="5" t="n">
        <v>0.114</v>
      </c>
      <c r="BK218" s="5" t="n">
        <v>0.413</v>
      </c>
      <c r="BL218" s="5" t="n">
        <v>1.001</v>
      </c>
      <c r="BM218" s="5" t="n">
        <v>0.09</v>
      </c>
      <c r="BN218" s="5" t="n">
        <v>1</v>
      </c>
      <c r="BO218" s="5" t="n">
        <v>0</v>
      </c>
      <c r="BP218" s="5" t="n">
        <v>0.024</v>
      </c>
      <c r="BQ218" s="5" t="n">
        <v>0.12</v>
      </c>
      <c r="BR218" s="5" t="n">
        <v>0</v>
      </c>
      <c r="BS218" s="5" t="n">
        <v>1</v>
      </c>
      <c r="BT218" s="5" t="n">
        <v>0</v>
      </c>
      <c r="BU218" s="5" t="n">
        <v>-0.044</v>
      </c>
      <c r="BV218" s="5" t="n">
        <v>0.128</v>
      </c>
      <c r="BW218" s="5" t="n">
        <v>0.18</v>
      </c>
      <c r="BX218" s="5" t="n">
        <v>0.833</v>
      </c>
      <c r="BY218" s="5" t="n">
        <v>11.787</v>
      </c>
      <c r="BZ218" s="5" t="n">
        <v>0</v>
      </c>
      <c r="CA218" s="5" t="n">
        <v>11.787</v>
      </c>
      <c r="CB218" s="5" t="n">
        <v>0</v>
      </c>
      <c r="CC218" s="5" t="n">
        <v>78.125</v>
      </c>
      <c r="CD218" s="5" t="n">
        <v>7.95</v>
      </c>
      <c r="CE218" s="5" t="n">
        <v>26.342</v>
      </c>
      <c r="CF218" s="5" t="n">
        <v>123.272</v>
      </c>
      <c r="CG218" s="5" t="n">
        <v>0.18</v>
      </c>
      <c r="CH218" s="5" t="n">
        <v>1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1.198</v>
      </c>
      <c r="CR218" s="5" t="n">
        <v>0</v>
      </c>
      <c r="CS218" s="5" t="n">
        <v>6.64</v>
      </c>
      <c r="CT218" s="5" t="n">
        <v>4.753</v>
      </c>
      <c r="CU218" s="5" t="n">
        <v>15.162</v>
      </c>
    </row>
    <row r="219">
      <c r="A219" s="5" t="inlineStr">
        <is>
          <t>CIV2022</t>
        </is>
      </c>
      <c r="B219" s="5" t="inlineStr">
        <is>
          <t>CIV</t>
        </is>
      </c>
      <c r="C219" s="5" t="inlineStr">
        <is>
          <t>CIV</t>
        </is>
      </c>
      <c r="D219" s="5" t="inlineStr">
        <is>
          <t>Côte d'Ivoire</t>
        </is>
      </c>
      <c r="E219" s="5" t="n">
        <v>2022</v>
      </c>
      <c r="F219" s="5" t="n">
        <v>0.18</v>
      </c>
      <c r="G219" s="5" t="n">
        <v>11.72</v>
      </c>
      <c r="H219" s="5" t="n">
        <v>1.235</v>
      </c>
      <c r="I219" s="5" t="n">
        <v>0</v>
      </c>
      <c r="J219" s="5" t="n">
        <v>11.72</v>
      </c>
      <c r="K219" s="5" t="n">
        <v>0</v>
      </c>
      <c r="L219" s="5" t="n">
        <v>1</v>
      </c>
      <c r="M219" s="5" t="n">
        <v>9.782999999999999</v>
      </c>
      <c r="N219" s="5" t="n">
        <v>3.704</v>
      </c>
      <c r="O219" s="5" t="n">
        <v>0</v>
      </c>
      <c r="P219" s="5" t="n">
        <v>9.782999999999999</v>
      </c>
      <c r="Q219" s="5" t="n">
        <v>0</v>
      </c>
      <c r="R219" s="5" t="n">
        <v>1</v>
      </c>
      <c r="S219" s="5" t="n">
        <v>17.893</v>
      </c>
      <c r="T219" s="5" t="n">
        <v>7.408</v>
      </c>
      <c r="U219" s="5" t="n">
        <v>0.238</v>
      </c>
      <c r="V219" s="5" t="n">
        <v>21.114</v>
      </c>
      <c r="W219" s="5" t="n">
        <v>0.18</v>
      </c>
      <c r="X219" s="5" t="n">
        <v>1</v>
      </c>
      <c r="Y219" s="5" t="n">
        <v>5.665</v>
      </c>
      <c r="Z219" s="5" t="n">
        <v>0.594</v>
      </c>
      <c r="AA219" s="5" t="n">
        <v>0</v>
      </c>
      <c r="AB219" s="5" t="n">
        <v>5.665</v>
      </c>
      <c r="AC219" s="5" t="n">
        <v>0</v>
      </c>
      <c r="AD219" s="5" t="n">
        <v>1</v>
      </c>
      <c r="AE219" s="5" t="n">
        <v>8.404999999999999</v>
      </c>
      <c r="AF219" s="5" t="n">
        <v>1.136</v>
      </c>
      <c r="AG219" s="5" t="n">
        <v>0</v>
      </c>
      <c r="AH219" s="5" t="n">
        <v>8.404999999999999</v>
      </c>
      <c r="AI219" s="5" t="n">
        <v>0</v>
      </c>
      <c r="AJ219" s="5" t="n">
        <v>1</v>
      </c>
      <c r="AK219" s="5" t="n">
        <v>12.109</v>
      </c>
      <c r="AL219" s="5" t="n">
        <v>4.499</v>
      </c>
      <c r="AM219" s="5" t="n">
        <v>0.161</v>
      </c>
      <c r="AN219" s="5" t="n">
        <v>14.289</v>
      </c>
      <c r="AO219" s="5" t="n">
        <v>0.18</v>
      </c>
      <c r="AP219" s="5" t="n">
        <v>1</v>
      </c>
      <c r="AQ219" s="5" t="n">
        <v>0.861</v>
      </c>
      <c r="AR219" s="5" t="n">
        <v>0.123</v>
      </c>
      <c r="AS219" s="5" t="n">
        <v>0.186</v>
      </c>
      <c r="AT219" s="5" t="n">
        <v>1.141</v>
      </c>
      <c r="AU219" s="5" t="n">
        <v>0.09</v>
      </c>
      <c r="AV219" s="5" t="n">
        <v>1</v>
      </c>
      <c r="AW219" s="5" t="n">
        <v>0.797</v>
      </c>
      <c r="AX219" s="5" t="n">
        <v>0.104</v>
      </c>
      <c r="AY219" s="5" t="n">
        <v>0.122</v>
      </c>
      <c r="AZ219" s="5" t="n">
        <v>1.002</v>
      </c>
      <c r="BA219" s="5" t="n">
        <v>0.09</v>
      </c>
      <c r="BB219" s="5" t="n">
        <v>1</v>
      </c>
      <c r="BC219" s="5" t="n">
        <v>0.598</v>
      </c>
      <c r="BD219" s="5" t="n">
        <v>0.123</v>
      </c>
      <c r="BE219" s="5" t="n">
        <v>0.008</v>
      </c>
      <c r="BF219" s="5" t="n">
        <v>0.605</v>
      </c>
      <c r="BG219" s="5" t="n">
        <v>0</v>
      </c>
      <c r="BH219" s="5" t="n">
        <v>1</v>
      </c>
      <c r="BI219" s="5" t="n">
        <v>0.612</v>
      </c>
      <c r="BJ219" s="5" t="n">
        <v>0.123</v>
      </c>
      <c r="BK219" s="5" t="n">
        <v>0.307</v>
      </c>
      <c r="BL219" s="5" t="n">
        <v>1.002</v>
      </c>
      <c r="BM219" s="5" t="n">
        <v>0.09</v>
      </c>
      <c r="BN219" s="5" t="n">
        <v>1</v>
      </c>
      <c r="BO219" s="5" t="n">
        <v>0</v>
      </c>
      <c r="BP219" s="5" t="n">
        <v>0.004</v>
      </c>
      <c r="BQ219" s="5" t="n">
        <v>0.108</v>
      </c>
      <c r="BR219" s="5" t="n">
        <v>0</v>
      </c>
      <c r="BS219" s="5" t="n">
        <v>1</v>
      </c>
      <c r="BT219" s="5" t="n">
        <v>0</v>
      </c>
      <c r="BU219" s="5" t="n">
        <v>-0.058</v>
      </c>
      <c r="BV219" s="5" t="n">
        <v>0.111</v>
      </c>
      <c r="BW219" s="5" t="n">
        <v>0.18</v>
      </c>
      <c r="BX219" s="5" t="n">
        <v>0.833</v>
      </c>
      <c r="BY219" s="5" t="n">
        <v>12.729</v>
      </c>
      <c r="BZ219" s="5" t="n">
        <v>0</v>
      </c>
      <c r="CA219" s="5" t="n">
        <v>12.729</v>
      </c>
      <c r="CB219" s="5" t="n">
        <v>0</v>
      </c>
      <c r="CC219" s="5" t="n">
        <v>97.90000000000001</v>
      </c>
      <c r="CD219" s="5" t="n">
        <v>7.95</v>
      </c>
      <c r="CE219" s="5" t="n">
        <v>30.201</v>
      </c>
      <c r="CF219" s="5" t="n">
        <v>151.159</v>
      </c>
      <c r="CG219" s="5" t="n">
        <v>0.18</v>
      </c>
      <c r="CH219" s="5" t="n">
        <v>1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1.294</v>
      </c>
      <c r="CR219" s="5" t="n">
        <v>0</v>
      </c>
      <c r="CS219" s="5" t="n">
        <v>7.171</v>
      </c>
      <c r="CT219" s="5" t="n">
        <v>10.485</v>
      </c>
      <c r="CU219" s="5" t="n">
        <v>31.326</v>
      </c>
    </row>
    <row r="220">
      <c r="A220" s="5" t="inlineStr">
        <is>
          <t>CIV2023</t>
        </is>
      </c>
      <c r="B220" s="5" t="inlineStr">
        <is>
          <t>CIV</t>
        </is>
      </c>
      <c r="C220" s="5" t="inlineStr">
        <is>
          <t>CIV</t>
        </is>
      </c>
      <c r="D220" s="5" t="inlineStr">
        <is>
          <t>Côte d'Ivoire</t>
        </is>
      </c>
      <c r="E220" s="5" t="n">
        <v>2023</v>
      </c>
      <c r="F220" s="5" t="n">
        <v>0.18</v>
      </c>
      <c r="G220" s="5" t="n">
        <v>6.147</v>
      </c>
      <c r="H220" s="5" t="n">
        <v>1.286</v>
      </c>
      <c r="I220" s="5" t="n">
        <v>0</v>
      </c>
      <c r="J220" s="5" t="n">
        <v>6.147</v>
      </c>
      <c r="K220" s="5" t="n">
        <v>0</v>
      </c>
      <c r="L220" s="5" t="n">
        <v>1</v>
      </c>
      <c r="M220" s="5" t="n">
        <v>7.886</v>
      </c>
      <c r="N220" s="5" t="n">
        <v>3.857</v>
      </c>
      <c r="O220" s="5" t="n">
        <v>0</v>
      </c>
      <c r="P220" s="5" t="n">
        <v>7.886</v>
      </c>
      <c r="Q220" s="5" t="n">
        <v>0</v>
      </c>
      <c r="R220" s="5" t="n">
        <v>1</v>
      </c>
      <c r="S220" s="5" t="n">
        <v>12.575</v>
      </c>
      <c r="T220" s="5" t="n">
        <v>7.714</v>
      </c>
      <c r="U220" s="5" t="n">
        <v>0.251</v>
      </c>
      <c r="V220" s="5" t="n">
        <v>14.839</v>
      </c>
      <c r="W220" s="5" t="n">
        <v>0.18</v>
      </c>
      <c r="X220" s="5" t="n">
        <v>1</v>
      </c>
      <c r="Y220" s="5" t="n">
        <v>5.985</v>
      </c>
      <c r="Z220" s="5" t="n">
        <v>0.67</v>
      </c>
      <c r="AA220" s="5" t="n">
        <v>0</v>
      </c>
      <c r="AB220" s="5" t="n">
        <v>5.985</v>
      </c>
      <c r="AC220" s="5" t="n">
        <v>0</v>
      </c>
      <c r="AD220" s="5" t="n">
        <v>1</v>
      </c>
      <c r="AE220" s="5" t="n">
        <v>8.752000000000001</v>
      </c>
      <c r="AF220" s="5" t="n">
        <v>1.183</v>
      </c>
      <c r="AG220" s="5" t="n">
        <v>0</v>
      </c>
      <c r="AH220" s="5" t="n">
        <v>8.752000000000001</v>
      </c>
      <c r="AI220" s="5" t="n">
        <v>0</v>
      </c>
      <c r="AJ220" s="5" t="n">
        <v>1</v>
      </c>
      <c r="AK220" s="5" t="n">
        <v>12.609</v>
      </c>
      <c r="AL220" s="5" t="n">
        <v>4.684</v>
      </c>
      <c r="AM220" s="5" t="n">
        <v>0.251</v>
      </c>
      <c r="AN220" s="5" t="n">
        <v>14.879</v>
      </c>
      <c r="AO220" s="5" t="n">
        <v>0.18</v>
      </c>
      <c r="AP220" s="5" t="n">
        <v>1</v>
      </c>
      <c r="AQ220" s="5" t="n">
        <v>0.76</v>
      </c>
      <c r="AR220" s="5" t="n">
        <v>0.129</v>
      </c>
      <c r="AS220" s="5" t="n">
        <v>0.49</v>
      </c>
      <c r="AT220" s="5" t="n">
        <v>1.363</v>
      </c>
      <c r="AU220" s="5" t="n">
        <v>0.09</v>
      </c>
      <c r="AV220" s="5" t="n">
        <v>1</v>
      </c>
      <c r="AW220" s="5" t="n">
        <v>0.6830000000000001</v>
      </c>
      <c r="AX220" s="5" t="n">
        <v>0.117</v>
      </c>
      <c r="AY220" s="5" t="n">
        <v>0.331</v>
      </c>
      <c r="AZ220" s="5" t="n">
        <v>1.105</v>
      </c>
      <c r="BA220" s="5" t="n">
        <v>0.09</v>
      </c>
      <c r="BB220" s="5" t="n">
        <v>1</v>
      </c>
      <c r="BC220" s="5" t="n">
        <v>0.535</v>
      </c>
      <c r="BD220" s="5" t="n">
        <v>0.129</v>
      </c>
      <c r="BE220" s="5" t="n">
        <v>-0.037</v>
      </c>
      <c r="BF220" s="5" t="n">
        <v>0.498</v>
      </c>
      <c r="BG220" s="5" t="n">
        <v>0</v>
      </c>
      <c r="BH220" s="5" t="n">
        <v>1</v>
      </c>
      <c r="BI220" s="5" t="n">
        <v>0.579</v>
      </c>
      <c r="BJ220" s="5" t="n">
        <v>0.129</v>
      </c>
      <c r="BK220" s="5" t="n">
        <v>0.479</v>
      </c>
      <c r="BL220" s="5" t="n">
        <v>1.154</v>
      </c>
      <c r="BM220" s="5" t="n">
        <v>0.09</v>
      </c>
      <c r="BN220" s="5" t="n">
        <v>1</v>
      </c>
      <c r="BO220" s="5" t="n">
        <v>0</v>
      </c>
      <c r="BP220" s="5" t="n">
        <v>0.014</v>
      </c>
      <c r="BQ220" s="5" t="n">
        <v>0.117</v>
      </c>
      <c r="BR220" s="5" t="n">
        <v>0</v>
      </c>
      <c r="BS220" s="5" t="n">
        <v>1</v>
      </c>
      <c r="BT220" s="5" t="n">
        <v>0</v>
      </c>
      <c r="BU220" s="5" t="n">
        <v>-0.057</v>
      </c>
      <c r="BV220" s="5" t="n">
        <v>0.117</v>
      </c>
      <c r="BW220" s="5" t="n">
        <v>0.18</v>
      </c>
      <c r="BX220" s="5" t="n">
        <v>0.833</v>
      </c>
      <c r="BY220" s="5" t="n">
        <v>13.254</v>
      </c>
      <c r="BZ220" s="5" t="n">
        <v>0</v>
      </c>
      <c r="CA220" s="5" t="n">
        <v>13.254</v>
      </c>
      <c r="CB220" s="5" t="n">
        <v>0</v>
      </c>
      <c r="CC220" s="5" t="n">
        <v>83.248</v>
      </c>
      <c r="CD220" s="5" t="n">
        <v>7.95</v>
      </c>
      <c r="CE220" s="5" t="n">
        <v>29.379</v>
      </c>
      <c r="CF220" s="5" t="n">
        <v>132.9</v>
      </c>
      <c r="CG220" s="5" t="n">
        <v>0.18</v>
      </c>
      <c r="CH220" s="5" t="n">
        <v>1</v>
      </c>
      <c r="CI220" s="5" t="n">
        <v>0</v>
      </c>
      <c r="CJ220" s="5" t="n">
        <v>0</v>
      </c>
      <c r="CK220" s="5" t="n">
        <v>0</v>
      </c>
      <c r="CL220" s="5" t="n">
        <v>0</v>
      </c>
      <c r="CM220" s="5" t="n">
        <v>0</v>
      </c>
      <c r="CN220" s="5" t="n">
        <v>0</v>
      </c>
      <c r="CO220" s="5" t="n">
        <v>0</v>
      </c>
      <c r="CP220" s="5" t="n">
        <v>0</v>
      </c>
      <c r="CQ220" s="5" t="n">
        <v>1.348</v>
      </c>
      <c r="CR220" s="5" t="n">
        <v>0</v>
      </c>
      <c r="CS220" s="5" t="n">
        <v>7.467</v>
      </c>
      <c r="CT220" s="5" t="n">
        <v>4.861</v>
      </c>
      <c r="CU220" s="5" t="n">
        <v>11.622</v>
      </c>
    </row>
    <row r="221">
      <c r="A221" s="5" t="inlineStr">
        <is>
          <t>CIV2024</t>
        </is>
      </c>
      <c r="B221" s="5" t="inlineStr">
        <is>
          <t>CIV</t>
        </is>
      </c>
      <c r="C221" s="5" t="inlineStr">
        <is>
          <t>CIV</t>
        </is>
      </c>
      <c r="D221" s="5" t="inlineStr">
        <is>
          <t>Côte d'Ivoire</t>
        </is>
      </c>
      <c r="E221" s="5" t="n">
        <v>2024</v>
      </c>
      <c r="F221" s="5" t="n">
        <v>0.18</v>
      </c>
      <c r="G221" s="5" t="n">
        <v>5.575</v>
      </c>
      <c r="H221" s="5" t="n">
        <v>1.324</v>
      </c>
      <c r="I221" s="5" t="n">
        <v>0</v>
      </c>
      <c r="J221" s="5" t="n">
        <v>5.575</v>
      </c>
      <c r="K221" s="5" t="n">
        <v>0</v>
      </c>
      <c r="L221" s="5" t="n">
        <v>1</v>
      </c>
      <c r="M221" s="5" t="n">
        <v>7.124</v>
      </c>
      <c r="N221" s="5" t="n">
        <v>3.971</v>
      </c>
      <c r="O221" s="5" t="n">
        <v>0</v>
      </c>
      <c r="P221" s="5" t="n">
        <v>7.124</v>
      </c>
      <c r="Q221" s="5" t="n">
        <v>0</v>
      </c>
      <c r="R221" s="5" t="n">
        <v>1</v>
      </c>
      <c r="S221" s="5" t="n">
        <v>12.193</v>
      </c>
      <c r="T221" s="5" t="n">
        <v>7.942</v>
      </c>
      <c r="U221" s="5" t="n">
        <v>0.299</v>
      </c>
      <c r="V221" s="5" t="n">
        <v>14.388</v>
      </c>
      <c r="W221" s="5" t="n">
        <v>0.18</v>
      </c>
      <c r="X221" s="5" t="n">
        <v>1</v>
      </c>
      <c r="Y221" s="5" t="n">
        <v>6.224</v>
      </c>
      <c r="Z221" s="5" t="n">
        <v>0.786</v>
      </c>
      <c r="AA221" s="5" t="n">
        <v>0</v>
      </c>
      <c r="AB221" s="5" t="n">
        <v>6.224</v>
      </c>
      <c r="AC221" s="5" t="n">
        <v>0</v>
      </c>
      <c r="AD221" s="5" t="n">
        <v>1</v>
      </c>
      <c r="AE221" s="5" t="n">
        <v>9.010999999999999</v>
      </c>
      <c r="AF221" s="5" t="n">
        <v>1.218</v>
      </c>
      <c r="AG221" s="5" t="n">
        <v>0</v>
      </c>
      <c r="AH221" s="5" t="n">
        <v>9.010999999999999</v>
      </c>
      <c r="AI221" s="5" t="n">
        <v>0</v>
      </c>
      <c r="AJ221" s="5" t="n">
        <v>1</v>
      </c>
      <c r="AK221" s="5" t="n">
        <v>12.981</v>
      </c>
      <c r="AL221" s="5" t="n">
        <v>4.823</v>
      </c>
      <c r="AM221" s="5" t="n">
        <v>0.318</v>
      </c>
      <c r="AN221" s="5" t="n">
        <v>15.318</v>
      </c>
      <c r="AO221" s="5" t="n">
        <v>0.18</v>
      </c>
      <c r="AP221" s="5" t="n">
        <v>1</v>
      </c>
      <c r="AQ221" s="5" t="n">
        <v>0.724</v>
      </c>
      <c r="AR221" s="5" t="n">
        <v>0.132</v>
      </c>
      <c r="AS221" s="5" t="n">
        <v>0.6</v>
      </c>
      <c r="AT221" s="5" t="n">
        <v>1.443</v>
      </c>
      <c r="AU221" s="5" t="n">
        <v>0.09</v>
      </c>
      <c r="AV221" s="5" t="n">
        <v>1</v>
      </c>
      <c r="AW221" s="5" t="n">
        <v>0.595</v>
      </c>
      <c r="AX221" s="5" t="n">
        <v>0.109</v>
      </c>
      <c r="AY221" s="5" t="n">
        <v>0.486</v>
      </c>
      <c r="AZ221" s="5" t="n">
        <v>1.179</v>
      </c>
      <c r="BA221" s="5" t="n">
        <v>0.09</v>
      </c>
      <c r="BB221" s="5" t="n">
        <v>1</v>
      </c>
      <c r="BC221" s="5" t="n">
        <v>0.513</v>
      </c>
      <c r="BD221" s="5" t="n">
        <v>0.132</v>
      </c>
      <c r="BE221" s="5" t="n">
        <v>-0.013</v>
      </c>
      <c r="BF221" s="5" t="n">
        <v>0.5</v>
      </c>
      <c r="BG221" s="5" t="n">
        <v>0</v>
      </c>
      <c r="BH221" s="5" t="n">
        <v>1</v>
      </c>
      <c r="BI221" s="5" t="n">
        <v>0.591</v>
      </c>
      <c r="BJ221" s="5" t="n">
        <v>0.132</v>
      </c>
      <c r="BK221" s="5" t="n">
        <v>0.536</v>
      </c>
      <c r="BL221" s="5" t="n">
        <v>1.229</v>
      </c>
      <c r="BM221" s="5" t="n">
        <v>0.09</v>
      </c>
      <c r="BN221" s="5" t="n">
        <v>1</v>
      </c>
      <c r="BO221" s="5" t="n">
        <v>0</v>
      </c>
      <c r="BP221" s="5" t="n">
        <v>0.028</v>
      </c>
      <c r="BQ221" s="5" t="n">
        <v>0.14</v>
      </c>
      <c r="BR221" s="5" t="n">
        <v>0</v>
      </c>
      <c r="BS221" s="5" t="n">
        <v>1</v>
      </c>
      <c r="BT221" s="5" t="n">
        <v>0</v>
      </c>
      <c r="BU221" s="5" t="n">
        <v>-0.048</v>
      </c>
      <c r="BV221" s="5" t="n">
        <v>0.131</v>
      </c>
      <c r="BW221" s="5" t="n">
        <v>0.18</v>
      </c>
      <c r="BX221" s="5" t="n">
        <v>0.833</v>
      </c>
      <c r="BY221" s="5" t="n">
        <v>13.646</v>
      </c>
      <c r="BZ221" s="5" t="n">
        <v>0</v>
      </c>
      <c r="CA221" s="5" t="n">
        <v>13.646</v>
      </c>
      <c r="CB221" s="5" t="n">
        <v>0</v>
      </c>
      <c r="CC221" s="5" t="n">
        <v>82.58799999999999</v>
      </c>
      <c r="CD221" s="5" t="n">
        <v>7.95</v>
      </c>
      <c r="CE221" s="5" t="n">
        <v>29.654</v>
      </c>
      <c r="CF221" s="5" t="n">
        <v>132.445</v>
      </c>
      <c r="CG221" s="5" t="n">
        <v>0.18</v>
      </c>
      <c r="CH221" s="5" t="n">
        <v>1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1.387</v>
      </c>
      <c r="CR221" s="5" t="n">
        <v>0</v>
      </c>
      <c r="CS221" s="5" t="n">
        <v>7.687</v>
      </c>
      <c r="CT221" s="5" t="n">
        <v>4.251</v>
      </c>
      <c r="CU221" s="5" t="n">
        <v>10.168</v>
      </c>
    </row>
    <row r="222">
      <c r="A222" s="5" t="inlineStr">
        <is>
          <t>DNK2021</t>
        </is>
      </c>
      <c r="B222" s="5" t="inlineStr">
        <is>
          <t>DNK</t>
        </is>
      </c>
      <c r="C222" s="5" t="inlineStr">
        <is>
          <t>DNK</t>
        </is>
      </c>
      <c r="D222" s="5" t="inlineStr">
        <is>
          <t>Denmark</t>
        </is>
      </c>
      <c r="E222" s="5" t="n">
        <v>2021</v>
      </c>
      <c r="F222" s="5" t="n">
        <v>0.25</v>
      </c>
      <c r="G222" s="5" t="n">
        <v>3.451</v>
      </c>
      <c r="H222" s="5" t="n">
        <v>0.8149999999999999</v>
      </c>
      <c r="I222" s="5" t="n">
        <v>2.966</v>
      </c>
      <c r="J222" s="5" t="n">
        <v>6.417</v>
      </c>
      <c r="K222" s="5" t="n">
        <v>0</v>
      </c>
      <c r="L222" s="5" t="n">
        <v>1</v>
      </c>
      <c r="M222" s="5" t="n">
        <v>5.068</v>
      </c>
      <c r="N222" s="5" t="n">
        <v>2.446</v>
      </c>
      <c r="O222" s="5" t="n">
        <v>7.856</v>
      </c>
      <c r="P222" s="5" t="n">
        <v>12.923</v>
      </c>
      <c r="Q222" s="5" t="n">
        <v>0</v>
      </c>
      <c r="R222" s="5" t="n">
        <v>1</v>
      </c>
      <c r="S222" s="5" t="n">
        <v>7.528</v>
      </c>
      <c r="T222" s="5" t="n">
        <v>4.893</v>
      </c>
      <c r="U222" s="5" t="n">
        <v>2.36</v>
      </c>
      <c r="V222" s="5" t="n">
        <v>12.36</v>
      </c>
      <c r="W222" s="5" t="n">
        <v>0.25</v>
      </c>
      <c r="X222" s="5" t="n">
        <v>1</v>
      </c>
      <c r="Y222" s="5" t="n">
        <v>19.611</v>
      </c>
      <c r="Z222" s="5" t="n">
        <v>2.166</v>
      </c>
      <c r="AA222" s="5" t="n">
        <v>0.156</v>
      </c>
      <c r="AB222" s="5" t="n">
        <v>19.768</v>
      </c>
      <c r="AC222" s="5" t="n">
        <v>0</v>
      </c>
      <c r="AD222" s="5" t="n">
        <v>1</v>
      </c>
      <c r="AE222" s="5" t="n">
        <v>19.568</v>
      </c>
      <c r="AF222" s="5" t="n">
        <v>3.851</v>
      </c>
      <c r="AG222" s="5" t="n">
        <v>0.2</v>
      </c>
      <c r="AH222" s="5" t="n">
        <v>19.768</v>
      </c>
      <c r="AI222" s="5" t="n">
        <v>0</v>
      </c>
      <c r="AJ222" s="5" t="n">
        <v>1</v>
      </c>
      <c r="AK222" s="5" t="n">
        <v>24.725</v>
      </c>
      <c r="AL222" s="5" t="n">
        <v>12.135</v>
      </c>
      <c r="AM222" s="5" t="n">
        <v>3.419</v>
      </c>
      <c r="AN222" s="5" t="n">
        <v>35.18</v>
      </c>
      <c r="AO222" s="5" t="n">
        <v>0.25</v>
      </c>
      <c r="AP222" s="5" t="n">
        <v>1</v>
      </c>
      <c r="AQ222" s="5" t="n">
        <v>0.619</v>
      </c>
      <c r="AR222" s="5" t="n">
        <v>0.114</v>
      </c>
      <c r="AS222" s="5" t="n">
        <v>0.962</v>
      </c>
      <c r="AT222" s="5" t="n">
        <v>1.977</v>
      </c>
      <c r="AU222" s="5" t="n">
        <v>0.25</v>
      </c>
      <c r="AV222" s="5" t="n">
        <v>1</v>
      </c>
      <c r="AW222" s="5" t="n">
        <v>0.599</v>
      </c>
      <c r="AX222" s="5" t="n">
        <v>0.114</v>
      </c>
      <c r="AY222" s="5" t="n">
        <v>0.745</v>
      </c>
      <c r="AZ222" s="5" t="n">
        <v>1.681</v>
      </c>
      <c r="BA222" s="5" t="n">
        <v>0.25</v>
      </c>
      <c r="BB222" s="5" t="n">
        <v>1</v>
      </c>
      <c r="BC222" s="5" t="n">
        <v>0.439</v>
      </c>
      <c r="BD222" s="5" t="n">
        <v>0.114</v>
      </c>
      <c r="BE222" s="5" t="n">
        <v>0.258</v>
      </c>
      <c r="BF222" s="5" t="n">
        <v>0.872</v>
      </c>
      <c r="BG222" s="5" t="n">
        <v>0.25</v>
      </c>
      <c r="BH222" s="5" t="n">
        <v>1</v>
      </c>
      <c r="BI222" s="5" t="n">
        <v>0.505</v>
      </c>
      <c r="BJ222" s="5" t="n">
        <v>0.114</v>
      </c>
      <c r="BK222" s="5" t="n">
        <v>0.856</v>
      </c>
      <c r="BL222" s="5" t="n">
        <v>1.701</v>
      </c>
      <c r="BM222" s="5" t="n">
        <v>0.25</v>
      </c>
      <c r="BN222" s="5" t="n">
        <v>1</v>
      </c>
      <c r="BO222" s="5" t="n">
        <v>0</v>
      </c>
      <c r="BP222" s="5" t="n">
        <v>0.005</v>
      </c>
      <c r="BQ222" s="5" t="n">
        <v>0.113</v>
      </c>
      <c r="BR222" s="5" t="n">
        <v>0</v>
      </c>
      <c r="BS222" s="5" t="n">
        <v>1</v>
      </c>
      <c r="BT222" s="5" t="n">
        <v>0</v>
      </c>
      <c r="BU222" s="5" t="n">
        <v>0.151</v>
      </c>
      <c r="BV222" s="5" t="n">
        <v>0.375</v>
      </c>
      <c r="BW222" s="5" t="n">
        <v>0.25</v>
      </c>
      <c r="BX222" s="5" t="n">
        <v>1</v>
      </c>
      <c r="BY222" s="5" t="n">
        <v>11.787</v>
      </c>
      <c r="BZ222" s="5" t="n">
        <v>0</v>
      </c>
      <c r="CA222" s="5" t="n">
        <v>11.787</v>
      </c>
      <c r="CB222" s="5" t="n">
        <v>0</v>
      </c>
      <c r="CC222" s="5" t="n">
        <v>78.125</v>
      </c>
      <c r="CD222" s="5" t="n">
        <v>7.95</v>
      </c>
      <c r="CE222" s="5" t="n">
        <v>148.839</v>
      </c>
      <c r="CF222" s="5" t="n">
        <v>283.705</v>
      </c>
      <c r="CG222" s="5" t="n">
        <v>0.25</v>
      </c>
      <c r="CH222" s="5" t="n">
        <v>1</v>
      </c>
      <c r="CI222" s="5" t="n">
        <v>0</v>
      </c>
      <c r="CJ222" s="5" t="n">
        <v>0</v>
      </c>
      <c r="CK222" s="5" t="n">
        <v>0</v>
      </c>
      <c r="CL222" s="5" t="n">
        <v>0</v>
      </c>
      <c r="CM222" s="5" t="n">
        <v>0</v>
      </c>
      <c r="CN222" s="5" t="n">
        <v>0.138</v>
      </c>
      <c r="CO222" s="5" t="n">
        <v>0.065</v>
      </c>
      <c r="CP222" s="5" t="n">
        <v>0.573</v>
      </c>
      <c r="CQ222" s="5" t="n">
        <v>1.198</v>
      </c>
      <c r="CR222" s="5" t="n">
        <v>0</v>
      </c>
      <c r="CS222" s="5" t="n">
        <v>2.498</v>
      </c>
      <c r="CT222" s="5" t="n">
        <v>4.567</v>
      </c>
      <c r="CU222" s="5" t="n">
        <v>14.129</v>
      </c>
    </row>
    <row r="223">
      <c r="A223" s="5" t="inlineStr">
        <is>
          <t>DNK2022</t>
        </is>
      </c>
      <c r="B223" s="5" t="inlineStr">
        <is>
          <t>DNK</t>
        </is>
      </c>
      <c r="C223" s="5" t="inlineStr">
        <is>
          <t>DNK</t>
        </is>
      </c>
      <c r="D223" s="5" t="inlineStr">
        <is>
          <t>Denmark</t>
        </is>
      </c>
      <c r="E223" s="5" t="n">
        <v>2022</v>
      </c>
      <c r="F223" s="5" t="n">
        <v>0.25</v>
      </c>
      <c r="G223" s="5" t="n">
        <v>12.904</v>
      </c>
      <c r="H223" s="5" t="n">
        <v>1.235</v>
      </c>
      <c r="I223" s="5" t="n">
        <v>9.989000000000001</v>
      </c>
      <c r="J223" s="5" t="n">
        <v>22.893</v>
      </c>
      <c r="K223" s="5" t="n">
        <v>0</v>
      </c>
      <c r="L223" s="5" t="n">
        <v>1</v>
      </c>
      <c r="M223" s="5" t="n">
        <v>9.782999999999999</v>
      </c>
      <c r="N223" s="5" t="n">
        <v>3.704</v>
      </c>
      <c r="O223" s="5" t="n">
        <v>13.237</v>
      </c>
      <c r="P223" s="5" t="n">
        <v>23.02</v>
      </c>
      <c r="Q223" s="5" t="n">
        <v>0</v>
      </c>
      <c r="R223" s="5" t="n">
        <v>1</v>
      </c>
      <c r="S223" s="5" t="n">
        <v>19.078</v>
      </c>
      <c r="T223" s="5" t="n">
        <v>7.408</v>
      </c>
      <c r="U223" s="5" t="n">
        <v>3.144</v>
      </c>
      <c r="V223" s="5" t="n">
        <v>27.273</v>
      </c>
      <c r="W223" s="5" t="n">
        <v>0.25</v>
      </c>
      <c r="X223" s="5" t="n">
        <v>1</v>
      </c>
      <c r="Y223" s="5" t="n">
        <v>33.633</v>
      </c>
      <c r="Z223" s="5" t="n">
        <v>3.528</v>
      </c>
      <c r="AA223" s="5" t="n">
        <v>6.874</v>
      </c>
      <c r="AB223" s="5" t="n">
        <v>40.507</v>
      </c>
      <c r="AC223" s="5" t="n">
        <v>0</v>
      </c>
      <c r="AD223" s="5" t="n">
        <v>1</v>
      </c>
      <c r="AE223" s="5" t="n">
        <v>33.68</v>
      </c>
      <c r="AF223" s="5" t="n">
        <v>6.244</v>
      </c>
      <c r="AG223" s="5" t="n">
        <v>6.826</v>
      </c>
      <c r="AH223" s="5" t="n">
        <v>40.507</v>
      </c>
      <c r="AI223" s="5" t="n">
        <v>0</v>
      </c>
      <c r="AJ223" s="5" t="n">
        <v>1</v>
      </c>
      <c r="AK223" s="5" t="n">
        <v>39.386</v>
      </c>
      <c r="AL223" s="5" t="n">
        <v>18.808</v>
      </c>
      <c r="AM223" s="5" t="n">
        <v>2.651</v>
      </c>
      <c r="AN223" s="5" t="n">
        <v>52.546</v>
      </c>
      <c r="AO223" s="5" t="n">
        <v>0.25</v>
      </c>
      <c r="AP223" s="5" t="n">
        <v>1</v>
      </c>
      <c r="AQ223" s="5" t="n">
        <v>0.861</v>
      </c>
      <c r="AR223" s="5" t="n">
        <v>0.123</v>
      </c>
      <c r="AS223" s="5" t="n">
        <v>0.898</v>
      </c>
      <c r="AT223" s="5" t="n">
        <v>2.199</v>
      </c>
      <c r="AU223" s="5" t="n">
        <v>0.25</v>
      </c>
      <c r="AV223" s="5" t="n">
        <v>1</v>
      </c>
      <c r="AW223" s="5" t="n">
        <v>0.986</v>
      </c>
      <c r="AX223" s="5" t="n">
        <v>0.123</v>
      </c>
      <c r="AY223" s="5" t="n">
        <v>0.668</v>
      </c>
      <c r="AZ223" s="5" t="n">
        <v>2.068</v>
      </c>
      <c r="BA223" s="5" t="n">
        <v>0.25</v>
      </c>
      <c r="BB223" s="5" t="n">
        <v>1</v>
      </c>
      <c r="BC223" s="5" t="n">
        <v>0.598</v>
      </c>
      <c r="BD223" s="5" t="n">
        <v>0.123</v>
      </c>
      <c r="BE223" s="5" t="n">
        <v>0.282</v>
      </c>
      <c r="BF223" s="5" t="n">
        <v>1.08</v>
      </c>
      <c r="BG223" s="5" t="n">
        <v>0.25</v>
      </c>
      <c r="BH223" s="5" t="n">
        <v>1</v>
      </c>
      <c r="BI223" s="5" t="n">
        <v>0.612</v>
      </c>
      <c r="BJ223" s="5" t="n">
        <v>0.123</v>
      </c>
      <c r="BK223" s="5" t="n">
        <v>1.129</v>
      </c>
      <c r="BL223" s="5" t="n">
        <v>2.177</v>
      </c>
      <c r="BM223" s="5" t="n">
        <v>0.25</v>
      </c>
      <c r="BN223" s="5" t="n">
        <v>1</v>
      </c>
      <c r="BO223" s="5" t="n">
        <v>0</v>
      </c>
      <c r="BP223" s="5" t="n">
        <v>0.001</v>
      </c>
      <c r="BQ223" s="5" t="n">
        <v>0.194</v>
      </c>
      <c r="BR223" s="5" t="n">
        <v>0</v>
      </c>
      <c r="BS223" s="5" t="n">
        <v>1</v>
      </c>
      <c r="BT223" s="5" t="n">
        <v>0</v>
      </c>
      <c r="BU223" s="5" t="n">
        <v>0.123</v>
      </c>
      <c r="BV223" s="5" t="n">
        <v>0.549</v>
      </c>
      <c r="BW223" s="5" t="n">
        <v>0.25</v>
      </c>
      <c r="BX223" s="5" t="n">
        <v>1</v>
      </c>
      <c r="BY223" s="5" t="n">
        <v>12.729</v>
      </c>
      <c r="BZ223" s="5" t="n">
        <v>0</v>
      </c>
      <c r="CA223" s="5" t="n">
        <v>12.729</v>
      </c>
      <c r="CB223" s="5" t="n">
        <v>0</v>
      </c>
      <c r="CC223" s="5" t="n">
        <v>97.90000000000001</v>
      </c>
      <c r="CD223" s="5" t="n">
        <v>7.95</v>
      </c>
      <c r="CE223" s="5" t="n">
        <v>207.777</v>
      </c>
      <c r="CF223" s="5" t="n">
        <v>382.096</v>
      </c>
      <c r="CG223" s="5" t="n">
        <v>0.25</v>
      </c>
      <c r="CH223" s="5" t="n">
        <v>1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0.149</v>
      </c>
      <c r="CO223" s="5" t="n">
        <v>0.06900000000000001</v>
      </c>
      <c r="CP223" s="5" t="n">
        <v>0</v>
      </c>
      <c r="CQ223" s="5" t="n">
        <v>1.294</v>
      </c>
      <c r="CR223" s="5" t="n">
        <v>0</v>
      </c>
      <c r="CS223" s="5" t="n">
        <v>2.698</v>
      </c>
      <c r="CT223" s="5" t="n">
        <v>11.669</v>
      </c>
      <c r="CU223" s="5" t="n">
        <v>28.059</v>
      </c>
    </row>
    <row r="224">
      <c r="A224" s="5" t="inlineStr">
        <is>
          <t>DNK2023</t>
        </is>
      </c>
      <c r="B224" s="5" t="inlineStr">
        <is>
          <t>DNK</t>
        </is>
      </c>
      <c r="C224" s="5" t="inlineStr">
        <is>
          <t>DNK</t>
        </is>
      </c>
      <c r="D224" s="5" t="inlineStr">
        <is>
          <t>Denmark</t>
        </is>
      </c>
      <c r="E224" s="5" t="n">
        <v>2023</v>
      </c>
      <c r="F224" s="5" t="n">
        <v>0.25</v>
      </c>
      <c r="G224" s="5" t="n">
        <v>6.901</v>
      </c>
      <c r="H224" s="5" t="n">
        <v>1.286</v>
      </c>
      <c r="I224" s="5" t="n">
        <v>11.192</v>
      </c>
      <c r="J224" s="5" t="n">
        <v>18.092</v>
      </c>
      <c r="K224" s="5" t="n">
        <v>0</v>
      </c>
      <c r="L224" s="5" t="n">
        <v>1</v>
      </c>
      <c r="M224" s="5" t="n">
        <v>7.886</v>
      </c>
      <c r="N224" s="5" t="n">
        <v>3.857</v>
      </c>
      <c r="O224" s="5" t="n">
        <v>14.221</v>
      </c>
      <c r="P224" s="5" t="n">
        <v>22.107</v>
      </c>
      <c r="Q224" s="5" t="n">
        <v>0</v>
      </c>
      <c r="R224" s="5" t="n">
        <v>1</v>
      </c>
      <c r="S224" s="5" t="n">
        <v>13.329</v>
      </c>
      <c r="T224" s="5" t="n">
        <v>7.714</v>
      </c>
      <c r="U224" s="5" t="n">
        <v>3.278</v>
      </c>
      <c r="V224" s="5" t="n">
        <v>20.2</v>
      </c>
      <c r="W224" s="5" t="n">
        <v>0.25</v>
      </c>
      <c r="X224" s="5" t="n">
        <v>1</v>
      </c>
      <c r="Y224" s="5" t="n">
        <v>14.886</v>
      </c>
      <c r="Z224" s="5" t="n">
        <v>1.667</v>
      </c>
      <c r="AA224" s="5" t="n">
        <v>9.521000000000001</v>
      </c>
      <c r="AB224" s="5" t="n">
        <v>24.406</v>
      </c>
      <c r="AC224" s="5" t="n">
        <v>0</v>
      </c>
      <c r="AD224" s="5" t="n">
        <v>1</v>
      </c>
      <c r="AE224" s="5" t="n">
        <v>14.984</v>
      </c>
      <c r="AF224" s="5" t="n">
        <v>2.984</v>
      </c>
      <c r="AG224" s="5" t="n">
        <v>9.422000000000001</v>
      </c>
      <c r="AH224" s="5" t="n">
        <v>24.406</v>
      </c>
      <c r="AI224" s="5" t="n">
        <v>0</v>
      </c>
      <c r="AJ224" s="5" t="n">
        <v>1</v>
      </c>
      <c r="AK224" s="5" t="n">
        <v>20.996</v>
      </c>
      <c r="AL224" s="5" t="n">
        <v>10.401</v>
      </c>
      <c r="AM224" s="5" t="n">
        <v>13.552</v>
      </c>
      <c r="AN224" s="5" t="n">
        <v>43.184</v>
      </c>
      <c r="AO224" s="5" t="n">
        <v>0.25</v>
      </c>
      <c r="AP224" s="5" t="n">
        <v>1</v>
      </c>
      <c r="AQ224" s="5" t="n">
        <v>0.76</v>
      </c>
      <c r="AR224" s="5" t="n">
        <v>0.129</v>
      </c>
      <c r="AS224" s="5" t="n">
        <v>0.948</v>
      </c>
      <c r="AT224" s="5" t="n">
        <v>2.135</v>
      </c>
      <c r="AU224" s="5" t="n">
        <v>0.25</v>
      </c>
      <c r="AV224" s="5" t="n">
        <v>1</v>
      </c>
      <c r="AW224" s="5" t="n">
        <v>0.8110000000000001</v>
      </c>
      <c r="AX224" s="5" t="n">
        <v>0.129</v>
      </c>
      <c r="AY224" s="5" t="n">
        <v>0.6929999999999999</v>
      </c>
      <c r="AZ224" s="5" t="n">
        <v>1.88</v>
      </c>
      <c r="BA224" s="5" t="n">
        <v>0.25</v>
      </c>
      <c r="BB224" s="5" t="n">
        <v>1</v>
      </c>
      <c r="BC224" s="5" t="n">
        <v>0.535</v>
      </c>
      <c r="BD224" s="5" t="n">
        <v>0.129</v>
      </c>
      <c r="BE224" s="5" t="n">
        <v>0.287</v>
      </c>
      <c r="BF224" s="5" t="n">
        <v>1</v>
      </c>
      <c r="BG224" s="5" t="n">
        <v>0.25</v>
      </c>
      <c r="BH224" s="5" t="n">
        <v>1</v>
      </c>
      <c r="BI224" s="5" t="n">
        <v>0.579</v>
      </c>
      <c r="BJ224" s="5" t="n">
        <v>0.129</v>
      </c>
      <c r="BK224" s="5" t="n">
        <v>1.022</v>
      </c>
      <c r="BL224" s="5" t="n">
        <v>2.002</v>
      </c>
      <c r="BM224" s="5" t="n">
        <v>0.25</v>
      </c>
      <c r="BN224" s="5" t="n">
        <v>1</v>
      </c>
      <c r="BO224" s="5" t="n">
        <v>0</v>
      </c>
      <c r="BP224" s="5" t="n">
        <v>0.001</v>
      </c>
      <c r="BQ224" s="5" t="n">
        <v>0.13</v>
      </c>
      <c r="BR224" s="5" t="n">
        <v>0</v>
      </c>
      <c r="BS224" s="5" t="n">
        <v>1</v>
      </c>
      <c r="BT224" s="5" t="n">
        <v>0</v>
      </c>
      <c r="BU224" s="5" t="n">
        <v>0.058</v>
      </c>
      <c r="BV224" s="5" t="n">
        <v>0.398</v>
      </c>
      <c r="BW224" s="5" t="n">
        <v>0.25</v>
      </c>
      <c r="BX224" s="5" t="n">
        <v>1</v>
      </c>
      <c r="BY224" s="5" t="n">
        <v>13.254</v>
      </c>
      <c r="BZ224" s="5" t="n">
        <v>0</v>
      </c>
      <c r="CA224" s="5" t="n">
        <v>13.254</v>
      </c>
      <c r="CB224" s="5" t="n">
        <v>0</v>
      </c>
      <c r="CC224" s="5" t="n">
        <v>83.248</v>
      </c>
      <c r="CD224" s="5" t="n">
        <v>7.95</v>
      </c>
      <c r="CE224" s="5" t="n">
        <v>206.151</v>
      </c>
      <c r="CF224" s="5" t="n">
        <v>361.749</v>
      </c>
      <c r="CG224" s="5" t="n">
        <v>0.25</v>
      </c>
      <c r="CH224" s="5" t="n">
        <v>1</v>
      </c>
      <c r="CI224" s="5" t="n">
        <v>0</v>
      </c>
      <c r="CJ224" s="5" t="n">
        <v>0</v>
      </c>
      <c r="CK224" s="5" t="n">
        <v>0</v>
      </c>
      <c r="CL224" s="5" t="n">
        <v>0</v>
      </c>
      <c r="CM224" s="5" t="n">
        <v>0</v>
      </c>
      <c r="CN224" s="5" t="n">
        <v>0.149</v>
      </c>
      <c r="CO224" s="5" t="n">
        <v>0.066</v>
      </c>
      <c r="CP224" s="5" t="n">
        <v>0</v>
      </c>
      <c r="CQ224" s="5" t="n">
        <v>1.348</v>
      </c>
      <c r="CR224" s="5" t="n">
        <v>0</v>
      </c>
      <c r="CS224" s="5" t="n">
        <v>2.809</v>
      </c>
      <c r="CT224" s="5" t="n">
        <v>5.615</v>
      </c>
      <c r="CU224" s="5" t="n">
        <v>9.260999999999999</v>
      </c>
    </row>
    <row r="225">
      <c r="A225" s="5" t="inlineStr">
        <is>
          <t>DNK2024</t>
        </is>
      </c>
      <c r="B225" s="5" t="inlineStr">
        <is>
          <t>DNK</t>
        </is>
      </c>
      <c r="C225" s="5" t="inlineStr">
        <is>
          <t>DNK</t>
        </is>
      </c>
      <c r="D225" s="5" t="inlineStr">
        <is>
          <t>Denmark</t>
        </is>
      </c>
      <c r="E225" s="5" t="n">
        <v>2024</v>
      </c>
      <c r="F225" s="5" t="n">
        <v>0.25</v>
      </c>
      <c r="G225" s="5" t="n">
        <v>5.717</v>
      </c>
      <c r="H225" s="5" t="n">
        <v>1.324</v>
      </c>
      <c r="I225" s="5" t="n">
        <v>8.045</v>
      </c>
      <c r="J225" s="5" t="n">
        <v>13.763</v>
      </c>
      <c r="K225" s="5" t="n">
        <v>0</v>
      </c>
      <c r="L225" s="5" t="n">
        <v>1</v>
      </c>
      <c r="M225" s="5" t="n">
        <v>7.124</v>
      </c>
      <c r="N225" s="5" t="n">
        <v>3.971</v>
      </c>
      <c r="O225" s="5" t="n">
        <v>12.724</v>
      </c>
      <c r="P225" s="5" t="n">
        <v>19.848</v>
      </c>
      <c r="Q225" s="5" t="n">
        <v>0</v>
      </c>
      <c r="R225" s="5" t="n">
        <v>1</v>
      </c>
      <c r="S225" s="5" t="n">
        <v>12.335</v>
      </c>
      <c r="T225" s="5" t="n">
        <v>7.942</v>
      </c>
      <c r="U225" s="5" t="n">
        <v>3.61</v>
      </c>
      <c r="V225" s="5" t="n">
        <v>19.275</v>
      </c>
      <c r="W225" s="5" t="n">
        <v>0.25</v>
      </c>
      <c r="X225" s="5" t="n">
        <v>1</v>
      </c>
      <c r="Y225" s="5" t="n">
        <v>14.533</v>
      </c>
      <c r="Z225" s="5" t="n">
        <v>1.835</v>
      </c>
      <c r="AA225" s="5" t="n">
        <v>6.495</v>
      </c>
      <c r="AB225" s="5" t="n">
        <v>21.029</v>
      </c>
      <c r="AC225" s="5" t="n">
        <v>0</v>
      </c>
      <c r="AD225" s="5" t="n">
        <v>1</v>
      </c>
      <c r="AE225" s="5" t="n">
        <v>14.533</v>
      </c>
      <c r="AF225" s="5" t="n">
        <v>3.184</v>
      </c>
      <c r="AG225" s="5" t="n">
        <v>6.495</v>
      </c>
      <c r="AH225" s="5" t="n">
        <v>21.029</v>
      </c>
      <c r="AI225" s="5" t="n">
        <v>0</v>
      </c>
      <c r="AJ225" s="5" t="n">
        <v>1</v>
      </c>
      <c r="AK225" s="5" t="n">
        <v>19.97</v>
      </c>
      <c r="AL225" s="5" t="n">
        <v>10.157</v>
      </c>
      <c r="AM225" s="5" t="n">
        <v>10.534</v>
      </c>
      <c r="AN225" s="5" t="n">
        <v>38.13</v>
      </c>
      <c r="AO225" s="5" t="n">
        <v>0.25</v>
      </c>
      <c r="AP225" s="5" t="n">
        <v>1</v>
      </c>
      <c r="AQ225" s="5" t="n">
        <v>0.724</v>
      </c>
      <c r="AR225" s="5" t="n">
        <v>0.132</v>
      </c>
      <c r="AS225" s="5" t="n">
        <v>1.005</v>
      </c>
      <c r="AT225" s="5" t="n">
        <v>2.162</v>
      </c>
      <c r="AU225" s="5" t="n">
        <v>0.25</v>
      </c>
      <c r="AV225" s="5" t="n">
        <v>1</v>
      </c>
      <c r="AW225" s="5" t="n">
        <v>0.75</v>
      </c>
      <c r="AX225" s="5" t="n">
        <v>0.132</v>
      </c>
      <c r="AY225" s="5" t="n">
        <v>0.725</v>
      </c>
      <c r="AZ225" s="5" t="n">
        <v>1.844</v>
      </c>
      <c r="BA225" s="5" t="n">
        <v>0.25</v>
      </c>
      <c r="BB225" s="5" t="n">
        <v>1</v>
      </c>
      <c r="BC225" s="5" t="n">
        <v>0.513</v>
      </c>
      <c r="BD225" s="5" t="n">
        <v>0.132</v>
      </c>
      <c r="BE225" s="5" t="n">
        <v>0.296</v>
      </c>
      <c r="BF225" s="5" t="n">
        <v>0.978</v>
      </c>
      <c r="BG225" s="5" t="n">
        <v>0.25</v>
      </c>
      <c r="BH225" s="5" t="n">
        <v>1</v>
      </c>
      <c r="BI225" s="5" t="n">
        <v>0.591</v>
      </c>
      <c r="BJ225" s="5" t="n">
        <v>0.132</v>
      </c>
      <c r="BK225" s="5" t="n">
        <v>0.9429999999999999</v>
      </c>
      <c r="BL225" s="5" t="n">
        <v>1.917</v>
      </c>
      <c r="BM225" s="5" t="n">
        <v>0.25</v>
      </c>
      <c r="BN225" s="5" t="n">
        <v>1</v>
      </c>
      <c r="BO225" s="5" t="n">
        <v>0</v>
      </c>
      <c r="BP225" s="5" t="n">
        <v>0.002</v>
      </c>
      <c r="BQ225" s="5" t="n">
        <v>0.122</v>
      </c>
      <c r="BR225" s="5" t="n">
        <v>0</v>
      </c>
      <c r="BS225" s="5" t="n">
        <v>1</v>
      </c>
      <c r="BT225" s="5" t="n">
        <v>0</v>
      </c>
      <c r="BU225" s="5" t="n">
        <v>0.117</v>
      </c>
      <c r="BV225" s="5" t="n">
        <v>0.404</v>
      </c>
      <c r="BW225" s="5" t="n">
        <v>0.25</v>
      </c>
      <c r="BX225" s="5" t="n">
        <v>1</v>
      </c>
      <c r="BY225" s="5" t="n">
        <v>13.646</v>
      </c>
      <c r="BZ225" s="5" t="n">
        <v>0</v>
      </c>
      <c r="CA225" s="5" t="n">
        <v>13.646</v>
      </c>
      <c r="CB225" s="5" t="n">
        <v>0</v>
      </c>
      <c r="CC225" s="5" t="n">
        <v>82.58799999999999</v>
      </c>
      <c r="CD225" s="5" t="n">
        <v>7.95</v>
      </c>
      <c r="CE225" s="5" t="n">
        <v>192.975</v>
      </c>
      <c r="CF225" s="5" t="n">
        <v>344.454</v>
      </c>
      <c r="CG225" s="5" t="n">
        <v>0.25</v>
      </c>
      <c r="CH225" s="5" t="n">
        <v>1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0.363</v>
      </c>
      <c r="CO225" s="5" t="n">
        <v>0.06900000000000001</v>
      </c>
      <c r="CP225" s="5" t="n">
        <v>0</v>
      </c>
      <c r="CQ225" s="5" t="n">
        <v>1.387</v>
      </c>
      <c r="CR225" s="5" t="n">
        <v>0</v>
      </c>
      <c r="CS225" s="5" t="n">
        <v>2.892</v>
      </c>
      <c r="CT225" s="5" t="n">
        <v>4.394</v>
      </c>
      <c r="CU225" s="5" t="n">
        <v>7.598</v>
      </c>
    </row>
    <row r="226">
      <c r="A226" s="5" t="inlineStr">
        <is>
          <t>DJI2021</t>
        </is>
      </c>
      <c r="B226" s="5" t="inlineStr">
        <is>
          <t>DJI</t>
        </is>
      </c>
      <c r="C226" s="5" t="inlineStr">
        <is>
          <t>DJI</t>
        </is>
      </c>
      <c r="D226" s="5" t="inlineStr">
        <is>
          <t>Djibouti</t>
        </is>
      </c>
      <c r="E226" s="5" t="n">
        <v>2021</v>
      </c>
      <c r="F226" s="5" t="n">
        <v>0.1</v>
      </c>
      <c r="G226" s="5" t="n">
        <v>5.897</v>
      </c>
      <c r="H226" s="5" t="n">
        <v>1.143</v>
      </c>
      <c r="I226" s="5" t="n">
        <v>0</v>
      </c>
      <c r="J226" s="5" t="n">
        <v>5.897</v>
      </c>
      <c r="K226" s="5" t="n">
        <v>0</v>
      </c>
      <c r="L226" s="5" t="n">
        <v>1</v>
      </c>
      <c r="M226" s="5" t="n">
        <v>7.964</v>
      </c>
      <c r="N226" s="5" t="n">
        <v>3.43</v>
      </c>
      <c r="O226" s="5" t="n">
        <v>0</v>
      </c>
      <c r="P226" s="5" t="n">
        <v>7.964</v>
      </c>
      <c r="Q226" s="5" t="n">
        <v>0</v>
      </c>
      <c r="R226" s="5" t="n">
        <v>1</v>
      </c>
      <c r="S226" s="5" t="n">
        <v>11.613</v>
      </c>
      <c r="T226" s="5" t="n">
        <v>6.86</v>
      </c>
      <c r="U226" s="5" t="n">
        <v>0</v>
      </c>
      <c r="V226" s="5" t="n">
        <v>12.775</v>
      </c>
      <c r="W226" s="5" t="n">
        <v>0.1</v>
      </c>
      <c r="X226" s="5" t="n">
        <v>1</v>
      </c>
      <c r="Y226" s="5" t="n">
        <v>5.115</v>
      </c>
      <c r="Z226" s="5" t="n">
        <v>0.834</v>
      </c>
      <c r="AA226" s="5" t="n">
        <v>0</v>
      </c>
      <c r="AB226" s="5" t="n">
        <v>5.115</v>
      </c>
      <c r="AC226" s="5" t="n">
        <v>0</v>
      </c>
      <c r="AD226" s="5" t="n">
        <v>1</v>
      </c>
      <c r="AE226" s="5" t="n">
        <v>6.258</v>
      </c>
      <c r="AF226" s="5" t="n">
        <v>1.715</v>
      </c>
      <c r="AG226" s="5" t="n">
        <v>0</v>
      </c>
      <c r="AH226" s="5" t="n">
        <v>6.258</v>
      </c>
      <c r="AI226" s="5" t="n">
        <v>0</v>
      </c>
      <c r="AJ226" s="5" t="n">
        <v>1</v>
      </c>
      <c r="AK226" s="5" t="n">
        <v>13.118</v>
      </c>
      <c r="AL226" s="5" t="n">
        <v>7.629</v>
      </c>
      <c r="AM226" s="5" t="n">
        <v>0</v>
      </c>
      <c r="AN226" s="5" t="n">
        <v>14.43</v>
      </c>
      <c r="AO226" s="5" t="n">
        <v>0.1</v>
      </c>
      <c r="AP226" s="5" t="n">
        <v>1</v>
      </c>
      <c r="AQ226" s="5" t="n">
        <v>0.621</v>
      </c>
      <c r="AR226" s="5" t="n">
        <v>0.114</v>
      </c>
      <c r="AS226" s="5" t="n">
        <v>1.066</v>
      </c>
      <c r="AT226" s="5" t="n">
        <v>1.856</v>
      </c>
      <c r="AU226" s="5" t="n">
        <v>0.1</v>
      </c>
      <c r="AV226" s="5" t="n">
        <v>1</v>
      </c>
      <c r="AW226" s="5" t="n">
        <v>0.593</v>
      </c>
      <c r="AX226" s="5" t="n">
        <v>0.114</v>
      </c>
      <c r="AY226" s="5" t="n">
        <v>0.386</v>
      </c>
      <c r="AZ226" s="5" t="n">
        <v>1.077</v>
      </c>
      <c r="BA226" s="5" t="n">
        <v>0.1</v>
      </c>
      <c r="BB226" s="5" t="n">
        <v>1</v>
      </c>
      <c r="BC226" s="5" t="n">
        <v>0.44</v>
      </c>
      <c r="BD226" s="5" t="n">
        <v>0.114</v>
      </c>
      <c r="BE226" s="5" t="n">
        <v>0</v>
      </c>
      <c r="BF226" s="5" t="n">
        <v>0.484</v>
      </c>
      <c r="BG226" s="5" t="n">
        <v>0.1</v>
      </c>
      <c r="BH226" s="5" t="n">
        <v>1</v>
      </c>
      <c r="BI226" s="5" t="n">
        <v>0.5600000000000001</v>
      </c>
      <c r="BJ226" s="5" t="n">
        <v>0.114</v>
      </c>
      <c r="BK226" s="5" t="n">
        <v>0</v>
      </c>
      <c r="BL226" s="5" t="n">
        <v>0.616</v>
      </c>
      <c r="BM226" s="5" t="n">
        <v>0.1</v>
      </c>
      <c r="BN226" s="5" t="n">
        <v>1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1</v>
      </c>
      <c r="BT226" s="5" t="n">
        <v>0</v>
      </c>
      <c r="BU226" s="5" t="n">
        <v>0</v>
      </c>
      <c r="BV226" s="5" t="n">
        <v>0</v>
      </c>
      <c r="BW226" s="5" t="n">
        <v>0.1</v>
      </c>
      <c r="BX226" s="5" t="n">
        <v>1</v>
      </c>
      <c r="BY226" s="5" t="n">
        <v>11.787</v>
      </c>
      <c r="BZ226" s="5" t="n">
        <v>0</v>
      </c>
      <c r="CA226" s="5" t="n">
        <v>11.787</v>
      </c>
      <c r="CB226" s="5" t="n">
        <v>0</v>
      </c>
      <c r="CC226" s="5" t="n">
        <v>81.69499999999999</v>
      </c>
      <c r="CD226" s="5" t="n">
        <v>7.95</v>
      </c>
      <c r="CE226" s="5" t="n">
        <v>0</v>
      </c>
      <c r="CF226" s="5" t="n">
        <v>89.86499999999999</v>
      </c>
      <c r="CG226" s="5" t="n">
        <v>0.1</v>
      </c>
      <c r="CH226" s="5" t="n">
        <v>1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1.198</v>
      </c>
      <c r="CR226" s="5" t="n">
        <v>0</v>
      </c>
      <c r="CS226" s="5" t="n">
        <v>4.776</v>
      </c>
      <c r="CT226" s="5" t="n">
        <v>4.753</v>
      </c>
      <c r="CU226" s="5" t="n">
        <v>14.162</v>
      </c>
    </row>
    <row r="227">
      <c r="A227" s="5" t="inlineStr">
        <is>
          <t>DJI2022</t>
        </is>
      </c>
      <c r="B227" s="5" t="inlineStr">
        <is>
          <t>DJI</t>
        </is>
      </c>
      <c r="C227" s="5" t="inlineStr">
        <is>
          <t>DJI</t>
        </is>
      </c>
      <c r="D227" s="5" t="inlineStr">
        <is>
          <t>Djibouti</t>
        </is>
      </c>
      <c r="E227" s="5" t="n">
        <v>2022</v>
      </c>
      <c r="F227" s="5" t="n">
        <v>0.1</v>
      </c>
      <c r="G227" s="5" t="n">
        <v>11.72</v>
      </c>
      <c r="H227" s="5" t="n">
        <v>1.235</v>
      </c>
      <c r="I227" s="5" t="n">
        <v>0</v>
      </c>
      <c r="J227" s="5" t="n">
        <v>11.72</v>
      </c>
      <c r="K227" s="5" t="n">
        <v>0</v>
      </c>
      <c r="L227" s="5" t="n">
        <v>1</v>
      </c>
      <c r="M227" s="5" t="n">
        <v>9.782999999999999</v>
      </c>
      <c r="N227" s="5" t="n">
        <v>3.704</v>
      </c>
      <c r="O227" s="5" t="n">
        <v>0</v>
      </c>
      <c r="P227" s="5" t="n">
        <v>9.782999999999999</v>
      </c>
      <c r="Q227" s="5" t="n">
        <v>0</v>
      </c>
      <c r="R227" s="5" t="n">
        <v>1</v>
      </c>
      <c r="S227" s="5" t="n">
        <v>17.893</v>
      </c>
      <c r="T227" s="5" t="n">
        <v>7.408</v>
      </c>
      <c r="U227" s="5" t="n">
        <v>0.132</v>
      </c>
      <c r="V227" s="5" t="n">
        <v>19.683</v>
      </c>
      <c r="W227" s="5" t="n">
        <v>0.1</v>
      </c>
      <c r="X227" s="5" t="n">
        <v>1</v>
      </c>
      <c r="Y227" s="5" t="n">
        <v>5.91</v>
      </c>
      <c r="Z227" s="5" t="n">
        <v>0.964</v>
      </c>
      <c r="AA227" s="5" t="n">
        <v>0</v>
      </c>
      <c r="AB227" s="5" t="n">
        <v>5.91</v>
      </c>
      <c r="AC227" s="5" t="n">
        <v>0</v>
      </c>
      <c r="AD227" s="5" t="n">
        <v>1</v>
      </c>
      <c r="AE227" s="5" t="n">
        <v>7.145</v>
      </c>
      <c r="AF227" s="5" t="n">
        <v>1.958</v>
      </c>
      <c r="AG227" s="5" t="n">
        <v>0</v>
      </c>
      <c r="AH227" s="5" t="n">
        <v>7.145</v>
      </c>
      <c r="AI227" s="5" t="n">
        <v>0</v>
      </c>
      <c r="AJ227" s="5" t="n">
        <v>1</v>
      </c>
      <c r="AK227" s="5" t="n">
        <v>14.553</v>
      </c>
      <c r="AL227" s="5" t="n">
        <v>8.462999999999999</v>
      </c>
      <c r="AM227" s="5" t="n">
        <v>0.108</v>
      </c>
      <c r="AN227" s="5" t="n">
        <v>16.008</v>
      </c>
      <c r="AO227" s="5" t="n">
        <v>0.1</v>
      </c>
      <c r="AP227" s="5" t="n">
        <v>1</v>
      </c>
      <c r="AQ227" s="5" t="n">
        <v>0.847</v>
      </c>
      <c r="AR227" s="5" t="n">
        <v>0.123</v>
      </c>
      <c r="AS227" s="5" t="n">
        <v>1.15</v>
      </c>
      <c r="AT227" s="5" t="n">
        <v>2.181</v>
      </c>
      <c r="AU227" s="5" t="n">
        <v>0.1</v>
      </c>
      <c r="AV227" s="5" t="n">
        <v>1</v>
      </c>
      <c r="AW227" s="5" t="n">
        <v>0.947</v>
      </c>
      <c r="AX227" s="5" t="n">
        <v>0.123</v>
      </c>
      <c r="AY227" s="5" t="n">
        <v>0.399</v>
      </c>
      <c r="AZ227" s="5" t="n">
        <v>1.47</v>
      </c>
      <c r="BA227" s="5" t="n">
        <v>0.1</v>
      </c>
      <c r="BB227" s="5" t="n">
        <v>1</v>
      </c>
      <c r="BC227" s="5" t="n">
        <v>0.589</v>
      </c>
      <c r="BD227" s="5" t="n">
        <v>0.123</v>
      </c>
      <c r="BE227" s="5" t="n">
        <v>0.004</v>
      </c>
      <c r="BF227" s="5" t="n">
        <v>0.647</v>
      </c>
      <c r="BG227" s="5" t="n">
        <v>0.1</v>
      </c>
      <c r="BH227" s="5" t="n">
        <v>1</v>
      </c>
      <c r="BI227" s="5" t="n">
        <v>0.6889999999999999</v>
      </c>
      <c r="BJ227" s="5" t="n">
        <v>0.123</v>
      </c>
      <c r="BK227" s="5" t="n">
        <v>0.005</v>
      </c>
      <c r="BL227" s="5" t="n">
        <v>0.758</v>
      </c>
      <c r="BM227" s="5" t="n">
        <v>0.1</v>
      </c>
      <c r="BN227" s="5" t="n">
        <v>1</v>
      </c>
      <c r="BO227" s="5" t="n">
        <v>0</v>
      </c>
      <c r="BP227" s="5" t="n">
        <v>0</v>
      </c>
      <c r="BQ227" s="5" t="n">
        <v>0</v>
      </c>
      <c r="BR227" s="5" t="n">
        <v>0</v>
      </c>
      <c r="BS227" s="5" t="n">
        <v>1</v>
      </c>
      <c r="BT227" s="5" t="n">
        <v>0</v>
      </c>
      <c r="BU227" s="5" t="n">
        <v>0</v>
      </c>
      <c r="BV227" s="5" t="n">
        <v>0</v>
      </c>
      <c r="BW227" s="5" t="n">
        <v>0.1</v>
      </c>
      <c r="BX227" s="5" t="n">
        <v>1</v>
      </c>
      <c r="BY227" s="5" t="n">
        <v>12.729</v>
      </c>
      <c r="BZ227" s="5" t="n">
        <v>0</v>
      </c>
      <c r="CA227" s="5" t="n">
        <v>12.729</v>
      </c>
      <c r="CB227" s="5" t="n">
        <v>0</v>
      </c>
      <c r="CC227" s="5" t="n">
        <v>102.477</v>
      </c>
      <c r="CD227" s="5" t="n">
        <v>7.95</v>
      </c>
      <c r="CE227" s="5" t="n">
        <v>0.758</v>
      </c>
      <c r="CF227" s="5" t="n">
        <v>112.724</v>
      </c>
      <c r="CG227" s="5" t="n">
        <v>0.1</v>
      </c>
      <c r="CH227" s="5" t="n">
        <v>1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0</v>
      </c>
      <c r="CN227" s="5" t="n">
        <v>0</v>
      </c>
      <c r="CO227" s="5" t="n">
        <v>0</v>
      </c>
      <c r="CP227" s="5" t="n">
        <v>0</v>
      </c>
      <c r="CQ227" s="5" t="n">
        <v>1.294</v>
      </c>
      <c r="CR227" s="5" t="n">
        <v>0</v>
      </c>
      <c r="CS227" s="5" t="n">
        <v>5.158</v>
      </c>
      <c r="CT227" s="5" t="n">
        <v>10.485</v>
      </c>
      <c r="CU227" s="5" t="n">
        <v>30.326</v>
      </c>
    </row>
    <row r="228">
      <c r="A228" s="5" t="inlineStr">
        <is>
          <t>DJI2023</t>
        </is>
      </c>
      <c r="B228" s="5" t="inlineStr">
        <is>
          <t>DJI</t>
        </is>
      </c>
      <c r="C228" s="5" t="inlineStr">
        <is>
          <t>DJI</t>
        </is>
      </c>
      <c r="D228" s="5" t="inlineStr">
        <is>
          <t>Djibouti</t>
        </is>
      </c>
      <c r="E228" s="5" t="n">
        <v>2023</v>
      </c>
      <c r="F228" s="5" t="n">
        <v>0.1</v>
      </c>
      <c r="G228" s="5" t="n">
        <v>6.147</v>
      </c>
      <c r="H228" s="5" t="n">
        <v>1.286</v>
      </c>
      <c r="I228" s="5" t="n">
        <v>0</v>
      </c>
      <c r="J228" s="5" t="n">
        <v>6.147</v>
      </c>
      <c r="K228" s="5" t="n">
        <v>0</v>
      </c>
      <c r="L228" s="5" t="n">
        <v>1</v>
      </c>
      <c r="M228" s="5" t="n">
        <v>7.886</v>
      </c>
      <c r="N228" s="5" t="n">
        <v>3.857</v>
      </c>
      <c r="O228" s="5" t="n">
        <v>0</v>
      </c>
      <c r="P228" s="5" t="n">
        <v>7.886</v>
      </c>
      <c r="Q228" s="5" t="n">
        <v>0</v>
      </c>
      <c r="R228" s="5" t="n">
        <v>1</v>
      </c>
      <c r="S228" s="5" t="n">
        <v>12.575</v>
      </c>
      <c r="T228" s="5" t="n">
        <v>7.714</v>
      </c>
      <c r="U228" s="5" t="n">
        <v>0.139</v>
      </c>
      <c r="V228" s="5" t="n">
        <v>13.833</v>
      </c>
      <c r="W228" s="5" t="n">
        <v>0.1</v>
      </c>
      <c r="X228" s="5" t="n">
        <v>1</v>
      </c>
      <c r="Y228" s="5" t="n">
        <v>5.615</v>
      </c>
      <c r="Z228" s="5" t="n">
        <v>0.916</v>
      </c>
      <c r="AA228" s="5" t="n">
        <v>0</v>
      </c>
      <c r="AB228" s="5" t="n">
        <v>5.615</v>
      </c>
      <c r="AC228" s="5" t="n">
        <v>0</v>
      </c>
      <c r="AD228" s="5" t="n">
        <v>1</v>
      </c>
      <c r="AE228" s="5" t="n">
        <v>6.901</v>
      </c>
      <c r="AF228" s="5" t="n">
        <v>1.891</v>
      </c>
      <c r="AG228" s="5" t="n">
        <v>0</v>
      </c>
      <c r="AH228" s="5" t="n">
        <v>6.901</v>
      </c>
      <c r="AI228" s="5" t="n">
        <v>0</v>
      </c>
      <c r="AJ228" s="5" t="n">
        <v>1</v>
      </c>
      <c r="AK228" s="5" t="n">
        <v>14.615</v>
      </c>
      <c r="AL228" s="5" t="n">
        <v>8.499000000000001</v>
      </c>
      <c r="AM228" s="5" t="n">
        <v>0.162</v>
      </c>
      <c r="AN228" s="5" t="n">
        <v>16.076</v>
      </c>
      <c r="AO228" s="5" t="n">
        <v>0.1</v>
      </c>
      <c r="AP228" s="5" t="n">
        <v>1</v>
      </c>
      <c r="AQ228" s="5" t="n">
        <v>0.749</v>
      </c>
      <c r="AR228" s="5" t="n">
        <v>0.129</v>
      </c>
      <c r="AS228" s="5" t="n">
        <v>1.216</v>
      </c>
      <c r="AT228" s="5" t="n">
        <v>2.138</v>
      </c>
      <c r="AU228" s="5" t="n">
        <v>0.1</v>
      </c>
      <c r="AV228" s="5" t="n">
        <v>1</v>
      </c>
      <c r="AW228" s="5" t="n">
        <v>0.783</v>
      </c>
      <c r="AX228" s="5" t="n">
        <v>0.129</v>
      </c>
      <c r="AY228" s="5" t="n">
        <v>0.437</v>
      </c>
      <c r="AZ228" s="5" t="n">
        <v>1.327</v>
      </c>
      <c r="BA228" s="5" t="n">
        <v>0.1</v>
      </c>
      <c r="BB228" s="5" t="n">
        <v>1</v>
      </c>
      <c r="BC228" s="5" t="n">
        <v>0.527</v>
      </c>
      <c r="BD228" s="5" t="n">
        <v>0.129</v>
      </c>
      <c r="BE228" s="5" t="n">
        <v>0.006</v>
      </c>
      <c r="BF228" s="5" t="n">
        <v>0.58</v>
      </c>
      <c r="BG228" s="5" t="n">
        <v>0.1</v>
      </c>
      <c r="BH228" s="5" t="n">
        <v>1</v>
      </c>
      <c r="BI228" s="5" t="n">
        <v>0.64</v>
      </c>
      <c r="BJ228" s="5" t="n">
        <v>0.129</v>
      </c>
      <c r="BK228" s="5" t="n">
        <v>0.007</v>
      </c>
      <c r="BL228" s="5" t="n">
        <v>0.704</v>
      </c>
      <c r="BM228" s="5" t="n">
        <v>0.1</v>
      </c>
      <c r="BN228" s="5" t="n">
        <v>1</v>
      </c>
      <c r="BO228" s="5" t="n">
        <v>0</v>
      </c>
      <c r="BP228" s="5" t="n">
        <v>0</v>
      </c>
      <c r="BQ228" s="5" t="n">
        <v>0</v>
      </c>
      <c r="BR228" s="5" t="n">
        <v>0</v>
      </c>
      <c r="BS228" s="5" t="n">
        <v>1</v>
      </c>
      <c r="BT228" s="5" t="n">
        <v>0</v>
      </c>
      <c r="BU228" s="5" t="n">
        <v>0</v>
      </c>
      <c r="BV228" s="5" t="n">
        <v>0</v>
      </c>
      <c r="BW228" s="5" t="n">
        <v>0.1</v>
      </c>
      <c r="BX228" s="5" t="n">
        <v>1</v>
      </c>
      <c r="BY228" s="5" t="n">
        <v>13.254</v>
      </c>
      <c r="BZ228" s="5" t="n">
        <v>0</v>
      </c>
      <c r="CA228" s="5" t="n">
        <v>13.254</v>
      </c>
      <c r="CB228" s="5" t="n">
        <v>0</v>
      </c>
      <c r="CC228" s="5" t="n">
        <v>87.07899999999999</v>
      </c>
      <c r="CD228" s="5" t="n">
        <v>7.95</v>
      </c>
      <c r="CE228" s="5" t="n">
        <v>0.964</v>
      </c>
      <c r="CF228" s="5" t="n">
        <v>95.78700000000001</v>
      </c>
      <c r="CG228" s="5" t="n">
        <v>0.1</v>
      </c>
      <c r="CH228" s="5" t="n">
        <v>1</v>
      </c>
      <c r="CI228" s="5" t="n">
        <v>0</v>
      </c>
      <c r="CJ228" s="5" t="n">
        <v>0</v>
      </c>
      <c r="CK228" s="5" t="n">
        <v>0</v>
      </c>
      <c r="CL228" s="5" t="n">
        <v>0</v>
      </c>
      <c r="CM228" s="5" t="n">
        <v>0</v>
      </c>
      <c r="CN228" s="5" t="n">
        <v>0</v>
      </c>
      <c r="CO228" s="5" t="n">
        <v>0</v>
      </c>
      <c r="CP228" s="5" t="n">
        <v>0</v>
      </c>
      <c r="CQ228" s="5" t="n">
        <v>1.348</v>
      </c>
      <c r="CR228" s="5" t="n">
        <v>0</v>
      </c>
      <c r="CS228" s="5" t="n">
        <v>5.37</v>
      </c>
      <c r="CT228" s="5" t="n">
        <v>4.861</v>
      </c>
      <c r="CU228" s="5" t="n">
        <v>10.622</v>
      </c>
    </row>
    <row r="229">
      <c r="A229" s="5" t="inlineStr">
        <is>
          <t>DJI2024</t>
        </is>
      </c>
      <c r="B229" s="5" t="inlineStr">
        <is>
          <t>DJI</t>
        </is>
      </c>
      <c r="C229" s="5" t="inlineStr">
        <is>
          <t>DJI</t>
        </is>
      </c>
      <c r="D229" s="5" t="inlineStr">
        <is>
          <t>Djibouti</t>
        </is>
      </c>
      <c r="E229" s="5" t="n">
        <v>2024</v>
      </c>
      <c r="F229" s="5" t="n">
        <v>0.1</v>
      </c>
      <c r="G229" s="5" t="n">
        <v>5.575</v>
      </c>
      <c r="H229" s="5" t="n">
        <v>1.324</v>
      </c>
      <c r="I229" s="5" t="n">
        <v>0</v>
      </c>
      <c r="J229" s="5" t="n">
        <v>5.575</v>
      </c>
      <c r="K229" s="5" t="n">
        <v>0</v>
      </c>
      <c r="L229" s="5" t="n">
        <v>1</v>
      </c>
      <c r="M229" s="5" t="n">
        <v>7.124</v>
      </c>
      <c r="N229" s="5" t="n">
        <v>3.971</v>
      </c>
      <c r="O229" s="5" t="n">
        <v>0</v>
      </c>
      <c r="P229" s="5" t="n">
        <v>7.124</v>
      </c>
      <c r="Q229" s="5" t="n">
        <v>0</v>
      </c>
      <c r="R229" s="5" t="n">
        <v>1</v>
      </c>
      <c r="S229" s="5" t="n">
        <v>12.193</v>
      </c>
      <c r="T229" s="5" t="n">
        <v>7.942</v>
      </c>
      <c r="U229" s="5" t="n">
        <v>0.166</v>
      </c>
      <c r="V229" s="5" t="n">
        <v>13.412</v>
      </c>
      <c r="W229" s="5" t="n">
        <v>0.1</v>
      </c>
      <c r="X229" s="5" t="n">
        <v>1</v>
      </c>
      <c r="Y229" s="5" t="n">
        <v>5.735</v>
      </c>
      <c r="Z229" s="5" t="n">
        <v>0.9360000000000001</v>
      </c>
      <c r="AA229" s="5" t="n">
        <v>0</v>
      </c>
      <c r="AB229" s="5" t="n">
        <v>5.735</v>
      </c>
      <c r="AC229" s="5" t="n">
        <v>0</v>
      </c>
      <c r="AD229" s="5" t="n">
        <v>1</v>
      </c>
      <c r="AE229" s="5" t="n">
        <v>7.059</v>
      </c>
      <c r="AF229" s="5" t="n">
        <v>1.935</v>
      </c>
      <c r="AG229" s="5" t="n">
        <v>0</v>
      </c>
      <c r="AH229" s="5" t="n">
        <v>7.059</v>
      </c>
      <c r="AI229" s="5" t="n">
        <v>0</v>
      </c>
      <c r="AJ229" s="5" t="n">
        <v>1</v>
      </c>
      <c r="AK229" s="5" t="n">
        <v>15</v>
      </c>
      <c r="AL229" s="5" t="n">
        <v>8.724</v>
      </c>
      <c r="AM229" s="5" t="n">
        <v>0.204</v>
      </c>
      <c r="AN229" s="5" t="n">
        <v>16.5</v>
      </c>
      <c r="AO229" s="5" t="n">
        <v>0.1</v>
      </c>
      <c r="AP229" s="5" t="n">
        <v>1</v>
      </c>
      <c r="AQ229" s="5" t="n">
        <v>0.72</v>
      </c>
      <c r="AR229" s="5" t="n">
        <v>0.132</v>
      </c>
      <c r="AS229" s="5" t="n">
        <v>1.261</v>
      </c>
      <c r="AT229" s="5" t="n">
        <v>2.15</v>
      </c>
      <c r="AU229" s="5" t="n">
        <v>0.1</v>
      </c>
      <c r="AV229" s="5" t="n">
        <v>1</v>
      </c>
      <c r="AW229" s="5" t="n">
        <v>0.734</v>
      </c>
      <c r="AX229" s="5" t="n">
        <v>0.132</v>
      </c>
      <c r="AY229" s="5" t="n">
        <v>0.459</v>
      </c>
      <c r="AZ229" s="5" t="n">
        <v>1.294</v>
      </c>
      <c r="BA229" s="5" t="n">
        <v>0.1</v>
      </c>
      <c r="BB229" s="5" t="n">
        <v>1</v>
      </c>
      <c r="BC229" s="5" t="n">
        <v>0.51</v>
      </c>
      <c r="BD229" s="5" t="n">
        <v>0.132</v>
      </c>
      <c r="BE229" s="5" t="n">
        <v>0.007</v>
      </c>
      <c r="BF229" s="5" t="n">
        <v>0.5610000000000001</v>
      </c>
      <c r="BG229" s="5" t="n">
        <v>0.1</v>
      </c>
      <c r="BH229" s="5" t="n">
        <v>1</v>
      </c>
      <c r="BI229" s="5" t="n">
        <v>0.652</v>
      </c>
      <c r="BJ229" s="5" t="n">
        <v>0.132</v>
      </c>
      <c r="BK229" s="5" t="n">
        <v>0.008999999999999999</v>
      </c>
      <c r="BL229" s="5" t="n">
        <v>0.717</v>
      </c>
      <c r="BM229" s="5" t="n">
        <v>0.1</v>
      </c>
      <c r="BN229" s="5" t="n">
        <v>1</v>
      </c>
      <c r="BO229" s="5" t="n">
        <v>0</v>
      </c>
      <c r="BP229" s="5" t="n">
        <v>0</v>
      </c>
      <c r="BQ229" s="5" t="n">
        <v>0</v>
      </c>
      <c r="BR229" s="5" t="n">
        <v>0</v>
      </c>
      <c r="BS229" s="5" t="n">
        <v>1</v>
      </c>
      <c r="BT229" s="5" t="n">
        <v>0</v>
      </c>
      <c r="BU229" s="5" t="n">
        <v>0</v>
      </c>
      <c r="BV229" s="5" t="n">
        <v>0</v>
      </c>
      <c r="BW229" s="5" t="n">
        <v>0.1</v>
      </c>
      <c r="BX229" s="5" t="n">
        <v>1</v>
      </c>
      <c r="BY229" s="5" t="n">
        <v>13.646</v>
      </c>
      <c r="BZ229" s="5" t="n">
        <v>0</v>
      </c>
      <c r="CA229" s="5" t="n">
        <v>13.646</v>
      </c>
      <c r="CB229" s="5" t="n">
        <v>0</v>
      </c>
      <c r="CC229" s="5" t="n">
        <v>86.38500000000001</v>
      </c>
      <c r="CD229" s="5" t="n">
        <v>7.95</v>
      </c>
      <c r="CE229" s="5" t="n">
        <v>1.177</v>
      </c>
      <c r="CF229" s="5" t="n">
        <v>95.024</v>
      </c>
      <c r="CG229" s="5" t="n">
        <v>0.1</v>
      </c>
      <c r="CH229" s="5" t="n">
        <v>1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0</v>
      </c>
      <c r="CN229" s="5" t="n">
        <v>0</v>
      </c>
      <c r="CO229" s="5" t="n">
        <v>0</v>
      </c>
      <c r="CP229" s="5" t="n">
        <v>0</v>
      </c>
      <c r="CQ229" s="5" t="n">
        <v>1.387</v>
      </c>
      <c r="CR229" s="5" t="n">
        <v>0</v>
      </c>
      <c r="CS229" s="5" t="n">
        <v>5.529</v>
      </c>
      <c r="CT229" s="5" t="n">
        <v>4.251</v>
      </c>
      <c r="CU229" s="5" t="n">
        <v>9.167999999999999</v>
      </c>
    </row>
    <row r="230">
      <c r="A230" s="5" t="inlineStr">
        <is>
          <t>DMA2021</t>
        </is>
      </c>
      <c r="B230" s="5" t="inlineStr">
        <is>
          <t>DMA</t>
        </is>
      </c>
      <c r="C230" s="5" t="inlineStr">
        <is>
          <t>DMA</t>
        </is>
      </c>
      <c r="D230" s="5" t="inlineStr">
        <is>
          <t>Dominica</t>
        </is>
      </c>
      <c r="E230" s="5" t="n">
        <v>2021</v>
      </c>
      <c r="F230" s="5" t="n">
        <v>0.15</v>
      </c>
      <c r="G230" s="5" t="n">
        <v>5.897</v>
      </c>
      <c r="H230" s="5" t="n">
        <v>1.143</v>
      </c>
      <c r="I230" s="5" t="n">
        <v>0</v>
      </c>
      <c r="J230" s="5" t="n">
        <v>5.897</v>
      </c>
      <c r="K230" s="5" t="n">
        <v>0</v>
      </c>
      <c r="L230" s="5" t="n">
        <v>1</v>
      </c>
      <c r="M230" s="5" t="n">
        <v>7.964</v>
      </c>
      <c r="N230" s="5" t="n">
        <v>3.43</v>
      </c>
      <c r="O230" s="5" t="n">
        <v>0</v>
      </c>
      <c r="P230" s="5" t="n">
        <v>7.964</v>
      </c>
      <c r="Q230" s="5" t="n">
        <v>0</v>
      </c>
      <c r="R230" s="5" t="n">
        <v>1</v>
      </c>
      <c r="S230" s="5" t="n">
        <v>11.613</v>
      </c>
      <c r="T230" s="5" t="n">
        <v>6.86</v>
      </c>
      <c r="U230" s="5" t="n">
        <v>0</v>
      </c>
      <c r="V230" s="5" t="n">
        <v>13.355</v>
      </c>
      <c r="W230" s="5" t="n">
        <v>0.15</v>
      </c>
      <c r="X230" s="5" t="n">
        <v>1</v>
      </c>
      <c r="Y230" s="5" t="n">
        <v>5.919</v>
      </c>
      <c r="Z230" s="5" t="n">
        <v>0.796</v>
      </c>
      <c r="AA230" s="5" t="n">
        <v>0</v>
      </c>
      <c r="AB230" s="5" t="n">
        <v>5.919</v>
      </c>
      <c r="AC230" s="5" t="n">
        <v>0</v>
      </c>
      <c r="AD230" s="5" t="n">
        <v>1</v>
      </c>
      <c r="AE230" s="5" t="n">
        <v>7.062</v>
      </c>
      <c r="AF230" s="5" t="n">
        <v>1.654</v>
      </c>
      <c r="AG230" s="5" t="n">
        <v>0</v>
      </c>
      <c r="AH230" s="5" t="n">
        <v>7.062</v>
      </c>
      <c r="AI230" s="5" t="n">
        <v>0</v>
      </c>
      <c r="AJ230" s="5" t="n">
        <v>1</v>
      </c>
      <c r="AK230" s="5" t="n">
        <v>13.922</v>
      </c>
      <c r="AL230" s="5" t="n">
        <v>7.481</v>
      </c>
      <c r="AM230" s="5" t="n">
        <v>0</v>
      </c>
      <c r="AN230" s="5" t="n">
        <v>16.011</v>
      </c>
      <c r="AO230" s="5" t="n">
        <v>0.15</v>
      </c>
      <c r="AP230" s="5" t="n">
        <v>1</v>
      </c>
      <c r="AQ230" s="5" t="n">
        <v>0.649</v>
      </c>
      <c r="AR230" s="5" t="n">
        <v>0.114</v>
      </c>
      <c r="AS230" s="5" t="n">
        <v>0.342</v>
      </c>
      <c r="AT230" s="5" t="n">
        <v>1.14</v>
      </c>
      <c r="AU230" s="5" t="n">
        <v>0.15</v>
      </c>
      <c r="AV230" s="5" t="n">
        <v>1</v>
      </c>
      <c r="AW230" s="5" t="n">
        <v>0.577</v>
      </c>
      <c r="AX230" s="5" t="n">
        <v>0.114</v>
      </c>
      <c r="AY230" s="5" t="n">
        <v>0.267</v>
      </c>
      <c r="AZ230" s="5" t="n">
        <v>0.97</v>
      </c>
      <c r="BA230" s="5" t="n">
        <v>0.15</v>
      </c>
      <c r="BB230" s="5" t="n">
        <v>1</v>
      </c>
      <c r="BC230" s="5" t="n">
        <v>0.458</v>
      </c>
      <c r="BD230" s="5" t="n">
        <v>0.114</v>
      </c>
      <c r="BE230" s="5" t="n">
        <v>0.177</v>
      </c>
      <c r="BF230" s="5" t="n">
        <v>0.73</v>
      </c>
      <c r="BG230" s="5" t="n">
        <v>0.15</v>
      </c>
      <c r="BH230" s="5" t="n">
        <v>1</v>
      </c>
      <c r="BI230" s="5" t="n">
        <v>0.491</v>
      </c>
      <c r="BJ230" s="5" t="n">
        <v>0.114</v>
      </c>
      <c r="BK230" s="5" t="n">
        <v>0</v>
      </c>
      <c r="BL230" s="5" t="n">
        <v>0.5649999999999999</v>
      </c>
      <c r="BM230" s="5" t="n">
        <v>0.15</v>
      </c>
      <c r="BN230" s="5" t="n">
        <v>1</v>
      </c>
      <c r="BO230" s="5" t="n">
        <v>0</v>
      </c>
      <c r="BP230" s="5" t="n">
        <v>0</v>
      </c>
      <c r="BQ230" s="5" t="n">
        <v>0.23</v>
      </c>
      <c r="BR230" s="5" t="n">
        <v>0</v>
      </c>
      <c r="BS230" s="5" t="n">
        <v>1</v>
      </c>
      <c r="BT230" s="5" t="n">
        <v>0</v>
      </c>
      <c r="BU230" s="5" t="n">
        <v>0</v>
      </c>
      <c r="BV230" s="5" t="n">
        <v>0.22</v>
      </c>
      <c r="BW230" s="5" t="n">
        <v>0</v>
      </c>
      <c r="BX230" s="5" t="n">
        <v>1</v>
      </c>
      <c r="BY230" s="5" t="n">
        <v>11.787</v>
      </c>
      <c r="BZ230" s="5" t="n">
        <v>0</v>
      </c>
      <c r="CA230" s="5" t="n">
        <v>11.787</v>
      </c>
      <c r="CB230" s="5" t="n">
        <v>0</v>
      </c>
      <c r="CC230" s="5" t="n">
        <v>78.125</v>
      </c>
      <c r="CD230" s="5" t="n">
        <v>7.95</v>
      </c>
      <c r="CE230" s="5" t="n">
        <v>0</v>
      </c>
      <c r="CF230" s="5" t="n">
        <v>89.84399999999999</v>
      </c>
      <c r="CG230" s="5" t="n">
        <v>0.15</v>
      </c>
      <c r="CH230" s="5" t="n">
        <v>1</v>
      </c>
      <c r="CI230" s="5" t="n">
        <v>0</v>
      </c>
      <c r="CJ230" s="5" t="n">
        <v>0</v>
      </c>
      <c r="CK230" s="5" t="n">
        <v>0</v>
      </c>
      <c r="CL230" s="5" t="n">
        <v>0</v>
      </c>
      <c r="CM230" s="5" t="n">
        <v>0</v>
      </c>
      <c r="CN230" s="5" t="n">
        <v>0</v>
      </c>
      <c r="CO230" s="5" t="n">
        <v>0</v>
      </c>
      <c r="CP230" s="5" t="n">
        <v>0</v>
      </c>
      <c r="CQ230" s="5" t="n">
        <v>1.198</v>
      </c>
      <c r="CR230" s="5" t="n">
        <v>0</v>
      </c>
      <c r="CS230" s="5" t="n">
        <v>4.776</v>
      </c>
      <c r="CT230" s="5" t="n">
        <v>4.753</v>
      </c>
      <c r="CU230" s="5" t="n">
        <v>15.983</v>
      </c>
    </row>
    <row r="231">
      <c r="A231" s="5" t="inlineStr">
        <is>
          <t>DMA2022</t>
        </is>
      </c>
      <c r="B231" s="5" t="inlineStr">
        <is>
          <t>DMA</t>
        </is>
      </c>
      <c r="C231" s="5" t="inlineStr">
        <is>
          <t>DMA</t>
        </is>
      </c>
      <c r="D231" s="5" t="inlineStr">
        <is>
          <t>Dominica</t>
        </is>
      </c>
      <c r="E231" s="5" t="n">
        <v>2022</v>
      </c>
      <c r="F231" s="5" t="n">
        <v>0.15</v>
      </c>
      <c r="G231" s="5" t="n">
        <v>11.72</v>
      </c>
      <c r="H231" s="5" t="n">
        <v>1.235</v>
      </c>
      <c r="I231" s="5" t="n">
        <v>0</v>
      </c>
      <c r="J231" s="5" t="n">
        <v>11.72</v>
      </c>
      <c r="K231" s="5" t="n">
        <v>0</v>
      </c>
      <c r="L231" s="5" t="n">
        <v>1</v>
      </c>
      <c r="M231" s="5" t="n">
        <v>9.782999999999999</v>
      </c>
      <c r="N231" s="5" t="n">
        <v>3.704</v>
      </c>
      <c r="O231" s="5" t="n">
        <v>0</v>
      </c>
      <c r="P231" s="5" t="n">
        <v>9.782999999999999</v>
      </c>
      <c r="Q231" s="5" t="n">
        <v>0</v>
      </c>
      <c r="R231" s="5" t="n">
        <v>1</v>
      </c>
      <c r="S231" s="5" t="n">
        <v>17.893</v>
      </c>
      <c r="T231" s="5" t="n">
        <v>7.408</v>
      </c>
      <c r="U231" s="5" t="n">
        <v>0.199</v>
      </c>
      <c r="V231" s="5" t="n">
        <v>20.577</v>
      </c>
      <c r="W231" s="5" t="n">
        <v>0.15</v>
      </c>
      <c r="X231" s="5" t="n">
        <v>1</v>
      </c>
      <c r="Y231" s="5" t="n">
        <v>6.392</v>
      </c>
      <c r="Z231" s="5" t="n">
        <v>0.86</v>
      </c>
      <c r="AA231" s="5" t="n">
        <v>0</v>
      </c>
      <c r="AB231" s="5" t="n">
        <v>6.392</v>
      </c>
      <c r="AC231" s="5" t="n">
        <v>0</v>
      </c>
      <c r="AD231" s="5" t="n">
        <v>1</v>
      </c>
      <c r="AE231" s="5" t="n">
        <v>7.627</v>
      </c>
      <c r="AF231" s="5" t="n">
        <v>1.786</v>
      </c>
      <c r="AG231" s="5" t="n">
        <v>0</v>
      </c>
      <c r="AH231" s="5" t="n">
        <v>7.627</v>
      </c>
      <c r="AI231" s="5" t="n">
        <v>0</v>
      </c>
      <c r="AJ231" s="5" t="n">
        <v>1</v>
      </c>
      <c r="AK231" s="5" t="n">
        <v>15.035</v>
      </c>
      <c r="AL231" s="5" t="n">
        <v>8.079000000000001</v>
      </c>
      <c r="AM231" s="5" t="n">
        <v>0.167</v>
      </c>
      <c r="AN231" s="5" t="n">
        <v>17.29</v>
      </c>
      <c r="AO231" s="5" t="n">
        <v>0.15</v>
      </c>
      <c r="AP231" s="5" t="n">
        <v>1</v>
      </c>
      <c r="AQ231" s="5" t="n">
        <v>0.896</v>
      </c>
      <c r="AR231" s="5" t="n">
        <v>0.123</v>
      </c>
      <c r="AS231" s="5" t="n">
        <v>0.382</v>
      </c>
      <c r="AT231" s="5" t="n">
        <v>1.47</v>
      </c>
      <c r="AU231" s="5" t="n">
        <v>0.15</v>
      </c>
      <c r="AV231" s="5" t="n">
        <v>1</v>
      </c>
      <c r="AW231" s="5" t="n">
        <v>0.89</v>
      </c>
      <c r="AX231" s="5" t="n">
        <v>0.123</v>
      </c>
      <c r="AY231" s="5" t="n">
        <v>0.353</v>
      </c>
      <c r="AZ231" s="5" t="n">
        <v>1.43</v>
      </c>
      <c r="BA231" s="5" t="n">
        <v>0.15</v>
      </c>
      <c r="BB231" s="5" t="n">
        <v>1</v>
      </c>
      <c r="BC231" s="5" t="n">
        <v>0.62</v>
      </c>
      <c r="BD231" s="5" t="n">
        <v>0.123</v>
      </c>
      <c r="BE231" s="5" t="n">
        <v>0.014</v>
      </c>
      <c r="BF231" s="5" t="n">
        <v>0.73</v>
      </c>
      <c r="BG231" s="5" t="n">
        <v>0.15</v>
      </c>
      <c r="BH231" s="5" t="n">
        <v>1</v>
      </c>
      <c r="BI231" s="5" t="n">
        <v>0.608</v>
      </c>
      <c r="BJ231" s="5" t="n">
        <v>0.123</v>
      </c>
      <c r="BK231" s="5" t="n">
        <v>0.007</v>
      </c>
      <c r="BL231" s="5" t="n">
        <v>0.699</v>
      </c>
      <c r="BM231" s="5" t="n">
        <v>0.15</v>
      </c>
      <c r="BN231" s="5" t="n">
        <v>1</v>
      </c>
      <c r="BO231" s="5" t="n">
        <v>0</v>
      </c>
      <c r="BP231" s="5" t="n">
        <v>0</v>
      </c>
      <c r="BQ231" s="5" t="n">
        <v>0.249</v>
      </c>
      <c r="BR231" s="5" t="n">
        <v>0</v>
      </c>
      <c r="BS231" s="5" t="n">
        <v>1</v>
      </c>
      <c r="BT231" s="5" t="n">
        <v>0</v>
      </c>
      <c r="BU231" s="5" t="n">
        <v>0</v>
      </c>
      <c r="BV231" s="5" t="n">
        <v>0.237</v>
      </c>
      <c r="BW231" s="5" t="n">
        <v>0</v>
      </c>
      <c r="BX231" s="5" t="n">
        <v>1</v>
      </c>
      <c r="BY231" s="5" t="n">
        <v>12.729</v>
      </c>
      <c r="BZ231" s="5" t="n">
        <v>0</v>
      </c>
      <c r="CA231" s="5" t="n">
        <v>12.729</v>
      </c>
      <c r="CB231" s="5" t="n">
        <v>0</v>
      </c>
      <c r="CC231" s="5" t="n">
        <v>97.90000000000001</v>
      </c>
      <c r="CD231" s="5" t="n">
        <v>7.95</v>
      </c>
      <c r="CE231" s="5" t="n">
        <v>1.087</v>
      </c>
      <c r="CF231" s="5" t="n">
        <v>112.585</v>
      </c>
      <c r="CG231" s="5" t="n">
        <v>0.15</v>
      </c>
      <c r="CH231" s="5" t="n">
        <v>1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0</v>
      </c>
      <c r="CN231" s="5" t="n">
        <v>0</v>
      </c>
      <c r="CO231" s="5" t="n">
        <v>0</v>
      </c>
      <c r="CP231" s="5" t="n">
        <v>0</v>
      </c>
      <c r="CQ231" s="5" t="n">
        <v>1.294</v>
      </c>
      <c r="CR231" s="5" t="n">
        <v>0</v>
      </c>
      <c r="CS231" s="5" t="n">
        <v>5.158</v>
      </c>
      <c r="CT231" s="5" t="n">
        <v>10.485</v>
      </c>
      <c r="CU231" s="5" t="n">
        <v>29.494</v>
      </c>
    </row>
    <row r="232">
      <c r="A232" s="5" t="inlineStr">
        <is>
          <t>DMA2023</t>
        </is>
      </c>
      <c r="B232" s="5" t="inlineStr">
        <is>
          <t>DMA</t>
        </is>
      </c>
      <c r="C232" s="5" t="inlineStr">
        <is>
          <t>DMA</t>
        </is>
      </c>
      <c r="D232" s="5" t="inlineStr">
        <is>
          <t>Dominica</t>
        </is>
      </c>
      <c r="E232" s="5" t="n">
        <v>2023</v>
      </c>
      <c r="F232" s="5" t="n">
        <v>0.15</v>
      </c>
      <c r="G232" s="5" t="n">
        <v>6.147</v>
      </c>
      <c r="H232" s="5" t="n">
        <v>1.286</v>
      </c>
      <c r="I232" s="5" t="n">
        <v>0</v>
      </c>
      <c r="J232" s="5" t="n">
        <v>6.147</v>
      </c>
      <c r="K232" s="5" t="n">
        <v>0</v>
      </c>
      <c r="L232" s="5" t="n">
        <v>1</v>
      </c>
      <c r="M232" s="5" t="n">
        <v>7.886</v>
      </c>
      <c r="N232" s="5" t="n">
        <v>3.857</v>
      </c>
      <c r="O232" s="5" t="n">
        <v>0</v>
      </c>
      <c r="P232" s="5" t="n">
        <v>7.886</v>
      </c>
      <c r="Q232" s="5" t="n">
        <v>0</v>
      </c>
      <c r="R232" s="5" t="n">
        <v>1</v>
      </c>
      <c r="S232" s="5" t="n">
        <v>12.575</v>
      </c>
      <c r="T232" s="5" t="n">
        <v>7.714</v>
      </c>
      <c r="U232" s="5" t="n">
        <v>0.209</v>
      </c>
      <c r="V232" s="5" t="n">
        <v>14.461</v>
      </c>
      <c r="W232" s="5" t="n">
        <v>0.15</v>
      </c>
      <c r="X232" s="5" t="n">
        <v>1</v>
      </c>
      <c r="Y232" s="5" t="n">
        <v>6.656</v>
      </c>
      <c r="Z232" s="5" t="n">
        <v>0.895</v>
      </c>
      <c r="AA232" s="5" t="n">
        <v>0</v>
      </c>
      <c r="AB232" s="5" t="n">
        <v>6.656</v>
      </c>
      <c r="AC232" s="5" t="n">
        <v>0</v>
      </c>
      <c r="AD232" s="5" t="n">
        <v>1</v>
      </c>
      <c r="AE232" s="5" t="n">
        <v>7.942</v>
      </c>
      <c r="AF232" s="5" t="n">
        <v>1.86</v>
      </c>
      <c r="AG232" s="5" t="n">
        <v>0</v>
      </c>
      <c r="AH232" s="5" t="n">
        <v>7.942</v>
      </c>
      <c r="AI232" s="5" t="n">
        <v>0</v>
      </c>
      <c r="AJ232" s="5" t="n">
        <v>1</v>
      </c>
      <c r="AK232" s="5" t="n">
        <v>15.656</v>
      </c>
      <c r="AL232" s="5" t="n">
        <v>8.412000000000001</v>
      </c>
      <c r="AM232" s="5" t="n">
        <v>0.26</v>
      </c>
      <c r="AN232" s="5" t="n">
        <v>18.004</v>
      </c>
      <c r="AO232" s="5" t="n">
        <v>0.15</v>
      </c>
      <c r="AP232" s="5" t="n">
        <v>1</v>
      </c>
      <c r="AQ232" s="5" t="n">
        <v>0.791</v>
      </c>
      <c r="AR232" s="5" t="n">
        <v>0.129</v>
      </c>
      <c r="AS232" s="5" t="n">
        <v>0.47</v>
      </c>
      <c r="AT232" s="5" t="n">
        <v>1.45</v>
      </c>
      <c r="AU232" s="5" t="n">
        <v>0.15</v>
      </c>
      <c r="AV232" s="5" t="n">
        <v>1</v>
      </c>
      <c r="AW232" s="5" t="n">
        <v>0.618</v>
      </c>
      <c r="AX232" s="5" t="n">
        <v>0.129</v>
      </c>
      <c r="AY232" s="5" t="n">
        <v>0.512</v>
      </c>
      <c r="AZ232" s="5" t="n">
        <v>1.3</v>
      </c>
      <c r="BA232" s="5" t="n">
        <v>0.15</v>
      </c>
      <c r="BB232" s="5" t="n">
        <v>1</v>
      </c>
      <c r="BC232" s="5" t="n">
        <v>0.554</v>
      </c>
      <c r="BD232" s="5" t="n">
        <v>0.129</v>
      </c>
      <c r="BE232" s="5" t="n">
        <v>0.08</v>
      </c>
      <c r="BF232" s="5" t="n">
        <v>0.73</v>
      </c>
      <c r="BG232" s="5" t="n">
        <v>0.15</v>
      </c>
      <c r="BH232" s="5" t="n">
        <v>1</v>
      </c>
      <c r="BI232" s="5" t="n">
        <v>0.5570000000000001</v>
      </c>
      <c r="BJ232" s="5" t="n">
        <v>0.129</v>
      </c>
      <c r="BK232" s="5" t="n">
        <v>0.008999999999999999</v>
      </c>
      <c r="BL232" s="5" t="n">
        <v>0.641</v>
      </c>
      <c r="BM232" s="5" t="n">
        <v>0.15</v>
      </c>
      <c r="BN232" s="5" t="n">
        <v>1</v>
      </c>
      <c r="BO232" s="5" t="n">
        <v>0</v>
      </c>
      <c r="BP232" s="5" t="n">
        <v>0</v>
      </c>
      <c r="BQ232" s="5" t="n">
        <v>0.259</v>
      </c>
      <c r="BR232" s="5" t="n">
        <v>0</v>
      </c>
      <c r="BS232" s="5" t="n">
        <v>1</v>
      </c>
      <c r="BT232" s="5" t="n">
        <v>0</v>
      </c>
      <c r="BU232" s="5" t="n">
        <v>0</v>
      </c>
      <c r="BV232" s="5" t="n">
        <v>0.247</v>
      </c>
      <c r="BW232" s="5" t="n">
        <v>0</v>
      </c>
      <c r="BX232" s="5" t="n">
        <v>1</v>
      </c>
      <c r="BY232" s="5" t="n">
        <v>13.254</v>
      </c>
      <c r="BZ232" s="5" t="n">
        <v>0</v>
      </c>
      <c r="CA232" s="5" t="n">
        <v>13.254</v>
      </c>
      <c r="CB232" s="5" t="n">
        <v>0</v>
      </c>
      <c r="CC232" s="5" t="n">
        <v>83.248</v>
      </c>
      <c r="CD232" s="5" t="n">
        <v>7.95</v>
      </c>
      <c r="CE232" s="5" t="n">
        <v>1.383</v>
      </c>
      <c r="CF232" s="5" t="n">
        <v>95.735</v>
      </c>
      <c r="CG232" s="5" t="n">
        <v>0.15</v>
      </c>
      <c r="CH232" s="5" t="n">
        <v>1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1.348</v>
      </c>
      <c r="CR232" s="5" t="n">
        <v>0</v>
      </c>
      <c r="CS232" s="5" t="n">
        <v>5.37</v>
      </c>
      <c r="CT232" s="5" t="n">
        <v>4.861</v>
      </c>
      <c r="CU232" s="5" t="n">
        <v>11.192</v>
      </c>
    </row>
    <row r="233">
      <c r="A233" s="5" t="inlineStr">
        <is>
          <t>DMA2024</t>
        </is>
      </c>
      <c r="B233" s="5" t="inlineStr">
        <is>
          <t>DMA</t>
        </is>
      </c>
      <c r="C233" s="5" t="inlineStr">
        <is>
          <t>DMA</t>
        </is>
      </c>
      <c r="D233" s="5" t="inlineStr">
        <is>
          <t>Dominica</t>
        </is>
      </c>
      <c r="E233" s="5" t="n">
        <v>2024</v>
      </c>
      <c r="F233" s="5" t="n">
        <v>0.15</v>
      </c>
      <c r="G233" s="5" t="n">
        <v>5.575</v>
      </c>
      <c r="H233" s="5" t="n">
        <v>1.324</v>
      </c>
      <c r="I233" s="5" t="n">
        <v>0</v>
      </c>
      <c r="J233" s="5" t="n">
        <v>5.575</v>
      </c>
      <c r="K233" s="5" t="n">
        <v>0</v>
      </c>
      <c r="L233" s="5" t="n">
        <v>1</v>
      </c>
      <c r="M233" s="5" t="n">
        <v>7.124</v>
      </c>
      <c r="N233" s="5" t="n">
        <v>3.971</v>
      </c>
      <c r="O233" s="5" t="n">
        <v>0</v>
      </c>
      <c r="P233" s="5" t="n">
        <v>7.124</v>
      </c>
      <c r="Q233" s="5" t="n">
        <v>0</v>
      </c>
      <c r="R233" s="5" t="n">
        <v>1</v>
      </c>
      <c r="S233" s="5" t="n">
        <v>12.193</v>
      </c>
      <c r="T233" s="5" t="n">
        <v>7.942</v>
      </c>
      <c r="U233" s="5" t="n">
        <v>0.249</v>
      </c>
      <c r="V233" s="5" t="n">
        <v>14.022</v>
      </c>
      <c r="W233" s="5" t="n">
        <v>0.15</v>
      </c>
      <c r="X233" s="5" t="n">
        <v>1</v>
      </c>
      <c r="Y233" s="5" t="n">
        <v>6.853</v>
      </c>
      <c r="Z233" s="5" t="n">
        <v>0.922</v>
      </c>
      <c r="AA233" s="5" t="n">
        <v>0</v>
      </c>
      <c r="AB233" s="5" t="n">
        <v>6.853</v>
      </c>
      <c r="AC233" s="5" t="n">
        <v>0</v>
      </c>
      <c r="AD233" s="5" t="n">
        <v>1</v>
      </c>
      <c r="AE233" s="5" t="n">
        <v>8.176</v>
      </c>
      <c r="AF233" s="5" t="n">
        <v>1.915</v>
      </c>
      <c r="AG233" s="5" t="n">
        <v>0</v>
      </c>
      <c r="AH233" s="5" t="n">
        <v>8.176</v>
      </c>
      <c r="AI233" s="5" t="n">
        <v>0</v>
      </c>
      <c r="AJ233" s="5" t="n">
        <v>1</v>
      </c>
      <c r="AK233" s="5" t="n">
        <v>16.118</v>
      </c>
      <c r="AL233" s="5" t="n">
        <v>8.66</v>
      </c>
      <c r="AM233" s="5" t="n">
        <v>0.329</v>
      </c>
      <c r="AN233" s="5" t="n">
        <v>18.535</v>
      </c>
      <c r="AO233" s="5" t="n">
        <v>0.15</v>
      </c>
      <c r="AP233" s="5" t="n">
        <v>1</v>
      </c>
      <c r="AQ233" s="5" t="n">
        <v>0.756</v>
      </c>
      <c r="AR233" s="5" t="n">
        <v>0.132</v>
      </c>
      <c r="AS233" s="5" t="n">
        <v>0.461</v>
      </c>
      <c r="AT233" s="5" t="n">
        <v>1.4</v>
      </c>
      <c r="AU233" s="5" t="n">
        <v>0.15</v>
      </c>
      <c r="AV233" s="5" t="n">
        <v>1</v>
      </c>
      <c r="AW233" s="5" t="n">
        <v>0.655</v>
      </c>
      <c r="AX233" s="5" t="n">
        <v>0.132</v>
      </c>
      <c r="AY233" s="5" t="n">
        <v>0.449</v>
      </c>
      <c r="AZ233" s="5" t="n">
        <v>1.27</v>
      </c>
      <c r="BA233" s="5" t="n">
        <v>0.15</v>
      </c>
      <c r="BB233" s="5" t="n">
        <v>1</v>
      </c>
      <c r="BC233" s="5" t="n">
        <v>0.534</v>
      </c>
      <c r="BD233" s="5" t="n">
        <v>0.132</v>
      </c>
      <c r="BE233" s="5" t="n">
        <v>0.101</v>
      </c>
      <c r="BF233" s="5" t="n">
        <v>0.73</v>
      </c>
      <c r="BG233" s="5" t="n">
        <v>0.15</v>
      </c>
      <c r="BH233" s="5" t="n">
        <v>1</v>
      </c>
      <c r="BI233" s="5" t="n">
        <v>0.5679999999999999</v>
      </c>
      <c r="BJ233" s="5" t="n">
        <v>0.132</v>
      </c>
      <c r="BK233" s="5" t="n">
        <v>0.012</v>
      </c>
      <c r="BL233" s="5" t="n">
        <v>0.653</v>
      </c>
      <c r="BM233" s="5" t="n">
        <v>0.15</v>
      </c>
      <c r="BN233" s="5" t="n">
        <v>1</v>
      </c>
      <c r="BO233" s="5" t="n">
        <v>0</v>
      </c>
      <c r="BP233" s="5" t="n">
        <v>0</v>
      </c>
      <c r="BQ233" s="5" t="n">
        <v>0.267</v>
      </c>
      <c r="BR233" s="5" t="n">
        <v>0</v>
      </c>
      <c r="BS233" s="5" t="n">
        <v>1</v>
      </c>
      <c r="BT233" s="5" t="n">
        <v>0</v>
      </c>
      <c r="BU233" s="5" t="n">
        <v>0</v>
      </c>
      <c r="BV233" s="5" t="n">
        <v>0.254</v>
      </c>
      <c r="BW233" s="5" t="n">
        <v>0</v>
      </c>
      <c r="BX233" s="5" t="n">
        <v>1</v>
      </c>
      <c r="BY233" s="5" t="n">
        <v>13.646</v>
      </c>
      <c r="BZ233" s="5" t="n">
        <v>0</v>
      </c>
      <c r="CA233" s="5" t="n">
        <v>13.646</v>
      </c>
      <c r="CB233" s="5" t="n">
        <v>0</v>
      </c>
      <c r="CC233" s="5" t="n">
        <v>82.58799999999999</v>
      </c>
      <c r="CD233" s="5" t="n">
        <v>7.95</v>
      </c>
      <c r="CE233" s="5" t="n">
        <v>1.687</v>
      </c>
      <c r="CF233" s="5" t="n">
        <v>94.976</v>
      </c>
      <c r="CG233" s="5" t="n">
        <v>0.15</v>
      </c>
      <c r="CH233" s="5" t="n">
        <v>1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1.387</v>
      </c>
      <c r="CR233" s="5" t="n">
        <v>0</v>
      </c>
      <c r="CS233" s="5" t="n">
        <v>5.529</v>
      </c>
      <c r="CT233" s="5" t="n">
        <v>4.251</v>
      </c>
      <c r="CU233" s="5" t="n">
        <v>10.123</v>
      </c>
    </row>
    <row r="234">
      <c r="A234" s="5" t="inlineStr">
        <is>
          <t>DOM2021</t>
        </is>
      </c>
      <c r="B234" s="5" t="inlineStr">
        <is>
          <t>DOM</t>
        </is>
      </c>
      <c r="C234" s="5" t="inlineStr">
        <is>
          <t>DOM</t>
        </is>
      </c>
      <c r="D234" s="5" t="inlineStr">
        <is>
          <t>Dominican Republic</t>
        </is>
      </c>
      <c r="E234" s="5" t="n">
        <v>2021</v>
      </c>
      <c r="F234" s="5" t="n">
        <v>0.18</v>
      </c>
      <c r="G234" s="5" t="n">
        <v>5.897</v>
      </c>
      <c r="H234" s="5" t="n">
        <v>1.143</v>
      </c>
      <c r="I234" s="5" t="n">
        <v>0</v>
      </c>
      <c r="J234" s="5" t="n">
        <v>5.897</v>
      </c>
      <c r="K234" s="5" t="n">
        <v>0</v>
      </c>
      <c r="L234" s="5" t="n">
        <v>1</v>
      </c>
      <c r="M234" s="5" t="n">
        <v>7.964</v>
      </c>
      <c r="N234" s="5" t="n">
        <v>3.43</v>
      </c>
      <c r="O234" s="5" t="n">
        <v>0</v>
      </c>
      <c r="P234" s="5" t="n">
        <v>7.964</v>
      </c>
      <c r="Q234" s="5" t="n">
        <v>0</v>
      </c>
      <c r="R234" s="5" t="n">
        <v>1</v>
      </c>
      <c r="S234" s="5" t="n">
        <v>11.613</v>
      </c>
      <c r="T234" s="5" t="n">
        <v>6.86</v>
      </c>
      <c r="U234" s="5" t="n">
        <v>0</v>
      </c>
      <c r="V234" s="5" t="n">
        <v>13.704</v>
      </c>
      <c r="W234" s="5" t="n">
        <v>0.18</v>
      </c>
      <c r="X234" s="5" t="n">
        <v>1</v>
      </c>
      <c r="Y234" s="5" t="n">
        <v>17.127</v>
      </c>
      <c r="Z234" s="5" t="n">
        <v>2.303</v>
      </c>
      <c r="AA234" s="5" t="n">
        <v>10.604</v>
      </c>
      <c r="AB234" s="5" t="n">
        <v>27.73</v>
      </c>
      <c r="AC234" s="5" t="n">
        <v>0</v>
      </c>
      <c r="AD234" s="5" t="n">
        <v>1</v>
      </c>
      <c r="AE234" s="5" t="n">
        <v>18.27</v>
      </c>
      <c r="AF234" s="5" t="n">
        <v>4.278</v>
      </c>
      <c r="AG234" s="5" t="n">
        <v>9.460000000000001</v>
      </c>
      <c r="AH234" s="5" t="n">
        <v>27.73</v>
      </c>
      <c r="AI234" s="5" t="n">
        <v>0</v>
      </c>
      <c r="AJ234" s="5" t="n">
        <v>1</v>
      </c>
      <c r="AK234" s="5" t="n">
        <v>25.13</v>
      </c>
      <c r="AL234" s="5" t="n">
        <v>13.502</v>
      </c>
      <c r="AM234" s="5" t="n">
        <v>-1.63</v>
      </c>
      <c r="AN234" s="5" t="n">
        <v>27.73</v>
      </c>
      <c r="AO234" s="5" t="n">
        <v>0.18</v>
      </c>
      <c r="AP234" s="5" t="n">
        <v>1</v>
      </c>
      <c r="AQ234" s="5" t="n">
        <v>0.649</v>
      </c>
      <c r="AR234" s="5" t="n">
        <v>0.114</v>
      </c>
      <c r="AS234" s="5" t="n">
        <v>0.296</v>
      </c>
      <c r="AT234" s="5" t="n">
        <v>1.096</v>
      </c>
      <c r="AU234" s="5" t="n">
        <v>0.16</v>
      </c>
      <c r="AV234" s="5" t="n">
        <v>1</v>
      </c>
      <c r="AW234" s="5" t="n">
        <v>0.577</v>
      </c>
      <c r="AX234" s="5" t="n">
        <v>0.114</v>
      </c>
      <c r="AY234" s="5" t="n">
        <v>0.236</v>
      </c>
      <c r="AZ234" s="5" t="n">
        <v>0.9429999999999999</v>
      </c>
      <c r="BA234" s="5" t="n">
        <v>0.16</v>
      </c>
      <c r="BB234" s="5" t="n">
        <v>1</v>
      </c>
      <c r="BC234" s="5" t="n">
        <v>0.458</v>
      </c>
      <c r="BD234" s="5" t="n">
        <v>0.114</v>
      </c>
      <c r="BE234" s="5" t="n">
        <v>0.059</v>
      </c>
      <c r="BF234" s="5" t="n">
        <v>0.599</v>
      </c>
      <c r="BG234" s="5" t="n">
        <v>0.16</v>
      </c>
      <c r="BH234" s="5" t="n">
        <v>1</v>
      </c>
      <c r="BI234" s="5" t="n">
        <v>0.491</v>
      </c>
      <c r="BJ234" s="5" t="n">
        <v>0.114</v>
      </c>
      <c r="BK234" s="5" t="n">
        <v>0.233</v>
      </c>
      <c r="BL234" s="5" t="n">
        <v>0.84</v>
      </c>
      <c r="BM234" s="5" t="n">
        <v>0.16</v>
      </c>
      <c r="BN234" s="5" t="n">
        <v>1</v>
      </c>
      <c r="BO234" s="5" t="n">
        <v>0</v>
      </c>
      <c r="BP234" s="5" t="n">
        <v>0</v>
      </c>
      <c r="BQ234" s="5" t="n">
        <v>0.129</v>
      </c>
      <c r="BR234" s="5" t="n">
        <v>0</v>
      </c>
      <c r="BS234" s="5" t="n">
        <v>0.5</v>
      </c>
      <c r="BT234" s="5" t="n">
        <v>0</v>
      </c>
      <c r="BU234" s="5" t="n">
        <v>0</v>
      </c>
      <c r="BV234" s="5" t="n">
        <v>0.078</v>
      </c>
      <c r="BW234" s="5" t="n">
        <v>0</v>
      </c>
      <c r="BX234" s="5" t="n">
        <v>0.5</v>
      </c>
      <c r="BY234" s="5" t="n">
        <v>11.787</v>
      </c>
      <c r="BZ234" s="5" t="n">
        <v>0</v>
      </c>
      <c r="CA234" s="5" t="n">
        <v>11.787</v>
      </c>
      <c r="CB234" s="5" t="n">
        <v>0</v>
      </c>
      <c r="CC234" s="5" t="n">
        <v>78.125</v>
      </c>
      <c r="CD234" s="5" t="n">
        <v>7.95</v>
      </c>
      <c r="CE234" s="5" t="n">
        <v>0.187</v>
      </c>
      <c r="CF234" s="5" t="n">
        <v>90.842</v>
      </c>
      <c r="CG234" s="5" t="n">
        <v>0.16</v>
      </c>
      <c r="CH234" s="5" t="n">
        <v>1</v>
      </c>
      <c r="CI234" s="5" t="n">
        <v>0</v>
      </c>
      <c r="CJ234" s="5" t="n">
        <v>0</v>
      </c>
      <c r="CK234" s="5" t="n">
        <v>0</v>
      </c>
      <c r="CL234" s="5" t="n">
        <v>0</v>
      </c>
      <c r="CM234" s="5" t="n">
        <v>0</v>
      </c>
      <c r="CN234" s="5" t="n">
        <v>0</v>
      </c>
      <c r="CO234" s="5" t="n">
        <v>0</v>
      </c>
      <c r="CP234" s="5" t="n">
        <v>0</v>
      </c>
      <c r="CQ234" s="5" t="n">
        <v>1.198</v>
      </c>
      <c r="CR234" s="5" t="n">
        <v>0</v>
      </c>
      <c r="CS234" s="5" t="n">
        <v>4.776</v>
      </c>
      <c r="CT234" s="5" t="n">
        <v>4.753</v>
      </c>
      <c r="CU234" s="5" t="n">
        <v>15.983</v>
      </c>
    </row>
    <row r="235">
      <c r="A235" s="5" t="inlineStr">
        <is>
          <t>DOM2022</t>
        </is>
      </c>
      <c r="B235" s="5" t="inlineStr">
        <is>
          <t>DOM</t>
        </is>
      </c>
      <c r="C235" s="5" t="inlineStr">
        <is>
          <t>DOM</t>
        </is>
      </c>
      <c r="D235" s="5" t="inlineStr">
        <is>
          <t>Dominican Republic</t>
        </is>
      </c>
      <c r="E235" s="5" t="n">
        <v>2022</v>
      </c>
      <c r="F235" s="5" t="n">
        <v>0.18</v>
      </c>
      <c r="G235" s="5" t="n">
        <v>11.72</v>
      </c>
      <c r="H235" s="5" t="n">
        <v>1.235</v>
      </c>
      <c r="I235" s="5" t="n">
        <v>0</v>
      </c>
      <c r="J235" s="5" t="n">
        <v>11.72</v>
      </c>
      <c r="K235" s="5" t="n">
        <v>0</v>
      </c>
      <c r="L235" s="5" t="n">
        <v>1</v>
      </c>
      <c r="M235" s="5" t="n">
        <v>9.782999999999999</v>
      </c>
      <c r="N235" s="5" t="n">
        <v>3.704</v>
      </c>
      <c r="O235" s="5" t="n">
        <v>0</v>
      </c>
      <c r="P235" s="5" t="n">
        <v>9.782999999999999</v>
      </c>
      <c r="Q235" s="5" t="n">
        <v>0</v>
      </c>
      <c r="R235" s="5" t="n">
        <v>1</v>
      </c>
      <c r="S235" s="5" t="n">
        <v>17.893</v>
      </c>
      <c r="T235" s="5" t="n">
        <v>7.408</v>
      </c>
      <c r="U235" s="5" t="n">
        <v>0.238</v>
      </c>
      <c r="V235" s="5" t="n">
        <v>21.114</v>
      </c>
      <c r="W235" s="5" t="n">
        <v>0.18</v>
      </c>
      <c r="X235" s="5" t="n">
        <v>1</v>
      </c>
      <c r="Y235" s="5" t="n">
        <v>30.728</v>
      </c>
      <c r="Z235" s="5" t="n">
        <v>4.132</v>
      </c>
      <c r="AA235" s="5" t="n">
        <v>11.451</v>
      </c>
      <c r="AB235" s="5" t="n">
        <v>42.18</v>
      </c>
      <c r="AC235" s="5" t="n">
        <v>0</v>
      </c>
      <c r="AD235" s="5" t="n">
        <v>1</v>
      </c>
      <c r="AE235" s="5" t="n">
        <v>31.963</v>
      </c>
      <c r="AF235" s="5" t="n">
        <v>7.484</v>
      </c>
      <c r="AG235" s="5" t="n">
        <v>10.217</v>
      </c>
      <c r="AH235" s="5" t="n">
        <v>42.18</v>
      </c>
      <c r="AI235" s="5" t="n">
        <v>0</v>
      </c>
      <c r="AJ235" s="5" t="n">
        <v>1</v>
      </c>
      <c r="AK235" s="5" t="n">
        <v>39.371</v>
      </c>
      <c r="AL235" s="5" t="n">
        <v>21.154</v>
      </c>
      <c r="AM235" s="5" t="n">
        <v>-3.15</v>
      </c>
      <c r="AN235" s="5" t="n">
        <v>42.18</v>
      </c>
      <c r="AO235" s="5" t="n">
        <v>0.18</v>
      </c>
      <c r="AP235" s="5" t="n">
        <v>1</v>
      </c>
      <c r="AQ235" s="5" t="n">
        <v>0.896</v>
      </c>
      <c r="AR235" s="5" t="n">
        <v>0.123</v>
      </c>
      <c r="AS235" s="5" t="n">
        <v>0.233</v>
      </c>
      <c r="AT235" s="5" t="n">
        <v>1.31</v>
      </c>
      <c r="AU235" s="5" t="n">
        <v>0.16</v>
      </c>
      <c r="AV235" s="5" t="n">
        <v>1</v>
      </c>
      <c r="AW235" s="5" t="n">
        <v>0.89</v>
      </c>
      <c r="AX235" s="5" t="n">
        <v>0.123</v>
      </c>
      <c r="AY235" s="5" t="n">
        <v>0.1</v>
      </c>
      <c r="AZ235" s="5" t="n">
        <v>1.149</v>
      </c>
      <c r="BA235" s="5" t="n">
        <v>0.16</v>
      </c>
      <c r="BB235" s="5" t="n">
        <v>1</v>
      </c>
      <c r="BC235" s="5" t="n">
        <v>0.62</v>
      </c>
      <c r="BD235" s="5" t="n">
        <v>0.123</v>
      </c>
      <c r="BE235" s="5" t="n">
        <v>-0.012</v>
      </c>
      <c r="BF235" s="5" t="n">
        <v>0.705</v>
      </c>
      <c r="BG235" s="5" t="n">
        <v>0.16</v>
      </c>
      <c r="BH235" s="5" t="n">
        <v>1</v>
      </c>
      <c r="BI235" s="5" t="n">
        <v>0.608</v>
      </c>
      <c r="BJ235" s="5" t="n">
        <v>0.123</v>
      </c>
      <c r="BK235" s="5" t="n">
        <v>0.673</v>
      </c>
      <c r="BL235" s="5" t="n">
        <v>1.486</v>
      </c>
      <c r="BM235" s="5" t="n">
        <v>0.16</v>
      </c>
      <c r="BN235" s="5" t="n">
        <v>1</v>
      </c>
      <c r="BO235" s="5" t="n">
        <v>0</v>
      </c>
      <c r="BP235" s="5" t="n">
        <v>0</v>
      </c>
      <c r="BQ235" s="5" t="n">
        <v>0.134</v>
      </c>
      <c r="BR235" s="5" t="n">
        <v>0</v>
      </c>
      <c r="BS235" s="5" t="n">
        <v>0.5</v>
      </c>
      <c r="BT235" s="5" t="n">
        <v>0</v>
      </c>
      <c r="BU235" s="5" t="n">
        <v>0</v>
      </c>
      <c r="BV235" s="5" t="n">
        <v>0.081</v>
      </c>
      <c r="BW235" s="5" t="n">
        <v>0</v>
      </c>
      <c r="BX235" s="5" t="n">
        <v>0.5</v>
      </c>
      <c r="BY235" s="5" t="n">
        <v>12.729</v>
      </c>
      <c r="BZ235" s="5" t="n">
        <v>0</v>
      </c>
      <c r="CA235" s="5" t="n">
        <v>12.729</v>
      </c>
      <c r="CB235" s="5" t="n">
        <v>0</v>
      </c>
      <c r="CC235" s="5" t="n">
        <v>97.90000000000001</v>
      </c>
      <c r="CD235" s="5" t="n">
        <v>7.95</v>
      </c>
      <c r="CE235" s="5" t="n">
        <v>14.809</v>
      </c>
      <c r="CF235" s="5" t="n">
        <v>130.742</v>
      </c>
      <c r="CG235" s="5" t="n">
        <v>0.16</v>
      </c>
      <c r="CH235" s="5" t="n">
        <v>1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0</v>
      </c>
      <c r="CN235" s="5" t="n">
        <v>0</v>
      </c>
      <c r="CO235" s="5" t="n">
        <v>0</v>
      </c>
      <c r="CP235" s="5" t="n">
        <v>0</v>
      </c>
      <c r="CQ235" s="5" t="n">
        <v>1.294</v>
      </c>
      <c r="CR235" s="5" t="n">
        <v>0</v>
      </c>
      <c r="CS235" s="5" t="n">
        <v>5.158</v>
      </c>
      <c r="CT235" s="5" t="n">
        <v>10.485</v>
      </c>
      <c r="CU235" s="5" t="n">
        <v>29.494</v>
      </c>
    </row>
    <row r="236">
      <c r="A236" s="5" t="inlineStr">
        <is>
          <t>DOM2023</t>
        </is>
      </c>
      <c r="B236" s="5" t="inlineStr">
        <is>
          <t>DOM</t>
        </is>
      </c>
      <c r="C236" s="5" t="inlineStr">
        <is>
          <t>DOM</t>
        </is>
      </c>
      <c r="D236" s="5" t="inlineStr">
        <is>
          <t>Dominican Republic</t>
        </is>
      </c>
      <c r="E236" s="5" t="n">
        <v>2023</v>
      </c>
      <c r="F236" s="5" t="n">
        <v>0.18</v>
      </c>
      <c r="G236" s="5" t="n">
        <v>6.147</v>
      </c>
      <c r="H236" s="5" t="n">
        <v>1.286</v>
      </c>
      <c r="I236" s="5" t="n">
        <v>0</v>
      </c>
      <c r="J236" s="5" t="n">
        <v>6.147</v>
      </c>
      <c r="K236" s="5" t="n">
        <v>0</v>
      </c>
      <c r="L236" s="5" t="n">
        <v>1</v>
      </c>
      <c r="M236" s="5" t="n">
        <v>7.886</v>
      </c>
      <c r="N236" s="5" t="n">
        <v>3.857</v>
      </c>
      <c r="O236" s="5" t="n">
        <v>0</v>
      </c>
      <c r="P236" s="5" t="n">
        <v>7.886</v>
      </c>
      <c r="Q236" s="5" t="n">
        <v>0</v>
      </c>
      <c r="R236" s="5" t="n">
        <v>1</v>
      </c>
      <c r="S236" s="5" t="n">
        <v>12.575</v>
      </c>
      <c r="T236" s="5" t="n">
        <v>7.714</v>
      </c>
      <c r="U236" s="5" t="n">
        <v>0.251</v>
      </c>
      <c r="V236" s="5" t="n">
        <v>14.839</v>
      </c>
      <c r="W236" s="5" t="n">
        <v>0.18</v>
      </c>
      <c r="X236" s="5" t="n">
        <v>1</v>
      </c>
      <c r="Y236" s="5" t="n">
        <v>12.478</v>
      </c>
      <c r="Z236" s="5" t="n">
        <v>1.678</v>
      </c>
      <c r="AA236" s="5" t="n">
        <v>11.924</v>
      </c>
      <c r="AB236" s="5" t="n">
        <v>24.402</v>
      </c>
      <c r="AC236" s="5" t="n">
        <v>0</v>
      </c>
      <c r="AD236" s="5" t="n">
        <v>1</v>
      </c>
      <c r="AE236" s="5" t="n">
        <v>13.763</v>
      </c>
      <c r="AF236" s="5" t="n">
        <v>3.223</v>
      </c>
      <c r="AG236" s="5" t="n">
        <v>10.638</v>
      </c>
      <c r="AH236" s="5" t="n">
        <v>24.402</v>
      </c>
      <c r="AI236" s="5" t="n">
        <v>0</v>
      </c>
      <c r="AJ236" s="5" t="n">
        <v>1</v>
      </c>
      <c r="AK236" s="5" t="n">
        <v>21.477</v>
      </c>
      <c r="AL236" s="5" t="n">
        <v>11.54</v>
      </c>
      <c r="AM236" s="5" t="n">
        <v>-0.386</v>
      </c>
      <c r="AN236" s="5" t="n">
        <v>24.402</v>
      </c>
      <c r="AO236" s="5" t="n">
        <v>0.18</v>
      </c>
      <c r="AP236" s="5" t="n">
        <v>1</v>
      </c>
      <c r="AQ236" s="5" t="n">
        <v>0.791</v>
      </c>
      <c r="AR236" s="5" t="n">
        <v>0.129</v>
      </c>
      <c r="AS236" s="5" t="n">
        <v>0.323</v>
      </c>
      <c r="AT236" s="5" t="n">
        <v>1.292</v>
      </c>
      <c r="AU236" s="5" t="n">
        <v>0.16</v>
      </c>
      <c r="AV236" s="5" t="n">
        <v>1</v>
      </c>
      <c r="AW236" s="5" t="n">
        <v>0.618</v>
      </c>
      <c r="AX236" s="5" t="n">
        <v>0.129</v>
      </c>
      <c r="AY236" s="5" t="n">
        <v>0.302</v>
      </c>
      <c r="AZ236" s="5" t="n">
        <v>1.067</v>
      </c>
      <c r="BA236" s="5" t="n">
        <v>0.16</v>
      </c>
      <c r="BB236" s="5" t="n">
        <v>1</v>
      </c>
      <c r="BC236" s="5" t="n">
        <v>0.554</v>
      </c>
      <c r="BD236" s="5" t="n">
        <v>0.129</v>
      </c>
      <c r="BE236" s="5" t="n">
        <v>0.008</v>
      </c>
      <c r="BF236" s="5" t="n">
        <v>0.652</v>
      </c>
      <c r="BG236" s="5" t="n">
        <v>0.16</v>
      </c>
      <c r="BH236" s="5" t="n">
        <v>1</v>
      </c>
      <c r="BI236" s="5" t="n">
        <v>0.5570000000000001</v>
      </c>
      <c r="BJ236" s="5" t="n">
        <v>0.129</v>
      </c>
      <c r="BK236" s="5" t="n">
        <v>0.609</v>
      </c>
      <c r="BL236" s="5" t="n">
        <v>1.352</v>
      </c>
      <c r="BM236" s="5" t="n">
        <v>0.16</v>
      </c>
      <c r="BN236" s="5" t="n">
        <v>1</v>
      </c>
      <c r="BO236" s="5" t="n">
        <v>0</v>
      </c>
      <c r="BP236" s="5" t="n">
        <v>0</v>
      </c>
      <c r="BQ236" s="5" t="n">
        <v>0.132</v>
      </c>
      <c r="BR236" s="5" t="n">
        <v>0</v>
      </c>
      <c r="BS236" s="5" t="n">
        <v>0.5</v>
      </c>
      <c r="BT236" s="5" t="n">
        <v>0</v>
      </c>
      <c r="BU236" s="5" t="n">
        <v>0</v>
      </c>
      <c r="BV236" s="5" t="n">
        <v>0.079</v>
      </c>
      <c r="BW236" s="5" t="n">
        <v>0</v>
      </c>
      <c r="BX236" s="5" t="n">
        <v>0.5</v>
      </c>
      <c r="BY236" s="5" t="n">
        <v>13.254</v>
      </c>
      <c r="BZ236" s="5" t="n">
        <v>0</v>
      </c>
      <c r="CA236" s="5" t="n">
        <v>13.254</v>
      </c>
      <c r="CB236" s="5" t="n">
        <v>0</v>
      </c>
      <c r="CC236" s="5" t="n">
        <v>83.248</v>
      </c>
      <c r="CD236" s="5" t="n">
        <v>7.95</v>
      </c>
      <c r="CE236" s="5" t="n">
        <v>20.052</v>
      </c>
      <c r="CF236" s="5" t="n">
        <v>119.828</v>
      </c>
      <c r="CG236" s="5" t="n">
        <v>0.16</v>
      </c>
      <c r="CH236" s="5" t="n">
        <v>1</v>
      </c>
      <c r="CI236" s="5" t="n">
        <v>0</v>
      </c>
      <c r="CJ236" s="5" t="n">
        <v>0</v>
      </c>
      <c r="CK236" s="5" t="n">
        <v>0</v>
      </c>
      <c r="CL236" s="5" t="n">
        <v>0</v>
      </c>
      <c r="CM236" s="5" t="n">
        <v>0</v>
      </c>
      <c r="CN236" s="5" t="n">
        <v>0</v>
      </c>
      <c r="CO236" s="5" t="n">
        <v>0</v>
      </c>
      <c r="CP236" s="5" t="n">
        <v>0</v>
      </c>
      <c r="CQ236" s="5" t="n">
        <v>1.348</v>
      </c>
      <c r="CR236" s="5" t="n">
        <v>0</v>
      </c>
      <c r="CS236" s="5" t="n">
        <v>5.37</v>
      </c>
      <c r="CT236" s="5" t="n">
        <v>4.861</v>
      </c>
      <c r="CU236" s="5" t="n">
        <v>11.192</v>
      </c>
    </row>
    <row r="237">
      <c r="A237" s="5" t="inlineStr">
        <is>
          <t>DOM2024</t>
        </is>
      </c>
      <c r="B237" s="5" t="inlineStr">
        <is>
          <t>DOM</t>
        </is>
      </c>
      <c r="C237" s="5" t="inlineStr">
        <is>
          <t>DOM</t>
        </is>
      </c>
      <c r="D237" s="5" t="inlineStr">
        <is>
          <t>Dominican Republic</t>
        </is>
      </c>
      <c r="E237" s="5" t="n">
        <v>2024</v>
      </c>
      <c r="F237" s="5" t="n">
        <v>0.18</v>
      </c>
      <c r="G237" s="5" t="n">
        <v>5.575</v>
      </c>
      <c r="H237" s="5" t="n">
        <v>1.324</v>
      </c>
      <c r="I237" s="5" t="n">
        <v>0</v>
      </c>
      <c r="J237" s="5" t="n">
        <v>5.575</v>
      </c>
      <c r="K237" s="5" t="n">
        <v>0</v>
      </c>
      <c r="L237" s="5" t="n">
        <v>1</v>
      </c>
      <c r="M237" s="5" t="n">
        <v>7.124</v>
      </c>
      <c r="N237" s="5" t="n">
        <v>3.971</v>
      </c>
      <c r="O237" s="5" t="n">
        <v>0</v>
      </c>
      <c r="P237" s="5" t="n">
        <v>7.124</v>
      </c>
      <c r="Q237" s="5" t="n">
        <v>0</v>
      </c>
      <c r="R237" s="5" t="n">
        <v>1</v>
      </c>
      <c r="S237" s="5" t="n">
        <v>12.193</v>
      </c>
      <c r="T237" s="5" t="n">
        <v>7.942</v>
      </c>
      <c r="U237" s="5" t="n">
        <v>0.299</v>
      </c>
      <c r="V237" s="5" t="n">
        <v>14.388</v>
      </c>
      <c r="W237" s="5" t="n">
        <v>0.18</v>
      </c>
      <c r="X237" s="5" t="n">
        <v>1</v>
      </c>
      <c r="Y237" s="5" t="n">
        <v>11.447</v>
      </c>
      <c r="Z237" s="5" t="n">
        <v>1.539</v>
      </c>
      <c r="AA237" s="5" t="n">
        <v>12.276</v>
      </c>
      <c r="AB237" s="5" t="n">
        <v>23.723</v>
      </c>
      <c r="AC237" s="5" t="n">
        <v>0</v>
      </c>
      <c r="AD237" s="5" t="n">
        <v>1</v>
      </c>
      <c r="AE237" s="5" t="n">
        <v>12.771</v>
      </c>
      <c r="AF237" s="5" t="n">
        <v>2.99</v>
      </c>
      <c r="AG237" s="5" t="n">
        <v>10.952</v>
      </c>
      <c r="AH237" s="5" t="n">
        <v>23.723</v>
      </c>
      <c r="AI237" s="5" t="n">
        <v>0</v>
      </c>
      <c r="AJ237" s="5" t="n">
        <v>1</v>
      </c>
      <c r="AK237" s="5" t="n">
        <v>20.712</v>
      </c>
      <c r="AL237" s="5" t="n">
        <v>11.129</v>
      </c>
      <c r="AM237" s="5" t="n">
        <v>-0.115</v>
      </c>
      <c r="AN237" s="5" t="n">
        <v>23.723</v>
      </c>
      <c r="AO237" s="5" t="n">
        <v>0.18</v>
      </c>
      <c r="AP237" s="5" t="n">
        <v>1</v>
      </c>
      <c r="AQ237" s="5" t="n">
        <v>0.756</v>
      </c>
      <c r="AR237" s="5" t="n">
        <v>0.132</v>
      </c>
      <c r="AS237" s="5" t="n">
        <v>0.282</v>
      </c>
      <c r="AT237" s="5" t="n">
        <v>1.204</v>
      </c>
      <c r="AU237" s="5" t="n">
        <v>0.16</v>
      </c>
      <c r="AV237" s="5" t="n">
        <v>1</v>
      </c>
      <c r="AW237" s="5" t="n">
        <v>0.655</v>
      </c>
      <c r="AX237" s="5" t="n">
        <v>0.132</v>
      </c>
      <c r="AY237" s="5" t="n">
        <v>0.212</v>
      </c>
      <c r="AZ237" s="5" t="n">
        <v>1.007</v>
      </c>
      <c r="BA237" s="5" t="n">
        <v>0.16</v>
      </c>
      <c r="BB237" s="5" t="n">
        <v>1</v>
      </c>
      <c r="BC237" s="5" t="n">
        <v>0.534</v>
      </c>
      <c r="BD237" s="5" t="n">
        <v>0.132</v>
      </c>
      <c r="BE237" s="5" t="n">
        <v>-0.027</v>
      </c>
      <c r="BF237" s="5" t="n">
        <v>0.588</v>
      </c>
      <c r="BG237" s="5" t="n">
        <v>0.16</v>
      </c>
      <c r="BH237" s="5" t="n">
        <v>1</v>
      </c>
      <c r="BI237" s="5" t="n">
        <v>0.5679999999999999</v>
      </c>
      <c r="BJ237" s="5" t="n">
        <v>0.132</v>
      </c>
      <c r="BK237" s="5" t="n">
        <v>0.305</v>
      </c>
      <c r="BL237" s="5" t="n">
        <v>1.013</v>
      </c>
      <c r="BM237" s="5" t="n">
        <v>0.16</v>
      </c>
      <c r="BN237" s="5" t="n">
        <v>1</v>
      </c>
      <c r="BO237" s="5" t="n">
        <v>0</v>
      </c>
      <c r="BP237" s="5" t="n">
        <v>0</v>
      </c>
      <c r="BQ237" s="5" t="n">
        <v>0.143</v>
      </c>
      <c r="BR237" s="5" t="n">
        <v>0</v>
      </c>
      <c r="BS237" s="5" t="n">
        <v>0.5</v>
      </c>
      <c r="BT237" s="5" t="n">
        <v>0</v>
      </c>
      <c r="BU237" s="5" t="n">
        <v>0</v>
      </c>
      <c r="BV237" s="5" t="n">
        <v>0.091</v>
      </c>
      <c r="BW237" s="5" t="n">
        <v>0</v>
      </c>
      <c r="BX237" s="5" t="n">
        <v>0.5</v>
      </c>
      <c r="BY237" s="5" t="n">
        <v>13.646</v>
      </c>
      <c r="BZ237" s="5" t="n">
        <v>0</v>
      </c>
      <c r="CA237" s="5" t="n">
        <v>13.646</v>
      </c>
      <c r="CB237" s="5" t="n">
        <v>0</v>
      </c>
      <c r="CC237" s="5" t="n">
        <v>82.58799999999999</v>
      </c>
      <c r="CD237" s="5" t="n">
        <v>7.95</v>
      </c>
      <c r="CE237" s="5" t="n">
        <v>6.724</v>
      </c>
      <c r="CF237" s="5" t="n">
        <v>103.602</v>
      </c>
      <c r="CG237" s="5" t="n">
        <v>0.16</v>
      </c>
      <c r="CH237" s="5" t="n">
        <v>1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0</v>
      </c>
      <c r="CO237" s="5" t="n">
        <v>0</v>
      </c>
      <c r="CP237" s="5" t="n">
        <v>0</v>
      </c>
      <c r="CQ237" s="5" t="n">
        <v>1.387</v>
      </c>
      <c r="CR237" s="5" t="n">
        <v>0</v>
      </c>
      <c r="CS237" s="5" t="n">
        <v>5.529</v>
      </c>
      <c r="CT237" s="5" t="n">
        <v>4.251</v>
      </c>
      <c r="CU237" s="5" t="n">
        <v>10.123</v>
      </c>
    </row>
    <row r="238">
      <c r="A238" s="5" t="inlineStr">
        <is>
          <t>ECU2021</t>
        </is>
      </c>
      <c r="B238" s="5" t="inlineStr">
        <is>
          <t>ECU</t>
        </is>
      </c>
      <c r="C238" s="5" t="inlineStr">
        <is>
          <t>ECU</t>
        </is>
      </c>
      <c r="D238" s="5" t="inlineStr">
        <is>
          <t>Ecuador</t>
        </is>
      </c>
      <c r="E238" s="5" t="n">
        <v>2021</v>
      </c>
      <c r="F238" s="5" t="n">
        <v>0.12</v>
      </c>
      <c r="G238" s="5" t="n">
        <v>5.897</v>
      </c>
      <c r="H238" s="5" t="n">
        <v>1.143</v>
      </c>
      <c r="I238" s="5" t="n">
        <v>0</v>
      </c>
      <c r="J238" s="5" t="n">
        <v>5.897</v>
      </c>
      <c r="K238" s="5" t="n">
        <v>0</v>
      </c>
      <c r="L238" s="5" t="n">
        <v>1</v>
      </c>
      <c r="M238" s="5" t="n">
        <v>7.964</v>
      </c>
      <c r="N238" s="5" t="n">
        <v>3.43</v>
      </c>
      <c r="O238" s="5" t="n">
        <v>0.227</v>
      </c>
      <c r="P238" s="5" t="n">
        <v>8.191000000000001</v>
      </c>
      <c r="Q238" s="5" t="n">
        <v>0</v>
      </c>
      <c r="R238" s="5" t="n">
        <v>1</v>
      </c>
      <c r="S238" s="5" t="n">
        <v>11.613</v>
      </c>
      <c r="T238" s="5" t="n">
        <v>6.86</v>
      </c>
      <c r="U238" s="5" t="n">
        <v>0</v>
      </c>
      <c r="V238" s="5" t="n">
        <v>13.007</v>
      </c>
      <c r="W238" s="5" t="n">
        <v>0.12</v>
      </c>
      <c r="X238" s="5" t="n">
        <v>1</v>
      </c>
      <c r="Y238" s="5" t="n">
        <v>9.379</v>
      </c>
      <c r="Z238" s="5" t="n">
        <v>0.6830000000000001</v>
      </c>
      <c r="AA238" s="5" t="n">
        <v>-0.586</v>
      </c>
      <c r="AB238" s="5" t="n">
        <v>8.792999999999999</v>
      </c>
      <c r="AC238" s="5" t="n">
        <v>0</v>
      </c>
      <c r="AD238" s="5" t="n">
        <v>1</v>
      </c>
      <c r="AE238" s="5" t="n">
        <v>9.951000000000001</v>
      </c>
      <c r="AF238" s="5" t="n">
        <v>1.338</v>
      </c>
      <c r="AG238" s="5" t="n">
        <v>-0.586</v>
      </c>
      <c r="AH238" s="5" t="n">
        <v>9.365</v>
      </c>
      <c r="AI238" s="5" t="n">
        <v>0</v>
      </c>
      <c r="AJ238" s="5" t="n">
        <v>1</v>
      </c>
      <c r="AK238" s="5" t="n">
        <v>13.381</v>
      </c>
      <c r="AL238" s="5" t="n">
        <v>5.005</v>
      </c>
      <c r="AM238" s="5" t="n">
        <v>-0.414</v>
      </c>
      <c r="AN238" s="5" t="n">
        <v>12.967</v>
      </c>
      <c r="AO238" s="5" t="n">
        <v>0</v>
      </c>
      <c r="AP238" s="5" t="n">
        <v>1</v>
      </c>
      <c r="AQ238" s="5" t="n">
        <v>0.53</v>
      </c>
      <c r="AR238" s="5" t="n">
        <v>0.097</v>
      </c>
      <c r="AS238" s="5" t="n">
        <v>-0.014</v>
      </c>
      <c r="AT238" s="5" t="n">
        <v>0.578</v>
      </c>
      <c r="AU238" s="5" t="n">
        <v>0</v>
      </c>
      <c r="AV238" s="5" t="n">
        <v>1</v>
      </c>
      <c r="AW238" s="5" t="n">
        <v>0.53</v>
      </c>
      <c r="AX238" s="5" t="n">
        <v>0.103</v>
      </c>
      <c r="AY238" s="5" t="n">
        <v>-0.15</v>
      </c>
      <c r="AZ238" s="5" t="n">
        <v>0.426</v>
      </c>
      <c r="BA238" s="5" t="n">
        <v>0</v>
      </c>
      <c r="BB238" s="5" t="n">
        <v>0</v>
      </c>
      <c r="BC238" s="5" t="n">
        <v>0.742</v>
      </c>
      <c r="BD238" s="5" t="n">
        <v>0.192</v>
      </c>
      <c r="BE238" s="5" t="n">
        <v>-0.647</v>
      </c>
      <c r="BF238" s="5" t="n">
        <v>0.107</v>
      </c>
      <c r="BG238" s="5" t="n">
        <v>0</v>
      </c>
      <c r="BH238" s="5" t="n">
        <v>0</v>
      </c>
      <c r="BI238" s="5" t="n">
        <v>0.491</v>
      </c>
      <c r="BJ238" s="5" t="n">
        <v>0.114</v>
      </c>
      <c r="BK238" s="5" t="n">
        <v>0.034</v>
      </c>
      <c r="BL238" s="5" t="n">
        <v>0.525</v>
      </c>
      <c r="BM238" s="5" t="n">
        <v>0</v>
      </c>
      <c r="BN238" s="5" t="n">
        <v>1</v>
      </c>
      <c r="BO238" s="5" t="n">
        <v>0</v>
      </c>
      <c r="BP238" s="5" t="n">
        <v>0</v>
      </c>
      <c r="BQ238" s="5" t="n">
        <v>0.062</v>
      </c>
      <c r="BR238" s="5" t="n">
        <v>0</v>
      </c>
      <c r="BS238" s="5" t="n">
        <v>0.5</v>
      </c>
      <c r="BT238" s="5" t="n">
        <v>0</v>
      </c>
      <c r="BU238" s="5" t="n">
        <v>-0.008999999999999999</v>
      </c>
      <c r="BV238" s="5" t="n">
        <v>0.103</v>
      </c>
      <c r="BW238" s="5" t="n">
        <v>0</v>
      </c>
      <c r="BX238" s="5" t="n">
        <v>0.833</v>
      </c>
      <c r="BY238" s="5" t="n">
        <v>11.787</v>
      </c>
      <c r="BZ238" s="5" t="n">
        <v>0</v>
      </c>
      <c r="CA238" s="5" t="n">
        <v>11.787</v>
      </c>
      <c r="CB238" s="5" t="n">
        <v>0</v>
      </c>
      <c r="CC238" s="5" t="n">
        <v>73.254</v>
      </c>
      <c r="CD238" s="5" t="n">
        <v>3.079</v>
      </c>
      <c r="CE238" s="5" t="n">
        <v>-29.421</v>
      </c>
      <c r="CF238" s="5" t="n">
        <v>49.094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0</v>
      </c>
      <c r="CM238" s="5" t="n">
        <v>0</v>
      </c>
      <c r="CN238" s="5" t="n">
        <v>0</v>
      </c>
      <c r="CO238" s="5" t="n">
        <v>0</v>
      </c>
      <c r="CP238" s="5" t="n">
        <v>0</v>
      </c>
      <c r="CQ238" s="5" t="n">
        <v>1.198</v>
      </c>
      <c r="CR238" s="5" t="n">
        <v>1</v>
      </c>
      <c r="CS238" s="5" t="n">
        <v>8.808</v>
      </c>
      <c r="CT238" s="5" t="n">
        <v>4.753</v>
      </c>
      <c r="CU238" s="5" t="n">
        <v>15.983</v>
      </c>
    </row>
    <row r="239">
      <c r="A239" s="5" t="inlineStr">
        <is>
          <t>ECU2022</t>
        </is>
      </c>
      <c r="B239" s="5" t="inlineStr">
        <is>
          <t>ECU</t>
        </is>
      </c>
      <c r="C239" s="5" t="inlineStr">
        <is>
          <t>ECU</t>
        </is>
      </c>
      <c r="D239" s="5" t="inlineStr">
        <is>
          <t>Ecuador</t>
        </is>
      </c>
      <c r="E239" s="5" t="n">
        <v>2022</v>
      </c>
      <c r="F239" s="5" t="n">
        <v>0.12</v>
      </c>
      <c r="G239" s="5" t="n">
        <v>11.72</v>
      </c>
      <c r="H239" s="5" t="n">
        <v>1.235</v>
      </c>
      <c r="I239" s="5" t="n">
        <v>0</v>
      </c>
      <c r="J239" s="5" t="n">
        <v>11.72</v>
      </c>
      <c r="K239" s="5" t="n">
        <v>0</v>
      </c>
      <c r="L239" s="5" t="n">
        <v>1</v>
      </c>
      <c r="M239" s="5" t="n">
        <v>9.782999999999999</v>
      </c>
      <c r="N239" s="5" t="n">
        <v>3.704</v>
      </c>
      <c r="O239" s="5" t="n">
        <v>0.328</v>
      </c>
      <c r="P239" s="5" t="n">
        <v>10.111</v>
      </c>
      <c r="Q239" s="5" t="n">
        <v>0</v>
      </c>
      <c r="R239" s="5" t="n">
        <v>1</v>
      </c>
      <c r="S239" s="5" t="n">
        <v>17.893</v>
      </c>
      <c r="T239" s="5" t="n">
        <v>7.408</v>
      </c>
      <c r="U239" s="5" t="n">
        <v>0.159</v>
      </c>
      <c r="V239" s="5" t="n">
        <v>20.041</v>
      </c>
      <c r="W239" s="5" t="n">
        <v>0.12</v>
      </c>
      <c r="X239" s="5" t="n">
        <v>1</v>
      </c>
      <c r="Y239" s="5" t="n">
        <v>10.129</v>
      </c>
      <c r="Z239" s="5" t="n">
        <v>0.737</v>
      </c>
      <c r="AA239" s="5" t="n">
        <v>-0.428</v>
      </c>
      <c r="AB239" s="5" t="n">
        <v>9.701000000000001</v>
      </c>
      <c r="AC239" s="5" t="n">
        <v>0</v>
      </c>
      <c r="AD239" s="5" t="n">
        <v>1</v>
      </c>
      <c r="AE239" s="5" t="n">
        <v>10.746</v>
      </c>
      <c r="AF239" s="5" t="n">
        <v>1.445</v>
      </c>
      <c r="AG239" s="5" t="n">
        <v>-0.428</v>
      </c>
      <c r="AH239" s="5" t="n">
        <v>10.319</v>
      </c>
      <c r="AI239" s="5" t="n">
        <v>0</v>
      </c>
      <c r="AJ239" s="5" t="n">
        <v>1</v>
      </c>
      <c r="AK239" s="5" t="n">
        <v>14.451</v>
      </c>
      <c r="AL239" s="5" t="n">
        <v>5.405</v>
      </c>
      <c r="AM239" s="5" t="n">
        <v>-0.109</v>
      </c>
      <c r="AN239" s="5" t="n">
        <v>14.342</v>
      </c>
      <c r="AO239" s="5" t="n">
        <v>0</v>
      </c>
      <c r="AP239" s="5" t="n">
        <v>1</v>
      </c>
      <c r="AQ239" s="5" t="n">
        <v>0.768</v>
      </c>
      <c r="AR239" s="5" t="n">
        <v>0.11</v>
      </c>
      <c r="AS239" s="5" t="n">
        <v>-0.169</v>
      </c>
      <c r="AT239" s="5" t="n">
        <v>0.671</v>
      </c>
      <c r="AU239" s="5" t="n">
        <v>0</v>
      </c>
      <c r="AV239" s="5" t="n">
        <v>1</v>
      </c>
      <c r="AW239" s="5" t="n">
        <v>0.863</v>
      </c>
      <c r="AX239" s="5" t="n">
        <v>0.112</v>
      </c>
      <c r="AY239" s="5" t="n">
        <v>-0.421</v>
      </c>
      <c r="AZ239" s="5" t="n">
        <v>0.495</v>
      </c>
      <c r="BA239" s="5" t="n">
        <v>0</v>
      </c>
      <c r="BB239" s="5" t="n">
        <v>0</v>
      </c>
      <c r="BC239" s="5" t="n">
        <v>0.79</v>
      </c>
      <c r="BD239" s="5" t="n">
        <v>0.163</v>
      </c>
      <c r="BE239" s="5" t="n">
        <v>-0.695</v>
      </c>
      <c r="BF239" s="5" t="n">
        <v>0.107</v>
      </c>
      <c r="BG239" s="5" t="n">
        <v>0</v>
      </c>
      <c r="BH239" s="5" t="n">
        <v>0</v>
      </c>
      <c r="BI239" s="5" t="n">
        <v>0.608</v>
      </c>
      <c r="BJ239" s="5" t="n">
        <v>0.123</v>
      </c>
      <c r="BK239" s="5" t="n">
        <v>0.004</v>
      </c>
      <c r="BL239" s="5" t="n">
        <v>0.611</v>
      </c>
      <c r="BM239" s="5" t="n">
        <v>0</v>
      </c>
      <c r="BN239" s="5" t="n">
        <v>1</v>
      </c>
      <c r="BO239" s="5" t="n">
        <v>0</v>
      </c>
      <c r="BP239" s="5" t="n">
        <v>0</v>
      </c>
      <c r="BQ239" s="5" t="n">
        <v>0.062</v>
      </c>
      <c r="BR239" s="5" t="n">
        <v>0</v>
      </c>
      <c r="BS239" s="5" t="n">
        <v>0.5</v>
      </c>
      <c r="BT239" s="5" t="n">
        <v>0</v>
      </c>
      <c r="BU239" s="5" t="n">
        <v>-0.01</v>
      </c>
      <c r="BV239" s="5" t="n">
        <v>0.104</v>
      </c>
      <c r="BW239" s="5" t="n">
        <v>0</v>
      </c>
      <c r="BX239" s="5" t="n">
        <v>0.833</v>
      </c>
      <c r="BY239" s="5" t="n">
        <v>12.729</v>
      </c>
      <c r="BZ239" s="5" t="n">
        <v>0</v>
      </c>
      <c r="CA239" s="5" t="n">
        <v>12.729</v>
      </c>
      <c r="CB239" s="5" t="n">
        <v>0</v>
      </c>
      <c r="CC239" s="5" t="n">
        <v>117.033</v>
      </c>
      <c r="CD239" s="5" t="n">
        <v>27.083</v>
      </c>
      <c r="CE239" s="5" t="n">
        <v>-62.76</v>
      </c>
      <c r="CF239" s="5" t="n">
        <v>60.786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1.294</v>
      </c>
      <c r="CR239" s="5" t="n">
        <v>1</v>
      </c>
      <c r="CS239" s="5" t="n">
        <v>9.512</v>
      </c>
      <c r="CT239" s="5" t="n">
        <v>10.485</v>
      </c>
      <c r="CU239" s="5" t="n">
        <v>29.494</v>
      </c>
    </row>
    <row r="240">
      <c r="A240" s="5" t="inlineStr">
        <is>
          <t>ECU2023</t>
        </is>
      </c>
      <c r="B240" s="5" t="inlineStr">
        <is>
          <t>ECU</t>
        </is>
      </c>
      <c r="C240" s="5" t="inlineStr">
        <is>
          <t>ECU</t>
        </is>
      </c>
      <c r="D240" s="5" t="inlineStr">
        <is>
          <t>Ecuador</t>
        </is>
      </c>
      <c r="E240" s="5" t="n">
        <v>2023</v>
      </c>
      <c r="F240" s="5" t="n">
        <v>0.12</v>
      </c>
      <c r="G240" s="5" t="n">
        <v>6.147</v>
      </c>
      <c r="H240" s="5" t="n">
        <v>1.286</v>
      </c>
      <c r="I240" s="5" t="n">
        <v>0</v>
      </c>
      <c r="J240" s="5" t="n">
        <v>6.147</v>
      </c>
      <c r="K240" s="5" t="n">
        <v>0</v>
      </c>
      <c r="L240" s="5" t="n">
        <v>1</v>
      </c>
      <c r="M240" s="5" t="n">
        <v>7.886</v>
      </c>
      <c r="N240" s="5" t="n">
        <v>3.857</v>
      </c>
      <c r="O240" s="5" t="n">
        <v>0.227</v>
      </c>
      <c r="P240" s="5" t="n">
        <v>8.113</v>
      </c>
      <c r="Q240" s="5" t="n">
        <v>0</v>
      </c>
      <c r="R240" s="5" t="n">
        <v>1</v>
      </c>
      <c r="S240" s="5" t="n">
        <v>12.575</v>
      </c>
      <c r="T240" s="5" t="n">
        <v>7.714</v>
      </c>
      <c r="U240" s="5" t="n">
        <v>0.167</v>
      </c>
      <c r="V240" s="5" t="n">
        <v>14.084</v>
      </c>
      <c r="W240" s="5" t="n">
        <v>0.12</v>
      </c>
      <c r="X240" s="5" t="n">
        <v>1</v>
      </c>
      <c r="Y240" s="5" t="n">
        <v>10.547</v>
      </c>
      <c r="Z240" s="5" t="n">
        <v>0.768</v>
      </c>
      <c r="AA240" s="5" t="n">
        <v>-0.269</v>
      </c>
      <c r="AB240" s="5" t="n">
        <v>10.278</v>
      </c>
      <c r="AC240" s="5" t="n">
        <v>0</v>
      </c>
      <c r="AD240" s="5" t="n">
        <v>1</v>
      </c>
      <c r="AE240" s="5" t="n">
        <v>11.19</v>
      </c>
      <c r="AF240" s="5" t="n">
        <v>1.505</v>
      </c>
      <c r="AG240" s="5" t="n">
        <v>-0.269</v>
      </c>
      <c r="AH240" s="5" t="n">
        <v>10.921</v>
      </c>
      <c r="AI240" s="5" t="n">
        <v>0</v>
      </c>
      <c r="AJ240" s="5" t="n">
        <v>1</v>
      </c>
      <c r="AK240" s="5" t="n">
        <v>15.047</v>
      </c>
      <c r="AL240" s="5" t="n">
        <v>5.628</v>
      </c>
      <c r="AM240" s="5" t="n">
        <v>0.14</v>
      </c>
      <c r="AN240" s="5" t="n">
        <v>15.187</v>
      </c>
      <c r="AO240" s="5" t="n">
        <v>0</v>
      </c>
      <c r="AP240" s="5" t="n">
        <v>1</v>
      </c>
      <c r="AQ240" s="5" t="n">
        <v>0.642</v>
      </c>
      <c r="AR240" s="5" t="n">
        <v>0.108</v>
      </c>
      <c r="AS240" s="5" t="n">
        <v>-0.061</v>
      </c>
      <c r="AT240" s="5" t="n">
        <v>0.651</v>
      </c>
      <c r="AU240" s="5" t="n">
        <v>0</v>
      </c>
      <c r="AV240" s="5" t="n">
        <v>1</v>
      </c>
      <c r="AW240" s="5" t="n">
        <v>1.056</v>
      </c>
      <c r="AX240" s="5" t="n">
        <v>0.181</v>
      </c>
      <c r="AY240" s="5" t="n">
        <v>-0.633</v>
      </c>
      <c r="AZ240" s="5" t="n">
        <v>0.475</v>
      </c>
      <c r="BA240" s="5" t="n">
        <v>0</v>
      </c>
      <c r="BB240" s="5" t="n">
        <v>0</v>
      </c>
      <c r="BC240" s="5" t="n">
        <v>0.637</v>
      </c>
      <c r="BD240" s="5" t="n">
        <v>0.153</v>
      </c>
      <c r="BE240" s="5" t="n">
        <v>-0.541</v>
      </c>
      <c r="BF240" s="5" t="n">
        <v>0.107</v>
      </c>
      <c r="BG240" s="5" t="n">
        <v>0</v>
      </c>
      <c r="BH240" s="5" t="n">
        <v>0</v>
      </c>
      <c r="BI240" s="5" t="n">
        <v>0.5570000000000001</v>
      </c>
      <c r="BJ240" s="5" t="n">
        <v>0.129</v>
      </c>
      <c r="BK240" s="5" t="n">
        <v>-0.042</v>
      </c>
      <c r="BL240" s="5" t="n">
        <v>0.516</v>
      </c>
      <c r="BM240" s="5" t="n">
        <v>0</v>
      </c>
      <c r="BN240" s="5" t="n">
        <v>1</v>
      </c>
      <c r="BO240" s="5" t="n">
        <v>0</v>
      </c>
      <c r="BP240" s="5" t="n">
        <v>0</v>
      </c>
      <c r="BQ240" s="5" t="n">
        <v>0.062</v>
      </c>
      <c r="BR240" s="5" t="n">
        <v>0</v>
      </c>
      <c r="BS240" s="5" t="n">
        <v>0.5</v>
      </c>
      <c r="BT240" s="5" t="n">
        <v>0</v>
      </c>
      <c r="BU240" s="5" t="n">
        <v>-0.008999999999999999</v>
      </c>
      <c r="BV240" s="5" t="n">
        <v>0.104</v>
      </c>
      <c r="BW240" s="5" t="n">
        <v>0</v>
      </c>
      <c r="BX240" s="5" t="n">
        <v>0.833</v>
      </c>
      <c r="BY240" s="5" t="n">
        <v>13.254</v>
      </c>
      <c r="BZ240" s="5" t="n">
        <v>0</v>
      </c>
      <c r="CA240" s="5" t="n">
        <v>13.254</v>
      </c>
      <c r="CB240" s="5" t="n">
        <v>0</v>
      </c>
      <c r="CC240" s="5" t="n">
        <v>106.14</v>
      </c>
      <c r="CD240" s="5" t="n">
        <v>30.842</v>
      </c>
      <c r="CE240" s="5" t="n">
        <v>-44.068</v>
      </c>
      <c r="CF240" s="5" t="n">
        <v>69.521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1.348</v>
      </c>
      <c r="CR240" s="5" t="n">
        <v>1</v>
      </c>
      <c r="CS240" s="5" t="n">
        <v>9.904</v>
      </c>
      <c r="CT240" s="5" t="n">
        <v>4.861</v>
      </c>
      <c r="CU240" s="5" t="n">
        <v>11.192</v>
      </c>
    </row>
    <row r="241">
      <c r="A241" s="5" t="inlineStr">
        <is>
          <t>ECU2024</t>
        </is>
      </c>
      <c r="B241" s="5" t="inlineStr">
        <is>
          <t>ECU</t>
        </is>
      </c>
      <c r="C241" s="5" t="inlineStr">
        <is>
          <t>ECU</t>
        </is>
      </c>
      <c r="D241" s="5" t="inlineStr">
        <is>
          <t>Ecuador</t>
        </is>
      </c>
      <c r="E241" s="5" t="n">
        <v>2024</v>
      </c>
      <c r="F241" s="5" t="n">
        <v>0.12</v>
      </c>
      <c r="G241" s="5" t="n">
        <v>5.575</v>
      </c>
      <c r="H241" s="5" t="n">
        <v>1.324</v>
      </c>
      <c r="I241" s="5" t="n">
        <v>0</v>
      </c>
      <c r="J241" s="5" t="n">
        <v>5.575</v>
      </c>
      <c r="K241" s="5" t="n">
        <v>0</v>
      </c>
      <c r="L241" s="5" t="n">
        <v>1</v>
      </c>
      <c r="M241" s="5" t="n">
        <v>7.124</v>
      </c>
      <c r="N241" s="5" t="n">
        <v>3.971</v>
      </c>
      <c r="O241" s="5" t="n">
        <v>0.158</v>
      </c>
      <c r="P241" s="5" t="n">
        <v>7.281</v>
      </c>
      <c r="Q241" s="5" t="n">
        <v>0</v>
      </c>
      <c r="R241" s="5" t="n">
        <v>1</v>
      </c>
      <c r="S241" s="5" t="n">
        <v>12.193</v>
      </c>
      <c r="T241" s="5" t="n">
        <v>7.942</v>
      </c>
      <c r="U241" s="5" t="n">
        <v>0.199</v>
      </c>
      <c r="V241" s="5" t="n">
        <v>13.656</v>
      </c>
      <c r="W241" s="5" t="n">
        <v>0.12</v>
      </c>
      <c r="X241" s="5" t="n">
        <v>1</v>
      </c>
      <c r="Y241" s="5" t="n">
        <v>10.785</v>
      </c>
      <c r="Z241" s="5" t="n">
        <v>0.785</v>
      </c>
      <c r="AA241" s="5" t="n">
        <v>-0.277</v>
      </c>
      <c r="AB241" s="5" t="n">
        <v>10.508</v>
      </c>
      <c r="AC241" s="5" t="n">
        <v>0</v>
      </c>
      <c r="AD241" s="5" t="n">
        <v>1</v>
      </c>
      <c r="AE241" s="5" t="n">
        <v>11.447</v>
      </c>
      <c r="AF241" s="5" t="n">
        <v>1.54</v>
      </c>
      <c r="AG241" s="5" t="n">
        <v>-0.277</v>
      </c>
      <c r="AH241" s="5" t="n">
        <v>11.17</v>
      </c>
      <c r="AI241" s="5" t="n">
        <v>0</v>
      </c>
      <c r="AJ241" s="5" t="n">
        <v>1</v>
      </c>
      <c r="AK241" s="5" t="n">
        <v>15.418</v>
      </c>
      <c r="AL241" s="5" t="n">
        <v>5.766</v>
      </c>
      <c r="AM241" s="5" t="n">
        <v>0.135</v>
      </c>
      <c r="AN241" s="5" t="n">
        <v>15.553</v>
      </c>
      <c r="AO241" s="5" t="n">
        <v>0</v>
      </c>
      <c r="AP241" s="5" t="n">
        <v>1</v>
      </c>
      <c r="AQ241" s="5" t="n">
        <v>0.638</v>
      </c>
      <c r="AR241" s="5" t="n">
        <v>0.116</v>
      </c>
      <c r="AS241" s="5" t="n">
        <v>-0.048</v>
      </c>
      <c r="AT241" s="5" t="n">
        <v>0.679</v>
      </c>
      <c r="AU241" s="5" t="n">
        <v>0</v>
      </c>
      <c r="AV241" s="5" t="n">
        <v>1</v>
      </c>
      <c r="AW241" s="5" t="n">
        <v>0.856</v>
      </c>
      <c r="AX241" s="5" t="n">
        <v>0.157</v>
      </c>
      <c r="AY241" s="5" t="n">
        <v>-0.443</v>
      </c>
      <c r="AZ241" s="5" t="n">
        <v>0.475</v>
      </c>
      <c r="BA241" s="5" t="n">
        <v>0</v>
      </c>
      <c r="BB241" s="5" t="n">
        <v>0</v>
      </c>
      <c r="BC241" s="5" t="n">
        <v>0.708</v>
      </c>
      <c r="BD241" s="5" t="n">
        <v>0.182</v>
      </c>
      <c r="BE241" s="5" t="n">
        <v>-0.615</v>
      </c>
      <c r="BF241" s="5" t="n">
        <v>0.107</v>
      </c>
      <c r="BG241" s="5" t="n">
        <v>0</v>
      </c>
      <c r="BH241" s="5" t="n">
        <v>0</v>
      </c>
      <c r="BI241" s="5" t="n">
        <v>0.5679999999999999</v>
      </c>
      <c r="BJ241" s="5" t="n">
        <v>0.132</v>
      </c>
      <c r="BK241" s="5" t="n">
        <v>-0.044</v>
      </c>
      <c r="BL241" s="5" t="n">
        <v>0.524</v>
      </c>
      <c r="BM241" s="5" t="n">
        <v>0</v>
      </c>
      <c r="BN241" s="5" t="n">
        <v>1</v>
      </c>
      <c r="BO241" s="5" t="n">
        <v>0</v>
      </c>
      <c r="BP241" s="5" t="n">
        <v>0</v>
      </c>
      <c r="BQ241" s="5" t="n">
        <v>0.07099999999999999</v>
      </c>
      <c r="BR241" s="5" t="n">
        <v>0</v>
      </c>
      <c r="BS241" s="5" t="n">
        <v>0.5</v>
      </c>
      <c r="BT241" s="5" t="n">
        <v>0</v>
      </c>
      <c r="BU241" s="5" t="n">
        <v>-0.008999999999999999</v>
      </c>
      <c r="BV241" s="5" t="n">
        <v>0.103</v>
      </c>
      <c r="BW241" s="5" t="n">
        <v>0</v>
      </c>
      <c r="BX241" s="5" t="n">
        <v>0.833</v>
      </c>
      <c r="BY241" s="5" t="n">
        <v>13.646</v>
      </c>
      <c r="BZ241" s="5" t="n">
        <v>0</v>
      </c>
      <c r="CA241" s="5" t="n">
        <v>13.646</v>
      </c>
      <c r="CB241" s="5" t="n">
        <v>0</v>
      </c>
      <c r="CC241" s="5" t="n">
        <v>109.623</v>
      </c>
      <c r="CD241" s="5" t="n">
        <v>34.985</v>
      </c>
      <c r="CE241" s="5" t="n">
        <v>-41.506</v>
      </c>
      <c r="CF241" s="5" t="n">
        <v>78.334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0</v>
      </c>
      <c r="CN241" s="5" t="n">
        <v>0</v>
      </c>
      <c r="CO241" s="5" t="n">
        <v>0</v>
      </c>
      <c r="CP241" s="5" t="n">
        <v>0</v>
      </c>
      <c r="CQ241" s="5" t="n">
        <v>1.387</v>
      </c>
      <c r="CR241" s="5" t="n">
        <v>1</v>
      </c>
      <c r="CS241" s="5" t="n">
        <v>10.123</v>
      </c>
      <c r="CT241" s="5" t="n">
        <v>4.251</v>
      </c>
      <c r="CU241" s="5" t="n">
        <v>10.123</v>
      </c>
    </row>
    <row r="242">
      <c r="A242" s="5" t="inlineStr">
        <is>
          <t>EGY2021</t>
        </is>
      </c>
      <c r="B242" s="5" t="inlineStr">
        <is>
          <t>EGY</t>
        </is>
      </c>
      <c r="C242" s="5" t="inlineStr">
        <is>
          <t>EGY</t>
        </is>
      </c>
      <c r="D242" s="5" t="inlineStr">
        <is>
          <t>Egypt</t>
        </is>
      </c>
      <c r="E242" s="5" t="n">
        <v>2021</v>
      </c>
      <c r="F242" s="5" t="n">
        <v>0.14</v>
      </c>
      <c r="G242" s="5" t="n">
        <v>5.897</v>
      </c>
      <c r="H242" s="5" t="n">
        <v>1.143</v>
      </c>
      <c r="I242" s="5" t="n">
        <v>0</v>
      </c>
      <c r="J242" s="5" t="n">
        <v>5.897</v>
      </c>
      <c r="K242" s="5" t="n">
        <v>0</v>
      </c>
      <c r="L242" s="5" t="n">
        <v>1</v>
      </c>
      <c r="M242" s="5" t="n">
        <v>7.964</v>
      </c>
      <c r="N242" s="5" t="n">
        <v>3.43</v>
      </c>
      <c r="O242" s="5" t="n">
        <v>0.227</v>
      </c>
      <c r="P242" s="5" t="n">
        <v>8.191000000000001</v>
      </c>
      <c r="Q242" s="5" t="n">
        <v>0</v>
      </c>
      <c r="R242" s="5" t="n">
        <v>1</v>
      </c>
      <c r="S242" s="5" t="n">
        <v>11.613</v>
      </c>
      <c r="T242" s="5" t="n">
        <v>6.86</v>
      </c>
      <c r="U242" s="5" t="n">
        <v>0</v>
      </c>
      <c r="V242" s="5" t="n">
        <v>13.239</v>
      </c>
      <c r="W242" s="5" t="n">
        <v>0.14</v>
      </c>
      <c r="X242" s="5" t="n">
        <v>1</v>
      </c>
      <c r="Y242" s="5" t="n">
        <v>7.854</v>
      </c>
      <c r="Z242" s="5" t="n">
        <v>0.964</v>
      </c>
      <c r="AA242" s="5" t="n">
        <v>-4.993</v>
      </c>
      <c r="AB242" s="5" t="n">
        <v>2.861</v>
      </c>
      <c r="AC242" s="5" t="n">
        <v>0</v>
      </c>
      <c r="AD242" s="5" t="n">
        <v>0</v>
      </c>
      <c r="AE242" s="5" t="n">
        <v>8.462</v>
      </c>
      <c r="AF242" s="5" t="n">
        <v>1.818</v>
      </c>
      <c r="AG242" s="5" t="n">
        <v>-4.115</v>
      </c>
      <c r="AH242" s="5" t="n">
        <v>4.347</v>
      </c>
      <c r="AI242" s="5" t="n">
        <v>0</v>
      </c>
      <c r="AJ242" s="5" t="n">
        <v>0</v>
      </c>
      <c r="AK242" s="5" t="n">
        <v>12.106</v>
      </c>
      <c r="AL242" s="5" t="n">
        <v>6.079</v>
      </c>
      <c r="AM242" s="5" t="n">
        <v>-7.942</v>
      </c>
      <c r="AN242" s="5" t="n">
        <v>4.747</v>
      </c>
      <c r="AO242" s="5" t="n">
        <v>0</v>
      </c>
      <c r="AP242" s="5" t="n">
        <v>0</v>
      </c>
      <c r="AQ242" s="5" t="n">
        <v>0.621</v>
      </c>
      <c r="AR242" s="5" t="n">
        <v>0.114</v>
      </c>
      <c r="AS242" s="5" t="n">
        <v>-0.125</v>
      </c>
      <c r="AT242" s="5" t="n">
        <v>0.5649999999999999</v>
      </c>
      <c r="AU242" s="5" t="n">
        <v>0</v>
      </c>
      <c r="AV242" s="5" t="n">
        <v>0</v>
      </c>
      <c r="AW242" s="5" t="n">
        <v>0.593</v>
      </c>
      <c r="AX242" s="5" t="n">
        <v>0.114</v>
      </c>
      <c r="AY242" s="5" t="n">
        <v>-0.215</v>
      </c>
      <c r="AZ242" s="5" t="n">
        <v>0.431</v>
      </c>
      <c r="BA242" s="5" t="n">
        <v>0</v>
      </c>
      <c r="BB242" s="5" t="n">
        <v>0</v>
      </c>
      <c r="BC242" s="5" t="n">
        <v>0.44</v>
      </c>
      <c r="BD242" s="5" t="n">
        <v>0.114</v>
      </c>
      <c r="BE242" s="5" t="n">
        <v>-0.289</v>
      </c>
      <c r="BF242" s="5" t="n">
        <v>0.172</v>
      </c>
      <c r="BG242" s="5" t="n">
        <v>0</v>
      </c>
      <c r="BH242" s="5" t="n">
        <v>0</v>
      </c>
      <c r="BI242" s="5" t="n">
        <v>0.5600000000000001</v>
      </c>
      <c r="BJ242" s="5" t="n">
        <v>0.114</v>
      </c>
      <c r="BK242" s="5" t="n">
        <v>-0.182</v>
      </c>
      <c r="BL242" s="5" t="n">
        <v>0.431</v>
      </c>
      <c r="BM242" s="5" t="n">
        <v>0</v>
      </c>
      <c r="BN242" s="5" t="n">
        <v>0</v>
      </c>
      <c r="BO242" s="5" t="n">
        <v>0</v>
      </c>
      <c r="BP242" s="5" t="n">
        <v>-0.05</v>
      </c>
      <c r="BQ242" s="5" t="n">
        <v>0.07000000000000001</v>
      </c>
      <c r="BR242" s="5" t="n">
        <v>0</v>
      </c>
      <c r="BS242" s="5" t="n">
        <v>0.833</v>
      </c>
      <c r="BT242" s="5" t="n">
        <v>0</v>
      </c>
      <c r="BU242" s="5" t="n">
        <v>-0.05</v>
      </c>
      <c r="BV242" s="5" t="n">
        <v>0.075</v>
      </c>
      <c r="BW242" s="5" t="n">
        <v>0</v>
      </c>
      <c r="BX242" s="5" t="n">
        <v>0.833</v>
      </c>
      <c r="BY242" s="5" t="n">
        <v>11.787</v>
      </c>
      <c r="BZ242" s="5" t="n">
        <v>0</v>
      </c>
      <c r="CA242" s="5" t="n">
        <v>11.787</v>
      </c>
      <c r="CB242" s="5" t="n">
        <v>0</v>
      </c>
      <c r="CC242" s="5" t="n">
        <v>81.69499999999999</v>
      </c>
      <c r="CD242" s="5" t="n">
        <v>7.95</v>
      </c>
      <c r="CE242" s="5" t="n">
        <v>-51.738</v>
      </c>
      <c r="CF242" s="5" t="n">
        <v>34.152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0</v>
      </c>
      <c r="CM242" s="5" t="n">
        <v>0</v>
      </c>
      <c r="CN242" s="5" t="n">
        <v>0</v>
      </c>
      <c r="CO242" s="5" t="n">
        <v>0</v>
      </c>
      <c r="CP242" s="5" t="n">
        <v>0</v>
      </c>
      <c r="CQ242" s="5" t="n">
        <v>1.198</v>
      </c>
      <c r="CR242" s="5" t="n">
        <v>0.9370000000000001</v>
      </c>
      <c r="CS242" s="5" t="n">
        <v>6.788</v>
      </c>
      <c r="CT242" s="5" t="n">
        <v>4.753</v>
      </c>
      <c r="CU242" s="5" t="n">
        <v>14.129</v>
      </c>
    </row>
    <row r="243">
      <c r="A243" s="5" t="inlineStr">
        <is>
          <t>EGY2022</t>
        </is>
      </c>
      <c r="B243" s="5" t="inlineStr">
        <is>
          <t>EGY</t>
        </is>
      </c>
      <c r="C243" s="5" t="inlineStr">
        <is>
          <t>EGY</t>
        </is>
      </c>
      <c r="D243" s="5" t="inlineStr">
        <is>
          <t>Egypt</t>
        </is>
      </c>
      <c r="E243" s="5" t="n">
        <v>2022</v>
      </c>
      <c r="F243" s="5" t="n">
        <v>0.14</v>
      </c>
      <c r="G243" s="5" t="n">
        <v>11.72</v>
      </c>
      <c r="H243" s="5" t="n">
        <v>1.235</v>
      </c>
      <c r="I243" s="5" t="n">
        <v>0</v>
      </c>
      <c r="J243" s="5" t="n">
        <v>11.72</v>
      </c>
      <c r="K243" s="5" t="n">
        <v>0</v>
      </c>
      <c r="L243" s="5" t="n">
        <v>1</v>
      </c>
      <c r="M243" s="5" t="n">
        <v>9.782999999999999</v>
      </c>
      <c r="N243" s="5" t="n">
        <v>3.704</v>
      </c>
      <c r="O243" s="5" t="n">
        <v>0.304</v>
      </c>
      <c r="P243" s="5" t="n">
        <v>10.087</v>
      </c>
      <c r="Q243" s="5" t="n">
        <v>0</v>
      </c>
      <c r="R243" s="5" t="n">
        <v>1</v>
      </c>
      <c r="S243" s="5" t="n">
        <v>17.893</v>
      </c>
      <c r="T243" s="5" t="n">
        <v>7.408</v>
      </c>
      <c r="U243" s="5" t="n">
        <v>0.185</v>
      </c>
      <c r="V243" s="5" t="n">
        <v>20.398</v>
      </c>
      <c r="W243" s="5" t="n">
        <v>0.14</v>
      </c>
      <c r="X243" s="5" t="n">
        <v>1</v>
      </c>
      <c r="Y243" s="5" t="n">
        <v>10.107</v>
      </c>
      <c r="Z243" s="5" t="n">
        <v>1.24</v>
      </c>
      <c r="AA243" s="5" t="n">
        <v>-7.658</v>
      </c>
      <c r="AB243" s="5" t="n">
        <v>2.449</v>
      </c>
      <c r="AC243" s="5" t="n">
        <v>0</v>
      </c>
      <c r="AD243" s="5" t="n">
        <v>0</v>
      </c>
      <c r="AE243" s="5" t="n">
        <v>10.787</v>
      </c>
      <c r="AF243" s="5" t="n">
        <v>2.317</v>
      </c>
      <c r="AG243" s="5" t="n">
        <v>-6.093</v>
      </c>
      <c r="AH243" s="5" t="n">
        <v>4.694</v>
      </c>
      <c r="AI243" s="5" t="n">
        <v>0</v>
      </c>
      <c r="AJ243" s="5" t="n">
        <v>0</v>
      </c>
      <c r="AK243" s="5" t="n">
        <v>14.866</v>
      </c>
      <c r="AL243" s="5" t="n">
        <v>7.465</v>
      </c>
      <c r="AM243" s="5" t="n">
        <v>-11.29</v>
      </c>
      <c r="AN243" s="5" t="n">
        <v>4.076</v>
      </c>
      <c r="AO243" s="5" t="n">
        <v>0</v>
      </c>
      <c r="AP243" s="5" t="n">
        <v>0</v>
      </c>
      <c r="AQ243" s="5" t="n">
        <v>0.847</v>
      </c>
      <c r="AR243" s="5" t="n">
        <v>0.123</v>
      </c>
      <c r="AS243" s="5" t="n">
        <v>-0.384</v>
      </c>
      <c r="AT243" s="5" t="n">
        <v>0.528</v>
      </c>
      <c r="AU243" s="5" t="n">
        <v>0</v>
      </c>
      <c r="AV243" s="5" t="n">
        <v>0</v>
      </c>
      <c r="AW243" s="5" t="n">
        <v>0.947</v>
      </c>
      <c r="AX243" s="5" t="n">
        <v>0.123</v>
      </c>
      <c r="AY243" s="5" t="n">
        <v>-0.627</v>
      </c>
      <c r="AZ243" s="5" t="n">
        <v>0.364</v>
      </c>
      <c r="BA243" s="5" t="n">
        <v>0</v>
      </c>
      <c r="BB243" s="5" t="n">
        <v>0</v>
      </c>
      <c r="BC243" s="5" t="n">
        <v>0.589</v>
      </c>
      <c r="BD243" s="5" t="n">
        <v>0.123</v>
      </c>
      <c r="BE243" s="5" t="n">
        <v>-0.453</v>
      </c>
      <c r="BF243" s="5" t="n">
        <v>0.154</v>
      </c>
      <c r="BG243" s="5" t="n">
        <v>0</v>
      </c>
      <c r="BH243" s="5" t="n">
        <v>0</v>
      </c>
      <c r="BI243" s="5" t="n">
        <v>0.6889999999999999</v>
      </c>
      <c r="BJ243" s="5" t="n">
        <v>0.123</v>
      </c>
      <c r="BK243" s="5" t="n">
        <v>-0.369</v>
      </c>
      <c r="BL243" s="5" t="n">
        <v>0.364</v>
      </c>
      <c r="BM243" s="5" t="n">
        <v>0</v>
      </c>
      <c r="BN243" s="5" t="n">
        <v>0</v>
      </c>
      <c r="BO243" s="5" t="n">
        <v>0</v>
      </c>
      <c r="BP243" s="5" t="n">
        <v>-0.05</v>
      </c>
      <c r="BQ243" s="5" t="n">
        <v>0.056</v>
      </c>
      <c r="BR243" s="5" t="n">
        <v>0</v>
      </c>
      <c r="BS243" s="5" t="n">
        <v>0.833</v>
      </c>
      <c r="BT243" s="5" t="n">
        <v>0</v>
      </c>
      <c r="BU243" s="5" t="n">
        <v>-0.05</v>
      </c>
      <c r="BV243" s="5" t="n">
        <v>0.054</v>
      </c>
      <c r="BW243" s="5" t="n">
        <v>0</v>
      </c>
      <c r="BX243" s="5" t="n">
        <v>0.833</v>
      </c>
      <c r="BY243" s="5" t="n">
        <v>12.729</v>
      </c>
      <c r="BZ243" s="5" t="n">
        <v>0</v>
      </c>
      <c r="CA243" s="5" t="n">
        <v>12.729</v>
      </c>
      <c r="CB243" s="5" t="n">
        <v>0</v>
      </c>
      <c r="CC243" s="5" t="n">
        <v>102.477</v>
      </c>
      <c r="CD243" s="5" t="n">
        <v>7.95</v>
      </c>
      <c r="CE243" s="5" t="n">
        <v>-73.404</v>
      </c>
      <c r="CF243" s="5" t="n">
        <v>33.143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0</v>
      </c>
      <c r="CN243" s="5" t="n">
        <v>0</v>
      </c>
      <c r="CO243" s="5" t="n">
        <v>0</v>
      </c>
      <c r="CP243" s="5" t="n">
        <v>0</v>
      </c>
      <c r="CQ243" s="5" t="n">
        <v>1.294</v>
      </c>
      <c r="CR243" s="5" t="n">
        <v>0.899</v>
      </c>
      <c r="CS243" s="5" t="n">
        <v>7.33</v>
      </c>
      <c r="CT243" s="5" t="n">
        <v>10.485</v>
      </c>
      <c r="CU243" s="5" t="n">
        <v>28.059</v>
      </c>
    </row>
    <row r="244">
      <c r="A244" s="5" t="inlineStr">
        <is>
          <t>EGY2023</t>
        </is>
      </c>
      <c r="B244" s="5" t="inlineStr">
        <is>
          <t>EGY</t>
        </is>
      </c>
      <c r="C244" s="5" t="inlineStr">
        <is>
          <t>EGY</t>
        </is>
      </c>
      <c r="D244" s="5" t="inlineStr">
        <is>
          <t>Egypt</t>
        </is>
      </c>
      <c r="E244" s="5" t="n">
        <v>2023</v>
      </c>
      <c r="F244" s="5" t="n">
        <v>0.14</v>
      </c>
      <c r="G244" s="5" t="n">
        <v>6.147</v>
      </c>
      <c r="H244" s="5" t="n">
        <v>1.286</v>
      </c>
      <c r="I244" s="5" t="n">
        <v>0</v>
      </c>
      <c r="J244" s="5" t="n">
        <v>6.147</v>
      </c>
      <c r="K244" s="5" t="n">
        <v>0</v>
      </c>
      <c r="L244" s="5" t="n">
        <v>1</v>
      </c>
      <c r="M244" s="5" t="n">
        <v>7.886</v>
      </c>
      <c r="N244" s="5" t="n">
        <v>3.857</v>
      </c>
      <c r="O244" s="5" t="n">
        <v>0.201</v>
      </c>
      <c r="P244" s="5" t="n">
        <v>8.087999999999999</v>
      </c>
      <c r="Q244" s="5" t="n">
        <v>0</v>
      </c>
      <c r="R244" s="5" t="n">
        <v>1</v>
      </c>
      <c r="S244" s="5" t="n">
        <v>12.575</v>
      </c>
      <c r="T244" s="5" t="n">
        <v>7.714</v>
      </c>
      <c r="U244" s="5" t="n">
        <v>0.195</v>
      </c>
      <c r="V244" s="5" t="n">
        <v>14.336</v>
      </c>
      <c r="W244" s="5" t="n">
        <v>0.14</v>
      </c>
      <c r="X244" s="5" t="n">
        <v>1</v>
      </c>
      <c r="Y244" s="5" t="n">
        <v>8.602</v>
      </c>
      <c r="Z244" s="5" t="n">
        <v>1.055</v>
      </c>
      <c r="AA244" s="5" t="n">
        <v>-6.208</v>
      </c>
      <c r="AB244" s="5" t="n">
        <v>2.394</v>
      </c>
      <c r="AC244" s="5" t="n">
        <v>0</v>
      </c>
      <c r="AD244" s="5" t="n">
        <v>0</v>
      </c>
      <c r="AE244" s="5" t="n">
        <v>9.337</v>
      </c>
      <c r="AF244" s="5" t="n">
        <v>2.006</v>
      </c>
      <c r="AG244" s="5" t="n">
        <v>-4.749</v>
      </c>
      <c r="AH244" s="5" t="n">
        <v>4.589</v>
      </c>
      <c r="AI244" s="5" t="n">
        <v>0</v>
      </c>
      <c r="AJ244" s="5" t="n">
        <v>0</v>
      </c>
      <c r="AK244" s="5" t="n">
        <v>13.748</v>
      </c>
      <c r="AL244" s="5" t="n">
        <v>6.904</v>
      </c>
      <c r="AM244" s="5" t="n">
        <v>-11.171</v>
      </c>
      <c r="AN244" s="5" t="n">
        <v>2.939</v>
      </c>
      <c r="AO244" s="5" t="n">
        <v>0</v>
      </c>
      <c r="AP244" s="5" t="n">
        <v>0</v>
      </c>
      <c r="AQ244" s="5" t="n">
        <v>0.749</v>
      </c>
      <c r="AR244" s="5" t="n">
        <v>0.129</v>
      </c>
      <c r="AS244" s="5" t="n">
        <v>-0.419</v>
      </c>
      <c r="AT244" s="5" t="n">
        <v>0.376</v>
      </c>
      <c r="AU244" s="5" t="n">
        <v>0</v>
      </c>
      <c r="AV244" s="5" t="n">
        <v>0</v>
      </c>
      <c r="AW244" s="5" t="n">
        <v>0.783</v>
      </c>
      <c r="AX244" s="5" t="n">
        <v>0.129</v>
      </c>
      <c r="AY244" s="5" t="n">
        <v>-0.5570000000000001</v>
      </c>
      <c r="AZ244" s="5" t="n">
        <v>0.257</v>
      </c>
      <c r="BA244" s="5" t="n">
        <v>0</v>
      </c>
      <c r="BB244" s="5" t="n">
        <v>0</v>
      </c>
      <c r="BC244" s="5" t="n">
        <v>0.527</v>
      </c>
      <c r="BD244" s="5" t="n">
        <v>0.129</v>
      </c>
      <c r="BE244" s="5" t="n">
        <v>-0.446</v>
      </c>
      <c r="BF244" s="5" t="n">
        <v>0.093</v>
      </c>
      <c r="BG244" s="5" t="n">
        <v>0</v>
      </c>
      <c r="BH244" s="5" t="n">
        <v>0</v>
      </c>
      <c r="BI244" s="5" t="n">
        <v>0.64</v>
      </c>
      <c r="BJ244" s="5" t="n">
        <v>0.129</v>
      </c>
      <c r="BK244" s="5" t="n">
        <v>-0.432</v>
      </c>
      <c r="BL244" s="5" t="n">
        <v>0.237</v>
      </c>
      <c r="BM244" s="5" t="n">
        <v>0</v>
      </c>
      <c r="BN244" s="5" t="n">
        <v>0</v>
      </c>
      <c r="BO244" s="5" t="n">
        <v>0</v>
      </c>
      <c r="BP244" s="5" t="n">
        <v>-0.05</v>
      </c>
      <c r="BQ244" s="5" t="n">
        <v>0.057</v>
      </c>
      <c r="BR244" s="5" t="n">
        <v>0</v>
      </c>
      <c r="BS244" s="5" t="n">
        <v>0.833</v>
      </c>
      <c r="BT244" s="5" t="n">
        <v>0</v>
      </c>
      <c r="BU244" s="5" t="n">
        <v>-0.05</v>
      </c>
      <c r="BV244" s="5" t="n">
        <v>0.048</v>
      </c>
      <c r="BW244" s="5" t="n">
        <v>0</v>
      </c>
      <c r="BX244" s="5" t="n">
        <v>0.833</v>
      </c>
      <c r="BY244" s="5" t="n">
        <v>13.254</v>
      </c>
      <c r="BZ244" s="5" t="n">
        <v>0</v>
      </c>
      <c r="CA244" s="5" t="n">
        <v>13.254</v>
      </c>
      <c r="CB244" s="5" t="n">
        <v>0</v>
      </c>
      <c r="CC244" s="5" t="n">
        <v>87.07899999999999</v>
      </c>
      <c r="CD244" s="5" t="n">
        <v>7.95</v>
      </c>
      <c r="CE244" s="5" t="n">
        <v>-62.989</v>
      </c>
      <c r="CF244" s="5" t="n">
        <v>27.463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0</v>
      </c>
      <c r="CM244" s="5" t="n">
        <v>0</v>
      </c>
      <c r="CN244" s="5" t="n">
        <v>0</v>
      </c>
      <c r="CO244" s="5" t="n">
        <v>0</v>
      </c>
      <c r="CP244" s="5" t="n">
        <v>0</v>
      </c>
      <c r="CQ244" s="5" t="n">
        <v>1.348</v>
      </c>
      <c r="CR244" s="5" t="n">
        <v>0.856</v>
      </c>
      <c r="CS244" s="5" t="n">
        <v>7.633</v>
      </c>
      <c r="CT244" s="5" t="n">
        <v>4.861</v>
      </c>
      <c r="CU244" s="5" t="n">
        <v>9.260999999999999</v>
      </c>
    </row>
    <row r="245">
      <c r="A245" s="5" t="inlineStr">
        <is>
          <t>EGY2024</t>
        </is>
      </c>
      <c r="B245" s="5" t="inlineStr">
        <is>
          <t>EGY</t>
        </is>
      </c>
      <c r="C245" s="5" t="inlineStr">
        <is>
          <t>EGY</t>
        </is>
      </c>
      <c r="D245" s="5" t="inlineStr">
        <is>
          <t>Egypt</t>
        </is>
      </c>
      <c r="E245" s="5" t="n">
        <v>2024</v>
      </c>
      <c r="F245" s="5" t="n">
        <v>0.14</v>
      </c>
      <c r="G245" s="5" t="n">
        <v>5.575</v>
      </c>
      <c r="H245" s="5" t="n">
        <v>1.324</v>
      </c>
      <c r="I245" s="5" t="n">
        <v>0</v>
      </c>
      <c r="J245" s="5" t="n">
        <v>5.575</v>
      </c>
      <c r="K245" s="5" t="n">
        <v>0</v>
      </c>
      <c r="L245" s="5" t="n">
        <v>1</v>
      </c>
      <c r="M245" s="5" t="n">
        <v>7.124</v>
      </c>
      <c r="N245" s="5" t="n">
        <v>3.971</v>
      </c>
      <c r="O245" s="5" t="n">
        <v>0.158</v>
      </c>
      <c r="P245" s="5" t="n">
        <v>7.281</v>
      </c>
      <c r="Q245" s="5" t="n">
        <v>0</v>
      </c>
      <c r="R245" s="5" t="n">
        <v>1</v>
      </c>
      <c r="S245" s="5" t="n">
        <v>12.193</v>
      </c>
      <c r="T245" s="5" t="n">
        <v>7.942</v>
      </c>
      <c r="U245" s="5" t="n">
        <v>0.233</v>
      </c>
      <c r="V245" s="5" t="n">
        <v>13.9</v>
      </c>
      <c r="W245" s="5" t="n">
        <v>0.14</v>
      </c>
      <c r="X245" s="5" t="n">
        <v>1</v>
      </c>
      <c r="Y245" s="5" t="n">
        <v>8.355</v>
      </c>
      <c r="Z245" s="5" t="n">
        <v>1.025</v>
      </c>
      <c r="AA245" s="5" t="n">
        <v>-5.852</v>
      </c>
      <c r="AB245" s="5" t="n">
        <v>2.503</v>
      </c>
      <c r="AC245" s="5" t="n">
        <v>0</v>
      </c>
      <c r="AD245" s="5" t="n">
        <v>0</v>
      </c>
      <c r="AE245" s="5" t="n">
        <v>9.112</v>
      </c>
      <c r="AF245" s="5" t="n">
        <v>1.957</v>
      </c>
      <c r="AG245" s="5" t="n">
        <v>-4.315</v>
      </c>
      <c r="AH245" s="5" t="n">
        <v>4.797</v>
      </c>
      <c r="AI245" s="5" t="n">
        <v>0</v>
      </c>
      <c r="AJ245" s="5" t="n">
        <v>0</v>
      </c>
      <c r="AK245" s="5" t="n">
        <v>13.653</v>
      </c>
      <c r="AL245" s="5" t="n">
        <v>6.856</v>
      </c>
      <c r="AM245" s="5" t="n">
        <v>-11.725</v>
      </c>
      <c r="AN245" s="5" t="n">
        <v>2.198</v>
      </c>
      <c r="AO245" s="5" t="n">
        <v>0</v>
      </c>
      <c r="AP245" s="5" t="n">
        <v>0</v>
      </c>
      <c r="AQ245" s="5" t="n">
        <v>0.72</v>
      </c>
      <c r="AR245" s="5" t="n">
        <v>0.132</v>
      </c>
      <c r="AS245" s="5" t="n">
        <v>-0.443</v>
      </c>
      <c r="AT245" s="5" t="n">
        <v>0.316</v>
      </c>
      <c r="AU245" s="5" t="n">
        <v>0</v>
      </c>
      <c r="AV245" s="5" t="n">
        <v>0</v>
      </c>
      <c r="AW245" s="5" t="n">
        <v>0.734</v>
      </c>
      <c r="AX245" s="5" t="n">
        <v>0.132</v>
      </c>
      <c r="AY245" s="5" t="n">
        <v>-0.528</v>
      </c>
      <c r="AZ245" s="5" t="n">
        <v>0.235</v>
      </c>
      <c r="BA245" s="5" t="n">
        <v>0</v>
      </c>
      <c r="BB245" s="5" t="n">
        <v>0</v>
      </c>
      <c r="BC245" s="5" t="n">
        <v>0.51</v>
      </c>
      <c r="BD245" s="5" t="n">
        <v>0.132</v>
      </c>
      <c r="BE245" s="5" t="n">
        <v>-0.442</v>
      </c>
      <c r="BF245" s="5" t="n">
        <v>0.078</v>
      </c>
      <c r="BG245" s="5" t="n">
        <v>0</v>
      </c>
      <c r="BH245" s="5" t="n">
        <v>0</v>
      </c>
      <c r="BI245" s="5" t="n">
        <v>0.652</v>
      </c>
      <c r="BJ245" s="5" t="n">
        <v>0.132</v>
      </c>
      <c r="BK245" s="5" t="n">
        <v>-0.45</v>
      </c>
      <c r="BL245" s="5" t="n">
        <v>0.23</v>
      </c>
      <c r="BM245" s="5" t="n">
        <v>0</v>
      </c>
      <c r="BN245" s="5" t="n">
        <v>0</v>
      </c>
      <c r="BO245" s="5" t="n">
        <v>0</v>
      </c>
      <c r="BP245" s="5" t="n">
        <v>-0.052</v>
      </c>
      <c r="BQ245" s="5" t="n">
        <v>0.049</v>
      </c>
      <c r="BR245" s="5" t="n">
        <v>0</v>
      </c>
      <c r="BS245" s="5" t="n">
        <v>0.833</v>
      </c>
      <c r="BT245" s="5" t="n">
        <v>0</v>
      </c>
      <c r="BU245" s="5" t="n">
        <v>-0.052</v>
      </c>
      <c r="BV245" s="5" t="n">
        <v>0.043</v>
      </c>
      <c r="BW245" s="5" t="n">
        <v>0</v>
      </c>
      <c r="BX245" s="5" t="n">
        <v>0.833</v>
      </c>
      <c r="BY245" s="5" t="n">
        <v>13.646</v>
      </c>
      <c r="BZ245" s="5" t="n">
        <v>0</v>
      </c>
      <c r="CA245" s="5" t="n">
        <v>13.646</v>
      </c>
      <c r="CB245" s="5" t="n">
        <v>0</v>
      </c>
      <c r="CC245" s="5" t="n">
        <v>86.38500000000001</v>
      </c>
      <c r="CD245" s="5" t="n">
        <v>7.95</v>
      </c>
      <c r="CE245" s="5" t="n">
        <v>-64.53</v>
      </c>
      <c r="CF245" s="5" t="n">
        <v>24.916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0</v>
      </c>
      <c r="CN245" s="5" t="n">
        <v>0</v>
      </c>
      <c r="CO245" s="5" t="n">
        <v>0</v>
      </c>
      <c r="CP245" s="5" t="n">
        <v>0</v>
      </c>
      <c r="CQ245" s="5" t="n">
        <v>1.387</v>
      </c>
      <c r="CR245" s="5" t="n">
        <v>0.856</v>
      </c>
      <c r="CS245" s="5" t="n">
        <v>7.598</v>
      </c>
      <c r="CT245" s="5" t="n">
        <v>4.251</v>
      </c>
      <c r="CU245" s="5" t="n">
        <v>7.598</v>
      </c>
    </row>
    <row r="246">
      <c r="A246" s="5" t="inlineStr">
        <is>
          <t>SLV2021</t>
        </is>
      </c>
      <c r="B246" s="5" t="inlineStr">
        <is>
          <t>SLV</t>
        </is>
      </c>
      <c r="C246" s="5" t="inlineStr">
        <is>
          <t>SLV</t>
        </is>
      </c>
      <c r="D246" s="5" t="inlineStr">
        <is>
          <t>El Salvador</t>
        </is>
      </c>
      <c r="E246" s="5" t="n">
        <v>2021</v>
      </c>
      <c r="F246" s="5" t="n">
        <v>0.13</v>
      </c>
      <c r="G246" s="5" t="n">
        <v>5.897</v>
      </c>
      <c r="H246" s="5" t="n">
        <v>1.143</v>
      </c>
      <c r="I246" s="5" t="n">
        <v>0.238</v>
      </c>
      <c r="J246" s="5" t="n">
        <v>6.134</v>
      </c>
      <c r="K246" s="5" t="n">
        <v>0</v>
      </c>
      <c r="L246" s="5" t="n">
        <v>1</v>
      </c>
      <c r="M246" s="5" t="n">
        <v>7.964</v>
      </c>
      <c r="N246" s="5" t="n">
        <v>3.43</v>
      </c>
      <c r="O246" s="5" t="n">
        <v>0</v>
      </c>
      <c r="P246" s="5" t="n">
        <v>7.964</v>
      </c>
      <c r="Q246" s="5" t="n">
        <v>0</v>
      </c>
      <c r="R246" s="5" t="n">
        <v>1</v>
      </c>
      <c r="S246" s="5" t="n">
        <v>11.613</v>
      </c>
      <c r="T246" s="5" t="n">
        <v>6.86</v>
      </c>
      <c r="U246" s="5" t="n">
        <v>0.238</v>
      </c>
      <c r="V246" s="5" t="n">
        <v>13.392</v>
      </c>
      <c r="W246" s="5" t="n">
        <v>0.13</v>
      </c>
      <c r="X246" s="5" t="n">
        <v>1</v>
      </c>
      <c r="Y246" s="5" t="n">
        <v>17.127</v>
      </c>
      <c r="Z246" s="5" t="n">
        <v>2.304</v>
      </c>
      <c r="AA246" s="5" t="n">
        <v>0</v>
      </c>
      <c r="AB246" s="5" t="n">
        <v>17.127</v>
      </c>
      <c r="AC246" s="5" t="n">
        <v>0</v>
      </c>
      <c r="AD246" s="5" t="n">
        <v>1</v>
      </c>
      <c r="AE246" s="5" t="n">
        <v>18.27</v>
      </c>
      <c r="AF246" s="5" t="n">
        <v>4.278</v>
      </c>
      <c r="AG246" s="5" t="n">
        <v>0</v>
      </c>
      <c r="AH246" s="5" t="n">
        <v>18.27</v>
      </c>
      <c r="AI246" s="5" t="n">
        <v>0</v>
      </c>
      <c r="AJ246" s="5" t="n">
        <v>1</v>
      </c>
      <c r="AK246" s="5" t="n">
        <v>25.13</v>
      </c>
      <c r="AL246" s="5" t="n">
        <v>13.503</v>
      </c>
      <c r="AM246" s="5" t="n">
        <v>0</v>
      </c>
      <c r="AN246" s="5" t="n">
        <v>28.397</v>
      </c>
      <c r="AO246" s="5" t="n">
        <v>0.13</v>
      </c>
      <c r="AP246" s="5" t="n">
        <v>1</v>
      </c>
      <c r="AQ246" s="5" t="n">
        <v>0.649</v>
      </c>
      <c r="AR246" s="5" t="n">
        <v>0.114</v>
      </c>
      <c r="AS246" s="5" t="n">
        <v>0.162</v>
      </c>
      <c r="AT246" s="5" t="n">
        <v>0.916</v>
      </c>
      <c r="AU246" s="5" t="n">
        <v>0.13</v>
      </c>
      <c r="AV246" s="5" t="n">
        <v>1</v>
      </c>
      <c r="AW246" s="5" t="n">
        <v>0.577</v>
      </c>
      <c r="AX246" s="5" t="n">
        <v>0.114</v>
      </c>
      <c r="AY246" s="5" t="n">
        <v>0.142</v>
      </c>
      <c r="AZ246" s="5" t="n">
        <v>0.8120000000000001</v>
      </c>
      <c r="BA246" s="5" t="n">
        <v>0.13</v>
      </c>
      <c r="BB246" s="5" t="n">
        <v>1</v>
      </c>
      <c r="BC246" s="5" t="n">
        <v>0.458</v>
      </c>
      <c r="BD246" s="5" t="n">
        <v>0.114</v>
      </c>
      <c r="BE246" s="5" t="n">
        <v>-0.196</v>
      </c>
      <c r="BF246" s="5" t="n">
        <v>0.296</v>
      </c>
      <c r="BG246" s="5" t="n">
        <v>0</v>
      </c>
      <c r="BH246" s="5" t="n">
        <v>0</v>
      </c>
      <c r="BI246" s="5" t="n">
        <v>0.491</v>
      </c>
      <c r="BJ246" s="5" t="n">
        <v>0.114</v>
      </c>
      <c r="BK246" s="5" t="n">
        <v>0</v>
      </c>
      <c r="BL246" s="5" t="n">
        <v>0.555</v>
      </c>
      <c r="BM246" s="5" t="n">
        <v>0.13</v>
      </c>
      <c r="BN246" s="5" t="n">
        <v>1</v>
      </c>
      <c r="BO246" s="5" t="n">
        <v>0</v>
      </c>
      <c r="BP246" s="5" t="n">
        <v>0</v>
      </c>
      <c r="BQ246" s="5" t="n">
        <v>0.127</v>
      </c>
      <c r="BR246" s="5" t="n">
        <v>0</v>
      </c>
      <c r="BS246" s="5" t="n">
        <v>1</v>
      </c>
      <c r="BT246" s="5" t="n">
        <v>0</v>
      </c>
      <c r="BU246" s="5" t="n">
        <v>0</v>
      </c>
      <c r="BV246" s="5" t="n">
        <v>0.15</v>
      </c>
      <c r="BW246" s="5" t="n">
        <v>0.13</v>
      </c>
      <c r="BX246" s="5" t="n">
        <v>1</v>
      </c>
      <c r="BY246" s="5" t="n">
        <v>11.787</v>
      </c>
      <c r="BZ246" s="5" t="n">
        <v>0</v>
      </c>
      <c r="CA246" s="5" t="n">
        <v>11.787</v>
      </c>
      <c r="CB246" s="5" t="n">
        <v>0</v>
      </c>
      <c r="CC246" s="5" t="n">
        <v>78.125</v>
      </c>
      <c r="CD246" s="5" t="n">
        <v>7.95</v>
      </c>
      <c r="CE246" s="5" t="n">
        <v>0</v>
      </c>
      <c r="CF246" s="5" t="n">
        <v>88.28100000000001</v>
      </c>
      <c r="CG246" s="5" t="n">
        <v>0.13</v>
      </c>
      <c r="CH246" s="5" t="n">
        <v>1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1.198</v>
      </c>
      <c r="CR246" s="5" t="n">
        <v>0</v>
      </c>
      <c r="CS246" s="5" t="n">
        <v>4.776</v>
      </c>
      <c r="CT246" s="5" t="n">
        <v>4.753</v>
      </c>
      <c r="CU246" s="5" t="n">
        <v>15.983</v>
      </c>
    </row>
    <row r="247">
      <c r="A247" s="5" t="inlineStr">
        <is>
          <t>SLV2022</t>
        </is>
      </c>
      <c r="B247" s="5" t="inlineStr">
        <is>
          <t>SLV</t>
        </is>
      </c>
      <c r="C247" s="5" t="inlineStr">
        <is>
          <t>SLV</t>
        </is>
      </c>
      <c r="D247" s="5" t="inlineStr">
        <is>
          <t>El Salvador</t>
        </is>
      </c>
      <c r="E247" s="5" t="n">
        <v>2022</v>
      </c>
      <c r="F247" s="5" t="n">
        <v>0.13</v>
      </c>
      <c r="G247" s="5" t="n">
        <v>11.72</v>
      </c>
      <c r="H247" s="5" t="n">
        <v>1.235</v>
      </c>
      <c r="I247" s="5" t="n">
        <v>0.5659999999999999</v>
      </c>
      <c r="J247" s="5" t="n">
        <v>12.286</v>
      </c>
      <c r="K247" s="5" t="n">
        <v>0</v>
      </c>
      <c r="L247" s="5" t="n">
        <v>1</v>
      </c>
      <c r="M247" s="5" t="n">
        <v>9.782999999999999</v>
      </c>
      <c r="N247" s="5" t="n">
        <v>3.704</v>
      </c>
      <c r="O247" s="5" t="n">
        <v>0</v>
      </c>
      <c r="P247" s="5" t="n">
        <v>9.782999999999999</v>
      </c>
      <c r="Q247" s="5" t="n">
        <v>0</v>
      </c>
      <c r="R247" s="5" t="n">
        <v>1</v>
      </c>
      <c r="S247" s="5" t="n">
        <v>17.893</v>
      </c>
      <c r="T247" s="5" t="n">
        <v>7.408</v>
      </c>
      <c r="U247" s="5" t="n">
        <v>0.744</v>
      </c>
      <c r="V247" s="5" t="n">
        <v>20.859</v>
      </c>
      <c r="W247" s="5" t="n">
        <v>0.13</v>
      </c>
      <c r="X247" s="5" t="n">
        <v>1</v>
      </c>
      <c r="Y247" s="5" t="n">
        <v>30.728</v>
      </c>
      <c r="Z247" s="5" t="n">
        <v>4.133</v>
      </c>
      <c r="AA247" s="5" t="n">
        <v>0</v>
      </c>
      <c r="AB247" s="5" t="n">
        <v>30.728</v>
      </c>
      <c r="AC247" s="5" t="n">
        <v>0</v>
      </c>
      <c r="AD247" s="5" t="n">
        <v>1</v>
      </c>
      <c r="AE247" s="5" t="n">
        <v>31.963</v>
      </c>
      <c r="AF247" s="5" t="n">
        <v>7.485</v>
      </c>
      <c r="AG247" s="5" t="n">
        <v>0</v>
      </c>
      <c r="AH247" s="5" t="n">
        <v>31.963</v>
      </c>
      <c r="AI247" s="5" t="n">
        <v>0</v>
      </c>
      <c r="AJ247" s="5" t="n">
        <v>1</v>
      </c>
      <c r="AK247" s="5" t="n">
        <v>39.371</v>
      </c>
      <c r="AL247" s="5" t="n">
        <v>21.155</v>
      </c>
      <c r="AM247" s="5" t="n">
        <v>0.379</v>
      </c>
      <c r="AN247" s="5" t="n">
        <v>44.49</v>
      </c>
      <c r="AO247" s="5" t="n">
        <v>0.13</v>
      </c>
      <c r="AP247" s="5" t="n">
        <v>1</v>
      </c>
      <c r="AQ247" s="5" t="n">
        <v>0.896</v>
      </c>
      <c r="AR247" s="5" t="n">
        <v>0.123</v>
      </c>
      <c r="AS247" s="5" t="n">
        <v>0.055</v>
      </c>
      <c r="AT247" s="5" t="n">
        <v>1.075</v>
      </c>
      <c r="AU247" s="5" t="n">
        <v>0.13</v>
      </c>
      <c r="AV247" s="5" t="n">
        <v>1</v>
      </c>
      <c r="AW247" s="5" t="n">
        <v>0.89</v>
      </c>
      <c r="AX247" s="5" t="n">
        <v>0.123</v>
      </c>
      <c r="AY247" s="5" t="n">
        <v>0.054</v>
      </c>
      <c r="AZ247" s="5" t="n">
        <v>1.067</v>
      </c>
      <c r="BA247" s="5" t="n">
        <v>0.13</v>
      </c>
      <c r="BB247" s="5" t="n">
        <v>1</v>
      </c>
      <c r="BC247" s="5" t="n">
        <v>0.62</v>
      </c>
      <c r="BD247" s="5" t="n">
        <v>0.123</v>
      </c>
      <c r="BE247" s="5" t="n">
        <v>-0.403</v>
      </c>
      <c r="BF247" s="5" t="n">
        <v>0.246</v>
      </c>
      <c r="BG247" s="5" t="n">
        <v>0</v>
      </c>
      <c r="BH247" s="5" t="n">
        <v>0</v>
      </c>
      <c r="BI247" s="5" t="n">
        <v>0.608</v>
      </c>
      <c r="BJ247" s="5" t="n">
        <v>0.123</v>
      </c>
      <c r="BK247" s="5" t="n">
        <v>0.006</v>
      </c>
      <c r="BL247" s="5" t="n">
        <v>0.6860000000000001</v>
      </c>
      <c r="BM247" s="5" t="n">
        <v>0.13</v>
      </c>
      <c r="BN247" s="5" t="n">
        <v>1</v>
      </c>
      <c r="BO247" s="5" t="n">
        <v>0</v>
      </c>
      <c r="BP247" s="5" t="n">
        <v>0</v>
      </c>
      <c r="BQ247" s="5" t="n">
        <v>0.165</v>
      </c>
      <c r="BR247" s="5" t="n">
        <v>0</v>
      </c>
      <c r="BS247" s="5" t="n">
        <v>1</v>
      </c>
      <c r="BT247" s="5" t="n">
        <v>0</v>
      </c>
      <c r="BU247" s="5" t="n">
        <v>0</v>
      </c>
      <c r="BV247" s="5" t="n">
        <v>0.16</v>
      </c>
      <c r="BW247" s="5" t="n">
        <v>0.13</v>
      </c>
      <c r="BX247" s="5" t="n">
        <v>1</v>
      </c>
      <c r="BY247" s="5" t="n">
        <v>12.729</v>
      </c>
      <c r="BZ247" s="5" t="n">
        <v>0</v>
      </c>
      <c r="CA247" s="5" t="n">
        <v>12.729</v>
      </c>
      <c r="CB247" s="5" t="n">
        <v>0</v>
      </c>
      <c r="CC247" s="5" t="n">
        <v>97.90000000000001</v>
      </c>
      <c r="CD247" s="5" t="n">
        <v>7.95</v>
      </c>
      <c r="CE247" s="5" t="n">
        <v>0.9419999999999999</v>
      </c>
      <c r="CF247" s="5" t="n">
        <v>110.627</v>
      </c>
      <c r="CG247" s="5" t="n">
        <v>0.13</v>
      </c>
      <c r="CH247" s="5" t="n">
        <v>1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1.294</v>
      </c>
      <c r="CR247" s="5" t="n">
        <v>0</v>
      </c>
      <c r="CS247" s="5" t="n">
        <v>5.158</v>
      </c>
      <c r="CT247" s="5" t="n">
        <v>10.485</v>
      </c>
      <c r="CU247" s="5" t="n">
        <v>29.494</v>
      </c>
    </row>
    <row r="248">
      <c r="A248" s="5" t="inlineStr">
        <is>
          <t>SLV2023</t>
        </is>
      </c>
      <c r="B248" s="5" t="inlineStr">
        <is>
          <t>SLV</t>
        </is>
      </c>
      <c r="C248" s="5" t="inlineStr">
        <is>
          <t>SLV</t>
        </is>
      </c>
      <c r="D248" s="5" t="inlineStr">
        <is>
          <t>El Salvador</t>
        </is>
      </c>
      <c r="E248" s="5" t="n">
        <v>2023</v>
      </c>
      <c r="F248" s="5" t="n">
        <v>0.13</v>
      </c>
      <c r="G248" s="5" t="n">
        <v>6.147</v>
      </c>
      <c r="H248" s="5" t="n">
        <v>1.286</v>
      </c>
      <c r="I248" s="5" t="n">
        <v>0.273</v>
      </c>
      <c r="J248" s="5" t="n">
        <v>6.42</v>
      </c>
      <c r="K248" s="5" t="n">
        <v>0</v>
      </c>
      <c r="L248" s="5" t="n">
        <v>1</v>
      </c>
      <c r="M248" s="5" t="n">
        <v>7.886</v>
      </c>
      <c r="N248" s="5" t="n">
        <v>3.857</v>
      </c>
      <c r="O248" s="5" t="n">
        <v>0</v>
      </c>
      <c r="P248" s="5" t="n">
        <v>7.886</v>
      </c>
      <c r="Q248" s="5" t="n">
        <v>0</v>
      </c>
      <c r="R248" s="5" t="n">
        <v>1</v>
      </c>
      <c r="S248" s="5" t="n">
        <v>12.575</v>
      </c>
      <c r="T248" s="5" t="n">
        <v>7.714</v>
      </c>
      <c r="U248" s="5" t="n">
        <v>0.458</v>
      </c>
      <c r="V248" s="5" t="n">
        <v>14.519</v>
      </c>
      <c r="W248" s="5" t="n">
        <v>0.13</v>
      </c>
      <c r="X248" s="5" t="n">
        <v>1</v>
      </c>
      <c r="Y248" s="5" t="n">
        <v>12.478</v>
      </c>
      <c r="Z248" s="5" t="n">
        <v>1.678</v>
      </c>
      <c r="AA248" s="5" t="n">
        <v>0</v>
      </c>
      <c r="AB248" s="5" t="n">
        <v>12.478</v>
      </c>
      <c r="AC248" s="5" t="n">
        <v>0</v>
      </c>
      <c r="AD248" s="5" t="n">
        <v>1</v>
      </c>
      <c r="AE248" s="5" t="n">
        <v>13.763</v>
      </c>
      <c r="AF248" s="5" t="n">
        <v>3.223</v>
      </c>
      <c r="AG248" s="5" t="n">
        <v>0</v>
      </c>
      <c r="AH248" s="5" t="n">
        <v>13.763</v>
      </c>
      <c r="AI248" s="5" t="n">
        <v>0</v>
      </c>
      <c r="AJ248" s="5" t="n">
        <v>1</v>
      </c>
      <c r="AK248" s="5" t="n">
        <v>21.477</v>
      </c>
      <c r="AL248" s="5" t="n">
        <v>11.54</v>
      </c>
      <c r="AM248" s="5" t="n">
        <v>0.309</v>
      </c>
      <c r="AN248" s="5" t="n">
        <v>24.269</v>
      </c>
      <c r="AO248" s="5" t="n">
        <v>0.13</v>
      </c>
      <c r="AP248" s="5" t="n">
        <v>1</v>
      </c>
      <c r="AQ248" s="5" t="n">
        <v>0.791</v>
      </c>
      <c r="AR248" s="5" t="n">
        <v>0.129</v>
      </c>
      <c r="AS248" s="5" t="n">
        <v>0.183</v>
      </c>
      <c r="AT248" s="5" t="n">
        <v>1.1</v>
      </c>
      <c r="AU248" s="5" t="n">
        <v>0.13</v>
      </c>
      <c r="AV248" s="5" t="n">
        <v>1</v>
      </c>
      <c r="AW248" s="5" t="n">
        <v>0.618</v>
      </c>
      <c r="AX248" s="5" t="n">
        <v>0.129</v>
      </c>
      <c r="AY248" s="5" t="n">
        <v>0.34</v>
      </c>
      <c r="AZ248" s="5" t="n">
        <v>1.083</v>
      </c>
      <c r="BA248" s="5" t="n">
        <v>0.13</v>
      </c>
      <c r="BB248" s="5" t="n">
        <v>1</v>
      </c>
      <c r="BC248" s="5" t="n">
        <v>0.554</v>
      </c>
      <c r="BD248" s="5" t="n">
        <v>0.129</v>
      </c>
      <c r="BE248" s="5" t="n">
        <v>-0.343</v>
      </c>
      <c r="BF248" s="5" t="n">
        <v>0.239</v>
      </c>
      <c r="BG248" s="5" t="n">
        <v>0</v>
      </c>
      <c r="BH248" s="5" t="n">
        <v>0</v>
      </c>
      <c r="BI248" s="5" t="n">
        <v>0.5570000000000001</v>
      </c>
      <c r="BJ248" s="5" t="n">
        <v>0.129</v>
      </c>
      <c r="BK248" s="5" t="n">
        <v>0.008</v>
      </c>
      <c r="BL248" s="5" t="n">
        <v>0.63</v>
      </c>
      <c r="BM248" s="5" t="n">
        <v>0.13</v>
      </c>
      <c r="BN248" s="5" t="n">
        <v>1</v>
      </c>
      <c r="BO248" s="5" t="n">
        <v>0</v>
      </c>
      <c r="BP248" s="5" t="n">
        <v>0</v>
      </c>
      <c r="BQ248" s="5" t="n">
        <v>0.147</v>
      </c>
      <c r="BR248" s="5" t="n">
        <v>0</v>
      </c>
      <c r="BS248" s="5" t="n">
        <v>1</v>
      </c>
      <c r="BT248" s="5" t="n">
        <v>0</v>
      </c>
      <c r="BU248" s="5" t="n">
        <v>0</v>
      </c>
      <c r="BV248" s="5" t="n">
        <v>0.141</v>
      </c>
      <c r="BW248" s="5" t="n">
        <v>0.13</v>
      </c>
      <c r="BX248" s="5" t="n">
        <v>1</v>
      </c>
      <c r="BY248" s="5" t="n">
        <v>13.254</v>
      </c>
      <c r="BZ248" s="5" t="n">
        <v>0</v>
      </c>
      <c r="CA248" s="5" t="n">
        <v>13.254</v>
      </c>
      <c r="CB248" s="5" t="n">
        <v>0</v>
      </c>
      <c r="CC248" s="5" t="n">
        <v>83.248</v>
      </c>
      <c r="CD248" s="5" t="n">
        <v>7.95</v>
      </c>
      <c r="CE248" s="5" t="n">
        <v>1.198</v>
      </c>
      <c r="CF248" s="5" t="n">
        <v>94.06999999999999</v>
      </c>
      <c r="CG248" s="5" t="n">
        <v>0.13</v>
      </c>
      <c r="CH248" s="5" t="n">
        <v>1</v>
      </c>
      <c r="CI248" s="5" t="n">
        <v>0</v>
      </c>
      <c r="CJ248" s="5" t="n">
        <v>0</v>
      </c>
      <c r="CK248" s="5" t="n">
        <v>0</v>
      </c>
      <c r="CL248" s="5" t="n">
        <v>0</v>
      </c>
      <c r="CM248" s="5" t="n">
        <v>0</v>
      </c>
      <c r="CN248" s="5" t="n">
        <v>0</v>
      </c>
      <c r="CO248" s="5" t="n">
        <v>0</v>
      </c>
      <c r="CP248" s="5" t="n">
        <v>0</v>
      </c>
      <c r="CQ248" s="5" t="n">
        <v>1.348</v>
      </c>
      <c r="CR248" s="5" t="n">
        <v>0</v>
      </c>
      <c r="CS248" s="5" t="n">
        <v>5.37</v>
      </c>
      <c r="CT248" s="5" t="n">
        <v>4.861</v>
      </c>
      <c r="CU248" s="5" t="n">
        <v>11.192</v>
      </c>
    </row>
    <row r="249">
      <c r="A249" s="5" t="inlineStr">
        <is>
          <t>SLV2024</t>
        </is>
      </c>
      <c r="B249" s="5" t="inlineStr">
        <is>
          <t>SLV</t>
        </is>
      </c>
      <c r="C249" s="5" t="inlineStr">
        <is>
          <t>SLV</t>
        </is>
      </c>
      <c r="D249" s="5" t="inlineStr">
        <is>
          <t>El Salvador</t>
        </is>
      </c>
      <c r="E249" s="5" t="n">
        <v>2024</v>
      </c>
      <c r="F249" s="5" t="n">
        <v>0.13</v>
      </c>
      <c r="G249" s="5" t="n">
        <v>5.575</v>
      </c>
      <c r="H249" s="5" t="n">
        <v>1.324</v>
      </c>
      <c r="I249" s="5" t="n">
        <v>0.213</v>
      </c>
      <c r="J249" s="5" t="n">
        <v>5.787</v>
      </c>
      <c r="K249" s="5" t="n">
        <v>0</v>
      </c>
      <c r="L249" s="5" t="n">
        <v>1</v>
      </c>
      <c r="M249" s="5" t="n">
        <v>7.124</v>
      </c>
      <c r="N249" s="5" t="n">
        <v>3.971</v>
      </c>
      <c r="O249" s="5" t="n">
        <v>0</v>
      </c>
      <c r="P249" s="5" t="n">
        <v>7.124</v>
      </c>
      <c r="Q249" s="5" t="n">
        <v>0</v>
      </c>
      <c r="R249" s="5" t="n">
        <v>1</v>
      </c>
      <c r="S249" s="5" t="n">
        <v>12.193</v>
      </c>
      <c r="T249" s="5" t="n">
        <v>7.942</v>
      </c>
      <c r="U249" s="5" t="n">
        <v>0.432</v>
      </c>
      <c r="V249" s="5" t="n">
        <v>14.018</v>
      </c>
      <c r="W249" s="5" t="n">
        <v>0.13</v>
      </c>
      <c r="X249" s="5" t="n">
        <v>1</v>
      </c>
      <c r="Y249" s="5" t="n">
        <v>11.447</v>
      </c>
      <c r="Z249" s="5" t="n">
        <v>1.54</v>
      </c>
      <c r="AA249" s="5" t="n">
        <v>0</v>
      </c>
      <c r="AB249" s="5" t="n">
        <v>11.447</v>
      </c>
      <c r="AC249" s="5" t="n">
        <v>0</v>
      </c>
      <c r="AD249" s="5" t="n">
        <v>1</v>
      </c>
      <c r="AE249" s="5" t="n">
        <v>12.771</v>
      </c>
      <c r="AF249" s="5" t="n">
        <v>2.991</v>
      </c>
      <c r="AG249" s="5" t="n">
        <v>0</v>
      </c>
      <c r="AH249" s="5" t="n">
        <v>12.771</v>
      </c>
      <c r="AI249" s="5" t="n">
        <v>0</v>
      </c>
      <c r="AJ249" s="5" t="n">
        <v>1</v>
      </c>
      <c r="AK249" s="5" t="n">
        <v>20.712</v>
      </c>
      <c r="AL249" s="5" t="n">
        <v>11.129</v>
      </c>
      <c r="AM249" s="5" t="n">
        <v>0.367</v>
      </c>
      <c r="AN249" s="5" t="n">
        <v>23.405</v>
      </c>
      <c r="AO249" s="5" t="n">
        <v>0.13</v>
      </c>
      <c r="AP249" s="5" t="n">
        <v>1</v>
      </c>
      <c r="AQ249" s="5" t="n">
        <v>0.756</v>
      </c>
      <c r="AR249" s="5" t="n">
        <v>0.132</v>
      </c>
      <c r="AS249" s="5" t="n">
        <v>0.143</v>
      </c>
      <c r="AT249" s="5" t="n">
        <v>1.016</v>
      </c>
      <c r="AU249" s="5" t="n">
        <v>0.13</v>
      </c>
      <c r="AV249" s="5" t="n">
        <v>1</v>
      </c>
      <c r="AW249" s="5" t="n">
        <v>0.655</v>
      </c>
      <c r="AX249" s="5" t="n">
        <v>0.132</v>
      </c>
      <c r="AY249" s="5" t="n">
        <v>0.207</v>
      </c>
      <c r="AZ249" s="5" t="n">
        <v>0.974</v>
      </c>
      <c r="BA249" s="5" t="n">
        <v>0.13</v>
      </c>
      <c r="BB249" s="5" t="n">
        <v>1</v>
      </c>
      <c r="BC249" s="5" t="n">
        <v>0.534</v>
      </c>
      <c r="BD249" s="5" t="n">
        <v>0.132</v>
      </c>
      <c r="BE249" s="5" t="n">
        <v>-0.321</v>
      </c>
      <c r="BF249" s="5" t="n">
        <v>0.24</v>
      </c>
      <c r="BG249" s="5" t="n">
        <v>0</v>
      </c>
      <c r="BH249" s="5" t="n">
        <v>0</v>
      </c>
      <c r="BI249" s="5" t="n">
        <v>0.5679999999999999</v>
      </c>
      <c r="BJ249" s="5" t="n">
        <v>0.132</v>
      </c>
      <c r="BK249" s="5" t="n">
        <v>0.01</v>
      </c>
      <c r="BL249" s="5" t="n">
        <v>0.642</v>
      </c>
      <c r="BM249" s="5" t="n">
        <v>0.13</v>
      </c>
      <c r="BN249" s="5" t="n">
        <v>1</v>
      </c>
      <c r="BO249" s="5" t="n">
        <v>0</v>
      </c>
      <c r="BP249" s="5" t="n">
        <v>0</v>
      </c>
      <c r="BQ249" s="5" t="n">
        <v>0.194</v>
      </c>
      <c r="BR249" s="5" t="n">
        <v>0</v>
      </c>
      <c r="BS249" s="5" t="n">
        <v>1</v>
      </c>
      <c r="BT249" s="5" t="n">
        <v>0</v>
      </c>
      <c r="BU249" s="5" t="n">
        <v>0</v>
      </c>
      <c r="BV249" s="5" t="n">
        <v>0.205</v>
      </c>
      <c r="BW249" s="5" t="n">
        <v>0.13</v>
      </c>
      <c r="BX249" s="5" t="n">
        <v>1</v>
      </c>
      <c r="BY249" s="5" t="n">
        <v>13.646</v>
      </c>
      <c r="BZ249" s="5" t="n">
        <v>0</v>
      </c>
      <c r="CA249" s="5" t="n">
        <v>13.646</v>
      </c>
      <c r="CB249" s="5" t="n">
        <v>0</v>
      </c>
      <c r="CC249" s="5" t="n">
        <v>82.58799999999999</v>
      </c>
      <c r="CD249" s="5" t="n">
        <v>7.95</v>
      </c>
      <c r="CE249" s="5" t="n">
        <v>1.462</v>
      </c>
      <c r="CF249" s="5" t="n">
        <v>93.324</v>
      </c>
      <c r="CG249" s="5" t="n">
        <v>0.13</v>
      </c>
      <c r="CH249" s="5" t="n">
        <v>1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0</v>
      </c>
      <c r="CN249" s="5" t="n">
        <v>0</v>
      </c>
      <c r="CO249" s="5" t="n">
        <v>0</v>
      </c>
      <c r="CP249" s="5" t="n">
        <v>0</v>
      </c>
      <c r="CQ249" s="5" t="n">
        <v>1.387</v>
      </c>
      <c r="CR249" s="5" t="n">
        <v>0</v>
      </c>
      <c r="CS249" s="5" t="n">
        <v>5.529</v>
      </c>
      <c r="CT249" s="5" t="n">
        <v>4.251</v>
      </c>
      <c r="CU249" s="5" t="n">
        <v>10.123</v>
      </c>
    </row>
    <row r="250">
      <c r="A250" s="5" t="inlineStr">
        <is>
          <t>GNQ2021</t>
        </is>
      </c>
      <c r="B250" s="5" t="inlineStr">
        <is>
          <t>GNQ</t>
        </is>
      </c>
      <c r="C250" s="5" t="inlineStr">
        <is>
          <t>GNQ</t>
        </is>
      </c>
      <c r="D250" s="5" t="inlineStr">
        <is>
          <t>Equatorial Guinea</t>
        </is>
      </c>
      <c r="E250" s="5" t="n">
        <v>2021</v>
      </c>
      <c r="F250" s="5" t="n">
        <v>0.15</v>
      </c>
      <c r="G250" s="5" t="n">
        <v>5.897</v>
      </c>
      <c r="H250" s="5" t="n">
        <v>1.143</v>
      </c>
      <c r="I250" s="5" t="n">
        <v>0</v>
      </c>
      <c r="J250" s="5" t="n">
        <v>5.897</v>
      </c>
      <c r="K250" s="5" t="n">
        <v>0</v>
      </c>
      <c r="L250" s="5" t="n">
        <v>1</v>
      </c>
      <c r="M250" s="5" t="n">
        <v>7.964</v>
      </c>
      <c r="N250" s="5" t="n">
        <v>3.43</v>
      </c>
      <c r="O250" s="5" t="n">
        <v>0</v>
      </c>
      <c r="P250" s="5" t="n">
        <v>7.964</v>
      </c>
      <c r="Q250" s="5" t="n">
        <v>0</v>
      </c>
      <c r="R250" s="5" t="n">
        <v>1</v>
      </c>
      <c r="S250" s="5" t="n">
        <v>11.613</v>
      </c>
      <c r="T250" s="5" t="n">
        <v>6.86</v>
      </c>
      <c r="U250" s="5" t="n">
        <v>0</v>
      </c>
      <c r="V250" s="5" t="n">
        <v>13.355</v>
      </c>
      <c r="W250" s="5" t="n">
        <v>0.15</v>
      </c>
      <c r="X250" s="5" t="n">
        <v>1</v>
      </c>
      <c r="Y250" s="5" t="n">
        <v>4.09</v>
      </c>
      <c r="Z250" s="5" t="n">
        <v>0.449</v>
      </c>
      <c r="AA250" s="5" t="n">
        <v>0</v>
      </c>
      <c r="AB250" s="5" t="n">
        <v>4.09</v>
      </c>
      <c r="AC250" s="5" t="n">
        <v>0</v>
      </c>
      <c r="AD250" s="5" t="n">
        <v>1</v>
      </c>
      <c r="AE250" s="5" t="n">
        <v>4.662</v>
      </c>
      <c r="AF250" s="5" t="n">
        <v>0.907</v>
      </c>
      <c r="AG250" s="5" t="n">
        <v>0</v>
      </c>
      <c r="AH250" s="5" t="n">
        <v>4.662</v>
      </c>
      <c r="AI250" s="5" t="n">
        <v>0</v>
      </c>
      <c r="AJ250" s="5" t="n">
        <v>1</v>
      </c>
      <c r="AK250" s="5" t="n">
        <v>8.092000000000001</v>
      </c>
      <c r="AL250" s="5" t="n">
        <v>3.817</v>
      </c>
      <c r="AM250" s="5" t="n">
        <v>0</v>
      </c>
      <c r="AN250" s="5" t="n">
        <v>9.305</v>
      </c>
      <c r="AO250" s="5" t="n">
        <v>0.15</v>
      </c>
      <c r="AP250" s="5" t="n">
        <v>1</v>
      </c>
      <c r="AQ250" s="5" t="n">
        <v>0.619</v>
      </c>
      <c r="AR250" s="5" t="n">
        <v>0.114</v>
      </c>
      <c r="AS250" s="5" t="n">
        <v>0.129</v>
      </c>
      <c r="AT250" s="5" t="n">
        <v>0.861</v>
      </c>
      <c r="AU250" s="5" t="n">
        <v>0.15</v>
      </c>
      <c r="AV250" s="5" t="n">
        <v>1</v>
      </c>
      <c r="AW250" s="5" t="n">
        <v>0.599</v>
      </c>
      <c r="AX250" s="5" t="n">
        <v>0.114</v>
      </c>
      <c r="AY250" s="5" t="n">
        <v>-0.052</v>
      </c>
      <c r="AZ250" s="5" t="n">
        <v>0.629</v>
      </c>
      <c r="BA250" s="5" t="n">
        <v>0.15</v>
      </c>
      <c r="BB250" s="5" t="n">
        <v>1</v>
      </c>
      <c r="BC250" s="5" t="n">
        <v>0.439</v>
      </c>
      <c r="BD250" s="5" t="n">
        <v>0.114</v>
      </c>
      <c r="BE250" s="5" t="n">
        <v>0</v>
      </c>
      <c r="BF250" s="5" t="n">
        <v>0.505</v>
      </c>
      <c r="BG250" s="5" t="n">
        <v>0.15</v>
      </c>
      <c r="BH250" s="5" t="n">
        <v>1</v>
      </c>
      <c r="BI250" s="5" t="n">
        <v>0.505</v>
      </c>
      <c r="BJ250" s="5" t="n">
        <v>0.114</v>
      </c>
      <c r="BK250" s="5" t="n">
        <v>-0.169</v>
      </c>
      <c r="BL250" s="5" t="n">
        <v>0.386</v>
      </c>
      <c r="BM250" s="5" t="n">
        <v>0</v>
      </c>
      <c r="BN250" s="5" t="n">
        <v>0</v>
      </c>
      <c r="BO250" s="5" t="n">
        <v>0</v>
      </c>
      <c r="BP250" s="5" t="n">
        <v>0</v>
      </c>
      <c r="BQ250" s="5" t="n">
        <v>0.082</v>
      </c>
      <c r="BR250" s="5" t="n">
        <v>0</v>
      </c>
      <c r="BS250" s="5" t="n">
        <v>1</v>
      </c>
      <c r="BT250" s="5" t="n">
        <v>0</v>
      </c>
      <c r="BU250" s="5" t="n">
        <v>0</v>
      </c>
      <c r="BV250" s="5" t="n">
        <v>0.109</v>
      </c>
      <c r="BW250" s="5" t="n">
        <v>0</v>
      </c>
      <c r="BX250" s="5" t="n">
        <v>1</v>
      </c>
      <c r="BY250" s="5" t="n">
        <v>11.787</v>
      </c>
      <c r="BZ250" s="5" t="n">
        <v>0</v>
      </c>
      <c r="CA250" s="5" t="n">
        <v>11.787</v>
      </c>
      <c r="CB250" s="5" t="n">
        <v>0</v>
      </c>
      <c r="CC250" s="5" t="n">
        <v>78.125</v>
      </c>
      <c r="CD250" s="5" t="n">
        <v>7.95</v>
      </c>
      <c r="CE250" s="5" t="n">
        <v>0</v>
      </c>
      <c r="CF250" s="5" t="n">
        <v>89.84399999999999</v>
      </c>
      <c r="CG250" s="5" t="n">
        <v>0.15</v>
      </c>
      <c r="CH250" s="5" t="n">
        <v>1</v>
      </c>
      <c r="CI250" s="5" t="n">
        <v>0</v>
      </c>
      <c r="CJ250" s="5" t="n">
        <v>0</v>
      </c>
      <c r="CK250" s="5" t="n">
        <v>0</v>
      </c>
      <c r="CL250" s="5" t="n">
        <v>0</v>
      </c>
      <c r="CM250" s="5" t="n">
        <v>0</v>
      </c>
      <c r="CN250" s="5" t="n">
        <v>0</v>
      </c>
      <c r="CO250" s="5" t="n">
        <v>0</v>
      </c>
      <c r="CP250" s="5" t="n">
        <v>0</v>
      </c>
      <c r="CQ250" s="5" t="n">
        <v>1.198</v>
      </c>
      <c r="CR250" s="5" t="n">
        <v>1</v>
      </c>
      <c r="CS250" s="5" t="n">
        <v>3.518</v>
      </c>
      <c r="CT250" s="5" t="n">
        <v>4.753</v>
      </c>
      <c r="CU250" s="5" t="n">
        <v>14.129</v>
      </c>
    </row>
    <row r="251">
      <c r="A251" s="5" t="inlineStr">
        <is>
          <t>GNQ2022</t>
        </is>
      </c>
      <c r="B251" s="5" t="inlineStr">
        <is>
          <t>GNQ</t>
        </is>
      </c>
      <c r="C251" s="5" t="inlineStr">
        <is>
          <t>GNQ</t>
        </is>
      </c>
      <c r="D251" s="5" t="inlineStr">
        <is>
          <t>Equatorial Guinea</t>
        </is>
      </c>
      <c r="E251" s="5" t="n">
        <v>2022</v>
      </c>
      <c r="F251" s="5" t="n">
        <v>0.15</v>
      </c>
      <c r="G251" s="5" t="n">
        <v>11.72</v>
      </c>
      <c r="H251" s="5" t="n">
        <v>1.235</v>
      </c>
      <c r="I251" s="5" t="n">
        <v>0</v>
      </c>
      <c r="J251" s="5" t="n">
        <v>11.72</v>
      </c>
      <c r="K251" s="5" t="n">
        <v>0</v>
      </c>
      <c r="L251" s="5" t="n">
        <v>1</v>
      </c>
      <c r="M251" s="5" t="n">
        <v>9.782999999999999</v>
      </c>
      <c r="N251" s="5" t="n">
        <v>3.704</v>
      </c>
      <c r="O251" s="5" t="n">
        <v>0</v>
      </c>
      <c r="P251" s="5" t="n">
        <v>9.782999999999999</v>
      </c>
      <c r="Q251" s="5" t="n">
        <v>0</v>
      </c>
      <c r="R251" s="5" t="n">
        <v>1</v>
      </c>
      <c r="S251" s="5" t="n">
        <v>17.893</v>
      </c>
      <c r="T251" s="5" t="n">
        <v>7.408</v>
      </c>
      <c r="U251" s="5" t="n">
        <v>0.199</v>
      </c>
      <c r="V251" s="5" t="n">
        <v>20.577</v>
      </c>
      <c r="W251" s="5" t="n">
        <v>0.15</v>
      </c>
      <c r="X251" s="5" t="n">
        <v>1</v>
      </c>
      <c r="Y251" s="5" t="n">
        <v>4.417</v>
      </c>
      <c r="Z251" s="5" t="n">
        <v>0.485</v>
      </c>
      <c r="AA251" s="5" t="n">
        <v>0</v>
      </c>
      <c r="AB251" s="5" t="n">
        <v>4.417</v>
      </c>
      <c r="AC251" s="5" t="n">
        <v>0</v>
      </c>
      <c r="AD251" s="5" t="n">
        <v>1</v>
      </c>
      <c r="AE251" s="5" t="n">
        <v>5.034</v>
      </c>
      <c r="AF251" s="5" t="n">
        <v>0.979</v>
      </c>
      <c r="AG251" s="5" t="n">
        <v>0</v>
      </c>
      <c r="AH251" s="5" t="n">
        <v>5.034</v>
      </c>
      <c r="AI251" s="5" t="n">
        <v>0</v>
      </c>
      <c r="AJ251" s="5" t="n">
        <v>1</v>
      </c>
      <c r="AK251" s="5" t="n">
        <v>8.738</v>
      </c>
      <c r="AL251" s="5" t="n">
        <v>4.122</v>
      </c>
      <c r="AM251" s="5" t="n">
        <v>0.097</v>
      </c>
      <c r="AN251" s="5" t="n">
        <v>10.049</v>
      </c>
      <c r="AO251" s="5" t="n">
        <v>0.15</v>
      </c>
      <c r="AP251" s="5" t="n">
        <v>1</v>
      </c>
      <c r="AQ251" s="5" t="n">
        <v>0.861</v>
      </c>
      <c r="AR251" s="5" t="n">
        <v>0.123</v>
      </c>
      <c r="AS251" s="5" t="n">
        <v>-0.179</v>
      </c>
      <c r="AT251" s="5" t="n">
        <v>0.785</v>
      </c>
      <c r="AU251" s="5" t="n">
        <v>0.15</v>
      </c>
      <c r="AV251" s="5" t="n">
        <v>1</v>
      </c>
      <c r="AW251" s="5" t="n">
        <v>0.986</v>
      </c>
      <c r="AX251" s="5" t="n">
        <v>0.123</v>
      </c>
      <c r="AY251" s="5" t="n">
        <v>-0.338</v>
      </c>
      <c r="AZ251" s="5" t="n">
        <v>0.746</v>
      </c>
      <c r="BA251" s="5" t="n">
        <v>0.15</v>
      </c>
      <c r="BB251" s="5" t="n">
        <v>1</v>
      </c>
      <c r="BC251" s="5" t="n">
        <v>0.598</v>
      </c>
      <c r="BD251" s="5" t="n">
        <v>0.123</v>
      </c>
      <c r="BE251" s="5" t="n">
        <v>0.007</v>
      </c>
      <c r="BF251" s="5" t="n">
        <v>0.6879999999999999</v>
      </c>
      <c r="BG251" s="5" t="n">
        <v>0.15</v>
      </c>
      <c r="BH251" s="5" t="n">
        <v>1</v>
      </c>
      <c r="BI251" s="5" t="n">
        <v>0.612</v>
      </c>
      <c r="BJ251" s="5" t="n">
        <v>0.123</v>
      </c>
      <c r="BK251" s="5" t="n">
        <v>-0.314</v>
      </c>
      <c r="BL251" s="5" t="n">
        <v>0.343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0.089</v>
      </c>
      <c r="BR251" s="5" t="n">
        <v>0</v>
      </c>
      <c r="BS251" s="5" t="n">
        <v>1</v>
      </c>
      <c r="BT251" s="5" t="n">
        <v>0</v>
      </c>
      <c r="BU251" s="5" t="n">
        <v>0</v>
      </c>
      <c r="BV251" s="5" t="n">
        <v>0.117</v>
      </c>
      <c r="BW251" s="5" t="n">
        <v>0</v>
      </c>
      <c r="BX251" s="5" t="n">
        <v>1</v>
      </c>
      <c r="BY251" s="5" t="n">
        <v>12.729</v>
      </c>
      <c r="BZ251" s="5" t="n">
        <v>0</v>
      </c>
      <c r="CA251" s="5" t="n">
        <v>12.729</v>
      </c>
      <c r="CB251" s="5" t="n">
        <v>0</v>
      </c>
      <c r="CC251" s="5" t="n">
        <v>97.90000000000001</v>
      </c>
      <c r="CD251" s="5" t="n">
        <v>7.95</v>
      </c>
      <c r="CE251" s="5" t="n">
        <v>1.087</v>
      </c>
      <c r="CF251" s="5" t="n">
        <v>112.585</v>
      </c>
      <c r="CG251" s="5" t="n">
        <v>0.15</v>
      </c>
      <c r="CH251" s="5" t="n">
        <v>1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0</v>
      </c>
      <c r="CN251" s="5" t="n">
        <v>0</v>
      </c>
      <c r="CO251" s="5" t="n">
        <v>0</v>
      </c>
      <c r="CP251" s="5" t="n">
        <v>0</v>
      </c>
      <c r="CQ251" s="5" t="n">
        <v>1.294</v>
      </c>
      <c r="CR251" s="5" t="n">
        <v>1</v>
      </c>
      <c r="CS251" s="5" t="n">
        <v>3.8</v>
      </c>
      <c r="CT251" s="5" t="n">
        <v>10.485</v>
      </c>
      <c r="CU251" s="5" t="n">
        <v>28.059</v>
      </c>
    </row>
    <row r="252">
      <c r="A252" s="5" t="inlineStr">
        <is>
          <t>GNQ2023</t>
        </is>
      </c>
      <c r="B252" s="5" t="inlineStr">
        <is>
          <t>GNQ</t>
        </is>
      </c>
      <c r="C252" s="5" t="inlineStr">
        <is>
          <t>GNQ</t>
        </is>
      </c>
      <c r="D252" s="5" t="inlineStr">
        <is>
          <t>Equatorial Guinea</t>
        </is>
      </c>
      <c r="E252" s="5" t="n">
        <v>2023</v>
      </c>
      <c r="F252" s="5" t="n">
        <v>0.15</v>
      </c>
      <c r="G252" s="5" t="n">
        <v>6.147</v>
      </c>
      <c r="H252" s="5" t="n">
        <v>1.286</v>
      </c>
      <c r="I252" s="5" t="n">
        <v>0</v>
      </c>
      <c r="J252" s="5" t="n">
        <v>6.147</v>
      </c>
      <c r="K252" s="5" t="n">
        <v>0</v>
      </c>
      <c r="L252" s="5" t="n">
        <v>1</v>
      </c>
      <c r="M252" s="5" t="n">
        <v>7.886</v>
      </c>
      <c r="N252" s="5" t="n">
        <v>3.857</v>
      </c>
      <c r="O252" s="5" t="n">
        <v>0</v>
      </c>
      <c r="P252" s="5" t="n">
        <v>7.886</v>
      </c>
      <c r="Q252" s="5" t="n">
        <v>0</v>
      </c>
      <c r="R252" s="5" t="n">
        <v>1</v>
      </c>
      <c r="S252" s="5" t="n">
        <v>12.575</v>
      </c>
      <c r="T252" s="5" t="n">
        <v>7.714</v>
      </c>
      <c r="U252" s="5" t="n">
        <v>0.209</v>
      </c>
      <c r="V252" s="5" t="n">
        <v>14.461</v>
      </c>
      <c r="W252" s="5" t="n">
        <v>0.15</v>
      </c>
      <c r="X252" s="5" t="n">
        <v>1</v>
      </c>
      <c r="Y252" s="5" t="n">
        <v>4.599</v>
      </c>
      <c r="Z252" s="5" t="n">
        <v>0.505</v>
      </c>
      <c r="AA252" s="5" t="n">
        <v>0</v>
      </c>
      <c r="AB252" s="5" t="n">
        <v>4.599</v>
      </c>
      <c r="AC252" s="5" t="n">
        <v>0</v>
      </c>
      <c r="AD252" s="5" t="n">
        <v>1</v>
      </c>
      <c r="AE252" s="5" t="n">
        <v>5.242</v>
      </c>
      <c r="AF252" s="5" t="n">
        <v>1.019</v>
      </c>
      <c r="AG252" s="5" t="n">
        <v>0</v>
      </c>
      <c r="AH252" s="5" t="n">
        <v>5.242</v>
      </c>
      <c r="AI252" s="5" t="n">
        <v>0</v>
      </c>
      <c r="AJ252" s="5" t="n">
        <v>1</v>
      </c>
      <c r="AK252" s="5" t="n">
        <v>9.099</v>
      </c>
      <c r="AL252" s="5" t="n">
        <v>4.292</v>
      </c>
      <c r="AM252" s="5" t="n">
        <v>0.151</v>
      </c>
      <c r="AN252" s="5" t="n">
        <v>10.464</v>
      </c>
      <c r="AO252" s="5" t="n">
        <v>0.15</v>
      </c>
      <c r="AP252" s="5" t="n">
        <v>1</v>
      </c>
      <c r="AQ252" s="5" t="n">
        <v>0.76</v>
      </c>
      <c r="AR252" s="5" t="n">
        <v>0.129</v>
      </c>
      <c r="AS252" s="5" t="n">
        <v>-0.055</v>
      </c>
      <c r="AT252" s="5" t="n">
        <v>0.8110000000000001</v>
      </c>
      <c r="AU252" s="5" t="n">
        <v>0.15</v>
      </c>
      <c r="AV252" s="5" t="n">
        <v>1</v>
      </c>
      <c r="AW252" s="5" t="n">
        <v>0.8110000000000001</v>
      </c>
      <c r="AX252" s="5" t="n">
        <v>0.129</v>
      </c>
      <c r="AY252" s="5" t="n">
        <v>-0.136</v>
      </c>
      <c r="AZ252" s="5" t="n">
        <v>0.776</v>
      </c>
      <c r="BA252" s="5" t="n">
        <v>0.15</v>
      </c>
      <c r="BB252" s="5" t="n">
        <v>1</v>
      </c>
      <c r="BC252" s="5" t="n">
        <v>0.535</v>
      </c>
      <c r="BD252" s="5" t="n">
        <v>0.129</v>
      </c>
      <c r="BE252" s="5" t="n">
        <v>0.008999999999999999</v>
      </c>
      <c r="BF252" s="5" t="n">
        <v>0.615</v>
      </c>
      <c r="BG252" s="5" t="n">
        <v>0.15</v>
      </c>
      <c r="BH252" s="5" t="n">
        <v>1</v>
      </c>
      <c r="BI252" s="5" t="n">
        <v>0.579</v>
      </c>
      <c r="BJ252" s="5" t="n">
        <v>0.129</v>
      </c>
      <c r="BK252" s="5" t="n">
        <v>-0.279</v>
      </c>
      <c r="BL252" s="5" t="n">
        <v>0.346</v>
      </c>
      <c r="BM252" s="5" t="n">
        <v>0</v>
      </c>
      <c r="BN252" s="5" t="n">
        <v>0</v>
      </c>
      <c r="BO252" s="5" t="n">
        <v>0</v>
      </c>
      <c r="BP252" s="5" t="n">
        <v>0</v>
      </c>
      <c r="BQ252" s="5" t="n">
        <v>0.092</v>
      </c>
      <c r="BR252" s="5" t="n">
        <v>0</v>
      </c>
      <c r="BS252" s="5" t="n">
        <v>1</v>
      </c>
      <c r="BT252" s="5" t="n">
        <v>0</v>
      </c>
      <c r="BU252" s="5" t="n">
        <v>0</v>
      </c>
      <c r="BV252" s="5" t="n">
        <v>0.122</v>
      </c>
      <c r="BW252" s="5" t="n">
        <v>0</v>
      </c>
      <c r="BX252" s="5" t="n">
        <v>1</v>
      </c>
      <c r="BY252" s="5" t="n">
        <v>13.254</v>
      </c>
      <c r="BZ252" s="5" t="n">
        <v>0</v>
      </c>
      <c r="CA252" s="5" t="n">
        <v>13.254</v>
      </c>
      <c r="CB252" s="5" t="n">
        <v>0</v>
      </c>
      <c r="CC252" s="5" t="n">
        <v>83.248</v>
      </c>
      <c r="CD252" s="5" t="n">
        <v>7.95</v>
      </c>
      <c r="CE252" s="5" t="n">
        <v>1.383</v>
      </c>
      <c r="CF252" s="5" t="n">
        <v>95.735</v>
      </c>
      <c r="CG252" s="5" t="n">
        <v>0.15</v>
      </c>
      <c r="CH252" s="5" t="n">
        <v>1</v>
      </c>
      <c r="CI252" s="5" t="n">
        <v>0</v>
      </c>
      <c r="CJ252" s="5" t="n">
        <v>0</v>
      </c>
      <c r="CK252" s="5" t="n">
        <v>0</v>
      </c>
      <c r="CL252" s="5" t="n">
        <v>0</v>
      </c>
      <c r="CM252" s="5" t="n">
        <v>0</v>
      </c>
      <c r="CN252" s="5" t="n">
        <v>0</v>
      </c>
      <c r="CO252" s="5" t="n">
        <v>0</v>
      </c>
      <c r="CP252" s="5" t="n">
        <v>0</v>
      </c>
      <c r="CQ252" s="5" t="n">
        <v>1.348</v>
      </c>
      <c r="CR252" s="5" t="n">
        <v>1</v>
      </c>
      <c r="CS252" s="5" t="n">
        <v>3.956</v>
      </c>
      <c r="CT252" s="5" t="n">
        <v>4.861</v>
      </c>
      <c r="CU252" s="5" t="n">
        <v>9.260999999999999</v>
      </c>
    </row>
    <row r="253">
      <c r="A253" s="5" t="inlineStr">
        <is>
          <t>GNQ2024</t>
        </is>
      </c>
      <c r="B253" s="5" t="inlineStr">
        <is>
          <t>GNQ</t>
        </is>
      </c>
      <c r="C253" s="5" t="inlineStr">
        <is>
          <t>GNQ</t>
        </is>
      </c>
      <c r="D253" s="5" t="inlineStr">
        <is>
          <t>Equatorial Guinea</t>
        </is>
      </c>
      <c r="E253" s="5" t="n">
        <v>2024</v>
      </c>
      <c r="F253" s="5" t="n">
        <v>0.15</v>
      </c>
      <c r="G253" s="5" t="n">
        <v>5.575</v>
      </c>
      <c r="H253" s="5" t="n">
        <v>1.324</v>
      </c>
      <c r="I253" s="5" t="n">
        <v>0</v>
      </c>
      <c r="J253" s="5" t="n">
        <v>5.575</v>
      </c>
      <c r="K253" s="5" t="n">
        <v>0</v>
      </c>
      <c r="L253" s="5" t="n">
        <v>1</v>
      </c>
      <c r="M253" s="5" t="n">
        <v>7.124</v>
      </c>
      <c r="N253" s="5" t="n">
        <v>3.971</v>
      </c>
      <c r="O253" s="5" t="n">
        <v>0</v>
      </c>
      <c r="P253" s="5" t="n">
        <v>7.124</v>
      </c>
      <c r="Q253" s="5" t="n">
        <v>0</v>
      </c>
      <c r="R253" s="5" t="n">
        <v>1</v>
      </c>
      <c r="S253" s="5" t="n">
        <v>12.193</v>
      </c>
      <c r="T253" s="5" t="n">
        <v>7.942</v>
      </c>
      <c r="U253" s="5" t="n">
        <v>0.249</v>
      </c>
      <c r="V253" s="5" t="n">
        <v>14.022</v>
      </c>
      <c r="W253" s="5" t="n">
        <v>0.15</v>
      </c>
      <c r="X253" s="5" t="n">
        <v>1</v>
      </c>
      <c r="Y253" s="5" t="n">
        <v>4.735</v>
      </c>
      <c r="Z253" s="5" t="n">
        <v>0.52</v>
      </c>
      <c r="AA253" s="5" t="n">
        <v>0</v>
      </c>
      <c r="AB253" s="5" t="n">
        <v>4.735</v>
      </c>
      <c r="AC253" s="5" t="n">
        <v>0</v>
      </c>
      <c r="AD253" s="5" t="n">
        <v>1</v>
      </c>
      <c r="AE253" s="5" t="n">
        <v>5.397</v>
      </c>
      <c r="AF253" s="5" t="n">
        <v>1.049</v>
      </c>
      <c r="AG253" s="5" t="n">
        <v>0</v>
      </c>
      <c r="AH253" s="5" t="n">
        <v>5.397</v>
      </c>
      <c r="AI253" s="5" t="n">
        <v>0</v>
      </c>
      <c r="AJ253" s="5" t="n">
        <v>1</v>
      </c>
      <c r="AK253" s="5" t="n">
        <v>9.368</v>
      </c>
      <c r="AL253" s="5" t="n">
        <v>4.419</v>
      </c>
      <c r="AM253" s="5" t="n">
        <v>0.191</v>
      </c>
      <c r="AN253" s="5" t="n">
        <v>10.773</v>
      </c>
      <c r="AO253" s="5" t="n">
        <v>0.15</v>
      </c>
      <c r="AP253" s="5" t="n">
        <v>1</v>
      </c>
      <c r="AQ253" s="5" t="n">
        <v>0.724</v>
      </c>
      <c r="AR253" s="5" t="n">
        <v>0.132</v>
      </c>
      <c r="AS253" s="5" t="n">
        <v>-0.019</v>
      </c>
      <c r="AT253" s="5" t="n">
        <v>0.8110000000000001</v>
      </c>
      <c r="AU253" s="5" t="n">
        <v>0.15</v>
      </c>
      <c r="AV253" s="5" t="n">
        <v>1</v>
      </c>
      <c r="AW253" s="5" t="n">
        <v>0.75</v>
      </c>
      <c r="AX253" s="5" t="n">
        <v>0.132</v>
      </c>
      <c r="AY253" s="5" t="n">
        <v>-0.075</v>
      </c>
      <c r="AZ253" s="5" t="n">
        <v>0.776</v>
      </c>
      <c r="BA253" s="5" t="n">
        <v>0.15</v>
      </c>
      <c r="BB253" s="5" t="n">
        <v>1</v>
      </c>
      <c r="BC253" s="5" t="n">
        <v>0.513</v>
      </c>
      <c r="BD253" s="5" t="n">
        <v>0.132</v>
      </c>
      <c r="BE253" s="5" t="n">
        <v>0.01</v>
      </c>
      <c r="BF253" s="5" t="n">
        <v>0.59</v>
      </c>
      <c r="BG253" s="5" t="n">
        <v>0.15</v>
      </c>
      <c r="BH253" s="5" t="n">
        <v>1</v>
      </c>
      <c r="BI253" s="5" t="n">
        <v>0.591</v>
      </c>
      <c r="BJ253" s="5" t="n">
        <v>0.132</v>
      </c>
      <c r="BK253" s="5" t="n">
        <v>-0.291</v>
      </c>
      <c r="BL253" s="5" t="n">
        <v>0.346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0.095</v>
      </c>
      <c r="BR253" s="5" t="n">
        <v>0</v>
      </c>
      <c r="BS253" s="5" t="n">
        <v>1</v>
      </c>
      <c r="BT253" s="5" t="n">
        <v>0</v>
      </c>
      <c r="BU253" s="5" t="n">
        <v>0</v>
      </c>
      <c r="BV253" s="5" t="n">
        <v>0.126</v>
      </c>
      <c r="BW253" s="5" t="n">
        <v>0</v>
      </c>
      <c r="BX253" s="5" t="n">
        <v>1</v>
      </c>
      <c r="BY253" s="5" t="n">
        <v>13.646</v>
      </c>
      <c r="BZ253" s="5" t="n">
        <v>0</v>
      </c>
      <c r="CA253" s="5" t="n">
        <v>13.646</v>
      </c>
      <c r="CB253" s="5" t="n">
        <v>0</v>
      </c>
      <c r="CC253" s="5" t="n">
        <v>82.58799999999999</v>
      </c>
      <c r="CD253" s="5" t="n">
        <v>7.95</v>
      </c>
      <c r="CE253" s="5" t="n">
        <v>1.687</v>
      </c>
      <c r="CF253" s="5" t="n">
        <v>94.976</v>
      </c>
      <c r="CG253" s="5" t="n">
        <v>0.15</v>
      </c>
      <c r="CH253" s="5" t="n">
        <v>1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1.387</v>
      </c>
      <c r="CR253" s="5" t="n">
        <v>1</v>
      </c>
      <c r="CS253" s="5" t="n">
        <v>4.073</v>
      </c>
      <c r="CT253" s="5" t="n">
        <v>4.251</v>
      </c>
      <c r="CU253" s="5" t="n">
        <v>7.598</v>
      </c>
    </row>
    <row r="254">
      <c r="A254" s="5" t="inlineStr">
        <is>
          <t>ERI2021</t>
        </is>
      </c>
      <c r="B254" s="5" t="inlineStr">
        <is>
          <t>ERI</t>
        </is>
      </c>
      <c r="C254" s="5" t="inlineStr">
        <is>
          <t>ERI</t>
        </is>
      </c>
      <c r="D254" s="5" t="inlineStr">
        <is>
          <t>Eritrea</t>
        </is>
      </c>
      <c r="E254" s="5" t="n">
        <v>2021</v>
      </c>
      <c r="F254" s="5" t="n">
        <v>0.08500000000000001</v>
      </c>
      <c r="G254" s="5" t="n">
        <v>5.897</v>
      </c>
      <c r="H254" s="5" t="n">
        <v>1.143</v>
      </c>
      <c r="I254" s="5" t="n">
        <v>0</v>
      </c>
      <c r="J254" s="5" t="n">
        <v>5.897</v>
      </c>
      <c r="K254" s="5" t="n">
        <v>0</v>
      </c>
      <c r="L254" s="5" t="n">
        <v>1</v>
      </c>
      <c r="M254" s="5" t="n">
        <v>7.964</v>
      </c>
      <c r="N254" s="5" t="n">
        <v>3.43</v>
      </c>
      <c r="O254" s="5" t="n">
        <v>0</v>
      </c>
      <c r="P254" s="5" t="n">
        <v>7.964</v>
      </c>
      <c r="Q254" s="5" t="n">
        <v>0</v>
      </c>
      <c r="R254" s="5" t="n">
        <v>1</v>
      </c>
      <c r="S254" s="5" t="n">
        <v>11.613</v>
      </c>
      <c r="T254" s="5" t="n">
        <v>6.86</v>
      </c>
      <c r="U254" s="5" t="n">
        <v>0</v>
      </c>
      <c r="V254" s="5" t="n">
        <v>12.6</v>
      </c>
      <c r="W254" s="5" t="n">
        <v>0.08500000000000001</v>
      </c>
      <c r="X254" s="5" t="n">
        <v>1</v>
      </c>
      <c r="Y254" s="5" t="n">
        <v>16.305</v>
      </c>
      <c r="Z254" s="5" t="n">
        <v>2.204</v>
      </c>
      <c r="AA254" s="5" t="n">
        <v>0</v>
      </c>
      <c r="AB254" s="5" t="n">
        <v>16.305</v>
      </c>
      <c r="AC254" s="5" t="n">
        <v>0</v>
      </c>
      <c r="AD254" s="5" t="n">
        <v>1</v>
      </c>
      <c r="AE254" s="5" t="n">
        <v>17.449</v>
      </c>
      <c r="AF254" s="5" t="n">
        <v>4.08</v>
      </c>
      <c r="AG254" s="5" t="n">
        <v>0</v>
      </c>
      <c r="AH254" s="5" t="n">
        <v>17.449</v>
      </c>
      <c r="AI254" s="5" t="n">
        <v>0</v>
      </c>
      <c r="AJ254" s="5" t="n">
        <v>1</v>
      </c>
      <c r="AK254" s="5" t="n">
        <v>24.309</v>
      </c>
      <c r="AL254" s="5" t="n">
        <v>12.947</v>
      </c>
      <c r="AM254" s="5" t="n">
        <v>0</v>
      </c>
      <c r="AN254" s="5" t="n">
        <v>26.375</v>
      </c>
      <c r="AO254" s="5" t="n">
        <v>0.08500000000000001</v>
      </c>
      <c r="AP254" s="5" t="n">
        <v>1</v>
      </c>
      <c r="AQ254" s="5" t="n">
        <v>0.619</v>
      </c>
      <c r="AR254" s="5" t="n">
        <v>0.114</v>
      </c>
      <c r="AS254" s="5" t="n">
        <v>0</v>
      </c>
      <c r="AT254" s="5" t="n">
        <v>0.672</v>
      </c>
      <c r="AU254" s="5" t="n">
        <v>0.08500000000000001</v>
      </c>
      <c r="AV254" s="5" t="n">
        <v>1</v>
      </c>
      <c r="AW254" s="5" t="n">
        <v>0.599</v>
      </c>
      <c r="AX254" s="5" t="n">
        <v>0.114</v>
      </c>
      <c r="AY254" s="5" t="n">
        <v>0</v>
      </c>
      <c r="AZ254" s="5" t="n">
        <v>0.65</v>
      </c>
      <c r="BA254" s="5" t="n">
        <v>0.08500000000000001</v>
      </c>
      <c r="BB254" s="5" t="n">
        <v>1</v>
      </c>
      <c r="BC254" s="5" t="n">
        <v>0.439</v>
      </c>
      <c r="BD254" s="5" t="n">
        <v>0.114</v>
      </c>
      <c r="BE254" s="5" t="n">
        <v>0</v>
      </c>
      <c r="BF254" s="5" t="n">
        <v>0.476</v>
      </c>
      <c r="BG254" s="5" t="n">
        <v>0.08500000000000001</v>
      </c>
      <c r="BH254" s="5" t="n">
        <v>1</v>
      </c>
      <c r="BI254" s="5" t="n">
        <v>0.505</v>
      </c>
      <c r="BJ254" s="5" t="n">
        <v>0.114</v>
      </c>
      <c r="BK254" s="5" t="n">
        <v>0</v>
      </c>
      <c r="BL254" s="5" t="n">
        <v>0.548</v>
      </c>
      <c r="BM254" s="5" t="n">
        <v>0.08500000000000001</v>
      </c>
      <c r="BN254" s="5" t="n">
        <v>1</v>
      </c>
      <c r="BO254" s="5" t="n">
        <v>0</v>
      </c>
      <c r="BP254" s="5" t="n">
        <v>0</v>
      </c>
      <c r="BQ254" s="5" t="n">
        <v>0.24</v>
      </c>
      <c r="BR254" s="5" t="n">
        <v>0</v>
      </c>
      <c r="BS254" s="5" t="n">
        <v>0.167</v>
      </c>
      <c r="BT254" s="5" t="n">
        <v>0</v>
      </c>
      <c r="BU254" s="5" t="n">
        <v>0</v>
      </c>
      <c r="BV254" s="5" t="n">
        <v>0.24</v>
      </c>
      <c r="BW254" s="5" t="n">
        <v>0.08500000000000001</v>
      </c>
      <c r="BX254" s="5" t="n">
        <v>0.167</v>
      </c>
      <c r="BY254" s="5" t="n">
        <v>11.787</v>
      </c>
      <c r="BZ254" s="5" t="n">
        <v>0</v>
      </c>
      <c r="CA254" s="5" t="n">
        <v>11.787</v>
      </c>
      <c r="CB254" s="5" t="n">
        <v>0</v>
      </c>
      <c r="CC254" s="5" t="n">
        <v>78.125</v>
      </c>
      <c r="CD254" s="5" t="n">
        <v>7.95</v>
      </c>
      <c r="CE254" s="5" t="n">
        <v>0</v>
      </c>
      <c r="CF254" s="5" t="n">
        <v>84.76600000000001</v>
      </c>
      <c r="CG254" s="5" t="n">
        <v>0.08500000000000001</v>
      </c>
      <c r="CH254" s="5" t="n">
        <v>1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1.198</v>
      </c>
      <c r="CR254" s="5" t="n">
        <v>0</v>
      </c>
      <c r="CS254" s="5" t="n">
        <v>4.776</v>
      </c>
      <c r="CT254" s="5" t="n">
        <v>4.753</v>
      </c>
      <c r="CU254" s="5" t="n">
        <v>15.162</v>
      </c>
    </row>
    <row r="255">
      <c r="A255" s="5" t="inlineStr">
        <is>
          <t>ERI2022</t>
        </is>
      </c>
      <c r="B255" s="5" t="inlineStr">
        <is>
          <t>ERI</t>
        </is>
      </c>
      <c r="C255" s="5" t="inlineStr">
        <is>
          <t>ERI</t>
        </is>
      </c>
      <c r="D255" s="5" t="inlineStr">
        <is>
          <t>Eritrea</t>
        </is>
      </c>
      <c r="E255" s="5" t="n">
        <v>2022</v>
      </c>
      <c r="F255" s="5" t="n">
        <v>0.08500000000000001</v>
      </c>
      <c r="G255" s="5" t="n">
        <v>11.72</v>
      </c>
      <c r="H255" s="5" t="n">
        <v>1.235</v>
      </c>
      <c r="I255" s="5" t="n">
        <v>0</v>
      </c>
      <c r="J255" s="5" t="n">
        <v>11.72</v>
      </c>
      <c r="K255" s="5" t="n">
        <v>0</v>
      </c>
      <c r="L255" s="5" t="n">
        <v>1</v>
      </c>
      <c r="M255" s="5" t="n">
        <v>9.782999999999999</v>
      </c>
      <c r="N255" s="5" t="n">
        <v>3.704</v>
      </c>
      <c r="O255" s="5" t="n">
        <v>0</v>
      </c>
      <c r="P255" s="5" t="n">
        <v>9.782999999999999</v>
      </c>
      <c r="Q255" s="5" t="n">
        <v>0</v>
      </c>
      <c r="R255" s="5" t="n">
        <v>1</v>
      </c>
      <c r="S255" s="5" t="n">
        <v>17.893</v>
      </c>
      <c r="T255" s="5" t="n">
        <v>7.408</v>
      </c>
      <c r="U255" s="5" t="n">
        <v>0.113</v>
      </c>
      <c r="V255" s="5" t="n">
        <v>19.414</v>
      </c>
      <c r="W255" s="5" t="n">
        <v>0.08500000000000001</v>
      </c>
      <c r="X255" s="5" t="n">
        <v>1</v>
      </c>
      <c r="Y255" s="5" t="n">
        <v>32.56</v>
      </c>
      <c r="Z255" s="5" t="n">
        <v>4.401</v>
      </c>
      <c r="AA255" s="5" t="n">
        <v>0</v>
      </c>
      <c r="AB255" s="5" t="n">
        <v>32.56</v>
      </c>
      <c r="AC255" s="5" t="n">
        <v>0</v>
      </c>
      <c r="AD255" s="5" t="n">
        <v>1</v>
      </c>
      <c r="AE255" s="5" t="n">
        <v>33.795</v>
      </c>
      <c r="AF255" s="5" t="n">
        <v>7.902</v>
      </c>
      <c r="AG255" s="5" t="n">
        <v>0</v>
      </c>
      <c r="AH255" s="5" t="n">
        <v>33.795</v>
      </c>
      <c r="AI255" s="5" t="n">
        <v>0</v>
      </c>
      <c r="AJ255" s="5" t="n">
        <v>1</v>
      </c>
      <c r="AK255" s="5" t="n">
        <v>41.203</v>
      </c>
      <c r="AL255" s="5" t="n">
        <v>21.945</v>
      </c>
      <c r="AM255" s="5" t="n">
        <v>0.259</v>
      </c>
      <c r="AN255" s="5" t="n">
        <v>44.705</v>
      </c>
      <c r="AO255" s="5" t="n">
        <v>0.08500000000000001</v>
      </c>
      <c r="AP255" s="5" t="n">
        <v>1</v>
      </c>
      <c r="AQ255" s="5" t="n">
        <v>0.861</v>
      </c>
      <c r="AR255" s="5" t="n">
        <v>0.123</v>
      </c>
      <c r="AS255" s="5" t="n">
        <v>0.005</v>
      </c>
      <c r="AT255" s="5" t="n">
        <v>0.9340000000000001</v>
      </c>
      <c r="AU255" s="5" t="n">
        <v>0.08500000000000001</v>
      </c>
      <c r="AV255" s="5" t="n">
        <v>1</v>
      </c>
      <c r="AW255" s="5" t="n">
        <v>0.986</v>
      </c>
      <c r="AX255" s="5" t="n">
        <v>0.123</v>
      </c>
      <c r="AY255" s="5" t="n">
        <v>0.006</v>
      </c>
      <c r="AZ255" s="5" t="n">
        <v>1.07</v>
      </c>
      <c r="BA255" s="5" t="n">
        <v>0.08500000000000001</v>
      </c>
      <c r="BB255" s="5" t="n">
        <v>1</v>
      </c>
      <c r="BC255" s="5" t="n">
        <v>0.598</v>
      </c>
      <c r="BD255" s="5" t="n">
        <v>0.123</v>
      </c>
      <c r="BE255" s="5" t="n">
        <v>0.004</v>
      </c>
      <c r="BF255" s="5" t="n">
        <v>0.649</v>
      </c>
      <c r="BG255" s="5" t="n">
        <v>0.08500000000000001</v>
      </c>
      <c r="BH255" s="5" t="n">
        <v>1</v>
      </c>
      <c r="BI255" s="5" t="n">
        <v>0.612</v>
      </c>
      <c r="BJ255" s="5" t="n">
        <v>0.123</v>
      </c>
      <c r="BK255" s="5" t="n">
        <v>0.004</v>
      </c>
      <c r="BL255" s="5" t="n">
        <v>0.664</v>
      </c>
      <c r="BM255" s="5" t="n">
        <v>0.08500000000000001</v>
      </c>
      <c r="BN255" s="5" t="n">
        <v>1</v>
      </c>
      <c r="BO255" s="5" t="n">
        <v>0</v>
      </c>
      <c r="BP255" s="5" t="n">
        <v>0</v>
      </c>
      <c r="BQ255" s="5" t="n">
        <v>0.24</v>
      </c>
      <c r="BR255" s="5" t="n">
        <v>0</v>
      </c>
      <c r="BS255" s="5" t="n">
        <v>0.167</v>
      </c>
      <c r="BT255" s="5" t="n">
        <v>0</v>
      </c>
      <c r="BU255" s="5" t="n">
        <v>0</v>
      </c>
      <c r="BV255" s="5" t="n">
        <v>0.24</v>
      </c>
      <c r="BW255" s="5" t="n">
        <v>0.08500000000000001</v>
      </c>
      <c r="BX255" s="5" t="n">
        <v>0.167</v>
      </c>
      <c r="BY255" s="5" t="n">
        <v>12.729</v>
      </c>
      <c r="BZ255" s="5" t="n">
        <v>0</v>
      </c>
      <c r="CA255" s="5" t="n">
        <v>12.729</v>
      </c>
      <c r="CB255" s="5" t="n">
        <v>0</v>
      </c>
      <c r="CC255" s="5" t="n">
        <v>97.90000000000001</v>
      </c>
      <c r="CD255" s="5" t="n">
        <v>7.95</v>
      </c>
      <c r="CE255" s="5" t="n">
        <v>0.616</v>
      </c>
      <c r="CF255" s="5" t="n">
        <v>106.222</v>
      </c>
      <c r="CG255" s="5" t="n">
        <v>0.08500000000000001</v>
      </c>
      <c r="CH255" s="5" t="n">
        <v>1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0</v>
      </c>
      <c r="CO255" s="5" t="n">
        <v>0</v>
      </c>
      <c r="CP255" s="5" t="n">
        <v>0</v>
      </c>
      <c r="CQ255" s="5" t="n">
        <v>1.294</v>
      </c>
      <c r="CR255" s="5" t="n">
        <v>0</v>
      </c>
      <c r="CS255" s="5" t="n">
        <v>5.158</v>
      </c>
      <c r="CT255" s="5" t="n">
        <v>10.485</v>
      </c>
      <c r="CU255" s="5" t="n">
        <v>31.326</v>
      </c>
    </row>
    <row r="256">
      <c r="A256" s="5" t="inlineStr">
        <is>
          <t>ERI2023</t>
        </is>
      </c>
      <c r="B256" s="5" t="inlineStr">
        <is>
          <t>ERI</t>
        </is>
      </c>
      <c r="C256" s="5" t="inlineStr">
        <is>
          <t>ERI</t>
        </is>
      </c>
      <c r="D256" s="5" t="inlineStr">
        <is>
          <t>Eritrea</t>
        </is>
      </c>
      <c r="E256" s="5" t="n">
        <v>2023</v>
      </c>
      <c r="F256" s="5" t="n">
        <v>0.08500000000000001</v>
      </c>
      <c r="G256" s="5" t="n">
        <v>6.147</v>
      </c>
      <c r="H256" s="5" t="n">
        <v>1.286</v>
      </c>
      <c r="I256" s="5" t="n">
        <v>0</v>
      </c>
      <c r="J256" s="5" t="n">
        <v>6.147</v>
      </c>
      <c r="K256" s="5" t="n">
        <v>0</v>
      </c>
      <c r="L256" s="5" t="n">
        <v>1</v>
      </c>
      <c r="M256" s="5" t="n">
        <v>7.886</v>
      </c>
      <c r="N256" s="5" t="n">
        <v>3.857</v>
      </c>
      <c r="O256" s="5" t="n">
        <v>0</v>
      </c>
      <c r="P256" s="5" t="n">
        <v>7.886</v>
      </c>
      <c r="Q256" s="5" t="n">
        <v>0</v>
      </c>
      <c r="R256" s="5" t="n">
        <v>1</v>
      </c>
      <c r="S256" s="5" t="n">
        <v>12.575</v>
      </c>
      <c r="T256" s="5" t="n">
        <v>7.714</v>
      </c>
      <c r="U256" s="5" t="n">
        <v>0.118</v>
      </c>
      <c r="V256" s="5" t="n">
        <v>13.644</v>
      </c>
      <c r="W256" s="5" t="n">
        <v>0.08500000000000001</v>
      </c>
      <c r="X256" s="5" t="n">
        <v>1</v>
      </c>
      <c r="Y256" s="5" t="n">
        <v>12.908</v>
      </c>
      <c r="Z256" s="5" t="n">
        <v>1.745</v>
      </c>
      <c r="AA256" s="5" t="n">
        <v>0</v>
      </c>
      <c r="AB256" s="5" t="n">
        <v>12.908</v>
      </c>
      <c r="AC256" s="5" t="n">
        <v>0</v>
      </c>
      <c r="AD256" s="5" t="n">
        <v>1</v>
      </c>
      <c r="AE256" s="5" t="n">
        <v>14.194</v>
      </c>
      <c r="AF256" s="5" t="n">
        <v>3.319</v>
      </c>
      <c r="AG256" s="5" t="n">
        <v>0</v>
      </c>
      <c r="AH256" s="5" t="n">
        <v>14.194</v>
      </c>
      <c r="AI256" s="5" t="n">
        <v>0</v>
      </c>
      <c r="AJ256" s="5" t="n">
        <v>1</v>
      </c>
      <c r="AK256" s="5" t="n">
        <v>21.908</v>
      </c>
      <c r="AL256" s="5" t="n">
        <v>11.668</v>
      </c>
      <c r="AM256" s="5" t="n">
        <v>0.206</v>
      </c>
      <c r="AN256" s="5" t="n">
        <v>23.77</v>
      </c>
      <c r="AO256" s="5" t="n">
        <v>0.08500000000000001</v>
      </c>
      <c r="AP256" s="5" t="n">
        <v>1</v>
      </c>
      <c r="AQ256" s="5" t="n">
        <v>0.76</v>
      </c>
      <c r="AR256" s="5" t="n">
        <v>0.129</v>
      </c>
      <c r="AS256" s="5" t="n">
        <v>0.007</v>
      </c>
      <c r="AT256" s="5" t="n">
        <v>0.825</v>
      </c>
      <c r="AU256" s="5" t="n">
        <v>0.08500000000000001</v>
      </c>
      <c r="AV256" s="5" t="n">
        <v>1</v>
      </c>
      <c r="AW256" s="5" t="n">
        <v>0.8110000000000001</v>
      </c>
      <c r="AX256" s="5" t="n">
        <v>0.129</v>
      </c>
      <c r="AY256" s="5" t="n">
        <v>0.008</v>
      </c>
      <c r="AZ256" s="5" t="n">
        <v>0.88</v>
      </c>
      <c r="BA256" s="5" t="n">
        <v>0.08500000000000001</v>
      </c>
      <c r="BB256" s="5" t="n">
        <v>1</v>
      </c>
      <c r="BC256" s="5" t="n">
        <v>0.535</v>
      </c>
      <c r="BD256" s="5" t="n">
        <v>0.129</v>
      </c>
      <c r="BE256" s="5" t="n">
        <v>0.005</v>
      </c>
      <c r="BF256" s="5" t="n">
        <v>0.58</v>
      </c>
      <c r="BG256" s="5" t="n">
        <v>0.08500000000000001</v>
      </c>
      <c r="BH256" s="5" t="n">
        <v>1</v>
      </c>
      <c r="BI256" s="5" t="n">
        <v>0.579</v>
      </c>
      <c r="BJ256" s="5" t="n">
        <v>0.129</v>
      </c>
      <c r="BK256" s="5" t="n">
        <v>0.005</v>
      </c>
      <c r="BL256" s="5" t="n">
        <v>0.629</v>
      </c>
      <c r="BM256" s="5" t="n">
        <v>0.08500000000000001</v>
      </c>
      <c r="BN256" s="5" t="n">
        <v>1</v>
      </c>
      <c r="BO256" s="5" t="n">
        <v>0</v>
      </c>
      <c r="BP256" s="5" t="n">
        <v>0</v>
      </c>
      <c r="BQ256" s="5" t="n">
        <v>0.24</v>
      </c>
      <c r="BR256" s="5" t="n">
        <v>0</v>
      </c>
      <c r="BS256" s="5" t="n">
        <v>0.167</v>
      </c>
      <c r="BT256" s="5" t="n">
        <v>0</v>
      </c>
      <c r="BU256" s="5" t="n">
        <v>0</v>
      </c>
      <c r="BV256" s="5" t="n">
        <v>0.24</v>
      </c>
      <c r="BW256" s="5" t="n">
        <v>0.08500000000000001</v>
      </c>
      <c r="BX256" s="5" t="n">
        <v>0.167</v>
      </c>
      <c r="BY256" s="5" t="n">
        <v>13.254</v>
      </c>
      <c r="BZ256" s="5" t="n">
        <v>0</v>
      </c>
      <c r="CA256" s="5" t="n">
        <v>13.254</v>
      </c>
      <c r="CB256" s="5" t="n">
        <v>0</v>
      </c>
      <c r="CC256" s="5" t="n">
        <v>83.248</v>
      </c>
      <c r="CD256" s="5" t="n">
        <v>7.95</v>
      </c>
      <c r="CE256" s="5" t="n">
        <v>0.783</v>
      </c>
      <c r="CF256" s="5" t="n">
        <v>90.324</v>
      </c>
      <c r="CG256" s="5" t="n">
        <v>0.08500000000000001</v>
      </c>
      <c r="CH256" s="5" t="n">
        <v>1</v>
      </c>
      <c r="CI256" s="5" t="n">
        <v>0</v>
      </c>
      <c r="CJ256" s="5" t="n">
        <v>0</v>
      </c>
      <c r="CK256" s="5" t="n">
        <v>0</v>
      </c>
      <c r="CL256" s="5" t="n">
        <v>0</v>
      </c>
      <c r="CM256" s="5" t="n">
        <v>0</v>
      </c>
      <c r="CN256" s="5" t="n">
        <v>0</v>
      </c>
      <c r="CO256" s="5" t="n">
        <v>0</v>
      </c>
      <c r="CP256" s="5" t="n">
        <v>0</v>
      </c>
      <c r="CQ256" s="5" t="n">
        <v>1.348</v>
      </c>
      <c r="CR256" s="5" t="n">
        <v>0</v>
      </c>
      <c r="CS256" s="5" t="n">
        <v>5.37</v>
      </c>
      <c r="CT256" s="5" t="n">
        <v>4.861</v>
      </c>
      <c r="CU256" s="5" t="n">
        <v>11.622</v>
      </c>
    </row>
    <row r="257">
      <c r="A257" s="5" t="inlineStr">
        <is>
          <t>ERI2024</t>
        </is>
      </c>
      <c r="B257" s="5" t="inlineStr">
        <is>
          <t>ERI</t>
        </is>
      </c>
      <c r="C257" s="5" t="inlineStr">
        <is>
          <t>ERI</t>
        </is>
      </c>
      <c r="D257" s="5" t="inlineStr">
        <is>
          <t>Eritrea</t>
        </is>
      </c>
      <c r="E257" s="5" t="n">
        <v>2024</v>
      </c>
      <c r="F257" s="5" t="n">
        <v>0.08500000000000001</v>
      </c>
      <c r="G257" s="5" t="n">
        <v>5.575</v>
      </c>
      <c r="H257" s="5" t="n">
        <v>1.324</v>
      </c>
      <c r="I257" s="5" t="n">
        <v>0</v>
      </c>
      <c r="J257" s="5" t="n">
        <v>5.575</v>
      </c>
      <c r="K257" s="5" t="n">
        <v>0</v>
      </c>
      <c r="L257" s="5" t="n">
        <v>1</v>
      </c>
      <c r="M257" s="5" t="n">
        <v>7.124</v>
      </c>
      <c r="N257" s="5" t="n">
        <v>3.971</v>
      </c>
      <c r="O257" s="5" t="n">
        <v>0</v>
      </c>
      <c r="P257" s="5" t="n">
        <v>7.124</v>
      </c>
      <c r="Q257" s="5" t="n">
        <v>0</v>
      </c>
      <c r="R257" s="5" t="n">
        <v>1</v>
      </c>
      <c r="S257" s="5" t="n">
        <v>12.193</v>
      </c>
      <c r="T257" s="5" t="n">
        <v>7.942</v>
      </c>
      <c r="U257" s="5" t="n">
        <v>0.141</v>
      </c>
      <c r="V257" s="5" t="n">
        <v>13.229</v>
      </c>
      <c r="W257" s="5" t="n">
        <v>0.08500000000000001</v>
      </c>
      <c r="X257" s="5" t="n">
        <v>1</v>
      </c>
      <c r="Y257" s="5" t="n">
        <v>11.492</v>
      </c>
      <c r="Z257" s="5" t="n">
        <v>1.553</v>
      </c>
      <c r="AA257" s="5" t="n">
        <v>0</v>
      </c>
      <c r="AB257" s="5" t="n">
        <v>11.492</v>
      </c>
      <c r="AC257" s="5" t="n">
        <v>0</v>
      </c>
      <c r="AD257" s="5" t="n">
        <v>1</v>
      </c>
      <c r="AE257" s="5" t="n">
        <v>12.815</v>
      </c>
      <c r="AF257" s="5" t="n">
        <v>2.997</v>
      </c>
      <c r="AG257" s="5" t="n">
        <v>0</v>
      </c>
      <c r="AH257" s="5" t="n">
        <v>12.815</v>
      </c>
      <c r="AI257" s="5" t="n">
        <v>0</v>
      </c>
      <c r="AJ257" s="5" t="n">
        <v>1</v>
      </c>
      <c r="AK257" s="5" t="n">
        <v>20.757</v>
      </c>
      <c r="AL257" s="5" t="n">
        <v>11.055</v>
      </c>
      <c r="AM257" s="5" t="n">
        <v>0.24</v>
      </c>
      <c r="AN257" s="5" t="n">
        <v>22.521</v>
      </c>
      <c r="AO257" s="5" t="n">
        <v>0.08500000000000001</v>
      </c>
      <c r="AP257" s="5" t="n">
        <v>1</v>
      </c>
      <c r="AQ257" s="5" t="n">
        <v>0.724</v>
      </c>
      <c r="AR257" s="5" t="n">
        <v>0.132</v>
      </c>
      <c r="AS257" s="5" t="n">
        <v>0.008</v>
      </c>
      <c r="AT257" s="5" t="n">
        <v>0.786</v>
      </c>
      <c r="AU257" s="5" t="n">
        <v>0.08500000000000001</v>
      </c>
      <c r="AV257" s="5" t="n">
        <v>1</v>
      </c>
      <c r="AW257" s="5" t="n">
        <v>0.75</v>
      </c>
      <c r="AX257" s="5" t="n">
        <v>0.132</v>
      </c>
      <c r="AY257" s="5" t="n">
        <v>0.008999999999999999</v>
      </c>
      <c r="AZ257" s="5" t="n">
        <v>0.8139999999999999</v>
      </c>
      <c r="BA257" s="5" t="n">
        <v>0.08500000000000001</v>
      </c>
      <c r="BB257" s="5" t="n">
        <v>1</v>
      </c>
      <c r="BC257" s="5" t="n">
        <v>0.513</v>
      </c>
      <c r="BD257" s="5" t="n">
        <v>0.132</v>
      </c>
      <c r="BE257" s="5" t="n">
        <v>0.006</v>
      </c>
      <c r="BF257" s="5" t="n">
        <v>0.5570000000000001</v>
      </c>
      <c r="BG257" s="5" t="n">
        <v>0.08500000000000001</v>
      </c>
      <c r="BH257" s="5" t="n">
        <v>1</v>
      </c>
      <c r="BI257" s="5" t="n">
        <v>0.591</v>
      </c>
      <c r="BJ257" s="5" t="n">
        <v>0.132</v>
      </c>
      <c r="BK257" s="5" t="n">
        <v>0.007</v>
      </c>
      <c r="BL257" s="5" t="n">
        <v>0.642</v>
      </c>
      <c r="BM257" s="5" t="n">
        <v>0.08500000000000001</v>
      </c>
      <c r="BN257" s="5" t="n">
        <v>1</v>
      </c>
      <c r="BO257" s="5" t="n">
        <v>0</v>
      </c>
      <c r="BP257" s="5" t="n">
        <v>0</v>
      </c>
      <c r="BQ257" s="5" t="n">
        <v>0.247</v>
      </c>
      <c r="BR257" s="5" t="n">
        <v>0</v>
      </c>
      <c r="BS257" s="5" t="n">
        <v>0.167</v>
      </c>
      <c r="BT257" s="5" t="n">
        <v>0</v>
      </c>
      <c r="BU257" s="5" t="n">
        <v>0</v>
      </c>
      <c r="BV257" s="5" t="n">
        <v>0.247</v>
      </c>
      <c r="BW257" s="5" t="n">
        <v>0.08500000000000001</v>
      </c>
      <c r="BX257" s="5" t="n">
        <v>0.167</v>
      </c>
      <c r="BY257" s="5" t="n">
        <v>13.646</v>
      </c>
      <c r="BZ257" s="5" t="n">
        <v>0</v>
      </c>
      <c r="CA257" s="5" t="n">
        <v>13.646</v>
      </c>
      <c r="CB257" s="5" t="n">
        <v>0</v>
      </c>
      <c r="CC257" s="5" t="n">
        <v>82.58799999999999</v>
      </c>
      <c r="CD257" s="5" t="n">
        <v>7.95</v>
      </c>
      <c r="CE257" s="5" t="n">
        <v>0.956</v>
      </c>
      <c r="CF257" s="5" t="n">
        <v>89.608</v>
      </c>
      <c r="CG257" s="5" t="n">
        <v>0.08500000000000001</v>
      </c>
      <c r="CH257" s="5" t="n">
        <v>1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0</v>
      </c>
      <c r="CN257" s="5" t="n">
        <v>0</v>
      </c>
      <c r="CO257" s="5" t="n">
        <v>0</v>
      </c>
      <c r="CP257" s="5" t="n">
        <v>0</v>
      </c>
      <c r="CQ257" s="5" t="n">
        <v>1.387</v>
      </c>
      <c r="CR257" s="5" t="n">
        <v>0</v>
      </c>
      <c r="CS257" s="5" t="n">
        <v>5.529</v>
      </c>
      <c r="CT257" s="5" t="n">
        <v>4.251</v>
      </c>
      <c r="CU257" s="5" t="n">
        <v>10.168</v>
      </c>
    </row>
    <row r="258">
      <c r="A258" s="5" t="inlineStr">
        <is>
          <t>EST2021</t>
        </is>
      </c>
      <c r="B258" s="5" t="inlineStr">
        <is>
          <t>EST</t>
        </is>
      </c>
      <c r="C258" s="5" t="inlineStr">
        <is>
          <t>EST</t>
        </is>
      </c>
      <c r="D258" s="5" t="inlineStr">
        <is>
          <t>Estonia</t>
        </is>
      </c>
      <c r="E258" s="5" t="n">
        <v>2021</v>
      </c>
      <c r="F258" s="5" t="n">
        <v>0.2</v>
      </c>
      <c r="G258" s="5" t="n">
        <v>1.774</v>
      </c>
      <c r="H258" s="5" t="n">
        <v>0.572</v>
      </c>
      <c r="I258" s="5" t="n">
        <v>2.742</v>
      </c>
      <c r="J258" s="5" t="n">
        <v>4.515</v>
      </c>
      <c r="K258" s="5" t="n">
        <v>0</v>
      </c>
      <c r="L258" s="5" t="n">
        <v>1</v>
      </c>
      <c r="M258" s="5" t="n">
        <v>2.919</v>
      </c>
      <c r="N258" s="5" t="n">
        <v>1.717</v>
      </c>
      <c r="O258" s="5" t="n">
        <v>2.702</v>
      </c>
      <c r="P258" s="5" t="n">
        <v>5.621</v>
      </c>
      <c r="Q258" s="5" t="n">
        <v>0</v>
      </c>
      <c r="R258" s="5" t="n">
        <v>1</v>
      </c>
      <c r="S258" s="5" t="n">
        <v>4.635</v>
      </c>
      <c r="T258" s="5" t="n">
        <v>3.434</v>
      </c>
      <c r="U258" s="5" t="n">
        <v>0.756</v>
      </c>
      <c r="V258" s="5" t="n">
        <v>6.47</v>
      </c>
      <c r="W258" s="5" t="n">
        <v>0.2</v>
      </c>
      <c r="X258" s="5" t="n">
        <v>1</v>
      </c>
      <c r="Y258" s="5" t="n">
        <v>11.978</v>
      </c>
      <c r="Z258" s="5" t="n">
        <v>1.323</v>
      </c>
      <c r="AA258" s="5" t="n">
        <v>5.549</v>
      </c>
      <c r="AB258" s="5" t="n">
        <v>17.527</v>
      </c>
      <c r="AC258" s="5" t="n">
        <v>0</v>
      </c>
      <c r="AD258" s="5" t="n">
        <v>1</v>
      </c>
      <c r="AE258" s="5" t="n">
        <v>11.934</v>
      </c>
      <c r="AF258" s="5" t="n">
        <v>2.348</v>
      </c>
      <c r="AG258" s="5" t="n">
        <v>5.593</v>
      </c>
      <c r="AH258" s="5" t="n">
        <v>17.527</v>
      </c>
      <c r="AI258" s="5" t="n">
        <v>0</v>
      </c>
      <c r="AJ258" s="5" t="n">
        <v>1</v>
      </c>
      <c r="AK258" s="5" t="n">
        <v>16.329</v>
      </c>
      <c r="AL258" s="5" t="n">
        <v>8.013999999999999</v>
      </c>
      <c r="AM258" s="5" t="n">
        <v>-0.107</v>
      </c>
      <c r="AN258" s="5" t="n">
        <v>19.466</v>
      </c>
      <c r="AO258" s="5" t="n">
        <v>0.2</v>
      </c>
      <c r="AP258" s="5" t="n">
        <v>1</v>
      </c>
      <c r="AQ258" s="5" t="n">
        <v>0.619</v>
      </c>
      <c r="AR258" s="5" t="n">
        <v>0.114</v>
      </c>
      <c r="AS258" s="5" t="n">
        <v>0.787</v>
      </c>
      <c r="AT258" s="5" t="n">
        <v>1.687</v>
      </c>
      <c r="AU258" s="5" t="n">
        <v>0.2</v>
      </c>
      <c r="AV258" s="5" t="n">
        <v>1</v>
      </c>
      <c r="AW258" s="5" t="n">
        <v>0.599</v>
      </c>
      <c r="AX258" s="5" t="n">
        <v>0.114</v>
      </c>
      <c r="AY258" s="5" t="n">
        <v>0.621</v>
      </c>
      <c r="AZ258" s="5" t="n">
        <v>1.465</v>
      </c>
      <c r="BA258" s="5" t="n">
        <v>0.2</v>
      </c>
      <c r="BB258" s="5" t="n">
        <v>1</v>
      </c>
      <c r="BC258" s="5" t="n">
        <v>0.439</v>
      </c>
      <c r="BD258" s="5" t="n">
        <v>0.114</v>
      </c>
      <c r="BE258" s="5" t="n">
        <v>0.261</v>
      </c>
      <c r="BF258" s="5" t="n">
        <v>0.839</v>
      </c>
      <c r="BG258" s="5" t="n">
        <v>0.2</v>
      </c>
      <c r="BH258" s="5" t="n">
        <v>1</v>
      </c>
      <c r="BI258" s="5" t="n">
        <v>0.505</v>
      </c>
      <c r="BJ258" s="5" t="n">
        <v>0.114</v>
      </c>
      <c r="BK258" s="5" t="n">
        <v>0.362</v>
      </c>
      <c r="BL258" s="5" t="n">
        <v>1.04</v>
      </c>
      <c r="BM258" s="5" t="n">
        <v>0.2</v>
      </c>
      <c r="BN258" s="5" t="n">
        <v>1</v>
      </c>
      <c r="BO258" s="5" t="n">
        <v>0</v>
      </c>
      <c r="BP258" s="5" t="n">
        <v>0.015</v>
      </c>
      <c r="BQ258" s="5" t="n">
        <v>0.125</v>
      </c>
      <c r="BR258" s="5" t="n">
        <v>0</v>
      </c>
      <c r="BS258" s="5" t="n">
        <v>1</v>
      </c>
      <c r="BT258" s="5" t="n">
        <v>0</v>
      </c>
      <c r="BU258" s="5" t="n">
        <v>0.015</v>
      </c>
      <c r="BV258" s="5" t="n">
        <v>0.193</v>
      </c>
      <c r="BW258" s="5" t="n">
        <v>0.2</v>
      </c>
      <c r="BX258" s="5" t="n">
        <v>0.667</v>
      </c>
      <c r="BY258" s="5" t="n">
        <v>11.787</v>
      </c>
      <c r="BZ258" s="5" t="n">
        <v>0</v>
      </c>
      <c r="CA258" s="5" t="n">
        <v>11.787</v>
      </c>
      <c r="CB258" s="5" t="n">
        <v>0</v>
      </c>
      <c r="CC258" s="5" t="n">
        <v>78.125</v>
      </c>
      <c r="CD258" s="5" t="n">
        <v>7.95</v>
      </c>
      <c r="CE258" s="5" t="n">
        <v>68.926</v>
      </c>
      <c r="CF258" s="5" t="n">
        <v>176.461</v>
      </c>
      <c r="CG258" s="5" t="n">
        <v>0.2</v>
      </c>
      <c r="CH258" s="5" t="n">
        <v>1</v>
      </c>
      <c r="CI258" s="5" t="n">
        <v>0</v>
      </c>
      <c r="CJ258" s="5" t="n">
        <v>0</v>
      </c>
      <c r="CK258" s="5" t="n">
        <v>0</v>
      </c>
      <c r="CL258" s="5" t="n">
        <v>0</v>
      </c>
      <c r="CM258" s="5" t="n">
        <v>0</v>
      </c>
      <c r="CN258" s="5" t="n">
        <v>0</v>
      </c>
      <c r="CO258" s="5" t="n">
        <v>0</v>
      </c>
      <c r="CP258" s="5" t="n">
        <v>0.999</v>
      </c>
      <c r="CQ258" s="5" t="n">
        <v>1.198</v>
      </c>
      <c r="CR258" s="5" t="n">
        <v>0</v>
      </c>
      <c r="CS258" s="5" t="n">
        <v>4.776</v>
      </c>
      <c r="CT258" s="5" t="n">
        <v>3.852</v>
      </c>
      <c r="CU258" s="5" t="n">
        <v>8.009</v>
      </c>
    </row>
    <row r="259">
      <c r="A259" s="5" t="inlineStr">
        <is>
          <t>EST2022</t>
        </is>
      </c>
      <c r="B259" s="5" t="inlineStr">
        <is>
          <t>EST</t>
        </is>
      </c>
      <c r="C259" s="5" t="inlineStr">
        <is>
          <t>EST</t>
        </is>
      </c>
      <c r="D259" s="5" t="inlineStr">
        <is>
          <t>Estonia</t>
        </is>
      </c>
      <c r="E259" s="5" t="n">
        <v>2022</v>
      </c>
      <c r="F259" s="5" t="n">
        <v>0.2</v>
      </c>
      <c r="G259" s="5" t="n">
        <v>1.914</v>
      </c>
      <c r="H259" s="5" t="n">
        <v>0.618</v>
      </c>
      <c r="I259" s="5" t="n">
        <v>9.448</v>
      </c>
      <c r="J259" s="5" t="n">
        <v>11.362</v>
      </c>
      <c r="K259" s="5" t="n">
        <v>0</v>
      </c>
      <c r="L259" s="5" t="n">
        <v>1</v>
      </c>
      <c r="M259" s="5" t="n">
        <v>3.15</v>
      </c>
      <c r="N259" s="5" t="n">
        <v>1.853</v>
      </c>
      <c r="O259" s="5" t="n">
        <v>8.891</v>
      </c>
      <c r="P259" s="5" t="n">
        <v>12.041</v>
      </c>
      <c r="Q259" s="5" t="n">
        <v>0</v>
      </c>
      <c r="R259" s="5" t="n">
        <v>1</v>
      </c>
      <c r="S259" s="5" t="n">
        <v>5.003</v>
      </c>
      <c r="T259" s="5" t="n">
        <v>3.706</v>
      </c>
      <c r="U259" s="5" t="n">
        <v>0.8090000000000001</v>
      </c>
      <c r="V259" s="5" t="n">
        <v>6.872</v>
      </c>
      <c r="W259" s="5" t="n">
        <v>0.2</v>
      </c>
      <c r="X259" s="5" t="n">
        <v>1</v>
      </c>
      <c r="Y259" s="5" t="n">
        <v>29.224</v>
      </c>
      <c r="Z259" s="5" t="n">
        <v>3.066</v>
      </c>
      <c r="AA259" s="5" t="n">
        <v>10.043</v>
      </c>
      <c r="AB259" s="5" t="n">
        <v>39.267</v>
      </c>
      <c r="AC259" s="5" t="n">
        <v>0</v>
      </c>
      <c r="AD259" s="5" t="n">
        <v>1</v>
      </c>
      <c r="AE259" s="5" t="n">
        <v>29.272</v>
      </c>
      <c r="AF259" s="5" t="n">
        <v>5.427</v>
      </c>
      <c r="AG259" s="5" t="n">
        <v>9.994999999999999</v>
      </c>
      <c r="AH259" s="5" t="n">
        <v>39.267</v>
      </c>
      <c r="AI259" s="5" t="n">
        <v>0</v>
      </c>
      <c r="AJ259" s="5" t="n">
        <v>1</v>
      </c>
      <c r="AK259" s="5" t="n">
        <v>34.211</v>
      </c>
      <c r="AL259" s="5" t="n">
        <v>16.337</v>
      </c>
      <c r="AM259" s="5" t="n">
        <v>-7.457</v>
      </c>
      <c r="AN259" s="5" t="n">
        <v>32.105</v>
      </c>
      <c r="AO259" s="5" t="n">
        <v>0.2</v>
      </c>
      <c r="AP259" s="5" t="n">
        <v>1</v>
      </c>
      <c r="AQ259" s="5" t="n">
        <v>0.861</v>
      </c>
      <c r="AR259" s="5" t="n">
        <v>0.123</v>
      </c>
      <c r="AS259" s="5" t="n">
        <v>0.763</v>
      </c>
      <c r="AT259" s="5" t="n">
        <v>1.949</v>
      </c>
      <c r="AU259" s="5" t="n">
        <v>0.2</v>
      </c>
      <c r="AV259" s="5" t="n">
        <v>1</v>
      </c>
      <c r="AW259" s="5" t="n">
        <v>0.986</v>
      </c>
      <c r="AX259" s="5" t="n">
        <v>0.123</v>
      </c>
      <c r="AY259" s="5" t="n">
        <v>0.585</v>
      </c>
      <c r="AZ259" s="5" t="n">
        <v>1.885</v>
      </c>
      <c r="BA259" s="5" t="n">
        <v>0.2</v>
      </c>
      <c r="BB259" s="5" t="n">
        <v>1</v>
      </c>
      <c r="BC259" s="5" t="n">
        <v>0.598</v>
      </c>
      <c r="BD259" s="5" t="n">
        <v>0.123</v>
      </c>
      <c r="BE259" s="5" t="n">
        <v>0.154</v>
      </c>
      <c r="BF259" s="5" t="n">
        <v>0.902</v>
      </c>
      <c r="BG259" s="5" t="n">
        <v>0.2</v>
      </c>
      <c r="BH259" s="5" t="n">
        <v>1</v>
      </c>
      <c r="BI259" s="5" t="n">
        <v>0.612</v>
      </c>
      <c r="BJ259" s="5" t="n">
        <v>0.123</v>
      </c>
      <c r="BK259" s="5" t="n">
        <v>0.593</v>
      </c>
      <c r="BL259" s="5" t="n">
        <v>1.447</v>
      </c>
      <c r="BM259" s="5" t="n">
        <v>0.2</v>
      </c>
      <c r="BN259" s="5" t="n">
        <v>1</v>
      </c>
      <c r="BO259" s="5" t="n">
        <v>0</v>
      </c>
      <c r="BP259" s="5" t="n">
        <v>0.013</v>
      </c>
      <c r="BQ259" s="5" t="n">
        <v>0.206</v>
      </c>
      <c r="BR259" s="5" t="n">
        <v>0</v>
      </c>
      <c r="BS259" s="5" t="n">
        <v>1</v>
      </c>
      <c r="BT259" s="5" t="n">
        <v>0</v>
      </c>
      <c r="BU259" s="5" t="n">
        <v>0.013</v>
      </c>
      <c r="BV259" s="5" t="n">
        <v>0.248</v>
      </c>
      <c r="BW259" s="5" t="n">
        <v>0.2</v>
      </c>
      <c r="BX259" s="5" t="n">
        <v>0.667</v>
      </c>
      <c r="BY259" s="5" t="n">
        <v>12.729</v>
      </c>
      <c r="BZ259" s="5" t="n">
        <v>0</v>
      </c>
      <c r="CA259" s="5" t="n">
        <v>12.729</v>
      </c>
      <c r="CB259" s="5" t="n">
        <v>0</v>
      </c>
      <c r="CC259" s="5" t="n">
        <v>97.90000000000001</v>
      </c>
      <c r="CD259" s="5" t="n">
        <v>7.95</v>
      </c>
      <c r="CE259" s="5" t="n">
        <v>127.099</v>
      </c>
      <c r="CF259" s="5" t="n">
        <v>269.999</v>
      </c>
      <c r="CG259" s="5" t="n">
        <v>0.2</v>
      </c>
      <c r="CH259" s="5" t="n">
        <v>1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0</v>
      </c>
      <c r="CN259" s="5" t="n">
        <v>0</v>
      </c>
      <c r="CO259" s="5" t="n">
        <v>0</v>
      </c>
      <c r="CP259" s="5" t="n">
        <v>0.999</v>
      </c>
      <c r="CQ259" s="5" t="n">
        <v>1.294</v>
      </c>
      <c r="CR259" s="5" t="n">
        <v>0</v>
      </c>
      <c r="CS259" s="5" t="n">
        <v>5.158</v>
      </c>
      <c r="CT259" s="5" t="n">
        <v>4.748</v>
      </c>
      <c r="CU259" s="5" t="n">
        <v>25.164</v>
      </c>
    </row>
    <row r="260">
      <c r="A260" s="5" t="inlineStr">
        <is>
          <t>EST2023</t>
        </is>
      </c>
      <c r="B260" s="5" t="inlineStr">
        <is>
          <t>EST</t>
        </is>
      </c>
      <c r="C260" s="5" t="inlineStr">
        <is>
          <t>EST</t>
        </is>
      </c>
      <c r="D260" s="5" t="inlineStr">
        <is>
          <t>Estonia</t>
        </is>
      </c>
      <c r="E260" s="5" t="n">
        <v>2023</v>
      </c>
      <c r="F260" s="5" t="n">
        <v>0.2</v>
      </c>
      <c r="G260" s="5" t="n">
        <v>1.995</v>
      </c>
      <c r="H260" s="5" t="n">
        <v>0.643</v>
      </c>
      <c r="I260" s="5" t="n">
        <v>10.898</v>
      </c>
      <c r="J260" s="5" t="n">
        <v>12.893</v>
      </c>
      <c r="K260" s="5" t="n">
        <v>0</v>
      </c>
      <c r="L260" s="5" t="n">
        <v>1</v>
      </c>
      <c r="M260" s="5" t="n">
        <v>3.277</v>
      </c>
      <c r="N260" s="5" t="n">
        <v>1.929</v>
      </c>
      <c r="O260" s="5" t="n">
        <v>10.305</v>
      </c>
      <c r="P260" s="5" t="n">
        <v>13.582</v>
      </c>
      <c r="Q260" s="5" t="n">
        <v>0</v>
      </c>
      <c r="R260" s="5" t="n">
        <v>1</v>
      </c>
      <c r="S260" s="5" t="n">
        <v>5.21</v>
      </c>
      <c r="T260" s="5" t="n">
        <v>3.858</v>
      </c>
      <c r="U260" s="5" t="n">
        <v>0.822</v>
      </c>
      <c r="V260" s="5" t="n">
        <v>7.082</v>
      </c>
      <c r="W260" s="5" t="n">
        <v>0.2</v>
      </c>
      <c r="X260" s="5" t="n">
        <v>1</v>
      </c>
      <c r="Y260" s="5" t="n">
        <v>18.916</v>
      </c>
      <c r="Z260" s="5" t="n">
        <v>2.119</v>
      </c>
      <c r="AA260" s="5" t="n">
        <v>7.721</v>
      </c>
      <c r="AB260" s="5" t="n">
        <v>26.637</v>
      </c>
      <c r="AC260" s="5" t="n">
        <v>0</v>
      </c>
      <c r="AD260" s="5" t="n">
        <v>1</v>
      </c>
      <c r="AE260" s="5" t="n">
        <v>19.014</v>
      </c>
      <c r="AF260" s="5" t="n">
        <v>3.787</v>
      </c>
      <c r="AG260" s="5" t="n">
        <v>7.622</v>
      </c>
      <c r="AH260" s="5" t="n">
        <v>26.637</v>
      </c>
      <c r="AI260" s="5" t="n">
        <v>0</v>
      </c>
      <c r="AJ260" s="5" t="n">
        <v>1</v>
      </c>
      <c r="AK260" s="5" t="n">
        <v>24.157</v>
      </c>
      <c r="AL260" s="5" t="n">
        <v>11.967</v>
      </c>
      <c r="AM260" s="5" t="n">
        <v>-0.507</v>
      </c>
      <c r="AN260" s="5" t="n">
        <v>28.38</v>
      </c>
      <c r="AO260" s="5" t="n">
        <v>0.2</v>
      </c>
      <c r="AP260" s="5" t="n">
        <v>1</v>
      </c>
      <c r="AQ260" s="5" t="n">
        <v>0.76</v>
      </c>
      <c r="AR260" s="5" t="n">
        <v>0.129</v>
      </c>
      <c r="AS260" s="5" t="n">
        <v>0.786</v>
      </c>
      <c r="AT260" s="5" t="n">
        <v>1.856</v>
      </c>
      <c r="AU260" s="5" t="n">
        <v>0.2</v>
      </c>
      <c r="AV260" s="5" t="n">
        <v>1</v>
      </c>
      <c r="AW260" s="5" t="n">
        <v>0.8110000000000001</v>
      </c>
      <c r="AX260" s="5" t="n">
        <v>0.129</v>
      </c>
      <c r="AY260" s="5" t="n">
        <v>0.638</v>
      </c>
      <c r="AZ260" s="5" t="n">
        <v>1.739</v>
      </c>
      <c r="BA260" s="5" t="n">
        <v>0.2</v>
      </c>
      <c r="BB260" s="5" t="n">
        <v>1</v>
      </c>
      <c r="BC260" s="5" t="n">
        <v>0.535</v>
      </c>
      <c r="BD260" s="5" t="n">
        <v>0.129</v>
      </c>
      <c r="BE260" s="5" t="n">
        <v>0.095</v>
      </c>
      <c r="BF260" s="5" t="n">
        <v>0.755</v>
      </c>
      <c r="BG260" s="5" t="n">
        <v>0.2</v>
      </c>
      <c r="BH260" s="5" t="n">
        <v>1</v>
      </c>
      <c r="BI260" s="5" t="n">
        <v>0.579</v>
      </c>
      <c r="BJ260" s="5" t="n">
        <v>0.129</v>
      </c>
      <c r="BK260" s="5" t="n">
        <v>0.449</v>
      </c>
      <c r="BL260" s="5" t="n">
        <v>1.234</v>
      </c>
      <c r="BM260" s="5" t="n">
        <v>0.2</v>
      </c>
      <c r="BN260" s="5" t="n">
        <v>1</v>
      </c>
      <c r="BO260" s="5" t="n">
        <v>0</v>
      </c>
      <c r="BP260" s="5" t="n">
        <v>0.014</v>
      </c>
      <c r="BQ260" s="5" t="n">
        <v>0.147</v>
      </c>
      <c r="BR260" s="5" t="n">
        <v>0</v>
      </c>
      <c r="BS260" s="5" t="n">
        <v>1</v>
      </c>
      <c r="BT260" s="5" t="n">
        <v>0</v>
      </c>
      <c r="BU260" s="5" t="n">
        <v>0.014</v>
      </c>
      <c r="BV260" s="5" t="n">
        <v>0.243</v>
      </c>
      <c r="BW260" s="5" t="n">
        <v>0.2</v>
      </c>
      <c r="BX260" s="5" t="n">
        <v>0.667</v>
      </c>
      <c r="BY260" s="5" t="n">
        <v>13.254</v>
      </c>
      <c r="BZ260" s="5" t="n">
        <v>0</v>
      </c>
      <c r="CA260" s="5" t="n">
        <v>13.254</v>
      </c>
      <c r="CB260" s="5" t="n">
        <v>0</v>
      </c>
      <c r="CC260" s="5" t="n">
        <v>83.248</v>
      </c>
      <c r="CD260" s="5" t="n">
        <v>7.95</v>
      </c>
      <c r="CE260" s="5" t="n">
        <v>119.584</v>
      </c>
      <c r="CF260" s="5" t="n">
        <v>243.399</v>
      </c>
      <c r="CG260" s="5" t="n">
        <v>0.2</v>
      </c>
      <c r="CH260" s="5" t="n">
        <v>1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1</v>
      </c>
      <c r="CQ260" s="5" t="n">
        <v>1.348</v>
      </c>
      <c r="CR260" s="5" t="n">
        <v>0</v>
      </c>
      <c r="CS260" s="5" t="n">
        <v>5.37</v>
      </c>
      <c r="CT260" s="5" t="n">
        <v>23.964</v>
      </c>
      <c r="CU260" s="5" t="n">
        <v>14.805</v>
      </c>
    </row>
    <row r="261">
      <c r="A261" s="5" t="inlineStr">
        <is>
          <t>EST2024</t>
        </is>
      </c>
      <c r="B261" s="5" t="inlineStr">
        <is>
          <t>EST</t>
        </is>
      </c>
      <c r="C261" s="5" t="inlineStr">
        <is>
          <t>EST</t>
        </is>
      </c>
      <c r="D261" s="5" t="inlineStr">
        <is>
          <t>Estonia</t>
        </is>
      </c>
      <c r="E261" s="5" t="n">
        <v>2024</v>
      </c>
      <c r="F261" s="5" t="n">
        <v>0.2</v>
      </c>
      <c r="G261" s="5" t="n">
        <v>2.051</v>
      </c>
      <c r="H261" s="5" t="n">
        <v>0.662</v>
      </c>
      <c r="I261" s="5" t="n">
        <v>7.203</v>
      </c>
      <c r="J261" s="5" t="n">
        <v>9.254</v>
      </c>
      <c r="K261" s="5" t="n">
        <v>0</v>
      </c>
      <c r="L261" s="5" t="n">
        <v>1</v>
      </c>
      <c r="M261" s="5" t="n">
        <v>3.374</v>
      </c>
      <c r="N261" s="5" t="n">
        <v>1.986</v>
      </c>
      <c r="O261" s="5" t="n">
        <v>6.799</v>
      </c>
      <c r="P261" s="5" t="n">
        <v>10.173</v>
      </c>
      <c r="Q261" s="5" t="n">
        <v>0</v>
      </c>
      <c r="R261" s="5" t="n">
        <v>1</v>
      </c>
      <c r="S261" s="5" t="n">
        <v>5.361</v>
      </c>
      <c r="T261" s="5" t="n">
        <v>3.972</v>
      </c>
      <c r="U261" s="5" t="n">
        <v>0.894</v>
      </c>
      <c r="V261" s="5" t="n">
        <v>7.409</v>
      </c>
      <c r="W261" s="5" t="n">
        <v>0.22</v>
      </c>
      <c r="X261" s="5" t="n">
        <v>1</v>
      </c>
      <c r="Y261" s="5" t="n">
        <v>15.644</v>
      </c>
      <c r="Z261" s="5" t="n">
        <v>1.975</v>
      </c>
      <c r="AA261" s="5" t="n">
        <v>4.912</v>
      </c>
      <c r="AB261" s="5" t="n">
        <v>20.556</v>
      </c>
      <c r="AC261" s="5" t="n">
        <v>0</v>
      </c>
      <c r="AD261" s="5" t="n">
        <v>1</v>
      </c>
      <c r="AE261" s="5" t="n">
        <v>15.644</v>
      </c>
      <c r="AF261" s="5" t="n">
        <v>3.427</v>
      </c>
      <c r="AG261" s="5" t="n">
        <v>4.912</v>
      </c>
      <c r="AH261" s="5" t="n">
        <v>20.556</v>
      </c>
      <c r="AI261" s="5" t="n">
        <v>0</v>
      </c>
      <c r="AJ261" s="5" t="n">
        <v>1</v>
      </c>
      <c r="AK261" s="5" t="n">
        <v>20.238</v>
      </c>
      <c r="AL261" s="5" t="n">
        <v>10.294</v>
      </c>
      <c r="AM261" s="5" t="n">
        <v>-2.021</v>
      </c>
      <c r="AN261" s="5" t="n">
        <v>22.225</v>
      </c>
      <c r="AO261" s="5" t="n">
        <v>0.22</v>
      </c>
      <c r="AP261" s="5" t="n">
        <v>1</v>
      </c>
      <c r="AQ261" s="5" t="n">
        <v>0.724</v>
      </c>
      <c r="AR261" s="5" t="n">
        <v>0.132</v>
      </c>
      <c r="AS261" s="5" t="n">
        <v>0.761</v>
      </c>
      <c r="AT261" s="5" t="n">
        <v>1.812</v>
      </c>
      <c r="AU261" s="5" t="n">
        <v>0.22</v>
      </c>
      <c r="AV261" s="5" t="n">
        <v>1</v>
      </c>
      <c r="AW261" s="5" t="n">
        <v>0.75</v>
      </c>
      <c r="AX261" s="5" t="n">
        <v>0.132</v>
      </c>
      <c r="AY261" s="5" t="n">
        <v>0.615</v>
      </c>
      <c r="AZ261" s="5" t="n">
        <v>1.666</v>
      </c>
      <c r="BA261" s="5" t="n">
        <v>0.22</v>
      </c>
      <c r="BB261" s="5" t="n">
        <v>1</v>
      </c>
      <c r="BC261" s="5" t="n">
        <v>0.513</v>
      </c>
      <c r="BD261" s="5" t="n">
        <v>0.132</v>
      </c>
      <c r="BE261" s="5" t="n">
        <v>0.108</v>
      </c>
      <c r="BF261" s="5" t="n">
        <v>0.758</v>
      </c>
      <c r="BG261" s="5" t="n">
        <v>0.22</v>
      </c>
      <c r="BH261" s="5" t="n">
        <v>1</v>
      </c>
      <c r="BI261" s="5" t="n">
        <v>0.591</v>
      </c>
      <c r="BJ261" s="5" t="n">
        <v>0.132</v>
      </c>
      <c r="BK261" s="5" t="n">
        <v>0.359</v>
      </c>
      <c r="BL261" s="5" t="n">
        <v>1.159</v>
      </c>
      <c r="BM261" s="5" t="n">
        <v>0.22</v>
      </c>
      <c r="BN261" s="5" t="n">
        <v>1</v>
      </c>
      <c r="BO261" s="5" t="n">
        <v>0</v>
      </c>
      <c r="BP261" s="5" t="n">
        <v>0.013</v>
      </c>
      <c r="BQ261" s="5" t="n">
        <v>0.151</v>
      </c>
      <c r="BR261" s="5" t="n">
        <v>0</v>
      </c>
      <c r="BS261" s="5" t="n">
        <v>1</v>
      </c>
      <c r="BT261" s="5" t="n">
        <v>0</v>
      </c>
      <c r="BU261" s="5" t="n">
        <v>0.013</v>
      </c>
      <c r="BV261" s="5" t="n">
        <v>0.244</v>
      </c>
      <c r="BW261" s="5" t="n">
        <v>0.22</v>
      </c>
      <c r="BX261" s="5" t="n">
        <v>0.667</v>
      </c>
      <c r="BY261" s="5" t="n">
        <v>13.646</v>
      </c>
      <c r="BZ261" s="5" t="n">
        <v>0</v>
      </c>
      <c r="CA261" s="5" t="n">
        <v>13.646</v>
      </c>
      <c r="CB261" s="5" t="n">
        <v>0</v>
      </c>
      <c r="CC261" s="5" t="n">
        <v>82.58799999999999</v>
      </c>
      <c r="CD261" s="5" t="n">
        <v>7.95</v>
      </c>
      <c r="CE261" s="5" t="n">
        <v>102.705</v>
      </c>
      <c r="CF261" s="5" t="n">
        <v>226.058</v>
      </c>
      <c r="CG261" s="5" t="n">
        <v>0.22</v>
      </c>
      <c r="CH261" s="5" t="n">
        <v>1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1</v>
      </c>
      <c r="CQ261" s="5" t="n">
        <v>1.387</v>
      </c>
      <c r="CR261" s="5" t="n">
        <v>0</v>
      </c>
      <c r="CS261" s="5" t="n">
        <v>5.529</v>
      </c>
      <c r="CT261" s="5" t="n">
        <v>11.886</v>
      </c>
      <c r="CU261" s="5" t="n">
        <v>10.037</v>
      </c>
    </row>
    <row r="262">
      <c r="A262" s="5" t="inlineStr">
        <is>
          <t>SWZ2021</t>
        </is>
      </c>
      <c r="B262" s="5" t="inlineStr">
        <is>
          <t>SWZ</t>
        </is>
      </c>
      <c r="C262" s="5" t="inlineStr">
        <is>
          <t>SWZ</t>
        </is>
      </c>
      <c r="D262" s="5" t="inlineStr">
        <is>
          <t>Eswatini</t>
        </is>
      </c>
      <c r="E262" s="5" t="n">
        <v>2021</v>
      </c>
      <c r="F262" s="5" t="n">
        <v>0.15</v>
      </c>
      <c r="G262" s="5" t="n">
        <v>5.897</v>
      </c>
      <c r="H262" s="5" t="n">
        <v>1.143</v>
      </c>
      <c r="I262" s="5" t="n">
        <v>0</v>
      </c>
      <c r="J262" s="5" t="n">
        <v>5.897</v>
      </c>
      <c r="K262" s="5" t="n">
        <v>0</v>
      </c>
      <c r="L262" s="5" t="n">
        <v>1</v>
      </c>
      <c r="M262" s="5" t="n">
        <v>7.964</v>
      </c>
      <c r="N262" s="5" t="n">
        <v>3.43</v>
      </c>
      <c r="O262" s="5" t="n">
        <v>0</v>
      </c>
      <c r="P262" s="5" t="n">
        <v>7.964</v>
      </c>
      <c r="Q262" s="5" t="n">
        <v>0</v>
      </c>
      <c r="R262" s="5" t="n">
        <v>1</v>
      </c>
      <c r="S262" s="5" t="n">
        <v>11.613</v>
      </c>
      <c r="T262" s="5" t="n">
        <v>6.86</v>
      </c>
      <c r="U262" s="5" t="n">
        <v>0</v>
      </c>
      <c r="V262" s="5" t="n">
        <v>13.355</v>
      </c>
      <c r="W262" s="5" t="n">
        <v>0.15</v>
      </c>
      <c r="X262" s="5" t="n">
        <v>1</v>
      </c>
      <c r="Y262" s="5" t="n">
        <v>15.672</v>
      </c>
      <c r="Z262" s="5" t="n">
        <v>2.118</v>
      </c>
      <c r="AA262" s="5" t="n">
        <v>0</v>
      </c>
      <c r="AB262" s="5" t="n">
        <v>15.672</v>
      </c>
      <c r="AC262" s="5" t="n">
        <v>0</v>
      </c>
      <c r="AD262" s="5" t="n">
        <v>1</v>
      </c>
      <c r="AE262" s="5" t="n">
        <v>16.816</v>
      </c>
      <c r="AF262" s="5" t="n">
        <v>3.932</v>
      </c>
      <c r="AG262" s="5" t="n">
        <v>0</v>
      </c>
      <c r="AH262" s="5" t="n">
        <v>16.816</v>
      </c>
      <c r="AI262" s="5" t="n">
        <v>0</v>
      </c>
      <c r="AJ262" s="5" t="n">
        <v>1</v>
      </c>
      <c r="AK262" s="5" t="n">
        <v>23.675</v>
      </c>
      <c r="AL262" s="5" t="n">
        <v>12.609</v>
      </c>
      <c r="AM262" s="5" t="n">
        <v>0</v>
      </c>
      <c r="AN262" s="5" t="n">
        <v>27.227</v>
      </c>
      <c r="AO262" s="5" t="n">
        <v>0.15</v>
      </c>
      <c r="AP262" s="5" t="n">
        <v>1</v>
      </c>
      <c r="AQ262" s="5" t="n">
        <v>0.619</v>
      </c>
      <c r="AR262" s="5" t="n">
        <v>0.114</v>
      </c>
      <c r="AS262" s="5" t="n">
        <v>0.243</v>
      </c>
      <c r="AT262" s="5" t="n">
        <v>0.992</v>
      </c>
      <c r="AU262" s="5" t="n">
        <v>0.15</v>
      </c>
      <c r="AV262" s="5" t="n">
        <v>1</v>
      </c>
      <c r="AW262" s="5" t="n">
        <v>0.599</v>
      </c>
      <c r="AX262" s="5" t="n">
        <v>0.114</v>
      </c>
      <c r="AY262" s="5" t="n">
        <v>0.188</v>
      </c>
      <c r="AZ262" s="5" t="n">
        <v>0.906</v>
      </c>
      <c r="BA262" s="5" t="n">
        <v>0.15</v>
      </c>
      <c r="BB262" s="5" t="n">
        <v>1</v>
      </c>
      <c r="BC262" s="5" t="n">
        <v>0.439</v>
      </c>
      <c r="BD262" s="5" t="n">
        <v>0.114</v>
      </c>
      <c r="BE262" s="5" t="n">
        <v>0</v>
      </c>
      <c r="BF262" s="5" t="n">
        <v>0.505</v>
      </c>
      <c r="BG262" s="5" t="n">
        <v>0.15</v>
      </c>
      <c r="BH262" s="5" t="n">
        <v>1</v>
      </c>
      <c r="BI262" s="5" t="n">
        <v>0.505</v>
      </c>
      <c r="BJ262" s="5" t="n">
        <v>0.114</v>
      </c>
      <c r="BK262" s="5" t="n">
        <v>0</v>
      </c>
      <c r="BL262" s="5" t="n">
        <v>0.58</v>
      </c>
      <c r="BM262" s="5" t="n">
        <v>0.15</v>
      </c>
      <c r="BN262" s="5" t="n">
        <v>1</v>
      </c>
      <c r="BO262" s="5" t="n">
        <v>0</v>
      </c>
      <c r="BP262" s="5" t="n">
        <v>0</v>
      </c>
      <c r="BQ262" s="5" t="n">
        <v>0.078</v>
      </c>
      <c r="BR262" s="5" t="n">
        <v>0</v>
      </c>
      <c r="BS262" s="5" t="n">
        <v>1</v>
      </c>
      <c r="BT262" s="5" t="n">
        <v>0</v>
      </c>
      <c r="BU262" s="5" t="n">
        <v>0</v>
      </c>
      <c r="BV262" s="5" t="n">
        <v>0.118</v>
      </c>
      <c r="BW262" s="5" t="n">
        <v>0.15</v>
      </c>
      <c r="BX262" s="5" t="n">
        <v>1</v>
      </c>
      <c r="BY262" s="5" t="n">
        <v>11.787</v>
      </c>
      <c r="BZ262" s="5" t="n">
        <v>0</v>
      </c>
      <c r="CA262" s="5" t="n">
        <v>11.787</v>
      </c>
      <c r="CB262" s="5" t="n">
        <v>0</v>
      </c>
      <c r="CC262" s="5" t="n">
        <v>78.125</v>
      </c>
      <c r="CD262" s="5" t="n">
        <v>7.95</v>
      </c>
      <c r="CE262" s="5" t="n">
        <v>0</v>
      </c>
      <c r="CF262" s="5" t="n">
        <v>89.84399999999999</v>
      </c>
      <c r="CG262" s="5" t="n">
        <v>0.15</v>
      </c>
      <c r="CH262" s="5" t="n">
        <v>1</v>
      </c>
      <c r="CI262" s="5" t="n">
        <v>0</v>
      </c>
      <c r="CJ262" s="5" t="n">
        <v>0</v>
      </c>
      <c r="CK262" s="5" t="n">
        <v>0</v>
      </c>
      <c r="CL262" s="5" t="n">
        <v>0</v>
      </c>
      <c r="CM262" s="5" t="n">
        <v>0</v>
      </c>
      <c r="CN262" s="5" t="n">
        <v>0</v>
      </c>
      <c r="CO262" s="5" t="n">
        <v>0</v>
      </c>
      <c r="CP262" s="5" t="n">
        <v>0</v>
      </c>
      <c r="CQ262" s="5" t="n">
        <v>1.198</v>
      </c>
      <c r="CR262" s="5" t="n">
        <v>0</v>
      </c>
      <c r="CS262" s="5" t="n">
        <v>4.776</v>
      </c>
      <c r="CT262" s="5" t="n">
        <v>4.753</v>
      </c>
      <c r="CU262" s="5" t="n">
        <v>15.162</v>
      </c>
    </row>
    <row r="263">
      <c r="A263" s="5" t="inlineStr">
        <is>
          <t>SWZ2022</t>
        </is>
      </c>
      <c r="B263" s="5" t="inlineStr">
        <is>
          <t>SWZ</t>
        </is>
      </c>
      <c r="C263" s="5" t="inlineStr">
        <is>
          <t>SWZ</t>
        </is>
      </c>
      <c r="D263" s="5" t="inlineStr">
        <is>
          <t>Eswatini</t>
        </is>
      </c>
      <c r="E263" s="5" t="n">
        <v>2022</v>
      </c>
      <c r="F263" s="5" t="n">
        <v>0.15</v>
      </c>
      <c r="G263" s="5" t="n">
        <v>11.72</v>
      </c>
      <c r="H263" s="5" t="n">
        <v>1.235</v>
      </c>
      <c r="I263" s="5" t="n">
        <v>0</v>
      </c>
      <c r="J263" s="5" t="n">
        <v>11.72</v>
      </c>
      <c r="K263" s="5" t="n">
        <v>0</v>
      </c>
      <c r="L263" s="5" t="n">
        <v>1</v>
      </c>
      <c r="M263" s="5" t="n">
        <v>9.782999999999999</v>
      </c>
      <c r="N263" s="5" t="n">
        <v>3.704</v>
      </c>
      <c r="O263" s="5" t="n">
        <v>0</v>
      </c>
      <c r="P263" s="5" t="n">
        <v>9.782999999999999</v>
      </c>
      <c r="Q263" s="5" t="n">
        <v>0</v>
      </c>
      <c r="R263" s="5" t="n">
        <v>1</v>
      </c>
      <c r="S263" s="5" t="n">
        <v>17.893</v>
      </c>
      <c r="T263" s="5" t="n">
        <v>7.408</v>
      </c>
      <c r="U263" s="5" t="n">
        <v>0.199</v>
      </c>
      <c r="V263" s="5" t="n">
        <v>20.577</v>
      </c>
      <c r="W263" s="5" t="n">
        <v>0.15</v>
      </c>
      <c r="X263" s="5" t="n">
        <v>1</v>
      </c>
      <c r="Y263" s="5" t="n">
        <v>31.7</v>
      </c>
      <c r="Z263" s="5" t="n">
        <v>4.284</v>
      </c>
      <c r="AA263" s="5" t="n">
        <v>0</v>
      </c>
      <c r="AB263" s="5" t="n">
        <v>31.7</v>
      </c>
      <c r="AC263" s="5" t="n">
        <v>0</v>
      </c>
      <c r="AD263" s="5" t="n">
        <v>1</v>
      </c>
      <c r="AE263" s="5" t="n">
        <v>32.935</v>
      </c>
      <c r="AF263" s="5" t="n">
        <v>7.701</v>
      </c>
      <c r="AG263" s="5" t="n">
        <v>0</v>
      </c>
      <c r="AH263" s="5" t="n">
        <v>32.935</v>
      </c>
      <c r="AI263" s="5" t="n">
        <v>0</v>
      </c>
      <c r="AJ263" s="5" t="n">
        <v>1</v>
      </c>
      <c r="AK263" s="5" t="n">
        <v>40.343</v>
      </c>
      <c r="AL263" s="5" t="n">
        <v>21.486</v>
      </c>
      <c r="AM263" s="5" t="n">
        <v>0.448</v>
      </c>
      <c r="AN263" s="5" t="n">
        <v>46.394</v>
      </c>
      <c r="AO263" s="5" t="n">
        <v>0.15</v>
      </c>
      <c r="AP263" s="5" t="n">
        <v>1</v>
      </c>
      <c r="AQ263" s="5" t="n">
        <v>0.861</v>
      </c>
      <c r="AR263" s="5" t="n">
        <v>0.123</v>
      </c>
      <c r="AS263" s="5" t="n">
        <v>0.25</v>
      </c>
      <c r="AT263" s="5" t="n">
        <v>1.263</v>
      </c>
      <c r="AU263" s="5" t="n">
        <v>0.15</v>
      </c>
      <c r="AV263" s="5" t="n">
        <v>1</v>
      </c>
      <c r="AW263" s="5" t="n">
        <v>0.986</v>
      </c>
      <c r="AX263" s="5" t="n">
        <v>0.123</v>
      </c>
      <c r="AY263" s="5" t="n">
        <v>0.172</v>
      </c>
      <c r="AZ263" s="5" t="n">
        <v>1.317</v>
      </c>
      <c r="BA263" s="5" t="n">
        <v>0.15</v>
      </c>
      <c r="BB263" s="5" t="n">
        <v>1</v>
      </c>
      <c r="BC263" s="5" t="n">
        <v>0.598</v>
      </c>
      <c r="BD263" s="5" t="n">
        <v>0.123</v>
      </c>
      <c r="BE263" s="5" t="n">
        <v>0.007</v>
      </c>
      <c r="BF263" s="5" t="n">
        <v>0.6879999999999999</v>
      </c>
      <c r="BG263" s="5" t="n">
        <v>0.15</v>
      </c>
      <c r="BH263" s="5" t="n">
        <v>1</v>
      </c>
      <c r="BI263" s="5" t="n">
        <v>0.612</v>
      </c>
      <c r="BJ263" s="5" t="n">
        <v>0.123</v>
      </c>
      <c r="BK263" s="5" t="n">
        <v>0.007</v>
      </c>
      <c r="BL263" s="5" t="n">
        <v>0.704</v>
      </c>
      <c r="BM263" s="5" t="n">
        <v>0.15</v>
      </c>
      <c r="BN263" s="5" t="n">
        <v>1</v>
      </c>
      <c r="BO263" s="5" t="n">
        <v>0</v>
      </c>
      <c r="BP263" s="5" t="n">
        <v>0</v>
      </c>
      <c r="BQ263" s="5" t="n">
        <v>0.07000000000000001</v>
      </c>
      <c r="BR263" s="5" t="n">
        <v>0</v>
      </c>
      <c r="BS263" s="5" t="n">
        <v>1</v>
      </c>
      <c r="BT263" s="5" t="n">
        <v>0</v>
      </c>
      <c r="BU263" s="5" t="n">
        <v>0</v>
      </c>
      <c r="BV263" s="5" t="n">
        <v>0.108</v>
      </c>
      <c r="BW263" s="5" t="n">
        <v>0.15</v>
      </c>
      <c r="BX263" s="5" t="n">
        <v>1</v>
      </c>
      <c r="BY263" s="5" t="n">
        <v>12.729</v>
      </c>
      <c r="BZ263" s="5" t="n">
        <v>0</v>
      </c>
      <c r="CA263" s="5" t="n">
        <v>12.729</v>
      </c>
      <c r="CB263" s="5" t="n">
        <v>0</v>
      </c>
      <c r="CC263" s="5" t="n">
        <v>97.90000000000001</v>
      </c>
      <c r="CD263" s="5" t="n">
        <v>7.95</v>
      </c>
      <c r="CE263" s="5" t="n">
        <v>1.087</v>
      </c>
      <c r="CF263" s="5" t="n">
        <v>112.585</v>
      </c>
      <c r="CG263" s="5" t="n">
        <v>0.15</v>
      </c>
      <c r="CH263" s="5" t="n">
        <v>1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0</v>
      </c>
      <c r="CN263" s="5" t="n">
        <v>0</v>
      </c>
      <c r="CO263" s="5" t="n">
        <v>0</v>
      </c>
      <c r="CP263" s="5" t="n">
        <v>0</v>
      </c>
      <c r="CQ263" s="5" t="n">
        <v>1.294</v>
      </c>
      <c r="CR263" s="5" t="n">
        <v>0</v>
      </c>
      <c r="CS263" s="5" t="n">
        <v>5.158</v>
      </c>
      <c r="CT263" s="5" t="n">
        <v>10.485</v>
      </c>
      <c r="CU263" s="5" t="n">
        <v>31.326</v>
      </c>
    </row>
    <row r="264">
      <c r="A264" s="5" t="inlineStr">
        <is>
          <t>SWZ2023</t>
        </is>
      </c>
      <c r="B264" s="5" t="inlineStr">
        <is>
          <t>SWZ</t>
        </is>
      </c>
      <c r="C264" s="5" t="inlineStr">
        <is>
          <t>SWZ</t>
        </is>
      </c>
      <c r="D264" s="5" t="inlineStr">
        <is>
          <t>Eswatini</t>
        </is>
      </c>
      <c r="E264" s="5" t="n">
        <v>2023</v>
      </c>
      <c r="F264" s="5" t="n">
        <v>0.15</v>
      </c>
      <c r="G264" s="5" t="n">
        <v>6.147</v>
      </c>
      <c r="H264" s="5" t="n">
        <v>1.286</v>
      </c>
      <c r="I264" s="5" t="n">
        <v>0</v>
      </c>
      <c r="J264" s="5" t="n">
        <v>6.147</v>
      </c>
      <c r="K264" s="5" t="n">
        <v>0</v>
      </c>
      <c r="L264" s="5" t="n">
        <v>1</v>
      </c>
      <c r="M264" s="5" t="n">
        <v>7.886</v>
      </c>
      <c r="N264" s="5" t="n">
        <v>3.857</v>
      </c>
      <c r="O264" s="5" t="n">
        <v>0</v>
      </c>
      <c r="P264" s="5" t="n">
        <v>7.886</v>
      </c>
      <c r="Q264" s="5" t="n">
        <v>0</v>
      </c>
      <c r="R264" s="5" t="n">
        <v>1</v>
      </c>
      <c r="S264" s="5" t="n">
        <v>12.575</v>
      </c>
      <c r="T264" s="5" t="n">
        <v>7.714</v>
      </c>
      <c r="U264" s="5" t="n">
        <v>0.209</v>
      </c>
      <c r="V264" s="5" t="n">
        <v>14.461</v>
      </c>
      <c r="W264" s="5" t="n">
        <v>0.15</v>
      </c>
      <c r="X264" s="5" t="n">
        <v>1</v>
      </c>
      <c r="Y264" s="5" t="n">
        <v>12.364</v>
      </c>
      <c r="Z264" s="5" t="n">
        <v>1.671</v>
      </c>
      <c r="AA264" s="5" t="n">
        <v>0</v>
      </c>
      <c r="AB264" s="5" t="n">
        <v>12.364</v>
      </c>
      <c r="AC264" s="5" t="n">
        <v>0</v>
      </c>
      <c r="AD264" s="5" t="n">
        <v>1</v>
      </c>
      <c r="AE264" s="5" t="n">
        <v>13.649</v>
      </c>
      <c r="AF264" s="5" t="n">
        <v>3.192</v>
      </c>
      <c r="AG264" s="5" t="n">
        <v>0</v>
      </c>
      <c r="AH264" s="5" t="n">
        <v>13.649</v>
      </c>
      <c r="AI264" s="5" t="n">
        <v>0</v>
      </c>
      <c r="AJ264" s="5" t="n">
        <v>1</v>
      </c>
      <c r="AK264" s="5" t="n">
        <v>21.363</v>
      </c>
      <c r="AL264" s="5" t="n">
        <v>11.378</v>
      </c>
      <c r="AM264" s="5" t="n">
        <v>0.355</v>
      </c>
      <c r="AN264" s="5" t="n">
        <v>24.568</v>
      </c>
      <c r="AO264" s="5" t="n">
        <v>0.15</v>
      </c>
      <c r="AP264" s="5" t="n">
        <v>1</v>
      </c>
      <c r="AQ264" s="5" t="n">
        <v>0.76</v>
      </c>
      <c r="AR264" s="5" t="n">
        <v>0.129</v>
      </c>
      <c r="AS264" s="5" t="n">
        <v>0.282</v>
      </c>
      <c r="AT264" s="5" t="n">
        <v>1.18</v>
      </c>
      <c r="AU264" s="5" t="n">
        <v>0.15</v>
      </c>
      <c r="AV264" s="5" t="n">
        <v>1</v>
      </c>
      <c r="AW264" s="5" t="n">
        <v>0.8110000000000001</v>
      </c>
      <c r="AX264" s="5" t="n">
        <v>0.129</v>
      </c>
      <c r="AY264" s="5" t="n">
        <v>0.21</v>
      </c>
      <c r="AZ264" s="5" t="n">
        <v>1.156</v>
      </c>
      <c r="BA264" s="5" t="n">
        <v>0.15</v>
      </c>
      <c r="BB264" s="5" t="n">
        <v>1</v>
      </c>
      <c r="BC264" s="5" t="n">
        <v>0.535</v>
      </c>
      <c r="BD264" s="5" t="n">
        <v>0.129</v>
      </c>
      <c r="BE264" s="5" t="n">
        <v>0.008999999999999999</v>
      </c>
      <c r="BF264" s="5" t="n">
        <v>0.615</v>
      </c>
      <c r="BG264" s="5" t="n">
        <v>0.15</v>
      </c>
      <c r="BH264" s="5" t="n">
        <v>1</v>
      </c>
      <c r="BI264" s="5" t="n">
        <v>0.579</v>
      </c>
      <c r="BJ264" s="5" t="n">
        <v>0.129</v>
      </c>
      <c r="BK264" s="5" t="n">
        <v>0.01</v>
      </c>
      <c r="BL264" s="5" t="n">
        <v>0.666</v>
      </c>
      <c r="BM264" s="5" t="n">
        <v>0.15</v>
      </c>
      <c r="BN264" s="5" t="n">
        <v>1</v>
      </c>
      <c r="BO264" s="5" t="n">
        <v>0</v>
      </c>
      <c r="BP264" s="5" t="n">
        <v>0</v>
      </c>
      <c r="BQ264" s="5" t="n">
        <v>0.079</v>
      </c>
      <c r="BR264" s="5" t="n">
        <v>0</v>
      </c>
      <c r="BS264" s="5" t="n">
        <v>1</v>
      </c>
      <c r="BT264" s="5" t="n">
        <v>0</v>
      </c>
      <c r="BU264" s="5" t="n">
        <v>0</v>
      </c>
      <c r="BV264" s="5" t="n">
        <v>0.116</v>
      </c>
      <c r="BW264" s="5" t="n">
        <v>0.15</v>
      </c>
      <c r="BX264" s="5" t="n">
        <v>1</v>
      </c>
      <c r="BY264" s="5" t="n">
        <v>13.254</v>
      </c>
      <c r="BZ264" s="5" t="n">
        <v>0</v>
      </c>
      <c r="CA264" s="5" t="n">
        <v>13.254</v>
      </c>
      <c r="CB264" s="5" t="n">
        <v>0</v>
      </c>
      <c r="CC264" s="5" t="n">
        <v>83.248</v>
      </c>
      <c r="CD264" s="5" t="n">
        <v>7.95</v>
      </c>
      <c r="CE264" s="5" t="n">
        <v>1.383</v>
      </c>
      <c r="CF264" s="5" t="n">
        <v>95.735</v>
      </c>
      <c r="CG264" s="5" t="n">
        <v>0.15</v>
      </c>
      <c r="CH264" s="5" t="n">
        <v>1</v>
      </c>
      <c r="CI264" s="5" t="n">
        <v>0</v>
      </c>
      <c r="CJ264" s="5" t="n">
        <v>0</v>
      </c>
      <c r="CK264" s="5" t="n">
        <v>0</v>
      </c>
      <c r="CL264" s="5" t="n">
        <v>0</v>
      </c>
      <c r="CM264" s="5" t="n">
        <v>0</v>
      </c>
      <c r="CN264" s="5" t="n">
        <v>0</v>
      </c>
      <c r="CO264" s="5" t="n">
        <v>0</v>
      </c>
      <c r="CP264" s="5" t="n">
        <v>0</v>
      </c>
      <c r="CQ264" s="5" t="n">
        <v>1.348</v>
      </c>
      <c r="CR264" s="5" t="n">
        <v>0</v>
      </c>
      <c r="CS264" s="5" t="n">
        <v>5.37</v>
      </c>
      <c r="CT264" s="5" t="n">
        <v>4.861</v>
      </c>
      <c r="CU264" s="5" t="n">
        <v>11.622</v>
      </c>
    </row>
    <row r="265">
      <c r="A265" s="5" t="inlineStr">
        <is>
          <t>SWZ2024</t>
        </is>
      </c>
      <c r="B265" s="5" t="inlineStr">
        <is>
          <t>SWZ</t>
        </is>
      </c>
      <c r="C265" s="5" t="inlineStr">
        <is>
          <t>SWZ</t>
        </is>
      </c>
      <c r="D265" s="5" t="inlineStr">
        <is>
          <t>Eswatini</t>
        </is>
      </c>
      <c r="E265" s="5" t="n">
        <v>2024</v>
      </c>
      <c r="F265" s="5" t="n">
        <v>0.15</v>
      </c>
      <c r="G265" s="5" t="n">
        <v>5.575</v>
      </c>
      <c r="H265" s="5" t="n">
        <v>1.324</v>
      </c>
      <c r="I265" s="5" t="n">
        <v>0</v>
      </c>
      <c r="J265" s="5" t="n">
        <v>5.575</v>
      </c>
      <c r="K265" s="5" t="n">
        <v>0</v>
      </c>
      <c r="L265" s="5" t="n">
        <v>1</v>
      </c>
      <c r="M265" s="5" t="n">
        <v>7.124</v>
      </c>
      <c r="N265" s="5" t="n">
        <v>3.971</v>
      </c>
      <c r="O265" s="5" t="n">
        <v>0</v>
      </c>
      <c r="P265" s="5" t="n">
        <v>7.124</v>
      </c>
      <c r="Q265" s="5" t="n">
        <v>0</v>
      </c>
      <c r="R265" s="5" t="n">
        <v>1</v>
      </c>
      <c r="S265" s="5" t="n">
        <v>12.193</v>
      </c>
      <c r="T265" s="5" t="n">
        <v>7.942</v>
      </c>
      <c r="U265" s="5" t="n">
        <v>0.249</v>
      </c>
      <c r="V265" s="5" t="n">
        <v>14.022</v>
      </c>
      <c r="W265" s="5" t="n">
        <v>0.15</v>
      </c>
      <c r="X265" s="5" t="n">
        <v>1</v>
      </c>
      <c r="Y265" s="5" t="n">
        <v>11.088</v>
      </c>
      <c r="Z265" s="5" t="n">
        <v>1.499</v>
      </c>
      <c r="AA265" s="5" t="n">
        <v>0</v>
      </c>
      <c r="AB265" s="5" t="n">
        <v>11.088</v>
      </c>
      <c r="AC265" s="5" t="n">
        <v>0</v>
      </c>
      <c r="AD265" s="5" t="n">
        <v>1</v>
      </c>
      <c r="AE265" s="5" t="n">
        <v>12.412</v>
      </c>
      <c r="AF265" s="5" t="n">
        <v>2.902</v>
      </c>
      <c r="AG265" s="5" t="n">
        <v>0</v>
      </c>
      <c r="AH265" s="5" t="n">
        <v>12.412</v>
      </c>
      <c r="AI265" s="5" t="n">
        <v>0</v>
      </c>
      <c r="AJ265" s="5" t="n">
        <v>1</v>
      </c>
      <c r="AK265" s="5" t="n">
        <v>20.353</v>
      </c>
      <c r="AL265" s="5" t="n">
        <v>10.84</v>
      </c>
      <c r="AM265" s="5" t="n">
        <v>0.416</v>
      </c>
      <c r="AN265" s="5" t="n">
        <v>23.406</v>
      </c>
      <c r="AO265" s="5" t="n">
        <v>0.15</v>
      </c>
      <c r="AP265" s="5" t="n">
        <v>1</v>
      </c>
      <c r="AQ265" s="5" t="n">
        <v>0.724</v>
      </c>
      <c r="AR265" s="5" t="n">
        <v>0.132</v>
      </c>
      <c r="AS265" s="5" t="n">
        <v>0.301</v>
      </c>
      <c r="AT265" s="5" t="n">
        <v>1.156</v>
      </c>
      <c r="AU265" s="5" t="n">
        <v>0.15</v>
      </c>
      <c r="AV265" s="5" t="n">
        <v>1</v>
      </c>
      <c r="AW265" s="5" t="n">
        <v>0.75</v>
      </c>
      <c r="AX265" s="5" t="n">
        <v>0.132</v>
      </c>
      <c r="AY265" s="5" t="n">
        <v>0.23</v>
      </c>
      <c r="AZ265" s="5" t="n">
        <v>1.105</v>
      </c>
      <c r="BA265" s="5" t="n">
        <v>0.15</v>
      </c>
      <c r="BB265" s="5" t="n">
        <v>1</v>
      </c>
      <c r="BC265" s="5" t="n">
        <v>0.513</v>
      </c>
      <c r="BD265" s="5" t="n">
        <v>0.132</v>
      </c>
      <c r="BE265" s="5" t="n">
        <v>0.01</v>
      </c>
      <c r="BF265" s="5" t="n">
        <v>0.59</v>
      </c>
      <c r="BG265" s="5" t="n">
        <v>0.15</v>
      </c>
      <c r="BH265" s="5" t="n">
        <v>1</v>
      </c>
      <c r="BI265" s="5" t="n">
        <v>0.591</v>
      </c>
      <c r="BJ265" s="5" t="n">
        <v>0.132</v>
      </c>
      <c r="BK265" s="5" t="n">
        <v>0.012</v>
      </c>
      <c r="BL265" s="5" t="n">
        <v>0.68</v>
      </c>
      <c r="BM265" s="5" t="n">
        <v>0.15</v>
      </c>
      <c r="BN265" s="5" t="n">
        <v>1</v>
      </c>
      <c r="BO265" s="5" t="n">
        <v>0</v>
      </c>
      <c r="BP265" s="5" t="n">
        <v>0</v>
      </c>
      <c r="BQ265" s="5" t="n">
        <v>0.08799999999999999</v>
      </c>
      <c r="BR265" s="5" t="n">
        <v>0</v>
      </c>
      <c r="BS265" s="5" t="n">
        <v>1</v>
      </c>
      <c r="BT265" s="5" t="n">
        <v>0</v>
      </c>
      <c r="BU265" s="5" t="n">
        <v>0</v>
      </c>
      <c r="BV265" s="5" t="n">
        <v>0.124</v>
      </c>
      <c r="BW265" s="5" t="n">
        <v>0.15</v>
      </c>
      <c r="BX265" s="5" t="n">
        <v>1</v>
      </c>
      <c r="BY265" s="5" t="n">
        <v>13.646</v>
      </c>
      <c r="BZ265" s="5" t="n">
        <v>0</v>
      </c>
      <c r="CA265" s="5" t="n">
        <v>13.646</v>
      </c>
      <c r="CB265" s="5" t="n">
        <v>0</v>
      </c>
      <c r="CC265" s="5" t="n">
        <v>82.58799999999999</v>
      </c>
      <c r="CD265" s="5" t="n">
        <v>7.95</v>
      </c>
      <c r="CE265" s="5" t="n">
        <v>1.687</v>
      </c>
      <c r="CF265" s="5" t="n">
        <v>94.976</v>
      </c>
      <c r="CG265" s="5" t="n">
        <v>0.15</v>
      </c>
      <c r="CH265" s="5" t="n">
        <v>1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0</v>
      </c>
      <c r="CN265" s="5" t="n">
        <v>0</v>
      </c>
      <c r="CO265" s="5" t="n">
        <v>0</v>
      </c>
      <c r="CP265" s="5" t="n">
        <v>0</v>
      </c>
      <c r="CQ265" s="5" t="n">
        <v>1.387</v>
      </c>
      <c r="CR265" s="5" t="n">
        <v>0</v>
      </c>
      <c r="CS265" s="5" t="n">
        <v>5.529</v>
      </c>
      <c r="CT265" s="5" t="n">
        <v>4.251</v>
      </c>
      <c r="CU265" s="5" t="n">
        <v>10.168</v>
      </c>
    </row>
    <row r="266">
      <c r="A266" s="5" t="inlineStr">
        <is>
          <t>ETH2021</t>
        </is>
      </c>
      <c r="B266" s="5" t="inlineStr">
        <is>
          <t>ETH</t>
        </is>
      </c>
      <c r="C266" s="5" t="inlineStr">
        <is>
          <t>ETH</t>
        </is>
      </c>
      <c r="D266" s="5" t="inlineStr">
        <is>
          <t>Ethiopia</t>
        </is>
      </c>
      <c r="E266" s="5" t="n">
        <v>2021</v>
      </c>
      <c r="F266" s="5" t="n">
        <v>0.15</v>
      </c>
      <c r="G266" s="5" t="n">
        <v>4.108</v>
      </c>
      <c r="H266" s="5" t="n">
        <v>0.896</v>
      </c>
      <c r="I266" s="5" t="n">
        <v>0</v>
      </c>
      <c r="J266" s="5" t="n">
        <v>4.108</v>
      </c>
      <c r="K266" s="5" t="n">
        <v>0</v>
      </c>
      <c r="L266" s="5" t="n">
        <v>1</v>
      </c>
      <c r="M266" s="5" t="n">
        <v>5.775</v>
      </c>
      <c r="N266" s="5" t="n">
        <v>2.687</v>
      </c>
      <c r="O266" s="5" t="n">
        <v>0.119</v>
      </c>
      <c r="P266" s="5" t="n">
        <v>5.894</v>
      </c>
      <c r="Q266" s="5" t="n">
        <v>0</v>
      </c>
      <c r="R266" s="5" t="n">
        <v>1</v>
      </c>
      <c r="S266" s="5" t="n">
        <v>8.585000000000001</v>
      </c>
      <c r="T266" s="5" t="n">
        <v>5.373</v>
      </c>
      <c r="U266" s="5" t="n">
        <v>0</v>
      </c>
      <c r="V266" s="5" t="n">
        <v>9.872999999999999</v>
      </c>
      <c r="W266" s="5" t="n">
        <v>0.15</v>
      </c>
      <c r="X266" s="5" t="n">
        <v>1</v>
      </c>
      <c r="Y266" s="5" t="n">
        <v>3.969</v>
      </c>
      <c r="Z266" s="5" t="n">
        <v>0.536</v>
      </c>
      <c r="AA266" s="5" t="n">
        <v>0</v>
      </c>
      <c r="AB266" s="5" t="n">
        <v>3.969</v>
      </c>
      <c r="AC266" s="5" t="n">
        <v>0</v>
      </c>
      <c r="AD266" s="5" t="n">
        <v>1</v>
      </c>
      <c r="AE266" s="5" t="n">
        <v>5.112</v>
      </c>
      <c r="AF266" s="5" t="n">
        <v>1.195</v>
      </c>
      <c r="AG266" s="5" t="n">
        <v>0</v>
      </c>
      <c r="AH266" s="5" t="n">
        <v>5.112</v>
      </c>
      <c r="AI266" s="5" t="n">
        <v>0</v>
      </c>
      <c r="AJ266" s="5" t="n">
        <v>1</v>
      </c>
      <c r="AK266" s="5" t="n">
        <v>11.972</v>
      </c>
      <c r="AL266" s="5" t="n">
        <v>6.376</v>
      </c>
      <c r="AM266" s="5" t="n">
        <v>0</v>
      </c>
      <c r="AN266" s="5" t="n">
        <v>13.768</v>
      </c>
      <c r="AO266" s="5" t="n">
        <v>0.15</v>
      </c>
      <c r="AP266" s="5" t="n">
        <v>1</v>
      </c>
      <c r="AQ266" s="5" t="n">
        <v>0.619</v>
      </c>
      <c r="AR266" s="5" t="n">
        <v>0.114</v>
      </c>
      <c r="AS266" s="5" t="n">
        <v>-0.099</v>
      </c>
      <c r="AT266" s="5" t="n">
        <v>0.598</v>
      </c>
      <c r="AU266" s="5" t="n">
        <v>0.15</v>
      </c>
      <c r="AV266" s="5" t="n">
        <v>1</v>
      </c>
      <c r="AW266" s="5" t="n">
        <v>0.599</v>
      </c>
      <c r="AX266" s="5" t="n">
        <v>0.114</v>
      </c>
      <c r="AY266" s="5" t="n">
        <v>-0.133</v>
      </c>
      <c r="AZ266" s="5" t="n">
        <v>0.537</v>
      </c>
      <c r="BA266" s="5" t="n">
        <v>0.15</v>
      </c>
      <c r="BB266" s="5" t="n">
        <v>1</v>
      </c>
      <c r="BC266" s="5" t="n">
        <v>0.439</v>
      </c>
      <c r="BD266" s="5" t="n">
        <v>0.114</v>
      </c>
      <c r="BE266" s="5" t="n">
        <v>0.016</v>
      </c>
      <c r="BF266" s="5" t="n">
        <v>0.523</v>
      </c>
      <c r="BG266" s="5" t="n">
        <v>0.15</v>
      </c>
      <c r="BH266" s="5" t="n">
        <v>1</v>
      </c>
      <c r="BI266" s="5" t="n">
        <v>0.505</v>
      </c>
      <c r="BJ266" s="5" t="n">
        <v>0.114</v>
      </c>
      <c r="BK266" s="5" t="n">
        <v>0.032</v>
      </c>
      <c r="BL266" s="5" t="n">
        <v>0.537</v>
      </c>
      <c r="BM266" s="5" t="n">
        <v>0</v>
      </c>
      <c r="BN266" s="5" t="n">
        <v>1</v>
      </c>
      <c r="BO266" s="5" t="n">
        <v>0</v>
      </c>
      <c r="BP266" s="5" t="n">
        <v>0</v>
      </c>
      <c r="BQ266" s="5" t="n">
        <v>0.028</v>
      </c>
      <c r="BR266" s="5" t="n">
        <v>0</v>
      </c>
      <c r="BS266" s="5" t="n">
        <v>0.667</v>
      </c>
      <c r="BT266" s="5" t="n">
        <v>0</v>
      </c>
      <c r="BU266" s="5" t="n">
        <v>0</v>
      </c>
      <c r="BV266" s="5" t="n">
        <v>0.048</v>
      </c>
      <c r="BW266" s="5" t="n">
        <v>0.15</v>
      </c>
      <c r="BX266" s="5" t="n">
        <v>0.667</v>
      </c>
      <c r="BY266" s="5" t="n">
        <v>11.787</v>
      </c>
      <c r="BZ266" s="5" t="n">
        <v>0</v>
      </c>
      <c r="CA266" s="5" t="n">
        <v>11.787</v>
      </c>
      <c r="CB266" s="5" t="n">
        <v>0</v>
      </c>
      <c r="CC266" s="5" t="n">
        <v>78.125</v>
      </c>
      <c r="CD266" s="5" t="n">
        <v>7.95</v>
      </c>
      <c r="CE266" s="5" t="n">
        <v>-2.409</v>
      </c>
      <c r="CF266" s="5" t="n">
        <v>87.07299999999999</v>
      </c>
      <c r="CG266" s="5" t="n">
        <v>0.15</v>
      </c>
      <c r="CH266" s="5" t="n">
        <v>1</v>
      </c>
      <c r="CI266" s="5" t="n">
        <v>0</v>
      </c>
      <c r="CJ266" s="5" t="n">
        <v>0</v>
      </c>
      <c r="CK266" s="5" t="n">
        <v>0</v>
      </c>
      <c r="CL266" s="5" t="n">
        <v>0</v>
      </c>
      <c r="CM266" s="5" t="n">
        <v>0</v>
      </c>
      <c r="CN266" s="5" t="n">
        <v>0</v>
      </c>
      <c r="CO266" s="5" t="n">
        <v>0</v>
      </c>
      <c r="CP266" s="5" t="n">
        <v>0.433</v>
      </c>
      <c r="CQ266" s="5" t="n">
        <v>1.198</v>
      </c>
      <c r="CR266" s="5" t="n">
        <v>0</v>
      </c>
      <c r="CS266" s="5" t="n">
        <v>4.049</v>
      </c>
      <c r="CT266" s="5" t="n">
        <v>4.753</v>
      </c>
      <c r="CU266" s="5" t="n">
        <v>15.162</v>
      </c>
    </row>
    <row r="267">
      <c r="A267" s="5" t="inlineStr">
        <is>
          <t>ETH2022</t>
        </is>
      </c>
      <c r="B267" s="5" t="inlineStr">
        <is>
          <t>ETH</t>
        </is>
      </c>
      <c r="C267" s="5" t="inlineStr">
        <is>
          <t>ETH</t>
        </is>
      </c>
      <c r="D267" s="5" t="inlineStr">
        <is>
          <t>Ethiopia</t>
        </is>
      </c>
      <c r="E267" s="5" t="n">
        <v>2022</v>
      </c>
      <c r="F267" s="5" t="n">
        <v>0.15</v>
      </c>
      <c r="G267" s="5" t="n">
        <v>7.468</v>
      </c>
      <c r="H267" s="5" t="n">
        <v>0.967</v>
      </c>
      <c r="I267" s="5" t="n">
        <v>0</v>
      </c>
      <c r="J267" s="5" t="n">
        <v>7.468</v>
      </c>
      <c r="K267" s="5" t="n">
        <v>0</v>
      </c>
      <c r="L267" s="5" t="n">
        <v>1</v>
      </c>
      <c r="M267" s="5" t="n">
        <v>6.906</v>
      </c>
      <c r="N267" s="5" t="n">
        <v>2.901</v>
      </c>
      <c r="O267" s="5" t="n">
        <v>0.159</v>
      </c>
      <c r="P267" s="5" t="n">
        <v>7.065</v>
      </c>
      <c r="Q267" s="5" t="n">
        <v>0</v>
      </c>
      <c r="R267" s="5" t="n">
        <v>1</v>
      </c>
      <c r="S267" s="5" t="n">
        <v>12.304</v>
      </c>
      <c r="T267" s="5" t="n">
        <v>5.803</v>
      </c>
      <c r="U267" s="5" t="n">
        <v>0.137</v>
      </c>
      <c r="V267" s="5" t="n">
        <v>14.149</v>
      </c>
      <c r="W267" s="5" t="n">
        <v>0.15</v>
      </c>
      <c r="X267" s="5" t="n">
        <v>1</v>
      </c>
      <c r="Y267" s="5" t="n">
        <v>15.126</v>
      </c>
      <c r="Z267" s="5" t="n">
        <v>2.044</v>
      </c>
      <c r="AA267" s="5" t="n">
        <v>0</v>
      </c>
      <c r="AB267" s="5" t="n">
        <v>15.126</v>
      </c>
      <c r="AC267" s="5" t="n">
        <v>0</v>
      </c>
      <c r="AD267" s="5" t="n">
        <v>1</v>
      </c>
      <c r="AE267" s="5" t="n">
        <v>16.361</v>
      </c>
      <c r="AF267" s="5" t="n">
        <v>3.826</v>
      </c>
      <c r="AG267" s="5" t="n">
        <v>0</v>
      </c>
      <c r="AH267" s="5" t="n">
        <v>16.361</v>
      </c>
      <c r="AI267" s="5" t="n">
        <v>0</v>
      </c>
      <c r="AJ267" s="5" t="n">
        <v>1</v>
      </c>
      <c r="AK267" s="5" t="n">
        <v>23.769</v>
      </c>
      <c r="AL267" s="5" t="n">
        <v>12.659</v>
      </c>
      <c r="AM267" s="5" t="n">
        <v>0.264</v>
      </c>
      <c r="AN267" s="5" t="n">
        <v>27.334</v>
      </c>
      <c r="AO267" s="5" t="n">
        <v>0.15</v>
      </c>
      <c r="AP267" s="5" t="n">
        <v>1</v>
      </c>
      <c r="AQ267" s="5" t="n">
        <v>0.861</v>
      </c>
      <c r="AR267" s="5" t="n">
        <v>0.123</v>
      </c>
      <c r="AS267" s="5" t="n">
        <v>-0.139</v>
      </c>
      <c r="AT267" s="5" t="n">
        <v>0.83</v>
      </c>
      <c r="AU267" s="5" t="n">
        <v>0.15</v>
      </c>
      <c r="AV267" s="5" t="n">
        <v>1</v>
      </c>
      <c r="AW267" s="5" t="n">
        <v>0.986</v>
      </c>
      <c r="AX267" s="5" t="n">
        <v>0.123</v>
      </c>
      <c r="AY267" s="5" t="n">
        <v>-0.267</v>
      </c>
      <c r="AZ267" s="5" t="n">
        <v>0.827</v>
      </c>
      <c r="BA267" s="5" t="n">
        <v>0.15</v>
      </c>
      <c r="BB267" s="5" t="n">
        <v>1</v>
      </c>
      <c r="BC267" s="5" t="n">
        <v>0.598</v>
      </c>
      <c r="BD267" s="5" t="n">
        <v>0.123</v>
      </c>
      <c r="BE267" s="5" t="n">
        <v>0.03</v>
      </c>
      <c r="BF267" s="5" t="n">
        <v>0.714</v>
      </c>
      <c r="BG267" s="5" t="n">
        <v>0.15</v>
      </c>
      <c r="BH267" s="5" t="n">
        <v>1</v>
      </c>
      <c r="BI267" s="5" t="n">
        <v>0.612</v>
      </c>
      <c r="BJ267" s="5" t="n">
        <v>0.123</v>
      </c>
      <c r="BK267" s="5" t="n">
        <v>0.214</v>
      </c>
      <c r="BL267" s="5" t="n">
        <v>0.827</v>
      </c>
      <c r="BM267" s="5" t="n">
        <v>0</v>
      </c>
      <c r="BN267" s="5" t="n">
        <v>1</v>
      </c>
      <c r="BO267" s="5" t="n">
        <v>0</v>
      </c>
      <c r="BP267" s="5" t="n">
        <v>0</v>
      </c>
      <c r="BQ267" s="5" t="n">
        <v>0.023</v>
      </c>
      <c r="BR267" s="5" t="n">
        <v>0</v>
      </c>
      <c r="BS267" s="5" t="n">
        <v>0.667</v>
      </c>
      <c r="BT267" s="5" t="n">
        <v>0</v>
      </c>
      <c r="BU267" s="5" t="n">
        <v>0</v>
      </c>
      <c r="BV267" s="5" t="n">
        <v>0.041</v>
      </c>
      <c r="BW267" s="5" t="n">
        <v>0.15</v>
      </c>
      <c r="BX267" s="5" t="n">
        <v>0.667</v>
      </c>
      <c r="BY267" s="5" t="n">
        <v>12.729</v>
      </c>
      <c r="BZ267" s="5" t="n">
        <v>0</v>
      </c>
      <c r="CA267" s="5" t="n">
        <v>12.729</v>
      </c>
      <c r="CB267" s="5" t="n">
        <v>0</v>
      </c>
      <c r="CC267" s="5" t="n">
        <v>97.90000000000001</v>
      </c>
      <c r="CD267" s="5" t="n">
        <v>7.95</v>
      </c>
      <c r="CE267" s="5" t="n">
        <v>22.085</v>
      </c>
      <c r="CF267" s="5" t="n">
        <v>137.983</v>
      </c>
      <c r="CG267" s="5" t="n">
        <v>0.15</v>
      </c>
      <c r="CH267" s="5" t="n">
        <v>1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0.433</v>
      </c>
      <c r="CQ267" s="5" t="n">
        <v>1.294</v>
      </c>
      <c r="CR267" s="5" t="n">
        <v>0</v>
      </c>
      <c r="CS267" s="5" t="n">
        <v>4.373</v>
      </c>
      <c r="CT267" s="5" t="n">
        <v>10.485</v>
      </c>
      <c r="CU267" s="5" t="n">
        <v>31.326</v>
      </c>
    </row>
    <row r="268">
      <c r="A268" s="5" t="inlineStr">
        <is>
          <t>ETH2023</t>
        </is>
      </c>
      <c r="B268" s="5" t="inlineStr">
        <is>
          <t>ETH</t>
        </is>
      </c>
      <c r="C268" s="5" t="inlineStr">
        <is>
          <t>ETH</t>
        </is>
      </c>
      <c r="D268" s="5" t="inlineStr">
        <is>
          <t>Ethiopia</t>
        </is>
      </c>
      <c r="E268" s="5" t="n">
        <v>2023</v>
      </c>
      <c r="F268" s="5" t="n">
        <v>0.15</v>
      </c>
      <c r="G268" s="5" t="n">
        <v>4.457</v>
      </c>
      <c r="H268" s="5" t="n">
        <v>1.024</v>
      </c>
      <c r="I268" s="5" t="n">
        <v>0</v>
      </c>
      <c r="J268" s="5" t="n">
        <v>4.457</v>
      </c>
      <c r="K268" s="5" t="n">
        <v>0</v>
      </c>
      <c r="L268" s="5" t="n">
        <v>1</v>
      </c>
      <c r="M268" s="5" t="n">
        <v>6.012</v>
      </c>
      <c r="N268" s="5" t="n">
        <v>3.073</v>
      </c>
      <c r="O268" s="5" t="n">
        <v>0.111</v>
      </c>
      <c r="P268" s="5" t="n">
        <v>6.123</v>
      </c>
      <c r="Q268" s="5" t="n">
        <v>0</v>
      </c>
      <c r="R268" s="5" t="n">
        <v>1</v>
      </c>
      <c r="S268" s="5" t="n">
        <v>9.579000000000001</v>
      </c>
      <c r="T268" s="5" t="n">
        <v>6.146</v>
      </c>
      <c r="U268" s="5" t="n">
        <v>0.159</v>
      </c>
      <c r="V268" s="5" t="n">
        <v>11.016</v>
      </c>
      <c r="W268" s="5" t="n">
        <v>0.15</v>
      </c>
      <c r="X268" s="5" t="n">
        <v>1</v>
      </c>
      <c r="Y268" s="5" t="n">
        <v>7.362</v>
      </c>
      <c r="Z268" s="5" t="n">
        <v>0.995</v>
      </c>
      <c r="AA268" s="5" t="n">
        <v>0</v>
      </c>
      <c r="AB268" s="5" t="n">
        <v>7.362</v>
      </c>
      <c r="AC268" s="5" t="n">
        <v>0</v>
      </c>
      <c r="AD268" s="5" t="n">
        <v>1</v>
      </c>
      <c r="AE268" s="5" t="n">
        <v>8.648</v>
      </c>
      <c r="AF268" s="5" t="n">
        <v>2.022</v>
      </c>
      <c r="AG268" s="5" t="n">
        <v>0</v>
      </c>
      <c r="AH268" s="5" t="n">
        <v>8.648</v>
      </c>
      <c r="AI268" s="5" t="n">
        <v>0</v>
      </c>
      <c r="AJ268" s="5" t="n">
        <v>1</v>
      </c>
      <c r="AK268" s="5" t="n">
        <v>16.362</v>
      </c>
      <c r="AL268" s="5" t="n">
        <v>8.714</v>
      </c>
      <c r="AM268" s="5" t="n">
        <v>0.272</v>
      </c>
      <c r="AN268" s="5" t="n">
        <v>18.816</v>
      </c>
      <c r="AO268" s="5" t="n">
        <v>0.15</v>
      </c>
      <c r="AP268" s="5" t="n">
        <v>1</v>
      </c>
      <c r="AQ268" s="5" t="n">
        <v>0.76</v>
      </c>
      <c r="AR268" s="5" t="n">
        <v>0.129</v>
      </c>
      <c r="AS268" s="5" t="n">
        <v>0.342</v>
      </c>
      <c r="AT268" s="5" t="n">
        <v>1.268</v>
      </c>
      <c r="AU268" s="5" t="n">
        <v>0.15</v>
      </c>
      <c r="AV268" s="5" t="n">
        <v>1</v>
      </c>
      <c r="AW268" s="5" t="n">
        <v>0.8110000000000001</v>
      </c>
      <c r="AX268" s="5" t="n">
        <v>0.129</v>
      </c>
      <c r="AY268" s="5" t="n">
        <v>0.343</v>
      </c>
      <c r="AZ268" s="5" t="n">
        <v>1.328</v>
      </c>
      <c r="BA268" s="5" t="n">
        <v>0.15</v>
      </c>
      <c r="BB268" s="5" t="n">
        <v>1</v>
      </c>
      <c r="BC268" s="5" t="n">
        <v>0.535</v>
      </c>
      <c r="BD268" s="5" t="n">
        <v>0.129</v>
      </c>
      <c r="BE268" s="5" t="n">
        <v>0.029</v>
      </c>
      <c r="BF268" s="5" t="n">
        <v>0.638</v>
      </c>
      <c r="BG268" s="5" t="n">
        <v>0.15</v>
      </c>
      <c r="BH268" s="5" t="n">
        <v>1</v>
      </c>
      <c r="BI268" s="5" t="n">
        <v>0.579</v>
      </c>
      <c r="BJ268" s="5" t="n">
        <v>0.129</v>
      </c>
      <c r="BK268" s="5" t="n">
        <v>0.739</v>
      </c>
      <c r="BL268" s="5" t="n">
        <v>1.318</v>
      </c>
      <c r="BM268" s="5" t="n">
        <v>0</v>
      </c>
      <c r="BN268" s="5" t="n">
        <v>1</v>
      </c>
      <c r="BO268" s="5" t="n">
        <v>0</v>
      </c>
      <c r="BP268" s="5" t="n">
        <v>0</v>
      </c>
      <c r="BQ268" s="5" t="n">
        <v>0.022</v>
      </c>
      <c r="BR268" s="5" t="n">
        <v>0</v>
      </c>
      <c r="BS268" s="5" t="n">
        <v>0.667</v>
      </c>
      <c r="BT268" s="5" t="n">
        <v>0</v>
      </c>
      <c r="BU268" s="5" t="n">
        <v>0</v>
      </c>
      <c r="BV268" s="5" t="n">
        <v>0.039</v>
      </c>
      <c r="BW268" s="5" t="n">
        <v>0.15</v>
      </c>
      <c r="BX268" s="5" t="n">
        <v>0.667</v>
      </c>
      <c r="BY268" s="5" t="n">
        <v>13.254</v>
      </c>
      <c r="BZ268" s="5" t="n">
        <v>0</v>
      </c>
      <c r="CA268" s="5" t="n">
        <v>13.254</v>
      </c>
      <c r="CB268" s="5" t="n">
        <v>0</v>
      </c>
      <c r="CC268" s="5" t="n">
        <v>83.248</v>
      </c>
      <c r="CD268" s="5" t="n">
        <v>7.95</v>
      </c>
      <c r="CE268" s="5" t="n">
        <v>92.107</v>
      </c>
      <c r="CF268" s="5" t="n">
        <v>201.659</v>
      </c>
      <c r="CG268" s="5" t="n">
        <v>0.15</v>
      </c>
      <c r="CH268" s="5" t="n">
        <v>1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0.407</v>
      </c>
      <c r="CQ268" s="5" t="n">
        <v>1.348</v>
      </c>
      <c r="CR268" s="5" t="n">
        <v>0</v>
      </c>
      <c r="CS268" s="5" t="n">
        <v>4.553</v>
      </c>
      <c r="CT268" s="5" t="n">
        <v>4.861</v>
      </c>
      <c r="CU268" s="5" t="n">
        <v>11.622</v>
      </c>
    </row>
    <row r="269">
      <c r="A269" s="5" t="inlineStr">
        <is>
          <t>ETH2024</t>
        </is>
      </c>
      <c r="B269" s="5" t="inlineStr">
        <is>
          <t>ETH</t>
        </is>
      </c>
      <c r="C269" s="5" t="inlineStr">
        <is>
          <t>ETH</t>
        </is>
      </c>
      <c r="D269" s="5" t="inlineStr">
        <is>
          <t>Ethiopia</t>
        </is>
      </c>
      <c r="E269" s="5" t="n">
        <v>2024</v>
      </c>
      <c r="F269" s="5" t="n">
        <v>0.15</v>
      </c>
      <c r="G269" s="5" t="n">
        <v>4.142</v>
      </c>
      <c r="H269" s="5" t="n">
        <v>1.055</v>
      </c>
      <c r="I269" s="5" t="n">
        <v>0</v>
      </c>
      <c r="J269" s="5" t="n">
        <v>4.142</v>
      </c>
      <c r="K269" s="5" t="n">
        <v>0</v>
      </c>
      <c r="L269" s="5" t="n">
        <v>1</v>
      </c>
      <c r="M269" s="5" t="n">
        <v>5.599</v>
      </c>
      <c r="N269" s="5" t="n">
        <v>3.164</v>
      </c>
      <c r="O269" s="5" t="n">
        <v>0.08699999999999999</v>
      </c>
      <c r="P269" s="5" t="n">
        <v>5.686</v>
      </c>
      <c r="Q269" s="5" t="n">
        <v>0</v>
      </c>
      <c r="R269" s="5" t="n">
        <v>1</v>
      </c>
      <c r="S269" s="5" t="n">
        <v>9.414999999999999</v>
      </c>
      <c r="T269" s="5" t="n">
        <v>6.328</v>
      </c>
      <c r="U269" s="5" t="n">
        <v>0.192</v>
      </c>
      <c r="V269" s="5" t="n">
        <v>10.827</v>
      </c>
      <c r="W269" s="5" t="n">
        <v>0.15</v>
      </c>
      <c r="X269" s="5" t="n">
        <v>1</v>
      </c>
      <c r="Y269" s="5" t="n">
        <v>6.861</v>
      </c>
      <c r="Z269" s="5" t="n">
        <v>0.927</v>
      </c>
      <c r="AA269" s="5" t="n">
        <v>0</v>
      </c>
      <c r="AB269" s="5" t="n">
        <v>6.861</v>
      </c>
      <c r="AC269" s="5" t="n">
        <v>0</v>
      </c>
      <c r="AD269" s="5" t="n">
        <v>1</v>
      </c>
      <c r="AE269" s="5" t="n">
        <v>8.185</v>
      </c>
      <c r="AF269" s="5" t="n">
        <v>1.914</v>
      </c>
      <c r="AG269" s="5" t="n">
        <v>0</v>
      </c>
      <c r="AH269" s="5" t="n">
        <v>8.185</v>
      </c>
      <c r="AI269" s="5" t="n">
        <v>0</v>
      </c>
      <c r="AJ269" s="5" t="n">
        <v>1</v>
      </c>
      <c r="AK269" s="5" t="n">
        <v>16.127</v>
      </c>
      <c r="AL269" s="5" t="n">
        <v>8.589</v>
      </c>
      <c r="AM269" s="5" t="n">
        <v>0.33</v>
      </c>
      <c r="AN269" s="5" t="n">
        <v>18.546</v>
      </c>
      <c r="AO269" s="5" t="n">
        <v>0.15</v>
      </c>
      <c r="AP269" s="5" t="n">
        <v>1</v>
      </c>
      <c r="AQ269" s="5" t="n">
        <v>0.724</v>
      </c>
      <c r="AR269" s="5" t="n">
        <v>0.132</v>
      </c>
      <c r="AS269" s="5" t="n">
        <v>0.142</v>
      </c>
      <c r="AT269" s="5" t="n">
        <v>0.996</v>
      </c>
      <c r="AU269" s="5" t="n">
        <v>0.15</v>
      </c>
      <c r="AV269" s="5" t="n">
        <v>1</v>
      </c>
      <c r="AW269" s="5" t="n">
        <v>0.75</v>
      </c>
      <c r="AX269" s="5" t="n">
        <v>0.132</v>
      </c>
      <c r="AY269" s="5" t="n">
        <v>0.128</v>
      </c>
      <c r="AZ269" s="5" t="n">
        <v>1.009</v>
      </c>
      <c r="BA269" s="5" t="n">
        <v>0.15</v>
      </c>
      <c r="BB269" s="5" t="n">
        <v>1</v>
      </c>
      <c r="BC269" s="5" t="n">
        <v>0.513</v>
      </c>
      <c r="BD269" s="5" t="n">
        <v>0.132</v>
      </c>
      <c r="BE269" s="5" t="n">
        <v>0.029</v>
      </c>
      <c r="BF269" s="5" t="n">
        <v>0.611</v>
      </c>
      <c r="BG269" s="5" t="n">
        <v>0.15</v>
      </c>
      <c r="BH269" s="5" t="n">
        <v>1</v>
      </c>
      <c r="BI269" s="5" t="n">
        <v>0.591</v>
      </c>
      <c r="BJ269" s="5" t="n">
        <v>0.132</v>
      </c>
      <c r="BK269" s="5" t="n">
        <v>0.405</v>
      </c>
      <c r="BL269" s="5" t="n">
        <v>0.997</v>
      </c>
      <c r="BM269" s="5" t="n">
        <v>0</v>
      </c>
      <c r="BN269" s="5" t="n">
        <v>1</v>
      </c>
      <c r="BO269" s="5" t="n">
        <v>0</v>
      </c>
      <c r="BP269" s="5" t="n">
        <v>0</v>
      </c>
      <c r="BQ269" s="5" t="n">
        <v>0.023</v>
      </c>
      <c r="BR269" s="5" t="n">
        <v>0</v>
      </c>
      <c r="BS269" s="5" t="n">
        <v>0.667</v>
      </c>
      <c r="BT269" s="5" t="n">
        <v>0</v>
      </c>
      <c r="BU269" s="5" t="n">
        <v>0</v>
      </c>
      <c r="BV269" s="5" t="n">
        <v>0.04</v>
      </c>
      <c r="BW269" s="5" t="n">
        <v>0.15</v>
      </c>
      <c r="BX269" s="5" t="n">
        <v>0.667</v>
      </c>
      <c r="BY269" s="5" t="n">
        <v>13.646</v>
      </c>
      <c r="BZ269" s="5" t="n">
        <v>0</v>
      </c>
      <c r="CA269" s="5" t="n">
        <v>13.646</v>
      </c>
      <c r="CB269" s="5" t="n">
        <v>0</v>
      </c>
      <c r="CC269" s="5" t="n">
        <v>82.58799999999999</v>
      </c>
      <c r="CD269" s="5" t="n">
        <v>7.95</v>
      </c>
      <c r="CE269" s="5" t="n">
        <v>52.055</v>
      </c>
      <c r="CF269" s="5" t="n">
        <v>154.84</v>
      </c>
      <c r="CG269" s="5" t="n">
        <v>0.15</v>
      </c>
      <c r="CH269" s="5" t="n">
        <v>1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0</v>
      </c>
      <c r="CN269" s="5" t="n">
        <v>0</v>
      </c>
      <c r="CO269" s="5" t="n">
        <v>0</v>
      </c>
      <c r="CP269" s="5" t="n">
        <v>0.407</v>
      </c>
      <c r="CQ269" s="5" t="n">
        <v>1.387</v>
      </c>
      <c r="CR269" s="5" t="n">
        <v>0</v>
      </c>
      <c r="CS269" s="5" t="n">
        <v>4.688</v>
      </c>
      <c r="CT269" s="5" t="n">
        <v>4.251</v>
      </c>
      <c r="CU269" s="5" t="n">
        <v>10.168</v>
      </c>
    </row>
    <row r="270">
      <c r="A270" s="5" t="inlineStr">
        <is>
          <t>FRO2021</t>
        </is>
      </c>
      <c r="B270" s="5" t="inlineStr">
        <is>
          <t>FRO</t>
        </is>
      </c>
      <c r="C270" s="5" t="inlineStr">
        <is>
          <t>FRO</t>
        </is>
      </c>
      <c r="D270" s="5" t="inlineStr">
        <is>
          <t>Faroe Islands</t>
        </is>
      </c>
      <c r="E270" s="5" t="n">
        <v>2021</v>
      </c>
      <c r="F270" s="5" t="n">
        <v>0</v>
      </c>
      <c r="G270" s="5" t="n">
        <v>5.553</v>
      </c>
      <c r="H270" s="5" t="n">
        <v>1.143</v>
      </c>
      <c r="I270" s="5" t="n">
        <v>0</v>
      </c>
      <c r="J270" s="5" t="n">
        <v>5.553</v>
      </c>
      <c r="K270" s="5" t="n">
        <v>0</v>
      </c>
      <c r="L270" s="5" t="n">
        <v>1</v>
      </c>
      <c r="M270" s="5" t="n">
        <v>7.964</v>
      </c>
      <c r="N270" s="5" t="n">
        <v>3.43</v>
      </c>
      <c r="O270" s="5" t="n">
        <v>0</v>
      </c>
      <c r="P270" s="5" t="n">
        <v>7.964</v>
      </c>
      <c r="Q270" s="5" t="n">
        <v>0</v>
      </c>
      <c r="R270" s="5" t="n">
        <v>1</v>
      </c>
      <c r="S270" s="5" t="n">
        <v>11.27</v>
      </c>
      <c r="T270" s="5" t="n">
        <v>6.86</v>
      </c>
      <c r="U270" s="5" t="n">
        <v>0</v>
      </c>
      <c r="V270" s="5" t="n">
        <v>11.27</v>
      </c>
      <c r="W270" s="5" t="n">
        <v>0</v>
      </c>
      <c r="X270" s="5" t="n">
        <v>1</v>
      </c>
      <c r="Y270" s="5" t="n">
        <v>16.305</v>
      </c>
      <c r="Z270" s="5" t="n">
        <v>2.204</v>
      </c>
      <c r="AA270" s="5" t="n">
        <v>0</v>
      </c>
      <c r="AB270" s="5" t="n">
        <v>16.305</v>
      </c>
      <c r="AC270" s="5" t="n">
        <v>0</v>
      </c>
      <c r="AD270" s="5" t="n">
        <v>1</v>
      </c>
      <c r="AE270" s="5" t="n">
        <v>17.449</v>
      </c>
      <c r="AF270" s="5" t="n">
        <v>4.08</v>
      </c>
      <c r="AG270" s="5" t="n">
        <v>0</v>
      </c>
      <c r="AH270" s="5" t="n">
        <v>17.449</v>
      </c>
      <c r="AI270" s="5" t="n">
        <v>0</v>
      </c>
      <c r="AJ270" s="5" t="n">
        <v>1</v>
      </c>
      <c r="AK270" s="5" t="n">
        <v>24.309</v>
      </c>
      <c r="AL270" s="5" t="n">
        <v>12.947</v>
      </c>
      <c r="AM270" s="5" t="n">
        <v>0</v>
      </c>
      <c r="AN270" s="5" t="n">
        <v>24.309</v>
      </c>
      <c r="AO270" s="5" t="n">
        <v>0</v>
      </c>
      <c r="AP270" s="5" t="n">
        <v>1</v>
      </c>
      <c r="AQ270" s="5" t="n">
        <v>0.619</v>
      </c>
      <c r="AR270" s="5" t="n">
        <v>0.114</v>
      </c>
      <c r="AS270" s="5" t="n">
        <v>0</v>
      </c>
      <c r="AT270" s="5" t="n">
        <v>0.619</v>
      </c>
      <c r="AU270" s="5" t="n">
        <v>0</v>
      </c>
      <c r="AV270" s="5" t="n">
        <v>1</v>
      </c>
      <c r="AW270" s="5" t="n">
        <v>0.599</v>
      </c>
      <c r="AX270" s="5" t="n">
        <v>0.114</v>
      </c>
      <c r="AY270" s="5" t="n">
        <v>0</v>
      </c>
      <c r="AZ270" s="5" t="n">
        <v>0.599</v>
      </c>
      <c r="BA270" s="5" t="n">
        <v>0</v>
      </c>
      <c r="BB270" s="5" t="n">
        <v>1</v>
      </c>
      <c r="BC270" s="5" t="n">
        <v>0.439</v>
      </c>
      <c r="BD270" s="5" t="n">
        <v>0.114</v>
      </c>
      <c r="BE270" s="5" t="n">
        <v>0</v>
      </c>
      <c r="BF270" s="5" t="n">
        <v>0.439</v>
      </c>
      <c r="BG270" s="5" t="n">
        <v>0</v>
      </c>
      <c r="BH270" s="5" t="n">
        <v>1</v>
      </c>
      <c r="BI270" s="5" t="n">
        <v>0.505</v>
      </c>
      <c r="BJ270" s="5" t="n">
        <v>0.114</v>
      </c>
      <c r="BK270" s="5" t="n">
        <v>0</v>
      </c>
      <c r="BL270" s="5" t="n">
        <v>0.505</v>
      </c>
      <c r="BM270" s="5" t="n">
        <v>0</v>
      </c>
      <c r="BN270" s="5" t="n">
        <v>1</v>
      </c>
      <c r="BO270" s="5" t="n">
        <v>0</v>
      </c>
      <c r="BP270" s="5" t="n">
        <v>0</v>
      </c>
      <c r="BQ270" s="5" t="n">
        <v>0</v>
      </c>
      <c r="BR270" s="5" t="n">
        <v>0</v>
      </c>
      <c r="BS270" s="5" t="n">
        <v>1</v>
      </c>
      <c r="BT270" s="5" t="n">
        <v>0</v>
      </c>
      <c r="BU270" s="5" t="n">
        <v>0</v>
      </c>
      <c r="BV270" s="5" t="n">
        <v>0</v>
      </c>
      <c r="BW270" s="5" t="n">
        <v>0</v>
      </c>
      <c r="BX270" s="5" t="n">
        <v>1</v>
      </c>
      <c r="BY270" s="5" t="n">
        <v>11.787</v>
      </c>
      <c r="BZ270" s="5" t="n">
        <v>0</v>
      </c>
      <c r="CA270" s="5" t="n">
        <v>11.787</v>
      </c>
      <c r="CB270" s="5" t="n">
        <v>0</v>
      </c>
      <c r="CC270" s="5" t="n">
        <v>78.125</v>
      </c>
      <c r="CD270" s="5" t="n">
        <v>7.95</v>
      </c>
      <c r="CE270" s="5" t="n">
        <v>0</v>
      </c>
      <c r="CF270" s="5" t="n">
        <v>78.125</v>
      </c>
      <c r="CG270" s="5" t="n">
        <v>0</v>
      </c>
      <c r="CH270" s="5" t="n">
        <v>1</v>
      </c>
      <c r="CI270" s="5" t="n">
        <v>0</v>
      </c>
      <c r="CJ270" s="5" t="n">
        <v>0</v>
      </c>
      <c r="CK270" s="5" t="n">
        <v>0</v>
      </c>
      <c r="CL270" s="5" t="n">
        <v>0</v>
      </c>
      <c r="CM270" s="5" t="n">
        <v>0</v>
      </c>
      <c r="CN270" s="5" t="n">
        <v>0</v>
      </c>
      <c r="CO270" s="5" t="n">
        <v>0</v>
      </c>
      <c r="CP270" s="5" t="n">
        <v>0</v>
      </c>
      <c r="CQ270" s="5" t="n">
        <v>1.198</v>
      </c>
      <c r="CR270" s="5" t="n">
        <v>0</v>
      </c>
      <c r="CS270" s="5" t="n">
        <v>4.776</v>
      </c>
      <c r="CT270" s="5" t="n">
        <v>4.41</v>
      </c>
      <c r="CU270" s="5" t="n">
        <v>15.162</v>
      </c>
    </row>
    <row r="271">
      <c r="A271" s="5" t="inlineStr">
        <is>
          <t>FRO2022</t>
        </is>
      </c>
      <c r="B271" s="5" t="inlineStr">
        <is>
          <t>FRO</t>
        </is>
      </c>
      <c r="C271" s="5" t="inlineStr">
        <is>
          <t>FRO</t>
        </is>
      </c>
      <c r="D271" s="5" t="inlineStr">
        <is>
          <t>Faroe Islands</t>
        </is>
      </c>
      <c r="E271" s="5" t="n">
        <v>2022</v>
      </c>
      <c r="F271" s="5" t="n">
        <v>0</v>
      </c>
      <c r="G271" s="5" t="n">
        <v>7.077</v>
      </c>
      <c r="H271" s="5" t="n">
        <v>1.235</v>
      </c>
      <c r="I271" s="5" t="n">
        <v>0</v>
      </c>
      <c r="J271" s="5" t="n">
        <v>7.077</v>
      </c>
      <c r="K271" s="5" t="n">
        <v>0</v>
      </c>
      <c r="L271" s="5" t="n">
        <v>1</v>
      </c>
      <c r="M271" s="5" t="n">
        <v>9.782999999999999</v>
      </c>
      <c r="N271" s="5" t="n">
        <v>3.704</v>
      </c>
      <c r="O271" s="5" t="n">
        <v>0</v>
      </c>
      <c r="P271" s="5" t="n">
        <v>9.782999999999999</v>
      </c>
      <c r="Q271" s="5" t="n">
        <v>0</v>
      </c>
      <c r="R271" s="5" t="n">
        <v>1</v>
      </c>
      <c r="S271" s="5" t="n">
        <v>13.25</v>
      </c>
      <c r="T271" s="5" t="n">
        <v>7.408</v>
      </c>
      <c r="U271" s="5" t="n">
        <v>0</v>
      </c>
      <c r="V271" s="5" t="n">
        <v>13.25</v>
      </c>
      <c r="W271" s="5" t="n">
        <v>0</v>
      </c>
      <c r="X271" s="5" t="n">
        <v>1</v>
      </c>
      <c r="Y271" s="5" t="n">
        <v>32.56</v>
      </c>
      <c r="Z271" s="5" t="n">
        <v>4.401</v>
      </c>
      <c r="AA271" s="5" t="n">
        <v>0</v>
      </c>
      <c r="AB271" s="5" t="n">
        <v>32.56</v>
      </c>
      <c r="AC271" s="5" t="n">
        <v>0</v>
      </c>
      <c r="AD271" s="5" t="n">
        <v>1</v>
      </c>
      <c r="AE271" s="5" t="n">
        <v>33.795</v>
      </c>
      <c r="AF271" s="5" t="n">
        <v>7.902</v>
      </c>
      <c r="AG271" s="5" t="n">
        <v>0</v>
      </c>
      <c r="AH271" s="5" t="n">
        <v>33.795</v>
      </c>
      <c r="AI271" s="5" t="n">
        <v>0</v>
      </c>
      <c r="AJ271" s="5" t="n">
        <v>1</v>
      </c>
      <c r="AK271" s="5" t="n">
        <v>41.203</v>
      </c>
      <c r="AL271" s="5" t="n">
        <v>21.945</v>
      </c>
      <c r="AM271" s="5" t="n">
        <v>0</v>
      </c>
      <c r="AN271" s="5" t="n">
        <v>41.203</v>
      </c>
      <c r="AO271" s="5" t="n">
        <v>0</v>
      </c>
      <c r="AP271" s="5" t="n">
        <v>1</v>
      </c>
      <c r="AQ271" s="5" t="n">
        <v>0.861</v>
      </c>
      <c r="AR271" s="5" t="n">
        <v>0.123</v>
      </c>
      <c r="AS271" s="5" t="n">
        <v>0</v>
      </c>
      <c r="AT271" s="5" t="n">
        <v>0.861</v>
      </c>
      <c r="AU271" s="5" t="n">
        <v>0</v>
      </c>
      <c r="AV271" s="5" t="n">
        <v>1</v>
      </c>
      <c r="AW271" s="5" t="n">
        <v>0.986</v>
      </c>
      <c r="AX271" s="5" t="n">
        <v>0.123</v>
      </c>
      <c r="AY271" s="5" t="n">
        <v>0</v>
      </c>
      <c r="AZ271" s="5" t="n">
        <v>0.986</v>
      </c>
      <c r="BA271" s="5" t="n">
        <v>0</v>
      </c>
      <c r="BB271" s="5" t="n">
        <v>1</v>
      </c>
      <c r="BC271" s="5" t="n">
        <v>0.598</v>
      </c>
      <c r="BD271" s="5" t="n">
        <v>0.123</v>
      </c>
      <c r="BE271" s="5" t="n">
        <v>0</v>
      </c>
      <c r="BF271" s="5" t="n">
        <v>0.598</v>
      </c>
      <c r="BG271" s="5" t="n">
        <v>0</v>
      </c>
      <c r="BH271" s="5" t="n">
        <v>1</v>
      </c>
      <c r="BI271" s="5" t="n">
        <v>0.612</v>
      </c>
      <c r="BJ271" s="5" t="n">
        <v>0.123</v>
      </c>
      <c r="BK271" s="5" t="n">
        <v>0</v>
      </c>
      <c r="BL271" s="5" t="n">
        <v>0.612</v>
      </c>
      <c r="BM271" s="5" t="n">
        <v>0</v>
      </c>
      <c r="BN271" s="5" t="n">
        <v>1</v>
      </c>
      <c r="BO271" s="5" t="n">
        <v>0</v>
      </c>
      <c r="BP271" s="5" t="n">
        <v>0</v>
      </c>
      <c r="BQ271" s="5" t="n">
        <v>0</v>
      </c>
      <c r="BR271" s="5" t="n">
        <v>0</v>
      </c>
      <c r="BS271" s="5" t="n">
        <v>1</v>
      </c>
      <c r="BT271" s="5" t="n">
        <v>0</v>
      </c>
      <c r="BU271" s="5" t="n">
        <v>0</v>
      </c>
      <c r="BV271" s="5" t="n">
        <v>0</v>
      </c>
      <c r="BW271" s="5" t="n">
        <v>0</v>
      </c>
      <c r="BX271" s="5" t="n">
        <v>1</v>
      </c>
      <c r="BY271" s="5" t="n">
        <v>12.729</v>
      </c>
      <c r="BZ271" s="5" t="n">
        <v>0</v>
      </c>
      <c r="CA271" s="5" t="n">
        <v>12.729</v>
      </c>
      <c r="CB271" s="5" t="n">
        <v>0</v>
      </c>
      <c r="CC271" s="5" t="n">
        <v>97.90000000000001</v>
      </c>
      <c r="CD271" s="5" t="n">
        <v>7.95</v>
      </c>
      <c r="CE271" s="5" t="n">
        <v>0</v>
      </c>
      <c r="CF271" s="5" t="n">
        <v>97.90000000000001</v>
      </c>
      <c r="CG271" s="5" t="n">
        <v>0</v>
      </c>
      <c r="CH271" s="5" t="n">
        <v>1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0</v>
      </c>
      <c r="CN271" s="5" t="n">
        <v>0</v>
      </c>
      <c r="CO271" s="5" t="n">
        <v>0</v>
      </c>
      <c r="CP271" s="5" t="n">
        <v>0</v>
      </c>
      <c r="CQ271" s="5" t="n">
        <v>1.294</v>
      </c>
      <c r="CR271" s="5" t="n">
        <v>0</v>
      </c>
      <c r="CS271" s="5" t="n">
        <v>5.158</v>
      </c>
      <c r="CT271" s="5" t="n">
        <v>5.842</v>
      </c>
      <c r="CU271" s="5" t="n">
        <v>31.326</v>
      </c>
    </row>
    <row r="272">
      <c r="A272" s="5" t="inlineStr">
        <is>
          <t>FRO2023</t>
        </is>
      </c>
      <c r="B272" s="5" t="inlineStr">
        <is>
          <t>FRO</t>
        </is>
      </c>
      <c r="C272" s="5" t="inlineStr">
        <is>
          <t>FRO</t>
        </is>
      </c>
      <c r="D272" s="5" t="inlineStr">
        <is>
          <t>Faroe Islands</t>
        </is>
      </c>
      <c r="E272" s="5" t="n">
        <v>2023</v>
      </c>
      <c r="F272" s="5" t="n">
        <v>0</v>
      </c>
      <c r="G272" s="5" t="n">
        <v>4.752</v>
      </c>
      <c r="H272" s="5" t="n">
        <v>1.286</v>
      </c>
      <c r="I272" s="5" t="n">
        <v>0</v>
      </c>
      <c r="J272" s="5" t="n">
        <v>4.752</v>
      </c>
      <c r="K272" s="5" t="n">
        <v>0</v>
      </c>
      <c r="L272" s="5" t="n">
        <v>1</v>
      </c>
      <c r="M272" s="5" t="n">
        <v>7.886</v>
      </c>
      <c r="N272" s="5" t="n">
        <v>3.857</v>
      </c>
      <c r="O272" s="5" t="n">
        <v>0</v>
      </c>
      <c r="P272" s="5" t="n">
        <v>7.886</v>
      </c>
      <c r="Q272" s="5" t="n">
        <v>0</v>
      </c>
      <c r="R272" s="5" t="n">
        <v>1</v>
      </c>
      <c r="S272" s="5" t="n">
        <v>11.18</v>
      </c>
      <c r="T272" s="5" t="n">
        <v>7.714</v>
      </c>
      <c r="U272" s="5" t="n">
        <v>0</v>
      </c>
      <c r="V272" s="5" t="n">
        <v>11.18</v>
      </c>
      <c r="W272" s="5" t="n">
        <v>0</v>
      </c>
      <c r="X272" s="5" t="n">
        <v>1</v>
      </c>
      <c r="Y272" s="5" t="n">
        <v>12.908</v>
      </c>
      <c r="Z272" s="5" t="n">
        <v>1.745</v>
      </c>
      <c r="AA272" s="5" t="n">
        <v>0</v>
      </c>
      <c r="AB272" s="5" t="n">
        <v>12.908</v>
      </c>
      <c r="AC272" s="5" t="n">
        <v>0</v>
      </c>
      <c r="AD272" s="5" t="n">
        <v>1</v>
      </c>
      <c r="AE272" s="5" t="n">
        <v>14.194</v>
      </c>
      <c r="AF272" s="5" t="n">
        <v>3.319</v>
      </c>
      <c r="AG272" s="5" t="n">
        <v>0</v>
      </c>
      <c r="AH272" s="5" t="n">
        <v>14.194</v>
      </c>
      <c r="AI272" s="5" t="n">
        <v>0</v>
      </c>
      <c r="AJ272" s="5" t="n">
        <v>1</v>
      </c>
      <c r="AK272" s="5" t="n">
        <v>21.908</v>
      </c>
      <c r="AL272" s="5" t="n">
        <v>11.668</v>
      </c>
      <c r="AM272" s="5" t="n">
        <v>0</v>
      </c>
      <c r="AN272" s="5" t="n">
        <v>21.908</v>
      </c>
      <c r="AO272" s="5" t="n">
        <v>0</v>
      </c>
      <c r="AP272" s="5" t="n">
        <v>1</v>
      </c>
      <c r="AQ272" s="5" t="n">
        <v>0.76</v>
      </c>
      <c r="AR272" s="5" t="n">
        <v>0.129</v>
      </c>
      <c r="AS272" s="5" t="n">
        <v>0</v>
      </c>
      <c r="AT272" s="5" t="n">
        <v>0.76</v>
      </c>
      <c r="AU272" s="5" t="n">
        <v>0</v>
      </c>
      <c r="AV272" s="5" t="n">
        <v>1</v>
      </c>
      <c r="AW272" s="5" t="n">
        <v>0.8110000000000001</v>
      </c>
      <c r="AX272" s="5" t="n">
        <v>0.129</v>
      </c>
      <c r="AY272" s="5" t="n">
        <v>0</v>
      </c>
      <c r="AZ272" s="5" t="n">
        <v>0.8110000000000001</v>
      </c>
      <c r="BA272" s="5" t="n">
        <v>0</v>
      </c>
      <c r="BB272" s="5" t="n">
        <v>1</v>
      </c>
      <c r="BC272" s="5" t="n">
        <v>0.535</v>
      </c>
      <c r="BD272" s="5" t="n">
        <v>0.129</v>
      </c>
      <c r="BE272" s="5" t="n">
        <v>0</v>
      </c>
      <c r="BF272" s="5" t="n">
        <v>0.535</v>
      </c>
      <c r="BG272" s="5" t="n">
        <v>0</v>
      </c>
      <c r="BH272" s="5" t="n">
        <v>1</v>
      </c>
      <c r="BI272" s="5" t="n">
        <v>0.579</v>
      </c>
      <c r="BJ272" s="5" t="n">
        <v>0.129</v>
      </c>
      <c r="BK272" s="5" t="n">
        <v>0</v>
      </c>
      <c r="BL272" s="5" t="n">
        <v>0.579</v>
      </c>
      <c r="BM272" s="5" t="n">
        <v>0</v>
      </c>
      <c r="BN272" s="5" t="n">
        <v>1</v>
      </c>
      <c r="BO272" s="5" t="n">
        <v>0</v>
      </c>
      <c r="BP272" s="5" t="n">
        <v>0</v>
      </c>
      <c r="BQ272" s="5" t="n">
        <v>0</v>
      </c>
      <c r="BR272" s="5" t="n">
        <v>0</v>
      </c>
      <c r="BS272" s="5" t="n">
        <v>1</v>
      </c>
      <c r="BT272" s="5" t="n">
        <v>0</v>
      </c>
      <c r="BU272" s="5" t="n">
        <v>0</v>
      </c>
      <c r="BV272" s="5" t="n">
        <v>0</v>
      </c>
      <c r="BW272" s="5" t="n">
        <v>0</v>
      </c>
      <c r="BX272" s="5" t="n">
        <v>1</v>
      </c>
      <c r="BY272" s="5" t="n">
        <v>13.254</v>
      </c>
      <c r="BZ272" s="5" t="n">
        <v>0</v>
      </c>
      <c r="CA272" s="5" t="n">
        <v>13.254</v>
      </c>
      <c r="CB272" s="5" t="n">
        <v>0</v>
      </c>
      <c r="CC272" s="5" t="n">
        <v>83.248</v>
      </c>
      <c r="CD272" s="5" t="n">
        <v>7.95</v>
      </c>
      <c r="CE272" s="5" t="n">
        <v>0</v>
      </c>
      <c r="CF272" s="5" t="n">
        <v>83.248</v>
      </c>
      <c r="CG272" s="5" t="n">
        <v>0</v>
      </c>
      <c r="CH272" s="5" t="n">
        <v>1</v>
      </c>
      <c r="CI272" s="5" t="n">
        <v>0</v>
      </c>
      <c r="CJ272" s="5" t="n">
        <v>0</v>
      </c>
      <c r="CK272" s="5" t="n">
        <v>0</v>
      </c>
      <c r="CL272" s="5" t="n">
        <v>0</v>
      </c>
      <c r="CM272" s="5" t="n">
        <v>0</v>
      </c>
      <c r="CN272" s="5" t="n">
        <v>0</v>
      </c>
      <c r="CO272" s="5" t="n">
        <v>0</v>
      </c>
      <c r="CP272" s="5" t="n">
        <v>0</v>
      </c>
      <c r="CQ272" s="5" t="n">
        <v>1.348</v>
      </c>
      <c r="CR272" s="5" t="n">
        <v>0</v>
      </c>
      <c r="CS272" s="5" t="n">
        <v>5.37</v>
      </c>
      <c r="CT272" s="5" t="n">
        <v>3.466</v>
      </c>
      <c r="CU272" s="5" t="n">
        <v>11.622</v>
      </c>
    </row>
    <row r="273">
      <c r="A273" s="5" t="inlineStr">
        <is>
          <t>FRO2024</t>
        </is>
      </c>
      <c r="B273" s="5" t="inlineStr">
        <is>
          <t>FRO</t>
        </is>
      </c>
      <c r="C273" s="5" t="inlineStr">
        <is>
          <t>FRO</t>
        </is>
      </c>
      <c r="D273" s="5" t="inlineStr">
        <is>
          <t>Faroe Islands</t>
        </is>
      </c>
      <c r="E273" s="5" t="n">
        <v>2024</v>
      </c>
      <c r="F273" s="5" t="n">
        <v>0</v>
      </c>
      <c r="G273" s="5" t="n">
        <v>4.351</v>
      </c>
      <c r="H273" s="5" t="n">
        <v>1.324</v>
      </c>
      <c r="I273" s="5" t="n">
        <v>0</v>
      </c>
      <c r="J273" s="5" t="n">
        <v>4.351</v>
      </c>
      <c r="K273" s="5" t="n">
        <v>0</v>
      </c>
      <c r="L273" s="5" t="n">
        <v>1</v>
      </c>
      <c r="M273" s="5" t="n">
        <v>7.124</v>
      </c>
      <c r="N273" s="5" t="n">
        <v>3.971</v>
      </c>
      <c r="O273" s="5" t="n">
        <v>0</v>
      </c>
      <c r="P273" s="5" t="n">
        <v>7.124</v>
      </c>
      <c r="Q273" s="5" t="n">
        <v>0</v>
      </c>
      <c r="R273" s="5" t="n">
        <v>1</v>
      </c>
      <c r="S273" s="5" t="n">
        <v>10.969</v>
      </c>
      <c r="T273" s="5" t="n">
        <v>7.942</v>
      </c>
      <c r="U273" s="5" t="n">
        <v>0</v>
      </c>
      <c r="V273" s="5" t="n">
        <v>10.969</v>
      </c>
      <c r="W273" s="5" t="n">
        <v>0</v>
      </c>
      <c r="X273" s="5" t="n">
        <v>1</v>
      </c>
      <c r="Y273" s="5" t="n">
        <v>11.492</v>
      </c>
      <c r="Z273" s="5" t="n">
        <v>1.553</v>
      </c>
      <c r="AA273" s="5" t="n">
        <v>0</v>
      </c>
      <c r="AB273" s="5" t="n">
        <v>11.492</v>
      </c>
      <c r="AC273" s="5" t="n">
        <v>0</v>
      </c>
      <c r="AD273" s="5" t="n">
        <v>1</v>
      </c>
      <c r="AE273" s="5" t="n">
        <v>12.815</v>
      </c>
      <c r="AF273" s="5" t="n">
        <v>2.997</v>
      </c>
      <c r="AG273" s="5" t="n">
        <v>0</v>
      </c>
      <c r="AH273" s="5" t="n">
        <v>12.815</v>
      </c>
      <c r="AI273" s="5" t="n">
        <v>0</v>
      </c>
      <c r="AJ273" s="5" t="n">
        <v>1</v>
      </c>
      <c r="AK273" s="5" t="n">
        <v>20.757</v>
      </c>
      <c r="AL273" s="5" t="n">
        <v>11.055</v>
      </c>
      <c r="AM273" s="5" t="n">
        <v>0</v>
      </c>
      <c r="AN273" s="5" t="n">
        <v>20.757</v>
      </c>
      <c r="AO273" s="5" t="n">
        <v>0</v>
      </c>
      <c r="AP273" s="5" t="n">
        <v>1</v>
      </c>
      <c r="AQ273" s="5" t="n">
        <v>0.724</v>
      </c>
      <c r="AR273" s="5" t="n">
        <v>0.132</v>
      </c>
      <c r="AS273" s="5" t="n">
        <v>0</v>
      </c>
      <c r="AT273" s="5" t="n">
        <v>0.724</v>
      </c>
      <c r="AU273" s="5" t="n">
        <v>0</v>
      </c>
      <c r="AV273" s="5" t="n">
        <v>1</v>
      </c>
      <c r="AW273" s="5" t="n">
        <v>0.75</v>
      </c>
      <c r="AX273" s="5" t="n">
        <v>0.132</v>
      </c>
      <c r="AY273" s="5" t="n">
        <v>0</v>
      </c>
      <c r="AZ273" s="5" t="n">
        <v>0.75</v>
      </c>
      <c r="BA273" s="5" t="n">
        <v>0</v>
      </c>
      <c r="BB273" s="5" t="n">
        <v>1</v>
      </c>
      <c r="BC273" s="5" t="n">
        <v>0.513</v>
      </c>
      <c r="BD273" s="5" t="n">
        <v>0.132</v>
      </c>
      <c r="BE273" s="5" t="n">
        <v>0</v>
      </c>
      <c r="BF273" s="5" t="n">
        <v>0.513</v>
      </c>
      <c r="BG273" s="5" t="n">
        <v>0</v>
      </c>
      <c r="BH273" s="5" t="n">
        <v>1</v>
      </c>
      <c r="BI273" s="5" t="n">
        <v>0.591</v>
      </c>
      <c r="BJ273" s="5" t="n">
        <v>0.132</v>
      </c>
      <c r="BK273" s="5" t="n">
        <v>0</v>
      </c>
      <c r="BL273" s="5" t="n">
        <v>0.591</v>
      </c>
      <c r="BM273" s="5" t="n">
        <v>0</v>
      </c>
      <c r="BN273" s="5" t="n">
        <v>1</v>
      </c>
      <c r="BO273" s="5" t="n">
        <v>0</v>
      </c>
      <c r="BP273" s="5" t="n">
        <v>0</v>
      </c>
      <c r="BQ273" s="5" t="n">
        <v>0</v>
      </c>
      <c r="BR273" s="5" t="n">
        <v>0</v>
      </c>
      <c r="BS273" s="5" t="n">
        <v>1</v>
      </c>
      <c r="BT273" s="5" t="n">
        <v>0</v>
      </c>
      <c r="BU273" s="5" t="n">
        <v>0</v>
      </c>
      <c r="BV273" s="5" t="n">
        <v>0</v>
      </c>
      <c r="BW273" s="5" t="n">
        <v>0</v>
      </c>
      <c r="BX273" s="5" t="n">
        <v>1</v>
      </c>
      <c r="BY273" s="5" t="n">
        <v>13.646</v>
      </c>
      <c r="BZ273" s="5" t="n">
        <v>0</v>
      </c>
      <c r="CA273" s="5" t="n">
        <v>13.646</v>
      </c>
      <c r="CB273" s="5" t="n">
        <v>0</v>
      </c>
      <c r="CC273" s="5" t="n">
        <v>82.58799999999999</v>
      </c>
      <c r="CD273" s="5" t="n">
        <v>7.95</v>
      </c>
      <c r="CE273" s="5" t="n">
        <v>0</v>
      </c>
      <c r="CF273" s="5" t="n">
        <v>82.58799999999999</v>
      </c>
      <c r="CG273" s="5" t="n">
        <v>0</v>
      </c>
      <c r="CH273" s="5" t="n">
        <v>1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0</v>
      </c>
      <c r="CN273" s="5" t="n">
        <v>0</v>
      </c>
      <c r="CO273" s="5" t="n">
        <v>0</v>
      </c>
      <c r="CP273" s="5" t="n">
        <v>0</v>
      </c>
      <c r="CQ273" s="5" t="n">
        <v>1.387</v>
      </c>
      <c r="CR273" s="5" t="n">
        <v>0</v>
      </c>
      <c r="CS273" s="5" t="n">
        <v>5.529</v>
      </c>
      <c r="CT273" s="5" t="n">
        <v>3.027</v>
      </c>
      <c r="CU273" s="5" t="n">
        <v>10.168</v>
      </c>
    </row>
    <row r="274">
      <c r="A274" s="5" t="inlineStr">
        <is>
          <t>FJI2021</t>
        </is>
      </c>
      <c r="B274" s="5" t="inlineStr">
        <is>
          <t>FJI</t>
        </is>
      </c>
      <c r="C274" s="5" t="inlineStr">
        <is>
          <t>FJI</t>
        </is>
      </c>
      <c r="D274" s="5" t="inlineStr">
        <is>
          <t>Fiji</t>
        </is>
      </c>
      <c r="E274" s="5" t="n">
        <v>2021</v>
      </c>
      <c r="F274" s="5" t="n">
        <v>0.09</v>
      </c>
      <c r="G274" s="5" t="n">
        <v>4.747</v>
      </c>
      <c r="H274" s="5" t="n">
        <v>1.143</v>
      </c>
      <c r="I274" s="5" t="n">
        <v>0</v>
      </c>
      <c r="J274" s="5" t="n">
        <v>4.747</v>
      </c>
      <c r="K274" s="5" t="n">
        <v>0</v>
      </c>
      <c r="L274" s="5" t="n">
        <v>1</v>
      </c>
      <c r="M274" s="5" t="n">
        <v>7.964</v>
      </c>
      <c r="N274" s="5" t="n">
        <v>3.43</v>
      </c>
      <c r="O274" s="5" t="n">
        <v>0</v>
      </c>
      <c r="P274" s="5" t="n">
        <v>7.964</v>
      </c>
      <c r="Q274" s="5" t="n">
        <v>0</v>
      </c>
      <c r="R274" s="5" t="n">
        <v>1</v>
      </c>
      <c r="S274" s="5" t="n">
        <v>10.464</v>
      </c>
      <c r="T274" s="5" t="n">
        <v>6.86</v>
      </c>
      <c r="U274" s="5" t="n">
        <v>0</v>
      </c>
      <c r="V274" s="5" t="n">
        <v>12.034</v>
      </c>
      <c r="W274" s="5" t="n">
        <v>0.15</v>
      </c>
      <c r="X274" s="5" t="n">
        <v>1</v>
      </c>
      <c r="Y274" s="5" t="n">
        <v>5.49</v>
      </c>
      <c r="Z274" s="5" t="n">
        <v>0.677</v>
      </c>
      <c r="AA274" s="5" t="n">
        <v>0</v>
      </c>
      <c r="AB274" s="5" t="n">
        <v>5.49</v>
      </c>
      <c r="AC274" s="5" t="n">
        <v>0</v>
      </c>
      <c r="AD274" s="5" t="n">
        <v>1</v>
      </c>
      <c r="AE274" s="5" t="n">
        <v>6.633</v>
      </c>
      <c r="AF274" s="5" t="n">
        <v>1.446</v>
      </c>
      <c r="AG274" s="5" t="n">
        <v>0</v>
      </c>
      <c r="AH274" s="5" t="n">
        <v>6.633</v>
      </c>
      <c r="AI274" s="5" t="n">
        <v>0</v>
      </c>
      <c r="AJ274" s="5" t="n">
        <v>1</v>
      </c>
      <c r="AK274" s="5" t="n">
        <v>13.493</v>
      </c>
      <c r="AL274" s="5" t="n">
        <v>7.001</v>
      </c>
      <c r="AM274" s="5" t="n">
        <v>0</v>
      </c>
      <c r="AN274" s="5" t="n">
        <v>15.517</v>
      </c>
      <c r="AO274" s="5" t="n">
        <v>0.15</v>
      </c>
      <c r="AP274" s="5" t="n">
        <v>1</v>
      </c>
      <c r="AQ274" s="5" t="n">
        <v>0.621</v>
      </c>
      <c r="AR274" s="5" t="n">
        <v>0.114</v>
      </c>
      <c r="AS274" s="5" t="n">
        <v>0.366</v>
      </c>
      <c r="AT274" s="5" t="n">
        <v>1.134</v>
      </c>
      <c r="AU274" s="5" t="n">
        <v>0.15</v>
      </c>
      <c r="AV274" s="5" t="n">
        <v>1</v>
      </c>
      <c r="AW274" s="5" t="n">
        <v>0.593</v>
      </c>
      <c r="AX274" s="5" t="n">
        <v>0.114</v>
      </c>
      <c r="AY274" s="5" t="n">
        <v>0.201</v>
      </c>
      <c r="AZ274" s="5" t="n">
        <v>0.866</v>
      </c>
      <c r="BA274" s="5" t="n">
        <v>0.09</v>
      </c>
      <c r="BB274" s="5" t="n">
        <v>1</v>
      </c>
      <c r="BC274" s="5" t="n">
        <v>0.44</v>
      </c>
      <c r="BD274" s="5" t="n">
        <v>0.114</v>
      </c>
      <c r="BE274" s="5" t="n">
        <v>0.258</v>
      </c>
      <c r="BF274" s="5" t="n">
        <v>0.761</v>
      </c>
      <c r="BG274" s="5" t="n">
        <v>0.09</v>
      </c>
      <c r="BH274" s="5" t="n">
        <v>1</v>
      </c>
      <c r="BI274" s="5" t="n">
        <v>0.5600000000000001</v>
      </c>
      <c r="BJ274" s="5" t="n">
        <v>0.114</v>
      </c>
      <c r="BK274" s="5" t="n">
        <v>0.079</v>
      </c>
      <c r="BL274" s="5" t="n">
        <v>0.696</v>
      </c>
      <c r="BM274" s="5" t="n">
        <v>0.09</v>
      </c>
      <c r="BN274" s="5" t="n">
        <v>1</v>
      </c>
      <c r="BO274" s="5" t="n">
        <v>0</v>
      </c>
      <c r="BP274" s="5" t="n">
        <v>0</v>
      </c>
      <c r="BQ274" s="5" t="n">
        <v>0.169</v>
      </c>
      <c r="BR274" s="5" t="n">
        <v>0</v>
      </c>
      <c r="BS274" s="5" t="n">
        <v>1</v>
      </c>
      <c r="BT274" s="5" t="n">
        <v>0</v>
      </c>
      <c r="BU274" s="5" t="n">
        <v>0</v>
      </c>
      <c r="BV274" s="5" t="n">
        <v>0.164</v>
      </c>
      <c r="BW274" s="5" t="n">
        <v>0</v>
      </c>
      <c r="BX274" s="5" t="n">
        <v>1</v>
      </c>
      <c r="BY274" s="5" t="n">
        <v>11.787</v>
      </c>
      <c r="BZ274" s="5" t="n">
        <v>0</v>
      </c>
      <c r="CA274" s="5" t="n">
        <v>11.787</v>
      </c>
      <c r="CB274" s="5" t="n">
        <v>0</v>
      </c>
      <c r="CC274" s="5" t="n">
        <v>81.69499999999999</v>
      </c>
      <c r="CD274" s="5" t="n">
        <v>7.95</v>
      </c>
      <c r="CE274" s="5" t="n">
        <v>0</v>
      </c>
      <c r="CF274" s="5" t="n">
        <v>93.95</v>
      </c>
      <c r="CG274" s="5" t="n">
        <v>0.15</v>
      </c>
      <c r="CH274" s="5" t="n">
        <v>1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0</v>
      </c>
      <c r="CP274" s="5" t="n">
        <v>0</v>
      </c>
      <c r="CQ274" s="5" t="n">
        <v>1.198</v>
      </c>
      <c r="CR274" s="5" t="n">
        <v>0</v>
      </c>
      <c r="CS274" s="5" t="n">
        <v>4.776</v>
      </c>
      <c r="CT274" s="5" t="n">
        <v>3.604</v>
      </c>
      <c r="CU274" s="5" t="n">
        <v>9.407999999999999</v>
      </c>
    </row>
    <row r="275">
      <c r="A275" s="5" t="inlineStr">
        <is>
          <t>FJI2022</t>
        </is>
      </c>
      <c r="B275" s="5" t="inlineStr">
        <is>
          <t>FJI</t>
        </is>
      </c>
      <c r="C275" s="5" t="inlineStr">
        <is>
          <t>FJI</t>
        </is>
      </c>
      <c r="D275" s="5" t="inlineStr">
        <is>
          <t>Fiji</t>
        </is>
      </c>
      <c r="E275" s="5" t="n">
        <v>2022</v>
      </c>
      <c r="F275" s="5" t="n">
        <v>0.09</v>
      </c>
      <c r="G275" s="5" t="n">
        <v>8.788</v>
      </c>
      <c r="H275" s="5" t="n">
        <v>1.235</v>
      </c>
      <c r="I275" s="5" t="n">
        <v>0</v>
      </c>
      <c r="J275" s="5" t="n">
        <v>8.788</v>
      </c>
      <c r="K275" s="5" t="n">
        <v>0</v>
      </c>
      <c r="L275" s="5" t="n">
        <v>1</v>
      </c>
      <c r="M275" s="5" t="n">
        <v>9.782999999999999</v>
      </c>
      <c r="N275" s="5" t="n">
        <v>3.704</v>
      </c>
      <c r="O275" s="5" t="n">
        <v>0</v>
      </c>
      <c r="P275" s="5" t="n">
        <v>9.782999999999999</v>
      </c>
      <c r="Q275" s="5" t="n">
        <v>0</v>
      </c>
      <c r="R275" s="5" t="n">
        <v>1</v>
      </c>
      <c r="S275" s="5" t="n">
        <v>14.962</v>
      </c>
      <c r="T275" s="5" t="n">
        <v>7.408</v>
      </c>
      <c r="U275" s="5" t="n">
        <v>0.166</v>
      </c>
      <c r="V275" s="5" t="n">
        <v>17.206</v>
      </c>
      <c r="W275" s="5" t="n">
        <v>0.15</v>
      </c>
      <c r="X275" s="5" t="n">
        <v>1</v>
      </c>
      <c r="Y275" s="5" t="n">
        <v>6.392</v>
      </c>
      <c r="Z275" s="5" t="n">
        <v>0.789</v>
      </c>
      <c r="AA275" s="5" t="n">
        <v>0</v>
      </c>
      <c r="AB275" s="5" t="n">
        <v>6.392</v>
      </c>
      <c r="AC275" s="5" t="n">
        <v>0</v>
      </c>
      <c r="AD275" s="5" t="n">
        <v>1</v>
      </c>
      <c r="AE275" s="5" t="n">
        <v>7.627</v>
      </c>
      <c r="AF275" s="5" t="n">
        <v>1.663</v>
      </c>
      <c r="AG275" s="5" t="n">
        <v>0</v>
      </c>
      <c r="AH275" s="5" t="n">
        <v>7.627</v>
      </c>
      <c r="AI275" s="5" t="n">
        <v>0</v>
      </c>
      <c r="AJ275" s="5" t="n">
        <v>1</v>
      </c>
      <c r="AK275" s="5" t="n">
        <v>15.035</v>
      </c>
      <c r="AL275" s="5" t="n">
        <v>7.801</v>
      </c>
      <c r="AM275" s="5" t="n">
        <v>0.167</v>
      </c>
      <c r="AN275" s="5" t="n">
        <v>17.29</v>
      </c>
      <c r="AO275" s="5" t="n">
        <v>0.15</v>
      </c>
      <c r="AP275" s="5" t="n">
        <v>1</v>
      </c>
      <c r="AQ275" s="5" t="n">
        <v>0.847</v>
      </c>
      <c r="AR275" s="5" t="n">
        <v>0.123</v>
      </c>
      <c r="AS275" s="5" t="n">
        <v>0.33</v>
      </c>
      <c r="AT275" s="5" t="n">
        <v>1.354</v>
      </c>
      <c r="AU275" s="5" t="n">
        <v>0.15</v>
      </c>
      <c r="AV275" s="5" t="n">
        <v>1</v>
      </c>
      <c r="AW275" s="5" t="n">
        <v>0.947</v>
      </c>
      <c r="AX275" s="5" t="n">
        <v>0.123</v>
      </c>
      <c r="AY275" s="5" t="n">
        <v>0.173</v>
      </c>
      <c r="AZ275" s="5" t="n">
        <v>1.221</v>
      </c>
      <c r="BA275" s="5" t="n">
        <v>0.09</v>
      </c>
      <c r="BB275" s="5" t="n">
        <v>1</v>
      </c>
      <c r="BC275" s="5" t="n">
        <v>0.589</v>
      </c>
      <c r="BD275" s="5" t="n">
        <v>0.123</v>
      </c>
      <c r="BE275" s="5" t="n">
        <v>0.259</v>
      </c>
      <c r="BF275" s="5" t="n">
        <v>0.924</v>
      </c>
      <c r="BG275" s="5" t="n">
        <v>0.09</v>
      </c>
      <c r="BH275" s="5" t="n">
        <v>1</v>
      </c>
      <c r="BI275" s="5" t="n">
        <v>0.6889999999999999</v>
      </c>
      <c r="BJ275" s="5" t="n">
        <v>0.123</v>
      </c>
      <c r="BK275" s="5" t="n">
        <v>0.236</v>
      </c>
      <c r="BL275" s="5" t="n">
        <v>1.008</v>
      </c>
      <c r="BM275" s="5" t="n">
        <v>0.09</v>
      </c>
      <c r="BN275" s="5" t="n">
        <v>1</v>
      </c>
      <c r="BO275" s="5" t="n">
        <v>0</v>
      </c>
      <c r="BP275" s="5" t="n">
        <v>0</v>
      </c>
      <c r="BQ275" s="5" t="n">
        <v>0.182</v>
      </c>
      <c r="BR275" s="5" t="n">
        <v>0</v>
      </c>
      <c r="BS275" s="5" t="n">
        <v>1</v>
      </c>
      <c r="BT275" s="5" t="n">
        <v>0</v>
      </c>
      <c r="BU275" s="5" t="n">
        <v>0</v>
      </c>
      <c r="BV275" s="5" t="n">
        <v>0.177</v>
      </c>
      <c r="BW275" s="5" t="n">
        <v>0</v>
      </c>
      <c r="BX275" s="5" t="n">
        <v>1</v>
      </c>
      <c r="BY275" s="5" t="n">
        <v>12.729</v>
      </c>
      <c r="BZ275" s="5" t="n">
        <v>0</v>
      </c>
      <c r="CA275" s="5" t="n">
        <v>12.729</v>
      </c>
      <c r="CB275" s="5" t="n">
        <v>0</v>
      </c>
      <c r="CC275" s="5" t="n">
        <v>102.477</v>
      </c>
      <c r="CD275" s="5" t="n">
        <v>7.95</v>
      </c>
      <c r="CE275" s="5" t="n">
        <v>1.138</v>
      </c>
      <c r="CF275" s="5" t="n">
        <v>117.848</v>
      </c>
      <c r="CG275" s="5" t="n">
        <v>0.15</v>
      </c>
      <c r="CH275" s="5" t="n">
        <v>1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1.294</v>
      </c>
      <c r="CR275" s="5" t="n">
        <v>0</v>
      </c>
      <c r="CS275" s="5" t="n">
        <v>5.158</v>
      </c>
      <c r="CT275" s="5" t="n">
        <v>7.554</v>
      </c>
      <c r="CU275" s="5" t="n">
        <v>16.097</v>
      </c>
    </row>
    <row r="276">
      <c r="A276" s="5" t="inlineStr">
        <is>
          <t>FJI2023</t>
        </is>
      </c>
      <c r="B276" s="5" t="inlineStr">
        <is>
          <t>FJI</t>
        </is>
      </c>
      <c r="C276" s="5" t="inlineStr">
        <is>
          <t>FJI</t>
        </is>
      </c>
      <c r="D276" s="5" t="inlineStr">
        <is>
          <t>Fiji</t>
        </is>
      </c>
      <c r="E276" s="5" t="n">
        <v>2023</v>
      </c>
      <c r="F276" s="5" t="n">
        <v>0.09</v>
      </c>
      <c r="G276" s="5" t="n">
        <v>5.77</v>
      </c>
      <c r="H276" s="5" t="n">
        <v>1.286</v>
      </c>
      <c r="I276" s="5" t="n">
        <v>0</v>
      </c>
      <c r="J276" s="5" t="n">
        <v>5.77</v>
      </c>
      <c r="K276" s="5" t="n">
        <v>0</v>
      </c>
      <c r="L276" s="5" t="n">
        <v>1</v>
      </c>
      <c r="M276" s="5" t="n">
        <v>7.886</v>
      </c>
      <c r="N276" s="5" t="n">
        <v>3.857</v>
      </c>
      <c r="O276" s="5" t="n">
        <v>0</v>
      </c>
      <c r="P276" s="5" t="n">
        <v>7.886</v>
      </c>
      <c r="Q276" s="5" t="n">
        <v>0</v>
      </c>
      <c r="R276" s="5" t="n">
        <v>1</v>
      </c>
      <c r="S276" s="5" t="n">
        <v>12.198</v>
      </c>
      <c r="T276" s="5" t="n">
        <v>7.714</v>
      </c>
      <c r="U276" s="5" t="n">
        <v>0.203</v>
      </c>
      <c r="V276" s="5" t="n">
        <v>14.028</v>
      </c>
      <c r="W276" s="5" t="n">
        <v>0.15</v>
      </c>
      <c r="X276" s="5" t="n">
        <v>1</v>
      </c>
      <c r="Y276" s="5" t="n">
        <v>6.656</v>
      </c>
      <c r="Z276" s="5" t="n">
        <v>0.821</v>
      </c>
      <c r="AA276" s="5" t="n">
        <v>0</v>
      </c>
      <c r="AB276" s="5" t="n">
        <v>6.656</v>
      </c>
      <c r="AC276" s="5" t="n">
        <v>0</v>
      </c>
      <c r="AD276" s="5" t="n">
        <v>1</v>
      </c>
      <c r="AE276" s="5" t="n">
        <v>7.942</v>
      </c>
      <c r="AF276" s="5" t="n">
        <v>1.731</v>
      </c>
      <c r="AG276" s="5" t="n">
        <v>0</v>
      </c>
      <c r="AH276" s="5" t="n">
        <v>7.942</v>
      </c>
      <c r="AI276" s="5" t="n">
        <v>0</v>
      </c>
      <c r="AJ276" s="5" t="n">
        <v>1</v>
      </c>
      <c r="AK276" s="5" t="n">
        <v>15.656</v>
      </c>
      <c r="AL276" s="5" t="n">
        <v>8.122999999999999</v>
      </c>
      <c r="AM276" s="5" t="n">
        <v>0.26</v>
      </c>
      <c r="AN276" s="5" t="n">
        <v>18.004</v>
      </c>
      <c r="AO276" s="5" t="n">
        <v>0.15</v>
      </c>
      <c r="AP276" s="5" t="n">
        <v>1</v>
      </c>
      <c r="AQ276" s="5" t="n">
        <v>0.749</v>
      </c>
      <c r="AR276" s="5" t="n">
        <v>0.129</v>
      </c>
      <c r="AS276" s="5" t="n">
        <v>0.346</v>
      </c>
      <c r="AT276" s="5" t="n">
        <v>1.259</v>
      </c>
      <c r="AU276" s="5" t="n">
        <v>0.15</v>
      </c>
      <c r="AV276" s="5" t="n">
        <v>1</v>
      </c>
      <c r="AW276" s="5" t="n">
        <v>0.783</v>
      </c>
      <c r="AX276" s="5" t="n">
        <v>0.129</v>
      </c>
      <c r="AY276" s="5" t="n">
        <v>0.215</v>
      </c>
      <c r="AZ276" s="5" t="n">
        <v>1.088</v>
      </c>
      <c r="BA276" s="5" t="n">
        <v>0.09</v>
      </c>
      <c r="BB276" s="5" t="n">
        <v>1</v>
      </c>
      <c r="BC276" s="5" t="n">
        <v>0.527</v>
      </c>
      <c r="BD276" s="5" t="n">
        <v>0.129</v>
      </c>
      <c r="BE276" s="5" t="n">
        <v>0.212</v>
      </c>
      <c r="BF276" s="5" t="n">
        <v>0.806</v>
      </c>
      <c r="BG276" s="5" t="n">
        <v>0.09</v>
      </c>
      <c r="BH276" s="5" t="n">
        <v>1</v>
      </c>
      <c r="BI276" s="5" t="n">
        <v>0.64</v>
      </c>
      <c r="BJ276" s="5" t="n">
        <v>0.129</v>
      </c>
      <c r="BK276" s="5" t="n">
        <v>0.201</v>
      </c>
      <c r="BL276" s="5" t="n">
        <v>0.916</v>
      </c>
      <c r="BM276" s="5" t="n">
        <v>0.09</v>
      </c>
      <c r="BN276" s="5" t="n">
        <v>1</v>
      </c>
      <c r="BO276" s="5" t="n">
        <v>0</v>
      </c>
      <c r="BP276" s="5" t="n">
        <v>0</v>
      </c>
      <c r="BQ276" s="5" t="n">
        <v>0.19</v>
      </c>
      <c r="BR276" s="5" t="n">
        <v>0</v>
      </c>
      <c r="BS276" s="5" t="n">
        <v>1</v>
      </c>
      <c r="BT276" s="5" t="n">
        <v>0</v>
      </c>
      <c r="BU276" s="5" t="n">
        <v>0</v>
      </c>
      <c r="BV276" s="5" t="n">
        <v>0.185</v>
      </c>
      <c r="BW276" s="5" t="n">
        <v>0</v>
      </c>
      <c r="BX276" s="5" t="n">
        <v>1</v>
      </c>
      <c r="BY276" s="5" t="n">
        <v>13.254</v>
      </c>
      <c r="BZ276" s="5" t="n">
        <v>0</v>
      </c>
      <c r="CA276" s="5" t="n">
        <v>13.254</v>
      </c>
      <c r="CB276" s="5" t="n">
        <v>0</v>
      </c>
      <c r="CC276" s="5" t="n">
        <v>87.07899999999999</v>
      </c>
      <c r="CD276" s="5" t="n">
        <v>7.95</v>
      </c>
      <c r="CE276" s="5" t="n">
        <v>1.446</v>
      </c>
      <c r="CF276" s="5" t="n">
        <v>100.141</v>
      </c>
      <c r="CG276" s="5" t="n">
        <v>0.15</v>
      </c>
      <c r="CH276" s="5" t="n">
        <v>1</v>
      </c>
      <c r="CI276" s="5" t="n">
        <v>0</v>
      </c>
      <c r="CJ276" s="5" t="n">
        <v>0</v>
      </c>
      <c r="CK276" s="5" t="n">
        <v>0</v>
      </c>
      <c r="CL276" s="5" t="n">
        <v>0</v>
      </c>
      <c r="CM276" s="5" t="n">
        <v>0</v>
      </c>
      <c r="CN276" s="5" t="n">
        <v>0</v>
      </c>
      <c r="CO276" s="5" t="n">
        <v>0</v>
      </c>
      <c r="CP276" s="5" t="n">
        <v>0</v>
      </c>
      <c r="CQ276" s="5" t="n">
        <v>1.348</v>
      </c>
      <c r="CR276" s="5" t="n">
        <v>0</v>
      </c>
      <c r="CS276" s="5" t="n">
        <v>5.37</v>
      </c>
      <c r="CT276" s="5" t="n">
        <v>4.484</v>
      </c>
      <c r="CU276" s="5" t="n">
        <v>12.529</v>
      </c>
    </row>
    <row r="277">
      <c r="A277" s="5" t="inlineStr">
        <is>
          <t>FJI2024</t>
        </is>
      </c>
      <c r="B277" s="5" t="inlineStr">
        <is>
          <t>FJI</t>
        </is>
      </c>
      <c r="C277" s="5" t="inlineStr">
        <is>
          <t>FJI</t>
        </is>
      </c>
      <c r="D277" s="5" t="inlineStr">
        <is>
          <t>Fiji</t>
        </is>
      </c>
      <c r="E277" s="5" t="n">
        <v>2024</v>
      </c>
      <c r="F277" s="5" t="n">
        <v>0.09</v>
      </c>
      <c r="G277" s="5" t="n">
        <v>4.833</v>
      </c>
      <c r="H277" s="5" t="n">
        <v>1.324</v>
      </c>
      <c r="I277" s="5" t="n">
        <v>0</v>
      </c>
      <c r="J277" s="5" t="n">
        <v>4.833</v>
      </c>
      <c r="K277" s="5" t="n">
        <v>0</v>
      </c>
      <c r="L277" s="5" t="n">
        <v>1</v>
      </c>
      <c r="M277" s="5" t="n">
        <v>7.124</v>
      </c>
      <c r="N277" s="5" t="n">
        <v>3.971</v>
      </c>
      <c r="O277" s="5" t="n">
        <v>0</v>
      </c>
      <c r="P277" s="5" t="n">
        <v>7.124</v>
      </c>
      <c r="Q277" s="5" t="n">
        <v>0</v>
      </c>
      <c r="R277" s="5" t="n">
        <v>1</v>
      </c>
      <c r="S277" s="5" t="n">
        <v>11.451</v>
      </c>
      <c r="T277" s="5" t="n">
        <v>7.942</v>
      </c>
      <c r="U277" s="5" t="n">
        <v>0.234</v>
      </c>
      <c r="V277" s="5" t="n">
        <v>13.168</v>
      </c>
      <c r="W277" s="5" t="n">
        <v>0.15</v>
      </c>
      <c r="X277" s="5" t="n">
        <v>1</v>
      </c>
      <c r="Y277" s="5" t="n">
        <v>6.853</v>
      </c>
      <c r="Z277" s="5" t="n">
        <v>0.846</v>
      </c>
      <c r="AA277" s="5" t="n">
        <v>0</v>
      </c>
      <c r="AB277" s="5" t="n">
        <v>6.853</v>
      </c>
      <c r="AC277" s="5" t="n">
        <v>0</v>
      </c>
      <c r="AD277" s="5" t="n">
        <v>1</v>
      </c>
      <c r="AE277" s="5" t="n">
        <v>8.176</v>
      </c>
      <c r="AF277" s="5" t="n">
        <v>1.782</v>
      </c>
      <c r="AG277" s="5" t="n">
        <v>0</v>
      </c>
      <c r="AH277" s="5" t="n">
        <v>8.176</v>
      </c>
      <c r="AI277" s="5" t="n">
        <v>0</v>
      </c>
      <c r="AJ277" s="5" t="n">
        <v>1</v>
      </c>
      <c r="AK277" s="5" t="n">
        <v>16.118</v>
      </c>
      <c r="AL277" s="5" t="n">
        <v>8.363</v>
      </c>
      <c r="AM277" s="5" t="n">
        <v>0.329</v>
      </c>
      <c r="AN277" s="5" t="n">
        <v>18.535</v>
      </c>
      <c r="AO277" s="5" t="n">
        <v>0.15</v>
      </c>
      <c r="AP277" s="5" t="n">
        <v>1</v>
      </c>
      <c r="AQ277" s="5" t="n">
        <v>0.72</v>
      </c>
      <c r="AR277" s="5" t="n">
        <v>0.132</v>
      </c>
      <c r="AS277" s="5" t="n">
        <v>0.38</v>
      </c>
      <c r="AT277" s="5" t="n">
        <v>1.264</v>
      </c>
      <c r="AU277" s="5" t="n">
        <v>0.15</v>
      </c>
      <c r="AV277" s="5" t="n">
        <v>1</v>
      </c>
      <c r="AW277" s="5" t="n">
        <v>0.734</v>
      </c>
      <c r="AX277" s="5" t="n">
        <v>0.132</v>
      </c>
      <c r="AY277" s="5" t="n">
        <v>0.163</v>
      </c>
      <c r="AZ277" s="5" t="n">
        <v>1.031</v>
      </c>
      <c r="BA277" s="5" t="n">
        <v>0.15</v>
      </c>
      <c r="BB277" s="5" t="n">
        <v>1</v>
      </c>
      <c r="BC277" s="5" t="n">
        <v>0.51</v>
      </c>
      <c r="BD277" s="5" t="n">
        <v>0.132</v>
      </c>
      <c r="BE277" s="5" t="n">
        <v>0.234</v>
      </c>
      <c r="BF277" s="5" t="n">
        <v>0.856</v>
      </c>
      <c r="BG277" s="5" t="n">
        <v>0.15</v>
      </c>
      <c r="BH277" s="5" t="n">
        <v>1</v>
      </c>
      <c r="BI277" s="5" t="n">
        <v>0.652</v>
      </c>
      <c r="BJ277" s="5" t="n">
        <v>0.132</v>
      </c>
      <c r="BK277" s="5" t="n">
        <v>0.08500000000000001</v>
      </c>
      <c r="BL277" s="5" t="n">
        <v>0.847</v>
      </c>
      <c r="BM277" s="5" t="n">
        <v>0.15</v>
      </c>
      <c r="BN277" s="5" t="n">
        <v>1</v>
      </c>
      <c r="BO277" s="5" t="n">
        <v>0</v>
      </c>
      <c r="BP277" s="5" t="n">
        <v>0</v>
      </c>
      <c r="BQ277" s="5" t="n">
        <v>0.195</v>
      </c>
      <c r="BR277" s="5" t="n">
        <v>0</v>
      </c>
      <c r="BS277" s="5" t="n">
        <v>1</v>
      </c>
      <c r="BT277" s="5" t="n">
        <v>0</v>
      </c>
      <c r="BU277" s="5" t="n">
        <v>0</v>
      </c>
      <c r="BV277" s="5" t="n">
        <v>0.19</v>
      </c>
      <c r="BW277" s="5" t="n">
        <v>0</v>
      </c>
      <c r="BX277" s="5" t="n">
        <v>1</v>
      </c>
      <c r="BY277" s="5" t="n">
        <v>13.646</v>
      </c>
      <c r="BZ277" s="5" t="n">
        <v>0</v>
      </c>
      <c r="CA277" s="5" t="n">
        <v>13.646</v>
      </c>
      <c r="CB277" s="5" t="n">
        <v>0</v>
      </c>
      <c r="CC277" s="5" t="n">
        <v>86.38500000000001</v>
      </c>
      <c r="CD277" s="5" t="n">
        <v>7.95</v>
      </c>
      <c r="CE277" s="5" t="n">
        <v>1.765</v>
      </c>
      <c r="CF277" s="5" t="n">
        <v>99.343</v>
      </c>
      <c r="CG277" s="5" t="n">
        <v>0.15</v>
      </c>
      <c r="CH277" s="5" t="n">
        <v>1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0</v>
      </c>
      <c r="CN277" s="5" t="n">
        <v>0</v>
      </c>
      <c r="CO277" s="5" t="n">
        <v>0</v>
      </c>
      <c r="CP277" s="5" t="n">
        <v>0</v>
      </c>
      <c r="CQ277" s="5" t="n">
        <v>1.387</v>
      </c>
      <c r="CR277" s="5" t="n">
        <v>0</v>
      </c>
      <c r="CS277" s="5" t="n">
        <v>5.529</v>
      </c>
      <c r="CT277" s="5" t="n">
        <v>3.509</v>
      </c>
      <c r="CU277" s="5" t="n">
        <v>10.896</v>
      </c>
    </row>
    <row r="278">
      <c r="A278" s="5" t="inlineStr">
        <is>
          <t>FIN2021</t>
        </is>
      </c>
      <c r="B278" s="5" t="inlineStr">
        <is>
          <t>FIN</t>
        </is>
      </c>
      <c r="C278" s="5" t="inlineStr">
        <is>
          <t>FIN</t>
        </is>
      </c>
      <c r="D278" s="5" t="inlineStr">
        <is>
          <t>Finland</t>
        </is>
      </c>
      <c r="E278" s="5" t="n">
        <v>2021</v>
      </c>
      <c r="F278" s="5" t="n">
        <v>0.24</v>
      </c>
      <c r="G278" s="5" t="n">
        <v>4.778</v>
      </c>
      <c r="H278" s="5" t="n">
        <v>1.045</v>
      </c>
      <c r="I278" s="5" t="n">
        <v>1.672</v>
      </c>
      <c r="J278" s="5" t="n">
        <v>6.45</v>
      </c>
      <c r="K278" s="5" t="n">
        <v>0</v>
      </c>
      <c r="L278" s="5" t="n">
        <v>1</v>
      </c>
      <c r="M278" s="5" t="n">
        <v>10.182</v>
      </c>
      <c r="N278" s="5" t="n">
        <v>4.615</v>
      </c>
      <c r="O278" s="5" t="n">
        <v>5.492</v>
      </c>
      <c r="P278" s="5" t="n">
        <v>15.673</v>
      </c>
      <c r="Q278" s="5" t="n">
        <v>0</v>
      </c>
      <c r="R278" s="5" t="n">
        <v>1</v>
      </c>
      <c r="S278" s="5" t="n">
        <v>8.596</v>
      </c>
      <c r="T278" s="5" t="n">
        <v>5.288</v>
      </c>
      <c r="U278" s="5" t="n">
        <v>6.461</v>
      </c>
      <c r="V278" s="5" t="n">
        <v>18.67</v>
      </c>
      <c r="W278" s="5" t="n">
        <v>0.24</v>
      </c>
      <c r="X278" s="5" t="n">
        <v>1</v>
      </c>
      <c r="Y278" s="5" t="n">
        <v>24.613</v>
      </c>
      <c r="Z278" s="5" t="n">
        <v>2.719</v>
      </c>
      <c r="AA278" s="5" t="n">
        <v>2.766</v>
      </c>
      <c r="AB278" s="5" t="n">
        <v>27.379</v>
      </c>
      <c r="AC278" s="5" t="n">
        <v>0</v>
      </c>
      <c r="AD278" s="5" t="n">
        <v>1</v>
      </c>
      <c r="AE278" s="5" t="n">
        <v>24.569</v>
      </c>
      <c r="AF278" s="5" t="n">
        <v>4.835</v>
      </c>
      <c r="AG278" s="5" t="n">
        <v>2.81</v>
      </c>
      <c r="AH278" s="5" t="n">
        <v>27.379</v>
      </c>
      <c r="AI278" s="5" t="n">
        <v>0</v>
      </c>
      <c r="AJ278" s="5" t="n">
        <v>1</v>
      </c>
      <c r="AK278" s="5" t="n">
        <v>27.798</v>
      </c>
      <c r="AL278" s="5" t="n">
        <v>13.644</v>
      </c>
      <c r="AM278" s="5" t="n">
        <v>6.728</v>
      </c>
      <c r="AN278" s="5" t="n">
        <v>42.813</v>
      </c>
      <c r="AO278" s="5" t="n">
        <v>0.24</v>
      </c>
      <c r="AP278" s="5" t="n">
        <v>1</v>
      </c>
      <c r="AQ278" s="5" t="n">
        <v>0.619</v>
      </c>
      <c r="AR278" s="5" t="n">
        <v>0.114</v>
      </c>
      <c r="AS278" s="5" t="n">
        <v>0.977</v>
      </c>
      <c r="AT278" s="5" t="n">
        <v>1.979</v>
      </c>
      <c r="AU278" s="5" t="n">
        <v>0.24</v>
      </c>
      <c r="AV278" s="5" t="n">
        <v>1</v>
      </c>
      <c r="AW278" s="5" t="n">
        <v>0.599</v>
      </c>
      <c r="AX278" s="5" t="n">
        <v>0.114</v>
      </c>
      <c r="AY278" s="5" t="n">
        <v>0.846</v>
      </c>
      <c r="AZ278" s="5" t="n">
        <v>1.792</v>
      </c>
      <c r="BA278" s="5" t="n">
        <v>0.24</v>
      </c>
      <c r="BB278" s="5" t="n">
        <v>1</v>
      </c>
      <c r="BC278" s="5" t="n">
        <v>0.439</v>
      </c>
      <c r="BD278" s="5" t="n">
        <v>0.114</v>
      </c>
      <c r="BE278" s="5" t="n">
        <v>1.02</v>
      </c>
      <c r="BF278" s="5" t="n">
        <v>1.81</v>
      </c>
      <c r="BG278" s="5" t="n">
        <v>0.24</v>
      </c>
      <c r="BH278" s="5" t="n">
        <v>1</v>
      </c>
      <c r="BI278" s="5" t="n">
        <v>0.505</v>
      </c>
      <c r="BJ278" s="5" t="n">
        <v>0.114</v>
      </c>
      <c r="BK278" s="5" t="n">
        <v>0.455</v>
      </c>
      <c r="BL278" s="5" t="n">
        <v>1.191</v>
      </c>
      <c r="BM278" s="5" t="n">
        <v>0.24</v>
      </c>
      <c r="BN278" s="5" t="n">
        <v>1</v>
      </c>
      <c r="BO278" s="5" t="n">
        <v>0</v>
      </c>
      <c r="BP278" s="5" t="n">
        <v>0.001</v>
      </c>
      <c r="BQ278" s="5" t="n">
        <v>0.075</v>
      </c>
      <c r="BR278" s="5" t="n">
        <v>0</v>
      </c>
      <c r="BS278" s="5" t="n">
        <v>1</v>
      </c>
      <c r="BT278" s="5" t="n">
        <v>0</v>
      </c>
      <c r="BU278" s="5" t="n">
        <v>0.027</v>
      </c>
      <c r="BV278" s="5" t="n">
        <v>0.213</v>
      </c>
      <c r="BW278" s="5" t="n">
        <v>0.24</v>
      </c>
      <c r="BX278" s="5" t="n">
        <v>0.833</v>
      </c>
      <c r="BY278" s="5" t="n">
        <v>11.787</v>
      </c>
      <c r="BZ278" s="5" t="n">
        <v>0</v>
      </c>
      <c r="CA278" s="5" t="n">
        <v>11.787</v>
      </c>
      <c r="CB278" s="5" t="n">
        <v>0</v>
      </c>
      <c r="CC278" s="5" t="n">
        <v>78.125</v>
      </c>
      <c r="CD278" s="5" t="n">
        <v>7.95</v>
      </c>
      <c r="CE278" s="5" t="n">
        <v>86.602</v>
      </c>
      <c r="CF278" s="5" t="n">
        <v>204.261</v>
      </c>
      <c r="CG278" s="5" t="n">
        <v>0.24</v>
      </c>
      <c r="CH278" s="5" t="n">
        <v>1</v>
      </c>
      <c r="CI278" s="5" t="n">
        <v>0</v>
      </c>
      <c r="CJ278" s="5" t="n">
        <v>0</v>
      </c>
      <c r="CK278" s="5" t="n">
        <v>0</v>
      </c>
      <c r="CL278" s="5" t="n">
        <v>0</v>
      </c>
      <c r="CM278" s="5" t="n">
        <v>0</v>
      </c>
      <c r="CN278" s="5" t="n">
        <v>0</v>
      </c>
      <c r="CO278" s="5" t="n">
        <v>0</v>
      </c>
      <c r="CP278" s="5" t="n">
        <v>0</v>
      </c>
      <c r="CQ278" s="5" t="n">
        <v>1.198</v>
      </c>
      <c r="CR278" s="5" t="n">
        <v>0</v>
      </c>
      <c r="CS278" s="5" t="n">
        <v>4.776</v>
      </c>
      <c r="CT278" s="5" t="n">
        <v>5.092</v>
      </c>
      <c r="CU278" s="5" t="n">
        <v>15.162</v>
      </c>
    </row>
    <row r="279">
      <c r="A279" s="5" t="inlineStr">
        <is>
          <t>FIN2022</t>
        </is>
      </c>
      <c r="B279" s="5" t="inlineStr">
        <is>
          <t>FIN</t>
        </is>
      </c>
      <c r="C279" s="5" t="inlineStr">
        <is>
          <t>FIN</t>
        </is>
      </c>
      <c r="D279" s="5" t="inlineStr">
        <is>
          <t>Finland</t>
        </is>
      </c>
      <c r="E279" s="5" t="n">
        <v>2022</v>
      </c>
      <c r="F279" s="5" t="n">
        <v>0.24</v>
      </c>
      <c r="G279" s="5" t="n">
        <v>9.715999999999999</v>
      </c>
      <c r="H279" s="5" t="n">
        <v>1.509</v>
      </c>
      <c r="I279" s="5" t="n">
        <v>8.492000000000001</v>
      </c>
      <c r="J279" s="5" t="n">
        <v>18.208</v>
      </c>
      <c r="K279" s="5" t="n">
        <v>0</v>
      </c>
      <c r="L279" s="5" t="n">
        <v>1</v>
      </c>
      <c r="M279" s="5" t="n">
        <v>19.09</v>
      </c>
      <c r="N279" s="5" t="n">
        <v>7.883</v>
      </c>
      <c r="O279" s="5" t="n">
        <v>9.555999999999999</v>
      </c>
      <c r="P279" s="5" t="n">
        <v>28.646</v>
      </c>
      <c r="Q279" s="5" t="n">
        <v>0</v>
      </c>
      <c r="R279" s="5" t="n">
        <v>1</v>
      </c>
      <c r="S279" s="5" t="n">
        <v>18.457</v>
      </c>
      <c r="T279" s="5" t="n">
        <v>7.118</v>
      </c>
      <c r="U279" s="5" t="n">
        <v>8.238</v>
      </c>
      <c r="V279" s="5" t="n">
        <v>32.525</v>
      </c>
      <c r="W279" s="5" t="n">
        <v>0.24</v>
      </c>
      <c r="X279" s="5" t="n">
        <v>1</v>
      </c>
      <c r="Y279" s="5" t="n">
        <v>40.868</v>
      </c>
      <c r="Z279" s="5" t="n">
        <v>4.287</v>
      </c>
      <c r="AA279" s="5" t="n">
        <v>10.547</v>
      </c>
      <c r="AB279" s="5" t="n">
        <v>51.415</v>
      </c>
      <c r="AC279" s="5" t="n">
        <v>0</v>
      </c>
      <c r="AD279" s="5" t="n">
        <v>1</v>
      </c>
      <c r="AE279" s="5" t="n">
        <v>40.916</v>
      </c>
      <c r="AF279" s="5" t="n">
        <v>7.585</v>
      </c>
      <c r="AG279" s="5" t="n">
        <v>10.499</v>
      </c>
      <c r="AH279" s="5" t="n">
        <v>51.415</v>
      </c>
      <c r="AI279" s="5" t="n">
        <v>0</v>
      </c>
      <c r="AJ279" s="5" t="n">
        <v>1</v>
      </c>
      <c r="AK279" s="5" t="n">
        <v>44.693</v>
      </c>
      <c r="AL279" s="5" t="n">
        <v>21.343</v>
      </c>
      <c r="AM279" s="5" t="n">
        <v>8.207000000000001</v>
      </c>
      <c r="AN279" s="5" t="n">
        <v>64.45099999999999</v>
      </c>
      <c r="AO279" s="5" t="n">
        <v>0.24</v>
      </c>
      <c r="AP279" s="5" t="n">
        <v>1</v>
      </c>
      <c r="AQ279" s="5" t="n">
        <v>0.861</v>
      </c>
      <c r="AR279" s="5" t="n">
        <v>0.123</v>
      </c>
      <c r="AS279" s="5" t="n">
        <v>0.93</v>
      </c>
      <c r="AT279" s="5" t="n">
        <v>2.22</v>
      </c>
      <c r="AU279" s="5" t="n">
        <v>0.24</v>
      </c>
      <c r="AV279" s="5" t="n">
        <v>1</v>
      </c>
      <c r="AW279" s="5" t="n">
        <v>0.986</v>
      </c>
      <c r="AX279" s="5" t="n">
        <v>0.123</v>
      </c>
      <c r="AY279" s="5" t="n">
        <v>0.8159999999999999</v>
      </c>
      <c r="AZ279" s="5" t="n">
        <v>2.234</v>
      </c>
      <c r="BA279" s="5" t="n">
        <v>0.24</v>
      </c>
      <c r="BB279" s="5" t="n">
        <v>1</v>
      </c>
      <c r="BC279" s="5" t="n">
        <v>0.598</v>
      </c>
      <c r="BD279" s="5" t="n">
        <v>0.123</v>
      </c>
      <c r="BE279" s="5" t="n">
        <v>1.132</v>
      </c>
      <c r="BF279" s="5" t="n">
        <v>2.144</v>
      </c>
      <c r="BG279" s="5" t="n">
        <v>0.24</v>
      </c>
      <c r="BH279" s="5" t="n">
        <v>1</v>
      </c>
      <c r="BI279" s="5" t="n">
        <v>0.612</v>
      </c>
      <c r="BJ279" s="5" t="n">
        <v>0.123</v>
      </c>
      <c r="BK279" s="5" t="n">
        <v>0.8110000000000001</v>
      </c>
      <c r="BL279" s="5" t="n">
        <v>1.765</v>
      </c>
      <c r="BM279" s="5" t="n">
        <v>0.24</v>
      </c>
      <c r="BN279" s="5" t="n">
        <v>1</v>
      </c>
      <c r="BO279" s="5" t="n">
        <v>0</v>
      </c>
      <c r="BP279" s="5" t="n">
        <v>0.001</v>
      </c>
      <c r="BQ279" s="5" t="n">
        <v>0.115</v>
      </c>
      <c r="BR279" s="5" t="n">
        <v>0</v>
      </c>
      <c r="BS279" s="5" t="n">
        <v>1</v>
      </c>
      <c r="BT279" s="5" t="n">
        <v>0</v>
      </c>
      <c r="BU279" s="5" t="n">
        <v>0.024</v>
      </c>
      <c r="BV279" s="5" t="n">
        <v>0.232</v>
      </c>
      <c r="BW279" s="5" t="n">
        <v>0.24</v>
      </c>
      <c r="BX279" s="5" t="n">
        <v>0.833</v>
      </c>
      <c r="BY279" s="5" t="n">
        <v>12.729</v>
      </c>
      <c r="BZ279" s="5" t="n">
        <v>0</v>
      </c>
      <c r="CA279" s="5" t="n">
        <v>12.729</v>
      </c>
      <c r="CB279" s="5" t="n">
        <v>0</v>
      </c>
      <c r="CC279" s="5" t="n">
        <v>97.90000000000001</v>
      </c>
      <c r="CD279" s="5" t="n">
        <v>7.95</v>
      </c>
      <c r="CE279" s="5" t="n">
        <v>164.453</v>
      </c>
      <c r="CF279" s="5" t="n">
        <v>325.318</v>
      </c>
      <c r="CG279" s="5" t="n">
        <v>0.24</v>
      </c>
      <c r="CH279" s="5" t="n">
        <v>1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0</v>
      </c>
      <c r="CN279" s="5" t="n">
        <v>0</v>
      </c>
      <c r="CO279" s="5" t="n">
        <v>0</v>
      </c>
      <c r="CP279" s="5" t="n">
        <v>0</v>
      </c>
      <c r="CQ279" s="5" t="n">
        <v>1.294</v>
      </c>
      <c r="CR279" s="5" t="n">
        <v>0</v>
      </c>
      <c r="CS279" s="5" t="n">
        <v>5.158</v>
      </c>
      <c r="CT279" s="5" t="n">
        <v>12.195</v>
      </c>
      <c r="CU279" s="5" t="n">
        <v>31.326</v>
      </c>
    </row>
    <row r="280">
      <c r="A280" s="5" t="inlineStr">
        <is>
          <t>FIN2023</t>
        </is>
      </c>
      <c r="B280" s="5" t="inlineStr">
        <is>
          <t>FIN</t>
        </is>
      </c>
      <c r="C280" s="5" t="inlineStr">
        <is>
          <t>FIN</t>
        </is>
      </c>
      <c r="D280" s="5" t="inlineStr">
        <is>
          <t>Finland</t>
        </is>
      </c>
      <c r="E280" s="5" t="n">
        <v>2023</v>
      </c>
      <c r="F280" s="5" t="n">
        <v>0.24</v>
      </c>
      <c r="G280" s="5" t="n">
        <v>9.474</v>
      </c>
      <c r="H280" s="5" t="n">
        <v>2.158</v>
      </c>
      <c r="I280" s="5" t="n">
        <v>9.842000000000001</v>
      </c>
      <c r="J280" s="5" t="n">
        <v>19.317</v>
      </c>
      <c r="K280" s="5" t="n">
        <v>0</v>
      </c>
      <c r="L280" s="5" t="n">
        <v>1</v>
      </c>
      <c r="M280" s="5" t="n">
        <v>27.274</v>
      </c>
      <c r="N280" s="5" t="n">
        <v>13.527</v>
      </c>
      <c r="O280" s="5" t="n">
        <v>10.943</v>
      </c>
      <c r="P280" s="5" t="n">
        <v>38.217</v>
      </c>
      <c r="Q280" s="5" t="n">
        <v>0</v>
      </c>
      <c r="R280" s="5" t="n">
        <v>1</v>
      </c>
      <c r="S280" s="5" t="n">
        <v>11.809</v>
      </c>
      <c r="T280" s="5" t="n">
        <v>6.898</v>
      </c>
      <c r="U280" s="5" t="n">
        <v>8.473000000000001</v>
      </c>
      <c r="V280" s="5" t="n">
        <v>24.499</v>
      </c>
      <c r="W280" s="5" t="n">
        <v>0.24</v>
      </c>
      <c r="X280" s="5" t="n">
        <v>1</v>
      </c>
      <c r="Y280" s="5" t="n">
        <v>21.216</v>
      </c>
      <c r="Z280" s="5" t="n">
        <v>2.376</v>
      </c>
      <c r="AA280" s="5" t="n">
        <v>16.525</v>
      </c>
      <c r="AB280" s="5" t="n">
        <v>37.74</v>
      </c>
      <c r="AC280" s="5" t="n">
        <v>0</v>
      </c>
      <c r="AD280" s="5" t="n">
        <v>1</v>
      </c>
      <c r="AE280" s="5" t="n">
        <v>21.314</v>
      </c>
      <c r="AF280" s="5" t="n">
        <v>4.245</v>
      </c>
      <c r="AG280" s="5" t="n">
        <v>16.426</v>
      </c>
      <c r="AH280" s="5" t="n">
        <v>37.74</v>
      </c>
      <c r="AI280" s="5" t="n">
        <v>0</v>
      </c>
      <c r="AJ280" s="5" t="n">
        <v>1</v>
      </c>
      <c r="AK280" s="5" t="n">
        <v>25.398</v>
      </c>
      <c r="AL280" s="5" t="n">
        <v>12.581</v>
      </c>
      <c r="AM280" s="5" t="n">
        <v>8.102</v>
      </c>
      <c r="AN280" s="5" t="n">
        <v>40.464</v>
      </c>
      <c r="AO280" s="5" t="n">
        <v>0.24</v>
      </c>
      <c r="AP280" s="5" t="n">
        <v>1</v>
      </c>
      <c r="AQ280" s="5" t="n">
        <v>0.76</v>
      </c>
      <c r="AR280" s="5" t="n">
        <v>0.129</v>
      </c>
      <c r="AS280" s="5" t="n">
        <v>0.922</v>
      </c>
      <c r="AT280" s="5" t="n">
        <v>2.086</v>
      </c>
      <c r="AU280" s="5" t="n">
        <v>0.24</v>
      </c>
      <c r="AV280" s="5" t="n">
        <v>1</v>
      </c>
      <c r="AW280" s="5" t="n">
        <v>0.8110000000000001</v>
      </c>
      <c r="AX280" s="5" t="n">
        <v>0.129</v>
      </c>
      <c r="AY280" s="5" t="n">
        <v>0.878</v>
      </c>
      <c r="AZ280" s="5" t="n">
        <v>2.095</v>
      </c>
      <c r="BA280" s="5" t="n">
        <v>0.24</v>
      </c>
      <c r="BB280" s="5" t="n">
        <v>1</v>
      </c>
      <c r="BC280" s="5" t="n">
        <v>0.535</v>
      </c>
      <c r="BD280" s="5" t="n">
        <v>0.129</v>
      </c>
      <c r="BE280" s="5" t="n">
        <v>1.277</v>
      </c>
      <c r="BF280" s="5" t="n">
        <v>2.247</v>
      </c>
      <c r="BG280" s="5" t="n">
        <v>0.24</v>
      </c>
      <c r="BH280" s="5" t="n">
        <v>1</v>
      </c>
      <c r="BI280" s="5" t="n">
        <v>0.579</v>
      </c>
      <c r="BJ280" s="5" t="n">
        <v>0.129</v>
      </c>
      <c r="BK280" s="5" t="n">
        <v>0.676</v>
      </c>
      <c r="BL280" s="5" t="n">
        <v>1.557</v>
      </c>
      <c r="BM280" s="5" t="n">
        <v>0.24</v>
      </c>
      <c r="BN280" s="5" t="n">
        <v>1</v>
      </c>
      <c r="BO280" s="5" t="n">
        <v>0</v>
      </c>
      <c r="BP280" s="5" t="n">
        <v>0.001</v>
      </c>
      <c r="BQ280" s="5" t="n">
        <v>0.081</v>
      </c>
      <c r="BR280" s="5" t="n">
        <v>0</v>
      </c>
      <c r="BS280" s="5" t="n">
        <v>1</v>
      </c>
      <c r="BT280" s="5" t="n">
        <v>0</v>
      </c>
      <c r="BU280" s="5" t="n">
        <v>0.024</v>
      </c>
      <c r="BV280" s="5" t="n">
        <v>0.268</v>
      </c>
      <c r="BW280" s="5" t="n">
        <v>0.24</v>
      </c>
      <c r="BX280" s="5" t="n">
        <v>0.833</v>
      </c>
      <c r="BY280" s="5" t="n">
        <v>13.254</v>
      </c>
      <c r="BZ280" s="5" t="n">
        <v>0</v>
      </c>
      <c r="CA280" s="5" t="n">
        <v>13.254</v>
      </c>
      <c r="CB280" s="5" t="n">
        <v>0</v>
      </c>
      <c r="CC280" s="5" t="n">
        <v>83.248</v>
      </c>
      <c r="CD280" s="5" t="n">
        <v>7.95</v>
      </c>
      <c r="CE280" s="5" t="n">
        <v>164.946</v>
      </c>
      <c r="CF280" s="5" t="n">
        <v>307.76</v>
      </c>
      <c r="CG280" s="5" t="n">
        <v>0.24</v>
      </c>
      <c r="CH280" s="5" t="n">
        <v>1</v>
      </c>
      <c r="CI280" s="5" t="n">
        <v>0</v>
      </c>
      <c r="CJ280" s="5" t="n">
        <v>0</v>
      </c>
      <c r="CK280" s="5" t="n">
        <v>0</v>
      </c>
      <c r="CL280" s="5" t="n">
        <v>0</v>
      </c>
      <c r="CM280" s="5" t="n">
        <v>0</v>
      </c>
      <c r="CN280" s="5" t="n">
        <v>0</v>
      </c>
      <c r="CO280" s="5" t="n">
        <v>0</v>
      </c>
      <c r="CP280" s="5" t="n">
        <v>0</v>
      </c>
      <c r="CQ280" s="5" t="n">
        <v>1.348</v>
      </c>
      <c r="CR280" s="5" t="n">
        <v>0</v>
      </c>
      <c r="CS280" s="5" t="n">
        <v>5.37</v>
      </c>
      <c r="CT280" s="5" t="n">
        <v>5.868</v>
      </c>
      <c r="CU280" s="5" t="n">
        <v>11.622</v>
      </c>
    </row>
    <row r="281">
      <c r="A281" s="5" t="inlineStr">
        <is>
          <t>FIN2024</t>
        </is>
      </c>
      <c r="B281" s="5" t="inlineStr">
        <is>
          <t>FIN</t>
        </is>
      </c>
      <c r="C281" s="5" t="inlineStr">
        <is>
          <t>FIN</t>
        </is>
      </c>
      <c r="D281" s="5" t="inlineStr">
        <is>
          <t>Finland</t>
        </is>
      </c>
      <c r="E281" s="5" t="n">
        <v>2024</v>
      </c>
      <c r="F281" s="5" t="n">
        <v>0.24</v>
      </c>
      <c r="G281" s="5" t="n">
        <v>8.827999999999999</v>
      </c>
      <c r="H281" s="5" t="n">
        <v>2.236</v>
      </c>
      <c r="I281" s="5" t="n">
        <v>6.45</v>
      </c>
      <c r="J281" s="5" t="n">
        <v>15.278</v>
      </c>
      <c r="K281" s="5" t="n">
        <v>0</v>
      </c>
      <c r="L281" s="5" t="n">
        <v>1</v>
      </c>
      <c r="M281" s="5" t="n">
        <v>25.12</v>
      </c>
      <c r="N281" s="5" t="n">
        <v>13.684</v>
      </c>
      <c r="O281" s="5" t="n">
        <v>7.647</v>
      </c>
      <c r="P281" s="5" t="n">
        <v>32.766</v>
      </c>
      <c r="Q281" s="5" t="n">
        <v>0</v>
      </c>
      <c r="R281" s="5" t="n">
        <v>1</v>
      </c>
      <c r="S281" s="5" t="n">
        <v>11.015</v>
      </c>
      <c r="T281" s="5" t="n">
        <v>7.101</v>
      </c>
      <c r="U281" s="5" t="n">
        <v>10.183</v>
      </c>
      <c r="V281" s="5" t="n">
        <v>25.454</v>
      </c>
      <c r="W281" s="5" t="n">
        <v>0.24</v>
      </c>
      <c r="X281" s="5" t="n">
        <v>1</v>
      </c>
      <c r="Y281" s="5" t="n">
        <v>20.216</v>
      </c>
      <c r="Z281" s="5" t="n">
        <v>2.553</v>
      </c>
      <c r="AA281" s="5" t="n">
        <v>10</v>
      </c>
      <c r="AB281" s="5" t="n">
        <v>30.216</v>
      </c>
      <c r="AC281" s="5" t="n">
        <v>0</v>
      </c>
      <c r="AD281" s="5" t="n">
        <v>1</v>
      </c>
      <c r="AE281" s="5" t="n">
        <v>20.216</v>
      </c>
      <c r="AF281" s="5" t="n">
        <v>4.428</v>
      </c>
      <c r="AG281" s="5" t="n">
        <v>10</v>
      </c>
      <c r="AH281" s="5" t="n">
        <v>30.216</v>
      </c>
      <c r="AI281" s="5" t="n">
        <v>0</v>
      </c>
      <c r="AJ281" s="5" t="n">
        <v>1</v>
      </c>
      <c r="AK281" s="5" t="n">
        <v>24.247</v>
      </c>
      <c r="AL281" s="5" t="n">
        <v>12.333</v>
      </c>
      <c r="AM281" s="5" t="n">
        <v>9.122</v>
      </c>
      <c r="AN281" s="5" t="n">
        <v>40.068</v>
      </c>
      <c r="AO281" s="5" t="n">
        <v>0.24</v>
      </c>
      <c r="AP281" s="5" t="n">
        <v>1</v>
      </c>
      <c r="AQ281" s="5" t="n">
        <v>0.724</v>
      </c>
      <c r="AR281" s="5" t="n">
        <v>0.132</v>
      </c>
      <c r="AS281" s="5" t="n">
        <v>0.848</v>
      </c>
      <c r="AT281" s="5" t="n">
        <v>1.95</v>
      </c>
      <c r="AU281" s="5" t="n">
        <v>0.24</v>
      </c>
      <c r="AV281" s="5" t="n">
        <v>1</v>
      </c>
      <c r="AW281" s="5" t="n">
        <v>0.75</v>
      </c>
      <c r="AX281" s="5" t="n">
        <v>0.132</v>
      </c>
      <c r="AY281" s="5" t="n">
        <v>0.791</v>
      </c>
      <c r="AZ281" s="5" t="n">
        <v>1.911</v>
      </c>
      <c r="BA281" s="5" t="n">
        <v>0.24</v>
      </c>
      <c r="BB281" s="5" t="n">
        <v>1</v>
      </c>
      <c r="BC281" s="5" t="n">
        <v>0.513</v>
      </c>
      <c r="BD281" s="5" t="n">
        <v>0.132</v>
      </c>
      <c r="BE281" s="5" t="n">
        <v>1.13</v>
      </c>
      <c r="BF281" s="5" t="n">
        <v>2.038</v>
      </c>
      <c r="BG281" s="5" t="n">
        <v>0.24</v>
      </c>
      <c r="BH281" s="5" t="n">
        <v>1</v>
      </c>
      <c r="BI281" s="5" t="n">
        <v>0.591</v>
      </c>
      <c r="BJ281" s="5" t="n">
        <v>0.132</v>
      </c>
      <c r="BK281" s="5" t="n">
        <v>0.548</v>
      </c>
      <c r="BL281" s="5" t="n">
        <v>1.412</v>
      </c>
      <c r="BM281" s="5" t="n">
        <v>0.24</v>
      </c>
      <c r="BN281" s="5" t="n">
        <v>1</v>
      </c>
      <c r="BO281" s="5" t="n">
        <v>0</v>
      </c>
      <c r="BP281" s="5" t="n">
        <v>0.001</v>
      </c>
      <c r="BQ281" s="5" t="n">
        <v>0.06900000000000001</v>
      </c>
      <c r="BR281" s="5" t="n">
        <v>0</v>
      </c>
      <c r="BS281" s="5" t="n">
        <v>1</v>
      </c>
      <c r="BT281" s="5" t="n">
        <v>0</v>
      </c>
      <c r="BU281" s="5" t="n">
        <v>0.024</v>
      </c>
      <c r="BV281" s="5" t="n">
        <v>0.306</v>
      </c>
      <c r="BW281" s="5" t="n">
        <v>0.24</v>
      </c>
      <c r="BX281" s="5" t="n">
        <v>0.833</v>
      </c>
      <c r="BY281" s="5" t="n">
        <v>13.646</v>
      </c>
      <c r="BZ281" s="5" t="n">
        <v>0</v>
      </c>
      <c r="CA281" s="5" t="n">
        <v>13.646</v>
      </c>
      <c r="CB281" s="5" t="n">
        <v>0</v>
      </c>
      <c r="CC281" s="5" t="n">
        <v>82.58799999999999</v>
      </c>
      <c r="CD281" s="5" t="n">
        <v>7.95</v>
      </c>
      <c r="CE281" s="5" t="n">
        <v>141.248</v>
      </c>
      <c r="CF281" s="5" t="n">
        <v>277.557</v>
      </c>
      <c r="CG281" s="5" t="n">
        <v>0.24</v>
      </c>
      <c r="CH281" s="5" t="n">
        <v>1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1.387</v>
      </c>
      <c r="CR281" s="5" t="n">
        <v>0</v>
      </c>
      <c r="CS281" s="5" t="n">
        <v>5.529</v>
      </c>
      <c r="CT281" s="5" t="n">
        <v>4.592</v>
      </c>
      <c r="CU281" s="5" t="n">
        <v>10.168</v>
      </c>
    </row>
    <row r="282">
      <c r="A282" s="5" t="inlineStr">
        <is>
          <t>FRA2021</t>
        </is>
      </c>
      <c r="B282" s="5" t="inlineStr">
        <is>
          <t>FRA</t>
        </is>
      </c>
      <c r="C282" s="5" t="inlineStr">
        <is>
          <t>FRA</t>
        </is>
      </c>
      <c r="D282" s="5" t="inlineStr">
        <is>
          <t>France</t>
        </is>
      </c>
      <c r="E282" s="5" t="n">
        <v>2021</v>
      </c>
      <c r="F282" s="5" t="n">
        <v>0.2</v>
      </c>
      <c r="G282" s="5" t="n">
        <v>5.022</v>
      </c>
      <c r="H282" s="5" t="n">
        <v>1.099</v>
      </c>
      <c r="I282" s="5" t="n">
        <v>1.186</v>
      </c>
      <c r="J282" s="5" t="n">
        <v>6.208</v>
      </c>
      <c r="K282" s="5" t="n">
        <v>0</v>
      </c>
      <c r="L282" s="5" t="n">
        <v>1</v>
      </c>
      <c r="M282" s="5" t="n">
        <v>6.592</v>
      </c>
      <c r="N282" s="5" t="n">
        <v>2.988</v>
      </c>
      <c r="O282" s="5" t="n">
        <v>1.494</v>
      </c>
      <c r="P282" s="5" t="n">
        <v>8.086</v>
      </c>
      <c r="Q282" s="5" t="n">
        <v>0</v>
      </c>
      <c r="R282" s="5" t="n">
        <v>1</v>
      </c>
      <c r="S282" s="5" t="n">
        <v>11.069</v>
      </c>
      <c r="T282" s="5" t="n">
        <v>5.94</v>
      </c>
      <c r="U282" s="5" t="n">
        <v>0.235</v>
      </c>
      <c r="V282" s="5" t="n">
        <v>13.564</v>
      </c>
      <c r="W282" s="5" t="n">
        <v>0.2</v>
      </c>
      <c r="X282" s="5" t="n">
        <v>1</v>
      </c>
      <c r="Y282" s="5" t="n">
        <v>21.184</v>
      </c>
      <c r="Z282" s="5" t="n">
        <v>2.34</v>
      </c>
      <c r="AA282" s="5" t="n">
        <v>-6.568</v>
      </c>
      <c r="AB282" s="5" t="n">
        <v>14.616</v>
      </c>
      <c r="AC282" s="5" t="n">
        <v>0</v>
      </c>
      <c r="AD282" s="5" t="n">
        <v>1</v>
      </c>
      <c r="AE282" s="5" t="n">
        <v>21.14</v>
      </c>
      <c r="AF282" s="5" t="n">
        <v>4.16</v>
      </c>
      <c r="AG282" s="5" t="n">
        <v>-6.514</v>
      </c>
      <c r="AH282" s="5" t="n">
        <v>14.627</v>
      </c>
      <c r="AI282" s="5" t="n">
        <v>0</v>
      </c>
      <c r="AJ282" s="5" t="n">
        <v>1</v>
      </c>
      <c r="AK282" s="5" t="n">
        <v>27.169</v>
      </c>
      <c r="AL282" s="5" t="n">
        <v>13.335</v>
      </c>
      <c r="AM282" s="5" t="n">
        <v>-6.925</v>
      </c>
      <c r="AN282" s="5" t="n">
        <v>24.293</v>
      </c>
      <c r="AO282" s="5" t="n">
        <v>0.2</v>
      </c>
      <c r="AP282" s="5" t="n">
        <v>1</v>
      </c>
      <c r="AQ282" s="5" t="n">
        <v>0.619</v>
      </c>
      <c r="AR282" s="5" t="n">
        <v>0.114</v>
      </c>
      <c r="AS282" s="5" t="n">
        <v>0.912</v>
      </c>
      <c r="AT282" s="5" t="n">
        <v>1.837</v>
      </c>
      <c r="AU282" s="5" t="n">
        <v>0.2</v>
      </c>
      <c r="AV282" s="5" t="n">
        <v>1</v>
      </c>
      <c r="AW282" s="5" t="n">
        <v>0.599</v>
      </c>
      <c r="AX282" s="5" t="n">
        <v>0.114</v>
      </c>
      <c r="AY282" s="5" t="n">
        <v>0.8110000000000001</v>
      </c>
      <c r="AZ282" s="5" t="n">
        <v>1.693</v>
      </c>
      <c r="BA282" s="5" t="n">
        <v>0.2</v>
      </c>
      <c r="BB282" s="5" t="n">
        <v>1</v>
      </c>
      <c r="BC282" s="5" t="n">
        <v>0.439</v>
      </c>
      <c r="BD282" s="5" t="n">
        <v>0.114</v>
      </c>
      <c r="BE282" s="5" t="n">
        <v>0.401</v>
      </c>
      <c r="BF282" s="5" t="n">
        <v>1.008</v>
      </c>
      <c r="BG282" s="5" t="n">
        <v>0.2</v>
      </c>
      <c r="BH282" s="5" t="n">
        <v>1</v>
      </c>
      <c r="BI282" s="5" t="n">
        <v>0.505</v>
      </c>
      <c r="BJ282" s="5" t="n">
        <v>0.114</v>
      </c>
      <c r="BK282" s="5" t="n">
        <v>0.386</v>
      </c>
      <c r="BL282" s="5" t="n">
        <v>1.069</v>
      </c>
      <c r="BM282" s="5" t="n">
        <v>0.2</v>
      </c>
      <c r="BN282" s="5" t="n">
        <v>1</v>
      </c>
      <c r="BO282" s="5" t="n">
        <v>0</v>
      </c>
      <c r="BP282" s="5" t="n">
        <v>0.01</v>
      </c>
      <c r="BQ282" s="5" t="n">
        <v>0.095</v>
      </c>
      <c r="BR282" s="5" t="n">
        <v>0</v>
      </c>
      <c r="BS282" s="5" t="n">
        <v>1</v>
      </c>
      <c r="BT282" s="5" t="n">
        <v>0</v>
      </c>
      <c r="BU282" s="5" t="n">
        <v>0.045</v>
      </c>
      <c r="BV282" s="5" t="n">
        <v>0.235</v>
      </c>
      <c r="BW282" s="5" t="n">
        <v>0.2</v>
      </c>
      <c r="BX282" s="5" t="n">
        <v>1</v>
      </c>
      <c r="BY282" s="5" t="n">
        <v>11.787</v>
      </c>
      <c r="BZ282" s="5" t="n">
        <v>0</v>
      </c>
      <c r="CA282" s="5" t="n">
        <v>11.787</v>
      </c>
      <c r="CB282" s="5" t="n">
        <v>0</v>
      </c>
      <c r="CC282" s="5" t="n">
        <v>78.125</v>
      </c>
      <c r="CD282" s="5" t="n">
        <v>7.95</v>
      </c>
      <c r="CE282" s="5" t="n">
        <v>68.496</v>
      </c>
      <c r="CF282" s="5" t="n">
        <v>175.945</v>
      </c>
      <c r="CG282" s="5" t="n">
        <v>0.2</v>
      </c>
      <c r="CH282" s="5" t="n">
        <v>1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0.083</v>
      </c>
      <c r="CO282" s="5" t="n">
        <v>0.052</v>
      </c>
      <c r="CP282" s="5" t="n">
        <v>0</v>
      </c>
      <c r="CQ282" s="5" t="n">
        <v>1.198</v>
      </c>
      <c r="CR282" s="5" t="n">
        <v>0</v>
      </c>
      <c r="CS282" s="5" t="n">
        <v>4.776</v>
      </c>
      <c r="CT282" s="5" t="n">
        <v>6.569</v>
      </c>
      <c r="CU282" s="5" t="n">
        <v>14.962</v>
      </c>
    </row>
    <row r="283">
      <c r="A283" s="5" t="inlineStr">
        <is>
          <t>FRA2022</t>
        </is>
      </c>
      <c r="B283" s="5" t="inlineStr">
        <is>
          <t>FRA</t>
        </is>
      </c>
      <c r="C283" s="5" t="inlineStr">
        <is>
          <t>FRA</t>
        </is>
      </c>
      <c r="D283" s="5" t="inlineStr">
        <is>
          <t>France</t>
        </is>
      </c>
      <c r="E283" s="5" t="n">
        <v>2022</v>
      </c>
      <c r="F283" s="5" t="n">
        <v>0.2</v>
      </c>
      <c r="G283" s="5" t="n">
        <v>9.981999999999999</v>
      </c>
      <c r="H283" s="5" t="n">
        <v>1.55</v>
      </c>
      <c r="I283" s="5" t="n">
        <v>8.218</v>
      </c>
      <c r="J283" s="5" t="n">
        <v>18.2</v>
      </c>
      <c r="K283" s="5" t="n">
        <v>0</v>
      </c>
      <c r="L283" s="5" t="n">
        <v>1</v>
      </c>
      <c r="M283" s="5" t="n">
        <v>6.924</v>
      </c>
      <c r="N283" s="5" t="n">
        <v>2.859</v>
      </c>
      <c r="O283" s="5" t="n">
        <v>8.829000000000001</v>
      </c>
      <c r="P283" s="5" t="n">
        <v>15.753</v>
      </c>
      <c r="Q283" s="5" t="n">
        <v>0</v>
      </c>
      <c r="R283" s="5" t="n">
        <v>1</v>
      </c>
      <c r="S283" s="5" t="n">
        <v>18.537</v>
      </c>
      <c r="T283" s="5" t="n">
        <v>6.733</v>
      </c>
      <c r="U283" s="5" t="n">
        <v>3.459</v>
      </c>
      <c r="V283" s="5" t="n">
        <v>26.01</v>
      </c>
      <c r="W283" s="5" t="n">
        <v>0.2</v>
      </c>
      <c r="X283" s="5" t="n">
        <v>1</v>
      </c>
      <c r="Y283" s="5" t="n">
        <v>35.155</v>
      </c>
      <c r="Z283" s="5" t="n">
        <v>3.688</v>
      </c>
      <c r="AA283" s="5" t="n">
        <v>-10.589</v>
      </c>
      <c r="AB283" s="5" t="n">
        <v>24.567</v>
      </c>
      <c r="AC283" s="5" t="n">
        <v>0</v>
      </c>
      <c r="AD283" s="5" t="n">
        <v>1</v>
      </c>
      <c r="AE283" s="5" t="n">
        <v>35.203</v>
      </c>
      <c r="AF283" s="5" t="n">
        <v>6.526</v>
      </c>
      <c r="AG283" s="5" t="n">
        <v>-10.56</v>
      </c>
      <c r="AH283" s="5" t="n">
        <v>24.644</v>
      </c>
      <c r="AI283" s="5" t="n">
        <v>0</v>
      </c>
      <c r="AJ283" s="5" t="n">
        <v>1</v>
      </c>
      <c r="AK283" s="5" t="n">
        <v>41.781</v>
      </c>
      <c r="AL283" s="5" t="n">
        <v>19.952</v>
      </c>
      <c r="AM283" s="5" t="n">
        <v>-19.017</v>
      </c>
      <c r="AN283" s="5" t="n">
        <v>27.316</v>
      </c>
      <c r="AO283" s="5" t="n">
        <v>0.2</v>
      </c>
      <c r="AP283" s="5" t="n">
        <v>1</v>
      </c>
      <c r="AQ283" s="5" t="n">
        <v>0.861</v>
      </c>
      <c r="AR283" s="5" t="n">
        <v>0.123</v>
      </c>
      <c r="AS283" s="5" t="n">
        <v>0.726</v>
      </c>
      <c r="AT283" s="5" t="n">
        <v>1.905</v>
      </c>
      <c r="AU283" s="5" t="n">
        <v>0.2</v>
      </c>
      <c r="AV283" s="5" t="n">
        <v>1</v>
      </c>
      <c r="AW283" s="5" t="n">
        <v>0.986</v>
      </c>
      <c r="AX283" s="5" t="n">
        <v>0.123</v>
      </c>
      <c r="AY283" s="5" t="n">
        <v>0.633</v>
      </c>
      <c r="AZ283" s="5" t="n">
        <v>1.942</v>
      </c>
      <c r="BA283" s="5" t="n">
        <v>0.2</v>
      </c>
      <c r="BB283" s="5" t="n">
        <v>1</v>
      </c>
      <c r="BC283" s="5" t="n">
        <v>0.598</v>
      </c>
      <c r="BD283" s="5" t="n">
        <v>0.123</v>
      </c>
      <c r="BE283" s="5" t="n">
        <v>0.143</v>
      </c>
      <c r="BF283" s="5" t="n">
        <v>0.89</v>
      </c>
      <c r="BG283" s="5" t="n">
        <v>0.2</v>
      </c>
      <c r="BH283" s="5" t="n">
        <v>1</v>
      </c>
      <c r="BI283" s="5" t="n">
        <v>0.612</v>
      </c>
      <c r="BJ283" s="5" t="n">
        <v>0.123</v>
      </c>
      <c r="BK283" s="5" t="n">
        <v>0.6820000000000001</v>
      </c>
      <c r="BL283" s="5" t="n">
        <v>1.553</v>
      </c>
      <c r="BM283" s="5" t="n">
        <v>0.2</v>
      </c>
      <c r="BN283" s="5" t="n">
        <v>1</v>
      </c>
      <c r="BO283" s="5" t="n">
        <v>0</v>
      </c>
      <c r="BP283" s="5" t="n">
        <v>0.002</v>
      </c>
      <c r="BQ283" s="5" t="n">
        <v>0.118</v>
      </c>
      <c r="BR283" s="5" t="n">
        <v>0</v>
      </c>
      <c r="BS283" s="5" t="n">
        <v>1</v>
      </c>
      <c r="BT283" s="5" t="n">
        <v>0</v>
      </c>
      <c r="BU283" s="5" t="n">
        <v>0.021</v>
      </c>
      <c r="BV283" s="5" t="n">
        <v>0.226</v>
      </c>
      <c r="BW283" s="5" t="n">
        <v>0.2</v>
      </c>
      <c r="BX283" s="5" t="n">
        <v>1</v>
      </c>
      <c r="BY283" s="5" t="n">
        <v>12.729</v>
      </c>
      <c r="BZ283" s="5" t="n">
        <v>0</v>
      </c>
      <c r="CA283" s="5" t="n">
        <v>12.729</v>
      </c>
      <c r="CB283" s="5" t="n">
        <v>0</v>
      </c>
      <c r="CC283" s="5" t="n">
        <v>97.90000000000001</v>
      </c>
      <c r="CD283" s="5" t="n">
        <v>7.95</v>
      </c>
      <c r="CE283" s="5" t="n">
        <v>142.287</v>
      </c>
      <c r="CF283" s="5" t="n">
        <v>288.224</v>
      </c>
      <c r="CG283" s="5" t="n">
        <v>0.2</v>
      </c>
      <c r="CH283" s="5" t="n">
        <v>1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0</v>
      </c>
      <c r="CN283" s="5" t="n">
        <v>0.083</v>
      </c>
      <c r="CO283" s="5" t="n">
        <v>0.055</v>
      </c>
      <c r="CP283" s="5" t="n">
        <v>0</v>
      </c>
      <c r="CQ283" s="5" t="n">
        <v>1.294</v>
      </c>
      <c r="CR283" s="5" t="n">
        <v>0</v>
      </c>
      <c r="CS283" s="5" t="n">
        <v>5.158</v>
      </c>
      <c r="CT283" s="5" t="n">
        <v>14.147</v>
      </c>
      <c r="CU283" s="5" t="n">
        <v>28.842</v>
      </c>
    </row>
    <row r="284">
      <c r="A284" s="5" t="inlineStr">
        <is>
          <t>FRA2023</t>
        </is>
      </c>
      <c r="B284" s="5" t="inlineStr">
        <is>
          <t>FRA</t>
        </is>
      </c>
      <c r="C284" s="5" t="inlineStr">
        <is>
          <t>FRA</t>
        </is>
      </c>
      <c r="D284" s="5" t="inlineStr">
        <is>
          <t>France</t>
        </is>
      </c>
      <c r="E284" s="5" t="n">
        <v>2023</v>
      </c>
      <c r="F284" s="5" t="n">
        <v>0.2</v>
      </c>
      <c r="G284" s="5" t="n">
        <v>18.6</v>
      </c>
      <c r="H284" s="5" t="n">
        <v>4.236</v>
      </c>
      <c r="I284" s="5" t="n">
        <v>9.523999999999999</v>
      </c>
      <c r="J284" s="5" t="n">
        <v>28.123</v>
      </c>
      <c r="K284" s="5" t="n">
        <v>0</v>
      </c>
      <c r="L284" s="5" t="n">
        <v>1</v>
      </c>
      <c r="M284" s="5" t="n">
        <v>15.994</v>
      </c>
      <c r="N284" s="5" t="n">
        <v>7.932</v>
      </c>
      <c r="O284" s="5" t="n">
        <v>9.815</v>
      </c>
      <c r="P284" s="5" t="n">
        <v>25.809</v>
      </c>
      <c r="Q284" s="5" t="n">
        <v>0</v>
      </c>
      <c r="R284" s="5" t="n">
        <v>1</v>
      </c>
      <c r="S284" s="5" t="n">
        <v>16.116</v>
      </c>
      <c r="T284" s="5" t="n">
        <v>6.751</v>
      </c>
      <c r="U284" s="5" t="n">
        <v>3.568</v>
      </c>
      <c r="V284" s="5" t="n">
        <v>23.109</v>
      </c>
      <c r="W284" s="5" t="n">
        <v>0.2</v>
      </c>
      <c r="X284" s="5" t="n">
        <v>1</v>
      </c>
      <c r="Y284" s="5" t="n">
        <v>18.138</v>
      </c>
      <c r="Z284" s="5" t="n">
        <v>2.032</v>
      </c>
      <c r="AA284" s="5" t="n">
        <v>11.559</v>
      </c>
      <c r="AB284" s="5" t="n">
        <v>29.698</v>
      </c>
      <c r="AC284" s="5" t="n">
        <v>0</v>
      </c>
      <c r="AD284" s="5" t="n">
        <v>1</v>
      </c>
      <c r="AE284" s="5" t="n">
        <v>18.237</v>
      </c>
      <c r="AF284" s="5" t="n">
        <v>3.632</v>
      </c>
      <c r="AG284" s="5" t="n">
        <v>11.55</v>
      </c>
      <c r="AH284" s="5" t="n">
        <v>29.787</v>
      </c>
      <c r="AI284" s="5" t="n">
        <v>0</v>
      </c>
      <c r="AJ284" s="5" t="n">
        <v>1</v>
      </c>
      <c r="AK284" s="5" t="n">
        <v>25.12</v>
      </c>
      <c r="AL284" s="5" t="n">
        <v>12.444</v>
      </c>
      <c r="AM284" s="5" t="n">
        <v>2.725</v>
      </c>
      <c r="AN284" s="5" t="n">
        <v>33.414</v>
      </c>
      <c r="AO284" s="5" t="n">
        <v>0.2</v>
      </c>
      <c r="AP284" s="5" t="n">
        <v>1</v>
      </c>
      <c r="AQ284" s="5" t="n">
        <v>0.76</v>
      </c>
      <c r="AR284" s="5" t="n">
        <v>0.129</v>
      </c>
      <c r="AS284" s="5" t="n">
        <v>0.9340000000000001</v>
      </c>
      <c r="AT284" s="5" t="n">
        <v>2.034</v>
      </c>
      <c r="AU284" s="5" t="n">
        <v>0.2</v>
      </c>
      <c r="AV284" s="5" t="n">
        <v>1</v>
      </c>
      <c r="AW284" s="5" t="n">
        <v>0.8110000000000001</v>
      </c>
      <c r="AX284" s="5" t="n">
        <v>0.129</v>
      </c>
      <c r="AY284" s="5" t="n">
        <v>0.806</v>
      </c>
      <c r="AZ284" s="5" t="n">
        <v>1.941</v>
      </c>
      <c r="BA284" s="5" t="n">
        <v>0.2</v>
      </c>
      <c r="BB284" s="5" t="n">
        <v>1</v>
      </c>
      <c r="BC284" s="5" t="n">
        <v>0.535</v>
      </c>
      <c r="BD284" s="5" t="n">
        <v>0.129</v>
      </c>
      <c r="BE284" s="5" t="n">
        <v>0.347</v>
      </c>
      <c r="BF284" s="5" t="n">
        <v>1.058</v>
      </c>
      <c r="BG284" s="5" t="n">
        <v>0.2</v>
      </c>
      <c r="BH284" s="5" t="n">
        <v>1</v>
      </c>
      <c r="BI284" s="5" t="n">
        <v>0.579</v>
      </c>
      <c r="BJ284" s="5" t="n">
        <v>0.129</v>
      </c>
      <c r="BK284" s="5" t="n">
        <v>0.5629999999999999</v>
      </c>
      <c r="BL284" s="5" t="n">
        <v>1.371</v>
      </c>
      <c r="BM284" s="5" t="n">
        <v>0.2</v>
      </c>
      <c r="BN284" s="5" t="n">
        <v>1</v>
      </c>
      <c r="BO284" s="5" t="n">
        <v>0</v>
      </c>
      <c r="BP284" s="5" t="n">
        <v>0.001</v>
      </c>
      <c r="BQ284" s="5" t="n">
        <v>0.168</v>
      </c>
      <c r="BR284" s="5" t="n">
        <v>0</v>
      </c>
      <c r="BS284" s="5" t="n">
        <v>1</v>
      </c>
      <c r="BT284" s="5" t="n">
        <v>0</v>
      </c>
      <c r="BU284" s="5" t="n">
        <v>0.008</v>
      </c>
      <c r="BV284" s="5" t="n">
        <v>0.264</v>
      </c>
      <c r="BW284" s="5" t="n">
        <v>0.2</v>
      </c>
      <c r="BX284" s="5" t="n">
        <v>1</v>
      </c>
      <c r="BY284" s="5" t="n">
        <v>13.254</v>
      </c>
      <c r="BZ284" s="5" t="n">
        <v>0</v>
      </c>
      <c r="CA284" s="5" t="n">
        <v>13.254</v>
      </c>
      <c r="CB284" s="5" t="n">
        <v>0</v>
      </c>
      <c r="CC284" s="5" t="n">
        <v>83.248</v>
      </c>
      <c r="CD284" s="5" t="n">
        <v>7.95</v>
      </c>
      <c r="CE284" s="5" t="n">
        <v>138.203</v>
      </c>
      <c r="CF284" s="5" t="n">
        <v>265.741</v>
      </c>
      <c r="CG284" s="5" t="n">
        <v>0.2</v>
      </c>
      <c r="CH284" s="5" t="n">
        <v>1</v>
      </c>
      <c r="CI284" s="5" t="n">
        <v>0</v>
      </c>
      <c r="CJ284" s="5" t="n">
        <v>0</v>
      </c>
      <c r="CK284" s="5" t="n">
        <v>0</v>
      </c>
      <c r="CL284" s="5" t="n">
        <v>0</v>
      </c>
      <c r="CM284" s="5" t="n">
        <v>0</v>
      </c>
      <c r="CN284" s="5" t="n">
        <v>0.028</v>
      </c>
      <c r="CO284" s="5" t="n">
        <v>0.056</v>
      </c>
      <c r="CP284" s="5" t="n">
        <v>0</v>
      </c>
      <c r="CQ284" s="5" t="n">
        <v>1.348</v>
      </c>
      <c r="CR284" s="5" t="n">
        <v>0</v>
      </c>
      <c r="CS284" s="5" t="n">
        <v>5.37</v>
      </c>
      <c r="CT284" s="5" t="n">
        <v>12.035</v>
      </c>
      <c r="CU284" s="5" t="n">
        <v>11.774</v>
      </c>
    </row>
    <row r="285">
      <c r="A285" s="5" t="inlineStr">
        <is>
          <t>FRA2024</t>
        </is>
      </c>
      <c r="B285" s="5" t="inlineStr">
        <is>
          <t>FRA</t>
        </is>
      </c>
      <c r="C285" s="5" t="inlineStr">
        <is>
          <t>FRA</t>
        </is>
      </c>
      <c r="D285" s="5" t="inlineStr">
        <is>
          <t>France</t>
        </is>
      </c>
      <c r="E285" s="5" t="n">
        <v>2024</v>
      </c>
      <c r="F285" s="5" t="n">
        <v>0.2</v>
      </c>
      <c r="G285" s="5" t="n">
        <v>18.133</v>
      </c>
      <c r="H285" s="5" t="n">
        <v>4.594</v>
      </c>
      <c r="I285" s="5" t="n">
        <v>6.241</v>
      </c>
      <c r="J285" s="5" t="n">
        <v>24.374</v>
      </c>
      <c r="K285" s="5" t="n">
        <v>0</v>
      </c>
      <c r="L285" s="5" t="n">
        <v>1</v>
      </c>
      <c r="M285" s="5" t="n">
        <v>15.063</v>
      </c>
      <c r="N285" s="5" t="n">
        <v>8.206</v>
      </c>
      <c r="O285" s="5" t="n">
        <v>6.98</v>
      </c>
      <c r="P285" s="5" t="n">
        <v>22.044</v>
      </c>
      <c r="Q285" s="5" t="n">
        <v>0</v>
      </c>
      <c r="R285" s="5" t="n">
        <v>1</v>
      </c>
      <c r="S285" s="5" t="n">
        <v>15.689</v>
      </c>
      <c r="T285" s="5" t="n">
        <v>6.95</v>
      </c>
      <c r="U285" s="5" t="n">
        <v>3.711</v>
      </c>
      <c r="V285" s="5" t="n">
        <v>22.663</v>
      </c>
      <c r="W285" s="5" t="n">
        <v>0.2</v>
      </c>
      <c r="X285" s="5" t="n">
        <v>1</v>
      </c>
      <c r="Y285" s="5" t="n">
        <v>17.329</v>
      </c>
      <c r="Z285" s="5" t="n">
        <v>2.188</v>
      </c>
      <c r="AA285" s="5" t="n">
        <v>7.154</v>
      </c>
      <c r="AB285" s="5" t="n">
        <v>24.484</v>
      </c>
      <c r="AC285" s="5" t="n">
        <v>0</v>
      </c>
      <c r="AD285" s="5" t="n">
        <v>1</v>
      </c>
      <c r="AE285" s="5" t="n">
        <v>17.329</v>
      </c>
      <c r="AF285" s="5" t="n">
        <v>3.796</v>
      </c>
      <c r="AG285" s="5" t="n">
        <v>7.213</v>
      </c>
      <c r="AH285" s="5" t="n">
        <v>24.543</v>
      </c>
      <c r="AI285" s="5" t="n">
        <v>0</v>
      </c>
      <c r="AJ285" s="5" t="n">
        <v>1</v>
      </c>
      <c r="AK285" s="5" t="n">
        <v>25.826</v>
      </c>
      <c r="AL285" s="5" t="n">
        <v>13.136</v>
      </c>
      <c r="AM285" s="5" t="n">
        <v>5.846</v>
      </c>
      <c r="AN285" s="5" t="n">
        <v>38.007</v>
      </c>
      <c r="AO285" s="5" t="n">
        <v>0.2</v>
      </c>
      <c r="AP285" s="5" t="n">
        <v>1</v>
      </c>
      <c r="AQ285" s="5" t="n">
        <v>0.724</v>
      </c>
      <c r="AR285" s="5" t="n">
        <v>0.132</v>
      </c>
      <c r="AS285" s="5" t="n">
        <v>0.918</v>
      </c>
      <c r="AT285" s="5" t="n">
        <v>1.971</v>
      </c>
      <c r="AU285" s="5" t="n">
        <v>0.2</v>
      </c>
      <c r="AV285" s="5" t="n">
        <v>1</v>
      </c>
      <c r="AW285" s="5" t="n">
        <v>0.75</v>
      </c>
      <c r="AX285" s="5" t="n">
        <v>0.132</v>
      </c>
      <c r="AY285" s="5" t="n">
        <v>0.779</v>
      </c>
      <c r="AZ285" s="5" t="n">
        <v>1.835</v>
      </c>
      <c r="BA285" s="5" t="n">
        <v>0.2</v>
      </c>
      <c r="BB285" s="5" t="n">
        <v>1</v>
      </c>
      <c r="BC285" s="5" t="n">
        <v>0.513</v>
      </c>
      <c r="BD285" s="5" t="n">
        <v>0.132</v>
      </c>
      <c r="BE285" s="5" t="n">
        <v>0.377</v>
      </c>
      <c r="BF285" s="5" t="n">
        <v>1.068</v>
      </c>
      <c r="BG285" s="5" t="n">
        <v>0.2</v>
      </c>
      <c r="BH285" s="5" t="n">
        <v>1</v>
      </c>
      <c r="BI285" s="5" t="n">
        <v>0.591</v>
      </c>
      <c r="BJ285" s="5" t="n">
        <v>0.132</v>
      </c>
      <c r="BK285" s="5" t="n">
        <v>0.47</v>
      </c>
      <c r="BL285" s="5" t="n">
        <v>1.274</v>
      </c>
      <c r="BM285" s="5" t="n">
        <v>0.2</v>
      </c>
      <c r="BN285" s="5" t="n">
        <v>1</v>
      </c>
      <c r="BO285" s="5" t="n">
        <v>0</v>
      </c>
      <c r="BP285" s="5" t="n">
        <v>0.006</v>
      </c>
      <c r="BQ285" s="5" t="n">
        <v>0.119</v>
      </c>
      <c r="BR285" s="5" t="n">
        <v>0</v>
      </c>
      <c r="BS285" s="5" t="n">
        <v>1</v>
      </c>
      <c r="BT285" s="5" t="n">
        <v>0</v>
      </c>
      <c r="BU285" s="5" t="n">
        <v>0.027</v>
      </c>
      <c r="BV285" s="5" t="n">
        <v>0.312</v>
      </c>
      <c r="BW285" s="5" t="n">
        <v>0.2</v>
      </c>
      <c r="BX285" s="5" t="n">
        <v>1</v>
      </c>
      <c r="BY285" s="5" t="n">
        <v>13.646</v>
      </c>
      <c r="BZ285" s="5" t="n">
        <v>0</v>
      </c>
      <c r="CA285" s="5" t="n">
        <v>13.646</v>
      </c>
      <c r="CB285" s="5" t="n">
        <v>0</v>
      </c>
      <c r="CC285" s="5" t="n">
        <v>82.58799999999999</v>
      </c>
      <c r="CD285" s="5" t="n">
        <v>7.95</v>
      </c>
      <c r="CE285" s="5" t="n">
        <v>115.763</v>
      </c>
      <c r="CF285" s="5" t="n">
        <v>238.021</v>
      </c>
      <c r="CG285" s="5" t="n">
        <v>0.2</v>
      </c>
      <c r="CH285" s="5" t="n">
        <v>1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0</v>
      </c>
      <c r="CN285" s="5" t="n">
        <v>0.007</v>
      </c>
      <c r="CO285" s="5" t="n">
        <v>0.057</v>
      </c>
      <c r="CP285" s="5" t="n">
        <v>0</v>
      </c>
      <c r="CQ285" s="5" t="n">
        <v>1.387</v>
      </c>
      <c r="CR285" s="5" t="n">
        <v>0</v>
      </c>
      <c r="CS285" s="5" t="n">
        <v>5.529</v>
      </c>
      <c r="CT285" s="5" t="n">
        <v>11.187</v>
      </c>
      <c r="CU285" s="5" t="n">
        <v>9.994</v>
      </c>
    </row>
    <row r="286">
      <c r="A286" s="5" t="inlineStr">
        <is>
          <t>PYF2021</t>
        </is>
      </c>
      <c r="B286" s="5" t="inlineStr">
        <is>
          <t>PYF</t>
        </is>
      </c>
      <c r="C286" s="5" t="inlineStr">
        <is>
          <t>PYF</t>
        </is>
      </c>
      <c r="D286" s="5" t="inlineStr">
        <is>
          <t>French Polynesia</t>
        </is>
      </c>
      <c r="E286" s="5" t="n">
        <v>2021</v>
      </c>
      <c r="F286" s="5" t="n">
        <v>0.13</v>
      </c>
      <c r="G286" s="5" t="n">
        <v>4.747</v>
      </c>
      <c r="H286" s="5" t="n">
        <v>1.143</v>
      </c>
      <c r="I286" s="5" t="n">
        <v>0</v>
      </c>
      <c r="J286" s="5" t="n">
        <v>4.747</v>
      </c>
      <c r="K286" s="5" t="n">
        <v>0</v>
      </c>
      <c r="L286" s="5" t="n">
        <v>1</v>
      </c>
      <c r="M286" s="5" t="n">
        <v>7.964</v>
      </c>
      <c r="N286" s="5" t="n">
        <v>3.43</v>
      </c>
      <c r="O286" s="5" t="n">
        <v>0</v>
      </c>
      <c r="P286" s="5" t="n">
        <v>7.964</v>
      </c>
      <c r="Q286" s="5" t="n">
        <v>0</v>
      </c>
      <c r="R286" s="5" t="n">
        <v>1</v>
      </c>
      <c r="S286" s="5" t="n">
        <v>10.464</v>
      </c>
      <c r="T286" s="5" t="n">
        <v>6.86</v>
      </c>
      <c r="U286" s="5" t="n">
        <v>0</v>
      </c>
      <c r="V286" s="5" t="n">
        <v>11.824</v>
      </c>
      <c r="W286" s="5" t="n">
        <v>0.13</v>
      </c>
      <c r="X286" s="5" t="n">
        <v>1</v>
      </c>
      <c r="Y286" s="5" t="n">
        <v>10.551</v>
      </c>
      <c r="Z286" s="5" t="n">
        <v>1.302</v>
      </c>
      <c r="AA286" s="5" t="n">
        <v>0</v>
      </c>
      <c r="AB286" s="5" t="n">
        <v>10.551</v>
      </c>
      <c r="AC286" s="5" t="n">
        <v>0</v>
      </c>
      <c r="AD286" s="5" t="n">
        <v>1</v>
      </c>
      <c r="AE286" s="5" t="n">
        <v>11.694</v>
      </c>
      <c r="AF286" s="5" t="n">
        <v>2.549</v>
      </c>
      <c r="AG286" s="5" t="n">
        <v>0</v>
      </c>
      <c r="AH286" s="5" t="n">
        <v>11.694</v>
      </c>
      <c r="AI286" s="5" t="n">
        <v>0</v>
      </c>
      <c r="AJ286" s="5" t="n">
        <v>1</v>
      </c>
      <c r="AK286" s="5" t="n">
        <v>18.554</v>
      </c>
      <c r="AL286" s="5" t="n">
        <v>9.627000000000001</v>
      </c>
      <c r="AM286" s="5" t="n">
        <v>0</v>
      </c>
      <c r="AN286" s="5" t="n">
        <v>20.966</v>
      </c>
      <c r="AO286" s="5" t="n">
        <v>0.13</v>
      </c>
      <c r="AP286" s="5" t="n">
        <v>1</v>
      </c>
      <c r="AQ286" s="5" t="n">
        <v>0.621</v>
      </c>
      <c r="AR286" s="5" t="n">
        <v>0.114</v>
      </c>
      <c r="AS286" s="5" t="n">
        <v>0</v>
      </c>
      <c r="AT286" s="5" t="n">
        <v>0.701</v>
      </c>
      <c r="AU286" s="5" t="n">
        <v>0.13</v>
      </c>
      <c r="AV286" s="5" t="n">
        <v>1</v>
      </c>
      <c r="AW286" s="5" t="n">
        <v>0.593</v>
      </c>
      <c r="AX286" s="5" t="n">
        <v>0.114</v>
      </c>
      <c r="AY286" s="5" t="n">
        <v>0</v>
      </c>
      <c r="AZ286" s="5" t="n">
        <v>0.67</v>
      </c>
      <c r="BA286" s="5" t="n">
        <v>0.13</v>
      </c>
      <c r="BB286" s="5" t="n">
        <v>1</v>
      </c>
      <c r="BC286" s="5" t="n">
        <v>0.44</v>
      </c>
      <c r="BD286" s="5" t="n">
        <v>0.114</v>
      </c>
      <c r="BE286" s="5" t="n">
        <v>0</v>
      </c>
      <c r="BF286" s="5" t="n">
        <v>0.497</v>
      </c>
      <c r="BG286" s="5" t="n">
        <v>0.13</v>
      </c>
      <c r="BH286" s="5" t="n">
        <v>1</v>
      </c>
      <c r="BI286" s="5" t="n">
        <v>0.5600000000000001</v>
      </c>
      <c r="BJ286" s="5" t="n">
        <v>0.114</v>
      </c>
      <c r="BK286" s="5" t="n">
        <v>0</v>
      </c>
      <c r="BL286" s="5" t="n">
        <v>0.633</v>
      </c>
      <c r="BM286" s="5" t="n">
        <v>0.13</v>
      </c>
      <c r="BN286" s="5" t="n">
        <v>1</v>
      </c>
      <c r="BO286" s="5" t="n">
        <v>0</v>
      </c>
      <c r="BP286" s="5" t="n">
        <v>0</v>
      </c>
      <c r="BQ286" s="5" t="n">
        <v>0</v>
      </c>
      <c r="BR286" s="5" t="n">
        <v>0</v>
      </c>
      <c r="BS286" s="5" t="n">
        <v>1</v>
      </c>
      <c r="BT286" s="5" t="n">
        <v>0</v>
      </c>
      <c r="BU286" s="5" t="n">
        <v>0</v>
      </c>
      <c r="BV286" s="5" t="n">
        <v>0</v>
      </c>
      <c r="BW286" s="5" t="n">
        <v>0.13</v>
      </c>
      <c r="BX286" s="5" t="n">
        <v>1</v>
      </c>
      <c r="BY286" s="5" t="n">
        <v>11.787</v>
      </c>
      <c r="BZ286" s="5" t="n">
        <v>0</v>
      </c>
      <c r="CA286" s="5" t="n">
        <v>11.787</v>
      </c>
      <c r="CB286" s="5" t="n">
        <v>0</v>
      </c>
      <c r="CC286" s="5" t="n">
        <v>81.69499999999999</v>
      </c>
      <c r="CD286" s="5" t="n">
        <v>7.95</v>
      </c>
      <c r="CE286" s="5" t="n">
        <v>0</v>
      </c>
      <c r="CF286" s="5" t="n">
        <v>92.316</v>
      </c>
      <c r="CG286" s="5" t="n">
        <v>0.13</v>
      </c>
      <c r="CH286" s="5" t="n">
        <v>1</v>
      </c>
      <c r="CI286" s="5" t="n">
        <v>0</v>
      </c>
      <c r="CJ286" s="5" t="n">
        <v>0</v>
      </c>
      <c r="CK286" s="5" t="n">
        <v>0</v>
      </c>
      <c r="CL286" s="5" t="n">
        <v>0</v>
      </c>
      <c r="CM286" s="5" t="n">
        <v>0</v>
      </c>
      <c r="CN286" s="5" t="n">
        <v>0</v>
      </c>
      <c r="CO286" s="5" t="n">
        <v>0</v>
      </c>
      <c r="CP286" s="5" t="n">
        <v>0</v>
      </c>
      <c r="CQ286" s="5" t="n">
        <v>1.198</v>
      </c>
      <c r="CR286" s="5" t="n">
        <v>0</v>
      </c>
      <c r="CS286" s="5" t="n">
        <v>4.776</v>
      </c>
      <c r="CT286" s="5" t="n">
        <v>3.604</v>
      </c>
      <c r="CU286" s="5" t="n">
        <v>9.407999999999999</v>
      </c>
    </row>
    <row r="287">
      <c r="A287" s="5" t="inlineStr">
        <is>
          <t>PYF2022</t>
        </is>
      </c>
      <c r="B287" s="5" t="inlineStr">
        <is>
          <t>PYF</t>
        </is>
      </c>
      <c r="C287" s="5" t="inlineStr">
        <is>
          <t>PYF</t>
        </is>
      </c>
      <c r="D287" s="5" t="inlineStr">
        <is>
          <t>French Polynesia</t>
        </is>
      </c>
      <c r="E287" s="5" t="n">
        <v>2022</v>
      </c>
      <c r="F287" s="5" t="n">
        <v>0.13</v>
      </c>
      <c r="G287" s="5" t="n">
        <v>8.788</v>
      </c>
      <c r="H287" s="5" t="n">
        <v>1.235</v>
      </c>
      <c r="I287" s="5" t="n">
        <v>0</v>
      </c>
      <c r="J287" s="5" t="n">
        <v>8.788</v>
      </c>
      <c r="K287" s="5" t="n">
        <v>0</v>
      </c>
      <c r="L287" s="5" t="n">
        <v>1</v>
      </c>
      <c r="M287" s="5" t="n">
        <v>9.782999999999999</v>
      </c>
      <c r="N287" s="5" t="n">
        <v>3.704</v>
      </c>
      <c r="O287" s="5" t="n">
        <v>0</v>
      </c>
      <c r="P287" s="5" t="n">
        <v>9.782999999999999</v>
      </c>
      <c r="Q287" s="5" t="n">
        <v>0</v>
      </c>
      <c r="R287" s="5" t="n">
        <v>1</v>
      </c>
      <c r="S287" s="5" t="n">
        <v>14.962</v>
      </c>
      <c r="T287" s="5" t="n">
        <v>7.408</v>
      </c>
      <c r="U287" s="5" t="n">
        <v>0.144</v>
      </c>
      <c r="V287" s="5" t="n">
        <v>16.907</v>
      </c>
      <c r="W287" s="5" t="n">
        <v>0.13</v>
      </c>
      <c r="X287" s="5" t="n">
        <v>1</v>
      </c>
      <c r="Y287" s="5" t="n">
        <v>17.332</v>
      </c>
      <c r="Z287" s="5" t="n">
        <v>2.139</v>
      </c>
      <c r="AA287" s="5" t="n">
        <v>0</v>
      </c>
      <c r="AB287" s="5" t="n">
        <v>17.332</v>
      </c>
      <c r="AC287" s="5" t="n">
        <v>0</v>
      </c>
      <c r="AD287" s="5" t="n">
        <v>1</v>
      </c>
      <c r="AE287" s="5" t="n">
        <v>18.566</v>
      </c>
      <c r="AF287" s="5" t="n">
        <v>4.048</v>
      </c>
      <c r="AG287" s="5" t="n">
        <v>0</v>
      </c>
      <c r="AH287" s="5" t="n">
        <v>18.566</v>
      </c>
      <c r="AI287" s="5" t="n">
        <v>0</v>
      </c>
      <c r="AJ287" s="5" t="n">
        <v>1</v>
      </c>
      <c r="AK287" s="5" t="n">
        <v>25.974</v>
      </c>
      <c r="AL287" s="5" t="n">
        <v>13.478</v>
      </c>
      <c r="AM287" s="5" t="n">
        <v>0.25</v>
      </c>
      <c r="AN287" s="5" t="n">
        <v>29.351</v>
      </c>
      <c r="AO287" s="5" t="n">
        <v>0.13</v>
      </c>
      <c r="AP287" s="5" t="n">
        <v>1</v>
      </c>
      <c r="AQ287" s="5" t="n">
        <v>0.847</v>
      </c>
      <c r="AR287" s="5" t="n">
        <v>0.123</v>
      </c>
      <c r="AS287" s="5" t="n">
        <v>0.008</v>
      </c>
      <c r="AT287" s="5" t="n">
        <v>0.957</v>
      </c>
      <c r="AU287" s="5" t="n">
        <v>0.13</v>
      </c>
      <c r="AV287" s="5" t="n">
        <v>1</v>
      </c>
      <c r="AW287" s="5" t="n">
        <v>0.947</v>
      </c>
      <c r="AX287" s="5" t="n">
        <v>0.123</v>
      </c>
      <c r="AY287" s="5" t="n">
        <v>0.008999999999999999</v>
      </c>
      <c r="AZ287" s="5" t="n">
        <v>1.07</v>
      </c>
      <c r="BA287" s="5" t="n">
        <v>0.13</v>
      </c>
      <c r="BB287" s="5" t="n">
        <v>1</v>
      </c>
      <c r="BC287" s="5" t="n">
        <v>0.589</v>
      </c>
      <c r="BD287" s="5" t="n">
        <v>0.123</v>
      </c>
      <c r="BE287" s="5" t="n">
        <v>0.006</v>
      </c>
      <c r="BF287" s="5" t="n">
        <v>0.665</v>
      </c>
      <c r="BG287" s="5" t="n">
        <v>0.13</v>
      </c>
      <c r="BH287" s="5" t="n">
        <v>1</v>
      </c>
      <c r="BI287" s="5" t="n">
        <v>0.6889999999999999</v>
      </c>
      <c r="BJ287" s="5" t="n">
        <v>0.123</v>
      </c>
      <c r="BK287" s="5" t="n">
        <v>0.007</v>
      </c>
      <c r="BL287" s="5" t="n">
        <v>0.778</v>
      </c>
      <c r="BM287" s="5" t="n">
        <v>0.13</v>
      </c>
      <c r="BN287" s="5" t="n">
        <v>1</v>
      </c>
      <c r="BO287" s="5" t="n">
        <v>0</v>
      </c>
      <c r="BP287" s="5" t="n">
        <v>0</v>
      </c>
      <c r="BQ287" s="5" t="n">
        <v>0</v>
      </c>
      <c r="BR287" s="5" t="n">
        <v>0</v>
      </c>
      <c r="BS287" s="5" t="n">
        <v>1</v>
      </c>
      <c r="BT287" s="5" t="n">
        <v>0</v>
      </c>
      <c r="BU287" s="5" t="n">
        <v>0</v>
      </c>
      <c r="BV287" s="5" t="n">
        <v>0</v>
      </c>
      <c r="BW287" s="5" t="n">
        <v>0.13</v>
      </c>
      <c r="BX287" s="5" t="n">
        <v>1</v>
      </c>
      <c r="BY287" s="5" t="n">
        <v>12.729</v>
      </c>
      <c r="BZ287" s="5" t="n">
        <v>0</v>
      </c>
      <c r="CA287" s="5" t="n">
        <v>12.729</v>
      </c>
      <c r="CB287" s="5" t="n">
        <v>0</v>
      </c>
      <c r="CC287" s="5" t="n">
        <v>102.477</v>
      </c>
      <c r="CD287" s="5" t="n">
        <v>7.95</v>
      </c>
      <c r="CE287" s="5" t="n">
        <v>0.986</v>
      </c>
      <c r="CF287" s="5" t="n">
        <v>115.798</v>
      </c>
      <c r="CG287" s="5" t="n">
        <v>0.13</v>
      </c>
      <c r="CH287" s="5" t="n">
        <v>1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0</v>
      </c>
      <c r="CN287" s="5" t="n">
        <v>0</v>
      </c>
      <c r="CO287" s="5" t="n">
        <v>0</v>
      </c>
      <c r="CP287" s="5" t="n">
        <v>0</v>
      </c>
      <c r="CQ287" s="5" t="n">
        <v>1.294</v>
      </c>
      <c r="CR287" s="5" t="n">
        <v>0</v>
      </c>
      <c r="CS287" s="5" t="n">
        <v>5.158</v>
      </c>
      <c r="CT287" s="5" t="n">
        <v>7.554</v>
      </c>
      <c r="CU287" s="5" t="n">
        <v>16.097</v>
      </c>
    </row>
    <row r="288">
      <c r="A288" s="5" t="inlineStr">
        <is>
          <t>PYF2023</t>
        </is>
      </c>
      <c r="B288" s="5" t="inlineStr">
        <is>
          <t>PYF</t>
        </is>
      </c>
      <c r="C288" s="5" t="inlineStr">
        <is>
          <t>PYF</t>
        </is>
      </c>
      <c r="D288" s="5" t="inlineStr">
        <is>
          <t>French Polynesia</t>
        </is>
      </c>
      <c r="E288" s="5" t="n">
        <v>2023</v>
      </c>
      <c r="F288" s="5" t="n">
        <v>0.13</v>
      </c>
      <c r="G288" s="5" t="n">
        <v>5.77</v>
      </c>
      <c r="H288" s="5" t="n">
        <v>1.286</v>
      </c>
      <c r="I288" s="5" t="n">
        <v>0</v>
      </c>
      <c r="J288" s="5" t="n">
        <v>5.77</v>
      </c>
      <c r="K288" s="5" t="n">
        <v>0</v>
      </c>
      <c r="L288" s="5" t="n">
        <v>1</v>
      </c>
      <c r="M288" s="5" t="n">
        <v>7.886</v>
      </c>
      <c r="N288" s="5" t="n">
        <v>3.857</v>
      </c>
      <c r="O288" s="5" t="n">
        <v>0</v>
      </c>
      <c r="P288" s="5" t="n">
        <v>7.886</v>
      </c>
      <c r="Q288" s="5" t="n">
        <v>0</v>
      </c>
      <c r="R288" s="5" t="n">
        <v>1</v>
      </c>
      <c r="S288" s="5" t="n">
        <v>12.198</v>
      </c>
      <c r="T288" s="5" t="n">
        <v>7.714</v>
      </c>
      <c r="U288" s="5" t="n">
        <v>0.176</v>
      </c>
      <c r="V288" s="5" t="n">
        <v>13.784</v>
      </c>
      <c r="W288" s="5" t="n">
        <v>0.13</v>
      </c>
      <c r="X288" s="5" t="n">
        <v>1</v>
      </c>
      <c r="Y288" s="5" t="n">
        <v>13.814</v>
      </c>
      <c r="Z288" s="5" t="n">
        <v>1.705</v>
      </c>
      <c r="AA288" s="5" t="n">
        <v>0</v>
      </c>
      <c r="AB288" s="5" t="n">
        <v>13.814</v>
      </c>
      <c r="AC288" s="5" t="n">
        <v>0</v>
      </c>
      <c r="AD288" s="5" t="n">
        <v>1</v>
      </c>
      <c r="AE288" s="5" t="n">
        <v>15.1</v>
      </c>
      <c r="AF288" s="5" t="n">
        <v>3.292</v>
      </c>
      <c r="AG288" s="5" t="n">
        <v>0</v>
      </c>
      <c r="AH288" s="5" t="n">
        <v>15.1</v>
      </c>
      <c r="AI288" s="5" t="n">
        <v>0</v>
      </c>
      <c r="AJ288" s="5" t="n">
        <v>1</v>
      </c>
      <c r="AK288" s="5" t="n">
        <v>22.814</v>
      </c>
      <c r="AL288" s="5" t="n">
        <v>11.838</v>
      </c>
      <c r="AM288" s="5" t="n">
        <v>0.328</v>
      </c>
      <c r="AN288" s="5" t="n">
        <v>25.78</v>
      </c>
      <c r="AO288" s="5" t="n">
        <v>0.13</v>
      </c>
      <c r="AP288" s="5" t="n">
        <v>1</v>
      </c>
      <c r="AQ288" s="5" t="n">
        <v>0.749</v>
      </c>
      <c r="AR288" s="5" t="n">
        <v>0.129</v>
      </c>
      <c r="AS288" s="5" t="n">
        <v>0.011</v>
      </c>
      <c r="AT288" s="5" t="n">
        <v>0.846</v>
      </c>
      <c r="AU288" s="5" t="n">
        <v>0.13</v>
      </c>
      <c r="AV288" s="5" t="n">
        <v>1</v>
      </c>
      <c r="AW288" s="5" t="n">
        <v>0.783</v>
      </c>
      <c r="AX288" s="5" t="n">
        <v>0.129</v>
      </c>
      <c r="AY288" s="5" t="n">
        <v>0.011</v>
      </c>
      <c r="AZ288" s="5" t="n">
        <v>0.884</v>
      </c>
      <c r="BA288" s="5" t="n">
        <v>0.13</v>
      </c>
      <c r="BB288" s="5" t="n">
        <v>1</v>
      </c>
      <c r="BC288" s="5" t="n">
        <v>0.527</v>
      </c>
      <c r="BD288" s="5" t="n">
        <v>0.129</v>
      </c>
      <c r="BE288" s="5" t="n">
        <v>0.008</v>
      </c>
      <c r="BF288" s="5" t="n">
        <v>0.596</v>
      </c>
      <c r="BG288" s="5" t="n">
        <v>0.13</v>
      </c>
      <c r="BH288" s="5" t="n">
        <v>1</v>
      </c>
      <c r="BI288" s="5" t="n">
        <v>0.64</v>
      </c>
      <c r="BJ288" s="5" t="n">
        <v>0.129</v>
      </c>
      <c r="BK288" s="5" t="n">
        <v>0.008999999999999999</v>
      </c>
      <c r="BL288" s="5" t="n">
        <v>0.723</v>
      </c>
      <c r="BM288" s="5" t="n">
        <v>0.13</v>
      </c>
      <c r="BN288" s="5" t="n">
        <v>1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1</v>
      </c>
      <c r="BT288" s="5" t="n">
        <v>0</v>
      </c>
      <c r="BU288" s="5" t="n">
        <v>0</v>
      </c>
      <c r="BV288" s="5" t="n">
        <v>0</v>
      </c>
      <c r="BW288" s="5" t="n">
        <v>0.13</v>
      </c>
      <c r="BX288" s="5" t="n">
        <v>1</v>
      </c>
      <c r="BY288" s="5" t="n">
        <v>13.254</v>
      </c>
      <c r="BZ288" s="5" t="n">
        <v>0</v>
      </c>
      <c r="CA288" s="5" t="n">
        <v>13.254</v>
      </c>
      <c r="CB288" s="5" t="n">
        <v>0</v>
      </c>
      <c r="CC288" s="5" t="n">
        <v>87.07899999999999</v>
      </c>
      <c r="CD288" s="5" t="n">
        <v>7.95</v>
      </c>
      <c r="CE288" s="5" t="n">
        <v>1.253</v>
      </c>
      <c r="CF288" s="5" t="n">
        <v>98.399</v>
      </c>
      <c r="CG288" s="5" t="n">
        <v>0.13</v>
      </c>
      <c r="CH288" s="5" t="n">
        <v>1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0</v>
      </c>
      <c r="CO288" s="5" t="n">
        <v>0</v>
      </c>
      <c r="CP288" s="5" t="n">
        <v>0</v>
      </c>
      <c r="CQ288" s="5" t="n">
        <v>1.348</v>
      </c>
      <c r="CR288" s="5" t="n">
        <v>0</v>
      </c>
      <c r="CS288" s="5" t="n">
        <v>5.37</v>
      </c>
      <c r="CT288" s="5" t="n">
        <v>4.484</v>
      </c>
      <c r="CU288" s="5" t="n">
        <v>12.529</v>
      </c>
    </row>
    <row r="289">
      <c r="A289" s="5" t="inlineStr">
        <is>
          <t>PYF2024</t>
        </is>
      </c>
      <c r="B289" s="5" t="inlineStr">
        <is>
          <t>PYF</t>
        </is>
      </c>
      <c r="C289" s="5" t="inlineStr">
        <is>
          <t>PYF</t>
        </is>
      </c>
      <c r="D289" s="5" t="inlineStr">
        <is>
          <t>French Polynesia</t>
        </is>
      </c>
      <c r="E289" s="5" t="n">
        <v>2024</v>
      </c>
      <c r="F289" s="5" t="n">
        <v>0.13</v>
      </c>
      <c r="G289" s="5" t="n">
        <v>4.833</v>
      </c>
      <c r="H289" s="5" t="n">
        <v>1.324</v>
      </c>
      <c r="I289" s="5" t="n">
        <v>0</v>
      </c>
      <c r="J289" s="5" t="n">
        <v>4.833</v>
      </c>
      <c r="K289" s="5" t="n">
        <v>0</v>
      </c>
      <c r="L289" s="5" t="n">
        <v>1</v>
      </c>
      <c r="M289" s="5" t="n">
        <v>7.124</v>
      </c>
      <c r="N289" s="5" t="n">
        <v>3.971</v>
      </c>
      <c r="O289" s="5" t="n">
        <v>0</v>
      </c>
      <c r="P289" s="5" t="n">
        <v>7.124</v>
      </c>
      <c r="Q289" s="5" t="n">
        <v>0</v>
      </c>
      <c r="R289" s="5" t="n">
        <v>1</v>
      </c>
      <c r="S289" s="5" t="n">
        <v>11.451</v>
      </c>
      <c r="T289" s="5" t="n">
        <v>7.942</v>
      </c>
      <c r="U289" s="5" t="n">
        <v>0.203</v>
      </c>
      <c r="V289" s="5" t="n">
        <v>12.939</v>
      </c>
      <c r="W289" s="5" t="n">
        <v>0.13</v>
      </c>
      <c r="X289" s="5" t="n">
        <v>1</v>
      </c>
      <c r="Y289" s="5" t="n">
        <v>12.219</v>
      </c>
      <c r="Z289" s="5" t="n">
        <v>1.508</v>
      </c>
      <c r="AA289" s="5" t="n">
        <v>0</v>
      </c>
      <c r="AB289" s="5" t="n">
        <v>12.219</v>
      </c>
      <c r="AC289" s="5" t="n">
        <v>0</v>
      </c>
      <c r="AD289" s="5" t="n">
        <v>1</v>
      </c>
      <c r="AE289" s="5" t="n">
        <v>13.543</v>
      </c>
      <c r="AF289" s="5" t="n">
        <v>2.952</v>
      </c>
      <c r="AG289" s="5" t="n">
        <v>0</v>
      </c>
      <c r="AH289" s="5" t="n">
        <v>13.543</v>
      </c>
      <c r="AI289" s="5" t="n">
        <v>0</v>
      </c>
      <c r="AJ289" s="5" t="n">
        <v>1</v>
      </c>
      <c r="AK289" s="5" t="n">
        <v>21.484</v>
      </c>
      <c r="AL289" s="5" t="n">
        <v>11.148</v>
      </c>
      <c r="AM289" s="5" t="n">
        <v>0.38</v>
      </c>
      <c r="AN289" s="5" t="n">
        <v>24.277</v>
      </c>
      <c r="AO289" s="5" t="n">
        <v>0.13</v>
      </c>
      <c r="AP289" s="5" t="n">
        <v>1</v>
      </c>
      <c r="AQ289" s="5" t="n">
        <v>0.72</v>
      </c>
      <c r="AR289" s="5" t="n">
        <v>0.132</v>
      </c>
      <c r="AS289" s="5" t="n">
        <v>0.013</v>
      </c>
      <c r="AT289" s="5" t="n">
        <v>0.8139999999999999</v>
      </c>
      <c r="AU289" s="5" t="n">
        <v>0.13</v>
      </c>
      <c r="AV289" s="5" t="n">
        <v>1</v>
      </c>
      <c r="AW289" s="5" t="n">
        <v>0.734</v>
      </c>
      <c r="AX289" s="5" t="n">
        <v>0.132</v>
      </c>
      <c r="AY289" s="5" t="n">
        <v>0.013</v>
      </c>
      <c r="AZ289" s="5" t="n">
        <v>0.829</v>
      </c>
      <c r="BA289" s="5" t="n">
        <v>0.13</v>
      </c>
      <c r="BB289" s="5" t="n">
        <v>1</v>
      </c>
      <c r="BC289" s="5" t="n">
        <v>0.51</v>
      </c>
      <c r="BD289" s="5" t="n">
        <v>0.132</v>
      </c>
      <c r="BE289" s="5" t="n">
        <v>0.008999999999999999</v>
      </c>
      <c r="BF289" s="5" t="n">
        <v>0.577</v>
      </c>
      <c r="BG289" s="5" t="n">
        <v>0.13</v>
      </c>
      <c r="BH289" s="5" t="n">
        <v>1</v>
      </c>
      <c r="BI289" s="5" t="n">
        <v>0.652</v>
      </c>
      <c r="BJ289" s="5" t="n">
        <v>0.132</v>
      </c>
      <c r="BK289" s="5" t="n">
        <v>0.012</v>
      </c>
      <c r="BL289" s="5" t="n">
        <v>0.737</v>
      </c>
      <c r="BM289" s="5" t="n">
        <v>0.13</v>
      </c>
      <c r="BN289" s="5" t="n">
        <v>1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1</v>
      </c>
      <c r="BT289" s="5" t="n">
        <v>0</v>
      </c>
      <c r="BU289" s="5" t="n">
        <v>0</v>
      </c>
      <c r="BV289" s="5" t="n">
        <v>0</v>
      </c>
      <c r="BW289" s="5" t="n">
        <v>0.13</v>
      </c>
      <c r="BX289" s="5" t="n">
        <v>1</v>
      </c>
      <c r="BY289" s="5" t="n">
        <v>13.646</v>
      </c>
      <c r="BZ289" s="5" t="n">
        <v>0</v>
      </c>
      <c r="CA289" s="5" t="n">
        <v>13.646</v>
      </c>
      <c r="CB289" s="5" t="n">
        <v>0</v>
      </c>
      <c r="CC289" s="5" t="n">
        <v>86.38500000000001</v>
      </c>
      <c r="CD289" s="5" t="n">
        <v>7.95</v>
      </c>
      <c r="CE289" s="5" t="n">
        <v>1.53</v>
      </c>
      <c r="CF289" s="5" t="n">
        <v>97.616</v>
      </c>
      <c r="CG289" s="5" t="n">
        <v>0.13</v>
      </c>
      <c r="CH289" s="5" t="n">
        <v>1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0</v>
      </c>
      <c r="CQ289" s="5" t="n">
        <v>1.387</v>
      </c>
      <c r="CR289" s="5" t="n">
        <v>0</v>
      </c>
      <c r="CS289" s="5" t="n">
        <v>5.529</v>
      </c>
      <c r="CT289" s="5" t="n">
        <v>3.509</v>
      </c>
      <c r="CU289" s="5" t="n">
        <v>10.896</v>
      </c>
    </row>
    <row r="290">
      <c r="A290" s="5" t="inlineStr">
        <is>
          <t>GAB2021</t>
        </is>
      </c>
      <c r="B290" s="5" t="inlineStr">
        <is>
          <t>GAB</t>
        </is>
      </c>
      <c r="C290" s="5" t="inlineStr">
        <is>
          <t>GAB</t>
        </is>
      </c>
      <c r="D290" s="5" t="inlineStr">
        <is>
          <t>Gabon</t>
        </is>
      </c>
      <c r="E290" s="5" t="n">
        <v>2021</v>
      </c>
      <c r="F290" s="5" t="n">
        <v>0.18</v>
      </c>
      <c r="G290" s="5" t="n">
        <v>5.897</v>
      </c>
      <c r="H290" s="5" t="n">
        <v>1.143</v>
      </c>
      <c r="I290" s="5" t="n">
        <v>0.475</v>
      </c>
      <c r="J290" s="5" t="n">
        <v>6.372</v>
      </c>
      <c r="K290" s="5" t="n">
        <v>0</v>
      </c>
      <c r="L290" s="5" t="n">
        <v>1</v>
      </c>
      <c r="M290" s="5" t="n">
        <v>7.964</v>
      </c>
      <c r="N290" s="5" t="n">
        <v>3.43</v>
      </c>
      <c r="O290" s="5" t="n">
        <v>0.453</v>
      </c>
      <c r="P290" s="5" t="n">
        <v>8.417999999999999</v>
      </c>
      <c r="Q290" s="5" t="n">
        <v>0</v>
      </c>
      <c r="R290" s="5" t="n">
        <v>1</v>
      </c>
      <c r="S290" s="5" t="n">
        <v>11.613</v>
      </c>
      <c r="T290" s="5" t="n">
        <v>6.86</v>
      </c>
      <c r="U290" s="5" t="n">
        <v>0.475</v>
      </c>
      <c r="V290" s="5" t="n">
        <v>14.265</v>
      </c>
      <c r="W290" s="5" t="n">
        <v>0.18</v>
      </c>
      <c r="X290" s="5" t="n">
        <v>1</v>
      </c>
      <c r="Y290" s="5" t="n">
        <v>5.347</v>
      </c>
      <c r="Z290" s="5" t="n">
        <v>0.393</v>
      </c>
      <c r="AA290" s="5" t="n">
        <v>-0.127</v>
      </c>
      <c r="AB290" s="5" t="n">
        <v>5.22</v>
      </c>
      <c r="AC290" s="5" t="n">
        <v>0</v>
      </c>
      <c r="AD290" s="5" t="n">
        <v>1</v>
      </c>
      <c r="AE290" s="5" t="n">
        <v>5.919</v>
      </c>
      <c r="AF290" s="5" t="n">
        <v>0.8</v>
      </c>
      <c r="AG290" s="5" t="n">
        <v>-0.127</v>
      </c>
      <c r="AH290" s="5" t="n">
        <v>5.792</v>
      </c>
      <c r="AI290" s="5" t="n">
        <v>0</v>
      </c>
      <c r="AJ290" s="5" t="n">
        <v>1</v>
      </c>
      <c r="AK290" s="5" t="n">
        <v>9.349</v>
      </c>
      <c r="AL290" s="5" t="n">
        <v>3.473</v>
      </c>
      <c r="AM290" s="5" t="n">
        <v>-0.108</v>
      </c>
      <c r="AN290" s="5" t="n">
        <v>10.905</v>
      </c>
      <c r="AO290" s="5" t="n">
        <v>0.18</v>
      </c>
      <c r="AP290" s="5" t="n">
        <v>1</v>
      </c>
      <c r="AQ290" s="5" t="n">
        <v>0.619</v>
      </c>
      <c r="AR290" s="5" t="n">
        <v>0.114</v>
      </c>
      <c r="AS290" s="5" t="n">
        <v>0.306</v>
      </c>
      <c r="AT290" s="5" t="n">
        <v>1.091</v>
      </c>
      <c r="AU290" s="5" t="n">
        <v>0.18</v>
      </c>
      <c r="AV290" s="5" t="n">
        <v>1</v>
      </c>
      <c r="AW290" s="5" t="n">
        <v>0.599</v>
      </c>
      <c r="AX290" s="5" t="n">
        <v>0.114</v>
      </c>
      <c r="AY290" s="5" t="n">
        <v>0.295</v>
      </c>
      <c r="AZ290" s="5" t="n">
        <v>1.055</v>
      </c>
      <c r="BA290" s="5" t="n">
        <v>0.18</v>
      </c>
      <c r="BB290" s="5" t="n">
        <v>1</v>
      </c>
      <c r="BC290" s="5" t="n">
        <v>0.439</v>
      </c>
      <c r="BD290" s="5" t="n">
        <v>0.114</v>
      </c>
      <c r="BE290" s="5" t="n">
        <v>-0.068</v>
      </c>
      <c r="BF290" s="5" t="n">
        <v>0.438</v>
      </c>
      <c r="BG290" s="5" t="n">
        <v>0</v>
      </c>
      <c r="BH290" s="5" t="n">
        <v>0</v>
      </c>
      <c r="BI290" s="5" t="n">
        <v>0.505</v>
      </c>
      <c r="BJ290" s="5" t="n">
        <v>0.114</v>
      </c>
      <c r="BK290" s="5" t="n">
        <v>0.183</v>
      </c>
      <c r="BL290" s="5" t="n">
        <v>0.8110000000000001</v>
      </c>
      <c r="BM290" s="5" t="n">
        <v>0.18</v>
      </c>
      <c r="BN290" s="5" t="n">
        <v>1</v>
      </c>
      <c r="BO290" s="5" t="n">
        <v>0</v>
      </c>
      <c r="BP290" s="5" t="n">
        <v>-0.016</v>
      </c>
      <c r="BQ290" s="5" t="n">
        <v>0.197</v>
      </c>
      <c r="BR290" s="5" t="n">
        <v>0</v>
      </c>
      <c r="BS290" s="5" t="n">
        <v>0.5</v>
      </c>
      <c r="BT290" s="5" t="n">
        <v>0</v>
      </c>
      <c r="BU290" s="5" t="n">
        <v>-0.016</v>
      </c>
      <c r="BV290" s="5" t="n">
        <v>0.222</v>
      </c>
      <c r="BW290" s="5" t="n">
        <v>0.18</v>
      </c>
      <c r="BX290" s="5" t="n">
        <v>0.333</v>
      </c>
      <c r="BY290" s="5" t="n">
        <v>11.787</v>
      </c>
      <c r="BZ290" s="5" t="n">
        <v>0</v>
      </c>
      <c r="CA290" s="5" t="n">
        <v>11.787</v>
      </c>
      <c r="CB290" s="5" t="n">
        <v>0</v>
      </c>
      <c r="CC290" s="5" t="n">
        <v>78.125</v>
      </c>
      <c r="CD290" s="5" t="n">
        <v>7.95</v>
      </c>
      <c r="CE290" s="5" t="n">
        <v>31.221</v>
      </c>
      <c r="CF290" s="5" t="n">
        <v>129.028</v>
      </c>
      <c r="CG290" s="5" t="n">
        <v>0.18</v>
      </c>
      <c r="CH290" s="5" t="n">
        <v>1</v>
      </c>
      <c r="CI290" s="5" t="n">
        <v>0</v>
      </c>
      <c r="CJ290" s="5" t="n">
        <v>0</v>
      </c>
      <c r="CK290" s="5" t="n">
        <v>0</v>
      </c>
      <c r="CL290" s="5" t="n">
        <v>0</v>
      </c>
      <c r="CM290" s="5" t="n">
        <v>0</v>
      </c>
      <c r="CN290" s="5" t="n">
        <v>0</v>
      </c>
      <c r="CO290" s="5" t="n">
        <v>0</v>
      </c>
      <c r="CP290" s="5" t="n">
        <v>0</v>
      </c>
      <c r="CQ290" s="5" t="n">
        <v>1.198</v>
      </c>
      <c r="CR290" s="5" t="n">
        <v>1</v>
      </c>
      <c r="CS290" s="5" t="n">
        <v>4.776</v>
      </c>
      <c r="CT290" s="5" t="n">
        <v>4.753</v>
      </c>
      <c r="CU290" s="5" t="n">
        <v>15.162</v>
      </c>
    </row>
    <row r="291">
      <c r="A291" s="5" t="inlineStr">
        <is>
          <t>GAB2022</t>
        </is>
      </c>
      <c r="B291" s="5" t="inlineStr">
        <is>
          <t>GAB</t>
        </is>
      </c>
      <c r="C291" s="5" t="inlineStr">
        <is>
          <t>GAB</t>
        </is>
      </c>
      <c r="D291" s="5" t="inlineStr">
        <is>
          <t>Gabon</t>
        </is>
      </c>
      <c r="E291" s="5" t="n">
        <v>2022</v>
      </c>
      <c r="F291" s="5" t="n">
        <v>0.18</v>
      </c>
      <c r="G291" s="5" t="n">
        <v>11.72</v>
      </c>
      <c r="H291" s="5" t="n">
        <v>1.235</v>
      </c>
      <c r="I291" s="5" t="n">
        <v>1.132</v>
      </c>
      <c r="J291" s="5" t="n">
        <v>12.852</v>
      </c>
      <c r="K291" s="5" t="n">
        <v>0</v>
      </c>
      <c r="L291" s="5" t="n">
        <v>1</v>
      </c>
      <c r="M291" s="5" t="n">
        <v>9.782999999999999</v>
      </c>
      <c r="N291" s="5" t="n">
        <v>3.704</v>
      </c>
      <c r="O291" s="5" t="n">
        <v>0.656</v>
      </c>
      <c r="P291" s="5" t="n">
        <v>10.439</v>
      </c>
      <c r="Q291" s="5" t="n">
        <v>0</v>
      </c>
      <c r="R291" s="5" t="n">
        <v>1</v>
      </c>
      <c r="S291" s="5" t="n">
        <v>17.893</v>
      </c>
      <c r="T291" s="5" t="n">
        <v>7.408</v>
      </c>
      <c r="U291" s="5" t="n">
        <v>1.386</v>
      </c>
      <c r="V291" s="5" t="n">
        <v>22.45</v>
      </c>
      <c r="W291" s="5" t="n">
        <v>0.18</v>
      </c>
      <c r="X291" s="5" t="n">
        <v>1</v>
      </c>
      <c r="Y291" s="5" t="n">
        <v>5.775</v>
      </c>
      <c r="Z291" s="5" t="n">
        <v>0.425</v>
      </c>
      <c r="AA291" s="5" t="n">
        <v>-0.137</v>
      </c>
      <c r="AB291" s="5" t="n">
        <v>5.637</v>
      </c>
      <c r="AC291" s="5" t="n">
        <v>0</v>
      </c>
      <c r="AD291" s="5" t="n">
        <v>1</v>
      </c>
      <c r="AE291" s="5" t="n">
        <v>6.392</v>
      </c>
      <c r="AF291" s="5" t="n">
        <v>0.864</v>
      </c>
      <c r="AG291" s="5" t="n">
        <v>-0.137</v>
      </c>
      <c r="AH291" s="5" t="n">
        <v>6.255</v>
      </c>
      <c r="AI291" s="5" t="n">
        <v>0</v>
      </c>
      <c r="AJ291" s="5" t="n">
        <v>1</v>
      </c>
      <c r="AK291" s="5" t="n">
        <v>10.096</v>
      </c>
      <c r="AL291" s="5" t="n">
        <v>3.751</v>
      </c>
      <c r="AM291" s="5" t="n">
        <v>0.016</v>
      </c>
      <c r="AN291" s="5" t="n">
        <v>11.776</v>
      </c>
      <c r="AO291" s="5" t="n">
        <v>0.18</v>
      </c>
      <c r="AP291" s="5" t="n">
        <v>1</v>
      </c>
      <c r="AQ291" s="5" t="n">
        <v>0.861</v>
      </c>
      <c r="AR291" s="5" t="n">
        <v>0.123</v>
      </c>
      <c r="AS291" s="5" t="n">
        <v>-0.039</v>
      </c>
      <c r="AT291" s="5" t="n">
        <v>0.97</v>
      </c>
      <c r="AU291" s="5" t="n">
        <v>0.18</v>
      </c>
      <c r="AV291" s="5" t="n">
        <v>1</v>
      </c>
      <c r="AW291" s="5" t="n">
        <v>0.986</v>
      </c>
      <c r="AX291" s="5" t="n">
        <v>0.123</v>
      </c>
      <c r="AY291" s="5" t="n">
        <v>-0.191</v>
      </c>
      <c r="AZ291" s="5" t="n">
        <v>0.9379999999999999</v>
      </c>
      <c r="BA291" s="5" t="n">
        <v>0.18</v>
      </c>
      <c r="BB291" s="5" t="n">
        <v>1</v>
      </c>
      <c r="BC291" s="5" t="n">
        <v>0.598</v>
      </c>
      <c r="BD291" s="5" t="n">
        <v>0.123</v>
      </c>
      <c r="BE291" s="5" t="n">
        <v>-0.268</v>
      </c>
      <c r="BF291" s="5" t="n">
        <v>0.389</v>
      </c>
      <c r="BG291" s="5" t="n">
        <v>0</v>
      </c>
      <c r="BH291" s="5" t="n">
        <v>0</v>
      </c>
      <c r="BI291" s="5" t="n">
        <v>0.612</v>
      </c>
      <c r="BJ291" s="5" t="n">
        <v>0.123</v>
      </c>
      <c r="BK291" s="5" t="n">
        <v>-0.001</v>
      </c>
      <c r="BL291" s="5" t="n">
        <v>0.721</v>
      </c>
      <c r="BM291" s="5" t="n">
        <v>0.18</v>
      </c>
      <c r="BN291" s="5" t="n">
        <v>1</v>
      </c>
      <c r="BO291" s="5" t="n">
        <v>0</v>
      </c>
      <c r="BP291" s="5" t="n">
        <v>-0.016</v>
      </c>
      <c r="BQ291" s="5" t="n">
        <v>0.172</v>
      </c>
      <c r="BR291" s="5" t="n">
        <v>0</v>
      </c>
      <c r="BS291" s="5" t="n">
        <v>0.5</v>
      </c>
      <c r="BT291" s="5" t="n">
        <v>0</v>
      </c>
      <c r="BU291" s="5" t="n">
        <v>-0.016</v>
      </c>
      <c r="BV291" s="5" t="n">
        <v>0.197</v>
      </c>
      <c r="BW291" s="5" t="n">
        <v>0.18</v>
      </c>
      <c r="BX291" s="5" t="n">
        <v>0.333</v>
      </c>
      <c r="BY291" s="5" t="n">
        <v>12.729</v>
      </c>
      <c r="BZ291" s="5" t="n">
        <v>0</v>
      </c>
      <c r="CA291" s="5" t="n">
        <v>12.729</v>
      </c>
      <c r="CB291" s="5" t="n">
        <v>0</v>
      </c>
      <c r="CC291" s="5" t="n">
        <v>97.90000000000001</v>
      </c>
      <c r="CD291" s="5" t="n">
        <v>7.95</v>
      </c>
      <c r="CE291" s="5" t="n">
        <v>-0.6899999999999999</v>
      </c>
      <c r="CF291" s="5" t="n">
        <v>114.708</v>
      </c>
      <c r="CG291" s="5" t="n">
        <v>0.18</v>
      </c>
      <c r="CH291" s="5" t="n">
        <v>1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0</v>
      </c>
      <c r="CN291" s="5" t="n">
        <v>0</v>
      </c>
      <c r="CO291" s="5" t="n">
        <v>0</v>
      </c>
      <c r="CP291" s="5" t="n">
        <v>0</v>
      </c>
      <c r="CQ291" s="5" t="n">
        <v>1.294</v>
      </c>
      <c r="CR291" s="5" t="n">
        <v>1</v>
      </c>
      <c r="CS291" s="5" t="n">
        <v>5.158</v>
      </c>
      <c r="CT291" s="5" t="n">
        <v>10.485</v>
      </c>
      <c r="CU291" s="5" t="n">
        <v>31.326</v>
      </c>
    </row>
    <row r="292">
      <c r="A292" s="5" t="inlineStr">
        <is>
          <t>GAB2023</t>
        </is>
      </c>
      <c r="B292" s="5" t="inlineStr">
        <is>
          <t>GAB</t>
        </is>
      </c>
      <c r="C292" s="5" t="inlineStr">
        <is>
          <t>GAB</t>
        </is>
      </c>
      <c r="D292" s="5" t="inlineStr">
        <is>
          <t>Gabon</t>
        </is>
      </c>
      <c r="E292" s="5" t="n">
        <v>2023</v>
      </c>
      <c r="F292" s="5" t="n">
        <v>0.18</v>
      </c>
      <c r="G292" s="5" t="n">
        <v>6.147</v>
      </c>
      <c r="H292" s="5" t="n">
        <v>1.286</v>
      </c>
      <c r="I292" s="5" t="n">
        <v>0.547</v>
      </c>
      <c r="J292" s="5" t="n">
        <v>6.693</v>
      </c>
      <c r="K292" s="5" t="n">
        <v>0</v>
      </c>
      <c r="L292" s="5" t="n">
        <v>1</v>
      </c>
      <c r="M292" s="5" t="n">
        <v>7.886</v>
      </c>
      <c r="N292" s="5" t="n">
        <v>3.857</v>
      </c>
      <c r="O292" s="5" t="n">
        <v>0.453</v>
      </c>
      <c r="P292" s="5" t="n">
        <v>8.339</v>
      </c>
      <c r="Q292" s="5" t="n">
        <v>0</v>
      </c>
      <c r="R292" s="5" t="n">
        <v>1</v>
      </c>
      <c r="S292" s="5" t="n">
        <v>12.575</v>
      </c>
      <c r="T292" s="5" t="n">
        <v>7.714</v>
      </c>
      <c r="U292" s="5" t="n">
        <v>0.8080000000000001</v>
      </c>
      <c r="V292" s="5" t="n">
        <v>15.484</v>
      </c>
      <c r="W292" s="5" t="n">
        <v>0.18</v>
      </c>
      <c r="X292" s="5" t="n">
        <v>1</v>
      </c>
      <c r="Y292" s="5" t="n">
        <v>6.013</v>
      </c>
      <c r="Z292" s="5" t="n">
        <v>0.442</v>
      </c>
      <c r="AA292" s="5" t="n">
        <v>-0.143</v>
      </c>
      <c r="AB292" s="5" t="n">
        <v>5.87</v>
      </c>
      <c r="AC292" s="5" t="n">
        <v>0</v>
      </c>
      <c r="AD292" s="5" t="n">
        <v>1</v>
      </c>
      <c r="AE292" s="5" t="n">
        <v>6.656</v>
      </c>
      <c r="AF292" s="5" t="n">
        <v>0.9</v>
      </c>
      <c r="AG292" s="5" t="n">
        <v>-0.143</v>
      </c>
      <c r="AH292" s="5" t="n">
        <v>6.513</v>
      </c>
      <c r="AI292" s="5" t="n">
        <v>0</v>
      </c>
      <c r="AJ292" s="5" t="n">
        <v>1</v>
      </c>
      <c r="AK292" s="5" t="n">
        <v>10.513</v>
      </c>
      <c r="AL292" s="5" t="n">
        <v>3.906</v>
      </c>
      <c r="AM292" s="5" t="n">
        <v>0.08599999999999999</v>
      </c>
      <c r="AN292" s="5" t="n">
        <v>12.262</v>
      </c>
      <c r="AO292" s="5" t="n">
        <v>0.18</v>
      </c>
      <c r="AP292" s="5" t="n">
        <v>1</v>
      </c>
      <c r="AQ292" s="5" t="n">
        <v>0.76</v>
      </c>
      <c r="AR292" s="5" t="n">
        <v>0.129</v>
      </c>
      <c r="AS292" s="5" t="n">
        <v>0.09</v>
      </c>
      <c r="AT292" s="5" t="n">
        <v>1.004</v>
      </c>
      <c r="AU292" s="5" t="n">
        <v>0.18</v>
      </c>
      <c r="AV292" s="5" t="n">
        <v>1</v>
      </c>
      <c r="AW292" s="5" t="n">
        <v>0.8110000000000001</v>
      </c>
      <c r="AX292" s="5" t="n">
        <v>0.129</v>
      </c>
      <c r="AY292" s="5" t="n">
        <v>0.005</v>
      </c>
      <c r="AZ292" s="5" t="n">
        <v>0.963</v>
      </c>
      <c r="BA292" s="5" t="n">
        <v>0.18</v>
      </c>
      <c r="BB292" s="5" t="n">
        <v>1</v>
      </c>
      <c r="BC292" s="5" t="n">
        <v>0.535</v>
      </c>
      <c r="BD292" s="5" t="n">
        <v>0.129</v>
      </c>
      <c r="BE292" s="5" t="n">
        <v>-0.196</v>
      </c>
      <c r="BF292" s="5" t="n">
        <v>0.4</v>
      </c>
      <c r="BG292" s="5" t="n">
        <v>0</v>
      </c>
      <c r="BH292" s="5" t="n">
        <v>0</v>
      </c>
      <c r="BI292" s="5" t="n">
        <v>0.579</v>
      </c>
      <c r="BJ292" s="5" t="n">
        <v>0.129</v>
      </c>
      <c r="BK292" s="5" t="n">
        <v>0.049</v>
      </c>
      <c r="BL292" s="5" t="n">
        <v>0.742</v>
      </c>
      <c r="BM292" s="5" t="n">
        <v>0.18</v>
      </c>
      <c r="BN292" s="5" t="n">
        <v>1</v>
      </c>
      <c r="BO292" s="5" t="n">
        <v>0</v>
      </c>
      <c r="BP292" s="5" t="n">
        <v>-0.016</v>
      </c>
      <c r="BQ292" s="5" t="n">
        <v>0.178</v>
      </c>
      <c r="BR292" s="5" t="n">
        <v>0</v>
      </c>
      <c r="BS292" s="5" t="n">
        <v>0.5</v>
      </c>
      <c r="BT292" s="5" t="n">
        <v>0</v>
      </c>
      <c r="BU292" s="5" t="n">
        <v>-0.016</v>
      </c>
      <c r="BV292" s="5" t="n">
        <v>0.203</v>
      </c>
      <c r="BW292" s="5" t="n">
        <v>0.18</v>
      </c>
      <c r="BX292" s="5" t="n">
        <v>0.333</v>
      </c>
      <c r="BY292" s="5" t="n">
        <v>13.254</v>
      </c>
      <c r="BZ292" s="5" t="n">
        <v>0</v>
      </c>
      <c r="CA292" s="5" t="n">
        <v>13.254</v>
      </c>
      <c r="CB292" s="5" t="n">
        <v>0</v>
      </c>
      <c r="CC292" s="5" t="n">
        <v>83.248</v>
      </c>
      <c r="CD292" s="5" t="n">
        <v>7.95</v>
      </c>
      <c r="CE292" s="5" t="n">
        <v>16.717</v>
      </c>
      <c r="CF292" s="5" t="n">
        <v>117.958</v>
      </c>
      <c r="CG292" s="5" t="n">
        <v>0.18</v>
      </c>
      <c r="CH292" s="5" t="n">
        <v>1</v>
      </c>
      <c r="CI292" s="5" t="n">
        <v>0</v>
      </c>
      <c r="CJ292" s="5" t="n">
        <v>0</v>
      </c>
      <c r="CK292" s="5" t="n">
        <v>0</v>
      </c>
      <c r="CL292" s="5" t="n">
        <v>0</v>
      </c>
      <c r="CM292" s="5" t="n">
        <v>0</v>
      </c>
      <c r="CN292" s="5" t="n">
        <v>0</v>
      </c>
      <c r="CO292" s="5" t="n">
        <v>0</v>
      </c>
      <c r="CP292" s="5" t="n">
        <v>0</v>
      </c>
      <c r="CQ292" s="5" t="n">
        <v>1.348</v>
      </c>
      <c r="CR292" s="5" t="n">
        <v>1</v>
      </c>
      <c r="CS292" s="5" t="n">
        <v>5.37</v>
      </c>
      <c r="CT292" s="5" t="n">
        <v>4.861</v>
      </c>
      <c r="CU292" s="5" t="n">
        <v>11.622</v>
      </c>
    </row>
    <row r="293">
      <c r="A293" s="5" t="inlineStr">
        <is>
          <t>GAB2024</t>
        </is>
      </c>
      <c r="B293" s="5" t="inlineStr">
        <is>
          <t>GAB</t>
        </is>
      </c>
      <c r="C293" s="5" t="inlineStr">
        <is>
          <t>GAB</t>
        </is>
      </c>
      <c r="D293" s="5" t="inlineStr">
        <is>
          <t>Gabon</t>
        </is>
      </c>
      <c r="E293" s="5" t="n">
        <v>2024</v>
      </c>
      <c r="F293" s="5" t="n">
        <v>0.18</v>
      </c>
      <c r="G293" s="5" t="n">
        <v>5.575</v>
      </c>
      <c r="H293" s="5" t="n">
        <v>1.324</v>
      </c>
      <c r="I293" s="5" t="n">
        <v>0.425</v>
      </c>
      <c r="J293" s="5" t="n">
        <v>6</v>
      </c>
      <c r="K293" s="5" t="n">
        <v>0</v>
      </c>
      <c r="L293" s="5" t="n">
        <v>1</v>
      </c>
      <c r="M293" s="5" t="n">
        <v>7.124</v>
      </c>
      <c r="N293" s="5" t="n">
        <v>3.971</v>
      </c>
      <c r="O293" s="5" t="n">
        <v>0.315</v>
      </c>
      <c r="P293" s="5" t="n">
        <v>7.439</v>
      </c>
      <c r="Q293" s="5" t="n">
        <v>0</v>
      </c>
      <c r="R293" s="5" t="n">
        <v>1</v>
      </c>
      <c r="S293" s="5" t="n">
        <v>12.193</v>
      </c>
      <c r="T293" s="5" t="n">
        <v>7.942</v>
      </c>
      <c r="U293" s="5" t="n">
        <v>0.734</v>
      </c>
      <c r="V293" s="5" t="n">
        <v>14.889</v>
      </c>
      <c r="W293" s="5" t="n">
        <v>0.18</v>
      </c>
      <c r="X293" s="5" t="n">
        <v>1</v>
      </c>
      <c r="Y293" s="5" t="n">
        <v>6.191</v>
      </c>
      <c r="Z293" s="5" t="n">
        <v>0.455</v>
      </c>
      <c r="AA293" s="5" t="n">
        <v>-0.131</v>
      </c>
      <c r="AB293" s="5" t="n">
        <v>6.06</v>
      </c>
      <c r="AC293" s="5" t="n">
        <v>0</v>
      </c>
      <c r="AD293" s="5" t="n">
        <v>1</v>
      </c>
      <c r="AE293" s="5" t="n">
        <v>6.853</v>
      </c>
      <c r="AF293" s="5" t="n">
        <v>0.926</v>
      </c>
      <c r="AG293" s="5" t="n">
        <v>-0.131</v>
      </c>
      <c r="AH293" s="5" t="n">
        <v>6.721</v>
      </c>
      <c r="AI293" s="5" t="n">
        <v>0</v>
      </c>
      <c r="AJ293" s="5" t="n">
        <v>1</v>
      </c>
      <c r="AK293" s="5" t="n">
        <v>10.823</v>
      </c>
      <c r="AL293" s="5" t="n">
        <v>4.021</v>
      </c>
      <c r="AM293" s="5" t="n">
        <v>0.131</v>
      </c>
      <c r="AN293" s="5" t="n">
        <v>12.617</v>
      </c>
      <c r="AO293" s="5" t="n">
        <v>0.18</v>
      </c>
      <c r="AP293" s="5" t="n">
        <v>1</v>
      </c>
      <c r="AQ293" s="5" t="n">
        <v>0.724</v>
      </c>
      <c r="AR293" s="5" t="n">
        <v>0.132</v>
      </c>
      <c r="AS293" s="5" t="n">
        <v>0.12</v>
      </c>
      <c r="AT293" s="5" t="n">
        <v>0.997</v>
      </c>
      <c r="AU293" s="5" t="n">
        <v>0.18</v>
      </c>
      <c r="AV293" s="5" t="n">
        <v>1</v>
      </c>
      <c r="AW293" s="5" t="n">
        <v>0.75</v>
      </c>
      <c r="AX293" s="5" t="n">
        <v>0.132</v>
      </c>
      <c r="AY293" s="5" t="n">
        <v>0.054</v>
      </c>
      <c r="AZ293" s="5" t="n">
        <v>0.949</v>
      </c>
      <c r="BA293" s="5" t="n">
        <v>0.18</v>
      </c>
      <c r="BB293" s="5" t="n">
        <v>1</v>
      </c>
      <c r="BC293" s="5" t="n">
        <v>0.513</v>
      </c>
      <c r="BD293" s="5" t="n">
        <v>0.132</v>
      </c>
      <c r="BE293" s="5" t="n">
        <v>-0.231</v>
      </c>
      <c r="BF293" s="5" t="n">
        <v>0.333</v>
      </c>
      <c r="BG293" s="5" t="n">
        <v>0</v>
      </c>
      <c r="BH293" s="5" t="n">
        <v>0</v>
      </c>
      <c r="BI293" s="5" t="n">
        <v>0.591</v>
      </c>
      <c r="BJ293" s="5" t="n">
        <v>0.132</v>
      </c>
      <c r="BK293" s="5" t="n">
        <v>0.034</v>
      </c>
      <c r="BL293" s="5" t="n">
        <v>0.738</v>
      </c>
      <c r="BM293" s="5" t="n">
        <v>0.18</v>
      </c>
      <c r="BN293" s="5" t="n">
        <v>1</v>
      </c>
      <c r="BO293" s="5" t="n">
        <v>0</v>
      </c>
      <c r="BP293" s="5" t="n">
        <v>-0.017</v>
      </c>
      <c r="BQ293" s="5" t="n">
        <v>0.178</v>
      </c>
      <c r="BR293" s="5" t="n">
        <v>0</v>
      </c>
      <c r="BS293" s="5" t="n">
        <v>0.5</v>
      </c>
      <c r="BT293" s="5" t="n">
        <v>0</v>
      </c>
      <c r="BU293" s="5" t="n">
        <v>-0.017</v>
      </c>
      <c r="BV293" s="5" t="n">
        <v>0.203</v>
      </c>
      <c r="BW293" s="5" t="n">
        <v>0.18</v>
      </c>
      <c r="BX293" s="5" t="n">
        <v>0.333</v>
      </c>
      <c r="BY293" s="5" t="n">
        <v>13.646</v>
      </c>
      <c r="BZ293" s="5" t="n">
        <v>0</v>
      </c>
      <c r="CA293" s="5" t="n">
        <v>13.646</v>
      </c>
      <c r="CB293" s="5" t="n">
        <v>0</v>
      </c>
      <c r="CC293" s="5" t="n">
        <v>82.58799999999999</v>
      </c>
      <c r="CD293" s="5" t="n">
        <v>7.95</v>
      </c>
      <c r="CE293" s="5" t="n">
        <v>22.851</v>
      </c>
      <c r="CF293" s="5" t="n">
        <v>121.44</v>
      </c>
      <c r="CG293" s="5" t="n">
        <v>0.18</v>
      </c>
      <c r="CH293" s="5" t="n">
        <v>1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0</v>
      </c>
      <c r="CN293" s="5" t="n">
        <v>0</v>
      </c>
      <c r="CO293" s="5" t="n">
        <v>0</v>
      </c>
      <c r="CP293" s="5" t="n">
        <v>0</v>
      </c>
      <c r="CQ293" s="5" t="n">
        <v>1.387</v>
      </c>
      <c r="CR293" s="5" t="n">
        <v>1</v>
      </c>
      <c r="CS293" s="5" t="n">
        <v>5.529</v>
      </c>
      <c r="CT293" s="5" t="n">
        <v>4.251</v>
      </c>
      <c r="CU293" s="5" t="n">
        <v>10.168</v>
      </c>
    </row>
    <row r="294">
      <c r="A294" s="5" t="inlineStr">
        <is>
          <t>GMB2021</t>
        </is>
      </c>
      <c r="B294" s="5" t="inlineStr">
        <is>
          <t>GMB</t>
        </is>
      </c>
      <c r="C294" s="5" t="inlineStr">
        <is>
          <t>GMB</t>
        </is>
      </c>
      <c r="D294" s="5" t="inlineStr">
        <is>
          <t>Gambia, The</t>
        </is>
      </c>
      <c r="E294" s="5" t="n">
        <v>2021</v>
      </c>
      <c r="F294" s="5" t="n">
        <v>0.15</v>
      </c>
      <c r="G294" s="5" t="n">
        <v>5.897</v>
      </c>
      <c r="H294" s="5" t="n">
        <v>1.143</v>
      </c>
      <c r="I294" s="5" t="n">
        <v>0</v>
      </c>
      <c r="J294" s="5" t="n">
        <v>5.897</v>
      </c>
      <c r="K294" s="5" t="n">
        <v>0</v>
      </c>
      <c r="L294" s="5" t="n">
        <v>1</v>
      </c>
      <c r="M294" s="5" t="n">
        <v>7.964</v>
      </c>
      <c r="N294" s="5" t="n">
        <v>3.43</v>
      </c>
      <c r="O294" s="5" t="n">
        <v>0</v>
      </c>
      <c r="P294" s="5" t="n">
        <v>7.964</v>
      </c>
      <c r="Q294" s="5" t="n">
        <v>0</v>
      </c>
      <c r="R294" s="5" t="n">
        <v>1</v>
      </c>
      <c r="S294" s="5" t="n">
        <v>11.613</v>
      </c>
      <c r="T294" s="5" t="n">
        <v>6.86</v>
      </c>
      <c r="U294" s="5" t="n">
        <v>0</v>
      </c>
      <c r="V294" s="5" t="n">
        <v>13.355</v>
      </c>
      <c r="W294" s="5" t="n">
        <v>0.15</v>
      </c>
      <c r="X294" s="5" t="n">
        <v>1</v>
      </c>
      <c r="Y294" s="5" t="n">
        <v>16.302</v>
      </c>
      <c r="Z294" s="5" t="n">
        <v>2.203</v>
      </c>
      <c r="AA294" s="5" t="n">
        <v>0</v>
      </c>
      <c r="AB294" s="5" t="n">
        <v>16.302</v>
      </c>
      <c r="AC294" s="5" t="n">
        <v>0</v>
      </c>
      <c r="AD294" s="5" t="n">
        <v>1</v>
      </c>
      <c r="AE294" s="5" t="n">
        <v>17.445</v>
      </c>
      <c r="AF294" s="5" t="n">
        <v>4.079</v>
      </c>
      <c r="AG294" s="5" t="n">
        <v>0</v>
      </c>
      <c r="AH294" s="5" t="n">
        <v>17.445</v>
      </c>
      <c r="AI294" s="5" t="n">
        <v>0</v>
      </c>
      <c r="AJ294" s="5" t="n">
        <v>1</v>
      </c>
      <c r="AK294" s="5" t="n">
        <v>24.305</v>
      </c>
      <c r="AL294" s="5" t="n">
        <v>12.945</v>
      </c>
      <c r="AM294" s="5" t="n">
        <v>0</v>
      </c>
      <c r="AN294" s="5" t="n">
        <v>27.951</v>
      </c>
      <c r="AO294" s="5" t="n">
        <v>0.15</v>
      </c>
      <c r="AP294" s="5" t="n">
        <v>1</v>
      </c>
      <c r="AQ294" s="5" t="n">
        <v>0.619</v>
      </c>
      <c r="AR294" s="5" t="n">
        <v>0.114</v>
      </c>
      <c r="AS294" s="5" t="n">
        <v>0.277</v>
      </c>
      <c r="AT294" s="5" t="n">
        <v>1.03</v>
      </c>
      <c r="AU294" s="5" t="n">
        <v>0.15</v>
      </c>
      <c r="AV294" s="5" t="n">
        <v>1</v>
      </c>
      <c r="AW294" s="5" t="n">
        <v>0.599</v>
      </c>
      <c r="AX294" s="5" t="n">
        <v>0.114</v>
      </c>
      <c r="AY294" s="5" t="n">
        <v>0.261</v>
      </c>
      <c r="AZ294" s="5" t="n">
        <v>0.989</v>
      </c>
      <c r="BA294" s="5" t="n">
        <v>0.15</v>
      </c>
      <c r="BB294" s="5" t="n">
        <v>1</v>
      </c>
      <c r="BC294" s="5" t="n">
        <v>0.439</v>
      </c>
      <c r="BD294" s="5" t="n">
        <v>0.114</v>
      </c>
      <c r="BE294" s="5" t="n">
        <v>0</v>
      </c>
      <c r="BF294" s="5" t="n">
        <v>0.505</v>
      </c>
      <c r="BG294" s="5" t="n">
        <v>0.15</v>
      </c>
      <c r="BH294" s="5" t="n">
        <v>1</v>
      </c>
      <c r="BI294" s="5" t="n">
        <v>0.505</v>
      </c>
      <c r="BJ294" s="5" t="n">
        <v>0.114</v>
      </c>
      <c r="BK294" s="5" t="n">
        <v>0.222</v>
      </c>
      <c r="BL294" s="5" t="n">
        <v>0.836</v>
      </c>
      <c r="BM294" s="5" t="n">
        <v>0.15</v>
      </c>
      <c r="BN294" s="5" t="n">
        <v>1</v>
      </c>
      <c r="BO294" s="5" t="n">
        <v>0</v>
      </c>
      <c r="BP294" s="5" t="n">
        <v>0</v>
      </c>
      <c r="BQ294" s="5" t="n">
        <v>0</v>
      </c>
      <c r="BR294" s="5" t="n">
        <v>0</v>
      </c>
      <c r="BS294" s="5" t="n">
        <v>1</v>
      </c>
      <c r="BT294" s="5" t="n">
        <v>0</v>
      </c>
      <c r="BU294" s="5" t="n">
        <v>0</v>
      </c>
      <c r="BV294" s="5" t="n">
        <v>0</v>
      </c>
      <c r="BW294" s="5" t="n">
        <v>0.15</v>
      </c>
      <c r="BX294" s="5" t="n">
        <v>1</v>
      </c>
      <c r="BY294" s="5" t="n">
        <v>11.787</v>
      </c>
      <c r="BZ294" s="5" t="n">
        <v>0</v>
      </c>
      <c r="CA294" s="5" t="n">
        <v>11.787</v>
      </c>
      <c r="CB294" s="5" t="n">
        <v>0</v>
      </c>
      <c r="CC294" s="5" t="n">
        <v>78.125</v>
      </c>
      <c r="CD294" s="5" t="n">
        <v>7.95</v>
      </c>
      <c r="CE294" s="5" t="n">
        <v>0</v>
      </c>
      <c r="CF294" s="5" t="n">
        <v>89.84399999999999</v>
      </c>
      <c r="CG294" s="5" t="n">
        <v>0.15</v>
      </c>
      <c r="CH294" s="5" t="n">
        <v>1</v>
      </c>
      <c r="CI294" s="5" t="n">
        <v>0</v>
      </c>
      <c r="CJ294" s="5" t="n">
        <v>0</v>
      </c>
      <c r="CK294" s="5" t="n">
        <v>0</v>
      </c>
      <c r="CL294" s="5" t="n">
        <v>0</v>
      </c>
      <c r="CM294" s="5" t="n">
        <v>0</v>
      </c>
      <c r="CN294" s="5" t="n">
        <v>0</v>
      </c>
      <c r="CO294" s="5" t="n">
        <v>0</v>
      </c>
      <c r="CP294" s="5" t="n">
        <v>0</v>
      </c>
      <c r="CQ294" s="5" t="n">
        <v>1.198</v>
      </c>
      <c r="CR294" s="5" t="n">
        <v>0</v>
      </c>
      <c r="CS294" s="5" t="n">
        <v>4.776</v>
      </c>
      <c r="CT294" s="5" t="n">
        <v>4.753</v>
      </c>
      <c r="CU294" s="5" t="n">
        <v>15.162</v>
      </c>
    </row>
    <row r="295">
      <c r="A295" s="5" t="inlineStr">
        <is>
          <t>GMB2022</t>
        </is>
      </c>
      <c r="B295" s="5" t="inlineStr">
        <is>
          <t>GMB</t>
        </is>
      </c>
      <c r="C295" s="5" t="inlineStr">
        <is>
          <t>GMB</t>
        </is>
      </c>
      <c r="D295" s="5" t="inlineStr">
        <is>
          <t>Gambia, The</t>
        </is>
      </c>
      <c r="E295" s="5" t="n">
        <v>2022</v>
      </c>
      <c r="F295" s="5" t="n">
        <v>0.15</v>
      </c>
      <c r="G295" s="5" t="n">
        <v>11.72</v>
      </c>
      <c r="H295" s="5" t="n">
        <v>1.235</v>
      </c>
      <c r="I295" s="5" t="n">
        <v>0</v>
      </c>
      <c r="J295" s="5" t="n">
        <v>11.72</v>
      </c>
      <c r="K295" s="5" t="n">
        <v>0</v>
      </c>
      <c r="L295" s="5" t="n">
        <v>1</v>
      </c>
      <c r="M295" s="5" t="n">
        <v>9.782999999999999</v>
      </c>
      <c r="N295" s="5" t="n">
        <v>3.704</v>
      </c>
      <c r="O295" s="5" t="n">
        <v>0</v>
      </c>
      <c r="P295" s="5" t="n">
        <v>9.782999999999999</v>
      </c>
      <c r="Q295" s="5" t="n">
        <v>0</v>
      </c>
      <c r="R295" s="5" t="n">
        <v>1</v>
      </c>
      <c r="S295" s="5" t="n">
        <v>17.893</v>
      </c>
      <c r="T295" s="5" t="n">
        <v>7.408</v>
      </c>
      <c r="U295" s="5" t="n">
        <v>0.199</v>
      </c>
      <c r="V295" s="5" t="n">
        <v>20.577</v>
      </c>
      <c r="W295" s="5" t="n">
        <v>0.15</v>
      </c>
      <c r="X295" s="5" t="n">
        <v>1</v>
      </c>
      <c r="Y295" s="5" t="n">
        <v>32.551</v>
      </c>
      <c r="Z295" s="5" t="n">
        <v>4.399</v>
      </c>
      <c r="AA295" s="5" t="n">
        <v>0</v>
      </c>
      <c r="AB295" s="5" t="n">
        <v>32.551</v>
      </c>
      <c r="AC295" s="5" t="n">
        <v>0</v>
      </c>
      <c r="AD295" s="5" t="n">
        <v>1</v>
      </c>
      <c r="AE295" s="5" t="n">
        <v>33.786</v>
      </c>
      <c r="AF295" s="5" t="n">
        <v>7.9</v>
      </c>
      <c r="AG295" s="5" t="n">
        <v>0</v>
      </c>
      <c r="AH295" s="5" t="n">
        <v>33.786</v>
      </c>
      <c r="AI295" s="5" t="n">
        <v>0</v>
      </c>
      <c r="AJ295" s="5" t="n">
        <v>1</v>
      </c>
      <c r="AK295" s="5" t="n">
        <v>41.194</v>
      </c>
      <c r="AL295" s="5" t="n">
        <v>21.94</v>
      </c>
      <c r="AM295" s="5" t="n">
        <v>0.457</v>
      </c>
      <c r="AN295" s="5" t="n">
        <v>47.373</v>
      </c>
      <c r="AO295" s="5" t="n">
        <v>0.15</v>
      </c>
      <c r="AP295" s="5" t="n">
        <v>1</v>
      </c>
      <c r="AQ295" s="5" t="n">
        <v>0.861</v>
      </c>
      <c r="AR295" s="5" t="n">
        <v>0.123</v>
      </c>
      <c r="AS295" s="5" t="n">
        <v>0.264</v>
      </c>
      <c r="AT295" s="5" t="n">
        <v>1.294</v>
      </c>
      <c r="AU295" s="5" t="n">
        <v>0.15</v>
      </c>
      <c r="AV295" s="5" t="n">
        <v>1</v>
      </c>
      <c r="AW295" s="5" t="n">
        <v>0.986</v>
      </c>
      <c r="AX295" s="5" t="n">
        <v>0.123</v>
      </c>
      <c r="AY295" s="5" t="n">
        <v>0.076</v>
      </c>
      <c r="AZ295" s="5" t="n">
        <v>1.222</v>
      </c>
      <c r="BA295" s="5" t="n">
        <v>0.15</v>
      </c>
      <c r="BB295" s="5" t="n">
        <v>1</v>
      </c>
      <c r="BC295" s="5" t="n">
        <v>0.598</v>
      </c>
      <c r="BD295" s="5" t="n">
        <v>0.123</v>
      </c>
      <c r="BE295" s="5" t="n">
        <v>0.007</v>
      </c>
      <c r="BF295" s="5" t="n">
        <v>0.6879999999999999</v>
      </c>
      <c r="BG295" s="5" t="n">
        <v>0.15</v>
      </c>
      <c r="BH295" s="5" t="n">
        <v>1</v>
      </c>
      <c r="BI295" s="5" t="n">
        <v>0.612</v>
      </c>
      <c r="BJ295" s="5" t="n">
        <v>0.123</v>
      </c>
      <c r="BK295" s="5" t="n">
        <v>0.543</v>
      </c>
      <c r="BL295" s="5" t="n">
        <v>1.328</v>
      </c>
      <c r="BM295" s="5" t="n">
        <v>0.15</v>
      </c>
      <c r="BN295" s="5" t="n">
        <v>1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1</v>
      </c>
      <c r="BT295" s="5" t="n">
        <v>0</v>
      </c>
      <c r="BU295" s="5" t="n">
        <v>0</v>
      </c>
      <c r="BV295" s="5" t="n">
        <v>0</v>
      </c>
      <c r="BW295" s="5" t="n">
        <v>0.15</v>
      </c>
      <c r="BX295" s="5" t="n">
        <v>1</v>
      </c>
      <c r="BY295" s="5" t="n">
        <v>12.729</v>
      </c>
      <c r="BZ295" s="5" t="n">
        <v>0</v>
      </c>
      <c r="CA295" s="5" t="n">
        <v>12.729</v>
      </c>
      <c r="CB295" s="5" t="n">
        <v>0</v>
      </c>
      <c r="CC295" s="5" t="n">
        <v>97.90000000000001</v>
      </c>
      <c r="CD295" s="5" t="n">
        <v>7.95</v>
      </c>
      <c r="CE295" s="5" t="n">
        <v>1.087</v>
      </c>
      <c r="CF295" s="5" t="n">
        <v>112.585</v>
      </c>
      <c r="CG295" s="5" t="n">
        <v>0.15</v>
      </c>
      <c r="CH295" s="5" t="n">
        <v>1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0</v>
      </c>
      <c r="CQ295" s="5" t="n">
        <v>1.294</v>
      </c>
      <c r="CR295" s="5" t="n">
        <v>0</v>
      </c>
      <c r="CS295" s="5" t="n">
        <v>5.158</v>
      </c>
      <c r="CT295" s="5" t="n">
        <v>10.485</v>
      </c>
      <c r="CU295" s="5" t="n">
        <v>31.326</v>
      </c>
    </row>
    <row r="296">
      <c r="A296" s="5" t="inlineStr">
        <is>
          <t>GMB2023</t>
        </is>
      </c>
      <c r="B296" s="5" t="inlineStr">
        <is>
          <t>GMB</t>
        </is>
      </c>
      <c r="C296" s="5" t="inlineStr">
        <is>
          <t>GMB</t>
        </is>
      </c>
      <c r="D296" s="5" t="inlineStr">
        <is>
          <t>Gambia, The</t>
        </is>
      </c>
      <c r="E296" s="5" t="n">
        <v>2023</v>
      </c>
      <c r="F296" s="5" t="n">
        <v>0.15</v>
      </c>
      <c r="G296" s="5" t="n">
        <v>6.147</v>
      </c>
      <c r="H296" s="5" t="n">
        <v>1.286</v>
      </c>
      <c r="I296" s="5" t="n">
        <v>0</v>
      </c>
      <c r="J296" s="5" t="n">
        <v>6.147</v>
      </c>
      <c r="K296" s="5" t="n">
        <v>0</v>
      </c>
      <c r="L296" s="5" t="n">
        <v>1</v>
      </c>
      <c r="M296" s="5" t="n">
        <v>7.886</v>
      </c>
      <c r="N296" s="5" t="n">
        <v>3.857</v>
      </c>
      <c r="O296" s="5" t="n">
        <v>0</v>
      </c>
      <c r="P296" s="5" t="n">
        <v>7.886</v>
      </c>
      <c r="Q296" s="5" t="n">
        <v>0</v>
      </c>
      <c r="R296" s="5" t="n">
        <v>1</v>
      </c>
      <c r="S296" s="5" t="n">
        <v>12.575</v>
      </c>
      <c r="T296" s="5" t="n">
        <v>7.714</v>
      </c>
      <c r="U296" s="5" t="n">
        <v>0.209</v>
      </c>
      <c r="V296" s="5" t="n">
        <v>14.461</v>
      </c>
      <c r="W296" s="5" t="n">
        <v>0.15</v>
      </c>
      <c r="X296" s="5" t="n">
        <v>1</v>
      </c>
      <c r="Y296" s="5" t="n">
        <v>12.286</v>
      </c>
      <c r="Z296" s="5" t="n">
        <v>1.661</v>
      </c>
      <c r="AA296" s="5" t="n">
        <v>0</v>
      </c>
      <c r="AB296" s="5" t="n">
        <v>12.286</v>
      </c>
      <c r="AC296" s="5" t="n">
        <v>0</v>
      </c>
      <c r="AD296" s="5" t="n">
        <v>1</v>
      </c>
      <c r="AE296" s="5" t="n">
        <v>13.572</v>
      </c>
      <c r="AF296" s="5" t="n">
        <v>3.174</v>
      </c>
      <c r="AG296" s="5" t="n">
        <v>0</v>
      </c>
      <c r="AH296" s="5" t="n">
        <v>13.572</v>
      </c>
      <c r="AI296" s="5" t="n">
        <v>0</v>
      </c>
      <c r="AJ296" s="5" t="n">
        <v>1</v>
      </c>
      <c r="AK296" s="5" t="n">
        <v>21.286</v>
      </c>
      <c r="AL296" s="5" t="n">
        <v>11.337</v>
      </c>
      <c r="AM296" s="5" t="n">
        <v>0.354</v>
      </c>
      <c r="AN296" s="5" t="n">
        <v>24.479</v>
      </c>
      <c r="AO296" s="5" t="n">
        <v>0.15</v>
      </c>
      <c r="AP296" s="5" t="n">
        <v>1</v>
      </c>
      <c r="AQ296" s="5" t="n">
        <v>0.76</v>
      </c>
      <c r="AR296" s="5" t="n">
        <v>0.129</v>
      </c>
      <c r="AS296" s="5" t="n">
        <v>0.299</v>
      </c>
      <c r="AT296" s="5" t="n">
        <v>1.218</v>
      </c>
      <c r="AU296" s="5" t="n">
        <v>0.15</v>
      </c>
      <c r="AV296" s="5" t="n">
        <v>1</v>
      </c>
      <c r="AW296" s="5" t="n">
        <v>0.8110000000000001</v>
      </c>
      <c r="AX296" s="5" t="n">
        <v>0.129</v>
      </c>
      <c r="AY296" s="5" t="n">
        <v>0.212</v>
      </c>
      <c r="AZ296" s="5" t="n">
        <v>1.177</v>
      </c>
      <c r="BA296" s="5" t="n">
        <v>0.15</v>
      </c>
      <c r="BB296" s="5" t="n">
        <v>1</v>
      </c>
      <c r="BC296" s="5" t="n">
        <v>0.535</v>
      </c>
      <c r="BD296" s="5" t="n">
        <v>0.129</v>
      </c>
      <c r="BE296" s="5" t="n">
        <v>0.008999999999999999</v>
      </c>
      <c r="BF296" s="5" t="n">
        <v>0.615</v>
      </c>
      <c r="BG296" s="5" t="n">
        <v>0.15</v>
      </c>
      <c r="BH296" s="5" t="n">
        <v>1</v>
      </c>
      <c r="BI296" s="5" t="n">
        <v>0.579</v>
      </c>
      <c r="BJ296" s="5" t="n">
        <v>0.129</v>
      </c>
      <c r="BK296" s="5" t="n">
        <v>0.43</v>
      </c>
      <c r="BL296" s="5" t="n">
        <v>1.161</v>
      </c>
      <c r="BM296" s="5" t="n">
        <v>0.15</v>
      </c>
      <c r="BN296" s="5" t="n">
        <v>1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1</v>
      </c>
      <c r="BT296" s="5" t="n">
        <v>0</v>
      </c>
      <c r="BU296" s="5" t="n">
        <v>0</v>
      </c>
      <c r="BV296" s="5" t="n">
        <v>0</v>
      </c>
      <c r="BW296" s="5" t="n">
        <v>0.15</v>
      </c>
      <c r="BX296" s="5" t="n">
        <v>1</v>
      </c>
      <c r="BY296" s="5" t="n">
        <v>13.254</v>
      </c>
      <c r="BZ296" s="5" t="n">
        <v>0</v>
      </c>
      <c r="CA296" s="5" t="n">
        <v>13.254</v>
      </c>
      <c r="CB296" s="5" t="n">
        <v>0</v>
      </c>
      <c r="CC296" s="5" t="n">
        <v>83.248</v>
      </c>
      <c r="CD296" s="5" t="n">
        <v>7.95</v>
      </c>
      <c r="CE296" s="5" t="n">
        <v>1.383</v>
      </c>
      <c r="CF296" s="5" t="n">
        <v>95.735</v>
      </c>
      <c r="CG296" s="5" t="n">
        <v>0.15</v>
      </c>
      <c r="CH296" s="5" t="n">
        <v>1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0</v>
      </c>
      <c r="CN296" s="5" t="n">
        <v>0</v>
      </c>
      <c r="CO296" s="5" t="n">
        <v>0</v>
      </c>
      <c r="CP296" s="5" t="n">
        <v>0</v>
      </c>
      <c r="CQ296" s="5" t="n">
        <v>1.348</v>
      </c>
      <c r="CR296" s="5" t="n">
        <v>0</v>
      </c>
      <c r="CS296" s="5" t="n">
        <v>5.37</v>
      </c>
      <c r="CT296" s="5" t="n">
        <v>4.861</v>
      </c>
      <c r="CU296" s="5" t="n">
        <v>11.622</v>
      </c>
    </row>
    <row r="297">
      <c r="A297" s="5" t="inlineStr">
        <is>
          <t>GMB2024</t>
        </is>
      </c>
      <c r="B297" s="5" t="inlineStr">
        <is>
          <t>GMB</t>
        </is>
      </c>
      <c r="C297" s="5" t="inlineStr">
        <is>
          <t>GMB</t>
        </is>
      </c>
      <c r="D297" s="5" t="inlineStr">
        <is>
          <t>Gambia, The</t>
        </is>
      </c>
      <c r="E297" s="5" t="n">
        <v>2024</v>
      </c>
      <c r="F297" s="5" t="n">
        <v>0.15</v>
      </c>
      <c r="G297" s="5" t="n">
        <v>5.575</v>
      </c>
      <c r="H297" s="5" t="n">
        <v>1.324</v>
      </c>
      <c r="I297" s="5" t="n">
        <v>0</v>
      </c>
      <c r="J297" s="5" t="n">
        <v>5.575</v>
      </c>
      <c r="K297" s="5" t="n">
        <v>0</v>
      </c>
      <c r="L297" s="5" t="n">
        <v>1</v>
      </c>
      <c r="M297" s="5" t="n">
        <v>7.124</v>
      </c>
      <c r="N297" s="5" t="n">
        <v>3.971</v>
      </c>
      <c r="O297" s="5" t="n">
        <v>0</v>
      </c>
      <c r="P297" s="5" t="n">
        <v>7.124</v>
      </c>
      <c r="Q297" s="5" t="n">
        <v>0</v>
      </c>
      <c r="R297" s="5" t="n">
        <v>1</v>
      </c>
      <c r="S297" s="5" t="n">
        <v>12.193</v>
      </c>
      <c r="T297" s="5" t="n">
        <v>7.942</v>
      </c>
      <c r="U297" s="5" t="n">
        <v>0.249</v>
      </c>
      <c r="V297" s="5" t="n">
        <v>14.022</v>
      </c>
      <c r="W297" s="5" t="n">
        <v>0.15</v>
      </c>
      <c r="X297" s="5" t="n">
        <v>1</v>
      </c>
      <c r="Y297" s="5" t="n">
        <v>11.016</v>
      </c>
      <c r="Z297" s="5" t="n">
        <v>1.489</v>
      </c>
      <c r="AA297" s="5" t="n">
        <v>0</v>
      </c>
      <c r="AB297" s="5" t="n">
        <v>11.016</v>
      </c>
      <c r="AC297" s="5" t="n">
        <v>0</v>
      </c>
      <c r="AD297" s="5" t="n">
        <v>1</v>
      </c>
      <c r="AE297" s="5" t="n">
        <v>12.339</v>
      </c>
      <c r="AF297" s="5" t="n">
        <v>2.885</v>
      </c>
      <c r="AG297" s="5" t="n">
        <v>0</v>
      </c>
      <c r="AH297" s="5" t="n">
        <v>12.339</v>
      </c>
      <c r="AI297" s="5" t="n">
        <v>0</v>
      </c>
      <c r="AJ297" s="5" t="n">
        <v>1</v>
      </c>
      <c r="AK297" s="5" t="n">
        <v>20.281</v>
      </c>
      <c r="AL297" s="5" t="n">
        <v>10.802</v>
      </c>
      <c r="AM297" s="5" t="n">
        <v>0.414</v>
      </c>
      <c r="AN297" s="5" t="n">
        <v>23.323</v>
      </c>
      <c r="AO297" s="5" t="n">
        <v>0.15</v>
      </c>
      <c r="AP297" s="5" t="n">
        <v>1</v>
      </c>
      <c r="AQ297" s="5" t="n">
        <v>0.724</v>
      </c>
      <c r="AR297" s="5" t="n">
        <v>0.132</v>
      </c>
      <c r="AS297" s="5" t="n">
        <v>0.301</v>
      </c>
      <c r="AT297" s="5" t="n">
        <v>1.179</v>
      </c>
      <c r="AU297" s="5" t="n">
        <v>0.15</v>
      </c>
      <c r="AV297" s="5" t="n">
        <v>1</v>
      </c>
      <c r="AW297" s="5" t="n">
        <v>0.75</v>
      </c>
      <c r="AX297" s="5" t="n">
        <v>0.132</v>
      </c>
      <c r="AY297" s="5" t="n">
        <v>0.273</v>
      </c>
      <c r="AZ297" s="5" t="n">
        <v>1.177</v>
      </c>
      <c r="BA297" s="5" t="n">
        <v>0.15</v>
      </c>
      <c r="BB297" s="5" t="n">
        <v>1</v>
      </c>
      <c r="BC297" s="5" t="n">
        <v>0.513</v>
      </c>
      <c r="BD297" s="5" t="n">
        <v>0.132</v>
      </c>
      <c r="BE297" s="5" t="n">
        <v>0.01</v>
      </c>
      <c r="BF297" s="5" t="n">
        <v>0.59</v>
      </c>
      <c r="BG297" s="5" t="n">
        <v>0.15</v>
      </c>
      <c r="BH297" s="5" t="n">
        <v>1</v>
      </c>
      <c r="BI297" s="5" t="n">
        <v>0.591</v>
      </c>
      <c r="BJ297" s="5" t="n">
        <v>0.132</v>
      </c>
      <c r="BK297" s="5" t="n">
        <v>0.353</v>
      </c>
      <c r="BL297" s="5" t="n">
        <v>1.086</v>
      </c>
      <c r="BM297" s="5" t="n">
        <v>0.15</v>
      </c>
      <c r="BN297" s="5" t="n">
        <v>1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1</v>
      </c>
      <c r="BT297" s="5" t="n">
        <v>0</v>
      </c>
      <c r="BU297" s="5" t="n">
        <v>0</v>
      </c>
      <c r="BV297" s="5" t="n">
        <v>0</v>
      </c>
      <c r="BW297" s="5" t="n">
        <v>0.15</v>
      </c>
      <c r="BX297" s="5" t="n">
        <v>1</v>
      </c>
      <c r="BY297" s="5" t="n">
        <v>13.646</v>
      </c>
      <c r="BZ297" s="5" t="n">
        <v>0</v>
      </c>
      <c r="CA297" s="5" t="n">
        <v>13.646</v>
      </c>
      <c r="CB297" s="5" t="n">
        <v>0</v>
      </c>
      <c r="CC297" s="5" t="n">
        <v>82.58799999999999</v>
      </c>
      <c r="CD297" s="5" t="n">
        <v>7.95</v>
      </c>
      <c r="CE297" s="5" t="n">
        <v>1.687</v>
      </c>
      <c r="CF297" s="5" t="n">
        <v>94.976</v>
      </c>
      <c r="CG297" s="5" t="n">
        <v>0.15</v>
      </c>
      <c r="CH297" s="5" t="n">
        <v>1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0</v>
      </c>
      <c r="CN297" s="5" t="n">
        <v>0</v>
      </c>
      <c r="CO297" s="5" t="n">
        <v>0</v>
      </c>
      <c r="CP297" s="5" t="n">
        <v>0</v>
      </c>
      <c r="CQ297" s="5" t="n">
        <v>1.387</v>
      </c>
      <c r="CR297" s="5" t="n">
        <v>0</v>
      </c>
      <c r="CS297" s="5" t="n">
        <v>5.529</v>
      </c>
      <c r="CT297" s="5" t="n">
        <v>4.251</v>
      </c>
      <c r="CU297" s="5" t="n">
        <v>10.168</v>
      </c>
    </row>
    <row r="298">
      <c r="A298" s="5" t="inlineStr">
        <is>
          <t>GEO2021</t>
        </is>
      </c>
      <c r="B298" s="5" t="inlineStr">
        <is>
          <t>GEO</t>
        </is>
      </c>
      <c r="C298" s="5" t="inlineStr">
        <is>
          <t>GEO</t>
        </is>
      </c>
      <c r="D298" s="5" t="inlineStr">
        <is>
          <t>Georgia</t>
        </is>
      </c>
      <c r="E298" s="5" t="n">
        <v>2021</v>
      </c>
      <c r="F298" s="5" t="n">
        <v>0.18</v>
      </c>
      <c r="G298" s="5" t="n">
        <v>4.526</v>
      </c>
      <c r="H298" s="5" t="n">
        <v>0.988</v>
      </c>
      <c r="I298" s="5" t="n">
        <v>0</v>
      </c>
      <c r="J298" s="5" t="n">
        <v>4.526</v>
      </c>
      <c r="K298" s="5" t="n">
        <v>0</v>
      </c>
      <c r="L298" s="5" t="n">
        <v>1</v>
      </c>
      <c r="M298" s="5" t="n">
        <v>6.593</v>
      </c>
      <c r="N298" s="5" t="n">
        <v>2.964</v>
      </c>
      <c r="O298" s="5" t="n">
        <v>0</v>
      </c>
      <c r="P298" s="5" t="n">
        <v>6.593</v>
      </c>
      <c r="Q298" s="5" t="n">
        <v>0</v>
      </c>
      <c r="R298" s="5" t="n">
        <v>1</v>
      </c>
      <c r="S298" s="5" t="n">
        <v>9.467000000000001</v>
      </c>
      <c r="T298" s="5" t="n">
        <v>5.929</v>
      </c>
      <c r="U298" s="5" t="n">
        <v>0</v>
      </c>
      <c r="V298" s="5" t="n">
        <v>11.171</v>
      </c>
      <c r="W298" s="5" t="n">
        <v>0.18</v>
      </c>
      <c r="X298" s="5" t="n">
        <v>1</v>
      </c>
      <c r="Y298" s="5" t="n">
        <v>5.503</v>
      </c>
      <c r="Z298" s="5" t="n">
        <v>1.016</v>
      </c>
      <c r="AA298" s="5" t="n">
        <v>0.424</v>
      </c>
      <c r="AB298" s="5" t="n">
        <v>5.927</v>
      </c>
      <c r="AC298" s="5" t="n">
        <v>0</v>
      </c>
      <c r="AD298" s="5" t="n">
        <v>1</v>
      </c>
      <c r="AE298" s="5" t="n">
        <v>6.643</v>
      </c>
      <c r="AF298" s="5" t="n">
        <v>1.966</v>
      </c>
      <c r="AG298" s="5" t="n">
        <v>-0.716</v>
      </c>
      <c r="AH298" s="5" t="n">
        <v>5.927</v>
      </c>
      <c r="AI298" s="5" t="n">
        <v>0</v>
      </c>
      <c r="AJ298" s="5" t="n">
        <v>1</v>
      </c>
      <c r="AK298" s="5" t="n">
        <v>13.483</v>
      </c>
      <c r="AL298" s="5" t="n">
        <v>7.955</v>
      </c>
      <c r="AM298" s="5" t="n">
        <v>-9.92</v>
      </c>
      <c r="AN298" s="5" t="n">
        <v>4.204</v>
      </c>
      <c r="AO298" s="5" t="n">
        <v>0</v>
      </c>
      <c r="AP298" s="5" t="n">
        <v>0</v>
      </c>
      <c r="AQ298" s="5" t="n">
        <v>0.619</v>
      </c>
      <c r="AR298" s="5" t="n">
        <v>0.114</v>
      </c>
      <c r="AS298" s="5" t="n">
        <v>0.154</v>
      </c>
      <c r="AT298" s="5" t="n">
        <v>0.913</v>
      </c>
      <c r="AU298" s="5" t="n">
        <v>0.18</v>
      </c>
      <c r="AV298" s="5" t="n">
        <v>1</v>
      </c>
      <c r="AW298" s="5" t="n">
        <v>0.599</v>
      </c>
      <c r="AX298" s="5" t="n">
        <v>0.114</v>
      </c>
      <c r="AY298" s="5" t="n">
        <v>0.143</v>
      </c>
      <c r="AZ298" s="5" t="n">
        <v>0.876</v>
      </c>
      <c r="BA298" s="5" t="n">
        <v>0.18</v>
      </c>
      <c r="BB298" s="5" t="n">
        <v>1</v>
      </c>
      <c r="BC298" s="5" t="n">
        <v>0.439</v>
      </c>
      <c r="BD298" s="5" t="n">
        <v>0.114</v>
      </c>
      <c r="BE298" s="5" t="n">
        <v>-0.024</v>
      </c>
      <c r="BF298" s="5" t="n">
        <v>0.489</v>
      </c>
      <c r="BG298" s="5" t="n">
        <v>0.18</v>
      </c>
      <c r="BH298" s="5" t="n">
        <v>1</v>
      </c>
      <c r="BI298" s="5" t="n">
        <v>0.505</v>
      </c>
      <c r="BJ298" s="5" t="n">
        <v>0.114</v>
      </c>
      <c r="BK298" s="5" t="n">
        <v>0</v>
      </c>
      <c r="BL298" s="5" t="n">
        <v>0.596</v>
      </c>
      <c r="BM298" s="5" t="n">
        <v>0.18</v>
      </c>
      <c r="BN298" s="5" t="n">
        <v>1</v>
      </c>
      <c r="BO298" s="5" t="n">
        <v>0</v>
      </c>
      <c r="BP298" s="5" t="n">
        <v>0</v>
      </c>
      <c r="BQ298" s="5" t="n">
        <v>0.08500000000000001</v>
      </c>
      <c r="BR298" s="5" t="n">
        <v>0</v>
      </c>
      <c r="BS298" s="5" t="n">
        <v>1</v>
      </c>
      <c r="BT298" s="5" t="n">
        <v>0</v>
      </c>
      <c r="BU298" s="5" t="n">
        <v>0</v>
      </c>
      <c r="BV298" s="5" t="n">
        <v>0.076</v>
      </c>
      <c r="BW298" s="5" t="n">
        <v>0.18</v>
      </c>
      <c r="BX298" s="5" t="n">
        <v>1</v>
      </c>
      <c r="BY298" s="5" t="n">
        <v>11.787</v>
      </c>
      <c r="BZ298" s="5" t="n">
        <v>0</v>
      </c>
      <c r="CA298" s="5" t="n">
        <v>11.787</v>
      </c>
      <c r="CB298" s="5" t="n">
        <v>0</v>
      </c>
      <c r="CC298" s="5" t="n">
        <v>78.125</v>
      </c>
      <c r="CD298" s="5" t="n">
        <v>7.95</v>
      </c>
      <c r="CE298" s="5" t="n">
        <v>0</v>
      </c>
      <c r="CF298" s="5" t="n">
        <v>92.188</v>
      </c>
      <c r="CG298" s="5" t="n">
        <v>0.18</v>
      </c>
      <c r="CH298" s="5" t="n">
        <v>1</v>
      </c>
      <c r="CI298" s="5" t="n">
        <v>0</v>
      </c>
      <c r="CJ298" s="5" t="n">
        <v>0</v>
      </c>
      <c r="CK298" s="5" t="n">
        <v>0</v>
      </c>
      <c r="CL298" s="5" t="n">
        <v>0</v>
      </c>
      <c r="CM298" s="5" t="n">
        <v>0</v>
      </c>
      <c r="CN298" s="5" t="n">
        <v>0.003</v>
      </c>
      <c r="CO298" s="5" t="n">
        <v>0</v>
      </c>
      <c r="CP298" s="5" t="n">
        <v>0.271</v>
      </c>
      <c r="CQ298" s="5" t="n">
        <v>1.198</v>
      </c>
      <c r="CR298" s="5" t="n">
        <v>0.006</v>
      </c>
      <c r="CS298" s="5" t="n">
        <v>4.776</v>
      </c>
      <c r="CT298" s="5" t="n">
        <v>4.41</v>
      </c>
      <c r="CU298" s="5" t="n">
        <v>7.061</v>
      </c>
    </row>
    <row r="299">
      <c r="A299" s="5" t="inlineStr">
        <is>
          <t>GEO2022</t>
        </is>
      </c>
      <c r="B299" s="5" t="inlineStr">
        <is>
          <t>GEO</t>
        </is>
      </c>
      <c r="C299" s="5" t="inlineStr">
        <is>
          <t>GEO</t>
        </is>
      </c>
      <c r="D299" s="5" t="inlineStr">
        <is>
          <t>Georgia</t>
        </is>
      </c>
      <c r="E299" s="5" t="n">
        <v>2022</v>
      </c>
      <c r="F299" s="5" t="n">
        <v>0.18</v>
      </c>
      <c r="G299" s="5" t="n">
        <v>5.382</v>
      </c>
      <c r="H299" s="5" t="n">
        <v>1.032</v>
      </c>
      <c r="I299" s="5" t="n">
        <v>0</v>
      </c>
      <c r="J299" s="5" t="n">
        <v>5.382</v>
      </c>
      <c r="K299" s="5" t="n">
        <v>0</v>
      </c>
      <c r="L299" s="5" t="n">
        <v>1</v>
      </c>
      <c r="M299" s="5" t="n">
        <v>7.605</v>
      </c>
      <c r="N299" s="5" t="n">
        <v>3.096</v>
      </c>
      <c r="O299" s="5" t="n">
        <v>0</v>
      </c>
      <c r="P299" s="5" t="n">
        <v>7.605</v>
      </c>
      <c r="Q299" s="5" t="n">
        <v>0</v>
      </c>
      <c r="R299" s="5" t="n">
        <v>1</v>
      </c>
      <c r="S299" s="5" t="n">
        <v>10.542</v>
      </c>
      <c r="T299" s="5" t="n">
        <v>6.193</v>
      </c>
      <c r="U299" s="5" t="n">
        <v>0.14</v>
      </c>
      <c r="V299" s="5" t="n">
        <v>12.44</v>
      </c>
      <c r="W299" s="5" t="n">
        <v>0.18</v>
      </c>
      <c r="X299" s="5" t="n">
        <v>1</v>
      </c>
      <c r="Y299" s="5" t="n">
        <v>5.916</v>
      </c>
      <c r="Z299" s="5" t="n">
        <v>1.092</v>
      </c>
      <c r="AA299" s="5" t="n">
        <v>2.316</v>
      </c>
      <c r="AB299" s="5" t="n">
        <v>8.233000000000001</v>
      </c>
      <c r="AC299" s="5" t="n">
        <v>0</v>
      </c>
      <c r="AD299" s="5" t="n">
        <v>1</v>
      </c>
      <c r="AE299" s="5" t="n">
        <v>7.149</v>
      </c>
      <c r="AF299" s="5" t="n">
        <v>2.116</v>
      </c>
      <c r="AG299" s="5" t="n">
        <v>1.084</v>
      </c>
      <c r="AH299" s="5" t="n">
        <v>8.233000000000001</v>
      </c>
      <c r="AI299" s="5" t="n">
        <v>0</v>
      </c>
      <c r="AJ299" s="5" t="n">
        <v>1</v>
      </c>
      <c r="AK299" s="5" t="n">
        <v>14.541</v>
      </c>
      <c r="AL299" s="5" t="n">
        <v>8.579000000000001</v>
      </c>
      <c r="AM299" s="5" t="n">
        <v>-10.428</v>
      </c>
      <c r="AN299" s="5" t="n">
        <v>4.853</v>
      </c>
      <c r="AO299" s="5" t="n">
        <v>0</v>
      </c>
      <c r="AP299" s="5" t="n">
        <v>0</v>
      </c>
      <c r="AQ299" s="5" t="n">
        <v>0.861</v>
      </c>
      <c r="AR299" s="5" t="n">
        <v>0.123</v>
      </c>
      <c r="AS299" s="5" t="n">
        <v>0.196</v>
      </c>
      <c r="AT299" s="5" t="n">
        <v>1.247</v>
      </c>
      <c r="AU299" s="5" t="n">
        <v>0.18</v>
      </c>
      <c r="AV299" s="5" t="n">
        <v>1</v>
      </c>
      <c r="AW299" s="5" t="n">
        <v>0.986</v>
      </c>
      <c r="AX299" s="5" t="n">
        <v>0.123</v>
      </c>
      <c r="AY299" s="5" t="n">
        <v>0.184</v>
      </c>
      <c r="AZ299" s="5" t="n">
        <v>1.38</v>
      </c>
      <c r="BA299" s="5" t="n">
        <v>0.18</v>
      </c>
      <c r="BB299" s="5" t="n">
        <v>1</v>
      </c>
      <c r="BC299" s="5" t="n">
        <v>0.598</v>
      </c>
      <c r="BD299" s="5" t="n">
        <v>0.123</v>
      </c>
      <c r="BE299" s="5" t="n">
        <v>-0.024</v>
      </c>
      <c r="BF299" s="5" t="n">
        <v>0.677</v>
      </c>
      <c r="BG299" s="5" t="n">
        <v>0.18</v>
      </c>
      <c r="BH299" s="5" t="n">
        <v>1</v>
      </c>
      <c r="BI299" s="5" t="n">
        <v>0.612</v>
      </c>
      <c r="BJ299" s="5" t="n">
        <v>0.123</v>
      </c>
      <c r="BK299" s="5" t="n">
        <v>0.008</v>
      </c>
      <c r="BL299" s="5" t="n">
        <v>0.723</v>
      </c>
      <c r="BM299" s="5" t="n">
        <v>0.18</v>
      </c>
      <c r="BN299" s="5" t="n">
        <v>1</v>
      </c>
      <c r="BO299" s="5" t="n">
        <v>0</v>
      </c>
      <c r="BP299" s="5" t="n">
        <v>0</v>
      </c>
      <c r="BQ299" s="5" t="n">
        <v>0.098</v>
      </c>
      <c r="BR299" s="5" t="n">
        <v>0</v>
      </c>
      <c r="BS299" s="5" t="n">
        <v>1</v>
      </c>
      <c r="BT299" s="5" t="n">
        <v>0</v>
      </c>
      <c r="BU299" s="5" t="n">
        <v>0</v>
      </c>
      <c r="BV299" s="5" t="n">
        <v>0.089</v>
      </c>
      <c r="BW299" s="5" t="n">
        <v>0.18</v>
      </c>
      <c r="BX299" s="5" t="n">
        <v>1</v>
      </c>
      <c r="BY299" s="5" t="n">
        <v>12.729</v>
      </c>
      <c r="BZ299" s="5" t="n">
        <v>0</v>
      </c>
      <c r="CA299" s="5" t="n">
        <v>12.729</v>
      </c>
      <c r="CB299" s="5" t="n">
        <v>0</v>
      </c>
      <c r="CC299" s="5" t="n">
        <v>97.90000000000001</v>
      </c>
      <c r="CD299" s="5" t="n">
        <v>7.95</v>
      </c>
      <c r="CE299" s="5" t="n">
        <v>1.304</v>
      </c>
      <c r="CF299" s="5" t="n">
        <v>115.522</v>
      </c>
      <c r="CG299" s="5" t="n">
        <v>0.18</v>
      </c>
      <c r="CH299" s="5" t="n">
        <v>1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0</v>
      </c>
      <c r="CN299" s="5" t="n">
        <v>0.005</v>
      </c>
      <c r="CO299" s="5" t="n">
        <v>0</v>
      </c>
      <c r="CP299" s="5" t="n">
        <v>0.328</v>
      </c>
      <c r="CQ299" s="5" t="n">
        <v>1.294</v>
      </c>
      <c r="CR299" s="5" t="n">
        <v>0.004</v>
      </c>
      <c r="CS299" s="5" t="n">
        <v>5.158</v>
      </c>
      <c r="CT299" s="5" t="n">
        <v>5.842</v>
      </c>
      <c r="CU299" s="5" t="n">
        <v>24.927</v>
      </c>
    </row>
    <row r="300">
      <c r="A300" s="5" t="inlineStr">
        <is>
          <t>GEO2023</t>
        </is>
      </c>
      <c r="B300" s="5" t="inlineStr">
        <is>
          <t>GEO</t>
        </is>
      </c>
      <c r="C300" s="5" t="inlineStr">
        <is>
          <t>GEO</t>
        </is>
      </c>
      <c r="D300" s="5" t="inlineStr">
        <is>
          <t>Georgia</t>
        </is>
      </c>
      <c r="E300" s="5" t="n">
        <v>2023</v>
      </c>
      <c r="F300" s="5" t="n">
        <v>0.18</v>
      </c>
      <c r="G300" s="5" t="n">
        <v>3.875</v>
      </c>
      <c r="H300" s="5" t="n">
        <v>1.082</v>
      </c>
      <c r="I300" s="5" t="n">
        <v>0</v>
      </c>
      <c r="J300" s="5" t="n">
        <v>3.875</v>
      </c>
      <c r="K300" s="5" t="n">
        <v>0</v>
      </c>
      <c r="L300" s="5" t="n">
        <v>1</v>
      </c>
      <c r="M300" s="5" t="n">
        <v>6.423</v>
      </c>
      <c r="N300" s="5" t="n">
        <v>3.245</v>
      </c>
      <c r="O300" s="5" t="n">
        <v>0</v>
      </c>
      <c r="P300" s="5" t="n">
        <v>6.423</v>
      </c>
      <c r="Q300" s="5" t="n">
        <v>0</v>
      </c>
      <c r="R300" s="5" t="n">
        <v>1</v>
      </c>
      <c r="S300" s="5" t="n">
        <v>9.284000000000001</v>
      </c>
      <c r="T300" s="5" t="n">
        <v>6.49</v>
      </c>
      <c r="U300" s="5" t="n">
        <v>0.185</v>
      </c>
      <c r="V300" s="5" t="n">
        <v>10.955</v>
      </c>
      <c r="W300" s="5" t="n">
        <v>0.18</v>
      </c>
      <c r="X300" s="5" t="n">
        <v>1</v>
      </c>
      <c r="Y300" s="5" t="n">
        <v>5.127</v>
      </c>
      <c r="Z300" s="5" t="n">
        <v>0.946</v>
      </c>
      <c r="AA300" s="5" t="n">
        <v>3.869</v>
      </c>
      <c r="AB300" s="5" t="n">
        <v>8.996</v>
      </c>
      <c r="AC300" s="5" t="n">
        <v>0</v>
      </c>
      <c r="AD300" s="5" t="n">
        <v>1</v>
      </c>
      <c r="AE300" s="5" t="n">
        <v>6.409</v>
      </c>
      <c r="AF300" s="5" t="n">
        <v>1.897</v>
      </c>
      <c r="AG300" s="5" t="n">
        <v>2.587</v>
      </c>
      <c r="AH300" s="5" t="n">
        <v>8.996</v>
      </c>
      <c r="AI300" s="5" t="n">
        <v>0</v>
      </c>
      <c r="AJ300" s="5" t="n">
        <v>1</v>
      </c>
      <c r="AK300" s="5" t="n">
        <v>14.103</v>
      </c>
      <c r="AL300" s="5" t="n">
        <v>8.321</v>
      </c>
      <c r="AM300" s="5" t="n">
        <v>-9.542</v>
      </c>
      <c r="AN300" s="5" t="n">
        <v>5.381</v>
      </c>
      <c r="AO300" s="5" t="n">
        <v>0</v>
      </c>
      <c r="AP300" s="5" t="n">
        <v>0</v>
      </c>
      <c r="AQ300" s="5" t="n">
        <v>0.76</v>
      </c>
      <c r="AR300" s="5" t="n">
        <v>0.129</v>
      </c>
      <c r="AS300" s="5" t="n">
        <v>0.192</v>
      </c>
      <c r="AT300" s="5" t="n">
        <v>1.124</v>
      </c>
      <c r="AU300" s="5" t="n">
        <v>0.18</v>
      </c>
      <c r="AV300" s="5" t="n">
        <v>1</v>
      </c>
      <c r="AW300" s="5" t="n">
        <v>0.8110000000000001</v>
      </c>
      <c r="AX300" s="5" t="n">
        <v>0.129</v>
      </c>
      <c r="AY300" s="5" t="n">
        <v>0.263</v>
      </c>
      <c r="AZ300" s="5" t="n">
        <v>1.268</v>
      </c>
      <c r="BA300" s="5" t="n">
        <v>0.18</v>
      </c>
      <c r="BB300" s="5" t="n">
        <v>1</v>
      </c>
      <c r="BC300" s="5" t="n">
        <v>0.535</v>
      </c>
      <c r="BD300" s="5" t="n">
        <v>0.129</v>
      </c>
      <c r="BE300" s="5" t="n">
        <v>0.047</v>
      </c>
      <c r="BF300" s="5" t="n">
        <v>0.6870000000000001</v>
      </c>
      <c r="BG300" s="5" t="n">
        <v>0.18</v>
      </c>
      <c r="BH300" s="5" t="n">
        <v>1</v>
      </c>
      <c r="BI300" s="5" t="n">
        <v>0.579</v>
      </c>
      <c r="BJ300" s="5" t="n">
        <v>0.129</v>
      </c>
      <c r="BK300" s="5" t="n">
        <v>0.012</v>
      </c>
      <c r="BL300" s="5" t="n">
        <v>0.6840000000000001</v>
      </c>
      <c r="BM300" s="5" t="n">
        <v>0.18</v>
      </c>
      <c r="BN300" s="5" t="n">
        <v>1</v>
      </c>
      <c r="BO300" s="5" t="n">
        <v>0</v>
      </c>
      <c r="BP300" s="5" t="n">
        <v>0</v>
      </c>
      <c r="BQ300" s="5" t="n">
        <v>0.1</v>
      </c>
      <c r="BR300" s="5" t="n">
        <v>0</v>
      </c>
      <c r="BS300" s="5" t="n">
        <v>1</v>
      </c>
      <c r="BT300" s="5" t="n">
        <v>0</v>
      </c>
      <c r="BU300" s="5" t="n">
        <v>0</v>
      </c>
      <c r="BV300" s="5" t="n">
        <v>0.093</v>
      </c>
      <c r="BW300" s="5" t="n">
        <v>0.18</v>
      </c>
      <c r="BX300" s="5" t="n">
        <v>1</v>
      </c>
      <c r="BY300" s="5" t="n">
        <v>13.254</v>
      </c>
      <c r="BZ300" s="5" t="n">
        <v>0</v>
      </c>
      <c r="CA300" s="5" t="n">
        <v>13.254</v>
      </c>
      <c r="CB300" s="5" t="n">
        <v>0</v>
      </c>
      <c r="CC300" s="5" t="n">
        <v>83.248</v>
      </c>
      <c r="CD300" s="5" t="n">
        <v>7.95</v>
      </c>
      <c r="CE300" s="5" t="n">
        <v>1.659</v>
      </c>
      <c r="CF300" s="5" t="n">
        <v>98.233</v>
      </c>
      <c r="CG300" s="5" t="n">
        <v>0.18</v>
      </c>
      <c r="CH300" s="5" t="n">
        <v>1</v>
      </c>
      <c r="CI300" s="5" t="n">
        <v>0</v>
      </c>
      <c r="CJ300" s="5" t="n">
        <v>0</v>
      </c>
      <c r="CK300" s="5" t="n">
        <v>0</v>
      </c>
      <c r="CL300" s="5" t="n">
        <v>0</v>
      </c>
      <c r="CM300" s="5" t="n">
        <v>0</v>
      </c>
      <c r="CN300" s="5" t="n">
        <v>0.005</v>
      </c>
      <c r="CO300" s="5" t="n">
        <v>0</v>
      </c>
      <c r="CP300" s="5" t="n">
        <v>0.317</v>
      </c>
      <c r="CQ300" s="5" t="n">
        <v>1.348</v>
      </c>
      <c r="CR300" s="5" t="n">
        <v>0.005</v>
      </c>
      <c r="CS300" s="5" t="n">
        <v>5.37</v>
      </c>
      <c r="CT300" s="5" t="n">
        <v>3.466</v>
      </c>
      <c r="CU300" s="5" t="n">
        <v>15.127</v>
      </c>
    </row>
    <row r="301">
      <c r="A301" s="5" t="inlineStr">
        <is>
          <t>GEO2024</t>
        </is>
      </c>
      <c r="B301" s="5" t="inlineStr">
        <is>
          <t>GEO</t>
        </is>
      </c>
      <c r="C301" s="5" t="inlineStr">
        <is>
          <t>GEO</t>
        </is>
      </c>
      <c r="D301" s="5" t="inlineStr">
        <is>
          <t>Georgia</t>
        </is>
      </c>
      <c r="E301" s="5" t="n">
        <v>2024</v>
      </c>
      <c r="F301" s="5" t="n">
        <v>0.18</v>
      </c>
      <c r="G301" s="5" t="n">
        <v>3.62</v>
      </c>
      <c r="H301" s="5" t="n">
        <v>1.114</v>
      </c>
      <c r="I301" s="5" t="n">
        <v>0</v>
      </c>
      <c r="J301" s="5" t="n">
        <v>3.62</v>
      </c>
      <c r="K301" s="5" t="n">
        <v>0</v>
      </c>
      <c r="L301" s="5" t="n">
        <v>1</v>
      </c>
      <c r="M301" s="5" t="n">
        <v>5.933</v>
      </c>
      <c r="N301" s="5" t="n">
        <v>3.341</v>
      </c>
      <c r="O301" s="5" t="n">
        <v>0</v>
      </c>
      <c r="P301" s="5" t="n">
        <v>5.933</v>
      </c>
      <c r="Q301" s="5" t="n">
        <v>0</v>
      </c>
      <c r="R301" s="5" t="n">
        <v>1</v>
      </c>
      <c r="S301" s="5" t="n">
        <v>9.188000000000001</v>
      </c>
      <c r="T301" s="5" t="n">
        <v>6.682</v>
      </c>
      <c r="U301" s="5" t="n">
        <v>0.225</v>
      </c>
      <c r="V301" s="5" t="n">
        <v>10.842</v>
      </c>
      <c r="W301" s="5" t="n">
        <v>0.18</v>
      </c>
      <c r="X301" s="5" t="n">
        <v>1</v>
      </c>
      <c r="Y301" s="5" t="n">
        <v>4.952</v>
      </c>
      <c r="Z301" s="5" t="n">
        <v>0.914</v>
      </c>
      <c r="AA301" s="5" t="n">
        <v>3.71</v>
      </c>
      <c r="AB301" s="5" t="n">
        <v>8.662000000000001</v>
      </c>
      <c r="AC301" s="5" t="n">
        <v>0</v>
      </c>
      <c r="AD301" s="5" t="n">
        <v>1</v>
      </c>
      <c r="AE301" s="5" t="n">
        <v>6.272</v>
      </c>
      <c r="AF301" s="5" t="n">
        <v>1.856</v>
      </c>
      <c r="AG301" s="5" t="n">
        <v>2.39</v>
      </c>
      <c r="AH301" s="5" t="n">
        <v>8.662000000000001</v>
      </c>
      <c r="AI301" s="5" t="n">
        <v>0</v>
      </c>
      <c r="AJ301" s="5" t="n">
        <v>1</v>
      </c>
      <c r="AK301" s="5" t="n">
        <v>14.193</v>
      </c>
      <c r="AL301" s="5" t="n">
        <v>8.374000000000001</v>
      </c>
      <c r="AM301" s="5" t="n">
        <v>-9.763</v>
      </c>
      <c r="AN301" s="5" t="n">
        <v>5.227</v>
      </c>
      <c r="AO301" s="5" t="n">
        <v>0</v>
      </c>
      <c r="AP301" s="5" t="n">
        <v>0</v>
      </c>
      <c r="AQ301" s="5" t="n">
        <v>0.724</v>
      </c>
      <c r="AR301" s="5" t="n">
        <v>0.132</v>
      </c>
      <c r="AS301" s="5" t="n">
        <v>0.28</v>
      </c>
      <c r="AT301" s="5" t="n">
        <v>1.185</v>
      </c>
      <c r="AU301" s="5" t="n">
        <v>0.18</v>
      </c>
      <c r="AV301" s="5" t="n">
        <v>1</v>
      </c>
      <c r="AW301" s="5" t="n">
        <v>0.75</v>
      </c>
      <c r="AX301" s="5" t="n">
        <v>0.132</v>
      </c>
      <c r="AY301" s="5" t="n">
        <v>0.254</v>
      </c>
      <c r="AZ301" s="5" t="n">
        <v>1.185</v>
      </c>
      <c r="BA301" s="5" t="n">
        <v>0.18</v>
      </c>
      <c r="BB301" s="5" t="n">
        <v>1</v>
      </c>
      <c r="BC301" s="5" t="n">
        <v>0.513</v>
      </c>
      <c r="BD301" s="5" t="n">
        <v>0.132</v>
      </c>
      <c r="BE301" s="5" t="n">
        <v>0.038</v>
      </c>
      <c r="BF301" s="5" t="n">
        <v>0.65</v>
      </c>
      <c r="BG301" s="5" t="n">
        <v>0.18</v>
      </c>
      <c r="BH301" s="5" t="n">
        <v>1</v>
      </c>
      <c r="BI301" s="5" t="n">
        <v>0.591</v>
      </c>
      <c r="BJ301" s="5" t="n">
        <v>0.132</v>
      </c>
      <c r="BK301" s="5" t="n">
        <v>0.014</v>
      </c>
      <c r="BL301" s="5" t="n">
        <v>0.698</v>
      </c>
      <c r="BM301" s="5" t="n">
        <v>0.18</v>
      </c>
      <c r="BN301" s="5" t="n">
        <v>1</v>
      </c>
      <c r="BO301" s="5" t="n">
        <v>0</v>
      </c>
      <c r="BP301" s="5" t="n">
        <v>0</v>
      </c>
      <c r="BQ301" s="5" t="n">
        <v>0.042</v>
      </c>
      <c r="BR301" s="5" t="n">
        <v>0</v>
      </c>
      <c r="BS301" s="5" t="n">
        <v>1</v>
      </c>
      <c r="BT301" s="5" t="n">
        <v>0</v>
      </c>
      <c r="BU301" s="5" t="n">
        <v>0</v>
      </c>
      <c r="BV301" s="5" t="n">
        <v>0.076</v>
      </c>
      <c r="BW301" s="5" t="n">
        <v>0.18</v>
      </c>
      <c r="BX301" s="5" t="n">
        <v>1</v>
      </c>
      <c r="BY301" s="5" t="n">
        <v>13.646</v>
      </c>
      <c r="BZ301" s="5" t="n">
        <v>0</v>
      </c>
      <c r="CA301" s="5" t="n">
        <v>13.646</v>
      </c>
      <c r="CB301" s="5" t="n">
        <v>0</v>
      </c>
      <c r="CC301" s="5" t="n">
        <v>82.58799999999999</v>
      </c>
      <c r="CD301" s="5" t="n">
        <v>7.95</v>
      </c>
      <c r="CE301" s="5" t="n">
        <v>2.025</v>
      </c>
      <c r="CF301" s="5" t="n">
        <v>97.45399999999999</v>
      </c>
      <c r="CG301" s="5" t="n">
        <v>0.18</v>
      </c>
      <c r="CH301" s="5" t="n">
        <v>1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0</v>
      </c>
      <c r="CN301" s="5" t="n">
        <v>0.004</v>
      </c>
      <c r="CO301" s="5" t="n">
        <v>0</v>
      </c>
      <c r="CP301" s="5" t="n">
        <v>0.317</v>
      </c>
      <c r="CQ301" s="5" t="n">
        <v>1.387</v>
      </c>
      <c r="CR301" s="5" t="n">
        <v>0.005</v>
      </c>
      <c r="CS301" s="5" t="n">
        <v>5.529</v>
      </c>
      <c r="CT301" s="5" t="n">
        <v>3.027</v>
      </c>
      <c r="CU301" s="5" t="n">
        <v>12.788</v>
      </c>
    </row>
    <row r="302">
      <c r="A302" s="5" t="inlineStr">
        <is>
          <t>DEU2021</t>
        </is>
      </c>
      <c r="B302" s="5" t="inlineStr">
        <is>
          <t>DEU</t>
        </is>
      </c>
      <c r="C302" s="5" t="inlineStr">
        <is>
          <t>DEU</t>
        </is>
      </c>
      <c r="D302" s="5" t="inlineStr">
        <is>
          <t>Germany</t>
        </is>
      </c>
      <c r="E302" s="5" t="n">
        <v>2021</v>
      </c>
      <c r="F302" s="5" t="n">
        <v>0.19</v>
      </c>
      <c r="G302" s="5" t="n">
        <v>5.04</v>
      </c>
      <c r="H302" s="5" t="n">
        <v>1.103</v>
      </c>
      <c r="I302" s="5" t="n">
        <v>2.041</v>
      </c>
      <c r="J302" s="5" t="n">
        <v>7.08</v>
      </c>
      <c r="K302" s="5" t="n">
        <v>0</v>
      </c>
      <c r="L302" s="5" t="n">
        <v>1</v>
      </c>
      <c r="M302" s="5" t="n">
        <v>4.959</v>
      </c>
      <c r="N302" s="5" t="n">
        <v>2.248</v>
      </c>
      <c r="O302" s="5" t="n">
        <v>2.121</v>
      </c>
      <c r="P302" s="5" t="n">
        <v>7.08</v>
      </c>
      <c r="Q302" s="5" t="n">
        <v>0</v>
      </c>
      <c r="R302" s="5" t="n">
        <v>1</v>
      </c>
      <c r="S302" s="5" t="n">
        <v>7.593</v>
      </c>
      <c r="T302" s="5" t="n">
        <v>5.178</v>
      </c>
      <c r="U302" s="5" t="n">
        <v>0.39</v>
      </c>
      <c r="V302" s="5" t="n">
        <v>9.5</v>
      </c>
      <c r="W302" s="5" t="n">
        <v>0.19</v>
      </c>
      <c r="X302" s="5" t="n">
        <v>1</v>
      </c>
      <c r="Y302" s="5" t="n">
        <v>13.481</v>
      </c>
      <c r="Z302" s="5" t="n">
        <v>1.489</v>
      </c>
      <c r="AA302" s="5" t="n">
        <v>-0.846</v>
      </c>
      <c r="AB302" s="5" t="n">
        <v>12.635</v>
      </c>
      <c r="AC302" s="5" t="n">
        <v>0</v>
      </c>
      <c r="AD302" s="5" t="n">
        <v>1</v>
      </c>
      <c r="AE302" s="5" t="n">
        <v>13.437</v>
      </c>
      <c r="AF302" s="5" t="n">
        <v>2.644</v>
      </c>
      <c r="AG302" s="5" t="n">
        <v>-0.803</v>
      </c>
      <c r="AH302" s="5" t="n">
        <v>12.635</v>
      </c>
      <c r="AI302" s="5" t="n">
        <v>0</v>
      </c>
      <c r="AJ302" s="5" t="n">
        <v>1</v>
      </c>
      <c r="AK302" s="5" t="n">
        <v>19.686</v>
      </c>
      <c r="AL302" s="5" t="n">
        <v>9.662000000000001</v>
      </c>
      <c r="AM302" s="5" t="n">
        <v>-1.203</v>
      </c>
      <c r="AN302" s="5" t="n">
        <v>21.995</v>
      </c>
      <c r="AO302" s="5" t="n">
        <v>0.19</v>
      </c>
      <c r="AP302" s="5" t="n">
        <v>1</v>
      </c>
      <c r="AQ302" s="5" t="n">
        <v>0.619</v>
      </c>
      <c r="AR302" s="5" t="n">
        <v>0.114</v>
      </c>
      <c r="AS302" s="5" t="n">
        <v>0.954</v>
      </c>
      <c r="AT302" s="5" t="n">
        <v>1.872</v>
      </c>
      <c r="AU302" s="5" t="n">
        <v>0.19</v>
      </c>
      <c r="AV302" s="5" t="n">
        <v>1</v>
      </c>
      <c r="AW302" s="5" t="n">
        <v>0.599</v>
      </c>
      <c r="AX302" s="5" t="n">
        <v>0.114</v>
      </c>
      <c r="AY302" s="5" t="n">
        <v>0.781</v>
      </c>
      <c r="AZ302" s="5" t="n">
        <v>1.643</v>
      </c>
      <c r="BA302" s="5" t="n">
        <v>0.19</v>
      </c>
      <c r="BB302" s="5" t="n">
        <v>1</v>
      </c>
      <c r="BC302" s="5" t="n">
        <v>0.439</v>
      </c>
      <c r="BD302" s="5" t="n">
        <v>0.114</v>
      </c>
      <c r="BE302" s="5" t="n">
        <v>0.293</v>
      </c>
      <c r="BF302" s="5" t="n">
        <v>0.871</v>
      </c>
      <c r="BG302" s="5" t="n">
        <v>0.19</v>
      </c>
      <c r="BH302" s="5" t="n">
        <v>1</v>
      </c>
      <c r="BI302" s="5" t="n">
        <v>0.505</v>
      </c>
      <c r="BJ302" s="5" t="n">
        <v>0.114</v>
      </c>
      <c r="BK302" s="5" t="n">
        <v>0.203</v>
      </c>
      <c r="BL302" s="5" t="n">
        <v>0.842</v>
      </c>
      <c r="BM302" s="5" t="n">
        <v>0.19</v>
      </c>
      <c r="BN302" s="5" t="n">
        <v>1</v>
      </c>
      <c r="BO302" s="5" t="n">
        <v>0</v>
      </c>
      <c r="BP302" s="5" t="n">
        <v>0.07000000000000001</v>
      </c>
      <c r="BQ302" s="5" t="n">
        <v>0.155</v>
      </c>
      <c r="BR302" s="5" t="n">
        <v>0</v>
      </c>
      <c r="BS302" s="5" t="n">
        <v>1</v>
      </c>
      <c r="BT302" s="5" t="n">
        <v>0</v>
      </c>
      <c r="BU302" s="5" t="n">
        <v>0.133</v>
      </c>
      <c r="BV302" s="5" t="n">
        <v>0.38</v>
      </c>
      <c r="BW302" s="5" t="n">
        <v>0.19</v>
      </c>
      <c r="BX302" s="5" t="n">
        <v>0.833</v>
      </c>
      <c r="BY302" s="5" t="n">
        <v>11.787</v>
      </c>
      <c r="BZ302" s="5" t="n">
        <v>0</v>
      </c>
      <c r="CA302" s="5" t="n">
        <v>11.787</v>
      </c>
      <c r="CB302" s="5" t="n">
        <v>0</v>
      </c>
      <c r="CC302" s="5" t="n">
        <v>78.125</v>
      </c>
      <c r="CD302" s="5" t="n">
        <v>7.95</v>
      </c>
      <c r="CE302" s="5" t="n">
        <v>49.943</v>
      </c>
      <c r="CF302" s="5" t="n">
        <v>152.401</v>
      </c>
      <c r="CG302" s="5" t="n">
        <v>0.19</v>
      </c>
      <c r="CH302" s="5" t="n">
        <v>1</v>
      </c>
      <c r="CI302" s="5" t="n">
        <v>0</v>
      </c>
      <c r="CJ302" s="5" t="n">
        <v>0</v>
      </c>
      <c r="CK302" s="5" t="n">
        <v>0</v>
      </c>
      <c r="CL302" s="5" t="n">
        <v>0.543</v>
      </c>
      <c r="CM302" s="5" t="n">
        <v>0</v>
      </c>
      <c r="CN302" s="5" t="n">
        <v>0.083</v>
      </c>
      <c r="CO302" s="5" t="n">
        <v>0.06</v>
      </c>
      <c r="CP302" s="5" t="n">
        <v>0</v>
      </c>
      <c r="CQ302" s="5" t="n">
        <v>1.198</v>
      </c>
      <c r="CR302" s="5" t="n">
        <v>0</v>
      </c>
      <c r="CS302" s="5" t="n">
        <v>5.593</v>
      </c>
      <c r="CT302" s="5" t="n">
        <v>3.587</v>
      </c>
      <c r="CU302" s="5" t="n">
        <v>9.709</v>
      </c>
    </row>
    <row r="303">
      <c r="A303" s="5" t="inlineStr">
        <is>
          <t>DEU2022</t>
        </is>
      </c>
      <c r="B303" s="5" t="inlineStr">
        <is>
          <t>DEU</t>
        </is>
      </c>
      <c r="C303" s="5" t="inlineStr">
        <is>
          <t>DEU</t>
        </is>
      </c>
      <c r="D303" s="5" t="inlineStr">
        <is>
          <t>Germany</t>
        </is>
      </c>
      <c r="E303" s="5" t="n">
        <v>2022</v>
      </c>
      <c r="F303" s="5" t="n">
        <v>0.19</v>
      </c>
      <c r="G303" s="5" t="n">
        <v>11.6</v>
      </c>
      <c r="H303" s="5" t="n">
        <v>1.801</v>
      </c>
      <c r="I303" s="5" t="n">
        <v>8.446</v>
      </c>
      <c r="J303" s="5" t="n">
        <v>20.046</v>
      </c>
      <c r="K303" s="5" t="n">
        <v>0</v>
      </c>
      <c r="L303" s="5" t="n">
        <v>1</v>
      </c>
      <c r="M303" s="5" t="n">
        <v>11.442</v>
      </c>
      <c r="N303" s="5" t="n">
        <v>4.725</v>
      </c>
      <c r="O303" s="5" t="n">
        <v>8.603</v>
      </c>
      <c r="P303" s="5" t="n">
        <v>20.046</v>
      </c>
      <c r="Q303" s="5" t="n">
        <v>0</v>
      </c>
      <c r="R303" s="5" t="n">
        <v>1</v>
      </c>
      <c r="S303" s="5" t="n">
        <v>12.4</v>
      </c>
      <c r="T303" s="5" t="n">
        <v>5.676</v>
      </c>
      <c r="U303" s="5" t="n">
        <v>0.553</v>
      </c>
      <c r="V303" s="5" t="n">
        <v>15.2</v>
      </c>
      <c r="W303" s="5" t="n">
        <v>0.19</v>
      </c>
      <c r="X303" s="5" t="n">
        <v>1</v>
      </c>
      <c r="Y303" s="5" t="n">
        <v>40.745</v>
      </c>
      <c r="Z303" s="5" t="n">
        <v>4.274</v>
      </c>
      <c r="AA303" s="5" t="n">
        <v>-19.147</v>
      </c>
      <c r="AB303" s="5" t="n">
        <v>21.599</v>
      </c>
      <c r="AC303" s="5" t="n">
        <v>0</v>
      </c>
      <c r="AD303" s="5" t="n">
        <v>1</v>
      </c>
      <c r="AE303" s="5" t="n">
        <v>40.793</v>
      </c>
      <c r="AF303" s="5" t="n">
        <v>7.562</v>
      </c>
      <c r="AG303" s="5" t="n">
        <v>-19.195</v>
      </c>
      <c r="AH303" s="5" t="n">
        <v>21.599</v>
      </c>
      <c r="AI303" s="5" t="n">
        <v>0</v>
      </c>
      <c r="AJ303" s="5" t="n">
        <v>1</v>
      </c>
      <c r="AK303" s="5" t="n">
        <v>47.591</v>
      </c>
      <c r="AL303" s="5" t="n">
        <v>22.726</v>
      </c>
      <c r="AM303" s="5" t="n">
        <v>-26.114</v>
      </c>
      <c r="AN303" s="5" t="n">
        <v>25.557</v>
      </c>
      <c r="AO303" s="5" t="n">
        <v>0.19</v>
      </c>
      <c r="AP303" s="5" t="n">
        <v>1</v>
      </c>
      <c r="AQ303" s="5" t="n">
        <v>0.861</v>
      </c>
      <c r="AR303" s="5" t="n">
        <v>0.123</v>
      </c>
      <c r="AS303" s="5" t="n">
        <v>0.841</v>
      </c>
      <c r="AT303" s="5" t="n">
        <v>2.025</v>
      </c>
      <c r="AU303" s="5" t="n">
        <v>0.19</v>
      </c>
      <c r="AV303" s="5" t="n">
        <v>1</v>
      </c>
      <c r="AW303" s="5" t="n">
        <v>0.986</v>
      </c>
      <c r="AX303" s="5" t="n">
        <v>0.123</v>
      </c>
      <c r="AY303" s="5" t="n">
        <v>0.743</v>
      </c>
      <c r="AZ303" s="5" t="n">
        <v>2.058</v>
      </c>
      <c r="BA303" s="5" t="n">
        <v>0.19</v>
      </c>
      <c r="BB303" s="5" t="n">
        <v>1</v>
      </c>
      <c r="BC303" s="5" t="n">
        <v>0.598</v>
      </c>
      <c r="BD303" s="5" t="n">
        <v>0.123</v>
      </c>
      <c r="BE303" s="5" t="n">
        <v>0.313</v>
      </c>
      <c r="BF303" s="5" t="n">
        <v>1.084</v>
      </c>
      <c r="BG303" s="5" t="n">
        <v>0.19</v>
      </c>
      <c r="BH303" s="5" t="n">
        <v>1</v>
      </c>
      <c r="BI303" s="5" t="n">
        <v>0.612</v>
      </c>
      <c r="BJ303" s="5" t="n">
        <v>0.123</v>
      </c>
      <c r="BK303" s="5" t="n">
        <v>0.5669999999999999</v>
      </c>
      <c r="BL303" s="5" t="n">
        <v>1.404</v>
      </c>
      <c r="BM303" s="5" t="n">
        <v>0.19</v>
      </c>
      <c r="BN303" s="5" t="n">
        <v>1</v>
      </c>
      <c r="BO303" s="5" t="n">
        <v>0</v>
      </c>
      <c r="BP303" s="5" t="n">
        <v>0.03</v>
      </c>
      <c r="BQ303" s="5" t="n">
        <v>0.195</v>
      </c>
      <c r="BR303" s="5" t="n">
        <v>0</v>
      </c>
      <c r="BS303" s="5" t="n">
        <v>1</v>
      </c>
      <c r="BT303" s="5" t="n">
        <v>0</v>
      </c>
      <c r="BU303" s="5" t="n">
        <v>0.07099999999999999</v>
      </c>
      <c r="BV303" s="5" t="n">
        <v>0.349</v>
      </c>
      <c r="BW303" s="5" t="n">
        <v>0.19</v>
      </c>
      <c r="BX303" s="5" t="n">
        <v>0.833</v>
      </c>
      <c r="BY303" s="5" t="n">
        <v>12.729</v>
      </c>
      <c r="BZ303" s="5" t="n">
        <v>0</v>
      </c>
      <c r="CA303" s="5" t="n">
        <v>12.729</v>
      </c>
      <c r="CB303" s="5" t="n">
        <v>0</v>
      </c>
      <c r="CC303" s="5" t="n">
        <v>97.90000000000001</v>
      </c>
      <c r="CD303" s="5" t="n">
        <v>7.95</v>
      </c>
      <c r="CE303" s="5" t="n">
        <v>128.724</v>
      </c>
      <c r="CF303" s="5" t="n">
        <v>269.683</v>
      </c>
      <c r="CG303" s="5" t="n">
        <v>0.19</v>
      </c>
      <c r="CH303" s="5" t="n">
        <v>1</v>
      </c>
      <c r="CI303" s="5" t="n">
        <v>0</v>
      </c>
      <c r="CJ303" s="5" t="n">
        <v>0</v>
      </c>
      <c r="CK303" s="5" t="n">
        <v>0</v>
      </c>
      <c r="CL303" s="5" t="n">
        <v>0.586</v>
      </c>
      <c r="CM303" s="5" t="n">
        <v>0</v>
      </c>
      <c r="CN303" s="5" t="n">
        <v>0.083</v>
      </c>
      <c r="CO303" s="5" t="n">
        <v>0.064</v>
      </c>
      <c r="CP303" s="5" t="n">
        <v>0</v>
      </c>
      <c r="CQ303" s="5" t="n">
        <v>1.294</v>
      </c>
      <c r="CR303" s="5" t="n">
        <v>0</v>
      </c>
      <c r="CS303" s="5" t="n">
        <v>6.04</v>
      </c>
      <c r="CT303" s="5" t="n">
        <v>11.494</v>
      </c>
      <c r="CU303" s="5" t="n">
        <v>36.882</v>
      </c>
    </row>
    <row r="304">
      <c r="A304" s="5" t="inlineStr">
        <is>
          <t>DEU2023</t>
        </is>
      </c>
      <c r="B304" s="5" t="inlineStr">
        <is>
          <t>DEU</t>
        </is>
      </c>
      <c r="C304" s="5" t="inlineStr">
        <is>
          <t>DEU</t>
        </is>
      </c>
      <c r="D304" s="5" t="inlineStr">
        <is>
          <t>Germany</t>
        </is>
      </c>
      <c r="E304" s="5" t="n">
        <v>2023</v>
      </c>
      <c r="F304" s="5" t="n">
        <v>0.19</v>
      </c>
      <c r="G304" s="5" t="n">
        <v>7.951</v>
      </c>
      <c r="H304" s="5" t="n">
        <v>1.811</v>
      </c>
      <c r="I304" s="5" t="n">
        <v>9.787000000000001</v>
      </c>
      <c r="J304" s="5" t="n">
        <v>17.738</v>
      </c>
      <c r="K304" s="5" t="n">
        <v>0</v>
      </c>
      <c r="L304" s="5" t="n">
        <v>1</v>
      </c>
      <c r="M304" s="5" t="n">
        <v>7.777</v>
      </c>
      <c r="N304" s="5" t="n">
        <v>3.857</v>
      </c>
      <c r="O304" s="5" t="n">
        <v>9.961</v>
      </c>
      <c r="P304" s="5" t="n">
        <v>17.738</v>
      </c>
      <c r="Q304" s="5" t="n">
        <v>0</v>
      </c>
      <c r="R304" s="5" t="n">
        <v>1</v>
      </c>
      <c r="S304" s="5" t="n">
        <v>10.66</v>
      </c>
      <c r="T304" s="5" t="n">
        <v>5.816</v>
      </c>
      <c r="U304" s="5" t="n">
        <v>0.589</v>
      </c>
      <c r="V304" s="5" t="n">
        <v>13.111</v>
      </c>
      <c r="W304" s="5" t="n">
        <v>0.19</v>
      </c>
      <c r="X304" s="5" t="n">
        <v>1</v>
      </c>
      <c r="Y304" s="5" t="n">
        <v>18.171</v>
      </c>
      <c r="Z304" s="5" t="n">
        <v>2.035</v>
      </c>
      <c r="AA304" s="5" t="n">
        <v>10.693</v>
      </c>
      <c r="AB304" s="5" t="n">
        <v>28.864</v>
      </c>
      <c r="AC304" s="5" t="n">
        <v>0</v>
      </c>
      <c r="AD304" s="5" t="n">
        <v>1</v>
      </c>
      <c r="AE304" s="5" t="n">
        <v>18.27</v>
      </c>
      <c r="AF304" s="5" t="n">
        <v>3.639</v>
      </c>
      <c r="AG304" s="5" t="n">
        <v>10.595</v>
      </c>
      <c r="AH304" s="5" t="n">
        <v>28.864</v>
      </c>
      <c r="AI304" s="5" t="n">
        <v>0</v>
      </c>
      <c r="AJ304" s="5" t="n">
        <v>1</v>
      </c>
      <c r="AK304" s="5" t="n">
        <v>25.373</v>
      </c>
      <c r="AL304" s="5" t="n">
        <v>12.569</v>
      </c>
      <c r="AM304" s="5" t="n">
        <v>4.593</v>
      </c>
      <c r="AN304" s="5" t="n">
        <v>35.659</v>
      </c>
      <c r="AO304" s="5" t="n">
        <v>0.19</v>
      </c>
      <c r="AP304" s="5" t="n">
        <v>1</v>
      </c>
      <c r="AQ304" s="5" t="n">
        <v>0.76</v>
      </c>
      <c r="AR304" s="5" t="n">
        <v>0.129</v>
      </c>
      <c r="AS304" s="5" t="n">
        <v>0.921</v>
      </c>
      <c r="AT304" s="5" t="n">
        <v>2</v>
      </c>
      <c r="AU304" s="5" t="n">
        <v>0.19</v>
      </c>
      <c r="AV304" s="5" t="n">
        <v>1</v>
      </c>
      <c r="AW304" s="5" t="n">
        <v>0.8110000000000001</v>
      </c>
      <c r="AX304" s="5" t="n">
        <v>0.129</v>
      </c>
      <c r="AY304" s="5" t="n">
        <v>0.758</v>
      </c>
      <c r="AZ304" s="5" t="n">
        <v>1.868</v>
      </c>
      <c r="BA304" s="5" t="n">
        <v>0.19</v>
      </c>
      <c r="BB304" s="5" t="n">
        <v>1</v>
      </c>
      <c r="BC304" s="5" t="n">
        <v>0.535</v>
      </c>
      <c r="BD304" s="5" t="n">
        <v>0.129</v>
      </c>
      <c r="BE304" s="5" t="n">
        <v>0.401</v>
      </c>
      <c r="BF304" s="5" t="n">
        <v>1.113</v>
      </c>
      <c r="BG304" s="5" t="n">
        <v>0.19</v>
      </c>
      <c r="BH304" s="5" t="n">
        <v>1</v>
      </c>
      <c r="BI304" s="5" t="n">
        <v>0.579</v>
      </c>
      <c r="BJ304" s="5" t="n">
        <v>0.129</v>
      </c>
      <c r="BK304" s="5" t="n">
        <v>0.363</v>
      </c>
      <c r="BL304" s="5" t="n">
        <v>1.122</v>
      </c>
      <c r="BM304" s="5" t="n">
        <v>0.19</v>
      </c>
      <c r="BN304" s="5" t="n">
        <v>1</v>
      </c>
      <c r="BO304" s="5" t="n">
        <v>0</v>
      </c>
      <c r="BP304" s="5" t="n">
        <v>0.022</v>
      </c>
      <c r="BQ304" s="5" t="n">
        <v>0.199</v>
      </c>
      <c r="BR304" s="5" t="n">
        <v>0</v>
      </c>
      <c r="BS304" s="5" t="n">
        <v>1</v>
      </c>
      <c r="BT304" s="5" t="n">
        <v>0</v>
      </c>
      <c r="BU304" s="5" t="n">
        <v>0.054</v>
      </c>
      <c r="BV304" s="5" t="n">
        <v>0.44</v>
      </c>
      <c r="BW304" s="5" t="n">
        <v>0.19</v>
      </c>
      <c r="BX304" s="5" t="n">
        <v>0.833</v>
      </c>
      <c r="BY304" s="5" t="n">
        <v>13.254</v>
      </c>
      <c r="BZ304" s="5" t="n">
        <v>0</v>
      </c>
      <c r="CA304" s="5" t="n">
        <v>13.254</v>
      </c>
      <c r="CB304" s="5" t="n">
        <v>0</v>
      </c>
      <c r="CC304" s="5" t="n">
        <v>83.248</v>
      </c>
      <c r="CD304" s="5" t="n">
        <v>7.95</v>
      </c>
      <c r="CE304" s="5" t="n">
        <v>116.06</v>
      </c>
      <c r="CF304" s="5" t="n">
        <v>237.176</v>
      </c>
      <c r="CG304" s="5" t="n">
        <v>0.19</v>
      </c>
      <c r="CH304" s="5" t="n">
        <v>1</v>
      </c>
      <c r="CI304" s="5" t="n">
        <v>0</v>
      </c>
      <c r="CJ304" s="5" t="n">
        <v>0</v>
      </c>
      <c r="CK304" s="5" t="n">
        <v>0</v>
      </c>
      <c r="CL304" s="5" t="n">
        <v>0.61</v>
      </c>
      <c r="CM304" s="5" t="n">
        <v>0</v>
      </c>
      <c r="CN304" s="5" t="n">
        <v>0.08</v>
      </c>
      <c r="CO304" s="5" t="n">
        <v>0.064</v>
      </c>
      <c r="CP304" s="5" t="n">
        <v>0</v>
      </c>
      <c r="CQ304" s="5" t="n">
        <v>1.348</v>
      </c>
      <c r="CR304" s="5" t="n">
        <v>0</v>
      </c>
      <c r="CS304" s="5" t="n">
        <v>6.289</v>
      </c>
      <c r="CT304" s="5" t="n">
        <v>8.233000000000001</v>
      </c>
      <c r="CU304" s="5" t="n">
        <v>14.257</v>
      </c>
    </row>
    <row r="305">
      <c r="A305" s="5" t="inlineStr">
        <is>
          <t>DEU2024</t>
        </is>
      </c>
      <c r="B305" s="5" t="inlineStr">
        <is>
          <t>DEU</t>
        </is>
      </c>
      <c r="C305" s="5" t="inlineStr">
        <is>
          <t>DEU</t>
        </is>
      </c>
      <c r="D305" s="5" t="inlineStr">
        <is>
          <t>Germany</t>
        </is>
      </c>
      <c r="E305" s="5" t="n">
        <v>2024</v>
      </c>
      <c r="F305" s="5" t="n">
        <v>0.19</v>
      </c>
      <c r="G305" s="5" t="n">
        <v>7.042</v>
      </c>
      <c r="H305" s="5" t="n">
        <v>1.784</v>
      </c>
      <c r="I305" s="5" t="n">
        <v>6.414</v>
      </c>
      <c r="J305" s="5" t="n">
        <v>13.456</v>
      </c>
      <c r="K305" s="5" t="n">
        <v>0</v>
      </c>
      <c r="L305" s="5" t="n">
        <v>1</v>
      </c>
      <c r="M305" s="5" t="n">
        <v>6.908</v>
      </c>
      <c r="N305" s="5" t="n">
        <v>3.763</v>
      </c>
      <c r="O305" s="5" t="n">
        <v>6.548</v>
      </c>
      <c r="P305" s="5" t="n">
        <v>13.456</v>
      </c>
      <c r="Q305" s="5" t="n">
        <v>0</v>
      </c>
      <c r="R305" s="5" t="n">
        <v>1</v>
      </c>
      <c r="S305" s="5" t="n">
        <v>10.253</v>
      </c>
      <c r="T305" s="5" t="n">
        <v>5.987</v>
      </c>
      <c r="U305" s="5" t="n">
        <v>5.647</v>
      </c>
      <c r="V305" s="5" t="n">
        <v>18.444</v>
      </c>
      <c r="W305" s="5" t="n">
        <v>0.19</v>
      </c>
      <c r="X305" s="5" t="n">
        <v>1</v>
      </c>
      <c r="Y305" s="5" t="n">
        <v>17.078</v>
      </c>
      <c r="Z305" s="5" t="n">
        <v>2.156</v>
      </c>
      <c r="AA305" s="5" t="n">
        <v>7.499</v>
      </c>
      <c r="AB305" s="5" t="n">
        <v>24.576</v>
      </c>
      <c r="AC305" s="5" t="n">
        <v>0</v>
      </c>
      <c r="AD305" s="5" t="n">
        <v>1</v>
      </c>
      <c r="AE305" s="5" t="n">
        <v>17.078</v>
      </c>
      <c r="AF305" s="5" t="n">
        <v>3.741</v>
      </c>
      <c r="AG305" s="5" t="n">
        <v>7.499</v>
      </c>
      <c r="AH305" s="5" t="n">
        <v>24.576</v>
      </c>
      <c r="AI305" s="5" t="n">
        <v>0</v>
      </c>
      <c r="AJ305" s="5" t="n">
        <v>1</v>
      </c>
      <c r="AK305" s="5" t="n">
        <v>25.797</v>
      </c>
      <c r="AL305" s="5" t="n">
        <v>13.121</v>
      </c>
      <c r="AM305" s="5" t="n">
        <v>4.974</v>
      </c>
      <c r="AN305" s="5" t="n">
        <v>36.618</v>
      </c>
      <c r="AO305" s="5" t="n">
        <v>0.19</v>
      </c>
      <c r="AP305" s="5" t="n">
        <v>1</v>
      </c>
      <c r="AQ305" s="5" t="n">
        <v>0.724</v>
      </c>
      <c r="AR305" s="5" t="n">
        <v>0.132</v>
      </c>
      <c r="AS305" s="5" t="n">
        <v>0.905</v>
      </c>
      <c r="AT305" s="5" t="n">
        <v>1.939</v>
      </c>
      <c r="AU305" s="5" t="n">
        <v>0.19</v>
      </c>
      <c r="AV305" s="5" t="n">
        <v>1</v>
      </c>
      <c r="AW305" s="5" t="n">
        <v>0.75</v>
      </c>
      <c r="AX305" s="5" t="n">
        <v>0.132</v>
      </c>
      <c r="AY305" s="5" t="n">
        <v>0.748</v>
      </c>
      <c r="AZ305" s="5" t="n">
        <v>1.783</v>
      </c>
      <c r="BA305" s="5" t="n">
        <v>0.19</v>
      </c>
      <c r="BB305" s="5" t="n">
        <v>1</v>
      </c>
      <c r="BC305" s="5" t="n">
        <v>0.513</v>
      </c>
      <c r="BD305" s="5" t="n">
        <v>0.132</v>
      </c>
      <c r="BE305" s="5" t="n">
        <v>0.393</v>
      </c>
      <c r="BF305" s="5" t="n">
        <v>1.078</v>
      </c>
      <c r="BG305" s="5" t="n">
        <v>0.19</v>
      </c>
      <c r="BH305" s="5" t="n">
        <v>1</v>
      </c>
      <c r="BI305" s="5" t="n">
        <v>0.591</v>
      </c>
      <c r="BJ305" s="5" t="n">
        <v>0.132</v>
      </c>
      <c r="BK305" s="5" t="n">
        <v>0.293</v>
      </c>
      <c r="BL305" s="5" t="n">
        <v>1.053</v>
      </c>
      <c r="BM305" s="5" t="n">
        <v>0.19</v>
      </c>
      <c r="BN305" s="5" t="n">
        <v>1</v>
      </c>
      <c r="BO305" s="5" t="n">
        <v>0</v>
      </c>
      <c r="BP305" s="5" t="n">
        <v>0.022</v>
      </c>
      <c r="BQ305" s="5" t="n">
        <v>0.184</v>
      </c>
      <c r="BR305" s="5" t="n">
        <v>0</v>
      </c>
      <c r="BS305" s="5" t="n">
        <v>1</v>
      </c>
      <c r="BT305" s="5" t="n">
        <v>0</v>
      </c>
      <c r="BU305" s="5" t="n">
        <v>0.056</v>
      </c>
      <c r="BV305" s="5" t="n">
        <v>0.427</v>
      </c>
      <c r="BW305" s="5" t="n">
        <v>0.19</v>
      </c>
      <c r="BX305" s="5" t="n">
        <v>0.833</v>
      </c>
      <c r="BY305" s="5" t="n">
        <v>13.646</v>
      </c>
      <c r="BZ305" s="5" t="n">
        <v>0</v>
      </c>
      <c r="CA305" s="5" t="n">
        <v>13.646</v>
      </c>
      <c r="CB305" s="5" t="n">
        <v>0</v>
      </c>
      <c r="CC305" s="5" t="n">
        <v>82.58799999999999</v>
      </c>
      <c r="CD305" s="5" t="n">
        <v>7.95</v>
      </c>
      <c r="CE305" s="5" t="n">
        <v>96.38</v>
      </c>
      <c r="CF305" s="5" t="n">
        <v>212.972</v>
      </c>
      <c r="CG305" s="5" t="n">
        <v>0.19</v>
      </c>
      <c r="CH305" s="5" t="n">
        <v>1</v>
      </c>
      <c r="CI305" s="5" t="n">
        <v>0</v>
      </c>
      <c r="CJ305" s="5" t="n">
        <v>0</v>
      </c>
      <c r="CK305" s="5" t="n">
        <v>0</v>
      </c>
      <c r="CL305" s="5" t="n">
        <v>0.628</v>
      </c>
      <c r="CM305" s="5" t="n">
        <v>0</v>
      </c>
      <c r="CN305" s="5" t="n">
        <v>0.074</v>
      </c>
      <c r="CO305" s="5" t="n">
        <v>0.065</v>
      </c>
      <c r="CP305" s="5" t="n">
        <v>0</v>
      </c>
      <c r="CQ305" s="5" t="n">
        <v>1.387</v>
      </c>
      <c r="CR305" s="5" t="n">
        <v>0</v>
      </c>
      <c r="CS305" s="5" t="n">
        <v>6.475</v>
      </c>
      <c r="CT305" s="5" t="n">
        <v>7.055</v>
      </c>
      <c r="CU305" s="5" t="n">
        <v>10.98</v>
      </c>
    </row>
    <row r="306">
      <c r="A306" s="5" t="inlineStr">
        <is>
          <t>GHA2021</t>
        </is>
      </c>
      <c r="B306" s="5" t="inlineStr">
        <is>
          <t>GHA</t>
        </is>
      </c>
      <c r="C306" s="5" t="inlineStr">
        <is>
          <t>GHA</t>
        </is>
      </c>
      <c r="D306" s="5" t="inlineStr">
        <is>
          <t>Ghana</t>
        </is>
      </c>
      <c r="E306" s="5" t="n">
        <v>2021</v>
      </c>
      <c r="F306" s="5" t="n">
        <v>0.181</v>
      </c>
      <c r="G306" s="5" t="n">
        <v>5.897</v>
      </c>
      <c r="H306" s="5" t="n">
        <v>1.143</v>
      </c>
      <c r="I306" s="5" t="n">
        <v>0.238</v>
      </c>
      <c r="J306" s="5" t="n">
        <v>6.134</v>
      </c>
      <c r="K306" s="5" t="n">
        <v>0</v>
      </c>
      <c r="L306" s="5" t="n">
        <v>1</v>
      </c>
      <c r="M306" s="5" t="n">
        <v>7.964</v>
      </c>
      <c r="N306" s="5" t="n">
        <v>3.43</v>
      </c>
      <c r="O306" s="5" t="n">
        <v>0.227</v>
      </c>
      <c r="P306" s="5" t="n">
        <v>8.191000000000001</v>
      </c>
      <c r="Q306" s="5" t="n">
        <v>0</v>
      </c>
      <c r="R306" s="5" t="n">
        <v>1</v>
      </c>
      <c r="S306" s="5" t="n">
        <v>11.613</v>
      </c>
      <c r="T306" s="5" t="n">
        <v>6.86</v>
      </c>
      <c r="U306" s="5" t="n">
        <v>0.238</v>
      </c>
      <c r="V306" s="5" t="n">
        <v>14</v>
      </c>
      <c r="W306" s="5" t="n">
        <v>0.181</v>
      </c>
      <c r="X306" s="5" t="n">
        <v>1</v>
      </c>
      <c r="Y306" s="5" t="n">
        <v>5.197</v>
      </c>
      <c r="Z306" s="5" t="n">
        <v>0.493</v>
      </c>
      <c r="AA306" s="5" t="n">
        <v>1.656</v>
      </c>
      <c r="AB306" s="5" t="n">
        <v>6.853</v>
      </c>
      <c r="AC306" s="5" t="n">
        <v>0</v>
      </c>
      <c r="AD306" s="5" t="n">
        <v>1</v>
      </c>
      <c r="AE306" s="5" t="n">
        <v>5.853</v>
      </c>
      <c r="AF306" s="5" t="n">
        <v>0.997</v>
      </c>
      <c r="AG306" s="5" t="n">
        <v>1.656</v>
      </c>
      <c r="AH306" s="5" t="n">
        <v>7.509</v>
      </c>
      <c r="AI306" s="5" t="n">
        <v>0</v>
      </c>
      <c r="AJ306" s="5" t="n">
        <v>1</v>
      </c>
      <c r="AK306" s="5" t="n">
        <v>9.789999999999999</v>
      </c>
      <c r="AL306" s="5" t="n">
        <v>4.257</v>
      </c>
      <c r="AM306" s="5" t="n">
        <v>-0.968</v>
      </c>
      <c r="AN306" s="5" t="n">
        <v>10.421</v>
      </c>
      <c r="AO306" s="5" t="n">
        <v>0.181</v>
      </c>
      <c r="AP306" s="5" t="n">
        <v>1</v>
      </c>
      <c r="AQ306" s="5" t="n">
        <v>0.619</v>
      </c>
      <c r="AR306" s="5" t="n">
        <v>0.114</v>
      </c>
      <c r="AS306" s="5" t="n">
        <v>0.278</v>
      </c>
      <c r="AT306" s="5" t="n">
        <v>1.059</v>
      </c>
      <c r="AU306" s="5" t="n">
        <v>0.181</v>
      </c>
      <c r="AV306" s="5" t="n">
        <v>1</v>
      </c>
      <c r="AW306" s="5" t="n">
        <v>0.599</v>
      </c>
      <c r="AX306" s="5" t="n">
        <v>0.114</v>
      </c>
      <c r="AY306" s="5" t="n">
        <v>0.296</v>
      </c>
      <c r="AZ306" s="5" t="n">
        <v>1.058</v>
      </c>
      <c r="BA306" s="5" t="n">
        <v>0.181</v>
      </c>
      <c r="BB306" s="5" t="n">
        <v>1</v>
      </c>
      <c r="BC306" s="5" t="n">
        <v>0.439</v>
      </c>
      <c r="BD306" s="5" t="n">
        <v>0.114</v>
      </c>
      <c r="BE306" s="5" t="n">
        <v>0.186</v>
      </c>
      <c r="BF306" s="5" t="n">
        <v>0.739</v>
      </c>
      <c r="BG306" s="5" t="n">
        <v>0.181</v>
      </c>
      <c r="BH306" s="5" t="n">
        <v>1</v>
      </c>
      <c r="BI306" s="5" t="n">
        <v>0.505</v>
      </c>
      <c r="BJ306" s="5" t="n">
        <v>0.114</v>
      </c>
      <c r="BK306" s="5" t="n">
        <v>0.238</v>
      </c>
      <c r="BL306" s="5" t="n">
        <v>0.877</v>
      </c>
      <c r="BM306" s="5" t="n">
        <v>0.181</v>
      </c>
      <c r="BN306" s="5" t="n">
        <v>1</v>
      </c>
      <c r="BO306" s="5" t="n">
        <v>0</v>
      </c>
      <c r="BP306" s="5" t="n">
        <v>-0.036</v>
      </c>
      <c r="BQ306" s="5" t="n">
        <v>0.225</v>
      </c>
      <c r="BR306" s="5" t="n">
        <v>0</v>
      </c>
      <c r="BS306" s="5" t="n">
        <v>1</v>
      </c>
      <c r="BT306" s="5" t="n">
        <v>0</v>
      </c>
      <c r="BU306" s="5" t="n">
        <v>-0.036</v>
      </c>
      <c r="BV306" s="5" t="n">
        <v>0.117</v>
      </c>
      <c r="BW306" s="5" t="n">
        <v>0</v>
      </c>
      <c r="BX306" s="5" t="n">
        <v>1</v>
      </c>
      <c r="BY306" s="5" t="n">
        <v>11.787</v>
      </c>
      <c r="BZ306" s="5" t="n">
        <v>0</v>
      </c>
      <c r="CA306" s="5" t="n">
        <v>11.787</v>
      </c>
      <c r="CB306" s="5" t="n">
        <v>0</v>
      </c>
      <c r="CC306" s="5" t="n">
        <v>78.125</v>
      </c>
      <c r="CD306" s="5" t="n">
        <v>7.95</v>
      </c>
      <c r="CE306" s="5" t="n">
        <v>-48.001</v>
      </c>
      <c r="CF306" s="5" t="n">
        <v>35.586</v>
      </c>
      <c r="CG306" s="5" t="n">
        <v>0</v>
      </c>
      <c r="CH306" s="5" t="n">
        <v>1</v>
      </c>
      <c r="CI306" s="5" t="n">
        <v>0</v>
      </c>
      <c r="CJ306" s="5" t="n">
        <v>0</v>
      </c>
      <c r="CK306" s="5" t="n">
        <v>0</v>
      </c>
      <c r="CL306" s="5" t="n">
        <v>0</v>
      </c>
      <c r="CM306" s="5" t="n">
        <v>0</v>
      </c>
      <c r="CN306" s="5" t="n">
        <v>0</v>
      </c>
      <c r="CO306" s="5" t="n">
        <v>0</v>
      </c>
      <c r="CP306" s="5" t="n">
        <v>0</v>
      </c>
      <c r="CQ306" s="5" t="n">
        <v>1.198</v>
      </c>
      <c r="CR306" s="5" t="n">
        <v>0.852</v>
      </c>
      <c r="CS306" s="5" t="n">
        <v>2.702</v>
      </c>
      <c r="CT306" s="5" t="n">
        <v>4.753</v>
      </c>
      <c r="CU306" s="5" t="n">
        <v>15.162</v>
      </c>
    </row>
    <row r="307">
      <c r="A307" s="5" t="inlineStr">
        <is>
          <t>GHA2022</t>
        </is>
      </c>
      <c r="B307" s="5" t="inlineStr">
        <is>
          <t>GHA</t>
        </is>
      </c>
      <c r="C307" s="5" t="inlineStr">
        <is>
          <t>GHA</t>
        </is>
      </c>
      <c r="D307" s="5" t="inlineStr">
        <is>
          <t>Ghana</t>
        </is>
      </c>
      <c r="E307" s="5" t="n">
        <v>2022</v>
      </c>
      <c r="F307" s="5" t="n">
        <v>0.185</v>
      </c>
      <c r="G307" s="5" t="n">
        <v>11.72</v>
      </c>
      <c r="H307" s="5" t="n">
        <v>1.235</v>
      </c>
      <c r="I307" s="5" t="n">
        <v>0.5659999999999999</v>
      </c>
      <c r="J307" s="5" t="n">
        <v>12.286</v>
      </c>
      <c r="K307" s="5" t="n">
        <v>0</v>
      </c>
      <c r="L307" s="5" t="n">
        <v>1</v>
      </c>
      <c r="M307" s="5" t="n">
        <v>9.782999999999999</v>
      </c>
      <c r="N307" s="5" t="n">
        <v>3.704</v>
      </c>
      <c r="O307" s="5" t="n">
        <v>0.328</v>
      </c>
      <c r="P307" s="5" t="n">
        <v>10.111</v>
      </c>
      <c r="Q307" s="5" t="n">
        <v>0</v>
      </c>
      <c r="R307" s="5" t="n">
        <v>1</v>
      </c>
      <c r="S307" s="5" t="n">
        <v>17.893</v>
      </c>
      <c r="T307" s="5" t="n">
        <v>7.408</v>
      </c>
      <c r="U307" s="5" t="n">
        <v>0.819</v>
      </c>
      <c r="V307" s="5" t="n">
        <v>21.874</v>
      </c>
      <c r="W307" s="5" t="n">
        <v>0.185</v>
      </c>
      <c r="X307" s="5" t="n">
        <v>1</v>
      </c>
      <c r="Y307" s="5" t="n">
        <v>7.724</v>
      </c>
      <c r="Z307" s="5" t="n">
        <v>0.732</v>
      </c>
      <c r="AA307" s="5" t="n">
        <v>1.405</v>
      </c>
      <c r="AB307" s="5" t="n">
        <v>9.129</v>
      </c>
      <c r="AC307" s="5" t="n">
        <v>0</v>
      </c>
      <c r="AD307" s="5" t="n">
        <v>1</v>
      </c>
      <c r="AE307" s="5" t="n">
        <v>8.430999999999999</v>
      </c>
      <c r="AF307" s="5" t="n">
        <v>1.436</v>
      </c>
      <c r="AG307" s="5" t="n">
        <v>1.405</v>
      </c>
      <c r="AH307" s="5" t="n">
        <v>9.835000000000001</v>
      </c>
      <c r="AI307" s="5" t="n">
        <v>0</v>
      </c>
      <c r="AJ307" s="5" t="n">
        <v>1</v>
      </c>
      <c r="AK307" s="5" t="n">
        <v>12.67</v>
      </c>
      <c r="AL307" s="5" t="n">
        <v>5.509</v>
      </c>
      <c r="AM307" s="5" t="n">
        <v>-0.778</v>
      </c>
      <c r="AN307" s="5" t="n">
        <v>13.902</v>
      </c>
      <c r="AO307" s="5" t="n">
        <v>0.185</v>
      </c>
      <c r="AP307" s="5" t="n">
        <v>1</v>
      </c>
      <c r="AQ307" s="5" t="n">
        <v>0.861</v>
      </c>
      <c r="AR307" s="5" t="n">
        <v>0.123</v>
      </c>
      <c r="AS307" s="5" t="n">
        <v>0.312</v>
      </c>
      <c r="AT307" s="5" t="n">
        <v>1.39</v>
      </c>
      <c r="AU307" s="5" t="n">
        <v>0.185</v>
      </c>
      <c r="AV307" s="5" t="n">
        <v>1</v>
      </c>
      <c r="AW307" s="5" t="n">
        <v>0.986</v>
      </c>
      <c r="AX307" s="5" t="n">
        <v>0.123</v>
      </c>
      <c r="AY307" s="5" t="n">
        <v>0.365</v>
      </c>
      <c r="AZ307" s="5" t="n">
        <v>1.601</v>
      </c>
      <c r="BA307" s="5" t="n">
        <v>0.185</v>
      </c>
      <c r="BB307" s="5" t="n">
        <v>1</v>
      </c>
      <c r="BC307" s="5" t="n">
        <v>0.598</v>
      </c>
      <c r="BD307" s="5" t="n">
        <v>0.123</v>
      </c>
      <c r="BE307" s="5" t="n">
        <v>0.101</v>
      </c>
      <c r="BF307" s="5" t="n">
        <v>0.828</v>
      </c>
      <c r="BG307" s="5" t="n">
        <v>0.185</v>
      </c>
      <c r="BH307" s="5" t="n">
        <v>1</v>
      </c>
      <c r="BI307" s="5" t="n">
        <v>0.612</v>
      </c>
      <c r="BJ307" s="5" t="n">
        <v>0.123</v>
      </c>
      <c r="BK307" s="5" t="n">
        <v>0.59</v>
      </c>
      <c r="BL307" s="5" t="n">
        <v>1.425</v>
      </c>
      <c r="BM307" s="5" t="n">
        <v>0.185</v>
      </c>
      <c r="BN307" s="5" t="n">
        <v>1</v>
      </c>
      <c r="BO307" s="5" t="n">
        <v>0</v>
      </c>
      <c r="BP307" s="5" t="n">
        <v>-0.036</v>
      </c>
      <c r="BQ307" s="5" t="n">
        <v>0.106</v>
      </c>
      <c r="BR307" s="5" t="n">
        <v>0</v>
      </c>
      <c r="BS307" s="5" t="n">
        <v>1</v>
      </c>
      <c r="BT307" s="5" t="n">
        <v>0</v>
      </c>
      <c r="BU307" s="5" t="n">
        <v>-0.036</v>
      </c>
      <c r="BV307" s="5" t="n">
        <v>0.098</v>
      </c>
      <c r="BW307" s="5" t="n">
        <v>0</v>
      </c>
      <c r="BX307" s="5" t="n">
        <v>1</v>
      </c>
      <c r="BY307" s="5" t="n">
        <v>12.729</v>
      </c>
      <c r="BZ307" s="5" t="n">
        <v>0</v>
      </c>
      <c r="CA307" s="5" t="n">
        <v>12.729</v>
      </c>
      <c r="CB307" s="5" t="n">
        <v>0</v>
      </c>
      <c r="CC307" s="5" t="n">
        <v>97.90000000000001</v>
      </c>
      <c r="CD307" s="5" t="n">
        <v>7.95</v>
      </c>
      <c r="CE307" s="5" t="n">
        <v>-34.232</v>
      </c>
      <c r="CF307" s="5" t="n">
        <v>75.446</v>
      </c>
      <c r="CG307" s="5" t="n">
        <v>0</v>
      </c>
      <c r="CH307" s="5" t="n">
        <v>1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0</v>
      </c>
      <c r="CN307" s="5" t="n">
        <v>0</v>
      </c>
      <c r="CO307" s="5" t="n">
        <v>0</v>
      </c>
      <c r="CP307" s="5" t="n">
        <v>0</v>
      </c>
      <c r="CQ307" s="5" t="n">
        <v>1.294</v>
      </c>
      <c r="CR307" s="5" t="n">
        <v>0.855</v>
      </c>
      <c r="CS307" s="5" t="n">
        <v>2.918</v>
      </c>
      <c r="CT307" s="5" t="n">
        <v>10.485</v>
      </c>
      <c r="CU307" s="5" t="n">
        <v>31.326</v>
      </c>
    </row>
    <row r="308">
      <c r="A308" s="5" t="inlineStr">
        <is>
          <t>GHA2023</t>
        </is>
      </c>
      <c r="B308" s="5" t="inlineStr">
        <is>
          <t>GHA</t>
        </is>
      </c>
      <c r="C308" s="5" t="inlineStr">
        <is>
          <t>GHA</t>
        </is>
      </c>
      <c r="D308" s="5" t="inlineStr">
        <is>
          <t>Ghana</t>
        </is>
      </c>
      <c r="E308" s="5" t="n">
        <v>2023</v>
      </c>
      <c r="F308" s="5" t="n">
        <v>0.185</v>
      </c>
      <c r="G308" s="5" t="n">
        <v>6.147</v>
      </c>
      <c r="H308" s="5" t="n">
        <v>1.286</v>
      </c>
      <c r="I308" s="5" t="n">
        <v>0.273</v>
      </c>
      <c r="J308" s="5" t="n">
        <v>6.42</v>
      </c>
      <c r="K308" s="5" t="n">
        <v>0</v>
      </c>
      <c r="L308" s="5" t="n">
        <v>1</v>
      </c>
      <c r="M308" s="5" t="n">
        <v>7.886</v>
      </c>
      <c r="N308" s="5" t="n">
        <v>3.857</v>
      </c>
      <c r="O308" s="5" t="n">
        <v>0.227</v>
      </c>
      <c r="P308" s="5" t="n">
        <v>8.113</v>
      </c>
      <c r="Q308" s="5" t="n">
        <v>0</v>
      </c>
      <c r="R308" s="5" t="n">
        <v>1</v>
      </c>
      <c r="S308" s="5" t="n">
        <v>12.575</v>
      </c>
      <c r="T308" s="5" t="n">
        <v>7.714</v>
      </c>
      <c r="U308" s="5" t="n">
        <v>0.536</v>
      </c>
      <c r="V308" s="5" t="n">
        <v>15.225</v>
      </c>
      <c r="W308" s="5" t="n">
        <v>0.185</v>
      </c>
      <c r="X308" s="5" t="n">
        <v>1</v>
      </c>
      <c r="Y308" s="5" t="n">
        <v>3.79</v>
      </c>
      <c r="Z308" s="5" t="n">
        <v>0.359</v>
      </c>
      <c r="AA308" s="5" t="n">
        <v>0.912</v>
      </c>
      <c r="AB308" s="5" t="n">
        <v>4.702</v>
      </c>
      <c r="AC308" s="5" t="n">
        <v>0</v>
      </c>
      <c r="AD308" s="5" t="n">
        <v>1</v>
      </c>
      <c r="AE308" s="5" t="n">
        <v>4.542</v>
      </c>
      <c r="AF308" s="5" t="n">
        <v>0.774</v>
      </c>
      <c r="AG308" s="5" t="n">
        <v>0.912</v>
      </c>
      <c r="AH308" s="5" t="n">
        <v>5.454</v>
      </c>
      <c r="AI308" s="5" t="n">
        <v>0</v>
      </c>
      <c r="AJ308" s="5" t="n">
        <v>1</v>
      </c>
      <c r="AK308" s="5" t="n">
        <v>9.055</v>
      </c>
      <c r="AL308" s="5" t="n">
        <v>3.937</v>
      </c>
      <c r="AM308" s="5" t="n">
        <v>-0.9350000000000001</v>
      </c>
      <c r="AN308" s="5" t="n">
        <v>9.428000000000001</v>
      </c>
      <c r="AO308" s="5" t="n">
        <v>0.185</v>
      </c>
      <c r="AP308" s="5" t="n">
        <v>1</v>
      </c>
      <c r="AQ308" s="5" t="n">
        <v>0.76</v>
      </c>
      <c r="AR308" s="5" t="n">
        <v>0.129</v>
      </c>
      <c r="AS308" s="5" t="n">
        <v>0.271</v>
      </c>
      <c r="AT308" s="5" t="n">
        <v>1.222</v>
      </c>
      <c r="AU308" s="5" t="n">
        <v>0.185</v>
      </c>
      <c r="AV308" s="5" t="n">
        <v>1</v>
      </c>
      <c r="AW308" s="5" t="n">
        <v>0.8110000000000001</v>
      </c>
      <c r="AX308" s="5" t="n">
        <v>0.129</v>
      </c>
      <c r="AY308" s="5" t="n">
        <v>0.281</v>
      </c>
      <c r="AZ308" s="5" t="n">
        <v>1.295</v>
      </c>
      <c r="BA308" s="5" t="n">
        <v>0.185</v>
      </c>
      <c r="BB308" s="5" t="n">
        <v>1</v>
      </c>
      <c r="BC308" s="5" t="n">
        <v>0.535</v>
      </c>
      <c r="BD308" s="5" t="n">
        <v>0.129</v>
      </c>
      <c r="BE308" s="5" t="n">
        <v>0.082</v>
      </c>
      <c r="BF308" s="5" t="n">
        <v>0.731</v>
      </c>
      <c r="BG308" s="5" t="n">
        <v>0.185</v>
      </c>
      <c r="BH308" s="5" t="n">
        <v>1</v>
      </c>
      <c r="BI308" s="5" t="n">
        <v>0.579</v>
      </c>
      <c r="BJ308" s="5" t="n">
        <v>0.129</v>
      </c>
      <c r="BK308" s="5" t="n">
        <v>0.408</v>
      </c>
      <c r="BL308" s="5" t="n">
        <v>1.17</v>
      </c>
      <c r="BM308" s="5" t="n">
        <v>0.185</v>
      </c>
      <c r="BN308" s="5" t="n">
        <v>1</v>
      </c>
      <c r="BO308" s="5" t="n">
        <v>0</v>
      </c>
      <c r="BP308" s="5" t="n">
        <v>-0.036</v>
      </c>
      <c r="BQ308" s="5" t="n">
        <v>0.13</v>
      </c>
      <c r="BR308" s="5" t="n">
        <v>0</v>
      </c>
      <c r="BS308" s="5" t="n">
        <v>1</v>
      </c>
      <c r="BT308" s="5" t="n">
        <v>0</v>
      </c>
      <c r="BU308" s="5" t="n">
        <v>-0.036</v>
      </c>
      <c r="BV308" s="5" t="n">
        <v>0.138</v>
      </c>
      <c r="BW308" s="5" t="n">
        <v>0</v>
      </c>
      <c r="BX308" s="5" t="n">
        <v>1</v>
      </c>
      <c r="BY308" s="5" t="n">
        <v>13.254</v>
      </c>
      <c r="BZ308" s="5" t="n">
        <v>0</v>
      </c>
      <c r="CA308" s="5" t="n">
        <v>13.254</v>
      </c>
      <c r="CB308" s="5" t="n">
        <v>0</v>
      </c>
      <c r="CC308" s="5" t="n">
        <v>83.248</v>
      </c>
      <c r="CD308" s="5" t="n">
        <v>7.95</v>
      </c>
      <c r="CE308" s="5" t="n">
        <v>12.887</v>
      </c>
      <c r="CF308" s="5" t="n">
        <v>113.92</v>
      </c>
      <c r="CG308" s="5" t="n">
        <v>0</v>
      </c>
      <c r="CH308" s="5" t="n">
        <v>1</v>
      </c>
      <c r="CI308" s="5" t="n">
        <v>0</v>
      </c>
      <c r="CJ308" s="5" t="n">
        <v>0</v>
      </c>
      <c r="CK308" s="5" t="n">
        <v>0</v>
      </c>
      <c r="CL308" s="5" t="n">
        <v>0</v>
      </c>
      <c r="CM308" s="5" t="n">
        <v>0</v>
      </c>
      <c r="CN308" s="5" t="n">
        <v>0</v>
      </c>
      <c r="CO308" s="5" t="n">
        <v>0</v>
      </c>
      <c r="CP308" s="5" t="n">
        <v>0</v>
      </c>
      <c r="CQ308" s="5" t="n">
        <v>1.348</v>
      </c>
      <c r="CR308" s="5" t="n">
        <v>0.83</v>
      </c>
      <c r="CS308" s="5" t="n">
        <v>3.038</v>
      </c>
      <c r="CT308" s="5" t="n">
        <v>4.861</v>
      </c>
      <c r="CU308" s="5" t="n">
        <v>11.622</v>
      </c>
    </row>
    <row r="309">
      <c r="A309" s="5" t="inlineStr">
        <is>
          <t>GHA2024</t>
        </is>
      </c>
      <c r="B309" s="5" t="inlineStr">
        <is>
          <t>GHA</t>
        </is>
      </c>
      <c r="C309" s="5" t="inlineStr">
        <is>
          <t>GHA</t>
        </is>
      </c>
      <c r="D309" s="5" t="inlineStr">
        <is>
          <t>Ghana</t>
        </is>
      </c>
      <c r="E309" s="5" t="n">
        <v>2024</v>
      </c>
      <c r="F309" s="5" t="n">
        <v>0.185</v>
      </c>
      <c r="G309" s="5" t="n">
        <v>5.575</v>
      </c>
      <c r="H309" s="5" t="n">
        <v>1.324</v>
      </c>
      <c r="I309" s="5" t="n">
        <v>0.213</v>
      </c>
      <c r="J309" s="5" t="n">
        <v>5.787</v>
      </c>
      <c r="K309" s="5" t="n">
        <v>0</v>
      </c>
      <c r="L309" s="5" t="n">
        <v>1</v>
      </c>
      <c r="M309" s="5" t="n">
        <v>7.124</v>
      </c>
      <c r="N309" s="5" t="n">
        <v>3.971</v>
      </c>
      <c r="O309" s="5" t="n">
        <v>0.158</v>
      </c>
      <c r="P309" s="5" t="n">
        <v>7.281</v>
      </c>
      <c r="Q309" s="5" t="n">
        <v>0</v>
      </c>
      <c r="R309" s="5" t="n">
        <v>1</v>
      </c>
      <c r="S309" s="5" t="n">
        <v>12.193</v>
      </c>
      <c r="T309" s="5" t="n">
        <v>7.942</v>
      </c>
      <c r="U309" s="5" t="n">
        <v>0.525</v>
      </c>
      <c r="V309" s="5" t="n">
        <v>14.7</v>
      </c>
      <c r="W309" s="5" t="n">
        <v>0.185</v>
      </c>
      <c r="X309" s="5" t="n">
        <v>1</v>
      </c>
      <c r="Y309" s="5" t="n">
        <v>3.902</v>
      </c>
      <c r="Z309" s="5" t="n">
        <v>0.37</v>
      </c>
      <c r="AA309" s="5" t="n">
        <v>0.924</v>
      </c>
      <c r="AB309" s="5" t="n">
        <v>4.826</v>
      </c>
      <c r="AC309" s="5" t="n">
        <v>0</v>
      </c>
      <c r="AD309" s="5" t="n">
        <v>1</v>
      </c>
      <c r="AE309" s="5" t="n">
        <v>4.676</v>
      </c>
      <c r="AF309" s="5" t="n">
        <v>0.797</v>
      </c>
      <c r="AG309" s="5" t="n">
        <v>0.924</v>
      </c>
      <c r="AH309" s="5" t="n">
        <v>5.6</v>
      </c>
      <c r="AI309" s="5" t="n">
        <v>0</v>
      </c>
      <c r="AJ309" s="5" t="n">
        <v>1</v>
      </c>
      <c r="AK309" s="5" t="n">
        <v>9.321999999999999</v>
      </c>
      <c r="AL309" s="5" t="n">
        <v>4.053</v>
      </c>
      <c r="AM309" s="5" t="n">
        <v>-1.002</v>
      </c>
      <c r="AN309" s="5" t="n">
        <v>9.616</v>
      </c>
      <c r="AO309" s="5" t="n">
        <v>0.185</v>
      </c>
      <c r="AP309" s="5" t="n">
        <v>1</v>
      </c>
      <c r="AQ309" s="5" t="n">
        <v>0.724</v>
      </c>
      <c r="AR309" s="5" t="n">
        <v>0.132</v>
      </c>
      <c r="AS309" s="5" t="n">
        <v>0.406</v>
      </c>
      <c r="AT309" s="5" t="n">
        <v>1.34</v>
      </c>
      <c r="AU309" s="5" t="n">
        <v>0.185</v>
      </c>
      <c r="AV309" s="5" t="n">
        <v>1</v>
      </c>
      <c r="AW309" s="5" t="n">
        <v>0.75</v>
      </c>
      <c r="AX309" s="5" t="n">
        <v>0.132</v>
      </c>
      <c r="AY309" s="5" t="n">
        <v>0.368</v>
      </c>
      <c r="AZ309" s="5" t="n">
        <v>1.325</v>
      </c>
      <c r="BA309" s="5" t="n">
        <v>0.185</v>
      </c>
      <c r="BB309" s="5" t="n">
        <v>1</v>
      </c>
      <c r="BC309" s="5" t="n">
        <v>0.513</v>
      </c>
      <c r="BD309" s="5" t="n">
        <v>0.132</v>
      </c>
      <c r="BE309" s="5" t="n">
        <v>0.09</v>
      </c>
      <c r="BF309" s="5" t="n">
        <v>0.715</v>
      </c>
      <c r="BG309" s="5" t="n">
        <v>0.185</v>
      </c>
      <c r="BH309" s="5" t="n">
        <v>1</v>
      </c>
      <c r="BI309" s="5" t="n">
        <v>0.591</v>
      </c>
      <c r="BJ309" s="5" t="n">
        <v>0.132</v>
      </c>
      <c r="BK309" s="5" t="n">
        <v>0.313</v>
      </c>
      <c r="BL309" s="5" t="n">
        <v>1.072</v>
      </c>
      <c r="BM309" s="5" t="n">
        <v>0.185</v>
      </c>
      <c r="BN309" s="5" t="n">
        <v>1</v>
      </c>
      <c r="BO309" s="5" t="n">
        <v>0</v>
      </c>
      <c r="BP309" s="5" t="n">
        <v>-0.037</v>
      </c>
      <c r="BQ309" s="5" t="n">
        <v>0.14</v>
      </c>
      <c r="BR309" s="5" t="n">
        <v>0</v>
      </c>
      <c r="BS309" s="5" t="n">
        <v>1</v>
      </c>
      <c r="BT309" s="5" t="n">
        <v>0</v>
      </c>
      <c r="BU309" s="5" t="n">
        <v>-0.037</v>
      </c>
      <c r="BV309" s="5" t="n">
        <v>0.16</v>
      </c>
      <c r="BW309" s="5" t="n">
        <v>0</v>
      </c>
      <c r="BX309" s="5" t="n">
        <v>1</v>
      </c>
      <c r="BY309" s="5" t="n">
        <v>13.646</v>
      </c>
      <c r="BZ309" s="5" t="n">
        <v>0</v>
      </c>
      <c r="CA309" s="5" t="n">
        <v>13.646</v>
      </c>
      <c r="CB309" s="5" t="n">
        <v>0</v>
      </c>
      <c r="CC309" s="5" t="n">
        <v>82.58799999999999</v>
      </c>
      <c r="CD309" s="5" t="n">
        <v>7.95</v>
      </c>
      <c r="CE309" s="5" t="n">
        <v>-0.579</v>
      </c>
      <c r="CF309" s="5" t="n">
        <v>97.18000000000001</v>
      </c>
      <c r="CG309" s="5" t="n">
        <v>0</v>
      </c>
      <c r="CH309" s="5" t="n">
        <v>1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0</v>
      </c>
      <c r="CN309" s="5" t="n">
        <v>0</v>
      </c>
      <c r="CO309" s="5" t="n">
        <v>0</v>
      </c>
      <c r="CP309" s="5" t="n">
        <v>0</v>
      </c>
      <c r="CQ309" s="5" t="n">
        <v>1.387</v>
      </c>
      <c r="CR309" s="5" t="n">
        <v>0.83</v>
      </c>
      <c r="CS309" s="5" t="n">
        <v>3.128</v>
      </c>
      <c r="CT309" s="5" t="n">
        <v>4.251</v>
      </c>
      <c r="CU309" s="5" t="n">
        <v>10.168</v>
      </c>
    </row>
    <row r="310">
      <c r="A310" s="5" t="inlineStr">
        <is>
          <t>GIB2021</t>
        </is>
      </c>
      <c r="B310" s="5" t="inlineStr">
        <is>
          <t>GIB</t>
        </is>
      </c>
      <c r="C310" s="5" t="inlineStr">
        <is>
          <t>GIB</t>
        </is>
      </c>
      <c r="D310" s="5" t="inlineStr">
        <is>
          <t>Gibraltar</t>
        </is>
      </c>
      <c r="E310" s="5" t="n">
        <v>2021</v>
      </c>
      <c r="F310" s="5" t="n">
        <v>0</v>
      </c>
      <c r="G310" s="5" t="n">
        <v>5.553</v>
      </c>
      <c r="H310" s="5" t="n">
        <v>1.143</v>
      </c>
      <c r="I310" s="5" t="n">
        <v>0</v>
      </c>
      <c r="J310" s="5" t="n">
        <v>5.553</v>
      </c>
      <c r="K310" s="5" t="n">
        <v>0</v>
      </c>
      <c r="L310" s="5" t="n">
        <v>1</v>
      </c>
      <c r="M310" s="5" t="n">
        <v>7.964</v>
      </c>
      <c r="N310" s="5" t="n">
        <v>3.43</v>
      </c>
      <c r="O310" s="5" t="n">
        <v>0</v>
      </c>
      <c r="P310" s="5" t="n">
        <v>7.964</v>
      </c>
      <c r="Q310" s="5" t="n">
        <v>0</v>
      </c>
      <c r="R310" s="5" t="n">
        <v>1</v>
      </c>
      <c r="S310" s="5" t="n">
        <v>11.27</v>
      </c>
      <c r="T310" s="5" t="n">
        <v>6.86</v>
      </c>
      <c r="U310" s="5" t="n">
        <v>0</v>
      </c>
      <c r="V310" s="5" t="n">
        <v>11.27</v>
      </c>
      <c r="W310" s="5" t="n">
        <v>0</v>
      </c>
      <c r="X310" s="5" t="n">
        <v>1</v>
      </c>
      <c r="Y310" s="5" t="n">
        <v>16.305</v>
      </c>
      <c r="Z310" s="5" t="n">
        <v>2.204</v>
      </c>
      <c r="AA310" s="5" t="n">
        <v>0</v>
      </c>
      <c r="AB310" s="5" t="n">
        <v>16.305</v>
      </c>
      <c r="AC310" s="5" t="n">
        <v>0</v>
      </c>
      <c r="AD310" s="5" t="n">
        <v>1</v>
      </c>
      <c r="AE310" s="5" t="n">
        <v>17.449</v>
      </c>
      <c r="AF310" s="5" t="n">
        <v>4.08</v>
      </c>
      <c r="AG310" s="5" t="n">
        <v>0</v>
      </c>
      <c r="AH310" s="5" t="n">
        <v>17.449</v>
      </c>
      <c r="AI310" s="5" t="n">
        <v>0</v>
      </c>
      <c r="AJ310" s="5" t="n">
        <v>1</v>
      </c>
      <c r="AK310" s="5" t="n">
        <v>24.309</v>
      </c>
      <c r="AL310" s="5" t="n">
        <v>12.947</v>
      </c>
      <c r="AM310" s="5" t="n">
        <v>0</v>
      </c>
      <c r="AN310" s="5" t="n">
        <v>24.309</v>
      </c>
      <c r="AO310" s="5" t="n">
        <v>0</v>
      </c>
      <c r="AP310" s="5" t="n">
        <v>1</v>
      </c>
      <c r="AQ310" s="5" t="n">
        <v>0.619</v>
      </c>
      <c r="AR310" s="5" t="n">
        <v>0.114</v>
      </c>
      <c r="AS310" s="5" t="n">
        <v>0</v>
      </c>
      <c r="AT310" s="5" t="n">
        <v>0.619</v>
      </c>
      <c r="AU310" s="5" t="n">
        <v>0</v>
      </c>
      <c r="AV310" s="5" t="n">
        <v>1</v>
      </c>
      <c r="AW310" s="5" t="n">
        <v>0.599</v>
      </c>
      <c r="AX310" s="5" t="n">
        <v>0.114</v>
      </c>
      <c r="AY310" s="5" t="n">
        <v>0</v>
      </c>
      <c r="AZ310" s="5" t="n">
        <v>0.599</v>
      </c>
      <c r="BA310" s="5" t="n">
        <v>0</v>
      </c>
      <c r="BB310" s="5" t="n">
        <v>1</v>
      </c>
      <c r="BC310" s="5" t="n">
        <v>0.439</v>
      </c>
      <c r="BD310" s="5" t="n">
        <v>0.114</v>
      </c>
      <c r="BE310" s="5" t="n">
        <v>0</v>
      </c>
      <c r="BF310" s="5" t="n">
        <v>0.439</v>
      </c>
      <c r="BG310" s="5" t="n">
        <v>0</v>
      </c>
      <c r="BH310" s="5" t="n">
        <v>1</v>
      </c>
      <c r="BI310" s="5" t="n">
        <v>0.505</v>
      </c>
      <c r="BJ310" s="5" t="n">
        <v>0.114</v>
      </c>
      <c r="BK310" s="5" t="n">
        <v>0</v>
      </c>
      <c r="BL310" s="5" t="n">
        <v>0.505</v>
      </c>
      <c r="BM310" s="5" t="n">
        <v>0</v>
      </c>
      <c r="BN310" s="5" t="n">
        <v>1</v>
      </c>
      <c r="BO310" s="5" t="n">
        <v>0</v>
      </c>
      <c r="BP310" s="5" t="n">
        <v>0</v>
      </c>
      <c r="BQ310" s="5" t="n">
        <v>0</v>
      </c>
      <c r="BR310" s="5" t="n">
        <v>0</v>
      </c>
      <c r="BS310" s="5" t="n">
        <v>1</v>
      </c>
      <c r="BT310" s="5" t="n">
        <v>0</v>
      </c>
      <c r="BU310" s="5" t="n">
        <v>0</v>
      </c>
      <c r="BV310" s="5" t="n">
        <v>0</v>
      </c>
      <c r="BW310" s="5" t="n">
        <v>0</v>
      </c>
      <c r="BX310" s="5" t="n">
        <v>1</v>
      </c>
      <c r="BY310" s="5" t="n">
        <v>11.787</v>
      </c>
      <c r="BZ310" s="5" t="n">
        <v>0</v>
      </c>
      <c r="CA310" s="5" t="n">
        <v>11.787</v>
      </c>
      <c r="CB310" s="5" t="n">
        <v>0</v>
      </c>
      <c r="CC310" s="5" t="n">
        <v>78.125</v>
      </c>
      <c r="CD310" s="5" t="n">
        <v>7.95</v>
      </c>
      <c r="CE310" s="5" t="n">
        <v>0</v>
      </c>
      <c r="CF310" s="5" t="n">
        <v>78.125</v>
      </c>
      <c r="CG310" s="5" t="n">
        <v>0</v>
      </c>
      <c r="CH310" s="5" t="n">
        <v>1</v>
      </c>
      <c r="CI310" s="5" t="n">
        <v>0</v>
      </c>
      <c r="CJ310" s="5" t="n">
        <v>0</v>
      </c>
      <c r="CK310" s="5" t="n">
        <v>0</v>
      </c>
      <c r="CL310" s="5" t="n">
        <v>0</v>
      </c>
      <c r="CM310" s="5" t="n">
        <v>0</v>
      </c>
      <c r="CN310" s="5" t="n">
        <v>0</v>
      </c>
      <c r="CO310" s="5" t="n">
        <v>0</v>
      </c>
      <c r="CP310" s="5" t="n">
        <v>0</v>
      </c>
      <c r="CQ310" s="5" t="n">
        <v>1.198</v>
      </c>
      <c r="CR310" s="5" t="n">
        <v>0</v>
      </c>
      <c r="CS310" s="5" t="n">
        <v>4.776</v>
      </c>
      <c r="CT310" s="5" t="n">
        <v>4.41</v>
      </c>
      <c r="CU310" s="5" t="n">
        <v>15.162</v>
      </c>
    </row>
    <row r="311">
      <c r="A311" s="5" t="inlineStr">
        <is>
          <t>GIB2022</t>
        </is>
      </c>
      <c r="B311" s="5" t="inlineStr">
        <is>
          <t>GIB</t>
        </is>
      </c>
      <c r="C311" s="5" t="inlineStr">
        <is>
          <t>GIB</t>
        </is>
      </c>
      <c r="D311" s="5" t="inlineStr">
        <is>
          <t>Gibraltar</t>
        </is>
      </c>
      <c r="E311" s="5" t="n">
        <v>2022</v>
      </c>
      <c r="F311" s="5" t="n">
        <v>0</v>
      </c>
      <c r="G311" s="5" t="n">
        <v>7.077</v>
      </c>
      <c r="H311" s="5" t="n">
        <v>1.235</v>
      </c>
      <c r="I311" s="5" t="n">
        <v>0</v>
      </c>
      <c r="J311" s="5" t="n">
        <v>7.077</v>
      </c>
      <c r="K311" s="5" t="n">
        <v>0</v>
      </c>
      <c r="L311" s="5" t="n">
        <v>1</v>
      </c>
      <c r="M311" s="5" t="n">
        <v>9.782999999999999</v>
      </c>
      <c r="N311" s="5" t="n">
        <v>3.704</v>
      </c>
      <c r="O311" s="5" t="n">
        <v>0</v>
      </c>
      <c r="P311" s="5" t="n">
        <v>9.782999999999999</v>
      </c>
      <c r="Q311" s="5" t="n">
        <v>0</v>
      </c>
      <c r="R311" s="5" t="n">
        <v>1</v>
      </c>
      <c r="S311" s="5" t="n">
        <v>13.25</v>
      </c>
      <c r="T311" s="5" t="n">
        <v>7.408</v>
      </c>
      <c r="U311" s="5" t="n">
        <v>0</v>
      </c>
      <c r="V311" s="5" t="n">
        <v>13.25</v>
      </c>
      <c r="W311" s="5" t="n">
        <v>0</v>
      </c>
      <c r="X311" s="5" t="n">
        <v>1</v>
      </c>
      <c r="Y311" s="5" t="n">
        <v>32.56</v>
      </c>
      <c r="Z311" s="5" t="n">
        <v>4.401</v>
      </c>
      <c r="AA311" s="5" t="n">
        <v>0</v>
      </c>
      <c r="AB311" s="5" t="n">
        <v>32.56</v>
      </c>
      <c r="AC311" s="5" t="n">
        <v>0</v>
      </c>
      <c r="AD311" s="5" t="n">
        <v>1</v>
      </c>
      <c r="AE311" s="5" t="n">
        <v>33.795</v>
      </c>
      <c r="AF311" s="5" t="n">
        <v>7.902</v>
      </c>
      <c r="AG311" s="5" t="n">
        <v>0</v>
      </c>
      <c r="AH311" s="5" t="n">
        <v>33.795</v>
      </c>
      <c r="AI311" s="5" t="n">
        <v>0</v>
      </c>
      <c r="AJ311" s="5" t="n">
        <v>1</v>
      </c>
      <c r="AK311" s="5" t="n">
        <v>41.203</v>
      </c>
      <c r="AL311" s="5" t="n">
        <v>21.945</v>
      </c>
      <c r="AM311" s="5" t="n">
        <v>0</v>
      </c>
      <c r="AN311" s="5" t="n">
        <v>41.203</v>
      </c>
      <c r="AO311" s="5" t="n">
        <v>0</v>
      </c>
      <c r="AP311" s="5" t="n">
        <v>1</v>
      </c>
      <c r="AQ311" s="5" t="n">
        <v>0.861</v>
      </c>
      <c r="AR311" s="5" t="n">
        <v>0.123</v>
      </c>
      <c r="AS311" s="5" t="n">
        <v>0</v>
      </c>
      <c r="AT311" s="5" t="n">
        <v>0.861</v>
      </c>
      <c r="AU311" s="5" t="n">
        <v>0</v>
      </c>
      <c r="AV311" s="5" t="n">
        <v>1</v>
      </c>
      <c r="AW311" s="5" t="n">
        <v>0.986</v>
      </c>
      <c r="AX311" s="5" t="n">
        <v>0.123</v>
      </c>
      <c r="AY311" s="5" t="n">
        <v>0</v>
      </c>
      <c r="AZ311" s="5" t="n">
        <v>0.986</v>
      </c>
      <c r="BA311" s="5" t="n">
        <v>0</v>
      </c>
      <c r="BB311" s="5" t="n">
        <v>1</v>
      </c>
      <c r="BC311" s="5" t="n">
        <v>0.598</v>
      </c>
      <c r="BD311" s="5" t="n">
        <v>0.123</v>
      </c>
      <c r="BE311" s="5" t="n">
        <v>0</v>
      </c>
      <c r="BF311" s="5" t="n">
        <v>0.598</v>
      </c>
      <c r="BG311" s="5" t="n">
        <v>0</v>
      </c>
      <c r="BH311" s="5" t="n">
        <v>1</v>
      </c>
      <c r="BI311" s="5" t="n">
        <v>0.612</v>
      </c>
      <c r="BJ311" s="5" t="n">
        <v>0.123</v>
      </c>
      <c r="BK311" s="5" t="n">
        <v>0</v>
      </c>
      <c r="BL311" s="5" t="n">
        <v>0.612</v>
      </c>
      <c r="BM311" s="5" t="n">
        <v>0</v>
      </c>
      <c r="BN311" s="5" t="n">
        <v>1</v>
      </c>
      <c r="BO311" s="5" t="n">
        <v>0</v>
      </c>
      <c r="BP311" s="5" t="n">
        <v>0</v>
      </c>
      <c r="BQ311" s="5" t="n">
        <v>0</v>
      </c>
      <c r="BR311" s="5" t="n">
        <v>0</v>
      </c>
      <c r="BS311" s="5" t="n">
        <v>1</v>
      </c>
      <c r="BT311" s="5" t="n">
        <v>0</v>
      </c>
      <c r="BU311" s="5" t="n">
        <v>0</v>
      </c>
      <c r="BV311" s="5" t="n">
        <v>0</v>
      </c>
      <c r="BW311" s="5" t="n">
        <v>0</v>
      </c>
      <c r="BX311" s="5" t="n">
        <v>1</v>
      </c>
      <c r="BY311" s="5" t="n">
        <v>12.729</v>
      </c>
      <c r="BZ311" s="5" t="n">
        <v>0</v>
      </c>
      <c r="CA311" s="5" t="n">
        <v>12.729</v>
      </c>
      <c r="CB311" s="5" t="n">
        <v>0</v>
      </c>
      <c r="CC311" s="5" t="n">
        <v>97.90000000000001</v>
      </c>
      <c r="CD311" s="5" t="n">
        <v>7.95</v>
      </c>
      <c r="CE311" s="5" t="n">
        <v>0</v>
      </c>
      <c r="CF311" s="5" t="n">
        <v>97.90000000000001</v>
      </c>
      <c r="CG311" s="5" t="n">
        <v>0</v>
      </c>
      <c r="CH311" s="5" t="n">
        <v>1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0</v>
      </c>
      <c r="CN311" s="5" t="n">
        <v>0</v>
      </c>
      <c r="CO311" s="5" t="n">
        <v>0</v>
      </c>
      <c r="CP311" s="5" t="n">
        <v>0</v>
      </c>
      <c r="CQ311" s="5" t="n">
        <v>1.294</v>
      </c>
      <c r="CR311" s="5" t="n">
        <v>0</v>
      </c>
      <c r="CS311" s="5" t="n">
        <v>5.158</v>
      </c>
      <c r="CT311" s="5" t="n">
        <v>5.842</v>
      </c>
      <c r="CU311" s="5" t="n">
        <v>31.326</v>
      </c>
    </row>
    <row r="312">
      <c r="A312" s="5" t="inlineStr">
        <is>
          <t>GIB2023</t>
        </is>
      </c>
      <c r="B312" s="5" t="inlineStr">
        <is>
          <t>GIB</t>
        </is>
      </c>
      <c r="C312" s="5" t="inlineStr">
        <is>
          <t>GIB</t>
        </is>
      </c>
      <c r="D312" s="5" t="inlineStr">
        <is>
          <t>Gibraltar</t>
        </is>
      </c>
      <c r="E312" s="5" t="n">
        <v>2023</v>
      </c>
      <c r="F312" s="5" t="n">
        <v>0</v>
      </c>
      <c r="G312" s="5" t="n">
        <v>4.752</v>
      </c>
      <c r="H312" s="5" t="n">
        <v>1.286</v>
      </c>
      <c r="I312" s="5" t="n">
        <v>0</v>
      </c>
      <c r="J312" s="5" t="n">
        <v>4.752</v>
      </c>
      <c r="K312" s="5" t="n">
        <v>0</v>
      </c>
      <c r="L312" s="5" t="n">
        <v>1</v>
      </c>
      <c r="M312" s="5" t="n">
        <v>7.886</v>
      </c>
      <c r="N312" s="5" t="n">
        <v>3.857</v>
      </c>
      <c r="O312" s="5" t="n">
        <v>0</v>
      </c>
      <c r="P312" s="5" t="n">
        <v>7.886</v>
      </c>
      <c r="Q312" s="5" t="n">
        <v>0</v>
      </c>
      <c r="R312" s="5" t="n">
        <v>1</v>
      </c>
      <c r="S312" s="5" t="n">
        <v>11.18</v>
      </c>
      <c r="T312" s="5" t="n">
        <v>7.714</v>
      </c>
      <c r="U312" s="5" t="n">
        <v>0</v>
      </c>
      <c r="V312" s="5" t="n">
        <v>11.18</v>
      </c>
      <c r="W312" s="5" t="n">
        <v>0</v>
      </c>
      <c r="X312" s="5" t="n">
        <v>1</v>
      </c>
      <c r="Y312" s="5" t="n">
        <v>12.908</v>
      </c>
      <c r="Z312" s="5" t="n">
        <v>1.745</v>
      </c>
      <c r="AA312" s="5" t="n">
        <v>0</v>
      </c>
      <c r="AB312" s="5" t="n">
        <v>12.908</v>
      </c>
      <c r="AC312" s="5" t="n">
        <v>0</v>
      </c>
      <c r="AD312" s="5" t="n">
        <v>1</v>
      </c>
      <c r="AE312" s="5" t="n">
        <v>14.194</v>
      </c>
      <c r="AF312" s="5" t="n">
        <v>3.319</v>
      </c>
      <c r="AG312" s="5" t="n">
        <v>0</v>
      </c>
      <c r="AH312" s="5" t="n">
        <v>14.194</v>
      </c>
      <c r="AI312" s="5" t="n">
        <v>0</v>
      </c>
      <c r="AJ312" s="5" t="n">
        <v>1</v>
      </c>
      <c r="AK312" s="5" t="n">
        <v>21.908</v>
      </c>
      <c r="AL312" s="5" t="n">
        <v>11.668</v>
      </c>
      <c r="AM312" s="5" t="n">
        <v>0</v>
      </c>
      <c r="AN312" s="5" t="n">
        <v>21.908</v>
      </c>
      <c r="AO312" s="5" t="n">
        <v>0</v>
      </c>
      <c r="AP312" s="5" t="n">
        <v>1</v>
      </c>
      <c r="AQ312" s="5" t="n">
        <v>0.76</v>
      </c>
      <c r="AR312" s="5" t="n">
        <v>0.129</v>
      </c>
      <c r="AS312" s="5" t="n">
        <v>0</v>
      </c>
      <c r="AT312" s="5" t="n">
        <v>0.76</v>
      </c>
      <c r="AU312" s="5" t="n">
        <v>0</v>
      </c>
      <c r="AV312" s="5" t="n">
        <v>1</v>
      </c>
      <c r="AW312" s="5" t="n">
        <v>0.8110000000000001</v>
      </c>
      <c r="AX312" s="5" t="n">
        <v>0.129</v>
      </c>
      <c r="AY312" s="5" t="n">
        <v>0</v>
      </c>
      <c r="AZ312" s="5" t="n">
        <v>0.8110000000000001</v>
      </c>
      <c r="BA312" s="5" t="n">
        <v>0</v>
      </c>
      <c r="BB312" s="5" t="n">
        <v>1</v>
      </c>
      <c r="BC312" s="5" t="n">
        <v>0.535</v>
      </c>
      <c r="BD312" s="5" t="n">
        <v>0.129</v>
      </c>
      <c r="BE312" s="5" t="n">
        <v>0</v>
      </c>
      <c r="BF312" s="5" t="n">
        <v>0.535</v>
      </c>
      <c r="BG312" s="5" t="n">
        <v>0</v>
      </c>
      <c r="BH312" s="5" t="n">
        <v>1</v>
      </c>
      <c r="BI312" s="5" t="n">
        <v>0.579</v>
      </c>
      <c r="BJ312" s="5" t="n">
        <v>0.129</v>
      </c>
      <c r="BK312" s="5" t="n">
        <v>0</v>
      </c>
      <c r="BL312" s="5" t="n">
        <v>0.579</v>
      </c>
      <c r="BM312" s="5" t="n">
        <v>0</v>
      </c>
      <c r="BN312" s="5" t="n">
        <v>1</v>
      </c>
      <c r="BO312" s="5" t="n">
        <v>0</v>
      </c>
      <c r="BP312" s="5" t="n">
        <v>0</v>
      </c>
      <c r="BQ312" s="5" t="n">
        <v>0</v>
      </c>
      <c r="BR312" s="5" t="n">
        <v>0</v>
      </c>
      <c r="BS312" s="5" t="n">
        <v>1</v>
      </c>
      <c r="BT312" s="5" t="n">
        <v>0</v>
      </c>
      <c r="BU312" s="5" t="n">
        <v>0</v>
      </c>
      <c r="BV312" s="5" t="n">
        <v>0</v>
      </c>
      <c r="BW312" s="5" t="n">
        <v>0</v>
      </c>
      <c r="BX312" s="5" t="n">
        <v>1</v>
      </c>
      <c r="BY312" s="5" t="n">
        <v>13.254</v>
      </c>
      <c r="BZ312" s="5" t="n">
        <v>0</v>
      </c>
      <c r="CA312" s="5" t="n">
        <v>13.254</v>
      </c>
      <c r="CB312" s="5" t="n">
        <v>0</v>
      </c>
      <c r="CC312" s="5" t="n">
        <v>83.248</v>
      </c>
      <c r="CD312" s="5" t="n">
        <v>7.95</v>
      </c>
      <c r="CE312" s="5" t="n">
        <v>0</v>
      </c>
      <c r="CF312" s="5" t="n">
        <v>83.248</v>
      </c>
      <c r="CG312" s="5" t="n">
        <v>0</v>
      </c>
      <c r="CH312" s="5" t="n">
        <v>1</v>
      </c>
      <c r="CI312" s="5" t="n">
        <v>0</v>
      </c>
      <c r="CJ312" s="5" t="n">
        <v>0</v>
      </c>
      <c r="CK312" s="5" t="n">
        <v>0</v>
      </c>
      <c r="CL312" s="5" t="n">
        <v>0</v>
      </c>
      <c r="CM312" s="5" t="n">
        <v>0</v>
      </c>
      <c r="CN312" s="5" t="n">
        <v>0</v>
      </c>
      <c r="CO312" s="5" t="n">
        <v>0</v>
      </c>
      <c r="CP312" s="5" t="n">
        <v>0</v>
      </c>
      <c r="CQ312" s="5" t="n">
        <v>1.348</v>
      </c>
      <c r="CR312" s="5" t="n">
        <v>0</v>
      </c>
      <c r="CS312" s="5" t="n">
        <v>5.37</v>
      </c>
      <c r="CT312" s="5" t="n">
        <v>3.466</v>
      </c>
      <c r="CU312" s="5" t="n">
        <v>11.622</v>
      </c>
    </row>
    <row r="313">
      <c r="A313" s="5" t="inlineStr">
        <is>
          <t>GIB2024</t>
        </is>
      </c>
      <c r="B313" s="5" t="inlineStr">
        <is>
          <t>GIB</t>
        </is>
      </c>
      <c r="C313" s="5" t="inlineStr">
        <is>
          <t>GIB</t>
        </is>
      </c>
      <c r="D313" s="5" t="inlineStr">
        <is>
          <t>Gibraltar</t>
        </is>
      </c>
      <c r="E313" s="5" t="n">
        <v>2024</v>
      </c>
      <c r="F313" s="5" t="n">
        <v>0</v>
      </c>
      <c r="G313" s="5" t="n">
        <v>4.351</v>
      </c>
      <c r="H313" s="5" t="n">
        <v>1.324</v>
      </c>
      <c r="I313" s="5" t="n">
        <v>0</v>
      </c>
      <c r="J313" s="5" t="n">
        <v>4.351</v>
      </c>
      <c r="K313" s="5" t="n">
        <v>0</v>
      </c>
      <c r="L313" s="5" t="n">
        <v>1</v>
      </c>
      <c r="M313" s="5" t="n">
        <v>7.124</v>
      </c>
      <c r="N313" s="5" t="n">
        <v>3.971</v>
      </c>
      <c r="O313" s="5" t="n">
        <v>0</v>
      </c>
      <c r="P313" s="5" t="n">
        <v>7.124</v>
      </c>
      <c r="Q313" s="5" t="n">
        <v>0</v>
      </c>
      <c r="R313" s="5" t="n">
        <v>1</v>
      </c>
      <c r="S313" s="5" t="n">
        <v>10.969</v>
      </c>
      <c r="T313" s="5" t="n">
        <v>7.942</v>
      </c>
      <c r="U313" s="5" t="n">
        <v>0</v>
      </c>
      <c r="V313" s="5" t="n">
        <v>10.969</v>
      </c>
      <c r="W313" s="5" t="n">
        <v>0</v>
      </c>
      <c r="X313" s="5" t="n">
        <v>1</v>
      </c>
      <c r="Y313" s="5" t="n">
        <v>11.492</v>
      </c>
      <c r="Z313" s="5" t="n">
        <v>1.553</v>
      </c>
      <c r="AA313" s="5" t="n">
        <v>0</v>
      </c>
      <c r="AB313" s="5" t="n">
        <v>11.492</v>
      </c>
      <c r="AC313" s="5" t="n">
        <v>0</v>
      </c>
      <c r="AD313" s="5" t="n">
        <v>1</v>
      </c>
      <c r="AE313" s="5" t="n">
        <v>12.815</v>
      </c>
      <c r="AF313" s="5" t="n">
        <v>2.997</v>
      </c>
      <c r="AG313" s="5" t="n">
        <v>0</v>
      </c>
      <c r="AH313" s="5" t="n">
        <v>12.815</v>
      </c>
      <c r="AI313" s="5" t="n">
        <v>0</v>
      </c>
      <c r="AJ313" s="5" t="n">
        <v>1</v>
      </c>
      <c r="AK313" s="5" t="n">
        <v>20.757</v>
      </c>
      <c r="AL313" s="5" t="n">
        <v>11.055</v>
      </c>
      <c r="AM313" s="5" t="n">
        <v>0</v>
      </c>
      <c r="AN313" s="5" t="n">
        <v>20.757</v>
      </c>
      <c r="AO313" s="5" t="n">
        <v>0</v>
      </c>
      <c r="AP313" s="5" t="n">
        <v>1</v>
      </c>
      <c r="AQ313" s="5" t="n">
        <v>0.724</v>
      </c>
      <c r="AR313" s="5" t="n">
        <v>0.132</v>
      </c>
      <c r="AS313" s="5" t="n">
        <v>0</v>
      </c>
      <c r="AT313" s="5" t="n">
        <v>0.724</v>
      </c>
      <c r="AU313" s="5" t="n">
        <v>0</v>
      </c>
      <c r="AV313" s="5" t="n">
        <v>1</v>
      </c>
      <c r="AW313" s="5" t="n">
        <v>0.75</v>
      </c>
      <c r="AX313" s="5" t="n">
        <v>0.132</v>
      </c>
      <c r="AY313" s="5" t="n">
        <v>0</v>
      </c>
      <c r="AZ313" s="5" t="n">
        <v>0.75</v>
      </c>
      <c r="BA313" s="5" t="n">
        <v>0</v>
      </c>
      <c r="BB313" s="5" t="n">
        <v>1</v>
      </c>
      <c r="BC313" s="5" t="n">
        <v>0.513</v>
      </c>
      <c r="BD313" s="5" t="n">
        <v>0.132</v>
      </c>
      <c r="BE313" s="5" t="n">
        <v>0</v>
      </c>
      <c r="BF313" s="5" t="n">
        <v>0.513</v>
      </c>
      <c r="BG313" s="5" t="n">
        <v>0</v>
      </c>
      <c r="BH313" s="5" t="n">
        <v>1</v>
      </c>
      <c r="BI313" s="5" t="n">
        <v>0.591</v>
      </c>
      <c r="BJ313" s="5" t="n">
        <v>0.132</v>
      </c>
      <c r="BK313" s="5" t="n">
        <v>0</v>
      </c>
      <c r="BL313" s="5" t="n">
        <v>0.591</v>
      </c>
      <c r="BM313" s="5" t="n">
        <v>0</v>
      </c>
      <c r="BN313" s="5" t="n">
        <v>1</v>
      </c>
      <c r="BO313" s="5" t="n">
        <v>0</v>
      </c>
      <c r="BP313" s="5" t="n">
        <v>0</v>
      </c>
      <c r="BQ313" s="5" t="n">
        <v>0</v>
      </c>
      <c r="BR313" s="5" t="n">
        <v>0</v>
      </c>
      <c r="BS313" s="5" t="n">
        <v>1</v>
      </c>
      <c r="BT313" s="5" t="n">
        <v>0</v>
      </c>
      <c r="BU313" s="5" t="n">
        <v>0</v>
      </c>
      <c r="BV313" s="5" t="n">
        <v>0</v>
      </c>
      <c r="BW313" s="5" t="n">
        <v>0</v>
      </c>
      <c r="BX313" s="5" t="n">
        <v>1</v>
      </c>
      <c r="BY313" s="5" t="n">
        <v>13.646</v>
      </c>
      <c r="BZ313" s="5" t="n">
        <v>0</v>
      </c>
      <c r="CA313" s="5" t="n">
        <v>13.646</v>
      </c>
      <c r="CB313" s="5" t="n">
        <v>0</v>
      </c>
      <c r="CC313" s="5" t="n">
        <v>82.58799999999999</v>
      </c>
      <c r="CD313" s="5" t="n">
        <v>7.95</v>
      </c>
      <c r="CE313" s="5" t="n">
        <v>0</v>
      </c>
      <c r="CF313" s="5" t="n">
        <v>82.58799999999999</v>
      </c>
      <c r="CG313" s="5" t="n">
        <v>0</v>
      </c>
      <c r="CH313" s="5" t="n">
        <v>1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0</v>
      </c>
      <c r="CN313" s="5" t="n">
        <v>0</v>
      </c>
      <c r="CO313" s="5" t="n">
        <v>0</v>
      </c>
      <c r="CP313" s="5" t="n">
        <v>0</v>
      </c>
      <c r="CQ313" s="5" t="n">
        <v>1.387</v>
      </c>
      <c r="CR313" s="5" t="n">
        <v>0</v>
      </c>
      <c r="CS313" s="5" t="n">
        <v>5.529</v>
      </c>
      <c r="CT313" s="5" t="n">
        <v>3.027</v>
      </c>
      <c r="CU313" s="5" t="n">
        <v>10.168</v>
      </c>
    </row>
    <row r="314">
      <c r="A314" s="5" t="inlineStr">
        <is>
          <t>GRC2021</t>
        </is>
      </c>
      <c r="B314" s="5" t="inlineStr">
        <is>
          <t>GRC</t>
        </is>
      </c>
      <c r="C314" s="5" t="inlineStr">
        <is>
          <t>GRC</t>
        </is>
      </c>
      <c r="D314" s="5" t="inlineStr">
        <is>
          <t>Greece</t>
        </is>
      </c>
      <c r="E314" s="5" t="n">
        <v>2021</v>
      </c>
      <c r="F314" s="5" t="n">
        <v>0.24</v>
      </c>
      <c r="G314" s="5" t="n">
        <v>2.042</v>
      </c>
      <c r="H314" s="5" t="n">
        <v>0.627</v>
      </c>
      <c r="I314" s="5" t="n">
        <v>1.596</v>
      </c>
      <c r="J314" s="5" t="n">
        <v>3.639</v>
      </c>
      <c r="K314" s="5" t="n">
        <v>0</v>
      </c>
      <c r="L314" s="5" t="n">
        <v>1</v>
      </c>
      <c r="M314" s="5" t="n">
        <v>3.398</v>
      </c>
      <c r="N314" s="5" t="n">
        <v>1.88</v>
      </c>
      <c r="O314" s="5" t="n">
        <v>1.501</v>
      </c>
      <c r="P314" s="5" t="n">
        <v>4.899</v>
      </c>
      <c r="Q314" s="5" t="n">
        <v>0</v>
      </c>
      <c r="R314" s="5" t="n">
        <v>1</v>
      </c>
      <c r="S314" s="5" t="n">
        <v>5.175</v>
      </c>
      <c r="T314" s="5" t="n">
        <v>3.759</v>
      </c>
      <c r="U314" s="5" t="n">
        <v>0.355</v>
      </c>
      <c r="V314" s="5" t="n">
        <v>6.857</v>
      </c>
      <c r="W314" s="5" t="n">
        <v>0.24</v>
      </c>
      <c r="X314" s="5" t="n">
        <v>1</v>
      </c>
      <c r="Y314" s="5" t="n">
        <v>16.757</v>
      </c>
      <c r="Z314" s="5" t="n">
        <v>1.851</v>
      </c>
      <c r="AA314" s="5" t="n">
        <v>-3.528</v>
      </c>
      <c r="AB314" s="5" t="n">
        <v>13.229</v>
      </c>
      <c r="AC314" s="5" t="n">
        <v>0</v>
      </c>
      <c r="AD314" s="5" t="n">
        <v>1</v>
      </c>
      <c r="AE314" s="5" t="n">
        <v>16.714</v>
      </c>
      <c r="AF314" s="5" t="n">
        <v>3.289</v>
      </c>
      <c r="AG314" s="5" t="n">
        <v>-3.484</v>
      </c>
      <c r="AH314" s="5" t="n">
        <v>13.229</v>
      </c>
      <c r="AI314" s="5" t="n">
        <v>0</v>
      </c>
      <c r="AJ314" s="5" t="n">
        <v>1</v>
      </c>
      <c r="AK314" s="5" t="n">
        <v>22.638</v>
      </c>
      <c r="AL314" s="5" t="n">
        <v>11.111</v>
      </c>
      <c r="AM314" s="5" t="n">
        <v>-3.253</v>
      </c>
      <c r="AN314" s="5" t="n">
        <v>24.037</v>
      </c>
      <c r="AO314" s="5" t="n">
        <v>0.24</v>
      </c>
      <c r="AP314" s="5" t="n">
        <v>1</v>
      </c>
      <c r="AQ314" s="5" t="n">
        <v>0.619</v>
      </c>
      <c r="AR314" s="5" t="n">
        <v>0.114</v>
      </c>
      <c r="AS314" s="5" t="n">
        <v>0.951</v>
      </c>
      <c r="AT314" s="5" t="n">
        <v>1.947</v>
      </c>
      <c r="AU314" s="5" t="n">
        <v>0.24</v>
      </c>
      <c r="AV314" s="5" t="n">
        <v>1</v>
      </c>
      <c r="AW314" s="5" t="n">
        <v>0.599</v>
      </c>
      <c r="AX314" s="5" t="n">
        <v>0.114</v>
      </c>
      <c r="AY314" s="5" t="n">
        <v>0.71</v>
      </c>
      <c r="AZ314" s="5" t="n">
        <v>1.624</v>
      </c>
      <c r="BA314" s="5" t="n">
        <v>0.24</v>
      </c>
      <c r="BB314" s="5" t="n">
        <v>1</v>
      </c>
      <c r="BC314" s="5" t="n">
        <v>0.439</v>
      </c>
      <c r="BD314" s="5" t="n">
        <v>0.114</v>
      </c>
      <c r="BE314" s="5" t="n">
        <v>0.391</v>
      </c>
      <c r="BF314" s="5" t="n">
        <v>1.029</v>
      </c>
      <c r="BG314" s="5" t="n">
        <v>0.24</v>
      </c>
      <c r="BH314" s="5" t="n">
        <v>1</v>
      </c>
      <c r="BI314" s="5" t="n">
        <v>0.505</v>
      </c>
      <c r="BJ314" s="5" t="n">
        <v>0.114</v>
      </c>
      <c r="BK314" s="5" t="n">
        <v>0.455</v>
      </c>
      <c r="BL314" s="5" t="n">
        <v>1.19</v>
      </c>
      <c r="BM314" s="5" t="n">
        <v>0.24</v>
      </c>
      <c r="BN314" s="5" t="n">
        <v>1</v>
      </c>
      <c r="BO314" s="5" t="n">
        <v>0</v>
      </c>
      <c r="BP314" s="5" t="n">
        <v>0.011</v>
      </c>
      <c r="BQ314" s="5" t="n">
        <v>0.135</v>
      </c>
      <c r="BR314" s="5" t="n">
        <v>0</v>
      </c>
      <c r="BS314" s="5" t="n">
        <v>1</v>
      </c>
      <c r="BT314" s="5" t="n">
        <v>0</v>
      </c>
      <c r="BU314" s="5" t="n">
        <v>0.033</v>
      </c>
      <c r="BV314" s="5" t="n">
        <v>0.216</v>
      </c>
      <c r="BW314" s="5" t="n">
        <v>0.24</v>
      </c>
      <c r="BX314" s="5" t="n">
        <v>1</v>
      </c>
      <c r="BY314" s="5" t="n">
        <v>11.787</v>
      </c>
      <c r="BZ314" s="5" t="n">
        <v>0</v>
      </c>
      <c r="CA314" s="5" t="n">
        <v>11.787</v>
      </c>
      <c r="CB314" s="5" t="n">
        <v>0</v>
      </c>
      <c r="CC314" s="5" t="n">
        <v>78.125</v>
      </c>
      <c r="CD314" s="5" t="n">
        <v>7.95</v>
      </c>
      <c r="CE314" s="5" t="n">
        <v>81.51600000000001</v>
      </c>
      <c r="CF314" s="5" t="n">
        <v>197.955</v>
      </c>
      <c r="CG314" s="5" t="n">
        <v>0.24</v>
      </c>
      <c r="CH314" s="5" t="n">
        <v>1</v>
      </c>
      <c r="CI314" s="5" t="n">
        <v>0</v>
      </c>
      <c r="CJ314" s="5" t="n">
        <v>0</v>
      </c>
      <c r="CK314" s="5" t="n">
        <v>0</v>
      </c>
      <c r="CL314" s="5" t="n">
        <v>0</v>
      </c>
      <c r="CM314" s="5" t="n">
        <v>0</v>
      </c>
      <c r="CN314" s="5" t="n">
        <v>0</v>
      </c>
      <c r="CO314" s="5" t="n">
        <v>0</v>
      </c>
      <c r="CP314" s="5" t="n">
        <v>0.904</v>
      </c>
      <c r="CQ314" s="5" t="n">
        <v>1.198</v>
      </c>
      <c r="CR314" s="5" t="n">
        <v>0</v>
      </c>
      <c r="CS314" s="5" t="n">
        <v>4.776</v>
      </c>
      <c r="CT314" s="5" t="n">
        <v>3.464</v>
      </c>
      <c r="CU314" s="5" t="n">
        <v>13.013</v>
      </c>
    </row>
    <row r="315">
      <c r="A315" s="5" t="inlineStr">
        <is>
          <t>GRC2022</t>
        </is>
      </c>
      <c r="B315" s="5" t="inlineStr">
        <is>
          <t>GRC</t>
        </is>
      </c>
      <c r="C315" s="5" t="inlineStr">
        <is>
          <t>GRC</t>
        </is>
      </c>
      <c r="D315" s="5" t="inlineStr">
        <is>
          <t>Greece</t>
        </is>
      </c>
      <c r="E315" s="5" t="n">
        <v>2022</v>
      </c>
      <c r="F315" s="5" t="n">
        <v>0.24</v>
      </c>
      <c r="G315" s="5" t="n">
        <v>2.192</v>
      </c>
      <c r="H315" s="5" t="n">
        <v>0.638</v>
      </c>
      <c r="I315" s="5" t="n">
        <v>8.765000000000001</v>
      </c>
      <c r="J315" s="5" t="n">
        <v>10.957</v>
      </c>
      <c r="K315" s="5" t="n">
        <v>0</v>
      </c>
      <c r="L315" s="5" t="n">
        <v>1</v>
      </c>
      <c r="M315" s="5" t="n">
        <v>3.369</v>
      </c>
      <c r="N315" s="5" t="n">
        <v>1.914</v>
      </c>
      <c r="O315" s="5" t="n">
        <v>8.196</v>
      </c>
      <c r="P315" s="5" t="n">
        <v>11.565</v>
      </c>
      <c r="Q315" s="5" t="n">
        <v>0</v>
      </c>
      <c r="R315" s="5" t="n">
        <v>1</v>
      </c>
      <c r="S315" s="5" t="n">
        <v>5.383</v>
      </c>
      <c r="T315" s="5" t="n">
        <v>3.829</v>
      </c>
      <c r="U315" s="5" t="n">
        <v>0.441</v>
      </c>
      <c r="V315" s="5" t="n">
        <v>7.096</v>
      </c>
      <c r="W315" s="5" t="n">
        <v>0.24</v>
      </c>
      <c r="X315" s="5" t="n">
        <v>1</v>
      </c>
      <c r="Y315" s="5" t="n">
        <v>35.158</v>
      </c>
      <c r="Z315" s="5" t="n">
        <v>3.688</v>
      </c>
      <c r="AA315" s="5" t="n">
        <v>-0.449</v>
      </c>
      <c r="AB315" s="5" t="n">
        <v>34.71</v>
      </c>
      <c r="AC315" s="5" t="n">
        <v>0</v>
      </c>
      <c r="AD315" s="5" t="n">
        <v>1</v>
      </c>
      <c r="AE315" s="5" t="n">
        <v>35.206</v>
      </c>
      <c r="AF315" s="5" t="n">
        <v>6.527</v>
      </c>
      <c r="AG315" s="5" t="n">
        <v>-0.497</v>
      </c>
      <c r="AH315" s="5" t="n">
        <v>34.71</v>
      </c>
      <c r="AI315" s="5" t="n">
        <v>0</v>
      </c>
      <c r="AJ315" s="5" t="n">
        <v>1</v>
      </c>
      <c r="AK315" s="5" t="n">
        <v>41.679</v>
      </c>
      <c r="AL315" s="5" t="n">
        <v>19.903</v>
      </c>
      <c r="AM315" s="5" t="n">
        <v>-13.136</v>
      </c>
      <c r="AN315" s="5" t="n">
        <v>35.393</v>
      </c>
      <c r="AO315" s="5" t="n">
        <v>0.24</v>
      </c>
      <c r="AP315" s="5" t="n">
        <v>1</v>
      </c>
      <c r="AQ315" s="5" t="n">
        <v>0.861</v>
      </c>
      <c r="AR315" s="5" t="n">
        <v>0.123</v>
      </c>
      <c r="AS315" s="5" t="n">
        <v>0.881</v>
      </c>
      <c r="AT315" s="5" t="n">
        <v>2.16</v>
      </c>
      <c r="AU315" s="5" t="n">
        <v>0.24</v>
      </c>
      <c r="AV315" s="5" t="n">
        <v>1</v>
      </c>
      <c r="AW315" s="5" t="n">
        <v>0.986</v>
      </c>
      <c r="AX315" s="5" t="n">
        <v>0.123</v>
      </c>
      <c r="AY315" s="5" t="n">
        <v>0.601</v>
      </c>
      <c r="AZ315" s="5" t="n">
        <v>1.968</v>
      </c>
      <c r="BA315" s="5" t="n">
        <v>0.24</v>
      </c>
      <c r="BB315" s="5" t="n">
        <v>1</v>
      </c>
      <c r="BC315" s="5" t="n">
        <v>0.598</v>
      </c>
      <c r="BD315" s="5" t="n">
        <v>0.123</v>
      </c>
      <c r="BE315" s="5" t="n">
        <v>0.285</v>
      </c>
      <c r="BF315" s="5" t="n">
        <v>1.095</v>
      </c>
      <c r="BG315" s="5" t="n">
        <v>0.24</v>
      </c>
      <c r="BH315" s="5" t="n">
        <v>1</v>
      </c>
      <c r="BI315" s="5" t="n">
        <v>0.612</v>
      </c>
      <c r="BJ315" s="5" t="n">
        <v>0.123</v>
      </c>
      <c r="BK315" s="5" t="n">
        <v>0.571</v>
      </c>
      <c r="BL315" s="5" t="n">
        <v>1.467</v>
      </c>
      <c r="BM315" s="5" t="n">
        <v>0.24</v>
      </c>
      <c r="BN315" s="5" t="n">
        <v>1</v>
      </c>
      <c r="BO315" s="5" t="n">
        <v>0</v>
      </c>
      <c r="BP315" s="5" t="n">
        <v>-0.097</v>
      </c>
      <c r="BQ315" s="5" t="n">
        <v>0.201</v>
      </c>
      <c r="BR315" s="5" t="n">
        <v>0</v>
      </c>
      <c r="BS315" s="5" t="n">
        <v>1</v>
      </c>
      <c r="BT315" s="5" t="n">
        <v>0</v>
      </c>
      <c r="BU315" s="5" t="n">
        <v>-0.17</v>
      </c>
      <c r="BV315" s="5" t="n">
        <v>0.239</v>
      </c>
      <c r="BW315" s="5" t="n">
        <v>0.24</v>
      </c>
      <c r="BX315" s="5" t="n">
        <v>1</v>
      </c>
      <c r="BY315" s="5" t="n">
        <v>12.729</v>
      </c>
      <c r="BZ315" s="5" t="n">
        <v>0</v>
      </c>
      <c r="CA315" s="5" t="n">
        <v>12.729</v>
      </c>
      <c r="CB315" s="5" t="n">
        <v>0</v>
      </c>
      <c r="CC315" s="5" t="n">
        <v>97.90000000000001</v>
      </c>
      <c r="CD315" s="5" t="n">
        <v>7.95</v>
      </c>
      <c r="CE315" s="5" t="n">
        <v>131.101</v>
      </c>
      <c r="CF315" s="5" t="n">
        <v>283.961</v>
      </c>
      <c r="CG315" s="5" t="n">
        <v>0.24</v>
      </c>
      <c r="CH315" s="5" t="n">
        <v>1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0</v>
      </c>
      <c r="CN315" s="5" t="n">
        <v>0</v>
      </c>
      <c r="CO315" s="5" t="n">
        <v>0</v>
      </c>
      <c r="CP315" s="5" t="n">
        <v>0.966</v>
      </c>
      <c r="CQ315" s="5" t="n">
        <v>1.294</v>
      </c>
      <c r="CR315" s="5" t="n">
        <v>0</v>
      </c>
      <c r="CS315" s="5" t="n">
        <v>5.158</v>
      </c>
      <c r="CT315" s="5" t="n">
        <v>9.039999999999999</v>
      </c>
      <c r="CU315" s="5" t="n">
        <v>31.323</v>
      </c>
    </row>
    <row r="316">
      <c r="A316" s="5" t="inlineStr">
        <is>
          <t>GRC2023</t>
        </is>
      </c>
      <c r="B316" s="5" t="inlineStr">
        <is>
          <t>GRC</t>
        </is>
      </c>
      <c r="C316" s="5" t="inlineStr">
        <is>
          <t>GRC</t>
        </is>
      </c>
      <c r="D316" s="5" t="inlineStr">
        <is>
          <t>Greece</t>
        </is>
      </c>
      <c r="E316" s="5" t="n">
        <v>2023</v>
      </c>
      <c r="F316" s="5" t="n">
        <v>0.24</v>
      </c>
      <c r="G316" s="5" t="n">
        <v>2.14</v>
      </c>
      <c r="H316" s="5" t="n">
        <v>0.659</v>
      </c>
      <c r="I316" s="5" t="n">
        <v>10.158</v>
      </c>
      <c r="J316" s="5" t="n">
        <v>12.297</v>
      </c>
      <c r="K316" s="5" t="n">
        <v>0</v>
      </c>
      <c r="L316" s="5" t="n">
        <v>1</v>
      </c>
      <c r="M316" s="5" t="n">
        <v>3.393</v>
      </c>
      <c r="N316" s="5" t="n">
        <v>1.978</v>
      </c>
      <c r="O316" s="5" t="n">
        <v>9.504</v>
      </c>
      <c r="P316" s="5" t="n">
        <v>12.898</v>
      </c>
      <c r="Q316" s="5" t="n">
        <v>0</v>
      </c>
      <c r="R316" s="5" t="n">
        <v>1</v>
      </c>
      <c r="S316" s="5" t="n">
        <v>5.436</v>
      </c>
      <c r="T316" s="5" t="n">
        <v>3.955</v>
      </c>
      <c r="U316" s="5" t="n">
        <v>0.477</v>
      </c>
      <c r="V316" s="5" t="n">
        <v>7.142</v>
      </c>
      <c r="W316" s="5" t="n">
        <v>0.24</v>
      </c>
      <c r="X316" s="5" t="n">
        <v>1</v>
      </c>
      <c r="Y316" s="5" t="n">
        <v>16.156</v>
      </c>
      <c r="Z316" s="5" t="n">
        <v>1.81</v>
      </c>
      <c r="AA316" s="5" t="n">
        <v>8.715</v>
      </c>
      <c r="AB316" s="5" t="n">
        <v>24.871</v>
      </c>
      <c r="AC316" s="5" t="n">
        <v>0</v>
      </c>
      <c r="AD316" s="5" t="n">
        <v>1</v>
      </c>
      <c r="AE316" s="5" t="n">
        <v>16.255</v>
      </c>
      <c r="AF316" s="5" t="n">
        <v>3.237</v>
      </c>
      <c r="AG316" s="5" t="n">
        <v>8.616</v>
      </c>
      <c r="AH316" s="5" t="n">
        <v>24.871</v>
      </c>
      <c r="AI316" s="5" t="n">
        <v>0</v>
      </c>
      <c r="AJ316" s="5" t="n">
        <v>1</v>
      </c>
      <c r="AK316" s="5" t="n">
        <v>23.033</v>
      </c>
      <c r="AL316" s="5" t="n">
        <v>11.41</v>
      </c>
      <c r="AM316" s="5" t="n">
        <v>2.557</v>
      </c>
      <c r="AN316" s="5" t="n">
        <v>31.731</v>
      </c>
      <c r="AO316" s="5" t="n">
        <v>0.24</v>
      </c>
      <c r="AP316" s="5" t="n">
        <v>1</v>
      </c>
      <c r="AQ316" s="5" t="n">
        <v>0.76</v>
      </c>
      <c r="AR316" s="5" t="n">
        <v>0.129</v>
      </c>
      <c r="AS316" s="5" t="n">
        <v>0.898</v>
      </c>
      <c r="AT316" s="5" t="n">
        <v>2.057</v>
      </c>
      <c r="AU316" s="5" t="n">
        <v>0.24</v>
      </c>
      <c r="AV316" s="5" t="n">
        <v>1</v>
      </c>
      <c r="AW316" s="5" t="n">
        <v>0.8110000000000001</v>
      </c>
      <c r="AX316" s="5" t="n">
        <v>0.129</v>
      </c>
      <c r="AY316" s="5" t="n">
        <v>0.67</v>
      </c>
      <c r="AZ316" s="5" t="n">
        <v>1.837</v>
      </c>
      <c r="BA316" s="5" t="n">
        <v>0.24</v>
      </c>
      <c r="BB316" s="5" t="n">
        <v>1</v>
      </c>
      <c r="BC316" s="5" t="n">
        <v>0.535</v>
      </c>
      <c r="BD316" s="5" t="n">
        <v>0.129</v>
      </c>
      <c r="BE316" s="5" t="n">
        <v>0.253</v>
      </c>
      <c r="BF316" s="5" t="n">
        <v>0.977</v>
      </c>
      <c r="BG316" s="5" t="n">
        <v>0.24</v>
      </c>
      <c r="BH316" s="5" t="n">
        <v>1</v>
      </c>
      <c r="BI316" s="5" t="n">
        <v>0.579</v>
      </c>
      <c r="BJ316" s="5" t="n">
        <v>0.129</v>
      </c>
      <c r="BK316" s="5" t="n">
        <v>0.535</v>
      </c>
      <c r="BL316" s="5" t="n">
        <v>1.382</v>
      </c>
      <c r="BM316" s="5" t="n">
        <v>0.24</v>
      </c>
      <c r="BN316" s="5" t="n">
        <v>1</v>
      </c>
      <c r="BO316" s="5" t="n">
        <v>0</v>
      </c>
      <c r="BP316" s="5" t="n">
        <v>0.01</v>
      </c>
      <c r="BQ316" s="5" t="n">
        <v>0.165</v>
      </c>
      <c r="BR316" s="5" t="n">
        <v>0</v>
      </c>
      <c r="BS316" s="5" t="n">
        <v>1</v>
      </c>
      <c r="BT316" s="5" t="n">
        <v>0</v>
      </c>
      <c r="BU316" s="5" t="n">
        <v>0.032</v>
      </c>
      <c r="BV316" s="5" t="n">
        <v>0.251</v>
      </c>
      <c r="BW316" s="5" t="n">
        <v>0.24</v>
      </c>
      <c r="BX316" s="5" t="n">
        <v>1</v>
      </c>
      <c r="BY316" s="5" t="n">
        <v>13.254</v>
      </c>
      <c r="BZ316" s="5" t="n">
        <v>0</v>
      </c>
      <c r="CA316" s="5" t="n">
        <v>13.254</v>
      </c>
      <c r="CB316" s="5" t="n">
        <v>0</v>
      </c>
      <c r="CC316" s="5" t="n">
        <v>83.248</v>
      </c>
      <c r="CD316" s="5" t="n">
        <v>7.95</v>
      </c>
      <c r="CE316" s="5" t="n">
        <v>130.771</v>
      </c>
      <c r="CF316" s="5" t="n">
        <v>265.383</v>
      </c>
      <c r="CG316" s="5" t="n">
        <v>0.24</v>
      </c>
      <c r="CH316" s="5" t="n">
        <v>1</v>
      </c>
      <c r="CI316" s="5" t="n">
        <v>0</v>
      </c>
      <c r="CJ316" s="5" t="n">
        <v>0</v>
      </c>
      <c r="CK316" s="5" t="n">
        <v>0</v>
      </c>
      <c r="CL316" s="5" t="n">
        <v>0</v>
      </c>
      <c r="CM316" s="5" t="n">
        <v>0</v>
      </c>
      <c r="CN316" s="5" t="n">
        <v>0</v>
      </c>
      <c r="CO316" s="5" t="n">
        <v>0</v>
      </c>
      <c r="CP316" s="5" t="n">
        <v>0.975</v>
      </c>
      <c r="CQ316" s="5" t="n">
        <v>1.348</v>
      </c>
      <c r="CR316" s="5" t="n">
        <v>0</v>
      </c>
      <c r="CS316" s="5" t="n">
        <v>5.37</v>
      </c>
      <c r="CT316" s="5" t="n">
        <v>6.569</v>
      </c>
      <c r="CU316" s="5" t="n">
        <v>12.27</v>
      </c>
    </row>
    <row r="317">
      <c r="A317" s="5" t="inlineStr">
        <is>
          <t>GRC2024</t>
        </is>
      </c>
      <c r="B317" s="5" t="inlineStr">
        <is>
          <t>GRC</t>
        </is>
      </c>
      <c r="C317" s="5" t="inlineStr">
        <is>
          <t>GRC</t>
        </is>
      </c>
      <c r="D317" s="5" t="inlineStr">
        <is>
          <t>Greece</t>
        </is>
      </c>
      <c r="E317" s="5" t="n">
        <v>2024</v>
      </c>
      <c r="F317" s="5" t="n">
        <v>0.24</v>
      </c>
      <c r="G317" s="5" t="n">
        <v>2.153</v>
      </c>
      <c r="H317" s="5" t="n">
        <v>0.679</v>
      </c>
      <c r="I317" s="5" t="n">
        <v>6.657</v>
      </c>
      <c r="J317" s="5" t="n">
        <v>8.81</v>
      </c>
      <c r="K317" s="5" t="n">
        <v>0</v>
      </c>
      <c r="L317" s="5" t="n">
        <v>1</v>
      </c>
      <c r="M317" s="5" t="n">
        <v>3.468</v>
      </c>
      <c r="N317" s="5" t="n">
        <v>2.036</v>
      </c>
      <c r="O317" s="5" t="n">
        <v>6.24</v>
      </c>
      <c r="P317" s="5" t="n">
        <v>9.708</v>
      </c>
      <c r="Q317" s="5" t="n">
        <v>0</v>
      </c>
      <c r="R317" s="5" t="n">
        <v>1</v>
      </c>
      <c r="S317" s="5" t="n">
        <v>5.546</v>
      </c>
      <c r="T317" s="5" t="n">
        <v>4.072</v>
      </c>
      <c r="U317" s="5" t="n">
        <v>0.526</v>
      </c>
      <c r="V317" s="5" t="n">
        <v>7.291</v>
      </c>
      <c r="W317" s="5" t="n">
        <v>0.24</v>
      </c>
      <c r="X317" s="5" t="n">
        <v>1</v>
      </c>
      <c r="Y317" s="5" t="n">
        <v>12.457</v>
      </c>
      <c r="Z317" s="5" t="n">
        <v>1.573</v>
      </c>
      <c r="AA317" s="5" t="n">
        <v>4.821</v>
      </c>
      <c r="AB317" s="5" t="n">
        <v>17.278</v>
      </c>
      <c r="AC317" s="5" t="n">
        <v>0</v>
      </c>
      <c r="AD317" s="5" t="n">
        <v>1</v>
      </c>
      <c r="AE317" s="5" t="n">
        <v>12.457</v>
      </c>
      <c r="AF317" s="5" t="n">
        <v>2.729</v>
      </c>
      <c r="AG317" s="5" t="n">
        <v>4.821</v>
      </c>
      <c r="AH317" s="5" t="n">
        <v>17.278</v>
      </c>
      <c r="AI317" s="5" t="n">
        <v>0</v>
      </c>
      <c r="AJ317" s="5" t="n">
        <v>1</v>
      </c>
      <c r="AK317" s="5" t="n">
        <v>19.921</v>
      </c>
      <c r="AL317" s="5" t="n">
        <v>10.132</v>
      </c>
      <c r="AM317" s="5" t="n">
        <v>0.553</v>
      </c>
      <c r="AN317" s="5" t="n">
        <v>25.388</v>
      </c>
      <c r="AO317" s="5" t="n">
        <v>0.24</v>
      </c>
      <c r="AP317" s="5" t="n">
        <v>1</v>
      </c>
      <c r="AQ317" s="5" t="n">
        <v>0.724</v>
      </c>
      <c r="AR317" s="5" t="n">
        <v>0.132</v>
      </c>
      <c r="AS317" s="5" t="n">
        <v>0.895</v>
      </c>
      <c r="AT317" s="5" t="n">
        <v>2.008</v>
      </c>
      <c r="AU317" s="5" t="n">
        <v>0.24</v>
      </c>
      <c r="AV317" s="5" t="n">
        <v>1</v>
      </c>
      <c r="AW317" s="5" t="n">
        <v>0.75</v>
      </c>
      <c r="AX317" s="5" t="n">
        <v>0.132</v>
      </c>
      <c r="AY317" s="5" t="n">
        <v>0.671</v>
      </c>
      <c r="AZ317" s="5" t="n">
        <v>1.762</v>
      </c>
      <c r="BA317" s="5" t="n">
        <v>0.24</v>
      </c>
      <c r="BB317" s="5" t="n">
        <v>1</v>
      </c>
      <c r="BC317" s="5" t="n">
        <v>0.513</v>
      </c>
      <c r="BD317" s="5" t="n">
        <v>0.132</v>
      </c>
      <c r="BE317" s="5" t="n">
        <v>0.258</v>
      </c>
      <c r="BF317" s="5" t="n">
        <v>0.956</v>
      </c>
      <c r="BG317" s="5" t="n">
        <v>0.24</v>
      </c>
      <c r="BH317" s="5" t="n">
        <v>1</v>
      </c>
      <c r="BI317" s="5" t="n">
        <v>0.591</v>
      </c>
      <c r="BJ317" s="5" t="n">
        <v>0.132</v>
      </c>
      <c r="BK317" s="5" t="n">
        <v>0.475</v>
      </c>
      <c r="BL317" s="5" t="n">
        <v>1.322</v>
      </c>
      <c r="BM317" s="5" t="n">
        <v>0.24</v>
      </c>
      <c r="BN317" s="5" t="n">
        <v>1</v>
      </c>
      <c r="BO317" s="5" t="n">
        <v>0</v>
      </c>
      <c r="BP317" s="5" t="n">
        <v>0.011</v>
      </c>
      <c r="BQ317" s="5" t="n">
        <v>0.152</v>
      </c>
      <c r="BR317" s="5" t="n">
        <v>0</v>
      </c>
      <c r="BS317" s="5" t="n">
        <v>1</v>
      </c>
      <c r="BT317" s="5" t="n">
        <v>0</v>
      </c>
      <c r="BU317" s="5" t="n">
        <v>0.025</v>
      </c>
      <c r="BV317" s="5" t="n">
        <v>0.245</v>
      </c>
      <c r="BW317" s="5" t="n">
        <v>0.24</v>
      </c>
      <c r="BX317" s="5" t="n">
        <v>1</v>
      </c>
      <c r="BY317" s="5" t="n">
        <v>13.646</v>
      </c>
      <c r="BZ317" s="5" t="n">
        <v>0</v>
      </c>
      <c r="CA317" s="5" t="n">
        <v>13.646</v>
      </c>
      <c r="CB317" s="5" t="n">
        <v>0</v>
      </c>
      <c r="CC317" s="5" t="n">
        <v>82.58799999999999</v>
      </c>
      <c r="CD317" s="5" t="n">
        <v>7.95</v>
      </c>
      <c r="CE317" s="5" t="n">
        <v>119.18</v>
      </c>
      <c r="CF317" s="5" t="n">
        <v>250.192</v>
      </c>
      <c r="CG317" s="5" t="n">
        <v>0.24</v>
      </c>
      <c r="CH317" s="5" t="n">
        <v>1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0</v>
      </c>
      <c r="CO317" s="5" t="n">
        <v>0</v>
      </c>
      <c r="CP317" s="5" t="n">
        <v>0.975</v>
      </c>
      <c r="CQ317" s="5" t="n">
        <v>1.387</v>
      </c>
      <c r="CR317" s="5" t="n">
        <v>0</v>
      </c>
      <c r="CS317" s="5" t="n">
        <v>5.529</v>
      </c>
      <c r="CT317" s="5" t="n">
        <v>4.797</v>
      </c>
      <c r="CU317" s="5" t="n">
        <v>9.568</v>
      </c>
    </row>
    <row r="318">
      <c r="A318" s="5" t="inlineStr">
        <is>
          <t>GRL2021</t>
        </is>
      </c>
      <c r="B318" s="5" t="inlineStr">
        <is>
          <t>GRL</t>
        </is>
      </c>
      <c r="C318" s="5" t="inlineStr">
        <is>
          <t>GRL</t>
        </is>
      </c>
      <c r="D318" s="5" t="inlineStr">
        <is>
          <t>Greenland</t>
        </is>
      </c>
      <c r="E318" s="5" t="n">
        <v>2021</v>
      </c>
      <c r="F318" s="5" t="n">
        <v>0</v>
      </c>
      <c r="G318" s="5" t="n">
        <v>5.553</v>
      </c>
      <c r="H318" s="5" t="n">
        <v>1.143</v>
      </c>
      <c r="I318" s="5" t="n">
        <v>0</v>
      </c>
      <c r="J318" s="5" t="n">
        <v>5.553</v>
      </c>
      <c r="K318" s="5" t="n">
        <v>0</v>
      </c>
      <c r="L318" s="5" t="n">
        <v>1</v>
      </c>
      <c r="M318" s="5" t="n">
        <v>7.964</v>
      </c>
      <c r="N318" s="5" t="n">
        <v>3.43</v>
      </c>
      <c r="O318" s="5" t="n">
        <v>0</v>
      </c>
      <c r="P318" s="5" t="n">
        <v>7.964</v>
      </c>
      <c r="Q318" s="5" t="n">
        <v>0</v>
      </c>
      <c r="R318" s="5" t="n">
        <v>1</v>
      </c>
      <c r="S318" s="5" t="n">
        <v>11.27</v>
      </c>
      <c r="T318" s="5" t="n">
        <v>6.86</v>
      </c>
      <c r="U318" s="5" t="n">
        <v>0</v>
      </c>
      <c r="V318" s="5" t="n">
        <v>11.27</v>
      </c>
      <c r="W318" s="5" t="n">
        <v>0</v>
      </c>
      <c r="X318" s="5" t="n">
        <v>1</v>
      </c>
      <c r="Y318" s="5" t="n">
        <v>16.305</v>
      </c>
      <c r="Z318" s="5" t="n">
        <v>2.204</v>
      </c>
      <c r="AA318" s="5" t="n">
        <v>0</v>
      </c>
      <c r="AB318" s="5" t="n">
        <v>16.305</v>
      </c>
      <c r="AC318" s="5" t="n">
        <v>0</v>
      </c>
      <c r="AD318" s="5" t="n">
        <v>1</v>
      </c>
      <c r="AE318" s="5" t="n">
        <v>17.449</v>
      </c>
      <c r="AF318" s="5" t="n">
        <v>4.08</v>
      </c>
      <c r="AG318" s="5" t="n">
        <v>0</v>
      </c>
      <c r="AH318" s="5" t="n">
        <v>17.449</v>
      </c>
      <c r="AI318" s="5" t="n">
        <v>0</v>
      </c>
      <c r="AJ318" s="5" t="n">
        <v>1</v>
      </c>
      <c r="AK318" s="5" t="n">
        <v>24.309</v>
      </c>
      <c r="AL318" s="5" t="n">
        <v>12.947</v>
      </c>
      <c r="AM318" s="5" t="n">
        <v>0</v>
      </c>
      <c r="AN318" s="5" t="n">
        <v>24.309</v>
      </c>
      <c r="AO318" s="5" t="n">
        <v>0</v>
      </c>
      <c r="AP318" s="5" t="n">
        <v>1</v>
      </c>
      <c r="AQ318" s="5" t="n">
        <v>0.619</v>
      </c>
      <c r="AR318" s="5" t="n">
        <v>0.114</v>
      </c>
      <c r="AS318" s="5" t="n">
        <v>0.118</v>
      </c>
      <c r="AT318" s="5" t="n">
        <v>0.737</v>
      </c>
      <c r="AU318" s="5" t="n">
        <v>0</v>
      </c>
      <c r="AV318" s="5" t="n">
        <v>1</v>
      </c>
      <c r="AW318" s="5" t="n">
        <v>0.599</v>
      </c>
      <c r="AX318" s="5" t="n">
        <v>0.114</v>
      </c>
      <c r="AY318" s="5" t="n">
        <v>0.127</v>
      </c>
      <c r="AZ318" s="5" t="n">
        <v>0.726</v>
      </c>
      <c r="BA318" s="5" t="n">
        <v>0</v>
      </c>
      <c r="BB318" s="5" t="n">
        <v>0</v>
      </c>
      <c r="BC318" s="5" t="n">
        <v>0.439</v>
      </c>
      <c r="BD318" s="5" t="n">
        <v>0.114</v>
      </c>
      <c r="BE318" s="5" t="n">
        <v>0</v>
      </c>
      <c r="BF318" s="5" t="n">
        <v>0.439</v>
      </c>
      <c r="BG318" s="5" t="n">
        <v>0</v>
      </c>
      <c r="BH318" s="5" t="n">
        <v>1</v>
      </c>
      <c r="BI318" s="5" t="n">
        <v>0.505</v>
      </c>
      <c r="BJ318" s="5" t="n">
        <v>0.114</v>
      </c>
      <c r="BK318" s="5" t="n">
        <v>0.242</v>
      </c>
      <c r="BL318" s="5" t="n">
        <v>0.747</v>
      </c>
      <c r="BM318" s="5" t="n">
        <v>0</v>
      </c>
      <c r="BN318" s="5" t="n">
        <v>1</v>
      </c>
      <c r="BO318" s="5" t="n">
        <v>0</v>
      </c>
      <c r="BP318" s="5" t="n">
        <v>0</v>
      </c>
      <c r="BQ318" s="5" t="n">
        <v>0</v>
      </c>
      <c r="BR318" s="5" t="n">
        <v>0</v>
      </c>
      <c r="BS318" s="5" t="n">
        <v>1</v>
      </c>
      <c r="BT318" s="5" t="n">
        <v>0</v>
      </c>
      <c r="BU318" s="5" t="n">
        <v>0</v>
      </c>
      <c r="BV318" s="5" t="n">
        <v>0</v>
      </c>
      <c r="BW318" s="5" t="n">
        <v>0</v>
      </c>
      <c r="BX318" s="5" t="n">
        <v>1</v>
      </c>
      <c r="BY318" s="5" t="n">
        <v>11.787</v>
      </c>
      <c r="BZ318" s="5" t="n">
        <v>0</v>
      </c>
      <c r="CA318" s="5" t="n">
        <v>11.787</v>
      </c>
      <c r="CB318" s="5" t="n">
        <v>0</v>
      </c>
      <c r="CC318" s="5" t="n">
        <v>78.125</v>
      </c>
      <c r="CD318" s="5" t="n">
        <v>7.95</v>
      </c>
      <c r="CE318" s="5" t="n">
        <v>40.653</v>
      </c>
      <c r="CF318" s="5" t="n">
        <v>118.778</v>
      </c>
      <c r="CG318" s="5" t="n">
        <v>0</v>
      </c>
      <c r="CH318" s="5" t="n">
        <v>1</v>
      </c>
      <c r="CI318" s="5" t="n">
        <v>0</v>
      </c>
      <c r="CJ318" s="5" t="n">
        <v>0</v>
      </c>
      <c r="CK318" s="5" t="n">
        <v>0</v>
      </c>
      <c r="CL318" s="5" t="n">
        <v>0</v>
      </c>
      <c r="CM318" s="5" t="n">
        <v>0</v>
      </c>
      <c r="CN318" s="5" t="n">
        <v>0</v>
      </c>
      <c r="CO318" s="5" t="n">
        <v>0</v>
      </c>
      <c r="CP318" s="5" t="n">
        <v>0</v>
      </c>
      <c r="CQ318" s="5" t="n">
        <v>1.198</v>
      </c>
      <c r="CR318" s="5" t="n">
        <v>0</v>
      </c>
      <c r="CS318" s="5" t="n">
        <v>4.776</v>
      </c>
      <c r="CT318" s="5" t="n">
        <v>4.41</v>
      </c>
      <c r="CU318" s="5" t="n">
        <v>15.162</v>
      </c>
    </row>
    <row r="319">
      <c r="A319" s="5" t="inlineStr">
        <is>
          <t>GRL2022</t>
        </is>
      </c>
      <c r="B319" s="5" t="inlineStr">
        <is>
          <t>GRL</t>
        </is>
      </c>
      <c r="C319" s="5" t="inlineStr">
        <is>
          <t>GRL</t>
        </is>
      </c>
      <c r="D319" s="5" t="inlineStr">
        <is>
          <t>Greenland</t>
        </is>
      </c>
      <c r="E319" s="5" t="n">
        <v>2022</v>
      </c>
      <c r="F319" s="5" t="n">
        <v>0</v>
      </c>
      <c r="G319" s="5" t="n">
        <v>7.077</v>
      </c>
      <c r="H319" s="5" t="n">
        <v>1.235</v>
      </c>
      <c r="I319" s="5" t="n">
        <v>0</v>
      </c>
      <c r="J319" s="5" t="n">
        <v>7.077</v>
      </c>
      <c r="K319" s="5" t="n">
        <v>0</v>
      </c>
      <c r="L319" s="5" t="n">
        <v>1</v>
      </c>
      <c r="M319" s="5" t="n">
        <v>9.782999999999999</v>
      </c>
      <c r="N319" s="5" t="n">
        <v>3.704</v>
      </c>
      <c r="O319" s="5" t="n">
        <v>0</v>
      </c>
      <c r="P319" s="5" t="n">
        <v>9.782999999999999</v>
      </c>
      <c r="Q319" s="5" t="n">
        <v>0</v>
      </c>
      <c r="R319" s="5" t="n">
        <v>1</v>
      </c>
      <c r="S319" s="5" t="n">
        <v>13.25</v>
      </c>
      <c r="T319" s="5" t="n">
        <v>7.408</v>
      </c>
      <c r="U319" s="5" t="n">
        <v>0</v>
      </c>
      <c r="V319" s="5" t="n">
        <v>13.25</v>
      </c>
      <c r="W319" s="5" t="n">
        <v>0</v>
      </c>
      <c r="X319" s="5" t="n">
        <v>1</v>
      </c>
      <c r="Y319" s="5" t="n">
        <v>32.56</v>
      </c>
      <c r="Z319" s="5" t="n">
        <v>4.401</v>
      </c>
      <c r="AA319" s="5" t="n">
        <v>0</v>
      </c>
      <c r="AB319" s="5" t="n">
        <v>32.56</v>
      </c>
      <c r="AC319" s="5" t="n">
        <v>0</v>
      </c>
      <c r="AD319" s="5" t="n">
        <v>1</v>
      </c>
      <c r="AE319" s="5" t="n">
        <v>33.795</v>
      </c>
      <c r="AF319" s="5" t="n">
        <v>7.902</v>
      </c>
      <c r="AG319" s="5" t="n">
        <v>0</v>
      </c>
      <c r="AH319" s="5" t="n">
        <v>33.795</v>
      </c>
      <c r="AI319" s="5" t="n">
        <v>0</v>
      </c>
      <c r="AJ319" s="5" t="n">
        <v>1</v>
      </c>
      <c r="AK319" s="5" t="n">
        <v>41.203</v>
      </c>
      <c r="AL319" s="5" t="n">
        <v>21.945</v>
      </c>
      <c r="AM319" s="5" t="n">
        <v>0</v>
      </c>
      <c r="AN319" s="5" t="n">
        <v>41.203</v>
      </c>
      <c r="AO319" s="5" t="n">
        <v>0</v>
      </c>
      <c r="AP319" s="5" t="n">
        <v>1</v>
      </c>
      <c r="AQ319" s="5" t="n">
        <v>0.861</v>
      </c>
      <c r="AR319" s="5" t="n">
        <v>0.123</v>
      </c>
      <c r="AS319" s="5" t="n">
        <v>-0.23</v>
      </c>
      <c r="AT319" s="5" t="n">
        <v>0.631</v>
      </c>
      <c r="AU319" s="5" t="n">
        <v>0</v>
      </c>
      <c r="AV319" s="5" t="n">
        <v>1</v>
      </c>
      <c r="AW319" s="5" t="n">
        <v>0.986</v>
      </c>
      <c r="AX319" s="5" t="n">
        <v>0.123</v>
      </c>
      <c r="AY319" s="5" t="n">
        <v>-0.361</v>
      </c>
      <c r="AZ319" s="5" t="n">
        <v>0.625</v>
      </c>
      <c r="BA319" s="5" t="n">
        <v>0</v>
      </c>
      <c r="BB319" s="5" t="n">
        <v>0</v>
      </c>
      <c r="BC319" s="5" t="n">
        <v>0.598</v>
      </c>
      <c r="BD319" s="5" t="n">
        <v>0.123</v>
      </c>
      <c r="BE319" s="5" t="n">
        <v>0</v>
      </c>
      <c r="BF319" s="5" t="n">
        <v>0.598</v>
      </c>
      <c r="BG319" s="5" t="n">
        <v>0</v>
      </c>
      <c r="BH319" s="5" t="n">
        <v>1</v>
      </c>
      <c r="BI319" s="5" t="n">
        <v>0.612</v>
      </c>
      <c r="BJ319" s="5" t="n">
        <v>0.123</v>
      </c>
      <c r="BK319" s="5" t="n">
        <v>0.031</v>
      </c>
      <c r="BL319" s="5" t="n">
        <v>0.643</v>
      </c>
      <c r="BM319" s="5" t="n">
        <v>0</v>
      </c>
      <c r="BN319" s="5" t="n">
        <v>1</v>
      </c>
      <c r="BO319" s="5" t="n">
        <v>0</v>
      </c>
      <c r="BP319" s="5" t="n">
        <v>0</v>
      </c>
      <c r="BQ319" s="5" t="n">
        <v>0</v>
      </c>
      <c r="BR319" s="5" t="n">
        <v>0</v>
      </c>
      <c r="BS319" s="5" t="n">
        <v>1</v>
      </c>
      <c r="BT319" s="5" t="n">
        <v>0</v>
      </c>
      <c r="BU319" s="5" t="n">
        <v>0</v>
      </c>
      <c r="BV319" s="5" t="n">
        <v>0</v>
      </c>
      <c r="BW319" s="5" t="n">
        <v>0</v>
      </c>
      <c r="BX319" s="5" t="n">
        <v>1</v>
      </c>
      <c r="BY319" s="5" t="n">
        <v>12.729</v>
      </c>
      <c r="BZ319" s="5" t="n">
        <v>0</v>
      </c>
      <c r="CA319" s="5" t="n">
        <v>12.729</v>
      </c>
      <c r="CB319" s="5" t="n">
        <v>0</v>
      </c>
      <c r="CC319" s="5" t="n">
        <v>97.90000000000001</v>
      </c>
      <c r="CD319" s="5" t="n">
        <v>7.95</v>
      </c>
      <c r="CE319" s="5" t="n">
        <v>4.338</v>
      </c>
      <c r="CF319" s="5" t="n">
        <v>102.238</v>
      </c>
      <c r="CG319" s="5" t="n">
        <v>0</v>
      </c>
      <c r="CH319" s="5" t="n">
        <v>1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0</v>
      </c>
      <c r="CN319" s="5" t="n">
        <v>0</v>
      </c>
      <c r="CO319" s="5" t="n">
        <v>0</v>
      </c>
      <c r="CP319" s="5" t="n">
        <v>0</v>
      </c>
      <c r="CQ319" s="5" t="n">
        <v>1.294</v>
      </c>
      <c r="CR319" s="5" t="n">
        <v>0</v>
      </c>
      <c r="CS319" s="5" t="n">
        <v>5.158</v>
      </c>
      <c r="CT319" s="5" t="n">
        <v>5.842</v>
      </c>
      <c r="CU319" s="5" t="n">
        <v>31.326</v>
      </c>
    </row>
    <row r="320">
      <c r="A320" s="5" t="inlineStr">
        <is>
          <t>GRL2023</t>
        </is>
      </c>
      <c r="B320" s="5" t="inlineStr">
        <is>
          <t>GRL</t>
        </is>
      </c>
      <c r="C320" s="5" t="inlineStr">
        <is>
          <t>GRL</t>
        </is>
      </c>
      <c r="D320" s="5" t="inlineStr">
        <is>
          <t>Greenland</t>
        </is>
      </c>
      <c r="E320" s="5" t="n">
        <v>2023</v>
      </c>
      <c r="F320" s="5" t="n">
        <v>0</v>
      </c>
      <c r="G320" s="5" t="n">
        <v>4.752</v>
      </c>
      <c r="H320" s="5" t="n">
        <v>1.286</v>
      </c>
      <c r="I320" s="5" t="n">
        <v>0</v>
      </c>
      <c r="J320" s="5" t="n">
        <v>4.752</v>
      </c>
      <c r="K320" s="5" t="n">
        <v>0</v>
      </c>
      <c r="L320" s="5" t="n">
        <v>1</v>
      </c>
      <c r="M320" s="5" t="n">
        <v>7.886</v>
      </c>
      <c r="N320" s="5" t="n">
        <v>3.857</v>
      </c>
      <c r="O320" s="5" t="n">
        <v>0</v>
      </c>
      <c r="P320" s="5" t="n">
        <v>7.886</v>
      </c>
      <c r="Q320" s="5" t="n">
        <v>0</v>
      </c>
      <c r="R320" s="5" t="n">
        <v>1</v>
      </c>
      <c r="S320" s="5" t="n">
        <v>11.18</v>
      </c>
      <c r="T320" s="5" t="n">
        <v>7.714</v>
      </c>
      <c r="U320" s="5" t="n">
        <v>0</v>
      </c>
      <c r="V320" s="5" t="n">
        <v>11.18</v>
      </c>
      <c r="W320" s="5" t="n">
        <v>0</v>
      </c>
      <c r="X320" s="5" t="n">
        <v>1</v>
      </c>
      <c r="Y320" s="5" t="n">
        <v>12.908</v>
      </c>
      <c r="Z320" s="5" t="n">
        <v>1.745</v>
      </c>
      <c r="AA320" s="5" t="n">
        <v>0</v>
      </c>
      <c r="AB320" s="5" t="n">
        <v>12.908</v>
      </c>
      <c r="AC320" s="5" t="n">
        <v>0</v>
      </c>
      <c r="AD320" s="5" t="n">
        <v>1</v>
      </c>
      <c r="AE320" s="5" t="n">
        <v>14.194</v>
      </c>
      <c r="AF320" s="5" t="n">
        <v>3.319</v>
      </c>
      <c r="AG320" s="5" t="n">
        <v>0</v>
      </c>
      <c r="AH320" s="5" t="n">
        <v>14.194</v>
      </c>
      <c r="AI320" s="5" t="n">
        <v>0</v>
      </c>
      <c r="AJ320" s="5" t="n">
        <v>1</v>
      </c>
      <c r="AK320" s="5" t="n">
        <v>21.908</v>
      </c>
      <c r="AL320" s="5" t="n">
        <v>11.668</v>
      </c>
      <c r="AM320" s="5" t="n">
        <v>0</v>
      </c>
      <c r="AN320" s="5" t="n">
        <v>21.908</v>
      </c>
      <c r="AO320" s="5" t="n">
        <v>0</v>
      </c>
      <c r="AP320" s="5" t="n">
        <v>1</v>
      </c>
      <c r="AQ320" s="5" t="n">
        <v>0.76</v>
      </c>
      <c r="AR320" s="5" t="n">
        <v>0.129</v>
      </c>
      <c r="AS320" s="5" t="n">
        <v>-0.111</v>
      </c>
      <c r="AT320" s="5" t="n">
        <v>0.649</v>
      </c>
      <c r="AU320" s="5" t="n">
        <v>0</v>
      </c>
      <c r="AV320" s="5" t="n">
        <v>1</v>
      </c>
      <c r="AW320" s="5" t="n">
        <v>0.8110000000000001</v>
      </c>
      <c r="AX320" s="5" t="n">
        <v>0.129</v>
      </c>
      <c r="AY320" s="5" t="n">
        <v>-0.17</v>
      </c>
      <c r="AZ320" s="5" t="n">
        <v>0.642</v>
      </c>
      <c r="BA320" s="5" t="n">
        <v>0</v>
      </c>
      <c r="BB320" s="5" t="n">
        <v>0</v>
      </c>
      <c r="BC320" s="5" t="n">
        <v>0.535</v>
      </c>
      <c r="BD320" s="5" t="n">
        <v>0.129</v>
      </c>
      <c r="BE320" s="5" t="n">
        <v>0</v>
      </c>
      <c r="BF320" s="5" t="n">
        <v>0.535</v>
      </c>
      <c r="BG320" s="5" t="n">
        <v>0</v>
      </c>
      <c r="BH320" s="5" t="n">
        <v>1</v>
      </c>
      <c r="BI320" s="5" t="n">
        <v>0.579</v>
      </c>
      <c r="BJ320" s="5" t="n">
        <v>0.129</v>
      </c>
      <c r="BK320" s="5" t="n">
        <v>0.081</v>
      </c>
      <c r="BL320" s="5" t="n">
        <v>0.66</v>
      </c>
      <c r="BM320" s="5" t="n">
        <v>0</v>
      </c>
      <c r="BN320" s="5" t="n">
        <v>1</v>
      </c>
      <c r="BO320" s="5" t="n">
        <v>0</v>
      </c>
      <c r="BP320" s="5" t="n">
        <v>0</v>
      </c>
      <c r="BQ320" s="5" t="n">
        <v>0</v>
      </c>
      <c r="BR320" s="5" t="n">
        <v>0</v>
      </c>
      <c r="BS320" s="5" t="n">
        <v>1</v>
      </c>
      <c r="BT320" s="5" t="n">
        <v>0</v>
      </c>
      <c r="BU320" s="5" t="n">
        <v>0</v>
      </c>
      <c r="BV320" s="5" t="n">
        <v>0</v>
      </c>
      <c r="BW320" s="5" t="n">
        <v>0</v>
      </c>
      <c r="BX320" s="5" t="n">
        <v>1</v>
      </c>
      <c r="BY320" s="5" t="n">
        <v>13.254</v>
      </c>
      <c r="BZ320" s="5" t="n">
        <v>0</v>
      </c>
      <c r="CA320" s="5" t="n">
        <v>13.254</v>
      </c>
      <c r="CB320" s="5" t="n">
        <v>0</v>
      </c>
      <c r="CC320" s="5" t="n">
        <v>83.248</v>
      </c>
      <c r="CD320" s="5" t="n">
        <v>7.95</v>
      </c>
      <c r="CE320" s="5" t="n">
        <v>21.757</v>
      </c>
      <c r="CF320" s="5" t="n">
        <v>105.005</v>
      </c>
      <c r="CG320" s="5" t="n">
        <v>0</v>
      </c>
      <c r="CH320" s="5" t="n">
        <v>1</v>
      </c>
      <c r="CI320" s="5" t="n">
        <v>0</v>
      </c>
      <c r="CJ320" s="5" t="n">
        <v>0</v>
      </c>
      <c r="CK320" s="5" t="n">
        <v>0</v>
      </c>
      <c r="CL320" s="5" t="n">
        <v>0</v>
      </c>
      <c r="CM320" s="5" t="n">
        <v>0</v>
      </c>
      <c r="CN320" s="5" t="n">
        <v>0</v>
      </c>
      <c r="CO320" s="5" t="n">
        <v>0</v>
      </c>
      <c r="CP320" s="5" t="n">
        <v>0</v>
      </c>
      <c r="CQ320" s="5" t="n">
        <v>1.348</v>
      </c>
      <c r="CR320" s="5" t="n">
        <v>0</v>
      </c>
      <c r="CS320" s="5" t="n">
        <v>5.37</v>
      </c>
      <c r="CT320" s="5" t="n">
        <v>3.466</v>
      </c>
      <c r="CU320" s="5" t="n">
        <v>11.622</v>
      </c>
    </row>
    <row r="321">
      <c r="A321" s="5" t="inlineStr">
        <is>
          <t>GRL2024</t>
        </is>
      </c>
      <c r="B321" s="5" t="inlineStr">
        <is>
          <t>GRL</t>
        </is>
      </c>
      <c r="C321" s="5" t="inlineStr">
        <is>
          <t>GRL</t>
        </is>
      </c>
      <c r="D321" s="5" t="inlineStr">
        <is>
          <t>Greenland</t>
        </is>
      </c>
      <c r="E321" s="5" t="n">
        <v>2024</v>
      </c>
      <c r="F321" s="5" t="n">
        <v>0</v>
      </c>
      <c r="G321" s="5" t="n">
        <v>4.351</v>
      </c>
      <c r="H321" s="5" t="n">
        <v>1.324</v>
      </c>
      <c r="I321" s="5" t="n">
        <v>0</v>
      </c>
      <c r="J321" s="5" t="n">
        <v>4.351</v>
      </c>
      <c r="K321" s="5" t="n">
        <v>0</v>
      </c>
      <c r="L321" s="5" t="n">
        <v>1</v>
      </c>
      <c r="M321" s="5" t="n">
        <v>7.124</v>
      </c>
      <c r="N321" s="5" t="n">
        <v>3.971</v>
      </c>
      <c r="O321" s="5" t="n">
        <v>0</v>
      </c>
      <c r="P321" s="5" t="n">
        <v>7.124</v>
      </c>
      <c r="Q321" s="5" t="n">
        <v>0</v>
      </c>
      <c r="R321" s="5" t="n">
        <v>1</v>
      </c>
      <c r="S321" s="5" t="n">
        <v>10.969</v>
      </c>
      <c r="T321" s="5" t="n">
        <v>7.942</v>
      </c>
      <c r="U321" s="5" t="n">
        <v>0</v>
      </c>
      <c r="V321" s="5" t="n">
        <v>10.969</v>
      </c>
      <c r="W321" s="5" t="n">
        <v>0</v>
      </c>
      <c r="X321" s="5" t="n">
        <v>1</v>
      </c>
      <c r="Y321" s="5" t="n">
        <v>11.492</v>
      </c>
      <c r="Z321" s="5" t="n">
        <v>1.553</v>
      </c>
      <c r="AA321" s="5" t="n">
        <v>0</v>
      </c>
      <c r="AB321" s="5" t="n">
        <v>11.492</v>
      </c>
      <c r="AC321" s="5" t="n">
        <v>0</v>
      </c>
      <c r="AD321" s="5" t="n">
        <v>1</v>
      </c>
      <c r="AE321" s="5" t="n">
        <v>12.815</v>
      </c>
      <c r="AF321" s="5" t="n">
        <v>2.997</v>
      </c>
      <c r="AG321" s="5" t="n">
        <v>0</v>
      </c>
      <c r="AH321" s="5" t="n">
        <v>12.815</v>
      </c>
      <c r="AI321" s="5" t="n">
        <v>0</v>
      </c>
      <c r="AJ321" s="5" t="n">
        <v>1</v>
      </c>
      <c r="AK321" s="5" t="n">
        <v>20.757</v>
      </c>
      <c r="AL321" s="5" t="n">
        <v>11.055</v>
      </c>
      <c r="AM321" s="5" t="n">
        <v>0</v>
      </c>
      <c r="AN321" s="5" t="n">
        <v>20.757</v>
      </c>
      <c r="AO321" s="5" t="n">
        <v>0</v>
      </c>
      <c r="AP321" s="5" t="n">
        <v>1</v>
      </c>
      <c r="AQ321" s="5" t="n">
        <v>0.724</v>
      </c>
      <c r="AR321" s="5" t="n">
        <v>0.132</v>
      </c>
      <c r="AS321" s="5" t="n">
        <v>-0.06</v>
      </c>
      <c r="AT321" s="5" t="n">
        <v>0.664</v>
      </c>
      <c r="AU321" s="5" t="n">
        <v>0</v>
      </c>
      <c r="AV321" s="5" t="n">
        <v>1</v>
      </c>
      <c r="AW321" s="5" t="n">
        <v>0.75</v>
      </c>
      <c r="AX321" s="5" t="n">
        <v>0.132</v>
      </c>
      <c r="AY321" s="5" t="n">
        <v>-0.093</v>
      </c>
      <c r="AZ321" s="5" t="n">
        <v>0.658</v>
      </c>
      <c r="BA321" s="5" t="n">
        <v>0</v>
      </c>
      <c r="BB321" s="5" t="n">
        <v>0</v>
      </c>
      <c r="BC321" s="5" t="n">
        <v>0.513</v>
      </c>
      <c r="BD321" s="5" t="n">
        <v>0.132</v>
      </c>
      <c r="BE321" s="5" t="n">
        <v>0</v>
      </c>
      <c r="BF321" s="5" t="n">
        <v>0.513</v>
      </c>
      <c r="BG321" s="5" t="n">
        <v>0</v>
      </c>
      <c r="BH321" s="5" t="n">
        <v>1</v>
      </c>
      <c r="BI321" s="5" t="n">
        <v>0.591</v>
      </c>
      <c r="BJ321" s="5" t="n">
        <v>0.132</v>
      </c>
      <c r="BK321" s="5" t="n">
        <v>0.08699999999999999</v>
      </c>
      <c r="BL321" s="5" t="n">
        <v>0.679</v>
      </c>
      <c r="BM321" s="5" t="n">
        <v>0</v>
      </c>
      <c r="BN321" s="5" t="n">
        <v>1</v>
      </c>
      <c r="BO321" s="5" t="n">
        <v>0</v>
      </c>
      <c r="BP321" s="5" t="n">
        <v>0</v>
      </c>
      <c r="BQ321" s="5" t="n">
        <v>0</v>
      </c>
      <c r="BR321" s="5" t="n">
        <v>0</v>
      </c>
      <c r="BS321" s="5" t="n">
        <v>1</v>
      </c>
      <c r="BT321" s="5" t="n">
        <v>0</v>
      </c>
      <c r="BU321" s="5" t="n">
        <v>0</v>
      </c>
      <c r="BV321" s="5" t="n">
        <v>0</v>
      </c>
      <c r="BW321" s="5" t="n">
        <v>0</v>
      </c>
      <c r="BX321" s="5" t="n">
        <v>1</v>
      </c>
      <c r="BY321" s="5" t="n">
        <v>13.646</v>
      </c>
      <c r="BZ321" s="5" t="n">
        <v>0</v>
      </c>
      <c r="CA321" s="5" t="n">
        <v>13.646</v>
      </c>
      <c r="CB321" s="5" t="n">
        <v>0</v>
      </c>
      <c r="CC321" s="5" t="n">
        <v>82.58799999999999</v>
      </c>
      <c r="CD321" s="5" t="n">
        <v>7.95</v>
      </c>
      <c r="CE321" s="5" t="n">
        <v>24.901</v>
      </c>
      <c r="CF321" s="5" t="n">
        <v>107.489</v>
      </c>
      <c r="CG321" s="5" t="n">
        <v>0</v>
      </c>
      <c r="CH321" s="5" t="n">
        <v>1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0</v>
      </c>
      <c r="CN321" s="5" t="n">
        <v>0</v>
      </c>
      <c r="CO321" s="5" t="n">
        <v>0</v>
      </c>
      <c r="CP321" s="5" t="n">
        <v>0</v>
      </c>
      <c r="CQ321" s="5" t="n">
        <v>1.387</v>
      </c>
      <c r="CR321" s="5" t="n">
        <v>0</v>
      </c>
      <c r="CS321" s="5" t="n">
        <v>5.529</v>
      </c>
      <c r="CT321" s="5" t="n">
        <v>3.027</v>
      </c>
      <c r="CU321" s="5" t="n">
        <v>10.168</v>
      </c>
    </row>
    <row r="322">
      <c r="A322" s="5" t="inlineStr">
        <is>
          <t>GRD2021</t>
        </is>
      </c>
      <c r="B322" s="5" t="inlineStr">
        <is>
          <t>GRD</t>
        </is>
      </c>
      <c r="C322" s="5" t="inlineStr">
        <is>
          <t>GRD</t>
        </is>
      </c>
      <c r="D322" s="5" t="inlineStr">
        <is>
          <t>Grenada</t>
        </is>
      </c>
      <c r="E322" s="5" t="n">
        <v>2021</v>
      </c>
      <c r="F322" s="5" t="n">
        <v>0.15</v>
      </c>
      <c r="G322" s="5" t="n">
        <v>5.897</v>
      </c>
      <c r="H322" s="5" t="n">
        <v>1.143</v>
      </c>
      <c r="I322" s="5" t="n">
        <v>0</v>
      </c>
      <c r="J322" s="5" t="n">
        <v>5.897</v>
      </c>
      <c r="K322" s="5" t="n">
        <v>0</v>
      </c>
      <c r="L322" s="5" t="n">
        <v>1</v>
      </c>
      <c r="M322" s="5" t="n">
        <v>7.964</v>
      </c>
      <c r="N322" s="5" t="n">
        <v>3.43</v>
      </c>
      <c r="O322" s="5" t="n">
        <v>0</v>
      </c>
      <c r="P322" s="5" t="n">
        <v>7.964</v>
      </c>
      <c r="Q322" s="5" t="n">
        <v>0</v>
      </c>
      <c r="R322" s="5" t="n">
        <v>1</v>
      </c>
      <c r="S322" s="5" t="n">
        <v>11.613</v>
      </c>
      <c r="T322" s="5" t="n">
        <v>6.86</v>
      </c>
      <c r="U322" s="5" t="n">
        <v>0</v>
      </c>
      <c r="V322" s="5" t="n">
        <v>13.355</v>
      </c>
      <c r="W322" s="5" t="n">
        <v>0.15</v>
      </c>
      <c r="X322" s="5" t="n">
        <v>1</v>
      </c>
      <c r="Y322" s="5" t="n">
        <v>17.127</v>
      </c>
      <c r="Z322" s="5" t="n">
        <v>2.304</v>
      </c>
      <c r="AA322" s="5" t="n">
        <v>0</v>
      </c>
      <c r="AB322" s="5" t="n">
        <v>17.127</v>
      </c>
      <c r="AC322" s="5" t="n">
        <v>0</v>
      </c>
      <c r="AD322" s="5" t="n">
        <v>1</v>
      </c>
      <c r="AE322" s="5" t="n">
        <v>18.27</v>
      </c>
      <c r="AF322" s="5" t="n">
        <v>4.278</v>
      </c>
      <c r="AG322" s="5" t="n">
        <v>0</v>
      </c>
      <c r="AH322" s="5" t="n">
        <v>18.27</v>
      </c>
      <c r="AI322" s="5" t="n">
        <v>0</v>
      </c>
      <c r="AJ322" s="5" t="n">
        <v>1</v>
      </c>
      <c r="AK322" s="5" t="n">
        <v>25.13</v>
      </c>
      <c r="AL322" s="5" t="n">
        <v>13.503</v>
      </c>
      <c r="AM322" s="5" t="n">
        <v>0</v>
      </c>
      <c r="AN322" s="5" t="n">
        <v>28.899</v>
      </c>
      <c r="AO322" s="5" t="n">
        <v>0.15</v>
      </c>
      <c r="AP322" s="5" t="n">
        <v>1</v>
      </c>
      <c r="AQ322" s="5" t="n">
        <v>1.224</v>
      </c>
      <c r="AR322" s="5" t="n">
        <v>0.224</v>
      </c>
      <c r="AS322" s="5" t="n">
        <v>0.048</v>
      </c>
      <c r="AT322" s="5" t="n">
        <v>1.272</v>
      </c>
      <c r="AU322" s="5" t="n">
        <v>0</v>
      </c>
      <c r="AV322" s="5" t="n">
        <v>1</v>
      </c>
      <c r="AW322" s="5" t="n">
        <v>1.099</v>
      </c>
      <c r="AX322" s="5" t="n">
        <v>0.212</v>
      </c>
      <c r="AY322" s="5" t="n">
        <v>0.062</v>
      </c>
      <c r="AZ322" s="5" t="n">
        <v>1.161</v>
      </c>
      <c r="BA322" s="5" t="n">
        <v>0</v>
      </c>
      <c r="BB322" s="5" t="n">
        <v>1</v>
      </c>
      <c r="BC322" s="5" t="n">
        <v>0.458</v>
      </c>
      <c r="BD322" s="5" t="n">
        <v>0.114</v>
      </c>
      <c r="BE322" s="5" t="n">
        <v>0.266</v>
      </c>
      <c r="BF322" s="5" t="n">
        <v>0.832</v>
      </c>
      <c r="BG322" s="5" t="n">
        <v>0.15</v>
      </c>
      <c r="BH322" s="5" t="n">
        <v>1</v>
      </c>
      <c r="BI322" s="5" t="n">
        <v>0.491</v>
      </c>
      <c r="BJ322" s="5" t="n">
        <v>0.114</v>
      </c>
      <c r="BK322" s="5" t="n">
        <v>0.237</v>
      </c>
      <c r="BL322" s="5" t="n">
        <v>0.838</v>
      </c>
      <c r="BM322" s="5" t="n">
        <v>0.15</v>
      </c>
      <c r="BN322" s="5" t="n">
        <v>1</v>
      </c>
      <c r="BO322" s="5" t="n">
        <v>0</v>
      </c>
      <c r="BP322" s="5" t="n">
        <v>0</v>
      </c>
      <c r="BQ322" s="5" t="n">
        <v>0.263</v>
      </c>
      <c r="BR322" s="5" t="n">
        <v>0</v>
      </c>
      <c r="BS322" s="5" t="n">
        <v>1</v>
      </c>
      <c r="BT322" s="5" t="n">
        <v>0</v>
      </c>
      <c r="BU322" s="5" t="n">
        <v>0</v>
      </c>
      <c r="BV322" s="5" t="n">
        <v>0.294</v>
      </c>
      <c r="BW322" s="5" t="n">
        <v>0.15</v>
      </c>
      <c r="BX322" s="5" t="n">
        <v>1</v>
      </c>
      <c r="BY322" s="5" t="n">
        <v>11.787</v>
      </c>
      <c r="BZ322" s="5" t="n">
        <v>0</v>
      </c>
      <c r="CA322" s="5" t="n">
        <v>11.787</v>
      </c>
      <c r="CB322" s="5" t="n">
        <v>0</v>
      </c>
      <c r="CC322" s="5" t="n">
        <v>78.125</v>
      </c>
      <c r="CD322" s="5" t="n">
        <v>7.95</v>
      </c>
      <c r="CE322" s="5" t="n">
        <v>34.476</v>
      </c>
      <c r="CF322" s="5" t="n">
        <v>129.492</v>
      </c>
      <c r="CG322" s="5" t="n">
        <v>0.15</v>
      </c>
      <c r="CH322" s="5" t="n">
        <v>1</v>
      </c>
      <c r="CI322" s="5" t="n">
        <v>0</v>
      </c>
      <c r="CJ322" s="5" t="n">
        <v>0</v>
      </c>
      <c r="CK322" s="5" t="n">
        <v>0</v>
      </c>
      <c r="CL322" s="5" t="n">
        <v>0</v>
      </c>
      <c r="CM322" s="5" t="n">
        <v>0</v>
      </c>
      <c r="CN322" s="5" t="n">
        <v>0</v>
      </c>
      <c r="CO322" s="5" t="n">
        <v>0</v>
      </c>
      <c r="CP322" s="5" t="n">
        <v>0</v>
      </c>
      <c r="CQ322" s="5" t="n">
        <v>1.198</v>
      </c>
      <c r="CR322" s="5" t="n">
        <v>0</v>
      </c>
      <c r="CS322" s="5" t="n">
        <v>4.776</v>
      </c>
      <c r="CT322" s="5" t="n">
        <v>4.753</v>
      </c>
      <c r="CU322" s="5" t="n">
        <v>15.983</v>
      </c>
    </row>
    <row r="323">
      <c r="A323" s="5" t="inlineStr">
        <is>
          <t>GRD2022</t>
        </is>
      </c>
      <c r="B323" s="5" t="inlineStr">
        <is>
          <t>GRD</t>
        </is>
      </c>
      <c r="C323" s="5" t="inlineStr">
        <is>
          <t>GRD</t>
        </is>
      </c>
      <c r="D323" s="5" t="inlineStr">
        <is>
          <t>Grenada</t>
        </is>
      </c>
      <c r="E323" s="5" t="n">
        <v>2022</v>
      </c>
      <c r="F323" s="5" t="n">
        <v>0.15</v>
      </c>
      <c r="G323" s="5" t="n">
        <v>11.72</v>
      </c>
      <c r="H323" s="5" t="n">
        <v>1.235</v>
      </c>
      <c r="I323" s="5" t="n">
        <v>0</v>
      </c>
      <c r="J323" s="5" t="n">
        <v>11.72</v>
      </c>
      <c r="K323" s="5" t="n">
        <v>0</v>
      </c>
      <c r="L323" s="5" t="n">
        <v>1</v>
      </c>
      <c r="M323" s="5" t="n">
        <v>9.782999999999999</v>
      </c>
      <c r="N323" s="5" t="n">
        <v>3.704</v>
      </c>
      <c r="O323" s="5" t="n">
        <v>0</v>
      </c>
      <c r="P323" s="5" t="n">
        <v>9.782999999999999</v>
      </c>
      <c r="Q323" s="5" t="n">
        <v>0</v>
      </c>
      <c r="R323" s="5" t="n">
        <v>1</v>
      </c>
      <c r="S323" s="5" t="n">
        <v>17.893</v>
      </c>
      <c r="T323" s="5" t="n">
        <v>7.408</v>
      </c>
      <c r="U323" s="5" t="n">
        <v>0.199</v>
      </c>
      <c r="V323" s="5" t="n">
        <v>20.577</v>
      </c>
      <c r="W323" s="5" t="n">
        <v>0.15</v>
      </c>
      <c r="X323" s="5" t="n">
        <v>1</v>
      </c>
      <c r="Y323" s="5" t="n">
        <v>30.728</v>
      </c>
      <c r="Z323" s="5" t="n">
        <v>4.133</v>
      </c>
      <c r="AA323" s="5" t="n">
        <v>0</v>
      </c>
      <c r="AB323" s="5" t="n">
        <v>30.728</v>
      </c>
      <c r="AC323" s="5" t="n">
        <v>0</v>
      </c>
      <c r="AD323" s="5" t="n">
        <v>1</v>
      </c>
      <c r="AE323" s="5" t="n">
        <v>31.963</v>
      </c>
      <c r="AF323" s="5" t="n">
        <v>7.485</v>
      </c>
      <c r="AG323" s="5" t="n">
        <v>0</v>
      </c>
      <c r="AH323" s="5" t="n">
        <v>31.963</v>
      </c>
      <c r="AI323" s="5" t="n">
        <v>0</v>
      </c>
      <c r="AJ323" s="5" t="n">
        <v>1</v>
      </c>
      <c r="AK323" s="5" t="n">
        <v>39.371</v>
      </c>
      <c r="AL323" s="5" t="n">
        <v>21.155</v>
      </c>
      <c r="AM323" s="5" t="n">
        <v>0.437</v>
      </c>
      <c r="AN323" s="5" t="n">
        <v>45.277</v>
      </c>
      <c r="AO323" s="5" t="n">
        <v>0.15</v>
      </c>
      <c r="AP323" s="5" t="n">
        <v>1</v>
      </c>
      <c r="AQ323" s="5" t="n">
        <v>1.085</v>
      </c>
      <c r="AR323" s="5" t="n">
        <v>0.155</v>
      </c>
      <c r="AS323" s="5" t="n">
        <v>0.067</v>
      </c>
      <c r="AT323" s="5" t="n">
        <v>1.152</v>
      </c>
      <c r="AU323" s="5" t="n">
        <v>0</v>
      </c>
      <c r="AV323" s="5" t="n">
        <v>1</v>
      </c>
      <c r="AW323" s="5" t="n">
        <v>1.101</v>
      </c>
      <c r="AX323" s="5" t="n">
        <v>0.143</v>
      </c>
      <c r="AY323" s="5" t="n">
        <v>0.101</v>
      </c>
      <c r="AZ323" s="5" t="n">
        <v>1.202</v>
      </c>
      <c r="BA323" s="5" t="n">
        <v>0</v>
      </c>
      <c r="BB323" s="5" t="n">
        <v>1</v>
      </c>
      <c r="BC323" s="5" t="n">
        <v>0.62</v>
      </c>
      <c r="BD323" s="5" t="n">
        <v>0.123</v>
      </c>
      <c r="BE323" s="5" t="n">
        <v>0.103</v>
      </c>
      <c r="BF323" s="5" t="n">
        <v>0.832</v>
      </c>
      <c r="BG323" s="5" t="n">
        <v>0.15</v>
      </c>
      <c r="BH323" s="5" t="n">
        <v>1</v>
      </c>
      <c r="BI323" s="5" t="n">
        <v>0.608</v>
      </c>
      <c r="BJ323" s="5" t="n">
        <v>0.123</v>
      </c>
      <c r="BK323" s="5" t="n">
        <v>0.5580000000000001</v>
      </c>
      <c r="BL323" s="5" t="n">
        <v>1.341</v>
      </c>
      <c r="BM323" s="5" t="n">
        <v>0.15</v>
      </c>
      <c r="BN323" s="5" t="n">
        <v>1</v>
      </c>
      <c r="BO323" s="5" t="n">
        <v>0</v>
      </c>
      <c r="BP323" s="5" t="n">
        <v>0</v>
      </c>
      <c r="BQ323" s="5" t="n">
        <v>0.376</v>
      </c>
      <c r="BR323" s="5" t="n">
        <v>0</v>
      </c>
      <c r="BS323" s="5" t="n">
        <v>1</v>
      </c>
      <c r="BT323" s="5" t="n">
        <v>0</v>
      </c>
      <c r="BU323" s="5" t="n">
        <v>0</v>
      </c>
      <c r="BV323" s="5" t="n">
        <v>0.408</v>
      </c>
      <c r="BW323" s="5" t="n">
        <v>0.075</v>
      </c>
      <c r="BX323" s="5" t="n">
        <v>1</v>
      </c>
      <c r="BY323" s="5" t="n">
        <v>12.729</v>
      </c>
      <c r="BZ323" s="5" t="n">
        <v>0</v>
      </c>
      <c r="CA323" s="5" t="n">
        <v>12.729</v>
      </c>
      <c r="CB323" s="5" t="n">
        <v>0</v>
      </c>
      <c r="CC323" s="5" t="n">
        <v>97.90000000000001</v>
      </c>
      <c r="CD323" s="5" t="n">
        <v>7.95</v>
      </c>
      <c r="CE323" s="5" t="n">
        <v>35.467</v>
      </c>
      <c r="CF323" s="5" t="n">
        <v>153.372</v>
      </c>
      <c r="CG323" s="5" t="n">
        <v>0.15</v>
      </c>
      <c r="CH323" s="5" t="n">
        <v>1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0</v>
      </c>
      <c r="CN323" s="5" t="n">
        <v>0</v>
      </c>
      <c r="CO323" s="5" t="n">
        <v>0</v>
      </c>
      <c r="CP323" s="5" t="n">
        <v>0</v>
      </c>
      <c r="CQ323" s="5" t="n">
        <v>1.294</v>
      </c>
      <c r="CR323" s="5" t="n">
        <v>0</v>
      </c>
      <c r="CS323" s="5" t="n">
        <v>5.158</v>
      </c>
      <c r="CT323" s="5" t="n">
        <v>10.485</v>
      </c>
      <c r="CU323" s="5" t="n">
        <v>29.494</v>
      </c>
    </row>
    <row r="324">
      <c r="A324" s="5" t="inlineStr">
        <is>
          <t>GRD2023</t>
        </is>
      </c>
      <c r="B324" s="5" t="inlineStr">
        <is>
          <t>GRD</t>
        </is>
      </c>
      <c r="C324" s="5" t="inlineStr">
        <is>
          <t>GRD</t>
        </is>
      </c>
      <c r="D324" s="5" t="inlineStr">
        <is>
          <t>Grenada</t>
        </is>
      </c>
      <c r="E324" s="5" t="n">
        <v>2023</v>
      </c>
      <c r="F324" s="5" t="n">
        <v>0.15</v>
      </c>
      <c r="G324" s="5" t="n">
        <v>6.147</v>
      </c>
      <c r="H324" s="5" t="n">
        <v>1.286</v>
      </c>
      <c r="I324" s="5" t="n">
        <v>0</v>
      </c>
      <c r="J324" s="5" t="n">
        <v>6.147</v>
      </c>
      <c r="K324" s="5" t="n">
        <v>0</v>
      </c>
      <c r="L324" s="5" t="n">
        <v>1</v>
      </c>
      <c r="M324" s="5" t="n">
        <v>7.886</v>
      </c>
      <c r="N324" s="5" t="n">
        <v>3.857</v>
      </c>
      <c r="O324" s="5" t="n">
        <v>0</v>
      </c>
      <c r="P324" s="5" t="n">
        <v>7.886</v>
      </c>
      <c r="Q324" s="5" t="n">
        <v>0</v>
      </c>
      <c r="R324" s="5" t="n">
        <v>1</v>
      </c>
      <c r="S324" s="5" t="n">
        <v>12.575</v>
      </c>
      <c r="T324" s="5" t="n">
        <v>7.714</v>
      </c>
      <c r="U324" s="5" t="n">
        <v>0.209</v>
      </c>
      <c r="V324" s="5" t="n">
        <v>14.461</v>
      </c>
      <c r="W324" s="5" t="n">
        <v>0.15</v>
      </c>
      <c r="X324" s="5" t="n">
        <v>1</v>
      </c>
      <c r="Y324" s="5" t="n">
        <v>12.478</v>
      </c>
      <c r="Z324" s="5" t="n">
        <v>1.678</v>
      </c>
      <c r="AA324" s="5" t="n">
        <v>0</v>
      </c>
      <c r="AB324" s="5" t="n">
        <v>12.478</v>
      </c>
      <c r="AC324" s="5" t="n">
        <v>0</v>
      </c>
      <c r="AD324" s="5" t="n">
        <v>1</v>
      </c>
      <c r="AE324" s="5" t="n">
        <v>13.763</v>
      </c>
      <c r="AF324" s="5" t="n">
        <v>3.223</v>
      </c>
      <c r="AG324" s="5" t="n">
        <v>0</v>
      </c>
      <c r="AH324" s="5" t="n">
        <v>13.763</v>
      </c>
      <c r="AI324" s="5" t="n">
        <v>0</v>
      </c>
      <c r="AJ324" s="5" t="n">
        <v>1</v>
      </c>
      <c r="AK324" s="5" t="n">
        <v>21.477</v>
      </c>
      <c r="AL324" s="5" t="n">
        <v>11.54</v>
      </c>
      <c r="AM324" s="5" t="n">
        <v>0.357</v>
      </c>
      <c r="AN324" s="5" t="n">
        <v>24.699</v>
      </c>
      <c r="AO324" s="5" t="n">
        <v>0.15</v>
      </c>
      <c r="AP324" s="5" t="n">
        <v>1</v>
      </c>
      <c r="AQ324" s="5" t="n">
        <v>0.9389999999999999</v>
      </c>
      <c r="AR324" s="5" t="n">
        <v>0.158</v>
      </c>
      <c r="AS324" s="5" t="n">
        <v>0.338</v>
      </c>
      <c r="AT324" s="5" t="n">
        <v>1.277</v>
      </c>
      <c r="AU324" s="5" t="n">
        <v>0</v>
      </c>
      <c r="AV324" s="5" t="n">
        <v>1</v>
      </c>
      <c r="AW324" s="5" t="n">
        <v>0.919</v>
      </c>
      <c r="AX324" s="5" t="n">
        <v>0.157</v>
      </c>
      <c r="AY324" s="5" t="n">
        <v>0.346</v>
      </c>
      <c r="AZ324" s="5" t="n">
        <v>1.265</v>
      </c>
      <c r="BA324" s="5" t="n">
        <v>0</v>
      </c>
      <c r="BB324" s="5" t="n">
        <v>1</v>
      </c>
      <c r="BC324" s="5" t="n">
        <v>0.554</v>
      </c>
      <c r="BD324" s="5" t="n">
        <v>0.129</v>
      </c>
      <c r="BE324" s="5" t="n">
        <v>0.169</v>
      </c>
      <c r="BF324" s="5" t="n">
        <v>0.832</v>
      </c>
      <c r="BG324" s="5" t="n">
        <v>0.15</v>
      </c>
      <c r="BH324" s="5" t="n">
        <v>1</v>
      </c>
      <c r="BI324" s="5" t="n">
        <v>0.5570000000000001</v>
      </c>
      <c r="BJ324" s="5" t="n">
        <v>0.129</v>
      </c>
      <c r="BK324" s="5" t="n">
        <v>0.471</v>
      </c>
      <c r="BL324" s="5" t="n">
        <v>1.182</v>
      </c>
      <c r="BM324" s="5" t="n">
        <v>0.15</v>
      </c>
      <c r="BN324" s="5" t="n">
        <v>1</v>
      </c>
      <c r="BO324" s="5" t="n">
        <v>0</v>
      </c>
      <c r="BP324" s="5" t="n">
        <v>0</v>
      </c>
      <c r="BQ324" s="5" t="n">
        <v>0.349</v>
      </c>
      <c r="BR324" s="5" t="n">
        <v>0</v>
      </c>
      <c r="BS324" s="5" t="n">
        <v>1</v>
      </c>
      <c r="BT324" s="5" t="n">
        <v>0</v>
      </c>
      <c r="BU324" s="5" t="n">
        <v>0</v>
      </c>
      <c r="BV324" s="5" t="n">
        <v>0.38</v>
      </c>
      <c r="BW324" s="5" t="n">
        <v>0.075</v>
      </c>
      <c r="BX324" s="5" t="n">
        <v>1</v>
      </c>
      <c r="BY324" s="5" t="n">
        <v>13.254</v>
      </c>
      <c r="BZ324" s="5" t="n">
        <v>0</v>
      </c>
      <c r="CA324" s="5" t="n">
        <v>13.254</v>
      </c>
      <c r="CB324" s="5" t="n">
        <v>0</v>
      </c>
      <c r="CC324" s="5" t="n">
        <v>83.248</v>
      </c>
      <c r="CD324" s="5" t="n">
        <v>7.95</v>
      </c>
      <c r="CE324" s="5" t="n">
        <v>28.379</v>
      </c>
      <c r="CF324" s="5" t="n">
        <v>128.371</v>
      </c>
      <c r="CG324" s="5" t="n">
        <v>0.15</v>
      </c>
      <c r="CH324" s="5" t="n">
        <v>1</v>
      </c>
      <c r="CI324" s="5" t="n">
        <v>0</v>
      </c>
      <c r="CJ324" s="5" t="n">
        <v>0</v>
      </c>
      <c r="CK324" s="5" t="n">
        <v>0</v>
      </c>
      <c r="CL324" s="5" t="n">
        <v>0</v>
      </c>
      <c r="CM324" s="5" t="n">
        <v>0</v>
      </c>
      <c r="CN324" s="5" t="n">
        <v>0</v>
      </c>
      <c r="CO324" s="5" t="n">
        <v>0</v>
      </c>
      <c r="CP324" s="5" t="n">
        <v>0</v>
      </c>
      <c r="CQ324" s="5" t="n">
        <v>1.348</v>
      </c>
      <c r="CR324" s="5" t="n">
        <v>0</v>
      </c>
      <c r="CS324" s="5" t="n">
        <v>5.37</v>
      </c>
      <c r="CT324" s="5" t="n">
        <v>4.861</v>
      </c>
      <c r="CU324" s="5" t="n">
        <v>11.192</v>
      </c>
    </row>
    <row r="325">
      <c r="A325" s="5" t="inlineStr">
        <is>
          <t>GRD2024</t>
        </is>
      </c>
      <c r="B325" s="5" t="inlineStr">
        <is>
          <t>GRD</t>
        </is>
      </c>
      <c r="C325" s="5" t="inlineStr">
        <is>
          <t>GRD</t>
        </is>
      </c>
      <c r="D325" s="5" t="inlineStr">
        <is>
          <t>Grenada</t>
        </is>
      </c>
      <c r="E325" s="5" t="n">
        <v>2024</v>
      </c>
      <c r="F325" s="5" t="n">
        <v>0.15</v>
      </c>
      <c r="G325" s="5" t="n">
        <v>5.575</v>
      </c>
      <c r="H325" s="5" t="n">
        <v>1.324</v>
      </c>
      <c r="I325" s="5" t="n">
        <v>0</v>
      </c>
      <c r="J325" s="5" t="n">
        <v>5.575</v>
      </c>
      <c r="K325" s="5" t="n">
        <v>0</v>
      </c>
      <c r="L325" s="5" t="n">
        <v>1</v>
      </c>
      <c r="M325" s="5" t="n">
        <v>7.124</v>
      </c>
      <c r="N325" s="5" t="n">
        <v>3.971</v>
      </c>
      <c r="O325" s="5" t="n">
        <v>0</v>
      </c>
      <c r="P325" s="5" t="n">
        <v>7.124</v>
      </c>
      <c r="Q325" s="5" t="n">
        <v>0</v>
      </c>
      <c r="R325" s="5" t="n">
        <v>1</v>
      </c>
      <c r="S325" s="5" t="n">
        <v>12.193</v>
      </c>
      <c r="T325" s="5" t="n">
        <v>7.942</v>
      </c>
      <c r="U325" s="5" t="n">
        <v>0.249</v>
      </c>
      <c r="V325" s="5" t="n">
        <v>14.022</v>
      </c>
      <c r="W325" s="5" t="n">
        <v>0.15</v>
      </c>
      <c r="X325" s="5" t="n">
        <v>1</v>
      </c>
      <c r="Y325" s="5" t="n">
        <v>11.447</v>
      </c>
      <c r="Z325" s="5" t="n">
        <v>1.54</v>
      </c>
      <c r="AA325" s="5" t="n">
        <v>0</v>
      </c>
      <c r="AB325" s="5" t="n">
        <v>11.447</v>
      </c>
      <c r="AC325" s="5" t="n">
        <v>0</v>
      </c>
      <c r="AD325" s="5" t="n">
        <v>1</v>
      </c>
      <c r="AE325" s="5" t="n">
        <v>12.771</v>
      </c>
      <c r="AF325" s="5" t="n">
        <v>2.991</v>
      </c>
      <c r="AG325" s="5" t="n">
        <v>0</v>
      </c>
      <c r="AH325" s="5" t="n">
        <v>12.771</v>
      </c>
      <c r="AI325" s="5" t="n">
        <v>0</v>
      </c>
      <c r="AJ325" s="5" t="n">
        <v>1</v>
      </c>
      <c r="AK325" s="5" t="n">
        <v>20.712</v>
      </c>
      <c r="AL325" s="5" t="n">
        <v>11.129</v>
      </c>
      <c r="AM325" s="5" t="n">
        <v>0.423</v>
      </c>
      <c r="AN325" s="5" t="n">
        <v>23.819</v>
      </c>
      <c r="AO325" s="5" t="n">
        <v>0.15</v>
      </c>
      <c r="AP325" s="5" t="n">
        <v>1</v>
      </c>
      <c r="AQ325" s="5" t="n">
        <v>0.922</v>
      </c>
      <c r="AR325" s="5" t="n">
        <v>0.168</v>
      </c>
      <c r="AS325" s="5" t="n">
        <v>0.335</v>
      </c>
      <c r="AT325" s="5" t="n">
        <v>1.257</v>
      </c>
      <c r="AU325" s="5" t="n">
        <v>0</v>
      </c>
      <c r="AV325" s="5" t="n">
        <v>1</v>
      </c>
      <c r="AW325" s="5" t="n">
        <v>0.863</v>
      </c>
      <c r="AX325" s="5" t="n">
        <v>0.158</v>
      </c>
      <c r="AY325" s="5" t="n">
        <v>0.35</v>
      </c>
      <c r="AZ325" s="5" t="n">
        <v>1.214</v>
      </c>
      <c r="BA325" s="5" t="n">
        <v>0</v>
      </c>
      <c r="BB325" s="5" t="n">
        <v>1</v>
      </c>
      <c r="BC325" s="5" t="n">
        <v>0.534</v>
      </c>
      <c r="BD325" s="5" t="n">
        <v>0.132</v>
      </c>
      <c r="BE325" s="5" t="n">
        <v>0.19</v>
      </c>
      <c r="BF325" s="5" t="n">
        <v>0.832</v>
      </c>
      <c r="BG325" s="5" t="n">
        <v>0.15</v>
      </c>
      <c r="BH325" s="5" t="n">
        <v>1</v>
      </c>
      <c r="BI325" s="5" t="n">
        <v>0.5679999999999999</v>
      </c>
      <c r="BJ325" s="5" t="n">
        <v>0.132</v>
      </c>
      <c r="BK325" s="5" t="n">
        <v>0.364</v>
      </c>
      <c r="BL325" s="5" t="n">
        <v>1.072</v>
      </c>
      <c r="BM325" s="5" t="n">
        <v>0.15</v>
      </c>
      <c r="BN325" s="5" t="n">
        <v>1</v>
      </c>
      <c r="BO325" s="5" t="n">
        <v>0</v>
      </c>
      <c r="BP325" s="5" t="n">
        <v>0</v>
      </c>
      <c r="BQ325" s="5" t="n">
        <v>0.33</v>
      </c>
      <c r="BR325" s="5" t="n">
        <v>0</v>
      </c>
      <c r="BS325" s="5" t="n">
        <v>1</v>
      </c>
      <c r="BT325" s="5" t="n">
        <v>0</v>
      </c>
      <c r="BU325" s="5" t="n">
        <v>0</v>
      </c>
      <c r="BV325" s="5" t="n">
        <v>0.361</v>
      </c>
      <c r="BW325" s="5" t="n">
        <v>0.075</v>
      </c>
      <c r="BX325" s="5" t="n">
        <v>1</v>
      </c>
      <c r="BY325" s="5" t="n">
        <v>13.646</v>
      </c>
      <c r="BZ325" s="5" t="n">
        <v>0</v>
      </c>
      <c r="CA325" s="5" t="n">
        <v>13.646</v>
      </c>
      <c r="CB325" s="5" t="n">
        <v>0</v>
      </c>
      <c r="CC325" s="5" t="n">
        <v>82.58799999999999</v>
      </c>
      <c r="CD325" s="5" t="n">
        <v>7.95</v>
      </c>
      <c r="CE325" s="5" t="n">
        <v>31.916</v>
      </c>
      <c r="CF325" s="5" t="n">
        <v>129.043</v>
      </c>
      <c r="CG325" s="5" t="n">
        <v>0.15</v>
      </c>
      <c r="CH325" s="5" t="n">
        <v>1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0</v>
      </c>
      <c r="CN325" s="5" t="n">
        <v>0</v>
      </c>
      <c r="CO325" s="5" t="n">
        <v>0</v>
      </c>
      <c r="CP325" s="5" t="n">
        <v>0</v>
      </c>
      <c r="CQ325" s="5" t="n">
        <v>1.387</v>
      </c>
      <c r="CR325" s="5" t="n">
        <v>0</v>
      </c>
      <c r="CS325" s="5" t="n">
        <v>5.529</v>
      </c>
      <c r="CT325" s="5" t="n">
        <v>4.251</v>
      </c>
      <c r="CU325" s="5" t="n">
        <v>10.123</v>
      </c>
    </row>
    <row r="326">
      <c r="A326" s="5" t="inlineStr">
        <is>
          <t>GUM2021</t>
        </is>
      </c>
      <c r="B326" s="5" t="inlineStr">
        <is>
          <t>GUM</t>
        </is>
      </c>
      <c r="C326" s="5" t="inlineStr">
        <is>
          <t>GUM</t>
        </is>
      </c>
      <c r="D326" s="5" t="inlineStr">
        <is>
          <t>Guam</t>
        </is>
      </c>
      <c r="E326" s="5" t="n">
        <v>2021</v>
      </c>
      <c r="F326" s="5" t="n">
        <v>0.04</v>
      </c>
      <c r="G326" s="5" t="n">
        <v>4.747</v>
      </c>
      <c r="H326" s="5" t="n">
        <v>1.143</v>
      </c>
      <c r="I326" s="5" t="n">
        <v>0</v>
      </c>
      <c r="J326" s="5" t="n">
        <v>4.747</v>
      </c>
      <c r="K326" s="5" t="n">
        <v>0</v>
      </c>
      <c r="L326" s="5" t="n">
        <v>1</v>
      </c>
      <c r="M326" s="5" t="n">
        <v>7.964</v>
      </c>
      <c r="N326" s="5" t="n">
        <v>3.43</v>
      </c>
      <c r="O326" s="5" t="n">
        <v>0</v>
      </c>
      <c r="P326" s="5" t="n">
        <v>7.964</v>
      </c>
      <c r="Q326" s="5" t="n">
        <v>0</v>
      </c>
      <c r="R326" s="5" t="n">
        <v>1</v>
      </c>
      <c r="S326" s="5" t="n">
        <v>10.464</v>
      </c>
      <c r="T326" s="5" t="n">
        <v>6.86</v>
      </c>
      <c r="U326" s="5" t="n">
        <v>0</v>
      </c>
      <c r="V326" s="5" t="n">
        <v>10.883</v>
      </c>
      <c r="W326" s="5" t="n">
        <v>0.04</v>
      </c>
      <c r="X326" s="5" t="n">
        <v>1</v>
      </c>
      <c r="Y326" s="5" t="n">
        <v>10.551</v>
      </c>
      <c r="Z326" s="5" t="n">
        <v>1.302</v>
      </c>
      <c r="AA326" s="5" t="n">
        <v>0</v>
      </c>
      <c r="AB326" s="5" t="n">
        <v>10.551</v>
      </c>
      <c r="AC326" s="5" t="n">
        <v>0</v>
      </c>
      <c r="AD326" s="5" t="n">
        <v>1</v>
      </c>
      <c r="AE326" s="5" t="n">
        <v>11.694</v>
      </c>
      <c r="AF326" s="5" t="n">
        <v>2.549</v>
      </c>
      <c r="AG326" s="5" t="n">
        <v>0</v>
      </c>
      <c r="AH326" s="5" t="n">
        <v>11.694</v>
      </c>
      <c r="AI326" s="5" t="n">
        <v>0</v>
      </c>
      <c r="AJ326" s="5" t="n">
        <v>1</v>
      </c>
      <c r="AK326" s="5" t="n">
        <v>18.554</v>
      </c>
      <c r="AL326" s="5" t="n">
        <v>9.627000000000001</v>
      </c>
      <c r="AM326" s="5" t="n">
        <v>0</v>
      </c>
      <c r="AN326" s="5" t="n">
        <v>19.296</v>
      </c>
      <c r="AO326" s="5" t="n">
        <v>0.04</v>
      </c>
      <c r="AP326" s="5" t="n">
        <v>1</v>
      </c>
      <c r="AQ326" s="5" t="n">
        <v>0.621</v>
      </c>
      <c r="AR326" s="5" t="n">
        <v>0.114</v>
      </c>
      <c r="AS326" s="5" t="n">
        <v>0</v>
      </c>
      <c r="AT326" s="5" t="n">
        <v>0.645</v>
      </c>
      <c r="AU326" s="5" t="n">
        <v>0.04</v>
      </c>
      <c r="AV326" s="5" t="n">
        <v>1</v>
      </c>
      <c r="AW326" s="5" t="n">
        <v>0.593</v>
      </c>
      <c r="AX326" s="5" t="n">
        <v>0.114</v>
      </c>
      <c r="AY326" s="5" t="n">
        <v>0</v>
      </c>
      <c r="AZ326" s="5" t="n">
        <v>0.617</v>
      </c>
      <c r="BA326" s="5" t="n">
        <v>0.04</v>
      </c>
      <c r="BB326" s="5" t="n">
        <v>1</v>
      </c>
      <c r="BC326" s="5" t="n">
        <v>0.44</v>
      </c>
      <c r="BD326" s="5" t="n">
        <v>0.114</v>
      </c>
      <c r="BE326" s="5" t="n">
        <v>0</v>
      </c>
      <c r="BF326" s="5" t="n">
        <v>0.457</v>
      </c>
      <c r="BG326" s="5" t="n">
        <v>0.04</v>
      </c>
      <c r="BH326" s="5" t="n">
        <v>1</v>
      </c>
      <c r="BI326" s="5" t="n">
        <v>0.5600000000000001</v>
      </c>
      <c r="BJ326" s="5" t="n">
        <v>0.114</v>
      </c>
      <c r="BK326" s="5" t="n">
        <v>0</v>
      </c>
      <c r="BL326" s="5" t="n">
        <v>0.583</v>
      </c>
      <c r="BM326" s="5" t="n">
        <v>0.04</v>
      </c>
      <c r="BN326" s="5" t="n">
        <v>1</v>
      </c>
      <c r="BO326" s="5" t="n">
        <v>0</v>
      </c>
      <c r="BP326" s="5" t="n">
        <v>0</v>
      </c>
      <c r="BQ326" s="5" t="n">
        <v>0</v>
      </c>
      <c r="BR326" s="5" t="n">
        <v>0</v>
      </c>
      <c r="BS326" s="5" t="n">
        <v>1</v>
      </c>
      <c r="BT326" s="5" t="n">
        <v>0</v>
      </c>
      <c r="BU326" s="5" t="n">
        <v>0</v>
      </c>
      <c r="BV326" s="5" t="n">
        <v>0</v>
      </c>
      <c r="BW326" s="5" t="n">
        <v>0.04</v>
      </c>
      <c r="BX326" s="5" t="n">
        <v>1</v>
      </c>
      <c r="BY326" s="5" t="n">
        <v>11.787</v>
      </c>
      <c r="BZ326" s="5" t="n">
        <v>0</v>
      </c>
      <c r="CA326" s="5" t="n">
        <v>11.787</v>
      </c>
      <c r="CB326" s="5" t="n">
        <v>0</v>
      </c>
      <c r="CC326" s="5" t="n">
        <v>81.69499999999999</v>
      </c>
      <c r="CD326" s="5" t="n">
        <v>7.95</v>
      </c>
      <c r="CE326" s="5" t="n">
        <v>0</v>
      </c>
      <c r="CF326" s="5" t="n">
        <v>84.96299999999999</v>
      </c>
      <c r="CG326" s="5" t="n">
        <v>0.04</v>
      </c>
      <c r="CH326" s="5" t="n">
        <v>1</v>
      </c>
      <c r="CI326" s="5" t="n">
        <v>0</v>
      </c>
      <c r="CJ326" s="5" t="n">
        <v>0</v>
      </c>
      <c r="CK326" s="5" t="n">
        <v>0</v>
      </c>
      <c r="CL326" s="5" t="n">
        <v>0</v>
      </c>
      <c r="CM326" s="5" t="n">
        <v>0</v>
      </c>
      <c r="CN326" s="5" t="n">
        <v>0</v>
      </c>
      <c r="CO326" s="5" t="n">
        <v>0</v>
      </c>
      <c r="CP326" s="5" t="n">
        <v>0</v>
      </c>
      <c r="CQ326" s="5" t="n">
        <v>1.198</v>
      </c>
      <c r="CR326" s="5" t="n">
        <v>0</v>
      </c>
      <c r="CS326" s="5" t="n">
        <v>4.776</v>
      </c>
      <c r="CT326" s="5" t="n">
        <v>3.604</v>
      </c>
      <c r="CU326" s="5" t="n">
        <v>9.407999999999999</v>
      </c>
    </row>
    <row r="327">
      <c r="A327" s="5" t="inlineStr">
        <is>
          <t>GUM2022</t>
        </is>
      </c>
      <c r="B327" s="5" t="inlineStr">
        <is>
          <t>GUM</t>
        </is>
      </c>
      <c r="C327" s="5" t="inlineStr">
        <is>
          <t>GUM</t>
        </is>
      </c>
      <c r="D327" s="5" t="inlineStr">
        <is>
          <t>Guam</t>
        </is>
      </c>
      <c r="E327" s="5" t="n">
        <v>2022</v>
      </c>
      <c r="F327" s="5" t="n">
        <v>0.04</v>
      </c>
      <c r="G327" s="5" t="n">
        <v>8.788</v>
      </c>
      <c r="H327" s="5" t="n">
        <v>1.235</v>
      </c>
      <c r="I327" s="5" t="n">
        <v>0</v>
      </c>
      <c r="J327" s="5" t="n">
        <v>8.788</v>
      </c>
      <c r="K327" s="5" t="n">
        <v>0</v>
      </c>
      <c r="L327" s="5" t="n">
        <v>1</v>
      </c>
      <c r="M327" s="5" t="n">
        <v>9.782999999999999</v>
      </c>
      <c r="N327" s="5" t="n">
        <v>3.704</v>
      </c>
      <c r="O327" s="5" t="n">
        <v>0</v>
      </c>
      <c r="P327" s="5" t="n">
        <v>9.782999999999999</v>
      </c>
      <c r="Q327" s="5" t="n">
        <v>0</v>
      </c>
      <c r="R327" s="5" t="n">
        <v>1</v>
      </c>
      <c r="S327" s="5" t="n">
        <v>14.962</v>
      </c>
      <c r="T327" s="5" t="n">
        <v>7.408</v>
      </c>
      <c r="U327" s="5" t="n">
        <v>0.044</v>
      </c>
      <c r="V327" s="5" t="n">
        <v>15.56</v>
      </c>
      <c r="W327" s="5" t="n">
        <v>0.04</v>
      </c>
      <c r="X327" s="5" t="n">
        <v>1</v>
      </c>
      <c r="Y327" s="5" t="n">
        <v>17.332</v>
      </c>
      <c r="Z327" s="5" t="n">
        <v>2.139</v>
      </c>
      <c r="AA327" s="5" t="n">
        <v>0</v>
      </c>
      <c r="AB327" s="5" t="n">
        <v>17.332</v>
      </c>
      <c r="AC327" s="5" t="n">
        <v>0</v>
      </c>
      <c r="AD327" s="5" t="n">
        <v>1</v>
      </c>
      <c r="AE327" s="5" t="n">
        <v>18.566</v>
      </c>
      <c r="AF327" s="5" t="n">
        <v>4.048</v>
      </c>
      <c r="AG327" s="5" t="n">
        <v>0</v>
      </c>
      <c r="AH327" s="5" t="n">
        <v>18.566</v>
      </c>
      <c r="AI327" s="5" t="n">
        <v>0</v>
      </c>
      <c r="AJ327" s="5" t="n">
        <v>1</v>
      </c>
      <c r="AK327" s="5" t="n">
        <v>25.974</v>
      </c>
      <c r="AL327" s="5" t="n">
        <v>13.478</v>
      </c>
      <c r="AM327" s="5" t="n">
        <v>0.077</v>
      </c>
      <c r="AN327" s="5" t="n">
        <v>27.013</v>
      </c>
      <c r="AO327" s="5" t="n">
        <v>0.04</v>
      </c>
      <c r="AP327" s="5" t="n">
        <v>1</v>
      </c>
      <c r="AQ327" s="5" t="n">
        <v>0.847</v>
      </c>
      <c r="AR327" s="5" t="n">
        <v>0.123</v>
      </c>
      <c r="AS327" s="5" t="n">
        <v>0.003</v>
      </c>
      <c r="AT327" s="5" t="n">
        <v>0.881</v>
      </c>
      <c r="AU327" s="5" t="n">
        <v>0.04</v>
      </c>
      <c r="AV327" s="5" t="n">
        <v>1</v>
      </c>
      <c r="AW327" s="5" t="n">
        <v>0.947</v>
      </c>
      <c r="AX327" s="5" t="n">
        <v>0.123</v>
      </c>
      <c r="AY327" s="5" t="n">
        <v>0.003</v>
      </c>
      <c r="AZ327" s="5" t="n">
        <v>0.985</v>
      </c>
      <c r="BA327" s="5" t="n">
        <v>0.04</v>
      </c>
      <c r="BB327" s="5" t="n">
        <v>1</v>
      </c>
      <c r="BC327" s="5" t="n">
        <v>0.589</v>
      </c>
      <c r="BD327" s="5" t="n">
        <v>0.123</v>
      </c>
      <c r="BE327" s="5" t="n">
        <v>0.002</v>
      </c>
      <c r="BF327" s="5" t="n">
        <v>0.612</v>
      </c>
      <c r="BG327" s="5" t="n">
        <v>0.04</v>
      </c>
      <c r="BH327" s="5" t="n">
        <v>1</v>
      </c>
      <c r="BI327" s="5" t="n">
        <v>0.6889999999999999</v>
      </c>
      <c r="BJ327" s="5" t="n">
        <v>0.123</v>
      </c>
      <c r="BK327" s="5" t="n">
        <v>0.002</v>
      </c>
      <c r="BL327" s="5" t="n">
        <v>0.716</v>
      </c>
      <c r="BM327" s="5" t="n">
        <v>0.04</v>
      </c>
      <c r="BN327" s="5" t="n">
        <v>1</v>
      </c>
      <c r="BO327" s="5" t="n">
        <v>0</v>
      </c>
      <c r="BP327" s="5" t="n">
        <v>0</v>
      </c>
      <c r="BQ327" s="5" t="n">
        <v>0</v>
      </c>
      <c r="BR327" s="5" t="n">
        <v>0</v>
      </c>
      <c r="BS327" s="5" t="n">
        <v>1</v>
      </c>
      <c r="BT327" s="5" t="n">
        <v>0</v>
      </c>
      <c r="BU327" s="5" t="n">
        <v>0</v>
      </c>
      <c r="BV327" s="5" t="n">
        <v>0</v>
      </c>
      <c r="BW327" s="5" t="n">
        <v>0.04</v>
      </c>
      <c r="BX327" s="5" t="n">
        <v>1</v>
      </c>
      <c r="BY327" s="5" t="n">
        <v>12.729</v>
      </c>
      <c r="BZ327" s="5" t="n">
        <v>0</v>
      </c>
      <c r="CA327" s="5" t="n">
        <v>12.729</v>
      </c>
      <c r="CB327" s="5" t="n">
        <v>0</v>
      </c>
      <c r="CC327" s="5" t="n">
        <v>102.477</v>
      </c>
      <c r="CD327" s="5" t="n">
        <v>7.95</v>
      </c>
      <c r="CE327" s="5" t="n">
        <v>0.303</v>
      </c>
      <c r="CF327" s="5" t="n">
        <v>106.576</v>
      </c>
      <c r="CG327" s="5" t="n">
        <v>0.04</v>
      </c>
      <c r="CH327" s="5" t="n">
        <v>1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0</v>
      </c>
      <c r="CN327" s="5" t="n">
        <v>0</v>
      </c>
      <c r="CO327" s="5" t="n">
        <v>0</v>
      </c>
      <c r="CP327" s="5" t="n">
        <v>0</v>
      </c>
      <c r="CQ327" s="5" t="n">
        <v>1.294</v>
      </c>
      <c r="CR327" s="5" t="n">
        <v>0</v>
      </c>
      <c r="CS327" s="5" t="n">
        <v>5.158</v>
      </c>
      <c r="CT327" s="5" t="n">
        <v>7.554</v>
      </c>
      <c r="CU327" s="5" t="n">
        <v>16.097</v>
      </c>
    </row>
    <row r="328">
      <c r="A328" s="5" t="inlineStr">
        <is>
          <t>GUM2023</t>
        </is>
      </c>
      <c r="B328" s="5" t="inlineStr">
        <is>
          <t>GUM</t>
        </is>
      </c>
      <c r="C328" s="5" t="inlineStr">
        <is>
          <t>GUM</t>
        </is>
      </c>
      <c r="D328" s="5" t="inlineStr">
        <is>
          <t>Guam</t>
        </is>
      </c>
      <c r="E328" s="5" t="n">
        <v>2023</v>
      </c>
      <c r="F328" s="5" t="n">
        <v>0.04</v>
      </c>
      <c r="G328" s="5" t="n">
        <v>5.77</v>
      </c>
      <c r="H328" s="5" t="n">
        <v>1.286</v>
      </c>
      <c r="I328" s="5" t="n">
        <v>0</v>
      </c>
      <c r="J328" s="5" t="n">
        <v>5.77</v>
      </c>
      <c r="K328" s="5" t="n">
        <v>0</v>
      </c>
      <c r="L328" s="5" t="n">
        <v>1</v>
      </c>
      <c r="M328" s="5" t="n">
        <v>7.886</v>
      </c>
      <c r="N328" s="5" t="n">
        <v>3.857</v>
      </c>
      <c r="O328" s="5" t="n">
        <v>0</v>
      </c>
      <c r="P328" s="5" t="n">
        <v>7.886</v>
      </c>
      <c r="Q328" s="5" t="n">
        <v>0</v>
      </c>
      <c r="R328" s="5" t="n">
        <v>1</v>
      </c>
      <c r="S328" s="5" t="n">
        <v>12.198</v>
      </c>
      <c r="T328" s="5" t="n">
        <v>7.714</v>
      </c>
      <c r="U328" s="5" t="n">
        <v>0.054</v>
      </c>
      <c r="V328" s="5" t="n">
        <v>12.686</v>
      </c>
      <c r="W328" s="5" t="n">
        <v>0.04</v>
      </c>
      <c r="X328" s="5" t="n">
        <v>1</v>
      </c>
      <c r="Y328" s="5" t="n">
        <v>13.814</v>
      </c>
      <c r="Z328" s="5" t="n">
        <v>1.705</v>
      </c>
      <c r="AA328" s="5" t="n">
        <v>0</v>
      </c>
      <c r="AB328" s="5" t="n">
        <v>13.814</v>
      </c>
      <c r="AC328" s="5" t="n">
        <v>0</v>
      </c>
      <c r="AD328" s="5" t="n">
        <v>1</v>
      </c>
      <c r="AE328" s="5" t="n">
        <v>15.1</v>
      </c>
      <c r="AF328" s="5" t="n">
        <v>3.292</v>
      </c>
      <c r="AG328" s="5" t="n">
        <v>0</v>
      </c>
      <c r="AH328" s="5" t="n">
        <v>15.1</v>
      </c>
      <c r="AI328" s="5" t="n">
        <v>0</v>
      </c>
      <c r="AJ328" s="5" t="n">
        <v>1</v>
      </c>
      <c r="AK328" s="5" t="n">
        <v>22.814</v>
      </c>
      <c r="AL328" s="5" t="n">
        <v>11.838</v>
      </c>
      <c r="AM328" s="5" t="n">
        <v>0.101</v>
      </c>
      <c r="AN328" s="5" t="n">
        <v>23.726</v>
      </c>
      <c r="AO328" s="5" t="n">
        <v>0.04</v>
      </c>
      <c r="AP328" s="5" t="n">
        <v>1</v>
      </c>
      <c r="AQ328" s="5" t="n">
        <v>0.749</v>
      </c>
      <c r="AR328" s="5" t="n">
        <v>0.129</v>
      </c>
      <c r="AS328" s="5" t="n">
        <v>0.003</v>
      </c>
      <c r="AT328" s="5" t="n">
        <v>0.779</v>
      </c>
      <c r="AU328" s="5" t="n">
        <v>0.04</v>
      </c>
      <c r="AV328" s="5" t="n">
        <v>1</v>
      </c>
      <c r="AW328" s="5" t="n">
        <v>0.783</v>
      </c>
      <c r="AX328" s="5" t="n">
        <v>0.129</v>
      </c>
      <c r="AY328" s="5" t="n">
        <v>0.003</v>
      </c>
      <c r="AZ328" s="5" t="n">
        <v>0.8139999999999999</v>
      </c>
      <c r="BA328" s="5" t="n">
        <v>0.04</v>
      </c>
      <c r="BB328" s="5" t="n">
        <v>1</v>
      </c>
      <c r="BC328" s="5" t="n">
        <v>0.527</v>
      </c>
      <c r="BD328" s="5" t="n">
        <v>0.129</v>
      </c>
      <c r="BE328" s="5" t="n">
        <v>0.002</v>
      </c>
      <c r="BF328" s="5" t="n">
        <v>0.549</v>
      </c>
      <c r="BG328" s="5" t="n">
        <v>0.04</v>
      </c>
      <c r="BH328" s="5" t="n">
        <v>1</v>
      </c>
      <c r="BI328" s="5" t="n">
        <v>0.64</v>
      </c>
      <c r="BJ328" s="5" t="n">
        <v>0.129</v>
      </c>
      <c r="BK328" s="5" t="n">
        <v>0.003</v>
      </c>
      <c r="BL328" s="5" t="n">
        <v>0.665</v>
      </c>
      <c r="BM328" s="5" t="n">
        <v>0.04</v>
      </c>
      <c r="BN328" s="5" t="n">
        <v>1</v>
      </c>
      <c r="BO328" s="5" t="n">
        <v>0</v>
      </c>
      <c r="BP328" s="5" t="n">
        <v>0</v>
      </c>
      <c r="BQ328" s="5" t="n">
        <v>0</v>
      </c>
      <c r="BR328" s="5" t="n">
        <v>0</v>
      </c>
      <c r="BS328" s="5" t="n">
        <v>1</v>
      </c>
      <c r="BT328" s="5" t="n">
        <v>0</v>
      </c>
      <c r="BU328" s="5" t="n">
        <v>0</v>
      </c>
      <c r="BV328" s="5" t="n">
        <v>0</v>
      </c>
      <c r="BW328" s="5" t="n">
        <v>0.04</v>
      </c>
      <c r="BX328" s="5" t="n">
        <v>1</v>
      </c>
      <c r="BY328" s="5" t="n">
        <v>13.254</v>
      </c>
      <c r="BZ328" s="5" t="n">
        <v>0</v>
      </c>
      <c r="CA328" s="5" t="n">
        <v>13.254</v>
      </c>
      <c r="CB328" s="5" t="n">
        <v>0</v>
      </c>
      <c r="CC328" s="5" t="n">
        <v>87.07899999999999</v>
      </c>
      <c r="CD328" s="5" t="n">
        <v>7.95</v>
      </c>
      <c r="CE328" s="5" t="n">
        <v>0.386</v>
      </c>
      <c r="CF328" s="5" t="n">
        <v>90.562</v>
      </c>
      <c r="CG328" s="5" t="n">
        <v>0.04</v>
      </c>
      <c r="CH328" s="5" t="n">
        <v>1</v>
      </c>
      <c r="CI328" s="5" t="n">
        <v>0</v>
      </c>
      <c r="CJ328" s="5" t="n">
        <v>0</v>
      </c>
      <c r="CK328" s="5" t="n">
        <v>0</v>
      </c>
      <c r="CL328" s="5" t="n">
        <v>0</v>
      </c>
      <c r="CM328" s="5" t="n">
        <v>0</v>
      </c>
      <c r="CN328" s="5" t="n">
        <v>0</v>
      </c>
      <c r="CO328" s="5" t="n">
        <v>0</v>
      </c>
      <c r="CP328" s="5" t="n">
        <v>0</v>
      </c>
      <c r="CQ328" s="5" t="n">
        <v>1.348</v>
      </c>
      <c r="CR328" s="5" t="n">
        <v>0</v>
      </c>
      <c r="CS328" s="5" t="n">
        <v>5.37</v>
      </c>
      <c r="CT328" s="5" t="n">
        <v>4.484</v>
      </c>
      <c r="CU328" s="5" t="n">
        <v>12.529</v>
      </c>
    </row>
    <row r="329">
      <c r="A329" s="5" t="inlineStr">
        <is>
          <t>GUM2024</t>
        </is>
      </c>
      <c r="B329" s="5" t="inlineStr">
        <is>
          <t>GUM</t>
        </is>
      </c>
      <c r="C329" s="5" t="inlineStr">
        <is>
          <t>GUM</t>
        </is>
      </c>
      <c r="D329" s="5" t="inlineStr">
        <is>
          <t>Guam</t>
        </is>
      </c>
      <c r="E329" s="5" t="n">
        <v>2024</v>
      </c>
      <c r="F329" s="5" t="n">
        <v>0.04</v>
      </c>
      <c r="G329" s="5" t="n">
        <v>4.833</v>
      </c>
      <c r="H329" s="5" t="n">
        <v>1.324</v>
      </c>
      <c r="I329" s="5" t="n">
        <v>0</v>
      </c>
      <c r="J329" s="5" t="n">
        <v>4.833</v>
      </c>
      <c r="K329" s="5" t="n">
        <v>0</v>
      </c>
      <c r="L329" s="5" t="n">
        <v>1</v>
      </c>
      <c r="M329" s="5" t="n">
        <v>7.124</v>
      </c>
      <c r="N329" s="5" t="n">
        <v>3.971</v>
      </c>
      <c r="O329" s="5" t="n">
        <v>0</v>
      </c>
      <c r="P329" s="5" t="n">
        <v>7.124</v>
      </c>
      <c r="Q329" s="5" t="n">
        <v>0</v>
      </c>
      <c r="R329" s="5" t="n">
        <v>1</v>
      </c>
      <c r="S329" s="5" t="n">
        <v>11.451</v>
      </c>
      <c r="T329" s="5" t="n">
        <v>7.942</v>
      </c>
      <c r="U329" s="5" t="n">
        <v>0.062</v>
      </c>
      <c r="V329" s="5" t="n">
        <v>11.909</v>
      </c>
      <c r="W329" s="5" t="n">
        <v>0.04</v>
      </c>
      <c r="X329" s="5" t="n">
        <v>1</v>
      </c>
      <c r="Y329" s="5" t="n">
        <v>12.219</v>
      </c>
      <c r="Z329" s="5" t="n">
        <v>1.508</v>
      </c>
      <c r="AA329" s="5" t="n">
        <v>0</v>
      </c>
      <c r="AB329" s="5" t="n">
        <v>12.219</v>
      </c>
      <c r="AC329" s="5" t="n">
        <v>0</v>
      </c>
      <c r="AD329" s="5" t="n">
        <v>1</v>
      </c>
      <c r="AE329" s="5" t="n">
        <v>13.543</v>
      </c>
      <c r="AF329" s="5" t="n">
        <v>2.952</v>
      </c>
      <c r="AG329" s="5" t="n">
        <v>0</v>
      </c>
      <c r="AH329" s="5" t="n">
        <v>13.543</v>
      </c>
      <c r="AI329" s="5" t="n">
        <v>0</v>
      </c>
      <c r="AJ329" s="5" t="n">
        <v>1</v>
      </c>
      <c r="AK329" s="5" t="n">
        <v>21.484</v>
      </c>
      <c r="AL329" s="5" t="n">
        <v>11.148</v>
      </c>
      <c r="AM329" s="5" t="n">
        <v>0.117</v>
      </c>
      <c r="AN329" s="5" t="n">
        <v>22.344</v>
      </c>
      <c r="AO329" s="5" t="n">
        <v>0.04</v>
      </c>
      <c r="AP329" s="5" t="n">
        <v>1</v>
      </c>
      <c r="AQ329" s="5" t="n">
        <v>0.72</v>
      </c>
      <c r="AR329" s="5" t="n">
        <v>0.132</v>
      </c>
      <c r="AS329" s="5" t="n">
        <v>0.004</v>
      </c>
      <c r="AT329" s="5" t="n">
        <v>0.749</v>
      </c>
      <c r="AU329" s="5" t="n">
        <v>0.04</v>
      </c>
      <c r="AV329" s="5" t="n">
        <v>1</v>
      </c>
      <c r="AW329" s="5" t="n">
        <v>0.734</v>
      </c>
      <c r="AX329" s="5" t="n">
        <v>0.132</v>
      </c>
      <c r="AY329" s="5" t="n">
        <v>0.004</v>
      </c>
      <c r="AZ329" s="5" t="n">
        <v>0.763</v>
      </c>
      <c r="BA329" s="5" t="n">
        <v>0.04</v>
      </c>
      <c r="BB329" s="5" t="n">
        <v>1</v>
      </c>
      <c r="BC329" s="5" t="n">
        <v>0.51</v>
      </c>
      <c r="BD329" s="5" t="n">
        <v>0.132</v>
      </c>
      <c r="BE329" s="5" t="n">
        <v>0.003</v>
      </c>
      <c r="BF329" s="5" t="n">
        <v>0.531</v>
      </c>
      <c r="BG329" s="5" t="n">
        <v>0.04</v>
      </c>
      <c r="BH329" s="5" t="n">
        <v>1</v>
      </c>
      <c r="BI329" s="5" t="n">
        <v>0.652</v>
      </c>
      <c r="BJ329" s="5" t="n">
        <v>0.132</v>
      </c>
      <c r="BK329" s="5" t="n">
        <v>0.004</v>
      </c>
      <c r="BL329" s="5" t="n">
        <v>0.678</v>
      </c>
      <c r="BM329" s="5" t="n">
        <v>0.04</v>
      </c>
      <c r="BN329" s="5" t="n">
        <v>1</v>
      </c>
      <c r="BO329" s="5" t="n">
        <v>0</v>
      </c>
      <c r="BP329" s="5" t="n">
        <v>0</v>
      </c>
      <c r="BQ329" s="5" t="n">
        <v>0</v>
      </c>
      <c r="BR329" s="5" t="n">
        <v>0</v>
      </c>
      <c r="BS329" s="5" t="n">
        <v>1</v>
      </c>
      <c r="BT329" s="5" t="n">
        <v>0</v>
      </c>
      <c r="BU329" s="5" t="n">
        <v>0</v>
      </c>
      <c r="BV329" s="5" t="n">
        <v>0</v>
      </c>
      <c r="BW329" s="5" t="n">
        <v>0.04</v>
      </c>
      <c r="BX329" s="5" t="n">
        <v>1</v>
      </c>
      <c r="BY329" s="5" t="n">
        <v>13.646</v>
      </c>
      <c r="BZ329" s="5" t="n">
        <v>0</v>
      </c>
      <c r="CA329" s="5" t="n">
        <v>13.646</v>
      </c>
      <c r="CB329" s="5" t="n">
        <v>0</v>
      </c>
      <c r="CC329" s="5" t="n">
        <v>86.38500000000001</v>
      </c>
      <c r="CD329" s="5" t="n">
        <v>7.95</v>
      </c>
      <c r="CE329" s="5" t="n">
        <v>0.471</v>
      </c>
      <c r="CF329" s="5" t="n">
        <v>89.84099999999999</v>
      </c>
      <c r="CG329" s="5" t="n">
        <v>0.04</v>
      </c>
      <c r="CH329" s="5" t="n">
        <v>1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0</v>
      </c>
      <c r="CN329" s="5" t="n">
        <v>0</v>
      </c>
      <c r="CO329" s="5" t="n">
        <v>0</v>
      </c>
      <c r="CP329" s="5" t="n">
        <v>0</v>
      </c>
      <c r="CQ329" s="5" t="n">
        <v>1.387</v>
      </c>
      <c r="CR329" s="5" t="n">
        <v>0</v>
      </c>
      <c r="CS329" s="5" t="n">
        <v>5.529</v>
      </c>
      <c r="CT329" s="5" t="n">
        <v>3.509</v>
      </c>
      <c r="CU329" s="5" t="n">
        <v>10.896</v>
      </c>
    </row>
    <row r="330">
      <c r="A330" s="5" t="inlineStr">
        <is>
          <t>GTM2021</t>
        </is>
      </c>
      <c r="B330" s="5" t="inlineStr">
        <is>
          <t>GTM</t>
        </is>
      </c>
      <c r="C330" s="5" t="inlineStr">
        <is>
          <t>GTM</t>
        </is>
      </c>
      <c r="D330" s="5" t="inlineStr">
        <is>
          <t>Guatemala</t>
        </is>
      </c>
      <c r="E330" s="5" t="n">
        <v>2021</v>
      </c>
      <c r="F330" s="5" t="n">
        <v>0.12</v>
      </c>
      <c r="G330" s="5" t="n">
        <v>5.897</v>
      </c>
      <c r="H330" s="5" t="n">
        <v>1.143</v>
      </c>
      <c r="I330" s="5" t="n">
        <v>0.238</v>
      </c>
      <c r="J330" s="5" t="n">
        <v>6.134</v>
      </c>
      <c r="K330" s="5" t="n">
        <v>0</v>
      </c>
      <c r="L330" s="5" t="n">
        <v>1</v>
      </c>
      <c r="M330" s="5" t="n">
        <v>7.964</v>
      </c>
      <c r="N330" s="5" t="n">
        <v>3.43</v>
      </c>
      <c r="O330" s="5" t="n">
        <v>0</v>
      </c>
      <c r="P330" s="5" t="n">
        <v>7.964</v>
      </c>
      <c r="Q330" s="5" t="n">
        <v>0</v>
      </c>
      <c r="R330" s="5" t="n">
        <v>1</v>
      </c>
      <c r="S330" s="5" t="n">
        <v>11.613</v>
      </c>
      <c r="T330" s="5" t="n">
        <v>6.86</v>
      </c>
      <c r="U330" s="5" t="n">
        <v>0</v>
      </c>
      <c r="V330" s="5" t="n">
        <v>13.007</v>
      </c>
      <c r="W330" s="5" t="n">
        <v>0.12</v>
      </c>
      <c r="X330" s="5" t="n">
        <v>1</v>
      </c>
      <c r="Y330" s="5" t="n">
        <v>5.347</v>
      </c>
      <c r="Z330" s="5" t="n">
        <v>0.389</v>
      </c>
      <c r="AA330" s="5" t="n">
        <v>0</v>
      </c>
      <c r="AB330" s="5" t="n">
        <v>5.347</v>
      </c>
      <c r="AC330" s="5" t="n">
        <v>0</v>
      </c>
      <c r="AD330" s="5" t="n">
        <v>1</v>
      </c>
      <c r="AE330" s="5" t="n">
        <v>5.919</v>
      </c>
      <c r="AF330" s="5" t="n">
        <v>0.796</v>
      </c>
      <c r="AG330" s="5" t="n">
        <v>0</v>
      </c>
      <c r="AH330" s="5" t="n">
        <v>5.919</v>
      </c>
      <c r="AI330" s="5" t="n">
        <v>0</v>
      </c>
      <c r="AJ330" s="5" t="n">
        <v>1</v>
      </c>
      <c r="AK330" s="5" t="n">
        <v>9.349</v>
      </c>
      <c r="AL330" s="5" t="n">
        <v>3.497</v>
      </c>
      <c r="AM330" s="5" t="n">
        <v>0</v>
      </c>
      <c r="AN330" s="5" t="n">
        <v>10.471</v>
      </c>
      <c r="AO330" s="5" t="n">
        <v>0.12</v>
      </c>
      <c r="AP330" s="5" t="n">
        <v>1</v>
      </c>
      <c r="AQ330" s="5" t="n">
        <v>0.649</v>
      </c>
      <c r="AR330" s="5" t="n">
        <v>0.114</v>
      </c>
      <c r="AS330" s="5" t="n">
        <v>0.169</v>
      </c>
      <c r="AT330" s="5" t="n">
        <v>0.917</v>
      </c>
      <c r="AU330" s="5" t="n">
        <v>0.12</v>
      </c>
      <c r="AV330" s="5" t="n">
        <v>1</v>
      </c>
      <c r="AW330" s="5" t="n">
        <v>0.577</v>
      </c>
      <c r="AX330" s="5" t="n">
        <v>0.114</v>
      </c>
      <c r="AY330" s="5" t="n">
        <v>0.104</v>
      </c>
      <c r="AZ330" s="5" t="n">
        <v>0.763</v>
      </c>
      <c r="BA330" s="5" t="n">
        <v>0.12</v>
      </c>
      <c r="BB330" s="5" t="n">
        <v>1</v>
      </c>
      <c r="BC330" s="5" t="n">
        <v>0.458</v>
      </c>
      <c r="BD330" s="5" t="n">
        <v>0.114</v>
      </c>
      <c r="BE330" s="5" t="n">
        <v>-0.059</v>
      </c>
      <c r="BF330" s="5" t="n">
        <v>0.447</v>
      </c>
      <c r="BG330" s="5" t="n">
        <v>0</v>
      </c>
      <c r="BH330" s="5" t="n">
        <v>0</v>
      </c>
      <c r="BI330" s="5" t="n">
        <v>0.491</v>
      </c>
      <c r="BJ330" s="5" t="n">
        <v>0.114</v>
      </c>
      <c r="BK330" s="5" t="n">
        <v>0.415</v>
      </c>
      <c r="BL330" s="5" t="n">
        <v>1.015</v>
      </c>
      <c r="BM330" s="5" t="n">
        <v>0.12</v>
      </c>
      <c r="BN330" s="5" t="n">
        <v>1</v>
      </c>
      <c r="BO330" s="5" t="n">
        <v>0</v>
      </c>
      <c r="BP330" s="5" t="n">
        <v>0</v>
      </c>
      <c r="BQ330" s="5" t="n">
        <v>0.132</v>
      </c>
      <c r="BR330" s="5" t="n">
        <v>0</v>
      </c>
      <c r="BS330" s="5" t="n">
        <v>1</v>
      </c>
      <c r="BT330" s="5" t="n">
        <v>0</v>
      </c>
      <c r="BU330" s="5" t="n">
        <v>0</v>
      </c>
      <c r="BV330" s="5" t="n">
        <v>0.223</v>
      </c>
      <c r="BW330" s="5" t="n">
        <v>0.12</v>
      </c>
      <c r="BX330" s="5" t="n">
        <v>0.833</v>
      </c>
      <c r="BY330" s="5" t="n">
        <v>11.787</v>
      </c>
      <c r="BZ330" s="5" t="n">
        <v>0</v>
      </c>
      <c r="CA330" s="5" t="n">
        <v>11.787</v>
      </c>
      <c r="CB330" s="5" t="n">
        <v>0</v>
      </c>
      <c r="CC330" s="5" t="n">
        <v>78.125</v>
      </c>
      <c r="CD330" s="5" t="n">
        <v>7.95</v>
      </c>
      <c r="CE330" s="5" t="n">
        <v>6.6</v>
      </c>
      <c r="CF330" s="5" t="n">
        <v>94.892</v>
      </c>
      <c r="CG330" s="5" t="n">
        <v>0.12</v>
      </c>
      <c r="CH330" s="5" t="n">
        <v>1</v>
      </c>
      <c r="CI330" s="5" t="n">
        <v>0</v>
      </c>
      <c r="CJ330" s="5" t="n">
        <v>0</v>
      </c>
      <c r="CK330" s="5" t="n">
        <v>0</v>
      </c>
      <c r="CL330" s="5" t="n">
        <v>0</v>
      </c>
      <c r="CM330" s="5" t="n">
        <v>0</v>
      </c>
      <c r="CN330" s="5" t="n">
        <v>0</v>
      </c>
      <c r="CO330" s="5" t="n">
        <v>0</v>
      </c>
      <c r="CP330" s="5" t="n">
        <v>0</v>
      </c>
      <c r="CQ330" s="5" t="n">
        <v>1.198</v>
      </c>
      <c r="CR330" s="5" t="n">
        <v>1</v>
      </c>
      <c r="CS330" s="5" t="n">
        <v>4.776</v>
      </c>
      <c r="CT330" s="5" t="n">
        <v>4.753</v>
      </c>
      <c r="CU330" s="5" t="n">
        <v>15.983</v>
      </c>
    </row>
    <row r="331">
      <c r="A331" s="5" t="inlineStr">
        <is>
          <t>GTM2022</t>
        </is>
      </c>
      <c r="B331" s="5" t="inlineStr">
        <is>
          <t>GTM</t>
        </is>
      </c>
      <c r="C331" s="5" t="inlineStr">
        <is>
          <t>GTM</t>
        </is>
      </c>
      <c r="D331" s="5" t="inlineStr">
        <is>
          <t>Guatemala</t>
        </is>
      </c>
      <c r="E331" s="5" t="n">
        <v>2022</v>
      </c>
      <c r="F331" s="5" t="n">
        <v>0.12</v>
      </c>
      <c r="G331" s="5" t="n">
        <v>11.72</v>
      </c>
      <c r="H331" s="5" t="n">
        <v>1.235</v>
      </c>
      <c r="I331" s="5" t="n">
        <v>0.524</v>
      </c>
      <c r="J331" s="5" t="n">
        <v>12.244</v>
      </c>
      <c r="K331" s="5" t="n">
        <v>0</v>
      </c>
      <c r="L331" s="5" t="n">
        <v>1</v>
      </c>
      <c r="M331" s="5" t="n">
        <v>9.782999999999999</v>
      </c>
      <c r="N331" s="5" t="n">
        <v>3.704</v>
      </c>
      <c r="O331" s="5" t="n">
        <v>0</v>
      </c>
      <c r="P331" s="5" t="n">
        <v>9.782999999999999</v>
      </c>
      <c r="Q331" s="5" t="n">
        <v>0</v>
      </c>
      <c r="R331" s="5" t="n">
        <v>1</v>
      </c>
      <c r="S331" s="5" t="n">
        <v>17.893</v>
      </c>
      <c r="T331" s="5" t="n">
        <v>7.408</v>
      </c>
      <c r="U331" s="5" t="n">
        <v>0.159</v>
      </c>
      <c r="V331" s="5" t="n">
        <v>20.041</v>
      </c>
      <c r="W331" s="5" t="n">
        <v>0.12</v>
      </c>
      <c r="X331" s="5" t="n">
        <v>1</v>
      </c>
      <c r="Y331" s="5" t="n">
        <v>5.775</v>
      </c>
      <c r="Z331" s="5" t="n">
        <v>0.42</v>
      </c>
      <c r="AA331" s="5" t="n">
        <v>0</v>
      </c>
      <c r="AB331" s="5" t="n">
        <v>5.775</v>
      </c>
      <c r="AC331" s="5" t="n">
        <v>0</v>
      </c>
      <c r="AD331" s="5" t="n">
        <v>1</v>
      </c>
      <c r="AE331" s="5" t="n">
        <v>6.392</v>
      </c>
      <c r="AF331" s="5" t="n">
        <v>0.86</v>
      </c>
      <c r="AG331" s="5" t="n">
        <v>0</v>
      </c>
      <c r="AH331" s="5" t="n">
        <v>6.392</v>
      </c>
      <c r="AI331" s="5" t="n">
        <v>0</v>
      </c>
      <c r="AJ331" s="5" t="n">
        <v>1</v>
      </c>
      <c r="AK331" s="5" t="n">
        <v>10.096</v>
      </c>
      <c r="AL331" s="5" t="n">
        <v>3.776</v>
      </c>
      <c r="AM331" s="5" t="n">
        <v>0.09</v>
      </c>
      <c r="AN331" s="5" t="n">
        <v>11.308</v>
      </c>
      <c r="AO331" s="5" t="n">
        <v>0.12</v>
      </c>
      <c r="AP331" s="5" t="n">
        <v>1</v>
      </c>
      <c r="AQ331" s="5" t="n">
        <v>0.896</v>
      </c>
      <c r="AR331" s="5" t="n">
        <v>0.123</v>
      </c>
      <c r="AS331" s="5" t="n">
        <v>0.161</v>
      </c>
      <c r="AT331" s="5" t="n">
        <v>1.183</v>
      </c>
      <c r="AU331" s="5" t="n">
        <v>0.12</v>
      </c>
      <c r="AV331" s="5" t="n">
        <v>1</v>
      </c>
      <c r="AW331" s="5" t="n">
        <v>0.89</v>
      </c>
      <c r="AX331" s="5" t="n">
        <v>0.123</v>
      </c>
      <c r="AY331" s="5" t="n">
        <v>0.131</v>
      </c>
      <c r="AZ331" s="5" t="n">
        <v>1.144</v>
      </c>
      <c r="BA331" s="5" t="n">
        <v>0.12</v>
      </c>
      <c r="BB331" s="5" t="n">
        <v>1</v>
      </c>
      <c r="BC331" s="5" t="n">
        <v>0.62</v>
      </c>
      <c r="BD331" s="5" t="n">
        <v>0.123</v>
      </c>
      <c r="BE331" s="5" t="n">
        <v>-0.207</v>
      </c>
      <c r="BF331" s="5" t="n">
        <v>0.463</v>
      </c>
      <c r="BG331" s="5" t="n">
        <v>0</v>
      </c>
      <c r="BH331" s="5" t="n">
        <v>0</v>
      </c>
      <c r="BI331" s="5" t="n">
        <v>0.608</v>
      </c>
      <c r="BJ331" s="5" t="n">
        <v>0.123</v>
      </c>
      <c r="BK331" s="5" t="n">
        <v>0.529</v>
      </c>
      <c r="BL331" s="5" t="n">
        <v>1.273</v>
      </c>
      <c r="BM331" s="5" t="n">
        <v>0.12</v>
      </c>
      <c r="BN331" s="5" t="n">
        <v>1</v>
      </c>
      <c r="BO331" s="5" t="n">
        <v>0</v>
      </c>
      <c r="BP331" s="5" t="n">
        <v>0</v>
      </c>
      <c r="BQ331" s="5" t="n">
        <v>0.141</v>
      </c>
      <c r="BR331" s="5" t="n">
        <v>0</v>
      </c>
      <c r="BS331" s="5" t="n">
        <v>1</v>
      </c>
      <c r="BT331" s="5" t="n">
        <v>0</v>
      </c>
      <c r="BU331" s="5" t="n">
        <v>0</v>
      </c>
      <c r="BV331" s="5" t="n">
        <v>0.133</v>
      </c>
      <c r="BW331" s="5" t="n">
        <v>0.12</v>
      </c>
      <c r="BX331" s="5" t="n">
        <v>0.833</v>
      </c>
      <c r="BY331" s="5" t="n">
        <v>12.729</v>
      </c>
      <c r="BZ331" s="5" t="n">
        <v>0</v>
      </c>
      <c r="CA331" s="5" t="n">
        <v>12.729</v>
      </c>
      <c r="CB331" s="5" t="n">
        <v>0</v>
      </c>
      <c r="CC331" s="5" t="n">
        <v>97.90000000000001</v>
      </c>
      <c r="CD331" s="5" t="n">
        <v>7.95</v>
      </c>
      <c r="CE331" s="5" t="n">
        <v>6.598</v>
      </c>
      <c r="CF331" s="5" t="n">
        <v>116.007</v>
      </c>
      <c r="CG331" s="5" t="n">
        <v>0.12</v>
      </c>
      <c r="CH331" s="5" t="n">
        <v>1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0</v>
      </c>
      <c r="CN331" s="5" t="n">
        <v>0</v>
      </c>
      <c r="CO331" s="5" t="n">
        <v>0</v>
      </c>
      <c r="CP331" s="5" t="n">
        <v>0</v>
      </c>
      <c r="CQ331" s="5" t="n">
        <v>1.294</v>
      </c>
      <c r="CR331" s="5" t="n">
        <v>1</v>
      </c>
      <c r="CS331" s="5" t="n">
        <v>5.158</v>
      </c>
      <c r="CT331" s="5" t="n">
        <v>10.485</v>
      </c>
      <c r="CU331" s="5" t="n">
        <v>29.494</v>
      </c>
    </row>
    <row r="332">
      <c r="A332" s="5" t="inlineStr">
        <is>
          <t>GTM2023</t>
        </is>
      </c>
      <c r="B332" s="5" t="inlineStr">
        <is>
          <t>GTM</t>
        </is>
      </c>
      <c r="C332" s="5" t="inlineStr">
        <is>
          <t>GTM</t>
        </is>
      </c>
      <c r="D332" s="5" t="inlineStr">
        <is>
          <t>Guatemala</t>
        </is>
      </c>
      <c r="E332" s="5" t="n">
        <v>2023</v>
      </c>
      <c r="F332" s="5" t="n">
        <v>0.12</v>
      </c>
      <c r="G332" s="5" t="n">
        <v>5.295</v>
      </c>
      <c r="H332" s="5" t="n">
        <v>1.154</v>
      </c>
      <c r="I332" s="5" t="n">
        <v>0.193</v>
      </c>
      <c r="J332" s="5" t="n">
        <v>5.488</v>
      </c>
      <c r="K332" s="5" t="n">
        <v>0</v>
      </c>
      <c r="L332" s="5" t="n">
        <v>1</v>
      </c>
      <c r="M332" s="5" t="n">
        <v>6.941</v>
      </c>
      <c r="N332" s="5" t="n">
        <v>3.462</v>
      </c>
      <c r="O332" s="5" t="n">
        <v>0</v>
      </c>
      <c r="P332" s="5" t="n">
        <v>6.941</v>
      </c>
      <c r="Q332" s="5" t="n">
        <v>0</v>
      </c>
      <c r="R332" s="5" t="n">
        <v>1</v>
      </c>
      <c r="S332" s="5" t="n">
        <v>11.065</v>
      </c>
      <c r="T332" s="5" t="n">
        <v>6.924</v>
      </c>
      <c r="U332" s="5" t="n">
        <v>0.147</v>
      </c>
      <c r="V332" s="5" t="n">
        <v>12.393</v>
      </c>
      <c r="W332" s="5" t="n">
        <v>0.12</v>
      </c>
      <c r="X332" s="5" t="n">
        <v>1</v>
      </c>
      <c r="Y332" s="5" t="n">
        <v>6.013</v>
      </c>
      <c r="Z332" s="5" t="n">
        <v>0.438</v>
      </c>
      <c r="AA332" s="5" t="n">
        <v>0</v>
      </c>
      <c r="AB332" s="5" t="n">
        <v>6.013</v>
      </c>
      <c r="AC332" s="5" t="n">
        <v>0</v>
      </c>
      <c r="AD332" s="5" t="n">
        <v>1</v>
      </c>
      <c r="AE332" s="5" t="n">
        <v>6.656</v>
      </c>
      <c r="AF332" s="5" t="n">
        <v>0.895</v>
      </c>
      <c r="AG332" s="5" t="n">
        <v>0</v>
      </c>
      <c r="AH332" s="5" t="n">
        <v>6.656</v>
      </c>
      <c r="AI332" s="5" t="n">
        <v>0</v>
      </c>
      <c r="AJ332" s="5" t="n">
        <v>1</v>
      </c>
      <c r="AK332" s="5" t="n">
        <v>10.513</v>
      </c>
      <c r="AL332" s="5" t="n">
        <v>3.932</v>
      </c>
      <c r="AM332" s="5" t="n">
        <v>0.14</v>
      </c>
      <c r="AN332" s="5" t="n">
        <v>11.775</v>
      </c>
      <c r="AO332" s="5" t="n">
        <v>0.12</v>
      </c>
      <c r="AP332" s="5" t="n">
        <v>1</v>
      </c>
      <c r="AQ332" s="5" t="n">
        <v>0.791</v>
      </c>
      <c r="AR332" s="5" t="n">
        <v>0.129</v>
      </c>
      <c r="AS332" s="5" t="n">
        <v>0.227</v>
      </c>
      <c r="AT332" s="5" t="n">
        <v>1.14</v>
      </c>
      <c r="AU332" s="5" t="n">
        <v>0.12</v>
      </c>
      <c r="AV332" s="5" t="n">
        <v>1</v>
      </c>
      <c r="AW332" s="5" t="n">
        <v>0.618</v>
      </c>
      <c r="AX332" s="5" t="n">
        <v>0.129</v>
      </c>
      <c r="AY332" s="5" t="n">
        <v>0.349</v>
      </c>
      <c r="AZ332" s="5" t="n">
        <v>1.083</v>
      </c>
      <c r="BA332" s="5" t="n">
        <v>0.12</v>
      </c>
      <c r="BB332" s="5" t="n">
        <v>1</v>
      </c>
      <c r="BC332" s="5" t="n">
        <v>0.554</v>
      </c>
      <c r="BD332" s="5" t="n">
        <v>0.129</v>
      </c>
      <c r="BE332" s="5" t="n">
        <v>-0.139</v>
      </c>
      <c r="BF332" s="5" t="n">
        <v>0.465</v>
      </c>
      <c r="BG332" s="5" t="n">
        <v>0</v>
      </c>
      <c r="BH332" s="5" t="n">
        <v>0</v>
      </c>
      <c r="BI332" s="5" t="n">
        <v>0.5570000000000001</v>
      </c>
      <c r="BJ332" s="5" t="n">
        <v>0.129</v>
      </c>
      <c r="BK332" s="5" t="n">
        <v>0.571</v>
      </c>
      <c r="BL332" s="5" t="n">
        <v>1.264</v>
      </c>
      <c r="BM332" s="5" t="n">
        <v>0.12</v>
      </c>
      <c r="BN332" s="5" t="n">
        <v>1</v>
      </c>
      <c r="BO332" s="5" t="n">
        <v>0</v>
      </c>
      <c r="BP332" s="5" t="n">
        <v>0</v>
      </c>
      <c r="BQ332" s="5" t="n">
        <v>0.127</v>
      </c>
      <c r="BR332" s="5" t="n">
        <v>0</v>
      </c>
      <c r="BS332" s="5" t="n">
        <v>1</v>
      </c>
      <c r="BT332" s="5" t="n">
        <v>0</v>
      </c>
      <c r="BU332" s="5" t="n">
        <v>0</v>
      </c>
      <c r="BV332" s="5" t="n">
        <v>0.115</v>
      </c>
      <c r="BW332" s="5" t="n">
        <v>0.12</v>
      </c>
      <c r="BX332" s="5" t="n">
        <v>0.833</v>
      </c>
      <c r="BY332" s="5" t="n">
        <v>13.254</v>
      </c>
      <c r="BZ332" s="5" t="n">
        <v>0</v>
      </c>
      <c r="CA332" s="5" t="n">
        <v>13.254</v>
      </c>
      <c r="CB332" s="5" t="n">
        <v>0</v>
      </c>
      <c r="CC332" s="5" t="n">
        <v>83.248</v>
      </c>
      <c r="CD332" s="5" t="n">
        <v>7.95</v>
      </c>
      <c r="CE332" s="5" t="n">
        <v>9.125999999999999</v>
      </c>
      <c r="CF332" s="5" t="n">
        <v>102.103</v>
      </c>
      <c r="CG332" s="5" t="n">
        <v>0.12</v>
      </c>
      <c r="CH332" s="5" t="n">
        <v>1</v>
      </c>
      <c r="CI332" s="5" t="n">
        <v>0</v>
      </c>
      <c r="CJ332" s="5" t="n">
        <v>0</v>
      </c>
      <c r="CK332" s="5" t="n">
        <v>0</v>
      </c>
      <c r="CL332" s="5" t="n">
        <v>0</v>
      </c>
      <c r="CM332" s="5" t="n">
        <v>0</v>
      </c>
      <c r="CN332" s="5" t="n">
        <v>0</v>
      </c>
      <c r="CO332" s="5" t="n">
        <v>0</v>
      </c>
      <c r="CP332" s="5" t="n">
        <v>0.205</v>
      </c>
      <c r="CQ332" s="5" t="n">
        <v>1.348</v>
      </c>
      <c r="CR332" s="5" t="n">
        <v>1</v>
      </c>
      <c r="CS332" s="5" t="n">
        <v>5.37</v>
      </c>
      <c r="CT332" s="5" t="n">
        <v>4.861</v>
      </c>
      <c r="CU332" s="5" t="n">
        <v>11.192</v>
      </c>
    </row>
    <row r="333">
      <c r="A333" s="5" t="inlineStr">
        <is>
          <t>GTM2024</t>
        </is>
      </c>
      <c r="B333" s="5" t="inlineStr">
        <is>
          <t>GTM</t>
        </is>
      </c>
      <c r="C333" s="5" t="inlineStr">
        <is>
          <t>GTM</t>
        </is>
      </c>
      <c r="D333" s="5" t="inlineStr">
        <is>
          <t>Guatemala</t>
        </is>
      </c>
      <c r="E333" s="5" t="n">
        <v>2024</v>
      </c>
      <c r="F333" s="5" t="n">
        <v>0.12</v>
      </c>
      <c r="G333" s="5" t="n">
        <v>4.852</v>
      </c>
      <c r="H333" s="5" t="n">
        <v>1.188</v>
      </c>
      <c r="I333" s="5" t="n">
        <v>0.169</v>
      </c>
      <c r="J333" s="5" t="n">
        <v>5.021</v>
      </c>
      <c r="K333" s="5" t="n">
        <v>0</v>
      </c>
      <c r="L333" s="5" t="n">
        <v>1</v>
      </c>
      <c r="M333" s="5" t="n">
        <v>6.355</v>
      </c>
      <c r="N333" s="5" t="n">
        <v>3.564</v>
      </c>
      <c r="O333" s="5" t="n">
        <v>0</v>
      </c>
      <c r="P333" s="5" t="n">
        <v>6.355</v>
      </c>
      <c r="Q333" s="5" t="n">
        <v>0</v>
      </c>
      <c r="R333" s="5" t="n">
        <v>1</v>
      </c>
      <c r="S333" s="5" t="n">
        <v>10.792</v>
      </c>
      <c r="T333" s="5" t="n">
        <v>7.128</v>
      </c>
      <c r="U333" s="5" t="n">
        <v>0.176</v>
      </c>
      <c r="V333" s="5" t="n">
        <v>12.087</v>
      </c>
      <c r="W333" s="5" t="n">
        <v>0.12</v>
      </c>
      <c r="X333" s="5" t="n">
        <v>1</v>
      </c>
      <c r="Y333" s="5" t="n">
        <v>6.191</v>
      </c>
      <c r="Z333" s="5" t="n">
        <v>0.451</v>
      </c>
      <c r="AA333" s="5" t="n">
        <v>0</v>
      </c>
      <c r="AB333" s="5" t="n">
        <v>6.191</v>
      </c>
      <c r="AC333" s="5" t="n">
        <v>0</v>
      </c>
      <c r="AD333" s="5" t="n">
        <v>1</v>
      </c>
      <c r="AE333" s="5" t="n">
        <v>6.853</v>
      </c>
      <c r="AF333" s="5" t="n">
        <v>0.922</v>
      </c>
      <c r="AG333" s="5" t="n">
        <v>0</v>
      </c>
      <c r="AH333" s="5" t="n">
        <v>6.853</v>
      </c>
      <c r="AI333" s="5" t="n">
        <v>0</v>
      </c>
      <c r="AJ333" s="5" t="n">
        <v>1</v>
      </c>
      <c r="AK333" s="5" t="n">
        <v>10.823</v>
      </c>
      <c r="AL333" s="5" t="n">
        <v>4.048</v>
      </c>
      <c r="AM333" s="5" t="n">
        <v>0.177</v>
      </c>
      <c r="AN333" s="5" t="n">
        <v>12.122</v>
      </c>
      <c r="AO333" s="5" t="n">
        <v>0.12</v>
      </c>
      <c r="AP333" s="5" t="n">
        <v>1</v>
      </c>
      <c r="AQ333" s="5" t="n">
        <v>0.756</v>
      </c>
      <c r="AR333" s="5" t="n">
        <v>0.132</v>
      </c>
      <c r="AS333" s="5" t="n">
        <v>0.201</v>
      </c>
      <c r="AT333" s="5" t="n">
        <v>1.072</v>
      </c>
      <c r="AU333" s="5" t="n">
        <v>0.12</v>
      </c>
      <c r="AV333" s="5" t="n">
        <v>1</v>
      </c>
      <c r="AW333" s="5" t="n">
        <v>0.655</v>
      </c>
      <c r="AX333" s="5" t="n">
        <v>0.132</v>
      </c>
      <c r="AY333" s="5" t="n">
        <v>0.232</v>
      </c>
      <c r="AZ333" s="5" t="n">
        <v>0.994</v>
      </c>
      <c r="BA333" s="5" t="n">
        <v>0.12</v>
      </c>
      <c r="BB333" s="5" t="n">
        <v>1</v>
      </c>
      <c r="BC333" s="5" t="n">
        <v>0.534</v>
      </c>
      <c r="BD333" s="5" t="n">
        <v>0.132</v>
      </c>
      <c r="BE333" s="5" t="n">
        <v>-0.164</v>
      </c>
      <c r="BF333" s="5" t="n">
        <v>0.413</v>
      </c>
      <c r="BG333" s="5" t="n">
        <v>0</v>
      </c>
      <c r="BH333" s="5" t="n">
        <v>0</v>
      </c>
      <c r="BI333" s="5" t="n">
        <v>0.5679999999999999</v>
      </c>
      <c r="BJ333" s="5" t="n">
        <v>0.132</v>
      </c>
      <c r="BK333" s="5" t="n">
        <v>0.5570000000000001</v>
      </c>
      <c r="BL333" s="5" t="n">
        <v>1.26</v>
      </c>
      <c r="BM333" s="5" t="n">
        <v>0.12</v>
      </c>
      <c r="BN333" s="5" t="n">
        <v>1</v>
      </c>
      <c r="BO333" s="5" t="n">
        <v>0</v>
      </c>
      <c r="BP333" s="5" t="n">
        <v>0</v>
      </c>
      <c r="BQ333" s="5" t="n">
        <v>0.156</v>
      </c>
      <c r="BR333" s="5" t="n">
        <v>0</v>
      </c>
      <c r="BS333" s="5" t="n">
        <v>1</v>
      </c>
      <c r="BT333" s="5" t="n">
        <v>0</v>
      </c>
      <c r="BU333" s="5" t="n">
        <v>0</v>
      </c>
      <c r="BV333" s="5" t="n">
        <v>0.209</v>
      </c>
      <c r="BW333" s="5" t="n">
        <v>0.12</v>
      </c>
      <c r="BX333" s="5" t="n">
        <v>0.833</v>
      </c>
      <c r="BY333" s="5" t="n">
        <v>13.646</v>
      </c>
      <c r="BZ333" s="5" t="n">
        <v>0</v>
      </c>
      <c r="CA333" s="5" t="n">
        <v>13.646</v>
      </c>
      <c r="CB333" s="5" t="n">
        <v>0</v>
      </c>
      <c r="CC333" s="5" t="n">
        <v>82.58799999999999</v>
      </c>
      <c r="CD333" s="5" t="n">
        <v>7.95</v>
      </c>
      <c r="CE333" s="5" t="n">
        <v>9.972</v>
      </c>
      <c r="CF333" s="5" t="n">
        <v>101.999</v>
      </c>
      <c r="CG333" s="5" t="n">
        <v>0.12</v>
      </c>
      <c r="CH333" s="5" t="n">
        <v>1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0</v>
      </c>
      <c r="CN333" s="5" t="n">
        <v>0</v>
      </c>
      <c r="CO333" s="5" t="n">
        <v>0</v>
      </c>
      <c r="CP333" s="5" t="n">
        <v>0.205</v>
      </c>
      <c r="CQ333" s="5" t="n">
        <v>1.387</v>
      </c>
      <c r="CR333" s="5" t="n">
        <v>1</v>
      </c>
      <c r="CS333" s="5" t="n">
        <v>5.529</v>
      </c>
      <c r="CT333" s="5" t="n">
        <v>4.251</v>
      </c>
      <c r="CU333" s="5" t="n">
        <v>10.123</v>
      </c>
    </row>
    <row r="334">
      <c r="A334" s="5" t="inlineStr">
        <is>
          <t>GIN2021</t>
        </is>
      </c>
      <c r="B334" s="5" t="inlineStr">
        <is>
          <t>GIN</t>
        </is>
      </c>
      <c r="C334" s="5" t="inlineStr">
        <is>
          <t>GIN</t>
        </is>
      </c>
      <c r="D334" s="5" t="inlineStr">
        <is>
          <t>Guinea</t>
        </is>
      </c>
      <c r="E334" s="5" t="n">
        <v>2021</v>
      </c>
      <c r="F334" s="5" t="n">
        <v>0.18</v>
      </c>
      <c r="G334" s="5" t="n">
        <v>5.897</v>
      </c>
      <c r="H334" s="5" t="n">
        <v>1.143</v>
      </c>
      <c r="I334" s="5" t="n">
        <v>0</v>
      </c>
      <c r="J334" s="5" t="n">
        <v>5.897</v>
      </c>
      <c r="K334" s="5" t="n">
        <v>0</v>
      </c>
      <c r="L334" s="5" t="n">
        <v>1</v>
      </c>
      <c r="M334" s="5" t="n">
        <v>7.964</v>
      </c>
      <c r="N334" s="5" t="n">
        <v>3.43</v>
      </c>
      <c r="O334" s="5" t="n">
        <v>0</v>
      </c>
      <c r="P334" s="5" t="n">
        <v>7.964</v>
      </c>
      <c r="Q334" s="5" t="n">
        <v>0</v>
      </c>
      <c r="R334" s="5" t="n">
        <v>1</v>
      </c>
      <c r="S334" s="5" t="n">
        <v>11.613</v>
      </c>
      <c r="T334" s="5" t="n">
        <v>6.86</v>
      </c>
      <c r="U334" s="5" t="n">
        <v>0</v>
      </c>
      <c r="V334" s="5" t="n">
        <v>13.704</v>
      </c>
      <c r="W334" s="5" t="n">
        <v>0.18</v>
      </c>
      <c r="X334" s="5" t="n">
        <v>1</v>
      </c>
      <c r="Y334" s="5" t="n">
        <v>13.209</v>
      </c>
      <c r="Z334" s="5" t="n">
        <v>1.785</v>
      </c>
      <c r="AA334" s="5" t="n">
        <v>0</v>
      </c>
      <c r="AB334" s="5" t="n">
        <v>13.209</v>
      </c>
      <c r="AC334" s="5" t="n">
        <v>0</v>
      </c>
      <c r="AD334" s="5" t="n">
        <v>1</v>
      </c>
      <c r="AE334" s="5" t="n">
        <v>14.352</v>
      </c>
      <c r="AF334" s="5" t="n">
        <v>3.356</v>
      </c>
      <c r="AG334" s="5" t="n">
        <v>0</v>
      </c>
      <c r="AH334" s="5" t="n">
        <v>14.352</v>
      </c>
      <c r="AI334" s="5" t="n">
        <v>0</v>
      </c>
      <c r="AJ334" s="5" t="n">
        <v>1</v>
      </c>
      <c r="AK334" s="5" t="n">
        <v>21.212</v>
      </c>
      <c r="AL334" s="5" t="n">
        <v>11.298</v>
      </c>
      <c r="AM334" s="5" t="n">
        <v>0</v>
      </c>
      <c r="AN334" s="5" t="n">
        <v>25.03</v>
      </c>
      <c r="AO334" s="5" t="n">
        <v>0.18</v>
      </c>
      <c r="AP334" s="5" t="n">
        <v>1</v>
      </c>
      <c r="AQ334" s="5" t="n">
        <v>0.619</v>
      </c>
      <c r="AR334" s="5" t="n">
        <v>0.114</v>
      </c>
      <c r="AS334" s="5" t="n">
        <v>0.358</v>
      </c>
      <c r="AT334" s="5" t="n">
        <v>1.153</v>
      </c>
      <c r="AU334" s="5" t="n">
        <v>0.18</v>
      </c>
      <c r="AV334" s="5" t="n">
        <v>1</v>
      </c>
      <c r="AW334" s="5" t="n">
        <v>0.599</v>
      </c>
      <c r="AX334" s="5" t="n">
        <v>0.114</v>
      </c>
      <c r="AY334" s="5" t="n">
        <v>0.315</v>
      </c>
      <c r="AZ334" s="5" t="n">
        <v>1.079</v>
      </c>
      <c r="BA334" s="5" t="n">
        <v>0.18</v>
      </c>
      <c r="BB334" s="5" t="n">
        <v>1</v>
      </c>
      <c r="BC334" s="5" t="n">
        <v>0.439</v>
      </c>
      <c r="BD334" s="5" t="n">
        <v>0.114</v>
      </c>
      <c r="BE334" s="5" t="n">
        <v>0</v>
      </c>
      <c r="BF334" s="5" t="n">
        <v>0.518</v>
      </c>
      <c r="BG334" s="5" t="n">
        <v>0.18</v>
      </c>
      <c r="BH334" s="5" t="n">
        <v>1</v>
      </c>
      <c r="BI334" s="5" t="n">
        <v>0.505</v>
      </c>
      <c r="BJ334" s="5" t="n">
        <v>0.114</v>
      </c>
      <c r="BK334" s="5" t="n">
        <v>0.418</v>
      </c>
      <c r="BL334" s="5" t="n">
        <v>1.089</v>
      </c>
      <c r="BM334" s="5" t="n">
        <v>0.18</v>
      </c>
      <c r="BN334" s="5" t="n">
        <v>1</v>
      </c>
      <c r="BO334" s="5" t="n">
        <v>0</v>
      </c>
      <c r="BP334" s="5" t="n">
        <v>0</v>
      </c>
      <c r="BQ334" s="5" t="n">
        <v>0.185</v>
      </c>
      <c r="BR334" s="5" t="n">
        <v>0</v>
      </c>
      <c r="BS334" s="5" t="n">
        <v>1</v>
      </c>
      <c r="BT334" s="5" t="n">
        <v>0</v>
      </c>
      <c r="BU334" s="5" t="n">
        <v>0</v>
      </c>
      <c r="BV334" s="5" t="n">
        <v>0.039</v>
      </c>
      <c r="BW334" s="5" t="n">
        <v>0.18</v>
      </c>
      <c r="BX334" s="5" t="n">
        <v>1</v>
      </c>
      <c r="BY334" s="5" t="n">
        <v>11.787</v>
      </c>
      <c r="BZ334" s="5" t="n">
        <v>0</v>
      </c>
      <c r="CA334" s="5" t="n">
        <v>11.787</v>
      </c>
      <c r="CB334" s="5" t="n">
        <v>0</v>
      </c>
      <c r="CC334" s="5" t="n">
        <v>78.125</v>
      </c>
      <c r="CD334" s="5" t="n">
        <v>7.95</v>
      </c>
      <c r="CE334" s="5" t="n">
        <v>0</v>
      </c>
      <c r="CF334" s="5" t="n">
        <v>92.188</v>
      </c>
      <c r="CG334" s="5" t="n">
        <v>0.18</v>
      </c>
      <c r="CH334" s="5" t="n">
        <v>1</v>
      </c>
      <c r="CI334" s="5" t="n">
        <v>0</v>
      </c>
      <c r="CJ334" s="5" t="n">
        <v>0</v>
      </c>
      <c r="CK334" s="5" t="n">
        <v>0</v>
      </c>
      <c r="CL334" s="5" t="n">
        <v>0</v>
      </c>
      <c r="CM334" s="5" t="n">
        <v>0</v>
      </c>
      <c r="CN334" s="5" t="n">
        <v>0</v>
      </c>
      <c r="CO334" s="5" t="n">
        <v>0</v>
      </c>
      <c r="CP334" s="5" t="n">
        <v>0</v>
      </c>
      <c r="CQ334" s="5" t="n">
        <v>1.198</v>
      </c>
      <c r="CR334" s="5" t="n">
        <v>0</v>
      </c>
      <c r="CS334" s="5" t="n">
        <v>4.776</v>
      </c>
      <c r="CT334" s="5" t="n">
        <v>4.753</v>
      </c>
      <c r="CU334" s="5" t="n">
        <v>15.162</v>
      </c>
    </row>
    <row r="335">
      <c r="A335" s="5" t="inlineStr">
        <is>
          <t>GIN2022</t>
        </is>
      </c>
      <c r="B335" s="5" t="inlineStr">
        <is>
          <t>GIN</t>
        </is>
      </c>
      <c r="C335" s="5" t="inlineStr">
        <is>
          <t>GIN</t>
        </is>
      </c>
      <c r="D335" s="5" t="inlineStr">
        <is>
          <t>Guinea</t>
        </is>
      </c>
      <c r="E335" s="5" t="n">
        <v>2022</v>
      </c>
      <c r="F335" s="5" t="n">
        <v>0.18</v>
      </c>
      <c r="G335" s="5" t="n">
        <v>11.72</v>
      </c>
      <c r="H335" s="5" t="n">
        <v>1.235</v>
      </c>
      <c r="I335" s="5" t="n">
        <v>0</v>
      </c>
      <c r="J335" s="5" t="n">
        <v>11.72</v>
      </c>
      <c r="K335" s="5" t="n">
        <v>0</v>
      </c>
      <c r="L335" s="5" t="n">
        <v>1</v>
      </c>
      <c r="M335" s="5" t="n">
        <v>9.782999999999999</v>
      </c>
      <c r="N335" s="5" t="n">
        <v>3.704</v>
      </c>
      <c r="O335" s="5" t="n">
        <v>0</v>
      </c>
      <c r="P335" s="5" t="n">
        <v>9.782999999999999</v>
      </c>
      <c r="Q335" s="5" t="n">
        <v>0</v>
      </c>
      <c r="R335" s="5" t="n">
        <v>1</v>
      </c>
      <c r="S335" s="5" t="n">
        <v>17.893</v>
      </c>
      <c r="T335" s="5" t="n">
        <v>7.408</v>
      </c>
      <c r="U335" s="5" t="n">
        <v>0.238</v>
      </c>
      <c r="V335" s="5" t="n">
        <v>21.114</v>
      </c>
      <c r="W335" s="5" t="n">
        <v>0.18</v>
      </c>
      <c r="X335" s="5" t="n">
        <v>1</v>
      </c>
      <c r="Y335" s="5" t="n">
        <v>25.267</v>
      </c>
      <c r="Z335" s="5" t="n">
        <v>3.415</v>
      </c>
      <c r="AA335" s="5" t="n">
        <v>0</v>
      </c>
      <c r="AB335" s="5" t="n">
        <v>25.267</v>
      </c>
      <c r="AC335" s="5" t="n">
        <v>0</v>
      </c>
      <c r="AD335" s="5" t="n">
        <v>1</v>
      </c>
      <c r="AE335" s="5" t="n">
        <v>26.501</v>
      </c>
      <c r="AF335" s="5" t="n">
        <v>6.197</v>
      </c>
      <c r="AG335" s="5" t="n">
        <v>0</v>
      </c>
      <c r="AH335" s="5" t="n">
        <v>26.501</v>
      </c>
      <c r="AI335" s="5" t="n">
        <v>0</v>
      </c>
      <c r="AJ335" s="5" t="n">
        <v>1</v>
      </c>
      <c r="AK335" s="5" t="n">
        <v>33.91</v>
      </c>
      <c r="AL335" s="5" t="n">
        <v>18.06</v>
      </c>
      <c r="AM335" s="5" t="n">
        <v>0.452</v>
      </c>
      <c r="AN335" s="5" t="n">
        <v>40.013</v>
      </c>
      <c r="AO335" s="5" t="n">
        <v>0.18</v>
      </c>
      <c r="AP335" s="5" t="n">
        <v>1</v>
      </c>
      <c r="AQ335" s="5" t="n">
        <v>0.861</v>
      </c>
      <c r="AR335" s="5" t="n">
        <v>0.123</v>
      </c>
      <c r="AS335" s="5" t="n">
        <v>0.374</v>
      </c>
      <c r="AT335" s="5" t="n">
        <v>1.438</v>
      </c>
      <c r="AU335" s="5" t="n">
        <v>0.18</v>
      </c>
      <c r="AV335" s="5" t="n">
        <v>1</v>
      </c>
      <c r="AW335" s="5" t="n">
        <v>0.986</v>
      </c>
      <c r="AX335" s="5" t="n">
        <v>0.123</v>
      </c>
      <c r="AY335" s="5" t="n">
        <v>0.248</v>
      </c>
      <c r="AZ335" s="5" t="n">
        <v>1.438</v>
      </c>
      <c r="BA335" s="5" t="n">
        <v>0.18</v>
      </c>
      <c r="BB335" s="5" t="n">
        <v>1</v>
      </c>
      <c r="BC335" s="5" t="n">
        <v>0.598</v>
      </c>
      <c r="BD335" s="5" t="n">
        <v>0.123</v>
      </c>
      <c r="BE335" s="5" t="n">
        <v>0.008</v>
      </c>
      <c r="BF335" s="5" t="n">
        <v>0.705</v>
      </c>
      <c r="BG335" s="5" t="n">
        <v>0.18</v>
      </c>
      <c r="BH335" s="5" t="n">
        <v>1</v>
      </c>
      <c r="BI335" s="5" t="n">
        <v>0.612</v>
      </c>
      <c r="BJ335" s="5" t="n">
        <v>0.123</v>
      </c>
      <c r="BK335" s="5" t="n">
        <v>0.41</v>
      </c>
      <c r="BL335" s="5" t="n">
        <v>1.191</v>
      </c>
      <c r="BM335" s="5" t="n">
        <v>0.18</v>
      </c>
      <c r="BN335" s="5" t="n">
        <v>1</v>
      </c>
      <c r="BO335" s="5" t="n">
        <v>0</v>
      </c>
      <c r="BP335" s="5" t="n">
        <v>0</v>
      </c>
      <c r="BQ335" s="5" t="n">
        <v>0.207</v>
      </c>
      <c r="BR335" s="5" t="n">
        <v>0</v>
      </c>
      <c r="BS335" s="5" t="n">
        <v>1</v>
      </c>
      <c r="BT335" s="5" t="n">
        <v>0</v>
      </c>
      <c r="BU335" s="5" t="n">
        <v>0</v>
      </c>
      <c r="BV335" s="5" t="n">
        <v>0.044</v>
      </c>
      <c r="BW335" s="5" t="n">
        <v>0.18</v>
      </c>
      <c r="BX335" s="5" t="n">
        <v>1</v>
      </c>
      <c r="BY335" s="5" t="n">
        <v>12.729</v>
      </c>
      <c r="BZ335" s="5" t="n">
        <v>0</v>
      </c>
      <c r="CA335" s="5" t="n">
        <v>12.729</v>
      </c>
      <c r="CB335" s="5" t="n">
        <v>0</v>
      </c>
      <c r="CC335" s="5" t="n">
        <v>97.90000000000001</v>
      </c>
      <c r="CD335" s="5" t="n">
        <v>7.95</v>
      </c>
      <c r="CE335" s="5" t="n">
        <v>1.304</v>
      </c>
      <c r="CF335" s="5" t="n">
        <v>115.522</v>
      </c>
      <c r="CG335" s="5" t="n">
        <v>0.18</v>
      </c>
      <c r="CH335" s="5" t="n">
        <v>1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0</v>
      </c>
      <c r="CN335" s="5" t="n">
        <v>0</v>
      </c>
      <c r="CO335" s="5" t="n">
        <v>0</v>
      </c>
      <c r="CP335" s="5" t="n">
        <v>0</v>
      </c>
      <c r="CQ335" s="5" t="n">
        <v>1.294</v>
      </c>
      <c r="CR335" s="5" t="n">
        <v>0</v>
      </c>
      <c r="CS335" s="5" t="n">
        <v>5.158</v>
      </c>
      <c r="CT335" s="5" t="n">
        <v>10.485</v>
      </c>
      <c r="CU335" s="5" t="n">
        <v>31.326</v>
      </c>
    </row>
    <row r="336">
      <c r="A336" s="5" t="inlineStr">
        <is>
          <t>GIN2023</t>
        </is>
      </c>
      <c r="B336" s="5" t="inlineStr">
        <is>
          <t>GIN</t>
        </is>
      </c>
      <c r="C336" s="5" t="inlineStr">
        <is>
          <t>GIN</t>
        </is>
      </c>
      <c r="D336" s="5" t="inlineStr">
        <is>
          <t>Guinea</t>
        </is>
      </c>
      <c r="E336" s="5" t="n">
        <v>2023</v>
      </c>
      <c r="F336" s="5" t="n">
        <v>0.18</v>
      </c>
      <c r="G336" s="5" t="n">
        <v>6.147</v>
      </c>
      <c r="H336" s="5" t="n">
        <v>1.286</v>
      </c>
      <c r="I336" s="5" t="n">
        <v>0</v>
      </c>
      <c r="J336" s="5" t="n">
        <v>6.147</v>
      </c>
      <c r="K336" s="5" t="n">
        <v>0</v>
      </c>
      <c r="L336" s="5" t="n">
        <v>1</v>
      </c>
      <c r="M336" s="5" t="n">
        <v>7.886</v>
      </c>
      <c r="N336" s="5" t="n">
        <v>3.857</v>
      </c>
      <c r="O336" s="5" t="n">
        <v>0</v>
      </c>
      <c r="P336" s="5" t="n">
        <v>7.886</v>
      </c>
      <c r="Q336" s="5" t="n">
        <v>0</v>
      </c>
      <c r="R336" s="5" t="n">
        <v>1</v>
      </c>
      <c r="S336" s="5" t="n">
        <v>12.575</v>
      </c>
      <c r="T336" s="5" t="n">
        <v>7.714</v>
      </c>
      <c r="U336" s="5" t="n">
        <v>0.251</v>
      </c>
      <c r="V336" s="5" t="n">
        <v>14.839</v>
      </c>
      <c r="W336" s="5" t="n">
        <v>0.18</v>
      </c>
      <c r="X336" s="5" t="n">
        <v>1</v>
      </c>
      <c r="Y336" s="5" t="n">
        <v>10.86</v>
      </c>
      <c r="Z336" s="5" t="n">
        <v>1.468</v>
      </c>
      <c r="AA336" s="5" t="n">
        <v>0</v>
      </c>
      <c r="AB336" s="5" t="n">
        <v>10.86</v>
      </c>
      <c r="AC336" s="5" t="n">
        <v>0</v>
      </c>
      <c r="AD336" s="5" t="n">
        <v>1</v>
      </c>
      <c r="AE336" s="5" t="n">
        <v>12.146</v>
      </c>
      <c r="AF336" s="5" t="n">
        <v>2.84</v>
      </c>
      <c r="AG336" s="5" t="n">
        <v>0</v>
      </c>
      <c r="AH336" s="5" t="n">
        <v>12.146</v>
      </c>
      <c r="AI336" s="5" t="n">
        <v>0</v>
      </c>
      <c r="AJ336" s="5" t="n">
        <v>1</v>
      </c>
      <c r="AK336" s="5" t="n">
        <v>19.86</v>
      </c>
      <c r="AL336" s="5" t="n">
        <v>10.577</v>
      </c>
      <c r="AM336" s="5" t="n">
        <v>0.396</v>
      </c>
      <c r="AN336" s="5" t="n">
        <v>23.434</v>
      </c>
      <c r="AO336" s="5" t="n">
        <v>0.18</v>
      </c>
      <c r="AP336" s="5" t="n">
        <v>1</v>
      </c>
      <c r="AQ336" s="5" t="n">
        <v>0.76</v>
      </c>
      <c r="AR336" s="5" t="n">
        <v>0.129</v>
      </c>
      <c r="AS336" s="5" t="n">
        <v>0.416</v>
      </c>
      <c r="AT336" s="5" t="n">
        <v>1.361</v>
      </c>
      <c r="AU336" s="5" t="n">
        <v>0.18</v>
      </c>
      <c r="AV336" s="5" t="n">
        <v>1</v>
      </c>
      <c r="AW336" s="5" t="n">
        <v>0.8110000000000001</v>
      </c>
      <c r="AX336" s="5" t="n">
        <v>0.129</v>
      </c>
      <c r="AY336" s="5" t="n">
        <v>0.333</v>
      </c>
      <c r="AZ336" s="5" t="n">
        <v>1.324</v>
      </c>
      <c r="BA336" s="5" t="n">
        <v>0.18</v>
      </c>
      <c r="BB336" s="5" t="n">
        <v>1</v>
      </c>
      <c r="BC336" s="5" t="n">
        <v>0.535</v>
      </c>
      <c r="BD336" s="5" t="n">
        <v>0.129</v>
      </c>
      <c r="BE336" s="5" t="n">
        <v>0.011</v>
      </c>
      <c r="BF336" s="5" t="n">
        <v>0.631</v>
      </c>
      <c r="BG336" s="5" t="n">
        <v>0.18</v>
      </c>
      <c r="BH336" s="5" t="n">
        <v>1</v>
      </c>
      <c r="BI336" s="5" t="n">
        <v>0.579</v>
      </c>
      <c r="BJ336" s="5" t="n">
        <v>0.129</v>
      </c>
      <c r="BK336" s="5" t="n">
        <v>0.482</v>
      </c>
      <c r="BL336" s="5" t="n">
        <v>1.227</v>
      </c>
      <c r="BM336" s="5" t="n">
        <v>0.18</v>
      </c>
      <c r="BN336" s="5" t="n">
        <v>1</v>
      </c>
      <c r="BO336" s="5" t="n">
        <v>0</v>
      </c>
      <c r="BP336" s="5" t="n">
        <v>0</v>
      </c>
      <c r="BQ336" s="5" t="n">
        <v>0.212</v>
      </c>
      <c r="BR336" s="5" t="n">
        <v>0</v>
      </c>
      <c r="BS336" s="5" t="n">
        <v>1</v>
      </c>
      <c r="BT336" s="5" t="n">
        <v>0</v>
      </c>
      <c r="BU336" s="5" t="n">
        <v>0</v>
      </c>
      <c r="BV336" s="5" t="n">
        <v>0.045</v>
      </c>
      <c r="BW336" s="5" t="n">
        <v>0.18</v>
      </c>
      <c r="BX336" s="5" t="n">
        <v>1</v>
      </c>
      <c r="BY336" s="5" t="n">
        <v>13.254</v>
      </c>
      <c r="BZ336" s="5" t="n">
        <v>0</v>
      </c>
      <c r="CA336" s="5" t="n">
        <v>13.254</v>
      </c>
      <c r="CB336" s="5" t="n">
        <v>0</v>
      </c>
      <c r="CC336" s="5" t="n">
        <v>83.248</v>
      </c>
      <c r="CD336" s="5" t="n">
        <v>7.95</v>
      </c>
      <c r="CE336" s="5" t="n">
        <v>1.659</v>
      </c>
      <c r="CF336" s="5" t="n">
        <v>98.233</v>
      </c>
      <c r="CG336" s="5" t="n">
        <v>0.18</v>
      </c>
      <c r="CH336" s="5" t="n">
        <v>1</v>
      </c>
      <c r="CI336" s="5" t="n">
        <v>0</v>
      </c>
      <c r="CJ336" s="5" t="n">
        <v>0</v>
      </c>
      <c r="CK336" s="5" t="n">
        <v>0</v>
      </c>
      <c r="CL336" s="5" t="n">
        <v>0</v>
      </c>
      <c r="CM336" s="5" t="n">
        <v>0</v>
      </c>
      <c r="CN336" s="5" t="n">
        <v>0</v>
      </c>
      <c r="CO336" s="5" t="n">
        <v>0</v>
      </c>
      <c r="CP336" s="5" t="n">
        <v>0</v>
      </c>
      <c r="CQ336" s="5" t="n">
        <v>1.348</v>
      </c>
      <c r="CR336" s="5" t="n">
        <v>0</v>
      </c>
      <c r="CS336" s="5" t="n">
        <v>5.37</v>
      </c>
      <c r="CT336" s="5" t="n">
        <v>4.861</v>
      </c>
      <c r="CU336" s="5" t="n">
        <v>11.622</v>
      </c>
    </row>
    <row r="337">
      <c r="A337" s="5" t="inlineStr">
        <is>
          <t>GIN2024</t>
        </is>
      </c>
      <c r="B337" s="5" t="inlineStr">
        <is>
          <t>GIN</t>
        </is>
      </c>
      <c r="C337" s="5" t="inlineStr">
        <is>
          <t>GIN</t>
        </is>
      </c>
      <c r="D337" s="5" t="inlineStr">
        <is>
          <t>Guinea</t>
        </is>
      </c>
      <c r="E337" s="5" t="n">
        <v>2024</v>
      </c>
      <c r="F337" s="5" t="n">
        <v>0.18</v>
      </c>
      <c r="G337" s="5" t="n">
        <v>5.575</v>
      </c>
      <c r="H337" s="5" t="n">
        <v>1.324</v>
      </c>
      <c r="I337" s="5" t="n">
        <v>0</v>
      </c>
      <c r="J337" s="5" t="n">
        <v>5.575</v>
      </c>
      <c r="K337" s="5" t="n">
        <v>0</v>
      </c>
      <c r="L337" s="5" t="n">
        <v>1</v>
      </c>
      <c r="M337" s="5" t="n">
        <v>7.124</v>
      </c>
      <c r="N337" s="5" t="n">
        <v>3.971</v>
      </c>
      <c r="O337" s="5" t="n">
        <v>0</v>
      </c>
      <c r="P337" s="5" t="n">
        <v>7.124</v>
      </c>
      <c r="Q337" s="5" t="n">
        <v>0</v>
      </c>
      <c r="R337" s="5" t="n">
        <v>1</v>
      </c>
      <c r="S337" s="5" t="n">
        <v>12.193</v>
      </c>
      <c r="T337" s="5" t="n">
        <v>7.942</v>
      </c>
      <c r="U337" s="5" t="n">
        <v>0.299</v>
      </c>
      <c r="V337" s="5" t="n">
        <v>14.388</v>
      </c>
      <c r="W337" s="5" t="n">
        <v>0.18</v>
      </c>
      <c r="X337" s="5" t="n">
        <v>1</v>
      </c>
      <c r="Y337" s="5" t="n">
        <v>9.858000000000001</v>
      </c>
      <c r="Z337" s="5" t="n">
        <v>1.332</v>
      </c>
      <c r="AA337" s="5" t="n">
        <v>0</v>
      </c>
      <c r="AB337" s="5" t="n">
        <v>9.858000000000001</v>
      </c>
      <c r="AC337" s="5" t="n">
        <v>0</v>
      </c>
      <c r="AD337" s="5" t="n">
        <v>1</v>
      </c>
      <c r="AE337" s="5" t="n">
        <v>11.182</v>
      </c>
      <c r="AF337" s="5" t="n">
        <v>2.615</v>
      </c>
      <c r="AG337" s="5" t="n">
        <v>0</v>
      </c>
      <c r="AH337" s="5" t="n">
        <v>11.182</v>
      </c>
      <c r="AI337" s="5" t="n">
        <v>0</v>
      </c>
      <c r="AJ337" s="5" t="n">
        <v>1</v>
      </c>
      <c r="AK337" s="5" t="n">
        <v>19.123</v>
      </c>
      <c r="AL337" s="5" t="n">
        <v>10.185</v>
      </c>
      <c r="AM337" s="5" t="n">
        <v>0.469</v>
      </c>
      <c r="AN337" s="5" t="n">
        <v>22.566</v>
      </c>
      <c r="AO337" s="5" t="n">
        <v>0.18</v>
      </c>
      <c r="AP337" s="5" t="n">
        <v>1</v>
      </c>
      <c r="AQ337" s="5" t="n">
        <v>0.724</v>
      </c>
      <c r="AR337" s="5" t="n">
        <v>0.132</v>
      </c>
      <c r="AS337" s="5" t="n">
        <v>0.441</v>
      </c>
      <c r="AT337" s="5" t="n">
        <v>1.342</v>
      </c>
      <c r="AU337" s="5" t="n">
        <v>0.18</v>
      </c>
      <c r="AV337" s="5" t="n">
        <v>1</v>
      </c>
      <c r="AW337" s="5" t="n">
        <v>0.75</v>
      </c>
      <c r="AX337" s="5" t="n">
        <v>0.132</v>
      </c>
      <c r="AY337" s="5" t="n">
        <v>0.374</v>
      </c>
      <c r="AZ337" s="5" t="n">
        <v>1.294</v>
      </c>
      <c r="BA337" s="5" t="n">
        <v>0.18</v>
      </c>
      <c r="BB337" s="5" t="n">
        <v>1</v>
      </c>
      <c r="BC337" s="5" t="n">
        <v>0.513</v>
      </c>
      <c r="BD337" s="5" t="n">
        <v>0.132</v>
      </c>
      <c r="BE337" s="5" t="n">
        <v>0.013</v>
      </c>
      <c r="BF337" s="5" t="n">
        <v>0.605</v>
      </c>
      <c r="BG337" s="5" t="n">
        <v>0.18</v>
      </c>
      <c r="BH337" s="5" t="n">
        <v>1</v>
      </c>
      <c r="BI337" s="5" t="n">
        <v>0.591</v>
      </c>
      <c r="BJ337" s="5" t="n">
        <v>0.132</v>
      </c>
      <c r="BK337" s="5" t="n">
        <v>0.505</v>
      </c>
      <c r="BL337" s="5" t="n">
        <v>1.263</v>
      </c>
      <c r="BM337" s="5" t="n">
        <v>0.18</v>
      </c>
      <c r="BN337" s="5" t="n">
        <v>1</v>
      </c>
      <c r="BO337" s="5" t="n">
        <v>0</v>
      </c>
      <c r="BP337" s="5" t="n">
        <v>0</v>
      </c>
      <c r="BQ337" s="5" t="n">
        <v>0.218</v>
      </c>
      <c r="BR337" s="5" t="n">
        <v>0</v>
      </c>
      <c r="BS337" s="5" t="n">
        <v>1</v>
      </c>
      <c r="BT337" s="5" t="n">
        <v>0</v>
      </c>
      <c r="BU337" s="5" t="n">
        <v>0</v>
      </c>
      <c r="BV337" s="5" t="n">
        <v>0.046</v>
      </c>
      <c r="BW337" s="5" t="n">
        <v>0.18</v>
      </c>
      <c r="BX337" s="5" t="n">
        <v>1</v>
      </c>
      <c r="BY337" s="5" t="n">
        <v>13.646</v>
      </c>
      <c r="BZ337" s="5" t="n">
        <v>0</v>
      </c>
      <c r="CA337" s="5" t="n">
        <v>13.646</v>
      </c>
      <c r="CB337" s="5" t="n">
        <v>0</v>
      </c>
      <c r="CC337" s="5" t="n">
        <v>82.58799999999999</v>
      </c>
      <c r="CD337" s="5" t="n">
        <v>7.95</v>
      </c>
      <c r="CE337" s="5" t="n">
        <v>2.025</v>
      </c>
      <c r="CF337" s="5" t="n">
        <v>97.45399999999999</v>
      </c>
      <c r="CG337" s="5" t="n">
        <v>0.18</v>
      </c>
      <c r="CH337" s="5" t="n">
        <v>1</v>
      </c>
      <c r="CI337" s="5" t="n">
        <v>0</v>
      </c>
      <c r="CJ337" s="5" t="n">
        <v>0</v>
      </c>
      <c r="CK337" s="5" t="n">
        <v>0</v>
      </c>
      <c r="CL337" s="5" t="n">
        <v>0</v>
      </c>
      <c r="CM337" s="5" t="n">
        <v>0</v>
      </c>
      <c r="CN337" s="5" t="n">
        <v>0</v>
      </c>
      <c r="CO337" s="5" t="n">
        <v>0</v>
      </c>
      <c r="CP337" s="5" t="n">
        <v>0</v>
      </c>
      <c r="CQ337" s="5" t="n">
        <v>1.387</v>
      </c>
      <c r="CR337" s="5" t="n">
        <v>0</v>
      </c>
      <c r="CS337" s="5" t="n">
        <v>5.529</v>
      </c>
      <c r="CT337" s="5" t="n">
        <v>4.251</v>
      </c>
      <c r="CU337" s="5" t="n">
        <v>10.168</v>
      </c>
    </row>
    <row r="338">
      <c r="A338" s="5" t="inlineStr">
        <is>
          <t>GNB2021</t>
        </is>
      </c>
      <c r="B338" s="5" t="inlineStr">
        <is>
          <t>GNB</t>
        </is>
      </c>
      <c r="C338" s="5" t="inlineStr">
        <is>
          <t>GNB</t>
        </is>
      </c>
      <c r="D338" s="5" t="inlineStr">
        <is>
          <t>Guinea-Bissau</t>
        </is>
      </c>
      <c r="E338" s="5" t="n">
        <v>2021</v>
      </c>
      <c r="F338" s="5" t="n">
        <v>0.17</v>
      </c>
      <c r="G338" s="5" t="n">
        <v>5.897</v>
      </c>
      <c r="H338" s="5" t="n">
        <v>1.143</v>
      </c>
      <c r="I338" s="5" t="n">
        <v>0</v>
      </c>
      <c r="J338" s="5" t="n">
        <v>5.897</v>
      </c>
      <c r="K338" s="5" t="n">
        <v>0</v>
      </c>
      <c r="L338" s="5" t="n">
        <v>1</v>
      </c>
      <c r="M338" s="5" t="n">
        <v>7.964</v>
      </c>
      <c r="N338" s="5" t="n">
        <v>3.43</v>
      </c>
      <c r="O338" s="5" t="n">
        <v>0</v>
      </c>
      <c r="P338" s="5" t="n">
        <v>7.964</v>
      </c>
      <c r="Q338" s="5" t="n">
        <v>0</v>
      </c>
      <c r="R338" s="5" t="n">
        <v>1</v>
      </c>
      <c r="S338" s="5" t="n">
        <v>11.613</v>
      </c>
      <c r="T338" s="5" t="n">
        <v>6.86</v>
      </c>
      <c r="U338" s="5" t="n">
        <v>0</v>
      </c>
      <c r="V338" s="5" t="n">
        <v>13.588</v>
      </c>
      <c r="W338" s="5" t="n">
        <v>0.17</v>
      </c>
      <c r="X338" s="5" t="n">
        <v>1</v>
      </c>
      <c r="Y338" s="5" t="n">
        <v>16.305</v>
      </c>
      <c r="Z338" s="5" t="n">
        <v>2.204</v>
      </c>
      <c r="AA338" s="5" t="n">
        <v>0</v>
      </c>
      <c r="AB338" s="5" t="n">
        <v>16.305</v>
      </c>
      <c r="AC338" s="5" t="n">
        <v>0</v>
      </c>
      <c r="AD338" s="5" t="n">
        <v>1</v>
      </c>
      <c r="AE338" s="5" t="n">
        <v>17.449</v>
      </c>
      <c r="AF338" s="5" t="n">
        <v>4.08</v>
      </c>
      <c r="AG338" s="5" t="n">
        <v>0</v>
      </c>
      <c r="AH338" s="5" t="n">
        <v>17.449</v>
      </c>
      <c r="AI338" s="5" t="n">
        <v>0</v>
      </c>
      <c r="AJ338" s="5" t="n">
        <v>1</v>
      </c>
      <c r="AK338" s="5" t="n">
        <v>24.309</v>
      </c>
      <c r="AL338" s="5" t="n">
        <v>12.947</v>
      </c>
      <c r="AM338" s="5" t="n">
        <v>0</v>
      </c>
      <c r="AN338" s="5" t="n">
        <v>28.441</v>
      </c>
      <c r="AO338" s="5" t="n">
        <v>0.17</v>
      </c>
      <c r="AP338" s="5" t="n">
        <v>1</v>
      </c>
      <c r="AQ338" s="5" t="n">
        <v>0.619</v>
      </c>
      <c r="AR338" s="5" t="n">
        <v>0.114</v>
      </c>
      <c r="AS338" s="5" t="n">
        <v>0.378</v>
      </c>
      <c r="AT338" s="5" t="n">
        <v>1.187</v>
      </c>
      <c r="AU338" s="5" t="n">
        <v>0.19</v>
      </c>
      <c r="AV338" s="5" t="n">
        <v>1</v>
      </c>
      <c r="AW338" s="5" t="n">
        <v>0.599</v>
      </c>
      <c r="AX338" s="5" t="n">
        <v>0.114</v>
      </c>
      <c r="AY338" s="5" t="n">
        <v>0.411</v>
      </c>
      <c r="AZ338" s="5" t="n">
        <v>1.203</v>
      </c>
      <c r="BA338" s="5" t="n">
        <v>0.19</v>
      </c>
      <c r="BB338" s="5" t="n">
        <v>1</v>
      </c>
      <c r="BC338" s="5" t="n">
        <v>0.439</v>
      </c>
      <c r="BD338" s="5" t="n">
        <v>0.114</v>
      </c>
      <c r="BE338" s="5" t="n">
        <v>0</v>
      </c>
      <c r="BF338" s="5" t="n">
        <v>0.514</v>
      </c>
      <c r="BG338" s="5" t="n">
        <v>0.17</v>
      </c>
      <c r="BH338" s="5" t="n">
        <v>1</v>
      </c>
      <c r="BI338" s="5" t="n">
        <v>0.505</v>
      </c>
      <c r="BJ338" s="5" t="n">
        <v>0.114</v>
      </c>
      <c r="BK338" s="5" t="n">
        <v>0.099</v>
      </c>
      <c r="BL338" s="5" t="n">
        <v>0.706</v>
      </c>
      <c r="BM338" s="5" t="n">
        <v>0.17</v>
      </c>
      <c r="BN338" s="5" t="n">
        <v>1</v>
      </c>
      <c r="BO338" s="5" t="n">
        <v>0</v>
      </c>
      <c r="BP338" s="5" t="n">
        <v>0</v>
      </c>
      <c r="BQ338" s="5" t="n">
        <v>0.361</v>
      </c>
      <c r="BR338" s="5" t="n">
        <v>0</v>
      </c>
      <c r="BS338" s="5" t="n">
        <v>1</v>
      </c>
      <c r="BT338" s="5" t="n">
        <v>0</v>
      </c>
      <c r="BU338" s="5" t="n">
        <v>0</v>
      </c>
      <c r="BV338" s="5" t="n">
        <v>0.361</v>
      </c>
      <c r="BW338" s="5" t="n">
        <v>0.17</v>
      </c>
      <c r="BX338" s="5" t="n">
        <v>1</v>
      </c>
      <c r="BY338" s="5" t="n">
        <v>11.787</v>
      </c>
      <c r="BZ338" s="5" t="n">
        <v>0</v>
      </c>
      <c r="CA338" s="5" t="n">
        <v>11.787</v>
      </c>
      <c r="CB338" s="5" t="n">
        <v>0</v>
      </c>
      <c r="CC338" s="5" t="n">
        <v>78.125</v>
      </c>
      <c r="CD338" s="5" t="n">
        <v>7.95</v>
      </c>
      <c r="CE338" s="5" t="n">
        <v>0</v>
      </c>
      <c r="CF338" s="5" t="n">
        <v>91.40600000000001</v>
      </c>
      <c r="CG338" s="5" t="n">
        <v>0.17</v>
      </c>
      <c r="CH338" s="5" t="n">
        <v>1</v>
      </c>
      <c r="CI338" s="5" t="n">
        <v>0</v>
      </c>
      <c r="CJ338" s="5" t="n">
        <v>0</v>
      </c>
      <c r="CK338" s="5" t="n">
        <v>0</v>
      </c>
      <c r="CL338" s="5" t="n">
        <v>0</v>
      </c>
      <c r="CM338" s="5" t="n">
        <v>0</v>
      </c>
      <c r="CN338" s="5" t="n">
        <v>0</v>
      </c>
      <c r="CO338" s="5" t="n">
        <v>0</v>
      </c>
      <c r="CP338" s="5" t="n">
        <v>0</v>
      </c>
      <c r="CQ338" s="5" t="n">
        <v>1.198</v>
      </c>
      <c r="CR338" s="5" t="n">
        <v>0</v>
      </c>
      <c r="CS338" s="5" t="n">
        <v>4.776</v>
      </c>
      <c r="CT338" s="5" t="n">
        <v>4.753</v>
      </c>
      <c r="CU338" s="5" t="n">
        <v>15.162</v>
      </c>
    </row>
    <row r="339">
      <c r="A339" s="5" t="inlineStr">
        <is>
          <t>GNB2022</t>
        </is>
      </c>
      <c r="B339" s="5" t="inlineStr">
        <is>
          <t>GNB</t>
        </is>
      </c>
      <c r="C339" s="5" t="inlineStr">
        <is>
          <t>GNB</t>
        </is>
      </c>
      <c r="D339" s="5" t="inlineStr">
        <is>
          <t>Guinea-Bissau</t>
        </is>
      </c>
      <c r="E339" s="5" t="n">
        <v>2022</v>
      </c>
      <c r="F339" s="5" t="n">
        <v>0.17</v>
      </c>
      <c r="G339" s="5" t="n">
        <v>11.72</v>
      </c>
      <c r="H339" s="5" t="n">
        <v>1.235</v>
      </c>
      <c r="I339" s="5" t="n">
        <v>0</v>
      </c>
      <c r="J339" s="5" t="n">
        <v>11.72</v>
      </c>
      <c r="K339" s="5" t="n">
        <v>0</v>
      </c>
      <c r="L339" s="5" t="n">
        <v>1</v>
      </c>
      <c r="M339" s="5" t="n">
        <v>9.782999999999999</v>
      </c>
      <c r="N339" s="5" t="n">
        <v>3.704</v>
      </c>
      <c r="O339" s="5" t="n">
        <v>0</v>
      </c>
      <c r="P339" s="5" t="n">
        <v>9.782999999999999</v>
      </c>
      <c r="Q339" s="5" t="n">
        <v>0</v>
      </c>
      <c r="R339" s="5" t="n">
        <v>1</v>
      </c>
      <c r="S339" s="5" t="n">
        <v>17.893</v>
      </c>
      <c r="T339" s="5" t="n">
        <v>7.408</v>
      </c>
      <c r="U339" s="5" t="n">
        <v>0.225</v>
      </c>
      <c r="V339" s="5" t="n">
        <v>20.935</v>
      </c>
      <c r="W339" s="5" t="n">
        <v>0.17</v>
      </c>
      <c r="X339" s="5" t="n">
        <v>1</v>
      </c>
      <c r="Y339" s="5" t="n">
        <v>32.56</v>
      </c>
      <c r="Z339" s="5" t="n">
        <v>4.401</v>
      </c>
      <c r="AA339" s="5" t="n">
        <v>0</v>
      </c>
      <c r="AB339" s="5" t="n">
        <v>32.56</v>
      </c>
      <c r="AC339" s="5" t="n">
        <v>0</v>
      </c>
      <c r="AD339" s="5" t="n">
        <v>1</v>
      </c>
      <c r="AE339" s="5" t="n">
        <v>33.795</v>
      </c>
      <c r="AF339" s="5" t="n">
        <v>7.902</v>
      </c>
      <c r="AG339" s="5" t="n">
        <v>0</v>
      </c>
      <c r="AH339" s="5" t="n">
        <v>33.795</v>
      </c>
      <c r="AI339" s="5" t="n">
        <v>0</v>
      </c>
      <c r="AJ339" s="5" t="n">
        <v>1</v>
      </c>
      <c r="AK339" s="5" t="n">
        <v>41.203</v>
      </c>
      <c r="AL339" s="5" t="n">
        <v>21.945</v>
      </c>
      <c r="AM339" s="5" t="n">
        <v>0.518</v>
      </c>
      <c r="AN339" s="5" t="n">
        <v>48.208</v>
      </c>
      <c r="AO339" s="5" t="n">
        <v>0.17</v>
      </c>
      <c r="AP339" s="5" t="n">
        <v>1</v>
      </c>
      <c r="AQ339" s="5" t="n">
        <v>0.861</v>
      </c>
      <c r="AR339" s="5" t="n">
        <v>0.123</v>
      </c>
      <c r="AS339" s="5" t="n">
        <v>0.239</v>
      </c>
      <c r="AT339" s="5" t="n">
        <v>1.291</v>
      </c>
      <c r="AU339" s="5" t="n">
        <v>0.19</v>
      </c>
      <c r="AV339" s="5" t="n">
        <v>1</v>
      </c>
      <c r="AW339" s="5" t="n">
        <v>0.986</v>
      </c>
      <c r="AX339" s="5" t="n">
        <v>0.123</v>
      </c>
      <c r="AY339" s="5" t="n">
        <v>0.146</v>
      </c>
      <c r="AZ339" s="5" t="n">
        <v>1.329</v>
      </c>
      <c r="BA339" s="5" t="n">
        <v>0.19</v>
      </c>
      <c r="BB339" s="5" t="n">
        <v>1</v>
      </c>
      <c r="BC339" s="5" t="n">
        <v>0.598</v>
      </c>
      <c r="BD339" s="5" t="n">
        <v>0.123</v>
      </c>
      <c r="BE339" s="5" t="n">
        <v>0.008</v>
      </c>
      <c r="BF339" s="5" t="n">
        <v>0.699</v>
      </c>
      <c r="BG339" s="5" t="n">
        <v>0.17</v>
      </c>
      <c r="BH339" s="5" t="n">
        <v>1</v>
      </c>
      <c r="BI339" s="5" t="n">
        <v>0.612</v>
      </c>
      <c r="BJ339" s="5" t="n">
        <v>0.123</v>
      </c>
      <c r="BK339" s="5" t="n">
        <v>0.106</v>
      </c>
      <c r="BL339" s="5" t="n">
        <v>0.83</v>
      </c>
      <c r="BM339" s="5" t="n">
        <v>0.17</v>
      </c>
      <c r="BN339" s="5" t="n">
        <v>1</v>
      </c>
      <c r="BO339" s="5" t="n">
        <v>0</v>
      </c>
      <c r="BP339" s="5" t="n">
        <v>0</v>
      </c>
      <c r="BQ339" s="5" t="n">
        <v>0.389</v>
      </c>
      <c r="BR339" s="5" t="n">
        <v>0</v>
      </c>
      <c r="BS339" s="5" t="n">
        <v>1</v>
      </c>
      <c r="BT339" s="5" t="n">
        <v>0</v>
      </c>
      <c r="BU339" s="5" t="n">
        <v>0</v>
      </c>
      <c r="BV339" s="5" t="n">
        <v>0.389</v>
      </c>
      <c r="BW339" s="5" t="n">
        <v>0.17</v>
      </c>
      <c r="BX339" s="5" t="n">
        <v>1</v>
      </c>
      <c r="BY339" s="5" t="n">
        <v>12.729</v>
      </c>
      <c r="BZ339" s="5" t="n">
        <v>0</v>
      </c>
      <c r="CA339" s="5" t="n">
        <v>12.729</v>
      </c>
      <c r="CB339" s="5" t="n">
        <v>0</v>
      </c>
      <c r="CC339" s="5" t="n">
        <v>97.90000000000001</v>
      </c>
      <c r="CD339" s="5" t="n">
        <v>7.95</v>
      </c>
      <c r="CE339" s="5" t="n">
        <v>1.232</v>
      </c>
      <c r="CF339" s="5" t="n">
        <v>114.543</v>
      </c>
      <c r="CG339" s="5" t="n">
        <v>0.17</v>
      </c>
      <c r="CH339" s="5" t="n">
        <v>1</v>
      </c>
      <c r="CI339" s="5" t="n">
        <v>0</v>
      </c>
      <c r="CJ339" s="5" t="n">
        <v>0</v>
      </c>
      <c r="CK339" s="5" t="n">
        <v>0</v>
      </c>
      <c r="CL339" s="5" t="n">
        <v>0</v>
      </c>
      <c r="CM339" s="5" t="n">
        <v>0</v>
      </c>
      <c r="CN339" s="5" t="n">
        <v>0</v>
      </c>
      <c r="CO339" s="5" t="n">
        <v>0</v>
      </c>
      <c r="CP339" s="5" t="n">
        <v>0</v>
      </c>
      <c r="CQ339" s="5" t="n">
        <v>1.294</v>
      </c>
      <c r="CR339" s="5" t="n">
        <v>0</v>
      </c>
      <c r="CS339" s="5" t="n">
        <v>5.158</v>
      </c>
      <c r="CT339" s="5" t="n">
        <v>10.485</v>
      </c>
      <c r="CU339" s="5" t="n">
        <v>31.326</v>
      </c>
    </row>
    <row r="340">
      <c r="A340" s="5" t="inlineStr">
        <is>
          <t>GNB2023</t>
        </is>
      </c>
      <c r="B340" s="5" t="inlineStr">
        <is>
          <t>GNB</t>
        </is>
      </c>
      <c r="C340" s="5" t="inlineStr">
        <is>
          <t>GNB</t>
        </is>
      </c>
      <c r="D340" s="5" t="inlineStr">
        <is>
          <t>Guinea-Bissau</t>
        </is>
      </c>
      <c r="E340" s="5" t="n">
        <v>2023</v>
      </c>
      <c r="F340" s="5" t="n">
        <v>0.17</v>
      </c>
      <c r="G340" s="5" t="n">
        <v>6.147</v>
      </c>
      <c r="H340" s="5" t="n">
        <v>1.286</v>
      </c>
      <c r="I340" s="5" t="n">
        <v>0</v>
      </c>
      <c r="J340" s="5" t="n">
        <v>6.147</v>
      </c>
      <c r="K340" s="5" t="n">
        <v>0</v>
      </c>
      <c r="L340" s="5" t="n">
        <v>1</v>
      </c>
      <c r="M340" s="5" t="n">
        <v>7.886</v>
      </c>
      <c r="N340" s="5" t="n">
        <v>3.857</v>
      </c>
      <c r="O340" s="5" t="n">
        <v>0</v>
      </c>
      <c r="P340" s="5" t="n">
        <v>7.886</v>
      </c>
      <c r="Q340" s="5" t="n">
        <v>0</v>
      </c>
      <c r="R340" s="5" t="n">
        <v>1</v>
      </c>
      <c r="S340" s="5" t="n">
        <v>12.575</v>
      </c>
      <c r="T340" s="5" t="n">
        <v>7.714</v>
      </c>
      <c r="U340" s="5" t="n">
        <v>0.237</v>
      </c>
      <c r="V340" s="5" t="n">
        <v>14.713</v>
      </c>
      <c r="W340" s="5" t="n">
        <v>0.17</v>
      </c>
      <c r="X340" s="5" t="n">
        <v>1</v>
      </c>
      <c r="Y340" s="5" t="n">
        <v>12.908</v>
      </c>
      <c r="Z340" s="5" t="n">
        <v>1.745</v>
      </c>
      <c r="AA340" s="5" t="n">
        <v>0</v>
      </c>
      <c r="AB340" s="5" t="n">
        <v>12.908</v>
      </c>
      <c r="AC340" s="5" t="n">
        <v>0</v>
      </c>
      <c r="AD340" s="5" t="n">
        <v>1</v>
      </c>
      <c r="AE340" s="5" t="n">
        <v>14.194</v>
      </c>
      <c r="AF340" s="5" t="n">
        <v>3.319</v>
      </c>
      <c r="AG340" s="5" t="n">
        <v>0</v>
      </c>
      <c r="AH340" s="5" t="n">
        <v>14.194</v>
      </c>
      <c r="AI340" s="5" t="n">
        <v>0</v>
      </c>
      <c r="AJ340" s="5" t="n">
        <v>1</v>
      </c>
      <c r="AK340" s="5" t="n">
        <v>21.908</v>
      </c>
      <c r="AL340" s="5" t="n">
        <v>11.668</v>
      </c>
      <c r="AM340" s="5" t="n">
        <v>0.412</v>
      </c>
      <c r="AN340" s="5" t="n">
        <v>25.632</v>
      </c>
      <c r="AO340" s="5" t="n">
        <v>0.17</v>
      </c>
      <c r="AP340" s="5" t="n">
        <v>1</v>
      </c>
      <c r="AQ340" s="5" t="n">
        <v>0.76</v>
      </c>
      <c r="AR340" s="5" t="n">
        <v>0.129</v>
      </c>
      <c r="AS340" s="5" t="n">
        <v>0.387</v>
      </c>
      <c r="AT340" s="5" t="n">
        <v>1.337</v>
      </c>
      <c r="AU340" s="5" t="n">
        <v>0.19</v>
      </c>
      <c r="AV340" s="5" t="n">
        <v>1</v>
      </c>
      <c r="AW340" s="5" t="n">
        <v>0.8110000000000001</v>
      </c>
      <c r="AX340" s="5" t="n">
        <v>0.129</v>
      </c>
      <c r="AY340" s="5" t="n">
        <v>0.36</v>
      </c>
      <c r="AZ340" s="5" t="n">
        <v>1.365</v>
      </c>
      <c r="BA340" s="5" t="n">
        <v>0.19</v>
      </c>
      <c r="BB340" s="5" t="n">
        <v>1</v>
      </c>
      <c r="BC340" s="5" t="n">
        <v>0.535</v>
      </c>
      <c r="BD340" s="5" t="n">
        <v>0.129</v>
      </c>
      <c r="BE340" s="5" t="n">
        <v>0.01</v>
      </c>
      <c r="BF340" s="5" t="n">
        <v>0.626</v>
      </c>
      <c r="BG340" s="5" t="n">
        <v>0.17</v>
      </c>
      <c r="BH340" s="5" t="n">
        <v>1</v>
      </c>
      <c r="BI340" s="5" t="n">
        <v>0.579</v>
      </c>
      <c r="BJ340" s="5" t="n">
        <v>0.129</v>
      </c>
      <c r="BK340" s="5" t="n">
        <v>0.122</v>
      </c>
      <c r="BL340" s="5" t="n">
        <v>0.806</v>
      </c>
      <c r="BM340" s="5" t="n">
        <v>0.17</v>
      </c>
      <c r="BN340" s="5" t="n">
        <v>1</v>
      </c>
      <c r="BO340" s="5" t="n">
        <v>0</v>
      </c>
      <c r="BP340" s="5" t="n">
        <v>0</v>
      </c>
      <c r="BQ340" s="5" t="n">
        <v>0.406</v>
      </c>
      <c r="BR340" s="5" t="n">
        <v>0</v>
      </c>
      <c r="BS340" s="5" t="n">
        <v>1</v>
      </c>
      <c r="BT340" s="5" t="n">
        <v>0</v>
      </c>
      <c r="BU340" s="5" t="n">
        <v>0</v>
      </c>
      <c r="BV340" s="5" t="n">
        <v>0.406</v>
      </c>
      <c r="BW340" s="5" t="n">
        <v>0.17</v>
      </c>
      <c r="BX340" s="5" t="n">
        <v>1</v>
      </c>
      <c r="BY340" s="5" t="n">
        <v>13.254</v>
      </c>
      <c r="BZ340" s="5" t="n">
        <v>0</v>
      </c>
      <c r="CA340" s="5" t="n">
        <v>13.254</v>
      </c>
      <c r="CB340" s="5" t="n">
        <v>0</v>
      </c>
      <c r="CC340" s="5" t="n">
        <v>83.248</v>
      </c>
      <c r="CD340" s="5" t="n">
        <v>7.95</v>
      </c>
      <c r="CE340" s="5" t="n">
        <v>1.567</v>
      </c>
      <c r="CF340" s="5" t="n">
        <v>97.40000000000001</v>
      </c>
      <c r="CG340" s="5" t="n">
        <v>0.17</v>
      </c>
      <c r="CH340" s="5" t="n">
        <v>1</v>
      </c>
      <c r="CI340" s="5" t="n">
        <v>0</v>
      </c>
      <c r="CJ340" s="5" t="n">
        <v>0</v>
      </c>
      <c r="CK340" s="5" t="n">
        <v>0</v>
      </c>
      <c r="CL340" s="5" t="n">
        <v>0</v>
      </c>
      <c r="CM340" s="5" t="n">
        <v>0</v>
      </c>
      <c r="CN340" s="5" t="n">
        <v>0</v>
      </c>
      <c r="CO340" s="5" t="n">
        <v>0</v>
      </c>
      <c r="CP340" s="5" t="n">
        <v>0</v>
      </c>
      <c r="CQ340" s="5" t="n">
        <v>1.348</v>
      </c>
      <c r="CR340" s="5" t="n">
        <v>0</v>
      </c>
      <c r="CS340" s="5" t="n">
        <v>5.37</v>
      </c>
      <c r="CT340" s="5" t="n">
        <v>4.861</v>
      </c>
      <c r="CU340" s="5" t="n">
        <v>11.622</v>
      </c>
    </row>
    <row r="341">
      <c r="A341" s="5" t="inlineStr">
        <is>
          <t>GNB2024</t>
        </is>
      </c>
      <c r="B341" s="5" t="inlineStr">
        <is>
          <t>GNB</t>
        </is>
      </c>
      <c r="C341" s="5" t="inlineStr">
        <is>
          <t>GNB</t>
        </is>
      </c>
      <c r="D341" s="5" t="inlineStr">
        <is>
          <t>Guinea-Bissau</t>
        </is>
      </c>
      <c r="E341" s="5" t="n">
        <v>2024</v>
      </c>
      <c r="F341" s="5" t="n">
        <v>0.17</v>
      </c>
      <c r="G341" s="5" t="n">
        <v>5.575</v>
      </c>
      <c r="H341" s="5" t="n">
        <v>1.324</v>
      </c>
      <c r="I341" s="5" t="n">
        <v>0</v>
      </c>
      <c r="J341" s="5" t="n">
        <v>5.575</v>
      </c>
      <c r="K341" s="5" t="n">
        <v>0</v>
      </c>
      <c r="L341" s="5" t="n">
        <v>1</v>
      </c>
      <c r="M341" s="5" t="n">
        <v>7.124</v>
      </c>
      <c r="N341" s="5" t="n">
        <v>3.971</v>
      </c>
      <c r="O341" s="5" t="n">
        <v>0</v>
      </c>
      <c r="P341" s="5" t="n">
        <v>7.124</v>
      </c>
      <c r="Q341" s="5" t="n">
        <v>0</v>
      </c>
      <c r="R341" s="5" t="n">
        <v>1</v>
      </c>
      <c r="S341" s="5" t="n">
        <v>12.193</v>
      </c>
      <c r="T341" s="5" t="n">
        <v>7.942</v>
      </c>
      <c r="U341" s="5" t="n">
        <v>0.282</v>
      </c>
      <c r="V341" s="5" t="n">
        <v>14.266</v>
      </c>
      <c r="W341" s="5" t="n">
        <v>0.17</v>
      </c>
      <c r="X341" s="5" t="n">
        <v>1</v>
      </c>
      <c r="Y341" s="5" t="n">
        <v>11.492</v>
      </c>
      <c r="Z341" s="5" t="n">
        <v>1.553</v>
      </c>
      <c r="AA341" s="5" t="n">
        <v>0</v>
      </c>
      <c r="AB341" s="5" t="n">
        <v>11.492</v>
      </c>
      <c r="AC341" s="5" t="n">
        <v>0</v>
      </c>
      <c r="AD341" s="5" t="n">
        <v>1</v>
      </c>
      <c r="AE341" s="5" t="n">
        <v>12.815</v>
      </c>
      <c r="AF341" s="5" t="n">
        <v>2.997</v>
      </c>
      <c r="AG341" s="5" t="n">
        <v>0</v>
      </c>
      <c r="AH341" s="5" t="n">
        <v>12.815</v>
      </c>
      <c r="AI341" s="5" t="n">
        <v>0</v>
      </c>
      <c r="AJ341" s="5" t="n">
        <v>1</v>
      </c>
      <c r="AK341" s="5" t="n">
        <v>20.757</v>
      </c>
      <c r="AL341" s="5" t="n">
        <v>11.055</v>
      </c>
      <c r="AM341" s="5" t="n">
        <v>0.481</v>
      </c>
      <c r="AN341" s="5" t="n">
        <v>24.286</v>
      </c>
      <c r="AO341" s="5" t="n">
        <v>0.17</v>
      </c>
      <c r="AP341" s="5" t="n">
        <v>1</v>
      </c>
      <c r="AQ341" s="5" t="n">
        <v>0.724</v>
      </c>
      <c r="AR341" s="5" t="n">
        <v>0.132</v>
      </c>
      <c r="AS341" s="5" t="n">
        <v>0.46</v>
      </c>
      <c r="AT341" s="5" t="n">
        <v>1.374</v>
      </c>
      <c r="AU341" s="5" t="n">
        <v>0.19</v>
      </c>
      <c r="AV341" s="5" t="n">
        <v>1</v>
      </c>
      <c r="AW341" s="5" t="n">
        <v>0.75</v>
      </c>
      <c r="AX341" s="5" t="n">
        <v>0.132</v>
      </c>
      <c r="AY341" s="5" t="n">
        <v>0.455</v>
      </c>
      <c r="AZ341" s="5" t="n">
        <v>1.397</v>
      </c>
      <c r="BA341" s="5" t="n">
        <v>0.19</v>
      </c>
      <c r="BB341" s="5" t="n">
        <v>1</v>
      </c>
      <c r="BC341" s="5" t="n">
        <v>0.513</v>
      </c>
      <c r="BD341" s="5" t="n">
        <v>0.132</v>
      </c>
      <c r="BE341" s="5" t="n">
        <v>0.012</v>
      </c>
      <c r="BF341" s="5" t="n">
        <v>0.6</v>
      </c>
      <c r="BG341" s="5" t="n">
        <v>0.17</v>
      </c>
      <c r="BH341" s="5" t="n">
        <v>1</v>
      </c>
      <c r="BI341" s="5" t="n">
        <v>0.591</v>
      </c>
      <c r="BJ341" s="5" t="n">
        <v>0.132</v>
      </c>
      <c r="BK341" s="5" t="n">
        <v>0.13</v>
      </c>
      <c r="BL341" s="5" t="n">
        <v>0.824</v>
      </c>
      <c r="BM341" s="5" t="n">
        <v>0.17</v>
      </c>
      <c r="BN341" s="5" t="n">
        <v>1</v>
      </c>
      <c r="BO341" s="5" t="n">
        <v>0</v>
      </c>
      <c r="BP341" s="5" t="n">
        <v>0</v>
      </c>
      <c r="BQ341" s="5" t="n">
        <v>0.418</v>
      </c>
      <c r="BR341" s="5" t="n">
        <v>0</v>
      </c>
      <c r="BS341" s="5" t="n">
        <v>1</v>
      </c>
      <c r="BT341" s="5" t="n">
        <v>0</v>
      </c>
      <c r="BU341" s="5" t="n">
        <v>0</v>
      </c>
      <c r="BV341" s="5" t="n">
        <v>0.418</v>
      </c>
      <c r="BW341" s="5" t="n">
        <v>0.17</v>
      </c>
      <c r="BX341" s="5" t="n">
        <v>1</v>
      </c>
      <c r="BY341" s="5" t="n">
        <v>13.646</v>
      </c>
      <c r="BZ341" s="5" t="n">
        <v>0</v>
      </c>
      <c r="CA341" s="5" t="n">
        <v>13.646</v>
      </c>
      <c r="CB341" s="5" t="n">
        <v>0</v>
      </c>
      <c r="CC341" s="5" t="n">
        <v>82.58799999999999</v>
      </c>
      <c r="CD341" s="5" t="n">
        <v>7.95</v>
      </c>
      <c r="CE341" s="5" t="n">
        <v>1.912</v>
      </c>
      <c r="CF341" s="5" t="n">
        <v>96.628</v>
      </c>
      <c r="CG341" s="5" t="n">
        <v>0.17</v>
      </c>
      <c r="CH341" s="5" t="n">
        <v>1</v>
      </c>
      <c r="CI341" s="5" t="n">
        <v>0</v>
      </c>
      <c r="CJ341" s="5" t="n">
        <v>0</v>
      </c>
      <c r="CK341" s="5" t="n">
        <v>0</v>
      </c>
      <c r="CL341" s="5" t="n">
        <v>0</v>
      </c>
      <c r="CM341" s="5" t="n">
        <v>0</v>
      </c>
      <c r="CN341" s="5" t="n">
        <v>0</v>
      </c>
      <c r="CO341" s="5" t="n">
        <v>0</v>
      </c>
      <c r="CP341" s="5" t="n">
        <v>0</v>
      </c>
      <c r="CQ341" s="5" t="n">
        <v>1.387</v>
      </c>
      <c r="CR341" s="5" t="n">
        <v>0</v>
      </c>
      <c r="CS341" s="5" t="n">
        <v>5.529</v>
      </c>
      <c r="CT341" s="5" t="n">
        <v>4.251</v>
      </c>
      <c r="CU341" s="5" t="n">
        <v>10.168</v>
      </c>
    </row>
    <row r="342">
      <c r="A342" s="5" t="inlineStr">
        <is>
          <t>GUY2021</t>
        </is>
      </c>
      <c r="B342" s="5" t="inlineStr">
        <is>
          <t>GUY</t>
        </is>
      </c>
      <c r="C342" s="5" t="inlineStr">
        <is>
          <t>GUY</t>
        </is>
      </c>
      <c r="D342" s="5" t="inlineStr">
        <is>
          <t>Guyana</t>
        </is>
      </c>
      <c r="E342" s="5" t="n">
        <v>2021</v>
      </c>
      <c r="F342" s="5" t="n">
        <v>0.16</v>
      </c>
      <c r="G342" s="5" t="n">
        <v>5.897</v>
      </c>
      <c r="H342" s="5" t="n">
        <v>1.143</v>
      </c>
      <c r="I342" s="5" t="n">
        <v>0</v>
      </c>
      <c r="J342" s="5" t="n">
        <v>5.897</v>
      </c>
      <c r="K342" s="5" t="n">
        <v>0</v>
      </c>
      <c r="L342" s="5" t="n">
        <v>1</v>
      </c>
      <c r="M342" s="5" t="n">
        <v>7.964</v>
      </c>
      <c r="N342" s="5" t="n">
        <v>3.43</v>
      </c>
      <c r="O342" s="5" t="n">
        <v>0</v>
      </c>
      <c r="P342" s="5" t="n">
        <v>7.964</v>
      </c>
      <c r="Q342" s="5" t="n">
        <v>0</v>
      </c>
      <c r="R342" s="5" t="n">
        <v>1</v>
      </c>
      <c r="S342" s="5" t="n">
        <v>11.613</v>
      </c>
      <c r="T342" s="5" t="n">
        <v>6.86</v>
      </c>
      <c r="U342" s="5" t="n">
        <v>0</v>
      </c>
      <c r="V342" s="5" t="n">
        <v>13.471</v>
      </c>
      <c r="W342" s="5" t="n">
        <v>0.16</v>
      </c>
      <c r="X342" s="5" t="n">
        <v>1</v>
      </c>
      <c r="Y342" s="5" t="n">
        <v>14.024</v>
      </c>
      <c r="Z342" s="5" t="n">
        <v>1.883</v>
      </c>
      <c r="AA342" s="5" t="n">
        <v>0</v>
      </c>
      <c r="AB342" s="5" t="n">
        <v>14.024</v>
      </c>
      <c r="AC342" s="5" t="n">
        <v>0</v>
      </c>
      <c r="AD342" s="5" t="n">
        <v>1</v>
      </c>
      <c r="AE342" s="5" t="n">
        <v>15.167</v>
      </c>
      <c r="AF342" s="5" t="n">
        <v>3.546</v>
      </c>
      <c r="AG342" s="5" t="n">
        <v>0</v>
      </c>
      <c r="AH342" s="5" t="n">
        <v>15.167</v>
      </c>
      <c r="AI342" s="5" t="n">
        <v>0</v>
      </c>
      <c r="AJ342" s="5" t="n">
        <v>1</v>
      </c>
      <c r="AK342" s="5" t="n">
        <v>22.027</v>
      </c>
      <c r="AL342" s="5" t="n">
        <v>11.827</v>
      </c>
      <c r="AM342" s="5" t="n">
        <v>0</v>
      </c>
      <c r="AN342" s="5" t="n">
        <v>25.551</v>
      </c>
      <c r="AO342" s="5" t="n">
        <v>0.16</v>
      </c>
      <c r="AP342" s="5" t="n">
        <v>1</v>
      </c>
      <c r="AQ342" s="5" t="n">
        <v>0.64</v>
      </c>
      <c r="AR342" s="5" t="n">
        <v>0.117</v>
      </c>
      <c r="AS342" s="5" t="n">
        <v>0.121</v>
      </c>
      <c r="AT342" s="5" t="n">
        <v>0.883</v>
      </c>
      <c r="AU342" s="5" t="n">
        <v>0.16</v>
      </c>
      <c r="AV342" s="5" t="n">
        <v>1</v>
      </c>
      <c r="AW342" s="5" t="n">
        <v>0.44</v>
      </c>
      <c r="AX342" s="5" t="n">
        <v>0.08500000000000001</v>
      </c>
      <c r="AY342" s="5" t="n">
        <v>0.283</v>
      </c>
      <c r="AZ342" s="5" t="n">
        <v>0.838</v>
      </c>
      <c r="BA342" s="5" t="n">
        <v>0.16</v>
      </c>
      <c r="BB342" s="5" t="n">
        <v>1</v>
      </c>
      <c r="BC342" s="5" t="n">
        <v>0.458</v>
      </c>
      <c r="BD342" s="5" t="n">
        <v>0.114</v>
      </c>
      <c r="BE342" s="5" t="n">
        <v>0</v>
      </c>
      <c r="BF342" s="5" t="n">
        <v>0.531</v>
      </c>
      <c r="BG342" s="5" t="n">
        <v>0.16</v>
      </c>
      <c r="BH342" s="5" t="n">
        <v>1</v>
      </c>
      <c r="BI342" s="5" t="n">
        <v>0.491</v>
      </c>
      <c r="BJ342" s="5" t="n">
        <v>0.114</v>
      </c>
      <c r="BK342" s="5" t="n">
        <v>0.003</v>
      </c>
      <c r="BL342" s="5" t="n">
        <v>0.573</v>
      </c>
      <c r="BM342" s="5" t="n">
        <v>0.16</v>
      </c>
      <c r="BN342" s="5" t="n">
        <v>1</v>
      </c>
      <c r="BO342" s="5" t="n">
        <v>0</v>
      </c>
      <c r="BP342" s="5" t="n">
        <v>0</v>
      </c>
      <c r="BQ342" s="5" t="n">
        <v>0.257</v>
      </c>
      <c r="BR342" s="5" t="n">
        <v>0</v>
      </c>
      <c r="BS342" s="5" t="n">
        <v>0.833</v>
      </c>
      <c r="BT342" s="5" t="n">
        <v>0</v>
      </c>
      <c r="BU342" s="5" t="n">
        <v>0</v>
      </c>
      <c r="BV342" s="5" t="n">
        <v>0.309</v>
      </c>
      <c r="BW342" s="5" t="n">
        <v>0</v>
      </c>
      <c r="BX342" s="5" t="n">
        <v>1</v>
      </c>
      <c r="BY342" s="5" t="n">
        <v>11.787</v>
      </c>
      <c r="BZ342" s="5" t="n">
        <v>0</v>
      </c>
      <c r="CA342" s="5" t="n">
        <v>11.787</v>
      </c>
      <c r="CB342" s="5" t="n">
        <v>0</v>
      </c>
      <c r="CC342" s="5" t="n">
        <v>78.125</v>
      </c>
      <c r="CD342" s="5" t="n">
        <v>7.95</v>
      </c>
      <c r="CE342" s="5" t="n">
        <v>40.179</v>
      </c>
      <c r="CF342" s="5" t="n">
        <v>137.232</v>
      </c>
      <c r="CG342" s="5" t="n">
        <v>0.16</v>
      </c>
      <c r="CH342" s="5" t="n">
        <v>1</v>
      </c>
      <c r="CI342" s="5" t="n">
        <v>0</v>
      </c>
      <c r="CJ342" s="5" t="n">
        <v>0</v>
      </c>
      <c r="CK342" s="5" t="n">
        <v>0</v>
      </c>
      <c r="CL342" s="5" t="n">
        <v>0</v>
      </c>
      <c r="CM342" s="5" t="n">
        <v>0</v>
      </c>
      <c r="CN342" s="5" t="n">
        <v>0</v>
      </c>
      <c r="CO342" s="5" t="n">
        <v>0</v>
      </c>
      <c r="CP342" s="5" t="n">
        <v>0</v>
      </c>
      <c r="CQ342" s="5" t="n">
        <v>1.198</v>
      </c>
      <c r="CR342" s="5" t="n">
        <v>0</v>
      </c>
      <c r="CS342" s="5" t="n">
        <v>3.568</v>
      </c>
      <c r="CT342" s="5" t="n">
        <v>4.753</v>
      </c>
      <c r="CU342" s="5" t="n">
        <v>15.983</v>
      </c>
    </row>
    <row r="343">
      <c r="A343" s="5" t="inlineStr">
        <is>
          <t>GUY2022</t>
        </is>
      </c>
      <c r="B343" s="5" t="inlineStr">
        <is>
          <t>GUY</t>
        </is>
      </c>
      <c r="C343" s="5" t="inlineStr">
        <is>
          <t>GUY</t>
        </is>
      </c>
      <c r="D343" s="5" t="inlineStr">
        <is>
          <t>Guyana</t>
        </is>
      </c>
      <c r="E343" s="5" t="n">
        <v>2022</v>
      </c>
      <c r="F343" s="5" t="n">
        <v>0.16</v>
      </c>
      <c r="G343" s="5" t="n">
        <v>11.72</v>
      </c>
      <c r="H343" s="5" t="n">
        <v>1.235</v>
      </c>
      <c r="I343" s="5" t="n">
        <v>0</v>
      </c>
      <c r="J343" s="5" t="n">
        <v>11.72</v>
      </c>
      <c r="K343" s="5" t="n">
        <v>0</v>
      </c>
      <c r="L343" s="5" t="n">
        <v>1</v>
      </c>
      <c r="M343" s="5" t="n">
        <v>9.782999999999999</v>
      </c>
      <c r="N343" s="5" t="n">
        <v>3.704</v>
      </c>
      <c r="O343" s="5" t="n">
        <v>0</v>
      </c>
      <c r="P343" s="5" t="n">
        <v>9.782999999999999</v>
      </c>
      <c r="Q343" s="5" t="n">
        <v>0</v>
      </c>
      <c r="R343" s="5" t="n">
        <v>1</v>
      </c>
      <c r="S343" s="5" t="n">
        <v>17.893</v>
      </c>
      <c r="T343" s="5" t="n">
        <v>7.408</v>
      </c>
      <c r="U343" s="5" t="n">
        <v>0.212</v>
      </c>
      <c r="V343" s="5" t="n">
        <v>20.756</v>
      </c>
      <c r="W343" s="5" t="n">
        <v>0.16</v>
      </c>
      <c r="X343" s="5" t="n">
        <v>1</v>
      </c>
      <c r="Y343" s="5" t="n">
        <v>24.111</v>
      </c>
      <c r="Z343" s="5" t="n">
        <v>3.237</v>
      </c>
      <c r="AA343" s="5" t="n">
        <v>0</v>
      </c>
      <c r="AB343" s="5" t="n">
        <v>24.111</v>
      </c>
      <c r="AC343" s="5" t="n">
        <v>0</v>
      </c>
      <c r="AD343" s="5" t="n">
        <v>1</v>
      </c>
      <c r="AE343" s="5" t="n">
        <v>25.339</v>
      </c>
      <c r="AF343" s="5" t="n">
        <v>5.925</v>
      </c>
      <c r="AG343" s="5" t="n">
        <v>0</v>
      </c>
      <c r="AH343" s="5" t="n">
        <v>25.339</v>
      </c>
      <c r="AI343" s="5" t="n">
        <v>0</v>
      </c>
      <c r="AJ343" s="5" t="n">
        <v>1</v>
      </c>
      <c r="AK343" s="5" t="n">
        <v>32.709</v>
      </c>
      <c r="AL343" s="5" t="n">
        <v>17.562</v>
      </c>
      <c r="AM343" s="5" t="n">
        <v>0.387</v>
      </c>
      <c r="AN343" s="5" t="n">
        <v>37.942</v>
      </c>
      <c r="AO343" s="5" t="n">
        <v>0.16</v>
      </c>
      <c r="AP343" s="5" t="n">
        <v>1</v>
      </c>
      <c r="AQ343" s="5" t="n">
        <v>0.6860000000000001</v>
      </c>
      <c r="AR343" s="5" t="n">
        <v>0.098</v>
      </c>
      <c r="AS343" s="5" t="n">
        <v>0.231</v>
      </c>
      <c r="AT343" s="5" t="n">
        <v>1.064</v>
      </c>
      <c r="AU343" s="5" t="n">
        <v>0.16</v>
      </c>
      <c r="AV343" s="5" t="n">
        <v>1</v>
      </c>
      <c r="AW343" s="5" t="n">
        <v>0.453</v>
      </c>
      <c r="AX343" s="5" t="n">
        <v>0.059</v>
      </c>
      <c r="AY343" s="5" t="n">
        <v>0.537</v>
      </c>
      <c r="AZ343" s="5" t="n">
        <v>1.148</v>
      </c>
      <c r="BA343" s="5" t="n">
        <v>0.16</v>
      </c>
      <c r="BB343" s="5" t="n">
        <v>1</v>
      </c>
      <c r="BC343" s="5" t="n">
        <v>0.62</v>
      </c>
      <c r="BD343" s="5" t="n">
        <v>0.123</v>
      </c>
      <c r="BE343" s="5" t="n">
        <v>0.007</v>
      </c>
      <c r="BF343" s="5" t="n">
        <v>0.72</v>
      </c>
      <c r="BG343" s="5" t="n">
        <v>0.16</v>
      </c>
      <c r="BH343" s="5" t="n">
        <v>1</v>
      </c>
      <c r="BI343" s="5" t="n">
        <v>0.608</v>
      </c>
      <c r="BJ343" s="5" t="n">
        <v>0.123</v>
      </c>
      <c r="BK343" s="5" t="n">
        <v>0.284</v>
      </c>
      <c r="BL343" s="5" t="n">
        <v>1.035</v>
      </c>
      <c r="BM343" s="5" t="n">
        <v>0.16</v>
      </c>
      <c r="BN343" s="5" t="n">
        <v>1</v>
      </c>
      <c r="BO343" s="5" t="n">
        <v>0</v>
      </c>
      <c r="BP343" s="5" t="n">
        <v>0</v>
      </c>
      <c r="BQ343" s="5" t="n">
        <v>0.277</v>
      </c>
      <c r="BR343" s="5" t="n">
        <v>0</v>
      </c>
      <c r="BS343" s="5" t="n">
        <v>0.833</v>
      </c>
      <c r="BT343" s="5" t="n">
        <v>0</v>
      </c>
      <c r="BU343" s="5" t="n">
        <v>0</v>
      </c>
      <c r="BV343" s="5" t="n">
        <v>0.333</v>
      </c>
      <c r="BW343" s="5" t="n">
        <v>0</v>
      </c>
      <c r="BX343" s="5" t="n">
        <v>1</v>
      </c>
      <c r="BY343" s="5" t="n">
        <v>12.729</v>
      </c>
      <c r="BZ343" s="5" t="n">
        <v>0</v>
      </c>
      <c r="CA343" s="5" t="n">
        <v>12.729</v>
      </c>
      <c r="CB343" s="5" t="n">
        <v>0</v>
      </c>
      <c r="CC343" s="5" t="n">
        <v>97.90000000000001</v>
      </c>
      <c r="CD343" s="5" t="n">
        <v>7.95</v>
      </c>
      <c r="CE343" s="5" t="n">
        <v>43.175</v>
      </c>
      <c r="CF343" s="5" t="n">
        <v>161.731</v>
      </c>
      <c r="CG343" s="5" t="n">
        <v>0.16</v>
      </c>
      <c r="CH343" s="5" t="n">
        <v>1</v>
      </c>
      <c r="CI343" s="5" t="n">
        <v>0</v>
      </c>
      <c r="CJ343" s="5" t="n">
        <v>0</v>
      </c>
      <c r="CK343" s="5" t="n">
        <v>0</v>
      </c>
      <c r="CL343" s="5" t="n">
        <v>0</v>
      </c>
      <c r="CM343" s="5" t="n">
        <v>0</v>
      </c>
      <c r="CN343" s="5" t="n">
        <v>0</v>
      </c>
      <c r="CO343" s="5" t="n">
        <v>0</v>
      </c>
      <c r="CP343" s="5" t="n">
        <v>0</v>
      </c>
      <c r="CQ343" s="5" t="n">
        <v>1.294</v>
      </c>
      <c r="CR343" s="5" t="n">
        <v>0.011</v>
      </c>
      <c r="CS343" s="5" t="n">
        <v>3.854</v>
      </c>
      <c r="CT343" s="5" t="n">
        <v>10.485</v>
      </c>
      <c r="CU343" s="5" t="n">
        <v>29.494</v>
      </c>
    </row>
    <row r="344">
      <c r="A344" s="5" t="inlineStr">
        <is>
          <t>GUY2023</t>
        </is>
      </c>
      <c r="B344" s="5" t="inlineStr">
        <is>
          <t>GUY</t>
        </is>
      </c>
      <c r="C344" s="5" t="inlineStr">
        <is>
          <t>GUY</t>
        </is>
      </c>
      <c r="D344" s="5" t="inlineStr">
        <is>
          <t>Guyana</t>
        </is>
      </c>
      <c r="E344" s="5" t="n">
        <v>2023</v>
      </c>
      <c r="F344" s="5" t="n">
        <v>0.16</v>
      </c>
      <c r="G344" s="5" t="n">
        <v>6.147</v>
      </c>
      <c r="H344" s="5" t="n">
        <v>1.286</v>
      </c>
      <c r="I344" s="5" t="n">
        <v>0</v>
      </c>
      <c r="J344" s="5" t="n">
        <v>6.147</v>
      </c>
      <c r="K344" s="5" t="n">
        <v>0</v>
      </c>
      <c r="L344" s="5" t="n">
        <v>1</v>
      </c>
      <c r="M344" s="5" t="n">
        <v>7.886</v>
      </c>
      <c r="N344" s="5" t="n">
        <v>3.857</v>
      </c>
      <c r="O344" s="5" t="n">
        <v>0</v>
      </c>
      <c r="P344" s="5" t="n">
        <v>7.886</v>
      </c>
      <c r="Q344" s="5" t="n">
        <v>0</v>
      </c>
      <c r="R344" s="5" t="n">
        <v>1</v>
      </c>
      <c r="S344" s="5" t="n">
        <v>12.575</v>
      </c>
      <c r="T344" s="5" t="n">
        <v>7.714</v>
      </c>
      <c r="U344" s="5" t="n">
        <v>0.223</v>
      </c>
      <c r="V344" s="5" t="n">
        <v>14.587</v>
      </c>
      <c r="W344" s="5" t="n">
        <v>0.16</v>
      </c>
      <c r="X344" s="5" t="n">
        <v>1</v>
      </c>
      <c r="Y344" s="5" t="n">
        <v>10.683</v>
      </c>
      <c r="Z344" s="5" t="n">
        <v>1.434</v>
      </c>
      <c r="AA344" s="5" t="n">
        <v>0</v>
      </c>
      <c r="AB344" s="5" t="n">
        <v>10.683</v>
      </c>
      <c r="AC344" s="5" t="n">
        <v>0</v>
      </c>
      <c r="AD344" s="5" t="n">
        <v>1</v>
      </c>
      <c r="AE344" s="5" t="n">
        <v>11.969</v>
      </c>
      <c r="AF344" s="5" t="n">
        <v>2.799</v>
      </c>
      <c r="AG344" s="5" t="n">
        <v>0</v>
      </c>
      <c r="AH344" s="5" t="n">
        <v>11.969</v>
      </c>
      <c r="AI344" s="5" t="n">
        <v>0</v>
      </c>
      <c r="AJ344" s="5" t="n">
        <v>1</v>
      </c>
      <c r="AK344" s="5" t="n">
        <v>19.683</v>
      </c>
      <c r="AL344" s="5" t="n">
        <v>10.568</v>
      </c>
      <c r="AM344" s="5" t="n">
        <v>0.349</v>
      </c>
      <c r="AN344" s="5" t="n">
        <v>22.832</v>
      </c>
      <c r="AO344" s="5" t="n">
        <v>0.16</v>
      </c>
      <c r="AP344" s="5" t="n">
        <v>1</v>
      </c>
      <c r="AQ344" s="5" t="n">
        <v>0.726</v>
      </c>
      <c r="AR344" s="5" t="n">
        <v>0.122</v>
      </c>
      <c r="AS344" s="5" t="n">
        <v>0.126</v>
      </c>
      <c r="AT344" s="5" t="n">
        <v>0.989</v>
      </c>
      <c r="AU344" s="5" t="n">
        <v>0.16</v>
      </c>
      <c r="AV344" s="5" t="n">
        <v>1</v>
      </c>
      <c r="AW344" s="5" t="n">
        <v>0.947</v>
      </c>
      <c r="AX344" s="5" t="n">
        <v>0.162</v>
      </c>
      <c r="AY344" s="5" t="n">
        <v>0.08699999999999999</v>
      </c>
      <c r="AZ344" s="5" t="n">
        <v>1.2</v>
      </c>
      <c r="BA344" s="5" t="n">
        <v>0.16</v>
      </c>
      <c r="BB344" s="5" t="n">
        <v>1</v>
      </c>
      <c r="BC344" s="5" t="n">
        <v>0.554</v>
      </c>
      <c r="BD344" s="5" t="n">
        <v>0.129</v>
      </c>
      <c r="BE344" s="5" t="n">
        <v>0.01</v>
      </c>
      <c r="BF344" s="5" t="n">
        <v>0.643</v>
      </c>
      <c r="BG344" s="5" t="n">
        <v>0.16</v>
      </c>
      <c r="BH344" s="5" t="n">
        <v>1</v>
      </c>
      <c r="BI344" s="5" t="n">
        <v>0.5570000000000001</v>
      </c>
      <c r="BJ344" s="5" t="n">
        <v>0.129</v>
      </c>
      <c r="BK344" s="5" t="n">
        <v>0.414</v>
      </c>
      <c r="BL344" s="5" t="n">
        <v>1.127</v>
      </c>
      <c r="BM344" s="5" t="n">
        <v>0.16</v>
      </c>
      <c r="BN344" s="5" t="n">
        <v>1</v>
      </c>
      <c r="BO344" s="5" t="n">
        <v>0</v>
      </c>
      <c r="BP344" s="5" t="n">
        <v>0</v>
      </c>
      <c r="BQ344" s="5" t="n">
        <v>0.288</v>
      </c>
      <c r="BR344" s="5" t="n">
        <v>0</v>
      </c>
      <c r="BS344" s="5" t="n">
        <v>0.833</v>
      </c>
      <c r="BT344" s="5" t="n">
        <v>0</v>
      </c>
      <c r="BU344" s="5" t="n">
        <v>0</v>
      </c>
      <c r="BV344" s="5" t="n">
        <v>0.347</v>
      </c>
      <c r="BW344" s="5" t="n">
        <v>0</v>
      </c>
      <c r="BX344" s="5" t="n">
        <v>1</v>
      </c>
      <c r="BY344" s="5" t="n">
        <v>13.254</v>
      </c>
      <c r="BZ344" s="5" t="n">
        <v>0</v>
      </c>
      <c r="CA344" s="5" t="n">
        <v>13.254</v>
      </c>
      <c r="CB344" s="5" t="n">
        <v>0</v>
      </c>
      <c r="CC344" s="5" t="n">
        <v>83.248</v>
      </c>
      <c r="CD344" s="5" t="n">
        <v>7.95</v>
      </c>
      <c r="CE344" s="5" t="n">
        <v>48.102</v>
      </c>
      <c r="CF344" s="5" t="n">
        <v>149.714</v>
      </c>
      <c r="CG344" s="5" t="n">
        <v>0.16</v>
      </c>
      <c r="CH344" s="5" t="n">
        <v>1</v>
      </c>
      <c r="CI344" s="5" t="n">
        <v>0</v>
      </c>
      <c r="CJ344" s="5" t="n">
        <v>0</v>
      </c>
      <c r="CK344" s="5" t="n">
        <v>0</v>
      </c>
      <c r="CL344" s="5" t="n">
        <v>0</v>
      </c>
      <c r="CM344" s="5" t="n">
        <v>0</v>
      </c>
      <c r="CN344" s="5" t="n">
        <v>0</v>
      </c>
      <c r="CO344" s="5" t="n">
        <v>0</v>
      </c>
      <c r="CP344" s="5" t="n">
        <v>0</v>
      </c>
      <c r="CQ344" s="5" t="n">
        <v>1.348</v>
      </c>
      <c r="CR344" s="5" t="n">
        <v>0</v>
      </c>
      <c r="CS344" s="5" t="n">
        <v>4.013</v>
      </c>
      <c r="CT344" s="5" t="n">
        <v>4.861</v>
      </c>
      <c r="CU344" s="5" t="n">
        <v>11.192</v>
      </c>
    </row>
    <row r="345">
      <c r="A345" s="5" t="inlineStr">
        <is>
          <t>GUY2024</t>
        </is>
      </c>
      <c r="B345" s="5" t="inlineStr">
        <is>
          <t>GUY</t>
        </is>
      </c>
      <c r="C345" s="5" t="inlineStr">
        <is>
          <t>GUY</t>
        </is>
      </c>
      <c r="D345" s="5" t="inlineStr">
        <is>
          <t>Guyana</t>
        </is>
      </c>
      <c r="E345" s="5" t="n">
        <v>2024</v>
      </c>
      <c r="F345" s="5" t="n">
        <v>0.16</v>
      </c>
      <c r="G345" s="5" t="n">
        <v>5.575</v>
      </c>
      <c r="H345" s="5" t="n">
        <v>1.324</v>
      </c>
      <c r="I345" s="5" t="n">
        <v>0</v>
      </c>
      <c r="J345" s="5" t="n">
        <v>5.575</v>
      </c>
      <c r="K345" s="5" t="n">
        <v>0</v>
      </c>
      <c r="L345" s="5" t="n">
        <v>1</v>
      </c>
      <c r="M345" s="5" t="n">
        <v>7.124</v>
      </c>
      <c r="N345" s="5" t="n">
        <v>3.971</v>
      </c>
      <c r="O345" s="5" t="n">
        <v>0</v>
      </c>
      <c r="P345" s="5" t="n">
        <v>7.124</v>
      </c>
      <c r="Q345" s="5" t="n">
        <v>0</v>
      </c>
      <c r="R345" s="5" t="n">
        <v>1</v>
      </c>
      <c r="S345" s="5" t="n">
        <v>12.193</v>
      </c>
      <c r="T345" s="5" t="n">
        <v>7.942</v>
      </c>
      <c r="U345" s="5" t="n">
        <v>0.266</v>
      </c>
      <c r="V345" s="5" t="n">
        <v>14.144</v>
      </c>
      <c r="W345" s="5" t="n">
        <v>0.16</v>
      </c>
      <c r="X345" s="5" t="n">
        <v>1</v>
      </c>
      <c r="Y345" s="5" t="n">
        <v>11.344</v>
      </c>
      <c r="Z345" s="5" t="n">
        <v>1.523</v>
      </c>
      <c r="AA345" s="5" t="n">
        <v>0</v>
      </c>
      <c r="AB345" s="5" t="n">
        <v>11.344</v>
      </c>
      <c r="AC345" s="5" t="n">
        <v>0</v>
      </c>
      <c r="AD345" s="5" t="n">
        <v>1</v>
      </c>
      <c r="AE345" s="5" t="n">
        <v>12.667</v>
      </c>
      <c r="AF345" s="5" t="n">
        <v>2.962</v>
      </c>
      <c r="AG345" s="5" t="n">
        <v>0</v>
      </c>
      <c r="AH345" s="5" t="n">
        <v>12.667</v>
      </c>
      <c r="AI345" s="5" t="n">
        <v>0</v>
      </c>
      <c r="AJ345" s="5" t="n">
        <v>1</v>
      </c>
      <c r="AK345" s="5" t="n">
        <v>20.609</v>
      </c>
      <c r="AL345" s="5" t="n">
        <v>11.066</v>
      </c>
      <c r="AM345" s="5" t="n">
        <v>0.449</v>
      </c>
      <c r="AN345" s="5" t="n">
        <v>23.907</v>
      </c>
      <c r="AO345" s="5" t="n">
        <v>0.16</v>
      </c>
      <c r="AP345" s="5" t="n">
        <v>1</v>
      </c>
      <c r="AQ345" s="5" t="n">
        <v>0.827</v>
      </c>
      <c r="AR345" s="5" t="n">
        <v>0.15</v>
      </c>
      <c r="AS345" s="5" t="n">
        <v>0.025</v>
      </c>
      <c r="AT345" s="5" t="n">
        <v>0.989</v>
      </c>
      <c r="AU345" s="5" t="n">
        <v>0.16</v>
      </c>
      <c r="AV345" s="5" t="n">
        <v>1</v>
      </c>
      <c r="AW345" s="5" t="n">
        <v>1.04</v>
      </c>
      <c r="AX345" s="5" t="n">
        <v>0.191</v>
      </c>
      <c r="AY345" s="5" t="n">
        <v>-0.007</v>
      </c>
      <c r="AZ345" s="5" t="n">
        <v>1.199</v>
      </c>
      <c r="BA345" s="5" t="n">
        <v>0.16</v>
      </c>
      <c r="BB345" s="5" t="n">
        <v>1</v>
      </c>
      <c r="BC345" s="5" t="n">
        <v>0.534</v>
      </c>
      <c r="BD345" s="5" t="n">
        <v>0.132</v>
      </c>
      <c r="BE345" s="5" t="n">
        <v>0.012</v>
      </c>
      <c r="BF345" s="5" t="n">
        <v>0.619</v>
      </c>
      <c r="BG345" s="5" t="n">
        <v>0.16</v>
      </c>
      <c r="BH345" s="5" t="n">
        <v>1</v>
      </c>
      <c r="BI345" s="5" t="n">
        <v>0.5679999999999999</v>
      </c>
      <c r="BJ345" s="5" t="n">
        <v>0.132</v>
      </c>
      <c r="BK345" s="5" t="n">
        <v>0.404</v>
      </c>
      <c r="BL345" s="5" t="n">
        <v>1.127</v>
      </c>
      <c r="BM345" s="5" t="n">
        <v>0.16</v>
      </c>
      <c r="BN345" s="5" t="n">
        <v>1</v>
      </c>
      <c r="BO345" s="5" t="n">
        <v>0</v>
      </c>
      <c r="BP345" s="5" t="n">
        <v>0</v>
      </c>
      <c r="BQ345" s="5" t="n">
        <v>0.297</v>
      </c>
      <c r="BR345" s="5" t="n">
        <v>0</v>
      </c>
      <c r="BS345" s="5" t="n">
        <v>0.833</v>
      </c>
      <c r="BT345" s="5" t="n">
        <v>0</v>
      </c>
      <c r="BU345" s="5" t="n">
        <v>0</v>
      </c>
      <c r="BV345" s="5" t="n">
        <v>0.357</v>
      </c>
      <c r="BW345" s="5" t="n">
        <v>0</v>
      </c>
      <c r="BX345" s="5" t="n">
        <v>1</v>
      </c>
      <c r="BY345" s="5" t="n">
        <v>13.646</v>
      </c>
      <c r="BZ345" s="5" t="n">
        <v>0</v>
      </c>
      <c r="CA345" s="5" t="n">
        <v>13.646</v>
      </c>
      <c r="CB345" s="5" t="n">
        <v>0</v>
      </c>
      <c r="CC345" s="5" t="n">
        <v>82.58799999999999</v>
      </c>
      <c r="CD345" s="5" t="n">
        <v>7.95</v>
      </c>
      <c r="CE345" s="5" t="n">
        <v>50.436</v>
      </c>
      <c r="CF345" s="5" t="n">
        <v>151.016</v>
      </c>
      <c r="CG345" s="5" t="n">
        <v>0.16</v>
      </c>
      <c r="CH345" s="5" t="n">
        <v>1</v>
      </c>
      <c r="CI345" s="5" t="n">
        <v>0</v>
      </c>
      <c r="CJ345" s="5" t="n">
        <v>0</v>
      </c>
      <c r="CK345" s="5" t="n">
        <v>0</v>
      </c>
      <c r="CL345" s="5" t="n">
        <v>0</v>
      </c>
      <c r="CM345" s="5" t="n">
        <v>0</v>
      </c>
      <c r="CN345" s="5" t="n">
        <v>0</v>
      </c>
      <c r="CO345" s="5" t="n">
        <v>0</v>
      </c>
      <c r="CP345" s="5" t="n">
        <v>0</v>
      </c>
      <c r="CQ345" s="5" t="n">
        <v>1.387</v>
      </c>
      <c r="CR345" s="5" t="n">
        <v>0</v>
      </c>
      <c r="CS345" s="5" t="n">
        <v>4.131</v>
      </c>
      <c r="CT345" s="5" t="n">
        <v>4.251</v>
      </c>
      <c r="CU345" s="5" t="n">
        <v>10.123</v>
      </c>
    </row>
    <row r="346">
      <c r="A346" s="5" t="inlineStr">
        <is>
          <t>HTI2021</t>
        </is>
      </c>
      <c r="B346" s="5" t="inlineStr">
        <is>
          <t>HTI</t>
        </is>
      </c>
      <c r="C346" s="5" t="inlineStr">
        <is>
          <t>HTI</t>
        </is>
      </c>
      <c r="D346" s="5" t="inlineStr">
        <is>
          <t>Haiti</t>
        </is>
      </c>
      <c r="E346" s="5" t="n">
        <v>2021</v>
      </c>
      <c r="F346" s="5" t="n">
        <v>0</v>
      </c>
      <c r="G346" s="5" t="n">
        <v>5.897</v>
      </c>
      <c r="H346" s="5" t="n">
        <v>1.143</v>
      </c>
      <c r="I346" s="5" t="n">
        <v>0</v>
      </c>
      <c r="J346" s="5" t="n">
        <v>5.897</v>
      </c>
      <c r="K346" s="5" t="n">
        <v>0</v>
      </c>
      <c r="L346" s="5" t="n">
        <v>1</v>
      </c>
      <c r="M346" s="5" t="n">
        <v>7.964</v>
      </c>
      <c r="N346" s="5" t="n">
        <v>3.43</v>
      </c>
      <c r="O346" s="5" t="n">
        <v>0</v>
      </c>
      <c r="P346" s="5" t="n">
        <v>7.964</v>
      </c>
      <c r="Q346" s="5" t="n">
        <v>0</v>
      </c>
      <c r="R346" s="5" t="n">
        <v>1</v>
      </c>
      <c r="S346" s="5" t="n">
        <v>11.613</v>
      </c>
      <c r="T346" s="5" t="n">
        <v>6.86</v>
      </c>
      <c r="U346" s="5" t="n">
        <v>0</v>
      </c>
      <c r="V346" s="5" t="n">
        <v>11.613</v>
      </c>
      <c r="W346" s="5" t="n">
        <v>0</v>
      </c>
      <c r="X346" s="5" t="n">
        <v>1</v>
      </c>
      <c r="Y346" s="5" t="n">
        <v>17.127</v>
      </c>
      <c r="Z346" s="5" t="n">
        <v>2.304</v>
      </c>
      <c r="AA346" s="5" t="n">
        <v>0</v>
      </c>
      <c r="AB346" s="5" t="n">
        <v>17.127</v>
      </c>
      <c r="AC346" s="5" t="n">
        <v>0</v>
      </c>
      <c r="AD346" s="5" t="n">
        <v>1</v>
      </c>
      <c r="AE346" s="5" t="n">
        <v>18.27</v>
      </c>
      <c r="AF346" s="5" t="n">
        <v>4.278</v>
      </c>
      <c r="AG346" s="5" t="n">
        <v>0</v>
      </c>
      <c r="AH346" s="5" t="n">
        <v>18.27</v>
      </c>
      <c r="AI346" s="5" t="n">
        <v>0</v>
      </c>
      <c r="AJ346" s="5" t="n">
        <v>1</v>
      </c>
      <c r="AK346" s="5" t="n">
        <v>25.13</v>
      </c>
      <c r="AL346" s="5" t="n">
        <v>13.503</v>
      </c>
      <c r="AM346" s="5" t="n">
        <v>0</v>
      </c>
      <c r="AN346" s="5" t="n">
        <v>25.13</v>
      </c>
      <c r="AO346" s="5" t="n">
        <v>0</v>
      </c>
      <c r="AP346" s="5" t="n">
        <v>1</v>
      </c>
      <c r="AQ346" s="5" t="n">
        <v>0.649</v>
      </c>
      <c r="AR346" s="5" t="n">
        <v>0.114</v>
      </c>
      <c r="AS346" s="5" t="n">
        <v>0.182</v>
      </c>
      <c r="AT346" s="5" t="n">
        <v>0.831</v>
      </c>
      <c r="AU346" s="5" t="n">
        <v>0</v>
      </c>
      <c r="AV346" s="5" t="n">
        <v>1</v>
      </c>
      <c r="AW346" s="5" t="n">
        <v>0.577</v>
      </c>
      <c r="AX346" s="5" t="n">
        <v>0.114</v>
      </c>
      <c r="AY346" s="5" t="n">
        <v>0.034</v>
      </c>
      <c r="AZ346" s="5" t="n">
        <v>0.61</v>
      </c>
      <c r="BA346" s="5" t="n">
        <v>0</v>
      </c>
      <c r="BB346" s="5" t="n">
        <v>1</v>
      </c>
      <c r="BC346" s="5" t="n">
        <v>0.458</v>
      </c>
      <c r="BD346" s="5" t="n">
        <v>0.114</v>
      </c>
      <c r="BE346" s="5" t="n">
        <v>0</v>
      </c>
      <c r="BF346" s="5" t="n">
        <v>0.458</v>
      </c>
      <c r="BG346" s="5" t="n">
        <v>0</v>
      </c>
      <c r="BH346" s="5" t="n">
        <v>1</v>
      </c>
      <c r="BI346" s="5" t="n">
        <v>0.491</v>
      </c>
      <c r="BJ346" s="5" t="n">
        <v>0.114</v>
      </c>
      <c r="BK346" s="5" t="n">
        <v>0.013</v>
      </c>
      <c r="BL346" s="5" t="n">
        <v>0.504</v>
      </c>
      <c r="BM346" s="5" t="n">
        <v>0</v>
      </c>
      <c r="BN346" s="5" t="n">
        <v>1</v>
      </c>
      <c r="BO346" s="5" t="n">
        <v>0</v>
      </c>
      <c r="BP346" s="5" t="n">
        <v>0</v>
      </c>
      <c r="BQ346" s="5" t="n">
        <v>0.139</v>
      </c>
      <c r="BR346" s="5" t="n">
        <v>0</v>
      </c>
      <c r="BS346" s="5" t="n">
        <v>1</v>
      </c>
      <c r="BT346" s="5" t="n">
        <v>0</v>
      </c>
      <c r="BU346" s="5" t="n">
        <v>0</v>
      </c>
      <c r="BV346" s="5" t="n">
        <v>0.079</v>
      </c>
      <c r="BW346" s="5" t="n">
        <v>0</v>
      </c>
      <c r="BX346" s="5" t="n">
        <v>1</v>
      </c>
      <c r="BY346" s="5" t="n">
        <v>11.787</v>
      </c>
      <c r="BZ346" s="5" t="n">
        <v>0</v>
      </c>
      <c r="CA346" s="5" t="n">
        <v>11.787</v>
      </c>
      <c r="CB346" s="5" t="n">
        <v>0</v>
      </c>
      <c r="CC346" s="5" t="n">
        <v>78.125</v>
      </c>
      <c r="CD346" s="5" t="n">
        <v>7.95</v>
      </c>
      <c r="CE346" s="5" t="n">
        <v>90.447</v>
      </c>
      <c r="CF346" s="5" t="n">
        <v>168.572</v>
      </c>
      <c r="CG346" s="5" t="n">
        <v>0</v>
      </c>
      <c r="CH346" s="5" t="n">
        <v>1</v>
      </c>
      <c r="CI346" s="5" t="n">
        <v>0</v>
      </c>
      <c r="CJ346" s="5" t="n">
        <v>0</v>
      </c>
      <c r="CK346" s="5" t="n">
        <v>0</v>
      </c>
      <c r="CL346" s="5" t="n">
        <v>0</v>
      </c>
      <c r="CM346" s="5" t="n">
        <v>0</v>
      </c>
      <c r="CN346" s="5" t="n">
        <v>0</v>
      </c>
      <c r="CO346" s="5" t="n">
        <v>0</v>
      </c>
      <c r="CP346" s="5" t="n">
        <v>0</v>
      </c>
      <c r="CQ346" s="5" t="n">
        <v>1.198</v>
      </c>
      <c r="CR346" s="5" t="n">
        <v>0</v>
      </c>
      <c r="CS346" s="5" t="n">
        <v>4.776</v>
      </c>
      <c r="CT346" s="5" t="n">
        <v>4.753</v>
      </c>
      <c r="CU346" s="5" t="n">
        <v>15.983</v>
      </c>
    </row>
    <row r="347">
      <c r="A347" s="5" t="inlineStr">
        <is>
          <t>HTI2022</t>
        </is>
      </c>
      <c r="B347" s="5" t="inlineStr">
        <is>
          <t>HTI</t>
        </is>
      </c>
      <c r="C347" s="5" t="inlineStr">
        <is>
          <t>HTI</t>
        </is>
      </c>
      <c r="D347" s="5" t="inlineStr">
        <is>
          <t>Haiti</t>
        </is>
      </c>
      <c r="E347" s="5" t="n">
        <v>2022</v>
      </c>
      <c r="F347" s="5" t="n">
        <v>0</v>
      </c>
      <c r="G347" s="5" t="n">
        <v>11.72</v>
      </c>
      <c r="H347" s="5" t="n">
        <v>1.235</v>
      </c>
      <c r="I347" s="5" t="n">
        <v>0</v>
      </c>
      <c r="J347" s="5" t="n">
        <v>11.72</v>
      </c>
      <c r="K347" s="5" t="n">
        <v>0</v>
      </c>
      <c r="L347" s="5" t="n">
        <v>1</v>
      </c>
      <c r="M347" s="5" t="n">
        <v>9.782999999999999</v>
      </c>
      <c r="N347" s="5" t="n">
        <v>3.704</v>
      </c>
      <c r="O347" s="5" t="n">
        <v>0</v>
      </c>
      <c r="P347" s="5" t="n">
        <v>9.782999999999999</v>
      </c>
      <c r="Q347" s="5" t="n">
        <v>0</v>
      </c>
      <c r="R347" s="5" t="n">
        <v>1</v>
      </c>
      <c r="S347" s="5" t="n">
        <v>17.893</v>
      </c>
      <c r="T347" s="5" t="n">
        <v>7.408</v>
      </c>
      <c r="U347" s="5" t="n">
        <v>0</v>
      </c>
      <c r="V347" s="5" t="n">
        <v>17.893</v>
      </c>
      <c r="W347" s="5" t="n">
        <v>0</v>
      </c>
      <c r="X347" s="5" t="n">
        <v>1</v>
      </c>
      <c r="Y347" s="5" t="n">
        <v>30.728</v>
      </c>
      <c r="Z347" s="5" t="n">
        <v>4.133</v>
      </c>
      <c r="AA347" s="5" t="n">
        <v>0</v>
      </c>
      <c r="AB347" s="5" t="n">
        <v>30.728</v>
      </c>
      <c r="AC347" s="5" t="n">
        <v>0</v>
      </c>
      <c r="AD347" s="5" t="n">
        <v>1</v>
      </c>
      <c r="AE347" s="5" t="n">
        <v>31.963</v>
      </c>
      <c r="AF347" s="5" t="n">
        <v>7.485</v>
      </c>
      <c r="AG347" s="5" t="n">
        <v>0</v>
      </c>
      <c r="AH347" s="5" t="n">
        <v>31.963</v>
      </c>
      <c r="AI347" s="5" t="n">
        <v>0</v>
      </c>
      <c r="AJ347" s="5" t="n">
        <v>1</v>
      </c>
      <c r="AK347" s="5" t="n">
        <v>39.371</v>
      </c>
      <c r="AL347" s="5" t="n">
        <v>21.155</v>
      </c>
      <c r="AM347" s="5" t="n">
        <v>0</v>
      </c>
      <c r="AN347" s="5" t="n">
        <v>39.371</v>
      </c>
      <c r="AO347" s="5" t="n">
        <v>0</v>
      </c>
      <c r="AP347" s="5" t="n">
        <v>1</v>
      </c>
      <c r="AQ347" s="5" t="n">
        <v>0.896</v>
      </c>
      <c r="AR347" s="5" t="n">
        <v>0.123</v>
      </c>
      <c r="AS347" s="5" t="n">
        <v>0.181</v>
      </c>
      <c r="AT347" s="5" t="n">
        <v>1.077</v>
      </c>
      <c r="AU347" s="5" t="n">
        <v>0</v>
      </c>
      <c r="AV347" s="5" t="n">
        <v>1</v>
      </c>
      <c r="AW347" s="5" t="n">
        <v>0.89</v>
      </c>
      <c r="AX347" s="5" t="n">
        <v>0.123</v>
      </c>
      <c r="AY347" s="5" t="n">
        <v>-0.094</v>
      </c>
      <c r="AZ347" s="5" t="n">
        <v>0.796</v>
      </c>
      <c r="BA347" s="5" t="n">
        <v>0</v>
      </c>
      <c r="BB347" s="5" t="n">
        <v>1</v>
      </c>
      <c r="BC347" s="5" t="n">
        <v>0.62</v>
      </c>
      <c r="BD347" s="5" t="n">
        <v>0.123</v>
      </c>
      <c r="BE347" s="5" t="n">
        <v>0</v>
      </c>
      <c r="BF347" s="5" t="n">
        <v>0.62</v>
      </c>
      <c r="BG347" s="5" t="n">
        <v>0</v>
      </c>
      <c r="BH347" s="5" t="n">
        <v>1</v>
      </c>
      <c r="BI347" s="5" t="n">
        <v>0.608</v>
      </c>
      <c r="BJ347" s="5" t="n">
        <v>0.123</v>
      </c>
      <c r="BK347" s="5" t="n">
        <v>-0.063</v>
      </c>
      <c r="BL347" s="5" t="n">
        <v>0.545</v>
      </c>
      <c r="BM347" s="5" t="n">
        <v>0</v>
      </c>
      <c r="BN347" s="5" t="n">
        <v>1</v>
      </c>
      <c r="BO347" s="5" t="n">
        <v>0</v>
      </c>
      <c r="BP347" s="5" t="n">
        <v>0</v>
      </c>
      <c r="BQ347" s="5" t="n">
        <v>0.115</v>
      </c>
      <c r="BR347" s="5" t="n">
        <v>0</v>
      </c>
      <c r="BS347" s="5" t="n">
        <v>1</v>
      </c>
      <c r="BT347" s="5" t="n">
        <v>0</v>
      </c>
      <c r="BU347" s="5" t="n">
        <v>0</v>
      </c>
      <c r="BV347" s="5" t="n">
        <v>0.065</v>
      </c>
      <c r="BW347" s="5" t="n">
        <v>0</v>
      </c>
      <c r="BX347" s="5" t="n">
        <v>1</v>
      </c>
      <c r="BY347" s="5" t="n">
        <v>12.729</v>
      </c>
      <c r="BZ347" s="5" t="n">
        <v>0</v>
      </c>
      <c r="CA347" s="5" t="n">
        <v>12.729</v>
      </c>
      <c r="CB347" s="5" t="n">
        <v>0</v>
      </c>
      <c r="CC347" s="5" t="n">
        <v>97.90000000000001</v>
      </c>
      <c r="CD347" s="5" t="n">
        <v>7.95</v>
      </c>
      <c r="CE347" s="5" t="n">
        <v>97.675</v>
      </c>
      <c r="CF347" s="5" t="n">
        <v>195.575</v>
      </c>
      <c r="CG347" s="5" t="n">
        <v>0</v>
      </c>
      <c r="CH347" s="5" t="n">
        <v>1</v>
      </c>
      <c r="CI347" s="5" t="n">
        <v>0</v>
      </c>
      <c r="CJ347" s="5" t="n">
        <v>0</v>
      </c>
      <c r="CK347" s="5" t="n">
        <v>0</v>
      </c>
      <c r="CL347" s="5" t="n">
        <v>0</v>
      </c>
      <c r="CM347" s="5" t="n">
        <v>0</v>
      </c>
      <c r="CN347" s="5" t="n">
        <v>0</v>
      </c>
      <c r="CO347" s="5" t="n">
        <v>0</v>
      </c>
      <c r="CP347" s="5" t="n">
        <v>0</v>
      </c>
      <c r="CQ347" s="5" t="n">
        <v>1.294</v>
      </c>
      <c r="CR347" s="5" t="n">
        <v>0</v>
      </c>
      <c r="CS347" s="5" t="n">
        <v>5.158</v>
      </c>
      <c r="CT347" s="5" t="n">
        <v>10.485</v>
      </c>
      <c r="CU347" s="5" t="n">
        <v>29.494</v>
      </c>
    </row>
    <row r="348">
      <c r="A348" s="5" t="inlineStr">
        <is>
          <t>HTI2023</t>
        </is>
      </c>
      <c r="B348" s="5" t="inlineStr">
        <is>
          <t>HTI</t>
        </is>
      </c>
      <c r="C348" s="5" t="inlineStr">
        <is>
          <t>HTI</t>
        </is>
      </c>
      <c r="D348" s="5" t="inlineStr">
        <is>
          <t>Haiti</t>
        </is>
      </c>
      <c r="E348" s="5" t="n">
        <v>2023</v>
      </c>
      <c r="F348" s="5" t="n">
        <v>0</v>
      </c>
      <c r="G348" s="5" t="n">
        <v>6.147</v>
      </c>
      <c r="H348" s="5" t="n">
        <v>1.286</v>
      </c>
      <c r="I348" s="5" t="n">
        <v>0</v>
      </c>
      <c r="J348" s="5" t="n">
        <v>6.147</v>
      </c>
      <c r="K348" s="5" t="n">
        <v>0</v>
      </c>
      <c r="L348" s="5" t="n">
        <v>1</v>
      </c>
      <c r="M348" s="5" t="n">
        <v>7.886</v>
      </c>
      <c r="N348" s="5" t="n">
        <v>3.857</v>
      </c>
      <c r="O348" s="5" t="n">
        <v>0</v>
      </c>
      <c r="P348" s="5" t="n">
        <v>7.886</v>
      </c>
      <c r="Q348" s="5" t="n">
        <v>0</v>
      </c>
      <c r="R348" s="5" t="n">
        <v>1</v>
      </c>
      <c r="S348" s="5" t="n">
        <v>12.575</v>
      </c>
      <c r="T348" s="5" t="n">
        <v>7.714</v>
      </c>
      <c r="U348" s="5" t="n">
        <v>0</v>
      </c>
      <c r="V348" s="5" t="n">
        <v>12.575</v>
      </c>
      <c r="W348" s="5" t="n">
        <v>0</v>
      </c>
      <c r="X348" s="5" t="n">
        <v>1</v>
      </c>
      <c r="Y348" s="5" t="n">
        <v>12.478</v>
      </c>
      <c r="Z348" s="5" t="n">
        <v>1.678</v>
      </c>
      <c r="AA348" s="5" t="n">
        <v>0</v>
      </c>
      <c r="AB348" s="5" t="n">
        <v>12.478</v>
      </c>
      <c r="AC348" s="5" t="n">
        <v>0</v>
      </c>
      <c r="AD348" s="5" t="n">
        <v>1</v>
      </c>
      <c r="AE348" s="5" t="n">
        <v>13.763</v>
      </c>
      <c r="AF348" s="5" t="n">
        <v>3.223</v>
      </c>
      <c r="AG348" s="5" t="n">
        <v>0</v>
      </c>
      <c r="AH348" s="5" t="n">
        <v>13.763</v>
      </c>
      <c r="AI348" s="5" t="n">
        <v>0</v>
      </c>
      <c r="AJ348" s="5" t="n">
        <v>1</v>
      </c>
      <c r="AK348" s="5" t="n">
        <v>21.477</v>
      </c>
      <c r="AL348" s="5" t="n">
        <v>11.54</v>
      </c>
      <c r="AM348" s="5" t="n">
        <v>0</v>
      </c>
      <c r="AN348" s="5" t="n">
        <v>21.477</v>
      </c>
      <c r="AO348" s="5" t="n">
        <v>0</v>
      </c>
      <c r="AP348" s="5" t="n">
        <v>1</v>
      </c>
      <c r="AQ348" s="5" t="n">
        <v>0.791</v>
      </c>
      <c r="AR348" s="5" t="n">
        <v>0.129</v>
      </c>
      <c r="AS348" s="5" t="n">
        <v>0.2</v>
      </c>
      <c r="AT348" s="5" t="n">
        <v>0.991</v>
      </c>
      <c r="AU348" s="5" t="n">
        <v>0</v>
      </c>
      <c r="AV348" s="5" t="n">
        <v>1</v>
      </c>
      <c r="AW348" s="5" t="n">
        <v>0.618</v>
      </c>
      <c r="AX348" s="5" t="n">
        <v>0.129</v>
      </c>
      <c r="AY348" s="5" t="n">
        <v>0.053</v>
      </c>
      <c r="AZ348" s="5" t="n">
        <v>0.671</v>
      </c>
      <c r="BA348" s="5" t="n">
        <v>0</v>
      </c>
      <c r="BB348" s="5" t="n">
        <v>1</v>
      </c>
      <c r="BC348" s="5" t="n">
        <v>0.554</v>
      </c>
      <c r="BD348" s="5" t="n">
        <v>0.129</v>
      </c>
      <c r="BE348" s="5" t="n">
        <v>0</v>
      </c>
      <c r="BF348" s="5" t="n">
        <v>0.554</v>
      </c>
      <c r="BG348" s="5" t="n">
        <v>0</v>
      </c>
      <c r="BH348" s="5" t="n">
        <v>1</v>
      </c>
      <c r="BI348" s="5" t="n">
        <v>0.5570000000000001</v>
      </c>
      <c r="BJ348" s="5" t="n">
        <v>0.129</v>
      </c>
      <c r="BK348" s="5" t="n">
        <v>0.01</v>
      </c>
      <c r="BL348" s="5" t="n">
        <v>0.5669999999999999</v>
      </c>
      <c r="BM348" s="5" t="n">
        <v>0</v>
      </c>
      <c r="BN348" s="5" t="n">
        <v>1</v>
      </c>
      <c r="BO348" s="5" t="n">
        <v>0</v>
      </c>
      <c r="BP348" s="5" t="n">
        <v>0</v>
      </c>
      <c r="BQ348" s="5" t="n">
        <v>0.165</v>
      </c>
      <c r="BR348" s="5" t="n">
        <v>0</v>
      </c>
      <c r="BS348" s="5" t="n">
        <v>1</v>
      </c>
      <c r="BT348" s="5" t="n">
        <v>0</v>
      </c>
      <c r="BU348" s="5" t="n">
        <v>0</v>
      </c>
      <c r="BV348" s="5" t="n">
        <v>0.113</v>
      </c>
      <c r="BW348" s="5" t="n">
        <v>0</v>
      </c>
      <c r="BX348" s="5" t="n">
        <v>1</v>
      </c>
      <c r="BY348" s="5" t="n">
        <v>13.254</v>
      </c>
      <c r="BZ348" s="5" t="n">
        <v>0</v>
      </c>
      <c r="CA348" s="5" t="n">
        <v>13.254</v>
      </c>
      <c r="CB348" s="5" t="n">
        <v>0</v>
      </c>
      <c r="CC348" s="5" t="n">
        <v>83.248</v>
      </c>
      <c r="CD348" s="5" t="n">
        <v>7.95</v>
      </c>
      <c r="CE348" s="5" t="n">
        <v>101.707</v>
      </c>
      <c r="CF348" s="5" t="n">
        <v>184.955</v>
      </c>
      <c r="CG348" s="5" t="n">
        <v>0</v>
      </c>
      <c r="CH348" s="5" t="n">
        <v>1</v>
      </c>
      <c r="CI348" s="5" t="n">
        <v>0</v>
      </c>
      <c r="CJ348" s="5" t="n">
        <v>0</v>
      </c>
      <c r="CK348" s="5" t="n">
        <v>0</v>
      </c>
      <c r="CL348" s="5" t="n">
        <v>0</v>
      </c>
      <c r="CM348" s="5" t="n">
        <v>0</v>
      </c>
      <c r="CN348" s="5" t="n">
        <v>0</v>
      </c>
      <c r="CO348" s="5" t="n">
        <v>0</v>
      </c>
      <c r="CP348" s="5" t="n">
        <v>0</v>
      </c>
      <c r="CQ348" s="5" t="n">
        <v>1.348</v>
      </c>
      <c r="CR348" s="5" t="n">
        <v>0</v>
      </c>
      <c r="CS348" s="5" t="n">
        <v>5.37</v>
      </c>
      <c r="CT348" s="5" t="n">
        <v>4.861</v>
      </c>
      <c r="CU348" s="5" t="n">
        <v>11.192</v>
      </c>
    </row>
    <row r="349">
      <c r="A349" s="5" t="inlineStr">
        <is>
          <t>HTI2024</t>
        </is>
      </c>
      <c r="B349" s="5" t="inlineStr">
        <is>
          <t>HTI</t>
        </is>
      </c>
      <c r="C349" s="5" t="inlineStr">
        <is>
          <t>HTI</t>
        </is>
      </c>
      <c r="D349" s="5" t="inlineStr">
        <is>
          <t>Haiti</t>
        </is>
      </c>
      <c r="E349" s="5" t="n">
        <v>2024</v>
      </c>
      <c r="F349" s="5" t="n">
        <v>0</v>
      </c>
      <c r="G349" s="5" t="n">
        <v>5.575</v>
      </c>
      <c r="H349" s="5" t="n">
        <v>1.324</v>
      </c>
      <c r="I349" s="5" t="n">
        <v>0</v>
      </c>
      <c r="J349" s="5" t="n">
        <v>5.575</v>
      </c>
      <c r="K349" s="5" t="n">
        <v>0</v>
      </c>
      <c r="L349" s="5" t="n">
        <v>1</v>
      </c>
      <c r="M349" s="5" t="n">
        <v>7.124</v>
      </c>
      <c r="N349" s="5" t="n">
        <v>3.971</v>
      </c>
      <c r="O349" s="5" t="n">
        <v>0</v>
      </c>
      <c r="P349" s="5" t="n">
        <v>7.124</v>
      </c>
      <c r="Q349" s="5" t="n">
        <v>0</v>
      </c>
      <c r="R349" s="5" t="n">
        <v>1</v>
      </c>
      <c r="S349" s="5" t="n">
        <v>12.193</v>
      </c>
      <c r="T349" s="5" t="n">
        <v>7.942</v>
      </c>
      <c r="U349" s="5" t="n">
        <v>0</v>
      </c>
      <c r="V349" s="5" t="n">
        <v>12.193</v>
      </c>
      <c r="W349" s="5" t="n">
        <v>0</v>
      </c>
      <c r="X349" s="5" t="n">
        <v>1</v>
      </c>
      <c r="Y349" s="5" t="n">
        <v>11.447</v>
      </c>
      <c r="Z349" s="5" t="n">
        <v>1.54</v>
      </c>
      <c r="AA349" s="5" t="n">
        <v>0</v>
      </c>
      <c r="AB349" s="5" t="n">
        <v>11.447</v>
      </c>
      <c r="AC349" s="5" t="n">
        <v>0</v>
      </c>
      <c r="AD349" s="5" t="n">
        <v>1</v>
      </c>
      <c r="AE349" s="5" t="n">
        <v>12.771</v>
      </c>
      <c r="AF349" s="5" t="n">
        <v>2.991</v>
      </c>
      <c r="AG349" s="5" t="n">
        <v>0</v>
      </c>
      <c r="AH349" s="5" t="n">
        <v>12.771</v>
      </c>
      <c r="AI349" s="5" t="n">
        <v>0</v>
      </c>
      <c r="AJ349" s="5" t="n">
        <v>1</v>
      </c>
      <c r="AK349" s="5" t="n">
        <v>20.712</v>
      </c>
      <c r="AL349" s="5" t="n">
        <v>11.129</v>
      </c>
      <c r="AM349" s="5" t="n">
        <v>0</v>
      </c>
      <c r="AN349" s="5" t="n">
        <v>20.712</v>
      </c>
      <c r="AO349" s="5" t="n">
        <v>0</v>
      </c>
      <c r="AP349" s="5" t="n">
        <v>1</v>
      </c>
      <c r="AQ349" s="5" t="n">
        <v>0.756</v>
      </c>
      <c r="AR349" s="5" t="n">
        <v>0.132</v>
      </c>
      <c r="AS349" s="5" t="n">
        <v>0.21</v>
      </c>
      <c r="AT349" s="5" t="n">
        <v>0.966</v>
      </c>
      <c r="AU349" s="5" t="n">
        <v>0</v>
      </c>
      <c r="AV349" s="5" t="n">
        <v>1</v>
      </c>
      <c r="AW349" s="5" t="n">
        <v>0.655</v>
      </c>
      <c r="AX349" s="5" t="n">
        <v>0.132</v>
      </c>
      <c r="AY349" s="5" t="n">
        <v>0.045</v>
      </c>
      <c r="AZ349" s="5" t="n">
        <v>0.7</v>
      </c>
      <c r="BA349" s="5" t="n">
        <v>0</v>
      </c>
      <c r="BB349" s="5" t="n">
        <v>1</v>
      </c>
      <c r="BC349" s="5" t="n">
        <v>0.534</v>
      </c>
      <c r="BD349" s="5" t="n">
        <v>0.132</v>
      </c>
      <c r="BE349" s="5" t="n">
        <v>0</v>
      </c>
      <c r="BF349" s="5" t="n">
        <v>0.534</v>
      </c>
      <c r="BG349" s="5" t="n">
        <v>0</v>
      </c>
      <c r="BH349" s="5" t="n">
        <v>1</v>
      </c>
      <c r="BI349" s="5" t="n">
        <v>0.5679999999999999</v>
      </c>
      <c r="BJ349" s="5" t="n">
        <v>0.132</v>
      </c>
      <c r="BK349" s="5" t="n">
        <v>0.016</v>
      </c>
      <c r="BL349" s="5" t="n">
        <v>0.584</v>
      </c>
      <c r="BM349" s="5" t="n">
        <v>0</v>
      </c>
      <c r="BN349" s="5" t="n">
        <v>1</v>
      </c>
      <c r="BO349" s="5" t="n">
        <v>0</v>
      </c>
      <c r="BP349" s="5" t="n">
        <v>0</v>
      </c>
      <c r="BQ349" s="5" t="n">
        <v>0.17</v>
      </c>
      <c r="BR349" s="5" t="n">
        <v>0</v>
      </c>
      <c r="BS349" s="5" t="n">
        <v>1</v>
      </c>
      <c r="BT349" s="5" t="n">
        <v>0</v>
      </c>
      <c r="BU349" s="5" t="n">
        <v>0</v>
      </c>
      <c r="BV349" s="5" t="n">
        <v>0.116</v>
      </c>
      <c r="BW349" s="5" t="n">
        <v>0</v>
      </c>
      <c r="BX349" s="5" t="n">
        <v>1</v>
      </c>
      <c r="BY349" s="5" t="n">
        <v>13.646</v>
      </c>
      <c r="BZ349" s="5" t="n">
        <v>0</v>
      </c>
      <c r="CA349" s="5" t="n">
        <v>13.646</v>
      </c>
      <c r="CB349" s="5" t="n">
        <v>0</v>
      </c>
      <c r="CC349" s="5" t="n">
        <v>82.58799999999999</v>
      </c>
      <c r="CD349" s="5" t="n">
        <v>7.95</v>
      </c>
      <c r="CE349" s="5" t="n">
        <v>104.709</v>
      </c>
      <c r="CF349" s="5" t="n">
        <v>187.297</v>
      </c>
      <c r="CG349" s="5" t="n">
        <v>0</v>
      </c>
      <c r="CH349" s="5" t="n">
        <v>1</v>
      </c>
      <c r="CI349" s="5" t="n">
        <v>0</v>
      </c>
      <c r="CJ349" s="5" t="n">
        <v>0</v>
      </c>
      <c r="CK349" s="5" t="n">
        <v>0</v>
      </c>
      <c r="CL349" s="5" t="n">
        <v>0</v>
      </c>
      <c r="CM349" s="5" t="n">
        <v>0</v>
      </c>
      <c r="CN349" s="5" t="n">
        <v>0</v>
      </c>
      <c r="CO349" s="5" t="n">
        <v>0</v>
      </c>
      <c r="CP349" s="5" t="n">
        <v>0</v>
      </c>
      <c r="CQ349" s="5" t="n">
        <v>1.387</v>
      </c>
      <c r="CR349" s="5" t="n">
        <v>0</v>
      </c>
      <c r="CS349" s="5" t="n">
        <v>5.529</v>
      </c>
      <c r="CT349" s="5" t="n">
        <v>4.251</v>
      </c>
      <c r="CU349" s="5" t="n">
        <v>10.123</v>
      </c>
    </row>
    <row r="350">
      <c r="A350" s="5" t="inlineStr">
        <is>
          <t>HND2021</t>
        </is>
      </c>
      <c r="B350" s="5" t="inlineStr">
        <is>
          <t>HND</t>
        </is>
      </c>
      <c r="C350" s="5" t="inlineStr">
        <is>
          <t>HND</t>
        </is>
      </c>
      <c r="D350" s="5" t="inlineStr">
        <is>
          <t>Honduras</t>
        </is>
      </c>
      <c r="E350" s="5" t="n">
        <v>2021</v>
      </c>
      <c r="F350" s="5" t="n">
        <v>0.15</v>
      </c>
      <c r="G350" s="5" t="n">
        <v>5.897</v>
      </c>
      <c r="H350" s="5" t="n">
        <v>1.143</v>
      </c>
      <c r="I350" s="5" t="n">
        <v>0</v>
      </c>
      <c r="J350" s="5" t="n">
        <v>5.897</v>
      </c>
      <c r="K350" s="5" t="n">
        <v>0</v>
      </c>
      <c r="L350" s="5" t="n">
        <v>1</v>
      </c>
      <c r="M350" s="5" t="n">
        <v>7.964</v>
      </c>
      <c r="N350" s="5" t="n">
        <v>3.43</v>
      </c>
      <c r="O350" s="5" t="n">
        <v>0</v>
      </c>
      <c r="P350" s="5" t="n">
        <v>7.964</v>
      </c>
      <c r="Q350" s="5" t="n">
        <v>0</v>
      </c>
      <c r="R350" s="5" t="n">
        <v>1</v>
      </c>
      <c r="S350" s="5" t="n">
        <v>11.613</v>
      </c>
      <c r="T350" s="5" t="n">
        <v>6.86</v>
      </c>
      <c r="U350" s="5" t="n">
        <v>0</v>
      </c>
      <c r="V350" s="5" t="n">
        <v>13.355</v>
      </c>
      <c r="W350" s="5" t="n">
        <v>0.15</v>
      </c>
      <c r="X350" s="5" t="n">
        <v>1</v>
      </c>
      <c r="Y350" s="5" t="n">
        <v>4.284</v>
      </c>
      <c r="Z350" s="5" t="n">
        <v>0.576</v>
      </c>
      <c r="AA350" s="5" t="n">
        <v>0</v>
      </c>
      <c r="AB350" s="5" t="n">
        <v>4.284</v>
      </c>
      <c r="AC350" s="5" t="n">
        <v>0</v>
      </c>
      <c r="AD350" s="5" t="n">
        <v>1</v>
      </c>
      <c r="AE350" s="5" t="n">
        <v>5.427</v>
      </c>
      <c r="AF350" s="5" t="n">
        <v>1.271</v>
      </c>
      <c r="AG350" s="5" t="n">
        <v>0</v>
      </c>
      <c r="AH350" s="5" t="n">
        <v>5.427</v>
      </c>
      <c r="AI350" s="5" t="n">
        <v>0</v>
      </c>
      <c r="AJ350" s="5" t="n">
        <v>1</v>
      </c>
      <c r="AK350" s="5" t="n">
        <v>12.287</v>
      </c>
      <c r="AL350" s="5" t="n">
        <v>6.602</v>
      </c>
      <c r="AM350" s="5" t="n">
        <v>0</v>
      </c>
      <c r="AN350" s="5" t="n">
        <v>14.13</v>
      </c>
      <c r="AO350" s="5" t="n">
        <v>0.15</v>
      </c>
      <c r="AP350" s="5" t="n">
        <v>1</v>
      </c>
      <c r="AQ350" s="5" t="n">
        <v>0.649</v>
      </c>
      <c r="AR350" s="5" t="n">
        <v>0.114</v>
      </c>
      <c r="AS350" s="5" t="n">
        <v>0.361</v>
      </c>
      <c r="AT350" s="5" t="n">
        <v>1.01</v>
      </c>
      <c r="AU350" s="5" t="n">
        <v>0</v>
      </c>
      <c r="AV350" s="5" t="n">
        <v>1</v>
      </c>
      <c r="AW350" s="5" t="n">
        <v>0.577</v>
      </c>
      <c r="AX350" s="5" t="n">
        <v>0.114</v>
      </c>
      <c r="AY350" s="5" t="n">
        <v>0.308</v>
      </c>
      <c r="AZ350" s="5" t="n">
        <v>0.885</v>
      </c>
      <c r="BA350" s="5" t="n">
        <v>0</v>
      </c>
      <c r="BB350" s="5" t="n">
        <v>1</v>
      </c>
      <c r="BC350" s="5" t="n">
        <v>0.458</v>
      </c>
      <c r="BD350" s="5" t="n">
        <v>0.114</v>
      </c>
      <c r="BE350" s="5" t="n">
        <v>0.046</v>
      </c>
      <c r="BF350" s="5" t="n">
        <v>0.505</v>
      </c>
      <c r="BG350" s="5" t="n">
        <v>0</v>
      </c>
      <c r="BH350" s="5" t="n">
        <v>0</v>
      </c>
      <c r="BI350" s="5" t="n">
        <v>0.491</v>
      </c>
      <c r="BJ350" s="5" t="n">
        <v>0.114</v>
      </c>
      <c r="BK350" s="5" t="n">
        <v>0.178</v>
      </c>
      <c r="BL350" s="5" t="n">
        <v>0.669</v>
      </c>
      <c r="BM350" s="5" t="n">
        <v>0</v>
      </c>
      <c r="BN350" s="5" t="n">
        <v>1</v>
      </c>
      <c r="BO350" s="5" t="n">
        <v>0</v>
      </c>
      <c r="BP350" s="5" t="n">
        <v>0</v>
      </c>
      <c r="BQ350" s="5" t="n">
        <v>0.139</v>
      </c>
      <c r="BR350" s="5" t="n">
        <v>0</v>
      </c>
      <c r="BS350" s="5" t="n">
        <v>0.5</v>
      </c>
      <c r="BT350" s="5" t="n">
        <v>0</v>
      </c>
      <c r="BU350" s="5" t="n">
        <v>0</v>
      </c>
      <c r="BV350" s="5" t="n">
        <v>0.164</v>
      </c>
      <c r="BW350" s="5" t="n">
        <v>0</v>
      </c>
      <c r="BX350" s="5" t="n">
        <v>0.5</v>
      </c>
      <c r="BY350" s="5" t="n">
        <v>11.787</v>
      </c>
      <c r="BZ350" s="5" t="n">
        <v>0</v>
      </c>
      <c r="CA350" s="5" t="n">
        <v>11.787</v>
      </c>
      <c r="CB350" s="5" t="n">
        <v>0</v>
      </c>
      <c r="CC350" s="5" t="n">
        <v>78.125</v>
      </c>
      <c r="CD350" s="5" t="n">
        <v>7.95</v>
      </c>
      <c r="CE350" s="5" t="n">
        <v>0</v>
      </c>
      <c r="CF350" s="5" t="n">
        <v>89.84399999999999</v>
      </c>
      <c r="CG350" s="5" t="n">
        <v>0.15</v>
      </c>
      <c r="CH350" s="5" t="n">
        <v>1</v>
      </c>
      <c r="CI350" s="5" t="n">
        <v>0</v>
      </c>
      <c r="CJ350" s="5" t="n">
        <v>0</v>
      </c>
      <c r="CK350" s="5" t="n">
        <v>0</v>
      </c>
      <c r="CL350" s="5" t="n">
        <v>0</v>
      </c>
      <c r="CM350" s="5" t="n">
        <v>0</v>
      </c>
      <c r="CN350" s="5" t="n">
        <v>0</v>
      </c>
      <c r="CO350" s="5" t="n">
        <v>0</v>
      </c>
      <c r="CP350" s="5" t="n">
        <v>0</v>
      </c>
      <c r="CQ350" s="5" t="n">
        <v>1.198</v>
      </c>
      <c r="CR350" s="5" t="n">
        <v>0</v>
      </c>
      <c r="CS350" s="5" t="n">
        <v>4.776</v>
      </c>
      <c r="CT350" s="5" t="n">
        <v>4.753</v>
      </c>
      <c r="CU350" s="5" t="n">
        <v>15.983</v>
      </c>
    </row>
    <row r="351">
      <c r="A351" s="5" t="inlineStr">
        <is>
          <t>HND2022</t>
        </is>
      </c>
      <c r="B351" s="5" t="inlineStr">
        <is>
          <t>HND</t>
        </is>
      </c>
      <c r="C351" s="5" t="inlineStr">
        <is>
          <t>HND</t>
        </is>
      </c>
      <c r="D351" s="5" t="inlineStr">
        <is>
          <t>Honduras</t>
        </is>
      </c>
      <c r="E351" s="5" t="n">
        <v>2022</v>
      </c>
      <c r="F351" s="5" t="n">
        <v>0.15</v>
      </c>
      <c r="G351" s="5" t="n">
        <v>11.72</v>
      </c>
      <c r="H351" s="5" t="n">
        <v>1.235</v>
      </c>
      <c r="I351" s="5" t="n">
        <v>0</v>
      </c>
      <c r="J351" s="5" t="n">
        <v>11.72</v>
      </c>
      <c r="K351" s="5" t="n">
        <v>0</v>
      </c>
      <c r="L351" s="5" t="n">
        <v>1</v>
      </c>
      <c r="M351" s="5" t="n">
        <v>9.782999999999999</v>
      </c>
      <c r="N351" s="5" t="n">
        <v>3.704</v>
      </c>
      <c r="O351" s="5" t="n">
        <v>0</v>
      </c>
      <c r="P351" s="5" t="n">
        <v>9.782999999999999</v>
      </c>
      <c r="Q351" s="5" t="n">
        <v>0</v>
      </c>
      <c r="R351" s="5" t="n">
        <v>1</v>
      </c>
      <c r="S351" s="5" t="n">
        <v>17.893</v>
      </c>
      <c r="T351" s="5" t="n">
        <v>7.408</v>
      </c>
      <c r="U351" s="5" t="n">
        <v>0.199</v>
      </c>
      <c r="V351" s="5" t="n">
        <v>20.577</v>
      </c>
      <c r="W351" s="5" t="n">
        <v>0.15</v>
      </c>
      <c r="X351" s="5" t="n">
        <v>1</v>
      </c>
      <c r="Y351" s="5" t="n">
        <v>4.627</v>
      </c>
      <c r="Z351" s="5" t="n">
        <v>0.622</v>
      </c>
      <c r="AA351" s="5" t="n">
        <v>0</v>
      </c>
      <c r="AB351" s="5" t="n">
        <v>4.627</v>
      </c>
      <c r="AC351" s="5" t="n">
        <v>0</v>
      </c>
      <c r="AD351" s="5" t="n">
        <v>1</v>
      </c>
      <c r="AE351" s="5" t="n">
        <v>5.861</v>
      </c>
      <c r="AF351" s="5" t="n">
        <v>1.373</v>
      </c>
      <c r="AG351" s="5" t="n">
        <v>0</v>
      </c>
      <c r="AH351" s="5" t="n">
        <v>5.861</v>
      </c>
      <c r="AI351" s="5" t="n">
        <v>0</v>
      </c>
      <c r="AJ351" s="5" t="n">
        <v>1</v>
      </c>
      <c r="AK351" s="5" t="n">
        <v>13.269</v>
      </c>
      <c r="AL351" s="5" t="n">
        <v>7.13</v>
      </c>
      <c r="AM351" s="5" t="n">
        <v>0.147</v>
      </c>
      <c r="AN351" s="5" t="n">
        <v>15.26</v>
      </c>
      <c r="AO351" s="5" t="n">
        <v>0.15</v>
      </c>
      <c r="AP351" s="5" t="n">
        <v>1</v>
      </c>
      <c r="AQ351" s="5" t="n">
        <v>0.896</v>
      </c>
      <c r="AR351" s="5" t="n">
        <v>0.123</v>
      </c>
      <c r="AS351" s="5" t="n">
        <v>0.269</v>
      </c>
      <c r="AT351" s="5" t="n">
        <v>1.165</v>
      </c>
      <c r="AU351" s="5" t="n">
        <v>0</v>
      </c>
      <c r="AV351" s="5" t="n">
        <v>1</v>
      </c>
      <c r="AW351" s="5" t="n">
        <v>0.89</v>
      </c>
      <c r="AX351" s="5" t="n">
        <v>0.123</v>
      </c>
      <c r="AY351" s="5" t="n">
        <v>0.309</v>
      </c>
      <c r="AZ351" s="5" t="n">
        <v>1.199</v>
      </c>
      <c r="BA351" s="5" t="n">
        <v>0</v>
      </c>
      <c r="BB351" s="5" t="n">
        <v>1</v>
      </c>
      <c r="BC351" s="5" t="n">
        <v>0.62</v>
      </c>
      <c r="BD351" s="5" t="n">
        <v>0.123</v>
      </c>
      <c r="BE351" s="5" t="n">
        <v>-0.109</v>
      </c>
      <c r="BF351" s="5" t="n">
        <v>0.512</v>
      </c>
      <c r="BG351" s="5" t="n">
        <v>0</v>
      </c>
      <c r="BH351" s="5" t="n">
        <v>0</v>
      </c>
      <c r="BI351" s="5" t="n">
        <v>0.608</v>
      </c>
      <c r="BJ351" s="5" t="n">
        <v>0.123</v>
      </c>
      <c r="BK351" s="5" t="n">
        <v>0.471</v>
      </c>
      <c r="BL351" s="5" t="n">
        <v>1.079</v>
      </c>
      <c r="BM351" s="5" t="n">
        <v>0</v>
      </c>
      <c r="BN351" s="5" t="n">
        <v>1</v>
      </c>
      <c r="BO351" s="5" t="n">
        <v>0</v>
      </c>
      <c r="BP351" s="5" t="n">
        <v>0</v>
      </c>
      <c r="BQ351" s="5" t="n">
        <v>0.136</v>
      </c>
      <c r="BR351" s="5" t="n">
        <v>0</v>
      </c>
      <c r="BS351" s="5" t="n">
        <v>0.5</v>
      </c>
      <c r="BT351" s="5" t="n">
        <v>0</v>
      </c>
      <c r="BU351" s="5" t="n">
        <v>0</v>
      </c>
      <c r="BV351" s="5" t="n">
        <v>0.161</v>
      </c>
      <c r="BW351" s="5" t="n">
        <v>0</v>
      </c>
      <c r="BX351" s="5" t="n">
        <v>0.5</v>
      </c>
      <c r="BY351" s="5" t="n">
        <v>12.729</v>
      </c>
      <c r="BZ351" s="5" t="n">
        <v>0</v>
      </c>
      <c r="CA351" s="5" t="n">
        <v>12.729</v>
      </c>
      <c r="CB351" s="5" t="n">
        <v>0</v>
      </c>
      <c r="CC351" s="5" t="n">
        <v>97.90000000000001</v>
      </c>
      <c r="CD351" s="5" t="n">
        <v>7.95</v>
      </c>
      <c r="CE351" s="5" t="n">
        <v>1.087</v>
      </c>
      <c r="CF351" s="5" t="n">
        <v>112.585</v>
      </c>
      <c r="CG351" s="5" t="n">
        <v>0.15</v>
      </c>
      <c r="CH351" s="5" t="n">
        <v>1</v>
      </c>
      <c r="CI351" s="5" t="n">
        <v>0</v>
      </c>
      <c r="CJ351" s="5" t="n">
        <v>0</v>
      </c>
      <c r="CK351" s="5" t="n">
        <v>0</v>
      </c>
      <c r="CL351" s="5" t="n">
        <v>0</v>
      </c>
      <c r="CM351" s="5" t="n">
        <v>0</v>
      </c>
      <c r="CN351" s="5" t="n">
        <v>0</v>
      </c>
      <c r="CO351" s="5" t="n">
        <v>0</v>
      </c>
      <c r="CP351" s="5" t="n">
        <v>0</v>
      </c>
      <c r="CQ351" s="5" t="n">
        <v>1.294</v>
      </c>
      <c r="CR351" s="5" t="n">
        <v>0</v>
      </c>
      <c r="CS351" s="5" t="n">
        <v>5.158</v>
      </c>
      <c r="CT351" s="5" t="n">
        <v>10.485</v>
      </c>
      <c r="CU351" s="5" t="n">
        <v>29.494</v>
      </c>
    </row>
    <row r="352">
      <c r="A352" s="5" t="inlineStr">
        <is>
          <t>HND2023</t>
        </is>
      </c>
      <c r="B352" s="5" t="inlineStr">
        <is>
          <t>HND</t>
        </is>
      </c>
      <c r="C352" s="5" t="inlineStr">
        <is>
          <t>HND</t>
        </is>
      </c>
      <c r="D352" s="5" t="inlineStr">
        <is>
          <t>Honduras</t>
        </is>
      </c>
      <c r="E352" s="5" t="n">
        <v>2023</v>
      </c>
      <c r="F352" s="5" t="n">
        <v>0.15</v>
      </c>
      <c r="G352" s="5" t="n">
        <v>6.147</v>
      </c>
      <c r="H352" s="5" t="n">
        <v>1.286</v>
      </c>
      <c r="I352" s="5" t="n">
        <v>0</v>
      </c>
      <c r="J352" s="5" t="n">
        <v>6.147</v>
      </c>
      <c r="K352" s="5" t="n">
        <v>0</v>
      </c>
      <c r="L352" s="5" t="n">
        <v>1</v>
      </c>
      <c r="M352" s="5" t="n">
        <v>7.886</v>
      </c>
      <c r="N352" s="5" t="n">
        <v>3.857</v>
      </c>
      <c r="O352" s="5" t="n">
        <v>0</v>
      </c>
      <c r="P352" s="5" t="n">
        <v>7.886</v>
      </c>
      <c r="Q352" s="5" t="n">
        <v>0</v>
      </c>
      <c r="R352" s="5" t="n">
        <v>1</v>
      </c>
      <c r="S352" s="5" t="n">
        <v>12.575</v>
      </c>
      <c r="T352" s="5" t="n">
        <v>7.714</v>
      </c>
      <c r="U352" s="5" t="n">
        <v>0.209</v>
      </c>
      <c r="V352" s="5" t="n">
        <v>14.461</v>
      </c>
      <c r="W352" s="5" t="n">
        <v>0.15</v>
      </c>
      <c r="X352" s="5" t="n">
        <v>1</v>
      </c>
      <c r="Y352" s="5" t="n">
        <v>4.818</v>
      </c>
      <c r="Z352" s="5" t="n">
        <v>0.648</v>
      </c>
      <c r="AA352" s="5" t="n">
        <v>0</v>
      </c>
      <c r="AB352" s="5" t="n">
        <v>4.818</v>
      </c>
      <c r="AC352" s="5" t="n">
        <v>0</v>
      </c>
      <c r="AD352" s="5" t="n">
        <v>1</v>
      </c>
      <c r="AE352" s="5" t="n">
        <v>6.103</v>
      </c>
      <c r="AF352" s="5" t="n">
        <v>1.429</v>
      </c>
      <c r="AG352" s="5" t="n">
        <v>0</v>
      </c>
      <c r="AH352" s="5" t="n">
        <v>6.103</v>
      </c>
      <c r="AI352" s="5" t="n">
        <v>0</v>
      </c>
      <c r="AJ352" s="5" t="n">
        <v>1</v>
      </c>
      <c r="AK352" s="5" t="n">
        <v>13.817</v>
      </c>
      <c r="AL352" s="5" t="n">
        <v>7.424</v>
      </c>
      <c r="AM352" s="5" t="n">
        <v>0.229</v>
      </c>
      <c r="AN352" s="5" t="n">
        <v>15.89</v>
      </c>
      <c r="AO352" s="5" t="n">
        <v>0.15</v>
      </c>
      <c r="AP352" s="5" t="n">
        <v>1</v>
      </c>
      <c r="AQ352" s="5" t="n">
        <v>0.791</v>
      </c>
      <c r="AR352" s="5" t="n">
        <v>0.129</v>
      </c>
      <c r="AS352" s="5" t="n">
        <v>0.28</v>
      </c>
      <c r="AT352" s="5" t="n">
        <v>1.071</v>
      </c>
      <c r="AU352" s="5" t="n">
        <v>0</v>
      </c>
      <c r="AV352" s="5" t="n">
        <v>1</v>
      </c>
      <c r="AW352" s="5" t="n">
        <v>0.618</v>
      </c>
      <c r="AX352" s="5" t="n">
        <v>0.129</v>
      </c>
      <c r="AY352" s="5" t="n">
        <v>0.389</v>
      </c>
      <c r="AZ352" s="5" t="n">
        <v>1.007</v>
      </c>
      <c r="BA352" s="5" t="n">
        <v>0</v>
      </c>
      <c r="BB352" s="5" t="n">
        <v>1</v>
      </c>
      <c r="BC352" s="5" t="n">
        <v>0.554</v>
      </c>
      <c r="BD352" s="5" t="n">
        <v>0.129</v>
      </c>
      <c r="BE352" s="5" t="n">
        <v>-0.08</v>
      </c>
      <c r="BF352" s="5" t="n">
        <v>0.474</v>
      </c>
      <c r="BG352" s="5" t="n">
        <v>0</v>
      </c>
      <c r="BH352" s="5" t="n">
        <v>0</v>
      </c>
      <c r="BI352" s="5" t="n">
        <v>0.5570000000000001</v>
      </c>
      <c r="BJ352" s="5" t="n">
        <v>0.129</v>
      </c>
      <c r="BK352" s="5" t="n">
        <v>0.381</v>
      </c>
      <c r="BL352" s="5" t="n">
        <v>0.9389999999999999</v>
      </c>
      <c r="BM352" s="5" t="n">
        <v>0</v>
      </c>
      <c r="BN352" s="5" t="n">
        <v>1</v>
      </c>
      <c r="BO352" s="5" t="n">
        <v>0</v>
      </c>
      <c r="BP352" s="5" t="n">
        <v>0</v>
      </c>
      <c r="BQ352" s="5" t="n">
        <v>0.194</v>
      </c>
      <c r="BR352" s="5" t="n">
        <v>0</v>
      </c>
      <c r="BS352" s="5" t="n">
        <v>0.5</v>
      </c>
      <c r="BT352" s="5" t="n">
        <v>0</v>
      </c>
      <c r="BU352" s="5" t="n">
        <v>0</v>
      </c>
      <c r="BV352" s="5" t="n">
        <v>0.184</v>
      </c>
      <c r="BW352" s="5" t="n">
        <v>0</v>
      </c>
      <c r="BX352" s="5" t="n">
        <v>0.5</v>
      </c>
      <c r="BY352" s="5" t="n">
        <v>13.254</v>
      </c>
      <c r="BZ352" s="5" t="n">
        <v>0</v>
      </c>
      <c r="CA352" s="5" t="n">
        <v>13.254</v>
      </c>
      <c r="CB352" s="5" t="n">
        <v>0</v>
      </c>
      <c r="CC352" s="5" t="n">
        <v>83.248</v>
      </c>
      <c r="CD352" s="5" t="n">
        <v>7.95</v>
      </c>
      <c r="CE352" s="5" t="n">
        <v>1.383</v>
      </c>
      <c r="CF352" s="5" t="n">
        <v>95.735</v>
      </c>
      <c r="CG352" s="5" t="n">
        <v>0.15</v>
      </c>
      <c r="CH352" s="5" t="n">
        <v>1</v>
      </c>
      <c r="CI352" s="5" t="n">
        <v>0</v>
      </c>
      <c r="CJ352" s="5" t="n">
        <v>0</v>
      </c>
      <c r="CK352" s="5" t="n">
        <v>0</v>
      </c>
      <c r="CL352" s="5" t="n">
        <v>0</v>
      </c>
      <c r="CM352" s="5" t="n">
        <v>0</v>
      </c>
      <c r="CN352" s="5" t="n">
        <v>0</v>
      </c>
      <c r="CO352" s="5" t="n">
        <v>0</v>
      </c>
      <c r="CP352" s="5" t="n">
        <v>0</v>
      </c>
      <c r="CQ352" s="5" t="n">
        <v>1.348</v>
      </c>
      <c r="CR352" s="5" t="n">
        <v>0</v>
      </c>
      <c r="CS352" s="5" t="n">
        <v>5.37</v>
      </c>
      <c r="CT352" s="5" t="n">
        <v>4.861</v>
      </c>
      <c r="CU352" s="5" t="n">
        <v>11.192</v>
      </c>
    </row>
    <row r="353">
      <c r="A353" s="5" t="inlineStr">
        <is>
          <t>HND2024</t>
        </is>
      </c>
      <c r="B353" s="5" t="inlineStr">
        <is>
          <t>HND</t>
        </is>
      </c>
      <c r="C353" s="5" t="inlineStr">
        <is>
          <t>HND</t>
        </is>
      </c>
      <c r="D353" s="5" t="inlineStr">
        <is>
          <t>Honduras</t>
        </is>
      </c>
      <c r="E353" s="5" t="n">
        <v>2024</v>
      </c>
      <c r="F353" s="5" t="n">
        <v>0.15</v>
      </c>
      <c r="G353" s="5" t="n">
        <v>5.575</v>
      </c>
      <c r="H353" s="5" t="n">
        <v>1.324</v>
      </c>
      <c r="I353" s="5" t="n">
        <v>0</v>
      </c>
      <c r="J353" s="5" t="n">
        <v>5.575</v>
      </c>
      <c r="K353" s="5" t="n">
        <v>0</v>
      </c>
      <c r="L353" s="5" t="n">
        <v>1</v>
      </c>
      <c r="M353" s="5" t="n">
        <v>7.124</v>
      </c>
      <c r="N353" s="5" t="n">
        <v>3.971</v>
      </c>
      <c r="O353" s="5" t="n">
        <v>0</v>
      </c>
      <c r="P353" s="5" t="n">
        <v>7.124</v>
      </c>
      <c r="Q353" s="5" t="n">
        <v>0</v>
      </c>
      <c r="R353" s="5" t="n">
        <v>1</v>
      </c>
      <c r="S353" s="5" t="n">
        <v>12.193</v>
      </c>
      <c r="T353" s="5" t="n">
        <v>7.942</v>
      </c>
      <c r="U353" s="5" t="n">
        <v>0.249</v>
      </c>
      <c r="V353" s="5" t="n">
        <v>14.022</v>
      </c>
      <c r="W353" s="5" t="n">
        <v>0.15</v>
      </c>
      <c r="X353" s="5" t="n">
        <v>1</v>
      </c>
      <c r="Y353" s="5" t="n">
        <v>4.96</v>
      </c>
      <c r="Z353" s="5" t="n">
        <v>0.667</v>
      </c>
      <c r="AA353" s="5" t="n">
        <v>0</v>
      </c>
      <c r="AB353" s="5" t="n">
        <v>4.96</v>
      </c>
      <c r="AC353" s="5" t="n">
        <v>0</v>
      </c>
      <c r="AD353" s="5" t="n">
        <v>1</v>
      </c>
      <c r="AE353" s="5" t="n">
        <v>6.283</v>
      </c>
      <c r="AF353" s="5" t="n">
        <v>1.471</v>
      </c>
      <c r="AG353" s="5" t="n">
        <v>0</v>
      </c>
      <c r="AH353" s="5" t="n">
        <v>6.283</v>
      </c>
      <c r="AI353" s="5" t="n">
        <v>0</v>
      </c>
      <c r="AJ353" s="5" t="n">
        <v>1</v>
      </c>
      <c r="AK353" s="5" t="n">
        <v>14.225</v>
      </c>
      <c r="AL353" s="5" t="n">
        <v>7.643</v>
      </c>
      <c r="AM353" s="5" t="n">
        <v>0.291</v>
      </c>
      <c r="AN353" s="5" t="n">
        <v>16.359</v>
      </c>
      <c r="AO353" s="5" t="n">
        <v>0.15</v>
      </c>
      <c r="AP353" s="5" t="n">
        <v>1</v>
      </c>
      <c r="AQ353" s="5" t="n">
        <v>0.756</v>
      </c>
      <c r="AR353" s="5" t="n">
        <v>0.132</v>
      </c>
      <c r="AS353" s="5" t="n">
        <v>0.26</v>
      </c>
      <c r="AT353" s="5" t="n">
        <v>1.016</v>
      </c>
      <c r="AU353" s="5" t="n">
        <v>0</v>
      </c>
      <c r="AV353" s="5" t="n">
        <v>1</v>
      </c>
      <c r="AW353" s="5" t="n">
        <v>0.655</v>
      </c>
      <c r="AX353" s="5" t="n">
        <v>0.132</v>
      </c>
      <c r="AY353" s="5" t="n">
        <v>0.27</v>
      </c>
      <c r="AZ353" s="5" t="n">
        <v>0.926</v>
      </c>
      <c r="BA353" s="5" t="n">
        <v>0</v>
      </c>
      <c r="BB353" s="5" t="n">
        <v>1</v>
      </c>
      <c r="BC353" s="5" t="n">
        <v>0.534</v>
      </c>
      <c r="BD353" s="5" t="n">
        <v>0.132</v>
      </c>
      <c r="BE353" s="5" t="n">
        <v>-0.055</v>
      </c>
      <c r="BF353" s="5" t="n">
        <v>0.479</v>
      </c>
      <c r="BG353" s="5" t="n">
        <v>0</v>
      </c>
      <c r="BH353" s="5" t="n">
        <v>0</v>
      </c>
      <c r="BI353" s="5" t="n">
        <v>0.5679999999999999</v>
      </c>
      <c r="BJ353" s="5" t="n">
        <v>0.132</v>
      </c>
      <c r="BK353" s="5" t="n">
        <v>0.282</v>
      </c>
      <c r="BL353" s="5" t="n">
        <v>0.85</v>
      </c>
      <c r="BM353" s="5" t="n">
        <v>0</v>
      </c>
      <c r="BN353" s="5" t="n">
        <v>1</v>
      </c>
      <c r="BO353" s="5" t="n">
        <v>0</v>
      </c>
      <c r="BP353" s="5" t="n">
        <v>0</v>
      </c>
      <c r="BQ353" s="5" t="n">
        <v>0.177</v>
      </c>
      <c r="BR353" s="5" t="n">
        <v>0</v>
      </c>
      <c r="BS353" s="5" t="n">
        <v>0.5</v>
      </c>
      <c r="BT353" s="5" t="n">
        <v>0</v>
      </c>
      <c r="BU353" s="5" t="n">
        <v>0</v>
      </c>
      <c r="BV353" s="5" t="n">
        <v>0.21</v>
      </c>
      <c r="BW353" s="5" t="n">
        <v>0</v>
      </c>
      <c r="BX353" s="5" t="n">
        <v>0.5</v>
      </c>
      <c r="BY353" s="5" t="n">
        <v>13.646</v>
      </c>
      <c r="BZ353" s="5" t="n">
        <v>0</v>
      </c>
      <c r="CA353" s="5" t="n">
        <v>13.646</v>
      </c>
      <c r="CB353" s="5" t="n">
        <v>0</v>
      </c>
      <c r="CC353" s="5" t="n">
        <v>82.58799999999999</v>
      </c>
      <c r="CD353" s="5" t="n">
        <v>7.95</v>
      </c>
      <c r="CE353" s="5" t="n">
        <v>1.687</v>
      </c>
      <c r="CF353" s="5" t="n">
        <v>94.976</v>
      </c>
      <c r="CG353" s="5" t="n">
        <v>0.15</v>
      </c>
      <c r="CH353" s="5" t="n">
        <v>1</v>
      </c>
      <c r="CI353" s="5" t="n">
        <v>0</v>
      </c>
      <c r="CJ353" s="5" t="n">
        <v>0</v>
      </c>
      <c r="CK353" s="5" t="n">
        <v>0</v>
      </c>
      <c r="CL353" s="5" t="n">
        <v>0</v>
      </c>
      <c r="CM353" s="5" t="n">
        <v>0</v>
      </c>
      <c r="CN353" s="5" t="n">
        <v>0</v>
      </c>
      <c r="CO353" s="5" t="n">
        <v>0</v>
      </c>
      <c r="CP353" s="5" t="n">
        <v>0</v>
      </c>
      <c r="CQ353" s="5" t="n">
        <v>1.387</v>
      </c>
      <c r="CR353" s="5" t="n">
        <v>0</v>
      </c>
      <c r="CS353" s="5" t="n">
        <v>5.529</v>
      </c>
      <c r="CT353" s="5" t="n">
        <v>4.251</v>
      </c>
      <c r="CU353" s="5" t="n">
        <v>10.123</v>
      </c>
    </row>
    <row r="354">
      <c r="A354" s="5" t="inlineStr">
        <is>
          <t>HKG2021</t>
        </is>
      </c>
      <c r="B354" s="5" t="inlineStr">
        <is>
          <t>HKG</t>
        </is>
      </c>
      <c r="C354" s="5" t="inlineStr">
        <is>
          <t>HKG</t>
        </is>
      </c>
      <c r="D354" s="5" t="inlineStr">
        <is>
          <t>Hong Kong SAR</t>
        </is>
      </c>
      <c r="E354" s="5" t="n">
        <v>2021</v>
      </c>
      <c r="F354" s="5" t="n">
        <v>0</v>
      </c>
      <c r="G354" s="5" t="n">
        <v>4.747</v>
      </c>
      <c r="H354" s="5" t="n">
        <v>1.143</v>
      </c>
      <c r="I354" s="5" t="n">
        <v>0</v>
      </c>
      <c r="J354" s="5" t="n">
        <v>4.747</v>
      </c>
      <c r="K354" s="5" t="n">
        <v>0</v>
      </c>
      <c r="L354" s="5" t="n">
        <v>1</v>
      </c>
      <c r="M354" s="5" t="n">
        <v>7.964</v>
      </c>
      <c r="N354" s="5" t="n">
        <v>3.43</v>
      </c>
      <c r="O354" s="5" t="n">
        <v>0</v>
      </c>
      <c r="P354" s="5" t="n">
        <v>7.964</v>
      </c>
      <c r="Q354" s="5" t="n">
        <v>0</v>
      </c>
      <c r="R354" s="5" t="n">
        <v>1</v>
      </c>
      <c r="S354" s="5" t="n">
        <v>10.464</v>
      </c>
      <c r="T354" s="5" t="n">
        <v>6.86</v>
      </c>
      <c r="U354" s="5" t="n">
        <v>0</v>
      </c>
      <c r="V354" s="5" t="n">
        <v>10.464</v>
      </c>
      <c r="W354" s="5" t="n">
        <v>0</v>
      </c>
      <c r="X354" s="5" t="n">
        <v>1</v>
      </c>
      <c r="Y354" s="5" t="n">
        <v>39.729</v>
      </c>
      <c r="Z354" s="5" t="n">
        <v>4.388</v>
      </c>
      <c r="AA354" s="5" t="n">
        <v>-2.984</v>
      </c>
      <c r="AB354" s="5" t="n">
        <v>36.745</v>
      </c>
      <c r="AC354" s="5" t="n">
        <v>0</v>
      </c>
      <c r="AD354" s="5" t="n">
        <v>1</v>
      </c>
      <c r="AE354" s="5" t="n">
        <v>39.686</v>
      </c>
      <c r="AF354" s="5" t="n">
        <v>7.809</v>
      </c>
      <c r="AG354" s="5" t="n">
        <v>-2.941</v>
      </c>
      <c r="AH354" s="5" t="n">
        <v>36.745</v>
      </c>
      <c r="AI354" s="5" t="n">
        <v>0</v>
      </c>
      <c r="AJ354" s="5" t="n">
        <v>1</v>
      </c>
      <c r="AK354" s="5" t="n">
        <v>44.125</v>
      </c>
      <c r="AL354" s="5" t="n">
        <v>21.657</v>
      </c>
      <c r="AM354" s="5" t="n">
        <v>-6.361</v>
      </c>
      <c r="AN354" s="5" t="n">
        <v>37.763</v>
      </c>
      <c r="AO354" s="5" t="n">
        <v>0</v>
      </c>
      <c r="AP354" s="5" t="n">
        <v>1</v>
      </c>
      <c r="AQ354" s="5" t="n">
        <v>0.621</v>
      </c>
      <c r="AR354" s="5" t="n">
        <v>0.114</v>
      </c>
      <c r="AS354" s="5" t="n">
        <v>1.889</v>
      </c>
      <c r="AT354" s="5" t="n">
        <v>2.51</v>
      </c>
      <c r="AU354" s="5" t="n">
        <v>0</v>
      </c>
      <c r="AV354" s="5" t="n">
        <v>1</v>
      </c>
      <c r="AW354" s="5" t="n">
        <v>0.593</v>
      </c>
      <c r="AX354" s="5" t="n">
        <v>0.114</v>
      </c>
      <c r="AY354" s="5" t="n">
        <v>1.54</v>
      </c>
      <c r="AZ354" s="5" t="n">
        <v>2.133</v>
      </c>
      <c r="BA354" s="5" t="n">
        <v>0</v>
      </c>
      <c r="BB354" s="5" t="n">
        <v>1</v>
      </c>
      <c r="BC354" s="5" t="n">
        <v>0.44</v>
      </c>
      <c r="BD354" s="5" t="n">
        <v>0.114</v>
      </c>
      <c r="BE354" s="5" t="n">
        <v>1.705</v>
      </c>
      <c r="BF354" s="5" t="n">
        <v>2.145</v>
      </c>
      <c r="BG354" s="5" t="n">
        <v>0</v>
      </c>
      <c r="BH354" s="5" t="n">
        <v>1</v>
      </c>
      <c r="BI354" s="5" t="n">
        <v>0.5600000000000001</v>
      </c>
      <c r="BJ354" s="5" t="n">
        <v>0.114</v>
      </c>
      <c r="BK354" s="5" t="n">
        <v>0</v>
      </c>
      <c r="BL354" s="5" t="n">
        <v>0.5600000000000001</v>
      </c>
      <c r="BM354" s="5" t="n">
        <v>0</v>
      </c>
      <c r="BN354" s="5" t="n">
        <v>1</v>
      </c>
      <c r="BO354" s="5" t="n">
        <v>0</v>
      </c>
      <c r="BP354" s="5" t="n">
        <v>0</v>
      </c>
      <c r="BQ354" s="5" t="n">
        <v>0.15</v>
      </c>
      <c r="BR354" s="5" t="n">
        <v>0</v>
      </c>
      <c r="BS354" s="5" t="n">
        <v>0.833</v>
      </c>
      <c r="BT354" s="5" t="n">
        <v>0</v>
      </c>
      <c r="BU354" s="5" t="n">
        <v>0</v>
      </c>
      <c r="BV354" s="5" t="n">
        <v>0.152</v>
      </c>
      <c r="BW354" s="5" t="n">
        <v>0</v>
      </c>
      <c r="BX354" s="5" t="n">
        <v>1</v>
      </c>
      <c r="BY354" s="5" t="n">
        <v>11.787</v>
      </c>
      <c r="BZ354" s="5" t="n">
        <v>0</v>
      </c>
      <c r="CA354" s="5" t="n">
        <v>11.787</v>
      </c>
      <c r="CB354" s="5" t="n">
        <v>0</v>
      </c>
      <c r="CC354" s="5" t="n">
        <v>81.69499999999999</v>
      </c>
      <c r="CD354" s="5" t="n">
        <v>7.95</v>
      </c>
      <c r="CE354" s="5" t="n">
        <v>0</v>
      </c>
      <c r="CF354" s="5" t="n">
        <v>81.69499999999999</v>
      </c>
      <c r="CG354" s="5" t="n">
        <v>0</v>
      </c>
      <c r="CH354" s="5" t="n">
        <v>1</v>
      </c>
      <c r="CI354" s="5" t="n">
        <v>0</v>
      </c>
      <c r="CJ354" s="5" t="n">
        <v>0</v>
      </c>
      <c r="CK354" s="5" t="n">
        <v>0</v>
      </c>
      <c r="CL354" s="5" t="n">
        <v>0</v>
      </c>
      <c r="CM354" s="5" t="n">
        <v>0</v>
      </c>
      <c r="CN354" s="5" t="n">
        <v>0</v>
      </c>
      <c r="CO354" s="5" t="n">
        <v>0</v>
      </c>
      <c r="CP354" s="5" t="n">
        <v>0</v>
      </c>
      <c r="CQ354" s="5" t="n">
        <v>1.198</v>
      </c>
      <c r="CR354" s="5" t="n">
        <v>0</v>
      </c>
      <c r="CS354" s="5" t="n">
        <v>4.776</v>
      </c>
      <c r="CT354" s="5" t="n">
        <v>3.604</v>
      </c>
      <c r="CU354" s="5" t="n">
        <v>9.127000000000001</v>
      </c>
    </row>
    <row r="355">
      <c r="A355" s="5" t="inlineStr">
        <is>
          <t>HKG2022</t>
        </is>
      </c>
      <c r="B355" s="5" t="inlineStr">
        <is>
          <t>HKG</t>
        </is>
      </c>
      <c r="C355" s="5" t="inlineStr">
        <is>
          <t>HKG</t>
        </is>
      </c>
      <c r="D355" s="5" t="inlineStr">
        <is>
          <t>Hong Kong SAR</t>
        </is>
      </c>
      <c r="E355" s="5" t="n">
        <v>2022</v>
      </c>
      <c r="F355" s="5" t="n">
        <v>0</v>
      </c>
      <c r="G355" s="5" t="n">
        <v>8.788</v>
      </c>
      <c r="H355" s="5" t="n">
        <v>1.235</v>
      </c>
      <c r="I355" s="5" t="n">
        <v>0</v>
      </c>
      <c r="J355" s="5" t="n">
        <v>8.788</v>
      </c>
      <c r="K355" s="5" t="n">
        <v>0</v>
      </c>
      <c r="L355" s="5" t="n">
        <v>1</v>
      </c>
      <c r="M355" s="5" t="n">
        <v>9.782999999999999</v>
      </c>
      <c r="N355" s="5" t="n">
        <v>3.704</v>
      </c>
      <c r="O355" s="5" t="n">
        <v>0</v>
      </c>
      <c r="P355" s="5" t="n">
        <v>9.782999999999999</v>
      </c>
      <c r="Q355" s="5" t="n">
        <v>0</v>
      </c>
      <c r="R355" s="5" t="n">
        <v>1</v>
      </c>
      <c r="S355" s="5" t="n">
        <v>14.962</v>
      </c>
      <c r="T355" s="5" t="n">
        <v>7.408</v>
      </c>
      <c r="U355" s="5" t="n">
        <v>0</v>
      </c>
      <c r="V355" s="5" t="n">
        <v>14.962</v>
      </c>
      <c r="W355" s="5" t="n">
        <v>0</v>
      </c>
      <c r="X355" s="5" t="n">
        <v>1</v>
      </c>
      <c r="Y355" s="5" t="n">
        <v>42.267</v>
      </c>
      <c r="Z355" s="5" t="n">
        <v>4.434</v>
      </c>
      <c r="AA355" s="5" t="n">
        <v>-2.985</v>
      </c>
      <c r="AB355" s="5" t="n">
        <v>39.283</v>
      </c>
      <c r="AC355" s="5" t="n">
        <v>0</v>
      </c>
      <c r="AD355" s="5" t="n">
        <v>1</v>
      </c>
      <c r="AE355" s="5" t="n">
        <v>42.315</v>
      </c>
      <c r="AF355" s="5" t="n">
        <v>7.844</v>
      </c>
      <c r="AG355" s="5" t="n">
        <v>-3.032</v>
      </c>
      <c r="AH355" s="5" t="n">
        <v>39.283</v>
      </c>
      <c r="AI355" s="5" t="n">
        <v>0</v>
      </c>
      <c r="AJ355" s="5" t="n">
        <v>1</v>
      </c>
      <c r="AK355" s="5" t="n">
        <v>47.254</v>
      </c>
      <c r="AL355" s="5" t="n">
        <v>22.566</v>
      </c>
      <c r="AM355" s="5" t="n">
        <v>-7.404</v>
      </c>
      <c r="AN355" s="5" t="n">
        <v>39.85</v>
      </c>
      <c r="AO355" s="5" t="n">
        <v>0</v>
      </c>
      <c r="AP355" s="5" t="n">
        <v>1</v>
      </c>
      <c r="AQ355" s="5" t="n">
        <v>0.847</v>
      </c>
      <c r="AR355" s="5" t="n">
        <v>0.123</v>
      </c>
      <c r="AS355" s="5" t="n">
        <v>2.052</v>
      </c>
      <c r="AT355" s="5" t="n">
        <v>2.899</v>
      </c>
      <c r="AU355" s="5" t="n">
        <v>0</v>
      </c>
      <c r="AV355" s="5" t="n">
        <v>1</v>
      </c>
      <c r="AW355" s="5" t="n">
        <v>0.947</v>
      </c>
      <c r="AX355" s="5" t="n">
        <v>0.123</v>
      </c>
      <c r="AY355" s="5" t="n">
        <v>1.685</v>
      </c>
      <c r="AZ355" s="5" t="n">
        <v>2.632</v>
      </c>
      <c r="BA355" s="5" t="n">
        <v>0</v>
      </c>
      <c r="BB355" s="5" t="n">
        <v>1</v>
      </c>
      <c r="BC355" s="5" t="n">
        <v>0.589</v>
      </c>
      <c r="BD355" s="5" t="n">
        <v>0.123</v>
      </c>
      <c r="BE355" s="5" t="n">
        <v>1.74</v>
      </c>
      <c r="BF355" s="5" t="n">
        <v>2.329</v>
      </c>
      <c r="BG355" s="5" t="n">
        <v>0</v>
      </c>
      <c r="BH355" s="5" t="n">
        <v>1</v>
      </c>
      <c r="BI355" s="5" t="n">
        <v>0.6889999999999999</v>
      </c>
      <c r="BJ355" s="5" t="n">
        <v>0.123</v>
      </c>
      <c r="BK355" s="5" t="n">
        <v>0</v>
      </c>
      <c r="BL355" s="5" t="n">
        <v>0.6889999999999999</v>
      </c>
      <c r="BM355" s="5" t="n">
        <v>0</v>
      </c>
      <c r="BN355" s="5" t="n">
        <v>1</v>
      </c>
      <c r="BO355" s="5" t="n">
        <v>0</v>
      </c>
      <c r="BP355" s="5" t="n">
        <v>0</v>
      </c>
      <c r="BQ355" s="5" t="n">
        <v>0.164</v>
      </c>
      <c r="BR355" s="5" t="n">
        <v>0</v>
      </c>
      <c r="BS355" s="5" t="n">
        <v>0.833</v>
      </c>
      <c r="BT355" s="5" t="n">
        <v>0</v>
      </c>
      <c r="BU355" s="5" t="n">
        <v>0</v>
      </c>
      <c r="BV355" s="5" t="n">
        <v>0.17</v>
      </c>
      <c r="BW355" s="5" t="n">
        <v>0</v>
      </c>
      <c r="BX355" s="5" t="n">
        <v>1</v>
      </c>
      <c r="BY355" s="5" t="n">
        <v>12.729</v>
      </c>
      <c r="BZ355" s="5" t="n">
        <v>0</v>
      </c>
      <c r="CA355" s="5" t="n">
        <v>12.729</v>
      </c>
      <c r="CB355" s="5" t="n">
        <v>0</v>
      </c>
      <c r="CC355" s="5" t="n">
        <v>102.477</v>
      </c>
      <c r="CD355" s="5" t="n">
        <v>7.95</v>
      </c>
      <c r="CE355" s="5" t="n">
        <v>0</v>
      </c>
      <c r="CF355" s="5" t="n">
        <v>102.477</v>
      </c>
      <c r="CG355" s="5" t="n">
        <v>0</v>
      </c>
      <c r="CH355" s="5" t="n">
        <v>1</v>
      </c>
      <c r="CI355" s="5" t="n">
        <v>0</v>
      </c>
      <c r="CJ355" s="5" t="n">
        <v>0</v>
      </c>
      <c r="CK355" s="5" t="n">
        <v>0</v>
      </c>
      <c r="CL355" s="5" t="n">
        <v>0</v>
      </c>
      <c r="CM355" s="5" t="n">
        <v>0</v>
      </c>
      <c r="CN355" s="5" t="n">
        <v>0</v>
      </c>
      <c r="CO355" s="5" t="n">
        <v>0</v>
      </c>
      <c r="CP355" s="5" t="n">
        <v>0</v>
      </c>
      <c r="CQ355" s="5" t="n">
        <v>1.294</v>
      </c>
      <c r="CR355" s="5" t="n">
        <v>0</v>
      </c>
      <c r="CS355" s="5" t="n">
        <v>5.158</v>
      </c>
      <c r="CT355" s="5" t="n">
        <v>7.554</v>
      </c>
      <c r="CU355" s="5" t="n">
        <v>11.574</v>
      </c>
    </row>
    <row r="356">
      <c r="A356" s="5" t="inlineStr">
        <is>
          <t>HKG2023</t>
        </is>
      </c>
      <c r="B356" s="5" t="inlineStr">
        <is>
          <t>HKG</t>
        </is>
      </c>
      <c r="C356" s="5" t="inlineStr">
        <is>
          <t>HKG</t>
        </is>
      </c>
      <c r="D356" s="5" t="inlineStr">
        <is>
          <t>Hong Kong SAR</t>
        </is>
      </c>
      <c r="E356" s="5" t="n">
        <v>2023</v>
      </c>
      <c r="F356" s="5" t="n">
        <v>0</v>
      </c>
      <c r="G356" s="5" t="n">
        <v>5.77</v>
      </c>
      <c r="H356" s="5" t="n">
        <v>1.286</v>
      </c>
      <c r="I356" s="5" t="n">
        <v>0</v>
      </c>
      <c r="J356" s="5" t="n">
        <v>5.77</v>
      </c>
      <c r="K356" s="5" t="n">
        <v>0</v>
      </c>
      <c r="L356" s="5" t="n">
        <v>1</v>
      </c>
      <c r="M356" s="5" t="n">
        <v>7.886</v>
      </c>
      <c r="N356" s="5" t="n">
        <v>3.857</v>
      </c>
      <c r="O356" s="5" t="n">
        <v>0</v>
      </c>
      <c r="P356" s="5" t="n">
        <v>7.886</v>
      </c>
      <c r="Q356" s="5" t="n">
        <v>0</v>
      </c>
      <c r="R356" s="5" t="n">
        <v>1</v>
      </c>
      <c r="S356" s="5" t="n">
        <v>12.198</v>
      </c>
      <c r="T356" s="5" t="n">
        <v>7.714</v>
      </c>
      <c r="U356" s="5" t="n">
        <v>0</v>
      </c>
      <c r="V356" s="5" t="n">
        <v>12.198</v>
      </c>
      <c r="W356" s="5" t="n">
        <v>0</v>
      </c>
      <c r="X356" s="5" t="n">
        <v>1</v>
      </c>
      <c r="Y356" s="5" t="n">
        <v>35.424</v>
      </c>
      <c r="Z356" s="5" t="n">
        <v>3.968</v>
      </c>
      <c r="AA356" s="5" t="n">
        <v>3.114</v>
      </c>
      <c r="AB356" s="5" t="n">
        <v>38.538</v>
      </c>
      <c r="AC356" s="5" t="n">
        <v>0</v>
      </c>
      <c r="AD356" s="5" t="n">
        <v>1</v>
      </c>
      <c r="AE356" s="5" t="n">
        <v>35.523</v>
      </c>
      <c r="AF356" s="5" t="n">
        <v>7.075</v>
      </c>
      <c r="AG356" s="5" t="n">
        <v>3.015</v>
      </c>
      <c r="AH356" s="5" t="n">
        <v>38.538</v>
      </c>
      <c r="AI356" s="5" t="n">
        <v>0</v>
      </c>
      <c r="AJ356" s="5" t="n">
        <v>1</v>
      </c>
      <c r="AK356" s="5" t="n">
        <v>40.666</v>
      </c>
      <c r="AL356" s="5" t="n">
        <v>20.145</v>
      </c>
      <c r="AM356" s="5" t="n">
        <v>-1.125</v>
      </c>
      <c r="AN356" s="5" t="n">
        <v>39.54</v>
      </c>
      <c r="AO356" s="5" t="n">
        <v>0</v>
      </c>
      <c r="AP356" s="5" t="n">
        <v>1</v>
      </c>
      <c r="AQ356" s="5" t="n">
        <v>0.749</v>
      </c>
      <c r="AR356" s="5" t="n">
        <v>0.129</v>
      </c>
      <c r="AS356" s="5" t="n">
        <v>2.268</v>
      </c>
      <c r="AT356" s="5" t="n">
        <v>3.016</v>
      </c>
      <c r="AU356" s="5" t="n">
        <v>0</v>
      </c>
      <c r="AV356" s="5" t="n">
        <v>1</v>
      </c>
      <c r="AW356" s="5" t="n">
        <v>0.783</v>
      </c>
      <c r="AX356" s="5" t="n">
        <v>0.129</v>
      </c>
      <c r="AY356" s="5" t="n">
        <v>1.983</v>
      </c>
      <c r="AZ356" s="5" t="n">
        <v>2.765</v>
      </c>
      <c r="BA356" s="5" t="n">
        <v>0</v>
      </c>
      <c r="BB356" s="5" t="n">
        <v>1</v>
      </c>
      <c r="BC356" s="5" t="n">
        <v>0.527</v>
      </c>
      <c r="BD356" s="5" t="n">
        <v>0.129</v>
      </c>
      <c r="BE356" s="5" t="n">
        <v>1.888</v>
      </c>
      <c r="BF356" s="5" t="n">
        <v>2.416</v>
      </c>
      <c r="BG356" s="5" t="n">
        <v>0</v>
      </c>
      <c r="BH356" s="5" t="n">
        <v>1</v>
      </c>
      <c r="BI356" s="5" t="n">
        <v>0.64</v>
      </c>
      <c r="BJ356" s="5" t="n">
        <v>0.129</v>
      </c>
      <c r="BK356" s="5" t="n">
        <v>0</v>
      </c>
      <c r="BL356" s="5" t="n">
        <v>0.64</v>
      </c>
      <c r="BM356" s="5" t="n">
        <v>0</v>
      </c>
      <c r="BN356" s="5" t="n">
        <v>1</v>
      </c>
      <c r="BO356" s="5" t="n">
        <v>0</v>
      </c>
      <c r="BP356" s="5" t="n">
        <v>0</v>
      </c>
      <c r="BQ356" s="5" t="n">
        <v>0.184</v>
      </c>
      <c r="BR356" s="5" t="n">
        <v>0</v>
      </c>
      <c r="BS356" s="5" t="n">
        <v>0.833</v>
      </c>
      <c r="BT356" s="5" t="n">
        <v>0</v>
      </c>
      <c r="BU356" s="5" t="n">
        <v>0</v>
      </c>
      <c r="BV356" s="5" t="n">
        <v>0.198</v>
      </c>
      <c r="BW356" s="5" t="n">
        <v>0</v>
      </c>
      <c r="BX356" s="5" t="n">
        <v>1</v>
      </c>
      <c r="BY356" s="5" t="n">
        <v>13.254</v>
      </c>
      <c r="BZ356" s="5" t="n">
        <v>0</v>
      </c>
      <c r="CA356" s="5" t="n">
        <v>13.254</v>
      </c>
      <c r="CB356" s="5" t="n">
        <v>0</v>
      </c>
      <c r="CC356" s="5" t="n">
        <v>87.07899999999999</v>
      </c>
      <c r="CD356" s="5" t="n">
        <v>7.95</v>
      </c>
      <c r="CE356" s="5" t="n">
        <v>0</v>
      </c>
      <c r="CF356" s="5" t="n">
        <v>87.07899999999999</v>
      </c>
      <c r="CG356" s="5" t="n">
        <v>0</v>
      </c>
      <c r="CH356" s="5" t="n">
        <v>1</v>
      </c>
      <c r="CI356" s="5" t="n">
        <v>0</v>
      </c>
      <c r="CJ356" s="5" t="n">
        <v>0</v>
      </c>
      <c r="CK356" s="5" t="n">
        <v>0</v>
      </c>
      <c r="CL356" s="5" t="n">
        <v>0</v>
      </c>
      <c r="CM356" s="5" t="n">
        <v>0</v>
      </c>
      <c r="CN356" s="5" t="n">
        <v>0</v>
      </c>
      <c r="CO356" s="5" t="n">
        <v>0</v>
      </c>
      <c r="CP356" s="5" t="n">
        <v>0</v>
      </c>
      <c r="CQ356" s="5" t="n">
        <v>1.348</v>
      </c>
      <c r="CR356" s="5" t="n">
        <v>0</v>
      </c>
      <c r="CS356" s="5" t="n">
        <v>4.68</v>
      </c>
      <c r="CT356" s="5" t="n">
        <v>4.484</v>
      </c>
      <c r="CU356" s="5" t="n">
        <v>4.68</v>
      </c>
    </row>
    <row r="357">
      <c r="A357" s="5" t="inlineStr">
        <is>
          <t>HKG2024</t>
        </is>
      </c>
      <c r="B357" s="5" t="inlineStr">
        <is>
          <t>HKG</t>
        </is>
      </c>
      <c r="C357" s="5" t="inlineStr">
        <is>
          <t>HKG</t>
        </is>
      </c>
      <c r="D357" s="5" t="inlineStr">
        <is>
          <t>Hong Kong SAR</t>
        </is>
      </c>
      <c r="E357" s="5" t="n">
        <v>2024</v>
      </c>
      <c r="F357" s="5" t="n">
        <v>0</v>
      </c>
      <c r="G357" s="5" t="n">
        <v>4.833</v>
      </c>
      <c r="H357" s="5" t="n">
        <v>1.324</v>
      </c>
      <c r="I357" s="5" t="n">
        <v>0</v>
      </c>
      <c r="J357" s="5" t="n">
        <v>4.833</v>
      </c>
      <c r="K357" s="5" t="n">
        <v>0</v>
      </c>
      <c r="L357" s="5" t="n">
        <v>1</v>
      </c>
      <c r="M357" s="5" t="n">
        <v>7.124</v>
      </c>
      <c r="N357" s="5" t="n">
        <v>3.971</v>
      </c>
      <c r="O357" s="5" t="n">
        <v>0</v>
      </c>
      <c r="P357" s="5" t="n">
        <v>7.124</v>
      </c>
      <c r="Q357" s="5" t="n">
        <v>0</v>
      </c>
      <c r="R357" s="5" t="n">
        <v>1</v>
      </c>
      <c r="S357" s="5" t="n">
        <v>11.451</v>
      </c>
      <c r="T357" s="5" t="n">
        <v>7.942</v>
      </c>
      <c r="U357" s="5" t="n">
        <v>0</v>
      </c>
      <c r="V357" s="5" t="n">
        <v>11.451</v>
      </c>
      <c r="W357" s="5" t="n">
        <v>0</v>
      </c>
      <c r="X357" s="5" t="n">
        <v>1</v>
      </c>
      <c r="Y357" s="5" t="n">
        <v>39.742</v>
      </c>
      <c r="Z357" s="5" t="n">
        <v>5.018</v>
      </c>
      <c r="AA357" s="5" t="n">
        <v>0</v>
      </c>
      <c r="AB357" s="5" t="n">
        <v>39.742</v>
      </c>
      <c r="AC357" s="5" t="n">
        <v>0</v>
      </c>
      <c r="AD357" s="5" t="n">
        <v>1</v>
      </c>
      <c r="AE357" s="5" t="n">
        <v>39.742</v>
      </c>
      <c r="AF357" s="5" t="n">
        <v>8.706</v>
      </c>
      <c r="AG357" s="5" t="n">
        <v>0</v>
      </c>
      <c r="AH357" s="5" t="n">
        <v>39.742</v>
      </c>
      <c r="AI357" s="5" t="n">
        <v>0</v>
      </c>
      <c r="AJ357" s="5" t="n">
        <v>1</v>
      </c>
      <c r="AK357" s="5" t="n">
        <v>44.582</v>
      </c>
      <c r="AL357" s="5" t="n">
        <v>22.676</v>
      </c>
      <c r="AM357" s="5" t="n">
        <v>-3.843</v>
      </c>
      <c r="AN357" s="5" t="n">
        <v>40.739</v>
      </c>
      <c r="AO357" s="5" t="n">
        <v>0</v>
      </c>
      <c r="AP357" s="5" t="n">
        <v>1</v>
      </c>
      <c r="AQ357" s="5" t="n">
        <v>0.72</v>
      </c>
      <c r="AR357" s="5" t="n">
        <v>0.132</v>
      </c>
      <c r="AS357" s="5" t="n">
        <v>2.506</v>
      </c>
      <c r="AT357" s="5" t="n">
        <v>3.226</v>
      </c>
      <c r="AU357" s="5" t="n">
        <v>0</v>
      </c>
      <c r="AV357" s="5" t="n">
        <v>1</v>
      </c>
      <c r="AW357" s="5" t="n">
        <v>0.734</v>
      </c>
      <c r="AX357" s="5" t="n">
        <v>0.132</v>
      </c>
      <c r="AY357" s="5" t="n">
        <v>2.349</v>
      </c>
      <c r="AZ357" s="5" t="n">
        <v>3.083</v>
      </c>
      <c r="BA357" s="5" t="n">
        <v>0</v>
      </c>
      <c r="BB357" s="5" t="n">
        <v>1</v>
      </c>
      <c r="BC357" s="5" t="n">
        <v>0.51</v>
      </c>
      <c r="BD357" s="5" t="n">
        <v>0.132</v>
      </c>
      <c r="BE357" s="5" t="n">
        <v>1.973</v>
      </c>
      <c r="BF357" s="5" t="n">
        <v>2.483</v>
      </c>
      <c r="BG357" s="5" t="n">
        <v>0</v>
      </c>
      <c r="BH357" s="5" t="n">
        <v>1</v>
      </c>
      <c r="BI357" s="5" t="n">
        <v>0.652</v>
      </c>
      <c r="BJ357" s="5" t="n">
        <v>0.132</v>
      </c>
      <c r="BK357" s="5" t="n">
        <v>0</v>
      </c>
      <c r="BL357" s="5" t="n">
        <v>0.652</v>
      </c>
      <c r="BM357" s="5" t="n">
        <v>0</v>
      </c>
      <c r="BN357" s="5" t="n">
        <v>1</v>
      </c>
      <c r="BO357" s="5" t="n">
        <v>0</v>
      </c>
      <c r="BP357" s="5" t="n">
        <v>0</v>
      </c>
      <c r="BQ357" s="5" t="n">
        <v>0.17</v>
      </c>
      <c r="BR357" s="5" t="n">
        <v>0</v>
      </c>
      <c r="BS357" s="5" t="n">
        <v>0.833</v>
      </c>
      <c r="BT357" s="5" t="n">
        <v>0</v>
      </c>
      <c r="BU357" s="5" t="n">
        <v>0</v>
      </c>
      <c r="BV357" s="5" t="n">
        <v>0.179</v>
      </c>
      <c r="BW357" s="5" t="n">
        <v>0</v>
      </c>
      <c r="BX357" s="5" t="n">
        <v>1</v>
      </c>
      <c r="BY357" s="5" t="n">
        <v>13.646</v>
      </c>
      <c r="BZ357" s="5" t="n">
        <v>0</v>
      </c>
      <c r="CA357" s="5" t="n">
        <v>13.646</v>
      </c>
      <c r="CB357" s="5" t="n">
        <v>0</v>
      </c>
      <c r="CC357" s="5" t="n">
        <v>86.38500000000001</v>
      </c>
      <c r="CD357" s="5" t="n">
        <v>7.95</v>
      </c>
      <c r="CE357" s="5" t="n">
        <v>0</v>
      </c>
      <c r="CF357" s="5" t="n">
        <v>86.38500000000001</v>
      </c>
      <c r="CG357" s="5" t="n">
        <v>0</v>
      </c>
      <c r="CH357" s="5" t="n">
        <v>1</v>
      </c>
      <c r="CI357" s="5" t="n">
        <v>0</v>
      </c>
      <c r="CJ357" s="5" t="n">
        <v>0</v>
      </c>
      <c r="CK357" s="5" t="n">
        <v>0</v>
      </c>
      <c r="CL357" s="5" t="n">
        <v>0</v>
      </c>
      <c r="CM357" s="5" t="n">
        <v>0</v>
      </c>
      <c r="CN357" s="5" t="n">
        <v>0</v>
      </c>
      <c r="CO357" s="5" t="n">
        <v>0</v>
      </c>
      <c r="CP357" s="5" t="n">
        <v>0</v>
      </c>
      <c r="CQ357" s="5" t="n">
        <v>1.387</v>
      </c>
      <c r="CR357" s="5" t="n">
        <v>0</v>
      </c>
      <c r="CS357" s="5" t="n">
        <v>4.07</v>
      </c>
      <c r="CT357" s="5" t="n">
        <v>3.509</v>
      </c>
      <c r="CU357" s="5" t="n">
        <v>4.07</v>
      </c>
    </row>
    <row r="358">
      <c r="A358" s="5" t="inlineStr">
        <is>
          <t>HUN2021</t>
        </is>
      </c>
      <c r="B358" s="5" t="inlineStr">
        <is>
          <t>HUN</t>
        </is>
      </c>
      <c r="C358" s="5" t="inlineStr">
        <is>
          <t>HUN</t>
        </is>
      </c>
      <c r="D358" s="5" t="inlineStr">
        <is>
          <t>Hungary</t>
        </is>
      </c>
      <c r="E358" s="5" t="n">
        <v>2021</v>
      </c>
      <c r="F358" s="5" t="n">
        <v>0.27</v>
      </c>
      <c r="G358" s="5" t="n">
        <v>4.784</v>
      </c>
      <c r="H358" s="5" t="n">
        <v>0.9320000000000001</v>
      </c>
      <c r="I358" s="5" t="n">
        <v>1.023</v>
      </c>
      <c r="J358" s="5" t="n">
        <v>5.807</v>
      </c>
      <c r="K358" s="5" t="n">
        <v>0</v>
      </c>
      <c r="L358" s="5" t="n">
        <v>1</v>
      </c>
      <c r="M358" s="5" t="n">
        <v>7.131</v>
      </c>
      <c r="N358" s="5" t="n">
        <v>2.796</v>
      </c>
      <c r="O358" s="5" t="n">
        <v>1.06</v>
      </c>
      <c r="P358" s="5" t="n">
        <v>8.192</v>
      </c>
      <c r="Q358" s="5" t="n">
        <v>0</v>
      </c>
      <c r="R358" s="5" t="n">
        <v>1</v>
      </c>
      <c r="S358" s="5" t="n">
        <v>5.602</v>
      </c>
      <c r="T358" s="5" t="n">
        <v>3.472</v>
      </c>
      <c r="U358" s="5" t="n">
        <v>0.036</v>
      </c>
      <c r="V358" s="5" t="n">
        <v>7.16</v>
      </c>
      <c r="W358" s="5" t="n">
        <v>0.27</v>
      </c>
      <c r="X358" s="5" t="n">
        <v>1</v>
      </c>
      <c r="Y358" s="5" t="n">
        <v>17.959</v>
      </c>
      <c r="Z358" s="5" t="n">
        <v>1.984</v>
      </c>
      <c r="AA358" s="5" t="n">
        <v>-6.131</v>
      </c>
      <c r="AB358" s="5" t="n">
        <v>11.828</v>
      </c>
      <c r="AC358" s="5" t="n">
        <v>0</v>
      </c>
      <c r="AD358" s="5" t="n">
        <v>1</v>
      </c>
      <c r="AE358" s="5" t="n">
        <v>17.915</v>
      </c>
      <c r="AF358" s="5" t="n">
        <v>3.525</v>
      </c>
      <c r="AG358" s="5" t="n">
        <v>-6.087</v>
      </c>
      <c r="AH358" s="5" t="n">
        <v>11.828</v>
      </c>
      <c r="AI358" s="5" t="n">
        <v>0</v>
      </c>
      <c r="AJ358" s="5" t="n">
        <v>1</v>
      </c>
      <c r="AK358" s="5" t="n">
        <v>20.226</v>
      </c>
      <c r="AL358" s="5" t="n">
        <v>9.927</v>
      </c>
      <c r="AM358" s="5" t="n">
        <v>-12.316</v>
      </c>
      <c r="AN358" s="5" t="n">
        <v>10.046</v>
      </c>
      <c r="AO358" s="5" t="n">
        <v>0</v>
      </c>
      <c r="AP358" s="5" t="n">
        <v>0</v>
      </c>
      <c r="AQ358" s="5" t="n">
        <v>0.619</v>
      </c>
      <c r="AR358" s="5" t="n">
        <v>0.114</v>
      </c>
      <c r="AS358" s="5" t="n">
        <v>0.526</v>
      </c>
      <c r="AT358" s="5" t="n">
        <v>1.455</v>
      </c>
      <c r="AU358" s="5" t="n">
        <v>0.27</v>
      </c>
      <c r="AV358" s="5" t="n">
        <v>1</v>
      </c>
      <c r="AW358" s="5" t="n">
        <v>0.599</v>
      </c>
      <c r="AX358" s="5" t="n">
        <v>0.114</v>
      </c>
      <c r="AY358" s="5" t="n">
        <v>0.5580000000000001</v>
      </c>
      <c r="AZ358" s="5" t="n">
        <v>1.47</v>
      </c>
      <c r="BA358" s="5" t="n">
        <v>0.27</v>
      </c>
      <c r="BB358" s="5" t="n">
        <v>1</v>
      </c>
      <c r="BC358" s="5" t="n">
        <v>0.439</v>
      </c>
      <c r="BD358" s="5" t="n">
        <v>0.114</v>
      </c>
      <c r="BE358" s="5" t="n">
        <v>0.284</v>
      </c>
      <c r="BF358" s="5" t="n">
        <v>0.919</v>
      </c>
      <c r="BG358" s="5" t="n">
        <v>0.27</v>
      </c>
      <c r="BH358" s="5" t="n">
        <v>1</v>
      </c>
      <c r="BI358" s="5" t="n">
        <v>0.505</v>
      </c>
      <c r="BJ358" s="5" t="n">
        <v>0.114</v>
      </c>
      <c r="BK358" s="5" t="n">
        <v>0.653</v>
      </c>
      <c r="BL358" s="5" t="n">
        <v>1.471</v>
      </c>
      <c r="BM358" s="5" t="n">
        <v>0.27</v>
      </c>
      <c r="BN358" s="5" t="n">
        <v>1</v>
      </c>
      <c r="BO358" s="5" t="n">
        <v>0</v>
      </c>
      <c r="BP358" s="5" t="n">
        <v>0.008</v>
      </c>
      <c r="BQ358" s="5" t="n">
        <v>0.098</v>
      </c>
      <c r="BR358" s="5" t="n">
        <v>0</v>
      </c>
      <c r="BS358" s="5" t="n">
        <v>0.833</v>
      </c>
      <c r="BT358" s="5" t="n">
        <v>0</v>
      </c>
      <c r="BU358" s="5" t="n">
        <v>0</v>
      </c>
      <c r="BV358" s="5" t="n">
        <v>0.119</v>
      </c>
      <c r="BW358" s="5" t="n">
        <v>0.27</v>
      </c>
      <c r="BX358" s="5" t="n">
        <v>1</v>
      </c>
      <c r="BY358" s="5" t="n">
        <v>11.787</v>
      </c>
      <c r="BZ358" s="5" t="n">
        <v>0</v>
      </c>
      <c r="CA358" s="5" t="n">
        <v>11.787</v>
      </c>
      <c r="CB358" s="5" t="n">
        <v>0</v>
      </c>
      <c r="CC358" s="5" t="n">
        <v>78.125</v>
      </c>
      <c r="CD358" s="5" t="n">
        <v>7.95</v>
      </c>
      <c r="CE358" s="5" t="n">
        <v>110.456</v>
      </c>
      <c r="CF358" s="5" t="n">
        <v>239.498</v>
      </c>
      <c r="CG358" s="5" t="n">
        <v>0.27</v>
      </c>
      <c r="CH358" s="5" t="n">
        <v>1</v>
      </c>
      <c r="CI358" s="5" t="n">
        <v>0</v>
      </c>
      <c r="CJ358" s="5" t="n">
        <v>0</v>
      </c>
      <c r="CK358" s="5" t="n">
        <v>0</v>
      </c>
      <c r="CL358" s="5" t="n">
        <v>0</v>
      </c>
      <c r="CM358" s="5" t="n">
        <v>0</v>
      </c>
      <c r="CN358" s="5" t="n">
        <v>0</v>
      </c>
      <c r="CO358" s="5" t="n">
        <v>0</v>
      </c>
      <c r="CP358" s="5" t="n">
        <v>0.37</v>
      </c>
      <c r="CQ358" s="5" t="n">
        <v>1.198</v>
      </c>
      <c r="CR358" s="5" t="n">
        <v>0</v>
      </c>
      <c r="CS358" s="5" t="n">
        <v>3.093</v>
      </c>
      <c r="CT358" s="5" t="n">
        <v>5.408</v>
      </c>
      <c r="CU358" s="5" t="n">
        <v>12.007</v>
      </c>
    </row>
    <row r="359">
      <c r="A359" s="5" t="inlineStr">
        <is>
          <t>HUN2022</t>
        </is>
      </c>
      <c r="B359" s="5" t="inlineStr">
        <is>
          <t>HUN</t>
        </is>
      </c>
      <c r="C359" s="5" t="inlineStr">
        <is>
          <t>HUN</t>
        </is>
      </c>
      <c r="D359" s="5" t="inlineStr">
        <is>
          <t>Hungary</t>
        </is>
      </c>
      <c r="E359" s="5" t="n">
        <v>2022</v>
      </c>
      <c r="F359" s="5" t="n">
        <v>0.27</v>
      </c>
      <c r="G359" s="5" t="n">
        <v>4.052</v>
      </c>
      <c r="H359" s="5" t="n">
        <v>0.928</v>
      </c>
      <c r="I359" s="5" t="n">
        <v>8.752000000000001</v>
      </c>
      <c r="J359" s="5" t="n">
        <v>12.804</v>
      </c>
      <c r="K359" s="5" t="n">
        <v>0</v>
      </c>
      <c r="L359" s="5" t="n">
        <v>1</v>
      </c>
      <c r="M359" s="5" t="n">
        <v>8.563000000000001</v>
      </c>
      <c r="N359" s="5" t="n">
        <v>2.785</v>
      </c>
      <c r="O359" s="5" t="n">
        <v>8.436999999999999</v>
      </c>
      <c r="P359" s="5" t="n">
        <v>17</v>
      </c>
      <c r="Q359" s="5" t="n">
        <v>0</v>
      </c>
      <c r="R359" s="5" t="n">
        <v>1</v>
      </c>
      <c r="S359" s="5" t="n">
        <v>5.701</v>
      </c>
      <c r="T359" s="5" t="n">
        <v>2.792</v>
      </c>
      <c r="U359" s="5" t="n">
        <v>0.038</v>
      </c>
      <c r="V359" s="5" t="n">
        <v>7.288</v>
      </c>
      <c r="W359" s="5" t="n">
        <v>0.27</v>
      </c>
      <c r="X359" s="5" t="n">
        <v>1</v>
      </c>
      <c r="Y359" s="5" t="n">
        <v>43.743</v>
      </c>
      <c r="Z359" s="5" t="n">
        <v>4.589</v>
      </c>
      <c r="AA359" s="5" t="n">
        <v>-7.658</v>
      </c>
      <c r="AB359" s="5" t="n">
        <v>36.085</v>
      </c>
      <c r="AC359" s="5" t="n">
        <v>0</v>
      </c>
      <c r="AD359" s="5" t="n">
        <v>1</v>
      </c>
      <c r="AE359" s="5" t="n">
        <v>43.791</v>
      </c>
      <c r="AF359" s="5" t="n">
        <v>8.118</v>
      </c>
      <c r="AG359" s="5" t="n">
        <v>-7.706</v>
      </c>
      <c r="AH359" s="5" t="n">
        <v>36.085</v>
      </c>
      <c r="AI359" s="5" t="n">
        <v>0</v>
      </c>
      <c r="AJ359" s="5" t="n">
        <v>1</v>
      </c>
      <c r="AK359" s="5" t="n">
        <v>46.65</v>
      </c>
      <c r="AL359" s="5" t="n">
        <v>22.277</v>
      </c>
      <c r="AM359" s="5" t="n">
        <v>-39.278</v>
      </c>
      <c r="AN359" s="5" t="n">
        <v>9.363</v>
      </c>
      <c r="AO359" s="5" t="n">
        <v>0</v>
      </c>
      <c r="AP359" s="5" t="n">
        <v>0</v>
      </c>
      <c r="AQ359" s="5" t="n">
        <v>0.861</v>
      </c>
      <c r="AR359" s="5" t="n">
        <v>0.123</v>
      </c>
      <c r="AS359" s="5" t="n">
        <v>0.251</v>
      </c>
      <c r="AT359" s="5" t="n">
        <v>1.412</v>
      </c>
      <c r="AU359" s="5" t="n">
        <v>0.27</v>
      </c>
      <c r="AV359" s="5" t="n">
        <v>1</v>
      </c>
      <c r="AW359" s="5" t="n">
        <v>0.986</v>
      </c>
      <c r="AX359" s="5" t="n">
        <v>0.123</v>
      </c>
      <c r="AY359" s="5" t="n">
        <v>0.265</v>
      </c>
      <c r="AZ359" s="5" t="n">
        <v>1.589</v>
      </c>
      <c r="BA359" s="5" t="n">
        <v>0.27</v>
      </c>
      <c r="BB359" s="5" t="n">
        <v>1</v>
      </c>
      <c r="BC359" s="5" t="n">
        <v>0.598</v>
      </c>
      <c r="BD359" s="5" t="n">
        <v>0.123</v>
      </c>
      <c r="BE359" s="5" t="n">
        <v>0.194</v>
      </c>
      <c r="BF359" s="5" t="n">
        <v>1.006</v>
      </c>
      <c r="BG359" s="5" t="n">
        <v>0.27</v>
      </c>
      <c r="BH359" s="5" t="n">
        <v>1</v>
      </c>
      <c r="BI359" s="5" t="n">
        <v>0.612</v>
      </c>
      <c r="BJ359" s="5" t="n">
        <v>0.123</v>
      </c>
      <c r="BK359" s="5" t="n">
        <v>0.613</v>
      </c>
      <c r="BL359" s="5" t="n">
        <v>1.556</v>
      </c>
      <c r="BM359" s="5" t="n">
        <v>0.27</v>
      </c>
      <c r="BN359" s="5" t="n">
        <v>1</v>
      </c>
      <c r="BO359" s="5" t="n">
        <v>0</v>
      </c>
      <c r="BP359" s="5" t="n">
        <v>-0.002</v>
      </c>
      <c r="BQ359" s="5" t="n">
        <v>0.223</v>
      </c>
      <c r="BR359" s="5" t="n">
        <v>0</v>
      </c>
      <c r="BS359" s="5" t="n">
        <v>0.833</v>
      </c>
      <c r="BT359" s="5" t="n">
        <v>0</v>
      </c>
      <c r="BU359" s="5" t="n">
        <v>0</v>
      </c>
      <c r="BV359" s="5" t="n">
        <v>0.107</v>
      </c>
      <c r="BW359" s="5" t="n">
        <v>0.27</v>
      </c>
      <c r="BX359" s="5" t="n">
        <v>1</v>
      </c>
      <c r="BY359" s="5" t="n">
        <v>12.729</v>
      </c>
      <c r="BZ359" s="5" t="n">
        <v>0</v>
      </c>
      <c r="CA359" s="5" t="n">
        <v>12.729</v>
      </c>
      <c r="CB359" s="5" t="n">
        <v>0</v>
      </c>
      <c r="CC359" s="5" t="n">
        <v>97.90000000000001</v>
      </c>
      <c r="CD359" s="5" t="n">
        <v>7.95</v>
      </c>
      <c r="CE359" s="5" t="n">
        <v>128.96</v>
      </c>
      <c r="CF359" s="5" t="n">
        <v>288.112</v>
      </c>
      <c r="CG359" s="5" t="n">
        <v>0.27</v>
      </c>
      <c r="CH359" s="5" t="n">
        <v>1</v>
      </c>
      <c r="CI359" s="5" t="n">
        <v>0</v>
      </c>
      <c r="CJ359" s="5" t="n">
        <v>0</v>
      </c>
      <c r="CK359" s="5" t="n">
        <v>0</v>
      </c>
      <c r="CL359" s="5" t="n">
        <v>0</v>
      </c>
      <c r="CM359" s="5" t="n">
        <v>0</v>
      </c>
      <c r="CN359" s="5" t="n">
        <v>0</v>
      </c>
      <c r="CO359" s="5" t="n">
        <v>0</v>
      </c>
      <c r="CP359" s="5" t="n">
        <v>0.496</v>
      </c>
      <c r="CQ359" s="5" t="n">
        <v>1.294</v>
      </c>
      <c r="CR359" s="5" t="n">
        <v>0</v>
      </c>
      <c r="CS359" s="5" t="n">
        <v>3.34</v>
      </c>
      <c r="CT359" s="5" t="n">
        <v>4.925</v>
      </c>
      <c r="CU359" s="5" t="n">
        <v>37.7</v>
      </c>
    </row>
    <row r="360">
      <c r="A360" s="5" t="inlineStr">
        <is>
          <t>HUN2023</t>
        </is>
      </c>
      <c r="B360" s="5" t="inlineStr">
        <is>
          <t>HUN</t>
        </is>
      </c>
      <c r="C360" s="5" t="inlineStr">
        <is>
          <t>HUN</t>
        </is>
      </c>
      <c r="D360" s="5" t="inlineStr">
        <is>
          <t>Hungary</t>
        </is>
      </c>
      <c r="E360" s="5" t="n">
        <v>2023</v>
      </c>
      <c r="F360" s="5" t="n">
        <v>0.27</v>
      </c>
      <c r="G360" s="5" t="n">
        <v>2.574</v>
      </c>
      <c r="H360" s="5" t="n">
        <v>0.868</v>
      </c>
      <c r="I360" s="5" t="n">
        <v>10.142</v>
      </c>
      <c r="J360" s="5" t="n">
        <v>12.717</v>
      </c>
      <c r="K360" s="5" t="n">
        <v>0</v>
      </c>
      <c r="L360" s="5" t="n">
        <v>1</v>
      </c>
      <c r="M360" s="5" t="n">
        <v>5.996</v>
      </c>
      <c r="N360" s="5" t="n">
        <v>2.605</v>
      </c>
      <c r="O360" s="5" t="n">
        <v>9.769</v>
      </c>
      <c r="P360" s="5" t="n">
        <v>15.765</v>
      </c>
      <c r="Q360" s="5" t="n">
        <v>0</v>
      </c>
      <c r="R360" s="5" t="n">
        <v>1</v>
      </c>
      <c r="S360" s="5" t="n">
        <v>7.537</v>
      </c>
      <c r="T360" s="5" t="n">
        <v>4.727</v>
      </c>
      <c r="U360" s="5" t="n">
        <v>0.04</v>
      </c>
      <c r="V360" s="5" t="n">
        <v>9.622</v>
      </c>
      <c r="W360" s="5" t="n">
        <v>0.27</v>
      </c>
      <c r="X360" s="5" t="n">
        <v>1</v>
      </c>
      <c r="Y360" s="5" t="n">
        <v>19.798</v>
      </c>
      <c r="Z360" s="5" t="n">
        <v>2.218</v>
      </c>
      <c r="AA360" s="5" t="n">
        <v>13.859</v>
      </c>
      <c r="AB360" s="5" t="n">
        <v>33.657</v>
      </c>
      <c r="AC360" s="5" t="n">
        <v>0</v>
      </c>
      <c r="AD360" s="5" t="n">
        <v>1</v>
      </c>
      <c r="AE360" s="5" t="n">
        <v>19.896</v>
      </c>
      <c r="AF360" s="5" t="n">
        <v>3.963</v>
      </c>
      <c r="AG360" s="5" t="n">
        <v>13.76</v>
      </c>
      <c r="AH360" s="5" t="n">
        <v>33.657</v>
      </c>
      <c r="AI360" s="5" t="n">
        <v>0</v>
      </c>
      <c r="AJ360" s="5" t="n">
        <v>1</v>
      </c>
      <c r="AK360" s="5" t="n">
        <v>23.062</v>
      </c>
      <c r="AL360" s="5" t="n">
        <v>11.424</v>
      </c>
      <c r="AM360" s="5" t="n">
        <v>-15.123</v>
      </c>
      <c r="AN360" s="5" t="n">
        <v>10.082</v>
      </c>
      <c r="AO360" s="5" t="n">
        <v>0</v>
      </c>
      <c r="AP360" s="5" t="n">
        <v>0</v>
      </c>
      <c r="AQ360" s="5" t="n">
        <v>0.76</v>
      </c>
      <c r="AR360" s="5" t="n">
        <v>0.129</v>
      </c>
      <c r="AS360" s="5" t="n">
        <v>0.589</v>
      </c>
      <c r="AT360" s="5" t="n">
        <v>1.713</v>
      </c>
      <c r="AU360" s="5" t="n">
        <v>0.27</v>
      </c>
      <c r="AV360" s="5" t="n">
        <v>1</v>
      </c>
      <c r="AW360" s="5" t="n">
        <v>0.8110000000000001</v>
      </c>
      <c r="AX360" s="5" t="n">
        <v>0.129</v>
      </c>
      <c r="AY360" s="5" t="n">
        <v>0.569</v>
      </c>
      <c r="AZ360" s="5" t="n">
        <v>1.754</v>
      </c>
      <c r="BA360" s="5" t="n">
        <v>0.27</v>
      </c>
      <c r="BB360" s="5" t="n">
        <v>1</v>
      </c>
      <c r="BC360" s="5" t="n">
        <v>0.535</v>
      </c>
      <c r="BD360" s="5" t="n">
        <v>0.129</v>
      </c>
      <c r="BE360" s="5" t="n">
        <v>0.208</v>
      </c>
      <c r="BF360" s="5" t="n">
        <v>0.9429999999999999</v>
      </c>
      <c r="BG360" s="5" t="n">
        <v>0.27</v>
      </c>
      <c r="BH360" s="5" t="n">
        <v>1</v>
      </c>
      <c r="BI360" s="5" t="n">
        <v>0.579</v>
      </c>
      <c r="BJ360" s="5" t="n">
        <v>0.129</v>
      </c>
      <c r="BK360" s="5" t="n">
        <v>0.8</v>
      </c>
      <c r="BL360" s="5" t="n">
        <v>1.752</v>
      </c>
      <c r="BM360" s="5" t="n">
        <v>0.27</v>
      </c>
      <c r="BN360" s="5" t="n">
        <v>1</v>
      </c>
      <c r="BO360" s="5" t="n">
        <v>0</v>
      </c>
      <c r="BP360" s="5" t="n">
        <v>0.008999999999999999</v>
      </c>
      <c r="BQ360" s="5" t="n">
        <v>0.262</v>
      </c>
      <c r="BR360" s="5" t="n">
        <v>0</v>
      </c>
      <c r="BS360" s="5" t="n">
        <v>0.833</v>
      </c>
      <c r="BT360" s="5" t="n">
        <v>0</v>
      </c>
      <c r="BU360" s="5" t="n">
        <v>0</v>
      </c>
      <c r="BV360" s="5" t="n">
        <v>0.124</v>
      </c>
      <c r="BW360" s="5" t="n">
        <v>0.27</v>
      </c>
      <c r="BX360" s="5" t="n">
        <v>1</v>
      </c>
      <c r="BY360" s="5" t="n">
        <v>13.254</v>
      </c>
      <c r="BZ360" s="5" t="n">
        <v>0</v>
      </c>
      <c r="CA360" s="5" t="n">
        <v>13.254</v>
      </c>
      <c r="CB360" s="5" t="n">
        <v>0</v>
      </c>
      <c r="CC360" s="5" t="n">
        <v>83.248</v>
      </c>
      <c r="CD360" s="5" t="n">
        <v>7.95</v>
      </c>
      <c r="CE360" s="5" t="n">
        <v>172.959</v>
      </c>
      <c r="CF360" s="5" t="n">
        <v>325.383</v>
      </c>
      <c r="CG360" s="5" t="n">
        <v>0.27</v>
      </c>
      <c r="CH360" s="5" t="n">
        <v>1</v>
      </c>
      <c r="CI360" s="5" t="n">
        <v>0</v>
      </c>
      <c r="CJ360" s="5" t="n">
        <v>0</v>
      </c>
      <c r="CK360" s="5" t="n">
        <v>0</v>
      </c>
      <c r="CL360" s="5" t="n">
        <v>0</v>
      </c>
      <c r="CM360" s="5" t="n">
        <v>0</v>
      </c>
      <c r="CN360" s="5" t="n">
        <v>0</v>
      </c>
      <c r="CO360" s="5" t="n">
        <v>0</v>
      </c>
      <c r="CP360" s="5" t="n">
        <v>0.649</v>
      </c>
      <c r="CQ360" s="5" t="n">
        <v>1.348</v>
      </c>
      <c r="CR360" s="5" t="n">
        <v>0</v>
      </c>
      <c r="CS360" s="5" t="n">
        <v>3.478</v>
      </c>
      <c r="CT360" s="5" t="n">
        <v>2.37</v>
      </c>
      <c r="CU360" s="5" t="n">
        <v>13.704</v>
      </c>
    </row>
    <row r="361">
      <c r="A361" s="5" t="inlineStr">
        <is>
          <t>HUN2024</t>
        </is>
      </c>
      <c r="B361" s="5" t="inlineStr">
        <is>
          <t>HUN</t>
        </is>
      </c>
      <c r="C361" s="5" t="inlineStr">
        <is>
          <t>HUN</t>
        </is>
      </c>
      <c r="D361" s="5" t="inlineStr">
        <is>
          <t>Hungary</t>
        </is>
      </c>
      <c r="E361" s="5" t="n">
        <v>2024</v>
      </c>
      <c r="F361" s="5" t="n">
        <v>0.27</v>
      </c>
      <c r="G361" s="5" t="n">
        <v>2.445</v>
      </c>
      <c r="H361" s="5" t="n">
        <v>0.894</v>
      </c>
      <c r="I361" s="5" t="n">
        <v>9.936</v>
      </c>
      <c r="J361" s="5" t="n">
        <v>12.382</v>
      </c>
      <c r="K361" s="5" t="n">
        <v>0</v>
      </c>
      <c r="L361" s="5" t="n">
        <v>1</v>
      </c>
      <c r="M361" s="5" t="n">
        <v>6.327</v>
      </c>
      <c r="N361" s="5" t="n">
        <v>2.682</v>
      </c>
      <c r="O361" s="5" t="n">
        <v>6.436</v>
      </c>
      <c r="P361" s="5" t="n">
        <v>12.763</v>
      </c>
      <c r="Q361" s="5" t="n">
        <v>0</v>
      </c>
      <c r="R361" s="5" t="n">
        <v>1</v>
      </c>
      <c r="S361" s="5" t="n">
        <v>3.262</v>
      </c>
      <c r="T361" s="5" t="n">
        <v>2.16</v>
      </c>
      <c r="U361" s="5" t="n">
        <v>4.042</v>
      </c>
      <c r="V361" s="5" t="n">
        <v>9.276999999999999</v>
      </c>
      <c r="W361" s="5" t="n">
        <v>0.27</v>
      </c>
      <c r="X361" s="5" t="n">
        <v>1</v>
      </c>
      <c r="Y361" s="5" t="n">
        <v>17.328</v>
      </c>
      <c r="Z361" s="5" t="n">
        <v>2.188</v>
      </c>
      <c r="AA361" s="5" t="n">
        <v>4.862</v>
      </c>
      <c r="AB361" s="5" t="n">
        <v>22.19</v>
      </c>
      <c r="AC361" s="5" t="n">
        <v>0</v>
      </c>
      <c r="AD361" s="5" t="n">
        <v>1</v>
      </c>
      <c r="AE361" s="5" t="n">
        <v>17.328</v>
      </c>
      <c r="AF361" s="5" t="n">
        <v>3.796</v>
      </c>
      <c r="AG361" s="5" t="n">
        <v>4.862</v>
      </c>
      <c r="AH361" s="5" t="n">
        <v>22.19</v>
      </c>
      <c r="AI361" s="5" t="n">
        <v>0</v>
      </c>
      <c r="AJ361" s="5" t="n">
        <v>1</v>
      </c>
      <c r="AK361" s="5" t="n">
        <v>17.328</v>
      </c>
      <c r="AL361" s="5" t="n">
        <v>8.813000000000001</v>
      </c>
      <c r="AM361" s="5" t="n">
        <v>-10.343</v>
      </c>
      <c r="AN361" s="5" t="n">
        <v>8.871</v>
      </c>
      <c r="AO361" s="5" t="n">
        <v>0</v>
      </c>
      <c r="AP361" s="5" t="n">
        <v>0</v>
      </c>
      <c r="AQ361" s="5" t="n">
        <v>0.724</v>
      </c>
      <c r="AR361" s="5" t="n">
        <v>0.132</v>
      </c>
      <c r="AS361" s="5" t="n">
        <v>0.596</v>
      </c>
      <c r="AT361" s="5" t="n">
        <v>1.677</v>
      </c>
      <c r="AU361" s="5" t="n">
        <v>0.27</v>
      </c>
      <c r="AV361" s="5" t="n">
        <v>1</v>
      </c>
      <c r="AW361" s="5" t="n">
        <v>0.75</v>
      </c>
      <c r="AX361" s="5" t="n">
        <v>0.132</v>
      </c>
      <c r="AY361" s="5" t="n">
        <v>0.6</v>
      </c>
      <c r="AZ361" s="5" t="n">
        <v>1.714</v>
      </c>
      <c r="BA361" s="5" t="n">
        <v>0.27</v>
      </c>
      <c r="BB361" s="5" t="n">
        <v>1</v>
      </c>
      <c r="BC361" s="5" t="n">
        <v>0.513</v>
      </c>
      <c r="BD361" s="5" t="n">
        <v>0.132</v>
      </c>
      <c r="BE361" s="5" t="n">
        <v>0.243</v>
      </c>
      <c r="BF361" s="5" t="n">
        <v>0.96</v>
      </c>
      <c r="BG361" s="5" t="n">
        <v>0.27</v>
      </c>
      <c r="BH361" s="5" t="n">
        <v>1</v>
      </c>
      <c r="BI361" s="5" t="n">
        <v>0.591</v>
      </c>
      <c r="BJ361" s="5" t="n">
        <v>0.132</v>
      </c>
      <c r="BK361" s="5" t="n">
        <v>0.674</v>
      </c>
      <c r="BL361" s="5" t="n">
        <v>1.607</v>
      </c>
      <c r="BM361" s="5" t="n">
        <v>0.27</v>
      </c>
      <c r="BN361" s="5" t="n">
        <v>1</v>
      </c>
      <c r="BO361" s="5" t="n">
        <v>0</v>
      </c>
      <c r="BP361" s="5" t="n">
        <v>0.02</v>
      </c>
      <c r="BQ361" s="5" t="n">
        <v>0.193</v>
      </c>
      <c r="BR361" s="5" t="n">
        <v>0</v>
      </c>
      <c r="BS361" s="5" t="n">
        <v>0.833</v>
      </c>
      <c r="BT361" s="5" t="n">
        <v>0</v>
      </c>
      <c r="BU361" s="5" t="n">
        <v>0</v>
      </c>
      <c r="BV361" s="5" t="n">
        <v>0.115</v>
      </c>
      <c r="BW361" s="5" t="n">
        <v>0.27</v>
      </c>
      <c r="BX361" s="5" t="n">
        <v>1</v>
      </c>
      <c r="BY361" s="5" t="n">
        <v>13.646</v>
      </c>
      <c r="BZ361" s="5" t="n">
        <v>0</v>
      </c>
      <c r="CA361" s="5" t="n">
        <v>13.646</v>
      </c>
      <c r="CB361" s="5" t="n">
        <v>0</v>
      </c>
      <c r="CC361" s="5" t="n">
        <v>82.58799999999999</v>
      </c>
      <c r="CD361" s="5" t="n">
        <v>7.95</v>
      </c>
      <c r="CE361" s="5" t="n">
        <v>154.404</v>
      </c>
      <c r="CF361" s="5" t="n">
        <v>300.979</v>
      </c>
      <c r="CG361" s="5" t="n">
        <v>0.27</v>
      </c>
      <c r="CH361" s="5" t="n">
        <v>1</v>
      </c>
      <c r="CI361" s="5" t="n">
        <v>0</v>
      </c>
      <c r="CJ361" s="5" t="n">
        <v>0</v>
      </c>
      <c r="CK361" s="5" t="n">
        <v>0</v>
      </c>
      <c r="CL361" s="5" t="n">
        <v>0</v>
      </c>
      <c r="CM361" s="5" t="n">
        <v>0</v>
      </c>
      <c r="CN361" s="5" t="n">
        <v>0</v>
      </c>
      <c r="CO361" s="5" t="n">
        <v>0</v>
      </c>
      <c r="CP361" s="5" t="n">
        <v>0.649</v>
      </c>
      <c r="CQ361" s="5" t="n">
        <v>1.387</v>
      </c>
      <c r="CR361" s="5" t="n">
        <v>0</v>
      </c>
      <c r="CS361" s="5" t="n">
        <v>3.581</v>
      </c>
      <c r="CT361" s="5" t="n">
        <v>1.854</v>
      </c>
      <c r="CU361" s="5" t="n">
        <v>9.872999999999999</v>
      </c>
    </row>
    <row r="362">
      <c r="A362" s="5" t="inlineStr">
        <is>
          <t>ISL2021</t>
        </is>
      </c>
      <c r="B362" s="5" t="inlineStr">
        <is>
          <t>ISL</t>
        </is>
      </c>
      <c r="C362" s="5" t="inlineStr">
        <is>
          <t>ISL</t>
        </is>
      </c>
      <c r="D362" s="5" t="inlineStr">
        <is>
          <t>Iceland</t>
        </is>
      </c>
      <c r="E362" s="5" t="n">
        <v>2021</v>
      </c>
      <c r="F362" s="5" t="n">
        <v>0.24</v>
      </c>
      <c r="G362" s="5" t="n">
        <v>6.008</v>
      </c>
      <c r="H362" s="5" t="n">
        <v>1.143</v>
      </c>
      <c r="I362" s="5" t="n">
        <v>2.593</v>
      </c>
      <c r="J362" s="5" t="n">
        <v>8.601000000000001</v>
      </c>
      <c r="K362" s="5" t="n">
        <v>0</v>
      </c>
      <c r="L362" s="5" t="n">
        <v>1</v>
      </c>
      <c r="M362" s="5" t="n">
        <v>7.964</v>
      </c>
      <c r="N362" s="5" t="n">
        <v>3.43</v>
      </c>
      <c r="O362" s="5" t="n">
        <v>2.547</v>
      </c>
      <c r="P362" s="5" t="n">
        <v>10.512</v>
      </c>
      <c r="Q362" s="5" t="n">
        <v>0</v>
      </c>
      <c r="R362" s="5" t="n">
        <v>1</v>
      </c>
      <c r="S362" s="5" t="n">
        <v>11.725</v>
      </c>
      <c r="T362" s="5" t="n">
        <v>6.86</v>
      </c>
      <c r="U362" s="5" t="n">
        <v>0</v>
      </c>
      <c r="V362" s="5" t="n">
        <v>14.539</v>
      </c>
      <c r="W362" s="5" t="n">
        <v>0.24</v>
      </c>
      <c r="X362" s="5" t="n">
        <v>1</v>
      </c>
      <c r="Y362" s="5" t="n">
        <v>13.336</v>
      </c>
      <c r="Z362" s="5" t="n">
        <v>1.946</v>
      </c>
      <c r="AA362" s="5" t="n">
        <v>1.968</v>
      </c>
      <c r="AB362" s="5" t="n">
        <v>15.304</v>
      </c>
      <c r="AC362" s="5" t="n">
        <v>0</v>
      </c>
      <c r="AD362" s="5" t="n">
        <v>1</v>
      </c>
      <c r="AE362" s="5" t="n">
        <v>14.48</v>
      </c>
      <c r="AF362" s="5" t="n">
        <v>3.623</v>
      </c>
      <c r="AG362" s="5" t="n">
        <v>1.969</v>
      </c>
      <c r="AH362" s="5" t="n">
        <v>16.448</v>
      </c>
      <c r="AI362" s="5" t="n">
        <v>0</v>
      </c>
      <c r="AJ362" s="5" t="n">
        <v>1</v>
      </c>
      <c r="AK362" s="5" t="n">
        <v>21.34</v>
      </c>
      <c r="AL362" s="5" t="n">
        <v>11.853</v>
      </c>
      <c r="AM362" s="5" t="n">
        <v>0.624</v>
      </c>
      <c r="AN362" s="5" t="n">
        <v>27.235</v>
      </c>
      <c r="AO362" s="5" t="n">
        <v>0.24</v>
      </c>
      <c r="AP362" s="5" t="n">
        <v>1</v>
      </c>
      <c r="AQ362" s="5" t="n">
        <v>0.619</v>
      </c>
      <c r="AR362" s="5" t="n">
        <v>0.114</v>
      </c>
      <c r="AS362" s="5" t="n">
        <v>0.9360000000000001</v>
      </c>
      <c r="AT362" s="5" t="n">
        <v>1.928</v>
      </c>
      <c r="AU362" s="5" t="n">
        <v>0.24</v>
      </c>
      <c r="AV362" s="5" t="n">
        <v>1</v>
      </c>
      <c r="AW362" s="5" t="n">
        <v>0.599</v>
      </c>
      <c r="AX362" s="5" t="n">
        <v>0.114</v>
      </c>
      <c r="AY362" s="5" t="n">
        <v>0.865</v>
      </c>
      <c r="AZ362" s="5" t="n">
        <v>1.816</v>
      </c>
      <c r="BA362" s="5" t="n">
        <v>0.24</v>
      </c>
      <c r="BB362" s="5" t="n">
        <v>1</v>
      </c>
      <c r="BC362" s="5" t="n">
        <v>0.439</v>
      </c>
      <c r="BD362" s="5" t="n">
        <v>0.114</v>
      </c>
      <c r="BE362" s="5" t="n">
        <v>0.019</v>
      </c>
      <c r="BF362" s="5" t="n">
        <v>0.5669999999999999</v>
      </c>
      <c r="BG362" s="5" t="n">
        <v>0.24</v>
      </c>
      <c r="BH362" s="5" t="n">
        <v>1</v>
      </c>
      <c r="BI362" s="5" t="n">
        <v>0.505</v>
      </c>
      <c r="BJ362" s="5" t="n">
        <v>0.114</v>
      </c>
      <c r="BK362" s="5" t="n">
        <v>0.453</v>
      </c>
      <c r="BL362" s="5" t="n">
        <v>1.188</v>
      </c>
      <c r="BM362" s="5" t="n">
        <v>0.24</v>
      </c>
      <c r="BN362" s="5" t="n">
        <v>1</v>
      </c>
      <c r="BO362" s="5" t="n">
        <v>0</v>
      </c>
      <c r="BP362" s="5" t="n">
        <v>0.004</v>
      </c>
      <c r="BQ362" s="5" t="n">
        <v>0.057</v>
      </c>
      <c r="BR362" s="5" t="n">
        <v>0</v>
      </c>
      <c r="BS362" s="5" t="n">
        <v>1</v>
      </c>
      <c r="BT362" s="5" t="n">
        <v>0</v>
      </c>
      <c r="BU362" s="5" t="n">
        <v>0.003</v>
      </c>
      <c r="BV362" s="5" t="n">
        <v>0.162</v>
      </c>
      <c r="BW362" s="5" t="n">
        <v>0.24</v>
      </c>
      <c r="BX362" s="5" t="n">
        <v>0.833</v>
      </c>
      <c r="BY362" s="5" t="n">
        <v>11.787</v>
      </c>
      <c r="BZ362" s="5" t="n">
        <v>0</v>
      </c>
      <c r="CA362" s="5" t="n">
        <v>11.787</v>
      </c>
      <c r="CB362" s="5" t="n">
        <v>0</v>
      </c>
      <c r="CC362" s="5" t="n">
        <v>78.125</v>
      </c>
      <c r="CD362" s="5" t="n">
        <v>7.95</v>
      </c>
      <c r="CE362" s="5" t="n">
        <v>77.274</v>
      </c>
      <c r="CF362" s="5" t="n">
        <v>192.695</v>
      </c>
      <c r="CG362" s="5" t="n">
        <v>0.24</v>
      </c>
      <c r="CH362" s="5" t="n">
        <v>1</v>
      </c>
      <c r="CI362" s="5" t="n">
        <v>0</v>
      </c>
      <c r="CJ362" s="5" t="n">
        <v>0</v>
      </c>
      <c r="CK362" s="5" t="n">
        <v>0</v>
      </c>
      <c r="CL362" s="5" t="n">
        <v>0</v>
      </c>
      <c r="CM362" s="5" t="n">
        <v>0</v>
      </c>
      <c r="CN362" s="5" t="n">
        <v>0</v>
      </c>
      <c r="CO362" s="5" t="n">
        <v>0</v>
      </c>
      <c r="CP362" s="5" t="n">
        <v>0</v>
      </c>
      <c r="CQ362" s="5" t="n">
        <v>1.198</v>
      </c>
      <c r="CR362" s="5" t="n">
        <v>0</v>
      </c>
      <c r="CS362" s="5" t="n">
        <v>4.776</v>
      </c>
      <c r="CT362" s="5" t="n">
        <v>4.865</v>
      </c>
      <c r="CU362" s="5" t="n">
        <v>15.658</v>
      </c>
    </row>
    <row r="363">
      <c r="A363" s="5" t="inlineStr">
        <is>
          <t>ISL2022</t>
        </is>
      </c>
      <c r="B363" s="5" t="inlineStr">
        <is>
          <t>ISL</t>
        </is>
      </c>
      <c r="C363" s="5" t="inlineStr">
        <is>
          <t>ISL</t>
        </is>
      </c>
      <c r="D363" s="5" t="inlineStr">
        <is>
          <t>Iceland</t>
        </is>
      </c>
      <c r="E363" s="5" t="n">
        <v>2022</v>
      </c>
      <c r="F363" s="5" t="n">
        <v>0.24</v>
      </c>
      <c r="G363" s="5" t="n">
        <v>12.793</v>
      </c>
      <c r="H363" s="5" t="n">
        <v>1.235</v>
      </c>
      <c r="I363" s="5" t="n">
        <v>8.414</v>
      </c>
      <c r="J363" s="5" t="n">
        <v>21.207</v>
      </c>
      <c r="K363" s="5" t="n">
        <v>0</v>
      </c>
      <c r="L363" s="5" t="n">
        <v>1</v>
      </c>
      <c r="M363" s="5" t="n">
        <v>9.782999999999999</v>
      </c>
      <c r="N363" s="5" t="n">
        <v>3.704</v>
      </c>
      <c r="O363" s="5" t="n">
        <v>8.266</v>
      </c>
      <c r="P363" s="5" t="n">
        <v>18.049</v>
      </c>
      <c r="Q363" s="5" t="n">
        <v>0</v>
      </c>
      <c r="R363" s="5" t="n">
        <v>1</v>
      </c>
      <c r="S363" s="5" t="n">
        <v>18.967</v>
      </c>
      <c r="T363" s="5" t="n">
        <v>7.408</v>
      </c>
      <c r="U363" s="5" t="n">
        <v>0.337</v>
      </c>
      <c r="V363" s="5" t="n">
        <v>23.519</v>
      </c>
      <c r="W363" s="5" t="n">
        <v>0.24</v>
      </c>
      <c r="X363" s="5" t="n">
        <v>1</v>
      </c>
      <c r="Y363" s="5" t="n">
        <v>12.446</v>
      </c>
      <c r="Z363" s="5" t="n">
        <v>1.816</v>
      </c>
      <c r="AA363" s="5" t="n">
        <v>6.829</v>
      </c>
      <c r="AB363" s="5" t="n">
        <v>19.275</v>
      </c>
      <c r="AC363" s="5" t="n">
        <v>0</v>
      </c>
      <c r="AD363" s="5" t="n">
        <v>1</v>
      </c>
      <c r="AE363" s="5" t="n">
        <v>13.68</v>
      </c>
      <c r="AF363" s="5" t="n">
        <v>3.423</v>
      </c>
      <c r="AG363" s="5" t="n">
        <v>6.831</v>
      </c>
      <c r="AH363" s="5" t="n">
        <v>20.511</v>
      </c>
      <c r="AI363" s="5" t="n">
        <v>0</v>
      </c>
      <c r="AJ363" s="5" t="n">
        <v>1</v>
      </c>
      <c r="AK363" s="5" t="n">
        <v>21.089</v>
      </c>
      <c r="AL363" s="5" t="n">
        <v>11.713</v>
      </c>
      <c r="AM363" s="5" t="n">
        <v>2.41</v>
      </c>
      <c r="AN363" s="5" t="n">
        <v>28.63</v>
      </c>
      <c r="AO363" s="5" t="n">
        <v>0.24</v>
      </c>
      <c r="AP363" s="5" t="n">
        <v>1</v>
      </c>
      <c r="AQ363" s="5" t="n">
        <v>0.861</v>
      </c>
      <c r="AR363" s="5" t="n">
        <v>0.123</v>
      </c>
      <c r="AS363" s="5" t="n">
        <v>0.993</v>
      </c>
      <c r="AT363" s="5" t="n">
        <v>2.299</v>
      </c>
      <c r="AU363" s="5" t="n">
        <v>0.24</v>
      </c>
      <c r="AV363" s="5" t="n">
        <v>1</v>
      </c>
      <c r="AW363" s="5" t="n">
        <v>0.986</v>
      </c>
      <c r="AX363" s="5" t="n">
        <v>0.123</v>
      </c>
      <c r="AY363" s="5" t="n">
        <v>0.852</v>
      </c>
      <c r="AZ363" s="5" t="n">
        <v>2.279</v>
      </c>
      <c r="BA363" s="5" t="n">
        <v>0.24</v>
      </c>
      <c r="BB363" s="5" t="n">
        <v>1</v>
      </c>
      <c r="BC363" s="5" t="n">
        <v>0.598</v>
      </c>
      <c r="BD363" s="5" t="n">
        <v>0.123</v>
      </c>
      <c r="BE363" s="5" t="n">
        <v>0.07099999999999999</v>
      </c>
      <c r="BF363" s="5" t="n">
        <v>0.8139999999999999</v>
      </c>
      <c r="BG363" s="5" t="n">
        <v>0.24</v>
      </c>
      <c r="BH363" s="5" t="n">
        <v>1</v>
      </c>
      <c r="BI363" s="5" t="n">
        <v>0.612</v>
      </c>
      <c r="BJ363" s="5" t="n">
        <v>0.123</v>
      </c>
      <c r="BK363" s="5" t="n">
        <v>0.301</v>
      </c>
      <c r="BL363" s="5" t="n">
        <v>1.132</v>
      </c>
      <c r="BM363" s="5" t="n">
        <v>0.24</v>
      </c>
      <c r="BN363" s="5" t="n">
        <v>1</v>
      </c>
      <c r="BO363" s="5" t="n">
        <v>0</v>
      </c>
      <c r="BP363" s="5" t="n">
        <v>0.002</v>
      </c>
      <c r="BQ363" s="5" t="n">
        <v>0.06900000000000001</v>
      </c>
      <c r="BR363" s="5" t="n">
        <v>0</v>
      </c>
      <c r="BS363" s="5" t="n">
        <v>1</v>
      </c>
      <c r="BT363" s="5" t="n">
        <v>0</v>
      </c>
      <c r="BU363" s="5" t="n">
        <v>0.003</v>
      </c>
      <c r="BV363" s="5" t="n">
        <v>0.162</v>
      </c>
      <c r="BW363" s="5" t="n">
        <v>0.24</v>
      </c>
      <c r="BX363" s="5" t="n">
        <v>0.833</v>
      </c>
      <c r="BY363" s="5" t="n">
        <v>12.729</v>
      </c>
      <c r="BZ363" s="5" t="n">
        <v>0</v>
      </c>
      <c r="CA363" s="5" t="n">
        <v>12.729</v>
      </c>
      <c r="CB363" s="5" t="n">
        <v>0</v>
      </c>
      <c r="CC363" s="5" t="n">
        <v>97.90000000000001</v>
      </c>
      <c r="CD363" s="5" t="n">
        <v>7.95</v>
      </c>
      <c r="CE363" s="5" t="n">
        <v>50.254</v>
      </c>
      <c r="CF363" s="5" t="n">
        <v>183.711</v>
      </c>
      <c r="CG363" s="5" t="n">
        <v>0.24</v>
      </c>
      <c r="CH363" s="5" t="n">
        <v>1</v>
      </c>
      <c r="CI363" s="5" t="n">
        <v>0</v>
      </c>
      <c r="CJ363" s="5" t="n">
        <v>0</v>
      </c>
      <c r="CK363" s="5" t="n">
        <v>0</v>
      </c>
      <c r="CL363" s="5" t="n">
        <v>0</v>
      </c>
      <c r="CM363" s="5" t="n">
        <v>0</v>
      </c>
      <c r="CN363" s="5" t="n">
        <v>0</v>
      </c>
      <c r="CO363" s="5" t="n">
        <v>0</v>
      </c>
      <c r="CP363" s="5" t="n">
        <v>0</v>
      </c>
      <c r="CQ363" s="5" t="n">
        <v>1.294</v>
      </c>
      <c r="CR363" s="5" t="n">
        <v>0</v>
      </c>
      <c r="CS363" s="5" t="n">
        <v>5.158</v>
      </c>
      <c r="CT363" s="5" t="n">
        <v>11.559</v>
      </c>
      <c r="CU363" s="5" t="n">
        <v>29.266</v>
      </c>
    </row>
    <row r="364">
      <c r="A364" s="5" t="inlineStr">
        <is>
          <t>ISL2023</t>
        </is>
      </c>
      <c r="B364" s="5" t="inlineStr">
        <is>
          <t>ISL</t>
        </is>
      </c>
      <c r="C364" s="5" t="inlineStr">
        <is>
          <t>ISL</t>
        </is>
      </c>
      <c r="D364" s="5" t="inlineStr">
        <is>
          <t>Iceland</t>
        </is>
      </c>
      <c r="E364" s="5" t="n">
        <v>2023</v>
      </c>
      <c r="F364" s="5" t="n">
        <v>0.24</v>
      </c>
      <c r="G364" s="5" t="n">
        <v>6.426</v>
      </c>
      <c r="H364" s="5" t="n">
        <v>1.286</v>
      </c>
      <c r="I364" s="5" t="n">
        <v>9.750999999999999</v>
      </c>
      <c r="J364" s="5" t="n">
        <v>16.177</v>
      </c>
      <c r="K364" s="5" t="n">
        <v>0</v>
      </c>
      <c r="L364" s="5" t="n">
        <v>1</v>
      </c>
      <c r="M364" s="5" t="n">
        <v>7.886</v>
      </c>
      <c r="N364" s="5" t="n">
        <v>3.857</v>
      </c>
      <c r="O364" s="5" t="n">
        <v>9.579000000000001</v>
      </c>
      <c r="P364" s="5" t="n">
        <v>17.465</v>
      </c>
      <c r="Q364" s="5" t="n">
        <v>0</v>
      </c>
      <c r="R364" s="5" t="n">
        <v>1</v>
      </c>
      <c r="S364" s="5" t="n">
        <v>12.854</v>
      </c>
      <c r="T364" s="5" t="n">
        <v>7.714</v>
      </c>
      <c r="U364" s="5" t="n">
        <v>0.342</v>
      </c>
      <c r="V364" s="5" t="n">
        <v>15.939</v>
      </c>
      <c r="W364" s="5" t="n">
        <v>0.24</v>
      </c>
      <c r="X364" s="5" t="n">
        <v>1</v>
      </c>
      <c r="Y364" s="5" t="n">
        <v>12.546</v>
      </c>
      <c r="Z364" s="5" t="n">
        <v>1.83</v>
      </c>
      <c r="AA364" s="5" t="n">
        <v>7.71</v>
      </c>
      <c r="AB364" s="5" t="n">
        <v>20.256</v>
      </c>
      <c r="AC364" s="5" t="n">
        <v>0</v>
      </c>
      <c r="AD364" s="5" t="n">
        <v>1</v>
      </c>
      <c r="AE364" s="5" t="n">
        <v>13.832</v>
      </c>
      <c r="AF364" s="5" t="n">
        <v>3.461</v>
      </c>
      <c r="AG364" s="5" t="n">
        <v>7.713</v>
      </c>
      <c r="AH364" s="5" t="n">
        <v>21.545</v>
      </c>
      <c r="AI364" s="5" t="n">
        <v>0</v>
      </c>
      <c r="AJ364" s="5" t="n">
        <v>1</v>
      </c>
      <c r="AK364" s="5" t="n">
        <v>21.546</v>
      </c>
      <c r="AL364" s="5" t="n">
        <v>11.967</v>
      </c>
      <c r="AM364" s="5" t="n">
        <v>2.744</v>
      </c>
      <c r="AN364" s="5" t="n">
        <v>29.339</v>
      </c>
      <c r="AO364" s="5" t="n">
        <v>0.24</v>
      </c>
      <c r="AP364" s="5" t="n">
        <v>1</v>
      </c>
      <c r="AQ364" s="5" t="n">
        <v>0.76</v>
      </c>
      <c r="AR364" s="5" t="n">
        <v>0.129</v>
      </c>
      <c r="AS364" s="5" t="n">
        <v>1.085</v>
      </c>
      <c r="AT364" s="5" t="n">
        <v>2.289</v>
      </c>
      <c r="AU364" s="5" t="n">
        <v>0.24</v>
      </c>
      <c r="AV364" s="5" t="n">
        <v>1</v>
      </c>
      <c r="AW364" s="5" t="n">
        <v>0.8110000000000001</v>
      </c>
      <c r="AX364" s="5" t="n">
        <v>0.129</v>
      </c>
      <c r="AY364" s="5" t="n">
        <v>1.042</v>
      </c>
      <c r="AZ364" s="5" t="n">
        <v>2.298</v>
      </c>
      <c r="BA364" s="5" t="n">
        <v>0.24</v>
      </c>
      <c r="BB364" s="5" t="n">
        <v>1</v>
      </c>
      <c r="BC364" s="5" t="n">
        <v>0.535</v>
      </c>
      <c r="BD364" s="5" t="n">
        <v>0.129</v>
      </c>
      <c r="BE364" s="5" t="n">
        <v>0.078</v>
      </c>
      <c r="BF364" s="5" t="n">
        <v>0.741</v>
      </c>
      <c r="BG364" s="5" t="n">
        <v>0.24</v>
      </c>
      <c r="BH364" s="5" t="n">
        <v>1</v>
      </c>
      <c r="BI364" s="5" t="n">
        <v>0.579</v>
      </c>
      <c r="BJ364" s="5" t="n">
        <v>0.129</v>
      </c>
      <c r="BK364" s="5" t="n">
        <v>0.458</v>
      </c>
      <c r="BL364" s="5" t="n">
        <v>1.286</v>
      </c>
      <c r="BM364" s="5" t="n">
        <v>0.24</v>
      </c>
      <c r="BN364" s="5" t="n">
        <v>1</v>
      </c>
      <c r="BO364" s="5" t="n">
        <v>0</v>
      </c>
      <c r="BP364" s="5" t="n">
        <v>0.002</v>
      </c>
      <c r="BQ364" s="5" t="n">
        <v>0.073</v>
      </c>
      <c r="BR364" s="5" t="n">
        <v>0</v>
      </c>
      <c r="BS364" s="5" t="n">
        <v>1</v>
      </c>
      <c r="BT364" s="5" t="n">
        <v>0</v>
      </c>
      <c r="BU364" s="5" t="n">
        <v>0.003</v>
      </c>
      <c r="BV364" s="5" t="n">
        <v>0.17</v>
      </c>
      <c r="BW364" s="5" t="n">
        <v>0.24</v>
      </c>
      <c r="BX364" s="5" t="n">
        <v>0.833</v>
      </c>
      <c r="BY364" s="5" t="n">
        <v>13.254</v>
      </c>
      <c r="BZ364" s="5" t="n">
        <v>0</v>
      </c>
      <c r="CA364" s="5" t="n">
        <v>13.254</v>
      </c>
      <c r="CB364" s="5" t="n">
        <v>0</v>
      </c>
      <c r="CC364" s="5" t="n">
        <v>83.248</v>
      </c>
      <c r="CD364" s="5" t="n">
        <v>7.95</v>
      </c>
      <c r="CE364" s="5" t="n">
        <v>85.05500000000001</v>
      </c>
      <c r="CF364" s="5" t="n">
        <v>208.696</v>
      </c>
      <c r="CG364" s="5" t="n">
        <v>0.24</v>
      </c>
      <c r="CH364" s="5" t="n">
        <v>1</v>
      </c>
      <c r="CI364" s="5" t="n">
        <v>0</v>
      </c>
      <c r="CJ364" s="5" t="n">
        <v>0</v>
      </c>
      <c r="CK364" s="5" t="n">
        <v>0</v>
      </c>
      <c r="CL364" s="5" t="n">
        <v>0</v>
      </c>
      <c r="CM364" s="5" t="n">
        <v>0</v>
      </c>
      <c r="CN364" s="5" t="n">
        <v>0</v>
      </c>
      <c r="CO364" s="5" t="n">
        <v>0</v>
      </c>
      <c r="CP364" s="5" t="n">
        <v>0</v>
      </c>
      <c r="CQ364" s="5" t="n">
        <v>1.348</v>
      </c>
      <c r="CR364" s="5" t="n">
        <v>0</v>
      </c>
      <c r="CS364" s="5" t="n">
        <v>5.37</v>
      </c>
      <c r="CT364" s="5" t="n">
        <v>5.14</v>
      </c>
      <c r="CU364" s="5" t="n">
        <v>11.72</v>
      </c>
    </row>
    <row r="365">
      <c r="A365" s="5" t="inlineStr">
        <is>
          <t>ISL2024</t>
        </is>
      </c>
      <c r="B365" s="5" t="inlineStr">
        <is>
          <t>ISL</t>
        </is>
      </c>
      <c r="C365" s="5" t="inlineStr">
        <is>
          <t>ISL</t>
        </is>
      </c>
      <c r="D365" s="5" t="inlineStr">
        <is>
          <t>Iceland</t>
        </is>
      </c>
      <c r="E365" s="5" t="n">
        <v>2024</v>
      </c>
      <c r="F365" s="5" t="n">
        <v>0.24</v>
      </c>
      <c r="G365" s="5" t="n">
        <v>5.346</v>
      </c>
      <c r="H365" s="5" t="n">
        <v>1.324</v>
      </c>
      <c r="I365" s="5" t="n">
        <v>6.39</v>
      </c>
      <c r="J365" s="5" t="n">
        <v>11.736</v>
      </c>
      <c r="K365" s="5" t="n">
        <v>0</v>
      </c>
      <c r="L365" s="5" t="n">
        <v>1</v>
      </c>
      <c r="M365" s="5" t="n">
        <v>7.124</v>
      </c>
      <c r="N365" s="5" t="n">
        <v>3.971</v>
      </c>
      <c r="O365" s="5" t="n">
        <v>6.278</v>
      </c>
      <c r="P365" s="5" t="n">
        <v>13.401</v>
      </c>
      <c r="Q365" s="5" t="n">
        <v>0</v>
      </c>
      <c r="R365" s="5" t="n">
        <v>1</v>
      </c>
      <c r="S365" s="5" t="n">
        <v>11.964</v>
      </c>
      <c r="T365" s="5" t="n">
        <v>7.942</v>
      </c>
      <c r="U365" s="5" t="n">
        <v>0.391</v>
      </c>
      <c r="V365" s="5" t="n">
        <v>14.835</v>
      </c>
      <c r="W365" s="5" t="n">
        <v>0.24</v>
      </c>
      <c r="X365" s="5" t="n">
        <v>1</v>
      </c>
      <c r="Y365" s="5" t="n">
        <v>10.08</v>
      </c>
      <c r="Z365" s="5" t="n">
        <v>1.471</v>
      </c>
      <c r="AA365" s="5" t="n">
        <v>5.867</v>
      </c>
      <c r="AB365" s="5" t="n">
        <v>15.947</v>
      </c>
      <c r="AC365" s="5" t="n">
        <v>0</v>
      </c>
      <c r="AD365" s="5" t="n">
        <v>1</v>
      </c>
      <c r="AE365" s="5" t="n">
        <v>11.404</v>
      </c>
      <c r="AF365" s="5" t="n">
        <v>2.853</v>
      </c>
      <c r="AG365" s="5" t="n">
        <v>5.869</v>
      </c>
      <c r="AH365" s="5" t="n">
        <v>17.273</v>
      </c>
      <c r="AI365" s="5" t="n">
        <v>0</v>
      </c>
      <c r="AJ365" s="5" t="n">
        <v>1</v>
      </c>
      <c r="AK365" s="5" t="n">
        <v>19.345</v>
      </c>
      <c r="AL365" s="5" t="n">
        <v>10.745</v>
      </c>
      <c r="AM365" s="5" t="n">
        <v>2.905</v>
      </c>
      <c r="AN365" s="5" t="n">
        <v>26.717</v>
      </c>
      <c r="AO365" s="5" t="n">
        <v>0.24</v>
      </c>
      <c r="AP365" s="5" t="n">
        <v>1</v>
      </c>
      <c r="AQ365" s="5" t="n">
        <v>0.724</v>
      </c>
      <c r="AR365" s="5" t="n">
        <v>0.132</v>
      </c>
      <c r="AS365" s="5" t="n">
        <v>1.097</v>
      </c>
      <c r="AT365" s="5" t="n">
        <v>2.259</v>
      </c>
      <c r="AU365" s="5" t="n">
        <v>0.24</v>
      </c>
      <c r="AV365" s="5" t="n">
        <v>1</v>
      </c>
      <c r="AW365" s="5" t="n">
        <v>0.75</v>
      </c>
      <c r="AX365" s="5" t="n">
        <v>0.132</v>
      </c>
      <c r="AY365" s="5" t="n">
        <v>1.096</v>
      </c>
      <c r="AZ365" s="5" t="n">
        <v>2.289</v>
      </c>
      <c r="BA365" s="5" t="n">
        <v>0.24</v>
      </c>
      <c r="BB365" s="5" t="n">
        <v>1</v>
      </c>
      <c r="BC365" s="5" t="n">
        <v>0.513</v>
      </c>
      <c r="BD365" s="5" t="n">
        <v>0.132</v>
      </c>
      <c r="BE365" s="5" t="n">
        <v>0.08400000000000001</v>
      </c>
      <c r="BF365" s="5" t="n">
        <v>0.717</v>
      </c>
      <c r="BG365" s="5" t="n">
        <v>0.24</v>
      </c>
      <c r="BH365" s="5" t="n">
        <v>1</v>
      </c>
      <c r="BI365" s="5" t="n">
        <v>0.591</v>
      </c>
      <c r="BJ365" s="5" t="n">
        <v>0.132</v>
      </c>
      <c r="BK365" s="5" t="n">
        <v>0.466</v>
      </c>
      <c r="BL365" s="5" t="n">
        <v>1.312</v>
      </c>
      <c r="BM365" s="5" t="n">
        <v>0.24</v>
      </c>
      <c r="BN365" s="5" t="n">
        <v>1</v>
      </c>
      <c r="BO365" s="5" t="n">
        <v>0</v>
      </c>
      <c r="BP365" s="5" t="n">
        <v>0.002</v>
      </c>
      <c r="BQ365" s="5" t="n">
        <v>0.081</v>
      </c>
      <c r="BR365" s="5" t="n">
        <v>0</v>
      </c>
      <c r="BS365" s="5" t="n">
        <v>1</v>
      </c>
      <c r="BT365" s="5" t="n">
        <v>0</v>
      </c>
      <c r="BU365" s="5" t="n">
        <v>0.003</v>
      </c>
      <c r="BV365" s="5" t="n">
        <v>0.19</v>
      </c>
      <c r="BW365" s="5" t="n">
        <v>0.24</v>
      </c>
      <c r="BX365" s="5" t="n">
        <v>0.833</v>
      </c>
      <c r="BY365" s="5" t="n">
        <v>13.646</v>
      </c>
      <c r="BZ365" s="5" t="n">
        <v>0</v>
      </c>
      <c r="CA365" s="5" t="n">
        <v>13.646</v>
      </c>
      <c r="CB365" s="5" t="n">
        <v>0</v>
      </c>
      <c r="CC365" s="5" t="n">
        <v>82.58799999999999</v>
      </c>
      <c r="CD365" s="5" t="n">
        <v>7.95</v>
      </c>
      <c r="CE365" s="5" t="n">
        <v>89.01000000000001</v>
      </c>
      <c r="CF365" s="5" t="n">
        <v>212.781</v>
      </c>
      <c r="CG365" s="5" t="n">
        <v>0.24</v>
      </c>
      <c r="CH365" s="5" t="n">
        <v>1</v>
      </c>
      <c r="CI365" s="5" t="n">
        <v>0</v>
      </c>
      <c r="CJ365" s="5" t="n">
        <v>0</v>
      </c>
      <c r="CK365" s="5" t="n">
        <v>0</v>
      </c>
      <c r="CL365" s="5" t="n">
        <v>0</v>
      </c>
      <c r="CM365" s="5" t="n">
        <v>0</v>
      </c>
      <c r="CN365" s="5" t="n">
        <v>0</v>
      </c>
      <c r="CO365" s="5" t="n">
        <v>0</v>
      </c>
      <c r="CP365" s="5" t="n">
        <v>0</v>
      </c>
      <c r="CQ365" s="5" t="n">
        <v>1.387</v>
      </c>
      <c r="CR365" s="5" t="n">
        <v>0</v>
      </c>
      <c r="CS365" s="5" t="n">
        <v>5.529</v>
      </c>
      <c r="CT365" s="5" t="n">
        <v>4.022</v>
      </c>
      <c r="CU365" s="5" t="n">
        <v>9.494999999999999</v>
      </c>
    </row>
    <row r="366">
      <c r="A366" s="5" t="inlineStr">
        <is>
          <t>IND2021</t>
        </is>
      </c>
      <c r="B366" s="5" t="inlineStr">
        <is>
          <t>IND</t>
        </is>
      </c>
      <c r="C366" s="5" t="inlineStr">
        <is>
          <t>IND</t>
        </is>
      </c>
      <c r="D366" s="5" t="inlineStr">
        <is>
          <t>India</t>
        </is>
      </c>
      <c r="E366" s="5" t="n">
        <v>2021</v>
      </c>
      <c r="F366" s="5" t="n">
        <v>0.18</v>
      </c>
      <c r="G366" s="5" t="n">
        <v>2.467</v>
      </c>
      <c r="H366" s="5" t="n">
        <v>0.722</v>
      </c>
      <c r="I366" s="5" t="n">
        <v>0.407</v>
      </c>
      <c r="J366" s="5" t="n">
        <v>2.873</v>
      </c>
      <c r="K366" s="5" t="n">
        <v>0</v>
      </c>
      <c r="L366" s="5" t="n">
        <v>1</v>
      </c>
      <c r="M366" s="5" t="n">
        <v>3.936</v>
      </c>
      <c r="N366" s="5" t="n">
        <v>2.166</v>
      </c>
      <c r="O366" s="5" t="n">
        <v>0.352</v>
      </c>
      <c r="P366" s="5" t="n">
        <v>4.288</v>
      </c>
      <c r="Q366" s="5" t="n">
        <v>0</v>
      </c>
      <c r="R366" s="5" t="n">
        <v>1</v>
      </c>
      <c r="S366" s="5" t="n">
        <v>6.077</v>
      </c>
      <c r="T366" s="5" t="n">
        <v>4.332</v>
      </c>
      <c r="U366" s="5" t="n">
        <v>0.401</v>
      </c>
      <c r="V366" s="5" t="n">
        <v>7.643</v>
      </c>
      <c r="W366" s="5" t="n">
        <v>0.18</v>
      </c>
      <c r="X366" s="5" t="n">
        <v>1</v>
      </c>
      <c r="Y366" s="5" t="n">
        <v>11.183</v>
      </c>
      <c r="Z366" s="5" t="n">
        <v>0.993</v>
      </c>
      <c r="AA366" s="5" t="n">
        <v>-8.353</v>
      </c>
      <c r="AB366" s="5" t="n">
        <v>2.83</v>
      </c>
      <c r="AC366" s="5" t="n">
        <v>0</v>
      </c>
      <c r="AD366" s="5" t="n">
        <v>0</v>
      </c>
      <c r="AE366" s="5" t="n">
        <v>12.04</v>
      </c>
      <c r="AF366" s="5" t="n">
        <v>1.945</v>
      </c>
      <c r="AG366" s="5" t="n">
        <v>-9.210000000000001</v>
      </c>
      <c r="AH366" s="5" t="n">
        <v>2.83</v>
      </c>
      <c r="AI366" s="5" t="n">
        <v>0</v>
      </c>
      <c r="AJ366" s="5" t="n">
        <v>0</v>
      </c>
      <c r="AK366" s="5" t="n">
        <v>17.18</v>
      </c>
      <c r="AL366" s="5" t="n">
        <v>7.291</v>
      </c>
      <c r="AM366" s="5" t="n">
        <v>-14.197</v>
      </c>
      <c r="AN366" s="5" t="n">
        <v>2.983</v>
      </c>
      <c r="AO366" s="5" t="n">
        <v>0</v>
      </c>
      <c r="AP366" s="5" t="n">
        <v>0</v>
      </c>
      <c r="AQ366" s="5" t="n">
        <v>0.51</v>
      </c>
      <c r="AR366" s="5" t="n">
        <v>0.093</v>
      </c>
      <c r="AS366" s="5" t="n">
        <v>0.619</v>
      </c>
      <c r="AT366" s="5" t="n">
        <v>1.332</v>
      </c>
      <c r="AU366" s="5" t="n">
        <v>0.18</v>
      </c>
      <c r="AV366" s="5" t="n">
        <v>1</v>
      </c>
      <c r="AW366" s="5" t="n">
        <v>0.506</v>
      </c>
      <c r="AX366" s="5" t="n">
        <v>0.098</v>
      </c>
      <c r="AY366" s="5" t="n">
        <v>0.516</v>
      </c>
      <c r="AZ366" s="5" t="n">
        <v>1.206</v>
      </c>
      <c r="BA366" s="5" t="n">
        <v>0.18</v>
      </c>
      <c r="BB366" s="5" t="n">
        <v>1</v>
      </c>
      <c r="BC366" s="5" t="n">
        <v>0.452</v>
      </c>
      <c r="BD366" s="5" t="n">
        <v>0.117</v>
      </c>
      <c r="BE366" s="5" t="n">
        <v>0.18</v>
      </c>
      <c r="BF366" s="5" t="n">
        <v>0.745</v>
      </c>
      <c r="BG366" s="5" t="n">
        <v>0.18</v>
      </c>
      <c r="BH366" s="5" t="n">
        <v>1</v>
      </c>
      <c r="BI366" s="5" t="n">
        <v>0.212</v>
      </c>
      <c r="BJ366" s="5" t="n">
        <v>0.047</v>
      </c>
      <c r="BK366" s="5" t="n">
        <v>0.157</v>
      </c>
      <c r="BL366" s="5" t="n">
        <v>0.436</v>
      </c>
      <c r="BM366" s="5" t="n">
        <v>0.18</v>
      </c>
      <c r="BN366" s="5" t="n">
        <v>1</v>
      </c>
      <c r="BO366" s="5" t="n">
        <v>0</v>
      </c>
      <c r="BP366" s="5" t="n">
        <v>-0.01</v>
      </c>
      <c r="BQ366" s="5" t="n">
        <v>0.09</v>
      </c>
      <c r="BR366" s="5" t="n">
        <v>0</v>
      </c>
      <c r="BS366" s="5" t="n">
        <v>1</v>
      </c>
      <c r="BT366" s="5" t="n">
        <v>0</v>
      </c>
      <c r="BU366" s="5" t="n">
        <v>-0.01</v>
      </c>
      <c r="BV366" s="5" t="n">
        <v>0.049</v>
      </c>
      <c r="BW366" s="5" t="n">
        <v>0</v>
      </c>
      <c r="BX366" s="5" t="n">
        <v>0.833</v>
      </c>
      <c r="BY366" s="5" t="n">
        <v>11.787</v>
      </c>
      <c r="BZ366" s="5" t="n">
        <v>0</v>
      </c>
      <c r="CA366" s="5" t="n">
        <v>11.787</v>
      </c>
      <c r="CB366" s="5" t="n">
        <v>0</v>
      </c>
      <c r="CC366" s="5" t="n">
        <v>40.451</v>
      </c>
      <c r="CD366" s="5" t="n">
        <v>-33.294</v>
      </c>
      <c r="CE366" s="5" t="n">
        <v>32.351</v>
      </c>
      <c r="CF366" s="5" t="n">
        <v>85.90600000000001</v>
      </c>
      <c r="CG366" s="5" t="n">
        <v>0.18</v>
      </c>
      <c r="CH366" s="5" t="n">
        <v>1</v>
      </c>
      <c r="CI366" s="5" t="n">
        <v>0</v>
      </c>
      <c r="CJ366" s="5" t="n">
        <v>0</v>
      </c>
      <c r="CK366" s="5" t="n">
        <v>0</v>
      </c>
      <c r="CL366" s="5" t="n">
        <v>0.008999999999999999</v>
      </c>
      <c r="CM366" s="5" t="n">
        <v>0</v>
      </c>
      <c r="CN366" s="5" t="n">
        <v>0</v>
      </c>
      <c r="CO366" s="5" t="n">
        <v>0</v>
      </c>
      <c r="CP366" s="5" t="n">
        <v>0.737</v>
      </c>
      <c r="CQ366" s="5" t="n">
        <v>1.108</v>
      </c>
      <c r="CR366" s="5" t="n">
        <v>0.501</v>
      </c>
      <c r="CS366" s="5" t="n">
        <v>4.438</v>
      </c>
      <c r="CT366" s="5" t="n">
        <v>3.529</v>
      </c>
      <c r="CU366" s="5" t="n">
        <v>16.25</v>
      </c>
    </row>
    <row r="367">
      <c r="A367" s="5" t="inlineStr">
        <is>
          <t>IND2022</t>
        </is>
      </c>
      <c r="B367" s="5" t="inlineStr">
        <is>
          <t>IND</t>
        </is>
      </c>
      <c r="C367" s="5" t="inlineStr">
        <is>
          <t>IND</t>
        </is>
      </c>
      <c r="D367" s="5" t="inlineStr">
        <is>
          <t>India</t>
        </is>
      </c>
      <c r="E367" s="5" t="n">
        <v>2022</v>
      </c>
      <c r="F367" s="5" t="n">
        <v>0.18</v>
      </c>
      <c r="G367" s="5" t="n">
        <v>3.116</v>
      </c>
      <c r="H367" s="5" t="n">
        <v>0.782</v>
      </c>
      <c r="I367" s="5" t="n">
        <v>0.443</v>
      </c>
      <c r="J367" s="5" t="n">
        <v>3.559</v>
      </c>
      <c r="K367" s="5" t="n">
        <v>0</v>
      </c>
      <c r="L367" s="5" t="n">
        <v>1</v>
      </c>
      <c r="M367" s="5" t="n">
        <v>4.748</v>
      </c>
      <c r="N367" s="5" t="n">
        <v>2.346</v>
      </c>
      <c r="O367" s="5" t="n">
        <v>0.396</v>
      </c>
      <c r="P367" s="5" t="n">
        <v>5.143</v>
      </c>
      <c r="Q367" s="5" t="n">
        <v>0</v>
      </c>
      <c r="R367" s="5" t="n">
        <v>1</v>
      </c>
      <c r="S367" s="5" t="n">
        <v>7.025</v>
      </c>
      <c r="T367" s="5" t="n">
        <v>4.691</v>
      </c>
      <c r="U367" s="5" t="n">
        <v>0.537</v>
      </c>
      <c r="V367" s="5" t="n">
        <v>8.805999999999999</v>
      </c>
      <c r="W367" s="5" t="n">
        <v>0.18</v>
      </c>
      <c r="X367" s="5" t="n">
        <v>1</v>
      </c>
      <c r="Y367" s="5" t="n">
        <v>15.918</v>
      </c>
      <c r="Z367" s="5" t="n">
        <v>1.414</v>
      </c>
      <c r="AA367" s="5" t="n">
        <v>-10.308</v>
      </c>
      <c r="AB367" s="5" t="n">
        <v>5.61</v>
      </c>
      <c r="AC367" s="5" t="n">
        <v>0</v>
      </c>
      <c r="AD367" s="5" t="n">
        <v>0</v>
      </c>
      <c r="AE367" s="5" t="n">
        <v>16.816</v>
      </c>
      <c r="AF367" s="5" t="n">
        <v>2.716</v>
      </c>
      <c r="AG367" s="5" t="n">
        <v>-11.206</v>
      </c>
      <c r="AH367" s="5" t="n">
        <v>5.61</v>
      </c>
      <c r="AI367" s="5" t="n">
        <v>0</v>
      </c>
      <c r="AJ367" s="5" t="n">
        <v>0</v>
      </c>
      <c r="AK367" s="5" t="n">
        <v>22.199</v>
      </c>
      <c r="AL367" s="5" t="n">
        <v>9.422000000000001</v>
      </c>
      <c r="AM367" s="5" t="n">
        <v>-16.282</v>
      </c>
      <c r="AN367" s="5" t="n">
        <v>5.918</v>
      </c>
      <c r="AO367" s="5" t="n">
        <v>0</v>
      </c>
      <c r="AP367" s="5" t="n">
        <v>0</v>
      </c>
      <c r="AQ367" s="5" t="n">
        <v>0.644</v>
      </c>
      <c r="AR367" s="5" t="n">
        <v>0.092</v>
      </c>
      <c r="AS367" s="5" t="n">
        <v>0.489</v>
      </c>
      <c r="AT367" s="5" t="n">
        <v>1.336</v>
      </c>
      <c r="AU367" s="5" t="n">
        <v>0.18</v>
      </c>
      <c r="AV367" s="5" t="n">
        <v>1</v>
      </c>
      <c r="AW367" s="5" t="n">
        <v>0.574</v>
      </c>
      <c r="AX367" s="5" t="n">
        <v>0.075</v>
      </c>
      <c r="AY367" s="5" t="n">
        <v>0.436</v>
      </c>
      <c r="AZ367" s="5" t="n">
        <v>1.192</v>
      </c>
      <c r="BA367" s="5" t="n">
        <v>0.18</v>
      </c>
      <c r="BB367" s="5" t="n">
        <v>1</v>
      </c>
      <c r="BC367" s="5" t="n">
        <v>0.5</v>
      </c>
      <c r="BD367" s="5" t="n">
        <v>0.103</v>
      </c>
      <c r="BE367" s="5" t="n">
        <v>0.224</v>
      </c>
      <c r="BF367" s="5" t="n">
        <v>0.855</v>
      </c>
      <c r="BG367" s="5" t="n">
        <v>0.18</v>
      </c>
      <c r="BH367" s="5" t="n">
        <v>1</v>
      </c>
      <c r="BI367" s="5" t="n">
        <v>0.375</v>
      </c>
      <c r="BJ367" s="5" t="n">
        <v>0.073</v>
      </c>
      <c r="BK367" s="5" t="n">
        <v>0.223</v>
      </c>
      <c r="BL367" s="5" t="n">
        <v>0.706</v>
      </c>
      <c r="BM367" s="5" t="n">
        <v>0.18</v>
      </c>
      <c r="BN367" s="5" t="n">
        <v>1</v>
      </c>
      <c r="BO367" s="5" t="n">
        <v>0</v>
      </c>
      <c r="BP367" s="5" t="n">
        <v>-0.013</v>
      </c>
      <c r="BQ367" s="5" t="n">
        <v>0.13</v>
      </c>
      <c r="BR367" s="5" t="n">
        <v>0</v>
      </c>
      <c r="BS367" s="5" t="n">
        <v>1</v>
      </c>
      <c r="BT367" s="5" t="n">
        <v>0</v>
      </c>
      <c r="BU367" s="5" t="n">
        <v>-0.013</v>
      </c>
      <c r="BV367" s="5" t="n">
        <v>0.067</v>
      </c>
      <c r="BW367" s="5" t="n">
        <v>0</v>
      </c>
      <c r="BX367" s="5" t="n">
        <v>0.833</v>
      </c>
      <c r="BY367" s="5" t="n">
        <v>12.729</v>
      </c>
      <c r="BZ367" s="5" t="n">
        <v>0</v>
      </c>
      <c r="CA367" s="5" t="n">
        <v>12.729</v>
      </c>
      <c r="CB367" s="5" t="n">
        <v>0</v>
      </c>
      <c r="CC367" s="5" t="n">
        <v>81.131</v>
      </c>
      <c r="CD367" s="5" t="n">
        <v>-13.396</v>
      </c>
      <c r="CE367" s="5" t="n">
        <v>48.289</v>
      </c>
      <c r="CF367" s="5" t="n">
        <v>152.715</v>
      </c>
      <c r="CG367" s="5" t="n">
        <v>0.18</v>
      </c>
      <c r="CH367" s="5" t="n">
        <v>1</v>
      </c>
      <c r="CI367" s="5" t="n">
        <v>0</v>
      </c>
      <c r="CJ367" s="5" t="n">
        <v>0</v>
      </c>
      <c r="CK367" s="5" t="n">
        <v>0</v>
      </c>
      <c r="CL367" s="5" t="n">
        <v>0.01</v>
      </c>
      <c r="CM367" s="5" t="n">
        <v>0</v>
      </c>
      <c r="CN367" s="5" t="n">
        <v>0</v>
      </c>
      <c r="CO367" s="5" t="n">
        <v>0</v>
      </c>
      <c r="CP367" s="5" t="n">
        <v>0.733</v>
      </c>
      <c r="CQ367" s="5" t="n">
        <v>1.197</v>
      </c>
      <c r="CR367" s="5" t="n">
        <v>0.547</v>
      </c>
      <c r="CS367" s="5" t="n">
        <v>4.792</v>
      </c>
      <c r="CT367" s="5" t="n">
        <v>5.463</v>
      </c>
      <c r="CU367" s="5" t="n">
        <v>27.353</v>
      </c>
    </row>
    <row r="368">
      <c r="A368" s="5" t="inlineStr">
        <is>
          <t>IND2023</t>
        </is>
      </c>
      <c r="B368" s="5" t="inlineStr">
        <is>
          <t>IND</t>
        </is>
      </c>
      <c r="C368" s="5" t="inlineStr">
        <is>
          <t>IND</t>
        </is>
      </c>
      <c r="D368" s="5" t="inlineStr">
        <is>
          <t>India</t>
        </is>
      </c>
      <c r="E368" s="5" t="n">
        <v>2023</v>
      </c>
      <c r="F368" s="5" t="n">
        <v>0.18</v>
      </c>
      <c r="G368" s="5" t="n">
        <v>2.673</v>
      </c>
      <c r="H368" s="5" t="n">
        <v>0.8090000000000001</v>
      </c>
      <c r="I368" s="5" t="n">
        <v>0.375</v>
      </c>
      <c r="J368" s="5" t="n">
        <v>3.048</v>
      </c>
      <c r="K368" s="5" t="n">
        <v>0</v>
      </c>
      <c r="L368" s="5" t="n">
        <v>1</v>
      </c>
      <c r="M368" s="5" t="n">
        <v>4.372</v>
      </c>
      <c r="N368" s="5" t="n">
        <v>2.427</v>
      </c>
      <c r="O368" s="5" t="n">
        <v>0.332</v>
      </c>
      <c r="P368" s="5" t="n">
        <v>4.704</v>
      </c>
      <c r="Q368" s="5" t="n">
        <v>0</v>
      </c>
      <c r="R368" s="5" t="n">
        <v>1</v>
      </c>
      <c r="S368" s="5" t="n">
        <v>6.718</v>
      </c>
      <c r="T368" s="5" t="n">
        <v>4.854</v>
      </c>
      <c r="U368" s="5" t="n">
        <v>0.511</v>
      </c>
      <c r="V368" s="5" t="n">
        <v>8.364000000000001</v>
      </c>
      <c r="W368" s="5" t="n">
        <v>0.18</v>
      </c>
      <c r="X368" s="5" t="n">
        <v>1</v>
      </c>
      <c r="Y368" s="5" t="n">
        <v>9.414</v>
      </c>
      <c r="Z368" s="5" t="n">
        <v>0.836</v>
      </c>
      <c r="AA368" s="5" t="n">
        <v>-1.504</v>
      </c>
      <c r="AB368" s="5" t="n">
        <v>7.91</v>
      </c>
      <c r="AC368" s="5" t="n">
        <v>0</v>
      </c>
      <c r="AD368" s="5" t="n">
        <v>0</v>
      </c>
      <c r="AE368" s="5" t="n">
        <v>10.369</v>
      </c>
      <c r="AF368" s="5" t="n">
        <v>1.675</v>
      </c>
      <c r="AG368" s="5" t="n">
        <v>-2.459</v>
      </c>
      <c r="AH368" s="5" t="n">
        <v>7.91</v>
      </c>
      <c r="AI368" s="5" t="n">
        <v>0</v>
      </c>
      <c r="AJ368" s="5" t="n">
        <v>0</v>
      </c>
      <c r="AK368" s="5" t="n">
        <v>16.1</v>
      </c>
      <c r="AL368" s="5" t="n">
        <v>6.833</v>
      </c>
      <c r="AM368" s="5" t="n">
        <v>-7.75</v>
      </c>
      <c r="AN368" s="5" t="n">
        <v>8.35</v>
      </c>
      <c r="AO368" s="5" t="n">
        <v>0</v>
      </c>
      <c r="AP368" s="5" t="n">
        <v>0</v>
      </c>
      <c r="AQ368" s="5" t="n">
        <v>0.613</v>
      </c>
      <c r="AR368" s="5" t="n">
        <v>0.103</v>
      </c>
      <c r="AS368" s="5" t="n">
        <v>0.456</v>
      </c>
      <c r="AT368" s="5" t="n">
        <v>1.261</v>
      </c>
      <c r="AU368" s="5" t="n">
        <v>0.18</v>
      </c>
      <c r="AV368" s="5" t="n">
        <v>1</v>
      </c>
      <c r="AW368" s="5" t="n">
        <v>0.5620000000000001</v>
      </c>
      <c r="AX368" s="5" t="n">
        <v>0.096</v>
      </c>
      <c r="AY368" s="5" t="n">
        <v>0.397</v>
      </c>
      <c r="AZ368" s="5" t="n">
        <v>1.132</v>
      </c>
      <c r="BA368" s="5" t="n">
        <v>0.18</v>
      </c>
      <c r="BB368" s="5" t="n">
        <v>1</v>
      </c>
      <c r="BC368" s="5" t="n">
        <v>0.419</v>
      </c>
      <c r="BD368" s="5" t="n">
        <v>0.101</v>
      </c>
      <c r="BE368" s="5" t="n">
        <v>0.19</v>
      </c>
      <c r="BF368" s="5" t="n">
        <v>0.719</v>
      </c>
      <c r="BG368" s="5" t="n">
        <v>0.18</v>
      </c>
      <c r="BH368" s="5" t="n">
        <v>1</v>
      </c>
      <c r="BI368" s="5" t="n">
        <v>0.331</v>
      </c>
      <c r="BJ368" s="5" t="n">
        <v>0.07199999999999999</v>
      </c>
      <c r="BK368" s="5" t="n">
        <v>0.201</v>
      </c>
      <c r="BL368" s="5" t="n">
        <v>0.628</v>
      </c>
      <c r="BM368" s="5" t="n">
        <v>0.18</v>
      </c>
      <c r="BN368" s="5" t="n">
        <v>1</v>
      </c>
      <c r="BO368" s="5" t="n">
        <v>0</v>
      </c>
      <c r="BP368" s="5" t="n">
        <v>-0.02</v>
      </c>
      <c r="BQ368" s="5" t="n">
        <v>0.12</v>
      </c>
      <c r="BR368" s="5" t="n">
        <v>0</v>
      </c>
      <c r="BS368" s="5" t="n">
        <v>1</v>
      </c>
      <c r="BT368" s="5" t="n">
        <v>0</v>
      </c>
      <c r="BU368" s="5" t="n">
        <v>-0.02</v>
      </c>
      <c r="BV368" s="5" t="n">
        <v>0.08400000000000001</v>
      </c>
      <c r="BW368" s="5" t="n">
        <v>0</v>
      </c>
      <c r="BX368" s="5" t="n">
        <v>0.833</v>
      </c>
      <c r="BY368" s="5" t="n">
        <v>13.254</v>
      </c>
      <c r="BZ368" s="5" t="n">
        <v>0</v>
      </c>
      <c r="CA368" s="5" t="n">
        <v>13.254</v>
      </c>
      <c r="CB368" s="5" t="n">
        <v>0</v>
      </c>
      <c r="CC368" s="5" t="n">
        <v>71.121</v>
      </c>
      <c r="CD368" s="5" t="n">
        <v>-8.007999999999999</v>
      </c>
      <c r="CE368" s="5" t="n">
        <v>41.536</v>
      </c>
      <c r="CF368" s="5" t="n">
        <v>132.935</v>
      </c>
      <c r="CG368" s="5" t="n">
        <v>0.18</v>
      </c>
      <c r="CH368" s="5" t="n">
        <v>1</v>
      </c>
      <c r="CI368" s="5" t="n">
        <v>0</v>
      </c>
      <c r="CJ368" s="5" t="n">
        <v>0</v>
      </c>
      <c r="CK368" s="5" t="n">
        <v>0</v>
      </c>
      <c r="CL368" s="5" t="n">
        <v>0.011</v>
      </c>
      <c r="CM368" s="5" t="n">
        <v>0</v>
      </c>
      <c r="CN368" s="5" t="n">
        <v>0</v>
      </c>
      <c r="CO368" s="5" t="n">
        <v>0</v>
      </c>
      <c r="CP368" s="5" t="n">
        <v>0.742</v>
      </c>
      <c r="CQ368" s="5" t="n">
        <v>1.246</v>
      </c>
      <c r="CR368" s="5" t="n">
        <v>0.514</v>
      </c>
      <c r="CS368" s="5" t="n">
        <v>4.99</v>
      </c>
      <c r="CT368" s="5" t="n">
        <v>3.638</v>
      </c>
      <c r="CU368" s="5" t="n">
        <v>12.13</v>
      </c>
    </row>
    <row r="369">
      <c r="A369" s="5" t="inlineStr">
        <is>
          <t>IND2024</t>
        </is>
      </c>
      <c r="B369" s="5" t="inlineStr">
        <is>
          <t>IND</t>
        </is>
      </c>
      <c r="C369" s="5" t="inlineStr">
        <is>
          <t>IND</t>
        </is>
      </c>
      <c r="D369" s="5" t="inlineStr">
        <is>
          <t>India</t>
        </is>
      </c>
      <c r="E369" s="5" t="n">
        <v>2024</v>
      </c>
      <c r="F369" s="5" t="n">
        <v>0.18</v>
      </c>
      <c r="G369" s="5" t="n">
        <v>2.629</v>
      </c>
      <c r="H369" s="5" t="n">
        <v>0.833</v>
      </c>
      <c r="I369" s="5" t="n">
        <v>0.374</v>
      </c>
      <c r="J369" s="5" t="n">
        <v>3.003</v>
      </c>
      <c r="K369" s="5" t="n">
        <v>0</v>
      </c>
      <c r="L369" s="5" t="n">
        <v>1</v>
      </c>
      <c r="M369" s="5" t="n">
        <v>4.396</v>
      </c>
      <c r="N369" s="5" t="n">
        <v>2.498</v>
      </c>
      <c r="O369" s="5" t="n">
        <v>0.331</v>
      </c>
      <c r="P369" s="5" t="n">
        <v>4.727</v>
      </c>
      <c r="Q369" s="5" t="n">
        <v>0</v>
      </c>
      <c r="R369" s="5" t="n">
        <v>1</v>
      </c>
      <c r="S369" s="5" t="n">
        <v>6.793</v>
      </c>
      <c r="T369" s="5" t="n">
        <v>4.997</v>
      </c>
      <c r="U369" s="5" t="n">
        <v>0.544</v>
      </c>
      <c r="V369" s="5" t="n">
        <v>8.451000000000001</v>
      </c>
      <c r="W369" s="5" t="n">
        <v>0.18</v>
      </c>
      <c r="X369" s="5" t="n">
        <v>1</v>
      </c>
      <c r="Y369" s="5" t="n">
        <v>8.808999999999999</v>
      </c>
      <c r="Z369" s="5" t="n">
        <v>0.782</v>
      </c>
      <c r="AA369" s="5" t="n">
        <v>-1.189</v>
      </c>
      <c r="AB369" s="5" t="n">
        <v>7.62</v>
      </c>
      <c r="AC369" s="5" t="n">
        <v>0</v>
      </c>
      <c r="AD369" s="5" t="n">
        <v>0</v>
      </c>
      <c r="AE369" s="5" t="n">
        <v>9.792</v>
      </c>
      <c r="AF369" s="5" t="n">
        <v>1.582</v>
      </c>
      <c r="AG369" s="5" t="n">
        <v>-2.172</v>
      </c>
      <c r="AH369" s="5" t="n">
        <v>7.62</v>
      </c>
      <c r="AI369" s="5" t="n">
        <v>0</v>
      </c>
      <c r="AJ369" s="5" t="n">
        <v>0</v>
      </c>
      <c r="AK369" s="5" t="n">
        <v>15.692</v>
      </c>
      <c r="AL369" s="5" t="n">
        <v>6.66</v>
      </c>
      <c r="AM369" s="5" t="n">
        <v>-7.654</v>
      </c>
      <c r="AN369" s="5" t="n">
        <v>8.038</v>
      </c>
      <c r="AO369" s="5" t="n">
        <v>0</v>
      </c>
      <c r="AP369" s="5" t="n">
        <v>0</v>
      </c>
      <c r="AQ369" s="5" t="n">
        <v>0.598</v>
      </c>
      <c r="AR369" s="5" t="n">
        <v>0.109</v>
      </c>
      <c r="AS369" s="5" t="n">
        <v>0.433</v>
      </c>
      <c r="AT369" s="5" t="n">
        <v>1.216</v>
      </c>
      <c r="AU369" s="5" t="n">
        <v>0.18</v>
      </c>
      <c r="AV369" s="5" t="n">
        <v>1</v>
      </c>
      <c r="AW369" s="5" t="n">
        <v>0.539</v>
      </c>
      <c r="AX369" s="5" t="n">
        <v>0.099</v>
      </c>
      <c r="AY369" s="5" t="n">
        <v>0.385</v>
      </c>
      <c r="AZ369" s="5" t="n">
        <v>1.091</v>
      </c>
      <c r="BA369" s="5" t="n">
        <v>0.18</v>
      </c>
      <c r="BB369" s="5" t="n">
        <v>1</v>
      </c>
      <c r="BC369" s="5" t="n">
        <v>0.408</v>
      </c>
      <c r="BD369" s="5" t="n">
        <v>0.105</v>
      </c>
      <c r="BE369" s="5" t="n">
        <v>0.183</v>
      </c>
      <c r="BF369" s="5" t="n">
        <v>0.697</v>
      </c>
      <c r="BG369" s="5" t="n">
        <v>0.18</v>
      </c>
      <c r="BH369" s="5" t="n">
        <v>1</v>
      </c>
      <c r="BI369" s="5" t="n">
        <v>0.287</v>
      </c>
      <c r="BJ369" s="5" t="n">
        <v>0.063</v>
      </c>
      <c r="BK369" s="5" t="n">
        <v>0.193</v>
      </c>
      <c r="BL369" s="5" t="n">
        <v>0.5669999999999999</v>
      </c>
      <c r="BM369" s="5" t="n">
        <v>0.18</v>
      </c>
      <c r="BN369" s="5" t="n">
        <v>1</v>
      </c>
      <c r="BO369" s="5" t="n">
        <v>0</v>
      </c>
      <c r="BP369" s="5" t="n">
        <v>-0.021</v>
      </c>
      <c r="BQ369" s="5" t="n">
        <v>0.11</v>
      </c>
      <c r="BR369" s="5" t="n">
        <v>0</v>
      </c>
      <c r="BS369" s="5" t="n">
        <v>1</v>
      </c>
      <c r="BT369" s="5" t="n">
        <v>0</v>
      </c>
      <c r="BU369" s="5" t="n">
        <v>-0.021</v>
      </c>
      <c r="BV369" s="5" t="n">
        <v>0.08400000000000001</v>
      </c>
      <c r="BW369" s="5" t="n">
        <v>0</v>
      </c>
      <c r="BX369" s="5" t="n">
        <v>0.833</v>
      </c>
      <c r="BY369" s="5" t="n">
        <v>13.646</v>
      </c>
      <c r="BZ369" s="5" t="n">
        <v>0</v>
      </c>
      <c r="CA369" s="5" t="n">
        <v>13.646</v>
      </c>
      <c r="CB369" s="5" t="n">
        <v>0</v>
      </c>
      <c r="CC369" s="5" t="n">
        <v>61.32</v>
      </c>
      <c r="CD369" s="5" t="n">
        <v>-17.116</v>
      </c>
      <c r="CE369" s="5" t="n">
        <v>38.337</v>
      </c>
      <c r="CF369" s="5" t="n">
        <v>117.594</v>
      </c>
      <c r="CG369" s="5" t="n">
        <v>0.18</v>
      </c>
      <c r="CH369" s="5" t="n">
        <v>1</v>
      </c>
      <c r="CI369" s="5" t="n">
        <v>0</v>
      </c>
      <c r="CJ369" s="5" t="n">
        <v>0</v>
      </c>
      <c r="CK369" s="5" t="n">
        <v>0</v>
      </c>
      <c r="CL369" s="5" t="n">
        <v>0.011</v>
      </c>
      <c r="CM369" s="5" t="n">
        <v>0</v>
      </c>
      <c r="CN369" s="5" t="n">
        <v>0</v>
      </c>
      <c r="CO369" s="5" t="n">
        <v>0</v>
      </c>
      <c r="CP369" s="5" t="n">
        <v>0.742</v>
      </c>
      <c r="CQ369" s="5" t="n">
        <v>1.283</v>
      </c>
      <c r="CR369" s="5" t="n">
        <v>0.514</v>
      </c>
      <c r="CS369" s="5" t="n">
        <v>5.137</v>
      </c>
      <c r="CT369" s="5" t="n">
        <v>3.269</v>
      </c>
      <c r="CU369" s="5" t="n">
        <v>10.67</v>
      </c>
    </row>
    <row r="370">
      <c r="A370" s="5" t="inlineStr">
        <is>
          <t>IDN2021</t>
        </is>
      </c>
      <c r="B370" s="5" t="inlineStr">
        <is>
          <t>IDN</t>
        </is>
      </c>
      <c r="C370" s="5" t="inlineStr">
        <is>
          <t>IDN</t>
        </is>
      </c>
      <c r="D370" s="5" t="inlineStr">
        <is>
          <t>Indonesia</t>
        </is>
      </c>
      <c r="E370" s="5" t="n">
        <v>2021</v>
      </c>
      <c r="F370" s="5" t="n">
        <v>0.1</v>
      </c>
      <c r="G370" s="5" t="n">
        <v>2.859</v>
      </c>
      <c r="H370" s="5" t="n">
        <v>0.626</v>
      </c>
      <c r="I370" s="5" t="n">
        <v>-0.4</v>
      </c>
      <c r="J370" s="5" t="n">
        <v>2.459</v>
      </c>
      <c r="K370" s="5" t="n">
        <v>0</v>
      </c>
      <c r="L370" s="5" t="n">
        <v>1</v>
      </c>
      <c r="M370" s="5" t="n">
        <v>2.814</v>
      </c>
      <c r="N370" s="5" t="n">
        <v>1.275</v>
      </c>
      <c r="O370" s="5" t="n">
        <v>-0.209</v>
      </c>
      <c r="P370" s="5" t="n">
        <v>2.604</v>
      </c>
      <c r="Q370" s="5" t="n">
        <v>0</v>
      </c>
      <c r="R370" s="5" t="n">
        <v>1</v>
      </c>
      <c r="S370" s="5" t="n">
        <v>2.584</v>
      </c>
      <c r="T370" s="5" t="n">
        <v>1.601</v>
      </c>
      <c r="U370" s="5" t="n">
        <v>0.032</v>
      </c>
      <c r="V370" s="5" t="n">
        <v>2.877</v>
      </c>
      <c r="W370" s="5" t="n">
        <v>0.1</v>
      </c>
      <c r="X370" s="5" t="n">
        <v>1</v>
      </c>
      <c r="Y370" s="5" t="n">
        <v>4.121</v>
      </c>
      <c r="Z370" s="5" t="n">
        <v>0.455</v>
      </c>
      <c r="AA370" s="5" t="n">
        <v>1.561</v>
      </c>
      <c r="AB370" s="5" t="n">
        <v>5.683</v>
      </c>
      <c r="AC370" s="5" t="n">
        <v>0</v>
      </c>
      <c r="AD370" s="5" t="n">
        <v>1</v>
      </c>
      <c r="AE370" s="5" t="n">
        <v>4.693</v>
      </c>
      <c r="AF370" s="5" t="n">
        <v>0.918</v>
      </c>
      <c r="AG370" s="5" t="n">
        <v>0.989</v>
      </c>
      <c r="AH370" s="5" t="n">
        <v>5.683</v>
      </c>
      <c r="AI370" s="5" t="n">
        <v>0</v>
      </c>
      <c r="AJ370" s="5" t="n">
        <v>1</v>
      </c>
      <c r="AK370" s="5" t="n">
        <v>8.122999999999999</v>
      </c>
      <c r="AL370" s="5" t="n">
        <v>3.855</v>
      </c>
      <c r="AM370" s="5" t="n">
        <v>2.387</v>
      </c>
      <c r="AN370" s="5" t="n">
        <v>11.561</v>
      </c>
      <c r="AO370" s="5" t="n">
        <v>0.1</v>
      </c>
      <c r="AP370" s="5" t="n">
        <v>1</v>
      </c>
      <c r="AQ370" s="5" t="n">
        <v>0.621</v>
      </c>
      <c r="AR370" s="5" t="n">
        <v>0.114</v>
      </c>
      <c r="AS370" s="5" t="n">
        <v>-0.178</v>
      </c>
      <c r="AT370" s="5" t="n">
        <v>0.495</v>
      </c>
      <c r="AU370" s="5" t="n">
        <v>0</v>
      </c>
      <c r="AV370" s="5" t="n">
        <v>0</v>
      </c>
      <c r="AW370" s="5" t="n">
        <v>0.593</v>
      </c>
      <c r="AX370" s="5" t="n">
        <v>0.114</v>
      </c>
      <c r="AY370" s="5" t="n">
        <v>-0.225</v>
      </c>
      <c r="AZ370" s="5" t="n">
        <v>0.405</v>
      </c>
      <c r="BA370" s="5" t="n">
        <v>0</v>
      </c>
      <c r="BB370" s="5" t="n">
        <v>0</v>
      </c>
      <c r="BC370" s="5" t="n">
        <v>0.44</v>
      </c>
      <c r="BD370" s="5" t="n">
        <v>0.114</v>
      </c>
      <c r="BE370" s="5" t="n">
        <v>-0.293</v>
      </c>
      <c r="BF370" s="5" t="n">
        <v>0.161</v>
      </c>
      <c r="BG370" s="5" t="n">
        <v>0</v>
      </c>
      <c r="BH370" s="5" t="n">
        <v>0</v>
      </c>
      <c r="BI370" s="5" t="n">
        <v>0.5600000000000001</v>
      </c>
      <c r="BJ370" s="5" t="n">
        <v>0.114</v>
      </c>
      <c r="BK370" s="5" t="n">
        <v>-0.398</v>
      </c>
      <c r="BL370" s="5" t="n">
        <v>0.179</v>
      </c>
      <c r="BM370" s="5" t="n">
        <v>0</v>
      </c>
      <c r="BN370" s="5" t="n">
        <v>0</v>
      </c>
      <c r="BO370" s="5" t="n">
        <v>0</v>
      </c>
      <c r="BP370" s="5" t="n">
        <v>-0.005</v>
      </c>
      <c r="BQ370" s="5" t="n">
        <v>0.076</v>
      </c>
      <c r="BR370" s="5" t="n">
        <v>0</v>
      </c>
      <c r="BS370" s="5" t="n">
        <v>0.667</v>
      </c>
      <c r="BT370" s="5" t="n">
        <v>0</v>
      </c>
      <c r="BU370" s="5" t="n">
        <v>-0.005</v>
      </c>
      <c r="BV370" s="5" t="n">
        <v>0.07199999999999999</v>
      </c>
      <c r="BW370" s="5" t="n">
        <v>0</v>
      </c>
      <c r="BX370" s="5" t="n">
        <v>0.667</v>
      </c>
      <c r="BY370" s="5" t="n">
        <v>11.787</v>
      </c>
      <c r="BZ370" s="5" t="n">
        <v>0</v>
      </c>
      <c r="CA370" s="5" t="n">
        <v>11.787</v>
      </c>
      <c r="CB370" s="5" t="n">
        <v>0</v>
      </c>
      <c r="CC370" s="5" t="n">
        <v>81.69499999999999</v>
      </c>
      <c r="CD370" s="5" t="n">
        <v>7.95</v>
      </c>
      <c r="CE370" s="5" t="n">
        <v>-56.426</v>
      </c>
      <c r="CF370" s="5" t="n">
        <v>27.797</v>
      </c>
      <c r="CG370" s="5" t="n">
        <v>0</v>
      </c>
      <c r="CH370" s="5" t="n">
        <v>0</v>
      </c>
      <c r="CI370" s="5" t="n">
        <v>0</v>
      </c>
      <c r="CJ370" s="5" t="n">
        <v>0</v>
      </c>
      <c r="CK370" s="5" t="n">
        <v>0</v>
      </c>
      <c r="CL370" s="5" t="n">
        <v>5.263</v>
      </c>
      <c r="CM370" s="5" t="n">
        <v>0</v>
      </c>
      <c r="CN370" s="5" t="n">
        <v>0.302</v>
      </c>
      <c r="CO370" s="5" t="n">
        <v>0.22</v>
      </c>
      <c r="CP370" s="5" t="n">
        <v>0</v>
      </c>
      <c r="CQ370" s="5" t="n">
        <v>1.137</v>
      </c>
      <c r="CR370" s="5" t="n">
        <v>1</v>
      </c>
      <c r="CS370" s="5" t="n">
        <v>3.55</v>
      </c>
      <c r="CT370" s="5" t="n">
        <v>4.633</v>
      </c>
      <c r="CU370" s="5" t="n">
        <v>14.129</v>
      </c>
    </row>
    <row r="371">
      <c r="A371" s="5" t="inlineStr">
        <is>
          <t>IDN2022</t>
        </is>
      </c>
      <c r="B371" s="5" t="inlineStr">
        <is>
          <t>IDN</t>
        </is>
      </c>
      <c r="C371" s="5" t="inlineStr">
        <is>
          <t>IDN</t>
        </is>
      </c>
      <c r="D371" s="5" t="inlineStr">
        <is>
          <t>Indonesia</t>
        </is>
      </c>
      <c r="E371" s="5" t="n">
        <v>2022</v>
      </c>
      <c r="F371" s="5" t="n">
        <v>0.11</v>
      </c>
      <c r="G371" s="5" t="n">
        <v>2.78</v>
      </c>
      <c r="H371" s="5" t="n">
        <v>0.432</v>
      </c>
      <c r="I371" s="5" t="n">
        <v>-0.181</v>
      </c>
      <c r="J371" s="5" t="n">
        <v>2.598</v>
      </c>
      <c r="K371" s="5" t="n">
        <v>0</v>
      </c>
      <c r="L371" s="5" t="n">
        <v>1</v>
      </c>
      <c r="M371" s="5" t="n">
        <v>2.967</v>
      </c>
      <c r="N371" s="5" t="n">
        <v>1.225</v>
      </c>
      <c r="O371" s="5" t="n">
        <v>-0.105</v>
      </c>
      <c r="P371" s="5" t="n">
        <v>2.863</v>
      </c>
      <c r="Q371" s="5" t="n">
        <v>0</v>
      </c>
      <c r="R371" s="5" t="n">
        <v>1</v>
      </c>
      <c r="S371" s="5" t="n">
        <v>2.909</v>
      </c>
      <c r="T371" s="5" t="n">
        <v>1.425</v>
      </c>
      <c r="U371" s="5" t="n">
        <v>0.059</v>
      </c>
      <c r="V371" s="5" t="n">
        <v>3.241</v>
      </c>
      <c r="W371" s="5" t="n">
        <v>0.1</v>
      </c>
      <c r="X371" s="5" t="n">
        <v>1</v>
      </c>
      <c r="Y371" s="5" t="n">
        <v>4.451</v>
      </c>
      <c r="Z371" s="5" t="n">
        <v>0.491</v>
      </c>
      <c r="AA371" s="5" t="n">
        <v>0.855</v>
      </c>
      <c r="AB371" s="5" t="n">
        <v>5.306</v>
      </c>
      <c r="AC371" s="5" t="n">
        <v>0</v>
      </c>
      <c r="AD371" s="5" t="n">
        <v>1</v>
      </c>
      <c r="AE371" s="5" t="n">
        <v>5.068</v>
      </c>
      <c r="AF371" s="5" t="n">
        <v>0.992</v>
      </c>
      <c r="AG371" s="5" t="n">
        <v>1.068</v>
      </c>
      <c r="AH371" s="5" t="n">
        <v>6.137</v>
      </c>
      <c r="AI371" s="5" t="n">
        <v>0</v>
      </c>
      <c r="AJ371" s="5" t="n">
        <v>1</v>
      </c>
      <c r="AK371" s="5" t="n">
        <v>8.772</v>
      </c>
      <c r="AL371" s="5" t="n">
        <v>4.163</v>
      </c>
      <c r="AM371" s="5" t="n">
        <v>2.662</v>
      </c>
      <c r="AN371" s="5" t="n">
        <v>12.485</v>
      </c>
      <c r="AO371" s="5" t="n">
        <v>0.1</v>
      </c>
      <c r="AP371" s="5" t="n">
        <v>1</v>
      </c>
      <c r="AQ371" s="5" t="n">
        <v>0.847</v>
      </c>
      <c r="AR371" s="5" t="n">
        <v>0.123</v>
      </c>
      <c r="AS371" s="5" t="n">
        <v>-0.189</v>
      </c>
      <c r="AT371" s="5" t="n">
        <v>0.737</v>
      </c>
      <c r="AU371" s="5" t="n">
        <v>0</v>
      </c>
      <c r="AV371" s="5" t="n">
        <v>0</v>
      </c>
      <c r="AW371" s="5" t="n">
        <v>0.947</v>
      </c>
      <c r="AX371" s="5" t="n">
        <v>0.123</v>
      </c>
      <c r="AY371" s="5" t="n">
        <v>-0.42</v>
      </c>
      <c r="AZ371" s="5" t="n">
        <v>0.579</v>
      </c>
      <c r="BA371" s="5" t="n">
        <v>0</v>
      </c>
      <c r="BB371" s="5" t="n">
        <v>0</v>
      </c>
      <c r="BC371" s="5" t="n">
        <v>0.589</v>
      </c>
      <c r="BD371" s="5" t="n">
        <v>0.123</v>
      </c>
      <c r="BE371" s="5" t="n">
        <v>-0.447</v>
      </c>
      <c r="BF371" s="5" t="n">
        <v>0.155</v>
      </c>
      <c r="BG371" s="5" t="n">
        <v>0</v>
      </c>
      <c r="BH371" s="5" t="n">
        <v>0</v>
      </c>
      <c r="BI371" s="5" t="n">
        <v>0.6889999999999999</v>
      </c>
      <c r="BJ371" s="5" t="n">
        <v>0.123</v>
      </c>
      <c r="BK371" s="5" t="n">
        <v>-0.542</v>
      </c>
      <c r="BL371" s="5" t="n">
        <v>0.161</v>
      </c>
      <c r="BM371" s="5" t="n">
        <v>0</v>
      </c>
      <c r="BN371" s="5" t="n">
        <v>0</v>
      </c>
      <c r="BO371" s="5" t="n">
        <v>0</v>
      </c>
      <c r="BP371" s="5" t="n">
        <v>-0.023</v>
      </c>
      <c r="BQ371" s="5" t="n">
        <v>0.073</v>
      </c>
      <c r="BR371" s="5" t="n">
        <v>0</v>
      </c>
      <c r="BS371" s="5" t="n">
        <v>0.667</v>
      </c>
      <c r="BT371" s="5" t="n">
        <v>0</v>
      </c>
      <c r="BU371" s="5" t="n">
        <v>-0.023</v>
      </c>
      <c r="BV371" s="5" t="n">
        <v>0.076</v>
      </c>
      <c r="BW371" s="5" t="n">
        <v>0</v>
      </c>
      <c r="BX371" s="5" t="n">
        <v>0.667</v>
      </c>
      <c r="BY371" s="5" t="n">
        <v>12.729</v>
      </c>
      <c r="BZ371" s="5" t="n">
        <v>0</v>
      </c>
      <c r="CA371" s="5" t="n">
        <v>12.729</v>
      </c>
      <c r="CB371" s="5" t="n">
        <v>0</v>
      </c>
      <c r="CC371" s="5" t="n">
        <v>102.477</v>
      </c>
      <c r="CD371" s="5" t="n">
        <v>7.95</v>
      </c>
      <c r="CE371" s="5" t="n">
        <v>-78.348</v>
      </c>
      <c r="CF371" s="5" t="n">
        <v>26.783</v>
      </c>
      <c r="CG371" s="5" t="n">
        <v>0</v>
      </c>
      <c r="CH371" s="5" t="n">
        <v>0</v>
      </c>
      <c r="CI371" s="5" t="n">
        <v>0</v>
      </c>
      <c r="CJ371" s="5" t="n">
        <v>0</v>
      </c>
      <c r="CK371" s="5" t="n">
        <v>0</v>
      </c>
      <c r="CL371" s="5" t="n">
        <v>5.683</v>
      </c>
      <c r="CM371" s="5" t="n">
        <v>0</v>
      </c>
      <c r="CN371" s="5" t="n">
        <v>0.322</v>
      </c>
      <c r="CO371" s="5" t="n">
        <v>0.226</v>
      </c>
      <c r="CP371" s="5" t="n">
        <v>0</v>
      </c>
      <c r="CQ371" s="5" t="n">
        <v>1.227</v>
      </c>
      <c r="CR371" s="5" t="n">
        <v>1</v>
      </c>
      <c r="CS371" s="5" t="n">
        <v>3.834</v>
      </c>
      <c r="CT371" s="5" t="n">
        <v>7.75</v>
      </c>
      <c r="CU371" s="5" t="n">
        <v>28.059</v>
      </c>
    </row>
    <row r="372">
      <c r="A372" s="5" t="inlineStr">
        <is>
          <t>IDN2023</t>
        </is>
      </c>
      <c r="B372" s="5" t="inlineStr">
        <is>
          <t>IDN</t>
        </is>
      </c>
      <c r="C372" s="5" t="inlineStr">
        <is>
          <t>IDN</t>
        </is>
      </c>
      <c r="D372" s="5" t="inlineStr">
        <is>
          <t>Indonesia</t>
        </is>
      </c>
      <c r="E372" s="5" t="n">
        <v>2023</v>
      </c>
      <c r="F372" s="5" t="n">
        <v>0.11</v>
      </c>
      <c r="G372" s="5" t="n">
        <v>2.765</v>
      </c>
      <c r="H372" s="5" t="n">
        <v>0.63</v>
      </c>
      <c r="I372" s="5" t="n">
        <v>0.08599999999999999</v>
      </c>
      <c r="J372" s="5" t="n">
        <v>2.85</v>
      </c>
      <c r="K372" s="5" t="n">
        <v>0</v>
      </c>
      <c r="L372" s="5" t="n">
        <v>1</v>
      </c>
      <c r="M372" s="5" t="n">
        <v>2.926</v>
      </c>
      <c r="N372" s="5" t="n">
        <v>1.451</v>
      </c>
      <c r="O372" s="5" t="n">
        <v>0</v>
      </c>
      <c r="P372" s="5" t="n">
        <v>2.926</v>
      </c>
      <c r="Q372" s="5" t="n">
        <v>0</v>
      </c>
      <c r="R372" s="5" t="n">
        <v>1</v>
      </c>
      <c r="S372" s="5" t="n">
        <v>2.96</v>
      </c>
      <c r="T372" s="5" t="n">
        <v>1.856</v>
      </c>
      <c r="U372" s="5" t="n">
        <v>0.061</v>
      </c>
      <c r="V372" s="5" t="n">
        <v>3.287</v>
      </c>
      <c r="W372" s="5" t="n">
        <v>0.1</v>
      </c>
      <c r="X372" s="5" t="n">
        <v>1</v>
      </c>
      <c r="Y372" s="5" t="n">
        <v>4.635</v>
      </c>
      <c r="Z372" s="5" t="n">
        <v>0.512</v>
      </c>
      <c r="AA372" s="5" t="n">
        <v>0.191</v>
      </c>
      <c r="AB372" s="5" t="n">
        <v>4.826</v>
      </c>
      <c r="AC372" s="5" t="n">
        <v>0</v>
      </c>
      <c r="AD372" s="5" t="n">
        <v>1</v>
      </c>
      <c r="AE372" s="5" t="n">
        <v>5.277</v>
      </c>
      <c r="AF372" s="5" t="n">
        <v>1.033</v>
      </c>
      <c r="AG372" s="5" t="n">
        <v>1.113</v>
      </c>
      <c r="AH372" s="5" t="n">
        <v>6.39</v>
      </c>
      <c r="AI372" s="5" t="n">
        <v>0</v>
      </c>
      <c r="AJ372" s="5" t="n">
        <v>1</v>
      </c>
      <c r="AK372" s="5" t="n">
        <v>9.134</v>
      </c>
      <c r="AL372" s="5" t="n">
        <v>4.335</v>
      </c>
      <c r="AM372" s="5" t="n">
        <v>2.815</v>
      </c>
      <c r="AN372" s="5" t="n">
        <v>13.001</v>
      </c>
      <c r="AO372" s="5" t="n">
        <v>0.1</v>
      </c>
      <c r="AP372" s="5" t="n">
        <v>1</v>
      </c>
      <c r="AQ372" s="5" t="n">
        <v>0.749</v>
      </c>
      <c r="AR372" s="5" t="n">
        <v>0.129</v>
      </c>
      <c r="AS372" s="5" t="n">
        <v>-0.128</v>
      </c>
      <c r="AT372" s="5" t="n">
        <v>0.696</v>
      </c>
      <c r="AU372" s="5" t="n">
        <v>0</v>
      </c>
      <c r="AV372" s="5" t="n">
        <v>0</v>
      </c>
      <c r="AW372" s="5" t="n">
        <v>0.783</v>
      </c>
      <c r="AX372" s="5" t="n">
        <v>0.129</v>
      </c>
      <c r="AY372" s="5" t="n">
        <v>-0.294</v>
      </c>
      <c r="AZ372" s="5" t="n">
        <v>0.538</v>
      </c>
      <c r="BA372" s="5" t="n">
        <v>0</v>
      </c>
      <c r="BB372" s="5" t="n">
        <v>0</v>
      </c>
      <c r="BC372" s="5" t="n">
        <v>0.527</v>
      </c>
      <c r="BD372" s="5" t="n">
        <v>0.129</v>
      </c>
      <c r="BE372" s="5" t="n">
        <v>-0.39</v>
      </c>
      <c r="BF372" s="5" t="n">
        <v>0.151</v>
      </c>
      <c r="BG372" s="5" t="n">
        <v>0</v>
      </c>
      <c r="BH372" s="5" t="n">
        <v>0</v>
      </c>
      <c r="BI372" s="5" t="n">
        <v>0.64</v>
      </c>
      <c r="BJ372" s="5" t="n">
        <v>0.129</v>
      </c>
      <c r="BK372" s="5" t="n">
        <v>-0.468</v>
      </c>
      <c r="BL372" s="5" t="n">
        <v>0.189</v>
      </c>
      <c r="BM372" s="5" t="n">
        <v>0</v>
      </c>
      <c r="BN372" s="5" t="n">
        <v>0</v>
      </c>
      <c r="BO372" s="5" t="n">
        <v>0</v>
      </c>
      <c r="BP372" s="5" t="n">
        <v>-0.002</v>
      </c>
      <c r="BQ372" s="5" t="n">
        <v>0.07099999999999999</v>
      </c>
      <c r="BR372" s="5" t="n">
        <v>0</v>
      </c>
      <c r="BS372" s="5" t="n">
        <v>0.667</v>
      </c>
      <c r="BT372" s="5" t="n">
        <v>0</v>
      </c>
      <c r="BU372" s="5" t="n">
        <v>-0.002</v>
      </c>
      <c r="BV372" s="5" t="n">
        <v>0.076</v>
      </c>
      <c r="BW372" s="5" t="n">
        <v>0</v>
      </c>
      <c r="BX372" s="5" t="n">
        <v>0.667</v>
      </c>
      <c r="BY372" s="5" t="n">
        <v>13.254</v>
      </c>
      <c r="BZ372" s="5" t="n">
        <v>0</v>
      </c>
      <c r="CA372" s="5" t="n">
        <v>13.254</v>
      </c>
      <c r="CB372" s="5" t="n">
        <v>0</v>
      </c>
      <c r="CC372" s="5" t="n">
        <v>87.07899999999999</v>
      </c>
      <c r="CD372" s="5" t="n">
        <v>7.95</v>
      </c>
      <c r="CE372" s="5" t="n">
        <v>-63.524</v>
      </c>
      <c r="CF372" s="5" t="n">
        <v>26.146</v>
      </c>
      <c r="CG372" s="5" t="n">
        <v>0</v>
      </c>
      <c r="CH372" s="5" t="n">
        <v>0</v>
      </c>
      <c r="CI372" s="5" t="n">
        <v>0</v>
      </c>
      <c r="CJ372" s="5" t="n">
        <v>0</v>
      </c>
      <c r="CK372" s="5" t="n">
        <v>0</v>
      </c>
      <c r="CL372" s="5" t="n">
        <v>5.918</v>
      </c>
      <c r="CM372" s="5" t="n">
        <v>0</v>
      </c>
      <c r="CN372" s="5" t="n">
        <v>0.337</v>
      </c>
      <c r="CO372" s="5" t="n">
        <v>0.232</v>
      </c>
      <c r="CP372" s="5" t="n">
        <v>0</v>
      </c>
      <c r="CQ372" s="5" t="n">
        <v>1.278</v>
      </c>
      <c r="CR372" s="5" t="n">
        <v>1</v>
      </c>
      <c r="CS372" s="5" t="n">
        <v>3.992</v>
      </c>
      <c r="CT372" s="5" t="n">
        <v>5.207</v>
      </c>
      <c r="CU372" s="5" t="n">
        <v>9.260999999999999</v>
      </c>
    </row>
    <row r="373">
      <c r="A373" s="5" t="inlineStr">
        <is>
          <t>IDN2024</t>
        </is>
      </c>
      <c r="B373" s="5" t="inlineStr">
        <is>
          <t>IDN</t>
        </is>
      </c>
      <c r="C373" s="5" t="inlineStr">
        <is>
          <t>IDN</t>
        </is>
      </c>
      <c r="D373" s="5" t="inlineStr">
        <is>
          <t>Indonesia</t>
        </is>
      </c>
      <c r="E373" s="5" t="n">
        <v>2024</v>
      </c>
      <c r="F373" s="5" t="n">
        <v>0.11</v>
      </c>
      <c r="G373" s="5" t="n">
        <v>2.672</v>
      </c>
      <c r="H373" s="5" t="n">
        <v>0.677</v>
      </c>
      <c r="I373" s="5" t="n">
        <v>0.08</v>
      </c>
      <c r="J373" s="5" t="n">
        <v>2.752</v>
      </c>
      <c r="K373" s="5" t="n">
        <v>0</v>
      </c>
      <c r="L373" s="5" t="n">
        <v>1</v>
      </c>
      <c r="M373" s="5" t="n">
        <v>2.98</v>
      </c>
      <c r="N373" s="5" t="n">
        <v>1.623</v>
      </c>
      <c r="O373" s="5" t="n">
        <v>0</v>
      </c>
      <c r="P373" s="5" t="n">
        <v>2.98</v>
      </c>
      <c r="Q373" s="5" t="n">
        <v>0</v>
      </c>
      <c r="R373" s="5" t="n">
        <v>1</v>
      </c>
      <c r="S373" s="5" t="n">
        <v>2.971</v>
      </c>
      <c r="T373" s="5" t="n">
        <v>1.967</v>
      </c>
      <c r="U373" s="5" t="n">
        <v>0.059</v>
      </c>
      <c r="V373" s="5" t="n">
        <v>3.288</v>
      </c>
      <c r="W373" s="5" t="n">
        <v>0.1</v>
      </c>
      <c r="X373" s="5" t="n">
        <v>1</v>
      </c>
      <c r="Y373" s="5" t="n">
        <v>4.771</v>
      </c>
      <c r="Z373" s="5" t="n">
        <v>0.527</v>
      </c>
      <c r="AA373" s="5" t="n">
        <v>0.197</v>
      </c>
      <c r="AB373" s="5" t="n">
        <v>4.968</v>
      </c>
      <c r="AC373" s="5" t="n">
        <v>0</v>
      </c>
      <c r="AD373" s="5" t="n">
        <v>1</v>
      </c>
      <c r="AE373" s="5" t="n">
        <v>5.433</v>
      </c>
      <c r="AF373" s="5" t="n">
        <v>1.063</v>
      </c>
      <c r="AG373" s="5" t="n">
        <v>1.145</v>
      </c>
      <c r="AH373" s="5" t="n">
        <v>6.579</v>
      </c>
      <c r="AI373" s="5" t="n">
        <v>0</v>
      </c>
      <c r="AJ373" s="5" t="n">
        <v>1</v>
      </c>
      <c r="AK373" s="5" t="n">
        <v>9.404</v>
      </c>
      <c r="AL373" s="5" t="n">
        <v>4.463</v>
      </c>
      <c r="AM373" s="5" t="n">
        <v>2.929</v>
      </c>
      <c r="AN373" s="5" t="n">
        <v>13.384</v>
      </c>
      <c r="AO373" s="5" t="n">
        <v>0.1</v>
      </c>
      <c r="AP373" s="5" t="n">
        <v>1</v>
      </c>
      <c r="AQ373" s="5" t="n">
        <v>0.72</v>
      </c>
      <c r="AR373" s="5" t="n">
        <v>0.132</v>
      </c>
      <c r="AS373" s="5" t="n">
        <v>-0.15</v>
      </c>
      <c r="AT373" s="5" t="n">
        <v>0.639</v>
      </c>
      <c r="AU373" s="5" t="n">
        <v>0</v>
      </c>
      <c r="AV373" s="5" t="n">
        <v>0</v>
      </c>
      <c r="AW373" s="5" t="n">
        <v>0.734</v>
      </c>
      <c r="AX373" s="5" t="n">
        <v>0.132</v>
      </c>
      <c r="AY373" s="5" t="n">
        <v>-0.209</v>
      </c>
      <c r="AZ373" s="5" t="n">
        <v>0.577</v>
      </c>
      <c r="BA373" s="5" t="n">
        <v>0</v>
      </c>
      <c r="BB373" s="5" t="n">
        <v>0</v>
      </c>
      <c r="BC373" s="5" t="n">
        <v>0.51</v>
      </c>
      <c r="BD373" s="5" t="n">
        <v>0.132</v>
      </c>
      <c r="BE373" s="5" t="n">
        <v>-0.356</v>
      </c>
      <c r="BF373" s="5" t="n">
        <v>0.155</v>
      </c>
      <c r="BG373" s="5" t="n">
        <v>0</v>
      </c>
      <c r="BH373" s="5" t="n">
        <v>0</v>
      </c>
      <c r="BI373" s="5" t="n">
        <v>0.652</v>
      </c>
      <c r="BJ373" s="5" t="n">
        <v>0.132</v>
      </c>
      <c r="BK373" s="5" t="n">
        <v>-0.458</v>
      </c>
      <c r="BL373" s="5" t="n">
        <v>0.194</v>
      </c>
      <c r="BM373" s="5" t="n">
        <v>0</v>
      </c>
      <c r="BN373" s="5" t="n">
        <v>0</v>
      </c>
      <c r="BO373" s="5" t="n">
        <v>0</v>
      </c>
      <c r="BP373" s="5" t="n">
        <v>-0.002</v>
      </c>
      <c r="BQ373" s="5" t="n">
        <v>0.067</v>
      </c>
      <c r="BR373" s="5" t="n">
        <v>0</v>
      </c>
      <c r="BS373" s="5" t="n">
        <v>0.667</v>
      </c>
      <c r="BT373" s="5" t="n">
        <v>0</v>
      </c>
      <c r="BU373" s="5" t="n">
        <v>-0.002</v>
      </c>
      <c r="BV373" s="5" t="n">
        <v>0.073</v>
      </c>
      <c r="BW373" s="5" t="n">
        <v>0</v>
      </c>
      <c r="BX373" s="5" t="n">
        <v>0.667</v>
      </c>
      <c r="BY373" s="5" t="n">
        <v>13.646</v>
      </c>
      <c r="BZ373" s="5" t="n">
        <v>0</v>
      </c>
      <c r="CA373" s="5" t="n">
        <v>13.646</v>
      </c>
      <c r="CB373" s="5" t="n">
        <v>0</v>
      </c>
      <c r="CC373" s="5" t="n">
        <v>86.38500000000001</v>
      </c>
      <c r="CD373" s="5" t="n">
        <v>7.95</v>
      </c>
      <c r="CE373" s="5" t="n">
        <v>-59.592</v>
      </c>
      <c r="CF373" s="5" t="n">
        <v>26.794</v>
      </c>
      <c r="CG373" s="5" t="n">
        <v>0</v>
      </c>
      <c r="CH373" s="5" t="n">
        <v>0</v>
      </c>
      <c r="CI373" s="5" t="n">
        <v>0</v>
      </c>
      <c r="CJ373" s="5" t="n">
        <v>0</v>
      </c>
      <c r="CK373" s="5" t="n">
        <v>0</v>
      </c>
      <c r="CL373" s="5" t="n">
        <v>6.093</v>
      </c>
      <c r="CM373" s="5" t="n">
        <v>0</v>
      </c>
      <c r="CN373" s="5" t="n">
        <v>0.363</v>
      </c>
      <c r="CO373" s="5" t="n">
        <v>0.229</v>
      </c>
      <c r="CP373" s="5" t="n">
        <v>0</v>
      </c>
      <c r="CQ373" s="5" t="n">
        <v>1.316</v>
      </c>
      <c r="CR373" s="5" t="n">
        <v>1</v>
      </c>
      <c r="CS373" s="5" t="n">
        <v>4.11</v>
      </c>
      <c r="CT373" s="5" t="n">
        <v>3.682</v>
      </c>
      <c r="CU373" s="5" t="n">
        <v>7.598</v>
      </c>
    </row>
    <row r="374">
      <c r="A374" s="5" t="inlineStr">
        <is>
          <t>IRN2021</t>
        </is>
      </c>
      <c r="B374" s="5" t="inlineStr">
        <is>
          <t>IRN</t>
        </is>
      </c>
      <c r="C374" s="5" t="inlineStr">
        <is>
          <t>IRN</t>
        </is>
      </c>
      <c r="D374" s="5" t="inlineStr">
        <is>
          <t>Iran</t>
        </is>
      </c>
      <c r="E374" s="5" t="n">
        <v>2021</v>
      </c>
      <c r="F374" s="5" t="n">
        <v>0.09</v>
      </c>
      <c r="G374" s="5" t="n">
        <v>3.05</v>
      </c>
      <c r="H374" s="5" t="n">
        <v>0.843</v>
      </c>
      <c r="I374" s="5" t="n">
        <v>0.077</v>
      </c>
      <c r="J374" s="5" t="n">
        <v>3.127</v>
      </c>
      <c r="K374" s="5" t="n">
        <v>0</v>
      </c>
      <c r="L374" s="5" t="n">
        <v>1</v>
      </c>
      <c r="M374" s="5" t="n">
        <v>4.662</v>
      </c>
      <c r="N374" s="5" t="n">
        <v>2.528</v>
      </c>
      <c r="O374" s="5" t="n">
        <v>0.08400000000000001</v>
      </c>
      <c r="P374" s="5" t="n">
        <v>4.746</v>
      </c>
      <c r="Q374" s="5" t="n">
        <v>0</v>
      </c>
      <c r="R374" s="5" t="n">
        <v>1</v>
      </c>
      <c r="S374" s="5" t="n">
        <v>7.262</v>
      </c>
      <c r="T374" s="5" t="n">
        <v>5.055</v>
      </c>
      <c r="U374" s="5" t="n">
        <v>0.077</v>
      </c>
      <c r="V374" s="5" t="n">
        <v>8</v>
      </c>
      <c r="W374" s="5" t="n">
        <v>0.09</v>
      </c>
      <c r="X374" s="5" t="n">
        <v>1</v>
      </c>
      <c r="Y374" s="5" t="n">
        <v>2.987</v>
      </c>
      <c r="Z374" s="5" t="n">
        <v>0.455</v>
      </c>
      <c r="AA374" s="5" t="n">
        <v>-1.246</v>
      </c>
      <c r="AB374" s="5" t="n">
        <v>1.741</v>
      </c>
      <c r="AC374" s="5" t="n">
        <v>0</v>
      </c>
      <c r="AD374" s="5" t="n">
        <v>0</v>
      </c>
      <c r="AE374" s="5" t="n">
        <v>3.56</v>
      </c>
      <c r="AF374" s="5" t="n">
        <v>0.922</v>
      </c>
      <c r="AG374" s="5" t="n">
        <v>-2.36</v>
      </c>
      <c r="AH374" s="5" t="n">
        <v>1.2</v>
      </c>
      <c r="AI374" s="5" t="n">
        <v>0</v>
      </c>
      <c r="AJ374" s="5" t="n">
        <v>0</v>
      </c>
      <c r="AK374" s="5" t="n">
        <v>6.997</v>
      </c>
      <c r="AL374" s="5" t="n">
        <v>3.924</v>
      </c>
      <c r="AM374" s="5" t="n">
        <v>-2.583</v>
      </c>
      <c r="AN374" s="5" t="n">
        <v>4.414</v>
      </c>
      <c r="AO374" s="5" t="n">
        <v>0</v>
      </c>
      <c r="AP374" s="5" t="n">
        <v>0</v>
      </c>
      <c r="AQ374" s="5" t="n">
        <v>0.469</v>
      </c>
      <c r="AR374" s="5" t="n">
        <v>0.114</v>
      </c>
      <c r="AS374" s="5" t="n">
        <v>-0.249</v>
      </c>
      <c r="AT374" s="5" t="n">
        <v>0.24</v>
      </c>
      <c r="AU374" s="5" t="n">
        <v>0</v>
      </c>
      <c r="AV374" s="5" t="n">
        <v>0</v>
      </c>
      <c r="AW374" s="5" t="n">
        <v>0.449</v>
      </c>
      <c r="AX374" s="5" t="n">
        <v>0.114</v>
      </c>
      <c r="AY374" s="5" t="n">
        <v>-0.391</v>
      </c>
      <c r="AZ374" s="5" t="n">
        <v>0.064</v>
      </c>
      <c r="BA374" s="5" t="n">
        <v>0</v>
      </c>
      <c r="BB374" s="5" t="n">
        <v>0</v>
      </c>
      <c r="BC374" s="5" t="n">
        <v>0.342</v>
      </c>
      <c r="BD374" s="5" t="n">
        <v>0.114</v>
      </c>
      <c r="BE374" s="5" t="n">
        <v>0</v>
      </c>
      <c r="BF374" s="5" t="n">
        <v>0.373</v>
      </c>
      <c r="BG374" s="5" t="n">
        <v>0.09</v>
      </c>
      <c r="BH374" s="5" t="n">
        <v>1</v>
      </c>
      <c r="BI374" s="5" t="n">
        <v>0.426</v>
      </c>
      <c r="BJ374" s="5" t="n">
        <v>0.114</v>
      </c>
      <c r="BK374" s="5" t="n">
        <v>0</v>
      </c>
      <c r="BL374" s="5" t="n">
        <v>0.465</v>
      </c>
      <c r="BM374" s="5" t="n">
        <v>0.09</v>
      </c>
      <c r="BN374" s="5" t="n">
        <v>1</v>
      </c>
      <c r="BO374" s="5" t="n">
        <v>0</v>
      </c>
      <c r="BP374" s="5" t="n">
        <v>-0.073</v>
      </c>
      <c r="BQ374" s="5" t="n">
        <v>0.018</v>
      </c>
      <c r="BR374" s="5" t="n">
        <v>0</v>
      </c>
      <c r="BS374" s="5" t="n">
        <v>1</v>
      </c>
      <c r="BT374" s="5" t="n">
        <v>0</v>
      </c>
      <c r="BU374" s="5" t="n">
        <v>-0.073</v>
      </c>
      <c r="BV374" s="5" t="n">
        <v>0.032</v>
      </c>
      <c r="BW374" s="5" t="n">
        <v>0</v>
      </c>
      <c r="BX374" s="5" t="n">
        <v>0.833</v>
      </c>
      <c r="BY374" s="5" t="n">
        <v>11.787</v>
      </c>
      <c r="BZ374" s="5" t="n">
        <v>0</v>
      </c>
      <c r="CA374" s="5" t="n">
        <v>11.787</v>
      </c>
      <c r="CB374" s="5" t="n">
        <v>0</v>
      </c>
      <c r="CC374" s="5" t="n">
        <v>59.572</v>
      </c>
      <c r="CD374" s="5" t="n">
        <v>7.95</v>
      </c>
      <c r="CE374" s="5" t="n">
        <v>0</v>
      </c>
      <c r="CF374" s="5" t="n">
        <v>64.93300000000001</v>
      </c>
      <c r="CG374" s="5" t="n">
        <v>0.09</v>
      </c>
      <c r="CH374" s="5" t="n">
        <v>1</v>
      </c>
      <c r="CI374" s="5" t="n">
        <v>0</v>
      </c>
      <c r="CJ374" s="5" t="n">
        <v>0</v>
      </c>
      <c r="CK374" s="5" t="n">
        <v>0</v>
      </c>
      <c r="CL374" s="5" t="n">
        <v>0</v>
      </c>
      <c r="CM374" s="5" t="n">
        <v>0</v>
      </c>
      <c r="CN374" s="5" t="n">
        <v>0</v>
      </c>
      <c r="CO374" s="5" t="n">
        <v>0</v>
      </c>
      <c r="CP374" s="5" t="n">
        <v>0.526</v>
      </c>
      <c r="CQ374" s="5" t="n">
        <v>1.198</v>
      </c>
      <c r="CR374" s="5" t="n">
        <v>0.998</v>
      </c>
      <c r="CS374" s="5" t="n">
        <v>2.399</v>
      </c>
      <c r="CT374" s="5" t="n">
        <v>3.327</v>
      </c>
      <c r="CU374" s="5" t="n">
        <v>9.891</v>
      </c>
    </row>
    <row r="375">
      <c r="A375" s="5" t="inlineStr">
        <is>
          <t>IRN2022</t>
        </is>
      </c>
      <c r="B375" s="5" t="inlineStr">
        <is>
          <t>IRN</t>
        </is>
      </c>
      <c r="C375" s="5" t="inlineStr">
        <is>
          <t>IRN</t>
        </is>
      </c>
      <c r="D375" s="5" t="inlineStr">
        <is>
          <t>Iran</t>
        </is>
      </c>
      <c r="E375" s="5" t="n">
        <v>2022</v>
      </c>
      <c r="F375" s="5" t="n">
        <v>0.09</v>
      </c>
      <c r="G375" s="5" t="n">
        <v>4.998</v>
      </c>
      <c r="H375" s="5" t="n">
        <v>0.903</v>
      </c>
      <c r="I375" s="5" t="n">
        <v>0.18</v>
      </c>
      <c r="J375" s="5" t="n">
        <v>5.178</v>
      </c>
      <c r="K375" s="5" t="n">
        <v>0</v>
      </c>
      <c r="L375" s="5" t="n">
        <v>1</v>
      </c>
      <c r="M375" s="5" t="n">
        <v>5.375</v>
      </c>
      <c r="N375" s="5" t="n">
        <v>2.71</v>
      </c>
      <c r="O375" s="5" t="n">
        <v>0.118</v>
      </c>
      <c r="P375" s="5" t="n">
        <v>5.494</v>
      </c>
      <c r="Q375" s="5" t="n">
        <v>0</v>
      </c>
      <c r="R375" s="5" t="n">
        <v>1</v>
      </c>
      <c r="S375" s="5" t="n">
        <v>9.513999999999999</v>
      </c>
      <c r="T375" s="5" t="n">
        <v>5.42</v>
      </c>
      <c r="U375" s="5" t="n">
        <v>0.244</v>
      </c>
      <c r="V375" s="5" t="n">
        <v>10.567</v>
      </c>
      <c r="W375" s="5" t="n">
        <v>0.09</v>
      </c>
      <c r="X375" s="5" t="n">
        <v>1</v>
      </c>
      <c r="Y375" s="5" t="n">
        <v>3.21</v>
      </c>
      <c r="Z375" s="5" t="n">
        <v>0.489</v>
      </c>
      <c r="AA375" s="5" t="n">
        <v>-1.345</v>
      </c>
      <c r="AB375" s="5" t="n">
        <v>1.865</v>
      </c>
      <c r="AC375" s="5" t="n">
        <v>0</v>
      </c>
      <c r="AD375" s="5" t="n">
        <v>0</v>
      </c>
      <c r="AE375" s="5" t="n">
        <v>3.828</v>
      </c>
      <c r="AF375" s="5" t="n">
        <v>0.992</v>
      </c>
      <c r="AG375" s="5" t="n">
        <v>-2.549</v>
      </c>
      <c r="AH375" s="5" t="n">
        <v>1.28</v>
      </c>
      <c r="AI375" s="5" t="n">
        <v>0</v>
      </c>
      <c r="AJ375" s="5" t="n">
        <v>0</v>
      </c>
      <c r="AK375" s="5" t="n">
        <v>7.54</v>
      </c>
      <c r="AL375" s="5" t="n">
        <v>4.228</v>
      </c>
      <c r="AM375" s="5" t="n">
        <v>-2.789</v>
      </c>
      <c r="AN375" s="5" t="n">
        <v>4.751</v>
      </c>
      <c r="AO375" s="5" t="n">
        <v>0</v>
      </c>
      <c r="AP375" s="5" t="n">
        <v>0</v>
      </c>
      <c r="AQ375" s="5" t="n">
        <v>0.63</v>
      </c>
      <c r="AR375" s="5" t="n">
        <v>0.123</v>
      </c>
      <c r="AS375" s="5" t="n">
        <v>-0.42</v>
      </c>
      <c r="AT375" s="5" t="n">
        <v>0.229</v>
      </c>
      <c r="AU375" s="5" t="n">
        <v>0</v>
      </c>
      <c r="AV375" s="5" t="n">
        <v>0</v>
      </c>
      <c r="AW375" s="5" t="n">
        <v>0.7</v>
      </c>
      <c r="AX375" s="5" t="n">
        <v>0.123</v>
      </c>
      <c r="AY375" s="5" t="n">
        <v>-0.642</v>
      </c>
      <c r="AZ375" s="5" t="n">
        <v>0.062</v>
      </c>
      <c r="BA375" s="5" t="n">
        <v>0</v>
      </c>
      <c r="BB375" s="5" t="n">
        <v>0</v>
      </c>
      <c r="BC375" s="5" t="n">
        <v>0.449</v>
      </c>
      <c r="BD375" s="5" t="n">
        <v>0.123</v>
      </c>
      <c r="BE375" s="5" t="n">
        <v>0.003</v>
      </c>
      <c r="BF375" s="5" t="n">
        <v>0.489</v>
      </c>
      <c r="BG375" s="5" t="n">
        <v>0.09</v>
      </c>
      <c r="BH375" s="5" t="n">
        <v>1</v>
      </c>
      <c r="BI375" s="5" t="n">
        <v>0.519</v>
      </c>
      <c r="BJ375" s="5" t="n">
        <v>0.123</v>
      </c>
      <c r="BK375" s="5" t="n">
        <v>0.003</v>
      </c>
      <c r="BL375" s="5" t="n">
        <v>0.5659999999999999</v>
      </c>
      <c r="BM375" s="5" t="n">
        <v>0.09</v>
      </c>
      <c r="BN375" s="5" t="n">
        <v>1</v>
      </c>
      <c r="BO375" s="5" t="n">
        <v>0</v>
      </c>
      <c r="BP375" s="5" t="n">
        <v>-0.073</v>
      </c>
      <c r="BQ375" s="5" t="n">
        <v>0.017</v>
      </c>
      <c r="BR375" s="5" t="n">
        <v>0</v>
      </c>
      <c r="BS375" s="5" t="n">
        <v>1</v>
      </c>
      <c r="BT375" s="5" t="n">
        <v>0</v>
      </c>
      <c r="BU375" s="5" t="n">
        <v>-0.073</v>
      </c>
      <c r="BV375" s="5" t="n">
        <v>0.031</v>
      </c>
      <c r="BW375" s="5" t="n">
        <v>0</v>
      </c>
      <c r="BX375" s="5" t="n">
        <v>0.833</v>
      </c>
      <c r="BY375" s="5" t="n">
        <v>12.729</v>
      </c>
      <c r="BZ375" s="5" t="n">
        <v>0</v>
      </c>
      <c r="CA375" s="5" t="n">
        <v>12.729</v>
      </c>
      <c r="CB375" s="5" t="n">
        <v>0</v>
      </c>
      <c r="CC375" s="5" t="n">
        <v>74.119</v>
      </c>
      <c r="CD375" s="5" t="n">
        <v>7.95</v>
      </c>
      <c r="CE375" s="5" t="n">
        <v>0.494</v>
      </c>
      <c r="CF375" s="5" t="n">
        <v>80.789</v>
      </c>
      <c r="CG375" s="5" t="n">
        <v>0.09</v>
      </c>
      <c r="CH375" s="5" t="n">
        <v>1</v>
      </c>
      <c r="CI375" s="5" t="n">
        <v>0</v>
      </c>
      <c r="CJ375" s="5" t="n">
        <v>0</v>
      </c>
      <c r="CK375" s="5" t="n">
        <v>0</v>
      </c>
      <c r="CL375" s="5" t="n">
        <v>0</v>
      </c>
      <c r="CM375" s="5" t="n">
        <v>0</v>
      </c>
      <c r="CN375" s="5" t="n">
        <v>0</v>
      </c>
      <c r="CO375" s="5" t="n">
        <v>0</v>
      </c>
      <c r="CP375" s="5" t="n">
        <v>0.537</v>
      </c>
      <c r="CQ375" s="5" t="n">
        <v>1.294</v>
      </c>
      <c r="CR375" s="5" t="n">
        <v>0.998</v>
      </c>
      <c r="CS375" s="5" t="n">
        <v>2.591</v>
      </c>
      <c r="CT375" s="5" t="n">
        <v>7.34</v>
      </c>
      <c r="CU375" s="5" t="n">
        <v>19.642</v>
      </c>
    </row>
    <row r="376">
      <c r="A376" s="5" t="inlineStr">
        <is>
          <t>IRN2023</t>
        </is>
      </c>
      <c r="B376" s="5" t="inlineStr">
        <is>
          <t>IRN</t>
        </is>
      </c>
      <c r="C376" s="5" t="inlineStr">
        <is>
          <t>IRN</t>
        </is>
      </c>
      <c r="D376" s="5" t="inlineStr">
        <is>
          <t>Iran</t>
        </is>
      </c>
      <c r="E376" s="5" t="n">
        <v>2023</v>
      </c>
      <c r="F376" s="5" t="n">
        <v>0.09</v>
      </c>
      <c r="G376" s="5" t="n">
        <v>2.89</v>
      </c>
      <c r="H376" s="5" t="n">
        <v>0.857</v>
      </c>
      <c r="I376" s="5" t="n">
        <v>0.063</v>
      </c>
      <c r="J376" s="5" t="n">
        <v>2.952</v>
      </c>
      <c r="K376" s="5" t="n">
        <v>0</v>
      </c>
      <c r="L376" s="5" t="n">
        <v>1</v>
      </c>
      <c r="M376" s="5" t="n">
        <v>4.41</v>
      </c>
      <c r="N376" s="5" t="n">
        <v>2.571</v>
      </c>
      <c r="O376" s="5" t="n">
        <v>0.059</v>
      </c>
      <c r="P376" s="5" t="n">
        <v>4.469</v>
      </c>
      <c r="Q376" s="5" t="n">
        <v>0</v>
      </c>
      <c r="R376" s="5" t="n">
        <v>1</v>
      </c>
      <c r="S376" s="5" t="n">
        <v>7.176</v>
      </c>
      <c r="T376" s="5" t="n">
        <v>5.143</v>
      </c>
      <c r="U376" s="5" t="n">
        <v>0.135</v>
      </c>
      <c r="V376" s="5" t="n">
        <v>7.89</v>
      </c>
      <c r="W376" s="5" t="n">
        <v>0.09</v>
      </c>
      <c r="X376" s="5" t="n">
        <v>1</v>
      </c>
      <c r="Y376" s="5" t="n">
        <v>3.342</v>
      </c>
      <c r="Z376" s="5" t="n">
        <v>0.509</v>
      </c>
      <c r="AA376" s="5" t="n">
        <v>-0.9320000000000001</v>
      </c>
      <c r="AB376" s="5" t="n">
        <v>2.41</v>
      </c>
      <c r="AC376" s="5" t="n">
        <v>0</v>
      </c>
      <c r="AD376" s="5" t="n">
        <v>0</v>
      </c>
      <c r="AE376" s="5" t="n">
        <v>3.986</v>
      </c>
      <c r="AF376" s="5" t="n">
        <v>1.033</v>
      </c>
      <c r="AG376" s="5" t="n">
        <v>-2.186</v>
      </c>
      <c r="AH376" s="5" t="n">
        <v>1.801</v>
      </c>
      <c r="AI376" s="5" t="n">
        <v>0</v>
      </c>
      <c r="AJ376" s="5" t="n">
        <v>0</v>
      </c>
      <c r="AK376" s="5" t="n">
        <v>7.851</v>
      </c>
      <c r="AL376" s="5" t="n">
        <v>4.403</v>
      </c>
      <c r="AM376" s="5" t="n">
        <v>-2.907</v>
      </c>
      <c r="AN376" s="5" t="n">
        <v>4.944</v>
      </c>
      <c r="AO376" s="5" t="n">
        <v>0</v>
      </c>
      <c r="AP376" s="5" t="n">
        <v>0</v>
      </c>
      <c r="AQ376" s="5" t="n">
        <v>0.5629999999999999</v>
      </c>
      <c r="AR376" s="5" t="n">
        <v>0.129</v>
      </c>
      <c r="AS376" s="5" t="n">
        <v>-0.303</v>
      </c>
      <c r="AT376" s="5" t="n">
        <v>0.283</v>
      </c>
      <c r="AU376" s="5" t="n">
        <v>0</v>
      </c>
      <c r="AV376" s="5" t="n">
        <v>0</v>
      </c>
      <c r="AW376" s="5" t="n">
        <v>0.586</v>
      </c>
      <c r="AX376" s="5" t="n">
        <v>0.129</v>
      </c>
      <c r="AY376" s="5" t="n">
        <v>-0.528</v>
      </c>
      <c r="AZ376" s="5" t="n">
        <v>0.063</v>
      </c>
      <c r="BA376" s="5" t="n">
        <v>0</v>
      </c>
      <c r="BB376" s="5" t="n">
        <v>0</v>
      </c>
      <c r="BC376" s="5" t="n">
        <v>0.408</v>
      </c>
      <c r="BD376" s="5" t="n">
        <v>0.129</v>
      </c>
      <c r="BE376" s="5" t="n">
        <v>0.004</v>
      </c>
      <c r="BF376" s="5" t="n">
        <v>0.444</v>
      </c>
      <c r="BG376" s="5" t="n">
        <v>0.09</v>
      </c>
      <c r="BH376" s="5" t="n">
        <v>1</v>
      </c>
      <c r="BI376" s="5" t="n">
        <v>0.486</v>
      </c>
      <c r="BJ376" s="5" t="n">
        <v>0.129</v>
      </c>
      <c r="BK376" s="5" t="n">
        <v>0.005</v>
      </c>
      <c r="BL376" s="5" t="n">
        <v>0.53</v>
      </c>
      <c r="BM376" s="5" t="n">
        <v>0.09</v>
      </c>
      <c r="BN376" s="5" t="n">
        <v>1</v>
      </c>
      <c r="BO376" s="5" t="n">
        <v>0</v>
      </c>
      <c r="BP376" s="5" t="n">
        <v>-0.073</v>
      </c>
      <c r="BQ376" s="5" t="n">
        <v>0.018</v>
      </c>
      <c r="BR376" s="5" t="n">
        <v>0</v>
      </c>
      <c r="BS376" s="5" t="n">
        <v>1</v>
      </c>
      <c r="BT376" s="5" t="n">
        <v>0</v>
      </c>
      <c r="BU376" s="5" t="n">
        <v>-0.073</v>
      </c>
      <c r="BV376" s="5" t="n">
        <v>0.031</v>
      </c>
      <c r="BW376" s="5" t="n">
        <v>0</v>
      </c>
      <c r="BX376" s="5" t="n">
        <v>0.833</v>
      </c>
      <c r="BY376" s="5" t="n">
        <v>13.254</v>
      </c>
      <c r="BZ376" s="5" t="n">
        <v>0</v>
      </c>
      <c r="CA376" s="5" t="n">
        <v>13.254</v>
      </c>
      <c r="CB376" s="5" t="n">
        <v>0</v>
      </c>
      <c r="CC376" s="5" t="n">
        <v>63.34</v>
      </c>
      <c r="CD376" s="5" t="n">
        <v>7.95</v>
      </c>
      <c r="CE376" s="5" t="n">
        <v>0.631</v>
      </c>
      <c r="CF376" s="5" t="n">
        <v>69.041</v>
      </c>
      <c r="CG376" s="5" t="n">
        <v>0.09</v>
      </c>
      <c r="CH376" s="5" t="n">
        <v>1</v>
      </c>
      <c r="CI376" s="5" t="n">
        <v>0</v>
      </c>
      <c r="CJ376" s="5" t="n">
        <v>0</v>
      </c>
      <c r="CK376" s="5" t="n">
        <v>0</v>
      </c>
      <c r="CL376" s="5" t="n">
        <v>0</v>
      </c>
      <c r="CM376" s="5" t="n">
        <v>0</v>
      </c>
      <c r="CN376" s="5" t="n">
        <v>0</v>
      </c>
      <c r="CO376" s="5" t="n">
        <v>0</v>
      </c>
      <c r="CP376" s="5" t="n">
        <v>0.667</v>
      </c>
      <c r="CQ376" s="5" t="n">
        <v>1.348</v>
      </c>
      <c r="CR376" s="5" t="n">
        <v>0.998</v>
      </c>
      <c r="CS376" s="5" t="n">
        <v>2.698</v>
      </c>
      <c r="CT376" s="5" t="n">
        <v>3.403</v>
      </c>
      <c r="CU376" s="5" t="n">
        <v>6.483</v>
      </c>
    </row>
    <row r="377">
      <c r="A377" s="5" t="inlineStr">
        <is>
          <t>IRN2024</t>
        </is>
      </c>
      <c r="B377" s="5" t="inlineStr">
        <is>
          <t>IRN</t>
        </is>
      </c>
      <c r="C377" s="5" t="inlineStr">
        <is>
          <t>IRN</t>
        </is>
      </c>
      <c r="D377" s="5" t="inlineStr">
        <is>
          <t>Iran</t>
        </is>
      </c>
      <c r="E377" s="5" t="n">
        <v>2024</v>
      </c>
      <c r="F377" s="5" t="n">
        <v>0.09</v>
      </c>
      <c r="G377" s="5" t="n">
        <v>2.799</v>
      </c>
      <c r="H377" s="5" t="n">
        <v>0.882</v>
      </c>
      <c r="I377" s="5" t="n">
        <v>0.049</v>
      </c>
      <c r="J377" s="5" t="n">
        <v>2.848</v>
      </c>
      <c r="K377" s="5" t="n">
        <v>0</v>
      </c>
      <c r="L377" s="5" t="n">
        <v>1</v>
      </c>
      <c r="M377" s="5" t="n">
        <v>4.308</v>
      </c>
      <c r="N377" s="5" t="n">
        <v>2.647</v>
      </c>
      <c r="O377" s="5" t="n">
        <v>0.041</v>
      </c>
      <c r="P377" s="5" t="n">
        <v>4.349</v>
      </c>
      <c r="Q377" s="5" t="n">
        <v>0</v>
      </c>
      <c r="R377" s="5" t="n">
        <v>1</v>
      </c>
      <c r="S377" s="5" t="n">
        <v>7.212</v>
      </c>
      <c r="T377" s="5" t="n">
        <v>5.295</v>
      </c>
      <c r="U377" s="5" t="n">
        <v>0.138</v>
      </c>
      <c r="V377" s="5" t="n">
        <v>7.914</v>
      </c>
      <c r="W377" s="5" t="n">
        <v>0.09</v>
      </c>
      <c r="X377" s="5" t="n">
        <v>1</v>
      </c>
      <c r="Y377" s="5" t="n">
        <v>3.441</v>
      </c>
      <c r="Z377" s="5" t="n">
        <v>0.524</v>
      </c>
      <c r="AA377" s="5" t="n">
        <v>-0.96</v>
      </c>
      <c r="AB377" s="5" t="n">
        <v>2.481</v>
      </c>
      <c r="AC377" s="5" t="n">
        <v>0</v>
      </c>
      <c r="AD377" s="5" t="n">
        <v>0</v>
      </c>
      <c r="AE377" s="5" t="n">
        <v>4.104</v>
      </c>
      <c r="AF377" s="5" t="n">
        <v>1.063</v>
      </c>
      <c r="AG377" s="5" t="n">
        <v>-2.25</v>
      </c>
      <c r="AH377" s="5" t="n">
        <v>1.854</v>
      </c>
      <c r="AI377" s="5" t="n">
        <v>0</v>
      </c>
      <c r="AJ377" s="5" t="n">
        <v>0</v>
      </c>
      <c r="AK377" s="5" t="n">
        <v>8.083</v>
      </c>
      <c r="AL377" s="5" t="n">
        <v>4.533</v>
      </c>
      <c r="AM377" s="5" t="n">
        <v>-2.879</v>
      </c>
      <c r="AN377" s="5" t="n">
        <v>5.204</v>
      </c>
      <c r="AO377" s="5" t="n">
        <v>0</v>
      </c>
      <c r="AP377" s="5" t="n">
        <v>0</v>
      </c>
      <c r="AQ377" s="5" t="n">
        <v>0.544</v>
      </c>
      <c r="AR377" s="5" t="n">
        <v>0.132</v>
      </c>
      <c r="AS377" s="5" t="n">
        <v>-0.284</v>
      </c>
      <c r="AT377" s="5" t="n">
        <v>0.283</v>
      </c>
      <c r="AU377" s="5" t="n">
        <v>0</v>
      </c>
      <c r="AV377" s="5" t="n">
        <v>0</v>
      </c>
      <c r="AW377" s="5" t="n">
        <v>0.553</v>
      </c>
      <c r="AX377" s="5" t="n">
        <v>0.132</v>
      </c>
      <c r="AY377" s="5" t="n">
        <v>-0.495</v>
      </c>
      <c r="AZ377" s="5" t="n">
        <v>0.063</v>
      </c>
      <c r="BA377" s="5" t="n">
        <v>0</v>
      </c>
      <c r="BB377" s="5" t="n">
        <v>0</v>
      </c>
      <c r="BC377" s="5" t="n">
        <v>0.397</v>
      </c>
      <c r="BD377" s="5" t="n">
        <v>0.132</v>
      </c>
      <c r="BE377" s="5" t="n">
        <v>0.005</v>
      </c>
      <c r="BF377" s="5" t="n">
        <v>0.433</v>
      </c>
      <c r="BG377" s="5" t="n">
        <v>0.09</v>
      </c>
      <c r="BH377" s="5" t="n">
        <v>1</v>
      </c>
      <c r="BI377" s="5" t="n">
        <v>0.496</v>
      </c>
      <c r="BJ377" s="5" t="n">
        <v>0.132</v>
      </c>
      <c r="BK377" s="5" t="n">
        <v>0.006</v>
      </c>
      <c r="BL377" s="5" t="n">
        <v>0.541</v>
      </c>
      <c r="BM377" s="5" t="n">
        <v>0.09</v>
      </c>
      <c r="BN377" s="5" t="n">
        <v>1</v>
      </c>
      <c r="BO377" s="5" t="n">
        <v>0</v>
      </c>
      <c r="BP377" s="5" t="n">
        <v>-0.075</v>
      </c>
      <c r="BQ377" s="5" t="n">
        <v>0.019</v>
      </c>
      <c r="BR377" s="5" t="n">
        <v>0</v>
      </c>
      <c r="BS377" s="5" t="n">
        <v>1</v>
      </c>
      <c r="BT377" s="5" t="n">
        <v>0</v>
      </c>
      <c r="BU377" s="5" t="n">
        <v>-0.075</v>
      </c>
      <c r="BV377" s="5" t="n">
        <v>0.039</v>
      </c>
      <c r="BW377" s="5" t="n">
        <v>0</v>
      </c>
      <c r="BX377" s="5" t="n">
        <v>0.833</v>
      </c>
      <c r="BY377" s="5" t="n">
        <v>13.646</v>
      </c>
      <c r="BZ377" s="5" t="n">
        <v>0</v>
      </c>
      <c r="CA377" s="5" t="n">
        <v>13.646</v>
      </c>
      <c r="CB377" s="5" t="n">
        <v>0</v>
      </c>
      <c r="CC377" s="5" t="n">
        <v>62.855</v>
      </c>
      <c r="CD377" s="5" t="n">
        <v>7.95</v>
      </c>
      <c r="CE377" s="5" t="n">
        <v>0.771</v>
      </c>
      <c r="CF377" s="5" t="n">
        <v>68.512</v>
      </c>
      <c r="CG377" s="5" t="n">
        <v>0.09</v>
      </c>
      <c r="CH377" s="5" t="n">
        <v>1</v>
      </c>
      <c r="CI377" s="5" t="n">
        <v>0</v>
      </c>
      <c r="CJ377" s="5" t="n">
        <v>0</v>
      </c>
      <c r="CK377" s="5" t="n">
        <v>0</v>
      </c>
      <c r="CL377" s="5" t="n">
        <v>0</v>
      </c>
      <c r="CM377" s="5" t="n">
        <v>0</v>
      </c>
      <c r="CN377" s="5" t="n">
        <v>0</v>
      </c>
      <c r="CO377" s="5" t="n">
        <v>0</v>
      </c>
      <c r="CP377" s="5" t="n">
        <v>0.667</v>
      </c>
      <c r="CQ377" s="5" t="n">
        <v>1.387</v>
      </c>
      <c r="CR377" s="5" t="n">
        <v>0.998</v>
      </c>
      <c r="CS377" s="5" t="n">
        <v>2.778</v>
      </c>
      <c r="CT377" s="5" t="n">
        <v>2.976</v>
      </c>
      <c r="CU377" s="5" t="n">
        <v>5.319</v>
      </c>
    </row>
    <row r="378">
      <c r="A378" s="5" t="inlineStr">
        <is>
          <t>IRQ2021</t>
        </is>
      </c>
      <c r="B378" s="5" t="inlineStr">
        <is>
          <t>IRQ</t>
        </is>
      </c>
      <c r="C378" s="5" t="inlineStr">
        <is>
          <t>IRQ</t>
        </is>
      </c>
      <c r="D378" s="5" t="inlineStr">
        <is>
          <t>Iraq</t>
        </is>
      </c>
      <c r="E378" s="5" t="n">
        <v>2021</v>
      </c>
      <c r="F378" s="5" t="n">
        <v>0</v>
      </c>
      <c r="G378" s="5" t="n">
        <v>5.897</v>
      </c>
      <c r="H378" s="5" t="n">
        <v>1.143</v>
      </c>
      <c r="I378" s="5" t="n">
        <v>0.233</v>
      </c>
      <c r="J378" s="5" t="n">
        <v>6.13</v>
      </c>
      <c r="K378" s="5" t="n">
        <v>0</v>
      </c>
      <c r="L378" s="5" t="n">
        <v>1</v>
      </c>
      <c r="M378" s="5" t="n">
        <v>7.964</v>
      </c>
      <c r="N378" s="5" t="n">
        <v>3.43</v>
      </c>
      <c r="O378" s="5" t="n">
        <v>0.252</v>
      </c>
      <c r="P378" s="5" t="n">
        <v>8.217000000000001</v>
      </c>
      <c r="Q378" s="5" t="n">
        <v>0</v>
      </c>
      <c r="R378" s="5" t="n">
        <v>1</v>
      </c>
      <c r="S378" s="5" t="n">
        <v>11.613</v>
      </c>
      <c r="T378" s="5" t="n">
        <v>6.86</v>
      </c>
      <c r="U378" s="5" t="n">
        <v>0.233</v>
      </c>
      <c r="V378" s="5" t="n">
        <v>11.846</v>
      </c>
      <c r="W378" s="5" t="n">
        <v>0</v>
      </c>
      <c r="X378" s="5" t="n">
        <v>1</v>
      </c>
      <c r="Y378" s="5" t="n">
        <v>7.559</v>
      </c>
      <c r="Z378" s="5" t="n">
        <v>0.788</v>
      </c>
      <c r="AA378" s="5" t="n">
        <v>-2.972</v>
      </c>
      <c r="AB378" s="5" t="n">
        <v>4.588</v>
      </c>
      <c r="AC378" s="5" t="n">
        <v>0</v>
      </c>
      <c r="AD378" s="5" t="n">
        <v>0</v>
      </c>
      <c r="AE378" s="5" t="n">
        <v>8.419</v>
      </c>
      <c r="AF378" s="5" t="n">
        <v>1.557</v>
      </c>
      <c r="AG378" s="5" t="n">
        <v>-4.373</v>
      </c>
      <c r="AH378" s="5" t="n">
        <v>4.046</v>
      </c>
      <c r="AI378" s="5" t="n">
        <v>0</v>
      </c>
      <c r="AJ378" s="5" t="n">
        <v>0</v>
      </c>
      <c r="AK378" s="5" t="n">
        <v>13.577</v>
      </c>
      <c r="AL378" s="5" t="n">
        <v>6.201</v>
      </c>
      <c r="AM378" s="5" t="n">
        <v>0</v>
      </c>
      <c r="AN378" s="5" t="n">
        <v>13.577</v>
      </c>
      <c r="AO378" s="5" t="n">
        <v>0</v>
      </c>
      <c r="AP378" s="5" t="n">
        <v>1</v>
      </c>
      <c r="AQ378" s="5" t="n">
        <v>0.621</v>
      </c>
      <c r="AR378" s="5" t="n">
        <v>0.114</v>
      </c>
      <c r="AS378" s="5" t="n">
        <v>-0.264</v>
      </c>
      <c r="AT378" s="5" t="n">
        <v>0.357</v>
      </c>
      <c r="AU378" s="5" t="n">
        <v>0</v>
      </c>
      <c r="AV378" s="5" t="n">
        <v>0</v>
      </c>
      <c r="AW378" s="5" t="n">
        <v>0.593</v>
      </c>
      <c r="AX378" s="5" t="n">
        <v>0.114</v>
      </c>
      <c r="AY378" s="5" t="n">
        <v>-0.381</v>
      </c>
      <c r="AZ378" s="5" t="n">
        <v>0.212</v>
      </c>
      <c r="BA378" s="5" t="n">
        <v>0</v>
      </c>
      <c r="BB378" s="5" t="n">
        <v>0</v>
      </c>
      <c r="BC378" s="5" t="n">
        <v>0.44</v>
      </c>
      <c r="BD378" s="5" t="n">
        <v>0.114</v>
      </c>
      <c r="BE378" s="5" t="n">
        <v>0</v>
      </c>
      <c r="BF378" s="5" t="n">
        <v>0.44</v>
      </c>
      <c r="BG378" s="5" t="n">
        <v>0</v>
      </c>
      <c r="BH378" s="5" t="n">
        <v>1</v>
      </c>
      <c r="BI378" s="5" t="n">
        <v>0.5600000000000001</v>
      </c>
      <c r="BJ378" s="5" t="n">
        <v>0.114</v>
      </c>
      <c r="BK378" s="5" t="n">
        <v>0</v>
      </c>
      <c r="BL378" s="5" t="n">
        <v>0.5600000000000001</v>
      </c>
      <c r="BM378" s="5" t="n">
        <v>0</v>
      </c>
      <c r="BN378" s="5" t="n">
        <v>1</v>
      </c>
      <c r="BO378" s="5" t="n">
        <v>0</v>
      </c>
      <c r="BP378" s="5" t="n">
        <v>0</v>
      </c>
      <c r="BQ378" s="5" t="n">
        <v>0.041</v>
      </c>
      <c r="BR378" s="5" t="n">
        <v>0</v>
      </c>
      <c r="BS378" s="5" t="n">
        <v>0.667</v>
      </c>
      <c r="BT378" s="5" t="n">
        <v>0</v>
      </c>
      <c r="BU378" s="5" t="n">
        <v>0</v>
      </c>
      <c r="BV378" s="5" t="n">
        <v>0.024</v>
      </c>
      <c r="BW378" s="5" t="n">
        <v>0</v>
      </c>
      <c r="BX378" s="5" t="n">
        <v>0.833</v>
      </c>
      <c r="BY378" s="5" t="n">
        <v>11.787</v>
      </c>
      <c r="BZ378" s="5" t="n">
        <v>0</v>
      </c>
      <c r="CA378" s="5" t="n">
        <v>11.787</v>
      </c>
      <c r="CB378" s="5" t="n">
        <v>0</v>
      </c>
      <c r="CC378" s="5" t="n">
        <v>81.69499999999999</v>
      </c>
      <c r="CD378" s="5" t="n">
        <v>7.95</v>
      </c>
      <c r="CE378" s="5" t="n">
        <v>0</v>
      </c>
      <c r="CF378" s="5" t="n">
        <v>81.69499999999999</v>
      </c>
      <c r="CG378" s="5" t="n">
        <v>0</v>
      </c>
      <c r="CH378" s="5" t="n">
        <v>1</v>
      </c>
      <c r="CI378" s="5" t="n">
        <v>0</v>
      </c>
      <c r="CJ378" s="5" t="n">
        <v>0</v>
      </c>
      <c r="CK378" s="5" t="n">
        <v>0</v>
      </c>
      <c r="CL378" s="5" t="n">
        <v>0</v>
      </c>
      <c r="CM378" s="5" t="n">
        <v>0</v>
      </c>
      <c r="CN378" s="5" t="n">
        <v>0</v>
      </c>
      <c r="CO378" s="5" t="n">
        <v>0</v>
      </c>
      <c r="CP378" s="5" t="n">
        <v>0</v>
      </c>
      <c r="CQ378" s="5" t="n">
        <v>1.198</v>
      </c>
      <c r="CR378" s="5" t="n">
        <v>0.496</v>
      </c>
      <c r="CS378" s="5" t="n">
        <v>3.207</v>
      </c>
      <c r="CT378" s="5" t="n">
        <v>4.753</v>
      </c>
      <c r="CU378" s="5" t="n">
        <v>14.162</v>
      </c>
    </row>
    <row r="379">
      <c r="A379" s="5" t="inlineStr">
        <is>
          <t>IRQ2022</t>
        </is>
      </c>
      <c r="B379" s="5" t="inlineStr">
        <is>
          <t>IRQ</t>
        </is>
      </c>
      <c r="C379" s="5" t="inlineStr">
        <is>
          <t>IRQ</t>
        </is>
      </c>
      <c r="D379" s="5" t="inlineStr">
        <is>
          <t>Iraq</t>
        </is>
      </c>
      <c r="E379" s="5" t="n">
        <v>2022</v>
      </c>
      <c r="F379" s="5" t="n">
        <v>0</v>
      </c>
      <c r="G379" s="5" t="n">
        <v>11.72</v>
      </c>
      <c r="H379" s="5" t="n">
        <v>1.235</v>
      </c>
      <c r="I379" s="5" t="n">
        <v>0.555</v>
      </c>
      <c r="J379" s="5" t="n">
        <v>12.275</v>
      </c>
      <c r="K379" s="5" t="n">
        <v>0</v>
      </c>
      <c r="L379" s="5" t="n">
        <v>1</v>
      </c>
      <c r="M379" s="5" t="n">
        <v>9.782999999999999</v>
      </c>
      <c r="N379" s="5" t="n">
        <v>3.704</v>
      </c>
      <c r="O379" s="5" t="n">
        <v>0.365</v>
      </c>
      <c r="P379" s="5" t="n">
        <v>10.148</v>
      </c>
      <c r="Q379" s="5" t="n">
        <v>0</v>
      </c>
      <c r="R379" s="5" t="n">
        <v>1</v>
      </c>
      <c r="S379" s="5" t="n">
        <v>17.893</v>
      </c>
      <c r="T379" s="5" t="n">
        <v>7.408</v>
      </c>
      <c r="U379" s="5" t="n">
        <v>0.555</v>
      </c>
      <c r="V379" s="5" t="n">
        <v>18.448</v>
      </c>
      <c r="W379" s="5" t="n">
        <v>0</v>
      </c>
      <c r="X379" s="5" t="n">
        <v>1</v>
      </c>
      <c r="Y379" s="5" t="n">
        <v>12.691</v>
      </c>
      <c r="Z379" s="5" t="n">
        <v>1.323</v>
      </c>
      <c r="AA379" s="5" t="n">
        <v>-7.177</v>
      </c>
      <c r="AB379" s="5" t="n">
        <v>5.514</v>
      </c>
      <c r="AC379" s="5" t="n">
        <v>0</v>
      </c>
      <c r="AD379" s="5" t="n">
        <v>0</v>
      </c>
      <c r="AE379" s="5" t="n">
        <v>13.61</v>
      </c>
      <c r="AF379" s="5" t="n">
        <v>2.516</v>
      </c>
      <c r="AG379" s="5" t="n">
        <v>-8.682</v>
      </c>
      <c r="AH379" s="5" t="n">
        <v>4.929</v>
      </c>
      <c r="AI379" s="5" t="n">
        <v>0</v>
      </c>
      <c r="AJ379" s="5" t="n">
        <v>0</v>
      </c>
      <c r="AK379" s="5" t="n">
        <v>19.125</v>
      </c>
      <c r="AL379" s="5" t="n">
        <v>8.734</v>
      </c>
      <c r="AM379" s="5" t="n">
        <v>0</v>
      </c>
      <c r="AN379" s="5" t="n">
        <v>19.125</v>
      </c>
      <c r="AO379" s="5" t="n">
        <v>0</v>
      </c>
      <c r="AP379" s="5" t="n">
        <v>1</v>
      </c>
      <c r="AQ379" s="5" t="n">
        <v>0.847</v>
      </c>
      <c r="AR379" s="5" t="n">
        <v>0.123</v>
      </c>
      <c r="AS379" s="5" t="n">
        <v>-0.407</v>
      </c>
      <c r="AT379" s="5" t="n">
        <v>0.44</v>
      </c>
      <c r="AU379" s="5" t="n">
        <v>0</v>
      </c>
      <c r="AV379" s="5" t="n">
        <v>0</v>
      </c>
      <c r="AW379" s="5" t="n">
        <v>0.947</v>
      </c>
      <c r="AX379" s="5" t="n">
        <v>0.123</v>
      </c>
      <c r="AY379" s="5" t="n">
        <v>-0.646</v>
      </c>
      <c r="AZ379" s="5" t="n">
        <v>0.301</v>
      </c>
      <c r="BA379" s="5" t="n">
        <v>0</v>
      </c>
      <c r="BB379" s="5" t="n">
        <v>0</v>
      </c>
      <c r="BC379" s="5" t="n">
        <v>0.589</v>
      </c>
      <c r="BD379" s="5" t="n">
        <v>0.123</v>
      </c>
      <c r="BE379" s="5" t="n">
        <v>0</v>
      </c>
      <c r="BF379" s="5" t="n">
        <v>0.589</v>
      </c>
      <c r="BG379" s="5" t="n">
        <v>0</v>
      </c>
      <c r="BH379" s="5" t="n">
        <v>1</v>
      </c>
      <c r="BI379" s="5" t="n">
        <v>0.6889999999999999</v>
      </c>
      <c r="BJ379" s="5" t="n">
        <v>0.123</v>
      </c>
      <c r="BK379" s="5" t="n">
        <v>0</v>
      </c>
      <c r="BL379" s="5" t="n">
        <v>0.6889999999999999</v>
      </c>
      <c r="BM379" s="5" t="n">
        <v>0</v>
      </c>
      <c r="BN379" s="5" t="n">
        <v>1</v>
      </c>
      <c r="BO379" s="5" t="n">
        <v>0</v>
      </c>
      <c r="BP379" s="5" t="n">
        <v>0</v>
      </c>
      <c r="BQ379" s="5" t="n">
        <v>0.041</v>
      </c>
      <c r="BR379" s="5" t="n">
        <v>0</v>
      </c>
      <c r="BS379" s="5" t="n">
        <v>0.667</v>
      </c>
      <c r="BT379" s="5" t="n">
        <v>0</v>
      </c>
      <c r="BU379" s="5" t="n">
        <v>0</v>
      </c>
      <c r="BV379" s="5" t="n">
        <v>0.007</v>
      </c>
      <c r="BW379" s="5" t="n">
        <v>0</v>
      </c>
      <c r="BX379" s="5" t="n">
        <v>0.833</v>
      </c>
      <c r="BY379" s="5" t="n">
        <v>12.729</v>
      </c>
      <c r="BZ379" s="5" t="n">
        <v>0</v>
      </c>
      <c r="CA379" s="5" t="n">
        <v>12.729</v>
      </c>
      <c r="CB379" s="5" t="n">
        <v>0</v>
      </c>
      <c r="CC379" s="5" t="n">
        <v>102.477</v>
      </c>
      <c r="CD379" s="5" t="n">
        <v>7.95</v>
      </c>
      <c r="CE379" s="5" t="n">
        <v>0</v>
      </c>
      <c r="CF379" s="5" t="n">
        <v>102.477</v>
      </c>
      <c r="CG379" s="5" t="n">
        <v>0</v>
      </c>
      <c r="CH379" s="5" t="n">
        <v>1</v>
      </c>
      <c r="CI379" s="5" t="n">
        <v>0</v>
      </c>
      <c r="CJ379" s="5" t="n">
        <v>0</v>
      </c>
      <c r="CK379" s="5" t="n">
        <v>0</v>
      </c>
      <c r="CL379" s="5" t="n">
        <v>0</v>
      </c>
      <c r="CM379" s="5" t="n">
        <v>0</v>
      </c>
      <c r="CN379" s="5" t="n">
        <v>0</v>
      </c>
      <c r="CO379" s="5" t="n">
        <v>0</v>
      </c>
      <c r="CP379" s="5" t="n">
        <v>0</v>
      </c>
      <c r="CQ379" s="5" t="n">
        <v>1.294</v>
      </c>
      <c r="CR379" s="5" t="n">
        <v>0.511</v>
      </c>
      <c r="CS379" s="5" t="n">
        <v>3.463</v>
      </c>
      <c r="CT379" s="5" t="n">
        <v>10.485</v>
      </c>
      <c r="CU379" s="5" t="n">
        <v>30.326</v>
      </c>
    </row>
    <row r="380">
      <c r="A380" s="5" t="inlineStr">
        <is>
          <t>IRQ2023</t>
        </is>
      </c>
      <c r="B380" s="5" t="inlineStr">
        <is>
          <t>IRQ</t>
        </is>
      </c>
      <c r="C380" s="5" t="inlineStr">
        <is>
          <t>IRQ</t>
        </is>
      </c>
      <c r="D380" s="5" t="inlineStr">
        <is>
          <t>Iraq</t>
        </is>
      </c>
      <c r="E380" s="5" t="n">
        <v>2023</v>
      </c>
      <c r="F380" s="5" t="n">
        <v>0</v>
      </c>
      <c r="G380" s="5" t="n">
        <v>6.147</v>
      </c>
      <c r="H380" s="5" t="n">
        <v>1.286</v>
      </c>
      <c r="I380" s="5" t="n">
        <v>0.268</v>
      </c>
      <c r="J380" s="5" t="n">
        <v>6.415</v>
      </c>
      <c r="K380" s="5" t="n">
        <v>0</v>
      </c>
      <c r="L380" s="5" t="n">
        <v>1</v>
      </c>
      <c r="M380" s="5" t="n">
        <v>7.886</v>
      </c>
      <c r="N380" s="5" t="n">
        <v>3.857</v>
      </c>
      <c r="O380" s="5" t="n">
        <v>0.252</v>
      </c>
      <c r="P380" s="5" t="n">
        <v>8.138</v>
      </c>
      <c r="Q380" s="5" t="n">
        <v>0</v>
      </c>
      <c r="R380" s="5" t="n">
        <v>1</v>
      </c>
      <c r="S380" s="5" t="n">
        <v>12.575</v>
      </c>
      <c r="T380" s="5" t="n">
        <v>7.714</v>
      </c>
      <c r="U380" s="5" t="n">
        <v>0.268</v>
      </c>
      <c r="V380" s="5" t="n">
        <v>12.843</v>
      </c>
      <c r="W380" s="5" t="n">
        <v>0</v>
      </c>
      <c r="X380" s="5" t="n">
        <v>1</v>
      </c>
      <c r="Y380" s="5" t="n">
        <v>6.738</v>
      </c>
      <c r="Z380" s="5" t="n">
        <v>0.702</v>
      </c>
      <c r="AA380" s="5" t="n">
        <v>-1.579</v>
      </c>
      <c r="AB380" s="5" t="n">
        <v>5.159</v>
      </c>
      <c r="AC380" s="5" t="n">
        <v>0</v>
      </c>
      <c r="AD380" s="5" t="n">
        <v>0</v>
      </c>
      <c r="AE380" s="5" t="n">
        <v>7.696</v>
      </c>
      <c r="AF380" s="5" t="n">
        <v>1.423</v>
      </c>
      <c r="AG380" s="5" t="n">
        <v>-3.146</v>
      </c>
      <c r="AH380" s="5" t="n">
        <v>4.55</v>
      </c>
      <c r="AI380" s="5" t="n">
        <v>0</v>
      </c>
      <c r="AJ380" s="5" t="n">
        <v>0</v>
      </c>
      <c r="AK380" s="5" t="n">
        <v>13.442</v>
      </c>
      <c r="AL380" s="5" t="n">
        <v>6.139</v>
      </c>
      <c r="AM380" s="5" t="n">
        <v>0</v>
      </c>
      <c r="AN380" s="5" t="n">
        <v>13.442</v>
      </c>
      <c r="AO380" s="5" t="n">
        <v>0</v>
      </c>
      <c r="AP380" s="5" t="n">
        <v>1</v>
      </c>
      <c r="AQ380" s="5" t="n">
        <v>0.749</v>
      </c>
      <c r="AR380" s="5" t="n">
        <v>0.129</v>
      </c>
      <c r="AS380" s="5" t="n">
        <v>-0.378</v>
      </c>
      <c r="AT380" s="5" t="n">
        <v>0.371</v>
      </c>
      <c r="AU380" s="5" t="n">
        <v>0</v>
      </c>
      <c r="AV380" s="5" t="n">
        <v>0</v>
      </c>
      <c r="AW380" s="5" t="n">
        <v>0.783</v>
      </c>
      <c r="AX380" s="5" t="n">
        <v>0.129</v>
      </c>
      <c r="AY380" s="5" t="n">
        <v>-0.513</v>
      </c>
      <c r="AZ380" s="5" t="n">
        <v>0.269</v>
      </c>
      <c r="BA380" s="5" t="n">
        <v>0</v>
      </c>
      <c r="BB380" s="5" t="n">
        <v>0</v>
      </c>
      <c r="BC380" s="5" t="n">
        <v>0.527</v>
      </c>
      <c r="BD380" s="5" t="n">
        <v>0.129</v>
      </c>
      <c r="BE380" s="5" t="n">
        <v>0</v>
      </c>
      <c r="BF380" s="5" t="n">
        <v>0.527</v>
      </c>
      <c r="BG380" s="5" t="n">
        <v>0</v>
      </c>
      <c r="BH380" s="5" t="n">
        <v>1</v>
      </c>
      <c r="BI380" s="5" t="n">
        <v>0.64</v>
      </c>
      <c r="BJ380" s="5" t="n">
        <v>0.129</v>
      </c>
      <c r="BK380" s="5" t="n">
        <v>0</v>
      </c>
      <c r="BL380" s="5" t="n">
        <v>0.64</v>
      </c>
      <c r="BM380" s="5" t="n">
        <v>0</v>
      </c>
      <c r="BN380" s="5" t="n">
        <v>1</v>
      </c>
      <c r="BO380" s="5" t="n">
        <v>0</v>
      </c>
      <c r="BP380" s="5" t="n">
        <v>0</v>
      </c>
      <c r="BQ380" s="5" t="n">
        <v>0.045</v>
      </c>
      <c r="BR380" s="5" t="n">
        <v>0</v>
      </c>
      <c r="BS380" s="5" t="n">
        <v>0.667</v>
      </c>
      <c r="BT380" s="5" t="n">
        <v>0</v>
      </c>
      <c r="BU380" s="5" t="n">
        <v>0</v>
      </c>
      <c r="BV380" s="5" t="n">
        <v>0.007</v>
      </c>
      <c r="BW380" s="5" t="n">
        <v>0</v>
      </c>
      <c r="BX380" s="5" t="n">
        <v>0.833</v>
      </c>
      <c r="BY380" s="5" t="n">
        <v>13.254</v>
      </c>
      <c r="BZ380" s="5" t="n">
        <v>0</v>
      </c>
      <c r="CA380" s="5" t="n">
        <v>13.254</v>
      </c>
      <c r="CB380" s="5" t="n">
        <v>0</v>
      </c>
      <c r="CC380" s="5" t="n">
        <v>87.07899999999999</v>
      </c>
      <c r="CD380" s="5" t="n">
        <v>7.95</v>
      </c>
      <c r="CE380" s="5" t="n">
        <v>0</v>
      </c>
      <c r="CF380" s="5" t="n">
        <v>87.07899999999999</v>
      </c>
      <c r="CG380" s="5" t="n">
        <v>0</v>
      </c>
      <c r="CH380" s="5" t="n">
        <v>1</v>
      </c>
      <c r="CI380" s="5" t="n">
        <v>0</v>
      </c>
      <c r="CJ380" s="5" t="n">
        <v>0</v>
      </c>
      <c r="CK380" s="5" t="n">
        <v>0</v>
      </c>
      <c r="CL380" s="5" t="n">
        <v>0</v>
      </c>
      <c r="CM380" s="5" t="n">
        <v>0</v>
      </c>
      <c r="CN380" s="5" t="n">
        <v>0</v>
      </c>
      <c r="CO380" s="5" t="n">
        <v>0</v>
      </c>
      <c r="CP380" s="5" t="n">
        <v>0</v>
      </c>
      <c r="CQ380" s="5" t="n">
        <v>1.348</v>
      </c>
      <c r="CR380" s="5" t="n">
        <v>0.51</v>
      </c>
      <c r="CS380" s="5" t="n">
        <v>3.606</v>
      </c>
      <c r="CT380" s="5" t="n">
        <v>4.861</v>
      </c>
      <c r="CU380" s="5" t="n">
        <v>10.622</v>
      </c>
    </row>
    <row r="381">
      <c r="A381" s="5" t="inlineStr">
        <is>
          <t>IRQ2024</t>
        </is>
      </c>
      <c r="B381" s="5" t="inlineStr">
        <is>
          <t>IRQ</t>
        </is>
      </c>
      <c r="C381" s="5" t="inlineStr">
        <is>
          <t>IRQ</t>
        </is>
      </c>
      <c r="D381" s="5" t="inlineStr">
        <is>
          <t>Iraq</t>
        </is>
      </c>
      <c r="E381" s="5" t="n">
        <v>2024</v>
      </c>
      <c r="F381" s="5" t="n">
        <v>0</v>
      </c>
      <c r="G381" s="5" t="n">
        <v>5.575</v>
      </c>
      <c r="H381" s="5" t="n">
        <v>1.324</v>
      </c>
      <c r="I381" s="5" t="n">
        <v>0.208</v>
      </c>
      <c r="J381" s="5" t="n">
        <v>5.783</v>
      </c>
      <c r="K381" s="5" t="n">
        <v>0</v>
      </c>
      <c r="L381" s="5" t="n">
        <v>1</v>
      </c>
      <c r="M381" s="5" t="n">
        <v>7.124</v>
      </c>
      <c r="N381" s="5" t="n">
        <v>3.971</v>
      </c>
      <c r="O381" s="5" t="n">
        <v>0.176</v>
      </c>
      <c r="P381" s="5" t="n">
        <v>7.299</v>
      </c>
      <c r="Q381" s="5" t="n">
        <v>0</v>
      </c>
      <c r="R381" s="5" t="n">
        <v>1</v>
      </c>
      <c r="S381" s="5" t="n">
        <v>12.193</v>
      </c>
      <c r="T381" s="5" t="n">
        <v>7.942</v>
      </c>
      <c r="U381" s="5" t="n">
        <v>0.208</v>
      </c>
      <c r="V381" s="5" t="n">
        <v>12.401</v>
      </c>
      <c r="W381" s="5" t="n">
        <v>0</v>
      </c>
      <c r="X381" s="5" t="n">
        <v>1</v>
      </c>
      <c r="Y381" s="5" t="n">
        <v>6.389</v>
      </c>
      <c r="Z381" s="5" t="n">
        <v>0.666</v>
      </c>
      <c r="AA381" s="5" t="n">
        <v>-1.078</v>
      </c>
      <c r="AB381" s="5" t="n">
        <v>5.311</v>
      </c>
      <c r="AC381" s="5" t="n">
        <v>0</v>
      </c>
      <c r="AD381" s="5" t="n">
        <v>0</v>
      </c>
      <c r="AE381" s="5" t="n">
        <v>7.375</v>
      </c>
      <c r="AF381" s="5" t="n">
        <v>1.364</v>
      </c>
      <c r="AG381" s="5" t="n">
        <v>-2.691</v>
      </c>
      <c r="AH381" s="5" t="n">
        <v>4.684</v>
      </c>
      <c r="AI381" s="5" t="n">
        <v>0</v>
      </c>
      <c r="AJ381" s="5" t="n">
        <v>0</v>
      </c>
      <c r="AK381" s="5" t="n">
        <v>13.291</v>
      </c>
      <c r="AL381" s="5" t="n">
        <v>6.07</v>
      </c>
      <c r="AM381" s="5" t="n">
        <v>0</v>
      </c>
      <c r="AN381" s="5" t="n">
        <v>13.291</v>
      </c>
      <c r="AO381" s="5" t="n">
        <v>0</v>
      </c>
      <c r="AP381" s="5" t="n">
        <v>1</v>
      </c>
      <c r="AQ381" s="5" t="n">
        <v>0.72</v>
      </c>
      <c r="AR381" s="5" t="n">
        <v>0.132</v>
      </c>
      <c r="AS381" s="5" t="n">
        <v>-0.346</v>
      </c>
      <c r="AT381" s="5" t="n">
        <v>0.374</v>
      </c>
      <c r="AU381" s="5" t="n">
        <v>0</v>
      </c>
      <c r="AV381" s="5" t="n">
        <v>0</v>
      </c>
      <c r="AW381" s="5" t="n">
        <v>0.734</v>
      </c>
      <c r="AX381" s="5" t="n">
        <v>0.132</v>
      </c>
      <c r="AY381" s="5" t="n">
        <v>-0.472</v>
      </c>
      <c r="AZ381" s="5" t="n">
        <v>0.262</v>
      </c>
      <c r="BA381" s="5" t="n">
        <v>0</v>
      </c>
      <c r="BB381" s="5" t="n">
        <v>0</v>
      </c>
      <c r="BC381" s="5" t="n">
        <v>0.51</v>
      </c>
      <c r="BD381" s="5" t="n">
        <v>0.132</v>
      </c>
      <c r="BE381" s="5" t="n">
        <v>0</v>
      </c>
      <c r="BF381" s="5" t="n">
        <v>0.51</v>
      </c>
      <c r="BG381" s="5" t="n">
        <v>0</v>
      </c>
      <c r="BH381" s="5" t="n">
        <v>1</v>
      </c>
      <c r="BI381" s="5" t="n">
        <v>0.652</v>
      </c>
      <c r="BJ381" s="5" t="n">
        <v>0.132</v>
      </c>
      <c r="BK381" s="5" t="n">
        <v>0</v>
      </c>
      <c r="BL381" s="5" t="n">
        <v>0.652</v>
      </c>
      <c r="BM381" s="5" t="n">
        <v>0</v>
      </c>
      <c r="BN381" s="5" t="n">
        <v>1</v>
      </c>
      <c r="BO381" s="5" t="n">
        <v>0</v>
      </c>
      <c r="BP381" s="5" t="n">
        <v>0</v>
      </c>
      <c r="BQ381" s="5" t="n">
        <v>0.046</v>
      </c>
      <c r="BR381" s="5" t="n">
        <v>0</v>
      </c>
      <c r="BS381" s="5" t="n">
        <v>0.667</v>
      </c>
      <c r="BT381" s="5" t="n">
        <v>0</v>
      </c>
      <c r="BU381" s="5" t="n">
        <v>0</v>
      </c>
      <c r="BV381" s="5" t="n">
        <v>0.011</v>
      </c>
      <c r="BW381" s="5" t="n">
        <v>0</v>
      </c>
      <c r="BX381" s="5" t="n">
        <v>0.833</v>
      </c>
      <c r="BY381" s="5" t="n">
        <v>13.646</v>
      </c>
      <c r="BZ381" s="5" t="n">
        <v>0</v>
      </c>
      <c r="CA381" s="5" t="n">
        <v>13.646</v>
      </c>
      <c r="CB381" s="5" t="n">
        <v>0</v>
      </c>
      <c r="CC381" s="5" t="n">
        <v>86.38500000000001</v>
      </c>
      <c r="CD381" s="5" t="n">
        <v>7.95</v>
      </c>
      <c r="CE381" s="5" t="n">
        <v>0</v>
      </c>
      <c r="CF381" s="5" t="n">
        <v>86.38500000000001</v>
      </c>
      <c r="CG381" s="5" t="n">
        <v>0</v>
      </c>
      <c r="CH381" s="5" t="n">
        <v>1</v>
      </c>
      <c r="CI381" s="5" t="n">
        <v>0</v>
      </c>
      <c r="CJ381" s="5" t="n">
        <v>0</v>
      </c>
      <c r="CK381" s="5" t="n">
        <v>0</v>
      </c>
      <c r="CL381" s="5" t="n">
        <v>0</v>
      </c>
      <c r="CM381" s="5" t="n">
        <v>0</v>
      </c>
      <c r="CN381" s="5" t="n">
        <v>0</v>
      </c>
      <c r="CO381" s="5" t="n">
        <v>0</v>
      </c>
      <c r="CP381" s="5" t="n">
        <v>0</v>
      </c>
      <c r="CQ381" s="5" t="n">
        <v>1.387</v>
      </c>
      <c r="CR381" s="5" t="n">
        <v>0.51</v>
      </c>
      <c r="CS381" s="5" t="n">
        <v>3.712</v>
      </c>
      <c r="CT381" s="5" t="n">
        <v>4.251</v>
      </c>
      <c r="CU381" s="5" t="n">
        <v>9.167999999999999</v>
      </c>
    </row>
    <row r="382">
      <c r="A382" s="5" t="inlineStr">
        <is>
          <t>IRL2021</t>
        </is>
      </c>
      <c r="B382" s="5" t="inlineStr">
        <is>
          <t>IRL</t>
        </is>
      </c>
      <c r="C382" s="5" t="inlineStr">
        <is>
          <t>IRL</t>
        </is>
      </c>
      <c r="D382" s="5" t="inlineStr">
        <is>
          <t>Ireland</t>
        </is>
      </c>
      <c r="E382" s="5" t="n">
        <v>2021</v>
      </c>
      <c r="F382" s="5" t="n">
        <v>0</v>
      </c>
      <c r="G382" s="5" t="n">
        <v>5.803</v>
      </c>
      <c r="H382" s="5" t="n">
        <v>1.009</v>
      </c>
      <c r="I382" s="5" t="n">
        <v>2.635</v>
      </c>
      <c r="J382" s="5" t="n">
        <v>8.439</v>
      </c>
      <c r="K382" s="5" t="n">
        <v>0</v>
      </c>
      <c r="L382" s="5" t="n">
        <v>1</v>
      </c>
      <c r="M382" s="5" t="n">
        <v>6.777</v>
      </c>
      <c r="N382" s="5" t="n">
        <v>3.027</v>
      </c>
      <c r="O382" s="5" t="n">
        <v>4.103</v>
      </c>
      <c r="P382" s="5" t="n">
        <v>10.88</v>
      </c>
      <c r="Q382" s="5" t="n">
        <v>0</v>
      </c>
      <c r="R382" s="5" t="n">
        <v>1</v>
      </c>
      <c r="S382" s="5" t="n">
        <v>20.489</v>
      </c>
      <c r="T382" s="5" t="n">
        <v>12.697</v>
      </c>
      <c r="U382" s="5" t="n">
        <v>1.67</v>
      </c>
      <c r="V382" s="5" t="n">
        <v>22.159</v>
      </c>
      <c r="W382" s="5" t="n">
        <v>0</v>
      </c>
      <c r="X382" s="5" t="n">
        <v>1</v>
      </c>
      <c r="Y382" s="5" t="n">
        <v>17.723</v>
      </c>
      <c r="Z382" s="5" t="n">
        <v>1.958</v>
      </c>
      <c r="AA382" s="5" t="n">
        <v>-1.64</v>
      </c>
      <c r="AB382" s="5" t="n">
        <v>16.083</v>
      </c>
      <c r="AC382" s="5" t="n">
        <v>0</v>
      </c>
      <c r="AD382" s="5" t="n">
        <v>1</v>
      </c>
      <c r="AE382" s="5" t="n">
        <v>17.679</v>
      </c>
      <c r="AF382" s="5" t="n">
        <v>3.479</v>
      </c>
      <c r="AG382" s="5" t="n">
        <v>-1.597</v>
      </c>
      <c r="AH382" s="5" t="n">
        <v>16.083</v>
      </c>
      <c r="AI382" s="5" t="n">
        <v>0</v>
      </c>
      <c r="AJ382" s="5" t="n">
        <v>1</v>
      </c>
      <c r="AK382" s="5" t="n">
        <v>27.839</v>
      </c>
      <c r="AL382" s="5" t="n">
        <v>13.664</v>
      </c>
      <c r="AM382" s="5" t="n">
        <v>-4.796</v>
      </c>
      <c r="AN382" s="5" t="n">
        <v>23.043</v>
      </c>
      <c r="AO382" s="5" t="n">
        <v>0</v>
      </c>
      <c r="AP382" s="5" t="n">
        <v>1</v>
      </c>
      <c r="AQ382" s="5" t="n">
        <v>0.619</v>
      </c>
      <c r="AR382" s="5" t="n">
        <v>0.114</v>
      </c>
      <c r="AS382" s="5" t="n">
        <v>1.173</v>
      </c>
      <c r="AT382" s="5" t="n">
        <v>1.792</v>
      </c>
      <c r="AU382" s="5" t="n">
        <v>0</v>
      </c>
      <c r="AV382" s="5" t="n">
        <v>1</v>
      </c>
      <c r="AW382" s="5" t="n">
        <v>0.599</v>
      </c>
      <c r="AX382" s="5" t="n">
        <v>0.114</v>
      </c>
      <c r="AY382" s="5" t="n">
        <v>1.073</v>
      </c>
      <c r="AZ382" s="5" t="n">
        <v>1.673</v>
      </c>
      <c r="BA382" s="5" t="n">
        <v>0</v>
      </c>
      <c r="BB382" s="5" t="n">
        <v>1</v>
      </c>
      <c r="BC382" s="5" t="n">
        <v>0.439</v>
      </c>
      <c r="BD382" s="5" t="n">
        <v>0.114</v>
      </c>
      <c r="BE382" s="5" t="n">
        <v>0.034</v>
      </c>
      <c r="BF382" s="5" t="n">
        <v>0.473</v>
      </c>
      <c r="BG382" s="5" t="n">
        <v>0</v>
      </c>
      <c r="BH382" s="5" t="n">
        <v>1</v>
      </c>
      <c r="BI382" s="5" t="n">
        <v>0.505</v>
      </c>
      <c r="BJ382" s="5" t="n">
        <v>0.114</v>
      </c>
      <c r="BK382" s="5" t="n">
        <v>0.533</v>
      </c>
      <c r="BL382" s="5" t="n">
        <v>1.038</v>
      </c>
      <c r="BM382" s="5" t="n">
        <v>0</v>
      </c>
      <c r="BN382" s="5" t="n">
        <v>1</v>
      </c>
      <c r="BO382" s="5" t="n">
        <v>0</v>
      </c>
      <c r="BP382" s="5" t="n">
        <v>0.008</v>
      </c>
      <c r="BQ382" s="5" t="n">
        <v>0.151</v>
      </c>
      <c r="BR382" s="5" t="n">
        <v>0</v>
      </c>
      <c r="BS382" s="5" t="n">
        <v>1</v>
      </c>
      <c r="BT382" s="5" t="n">
        <v>0</v>
      </c>
      <c r="BU382" s="5" t="n">
        <v>0.022</v>
      </c>
      <c r="BV382" s="5" t="n">
        <v>0.327</v>
      </c>
      <c r="BW382" s="5" t="n">
        <v>0</v>
      </c>
      <c r="BX382" s="5" t="n">
        <v>0.833</v>
      </c>
      <c r="BY382" s="5" t="n">
        <v>11.787</v>
      </c>
      <c r="BZ382" s="5" t="n">
        <v>0</v>
      </c>
      <c r="CA382" s="5" t="n">
        <v>11.787</v>
      </c>
      <c r="CB382" s="5" t="n">
        <v>0</v>
      </c>
      <c r="CC382" s="5" t="n">
        <v>78.125</v>
      </c>
      <c r="CD382" s="5" t="n">
        <v>7.95</v>
      </c>
      <c r="CE382" s="5" t="n">
        <v>67.696</v>
      </c>
      <c r="CF382" s="5" t="n">
        <v>145.821</v>
      </c>
      <c r="CG382" s="5" t="n">
        <v>0</v>
      </c>
      <c r="CH382" s="5" t="n">
        <v>1</v>
      </c>
      <c r="CI382" s="5" t="n">
        <v>0</v>
      </c>
      <c r="CJ382" s="5" t="n">
        <v>0</v>
      </c>
      <c r="CK382" s="5" t="n">
        <v>0</v>
      </c>
      <c r="CL382" s="5" t="n">
        <v>0</v>
      </c>
      <c r="CM382" s="5" t="n">
        <v>0</v>
      </c>
      <c r="CN382" s="5" t="n">
        <v>0.102</v>
      </c>
      <c r="CO382" s="5" t="n">
        <v>0</v>
      </c>
      <c r="CP382" s="5" t="n">
        <v>0.235</v>
      </c>
      <c r="CQ382" s="5" t="n">
        <v>1.198</v>
      </c>
      <c r="CR382" s="5" t="n">
        <v>0</v>
      </c>
      <c r="CS382" s="5" t="n">
        <v>5.769</v>
      </c>
      <c r="CT382" s="5" t="n">
        <v>5.9</v>
      </c>
      <c r="CU382" s="5" t="n">
        <v>12.069</v>
      </c>
    </row>
    <row r="383">
      <c r="A383" s="5" t="inlineStr">
        <is>
          <t>IRL2022</t>
        </is>
      </c>
      <c r="B383" s="5" t="inlineStr">
        <is>
          <t>IRL</t>
        </is>
      </c>
      <c r="C383" s="5" t="inlineStr">
        <is>
          <t>IRL</t>
        </is>
      </c>
      <c r="D383" s="5" t="inlineStr">
        <is>
          <t>Ireland</t>
        </is>
      </c>
      <c r="E383" s="5" t="n">
        <v>2022</v>
      </c>
      <c r="F383" s="5" t="n">
        <v>0.23</v>
      </c>
      <c r="G383" s="5" t="n">
        <v>11.617</v>
      </c>
      <c r="H383" s="5" t="n">
        <v>1.151</v>
      </c>
      <c r="I383" s="5" t="n">
        <v>12.568</v>
      </c>
      <c r="J383" s="5" t="n">
        <v>24.185</v>
      </c>
      <c r="K383" s="5" t="n">
        <v>0</v>
      </c>
      <c r="L383" s="5" t="n">
        <v>1</v>
      </c>
      <c r="M383" s="5" t="n">
        <v>8.882999999999999</v>
      </c>
      <c r="N383" s="5" t="n">
        <v>3.453</v>
      </c>
      <c r="O383" s="5" t="n">
        <v>8.948</v>
      </c>
      <c r="P383" s="5" t="n">
        <v>17.831</v>
      </c>
      <c r="Q383" s="5" t="n">
        <v>0</v>
      </c>
      <c r="R383" s="5" t="n">
        <v>1</v>
      </c>
      <c r="S383" s="5" t="n">
        <v>20.869</v>
      </c>
      <c r="T383" s="5" t="n">
        <v>10.221</v>
      </c>
      <c r="U383" s="5" t="n">
        <v>2.732</v>
      </c>
      <c r="V383" s="5" t="n">
        <v>29.029</v>
      </c>
      <c r="W383" s="5" t="n">
        <v>0.23</v>
      </c>
      <c r="X383" s="5" t="n">
        <v>1</v>
      </c>
      <c r="Y383" s="5" t="n">
        <v>28.249</v>
      </c>
      <c r="Z383" s="5" t="n">
        <v>2.963</v>
      </c>
      <c r="AA383" s="5" t="n">
        <v>-1.596</v>
      </c>
      <c r="AB383" s="5" t="n">
        <v>26.653</v>
      </c>
      <c r="AC383" s="5" t="n">
        <v>0</v>
      </c>
      <c r="AD383" s="5" t="n">
        <v>1</v>
      </c>
      <c r="AE383" s="5" t="n">
        <v>28.296</v>
      </c>
      <c r="AF383" s="5" t="n">
        <v>5.246</v>
      </c>
      <c r="AG383" s="5" t="n">
        <v>-1.643</v>
      </c>
      <c r="AH383" s="5" t="n">
        <v>26.653</v>
      </c>
      <c r="AI383" s="5" t="n">
        <v>0</v>
      </c>
      <c r="AJ383" s="5" t="n">
        <v>1</v>
      </c>
      <c r="AK383" s="5" t="n">
        <v>39.005</v>
      </c>
      <c r="AL383" s="5" t="n">
        <v>18.626</v>
      </c>
      <c r="AM383" s="5" t="n">
        <v>-10.578</v>
      </c>
      <c r="AN383" s="5" t="n">
        <v>34.965</v>
      </c>
      <c r="AO383" s="5" t="n">
        <v>0.23</v>
      </c>
      <c r="AP383" s="5" t="n">
        <v>1</v>
      </c>
      <c r="AQ383" s="5" t="n">
        <v>0.861</v>
      </c>
      <c r="AR383" s="5" t="n">
        <v>0.123</v>
      </c>
      <c r="AS383" s="5" t="n">
        <v>0.723</v>
      </c>
      <c r="AT383" s="5" t="n">
        <v>1.949</v>
      </c>
      <c r="AU383" s="5" t="n">
        <v>0.23</v>
      </c>
      <c r="AV383" s="5" t="n">
        <v>1</v>
      </c>
      <c r="AW383" s="5" t="n">
        <v>0.986</v>
      </c>
      <c r="AX383" s="5" t="n">
        <v>0.123</v>
      </c>
      <c r="AY383" s="5" t="n">
        <v>0.634</v>
      </c>
      <c r="AZ383" s="5" t="n">
        <v>1.993</v>
      </c>
      <c r="BA383" s="5" t="n">
        <v>0.23</v>
      </c>
      <c r="BB383" s="5" t="n">
        <v>1</v>
      </c>
      <c r="BC383" s="5" t="n">
        <v>0.598</v>
      </c>
      <c r="BD383" s="5" t="n">
        <v>0.123</v>
      </c>
      <c r="BE383" s="5" t="n">
        <v>0.067</v>
      </c>
      <c r="BF383" s="5" t="n">
        <v>0.804</v>
      </c>
      <c r="BG383" s="5" t="n">
        <v>0.23</v>
      </c>
      <c r="BH383" s="5" t="n">
        <v>1</v>
      </c>
      <c r="BI383" s="5" t="n">
        <v>0.612</v>
      </c>
      <c r="BJ383" s="5" t="n">
        <v>0.123</v>
      </c>
      <c r="BK383" s="5" t="n">
        <v>0.614</v>
      </c>
      <c r="BL383" s="5" t="n">
        <v>1.509</v>
      </c>
      <c r="BM383" s="5" t="n">
        <v>0.23</v>
      </c>
      <c r="BN383" s="5" t="n">
        <v>1</v>
      </c>
      <c r="BO383" s="5" t="n">
        <v>0</v>
      </c>
      <c r="BP383" s="5" t="n">
        <v>0.004</v>
      </c>
      <c r="BQ383" s="5" t="n">
        <v>0.222</v>
      </c>
      <c r="BR383" s="5" t="n">
        <v>0</v>
      </c>
      <c r="BS383" s="5" t="n">
        <v>1</v>
      </c>
      <c r="BT383" s="5" t="n">
        <v>0</v>
      </c>
      <c r="BU383" s="5" t="n">
        <v>-0.077</v>
      </c>
      <c r="BV383" s="5" t="n">
        <v>0.292</v>
      </c>
      <c r="BW383" s="5" t="n">
        <v>0.23</v>
      </c>
      <c r="BX383" s="5" t="n">
        <v>0.833</v>
      </c>
      <c r="BY383" s="5" t="n">
        <v>12.729</v>
      </c>
      <c r="BZ383" s="5" t="n">
        <v>0</v>
      </c>
      <c r="CA383" s="5" t="n">
        <v>12.729</v>
      </c>
      <c r="CB383" s="5" t="n">
        <v>0</v>
      </c>
      <c r="CC383" s="5" t="n">
        <v>97.90000000000001</v>
      </c>
      <c r="CD383" s="5" t="n">
        <v>7.95</v>
      </c>
      <c r="CE383" s="5" t="n">
        <v>101.769</v>
      </c>
      <c r="CF383" s="5" t="n">
        <v>245.593</v>
      </c>
      <c r="CG383" s="5" t="n">
        <v>0.23</v>
      </c>
      <c r="CH383" s="5" t="n">
        <v>1</v>
      </c>
      <c r="CI383" s="5" t="n">
        <v>0</v>
      </c>
      <c r="CJ383" s="5" t="n">
        <v>0</v>
      </c>
      <c r="CK383" s="5" t="n">
        <v>0</v>
      </c>
      <c r="CL383" s="5" t="n">
        <v>0</v>
      </c>
      <c r="CM383" s="5" t="n">
        <v>0</v>
      </c>
      <c r="CN383" s="5" t="n">
        <v>0.11</v>
      </c>
      <c r="CO383" s="5" t="n">
        <v>0</v>
      </c>
      <c r="CP383" s="5" t="n">
        <v>0.136</v>
      </c>
      <c r="CQ383" s="5" t="n">
        <v>1.294</v>
      </c>
      <c r="CR383" s="5" t="n">
        <v>0</v>
      </c>
      <c r="CS383" s="5" t="n">
        <v>6.23</v>
      </c>
      <c r="CT383" s="5" t="n">
        <v>11.905</v>
      </c>
      <c r="CU383" s="5" t="n">
        <v>22.503</v>
      </c>
    </row>
    <row r="384">
      <c r="A384" s="5" t="inlineStr">
        <is>
          <t>IRL2023</t>
        </is>
      </c>
      <c r="B384" s="5" t="inlineStr">
        <is>
          <t>IRL</t>
        </is>
      </c>
      <c r="C384" s="5" t="inlineStr">
        <is>
          <t>IRL</t>
        </is>
      </c>
      <c r="D384" s="5" t="inlineStr">
        <is>
          <t>Ireland</t>
        </is>
      </c>
      <c r="E384" s="5" t="n">
        <v>2023</v>
      </c>
      <c r="F384" s="5" t="n">
        <v>0.23</v>
      </c>
      <c r="G384" s="5" t="n">
        <v>7.473</v>
      </c>
      <c r="H384" s="5" t="n">
        <v>0.999</v>
      </c>
      <c r="I384" s="5" t="n">
        <v>14.645</v>
      </c>
      <c r="J384" s="5" t="n">
        <v>22.118</v>
      </c>
      <c r="K384" s="5" t="n">
        <v>0</v>
      </c>
      <c r="L384" s="5" t="n">
        <v>1</v>
      </c>
      <c r="M384" s="5" t="n">
        <v>5.831</v>
      </c>
      <c r="N384" s="5" t="n">
        <v>2.997</v>
      </c>
      <c r="O384" s="5" t="n">
        <v>9.936</v>
      </c>
      <c r="P384" s="5" t="n">
        <v>15.767</v>
      </c>
      <c r="Q384" s="5" t="n">
        <v>0</v>
      </c>
      <c r="R384" s="5" t="n">
        <v>1</v>
      </c>
      <c r="S384" s="5" t="n">
        <v>28.627</v>
      </c>
      <c r="T384" s="5" t="n">
        <v>17.952</v>
      </c>
      <c r="U384" s="5" t="n">
        <v>3.417</v>
      </c>
      <c r="V384" s="5" t="n">
        <v>39.415</v>
      </c>
      <c r="W384" s="5" t="n">
        <v>0.23</v>
      </c>
      <c r="X384" s="5" t="n">
        <v>1</v>
      </c>
      <c r="Y384" s="5" t="n">
        <v>18.781</v>
      </c>
      <c r="Z384" s="5" t="n">
        <v>2.104</v>
      </c>
      <c r="AA384" s="5" t="n">
        <v>8.837999999999999</v>
      </c>
      <c r="AB384" s="5" t="n">
        <v>27.619</v>
      </c>
      <c r="AC384" s="5" t="n">
        <v>0</v>
      </c>
      <c r="AD384" s="5" t="n">
        <v>1</v>
      </c>
      <c r="AE384" s="5" t="n">
        <v>18.88</v>
      </c>
      <c r="AF384" s="5" t="n">
        <v>3.76</v>
      </c>
      <c r="AG384" s="5" t="n">
        <v>8.739000000000001</v>
      </c>
      <c r="AH384" s="5" t="n">
        <v>27.619</v>
      </c>
      <c r="AI384" s="5" t="n">
        <v>0</v>
      </c>
      <c r="AJ384" s="5" t="n">
        <v>1</v>
      </c>
      <c r="AK384" s="5" t="n">
        <v>29.894</v>
      </c>
      <c r="AL384" s="5" t="n">
        <v>14.809</v>
      </c>
      <c r="AM384" s="5" t="n">
        <v>7.994</v>
      </c>
      <c r="AN384" s="5" t="n">
        <v>46.602</v>
      </c>
      <c r="AO384" s="5" t="n">
        <v>0.23</v>
      </c>
      <c r="AP384" s="5" t="n">
        <v>1</v>
      </c>
      <c r="AQ384" s="5" t="n">
        <v>0.76</v>
      </c>
      <c r="AR384" s="5" t="n">
        <v>0.129</v>
      </c>
      <c r="AS384" s="5" t="n">
        <v>0.714</v>
      </c>
      <c r="AT384" s="5" t="n">
        <v>1.814</v>
      </c>
      <c r="AU384" s="5" t="n">
        <v>0.23</v>
      </c>
      <c r="AV384" s="5" t="n">
        <v>1</v>
      </c>
      <c r="AW384" s="5" t="n">
        <v>0.8110000000000001</v>
      </c>
      <c r="AX384" s="5" t="n">
        <v>0.129</v>
      </c>
      <c r="AY384" s="5" t="n">
        <v>0.648</v>
      </c>
      <c r="AZ384" s="5" t="n">
        <v>1.795</v>
      </c>
      <c r="BA384" s="5" t="n">
        <v>0.23</v>
      </c>
      <c r="BB384" s="5" t="n">
        <v>1</v>
      </c>
      <c r="BC384" s="5" t="n">
        <v>0.535</v>
      </c>
      <c r="BD384" s="5" t="n">
        <v>0.129</v>
      </c>
      <c r="BE384" s="5" t="n">
        <v>0.082</v>
      </c>
      <c r="BF384" s="5" t="n">
        <v>0.74</v>
      </c>
      <c r="BG384" s="5" t="n">
        <v>0.23</v>
      </c>
      <c r="BH384" s="5" t="n">
        <v>1</v>
      </c>
      <c r="BI384" s="5" t="n">
        <v>0.579</v>
      </c>
      <c r="BJ384" s="5" t="n">
        <v>0.129</v>
      </c>
      <c r="BK384" s="5" t="n">
        <v>0.502</v>
      </c>
      <c r="BL384" s="5" t="n">
        <v>1.33</v>
      </c>
      <c r="BM384" s="5" t="n">
        <v>0.23</v>
      </c>
      <c r="BN384" s="5" t="n">
        <v>1</v>
      </c>
      <c r="BO384" s="5" t="n">
        <v>0</v>
      </c>
      <c r="BP384" s="5" t="n">
        <v>-0.008</v>
      </c>
      <c r="BQ384" s="5" t="n">
        <v>0.236</v>
      </c>
      <c r="BR384" s="5" t="n">
        <v>0</v>
      </c>
      <c r="BS384" s="5" t="n">
        <v>1</v>
      </c>
      <c r="BT384" s="5" t="n">
        <v>0</v>
      </c>
      <c r="BU384" s="5" t="n">
        <v>-0.168</v>
      </c>
      <c r="BV384" s="5" t="n">
        <v>0.353</v>
      </c>
      <c r="BW384" s="5" t="n">
        <v>0.23</v>
      </c>
      <c r="BX384" s="5" t="n">
        <v>0.833</v>
      </c>
      <c r="BY384" s="5" t="n">
        <v>13.254</v>
      </c>
      <c r="BZ384" s="5" t="n">
        <v>0</v>
      </c>
      <c r="CA384" s="5" t="n">
        <v>13.254</v>
      </c>
      <c r="CB384" s="5" t="n">
        <v>0</v>
      </c>
      <c r="CC384" s="5" t="n">
        <v>83.248</v>
      </c>
      <c r="CD384" s="5" t="n">
        <v>7.95</v>
      </c>
      <c r="CE384" s="5" t="n">
        <v>98.267</v>
      </c>
      <c r="CF384" s="5" t="n">
        <v>223.263</v>
      </c>
      <c r="CG384" s="5" t="n">
        <v>0.23</v>
      </c>
      <c r="CH384" s="5" t="n">
        <v>1</v>
      </c>
      <c r="CI384" s="5" t="n">
        <v>0</v>
      </c>
      <c r="CJ384" s="5" t="n">
        <v>0</v>
      </c>
      <c r="CK384" s="5" t="n">
        <v>0</v>
      </c>
      <c r="CL384" s="5" t="n">
        <v>0</v>
      </c>
      <c r="CM384" s="5" t="n">
        <v>0</v>
      </c>
      <c r="CN384" s="5" t="n">
        <v>0.096</v>
      </c>
      <c r="CO384" s="5" t="n">
        <v>0</v>
      </c>
      <c r="CP384" s="5" t="n">
        <v>0.446</v>
      </c>
      <c r="CQ384" s="5" t="n">
        <v>1.348</v>
      </c>
      <c r="CR384" s="5" t="n">
        <v>0</v>
      </c>
      <c r="CS384" s="5" t="n">
        <v>6.487</v>
      </c>
      <c r="CT384" s="5" t="n">
        <v>10.597</v>
      </c>
      <c r="CU384" s="5" t="n">
        <v>12.985</v>
      </c>
    </row>
    <row r="385">
      <c r="A385" s="5" t="inlineStr">
        <is>
          <t>IRL2024</t>
        </is>
      </c>
      <c r="B385" s="5" t="inlineStr">
        <is>
          <t>IRL</t>
        </is>
      </c>
      <c r="C385" s="5" t="inlineStr">
        <is>
          <t>IRL</t>
        </is>
      </c>
      <c r="D385" s="5" t="inlineStr">
        <is>
          <t>Ireland</t>
        </is>
      </c>
      <c r="E385" s="5" t="n">
        <v>2024</v>
      </c>
      <c r="F385" s="5" t="n">
        <v>0.23</v>
      </c>
      <c r="G385" s="5" t="n">
        <v>5.075</v>
      </c>
      <c r="H385" s="5" t="n">
        <v>1.029</v>
      </c>
      <c r="I385" s="5" t="n">
        <v>12.071</v>
      </c>
      <c r="J385" s="5" t="n">
        <v>17.146</v>
      </c>
      <c r="K385" s="5" t="n">
        <v>0</v>
      </c>
      <c r="L385" s="5" t="n">
        <v>1</v>
      </c>
      <c r="M385" s="5" t="n">
        <v>5.452</v>
      </c>
      <c r="N385" s="5" t="n">
        <v>3.086</v>
      </c>
      <c r="O385" s="5" t="n">
        <v>6.981</v>
      </c>
      <c r="P385" s="5" t="n">
        <v>12.433</v>
      </c>
      <c r="Q385" s="5" t="n">
        <v>0</v>
      </c>
      <c r="R385" s="5" t="n">
        <v>1</v>
      </c>
      <c r="S385" s="5" t="n">
        <v>23.818</v>
      </c>
      <c r="T385" s="5" t="n">
        <v>15.769</v>
      </c>
      <c r="U385" s="5" t="n">
        <v>4.016</v>
      </c>
      <c r="V385" s="5" t="n">
        <v>34.236</v>
      </c>
      <c r="W385" s="5" t="n">
        <v>0.23</v>
      </c>
      <c r="X385" s="5" t="n">
        <v>1</v>
      </c>
      <c r="Y385" s="5" t="n">
        <v>17.553</v>
      </c>
      <c r="Z385" s="5" t="n">
        <v>2.216</v>
      </c>
      <c r="AA385" s="5" t="n">
        <v>6.446</v>
      </c>
      <c r="AB385" s="5" t="n">
        <v>23.998</v>
      </c>
      <c r="AC385" s="5" t="n">
        <v>0</v>
      </c>
      <c r="AD385" s="5" t="n">
        <v>1</v>
      </c>
      <c r="AE385" s="5" t="n">
        <v>17.553</v>
      </c>
      <c r="AF385" s="5" t="n">
        <v>3.845</v>
      </c>
      <c r="AG385" s="5" t="n">
        <v>6.446</v>
      </c>
      <c r="AH385" s="5" t="n">
        <v>23.998</v>
      </c>
      <c r="AI385" s="5" t="n">
        <v>0</v>
      </c>
      <c r="AJ385" s="5" t="n">
        <v>1</v>
      </c>
      <c r="AK385" s="5" t="n">
        <v>29.169</v>
      </c>
      <c r="AL385" s="5" t="n">
        <v>14.836</v>
      </c>
      <c r="AM385" s="5" t="n">
        <v>2.827</v>
      </c>
      <c r="AN385" s="5" t="n">
        <v>39.354</v>
      </c>
      <c r="AO385" s="5" t="n">
        <v>0.23</v>
      </c>
      <c r="AP385" s="5" t="n">
        <v>1</v>
      </c>
      <c r="AQ385" s="5" t="n">
        <v>0.724</v>
      </c>
      <c r="AR385" s="5" t="n">
        <v>0.132</v>
      </c>
      <c r="AS385" s="5" t="n">
        <v>0.8139999999999999</v>
      </c>
      <c r="AT385" s="5" t="n">
        <v>1.892</v>
      </c>
      <c r="AU385" s="5" t="n">
        <v>0.23</v>
      </c>
      <c r="AV385" s="5" t="n">
        <v>1</v>
      </c>
      <c r="AW385" s="5" t="n">
        <v>0.75</v>
      </c>
      <c r="AX385" s="5" t="n">
        <v>0.132</v>
      </c>
      <c r="AY385" s="5" t="n">
        <v>0.746</v>
      </c>
      <c r="AZ385" s="5" t="n">
        <v>1.84</v>
      </c>
      <c r="BA385" s="5" t="n">
        <v>0.23</v>
      </c>
      <c r="BB385" s="5" t="n">
        <v>1</v>
      </c>
      <c r="BC385" s="5" t="n">
        <v>0.513</v>
      </c>
      <c r="BD385" s="5" t="n">
        <v>0.132</v>
      </c>
      <c r="BE385" s="5" t="n">
        <v>0.095</v>
      </c>
      <c r="BF385" s="5" t="n">
        <v>0.725</v>
      </c>
      <c r="BG385" s="5" t="n">
        <v>0.23</v>
      </c>
      <c r="BH385" s="5" t="n">
        <v>1</v>
      </c>
      <c r="BI385" s="5" t="n">
        <v>0.591</v>
      </c>
      <c r="BJ385" s="5" t="n">
        <v>0.132</v>
      </c>
      <c r="BK385" s="5" t="n">
        <v>0.486</v>
      </c>
      <c r="BL385" s="5" t="n">
        <v>1.325</v>
      </c>
      <c r="BM385" s="5" t="n">
        <v>0.23</v>
      </c>
      <c r="BN385" s="5" t="n">
        <v>1</v>
      </c>
      <c r="BO385" s="5" t="n">
        <v>0</v>
      </c>
      <c r="BP385" s="5" t="n">
        <v>0.003</v>
      </c>
      <c r="BQ385" s="5" t="n">
        <v>0.227</v>
      </c>
      <c r="BR385" s="5" t="n">
        <v>0</v>
      </c>
      <c r="BS385" s="5" t="n">
        <v>1</v>
      </c>
      <c r="BT385" s="5" t="n">
        <v>0</v>
      </c>
      <c r="BU385" s="5" t="n">
        <v>-0.131</v>
      </c>
      <c r="BV385" s="5" t="n">
        <v>0.305</v>
      </c>
      <c r="BW385" s="5" t="n">
        <v>0.23</v>
      </c>
      <c r="BX385" s="5" t="n">
        <v>0.833</v>
      </c>
      <c r="BY385" s="5" t="n">
        <v>13.646</v>
      </c>
      <c r="BZ385" s="5" t="n">
        <v>0</v>
      </c>
      <c r="CA385" s="5" t="n">
        <v>13.646</v>
      </c>
      <c r="CB385" s="5" t="n">
        <v>0</v>
      </c>
      <c r="CC385" s="5" t="n">
        <v>82.58799999999999</v>
      </c>
      <c r="CD385" s="5" t="n">
        <v>7.95</v>
      </c>
      <c r="CE385" s="5" t="n">
        <v>83.56</v>
      </c>
      <c r="CF385" s="5" t="n">
        <v>204.361</v>
      </c>
      <c r="CG385" s="5" t="n">
        <v>0.23</v>
      </c>
      <c r="CH385" s="5" t="n">
        <v>1</v>
      </c>
      <c r="CI385" s="5" t="n">
        <v>0</v>
      </c>
      <c r="CJ385" s="5" t="n">
        <v>0</v>
      </c>
      <c r="CK385" s="5" t="n">
        <v>0</v>
      </c>
      <c r="CL385" s="5" t="n">
        <v>0</v>
      </c>
      <c r="CM385" s="5" t="n">
        <v>0</v>
      </c>
      <c r="CN385" s="5" t="n">
        <v>0.098</v>
      </c>
      <c r="CO385" s="5" t="n">
        <v>0</v>
      </c>
      <c r="CP385" s="5" t="n">
        <v>0.446</v>
      </c>
      <c r="CQ385" s="5" t="n">
        <v>1.387</v>
      </c>
      <c r="CR385" s="5" t="n">
        <v>0</v>
      </c>
      <c r="CS385" s="5" t="n">
        <v>6.679</v>
      </c>
      <c r="CT385" s="5" t="n">
        <v>6.185</v>
      </c>
      <c r="CU385" s="5" t="n">
        <v>9.958</v>
      </c>
    </row>
    <row r="386">
      <c r="A386" s="5" t="inlineStr">
        <is>
          <t>IMN2021</t>
        </is>
      </c>
      <c r="B386" s="5" t="inlineStr">
        <is>
          <t>IMN</t>
        </is>
      </c>
      <c r="C386" s="5" t="inlineStr">
        <is>
          <t>IMN</t>
        </is>
      </c>
      <c r="D386" s="5" t="inlineStr">
        <is>
          <t>Isle of Man</t>
        </is>
      </c>
      <c r="E386" s="5" t="n">
        <v>2021</v>
      </c>
      <c r="F386" s="5" t="n">
        <v>0.2</v>
      </c>
      <c r="G386" s="5" t="n">
        <v>5.553</v>
      </c>
      <c r="H386" s="5" t="n">
        <v>1.143</v>
      </c>
      <c r="I386" s="5" t="n">
        <v>0</v>
      </c>
      <c r="J386" s="5" t="n">
        <v>5.553</v>
      </c>
      <c r="K386" s="5" t="n">
        <v>0</v>
      </c>
      <c r="L386" s="5" t="n">
        <v>1</v>
      </c>
      <c r="M386" s="5" t="n">
        <v>7.964</v>
      </c>
      <c r="N386" s="5" t="n">
        <v>3.43</v>
      </c>
      <c r="O386" s="5" t="n">
        <v>0</v>
      </c>
      <c r="P386" s="5" t="n">
        <v>7.964</v>
      </c>
      <c r="Q386" s="5" t="n">
        <v>0</v>
      </c>
      <c r="R386" s="5" t="n">
        <v>1</v>
      </c>
      <c r="S386" s="5" t="n">
        <v>11.27</v>
      </c>
      <c r="T386" s="5" t="n">
        <v>6.86</v>
      </c>
      <c r="U386" s="5" t="n">
        <v>0</v>
      </c>
      <c r="V386" s="5" t="n">
        <v>13.524</v>
      </c>
      <c r="W386" s="5" t="n">
        <v>0.2</v>
      </c>
      <c r="X386" s="5" t="n">
        <v>1</v>
      </c>
      <c r="Y386" s="5" t="n">
        <v>16.305</v>
      </c>
      <c r="Z386" s="5" t="n">
        <v>2.204</v>
      </c>
      <c r="AA386" s="5" t="n">
        <v>0</v>
      </c>
      <c r="AB386" s="5" t="n">
        <v>16.305</v>
      </c>
      <c r="AC386" s="5" t="n">
        <v>0</v>
      </c>
      <c r="AD386" s="5" t="n">
        <v>1</v>
      </c>
      <c r="AE386" s="5" t="n">
        <v>17.449</v>
      </c>
      <c r="AF386" s="5" t="n">
        <v>4.08</v>
      </c>
      <c r="AG386" s="5" t="n">
        <v>0</v>
      </c>
      <c r="AH386" s="5" t="n">
        <v>17.449</v>
      </c>
      <c r="AI386" s="5" t="n">
        <v>0</v>
      </c>
      <c r="AJ386" s="5" t="n">
        <v>1</v>
      </c>
      <c r="AK386" s="5" t="n">
        <v>24.309</v>
      </c>
      <c r="AL386" s="5" t="n">
        <v>12.947</v>
      </c>
      <c r="AM386" s="5" t="n">
        <v>0</v>
      </c>
      <c r="AN386" s="5" t="n">
        <v>29.17</v>
      </c>
      <c r="AO386" s="5" t="n">
        <v>0.2</v>
      </c>
      <c r="AP386" s="5" t="n">
        <v>1</v>
      </c>
      <c r="AQ386" s="5" t="n">
        <v>0.619</v>
      </c>
      <c r="AR386" s="5" t="n">
        <v>0.114</v>
      </c>
      <c r="AS386" s="5" t="n">
        <v>0</v>
      </c>
      <c r="AT386" s="5" t="n">
        <v>0.743</v>
      </c>
      <c r="AU386" s="5" t="n">
        <v>0.2</v>
      </c>
      <c r="AV386" s="5" t="n">
        <v>1</v>
      </c>
      <c r="AW386" s="5" t="n">
        <v>0.599</v>
      </c>
      <c r="AX386" s="5" t="n">
        <v>0.114</v>
      </c>
      <c r="AY386" s="5" t="n">
        <v>0</v>
      </c>
      <c r="AZ386" s="5" t="n">
        <v>0.719</v>
      </c>
      <c r="BA386" s="5" t="n">
        <v>0.2</v>
      </c>
      <c r="BB386" s="5" t="n">
        <v>1</v>
      </c>
      <c r="BC386" s="5" t="n">
        <v>0.439</v>
      </c>
      <c r="BD386" s="5" t="n">
        <v>0.114</v>
      </c>
      <c r="BE386" s="5" t="n">
        <v>0</v>
      </c>
      <c r="BF386" s="5" t="n">
        <v>0.527</v>
      </c>
      <c r="BG386" s="5" t="n">
        <v>0.2</v>
      </c>
      <c r="BH386" s="5" t="n">
        <v>1</v>
      </c>
      <c r="BI386" s="5" t="n">
        <v>0.505</v>
      </c>
      <c r="BJ386" s="5" t="n">
        <v>0.114</v>
      </c>
      <c r="BK386" s="5" t="n">
        <v>0</v>
      </c>
      <c r="BL386" s="5" t="n">
        <v>0.606</v>
      </c>
      <c r="BM386" s="5" t="n">
        <v>0.2</v>
      </c>
      <c r="BN386" s="5" t="n">
        <v>1</v>
      </c>
      <c r="BO386" s="5" t="n">
        <v>0</v>
      </c>
      <c r="BP386" s="5" t="n">
        <v>0</v>
      </c>
      <c r="BQ386" s="5" t="n">
        <v>0</v>
      </c>
      <c r="BR386" s="5" t="n">
        <v>0</v>
      </c>
      <c r="BS386" s="5" t="n">
        <v>1</v>
      </c>
      <c r="BT386" s="5" t="n">
        <v>0</v>
      </c>
      <c r="BU386" s="5" t="n">
        <v>0</v>
      </c>
      <c r="BV386" s="5" t="n">
        <v>0</v>
      </c>
      <c r="BW386" s="5" t="n">
        <v>0.2</v>
      </c>
      <c r="BX386" s="5" t="n">
        <v>1</v>
      </c>
      <c r="BY386" s="5" t="n">
        <v>11.787</v>
      </c>
      <c r="BZ386" s="5" t="n">
        <v>0</v>
      </c>
      <c r="CA386" s="5" t="n">
        <v>11.787</v>
      </c>
      <c r="CB386" s="5" t="n">
        <v>0</v>
      </c>
      <c r="CC386" s="5" t="n">
        <v>78.125</v>
      </c>
      <c r="CD386" s="5" t="n">
        <v>7.95</v>
      </c>
      <c r="CE386" s="5" t="n">
        <v>0</v>
      </c>
      <c r="CF386" s="5" t="n">
        <v>93.75</v>
      </c>
      <c r="CG386" s="5" t="n">
        <v>0.2</v>
      </c>
      <c r="CH386" s="5" t="n">
        <v>1</v>
      </c>
      <c r="CI386" s="5" t="n">
        <v>0</v>
      </c>
      <c r="CJ386" s="5" t="n">
        <v>0</v>
      </c>
      <c r="CK386" s="5" t="n">
        <v>0</v>
      </c>
      <c r="CL386" s="5" t="n">
        <v>0</v>
      </c>
      <c r="CM386" s="5" t="n">
        <v>0</v>
      </c>
      <c r="CN386" s="5" t="n">
        <v>0</v>
      </c>
      <c r="CO386" s="5" t="n">
        <v>0</v>
      </c>
      <c r="CP386" s="5" t="n">
        <v>0</v>
      </c>
      <c r="CQ386" s="5" t="n">
        <v>1.198</v>
      </c>
      <c r="CR386" s="5" t="n">
        <v>0</v>
      </c>
      <c r="CS386" s="5" t="n">
        <v>4.776</v>
      </c>
      <c r="CT386" s="5" t="n">
        <v>4.41</v>
      </c>
      <c r="CU386" s="5" t="n">
        <v>15.162</v>
      </c>
    </row>
    <row r="387">
      <c r="A387" s="5" t="inlineStr">
        <is>
          <t>IMN2022</t>
        </is>
      </c>
      <c r="B387" s="5" t="inlineStr">
        <is>
          <t>IMN</t>
        </is>
      </c>
      <c r="C387" s="5" t="inlineStr">
        <is>
          <t>IMN</t>
        </is>
      </c>
      <c r="D387" s="5" t="inlineStr">
        <is>
          <t>Isle of Man</t>
        </is>
      </c>
      <c r="E387" s="5" t="n">
        <v>2022</v>
      </c>
      <c r="F387" s="5" t="n">
        <v>0.2</v>
      </c>
      <c r="G387" s="5" t="n">
        <v>7.077</v>
      </c>
      <c r="H387" s="5" t="n">
        <v>1.235</v>
      </c>
      <c r="I387" s="5" t="n">
        <v>0</v>
      </c>
      <c r="J387" s="5" t="n">
        <v>7.077</v>
      </c>
      <c r="K387" s="5" t="n">
        <v>0</v>
      </c>
      <c r="L387" s="5" t="n">
        <v>1</v>
      </c>
      <c r="M387" s="5" t="n">
        <v>9.782999999999999</v>
      </c>
      <c r="N387" s="5" t="n">
        <v>3.704</v>
      </c>
      <c r="O387" s="5" t="n">
        <v>0</v>
      </c>
      <c r="P387" s="5" t="n">
        <v>9.782999999999999</v>
      </c>
      <c r="Q387" s="5" t="n">
        <v>0</v>
      </c>
      <c r="R387" s="5" t="n">
        <v>1</v>
      </c>
      <c r="S387" s="5" t="n">
        <v>13.25</v>
      </c>
      <c r="T387" s="5" t="n">
        <v>7.408</v>
      </c>
      <c r="U387" s="5" t="n">
        <v>0.196</v>
      </c>
      <c r="V387" s="5" t="n">
        <v>15.9</v>
      </c>
      <c r="W387" s="5" t="n">
        <v>0.2</v>
      </c>
      <c r="X387" s="5" t="n">
        <v>1</v>
      </c>
      <c r="Y387" s="5" t="n">
        <v>32.56</v>
      </c>
      <c r="Z387" s="5" t="n">
        <v>4.401</v>
      </c>
      <c r="AA387" s="5" t="n">
        <v>0</v>
      </c>
      <c r="AB387" s="5" t="n">
        <v>32.56</v>
      </c>
      <c r="AC387" s="5" t="n">
        <v>0</v>
      </c>
      <c r="AD387" s="5" t="n">
        <v>1</v>
      </c>
      <c r="AE387" s="5" t="n">
        <v>33.795</v>
      </c>
      <c r="AF387" s="5" t="n">
        <v>7.902</v>
      </c>
      <c r="AG387" s="5" t="n">
        <v>0</v>
      </c>
      <c r="AH387" s="5" t="n">
        <v>33.795</v>
      </c>
      <c r="AI387" s="5" t="n">
        <v>0</v>
      </c>
      <c r="AJ387" s="5" t="n">
        <v>1</v>
      </c>
      <c r="AK387" s="5" t="n">
        <v>41.203</v>
      </c>
      <c r="AL387" s="5" t="n">
        <v>21.945</v>
      </c>
      <c r="AM387" s="5" t="n">
        <v>0.61</v>
      </c>
      <c r="AN387" s="5" t="n">
        <v>49.444</v>
      </c>
      <c r="AO387" s="5" t="n">
        <v>0.2</v>
      </c>
      <c r="AP387" s="5" t="n">
        <v>1</v>
      </c>
      <c r="AQ387" s="5" t="n">
        <v>0.861</v>
      </c>
      <c r="AR387" s="5" t="n">
        <v>0.123</v>
      </c>
      <c r="AS387" s="5" t="n">
        <v>0.013</v>
      </c>
      <c r="AT387" s="5" t="n">
        <v>1.033</v>
      </c>
      <c r="AU387" s="5" t="n">
        <v>0.2</v>
      </c>
      <c r="AV387" s="5" t="n">
        <v>1</v>
      </c>
      <c r="AW387" s="5" t="n">
        <v>0.986</v>
      </c>
      <c r="AX387" s="5" t="n">
        <v>0.123</v>
      </c>
      <c r="AY387" s="5" t="n">
        <v>0.015</v>
      </c>
      <c r="AZ387" s="5" t="n">
        <v>1.183</v>
      </c>
      <c r="BA387" s="5" t="n">
        <v>0.2</v>
      </c>
      <c r="BB387" s="5" t="n">
        <v>1</v>
      </c>
      <c r="BC387" s="5" t="n">
        <v>0.598</v>
      </c>
      <c r="BD387" s="5" t="n">
        <v>0.123</v>
      </c>
      <c r="BE387" s="5" t="n">
        <v>0.008999999999999999</v>
      </c>
      <c r="BF387" s="5" t="n">
        <v>0.717</v>
      </c>
      <c r="BG387" s="5" t="n">
        <v>0.2</v>
      </c>
      <c r="BH387" s="5" t="n">
        <v>1</v>
      </c>
      <c r="BI387" s="5" t="n">
        <v>0.612</v>
      </c>
      <c r="BJ387" s="5" t="n">
        <v>0.123</v>
      </c>
      <c r="BK387" s="5" t="n">
        <v>0.008999999999999999</v>
      </c>
      <c r="BL387" s="5" t="n">
        <v>0.735</v>
      </c>
      <c r="BM387" s="5" t="n">
        <v>0.2</v>
      </c>
      <c r="BN387" s="5" t="n">
        <v>1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1</v>
      </c>
      <c r="BT387" s="5" t="n">
        <v>0</v>
      </c>
      <c r="BU387" s="5" t="n">
        <v>0</v>
      </c>
      <c r="BV387" s="5" t="n">
        <v>0</v>
      </c>
      <c r="BW387" s="5" t="n">
        <v>0.2</v>
      </c>
      <c r="BX387" s="5" t="n">
        <v>1</v>
      </c>
      <c r="BY387" s="5" t="n">
        <v>12.729</v>
      </c>
      <c r="BZ387" s="5" t="n">
        <v>0</v>
      </c>
      <c r="CA387" s="5" t="n">
        <v>12.729</v>
      </c>
      <c r="CB387" s="5" t="n">
        <v>0</v>
      </c>
      <c r="CC387" s="5" t="n">
        <v>97.90000000000001</v>
      </c>
      <c r="CD387" s="5" t="n">
        <v>7.95</v>
      </c>
      <c r="CE387" s="5" t="n">
        <v>1.449</v>
      </c>
      <c r="CF387" s="5" t="n">
        <v>117.48</v>
      </c>
      <c r="CG387" s="5" t="n">
        <v>0.2</v>
      </c>
      <c r="CH387" s="5" t="n">
        <v>1</v>
      </c>
      <c r="CI387" s="5" t="n">
        <v>0</v>
      </c>
      <c r="CJ387" s="5" t="n">
        <v>0</v>
      </c>
      <c r="CK387" s="5" t="n">
        <v>0</v>
      </c>
      <c r="CL387" s="5" t="n">
        <v>0</v>
      </c>
      <c r="CM387" s="5" t="n">
        <v>0</v>
      </c>
      <c r="CN387" s="5" t="n">
        <v>0</v>
      </c>
      <c r="CO387" s="5" t="n">
        <v>0</v>
      </c>
      <c r="CP387" s="5" t="n">
        <v>0</v>
      </c>
      <c r="CQ387" s="5" t="n">
        <v>1.294</v>
      </c>
      <c r="CR387" s="5" t="n">
        <v>0</v>
      </c>
      <c r="CS387" s="5" t="n">
        <v>5.158</v>
      </c>
      <c r="CT387" s="5" t="n">
        <v>5.842</v>
      </c>
      <c r="CU387" s="5" t="n">
        <v>31.326</v>
      </c>
    </row>
    <row r="388">
      <c r="A388" s="5" t="inlineStr">
        <is>
          <t>IMN2023</t>
        </is>
      </c>
      <c r="B388" s="5" t="inlineStr">
        <is>
          <t>IMN</t>
        </is>
      </c>
      <c r="C388" s="5" t="inlineStr">
        <is>
          <t>IMN</t>
        </is>
      </c>
      <c r="D388" s="5" t="inlineStr">
        <is>
          <t>Isle of Man</t>
        </is>
      </c>
      <c r="E388" s="5" t="n">
        <v>2023</v>
      </c>
      <c r="F388" s="5" t="n">
        <v>0.2</v>
      </c>
      <c r="G388" s="5" t="n">
        <v>4.752</v>
      </c>
      <c r="H388" s="5" t="n">
        <v>1.286</v>
      </c>
      <c r="I388" s="5" t="n">
        <v>0</v>
      </c>
      <c r="J388" s="5" t="n">
        <v>4.752</v>
      </c>
      <c r="K388" s="5" t="n">
        <v>0</v>
      </c>
      <c r="L388" s="5" t="n">
        <v>1</v>
      </c>
      <c r="M388" s="5" t="n">
        <v>7.886</v>
      </c>
      <c r="N388" s="5" t="n">
        <v>3.857</v>
      </c>
      <c r="O388" s="5" t="n">
        <v>0</v>
      </c>
      <c r="P388" s="5" t="n">
        <v>7.886</v>
      </c>
      <c r="Q388" s="5" t="n">
        <v>0</v>
      </c>
      <c r="R388" s="5" t="n">
        <v>1</v>
      </c>
      <c r="S388" s="5" t="n">
        <v>11.18</v>
      </c>
      <c r="T388" s="5" t="n">
        <v>7.714</v>
      </c>
      <c r="U388" s="5" t="n">
        <v>0.248</v>
      </c>
      <c r="V388" s="5" t="n">
        <v>13.416</v>
      </c>
      <c r="W388" s="5" t="n">
        <v>0.2</v>
      </c>
      <c r="X388" s="5" t="n">
        <v>1</v>
      </c>
      <c r="Y388" s="5" t="n">
        <v>12.908</v>
      </c>
      <c r="Z388" s="5" t="n">
        <v>1.745</v>
      </c>
      <c r="AA388" s="5" t="n">
        <v>0</v>
      </c>
      <c r="AB388" s="5" t="n">
        <v>12.908</v>
      </c>
      <c r="AC388" s="5" t="n">
        <v>0</v>
      </c>
      <c r="AD388" s="5" t="n">
        <v>1</v>
      </c>
      <c r="AE388" s="5" t="n">
        <v>14.194</v>
      </c>
      <c r="AF388" s="5" t="n">
        <v>3.319</v>
      </c>
      <c r="AG388" s="5" t="n">
        <v>0</v>
      </c>
      <c r="AH388" s="5" t="n">
        <v>14.194</v>
      </c>
      <c r="AI388" s="5" t="n">
        <v>0</v>
      </c>
      <c r="AJ388" s="5" t="n">
        <v>1</v>
      </c>
      <c r="AK388" s="5" t="n">
        <v>21.908</v>
      </c>
      <c r="AL388" s="5" t="n">
        <v>11.668</v>
      </c>
      <c r="AM388" s="5" t="n">
        <v>0.485</v>
      </c>
      <c r="AN388" s="5" t="n">
        <v>26.289</v>
      </c>
      <c r="AO388" s="5" t="n">
        <v>0.2</v>
      </c>
      <c r="AP388" s="5" t="n">
        <v>1</v>
      </c>
      <c r="AQ388" s="5" t="n">
        <v>0.76</v>
      </c>
      <c r="AR388" s="5" t="n">
        <v>0.129</v>
      </c>
      <c r="AS388" s="5" t="n">
        <v>0.017</v>
      </c>
      <c r="AT388" s="5" t="n">
        <v>0.913</v>
      </c>
      <c r="AU388" s="5" t="n">
        <v>0.2</v>
      </c>
      <c r="AV388" s="5" t="n">
        <v>1</v>
      </c>
      <c r="AW388" s="5" t="n">
        <v>0.8110000000000001</v>
      </c>
      <c r="AX388" s="5" t="n">
        <v>0.129</v>
      </c>
      <c r="AY388" s="5" t="n">
        <v>0.018</v>
      </c>
      <c r="AZ388" s="5" t="n">
        <v>0.974</v>
      </c>
      <c r="BA388" s="5" t="n">
        <v>0.2</v>
      </c>
      <c r="BB388" s="5" t="n">
        <v>1</v>
      </c>
      <c r="BC388" s="5" t="n">
        <v>0.535</v>
      </c>
      <c r="BD388" s="5" t="n">
        <v>0.129</v>
      </c>
      <c r="BE388" s="5" t="n">
        <v>0.012</v>
      </c>
      <c r="BF388" s="5" t="n">
        <v>0.642</v>
      </c>
      <c r="BG388" s="5" t="n">
        <v>0.2</v>
      </c>
      <c r="BH388" s="5" t="n">
        <v>1</v>
      </c>
      <c r="BI388" s="5" t="n">
        <v>0.579</v>
      </c>
      <c r="BJ388" s="5" t="n">
        <v>0.129</v>
      </c>
      <c r="BK388" s="5" t="n">
        <v>0.013</v>
      </c>
      <c r="BL388" s="5" t="n">
        <v>0.695</v>
      </c>
      <c r="BM388" s="5" t="n">
        <v>0.2</v>
      </c>
      <c r="BN388" s="5" t="n">
        <v>1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1</v>
      </c>
      <c r="BT388" s="5" t="n">
        <v>0</v>
      </c>
      <c r="BU388" s="5" t="n">
        <v>0</v>
      </c>
      <c r="BV388" s="5" t="n">
        <v>0</v>
      </c>
      <c r="BW388" s="5" t="n">
        <v>0.2</v>
      </c>
      <c r="BX388" s="5" t="n">
        <v>1</v>
      </c>
      <c r="BY388" s="5" t="n">
        <v>13.254</v>
      </c>
      <c r="BZ388" s="5" t="n">
        <v>0</v>
      </c>
      <c r="CA388" s="5" t="n">
        <v>13.254</v>
      </c>
      <c r="CB388" s="5" t="n">
        <v>0</v>
      </c>
      <c r="CC388" s="5" t="n">
        <v>83.248</v>
      </c>
      <c r="CD388" s="5" t="n">
        <v>7.95</v>
      </c>
      <c r="CE388" s="5" t="n">
        <v>1.843</v>
      </c>
      <c r="CF388" s="5" t="n">
        <v>99.898</v>
      </c>
      <c r="CG388" s="5" t="n">
        <v>0.2</v>
      </c>
      <c r="CH388" s="5" t="n">
        <v>1</v>
      </c>
      <c r="CI388" s="5" t="n">
        <v>0</v>
      </c>
      <c r="CJ388" s="5" t="n">
        <v>0</v>
      </c>
      <c r="CK388" s="5" t="n">
        <v>0</v>
      </c>
      <c r="CL388" s="5" t="n">
        <v>0</v>
      </c>
      <c r="CM388" s="5" t="n">
        <v>0</v>
      </c>
      <c r="CN388" s="5" t="n">
        <v>0</v>
      </c>
      <c r="CO388" s="5" t="n">
        <v>0</v>
      </c>
      <c r="CP388" s="5" t="n">
        <v>0</v>
      </c>
      <c r="CQ388" s="5" t="n">
        <v>1.348</v>
      </c>
      <c r="CR388" s="5" t="n">
        <v>0</v>
      </c>
      <c r="CS388" s="5" t="n">
        <v>5.37</v>
      </c>
      <c r="CT388" s="5" t="n">
        <v>3.466</v>
      </c>
      <c r="CU388" s="5" t="n">
        <v>11.622</v>
      </c>
    </row>
    <row r="389">
      <c r="A389" s="5" t="inlineStr">
        <is>
          <t>IMN2024</t>
        </is>
      </c>
      <c r="B389" s="5" t="inlineStr">
        <is>
          <t>IMN</t>
        </is>
      </c>
      <c r="C389" s="5" t="inlineStr">
        <is>
          <t>IMN</t>
        </is>
      </c>
      <c r="D389" s="5" t="inlineStr">
        <is>
          <t>Isle of Man</t>
        </is>
      </c>
      <c r="E389" s="5" t="n">
        <v>2024</v>
      </c>
      <c r="F389" s="5" t="n">
        <v>0.2</v>
      </c>
      <c r="G389" s="5" t="n">
        <v>4.351</v>
      </c>
      <c r="H389" s="5" t="n">
        <v>1.324</v>
      </c>
      <c r="I389" s="5" t="n">
        <v>0</v>
      </c>
      <c r="J389" s="5" t="n">
        <v>4.351</v>
      </c>
      <c r="K389" s="5" t="n">
        <v>0</v>
      </c>
      <c r="L389" s="5" t="n">
        <v>1</v>
      </c>
      <c r="M389" s="5" t="n">
        <v>7.124</v>
      </c>
      <c r="N389" s="5" t="n">
        <v>3.971</v>
      </c>
      <c r="O389" s="5" t="n">
        <v>0</v>
      </c>
      <c r="P389" s="5" t="n">
        <v>7.124</v>
      </c>
      <c r="Q389" s="5" t="n">
        <v>0</v>
      </c>
      <c r="R389" s="5" t="n">
        <v>1</v>
      </c>
      <c r="S389" s="5" t="n">
        <v>10.969</v>
      </c>
      <c r="T389" s="5" t="n">
        <v>7.942</v>
      </c>
      <c r="U389" s="5" t="n">
        <v>0.299</v>
      </c>
      <c r="V389" s="5" t="n">
        <v>13.162</v>
      </c>
      <c r="W389" s="5" t="n">
        <v>0.2</v>
      </c>
      <c r="X389" s="5" t="n">
        <v>1</v>
      </c>
      <c r="Y389" s="5" t="n">
        <v>11.492</v>
      </c>
      <c r="Z389" s="5" t="n">
        <v>1.553</v>
      </c>
      <c r="AA389" s="5" t="n">
        <v>0</v>
      </c>
      <c r="AB389" s="5" t="n">
        <v>11.492</v>
      </c>
      <c r="AC389" s="5" t="n">
        <v>0</v>
      </c>
      <c r="AD389" s="5" t="n">
        <v>1</v>
      </c>
      <c r="AE389" s="5" t="n">
        <v>12.815</v>
      </c>
      <c r="AF389" s="5" t="n">
        <v>2.997</v>
      </c>
      <c r="AG389" s="5" t="n">
        <v>0</v>
      </c>
      <c r="AH389" s="5" t="n">
        <v>12.815</v>
      </c>
      <c r="AI389" s="5" t="n">
        <v>0</v>
      </c>
      <c r="AJ389" s="5" t="n">
        <v>1</v>
      </c>
      <c r="AK389" s="5" t="n">
        <v>20.757</v>
      </c>
      <c r="AL389" s="5" t="n">
        <v>11.055</v>
      </c>
      <c r="AM389" s="5" t="n">
        <v>0.5649999999999999</v>
      </c>
      <c r="AN389" s="5" t="n">
        <v>24.909</v>
      </c>
      <c r="AO389" s="5" t="n">
        <v>0.2</v>
      </c>
      <c r="AP389" s="5" t="n">
        <v>1</v>
      </c>
      <c r="AQ389" s="5" t="n">
        <v>0.724</v>
      </c>
      <c r="AR389" s="5" t="n">
        <v>0.132</v>
      </c>
      <c r="AS389" s="5" t="n">
        <v>0.02</v>
      </c>
      <c r="AT389" s="5" t="n">
        <v>0.869</v>
      </c>
      <c r="AU389" s="5" t="n">
        <v>0.2</v>
      </c>
      <c r="AV389" s="5" t="n">
        <v>1</v>
      </c>
      <c r="AW389" s="5" t="n">
        <v>0.75</v>
      </c>
      <c r="AX389" s="5" t="n">
        <v>0.132</v>
      </c>
      <c r="AY389" s="5" t="n">
        <v>0.02</v>
      </c>
      <c r="AZ389" s="5" t="n">
        <v>0.9</v>
      </c>
      <c r="BA389" s="5" t="n">
        <v>0.2</v>
      </c>
      <c r="BB389" s="5" t="n">
        <v>1</v>
      </c>
      <c r="BC389" s="5" t="n">
        <v>0.513</v>
      </c>
      <c r="BD389" s="5" t="n">
        <v>0.132</v>
      </c>
      <c r="BE389" s="5" t="n">
        <v>0.014</v>
      </c>
      <c r="BF389" s="5" t="n">
        <v>0.616</v>
      </c>
      <c r="BG389" s="5" t="n">
        <v>0.2</v>
      </c>
      <c r="BH389" s="5" t="n">
        <v>1</v>
      </c>
      <c r="BI389" s="5" t="n">
        <v>0.591</v>
      </c>
      <c r="BJ389" s="5" t="n">
        <v>0.132</v>
      </c>
      <c r="BK389" s="5" t="n">
        <v>0.016</v>
      </c>
      <c r="BL389" s="5" t="n">
        <v>0.71</v>
      </c>
      <c r="BM389" s="5" t="n">
        <v>0.2</v>
      </c>
      <c r="BN389" s="5" t="n">
        <v>1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1</v>
      </c>
      <c r="BT389" s="5" t="n">
        <v>0</v>
      </c>
      <c r="BU389" s="5" t="n">
        <v>0</v>
      </c>
      <c r="BV389" s="5" t="n">
        <v>0</v>
      </c>
      <c r="BW389" s="5" t="n">
        <v>0.2</v>
      </c>
      <c r="BX389" s="5" t="n">
        <v>1</v>
      </c>
      <c r="BY389" s="5" t="n">
        <v>13.646</v>
      </c>
      <c r="BZ389" s="5" t="n">
        <v>0</v>
      </c>
      <c r="CA389" s="5" t="n">
        <v>13.646</v>
      </c>
      <c r="CB389" s="5" t="n">
        <v>0</v>
      </c>
      <c r="CC389" s="5" t="n">
        <v>82.58799999999999</v>
      </c>
      <c r="CD389" s="5" t="n">
        <v>7.95</v>
      </c>
      <c r="CE389" s="5" t="n">
        <v>2.25</v>
      </c>
      <c r="CF389" s="5" t="n">
        <v>99.10599999999999</v>
      </c>
      <c r="CG389" s="5" t="n">
        <v>0.2</v>
      </c>
      <c r="CH389" s="5" t="n">
        <v>1</v>
      </c>
      <c r="CI389" s="5" t="n">
        <v>0</v>
      </c>
      <c r="CJ389" s="5" t="n">
        <v>0</v>
      </c>
      <c r="CK389" s="5" t="n">
        <v>0</v>
      </c>
      <c r="CL389" s="5" t="n">
        <v>0</v>
      </c>
      <c r="CM389" s="5" t="n">
        <v>0</v>
      </c>
      <c r="CN389" s="5" t="n">
        <v>0</v>
      </c>
      <c r="CO389" s="5" t="n">
        <v>0</v>
      </c>
      <c r="CP389" s="5" t="n">
        <v>0</v>
      </c>
      <c r="CQ389" s="5" t="n">
        <v>1.387</v>
      </c>
      <c r="CR389" s="5" t="n">
        <v>0</v>
      </c>
      <c r="CS389" s="5" t="n">
        <v>5.529</v>
      </c>
      <c r="CT389" s="5" t="n">
        <v>3.027</v>
      </c>
      <c r="CU389" s="5" t="n">
        <v>10.168</v>
      </c>
    </row>
    <row r="390">
      <c r="A390" s="5" t="inlineStr">
        <is>
          <t>ISR2021</t>
        </is>
      </c>
      <c r="B390" s="5" t="inlineStr">
        <is>
          <t>ISR</t>
        </is>
      </c>
      <c r="C390" s="5" t="inlineStr">
        <is>
          <t>ISR</t>
        </is>
      </c>
      <c r="D390" s="5" t="inlineStr">
        <is>
          <t>Israel</t>
        </is>
      </c>
      <c r="E390" s="5" t="n">
        <v>2021</v>
      </c>
      <c r="F390" s="5" t="n">
        <v>0.17</v>
      </c>
      <c r="G390" s="5" t="n">
        <v>5.897</v>
      </c>
      <c r="H390" s="5" t="n">
        <v>1.143</v>
      </c>
      <c r="I390" s="5" t="n">
        <v>-4.577</v>
      </c>
      <c r="J390" s="5" t="n">
        <v>1.319</v>
      </c>
      <c r="K390" s="5" t="n">
        <v>0</v>
      </c>
      <c r="L390" s="5" t="n">
        <v>1</v>
      </c>
      <c r="M390" s="5" t="n">
        <v>1.311</v>
      </c>
      <c r="N390" s="5" t="n">
        <v>0.594</v>
      </c>
      <c r="O390" s="5" t="n">
        <v>0.008</v>
      </c>
      <c r="P390" s="5" t="n">
        <v>1.319</v>
      </c>
      <c r="Q390" s="5" t="n">
        <v>0</v>
      </c>
      <c r="R390" s="5" t="n">
        <v>1</v>
      </c>
      <c r="S390" s="5" t="n">
        <v>11.613</v>
      </c>
      <c r="T390" s="5" t="n">
        <v>6.86</v>
      </c>
      <c r="U390" s="5" t="n">
        <v>0</v>
      </c>
      <c r="V390" s="5" t="n">
        <v>13.588</v>
      </c>
      <c r="W390" s="5" t="n">
        <v>0.17</v>
      </c>
      <c r="X390" s="5" t="n">
        <v>1</v>
      </c>
      <c r="Y390" s="5" t="n">
        <v>2.463</v>
      </c>
      <c r="Z390" s="5" t="n">
        <v>0.275</v>
      </c>
      <c r="AA390" s="5" t="n">
        <v>-0.33</v>
      </c>
      <c r="AB390" s="5" t="n">
        <v>2.133</v>
      </c>
      <c r="AC390" s="5" t="n">
        <v>0</v>
      </c>
      <c r="AD390" s="5" t="n">
        <v>1</v>
      </c>
      <c r="AE390" s="5" t="n">
        <v>3.044</v>
      </c>
      <c r="AF390" s="5" t="n">
        <v>0.601</v>
      </c>
      <c r="AG390" s="5" t="n">
        <v>0.126</v>
      </c>
      <c r="AH390" s="5" t="n">
        <v>3.17</v>
      </c>
      <c r="AI390" s="5" t="n">
        <v>0</v>
      </c>
      <c r="AJ390" s="5" t="n">
        <v>1</v>
      </c>
      <c r="AK390" s="5" t="n">
        <v>6.529</v>
      </c>
      <c r="AL390" s="5" t="n">
        <v>3.106</v>
      </c>
      <c r="AM390" s="5" t="n">
        <v>0.142</v>
      </c>
      <c r="AN390" s="5" t="n">
        <v>7.805</v>
      </c>
      <c r="AO390" s="5" t="n">
        <v>0.17</v>
      </c>
      <c r="AP390" s="5" t="n">
        <v>1</v>
      </c>
      <c r="AQ390" s="5" t="n">
        <v>0.621</v>
      </c>
      <c r="AR390" s="5" t="n">
        <v>0.114</v>
      </c>
      <c r="AS390" s="5" t="n">
        <v>1.063</v>
      </c>
      <c r="AT390" s="5" t="n">
        <v>1.97</v>
      </c>
      <c r="AU390" s="5" t="n">
        <v>0.17</v>
      </c>
      <c r="AV390" s="5" t="n">
        <v>1</v>
      </c>
      <c r="AW390" s="5" t="n">
        <v>0.593</v>
      </c>
      <c r="AX390" s="5" t="n">
        <v>0.114</v>
      </c>
      <c r="AY390" s="5" t="n">
        <v>1.006</v>
      </c>
      <c r="AZ390" s="5" t="n">
        <v>1.871</v>
      </c>
      <c r="BA390" s="5" t="n">
        <v>0.17</v>
      </c>
      <c r="BB390" s="5" t="n">
        <v>1</v>
      </c>
      <c r="BC390" s="5" t="n">
        <v>0.44</v>
      </c>
      <c r="BD390" s="5" t="n">
        <v>0.114</v>
      </c>
      <c r="BE390" s="5" t="n">
        <v>0.406</v>
      </c>
      <c r="BF390" s="5" t="n">
        <v>0.99</v>
      </c>
      <c r="BG390" s="5" t="n">
        <v>0.17</v>
      </c>
      <c r="BH390" s="5" t="n">
        <v>1</v>
      </c>
      <c r="BI390" s="5" t="n">
        <v>0.5600000000000001</v>
      </c>
      <c r="BJ390" s="5" t="n">
        <v>0.114</v>
      </c>
      <c r="BK390" s="5" t="n">
        <v>0.676</v>
      </c>
      <c r="BL390" s="5" t="n">
        <v>1.447</v>
      </c>
      <c r="BM390" s="5" t="n">
        <v>0.17</v>
      </c>
      <c r="BN390" s="5" t="n">
        <v>1</v>
      </c>
      <c r="BO390" s="5" t="n">
        <v>0</v>
      </c>
      <c r="BP390" s="5" t="n">
        <v>0.02</v>
      </c>
      <c r="BQ390" s="5" t="n">
        <v>0.142</v>
      </c>
      <c r="BR390" s="5" t="n">
        <v>0</v>
      </c>
      <c r="BS390" s="5" t="n">
        <v>1</v>
      </c>
      <c r="BT390" s="5" t="n">
        <v>0</v>
      </c>
      <c r="BU390" s="5" t="n">
        <v>0</v>
      </c>
      <c r="BV390" s="5" t="n">
        <v>0.17</v>
      </c>
      <c r="BW390" s="5" t="n">
        <v>0.17</v>
      </c>
      <c r="BX390" s="5" t="n">
        <v>0.833</v>
      </c>
      <c r="BY390" s="5" t="n">
        <v>11.787</v>
      </c>
      <c r="BZ390" s="5" t="n">
        <v>0</v>
      </c>
      <c r="CA390" s="5" t="n">
        <v>11.787</v>
      </c>
      <c r="CB390" s="5" t="n">
        <v>0</v>
      </c>
      <c r="CC390" s="5" t="n">
        <v>81.69499999999999</v>
      </c>
      <c r="CD390" s="5" t="n">
        <v>7.95</v>
      </c>
      <c r="CE390" s="5" t="n">
        <v>1.553</v>
      </c>
      <c r="CF390" s="5" t="n">
        <v>97.40000000000001</v>
      </c>
      <c r="CG390" s="5" t="n">
        <v>0.17</v>
      </c>
      <c r="CH390" s="5" t="n">
        <v>1</v>
      </c>
      <c r="CI390" s="5" t="n">
        <v>0</v>
      </c>
      <c r="CJ390" s="5" t="n">
        <v>0</v>
      </c>
      <c r="CK390" s="5" t="n">
        <v>0</v>
      </c>
      <c r="CL390" s="5" t="n">
        <v>0</v>
      </c>
      <c r="CM390" s="5" t="n">
        <v>0</v>
      </c>
      <c r="CN390" s="5" t="n">
        <v>0.132</v>
      </c>
      <c r="CO390" s="5" t="n">
        <v>0</v>
      </c>
      <c r="CP390" s="5" t="n">
        <v>0</v>
      </c>
      <c r="CQ390" s="5" t="n">
        <v>1.198</v>
      </c>
      <c r="CR390" s="5" t="n">
        <v>0.984</v>
      </c>
      <c r="CS390" s="5" t="n">
        <v>1.882</v>
      </c>
      <c r="CT390" s="5" t="n">
        <v>4.753</v>
      </c>
      <c r="CU390" s="5" t="n">
        <v>14.129</v>
      </c>
    </row>
    <row r="391">
      <c r="A391" s="5" t="inlineStr">
        <is>
          <t>ISR2022</t>
        </is>
      </c>
      <c r="B391" s="5" t="inlineStr">
        <is>
          <t>ISR</t>
        </is>
      </c>
      <c r="C391" s="5" t="inlineStr">
        <is>
          <t>ISR</t>
        </is>
      </c>
      <c r="D391" s="5" t="inlineStr">
        <is>
          <t>Israel</t>
        </is>
      </c>
      <c r="E391" s="5" t="n">
        <v>2022</v>
      </c>
      <c r="F391" s="5" t="n">
        <v>0.17</v>
      </c>
      <c r="G391" s="5" t="n">
        <v>11.72</v>
      </c>
      <c r="H391" s="5" t="n">
        <v>1.235</v>
      </c>
      <c r="I391" s="5" t="n">
        <v>0.643</v>
      </c>
      <c r="J391" s="5" t="n">
        <v>12.363</v>
      </c>
      <c r="K391" s="5" t="n">
        <v>0</v>
      </c>
      <c r="L391" s="5" t="n">
        <v>1</v>
      </c>
      <c r="M391" s="5" t="n">
        <v>1.611</v>
      </c>
      <c r="N391" s="5" t="n">
        <v>0.665</v>
      </c>
      <c r="O391" s="5" t="n">
        <v>0.6830000000000001</v>
      </c>
      <c r="P391" s="5" t="n">
        <v>2.294</v>
      </c>
      <c r="Q391" s="5" t="n">
        <v>0</v>
      </c>
      <c r="R391" s="5" t="n">
        <v>1</v>
      </c>
      <c r="S391" s="5" t="n">
        <v>17.893</v>
      </c>
      <c r="T391" s="5" t="n">
        <v>7.408</v>
      </c>
      <c r="U391" s="5" t="n">
        <v>0.225</v>
      </c>
      <c r="V391" s="5" t="n">
        <v>20.935</v>
      </c>
      <c r="W391" s="5" t="n">
        <v>0.17</v>
      </c>
      <c r="X391" s="5" t="n">
        <v>1</v>
      </c>
      <c r="Y391" s="5" t="n">
        <v>2.652</v>
      </c>
      <c r="Z391" s="5" t="n">
        <v>0.296</v>
      </c>
      <c r="AA391" s="5" t="n">
        <v>-0.292</v>
      </c>
      <c r="AB391" s="5" t="n">
        <v>2.359</v>
      </c>
      <c r="AC391" s="5" t="n">
        <v>0</v>
      </c>
      <c r="AD391" s="5" t="n">
        <v>1</v>
      </c>
      <c r="AE391" s="5" t="n">
        <v>3.272</v>
      </c>
      <c r="AF391" s="5" t="n">
        <v>0.646</v>
      </c>
      <c r="AG391" s="5" t="n">
        <v>0.123</v>
      </c>
      <c r="AH391" s="5" t="n">
        <v>3.395</v>
      </c>
      <c r="AI391" s="5" t="n">
        <v>0</v>
      </c>
      <c r="AJ391" s="5" t="n">
        <v>1</v>
      </c>
      <c r="AK391" s="5" t="n">
        <v>6.99</v>
      </c>
      <c r="AL391" s="5" t="n">
        <v>3.326</v>
      </c>
      <c r="AM391" s="5" t="n">
        <v>0.228</v>
      </c>
      <c r="AN391" s="5" t="n">
        <v>8.34</v>
      </c>
      <c r="AO391" s="5" t="n">
        <v>0.17</v>
      </c>
      <c r="AP391" s="5" t="n">
        <v>1</v>
      </c>
      <c r="AQ391" s="5" t="n">
        <v>0.847</v>
      </c>
      <c r="AR391" s="5" t="n">
        <v>0.123</v>
      </c>
      <c r="AS391" s="5" t="n">
        <v>0.953</v>
      </c>
      <c r="AT391" s="5" t="n">
        <v>2.106</v>
      </c>
      <c r="AU391" s="5" t="n">
        <v>0.17</v>
      </c>
      <c r="AV391" s="5" t="n">
        <v>1</v>
      </c>
      <c r="AW391" s="5" t="n">
        <v>0.947</v>
      </c>
      <c r="AX391" s="5" t="n">
        <v>0.123</v>
      </c>
      <c r="AY391" s="5" t="n">
        <v>0.763</v>
      </c>
      <c r="AZ391" s="5" t="n">
        <v>2.001</v>
      </c>
      <c r="BA391" s="5" t="n">
        <v>0.17</v>
      </c>
      <c r="BB391" s="5" t="n">
        <v>1</v>
      </c>
      <c r="BC391" s="5" t="n">
        <v>0.589</v>
      </c>
      <c r="BD391" s="5" t="n">
        <v>0.123</v>
      </c>
      <c r="BE391" s="5" t="n">
        <v>0.347</v>
      </c>
      <c r="BF391" s="5" t="n">
        <v>1.095</v>
      </c>
      <c r="BG391" s="5" t="n">
        <v>0.17</v>
      </c>
      <c r="BH391" s="5" t="n">
        <v>1</v>
      </c>
      <c r="BI391" s="5" t="n">
        <v>0.6889999999999999</v>
      </c>
      <c r="BJ391" s="5" t="n">
        <v>0.123</v>
      </c>
      <c r="BK391" s="5" t="n">
        <v>1.123</v>
      </c>
      <c r="BL391" s="5" t="n">
        <v>2.12</v>
      </c>
      <c r="BM391" s="5" t="n">
        <v>0.17</v>
      </c>
      <c r="BN391" s="5" t="n">
        <v>1</v>
      </c>
      <c r="BO391" s="5" t="n">
        <v>0</v>
      </c>
      <c r="BP391" s="5" t="n">
        <v>0.023</v>
      </c>
      <c r="BQ391" s="5" t="n">
        <v>0.172</v>
      </c>
      <c r="BR391" s="5" t="n">
        <v>0</v>
      </c>
      <c r="BS391" s="5" t="n">
        <v>1</v>
      </c>
      <c r="BT391" s="5" t="n">
        <v>0</v>
      </c>
      <c r="BU391" s="5" t="n">
        <v>0</v>
      </c>
      <c r="BV391" s="5" t="n">
        <v>0.175</v>
      </c>
      <c r="BW391" s="5" t="n">
        <v>0.17</v>
      </c>
      <c r="BX391" s="5" t="n">
        <v>0.833</v>
      </c>
      <c r="BY391" s="5" t="n">
        <v>12.729</v>
      </c>
      <c r="BZ391" s="5" t="n">
        <v>0</v>
      </c>
      <c r="CA391" s="5" t="n">
        <v>12.729</v>
      </c>
      <c r="CB391" s="5" t="n">
        <v>0</v>
      </c>
      <c r="CC391" s="5" t="n">
        <v>102.477</v>
      </c>
      <c r="CD391" s="5" t="n">
        <v>7.95</v>
      </c>
      <c r="CE391" s="5" t="n">
        <v>0.511</v>
      </c>
      <c r="CF391" s="5" t="n">
        <v>118.999</v>
      </c>
      <c r="CG391" s="5" t="n">
        <v>0.17</v>
      </c>
      <c r="CH391" s="5" t="n">
        <v>1</v>
      </c>
      <c r="CI391" s="5" t="n">
        <v>0</v>
      </c>
      <c r="CJ391" s="5" t="n">
        <v>0</v>
      </c>
      <c r="CK391" s="5" t="n">
        <v>0</v>
      </c>
      <c r="CL391" s="5" t="n">
        <v>0</v>
      </c>
      <c r="CM391" s="5" t="n">
        <v>0</v>
      </c>
      <c r="CN391" s="5" t="n">
        <v>0.157</v>
      </c>
      <c r="CO391" s="5" t="n">
        <v>0</v>
      </c>
      <c r="CP391" s="5" t="n">
        <v>0</v>
      </c>
      <c r="CQ391" s="5" t="n">
        <v>1.294</v>
      </c>
      <c r="CR391" s="5" t="n">
        <v>0.996</v>
      </c>
      <c r="CS391" s="5" t="n">
        <v>2.032</v>
      </c>
      <c r="CT391" s="5" t="n">
        <v>10.485</v>
      </c>
      <c r="CU391" s="5" t="n">
        <v>28.059</v>
      </c>
    </row>
    <row r="392">
      <c r="A392" s="5" t="inlineStr">
        <is>
          <t>ISR2023</t>
        </is>
      </c>
      <c r="B392" s="5" t="inlineStr">
        <is>
          <t>ISR</t>
        </is>
      </c>
      <c r="C392" s="5" t="inlineStr">
        <is>
          <t>ISR</t>
        </is>
      </c>
      <c r="D392" s="5" t="inlineStr">
        <is>
          <t>Israel</t>
        </is>
      </c>
      <c r="E392" s="5" t="n">
        <v>2023</v>
      </c>
      <c r="F392" s="5" t="n">
        <v>0.17</v>
      </c>
      <c r="G392" s="5" t="n">
        <v>5.796</v>
      </c>
      <c r="H392" s="5" t="n">
        <v>1.231</v>
      </c>
      <c r="I392" s="5" t="n">
        <v>0.012</v>
      </c>
      <c r="J392" s="5" t="n">
        <v>5.807</v>
      </c>
      <c r="K392" s="5" t="n">
        <v>0</v>
      </c>
      <c r="L392" s="5" t="n">
        <v>1</v>
      </c>
      <c r="M392" s="5" t="n">
        <v>1.234</v>
      </c>
      <c r="N392" s="5" t="n">
        <v>0.612</v>
      </c>
      <c r="O392" s="5" t="n">
        <v>1.359</v>
      </c>
      <c r="P392" s="5" t="n">
        <v>2.593</v>
      </c>
      <c r="Q392" s="5" t="n">
        <v>0</v>
      </c>
      <c r="R392" s="5" t="n">
        <v>1</v>
      </c>
      <c r="S392" s="5" t="n">
        <v>11.952</v>
      </c>
      <c r="T392" s="5" t="n">
        <v>7.388</v>
      </c>
      <c r="U392" s="5" t="n">
        <v>0.225</v>
      </c>
      <c r="V392" s="5" t="n">
        <v>13.984</v>
      </c>
      <c r="W392" s="5" t="n">
        <v>0.17</v>
      </c>
      <c r="X392" s="5" t="n">
        <v>1</v>
      </c>
      <c r="Y392" s="5" t="n">
        <v>2.759</v>
      </c>
      <c r="Z392" s="5" t="n">
        <v>0.308</v>
      </c>
      <c r="AA392" s="5" t="n">
        <v>-0.255</v>
      </c>
      <c r="AB392" s="5" t="n">
        <v>2.504</v>
      </c>
      <c r="AC392" s="5" t="n">
        <v>0</v>
      </c>
      <c r="AD392" s="5" t="n">
        <v>1</v>
      </c>
      <c r="AE392" s="5" t="n">
        <v>3.402</v>
      </c>
      <c r="AF392" s="5" t="n">
        <v>0.671</v>
      </c>
      <c r="AG392" s="5" t="n">
        <v>0.12</v>
      </c>
      <c r="AH392" s="5" t="n">
        <v>3.522</v>
      </c>
      <c r="AI392" s="5" t="n">
        <v>0</v>
      </c>
      <c r="AJ392" s="5" t="n">
        <v>1</v>
      </c>
      <c r="AK392" s="5" t="n">
        <v>7.259</v>
      </c>
      <c r="AL392" s="5" t="n">
        <v>3.453</v>
      </c>
      <c r="AM392" s="5" t="n">
        <v>0.274</v>
      </c>
      <c r="AN392" s="5" t="n">
        <v>8.65</v>
      </c>
      <c r="AO392" s="5" t="n">
        <v>0.17</v>
      </c>
      <c r="AP392" s="5" t="n">
        <v>1</v>
      </c>
      <c r="AQ392" s="5" t="n">
        <v>0.749</v>
      </c>
      <c r="AR392" s="5" t="n">
        <v>0.129</v>
      </c>
      <c r="AS392" s="5" t="n">
        <v>0.904</v>
      </c>
      <c r="AT392" s="5" t="n">
        <v>1.933</v>
      </c>
      <c r="AU392" s="5" t="n">
        <v>0.17</v>
      </c>
      <c r="AV392" s="5" t="n">
        <v>1</v>
      </c>
      <c r="AW392" s="5" t="n">
        <v>0.783</v>
      </c>
      <c r="AX392" s="5" t="n">
        <v>0.129</v>
      </c>
      <c r="AY392" s="5" t="n">
        <v>0.787</v>
      </c>
      <c r="AZ392" s="5" t="n">
        <v>1.836</v>
      </c>
      <c r="BA392" s="5" t="n">
        <v>0.17</v>
      </c>
      <c r="BB392" s="5" t="n">
        <v>1</v>
      </c>
      <c r="BC392" s="5" t="n">
        <v>0.527</v>
      </c>
      <c r="BD392" s="5" t="n">
        <v>0.129</v>
      </c>
      <c r="BE392" s="5" t="n">
        <v>0.257</v>
      </c>
      <c r="BF392" s="5" t="n">
        <v>0.918</v>
      </c>
      <c r="BG392" s="5" t="n">
        <v>0.17</v>
      </c>
      <c r="BH392" s="5" t="n">
        <v>1</v>
      </c>
      <c r="BI392" s="5" t="n">
        <v>0.64</v>
      </c>
      <c r="BJ392" s="5" t="n">
        <v>0.129</v>
      </c>
      <c r="BK392" s="5" t="n">
        <v>1.078</v>
      </c>
      <c r="BL392" s="5" t="n">
        <v>2.01</v>
      </c>
      <c r="BM392" s="5" t="n">
        <v>0.17</v>
      </c>
      <c r="BN392" s="5" t="n">
        <v>1</v>
      </c>
      <c r="BO392" s="5" t="n">
        <v>0</v>
      </c>
      <c r="BP392" s="5" t="n">
        <v>0.024</v>
      </c>
      <c r="BQ392" s="5" t="n">
        <v>0.133</v>
      </c>
      <c r="BR392" s="5" t="n">
        <v>0</v>
      </c>
      <c r="BS392" s="5" t="n">
        <v>1</v>
      </c>
      <c r="BT392" s="5" t="n">
        <v>0</v>
      </c>
      <c r="BU392" s="5" t="n">
        <v>0</v>
      </c>
      <c r="BV392" s="5" t="n">
        <v>0.172</v>
      </c>
      <c r="BW392" s="5" t="n">
        <v>0.17</v>
      </c>
      <c r="BX392" s="5" t="n">
        <v>0.833</v>
      </c>
      <c r="BY392" s="5" t="n">
        <v>13.254</v>
      </c>
      <c r="BZ392" s="5" t="n">
        <v>0</v>
      </c>
      <c r="CA392" s="5" t="n">
        <v>13.254</v>
      </c>
      <c r="CB392" s="5" t="n">
        <v>0</v>
      </c>
      <c r="CC392" s="5" t="n">
        <v>87.07899999999999</v>
      </c>
      <c r="CD392" s="5" t="n">
        <v>7.95</v>
      </c>
      <c r="CE392" s="5" t="n">
        <v>0.824</v>
      </c>
      <c r="CF392" s="5" t="n">
        <v>100.946</v>
      </c>
      <c r="CG392" s="5" t="n">
        <v>0.17</v>
      </c>
      <c r="CH392" s="5" t="n">
        <v>1</v>
      </c>
      <c r="CI392" s="5" t="n">
        <v>0</v>
      </c>
      <c r="CJ392" s="5" t="n">
        <v>0</v>
      </c>
      <c r="CK392" s="5" t="n">
        <v>0</v>
      </c>
      <c r="CL392" s="5" t="n">
        <v>0</v>
      </c>
      <c r="CM392" s="5" t="n">
        <v>0</v>
      </c>
      <c r="CN392" s="5" t="n">
        <v>0.178</v>
      </c>
      <c r="CO392" s="5" t="n">
        <v>0</v>
      </c>
      <c r="CP392" s="5" t="n">
        <v>0.08500000000000001</v>
      </c>
      <c r="CQ392" s="5" t="n">
        <v>1.348</v>
      </c>
      <c r="CR392" s="5" t="n">
        <v>1</v>
      </c>
      <c r="CS392" s="5" t="n">
        <v>2.116</v>
      </c>
      <c r="CT392" s="5" t="n">
        <v>4.861</v>
      </c>
      <c r="CU392" s="5" t="n">
        <v>9.260999999999999</v>
      </c>
    </row>
    <row r="393">
      <c r="A393" s="5" t="inlineStr">
        <is>
          <t>ISR2024</t>
        </is>
      </c>
      <c r="B393" s="5" t="inlineStr">
        <is>
          <t>ISR</t>
        </is>
      </c>
      <c r="C393" s="5" t="inlineStr">
        <is>
          <t>ISR</t>
        </is>
      </c>
      <c r="D393" s="5" t="inlineStr">
        <is>
          <t>Israel</t>
        </is>
      </c>
      <c r="E393" s="5" t="n">
        <v>2024</v>
      </c>
      <c r="F393" s="5" t="n">
        <v>0.17</v>
      </c>
      <c r="G393" s="5" t="n">
        <v>5.277</v>
      </c>
      <c r="H393" s="5" t="n">
        <v>1.268</v>
      </c>
      <c r="I393" s="5" t="n">
        <v>0.012</v>
      </c>
      <c r="J393" s="5" t="n">
        <v>5.289</v>
      </c>
      <c r="K393" s="5" t="n">
        <v>0</v>
      </c>
      <c r="L393" s="5" t="n">
        <v>1</v>
      </c>
      <c r="M393" s="5" t="n">
        <v>1.121</v>
      </c>
      <c r="N393" s="5" t="n">
        <v>0.61</v>
      </c>
      <c r="O393" s="5" t="n">
        <v>1.399</v>
      </c>
      <c r="P393" s="5" t="n">
        <v>2.519</v>
      </c>
      <c r="Q393" s="5" t="n">
        <v>0</v>
      </c>
      <c r="R393" s="5" t="n">
        <v>1</v>
      </c>
      <c r="S393" s="5" t="n">
        <v>11.615</v>
      </c>
      <c r="T393" s="5" t="n">
        <v>7.606</v>
      </c>
      <c r="U393" s="5" t="n">
        <v>0.269</v>
      </c>
      <c r="V393" s="5" t="n">
        <v>13.59</v>
      </c>
      <c r="W393" s="5" t="n">
        <v>0.17</v>
      </c>
      <c r="X393" s="5" t="n">
        <v>1</v>
      </c>
      <c r="Y393" s="5" t="n">
        <v>2.84</v>
      </c>
      <c r="Z393" s="5" t="n">
        <v>0.317</v>
      </c>
      <c r="AA393" s="5" t="n">
        <v>-0.263</v>
      </c>
      <c r="AB393" s="5" t="n">
        <v>2.578</v>
      </c>
      <c r="AC393" s="5" t="n">
        <v>0</v>
      </c>
      <c r="AD393" s="5" t="n">
        <v>1</v>
      </c>
      <c r="AE393" s="5" t="n">
        <v>3.502</v>
      </c>
      <c r="AF393" s="5" t="n">
        <v>0.6909999999999999</v>
      </c>
      <c r="AG393" s="5" t="n">
        <v>0.124</v>
      </c>
      <c r="AH393" s="5" t="n">
        <v>3.626</v>
      </c>
      <c r="AI393" s="5" t="n">
        <v>0</v>
      </c>
      <c r="AJ393" s="5" t="n">
        <v>1</v>
      </c>
      <c r="AK393" s="5" t="n">
        <v>7.473</v>
      </c>
      <c r="AL393" s="5" t="n">
        <v>3.555</v>
      </c>
      <c r="AM393" s="5" t="n">
        <v>0.315</v>
      </c>
      <c r="AN393" s="5" t="n">
        <v>8.904999999999999</v>
      </c>
      <c r="AO393" s="5" t="n">
        <v>0.17</v>
      </c>
      <c r="AP393" s="5" t="n">
        <v>1</v>
      </c>
      <c r="AQ393" s="5" t="n">
        <v>0.72</v>
      </c>
      <c r="AR393" s="5" t="n">
        <v>0.132</v>
      </c>
      <c r="AS393" s="5" t="n">
        <v>1.046</v>
      </c>
      <c r="AT393" s="5" t="n">
        <v>2.066</v>
      </c>
      <c r="AU393" s="5" t="n">
        <v>0.17</v>
      </c>
      <c r="AV393" s="5" t="n">
        <v>1</v>
      </c>
      <c r="AW393" s="5" t="n">
        <v>0.734</v>
      </c>
      <c r="AX393" s="5" t="n">
        <v>0.132</v>
      </c>
      <c r="AY393" s="5" t="n">
        <v>0.944</v>
      </c>
      <c r="AZ393" s="5" t="n">
        <v>1.963</v>
      </c>
      <c r="BA393" s="5" t="n">
        <v>0.17</v>
      </c>
      <c r="BB393" s="5" t="n">
        <v>1</v>
      </c>
      <c r="BC393" s="5" t="n">
        <v>0.51</v>
      </c>
      <c r="BD393" s="5" t="n">
        <v>0.132</v>
      </c>
      <c r="BE393" s="5" t="n">
        <v>0.281</v>
      </c>
      <c r="BF393" s="5" t="n">
        <v>0.926</v>
      </c>
      <c r="BG393" s="5" t="n">
        <v>0.17</v>
      </c>
      <c r="BH393" s="5" t="n">
        <v>1</v>
      </c>
      <c r="BI393" s="5" t="n">
        <v>0.652</v>
      </c>
      <c r="BJ393" s="5" t="n">
        <v>0.132</v>
      </c>
      <c r="BK393" s="5" t="n">
        <v>1.351</v>
      </c>
      <c r="BL393" s="5" t="n">
        <v>2.344</v>
      </c>
      <c r="BM393" s="5" t="n">
        <v>0.17</v>
      </c>
      <c r="BN393" s="5" t="n">
        <v>1</v>
      </c>
      <c r="BO393" s="5" t="n">
        <v>0</v>
      </c>
      <c r="BP393" s="5" t="n">
        <v>0.025</v>
      </c>
      <c r="BQ393" s="5" t="n">
        <v>0.093</v>
      </c>
      <c r="BR393" s="5" t="n">
        <v>0</v>
      </c>
      <c r="BS393" s="5" t="n">
        <v>1</v>
      </c>
      <c r="BT393" s="5" t="n">
        <v>0</v>
      </c>
      <c r="BU393" s="5" t="n">
        <v>0</v>
      </c>
      <c r="BV393" s="5" t="n">
        <v>0.174</v>
      </c>
      <c r="BW393" s="5" t="n">
        <v>0.17</v>
      </c>
      <c r="BX393" s="5" t="n">
        <v>0.833</v>
      </c>
      <c r="BY393" s="5" t="n">
        <v>13.646</v>
      </c>
      <c r="BZ393" s="5" t="n">
        <v>0</v>
      </c>
      <c r="CA393" s="5" t="n">
        <v>13.646</v>
      </c>
      <c r="CB393" s="5" t="n">
        <v>0</v>
      </c>
      <c r="CC393" s="5" t="n">
        <v>86.38500000000001</v>
      </c>
      <c r="CD393" s="5" t="n">
        <v>7.95</v>
      </c>
      <c r="CE393" s="5" t="n">
        <v>1.158</v>
      </c>
      <c r="CF393" s="5" t="n">
        <v>100.107</v>
      </c>
      <c r="CG393" s="5" t="n">
        <v>0.17</v>
      </c>
      <c r="CH393" s="5" t="n">
        <v>1</v>
      </c>
      <c r="CI393" s="5" t="n">
        <v>0</v>
      </c>
      <c r="CJ393" s="5" t="n">
        <v>0</v>
      </c>
      <c r="CK393" s="5" t="n">
        <v>0</v>
      </c>
      <c r="CL393" s="5" t="n">
        <v>0</v>
      </c>
      <c r="CM393" s="5" t="n">
        <v>0</v>
      </c>
      <c r="CN393" s="5" t="n">
        <v>0.212</v>
      </c>
      <c r="CO393" s="5" t="n">
        <v>0</v>
      </c>
      <c r="CP393" s="5" t="n">
        <v>0.08500000000000001</v>
      </c>
      <c r="CQ393" s="5" t="n">
        <v>1.387</v>
      </c>
      <c r="CR393" s="5" t="n">
        <v>1</v>
      </c>
      <c r="CS393" s="5" t="n">
        <v>2.179</v>
      </c>
      <c r="CT393" s="5" t="n">
        <v>4.251</v>
      </c>
      <c r="CU393" s="5" t="n">
        <v>7.598</v>
      </c>
    </row>
    <row r="394">
      <c r="A394" s="5" t="inlineStr">
        <is>
          <t>ITA2021</t>
        </is>
      </c>
      <c r="B394" s="5" t="inlineStr">
        <is>
          <t>ITA</t>
        </is>
      </c>
      <c r="C394" s="5" t="inlineStr">
        <is>
          <t>ITA</t>
        </is>
      </c>
      <c r="D394" s="5" t="inlineStr">
        <is>
          <t>Italy</t>
        </is>
      </c>
      <c r="E394" s="5" t="n">
        <v>2021</v>
      </c>
      <c r="F394" s="5" t="n">
        <v>0.22</v>
      </c>
      <c r="G394" s="5" t="n">
        <v>6.008</v>
      </c>
      <c r="H394" s="5" t="n">
        <v>1.143</v>
      </c>
      <c r="I394" s="5" t="n">
        <v>1.659</v>
      </c>
      <c r="J394" s="5" t="n">
        <v>7.668</v>
      </c>
      <c r="K394" s="5" t="n">
        <v>0</v>
      </c>
      <c r="L394" s="5" t="n">
        <v>1</v>
      </c>
      <c r="M394" s="5" t="n">
        <v>7.964</v>
      </c>
      <c r="N394" s="5" t="n">
        <v>3.43</v>
      </c>
      <c r="O394" s="5" t="n">
        <v>1.702</v>
      </c>
      <c r="P394" s="5" t="n">
        <v>9.666</v>
      </c>
      <c r="Q394" s="5" t="n">
        <v>0</v>
      </c>
      <c r="R394" s="5" t="n">
        <v>1</v>
      </c>
      <c r="S394" s="5" t="n">
        <v>11.725</v>
      </c>
      <c r="T394" s="5" t="n">
        <v>6.86</v>
      </c>
      <c r="U394" s="5" t="n">
        <v>0</v>
      </c>
      <c r="V394" s="5" t="n">
        <v>14.305</v>
      </c>
      <c r="W394" s="5" t="n">
        <v>0.22</v>
      </c>
      <c r="X394" s="5" t="n">
        <v>1</v>
      </c>
      <c r="Y394" s="5" t="n">
        <v>20.005</v>
      </c>
      <c r="Z394" s="5" t="n">
        <v>2.21</v>
      </c>
      <c r="AA394" s="5" t="n">
        <v>-8.103</v>
      </c>
      <c r="AB394" s="5" t="n">
        <v>11.901</v>
      </c>
      <c r="AC394" s="5" t="n">
        <v>0</v>
      </c>
      <c r="AD394" s="5" t="n">
        <v>1</v>
      </c>
      <c r="AE394" s="5" t="n">
        <v>19.961</v>
      </c>
      <c r="AF394" s="5" t="n">
        <v>3.928</v>
      </c>
      <c r="AG394" s="5" t="n">
        <v>-8.06</v>
      </c>
      <c r="AH394" s="5" t="n">
        <v>11.901</v>
      </c>
      <c r="AI394" s="5" t="n">
        <v>0</v>
      </c>
      <c r="AJ394" s="5" t="n">
        <v>1</v>
      </c>
      <c r="AK394" s="5" t="n">
        <v>28.296</v>
      </c>
      <c r="AL394" s="5" t="n">
        <v>13.888</v>
      </c>
      <c r="AM394" s="5" t="n">
        <v>-5.3</v>
      </c>
      <c r="AN394" s="5" t="n">
        <v>28.055</v>
      </c>
      <c r="AO394" s="5" t="n">
        <v>0.22</v>
      </c>
      <c r="AP394" s="5" t="n">
        <v>1</v>
      </c>
      <c r="AQ394" s="5" t="n">
        <v>0.619</v>
      </c>
      <c r="AR394" s="5" t="n">
        <v>0.114</v>
      </c>
      <c r="AS394" s="5" t="n">
        <v>0.956</v>
      </c>
      <c r="AT394" s="5" t="n">
        <v>1.922</v>
      </c>
      <c r="AU394" s="5" t="n">
        <v>0.22</v>
      </c>
      <c r="AV394" s="5" t="n">
        <v>1</v>
      </c>
      <c r="AW394" s="5" t="n">
        <v>0.599</v>
      </c>
      <c r="AX394" s="5" t="n">
        <v>0.114</v>
      </c>
      <c r="AY394" s="5" t="n">
        <v>0.841</v>
      </c>
      <c r="AZ394" s="5" t="n">
        <v>1.758</v>
      </c>
      <c r="BA394" s="5" t="n">
        <v>0.22</v>
      </c>
      <c r="BB394" s="5" t="n">
        <v>1</v>
      </c>
      <c r="BC394" s="5" t="n">
        <v>0.439</v>
      </c>
      <c r="BD394" s="5" t="n">
        <v>0.114</v>
      </c>
      <c r="BE394" s="5" t="n">
        <v>0.244</v>
      </c>
      <c r="BF394" s="5" t="n">
        <v>0.833</v>
      </c>
      <c r="BG394" s="5" t="n">
        <v>0.22</v>
      </c>
      <c r="BH394" s="5" t="n">
        <v>1</v>
      </c>
      <c r="BI394" s="5" t="n">
        <v>0.505</v>
      </c>
      <c r="BJ394" s="5" t="n">
        <v>0.114</v>
      </c>
      <c r="BK394" s="5" t="n">
        <v>0.744</v>
      </c>
      <c r="BL394" s="5" t="n">
        <v>1.523</v>
      </c>
      <c r="BM394" s="5" t="n">
        <v>0.22</v>
      </c>
      <c r="BN394" s="5" t="n">
        <v>1</v>
      </c>
      <c r="BO394" s="5" t="n">
        <v>0</v>
      </c>
      <c r="BP394" s="5" t="n">
        <v>0.024</v>
      </c>
      <c r="BQ394" s="5" t="n">
        <v>0.15</v>
      </c>
      <c r="BR394" s="5" t="n">
        <v>0</v>
      </c>
      <c r="BS394" s="5" t="n">
        <v>1</v>
      </c>
      <c r="BT394" s="5" t="n">
        <v>0</v>
      </c>
      <c r="BU394" s="5" t="n">
        <v>0.06</v>
      </c>
      <c r="BV394" s="5" t="n">
        <v>0.273</v>
      </c>
      <c r="BW394" s="5" t="n">
        <v>0.22</v>
      </c>
      <c r="BX394" s="5" t="n">
        <v>1</v>
      </c>
      <c r="BY394" s="5" t="n">
        <v>11.787</v>
      </c>
      <c r="BZ394" s="5" t="n">
        <v>0</v>
      </c>
      <c r="CA394" s="5" t="n">
        <v>11.787</v>
      </c>
      <c r="CB394" s="5" t="n">
        <v>0</v>
      </c>
      <c r="CC394" s="5" t="n">
        <v>78.125</v>
      </c>
      <c r="CD394" s="5" t="n">
        <v>7.95</v>
      </c>
      <c r="CE394" s="5" t="n">
        <v>125.913</v>
      </c>
      <c r="CF394" s="5" t="n">
        <v>248.926</v>
      </c>
      <c r="CG394" s="5" t="n">
        <v>0.22</v>
      </c>
      <c r="CH394" s="5" t="n">
        <v>1</v>
      </c>
      <c r="CI394" s="5" t="n">
        <v>0</v>
      </c>
      <c r="CJ394" s="5" t="n">
        <v>0</v>
      </c>
      <c r="CK394" s="5" t="n">
        <v>0</v>
      </c>
      <c r="CL394" s="5" t="n">
        <v>0</v>
      </c>
      <c r="CM394" s="5" t="n">
        <v>0</v>
      </c>
      <c r="CN394" s="5" t="n">
        <v>0.012</v>
      </c>
      <c r="CO394" s="5" t="n">
        <v>0</v>
      </c>
      <c r="CP394" s="5" t="n">
        <v>0</v>
      </c>
      <c r="CQ394" s="5" t="n">
        <v>1.198</v>
      </c>
      <c r="CR394" s="5" t="n">
        <v>0</v>
      </c>
      <c r="CS394" s="5" t="n">
        <v>8.928000000000001</v>
      </c>
      <c r="CT394" s="5" t="n">
        <v>4.865</v>
      </c>
      <c r="CU394" s="5" t="n">
        <v>15.302</v>
      </c>
    </row>
    <row r="395">
      <c r="A395" s="5" t="inlineStr">
        <is>
          <t>ITA2022</t>
        </is>
      </c>
      <c r="B395" s="5" t="inlineStr">
        <is>
          <t>ITA</t>
        </is>
      </c>
      <c r="C395" s="5" t="inlineStr">
        <is>
          <t>ITA</t>
        </is>
      </c>
      <c r="D395" s="5" t="inlineStr">
        <is>
          <t>Italy</t>
        </is>
      </c>
      <c r="E395" s="5" t="n">
        <v>2022</v>
      </c>
      <c r="F395" s="5" t="n">
        <v>0.22</v>
      </c>
      <c r="G395" s="5" t="n">
        <v>12.793</v>
      </c>
      <c r="H395" s="5" t="n">
        <v>1.235</v>
      </c>
      <c r="I395" s="5" t="n">
        <v>8.537000000000001</v>
      </c>
      <c r="J395" s="5" t="n">
        <v>21.331</v>
      </c>
      <c r="K395" s="5" t="n">
        <v>0</v>
      </c>
      <c r="L395" s="5" t="n">
        <v>1</v>
      </c>
      <c r="M395" s="5" t="n">
        <v>9.782999999999999</v>
      </c>
      <c r="N395" s="5" t="n">
        <v>3.704</v>
      </c>
      <c r="O395" s="5" t="n">
        <v>8.579000000000001</v>
      </c>
      <c r="P395" s="5" t="n">
        <v>18.361</v>
      </c>
      <c r="Q395" s="5" t="n">
        <v>0</v>
      </c>
      <c r="R395" s="5" t="n">
        <v>1</v>
      </c>
      <c r="S395" s="5" t="n">
        <v>18.967</v>
      </c>
      <c r="T395" s="5" t="n">
        <v>7.408</v>
      </c>
      <c r="U395" s="5" t="n">
        <v>0.309</v>
      </c>
      <c r="V395" s="5" t="n">
        <v>23.14</v>
      </c>
      <c r="W395" s="5" t="n">
        <v>0.22</v>
      </c>
      <c r="X395" s="5" t="n">
        <v>1</v>
      </c>
      <c r="Y395" s="5" t="n">
        <v>41.268</v>
      </c>
      <c r="Z395" s="5" t="n">
        <v>4.329</v>
      </c>
      <c r="AA395" s="5" t="n">
        <v>-9.202</v>
      </c>
      <c r="AB395" s="5" t="n">
        <v>32.066</v>
      </c>
      <c r="AC395" s="5" t="n">
        <v>0</v>
      </c>
      <c r="AD395" s="5" t="n">
        <v>1</v>
      </c>
      <c r="AE395" s="5" t="n">
        <v>41.316</v>
      </c>
      <c r="AF395" s="5" t="n">
        <v>7.659</v>
      </c>
      <c r="AG395" s="5" t="n">
        <v>-9.249000000000001</v>
      </c>
      <c r="AH395" s="5" t="n">
        <v>32.066</v>
      </c>
      <c r="AI395" s="5" t="n">
        <v>0</v>
      </c>
      <c r="AJ395" s="5" t="n">
        <v>1</v>
      </c>
      <c r="AK395" s="5" t="n">
        <v>50.199</v>
      </c>
      <c r="AL395" s="5" t="n">
        <v>23.972</v>
      </c>
      <c r="AM395" s="5" t="n">
        <v>-22.673</v>
      </c>
      <c r="AN395" s="5" t="n">
        <v>33.581</v>
      </c>
      <c r="AO395" s="5" t="n">
        <v>0.22</v>
      </c>
      <c r="AP395" s="5" t="n">
        <v>1</v>
      </c>
      <c r="AQ395" s="5" t="n">
        <v>0.861</v>
      </c>
      <c r="AR395" s="5" t="n">
        <v>0.123</v>
      </c>
      <c r="AS395" s="5" t="n">
        <v>0.705</v>
      </c>
      <c r="AT395" s="5" t="n">
        <v>1.91</v>
      </c>
      <c r="AU395" s="5" t="n">
        <v>0.22</v>
      </c>
      <c r="AV395" s="5" t="n">
        <v>1</v>
      </c>
      <c r="AW395" s="5" t="n">
        <v>0.986</v>
      </c>
      <c r="AX395" s="5" t="n">
        <v>0.123</v>
      </c>
      <c r="AY395" s="5" t="n">
        <v>0.581</v>
      </c>
      <c r="AZ395" s="5" t="n">
        <v>1.912</v>
      </c>
      <c r="BA395" s="5" t="n">
        <v>0.22</v>
      </c>
      <c r="BB395" s="5" t="n">
        <v>1</v>
      </c>
      <c r="BC395" s="5" t="n">
        <v>0.598</v>
      </c>
      <c r="BD395" s="5" t="n">
        <v>0.123</v>
      </c>
      <c r="BE395" s="5" t="n">
        <v>0.105</v>
      </c>
      <c r="BF395" s="5" t="n">
        <v>0.857</v>
      </c>
      <c r="BG395" s="5" t="n">
        <v>0.22</v>
      </c>
      <c r="BH395" s="5" t="n">
        <v>1</v>
      </c>
      <c r="BI395" s="5" t="n">
        <v>0.612</v>
      </c>
      <c r="BJ395" s="5" t="n">
        <v>0.123</v>
      </c>
      <c r="BK395" s="5" t="n">
        <v>0.91</v>
      </c>
      <c r="BL395" s="5" t="n">
        <v>1.858</v>
      </c>
      <c r="BM395" s="5" t="n">
        <v>0.22</v>
      </c>
      <c r="BN395" s="5" t="n">
        <v>1</v>
      </c>
      <c r="BO395" s="5" t="n">
        <v>0</v>
      </c>
      <c r="BP395" s="5" t="n">
        <v>0.003</v>
      </c>
      <c r="BQ395" s="5" t="n">
        <v>0.275</v>
      </c>
      <c r="BR395" s="5" t="n">
        <v>0</v>
      </c>
      <c r="BS395" s="5" t="n">
        <v>1</v>
      </c>
      <c r="BT395" s="5" t="n">
        <v>0</v>
      </c>
      <c r="BU395" s="5" t="n">
        <v>0.016</v>
      </c>
      <c r="BV395" s="5" t="n">
        <v>0.356</v>
      </c>
      <c r="BW395" s="5" t="n">
        <v>0.22</v>
      </c>
      <c r="BX395" s="5" t="n">
        <v>1</v>
      </c>
      <c r="BY395" s="5" t="n">
        <v>12.729</v>
      </c>
      <c r="BZ395" s="5" t="n">
        <v>0</v>
      </c>
      <c r="CA395" s="5" t="n">
        <v>12.729</v>
      </c>
      <c r="CB395" s="5" t="n">
        <v>0</v>
      </c>
      <c r="CC395" s="5" t="n">
        <v>97.90000000000001</v>
      </c>
      <c r="CD395" s="5" t="n">
        <v>7.95</v>
      </c>
      <c r="CE395" s="5" t="n">
        <v>177.071</v>
      </c>
      <c r="CF395" s="5" t="n">
        <v>335.464</v>
      </c>
      <c r="CG395" s="5" t="n">
        <v>0.22</v>
      </c>
      <c r="CH395" s="5" t="n">
        <v>1</v>
      </c>
      <c r="CI395" s="5" t="n">
        <v>0</v>
      </c>
      <c r="CJ395" s="5" t="n">
        <v>0</v>
      </c>
      <c r="CK395" s="5" t="n">
        <v>0</v>
      </c>
      <c r="CL395" s="5" t="n">
        <v>0</v>
      </c>
      <c r="CM395" s="5" t="n">
        <v>0</v>
      </c>
      <c r="CN395" s="5" t="n">
        <v>0.013</v>
      </c>
      <c r="CO395" s="5" t="n">
        <v>0</v>
      </c>
      <c r="CP395" s="5" t="n">
        <v>0</v>
      </c>
      <c r="CQ395" s="5" t="n">
        <v>1.294</v>
      </c>
      <c r="CR395" s="5" t="n">
        <v>0</v>
      </c>
      <c r="CS395" s="5" t="n">
        <v>9.641999999999999</v>
      </c>
      <c r="CT395" s="5" t="n">
        <v>11.559</v>
      </c>
      <c r="CU395" s="5" t="n">
        <v>36.473</v>
      </c>
    </row>
    <row r="396">
      <c r="A396" s="5" t="inlineStr">
        <is>
          <t>ITA2023</t>
        </is>
      </c>
      <c r="B396" s="5" t="inlineStr">
        <is>
          <t>ITA</t>
        </is>
      </c>
      <c r="C396" s="5" t="inlineStr">
        <is>
          <t>ITA</t>
        </is>
      </c>
      <c r="D396" s="5" t="inlineStr">
        <is>
          <t>Italy</t>
        </is>
      </c>
      <c r="E396" s="5" t="n">
        <v>2023</v>
      </c>
      <c r="F396" s="5" t="n">
        <v>0.22</v>
      </c>
      <c r="G396" s="5" t="n">
        <v>6.42</v>
      </c>
      <c r="H396" s="5" t="n">
        <v>1.285</v>
      </c>
      <c r="I396" s="5" t="n">
        <v>9.959</v>
      </c>
      <c r="J396" s="5" t="n">
        <v>16.379</v>
      </c>
      <c r="K396" s="5" t="n">
        <v>0</v>
      </c>
      <c r="L396" s="5" t="n">
        <v>1</v>
      </c>
      <c r="M396" s="5" t="n">
        <v>7.88</v>
      </c>
      <c r="N396" s="5" t="n">
        <v>3.854</v>
      </c>
      <c r="O396" s="5" t="n">
        <v>9.890000000000001</v>
      </c>
      <c r="P396" s="5" t="n">
        <v>17.77</v>
      </c>
      <c r="Q396" s="5" t="n">
        <v>0</v>
      </c>
      <c r="R396" s="5" t="n">
        <v>1</v>
      </c>
      <c r="S396" s="5" t="n">
        <v>12.844</v>
      </c>
      <c r="T396" s="5" t="n">
        <v>7.709</v>
      </c>
      <c r="U396" s="5" t="n">
        <v>0.313</v>
      </c>
      <c r="V396" s="5" t="n">
        <v>15.67</v>
      </c>
      <c r="W396" s="5" t="n">
        <v>0.22</v>
      </c>
      <c r="X396" s="5" t="n">
        <v>1</v>
      </c>
      <c r="Y396" s="5" t="n">
        <v>17.593</v>
      </c>
      <c r="Z396" s="5" t="n">
        <v>1.971</v>
      </c>
      <c r="AA396" s="5" t="n">
        <v>11.014</v>
      </c>
      <c r="AB396" s="5" t="n">
        <v>28.607</v>
      </c>
      <c r="AC396" s="5" t="n">
        <v>0</v>
      </c>
      <c r="AD396" s="5" t="n">
        <v>1</v>
      </c>
      <c r="AE396" s="5" t="n">
        <v>17.692</v>
      </c>
      <c r="AF396" s="5" t="n">
        <v>3.524</v>
      </c>
      <c r="AG396" s="5" t="n">
        <v>10.915</v>
      </c>
      <c r="AH396" s="5" t="n">
        <v>28.607</v>
      </c>
      <c r="AI396" s="5" t="n">
        <v>0</v>
      </c>
      <c r="AJ396" s="5" t="n">
        <v>1</v>
      </c>
      <c r="AK396" s="5" t="n">
        <v>26.881</v>
      </c>
      <c r="AL396" s="5" t="n">
        <v>13.316</v>
      </c>
      <c r="AM396" s="5" t="n">
        <v>1.772</v>
      </c>
      <c r="AN396" s="5" t="n">
        <v>34.957</v>
      </c>
      <c r="AO396" s="5" t="n">
        <v>0.22</v>
      </c>
      <c r="AP396" s="5" t="n">
        <v>1</v>
      </c>
      <c r="AQ396" s="5" t="n">
        <v>0.76</v>
      </c>
      <c r="AR396" s="5" t="n">
        <v>0.129</v>
      </c>
      <c r="AS396" s="5" t="n">
        <v>0.894</v>
      </c>
      <c r="AT396" s="5" t="n">
        <v>2.018</v>
      </c>
      <c r="AU396" s="5" t="n">
        <v>0.22</v>
      </c>
      <c r="AV396" s="5" t="n">
        <v>1</v>
      </c>
      <c r="AW396" s="5" t="n">
        <v>0.8110000000000001</v>
      </c>
      <c r="AX396" s="5" t="n">
        <v>0.129</v>
      </c>
      <c r="AY396" s="5" t="n">
        <v>0.779</v>
      </c>
      <c r="AZ396" s="5" t="n">
        <v>1.941</v>
      </c>
      <c r="BA396" s="5" t="n">
        <v>0.22</v>
      </c>
      <c r="BB396" s="5" t="n">
        <v>1</v>
      </c>
      <c r="BC396" s="5" t="n">
        <v>0.535</v>
      </c>
      <c r="BD396" s="5" t="n">
        <v>0.129</v>
      </c>
      <c r="BE396" s="5" t="n">
        <v>0.13</v>
      </c>
      <c r="BF396" s="5" t="n">
        <v>0.8110000000000001</v>
      </c>
      <c r="BG396" s="5" t="n">
        <v>0.22</v>
      </c>
      <c r="BH396" s="5" t="n">
        <v>1</v>
      </c>
      <c r="BI396" s="5" t="n">
        <v>0.579</v>
      </c>
      <c r="BJ396" s="5" t="n">
        <v>0.129</v>
      </c>
      <c r="BK396" s="5" t="n">
        <v>0.799</v>
      </c>
      <c r="BL396" s="5" t="n">
        <v>1.682</v>
      </c>
      <c r="BM396" s="5" t="n">
        <v>0.22</v>
      </c>
      <c r="BN396" s="5" t="n">
        <v>1</v>
      </c>
      <c r="BO396" s="5" t="n">
        <v>0</v>
      </c>
      <c r="BP396" s="5" t="n">
        <v>0.018</v>
      </c>
      <c r="BQ396" s="5" t="n">
        <v>0.211</v>
      </c>
      <c r="BR396" s="5" t="n">
        <v>0</v>
      </c>
      <c r="BS396" s="5" t="n">
        <v>1</v>
      </c>
      <c r="BT396" s="5" t="n">
        <v>0</v>
      </c>
      <c r="BU396" s="5" t="n">
        <v>0.039</v>
      </c>
      <c r="BV396" s="5" t="n">
        <v>0.385</v>
      </c>
      <c r="BW396" s="5" t="n">
        <v>0.22</v>
      </c>
      <c r="BX396" s="5" t="n">
        <v>1</v>
      </c>
      <c r="BY396" s="5" t="n">
        <v>13.254</v>
      </c>
      <c r="BZ396" s="5" t="n">
        <v>0</v>
      </c>
      <c r="CA396" s="5" t="n">
        <v>13.254</v>
      </c>
      <c r="CB396" s="5" t="n">
        <v>0</v>
      </c>
      <c r="CC396" s="5" t="n">
        <v>83.248</v>
      </c>
      <c r="CD396" s="5" t="n">
        <v>7.95</v>
      </c>
      <c r="CE396" s="5" t="n">
        <v>174.803</v>
      </c>
      <c r="CF396" s="5" t="n">
        <v>314.822</v>
      </c>
      <c r="CG396" s="5" t="n">
        <v>0.22</v>
      </c>
      <c r="CH396" s="5" t="n">
        <v>1</v>
      </c>
      <c r="CI396" s="5" t="n">
        <v>0</v>
      </c>
      <c r="CJ396" s="5" t="n">
        <v>0</v>
      </c>
      <c r="CK396" s="5" t="n">
        <v>0</v>
      </c>
      <c r="CL396" s="5" t="n">
        <v>0</v>
      </c>
      <c r="CM396" s="5" t="n">
        <v>0</v>
      </c>
      <c r="CN396" s="5" t="n">
        <v>0.012</v>
      </c>
      <c r="CO396" s="5" t="n">
        <v>0</v>
      </c>
      <c r="CP396" s="5" t="n">
        <v>0.001</v>
      </c>
      <c r="CQ396" s="5" t="n">
        <v>1.348</v>
      </c>
      <c r="CR396" s="5" t="n">
        <v>0</v>
      </c>
      <c r="CS396" s="5" t="n">
        <v>10.04</v>
      </c>
      <c r="CT396" s="5" t="n">
        <v>5.14</v>
      </c>
      <c r="CU396" s="5" t="n">
        <v>12.748</v>
      </c>
    </row>
    <row r="397">
      <c r="A397" s="5" t="inlineStr">
        <is>
          <t>ITA2024</t>
        </is>
      </c>
      <c r="B397" s="5" t="inlineStr">
        <is>
          <t>ITA</t>
        </is>
      </c>
      <c r="C397" s="5" t="inlineStr">
        <is>
          <t>ITA</t>
        </is>
      </c>
      <c r="D397" s="5" t="inlineStr">
        <is>
          <t>Italy</t>
        </is>
      </c>
      <c r="E397" s="5" t="n">
        <v>2024</v>
      </c>
      <c r="F397" s="5" t="n">
        <v>0.22</v>
      </c>
      <c r="G397" s="5" t="n">
        <v>5.342</v>
      </c>
      <c r="H397" s="5" t="n">
        <v>1.323</v>
      </c>
      <c r="I397" s="5" t="n">
        <v>6.7</v>
      </c>
      <c r="J397" s="5" t="n">
        <v>12.042</v>
      </c>
      <c r="K397" s="5" t="n">
        <v>0</v>
      </c>
      <c r="L397" s="5" t="n">
        <v>1</v>
      </c>
      <c r="M397" s="5" t="n">
        <v>7.119</v>
      </c>
      <c r="N397" s="5" t="n">
        <v>3.968</v>
      </c>
      <c r="O397" s="5" t="n">
        <v>6.566</v>
      </c>
      <c r="P397" s="5" t="n">
        <v>13.685</v>
      </c>
      <c r="Q397" s="5" t="n">
        <v>0</v>
      </c>
      <c r="R397" s="5" t="n">
        <v>1</v>
      </c>
      <c r="S397" s="5" t="n">
        <v>11.955</v>
      </c>
      <c r="T397" s="5" t="n">
        <v>7.936</v>
      </c>
      <c r="U397" s="5" t="n">
        <v>0.358</v>
      </c>
      <c r="V397" s="5" t="n">
        <v>14.585</v>
      </c>
      <c r="W397" s="5" t="n">
        <v>0.22</v>
      </c>
      <c r="X397" s="5" t="n">
        <v>1</v>
      </c>
      <c r="Y397" s="5" t="n">
        <v>15.923</v>
      </c>
      <c r="Z397" s="5" t="n">
        <v>2.011</v>
      </c>
      <c r="AA397" s="5" t="n">
        <v>4.577</v>
      </c>
      <c r="AB397" s="5" t="n">
        <v>20.5</v>
      </c>
      <c r="AC397" s="5" t="n">
        <v>0</v>
      </c>
      <c r="AD397" s="5" t="n">
        <v>1</v>
      </c>
      <c r="AE397" s="5" t="n">
        <v>15.923</v>
      </c>
      <c r="AF397" s="5" t="n">
        <v>3.488</v>
      </c>
      <c r="AG397" s="5" t="n">
        <v>4.577</v>
      </c>
      <c r="AH397" s="5" t="n">
        <v>20.5</v>
      </c>
      <c r="AI397" s="5" t="n">
        <v>0</v>
      </c>
      <c r="AJ397" s="5" t="n">
        <v>1</v>
      </c>
      <c r="AK397" s="5" t="n">
        <v>28.511</v>
      </c>
      <c r="AL397" s="5" t="n">
        <v>14.501</v>
      </c>
      <c r="AM397" s="5" t="n">
        <v>5.087</v>
      </c>
      <c r="AN397" s="5" t="n">
        <v>40.99</v>
      </c>
      <c r="AO397" s="5" t="n">
        <v>0.22</v>
      </c>
      <c r="AP397" s="5" t="n">
        <v>1</v>
      </c>
      <c r="AQ397" s="5" t="n">
        <v>0.724</v>
      </c>
      <c r="AR397" s="5" t="n">
        <v>0.132</v>
      </c>
      <c r="AS397" s="5" t="n">
        <v>0.891</v>
      </c>
      <c r="AT397" s="5" t="n">
        <v>1.971</v>
      </c>
      <c r="AU397" s="5" t="n">
        <v>0.22</v>
      </c>
      <c r="AV397" s="5" t="n">
        <v>1</v>
      </c>
      <c r="AW397" s="5" t="n">
        <v>0.75</v>
      </c>
      <c r="AX397" s="5" t="n">
        <v>0.132</v>
      </c>
      <c r="AY397" s="5" t="n">
        <v>0.773</v>
      </c>
      <c r="AZ397" s="5" t="n">
        <v>1.858</v>
      </c>
      <c r="BA397" s="5" t="n">
        <v>0.22</v>
      </c>
      <c r="BB397" s="5" t="n">
        <v>1</v>
      </c>
      <c r="BC397" s="5" t="n">
        <v>0.513</v>
      </c>
      <c r="BD397" s="5" t="n">
        <v>0.132</v>
      </c>
      <c r="BE397" s="5" t="n">
        <v>0.129</v>
      </c>
      <c r="BF397" s="5" t="n">
        <v>0.784</v>
      </c>
      <c r="BG397" s="5" t="n">
        <v>0.22</v>
      </c>
      <c r="BH397" s="5" t="n">
        <v>1</v>
      </c>
      <c r="BI397" s="5" t="n">
        <v>0.591</v>
      </c>
      <c r="BJ397" s="5" t="n">
        <v>0.132</v>
      </c>
      <c r="BK397" s="5" t="n">
        <v>0.711</v>
      </c>
      <c r="BL397" s="5" t="n">
        <v>1.589</v>
      </c>
      <c r="BM397" s="5" t="n">
        <v>0.22</v>
      </c>
      <c r="BN397" s="5" t="n">
        <v>1</v>
      </c>
      <c r="BO397" s="5" t="n">
        <v>0</v>
      </c>
      <c r="BP397" s="5" t="n">
        <v>0.022</v>
      </c>
      <c r="BQ397" s="5" t="n">
        <v>0.176</v>
      </c>
      <c r="BR397" s="5" t="n">
        <v>0</v>
      </c>
      <c r="BS397" s="5" t="n">
        <v>1</v>
      </c>
      <c r="BT397" s="5" t="n">
        <v>0</v>
      </c>
      <c r="BU397" s="5" t="n">
        <v>0.06</v>
      </c>
      <c r="BV397" s="5" t="n">
        <v>0.346</v>
      </c>
      <c r="BW397" s="5" t="n">
        <v>0.22</v>
      </c>
      <c r="BX397" s="5" t="n">
        <v>1</v>
      </c>
      <c r="BY397" s="5" t="n">
        <v>13.646</v>
      </c>
      <c r="BZ397" s="5" t="n">
        <v>0</v>
      </c>
      <c r="CA397" s="5" t="n">
        <v>13.646</v>
      </c>
      <c r="CB397" s="5" t="n">
        <v>0</v>
      </c>
      <c r="CC397" s="5" t="n">
        <v>82.58799999999999</v>
      </c>
      <c r="CD397" s="5" t="n">
        <v>7.95</v>
      </c>
      <c r="CE397" s="5" t="n">
        <v>151.239</v>
      </c>
      <c r="CF397" s="5" t="n">
        <v>285.269</v>
      </c>
      <c r="CG397" s="5" t="n">
        <v>0.22</v>
      </c>
      <c r="CH397" s="5" t="n">
        <v>1</v>
      </c>
      <c r="CI397" s="5" t="n">
        <v>0</v>
      </c>
      <c r="CJ397" s="5" t="n">
        <v>0</v>
      </c>
      <c r="CK397" s="5" t="n">
        <v>0</v>
      </c>
      <c r="CL397" s="5" t="n">
        <v>0</v>
      </c>
      <c r="CM397" s="5" t="n">
        <v>0</v>
      </c>
      <c r="CN397" s="5" t="n">
        <v>0.012</v>
      </c>
      <c r="CO397" s="5" t="n">
        <v>0</v>
      </c>
      <c r="CP397" s="5" t="n">
        <v>0.001</v>
      </c>
      <c r="CQ397" s="5" t="n">
        <v>1.387</v>
      </c>
      <c r="CR397" s="5" t="n">
        <v>0</v>
      </c>
      <c r="CS397" s="5" t="n">
        <v>10.336</v>
      </c>
      <c r="CT397" s="5" t="n">
        <v>4.022</v>
      </c>
      <c r="CU397" s="5" t="n">
        <v>10.977</v>
      </c>
    </row>
    <row r="398">
      <c r="A398" s="5" t="inlineStr">
        <is>
          <t>JAM2021</t>
        </is>
      </c>
      <c r="B398" s="5" t="inlineStr">
        <is>
          <t>JAM</t>
        </is>
      </c>
      <c r="C398" s="5" t="inlineStr">
        <is>
          <t>JAM</t>
        </is>
      </c>
      <c r="D398" s="5" t="inlineStr">
        <is>
          <t>Jamaica</t>
        </is>
      </c>
      <c r="E398" s="5" t="n">
        <v>2021</v>
      </c>
      <c r="F398" s="5" t="n">
        <v>0.15</v>
      </c>
      <c r="G398" s="5" t="n">
        <v>5.316</v>
      </c>
      <c r="H398" s="5" t="n">
        <v>1.063</v>
      </c>
      <c r="I398" s="5" t="n">
        <v>0</v>
      </c>
      <c r="J398" s="5" t="n">
        <v>5.316</v>
      </c>
      <c r="K398" s="5" t="n">
        <v>0</v>
      </c>
      <c r="L398" s="5" t="n">
        <v>1</v>
      </c>
      <c r="M398" s="5" t="n">
        <v>7.253</v>
      </c>
      <c r="N398" s="5" t="n">
        <v>3.188</v>
      </c>
      <c r="O398" s="5" t="n">
        <v>0.195</v>
      </c>
      <c r="P398" s="5" t="n">
        <v>7.448</v>
      </c>
      <c r="Q398" s="5" t="n">
        <v>0</v>
      </c>
      <c r="R398" s="5" t="n">
        <v>1</v>
      </c>
      <c r="S398" s="5" t="n">
        <v>10.63</v>
      </c>
      <c r="T398" s="5" t="n">
        <v>6.377</v>
      </c>
      <c r="U398" s="5" t="n">
        <v>0</v>
      </c>
      <c r="V398" s="5" t="n">
        <v>12.224</v>
      </c>
      <c r="W398" s="5" t="n">
        <v>0.15</v>
      </c>
      <c r="X398" s="5" t="n">
        <v>1</v>
      </c>
      <c r="Y398" s="5" t="n">
        <v>17.125</v>
      </c>
      <c r="Z398" s="5" t="n">
        <v>2.298</v>
      </c>
      <c r="AA398" s="5" t="n">
        <v>0.031</v>
      </c>
      <c r="AB398" s="5" t="n">
        <v>17.156</v>
      </c>
      <c r="AC398" s="5" t="n">
        <v>0</v>
      </c>
      <c r="AD398" s="5" t="n">
        <v>1</v>
      </c>
      <c r="AE398" s="5" t="n">
        <v>18.268</v>
      </c>
      <c r="AF398" s="5" t="n">
        <v>4.27</v>
      </c>
      <c r="AG398" s="5" t="n">
        <v>0</v>
      </c>
      <c r="AH398" s="5" t="n">
        <v>18.268</v>
      </c>
      <c r="AI398" s="5" t="n">
        <v>0</v>
      </c>
      <c r="AJ398" s="5" t="n">
        <v>1</v>
      </c>
      <c r="AK398" s="5" t="n">
        <v>25.128</v>
      </c>
      <c r="AL398" s="5" t="n">
        <v>13.489</v>
      </c>
      <c r="AM398" s="5" t="n">
        <v>0</v>
      </c>
      <c r="AN398" s="5" t="n">
        <v>28.897</v>
      </c>
      <c r="AO398" s="5" t="n">
        <v>0.15</v>
      </c>
      <c r="AP398" s="5" t="n">
        <v>1</v>
      </c>
      <c r="AQ398" s="5" t="n">
        <v>0.649</v>
      </c>
      <c r="AR398" s="5" t="n">
        <v>0.114</v>
      </c>
      <c r="AS398" s="5" t="n">
        <v>0.379</v>
      </c>
      <c r="AT398" s="5" t="n">
        <v>1.182</v>
      </c>
      <c r="AU398" s="5" t="n">
        <v>0.15</v>
      </c>
      <c r="AV398" s="5" t="n">
        <v>1</v>
      </c>
      <c r="AW398" s="5" t="n">
        <v>0.577</v>
      </c>
      <c r="AX398" s="5" t="n">
        <v>0.114</v>
      </c>
      <c r="AY398" s="5" t="n">
        <v>0.38</v>
      </c>
      <c r="AZ398" s="5" t="n">
        <v>1.1</v>
      </c>
      <c r="BA398" s="5" t="n">
        <v>0.15</v>
      </c>
      <c r="BB398" s="5" t="n">
        <v>1</v>
      </c>
      <c r="BC398" s="5" t="n">
        <v>0.458</v>
      </c>
      <c r="BD398" s="5" t="n">
        <v>0.114</v>
      </c>
      <c r="BE398" s="5" t="n">
        <v>-0.123</v>
      </c>
      <c r="BF398" s="5" t="n">
        <v>0.386</v>
      </c>
      <c r="BG398" s="5" t="n">
        <v>0</v>
      </c>
      <c r="BH398" s="5" t="n">
        <v>0</v>
      </c>
      <c r="BI398" s="5" t="n">
        <v>0.491</v>
      </c>
      <c r="BJ398" s="5" t="n">
        <v>0.114</v>
      </c>
      <c r="BK398" s="5" t="n">
        <v>0.308</v>
      </c>
      <c r="BL398" s="5" t="n">
        <v>0.919</v>
      </c>
      <c r="BM398" s="5" t="n">
        <v>0.15</v>
      </c>
      <c r="BN398" s="5" t="n">
        <v>1</v>
      </c>
      <c r="BO398" s="5" t="n">
        <v>0</v>
      </c>
      <c r="BP398" s="5" t="n">
        <v>0</v>
      </c>
      <c r="BQ398" s="5" t="n">
        <v>0.187</v>
      </c>
      <c r="BR398" s="5" t="n">
        <v>0</v>
      </c>
      <c r="BS398" s="5" t="n">
        <v>0.667</v>
      </c>
      <c r="BT398" s="5" t="n">
        <v>0</v>
      </c>
      <c r="BU398" s="5" t="n">
        <v>0</v>
      </c>
      <c r="BV398" s="5" t="n">
        <v>0.746</v>
      </c>
      <c r="BW398" s="5" t="n">
        <v>0.15</v>
      </c>
      <c r="BX398" s="5" t="n">
        <v>0.667</v>
      </c>
      <c r="BY398" s="5" t="n">
        <v>11.787</v>
      </c>
      <c r="BZ398" s="5" t="n">
        <v>0</v>
      </c>
      <c r="CA398" s="5" t="n">
        <v>11.787</v>
      </c>
      <c r="CB398" s="5" t="n">
        <v>0</v>
      </c>
      <c r="CC398" s="5" t="n">
        <v>78.125</v>
      </c>
      <c r="CD398" s="5" t="n">
        <v>7.95</v>
      </c>
      <c r="CE398" s="5" t="n">
        <v>-25.568</v>
      </c>
      <c r="CF398" s="5" t="n">
        <v>52.557</v>
      </c>
      <c r="CG398" s="5" t="n">
        <v>0</v>
      </c>
      <c r="CH398" s="5" t="n">
        <v>0</v>
      </c>
      <c r="CI398" s="5" t="n">
        <v>0</v>
      </c>
      <c r="CJ398" s="5" t="n">
        <v>0</v>
      </c>
      <c r="CK398" s="5" t="n">
        <v>0</v>
      </c>
      <c r="CL398" s="5" t="n">
        <v>0</v>
      </c>
      <c r="CM398" s="5" t="n">
        <v>0</v>
      </c>
      <c r="CN398" s="5" t="n">
        <v>0</v>
      </c>
      <c r="CO398" s="5" t="n">
        <v>0</v>
      </c>
      <c r="CP398" s="5" t="n">
        <v>0.141</v>
      </c>
      <c r="CQ398" s="5" t="n">
        <v>1.198</v>
      </c>
      <c r="CR398" s="5" t="n">
        <v>0</v>
      </c>
      <c r="CS398" s="5" t="n">
        <v>4.776</v>
      </c>
      <c r="CT398" s="5" t="n">
        <v>4.753</v>
      </c>
      <c r="CU398" s="5" t="n">
        <v>15.983</v>
      </c>
    </row>
    <row r="399">
      <c r="A399" s="5" t="inlineStr">
        <is>
          <t>JAM2022</t>
        </is>
      </c>
      <c r="B399" s="5" t="inlineStr">
        <is>
          <t>JAM</t>
        </is>
      </c>
      <c r="C399" s="5" t="inlineStr">
        <is>
          <t>JAM</t>
        </is>
      </c>
      <c r="D399" s="5" t="inlineStr">
        <is>
          <t>Jamaica</t>
        </is>
      </c>
      <c r="E399" s="5" t="n">
        <v>2022</v>
      </c>
      <c r="F399" s="5" t="n">
        <v>0.15</v>
      </c>
      <c r="G399" s="5" t="n">
        <v>10.338</v>
      </c>
      <c r="H399" s="5" t="n">
        <v>1.148</v>
      </c>
      <c r="I399" s="5" t="n">
        <v>0</v>
      </c>
      <c r="J399" s="5" t="n">
        <v>10.338</v>
      </c>
      <c r="K399" s="5" t="n">
        <v>0</v>
      </c>
      <c r="L399" s="5" t="n">
        <v>1</v>
      </c>
      <c r="M399" s="5" t="n">
        <v>8.848000000000001</v>
      </c>
      <c r="N399" s="5" t="n">
        <v>3.443</v>
      </c>
      <c r="O399" s="5" t="n">
        <v>0.261</v>
      </c>
      <c r="P399" s="5" t="n">
        <v>9.109</v>
      </c>
      <c r="Q399" s="5" t="n">
        <v>0</v>
      </c>
      <c r="R399" s="5" t="n">
        <v>1</v>
      </c>
      <c r="S399" s="5" t="n">
        <v>16.077</v>
      </c>
      <c r="T399" s="5" t="n">
        <v>6.886</v>
      </c>
      <c r="U399" s="5" t="n">
        <v>0.178</v>
      </c>
      <c r="V399" s="5" t="n">
        <v>18.489</v>
      </c>
      <c r="W399" s="5" t="n">
        <v>0.15</v>
      </c>
      <c r="X399" s="5" t="n">
        <v>1</v>
      </c>
      <c r="Y399" s="5" t="n">
        <v>30.657</v>
      </c>
      <c r="Z399" s="5" t="n">
        <v>4.114</v>
      </c>
      <c r="AA399" s="5" t="n">
        <v>0.031</v>
      </c>
      <c r="AB399" s="5" t="n">
        <v>30.688</v>
      </c>
      <c r="AC399" s="5" t="n">
        <v>0</v>
      </c>
      <c r="AD399" s="5" t="n">
        <v>1</v>
      </c>
      <c r="AE399" s="5" t="n">
        <v>31.89</v>
      </c>
      <c r="AF399" s="5" t="n">
        <v>7.453</v>
      </c>
      <c r="AG399" s="5" t="n">
        <v>0.015</v>
      </c>
      <c r="AH399" s="5" t="n">
        <v>31.906</v>
      </c>
      <c r="AI399" s="5" t="n">
        <v>0</v>
      </c>
      <c r="AJ399" s="5" t="n">
        <v>1</v>
      </c>
      <c r="AK399" s="5" t="n">
        <v>39.288</v>
      </c>
      <c r="AL399" s="5" t="n">
        <v>21.091</v>
      </c>
      <c r="AM399" s="5" t="n">
        <v>0.436</v>
      </c>
      <c r="AN399" s="5" t="n">
        <v>45.182</v>
      </c>
      <c r="AO399" s="5" t="n">
        <v>0.15</v>
      </c>
      <c r="AP399" s="5" t="n">
        <v>1</v>
      </c>
      <c r="AQ399" s="5" t="n">
        <v>0.896</v>
      </c>
      <c r="AR399" s="5" t="n">
        <v>0.123</v>
      </c>
      <c r="AS399" s="5" t="n">
        <v>0.428</v>
      </c>
      <c r="AT399" s="5" t="n">
        <v>1.523</v>
      </c>
      <c r="AU399" s="5" t="n">
        <v>0.15</v>
      </c>
      <c r="AV399" s="5" t="n">
        <v>1</v>
      </c>
      <c r="AW399" s="5" t="n">
        <v>0.89</v>
      </c>
      <c r="AX399" s="5" t="n">
        <v>0.123</v>
      </c>
      <c r="AY399" s="5" t="n">
        <v>0.519</v>
      </c>
      <c r="AZ399" s="5" t="n">
        <v>1.621</v>
      </c>
      <c r="BA399" s="5" t="n">
        <v>0.15</v>
      </c>
      <c r="BB399" s="5" t="n">
        <v>1</v>
      </c>
      <c r="BC399" s="5" t="n">
        <v>0.62</v>
      </c>
      <c r="BD399" s="5" t="n">
        <v>0.123</v>
      </c>
      <c r="BE399" s="5" t="n">
        <v>-0.274</v>
      </c>
      <c r="BF399" s="5" t="n">
        <v>0.399</v>
      </c>
      <c r="BG399" s="5" t="n">
        <v>0</v>
      </c>
      <c r="BH399" s="5" t="n">
        <v>0</v>
      </c>
      <c r="BI399" s="5" t="n">
        <v>0.608</v>
      </c>
      <c r="BJ399" s="5" t="n">
        <v>0.123</v>
      </c>
      <c r="BK399" s="5" t="n">
        <v>0.667</v>
      </c>
      <c r="BL399" s="5" t="n">
        <v>1.466</v>
      </c>
      <c r="BM399" s="5" t="n">
        <v>0.15</v>
      </c>
      <c r="BN399" s="5" t="n">
        <v>1</v>
      </c>
      <c r="BO399" s="5" t="n">
        <v>0</v>
      </c>
      <c r="BP399" s="5" t="n">
        <v>0</v>
      </c>
      <c r="BQ399" s="5" t="n">
        <v>0.21</v>
      </c>
      <c r="BR399" s="5" t="n">
        <v>0</v>
      </c>
      <c r="BS399" s="5" t="n">
        <v>0.667</v>
      </c>
      <c r="BT399" s="5" t="n">
        <v>0</v>
      </c>
      <c r="BU399" s="5" t="n">
        <v>0</v>
      </c>
      <c r="BV399" s="5" t="n">
        <v>0.704</v>
      </c>
      <c r="BW399" s="5" t="n">
        <v>0.15</v>
      </c>
      <c r="BX399" s="5" t="n">
        <v>0.667</v>
      </c>
      <c r="BY399" s="5" t="n">
        <v>12.729</v>
      </c>
      <c r="BZ399" s="5" t="n">
        <v>0</v>
      </c>
      <c r="CA399" s="5" t="n">
        <v>12.729</v>
      </c>
      <c r="CB399" s="5" t="n">
        <v>0</v>
      </c>
      <c r="CC399" s="5" t="n">
        <v>97.90000000000001</v>
      </c>
      <c r="CD399" s="5" t="n">
        <v>7.95</v>
      </c>
      <c r="CE399" s="5" t="n">
        <v>-33.629</v>
      </c>
      <c r="CF399" s="5" t="n">
        <v>64.271</v>
      </c>
      <c r="CG399" s="5" t="n">
        <v>0</v>
      </c>
      <c r="CH399" s="5" t="n">
        <v>0</v>
      </c>
      <c r="CI399" s="5" t="n">
        <v>0</v>
      </c>
      <c r="CJ399" s="5" t="n">
        <v>0</v>
      </c>
      <c r="CK399" s="5" t="n">
        <v>0</v>
      </c>
      <c r="CL399" s="5" t="n">
        <v>0</v>
      </c>
      <c r="CM399" s="5" t="n">
        <v>0</v>
      </c>
      <c r="CN399" s="5" t="n">
        <v>0</v>
      </c>
      <c r="CO399" s="5" t="n">
        <v>0</v>
      </c>
      <c r="CP399" s="5" t="n">
        <v>0.141</v>
      </c>
      <c r="CQ399" s="5" t="n">
        <v>1.294</v>
      </c>
      <c r="CR399" s="5" t="n">
        <v>0.003</v>
      </c>
      <c r="CS399" s="5" t="n">
        <v>5.158</v>
      </c>
      <c r="CT399" s="5" t="n">
        <v>10.485</v>
      </c>
      <c r="CU399" s="5" t="n">
        <v>29.494</v>
      </c>
    </row>
    <row r="400">
      <c r="A400" s="5" t="inlineStr">
        <is>
          <t>JAM2023</t>
        </is>
      </c>
      <c r="B400" s="5" t="inlineStr">
        <is>
          <t>JAM</t>
        </is>
      </c>
      <c r="C400" s="5" t="inlineStr">
        <is>
          <t>JAM</t>
        </is>
      </c>
      <c r="D400" s="5" t="inlineStr">
        <is>
          <t>Jamaica</t>
        </is>
      </c>
      <c r="E400" s="5" t="n">
        <v>2023</v>
      </c>
      <c r="F400" s="5" t="n">
        <v>0.15</v>
      </c>
      <c r="G400" s="5" t="n">
        <v>6.147</v>
      </c>
      <c r="H400" s="5" t="n">
        <v>1.286</v>
      </c>
      <c r="I400" s="5" t="n">
        <v>0</v>
      </c>
      <c r="J400" s="5" t="n">
        <v>6.147</v>
      </c>
      <c r="K400" s="5" t="n">
        <v>0</v>
      </c>
      <c r="L400" s="5" t="n">
        <v>1</v>
      </c>
      <c r="M400" s="5" t="n">
        <v>7.886</v>
      </c>
      <c r="N400" s="5" t="n">
        <v>3.857</v>
      </c>
      <c r="O400" s="5" t="n">
        <v>0.201</v>
      </c>
      <c r="P400" s="5" t="n">
        <v>8.087999999999999</v>
      </c>
      <c r="Q400" s="5" t="n">
        <v>0</v>
      </c>
      <c r="R400" s="5" t="n">
        <v>1</v>
      </c>
      <c r="S400" s="5" t="n">
        <v>12.575</v>
      </c>
      <c r="T400" s="5" t="n">
        <v>7.714</v>
      </c>
      <c r="U400" s="5" t="n">
        <v>0.209</v>
      </c>
      <c r="V400" s="5" t="n">
        <v>14.461</v>
      </c>
      <c r="W400" s="5" t="n">
        <v>0.15</v>
      </c>
      <c r="X400" s="5" t="n">
        <v>1</v>
      </c>
      <c r="Y400" s="5" t="n">
        <v>12.478</v>
      </c>
      <c r="Z400" s="5" t="n">
        <v>1.674</v>
      </c>
      <c r="AA400" s="5" t="n">
        <v>0.031</v>
      </c>
      <c r="AB400" s="5" t="n">
        <v>12.508</v>
      </c>
      <c r="AC400" s="5" t="n">
        <v>0</v>
      </c>
      <c r="AD400" s="5" t="n">
        <v>1</v>
      </c>
      <c r="AE400" s="5" t="n">
        <v>13.763</v>
      </c>
      <c r="AF400" s="5" t="n">
        <v>3.217</v>
      </c>
      <c r="AG400" s="5" t="n">
        <v>0.031</v>
      </c>
      <c r="AH400" s="5" t="n">
        <v>13.794</v>
      </c>
      <c r="AI400" s="5" t="n">
        <v>0</v>
      </c>
      <c r="AJ400" s="5" t="n">
        <v>1</v>
      </c>
      <c r="AK400" s="5" t="n">
        <v>21.477</v>
      </c>
      <c r="AL400" s="5" t="n">
        <v>11.53</v>
      </c>
      <c r="AM400" s="5" t="n">
        <v>0.357</v>
      </c>
      <c r="AN400" s="5" t="n">
        <v>24.699</v>
      </c>
      <c r="AO400" s="5" t="n">
        <v>0.15</v>
      </c>
      <c r="AP400" s="5" t="n">
        <v>1</v>
      </c>
      <c r="AQ400" s="5" t="n">
        <v>0.791</v>
      </c>
      <c r="AR400" s="5" t="n">
        <v>0.129</v>
      </c>
      <c r="AS400" s="5" t="n">
        <v>0.399</v>
      </c>
      <c r="AT400" s="5" t="n">
        <v>1.368</v>
      </c>
      <c r="AU400" s="5" t="n">
        <v>0.15</v>
      </c>
      <c r="AV400" s="5" t="n">
        <v>1</v>
      </c>
      <c r="AW400" s="5" t="n">
        <v>0.618</v>
      </c>
      <c r="AX400" s="5" t="n">
        <v>0.129</v>
      </c>
      <c r="AY400" s="5" t="n">
        <v>0.614</v>
      </c>
      <c r="AZ400" s="5" t="n">
        <v>1.417</v>
      </c>
      <c r="BA400" s="5" t="n">
        <v>0.15</v>
      </c>
      <c r="BB400" s="5" t="n">
        <v>1</v>
      </c>
      <c r="BC400" s="5" t="n">
        <v>0.554</v>
      </c>
      <c r="BD400" s="5" t="n">
        <v>0.129</v>
      </c>
      <c r="BE400" s="5" t="n">
        <v>-0.216</v>
      </c>
      <c r="BF400" s="5" t="n">
        <v>0.389</v>
      </c>
      <c r="BG400" s="5" t="n">
        <v>0</v>
      </c>
      <c r="BH400" s="5" t="n">
        <v>0</v>
      </c>
      <c r="BI400" s="5" t="n">
        <v>0.5570000000000001</v>
      </c>
      <c r="BJ400" s="5" t="n">
        <v>0.129</v>
      </c>
      <c r="BK400" s="5" t="n">
        <v>0.733</v>
      </c>
      <c r="BL400" s="5" t="n">
        <v>1.484</v>
      </c>
      <c r="BM400" s="5" t="n">
        <v>0.15</v>
      </c>
      <c r="BN400" s="5" t="n">
        <v>1</v>
      </c>
      <c r="BO400" s="5" t="n">
        <v>0</v>
      </c>
      <c r="BP400" s="5" t="n">
        <v>0</v>
      </c>
      <c r="BQ400" s="5" t="n">
        <v>0.21</v>
      </c>
      <c r="BR400" s="5" t="n">
        <v>0</v>
      </c>
      <c r="BS400" s="5" t="n">
        <v>0.667</v>
      </c>
      <c r="BT400" s="5" t="n">
        <v>0</v>
      </c>
      <c r="BU400" s="5" t="n">
        <v>0</v>
      </c>
      <c r="BV400" s="5" t="n">
        <v>0.704</v>
      </c>
      <c r="BW400" s="5" t="n">
        <v>0.15</v>
      </c>
      <c r="BX400" s="5" t="n">
        <v>0.667</v>
      </c>
      <c r="BY400" s="5" t="n">
        <v>13.254</v>
      </c>
      <c r="BZ400" s="5" t="n">
        <v>0</v>
      </c>
      <c r="CA400" s="5" t="n">
        <v>13.254</v>
      </c>
      <c r="CB400" s="5" t="n">
        <v>0</v>
      </c>
      <c r="CC400" s="5" t="n">
        <v>83.248</v>
      </c>
      <c r="CD400" s="5" t="n">
        <v>7.95</v>
      </c>
      <c r="CE400" s="5" t="n">
        <v>-26.705</v>
      </c>
      <c r="CF400" s="5" t="n">
        <v>56.543</v>
      </c>
      <c r="CG400" s="5" t="n">
        <v>0</v>
      </c>
      <c r="CH400" s="5" t="n">
        <v>0</v>
      </c>
      <c r="CI400" s="5" t="n">
        <v>0</v>
      </c>
      <c r="CJ400" s="5" t="n">
        <v>0</v>
      </c>
      <c r="CK400" s="5" t="n">
        <v>0</v>
      </c>
      <c r="CL400" s="5" t="n">
        <v>0</v>
      </c>
      <c r="CM400" s="5" t="n">
        <v>0</v>
      </c>
      <c r="CN400" s="5" t="n">
        <v>0</v>
      </c>
      <c r="CO400" s="5" t="n">
        <v>0</v>
      </c>
      <c r="CP400" s="5" t="n">
        <v>0</v>
      </c>
      <c r="CQ400" s="5" t="n">
        <v>1.348</v>
      </c>
      <c r="CR400" s="5" t="n">
        <v>0</v>
      </c>
      <c r="CS400" s="5" t="n">
        <v>5.37</v>
      </c>
      <c r="CT400" s="5" t="n">
        <v>4.861</v>
      </c>
      <c r="CU400" s="5" t="n">
        <v>11.192</v>
      </c>
    </row>
    <row r="401">
      <c r="A401" s="5" t="inlineStr">
        <is>
          <t>JAM2024</t>
        </is>
      </c>
      <c r="B401" s="5" t="inlineStr">
        <is>
          <t>JAM</t>
        </is>
      </c>
      <c r="C401" s="5" t="inlineStr">
        <is>
          <t>JAM</t>
        </is>
      </c>
      <c r="D401" s="5" t="inlineStr">
        <is>
          <t>Jamaica</t>
        </is>
      </c>
      <c r="E401" s="5" t="n">
        <v>2024</v>
      </c>
      <c r="F401" s="5" t="n">
        <v>0.15</v>
      </c>
      <c r="G401" s="5" t="n">
        <v>5.575</v>
      </c>
      <c r="H401" s="5" t="n">
        <v>1.324</v>
      </c>
      <c r="I401" s="5" t="n">
        <v>0</v>
      </c>
      <c r="J401" s="5" t="n">
        <v>5.575</v>
      </c>
      <c r="K401" s="5" t="n">
        <v>0</v>
      </c>
      <c r="L401" s="5" t="n">
        <v>1</v>
      </c>
      <c r="M401" s="5" t="n">
        <v>7.124</v>
      </c>
      <c r="N401" s="5" t="n">
        <v>3.971</v>
      </c>
      <c r="O401" s="5" t="n">
        <v>0.158</v>
      </c>
      <c r="P401" s="5" t="n">
        <v>7.281</v>
      </c>
      <c r="Q401" s="5" t="n">
        <v>0</v>
      </c>
      <c r="R401" s="5" t="n">
        <v>1</v>
      </c>
      <c r="S401" s="5" t="n">
        <v>12.193</v>
      </c>
      <c r="T401" s="5" t="n">
        <v>7.942</v>
      </c>
      <c r="U401" s="5" t="n">
        <v>0.249</v>
      </c>
      <c r="V401" s="5" t="n">
        <v>14.022</v>
      </c>
      <c r="W401" s="5" t="n">
        <v>0.15</v>
      </c>
      <c r="X401" s="5" t="n">
        <v>1</v>
      </c>
      <c r="Y401" s="5" t="n">
        <v>11.447</v>
      </c>
      <c r="Z401" s="5" t="n">
        <v>1.536</v>
      </c>
      <c r="AA401" s="5" t="n">
        <v>0.032</v>
      </c>
      <c r="AB401" s="5" t="n">
        <v>11.479</v>
      </c>
      <c r="AC401" s="5" t="n">
        <v>0</v>
      </c>
      <c r="AD401" s="5" t="n">
        <v>1</v>
      </c>
      <c r="AE401" s="5" t="n">
        <v>12.771</v>
      </c>
      <c r="AF401" s="5" t="n">
        <v>2.985</v>
      </c>
      <c r="AG401" s="5" t="n">
        <v>0.032</v>
      </c>
      <c r="AH401" s="5" t="n">
        <v>12.802</v>
      </c>
      <c r="AI401" s="5" t="n">
        <v>0</v>
      </c>
      <c r="AJ401" s="5" t="n">
        <v>1</v>
      </c>
      <c r="AK401" s="5" t="n">
        <v>20.712</v>
      </c>
      <c r="AL401" s="5" t="n">
        <v>11.119</v>
      </c>
      <c r="AM401" s="5" t="n">
        <v>0.423</v>
      </c>
      <c r="AN401" s="5" t="n">
        <v>23.819</v>
      </c>
      <c r="AO401" s="5" t="n">
        <v>0.15</v>
      </c>
      <c r="AP401" s="5" t="n">
        <v>1</v>
      </c>
      <c r="AQ401" s="5" t="n">
        <v>0.756</v>
      </c>
      <c r="AR401" s="5" t="n">
        <v>0.132</v>
      </c>
      <c r="AS401" s="5" t="n">
        <v>0.412</v>
      </c>
      <c r="AT401" s="5" t="n">
        <v>1.343</v>
      </c>
      <c r="AU401" s="5" t="n">
        <v>0.15</v>
      </c>
      <c r="AV401" s="5" t="n">
        <v>1</v>
      </c>
      <c r="AW401" s="5" t="n">
        <v>0.655</v>
      </c>
      <c r="AX401" s="5" t="n">
        <v>0.132</v>
      </c>
      <c r="AY401" s="5" t="n">
        <v>0.477</v>
      </c>
      <c r="AZ401" s="5" t="n">
        <v>1.302</v>
      </c>
      <c r="BA401" s="5" t="n">
        <v>0.15</v>
      </c>
      <c r="BB401" s="5" t="n">
        <v>1</v>
      </c>
      <c r="BC401" s="5" t="n">
        <v>0.534</v>
      </c>
      <c r="BD401" s="5" t="n">
        <v>0.132</v>
      </c>
      <c r="BE401" s="5" t="n">
        <v>-0.186</v>
      </c>
      <c r="BF401" s="5" t="n">
        <v>0.399</v>
      </c>
      <c r="BG401" s="5" t="n">
        <v>0</v>
      </c>
      <c r="BH401" s="5" t="n">
        <v>0</v>
      </c>
      <c r="BI401" s="5" t="n">
        <v>0.5679999999999999</v>
      </c>
      <c r="BJ401" s="5" t="n">
        <v>0.132</v>
      </c>
      <c r="BK401" s="5" t="n">
        <v>0.544</v>
      </c>
      <c r="BL401" s="5" t="n">
        <v>1.279</v>
      </c>
      <c r="BM401" s="5" t="n">
        <v>0.15</v>
      </c>
      <c r="BN401" s="5" t="n">
        <v>1</v>
      </c>
      <c r="BO401" s="5" t="n">
        <v>0</v>
      </c>
      <c r="BP401" s="5" t="n">
        <v>0</v>
      </c>
      <c r="BQ401" s="5" t="n">
        <v>0.182</v>
      </c>
      <c r="BR401" s="5" t="n">
        <v>0</v>
      </c>
      <c r="BS401" s="5" t="n">
        <v>0.667</v>
      </c>
      <c r="BT401" s="5" t="n">
        <v>0</v>
      </c>
      <c r="BU401" s="5" t="n">
        <v>0</v>
      </c>
      <c r="BV401" s="5" t="n">
        <v>0.741</v>
      </c>
      <c r="BW401" s="5" t="n">
        <v>0.15</v>
      </c>
      <c r="BX401" s="5" t="n">
        <v>0.667</v>
      </c>
      <c r="BY401" s="5" t="n">
        <v>13.646</v>
      </c>
      <c r="BZ401" s="5" t="n">
        <v>0</v>
      </c>
      <c r="CA401" s="5" t="n">
        <v>13.646</v>
      </c>
      <c r="CB401" s="5" t="n">
        <v>0</v>
      </c>
      <c r="CC401" s="5" t="n">
        <v>82.58799999999999</v>
      </c>
      <c r="CD401" s="5" t="n">
        <v>7.95</v>
      </c>
      <c r="CE401" s="5" t="n">
        <v>-26.107</v>
      </c>
      <c r="CF401" s="5" t="n">
        <v>56.481</v>
      </c>
      <c r="CG401" s="5" t="n">
        <v>0</v>
      </c>
      <c r="CH401" s="5" t="n">
        <v>0</v>
      </c>
      <c r="CI401" s="5" t="n">
        <v>0</v>
      </c>
      <c r="CJ401" s="5" t="n">
        <v>0</v>
      </c>
      <c r="CK401" s="5" t="n">
        <v>0</v>
      </c>
      <c r="CL401" s="5" t="n">
        <v>0</v>
      </c>
      <c r="CM401" s="5" t="n">
        <v>0</v>
      </c>
      <c r="CN401" s="5" t="n">
        <v>0</v>
      </c>
      <c r="CO401" s="5" t="n">
        <v>0</v>
      </c>
      <c r="CP401" s="5" t="n">
        <v>0</v>
      </c>
      <c r="CQ401" s="5" t="n">
        <v>1.387</v>
      </c>
      <c r="CR401" s="5" t="n">
        <v>0</v>
      </c>
      <c r="CS401" s="5" t="n">
        <v>5.529</v>
      </c>
      <c r="CT401" s="5" t="n">
        <v>4.251</v>
      </c>
      <c r="CU401" s="5" t="n">
        <v>10.123</v>
      </c>
    </row>
    <row r="402">
      <c r="A402" s="5" t="inlineStr">
        <is>
          <t>JPN2021</t>
        </is>
      </c>
      <c r="B402" s="5" t="inlineStr">
        <is>
          <t>JPN</t>
        </is>
      </c>
      <c r="C402" s="5" t="inlineStr">
        <is>
          <t>JPN</t>
        </is>
      </c>
      <c r="D402" s="5" t="inlineStr">
        <is>
          <t>Japan</t>
        </is>
      </c>
      <c r="E402" s="5" t="n">
        <v>2021</v>
      </c>
      <c r="F402" s="5" t="n">
        <v>0.1</v>
      </c>
      <c r="G402" s="5" t="n">
        <v>4.565</v>
      </c>
      <c r="H402" s="5" t="n">
        <v>0.999</v>
      </c>
      <c r="I402" s="5" t="n">
        <v>0.425</v>
      </c>
      <c r="J402" s="5" t="n">
        <v>4.99</v>
      </c>
      <c r="K402" s="5" t="n">
        <v>0</v>
      </c>
      <c r="L402" s="5" t="n">
        <v>1</v>
      </c>
      <c r="M402" s="5" t="n">
        <v>4.633</v>
      </c>
      <c r="N402" s="5" t="n">
        <v>2.1</v>
      </c>
      <c r="O402" s="5" t="n">
        <v>0.357</v>
      </c>
      <c r="P402" s="5" t="n">
        <v>4.99</v>
      </c>
      <c r="Q402" s="5" t="n">
        <v>0</v>
      </c>
      <c r="R402" s="5" t="n">
        <v>1</v>
      </c>
      <c r="S402" s="5" t="n">
        <v>11.632</v>
      </c>
      <c r="T402" s="5" t="n">
        <v>6.86</v>
      </c>
      <c r="U402" s="5" t="n">
        <v>0.393</v>
      </c>
      <c r="V402" s="5" t="n">
        <v>13.228</v>
      </c>
      <c r="W402" s="5" t="n">
        <v>0.1</v>
      </c>
      <c r="X402" s="5" t="n">
        <v>1</v>
      </c>
      <c r="Y402" s="5" t="n">
        <v>20.239</v>
      </c>
      <c r="Z402" s="5" t="n">
        <v>2.236</v>
      </c>
      <c r="AA402" s="5" t="n">
        <v>1.91</v>
      </c>
      <c r="AB402" s="5" t="n">
        <v>22.149</v>
      </c>
      <c r="AC402" s="5" t="n">
        <v>0</v>
      </c>
      <c r="AD402" s="5" t="n">
        <v>1</v>
      </c>
      <c r="AE402" s="5" t="n">
        <v>20.221</v>
      </c>
      <c r="AF402" s="5" t="n">
        <v>3.979</v>
      </c>
      <c r="AG402" s="5" t="n">
        <v>1.928</v>
      </c>
      <c r="AH402" s="5" t="n">
        <v>22.149</v>
      </c>
      <c r="AI402" s="5" t="n">
        <v>0</v>
      </c>
      <c r="AJ402" s="5" t="n">
        <v>1</v>
      </c>
      <c r="AK402" s="5" t="n">
        <v>24.579</v>
      </c>
      <c r="AL402" s="5" t="n">
        <v>12.064</v>
      </c>
      <c r="AM402" s="5" t="n">
        <v>1.76</v>
      </c>
      <c r="AN402" s="5" t="n">
        <v>28.974</v>
      </c>
      <c r="AO402" s="5" t="n">
        <v>0.1</v>
      </c>
      <c r="AP402" s="5" t="n">
        <v>1</v>
      </c>
      <c r="AQ402" s="5" t="n">
        <v>0.621</v>
      </c>
      <c r="AR402" s="5" t="n">
        <v>0.114</v>
      </c>
      <c r="AS402" s="5" t="n">
        <v>0.572</v>
      </c>
      <c r="AT402" s="5" t="n">
        <v>1.312</v>
      </c>
      <c r="AU402" s="5" t="n">
        <v>0.1</v>
      </c>
      <c r="AV402" s="5" t="n">
        <v>1</v>
      </c>
      <c r="AW402" s="5" t="n">
        <v>0.593</v>
      </c>
      <c r="AX402" s="5" t="n">
        <v>0.114</v>
      </c>
      <c r="AY402" s="5" t="n">
        <v>0.47</v>
      </c>
      <c r="AZ402" s="5" t="n">
        <v>1.169</v>
      </c>
      <c r="BA402" s="5" t="n">
        <v>0.1</v>
      </c>
      <c r="BB402" s="5" t="n">
        <v>1</v>
      </c>
      <c r="BC402" s="5" t="n">
        <v>0.44</v>
      </c>
      <c r="BD402" s="5" t="n">
        <v>0.114</v>
      </c>
      <c r="BE402" s="5" t="n">
        <v>0.468</v>
      </c>
      <c r="BF402" s="5" t="n">
        <v>0.999</v>
      </c>
      <c r="BG402" s="5" t="n">
        <v>0.1</v>
      </c>
      <c r="BH402" s="5" t="n">
        <v>1</v>
      </c>
      <c r="BI402" s="5" t="n">
        <v>0.5600000000000001</v>
      </c>
      <c r="BJ402" s="5" t="n">
        <v>0.114</v>
      </c>
      <c r="BK402" s="5" t="n">
        <v>0.175</v>
      </c>
      <c r="BL402" s="5" t="n">
        <v>0.8080000000000001</v>
      </c>
      <c r="BM402" s="5" t="n">
        <v>0.1</v>
      </c>
      <c r="BN402" s="5" t="n">
        <v>1</v>
      </c>
      <c r="BO402" s="5" t="n">
        <v>0</v>
      </c>
      <c r="BP402" s="5" t="n">
        <v>0.003</v>
      </c>
      <c r="BQ402" s="5" t="n">
        <v>0.136</v>
      </c>
      <c r="BR402" s="5" t="n">
        <v>0</v>
      </c>
      <c r="BS402" s="5" t="n">
        <v>1</v>
      </c>
      <c r="BT402" s="5" t="n">
        <v>0</v>
      </c>
      <c r="BU402" s="5" t="n">
        <v>0.004</v>
      </c>
      <c r="BV402" s="5" t="n">
        <v>0.236</v>
      </c>
      <c r="BW402" s="5" t="n">
        <v>0.1</v>
      </c>
      <c r="BX402" s="5" t="n">
        <v>0.833</v>
      </c>
      <c r="BY402" s="5" t="n">
        <v>11.787</v>
      </c>
      <c r="BZ402" s="5" t="n">
        <v>0</v>
      </c>
      <c r="CA402" s="5" t="n">
        <v>11.787</v>
      </c>
      <c r="CB402" s="5" t="n">
        <v>0</v>
      </c>
      <c r="CC402" s="5" t="n">
        <v>81.69499999999999</v>
      </c>
      <c r="CD402" s="5" t="n">
        <v>7.95</v>
      </c>
      <c r="CE402" s="5" t="n">
        <v>9.481</v>
      </c>
      <c r="CF402" s="5" t="n">
        <v>100.294</v>
      </c>
      <c r="CG402" s="5" t="n">
        <v>0.1</v>
      </c>
      <c r="CH402" s="5" t="n">
        <v>1</v>
      </c>
      <c r="CI402" s="5" t="n">
        <v>0</v>
      </c>
      <c r="CJ402" s="5" t="n">
        <v>0</v>
      </c>
      <c r="CK402" s="5" t="n">
        <v>0</v>
      </c>
      <c r="CL402" s="5" t="n">
        <v>0</v>
      </c>
      <c r="CM402" s="5" t="n">
        <v>0</v>
      </c>
      <c r="CN402" s="5" t="n">
        <v>0.705</v>
      </c>
      <c r="CO402" s="5" t="n">
        <v>0.111</v>
      </c>
      <c r="CP402" s="5" t="n">
        <v>0</v>
      </c>
      <c r="CQ402" s="5" t="n">
        <v>1.198</v>
      </c>
      <c r="CR402" s="5" t="n">
        <v>0</v>
      </c>
      <c r="CS402" s="5" t="n">
        <v>2.122</v>
      </c>
      <c r="CT402" s="5" t="n">
        <v>4.772</v>
      </c>
      <c r="CU402" s="5" t="n">
        <v>9.760999999999999</v>
      </c>
    </row>
    <row r="403">
      <c r="A403" s="5" t="inlineStr">
        <is>
          <t>JPN2022</t>
        </is>
      </c>
      <c r="B403" s="5" t="inlineStr">
        <is>
          <t>JPN</t>
        </is>
      </c>
      <c r="C403" s="5" t="inlineStr">
        <is>
          <t>JPN</t>
        </is>
      </c>
      <c r="D403" s="5" t="inlineStr">
        <is>
          <t>Japan</t>
        </is>
      </c>
      <c r="E403" s="5" t="n">
        <v>2022</v>
      </c>
      <c r="F403" s="5" t="n">
        <v>0.1</v>
      </c>
      <c r="G403" s="5" t="n">
        <v>10.216</v>
      </c>
      <c r="H403" s="5" t="n">
        <v>1.586</v>
      </c>
      <c r="I403" s="5" t="n">
        <v>0.423</v>
      </c>
      <c r="J403" s="5" t="n">
        <v>10.638</v>
      </c>
      <c r="K403" s="5" t="n">
        <v>0</v>
      </c>
      <c r="L403" s="5" t="n">
        <v>1</v>
      </c>
      <c r="M403" s="5" t="n">
        <v>10.181</v>
      </c>
      <c r="N403" s="5" t="n">
        <v>4.204</v>
      </c>
      <c r="O403" s="5" t="n">
        <v>0.458</v>
      </c>
      <c r="P403" s="5" t="n">
        <v>10.638</v>
      </c>
      <c r="Q403" s="5" t="n">
        <v>0</v>
      </c>
      <c r="R403" s="5" t="n">
        <v>1</v>
      </c>
      <c r="S403" s="5" t="n">
        <v>17.555</v>
      </c>
      <c r="T403" s="5" t="n">
        <v>7.408</v>
      </c>
      <c r="U403" s="5" t="n">
        <v>0.528</v>
      </c>
      <c r="V403" s="5" t="n">
        <v>19.744</v>
      </c>
      <c r="W403" s="5" t="n">
        <v>0.1</v>
      </c>
      <c r="X403" s="5" t="n">
        <v>1</v>
      </c>
      <c r="Y403" s="5" t="n">
        <v>27.894</v>
      </c>
      <c r="Z403" s="5" t="n">
        <v>2.926</v>
      </c>
      <c r="AA403" s="5" t="n">
        <v>-2.103</v>
      </c>
      <c r="AB403" s="5" t="n">
        <v>25.791</v>
      </c>
      <c r="AC403" s="5" t="n">
        <v>0</v>
      </c>
      <c r="AD403" s="5" t="n">
        <v>1</v>
      </c>
      <c r="AE403" s="5" t="n">
        <v>27.968</v>
      </c>
      <c r="AF403" s="5" t="n">
        <v>5.185</v>
      </c>
      <c r="AG403" s="5" t="n">
        <v>-2.177</v>
      </c>
      <c r="AH403" s="5" t="n">
        <v>25.791</v>
      </c>
      <c r="AI403" s="5" t="n">
        <v>0</v>
      </c>
      <c r="AJ403" s="5" t="n">
        <v>1</v>
      </c>
      <c r="AK403" s="5" t="n">
        <v>32.874</v>
      </c>
      <c r="AL403" s="5" t="n">
        <v>15.699</v>
      </c>
      <c r="AM403" s="5" t="n">
        <v>-1.572</v>
      </c>
      <c r="AN403" s="5" t="n">
        <v>34.433</v>
      </c>
      <c r="AO403" s="5" t="n">
        <v>0.1</v>
      </c>
      <c r="AP403" s="5" t="n">
        <v>1</v>
      </c>
      <c r="AQ403" s="5" t="n">
        <v>0.847</v>
      </c>
      <c r="AR403" s="5" t="n">
        <v>0.123</v>
      </c>
      <c r="AS403" s="5" t="n">
        <v>0.247</v>
      </c>
      <c r="AT403" s="5" t="n">
        <v>1.203</v>
      </c>
      <c r="AU403" s="5" t="n">
        <v>0.1</v>
      </c>
      <c r="AV403" s="5" t="n">
        <v>1</v>
      </c>
      <c r="AW403" s="5" t="n">
        <v>0.947</v>
      </c>
      <c r="AX403" s="5" t="n">
        <v>0.123</v>
      </c>
      <c r="AY403" s="5" t="n">
        <v>0.043</v>
      </c>
      <c r="AZ403" s="5" t="n">
        <v>1.088</v>
      </c>
      <c r="BA403" s="5" t="n">
        <v>0.1</v>
      </c>
      <c r="BB403" s="5" t="n">
        <v>1</v>
      </c>
      <c r="BC403" s="5" t="n">
        <v>0.589</v>
      </c>
      <c r="BD403" s="5" t="n">
        <v>0.123</v>
      </c>
      <c r="BE403" s="5" t="n">
        <v>0.299</v>
      </c>
      <c r="BF403" s="5" t="n">
        <v>0.976</v>
      </c>
      <c r="BG403" s="5" t="n">
        <v>0.1</v>
      </c>
      <c r="BH403" s="5" t="n">
        <v>1</v>
      </c>
      <c r="BI403" s="5" t="n">
        <v>0.6889999999999999</v>
      </c>
      <c r="BJ403" s="5" t="n">
        <v>0.123</v>
      </c>
      <c r="BK403" s="5" t="n">
        <v>0.04</v>
      </c>
      <c r="BL403" s="5" t="n">
        <v>0.802</v>
      </c>
      <c r="BM403" s="5" t="n">
        <v>0.1</v>
      </c>
      <c r="BN403" s="5" t="n">
        <v>1</v>
      </c>
      <c r="BO403" s="5" t="n">
        <v>0</v>
      </c>
      <c r="BP403" s="5" t="n">
        <v>0.003</v>
      </c>
      <c r="BQ403" s="5" t="n">
        <v>0.157</v>
      </c>
      <c r="BR403" s="5" t="n">
        <v>0</v>
      </c>
      <c r="BS403" s="5" t="n">
        <v>1</v>
      </c>
      <c r="BT403" s="5" t="n">
        <v>0</v>
      </c>
      <c r="BU403" s="5" t="n">
        <v>0.004</v>
      </c>
      <c r="BV403" s="5" t="n">
        <v>0.235</v>
      </c>
      <c r="BW403" s="5" t="n">
        <v>0.1</v>
      </c>
      <c r="BX403" s="5" t="n">
        <v>0.833</v>
      </c>
      <c r="BY403" s="5" t="n">
        <v>12.729</v>
      </c>
      <c r="BZ403" s="5" t="n">
        <v>0</v>
      </c>
      <c r="CA403" s="5" t="n">
        <v>12.729</v>
      </c>
      <c r="CB403" s="5" t="n">
        <v>0</v>
      </c>
      <c r="CC403" s="5" t="n">
        <v>102.477</v>
      </c>
      <c r="CD403" s="5" t="n">
        <v>7.95</v>
      </c>
      <c r="CE403" s="5" t="n">
        <v>-12.53</v>
      </c>
      <c r="CF403" s="5" t="n">
        <v>98.941</v>
      </c>
      <c r="CG403" s="5" t="n">
        <v>0.1</v>
      </c>
      <c r="CH403" s="5" t="n">
        <v>1</v>
      </c>
      <c r="CI403" s="5" t="n">
        <v>0</v>
      </c>
      <c r="CJ403" s="5" t="n">
        <v>0</v>
      </c>
      <c r="CK403" s="5" t="n">
        <v>0</v>
      </c>
      <c r="CL403" s="5" t="n">
        <v>0</v>
      </c>
      <c r="CM403" s="5" t="n">
        <v>0</v>
      </c>
      <c r="CN403" s="5" t="n">
        <v>0.758</v>
      </c>
      <c r="CO403" s="5" t="n">
        <v>0.114</v>
      </c>
      <c r="CP403" s="5" t="n">
        <v>0</v>
      </c>
      <c r="CQ403" s="5" t="n">
        <v>1.294</v>
      </c>
      <c r="CR403" s="5" t="n">
        <v>0</v>
      </c>
      <c r="CS403" s="5" t="n">
        <v>2.292</v>
      </c>
      <c r="CT403" s="5" t="n">
        <v>10.146</v>
      </c>
      <c r="CU403" s="5" t="n">
        <v>17.325</v>
      </c>
    </row>
    <row r="404">
      <c r="A404" s="5" t="inlineStr">
        <is>
          <t>JPN2023</t>
        </is>
      </c>
      <c r="B404" s="5" t="inlineStr">
        <is>
          <t>JPN</t>
        </is>
      </c>
      <c r="C404" s="5" t="inlineStr">
        <is>
          <t>JPN</t>
        </is>
      </c>
      <c r="D404" s="5" t="inlineStr">
        <is>
          <t>Japan</t>
        </is>
      </c>
      <c r="E404" s="5" t="n">
        <v>2023</v>
      </c>
      <c r="F404" s="5" t="n">
        <v>0.1</v>
      </c>
      <c r="G404" s="5" t="n">
        <v>8.067</v>
      </c>
      <c r="H404" s="5" t="n">
        <v>1.837</v>
      </c>
      <c r="I404" s="5" t="n">
        <v>0.387</v>
      </c>
      <c r="J404" s="5" t="n">
        <v>8.452999999999999</v>
      </c>
      <c r="K404" s="5" t="n">
        <v>0</v>
      </c>
      <c r="L404" s="5" t="n">
        <v>1</v>
      </c>
      <c r="M404" s="5" t="n">
        <v>8.089</v>
      </c>
      <c r="N404" s="5" t="n">
        <v>4.012</v>
      </c>
      <c r="O404" s="5" t="n">
        <v>0.364</v>
      </c>
      <c r="P404" s="5" t="n">
        <v>8.452999999999999</v>
      </c>
      <c r="Q404" s="5" t="n">
        <v>0</v>
      </c>
      <c r="R404" s="5" t="n">
        <v>1</v>
      </c>
      <c r="S404" s="5" t="n">
        <v>14.993</v>
      </c>
      <c r="T404" s="5" t="n">
        <v>7.714</v>
      </c>
      <c r="U404" s="5" t="n">
        <v>0.532</v>
      </c>
      <c r="V404" s="5" t="n">
        <v>16.89</v>
      </c>
      <c r="W404" s="5" t="n">
        <v>0.1</v>
      </c>
      <c r="X404" s="5" t="n">
        <v>1</v>
      </c>
      <c r="Y404" s="5" t="n">
        <v>23.48</v>
      </c>
      <c r="Z404" s="5" t="n">
        <v>2.63</v>
      </c>
      <c r="AA404" s="5" t="n">
        <v>-0.545</v>
      </c>
      <c r="AB404" s="5" t="n">
        <v>22.934</v>
      </c>
      <c r="AC404" s="5" t="n">
        <v>0</v>
      </c>
      <c r="AD404" s="5" t="n">
        <v>1</v>
      </c>
      <c r="AE404" s="5" t="n">
        <v>23.604</v>
      </c>
      <c r="AF404" s="5" t="n">
        <v>4.701</v>
      </c>
      <c r="AG404" s="5" t="n">
        <v>-0.67</v>
      </c>
      <c r="AH404" s="5" t="n">
        <v>22.934</v>
      </c>
      <c r="AI404" s="5" t="n">
        <v>0</v>
      </c>
      <c r="AJ404" s="5" t="n">
        <v>1</v>
      </c>
      <c r="AK404" s="5" t="n">
        <v>28.646</v>
      </c>
      <c r="AL404" s="5" t="n">
        <v>14.191</v>
      </c>
      <c r="AM404" s="5" t="n">
        <v>-7.275</v>
      </c>
      <c r="AN404" s="5" t="n">
        <v>23.508</v>
      </c>
      <c r="AO404" s="5" t="n">
        <v>0.1</v>
      </c>
      <c r="AP404" s="5" t="n">
        <v>1</v>
      </c>
      <c r="AQ404" s="5" t="n">
        <v>0.749</v>
      </c>
      <c r="AR404" s="5" t="n">
        <v>0.129</v>
      </c>
      <c r="AS404" s="5" t="n">
        <v>0.285</v>
      </c>
      <c r="AT404" s="5" t="n">
        <v>1.137</v>
      </c>
      <c r="AU404" s="5" t="n">
        <v>0.1</v>
      </c>
      <c r="AV404" s="5" t="n">
        <v>1</v>
      </c>
      <c r="AW404" s="5" t="n">
        <v>0.783</v>
      </c>
      <c r="AX404" s="5" t="n">
        <v>0.129</v>
      </c>
      <c r="AY404" s="5" t="n">
        <v>0.16</v>
      </c>
      <c r="AZ404" s="5" t="n">
        <v>1.037</v>
      </c>
      <c r="BA404" s="5" t="n">
        <v>0.1</v>
      </c>
      <c r="BB404" s="5" t="n">
        <v>1</v>
      </c>
      <c r="BC404" s="5" t="n">
        <v>0.527</v>
      </c>
      <c r="BD404" s="5" t="n">
        <v>0.129</v>
      </c>
      <c r="BE404" s="5" t="n">
        <v>0.288</v>
      </c>
      <c r="BF404" s="5" t="n">
        <v>0.897</v>
      </c>
      <c r="BG404" s="5" t="n">
        <v>0.1</v>
      </c>
      <c r="BH404" s="5" t="n">
        <v>1</v>
      </c>
      <c r="BI404" s="5" t="n">
        <v>0.64</v>
      </c>
      <c r="BJ404" s="5" t="n">
        <v>0.129</v>
      </c>
      <c r="BK404" s="5" t="n">
        <v>0.051</v>
      </c>
      <c r="BL404" s="5" t="n">
        <v>0.76</v>
      </c>
      <c r="BM404" s="5" t="n">
        <v>0.1</v>
      </c>
      <c r="BN404" s="5" t="n">
        <v>1</v>
      </c>
      <c r="BO404" s="5" t="n">
        <v>0</v>
      </c>
      <c r="BP404" s="5" t="n">
        <v>0.008</v>
      </c>
      <c r="BQ404" s="5" t="n">
        <v>0.162</v>
      </c>
      <c r="BR404" s="5" t="n">
        <v>0</v>
      </c>
      <c r="BS404" s="5" t="n">
        <v>1</v>
      </c>
      <c r="BT404" s="5" t="n">
        <v>0</v>
      </c>
      <c r="BU404" s="5" t="n">
        <v>0.004</v>
      </c>
      <c r="BV404" s="5" t="n">
        <v>0.188</v>
      </c>
      <c r="BW404" s="5" t="n">
        <v>0.1</v>
      </c>
      <c r="BX404" s="5" t="n">
        <v>0.833</v>
      </c>
      <c r="BY404" s="5" t="n">
        <v>13.254</v>
      </c>
      <c r="BZ404" s="5" t="n">
        <v>0</v>
      </c>
      <c r="CA404" s="5" t="n">
        <v>13.254</v>
      </c>
      <c r="CB404" s="5" t="n">
        <v>0</v>
      </c>
      <c r="CC404" s="5" t="n">
        <v>87.07899999999999</v>
      </c>
      <c r="CD404" s="5" t="n">
        <v>7.95</v>
      </c>
      <c r="CE404" s="5" t="n">
        <v>-0.6879999999999999</v>
      </c>
      <c r="CF404" s="5" t="n">
        <v>95.03</v>
      </c>
      <c r="CG404" s="5" t="n">
        <v>0.1</v>
      </c>
      <c r="CH404" s="5" t="n">
        <v>1</v>
      </c>
      <c r="CI404" s="5" t="n">
        <v>0</v>
      </c>
      <c r="CJ404" s="5" t="n">
        <v>0</v>
      </c>
      <c r="CK404" s="5" t="n">
        <v>0</v>
      </c>
      <c r="CL404" s="5" t="n">
        <v>0</v>
      </c>
      <c r="CM404" s="5" t="n">
        <v>0</v>
      </c>
      <c r="CN404" s="5" t="n">
        <v>0.733</v>
      </c>
      <c r="CO404" s="5" t="n">
        <v>0.1</v>
      </c>
      <c r="CP404" s="5" t="n">
        <v>0</v>
      </c>
      <c r="CQ404" s="5" t="n">
        <v>1.348</v>
      </c>
      <c r="CR404" s="5" t="n">
        <v>0</v>
      </c>
      <c r="CS404" s="5" t="n">
        <v>2.387</v>
      </c>
      <c r="CT404" s="5" t="n">
        <v>7.279</v>
      </c>
      <c r="CU404" s="5" t="n">
        <v>12.859</v>
      </c>
    </row>
    <row r="405">
      <c r="A405" s="5" t="inlineStr">
        <is>
          <t>JPN2024</t>
        </is>
      </c>
      <c r="B405" s="5" t="inlineStr">
        <is>
          <t>JPN</t>
        </is>
      </c>
      <c r="C405" s="5" t="inlineStr">
        <is>
          <t>JPN</t>
        </is>
      </c>
      <c r="D405" s="5" t="inlineStr">
        <is>
          <t>Japan</t>
        </is>
      </c>
      <c r="E405" s="5" t="n">
        <v>2024</v>
      </c>
      <c r="F405" s="5" t="n">
        <v>0.1</v>
      </c>
      <c r="G405" s="5" t="n">
        <v>7.372</v>
      </c>
      <c r="H405" s="5" t="n">
        <v>1.868</v>
      </c>
      <c r="I405" s="5" t="n">
        <v>0.369</v>
      </c>
      <c r="J405" s="5" t="n">
        <v>7.741</v>
      </c>
      <c r="K405" s="5" t="n">
        <v>0</v>
      </c>
      <c r="L405" s="5" t="n">
        <v>1</v>
      </c>
      <c r="M405" s="5" t="n">
        <v>7.404</v>
      </c>
      <c r="N405" s="5" t="n">
        <v>4.033</v>
      </c>
      <c r="O405" s="5" t="n">
        <v>0.336</v>
      </c>
      <c r="P405" s="5" t="n">
        <v>7.741</v>
      </c>
      <c r="Q405" s="5" t="n">
        <v>0</v>
      </c>
      <c r="R405" s="5" t="n">
        <v>1</v>
      </c>
      <c r="S405" s="5" t="n">
        <v>13.453</v>
      </c>
      <c r="T405" s="5" t="n">
        <v>7.942</v>
      </c>
      <c r="U405" s="5" t="n">
        <v>0.532</v>
      </c>
      <c r="V405" s="5" t="n">
        <v>15.177</v>
      </c>
      <c r="W405" s="5" t="n">
        <v>0.1</v>
      </c>
      <c r="X405" s="5" t="n">
        <v>1</v>
      </c>
      <c r="Y405" s="5" t="n">
        <v>20.53</v>
      </c>
      <c r="Z405" s="5" t="n">
        <v>2.592</v>
      </c>
      <c r="AA405" s="5" t="n">
        <v>0.276</v>
      </c>
      <c r="AB405" s="5" t="n">
        <v>20.806</v>
      </c>
      <c r="AC405" s="5" t="n">
        <v>0</v>
      </c>
      <c r="AD405" s="5" t="n">
        <v>1</v>
      </c>
      <c r="AE405" s="5" t="n">
        <v>20.553</v>
      </c>
      <c r="AF405" s="5" t="n">
        <v>4.502</v>
      </c>
      <c r="AG405" s="5" t="n">
        <v>0.253</v>
      </c>
      <c r="AH405" s="5" t="n">
        <v>20.806</v>
      </c>
      <c r="AI405" s="5" t="n">
        <v>0</v>
      </c>
      <c r="AJ405" s="5" t="n">
        <v>1</v>
      </c>
      <c r="AK405" s="5" t="n">
        <v>22.154</v>
      </c>
      <c r="AL405" s="5" t="n">
        <v>11.268</v>
      </c>
      <c r="AM405" s="5" t="n">
        <v>-1.61</v>
      </c>
      <c r="AN405" s="5" t="n">
        <v>22.598</v>
      </c>
      <c r="AO405" s="5" t="n">
        <v>0.1</v>
      </c>
      <c r="AP405" s="5" t="n">
        <v>1</v>
      </c>
      <c r="AQ405" s="5" t="n">
        <v>0.72</v>
      </c>
      <c r="AR405" s="5" t="n">
        <v>0.132</v>
      </c>
      <c r="AS405" s="5" t="n">
        <v>0.254</v>
      </c>
      <c r="AT405" s="5" t="n">
        <v>1.072</v>
      </c>
      <c r="AU405" s="5" t="n">
        <v>0.1</v>
      </c>
      <c r="AV405" s="5" t="n">
        <v>1</v>
      </c>
      <c r="AW405" s="5" t="n">
        <v>0.734</v>
      </c>
      <c r="AX405" s="5" t="n">
        <v>0.132</v>
      </c>
      <c r="AY405" s="5" t="n">
        <v>0.155</v>
      </c>
      <c r="AZ405" s="5" t="n">
        <v>0.977</v>
      </c>
      <c r="BA405" s="5" t="n">
        <v>0.1</v>
      </c>
      <c r="BB405" s="5" t="n">
        <v>1</v>
      </c>
      <c r="BC405" s="5" t="n">
        <v>0.51</v>
      </c>
      <c r="BD405" s="5" t="n">
        <v>0.132</v>
      </c>
      <c r="BE405" s="5" t="n">
        <v>0.281</v>
      </c>
      <c r="BF405" s="5" t="n">
        <v>0.87</v>
      </c>
      <c r="BG405" s="5" t="n">
        <v>0.1</v>
      </c>
      <c r="BH405" s="5" t="n">
        <v>1</v>
      </c>
      <c r="BI405" s="5" t="n">
        <v>0.652</v>
      </c>
      <c r="BJ405" s="5" t="n">
        <v>0.132</v>
      </c>
      <c r="BK405" s="5" t="n">
        <v>-0.004</v>
      </c>
      <c r="BL405" s="5" t="n">
        <v>0.713</v>
      </c>
      <c r="BM405" s="5" t="n">
        <v>0.1</v>
      </c>
      <c r="BN405" s="5" t="n">
        <v>1</v>
      </c>
      <c r="BO405" s="5" t="n">
        <v>0</v>
      </c>
      <c r="BP405" s="5" t="n">
        <v>0.007</v>
      </c>
      <c r="BQ405" s="5" t="n">
        <v>0.135</v>
      </c>
      <c r="BR405" s="5" t="n">
        <v>0</v>
      </c>
      <c r="BS405" s="5" t="n">
        <v>1</v>
      </c>
      <c r="BT405" s="5" t="n">
        <v>0</v>
      </c>
      <c r="BU405" s="5" t="n">
        <v>0.004</v>
      </c>
      <c r="BV405" s="5" t="n">
        <v>0.189</v>
      </c>
      <c r="BW405" s="5" t="n">
        <v>0.1</v>
      </c>
      <c r="BX405" s="5" t="n">
        <v>0.833</v>
      </c>
      <c r="BY405" s="5" t="n">
        <v>13.646</v>
      </c>
      <c r="BZ405" s="5" t="n">
        <v>0</v>
      </c>
      <c r="CA405" s="5" t="n">
        <v>13.646</v>
      </c>
      <c r="CB405" s="5" t="n">
        <v>0</v>
      </c>
      <c r="CC405" s="5" t="n">
        <v>86.38500000000001</v>
      </c>
      <c r="CD405" s="5" t="n">
        <v>7.95</v>
      </c>
      <c r="CE405" s="5" t="n">
        <v>-3.654</v>
      </c>
      <c r="CF405" s="5" t="n">
        <v>91.005</v>
      </c>
      <c r="CG405" s="5" t="n">
        <v>0.1</v>
      </c>
      <c r="CH405" s="5" t="n">
        <v>1</v>
      </c>
      <c r="CI405" s="5" t="n">
        <v>0</v>
      </c>
      <c r="CJ405" s="5" t="n">
        <v>0</v>
      </c>
      <c r="CK405" s="5" t="n">
        <v>0</v>
      </c>
      <c r="CL405" s="5" t="n">
        <v>0</v>
      </c>
      <c r="CM405" s="5" t="n">
        <v>0</v>
      </c>
      <c r="CN405" s="5" t="n">
        <v>0.725</v>
      </c>
      <c r="CO405" s="5" t="n">
        <v>0.102</v>
      </c>
      <c r="CP405" s="5" t="n">
        <v>0</v>
      </c>
      <c r="CQ405" s="5" t="n">
        <v>1.387</v>
      </c>
      <c r="CR405" s="5" t="n">
        <v>0</v>
      </c>
      <c r="CS405" s="5" t="n">
        <v>2.457</v>
      </c>
      <c r="CT405" s="5" t="n">
        <v>5.511</v>
      </c>
      <c r="CU405" s="5" t="n">
        <v>11.183</v>
      </c>
    </row>
    <row r="406">
      <c r="A406" s="5" t="inlineStr">
        <is>
          <t>JOR2021</t>
        </is>
      </c>
      <c r="B406" s="5" t="inlineStr">
        <is>
          <t>JOR</t>
        </is>
      </c>
      <c r="C406" s="5" t="inlineStr">
        <is>
          <t>JOR</t>
        </is>
      </c>
      <c r="D406" s="5" t="inlineStr">
        <is>
          <t>Jordan</t>
        </is>
      </c>
      <c r="E406" s="5" t="n">
        <v>2021</v>
      </c>
      <c r="F406" s="5" t="n">
        <v>0.16</v>
      </c>
      <c r="G406" s="5" t="n">
        <v>5.897</v>
      </c>
      <c r="H406" s="5" t="n">
        <v>1.143</v>
      </c>
      <c r="I406" s="5" t="n">
        <v>0</v>
      </c>
      <c r="J406" s="5" t="n">
        <v>5.897</v>
      </c>
      <c r="K406" s="5" t="n">
        <v>0</v>
      </c>
      <c r="L406" s="5" t="n">
        <v>1</v>
      </c>
      <c r="M406" s="5" t="n">
        <v>7.964</v>
      </c>
      <c r="N406" s="5" t="n">
        <v>3.43</v>
      </c>
      <c r="O406" s="5" t="n">
        <v>0</v>
      </c>
      <c r="P406" s="5" t="n">
        <v>7.964</v>
      </c>
      <c r="Q406" s="5" t="n">
        <v>0</v>
      </c>
      <c r="R406" s="5" t="n">
        <v>1</v>
      </c>
      <c r="S406" s="5" t="n">
        <v>11.613</v>
      </c>
      <c r="T406" s="5" t="n">
        <v>6.86</v>
      </c>
      <c r="U406" s="5" t="n">
        <v>0</v>
      </c>
      <c r="V406" s="5" t="n">
        <v>13.471</v>
      </c>
      <c r="W406" s="5" t="n">
        <v>0.16</v>
      </c>
      <c r="X406" s="5" t="n">
        <v>1</v>
      </c>
      <c r="Y406" s="5" t="n">
        <v>12.117</v>
      </c>
      <c r="Z406" s="5" t="n">
        <v>1.947</v>
      </c>
      <c r="AA406" s="5" t="n">
        <v>-5.436</v>
      </c>
      <c r="AB406" s="5" t="n">
        <v>6.681</v>
      </c>
      <c r="AC406" s="5" t="n">
        <v>0</v>
      </c>
      <c r="AD406" s="5" t="n">
        <v>0</v>
      </c>
      <c r="AE406" s="5" t="n">
        <v>13.261</v>
      </c>
      <c r="AF406" s="5" t="n">
        <v>3.587</v>
      </c>
      <c r="AG406" s="5" t="n">
        <v>-6.58</v>
      </c>
      <c r="AH406" s="5" t="n">
        <v>6.681</v>
      </c>
      <c r="AI406" s="5" t="n">
        <v>0</v>
      </c>
      <c r="AJ406" s="5" t="n">
        <v>0</v>
      </c>
      <c r="AK406" s="5" t="n">
        <v>20.12</v>
      </c>
      <c r="AL406" s="5" t="n">
        <v>11.609</v>
      </c>
      <c r="AM406" s="5" t="n">
        <v>-12.82</v>
      </c>
      <c r="AN406" s="5" t="n">
        <v>7.3</v>
      </c>
      <c r="AO406" s="5" t="n">
        <v>0</v>
      </c>
      <c r="AP406" s="5" t="n">
        <v>0</v>
      </c>
      <c r="AQ406" s="5" t="n">
        <v>0.621</v>
      </c>
      <c r="AR406" s="5" t="n">
        <v>0.114</v>
      </c>
      <c r="AS406" s="5" t="n">
        <v>0.612</v>
      </c>
      <c r="AT406" s="5" t="n">
        <v>1.43</v>
      </c>
      <c r="AU406" s="5" t="n">
        <v>0.16</v>
      </c>
      <c r="AV406" s="5" t="n">
        <v>1</v>
      </c>
      <c r="AW406" s="5" t="n">
        <v>0.593</v>
      </c>
      <c r="AX406" s="5" t="n">
        <v>0.114</v>
      </c>
      <c r="AY406" s="5" t="n">
        <v>0.11</v>
      </c>
      <c r="AZ406" s="5" t="n">
        <v>0.8149999999999999</v>
      </c>
      <c r="BA406" s="5" t="n">
        <v>0.16</v>
      </c>
      <c r="BB406" s="5" t="n">
        <v>1</v>
      </c>
      <c r="BC406" s="5" t="n">
        <v>0.44</v>
      </c>
      <c r="BD406" s="5" t="n">
        <v>0.114</v>
      </c>
      <c r="BE406" s="5" t="n">
        <v>-0.076</v>
      </c>
      <c r="BF406" s="5" t="n">
        <v>0.423</v>
      </c>
      <c r="BG406" s="5" t="n">
        <v>0</v>
      </c>
      <c r="BH406" s="5" t="n">
        <v>0</v>
      </c>
      <c r="BI406" s="5" t="n">
        <v>0.5600000000000001</v>
      </c>
      <c r="BJ406" s="5" t="n">
        <v>0.114</v>
      </c>
      <c r="BK406" s="5" t="n">
        <v>0.105</v>
      </c>
      <c r="BL406" s="5" t="n">
        <v>0.772</v>
      </c>
      <c r="BM406" s="5" t="n">
        <v>0.16</v>
      </c>
      <c r="BN406" s="5" t="n">
        <v>1</v>
      </c>
      <c r="BO406" s="5" t="n">
        <v>0</v>
      </c>
      <c r="BP406" s="5" t="n">
        <v>0</v>
      </c>
      <c r="BQ406" s="5" t="n">
        <v>0.2</v>
      </c>
      <c r="BR406" s="5" t="n">
        <v>0</v>
      </c>
      <c r="BS406" s="5" t="n">
        <v>0.333</v>
      </c>
      <c r="BT406" s="5" t="n">
        <v>0</v>
      </c>
      <c r="BU406" s="5" t="n">
        <v>0</v>
      </c>
      <c r="BV406" s="5" t="n">
        <v>0.25</v>
      </c>
      <c r="BW406" s="5" t="n">
        <v>0.16</v>
      </c>
      <c r="BX406" s="5" t="n">
        <v>0.5</v>
      </c>
      <c r="BY406" s="5" t="n">
        <v>11.787</v>
      </c>
      <c r="BZ406" s="5" t="n">
        <v>0</v>
      </c>
      <c r="CA406" s="5" t="n">
        <v>11.787</v>
      </c>
      <c r="CB406" s="5" t="n">
        <v>0</v>
      </c>
      <c r="CC406" s="5" t="n">
        <v>81.69499999999999</v>
      </c>
      <c r="CD406" s="5" t="n">
        <v>7.95</v>
      </c>
      <c r="CE406" s="5" t="n">
        <v>-19.9</v>
      </c>
      <c r="CF406" s="5" t="n">
        <v>71.68300000000001</v>
      </c>
      <c r="CG406" s="5" t="n">
        <v>0</v>
      </c>
      <c r="CH406" s="5" t="n">
        <v>1</v>
      </c>
      <c r="CI406" s="5" t="n">
        <v>0</v>
      </c>
      <c r="CJ406" s="5" t="n">
        <v>0</v>
      </c>
      <c r="CK406" s="5" t="n">
        <v>0</v>
      </c>
      <c r="CL406" s="5" t="n">
        <v>0</v>
      </c>
      <c r="CM406" s="5" t="n">
        <v>0</v>
      </c>
      <c r="CN406" s="5" t="n">
        <v>0</v>
      </c>
      <c r="CO406" s="5" t="n">
        <v>0</v>
      </c>
      <c r="CP406" s="5" t="n">
        <v>0</v>
      </c>
      <c r="CQ406" s="5" t="n">
        <v>1.198</v>
      </c>
      <c r="CR406" s="5" t="n">
        <v>0</v>
      </c>
      <c r="CS406" s="5" t="n">
        <v>5.028</v>
      </c>
      <c r="CT406" s="5" t="n">
        <v>4.753</v>
      </c>
      <c r="CU406" s="5" t="n">
        <v>14.162</v>
      </c>
    </row>
    <row r="407">
      <c r="A407" s="5" t="inlineStr">
        <is>
          <t>JOR2022</t>
        </is>
      </c>
      <c r="B407" s="5" t="inlineStr">
        <is>
          <t>JOR</t>
        </is>
      </c>
      <c r="C407" s="5" t="inlineStr">
        <is>
          <t>JOR</t>
        </is>
      </c>
      <c r="D407" s="5" t="inlineStr">
        <is>
          <t>Jordan</t>
        </is>
      </c>
      <c r="E407" s="5" t="n">
        <v>2022</v>
      </c>
      <c r="F407" s="5" t="n">
        <v>0.16</v>
      </c>
      <c r="G407" s="5" t="n">
        <v>11.72</v>
      </c>
      <c r="H407" s="5" t="n">
        <v>1.235</v>
      </c>
      <c r="I407" s="5" t="n">
        <v>0</v>
      </c>
      <c r="J407" s="5" t="n">
        <v>11.72</v>
      </c>
      <c r="K407" s="5" t="n">
        <v>0</v>
      </c>
      <c r="L407" s="5" t="n">
        <v>1</v>
      </c>
      <c r="M407" s="5" t="n">
        <v>9.782999999999999</v>
      </c>
      <c r="N407" s="5" t="n">
        <v>3.704</v>
      </c>
      <c r="O407" s="5" t="n">
        <v>0</v>
      </c>
      <c r="P407" s="5" t="n">
        <v>9.782999999999999</v>
      </c>
      <c r="Q407" s="5" t="n">
        <v>0</v>
      </c>
      <c r="R407" s="5" t="n">
        <v>1</v>
      </c>
      <c r="S407" s="5" t="n">
        <v>17.893</v>
      </c>
      <c r="T407" s="5" t="n">
        <v>7.408</v>
      </c>
      <c r="U407" s="5" t="n">
        <v>0.212</v>
      </c>
      <c r="V407" s="5" t="n">
        <v>20.756</v>
      </c>
      <c r="W407" s="5" t="n">
        <v>0.16</v>
      </c>
      <c r="X407" s="5" t="n">
        <v>1</v>
      </c>
      <c r="Y407" s="5" t="n">
        <v>23.109</v>
      </c>
      <c r="Z407" s="5" t="n">
        <v>3.713</v>
      </c>
      <c r="AA407" s="5" t="n">
        <v>-15.732</v>
      </c>
      <c r="AB407" s="5" t="n">
        <v>7.377</v>
      </c>
      <c r="AC407" s="5" t="n">
        <v>0</v>
      </c>
      <c r="AD407" s="5" t="n">
        <v>0</v>
      </c>
      <c r="AE407" s="5" t="n">
        <v>24.32</v>
      </c>
      <c r="AF407" s="5" t="n">
        <v>6.578</v>
      </c>
      <c r="AG407" s="5" t="n">
        <v>-16.943</v>
      </c>
      <c r="AH407" s="5" t="n">
        <v>7.377</v>
      </c>
      <c r="AI407" s="5" t="n">
        <v>0</v>
      </c>
      <c r="AJ407" s="5" t="n">
        <v>0</v>
      </c>
      <c r="AK407" s="5" t="n">
        <v>31.586</v>
      </c>
      <c r="AL407" s="5" t="n">
        <v>18.225</v>
      </c>
      <c r="AM407" s="5" t="n">
        <v>-13.845</v>
      </c>
      <c r="AN407" s="5" t="n">
        <v>17.741</v>
      </c>
      <c r="AO407" s="5" t="n">
        <v>0</v>
      </c>
      <c r="AP407" s="5" t="n">
        <v>0</v>
      </c>
      <c r="AQ407" s="5" t="n">
        <v>0.847</v>
      </c>
      <c r="AR407" s="5" t="n">
        <v>0.123</v>
      </c>
      <c r="AS407" s="5" t="n">
        <v>0.5620000000000001</v>
      </c>
      <c r="AT407" s="5" t="n">
        <v>1.634</v>
      </c>
      <c r="AU407" s="5" t="n">
        <v>0.16</v>
      </c>
      <c r="AV407" s="5" t="n">
        <v>1</v>
      </c>
      <c r="AW407" s="5" t="n">
        <v>0.947</v>
      </c>
      <c r="AX407" s="5" t="n">
        <v>0.123</v>
      </c>
      <c r="AY407" s="5" t="n">
        <v>-0.073</v>
      </c>
      <c r="AZ407" s="5" t="n">
        <v>1.014</v>
      </c>
      <c r="BA407" s="5" t="n">
        <v>0.16</v>
      </c>
      <c r="BB407" s="5" t="n">
        <v>1</v>
      </c>
      <c r="BC407" s="5" t="n">
        <v>0.589</v>
      </c>
      <c r="BD407" s="5" t="n">
        <v>0.123</v>
      </c>
      <c r="BE407" s="5" t="n">
        <v>-0.224</v>
      </c>
      <c r="BF407" s="5" t="n">
        <v>0.423</v>
      </c>
      <c r="BG407" s="5" t="n">
        <v>0</v>
      </c>
      <c r="BH407" s="5" t="n">
        <v>0</v>
      </c>
      <c r="BI407" s="5" t="n">
        <v>0.6889999999999999</v>
      </c>
      <c r="BJ407" s="5" t="n">
        <v>0.123</v>
      </c>
      <c r="BK407" s="5" t="n">
        <v>0.183</v>
      </c>
      <c r="BL407" s="5" t="n">
        <v>1.011</v>
      </c>
      <c r="BM407" s="5" t="n">
        <v>0.16</v>
      </c>
      <c r="BN407" s="5" t="n">
        <v>1</v>
      </c>
      <c r="BO407" s="5" t="n">
        <v>0</v>
      </c>
      <c r="BP407" s="5" t="n">
        <v>0</v>
      </c>
      <c r="BQ407" s="5" t="n">
        <v>0.2</v>
      </c>
      <c r="BR407" s="5" t="n">
        <v>0</v>
      </c>
      <c r="BS407" s="5" t="n">
        <v>0.333</v>
      </c>
      <c r="BT407" s="5" t="n">
        <v>0</v>
      </c>
      <c r="BU407" s="5" t="n">
        <v>0</v>
      </c>
      <c r="BV407" s="5" t="n">
        <v>0.25</v>
      </c>
      <c r="BW407" s="5" t="n">
        <v>0.16</v>
      </c>
      <c r="BX407" s="5" t="n">
        <v>0.5</v>
      </c>
      <c r="BY407" s="5" t="n">
        <v>12.729</v>
      </c>
      <c r="BZ407" s="5" t="n">
        <v>0</v>
      </c>
      <c r="CA407" s="5" t="n">
        <v>12.729</v>
      </c>
      <c r="CB407" s="5" t="n">
        <v>0</v>
      </c>
      <c r="CC407" s="5" t="n">
        <v>102.477</v>
      </c>
      <c r="CD407" s="5" t="n">
        <v>7.95</v>
      </c>
      <c r="CE407" s="5" t="n">
        <v>-27.42</v>
      </c>
      <c r="CF407" s="5" t="n">
        <v>87.066</v>
      </c>
      <c r="CG407" s="5" t="n">
        <v>0</v>
      </c>
      <c r="CH407" s="5" t="n">
        <v>1</v>
      </c>
      <c r="CI407" s="5" t="n">
        <v>0</v>
      </c>
      <c r="CJ407" s="5" t="n">
        <v>0</v>
      </c>
      <c r="CK407" s="5" t="n">
        <v>0</v>
      </c>
      <c r="CL407" s="5" t="n">
        <v>0</v>
      </c>
      <c r="CM407" s="5" t="n">
        <v>0</v>
      </c>
      <c r="CN407" s="5" t="n">
        <v>0</v>
      </c>
      <c r="CO407" s="5" t="n">
        <v>0</v>
      </c>
      <c r="CP407" s="5" t="n">
        <v>0</v>
      </c>
      <c r="CQ407" s="5" t="n">
        <v>1.294</v>
      </c>
      <c r="CR407" s="5" t="n">
        <v>0.038</v>
      </c>
      <c r="CS407" s="5" t="n">
        <v>5.43</v>
      </c>
      <c r="CT407" s="5" t="n">
        <v>10.485</v>
      </c>
      <c r="CU407" s="5" t="n">
        <v>30.326</v>
      </c>
    </row>
    <row r="408">
      <c r="A408" s="5" t="inlineStr">
        <is>
          <t>JOR2023</t>
        </is>
      </c>
      <c r="B408" s="5" t="inlineStr">
        <is>
          <t>JOR</t>
        </is>
      </c>
      <c r="C408" s="5" t="inlineStr">
        <is>
          <t>JOR</t>
        </is>
      </c>
      <c r="D408" s="5" t="inlineStr">
        <is>
          <t>Jordan</t>
        </is>
      </c>
      <c r="E408" s="5" t="n">
        <v>2023</v>
      </c>
      <c r="F408" s="5" t="n">
        <v>0.16</v>
      </c>
      <c r="G408" s="5" t="n">
        <v>6.147</v>
      </c>
      <c r="H408" s="5" t="n">
        <v>1.286</v>
      </c>
      <c r="I408" s="5" t="n">
        <v>0</v>
      </c>
      <c r="J408" s="5" t="n">
        <v>6.147</v>
      </c>
      <c r="K408" s="5" t="n">
        <v>0</v>
      </c>
      <c r="L408" s="5" t="n">
        <v>1</v>
      </c>
      <c r="M408" s="5" t="n">
        <v>7.886</v>
      </c>
      <c r="N408" s="5" t="n">
        <v>3.857</v>
      </c>
      <c r="O408" s="5" t="n">
        <v>0</v>
      </c>
      <c r="P408" s="5" t="n">
        <v>7.886</v>
      </c>
      <c r="Q408" s="5" t="n">
        <v>0</v>
      </c>
      <c r="R408" s="5" t="n">
        <v>1</v>
      </c>
      <c r="S408" s="5" t="n">
        <v>12.575</v>
      </c>
      <c r="T408" s="5" t="n">
        <v>7.714</v>
      </c>
      <c r="U408" s="5" t="n">
        <v>0.223</v>
      </c>
      <c r="V408" s="5" t="n">
        <v>14.587</v>
      </c>
      <c r="W408" s="5" t="n">
        <v>0.16</v>
      </c>
      <c r="X408" s="5" t="n">
        <v>1</v>
      </c>
      <c r="Y408" s="5" t="n">
        <v>9.709</v>
      </c>
      <c r="Z408" s="5" t="n">
        <v>1.56</v>
      </c>
      <c r="AA408" s="5" t="n">
        <v>-3.112</v>
      </c>
      <c r="AB408" s="5" t="n">
        <v>6.597</v>
      </c>
      <c r="AC408" s="5" t="n">
        <v>0</v>
      </c>
      <c r="AD408" s="5" t="n">
        <v>0</v>
      </c>
      <c r="AE408" s="5" t="n">
        <v>10.969</v>
      </c>
      <c r="AF408" s="5" t="n">
        <v>2.967</v>
      </c>
      <c r="AG408" s="5" t="n">
        <v>-4.372</v>
      </c>
      <c r="AH408" s="5" t="n">
        <v>6.597</v>
      </c>
      <c r="AI408" s="5" t="n">
        <v>0</v>
      </c>
      <c r="AJ408" s="5" t="n">
        <v>0</v>
      </c>
      <c r="AK408" s="5" t="n">
        <v>18.53</v>
      </c>
      <c r="AL408" s="5" t="n">
        <v>10.692</v>
      </c>
      <c r="AM408" s="5" t="n">
        <v>-14.984</v>
      </c>
      <c r="AN408" s="5" t="n">
        <v>4.114</v>
      </c>
      <c r="AO408" s="5" t="n">
        <v>0</v>
      </c>
      <c r="AP408" s="5" t="n">
        <v>0</v>
      </c>
      <c r="AQ408" s="5" t="n">
        <v>0.749</v>
      </c>
      <c r="AR408" s="5" t="n">
        <v>0.129</v>
      </c>
      <c r="AS408" s="5" t="n">
        <v>0.673</v>
      </c>
      <c r="AT408" s="5" t="n">
        <v>1.649</v>
      </c>
      <c r="AU408" s="5" t="n">
        <v>0.16</v>
      </c>
      <c r="AV408" s="5" t="n">
        <v>1</v>
      </c>
      <c r="AW408" s="5" t="n">
        <v>0.783</v>
      </c>
      <c r="AX408" s="5" t="n">
        <v>0.129</v>
      </c>
      <c r="AY408" s="5" t="n">
        <v>0.154</v>
      </c>
      <c r="AZ408" s="5" t="n">
        <v>1.086</v>
      </c>
      <c r="BA408" s="5" t="n">
        <v>0.16</v>
      </c>
      <c r="BB408" s="5" t="n">
        <v>1</v>
      </c>
      <c r="BC408" s="5" t="n">
        <v>0.527</v>
      </c>
      <c r="BD408" s="5" t="n">
        <v>0.129</v>
      </c>
      <c r="BE408" s="5" t="n">
        <v>-0.163</v>
      </c>
      <c r="BF408" s="5" t="n">
        <v>0.423</v>
      </c>
      <c r="BG408" s="5" t="n">
        <v>0</v>
      </c>
      <c r="BH408" s="5" t="n">
        <v>0</v>
      </c>
      <c r="BI408" s="5" t="n">
        <v>0.64</v>
      </c>
      <c r="BJ408" s="5" t="n">
        <v>0.129</v>
      </c>
      <c r="BK408" s="5" t="n">
        <v>0.113</v>
      </c>
      <c r="BL408" s="5" t="n">
        <v>0.873</v>
      </c>
      <c r="BM408" s="5" t="n">
        <v>0.16</v>
      </c>
      <c r="BN408" s="5" t="n">
        <v>1</v>
      </c>
      <c r="BO408" s="5" t="n">
        <v>0</v>
      </c>
      <c r="BP408" s="5" t="n">
        <v>0</v>
      </c>
      <c r="BQ408" s="5" t="n">
        <v>0.2</v>
      </c>
      <c r="BR408" s="5" t="n">
        <v>0</v>
      </c>
      <c r="BS408" s="5" t="n">
        <v>0.333</v>
      </c>
      <c r="BT408" s="5" t="n">
        <v>0</v>
      </c>
      <c r="BU408" s="5" t="n">
        <v>0</v>
      </c>
      <c r="BV408" s="5" t="n">
        <v>0.25</v>
      </c>
      <c r="BW408" s="5" t="n">
        <v>0.16</v>
      </c>
      <c r="BX408" s="5" t="n">
        <v>0.5</v>
      </c>
      <c r="BY408" s="5" t="n">
        <v>13.254</v>
      </c>
      <c r="BZ408" s="5" t="n">
        <v>0</v>
      </c>
      <c r="CA408" s="5" t="n">
        <v>13.254</v>
      </c>
      <c r="CB408" s="5" t="n">
        <v>0</v>
      </c>
      <c r="CC408" s="5" t="n">
        <v>87.07899999999999</v>
      </c>
      <c r="CD408" s="5" t="n">
        <v>7.95</v>
      </c>
      <c r="CE408" s="5" t="n">
        <v>-18.965</v>
      </c>
      <c r="CF408" s="5" t="n">
        <v>79.012</v>
      </c>
      <c r="CG408" s="5" t="n">
        <v>0</v>
      </c>
      <c r="CH408" s="5" t="n">
        <v>1</v>
      </c>
      <c r="CI408" s="5" t="n">
        <v>0</v>
      </c>
      <c r="CJ408" s="5" t="n">
        <v>0</v>
      </c>
      <c r="CK408" s="5" t="n">
        <v>0</v>
      </c>
      <c r="CL408" s="5" t="n">
        <v>0</v>
      </c>
      <c r="CM408" s="5" t="n">
        <v>0</v>
      </c>
      <c r="CN408" s="5" t="n">
        <v>0</v>
      </c>
      <c r="CO408" s="5" t="n">
        <v>0</v>
      </c>
      <c r="CP408" s="5" t="n">
        <v>0</v>
      </c>
      <c r="CQ408" s="5" t="n">
        <v>1.348</v>
      </c>
      <c r="CR408" s="5" t="n">
        <v>0.04</v>
      </c>
      <c r="CS408" s="5" t="n">
        <v>5.654</v>
      </c>
      <c r="CT408" s="5" t="n">
        <v>4.861</v>
      </c>
      <c r="CU408" s="5" t="n">
        <v>10.622</v>
      </c>
    </row>
    <row r="409">
      <c r="A409" s="5" t="inlineStr">
        <is>
          <t>JOR2024</t>
        </is>
      </c>
      <c r="B409" s="5" t="inlineStr">
        <is>
          <t>JOR</t>
        </is>
      </c>
      <c r="C409" s="5" t="inlineStr">
        <is>
          <t>JOR</t>
        </is>
      </c>
      <c r="D409" s="5" t="inlineStr">
        <is>
          <t>Jordan</t>
        </is>
      </c>
      <c r="E409" s="5" t="n">
        <v>2024</v>
      </c>
      <c r="F409" s="5" t="n">
        <v>0.16</v>
      </c>
      <c r="G409" s="5" t="n">
        <v>5.575</v>
      </c>
      <c r="H409" s="5" t="n">
        <v>1.324</v>
      </c>
      <c r="I409" s="5" t="n">
        <v>0</v>
      </c>
      <c r="J409" s="5" t="n">
        <v>5.575</v>
      </c>
      <c r="K409" s="5" t="n">
        <v>0</v>
      </c>
      <c r="L409" s="5" t="n">
        <v>1</v>
      </c>
      <c r="M409" s="5" t="n">
        <v>7.124</v>
      </c>
      <c r="N409" s="5" t="n">
        <v>3.971</v>
      </c>
      <c r="O409" s="5" t="n">
        <v>0</v>
      </c>
      <c r="P409" s="5" t="n">
        <v>7.124</v>
      </c>
      <c r="Q409" s="5" t="n">
        <v>0</v>
      </c>
      <c r="R409" s="5" t="n">
        <v>1</v>
      </c>
      <c r="S409" s="5" t="n">
        <v>12.193</v>
      </c>
      <c r="T409" s="5" t="n">
        <v>7.942</v>
      </c>
      <c r="U409" s="5" t="n">
        <v>0.266</v>
      </c>
      <c r="V409" s="5" t="n">
        <v>14.144</v>
      </c>
      <c r="W409" s="5" t="n">
        <v>0.16</v>
      </c>
      <c r="X409" s="5" t="n">
        <v>1</v>
      </c>
      <c r="Y409" s="5" t="n">
        <v>8.787000000000001</v>
      </c>
      <c r="Z409" s="5" t="n">
        <v>1.412</v>
      </c>
      <c r="AA409" s="5" t="n">
        <v>-2.038</v>
      </c>
      <c r="AB409" s="5" t="n">
        <v>6.749</v>
      </c>
      <c r="AC409" s="5" t="n">
        <v>0</v>
      </c>
      <c r="AD409" s="5" t="n">
        <v>0</v>
      </c>
      <c r="AE409" s="5" t="n">
        <v>10.084</v>
      </c>
      <c r="AF409" s="5" t="n">
        <v>2.727</v>
      </c>
      <c r="AG409" s="5" t="n">
        <v>-3.335</v>
      </c>
      <c r="AH409" s="5" t="n">
        <v>6.749</v>
      </c>
      <c r="AI409" s="5" t="n">
        <v>0</v>
      </c>
      <c r="AJ409" s="5" t="n">
        <v>0</v>
      </c>
      <c r="AK409" s="5" t="n">
        <v>17.868</v>
      </c>
      <c r="AL409" s="5" t="n">
        <v>10.31</v>
      </c>
      <c r="AM409" s="5" t="n">
        <v>-14.396</v>
      </c>
      <c r="AN409" s="5" t="n">
        <v>4.028</v>
      </c>
      <c r="AO409" s="5" t="n">
        <v>0</v>
      </c>
      <c r="AP409" s="5" t="n">
        <v>0</v>
      </c>
      <c r="AQ409" s="5" t="n">
        <v>0.72</v>
      </c>
      <c r="AR409" s="5" t="n">
        <v>0.132</v>
      </c>
      <c r="AS409" s="5" t="n">
        <v>0.667</v>
      </c>
      <c r="AT409" s="5" t="n">
        <v>1.608</v>
      </c>
      <c r="AU409" s="5" t="n">
        <v>0.16</v>
      </c>
      <c r="AV409" s="5" t="n">
        <v>1</v>
      </c>
      <c r="AW409" s="5" t="n">
        <v>0.734</v>
      </c>
      <c r="AX409" s="5" t="n">
        <v>0.132</v>
      </c>
      <c r="AY409" s="5" t="n">
        <v>0.122</v>
      </c>
      <c r="AZ409" s="5" t="n">
        <v>0.993</v>
      </c>
      <c r="BA409" s="5" t="n">
        <v>0.16</v>
      </c>
      <c r="BB409" s="5" t="n">
        <v>1</v>
      </c>
      <c r="BC409" s="5" t="n">
        <v>0.51</v>
      </c>
      <c r="BD409" s="5" t="n">
        <v>0.132</v>
      </c>
      <c r="BE409" s="5" t="n">
        <v>-0.146</v>
      </c>
      <c r="BF409" s="5" t="n">
        <v>0.423</v>
      </c>
      <c r="BG409" s="5" t="n">
        <v>0</v>
      </c>
      <c r="BH409" s="5" t="n">
        <v>0</v>
      </c>
      <c r="BI409" s="5" t="n">
        <v>0.652</v>
      </c>
      <c r="BJ409" s="5" t="n">
        <v>0.132</v>
      </c>
      <c r="BK409" s="5" t="n">
        <v>0.101</v>
      </c>
      <c r="BL409" s="5" t="n">
        <v>0.873</v>
      </c>
      <c r="BM409" s="5" t="n">
        <v>0.16</v>
      </c>
      <c r="BN409" s="5" t="n">
        <v>1</v>
      </c>
      <c r="BO409" s="5" t="n">
        <v>0</v>
      </c>
      <c r="BP409" s="5" t="n">
        <v>0</v>
      </c>
      <c r="BQ409" s="5" t="n">
        <v>0.197</v>
      </c>
      <c r="BR409" s="5" t="n">
        <v>0</v>
      </c>
      <c r="BS409" s="5" t="n">
        <v>0.333</v>
      </c>
      <c r="BT409" s="5" t="n">
        <v>0</v>
      </c>
      <c r="BU409" s="5" t="n">
        <v>0</v>
      </c>
      <c r="BV409" s="5" t="n">
        <v>0.223</v>
      </c>
      <c r="BW409" s="5" t="n">
        <v>0.16</v>
      </c>
      <c r="BX409" s="5" t="n">
        <v>0.5</v>
      </c>
      <c r="BY409" s="5" t="n">
        <v>13.646</v>
      </c>
      <c r="BZ409" s="5" t="n">
        <v>0</v>
      </c>
      <c r="CA409" s="5" t="n">
        <v>13.646</v>
      </c>
      <c r="CB409" s="5" t="n">
        <v>0</v>
      </c>
      <c r="CC409" s="5" t="n">
        <v>86.38500000000001</v>
      </c>
      <c r="CD409" s="5" t="n">
        <v>7.95</v>
      </c>
      <c r="CE409" s="5" t="n">
        <v>-16.132</v>
      </c>
      <c r="CF409" s="5" t="n">
        <v>81.494</v>
      </c>
      <c r="CG409" s="5" t="n">
        <v>0</v>
      </c>
      <c r="CH409" s="5" t="n">
        <v>1</v>
      </c>
      <c r="CI409" s="5" t="n">
        <v>0</v>
      </c>
      <c r="CJ409" s="5" t="n">
        <v>0</v>
      </c>
      <c r="CK409" s="5" t="n">
        <v>0</v>
      </c>
      <c r="CL409" s="5" t="n">
        <v>0</v>
      </c>
      <c r="CM409" s="5" t="n">
        <v>0</v>
      </c>
      <c r="CN409" s="5" t="n">
        <v>0</v>
      </c>
      <c r="CO409" s="5" t="n">
        <v>0</v>
      </c>
      <c r="CP409" s="5" t="n">
        <v>0</v>
      </c>
      <c r="CQ409" s="5" t="n">
        <v>1.387</v>
      </c>
      <c r="CR409" s="5" t="n">
        <v>0.04</v>
      </c>
      <c r="CS409" s="5" t="n">
        <v>5.821</v>
      </c>
      <c r="CT409" s="5" t="n">
        <v>4.251</v>
      </c>
      <c r="CU409" s="5" t="n">
        <v>9.167999999999999</v>
      </c>
    </row>
    <row r="410">
      <c r="A410" s="5" t="inlineStr">
        <is>
          <t>KAZ2021</t>
        </is>
      </c>
      <c r="B410" s="5" t="inlineStr">
        <is>
          <t>KAZ</t>
        </is>
      </c>
      <c r="C410" s="5" t="inlineStr">
        <is>
          <t>KAZ</t>
        </is>
      </c>
      <c r="D410" s="5" t="inlineStr">
        <is>
          <t>Kazakhstan</t>
        </is>
      </c>
      <c r="E410" s="5" t="n">
        <v>2021</v>
      </c>
      <c r="F410" s="5" t="n">
        <v>0.12</v>
      </c>
      <c r="G410" s="5" t="n">
        <v>3.092</v>
      </c>
      <c r="H410" s="5" t="n">
        <v>0.588</v>
      </c>
      <c r="I410" s="5" t="n">
        <v>1.063</v>
      </c>
      <c r="J410" s="5" t="n">
        <v>4.155</v>
      </c>
      <c r="K410" s="5" t="n">
        <v>0</v>
      </c>
      <c r="L410" s="5" t="n">
        <v>1</v>
      </c>
      <c r="M410" s="5" t="n">
        <v>3.058</v>
      </c>
      <c r="N410" s="5" t="n">
        <v>1.764</v>
      </c>
      <c r="O410" s="5" t="n">
        <v>0.067</v>
      </c>
      <c r="P410" s="5" t="n">
        <v>3.125</v>
      </c>
      <c r="Q410" s="5" t="n">
        <v>0</v>
      </c>
      <c r="R410" s="5" t="n">
        <v>1</v>
      </c>
      <c r="S410" s="5" t="n">
        <v>1.004</v>
      </c>
      <c r="T410" s="5" t="n">
        <v>0.622</v>
      </c>
      <c r="U410" s="5" t="n">
        <v>0.003</v>
      </c>
      <c r="V410" s="5" t="n">
        <v>1.128</v>
      </c>
      <c r="W410" s="5" t="n">
        <v>0.12</v>
      </c>
      <c r="X410" s="5" t="n">
        <v>1</v>
      </c>
      <c r="Y410" s="5" t="n">
        <v>7.283</v>
      </c>
      <c r="Z410" s="5" t="n">
        <v>1.041</v>
      </c>
      <c r="AA410" s="5" t="n">
        <v>-6.017</v>
      </c>
      <c r="AB410" s="5" t="n">
        <v>1.266</v>
      </c>
      <c r="AC410" s="5" t="n">
        <v>0</v>
      </c>
      <c r="AD410" s="5" t="n">
        <v>0</v>
      </c>
      <c r="AE410" s="5" t="n">
        <v>7.922</v>
      </c>
      <c r="AF410" s="5" t="n">
        <v>1.932</v>
      </c>
      <c r="AG410" s="5" t="n">
        <v>-6.656</v>
      </c>
      <c r="AH410" s="5" t="n">
        <v>1.266</v>
      </c>
      <c r="AI410" s="5" t="n">
        <v>0</v>
      </c>
      <c r="AJ410" s="5" t="n">
        <v>0</v>
      </c>
      <c r="AK410" s="5" t="n">
        <v>11.757</v>
      </c>
      <c r="AL410" s="5" t="n">
        <v>6.311</v>
      </c>
      <c r="AM410" s="5" t="n">
        <v>-10.356</v>
      </c>
      <c r="AN410" s="5" t="n">
        <v>1.569</v>
      </c>
      <c r="AO410" s="5" t="n">
        <v>0</v>
      </c>
      <c r="AP410" s="5" t="n">
        <v>0</v>
      </c>
      <c r="AQ410" s="5" t="n">
        <v>0.619</v>
      </c>
      <c r="AR410" s="5" t="n">
        <v>0.114</v>
      </c>
      <c r="AS410" s="5" t="n">
        <v>-0.241</v>
      </c>
      <c r="AT410" s="5" t="n">
        <v>0.423</v>
      </c>
      <c r="AU410" s="5" t="n">
        <v>0</v>
      </c>
      <c r="AV410" s="5" t="n">
        <v>0</v>
      </c>
      <c r="AW410" s="5" t="n">
        <v>0.599</v>
      </c>
      <c r="AX410" s="5" t="n">
        <v>0.114</v>
      </c>
      <c r="AY410" s="5" t="n">
        <v>-0.14</v>
      </c>
      <c r="AZ410" s="5" t="n">
        <v>0.515</v>
      </c>
      <c r="BA410" s="5" t="n">
        <v>0</v>
      </c>
      <c r="BB410" s="5" t="n">
        <v>1</v>
      </c>
      <c r="BC410" s="5" t="n">
        <v>0.439</v>
      </c>
      <c r="BD410" s="5" t="n">
        <v>0.114</v>
      </c>
      <c r="BE410" s="5" t="n">
        <v>-0.349</v>
      </c>
      <c r="BF410" s="5" t="n">
        <v>0.09</v>
      </c>
      <c r="BG410" s="5" t="n">
        <v>0</v>
      </c>
      <c r="BH410" s="5" t="n">
        <v>0</v>
      </c>
      <c r="BI410" s="5" t="n">
        <v>0.505</v>
      </c>
      <c r="BJ410" s="5" t="n">
        <v>0.114</v>
      </c>
      <c r="BK410" s="5" t="n">
        <v>0.004</v>
      </c>
      <c r="BL410" s="5" t="n">
        <v>0.57</v>
      </c>
      <c r="BM410" s="5" t="n">
        <v>0.12</v>
      </c>
      <c r="BN410" s="5" t="n">
        <v>1</v>
      </c>
      <c r="BO410" s="5" t="n">
        <v>0</v>
      </c>
      <c r="BP410" s="5" t="n">
        <v>-0.039</v>
      </c>
      <c r="BQ410" s="5" t="n">
        <v>0.059</v>
      </c>
      <c r="BR410" s="5" t="n">
        <v>0</v>
      </c>
      <c r="BS410" s="5" t="n">
        <v>0.833</v>
      </c>
      <c r="BT410" s="5" t="n">
        <v>0</v>
      </c>
      <c r="BU410" s="5" t="n">
        <v>-0.039</v>
      </c>
      <c r="BV410" s="5" t="n">
        <v>0.037</v>
      </c>
      <c r="BW410" s="5" t="n">
        <v>0</v>
      </c>
      <c r="BX410" s="5" t="n">
        <v>0.667</v>
      </c>
      <c r="BY410" s="5" t="n">
        <v>11.787</v>
      </c>
      <c r="BZ410" s="5" t="n">
        <v>0</v>
      </c>
      <c r="CA410" s="5" t="n">
        <v>11.787</v>
      </c>
      <c r="CB410" s="5" t="n">
        <v>0</v>
      </c>
      <c r="CC410" s="5" t="n">
        <v>78.125</v>
      </c>
      <c r="CD410" s="5" t="n">
        <v>7.95</v>
      </c>
      <c r="CE410" s="5" t="n">
        <v>-2.386</v>
      </c>
      <c r="CF410" s="5" t="n">
        <v>84.828</v>
      </c>
      <c r="CG410" s="5" t="n">
        <v>0.12</v>
      </c>
      <c r="CH410" s="5" t="n">
        <v>1</v>
      </c>
      <c r="CI410" s="5" t="n">
        <v>0</v>
      </c>
      <c r="CJ410" s="5" t="n">
        <v>0</v>
      </c>
      <c r="CK410" s="5" t="n">
        <v>0</v>
      </c>
      <c r="CL410" s="5" t="n">
        <v>0</v>
      </c>
      <c r="CM410" s="5" t="n">
        <v>0</v>
      </c>
      <c r="CN410" s="5" t="n">
        <v>0</v>
      </c>
      <c r="CO410" s="5" t="n">
        <v>0</v>
      </c>
      <c r="CP410" s="5" t="n">
        <v>0.971</v>
      </c>
      <c r="CQ410" s="5" t="n">
        <v>1.198</v>
      </c>
      <c r="CR410" s="5" t="n">
        <v>0.882</v>
      </c>
      <c r="CS410" s="5" t="n">
        <v>6.634</v>
      </c>
      <c r="CT410" s="5" t="n">
        <v>4.41</v>
      </c>
      <c r="CU410" s="5" t="n">
        <v>14.129</v>
      </c>
    </row>
    <row r="411">
      <c r="A411" s="5" t="inlineStr">
        <is>
          <t>KAZ2022</t>
        </is>
      </c>
      <c r="B411" s="5" t="inlineStr">
        <is>
          <t>KAZ</t>
        </is>
      </c>
      <c r="C411" s="5" t="inlineStr">
        <is>
          <t>KAZ</t>
        </is>
      </c>
      <c r="D411" s="5" t="inlineStr">
        <is>
          <t>Kazakhstan</t>
        </is>
      </c>
      <c r="E411" s="5" t="n">
        <v>2022</v>
      </c>
      <c r="F411" s="5" t="n">
        <v>0.12</v>
      </c>
      <c r="G411" s="5" t="n">
        <v>3.29</v>
      </c>
      <c r="H411" s="5" t="n">
        <v>0.625</v>
      </c>
      <c r="I411" s="5" t="n">
        <v>1.186</v>
      </c>
      <c r="J411" s="5" t="n">
        <v>4.476</v>
      </c>
      <c r="K411" s="5" t="n">
        <v>0</v>
      </c>
      <c r="L411" s="5" t="n">
        <v>1</v>
      </c>
      <c r="M411" s="5" t="n">
        <v>3.233</v>
      </c>
      <c r="N411" s="5" t="n">
        <v>1.876</v>
      </c>
      <c r="O411" s="5" t="n">
        <v>0.107</v>
      </c>
      <c r="P411" s="5" t="n">
        <v>3.34</v>
      </c>
      <c r="Q411" s="5" t="n">
        <v>0</v>
      </c>
      <c r="R411" s="5" t="n">
        <v>1</v>
      </c>
      <c r="S411" s="5" t="n">
        <v>1.007</v>
      </c>
      <c r="T411" s="5" t="n">
        <v>0.493</v>
      </c>
      <c r="U411" s="5" t="n">
        <v>0.004</v>
      </c>
      <c r="V411" s="5" t="n">
        <v>1.133</v>
      </c>
      <c r="W411" s="5" t="n">
        <v>0.12</v>
      </c>
      <c r="X411" s="5" t="n">
        <v>1</v>
      </c>
      <c r="Y411" s="5" t="n">
        <v>7.793</v>
      </c>
      <c r="Z411" s="5" t="n">
        <v>1.114</v>
      </c>
      <c r="AA411" s="5" t="n">
        <v>-6.568</v>
      </c>
      <c r="AB411" s="5" t="n">
        <v>1.226</v>
      </c>
      <c r="AC411" s="5" t="n">
        <v>0</v>
      </c>
      <c r="AD411" s="5" t="n">
        <v>0</v>
      </c>
      <c r="AE411" s="5" t="n">
        <v>8.445</v>
      </c>
      <c r="AF411" s="5" t="n">
        <v>2.06</v>
      </c>
      <c r="AG411" s="5" t="n">
        <v>-7.22</v>
      </c>
      <c r="AH411" s="5" t="n">
        <v>1.226</v>
      </c>
      <c r="AI411" s="5" t="n">
        <v>0</v>
      </c>
      <c r="AJ411" s="5" t="n">
        <v>0</v>
      </c>
      <c r="AK411" s="5" t="n">
        <v>12.359</v>
      </c>
      <c r="AL411" s="5" t="n">
        <v>6.633</v>
      </c>
      <c r="AM411" s="5" t="n">
        <v>-11.021</v>
      </c>
      <c r="AN411" s="5" t="n">
        <v>1.498</v>
      </c>
      <c r="AO411" s="5" t="n">
        <v>0</v>
      </c>
      <c r="AP411" s="5" t="n">
        <v>0</v>
      </c>
      <c r="AQ411" s="5" t="n">
        <v>0.861</v>
      </c>
      <c r="AR411" s="5" t="n">
        <v>0.123</v>
      </c>
      <c r="AS411" s="5" t="n">
        <v>-0.492</v>
      </c>
      <c r="AT411" s="5" t="n">
        <v>0.413</v>
      </c>
      <c r="AU411" s="5" t="n">
        <v>0</v>
      </c>
      <c r="AV411" s="5" t="n">
        <v>0</v>
      </c>
      <c r="AW411" s="5" t="n">
        <v>0.986</v>
      </c>
      <c r="AX411" s="5" t="n">
        <v>0.123</v>
      </c>
      <c r="AY411" s="5" t="n">
        <v>-0.46</v>
      </c>
      <c r="AZ411" s="5" t="n">
        <v>0.589</v>
      </c>
      <c r="BA411" s="5" t="n">
        <v>0</v>
      </c>
      <c r="BB411" s="5" t="n">
        <v>1</v>
      </c>
      <c r="BC411" s="5" t="n">
        <v>0.598</v>
      </c>
      <c r="BD411" s="5" t="n">
        <v>0.123</v>
      </c>
      <c r="BE411" s="5" t="n">
        <v>-0.466</v>
      </c>
      <c r="BF411" s="5" t="n">
        <v>0.147</v>
      </c>
      <c r="BG411" s="5" t="n">
        <v>0</v>
      </c>
      <c r="BH411" s="5" t="n">
        <v>0</v>
      </c>
      <c r="BI411" s="5" t="n">
        <v>0.612</v>
      </c>
      <c r="BJ411" s="5" t="n">
        <v>0.123</v>
      </c>
      <c r="BK411" s="5" t="n">
        <v>0.016</v>
      </c>
      <c r="BL411" s="5" t="n">
        <v>0.697</v>
      </c>
      <c r="BM411" s="5" t="n">
        <v>0.12</v>
      </c>
      <c r="BN411" s="5" t="n">
        <v>1</v>
      </c>
      <c r="BO411" s="5" t="n">
        <v>0</v>
      </c>
      <c r="BP411" s="5" t="n">
        <v>-0.039</v>
      </c>
      <c r="BQ411" s="5" t="n">
        <v>0.055</v>
      </c>
      <c r="BR411" s="5" t="n">
        <v>0</v>
      </c>
      <c r="BS411" s="5" t="n">
        <v>0.833</v>
      </c>
      <c r="BT411" s="5" t="n">
        <v>0</v>
      </c>
      <c r="BU411" s="5" t="n">
        <v>-0.039</v>
      </c>
      <c r="BV411" s="5" t="n">
        <v>0.034</v>
      </c>
      <c r="BW411" s="5" t="n">
        <v>0</v>
      </c>
      <c r="BX411" s="5" t="n">
        <v>0.667</v>
      </c>
      <c r="BY411" s="5" t="n">
        <v>12.729</v>
      </c>
      <c r="BZ411" s="5" t="n">
        <v>0</v>
      </c>
      <c r="CA411" s="5" t="n">
        <v>12.729</v>
      </c>
      <c r="CB411" s="5" t="n">
        <v>0</v>
      </c>
      <c r="CC411" s="5" t="n">
        <v>97.90000000000001</v>
      </c>
      <c r="CD411" s="5" t="n">
        <v>7.95</v>
      </c>
      <c r="CE411" s="5" t="n">
        <v>-4.784</v>
      </c>
      <c r="CF411" s="5" t="n">
        <v>103.372</v>
      </c>
      <c r="CG411" s="5" t="n">
        <v>0.12</v>
      </c>
      <c r="CH411" s="5" t="n">
        <v>1</v>
      </c>
      <c r="CI411" s="5" t="n">
        <v>0</v>
      </c>
      <c r="CJ411" s="5" t="n">
        <v>0</v>
      </c>
      <c r="CK411" s="5" t="n">
        <v>0</v>
      </c>
      <c r="CL411" s="5" t="n">
        <v>0</v>
      </c>
      <c r="CM411" s="5" t="n">
        <v>0</v>
      </c>
      <c r="CN411" s="5" t="n">
        <v>0</v>
      </c>
      <c r="CO411" s="5" t="n">
        <v>0</v>
      </c>
      <c r="CP411" s="5" t="n">
        <v>0.987</v>
      </c>
      <c r="CQ411" s="5" t="n">
        <v>1.294</v>
      </c>
      <c r="CR411" s="5" t="n">
        <v>0.944</v>
      </c>
      <c r="CS411" s="5" t="n">
        <v>7.164</v>
      </c>
      <c r="CT411" s="5" t="n">
        <v>5.842</v>
      </c>
      <c r="CU411" s="5" t="n">
        <v>28.059</v>
      </c>
    </row>
    <row r="412">
      <c r="A412" s="5" t="inlineStr">
        <is>
          <t>KAZ2023</t>
        </is>
      </c>
      <c r="B412" s="5" t="inlineStr">
        <is>
          <t>KAZ</t>
        </is>
      </c>
      <c r="C412" s="5" t="inlineStr">
        <is>
          <t>KAZ</t>
        </is>
      </c>
      <c r="D412" s="5" t="inlineStr">
        <is>
          <t>Kazakhstan</t>
        </is>
      </c>
      <c r="E412" s="5" t="n">
        <v>2023</v>
      </c>
      <c r="F412" s="5" t="n">
        <v>0.12</v>
      </c>
      <c r="G412" s="5" t="n">
        <v>3.393</v>
      </c>
      <c r="H412" s="5" t="n">
        <v>0.652</v>
      </c>
      <c r="I412" s="5" t="n">
        <v>1.236</v>
      </c>
      <c r="J412" s="5" t="n">
        <v>4.63</v>
      </c>
      <c r="K412" s="5" t="n">
        <v>0</v>
      </c>
      <c r="L412" s="5" t="n">
        <v>1</v>
      </c>
      <c r="M412" s="5" t="n">
        <v>3.34</v>
      </c>
      <c r="N412" s="5" t="n">
        <v>1.955</v>
      </c>
      <c r="O412" s="5" t="n">
        <v>0.113</v>
      </c>
      <c r="P412" s="5" t="n">
        <v>3.453</v>
      </c>
      <c r="Q412" s="5" t="n">
        <v>0</v>
      </c>
      <c r="R412" s="5" t="n">
        <v>1</v>
      </c>
      <c r="S412" s="5" t="n">
        <v>1.098</v>
      </c>
      <c r="T412" s="5" t="n">
        <v>0.6889999999999999</v>
      </c>
      <c r="U412" s="5" t="n">
        <v>0.002</v>
      </c>
      <c r="V412" s="5" t="n">
        <v>1.233</v>
      </c>
      <c r="W412" s="5" t="n">
        <v>0.12</v>
      </c>
      <c r="X412" s="5" t="n">
        <v>1</v>
      </c>
      <c r="Y412" s="5" t="n">
        <v>8.026</v>
      </c>
      <c r="Z412" s="5" t="n">
        <v>1.147</v>
      </c>
      <c r="AA412" s="5" t="n">
        <v>-6.673</v>
      </c>
      <c r="AB412" s="5" t="n">
        <v>1.352</v>
      </c>
      <c r="AC412" s="5" t="n">
        <v>0</v>
      </c>
      <c r="AD412" s="5" t="n">
        <v>0</v>
      </c>
      <c r="AE412" s="5" t="n">
        <v>8.680999999999999</v>
      </c>
      <c r="AF412" s="5" t="n">
        <v>2.117</v>
      </c>
      <c r="AG412" s="5" t="n">
        <v>-7.329</v>
      </c>
      <c r="AH412" s="5" t="n">
        <v>1.352</v>
      </c>
      <c r="AI412" s="5" t="n">
        <v>0</v>
      </c>
      <c r="AJ412" s="5" t="n">
        <v>0</v>
      </c>
      <c r="AK412" s="5" t="n">
        <v>12.613</v>
      </c>
      <c r="AL412" s="5" t="n">
        <v>6.77</v>
      </c>
      <c r="AM412" s="5" t="n">
        <v>-11.139</v>
      </c>
      <c r="AN412" s="5" t="n">
        <v>1.652</v>
      </c>
      <c r="AO412" s="5" t="n">
        <v>0</v>
      </c>
      <c r="AP412" s="5" t="n">
        <v>0</v>
      </c>
      <c r="AQ412" s="5" t="n">
        <v>0.76</v>
      </c>
      <c r="AR412" s="5" t="n">
        <v>0.129</v>
      </c>
      <c r="AS412" s="5" t="n">
        <v>-0.341</v>
      </c>
      <c r="AT412" s="5" t="n">
        <v>0.47</v>
      </c>
      <c r="AU412" s="5" t="n">
        <v>0</v>
      </c>
      <c r="AV412" s="5" t="n">
        <v>0</v>
      </c>
      <c r="AW412" s="5" t="n">
        <v>0.8110000000000001</v>
      </c>
      <c r="AX412" s="5" t="n">
        <v>0.129</v>
      </c>
      <c r="AY412" s="5" t="n">
        <v>-0.165</v>
      </c>
      <c r="AZ412" s="5" t="n">
        <v>0.724</v>
      </c>
      <c r="BA412" s="5" t="n">
        <v>0</v>
      </c>
      <c r="BB412" s="5" t="n">
        <v>1</v>
      </c>
      <c r="BC412" s="5" t="n">
        <v>0.535</v>
      </c>
      <c r="BD412" s="5" t="n">
        <v>0.129</v>
      </c>
      <c r="BE412" s="5" t="n">
        <v>-0.391</v>
      </c>
      <c r="BF412" s="5" t="n">
        <v>0.161</v>
      </c>
      <c r="BG412" s="5" t="n">
        <v>0</v>
      </c>
      <c r="BH412" s="5" t="n">
        <v>0</v>
      </c>
      <c r="BI412" s="5" t="n">
        <v>0.579</v>
      </c>
      <c r="BJ412" s="5" t="n">
        <v>0.129</v>
      </c>
      <c r="BK412" s="5" t="n">
        <v>0.017</v>
      </c>
      <c r="BL412" s="5" t="n">
        <v>0.66</v>
      </c>
      <c r="BM412" s="5" t="n">
        <v>0.12</v>
      </c>
      <c r="BN412" s="5" t="n">
        <v>1</v>
      </c>
      <c r="BO412" s="5" t="n">
        <v>0</v>
      </c>
      <c r="BP412" s="5" t="n">
        <v>-0.039</v>
      </c>
      <c r="BQ412" s="5" t="n">
        <v>0.08400000000000001</v>
      </c>
      <c r="BR412" s="5" t="n">
        <v>0</v>
      </c>
      <c r="BS412" s="5" t="n">
        <v>0.833</v>
      </c>
      <c r="BT412" s="5" t="n">
        <v>0</v>
      </c>
      <c r="BU412" s="5" t="n">
        <v>-0.039</v>
      </c>
      <c r="BV412" s="5" t="n">
        <v>0.056</v>
      </c>
      <c r="BW412" s="5" t="n">
        <v>0</v>
      </c>
      <c r="BX412" s="5" t="n">
        <v>0.667</v>
      </c>
      <c r="BY412" s="5" t="n">
        <v>13.254</v>
      </c>
      <c r="BZ412" s="5" t="n">
        <v>0</v>
      </c>
      <c r="CA412" s="5" t="n">
        <v>13.254</v>
      </c>
      <c r="CB412" s="5" t="n">
        <v>0</v>
      </c>
      <c r="CC412" s="5" t="n">
        <v>83.248</v>
      </c>
      <c r="CD412" s="5" t="n">
        <v>7.95</v>
      </c>
      <c r="CE412" s="5" t="n">
        <v>-9.756</v>
      </c>
      <c r="CF412" s="5" t="n">
        <v>81.232</v>
      </c>
      <c r="CG412" s="5" t="n">
        <v>0.12</v>
      </c>
      <c r="CH412" s="5" t="n">
        <v>1</v>
      </c>
      <c r="CI412" s="5" t="n">
        <v>0</v>
      </c>
      <c r="CJ412" s="5" t="n">
        <v>0</v>
      </c>
      <c r="CK412" s="5" t="n">
        <v>0</v>
      </c>
      <c r="CL412" s="5" t="n">
        <v>0</v>
      </c>
      <c r="CM412" s="5" t="n">
        <v>0</v>
      </c>
      <c r="CN412" s="5" t="n">
        <v>0</v>
      </c>
      <c r="CO412" s="5" t="n">
        <v>0</v>
      </c>
      <c r="CP412" s="5" t="n">
        <v>0.986</v>
      </c>
      <c r="CQ412" s="5" t="n">
        <v>1.348</v>
      </c>
      <c r="CR412" s="5" t="n">
        <v>0.98</v>
      </c>
      <c r="CS412" s="5" t="n">
        <v>7.46</v>
      </c>
      <c r="CT412" s="5" t="n">
        <v>3.466</v>
      </c>
      <c r="CU412" s="5" t="n">
        <v>9.260999999999999</v>
      </c>
    </row>
    <row r="413">
      <c r="A413" s="5" t="inlineStr">
        <is>
          <t>KAZ2024</t>
        </is>
      </c>
      <c r="B413" s="5" t="inlineStr">
        <is>
          <t>KAZ</t>
        </is>
      </c>
      <c r="C413" s="5" t="inlineStr">
        <is>
          <t>KAZ</t>
        </is>
      </c>
      <c r="D413" s="5" t="inlineStr">
        <is>
          <t>Kazakhstan</t>
        </is>
      </c>
      <c r="E413" s="5" t="n">
        <v>2024</v>
      </c>
      <c r="F413" s="5" t="n">
        <v>0.12</v>
      </c>
      <c r="G413" s="5" t="n">
        <v>3.486</v>
      </c>
      <c r="H413" s="5" t="n">
        <v>0.671</v>
      </c>
      <c r="I413" s="5" t="n">
        <v>1.267</v>
      </c>
      <c r="J413" s="5" t="n">
        <v>4.753</v>
      </c>
      <c r="K413" s="5" t="n">
        <v>0</v>
      </c>
      <c r="L413" s="5" t="n">
        <v>1</v>
      </c>
      <c r="M413" s="5" t="n">
        <v>3.425</v>
      </c>
      <c r="N413" s="5" t="n">
        <v>2.013</v>
      </c>
      <c r="O413" s="5" t="n">
        <v>0.11</v>
      </c>
      <c r="P413" s="5" t="n">
        <v>3.535</v>
      </c>
      <c r="Q413" s="5" t="n">
        <v>0</v>
      </c>
      <c r="R413" s="5" t="n">
        <v>1</v>
      </c>
      <c r="S413" s="5" t="n">
        <v>1.167</v>
      </c>
      <c r="T413" s="5" t="n">
        <v>0.773</v>
      </c>
      <c r="U413" s="5" t="n">
        <v>0.002</v>
      </c>
      <c r="V413" s="5" t="n">
        <v>1.309</v>
      </c>
      <c r="W413" s="5" t="n">
        <v>0.12</v>
      </c>
      <c r="X413" s="5" t="n">
        <v>1</v>
      </c>
      <c r="Y413" s="5" t="n">
        <v>8.180999999999999</v>
      </c>
      <c r="Z413" s="5" t="n">
        <v>1.169</v>
      </c>
      <c r="AA413" s="5" t="n">
        <v>-6.675</v>
      </c>
      <c r="AB413" s="5" t="n">
        <v>1.506</v>
      </c>
      <c r="AC413" s="5" t="n">
        <v>0</v>
      </c>
      <c r="AD413" s="5" t="n">
        <v>0</v>
      </c>
      <c r="AE413" s="5" t="n">
        <v>8.856</v>
      </c>
      <c r="AF413" s="5" t="n">
        <v>2.16</v>
      </c>
      <c r="AG413" s="5" t="n">
        <v>-7.349</v>
      </c>
      <c r="AH413" s="5" t="n">
        <v>1.506</v>
      </c>
      <c r="AI413" s="5" t="n">
        <v>0</v>
      </c>
      <c r="AJ413" s="5" t="n">
        <v>0</v>
      </c>
      <c r="AK413" s="5" t="n">
        <v>12.904</v>
      </c>
      <c r="AL413" s="5" t="n">
        <v>6.926</v>
      </c>
      <c r="AM413" s="5" t="n">
        <v>-11.357</v>
      </c>
      <c r="AN413" s="5" t="n">
        <v>1.733</v>
      </c>
      <c r="AO413" s="5" t="n">
        <v>0</v>
      </c>
      <c r="AP413" s="5" t="n">
        <v>0</v>
      </c>
      <c r="AQ413" s="5" t="n">
        <v>0.724</v>
      </c>
      <c r="AR413" s="5" t="n">
        <v>0.132</v>
      </c>
      <c r="AS413" s="5" t="n">
        <v>-0.287</v>
      </c>
      <c r="AT413" s="5" t="n">
        <v>0.49</v>
      </c>
      <c r="AU413" s="5" t="n">
        <v>0</v>
      </c>
      <c r="AV413" s="5" t="n">
        <v>0</v>
      </c>
      <c r="AW413" s="5" t="n">
        <v>0.75</v>
      </c>
      <c r="AX413" s="5" t="n">
        <v>0.132</v>
      </c>
      <c r="AY413" s="5" t="n">
        <v>-0.121</v>
      </c>
      <c r="AZ413" s="5" t="n">
        <v>0.705</v>
      </c>
      <c r="BA413" s="5" t="n">
        <v>0</v>
      </c>
      <c r="BB413" s="5" t="n">
        <v>1</v>
      </c>
      <c r="BC413" s="5" t="n">
        <v>0.513</v>
      </c>
      <c r="BD413" s="5" t="n">
        <v>0.132</v>
      </c>
      <c r="BE413" s="5" t="n">
        <v>-0.356</v>
      </c>
      <c r="BF413" s="5" t="n">
        <v>0.176</v>
      </c>
      <c r="BG413" s="5" t="n">
        <v>0</v>
      </c>
      <c r="BH413" s="5" t="n">
        <v>0</v>
      </c>
      <c r="BI413" s="5" t="n">
        <v>0.591</v>
      </c>
      <c r="BJ413" s="5" t="n">
        <v>0.132</v>
      </c>
      <c r="BK413" s="5" t="n">
        <v>0.02</v>
      </c>
      <c r="BL413" s="5" t="n">
        <v>0.673</v>
      </c>
      <c r="BM413" s="5" t="n">
        <v>0.12</v>
      </c>
      <c r="BN413" s="5" t="n">
        <v>1</v>
      </c>
      <c r="BO413" s="5" t="n">
        <v>0</v>
      </c>
      <c r="BP413" s="5" t="n">
        <v>-0.041</v>
      </c>
      <c r="BQ413" s="5" t="n">
        <v>0.078</v>
      </c>
      <c r="BR413" s="5" t="n">
        <v>0</v>
      </c>
      <c r="BS413" s="5" t="n">
        <v>0.833</v>
      </c>
      <c r="BT413" s="5" t="n">
        <v>0</v>
      </c>
      <c r="BU413" s="5" t="n">
        <v>-0.041</v>
      </c>
      <c r="BV413" s="5" t="n">
        <v>0.058</v>
      </c>
      <c r="BW413" s="5" t="n">
        <v>0</v>
      </c>
      <c r="BX413" s="5" t="n">
        <v>0.667</v>
      </c>
      <c r="BY413" s="5" t="n">
        <v>13.646</v>
      </c>
      <c r="BZ413" s="5" t="n">
        <v>0</v>
      </c>
      <c r="CA413" s="5" t="n">
        <v>13.646</v>
      </c>
      <c r="CB413" s="5" t="n">
        <v>0</v>
      </c>
      <c r="CC413" s="5" t="n">
        <v>82.58799999999999</v>
      </c>
      <c r="CD413" s="5" t="n">
        <v>7.95</v>
      </c>
      <c r="CE413" s="5" t="n">
        <v>-9.571999999999999</v>
      </c>
      <c r="CF413" s="5" t="n">
        <v>80.46299999999999</v>
      </c>
      <c r="CG413" s="5" t="n">
        <v>0.12</v>
      </c>
      <c r="CH413" s="5" t="n">
        <v>1</v>
      </c>
      <c r="CI413" s="5" t="n">
        <v>0</v>
      </c>
      <c r="CJ413" s="5" t="n">
        <v>0</v>
      </c>
      <c r="CK413" s="5" t="n">
        <v>0</v>
      </c>
      <c r="CL413" s="5" t="n">
        <v>0</v>
      </c>
      <c r="CM413" s="5" t="n">
        <v>0</v>
      </c>
      <c r="CN413" s="5" t="n">
        <v>0</v>
      </c>
      <c r="CO413" s="5" t="n">
        <v>0</v>
      </c>
      <c r="CP413" s="5" t="n">
        <v>0.986</v>
      </c>
      <c r="CQ413" s="5" t="n">
        <v>1.387</v>
      </c>
      <c r="CR413" s="5" t="n">
        <v>0.98</v>
      </c>
      <c r="CS413" s="5" t="n">
        <v>7.598</v>
      </c>
      <c r="CT413" s="5" t="n">
        <v>3.027</v>
      </c>
      <c r="CU413" s="5" t="n">
        <v>7.598</v>
      </c>
    </row>
    <row r="414">
      <c r="A414" s="5" t="inlineStr">
        <is>
          <t>KEN2021</t>
        </is>
      </c>
      <c r="B414" s="5" t="inlineStr">
        <is>
          <t>KEN</t>
        </is>
      </c>
      <c r="C414" s="5" t="inlineStr">
        <is>
          <t>KEN</t>
        </is>
      </c>
      <c r="D414" s="5" t="inlineStr">
        <is>
          <t>Kenya</t>
        </is>
      </c>
      <c r="E414" s="5" t="n">
        <v>2021</v>
      </c>
      <c r="F414" s="5" t="n">
        <v>0.16</v>
      </c>
      <c r="G414" s="5" t="n">
        <v>5.897</v>
      </c>
      <c r="H414" s="5" t="n">
        <v>1.143</v>
      </c>
      <c r="I414" s="5" t="n">
        <v>0</v>
      </c>
      <c r="J414" s="5" t="n">
        <v>5.897</v>
      </c>
      <c r="K414" s="5" t="n">
        <v>0</v>
      </c>
      <c r="L414" s="5" t="n">
        <v>1</v>
      </c>
      <c r="M414" s="5" t="n">
        <v>7.964</v>
      </c>
      <c r="N414" s="5" t="n">
        <v>3.43</v>
      </c>
      <c r="O414" s="5" t="n">
        <v>0</v>
      </c>
      <c r="P414" s="5" t="n">
        <v>7.964</v>
      </c>
      <c r="Q414" s="5" t="n">
        <v>0</v>
      </c>
      <c r="R414" s="5" t="n">
        <v>1</v>
      </c>
      <c r="S414" s="5" t="n">
        <v>11.613</v>
      </c>
      <c r="T414" s="5" t="n">
        <v>6.86</v>
      </c>
      <c r="U414" s="5" t="n">
        <v>0</v>
      </c>
      <c r="V414" s="5" t="n">
        <v>12.542</v>
      </c>
      <c r="W414" s="5" t="n">
        <v>0.08</v>
      </c>
      <c r="X414" s="5" t="n">
        <v>1</v>
      </c>
      <c r="Y414" s="5" t="n">
        <v>4.783</v>
      </c>
      <c r="Z414" s="5" t="n">
        <v>0.646</v>
      </c>
      <c r="AA414" s="5" t="n">
        <v>0</v>
      </c>
      <c r="AB414" s="5" t="n">
        <v>4.783</v>
      </c>
      <c r="AC414" s="5" t="n">
        <v>0</v>
      </c>
      <c r="AD414" s="5" t="n">
        <v>1</v>
      </c>
      <c r="AE414" s="5" t="n">
        <v>5.926</v>
      </c>
      <c r="AF414" s="5" t="n">
        <v>1.386</v>
      </c>
      <c r="AG414" s="5" t="n">
        <v>0</v>
      </c>
      <c r="AH414" s="5" t="n">
        <v>5.926</v>
      </c>
      <c r="AI414" s="5" t="n">
        <v>0</v>
      </c>
      <c r="AJ414" s="5" t="n">
        <v>1</v>
      </c>
      <c r="AK414" s="5" t="n">
        <v>12.786</v>
      </c>
      <c r="AL414" s="5" t="n">
        <v>6.81</v>
      </c>
      <c r="AM414" s="5" t="n">
        <v>0</v>
      </c>
      <c r="AN414" s="5" t="n">
        <v>13.809</v>
      </c>
      <c r="AO414" s="5" t="n">
        <v>0.08</v>
      </c>
      <c r="AP414" s="5" t="n">
        <v>1</v>
      </c>
      <c r="AQ414" s="5" t="n">
        <v>0.508</v>
      </c>
      <c r="AR414" s="5" t="n">
        <v>0.093</v>
      </c>
      <c r="AS414" s="5" t="n">
        <v>0.554</v>
      </c>
      <c r="AT414" s="5" t="n">
        <v>1.147</v>
      </c>
      <c r="AU414" s="5" t="n">
        <v>0.08</v>
      </c>
      <c r="AV414" s="5" t="n">
        <v>1</v>
      </c>
      <c r="AW414" s="5" t="n">
        <v>0.585</v>
      </c>
      <c r="AX414" s="5" t="n">
        <v>0.113</v>
      </c>
      <c r="AY414" s="5" t="n">
        <v>0.332</v>
      </c>
      <c r="AZ414" s="5" t="n">
        <v>0.99</v>
      </c>
      <c r="BA414" s="5" t="n">
        <v>0.08</v>
      </c>
      <c r="BB414" s="5" t="n">
        <v>1</v>
      </c>
      <c r="BC414" s="5" t="n">
        <v>0.439</v>
      </c>
      <c r="BD414" s="5" t="n">
        <v>0.114</v>
      </c>
      <c r="BE414" s="5" t="n">
        <v>0.364</v>
      </c>
      <c r="BF414" s="5" t="n">
        <v>0.867</v>
      </c>
      <c r="BG414" s="5" t="n">
        <v>0.08</v>
      </c>
      <c r="BH414" s="5" t="n">
        <v>1</v>
      </c>
      <c r="BI414" s="5" t="n">
        <v>0.528</v>
      </c>
      <c r="BJ414" s="5" t="n">
        <v>0.117</v>
      </c>
      <c r="BK414" s="5" t="n">
        <v>0.318</v>
      </c>
      <c r="BL414" s="5" t="n">
        <v>0.914</v>
      </c>
      <c r="BM414" s="5" t="n">
        <v>0.08</v>
      </c>
      <c r="BN414" s="5" t="n">
        <v>1</v>
      </c>
      <c r="BO414" s="5" t="n">
        <v>0</v>
      </c>
      <c r="BP414" s="5" t="n">
        <v>0.08500000000000001</v>
      </c>
      <c r="BQ414" s="5" t="n">
        <v>0.31</v>
      </c>
      <c r="BR414" s="5" t="n">
        <v>0</v>
      </c>
      <c r="BS414" s="5" t="n">
        <v>0.667</v>
      </c>
      <c r="BT414" s="5" t="n">
        <v>0</v>
      </c>
      <c r="BU414" s="5" t="n">
        <v>0.08500000000000001</v>
      </c>
      <c r="BV414" s="5" t="n">
        <v>0.31</v>
      </c>
      <c r="BW414" s="5" t="n">
        <v>0.08</v>
      </c>
      <c r="BX414" s="5" t="n">
        <v>1</v>
      </c>
      <c r="BY414" s="5" t="n">
        <v>11.787</v>
      </c>
      <c r="BZ414" s="5" t="n">
        <v>0</v>
      </c>
      <c r="CA414" s="5" t="n">
        <v>11.787</v>
      </c>
      <c r="CB414" s="5" t="n">
        <v>0</v>
      </c>
      <c r="CC414" s="5" t="n">
        <v>78.125</v>
      </c>
      <c r="CD414" s="5" t="n">
        <v>7.95</v>
      </c>
      <c r="CE414" s="5" t="n">
        <v>56.411</v>
      </c>
      <c r="CF414" s="5" t="n">
        <v>145.299</v>
      </c>
      <c r="CG414" s="5" t="n">
        <v>0.08</v>
      </c>
      <c r="CH414" s="5" t="n">
        <v>1</v>
      </c>
      <c r="CI414" s="5" t="n">
        <v>0</v>
      </c>
      <c r="CJ414" s="5" t="n">
        <v>0</v>
      </c>
      <c r="CK414" s="5" t="n">
        <v>0</v>
      </c>
      <c r="CL414" s="5" t="n">
        <v>0</v>
      </c>
      <c r="CM414" s="5" t="n">
        <v>0</v>
      </c>
      <c r="CN414" s="5" t="n">
        <v>0</v>
      </c>
      <c r="CO414" s="5" t="n">
        <v>0</v>
      </c>
      <c r="CP414" s="5" t="n">
        <v>0</v>
      </c>
      <c r="CQ414" s="5" t="n">
        <v>1.198</v>
      </c>
      <c r="CR414" s="5" t="n">
        <v>0</v>
      </c>
      <c r="CS414" s="5" t="n">
        <v>4.776</v>
      </c>
      <c r="CT414" s="5" t="n">
        <v>4.753</v>
      </c>
      <c r="CU414" s="5" t="n">
        <v>15.162</v>
      </c>
    </row>
    <row r="415">
      <c r="A415" s="5" t="inlineStr">
        <is>
          <t>KEN2022</t>
        </is>
      </c>
      <c r="B415" s="5" t="inlineStr">
        <is>
          <t>KEN</t>
        </is>
      </c>
      <c r="C415" s="5" t="inlineStr">
        <is>
          <t>KEN</t>
        </is>
      </c>
      <c r="D415" s="5" t="inlineStr">
        <is>
          <t>Kenya</t>
        </is>
      </c>
      <c r="E415" s="5" t="n">
        <v>2022</v>
      </c>
      <c r="F415" s="5" t="n">
        <v>0.16</v>
      </c>
      <c r="G415" s="5" t="n">
        <v>11.72</v>
      </c>
      <c r="H415" s="5" t="n">
        <v>1.235</v>
      </c>
      <c r="I415" s="5" t="n">
        <v>0</v>
      </c>
      <c r="J415" s="5" t="n">
        <v>11.72</v>
      </c>
      <c r="K415" s="5" t="n">
        <v>0</v>
      </c>
      <c r="L415" s="5" t="n">
        <v>1</v>
      </c>
      <c r="M415" s="5" t="n">
        <v>9.782999999999999</v>
      </c>
      <c r="N415" s="5" t="n">
        <v>3.704</v>
      </c>
      <c r="O415" s="5" t="n">
        <v>0</v>
      </c>
      <c r="P415" s="5" t="n">
        <v>9.782999999999999</v>
      </c>
      <c r="Q415" s="5" t="n">
        <v>0</v>
      </c>
      <c r="R415" s="5" t="n">
        <v>1</v>
      </c>
      <c r="S415" s="5" t="n">
        <v>17.893</v>
      </c>
      <c r="T415" s="5" t="n">
        <v>7.408</v>
      </c>
      <c r="U415" s="5" t="n">
        <v>0.106</v>
      </c>
      <c r="V415" s="5" t="n">
        <v>19.325</v>
      </c>
      <c r="W415" s="5" t="n">
        <v>0.08</v>
      </c>
      <c r="X415" s="5" t="n">
        <v>1</v>
      </c>
      <c r="Y415" s="5" t="n">
        <v>6.819</v>
      </c>
      <c r="Z415" s="5" t="n">
        <v>0.922</v>
      </c>
      <c r="AA415" s="5" t="n">
        <v>0</v>
      </c>
      <c r="AB415" s="5" t="n">
        <v>6.819</v>
      </c>
      <c r="AC415" s="5" t="n">
        <v>0</v>
      </c>
      <c r="AD415" s="5" t="n">
        <v>1</v>
      </c>
      <c r="AE415" s="5" t="n">
        <v>8.053000000000001</v>
      </c>
      <c r="AF415" s="5" t="n">
        <v>1.883</v>
      </c>
      <c r="AG415" s="5" t="n">
        <v>0</v>
      </c>
      <c r="AH415" s="5" t="n">
        <v>8.053000000000001</v>
      </c>
      <c r="AI415" s="5" t="n">
        <v>0</v>
      </c>
      <c r="AJ415" s="5" t="n">
        <v>1</v>
      </c>
      <c r="AK415" s="5" t="n">
        <v>15.461</v>
      </c>
      <c r="AL415" s="5" t="n">
        <v>8.234999999999999</v>
      </c>
      <c r="AM415" s="5" t="n">
        <v>0.092</v>
      </c>
      <c r="AN415" s="5" t="n">
        <v>16.698</v>
      </c>
      <c r="AO415" s="5" t="n">
        <v>0.08</v>
      </c>
      <c r="AP415" s="5" t="n">
        <v>1</v>
      </c>
      <c r="AQ415" s="5" t="n">
        <v>0.53</v>
      </c>
      <c r="AR415" s="5" t="n">
        <v>0.076</v>
      </c>
      <c r="AS415" s="5" t="n">
        <v>0.703</v>
      </c>
      <c r="AT415" s="5" t="n">
        <v>1.332</v>
      </c>
      <c r="AU415" s="5" t="n">
        <v>0.08</v>
      </c>
      <c r="AV415" s="5" t="n">
        <v>1</v>
      </c>
      <c r="AW415" s="5" t="n">
        <v>0.486</v>
      </c>
      <c r="AX415" s="5" t="n">
        <v>0.063</v>
      </c>
      <c r="AY415" s="5" t="n">
        <v>0.608</v>
      </c>
      <c r="AZ415" s="5" t="n">
        <v>1.182</v>
      </c>
      <c r="BA415" s="5" t="n">
        <v>0.08</v>
      </c>
      <c r="BB415" s="5" t="n">
        <v>1</v>
      </c>
      <c r="BC415" s="5" t="n">
        <v>0.598</v>
      </c>
      <c r="BD415" s="5" t="n">
        <v>0.123</v>
      </c>
      <c r="BE415" s="5" t="n">
        <v>0.382</v>
      </c>
      <c r="BF415" s="5" t="n">
        <v>1.058</v>
      </c>
      <c r="BG415" s="5" t="n">
        <v>0.08</v>
      </c>
      <c r="BH415" s="5" t="n">
        <v>1</v>
      </c>
      <c r="BI415" s="5" t="n">
        <v>0.394</v>
      </c>
      <c r="BJ415" s="5" t="n">
        <v>0.077</v>
      </c>
      <c r="BK415" s="5" t="n">
        <v>0.604</v>
      </c>
      <c r="BL415" s="5" t="n">
        <v>1.078</v>
      </c>
      <c r="BM415" s="5" t="n">
        <v>0.08</v>
      </c>
      <c r="BN415" s="5" t="n">
        <v>1</v>
      </c>
      <c r="BO415" s="5" t="n">
        <v>0</v>
      </c>
      <c r="BP415" s="5" t="n">
        <v>0.114</v>
      </c>
      <c r="BQ415" s="5" t="n">
        <v>0.175</v>
      </c>
      <c r="BR415" s="5" t="n">
        <v>0</v>
      </c>
      <c r="BS415" s="5" t="n">
        <v>0.667</v>
      </c>
      <c r="BT415" s="5" t="n">
        <v>0</v>
      </c>
      <c r="BU415" s="5" t="n">
        <v>0.114</v>
      </c>
      <c r="BV415" s="5" t="n">
        <v>0.22</v>
      </c>
      <c r="BW415" s="5" t="n">
        <v>0.08</v>
      </c>
      <c r="BX415" s="5" t="n">
        <v>1</v>
      </c>
      <c r="BY415" s="5" t="n">
        <v>12.729</v>
      </c>
      <c r="BZ415" s="5" t="n">
        <v>0</v>
      </c>
      <c r="CA415" s="5" t="n">
        <v>12.729</v>
      </c>
      <c r="CB415" s="5" t="n">
        <v>0</v>
      </c>
      <c r="CC415" s="5" t="n">
        <v>97.90000000000001</v>
      </c>
      <c r="CD415" s="5" t="n">
        <v>7.95</v>
      </c>
      <c r="CE415" s="5" t="n">
        <v>61.206</v>
      </c>
      <c r="CF415" s="5" t="n">
        <v>171.834</v>
      </c>
      <c r="CG415" s="5" t="n">
        <v>0.08</v>
      </c>
      <c r="CH415" s="5" t="n">
        <v>1</v>
      </c>
      <c r="CI415" s="5" t="n">
        <v>0</v>
      </c>
      <c r="CJ415" s="5" t="n">
        <v>0</v>
      </c>
      <c r="CK415" s="5" t="n">
        <v>0</v>
      </c>
      <c r="CL415" s="5" t="n">
        <v>0</v>
      </c>
      <c r="CM415" s="5" t="n">
        <v>0</v>
      </c>
      <c r="CN415" s="5" t="n">
        <v>0</v>
      </c>
      <c r="CO415" s="5" t="n">
        <v>0</v>
      </c>
      <c r="CP415" s="5" t="n">
        <v>0</v>
      </c>
      <c r="CQ415" s="5" t="n">
        <v>1.294</v>
      </c>
      <c r="CR415" s="5" t="n">
        <v>0</v>
      </c>
      <c r="CS415" s="5" t="n">
        <v>5.158</v>
      </c>
      <c r="CT415" s="5" t="n">
        <v>10.485</v>
      </c>
      <c r="CU415" s="5" t="n">
        <v>31.326</v>
      </c>
    </row>
    <row r="416">
      <c r="A416" s="5" t="inlineStr">
        <is>
          <t>KEN2023</t>
        </is>
      </c>
      <c r="B416" s="5" t="inlineStr">
        <is>
          <t>KEN</t>
        </is>
      </c>
      <c r="C416" s="5" t="inlineStr">
        <is>
          <t>KEN</t>
        </is>
      </c>
      <c r="D416" s="5" t="inlineStr">
        <is>
          <t>Kenya</t>
        </is>
      </c>
      <c r="E416" s="5" t="n">
        <v>2023</v>
      </c>
      <c r="F416" s="5" t="n">
        <v>0.16</v>
      </c>
      <c r="G416" s="5" t="n">
        <v>6.147</v>
      </c>
      <c r="H416" s="5" t="n">
        <v>1.286</v>
      </c>
      <c r="I416" s="5" t="n">
        <v>0</v>
      </c>
      <c r="J416" s="5" t="n">
        <v>6.147</v>
      </c>
      <c r="K416" s="5" t="n">
        <v>0</v>
      </c>
      <c r="L416" s="5" t="n">
        <v>1</v>
      </c>
      <c r="M416" s="5" t="n">
        <v>7.886</v>
      </c>
      <c r="N416" s="5" t="n">
        <v>3.857</v>
      </c>
      <c r="O416" s="5" t="n">
        <v>0</v>
      </c>
      <c r="P416" s="5" t="n">
        <v>7.886</v>
      </c>
      <c r="Q416" s="5" t="n">
        <v>0</v>
      </c>
      <c r="R416" s="5" t="n">
        <v>1</v>
      </c>
      <c r="S416" s="5" t="n">
        <v>12.575</v>
      </c>
      <c r="T416" s="5" t="n">
        <v>7.714</v>
      </c>
      <c r="U416" s="5" t="n">
        <v>0.223</v>
      </c>
      <c r="V416" s="5" t="n">
        <v>14.587</v>
      </c>
      <c r="W416" s="5" t="n">
        <v>0.16</v>
      </c>
      <c r="X416" s="5" t="n">
        <v>1</v>
      </c>
      <c r="Y416" s="5" t="n">
        <v>9.321999999999999</v>
      </c>
      <c r="Z416" s="5" t="n">
        <v>1.26</v>
      </c>
      <c r="AA416" s="5" t="n">
        <v>0</v>
      </c>
      <c r="AB416" s="5" t="n">
        <v>9.321999999999999</v>
      </c>
      <c r="AC416" s="5" t="n">
        <v>0</v>
      </c>
      <c r="AD416" s="5" t="n">
        <v>1</v>
      </c>
      <c r="AE416" s="5" t="n">
        <v>10.607</v>
      </c>
      <c r="AF416" s="5" t="n">
        <v>2.48</v>
      </c>
      <c r="AG416" s="5" t="n">
        <v>0</v>
      </c>
      <c r="AH416" s="5" t="n">
        <v>10.607</v>
      </c>
      <c r="AI416" s="5" t="n">
        <v>0</v>
      </c>
      <c r="AJ416" s="5" t="n">
        <v>1</v>
      </c>
      <c r="AK416" s="5" t="n">
        <v>18.321</v>
      </c>
      <c r="AL416" s="5" t="n">
        <v>9.757999999999999</v>
      </c>
      <c r="AM416" s="5" t="n">
        <v>0.325</v>
      </c>
      <c r="AN416" s="5" t="n">
        <v>21.253</v>
      </c>
      <c r="AO416" s="5" t="n">
        <v>0.16</v>
      </c>
      <c r="AP416" s="5" t="n">
        <v>1</v>
      </c>
      <c r="AQ416" s="5" t="n">
        <v>0.705</v>
      </c>
      <c r="AR416" s="5" t="n">
        <v>0.119</v>
      </c>
      <c r="AS416" s="5" t="n">
        <v>0.494</v>
      </c>
      <c r="AT416" s="5" t="n">
        <v>1.39</v>
      </c>
      <c r="AU416" s="5" t="n">
        <v>0.16</v>
      </c>
      <c r="AV416" s="5" t="n">
        <v>1</v>
      </c>
      <c r="AW416" s="5" t="n">
        <v>0.704</v>
      </c>
      <c r="AX416" s="5" t="n">
        <v>0.121</v>
      </c>
      <c r="AY416" s="5" t="n">
        <v>0.407</v>
      </c>
      <c r="AZ416" s="5" t="n">
        <v>1.288</v>
      </c>
      <c r="BA416" s="5" t="n">
        <v>0.16</v>
      </c>
      <c r="BB416" s="5" t="n">
        <v>1</v>
      </c>
      <c r="BC416" s="5" t="n">
        <v>0.535</v>
      </c>
      <c r="BD416" s="5" t="n">
        <v>0.129</v>
      </c>
      <c r="BE416" s="5" t="n">
        <v>0.229</v>
      </c>
      <c r="BF416" s="5" t="n">
        <v>0.886</v>
      </c>
      <c r="BG416" s="5" t="n">
        <v>0.16</v>
      </c>
      <c r="BH416" s="5" t="n">
        <v>1</v>
      </c>
      <c r="BI416" s="5" t="n">
        <v>0.636</v>
      </c>
      <c r="BJ416" s="5" t="n">
        <v>0.138</v>
      </c>
      <c r="BK416" s="5" t="n">
        <v>0.42</v>
      </c>
      <c r="BL416" s="5" t="n">
        <v>1.226</v>
      </c>
      <c r="BM416" s="5" t="n">
        <v>0.16</v>
      </c>
      <c r="BN416" s="5" t="n">
        <v>1</v>
      </c>
      <c r="BO416" s="5" t="n">
        <v>0</v>
      </c>
      <c r="BP416" s="5" t="n">
        <v>0.11</v>
      </c>
      <c r="BQ416" s="5" t="n">
        <v>0.19</v>
      </c>
      <c r="BR416" s="5" t="n">
        <v>0</v>
      </c>
      <c r="BS416" s="5" t="n">
        <v>0.667</v>
      </c>
      <c r="BT416" s="5" t="n">
        <v>0</v>
      </c>
      <c r="BU416" s="5" t="n">
        <v>0.11</v>
      </c>
      <c r="BV416" s="5" t="n">
        <v>0.23</v>
      </c>
      <c r="BW416" s="5" t="n">
        <v>0.16</v>
      </c>
      <c r="BX416" s="5" t="n">
        <v>1</v>
      </c>
      <c r="BY416" s="5" t="n">
        <v>13.254</v>
      </c>
      <c r="BZ416" s="5" t="n">
        <v>0</v>
      </c>
      <c r="CA416" s="5" t="n">
        <v>13.254</v>
      </c>
      <c r="CB416" s="5" t="n">
        <v>0</v>
      </c>
      <c r="CC416" s="5" t="n">
        <v>83.248</v>
      </c>
      <c r="CD416" s="5" t="n">
        <v>7.95</v>
      </c>
      <c r="CE416" s="5" t="n">
        <v>85.47199999999999</v>
      </c>
      <c r="CF416" s="5" t="n">
        <v>195.715</v>
      </c>
      <c r="CG416" s="5" t="n">
        <v>0.16</v>
      </c>
      <c r="CH416" s="5" t="n">
        <v>1</v>
      </c>
      <c r="CI416" s="5" t="n">
        <v>0</v>
      </c>
      <c r="CJ416" s="5" t="n">
        <v>0</v>
      </c>
      <c r="CK416" s="5" t="n">
        <v>0</v>
      </c>
      <c r="CL416" s="5" t="n">
        <v>0</v>
      </c>
      <c r="CM416" s="5" t="n">
        <v>0</v>
      </c>
      <c r="CN416" s="5" t="n">
        <v>0</v>
      </c>
      <c r="CO416" s="5" t="n">
        <v>0</v>
      </c>
      <c r="CP416" s="5" t="n">
        <v>0</v>
      </c>
      <c r="CQ416" s="5" t="n">
        <v>1.348</v>
      </c>
      <c r="CR416" s="5" t="n">
        <v>0</v>
      </c>
      <c r="CS416" s="5" t="n">
        <v>5.37</v>
      </c>
      <c r="CT416" s="5" t="n">
        <v>4.861</v>
      </c>
      <c r="CU416" s="5" t="n">
        <v>11.622</v>
      </c>
    </row>
    <row r="417">
      <c r="A417" s="5" t="inlineStr">
        <is>
          <t>KEN2024</t>
        </is>
      </c>
      <c r="B417" s="5" t="inlineStr">
        <is>
          <t>KEN</t>
        </is>
      </c>
      <c r="C417" s="5" t="inlineStr">
        <is>
          <t>KEN</t>
        </is>
      </c>
      <c r="D417" s="5" t="inlineStr">
        <is>
          <t>Kenya</t>
        </is>
      </c>
      <c r="E417" s="5" t="n">
        <v>2024</v>
      </c>
      <c r="F417" s="5" t="n">
        <v>0.16</v>
      </c>
      <c r="G417" s="5" t="n">
        <v>5.575</v>
      </c>
      <c r="H417" s="5" t="n">
        <v>1.324</v>
      </c>
      <c r="I417" s="5" t="n">
        <v>0</v>
      </c>
      <c r="J417" s="5" t="n">
        <v>5.575</v>
      </c>
      <c r="K417" s="5" t="n">
        <v>0</v>
      </c>
      <c r="L417" s="5" t="n">
        <v>1</v>
      </c>
      <c r="M417" s="5" t="n">
        <v>7.124</v>
      </c>
      <c r="N417" s="5" t="n">
        <v>3.971</v>
      </c>
      <c r="O417" s="5" t="n">
        <v>0</v>
      </c>
      <c r="P417" s="5" t="n">
        <v>7.124</v>
      </c>
      <c r="Q417" s="5" t="n">
        <v>0</v>
      </c>
      <c r="R417" s="5" t="n">
        <v>1</v>
      </c>
      <c r="S417" s="5" t="n">
        <v>12.193</v>
      </c>
      <c r="T417" s="5" t="n">
        <v>7.942</v>
      </c>
      <c r="U417" s="5" t="n">
        <v>0.266</v>
      </c>
      <c r="V417" s="5" t="n">
        <v>14.144</v>
      </c>
      <c r="W417" s="5" t="n">
        <v>0.16</v>
      </c>
      <c r="X417" s="5" t="n">
        <v>1</v>
      </c>
      <c r="Y417" s="5" t="n">
        <v>8.831</v>
      </c>
      <c r="Z417" s="5" t="n">
        <v>1.193</v>
      </c>
      <c r="AA417" s="5" t="n">
        <v>0</v>
      </c>
      <c r="AB417" s="5" t="n">
        <v>8.831</v>
      </c>
      <c r="AC417" s="5" t="n">
        <v>0</v>
      </c>
      <c r="AD417" s="5" t="n">
        <v>1</v>
      </c>
      <c r="AE417" s="5" t="n">
        <v>10.154</v>
      </c>
      <c r="AF417" s="5" t="n">
        <v>2.374</v>
      </c>
      <c r="AG417" s="5" t="n">
        <v>0</v>
      </c>
      <c r="AH417" s="5" t="n">
        <v>10.154</v>
      </c>
      <c r="AI417" s="5" t="n">
        <v>0</v>
      </c>
      <c r="AJ417" s="5" t="n">
        <v>1</v>
      </c>
      <c r="AK417" s="5" t="n">
        <v>18.096</v>
      </c>
      <c r="AL417" s="5" t="n">
        <v>9.638</v>
      </c>
      <c r="AM417" s="5" t="n">
        <v>0.394</v>
      </c>
      <c r="AN417" s="5" t="n">
        <v>20.991</v>
      </c>
      <c r="AO417" s="5" t="n">
        <v>0.16</v>
      </c>
      <c r="AP417" s="5" t="n">
        <v>1</v>
      </c>
      <c r="AQ417" s="5" t="n">
        <v>0.645</v>
      </c>
      <c r="AR417" s="5" t="n">
        <v>0.117</v>
      </c>
      <c r="AS417" s="5" t="n">
        <v>0.583</v>
      </c>
      <c r="AT417" s="5" t="n">
        <v>1.425</v>
      </c>
      <c r="AU417" s="5" t="n">
        <v>0.16</v>
      </c>
      <c r="AV417" s="5" t="n">
        <v>1</v>
      </c>
      <c r="AW417" s="5" t="n">
        <v>0.748</v>
      </c>
      <c r="AX417" s="5" t="n">
        <v>0.137</v>
      </c>
      <c r="AY417" s="5" t="n">
        <v>0.393</v>
      </c>
      <c r="AZ417" s="5" t="n">
        <v>1.324</v>
      </c>
      <c r="BA417" s="5" t="n">
        <v>0.16</v>
      </c>
      <c r="BB417" s="5" t="n">
        <v>1</v>
      </c>
      <c r="BC417" s="5" t="n">
        <v>0.513</v>
      </c>
      <c r="BD417" s="5" t="n">
        <v>0.132</v>
      </c>
      <c r="BE417" s="5" t="n">
        <v>0.337</v>
      </c>
      <c r="BF417" s="5" t="n">
        <v>0.986</v>
      </c>
      <c r="BG417" s="5" t="n">
        <v>0.16</v>
      </c>
      <c r="BH417" s="5" t="n">
        <v>1</v>
      </c>
      <c r="BI417" s="5" t="n">
        <v>0.675</v>
      </c>
      <c r="BJ417" s="5" t="n">
        <v>0.148</v>
      </c>
      <c r="BK417" s="5" t="n">
        <v>0.401</v>
      </c>
      <c r="BL417" s="5" t="n">
        <v>1.248</v>
      </c>
      <c r="BM417" s="5" t="n">
        <v>0.16</v>
      </c>
      <c r="BN417" s="5" t="n">
        <v>1</v>
      </c>
      <c r="BO417" s="5" t="n">
        <v>0</v>
      </c>
      <c r="BP417" s="5" t="n">
        <v>0.089</v>
      </c>
      <c r="BQ417" s="5" t="n">
        <v>0.19</v>
      </c>
      <c r="BR417" s="5" t="n">
        <v>0</v>
      </c>
      <c r="BS417" s="5" t="n">
        <v>0.667</v>
      </c>
      <c r="BT417" s="5" t="n">
        <v>0</v>
      </c>
      <c r="BU417" s="5" t="n">
        <v>0.089</v>
      </c>
      <c r="BV417" s="5" t="n">
        <v>0.26</v>
      </c>
      <c r="BW417" s="5" t="n">
        <v>0.16</v>
      </c>
      <c r="BX417" s="5" t="n">
        <v>1</v>
      </c>
      <c r="BY417" s="5" t="n">
        <v>13.646</v>
      </c>
      <c r="BZ417" s="5" t="n">
        <v>0</v>
      </c>
      <c r="CA417" s="5" t="n">
        <v>13.646</v>
      </c>
      <c r="CB417" s="5" t="n">
        <v>0</v>
      </c>
      <c r="CC417" s="5" t="n">
        <v>82.58799999999999</v>
      </c>
      <c r="CD417" s="5" t="n">
        <v>7.95</v>
      </c>
      <c r="CE417" s="5" t="n">
        <v>88.598</v>
      </c>
      <c r="CF417" s="5" t="n">
        <v>198.575</v>
      </c>
      <c r="CG417" s="5" t="n">
        <v>0.16</v>
      </c>
      <c r="CH417" s="5" t="n">
        <v>1</v>
      </c>
      <c r="CI417" s="5" t="n">
        <v>0</v>
      </c>
      <c r="CJ417" s="5" t="n">
        <v>0</v>
      </c>
      <c r="CK417" s="5" t="n">
        <v>0</v>
      </c>
      <c r="CL417" s="5" t="n">
        <v>0</v>
      </c>
      <c r="CM417" s="5" t="n">
        <v>0</v>
      </c>
      <c r="CN417" s="5" t="n">
        <v>0</v>
      </c>
      <c r="CO417" s="5" t="n">
        <v>0</v>
      </c>
      <c r="CP417" s="5" t="n">
        <v>0</v>
      </c>
      <c r="CQ417" s="5" t="n">
        <v>1.387</v>
      </c>
      <c r="CR417" s="5" t="n">
        <v>0</v>
      </c>
      <c r="CS417" s="5" t="n">
        <v>5.529</v>
      </c>
      <c r="CT417" s="5" t="n">
        <v>4.251</v>
      </c>
      <c r="CU417" s="5" t="n">
        <v>10.168</v>
      </c>
    </row>
    <row r="418">
      <c r="A418" s="5" t="inlineStr">
        <is>
          <t>KIR2021</t>
        </is>
      </c>
      <c r="B418" s="5" t="inlineStr">
        <is>
          <t>KIR</t>
        </is>
      </c>
      <c r="C418" s="5" t="inlineStr">
        <is>
          <t>KIR</t>
        </is>
      </c>
      <c r="D418" s="5" t="inlineStr">
        <is>
          <t>Kiribati</t>
        </is>
      </c>
      <c r="E418" s="5" t="n">
        <v>2021</v>
      </c>
      <c r="F418" s="5" t="n">
        <v>0.125</v>
      </c>
      <c r="G418" s="5" t="n">
        <v>4.747</v>
      </c>
      <c r="H418" s="5" t="n">
        <v>1.143</v>
      </c>
      <c r="I418" s="5" t="n">
        <v>0</v>
      </c>
      <c r="J418" s="5" t="n">
        <v>4.747</v>
      </c>
      <c r="K418" s="5" t="n">
        <v>0</v>
      </c>
      <c r="L418" s="5" t="n">
        <v>1</v>
      </c>
      <c r="M418" s="5" t="n">
        <v>7.964</v>
      </c>
      <c r="N418" s="5" t="n">
        <v>3.43</v>
      </c>
      <c r="O418" s="5" t="n">
        <v>0</v>
      </c>
      <c r="P418" s="5" t="n">
        <v>7.964</v>
      </c>
      <c r="Q418" s="5" t="n">
        <v>0</v>
      </c>
      <c r="R418" s="5" t="n">
        <v>1</v>
      </c>
      <c r="S418" s="5" t="n">
        <v>10.464</v>
      </c>
      <c r="T418" s="5" t="n">
        <v>6.86</v>
      </c>
      <c r="U418" s="5" t="n">
        <v>0</v>
      </c>
      <c r="V418" s="5" t="n">
        <v>11.772</v>
      </c>
      <c r="W418" s="5" t="n">
        <v>0.125</v>
      </c>
      <c r="X418" s="5" t="n">
        <v>1</v>
      </c>
      <c r="Y418" s="5" t="n">
        <v>10.551</v>
      </c>
      <c r="Z418" s="5" t="n">
        <v>1.302</v>
      </c>
      <c r="AA418" s="5" t="n">
        <v>0</v>
      </c>
      <c r="AB418" s="5" t="n">
        <v>10.551</v>
      </c>
      <c r="AC418" s="5" t="n">
        <v>0</v>
      </c>
      <c r="AD418" s="5" t="n">
        <v>1</v>
      </c>
      <c r="AE418" s="5" t="n">
        <v>11.694</v>
      </c>
      <c r="AF418" s="5" t="n">
        <v>2.549</v>
      </c>
      <c r="AG418" s="5" t="n">
        <v>0</v>
      </c>
      <c r="AH418" s="5" t="n">
        <v>11.694</v>
      </c>
      <c r="AI418" s="5" t="n">
        <v>0</v>
      </c>
      <c r="AJ418" s="5" t="n">
        <v>1</v>
      </c>
      <c r="AK418" s="5" t="n">
        <v>18.554</v>
      </c>
      <c r="AL418" s="5" t="n">
        <v>9.627000000000001</v>
      </c>
      <c r="AM418" s="5" t="n">
        <v>0</v>
      </c>
      <c r="AN418" s="5" t="n">
        <v>20.873</v>
      </c>
      <c r="AO418" s="5" t="n">
        <v>0.125</v>
      </c>
      <c r="AP418" s="5" t="n">
        <v>1</v>
      </c>
      <c r="AQ418" s="5" t="n">
        <v>0.621</v>
      </c>
      <c r="AR418" s="5" t="n">
        <v>0.114</v>
      </c>
      <c r="AS418" s="5" t="n">
        <v>0</v>
      </c>
      <c r="AT418" s="5" t="n">
        <v>0.698</v>
      </c>
      <c r="AU418" s="5" t="n">
        <v>0.125</v>
      </c>
      <c r="AV418" s="5" t="n">
        <v>1</v>
      </c>
      <c r="AW418" s="5" t="n">
        <v>0.593</v>
      </c>
      <c r="AX418" s="5" t="n">
        <v>0.114</v>
      </c>
      <c r="AY418" s="5" t="n">
        <v>0</v>
      </c>
      <c r="AZ418" s="5" t="n">
        <v>0.667</v>
      </c>
      <c r="BA418" s="5" t="n">
        <v>0.125</v>
      </c>
      <c r="BB418" s="5" t="n">
        <v>1</v>
      </c>
      <c r="BC418" s="5" t="n">
        <v>0.44</v>
      </c>
      <c r="BD418" s="5" t="n">
        <v>0.114</v>
      </c>
      <c r="BE418" s="5" t="n">
        <v>0</v>
      </c>
      <c r="BF418" s="5" t="n">
        <v>0.495</v>
      </c>
      <c r="BG418" s="5" t="n">
        <v>0.125</v>
      </c>
      <c r="BH418" s="5" t="n">
        <v>1</v>
      </c>
      <c r="BI418" s="5" t="n">
        <v>0.5600000000000001</v>
      </c>
      <c r="BJ418" s="5" t="n">
        <v>0.114</v>
      </c>
      <c r="BK418" s="5" t="n">
        <v>0</v>
      </c>
      <c r="BL418" s="5" t="n">
        <v>0.63</v>
      </c>
      <c r="BM418" s="5" t="n">
        <v>0.125</v>
      </c>
      <c r="BN418" s="5" t="n">
        <v>1</v>
      </c>
      <c r="BO418" s="5" t="n">
        <v>0</v>
      </c>
      <c r="BP418" s="5" t="n">
        <v>0</v>
      </c>
      <c r="BQ418" s="5" t="n">
        <v>0</v>
      </c>
      <c r="BR418" s="5" t="n">
        <v>0</v>
      </c>
      <c r="BS418" s="5" t="n">
        <v>1</v>
      </c>
      <c r="BT418" s="5" t="n">
        <v>0</v>
      </c>
      <c r="BU418" s="5" t="n">
        <v>0</v>
      </c>
      <c r="BV418" s="5" t="n">
        <v>0</v>
      </c>
      <c r="BW418" s="5" t="n">
        <v>0.125</v>
      </c>
      <c r="BX418" s="5" t="n">
        <v>1</v>
      </c>
      <c r="BY418" s="5" t="n">
        <v>11.787</v>
      </c>
      <c r="BZ418" s="5" t="n">
        <v>0</v>
      </c>
      <c r="CA418" s="5" t="n">
        <v>11.787</v>
      </c>
      <c r="CB418" s="5" t="n">
        <v>0</v>
      </c>
      <c r="CC418" s="5" t="n">
        <v>81.69499999999999</v>
      </c>
      <c r="CD418" s="5" t="n">
        <v>7.95</v>
      </c>
      <c r="CE418" s="5" t="n">
        <v>0</v>
      </c>
      <c r="CF418" s="5" t="n">
        <v>91.907</v>
      </c>
      <c r="CG418" s="5" t="n">
        <v>0.125</v>
      </c>
      <c r="CH418" s="5" t="n">
        <v>1</v>
      </c>
      <c r="CI418" s="5" t="n">
        <v>0</v>
      </c>
      <c r="CJ418" s="5" t="n">
        <v>0</v>
      </c>
      <c r="CK418" s="5" t="n">
        <v>0</v>
      </c>
      <c r="CL418" s="5" t="n">
        <v>0</v>
      </c>
      <c r="CM418" s="5" t="n">
        <v>0</v>
      </c>
      <c r="CN418" s="5" t="n">
        <v>0</v>
      </c>
      <c r="CO418" s="5" t="n">
        <v>0</v>
      </c>
      <c r="CP418" s="5" t="n">
        <v>0</v>
      </c>
      <c r="CQ418" s="5" t="n">
        <v>1.198</v>
      </c>
      <c r="CR418" s="5" t="n">
        <v>0</v>
      </c>
      <c r="CS418" s="5" t="n">
        <v>4.776</v>
      </c>
      <c r="CT418" s="5" t="n">
        <v>3.604</v>
      </c>
      <c r="CU418" s="5" t="n">
        <v>9.407999999999999</v>
      </c>
    </row>
    <row r="419">
      <c r="A419" s="5" t="inlineStr">
        <is>
          <t>KIR2022</t>
        </is>
      </c>
      <c r="B419" s="5" t="inlineStr">
        <is>
          <t>KIR</t>
        </is>
      </c>
      <c r="C419" s="5" t="inlineStr">
        <is>
          <t>KIR</t>
        </is>
      </c>
      <c r="D419" s="5" t="inlineStr">
        <is>
          <t>Kiribati</t>
        </is>
      </c>
      <c r="E419" s="5" t="n">
        <v>2022</v>
      </c>
      <c r="F419" s="5" t="n">
        <v>0.125</v>
      </c>
      <c r="G419" s="5" t="n">
        <v>8.788</v>
      </c>
      <c r="H419" s="5" t="n">
        <v>1.235</v>
      </c>
      <c r="I419" s="5" t="n">
        <v>0</v>
      </c>
      <c r="J419" s="5" t="n">
        <v>8.788</v>
      </c>
      <c r="K419" s="5" t="n">
        <v>0</v>
      </c>
      <c r="L419" s="5" t="n">
        <v>1</v>
      </c>
      <c r="M419" s="5" t="n">
        <v>9.782999999999999</v>
      </c>
      <c r="N419" s="5" t="n">
        <v>3.704</v>
      </c>
      <c r="O419" s="5" t="n">
        <v>0</v>
      </c>
      <c r="P419" s="5" t="n">
        <v>9.782999999999999</v>
      </c>
      <c r="Q419" s="5" t="n">
        <v>0</v>
      </c>
      <c r="R419" s="5" t="n">
        <v>1</v>
      </c>
      <c r="S419" s="5" t="n">
        <v>14.962</v>
      </c>
      <c r="T419" s="5" t="n">
        <v>7.408</v>
      </c>
      <c r="U419" s="5" t="n">
        <v>0.138</v>
      </c>
      <c r="V419" s="5" t="n">
        <v>16.832</v>
      </c>
      <c r="W419" s="5" t="n">
        <v>0.125</v>
      </c>
      <c r="X419" s="5" t="n">
        <v>1</v>
      </c>
      <c r="Y419" s="5" t="n">
        <v>17.332</v>
      </c>
      <c r="Z419" s="5" t="n">
        <v>2.139</v>
      </c>
      <c r="AA419" s="5" t="n">
        <v>0</v>
      </c>
      <c r="AB419" s="5" t="n">
        <v>17.332</v>
      </c>
      <c r="AC419" s="5" t="n">
        <v>0</v>
      </c>
      <c r="AD419" s="5" t="n">
        <v>1</v>
      </c>
      <c r="AE419" s="5" t="n">
        <v>18.566</v>
      </c>
      <c r="AF419" s="5" t="n">
        <v>4.048</v>
      </c>
      <c r="AG419" s="5" t="n">
        <v>0</v>
      </c>
      <c r="AH419" s="5" t="n">
        <v>18.566</v>
      </c>
      <c r="AI419" s="5" t="n">
        <v>0</v>
      </c>
      <c r="AJ419" s="5" t="n">
        <v>1</v>
      </c>
      <c r="AK419" s="5" t="n">
        <v>25.974</v>
      </c>
      <c r="AL419" s="5" t="n">
        <v>13.478</v>
      </c>
      <c r="AM419" s="5" t="n">
        <v>0.24</v>
      </c>
      <c r="AN419" s="5" t="n">
        <v>29.221</v>
      </c>
      <c r="AO419" s="5" t="n">
        <v>0.125</v>
      </c>
      <c r="AP419" s="5" t="n">
        <v>1</v>
      </c>
      <c r="AQ419" s="5" t="n">
        <v>0.847</v>
      </c>
      <c r="AR419" s="5" t="n">
        <v>0.123</v>
      </c>
      <c r="AS419" s="5" t="n">
        <v>0.008</v>
      </c>
      <c r="AT419" s="5" t="n">
        <v>0.952</v>
      </c>
      <c r="AU419" s="5" t="n">
        <v>0.125</v>
      </c>
      <c r="AV419" s="5" t="n">
        <v>1</v>
      </c>
      <c r="AW419" s="5" t="n">
        <v>0.947</v>
      </c>
      <c r="AX419" s="5" t="n">
        <v>0.123</v>
      </c>
      <c r="AY419" s="5" t="n">
        <v>0.008999999999999999</v>
      </c>
      <c r="AZ419" s="5" t="n">
        <v>1.065</v>
      </c>
      <c r="BA419" s="5" t="n">
        <v>0.125</v>
      </c>
      <c r="BB419" s="5" t="n">
        <v>1</v>
      </c>
      <c r="BC419" s="5" t="n">
        <v>0.589</v>
      </c>
      <c r="BD419" s="5" t="n">
        <v>0.123</v>
      </c>
      <c r="BE419" s="5" t="n">
        <v>0.005</v>
      </c>
      <c r="BF419" s="5" t="n">
        <v>0.662</v>
      </c>
      <c r="BG419" s="5" t="n">
        <v>0.125</v>
      </c>
      <c r="BH419" s="5" t="n">
        <v>1</v>
      </c>
      <c r="BI419" s="5" t="n">
        <v>0.6889999999999999</v>
      </c>
      <c r="BJ419" s="5" t="n">
        <v>0.123</v>
      </c>
      <c r="BK419" s="5" t="n">
        <v>0.006</v>
      </c>
      <c r="BL419" s="5" t="n">
        <v>0.775</v>
      </c>
      <c r="BM419" s="5" t="n">
        <v>0.125</v>
      </c>
      <c r="BN419" s="5" t="n">
        <v>1</v>
      </c>
      <c r="BO419" s="5" t="n">
        <v>0</v>
      </c>
      <c r="BP419" s="5" t="n">
        <v>0</v>
      </c>
      <c r="BQ419" s="5" t="n">
        <v>0</v>
      </c>
      <c r="BR419" s="5" t="n">
        <v>0</v>
      </c>
      <c r="BS419" s="5" t="n">
        <v>1</v>
      </c>
      <c r="BT419" s="5" t="n">
        <v>0</v>
      </c>
      <c r="BU419" s="5" t="n">
        <v>0</v>
      </c>
      <c r="BV419" s="5" t="n">
        <v>0</v>
      </c>
      <c r="BW419" s="5" t="n">
        <v>0.125</v>
      </c>
      <c r="BX419" s="5" t="n">
        <v>1</v>
      </c>
      <c r="BY419" s="5" t="n">
        <v>12.729</v>
      </c>
      <c r="BZ419" s="5" t="n">
        <v>0</v>
      </c>
      <c r="CA419" s="5" t="n">
        <v>12.729</v>
      </c>
      <c r="CB419" s="5" t="n">
        <v>0</v>
      </c>
      <c r="CC419" s="5" t="n">
        <v>102.477</v>
      </c>
      <c r="CD419" s="5" t="n">
        <v>7.95</v>
      </c>
      <c r="CE419" s="5" t="n">
        <v>0.948</v>
      </c>
      <c r="CF419" s="5" t="n">
        <v>115.286</v>
      </c>
      <c r="CG419" s="5" t="n">
        <v>0.125</v>
      </c>
      <c r="CH419" s="5" t="n">
        <v>1</v>
      </c>
      <c r="CI419" s="5" t="n">
        <v>0</v>
      </c>
      <c r="CJ419" s="5" t="n">
        <v>0</v>
      </c>
      <c r="CK419" s="5" t="n">
        <v>0</v>
      </c>
      <c r="CL419" s="5" t="n">
        <v>0</v>
      </c>
      <c r="CM419" s="5" t="n">
        <v>0</v>
      </c>
      <c r="CN419" s="5" t="n">
        <v>0</v>
      </c>
      <c r="CO419" s="5" t="n">
        <v>0</v>
      </c>
      <c r="CP419" s="5" t="n">
        <v>0</v>
      </c>
      <c r="CQ419" s="5" t="n">
        <v>1.294</v>
      </c>
      <c r="CR419" s="5" t="n">
        <v>0</v>
      </c>
      <c r="CS419" s="5" t="n">
        <v>5.158</v>
      </c>
      <c r="CT419" s="5" t="n">
        <v>7.554</v>
      </c>
      <c r="CU419" s="5" t="n">
        <v>16.097</v>
      </c>
    </row>
    <row r="420">
      <c r="A420" s="5" t="inlineStr">
        <is>
          <t>KIR2023</t>
        </is>
      </c>
      <c r="B420" s="5" t="inlineStr">
        <is>
          <t>KIR</t>
        </is>
      </c>
      <c r="C420" s="5" t="inlineStr">
        <is>
          <t>KIR</t>
        </is>
      </c>
      <c r="D420" s="5" t="inlineStr">
        <is>
          <t>Kiribati</t>
        </is>
      </c>
      <c r="E420" s="5" t="n">
        <v>2023</v>
      </c>
      <c r="F420" s="5" t="n">
        <v>0.125</v>
      </c>
      <c r="G420" s="5" t="n">
        <v>5.77</v>
      </c>
      <c r="H420" s="5" t="n">
        <v>1.286</v>
      </c>
      <c r="I420" s="5" t="n">
        <v>0</v>
      </c>
      <c r="J420" s="5" t="n">
        <v>5.77</v>
      </c>
      <c r="K420" s="5" t="n">
        <v>0</v>
      </c>
      <c r="L420" s="5" t="n">
        <v>1</v>
      </c>
      <c r="M420" s="5" t="n">
        <v>7.886</v>
      </c>
      <c r="N420" s="5" t="n">
        <v>3.857</v>
      </c>
      <c r="O420" s="5" t="n">
        <v>0</v>
      </c>
      <c r="P420" s="5" t="n">
        <v>7.886</v>
      </c>
      <c r="Q420" s="5" t="n">
        <v>0</v>
      </c>
      <c r="R420" s="5" t="n">
        <v>1</v>
      </c>
      <c r="S420" s="5" t="n">
        <v>12.198</v>
      </c>
      <c r="T420" s="5" t="n">
        <v>7.714</v>
      </c>
      <c r="U420" s="5" t="n">
        <v>0.169</v>
      </c>
      <c r="V420" s="5" t="n">
        <v>13.723</v>
      </c>
      <c r="W420" s="5" t="n">
        <v>0.125</v>
      </c>
      <c r="X420" s="5" t="n">
        <v>1</v>
      </c>
      <c r="Y420" s="5" t="n">
        <v>13.814</v>
      </c>
      <c r="Z420" s="5" t="n">
        <v>1.705</v>
      </c>
      <c r="AA420" s="5" t="n">
        <v>0</v>
      </c>
      <c r="AB420" s="5" t="n">
        <v>13.814</v>
      </c>
      <c r="AC420" s="5" t="n">
        <v>0</v>
      </c>
      <c r="AD420" s="5" t="n">
        <v>1</v>
      </c>
      <c r="AE420" s="5" t="n">
        <v>15.1</v>
      </c>
      <c r="AF420" s="5" t="n">
        <v>3.292</v>
      </c>
      <c r="AG420" s="5" t="n">
        <v>0</v>
      </c>
      <c r="AH420" s="5" t="n">
        <v>15.1</v>
      </c>
      <c r="AI420" s="5" t="n">
        <v>0</v>
      </c>
      <c r="AJ420" s="5" t="n">
        <v>1</v>
      </c>
      <c r="AK420" s="5" t="n">
        <v>22.814</v>
      </c>
      <c r="AL420" s="5" t="n">
        <v>11.838</v>
      </c>
      <c r="AM420" s="5" t="n">
        <v>0.316</v>
      </c>
      <c r="AN420" s="5" t="n">
        <v>25.666</v>
      </c>
      <c r="AO420" s="5" t="n">
        <v>0.125</v>
      </c>
      <c r="AP420" s="5" t="n">
        <v>1</v>
      </c>
      <c r="AQ420" s="5" t="n">
        <v>0.749</v>
      </c>
      <c r="AR420" s="5" t="n">
        <v>0.129</v>
      </c>
      <c r="AS420" s="5" t="n">
        <v>0.01</v>
      </c>
      <c r="AT420" s="5" t="n">
        <v>0.842</v>
      </c>
      <c r="AU420" s="5" t="n">
        <v>0.125</v>
      </c>
      <c r="AV420" s="5" t="n">
        <v>1</v>
      </c>
      <c r="AW420" s="5" t="n">
        <v>0.783</v>
      </c>
      <c r="AX420" s="5" t="n">
        <v>0.129</v>
      </c>
      <c r="AY420" s="5" t="n">
        <v>0.011</v>
      </c>
      <c r="AZ420" s="5" t="n">
        <v>0.88</v>
      </c>
      <c r="BA420" s="5" t="n">
        <v>0.125</v>
      </c>
      <c r="BB420" s="5" t="n">
        <v>1</v>
      </c>
      <c r="BC420" s="5" t="n">
        <v>0.527</v>
      </c>
      <c r="BD420" s="5" t="n">
        <v>0.129</v>
      </c>
      <c r="BE420" s="5" t="n">
        <v>0.007</v>
      </c>
      <c r="BF420" s="5" t="n">
        <v>0.593</v>
      </c>
      <c r="BG420" s="5" t="n">
        <v>0.125</v>
      </c>
      <c r="BH420" s="5" t="n">
        <v>1</v>
      </c>
      <c r="BI420" s="5" t="n">
        <v>0.64</v>
      </c>
      <c r="BJ420" s="5" t="n">
        <v>0.129</v>
      </c>
      <c r="BK420" s="5" t="n">
        <v>0.008999999999999999</v>
      </c>
      <c r="BL420" s="5" t="n">
        <v>0.72</v>
      </c>
      <c r="BM420" s="5" t="n">
        <v>0.125</v>
      </c>
      <c r="BN420" s="5" t="n">
        <v>1</v>
      </c>
      <c r="BO420" s="5" t="n">
        <v>0</v>
      </c>
      <c r="BP420" s="5" t="n">
        <v>0</v>
      </c>
      <c r="BQ420" s="5" t="n">
        <v>0</v>
      </c>
      <c r="BR420" s="5" t="n">
        <v>0</v>
      </c>
      <c r="BS420" s="5" t="n">
        <v>1</v>
      </c>
      <c r="BT420" s="5" t="n">
        <v>0</v>
      </c>
      <c r="BU420" s="5" t="n">
        <v>0</v>
      </c>
      <c r="BV420" s="5" t="n">
        <v>0</v>
      </c>
      <c r="BW420" s="5" t="n">
        <v>0.125</v>
      </c>
      <c r="BX420" s="5" t="n">
        <v>1</v>
      </c>
      <c r="BY420" s="5" t="n">
        <v>13.254</v>
      </c>
      <c r="BZ420" s="5" t="n">
        <v>0</v>
      </c>
      <c r="CA420" s="5" t="n">
        <v>13.254</v>
      </c>
      <c r="CB420" s="5" t="n">
        <v>0</v>
      </c>
      <c r="CC420" s="5" t="n">
        <v>87.07899999999999</v>
      </c>
      <c r="CD420" s="5" t="n">
        <v>7.95</v>
      </c>
      <c r="CE420" s="5" t="n">
        <v>1.205</v>
      </c>
      <c r="CF420" s="5" t="n">
        <v>97.964</v>
      </c>
      <c r="CG420" s="5" t="n">
        <v>0.125</v>
      </c>
      <c r="CH420" s="5" t="n">
        <v>1</v>
      </c>
      <c r="CI420" s="5" t="n">
        <v>0</v>
      </c>
      <c r="CJ420" s="5" t="n">
        <v>0</v>
      </c>
      <c r="CK420" s="5" t="n">
        <v>0</v>
      </c>
      <c r="CL420" s="5" t="n">
        <v>0</v>
      </c>
      <c r="CM420" s="5" t="n">
        <v>0</v>
      </c>
      <c r="CN420" s="5" t="n">
        <v>0</v>
      </c>
      <c r="CO420" s="5" t="n">
        <v>0</v>
      </c>
      <c r="CP420" s="5" t="n">
        <v>0</v>
      </c>
      <c r="CQ420" s="5" t="n">
        <v>1.348</v>
      </c>
      <c r="CR420" s="5" t="n">
        <v>0</v>
      </c>
      <c r="CS420" s="5" t="n">
        <v>5.37</v>
      </c>
      <c r="CT420" s="5" t="n">
        <v>4.484</v>
      </c>
      <c r="CU420" s="5" t="n">
        <v>12.529</v>
      </c>
    </row>
    <row r="421">
      <c r="A421" s="5" t="inlineStr">
        <is>
          <t>KIR2024</t>
        </is>
      </c>
      <c r="B421" s="5" t="inlineStr">
        <is>
          <t>KIR</t>
        </is>
      </c>
      <c r="C421" s="5" t="inlineStr">
        <is>
          <t>KIR</t>
        </is>
      </c>
      <c r="D421" s="5" t="inlineStr">
        <is>
          <t>Kiribati</t>
        </is>
      </c>
      <c r="E421" s="5" t="n">
        <v>2024</v>
      </c>
      <c r="F421" s="5" t="n">
        <v>0.125</v>
      </c>
      <c r="G421" s="5" t="n">
        <v>4.833</v>
      </c>
      <c r="H421" s="5" t="n">
        <v>1.324</v>
      </c>
      <c r="I421" s="5" t="n">
        <v>0</v>
      </c>
      <c r="J421" s="5" t="n">
        <v>4.833</v>
      </c>
      <c r="K421" s="5" t="n">
        <v>0</v>
      </c>
      <c r="L421" s="5" t="n">
        <v>1</v>
      </c>
      <c r="M421" s="5" t="n">
        <v>7.124</v>
      </c>
      <c r="N421" s="5" t="n">
        <v>3.971</v>
      </c>
      <c r="O421" s="5" t="n">
        <v>0</v>
      </c>
      <c r="P421" s="5" t="n">
        <v>7.124</v>
      </c>
      <c r="Q421" s="5" t="n">
        <v>0</v>
      </c>
      <c r="R421" s="5" t="n">
        <v>1</v>
      </c>
      <c r="S421" s="5" t="n">
        <v>11.451</v>
      </c>
      <c r="T421" s="5" t="n">
        <v>7.942</v>
      </c>
      <c r="U421" s="5" t="n">
        <v>0.195</v>
      </c>
      <c r="V421" s="5" t="n">
        <v>12.882</v>
      </c>
      <c r="W421" s="5" t="n">
        <v>0.125</v>
      </c>
      <c r="X421" s="5" t="n">
        <v>1</v>
      </c>
      <c r="Y421" s="5" t="n">
        <v>12.219</v>
      </c>
      <c r="Z421" s="5" t="n">
        <v>1.508</v>
      </c>
      <c r="AA421" s="5" t="n">
        <v>0</v>
      </c>
      <c r="AB421" s="5" t="n">
        <v>12.219</v>
      </c>
      <c r="AC421" s="5" t="n">
        <v>0</v>
      </c>
      <c r="AD421" s="5" t="n">
        <v>1</v>
      </c>
      <c r="AE421" s="5" t="n">
        <v>13.543</v>
      </c>
      <c r="AF421" s="5" t="n">
        <v>2.952</v>
      </c>
      <c r="AG421" s="5" t="n">
        <v>0</v>
      </c>
      <c r="AH421" s="5" t="n">
        <v>13.543</v>
      </c>
      <c r="AI421" s="5" t="n">
        <v>0</v>
      </c>
      <c r="AJ421" s="5" t="n">
        <v>1</v>
      </c>
      <c r="AK421" s="5" t="n">
        <v>21.484</v>
      </c>
      <c r="AL421" s="5" t="n">
        <v>11.148</v>
      </c>
      <c r="AM421" s="5" t="n">
        <v>0.366</v>
      </c>
      <c r="AN421" s="5" t="n">
        <v>24.17</v>
      </c>
      <c r="AO421" s="5" t="n">
        <v>0.125</v>
      </c>
      <c r="AP421" s="5" t="n">
        <v>1</v>
      </c>
      <c r="AQ421" s="5" t="n">
        <v>0.72</v>
      </c>
      <c r="AR421" s="5" t="n">
        <v>0.132</v>
      </c>
      <c r="AS421" s="5" t="n">
        <v>0.012</v>
      </c>
      <c r="AT421" s="5" t="n">
        <v>0.8100000000000001</v>
      </c>
      <c r="AU421" s="5" t="n">
        <v>0.125</v>
      </c>
      <c r="AV421" s="5" t="n">
        <v>1</v>
      </c>
      <c r="AW421" s="5" t="n">
        <v>0.734</v>
      </c>
      <c r="AX421" s="5" t="n">
        <v>0.132</v>
      </c>
      <c r="AY421" s="5" t="n">
        <v>0.012</v>
      </c>
      <c r="AZ421" s="5" t="n">
        <v>0.825</v>
      </c>
      <c r="BA421" s="5" t="n">
        <v>0.125</v>
      </c>
      <c r="BB421" s="5" t="n">
        <v>1</v>
      </c>
      <c r="BC421" s="5" t="n">
        <v>0.51</v>
      </c>
      <c r="BD421" s="5" t="n">
        <v>0.132</v>
      </c>
      <c r="BE421" s="5" t="n">
        <v>0.008999999999999999</v>
      </c>
      <c r="BF421" s="5" t="n">
        <v>0.574</v>
      </c>
      <c r="BG421" s="5" t="n">
        <v>0.125</v>
      </c>
      <c r="BH421" s="5" t="n">
        <v>1</v>
      </c>
      <c r="BI421" s="5" t="n">
        <v>0.652</v>
      </c>
      <c r="BJ421" s="5" t="n">
        <v>0.132</v>
      </c>
      <c r="BK421" s="5" t="n">
        <v>0.011</v>
      </c>
      <c r="BL421" s="5" t="n">
        <v>0.734</v>
      </c>
      <c r="BM421" s="5" t="n">
        <v>0.125</v>
      </c>
      <c r="BN421" s="5" t="n">
        <v>1</v>
      </c>
      <c r="BO421" s="5" t="n">
        <v>0</v>
      </c>
      <c r="BP421" s="5" t="n">
        <v>0</v>
      </c>
      <c r="BQ421" s="5" t="n">
        <v>0</v>
      </c>
      <c r="BR421" s="5" t="n">
        <v>0</v>
      </c>
      <c r="BS421" s="5" t="n">
        <v>1</v>
      </c>
      <c r="BT421" s="5" t="n">
        <v>0</v>
      </c>
      <c r="BU421" s="5" t="n">
        <v>0</v>
      </c>
      <c r="BV421" s="5" t="n">
        <v>0</v>
      </c>
      <c r="BW421" s="5" t="n">
        <v>0.125</v>
      </c>
      <c r="BX421" s="5" t="n">
        <v>1</v>
      </c>
      <c r="BY421" s="5" t="n">
        <v>13.646</v>
      </c>
      <c r="BZ421" s="5" t="n">
        <v>0</v>
      </c>
      <c r="CA421" s="5" t="n">
        <v>13.646</v>
      </c>
      <c r="CB421" s="5" t="n">
        <v>0</v>
      </c>
      <c r="CC421" s="5" t="n">
        <v>86.38500000000001</v>
      </c>
      <c r="CD421" s="5" t="n">
        <v>7.95</v>
      </c>
      <c r="CE421" s="5" t="n">
        <v>1.471</v>
      </c>
      <c r="CF421" s="5" t="n">
        <v>97.184</v>
      </c>
      <c r="CG421" s="5" t="n">
        <v>0.125</v>
      </c>
      <c r="CH421" s="5" t="n">
        <v>1</v>
      </c>
      <c r="CI421" s="5" t="n">
        <v>0</v>
      </c>
      <c r="CJ421" s="5" t="n">
        <v>0</v>
      </c>
      <c r="CK421" s="5" t="n">
        <v>0</v>
      </c>
      <c r="CL421" s="5" t="n">
        <v>0</v>
      </c>
      <c r="CM421" s="5" t="n">
        <v>0</v>
      </c>
      <c r="CN421" s="5" t="n">
        <v>0</v>
      </c>
      <c r="CO421" s="5" t="n">
        <v>0</v>
      </c>
      <c r="CP421" s="5" t="n">
        <v>0</v>
      </c>
      <c r="CQ421" s="5" t="n">
        <v>1.387</v>
      </c>
      <c r="CR421" s="5" t="n">
        <v>0</v>
      </c>
      <c r="CS421" s="5" t="n">
        <v>5.529</v>
      </c>
      <c r="CT421" s="5" t="n">
        <v>3.509</v>
      </c>
      <c r="CU421" s="5" t="n">
        <v>10.896</v>
      </c>
    </row>
    <row r="422">
      <c r="A422" s="5" t="inlineStr">
        <is>
          <t>KOR2021</t>
        </is>
      </c>
      <c r="B422" s="5" t="inlineStr">
        <is>
          <t>KOR</t>
        </is>
      </c>
      <c r="C422" s="5" t="inlineStr">
        <is>
          <t>KOR</t>
        </is>
      </c>
      <c r="D422" s="5" t="inlineStr">
        <is>
          <t>Korea</t>
        </is>
      </c>
      <c r="E422" s="5" t="n">
        <v>2021</v>
      </c>
      <c r="F422" s="5" t="n">
        <v>0.1</v>
      </c>
      <c r="G422" s="5" t="n">
        <v>4.446</v>
      </c>
      <c r="H422" s="5" t="n">
        <v>0.973</v>
      </c>
      <c r="I422" s="5" t="n">
        <v>2.735</v>
      </c>
      <c r="J422" s="5" t="n">
        <v>7.181</v>
      </c>
      <c r="K422" s="5" t="n">
        <v>0</v>
      </c>
      <c r="L422" s="5" t="n">
        <v>1</v>
      </c>
      <c r="M422" s="5" t="n">
        <v>5.764</v>
      </c>
      <c r="N422" s="5" t="n">
        <v>2.612</v>
      </c>
      <c r="O422" s="5" t="n">
        <v>1.417</v>
      </c>
      <c r="P422" s="5" t="n">
        <v>7.181</v>
      </c>
      <c r="Q422" s="5" t="n">
        <v>0</v>
      </c>
      <c r="R422" s="5" t="n">
        <v>1</v>
      </c>
      <c r="S422" s="5" t="n">
        <v>11.463</v>
      </c>
      <c r="T422" s="5" t="n">
        <v>7.103</v>
      </c>
      <c r="U422" s="5" t="n">
        <v>-3.064</v>
      </c>
      <c r="V422" s="5" t="n">
        <v>8.398</v>
      </c>
      <c r="W422" s="5" t="n">
        <v>0</v>
      </c>
      <c r="X422" s="5" t="n">
        <v>0</v>
      </c>
      <c r="Y422" s="5" t="n">
        <v>13.956</v>
      </c>
      <c r="Z422" s="5" t="n">
        <v>1.542</v>
      </c>
      <c r="AA422" s="5" t="n">
        <v>0.147</v>
      </c>
      <c r="AB422" s="5" t="n">
        <v>14.103</v>
      </c>
      <c r="AC422" s="5" t="n">
        <v>0</v>
      </c>
      <c r="AD422" s="5" t="n">
        <v>1</v>
      </c>
      <c r="AE422" s="5" t="n">
        <v>14.038</v>
      </c>
      <c r="AF422" s="5" t="n">
        <v>2.762</v>
      </c>
      <c r="AG422" s="5" t="n">
        <v>1.631</v>
      </c>
      <c r="AH422" s="5" t="n">
        <v>15.669</v>
      </c>
      <c r="AI422" s="5" t="n">
        <v>0</v>
      </c>
      <c r="AJ422" s="5" t="n">
        <v>1</v>
      </c>
      <c r="AK422" s="5" t="n">
        <v>17.765</v>
      </c>
      <c r="AL422" s="5" t="n">
        <v>8.718999999999999</v>
      </c>
      <c r="AM422" s="5" t="n">
        <v>-5.204</v>
      </c>
      <c r="AN422" s="5" t="n">
        <v>13.817</v>
      </c>
      <c r="AO422" s="5" t="n">
        <v>0</v>
      </c>
      <c r="AP422" s="5" t="n">
        <v>0</v>
      </c>
      <c r="AQ422" s="5" t="n">
        <v>0.621</v>
      </c>
      <c r="AR422" s="5" t="n">
        <v>0.114</v>
      </c>
      <c r="AS422" s="5" t="n">
        <v>0.623</v>
      </c>
      <c r="AT422" s="5" t="n">
        <v>1.367</v>
      </c>
      <c r="AU422" s="5" t="n">
        <v>0.1</v>
      </c>
      <c r="AV422" s="5" t="n">
        <v>1</v>
      </c>
      <c r="AW422" s="5" t="n">
        <v>0.593</v>
      </c>
      <c r="AX422" s="5" t="n">
        <v>0.114</v>
      </c>
      <c r="AY422" s="5" t="n">
        <v>0.512</v>
      </c>
      <c r="AZ422" s="5" t="n">
        <v>1.216</v>
      </c>
      <c r="BA422" s="5" t="n">
        <v>0.1</v>
      </c>
      <c r="BB422" s="5" t="n">
        <v>1</v>
      </c>
      <c r="BC422" s="5" t="n">
        <v>0.44</v>
      </c>
      <c r="BD422" s="5" t="n">
        <v>0.114</v>
      </c>
      <c r="BE422" s="5" t="n">
        <v>0.141</v>
      </c>
      <c r="BF422" s="5" t="n">
        <v>0.639</v>
      </c>
      <c r="BG422" s="5" t="n">
        <v>0.1</v>
      </c>
      <c r="BH422" s="5" t="n">
        <v>1</v>
      </c>
      <c r="BI422" s="5" t="n">
        <v>0.5600000000000001</v>
      </c>
      <c r="BJ422" s="5" t="n">
        <v>0.114</v>
      </c>
      <c r="BK422" s="5" t="n">
        <v>0.192</v>
      </c>
      <c r="BL422" s="5" t="n">
        <v>0.828</v>
      </c>
      <c r="BM422" s="5" t="n">
        <v>0.1</v>
      </c>
      <c r="BN422" s="5" t="n">
        <v>1</v>
      </c>
      <c r="BO422" s="5" t="n">
        <v>0</v>
      </c>
      <c r="BP422" s="5" t="n">
        <v>0.003</v>
      </c>
      <c r="BQ422" s="5" t="n">
        <v>0.091</v>
      </c>
      <c r="BR422" s="5" t="n">
        <v>0</v>
      </c>
      <c r="BS422" s="5" t="n">
        <v>0.833</v>
      </c>
      <c r="BT422" s="5" t="n">
        <v>0</v>
      </c>
      <c r="BU422" s="5" t="n">
        <v>0.004</v>
      </c>
      <c r="BV422" s="5" t="n">
        <v>0.094</v>
      </c>
      <c r="BW422" s="5" t="n">
        <v>0</v>
      </c>
      <c r="BX422" s="5" t="n">
        <v>0.667</v>
      </c>
      <c r="BY422" s="5" t="n">
        <v>2.587</v>
      </c>
      <c r="BZ422" s="5" t="n">
        <v>0</v>
      </c>
      <c r="CA422" s="5" t="n">
        <v>2.587</v>
      </c>
      <c r="CB422" s="5" t="n">
        <v>0</v>
      </c>
      <c r="CC422" s="5" t="n">
        <v>81.69499999999999</v>
      </c>
      <c r="CD422" s="5" t="n">
        <v>7.95</v>
      </c>
      <c r="CE422" s="5" t="n">
        <v>-1.133</v>
      </c>
      <c r="CF422" s="5" t="n">
        <v>88.619</v>
      </c>
      <c r="CG422" s="5" t="n">
        <v>0.1</v>
      </c>
      <c r="CH422" s="5" t="n">
        <v>1</v>
      </c>
      <c r="CI422" s="5" t="n">
        <v>0</v>
      </c>
      <c r="CJ422" s="5" t="n">
        <v>0</v>
      </c>
      <c r="CK422" s="5" t="n">
        <v>0</v>
      </c>
      <c r="CL422" s="5" t="n">
        <v>0.029</v>
      </c>
      <c r="CM422" s="5" t="n">
        <v>0</v>
      </c>
      <c r="CN422" s="5" t="n">
        <v>0</v>
      </c>
      <c r="CO422" s="5" t="n">
        <v>0</v>
      </c>
      <c r="CP422" s="5" t="n">
        <v>0</v>
      </c>
      <c r="CQ422" s="5" t="n">
        <v>1.198</v>
      </c>
      <c r="CR422" s="5" t="n">
        <v>0</v>
      </c>
      <c r="CS422" s="5" t="n">
        <v>1.655</v>
      </c>
      <c r="CT422" s="5" t="n">
        <v>5.524</v>
      </c>
      <c r="CU422" s="5" t="n">
        <v>10.311</v>
      </c>
    </row>
    <row r="423">
      <c r="A423" s="5" t="inlineStr">
        <is>
          <t>KOR2022</t>
        </is>
      </c>
      <c r="B423" s="5" t="inlineStr">
        <is>
          <t>KOR</t>
        </is>
      </c>
      <c r="C423" s="5" t="inlineStr">
        <is>
          <t>KOR</t>
        </is>
      </c>
      <c r="D423" s="5" t="inlineStr">
        <is>
          <t>Korea</t>
        </is>
      </c>
      <c r="E423" s="5" t="n">
        <v>2022</v>
      </c>
      <c r="F423" s="5" t="n">
        <v>0.1</v>
      </c>
      <c r="G423" s="5" t="n">
        <v>3.98</v>
      </c>
      <c r="H423" s="5" t="n">
        <v>0.618</v>
      </c>
      <c r="I423" s="5" t="n">
        <v>3.182</v>
      </c>
      <c r="J423" s="5" t="n">
        <v>7.162</v>
      </c>
      <c r="K423" s="5" t="n">
        <v>0</v>
      </c>
      <c r="L423" s="5" t="n">
        <v>1</v>
      </c>
      <c r="M423" s="5" t="n">
        <v>4.988</v>
      </c>
      <c r="N423" s="5" t="n">
        <v>2.06</v>
      </c>
      <c r="O423" s="5" t="n">
        <v>2.174</v>
      </c>
      <c r="P423" s="5" t="n">
        <v>7.162</v>
      </c>
      <c r="Q423" s="5" t="n">
        <v>0</v>
      </c>
      <c r="R423" s="5" t="n">
        <v>1</v>
      </c>
      <c r="S423" s="5" t="n">
        <v>8.478</v>
      </c>
      <c r="T423" s="5" t="n">
        <v>4.152</v>
      </c>
      <c r="U423" s="5" t="n">
        <v>-1.275</v>
      </c>
      <c r="V423" s="5" t="n">
        <v>7.203</v>
      </c>
      <c r="W423" s="5" t="n">
        <v>0</v>
      </c>
      <c r="X423" s="5" t="n">
        <v>0</v>
      </c>
      <c r="Y423" s="5" t="n">
        <v>23.589</v>
      </c>
      <c r="Z423" s="5" t="n">
        <v>2.475</v>
      </c>
      <c r="AA423" s="5" t="n">
        <v>1.306</v>
      </c>
      <c r="AB423" s="5" t="n">
        <v>24.896</v>
      </c>
      <c r="AC423" s="5" t="n">
        <v>0</v>
      </c>
      <c r="AD423" s="5" t="n">
        <v>1</v>
      </c>
      <c r="AE423" s="5" t="n">
        <v>23.763</v>
      </c>
      <c r="AF423" s="5" t="n">
        <v>4.405</v>
      </c>
      <c r="AG423" s="5" t="n">
        <v>0.034</v>
      </c>
      <c r="AH423" s="5" t="n">
        <v>23.797</v>
      </c>
      <c r="AI423" s="5" t="n">
        <v>0</v>
      </c>
      <c r="AJ423" s="5" t="n">
        <v>1</v>
      </c>
      <c r="AK423" s="5" t="n">
        <v>28.038</v>
      </c>
      <c r="AL423" s="5" t="n">
        <v>13.389</v>
      </c>
      <c r="AM423" s="5" t="n">
        <v>-15.252</v>
      </c>
      <c r="AN423" s="5" t="n">
        <v>14.064</v>
      </c>
      <c r="AO423" s="5" t="n">
        <v>0</v>
      </c>
      <c r="AP423" s="5" t="n">
        <v>0</v>
      </c>
      <c r="AQ423" s="5" t="n">
        <v>0.847</v>
      </c>
      <c r="AR423" s="5" t="n">
        <v>0.123</v>
      </c>
      <c r="AS423" s="5" t="n">
        <v>0.406</v>
      </c>
      <c r="AT423" s="5" t="n">
        <v>1.378</v>
      </c>
      <c r="AU423" s="5" t="n">
        <v>0.1</v>
      </c>
      <c r="AV423" s="5" t="n">
        <v>1</v>
      </c>
      <c r="AW423" s="5" t="n">
        <v>0.947</v>
      </c>
      <c r="AX423" s="5" t="n">
        <v>0.123</v>
      </c>
      <c r="AY423" s="5" t="n">
        <v>0.351</v>
      </c>
      <c r="AZ423" s="5" t="n">
        <v>1.427</v>
      </c>
      <c r="BA423" s="5" t="n">
        <v>0.1</v>
      </c>
      <c r="BB423" s="5" t="n">
        <v>1</v>
      </c>
      <c r="BC423" s="5" t="n">
        <v>0.589</v>
      </c>
      <c r="BD423" s="5" t="n">
        <v>0.123</v>
      </c>
      <c r="BE423" s="5" t="n">
        <v>0.015</v>
      </c>
      <c r="BF423" s="5" t="n">
        <v>0.664</v>
      </c>
      <c r="BG423" s="5" t="n">
        <v>0.1</v>
      </c>
      <c r="BH423" s="5" t="n">
        <v>1</v>
      </c>
      <c r="BI423" s="5" t="n">
        <v>0.6889999999999999</v>
      </c>
      <c r="BJ423" s="5" t="n">
        <v>0.123</v>
      </c>
      <c r="BK423" s="5" t="n">
        <v>0.354</v>
      </c>
      <c r="BL423" s="5" t="n">
        <v>1.147</v>
      </c>
      <c r="BM423" s="5" t="n">
        <v>0.1</v>
      </c>
      <c r="BN423" s="5" t="n">
        <v>1</v>
      </c>
      <c r="BO423" s="5" t="n">
        <v>0</v>
      </c>
      <c r="BP423" s="5" t="n">
        <v>0.003</v>
      </c>
      <c r="BQ423" s="5" t="n">
        <v>0.094</v>
      </c>
      <c r="BR423" s="5" t="n">
        <v>0</v>
      </c>
      <c r="BS423" s="5" t="n">
        <v>0.833</v>
      </c>
      <c r="BT423" s="5" t="n">
        <v>0</v>
      </c>
      <c r="BU423" s="5" t="n">
        <v>0.003</v>
      </c>
      <c r="BV423" s="5" t="n">
        <v>0.092</v>
      </c>
      <c r="BW423" s="5" t="n">
        <v>0</v>
      </c>
      <c r="BX423" s="5" t="n">
        <v>0.667</v>
      </c>
      <c r="BY423" s="5" t="n">
        <v>2.794</v>
      </c>
      <c r="BZ423" s="5" t="n">
        <v>0</v>
      </c>
      <c r="CA423" s="5" t="n">
        <v>2.794</v>
      </c>
      <c r="CB423" s="5" t="n">
        <v>0</v>
      </c>
      <c r="CC423" s="5" t="n">
        <v>102.477</v>
      </c>
      <c r="CD423" s="5" t="n">
        <v>7.95</v>
      </c>
      <c r="CE423" s="5" t="n">
        <v>-5.812</v>
      </c>
      <c r="CF423" s="5" t="n">
        <v>106.331</v>
      </c>
      <c r="CG423" s="5" t="n">
        <v>0.1</v>
      </c>
      <c r="CH423" s="5" t="n">
        <v>1</v>
      </c>
      <c r="CI423" s="5" t="n">
        <v>0</v>
      </c>
      <c r="CJ423" s="5" t="n">
        <v>0</v>
      </c>
      <c r="CK423" s="5" t="n">
        <v>0</v>
      </c>
      <c r="CL423" s="5" t="n">
        <v>0.031</v>
      </c>
      <c r="CM423" s="5" t="n">
        <v>0</v>
      </c>
      <c r="CN423" s="5" t="n">
        <v>0</v>
      </c>
      <c r="CO423" s="5" t="n">
        <v>0</v>
      </c>
      <c r="CP423" s="5" t="n">
        <v>0</v>
      </c>
      <c r="CQ423" s="5" t="n">
        <v>1.294</v>
      </c>
      <c r="CR423" s="5" t="n">
        <v>0</v>
      </c>
      <c r="CS423" s="5" t="n">
        <v>1.788</v>
      </c>
      <c r="CT423" s="5" t="n">
        <v>11.201</v>
      </c>
      <c r="CU423" s="5" t="n">
        <v>19.853</v>
      </c>
    </row>
    <row r="424">
      <c r="A424" s="5" t="inlineStr">
        <is>
          <t>KOR2023</t>
        </is>
      </c>
      <c r="B424" s="5" t="inlineStr">
        <is>
          <t>KOR</t>
        </is>
      </c>
      <c r="C424" s="5" t="inlineStr">
        <is>
          <t>KOR</t>
        </is>
      </c>
      <c r="D424" s="5" t="inlineStr">
        <is>
          <t>Korea</t>
        </is>
      </c>
      <c r="E424" s="5" t="n">
        <v>2023</v>
      </c>
      <c r="F424" s="5" t="n">
        <v>0.1</v>
      </c>
      <c r="G424" s="5" t="n">
        <v>4.112</v>
      </c>
      <c r="H424" s="5" t="n">
        <v>0.9370000000000001</v>
      </c>
      <c r="I424" s="5" t="n">
        <v>2.31</v>
      </c>
      <c r="J424" s="5" t="n">
        <v>6.422</v>
      </c>
      <c r="K424" s="5" t="n">
        <v>0</v>
      </c>
      <c r="L424" s="5" t="n">
        <v>1</v>
      </c>
      <c r="M424" s="5" t="n">
        <v>5.052</v>
      </c>
      <c r="N424" s="5" t="n">
        <v>2.505</v>
      </c>
      <c r="O424" s="5" t="n">
        <v>1.371</v>
      </c>
      <c r="P424" s="5" t="n">
        <v>6.422</v>
      </c>
      <c r="Q424" s="5" t="n">
        <v>0</v>
      </c>
      <c r="R424" s="5" t="n">
        <v>1</v>
      </c>
      <c r="S424" s="5" t="n">
        <v>8.856999999999999</v>
      </c>
      <c r="T424" s="5" t="n">
        <v>5.554</v>
      </c>
      <c r="U424" s="5" t="n">
        <v>-0.821</v>
      </c>
      <c r="V424" s="5" t="n">
        <v>8.035</v>
      </c>
      <c r="W424" s="5" t="n">
        <v>0</v>
      </c>
      <c r="X424" s="5" t="n">
        <v>0</v>
      </c>
      <c r="Y424" s="5" t="n">
        <v>18.667</v>
      </c>
      <c r="Z424" s="5" t="n">
        <v>2.091</v>
      </c>
      <c r="AA424" s="5" t="n">
        <v>3.185</v>
      </c>
      <c r="AB424" s="5" t="n">
        <v>21.852</v>
      </c>
      <c r="AC424" s="5" t="n">
        <v>0</v>
      </c>
      <c r="AD424" s="5" t="n">
        <v>1</v>
      </c>
      <c r="AE424" s="5" t="n">
        <v>18.892</v>
      </c>
      <c r="AF424" s="5" t="n">
        <v>3.763</v>
      </c>
      <c r="AG424" s="5" t="n">
        <v>1.952</v>
      </c>
      <c r="AH424" s="5" t="n">
        <v>20.844</v>
      </c>
      <c r="AI424" s="5" t="n">
        <v>0</v>
      </c>
      <c r="AJ424" s="5" t="n">
        <v>1</v>
      </c>
      <c r="AK424" s="5" t="n">
        <v>23.473</v>
      </c>
      <c r="AL424" s="5" t="n">
        <v>11.628</v>
      </c>
      <c r="AM424" s="5" t="n">
        <v>-7.703</v>
      </c>
      <c r="AN424" s="5" t="n">
        <v>17.346</v>
      </c>
      <c r="AO424" s="5" t="n">
        <v>0</v>
      </c>
      <c r="AP424" s="5" t="n">
        <v>0</v>
      </c>
      <c r="AQ424" s="5" t="n">
        <v>0.749</v>
      </c>
      <c r="AR424" s="5" t="n">
        <v>0.129</v>
      </c>
      <c r="AS424" s="5" t="n">
        <v>0.373</v>
      </c>
      <c r="AT424" s="5" t="n">
        <v>1.234</v>
      </c>
      <c r="AU424" s="5" t="n">
        <v>0.1</v>
      </c>
      <c r="AV424" s="5" t="n">
        <v>1</v>
      </c>
      <c r="AW424" s="5" t="n">
        <v>0.783</v>
      </c>
      <c r="AX424" s="5" t="n">
        <v>0.129</v>
      </c>
      <c r="AY424" s="5" t="n">
        <v>0.304</v>
      </c>
      <c r="AZ424" s="5" t="n">
        <v>1.195</v>
      </c>
      <c r="BA424" s="5" t="n">
        <v>0.1</v>
      </c>
      <c r="BB424" s="5" t="n">
        <v>1</v>
      </c>
      <c r="BC424" s="5" t="n">
        <v>0.527</v>
      </c>
      <c r="BD424" s="5" t="n">
        <v>0.129</v>
      </c>
      <c r="BE424" s="5" t="n">
        <v>-0.019</v>
      </c>
      <c r="BF424" s="5" t="n">
        <v>0.5590000000000001</v>
      </c>
      <c r="BG424" s="5" t="n">
        <v>0.1</v>
      </c>
      <c r="BH424" s="5" t="n">
        <v>1</v>
      </c>
      <c r="BI424" s="5" t="n">
        <v>0.64</v>
      </c>
      <c r="BJ424" s="5" t="n">
        <v>0.129</v>
      </c>
      <c r="BK424" s="5" t="n">
        <v>0.338</v>
      </c>
      <c r="BL424" s="5" t="n">
        <v>1.076</v>
      </c>
      <c r="BM424" s="5" t="n">
        <v>0.1</v>
      </c>
      <c r="BN424" s="5" t="n">
        <v>1</v>
      </c>
      <c r="BO424" s="5" t="n">
        <v>0</v>
      </c>
      <c r="BP424" s="5" t="n">
        <v>0.006</v>
      </c>
      <c r="BQ424" s="5" t="n">
        <v>0.118</v>
      </c>
      <c r="BR424" s="5" t="n">
        <v>0</v>
      </c>
      <c r="BS424" s="5" t="n">
        <v>0.833</v>
      </c>
      <c r="BT424" s="5" t="n">
        <v>0</v>
      </c>
      <c r="BU424" s="5" t="n">
        <v>0.004</v>
      </c>
      <c r="BV424" s="5" t="n">
        <v>0.115</v>
      </c>
      <c r="BW424" s="5" t="n">
        <v>0</v>
      </c>
      <c r="BX424" s="5" t="n">
        <v>0.667</v>
      </c>
      <c r="BY424" s="5" t="n">
        <v>2.909</v>
      </c>
      <c r="BZ424" s="5" t="n">
        <v>0</v>
      </c>
      <c r="CA424" s="5" t="n">
        <v>2.909</v>
      </c>
      <c r="CB424" s="5" t="n">
        <v>0</v>
      </c>
      <c r="CC424" s="5" t="n">
        <v>87.07899999999999</v>
      </c>
      <c r="CD424" s="5" t="n">
        <v>7.95</v>
      </c>
      <c r="CE424" s="5" t="n">
        <v>1.761</v>
      </c>
      <c r="CF424" s="5" t="n">
        <v>97.724</v>
      </c>
      <c r="CG424" s="5" t="n">
        <v>0.1</v>
      </c>
      <c r="CH424" s="5" t="n">
        <v>1</v>
      </c>
      <c r="CI424" s="5" t="n">
        <v>0</v>
      </c>
      <c r="CJ424" s="5" t="n">
        <v>0</v>
      </c>
      <c r="CK424" s="5" t="n">
        <v>0</v>
      </c>
      <c r="CL424" s="5" t="n">
        <v>0.032</v>
      </c>
      <c r="CM424" s="5" t="n">
        <v>0</v>
      </c>
      <c r="CN424" s="5" t="n">
        <v>0</v>
      </c>
      <c r="CO424" s="5" t="n">
        <v>0</v>
      </c>
      <c r="CP424" s="5" t="n">
        <v>0</v>
      </c>
      <c r="CQ424" s="5" t="n">
        <v>1.348</v>
      </c>
      <c r="CR424" s="5" t="n">
        <v>0</v>
      </c>
      <c r="CS424" s="5" t="n">
        <v>1.861</v>
      </c>
      <c r="CT424" s="5" t="n">
        <v>6.044</v>
      </c>
      <c r="CU424" s="5" t="n">
        <v>14.879</v>
      </c>
    </row>
    <row r="425">
      <c r="A425" s="5" t="inlineStr">
        <is>
          <t>KOR2024</t>
        </is>
      </c>
      <c r="B425" s="5" t="inlineStr">
        <is>
          <t>KOR</t>
        </is>
      </c>
      <c r="C425" s="5" t="inlineStr">
        <is>
          <t>KOR</t>
        </is>
      </c>
      <c r="D425" s="5" t="inlineStr">
        <is>
          <t>Korea</t>
        </is>
      </c>
      <c r="E425" s="5" t="n">
        <v>2024</v>
      </c>
      <c r="F425" s="5" t="n">
        <v>0.1</v>
      </c>
      <c r="G425" s="5" t="n">
        <v>3.912</v>
      </c>
      <c r="H425" s="5" t="n">
        <v>0.991</v>
      </c>
      <c r="I425" s="5" t="n">
        <v>1.843</v>
      </c>
      <c r="J425" s="5" t="n">
        <v>5.755</v>
      </c>
      <c r="K425" s="5" t="n">
        <v>0</v>
      </c>
      <c r="L425" s="5" t="n">
        <v>1</v>
      </c>
      <c r="M425" s="5" t="n">
        <v>4.883</v>
      </c>
      <c r="N425" s="5" t="n">
        <v>2.66</v>
      </c>
      <c r="O425" s="5" t="n">
        <v>0.873</v>
      </c>
      <c r="P425" s="5" t="n">
        <v>5.755</v>
      </c>
      <c r="Q425" s="5" t="n">
        <v>0</v>
      </c>
      <c r="R425" s="5" t="n">
        <v>1</v>
      </c>
      <c r="S425" s="5" t="n">
        <v>9.073</v>
      </c>
      <c r="T425" s="5" t="n">
        <v>6.007</v>
      </c>
      <c r="U425" s="5" t="n">
        <v>-1.293</v>
      </c>
      <c r="V425" s="5" t="n">
        <v>7.78</v>
      </c>
      <c r="W425" s="5" t="n">
        <v>0</v>
      </c>
      <c r="X425" s="5" t="n">
        <v>0</v>
      </c>
      <c r="Y425" s="5" t="n">
        <v>14.959</v>
      </c>
      <c r="Z425" s="5" t="n">
        <v>1.889</v>
      </c>
      <c r="AA425" s="5" t="n">
        <v>0.919</v>
      </c>
      <c r="AB425" s="5" t="n">
        <v>15.878</v>
      </c>
      <c r="AC425" s="5" t="n">
        <v>0</v>
      </c>
      <c r="AD425" s="5" t="n">
        <v>1</v>
      </c>
      <c r="AE425" s="5" t="n">
        <v>16.804</v>
      </c>
      <c r="AF425" s="5" t="n">
        <v>3.681</v>
      </c>
      <c r="AG425" s="5" t="n">
        <v>1.372</v>
      </c>
      <c r="AH425" s="5" t="n">
        <v>18.176</v>
      </c>
      <c r="AI425" s="5" t="n">
        <v>0</v>
      </c>
      <c r="AJ425" s="5" t="n">
        <v>1</v>
      </c>
      <c r="AK425" s="5" t="n">
        <v>20.889</v>
      </c>
      <c r="AL425" s="5" t="n">
        <v>10.624</v>
      </c>
      <c r="AM425" s="5" t="n">
        <v>-5.023</v>
      </c>
      <c r="AN425" s="5" t="n">
        <v>17.452</v>
      </c>
      <c r="AO425" s="5" t="n">
        <v>0</v>
      </c>
      <c r="AP425" s="5" t="n">
        <v>0</v>
      </c>
      <c r="AQ425" s="5" t="n">
        <v>0.72</v>
      </c>
      <c r="AR425" s="5" t="n">
        <v>0.132</v>
      </c>
      <c r="AS425" s="5" t="n">
        <v>0.354</v>
      </c>
      <c r="AT425" s="5" t="n">
        <v>1.182</v>
      </c>
      <c r="AU425" s="5" t="n">
        <v>0.1</v>
      </c>
      <c r="AV425" s="5" t="n">
        <v>1</v>
      </c>
      <c r="AW425" s="5" t="n">
        <v>0.734</v>
      </c>
      <c r="AX425" s="5" t="n">
        <v>0.132</v>
      </c>
      <c r="AY425" s="5" t="n">
        <v>0.27</v>
      </c>
      <c r="AZ425" s="5" t="n">
        <v>1.105</v>
      </c>
      <c r="BA425" s="5" t="n">
        <v>0.1</v>
      </c>
      <c r="BB425" s="5" t="n">
        <v>1</v>
      </c>
      <c r="BC425" s="5" t="n">
        <v>0.51</v>
      </c>
      <c r="BD425" s="5" t="n">
        <v>0.132</v>
      </c>
      <c r="BE425" s="5" t="n">
        <v>-0.005</v>
      </c>
      <c r="BF425" s="5" t="n">
        <v>0.556</v>
      </c>
      <c r="BG425" s="5" t="n">
        <v>0.1</v>
      </c>
      <c r="BH425" s="5" t="n">
        <v>1</v>
      </c>
      <c r="BI425" s="5" t="n">
        <v>0.652</v>
      </c>
      <c r="BJ425" s="5" t="n">
        <v>0.132</v>
      </c>
      <c r="BK425" s="5" t="n">
        <v>0.249</v>
      </c>
      <c r="BL425" s="5" t="n">
        <v>0.991</v>
      </c>
      <c r="BM425" s="5" t="n">
        <v>0.1</v>
      </c>
      <c r="BN425" s="5" t="n">
        <v>1</v>
      </c>
      <c r="BO425" s="5" t="n">
        <v>0</v>
      </c>
      <c r="BP425" s="5" t="n">
        <v>0.004</v>
      </c>
      <c r="BQ425" s="5" t="n">
        <v>0.116</v>
      </c>
      <c r="BR425" s="5" t="n">
        <v>0</v>
      </c>
      <c r="BS425" s="5" t="n">
        <v>0.833</v>
      </c>
      <c r="BT425" s="5" t="n">
        <v>0</v>
      </c>
      <c r="BU425" s="5" t="n">
        <v>0.004</v>
      </c>
      <c r="BV425" s="5" t="n">
        <v>0.115</v>
      </c>
      <c r="BW425" s="5" t="n">
        <v>0</v>
      </c>
      <c r="BX425" s="5" t="n">
        <v>0.667</v>
      </c>
      <c r="BY425" s="5" t="n">
        <v>2.995</v>
      </c>
      <c r="BZ425" s="5" t="n">
        <v>0</v>
      </c>
      <c r="CA425" s="5" t="n">
        <v>2.995</v>
      </c>
      <c r="CB425" s="5" t="n">
        <v>0</v>
      </c>
      <c r="CC425" s="5" t="n">
        <v>86.38500000000001</v>
      </c>
      <c r="CD425" s="5" t="n">
        <v>7.95</v>
      </c>
      <c r="CE425" s="5" t="n">
        <v>-6.537</v>
      </c>
      <c r="CF425" s="5" t="n">
        <v>87.833</v>
      </c>
      <c r="CG425" s="5" t="n">
        <v>0.1</v>
      </c>
      <c r="CH425" s="5" t="n">
        <v>1</v>
      </c>
      <c r="CI425" s="5" t="n">
        <v>0</v>
      </c>
      <c r="CJ425" s="5" t="n">
        <v>0</v>
      </c>
      <c r="CK425" s="5" t="n">
        <v>0</v>
      </c>
      <c r="CL425" s="5" t="n">
        <v>0.033</v>
      </c>
      <c r="CM425" s="5" t="n">
        <v>0</v>
      </c>
      <c r="CN425" s="5" t="n">
        <v>0</v>
      </c>
      <c r="CO425" s="5" t="n">
        <v>0</v>
      </c>
      <c r="CP425" s="5" t="n">
        <v>0</v>
      </c>
      <c r="CQ425" s="5" t="n">
        <v>1.387</v>
      </c>
      <c r="CR425" s="5" t="n">
        <v>0</v>
      </c>
      <c r="CS425" s="5" t="n">
        <v>1.916</v>
      </c>
      <c r="CT425" s="5" t="n">
        <v>5.005</v>
      </c>
      <c r="CU425" s="5" t="n">
        <v>11.813</v>
      </c>
    </row>
    <row r="426">
      <c r="A426" s="5" t="inlineStr">
        <is>
          <t>PRK2021</t>
        </is>
      </c>
      <c r="B426" s="5" t="inlineStr">
        <is>
          <t>PRK</t>
        </is>
      </c>
      <c r="C426" s="5" t="inlineStr">
        <is>
          <t>PRK</t>
        </is>
      </c>
      <c r="D426" s="5" t="inlineStr">
        <is>
          <t>Korea, Dem. People's Rep.</t>
        </is>
      </c>
      <c r="E426" s="5" t="n">
        <v>2021</v>
      </c>
      <c r="F426" s="5" t="n">
        <v>0</v>
      </c>
      <c r="G426" s="5" t="n">
        <v>1.785</v>
      </c>
      <c r="H426" s="5" t="n">
        <v>0.575</v>
      </c>
      <c r="I426" s="5" t="n">
        <v>0</v>
      </c>
      <c r="J426" s="5" t="n">
        <v>1.785</v>
      </c>
      <c r="K426" s="5" t="n">
        <v>0</v>
      </c>
      <c r="L426" s="5" t="n">
        <v>1</v>
      </c>
      <c r="M426" s="5" t="n">
        <v>2.939</v>
      </c>
      <c r="N426" s="5" t="n">
        <v>1.724</v>
      </c>
      <c r="O426" s="5" t="n">
        <v>0</v>
      </c>
      <c r="P426" s="5" t="n">
        <v>2.939</v>
      </c>
      <c r="Q426" s="5" t="n">
        <v>0</v>
      </c>
      <c r="R426" s="5" t="n">
        <v>1</v>
      </c>
      <c r="S426" s="5" t="n">
        <v>4.658</v>
      </c>
      <c r="T426" s="5" t="n">
        <v>3.447</v>
      </c>
      <c r="U426" s="5" t="n">
        <v>0</v>
      </c>
      <c r="V426" s="5" t="n">
        <v>4.658</v>
      </c>
      <c r="W426" s="5" t="n">
        <v>0</v>
      </c>
      <c r="X426" s="5" t="n">
        <v>1</v>
      </c>
      <c r="Y426" s="5" t="n">
        <v>10.551</v>
      </c>
      <c r="Z426" s="5" t="n">
        <v>1.302</v>
      </c>
      <c r="AA426" s="5" t="n">
        <v>0</v>
      </c>
      <c r="AB426" s="5" t="n">
        <v>10.551</v>
      </c>
      <c r="AC426" s="5" t="n">
        <v>0</v>
      </c>
      <c r="AD426" s="5" t="n">
        <v>1</v>
      </c>
      <c r="AE426" s="5" t="n">
        <v>11.694</v>
      </c>
      <c r="AF426" s="5" t="n">
        <v>2.549</v>
      </c>
      <c r="AG426" s="5" t="n">
        <v>0</v>
      </c>
      <c r="AH426" s="5" t="n">
        <v>11.694</v>
      </c>
      <c r="AI426" s="5" t="n">
        <v>0</v>
      </c>
      <c r="AJ426" s="5" t="n">
        <v>1</v>
      </c>
      <c r="AK426" s="5" t="n">
        <v>18.554</v>
      </c>
      <c r="AL426" s="5" t="n">
        <v>9.627000000000001</v>
      </c>
      <c r="AM426" s="5" t="n">
        <v>0</v>
      </c>
      <c r="AN426" s="5" t="n">
        <v>18.554</v>
      </c>
      <c r="AO426" s="5" t="n">
        <v>0</v>
      </c>
      <c r="AP426" s="5" t="n">
        <v>1</v>
      </c>
      <c r="AQ426" s="5" t="n">
        <v>0.621</v>
      </c>
      <c r="AR426" s="5" t="n">
        <v>0.114</v>
      </c>
      <c r="AS426" s="5" t="n">
        <v>0</v>
      </c>
      <c r="AT426" s="5" t="n">
        <v>0.621</v>
      </c>
      <c r="AU426" s="5" t="n">
        <v>0</v>
      </c>
      <c r="AV426" s="5" t="n">
        <v>1</v>
      </c>
      <c r="AW426" s="5" t="n">
        <v>0.593</v>
      </c>
      <c r="AX426" s="5" t="n">
        <v>0.114</v>
      </c>
      <c r="AY426" s="5" t="n">
        <v>0</v>
      </c>
      <c r="AZ426" s="5" t="n">
        <v>0.593</v>
      </c>
      <c r="BA426" s="5" t="n">
        <v>0</v>
      </c>
      <c r="BB426" s="5" t="n">
        <v>1</v>
      </c>
      <c r="BC426" s="5" t="n">
        <v>0.44</v>
      </c>
      <c r="BD426" s="5" t="n">
        <v>0.114</v>
      </c>
      <c r="BE426" s="5" t="n">
        <v>0</v>
      </c>
      <c r="BF426" s="5" t="n">
        <v>0.44</v>
      </c>
      <c r="BG426" s="5" t="n">
        <v>0</v>
      </c>
      <c r="BH426" s="5" t="n">
        <v>1</v>
      </c>
      <c r="BI426" s="5" t="n">
        <v>0.5600000000000001</v>
      </c>
      <c r="BJ426" s="5" t="n">
        <v>0.114</v>
      </c>
      <c r="BK426" s="5" t="n">
        <v>0</v>
      </c>
      <c r="BL426" s="5" t="n">
        <v>0.5600000000000001</v>
      </c>
      <c r="BM426" s="5" t="n">
        <v>0</v>
      </c>
      <c r="BN426" s="5" t="n">
        <v>1</v>
      </c>
      <c r="BO426" s="5" t="n">
        <v>0</v>
      </c>
      <c r="BP426" s="5" t="n">
        <v>0</v>
      </c>
      <c r="BQ426" s="5" t="n">
        <v>0</v>
      </c>
      <c r="BR426" s="5" t="n">
        <v>0</v>
      </c>
      <c r="BS426" s="5" t="n">
        <v>1</v>
      </c>
      <c r="BT426" s="5" t="n">
        <v>0</v>
      </c>
      <c r="BU426" s="5" t="n">
        <v>0</v>
      </c>
      <c r="BV426" s="5" t="n">
        <v>0</v>
      </c>
      <c r="BW426" s="5" t="n">
        <v>0</v>
      </c>
      <c r="BX426" s="5" t="n">
        <v>1</v>
      </c>
      <c r="BY426" s="5" t="n">
        <v>11.787</v>
      </c>
      <c r="BZ426" s="5" t="n">
        <v>0</v>
      </c>
      <c r="CA426" s="5" t="n">
        <v>11.787</v>
      </c>
      <c r="CB426" s="5" t="n">
        <v>0</v>
      </c>
      <c r="CC426" s="5" t="n">
        <v>81.69499999999999</v>
      </c>
      <c r="CD426" s="5" t="n">
        <v>7.95</v>
      </c>
      <c r="CE426" s="5" t="n">
        <v>0</v>
      </c>
      <c r="CF426" s="5" t="n">
        <v>81.69499999999999</v>
      </c>
      <c r="CG426" s="5" t="n">
        <v>0</v>
      </c>
      <c r="CH426" s="5" t="n">
        <v>1</v>
      </c>
      <c r="CI426" s="5" t="n">
        <v>0</v>
      </c>
      <c r="CJ426" s="5" t="n">
        <v>0</v>
      </c>
      <c r="CK426" s="5" t="n">
        <v>0</v>
      </c>
      <c r="CL426" s="5" t="n">
        <v>0</v>
      </c>
      <c r="CM426" s="5" t="n">
        <v>0</v>
      </c>
      <c r="CN426" s="5" t="n">
        <v>0</v>
      </c>
      <c r="CO426" s="5" t="n">
        <v>0</v>
      </c>
      <c r="CP426" s="5" t="n">
        <v>0.995</v>
      </c>
      <c r="CQ426" s="5" t="n">
        <v>1.198</v>
      </c>
      <c r="CR426" s="5" t="n">
        <v>0</v>
      </c>
      <c r="CS426" s="5" t="n">
        <v>4.776</v>
      </c>
      <c r="CT426" s="5" t="n">
        <v>3.604</v>
      </c>
      <c r="CU426" s="5" t="n">
        <v>9.407999999999999</v>
      </c>
    </row>
    <row r="427">
      <c r="A427" s="5" t="inlineStr">
        <is>
          <t>PRK2022</t>
        </is>
      </c>
      <c r="B427" s="5" t="inlineStr">
        <is>
          <t>PRK</t>
        </is>
      </c>
      <c r="C427" s="5" t="inlineStr">
        <is>
          <t>PRK</t>
        </is>
      </c>
      <c r="D427" s="5" t="inlineStr">
        <is>
          <t>Korea, Dem. People's Rep.</t>
        </is>
      </c>
      <c r="E427" s="5" t="n">
        <v>2022</v>
      </c>
      <c r="F427" s="5" t="n">
        <v>0</v>
      </c>
      <c r="G427" s="5" t="n">
        <v>1.928</v>
      </c>
      <c r="H427" s="5" t="n">
        <v>0.619</v>
      </c>
      <c r="I427" s="5" t="n">
        <v>0</v>
      </c>
      <c r="J427" s="5" t="n">
        <v>1.928</v>
      </c>
      <c r="K427" s="5" t="n">
        <v>0</v>
      </c>
      <c r="L427" s="5" t="n">
        <v>1</v>
      </c>
      <c r="M427" s="5" t="n">
        <v>3.162</v>
      </c>
      <c r="N427" s="5" t="n">
        <v>1.856</v>
      </c>
      <c r="O427" s="5" t="n">
        <v>0</v>
      </c>
      <c r="P427" s="5" t="n">
        <v>3.162</v>
      </c>
      <c r="Q427" s="5" t="n">
        <v>0</v>
      </c>
      <c r="R427" s="5" t="n">
        <v>1</v>
      </c>
      <c r="S427" s="5" t="n">
        <v>5.022</v>
      </c>
      <c r="T427" s="5" t="n">
        <v>3.713</v>
      </c>
      <c r="U427" s="5" t="n">
        <v>0</v>
      </c>
      <c r="V427" s="5" t="n">
        <v>5.022</v>
      </c>
      <c r="W427" s="5" t="n">
        <v>0</v>
      </c>
      <c r="X427" s="5" t="n">
        <v>1</v>
      </c>
      <c r="Y427" s="5" t="n">
        <v>17.332</v>
      </c>
      <c r="Z427" s="5" t="n">
        <v>2.139</v>
      </c>
      <c r="AA427" s="5" t="n">
        <v>0</v>
      </c>
      <c r="AB427" s="5" t="n">
        <v>17.332</v>
      </c>
      <c r="AC427" s="5" t="n">
        <v>0</v>
      </c>
      <c r="AD427" s="5" t="n">
        <v>1</v>
      </c>
      <c r="AE427" s="5" t="n">
        <v>18.566</v>
      </c>
      <c r="AF427" s="5" t="n">
        <v>4.048</v>
      </c>
      <c r="AG427" s="5" t="n">
        <v>0</v>
      </c>
      <c r="AH427" s="5" t="n">
        <v>18.566</v>
      </c>
      <c r="AI427" s="5" t="n">
        <v>0</v>
      </c>
      <c r="AJ427" s="5" t="n">
        <v>1</v>
      </c>
      <c r="AK427" s="5" t="n">
        <v>25.974</v>
      </c>
      <c r="AL427" s="5" t="n">
        <v>13.478</v>
      </c>
      <c r="AM427" s="5" t="n">
        <v>0</v>
      </c>
      <c r="AN427" s="5" t="n">
        <v>25.974</v>
      </c>
      <c r="AO427" s="5" t="n">
        <v>0</v>
      </c>
      <c r="AP427" s="5" t="n">
        <v>1</v>
      </c>
      <c r="AQ427" s="5" t="n">
        <v>0.847</v>
      </c>
      <c r="AR427" s="5" t="n">
        <v>0.123</v>
      </c>
      <c r="AS427" s="5" t="n">
        <v>0</v>
      </c>
      <c r="AT427" s="5" t="n">
        <v>0.847</v>
      </c>
      <c r="AU427" s="5" t="n">
        <v>0</v>
      </c>
      <c r="AV427" s="5" t="n">
        <v>1</v>
      </c>
      <c r="AW427" s="5" t="n">
        <v>0.947</v>
      </c>
      <c r="AX427" s="5" t="n">
        <v>0.123</v>
      </c>
      <c r="AY427" s="5" t="n">
        <v>0</v>
      </c>
      <c r="AZ427" s="5" t="n">
        <v>0.947</v>
      </c>
      <c r="BA427" s="5" t="n">
        <v>0</v>
      </c>
      <c r="BB427" s="5" t="n">
        <v>1</v>
      </c>
      <c r="BC427" s="5" t="n">
        <v>0.589</v>
      </c>
      <c r="BD427" s="5" t="n">
        <v>0.123</v>
      </c>
      <c r="BE427" s="5" t="n">
        <v>0</v>
      </c>
      <c r="BF427" s="5" t="n">
        <v>0.589</v>
      </c>
      <c r="BG427" s="5" t="n">
        <v>0</v>
      </c>
      <c r="BH427" s="5" t="n">
        <v>1</v>
      </c>
      <c r="BI427" s="5" t="n">
        <v>0.6889999999999999</v>
      </c>
      <c r="BJ427" s="5" t="n">
        <v>0.123</v>
      </c>
      <c r="BK427" s="5" t="n">
        <v>0</v>
      </c>
      <c r="BL427" s="5" t="n">
        <v>0.6889999999999999</v>
      </c>
      <c r="BM427" s="5" t="n">
        <v>0</v>
      </c>
      <c r="BN427" s="5" t="n">
        <v>1</v>
      </c>
      <c r="BO427" s="5" t="n">
        <v>0</v>
      </c>
      <c r="BP427" s="5" t="n">
        <v>0</v>
      </c>
      <c r="BQ427" s="5" t="n">
        <v>0</v>
      </c>
      <c r="BR427" s="5" t="n">
        <v>0</v>
      </c>
      <c r="BS427" s="5" t="n">
        <v>1</v>
      </c>
      <c r="BT427" s="5" t="n">
        <v>0</v>
      </c>
      <c r="BU427" s="5" t="n">
        <v>0</v>
      </c>
      <c r="BV427" s="5" t="n">
        <v>0</v>
      </c>
      <c r="BW427" s="5" t="n">
        <v>0</v>
      </c>
      <c r="BX427" s="5" t="n">
        <v>1</v>
      </c>
      <c r="BY427" s="5" t="n">
        <v>12.729</v>
      </c>
      <c r="BZ427" s="5" t="n">
        <v>0</v>
      </c>
      <c r="CA427" s="5" t="n">
        <v>12.729</v>
      </c>
      <c r="CB427" s="5" t="n">
        <v>0</v>
      </c>
      <c r="CC427" s="5" t="n">
        <v>102.477</v>
      </c>
      <c r="CD427" s="5" t="n">
        <v>7.95</v>
      </c>
      <c r="CE427" s="5" t="n">
        <v>0</v>
      </c>
      <c r="CF427" s="5" t="n">
        <v>102.477</v>
      </c>
      <c r="CG427" s="5" t="n">
        <v>0</v>
      </c>
      <c r="CH427" s="5" t="n">
        <v>1</v>
      </c>
      <c r="CI427" s="5" t="n">
        <v>0</v>
      </c>
      <c r="CJ427" s="5" t="n">
        <v>0</v>
      </c>
      <c r="CK427" s="5" t="n">
        <v>0</v>
      </c>
      <c r="CL427" s="5" t="n">
        <v>0</v>
      </c>
      <c r="CM427" s="5" t="n">
        <v>0</v>
      </c>
      <c r="CN427" s="5" t="n">
        <v>0</v>
      </c>
      <c r="CO427" s="5" t="n">
        <v>0</v>
      </c>
      <c r="CP427" s="5" t="n">
        <v>0.998</v>
      </c>
      <c r="CQ427" s="5" t="n">
        <v>1.294</v>
      </c>
      <c r="CR427" s="5" t="n">
        <v>0</v>
      </c>
      <c r="CS427" s="5" t="n">
        <v>5.158</v>
      </c>
      <c r="CT427" s="5" t="n">
        <v>7.554</v>
      </c>
      <c r="CU427" s="5" t="n">
        <v>16.097</v>
      </c>
    </row>
    <row r="428">
      <c r="A428" s="5" t="inlineStr">
        <is>
          <t>PRK2023</t>
        </is>
      </c>
      <c r="B428" s="5" t="inlineStr">
        <is>
          <t>PRK</t>
        </is>
      </c>
      <c r="C428" s="5" t="inlineStr">
        <is>
          <t>PRK</t>
        </is>
      </c>
      <c r="D428" s="5" t="inlineStr">
        <is>
          <t>Korea, Dem. People's Rep.</t>
        </is>
      </c>
      <c r="E428" s="5" t="n">
        <v>2023</v>
      </c>
      <c r="F428" s="5" t="n">
        <v>0</v>
      </c>
      <c r="G428" s="5" t="n">
        <v>1.99</v>
      </c>
      <c r="H428" s="5" t="n">
        <v>0.643</v>
      </c>
      <c r="I428" s="5" t="n">
        <v>0</v>
      </c>
      <c r="J428" s="5" t="n">
        <v>1.99</v>
      </c>
      <c r="K428" s="5" t="n">
        <v>0</v>
      </c>
      <c r="L428" s="5" t="n">
        <v>1</v>
      </c>
      <c r="M428" s="5" t="n">
        <v>3.276</v>
      </c>
      <c r="N428" s="5" t="n">
        <v>1.928</v>
      </c>
      <c r="O428" s="5" t="n">
        <v>0</v>
      </c>
      <c r="P428" s="5" t="n">
        <v>3.276</v>
      </c>
      <c r="Q428" s="5" t="n">
        <v>0</v>
      </c>
      <c r="R428" s="5" t="n">
        <v>1</v>
      </c>
      <c r="S428" s="5" t="n">
        <v>5.205</v>
      </c>
      <c r="T428" s="5" t="n">
        <v>3.857</v>
      </c>
      <c r="U428" s="5" t="n">
        <v>0</v>
      </c>
      <c r="V428" s="5" t="n">
        <v>5.205</v>
      </c>
      <c r="W428" s="5" t="n">
        <v>0</v>
      </c>
      <c r="X428" s="5" t="n">
        <v>1</v>
      </c>
      <c r="Y428" s="5" t="n">
        <v>13.814</v>
      </c>
      <c r="Z428" s="5" t="n">
        <v>1.705</v>
      </c>
      <c r="AA428" s="5" t="n">
        <v>0</v>
      </c>
      <c r="AB428" s="5" t="n">
        <v>13.814</v>
      </c>
      <c r="AC428" s="5" t="n">
        <v>0</v>
      </c>
      <c r="AD428" s="5" t="n">
        <v>1</v>
      </c>
      <c r="AE428" s="5" t="n">
        <v>15.1</v>
      </c>
      <c r="AF428" s="5" t="n">
        <v>3.292</v>
      </c>
      <c r="AG428" s="5" t="n">
        <v>0</v>
      </c>
      <c r="AH428" s="5" t="n">
        <v>15.1</v>
      </c>
      <c r="AI428" s="5" t="n">
        <v>0</v>
      </c>
      <c r="AJ428" s="5" t="n">
        <v>1</v>
      </c>
      <c r="AK428" s="5" t="n">
        <v>22.814</v>
      </c>
      <c r="AL428" s="5" t="n">
        <v>11.838</v>
      </c>
      <c r="AM428" s="5" t="n">
        <v>0</v>
      </c>
      <c r="AN428" s="5" t="n">
        <v>22.814</v>
      </c>
      <c r="AO428" s="5" t="n">
        <v>0</v>
      </c>
      <c r="AP428" s="5" t="n">
        <v>1</v>
      </c>
      <c r="AQ428" s="5" t="n">
        <v>0.749</v>
      </c>
      <c r="AR428" s="5" t="n">
        <v>0.129</v>
      </c>
      <c r="AS428" s="5" t="n">
        <v>0</v>
      </c>
      <c r="AT428" s="5" t="n">
        <v>0.749</v>
      </c>
      <c r="AU428" s="5" t="n">
        <v>0</v>
      </c>
      <c r="AV428" s="5" t="n">
        <v>1</v>
      </c>
      <c r="AW428" s="5" t="n">
        <v>0.783</v>
      </c>
      <c r="AX428" s="5" t="n">
        <v>0.129</v>
      </c>
      <c r="AY428" s="5" t="n">
        <v>0</v>
      </c>
      <c r="AZ428" s="5" t="n">
        <v>0.783</v>
      </c>
      <c r="BA428" s="5" t="n">
        <v>0</v>
      </c>
      <c r="BB428" s="5" t="n">
        <v>1</v>
      </c>
      <c r="BC428" s="5" t="n">
        <v>0.527</v>
      </c>
      <c r="BD428" s="5" t="n">
        <v>0.129</v>
      </c>
      <c r="BE428" s="5" t="n">
        <v>0</v>
      </c>
      <c r="BF428" s="5" t="n">
        <v>0.527</v>
      </c>
      <c r="BG428" s="5" t="n">
        <v>0</v>
      </c>
      <c r="BH428" s="5" t="n">
        <v>1</v>
      </c>
      <c r="BI428" s="5" t="n">
        <v>0.64</v>
      </c>
      <c r="BJ428" s="5" t="n">
        <v>0.129</v>
      </c>
      <c r="BK428" s="5" t="n">
        <v>0</v>
      </c>
      <c r="BL428" s="5" t="n">
        <v>0.64</v>
      </c>
      <c r="BM428" s="5" t="n">
        <v>0</v>
      </c>
      <c r="BN428" s="5" t="n">
        <v>1</v>
      </c>
      <c r="BO428" s="5" t="n">
        <v>0</v>
      </c>
      <c r="BP428" s="5" t="n">
        <v>0</v>
      </c>
      <c r="BQ428" s="5" t="n">
        <v>0</v>
      </c>
      <c r="BR428" s="5" t="n">
        <v>0</v>
      </c>
      <c r="BS428" s="5" t="n">
        <v>1</v>
      </c>
      <c r="BT428" s="5" t="n">
        <v>0</v>
      </c>
      <c r="BU428" s="5" t="n">
        <v>0</v>
      </c>
      <c r="BV428" s="5" t="n">
        <v>0</v>
      </c>
      <c r="BW428" s="5" t="n">
        <v>0</v>
      </c>
      <c r="BX428" s="5" t="n">
        <v>1</v>
      </c>
      <c r="BY428" s="5" t="n">
        <v>13.254</v>
      </c>
      <c r="BZ428" s="5" t="n">
        <v>0</v>
      </c>
      <c r="CA428" s="5" t="n">
        <v>13.254</v>
      </c>
      <c r="CB428" s="5" t="n">
        <v>0</v>
      </c>
      <c r="CC428" s="5" t="n">
        <v>87.07899999999999</v>
      </c>
      <c r="CD428" s="5" t="n">
        <v>7.95</v>
      </c>
      <c r="CE428" s="5" t="n">
        <v>0</v>
      </c>
      <c r="CF428" s="5" t="n">
        <v>87.07899999999999</v>
      </c>
      <c r="CG428" s="5" t="n">
        <v>0</v>
      </c>
      <c r="CH428" s="5" t="n">
        <v>1</v>
      </c>
      <c r="CI428" s="5" t="n">
        <v>0</v>
      </c>
      <c r="CJ428" s="5" t="n">
        <v>0</v>
      </c>
      <c r="CK428" s="5" t="n">
        <v>0</v>
      </c>
      <c r="CL428" s="5" t="n">
        <v>0</v>
      </c>
      <c r="CM428" s="5" t="n">
        <v>0</v>
      </c>
      <c r="CN428" s="5" t="n">
        <v>0</v>
      </c>
      <c r="CO428" s="5" t="n">
        <v>0</v>
      </c>
      <c r="CP428" s="5" t="n">
        <v>1</v>
      </c>
      <c r="CQ428" s="5" t="n">
        <v>1.348</v>
      </c>
      <c r="CR428" s="5" t="n">
        <v>0</v>
      </c>
      <c r="CS428" s="5" t="n">
        <v>5.37</v>
      </c>
      <c r="CT428" s="5" t="n">
        <v>4.484</v>
      </c>
      <c r="CU428" s="5" t="n">
        <v>12.529</v>
      </c>
    </row>
    <row r="429">
      <c r="A429" s="5" t="inlineStr">
        <is>
          <t>PRK2024</t>
        </is>
      </c>
      <c r="B429" s="5" t="inlineStr">
        <is>
          <t>PRK</t>
        </is>
      </c>
      <c r="C429" s="5" t="inlineStr">
        <is>
          <t>PRK</t>
        </is>
      </c>
      <c r="D429" s="5" t="inlineStr">
        <is>
          <t>Korea, Dem. People's Rep.</t>
        </is>
      </c>
      <c r="E429" s="5" t="n">
        <v>2024</v>
      </c>
      <c r="F429" s="5" t="n">
        <v>0</v>
      </c>
      <c r="G429" s="5" t="n">
        <v>2.049</v>
      </c>
      <c r="H429" s="5" t="n">
        <v>0.662</v>
      </c>
      <c r="I429" s="5" t="n">
        <v>0</v>
      </c>
      <c r="J429" s="5" t="n">
        <v>2.049</v>
      </c>
      <c r="K429" s="5" t="n">
        <v>0</v>
      </c>
      <c r="L429" s="5" t="n">
        <v>1</v>
      </c>
      <c r="M429" s="5" t="n">
        <v>3.373</v>
      </c>
      <c r="N429" s="5" t="n">
        <v>1.985</v>
      </c>
      <c r="O429" s="5" t="n">
        <v>0</v>
      </c>
      <c r="P429" s="5" t="n">
        <v>3.373</v>
      </c>
      <c r="Q429" s="5" t="n">
        <v>0</v>
      </c>
      <c r="R429" s="5" t="n">
        <v>1</v>
      </c>
      <c r="S429" s="5" t="n">
        <v>5.358</v>
      </c>
      <c r="T429" s="5" t="n">
        <v>3.971</v>
      </c>
      <c r="U429" s="5" t="n">
        <v>0</v>
      </c>
      <c r="V429" s="5" t="n">
        <v>5.358</v>
      </c>
      <c r="W429" s="5" t="n">
        <v>0</v>
      </c>
      <c r="X429" s="5" t="n">
        <v>1</v>
      </c>
      <c r="Y429" s="5" t="n">
        <v>12.219</v>
      </c>
      <c r="Z429" s="5" t="n">
        <v>1.508</v>
      </c>
      <c r="AA429" s="5" t="n">
        <v>0</v>
      </c>
      <c r="AB429" s="5" t="n">
        <v>12.219</v>
      </c>
      <c r="AC429" s="5" t="n">
        <v>0</v>
      </c>
      <c r="AD429" s="5" t="n">
        <v>1</v>
      </c>
      <c r="AE429" s="5" t="n">
        <v>13.543</v>
      </c>
      <c r="AF429" s="5" t="n">
        <v>2.952</v>
      </c>
      <c r="AG429" s="5" t="n">
        <v>0</v>
      </c>
      <c r="AH429" s="5" t="n">
        <v>13.543</v>
      </c>
      <c r="AI429" s="5" t="n">
        <v>0</v>
      </c>
      <c r="AJ429" s="5" t="n">
        <v>1</v>
      </c>
      <c r="AK429" s="5" t="n">
        <v>21.484</v>
      </c>
      <c r="AL429" s="5" t="n">
        <v>11.148</v>
      </c>
      <c r="AM429" s="5" t="n">
        <v>0</v>
      </c>
      <c r="AN429" s="5" t="n">
        <v>21.484</v>
      </c>
      <c r="AO429" s="5" t="n">
        <v>0</v>
      </c>
      <c r="AP429" s="5" t="n">
        <v>1</v>
      </c>
      <c r="AQ429" s="5" t="n">
        <v>0.72</v>
      </c>
      <c r="AR429" s="5" t="n">
        <v>0.132</v>
      </c>
      <c r="AS429" s="5" t="n">
        <v>0</v>
      </c>
      <c r="AT429" s="5" t="n">
        <v>0.72</v>
      </c>
      <c r="AU429" s="5" t="n">
        <v>0</v>
      </c>
      <c r="AV429" s="5" t="n">
        <v>1</v>
      </c>
      <c r="AW429" s="5" t="n">
        <v>0.734</v>
      </c>
      <c r="AX429" s="5" t="n">
        <v>0.132</v>
      </c>
      <c r="AY429" s="5" t="n">
        <v>0</v>
      </c>
      <c r="AZ429" s="5" t="n">
        <v>0.734</v>
      </c>
      <c r="BA429" s="5" t="n">
        <v>0</v>
      </c>
      <c r="BB429" s="5" t="n">
        <v>1</v>
      </c>
      <c r="BC429" s="5" t="n">
        <v>0.51</v>
      </c>
      <c r="BD429" s="5" t="n">
        <v>0.132</v>
      </c>
      <c r="BE429" s="5" t="n">
        <v>0</v>
      </c>
      <c r="BF429" s="5" t="n">
        <v>0.51</v>
      </c>
      <c r="BG429" s="5" t="n">
        <v>0</v>
      </c>
      <c r="BH429" s="5" t="n">
        <v>1</v>
      </c>
      <c r="BI429" s="5" t="n">
        <v>0.652</v>
      </c>
      <c r="BJ429" s="5" t="n">
        <v>0.132</v>
      </c>
      <c r="BK429" s="5" t="n">
        <v>0</v>
      </c>
      <c r="BL429" s="5" t="n">
        <v>0.652</v>
      </c>
      <c r="BM429" s="5" t="n">
        <v>0</v>
      </c>
      <c r="BN429" s="5" t="n">
        <v>1</v>
      </c>
      <c r="BO429" s="5" t="n">
        <v>0</v>
      </c>
      <c r="BP429" s="5" t="n">
        <v>0</v>
      </c>
      <c r="BQ429" s="5" t="n">
        <v>0</v>
      </c>
      <c r="BR429" s="5" t="n">
        <v>0</v>
      </c>
      <c r="BS429" s="5" t="n">
        <v>1</v>
      </c>
      <c r="BT429" s="5" t="n">
        <v>0</v>
      </c>
      <c r="BU429" s="5" t="n">
        <v>0</v>
      </c>
      <c r="BV429" s="5" t="n">
        <v>0</v>
      </c>
      <c r="BW429" s="5" t="n">
        <v>0</v>
      </c>
      <c r="BX429" s="5" t="n">
        <v>1</v>
      </c>
      <c r="BY429" s="5" t="n">
        <v>13.646</v>
      </c>
      <c r="BZ429" s="5" t="n">
        <v>0</v>
      </c>
      <c r="CA429" s="5" t="n">
        <v>13.646</v>
      </c>
      <c r="CB429" s="5" t="n">
        <v>0</v>
      </c>
      <c r="CC429" s="5" t="n">
        <v>86.38500000000001</v>
      </c>
      <c r="CD429" s="5" t="n">
        <v>7.95</v>
      </c>
      <c r="CE429" s="5" t="n">
        <v>0</v>
      </c>
      <c r="CF429" s="5" t="n">
        <v>86.38500000000001</v>
      </c>
      <c r="CG429" s="5" t="n">
        <v>0</v>
      </c>
      <c r="CH429" s="5" t="n">
        <v>1</v>
      </c>
      <c r="CI429" s="5" t="n">
        <v>0</v>
      </c>
      <c r="CJ429" s="5" t="n">
        <v>0</v>
      </c>
      <c r="CK429" s="5" t="n">
        <v>0</v>
      </c>
      <c r="CL429" s="5" t="n">
        <v>0</v>
      </c>
      <c r="CM429" s="5" t="n">
        <v>0</v>
      </c>
      <c r="CN429" s="5" t="n">
        <v>0</v>
      </c>
      <c r="CO429" s="5" t="n">
        <v>0</v>
      </c>
      <c r="CP429" s="5" t="n">
        <v>1</v>
      </c>
      <c r="CQ429" s="5" t="n">
        <v>1.387</v>
      </c>
      <c r="CR429" s="5" t="n">
        <v>0</v>
      </c>
      <c r="CS429" s="5" t="n">
        <v>5.529</v>
      </c>
      <c r="CT429" s="5" t="n">
        <v>3.509</v>
      </c>
      <c r="CU429" s="5" t="n">
        <v>10.896</v>
      </c>
    </row>
    <row r="430">
      <c r="A430" s="5" t="inlineStr">
        <is>
          <t>XKX2021</t>
        </is>
      </c>
      <c r="B430" s="5" t="inlineStr">
        <is>
          <t>XKX</t>
        </is>
      </c>
      <c r="C430" s="5" t="inlineStr">
        <is>
          <t>XKX</t>
        </is>
      </c>
      <c r="D430" s="5" t="inlineStr">
        <is>
          <t>Kosovo</t>
        </is>
      </c>
      <c r="E430" s="5" t="n">
        <v>2021</v>
      </c>
      <c r="F430" s="5" t="n">
        <v>0.18</v>
      </c>
      <c r="G430" s="5" t="n">
        <v>1.811</v>
      </c>
      <c r="H430" s="5" t="n">
        <v>0.578</v>
      </c>
      <c r="I430" s="5" t="n">
        <v>0</v>
      </c>
      <c r="J430" s="5" t="n">
        <v>1.812</v>
      </c>
      <c r="K430" s="5" t="n">
        <v>0</v>
      </c>
      <c r="L430" s="5" t="n">
        <v>1</v>
      </c>
      <c r="M430" s="5" t="n">
        <v>2.968</v>
      </c>
      <c r="N430" s="5" t="n">
        <v>1.734</v>
      </c>
      <c r="O430" s="5" t="n">
        <v>0</v>
      </c>
      <c r="P430" s="5" t="n">
        <v>2.969</v>
      </c>
      <c r="Q430" s="5" t="n">
        <v>0</v>
      </c>
      <c r="R430" s="5" t="n">
        <v>1</v>
      </c>
      <c r="S430" s="5" t="n">
        <v>4.701</v>
      </c>
      <c r="T430" s="5" t="n">
        <v>3.467</v>
      </c>
      <c r="U430" s="5" t="n">
        <v>0</v>
      </c>
      <c r="V430" s="5" t="n">
        <v>5.547</v>
      </c>
      <c r="W430" s="5" t="n">
        <v>0.18</v>
      </c>
      <c r="X430" s="5" t="n">
        <v>1</v>
      </c>
      <c r="Y430" s="5" t="n">
        <v>16.305</v>
      </c>
      <c r="Z430" s="5" t="n">
        <v>2.204</v>
      </c>
      <c r="AA430" s="5" t="n">
        <v>0.151</v>
      </c>
      <c r="AB430" s="5" t="n">
        <v>16.456</v>
      </c>
      <c r="AC430" s="5" t="n">
        <v>0</v>
      </c>
      <c r="AD430" s="5" t="n">
        <v>1</v>
      </c>
      <c r="AE430" s="5" t="n">
        <v>17.449</v>
      </c>
      <c r="AF430" s="5" t="n">
        <v>4.08</v>
      </c>
      <c r="AG430" s="5" t="n">
        <v>0.151</v>
      </c>
      <c r="AH430" s="5" t="n">
        <v>17.599</v>
      </c>
      <c r="AI430" s="5" t="n">
        <v>0</v>
      </c>
      <c r="AJ430" s="5" t="n">
        <v>1</v>
      </c>
      <c r="AK430" s="5" t="n">
        <v>24.309</v>
      </c>
      <c r="AL430" s="5" t="n">
        <v>12.947</v>
      </c>
      <c r="AM430" s="5" t="n">
        <v>0.151</v>
      </c>
      <c r="AN430" s="5" t="n">
        <v>28.862</v>
      </c>
      <c r="AO430" s="5" t="n">
        <v>0.18</v>
      </c>
      <c r="AP430" s="5" t="n">
        <v>1</v>
      </c>
      <c r="AQ430" s="5" t="n">
        <v>0.619</v>
      </c>
      <c r="AR430" s="5" t="n">
        <v>0.114</v>
      </c>
      <c r="AS430" s="5" t="n">
        <v>0.514</v>
      </c>
      <c r="AT430" s="5" t="n">
        <v>1.337</v>
      </c>
      <c r="AU430" s="5" t="n">
        <v>0.18</v>
      </c>
      <c r="AV430" s="5" t="n">
        <v>1</v>
      </c>
      <c r="AW430" s="5" t="n">
        <v>0.599</v>
      </c>
      <c r="AX430" s="5" t="n">
        <v>0.114</v>
      </c>
      <c r="AY430" s="5" t="n">
        <v>0.513</v>
      </c>
      <c r="AZ430" s="5" t="n">
        <v>1.313</v>
      </c>
      <c r="BA430" s="5" t="n">
        <v>0.18</v>
      </c>
      <c r="BB430" s="5" t="n">
        <v>1</v>
      </c>
      <c r="BC430" s="5" t="n">
        <v>0.439</v>
      </c>
      <c r="BD430" s="5" t="n">
        <v>0.114</v>
      </c>
      <c r="BE430" s="5" t="n">
        <v>0</v>
      </c>
      <c r="BF430" s="5" t="n">
        <v>0.518</v>
      </c>
      <c r="BG430" s="5" t="n">
        <v>0.18</v>
      </c>
      <c r="BH430" s="5" t="n">
        <v>1</v>
      </c>
      <c r="BI430" s="5" t="n">
        <v>0.505</v>
      </c>
      <c r="BJ430" s="5" t="n">
        <v>0.114</v>
      </c>
      <c r="BK430" s="5" t="n">
        <v>0</v>
      </c>
      <c r="BL430" s="5" t="n">
        <v>0.596</v>
      </c>
      <c r="BM430" s="5" t="n">
        <v>0.18</v>
      </c>
      <c r="BN430" s="5" t="n">
        <v>1</v>
      </c>
      <c r="BO430" s="5" t="n">
        <v>0</v>
      </c>
      <c r="BP430" s="5" t="n">
        <v>0</v>
      </c>
      <c r="BQ430" s="5" t="n">
        <v>0.081</v>
      </c>
      <c r="BR430" s="5" t="n">
        <v>0</v>
      </c>
      <c r="BS430" s="5" t="n">
        <v>0.667</v>
      </c>
      <c r="BT430" s="5" t="n">
        <v>0</v>
      </c>
      <c r="BU430" s="5" t="n">
        <v>0</v>
      </c>
      <c r="BV430" s="5" t="n">
        <v>0.07099999999999999</v>
      </c>
      <c r="BW430" s="5" t="n">
        <v>0.08</v>
      </c>
      <c r="BX430" s="5" t="n">
        <v>0.333</v>
      </c>
      <c r="BY430" s="5" t="n">
        <v>11.787</v>
      </c>
      <c r="BZ430" s="5" t="n">
        <v>0</v>
      </c>
      <c r="CA430" s="5" t="n">
        <v>11.787</v>
      </c>
      <c r="CB430" s="5" t="n">
        <v>0</v>
      </c>
      <c r="CC430" s="5" t="n">
        <v>78.125</v>
      </c>
      <c r="CD430" s="5" t="n">
        <v>7.95</v>
      </c>
      <c r="CE430" s="5" t="n">
        <v>0</v>
      </c>
      <c r="CF430" s="5" t="n">
        <v>92.188</v>
      </c>
      <c r="CG430" s="5" t="n">
        <v>0.18</v>
      </c>
      <c r="CH430" s="5" t="n">
        <v>1</v>
      </c>
      <c r="CI430" s="5" t="n">
        <v>0</v>
      </c>
      <c r="CJ430" s="5" t="n">
        <v>0</v>
      </c>
      <c r="CK430" s="5" t="n">
        <v>0</v>
      </c>
      <c r="CL430" s="5" t="n">
        <v>0</v>
      </c>
      <c r="CM430" s="5" t="n">
        <v>0</v>
      </c>
      <c r="CN430" s="5" t="n">
        <v>0</v>
      </c>
      <c r="CO430" s="5" t="n">
        <v>0</v>
      </c>
      <c r="CP430" s="5" t="n">
        <v>0.989</v>
      </c>
      <c r="CQ430" s="5" t="n">
        <v>1.198</v>
      </c>
      <c r="CR430" s="5" t="n">
        <v>0</v>
      </c>
      <c r="CS430" s="5" t="n">
        <v>4.776</v>
      </c>
      <c r="CT430" s="5" t="n">
        <v>4.41</v>
      </c>
      <c r="CU430" s="5" t="n">
        <v>15.162</v>
      </c>
    </row>
    <row r="431">
      <c r="A431" s="5" t="inlineStr">
        <is>
          <t>XKX2022</t>
        </is>
      </c>
      <c r="B431" s="5" t="inlineStr">
        <is>
          <t>XKX</t>
        </is>
      </c>
      <c r="C431" s="5" t="inlineStr">
        <is>
          <t>XKX</t>
        </is>
      </c>
      <c r="D431" s="5" t="inlineStr">
        <is>
          <t>Kosovo</t>
        </is>
      </c>
      <c r="E431" s="5" t="n">
        <v>2022</v>
      </c>
      <c r="F431" s="5" t="n">
        <v>0.18</v>
      </c>
      <c r="G431" s="5" t="n">
        <v>1.932</v>
      </c>
      <c r="H431" s="5" t="n">
        <v>0.62</v>
      </c>
      <c r="I431" s="5" t="n">
        <v>0</v>
      </c>
      <c r="J431" s="5" t="n">
        <v>1.932</v>
      </c>
      <c r="K431" s="5" t="n">
        <v>0</v>
      </c>
      <c r="L431" s="5" t="n">
        <v>1</v>
      </c>
      <c r="M431" s="5" t="n">
        <v>3.173</v>
      </c>
      <c r="N431" s="5" t="n">
        <v>1.859</v>
      </c>
      <c r="O431" s="5" t="n">
        <v>0</v>
      </c>
      <c r="P431" s="5" t="n">
        <v>3.173</v>
      </c>
      <c r="Q431" s="5" t="n">
        <v>0</v>
      </c>
      <c r="R431" s="5" t="n">
        <v>1</v>
      </c>
      <c r="S431" s="5" t="n">
        <v>5.031</v>
      </c>
      <c r="T431" s="5" t="n">
        <v>3.719</v>
      </c>
      <c r="U431" s="5" t="n">
        <v>0.067</v>
      </c>
      <c r="V431" s="5" t="n">
        <v>5.937</v>
      </c>
      <c r="W431" s="5" t="n">
        <v>0.18</v>
      </c>
      <c r="X431" s="5" t="n">
        <v>1</v>
      </c>
      <c r="Y431" s="5" t="n">
        <v>32.56</v>
      </c>
      <c r="Z431" s="5" t="n">
        <v>4.401</v>
      </c>
      <c r="AA431" s="5" t="n">
        <v>0.311</v>
      </c>
      <c r="AB431" s="5" t="n">
        <v>32.871</v>
      </c>
      <c r="AC431" s="5" t="n">
        <v>0</v>
      </c>
      <c r="AD431" s="5" t="n">
        <v>1</v>
      </c>
      <c r="AE431" s="5" t="n">
        <v>33.795</v>
      </c>
      <c r="AF431" s="5" t="n">
        <v>7.902</v>
      </c>
      <c r="AG431" s="5" t="n">
        <v>0.311</v>
      </c>
      <c r="AH431" s="5" t="n">
        <v>34.106</v>
      </c>
      <c r="AI431" s="5" t="n">
        <v>0</v>
      </c>
      <c r="AJ431" s="5" t="n">
        <v>1</v>
      </c>
      <c r="AK431" s="5" t="n">
        <v>41.203</v>
      </c>
      <c r="AL431" s="5" t="n">
        <v>21.945</v>
      </c>
      <c r="AM431" s="5" t="n">
        <v>0.864</v>
      </c>
      <c r="AN431" s="5" t="n">
        <v>48.987</v>
      </c>
      <c r="AO431" s="5" t="n">
        <v>0.18</v>
      </c>
      <c r="AP431" s="5" t="n">
        <v>1</v>
      </c>
      <c r="AQ431" s="5" t="n">
        <v>0.861</v>
      </c>
      <c r="AR431" s="5" t="n">
        <v>0.123</v>
      </c>
      <c r="AS431" s="5" t="n">
        <v>0.449</v>
      </c>
      <c r="AT431" s="5" t="n">
        <v>1.546</v>
      </c>
      <c r="AU431" s="5" t="n">
        <v>0.18</v>
      </c>
      <c r="AV431" s="5" t="n">
        <v>1</v>
      </c>
      <c r="AW431" s="5" t="n">
        <v>0.986</v>
      </c>
      <c r="AX431" s="5" t="n">
        <v>0.123</v>
      </c>
      <c r="AY431" s="5" t="n">
        <v>0.431</v>
      </c>
      <c r="AZ431" s="5" t="n">
        <v>1.672</v>
      </c>
      <c r="BA431" s="5" t="n">
        <v>0.18</v>
      </c>
      <c r="BB431" s="5" t="n">
        <v>1</v>
      </c>
      <c r="BC431" s="5" t="n">
        <v>0.598</v>
      </c>
      <c r="BD431" s="5" t="n">
        <v>0.123</v>
      </c>
      <c r="BE431" s="5" t="n">
        <v>0.008</v>
      </c>
      <c r="BF431" s="5" t="n">
        <v>0.705</v>
      </c>
      <c r="BG431" s="5" t="n">
        <v>0.18</v>
      </c>
      <c r="BH431" s="5" t="n">
        <v>1</v>
      </c>
      <c r="BI431" s="5" t="n">
        <v>0.612</v>
      </c>
      <c r="BJ431" s="5" t="n">
        <v>0.123</v>
      </c>
      <c r="BK431" s="5" t="n">
        <v>0.008</v>
      </c>
      <c r="BL431" s="5" t="n">
        <v>0.723</v>
      </c>
      <c r="BM431" s="5" t="n">
        <v>0.18</v>
      </c>
      <c r="BN431" s="5" t="n">
        <v>1</v>
      </c>
      <c r="BO431" s="5" t="n">
        <v>0</v>
      </c>
      <c r="BP431" s="5" t="n">
        <v>0</v>
      </c>
      <c r="BQ431" s="5" t="n">
        <v>0.07199999999999999</v>
      </c>
      <c r="BR431" s="5" t="n">
        <v>0</v>
      </c>
      <c r="BS431" s="5" t="n">
        <v>0.667</v>
      </c>
      <c r="BT431" s="5" t="n">
        <v>0</v>
      </c>
      <c r="BU431" s="5" t="n">
        <v>0</v>
      </c>
      <c r="BV431" s="5" t="n">
        <v>0.063</v>
      </c>
      <c r="BW431" s="5" t="n">
        <v>0.08</v>
      </c>
      <c r="BX431" s="5" t="n">
        <v>0.333</v>
      </c>
      <c r="BY431" s="5" t="n">
        <v>12.729</v>
      </c>
      <c r="BZ431" s="5" t="n">
        <v>0</v>
      </c>
      <c r="CA431" s="5" t="n">
        <v>12.729</v>
      </c>
      <c r="CB431" s="5" t="n">
        <v>0</v>
      </c>
      <c r="CC431" s="5" t="n">
        <v>97.90000000000001</v>
      </c>
      <c r="CD431" s="5" t="n">
        <v>7.95</v>
      </c>
      <c r="CE431" s="5" t="n">
        <v>1.304</v>
      </c>
      <c r="CF431" s="5" t="n">
        <v>115.522</v>
      </c>
      <c r="CG431" s="5" t="n">
        <v>0.18</v>
      </c>
      <c r="CH431" s="5" t="n">
        <v>1</v>
      </c>
      <c r="CI431" s="5" t="n">
        <v>0</v>
      </c>
      <c r="CJ431" s="5" t="n">
        <v>0</v>
      </c>
      <c r="CK431" s="5" t="n">
        <v>0</v>
      </c>
      <c r="CL431" s="5" t="n">
        <v>0</v>
      </c>
      <c r="CM431" s="5" t="n">
        <v>0</v>
      </c>
      <c r="CN431" s="5" t="n">
        <v>0</v>
      </c>
      <c r="CO431" s="5" t="n">
        <v>0</v>
      </c>
      <c r="CP431" s="5" t="n">
        <v>0.996</v>
      </c>
      <c r="CQ431" s="5" t="n">
        <v>1.294</v>
      </c>
      <c r="CR431" s="5" t="n">
        <v>0</v>
      </c>
      <c r="CS431" s="5" t="n">
        <v>5.158</v>
      </c>
      <c r="CT431" s="5" t="n">
        <v>5.842</v>
      </c>
      <c r="CU431" s="5" t="n">
        <v>31.326</v>
      </c>
    </row>
    <row r="432">
      <c r="A432" s="5" t="inlineStr">
        <is>
          <t>XKX2023</t>
        </is>
      </c>
      <c r="B432" s="5" t="inlineStr">
        <is>
          <t>XKX</t>
        </is>
      </c>
      <c r="C432" s="5" t="inlineStr">
        <is>
          <t>XKX</t>
        </is>
      </c>
      <c r="D432" s="5" t="inlineStr">
        <is>
          <t>Kosovo</t>
        </is>
      </c>
      <c r="E432" s="5" t="n">
        <v>2023</v>
      </c>
      <c r="F432" s="5" t="n">
        <v>0.18</v>
      </c>
      <c r="G432" s="5" t="n">
        <v>2.012</v>
      </c>
      <c r="H432" s="5" t="n">
        <v>0.648</v>
      </c>
      <c r="I432" s="5" t="n">
        <v>0</v>
      </c>
      <c r="J432" s="5" t="n">
        <v>2.012</v>
      </c>
      <c r="K432" s="5" t="n">
        <v>0</v>
      </c>
      <c r="L432" s="5" t="n">
        <v>1</v>
      </c>
      <c r="M432" s="5" t="n">
        <v>3.312</v>
      </c>
      <c r="N432" s="5" t="n">
        <v>1.944</v>
      </c>
      <c r="O432" s="5" t="n">
        <v>0</v>
      </c>
      <c r="P432" s="5" t="n">
        <v>3.312</v>
      </c>
      <c r="Q432" s="5" t="n">
        <v>0</v>
      </c>
      <c r="R432" s="5" t="n">
        <v>1</v>
      </c>
      <c r="S432" s="5" t="n">
        <v>5.251</v>
      </c>
      <c r="T432" s="5" t="n">
        <v>3.887</v>
      </c>
      <c r="U432" s="5" t="n">
        <v>0.105</v>
      </c>
      <c r="V432" s="5" t="n">
        <v>6.197</v>
      </c>
      <c r="W432" s="5" t="n">
        <v>0.18</v>
      </c>
      <c r="X432" s="5" t="n">
        <v>1</v>
      </c>
      <c r="Y432" s="5" t="n">
        <v>12.908</v>
      </c>
      <c r="Z432" s="5" t="n">
        <v>1.745</v>
      </c>
      <c r="AA432" s="5" t="n">
        <v>0.115</v>
      </c>
      <c r="AB432" s="5" t="n">
        <v>13.023</v>
      </c>
      <c r="AC432" s="5" t="n">
        <v>0</v>
      </c>
      <c r="AD432" s="5" t="n">
        <v>1</v>
      </c>
      <c r="AE432" s="5" t="n">
        <v>14.194</v>
      </c>
      <c r="AF432" s="5" t="n">
        <v>3.319</v>
      </c>
      <c r="AG432" s="5" t="n">
        <v>0.115</v>
      </c>
      <c r="AH432" s="5" t="n">
        <v>14.309</v>
      </c>
      <c r="AI432" s="5" t="n">
        <v>0</v>
      </c>
      <c r="AJ432" s="5" t="n">
        <v>1</v>
      </c>
      <c r="AK432" s="5" t="n">
        <v>21.908</v>
      </c>
      <c r="AL432" s="5" t="n">
        <v>11.668</v>
      </c>
      <c r="AM432" s="5" t="n">
        <v>0.554</v>
      </c>
      <c r="AN432" s="5" t="n">
        <v>25.987</v>
      </c>
      <c r="AO432" s="5" t="n">
        <v>0.18</v>
      </c>
      <c r="AP432" s="5" t="n">
        <v>1</v>
      </c>
      <c r="AQ432" s="5" t="n">
        <v>0.76</v>
      </c>
      <c r="AR432" s="5" t="n">
        <v>0.129</v>
      </c>
      <c r="AS432" s="5" t="n">
        <v>0.486</v>
      </c>
      <c r="AT432" s="5" t="n">
        <v>1.471</v>
      </c>
      <c r="AU432" s="5" t="n">
        <v>0.18</v>
      </c>
      <c r="AV432" s="5" t="n">
        <v>1</v>
      </c>
      <c r="AW432" s="5" t="n">
        <v>0.8110000000000001</v>
      </c>
      <c r="AX432" s="5" t="n">
        <v>0.129</v>
      </c>
      <c r="AY432" s="5" t="n">
        <v>0.453</v>
      </c>
      <c r="AZ432" s="5" t="n">
        <v>1.492</v>
      </c>
      <c r="BA432" s="5" t="n">
        <v>0.18</v>
      </c>
      <c r="BB432" s="5" t="n">
        <v>1</v>
      </c>
      <c r="BC432" s="5" t="n">
        <v>0.535</v>
      </c>
      <c r="BD432" s="5" t="n">
        <v>0.129</v>
      </c>
      <c r="BE432" s="5" t="n">
        <v>0.011</v>
      </c>
      <c r="BF432" s="5" t="n">
        <v>0.631</v>
      </c>
      <c r="BG432" s="5" t="n">
        <v>0.18</v>
      </c>
      <c r="BH432" s="5" t="n">
        <v>1</v>
      </c>
      <c r="BI432" s="5" t="n">
        <v>0.579</v>
      </c>
      <c r="BJ432" s="5" t="n">
        <v>0.129</v>
      </c>
      <c r="BK432" s="5" t="n">
        <v>0.012</v>
      </c>
      <c r="BL432" s="5" t="n">
        <v>0.6840000000000001</v>
      </c>
      <c r="BM432" s="5" t="n">
        <v>0.18</v>
      </c>
      <c r="BN432" s="5" t="n">
        <v>1</v>
      </c>
      <c r="BO432" s="5" t="n">
        <v>0</v>
      </c>
      <c r="BP432" s="5" t="n">
        <v>0</v>
      </c>
      <c r="BQ432" s="5" t="n">
        <v>0.082</v>
      </c>
      <c r="BR432" s="5" t="n">
        <v>0</v>
      </c>
      <c r="BS432" s="5" t="n">
        <v>0.667</v>
      </c>
      <c r="BT432" s="5" t="n">
        <v>0</v>
      </c>
      <c r="BU432" s="5" t="n">
        <v>0</v>
      </c>
      <c r="BV432" s="5" t="n">
        <v>0.076</v>
      </c>
      <c r="BW432" s="5" t="n">
        <v>0.08</v>
      </c>
      <c r="BX432" s="5" t="n">
        <v>0.333</v>
      </c>
      <c r="BY432" s="5" t="n">
        <v>13.254</v>
      </c>
      <c r="BZ432" s="5" t="n">
        <v>0</v>
      </c>
      <c r="CA432" s="5" t="n">
        <v>13.254</v>
      </c>
      <c r="CB432" s="5" t="n">
        <v>0</v>
      </c>
      <c r="CC432" s="5" t="n">
        <v>83.248</v>
      </c>
      <c r="CD432" s="5" t="n">
        <v>7.95</v>
      </c>
      <c r="CE432" s="5" t="n">
        <v>1.659</v>
      </c>
      <c r="CF432" s="5" t="n">
        <v>98.233</v>
      </c>
      <c r="CG432" s="5" t="n">
        <v>0.18</v>
      </c>
      <c r="CH432" s="5" t="n">
        <v>1</v>
      </c>
      <c r="CI432" s="5" t="n">
        <v>0</v>
      </c>
      <c r="CJ432" s="5" t="n">
        <v>0</v>
      </c>
      <c r="CK432" s="5" t="n">
        <v>0</v>
      </c>
      <c r="CL432" s="5" t="n">
        <v>0</v>
      </c>
      <c r="CM432" s="5" t="n">
        <v>0</v>
      </c>
      <c r="CN432" s="5" t="n">
        <v>0</v>
      </c>
      <c r="CO432" s="5" t="n">
        <v>0</v>
      </c>
      <c r="CP432" s="5" t="n">
        <v>0.992</v>
      </c>
      <c r="CQ432" s="5" t="n">
        <v>1.348</v>
      </c>
      <c r="CR432" s="5" t="n">
        <v>0</v>
      </c>
      <c r="CS432" s="5" t="n">
        <v>5.37</v>
      </c>
      <c r="CT432" s="5" t="n">
        <v>3.466</v>
      </c>
      <c r="CU432" s="5" t="n">
        <v>11.622</v>
      </c>
    </row>
    <row r="433">
      <c r="A433" s="5" t="inlineStr">
        <is>
          <t>XKX2024</t>
        </is>
      </c>
      <c r="B433" s="5" t="inlineStr">
        <is>
          <t>XKX</t>
        </is>
      </c>
      <c r="C433" s="5" t="inlineStr">
        <is>
          <t>XKX</t>
        </is>
      </c>
      <c r="D433" s="5" t="inlineStr">
        <is>
          <t>Kosovo</t>
        </is>
      </c>
      <c r="E433" s="5" t="n">
        <v>2024</v>
      </c>
      <c r="F433" s="5" t="n">
        <v>0.18</v>
      </c>
      <c r="G433" s="5" t="n">
        <v>2.067</v>
      </c>
      <c r="H433" s="5" t="n">
        <v>0.667</v>
      </c>
      <c r="I433" s="5" t="n">
        <v>0</v>
      </c>
      <c r="J433" s="5" t="n">
        <v>2.067</v>
      </c>
      <c r="K433" s="5" t="n">
        <v>0</v>
      </c>
      <c r="L433" s="5" t="n">
        <v>1</v>
      </c>
      <c r="M433" s="5" t="n">
        <v>3.402</v>
      </c>
      <c r="N433" s="5" t="n">
        <v>2.001</v>
      </c>
      <c r="O433" s="5" t="n">
        <v>0</v>
      </c>
      <c r="P433" s="5" t="n">
        <v>3.402</v>
      </c>
      <c r="Q433" s="5" t="n">
        <v>0</v>
      </c>
      <c r="R433" s="5" t="n">
        <v>1</v>
      </c>
      <c r="S433" s="5" t="n">
        <v>5.402</v>
      </c>
      <c r="T433" s="5" t="n">
        <v>4.002</v>
      </c>
      <c r="U433" s="5" t="n">
        <v>0.133</v>
      </c>
      <c r="V433" s="5" t="n">
        <v>6.375</v>
      </c>
      <c r="W433" s="5" t="n">
        <v>0.18</v>
      </c>
      <c r="X433" s="5" t="n">
        <v>1</v>
      </c>
      <c r="Y433" s="5" t="n">
        <v>11.492</v>
      </c>
      <c r="Z433" s="5" t="n">
        <v>1.553</v>
      </c>
      <c r="AA433" s="5" t="n">
        <v>0.101</v>
      </c>
      <c r="AB433" s="5" t="n">
        <v>11.593</v>
      </c>
      <c r="AC433" s="5" t="n">
        <v>0</v>
      </c>
      <c r="AD433" s="5" t="n">
        <v>1</v>
      </c>
      <c r="AE433" s="5" t="n">
        <v>12.815</v>
      </c>
      <c r="AF433" s="5" t="n">
        <v>2.997</v>
      </c>
      <c r="AG433" s="5" t="n">
        <v>0.101</v>
      </c>
      <c r="AH433" s="5" t="n">
        <v>12.916</v>
      </c>
      <c r="AI433" s="5" t="n">
        <v>0</v>
      </c>
      <c r="AJ433" s="5" t="n">
        <v>1</v>
      </c>
      <c r="AK433" s="5" t="n">
        <v>20.757</v>
      </c>
      <c r="AL433" s="5" t="n">
        <v>11.055</v>
      </c>
      <c r="AM433" s="5" t="n">
        <v>0.612</v>
      </c>
      <c r="AN433" s="5" t="n">
        <v>24.613</v>
      </c>
      <c r="AO433" s="5" t="n">
        <v>0.18</v>
      </c>
      <c r="AP433" s="5" t="n">
        <v>1</v>
      </c>
      <c r="AQ433" s="5" t="n">
        <v>0.724</v>
      </c>
      <c r="AR433" s="5" t="n">
        <v>0.132</v>
      </c>
      <c r="AS433" s="5" t="n">
        <v>0.385</v>
      </c>
      <c r="AT433" s="5" t="n">
        <v>1.309</v>
      </c>
      <c r="AU433" s="5" t="n">
        <v>0.18</v>
      </c>
      <c r="AV433" s="5" t="n">
        <v>1</v>
      </c>
      <c r="AW433" s="5" t="n">
        <v>0.75</v>
      </c>
      <c r="AX433" s="5" t="n">
        <v>0.132</v>
      </c>
      <c r="AY433" s="5" t="n">
        <v>0.322</v>
      </c>
      <c r="AZ433" s="5" t="n">
        <v>1.266</v>
      </c>
      <c r="BA433" s="5" t="n">
        <v>0.18</v>
      </c>
      <c r="BB433" s="5" t="n">
        <v>1</v>
      </c>
      <c r="BC433" s="5" t="n">
        <v>0.513</v>
      </c>
      <c r="BD433" s="5" t="n">
        <v>0.132</v>
      </c>
      <c r="BE433" s="5" t="n">
        <v>0.013</v>
      </c>
      <c r="BF433" s="5" t="n">
        <v>0.605</v>
      </c>
      <c r="BG433" s="5" t="n">
        <v>0.18</v>
      </c>
      <c r="BH433" s="5" t="n">
        <v>1</v>
      </c>
      <c r="BI433" s="5" t="n">
        <v>0.591</v>
      </c>
      <c r="BJ433" s="5" t="n">
        <v>0.132</v>
      </c>
      <c r="BK433" s="5" t="n">
        <v>0.014</v>
      </c>
      <c r="BL433" s="5" t="n">
        <v>0.698</v>
      </c>
      <c r="BM433" s="5" t="n">
        <v>0.18</v>
      </c>
      <c r="BN433" s="5" t="n">
        <v>1</v>
      </c>
      <c r="BO433" s="5" t="n">
        <v>0</v>
      </c>
      <c r="BP433" s="5" t="n">
        <v>0</v>
      </c>
      <c r="BQ433" s="5" t="n">
        <v>0.07199999999999999</v>
      </c>
      <c r="BR433" s="5" t="n">
        <v>0</v>
      </c>
      <c r="BS433" s="5" t="n">
        <v>0.667</v>
      </c>
      <c r="BT433" s="5" t="n">
        <v>0</v>
      </c>
      <c r="BU433" s="5" t="n">
        <v>0</v>
      </c>
      <c r="BV433" s="5" t="n">
        <v>0.078</v>
      </c>
      <c r="BW433" s="5" t="n">
        <v>0.08</v>
      </c>
      <c r="BX433" s="5" t="n">
        <v>0.333</v>
      </c>
      <c r="BY433" s="5" t="n">
        <v>13.646</v>
      </c>
      <c r="BZ433" s="5" t="n">
        <v>0</v>
      </c>
      <c r="CA433" s="5" t="n">
        <v>13.646</v>
      </c>
      <c r="CB433" s="5" t="n">
        <v>0</v>
      </c>
      <c r="CC433" s="5" t="n">
        <v>82.58799999999999</v>
      </c>
      <c r="CD433" s="5" t="n">
        <v>7.95</v>
      </c>
      <c r="CE433" s="5" t="n">
        <v>2.025</v>
      </c>
      <c r="CF433" s="5" t="n">
        <v>97.45399999999999</v>
      </c>
      <c r="CG433" s="5" t="n">
        <v>0.18</v>
      </c>
      <c r="CH433" s="5" t="n">
        <v>1</v>
      </c>
      <c r="CI433" s="5" t="n">
        <v>0</v>
      </c>
      <c r="CJ433" s="5" t="n">
        <v>0</v>
      </c>
      <c r="CK433" s="5" t="n">
        <v>0</v>
      </c>
      <c r="CL433" s="5" t="n">
        <v>0</v>
      </c>
      <c r="CM433" s="5" t="n">
        <v>0</v>
      </c>
      <c r="CN433" s="5" t="n">
        <v>0</v>
      </c>
      <c r="CO433" s="5" t="n">
        <v>0</v>
      </c>
      <c r="CP433" s="5" t="n">
        <v>0.992</v>
      </c>
      <c r="CQ433" s="5" t="n">
        <v>1.387</v>
      </c>
      <c r="CR433" s="5" t="n">
        <v>0</v>
      </c>
      <c r="CS433" s="5" t="n">
        <v>5.529</v>
      </c>
      <c r="CT433" s="5" t="n">
        <v>3.027</v>
      </c>
      <c r="CU433" s="5" t="n">
        <v>10.168</v>
      </c>
    </row>
    <row r="434">
      <c r="A434" s="5" t="inlineStr">
        <is>
          <t>KWT2021</t>
        </is>
      </c>
      <c r="B434" s="5" t="inlineStr">
        <is>
          <t>KWT</t>
        </is>
      </c>
      <c r="C434" s="5" t="inlineStr">
        <is>
          <t>KWT</t>
        </is>
      </c>
      <c r="D434" s="5" t="inlineStr">
        <is>
          <t>Kuwait</t>
        </is>
      </c>
      <c r="E434" s="5" t="n">
        <v>2021</v>
      </c>
      <c r="F434" s="5" t="n">
        <v>0</v>
      </c>
      <c r="G434" s="5" t="n">
        <v>5.897</v>
      </c>
      <c r="H434" s="5" t="n">
        <v>1.143</v>
      </c>
      <c r="I434" s="5" t="n">
        <v>0.238</v>
      </c>
      <c r="J434" s="5" t="n">
        <v>6.134</v>
      </c>
      <c r="K434" s="5" t="n">
        <v>0</v>
      </c>
      <c r="L434" s="5" t="n">
        <v>1</v>
      </c>
      <c r="M434" s="5" t="n">
        <v>7.964</v>
      </c>
      <c r="N434" s="5" t="n">
        <v>3.43</v>
      </c>
      <c r="O434" s="5" t="n">
        <v>0.227</v>
      </c>
      <c r="P434" s="5" t="n">
        <v>8.191000000000001</v>
      </c>
      <c r="Q434" s="5" t="n">
        <v>0</v>
      </c>
      <c r="R434" s="5" t="n">
        <v>1</v>
      </c>
      <c r="S434" s="5" t="n">
        <v>11.613</v>
      </c>
      <c r="T434" s="5" t="n">
        <v>6.86</v>
      </c>
      <c r="U434" s="5" t="n">
        <v>0.238</v>
      </c>
      <c r="V434" s="5" t="n">
        <v>11.851</v>
      </c>
      <c r="W434" s="5" t="n">
        <v>0</v>
      </c>
      <c r="X434" s="5" t="n">
        <v>1</v>
      </c>
      <c r="Y434" s="5" t="n">
        <v>5.535</v>
      </c>
      <c r="Z434" s="5" t="n">
        <v>0.602</v>
      </c>
      <c r="AA434" s="5" t="n">
        <v>-1.946</v>
      </c>
      <c r="AB434" s="5" t="n">
        <v>3.589</v>
      </c>
      <c r="AC434" s="5" t="n">
        <v>0</v>
      </c>
      <c r="AD434" s="5" t="n">
        <v>0</v>
      </c>
      <c r="AE434" s="5" t="n">
        <v>6.293</v>
      </c>
      <c r="AF434" s="5" t="n">
        <v>1.212</v>
      </c>
      <c r="AG434" s="5" t="n">
        <v>-3.253</v>
      </c>
      <c r="AH434" s="5" t="n">
        <v>3.04</v>
      </c>
      <c r="AI434" s="5" t="n">
        <v>0</v>
      </c>
      <c r="AJ434" s="5" t="n">
        <v>0</v>
      </c>
      <c r="AK434" s="5" t="n">
        <v>10.846</v>
      </c>
      <c r="AL434" s="5" t="n">
        <v>5.097</v>
      </c>
      <c r="AM434" s="5" t="n">
        <v>-2.153</v>
      </c>
      <c r="AN434" s="5" t="n">
        <v>8.694000000000001</v>
      </c>
      <c r="AO434" s="5" t="n">
        <v>0</v>
      </c>
      <c r="AP434" s="5" t="n">
        <v>0</v>
      </c>
      <c r="AQ434" s="5" t="n">
        <v>0.621</v>
      </c>
      <c r="AR434" s="5" t="n">
        <v>0.114</v>
      </c>
      <c r="AS434" s="5" t="n">
        <v>-0.272</v>
      </c>
      <c r="AT434" s="5" t="n">
        <v>0.348</v>
      </c>
      <c r="AU434" s="5" t="n">
        <v>0</v>
      </c>
      <c r="AV434" s="5" t="n">
        <v>0</v>
      </c>
      <c r="AW434" s="5" t="n">
        <v>0.593</v>
      </c>
      <c r="AX434" s="5" t="n">
        <v>0.114</v>
      </c>
      <c r="AY434" s="5" t="n">
        <v>-0.212</v>
      </c>
      <c r="AZ434" s="5" t="n">
        <v>0.381</v>
      </c>
      <c r="BA434" s="5" t="n">
        <v>0</v>
      </c>
      <c r="BB434" s="5" t="n">
        <v>0</v>
      </c>
      <c r="BC434" s="5" t="n">
        <v>0.44</v>
      </c>
      <c r="BD434" s="5" t="n">
        <v>0.114</v>
      </c>
      <c r="BE434" s="5" t="n">
        <v>0</v>
      </c>
      <c r="BF434" s="5" t="n">
        <v>0.44</v>
      </c>
      <c r="BG434" s="5" t="n">
        <v>0</v>
      </c>
      <c r="BH434" s="5" t="n">
        <v>1</v>
      </c>
      <c r="BI434" s="5" t="n">
        <v>0.5600000000000001</v>
      </c>
      <c r="BJ434" s="5" t="n">
        <v>0.114</v>
      </c>
      <c r="BK434" s="5" t="n">
        <v>-0.179</v>
      </c>
      <c r="BL434" s="5" t="n">
        <v>0.381</v>
      </c>
      <c r="BM434" s="5" t="n">
        <v>0</v>
      </c>
      <c r="BN434" s="5" t="n">
        <v>0</v>
      </c>
      <c r="BO434" s="5" t="n">
        <v>0</v>
      </c>
      <c r="BP434" s="5" t="n">
        <v>-0.073</v>
      </c>
      <c r="BQ434" s="5" t="n">
        <v>0.033</v>
      </c>
      <c r="BR434" s="5" t="n">
        <v>0</v>
      </c>
      <c r="BS434" s="5" t="n">
        <v>0.833</v>
      </c>
      <c r="BT434" s="5" t="n">
        <v>0</v>
      </c>
      <c r="BU434" s="5" t="n">
        <v>-0.073</v>
      </c>
      <c r="BV434" s="5" t="n">
        <v>0.016</v>
      </c>
      <c r="BW434" s="5" t="n">
        <v>0</v>
      </c>
      <c r="BX434" s="5" t="n">
        <v>0.833</v>
      </c>
      <c r="BY434" s="5" t="n">
        <v>11.787</v>
      </c>
      <c r="BZ434" s="5" t="n">
        <v>0</v>
      </c>
      <c r="CA434" s="5" t="n">
        <v>11.787</v>
      </c>
      <c r="CB434" s="5" t="n">
        <v>0</v>
      </c>
      <c r="CC434" s="5" t="n">
        <v>81.69499999999999</v>
      </c>
      <c r="CD434" s="5" t="n">
        <v>7.95</v>
      </c>
      <c r="CE434" s="5" t="n">
        <v>0</v>
      </c>
      <c r="CF434" s="5" t="n">
        <v>81.69499999999999</v>
      </c>
      <c r="CG434" s="5" t="n">
        <v>0</v>
      </c>
      <c r="CH434" s="5" t="n">
        <v>1</v>
      </c>
      <c r="CI434" s="5" t="n">
        <v>0</v>
      </c>
      <c r="CJ434" s="5" t="n">
        <v>0</v>
      </c>
      <c r="CK434" s="5" t="n">
        <v>0</v>
      </c>
      <c r="CL434" s="5" t="n">
        <v>0</v>
      </c>
      <c r="CM434" s="5" t="n">
        <v>0</v>
      </c>
      <c r="CN434" s="5" t="n">
        <v>0</v>
      </c>
      <c r="CO434" s="5" t="n">
        <v>0</v>
      </c>
      <c r="CP434" s="5" t="n">
        <v>0</v>
      </c>
      <c r="CQ434" s="5" t="n">
        <v>1.198</v>
      </c>
      <c r="CR434" s="5" t="n">
        <v>0.673</v>
      </c>
      <c r="CS434" s="5" t="n">
        <v>4.776</v>
      </c>
      <c r="CT434" s="5" t="n">
        <v>4.753</v>
      </c>
      <c r="CU434" s="5" t="n">
        <v>14.162</v>
      </c>
    </row>
    <row r="435">
      <c r="A435" s="5" t="inlineStr">
        <is>
          <t>KWT2022</t>
        </is>
      </c>
      <c r="B435" s="5" t="inlineStr">
        <is>
          <t>KWT</t>
        </is>
      </c>
      <c r="C435" s="5" t="inlineStr">
        <is>
          <t>KWT</t>
        </is>
      </c>
      <c r="D435" s="5" t="inlineStr">
        <is>
          <t>Kuwait</t>
        </is>
      </c>
      <c r="E435" s="5" t="n">
        <v>2022</v>
      </c>
      <c r="F435" s="5" t="n">
        <v>0</v>
      </c>
      <c r="G435" s="5" t="n">
        <v>11.72</v>
      </c>
      <c r="H435" s="5" t="n">
        <v>1.235</v>
      </c>
      <c r="I435" s="5" t="n">
        <v>0.5659999999999999</v>
      </c>
      <c r="J435" s="5" t="n">
        <v>12.286</v>
      </c>
      <c r="K435" s="5" t="n">
        <v>0</v>
      </c>
      <c r="L435" s="5" t="n">
        <v>1</v>
      </c>
      <c r="M435" s="5" t="n">
        <v>9.782999999999999</v>
      </c>
      <c r="N435" s="5" t="n">
        <v>3.704</v>
      </c>
      <c r="O435" s="5" t="n">
        <v>0.328</v>
      </c>
      <c r="P435" s="5" t="n">
        <v>10.111</v>
      </c>
      <c r="Q435" s="5" t="n">
        <v>0</v>
      </c>
      <c r="R435" s="5" t="n">
        <v>1</v>
      </c>
      <c r="S435" s="5" t="n">
        <v>17.893</v>
      </c>
      <c r="T435" s="5" t="n">
        <v>7.408</v>
      </c>
      <c r="U435" s="5" t="n">
        <v>0.5659999999999999</v>
      </c>
      <c r="V435" s="5" t="n">
        <v>18.459</v>
      </c>
      <c r="W435" s="5" t="n">
        <v>0</v>
      </c>
      <c r="X435" s="5" t="n">
        <v>1</v>
      </c>
      <c r="Y435" s="5" t="n">
        <v>9.510999999999999</v>
      </c>
      <c r="Z435" s="5" t="n">
        <v>1.035</v>
      </c>
      <c r="AA435" s="5" t="n">
        <v>-2.102</v>
      </c>
      <c r="AB435" s="5" t="n">
        <v>7.409</v>
      </c>
      <c r="AC435" s="5" t="n">
        <v>0</v>
      </c>
      <c r="AD435" s="5" t="n">
        <v>0</v>
      </c>
      <c r="AE435" s="5" t="n">
        <v>10.338</v>
      </c>
      <c r="AF435" s="5" t="n">
        <v>1.991</v>
      </c>
      <c r="AG435" s="5" t="n">
        <v>-3.513</v>
      </c>
      <c r="AH435" s="5" t="n">
        <v>6.824</v>
      </c>
      <c r="AI435" s="5" t="n">
        <v>0</v>
      </c>
      <c r="AJ435" s="5" t="n">
        <v>0</v>
      </c>
      <c r="AK435" s="5" t="n">
        <v>15.297</v>
      </c>
      <c r="AL435" s="5" t="n">
        <v>7.188</v>
      </c>
      <c r="AM435" s="5" t="n">
        <v>-2.02</v>
      </c>
      <c r="AN435" s="5" t="n">
        <v>13.277</v>
      </c>
      <c r="AO435" s="5" t="n">
        <v>0</v>
      </c>
      <c r="AP435" s="5" t="n">
        <v>0</v>
      </c>
      <c r="AQ435" s="5" t="n">
        <v>0.847</v>
      </c>
      <c r="AR435" s="5" t="n">
        <v>0.123</v>
      </c>
      <c r="AS435" s="5" t="n">
        <v>-0.504</v>
      </c>
      <c r="AT435" s="5" t="n">
        <v>0.343</v>
      </c>
      <c r="AU435" s="5" t="n">
        <v>0</v>
      </c>
      <c r="AV435" s="5" t="n">
        <v>0</v>
      </c>
      <c r="AW435" s="5" t="n">
        <v>0.947</v>
      </c>
      <c r="AX435" s="5" t="n">
        <v>0.123</v>
      </c>
      <c r="AY435" s="5" t="n">
        <v>-0.571</v>
      </c>
      <c r="AZ435" s="5" t="n">
        <v>0.376</v>
      </c>
      <c r="BA435" s="5" t="n">
        <v>0</v>
      </c>
      <c r="BB435" s="5" t="n">
        <v>0</v>
      </c>
      <c r="BC435" s="5" t="n">
        <v>0.589</v>
      </c>
      <c r="BD435" s="5" t="n">
        <v>0.123</v>
      </c>
      <c r="BE435" s="5" t="n">
        <v>0</v>
      </c>
      <c r="BF435" s="5" t="n">
        <v>0.589</v>
      </c>
      <c r="BG435" s="5" t="n">
        <v>0</v>
      </c>
      <c r="BH435" s="5" t="n">
        <v>1</v>
      </c>
      <c r="BI435" s="5" t="n">
        <v>0.6889999999999999</v>
      </c>
      <c r="BJ435" s="5" t="n">
        <v>0.123</v>
      </c>
      <c r="BK435" s="5" t="n">
        <v>-0.313</v>
      </c>
      <c r="BL435" s="5" t="n">
        <v>0.376</v>
      </c>
      <c r="BM435" s="5" t="n">
        <v>0</v>
      </c>
      <c r="BN435" s="5" t="n">
        <v>0</v>
      </c>
      <c r="BO435" s="5" t="n">
        <v>0</v>
      </c>
      <c r="BP435" s="5" t="n">
        <v>-0.073</v>
      </c>
      <c r="BQ435" s="5" t="n">
        <v>0.032</v>
      </c>
      <c r="BR435" s="5" t="n">
        <v>0</v>
      </c>
      <c r="BS435" s="5" t="n">
        <v>0.833</v>
      </c>
      <c r="BT435" s="5" t="n">
        <v>0</v>
      </c>
      <c r="BU435" s="5" t="n">
        <v>-0.073</v>
      </c>
      <c r="BV435" s="5" t="n">
        <v>0.016</v>
      </c>
      <c r="BW435" s="5" t="n">
        <v>0</v>
      </c>
      <c r="BX435" s="5" t="n">
        <v>0.833</v>
      </c>
      <c r="BY435" s="5" t="n">
        <v>12.729</v>
      </c>
      <c r="BZ435" s="5" t="n">
        <v>0</v>
      </c>
      <c r="CA435" s="5" t="n">
        <v>12.729</v>
      </c>
      <c r="CB435" s="5" t="n">
        <v>0</v>
      </c>
      <c r="CC435" s="5" t="n">
        <v>102.477</v>
      </c>
      <c r="CD435" s="5" t="n">
        <v>7.95</v>
      </c>
      <c r="CE435" s="5" t="n">
        <v>0</v>
      </c>
      <c r="CF435" s="5" t="n">
        <v>102.477</v>
      </c>
      <c r="CG435" s="5" t="n">
        <v>0</v>
      </c>
      <c r="CH435" s="5" t="n">
        <v>1</v>
      </c>
      <c r="CI435" s="5" t="n">
        <v>0</v>
      </c>
      <c r="CJ435" s="5" t="n">
        <v>0</v>
      </c>
      <c r="CK435" s="5" t="n">
        <v>0</v>
      </c>
      <c r="CL435" s="5" t="n">
        <v>0</v>
      </c>
      <c r="CM435" s="5" t="n">
        <v>0</v>
      </c>
      <c r="CN435" s="5" t="n">
        <v>0</v>
      </c>
      <c r="CO435" s="5" t="n">
        <v>0</v>
      </c>
      <c r="CP435" s="5" t="n">
        <v>0</v>
      </c>
      <c r="CQ435" s="5" t="n">
        <v>1.294</v>
      </c>
      <c r="CR435" s="5" t="n">
        <v>0.661</v>
      </c>
      <c r="CS435" s="5" t="n">
        <v>5.158</v>
      </c>
      <c r="CT435" s="5" t="n">
        <v>10.485</v>
      </c>
      <c r="CU435" s="5" t="n">
        <v>30.326</v>
      </c>
    </row>
    <row r="436">
      <c r="A436" s="5" t="inlineStr">
        <is>
          <t>KWT2023</t>
        </is>
      </c>
      <c r="B436" s="5" t="inlineStr">
        <is>
          <t>KWT</t>
        </is>
      </c>
      <c r="C436" s="5" t="inlineStr">
        <is>
          <t>KWT</t>
        </is>
      </c>
      <c r="D436" s="5" t="inlineStr">
        <is>
          <t>Kuwait</t>
        </is>
      </c>
      <c r="E436" s="5" t="n">
        <v>2023</v>
      </c>
      <c r="F436" s="5" t="n">
        <v>0</v>
      </c>
      <c r="G436" s="5" t="n">
        <v>6.147</v>
      </c>
      <c r="H436" s="5" t="n">
        <v>1.286</v>
      </c>
      <c r="I436" s="5" t="n">
        <v>0.273</v>
      </c>
      <c r="J436" s="5" t="n">
        <v>6.42</v>
      </c>
      <c r="K436" s="5" t="n">
        <v>0</v>
      </c>
      <c r="L436" s="5" t="n">
        <v>1</v>
      </c>
      <c r="M436" s="5" t="n">
        <v>7.886</v>
      </c>
      <c r="N436" s="5" t="n">
        <v>3.857</v>
      </c>
      <c r="O436" s="5" t="n">
        <v>0.227</v>
      </c>
      <c r="P436" s="5" t="n">
        <v>8.113</v>
      </c>
      <c r="Q436" s="5" t="n">
        <v>0</v>
      </c>
      <c r="R436" s="5" t="n">
        <v>1</v>
      </c>
      <c r="S436" s="5" t="n">
        <v>12.575</v>
      </c>
      <c r="T436" s="5" t="n">
        <v>7.714</v>
      </c>
      <c r="U436" s="5" t="n">
        <v>0.273</v>
      </c>
      <c r="V436" s="5" t="n">
        <v>12.848</v>
      </c>
      <c r="W436" s="5" t="n">
        <v>0</v>
      </c>
      <c r="X436" s="5" t="n">
        <v>1</v>
      </c>
      <c r="Y436" s="5" t="n">
        <v>6.804</v>
      </c>
      <c r="Z436" s="5" t="n">
        <v>0.741</v>
      </c>
      <c r="AA436" s="5" t="n">
        <v>-1.266</v>
      </c>
      <c r="AB436" s="5" t="n">
        <v>5.538</v>
      </c>
      <c r="AC436" s="5" t="n">
        <v>0</v>
      </c>
      <c r="AD436" s="5" t="n">
        <v>0</v>
      </c>
      <c r="AE436" s="5" t="n">
        <v>7.656</v>
      </c>
      <c r="AF436" s="5" t="n">
        <v>1.474</v>
      </c>
      <c r="AG436" s="5" t="n">
        <v>-2.727</v>
      </c>
      <c r="AH436" s="5" t="n">
        <v>4.929</v>
      </c>
      <c r="AI436" s="5" t="n">
        <v>0</v>
      </c>
      <c r="AJ436" s="5" t="n">
        <v>0</v>
      </c>
      <c r="AK436" s="5" t="n">
        <v>12.768</v>
      </c>
      <c r="AL436" s="5" t="n">
        <v>6</v>
      </c>
      <c r="AM436" s="5" t="n">
        <v>-2.487</v>
      </c>
      <c r="AN436" s="5" t="n">
        <v>10.282</v>
      </c>
      <c r="AO436" s="5" t="n">
        <v>0</v>
      </c>
      <c r="AP436" s="5" t="n">
        <v>0</v>
      </c>
      <c r="AQ436" s="5" t="n">
        <v>0.749</v>
      </c>
      <c r="AR436" s="5" t="n">
        <v>0.129</v>
      </c>
      <c r="AS436" s="5" t="n">
        <v>-0.407</v>
      </c>
      <c r="AT436" s="5" t="n">
        <v>0.342</v>
      </c>
      <c r="AU436" s="5" t="n">
        <v>0</v>
      </c>
      <c r="AV436" s="5" t="n">
        <v>0</v>
      </c>
      <c r="AW436" s="5" t="n">
        <v>0.783</v>
      </c>
      <c r="AX436" s="5" t="n">
        <v>0.129</v>
      </c>
      <c r="AY436" s="5" t="n">
        <v>-0.408</v>
      </c>
      <c r="AZ436" s="5" t="n">
        <v>0.374</v>
      </c>
      <c r="BA436" s="5" t="n">
        <v>0</v>
      </c>
      <c r="BB436" s="5" t="n">
        <v>0</v>
      </c>
      <c r="BC436" s="5" t="n">
        <v>0.527</v>
      </c>
      <c r="BD436" s="5" t="n">
        <v>0.129</v>
      </c>
      <c r="BE436" s="5" t="n">
        <v>0</v>
      </c>
      <c r="BF436" s="5" t="n">
        <v>0.527</v>
      </c>
      <c r="BG436" s="5" t="n">
        <v>0</v>
      </c>
      <c r="BH436" s="5" t="n">
        <v>1</v>
      </c>
      <c r="BI436" s="5" t="n">
        <v>0.64</v>
      </c>
      <c r="BJ436" s="5" t="n">
        <v>0.129</v>
      </c>
      <c r="BK436" s="5" t="n">
        <v>-0.265</v>
      </c>
      <c r="BL436" s="5" t="n">
        <v>0.374</v>
      </c>
      <c r="BM436" s="5" t="n">
        <v>0</v>
      </c>
      <c r="BN436" s="5" t="n">
        <v>0</v>
      </c>
      <c r="BO436" s="5" t="n">
        <v>0</v>
      </c>
      <c r="BP436" s="5" t="n">
        <v>-0.073</v>
      </c>
      <c r="BQ436" s="5" t="n">
        <v>0.033</v>
      </c>
      <c r="BR436" s="5" t="n">
        <v>0</v>
      </c>
      <c r="BS436" s="5" t="n">
        <v>0.833</v>
      </c>
      <c r="BT436" s="5" t="n">
        <v>0</v>
      </c>
      <c r="BU436" s="5" t="n">
        <v>-0.073</v>
      </c>
      <c r="BV436" s="5" t="n">
        <v>0.016</v>
      </c>
      <c r="BW436" s="5" t="n">
        <v>0</v>
      </c>
      <c r="BX436" s="5" t="n">
        <v>0.833</v>
      </c>
      <c r="BY436" s="5" t="n">
        <v>13.254</v>
      </c>
      <c r="BZ436" s="5" t="n">
        <v>0</v>
      </c>
      <c r="CA436" s="5" t="n">
        <v>13.254</v>
      </c>
      <c r="CB436" s="5" t="n">
        <v>0</v>
      </c>
      <c r="CC436" s="5" t="n">
        <v>87.07899999999999</v>
      </c>
      <c r="CD436" s="5" t="n">
        <v>7.95</v>
      </c>
      <c r="CE436" s="5" t="n">
        <v>0</v>
      </c>
      <c r="CF436" s="5" t="n">
        <v>87.07899999999999</v>
      </c>
      <c r="CG436" s="5" t="n">
        <v>0</v>
      </c>
      <c r="CH436" s="5" t="n">
        <v>1</v>
      </c>
      <c r="CI436" s="5" t="n">
        <v>0</v>
      </c>
      <c r="CJ436" s="5" t="n">
        <v>0</v>
      </c>
      <c r="CK436" s="5" t="n">
        <v>0</v>
      </c>
      <c r="CL436" s="5" t="n">
        <v>0</v>
      </c>
      <c r="CM436" s="5" t="n">
        <v>0</v>
      </c>
      <c r="CN436" s="5" t="n">
        <v>0</v>
      </c>
      <c r="CO436" s="5" t="n">
        <v>0</v>
      </c>
      <c r="CP436" s="5" t="n">
        <v>0</v>
      </c>
      <c r="CQ436" s="5" t="n">
        <v>1.348</v>
      </c>
      <c r="CR436" s="5" t="n">
        <v>0.675</v>
      </c>
      <c r="CS436" s="5" t="n">
        <v>5.37</v>
      </c>
      <c r="CT436" s="5" t="n">
        <v>4.861</v>
      </c>
      <c r="CU436" s="5" t="n">
        <v>10.622</v>
      </c>
    </row>
    <row r="437">
      <c r="A437" s="5" t="inlineStr">
        <is>
          <t>KWT2024</t>
        </is>
      </c>
      <c r="B437" s="5" t="inlineStr">
        <is>
          <t>KWT</t>
        </is>
      </c>
      <c r="C437" s="5" t="inlineStr">
        <is>
          <t>KWT</t>
        </is>
      </c>
      <c r="D437" s="5" t="inlineStr">
        <is>
          <t>Kuwait</t>
        </is>
      </c>
      <c r="E437" s="5" t="n">
        <v>2024</v>
      </c>
      <c r="F437" s="5" t="n">
        <v>0</v>
      </c>
      <c r="G437" s="5" t="n">
        <v>5.575</v>
      </c>
      <c r="H437" s="5" t="n">
        <v>1.324</v>
      </c>
      <c r="I437" s="5" t="n">
        <v>0.213</v>
      </c>
      <c r="J437" s="5" t="n">
        <v>5.787</v>
      </c>
      <c r="K437" s="5" t="n">
        <v>0</v>
      </c>
      <c r="L437" s="5" t="n">
        <v>1</v>
      </c>
      <c r="M437" s="5" t="n">
        <v>7.124</v>
      </c>
      <c r="N437" s="5" t="n">
        <v>3.971</v>
      </c>
      <c r="O437" s="5" t="n">
        <v>0.158</v>
      </c>
      <c r="P437" s="5" t="n">
        <v>7.281</v>
      </c>
      <c r="Q437" s="5" t="n">
        <v>0</v>
      </c>
      <c r="R437" s="5" t="n">
        <v>1</v>
      </c>
      <c r="S437" s="5" t="n">
        <v>12.193</v>
      </c>
      <c r="T437" s="5" t="n">
        <v>7.942</v>
      </c>
      <c r="U437" s="5" t="n">
        <v>0.213</v>
      </c>
      <c r="V437" s="5" t="n">
        <v>12.405</v>
      </c>
      <c r="W437" s="5" t="n">
        <v>0</v>
      </c>
      <c r="X437" s="5" t="n">
        <v>1</v>
      </c>
      <c r="Y437" s="5" t="n">
        <v>6.797</v>
      </c>
      <c r="Z437" s="5" t="n">
        <v>0.74</v>
      </c>
      <c r="AA437" s="5" t="n">
        <v>-1.303</v>
      </c>
      <c r="AB437" s="5" t="n">
        <v>5.493</v>
      </c>
      <c r="AC437" s="5" t="n">
        <v>0</v>
      </c>
      <c r="AD437" s="5" t="n">
        <v>0</v>
      </c>
      <c r="AE437" s="5" t="n">
        <v>7.674</v>
      </c>
      <c r="AF437" s="5" t="n">
        <v>1.478</v>
      </c>
      <c r="AG437" s="5" t="n">
        <v>-2.808</v>
      </c>
      <c r="AH437" s="5" t="n">
        <v>4.866</v>
      </c>
      <c r="AI437" s="5" t="n">
        <v>0</v>
      </c>
      <c r="AJ437" s="5" t="n">
        <v>0</v>
      </c>
      <c r="AK437" s="5" t="n">
        <v>12.937</v>
      </c>
      <c r="AL437" s="5" t="n">
        <v>6.079</v>
      </c>
      <c r="AM437" s="5" t="n">
        <v>-2.306</v>
      </c>
      <c r="AN437" s="5" t="n">
        <v>10.632</v>
      </c>
      <c r="AO437" s="5" t="n">
        <v>0</v>
      </c>
      <c r="AP437" s="5" t="n">
        <v>0</v>
      </c>
      <c r="AQ437" s="5" t="n">
        <v>0.72</v>
      </c>
      <c r="AR437" s="5" t="n">
        <v>0.132</v>
      </c>
      <c r="AS437" s="5" t="n">
        <v>-0.378</v>
      </c>
      <c r="AT437" s="5" t="n">
        <v>0.342</v>
      </c>
      <c r="AU437" s="5" t="n">
        <v>0</v>
      </c>
      <c r="AV437" s="5" t="n">
        <v>0</v>
      </c>
      <c r="AW437" s="5" t="n">
        <v>0.734</v>
      </c>
      <c r="AX437" s="5" t="n">
        <v>0.132</v>
      </c>
      <c r="AY437" s="5" t="n">
        <v>-0.359</v>
      </c>
      <c r="AZ437" s="5" t="n">
        <v>0.375</v>
      </c>
      <c r="BA437" s="5" t="n">
        <v>0</v>
      </c>
      <c r="BB437" s="5" t="n">
        <v>0</v>
      </c>
      <c r="BC437" s="5" t="n">
        <v>0.51</v>
      </c>
      <c r="BD437" s="5" t="n">
        <v>0.132</v>
      </c>
      <c r="BE437" s="5" t="n">
        <v>0</v>
      </c>
      <c r="BF437" s="5" t="n">
        <v>0.51</v>
      </c>
      <c r="BG437" s="5" t="n">
        <v>0</v>
      </c>
      <c r="BH437" s="5" t="n">
        <v>1</v>
      </c>
      <c r="BI437" s="5" t="n">
        <v>0.652</v>
      </c>
      <c r="BJ437" s="5" t="n">
        <v>0.132</v>
      </c>
      <c r="BK437" s="5" t="n">
        <v>-0.277</v>
      </c>
      <c r="BL437" s="5" t="n">
        <v>0.375</v>
      </c>
      <c r="BM437" s="5" t="n">
        <v>0</v>
      </c>
      <c r="BN437" s="5" t="n">
        <v>0</v>
      </c>
      <c r="BO437" s="5" t="n">
        <v>0</v>
      </c>
      <c r="BP437" s="5" t="n">
        <v>-0.075</v>
      </c>
      <c r="BQ437" s="5" t="n">
        <v>0.056</v>
      </c>
      <c r="BR437" s="5" t="n">
        <v>0</v>
      </c>
      <c r="BS437" s="5" t="n">
        <v>0.833</v>
      </c>
      <c r="BT437" s="5" t="n">
        <v>0</v>
      </c>
      <c r="BU437" s="5" t="n">
        <v>-0.075</v>
      </c>
      <c r="BV437" s="5" t="n">
        <v>0.029</v>
      </c>
      <c r="BW437" s="5" t="n">
        <v>0</v>
      </c>
      <c r="BX437" s="5" t="n">
        <v>0.833</v>
      </c>
      <c r="BY437" s="5" t="n">
        <v>13.646</v>
      </c>
      <c r="BZ437" s="5" t="n">
        <v>0</v>
      </c>
      <c r="CA437" s="5" t="n">
        <v>13.646</v>
      </c>
      <c r="CB437" s="5" t="n">
        <v>0</v>
      </c>
      <c r="CC437" s="5" t="n">
        <v>86.38500000000001</v>
      </c>
      <c r="CD437" s="5" t="n">
        <v>7.95</v>
      </c>
      <c r="CE437" s="5" t="n">
        <v>0</v>
      </c>
      <c r="CF437" s="5" t="n">
        <v>86.38500000000001</v>
      </c>
      <c r="CG437" s="5" t="n">
        <v>0</v>
      </c>
      <c r="CH437" s="5" t="n">
        <v>1</v>
      </c>
      <c r="CI437" s="5" t="n">
        <v>0</v>
      </c>
      <c r="CJ437" s="5" t="n">
        <v>0</v>
      </c>
      <c r="CK437" s="5" t="n">
        <v>0</v>
      </c>
      <c r="CL437" s="5" t="n">
        <v>0</v>
      </c>
      <c r="CM437" s="5" t="n">
        <v>0</v>
      </c>
      <c r="CN437" s="5" t="n">
        <v>0</v>
      </c>
      <c r="CO437" s="5" t="n">
        <v>0</v>
      </c>
      <c r="CP437" s="5" t="n">
        <v>0</v>
      </c>
      <c r="CQ437" s="5" t="n">
        <v>1.387</v>
      </c>
      <c r="CR437" s="5" t="n">
        <v>0.675</v>
      </c>
      <c r="CS437" s="5" t="n">
        <v>5.529</v>
      </c>
      <c r="CT437" s="5" t="n">
        <v>4.251</v>
      </c>
      <c r="CU437" s="5" t="n">
        <v>9.167999999999999</v>
      </c>
    </row>
    <row r="438">
      <c r="A438" s="5" t="inlineStr">
        <is>
          <t>KGZ2021</t>
        </is>
      </c>
      <c r="B438" s="5" t="inlineStr">
        <is>
          <t>KGZ</t>
        </is>
      </c>
      <c r="C438" s="5" t="inlineStr">
        <is>
          <t>KGZ</t>
        </is>
      </c>
      <c r="D438" s="5" t="inlineStr">
        <is>
          <t>Kyrgyz Republic</t>
        </is>
      </c>
      <c r="E438" s="5" t="n">
        <v>2021</v>
      </c>
      <c r="F438" s="5" t="n">
        <v>0.12</v>
      </c>
      <c r="G438" s="5" t="n">
        <v>3.218</v>
      </c>
      <c r="H438" s="5" t="n">
        <v>0.79</v>
      </c>
      <c r="I438" s="5" t="n">
        <v>0.042</v>
      </c>
      <c r="J438" s="5" t="n">
        <v>3.26</v>
      </c>
      <c r="K438" s="5" t="n">
        <v>0</v>
      </c>
      <c r="L438" s="5" t="n">
        <v>1</v>
      </c>
      <c r="M438" s="5" t="n">
        <v>4.846</v>
      </c>
      <c r="N438" s="5" t="n">
        <v>2.371</v>
      </c>
      <c r="O438" s="5" t="n">
        <v>0.08699999999999999</v>
      </c>
      <c r="P438" s="5" t="n">
        <v>4.933</v>
      </c>
      <c r="Q438" s="5" t="n">
        <v>0</v>
      </c>
      <c r="R438" s="5" t="n">
        <v>1</v>
      </c>
      <c r="S438" s="5" t="n">
        <v>1.718</v>
      </c>
      <c r="T438" s="5" t="n">
        <v>1.065</v>
      </c>
      <c r="U438" s="5" t="n">
        <v>0.042</v>
      </c>
      <c r="V438" s="5" t="n">
        <v>1.972</v>
      </c>
      <c r="W438" s="5" t="n">
        <v>0.12</v>
      </c>
      <c r="X438" s="5" t="n">
        <v>1</v>
      </c>
      <c r="Y438" s="5" t="n">
        <v>6.203</v>
      </c>
      <c r="Z438" s="5" t="n">
        <v>0.8070000000000001</v>
      </c>
      <c r="AA438" s="5" t="n">
        <v>0.719</v>
      </c>
      <c r="AB438" s="5" t="n">
        <v>6.922</v>
      </c>
      <c r="AC438" s="5" t="n">
        <v>0</v>
      </c>
      <c r="AD438" s="5" t="n">
        <v>1</v>
      </c>
      <c r="AE438" s="5" t="n">
        <v>7.317</v>
      </c>
      <c r="AF438" s="5" t="n">
        <v>1.655</v>
      </c>
      <c r="AG438" s="5" t="n">
        <v>0.719</v>
      </c>
      <c r="AH438" s="5" t="n">
        <v>8.036</v>
      </c>
      <c r="AI438" s="5" t="n">
        <v>0</v>
      </c>
      <c r="AJ438" s="5" t="n">
        <v>1</v>
      </c>
      <c r="AK438" s="5" t="n">
        <v>14</v>
      </c>
      <c r="AL438" s="5" t="n">
        <v>7.309</v>
      </c>
      <c r="AM438" s="5" t="n">
        <v>-9.162000000000001</v>
      </c>
      <c r="AN438" s="5" t="n">
        <v>5.419</v>
      </c>
      <c r="AO438" s="5" t="n">
        <v>0</v>
      </c>
      <c r="AP438" s="5" t="n">
        <v>0</v>
      </c>
      <c r="AQ438" s="5" t="n">
        <v>0.619</v>
      </c>
      <c r="AR438" s="5" t="n">
        <v>0.114</v>
      </c>
      <c r="AS438" s="5" t="n">
        <v>-0.081</v>
      </c>
      <c r="AT438" s="5" t="n">
        <v>0.603</v>
      </c>
      <c r="AU438" s="5" t="n">
        <v>0.12</v>
      </c>
      <c r="AV438" s="5" t="n">
        <v>1</v>
      </c>
      <c r="AW438" s="5" t="n">
        <v>0.599</v>
      </c>
      <c r="AX438" s="5" t="n">
        <v>0.114</v>
      </c>
      <c r="AY438" s="5" t="n">
        <v>-0.094</v>
      </c>
      <c r="AZ438" s="5" t="n">
        <v>0.5659999999999999</v>
      </c>
      <c r="BA438" s="5" t="n">
        <v>0.12</v>
      </c>
      <c r="BB438" s="5" t="n">
        <v>1</v>
      </c>
      <c r="BC438" s="5" t="n">
        <v>0.439</v>
      </c>
      <c r="BD438" s="5" t="n">
        <v>0.114</v>
      </c>
      <c r="BE438" s="5" t="n">
        <v>0.159</v>
      </c>
      <c r="BF438" s="5" t="n">
        <v>0.67</v>
      </c>
      <c r="BG438" s="5" t="n">
        <v>0.12</v>
      </c>
      <c r="BH438" s="5" t="n">
        <v>1</v>
      </c>
      <c r="BI438" s="5" t="n">
        <v>0.505</v>
      </c>
      <c r="BJ438" s="5" t="n">
        <v>0.114</v>
      </c>
      <c r="BK438" s="5" t="n">
        <v>0.04</v>
      </c>
      <c r="BL438" s="5" t="n">
        <v>0.61</v>
      </c>
      <c r="BM438" s="5" t="n">
        <v>0.12</v>
      </c>
      <c r="BN438" s="5" t="n">
        <v>1</v>
      </c>
      <c r="BO438" s="5" t="n">
        <v>0</v>
      </c>
      <c r="BP438" s="5" t="n">
        <v>0</v>
      </c>
      <c r="BQ438" s="5" t="n">
        <v>0.033</v>
      </c>
      <c r="BR438" s="5" t="n">
        <v>0</v>
      </c>
      <c r="BS438" s="5" t="n">
        <v>0.833</v>
      </c>
      <c r="BT438" s="5" t="n">
        <v>0</v>
      </c>
      <c r="BU438" s="5" t="n">
        <v>0</v>
      </c>
      <c r="BV438" s="5" t="n">
        <v>0.01</v>
      </c>
      <c r="BW438" s="5" t="n">
        <v>0.12</v>
      </c>
      <c r="BX438" s="5" t="n">
        <v>0.667</v>
      </c>
      <c r="BY438" s="5" t="n">
        <v>11.787</v>
      </c>
      <c r="BZ438" s="5" t="n">
        <v>0</v>
      </c>
      <c r="CA438" s="5" t="n">
        <v>11.787</v>
      </c>
      <c r="CB438" s="5" t="n">
        <v>0</v>
      </c>
      <c r="CC438" s="5" t="n">
        <v>78.125</v>
      </c>
      <c r="CD438" s="5" t="n">
        <v>7.95</v>
      </c>
      <c r="CE438" s="5" t="n">
        <v>3.664</v>
      </c>
      <c r="CF438" s="5" t="n">
        <v>91.604</v>
      </c>
      <c r="CG438" s="5" t="n">
        <v>0.12</v>
      </c>
      <c r="CH438" s="5" t="n">
        <v>1</v>
      </c>
      <c r="CI438" s="5" t="n">
        <v>0</v>
      </c>
      <c r="CJ438" s="5" t="n">
        <v>0</v>
      </c>
      <c r="CK438" s="5" t="n">
        <v>0</v>
      </c>
      <c r="CL438" s="5" t="n">
        <v>0</v>
      </c>
      <c r="CM438" s="5" t="n">
        <v>0</v>
      </c>
      <c r="CN438" s="5" t="n">
        <v>0</v>
      </c>
      <c r="CO438" s="5" t="n">
        <v>0</v>
      </c>
      <c r="CP438" s="5" t="n">
        <v>0.617</v>
      </c>
      <c r="CQ438" s="5" t="n">
        <v>1.198</v>
      </c>
      <c r="CR438" s="5" t="n">
        <v>0.051</v>
      </c>
      <c r="CS438" s="5" t="n">
        <v>4.776</v>
      </c>
      <c r="CT438" s="5" t="n">
        <v>4.41</v>
      </c>
      <c r="CU438" s="5" t="n">
        <v>15.162</v>
      </c>
    </row>
    <row r="439">
      <c r="A439" s="5" t="inlineStr">
        <is>
          <t>KGZ2022</t>
        </is>
      </c>
      <c r="B439" s="5" t="inlineStr">
        <is>
          <t>KGZ</t>
        </is>
      </c>
      <c r="C439" s="5" t="inlineStr">
        <is>
          <t>KGZ</t>
        </is>
      </c>
      <c r="D439" s="5" t="inlineStr">
        <is>
          <t>Kyrgyz Republic</t>
        </is>
      </c>
      <c r="E439" s="5" t="n">
        <v>2022</v>
      </c>
      <c r="F439" s="5" t="n">
        <v>0.12</v>
      </c>
      <c r="G439" s="5" t="n">
        <v>3.315</v>
      </c>
      <c r="H439" s="5" t="n">
        <v>0.785</v>
      </c>
      <c r="I439" s="5" t="n">
        <v>0.04</v>
      </c>
      <c r="J439" s="5" t="n">
        <v>3.355</v>
      </c>
      <c r="K439" s="5" t="n">
        <v>0</v>
      </c>
      <c r="L439" s="5" t="n">
        <v>1</v>
      </c>
      <c r="M439" s="5" t="n">
        <v>4.95</v>
      </c>
      <c r="N439" s="5" t="n">
        <v>2.355</v>
      </c>
      <c r="O439" s="5" t="n">
        <v>0.083</v>
      </c>
      <c r="P439" s="5" t="n">
        <v>5.033</v>
      </c>
      <c r="Q439" s="5" t="n">
        <v>0</v>
      </c>
      <c r="R439" s="5" t="n">
        <v>1</v>
      </c>
      <c r="S439" s="5" t="n">
        <v>1.947</v>
      </c>
      <c r="T439" s="5" t="n">
        <v>0.954</v>
      </c>
      <c r="U439" s="5" t="n">
        <v>0.04</v>
      </c>
      <c r="V439" s="5" t="n">
        <v>2.225</v>
      </c>
      <c r="W439" s="5" t="n">
        <v>0.12</v>
      </c>
      <c r="X439" s="5" t="n">
        <v>1</v>
      </c>
      <c r="Y439" s="5" t="n">
        <v>6.355</v>
      </c>
      <c r="Z439" s="5" t="n">
        <v>0.827</v>
      </c>
      <c r="AA439" s="5" t="n">
        <v>1.469</v>
      </c>
      <c r="AB439" s="5" t="n">
        <v>7.824</v>
      </c>
      <c r="AC439" s="5" t="n">
        <v>0</v>
      </c>
      <c r="AD439" s="5" t="n">
        <v>1</v>
      </c>
      <c r="AE439" s="5" t="n">
        <v>7.551</v>
      </c>
      <c r="AF439" s="5" t="n">
        <v>1.708</v>
      </c>
      <c r="AG439" s="5" t="n">
        <v>1.469</v>
      </c>
      <c r="AH439" s="5" t="n">
        <v>9.02</v>
      </c>
      <c r="AI439" s="5" t="n">
        <v>0</v>
      </c>
      <c r="AJ439" s="5" t="n">
        <v>1</v>
      </c>
      <c r="AK439" s="5" t="n">
        <v>14.729</v>
      </c>
      <c r="AL439" s="5" t="n">
        <v>7.689</v>
      </c>
      <c r="AM439" s="5" t="n">
        <v>-9.862</v>
      </c>
      <c r="AN439" s="5" t="n">
        <v>5.45</v>
      </c>
      <c r="AO439" s="5" t="n">
        <v>0</v>
      </c>
      <c r="AP439" s="5" t="n">
        <v>0</v>
      </c>
      <c r="AQ439" s="5" t="n">
        <v>0.861</v>
      </c>
      <c r="AR439" s="5" t="n">
        <v>0.123</v>
      </c>
      <c r="AS439" s="5" t="n">
        <v>-0.183</v>
      </c>
      <c r="AT439" s="5" t="n">
        <v>0.759</v>
      </c>
      <c r="AU439" s="5" t="n">
        <v>0.12</v>
      </c>
      <c r="AV439" s="5" t="n">
        <v>1</v>
      </c>
      <c r="AW439" s="5" t="n">
        <v>0.986</v>
      </c>
      <c r="AX439" s="5" t="n">
        <v>0.123</v>
      </c>
      <c r="AY439" s="5" t="n">
        <v>-0.253</v>
      </c>
      <c r="AZ439" s="5" t="n">
        <v>0.821</v>
      </c>
      <c r="BA439" s="5" t="n">
        <v>0.12</v>
      </c>
      <c r="BB439" s="5" t="n">
        <v>1</v>
      </c>
      <c r="BC439" s="5" t="n">
        <v>0.598</v>
      </c>
      <c r="BD439" s="5" t="n">
        <v>0.123</v>
      </c>
      <c r="BE439" s="5" t="n">
        <v>0.139</v>
      </c>
      <c r="BF439" s="5" t="n">
        <v>0.825</v>
      </c>
      <c r="BG439" s="5" t="n">
        <v>0.12</v>
      </c>
      <c r="BH439" s="5" t="n">
        <v>1</v>
      </c>
      <c r="BI439" s="5" t="n">
        <v>0.612</v>
      </c>
      <c r="BJ439" s="5" t="n">
        <v>0.123</v>
      </c>
      <c r="BK439" s="5" t="n">
        <v>0.049</v>
      </c>
      <c r="BL439" s="5" t="n">
        <v>0.734</v>
      </c>
      <c r="BM439" s="5" t="n">
        <v>0.12</v>
      </c>
      <c r="BN439" s="5" t="n">
        <v>1</v>
      </c>
      <c r="BO439" s="5" t="n">
        <v>0</v>
      </c>
      <c r="BP439" s="5" t="n">
        <v>0</v>
      </c>
      <c r="BQ439" s="5" t="n">
        <v>0.033</v>
      </c>
      <c r="BR439" s="5" t="n">
        <v>0</v>
      </c>
      <c r="BS439" s="5" t="n">
        <v>0.833</v>
      </c>
      <c r="BT439" s="5" t="n">
        <v>0</v>
      </c>
      <c r="BU439" s="5" t="n">
        <v>0</v>
      </c>
      <c r="BV439" s="5" t="n">
        <v>0.01</v>
      </c>
      <c r="BW439" s="5" t="n">
        <v>0.12</v>
      </c>
      <c r="BX439" s="5" t="n">
        <v>0.667</v>
      </c>
      <c r="BY439" s="5" t="n">
        <v>12.729</v>
      </c>
      <c r="BZ439" s="5" t="n">
        <v>0</v>
      </c>
      <c r="CA439" s="5" t="n">
        <v>12.729</v>
      </c>
      <c r="CB439" s="5" t="n">
        <v>0</v>
      </c>
      <c r="CC439" s="5" t="n">
        <v>97.90000000000001</v>
      </c>
      <c r="CD439" s="5" t="n">
        <v>7.95</v>
      </c>
      <c r="CE439" s="5" t="n">
        <v>5.369</v>
      </c>
      <c r="CF439" s="5" t="n">
        <v>114.643</v>
      </c>
      <c r="CG439" s="5" t="n">
        <v>0.12</v>
      </c>
      <c r="CH439" s="5" t="n">
        <v>1</v>
      </c>
      <c r="CI439" s="5" t="n">
        <v>0</v>
      </c>
      <c r="CJ439" s="5" t="n">
        <v>0</v>
      </c>
      <c r="CK439" s="5" t="n">
        <v>0</v>
      </c>
      <c r="CL439" s="5" t="n">
        <v>0</v>
      </c>
      <c r="CM439" s="5" t="n">
        <v>0</v>
      </c>
      <c r="CN439" s="5" t="n">
        <v>0</v>
      </c>
      <c r="CO439" s="5" t="n">
        <v>0</v>
      </c>
      <c r="CP439" s="5" t="n">
        <v>0.728</v>
      </c>
      <c r="CQ439" s="5" t="n">
        <v>1.294</v>
      </c>
      <c r="CR439" s="5" t="n">
        <v>0.062</v>
      </c>
      <c r="CS439" s="5" t="n">
        <v>5.158</v>
      </c>
      <c r="CT439" s="5" t="n">
        <v>5.842</v>
      </c>
      <c r="CU439" s="5" t="n">
        <v>31.326</v>
      </c>
    </row>
    <row r="440">
      <c r="A440" s="5" t="inlineStr">
        <is>
          <t>KGZ2023</t>
        </is>
      </c>
      <c r="B440" s="5" t="inlineStr">
        <is>
          <t>KGZ</t>
        </is>
      </c>
      <c r="C440" s="5" t="inlineStr">
        <is>
          <t>KGZ</t>
        </is>
      </c>
      <c r="D440" s="5" t="inlineStr">
        <is>
          <t>Kyrgyz Republic</t>
        </is>
      </c>
      <c r="E440" s="5" t="n">
        <v>2023</v>
      </c>
      <c r="F440" s="5" t="n">
        <v>0.12</v>
      </c>
      <c r="G440" s="5" t="n">
        <v>2.728</v>
      </c>
      <c r="H440" s="5" t="n">
        <v>0.8139999999999999</v>
      </c>
      <c r="I440" s="5" t="n">
        <v>0.023</v>
      </c>
      <c r="J440" s="5" t="n">
        <v>2.751</v>
      </c>
      <c r="K440" s="5" t="n">
        <v>0</v>
      </c>
      <c r="L440" s="5" t="n">
        <v>1</v>
      </c>
      <c r="M440" s="5" t="n">
        <v>4.507</v>
      </c>
      <c r="N440" s="5" t="n">
        <v>2.443</v>
      </c>
      <c r="O440" s="5" t="n">
        <v>0.054</v>
      </c>
      <c r="P440" s="5" t="n">
        <v>4.561</v>
      </c>
      <c r="Q440" s="5" t="n">
        <v>0</v>
      </c>
      <c r="R440" s="5" t="n">
        <v>1</v>
      </c>
      <c r="S440" s="5" t="n">
        <v>2.149</v>
      </c>
      <c r="T440" s="5" t="n">
        <v>1.347</v>
      </c>
      <c r="U440" s="5" t="n">
        <v>0.023</v>
      </c>
      <c r="V440" s="5" t="n">
        <v>2.432</v>
      </c>
      <c r="W440" s="5" t="n">
        <v>0.12</v>
      </c>
      <c r="X440" s="5" t="n">
        <v>1</v>
      </c>
      <c r="Y440" s="5" t="n">
        <v>4.551</v>
      </c>
      <c r="Z440" s="5" t="n">
        <v>0.592</v>
      </c>
      <c r="AA440" s="5" t="n">
        <v>0.548</v>
      </c>
      <c r="AB440" s="5" t="n">
        <v>5.098</v>
      </c>
      <c r="AC440" s="5" t="n">
        <v>0</v>
      </c>
      <c r="AD440" s="5" t="n">
        <v>1</v>
      </c>
      <c r="AE440" s="5" t="n">
        <v>5.799</v>
      </c>
      <c r="AF440" s="5" t="n">
        <v>1.312</v>
      </c>
      <c r="AG440" s="5" t="n">
        <v>0.548</v>
      </c>
      <c r="AH440" s="5" t="n">
        <v>6.347</v>
      </c>
      <c r="AI440" s="5" t="n">
        <v>0</v>
      </c>
      <c r="AJ440" s="5" t="n">
        <v>1</v>
      </c>
      <c r="AK440" s="5" t="n">
        <v>13.291</v>
      </c>
      <c r="AL440" s="5" t="n">
        <v>6.938</v>
      </c>
      <c r="AM440" s="5" t="n">
        <v>-8.300000000000001</v>
      </c>
      <c r="AN440" s="5" t="n">
        <v>5.59</v>
      </c>
      <c r="AO440" s="5" t="n">
        <v>0</v>
      </c>
      <c r="AP440" s="5" t="n">
        <v>0</v>
      </c>
      <c r="AQ440" s="5" t="n">
        <v>0.76</v>
      </c>
      <c r="AR440" s="5" t="n">
        <v>0.129</v>
      </c>
      <c r="AS440" s="5" t="n">
        <v>-0.16</v>
      </c>
      <c r="AT440" s="5" t="n">
        <v>0.672</v>
      </c>
      <c r="AU440" s="5" t="n">
        <v>0.12</v>
      </c>
      <c r="AV440" s="5" t="n">
        <v>1</v>
      </c>
      <c r="AW440" s="5" t="n">
        <v>0.8110000000000001</v>
      </c>
      <c r="AX440" s="5" t="n">
        <v>0.129</v>
      </c>
      <c r="AY440" s="5" t="n">
        <v>-0.08</v>
      </c>
      <c r="AZ440" s="5" t="n">
        <v>0.819</v>
      </c>
      <c r="BA440" s="5" t="n">
        <v>0.12</v>
      </c>
      <c r="BB440" s="5" t="n">
        <v>1</v>
      </c>
      <c r="BC440" s="5" t="n">
        <v>0.535</v>
      </c>
      <c r="BD440" s="5" t="n">
        <v>0.129</v>
      </c>
      <c r="BE440" s="5" t="n">
        <v>0.218</v>
      </c>
      <c r="BF440" s="5" t="n">
        <v>0.843</v>
      </c>
      <c r="BG440" s="5" t="n">
        <v>0.12</v>
      </c>
      <c r="BH440" s="5" t="n">
        <v>1</v>
      </c>
      <c r="BI440" s="5" t="n">
        <v>0.579</v>
      </c>
      <c r="BJ440" s="5" t="n">
        <v>0.129</v>
      </c>
      <c r="BK440" s="5" t="n">
        <v>0.049</v>
      </c>
      <c r="BL440" s="5" t="n">
        <v>0.695</v>
      </c>
      <c r="BM440" s="5" t="n">
        <v>0.12</v>
      </c>
      <c r="BN440" s="5" t="n">
        <v>1</v>
      </c>
      <c r="BO440" s="5" t="n">
        <v>0</v>
      </c>
      <c r="BP440" s="5" t="n">
        <v>0</v>
      </c>
      <c r="BQ440" s="5" t="n">
        <v>0.037</v>
      </c>
      <c r="BR440" s="5" t="n">
        <v>0</v>
      </c>
      <c r="BS440" s="5" t="n">
        <v>0.833</v>
      </c>
      <c r="BT440" s="5" t="n">
        <v>0</v>
      </c>
      <c r="BU440" s="5" t="n">
        <v>0</v>
      </c>
      <c r="BV440" s="5" t="n">
        <v>0.013</v>
      </c>
      <c r="BW440" s="5" t="n">
        <v>0.12</v>
      </c>
      <c r="BX440" s="5" t="n">
        <v>0.667</v>
      </c>
      <c r="BY440" s="5" t="n">
        <v>13.254</v>
      </c>
      <c r="BZ440" s="5" t="n">
        <v>0</v>
      </c>
      <c r="CA440" s="5" t="n">
        <v>13.254</v>
      </c>
      <c r="CB440" s="5" t="n">
        <v>0</v>
      </c>
      <c r="CC440" s="5" t="n">
        <v>83.248</v>
      </c>
      <c r="CD440" s="5" t="n">
        <v>7.95</v>
      </c>
      <c r="CE440" s="5" t="n">
        <v>4.919</v>
      </c>
      <c r="CF440" s="5" t="n">
        <v>97.452</v>
      </c>
      <c r="CG440" s="5" t="n">
        <v>0.12</v>
      </c>
      <c r="CH440" s="5" t="n">
        <v>1</v>
      </c>
      <c r="CI440" s="5" t="n">
        <v>0</v>
      </c>
      <c r="CJ440" s="5" t="n">
        <v>0</v>
      </c>
      <c r="CK440" s="5" t="n">
        <v>0</v>
      </c>
      <c r="CL440" s="5" t="n">
        <v>0</v>
      </c>
      <c r="CM440" s="5" t="n">
        <v>0</v>
      </c>
      <c r="CN440" s="5" t="n">
        <v>0</v>
      </c>
      <c r="CO440" s="5" t="n">
        <v>0</v>
      </c>
      <c r="CP440" s="5" t="n">
        <v>0.733</v>
      </c>
      <c r="CQ440" s="5" t="n">
        <v>1.348</v>
      </c>
      <c r="CR440" s="5" t="n">
        <v>0.058</v>
      </c>
      <c r="CS440" s="5" t="n">
        <v>5.37</v>
      </c>
      <c r="CT440" s="5" t="n">
        <v>3.466</v>
      </c>
      <c r="CU440" s="5" t="n">
        <v>11.622</v>
      </c>
    </row>
    <row r="441">
      <c r="A441" s="5" t="inlineStr">
        <is>
          <t>KGZ2024</t>
        </is>
      </c>
      <c r="B441" s="5" t="inlineStr">
        <is>
          <t>KGZ</t>
        </is>
      </c>
      <c r="C441" s="5" t="inlineStr">
        <is>
          <t>KGZ</t>
        </is>
      </c>
      <c r="D441" s="5" t="inlineStr">
        <is>
          <t>Kyrgyz Republic</t>
        </is>
      </c>
      <c r="E441" s="5" t="n">
        <v>2024</v>
      </c>
      <c r="F441" s="5" t="n">
        <v>0.12</v>
      </c>
      <c r="G441" s="5" t="n">
        <v>2.664</v>
      </c>
      <c r="H441" s="5" t="n">
        <v>0.838</v>
      </c>
      <c r="I441" s="5" t="n">
        <v>0.02</v>
      </c>
      <c r="J441" s="5" t="n">
        <v>2.684</v>
      </c>
      <c r="K441" s="5" t="n">
        <v>0</v>
      </c>
      <c r="L441" s="5" t="n">
        <v>1</v>
      </c>
      <c r="M441" s="5" t="n">
        <v>4.374</v>
      </c>
      <c r="N441" s="5" t="n">
        <v>2.515</v>
      </c>
      <c r="O441" s="5" t="n">
        <v>0.042</v>
      </c>
      <c r="P441" s="5" t="n">
        <v>4.416</v>
      </c>
      <c r="Q441" s="5" t="n">
        <v>0</v>
      </c>
      <c r="R441" s="5" t="n">
        <v>1</v>
      </c>
      <c r="S441" s="5" t="n">
        <v>2.315</v>
      </c>
      <c r="T441" s="5" t="n">
        <v>1.533</v>
      </c>
      <c r="U441" s="5" t="n">
        <v>0.02</v>
      </c>
      <c r="V441" s="5" t="n">
        <v>2.616</v>
      </c>
      <c r="W441" s="5" t="n">
        <v>0.12</v>
      </c>
      <c r="X441" s="5" t="n">
        <v>1</v>
      </c>
      <c r="Y441" s="5" t="n">
        <v>4.685</v>
      </c>
      <c r="Z441" s="5" t="n">
        <v>0.61</v>
      </c>
      <c r="AA441" s="5" t="n">
        <v>0.479</v>
      </c>
      <c r="AB441" s="5" t="n">
        <v>5.164</v>
      </c>
      <c r="AC441" s="5" t="n">
        <v>0</v>
      </c>
      <c r="AD441" s="5" t="n">
        <v>1</v>
      </c>
      <c r="AE441" s="5" t="n">
        <v>5.97</v>
      </c>
      <c r="AF441" s="5" t="n">
        <v>1.351</v>
      </c>
      <c r="AG441" s="5" t="n">
        <v>0.479</v>
      </c>
      <c r="AH441" s="5" t="n">
        <v>6.45</v>
      </c>
      <c r="AI441" s="5" t="n">
        <v>0</v>
      </c>
      <c r="AJ441" s="5" t="n">
        <v>1</v>
      </c>
      <c r="AK441" s="5" t="n">
        <v>13.683</v>
      </c>
      <c r="AL441" s="5" t="n">
        <v>7.143</v>
      </c>
      <c r="AM441" s="5" t="n">
        <v>-8.122</v>
      </c>
      <c r="AN441" s="5" t="n">
        <v>6.228</v>
      </c>
      <c r="AO441" s="5" t="n">
        <v>0</v>
      </c>
      <c r="AP441" s="5" t="n">
        <v>0</v>
      </c>
      <c r="AQ441" s="5" t="n">
        <v>0.724</v>
      </c>
      <c r="AR441" s="5" t="n">
        <v>0.132</v>
      </c>
      <c r="AS441" s="5" t="n">
        <v>-0.057</v>
      </c>
      <c r="AT441" s="5" t="n">
        <v>0.748</v>
      </c>
      <c r="AU441" s="5" t="n">
        <v>0.12</v>
      </c>
      <c r="AV441" s="5" t="n">
        <v>1</v>
      </c>
      <c r="AW441" s="5" t="n">
        <v>0.75</v>
      </c>
      <c r="AX441" s="5" t="n">
        <v>0.132</v>
      </c>
      <c r="AY441" s="5" t="n">
        <v>0.01</v>
      </c>
      <c r="AZ441" s="5" t="n">
        <v>0.851</v>
      </c>
      <c r="BA441" s="5" t="n">
        <v>0.12</v>
      </c>
      <c r="BB441" s="5" t="n">
        <v>1</v>
      </c>
      <c r="BC441" s="5" t="n">
        <v>0.513</v>
      </c>
      <c r="BD441" s="5" t="n">
        <v>0.132</v>
      </c>
      <c r="BE441" s="5" t="n">
        <v>0.251</v>
      </c>
      <c r="BF441" s="5" t="n">
        <v>0.856</v>
      </c>
      <c r="BG441" s="5" t="n">
        <v>0.12</v>
      </c>
      <c r="BH441" s="5" t="n">
        <v>1</v>
      </c>
      <c r="BI441" s="5" t="n">
        <v>0.591</v>
      </c>
      <c r="BJ441" s="5" t="n">
        <v>0.132</v>
      </c>
      <c r="BK441" s="5" t="n">
        <v>0.052</v>
      </c>
      <c r="BL441" s="5" t="n">
        <v>0.709</v>
      </c>
      <c r="BM441" s="5" t="n">
        <v>0.12</v>
      </c>
      <c r="BN441" s="5" t="n">
        <v>1</v>
      </c>
      <c r="BO441" s="5" t="n">
        <v>0</v>
      </c>
      <c r="BP441" s="5" t="n">
        <v>0</v>
      </c>
      <c r="BQ441" s="5" t="n">
        <v>0.029</v>
      </c>
      <c r="BR441" s="5" t="n">
        <v>0</v>
      </c>
      <c r="BS441" s="5" t="n">
        <v>0.833</v>
      </c>
      <c r="BT441" s="5" t="n">
        <v>0</v>
      </c>
      <c r="BU441" s="5" t="n">
        <v>0</v>
      </c>
      <c r="BV441" s="5" t="n">
        <v>0.013</v>
      </c>
      <c r="BW441" s="5" t="n">
        <v>0.12</v>
      </c>
      <c r="BX441" s="5" t="n">
        <v>0.667</v>
      </c>
      <c r="BY441" s="5" t="n">
        <v>13.646</v>
      </c>
      <c r="BZ441" s="5" t="n">
        <v>0</v>
      </c>
      <c r="CA441" s="5" t="n">
        <v>13.646</v>
      </c>
      <c r="CB441" s="5" t="n">
        <v>0</v>
      </c>
      <c r="CC441" s="5" t="n">
        <v>82.58799999999999</v>
      </c>
      <c r="CD441" s="5" t="n">
        <v>7.95</v>
      </c>
      <c r="CE441" s="5" t="n">
        <v>5.146</v>
      </c>
      <c r="CF441" s="5" t="n">
        <v>96.682</v>
      </c>
      <c r="CG441" s="5" t="n">
        <v>0.12</v>
      </c>
      <c r="CH441" s="5" t="n">
        <v>1</v>
      </c>
      <c r="CI441" s="5" t="n">
        <v>0</v>
      </c>
      <c r="CJ441" s="5" t="n">
        <v>0</v>
      </c>
      <c r="CK441" s="5" t="n">
        <v>0</v>
      </c>
      <c r="CL441" s="5" t="n">
        <v>0</v>
      </c>
      <c r="CM441" s="5" t="n">
        <v>0</v>
      </c>
      <c r="CN441" s="5" t="n">
        <v>0</v>
      </c>
      <c r="CO441" s="5" t="n">
        <v>0</v>
      </c>
      <c r="CP441" s="5" t="n">
        <v>0.733</v>
      </c>
      <c r="CQ441" s="5" t="n">
        <v>1.387</v>
      </c>
      <c r="CR441" s="5" t="n">
        <v>0.058</v>
      </c>
      <c r="CS441" s="5" t="n">
        <v>5.529</v>
      </c>
      <c r="CT441" s="5" t="n">
        <v>3.027</v>
      </c>
      <c r="CU441" s="5" t="n">
        <v>10.168</v>
      </c>
    </row>
    <row r="442">
      <c r="A442" s="5" t="inlineStr">
        <is>
          <t>LAO2021</t>
        </is>
      </c>
      <c r="B442" s="5" t="inlineStr">
        <is>
          <t>LAO</t>
        </is>
      </c>
      <c r="C442" s="5" t="inlineStr">
        <is>
          <t>LAO</t>
        </is>
      </c>
      <c r="D442" s="5" t="inlineStr">
        <is>
          <t>Lao P.D.R.</t>
        </is>
      </c>
      <c r="E442" s="5" t="n">
        <v>2021</v>
      </c>
      <c r="F442" s="5" t="n">
        <v>0.1</v>
      </c>
      <c r="G442" s="5" t="n">
        <v>1.77</v>
      </c>
      <c r="H442" s="5" t="n">
        <v>0.572</v>
      </c>
      <c r="I442" s="5" t="n">
        <v>-1.157</v>
      </c>
      <c r="J442" s="5" t="n">
        <v>0.613</v>
      </c>
      <c r="K442" s="5" t="n">
        <v>0</v>
      </c>
      <c r="L442" s="5" t="n">
        <v>0</v>
      </c>
      <c r="M442" s="5" t="n">
        <v>2.913</v>
      </c>
      <c r="N442" s="5" t="n">
        <v>1.715</v>
      </c>
      <c r="O442" s="5" t="n">
        <v>-2.3</v>
      </c>
      <c r="P442" s="5" t="n">
        <v>0.613</v>
      </c>
      <c r="Q442" s="5" t="n">
        <v>0</v>
      </c>
      <c r="R442" s="5" t="n">
        <v>0</v>
      </c>
      <c r="S442" s="5" t="n">
        <v>4.628</v>
      </c>
      <c r="T442" s="5" t="n">
        <v>3.43</v>
      </c>
      <c r="U442" s="5" t="n">
        <v>0</v>
      </c>
      <c r="V442" s="5" t="n">
        <v>5.091</v>
      </c>
      <c r="W442" s="5" t="n">
        <v>0.1</v>
      </c>
      <c r="X442" s="5" t="n">
        <v>1</v>
      </c>
      <c r="Y442" s="5" t="n">
        <v>5.923</v>
      </c>
      <c r="Z442" s="5" t="n">
        <v>0.731</v>
      </c>
      <c r="AA442" s="5" t="n">
        <v>0</v>
      </c>
      <c r="AB442" s="5" t="n">
        <v>5.923</v>
      </c>
      <c r="AC442" s="5" t="n">
        <v>0</v>
      </c>
      <c r="AD442" s="5" t="n">
        <v>1</v>
      </c>
      <c r="AE442" s="5" t="n">
        <v>7.066</v>
      </c>
      <c r="AF442" s="5" t="n">
        <v>1.54</v>
      </c>
      <c r="AG442" s="5" t="n">
        <v>0</v>
      </c>
      <c r="AH442" s="5" t="n">
        <v>7.066</v>
      </c>
      <c r="AI442" s="5" t="n">
        <v>0</v>
      </c>
      <c r="AJ442" s="5" t="n">
        <v>1</v>
      </c>
      <c r="AK442" s="5" t="n">
        <v>13.926</v>
      </c>
      <c r="AL442" s="5" t="n">
        <v>7.226</v>
      </c>
      <c r="AM442" s="5" t="n">
        <v>0</v>
      </c>
      <c r="AN442" s="5" t="n">
        <v>15.318</v>
      </c>
      <c r="AO442" s="5" t="n">
        <v>0.1</v>
      </c>
      <c r="AP442" s="5" t="n">
        <v>1</v>
      </c>
      <c r="AQ442" s="5" t="n">
        <v>0.6</v>
      </c>
      <c r="AR442" s="5" t="n">
        <v>0.11</v>
      </c>
      <c r="AS442" s="5" t="n">
        <v>0.418</v>
      </c>
      <c r="AT442" s="5" t="n">
        <v>1.12</v>
      </c>
      <c r="AU442" s="5" t="n">
        <v>0.1</v>
      </c>
      <c r="AV442" s="5" t="n">
        <v>1</v>
      </c>
      <c r="AW442" s="5" t="n">
        <v>0.639</v>
      </c>
      <c r="AX442" s="5" t="n">
        <v>0.124</v>
      </c>
      <c r="AY442" s="5" t="n">
        <v>0.25</v>
      </c>
      <c r="AZ442" s="5" t="n">
        <v>0.979</v>
      </c>
      <c r="BA442" s="5" t="n">
        <v>0.1</v>
      </c>
      <c r="BB442" s="5" t="n">
        <v>1</v>
      </c>
      <c r="BC442" s="5" t="n">
        <v>0.44</v>
      </c>
      <c r="BD442" s="5" t="n">
        <v>0.114</v>
      </c>
      <c r="BE442" s="5" t="n">
        <v>0</v>
      </c>
      <c r="BF442" s="5" t="n">
        <v>0.484</v>
      </c>
      <c r="BG442" s="5" t="n">
        <v>0.1</v>
      </c>
      <c r="BH442" s="5" t="n">
        <v>1</v>
      </c>
      <c r="BI442" s="5" t="n">
        <v>0.5600000000000001</v>
      </c>
      <c r="BJ442" s="5" t="n">
        <v>0.114</v>
      </c>
      <c r="BK442" s="5" t="n">
        <v>0</v>
      </c>
      <c r="BL442" s="5" t="n">
        <v>0.616</v>
      </c>
      <c r="BM442" s="5" t="n">
        <v>0.1</v>
      </c>
      <c r="BN442" s="5" t="n">
        <v>1</v>
      </c>
      <c r="BO442" s="5" t="n">
        <v>0</v>
      </c>
      <c r="BP442" s="5" t="n">
        <v>0</v>
      </c>
      <c r="BQ442" s="5" t="n">
        <v>0.075</v>
      </c>
      <c r="BR442" s="5" t="n">
        <v>0</v>
      </c>
      <c r="BS442" s="5" t="n">
        <v>0.667</v>
      </c>
      <c r="BT442" s="5" t="n">
        <v>0</v>
      </c>
      <c r="BU442" s="5" t="n">
        <v>0</v>
      </c>
      <c r="BV442" s="5" t="n">
        <v>0.043</v>
      </c>
      <c r="BW442" s="5" t="n">
        <v>0.1</v>
      </c>
      <c r="BX442" s="5" t="n">
        <v>0.667</v>
      </c>
      <c r="BY442" s="5" t="n">
        <v>11.787</v>
      </c>
      <c r="BZ442" s="5" t="n">
        <v>0</v>
      </c>
      <c r="CA442" s="5" t="n">
        <v>11.787</v>
      </c>
      <c r="CB442" s="5" t="n">
        <v>0</v>
      </c>
      <c r="CC442" s="5" t="n">
        <v>81.69499999999999</v>
      </c>
      <c r="CD442" s="5" t="n">
        <v>7.95</v>
      </c>
      <c r="CE442" s="5" t="n">
        <v>13.857</v>
      </c>
      <c r="CF442" s="5" t="n">
        <v>105.107</v>
      </c>
      <c r="CG442" s="5" t="n">
        <v>0.1</v>
      </c>
      <c r="CH442" s="5" t="n">
        <v>1</v>
      </c>
      <c r="CI442" s="5" t="n">
        <v>0</v>
      </c>
      <c r="CJ442" s="5" t="n">
        <v>0</v>
      </c>
      <c r="CK442" s="5" t="n">
        <v>0</v>
      </c>
      <c r="CL442" s="5" t="n">
        <v>0</v>
      </c>
      <c r="CM442" s="5" t="n">
        <v>0</v>
      </c>
      <c r="CN442" s="5" t="n">
        <v>0</v>
      </c>
      <c r="CO442" s="5" t="n">
        <v>0</v>
      </c>
      <c r="CP442" s="5" t="n">
        <v>1</v>
      </c>
      <c r="CQ442" s="5" t="n">
        <v>1.198</v>
      </c>
      <c r="CR442" s="5" t="n">
        <v>0</v>
      </c>
      <c r="CS442" s="5" t="n">
        <v>4.776</v>
      </c>
      <c r="CT442" s="5" t="n">
        <v>3.604</v>
      </c>
      <c r="CU442" s="5" t="n">
        <v>9.407999999999999</v>
      </c>
    </row>
    <row r="443">
      <c r="A443" s="5" t="inlineStr">
        <is>
          <t>LAO2022</t>
        </is>
      </c>
      <c r="B443" s="5" t="inlineStr">
        <is>
          <t>LAO</t>
        </is>
      </c>
      <c r="C443" s="5" t="inlineStr">
        <is>
          <t>LAO</t>
        </is>
      </c>
      <c r="D443" s="5" t="inlineStr">
        <is>
          <t>Lao P.D.R.</t>
        </is>
      </c>
      <c r="E443" s="5" t="n">
        <v>2022</v>
      </c>
      <c r="F443" s="5" t="n">
        <v>0.1</v>
      </c>
      <c r="G443" s="5" t="n">
        <v>1.911</v>
      </c>
      <c r="H443" s="5" t="n">
        <v>0.617</v>
      </c>
      <c r="I443" s="5" t="n">
        <v>-1.249</v>
      </c>
      <c r="J443" s="5" t="n">
        <v>0.662</v>
      </c>
      <c r="K443" s="5" t="n">
        <v>0</v>
      </c>
      <c r="L443" s="5" t="n">
        <v>0</v>
      </c>
      <c r="M443" s="5" t="n">
        <v>3.146</v>
      </c>
      <c r="N443" s="5" t="n">
        <v>1.852</v>
      </c>
      <c r="O443" s="5" t="n">
        <v>-2.484</v>
      </c>
      <c r="P443" s="5" t="n">
        <v>0.662</v>
      </c>
      <c r="Q443" s="5" t="n">
        <v>0</v>
      </c>
      <c r="R443" s="5" t="n">
        <v>0</v>
      </c>
      <c r="S443" s="5" t="n">
        <v>4.998</v>
      </c>
      <c r="T443" s="5" t="n">
        <v>3.704</v>
      </c>
      <c r="U443" s="5" t="n">
        <v>0.037</v>
      </c>
      <c r="V443" s="5" t="n">
        <v>5.498</v>
      </c>
      <c r="W443" s="5" t="n">
        <v>0.1</v>
      </c>
      <c r="X443" s="5" t="n">
        <v>1</v>
      </c>
      <c r="Y443" s="5" t="n">
        <v>6.401</v>
      </c>
      <c r="Z443" s="5" t="n">
        <v>0.79</v>
      </c>
      <c r="AA443" s="5" t="n">
        <v>0</v>
      </c>
      <c r="AB443" s="5" t="n">
        <v>6.401</v>
      </c>
      <c r="AC443" s="5" t="n">
        <v>0</v>
      </c>
      <c r="AD443" s="5" t="n">
        <v>1</v>
      </c>
      <c r="AE443" s="5" t="n">
        <v>7.635</v>
      </c>
      <c r="AF443" s="5" t="n">
        <v>1.665</v>
      </c>
      <c r="AG443" s="5" t="n">
        <v>0</v>
      </c>
      <c r="AH443" s="5" t="n">
        <v>7.635</v>
      </c>
      <c r="AI443" s="5" t="n">
        <v>0</v>
      </c>
      <c r="AJ443" s="5" t="n">
        <v>1</v>
      </c>
      <c r="AK443" s="5" t="n">
        <v>15.043</v>
      </c>
      <c r="AL443" s="5" t="n">
        <v>7.806</v>
      </c>
      <c r="AM443" s="5" t="n">
        <v>0.111</v>
      </c>
      <c r="AN443" s="5" t="n">
        <v>16.548</v>
      </c>
      <c r="AO443" s="5" t="n">
        <v>0.1</v>
      </c>
      <c r="AP443" s="5" t="n">
        <v>1</v>
      </c>
      <c r="AQ443" s="5" t="n">
        <v>0.788</v>
      </c>
      <c r="AR443" s="5" t="n">
        <v>0.113</v>
      </c>
      <c r="AS443" s="5" t="n">
        <v>0.598</v>
      </c>
      <c r="AT443" s="5" t="n">
        <v>1.483</v>
      </c>
      <c r="AU443" s="5" t="n">
        <v>0.07000000000000001</v>
      </c>
      <c r="AV443" s="5" t="n">
        <v>1</v>
      </c>
      <c r="AW443" s="5" t="n">
        <v>0.839</v>
      </c>
      <c r="AX443" s="5" t="n">
        <v>0.109</v>
      </c>
      <c r="AY443" s="5" t="n">
        <v>0.362</v>
      </c>
      <c r="AZ443" s="5" t="n">
        <v>1.286</v>
      </c>
      <c r="BA443" s="5" t="n">
        <v>0.07000000000000001</v>
      </c>
      <c r="BB443" s="5" t="n">
        <v>1</v>
      </c>
      <c r="BC443" s="5" t="n">
        <v>0.589</v>
      </c>
      <c r="BD443" s="5" t="n">
        <v>0.123</v>
      </c>
      <c r="BE443" s="5" t="n">
        <v>0.004</v>
      </c>
      <c r="BF443" s="5" t="n">
        <v>0.647</v>
      </c>
      <c r="BG443" s="5" t="n">
        <v>0.1</v>
      </c>
      <c r="BH443" s="5" t="n">
        <v>1</v>
      </c>
      <c r="BI443" s="5" t="n">
        <v>0.6889999999999999</v>
      </c>
      <c r="BJ443" s="5" t="n">
        <v>0.123</v>
      </c>
      <c r="BK443" s="5" t="n">
        <v>0.005</v>
      </c>
      <c r="BL443" s="5" t="n">
        <v>0.758</v>
      </c>
      <c r="BM443" s="5" t="n">
        <v>0.1</v>
      </c>
      <c r="BN443" s="5" t="n">
        <v>1</v>
      </c>
      <c r="BO443" s="5" t="n">
        <v>0</v>
      </c>
      <c r="BP443" s="5" t="n">
        <v>0</v>
      </c>
      <c r="BQ443" s="5" t="n">
        <v>0.048</v>
      </c>
      <c r="BR443" s="5" t="n">
        <v>0</v>
      </c>
      <c r="BS443" s="5" t="n">
        <v>0.667</v>
      </c>
      <c r="BT443" s="5" t="n">
        <v>0</v>
      </c>
      <c r="BU443" s="5" t="n">
        <v>0</v>
      </c>
      <c r="BV443" s="5" t="n">
        <v>0.039</v>
      </c>
      <c r="BW443" s="5" t="n">
        <v>0.1</v>
      </c>
      <c r="BX443" s="5" t="n">
        <v>0.667</v>
      </c>
      <c r="BY443" s="5" t="n">
        <v>12.729</v>
      </c>
      <c r="BZ443" s="5" t="n">
        <v>0</v>
      </c>
      <c r="CA443" s="5" t="n">
        <v>12.729</v>
      </c>
      <c r="CB443" s="5" t="n">
        <v>0</v>
      </c>
      <c r="CC443" s="5" t="n">
        <v>102.477</v>
      </c>
      <c r="CD443" s="5" t="n">
        <v>7.95</v>
      </c>
      <c r="CE443" s="5" t="n">
        <v>14.528</v>
      </c>
      <c r="CF443" s="5" t="n">
        <v>127.76</v>
      </c>
      <c r="CG443" s="5" t="n">
        <v>0.1</v>
      </c>
      <c r="CH443" s="5" t="n">
        <v>1</v>
      </c>
      <c r="CI443" s="5" t="n">
        <v>0</v>
      </c>
      <c r="CJ443" s="5" t="n">
        <v>0</v>
      </c>
      <c r="CK443" s="5" t="n">
        <v>0</v>
      </c>
      <c r="CL443" s="5" t="n">
        <v>0</v>
      </c>
      <c r="CM443" s="5" t="n">
        <v>0</v>
      </c>
      <c r="CN443" s="5" t="n">
        <v>0</v>
      </c>
      <c r="CO443" s="5" t="n">
        <v>0</v>
      </c>
      <c r="CP443" s="5" t="n">
        <v>1</v>
      </c>
      <c r="CQ443" s="5" t="n">
        <v>1.294</v>
      </c>
      <c r="CR443" s="5" t="n">
        <v>0</v>
      </c>
      <c r="CS443" s="5" t="n">
        <v>5.158</v>
      </c>
      <c r="CT443" s="5" t="n">
        <v>7.554</v>
      </c>
      <c r="CU443" s="5" t="n">
        <v>16.097</v>
      </c>
    </row>
    <row r="444">
      <c r="A444" s="5" t="inlineStr">
        <is>
          <t>LAO2023</t>
        </is>
      </c>
      <c r="B444" s="5" t="inlineStr">
        <is>
          <t>LAO</t>
        </is>
      </c>
      <c r="C444" s="5" t="inlineStr">
        <is>
          <t>LAO</t>
        </is>
      </c>
      <c r="D444" s="5" t="inlineStr">
        <is>
          <t>Lao P.D.R.</t>
        </is>
      </c>
      <c r="E444" s="5" t="n">
        <v>2023</v>
      </c>
      <c r="F444" s="5" t="n">
        <v>0.1</v>
      </c>
      <c r="G444" s="5" t="n">
        <v>1.99</v>
      </c>
      <c r="H444" s="5" t="n">
        <v>0.643</v>
      </c>
      <c r="I444" s="5" t="n">
        <v>-1.301</v>
      </c>
      <c r="J444" s="5" t="n">
        <v>0.6889999999999999</v>
      </c>
      <c r="K444" s="5" t="n">
        <v>0</v>
      </c>
      <c r="L444" s="5" t="n">
        <v>0</v>
      </c>
      <c r="M444" s="5" t="n">
        <v>3.276</v>
      </c>
      <c r="N444" s="5" t="n">
        <v>1.928</v>
      </c>
      <c r="O444" s="5" t="n">
        <v>-2.587</v>
      </c>
      <c r="P444" s="5" t="n">
        <v>0.6889999999999999</v>
      </c>
      <c r="Q444" s="5" t="n">
        <v>0</v>
      </c>
      <c r="R444" s="5" t="n">
        <v>0</v>
      </c>
      <c r="S444" s="5" t="n">
        <v>5.205</v>
      </c>
      <c r="T444" s="5" t="n">
        <v>3.857</v>
      </c>
      <c r="U444" s="5" t="n">
        <v>0.058</v>
      </c>
      <c r="V444" s="5" t="n">
        <v>5.725</v>
      </c>
      <c r="W444" s="5" t="n">
        <v>0.1</v>
      </c>
      <c r="X444" s="5" t="n">
        <v>1</v>
      </c>
      <c r="Y444" s="5" t="n">
        <v>6.662</v>
      </c>
      <c r="Z444" s="5" t="n">
        <v>0.822</v>
      </c>
      <c r="AA444" s="5" t="n">
        <v>0</v>
      </c>
      <c r="AB444" s="5" t="n">
        <v>6.662</v>
      </c>
      <c r="AC444" s="5" t="n">
        <v>0</v>
      </c>
      <c r="AD444" s="5" t="n">
        <v>1</v>
      </c>
      <c r="AE444" s="5" t="n">
        <v>7.947</v>
      </c>
      <c r="AF444" s="5" t="n">
        <v>1.733</v>
      </c>
      <c r="AG444" s="5" t="n">
        <v>0</v>
      </c>
      <c r="AH444" s="5" t="n">
        <v>7.947</v>
      </c>
      <c r="AI444" s="5" t="n">
        <v>0</v>
      </c>
      <c r="AJ444" s="5" t="n">
        <v>1</v>
      </c>
      <c r="AK444" s="5" t="n">
        <v>15.661</v>
      </c>
      <c r="AL444" s="5" t="n">
        <v>8.125999999999999</v>
      </c>
      <c r="AM444" s="5" t="n">
        <v>0.173</v>
      </c>
      <c r="AN444" s="5" t="n">
        <v>17.227</v>
      </c>
      <c r="AO444" s="5" t="n">
        <v>0.1</v>
      </c>
      <c r="AP444" s="5" t="n">
        <v>1</v>
      </c>
      <c r="AQ444" s="5" t="n">
        <v>0.766</v>
      </c>
      <c r="AR444" s="5" t="n">
        <v>0.129</v>
      </c>
      <c r="AS444" s="5" t="n">
        <v>0.528</v>
      </c>
      <c r="AT444" s="5" t="n">
        <v>1.385</v>
      </c>
      <c r="AU444" s="5" t="n">
        <v>0.07000000000000001</v>
      </c>
      <c r="AV444" s="5" t="n">
        <v>1</v>
      </c>
      <c r="AW444" s="5" t="n">
        <v>0.765</v>
      </c>
      <c r="AX444" s="5" t="n">
        <v>0.131</v>
      </c>
      <c r="AY444" s="5" t="n">
        <v>0.319</v>
      </c>
      <c r="AZ444" s="5" t="n">
        <v>1.161</v>
      </c>
      <c r="BA444" s="5" t="n">
        <v>0.07000000000000001</v>
      </c>
      <c r="BB444" s="5" t="n">
        <v>1</v>
      </c>
      <c r="BC444" s="5" t="n">
        <v>0.527</v>
      </c>
      <c r="BD444" s="5" t="n">
        <v>0.129</v>
      </c>
      <c r="BE444" s="5" t="n">
        <v>0.006</v>
      </c>
      <c r="BF444" s="5" t="n">
        <v>0.58</v>
      </c>
      <c r="BG444" s="5" t="n">
        <v>0.1</v>
      </c>
      <c r="BH444" s="5" t="n">
        <v>1</v>
      </c>
      <c r="BI444" s="5" t="n">
        <v>0.64</v>
      </c>
      <c r="BJ444" s="5" t="n">
        <v>0.129</v>
      </c>
      <c r="BK444" s="5" t="n">
        <v>0.007</v>
      </c>
      <c r="BL444" s="5" t="n">
        <v>0.704</v>
      </c>
      <c r="BM444" s="5" t="n">
        <v>0.1</v>
      </c>
      <c r="BN444" s="5" t="n">
        <v>1</v>
      </c>
      <c r="BO444" s="5" t="n">
        <v>0</v>
      </c>
      <c r="BP444" s="5" t="n">
        <v>0</v>
      </c>
      <c r="BQ444" s="5" t="n">
        <v>0.039</v>
      </c>
      <c r="BR444" s="5" t="n">
        <v>0</v>
      </c>
      <c r="BS444" s="5" t="n">
        <v>0.667</v>
      </c>
      <c r="BT444" s="5" t="n">
        <v>0</v>
      </c>
      <c r="BU444" s="5" t="n">
        <v>0</v>
      </c>
      <c r="BV444" s="5" t="n">
        <v>0.032</v>
      </c>
      <c r="BW444" s="5" t="n">
        <v>0.1</v>
      </c>
      <c r="BX444" s="5" t="n">
        <v>0.667</v>
      </c>
      <c r="BY444" s="5" t="n">
        <v>13.254</v>
      </c>
      <c r="BZ444" s="5" t="n">
        <v>0</v>
      </c>
      <c r="CA444" s="5" t="n">
        <v>13.254</v>
      </c>
      <c r="CB444" s="5" t="n">
        <v>0</v>
      </c>
      <c r="CC444" s="5" t="n">
        <v>87.07899999999999</v>
      </c>
      <c r="CD444" s="5" t="n">
        <v>7.95</v>
      </c>
      <c r="CE444" s="5" t="n">
        <v>17.159</v>
      </c>
      <c r="CF444" s="5" t="n">
        <v>113.406</v>
      </c>
      <c r="CG444" s="5" t="n">
        <v>0.1</v>
      </c>
      <c r="CH444" s="5" t="n">
        <v>1</v>
      </c>
      <c r="CI444" s="5" t="n">
        <v>0</v>
      </c>
      <c r="CJ444" s="5" t="n">
        <v>0</v>
      </c>
      <c r="CK444" s="5" t="n">
        <v>0</v>
      </c>
      <c r="CL444" s="5" t="n">
        <v>0</v>
      </c>
      <c r="CM444" s="5" t="n">
        <v>0</v>
      </c>
      <c r="CN444" s="5" t="n">
        <v>0</v>
      </c>
      <c r="CO444" s="5" t="n">
        <v>0</v>
      </c>
      <c r="CP444" s="5" t="n">
        <v>1</v>
      </c>
      <c r="CQ444" s="5" t="n">
        <v>1.348</v>
      </c>
      <c r="CR444" s="5" t="n">
        <v>0</v>
      </c>
      <c r="CS444" s="5" t="n">
        <v>5.37</v>
      </c>
      <c r="CT444" s="5" t="n">
        <v>4.484</v>
      </c>
      <c r="CU444" s="5" t="n">
        <v>12.529</v>
      </c>
    </row>
    <row r="445">
      <c r="A445" s="5" t="inlineStr">
        <is>
          <t>LAO2024</t>
        </is>
      </c>
      <c r="B445" s="5" t="inlineStr">
        <is>
          <t>LAO</t>
        </is>
      </c>
      <c r="C445" s="5" t="inlineStr">
        <is>
          <t>LAO</t>
        </is>
      </c>
      <c r="D445" s="5" t="inlineStr">
        <is>
          <t>Lao P.D.R.</t>
        </is>
      </c>
      <c r="E445" s="5" t="n">
        <v>2024</v>
      </c>
      <c r="F445" s="5" t="n">
        <v>0.1</v>
      </c>
      <c r="G445" s="5" t="n">
        <v>2.049</v>
      </c>
      <c r="H445" s="5" t="n">
        <v>0.662</v>
      </c>
      <c r="I445" s="5" t="n">
        <v>-1.339</v>
      </c>
      <c r="J445" s="5" t="n">
        <v>0.71</v>
      </c>
      <c r="K445" s="5" t="n">
        <v>0</v>
      </c>
      <c r="L445" s="5" t="n">
        <v>0</v>
      </c>
      <c r="M445" s="5" t="n">
        <v>3.373</v>
      </c>
      <c r="N445" s="5" t="n">
        <v>1.985</v>
      </c>
      <c r="O445" s="5" t="n">
        <v>-2.663</v>
      </c>
      <c r="P445" s="5" t="n">
        <v>0.71</v>
      </c>
      <c r="Q445" s="5" t="n">
        <v>0</v>
      </c>
      <c r="R445" s="5" t="n">
        <v>0</v>
      </c>
      <c r="S445" s="5" t="n">
        <v>5.358</v>
      </c>
      <c r="T445" s="5" t="n">
        <v>3.971</v>
      </c>
      <c r="U445" s="5" t="n">
        <v>0.073</v>
      </c>
      <c r="V445" s="5" t="n">
        <v>5.894</v>
      </c>
      <c r="W445" s="5" t="n">
        <v>0.1</v>
      </c>
      <c r="X445" s="5" t="n">
        <v>1</v>
      </c>
      <c r="Y445" s="5" t="n">
        <v>6.857</v>
      </c>
      <c r="Z445" s="5" t="n">
        <v>0.846</v>
      </c>
      <c r="AA445" s="5" t="n">
        <v>0</v>
      </c>
      <c r="AB445" s="5" t="n">
        <v>6.857</v>
      </c>
      <c r="AC445" s="5" t="n">
        <v>0</v>
      </c>
      <c r="AD445" s="5" t="n">
        <v>1</v>
      </c>
      <c r="AE445" s="5" t="n">
        <v>8.18</v>
      </c>
      <c r="AF445" s="5" t="n">
        <v>1.783</v>
      </c>
      <c r="AG445" s="5" t="n">
        <v>0</v>
      </c>
      <c r="AH445" s="5" t="n">
        <v>8.18</v>
      </c>
      <c r="AI445" s="5" t="n">
        <v>0</v>
      </c>
      <c r="AJ445" s="5" t="n">
        <v>1</v>
      </c>
      <c r="AK445" s="5" t="n">
        <v>16.122</v>
      </c>
      <c r="AL445" s="5" t="n">
        <v>8.365</v>
      </c>
      <c r="AM445" s="5" t="n">
        <v>0.22</v>
      </c>
      <c r="AN445" s="5" t="n">
        <v>17.734</v>
      </c>
      <c r="AO445" s="5" t="n">
        <v>0.1</v>
      </c>
      <c r="AP445" s="5" t="n">
        <v>1</v>
      </c>
      <c r="AQ445" s="5" t="n">
        <v>0.78</v>
      </c>
      <c r="AR445" s="5" t="n">
        <v>0.142</v>
      </c>
      <c r="AS445" s="5" t="n">
        <v>0.529</v>
      </c>
      <c r="AT445" s="5" t="n">
        <v>1.439</v>
      </c>
      <c r="AU445" s="5" t="n">
        <v>0.1</v>
      </c>
      <c r="AV445" s="5" t="n">
        <v>1</v>
      </c>
      <c r="AW445" s="5" t="n">
        <v>0.711</v>
      </c>
      <c r="AX445" s="5" t="n">
        <v>0.131</v>
      </c>
      <c r="AY445" s="5" t="n">
        <v>0.302</v>
      </c>
      <c r="AZ445" s="5" t="n">
        <v>1.114</v>
      </c>
      <c r="BA445" s="5" t="n">
        <v>0.1</v>
      </c>
      <c r="BB445" s="5" t="n">
        <v>1</v>
      </c>
      <c r="BC445" s="5" t="n">
        <v>0.51</v>
      </c>
      <c r="BD445" s="5" t="n">
        <v>0.132</v>
      </c>
      <c r="BE445" s="5" t="n">
        <v>0.007</v>
      </c>
      <c r="BF445" s="5" t="n">
        <v>0.5610000000000001</v>
      </c>
      <c r="BG445" s="5" t="n">
        <v>0.1</v>
      </c>
      <c r="BH445" s="5" t="n">
        <v>1</v>
      </c>
      <c r="BI445" s="5" t="n">
        <v>0.652</v>
      </c>
      <c r="BJ445" s="5" t="n">
        <v>0.132</v>
      </c>
      <c r="BK445" s="5" t="n">
        <v>0.008999999999999999</v>
      </c>
      <c r="BL445" s="5" t="n">
        <v>0.717</v>
      </c>
      <c r="BM445" s="5" t="n">
        <v>0.1</v>
      </c>
      <c r="BN445" s="5" t="n">
        <v>1</v>
      </c>
      <c r="BO445" s="5" t="n">
        <v>0</v>
      </c>
      <c r="BP445" s="5" t="n">
        <v>0</v>
      </c>
      <c r="BQ445" s="5" t="n">
        <v>0.04</v>
      </c>
      <c r="BR445" s="5" t="n">
        <v>0</v>
      </c>
      <c r="BS445" s="5" t="n">
        <v>0.667</v>
      </c>
      <c r="BT445" s="5" t="n">
        <v>0</v>
      </c>
      <c r="BU445" s="5" t="n">
        <v>0</v>
      </c>
      <c r="BV445" s="5" t="n">
        <v>0.021</v>
      </c>
      <c r="BW445" s="5" t="n">
        <v>0.1</v>
      </c>
      <c r="BX445" s="5" t="n">
        <v>0.667</v>
      </c>
      <c r="BY445" s="5" t="n">
        <v>13.646</v>
      </c>
      <c r="BZ445" s="5" t="n">
        <v>0</v>
      </c>
      <c r="CA445" s="5" t="n">
        <v>13.646</v>
      </c>
      <c r="CB445" s="5" t="n">
        <v>0</v>
      </c>
      <c r="CC445" s="5" t="n">
        <v>86.38500000000001</v>
      </c>
      <c r="CD445" s="5" t="n">
        <v>7.95</v>
      </c>
      <c r="CE445" s="5" t="n">
        <v>18.192</v>
      </c>
      <c r="CF445" s="5" t="n">
        <v>113.489</v>
      </c>
      <c r="CG445" s="5" t="n">
        <v>0.1</v>
      </c>
      <c r="CH445" s="5" t="n">
        <v>1</v>
      </c>
      <c r="CI445" s="5" t="n">
        <v>0</v>
      </c>
      <c r="CJ445" s="5" t="n">
        <v>0</v>
      </c>
      <c r="CK445" s="5" t="n">
        <v>0</v>
      </c>
      <c r="CL445" s="5" t="n">
        <v>0</v>
      </c>
      <c r="CM445" s="5" t="n">
        <v>0</v>
      </c>
      <c r="CN445" s="5" t="n">
        <v>0</v>
      </c>
      <c r="CO445" s="5" t="n">
        <v>0</v>
      </c>
      <c r="CP445" s="5" t="n">
        <v>1</v>
      </c>
      <c r="CQ445" s="5" t="n">
        <v>1.387</v>
      </c>
      <c r="CR445" s="5" t="n">
        <v>0</v>
      </c>
      <c r="CS445" s="5" t="n">
        <v>5.529</v>
      </c>
      <c r="CT445" s="5" t="n">
        <v>3.509</v>
      </c>
      <c r="CU445" s="5" t="n">
        <v>10.896</v>
      </c>
    </row>
    <row r="446">
      <c r="A446" s="5" t="inlineStr">
        <is>
          <t>LVA2021</t>
        </is>
      </c>
      <c r="B446" s="5" t="inlineStr">
        <is>
          <t>LVA</t>
        </is>
      </c>
      <c r="C446" s="5" t="inlineStr">
        <is>
          <t>LVA</t>
        </is>
      </c>
      <c r="D446" s="5" t="inlineStr">
        <is>
          <t>Latvia</t>
        </is>
      </c>
      <c r="E446" s="5" t="n">
        <v>2021</v>
      </c>
      <c r="F446" s="5" t="n">
        <v>0.21</v>
      </c>
      <c r="G446" s="5" t="n">
        <v>7.696</v>
      </c>
      <c r="H446" s="5" t="n">
        <v>1.684</v>
      </c>
      <c r="I446" s="5" t="n">
        <v>1.122</v>
      </c>
      <c r="J446" s="5" t="n">
        <v>8.819000000000001</v>
      </c>
      <c r="K446" s="5" t="n">
        <v>0</v>
      </c>
      <c r="L446" s="5" t="n">
        <v>1</v>
      </c>
      <c r="M446" s="5" t="n">
        <v>12.8</v>
      </c>
      <c r="N446" s="5" t="n">
        <v>5.801</v>
      </c>
      <c r="O446" s="5" t="n">
        <v>1.88</v>
      </c>
      <c r="P446" s="5" t="n">
        <v>14.68</v>
      </c>
      <c r="Q446" s="5" t="n">
        <v>0</v>
      </c>
      <c r="R446" s="5" t="n">
        <v>1</v>
      </c>
      <c r="S446" s="5" t="n">
        <v>10.53</v>
      </c>
      <c r="T446" s="5" t="n">
        <v>6.526</v>
      </c>
      <c r="U446" s="5" t="n">
        <v>0.412</v>
      </c>
      <c r="V446" s="5" t="n">
        <v>13.24</v>
      </c>
      <c r="W446" s="5" t="n">
        <v>0.21</v>
      </c>
      <c r="X446" s="5" t="n">
        <v>1</v>
      </c>
      <c r="Y446" s="5" t="n">
        <v>19.845</v>
      </c>
      <c r="Z446" s="5" t="n">
        <v>2.192</v>
      </c>
      <c r="AA446" s="5" t="n">
        <v>-1.756</v>
      </c>
      <c r="AB446" s="5" t="n">
        <v>18.088</v>
      </c>
      <c r="AC446" s="5" t="n">
        <v>0</v>
      </c>
      <c r="AD446" s="5" t="n">
        <v>1</v>
      </c>
      <c r="AE446" s="5" t="n">
        <v>19.801</v>
      </c>
      <c r="AF446" s="5" t="n">
        <v>3.896</v>
      </c>
      <c r="AG446" s="5" t="n">
        <v>-1.713</v>
      </c>
      <c r="AH446" s="5" t="n">
        <v>18.088</v>
      </c>
      <c r="AI446" s="5" t="n">
        <v>0</v>
      </c>
      <c r="AJ446" s="5" t="n">
        <v>1</v>
      </c>
      <c r="AK446" s="5" t="n">
        <v>22.065</v>
      </c>
      <c r="AL446" s="5" t="n">
        <v>10.83</v>
      </c>
      <c r="AM446" s="5" t="n">
        <v>-12.148</v>
      </c>
      <c r="AN446" s="5" t="n">
        <v>12</v>
      </c>
      <c r="AO446" s="5" t="n">
        <v>0</v>
      </c>
      <c r="AP446" s="5" t="n">
        <v>0</v>
      </c>
      <c r="AQ446" s="5" t="n">
        <v>0.619</v>
      </c>
      <c r="AR446" s="5" t="n">
        <v>0.114</v>
      </c>
      <c r="AS446" s="5" t="n">
        <v>0.6889999999999999</v>
      </c>
      <c r="AT446" s="5" t="n">
        <v>1.583</v>
      </c>
      <c r="AU446" s="5" t="n">
        <v>0.21</v>
      </c>
      <c r="AV446" s="5" t="n">
        <v>1</v>
      </c>
      <c r="AW446" s="5" t="n">
        <v>0.599</v>
      </c>
      <c r="AX446" s="5" t="n">
        <v>0.114</v>
      </c>
      <c r="AY446" s="5" t="n">
        <v>0.602</v>
      </c>
      <c r="AZ446" s="5" t="n">
        <v>1.454</v>
      </c>
      <c r="BA446" s="5" t="n">
        <v>0.21</v>
      </c>
      <c r="BB446" s="5" t="n">
        <v>1</v>
      </c>
      <c r="BC446" s="5" t="n">
        <v>0.439</v>
      </c>
      <c r="BD446" s="5" t="n">
        <v>0.114</v>
      </c>
      <c r="BE446" s="5" t="n">
        <v>0.196</v>
      </c>
      <c r="BF446" s="5" t="n">
        <v>0.768</v>
      </c>
      <c r="BG446" s="5" t="n">
        <v>0.21</v>
      </c>
      <c r="BH446" s="5" t="n">
        <v>1</v>
      </c>
      <c r="BI446" s="5" t="n">
        <v>0.505</v>
      </c>
      <c r="BJ446" s="5" t="n">
        <v>0.114</v>
      </c>
      <c r="BK446" s="5" t="n">
        <v>0.388</v>
      </c>
      <c r="BL446" s="5" t="n">
        <v>1.08</v>
      </c>
      <c r="BM446" s="5" t="n">
        <v>0.21</v>
      </c>
      <c r="BN446" s="5" t="n">
        <v>1</v>
      </c>
      <c r="BO446" s="5" t="n">
        <v>0</v>
      </c>
      <c r="BP446" s="5" t="n">
        <v>0.015</v>
      </c>
      <c r="BQ446" s="5" t="n">
        <v>0.15</v>
      </c>
      <c r="BR446" s="5" t="n">
        <v>0</v>
      </c>
      <c r="BS446" s="5" t="n">
        <v>1</v>
      </c>
      <c r="BT446" s="5" t="n">
        <v>0</v>
      </c>
      <c r="BU446" s="5" t="n">
        <v>0.017</v>
      </c>
      <c r="BV446" s="5" t="n">
        <v>0.21</v>
      </c>
      <c r="BW446" s="5" t="n">
        <v>0.21</v>
      </c>
      <c r="BX446" s="5" t="n">
        <v>1</v>
      </c>
      <c r="BY446" s="5" t="n">
        <v>11.787</v>
      </c>
      <c r="BZ446" s="5" t="n">
        <v>0</v>
      </c>
      <c r="CA446" s="5" t="n">
        <v>11.787</v>
      </c>
      <c r="CB446" s="5" t="n">
        <v>0</v>
      </c>
      <c r="CC446" s="5" t="n">
        <v>78.125</v>
      </c>
      <c r="CD446" s="5" t="n">
        <v>7.95</v>
      </c>
      <c r="CE446" s="5" t="n">
        <v>46.319</v>
      </c>
      <c r="CF446" s="5" t="n">
        <v>150.577</v>
      </c>
      <c r="CG446" s="5" t="n">
        <v>0.21</v>
      </c>
      <c r="CH446" s="5" t="n">
        <v>1</v>
      </c>
      <c r="CI446" s="5" t="n">
        <v>0</v>
      </c>
      <c r="CJ446" s="5" t="n">
        <v>0</v>
      </c>
      <c r="CK446" s="5" t="n">
        <v>0</v>
      </c>
      <c r="CL446" s="5" t="n">
        <v>0</v>
      </c>
      <c r="CM446" s="5" t="n">
        <v>0</v>
      </c>
      <c r="CN446" s="5" t="n">
        <v>0</v>
      </c>
      <c r="CO446" s="5" t="n">
        <v>0</v>
      </c>
      <c r="CP446" s="5" t="n">
        <v>0</v>
      </c>
      <c r="CQ446" s="5" t="n">
        <v>1.198</v>
      </c>
      <c r="CR446" s="5" t="n">
        <v>0</v>
      </c>
      <c r="CS446" s="5" t="n">
        <v>4.776</v>
      </c>
      <c r="CT446" s="5" t="n">
        <v>3.196</v>
      </c>
      <c r="CU446" s="5" t="n">
        <v>9.923999999999999</v>
      </c>
    </row>
    <row r="447">
      <c r="A447" s="5" t="inlineStr">
        <is>
          <t>LVA2022</t>
        </is>
      </c>
      <c r="B447" s="5" t="inlineStr">
        <is>
          <t>LVA</t>
        </is>
      </c>
      <c r="C447" s="5" t="inlineStr">
        <is>
          <t>LVA</t>
        </is>
      </c>
      <c r="D447" s="5" t="inlineStr">
        <is>
          <t>Latvia</t>
        </is>
      </c>
      <c r="E447" s="5" t="n">
        <v>2022</v>
      </c>
      <c r="F447" s="5" t="n">
        <v>0.21</v>
      </c>
      <c r="G447" s="5" t="n">
        <v>14.772</v>
      </c>
      <c r="H447" s="5" t="n">
        <v>2.294</v>
      </c>
      <c r="I447" s="5" t="n">
        <v>9.361000000000001</v>
      </c>
      <c r="J447" s="5" t="n">
        <v>24.133</v>
      </c>
      <c r="K447" s="5" t="n">
        <v>0</v>
      </c>
      <c r="L447" s="5" t="n">
        <v>1</v>
      </c>
      <c r="M447" s="5" t="n">
        <v>24.235</v>
      </c>
      <c r="N447" s="5" t="n">
        <v>10.008</v>
      </c>
      <c r="O447" s="5" t="n">
        <v>8.893000000000001</v>
      </c>
      <c r="P447" s="5" t="n">
        <v>33.128</v>
      </c>
      <c r="Q447" s="5" t="n">
        <v>0</v>
      </c>
      <c r="R447" s="5" t="n">
        <v>1</v>
      </c>
      <c r="S447" s="5" t="n">
        <v>17.529</v>
      </c>
      <c r="T447" s="5" t="n">
        <v>8.585000000000001</v>
      </c>
      <c r="U447" s="5" t="n">
        <v>0.394</v>
      </c>
      <c r="V447" s="5" t="n">
        <v>21.687</v>
      </c>
      <c r="W447" s="5" t="n">
        <v>0.21</v>
      </c>
      <c r="X447" s="5" t="n">
        <v>1</v>
      </c>
      <c r="Y447" s="5" t="n">
        <v>44.636</v>
      </c>
      <c r="Z447" s="5" t="n">
        <v>4.683</v>
      </c>
      <c r="AA447" s="5" t="n">
        <v>-1.283</v>
      </c>
      <c r="AB447" s="5" t="n">
        <v>43.353</v>
      </c>
      <c r="AC447" s="5" t="n">
        <v>0</v>
      </c>
      <c r="AD447" s="5" t="n">
        <v>1</v>
      </c>
      <c r="AE447" s="5" t="n">
        <v>44.683</v>
      </c>
      <c r="AF447" s="5" t="n">
        <v>8.284000000000001</v>
      </c>
      <c r="AG447" s="5" t="n">
        <v>-1.331</v>
      </c>
      <c r="AH447" s="5" t="n">
        <v>43.353</v>
      </c>
      <c r="AI447" s="5" t="n">
        <v>0</v>
      </c>
      <c r="AJ447" s="5" t="n">
        <v>1</v>
      </c>
      <c r="AK447" s="5" t="n">
        <v>47.496</v>
      </c>
      <c r="AL447" s="5" t="n">
        <v>22.681</v>
      </c>
      <c r="AM447" s="5" t="n">
        <v>-28.421</v>
      </c>
      <c r="AN447" s="5" t="n">
        <v>23.08</v>
      </c>
      <c r="AO447" s="5" t="n">
        <v>0</v>
      </c>
      <c r="AP447" s="5" t="n">
        <v>0</v>
      </c>
      <c r="AQ447" s="5" t="n">
        <v>0.861</v>
      </c>
      <c r="AR447" s="5" t="n">
        <v>0.123</v>
      </c>
      <c r="AS447" s="5" t="n">
        <v>0.695</v>
      </c>
      <c r="AT447" s="5" t="n">
        <v>1.882</v>
      </c>
      <c r="AU447" s="5" t="n">
        <v>0.21</v>
      </c>
      <c r="AV447" s="5" t="n">
        <v>1</v>
      </c>
      <c r="AW447" s="5" t="n">
        <v>0.986</v>
      </c>
      <c r="AX447" s="5" t="n">
        <v>0.123</v>
      </c>
      <c r="AY447" s="5" t="n">
        <v>0.5629999999999999</v>
      </c>
      <c r="AZ447" s="5" t="n">
        <v>1.875</v>
      </c>
      <c r="BA447" s="5" t="n">
        <v>0.21</v>
      </c>
      <c r="BB447" s="5" t="n">
        <v>1</v>
      </c>
      <c r="BC447" s="5" t="n">
        <v>0.598</v>
      </c>
      <c r="BD447" s="5" t="n">
        <v>0.123</v>
      </c>
      <c r="BE447" s="5" t="n">
        <v>0.104</v>
      </c>
      <c r="BF447" s="5" t="n">
        <v>0.85</v>
      </c>
      <c r="BG447" s="5" t="n">
        <v>0.21</v>
      </c>
      <c r="BH447" s="5" t="n">
        <v>1</v>
      </c>
      <c r="BI447" s="5" t="n">
        <v>0.612</v>
      </c>
      <c r="BJ447" s="5" t="n">
        <v>0.123</v>
      </c>
      <c r="BK447" s="5" t="n">
        <v>0.646</v>
      </c>
      <c r="BL447" s="5" t="n">
        <v>1.523</v>
      </c>
      <c r="BM447" s="5" t="n">
        <v>0.21</v>
      </c>
      <c r="BN447" s="5" t="n">
        <v>1</v>
      </c>
      <c r="BO447" s="5" t="n">
        <v>0</v>
      </c>
      <c r="BP447" s="5" t="n">
        <v>-0.006</v>
      </c>
      <c r="BQ447" s="5" t="n">
        <v>0.162</v>
      </c>
      <c r="BR447" s="5" t="n">
        <v>0</v>
      </c>
      <c r="BS447" s="5" t="n">
        <v>1</v>
      </c>
      <c r="BT447" s="5" t="n">
        <v>0</v>
      </c>
      <c r="BU447" s="5" t="n">
        <v>-0.016</v>
      </c>
      <c r="BV447" s="5" t="n">
        <v>0.227</v>
      </c>
      <c r="BW447" s="5" t="n">
        <v>0.21</v>
      </c>
      <c r="BX447" s="5" t="n">
        <v>1</v>
      </c>
      <c r="BY447" s="5" t="n">
        <v>12.729</v>
      </c>
      <c r="BZ447" s="5" t="n">
        <v>0</v>
      </c>
      <c r="CA447" s="5" t="n">
        <v>12.729</v>
      </c>
      <c r="CB447" s="5" t="n">
        <v>0</v>
      </c>
      <c r="CC447" s="5" t="n">
        <v>97.90000000000001</v>
      </c>
      <c r="CD447" s="5" t="n">
        <v>7.95</v>
      </c>
      <c r="CE447" s="5" t="n">
        <v>117.716</v>
      </c>
      <c r="CF447" s="5" t="n">
        <v>260.896</v>
      </c>
      <c r="CG447" s="5" t="n">
        <v>0.21</v>
      </c>
      <c r="CH447" s="5" t="n">
        <v>1</v>
      </c>
      <c r="CI447" s="5" t="n">
        <v>0</v>
      </c>
      <c r="CJ447" s="5" t="n">
        <v>0</v>
      </c>
      <c r="CK447" s="5" t="n">
        <v>0</v>
      </c>
      <c r="CL447" s="5" t="n">
        <v>0</v>
      </c>
      <c r="CM447" s="5" t="n">
        <v>0</v>
      </c>
      <c r="CN447" s="5" t="n">
        <v>0</v>
      </c>
      <c r="CO447" s="5" t="n">
        <v>0</v>
      </c>
      <c r="CP447" s="5" t="n">
        <v>0</v>
      </c>
      <c r="CQ447" s="5" t="n">
        <v>1.294</v>
      </c>
      <c r="CR447" s="5" t="n">
        <v>0</v>
      </c>
      <c r="CS447" s="5" t="n">
        <v>5.158</v>
      </c>
      <c r="CT447" s="5" t="n">
        <v>8.084</v>
      </c>
      <c r="CU447" s="5" t="n">
        <v>34.623</v>
      </c>
    </row>
    <row r="448">
      <c r="A448" s="5" t="inlineStr">
        <is>
          <t>LVA2023</t>
        </is>
      </c>
      <c r="B448" s="5" t="inlineStr">
        <is>
          <t>LVA</t>
        </is>
      </c>
      <c r="C448" s="5" t="inlineStr">
        <is>
          <t>LVA</t>
        </is>
      </c>
      <c r="D448" s="5" t="inlineStr">
        <is>
          <t>Latvia</t>
        </is>
      </c>
      <c r="E448" s="5" t="n">
        <v>2023</v>
      </c>
      <c r="F448" s="5" t="n">
        <v>0.21</v>
      </c>
      <c r="G448" s="5" t="n">
        <v>11.055</v>
      </c>
      <c r="H448" s="5" t="n">
        <v>2.518</v>
      </c>
      <c r="I448" s="5" t="n">
        <v>10.692</v>
      </c>
      <c r="J448" s="5" t="n">
        <v>21.746</v>
      </c>
      <c r="K448" s="5" t="n">
        <v>0</v>
      </c>
      <c r="L448" s="5" t="n">
        <v>1</v>
      </c>
      <c r="M448" s="5" t="n">
        <v>18.447</v>
      </c>
      <c r="N448" s="5" t="n">
        <v>9.148999999999999</v>
      </c>
      <c r="O448" s="5" t="n">
        <v>10.159</v>
      </c>
      <c r="P448" s="5" t="n">
        <v>28.606</v>
      </c>
      <c r="Q448" s="5" t="n">
        <v>0</v>
      </c>
      <c r="R448" s="5" t="n">
        <v>1</v>
      </c>
      <c r="S448" s="5" t="n">
        <v>13.852</v>
      </c>
      <c r="T448" s="5" t="n">
        <v>8.686</v>
      </c>
      <c r="U448" s="5" t="n">
        <v>0.376</v>
      </c>
      <c r="V448" s="5" t="n">
        <v>17.216</v>
      </c>
      <c r="W448" s="5" t="n">
        <v>0.21</v>
      </c>
      <c r="X448" s="5" t="n">
        <v>1</v>
      </c>
      <c r="Y448" s="5" t="n">
        <v>24.508</v>
      </c>
      <c r="Z448" s="5" t="n">
        <v>2.745</v>
      </c>
      <c r="AA448" s="5" t="n">
        <v>8.243</v>
      </c>
      <c r="AB448" s="5" t="n">
        <v>32.751</v>
      </c>
      <c r="AC448" s="5" t="n">
        <v>0</v>
      </c>
      <c r="AD448" s="5" t="n">
        <v>1</v>
      </c>
      <c r="AE448" s="5" t="n">
        <v>24.607</v>
      </c>
      <c r="AF448" s="5" t="n">
        <v>4.901</v>
      </c>
      <c r="AG448" s="5" t="n">
        <v>8.144</v>
      </c>
      <c r="AH448" s="5" t="n">
        <v>32.751</v>
      </c>
      <c r="AI448" s="5" t="n">
        <v>0</v>
      </c>
      <c r="AJ448" s="5" t="n">
        <v>1</v>
      </c>
      <c r="AK448" s="5" t="n">
        <v>27.725</v>
      </c>
      <c r="AL448" s="5" t="n">
        <v>13.734</v>
      </c>
      <c r="AM448" s="5" t="n">
        <v>-11.619</v>
      </c>
      <c r="AN448" s="5" t="n">
        <v>19.487</v>
      </c>
      <c r="AO448" s="5" t="n">
        <v>0</v>
      </c>
      <c r="AP448" s="5" t="n">
        <v>0</v>
      </c>
      <c r="AQ448" s="5" t="n">
        <v>0.76</v>
      </c>
      <c r="AR448" s="5" t="n">
        <v>0.129</v>
      </c>
      <c r="AS448" s="5" t="n">
        <v>0.706</v>
      </c>
      <c r="AT448" s="5" t="n">
        <v>1.774</v>
      </c>
      <c r="AU448" s="5" t="n">
        <v>0.21</v>
      </c>
      <c r="AV448" s="5" t="n">
        <v>1</v>
      </c>
      <c r="AW448" s="5" t="n">
        <v>0.8110000000000001</v>
      </c>
      <c r="AX448" s="5" t="n">
        <v>0.129</v>
      </c>
      <c r="AY448" s="5" t="n">
        <v>0.613</v>
      </c>
      <c r="AZ448" s="5" t="n">
        <v>1.724</v>
      </c>
      <c r="BA448" s="5" t="n">
        <v>0.21</v>
      </c>
      <c r="BB448" s="5" t="n">
        <v>1</v>
      </c>
      <c r="BC448" s="5" t="n">
        <v>0.535</v>
      </c>
      <c r="BD448" s="5" t="n">
        <v>0.129</v>
      </c>
      <c r="BE448" s="5" t="n">
        <v>0.131</v>
      </c>
      <c r="BF448" s="5" t="n">
        <v>0.805</v>
      </c>
      <c r="BG448" s="5" t="n">
        <v>0.21</v>
      </c>
      <c r="BH448" s="5" t="n">
        <v>1</v>
      </c>
      <c r="BI448" s="5" t="n">
        <v>0.579</v>
      </c>
      <c r="BJ448" s="5" t="n">
        <v>0.129</v>
      </c>
      <c r="BK448" s="5" t="n">
        <v>0.582</v>
      </c>
      <c r="BL448" s="5" t="n">
        <v>1.406</v>
      </c>
      <c r="BM448" s="5" t="n">
        <v>0.21</v>
      </c>
      <c r="BN448" s="5" t="n">
        <v>1</v>
      </c>
      <c r="BO448" s="5" t="n">
        <v>0</v>
      </c>
      <c r="BP448" s="5" t="n">
        <v>-0.004</v>
      </c>
      <c r="BQ448" s="5" t="n">
        <v>0.169</v>
      </c>
      <c r="BR448" s="5" t="n">
        <v>0</v>
      </c>
      <c r="BS448" s="5" t="n">
        <v>1</v>
      </c>
      <c r="BT448" s="5" t="n">
        <v>0</v>
      </c>
      <c r="BU448" s="5" t="n">
        <v>-0.011</v>
      </c>
      <c r="BV448" s="5" t="n">
        <v>0.247</v>
      </c>
      <c r="BW448" s="5" t="n">
        <v>0.21</v>
      </c>
      <c r="BX448" s="5" t="n">
        <v>1</v>
      </c>
      <c r="BY448" s="5" t="n">
        <v>13.254</v>
      </c>
      <c r="BZ448" s="5" t="n">
        <v>0</v>
      </c>
      <c r="CA448" s="5" t="n">
        <v>13.254</v>
      </c>
      <c r="CB448" s="5" t="n">
        <v>0</v>
      </c>
      <c r="CC448" s="5" t="n">
        <v>83.248</v>
      </c>
      <c r="CD448" s="5" t="n">
        <v>7.95</v>
      </c>
      <c r="CE448" s="5" t="n">
        <v>117.476</v>
      </c>
      <c r="CF448" s="5" t="n">
        <v>242.876</v>
      </c>
      <c r="CG448" s="5" t="n">
        <v>0.21</v>
      </c>
      <c r="CH448" s="5" t="n">
        <v>1</v>
      </c>
      <c r="CI448" s="5" t="n">
        <v>0</v>
      </c>
      <c r="CJ448" s="5" t="n">
        <v>0</v>
      </c>
      <c r="CK448" s="5" t="n">
        <v>0</v>
      </c>
      <c r="CL448" s="5" t="n">
        <v>0</v>
      </c>
      <c r="CM448" s="5" t="n">
        <v>0</v>
      </c>
      <c r="CN448" s="5" t="n">
        <v>0</v>
      </c>
      <c r="CO448" s="5" t="n">
        <v>0</v>
      </c>
      <c r="CP448" s="5" t="n">
        <v>0</v>
      </c>
      <c r="CQ448" s="5" t="n">
        <v>1.348</v>
      </c>
      <c r="CR448" s="5" t="n">
        <v>0</v>
      </c>
      <c r="CS448" s="5" t="n">
        <v>5.37</v>
      </c>
      <c r="CT448" s="5" t="n">
        <v>5.839</v>
      </c>
      <c r="CU448" s="5" t="n">
        <v>14.444</v>
      </c>
    </row>
    <row r="449">
      <c r="A449" s="5" t="inlineStr">
        <is>
          <t>LVA2024</t>
        </is>
      </c>
      <c r="B449" s="5" t="inlineStr">
        <is>
          <t>LVA</t>
        </is>
      </c>
      <c r="C449" s="5" t="inlineStr">
        <is>
          <t>LVA</t>
        </is>
      </c>
      <c r="D449" s="5" t="inlineStr">
        <is>
          <t>Latvia</t>
        </is>
      </c>
      <c r="E449" s="5" t="n">
        <v>2024</v>
      </c>
      <c r="F449" s="5" t="n">
        <v>0.21</v>
      </c>
      <c r="G449" s="5" t="n">
        <v>10.254</v>
      </c>
      <c r="H449" s="5" t="n">
        <v>2.598</v>
      </c>
      <c r="I449" s="5" t="n">
        <v>7.508</v>
      </c>
      <c r="J449" s="5" t="n">
        <v>17.762</v>
      </c>
      <c r="K449" s="5" t="n">
        <v>0</v>
      </c>
      <c r="L449" s="5" t="n">
        <v>1</v>
      </c>
      <c r="M449" s="5" t="n">
        <v>17.287</v>
      </c>
      <c r="N449" s="5" t="n">
        <v>9.417</v>
      </c>
      <c r="O449" s="5" t="n">
        <v>6.896</v>
      </c>
      <c r="P449" s="5" t="n">
        <v>24.183</v>
      </c>
      <c r="Q449" s="5" t="n">
        <v>0</v>
      </c>
      <c r="R449" s="5" t="n">
        <v>1</v>
      </c>
      <c r="S449" s="5" t="n">
        <v>12.997</v>
      </c>
      <c r="T449" s="5" t="n">
        <v>8.605</v>
      </c>
      <c r="U449" s="5" t="n">
        <v>0.388</v>
      </c>
      <c r="V449" s="5" t="n">
        <v>16.196</v>
      </c>
      <c r="W449" s="5" t="n">
        <v>0.21</v>
      </c>
      <c r="X449" s="5" t="n">
        <v>1</v>
      </c>
      <c r="Y449" s="5" t="n">
        <v>25.808</v>
      </c>
      <c r="Z449" s="5" t="n">
        <v>3.259</v>
      </c>
      <c r="AA449" s="5" t="n">
        <v>4.103</v>
      </c>
      <c r="AB449" s="5" t="n">
        <v>29.911</v>
      </c>
      <c r="AC449" s="5" t="n">
        <v>0</v>
      </c>
      <c r="AD449" s="5" t="n">
        <v>1</v>
      </c>
      <c r="AE449" s="5" t="n">
        <v>25.808</v>
      </c>
      <c r="AF449" s="5" t="n">
        <v>5.653</v>
      </c>
      <c r="AG449" s="5" t="n">
        <v>4.103</v>
      </c>
      <c r="AH449" s="5" t="n">
        <v>29.911</v>
      </c>
      <c r="AI449" s="5" t="n">
        <v>0</v>
      </c>
      <c r="AJ449" s="5" t="n">
        <v>1</v>
      </c>
      <c r="AK449" s="5" t="n">
        <v>25.808</v>
      </c>
      <c r="AL449" s="5" t="n">
        <v>13.127</v>
      </c>
      <c r="AM449" s="5" t="n">
        <v>-9.726000000000001</v>
      </c>
      <c r="AN449" s="5" t="n">
        <v>19.46</v>
      </c>
      <c r="AO449" s="5" t="n">
        <v>0</v>
      </c>
      <c r="AP449" s="5" t="n">
        <v>0</v>
      </c>
      <c r="AQ449" s="5" t="n">
        <v>0.724</v>
      </c>
      <c r="AR449" s="5" t="n">
        <v>0.132</v>
      </c>
      <c r="AS449" s="5" t="n">
        <v>0.726</v>
      </c>
      <c r="AT449" s="5" t="n">
        <v>1.755</v>
      </c>
      <c r="AU449" s="5" t="n">
        <v>0.21</v>
      </c>
      <c r="AV449" s="5" t="n">
        <v>1</v>
      </c>
      <c r="AW449" s="5" t="n">
        <v>0.75</v>
      </c>
      <c r="AX449" s="5" t="n">
        <v>0.132</v>
      </c>
      <c r="AY449" s="5" t="n">
        <v>0.665</v>
      </c>
      <c r="AZ449" s="5" t="n">
        <v>1.712</v>
      </c>
      <c r="BA449" s="5" t="n">
        <v>0.21</v>
      </c>
      <c r="BB449" s="5" t="n">
        <v>1</v>
      </c>
      <c r="BC449" s="5" t="n">
        <v>0.513</v>
      </c>
      <c r="BD449" s="5" t="n">
        <v>0.132</v>
      </c>
      <c r="BE449" s="5" t="n">
        <v>0.152</v>
      </c>
      <c r="BF449" s="5" t="n">
        <v>0.805</v>
      </c>
      <c r="BG449" s="5" t="n">
        <v>0.21</v>
      </c>
      <c r="BH449" s="5" t="n">
        <v>1</v>
      </c>
      <c r="BI449" s="5" t="n">
        <v>0.591</v>
      </c>
      <c r="BJ449" s="5" t="n">
        <v>0.132</v>
      </c>
      <c r="BK449" s="5" t="n">
        <v>0.518</v>
      </c>
      <c r="BL449" s="5" t="n">
        <v>1.343</v>
      </c>
      <c r="BM449" s="5" t="n">
        <v>0.21</v>
      </c>
      <c r="BN449" s="5" t="n">
        <v>1</v>
      </c>
      <c r="BO449" s="5" t="n">
        <v>0</v>
      </c>
      <c r="BP449" s="5" t="n">
        <v>0.002</v>
      </c>
      <c r="BQ449" s="5" t="n">
        <v>0.185</v>
      </c>
      <c r="BR449" s="5" t="n">
        <v>0</v>
      </c>
      <c r="BS449" s="5" t="n">
        <v>1</v>
      </c>
      <c r="BT449" s="5" t="n">
        <v>0</v>
      </c>
      <c r="BU449" s="5" t="n">
        <v>-0.008</v>
      </c>
      <c r="BV449" s="5" t="n">
        <v>0.266</v>
      </c>
      <c r="BW449" s="5" t="n">
        <v>0.21</v>
      </c>
      <c r="BX449" s="5" t="n">
        <v>1</v>
      </c>
      <c r="BY449" s="5" t="n">
        <v>13.646</v>
      </c>
      <c r="BZ449" s="5" t="n">
        <v>0</v>
      </c>
      <c r="CA449" s="5" t="n">
        <v>13.646</v>
      </c>
      <c r="CB449" s="5" t="n">
        <v>0</v>
      </c>
      <c r="CC449" s="5" t="n">
        <v>82.58799999999999</v>
      </c>
      <c r="CD449" s="5" t="n">
        <v>7.95</v>
      </c>
      <c r="CE449" s="5" t="n">
        <v>104.908</v>
      </c>
      <c r="CF449" s="5" t="n">
        <v>226.87</v>
      </c>
      <c r="CG449" s="5" t="n">
        <v>0.21</v>
      </c>
      <c r="CH449" s="5" t="n">
        <v>1</v>
      </c>
      <c r="CI449" s="5" t="n">
        <v>0</v>
      </c>
      <c r="CJ449" s="5" t="n">
        <v>0</v>
      </c>
      <c r="CK449" s="5" t="n">
        <v>0</v>
      </c>
      <c r="CL449" s="5" t="n">
        <v>0</v>
      </c>
      <c r="CM449" s="5" t="n">
        <v>0</v>
      </c>
      <c r="CN449" s="5" t="n">
        <v>0</v>
      </c>
      <c r="CO449" s="5" t="n">
        <v>0</v>
      </c>
      <c r="CP449" s="5" t="n">
        <v>0</v>
      </c>
      <c r="CQ449" s="5" t="n">
        <v>1.387</v>
      </c>
      <c r="CR449" s="5" t="n">
        <v>0</v>
      </c>
      <c r="CS449" s="5" t="n">
        <v>5.529</v>
      </c>
      <c r="CT449" s="5" t="n">
        <v>6.097</v>
      </c>
      <c r="CU449" s="5" t="n">
        <v>10.123</v>
      </c>
    </row>
    <row r="450">
      <c r="A450" s="5" t="inlineStr">
        <is>
          <t>LBN2021</t>
        </is>
      </c>
      <c r="B450" s="5" t="inlineStr">
        <is>
          <t>LBN</t>
        </is>
      </c>
      <c r="C450" s="5" t="inlineStr">
        <is>
          <t>LBN</t>
        </is>
      </c>
      <c r="D450" s="5" t="inlineStr">
        <is>
          <t>Lebanon</t>
        </is>
      </c>
      <c r="E450" s="5" t="n">
        <v>2021</v>
      </c>
      <c r="F450" s="5" t="n">
        <v>0.11</v>
      </c>
      <c r="G450" s="5" t="n">
        <v>5.897</v>
      </c>
      <c r="H450" s="5" t="n">
        <v>1.143</v>
      </c>
      <c r="I450" s="5" t="n">
        <v>0</v>
      </c>
      <c r="J450" s="5" t="n">
        <v>5.897</v>
      </c>
      <c r="K450" s="5" t="n">
        <v>0</v>
      </c>
      <c r="L450" s="5" t="n">
        <v>1</v>
      </c>
      <c r="M450" s="5" t="n">
        <v>7.964</v>
      </c>
      <c r="N450" s="5" t="n">
        <v>3.43</v>
      </c>
      <c r="O450" s="5" t="n">
        <v>0</v>
      </c>
      <c r="P450" s="5" t="n">
        <v>7.964</v>
      </c>
      <c r="Q450" s="5" t="n">
        <v>0</v>
      </c>
      <c r="R450" s="5" t="n">
        <v>1</v>
      </c>
      <c r="S450" s="5" t="n">
        <v>11.613</v>
      </c>
      <c r="T450" s="5" t="n">
        <v>6.86</v>
      </c>
      <c r="U450" s="5" t="n">
        <v>0</v>
      </c>
      <c r="V450" s="5" t="n">
        <v>12.891</v>
      </c>
      <c r="W450" s="5" t="n">
        <v>0.11</v>
      </c>
      <c r="X450" s="5" t="n">
        <v>1</v>
      </c>
      <c r="Y450" s="5" t="n">
        <v>15.305</v>
      </c>
      <c r="Z450" s="5" t="n">
        <v>2.497</v>
      </c>
      <c r="AA450" s="5" t="n">
        <v>0</v>
      </c>
      <c r="AB450" s="5" t="n">
        <v>15.305</v>
      </c>
      <c r="AC450" s="5" t="n">
        <v>0</v>
      </c>
      <c r="AD450" s="5" t="n">
        <v>1</v>
      </c>
      <c r="AE450" s="5" t="n">
        <v>16.449</v>
      </c>
      <c r="AF450" s="5" t="n">
        <v>4.508</v>
      </c>
      <c r="AG450" s="5" t="n">
        <v>0</v>
      </c>
      <c r="AH450" s="5" t="n">
        <v>16.449</v>
      </c>
      <c r="AI450" s="5" t="n">
        <v>0</v>
      </c>
      <c r="AJ450" s="5" t="n">
        <v>1</v>
      </c>
      <c r="AK450" s="5" t="n">
        <v>23.309</v>
      </c>
      <c r="AL450" s="5" t="n">
        <v>13.555</v>
      </c>
      <c r="AM450" s="5" t="n">
        <v>0</v>
      </c>
      <c r="AN450" s="5" t="n">
        <v>25.872</v>
      </c>
      <c r="AO450" s="5" t="n">
        <v>0.11</v>
      </c>
      <c r="AP450" s="5" t="n">
        <v>1</v>
      </c>
      <c r="AQ450" s="5" t="n">
        <v>0.621</v>
      </c>
      <c r="AR450" s="5" t="n">
        <v>0.114</v>
      </c>
      <c r="AS450" s="5" t="n">
        <v>0.16</v>
      </c>
      <c r="AT450" s="5" t="n">
        <v>0.867</v>
      </c>
      <c r="AU450" s="5" t="n">
        <v>0.11</v>
      </c>
      <c r="AV450" s="5" t="n">
        <v>1</v>
      </c>
      <c r="AW450" s="5" t="n">
        <v>0.593</v>
      </c>
      <c r="AX450" s="5" t="n">
        <v>0.114</v>
      </c>
      <c r="AY450" s="5" t="n">
        <v>0.306</v>
      </c>
      <c r="AZ450" s="5" t="n">
        <v>0.998</v>
      </c>
      <c r="BA450" s="5" t="n">
        <v>0</v>
      </c>
      <c r="BB450" s="5" t="n">
        <v>1</v>
      </c>
      <c r="BC450" s="5" t="n">
        <v>0.44</v>
      </c>
      <c r="BD450" s="5" t="n">
        <v>0.114</v>
      </c>
      <c r="BE450" s="5" t="n">
        <v>-0.013</v>
      </c>
      <c r="BF450" s="5" t="n">
        <v>0.474</v>
      </c>
      <c r="BG450" s="5" t="n">
        <v>0.11</v>
      </c>
      <c r="BH450" s="5" t="n">
        <v>1</v>
      </c>
      <c r="BI450" s="5" t="n">
        <v>0.5600000000000001</v>
      </c>
      <c r="BJ450" s="5" t="n">
        <v>0.114</v>
      </c>
      <c r="BK450" s="5" t="n">
        <v>0</v>
      </c>
      <c r="BL450" s="5" t="n">
        <v>0.622</v>
      </c>
      <c r="BM450" s="5" t="n">
        <v>0.11</v>
      </c>
      <c r="BN450" s="5" t="n">
        <v>1</v>
      </c>
      <c r="BO450" s="5" t="n">
        <v>0</v>
      </c>
      <c r="BP450" s="5" t="n">
        <v>0</v>
      </c>
      <c r="BQ450" s="5" t="n">
        <v>0.076</v>
      </c>
      <c r="BR450" s="5" t="n">
        <v>0</v>
      </c>
      <c r="BS450" s="5" t="n">
        <v>0.667</v>
      </c>
      <c r="BT450" s="5" t="n">
        <v>0</v>
      </c>
      <c r="BU450" s="5" t="n">
        <v>0</v>
      </c>
      <c r="BV450" s="5" t="n">
        <v>0.036</v>
      </c>
      <c r="BW450" s="5" t="n">
        <v>0.11</v>
      </c>
      <c r="BX450" s="5" t="n">
        <v>0.667</v>
      </c>
      <c r="BY450" s="5" t="n">
        <v>11.787</v>
      </c>
      <c r="BZ450" s="5" t="n">
        <v>0</v>
      </c>
      <c r="CA450" s="5" t="n">
        <v>11.787</v>
      </c>
      <c r="CB450" s="5" t="n">
        <v>0</v>
      </c>
      <c r="CC450" s="5" t="n">
        <v>81.69499999999999</v>
      </c>
      <c r="CD450" s="5" t="n">
        <v>7.95</v>
      </c>
      <c r="CE450" s="5" t="n">
        <v>0</v>
      </c>
      <c r="CF450" s="5" t="n">
        <v>90.682</v>
      </c>
      <c r="CG450" s="5" t="n">
        <v>0.11</v>
      </c>
      <c r="CH450" s="5" t="n">
        <v>1</v>
      </c>
      <c r="CI450" s="5" t="n">
        <v>0</v>
      </c>
      <c r="CJ450" s="5" t="n">
        <v>0</v>
      </c>
      <c r="CK450" s="5" t="n">
        <v>0</v>
      </c>
      <c r="CL450" s="5" t="n">
        <v>0</v>
      </c>
      <c r="CM450" s="5" t="n">
        <v>0</v>
      </c>
      <c r="CN450" s="5" t="n">
        <v>0</v>
      </c>
      <c r="CO450" s="5" t="n">
        <v>0</v>
      </c>
      <c r="CP450" s="5" t="n">
        <v>0</v>
      </c>
      <c r="CQ450" s="5" t="n">
        <v>1.198</v>
      </c>
      <c r="CR450" s="5" t="n">
        <v>0</v>
      </c>
      <c r="CS450" s="5" t="n">
        <v>4.776</v>
      </c>
      <c r="CT450" s="5" t="n">
        <v>4.753</v>
      </c>
      <c r="CU450" s="5" t="n">
        <v>14.162</v>
      </c>
    </row>
    <row r="451">
      <c r="A451" s="5" t="inlineStr">
        <is>
          <t>LBN2022</t>
        </is>
      </c>
      <c r="B451" s="5" t="inlineStr">
        <is>
          <t>LBN</t>
        </is>
      </c>
      <c r="C451" s="5" t="inlineStr">
        <is>
          <t>LBN</t>
        </is>
      </c>
      <c r="D451" s="5" t="inlineStr">
        <is>
          <t>Lebanon</t>
        </is>
      </c>
      <c r="E451" s="5" t="n">
        <v>2022</v>
      </c>
      <c r="F451" s="5" t="n">
        <v>0.11</v>
      </c>
      <c r="G451" s="5" t="n">
        <v>11.72</v>
      </c>
      <c r="H451" s="5" t="n">
        <v>1.235</v>
      </c>
      <c r="I451" s="5" t="n">
        <v>0</v>
      </c>
      <c r="J451" s="5" t="n">
        <v>11.72</v>
      </c>
      <c r="K451" s="5" t="n">
        <v>0</v>
      </c>
      <c r="L451" s="5" t="n">
        <v>1</v>
      </c>
      <c r="M451" s="5" t="n">
        <v>9.782999999999999</v>
      </c>
      <c r="N451" s="5" t="n">
        <v>3.704</v>
      </c>
      <c r="O451" s="5" t="n">
        <v>0</v>
      </c>
      <c r="P451" s="5" t="n">
        <v>9.782999999999999</v>
      </c>
      <c r="Q451" s="5" t="n">
        <v>0</v>
      </c>
      <c r="R451" s="5" t="n">
        <v>1</v>
      </c>
      <c r="S451" s="5" t="n">
        <v>17.893</v>
      </c>
      <c r="T451" s="5" t="n">
        <v>7.408</v>
      </c>
      <c r="U451" s="5" t="n">
        <v>0.146</v>
      </c>
      <c r="V451" s="5" t="n">
        <v>19.862</v>
      </c>
      <c r="W451" s="5" t="n">
        <v>0.11</v>
      </c>
      <c r="X451" s="5" t="n">
        <v>1</v>
      </c>
      <c r="Y451" s="5" t="n">
        <v>31.56</v>
      </c>
      <c r="Z451" s="5" t="n">
        <v>5.148</v>
      </c>
      <c r="AA451" s="5" t="n">
        <v>0</v>
      </c>
      <c r="AB451" s="5" t="n">
        <v>31.56</v>
      </c>
      <c r="AC451" s="5" t="n">
        <v>0</v>
      </c>
      <c r="AD451" s="5" t="n">
        <v>1</v>
      </c>
      <c r="AE451" s="5" t="n">
        <v>32.795</v>
      </c>
      <c r="AF451" s="5" t="n">
        <v>8.988</v>
      </c>
      <c r="AG451" s="5" t="n">
        <v>0</v>
      </c>
      <c r="AH451" s="5" t="n">
        <v>32.795</v>
      </c>
      <c r="AI451" s="5" t="n">
        <v>0</v>
      </c>
      <c r="AJ451" s="5" t="n">
        <v>1</v>
      </c>
      <c r="AK451" s="5" t="n">
        <v>40.203</v>
      </c>
      <c r="AL451" s="5" t="n">
        <v>23.38</v>
      </c>
      <c r="AM451" s="5" t="n">
        <v>0.327</v>
      </c>
      <c r="AN451" s="5" t="n">
        <v>44.626</v>
      </c>
      <c r="AO451" s="5" t="n">
        <v>0.11</v>
      </c>
      <c r="AP451" s="5" t="n">
        <v>1</v>
      </c>
      <c r="AQ451" s="5" t="n">
        <v>0.847</v>
      </c>
      <c r="AR451" s="5" t="n">
        <v>0.123</v>
      </c>
      <c r="AS451" s="5" t="n">
        <v>0.164</v>
      </c>
      <c r="AT451" s="5" t="n">
        <v>1.113</v>
      </c>
      <c r="AU451" s="5" t="n">
        <v>0.11</v>
      </c>
      <c r="AV451" s="5" t="n">
        <v>1</v>
      </c>
      <c r="AW451" s="5" t="n">
        <v>0.947</v>
      </c>
      <c r="AX451" s="5" t="n">
        <v>0.123</v>
      </c>
      <c r="AY451" s="5" t="n">
        <v>0.124</v>
      </c>
      <c r="AZ451" s="5" t="n">
        <v>1.071</v>
      </c>
      <c r="BA451" s="5" t="n">
        <v>0</v>
      </c>
      <c r="BB451" s="5" t="n">
        <v>1</v>
      </c>
      <c r="BC451" s="5" t="n">
        <v>0.589</v>
      </c>
      <c r="BD451" s="5" t="n">
        <v>0.123</v>
      </c>
      <c r="BE451" s="5" t="n">
        <v>-0.02</v>
      </c>
      <c r="BF451" s="5" t="n">
        <v>0.625</v>
      </c>
      <c r="BG451" s="5" t="n">
        <v>0.11</v>
      </c>
      <c r="BH451" s="5" t="n">
        <v>1</v>
      </c>
      <c r="BI451" s="5" t="n">
        <v>0.6889999999999999</v>
      </c>
      <c r="BJ451" s="5" t="n">
        <v>0.123</v>
      </c>
      <c r="BK451" s="5" t="n">
        <v>0.006</v>
      </c>
      <c r="BL451" s="5" t="n">
        <v>0.765</v>
      </c>
      <c r="BM451" s="5" t="n">
        <v>0.11</v>
      </c>
      <c r="BN451" s="5" t="n">
        <v>1</v>
      </c>
      <c r="BO451" s="5" t="n">
        <v>0</v>
      </c>
      <c r="BP451" s="5" t="n">
        <v>0</v>
      </c>
      <c r="BQ451" s="5" t="n">
        <v>0.015</v>
      </c>
      <c r="BR451" s="5" t="n">
        <v>0</v>
      </c>
      <c r="BS451" s="5" t="n">
        <v>0.667</v>
      </c>
      <c r="BT451" s="5" t="n">
        <v>0</v>
      </c>
      <c r="BU451" s="5" t="n">
        <v>0</v>
      </c>
      <c r="BV451" s="5" t="n">
        <v>0.007</v>
      </c>
      <c r="BW451" s="5" t="n">
        <v>0.11</v>
      </c>
      <c r="BX451" s="5" t="n">
        <v>0.667</v>
      </c>
      <c r="BY451" s="5" t="n">
        <v>12.729</v>
      </c>
      <c r="BZ451" s="5" t="n">
        <v>0</v>
      </c>
      <c r="CA451" s="5" t="n">
        <v>12.729</v>
      </c>
      <c r="CB451" s="5" t="n">
        <v>0</v>
      </c>
      <c r="CC451" s="5" t="n">
        <v>102.477</v>
      </c>
      <c r="CD451" s="5" t="n">
        <v>7.95</v>
      </c>
      <c r="CE451" s="5" t="n">
        <v>0.834</v>
      </c>
      <c r="CF451" s="5" t="n">
        <v>113.749</v>
      </c>
      <c r="CG451" s="5" t="n">
        <v>0.11</v>
      </c>
      <c r="CH451" s="5" t="n">
        <v>1</v>
      </c>
      <c r="CI451" s="5" t="n">
        <v>0</v>
      </c>
      <c r="CJ451" s="5" t="n">
        <v>0</v>
      </c>
      <c r="CK451" s="5" t="n">
        <v>0</v>
      </c>
      <c r="CL451" s="5" t="n">
        <v>0</v>
      </c>
      <c r="CM451" s="5" t="n">
        <v>0</v>
      </c>
      <c r="CN451" s="5" t="n">
        <v>0</v>
      </c>
      <c r="CO451" s="5" t="n">
        <v>0</v>
      </c>
      <c r="CP451" s="5" t="n">
        <v>0</v>
      </c>
      <c r="CQ451" s="5" t="n">
        <v>1.294</v>
      </c>
      <c r="CR451" s="5" t="n">
        <v>0</v>
      </c>
      <c r="CS451" s="5" t="n">
        <v>5.158</v>
      </c>
      <c r="CT451" s="5" t="n">
        <v>10.485</v>
      </c>
      <c r="CU451" s="5" t="n">
        <v>30.326</v>
      </c>
    </row>
    <row r="452">
      <c r="A452" s="5" t="inlineStr">
        <is>
          <t>LBN2023</t>
        </is>
      </c>
      <c r="B452" s="5" t="inlineStr">
        <is>
          <t>LBN</t>
        </is>
      </c>
      <c r="C452" s="5" t="inlineStr">
        <is>
          <t>LBN</t>
        </is>
      </c>
      <c r="D452" s="5" t="inlineStr">
        <is>
          <t>Lebanon</t>
        </is>
      </c>
      <c r="E452" s="5" t="n">
        <v>2023</v>
      </c>
      <c r="F452" s="5" t="n">
        <v>0.11</v>
      </c>
      <c r="G452" s="5" t="n">
        <v>6.147</v>
      </c>
      <c r="H452" s="5" t="n">
        <v>1.4</v>
      </c>
      <c r="I452" s="5" t="n">
        <v>0</v>
      </c>
      <c r="J452" s="5" t="n">
        <v>6.147</v>
      </c>
      <c r="K452" s="5" t="n">
        <v>0</v>
      </c>
      <c r="L452" s="5" t="n">
        <v>1</v>
      </c>
      <c r="M452" s="5" t="n">
        <v>7.886</v>
      </c>
      <c r="N452" s="5" t="n">
        <v>3.911</v>
      </c>
      <c r="O452" s="5" t="n">
        <v>0</v>
      </c>
      <c r="P452" s="5" t="n">
        <v>7.886</v>
      </c>
      <c r="Q452" s="5" t="n">
        <v>0</v>
      </c>
      <c r="R452" s="5" t="n">
        <v>1</v>
      </c>
      <c r="S452" s="5" t="n">
        <v>12.575</v>
      </c>
      <c r="T452" s="5" t="n">
        <v>7.886</v>
      </c>
      <c r="U452" s="5" t="n">
        <v>0.153</v>
      </c>
      <c r="V452" s="5" t="n">
        <v>13.958</v>
      </c>
      <c r="W452" s="5" t="n">
        <v>0.11</v>
      </c>
      <c r="X452" s="5" t="n">
        <v>1</v>
      </c>
      <c r="Y452" s="5" t="n">
        <v>11.908</v>
      </c>
      <c r="Z452" s="5" t="n">
        <v>1.334</v>
      </c>
      <c r="AA452" s="5" t="n">
        <v>0</v>
      </c>
      <c r="AB452" s="5" t="n">
        <v>11.908</v>
      </c>
      <c r="AC452" s="5" t="n">
        <v>0</v>
      </c>
      <c r="AD452" s="5" t="n">
        <v>1</v>
      </c>
      <c r="AE452" s="5" t="n">
        <v>13.194</v>
      </c>
      <c r="AF452" s="5" t="n">
        <v>2.628</v>
      </c>
      <c r="AG452" s="5" t="n">
        <v>0</v>
      </c>
      <c r="AH452" s="5" t="n">
        <v>13.194</v>
      </c>
      <c r="AI452" s="5" t="n">
        <v>0</v>
      </c>
      <c r="AJ452" s="5" t="n">
        <v>1</v>
      </c>
      <c r="AK452" s="5" t="n">
        <v>20.908</v>
      </c>
      <c r="AL452" s="5" t="n">
        <v>10.357</v>
      </c>
      <c r="AM452" s="5" t="n">
        <v>0.255</v>
      </c>
      <c r="AN452" s="5" t="n">
        <v>23.207</v>
      </c>
      <c r="AO452" s="5" t="n">
        <v>0.11</v>
      </c>
      <c r="AP452" s="5" t="n">
        <v>1</v>
      </c>
      <c r="AQ452" s="5" t="n">
        <v>0.749</v>
      </c>
      <c r="AR452" s="5" t="n">
        <v>0.126</v>
      </c>
      <c r="AS452" s="5" t="n">
        <v>0.187</v>
      </c>
      <c r="AT452" s="5" t="n">
        <v>1.026</v>
      </c>
      <c r="AU452" s="5" t="n">
        <v>0.11</v>
      </c>
      <c r="AV452" s="5" t="n">
        <v>1</v>
      </c>
      <c r="AW452" s="5" t="n">
        <v>0.783</v>
      </c>
      <c r="AX452" s="5" t="n">
        <v>0.134</v>
      </c>
      <c r="AY452" s="5" t="n">
        <v>0.13</v>
      </c>
      <c r="AZ452" s="5" t="n">
        <v>0.912</v>
      </c>
      <c r="BA452" s="5" t="n">
        <v>0</v>
      </c>
      <c r="BB452" s="5" t="n">
        <v>1</v>
      </c>
      <c r="BC452" s="5" t="n">
        <v>0.527</v>
      </c>
      <c r="BD452" s="5" t="n">
        <v>0.127</v>
      </c>
      <c r="BE452" s="5" t="n">
        <v>-0.011</v>
      </c>
      <c r="BF452" s="5" t="n">
        <v>0.5659999999999999</v>
      </c>
      <c r="BG452" s="5" t="n">
        <v>0.11</v>
      </c>
      <c r="BH452" s="5" t="n">
        <v>1</v>
      </c>
      <c r="BI452" s="5" t="n">
        <v>0.64</v>
      </c>
      <c r="BJ452" s="5" t="n">
        <v>0.139</v>
      </c>
      <c r="BK452" s="5" t="n">
        <v>0.008</v>
      </c>
      <c r="BL452" s="5" t="n">
        <v>0.71</v>
      </c>
      <c r="BM452" s="5" t="n">
        <v>0.11</v>
      </c>
      <c r="BN452" s="5" t="n">
        <v>1</v>
      </c>
      <c r="BO452" s="5" t="n">
        <v>0</v>
      </c>
      <c r="BP452" s="5" t="n">
        <v>0</v>
      </c>
      <c r="BQ452" s="5" t="n">
        <v>0.013</v>
      </c>
      <c r="BR452" s="5" t="n">
        <v>0</v>
      </c>
      <c r="BS452" s="5" t="n">
        <v>0.667</v>
      </c>
      <c r="BT452" s="5" t="n">
        <v>0</v>
      </c>
      <c r="BU452" s="5" t="n">
        <v>0</v>
      </c>
      <c r="BV452" s="5" t="n">
        <v>0.01</v>
      </c>
      <c r="BW452" s="5" t="n">
        <v>0.11</v>
      </c>
      <c r="BX452" s="5" t="n">
        <v>0.667</v>
      </c>
      <c r="BY452" s="5" t="n">
        <v>13.254</v>
      </c>
      <c r="BZ452" s="5" t="n">
        <v>0</v>
      </c>
      <c r="CA452" s="5" t="n">
        <v>13.254</v>
      </c>
      <c r="CB452" s="5" t="n">
        <v>0</v>
      </c>
      <c r="CC452" s="5" t="n">
        <v>87.07899999999999</v>
      </c>
      <c r="CD452" s="5" t="n">
        <v>7.95</v>
      </c>
      <c r="CE452" s="5" t="n">
        <v>1.061</v>
      </c>
      <c r="CF452" s="5" t="n">
        <v>96.658</v>
      </c>
      <c r="CG452" s="5" t="n">
        <v>0.11</v>
      </c>
      <c r="CH452" s="5" t="n">
        <v>1</v>
      </c>
      <c r="CI452" s="5" t="n">
        <v>1</v>
      </c>
      <c r="CJ452" s="5" t="n">
        <v>1</v>
      </c>
      <c r="CK452" s="5" t="n">
        <v>0</v>
      </c>
      <c r="CL452" s="5" t="n">
        <v>0</v>
      </c>
      <c r="CM452" s="5" t="n">
        <v>0</v>
      </c>
      <c r="CN452" s="5" t="n">
        <v>0</v>
      </c>
      <c r="CO452" s="5" t="n">
        <v>0</v>
      </c>
      <c r="CP452" s="5" t="n">
        <v>0</v>
      </c>
      <c r="CQ452" s="5" t="n">
        <v>1.348</v>
      </c>
      <c r="CR452" s="5" t="n">
        <v>0</v>
      </c>
      <c r="CS452" s="5" t="n">
        <v>5.37</v>
      </c>
      <c r="CT452" s="5" t="n">
        <v>4.861</v>
      </c>
      <c r="CU452" s="5" t="n">
        <v>10.622</v>
      </c>
    </row>
    <row r="453">
      <c r="A453" s="5" t="inlineStr">
        <is>
          <t>LBN2024</t>
        </is>
      </c>
      <c r="B453" s="5" t="inlineStr">
        <is>
          <t>LBN</t>
        </is>
      </c>
      <c r="C453" s="5" t="inlineStr">
        <is>
          <t>LBN</t>
        </is>
      </c>
      <c r="D453" s="5" t="inlineStr">
        <is>
          <t>Lebanon</t>
        </is>
      </c>
      <c r="E453" s="5" t="n">
        <v>2024</v>
      </c>
      <c r="F453" s="5" t="n">
        <v>0.11</v>
      </c>
      <c r="G453" s="5" t="n">
        <v>5.575</v>
      </c>
      <c r="H453" s="5" t="n">
        <v>1.412</v>
      </c>
      <c r="I453" s="5" t="n">
        <v>0</v>
      </c>
      <c r="J453" s="5" t="n">
        <v>5.575</v>
      </c>
      <c r="K453" s="5" t="n">
        <v>0</v>
      </c>
      <c r="L453" s="5" t="n">
        <v>1</v>
      </c>
      <c r="M453" s="5" t="n">
        <v>7.124</v>
      </c>
      <c r="N453" s="5" t="n">
        <v>3.881</v>
      </c>
      <c r="O453" s="5" t="n">
        <v>0</v>
      </c>
      <c r="P453" s="5" t="n">
        <v>7.124</v>
      </c>
      <c r="Q453" s="5" t="n">
        <v>0</v>
      </c>
      <c r="R453" s="5" t="n">
        <v>1</v>
      </c>
      <c r="S453" s="5" t="n">
        <v>12.193</v>
      </c>
      <c r="T453" s="5" t="n">
        <v>8.071999999999999</v>
      </c>
      <c r="U453" s="5" t="n">
        <v>0.183</v>
      </c>
      <c r="V453" s="5" t="n">
        <v>13.534</v>
      </c>
      <c r="W453" s="5" t="n">
        <v>0.11</v>
      </c>
      <c r="X453" s="5" t="n">
        <v>1</v>
      </c>
      <c r="Y453" s="5" t="n">
        <v>10.492</v>
      </c>
      <c r="Z453" s="5" t="n">
        <v>1.325</v>
      </c>
      <c r="AA453" s="5" t="n">
        <v>0</v>
      </c>
      <c r="AB453" s="5" t="n">
        <v>10.492</v>
      </c>
      <c r="AC453" s="5" t="n">
        <v>0</v>
      </c>
      <c r="AD453" s="5" t="n">
        <v>1</v>
      </c>
      <c r="AE453" s="5" t="n">
        <v>11.815</v>
      </c>
      <c r="AF453" s="5" t="n">
        <v>2.588</v>
      </c>
      <c r="AG453" s="5" t="n">
        <v>0</v>
      </c>
      <c r="AH453" s="5" t="n">
        <v>11.815</v>
      </c>
      <c r="AI453" s="5" t="n">
        <v>0</v>
      </c>
      <c r="AJ453" s="5" t="n">
        <v>1</v>
      </c>
      <c r="AK453" s="5" t="n">
        <v>19.757</v>
      </c>
      <c r="AL453" s="5" t="n">
        <v>10.049</v>
      </c>
      <c r="AM453" s="5" t="n">
        <v>0.296</v>
      </c>
      <c r="AN453" s="5" t="n">
        <v>21.93</v>
      </c>
      <c r="AO453" s="5" t="n">
        <v>0.11</v>
      </c>
      <c r="AP453" s="5" t="n">
        <v>1</v>
      </c>
      <c r="AQ453" s="5" t="n">
        <v>0.72</v>
      </c>
      <c r="AR453" s="5" t="n">
        <v>0.131</v>
      </c>
      <c r="AS453" s="5" t="n">
        <v>0.199</v>
      </c>
      <c r="AT453" s="5" t="n">
        <v>1.005</v>
      </c>
      <c r="AU453" s="5" t="n">
        <v>0.11</v>
      </c>
      <c r="AV453" s="5" t="n">
        <v>1</v>
      </c>
      <c r="AW453" s="5" t="n">
        <v>0.734</v>
      </c>
      <c r="AX453" s="5" t="n">
        <v>0.135</v>
      </c>
      <c r="AY453" s="5" t="n">
        <v>0.047</v>
      </c>
      <c r="AZ453" s="5" t="n">
        <v>0.867</v>
      </c>
      <c r="BA453" s="5" t="n">
        <v>0</v>
      </c>
      <c r="BB453" s="5" t="n">
        <v>1</v>
      </c>
      <c r="BC453" s="5" t="n">
        <v>0.51</v>
      </c>
      <c r="BD453" s="5" t="n">
        <v>0.131</v>
      </c>
      <c r="BE453" s="5" t="n">
        <v>-0.007</v>
      </c>
      <c r="BF453" s="5" t="n">
        <v>0.55</v>
      </c>
      <c r="BG453" s="5" t="n">
        <v>0.11</v>
      </c>
      <c r="BH453" s="5" t="n">
        <v>1</v>
      </c>
      <c r="BI453" s="5" t="n">
        <v>0.652</v>
      </c>
      <c r="BJ453" s="5" t="n">
        <v>0.143</v>
      </c>
      <c r="BK453" s="5" t="n">
        <v>0.01</v>
      </c>
      <c r="BL453" s="5" t="n">
        <v>0.724</v>
      </c>
      <c r="BM453" s="5" t="n">
        <v>0.11</v>
      </c>
      <c r="BN453" s="5" t="n">
        <v>1</v>
      </c>
      <c r="BO453" s="5" t="n">
        <v>0</v>
      </c>
      <c r="BP453" s="5" t="n">
        <v>0</v>
      </c>
      <c r="BQ453" s="5" t="n">
        <v>0.014</v>
      </c>
      <c r="BR453" s="5" t="n">
        <v>0</v>
      </c>
      <c r="BS453" s="5" t="n">
        <v>0.667</v>
      </c>
      <c r="BT453" s="5" t="n">
        <v>0</v>
      </c>
      <c r="BU453" s="5" t="n">
        <v>0</v>
      </c>
      <c r="BV453" s="5" t="n">
        <v>0.01</v>
      </c>
      <c r="BW453" s="5" t="n">
        <v>0.11</v>
      </c>
      <c r="BX453" s="5" t="n">
        <v>0.667</v>
      </c>
      <c r="BY453" s="5" t="n">
        <v>13.646</v>
      </c>
      <c r="BZ453" s="5" t="n">
        <v>0</v>
      </c>
      <c r="CA453" s="5" t="n">
        <v>13.646</v>
      </c>
      <c r="CB453" s="5" t="n">
        <v>0</v>
      </c>
      <c r="CC453" s="5" t="n">
        <v>86.38500000000001</v>
      </c>
      <c r="CD453" s="5" t="n">
        <v>7.95</v>
      </c>
      <c r="CE453" s="5" t="n">
        <v>1.294</v>
      </c>
      <c r="CF453" s="5" t="n">
        <v>95.88800000000001</v>
      </c>
      <c r="CG453" s="5" t="n">
        <v>0.11</v>
      </c>
      <c r="CH453" s="5" t="n">
        <v>1</v>
      </c>
      <c r="CI453" s="5" t="n">
        <v>1</v>
      </c>
      <c r="CJ453" s="5" t="n">
        <v>1</v>
      </c>
      <c r="CK453" s="5" t="n">
        <v>0</v>
      </c>
      <c r="CL453" s="5" t="n">
        <v>0</v>
      </c>
      <c r="CM453" s="5" t="n">
        <v>0</v>
      </c>
      <c r="CN453" s="5" t="n">
        <v>0</v>
      </c>
      <c r="CO453" s="5" t="n">
        <v>0</v>
      </c>
      <c r="CP453" s="5" t="n">
        <v>0</v>
      </c>
      <c r="CQ453" s="5" t="n">
        <v>1.387</v>
      </c>
      <c r="CR453" s="5" t="n">
        <v>0</v>
      </c>
      <c r="CS453" s="5" t="n">
        <v>5.529</v>
      </c>
      <c r="CT453" s="5" t="n">
        <v>4.251</v>
      </c>
      <c r="CU453" s="5" t="n">
        <v>9.167999999999999</v>
      </c>
    </row>
    <row r="454">
      <c r="A454" s="5" t="inlineStr">
        <is>
          <t>LSO2021</t>
        </is>
      </c>
      <c r="B454" s="5" t="inlineStr">
        <is>
          <t>LSO</t>
        </is>
      </c>
      <c r="C454" s="5" t="inlineStr">
        <is>
          <t>LSO</t>
        </is>
      </c>
      <c r="D454" s="5" t="inlineStr">
        <is>
          <t>Lesotho</t>
        </is>
      </c>
      <c r="E454" s="5" t="n">
        <v>2021</v>
      </c>
      <c r="F454" s="5" t="n">
        <v>0.15</v>
      </c>
      <c r="G454" s="5" t="n">
        <v>5.897</v>
      </c>
      <c r="H454" s="5" t="n">
        <v>1.143</v>
      </c>
      <c r="I454" s="5" t="n">
        <v>0</v>
      </c>
      <c r="J454" s="5" t="n">
        <v>5.897</v>
      </c>
      <c r="K454" s="5" t="n">
        <v>0</v>
      </c>
      <c r="L454" s="5" t="n">
        <v>1</v>
      </c>
      <c r="M454" s="5" t="n">
        <v>7.964</v>
      </c>
      <c r="N454" s="5" t="n">
        <v>3.43</v>
      </c>
      <c r="O454" s="5" t="n">
        <v>0</v>
      </c>
      <c r="P454" s="5" t="n">
        <v>7.964</v>
      </c>
      <c r="Q454" s="5" t="n">
        <v>0</v>
      </c>
      <c r="R454" s="5" t="n">
        <v>1</v>
      </c>
      <c r="S454" s="5" t="n">
        <v>11.613</v>
      </c>
      <c r="T454" s="5" t="n">
        <v>6.86</v>
      </c>
      <c r="U454" s="5" t="n">
        <v>0</v>
      </c>
      <c r="V454" s="5" t="n">
        <v>13.355</v>
      </c>
      <c r="W454" s="5" t="n">
        <v>0.15</v>
      </c>
      <c r="X454" s="5" t="n">
        <v>1</v>
      </c>
      <c r="Y454" s="5" t="n">
        <v>16.305</v>
      </c>
      <c r="Z454" s="5" t="n">
        <v>2.204</v>
      </c>
      <c r="AA454" s="5" t="n">
        <v>0</v>
      </c>
      <c r="AB454" s="5" t="n">
        <v>16.305</v>
      </c>
      <c r="AC454" s="5" t="n">
        <v>0</v>
      </c>
      <c r="AD454" s="5" t="n">
        <v>1</v>
      </c>
      <c r="AE454" s="5" t="n">
        <v>17.448</v>
      </c>
      <c r="AF454" s="5" t="n">
        <v>4.08</v>
      </c>
      <c r="AG454" s="5" t="n">
        <v>0</v>
      </c>
      <c r="AH454" s="5" t="n">
        <v>17.448</v>
      </c>
      <c r="AI454" s="5" t="n">
        <v>0</v>
      </c>
      <c r="AJ454" s="5" t="n">
        <v>1</v>
      </c>
      <c r="AK454" s="5" t="n">
        <v>24.308</v>
      </c>
      <c r="AL454" s="5" t="n">
        <v>12.946</v>
      </c>
      <c r="AM454" s="5" t="n">
        <v>0</v>
      </c>
      <c r="AN454" s="5" t="n">
        <v>27.955</v>
      </c>
      <c r="AO454" s="5" t="n">
        <v>0.15</v>
      </c>
      <c r="AP454" s="5" t="n">
        <v>1</v>
      </c>
      <c r="AQ454" s="5" t="n">
        <v>0.619</v>
      </c>
      <c r="AR454" s="5" t="n">
        <v>0.114</v>
      </c>
      <c r="AS454" s="5" t="n">
        <v>0.192</v>
      </c>
      <c r="AT454" s="5" t="n">
        <v>0.9330000000000001</v>
      </c>
      <c r="AU454" s="5" t="n">
        <v>0.15</v>
      </c>
      <c r="AV454" s="5" t="n">
        <v>1</v>
      </c>
      <c r="AW454" s="5" t="n">
        <v>0.599</v>
      </c>
      <c r="AX454" s="5" t="n">
        <v>0.114</v>
      </c>
      <c r="AY454" s="5" t="n">
        <v>0.209</v>
      </c>
      <c r="AZ454" s="5" t="n">
        <v>0.929</v>
      </c>
      <c r="BA454" s="5" t="n">
        <v>0.15</v>
      </c>
      <c r="BB454" s="5" t="n">
        <v>1</v>
      </c>
      <c r="BC454" s="5" t="n">
        <v>0.439</v>
      </c>
      <c r="BD454" s="5" t="n">
        <v>0.114</v>
      </c>
      <c r="BE454" s="5" t="n">
        <v>0</v>
      </c>
      <c r="BF454" s="5" t="n">
        <v>0.505</v>
      </c>
      <c r="BG454" s="5" t="n">
        <v>0.15</v>
      </c>
      <c r="BH454" s="5" t="n">
        <v>1</v>
      </c>
      <c r="BI454" s="5" t="n">
        <v>0.505</v>
      </c>
      <c r="BJ454" s="5" t="n">
        <v>0.114</v>
      </c>
      <c r="BK454" s="5" t="n">
        <v>0.056</v>
      </c>
      <c r="BL454" s="5" t="n">
        <v>0.645</v>
      </c>
      <c r="BM454" s="5" t="n">
        <v>0.15</v>
      </c>
      <c r="BN454" s="5" t="n">
        <v>1</v>
      </c>
      <c r="BO454" s="5" t="n">
        <v>0</v>
      </c>
      <c r="BP454" s="5" t="n">
        <v>0</v>
      </c>
      <c r="BQ454" s="5" t="n">
        <v>0.019</v>
      </c>
      <c r="BR454" s="5" t="n">
        <v>0</v>
      </c>
      <c r="BS454" s="5" t="n">
        <v>1</v>
      </c>
      <c r="BT454" s="5" t="n">
        <v>0</v>
      </c>
      <c r="BU454" s="5" t="n">
        <v>0</v>
      </c>
      <c r="BV454" s="5" t="n">
        <v>0.1</v>
      </c>
      <c r="BW454" s="5" t="n">
        <v>0.15</v>
      </c>
      <c r="BX454" s="5" t="n">
        <v>0.833</v>
      </c>
      <c r="BY454" s="5" t="n">
        <v>11.787</v>
      </c>
      <c r="BZ454" s="5" t="n">
        <v>0</v>
      </c>
      <c r="CA454" s="5" t="n">
        <v>11.787</v>
      </c>
      <c r="CB454" s="5" t="n">
        <v>0</v>
      </c>
      <c r="CC454" s="5" t="n">
        <v>78.125</v>
      </c>
      <c r="CD454" s="5" t="n">
        <v>7.95</v>
      </c>
      <c r="CE454" s="5" t="n">
        <v>9.135</v>
      </c>
      <c r="CF454" s="5" t="n">
        <v>100.349</v>
      </c>
      <c r="CG454" s="5" t="n">
        <v>0.15</v>
      </c>
      <c r="CH454" s="5" t="n">
        <v>1</v>
      </c>
      <c r="CI454" s="5" t="n">
        <v>0</v>
      </c>
      <c r="CJ454" s="5" t="n">
        <v>0</v>
      </c>
      <c r="CK454" s="5" t="n">
        <v>0</v>
      </c>
      <c r="CL454" s="5" t="n">
        <v>0</v>
      </c>
      <c r="CM454" s="5" t="n">
        <v>0</v>
      </c>
      <c r="CN454" s="5" t="n">
        <v>0</v>
      </c>
      <c r="CO454" s="5" t="n">
        <v>0</v>
      </c>
      <c r="CP454" s="5" t="n">
        <v>0</v>
      </c>
      <c r="CQ454" s="5" t="n">
        <v>1.198</v>
      </c>
      <c r="CR454" s="5" t="n">
        <v>0</v>
      </c>
      <c r="CS454" s="5" t="n">
        <v>4.776</v>
      </c>
      <c r="CT454" s="5" t="n">
        <v>4.753</v>
      </c>
      <c r="CU454" s="5" t="n">
        <v>15.162</v>
      </c>
    </row>
    <row r="455">
      <c r="A455" s="5" t="inlineStr">
        <is>
          <t>LSO2022</t>
        </is>
      </c>
      <c r="B455" s="5" t="inlineStr">
        <is>
          <t>LSO</t>
        </is>
      </c>
      <c r="C455" s="5" t="inlineStr">
        <is>
          <t>LSO</t>
        </is>
      </c>
      <c r="D455" s="5" t="inlineStr">
        <is>
          <t>Lesotho</t>
        </is>
      </c>
      <c r="E455" s="5" t="n">
        <v>2022</v>
      </c>
      <c r="F455" s="5" t="n">
        <v>0.15</v>
      </c>
      <c r="G455" s="5" t="n">
        <v>11.72</v>
      </c>
      <c r="H455" s="5" t="n">
        <v>1.235</v>
      </c>
      <c r="I455" s="5" t="n">
        <v>0</v>
      </c>
      <c r="J455" s="5" t="n">
        <v>11.72</v>
      </c>
      <c r="K455" s="5" t="n">
        <v>0</v>
      </c>
      <c r="L455" s="5" t="n">
        <v>1</v>
      </c>
      <c r="M455" s="5" t="n">
        <v>9.782999999999999</v>
      </c>
      <c r="N455" s="5" t="n">
        <v>3.704</v>
      </c>
      <c r="O455" s="5" t="n">
        <v>0</v>
      </c>
      <c r="P455" s="5" t="n">
        <v>9.782999999999999</v>
      </c>
      <c r="Q455" s="5" t="n">
        <v>0</v>
      </c>
      <c r="R455" s="5" t="n">
        <v>1</v>
      </c>
      <c r="S455" s="5" t="n">
        <v>17.893</v>
      </c>
      <c r="T455" s="5" t="n">
        <v>7.408</v>
      </c>
      <c r="U455" s="5" t="n">
        <v>0.199</v>
      </c>
      <c r="V455" s="5" t="n">
        <v>20.577</v>
      </c>
      <c r="W455" s="5" t="n">
        <v>0.15</v>
      </c>
      <c r="X455" s="5" t="n">
        <v>1</v>
      </c>
      <c r="Y455" s="5" t="n">
        <v>32.52</v>
      </c>
      <c r="Z455" s="5" t="n">
        <v>4.395</v>
      </c>
      <c r="AA455" s="5" t="n">
        <v>0</v>
      </c>
      <c r="AB455" s="5" t="n">
        <v>32.52</v>
      </c>
      <c r="AC455" s="5" t="n">
        <v>0</v>
      </c>
      <c r="AD455" s="5" t="n">
        <v>1</v>
      </c>
      <c r="AE455" s="5" t="n">
        <v>33.755</v>
      </c>
      <c r="AF455" s="5" t="n">
        <v>7.893</v>
      </c>
      <c r="AG455" s="5" t="n">
        <v>0</v>
      </c>
      <c r="AH455" s="5" t="n">
        <v>33.755</v>
      </c>
      <c r="AI455" s="5" t="n">
        <v>0</v>
      </c>
      <c r="AJ455" s="5" t="n">
        <v>1</v>
      </c>
      <c r="AK455" s="5" t="n">
        <v>41.163</v>
      </c>
      <c r="AL455" s="5" t="n">
        <v>21.923</v>
      </c>
      <c r="AM455" s="5" t="n">
        <v>0.457</v>
      </c>
      <c r="AN455" s="5" t="n">
        <v>47.338</v>
      </c>
      <c r="AO455" s="5" t="n">
        <v>0.15</v>
      </c>
      <c r="AP455" s="5" t="n">
        <v>1</v>
      </c>
      <c r="AQ455" s="5" t="n">
        <v>0.861</v>
      </c>
      <c r="AR455" s="5" t="n">
        <v>0.123</v>
      </c>
      <c r="AS455" s="5" t="n">
        <v>0.247</v>
      </c>
      <c r="AT455" s="5" t="n">
        <v>1.275</v>
      </c>
      <c r="AU455" s="5" t="n">
        <v>0.15</v>
      </c>
      <c r="AV455" s="5" t="n">
        <v>1</v>
      </c>
      <c r="AW455" s="5" t="n">
        <v>0.986</v>
      </c>
      <c r="AX455" s="5" t="n">
        <v>0.123</v>
      </c>
      <c r="AY455" s="5" t="n">
        <v>0.201</v>
      </c>
      <c r="AZ455" s="5" t="n">
        <v>1.366</v>
      </c>
      <c r="BA455" s="5" t="n">
        <v>0.15</v>
      </c>
      <c r="BB455" s="5" t="n">
        <v>1</v>
      </c>
      <c r="BC455" s="5" t="n">
        <v>0.598</v>
      </c>
      <c r="BD455" s="5" t="n">
        <v>0.123</v>
      </c>
      <c r="BE455" s="5" t="n">
        <v>0.007</v>
      </c>
      <c r="BF455" s="5" t="n">
        <v>0.6879999999999999</v>
      </c>
      <c r="BG455" s="5" t="n">
        <v>0.15</v>
      </c>
      <c r="BH455" s="5" t="n">
        <v>1</v>
      </c>
      <c r="BI455" s="5" t="n">
        <v>0.612</v>
      </c>
      <c r="BJ455" s="5" t="n">
        <v>0.123</v>
      </c>
      <c r="BK455" s="5" t="n">
        <v>0.271</v>
      </c>
      <c r="BL455" s="5" t="n">
        <v>1.016</v>
      </c>
      <c r="BM455" s="5" t="n">
        <v>0.15</v>
      </c>
      <c r="BN455" s="5" t="n">
        <v>1</v>
      </c>
      <c r="BO455" s="5" t="n">
        <v>0</v>
      </c>
      <c r="BP455" s="5" t="n">
        <v>0</v>
      </c>
      <c r="BQ455" s="5" t="n">
        <v>0.016</v>
      </c>
      <c r="BR455" s="5" t="n">
        <v>0</v>
      </c>
      <c r="BS455" s="5" t="n">
        <v>1</v>
      </c>
      <c r="BT455" s="5" t="n">
        <v>0</v>
      </c>
      <c r="BU455" s="5" t="n">
        <v>0</v>
      </c>
      <c r="BV455" s="5" t="n">
        <v>0.08799999999999999</v>
      </c>
      <c r="BW455" s="5" t="n">
        <v>0.15</v>
      </c>
      <c r="BX455" s="5" t="n">
        <v>0.833</v>
      </c>
      <c r="BY455" s="5" t="n">
        <v>12.729</v>
      </c>
      <c r="BZ455" s="5" t="n">
        <v>0</v>
      </c>
      <c r="CA455" s="5" t="n">
        <v>12.729</v>
      </c>
      <c r="CB455" s="5" t="n">
        <v>0</v>
      </c>
      <c r="CC455" s="5" t="n">
        <v>97.90000000000001</v>
      </c>
      <c r="CD455" s="5" t="n">
        <v>7.95</v>
      </c>
      <c r="CE455" s="5" t="n">
        <v>40.15</v>
      </c>
      <c r="CF455" s="5" t="n">
        <v>158.758</v>
      </c>
      <c r="CG455" s="5" t="n">
        <v>0.15</v>
      </c>
      <c r="CH455" s="5" t="n">
        <v>1</v>
      </c>
      <c r="CI455" s="5" t="n">
        <v>0</v>
      </c>
      <c r="CJ455" s="5" t="n">
        <v>0</v>
      </c>
      <c r="CK455" s="5" t="n">
        <v>0</v>
      </c>
      <c r="CL455" s="5" t="n">
        <v>0</v>
      </c>
      <c r="CM455" s="5" t="n">
        <v>0</v>
      </c>
      <c r="CN455" s="5" t="n">
        <v>0</v>
      </c>
      <c r="CO455" s="5" t="n">
        <v>0</v>
      </c>
      <c r="CP455" s="5" t="n">
        <v>0</v>
      </c>
      <c r="CQ455" s="5" t="n">
        <v>1.294</v>
      </c>
      <c r="CR455" s="5" t="n">
        <v>0</v>
      </c>
      <c r="CS455" s="5" t="n">
        <v>5.158</v>
      </c>
      <c r="CT455" s="5" t="n">
        <v>10.485</v>
      </c>
      <c r="CU455" s="5" t="n">
        <v>31.326</v>
      </c>
    </row>
    <row r="456">
      <c r="A456" s="5" t="inlineStr">
        <is>
          <t>LSO2023</t>
        </is>
      </c>
      <c r="B456" s="5" t="inlineStr">
        <is>
          <t>LSO</t>
        </is>
      </c>
      <c r="C456" s="5" t="inlineStr">
        <is>
          <t>LSO</t>
        </is>
      </c>
      <c r="D456" s="5" t="inlineStr">
        <is>
          <t>Lesotho</t>
        </is>
      </c>
      <c r="E456" s="5" t="n">
        <v>2023</v>
      </c>
      <c r="F456" s="5" t="n">
        <v>0.15</v>
      </c>
      <c r="G456" s="5" t="n">
        <v>6.147</v>
      </c>
      <c r="H456" s="5" t="n">
        <v>1.286</v>
      </c>
      <c r="I456" s="5" t="n">
        <v>0</v>
      </c>
      <c r="J456" s="5" t="n">
        <v>6.147</v>
      </c>
      <c r="K456" s="5" t="n">
        <v>0</v>
      </c>
      <c r="L456" s="5" t="n">
        <v>1</v>
      </c>
      <c r="M456" s="5" t="n">
        <v>7.886</v>
      </c>
      <c r="N456" s="5" t="n">
        <v>3.857</v>
      </c>
      <c r="O456" s="5" t="n">
        <v>0</v>
      </c>
      <c r="P456" s="5" t="n">
        <v>7.886</v>
      </c>
      <c r="Q456" s="5" t="n">
        <v>0</v>
      </c>
      <c r="R456" s="5" t="n">
        <v>1</v>
      </c>
      <c r="S456" s="5" t="n">
        <v>12.575</v>
      </c>
      <c r="T456" s="5" t="n">
        <v>7.714</v>
      </c>
      <c r="U456" s="5" t="n">
        <v>0.209</v>
      </c>
      <c r="V456" s="5" t="n">
        <v>14.461</v>
      </c>
      <c r="W456" s="5" t="n">
        <v>0.15</v>
      </c>
      <c r="X456" s="5" t="n">
        <v>1</v>
      </c>
      <c r="Y456" s="5" t="n">
        <v>12.907</v>
      </c>
      <c r="Z456" s="5" t="n">
        <v>1.744</v>
      </c>
      <c r="AA456" s="5" t="n">
        <v>0</v>
      </c>
      <c r="AB456" s="5" t="n">
        <v>12.907</v>
      </c>
      <c r="AC456" s="5" t="n">
        <v>0</v>
      </c>
      <c r="AD456" s="5" t="n">
        <v>1</v>
      </c>
      <c r="AE456" s="5" t="n">
        <v>14.193</v>
      </c>
      <c r="AF456" s="5" t="n">
        <v>3.319</v>
      </c>
      <c r="AG456" s="5" t="n">
        <v>0</v>
      </c>
      <c r="AH456" s="5" t="n">
        <v>14.193</v>
      </c>
      <c r="AI456" s="5" t="n">
        <v>0</v>
      </c>
      <c r="AJ456" s="5" t="n">
        <v>1</v>
      </c>
      <c r="AK456" s="5" t="n">
        <v>21.907</v>
      </c>
      <c r="AL456" s="5" t="n">
        <v>11.667</v>
      </c>
      <c r="AM456" s="5" t="n">
        <v>0.364</v>
      </c>
      <c r="AN456" s="5" t="n">
        <v>25.193</v>
      </c>
      <c r="AO456" s="5" t="n">
        <v>0.15</v>
      </c>
      <c r="AP456" s="5" t="n">
        <v>1</v>
      </c>
      <c r="AQ456" s="5" t="n">
        <v>0.76</v>
      </c>
      <c r="AR456" s="5" t="n">
        <v>0.129</v>
      </c>
      <c r="AS456" s="5" t="n">
        <v>0.228</v>
      </c>
      <c r="AT456" s="5" t="n">
        <v>1.136</v>
      </c>
      <c r="AU456" s="5" t="n">
        <v>0.15</v>
      </c>
      <c r="AV456" s="5" t="n">
        <v>1</v>
      </c>
      <c r="AW456" s="5" t="n">
        <v>0.8110000000000001</v>
      </c>
      <c r="AX456" s="5" t="n">
        <v>0.129</v>
      </c>
      <c r="AY456" s="5" t="n">
        <v>0.243</v>
      </c>
      <c r="AZ456" s="5" t="n">
        <v>1.213</v>
      </c>
      <c r="BA456" s="5" t="n">
        <v>0.15</v>
      </c>
      <c r="BB456" s="5" t="n">
        <v>1</v>
      </c>
      <c r="BC456" s="5" t="n">
        <v>0.535</v>
      </c>
      <c r="BD456" s="5" t="n">
        <v>0.129</v>
      </c>
      <c r="BE456" s="5" t="n">
        <v>0.008999999999999999</v>
      </c>
      <c r="BF456" s="5" t="n">
        <v>0.615</v>
      </c>
      <c r="BG456" s="5" t="n">
        <v>0.15</v>
      </c>
      <c r="BH456" s="5" t="n">
        <v>1</v>
      </c>
      <c r="BI456" s="5" t="n">
        <v>0.579</v>
      </c>
      <c r="BJ456" s="5" t="n">
        <v>0.129</v>
      </c>
      <c r="BK456" s="5" t="n">
        <v>0.219</v>
      </c>
      <c r="BL456" s="5" t="n">
        <v>0.918</v>
      </c>
      <c r="BM456" s="5" t="n">
        <v>0.15</v>
      </c>
      <c r="BN456" s="5" t="n">
        <v>1</v>
      </c>
      <c r="BO456" s="5" t="n">
        <v>0</v>
      </c>
      <c r="BP456" s="5" t="n">
        <v>0</v>
      </c>
      <c r="BQ456" s="5" t="n">
        <v>0.021</v>
      </c>
      <c r="BR456" s="5" t="n">
        <v>0</v>
      </c>
      <c r="BS456" s="5" t="n">
        <v>1</v>
      </c>
      <c r="BT456" s="5" t="n">
        <v>0</v>
      </c>
      <c r="BU456" s="5" t="n">
        <v>0</v>
      </c>
      <c r="BV456" s="5" t="n">
        <v>0.1</v>
      </c>
      <c r="BW456" s="5" t="n">
        <v>0.15</v>
      </c>
      <c r="BX456" s="5" t="n">
        <v>0.833</v>
      </c>
      <c r="BY456" s="5" t="n">
        <v>13.254</v>
      </c>
      <c r="BZ456" s="5" t="n">
        <v>0</v>
      </c>
      <c r="CA456" s="5" t="n">
        <v>13.254</v>
      </c>
      <c r="CB456" s="5" t="n">
        <v>0</v>
      </c>
      <c r="CC456" s="5" t="n">
        <v>83.248</v>
      </c>
      <c r="CD456" s="5" t="n">
        <v>7.95</v>
      </c>
      <c r="CE456" s="5" t="n">
        <v>43.547</v>
      </c>
      <c r="CF456" s="5" t="n">
        <v>145.815</v>
      </c>
      <c r="CG456" s="5" t="n">
        <v>0.15</v>
      </c>
      <c r="CH456" s="5" t="n">
        <v>1</v>
      </c>
      <c r="CI456" s="5" t="n">
        <v>0</v>
      </c>
      <c r="CJ456" s="5" t="n">
        <v>0</v>
      </c>
      <c r="CK456" s="5" t="n">
        <v>0</v>
      </c>
      <c r="CL456" s="5" t="n">
        <v>0</v>
      </c>
      <c r="CM456" s="5" t="n">
        <v>0</v>
      </c>
      <c r="CN456" s="5" t="n">
        <v>0</v>
      </c>
      <c r="CO456" s="5" t="n">
        <v>0</v>
      </c>
      <c r="CP456" s="5" t="n">
        <v>0</v>
      </c>
      <c r="CQ456" s="5" t="n">
        <v>1.348</v>
      </c>
      <c r="CR456" s="5" t="n">
        <v>0</v>
      </c>
      <c r="CS456" s="5" t="n">
        <v>5.37</v>
      </c>
      <c r="CT456" s="5" t="n">
        <v>4.861</v>
      </c>
      <c r="CU456" s="5" t="n">
        <v>11.622</v>
      </c>
    </row>
    <row r="457">
      <c r="A457" s="5" t="inlineStr">
        <is>
          <t>LSO2024</t>
        </is>
      </c>
      <c r="B457" s="5" t="inlineStr">
        <is>
          <t>LSO</t>
        </is>
      </c>
      <c r="C457" s="5" t="inlineStr">
        <is>
          <t>LSO</t>
        </is>
      </c>
      <c r="D457" s="5" t="inlineStr">
        <is>
          <t>Lesotho</t>
        </is>
      </c>
      <c r="E457" s="5" t="n">
        <v>2024</v>
      </c>
      <c r="F457" s="5" t="n">
        <v>0.15</v>
      </c>
      <c r="G457" s="5" t="n">
        <v>5.575</v>
      </c>
      <c r="H457" s="5" t="n">
        <v>1.324</v>
      </c>
      <c r="I457" s="5" t="n">
        <v>0</v>
      </c>
      <c r="J457" s="5" t="n">
        <v>5.575</v>
      </c>
      <c r="K457" s="5" t="n">
        <v>0</v>
      </c>
      <c r="L457" s="5" t="n">
        <v>1</v>
      </c>
      <c r="M457" s="5" t="n">
        <v>7.124</v>
      </c>
      <c r="N457" s="5" t="n">
        <v>3.971</v>
      </c>
      <c r="O457" s="5" t="n">
        <v>0</v>
      </c>
      <c r="P457" s="5" t="n">
        <v>7.124</v>
      </c>
      <c r="Q457" s="5" t="n">
        <v>0</v>
      </c>
      <c r="R457" s="5" t="n">
        <v>1</v>
      </c>
      <c r="S457" s="5" t="n">
        <v>12.193</v>
      </c>
      <c r="T457" s="5" t="n">
        <v>7.942</v>
      </c>
      <c r="U457" s="5" t="n">
        <v>0.249</v>
      </c>
      <c r="V457" s="5" t="n">
        <v>14.022</v>
      </c>
      <c r="W457" s="5" t="n">
        <v>0.15</v>
      </c>
      <c r="X457" s="5" t="n">
        <v>1</v>
      </c>
      <c r="Y457" s="5" t="n">
        <v>11.491</v>
      </c>
      <c r="Z457" s="5" t="n">
        <v>1.553</v>
      </c>
      <c r="AA457" s="5" t="n">
        <v>0</v>
      </c>
      <c r="AB457" s="5" t="n">
        <v>11.491</v>
      </c>
      <c r="AC457" s="5" t="n">
        <v>0</v>
      </c>
      <c r="AD457" s="5" t="n">
        <v>1</v>
      </c>
      <c r="AE457" s="5" t="n">
        <v>12.815</v>
      </c>
      <c r="AF457" s="5" t="n">
        <v>2.996</v>
      </c>
      <c r="AG457" s="5" t="n">
        <v>0</v>
      </c>
      <c r="AH457" s="5" t="n">
        <v>12.815</v>
      </c>
      <c r="AI457" s="5" t="n">
        <v>0</v>
      </c>
      <c r="AJ457" s="5" t="n">
        <v>1</v>
      </c>
      <c r="AK457" s="5" t="n">
        <v>20.756</v>
      </c>
      <c r="AL457" s="5" t="n">
        <v>11.055</v>
      </c>
      <c r="AM457" s="5" t="n">
        <v>0.424</v>
      </c>
      <c r="AN457" s="5" t="n">
        <v>23.87</v>
      </c>
      <c r="AO457" s="5" t="n">
        <v>0.15</v>
      </c>
      <c r="AP457" s="5" t="n">
        <v>1</v>
      </c>
      <c r="AQ457" s="5" t="n">
        <v>0.724</v>
      </c>
      <c r="AR457" s="5" t="n">
        <v>0.132</v>
      </c>
      <c r="AS457" s="5" t="n">
        <v>0.272</v>
      </c>
      <c r="AT457" s="5" t="n">
        <v>1.145</v>
      </c>
      <c r="AU457" s="5" t="n">
        <v>0.15</v>
      </c>
      <c r="AV457" s="5" t="n">
        <v>1</v>
      </c>
      <c r="AW457" s="5" t="n">
        <v>0.75</v>
      </c>
      <c r="AX457" s="5" t="n">
        <v>0.132</v>
      </c>
      <c r="AY457" s="5" t="n">
        <v>0.268</v>
      </c>
      <c r="AZ457" s="5" t="n">
        <v>1.17</v>
      </c>
      <c r="BA457" s="5" t="n">
        <v>0.15</v>
      </c>
      <c r="BB457" s="5" t="n">
        <v>1</v>
      </c>
      <c r="BC457" s="5" t="n">
        <v>0.513</v>
      </c>
      <c r="BD457" s="5" t="n">
        <v>0.132</v>
      </c>
      <c r="BE457" s="5" t="n">
        <v>0.01</v>
      </c>
      <c r="BF457" s="5" t="n">
        <v>0.59</v>
      </c>
      <c r="BG457" s="5" t="n">
        <v>0.15</v>
      </c>
      <c r="BH457" s="5" t="n">
        <v>1</v>
      </c>
      <c r="BI457" s="5" t="n">
        <v>0.591</v>
      </c>
      <c r="BJ457" s="5" t="n">
        <v>0.132</v>
      </c>
      <c r="BK457" s="5" t="n">
        <v>0.162</v>
      </c>
      <c r="BL457" s="5" t="n">
        <v>0.867</v>
      </c>
      <c r="BM457" s="5" t="n">
        <v>0.15</v>
      </c>
      <c r="BN457" s="5" t="n">
        <v>1</v>
      </c>
      <c r="BO457" s="5" t="n">
        <v>0</v>
      </c>
      <c r="BP457" s="5" t="n">
        <v>0</v>
      </c>
      <c r="BQ457" s="5" t="n">
        <v>0.019</v>
      </c>
      <c r="BR457" s="5" t="n">
        <v>0</v>
      </c>
      <c r="BS457" s="5" t="n">
        <v>1</v>
      </c>
      <c r="BT457" s="5" t="n">
        <v>0</v>
      </c>
      <c r="BU457" s="5" t="n">
        <v>0</v>
      </c>
      <c r="BV457" s="5" t="n">
        <v>0.096</v>
      </c>
      <c r="BW457" s="5" t="n">
        <v>0.15</v>
      </c>
      <c r="BX457" s="5" t="n">
        <v>0.833</v>
      </c>
      <c r="BY457" s="5" t="n">
        <v>13.646</v>
      </c>
      <c r="BZ457" s="5" t="n">
        <v>0</v>
      </c>
      <c r="CA457" s="5" t="n">
        <v>13.646</v>
      </c>
      <c r="CB457" s="5" t="n">
        <v>0</v>
      </c>
      <c r="CC457" s="5" t="n">
        <v>82.58799999999999</v>
      </c>
      <c r="CD457" s="5" t="n">
        <v>7.95</v>
      </c>
      <c r="CE457" s="5" t="n">
        <v>37.36</v>
      </c>
      <c r="CF457" s="5" t="n">
        <v>137.94</v>
      </c>
      <c r="CG457" s="5" t="n">
        <v>0.15</v>
      </c>
      <c r="CH457" s="5" t="n">
        <v>1</v>
      </c>
      <c r="CI457" s="5" t="n">
        <v>0</v>
      </c>
      <c r="CJ457" s="5" t="n">
        <v>0</v>
      </c>
      <c r="CK457" s="5" t="n">
        <v>0</v>
      </c>
      <c r="CL457" s="5" t="n">
        <v>0</v>
      </c>
      <c r="CM457" s="5" t="n">
        <v>0</v>
      </c>
      <c r="CN457" s="5" t="n">
        <v>0</v>
      </c>
      <c r="CO457" s="5" t="n">
        <v>0</v>
      </c>
      <c r="CP457" s="5" t="n">
        <v>0</v>
      </c>
      <c r="CQ457" s="5" t="n">
        <v>1.387</v>
      </c>
      <c r="CR457" s="5" t="n">
        <v>0</v>
      </c>
      <c r="CS457" s="5" t="n">
        <v>5.529</v>
      </c>
      <c r="CT457" s="5" t="n">
        <v>4.251</v>
      </c>
      <c r="CU457" s="5" t="n">
        <v>10.168</v>
      </c>
    </row>
    <row r="458">
      <c r="A458" s="5" t="inlineStr">
        <is>
          <t>LBR2021</t>
        </is>
      </c>
      <c r="B458" s="5" t="inlineStr">
        <is>
          <t>LBR</t>
        </is>
      </c>
      <c r="C458" s="5" t="inlineStr">
        <is>
          <t>LBR</t>
        </is>
      </c>
      <c r="D458" s="5" t="inlineStr">
        <is>
          <t>Liberia</t>
        </is>
      </c>
      <c r="E458" s="5" t="n">
        <v>2021</v>
      </c>
      <c r="F458" s="5" t="n">
        <v>0.1</v>
      </c>
      <c r="G458" s="5" t="n">
        <v>5.897</v>
      </c>
      <c r="H458" s="5" t="n">
        <v>1.143</v>
      </c>
      <c r="I458" s="5" t="n">
        <v>0</v>
      </c>
      <c r="J458" s="5" t="n">
        <v>5.897</v>
      </c>
      <c r="K458" s="5" t="n">
        <v>0</v>
      </c>
      <c r="L458" s="5" t="n">
        <v>1</v>
      </c>
      <c r="M458" s="5" t="n">
        <v>7.964</v>
      </c>
      <c r="N458" s="5" t="n">
        <v>3.43</v>
      </c>
      <c r="O458" s="5" t="n">
        <v>0</v>
      </c>
      <c r="P458" s="5" t="n">
        <v>7.964</v>
      </c>
      <c r="Q458" s="5" t="n">
        <v>0</v>
      </c>
      <c r="R458" s="5" t="n">
        <v>1</v>
      </c>
      <c r="S458" s="5" t="n">
        <v>11.613</v>
      </c>
      <c r="T458" s="5" t="n">
        <v>6.86</v>
      </c>
      <c r="U458" s="5" t="n">
        <v>0</v>
      </c>
      <c r="V458" s="5" t="n">
        <v>12.775</v>
      </c>
      <c r="W458" s="5" t="n">
        <v>0.1</v>
      </c>
      <c r="X458" s="5" t="n">
        <v>1</v>
      </c>
      <c r="Y458" s="5" t="n">
        <v>16.305</v>
      </c>
      <c r="Z458" s="5" t="n">
        <v>2.204</v>
      </c>
      <c r="AA458" s="5" t="n">
        <v>0</v>
      </c>
      <c r="AB458" s="5" t="n">
        <v>16.305</v>
      </c>
      <c r="AC458" s="5" t="n">
        <v>0</v>
      </c>
      <c r="AD458" s="5" t="n">
        <v>1</v>
      </c>
      <c r="AE458" s="5" t="n">
        <v>17.449</v>
      </c>
      <c r="AF458" s="5" t="n">
        <v>4.08</v>
      </c>
      <c r="AG458" s="5" t="n">
        <v>0</v>
      </c>
      <c r="AH458" s="5" t="n">
        <v>17.449</v>
      </c>
      <c r="AI458" s="5" t="n">
        <v>0</v>
      </c>
      <c r="AJ458" s="5" t="n">
        <v>1</v>
      </c>
      <c r="AK458" s="5" t="n">
        <v>24.309</v>
      </c>
      <c r="AL458" s="5" t="n">
        <v>12.947</v>
      </c>
      <c r="AM458" s="5" t="n">
        <v>0</v>
      </c>
      <c r="AN458" s="5" t="n">
        <v>26.739</v>
      </c>
      <c r="AO458" s="5" t="n">
        <v>0.1</v>
      </c>
      <c r="AP458" s="5" t="n">
        <v>1</v>
      </c>
      <c r="AQ458" s="5" t="n">
        <v>0.619</v>
      </c>
      <c r="AR458" s="5" t="n">
        <v>0.114</v>
      </c>
      <c r="AS458" s="5" t="n">
        <v>0.139</v>
      </c>
      <c r="AT458" s="5" t="n">
        <v>0.834</v>
      </c>
      <c r="AU458" s="5" t="n">
        <v>0.1</v>
      </c>
      <c r="AV458" s="5" t="n">
        <v>0</v>
      </c>
      <c r="AW458" s="5" t="n">
        <v>0.599</v>
      </c>
      <c r="AX458" s="5" t="n">
        <v>0.114</v>
      </c>
      <c r="AY458" s="5" t="n">
        <v>0.325</v>
      </c>
      <c r="AZ458" s="5" t="n">
        <v>1.017</v>
      </c>
      <c r="BA458" s="5" t="n">
        <v>0.1</v>
      </c>
      <c r="BB458" s="5" t="n">
        <v>1</v>
      </c>
      <c r="BC458" s="5" t="n">
        <v>0.439</v>
      </c>
      <c r="BD458" s="5" t="n">
        <v>0.114</v>
      </c>
      <c r="BE458" s="5" t="n">
        <v>0</v>
      </c>
      <c r="BF458" s="5" t="n">
        <v>0.483</v>
      </c>
      <c r="BG458" s="5" t="n">
        <v>0.1</v>
      </c>
      <c r="BH458" s="5" t="n">
        <v>1</v>
      </c>
      <c r="BI458" s="5" t="n">
        <v>0.505</v>
      </c>
      <c r="BJ458" s="5" t="n">
        <v>0.114</v>
      </c>
      <c r="BK458" s="5" t="n">
        <v>0.224</v>
      </c>
      <c r="BL458" s="5" t="n">
        <v>0.802</v>
      </c>
      <c r="BM458" s="5" t="n">
        <v>0.1</v>
      </c>
      <c r="BN458" s="5" t="n">
        <v>1</v>
      </c>
      <c r="BO458" s="5" t="n">
        <v>0</v>
      </c>
      <c r="BP458" s="5" t="n">
        <v>0</v>
      </c>
      <c r="BQ458" s="5" t="n">
        <v>0.179</v>
      </c>
      <c r="BR458" s="5" t="n">
        <v>0</v>
      </c>
      <c r="BS458" s="5" t="n">
        <v>0.833</v>
      </c>
      <c r="BT458" s="5" t="n">
        <v>0</v>
      </c>
      <c r="BU458" s="5" t="n">
        <v>0</v>
      </c>
      <c r="BV458" s="5" t="n">
        <v>0.213</v>
      </c>
      <c r="BW458" s="5" t="n">
        <v>0.1</v>
      </c>
      <c r="BX458" s="5" t="n">
        <v>0.833</v>
      </c>
      <c r="BY458" s="5" t="n">
        <v>11.787</v>
      </c>
      <c r="BZ458" s="5" t="n">
        <v>0</v>
      </c>
      <c r="CA458" s="5" t="n">
        <v>11.787</v>
      </c>
      <c r="CB458" s="5" t="n">
        <v>0</v>
      </c>
      <c r="CC458" s="5" t="n">
        <v>78.125</v>
      </c>
      <c r="CD458" s="5" t="n">
        <v>7.95</v>
      </c>
      <c r="CE458" s="5" t="n">
        <v>0</v>
      </c>
      <c r="CF458" s="5" t="n">
        <v>85.938</v>
      </c>
      <c r="CG458" s="5" t="n">
        <v>0.1</v>
      </c>
      <c r="CH458" s="5" t="n">
        <v>1</v>
      </c>
      <c r="CI458" s="5" t="n">
        <v>0</v>
      </c>
      <c r="CJ458" s="5" t="n">
        <v>0</v>
      </c>
      <c r="CK458" s="5" t="n">
        <v>0</v>
      </c>
      <c r="CL458" s="5" t="n">
        <v>0</v>
      </c>
      <c r="CM458" s="5" t="n">
        <v>0</v>
      </c>
      <c r="CN458" s="5" t="n">
        <v>0</v>
      </c>
      <c r="CO458" s="5" t="n">
        <v>0</v>
      </c>
      <c r="CP458" s="5" t="n">
        <v>0</v>
      </c>
      <c r="CQ458" s="5" t="n">
        <v>1.198</v>
      </c>
      <c r="CR458" s="5" t="n">
        <v>0</v>
      </c>
      <c r="CS458" s="5" t="n">
        <v>4.776</v>
      </c>
      <c r="CT458" s="5" t="n">
        <v>4.753</v>
      </c>
      <c r="CU458" s="5" t="n">
        <v>15.162</v>
      </c>
    </row>
    <row r="459">
      <c r="A459" s="5" t="inlineStr">
        <is>
          <t>LBR2022</t>
        </is>
      </c>
      <c r="B459" s="5" t="inlineStr">
        <is>
          <t>LBR</t>
        </is>
      </c>
      <c r="C459" s="5" t="inlineStr">
        <is>
          <t>LBR</t>
        </is>
      </c>
      <c r="D459" s="5" t="inlineStr">
        <is>
          <t>Liberia</t>
        </is>
      </c>
      <c r="E459" s="5" t="n">
        <v>2022</v>
      </c>
      <c r="F459" s="5" t="n">
        <v>0.1</v>
      </c>
      <c r="G459" s="5" t="n">
        <v>11.72</v>
      </c>
      <c r="H459" s="5" t="n">
        <v>1.235</v>
      </c>
      <c r="I459" s="5" t="n">
        <v>0</v>
      </c>
      <c r="J459" s="5" t="n">
        <v>11.72</v>
      </c>
      <c r="K459" s="5" t="n">
        <v>0</v>
      </c>
      <c r="L459" s="5" t="n">
        <v>1</v>
      </c>
      <c r="M459" s="5" t="n">
        <v>9.782999999999999</v>
      </c>
      <c r="N459" s="5" t="n">
        <v>3.704</v>
      </c>
      <c r="O459" s="5" t="n">
        <v>0</v>
      </c>
      <c r="P459" s="5" t="n">
        <v>9.782999999999999</v>
      </c>
      <c r="Q459" s="5" t="n">
        <v>0</v>
      </c>
      <c r="R459" s="5" t="n">
        <v>1</v>
      </c>
      <c r="S459" s="5" t="n">
        <v>17.893</v>
      </c>
      <c r="T459" s="5" t="n">
        <v>7.408</v>
      </c>
      <c r="U459" s="5" t="n">
        <v>0.132</v>
      </c>
      <c r="V459" s="5" t="n">
        <v>19.683</v>
      </c>
      <c r="W459" s="5" t="n">
        <v>0.1</v>
      </c>
      <c r="X459" s="5" t="n">
        <v>1</v>
      </c>
      <c r="Y459" s="5" t="n">
        <v>32.56</v>
      </c>
      <c r="Z459" s="5" t="n">
        <v>4.401</v>
      </c>
      <c r="AA459" s="5" t="n">
        <v>0</v>
      </c>
      <c r="AB459" s="5" t="n">
        <v>32.56</v>
      </c>
      <c r="AC459" s="5" t="n">
        <v>0</v>
      </c>
      <c r="AD459" s="5" t="n">
        <v>1</v>
      </c>
      <c r="AE459" s="5" t="n">
        <v>33.795</v>
      </c>
      <c r="AF459" s="5" t="n">
        <v>7.902</v>
      </c>
      <c r="AG459" s="5" t="n">
        <v>0</v>
      </c>
      <c r="AH459" s="5" t="n">
        <v>33.795</v>
      </c>
      <c r="AI459" s="5" t="n">
        <v>0</v>
      </c>
      <c r="AJ459" s="5" t="n">
        <v>1</v>
      </c>
      <c r="AK459" s="5" t="n">
        <v>41.203</v>
      </c>
      <c r="AL459" s="5" t="n">
        <v>21.945</v>
      </c>
      <c r="AM459" s="5" t="n">
        <v>0.305</v>
      </c>
      <c r="AN459" s="5" t="n">
        <v>45.324</v>
      </c>
      <c r="AO459" s="5" t="n">
        <v>0.1</v>
      </c>
      <c r="AP459" s="5" t="n">
        <v>1</v>
      </c>
      <c r="AQ459" s="5" t="n">
        <v>0.861</v>
      </c>
      <c r="AR459" s="5" t="n">
        <v>0.123</v>
      </c>
      <c r="AS459" s="5" t="n">
        <v>0.257</v>
      </c>
      <c r="AT459" s="5" t="n">
        <v>1.23</v>
      </c>
      <c r="AU459" s="5" t="n">
        <v>0.1</v>
      </c>
      <c r="AV459" s="5" t="n">
        <v>0</v>
      </c>
      <c r="AW459" s="5" t="n">
        <v>0.986</v>
      </c>
      <c r="AX459" s="5" t="n">
        <v>0.123</v>
      </c>
      <c r="AY459" s="5" t="n">
        <v>0.384</v>
      </c>
      <c r="AZ459" s="5" t="n">
        <v>1.507</v>
      </c>
      <c r="BA459" s="5" t="n">
        <v>0.1</v>
      </c>
      <c r="BB459" s="5" t="n">
        <v>1</v>
      </c>
      <c r="BC459" s="5" t="n">
        <v>0.598</v>
      </c>
      <c r="BD459" s="5" t="n">
        <v>0.123</v>
      </c>
      <c r="BE459" s="5" t="n">
        <v>0.004</v>
      </c>
      <c r="BF459" s="5" t="n">
        <v>0.658</v>
      </c>
      <c r="BG459" s="5" t="n">
        <v>0.1</v>
      </c>
      <c r="BH459" s="5" t="n">
        <v>1</v>
      </c>
      <c r="BI459" s="5" t="n">
        <v>0.612</v>
      </c>
      <c r="BJ459" s="5" t="n">
        <v>0.123</v>
      </c>
      <c r="BK459" s="5" t="n">
        <v>0.242</v>
      </c>
      <c r="BL459" s="5" t="n">
        <v>0.9330000000000001</v>
      </c>
      <c r="BM459" s="5" t="n">
        <v>0.1</v>
      </c>
      <c r="BN459" s="5" t="n">
        <v>1</v>
      </c>
      <c r="BO459" s="5" t="n">
        <v>0</v>
      </c>
      <c r="BP459" s="5" t="n">
        <v>0</v>
      </c>
      <c r="BQ459" s="5" t="n">
        <v>0.179</v>
      </c>
      <c r="BR459" s="5" t="n">
        <v>0</v>
      </c>
      <c r="BS459" s="5" t="n">
        <v>0.833</v>
      </c>
      <c r="BT459" s="5" t="n">
        <v>0</v>
      </c>
      <c r="BU459" s="5" t="n">
        <v>0</v>
      </c>
      <c r="BV459" s="5" t="n">
        <v>0.213</v>
      </c>
      <c r="BW459" s="5" t="n">
        <v>0.1</v>
      </c>
      <c r="BX459" s="5" t="n">
        <v>0.833</v>
      </c>
      <c r="BY459" s="5" t="n">
        <v>12.729</v>
      </c>
      <c r="BZ459" s="5" t="n">
        <v>0</v>
      </c>
      <c r="CA459" s="5" t="n">
        <v>12.729</v>
      </c>
      <c r="CB459" s="5" t="n">
        <v>0</v>
      </c>
      <c r="CC459" s="5" t="n">
        <v>97.90000000000001</v>
      </c>
      <c r="CD459" s="5" t="n">
        <v>7.95</v>
      </c>
      <c r="CE459" s="5" t="n">
        <v>0.725</v>
      </c>
      <c r="CF459" s="5" t="n">
        <v>107.69</v>
      </c>
      <c r="CG459" s="5" t="n">
        <v>0.1</v>
      </c>
      <c r="CH459" s="5" t="n">
        <v>1</v>
      </c>
      <c r="CI459" s="5" t="n">
        <v>0</v>
      </c>
      <c r="CJ459" s="5" t="n">
        <v>0</v>
      </c>
      <c r="CK459" s="5" t="n">
        <v>0</v>
      </c>
      <c r="CL459" s="5" t="n">
        <v>0</v>
      </c>
      <c r="CM459" s="5" t="n">
        <v>0</v>
      </c>
      <c r="CN459" s="5" t="n">
        <v>0</v>
      </c>
      <c r="CO459" s="5" t="n">
        <v>0</v>
      </c>
      <c r="CP459" s="5" t="n">
        <v>0</v>
      </c>
      <c r="CQ459" s="5" t="n">
        <v>1.294</v>
      </c>
      <c r="CR459" s="5" t="n">
        <v>0</v>
      </c>
      <c r="CS459" s="5" t="n">
        <v>5.158</v>
      </c>
      <c r="CT459" s="5" t="n">
        <v>10.485</v>
      </c>
      <c r="CU459" s="5" t="n">
        <v>31.326</v>
      </c>
    </row>
    <row r="460">
      <c r="A460" s="5" t="inlineStr">
        <is>
          <t>LBR2023</t>
        </is>
      </c>
      <c r="B460" s="5" t="inlineStr">
        <is>
          <t>LBR</t>
        </is>
      </c>
      <c r="C460" s="5" t="inlineStr">
        <is>
          <t>LBR</t>
        </is>
      </c>
      <c r="D460" s="5" t="inlineStr">
        <is>
          <t>Liberia</t>
        </is>
      </c>
      <c r="E460" s="5" t="n">
        <v>2023</v>
      </c>
      <c r="F460" s="5" t="n">
        <v>0.1</v>
      </c>
      <c r="G460" s="5" t="n">
        <v>6.147</v>
      </c>
      <c r="H460" s="5" t="n">
        <v>1.286</v>
      </c>
      <c r="I460" s="5" t="n">
        <v>0</v>
      </c>
      <c r="J460" s="5" t="n">
        <v>6.147</v>
      </c>
      <c r="K460" s="5" t="n">
        <v>0</v>
      </c>
      <c r="L460" s="5" t="n">
        <v>1</v>
      </c>
      <c r="M460" s="5" t="n">
        <v>7.886</v>
      </c>
      <c r="N460" s="5" t="n">
        <v>3.857</v>
      </c>
      <c r="O460" s="5" t="n">
        <v>0</v>
      </c>
      <c r="P460" s="5" t="n">
        <v>7.886</v>
      </c>
      <c r="Q460" s="5" t="n">
        <v>0</v>
      </c>
      <c r="R460" s="5" t="n">
        <v>1</v>
      </c>
      <c r="S460" s="5" t="n">
        <v>12.575</v>
      </c>
      <c r="T460" s="5" t="n">
        <v>7.714</v>
      </c>
      <c r="U460" s="5" t="n">
        <v>0.139</v>
      </c>
      <c r="V460" s="5" t="n">
        <v>13.833</v>
      </c>
      <c r="W460" s="5" t="n">
        <v>0.1</v>
      </c>
      <c r="X460" s="5" t="n">
        <v>1</v>
      </c>
      <c r="Y460" s="5" t="n">
        <v>12.908</v>
      </c>
      <c r="Z460" s="5" t="n">
        <v>1.745</v>
      </c>
      <c r="AA460" s="5" t="n">
        <v>0</v>
      </c>
      <c r="AB460" s="5" t="n">
        <v>12.908</v>
      </c>
      <c r="AC460" s="5" t="n">
        <v>0</v>
      </c>
      <c r="AD460" s="5" t="n">
        <v>1</v>
      </c>
      <c r="AE460" s="5" t="n">
        <v>14.194</v>
      </c>
      <c r="AF460" s="5" t="n">
        <v>3.319</v>
      </c>
      <c r="AG460" s="5" t="n">
        <v>0</v>
      </c>
      <c r="AH460" s="5" t="n">
        <v>14.194</v>
      </c>
      <c r="AI460" s="5" t="n">
        <v>0</v>
      </c>
      <c r="AJ460" s="5" t="n">
        <v>1</v>
      </c>
      <c r="AK460" s="5" t="n">
        <v>21.908</v>
      </c>
      <c r="AL460" s="5" t="n">
        <v>11.668</v>
      </c>
      <c r="AM460" s="5" t="n">
        <v>0.243</v>
      </c>
      <c r="AN460" s="5" t="n">
        <v>24.098</v>
      </c>
      <c r="AO460" s="5" t="n">
        <v>0.1</v>
      </c>
      <c r="AP460" s="5" t="n">
        <v>1</v>
      </c>
      <c r="AQ460" s="5" t="n">
        <v>0.76</v>
      </c>
      <c r="AR460" s="5" t="n">
        <v>0.129</v>
      </c>
      <c r="AS460" s="5" t="n">
        <v>-0.357</v>
      </c>
      <c r="AT460" s="5" t="n">
        <v>0.444</v>
      </c>
      <c r="AU460" s="5" t="n">
        <v>0.1</v>
      </c>
      <c r="AV460" s="5" t="n">
        <v>0</v>
      </c>
      <c r="AW460" s="5" t="n">
        <v>0.8110000000000001</v>
      </c>
      <c r="AX460" s="5" t="n">
        <v>0.129</v>
      </c>
      <c r="AY460" s="5" t="n">
        <v>0.474</v>
      </c>
      <c r="AZ460" s="5" t="n">
        <v>1.413</v>
      </c>
      <c r="BA460" s="5" t="n">
        <v>0.1</v>
      </c>
      <c r="BB460" s="5" t="n">
        <v>1</v>
      </c>
      <c r="BC460" s="5" t="n">
        <v>0.535</v>
      </c>
      <c r="BD460" s="5" t="n">
        <v>0.129</v>
      </c>
      <c r="BE460" s="5" t="n">
        <v>0.006</v>
      </c>
      <c r="BF460" s="5" t="n">
        <v>0.588</v>
      </c>
      <c r="BG460" s="5" t="n">
        <v>0.1</v>
      </c>
      <c r="BH460" s="5" t="n">
        <v>1</v>
      </c>
      <c r="BI460" s="5" t="n">
        <v>0.579</v>
      </c>
      <c r="BJ460" s="5" t="n">
        <v>0.129</v>
      </c>
      <c r="BK460" s="5" t="n">
        <v>0.26</v>
      </c>
      <c r="BL460" s="5" t="n">
        <v>0.913</v>
      </c>
      <c r="BM460" s="5" t="n">
        <v>0.1</v>
      </c>
      <c r="BN460" s="5" t="n">
        <v>1</v>
      </c>
      <c r="BO460" s="5" t="n">
        <v>0</v>
      </c>
      <c r="BP460" s="5" t="n">
        <v>0</v>
      </c>
      <c r="BQ460" s="5" t="n">
        <v>0.19</v>
      </c>
      <c r="BR460" s="5" t="n">
        <v>0</v>
      </c>
      <c r="BS460" s="5" t="n">
        <v>0.833</v>
      </c>
      <c r="BT460" s="5" t="n">
        <v>0</v>
      </c>
      <c r="BU460" s="5" t="n">
        <v>0</v>
      </c>
      <c r="BV460" s="5" t="n">
        <v>0.264</v>
      </c>
      <c r="BW460" s="5" t="n">
        <v>0.1</v>
      </c>
      <c r="BX460" s="5" t="n">
        <v>0.833</v>
      </c>
      <c r="BY460" s="5" t="n">
        <v>13.254</v>
      </c>
      <c r="BZ460" s="5" t="n">
        <v>0</v>
      </c>
      <c r="CA460" s="5" t="n">
        <v>13.254</v>
      </c>
      <c r="CB460" s="5" t="n">
        <v>0</v>
      </c>
      <c r="CC460" s="5" t="n">
        <v>83.248</v>
      </c>
      <c r="CD460" s="5" t="n">
        <v>7.95</v>
      </c>
      <c r="CE460" s="5" t="n">
        <v>0.922</v>
      </c>
      <c r="CF460" s="5" t="n">
        <v>91.57299999999999</v>
      </c>
      <c r="CG460" s="5" t="n">
        <v>0.1</v>
      </c>
      <c r="CH460" s="5" t="n">
        <v>1</v>
      </c>
      <c r="CI460" s="5" t="n">
        <v>0</v>
      </c>
      <c r="CJ460" s="5" t="n">
        <v>0</v>
      </c>
      <c r="CK460" s="5" t="n">
        <v>0</v>
      </c>
      <c r="CL460" s="5" t="n">
        <v>0</v>
      </c>
      <c r="CM460" s="5" t="n">
        <v>0</v>
      </c>
      <c r="CN460" s="5" t="n">
        <v>0</v>
      </c>
      <c r="CO460" s="5" t="n">
        <v>0</v>
      </c>
      <c r="CP460" s="5" t="n">
        <v>0</v>
      </c>
      <c r="CQ460" s="5" t="n">
        <v>1.348</v>
      </c>
      <c r="CR460" s="5" t="n">
        <v>0</v>
      </c>
      <c r="CS460" s="5" t="n">
        <v>5.37</v>
      </c>
      <c r="CT460" s="5" t="n">
        <v>4.861</v>
      </c>
      <c r="CU460" s="5" t="n">
        <v>11.622</v>
      </c>
    </row>
    <row r="461">
      <c r="A461" s="5" t="inlineStr">
        <is>
          <t>LBR2024</t>
        </is>
      </c>
      <c r="B461" s="5" t="inlineStr">
        <is>
          <t>LBR</t>
        </is>
      </c>
      <c r="C461" s="5" t="inlineStr">
        <is>
          <t>LBR</t>
        </is>
      </c>
      <c r="D461" s="5" t="inlineStr">
        <is>
          <t>Liberia</t>
        </is>
      </c>
      <c r="E461" s="5" t="n">
        <v>2024</v>
      </c>
      <c r="F461" s="5" t="n">
        <v>0.1</v>
      </c>
      <c r="G461" s="5" t="n">
        <v>5.575</v>
      </c>
      <c r="H461" s="5" t="n">
        <v>1.324</v>
      </c>
      <c r="I461" s="5" t="n">
        <v>0</v>
      </c>
      <c r="J461" s="5" t="n">
        <v>5.575</v>
      </c>
      <c r="K461" s="5" t="n">
        <v>0</v>
      </c>
      <c r="L461" s="5" t="n">
        <v>1</v>
      </c>
      <c r="M461" s="5" t="n">
        <v>7.124</v>
      </c>
      <c r="N461" s="5" t="n">
        <v>3.971</v>
      </c>
      <c r="O461" s="5" t="n">
        <v>0</v>
      </c>
      <c r="P461" s="5" t="n">
        <v>7.124</v>
      </c>
      <c r="Q461" s="5" t="n">
        <v>0</v>
      </c>
      <c r="R461" s="5" t="n">
        <v>1</v>
      </c>
      <c r="S461" s="5" t="n">
        <v>12.193</v>
      </c>
      <c r="T461" s="5" t="n">
        <v>7.942</v>
      </c>
      <c r="U461" s="5" t="n">
        <v>0.166</v>
      </c>
      <c r="V461" s="5" t="n">
        <v>13.412</v>
      </c>
      <c r="W461" s="5" t="n">
        <v>0.1</v>
      </c>
      <c r="X461" s="5" t="n">
        <v>1</v>
      </c>
      <c r="Y461" s="5" t="n">
        <v>11.492</v>
      </c>
      <c r="Z461" s="5" t="n">
        <v>1.553</v>
      </c>
      <c r="AA461" s="5" t="n">
        <v>0</v>
      </c>
      <c r="AB461" s="5" t="n">
        <v>11.492</v>
      </c>
      <c r="AC461" s="5" t="n">
        <v>0</v>
      </c>
      <c r="AD461" s="5" t="n">
        <v>1</v>
      </c>
      <c r="AE461" s="5" t="n">
        <v>12.815</v>
      </c>
      <c r="AF461" s="5" t="n">
        <v>2.997</v>
      </c>
      <c r="AG461" s="5" t="n">
        <v>0</v>
      </c>
      <c r="AH461" s="5" t="n">
        <v>12.815</v>
      </c>
      <c r="AI461" s="5" t="n">
        <v>0</v>
      </c>
      <c r="AJ461" s="5" t="n">
        <v>1</v>
      </c>
      <c r="AK461" s="5" t="n">
        <v>20.757</v>
      </c>
      <c r="AL461" s="5" t="n">
        <v>11.055</v>
      </c>
      <c r="AM461" s="5" t="n">
        <v>0.283</v>
      </c>
      <c r="AN461" s="5" t="n">
        <v>22.833</v>
      </c>
      <c r="AO461" s="5" t="n">
        <v>0.1</v>
      </c>
      <c r="AP461" s="5" t="n">
        <v>1</v>
      </c>
      <c r="AQ461" s="5" t="n">
        <v>0.724</v>
      </c>
      <c r="AR461" s="5" t="n">
        <v>0.132</v>
      </c>
      <c r="AS461" s="5" t="n">
        <v>-0.357</v>
      </c>
      <c r="AT461" s="5" t="n">
        <v>0.398</v>
      </c>
      <c r="AU461" s="5" t="n">
        <v>0.1</v>
      </c>
      <c r="AV461" s="5" t="n">
        <v>0</v>
      </c>
      <c r="AW461" s="5" t="n">
        <v>0.75</v>
      </c>
      <c r="AX461" s="5" t="n">
        <v>0.132</v>
      </c>
      <c r="AY461" s="5" t="n">
        <v>0.532</v>
      </c>
      <c r="AZ461" s="5" t="n">
        <v>1.391</v>
      </c>
      <c r="BA461" s="5" t="n">
        <v>0.1</v>
      </c>
      <c r="BB461" s="5" t="n">
        <v>1</v>
      </c>
      <c r="BC461" s="5" t="n">
        <v>0.513</v>
      </c>
      <c r="BD461" s="5" t="n">
        <v>0.132</v>
      </c>
      <c r="BE461" s="5" t="n">
        <v>0.007</v>
      </c>
      <c r="BF461" s="5" t="n">
        <v>0.5639999999999999</v>
      </c>
      <c r="BG461" s="5" t="n">
        <v>0.1</v>
      </c>
      <c r="BH461" s="5" t="n">
        <v>1</v>
      </c>
      <c r="BI461" s="5" t="n">
        <v>0.591</v>
      </c>
      <c r="BJ461" s="5" t="n">
        <v>0.132</v>
      </c>
      <c r="BK461" s="5" t="n">
        <v>0.27</v>
      </c>
      <c r="BL461" s="5" t="n">
        <v>0.9350000000000001</v>
      </c>
      <c r="BM461" s="5" t="n">
        <v>0.1</v>
      </c>
      <c r="BN461" s="5" t="n">
        <v>1</v>
      </c>
      <c r="BO461" s="5" t="n">
        <v>0</v>
      </c>
      <c r="BP461" s="5" t="n">
        <v>0</v>
      </c>
      <c r="BQ461" s="5" t="n">
        <v>0.196</v>
      </c>
      <c r="BR461" s="5" t="n">
        <v>0</v>
      </c>
      <c r="BS461" s="5" t="n">
        <v>0.833</v>
      </c>
      <c r="BT461" s="5" t="n">
        <v>0</v>
      </c>
      <c r="BU461" s="5" t="n">
        <v>0</v>
      </c>
      <c r="BV461" s="5" t="n">
        <v>0.272</v>
      </c>
      <c r="BW461" s="5" t="n">
        <v>0.1</v>
      </c>
      <c r="BX461" s="5" t="n">
        <v>0.833</v>
      </c>
      <c r="BY461" s="5" t="n">
        <v>13.646</v>
      </c>
      <c r="BZ461" s="5" t="n">
        <v>0</v>
      </c>
      <c r="CA461" s="5" t="n">
        <v>13.646</v>
      </c>
      <c r="CB461" s="5" t="n">
        <v>0</v>
      </c>
      <c r="CC461" s="5" t="n">
        <v>82.58799999999999</v>
      </c>
      <c r="CD461" s="5" t="n">
        <v>7.95</v>
      </c>
      <c r="CE461" s="5" t="n">
        <v>1.125</v>
      </c>
      <c r="CF461" s="5" t="n">
        <v>90.84699999999999</v>
      </c>
      <c r="CG461" s="5" t="n">
        <v>0.1</v>
      </c>
      <c r="CH461" s="5" t="n">
        <v>1</v>
      </c>
      <c r="CI461" s="5" t="n">
        <v>0</v>
      </c>
      <c r="CJ461" s="5" t="n">
        <v>0</v>
      </c>
      <c r="CK461" s="5" t="n">
        <v>0</v>
      </c>
      <c r="CL461" s="5" t="n">
        <v>0</v>
      </c>
      <c r="CM461" s="5" t="n">
        <v>0</v>
      </c>
      <c r="CN461" s="5" t="n">
        <v>0</v>
      </c>
      <c r="CO461" s="5" t="n">
        <v>0</v>
      </c>
      <c r="CP461" s="5" t="n">
        <v>0</v>
      </c>
      <c r="CQ461" s="5" t="n">
        <v>1.387</v>
      </c>
      <c r="CR461" s="5" t="n">
        <v>0</v>
      </c>
      <c r="CS461" s="5" t="n">
        <v>5.529</v>
      </c>
      <c r="CT461" s="5" t="n">
        <v>4.251</v>
      </c>
      <c r="CU461" s="5" t="n">
        <v>10.168</v>
      </c>
    </row>
    <row r="462">
      <c r="A462" s="5" t="inlineStr">
        <is>
          <t>LBY2021</t>
        </is>
      </c>
      <c r="B462" s="5" t="inlineStr">
        <is>
          <t>LBY</t>
        </is>
      </c>
      <c r="C462" s="5" t="inlineStr">
        <is>
          <t>LBY</t>
        </is>
      </c>
      <c r="D462" s="5" t="inlineStr">
        <is>
          <t>Libya</t>
        </is>
      </c>
      <c r="E462" s="5" t="n">
        <v>2021</v>
      </c>
      <c r="F462" s="5" t="n">
        <v>0</v>
      </c>
      <c r="G462" s="5" t="n">
        <v>5.897</v>
      </c>
      <c r="H462" s="5" t="n">
        <v>1.143</v>
      </c>
      <c r="I462" s="5" t="n">
        <v>0.233</v>
      </c>
      <c r="J462" s="5" t="n">
        <v>6.13</v>
      </c>
      <c r="K462" s="5" t="n">
        <v>0</v>
      </c>
      <c r="L462" s="5" t="n">
        <v>1</v>
      </c>
      <c r="M462" s="5" t="n">
        <v>7.964</v>
      </c>
      <c r="N462" s="5" t="n">
        <v>3.43</v>
      </c>
      <c r="O462" s="5" t="n">
        <v>0.252</v>
      </c>
      <c r="P462" s="5" t="n">
        <v>8.217000000000001</v>
      </c>
      <c r="Q462" s="5" t="n">
        <v>0</v>
      </c>
      <c r="R462" s="5" t="n">
        <v>1</v>
      </c>
      <c r="S462" s="5" t="n">
        <v>11.613</v>
      </c>
      <c r="T462" s="5" t="n">
        <v>6.86</v>
      </c>
      <c r="U462" s="5" t="n">
        <v>0.233</v>
      </c>
      <c r="V462" s="5" t="n">
        <v>11.846</v>
      </c>
      <c r="W462" s="5" t="n">
        <v>0</v>
      </c>
      <c r="X462" s="5" t="n">
        <v>1</v>
      </c>
      <c r="Y462" s="5" t="n">
        <v>7.447</v>
      </c>
      <c r="Z462" s="5" t="n">
        <v>0.8169999999999999</v>
      </c>
      <c r="AA462" s="5" t="n">
        <v>-6.685</v>
      </c>
      <c r="AB462" s="5" t="n">
        <v>0.761</v>
      </c>
      <c r="AC462" s="5" t="n">
        <v>0</v>
      </c>
      <c r="AD462" s="5" t="n">
        <v>0</v>
      </c>
      <c r="AE462" s="5" t="n">
        <v>8.018000000000001</v>
      </c>
      <c r="AF462" s="5" t="n">
        <v>1.559</v>
      </c>
      <c r="AG462" s="5" t="n">
        <v>-7.799</v>
      </c>
      <c r="AH462" s="5" t="n">
        <v>0.219</v>
      </c>
      <c r="AI462" s="5" t="n">
        <v>0</v>
      </c>
      <c r="AJ462" s="5" t="n">
        <v>0</v>
      </c>
      <c r="AK462" s="5" t="n">
        <v>11.448</v>
      </c>
      <c r="AL462" s="5" t="n">
        <v>5.4</v>
      </c>
      <c r="AM462" s="5" t="n">
        <v>-0.656</v>
      </c>
      <c r="AN462" s="5" t="n">
        <v>10.792</v>
      </c>
      <c r="AO462" s="5" t="n">
        <v>0</v>
      </c>
      <c r="AP462" s="5" t="n">
        <v>1</v>
      </c>
      <c r="AQ462" s="5" t="n">
        <v>0.621</v>
      </c>
      <c r="AR462" s="5" t="n">
        <v>0.114</v>
      </c>
      <c r="AS462" s="5" t="n">
        <v>-0.587</v>
      </c>
      <c r="AT462" s="5" t="n">
        <v>0.033</v>
      </c>
      <c r="AU462" s="5" t="n">
        <v>0</v>
      </c>
      <c r="AV462" s="5" t="n">
        <v>0</v>
      </c>
      <c r="AW462" s="5" t="n">
        <v>0.593</v>
      </c>
      <c r="AX462" s="5" t="n">
        <v>0.114</v>
      </c>
      <c r="AY462" s="5" t="n">
        <v>-0.5600000000000001</v>
      </c>
      <c r="AZ462" s="5" t="n">
        <v>0.033</v>
      </c>
      <c r="BA462" s="5" t="n">
        <v>0</v>
      </c>
      <c r="BB462" s="5" t="n">
        <v>0</v>
      </c>
      <c r="BC462" s="5" t="n">
        <v>0.44</v>
      </c>
      <c r="BD462" s="5" t="n">
        <v>0.114</v>
      </c>
      <c r="BE462" s="5" t="n">
        <v>-0.43</v>
      </c>
      <c r="BF462" s="5" t="n">
        <v>0.01</v>
      </c>
      <c r="BG462" s="5" t="n">
        <v>0</v>
      </c>
      <c r="BH462" s="5" t="n">
        <v>0</v>
      </c>
      <c r="BI462" s="5" t="n">
        <v>0.5600000000000001</v>
      </c>
      <c r="BJ462" s="5" t="n">
        <v>0.114</v>
      </c>
      <c r="BK462" s="5" t="n">
        <v>-0.54</v>
      </c>
      <c r="BL462" s="5" t="n">
        <v>0.02</v>
      </c>
      <c r="BM462" s="5" t="n">
        <v>0</v>
      </c>
      <c r="BN462" s="5" t="n">
        <v>0</v>
      </c>
      <c r="BO462" s="5" t="n">
        <v>0</v>
      </c>
      <c r="BP462" s="5" t="n">
        <v>-0.028</v>
      </c>
      <c r="BQ462" s="5" t="n">
        <v>0</v>
      </c>
      <c r="BR462" s="5" t="n">
        <v>0</v>
      </c>
      <c r="BS462" s="5" t="n">
        <v>1</v>
      </c>
      <c r="BT462" s="5" t="n">
        <v>0</v>
      </c>
      <c r="BU462" s="5" t="n">
        <v>-0.028</v>
      </c>
      <c r="BV462" s="5" t="n">
        <v>0.006</v>
      </c>
      <c r="BW462" s="5" t="n">
        <v>0</v>
      </c>
      <c r="BX462" s="5" t="n">
        <v>1</v>
      </c>
      <c r="BY462" s="5" t="n">
        <v>11.787</v>
      </c>
      <c r="BZ462" s="5" t="n">
        <v>0</v>
      </c>
      <c r="CA462" s="5" t="n">
        <v>11.787</v>
      </c>
      <c r="CB462" s="5" t="n">
        <v>0</v>
      </c>
      <c r="CC462" s="5" t="n">
        <v>81.69499999999999</v>
      </c>
      <c r="CD462" s="5" t="n">
        <v>7.95</v>
      </c>
      <c r="CE462" s="5" t="n">
        <v>-80.105</v>
      </c>
      <c r="CF462" s="5" t="n">
        <v>1.59</v>
      </c>
      <c r="CG462" s="5" t="n">
        <v>0</v>
      </c>
      <c r="CH462" s="5" t="n">
        <v>0</v>
      </c>
      <c r="CI462" s="5" t="n">
        <v>0</v>
      </c>
      <c r="CJ462" s="5" t="n">
        <v>0</v>
      </c>
      <c r="CK462" s="5" t="n">
        <v>0</v>
      </c>
      <c r="CL462" s="5" t="n">
        <v>0</v>
      </c>
      <c r="CM462" s="5" t="n">
        <v>0</v>
      </c>
      <c r="CN462" s="5" t="n">
        <v>0</v>
      </c>
      <c r="CO462" s="5" t="n">
        <v>0</v>
      </c>
      <c r="CP462" s="5" t="n">
        <v>0</v>
      </c>
      <c r="CQ462" s="5" t="n">
        <v>1.198</v>
      </c>
      <c r="CR462" s="5" t="n">
        <v>1</v>
      </c>
      <c r="CS462" s="5" t="n">
        <v>6.875</v>
      </c>
      <c r="CT462" s="5" t="n">
        <v>4.753</v>
      </c>
      <c r="CU462" s="5" t="n">
        <v>14.129</v>
      </c>
    </row>
    <row r="463">
      <c r="A463" s="5" t="inlineStr">
        <is>
          <t>LBY2022</t>
        </is>
      </c>
      <c r="B463" s="5" t="inlineStr">
        <is>
          <t>LBY</t>
        </is>
      </c>
      <c r="C463" s="5" t="inlineStr">
        <is>
          <t>LBY</t>
        </is>
      </c>
      <c r="D463" s="5" t="inlineStr">
        <is>
          <t>Libya</t>
        </is>
      </c>
      <c r="E463" s="5" t="n">
        <v>2022</v>
      </c>
      <c r="F463" s="5" t="n">
        <v>0</v>
      </c>
      <c r="G463" s="5" t="n">
        <v>11.72</v>
      </c>
      <c r="H463" s="5" t="n">
        <v>1.235</v>
      </c>
      <c r="I463" s="5" t="n">
        <v>0.555</v>
      </c>
      <c r="J463" s="5" t="n">
        <v>12.275</v>
      </c>
      <c r="K463" s="5" t="n">
        <v>0</v>
      </c>
      <c r="L463" s="5" t="n">
        <v>1</v>
      </c>
      <c r="M463" s="5" t="n">
        <v>9.782999999999999</v>
      </c>
      <c r="N463" s="5" t="n">
        <v>3.704</v>
      </c>
      <c r="O463" s="5" t="n">
        <v>0.365</v>
      </c>
      <c r="P463" s="5" t="n">
        <v>10.148</v>
      </c>
      <c r="Q463" s="5" t="n">
        <v>0</v>
      </c>
      <c r="R463" s="5" t="n">
        <v>1</v>
      </c>
      <c r="S463" s="5" t="n">
        <v>17.893</v>
      </c>
      <c r="T463" s="5" t="n">
        <v>7.408</v>
      </c>
      <c r="U463" s="5" t="n">
        <v>0.555</v>
      </c>
      <c r="V463" s="5" t="n">
        <v>18.448</v>
      </c>
      <c r="W463" s="5" t="n">
        <v>0</v>
      </c>
      <c r="X463" s="5" t="n">
        <v>1</v>
      </c>
      <c r="Y463" s="5" t="n">
        <v>8.042</v>
      </c>
      <c r="Z463" s="5" t="n">
        <v>0.882</v>
      </c>
      <c r="AA463" s="5" t="n">
        <v>-7.22</v>
      </c>
      <c r="AB463" s="5" t="n">
        <v>0.822</v>
      </c>
      <c r="AC463" s="5" t="n">
        <v>0</v>
      </c>
      <c r="AD463" s="5" t="n">
        <v>0</v>
      </c>
      <c r="AE463" s="5" t="n">
        <v>8.659000000000001</v>
      </c>
      <c r="AF463" s="5" t="n">
        <v>1.684</v>
      </c>
      <c r="AG463" s="5" t="n">
        <v>-8.422000000000001</v>
      </c>
      <c r="AH463" s="5" t="n">
        <v>0.237</v>
      </c>
      <c r="AI463" s="5" t="n">
        <v>0</v>
      </c>
      <c r="AJ463" s="5" t="n">
        <v>0</v>
      </c>
      <c r="AK463" s="5" t="n">
        <v>12.363</v>
      </c>
      <c r="AL463" s="5" t="n">
        <v>5.832</v>
      </c>
      <c r="AM463" s="5" t="n">
        <v>-1.667</v>
      </c>
      <c r="AN463" s="5" t="n">
        <v>10.696</v>
      </c>
      <c r="AO463" s="5" t="n">
        <v>0</v>
      </c>
      <c r="AP463" s="5" t="n">
        <v>1</v>
      </c>
      <c r="AQ463" s="5" t="n">
        <v>0.847</v>
      </c>
      <c r="AR463" s="5" t="n">
        <v>0.123</v>
      </c>
      <c r="AS463" s="5" t="n">
        <v>-0.8149999999999999</v>
      </c>
      <c r="AT463" s="5" t="n">
        <v>0.031</v>
      </c>
      <c r="AU463" s="5" t="n">
        <v>0</v>
      </c>
      <c r="AV463" s="5" t="n">
        <v>0</v>
      </c>
      <c r="AW463" s="5" t="n">
        <v>0.947</v>
      </c>
      <c r="AX463" s="5" t="n">
        <v>0.123</v>
      </c>
      <c r="AY463" s="5" t="n">
        <v>-0.916</v>
      </c>
      <c r="AZ463" s="5" t="n">
        <v>0.031</v>
      </c>
      <c r="BA463" s="5" t="n">
        <v>0</v>
      </c>
      <c r="BB463" s="5" t="n">
        <v>0</v>
      </c>
      <c r="BC463" s="5" t="n">
        <v>0.589</v>
      </c>
      <c r="BD463" s="5" t="n">
        <v>0.123</v>
      </c>
      <c r="BE463" s="5" t="n">
        <v>-0.579</v>
      </c>
      <c r="BF463" s="5" t="n">
        <v>0.01</v>
      </c>
      <c r="BG463" s="5" t="n">
        <v>0</v>
      </c>
      <c r="BH463" s="5" t="n">
        <v>0</v>
      </c>
      <c r="BI463" s="5" t="n">
        <v>0.6889999999999999</v>
      </c>
      <c r="BJ463" s="5" t="n">
        <v>0.123</v>
      </c>
      <c r="BK463" s="5" t="n">
        <v>-0.67</v>
      </c>
      <c r="BL463" s="5" t="n">
        <v>0.019</v>
      </c>
      <c r="BM463" s="5" t="n">
        <v>0</v>
      </c>
      <c r="BN463" s="5" t="n">
        <v>0</v>
      </c>
      <c r="BO463" s="5" t="n">
        <v>0</v>
      </c>
      <c r="BP463" s="5" t="n">
        <v>-0.104</v>
      </c>
      <c r="BQ463" s="5" t="n">
        <v>0</v>
      </c>
      <c r="BR463" s="5" t="n">
        <v>0</v>
      </c>
      <c r="BS463" s="5" t="n">
        <v>1</v>
      </c>
      <c r="BT463" s="5" t="n">
        <v>0</v>
      </c>
      <c r="BU463" s="5" t="n">
        <v>-0.104</v>
      </c>
      <c r="BV463" s="5" t="n">
        <v>0.005</v>
      </c>
      <c r="BW463" s="5" t="n">
        <v>0</v>
      </c>
      <c r="BX463" s="5" t="n">
        <v>1</v>
      </c>
      <c r="BY463" s="5" t="n">
        <v>12.729</v>
      </c>
      <c r="BZ463" s="5" t="n">
        <v>0</v>
      </c>
      <c r="CA463" s="5" t="n">
        <v>12.729</v>
      </c>
      <c r="CB463" s="5" t="n">
        <v>0</v>
      </c>
      <c r="CC463" s="5" t="n">
        <v>102.477</v>
      </c>
      <c r="CD463" s="5" t="n">
        <v>7.95</v>
      </c>
      <c r="CE463" s="5" t="n">
        <v>-100.887</v>
      </c>
      <c r="CF463" s="5" t="n">
        <v>1.59</v>
      </c>
      <c r="CG463" s="5" t="n">
        <v>0</v>
      </c>
      <c r="CH463" s="5" t="n">
        <v>0</v>
      </c>
      <c r="CI463" s="5" t="n">
        <v>0</v>
      </c>
      <c r="CJ463" s="5" t="n">
        <v>0</v>
      </c>
      <c r="CK463" s="5" t="n">
        <v>0</v>
      </c>
      <c r="CL463" s="5" t="n">
        <v>0</v>
      </c>
      <c r="CM463" s="5" t="n">
        <v>0</v>
      </c>
      <c r="CN463" s="5" t="n">
        <v>0</v>
      </c>
      <c r="CO463" s="5" t="n">
        <v>0</v>
      </c>
      <c r="CP463" s="5" t="n">
        <v>0</v>
      </c>
      <c r="CQ463" s="5" t="n">
        <v>1.294</v>
      </c>
      <c r="CR463" s="5" t="n">
        <v>1</v>
      </c>
      <c r="CS463" s="5" t="n">
        <v>7.424</v>
      </c>
      <c r="CT463" s="5" t="n">
        <v>10.485</v>
      </c>
      <c r="CU463" s="5" t="n">
        <v>28.059</v>
      </c>
    </row>
    <row r="464">
      <c r="A464" s="5" t="inlineStr">
        <is>
          <t>LBY2023</t>
        </is>
      </c>
      <c r="B464" s="5" t="inlineStr">
        <is>
          <t>LBY</t>
        </is>
      </c>
      <c r="C464" s="5" t="inlineStr">
        <is>
          <t>LBY</t>
        </is>
      </c>
      <c r="D464" s="5" t="inlineStr">
        <is>
          <t>Libya</t>
        </is>
      </c>
      <c r="E464" s="5" t="n">
        <v>2023</v>
      </c>
      <c r="F464" s="5" t="n">
        <v>0</v>
      </c>
      <c r="G464" s="5" t="n">
        <v>6.147</v>
      </c>
      <c r="H464" s="5" t="n">
        <v>1.286</v>
      </c>
      <c r="I464" s="5" t="n">
        <v>0.268</v>
      </c>
      <c r="J464" s="5" t="n">
        <v>6.415</v>
      </c>
      <c r="K464" s="5" t="n">
        <v>0</v>
      </c>
      <c r="L464" s="5" t="n">
        <v>1</v>
      </c>
      <c r="M464" s="5" t="n">
        <v>7.886</v>
      </c>
      <c r="N464" s="5" t="n">
        <v>3.857</v>
      </c>
      <c r="O464" s="5" t="n">
        <v>0.252</v>
      </c>
      <c r="P464" s="5" t="n">
        <v>8.138</v>
      </c>
      <c r="Q464" s="5" t="n">
        <v>0</v>
      </c>
      <c r="R464" s="5" t="n">
        <v>1</v>
      </c>
      <c r="S464" s="5" t="n">
        <v>12.575</v>
      </c>
      <c r="T464" s="5" t="n">
        <v>7.714</v>
      </c>
      <c r="U464" s="5" t="n">
        <v>0.268</v>
      </c>
      <c r="V464" s="5" t="n">
        <v>12.843</v>
      </c>
      <c r="W464" s="5" t="n">
        <v>0</v>
      </c>
      <c r="X464" s="5" t="n">
        <v>1</v>
      </c>
      <c r="Y464" s="5" t="n">
        <v>8.374000000000001</v>
      </c>
      <c r="Z464" s="5" t="n">
        <v>0.919</v>
      </c>
      <c r="AA464" s="5" t="n">
        <v>-7.527</v>
      </c>
      <c r="AB464" s="5" t="n">
        <v>0.846</v>
      </c>
      <c r="AC464" s="5" t="n">
        <v>0</v>
      </c>
      <c r="AD464" s="5" t="n">
        <v>0</v>
      </c>
      <c r="AE464" s="5" t="n">
        <v>9.016</v>
      </c>
      <c r="AF464" s="5" t="n">
        <v>1.753</v>
      </c>
      <c r="AG464" s="5" t="n">
        <v>-8.779999999999999</v>
      </c>
      <c r="AH464" s="5" t="n">
        <v>0.237</v>
      </c>
      <c r="AI464" s="5" t="n">
        <v>0</v>
      </c>
      <c r="AJ464" s="5" t="n">
        <v>0</v>
      </c>
      <c r="AK464" s="5" t="n">
        <v>12.873</v>
      </c>
      <c r="AL464" s="5" t="n">
        <v>6.073</v>
      </c>
      <c r="AM464" s="5" t="n">
        <v>-0.76</v>
      </c>
      <c r="AN464" s="5" t="n">
        <v>12.114</v>
      </c>
      <c r="AO464" s="5" t="n">
        <v>0</v>
      </c>
      <c r="AP464" s="5" t="n">
        <v>1</v>
      </c>
      <c r="AQ464" s="5" t="n">
        <v>0.749</v>
      </c>
      <c r="AR464" s="5" t="n">
        <v>0.129</v>
      </c>
      <c r="AS464" s="5" t="n">
        <v>-0.718</v>
      </c>
      <c r="AT464" s="5" t="n">
        <v>0.031</v>
      </c>
      <c r="AU464" s="5" t="n">
        <v>0</v>
      </c>
      <c r="AV464" s="5" t="n">
        <v>0</v>
      </c>
      <c r="AW464" s="5" t="n">
        <v>0.783</v>
      </c>
      <c r="AX464" s="5" t="n">
        <v>0.129</v>
      </c>
      <c r="AY464" s="5" t="n">
        <v>-0.751</v>
      </c>
      <c r="AZ464" s="5" t="n">
        <v>0.031</v>
      </c>
      <c r="BA464" s="5" t="n">
        <v>0</v>
      </c>
      <c r="BB464" s="5" t="n">
        <v>0</v>
      </c>
      <c r="BC464" s="5" t="n">
        <v>0.527</v>
      </c>
      <c r="BD464" s="5" t="n">
        <v>0.129</v>
      </c>
      <c r="BE464" s="5" t="n">
        <v>-0.513</v>
      </c>
      <c r="BF464" s="5" t="n">
        <v>0.014</v>
      </c>
      <c r="BG464" s="5" t="n">
        <v>0</v>
      </c>
      <c r="BH464" s="5" t="n">
        <v>0</v>
      </c>
      <c r="BI464" s="5" t="n">
        <v>0.64</v>
      </c>
      <c r="BJ464" s="5" t="n">
        <v>0.129</v>
      </c>
      <c r="BK464" s="5" t="n">
        <v>-0.621</v>
      </c>
      <c r="BL464" s="5" t="n">
        <v>0.019</v>
      </c>
      <c r="BM464" s="5" t="n">
        <v>0</v>
      </c>
      <c r="BN464" s="5" t="n">
        <v>0</v>
      </c>
      <c r="BO464" s="5" t="n">
        <v>0</v>
      </c>
      <c r="BP464" s="5" t="n">
        <v>-0.061</v>
      </c>
      <c r="BQ464" s="5" t="n">
        <v>0</v>
      </c>
      <c r="BR464" s="5" t="n">
        <v>0</v>
      </c>
      <c r="BS464" s="5" t="n">
        <v>1</v>
      </c>
      <c r="BT464" s="5" t="n">
        <v>0</v>
      </c>
      <c r="BU464" s="5" t="n">
        <v>-0.061</v>
      </c>
      <c r="BV464" s="5" t="n">
        <v>0.005</v>
      </c>
      <c r="BW464" s="5" t="n">
        <v>0</v>
      </c>
      <c r="BX464" s="5" t="n">
        <v>1</v>
      </c>
      <c r="BY464" s="5" t="n">
        <v>13.254</v>
      </c>
      <c r="BZ464" s="5" t="n">
        <v>0</v>
      </c>
      <c r="CA464" s="5" t="n">
        <v>13.254</v>
      </c>
      <c r="CB464" s="5" t="n">
        <v>0</v>
      </c>
      <c r="CC464" s="5" t="n">
        <v>87.07899999999999</v>
      </c>
      <c r="CD464" s="5" t="n">
        <v>7.95</v>
      </c>
      <c r="CE464" s="5" t="n">
        <v>-85.489</v>
      </c>
      <c r="CF464" s="5" t="n">
        <v>1.59</v>
      </c>
      <c r="CG464" s="5" t="n">
        <v>0</v>
      </c>
      <c r="CH464" s="5" t="n">
        <v>0</v>
      </c>
      <c r="CI464" s="5" t="n">
        <v>0</v>
      </c>
      <c r="CJ464" s="5" t="n">
        <v>0</v>
      </c>
      <c r="CK464" s="5" t="n">
        <v>0</v>
      </c>
      <c r="CL464" s="5" t="n">
        <v>0</v>
      </c>
      <c r="CM464" s="5" t="n">
        <v>0</v>
      </c>
      <c r="CN464" s="5" t="n">
        <v>0</v>
      </c>
      <c r="CO464" s="5" t="n">
        <v>0</v>
      </c>
      <c r="CP464" s="5" t="n">
        <v>0</v>
      </c>
      <c r="CQ464" s="5" t="n">
        <v>1.348</v>
      </c>
      <c r="CR464" s="5" t="n">
        <v>1</v>
      </c>
      <c r="CS464" s="5" t="n">
        <v>7.731</v>
      </c>
      <c r="CT464" s="5" t="n">
        <v>4.861</v>
      </c>
      <c r="CU464" s="5" t="n">
        <v>9.260999999999999</v>
      </c>
    </row>
    <row r="465">
      <c r="A465" s="5" t="inlineStr">
        <is>
          <t>LBY2024</t>
        </is>
      </c>
      <c r="B465" s="5" t="inlineStr">
        <is>
          <t>LBY</t>
        </is>
      </c>
      <c r="C465" s="5" t="inlineStr">
        <is>
          <t>LBY</t>
        </is>
      </c>
      <c r="D465" s="5" t="inlineStr">
        <is>
          <t>Libya</t>
        </is>
      </c>
      <c r="E465" s="5" t="n">
        <v>2024</v>
      </c>
      <c r="F465" s="5" t="n">
        <v>0</v>
      </c>
      <c r="G465" s="5" t="n">
        <v>5.575</v>
      </c>
      <c r="H465" s="5" t="n">
        <v>1.324</v>
      </c>
      <c r="I465" s="5" t="n">
        <v>0.208</v>
      </c>
      <c r="J465" s="5" t="n">
        <v>5.783</v>
      </c>
      <c r="K465" s="5" t="n">
        <v>0</v>
      </c>
      <c r="L465" s="5" t="n">
        <v>1</v>
      </c>
      <c r="M465" s="5" t="n">
        <v>7.124</v>
      </c>
      <c r="N465" s="5" t="n">
        <v>3.971</v>
      </c>
      <c r="O465" s="5" t="n">
        <v>0.176</v>
      </c>
      <c r="P465" s="5" t="n">
        <v>7.299</v>
      </c>
      <c r="Q465" s="5" t="n">
        <v>0</v>
      </c>
      <c r="R465" s="5" t="n">
        <v>1</v>
      </c>
      <c r="S465" s="5" t="n">
        <v>12.193</v>
      </c>
      <c r="T465" s="5" t="n">
        <v>7.942</v>
      </c>
      <c r="U465" s="5" t="n">
        <v>0.208</v>
      </c>
      <c r="V465" s="5" t="n">
        <v>12.401</v>
      </c>
      <c r="W465" s="5" t="n">
        <v>0</v>
      </c>
      <c r="X465" s="5" t="n">
        <v>1</v>
      </c>
      <c r="Y465" s="5" t="n">
        <v>8.26</v>
      </c>
      <c r="Z465" s="5" t="n">
        <v>0.906</v>
      </c>
      <c r="AA465" s="5" t="n">
        <v>-7.389</v>
      </c>
      <c r="AB465" s="5" t="n">
        <v>0.871</v>
      </c>
      <c r="AC465" s="5" t="n">
        <v>0</v>
      </c>
      <c r="AD465" s="5" t="n">
        <v>0</v>
      </c>
      <c r="AE465" s="5" t="n">
        <v>8.922000000000001</v>
      </c>
      <c r="AF465" s="5" t="n">
        <v>1.735</v>
      </c>
      <c r="AG465" s="5" t="n">
        <v>-8.678000000000001</v>
      </c>
      <c r="AH465" s="5" t="n">
        <v>0.244</v>
      </c>
      <c r="AI465" s="5" t="n">
        <v>0</v>
      </c>
      <c r="AJ465" s="5" t="n">
        <v>0</v>
      </c>
      <c r="AK465" s="5" t="n">
        <v>12.892</v>
      </c>
      <c r="AL465" s="5" t="n">
        <v>6.082</v>
      </c>
      <c r="AM465" s="5" t="n">
        <v>-0.696</v>
      </c>
      <c r="AN465" s="5" t="n">
        <v>12.197</v>
      </c>
      <c r="AO465" s="5" t="n">
        <v>0</v>
      </c>
      <c r="AP465" s="5" t="n">
        <v>1</v>
      </c>
      <c r="AQ465" s="5" t="n">
        <v>0.72</v>
      </c>
      <c r="AR465" s="5" t="n">
        <v>0.132</v>
      </c>
      <c r="AS465" s="5" t="n">
        <v>-0.6879999999999999</v>
      </c>
      <c r="AT465" s="5" t="n">
        <v>0.032</v>
      </c>
      <c r="AU465" s="5" t="n">
        <v>0</v>
      </c>
      <c r="AV465" s="5" t="n">
        <v>0</v>
      </c>
      <c r="AW465" s="5" t="n">
        <v>0.734</v>
      </c>
      <c r="AX465" s="5" t="n">
        <v>0.132</v>
      </c>
      <c r="AY465" s="5" t="n">
        <v>-0.702</v>
      </c>
      <c r="AZ465" s="5" t="n">
        <v>0.032</v>
      </c>
      <c r="BA465" s="5" t="n">
        <v>0</v>
      </c>
      <c r="BB465" s="5" t="n">
        <v>0</v>
      </c>
      <c r="BC465" s="5" t="n">
        <v>0.51</v>
      </c>
      <c r="BD465" s="5" t="n">
        <v>0.132</v>
      </c>
      <c r="BE465" s="5" t="n">
        <v>-0.496</v>
      </c>
      <c r="BF465" s="5" t="n">
        <v>0.014</v>
      </c>
      <c r="BG465" s="5" t="n">
        <v>0</v>
      </c>
      <c r="BH465" s="5" t="n">
        <v>0</v>
      </c>
      <c r="BI465" s="5" t="n">
        <v>0.652</v>
      </c>
      <c r="BJ465" s="5" t="n">
        <v>0.132</v>
      </c>
      <c r="BK465" s="5" t="n">
        <v>-0.633</v>
      </c>
      <c r="BL465" s="5" t="n">
        <v>0.019</v>
      </c>
      <c r="BM465" s="5" t="n">
        <v>0</v>
      </c>
      <c r="BN465" s="5" t="n">
        <v>0</v>
      </c>
      <c r="BO465" s="5" t="n">
        <v>0</v>
      </c>
      <c r="BP465" s="5" t="n">
        <v>-0.063</v>
      </c>
      <c r="BQ465" s="5" t="n">
        <v>0</v>
      </c>
      <c r="BR465" s="5" t="n">
        <v>0</v>
      </c>
      <c r="BS465" s="5" t="n">
        <v>1</v>
      </c>
      <c r="BT465" s="5" t="n">
        <v>0</v>
      </c>
      <c r="BU465" s="5" t="n">
        <v>-0.063</v>
      </c>
      <c r="BV465" s="5" t="n">
        <v>0.005</v>
      </c>
      <c r="BW465" s="5" t="n">
        <v>0</v>
      </c>
      <c r="BX465" s="5" t="n">
        <v>1</v>
      </c>
      <c r="BY465" s="5" t="n">
        <v>13.646</v>
      </c>
      <c r="BZ465" s="5" t="n">
        <v>0</v>
      </c>
      <c r="CA465" s="5" t="n">
        <v>13.646</v>
      </c>
      <c r="CB465" s="5" t="n">
        <v>0</v>
      </c>
      <c r="CC465" s="5" t="n">
        <v>86.38500000000001</v>
      </c>
      <c r="CD465" s="5" t="n">
        <v>7.95</v>
      </c>
      <c r="CE465" s="5" t="n">
        <v>-84.795</v>
      </c>
      <c r="CF465" s="5" t="n">
        <v>1.59</v>
      </c>
      <c r="CG465" s="5" t="n">
        <v>0</v>
      </c>
      <c r="CH465" s="5" t="n">
        <v>0</v>
      </c>
      <c r="CI465" s="5" t="n">
        <v>0</v>
      </c>
      <c r="CJ465" s="5" t="n">
        <v>0</v>
      </c>
      <c r="CK465" s="5" t="n">
        <v>0</v>
      </c>
      <c r="CL465" s="5" t="n">
        <v>0</v>
      </c>
      <c r="CM465" s="5" t="n">
        <v>0</v>
      </c>
      <c r="CN465" s="5" t="n">
        <v>0</v>
      </c>
      <c r="CO465" s="5" t="n">
        <v>0</v>
      </c>
      <c r="CP465" s="5" t="n">
        <v>0</v>
      </c>
      <c r="CQ465" s="5" t="n">
        <v>1.387</v>
      </c>
      <c r="CR465" s="5" t="n">
        <v>1</v>
      </c>
      <c r="CS465" s="5" t="n">
        <v>7.598</v>
      </c>
      <c r="CT465" s="5" t="n">
        <v>4.251</v>
      </c>
      <c r="CU465" s="5" t="n">
        <v>7.598</v>
      </c>
    </row>
    <row r="466">
      <c r="A466" s="5" t="inlineStr">
        <is>
          <t>LIE2021</t>
        </is>
      </c>
      <c r="B466" s="5" t="inlineStr">
        <is>
          <t>LIE</t>
        </is>
      </c>
      <c r="C466" s="5" t="inlineStr">
        <is>
          <t>LIE</t>
        </is>
      </c>
      <c r="D466" s="5" t="inlineStr">
        <is>
          <t>Liechtenstein</t>
        </is>
      </c>
      <c r="E466" s="5" t="n">
        <v>2021</v>
      </c>
      <c r="F466" s="5" t="n">
        <v>0.077</v>
      </c>
      <c r="G466" s="5" t="n">
        <v>5.553</v>
      </c>
      <c r="H466" s="5" t="n">
        <v>1.143</v>
      </c>
      <c r="I466" s="5" t="n">
        <v>3.278</v>
      </c>
      <c r="J466" s="5" t="n">
        <v>8.831</v>
      </c>
      <c r="K466" s="5" t="n">
        <v>0</v>
      </c>
      <c r="L466" s="5" t="n">
        <v>1</v>
      </c>
      <c r="M466" s="5" t="n">
        <v>7.964</v>
      </c>
      <c r="N466" s="5" t="n">
        <v>3.43</v>
      </c>
      <c r="O466" s="5" t="n">
        <v>3.269</v>
      </c>
      <c r="P466" s="5" t="n">
        <v>11.234</v>
      </c>
      <c r="Q466" s="5" t="n">
        <v>0</v>
      </c>
      <c r="R466" s="5" t="n">
        <v>1</v>
      </c>
      <c r="S466" s="5" t="n">
        <v>11.27</v>
      </c>
      <c r="T466" s="5" t="n">
        <v>6.86</v>
      </c>
      <c r="U466" s="5" t="n">
        <v>2.24</v>
      </c>
      <c r="V466" s="5" t="n">
        <v>14.55</v>
      </c>
      <c r="W466" s="5" t="n">
        <v>0.077</v>
      </c>
      <c r="X466" s="5" t="n">
        <v>1</v>
      </c>
      <c r="Y466" s="5" t="n">
        <v>27.896</v>
      </c>
      <c r="Z466" s="5" t="n">
        <v>3.081</v>
      </c>
      <c r="AA466" s="5" t="n">
        <v>-10.453</v>
      </c>
      <c r="AB466" s="5" t="n">
        <v>17.443</v>
      </c>
      <c r="AC466" s="5" t="n">
        <v>0</v>
      </c>
      <c r="AD466" s="5" t="n">
        <v>1</v>
      </c>
      <c r="AE466" s="5" t="n">
        <v>27.853</v>
      </c>
      <c r="AF466" s="5" t="n">
        <v>5.481</v>
      </c>
      <c r="AG466" s="5" t="n">
        <v>-10.41</v>
      </c>
      <c r="AH466" s="5" t="n">
        <v>17.443</v>
      </c>
      <c r="AI466" s="5" t="n">
        <v>0</v>
      </c>
      <c r="AJ466" s="5" t="n">
        <v>1</v>
      </c>
      <c r="AK466" s="5" t="n">
        <v>37.014</v>
      </c>
      <c r="AL466" s="5" t="n">
        <v>18.167</v>
      </c>
      <c r="AM466" s="5" t="n">
        <v>-15.073</v>
      </c>
      <c r="AN466" s="5" t="n">
        <v>23.631</v>
      </c>
      <c r="AO466" s="5" t="n">
        <v>0.077</v>
      </c>
      <c r="AP466" s="5" t="n">
        <v>1</v>
      </c>
      <c r="AQ466" s="5" t="n">
        <v>0.619</v>
      </c>
      <c r="AR466" s="5" t="n">
        <v>0.114</v>
      </c>
      <c r="AS466" s="5" t="n">
        <v>0.073</v>
      </c>
      <c r="AT466" s="5" t="n">
        <v>0.745</v>
      </c>
      <c r="AU466" s="5" t="n">
        <v>0.077</v>
      </c>
      <c r="AV466" s="5" t="n">
        <v>1</v>
      </c>
      <c r="AW466" s="5" t="n">
        <v>0.599</v>
      </c>
      <c r="AX466" s="5" t="n">
        <v>0.114</v>
      </c>
      <c r="AY466" s="5" t="n">
        <v>0.074</v>
      </c>
      <c r="AZ466" s="5" t="n">
        <v>0.725</v>
      </c>
      <c r="BA466" s="5" t="n">
        <v>0.077</v>
      </c>
      <c r="BB466" s="5" t="n">
        <v>1</v>
      </c>
      <c r="BC466" s="5" t="n">
        <v>0.439</v>
      </c>
      <c r="BD466" s="5" t="n">
        <v>0.114</v>
      </c>
      <c r="BE466" s="5" t="n">
        <v>0.046</v>
      </c>
      <c r="BF466" s="5" t="n">
        <v>0.523</v>
      </c>
      <c r="BG466" s="5" t="n">
        <v>0.077</v>
      </c>
      <c r="BH466" s="5" t="n">
        <v>1</v>
      </c>
      <c r="BI466" s="5" t="n">
        <v>0.505</v>
      </c>
      <c r="BJ466" s="5" t="n">
        <v>0.114</v>
      </c>
      <c r="BK466" s="5" t="n">
        <v>0.067</v>
      </c>
      <c r="BL466" s="5" t="n">
        <v>0.616</v>
      </c>
      <c r="BM466" s="5" t="n">
        <v>0.077</v>
      </c>
      <c r="BN466" s="5" t="n">
        <v>1</v>
      </c>
      <c r="BO466" s="5" t="n">
        <v>0</v>
      </c>
      <c r="BP466" s="5" t="n">
        <v>0</v>
      </c>
      <c r="BQ466" s="5" t="n">
        <v>0</v>
      </c>
      <c r="BR466" s="5" t="n">
        <v>0</v>
      </c>
      <c r="BS466" s="5" t="n">
        <v>1</v>
      </c>
      <c r="BT466" s="5" t="n">
        <v>0</v>
      </c>
      <c r="BU466" s="5" t="n">
        <v>0.016</v>
      </c>
      <c r="BV466" s="5" t="n">
        <v>0.248</v>
      </c>
      <c r="BW466" s="5" t="n">
        <v>0.077</v>
      </c>
      <c r="BX466" s="5" t="n">
        <v>1</v>
      </c>
      <c r="BY466" s="5" t="n">
        <v>11.787</v>
      </c>
      <c r="BZ466" s="5" t="n">
        <v>0</v>
      </c>
      <c r="CA466" s="5" t="n">
        <v>11.787</v>
      </c>
      <c r="CB466" s="5" t="n">
        <v>0</v>
      </c>
      <c r="CC466" s="5" t="n">
        <v>78.125</v>
      </c>
      <c r="CD466" s="5" t="n">
        <v>7.95</v>
      </c>
      <c r="CE466" s="5" t="n">
        <v>42.747</v>
      </c>
      <c r="CF466" s="5" t="n">
        <v>130.179</v>
      </c>
      <c r="CG466" s="5" t="n">
        <v>0.077</v>
      </c>
      <c r="CH466" s="5" t="n">
        <v>1</v>
      </c>
      <c r="CI466" s="5" t="n">
        <v>0</v>
      </c>
      <c r="CJ466" s="5" t="n">
        <v>0</v>
      </c>
      <c r="CK466" s="5" t="n">
        <v>0</v>
      </c>
      <c r="CL466" s="5" t="n">
        <v>0</v>
      </c>
      <c r="CM466" s="5" t="n">
        <v>0</v>
      </c>
      <c r="CN466" s="5" t="n">
        <v>0</v>
      </c>
      <c r="CO466" s="5" t="n">
        <v>0</v>
      </c>
      <c r="CP466" s="5" t="n">
        <v>0</v>
      </c>
      <c r="CQ466" s="5" t="n">
        <v>1.198</v>
      </c>
      <c r="CR466" s="5" t="n">
        <v>0</v>
      </c>
      <c r="CS466" s="5" t="n">
        <v>4.776</v>
      </c>
      <c r="CT466" s="5" t="n">
        <v>4.41</v>
      </c>
      <c r="CU466" s="5" t="n">
        <v>15.162</v>
      </c>
    </row>
    <row r="467">
      <c r="A467" s="5" t="inlineStr">
        <is>
          <t>LIE2022</t>
        </is>
      </c>
      <c r="B467" s="5" t="inlineStr">
        <is>
          <t>LIE</t>
        </is>
      </c>
      <c r="C467" s="5" t="inlineStr">
        <is>
          <t>LIE</t>
        </is>
      </c>
      <c r="D467" s="5" t="inlineStr">
        <is>
          <t>Liechtenstein</t>
        </is>
      </c>
      <c r="E467" s="5" t="n">
        <v>2022</v>
      </c>
      <c r="F467" s="5" t="n">
        <v>0.077</v>
      </c>
      <c r="G467" s="5" t="n">
        <v>7.077</v>
      </c>
      <c r="H467" s="5" t="n">
        <v>1.235</v>
      </c>
      <c r="I467" s="5" t="n">
        <v>8.454000000000001</v>
      </c>
      <c r="J467" s="5" t="n">
        <v>15.531</v>
      </c>
      <c r="K467" s="5" t="n">
        <v>0</v>
      </c>
      <c r="L467" s="5" t="n">
        <v>1</v>
      </c>
      <c r="M467" s="5" t="n">
        <v>9.782999999999999</v>
      </c>
      <c r="N467" s="5" t="n">
        <v>3.704</v>
      </c>
      <c r="O467" s="5" t="n">
        <v>8.411</v>
      </c>
      <c r="P467" s="5" t="n">
        <v>18.194</v>
      </c>
      <c r="Q467" s="5" t="n">
        <v>0</v>
      </c>
      <c r="R467" s="5" t="n">
        <v>1</v>
      </c>
      <c r="S467" s="5" t="n">
        <v>13.25</v>
      </c>
      <c r="T467" s="5" t="n">
        <v>7.408</v>
      </c>
      <c r="U467" s="5" t="n">
        <v>11.56</v>
      </c>
      <c r="V467" s="5" t="n">
        <v>26.569</v>
      </c>
      <c r="W467" s="5" t="n">
        <v>0.077</v>
      </c>
      <c r="X467" s="5" t="n">
        <v>1</v>
      </c>
      <c r="Y467" s="5" t="n">
        <v>44.151</v>
      </c>
      <c r="Z467" s="5" t="n">
        <v>4.632</v>
      </c>
      <c r="AA467" s="5" t="n">
        <v>-8.944000000000001</v>
      </c>
      <c r="AB467" s="5" t="n">
        <v>35.207</v>
      </c>
      <c r="AC467" s="5" t="n">
        <v>0</v>
      </c>
      <c r="AD467" s="5" t="n">
        <v>1</v>
      </c>
      <c r="AE467" s="5" t="n">
        <v>44.199</v>
      </c>
      <c r="AF467" s="5" t="n">
        <v>8.194000000000001</v>
      </c>
      <c r="AG467" s="5" t="n">
        <v>-8.99</v>
      </c>
      <c r="AH467" s="5" t="n">
        <v>35.209</v>
      </c>
      <c r="AI467" s="5" t="n">
        <v>0</v>
      </c>
      <c r="AJ467" s="5" t="n">
        <v>1</v>
      </c>
      <c r="AK467" s="5" t="n">
        <v>53.909</v>
      </c>
      <c r="AL467" s="5" t="n">
        <v>25.744</v>
      </c>
      <c r="AM467" s="5" t="n">
        <v>-13.26</v>
      </c>
      <c r="AN467" s="5" t="n">
        <v>43.778</v>
      </c>
      <c r="AO467" s="5" t="n">
        <v>0.077</v>
      </c>
      <c r="AP467" s="5" t="n">
        <v>1</v>
      </c>
      <c r="AQ467" s="5" t="n">
        <v>0.861</v>
      </c>
      <c r="AR467" s="5" t="n">
        <v>0.123</v>
      </c>
      <c r="AS467" s="5" t="n">
        <v>0.312</v>
      </c>
      <c r="AT467" s="5" t="n">
        <v>1.256</v>
      </c>
      <c r="AU467" s="5" t="n">
        <v>0.077</v>
      </c>
      <c r="AV467" s="5" t="n">
        <v>1</v>
      </c>
      <c r="AW467" s="5" t="n">
        <v>0.986</v>
      </c>
      <c r="AX467" s="5" t="n">
        <v>0.123</v>
      </c>
      <c r="AY467" s="5" t="n">
        <v>0.345</v>
      </c>
      <c r="AZ467" s="5" t="n">
        <v>1.425</v>
      </c>
      <c r="BA467" s="5" t="n">
        <v>0.077</v>
      </c>
      <c r="BB467" s="5" t="n">
        <v>1</v>
      </c>
      <c r="BC467" s="5" t="n">
        <v>0.598</v>
      </c>
      <c r="BD467" s="5" t="n">
        <v>0.123</v>
      </c>
      <c r="BE467" s="5" t="n">
        <v>0.22</v>
      </c>
      <c r="BF467" s="5" t="n">
        <v>0.876</v>
      </c>
      <c r="BG467" s="5" t="n">
        <v>0.077</v>
      </c>
      <c r="BH467" s="5" t="n">
        <v>1</v>
      </c>
      <c r="BI467" s="5" t="n">
        <v>0.612</v>
      </c>
      <c r="BJ467" s="5" t="n">
        <v>0.123</v>
      </c>
      <c r="BK467" s="5" t="n">
        <v>0.314</v>
      </c>
      <c r="BL467" s="5" t="n">
        <v>0.993</v>
      </c>
      <c r="BM467" s="5" t="n">
        <v>0.077</v>
      </c>
      <c r="BN467" s="5" t="n">
        <v>1</v>
      </c>
      <c r="BO467" s="5" t="n">
        <v>0</v>
      </c>
      <c r="BP467" s="5" t="n">
        <v>0</v>
      </c>
      <c r="BQ467" s="5" t="n">
        <v>0</v>
      </c>
      <c r="BR467" s="5" t="n">
        <v>0</v>
      </c>
      <c r="BS467" s="5" t="n">
        <v>1</v>
      </c>
      <c r="BT467" s="5" t="n">
        <v>0</v>
      </c>
      <c r="BU467" s="5" t="n">
        <v>0.016</v>
      </c>
      <c r="BV467" s="5" t="n">
        <v>0.238</v>
      </c>
      <c r="BW467" s="5" t="n">
        <v>0.077</v>
      </c>
      <c r="BX467" s="5" t="n">
        <v>1</v>
      </c>
      <c r="BY467" s="5" t="n">
        <v>12.729</v>
      </c>
      <c r="BZ467" s="5" t="n">
        <v>0</v>
      </c>
      <c r="CA467" s="5" t="n">
        <v>12.729</v>
      </c>
      <c r="CB467" s="5" t="n">
        <v>0</v>
      </c>
      <c r="CC467" s="5" t="n">
        <v>97.90000000000001</v>
      </c>
      <c r="CD467" s="5" t="n">
        <v>7.95</v>
      </c>
      <c r="CE467" s="5" t="n">
        <v>43.51</v>
      </c>
      <c r="CF467" s="5" t="n">
        <v>151.435</v>
      </c>
      <c r="CG467" s="5" t="n">
        <v>0.077</v>
      </c>
      <c r="CH467" s="5" t="n">
        <v>1</v>
      </c>
      <c r="CI467" s="5" t="n">
        <v>0</v>
      </c>
      <c r="CJ467" s="5" t="n">
        <v>0</v>
      </c>
      <c r="CK467" s="5" t="n">
        <v>0</v>
      </c>
      <c r="CL467" s="5" t="n">
        <v>0</v>
      </c>
      <c r="CM467" s="5" t="n">
        <v>0</v>
      </c>
      <c r="CN467" s="5" t="n">
        <v>0</v>
      </c>
      <c r="CO467" s="5" t="n">
        <v>0</v>
      </c>
      <c r="CP467" s="5" t="n">
        <v>0</v>
      </c>
      <c r="CQ467" s="5" t="n">
        <v>1.294</v>
      </c>
      <c r="CR467" s="5" t="n">
        <v>0</v>
      </c>
      <c r="CS467" s="5" t="n">
        <v>5.158</v>
      </c>
      <c r="CT467" s="5" t="n">
        <v>5.842</v>
      </c>
      <c r="CU467" s="5" t="n">
        <v>31.326</v>
      </c>
    </row>
    <row r="468">
      <c r="A468" s="5" t="inlineStr">
        <is>
          <t>LIE2023</t>
        </is>
      </c>
      <c r="B468" s="5" t="inlineStr">
        <is>
          <t>LIE</t>
        </is>
      </c>
      <c r="C468" s="5" t="inlineStr">
        <is>
          <t>LIE</t>
        </is>
      </c>
      <c r="D468" s="5" t="inlineStr">
        <is>
          <t>Liechtenstein</t>
        </is>
      </c>
      <c r="E468" s="5" t="n">
        <v>2023</v>
      </c>
      <c r="F468" s="5" t="n">
        <v>0.077</v>
      </c>
      <c r="G468" s="5" t="n">
        <v>4.752</v>
      </c>
      <c r="H468" s="5" t="n">
        <v>1.286</v>
      </c>
      <c r="I468" s="5" t="n">
        <v>9.773999999999999</v>
      </c>
      <c r="J468" s="5" t="n">
        <v>14.526</v>
      </c>
      <c r="K468" s="5" t="n">
        <v>0</v>
      </c>
      <c r="L468" s="5" t="n">
        <v>1</v>
      </c>
      <c r="M468" s="5" t="n">
        <v>7.886</v>
      </c>
      <c r="N468" s="5" t="n">
        <v>3.857</v>
      </c>
      <c r="O468" s="5" t="n">
        <v>9.721</v>
      </c>
      <c r="P468" s="5" t="n">
        <v>17.607</v>
      </c>
      <c r="Q468" s="5" t="n">
        <v>0</v>
      </c>
      <c r="R468" s="5" t="n">
        <v>1</v>
      </c>
      <c r="S468" s="5" t="n">
        <v>11.18</v>
      </c>
      <c r="T468" s="5" t="n">
        <v>7.714</v>
      </c>
      <c r="U468" s="5" t="n">
        <v>12.154</v>
      </c>
      <c r="V468" s="5" t="n">
        <v>24.918</v>
      </c>
      <c r="W468" s="5" t="n">
        <v>0.077</v>
      </c>
      <c r="X468" s="5" t="n">
        <v>1</v>
      </c>
      <c r="Y468" s="5" t="n">
        <v>24.499</v>
      </c>
      <c r="Z468" s="5" t="n">
        <v>2.744</v>
      </c>
      <c r="AA468" s="5" t="n">
        <v>23.233</v>
      </c>
      <c r="AB468" s="5" t="n">
        <v>47.732</v>
      </c>
      <c r="AC468" s="5" t="n">
        <v>0</v>
      </c>
      <c r="AD468" s="5" t="n">
        <v>1</v>
      </c>
      <c r="AE468" s="5" t="n">
        <v>24.598</v>
      </c>
      <c r="AF468" s="5" t="n">
        <v>4.899</v>
      </c>
      <c r="AG468" s="5" t="n">
        <v>23.137</v>
      </c>
      <c r="AH468" s="5" t="n">
        <v>47.734</v>
      </c>
      <c r="AI468" s="5" t="n">
        <v>0</v>
      </c>
      <c r="AJ468" s="5" t="n">
        <v>1</v>
      </c>
      <c r="AK468" s="5" t="n">
        <v>34.613</v>
      </c>
      <c r="AL468" s="5" t="n">
        <v>17.146</v>
      </c>
      <c r="AM468" s="5" t="n">
        <v>21.899</v>
      </c>
      <c r="AN468" s="5" t="n">
        <v>60.863</v>
      </c>
      <c r="AO468" s="5" t="n">
        <v>0.077</v>
      </c>
      <c r="AP468" s="5" t="n">
        <v>1</v>
      </c>
      <c r="AQ468" s="5" t="n">
        <v>0.76</v>
      </c>
      <c r="AR468" s="5" t="n">
        <v>0.129</v>
      </c>
      <c r="AS468" s="5" t="n">
        <v>0.324</v>
      </c>
      <c r="AT468" s="5" t="n">
        <v>1.158</v>
      </c>
      <c r="AU468" s="5" t="n">
        <v>0.077</v>
      </c>
      <c r="AV468" s="5" t="n">
        <v>1</v>
      </c>
      <c r="AW468" s="5" t="n">
        <v>0.8110000000000001</v>
      </c>
      <c r="AX468" s="5" t="n">
        <v>0.129</v>
      </c>
      <c r="AY468" s="5" t="n">
        <v>0.358</v>
      </c>
      <c r="AZ468" s="5" t="n">
        <v>1.248</v>
      </c>
      <c r="BA468" s="5" t="n">
        <v>0.077</v>
      </c>
      <c r="BB468" s="5" t="n">
        <v>1</v>
      </c>
      <c r="BC468" s="5" t="n">
        <v>0.535</v>
      </c>
      <c r="BD468" s="5" t="n">
        <v>0.129</v>
      </c>
      <c r="BE468" s="5" t="n">
        <v>0.23</v>
      </c>
      <c r="BF468" s="5" t="n">
        <v>0.8169999999999999</v>
      </c>
      <c r="BG468" s="5" t="n">
        <v>0.077</v>
      </c>
      <c r="BH468" s="5" t="n">
        <v>1</v>
      </c>
      <c r="BI468" s="5" t="n">
        <v>0.579</v>
      </c>
      <c r="BJ468" s="5" t="n">
        <v>0.129</v>
      </c>
      <c r="BK468" s="5" t="n">
        <v>0.33</v>
      </c>
      <c r="BL468" s="5" t="n">
        <v>0.972</v>
      </c>
      <c r="BM468" s="5" t="n">
        <v>0.077</v>
      </c>
      <c r="BN468" s="5" t="n">
        <v>1</v>
      </c>
      <c r="BO468" s="5" t="n">
        <v>0</v>
      </c>
      <c r="BP468" s="5" t="n">
        <v>0</v>
      </c>
      <c r="BQ468" s="5" t="n">
        <v>0</v>
      </c>
      <c r="BR468" s="5" t="n">
        <v>0</v>
      </c>
      <c r="BS468" s="5" t="n">
        <v>1</v>
      </c>
      <c r="BT468" s="5" t="n">
        <v>0</v>
      </c>
      <c r="BU468" s="5" t="n">
        <v>0.017</v>
      </c>
      <c r="BV468" s="5" t="n">
        <v>0.429</v>
      </c>
      <c r="BW468" s="5" t="n">
        <v>0.077</v>
      </c>
      <c r="BX468" s="5" t="n">
        <v>1</v>
      </c>
      <c r="BY468" s="5" t="n">
        <v>13.254</v>
      </c>
      <c r="BZ468" s="5" t="n">
        <v>0</v>
      </c>
      <c r="CA468" s="5" t="n">
        <v>13.254</v>
      </c>
      <c r="CB468" s="5" t="n">
        <v>0</v>
      </c>
      <c r="CC468" s="5" t="n">
        <v>83.248</v>
      </c>
      <c r="CD468" s="5" t="n">
        <v>7.95</v>
      </c>
      <c r="CE468" s="5" t="n">
        <v>49.955</v>
      </c>
      <c r="CF468" s="5" t="n">
        <v>142.247</v>
      </c>
      <c r="CG468" s="5" t="n">
        <v>0.077</v>
      </c>
      <c r="CH468" s="5" t="n">
        <v>1</v>
      </c>
      <c r="CI468" s="5" t="n">
        <v>0</v>
      </c>
      <c r="CJ468" s="5" t="n">
        <v>0</v>
      </c>
      <c r="CK468" s="5" t="n">
        <v>0</v>
      </c>
      <c r="CL468" s="5" t="n">
        <v>0</v>
      </c>
      <c r="CM468" s="5" t="n">
        <v>0</v>
      </c>
      <c r="CN468" s="5" t="n">
        <v>0</v>
      </c>
      <c r="CO468" s="5" t="n">
        <v>0</v>
      </c>
      <c r="CP468" s="5" t="n">
        <v>0</v>
      </c>
      <c r="CQ468" s="5" t="n">
        <v>1.348</v>
      </c>
      <c r="CR468" s="5" t="n">
        <v>0</v>
      </c>
      <c r="CS468" s="5" t="n">
        <v>5.37</v>
      </c>
      <c r="CT468" s="5" t="n">
        <v>3.466</v>
      </c>
      <c r="CU468" s="5" t="n">
        <v>11.622</v>
      </c>
    </row>
    <row r="469">
      <c r="A469" s="5" t="inlineStr">
        <is>
          <t>LIE2024</t>
        </is>
      </c>
      <c r="B469" s="5" t="inlineStr">
        <is>
          <t>LIE</t>
        </is>
      </c>
      <c r="C469" s="5" t="inlineStr">
        <is>
          <t>LIE</t>
        </is>
      </c>
      <c r="D469" s="5" t="inlineStr">
        <is>
          <t>Liechtenstein</t>
        </is>
      </c>
      <c r="E469" s="5" t="n">
        <v>2024</v>
      </c>
      <c r="F469" s="5" t="n">
        <v>0.077</v>
      </c>
      <c r="G469" s="5" t="n">
        <v>4.351</v>
      </c>
      <c r="H469" s="5" t="n">
        <v>1.324</v>
      </c>
      <c r="I469" s="5" t="n">
        <v>6.411</v>
      </c>
      <c r="J469" s="5" t="n">
        <v>10.762</v>
      </c>
      <c r="K469" s="5" t="n">
        <v>0</v>
      </c>
      <c r="L469" s="5" t="n">
        <v>1</v>
      </c>
      <c r="M469" s="5" t="n">
        <v>7.124</v>
      </c>
      <c r="N469" s="5" t="n">
        <v>3.971</v>
      </c>
      <c r="O469" s="5" t="n">
        <v>6.375</v>
      </c>
      <c r="P469" s="5" t="n">
        <v>13.499</v>
      </c>
      <c r="Q469" s="5" t="n">
        <v>0</v>
      </c>
      <c r="R469" s="5" t="n">
        <v>1</v>
      </c>
      <c r="S469" s="5" t="n">
        <v>10.969</v>
      </c>
      <c r="T469" s="5" t="n">
        <v>7.942</v>
      </c>
      <c r="U469" s="5" t="n">
        <v>12.675</v>
      </c>
      <c r="V469" s="5" t="n">
        <v>25.2</v>
      </c>
      <c r="W469" s="5" t="n">
        <v>0.077</v>
      </c>
      <c r="X469" s="5" t="n">
        <v>1</v>
      </c>
      <c r="Y469" s="5" t="n">
        <v>24.941</v>
      </c>
      <c r="Z469" s="5" t="n">
        <v>3.149</v>
      </c>
      <c r="AA469" s="5" t="n">
        <v>10.573</v>
      </c>
      <c r="AB469" s="5" t="n">
        <v>35.514</v>
      </c>
      <c r="AC469" s="5" t="n">
        <v>0</v>
      </c>
      <c r="AD469" s="5" t="n">
        <v>1</v>
      </c>
      <c r="AE469" s="5" t="n">
        <v>24.941</v>
      </c>
      <c r="AF469" s="5" t="n">
        <v>5.464</v>
      </c>
      <c r="AG469" s="5" t="n">
        <v>10.574</v>
      </c>
      <c r="AH469" s="5" t="n">
        <v>35.516</v>
      </c>
      <c r="AI469" s="5" t="n">
        <v>0</v>
      </c>
      <c r="AJ469" s="5" t="n">
        <v>1</v>
      </c>
      <c r="AK469" s="5" t="n">
        <v>36.821</v>
      </c>
      <c r="AL469" s="5" t="n">
        <v>18.728</v>
      </c>
      <c r="AM469" s="5" t="n">
        <v>6.906</v>
      </c>
      <c r="AN469" s="5" t="n">
        <v>47.094</v>
      </c>
      <c r="AO469" s="5" t="n">
        <v>0.077</v>
      </c>
      <c r="AP469" s="5" t="n">
        <v>1</v>
      </c>
      <c r="AQ469" s="5" t="n">
        <v>0.724</v>
      </c>
      <c r="AR469" s="5" t="n">
        <v>0.132</v>
      </c>
      <c r="AS469" s="5" t="n">
        <v>0.337</v>
      </c>
      <c r="AT469" s="5" t="n">
        <v>1.131</v>
      </c>
      <c r="AU469" s="5" t="n">
        <v>0.077</v>
      </c>
      <c r="AV469" s="5" t="n">
        <v>1</v>
      </c>
      <c r="AW469" s="5" t="n">
        <v>0.75</v>
      </c>
      <c r="AX469" s="5" t="n">
        <v>0.132</v>
      </c>
      <c r="AY469" s="5" t="n">
        <v>0.371</v>
      </c>
      <c r="AZ469" s="5" t="n">
        <v>1.195</v>
      </c>
      <c r="BA469" s="5" t="n">
        <v>0.077</v>
      </c>
      <c r="BB469" s="5" t="n">
        <v>1</v>
      </c>
      <c r="BC469" s="5" t="n">
        <v>0.513</v>
      </c>
      <c r="BD469" s="5" t="n">
        <v>0.132</v>
      </c>
      <c r="BE469" s="5" t="n">
        <v>0.239</v>
      </c>
      <c r="BF469" s="5" t="n">
        <v>0.802</v>
      </c>
      <c r="BG469" s="5" t="n">
        <v>0.077</v>
      </c>
      <c r="BH469" s="5" t="n">
        <v>1</v>
      </c>
      <c r="BI469" s="5" t="n">
        <v>0.591</v>
      </c>
      <c r="BJ469" s="5" t="n">
        <v>0.132</v>
      </c>
      <c r="BK469" s="5" t="n">
        <v>0.345</v>
      </c>
      <c r="BL469" s="5" t="n">
        <v>0.998</v>
      </c>
      <c r="BM469" s="5" t="n">
        <v>0.077</v>
      </c>
      <c r="BN469" s="5" t="n">
        <v>1</v>
      </c>
      <c r="BO469" s="5" t="n">
        <v>0</v>
      </c>
      <c r="BP469" s="5" t="n">
        <v>0</v>
      </c>
      <c r="BQ469" s="5" t="n">
        <v>0</v>
      </c>
      <c r="BR469" s="5" t="n">
        <v>0</v>
      </c>
      <c r="BS469" s="5" t="n">
        <v>1</v>
      </c>
      <c r="BT469" s="5" t="n">
        <v>0</v>
      </c>
      <c r="BU469" s="5" t="n">
        <v>0.017</v>
      </c>
      <c r="BV469" s="5" t="n">
        <v>0.341</v>
      </c>
      <c r="BW469" s="5" t="n">
        <v>0.077</v>
      </c>
      <c r="BX469" s="5" t="n">
        <v>1</v>
      </c>
      <c r="BY469" s="5" t="n">
        <v>13.646</v>
      </c>
      <c r="BZ469" s="5" t="n">
        <v>0</v>
      </c>
      <c r="CA469" s="5" t="n">
        <v>13.646</v>
      </c>
      <c r="CB469" s="5" t="n">
        <v>0</v>
      </c>
      <c r="CC469" s="5" t="n">
        <v>82.58799999999999</v>
      </c>
      <c r="CD469" s="5" t="n">
        <v>7.95</v>
      </c>
      <c r="CE469" s="5" t="n">
        <v>33.79</v>
      </c>
      <c r="CF469" s="5" t="n">
        <v>124.039</v>
      </c>
      <c r="CG469" s="5" t="n">
        <v>0.077</v>
      </c>
      <c r="CH469" s="5" t="n">
        <v>1</v>
      </c>
      <c r="CI469" s="5" t="n">
        <v>0</v>
      </c>
      <c r="CJ469" s="5" t="n">
        <v>0</v>
      </c>
      <c r="CK469" s="5" t="n">
        <v>0</v>
      </c>
      <c r="CL469" s="5" t="n">
        <v>0</v>
      </c>
      <c r="CM469" s="5" t="n">
        <v>0</v>
      </c>
      <c r="CN469" s="5" t="n">
        <v>0</v>
      </c>
      <c r="CO469" s="5" t="n">
        <v>0</v>
      </c>
      <c r="CP469" s="5" t="n">
        <v>0</v>
      </c>
      <c r="CQ469" s="5" t="n">
        <v>1.387</v>
      </c>
      <c r="CR469" s="5" t="n">
        <v>0</v>
      </c>
      <c r="CS469" s="5" t="n">
        <v>5.529</v>
      </c>
      <c r="CT469" s="5" t="n">
        <v>3.027</v>
      </c>
      <c r="CU469" s="5" t="n">
        <v>10.168</v>
      </c>
    </row>
    <row r="470">
      <c r="A470" s="5" t="inlineStr">
        <is>
          <t>LTU2021</t>
        </is>
      </c>
      <c r="B470" s="5" t="inlineStr">
        <is>
          <t>LTU</t>
        </is>
      </c>
      <c r="C470" s="5" t="inlineStr">
        <is>
          <t>LTU</t>
        </is>
      </c>
      <c r="D470" s="5" t="inlineStr">
        <is>
          <t>Lithuania</t>
        </is>
      </c>
      <c r="E470" s="5" t="n">
        <v>2021</v>
      </c>
      <c r="F470" s="5" t="n">
        <v>0.21</v>
      </c>
      <c r="G470" s="5" t="n">
        <v>4.161</v>
      </c>
      <c r="H470" s="5" t="n">
        <v>1.085</v>
      </c>
      <c r="I470" s="5" t="n">
        <v>0.629</v>
      </c>
      <c r="J470" s="5" t="n">
        <v>4.79</v>
      </c>
      <c r="K470" s="5" t="n">
        <v>0</v>
      </c>
      <c r="L470" s="5" t="n">
        <v>1</v>
      </c>
      <c r="M470" s="5" t="n">
        <v>7.446</v>
      </c>
      <c r="N470" s="5" t="n">
        <v>3.254</v>
      </c>
      <c r="O470" s="5" t="n">
        <v>0.718</v>
      </c>
      <c r="P470" s="5" t="n">
        <v>8.164</v>
      </c>
      <c r="Q470" s="5" t="n">
        <v>0</v>
      </c>
      <c r="R470" s="5" t="n">
        <v>1</v>
      </c>
      <c r="S470" s="5" t="n">
        <v>9.584</v>
      </c>
      <c r="T470" s="5" t="n">
        <v>6.508</v>
      </c>
      <c r="U470" s="5" t="n">
        <v>0.276</v>
      </c>
      <c r="V470" s="5" t="n">
        <v>11.93</v>
      </c>
      <c r="W470" s="5" t="n">
        <v>0.21</v>
      </c>
      <c r="X470" s="5" t="n">
        <v>1</v>
      </c>
      <c r="Y470" s="5" t="n">
        <v>10.282</v>
      </c>
      <c r="Z470" s="5" t="n">
        <v>1.136</v>
      </c>
      <c r="AA470" s="5" t="n">
        <v>6.572</v>
      </c>
      <c r="AB470" s="5" t="n">
        <v>16.854</v>
      </c>
      <c r="AC470" s="5" t="n">
        <v>0</v>
      </c>
      <c r="AD470" s="5" t="n">
        <v>1</v>
      </c>
      <c r="AE470" s="5" t="n">
        <v>10.239</v>
      </c>
      <c r="AF470" s="5" t="n">
        <v>2.015</v>
      </c>
      <c r="AG470" s="5" t="n">
        <v>6.616</v>
      </c>
      <c r="AH470" s="5" t="n">
        <v>16.854</v>
      </c>
      <c r="AI470" s="5" t="n">
        <v>0</v>
      </c>
      <c r="AJ470" s="5" t="n">
        <v>1</v>
      </c>
      <c r="AK470" s="5" t="n">
        <v>14.812</v>
      </c>
      <c r="AL470" s="5" t="n">
        <v>7.27</v>
      </c>
      <c r="AM470" s="5" t="n">
        <v>-5.467</v>
      </c>
      <c r="AN470" s="5" t="n">
        <v>11.308</v>
      </c>
      <c r="AO470" s="5" t="n">
        <v>0.21</v>
      </c>
      <c r="AP470" s="5" t="n">
        <v>1</v>
      </c>
      <c r="AQ470" s="5" t="n">
        <v>0.619</v>
      </c>
      <c r="AR470" s="5" t="n">
        <v>0.114</v>
      </c>
      <c r="AS470" s="5" t="n">
        <v>0.635</v>
      </c>
      <c r="AT470" s="5" t="n">
        <v>1.517</v>
      </c>
      <c r="AU470" s="5" t="n">
        <v>0.21</v>
      </c>
      <c r="AV470" s="5" t="n">
        <v>1</v>
      </c>
      <c r="AW470" s="5" t="n">
        <v>0.599</v>
      </c>
      <c r="AX470" s="5" t="n">
        <v>0.114</v>
      </c>
      <c r="AY470" s="5" t="n">
        <v>0.554</v>
      </c>
      <c r="AZ470" s="5" t="n">
        <v>1.395</v>
      </c>
      <c r="BA470" s="5" t="n">
        <v>0.21</v>
      </c>
      <c r="BB470" s="5" t="n">
        <v>1</v>
      </c>
      <c r="BC470" s="5" t="n">
        <v>0.439</v>
      </c>
      <c r="BD470" s="5" t="n">
        <v>0.114</v>
      </c>
      <c r="BE470" s="5" t="n">
        <v>0.18</v>
      </c>
      <c r="BF470" s="5" t="n">
        <v>0.749</v>
      </c>
      <c r="BG470" s="5" t="n">
        <v>0.21</v>
      </c>
      <c r="BH470" s="5" t="n">
        <v>1</v>
      </c>
      <c r="BI470" s="5" t="n">
        <v>0.505</v>
      </c>
      <c r="BJ470" s="5" t="n">
        <v>0.114</v>
      </c>
      <c r="BK470" s="5" t="n">
        <v>0.08599999999999999</v>
      </c>
      <c r="BL470" s="5" t="n">
        <v>0.715</v>
      </c>
      <c r="BM470" s="5" t="n">
        <v>0.21</v>
      </c>
      <c r="BN470" s="5" t="n">
        <v>1</v>
      </c>
      <c r="BO470" s="5" t="n">
        <v>0</v>
      </c>
      <c r="BP470" s="5" t="n">
        <v>0.013</v>
      </c>
      <c r="BQ470" s="5" t="n">
        <v>0.107</v>
      </c>
      <c r="BR470" s="5" t="n">
        <v>0</v>
      </c>
      <c r="BS470" s="5" t="n">
        <v>1</v>
      </c>
      <c r="BT470" s="5" t="n">
        <v>0</v>
      </c>
      <c r="BU470" s="5" t="n">
        <v>0.012</v>
      </c>
      <c r="BV470" s="5" t="n">
        <v>0.167</v>
      </c>
      <c r="BW470" s="5" t="n">
        <v>0.21</v>
      </c>
      <c r="BX470" s="5" t="n">
        <v>1</v>
      </c>
      <c r="BY470" s="5" t="n">
        <v>11.787</v>
      </c>
      <c r="BZ470" s="5" t="n">
        <v>0</v>
      </c>
      <c r="CA470" s="5" t="n">
        <v>11.787</v>
      </c>
      <c r="CB470" s="5" t="n">
        <v>0</v>
      </c>
      <c r="CC470" s="5" t="n">
        <v>78.125</v>
      </c>
      <c r="CD470" s="5" t="n">
        <v>7.95</v>
      </c>
      <c r="CE470" s="5" t="n">
        <v>18.405</v>
      </c>
      <c r="CF470" s="5" t="n">
        <v>116.802</v>
      </c>
      <c r="CG470" s="5" t="n">
        <v>0.21</v>
      </c>
      <c r="CH470" s="5" t="n">
        <v>1</v>
      </c>
      <c r="CI470" s="5" t="n">
        <v>0</v>
      </c>
      <c r="CJ470" s="5" t="n">
        <v>0</v>
      </c>
      <c r="CK470" s="5" t="n">
        <v>0</v>
      </c>
      <c r="CL470" s="5" t="n">
        <v>0</v>
      </c>
      <c r="CM470" s="5" t="n">
        <v>0</v>
      </c>
      <c r="CN470" s="5" t="n">
        <v>0</v>
      </c>
      <c r="CO470" s="5" t="n">
        <v>0</v>
      </c>
      <c r="CP470" s="5" t="n">
        <v>0.103</v>
      </c>
      <c r="CQ470" s="5" t="n">
        <v>1.198</v>
      </c>
      <c r="CR470" s="5" t="n">
        <v>0</v>
      </c>
      <c r="CS470" s="5" t="n">
        <v>4.776</v>
      </c>
      <c r="CT470" s="5" t="n">
        <v>3.291</v>
      </c>
      <c r="CU470" s="5" t="n">
        <v>9.837999999999999</v>
      </c>
    </row>
    <row r="471">
      <c r="A471" s="5" t="inlineStr">
        <is>
          <t>LTU2022</t>
        </is>
      </c>
      <c r="B471" s="5" t="inlineStr">
        <is>
          <t>LTU</t>
        </is>
      </c>
      <c r="C471" s="5" t="inlineStr">
        <is>
          <t>LTU</t>
        </is>
      </c>
      <c r="D471" s="5" t="inlineStr">
        <is>
          <t>Lithuania</t>
        </is>
      </c>
      <c r="E471" s="5" t="n">
        <v>2022</v>
      </c>
      <c r="F471" s="5" t="n">
        <v>0.21</v>
      </c>
      <c r="G471" s="5" t="n">
        <v>7.093</v>
      </c>
      <c r="H471" s="5" t="n">
        <v>1.235</v>
      </c>
      <c r="I471" s="5" t="n">
        <v>8.541</v>
      </c>
      <c r="J471" s="5" t="n">
        <v>15.634</v>
      </c>
      <c r="K471" s="5" t="n">
        <v>0</v>
      </c>
      <c r="L471" s="5" t="n">
        <v>1</v>
      </c>
      <c r="M471" s="5" t="n">
        <v>9.782999999999999</v>
      </c>
      <c r="N471" s="5" t="n">
        <v>3.704</v>
      </c>
      <c r="O471" s="5" t="n">
        <v>8.52</v>
      </c>
      <c r="P471" s="5" t="n">
        <v>18.303</v>
      </c>
      <c r="Q471" s="5" t="n">
        <v>0</v>
      </c>
      <c r="R471" s="5" t="n">
        <v>1</v>
      </c>
      <c r="S471" s="5" t="n">
        <v>13.266</v>
      </c>
      <c r="T471" s="5" t="n">
        <v>7.408</v>
      </c>
      <c r="U471" s="5" t="n">
        <v>0.579</v>
      </c>
      <c r="V471" s="5" t="n">
        <v>16.497</v>
      </c>
      <c r="W471" s="5" t="n">
        <v>0.21</v>
      </c>
      <c r="X471" s="5" t="n">
        <v>1</v>
      </c>
      <c r="Y471" s="5" t="n">
        <v>27.254</v>
      </c>
      <c r="Z471" s="5" t="n">
        <v>2.859</v>
      </c>
      <c r="AA471" s="5" t="n">
        <v>10.709</v>
      </c>
      <c r="AB471" s="5" t="n">
        <v>37.963</v>
      </c>
      <c r="AC471" s="5" t="n">
        <v>0</v>
      </c>
      <c r="AD471" s="5" t="n">
        <v>1</v>
      </c>
      <c r="AE471" s="5" t="n">
        <v>27.302</v>
      </c>
      <c r="AF471" s="5" t="n">
        <v>5.061</v>
      </c>
      <c r="AG471" s="5" t="n">
        <v>10.661</v>
      </c>
      <c r="AH471" s="5" t="n">
        <v>37.963</v>
      </c>
      <c r="AI471" s="5" t="n">
        <v>0</v>
      </c>
      <c r="AJ471" s="5" t="n">
        <v>1</v>
      </c>
      <c r="AK471" s="5" t="n">
        <v>32.241</v>
      </c>
      <c r="AL471" s="5" t="n">
        <v>15.396</v>
      </c>
      <c r="AM471" s="5" t="n">
        <v>-9.576000000000001</v>
      </c>
      <c r="AN471" s="5" t="n">
        <v>27.424</v>
      </c>
      <c r="AO471" s="5" t="n">
        <v>0.21</v>
      </c>
      <c r="AP471" s="5" t="n">
        <v>1</v>
      </c>
      <c r="AQ471" s="5" t="n">
        <v>0.861</v>
      </c>
      <c r="AR471" s="5" t="n">
        <v>0.123</v>
      </c>
      <c r="AS471" s="5" t="n">
        <v>0.625</v>
      </c>
      <c r="AT471" s="5" t="n">
        <v>1.799</v>
      </c>
      <c r="AU471" s="5" t="n">
        <v>0.21</v>
      </c>
      <c r="AV471" s="5" t="n">
        <v>1</v>
      </c>
      <c r="AW471" s="5" t="n">
        <v>0.986</v>
      </c>
      <c r="AX471" s="5" t="n">
        <v>0.123</v>
      </c>
      <c r="AY471" s="5" t="n">
        <v>0.537</v>
      </c>
      <c r="AZ471" s="5" t="n">
        <v>1.843</v>
      </c>
      <c r="BA471" s="5" t="n">
        <v>0.21</v>
      </c>
      <c r="BB471" s="5" t="n">
        <v>1</v>
      </c>
      <c r="BC471" s="5" t="n">
        <v>0.598</v>
      </c>
      <c r="BD471" s="5" t="n">
        <v>0.123</v>
      </c>
      <c r="BE471" s="5" t="n">
        <v>0.054</v>
      </c>
      <c r="BF471" s="5" t="n">
        <v>0.789</v>
      </c>
      <c r="BG471" s="5" t="n">
        <v>0.21</v>
      </c>
      <c r="BH471" s="5" t="n">
        <v>1</v>
      </c>
      <c r="BI471" s="5" t="n">
        <v>0.612</v>
      </c>
      <c r="BJ471" s="5" t="n">
        <v>0.123</v>
      </c>
      <c r="BK471" s="5" t="n">
        <v>0.414</v>
      </c>
      <c r="BL471" s="5" t="n">
        <v>1.242</v>
      </c>
      <c r="BM471" s="5" t="n">
        <v>0.21</v>
      </c>
      <c r="BN471" s="5" t="n">
        <v>1</v>
      </c>
      <c r="BO471" s="5" t="n">
        <v>0</v>
      </c>
      <c r="BP471" s="5" t="n">
        <v>0.002</v>
      </c>
      <c r="BQ471" s="5" t="n">
        <v>0.229</v>
      </c>
      <c r="BR471" s="5" t="n">
        <v>0</v>
      </c>
      <c r="BS471" s="5" t="n">
        <v>1</v>
      </c>
      <c r="BT471" s="5" t="n">
        <v>0</v>
      </c>
      <c r="BU471" s="5" t="n">
        <v>0.002</v>
      </c>
      <c r="BV471" s="5" t="n">
        <v>0.207</v>
      </c>
      <c r="BW471" s="5" t="n">
        <v>0.21</v>
      </c>
      <c r="BX471" s="5" t="n">
        <v>1</v>
      </c>
      <c r="BY471" s="5" t="n">
        <v>12.729</v>
      </c>
      <c r="BZ471" s="5" t="n">
        <v>0</v>
      </c>
      <c r="CA471" s="5" t="n">
        <v>12.729</v>
      </c>
      <c r="CB471" s="5" t="n">
        <v>0</v>
      </c>
      <c r="CC471" s="5" t="n">
        <v>97.90000000000001</v>
      </c>
      <c r="CD471" s="5" t="n">
        <v>7.95</v>
      </c>
      <c r="CE471" s="5" t="n">
        <v>98.617</v>
      </c>
      <c r="CF471" s="5" t="n">
        <v>237.786</v>
      </c>
      <c r="CG471" s="5" t="n">
        <v>0.21</v>
      </c>
      <c r="CH471" s="5" t="n">
        <v>1</v>
      </c>
      <c r="CI471" s="5" t="n">
        <v>0</v>
      </c>
      <c r="CJ471" s="5" t="n">
        <v>0</v>
      </c>
      <c r="CK471" s="5" t="n">
        <v>0</v>
      </c>
      <c r="CL471" s="5" t="n">
        <v>0</v>
      </c>
      <c r="CM471" s="5" t="n">
        <v>0</v>
      </c>
      <c r="CN471" s="5" t="n">
        <v>0</v>
      </c>
      <c r="CO471" s="5" t="n">
        <v>0</v>
      </c>
      <c r="CP471" s="5" t="n">
        <v>0</v>
      </c>
      <c r="CQ471" s="5" t="n">
        <v>1.294</v>
      </c>
      <c r="CR471" s="5" t="n">
        <v>0</v>
      </c>
      <c r="CS471" s="5" t="n">
        <v>5.158</v>
      </c>
      <c r="CT471" s="5" t="n">
        <v>5.858</v>
      </c>
      <c r="CU471" s="5" t="n">
        <v>26.718</v>
      </c>
    </row>
    <row r="472">
      <c r="A472" s="5" t="inlineStr">
        <is>
          <t>LTU2023</t>
        </is>
      </c>
      <c r="B472" s="5" t="inlineStr">
        <is>
          <t>LTU</t>
        </is>
      </c>
      <c r="C472" s="5" t="inlineStr">
        <is>
          <t>LTU</t>
        </is>
      </c>
      <c r="D472" s="5" t="inlineStr">
        <is>
          <t>Lithuania</t>
        </is>
      </c>
      <c r="E472" s="5" t="n">
        <v>2023</v>
      </c>
      <c r="F472" s="5" t="n">
        <v>0.21</v>
      </c>
      <c r="G472" s="5" t="n">
        <v>6.244</v>
      </c>
      <c r="H472" s="5" t="n">
        <v>1.207</v>
      </c>
      <c r="I472" s="5" t="n">
        <v>9.898</v>
      </c>
      <c r="J472" s="5" t="n">
        <v>16.143</v>
      </c>
      <c r="K472" s="5" t="n">
        <v>0</v>
      </c>
      <c r="L472" s="5" t="n">
        <v>1</v>
      </c>
      <c r="M472" s="5" t="n">
        <v>7.318</v>
      </c>
      <c r="N472" s="5" t="n">
        <v>3.62</v>
      </c>
      <c r="O472" s="5" t="n">
        <v>9.855</v>
      </c>
      <c r="P472" s="5" t="n">
        <v>17.174</v>
      </c>
      <c r="Q472" s="5" t="n">
        <v>0</v>
      </c>
      <c r="R472" s="5" t="n">
        <v>1</v>
      </c>
      <c r="S472" s="5" t="n">
        <v>12.277</v>
      </c>
      <c r="T472" s="5" t="n">
        <v>7.239</v>
      </c>
      <c r="U472" s="5" t="n">
        <v>0.755</v>
      </c>
      <c r="V472" s="5" t="n">
        <v>15.41</v>
      </c>
      <c r="W472" s="5" t="n">
        <v>0.21</v>
      </c>
      <c r="X472" s="5" t="n">
        <v>1</v>
      </c>
      <c r="Y472" s="5" t="n">
        <v>24.357</v>
      </c>
      <c r="Z472" s="5" t="n">
        <v>2.728</v>
      </c>
      <c r="AA472" s="5" t="n">
        <v>1.014</v>
      </c>
      <c r="AB472" s="5" t="n">
        <v>25.371</v>
      </c>
      <c r="AC472" s="5" t="n">
        <v>0</v>
      </c>
      <c r="AD472" s="5" t="n">
        <v>1</v>
      </c>
      <c r="AE472" s="5" t="n">
        <v>24.456</v>
      </c>
      <c r="AF472" s="5" t="n">
        <v>4.871</v>
      </c>
      <c r="AG472" s="5" t="n">
        <v>0.915</v>
      </c>
      <c r="AH472" s="5" t="n">
        <v>25.371</v>
      </c>
      <c r="AI472" s="5" t="n">
        <v>0</v>
      </c>
      <c r="AJ472" s="5" t="n">
        <v>1</v>
      </c>
      <c r="AK472" s="5" t="n">
        <v>29.599</v>
      </c>
      <c r="AL472" s="5" t="n">
        <v>14.662</v>
      </c>
      <c r="AM472" s="5" t="n">
        <v>11.385</v>
      </c>
      <c r="AN472" s="5" t="n">
        <v>49.591</v>
      </c>
      <c r="AO472" s="5" t="n">
        <v>0.21</v>
      </c>
      <c r="AP472" s="5" t="n">
        <v>1</v>
      </c>
      <c r="AQ472" s="5" t="n">
        <v>0.76</v>
      </c>
      <c r="AR472" s="5" t="n">
        <v>0.129</v>
      </c>
      <c r="AS472" s="5" t="n">
        <v>0.598</v>
      </c>
      <c r="AT472" s="5" t="n">
        <v>1.644</v>
      </c>
      <c r="AU472" s="5" t="n">
        <v>0.21</v>
      </c>
      <c r="AV472" s="5" t="n">
        <v>1</v>
      </c>
      <c r="AW472" s="5" t="n">
        <v>0.8110000000000001</v>
      </c>
      <c r="AX472" s="5" t="n">
        <v>0.129</v>
      </c>
      <c r="AY472" s="5" t="n">
        <v>0.526</v>
      </c>
      <c r="AZ472" s="5" t="n">
        <v>1.618</v>
      </c>
      <c r="BA472" s="5" t="n">
        <v>0.21</v>
      </c>
      <c r="BB472" s="5" t="n">
        <v>1</v>
      </c>
      <c r="BC472" s="5" t="n">
        <v>0.535</v>
      </c>
      <c r="BD472" s="5" t="n">
        <v>0.129</v>
      </c>
      <c r="BE472" s="5" t="n">
        <v>0.006</v>
      </c>
      <c r="BF472" s="5" t="n">
        <v>0.654</v>
      </c>
      <c r="BG472" s="5" t="n">
        <v>0.21</v>
      </c>
      <c r="BH472" s="5" t="n">
        <v>1</v>
      </c>
      <c r="BI472" s="5" t="n">
        <v>0.579</v>
      </c>
      <c r="BJ472" s="5" t="n">
        <v>0.129</v>
      </c>
      <c r="BK472" s="5" t="n">
        <v>0.279</v>
      </c>
      <c r="BL472" s="5" t="n">
        <v>1.038</v>
      </c>
      <c r="BM472" s="5" t="n">
        <v>0.21</v>
      </c>
      <c r="BN472" s="5" t="n">
        <v>1</v>
      </c>
      <c r="BO472" s="5" t="n">
        <v>0</v>
      </c>
      <c r="BP472" s="5" t="n">
        <v>-0.008</v>
      </c>
      <c r="BQ472" s="5" t="n">
        <v>0.138</v>
      </c>
      <c r="BR472" s="5" t="n">
        <v>0</v>
      </c>
      <c r="BS472" s="5" t="n">
        <v>1</v>
      </c>
      <c r="BT472" s="5" t="n">
        <v>0</v>
      </c>
      <c r="BU472" s="5" t="n">
        <v>-0.008999999999999999</v>
      </c>
      <c r="BV472" s="5" t="n">
        <v>0.273</v>
      </c>
      <c r="BW472" s="5" t="n">
        <v>0.21</v>
      </c>
      <c r="BX472" s="5" t="n">
        <v>1</v>
      </c>
      <c r="BY472" s="5" t="n">
        <v>13.254</v>
      </c>
      <c r="BZ472" s="5" t="n">
        <v>0</v>
      </c>
      <c r="CA472" s="5" t="n">
        <v>13.254</v>
      </c>
      <c r="CB472" s="5" t="n">
        <v>0</v>
      </c>
      <c r="CC472" s="5" t="n">
        <v>83.248</v>
      </c>
      <c r="CD472" s="5" t="n">
        <v>7.95</v>
      </c>
      <c r="CE472" s="5" t="n">
        <v>92.075</v>
      </c>
      <c r="CF472" s="5" t="n">
        <v>212.14</v>
      </c>
      <c r="CG472" s="5" t="n">
        <v>0.21</v>
      </c>
      <c r="CH472" s="5" t="n">
        <v>1</v>
      </c>
      <c r="CI472" s="5" t="n">
        <v>0</v>
      </c>
      <c r="CJ472" s="5" t="n">
        <v>0</v>
      </c>
      <c r="CK472" s="5" t="n">
        <v>0</v>
      </c>
      <c r="CL472" s="5" t="n">
        <v>0</v>
      </c>
      <c r="CM472" s="5" t="n">
        <v>0</v>
      </c>
      <c r="CN472" s="5" t="n">
        <v>0</v>
      </c>
      <c r="CO472" s="5" t="n">
        <v>0</v>
      </c>
      <c r="CP472" s="5" t="n">
        <v>0.123</v>
      </c>
      <c r="CQ472" s="5" t="n">
        <v>1.348</v>
      </c>
      <c r="CR472" s="5" t="n">
        <v>0</v>
      </c>
      <c r="CS472" s="5" t="n">
        <v>5.37</v>
      </c>
      <c r="CT472" s="5" t="n">
        <v>5.556</v>
      </c>
      <c r="CU472" s="5" t="n">
        <v>23.771</v>
      </c>
    </row>
    <row r="473">
      <c r="A473" s="5" t="inlineStr">
        <is>
          <t>LTU2024</t>
        </is>
      </c>
      <c r="B473" s="5" t="inlineStr">
        <is>
          <t>LTU</t>
        </is>
      </c>
      <c r="C473" s="5" t="inlineStr">
        <is>
          <t>LTU</t>
        </is>
      </c>
      <c r="D473" s="5" t="inlineStr">
        <is>
          <t>Lithuania</t>
        </is>
      </c>
      <c r="E473" s="5" t="n">
        <v>2024</v>
      </c>
      <c r="F473" s="5" t="n">
        <v>0.21</v>
      </c>
      <c r="G473" s="5" t="n">
        <v>5.582</v>
      </c>
      <c r="H473" s="5" t="n">
        <v>1.242</v>
      </c>
      <c r="I473" s="5" t="n">
        <v>6.487</v>
      </c>
      <c r="J473" s="5" t="n">
        <v>12.069</v>
      </c>
      <c r="K473" s="5" t="n">
        <v>0</v>
      </c>
      <c r="L473" s="5" t="n">
        <v>1</v>
      </c>
      <c r="M473" s="5" t="n">
        <v>6.662</v>
      </c>
      <c r="N473" s="5" t="n">
        <v>3.726</v>
      </c>
      <c r="O473" s="5" t="n">
        <v>6.49</v>
      </c>
      <c r="P473" s="5" t="n">
        <v>13.152</v>
      </c>
      <c r="Q473" s="5" t="n">
        <v>0</v>
      </c>
      <c r="R473" s="5" t="n">
        <v>1</v>
      </c>
      <c r="S473" s="5" t="n">
        <v>11.793</v>
      </c>
      <c r="T473" s="5" t="n">
        <v>7.453</v>
      </c>
      <c r="U473" s="5" t="n">
        <v>0.823</v>
      </c>
      <c r="V473" s="5" t="n">
        <v>14.841</v>
      </c>
      <c r="W473" s="5" t="n">
        <v>0.21</v>
      </c>
      <c r="X473" s="5" t="n">
        <v>1</v>
      </c>
      <c r="Y473" s="5" t="n">
        <v>12.917</v>
      </c>
      <c r="Z473" s="5" t="n">
        <v>1.631</v>
      </c>
      <c r="AA473" s="5" t="n">
        <v>4.143</v>
      </c>
      <c r="AB473" s="5" t="n">
        <v>17.06</v>
      </c>
      <c r="AC473" s="5" t="n">
        <v>0</v>
      </c>
      <c r="AD473" s="5" t="n">
        <v>1</v>
      </c>
      <c r="AE473" s="5" t="n">
        <v>12.917</v>
      </c>
      <c r="AF473" s="5" t="n">
        <v>2.83</v>
      </c>
      <c r="AG473" s="5" t="n">
        <v>4.143</v>
      </c>
      <c r="AH473" s="5" t="n">
        <v>17.06</v>
      </c>
      <c r="AI473" s="5" t="n">
        <v>0</v>
      </c>
      <c r="AJ473" s="5" t="n">
        <v>1</v>
      </c>
      <c r="AK473" s="5" t="n">
        <v>18.212</v>
      </c>
      <c r="AL473" s="5" t="n">
        <v>9.263</v>
      </c>
      <c r="AM473" s="5" t="n">
        <v>-1.627</v>
      </c>
      <c r="AN473" s="5" t="n">
        <v>20.067</v>
      </c>
      <c r="AO473" s="5" t="n">
        <v>0.21</v>
      </c>
      <c r="AP473" s="5" t="n">
        <v>1</v>
      </c>
      <c r="AQ473" s="5" t="n">
        <v>0.724</v>
      </c>
      <c r="AR473" s="5" t="n">
        <v>0.132</v>
      </c>
      <c r="AS473" s="5" t="n">
        <v>0.576</v>
      </c>
      <c r="AT473" s="5" t="n">
        <v>1.574</v>
      </c>
      <c r="AU473" s="5" t="n">
        <v>0.21</v>
      </c>
      <c r="AV473" s="5" t="n">
        <v>1</v>
      </c>
      <c r="AW473" s="5" t="n">
        <v>0.75</v>
      </c>
      <c r="AX473" s="5" t="n">
        <v>0.132</v>
      </c>
      <c r="AY473" s="5" t="n">
        <v>0.553</v>
      </c>
      <c r="AZ473" s="5" t="n">
        <v>1.576</v>
      </c>
      <c r="BA473" s="5" t="n">
        <v>0.21</v>
      </c>
      <c r="BB473" s="5" t="n">
        <v>1</v>
      </c>
      <c r="BC473" s="5" t="n">
        <v>0.513</v>
      </c>
      <c r="BD473" s="5" t="n">
        <v>0.132</v>
      </c>
      <c r="BE473" s="5" t="n">
        <v>0.064</v>
      </c>
      <c r="BF473" s="5" t="n">
        <v>0.698</v>
      </c>
      <c r="BG473" s="5" t="n">
        <v>0.21</v>
      </c>
      <c r="BH473" s="5" t="n">
        <v>1</v>
      </c>
      <c r="BI473" s="5" t="n">
        <v>0.591</v>
      </c>
      <c r="BJ473" s="5" t="n">
        <v>0.132</v>
      </c>
      <c r="BK473" s="5" t="n">
        <v>0.219</v>
      </c>
      <c r="BL473" s="5" t="n">
        <v>0.981</v>
      </c>
      <c r="BM473" s="5" t="n">
        <v>0.21</v>
      </c>
      <c r="BN473" s="5" t="n">
        <v>1</v>
      </c>
      <c r="BO473" s="5" t="n">
        <v>0</v>
      </c>
      <c r="BP473" s="5" t="n">
        <v>0</v>
      </c>
      <c r="BQ473" s="5" t="n">
        <v>0.156</v>
      </c>
      <c r="BR473" s="5" t="n">
        <v>0</v>
      </c>
      <c r="BS473" s="5" t="n">
        <v>1</v>
      </c>
      <c r="BT473" s="5" t="n">
        <v>0</v>
      </c>
      <c r="BU473" s="5" t="n">
        <v>0</v>
      </c>
      <c r="BV473" s="5" t="n">
        <v>0.241</v>
      </c>
      <c r="BW473" s="5" t="n">
        <v>0.21</v>
      </c>
      <c r="BX473" s="5" t="n">
        <v>1</v>
      </c>
      <c r="BY473" s="5" t="n">
        <v>13.646</v>
      </c>
      <c r="BZ473" s="5" t="n">
        <v>0</v>
      </c>
      <c r="CA473" s="5" t="n">
        <v>13.646</v>
      </c>
      <c r="CB473" s="5" t="n">
        <v>0</v>
      </c>
      <c r="CC473" s="5" t="n">
        <v>82.58799999999999</v>
      </c>
      <c r="CD473" s="5" t="n">
        <v>7.95</v>
      </c>
      <c r="CE473" s="5" t="n">
        <v>74.059</v>
      </c>
      <c r="CF473" s="5" t="n">
        <v>189.543</v>
      </c>
      <c r="CG473" s="5" t="n">
        <v>0.21</v>
      </c>
      <c r="CH473" s="5" t="n">
        <v>1</v>
      </c>
      <c r="CI473" s="5" t="n">
        <v>0</v>
      </c>
      <c r="CJ473" s="5" t="n">
        <v>0</v>
      </c>
      <c r="CK473" s="5" t="n">
        <v>0</v>
      </c>
      <c r="CL473" s="5" t="n">
        <v>0</v>
      </c>
      <c r="CM473" s="5" t="n">
        <v>0</v>
      </c>
      <c r="CN473" s="5" t="n">
        <v>0</v>
      </c>
      <c r="CO473" s="5" t="n">
        <v>0</v>
      </c>
      <c r="CP473" s="5" t="n">
        <v>0.123</v>
      </c>
      <c r="CQ473" s="5" t="n">
        <v>1.387</v>
      </c>
      <c r="CR473" s="5" t="n">
        <v>0</v>
      </c>
      <c r="CS473" s="5" t="n">
        <v>5.529</v>
      </c>
      <c r="CT473" s="5" t="n">
        <v>4.755</v>
      </c>
      <c r="CU473" s="5" t="n">
        <v>11.45</v>
      </c>
    </row>
    <row r="474">
      <c r="A474" s="5" t="inlineStr">
        <is>
          <t>LUX2021</t>
        </is>
      </c>
      <c r="B474" s="5" t="inlineStr">
        <is>
          <t>LUX</t>
        </is>
      </c>
      <c r="C474" s="5" t="inlineStr">
        <is>
          <t>LUX</t>
        </is>
      </c>
      <c r="D474" s="5" t="inlineStr">
        <is>
          <t>Luxembourg</t>
        </is>
      </c>
      <c r="E474" s="5" t="n">
        <v>2021</v>
      </c>
      <c r="F474" s="5" t="n">
        <v>0.17</v>
      </c>
      <c r="G474" s="5" t="n">
        <v>20.242</v>
      </c>
      <c r="H474" s="5" t="n">
        <v>1.128</v>
      </c>
      <c r="I474" s="5" t="n">
        <v>2.388</v>
      </c>
      <c r="J474" s="5" t="n">
        <v>22.63</v>
      </c>
      <c r="K474" s="5" t="n">
        <v>0</v>
      </c>
      <c r="L474" s="5" t="n">
        <v>1</v>
      </c>
      <c r="M474" s="5" t="n">
        <v>7.832</v>
      </c>
      <c r="N474" s="5" t="n">
        <v>3.385</v>
      </c>
      <c r="O474" s="5" t="n">
        <v>2.638</v>
      </c>
      <c r="P474" s="5" t="n">
        <v>10.47</v>
      </c>
      <c r="Q474" s="5" t="n">
        <v>0</v>
      </c>
      <c r="R474" s="5" t="n">
        <v>1</v>
      </c>
      <c r="S474" s="5" t="n">
        <v>25.883</v>
      </c>
      <c r="T474" s="5" t="n">
        <v>6.77</v>
      </c>
      <c r="U474" s="5" t="n">
        <v>0</v>
      </c>
      <c r="V474" s="5" t="n">
        <v>30.284</v>
      </c>
      <c r="W474" s="5" t="n">
        <v>0.17</v>
      </c>
      <c r="X474" s="5" t="n">
        <v>1</v>
      </c>
      <c r="Y474" s="5" t="n">
        <v>18.008</v>
      </c>
      <c r="Z474" s="5" t="n">
        <v>1.989</v>
      </c>
      <c r="AA474" s="5" t="n">
        <v>-3.858</v>
      </c>
      <c r="AB474" s="5" t="n">
        <v>14.15</v>
      </c>
      <c r="AC474" s="5" t="n">
        <v>0</v>
      </c>
      <c r="AD474" s="5" t="n">
        <v>1</v>
      </c>
      <c r="AE474" s="5" t="n">
        <v>17.964</v>
      </c>
      <c r="AF474" s="5" t="n">
        <v>3.535</v>
      </c>
      <c r="AG474" s="5" t="n">
        <v>-3.815</v>
      </c>
      <c r="AH474" s="5" t="n">
        <v>14.15</v>
      </c>
      <c r="AI474" s="5" t="n">
        <v>0</v>
      </c>
      <c r="AJ474" s="5" t="n">
        <v>1</v>
      </c>
      <c r="AK474" s="5" t="n">
        <v>22.537</v>
      </c>
      <c r="AL474" s="5" t="n">
        <v>11.061</v>
      </c>
      <c r="AM474" s="5" t="n">
        <v>-7.409</v>
      </c>
      <c r="AN474" s="5" t="n">
        <v>17.7</v>
      </c>
      <c r="AO474" s="5" t="n">
        <v>0</v>
      </c>
      <c r="AP474" s="5" t="n">
        <v>1</v>
      </c>
      <c r="AQ474" s="5" t="n">
        <v>0.619</v>
      </c>
      <c r="AR474" s="5" t="n">
        <v>0.114</v>
      </c>
      <c r="AS474" s="5" t="n">
        <v>0.727</v>
      </c>
      <c r="AT474" s="5" t="n">
        <v>1.575</v>
      </c>
      <c r="AU474" s="5" t="n">
        <v>0.17</v>
      </c>
      <c r="AV474" s="5" t="n">
        <v>1</v>
      </c>
      <c r="AW474" s="5" t="n">
        <v>0.599</v>
      </c>
      <c r="AX474" s="5" t="n">
        <v>0.114</v>
      </c>
      <c r="AY474" s="5" t="n">
        <v>0.638</v>
      </c>
      <c r="AZ474" s="5" t="n">
        <v>1.447</v>
      </c>
      <c r="BA474" s="5" t="n">
        <v>0.17</v>
      </c>
      <c r="BB474" s="5" t="n">
        <v>1</v>
      </c>
      <c r="BC474" s="5" t="n">
        <v>0.439</v>
      </c>
      <c r="BD474" s="5" t="n">
        <v>0.114</v>
      </c>
      <c r="BE474" s="5" t="n">
        <v>0.213</v>
      </c>
      <c r="BF474" s="5" t="n">
        <v>0.763</v>
      </c>
      <c r="BG474" s="5" t="n">
        <v>0.17</v>
      </c>
      <c r="BH474" s="5" t="n">
        <v>1</v>
      </c>
      <c r="BI474" s="5" t="n">
        <v>0.505</v>
      </c>
      <c r="BJ474" s="5" t="n">
        <v>0.114</v>
      </c>
      <c r="BK474" s="5" t="n">
        <v>0.166</v>
      </c>
      <c r="BL474" s="5" t="n">
        <v>0.785</v>
      </c>
      <c r="BM474" s="5" t="n">
        <v>0.17</v>
      </c>
      <c r="BN474" s="5" t="n">
        <v>1</v>
      </c>
      <c r="BO474" s="5" t="n">
        <v>0</v>
      </c>
      <c r="BP474" s="5" t="n">
        <v>0</v>
      </c>
      <c r="BQ474" s="5" t="n">
        <v>0.07000000000000001</v>
      </c>
      <c r="BR474" s="5" t="n">
        <v>0</v>
      </c>
      <c r="BS474" s="5" t="n">
        <v>1</v>
      </c>
      <c r="BT474" s="5" t="n">
        <v>0</v>
      </c>
      <c r="BU474" s="5" t="n">
        <v>0.044</v>
      </c>
      <c r="BV474" s="5" t="n">
        <v>0.235</v>
      </c>
      <c r="BW474" s="5" t="n">
        <v>0.17</v>
      </c>
      <c r="BX474" s="5" t="n">
        <v>0.833</v>
      </c>
      <c r="BY474" s="5" t="n">
        <v>11.787</v>
      </c>
      <c r="BZ474" s="5" t="n">
        <v>0</v>
      </c>
      <c r="CA474" s="5" t="n">
        <v>11.787</v>
      </c>
      <c r="CB474" s="5" t="n">
        <v>0</v>
      </c>
      <c r="CC474" s="5" t="n">
        <v>78.125</v>
      </c>
      <c r="CD474" s="5" t="n">
        <v>7.95</v>
      </c>
      <c r="CE474" s="5" t="n">
        <v>38.814</v>
      </c>
      <c r="CF474" s="5" t="n">
        <v>136.818</v>
      </c>
      <c r="CG474" s="5" t="n">
        <v>0.17</v>
      </c>
      <c r="CH474" s="5" t="n">
        <v>1</v>
      </c>
      <c r="CI474" s="5" t="n">
        <v>0</v>
      </c>
      <c r="CJ474" s="5" t="n">
        <v>0</v>
      </c>
      <c r="CK474" s="5" t="n">
        <v>0</v>
      </c>
      <c r="CL474" s="5" t="n">
        <v>0</v>
      </c>
      <c r="CM474" s="5" t="n">
        <v>0</v>
      </c>
      <c r="CN474" s="5" t="n">
        <v>0</v>
      </c>
      <c r="CO474" s="5" t="n">
        <v>0</v>
      </c>
      <c r="CP474" s="5" t="n">
        <v>0.026</v>
      </c>
      <c r="CQ474" s="5" t="n">
        <v>1.198</v>
      </c>
      <c r="CR474" s="5" t="n">
        <v>0</v>
      </c>
      <c r="CS474" s="5" t="n">
        <v>4.776</v>
      </c>
      <c r="CT474" s="5" t="n">
        <v>19.598</v>
      </c>
      <c r="CU474" s="5" t="n">
        <v>8.483000000000001</v>
      </c>
    </row>
    <row r="475">
      <c r="A475" s="5" t="inlineStr">
        <is>
          <t>LUX2022</t>
        </is>
      </c>
      <c r="B475" s="5" t="inlineStr">
        <is>
          <t>LUX</t>
        </is>
      </c>
      <c r="C475" s="5" t="inlineStr">
        <is>
          <t>LUX</t>
        </is>
      </c>
      <c r="D475" s="5" t="inlineStr">
        <is>
          <t>Luxembourg</t>
        </is>
      </c>
      <c r="E475" s="5" t="n">
        <v>2022</v>
      </c>
      <c r="F475" s="5" t="n">
        <v>0.17</v>
      </c>
      <c r="G475" s="5" t="n">
        <v>51.306</v>
      </c>
      <c r="H475" s="5" t="n">
        <v>1.235</v>
      </c>
      <c r="I475" s="5" t="n">
        <v>8.414</v>
      </c>
      <c r="J475" s="5" t="n">
        <v>59.72</v>
      </c>
      <c r="K475" s="5" t="n">
        <v>0</v>
      </c>
      <c r="L475" s="5" t="n">
        <v>1</v>
      </c>
      <c r="M475" s="5" t="n">
        <v>9.782999999999999</v>
      </c>
      <c r="N475" s="5" t="n">
        <v>3.704</v>
      </c>
      <c r="O475" s="5" t="n">
        <v>8.696</v>
      </c>
      <c r="P475" s="5" t="n">
        <v>18.479</v>
      </c>
      <c r="Q475" s="5" t="n">
        <v>0</v>
      </c>
      <c r="R475" s="5" t="n">
        <v>1</v>
      </c>
      <c r="S475" s="5" t="n">
        <v>57.479</v>
      </c>
      <c r="T475" s="5" t="n">
        <v>7.408</v>
      </c>
      <c r="U475" s="5" t="n">
        <v>4.097</v>
      </c>
      <c r="V475" s="5" t="n">
        <v>71.149</v>
      </c>
      <c r="W475" s="5" t="n">
        <v>0.17</v>
      </c>
      <c r="X475" s="5" t="n">
        <v>1</v>
      </c>
      <c r="Y475" s="5" t="n">
        <v>17.17</v>
      </c>
      <c r="Z475" s="5" t="n">
        <v>1.801</v>
      </c>
      <c r="AA475" s="5" t="n">
        <v>15.647</v>
      </c>
      <c r="AB475" s="5" t="n">
        <v>32.817</v>
      </c>
      <c r="AC475" s="5" t="n">
        <v>0</v>
      </c>
      <c r="AD475" s="5" t="n">
        <v>1</v>
      </c>
      <c r="AE475" s="5" t="n">
        <v>17.218</v>
      </c>
      <c r="AF475" s="5" t="n">
        <v>3.192</v>
      </c>
      <c r="AG475" s="5" t="n">
        <v>15.599</v>
      </c>
      <c r="AH475" s="5" t="n">
        <v>32.817</v>
      </c>
      <c r="AI475" s="5" t="n">
        <v>0</v>
      </c>
      <c r="AJ475" s="5" t="n">
        <v>1</v>
      </c>
      <c r="AK475" s="5" t="n">
        <v>22.157</v>
      </c>
      <c r="AL475" s="5" t="n">
        <v>10.581</v>
      </c>
      <c r="AM475" s="5" t="n">
        <v>-0.324</v>
      </c>
      <c r="AN475" s="5" t="n">
        <v>25.545</v>
      </c>
      <c r="AO475" s="5" t="n">
        <v>0</v>
      </c>
      <c r="AP475" s="5" t="n">
        <v>1</v>
      </c>
      <c r="AQ475" s="5" t="n">
        <v>0.861</v>
      </c>
      <c r="AR475" s="5" t="n">
        <v>0.123</v>
      </c>
      <c r="AS475" s="5" t="n">
        <v>0.648</v>
      </c>
      <c r="AT475" s="5" t="n">
        <v>1.765</v>
      </c>
      <c r="AU475" s="5" t="n">
        <v>0.17</v>
      </c>
      <c r="AV475" s="5" t="n">
        <v>1</v>
      </c>
      <c r="AW475" s="5" t="n">
        <v>0.986</v>
      </c>
      <c r="AX475" s="5" t="n">
        <v>0.123</v>
      </c>
      <c r="AY475" s="5" t="n">
        <v>0.584</v>
      </c>
      <c r="AZ475" s="5" t="n">
        <v>1.837</v>
      </c>
      <c r="BA475" s="5" t="n">
        <v>0.17</v>
      </c>
      <c r="BB475" s="5" t="n">
        <v>1</v>
      </c>
      <c r="BC475" s="5" t="n">
        <v>0.598</v>
      </c>
      <c r="BD475" s="5" t="n">
        <v>0.123</v>
      </c>
      <c r="BE475" s="5" t="n">
        <v>0.13</v>
      </c>
      <c r="BF475" s="5" t="n">
        <v>0.851</v>
      </c>
      <c r="BG475" s="5" t="n">
        <v>0.17</v>
      </c>
      <c r="BH475" s="5" t="n">
        <v>1</v>
      </c>
      <c r="BI475" s="5" t="n">
        <v>0.612</v>
      </c>
      <c r="BJ475" s="5" t="n">
        <v>0.123</v>
      </c>
      <c r="BK475" s="5" t="n">
        <v>0.455</v>
      </c>
      <c r="BL475" s="5" t="n">
        <v>1.248</v>
      </c>
      <c r="BM475" s="5" t="n">
        <v>0.17</v>
      </c>
      <c r="BN475" s="5" t="n">
        <v>1</v>
      </c>
      <c r="BO475" s="5" t="n">
        <v>0</v>
      </c>
      <c r="BP475" s="5" t="n">
        <v>0</v>
      </c>
      <c r="BQ475" s="5" t="n">
        <v>0.095</v>
      </c>
      <c r="BR475" s="5" t="n">
        <v>0</v>
      </c>
      <c r="BS475" s="5" t="n">
        <v>1</v>
      </c>
      <c r="BT475" s="5" t="n">
        <v>0</v>
      </c>
      <c r="BU475" s="5" t="n">
        <v>0.021</v>
      </c>
      <c r="BV475" s="5" t="n">
        <v>0.214</v>
      </c>
      <c r="BW475" s="5" t="n">
        <v>0.17</v>
      </c>
      <c r="BX475" s="5" t="n">
        <v>0.833</v>
      </c>
      <c r="BY475" s="5" t="n">
        <v>12.729</v>
      </c>
      <c r="BZ475" s="5" t="n">
        <v>0</v>
      </c>
      <c r="CA475" s="5" t="n">
        <v>12.729</v>
      </c>
      <c r="CB475" s="5" t="n">
        <v>0</v>
      </c>
      <c r="CC475" s="5" t="n">
        <v>97.90000000000001</v>
      </c>
      <c r="CD475" s="5" t="n">
        <v>7.95</v>
      </c>
      <c r="CE475" s="5" t="n">
        <v>105.678</v>
      </c>
      <c r="CF475" s="5" t="n">
        <v>238.187</v>
      </c>
      <c r="CG475" s="5" t="n">
        <v>0.17</v>
      </c>
      <c r="CH475" s="5" t="n">
        <v>1</v>
      </c>
      <c r="CI475" s="5" t="n">
        <v>0</v>
      </c>
      <c r="CJ475" s="5" t="n">
        <v>0</v>
      </c>
      <c r="CK475" s="5" t="n">
        <v>0</v>
      </c>
      <c r="CL475" s="5" t="n">
        <v>0</v>
      </c>
      <c r="CM475" s="5" t="n">
        <v>0</v>
      </c>
      <c r="CN475" s="5" t="n">
        <v>0</v>
      </c>
      <c r="CO475" s="5" t="n">
        <v>0</v>
      </c>
      <c r="CP475" s="5" t="n">
        <v>0</v>
      </c>
      <c r="CQ475" s="5" t="n">
        <v>1.294</v>
      </c>
      <c r="CR475" s="5" t="n">
        <v>0</v>
      </c>
      <c r="CS475" s="5" t="n">
        <v>5.158</v>
      </c>
      <c r="CT475" s="5" t="n">
        <v>50.071</v>
      </c>
      <c r="CU475" s="5" t="n">
        <v>7.554</v>
      </c>
    </row>
    <row r="476">
      <c r="A476" s="5" t="inlineStr">
        <is>
          <t>LUX2023</t>
        </is>
      </c>
      <c r="B476" s="5" t="inlineStr">
        <is>
          <t>LUX</t>
        </is>
      </c>
      <c r="C476" s="5" t="inlineStr">
        <is>
          <t>LUX</t>
        </is>
      </c>
      <c r="D476" s="5" t="inlineStr">
        <is>
          <t>Luxembourg</t>
        </is>
      </c>
      <c r="E476" s="5" t="n">
        <v>2023</v>
      </c>
      <c r="F476" s="5" t="n">
        <v>0.17</v>
      </c>
      <c r="G476" s="5" t="n">
        <v>25.29</v>
      </c>
      <c r="H476" s="5" t="n">
        <v>1.283</v>
      </c>
      <c r="I476" s="5" t="n">
        <v>9.750999999999999</v>
      </c>
      <c r="J476" s="5" t="n">
        <v>35.041</v>
      </c>
      <c r="K476" s="5" t="n">
        <v>0</v>
      </c>
      <c r="L476" s="5" t="n">
        <v>1</v>
      </c>
      <c r="M476" s="5" t="n">
        <v>7.869</v>
      </c>
      <c r="N476" s="5" t="n">
        <v>3.85</v>
      </c>
      <c r="O476" s="5" t="n">
        <v>10.033</v>
      </c>
      <c r="P476" s="5" t="n">
        <v>17.901</v>
      </c>
      <c r="Q476" s="5" t="n">
        <v>0</v>
      </c>
      <c r="R476" s="5" t="n">
        <v>1</v>
      </c>
      <c r="S476" s="5" t="n">
        <v>31.707</v>
      </c>
      <c r="T476" s="5" t="n">
        <v>7.699</v>
      </c>
      <c r="U476" s="5" t="n">
        <v>4.55</v>
      </c>
      <c r="V476" s="5" t="n">
        <v>41.636</v>
      </c>
      <c r="W476" s="5" t="n">
        <v>0.17</v>
      </c>
      <c r="X476" s="5" t="n">
        <v>1</v>
      </c>
      <c r="Y476" s="5" t="n">
        <v>17.42</v>
      </c>
      <c r="Z476" s="5" t="n">
        <v>1.951</v>
      </c>
      <c r="AA476" s="5" t="n">
        <v>19.513</v>
      </c>
      <c r="AB476" s="5" t="n">
        <v>36.933</v>
      </c>
      <c r="AC476" s="5" t="n">
        <v>0</v>
      </c>
      <c r="AD476" s="5" t="n">
        <v>1</v>
      </c>
      <c r="AE476" s="5" t="n">
        <v>17.519</v>
      </c>
      <c r="AF476" s="5" t="n">
        <v>3.489</v>
      </c>
      <c r="AG476" s="5" t="n">
        <v>19.415</v>
      </c>
      <c r="AH476" s="5" t="n">
        <v>36.933</v>
      </c>
      <c r="AI476" s="5" t="n">
        <v>0</v>
      </c>
      <c r="AJ476" s="5" t="n">
        <v>1</v>
      </c>
      <c r="AK476" s="5" t="n">
        <v>22.661</v>
      </c>
      <c r="AL476" s="5" t="n">
        <v>11.226</v>
      </c>
      <c r="AM476" s="5" t="n">
        <v>-0.518</v>
      </c>
      <c r="AN476" s="5" t="n">
        <v>25.908</v>
      </c>
      <c r="AO476" s="5" t="n">
        <v>0</v>
      </c>
      <c r="AP476" s="5" t="n">
        <v>1</v>
      </c>
      <c r="AQ476" s="5" t="n">
        <v>0.76</v>
      </c>
      <c r="AR476" s="5" t="n">
        <v>0.129</v>
      </c>
      <c r="AS476" s="5" t="n">
        <v>0.6899999999999999</v>
      </c>
      <c r="AT476" s="5" t="n">
        <v>1.697</v>
      </c>
      <c r="AU476" s="5" t="n">
        <v>0.17</v>
      </c>
      <c r="AV476" s="5" t="n">
        <v>1</v>
      </c>
      <c r="AW476" s="5" t="n">
        <v>0.8110000000000001</v>
      </c>
      <c r="AX476" s="5" t="n">
        <v>0.129</v>
      </c>
      <c r="AY476" s="5" t="n">
        <v>0.607</v>
      </c>
      <c r="AZ476" s="5" t="n">
        <v>1.659</v>
      </c>
      <c r="BA476" s="5" t="n">
        <v>0.17</v>
      </c>
      <c r="BB476" s="5" t="n">
        <v>1</v>
      </c>
      <c r="BC476" s="5" t="n">
        <v>0.535</v>
      </c>
      <c r="BD476" s="5" t="n">
        <v>0.129</v>
      </c>
      <c r="BE476" s="5" t="n">
        <v>0.112</v>
      </c>
      <c r="BF476" s="5" t="n">
        <v>0.757</v>
      </c>
      <c r="BG476" s="5" t="n">
        <v>0.17</v>
      </c>
      <c r="BH476" s="5" t="n">
        <v>1</v>
      </c>
      <c r="BI476" s="5" t="n">
        <v>0.579</v>
      </c>
      <c r="BJ476" s="5" t="n">
        <v>0.129</v>
      </c>
      <c r="BK476" s="5" t="n">
        <v>0.288</v>
      </c>
      <c r="BL476" s="5" t="n">
        <v>1.015</v>
      </c>
      <c r="BM476" s="5" t="n">
        <v>0.17</v>
      </c>
      <c r="BN476" s="5" t="n">
        <v>1</v>
      </c>
      <c r="BO476" s="5" t="n">
        <v>0</v>
      </c>
      <c r="BP476" s="5" t="n">
        <v>0</v>
      </c>
      <c r="BQ476" s="5" t="n">
        <v>0.175</v>
      </c>
      <c r="BR476" s="5" t="n">
        <v>0</v>
      </c>
      <c r="BS476" s="5" t="n">
        <v>1</v>
      </c>
      <c r="BT476" s="5" t="n">
        <v>0</v>
      </c>
      <c r="BU476" s="5" t="n">
        <v>-0.115</v>
      </c>
      <c r="BV476" s="5" t="n">
        <v>0.217</v>
      </c>
      <c r="BW476" s="5" t="n">
        <v>0.17</v>
      </c>
      <c r="BX476" s="5" t="n">
        <v>0.833</v>
      </c>
      <c r="BY476" s="5" t="n">
        <v>13.254</v>
      </c>
      <c r="BZ476" s="5" t="n">
        <v>0</v>
      </c>
      <c r="CA476" s="5" t="n">
        <v>13.254</v>
      </c>
      <c r="CB476" s="5" t="n">
        <v>0</v>
      </c>
      <c r="CC476" s="5" t="n">
        <v>83.248</v>
      </c>
      <c r="CD476" s="5" t="n">
        <v>7.95</v>
      </c>
      <c r="CE476" s="5" t="n">
        <v>101.368</v>
      </c>
      <c r="CF476" s="5" t="n">
        <v>216</v>
      </c>
      <c r="CG476" s="5" t="n">
        <v>0.17</v>
      </c>
      <c r="CH476" s="5" t="n">
        <v>1</v>
      </c>
      <c r="CI476" s="5" t="n">
        <v>0</v>
      </c>
      <c r="CJ476" s="5" t="n">
        <v>0</v>
      </c>
      <c r="CK476" s="5" t="n">
        <v>0</v>
      </c>
      <c r="CL476" s="5" t="n">
        <v>0</v>
      </c>
      <c r="CM476" s="5" t="n">
        <v>0</v>
      </c>
      <c r="CN476" s="5" t="n">
        <v>0</v>
      </c>
      <c r="CO476" s="5" t="n">
        <v>0</v>
      </c>
      <c r="CP476" s="5" t="n">
        <v>0.004</v>
      </c>
      <c r="CQ476" s="5" t="n">
        <v>1.348</v>
      </c>
      <c r="CR476" s="5" t="n">
        <v>0</v>
      </c>
      <c r="CS476" s="5" t="n">
        <v>5.37</v>
      </c>
      <c r="CT476" s="5" t="n">
        <v>24.093</v>
      </c>
      <c r="CU476" s="5" t="n">
        <v>7.753</v>
      </c>
    </row>
    <row r="477">
      <c r="A477" s="5" t="inlineStr">
        <is>
          <t>LUX2024</t>
        </is>
      </c>
      <c r="B477" s="5" t="inlineStr">
        <is>
          <t>LUX</t>
        </is>
      </c>
      <c r="C477" s="5" t="inlineStr">
        <is>
          <t>LUX</t>
        </is>
      </c>
      <c r="D477" s="5" t="inlineStr">
        <is>
          <t>Luxembourg</t>
        </is>
      </c>
      <c r="E477" s="5" t="n">
        <v>2024</v>
      </c>
      <c r="F477" s="5" t="n">
        <v>0.17</v>
      </c>
      <c r="G477" s="5" t="n">
        <v>20.108</v>
      </c>
      <c r="H477" s="5" t="n">
        <v>1.321</v>
      </c>
      <c r="I477" s="5" t="n">
        <v>6.39</v>
      </c>
      <c r="J477" s="5" t="n">
        <v>26.498</v>
      </c>
      <c r="K477" s="5" t="n">
        <v>0</v>
      </c>
      <c r="L477" s="5" t="n">
        <v>1</v>
      </c>
      <c r="M477" s="5" t="n">
        <v>7.109</v>
      </c>
      <c r="N477" s="5" t="n">
        <v>3.963</v>
      </c>
      <c r="O477" s="5" t="n">
        <v>6.649</v>
      </c>
      <c r="P477" s="5" t="n">
        <v>13.758</v>
      </c>
      <c r="Q477" s="5" t="n">
        <v>0</v>
      </c>
      <c r="R477" s="5" t="n">
        <v>1</v>
      </c>
      <c r="S477" s="5" t="n">
        <v>26.714</v>
      </c>
      <c r="T477" s="5" t="n">
        <v>7.927</v>
      </c>
      <c r="U477" s="5" t="n">
        <v>5.134</v>
      </c>
      <c r="V477" s="5" t="n">
        <v>36.419</v>
      </c>
      <c r="W477" s="5" t="n">
        <v>0.17</v>
      </c>
      <c r="X477" s="5" t="n">
        <v>1</v>
      </c>
      <c r="Y477" s="5" t="n">
        <v>20.004</v>
      </c>
      <c r="Z477" s="5" t="n">
        <v>2.526</v>
      </c>
      <c r="AA477" s="5" t="n">
        <v>5.192</v>
      </c>
      <c r="AB477" s="5" t="n">
        <v>25.196</v>
      </c>
      <c r="AC477" s="5" t="n">
        <v>0</v>
      </c>
      <c r="AD477" s="5" t="n">
        <v>1</v>
      </c>
      <c r="AE477" s="5" t="n">
        <v>20.004</v>
      </c>
      <c r="AF477" s="5" t="n">
        <v>4.382</v>
      </c>
      <c r="AG477" s="5" t="n">
        <v>5.192</v>
      </c>
      <c r="AH477" s="5" t="n">
        <v>25.196</v>
      </c>
      <c r="AI477" s="5" t="n">
        <v>0</v>
      </c>
      <c r="AJ477" s="5" t="n">
        <v>1</v>
      </c>
      <c r="AK477" s="5" t="n">
        <v>25.298</v>
      </c>
      <c r="AL477" s="5" t="n">
        <v>12.867</v>
      </c>
      <c r="AM477" s="5" t="n">
        <v>-4.546</v>
      </c>
      <c r="AN477" s="5" t="n">
        <v>24.28</v>
      </c>
      <c r="AO477" s="5" t="n">
        <v>0</v>
      </c>
      <c r="AP477" s="5" t="n">
        <v>1</v>
      </c>
      <c r="AQ477" s="5" t="n">
        <v>0.724</v>
      </c>
      <c r="AR477" s="5" t="n">
        <v>0.132</v>
      </c>
      <c r="AS477" s="5" t="n">
        <v>0.698</v>
      </c>
      <c r="AT477" s="5" t="n">
        <v>1.664</v>
      </c>
      <c r="AU477" s="5" t="n">
        <v>0.17</v>
      </c>
      <c r="AV477" s="5" t="n">
        <v>1</v>
      </c>
      <c r="AW477" s="5" t="n">
        <v>0.75</v>
      </c>
      <c r="AX477" s="5" t="n">
        <v>0.132</v>
      </c>
      <c r="AY477" s="5" t="n">
        <v>0.622</v>
      </c>
      <c r="AZ477" s="5" t="n">
        <v>1.606</v>
      </c>
      <c r="BA477" s="5" t="n">
        <v>0.17</v>
      </c>
      <c r="BB477" s="5" t="n">
        <v>1</v>
      </c>
      <c r="BC477" s="5" t="n">
        <v>0.513</v>
      </c>
      <c r="BD477" s="5" t="n">
        <v>0.132</v>
      </c>
      <c r="BE477" s="5" t="n">
        <v>0.16</v>
      </c>
      <c r="BF477" s="5" t="n">
        <v>0.787</v>
      </c>
      <c r="BG477" s="5" t="n">
        <v>0.17</v>
      </c>
      <c r="BH477" s="5" t="n">
        <v>1</v>
      </c>
      <c r="BI477" s="5" t="n">
        <v>0.591</v>
      </c>
      <c r="BJ477" s="5" t="n">
        <v>0.132</v>
      </c>
      <c r="BK477" s="5" t="n">
        <v>0.224</v>
      </c>
      <c r="BL477" s="5" t="n">
        <v>0.954</v>
      </c>
      <c r="BM477" s="5" t="n">
        <v>0.17</v>
      </c>
      <c r="BN477" s="5" t="n">
        <v>1</v>
      </c>
      <c r="BO477" s="5" t="n">
        <v>0</v>
      </c>
      <c r="BP477" s="5" t="n">
        <v>0</v>
      </c>
      <c r="BQ477" s="5" t="n">
        <v>0.147</v>
      </c>
      <c r="BR477" s="5" t="n">
        <v>0</v>
      </c>
      <c r="BS477" s="5" t="n">
        <v>1</v>
      </c>
      <c r="BT477" s="5" t="n">
        <v>0</v>
      </c>
      <c r="BU477" s="5" t="n">
        <v>-0.124</v>
      </c>
      <c r="BV477" s="5" t="n">
        <v>0.219</v>
      </c>
      <c r="BW477" s="5" t="n">
        <v>0.17</v>
      </c>
      <c r="BX477" s="5" t="n">
        <v>0.833</v>
      </c>
      <c r="BY477" s="5" t="n">
        <v>13.646</v>
      </c>
      <c r="BZ477" s="5" t="n">
        <v>0</v>
      </c>
      <c r="CA477" s="5" t="n">
        <v>13.646</v>
      </c>
      <c r="CB477" s="5" t="n">
        <v>0</v>
      </c>
      <c r="CC477" s="5" t="n">
        <v>82.58799999999999</v>
      </c>
      <c r="CD477" s="5" t="n">
        <v>7.95</v>
      </c>
      <c r="CE477" s="5" t="n">
        <v>81.879</v>
      </c>
      <c r="CF477" s="5" t="n">
        <v>192.427</v>
      </c>
      <c r="CG477" s="5" t="n">
        <v>0.17</v>
      </c>
      <c r="CH477" s="5" t="n">
        <v>1</v>
      </c>
      <c r="CI477" s="5" t="n">
        <v>0</v>
      </c>
      <c r="CJ477" s="5" t="n">
        <v>0</v>
      </c>
      <c r="CK477" s="5" t="n">
        <v>0</v>
      </c>
      <c r="CL477" s="5" t="n">
        <v>0</v>
      </c>
      <c r="CM477" s="5" t="n">
        <v>0</v>
      </c>
      <c r="CN477" s="5" t="n">
        <v>0</v>
      </c>
      <c r="CO477" s="5" t="n">
        <v>0</v>
      </c>
      <c r="CP477" s="5" t="n">
        <v>0.004</v>
      </c>
      <c r="CQ477" s="5" t="n">
        <v>1.387</v>
      </c>
      <c r="CR477" s="5" t="n">
        <v>0</v>
      </c>
      <c r="CS477" s="5" t="n">
        <v>5.529</v>
      </c>
      <c r="CT477" s="5" t="n">
        <v>18.853</v>
      </c>
      <c r="CU477" s="5" t="n">
        <v>7.81</v>
      </c>
    </row>
    <row r="478">
      <c r="A478" s="5" t="inlineStr">
        <is>
          <t>MAC2021</t>
        </is>
      </c>
      <c r="B478" s="5" t="inlineStr">
        <is>
          <t>MAC</t>
        </is>
      </c>
      <c r="C478" s="5" t="inlineStr">
        <is>
          <t>MAC</t>
        </is>
      </c>
      <c r="D478" s="5" t="inlineStr">
        <is>
          <t>Macao SAR</t>
        </is>
      </c>
      <c r="E478" s="5" t="n">
        <v>2021</v>
      </c>
      <c r="F478" s="5" t="n">
        <v>0</v>
      </c>
      <c r="G478" s="5" t="n">
        <v>4.747</v>
      </c>
      <c r="H478" s="5" t="n">
        <v>1.143</v>
      </c>
      <c r="I478" s="5" t="n">
        <v>0</v>
      </c>
      <c r="J478" s="5" t="n">
        <v>4.747</v>
      </c>
      <c r="K478" s="5" t="n">
        <v>0</v>
      </c>
      <c r="L478" s="5" t="n">
        <v>1</v>
      </c>
      <c r="M478" s="5" t="n">
        <v>7.964</v>
      </c>
      <c r="N478" s="5" t="n">
        <v>3.43</v>
      </c>
      <c r="O478" s="5" t="n">
        <v>0</v>
      </c>
      <c r="P478" s="5" t="n">
        <v>7.964</v>
      </c>
      <c r="Q478" s="5" t="n">
        <v>0</v>
      </c>
      <c r="R478" s="5" t="n">
        <v>1</v>
      </c>
      <c r="S478" s="5" t="n">
        <v>10.464</v>
      </c>
      <c r="T478" s="5" t="n">
        <v>6.86</v>
      </c>
      <c r="U478" s="5" t="n">
        <v>0</v>
      </c>
      <c r="V478" s="5" t="n">
        <v>10.464</v>
      </c>
      <c r="W478" s="5" t="n">
        <v>0</v>
      </c>
      <c r="X478" s="5" t="n">
        <v>1</v>
      </c>
      <c r="Y478" s="5" t="n">
        <v>10.551</v>
      </c>
      <c r="Z478" s="5" t="n">
        <v>1.302</v>
      </c>
      <c r="AA478" s="5" t="n">
        <v>0</v>
      </c>
      <c r="AB478" s="5" t="n">
        <v>10.551</v>
      </c>
      <c r="AC478" s="5" t="n">
        <v>0</v>
      </c>
      <c r="AD478" s="5" t="n">
        <v>1</v>
      </c>
      <c r="AE478" s="5" t="n">
        <v>11.694</v>
      </c>
      <c r="AF478" s="5" t="n">
        <v>2.549</v>
      </c>
      <c r="AG478" s="5" t="n">
        <v>0</v>
      </c>
      <c r="AH478" s="5" t="n">
        <v>11.694</v>
      </c>
      <c r="AI478" s="5" t="n">
        <v>0</v>
      </c>
      <c r="AJ478" s="5" t="n">
        <v>1</v>
      </c>
      <c r="AK478" s="5" t="n">
        <v>18.554</v>
      </c>
      <c r="AL478" s="5" t="n">
        <v>9.627000000000001</v>
      </c>
      <c r="AM478" s="5" t="n">
        <v>0</v>
      </c>
      <c r="AN478" s="5" t="n">
        <v>18.554</v>
      </c>
      <c r="AO478" s="5" t="n">
        <v>0</v>
      </c>
      <c r="AP478" s="5" t="n">
        <v>1</v>
      </c>
      <c r="AQ478" s="5" t="n">
        <v>0.621</v>
      </c>
      <c r="AR478" s="5" t="n">
        <v>0.114</v>
      </c>
      <c r="AS478" s="5" t="n">
        <v>0</v>
      </c>
      <c r="AT478" s="5" t="n">
        <v>0.621</v>
      </c>
      <c r="AU478" s="5" t="n">
        <v>0</v>
      </c>
      <c r="AV478" s="5" t="n">
        <v>1</v>
      </c>
      <c r="AW478" s="5" t="n">
        <v>0.593</v>
      </c>
      <c r="AX478" s="5" t="n">
        <v>0.114</v>
      </c>
      <c r="AY478" s="5" t="n">
        <v>0</v>
      </c>
      <c r="AZ478" s="5" t="n">
        <v>0.593</v>
      </c>
      <c r="BA478" s="5" t="n">
        <v>0</v>
      </c>
      <c r="BB478" s="5" t="n">
        <v>1</v>
      </c>
      <c r="BC478" s="5" t="n">
        <v>0.44</v>
      </c>
      <c r="BD478" s="5" t="n">
        <v>0.114</v>
      </c>
      <c r="BE478" s="5" t="n">
        <v>0</v>
      </c>
      <c r="BF478" s="5" t="n">
        <v>0.44</v>
      </c>
      <c r="BG478" s="5" t="n">
        <v>0</v>
      </c>
      <c r="BH478" s="5" t="n">
        <v>1</v>
      </c>
      <c r="BI478" s="5" t="n">
        <v>0.5600000000000001</v>
      </c>
      <c r="BJ478" s="5" t="n">
        <v>0.114</v>
      </c>
      <c r="BK478" s="5" t="n">
        <v>0</v>
      </c>
      <c r="BL478" s="5" t="n">
        <v>0.5600000000000001</v>
      </c>
      <c r="BM478" s="5" t="n">
        <v>0</v>
      </c>
      <c r="BN478" s="5" t="n">
        <v>1</v>
      </c>
      <c r="BO478" s="5" t="n">
        <v>0</v>
      </c>
      <c r="BP478" s="5" t="n">
        <v>0</v>
      </c>
      <c r="BQ478" s="5" t="n">
        <v>0.157</v>
      </c>
      <c r="BR478" s="5" t="n">
        <v>0</v>
      </c>
      <c r="BS478" s="5" t="n">
        <v>1</v>
      </c>
      <c r="BT478" s="5" t="n">
        <v>0</v>
      </c>
      <c r="BU478" s="5" t="n">
        <v>0</v>
      </c>
      <c r="BV478" s="5" t="n">
        <v>0.149</v>
      </c>
      <c r="BW478" s="5" t="n">
        <v>0</v>
      </c>
      <c r="BX478" s="5" t="n">
        <v>0.833</v>
      </c>
      <c r="BY478" s="5" t="n">
        <v>11.787</v>
      </c>
      <c r="BZ478" s="5" t="n">
        <v>0</v>
      </c>
      <c r="CA478" s="5" t="n">
        <v>11.787</v>
      </c>
      <c r="CB478" s="5" t="n">
        <v>0</v>
      </c>
      <c r="CC478" s="5" t="n">
        <v>81.69499999999999</v>
      </c>
      <c r="CD478" s="5" t="n">
        <v>7.95</v>
      </c>
      <c r="CE478" s="5" t="n">
        <v>0</v>
      </c>
      <c r="CF478" s="5" t="n">
        <v>81.69499999999999</v>
      </c>
      <c r="CG478" s="5" t="n">
        <v>0</v>
      </c>
      <c r="CH478" s="5" t="n">
        <v>1</v>
      </c>
      <c r="CI478" s="5" t="n">
        <v>0</v>
      </c>
      <c r="CJ478" s="5" t="n">
        <v>0</v>
      </c>
      <c r="CK478" s="5" t="n">
        <v>0</v>
      </c>
      <c r="CL478" s="5" t="n">
        <v>0</v>
      </c>
      <c r="CM478" s="5" t="n">
        <v>0</v>
      </c>
      <c r="CN478" s="5" t="n">
        <v>0</v>
      </c>
      <c r="CO478" s="5" t="n">
        <v>0</v>
      </c>
      <c r="CP478" s="5" t="n">
        <v>0</v>
      </c>
      <c r="CQ478" s="5" t="n">
        <v>1.198</v>
      </c>
      <c r="CR478" s="5" t="n">
        <v>0</v>
      </c>
      <c r="CS478" s="5" t="n">
        <v>4.776</v>
      </c>
      <c r="CT478" s="5" t="n">
        <v>3.604</v>
      </c>
      <c r="CU478" s="5" t="n">
        <v>9.407999999999999</v>
      </c>
    </row>
    <row r="479">
      <c r="A479" s="5" t="inlineStr">
        <is>
          <t>MAC2022</t>
        </is>
      </c>
      <c r="B479" s="5" t="inlineStr">
        <is>
          <t>MAC</t>
        </is>
      </c>
      <c r="C479" s="5" t="inlineStr">
        <is>
          <t>MAC</t>
        </is>
      </c>
      <c r="D479" s="5" t="inlineStr">
        <is>
          <t>Macao SAR</t>
        </is>
      </c>
      <c r="E479" s="5" t="n">
        <v>2022</v>
      </c>
      <c r="F479" s="5" t="n">
        <v>0</v>
      </c>
      <c r="G479" s="5" t="n">
        <v>8.788</v>
      </c>
      <c r="H479" s="5" t="n">
        <v>1.235</v>
      </c>
      <c r="I479" s="5" t="n">
        <v>0</v>
      </c>
      <c r="J479" s="5" t="n">
        <v>8.788</v>
      </c>
      <c r="K479" s="5" t="n">
        <v>0</v>
      </c>
      <c r="L479" s="5" t="n">
        <v>1</v>
      </c>
      <c r="M479" s="5" t="n">
        <v>9.782999999999999</v>
      </c>
      <c r="N479" s="5" t="n">
        <v>3.704</v>
      </c>
      <c r="O479" s="5" t="n">
        <v>0</v>
      </c>
      <c r="P479" s="5" t="n">
        <v>9.782999999999999</v>
      </c>
      <c r="Q479" s="5" t="n">
        <v>0</v>
      </c>
      <c r="R479" s="5" t="n">
        <v>1</v>
      </c>
      <c r="S479" s="5" t="n">
        <v>14.962</v>
      </c>
      <c r="T479" s="5" t="n">
        <v>7.408</v>
      </c>
      <c r="U479" s="5" t="n">
        <v>0</v>
      </c>
      <c r="V479" s="5" t="n">
        <v>14.962</v>
      </c>
      <c r="W479" s="5" t="n">
        <v>0</v>
      </c>
      <c r="X479" s="5" t="n">
        <v>1</v>
      </c>
      <c r="Y479" s="5" t="n">
        <v>17.332</v>
      </c>
      <c r="Z479" s="5" t="n">
        <v>2.139</v>
      </c>
      <c r="AA479" s="5" t="n">
        <v>0</v>
      </c>
      <c r="AB479" s="5" t="n">
        <v>17.332</v>
      </c>
      <c r="AC479" s="5" t="n">
        <v>0</v>
      </c>
      <c r="AD479" s="5" t="n">
        <v>1</v>
      </c>
      <c r="AE479" s="5" t="n">
        <v>18.566</v>
      </c>
      <c r="AF479" s="5" t="n">
        <v>4.048</v>
      </c>
      <c r="AG479" s="5" t="n">
        <v>0</v>
      </c>
      <c r="AH479" s="5" t="n">
        <v>18.566</v>
      </c>
      <c r="AI479" s="5" t="n">
        <v>0</v>
      </c>
      <c r="AJ479" s="5" t="n">
        <v>1</v>
      </c>
      <c r="AK479" s="5" t="n">
        <v>25.974</v>
      </c>
      <c r="AL479" s="5" t="n">
        <v>13.478</v>
      </c>
      <c r="AM479" s="5" t="n">
        <v>0</v>
      </c>
      <c r="AN479" s="5" t="n">
        <v>25.974</v>
      </c>
      <c r="AO479" s="5" t="n">
        <v>0</v>
      </c>
      <c r="AP479" s="5" t="n">
        <v>1</v>
      </c>
      <c r="AQ479" s="5" t="n">
        <v>0.847</v>
      </c>
      <c r="AR479" s="5" t="n">
        <v>0.123</v>
      </c>
      <c r="AS479" s="5" t="n">
        <v>0</v>
      </c>
      <c r="AT479" s="5" t="n">
        <v>0.847</v>
      </c>
      <c r="AU479" s="5" t="n">
        <v>0</v>
      </c>
      <c r="AV479" s="5" t="n">
        <v>1</v>
      </c>
      <c r="AW479" s="5" t="n">
        <v>0.947</v>
      </c>
      <c r="AX479" s="5" t="n">
        <v>0.123</v>
      </c>
      <c r="AY479" s="5" t="n">
        <v>0</v>
      </c>
      <c r="AZ479" s="5" t="n">
        <v>0.947</v>
      </c>
      <c r="BA479" s="5" t="n">
        <v>0</v>
      </c>
      <c r="BB479" s="5" t="n">
        <v>1</v>
      </c>
      <c r="BC479" s="5" t="n">
        <v>0.589</v>
      </c>
      <c r="BD479" s="5" t="n">
        <v>0.123</v>
      </c>
      <c r="BE479" s="5" t="n">
        <v>0</v>
      </c>
      <c r="BF479" s="5" t="n">
        <v>0.589</v>
      </c>
      <c r="BG479" s="5" t="n">
        <v>0</v>
      </c>
      <c r="BH479" s="5" t="n">
        <v>1</v>
      </c>
      <c r="BI479" s="5" t="n">
        <v>0.6889999999999999</v>
      </c>
      <c r="BJ479" s="5" t="n">
        <v>0.123</v>
      </c>
      <c r="BK479" s="5" t="n">
        <v>0</v>
      </c>
      <c r="BL479" s="5" t="n">
        <v>0.6889999999999999</v>
      </c>
      <c r="BM479" s="5" t="n">
        <v>0</v>
      </c>
      <c r="BN479" s="5" t="n">
        <v>1</v>
      </c>
      <c r="BO479" s="5" t="n">
        <v>0</v>
      </c>
      <c r="BP479" s="5" t="n">
        <v>0</v>
      </c>
      <c r="BQ479" s="5" t="n">
        <v>0.16</v>
      </c>
      <c r="BR479" s="5" t="n">
        <v>0</v>
      </c>
      <c r="BS479" s="5" t="n">
        <v>1</v>
      </c>
      <c r="BT479" s="5" t="n">
        <v>0</v>
      </c>
      <c r="BU479" s="5" t="n">
        <v>0</v>
      </c>
      <c r="BV479" s="5" t="n">
        <v>0.155</v>
      </c>
      <c r="BW479" s="5" t="n">
        <v>0</v>
      </c>
      <c r="BX479" s="5" t="n">
        <v>0.833</v>
      </c>
      <c r="BY479" s="5" t="n">
        <v>12.729</v>
      </c>
      <c r="BZ479" s="5" t="n">
        <v>0</v>
      </c>
      <c r="CA479" s="5" t="n">
        <v>12.729</v>
      </c>
      <c r="CB479" s="5" t="n">
        <v>0</v>
      </c>
      <c r="CC479" s="5" t="n">
        <v>102.477</v>
      </c>
      <c r="CD479" s="5" t="n">
        <v>7.95</v>
      </c>
      <c r="CE479" s="5" t="n">
        <v>0</v>
      </c>
      <c r="CF479" s="5" t="n">
        <v>102.477</v>
      </c>
      <c r="CG479" s="5" t="n">
        <v>0</v>
      </c>
      <c r="CH479" s="5" t="n">
        <v>1</v>
      </c>
      <c r="CI479" s="5" t="n">
        <v>0</v>
      </c>
      <c r="CJ479" s="5" t="n">
        <v>0</v>
      </c>
      <c r="CK479" s="5" t="n">
        <v>0</v>
      </c>
      <c r="CL479" s="5" t="n">
        <v>0</v>
      </c>
      <c r="CM479" s="5" t="n">
        <v>0</v>
      </c>
      <c r="CN479" s="5" t="n">
        <v>0</v>
      </c>
      <c r="CO479" s="5" t="n">
        <v>0</v>
      </c>
      <c r="CP479" s="5" t="n">
        <v>0</v>
      </c>
      <c r="CQ479" s="5" t="n">
        <v>1.294</v>
      </c>
      <c r="CR479" s="5" t="n">
        <v>0</v>
      </c>
      <c r="CS479" s="5" t="n">
        <v>5.158</v>
      </c>
      <c r="CT479" s="5" t="n">
        <v>7.554</v>
      </c>
      <c r="CU479" s="5" t="n">
        <v>16.097</v>
      </c>
    </row>
    <row r="480">
      <c r="A480" s="5" t="inlineStr">
        <is>
          <t>MAC2023</t>
        </is>
      </c>
      <c r="B480" s="5" t="inlineStr">
        <is>
          <t>MAC</t>
        </is>
      </c>
      <c r="C480" s="5" t="inlineStr">
        <is>
          <t>MAC</t>
        </is>
      </c>
      <c r="D480" s="5" t="inlineStr">
        <is>
          <t>Macao SAR</t>
        </is>
      </c>
      <c r="E480" s="5" t="n">
        <v>2023</v>
      </c>
      <c r="F480" s="5" t="n">
        <v>0</v>
      </c>
      <c r="G480" s="5" t="n">
        <v>5.77</v>
      </c>
      <c r="H480" s="5" t="n">
        <v>1.286</v>
      </c>
      <c r="I480" s="5" t="n">
        <v>0</v>
      </c>
      <c r="J480" s="5" t="n">
        <v>5.77</v>
      </c>
      <c r="K480" s="5" t="n">
        <v>0</v>
      </c>
      <c r="L480" s="5" t="n">
        <v>1</v>
      </c>
      <c r="M480" s="5" t="n">
        <v>7.886</v>
      </c>
      <c r="N480" s="5" t="n">
        <v>3.857</v>
      </c>
      <c r="O480" s="5" t="n">
        <v>0</v>
      </c>
      <c r="P480" s="5" t="n">
        <v>7.886</v>
      </c>
      <c r="Q480" s="5" t="n">
        <v>0</v>
      </c>
      <c r="R480" s="5" t="n">
        <v>1</v>
      </c>
      <c r="S480" s="5" t="n">
        <v>12.198</v>
      </c>
      <c r="T480" s="5" t="n">
        <v>7.714</v>
      </c>
      <c r="U480" s="5" t="n">
        <v>0</v>
      </c>
      <c r="V480" s="5" t="n">
        <v>12.198</v>
      </c>
      <c r="W480" s="5" t="n">
        <v>0</v>
      </c>
      <c r="X480" s="5" t="n">
        <v>1</v>
      </c>
      <c r="Y480" s="5" t="n">
        <v>13.814</v>
      </c>
      <c r="Z480" s="5" t="n">
        <v>1.705</v>
      </c>
      <c r="AA480" s="5" t="n">
        <v>0</v>
      </c>
      <c r="AB480" s="5" t="n">
        <v>13.814</v>
      </c>
      <c r="AC480" s="5" t="n">
        <v>0</v>
      </c>
      <c r="AD480" s="5" t="n">
        <v>1</v>
      </c>
      <c r="AE480" s="5" t="n">
        <v>15.1</v>
      </c>
      <c r="AF480" s="5" t="n">
        <v>3.292</v>
      </c>
      <c r="AG480" s="5" t="n">
        <v>0</v>
      </c>
      <c r="AH480" s="5" t="n">
        <v>15.1</v>
      </c>
      <c r="AI480" s="5" t="n">
        <v>0</v>
      </c>
      <c r="AJ480" s="5" t="n">
        <v>1</v>
      </c>
      <c r="AK480" s="5" t="n">
        <v>22.814</v>
      </c>
      <c r="AL480" s="5" t="n">
        <v>11.838</v>
      </c>
      <c r="AM480" s="5" t="n">
        <v>0</v>
      </c>
      <c r="AN480" s="5" t="n">
        <v>22.814</v>
      </c>
      <c r="AO480" s="5" t="n">
        <v>0</v>
      </c>
      <c r="AP480" s="5" t="n">
        <v>1</v>
      </c>
      <c r="AQ480" s="5" t="n">
        <v>0.749</v>
      </c>
      <c r="AR480" s="5" t="n">
        <v>0.129</v>
      </c>
      <c r="AS480" s="5" t="n">
        <v>0</v>
      </c>
      <c r="AT480" s="5" t="n">
        <v>0.749</v>
      </c>
      <c r="AU480" s="5" t="n">
        <v>0</v>
      </c>
      <c r="AV480" s="5" t="n">
        <v>1</v>
      </c>
      <c r="AW480" s="5" t="n">
        <v>0.783</v>
      </c>
      <c r="AX480" s="5" t="n">
        <v>0.129</v>
      </c>
      <c r="AY480" s="5" t="n">
        <v>0</v>
      </c>
      <c r="AZ480" s="5" t="n">
        <v>0.783</v>
      </c>
      <c r="BA480" s="5" t="n">
        <v>0</v>
      </c>
      <c r="BB480" s="5" t="n">
        <v>1</v>
      </c>
      <c r="BC480" s="5" t="n">
        <v>0.527</v>
      </c>
      <c r="BD480" s="5" t="n">
        <v>0.129</v>
      </c>
      <c r="BE480" s="5" t="n">
        <v>0</v>
      </c>
      <c r="BF480" s="5" t="n">
        <v>0.527</v>
      </c>
      <c r="BG480" s="5" t="n">
        <v>0</v>
      </c>
      <c r="BH480" s="5" t="n">
        <v>1</v>
      </c>
      <c r="BI480" s="5" t="n">
        <v>0.64</v>
      </c>
      <c r="BJ480" s="5" t="n">
        <v>0.129</v>
      </c>
      <c r="BK480" s="5" t="n">
        <v>0</v>
      </c>
      <c r="BL480" s="5" t="n">
        <v>0.64</v>
      </c>
      <c r="BM480" s="5" t="n">
        <v>0</v>
      </c>
      <c r="BN480" s="5" t="n">
        <v>1</v>
      </c>
      <c r="BO480" s="5" t="n">
        <v>0</v>
      </c>
      <c r="BP480" s="5" t="n">
        <v>0</v>
      </c>
      <c r="BQ480" s="5" t="n">
        <v>0.161</v>
      </c>
      <c r="BR480" s="5" t="n">
        <v>0</v>
      </c>
      <c r="BS480" s="5" t="n">
        <v>1</v>
      </c>
      <c r="BT480" s="5" t="n">
        <v>0</v>
      </c>
      <c r="BU480" s="5" t="n">
        <v>0</v>
      </c>
      <c r="BV480" s="5" t="n">
        <v>0.156</v>
      </c>
      <c r="BW480" s="5" t="n">
        <v>0</v>
      </c>
      <c r="BX480" s="5" t="n">
        <v>0.833</v>
      </c>
      <c r="BY480" s="5" t="n">
        <v>13.254</v>
      </c>
      <c r="BZ480" s="5" t="n">
        <v>0</v>
      </c>
      <c r="CA480" s="5" t="n">
        <v>13.254</v>
      </c>
      <c r="CB480" s="5" t="n">
        <v>0</v>
      </c>
      <c r="CC480" s="5" t="n">
        <v>87.07899999999999</v>
      </c>
      <c r="CD480" s="5" t="n">
        <v>7.95</v>
      </c>
      <c r="CE480" s="5" t="n">
        <v>0</v>
      </c>
      <c r="CF480" s="5" t="n">
        <v>87.07899999999999</v>
      </c>
      <c r="CG480" s="5" t="n">
        <v>0</v>
      </c>
      <c r="CH480" s="5" t="n">
        <v>1</v>
      </c>
      <c r="CI480" s="5" t="n">
        <v>0</v>
      </c>
      <c r="CJ480" s="5" t="n">
        <v>0</v>
      </c>
      <c r="CK480" s="5" t="n">
        <v>0</v>
      </c>
      <c r="CL480" s="5" t="n">
        <v>0</v>
      </c>
      <c r="CM480" s="5" t="n">
        <v>0</v>
      </c>
      <c r="CN480" s="5" t="n">
        <v>0</v>
      </c>
      <c r="CO480" s="5" t="n">
        <v>0</v>
      </c>
      <c r="CP480" s="5" t="n">
        <v>0</v>
      </c>
      <c r="CQ480" s="5" t="n">
        <v>1.348</v>
      </c>
      <c r="CR480" s="5" t="n">
        <v>0</v>
      </c>
      <c r="CS480" s="5" t="n">
        <v>5.37</v>
      </c>
      <c r="CT480" s="5" t="n">
        <v>4.484</v>
      </c>
      <c r="CU480" s="5" t="n">
        <v>12.529</v>
      </c>
    </row>
    <row r="481">
      <c r="A481" s="5" t="inlineStr">
        <is>
          <t>MAC2024</t>
        </is>
      </c>
      <c r="B481" s="5" t="inlineStr">
        <is>
          <t>MAC</t>
        </is>
      </c>
      <c r="C481" s="5" t="inlineStr">
        <is>
          <t>MAC</t>
        </is>
      </c>
      <c r="D481" s="5" t="inlineStr">
        <is>
          <t>Macao SAR</t>
        </is>
      </c>
      <c r="E481" s="5" t="n">
        <v>2024</v>
      </c>
      <c r="F481" s="5" t="n">
        <v>0</v>
      </c>
      <c r="G481" s="5" t="n">
        <v>4.833</v>
      </c>
      <c r="H481" s="5" t="n">
        <v>1.324</v>
      </c>
      <c r="I481" s="5" t="n">
        <v>0</v>
      </c>
      <c r="J481" s="5" t="n">
        <v>4.833</v>
      </c>
      <c r="K481" s="5" t="n">
        <v>0</v>
      </c>
      <c r="L481" s="5" t="n">
        <v>1</v>
      </c>
      <c r="M481" s="5" t="n">
        <v>7.124</v>
      </c>
      <c r="N481" s="5" t="n">
        <v>3.971</v>
      </c>
      <c r="O481" s="5" t="n">
        <v>0</v>
      </c>
      <c r="P481" s="5" t="n">
        <v>7.124</v>
      </c>
      <c r="Q481" s="5" t="n">
        <v>0</v>
      </c>
      <c r="R481" s="5" t="n">
        <v>1</v>
      </c>
      <c r="S481" s="5" t="n">
        <v>11.451</v>
      </c>
      <c r="T481" s="5" t="n">
        <v>7.942</v>
      </c>
      <c r="U481" s="5" t="n">
        <v>0</v>
      </c>
      <c r="V481" s="5" t="n">
        <v>11.451</v>
      </c>
      <c r="W481" s="5" t="n">
        <v>0</v>
      </c>
      <c r="X481" s="5" t="n">
        <v>1</v>
      </c>
      <c r="Y481" s="5" t="n">
        <v>12.219</v>
      </c>
      <c r="Z481" s="5" t="n">
        <v>1.508</v>
      </c>
      <c r="AA481" s="5" t="n">
        <v>0</v>
      </c>
      <c r="AB481" s="5" t="n">
        <v>12.219</v>
      </c>
      <c r="AC481" s="5" t="n">
        <v>0</v>
      </c>
      <c r="AD481" s="5" t="n">
        <v>1</v>
      </c>
      <c r="AE481" s="5" t="n">
        <v>13.543</v>
      </c>
      <c r="AF481" s="5" t="n">
        <v>2.952</v>
      </c>
      <c r="AG481" s="5" t="n">
        <v>0</v>
      </c>
      <c r="AH481" s="5" t="n">
        <v>13.543</v>
      </c>
      <c r="AI481" s="5" t="n">
        <v>0</v>
      </c>
      <c r="AJ481" s="5" t="n">
        <v>1</v>
      </c>
      <c r="AK481" s="5" t="n">
        <v>21.484</v>
      </c>
      <c r="AL481" s="5" t="n">
        <v>11.148</v>
      </c>
      <c r="AM481" s="5" t="n">
        <v>0</v>
      </c>
      <c r="AN481" s="5" t="n">
        <v>21.484</v>
      </c>
      <c r="AO481" s="5" t="n">
        <v>0</v>
      </c>
      <c r="AP481" s="5" t="n">
        <v>1</v>
      </c>
      <c r="AQ481" s="5" t="n">
        <v>0.72</v>
      </c>
      <c r="AR481" s="5" t="n">
        <v>0.132</v>
      </c>
      <c r="AS481" s="5" t="n">
        <v>0</v>
      </c>
      <c r="AT481" s="5" t="n">
        <v>0.72</v>
      </c>
      <c r="AU481" s="5" t="n">
        <v>0</v>
      </c>
      <c r="AV481" s="5" t="n">
        <v>1</v>
      </c>
      <c r="AW481" s="5" t="n">
        <v>0.734</v>
      </c>
      <c r="AX481" s="5" t="n">
        <v>0.132</v>
      </c>
      <c r="AY481" s="5" t="n">
        <v>0</v>
      </c>
      <c r="AZ481" s="5" t="n">
        <v>0.734</v>
      </c>
      <c r="BA481" s="5" t="n">
        <v>0</v>
      </c>
      <c r="BB481" s="5" t="n">
        <v>1</v>
      </c>
      <c r="BC481" s="5" t="n">
        <v>0.51</v>
      </c>
      <c r="BD481" s="5" t="n">
        <v>0.132</v>
      </c>
      <c r="BE481" s="5" t="n">
        <v>0</v>
      </c>
      <c r="BF481" s="5" t="n">
        <v>0.51</v>
      </c>
      <c r="BG481" s="5" t="n">
        <v>0</v>
      </c>
      <c r="BH481" s="5" t="n">
        <v>1</v>
      </c>
      <c r="BI481" s="5" t="n">
        <v>0.652</v>
      </c>
      <c r="BJ481" s="5" t="n">
        <v>0.132</v>
      </c>
      <c r="BK481" s="5" t="n">
        <v>0</v>
      </c>
      <c r="BL481" s="5" t="n">
        <v>0.652</v>
      </c>
      <c r="BM481" s="5" t="n">
        <v>0</v>
      </c>
      <c r="BN481" s="5" t="n">
        <v>1</v>
      </c>
      <c r="BO481" s="5" t="n">
        <v>0</v>
      </c>
      <c r="BP481" s="5" t="n">
        <v>0</v>
      </c>
      <c r="BQ481" s="5" t="n">
        <v>0.162</v>
      </c>
      <c r="BR481" s="5" t="n">
        <v>0</v>
      </c>
      <c r="BS481" s="5" t="n">
        <v>1</v>
      </c>
      <c r="BT481" s="5" t="n">
        <v>0</v>
      </c>
      <c r="BU481" s="5" t="n">
        <v>0</v>
      </c>
      <c r="BV481" s="5" t="n">
        <v>0.157</v>
      </c>
      <c r="BW481" s="5" t="n">
        <v>0</v>
      </c>
      <c r="BX481" s="5" t="n">
        <v>0.833</v>
      </c>
      <c r="BY481" s="5" t="n">
        <v>13.646</v>
      </c>
      <c r="BZ481" s="5" t="n">
        <v>0</v>
      </c>
      <c r="CA481" s="5" t="n">
        <v>13.646</v>
      </c>
      <c r="CB481" s="5" t="n">
        <v>0</v>
      </c>
      <c r="CC481" s="5" t="n">
        <v>86.38500000000001</v>
      </c>
      <c r="CD481" s="5" t="n">
        <v>7.95</v>
      </c>
      <c r="CE481" s="5" t="n">
        <v>0</v>
      </c>
      <c r="CF481" s="5" t="n">
        <v>86.38500000000001</v>
      </c>
      <c r="CG481" s="5" t="n">
        <v>0</v>
      </c>
      <c r="CH481" s="5" t="n">
        <v>1</v>
      </c>
      <c r="CI481" s="5" t="n">
        <v>0</v>
      </c>
      <c r="CJ481" s="5" t="n">
        <v>0</v>
      </c>
      <c r="CK481" s="5" t="n">
        <v>0</v>
      </c>
      <c r="CL481" s="5" t="n">
        <v>0</v>
      </c>
      <c r="CM481" s="5" t="n">
        <v>0</v>
      </c>
      <c r="CN481" s="5" t="n">
        <v>0</v>
      </c>
      <c r="CO481" s="5" t="n">
        <v>0</v>
      </c>
      <c r="CP481" s="5" t="n">
        <v>0</v>
      </c>
      <c r="CQ481" s="5" t="n">
        <v>1.387</v>
      </c>
      <c r="CR481" s="5" t="n">
        <v>0</v>
      </c>
      <c r="CS481" s="5" t="n">
        <v>5.529</v>
      </c>
      <c r="CT481" s="5" t="n">
        <v>3.509</v>
      </c>
      <c r="CU481" s="5" t="n">
        <v>10.896</v>
      </c>
    </row>
    <row r="482">
      <c r="A482" s="5" t="inlineStr">
        <is>
          <t>MDG2021</t>
        </is>
      </c>
      <c r="B482" s="5" t="inlineStr">
        <is>
          <t>MDG</t>
        </is>
      </c>
      <c r="C482" s="5" t="inlineStr">
        <is>
          <t>MDG</t>
        </is>
      </c>
      <c r="D482" s="5" t="inlineStr">
        <is>
          <t>Madagascar</t>
        </is>
      </c>
      <c r="E482" s="5" t="n">
        <v>2021</v>
      </c>
      <c r="F482" s="5" t="n">
        <v>0.2</v>
      </c>
      <c r="G482" s="5" t="n">
        <v>5.659</v>
      </c>
      <c r="H482" s="5" t="n">
        <v>1.238</v>
      </c>
      <c r="I482" s="5" t="n">
        <v>0.238</v>
      </c>
      <c r="J482" s="5" t="n">
        <v>5.897</v>
      </c>
      <c r="K482" s="5" t="n">
        <v>0</v>
      </c>
      <c r="L482" s="5" t="n">
        <v>1</v>
      </c>
      <c r="M482" s="5" t="n">
        <v>7.512</v>
      </c>
      <c r="N482" s="5" t="n">
        <v>3.404</v>
      </c>
      <c r="O482" s="5" t="n">
        <v>0.906</v>
      </c>
      <c r="P482" s="5" t="n">
        <v>8.417999999999999</v>
      </c>
      <c r="Q482" s="5" t="n">
        <v>0</v>
      </c>
      <c r="R482" s="5" t="n">
        <v>1</v>
      </c>
      <c r="S482" s="5" t="n">
        <v>11.376</v>
      </c>
      <c r="T482" s="5" t="n">
        <v>7.05</v>
      </c>
      <c r="U482" s="5" t="n">
        <v>0.238</v>
      </c>
      <c r="V482" s="5" t="n">
        <v>13.936</v>
      </c>
      <c r="W482" s="5" t="n">
        <v>0.2</v>
      </c>
      <c r="X482" s="5" t="n">
        <v>1</v>
      </c>
      <c r="Y482" s="5" t="n">
        <v>5.919</v>
      </c>
      <c r="Z482" s="5" t="n">
        <v>0.8</v>
      </c>
      <c r="AA482" s="5" t="n">
        <v>-0.002</v>
      </c>
      <c r="AB482" s="5" t="n">
        <v>5.917</v>
      </c>
      <c r="AC482" s="5" t="n">
        <v>0</v>
      </c>
      <c r="AD482" s="5" t="n">
        <v>1</v>
      </c>
      <c r="AE482" s="5" t="n">
        <v>7.062</v>
      </c>
      <c r="AF482" s="5" t="n">
        <v>1.651</v>
      </c>
      <c r="AG482" s="5" t="n">
        <v>-0.001</v>
      </c>
      <c r="AH482" s="5" t="n">
        <v>7.061</v>
      </c>
      <c r="AI482" s="5" t="n">
        <v>0</v>
      </c>
      <c r="AJ482" s="5" t="n">
        <v>1</v>
      </c>
      <c r="AK482" s="5" t="n">
        <v>13.922</v>
      </c>
      <c r="AL482" s="5" t="n">
        <v>7.415</v>
      </c>
      <c r="AM482" s="5" t="n">
        <v>-0.001</v>
      </c>
      <c r="AN482" s="5" t="n">
        <v>16.705</v>
      </c>
      <c r="AO482" s="5" t="n">
        <v>0.2</v>
      </c>
      <c r="AP482" s="5" t="n">
        <v>1</v>
      </c>
      <c r="AQ482" s="5" t="n">
        <v>0.619</v>
      </c>
      <c r="AR482" s="5" t="n">
        <v>0.113</v>
      </c>
      <c r="AS482" s="5" t="n">
        <v>0.273</v>
      </c>
      <c r="AT482" s="5" t="n">
        <v>1.071</v>
      </c>
      <c r="AU482" s="5" t="n">
        <v>0.2</v>
      </c>
      <c r="AV482" s="5" t="n">
        <v>1</v>
      </c>
      <c r="AW482" s="5" t="n">
        <v>0.503</v>
      </c>
      <c r="AX482" s="5" t="n">
        <v>0.097</v>
      </c>
      <c r="AY482" s="5" t="n">
        <v>0.237</v>
      </c>
      <c r="AZ482" s="5" t="n">
        <v>0.888</v>
      </c>
      <c r="BA482" s="5" t="n">
        <v>0.2</v>
      </c>
      <c r="BB482" s="5" t="n">
        <v>1</v>
      </c>
      <c r="BC482" s="5" t="n">
        <v>0.44</v>
      </c>
      <c r="BD482" s="5" t="n">
        <v>0.114</v>
      </c>
      <c r="BE482" s="5" t="n">
        <v>0.019</v>
      </c>
      <c r="BF482" s="5" t="n">
        <v>0.551</v>
      </c>
      <c r="BG482" s="5" t="n">
        <v>0.2</v>
      </c>
      <c r="BH482" s="5" t="n">
        <v>0</v>
      </c>
      <c r="BI482" s="5" t="n">
        <v>0.491</v>
      </c>
      <c r="BJ482" s="5" t="n">
        <v>0.109</v>
      </c>
      <c r="BK482" s="5" t="n">
        <v>-0.028</v>
      </c>
      <c r="BL482" s="5" t="n">
        <v>0.556</v>
      </c>
      <c r="BM482" s="5" t="n">
        <v>0.2</v>
      </c>
      <c r="BN482" s="5" t="n">
        <v>1</v>
      </c>
      <c r="BO482" s="5" t="n">
        <v>0</v>
      </c>
      <c r="BP482" s="5" t="n">
        <v>0</v>
      </c>
      <c r="BQ482" s="5" t="n">
        <v>0.117</v>
      </c>
      <c r="BR482" s="5" t="n">
        <v>0</v>
      </c>
      <c r="BS482" s="5" t="n">
        <v>0.667</v>
      </c>
      <c r="BT482" s="5" t="n">
        <v>0</v>
      </c>
      <c r="BU482" s="5" t="n">
        <v>0</v>
      </c>
      <c r="BV482" s="5" t="n">
        <v>0.153</v>
      </c>
      <c r="BW482" s="5" t="n">
        <v>0.2</v>
      </c>
      <c r="BX482" s="5" t="n">
        <v>0.833</v>
      </c>
      <c r="BY482" s="5" t="n">
        <v>11.787</v>
      </c>
      <c r="BZ482" s="5" t="n">
        <v>0</v>
      </c>
      <c r="CA482" s="5" t="n">
        <v>11.787</v>
      </c>
      <c r="CB482" s="5" t="n">
        <v>0</v>
      </c>
      <c r="CC482" s="5" t="n">
        <v>75.786</v>
      </c>
      <c r="CD482" s="5" t="n">
        <v>5.611</v>
      </c>
      <c r="CE482" s="5" t="n">
        <v>-2.098</v>
      </c>
      <c r="CF482" s="5" t="n">
        <v>88.426</v>
      </c>
      <c r="CG482" s="5" t="n">
        <v>0.2</v>
      </c>
      <c r="CH482" s="5" t="n">
        <v>1</v>
      </c>
      <c r="CI482" s="5" t="n">
        <v>0</v>
      </c>
      <c r="CJ482" s="5" t="n">
        <v>0</v>
      </c>
      <c r="CK482" s="5" t="n">
        <v>0</v>
      </c>
      <c r="CL482" s="5" t="n">
        <v>0</v>
      </c>
      <c r="CM482" s="5" t="n">
        <v>0</v>
      </c>
      <c r="CN482" s="5" t="n">
        <v>0</v>
      </c>
      <c r="CO482" s="5" t="n">
        <v>0</v>
      </c>
      <c r="CP482" s="5" t="n">
        <v>0</v>
      </c>
      <c r="CQ482" s="5" t="n">
        <v>1.198</v>
      </c>
      <c r="CR482" s="5" t="n">
        <v>0</v>
      </c>
      <c r="CS482" s="5" t="n">
        <v>4.776</v>
      </c>
      <c r="CT482" s="5" t="n">
        <v>4.753</v>
      </c>
      <c r="CU482" s="5" t="n">
        <v>15.162</v>
      </c>
    </row>
    <row r="483">
      <c r="A483" s="5" t="inlineStr">
        <is>
          <t>MDG2022</t>
        </is>
      </c>
      <c r="B483" s="5" t="inlineStr">
        <is>
          <t>MDG</t>
        </is>
      </c>
      <c r="C483" s="5" t="inlineStr">
        <is>
          <t>MDG</t>
        </is>
      </c>
      <c r="D483" s="5" t="inlineStr">
        <is>
          <t>Madagascar</t>
        </is>
      </c>
      <c r="E483" s="5" t="n">
        <v>2022</v>
      </c>
      <c r="F483" s="5" t="n">
        <v>0.2</v>
      </c>
      <c r="G483" s="5" t="n">
        <v>11.196</v>
      </c>
      <c r="H483" s="5" t="n">
        <v>1.739</v>
      </c>
      <c r="I483" s="5" t="n">
        <v>0.524</v>
      </c>
      <c r="J483" s="5" t="n">
        <v>11.72</v>
      </c>
      <c r="K483" s="5" t="n">
        <v>0</v>
      </c>
      <c r="L483" s="5" t="n">
        <v>1</v>
      </c>
      <c r="M483" s="5" t="n">
        <v>9.173999999999999</v>
      </c>
      <c r="N483" s="5" t="n">
        <v>3.788</v>
      </c>
      <c r="O483" s="5" t="n">
        <v>1.216</v>
      </c>
      <c r="P483" s="5" t="n">
        <v>10.39</v>
      </c>
      <c r="Q483" s="5" t="n">
        <v>0</v>
      </c>
      <c r="R483" s="5" t="n">
        <v>1</v>
      </c>
      <c r="S483" s="5" t="n">
        <v>17.104</v>
      </c>
      <c r="T483" s="5" t="n">
        <v>8.377000000000001</v>
      </c>
      <c r="U483" s="5" t="n">
        <v>0.789</v>
      </c>
      <c r="V483" s="5" t="n">
        <v>21.472</v>
      </c>
      <c r="W483" s="5" t="n">
        <v>0.2</v>
      </c>
      <c r="X483" s="5" t="n">
        <v>1</v>
      </c>
      <c r="Y483" s="5" t="n">
        <v>6.392</v>
      </c>
      <c r="Z483" s="5" t="n">
        <v>0.864</v>
      </c>
      <c r="AA483" s="5" t="n">
        <v>-0.002</v>
      </c>
      <c r="AB483" s="5" t="n">
        <v>6.39</v>
      </c>
      <c r="AC483" s="5" t="n">
        <v>0</v>
      </c>
      <c r="AD483" s="5" t="n">
        <v>1</v>
      </c>
      <c r="AE483" s="5" t="n">
        <v>7.627</v>
      </c>
      <c r="AF483" s="5" t="n">
        <v>1.783</v>
      </c>
      <c r="AG483" s="5" t="n">
        <v>-0.002</v>
      </c>
      <c r="AH483" s="5" t="n">
        <v>7.625</v>
      </c>
      <c r="AI483" s="5" t="n">
        <v>0</v>
      </c>
      <c r="AJ483" s="5" t="n">
        <v>1</v>
      </c>
      <c r="AK483" s="5" t="n">
        <v>15.035</v>
      </c>
      <c r="AL483" s="5" t="n">
        <v>8.007999999999999</v>
      </c>
      <c r="AM483" s="5" t="n">
        <v>-0.002</v>
      </c>
      <c r="AN483" s="5" t="n">
        <v>18.04</v>
      </c>
      <c r="AO483" s="5" t="n">
        <v>0.2</v>
      </c>
      <c r="AP483" s="5" t="n">
        <v>1</v>
      </c>
      <c r="AQ483" s="5" t="n">
        <v>0.861</v>
      </c>
      <c r="AR483" s="5" t="n">
        <v>0.123</v>
      </c>
      <c r="AS483" s="5" t="n">
        <v>0.149</v>
      </c>
      <c r="AT483" s="5" t="n">
        <v>1.212</v>
      </c>
      <c r="AU483" s="5" t="n">
        <v>0.2</v>
      </c>
      <c r="AV483" s="5" t="n">
        <v>1</v>
      </c>
      <c r="AW483" s="5" t="n">
        <v>0.8139999999999999</v>
      </c>
      <c r="AX483" s="5" t="n">
        <v>0.106</v>
      </c>
      <c r="AY483" s="5" t="n">
        <v>0.025</v>
      </c>
      <c r="AZ483" s="5" t="n">
        <v>1.006</v>
      </c>
      <c r="BA483" s="5" t="n">
        <v>0.2</v>
      </c>
      <c r="BB483" s="5" t="n">
        <v>1</v>
      </c>
      <c r="BC483" s="5" t="n">
        <v>0.592</v>
      </c>
      <c r="BD483" s="5" t="n">
        <v>0.122</v>
      </c>
      <c r="BE483" s="5" t="n">
        <v>-0.056</v>
      </c>
      <c r="BF483" s="5" t="n">
        <v>0.643</v>
      </c>
      <c r="BG483" s="5" t="n">
        <v>0.2</v>
      </c>
      <c r="BH483" s="5" t="n">
        <v>0</v>
      </c>
      <c r="BI483" s="5" t="n">
        <v>0.598</v>
      </c>
      <c r="BJ483" s="5" t="n">
        <v>0.117</v>
      </c>
      <c r="BK483" s="5" t="n">
        <v>-0.134</v>
      </c>
      <c r="BL483" s="5" t="n">
        <v>0.5570000000000001</v>
      </c>
      <c r="BM483" s="5" t="n">
        <v>0.2</v>
      </c>
      <c r="BN483" s="5" t="n">
        <v>1</v>
      </c>
      <c r="BO483" s="5" t="n">
        <v>0</v>
      </c>
      <c r="BP483" s="5" t="n">
        <v>0</v>
      </c>
      <c r="BQ483" s="5" t="n">
        <v>0.108</v>
      </c>
      <c r="BR483" s="5" t="n">
        <v>0</v>
      </c>
      <c r="BS483" s="5" t="n">
        <v>0.667</v>
      </c>
      <c r="BT483" s="5" t="n">
        <v>0</v>
      </c>
      <c r="BU483" s="5" t="n">
        <v>0</v>
      </c>
      <c r="BV483" s="5" t="n">
        <v>0.141</v>
      </c>
      <c r="BW483" s="5" t="n">
        <v>0.2</v>
      </c>
      <c r="BX483" s="5" t="n">
        <v>0.833</v>
      </c>
      <c r="BY483" s="5" t="n">
        <v>12.729</v>
      </c>
      <c r="BZ483" s="5" t="n">
        <v>0</v>
      </c>
      <c r="CA483" s="5" t="n">
        <v>12.729</v>
      </c>
      <c r="CB483" s="5" t="n">
        <v>0</v>
      </c>
      <c r="CC483" s="5" t="n">
        <v>94.901</v>
      </c>
      <c r="CD483" s="5" t="n">
        <v>4.952</v>
      </c>
      <c r="CE483" s="5" t="n">
        <v>-21.351</v>
      </c>
      <c r="CF483" s="5" t="n">
        <v>88.261</v>
      </c>
      <c r="CG483" s="5" t="n">
        <v>0.2</v>
      </c>
      <c r="CH483" s="5" t="n">
        <v>1</v>
      </c>
      <c r="CI483" s="5" t="n">
        <v>0</v>
      </c>
      <c r="CJ483" s="5" t="n">
        <v>0</v>
      </c>
      <c r="CK483" s="5" t="n">
        <v>0</v>
      </c>
      <c r="CL483" s="5" t="n">
        <v>0</v>
      </c>
      <c r="CM483" s="5" t="n">
        <v>0</v>
      </c>
      <c r="CN483" s="5" t="n">
        <v>0</v>
      </c>
      <c r="CO483" s="5" t="n">
        <v>0</v>
      </c>
      <c r="CP483" s="5" t="n">
        <v>0</v>
      </c>
      <c r="CQ483" s="5" t="n">
        <v>1.294</v>
      </c>
      <c r="CR483" s="5" t="n">
        <v>0</v>
      </c>
      <c r="CS483" s="5" t="n">
        <v>5.158</v>
      </c>
      <c r="CT483" s="5" t="n">
        <v>10.485</v>
      </c>
      <c r="CU483" s="5" t="n">
        <v>31.326</v>
      </c>
    </row>
    <row r="484">
      <c r="A484" s="5" t="inlineStr">
        <is>
          <t>MDG2023</t>
        </is>
      </c>
      <c r="B484" s="5" t="inlineStr">
        <is>
          <t>MDG</t>
        </is>
      </c>
      <c r="C484" s="5" t="inlineStr">
        <is>
          <t>MDG</t>
        </is>
      </c>
      <c r="D484" s="5" t="inlineStr">
        <is>
          <t>Madagascar</t>
        </is>
      </c>
      <c r="E484" s="5" t="n">
        <v>2023</v>
      </c>
      <c r="F484" s="5" t="n">
        <v>0.2</v>
      </c>
      <c r="G484" s="5" t="n">
        <v>5.904</v>
      </c>
      <c r="H484" s="5" t="n">
        <v>1.345</v>
      </c>
      <c r="I484" s="5" t="n">
        <v>0.243</v>
      </c>
      <c r="J484" s="5" t="n">
        <v>6.147</v>
      </c>
      <c r="K484" s="5" t="n">
        <v>0</v>
      </c>
      <c r="L484" s="5" t="n">
        <v>1</v>
      </c>
      <c r="M484" s="5" t="n">
        <v>7.483</v>
      </c>
      <c r="N484" s="5" t="n">
        <v>3.711</v>
      </c>
      <c r="O484" s="5" t="n">
        <v>0.806</v>
      </c>
      <c r="P484" s="5" t="n">
        <v>8.289</v>
      </c>
      <c r="Q484" s="5" t="n">
        <v>0</v>
      </c>
      <c r="R484" s="5" t="n">
        <v>1</v>
      </c>
      <c r="S484" s="5" t="n">
        <v>12.054</v>
      </c>
      <c r="T484" s="5" t="n">
        <v>7.559</v>
      </c>
      <c r="U484" s="5" t="n">
        <v>0.521</v>
      </c>
      <c r="V484" s="5" t="n">
        <v>15.09</v>
      </c>
      <c r="W484" s="5" t="n">
        <v>0.2</v>
      </c>
      <c r="X484" s="5" t="n">
        <v>1</v>
      </c>
      <c r="Y484" s="5" t="n">
        <v>6.656</v>
      </c>
      <c r="Z484" s="5" t="n">
        <v>0.9</v>
      </c>
      <c r="AA484" s="5" t="n">
        <v>-0.002</v>
      </c>
      <c r="AB484" s="5" t="n">
        <v>6.654</v>
      </c>
      <c r="AC484" s="5" t="n">
        <v>0</v>
      </c>
      <c r="AD484" s="5" t="n">
        <v>1</v>
      </c>
      <c r="AE484" s="5" t="n">
        <v>7.942</v>
      </c>
      <c r="AF484" s="5" t="n">
        <v>1.857</v>
      </c>
      <c r="AG484" s="5" t="n">
        <v>-0.002</v>
      </c>
      <c r="AH484" s="5" t="n">
        <v>7.94</v>
      </c>
      <c r="AI484" s="5" t="n">
        <v>0</v>
      </c>
      <c r="AJ484" s="5" t="n">
        <v>1</v>
      </c>
      <c r="AK484" s="5" t="n">
        <v>15.656</v>
      </c>
      <c r="AL484" s="5" t="n">
        <v>8.337999999999999</v>
      </c>
      <c r="AM484" s="5" t="n">
        <v>-0.002</v>
      </c>
      <c r="AN484" s="5" t="n">
        <v>18.784</v>
      </c>
      <c r="AO484" s="5" t="n">
        <v>0.2</v>
      </c>
      <c r="AP484" s="5" t="n">
        <v>1</v>
      </c>
      <c r="AQ484" s="5" t="n">
        <v>0.761</v>
      </c>
      <c r="AR484" s="5" t="n">
        <v>0.128</v>
      </c>
      <c r="AS484" s="5" t="n">
        <v>0.349</v>
      </c>
      <c r="AT484" s="5" t="n">
        <v>1.332</v>
      </c>
      <c r="AU484" s="5" t="n">
        <v>0.2</v>
      </c>
      <c r="AV484" s="5" t="n">
        <v>1</v>
      </c>
      <c r="AW484" s="5" t="n">
        <v>0.675</v>
      </c>
      <c r="AX484" s="5" t="n">
        <v>0.116</v>
      </c>
      <c r="AY484" s="5" t="n">
        <v>0.247</v>
      </c>
      <c r="AZ484" s="5" t="n">
        <v>1.106</v>
      </c>
      <c r="BA484" s="5" t="n">
        <v>0.2</v>
      </c>
      <c r="BB484" s="5" t="n">
        <v>1</v>
      </c>
      <c r="BC484" s="5" t="n">
        <v>0.527</v>
      </c>
      <c r="BD484" s="5" t="n">
        <v>0.127</v>
      </c>
      <c r="BE484" s="5" t="n">
        <v>-0.138</v>
      </c>
      <c r="BF484" s="5" t="n">
        <v>0.467</v>
      </c>
      <c r="BG484" s="5" t="n">
        <v>0.2</v>
      </c>
      <c r="BH484" s="5" t="n">
        <v>0</v>
      </c>
      <c r="BI484" s="5" t="n">
        <v>0.5639999999999999</v>
      </c>
      <c r="BJ484" s="5" t="n">
        <v>0.123</v>
      </c>
      <c r="BK484" s="5" t="n">
        <v>-0.107</v>
      </c>
      <c r="BL484" s="5" t="n">
        <v>0.549</v>
      </c>
      <c r="BM484" s="5" t="n">
        <v>0.2</v>
      </c>
      <c r="BN484" s="5" t="n">
        <v>1</v>
      </c>
      <c r="BO484" s="5" t="n">
        <v>0</v>
      </c>
      <c r="BP484" s="5" t="n">
        <v>0</v>
      </c>
      <c r="BQ484" s="5" t="n">
        <v>0.112</v>
      </c>
      <c r="BR484" s="5" t="n">
        <v>0</v>
      </c>
      <c r="BS484" s="5" t="n">
        <v>0.667</v>
      </c>
      <c r="BT484" s="5" t="n">
        <v>0</v>
      </c>
      <c r="BU484" s="5" t="n">
        <v>0</v>
      </c>
      <c r="BV484" s="5" t="n">
        <v>0.13</v>
      </c>
      <c r="BW484" s="5" t="n">
        <v>0.2</v>
      </c>
      <c r="BX484" s="5" t="n">
        <v>0.833</v>
      </c>
      <c r="BY484" s="5" t="n">
        <v>13.254</v>
      </c>
      <c r="BZ484" s="5" t="n">
        <v>0</v>
      </c>
      <c r="CA484" s="5" t="n">
        <v>13.254</v>
      </c>
      <c r="CB484" s="5" t="n">
        <v>0</v>
      </c>
      <c r="CC484" s="5" t="n">
        <v>80.739</v>
      </c>
      <c r="CD484" s="5" t="n">
        <v>5.441</v>
      </c>
      <c r="CE484" s="5" t="n">
        <v>-8.051</v>
      </c>
      <c r="CF484" s="5" t="n">
        <v>87.22499999999999</v>
      </c>
      <c r="CG484" s="5" t="n">
        <v>0.2</v>
      </c>
      <c r="CH484" s="5" t="n">
        <v>1</v>
      </c>
      <c r="CI484" s="5" t="n">
        <v>0</v>
      </c>
      <c r="CJ484" s="5" t="n">
        <v>0</v>
      </c>
      <c r="CK484" s="5" t="n">
        <v>0</v>
      </c>
      <c r="CL484" s="5" t="n">
        <v>0</v>
      </c>
      <c r="CM484" s="5" t="n">
        <v>0</v>
      </c>
      <c r="CN484" s="5" t="n">
        <v>0</v>
      </c>
      <c r="CO484" s="5" t="n">
        <v>0</v>
      </c>
      <c r="CP484" s="5" t="n">
        <v>0</v>
      </c>
      <c r="CQ484" s="5" t="n">
        <v>1.348</v>
      </c>
      <c r="CR484" s="5" t="n">
        <v>0</v>
      </c>
      <c r="CS484" s="5" t="n">
        <v>5.37</v>
      </c>
      <c r="CT484" s="5" t="n">
        <v>4.861</v>
      </c>
      <c r="CU484" s="5" t="n">
        <v>11.622</v>
      </c>
    </row>
    <row r="485">
      <c r="A485" s="5" t="inlineStr">
        <is>
          <t>MDG2024</t>
        </is>
      </c>
      <c r="B485" s="5" t="inlineStr">
        <is>
          <t>MDG</t>
        </is>
      </c>
      <c r="C485" s="5" t="inlineStr">
        <is>
          <t>MDG</t>
        </is>
      </c>
      <c r="D485" s="5" t="inlineStr">
        <is>
          <t>Madagascar</t>
        </is>
      </c>
      <c r="E485" s="5" t="n">
        <v>2024</v>
      </c>
      <c r="F485" s="5" t="n">
        <v>0.2</v>
      </c>
      <c r="G485" s="5" t="n">
        <v>5.362</v>
      </c>
      <c r="H485" s="5" t="n">
        <v>1.358</v>
      </c>
      <c r="I485" s="5" t="n">
        <v>0.213</v>
      </c>
      <c r="J485" s="5" t="n">
        <v>5.575</v>
      </c>
      <c r="K485" s="5" t="n">
        <v>0</v>
      </c>
      <c r="L485" s="5" t="n">
        <v>1</v>
      </c>
      <c r="M485" s="5" t="n">
        <v>6.83</v>
      </c>
      <c r="N485" s="5" t="n">
        <v>3.72</v>
      </c>
      <c r="O485" s="5" t="n">
        <v>0.632</v>
      </c>
      <c r="P485" s="5" t="n">
        <v>7.462</v>
      </c>
      <c r="Q485" s="5" t="n">
        <v>0</v>
      </c>
      <c r="R485" s="5" t="n">
        <v>1</v>
      </c>
      <c r="S485" s="5" t="n">
        <v>11.65</v>
      </c>
      <c r="T485" s="5" t="n">
        <v>7.713</v>
      </c>
      <c r="U485" s="5" t="n">
        <v>0.546</v>
      </c>
      <c r="V485" s="5" t="n">
        <v>14.635</v>
      </c>
      <c r="W485" s="5" t="n">
        <v>0.2</v>
      </c>
      <c r="X485" s="5" t="n">
        <v>1</v>
      </c>
      <c r="Y485" s="5" t="n">
        <v>6.853</v>
      </c>
      <c r="Z485" s="5" t="n">
        <v>0.926</v>
      </c>
      <c r="AA485" s="5" t="n">
        <v>0</v>
      </c>
      <c r="AB485" s="5" t="n">
        <v>6.853</v>
      </c>
      <c r="AC485" s="5" t="n">
        <v>0</v>
      </c>
      <c r="AD485" s="5" t="n">
        <v>1</v>
      </c>
      <c r="AE485" s="5" t="n">
        <v>8.176</v>
      </c>
      <c r="AF485" s="5" t="n">
        <v>1.912</v>
      </c>
      <c r="AG485" s="5" t="n">
        <v>0.001</v>
      </c>
      <c r="AH485" s="5" t="n">
        <v>8.177</v>
      </c>
      <c r="AI485" s="5" t="n">
        <v>0</v>
      </c>
      <c r="AJ485" s="5" t="n">
        <v>1</v>
      </c>
      <c r="AK485" s="5" t="n">
        <v>16.118</v>
      </c>
      <c r="AL485" s="5" t="n">
        <v>8.584</v>
      </c>
      <c r="AM485" s="5" t="n">
        <v>0.004</v>
      </c>
      <c r="AN485" s="5" t="n">
        <v>19.346</v>
      </c>
      <c r="AO485" s="5" t="n">
        <v>0.2</v>
      </c>
      <c r="AP485" s="5" t="n">
        <v>1</v>
      </c>
      <c r="AQ485" s="5" t="n">
        <v>0.6840000000000001</v>
      </c>
      <c r="AR485" s="5" t="n">
        <v>0.124</v>
      </c>
      <c r="AS485" s="5" t="n">
        <v>0.362</v>
      </c>
      <c r="AT485" s="5" t="n">
        <v>1.255</v>
      </c>
      <c r="AU485" s="5" t="n">
        <v>0.2</v>
      </c>
      <c r="AV485" s="5" t="n">
        <v>1</v>
      </c>
      <c r="AW485" s="5" t="n">
        <v>0.593</v>
      </c>
      <c r="AX485" s="5" t="n">
        <v>0.109</v>
      </c>
      <c r="AY485" s="5" t="n">
        <v>0.276</v>
      </c>
      <c r="AZ485" s="5" t="n">
        <v>1.043</v>
      </c>
      <c r="BA485" s="5" t="n">
        <v>0.2</v>
      </c>
      <c r="BB485" s="5" t="n">
        <v>1</v>
      </c>
      <c r="BC485" s="5" t="n">
        <v>0.505</v>
      </c>
      <c r="BD485" s="5" t="n">
        <v>0.13</v>
      </c>
      <c r="BE485" s="5" t="n">
        <v>-0.142</v>
      </c>
      <c r="BF485" s="5" t="n">
        <v>0.436</v>
      </c>
      <c r="BG485" s="5" t="n">
        <v>0.2</v>
      </c>
      <c r="BH485" s="5" t="n">
        <v>0</v>
      </c>
      <c r="BI485" s="5" t="n">
        <v>0.5600000000000001</v>
      </c>
      <c r="BJ485" s="5" t="n">
        <v>0.123</v>
      </c>
      <c r="BK485" s="5" t="n">
        <v>-0.129</v>
      </c>
      <c r="BL485" s="5" t="n">
        <v>0.517</v>
      </c>
      <c r="BM485" s="5" t="n">
        <v>0.2</v>
      </c>
      <c r="BN485" s="5" t="n">
        <v>1</v>
      </c>
      <c r="BO485" s="5" t="n">
        <v>0</v>
      </c>
      <c r="BP485" s="5" t="n">
        <v>0</v>
      </c>
      <c r="BQ485" s="5" t="n">
        <v>0.178</v>
      </c>
      <c r="BR485" s="5" t="n">
        <v>0</v>
      </c>
      <c r="BS485" s="5" t="n">
        <v>0.667</v>
      </c>
      <c r="BT485" s="5" t="n">
        <v>0</v>
      </c>
      <c r="BU485" s="5" t="n">
        <v>0</v>
      </c>
      <c r="BV485" s="5" t="n">
        <v>0.128</v>
      </c>
      <c r="BW485" s="5" t="n">
        <v>0.2</v>
      </c>
      <c r="BX485" s="5" t="n">
        <v>0.833</v>
      </c>
      <c r="BY485" s="5" t="n">
        <v>13.646</v>
      </c>
      <c r="BZ485" s="5" t="n">
        <v>0</v>
      </c>
      <c r="CA485" s="5" t="n">
        <v>13.646</v>
      </c>
      <c r="CB485" s="5" t="n">
        <v>0</v>
      </c>
      <c r="CC485" s="5" t="n">
        <v>78.089</v>
      </c>
      <c r="CD485" s="5" t="n">
        <v>3.451</v>
      </c>
      <c r="CE485" s="5" t="n">
        <v>-4.42</v>
      </c>
      <c r="CF485" s="5" t="n">
        <v>88.40300000000001</v>
      </c>
      <c r="CG485" s="5" t="n">
        <v>0.2</v>
      </c>
      <c r="CH485" s="5" t="n">
        <v>1</v>
      </c>
      <c r="CI485" s="5" t="n">
        <v>0</v>
      </c>
      <c r="CJ485" s="5" t="n">
        <v>0</v>
      </c>
      <c r="CK485" s="5" t="n">
        <v>0</v>
      </c>
      <c r="CL485" s="5" t="n">
        <v>0</v>
      </c>
      <c r="CM485" s="5" t="n">
        <v>0</v>
      </c>
      <c r="CN485" s="5" t="n">
        <v>0</v>
      </c>
      <c r="CO485" s="5" t="n">
        <v>0</v>
      </c>
      <c r="CP485" s="5" t="n">
        <v>0</v>
      </c>
      <c r="CQ485" s="5" t="n">
        <v>1.387</v>
      </c>
      <c r="CR485" s="5" t="n">
        <v>0</v>
      </c>
      <c r="CS485" s="5" t="n">
        <v>5.529</v>
      </c>
      <c r="CT485" s="5" t="n">
        <v>4.251</v>
      </c>
      <c r="CU485" s="5" t="n">
        <v>10.168</v>
      </c>
    </row>
    <row r="486">
      <c r="A486" s="5" t="inlineStr">
        <is>
          <t>MWI2021</t>
        </is>
      </c>
      <c r="B486" s="5" t="inlineStr">
        <is>
          <t>MWI</t>
        </is>
      </c>
      <c r="C486" s="5" t="inlineStr">
        <is>
          <t>MWI</t>
        </is>
      </c>
      <c r="D486" s="5" t="inlineStr">
        <is>
          <t>Malawi</t>
        </is>
      </c>
      <c r="E486" s="5" t="n">
        <v>2021</v>
      </c>
      <c r="F486" s="5" t="n">
        <v>0.165</v>
      </c>
      <c r="G486" s="5" t="n">
        <v>5.897</v>
      </c>
      <c r="H486" s="5" t="n">
        <v>1.143</v>
      </c>
      <c r="I486" s="5" t="n">
        <v>0</v>
      </c>
      <c r="J486" s="5" t="n">
        <v>5.897</v>
      </c>
      <c r="K486" s="5" t="n">
        <v>0</v>
      </c>
      <c r="L486" s="5" t="n">
        <v>1</v>
      </c>
      <c r="M486" s="5" t="n">
        <v>7.964</v>
      </c>
      <c r="N486" s="5" t="n">
        <v>3.43</v>
      </c>
      <c r="O486" s="5" t="n">
        <v>0</v>
      </c>
      <c r="P486" s="5" t="n">
        <v>7.964</v>
      </c>
      <c r="Q486" s="5" t="n">
        <v>0</v>
      </c>
      <c r="R486" s="5" t="n">
        <v>1</v>
      </c>
      <c r="S486" s="5" t="n">
        <v>11.613</v>
      </c>
      <c r="T486" s="5" t="n">
        <v>6.86</v>
      </c>
      <c r="U486" s="5" t="n">
        <v>0</v>
      </c>
      <c r="V486" s="5" t="n">
        <v>13.53</v>
      </c>
      <c r="W486" s="5" t="n">
        <v>0.165</v>
      </c>
      <c r="X486" s="5" t="n">
        <v>1</v>
      </c>
      <c r="Y486" s="5" t="n">
        <v>16.297</v>
      </c>
      <c r="Z486" s="5" t="n">
        <v>2.203</v>
      </c>
      <c r="AA486" s="5" t="n">
        <v>0</v>
      </c>
      <c r="AB486" s="5" t="n">
        <v>16.297</v>
      </c>
      <c r="AC486" s="5" t="n">
        <v>0</v>
      </c>
      <c r="AD486" s="5" t="n">
        <v>1</v>
      </c>
      <c r="AE486" s="5" t="n">
        <v>17.44</v>
      </c>
      <c r="AF486" s="5" t="n">
        <v>4.078</v>
      </c>
      <c r="AG486" s="5" t="n">
        <v>0</v>
      </c>
      <c r="AH486" s="5" t="n">
        <v>17.44</v>
      </c>
      <c r="AI486" s="5" t="n">
        <v>0</v>
      </c>
      <c r="AJ486" s="5" t="n">
        <v>1</v>
      </c>
      <c r="AK486" s="5" t="n">
        <v>24.3</v>
      </c>
      <c r="AL486" s="5" t="n">
        <v>12.942</v>
      </c>
      <c r="AM486" s="5" t="n">
        <v>0</v>
      </c>
      <c r="AN486" s="5" t="n">
        <v>28.309</v>
      </c>
      <c r="AO486" s="5" t="n">
        <v>0.165</v>
      </c>
      <c r="AP486" s="5" t="n">
        <v>1</v>
      </c>
      <c r="AQ486" s="5" t="n">
        <v>0.619</v>
      </c>
      <c r="AR486" s="5" t="n">
        <v>0.114</v>
      </c>
      <c r="AS486" s="5" t="n">
        <v>0.398</v>
      </c>
      <c r="AT486" s="5" t="n">
        <v>1.19</v>
      </c>
      <c r="AU486" s="5" t="n">
        <v>0.17</v>
      </c>
      <c r="AV486" s="5" t="n">
        <v>1</v>
      </c>
      <c r="AW486" s="5" t="n">
        <v>0.599</v>
      </c>
      <c r="AX486" s="5" t="n">
        <v>0.114</v>
      </c>
      <c r="AY486" s="5" t="n">
        <v>0.409</v>
      </c>
      <c r="AZ486" s="5" t="n">
        <v>1.18</v>
      </c>
      <c r="BA486" s="5" t="n">
        <v>0.17</v>
      </c>
      <c r="BB486" s="5" t="n">
        <v>1</v>
      </c>
      <c r="BC486" s="5" t="n">
        <v>0.439</v>
      </c>
      <c r="BD486" s="5" t="n">
        <v>0.114</v>
      </c>
      <c r="BE486" s="5" t="n">
        <v>0.823</v>
      </c>
      <c r="BF486" s="5" t="n">
        <v>1.471</v>
      </c>
      <c r="BG486" s="5" t="n">
        <v>0.165</v>
      </c>
      <c r="BH486" s="5" t="n">
        <v>1</v>
      </c>
      <c r="BI486" s="5" t="n">
        <v>0.505</v>
      </c>
      <c r="BJ486" s="5" t="n">
        <v>0.114</v>
      </c>
      <c r="BK486" s="5" t="n">
        <v>0.276</v>
      </c>
      <c r="BL486" s="5" t="n">
        <v>0.91</v>
      </c>
      <c r="BM486" s="5" t="n">
        <v>0.165</v>
      </c>
      <c r="BN486" s="5" t="n">
        <v>1</v>
      </c>
      <c r="BO486" s="5" t="n">
        <v>0</v>
      </c>
      <c r="BP486" s="5" t="n">
        <v>0</v>
      </c>
      <c r="BQ486" s="5" t="n">
        <v>0.142</v>
      </c>
      <c r="BR486" s="5" t="n">
        <v>0</v>
      </c>
      <c r="BS486" s="5" t="n">
        <v>0.833</v>
      </c>
      <c r="BT486" s="5" t="n">
        <v>0</v>
      </c>
      <c r="BU486" s="5" t="n">
        <v>0</v>
      </c>
      <c r="BV486" s="5" t="n">
        <v>0.081</v>
      </c>
      <c r="BW486" s="5" t="n">
        <v>0.165</v>
      </c>
      <c r="BX486" s="5" t="n">
        <v>0.833</v>
      </c>
      <c r="BY486" s="5" t="n">
        <v>11.787</v>
      </c>
      <c r="BZ486" s="5" t="n">
        <v>0</v>
      </c>
      <c r="CA486" s="5" t="n">
        <v>11.787</v>
      </c>
      <c r="CB486" s="5" t="n">
        <v>0</v>
      </c>
      <c r="CC486" s="5" t="n">
        <v>78.125</v>
      </c>
      <c r="CD486" s="5" t="n">
        <v>7.95</v>
      </c>
      <c r="CE486" s="5" t="n">
        <v>44.918</v>
      </c>
      <c r="CF486" s="5" t="n">
        <v>143.345</v>
      </c>
      <c r="CG486" s="5" t="n">
        <v>0.165</v>
      </c>
      <c r="CH486" s="5" t="n">
        <v>1</v>
      </c>
      <c r="CI486" s="5" t="n">
        <v>0</v>
      </c>
      <c r="CJ486" s="5" t="n">
        <v>0</v>
      </c>
      <c r="CK486" s="5" t="n">
        <v>0</v>
      </c>
      <c r="CL486" s="5" t="n">
        <v>0</v>
      </c>
      <c r="CM486" s="5" t="n">
        <v>0</v>
      </c>
      <c r="CN486" s="5" t="n">
        <v>0</v>
      </c>
      <c r="CO486" s="5" t="n">
        <v>0</v>
      </c>
      <c r="CP486" s="5" t="n">
        <v>0</v>
      </c>
      <c r="CQ486" s="5" t="n">
        <v>1.198</v>
      </c>
      <c r="CR486" s="5" t="n">
        <v>0</v>
      </c>
      <c r="CS486" s="5" t="n">
        <v>4.776</v>
      </c>
      <c r="CT486" s="5" t="n">
        <v>4.753</v>
      </c>
      <c r="CU486" s="5" t="n">
        <v>15.162</v>
      </c>
    </row>
    <row r="487">
      <c r="A487" s="5" t="inlineStr">
        <is>
          <t>MWI2022</t>
        </is>
      </c>
      <c r="B487" s="5" t="inlineStr">
        <is>
          <t>MWI</t>
        </is>
      </c>
      <c r="C487" s="5" t="inlineStr">
        <is>
          <t>MWI</t>
        </is>
      </c>
      <c r="D487" s="5" t="inlineStr">
        <is>
          <t>Malawi</t>
        </is>
      </c>
      <c r="E487" s="5" t="n">
        <v>2022</v>
      </c>
      <c r="F487" s="5" t="n">
        <v>0.165</v>
      </c>
      <c r="G487" s="5" t="n">
        <v>11.72</v>
      </c>
      <c r="H487" s="5" t="n">
        <v>1.235</v>
      </c>
      <c r="I487" s="5" t="n">
        <v>0</v>
      </c>
      <c r="J487" s="5" t="n">
        <v>11.72</v>
      </c>
      <c r="K487" s="5" t="n">
        <v>0</v>
      </c>
      <c r="L487" s="5" t="n">
        <v>1</v>
      </c>
      <c r="M487" s="5" t="n">
        <v>9.782999999999999</v>
      </c>
      <c r="N487" s="5" t="n">
        <v>3.704</v>
      </c>
      <c r="O487" s="5" t="n">
        <v>0</v>
      </c>
      <c r="P487" s="5" t="n">
        <v>9.782999999999999</v>
      </c>
      <c r="Q487" s="5" t="n">
        <v>0</v>
      </c>
      <c r="R487" s="5" t="n">
        <v>1</v>
      </c>
      <c r="S487" s="5" t="n">
        <v>17.893</v>
      </c>
      <c r="T487" s="5" t="n">
        <v>7.408</v>
      </c>
      <c r="U487" s="5" t="n">
        <v>0.219</v>
      </c>
      <c r="V487" s="5" t="n">
        <v>20.846</v>
      </c>
      <c r="W487" s="5" t="n">
        <v>0.165</v>
      </c>
      <c r="X487" s="5" t="n">
        <v>1</v>
      </c>
      <c r="Y487" s="5" t="n">
        <v>32.539</v>
      </c>
      <c r="Z487" s="5" t="n">
        <v>4.398</v>
      </c>
      <c r="AA487" s="5" t="n">
        <v>0</v>
      </c>
      <c r="AB487" s="5" t="n">
        <v>32.539</v>
      </c>
      <c r="AC487" s="5" t="n">
        <v>0</v>
      </c>
      <c r="AD487" s="5" t="n">
        <v>1</v>
      </c>
      <c r="AE487" s="5" t="n">
        <v>33.774</v>
      </c>
      <c r="AF487" s="5" t="n">
        <v>7.897</v>
      </c>
      <c r="AG487" s="5" t="n">
        <v>0</v>
      </c>
      <c r="AH487" s="5" t="n">
        <v>33.774</v>
      </c>
      <c r="AI487" s="5" t="n">
        <v>0</v>
      </c>
      <c r="AJ487" s="5" t="n">
        <v>1</v>
      </c>
      <c r="AK487" s="5" t="n">
        <v>41.182</v>
      </c>
      <c r="AL487" s="5" t="n">
        <v>21.933</v>
      </c>
      <c r="AM487" s="5" t="n">
        <v>0.503</v>
      </c>
      <c r="AN487" s="5" t="n">
        <v>47.977</v>
      </c>
      <c r="AO487" s="5" t="n">
        <v>0.165</v>
      </c>
      <c r="AP487" s="5" t="n">
        <v>1</v>
      </c>
      <c r="AQ487" s="5" t="n">
        <v>0.861</v>
      </c>
      <c r="AR487" s="5" t="n">
        <v>0.123</v>
      </c>
      <c r="AS487" s="5" t="n">
        <v>0.583</v>
      </c>
      <c r="AT487" s="5" t="n">
        <v>1.69</v>
      </c>
      <c r="AU487" s="5" t="n">
        <v>0.17</v>
      </c>
      <c r="AV487" s="5" t="n">
        <v>1</v>
      </c>
      <c r="AW487" s="5" t="n">
        <v>0.986</v>
      </c>
      <c r="AX487" s="5" t="n">
        <v>0.123</v>
      </c>
      <c r="AY487" s="5" t="n">
        <v>0.501</v>
      </c>
      <c r="AZ487" s="5" t="n">
        <v>1.74</v>
      </c>
      <c r="BA487" s="5" t="n">
        <v>0.17</v>
      </c>
      <c r="BB487" s="5" t="n">
        <v>1</v>
      </c>
      <c r="BC487" s="5" t="n">
        <v>0.598</v>
      </c>
      <c r="BD487" s="5" t="n">
        <v>0.123</v>
      </c>
      <c r="BE487" s="5" t="n">
        <v>0.73</v>
      </c>
      <c r="BF487" s="5" t="n">
        <v>1.547</v>
      </c>
      <c r="BG487" s="5" t="n">
        <v>0.165</v>
      </c>
      <c r="BH487" s="5" t="n">
        <v>1</v>
      </c>
      <c r="BI487" s="5" t="n">
        <v>0.612</v>
      </c>
      <c r="BJ487" s="5" t="n">
        <v>0.123</v>
      </c>
      <c r="BK487" s="5" t="n">
        <v>0.383</v>
      </c>
      <c r="BL487" s="5" t="n">
        <v>1.16</v>
      </c>
      <c r="BM487" s="5" t="n">
        <v>0.165</v>
      </c>
      <c r="BN487" s="5" t="n">
        <v>1</v>
      </c>
      <c r="BO487" s="5" t="n">
        <v>0</v>
      </c>
      <c r="BP487" s="5" t="n">
        <v>0</v>
      </c>
      <c r="BQ487" s="5" t="n">
        <v>0.12</v>
      </c>
      <c r="BR487" s="5" t="n">
        <v>0</v>
      </c>
      <c r="BS487" s="5" t="n">
        <v>0.833</v>
      </c>
      <c r="BT487" s="5" t="n">
        <v>0</v>
      </c>
      <c r="BU487" s="5" t="n">
        <v>0</v>
      </c>
      <c r="BV487" s="5" t="n">
        <v>0.06900000000000001</v>
      </c>
      <c r="BW487" s="5" t="n">
        <v>0.165</v>
      </c>
      <c r="BX487" s="5" t="n">
        <v>0.833</v>
      </c>
      <c r="BY487" s="5" t="n">
        <v>12.729</v>
      </c>
      <c r="BZ487" s="5" t="n">
        <v>0</v>
      </c>
      <c r="CA487" s="5" t="n">
        <v>12.729</v>
      </c>
      <c r="CB487" s="5" t="n">
        <v>0</v>
      </c>
      <c r="CC487" s="5" t="n">
        <v>97.90000000000001</v>
      </c>
      <c r="CD487" s="5" t="n">
        <v>7.95</v>
      </c>
      <c r="CE487" s="5" t="n">
        <v>58.218</v>
      </c>
      <c r="CF487" s="5" t="n">
        <v>181.878</v>
      </c>
      <c r="CG487" s="5" t="n">
        <v>0.165</v>
      </c>
      <c r="CH487" s="5" t="n">
        <v>1</v>
      </c>
      <c r="CI487" s="5" t="n">
        <v>0</v>
      </c>
      <c r="CJ487" s="5" t="n">
        <v>0</v>
      </c>
      <c r="CK487" s="5" t="n">
        <v>0</v>
      </c>
      <c r="CL487" s="5" t="n">
        <v>0</v>
      </c>
      <c r="CM487" s="5" t="n">
        <v>0</v>
      </c>
      <c r="CN487" s="5" t="n">
        <v>0</v>
      </c>
      <c r="CO487" s="5" t="n">
        <v>0</v>
      </c>
      <c r="CP487" s="5" t="n">
        <v>0</v>
      </c>
      <c r="CQ487" s="5" t="n">
        <v>1.294</v>
      </c>
      <c r="CR487" s="5" t="n">
        <v>0</v>
      </c>
      <c r="CS487" s="5" t="n">
        <v>5.158</v>
      </c>
      <c r="CT487" s="5" t="n">
        <v>10.485</v>
      </c>
      <c r="CU487" s="5" t="n">
        <v>31.326</v>
      </c>
    </row>
    <row r="488">
      <c r="A488" s="5" t="inlineStr">
        <is>
          <t>MWI2023</t>
        </is>
      </c>
      <c r="B488" s="5" t="inlineStr">
        <is>
          <t>MWI</t>
        </is>
      </c>
      <c r="C488" s="5" t="inlineStr">
        <is>
          <t>MWI</t>
        </is>
      </c>
      <c r="D488" s="5" t="inlineStr">
        <is>
          <t>Malawi</t>
        </is>
      </c>
      <c r="E488" s="5" t="n">
        <v>2023</v>
      </c>
      <c r="F488" s="5" t="n">
        <v>0.165</v>
      </c>
      <c r="G488" s="5" t="n">
        <v>6.147</v>
      </c>
      <c r="H488" s="5" t="n">
        <v>1.286</v>
      </c>
      <c r="I488" s="5" t="n">
        <v>0</v>
      </c>
      <c r="J488" s="5" t="n">
        <v>6.147</v>
      </c>
      <c r="K488" s="5" t="n">
        <v>0</v>
      </c>
      <c r="L488" s="5" t="n">
        <v>1</v>
      </c>
      <c r="M488" s="5" t="n">
        <v>7.886</v>
      </c>
      <c r="N488" s="5" t="n">
        <v>3.857</v>
      </c>
      <c r="O488" s="5" t="n">
        <v>0</v>
      </c>
      <c r="P488" s="5" t="n">
        <v>7.886</v>
      </c>
      <c r="Q488" s="5" t="n">
        <v>0</v>
      </c>
      <c r="R488" s="5" t="n">
        <v>1</v>
      </c>
      <c r="S488" s="5" t="n">
        <v>12.575</v>
      </c>
      <c r="T488" s="5" t="n">
        <v>7.714</v>
      </c>
      <c r="U488" s="5" t="n">
        <v>0.23</v>
      </c>
      <c r="V488" s="5" t="n">
        <v>14.65</v>
      </c>
      <c r="W488" s="5" t="n">
        <v>0.165</v>
      </c>
      <c r="X488" s="5" t="n">
        <v>1</v>
      </c>
      <c r="Y488" s="5" t="n">
        <v>12.835</v>
      </c>
      <c r="Z488" s="5" t="n">
        <v>1.735</v>
      </c>
      <c r="AA488" s="5" t="n">
        <v>0</v>
      </c>
      <c r="AB488" s="5" t="n">
        <v>12.835</v>
      </c>
      <c r="AC488" s="5" t="n">
        <v>0</v>
      </c>
      <c r="AD488" s="5" t="n">
        <v>1</v>
      </c>
      <c r="AE488" s="5" t="n">
        <v>14.121</v>
      </c>
      <c r="AF488" s="5" t="n">
        <v>3.302</v>
      </c>
      <c r="AG488" s="5" t="n">
        <v>0</v>
      </c>
      <c r="AH488" s="5" t="n">
        <v>14.121</v>
      </c>
      <c r="AI488" s="5" t="n">
        <v>0</v>
      </c>
      <c r="AJ488" s="5" t="n">
        <v>1</v>
      </c>
      <c r="AK488" s="5" t="n">
        <v>21.835</v>
      </c>
      <c r="AL488" s="5" t="n">
        <v>11.629</v>
      </c>
      <c r="AM488" s="5" t="n">
        <v>0.399</v>
      </c>
      <c r="AN488" s="5" t="n">
        <v>25.437</v>
      </c>
      <c r="AO488" s="5" t="n">
        <v>0.165</v>
      </c>
      <c r="AP488" s="5" t="n">
        <v>1</v>
      </c>
      <c r="AQ488" s="5" t="n">
        <v>0.76</v>
      </c>
      <c r="AR488" s="5" t="n">
        <v>0.129</v>
      </c>
      <c r="AS488" s="5" t="n">
        <v>0.547</v>
      </c>
      <c r="AT488" s="5" t="n">
        <v>1.53</v>
      </c>
      <c r="AU488" s="5" t="n">
        <v>0.17</v>
      </c>
      <c r="AV488" s="5" t="n">
        <v>1</v>
      </c>
      <c r="AW488" s="5" t="n">
        <v>0.8110000000000001</v>
      </c>
      <c r="AX488" s="5" t="n">
        <v>0.129</v>
      </c>
      <c r="AY488" s="5" t="n">
        <v>0.719</v>
      </c>
      <c r="AZ488" s="5" t="n">
        <v>1.79</v>
      </c>
      <c r="BA488" s="5" t="n">
        <v>0.17</v>
      </c>
      <c r="BB488" s="5" t="n">
        <v>1</v>
      </c>
      <c r="BC488" s="5" t="n">
        <v>0.535</v>
      </c>
      <c r="BD488" s="5" t="n">
        <v>0.129</v>
      </c>
      <c r="BE488" s="5" t="n">
        <v>0.62</v>
      </c>
      <c r="BF488" s="5" t="n">
        <v>1.345</v>
      </c>
      <c r="BG488" s="5" t="n">
        <v>0.165</v>
      </c>
      <c r="BH488" s="5" t="n">
        <v>1</v>
      </c>
      <c r="BI488" s="5" t="n">
        <v>0.579</v>
      </c>
      <c r="BJ488" s="5" t="n">
        <v>0.129</v>
      </c>
      <c r="BK488" s="5" t="n">
        <v>0.442</v>
      </c>
      <c r="BL488" s="5" t="n">
        <v>1.19</v>
      </c>
      <c r="BM488" s="5" t="n">
        <v>0.165</v>
      </c>
      <c r="BN488" s="5" t="n">
        <v>1</v>
      </c>
      <c r="BO488" s="5" t="n">
        <v>0</v>
      </c>
      <c r="BP488" s="5" t="n">
        <v>0</v>
      </c>
      <c r="BQ488" s="5" t="n">
        <v>0.136</v>
      </c>
      <c r="BR488" s="5" t="n">
        <v>0</v>
      </c>
      <c r="BS488" s="5" t="n">
        <v>0.833</v>
      </c>
      <c r="BT488" s="5" t="n">
        <v>0</v>
      </c>
      <c r="BU488" s="5" t="n">
        <v>0</v>
      </c>
      <c r="BV488" s="5" t="n">
        <v>0.07099999999999999</v>
      </c>
      <c r="BW488" s="5" t="n">
        <v>0.165</v>
      </c>
      <c r="BX488" s="5" t="n">
        <v>0.833</v>
      </c>
      <c r="BY488" s="5" t="n">
        <v>13.254</v>
      </c>
      <c r="BZ488" s="5" t="n">
        <v>0</v>
      </c>
      <c r="CA488" s="5" t="n">
        <v>13.254</v>
      </c>
      <c r="CB488" s="5" t="n">
        <v>0</v>
      </c>
      <c r="CC488" s="5" t="n">
        <v>83.248</v>
      </c>
      <c r="CD488" s="5" t="n">
        <v>7.95</v>
      </c>
      <c r="CE488" s="5" t="n">
        <v>78.599</v>
      </c>
      <c r="CF488" s="5" t="n">
        <v>188.551</v>
      </c>
      <c r="CG488" s="5" t="n">
        <v>0.165</v>
      </c>
      <c r="CH488" s="5" t="n">
        <v>1</v>
      </c>
      <c r="CI488" s="5" t="n">
        <v>0</v>
      </c>
      <c r="CJ488" s="5" t="n">
        <v>0</v>
      </c>
      <c r="CK488" s="5" t="n">
        <v>0</v>
      </c>
      <c r="CL488" s="5" t="n">
        <v>0</v>
      </c>
      <c r="CM488" s="5" t="n">
        <v>0</v>
      </c>
      <c r="CN488" s="5" t="n">
        <v>0</v>
      </c>
      <c r="CO488" s="5" t="n">
        <v>0</v>
      </c>
      <c r="CP488" s="5" t="n">
        <v>0</v>
      </c>
      <c r="CQ488" s="5" t="n">
        <v>1.348</v>
      </c>
      <c r="CR488" s="5" t="n">
        <v>0</v>
      </c>
      <c r="CS488" s="5" t="n">
        <v>5.37</v>
      </c>
      <c r="CT488" s="5" t="n">
        <v>4.861</v>
      </c>
      <c r="CU488" s="5" t="n">
        <v>11.622</v>
      </c>
    </row>
    <row r="489">
      <c r="A489" s="5" t="inlineStr">
        <is>
          <t>MWI2024</t>
        </is>
      </c>
      <c r="B489" s="5" t="inlineStr">
        <is>
          <t>MWI</t>
        </is>
      </c>
      <c r="C489" s="5" t="inlineStr">
        <is>
          <t>MWI</t>
        </is>
      </c>
      <c r="D489" s="5" t="inlineStr">
        <is>
          <t>Malawi</t>
        </is>
      </c>
      <c r="E489" s="5" t="n">
        <v>2024</v>
      </c>
      <c r="F489" s="5" t="n">
        <v>0.165</v>
      </c>
      <c r="G489" s="5" t="n">
        <v>5.575</v>
      </c>
      <c r="H489" s="5" t="n">
        <v>1.324</v>
      </c>
      <c r="I489" s="5" t="n">
        <v>0</v>
      </c>
      <c r="J489" s="5" t="n">
        <v>5.575</v>
      </c>
      <c r="K489" s="5" t="n">
        <v>0</v>
      </c>
      <c r="L489" s="5" t="n">
        <v>1</v>
      </c>
      <c r="M489" s="5" t="n">
        <v>7.124</v>
      </c>
      <c r="N489" s="5" t="n">
        <v>3.971</v>
      </c>
      <c r="O489" s="5" t="n">
        <v>0</v>
      </c>
      <c r="P489" s="5" t="n">
        <v>7.124</v>
      </c>
      <c r="Q489" s="5" t="n">
        <v>0</v>
      </c>
      <c r="R489" s="5" t="n">
        <v>1</v>
      </c>
      <c r="S489" s="5" t="n">
        <v>12.193</v>
      </c>
      <c r="T489" s="5" t="n">
        <v>7.942</v>
      </c>
      <c r="U489" s="5" t="n">
        <v>0.274</v>
      </c>
      <c r="V489" s="5" t="n">
        <v>14.205</v>
      </c>
      <c r="W489" s="5" t="n">
        <v>0.165</v>
      </c>
      <c r="X489" s="5" t="n">
        <v>1</v>
      </c>
      <c r="Y489" s="5" t="n">
        <v>11.438</v>
      </c>
      <c r="Z489" s="5" t="n">
        <v>1.546</v>
      </c>
      <c r="AA489" s="5" t="n">
        <v>0</v>
      </c>
      <c r="AB489" s="5" t="n">
        <v>11.438</v>
      </c>
      <c r="AC489" s="5" t="n">
        <v>0</v>
      </c>
      <c r="AD489" s="5" t="n">
        <v>1</v>
      </c>
      <c r="AE489" s="5" t="n">
        <v>12.761</v>
      </c>
      <c r="AF489" s="5" t="n">
        <v>2.984</v>
      </c>
      <c r="AG489" s="5" t="n">
        <v>0</v>
      </c>
      <c r="AH489" s="5" t="n">
        <v>12.761</v>
      </c>
      <c r="AI489" s="5" t="n">
        <v>0</v>
      </c>
      <c r="AJ489" s="5" t="n">
        <v>1</v>
      </c>
      <c r="AK489" s="5" t="n">
        <v>20.703</v>
      </c>
      <c r="AL489" s="5" t="n">
        <v>11.026</v>
      </c>
      <c r="AM489" s="5" t="n">
        <v>0.465</v>
      </c>
      <c r="AN489" s="5" t="n">
        <v>24.119</v>
      </c>
      <c r="AO489" s="5" t="n">
        <v>0.165</v>
      </c>
      <c r="AP489" s="5" t="n">
        <v>1</v>
      </c>
      <c r="AQ489" s="5" t="n">
        <v>0.724</v>
      </c>
      <c r="AR489" s="5" t="n">
        <v>0.132</v>
      </c>
      <c r="AS489" s="5" t="n">
        <v>0.532</v>
      </c>
      <c r="AT489" s="5" t="n">
        <v>1.47</v>
      </c>
      <c r="AU489" s="5" t="n">
        <v>0.17</v>
      </c>
      <c r="AV489" s="5" t="n">
        <v>1</v>
      </c>
      <c r="AW489" s="5" t="n">
        <v>0.75</v>
      </c>
      <c r="AX489" s="5" t="n">
        <v>0.132</v>
      </c>
      <c r="AY489" s="5" t="n">
        <v>0.609</v>
      </c>
      <c r="AZ489" s="5" t="n">
        <v>1.59</v>
      </c>
      <c r="BA489" s="5" t="n">
        <v>0.17</v>
      </c>
      <c r="BB489" s="5" t="n">
        <v>1</v>
      </c>
      <c r="BC489" s="5" t="n">
        <v>0.513</v>
      </c>
      <c r="BD489" s="5" t="n">
        <v>0.132</v>
      </c>
      <c r="BE489" s="5" t="n">
        <v>0.437</v>
      </c>
      <c r="BF489" s="5" t="n">
        <v>1.107</v>
      </c>
      <c r="BG489" s="5" t="n">
        <v>0.165</v>
      </c>
      <c r="BH489" s="5" t="n">
        <v>1</v>
      </c>
      <c r="BI489" s="5" t="n">
        <v>0.591</v>
      </c>
      <c r="BJ489" s="5" t="n">
        <v>0.132</v>
      </c>
      <c r="BK489" s="5" t="n">
        <v>0.361</v>
      </c>
      <c r="BL489" s="5" t="n">
        <v>1.11</v>
      </c>
      <c r="BM489" s="5" t="n">
        <v>0.165</v>
      </c>
      <c r="BN489" s="5" t="n">
        <v>1</v>
      </c>
      <c r="BO489" s="5" t="n">
        <v>0</v>
      </c>
      <c r="BP489" s="5" t="n">
        <v>0</v>
      </c>
      <c r="BQ489" s="5" t="n">
        <v>0.159</v>
      </c>
      <c r="BR489" s="5" t="n">
        <v>0</v>
      </c>
      <c r="BS489" s="5" t="n">
        <v>0.833</v>
      </c>
      <c r="BT489" s="5" t="n">
        <v>0</v>
      </c>
      <c r="BU489" s="5" t="n">
        <v>0</v>
      </c>
      <c r="BV489" s="5" t="n">
        <v>0.064</v>
      </c>
      <c r="BW489" s="5" t="n">
        <v>0.165</v>
      </c>
      <c r="BX489" s="5" t="n">
        <v>0.833</v>
      </c>
      <c r="BY489" s="5" t="n">
        <v>13.646</v>
      </c>
      <c r="BZ489" s="5" t="n">
        <v>0</v>
      </c>
      <c r="CA489" s="5" t="n">
        <v>13.646</v>
      </c>
      <c r="CB489" s="5" t="n">
        <v>0</v>
      </c>
      <c r="CC489" s="5" t="n">
        <v>82.58799999999999</v>
      </c>
      <c r="CD489" s="5" t="n">
        <v>7.95</v>
      </c>
      <c r="CE489" s="5" t="n">
        <v>67.48399999999999</v>
      </c>
      <c r="CF489" s="5" t="n">
        <v>174.834</v>
      </c>
      <c r="CG489" s="5" t="n">
        <v>0.165</v>
      </c>
      <c r="CH489" s="5" t="n">
        <v>1</v>
      </c>
      <c r="CI489" s="5" t="n">
        <v>0</v>
      </c>
      <c r="CJ489" s="5" t="n">
        <v>0</v>
      </c>
      <c r="CK489" s="5" t="n">
        <v>0</v>
      </c>
      <c r="CL489" s="5" t="n">
        <v>0</v>
      </c>
      <c r="CM489" s="5" t="n">
        <v>0</v>
      </c>
      <c r="CN489" s="5" t="n">
        <v>0</v>
      </c>
      <c r="CO489" s="5" t="n">
        <v>0</v>
      </c>
      <c r="CP489" s="5" t="n">
        <v>0</v>
      </c>
      <c r="CQ489" s="5" t="n">
        <v>1.387</v>
      </c>
      <c r="CR489" s="5" t="n">
        <v>0</v>
      </c>
      <c r="CS489" s="5" t="n">
        <v>5.529</v>
      </c>
      <c r="CT489" s="5" t="n">
        <v>4.251</v>
      </c>
      <c r="CU489" s="5" t="n">
        <v>10.168</v>
      </c>
    </row>
    <row r="490">
      <c r="A490" s="5" t="inlineStr">
        <is>
          <t>MYS2021</t>
        </is>
      </c>
      <c r="B490" s="5" t="inlineStr">
        <is>
          <t>MYS</t>
        </is>
      </c>
      <c r="C490" s="5" t="inlineStr">
        <is>
          <t>MYS</t>
        </is>
      </c>
      <c r="D490" s="5" t="inlineStr">
        <is>
          <t>Malaysia</t>
        </is>
      </c>
      <c r="E490" s="5" t="n">
        <v>2021</v>
      </c>
      <c r="F490" s="5" t="n">
        <v>0.1</v>
      </c>
      <c r="G490" s="5" t="n">
        <v>4.452</v>
      </c>
      <c r="H490" s="5" t="n">
        <v>1.087</v>
      </c>
      <c r="I490" s="5" t="n">
        <v>0</v>
      </c>
      <c r="J490" s="5" t="n">
        <v>4.452</v>
      </c>
      <c r="K490" s="5" t="n">
        <v>0</v>
      </c>
      <c r="L490" s="5" t="n">
        <v>1</v>
      </c>
      <c r="M490" s="5" t="n">
        <v>7.463</v>
      </c>
      <c r="N490" s="5" t="n">
        <v>3.26</v>
      </c>
      <c r="O490" s="5" t="n">
        <v>0</v>
      </c>
      <c r="P490" s="5" t="n">
        <v>7.463</v>
      </c>
      <c r="Q490" s="5" t="n">
        <v>0</v>
      </c>
      <c r="R490" s="5" t="n">
        <v>1</v>
      </c>
      <c r="S490" s="5" t="n">
        <v>9.884</v>
      </c>
      <c r="T490" s="5" t="n">
        <v>6.519</v>
      </c>
      <c r="U490" s="5" t="n">
        <v>0</v>
      </c>
      <c r="V490" s="5" t="n">
        <v>9.884</v>
      </c>
      <c r="W490" s="5" t="n">
        <v>0</v>
      </c>
      <c r="X490" s="5" t="n">
        <v>1</v>
      </c>
      <c r="Y490" s="5" t="n">
        <v>6.618</v>
      </c>
      <c r="Z490" s="5" t="n">
        <v>0.855</v>
      </c>
      <c r="AA490" s="5" t="n">
        <v>-0.017</v>
      </c>
      <c r="AB490" s="5" t="n">
        <v>6.601</v>
      </c>
      <c r="AC490" s="5" t="n">
        <v>0</v>
      </c>
      <c r="AD490" s="5" t="n">
        <v>1</v>
      </c>
      <c r="AE490" s="5" t="n">
        <v>7.298</v>
      </c>
      <c r="AF490" s="5" t="n">
        <v>1.639</v>
      </c>
      <c r="AG490" s="5" t="n">
        <v>-0.5600000000000001</v>
      </c>
      <c r="AH490" s="5" t="n">
        <v>6.738</v>
      </c>
      <c r="AI490" s="5" t="n">
        <v>0</v>
      </c>
      <c r="AJ490" s="5" t="n">
        <v>1</v>
      </c>
      <c r="AK490" s="5" t="n">
        <v>11.375</v>
      </c>
      <c r="AL490" s="5" t="n">
        <v>5.865</v>
      </c>
      <c r="AM490" s="5" t="n">
        <v>-5.676</v>
      </c>
      <c r="AN490" s="5" t="n">
        <v>6.268</v>
      </c>
      <c r="AO490" s="5" t="n">
        <v>0</v>
      </c>
      <c r="AP490" s="5" t="n">
        <v>0</v>
      </c>
      <c r="AQ490" s="5" t="n">
        <v>0.621</v>
      </c>
      <c r="AR490" s="5" t="n">
        <v>0.114</v>
      </c>
      <c r="AS490" s="5" t="n">
        <v>-0.131</v>
      </c>
      <c r="AT490" s="5" t="n">
        <v>0.489</v>
      </c>
      <c r="AU490" s="5" t="n">
        <v>0</v>
      </c>
      <c r="AV490" s="5" t="n">
        <v>0</v>
      </c>
      <c r="AW490" s="5" t="n">
        <v>0.593</v>
      </c>
      <c r="AX490" s="5" t="n">
        <v>0.114</v>
      </c>
      <c r="AY490" s="5" t="n">
        <v>-0.077</v>
      </c>
      <c r="AZ490" s="5" t="n">
        <v>0.516</v>
      </c>
      <c r="BA490" s="5" t="n">
        <v>0</v>
      </c>
      <c r="BB490" s="5" t="n">
        <v>0</v>
      </c>
      <c r="BC490" s="5" t="n">
        <v>0.44</v>
      </c>
      <c r="BD490" s="5" t="n">
        <v>0.114</v>
      </c>
      <c r="BE490" s="5" t="n">
        <v>-0.09</v>
      </c>
      <c r="BF490" s="5" t="n">
        <v>0.35</v>
      </c>
      <c r="BG490" s="5" t="n">
        <v>0</v>
      </c>
      <c r="BH490" s="5" t="n">
        <v>0</v>
      </c>
      <c r="BI490" s="5" t="n">
        <v>0.5600000000000001</v>
      </c>
      <c r="BJ490" s="5" t="n">
        <v>0.114</v>
      </c>
      <c r="BK490" s="5" t="n">
        <v>0.001</v>
      </c>
      <c r="BL490" s="5" t="n">
        <v>0.5620000000000001</v>
      </c>
      <c r="BM490" s="5" t="n">
        <v>0</v>
      </c>
      <c r="BN490" s="5" t="n">
        <v>1</v>
      </c>
      <c r="BO490" s="5" t="n">
        <v>0</v>
      </c>
      <c r="BP490" s="5" t="n">
        <v>0</v>
      </c>
      <c r="BQ490" s="5" t="n">
        <v>0.092</v>
      </c>
      <c r="BR490" s="5" t="n">
        <v>0</v>
      </c>
      <c r="BS490" s="5" t="n">
        <v>0.333</v>
      </c>
      <c r="BT490" s="5" t="n">
        <v>0</v>
      </c>
      <c r="BU490" s="5" t="n">
        <v>0</v>
      </c>
      <c r="BV490" s="5" t="n">
        <v>0.053</v>
      </c>
      <c r="BW490" s="5" t="n">
        <v>0.1</v>
      </c>
      <c r="BX490" s="5" t="n">
        <v>0.333</v>
      </c>
      <c r="BY490" s="5" t="n">
        <v>11.787</v>
      </c>
      <c r="BZ490" s="5" t="n">
        <v>0</v>
      </c>
      <c r="CA490" s="5" t="n">
        <v>11.787</v>
      </c>
      <c r="CB490" s="5" t="n">
        <v>0</v>
      </c>
      <c r="CC490" s="5" t="n">
        <v>81.69499999999999</v>
      </c>
      <c r="CD490" s="5" t="n">
        <v>7.95</v>
      </c>
      <c r="CE490" s="5" t="n">
        <v>0.211</v>
      </c>
      <c r="CF490" s="5" t="n">
        <v>90.09699999999999</v>
      </c>
      <c r="CG490" s="5" t="n">
        <v>0.1</v>
      </c>
      <c r="CH490" s="5" t="n">
        <v>1</v>
      </c>
      <c r="CI490" s="5" t="n">
        <v>0</v>
      </c>
      <c r="CJ490" s="5" t="n">
        <v>0</v>
      </c>
      <c r="CK490" s="5" t="n">
        <v>0</v>
      </c>
      <c r="CL490" s="5" t="n">
        <v>0</v>
      </c>
      <c r="CM490" s="5" t="n">
        <v>0</v>
      </c>
      <c r="CN490" s="5" t="n">
        <v>0</v>
      </c>
      <c r="CO490" s="5" t="n">
        <v>0</v>
      </c>
      <c r="CP490" s="5" t="n">
        <v>0.099</v>
      </c>
      <c r="CQ490" s="5" t="n">
        <v>1.198</v>
      </c>
      <c r="CR490" s="5" t="n">
        <v>0.8110000000000001</v>
      </c>
      <c r="CS490" s="5" t="n">
        <v>4.606</v>
      </c>
      <c r="CT490" s="5" t="n">
        <v>3.604</v>
      </c>
      <c r="CU490" s="5" t="n">
        <v>14.129</v>
      </c>
    </row>
    <row r="491">
      <c r="A491" s="5" t="inlineStr">
        <is>
          <t>MYS2022</t>
        </is>
      </c>
      <c r="B491" s="5" t="inlineStr">
        <is>
          <t>MYS</t>
        </is>
      </c>
      <c r="C491" s="5" t="inlineStr">
        <is>
          <t>MYS</t>
        </is>
      </c>
      <c r="D491" s="5" t="inlineStr">
        <is>
          <t>Malaysia</t>
        </is>
      </c>
      <c r="E491" s="5" t="n">
        <v>2022</v>
      </c>
      <c r="F491" s="5" t="n">
        <v>0.1</v>
      </c>
      <c r="G491" s="5" t="n">
        <v>8.189</v>
      </c>
      <c r="H491" s="5" t="n">
        <v>1.181</v>
      </c>
      <c r="I491" s="5" t="n">
        <v>0</v>
      </c>
      <c r="J491" s="5" t="n">
        <v>8.189</v>
      </c>
      <c r="K491" s="5" t="n">
        <v>0</v>
      </c>
      <c r="L491" s="5" t="n">
        <v>1</v>
      </c>
      <c r="M491" s="5" t="n">
        <v>9.205</v>
      </c>
      <c r="N491" s="5" t="n">
        <v>3.543</v>
      </c>
      <c r="O491" s="5" t="n">
        <v>0</v>
      </c>
      <c r="P491" s="5" t="n">
        <v>9.205</v>
      </c>
      <c r="Q491" s="5" t="n">
        <v>0</v>
      </c>
      <c r="R491" s="5" t="n">
        <v>1</v>
      </c>
      <c r="S491" s="5" t="n">
        <v>14.094</v>
      </c>
      <c r="T491" s="5" t="n">
        <v>7.086</v>
      </c>
      <c r="U491" s="5" t="n">
        <v>0</v>
      </c>
      <c r="V491" s="5" t="n">
        <v>14.094</v>
      </c>
      <c r="W491" s="5" t="n">
        <v>0</v>
      </c>
      <c r="X491" s="5" t="n">
        <v>1</v>
      </c>
      <c r="Y491" s="5" t="n">
        <v>11.476</v>
      </c>
      <c r="Z491" s="5" t="n">
        <v>1.482</v>
      </c>
      <c r="AA491" s="5" t="n">
        <v>-4.347</v>
      </c>
      <c r="AB491" s="5" t="n">
        <v>7.129</v>
      </c>
      <c r="AC491" s="5" t="n">
        <v>0</v>
      </c>
      <c r="AD491" s="5" t="n">
        <v>1</v>
      </c>
      <c r="AE491" s="5" t="n">
        <v>12.252</v>
      </c>
      <c r="AF491" s="5" t="n">
        <v>2.751</v>
      </c>
      <c r="AG491" s="5" t="n">
        <v>-4.173</v>
      </c>
      <c r="AH491" s="5" t="n">
        <v>8.079000000000001</v>
      </c>
      <c r="AI491" s="5" t="n">
        <v>0</v>
      </c>
      <c r="AJ491" s="5" t="n">
        <v>1</v>
      </c>
      <c r="AK491" s="5" t="n">
        <v>16.907</v>
      </c>
      <c r="AL491" s="5" t="n">
        <v>8.718</v>
      </c>
      <c r="AM491" s="5" t="n">
        <v>-10.079</v>
      </c>
      <c r="AN491" s="5" t="n">
        <v>7.511</v>
      </c>
      <c r="AO491" s="5" t="n">
        <v>0</v>
      </c>
      <c r="AP491" s="5" t="n">
        <v>0</v>
      </c>
      <c r="AQ491" s="5" t="n">
        <v>0.847</v>
      </c>
      <c r="AR491" s="5" t="n">
        <v>0.123</v>
      </c>
      <c r="AS491" s="5" t="n">
        <v>-0.381</v>
      </c>
      <c r="AT491" s="5" t="n">
        <v>0.466</v>
      </c>
      <c r="AU491" s="5" t="n">
        <v>0</v>
      </c>
      <c r="AV491" s="5" t="n">
        <v>0</v>
      </c>
      <c r="AW491" s="5" t="n">
        <v>0.947</v>
      </c>
      <c r="AX491" s="5" t="n">
        <v>0.123</v>
      </c>
      <c r="AY491" s="5" t="n">
        <v>-0.458</v>
      </c>
      <c r="AZ491" s="5" t="n">
        <v>0.489</v>
      </c>
      <c r="BA491" s="5" t="n">
        <v>0</v>
      </c>
      <c r="BB491" s="5" t="n">
        <v>0</v>
      </c>
      <c r="BC491" s="5" t="n">
        <v>0.589</v>
      </c>
      <c r="BD491" s="5" t="n">
        <v>0.123</v>
      </c>
      <c r="BE491" s="5" t="n">
        <v>-0.252</v>
      </c>
      <c r="BF491" s="5" t="n">
        <v>0.337</v>
      </c>
      <c r="BG491" s="5" t="n">
        <v>0</v>
      </c>
      <c r="BH491" s="5" t="n">
        <v>0</v>
      </c>
      <c r="BI491" s="5" t="n">
        <v>0.6889999999999999</v>
      </c>
      <c r="BJ491" s="5" t="n">
        <v>0.123</v>
      </c>
      <c r="BK491" s="5" t="n">
        <v>0.002</v>
      </c>
      <c r="BL491" s="5" t="n">
        <v>0.6909999999999999</v>
      </c>
      <c r="BM491" s="5" t="n">
        <v>0</v>
      </c>
      <c r="BN491" s="5" t="n">
        <v>1</v>
      </c>
      <c r="BO491" s="5" t="n">
        <v>0</v>
      </c>
      <c r="BP491" s="5" t="n">
        <v>-0.014</v>
      </c>
      <c r="BQ491" s="5" t="n">
        <v>0.08599999999999999</v>
      </c>
      <c r="BR491" s="5" t="n">
        <v>0</v>
      </c>
      <c r="BS491" s="5" t="n">
        <v>0.333</v>
      </c>
      <c r="BT491" s="5" t="n">
        <v>0</v>
      </c>
      <c r="BU491" s="5" t="n">
        <v>-0.014</v>
      </c>
      <c r="BV491" s="5" t="n">
        <v>0.05</v>
      </c>
      <c r="BW491" s="5" t="n">
        <v>0.1</v>
      </c>
      <c r="BX491" s="5" t="n">
        <v>0.333</v>
      </c>
      <c r="BY491" s="5" t="n">
        <v>12.729</v>
      </c>
      <c r="BZ491" s="5" t="n">
        <v>0</v>
      </c>
      <c r="CA491" s="5" t="n">
        <v>12.729</v>
      </c>
      <c r="CB491" s="5" t="n">
        <v>0</v>
      </c>
      <c r="CC491" s="5" t="n">
        <v>102.477</v>
      </c>
      <c r="CD491" s="5" t="n">
        <v>7.95</v>
      </c>
      <c r="CE491" s="5" t="n">
        <v>-2.479</v>
      </c>
      <c r="CF491" s="5" t="n">
        <v>109.189</v>
      </c>
      <c r="CG491" s="5" t="n">
        <v>0.1</v>
      </c>
      <c r="CH491" s="5" t="n">
        <v>1</v>
      </c>
      <c r="CI491" s="5" t="n">
        <v>0</v>
      </c>
      <c r="CJ491" s="5" t="n">
        <v>0</v>
      </c>
      <c r="CK491" s="5" t="n">
        <v>0</v>
      </c>
      <c r="CL491" s="5" t="n">
        <v>0</v>
      </c>
      <c r="CM491" s="5" t="n">
        <v>0</v>
      </c>
      <c r="CN491" s="5" t="n">
        <v>0</v>
      </c>
      <c r="CO491" s="5" t="n">
        <v>0</v>
      </c>
      <c r="CP491" s="5" t="n">
        <v>0.08699999999999999</v>
      </c>
      <c r="CQ491" s="5" t="n">
        <v>1.294</v>
      </c>
      <c r="CR491" s="5" t="n">
        <v>0.743</v>
      </c>
      <c r="CS491" s="5" t="n">
        <v>4.974</v>
      </c>
      <c r="CT491" s="5" t="n">
        <v>7.554</v>
      </c>
      <c r="CU491" s="5" t="n">
        <v>28.059</v>
      </c>
    </row>
    <row r="492">
      <c r="A492" s="5" t="inlineStr">
        <is>
          <t>MYS2023</t>
        </is>
      </c>
      <c r="B492" s="5" t="inlineStr">
        <is>
          <t>MYS</t>
        </is>
      </c>
      <c r="C492" s="5" t="inlineStr">
        <is>
          <t>MYS</t>
        </is>
      </c>
      <c r="D492" s="5" t="inlineStr">
        <is>
          <t>Malaysia</t>
        </is>
      </c>
      <c r="E492" s="5" t="n">
        <v>2023</v>
      </c>
      <c r="F492" s="5" t="n">
        <v>0.1</v>
      </c>
      <c r="G492" s="5" t="n">
        <v>5.398</v>
      </c>
      <c r="H492" s="5" t="n">
        <v>1.222</v>
      </c>
      <c r="I492" s="5" t="n">
        <v>0</v>
      </c>
      <c r="J492" s="5" t="n">
        <v>5.398</v>
      </c>
      <c r="K492" s="5" t="n">
        <v>0</v>
      </c>
      <c r="L492" s="5" t="n">
        <v>1</v>
      </c>
      <c r="M492" s="5" t="n">
        <v>7.432</v>
      </c>
      <c r="N492" s="5" t="n">
        <v>3.667</v>
      </c>
      <c r="O492" s="5" t="n">
        <v>0</v>
      </c>
      <c r="P492" s="5" t="n">
        <v>7.432</v>
      </c>
      <c r="Q492" s="5" t="n">
        <v>0</v>
      </c>
      <c r="R492" s="5" t="n">
        <v>1</v>
      </c>
      <c r="S492" s="5" t="n">
        <v>11.509</v>
      </c>
      <c r="T492" s="5" t="n">
        <v>7.334</v>
      </c>
      <c r="U492" s="5" t="n">
        <v>0</v>
      </c>
      <c r="V492" s="5" t="n">
        <v>11.509</v>
      </c>
      <c r="W492" s="5" t="n">
        <v>0</v>
      </c>
      <c r="X492" s="5" t="n">
        <v>1</v>
      </c>
      <c r="Y492" s="5" t="n">
        <v>6.841</v>
      </c>
      <c r="Z492" s="5" t="n">
        <v>0.884</v>
      </c>
      <c r="AA492" s="5" t="n">
        <v>0.582</v>
      </c>
      <c r="AB492" s="5" t="n">
        <v>7.423</v>
      </c>
      <c r="AC492" s="5" t="n">
        <v>0</v>
      </c>
      <c r="AD492" s="5" t="n">
        <v>1</v>
      </c>
      <c r="AE492" s="5" t="n">
        <v>7.623</v>
      </c>
      <c r="AF492" s="5" t="n">
        <v>1.712</v>
      </c>
      <c r="AG492" s="5" t="n">
        <v>0.173</v>
      </c>
      <c r="AH492" s="5" t="n">
        <v>7.796</v>
      </c>
      <c r="AI492" s="5" t="n">
        <v>0</v>
      </c>
      <c r="AJ492" s="5" t="n">
        <v>1</v>
      </c>
      <c r="AK492" s="5" t="n">
        <v>12.312</v>
      </c>
      <c r="AL492" s="5" t="n">
        <v>6.349</v>
      </c>
      <c r="AM492" s="5" t="n">
        <v>-5.723</v>
      </c>
      <c r="AN492" s="5" t="n">
        <v>7.248</v>
      </c>
      <c r="AO492" s="5" t="n">
        <v>0</v>
      </c>
      <c r="AP492" s="5" t="n">
        <v>0</v>
      </c>
      <c r="AQ492" s="5" t="n">
        <v>0.749</v>
      </c>
      <c r="AR492" s="5" t="n">
        <v>0.129</v>
      </c>
      <c r="AS492" s="5" t="n">
        <v>-0.299</v>
      </c>
      <c r="AT492" s="5" t="n">
        <v>0.449</v>
      </c>
      <c r="AU492" s="5" t="n">
        <v>0</v>
      </c>
      <c r="AV492" s="5" t="n">
        <v>0</v>
      </c>
      <c r="AW492" s="5" t="n">
        <v>0.783</v>
      </c>
      <c r="AX492" s="5" t="n">
        <v>0.129</v>
      </c>
      <c r="AY492" s="5" t="n">
        <v>-0.311</v>
      </c>
      <c r="AZ492" s="5" t="n">
        <v>0.471</v>
      </c>
      <c r="BA492" s="5" t="n">
        <v>0</v>
      </c>
      <c r="BB492" s="5" t="n">
        <v>0</v>
      </c>
      <c r="BC492" s="5" t="n">
        <v>0.527</v>
      </c>
      <c r="BD492" s="5" t="n">
        <v>0.129</v>
      </c>
      <c r="BE492" s="5" t="n">
        <v>-0.198</v>
      </c>
      <c r="BF492" s="5" t="n">
        <v>0.329</v>
      </c>
      <c r="BG492" s="5" t="n">
        <v>0</v>
      </c>
      <c r="BH492" s="5" t="n">
        <v>0</v>
      </c>
      <c r="BI492" s="5" t="n">
        <v>0.64</v>
      </c>
      <c r="BJ492" s="5" t="n">
        <v>0.129</v>
      </c>
      <c r="BK492" s="5" t="n">
        <v>0.002</v>
      </c>
      <c r="BL492" s="5" t="n">
        <v>0.641</v>
      </c>
      <c r="BM492" s="5" t="n">
        <v>0</v>
      </c>
      <c r="BN492" s="5" t="n">
        <v>1</v>
      </c>
      <c r="BO492" s="5" t="n">
        <v>0</v>
      </c>
      <c r="BP492" s="5" t="n">
        <v>0</v>
      </c>
      <c r="BQ492" s="5" t="n">
        <v>0.081</v>
      </c>
      <c r="BR492" s="5" t="n">
        <v>0</v>
      </c>
      <c r="BS492" s="5" t="n">
        <v>0.333</v>
      </c>
      <c r="BT492" s="5" t="n">
        <v>0</v>
      </c>
      <c r="BU492" s="5" t="n">
        <v>0</v>
      </c>
      <c r="BV492" s="5" t="n">
        <v>0.046</v>
      </c>
      <c r="BW492" s="5" t="n">
        <v>0.1</v>
      </c>
      <c r="BX492" s="5" t="n">
        <v>0.333</v>
      </c>
      <c r="BY492" s="5" t="n">
        <v>13.254</v>
      </c>
      <c r="BZ492" s="5" t="n">
        <v>0</v>
      </c>
      <c r="CA492" s="5" t="n">
        <v>13.254</v>
      </c>
      <c r="CB492" s="5" t="n">
        <v>0</v>
      </c>
      <c r="CC492" s="5" t="n">
        <v>87.07899999999999</v>
      </c>
      <c r="CD492" s="5" t="n">
        <v>7.95</v>
      </c>
      <c r="CE492" s="5" t="n">
        <v>-2.476</v>
      </c>
      <c r="CF492" s="5" t="n">
        <v>92.044</v>
      </c>
      <c r="CG492" s="5" t="n">
        <v>0.1</v>
      </c>
      <c r="CH492" s="5" t="n">
        <v>1</v>
      </c>
      <c r="CI492" s="5" t="n">
        <v>0</v>
      </c>
      <c r="CJ492" s="5" t="n">
        <v>0</v>
      </c>
      <c r="CK492" s="5" t="n">
        <v>0</v>
      </c>
      <c r="CL492" s="5" t="n">
        <v>0</v>
      </c>
      <c r="CM492" s="5" t="n">
        <v>0</v>
      </c>
      <c r="CN492" s="5" t="n">
        <v>0</v>
      </c>
      <c r="CO492" s="5" t="n">
        <v>0</v>
      </c>
      <c r="CP492" s="5" t="n">
        <v>0.099</v>
      </c>
      <c r="CQ492" s="5" t="n">
        <v>1.348</v>
      </c>
      <c r="CR492" s="5" t="n">
        <v>0.784</v>
      </c>
      <c r="CS492" s="5" t="n">
        <v>5.179</v>
      </c>
      <c r="CT492" s="5" t="n">
        <v>4.484</v>
      </c>
      <c r="CU492" s="5" t="n">
        <v>9.260999999999999</v>
      </c>
    </row>
    <row r="493">
      <c r="A493" s="5" t="inlineStr">
        <is>
          <t>MYS2024</t>
        </is>
      </c>
      <c r="B493" s="5" t="inlineStr">
        <is>
          <t>MYS</t>
        </is>
      </c>
      <c r="C493" s="5" t="inlineStr">
        <is>
          <t>MYS</t>
        </is>
      </c>
      <c r="D493" s="5" t="inlineStr">
        <is>
          <t>Malaysia</t>
        </is>
      </c>
      <c r="E493" s="5" t="n">
        <v>2024</v>
      </c>
      <c r="F493" s="5" t="n">
        <v>0.1</v>
      </c>
      <c r="G493" s="5" t="n">
        <v>4.558</v>
      </c>
      <c r="H493" s="5" t="n">
        <v>1.258</v>
      </c>
      <c r="I493" s="5" t="n">
        <v>0</v>
      </c>
      <c r="J493" s="5" t="n">
        <v>4.558</v>
      </c>
      <c r="K493" s="5" t="n">
        <v>0</v>
      </c>
      <c r="L493" s="5" t="n">
        <v>1</v>
      </c>
      <c r="M493" s="5" t="n">
        <v>6.754</v>
      </c>
      <c r="N493" s="5" t="n">
        <v>3.775</v>
      </c>
      <c r="O493" s="5" t="n">
        <v>0</v>
      </c>
      <c r="P493" s="5" t="n">
        <v>6.754</v>
      </c>
      <c r="Q493" s="5" t="n">
        <v>0</v>
      </c>
      <c r="R493" s="5" t="n">
        <v>1</v>
      </c>
      <c r="S493" s="5" t="n">
        <v>10.851</v>
      </c>
      <c r="T493" s="5" t="n">
        <v>7.55</v>
      </c>
      <c r="U493" s="5" t="n">
        <v>0</v>
      </c>
      <c r="V493" s="5" t="n">
        <v>10.851</v>
      </c>
      <c r="W493" s="5" t="n">
        <v>0</v>
      </c>
      <c r="X493" s="5" t="n">
        <v>1</v>
      </c>
      <c r="Y493" s="5" t="n">
        <v>6.626</v>
      </c>
      <c r="Z493" s="5" t="n">
        <v>0.856</v>
      </c>
      <c r="AA493" s="5" t="n">
        <v>1.017</v>
      </c>
      <c r="AB493" s="5" t="n">
        <v>7.642</v>
      </c>
      <c r="AC493" s="5" t="n">
        <v>0</v>
      </c>
      <c r="AD493" s="5" t="n">
        <v>1</v>
      </c>
      <c r="AE493" s="5" t="n">
        <v>7.43</v>
      </c>
      <c r="AF493" s="5" t="n">
        <v>1.669</v>
      </c>
      <c r="AG493" s="5" t="n">
        <v>0.339</v>
      </c>
      <c r="AH493" s="5" t="n">
        <v>7.769</v>
      </c>
      <c r="AI493" s="5" t="n">
        <v>0</v>
      </c>
      <c r="AJ493" s="5" t="n">
        <v>1</v>
      </c>
      <c r="AK493" s="5" t="n">
        <v>12.258</v>
      </c>
      <c r="AL493" s="5" t="n">
        <v>6.321</v>
      </c>
      <c r="AM493" s="5" t="n">
        <v>-5.692</v>
      </c>
      <c r="AN493" s="5" t="n">
        <v>7.223</v>
      </c>
      <c r="AO493" s="5" t="n">
        <v>0</v>
      </c>
      <c r="AP493" s="5" t="n">
        <v>0</v>
      </c>
      <c r="AQ493" s="5" t="n">
        <v>0.72</v>
      </c>
      <c r="AR493" s="5" t="n">
        <v>0.132</v>
      </c>
      <c r="AS493" s="5" t="n">
        <v>-0.272</v>
      </c>
      <c r="AT493" s="5" t="n">
        <v>0.448</v>
      </c>
      <c r="AU493" s="5" t="n">
        <v>0</v>
      </c>
      <c r="AV493" s="5" t="n">
        <v>0</v>
      </c>
      <c r="AW493" s="5" t="n">
        <v>0.734</v>
      </c>
      <c r="AX493" s="5" t="n">
        <v>0.132</v>
      </c>
      <c r="AY493" s="5" t="n">
        <v>-0.149</v>
      </c>
      <c r="AZ493" s="5" t="n">
        <v>0.585</v>
      </c>
      <c r="BA493" s="5" t="n">
        <v>0</v>
      </c>
      <c r="BB493" s="5" t="n">
        <v>0</v>
      </c>
      <c r="BC493" s="5" t="n">
        <v>0.51</v>
      </c>
      <c r="BD493" s="5" t="n">
        <v>0.132</v>
      </c>
      <c r="BE493" s="5" t="n">
        <v>-0.182</v>
      </c>
      <c r="BF493" s="5" t="n">
        <v>0.329</v>
      </c>
      <c r="BG493" s="5" t="n">
        <v>0</v>
      </c>
      <c r="BH493" s="5" t="n">
        <v>0</v>
      </c>
      <c r="BI493" s="5" t="n">
        <v>0.652</v>
      </c>
      <c r="BJ493" s="5" t="n">
        <v>0.132</v>
      </c>
      <c r="BK493" s="5" t="n">
        <v>0.002</v>
      </c>
      <c r="BL493" s="5" t="n">
        <v>0.654</v>
      </c>
      <c r="BM493" s="5" t="n">
        <v>0</v>
      </c>
      <c r="BN493" s="5" t="n">
        <v>1</v>
      </c>
      <c r="BO493" s="5" t="n">
        <v>0</v>
      </c>
      <c r="BP493" s="5" t="n">
        <v>0</v>
      </c>
      <c r="BQ493" s="5" t="n">
        <v>0.11</v>
      </c>
      <c r="BR493" s="5" t="n">
        <v>0</v>
      </c>
      <c r="BS493" s="5" t="n">
        <v>0.333</v>
      </c>
      <c r="BT493" s="5" t="n">
        <v>0</v>
      </c>
      <c r="BU493" s="5" t="n">
        <v>0</v>
      </c>
      <c r="BV493" s="5" t="n">
        <v>0.043</v>
      </c>
      <c r="BW493" s="5" t="n">
        <v>0.1</v>
      </c>
      <c r="BX493" s="5" t="n">
        <v>0.333</v>
      </c>
      <c r="BY493" s="5" t="n">
        <v>13.646</v>
      </c>
      <c r="BZ493" s="5" t="n">
        <v>0</v>
      </c>
      <c r="CA493" s="5" t="n">
        <v>13.646</v>
      </c>
      <c r="CB493" s="5" t="n">
        <v>0</v>
      </c>
      <c r="CC493" s="5" t="n">
        <v>86.38500000000001</v>
      </c>
      <c r="CD493" s="5" t="n">
        <v>7.95</v>
      </c>
      <c r="CE493" s="5" t="n">
        <v>-2.383</v>
      </c>
      <c r="CF493" s="5" t="n">
        <v>91.161</v>
      </c>
      <c r="CG493" s="5" t="n">
        <v>0.1</v>
      </c>
      <c r="CH493" s="5" t="n">
        <v>1</v>
      </c>
      <c r="CI493" s="5" t="n">
        <v>0</v>
      </c>
      <c r="CJ493" s="5" t="n">
        <v>0</v>
      </c>
      <c r="CK493" s="5" t="n">
        <v>0</v>
      </c>
      <c r="CL493" s="5" t="n">
        <v>0</v>
      </c>
      <c r="CM493" s="5" t="n">
        <v>0</v>
      </c>
      <c r="CN493" s="5" t="n">
        <v>0</v>
      </c>
      <c r="CO493" s="5" t="n">
        <v>0</v>
      </c>
      <c r="CP493" s="5" t="n">
        <v>0.099</v>
      </c>
      <c r="CQ493" s="5" t="n">
        <v>1.387</v>
      </c>
      <c r="CR493" s="5" t="n">
        <v>0.784</v>
      </c>
      <c r="CS493" s="5" t="n">
        <v>5.332</v>
      </c>
      <c r="CT493" s="5" t="n">
        <v>3.509</v>
      </c>
      <c r="CU493" s="5" t="n">
        <v>7.598</v>
      </c>
    </row>
    <row r="494">
      <c r="A494" s="5" t="inlineStr">
        <is>
          <t>MDV2021</t>
        </is>
      </c>
      <c r="B494" s="5" t="inlineStr">
        <is>
          <t>MDV</t>
        </is>
      </c>
      <c r="C494" s="5" t="inlineStr">
        <is>
          <t>MDV</t>
        </is>
      </c>
      <c r="D494" s="5" t="inlineStr">
        <is>
          <t>Maldives</t>
        </is>
      </c>
      <c r="E494" s="5" t="n">
        <v>2021</v>
      </c>
      <c r="F494" s="5" t="n">
        <v>0.06</v>
      </c>
      <c r="G494" s="5" t="n">
        <v>4.747</v>
      </c>
      <c r="H494" s="5" t="n">
        <v>1.143</v>
      </c>
      <c r="I494" s="5" t="n">
        <v>0</v>
      </c>
      <c r="J494" s="5" t="n">
        <v>4.747</v>
      </c>
      <c r="K494" s="5" t="n">
        <v>0</v>
      </c>
      <c r="L494" s="5" t="n">
        <v>1</v>
      </c>
      <c r="M494" s="5" t="n">
        <v>7.964</v>
      </c>
      <c r="N494" s="5" t="n">
        <v>3.43</v>
      </c>
      <c r="O494" s="5" t="n">
        <v>0</v>
      </c>
      <c r="P494" s="5" t="n">
        <v>7.964</v>
      </c>
      <c r="Q494" s="5" t="n">
        <v>0</v>
      </c>
      <c r="R494" s="5" t="n">
        <v>1</v>
      </c>
      <c r="S494" s="5" t="n">
        <v>10.464</v>
      </c>
      <c r="T494" s="5" t="n">
        <v>6.86</v>
      </c>
      <c r="U494" s="5" t="n">
        <v>0</v>
      </c>
      <c r="V494" s="5" t="n">
        <v>11.092</v>
      </c>
      <c r="W494" s="5" t="n">
        <v>0.06</v>
      </c>
      <c r="X494" s="5" t="n">
        <v>1</v>
      </c>
      <c r="Y494" s="5" t="n">
        <v>17.987</v>
      </c>
      <c r="Z494" s="5" t="n">
        <v>2.1</v>
      </c>
      <c r="AA494" s="5" t="n">
        <v>0</v>
      </c>
      <c r="AB494" s="5" t="n">
        <v>17.987</v>
      </c>
      <c r="AC494" s="5" t="n">
        <v>0</v>
      </c>
      <c r="AD494" s="5" t="n">
        <v>1</v>
      </c>
      <c r="AE494" s="5" t="n">
        <v>19.13</v>
      </c>
      <c r="AF494" s="5" t="n">
        <v>3.956</v>
      </c>
      <c r="AG494" s="5" t="n">
        <v>0</v>
      </c>
      <c r="AH494" s="5" t="n">
        <v>19.13</v>
      </c>
      <c r="AI494" s="5" t="n">
        <v>0</v>
      </c>
      <c r="AJ494" s="5" t="n">
        <v>1</v>
      </c>
      <c r="AK494" s="5" t="n">
        <v>25.99</v>
      </c>
      <c r="AL494" s="5" t="n">
        <v>12.953</v>
      </c>
      <c r="AM494" s="5" t="n">
        <v>0</v>
      </c>
      <c r="AN494" s="5" t="n">
        <v>27.549</v>
      </c>
      <c r="AO494" s="5" t="n">
        <v>0.06</v>
      </c>
      <c r="AP494" s="5" t="n">
        <v>1</v>
      </c>
      <c r="AQ494" s="5" t="n">
        <v>0.621</v>
      </c>
      <c r="AR494" s="5" t="n">
        <v>0.114</v>
      </c>
      <c r="AS494" s="5" t="n">
        <v>0.128</v>
      </c>
      <c r="AT494" s="5" t="n">
        <v>0.748</v>
      </c>
      <c r="AU494" s="5" t="n">
        <v>0</v>
      </c>
      <c r="AV494" s="5" t="n">
        <v>1</v>
      </c>
      <c r="AW494" s="5" t="n">
        <v>0.593</v>
      </c>
      <c r="AX494" s="5" t="n">
        <v>0.114</v>
      </c>
      <c r="AY494" s="5" t="n">
        <v>0.093</v>
      </c>
      <c r="AZ494" s="5" t="n">
        <v>0.6860000000000001</v>
      </c>
      <c r="BA494" s="5" t="n">
        <v>0</v>
      </c>
      <c r="BB494" s="5" t="n">
        <v>1</v>
      </c>
      <c r="BC494" s="5" t="n">
        <v>0.44</v>
      </c>
      <c r="BD494" s="5" t="n">
        <v>0.114</v>
      </c>
      <c r="BE494" s="5" t="n">
        <v>0.419</v>
      </c>
      <c r="BF494" s="5" t="n">
        <v>0.911</v>
      </c>
      <c r="BG494" s="5" t="n">
        <v>0.06</v>
      </c>
      <c r="BH494" s="5" t="n">
        <v>1</v>
      </c>
      <c r="BI494" s="5" t="n">
        <v>0.5600000000000001</v>
      </c>
      <c r="BJ494" s="5" t="n">
        <v>0.114</v>
      </c>
      <c r="BK494" s="5" t="n">
        <v>0</v>
      </c>
      <c r="BL494" s="5" t="n">
        <v>0.594</v>
      </c>
      <c r="BM494" s="5" t="n">
        <v>0.06</v>
      </c>
      <c r="BN494" s="5" t="n">
        <v>1</v>
      </c>
      <c r="BO494" s="5" t="n">
        <v>0</v>
      </c>
      <c r="BP494" s="5" t="n">
        <v>0</v>
      </c>
      <c r="BQ494" s="5" t="n">
        <v>0.215</v>
      </c>
      <c r="BR494" s="5" t="n">
        <v>0</v>
      </c>
      <c r="BS494" s="5" t="n">
        <v>0.833</v>
      </c>
      <c r="BT494" s="5" t="n">
        <v>0</v>
      </c>
      <c r="BU494" s="5" t="n">
        <v>0</v>
      </c>
      <c r="BV494" s="5" t="n">
        <v>0.15</v>
      </c>
      <c r="BW494" s="5" t="n">
        <v>0</v>
      </c>
      <c r="BX494" s="5" t="n">
        <v>0.833</v>
      </c>
      <c r="BY494" s="5" t="n">
        <v>11.787</v>
      </c>
      <c r="BZ494" s="5" t="n">
        <v>0</v>
      </c>
      <c r="CA494" s="5" t="n">
        <v>11.787</v>
      </c>
      <c r="CB494" s="5" t="n">
        <v>0</v>
      </c>
      <c r="CC494" s="5" t="n">
        <v>81.69499999999999</v>
      </c>
      <c r="CD494" s="5" t="n">
        <v>7.95</v>
      </c>
      <c r="CE494" s="5" t="n">
        <v>0</v>
      </c>
      <c r="CF494" s="5" t="n">
        <v>86.59699999999999</v>
      </c>
      <c r="CG494" s="5" t="n">
        <v>0.06</v>
      </c>
      <c r="CH494" s="5" t="n">
        <v>1</v>
      </c>
      <c r="CI494" s="5" t="n">
        <v>0</v>
      </c>
      <c r="CJ494" s="5" t="n">
        <v>0</v>
      </c>
      <c r="CK494" s="5" t="n">
        <v>0</v>
      </c>
      <c r="CL494" s="5" t="n">
        <v>0</v>
      </c>
      <c r="CM494" s="5" t="n">
        <v>0</v>
      </c>
      <c r="CN494" s="5" t="n">
        <v>0</v>
      </c>
      <c r="CO494" s="5" t="n">
        <v>0</v>
      </c>
      <c r="CP494" s="5" t="n">
        <v>0</v>
      </c>
      <c r="CQ494" s="5" t="n">
        <v>1.198</v>
      </c>
      <c r="CR494" s="5" t="n">
        <v>0</v>
      </c>
      <c r="CS494" s="5" t="n">
        <v>4.776</v>
      </c>
      <c r="CT494" s="5" t="n">
        <v>3.604</v>
      </c>
      <c r="CU494" s="5" t="n">
        <v>16.843</v>
      </c>
    </row>
    <row r="495">
      <c r="A495" s="5" t="inlineStr">
        <is>
          <t>MDV2022</t>
        </is>
      </c>
      <c r="B495" s="5" t="inlineStr">
        <is>
          <t>MDV</t>
        </is>
      </c>
      <c r="C495" s="5" t="inlineStr">
        <is>
          <t>MDV</t>
        </is>
      </c>
      <c r="D495" s="5" t="inlineStr">
        <is>
          <t>Maldives</t>
        </is>
      </c>
      <c r="E495" s="5" t="n">
        <v>2022</v>
      </c>
      <c r="F495" s="5" t="n">
        <v>0.06</v>
      </c>
      <c r="G495" s="5" t="n">
        <v>8.788</v>
      </c>
      <c r="H495" s="5" t="n">
        <v>1.235</v>
      </c>
      <c r="I495" s="5" t="n">
        <v>0</v>
      </c>
      <c r="J495" s="5" t="n">
        <v>8.788</v>
      </c>
      <c r="K495" s="5" t="n">
        <v>0</v>
      </c>
      <c r="L495" s="5" t="n">
        <v>1</v>
      </c>
      <c r="M495" s="5" t="n">
        <v>9.782999999999999</v>
      </c>
      <c r="N495" s="5" t="n">
        <v>3.704</v>
      </c>
      <c r="O495" s="5" t="n">
        <v>0</v>
      </c>
      <c r="P495" s="5" t="n">
        <v>9.782999999999999</v>
      </c>
      <c r="Q495" s="5" t="n">
        <v>0</v>
      </c>
      <c r="R495" s="5" t="n">
        <v>1</v>
      </c>
      <c r="S495" s="5" t="n">
        <v>14.962</v>
      </c>
      <c r="T495" s="5" t="n">
        <v>7.408</v>
      </c>
      <c r="U495" s="5" t="n">
        <v>0.066</v>
      </c>
      <c r="V495" s="5" t="n">
        <v>15.86</v>
      </c>
      <c r="W495" s="5" t="n">
        <v>0.06</v>
      </c>
      <c r="X495" s="5" t="n">
        <v>1</v>
      </c>
      <c r="Y495" s="5" t="n">
        <v>31.383</v>
      </c>
      <c r="Z495" s="5" t="n">
        <v>3.665</v>
      </c>
      <c r="AA495" s="5" t="n">
        <v>0</v>
      </c>
      <c r="AB495" s="5" t="n">
        <v>31.383</v>
      </c>
      <c r="AC495" s="5" t="n">
        <v>0</v>
      </c>
      <c r="AD495" s="5" t="n">
        <v>1</v>
      </c>
      <c r="AE495" s="5" t="n">
        <v>32.618</v>
      </c>
      <c r="AF495" s="5" t="n">
        <v>6.745</v>
      </c>
      <c r="AG495" s="5" t="n">
        <v>0</v>
      </c>
      <c r="AH495" s="5" t="n">
        <v>32.618</v>
      </c>
      <c r="AI495" s="5" t="n">
        <v>0</v>
      </c>
      <c r="AJ495" s="5" t="n">
        <v>1</v>
      </c>
      <c r="AK495" s="5" t="n">
        <v>40.026</v>
      </c>
      <c r="AL495" s="5" t="n">
        <v>19.948</v>
      </c>
      <c r="AM495" s="5" t="n">
        <v>0.178</v>
      </c>
      <c r="AN495" s="5" t="n">
        <v>42.428</v>
      </c>
      <c r="AO495" s="5" t="n">
        <v>0.06</v>
      </c>
      <c r="AP495" s="5" t="n">
        <v>1</v>
      </c>
      <c r="AQ495" s="5" t="n">
        <v>0.847</v>
      </c>
      <c r="AR495" s="5" t="n">
        <v>0.123</v>
      </c>
      <c r="AS495" s="5" t="n">
        <v>0.138</v>
      </c>
      <c r="AT495" s="5" t="n">
        <v>0.985</v>
      </c>
      <c r="AU495" s="5" t="n">
        <v>0</v>
      </c>
      <c r="AV495" s="5" t="n">
        <v>1</v>
      </c>
      <c r="AW495" s="5" t="n">
        <v>0.947</v>
      </c>
      <c r="AX495" s="5" t="n">
        <v>0.123</v>
      </c>
      <c r="AY495" s="5" t="n">
        <v>0.053</v>
      </c>
      <c r="AZ495" s="5" t="n">
        <v>1</v>
      </c>
      <c r="BA495" s="5" t="n">
        <v>0</v>
      </c>
      <c r="BB495" s="5" t="n">
        <v>1</v>
      </c>
      <c r="BC495" s="5" t="n">
        <v>0.589</v>
      </c>
      <c r="BD495" s="5" t="n">
        <v>0.123</v>
      </c>
      <c r="BE495" s="5" t="n">
        <v>0.451</v>
      </c>
      <c r="BF495" s="5" t="n">
        <v>1.097</v>
      </c>
      <c r="BG495" s="5" t="n">
        <v>0.06</v>
      </c>
      <c r="BH495" s="5" t="n">
        <v>1</v>
      </c>
      <c r="BI495" s="5" t="n">
        <v>0.6889999999999999</v>
      </c>
      <c r="BJ495" s="5" t="n">
        <v>0.123</v>
      </c>
      <c r="BK495" s="5" t="n">
        <v>0.003</v>
      </c>
      <c r="BL495" s="5" t="n">
        <v>0.73</v>
      </c>
      <c r="BM495" s="5" t="n">
        <v>0.06</v>
      </c>
      <c r="BN495" s="5" t="n">
        <v>1</v>
      </c>
      <c r="BO495" s="5" t="n">
        <v>0</v>
      </c>
      <c r="BP495" s="5" t="n">
        <v>0</v>
      </c>
      <c r="BQ495" s="5" t="n">
        <v>0.232</v>
      </c>
      <c r="BR495" s="5" t="n">
        <v>0</v>
      </c>
      <c r="BS495" s="5" t="n">
        <v>0.833</v>
      </c>
      <c r="BT495" s="5" t="n">
        <v>0</v>
      </c>
      <c r="BU495" s="5" t="n">
        <v>0</v>
      </c>
      <c r="BV495" s="5" t="n">
        <v>0.128</v>
      </c>
      <c r="BW495" s="5" t="n">
        <v>0</v>
      </c>
      <c r="BX495" s="5" t="n">
        <v>0.833</v>
      </c>
      <c r="BY495" s="5" t="n">
        <v>12.729</v>
      </c>
      <c r="BZ495" s="5" t="n">
        <v>0</v>
      </c>
      <c r="CA495" s="5" t="n">
        <v>12.729</v>
      </c>
      <c r="CB495" s="5" t="n">
        <v>0</v>
      </c>
      <c r="CC495" s="5" t="n">
        <v>102.477</v>
      </c>
      <c r="CD495" s="5" t="n">
        <v>7.95</v>
      </c>
      <c r="CE495" s="5" t="n">
        <v>0.455</v>
      </c>
      <c r="CF495" s="5" t="n">
        <v>108.625</v>
      </c>
      <c r="CG495" s="5" t="n">
        <v>0.06</v>
      </c>
      <c r="CH495" s="5" t="n">
        <v>1</v>
      </c>
      <c r="CI495" s="5" t="n">
        <v>0</v>
      </c>
      <c r="CJ495" s="5" t="n">
        <v>0</v>
      </c>
      <c r="CK495" s="5" t="n">
        <v>0</v>
      </c>
      <c r="CL495" s="5" t="n">
        <v>0</v>
      </c>
      <c r="CM495" s="5" t="n">
        <v>0</v>
      </c>
      <c r="CN495" s="5" t="n">
        <v>0</v>
      </c>
      <c r="CO495" s="5" t="n">
        <v>0</v>
      </c>
      <c r="CP495" s="5" t="n">
        <v>0</v>
      </c>
      <c r="CQ495" s="5" t="n">
        <v>1.294</v>
      </c>
      <c r="CR495" s="5" t="n">
        <v>0</v>
      </c>
      <c r="CS495" s="5" t="n">
        <v>5.158</v>
      </c>
      <c r="CT495" s="5" t="n">
        <v>7.554</v>
      </c>
      <c r="CU495" s="5" t="n">
        <v>30.149</v>
      </c>
    </row>
    <row r="496">
      <c r="A496" s="5" t="inlineStr">
        <is>
          <t>MDV2023</t>
        </is>
      </c>
      <c r="B496" s="5" t="inlineStr">
        <is>
          <t>MDV</t>
        </is>
      </c>
      <c r="C496" s="5" t="inlineStr">
        <is>
          <t>MDV</t>
        </is>
      </c>
      <c r="D496" s="5" t="inlineStr">
        <is>
          <t>Maldives</t>
        </is>
      </c>
      <c r="E496" s="5" t="n">
        <v>2023</v>
      </c>
      <c r="F496" s="5" t="n">
        <v>0.06</v>
      </c>
      <c r="G496" s="5" t="n">
        <v>5.77</v>
      </c>
      <c r="H496" s="5" t="n">
        <v>1.286</v>
      </c>
      <c r="I496" s="5" t="n">
        <v>0</v>
      </c>
      <c r="J496" s="5" t="n">
        <v>5.77</v>
      </c>
      <c r="K496" s="5" t="n">
        <v>0</v>
      </c>
      <c r="L496" s="5" t="n">
        <v>1</v>
      </c>
      <c r="M496" s="5" t="n">
        <v>7.886</v>
      </c>
      <c r="N496" s="5" t="n">
        <v>3.857</v>
      </c>
      <c r="O496" s="5" t="n">
        <v>0</v>
      </c>
      <c r="P496" s="5" t="n">
        <v>7.886</v>
      </c>
      <c r="Q496" s="5" t="n">
        <v>0</v>
      </c>
      <c r="R496" s="5" t="n">
        <v>1</v>
      </c>
      <c r="S496" s="5" t="n">
        <v>12.198</v>
      </c>
      <c r="T496" s="5" t="n">
        <v>7.714</v>
      </c>
      <c r="U496" s="5" t="n">
        <v>0.081</v>
      </c>
      <c r="V496" s="5" t="n">
        <v>12.93</v>
      </c>
      <c r="W496" s="5" t="n">
        <v>0.06</v>
      </c>
      <c r="X496" s="5" t="n">
        <v>1</v>
      </c>
      <c r="Y496" s="5" t="n">
        <v>13.678</v>
      </c>
      <c r="Z496" s="5" t="n">
        <v>1.597</v>
      </c>
      <c r="AA496" s="5" t="n">
        <v>0</v>
      </c>
      <c r="AB496" s="5" t="n">
        <v>13.678</v>
      </c>
      <c r="AC496" s="5" t="n">
        <v>0</v>
      </c>
      <c r="AD496" s="5" t="n">
        <v>1</v>
      </c>
      <c r="AE496" s="5" t="n">
        <v>14.963</v>
      </c>
      <c r="AF496" s="5" t="n">
        <v>3.094</v>
      </c>
      <c r="AG496" s="5" t="n">
        <v>0</v>
      </c>
      <c r="AH496" s="5" t="n">
        <v>14.963</v>
      </c>
      <c r="AI496" s="5" t="n">
        <v>0</v>
      </c>
      <c r="AJ496" s="5" t="n">
        <v>1</v>
      </c>
      <c r="AK496" s="5" t="n">
        <v>22.677</v>
      </c>
      <c r="AL496" s="5" t="n">
        <v>11.302</v>
      </c>
      <c r="AM496" s="5" t="n">
        <v>0.151</v>
      </c>
      <c r="AN496" s="5" t="n">
        <v>24.038</v>
      </c>
      <c r="AO496" s="5" t="n">
        <v>0.06</v>
      </c>
      <c r="AP496" s="5" t="n">
        <v>1</v>
      </c>
      <c r="AQ496" s="5" t="n">
        <v>0.749</v>
      </c>
      <c r="AR496" s="5" t="n">
        <v>0.129</v>
      </c>
      <c r="AS496" s="5" t="n">
        <v>0.144</v>
      </c>
      <c r="AT496" s="5" t="n">
        <v>0.892</v>
      </c>
      <c r="AU496" s="5" t="n">
        <v>0</v>
      </c>
      <c r="AV496" s="5" t="n">
        <v>1</v>
      </c>
      <c r="AW496" s="5" t="n">
        <v>0.783</v>
      </c>
      <c r="AX496" s="5" t="n">
        <v>0.129</v>
      </c>
      <c r="AY496" s="5" t="n">
        <v>0.24</v>
      </c>
      <c r="AZ496" s="5" t="n">
        <v>1.022</v>
      </c>
      <c r="BA496" s="5" t="n">
        <v>0</v>
      </c>
      <c r="BB496" s="5" t="n">
        <v>1</v>
      </c>
      <c r="BC496" s="5" t="n">
        <v>0.527</v>
      </c>
      <c r="BD496" s="5" t="n">
        <v>0.129</v>
      </c>
      <c r="BE496" s="5" t="n">
        <v>0.476</v>
      </c>
      <c r="BF496" s="5" t="n">
        <v>1.057</v>
      </c>
      <c r="BG496" s="5" t="n">
        <v>0.06</v>
      </c>
      <c r="BH496" s="5" t="n">
        <v>1</v>
      </c>
      <c r="BI496" s="5" t="n">
        <v>0.64</v>
      </c>
      <c r="BJ496" s="5" t="n">
        <v>0.129</v>
      </c>
      <c r="BK496" s="5" t="n">
        <v>0.004</v>
      </c>
      <c r="BL496" s="5" t="n">
        <v>0.678</v>
      </c>
      <c r="BM496" s="5" t="n">
        <v>0.06</v>
      </c>
      <c r="BN496" s="5" t="n">
        <v>1</v>
      </c>
      <c r="BO496" s="5" t="n">
        <v>0</v>
      </c>
      <c r="BP496" s="5" t="n">
        <v>0</v>
      </c>
      <c r="BQ496" s="5" t="n">
        <v>0.242</v>
      </c>
      <c r="BR496" s="5" t="n">
        <v>0</v>
      </c>
      <c r="BS496" s="5" t="n">
        <v>0.833</v>
      </c>
      <c r="BT496" s="5" t="n">
        <v>0</v>
      </c>
      <c r="BU496" s="5" t="n">
        <v>0</v>
      </c>
      <c r="BV496" s="5" t="n">
        <v>0.101</v>
      </c>
      <c r="BW496" s="5" t="n">
        <v>0</v>
      </c>
      <c r="BX496" s="5" t="n">
        <v>0.833</v>
      </c>
      <c r="BY496" s="5" t="n">
        <v>13.254</v>
      </c>
      <c r="BZ496" s="5" t="n">
        <v>0</v>
      </c>
      <c r="CA496" s="5" t="n">
        <v>13.254</v>
      </c>
      <c r="CB496" s="5" t="n">
        <v>0</v>
      </c>
      <c r="CC496" s="5" t="n">
        <v>87.07899999999999</v>
      </c>
      <c r="CD496" s="5" t="n">
        <v>7.95</v>
      </c>
      <c r="CE496" s="5" t="n">
        <v>0.578</v>
      </c>
      <c r="CF496" s="5" t="n">
        <v>92.304</v>
      </c>
      <c r="CG496" s="5" t="n">
        <v>0.06</v>
      </c>
      <c r="CH496" s="5" t="n">
        <v>1</v>
      </c>
      <c r="CI496" s="5" t="n">
        <v>0</v>
      </c>
      <c r="CJ496" s="5" t="n">
        <v>0</v>
      </c>
      <c r="CK496" s="5" t="n">
        <v>0</v>
      </c>
      <c r="CL496" s="5" t="n">
        <v>0</v>
      </c>
      <c r="CM496" s="5" t="n">
        <v>0</v>
      </c>
      <c r="CN496" s="5" t="n">
        <v>0</v>
      </c>
      <c r="CO496" s="5" t="n">
        <v>0</v>
      </c>
      <c r="CP496" s="5" t="n">
        <v>0</v>
      </c>
      <c r="CQ496" s="5" t="n">
        <v>1.348</v>
      </c>
      <c r="CR496" s="5" t="n">
        <v>0</v>
      </c>
      <c r="CS496" s="5" t="n">
        <v>5.37</v>
      </c>
      <c r="CT496" s="5" t="n">
        <v>4.484</v>
      </c>
      <c r="CU496" s="5" t="n">
        <v>12.392</v>
      </c>
    </row>
    <row r="497">
      <c r="A497" s="5" t="inlineStr">
        <is>
          <t>MDV2024</t>
        </is>
      </c>
      <c r="B497" s="5" t="inlineStr">
        <is>
          <t>MDV</t>
        </is>
      </c>
      <c r="C497" s="5" t="inlineStr">
        <is>
          <t>MDV</t>
        </is>
      </c>
      <c r="D497" s="5" t="inlineStr">
        <is>
          <t>Maldives</t>
        </is>
      </c>
      <c r="E497" s="5" t="n">
        <v>2024</v>
      </c>
      <c r="F497" s="5" t="n">
        <v>0.06</v>
      </c>
      <c r="G497" s="5" t="n">
        <v>4.833</v>
      </c>
      <c r="H497" s="5" t="n">
        <v>1.324</v>
      </c>
      <c r="I497" s="5" t="n">
        <v>0</v>
      </c>
      <c r="J497" s="5" t="n">
        <v>4.833</v>
      </c>
      <c r="K497" s="5" t="n">
        <v>0</v>
      </c>
      <c r="L497" s="5" t="n">
        <v>1</v>
      </c>
      <c r="M497" s="5" t="n">
        <v>7.124</v>
      </c>
      <c r="N497" s="5" t="n">
        <v>3.971</v>
      </c>
      <c r="O497" s="5" t="n">
        <v>0</v>
      </c>
      <c r="P497" s="5" t="n">
        <v>7.124</v>
      </c>
      <c r="Q497" s="5" t="n">
        <v>0</v>
      </c>
      <c r="R497" s="5" t="n">
        <v>1</v>
      </c>
      <c r="S497" s="5" t="n">
        <v>11.451</v>
      </c>
      <c r="T497" s="5" t="n">
        <v>7.942</v>
      </c>
      <c r="U497" s="5" t="n">
        <v>0.094</v>
      </c>
      <c r="V497" s="5" t="n">
        <v>12.138</v>
      </c>
      <c r="W497" s="5" t="n">
        <v>0.06</v>
      </c>
      <c r="X497" s="5" t="n">
        <v>1</v>
      </c>
      <c r="Y497" s="5" t="n">
        <v>12.116</v>
      </c>
      <c r="Z497" s="5" t="n">
        <v>1.415</v>
      </c>
      <c r="AA497" s="5" t="n">
        <v>0</v>
      </c>
      <c r="AB497" s="5" t="n">
        <v>12.116</v>
      </c>
      <c r="AC497" s="5" t="n">
        <v>0</v>
      </c>
      <c r="AD497" s="5" t="n">
        <v>1</v>
      </c>
      <c r="AE497" s="5" t="n">
        <v>13.439</v>
      </c>
      <c r="AF497" s="5" t="n">
        <v>2.779</v>
      </c>
      <c r="AG497" s="5" t="n">
        <v>0</v>
      </c>
      <c r="AH497" s="5" t="n">
        <v>13.439</v>
      </c>
      <c r="AI497" s="5" t="n">
        <v>0</v>
      </c>
      <c r="AJ497" s="5" t="n">
        <v>1</v>
      </c>
      <c r="AK497" s="5" t="n">
        <v>21.381</v>
      </c>
      <c r="AL497" s="5" t="n">
        <v>10.656</v>
      </c>
      <c r="AM497" s="5" t="n">
        <v>0.175</v>
      </c>
      <c r="AN497" s="5" t="n">
        <v>22.664</v>
      </c>
      <c r="AO497" s="5" t="n">
        <v>0.06</v>
      </c>
      <c r="AP497" s="5" t="n">
        <v>1</v>
      </c>
      <c r="AQ497" s="5" t="n">
        <v>0.72</v>
      </c>
      <c r="AR497" s="5" t="n">
        <v>0.132</v>
      </c>
      <c r="AS497" s="5" t="n">
        <v>0.148</v>
      </c>
      <c r="AT497" s="5" t="n">
        <v>0.868</v>
      </c>
      <c r="AU497" s="5" t="n">
        <v>0</v>
      </c>
      <c r="AV497" s="5" t="n">
        <v>1</v>
      </c>
      <c r="AW497" s="5" t="n">
        <v>0.734</v>
      </c>
      <c r="AX497" s="5" t="n">
        <v>0.132</v>
      </c>
      <c r="AY497" s="5" t="n">
        <v>0.201</v>
      </c>
      <c r="AZ497" s="5" t="n">
        <v>0.9350000000000001</v>
      </c>
      <c r="BA497" s="5" t="n">
        <v>0</v>
      </c>
      <c r="BB497" s="5" t="n">
        <v>1</v>
      </c>
      <c r="BC497" s="5" t="n">
        <v>0.51</v>
      </c>
      <c r="BD497" s="5" t="n">
        <v>0.132</v>
      </c>
      <c r="BE497" s="5" t="n">
        <v>0.493</v>
      </c>
      <c r="BF497" s="5" t="n">
        <v>1.055</v>
      </c>
      <c r="BG497" s="5" t="n">
        <v>0.06</v>
      </c>
      <c r="BH497" s="5" t="n">
        <v>1</v>
      </c>
      <c r="BI497" s="5" t="n">
        <v>0.652</v>
      </c>
      <c r="BJ497" s="5" t="n">
        <v>0.132</v>
      </c>
      <c r="BK497" s="5" t="n">
        <v>0.005</v>
      </c>
      <c r="BL497" s="5" t="n">
        <v>0.6909999999999999</v>
      </c>
      <c r="BM497" s="5" t="n">
        <v>0.06</v>
      </c>
      <c r="BN497" s="5" t="n">
        <v>1</v>
      </c>
      <c r="BO497" s="5" t="n">
        <v>0</v>
      </c>
      <c r="BP497" s="5" t="n">
        <v>0</v>
      </c>
      <c r="BQ497" s="5" t="n">
        <v>0.249</v>
      </c>
      <c r="BR497" s="5" t="n">
        <v>0</v>
      </c>
      <c r="BS497" s="5" t="n">
        <v>0.833</v>
      </c>
      <c r="BT497" s="5" t="n">
        <v>0</v>
      </c>
      <c r="BU497" s="5" t="n">
        <v>0</v>
      </c>
      <c r="BV497" s="5" t="n">
        <v>0.106</v>
      </c>
      <c r="BW497" s="5" t="n">
        <v>0</v>
      </c>
      <c r="BX497" s="5" t="n">
        <v>0.833</v>
      </c>
      <c r="BY497" s="5" t="n">
        <v>13.646</v>
      </c>
      <c r="BZ497" s="5" t="n">
        <v>0</v>
      </c>
      <c r="CA497" s="5" t="n">
        <v>13.646</v>
      </c>
      <c r="CB497" s="5" t="n">
        <v>0</v>
      </c>
      <c r="CC497" s="5" t="n">
        <v>86.38500000000001</v>
      </c>
      <c r="CD497" s="5" t="n">
        <v>7.95</v>
      </c>
      <c r="CE497" s="5" t="n">
        <v>0.706</v>
      </c>
      <c r="CF497" s="5" t="n">
        <v>91.569</v>
      </c>
      <c r="CG497" s="5" t="n">
        <v>0.06</v>
      </c>
      <c r="CH497" s="5" t="n">
        <v>1</v>
      </c>
      <c r="CI497" s="5" t="n">
        <v>0</v>
      </c>
      <c r="CJ497" s="5" t="n">
        <v>0</v>
      </c>
      <c r="CK497" s="5" t="n">
        <v>0</v>
      </c>
      <c r="CL497" s="5" t="n">
        <v>0</v>
      </c>
      <c r="CM497" s="5" t="n">
        <v>0</v>
      </c>
      <c r="CN497" s="5" t="n">
        <v>0</v>
      </c>
      <c r="CO497" s="5" t="n">
        <v>0</v>
      </c>
      <c r="CP497" s="5" t="n">
        <v>0</v>
      </c>
      <c r="CQ497" s="5" t="n">
        <v>1.387</v>
      </c>
      <c r="CR497" s="5" t="n">
        <v>0</v>
      </c>
      <c r="CS497" s="5" t="n">
        <v>5.529</v>
      </c>
      <c r="CT497" s="5" t="n">
        <v>3.509</v>
      </c>
      <c r="CU497" s="5" t="n">
        <v>10.792</v>
      </c>
    </row>
    <row r="498">
      <c r="A498" s="5" t="inlineStr">
        <is>
          <t>MLI2021</t>
        </is>
      </c>
      <c r="B498" s="5" t="inlineStr">
        <is>
          <t>MLI</t>
        </is>
      </c>
      <c r="C498" s="5" t="inlineStr">
        <is>
          <t>MLI</t>
        </is>
      </c>
      <c r="D498" s="5" t="inlineStr">
        <is>
          <t>Mali</t>
        </is>
      </c>
      <c r="E498" s="5" t="n">
        <v>2021</v>
      </c>
      <c r="F498" s="5" t="n">
        <v>0.18</v>
      </c>
      <c r="G498" s="5" t="n">
        <v>5.659</v>
      </c>
      <c r="H498" s="5" t="n">
        <v>1.238</v>
      </c>
      <c r="I498" s="5" t="n">
        <v>0.238</v>
      </c>
      <c r="J498" s="5" t="n">
        <v>5.897</v>
      </c>
      <c r="K498" s="5" t="n">
        <v>0</v>
      </c>
      <c r="L498" s="5" t="n">
        <v>1</v>
      </c>
      <c r="M498" s="5" t="n">
        <v>7.737</v>
      </c>
      <c r="N498" s="5" t="n">
        <v>3.507</v>
      </c>
      <c r="O498" s="5" t="n">
        <v>0.227</v>
      </c>
      <c r="P498" s="5" t="n">
        <v>7.964</v>
      </c>
      <c r="Q498" s="5" t="n">
        <v>0</v>
      </c>
      <c r="R498" s="5" t="n">
        <v>1</v>
      </c>
      <c r="S498" s="5" t="n">
        <v>11.613</v>
      </c>
      <c r="T498" s="5" t="n">
        <v>6.86</v>
      </c>
      <c r="U498" s="5" t="n">
        <v>-8.686999999999999</v>
      </c>
      <c r="V498" s="5" t="n">
        <v>2.926</v>
      </c>
      <c r="W498" s="5" t="n">
        <v>0</v>
      </c>
      <c r="X498" s="5" t="n">
        <v>0</v>
      </c>
      <c r="Y498" s="5" t="n">
        <v>16.305</v>
      </c>
      <c r="Z498" s="5" t="n">
        <v>2.204</v>
      </c>
      <c r="AA498" s="5" t="n">
        <v>0</v>
      </c>
      <c r="AB498" s="5" t="n">
        <v>16.305</v>
      </c>
      <c r="AC498" s="5" t="n">
        <v>0</v>
      </c>
      <c r="AD498" s="5" t="n">
        <v>1</v>
      </c>
      <c r="AE498" s="5" t="n">
        <v>17.449</v>
      </c>
      <c r="AF498" s="5" t="n">
        <v>4.08</v>
      </c>
      <c r="AG498" s="5" t="n">
        <v>0</v>
      </c>
      <c r="AH498" s="5" t="n">
        <v>17.449</v>
      </c>
      <c r="AI498" s="5" t="n">
        <v>0</v>
      </c>
      <c r="AJ498" s="5" t="n">
        <v>1</v>
      </c>
      <c r="AK498" s="5" t="n">
        <v>24.309</v>
      </c>
      <c r="AL498" s="5" t="n">
        <v>12.947</v>
      </c>
      <c r="AM498" s="5" t="n">
        <v>0</v>
      </c>
      <c r="AN498" s="5" t="n">
        <v>28.684</v>
      </c>
      <c r="AO498" s="5" t="n">
        <v>0.18</v>
      </c>
      <c r="AP498" s="5" t="n">
        <v>1</v>
      </c>
      <c r="AQ498" s="5" t="n">
        <v>0.579</v>
      </c>
      <c r="AR498" s="5" t="n">
        <v>0.106</v>
      </c>
      <c r="AS498" s="5" t="n">
        <v>0.479</v>
      </c>
      <c r="AT498" s="5" t="n">
        <v>1.248</v>
      </c>
      <c r="AU498" s="5" t="n">
        <v>0.18</v>
      </c>
      <c r="AV498" s="5" t="n">
        <v>1</v>
      </c>
      <c r="AW498" s="5" t="n">
        <v>0.551</v>
      </c>
      <c r="AX498" s="5" t="n">
        <v>0.106</v>
      </c>
      <c r="AY498" s="5" t="n">
        <v>0.364</v>
      </c>
      <c r="AZ498" s="5" t="n">
        <v>1.079</v>
      </c>
      <c r="BA498" s="5" t="n">
        <v>0.18</v>
      </c>
      <c r="BB498" s="5" t="n">
        <v>1</v>
      </c>
      <c r="BC498" s="5" t="n">
        <v>0.424</v>
      </c>
      <c r="BD498" s="5" t="n">
        <v>0.109</v>
      </c>
      <c r="BE498" s="5" t="n">
        <v>0.016</v>
      </c>
      <c r="BF498" s="5" t="n">
        <v>0.519</v>
      </c>
      <c r="BG498" s="5" t="n">
        <v>0.18</v>
      </c>
      <c r="BH498" s="5" t="n">
        <v>1</v>
      </c>
      <c r="BI498" s="5" t="n">
        <v>0.473</v>
      </c>
      <c r="BJ498" s="5" t="n">
        <v>0.105</v>
      </c>
      <c r="BK498" s="5" t="n">
        <v>0.884</v>
      </c>
      <c r="BL498" s="5" t="n">
        <v>1.601</v>
      </c>
      <c r="BM498" s="5" t="n">
        <v>0.18</v>
      </c>
      <c r="BN498" s="5" t="n">
        <v>1</v>
      </c>
      <c r="BO498" s="5" t="n">
        <v>0</v>
      </c>
      <c r="BP498" s="5" t="n">
        <v>0</v>
      </c>
      <c r="BQ498" s="5" t="n">
        <v>0.183</v>
      </c>
      <c r="BR498" s="5" t="n">
        <v>0</v>
      </c>
      <c r="BS498" s="5" t="n">
        <v>1</v>
      </c>
      <c r="BT498" s="5" t="n">
        <v>0</v>
      </c>
      <c r="BU498" s="5" t="n">
        <v>0</v>
      </c>
      <c r="BV498" s="5" t="n">
        <v>0.214</v>
      </c>
      <c r="BW498" s="5" t="n">
        <v>0.18</v>
      </c>
      <c r="BX498" s="5" t="n">
        <v>0.833</v>
      </c>
      <c r="BY498" s="5" t="n">
        <v>11.787</v>
      </c>
      <c r="BZ498" s="5" t="n">
        <v>0</v>
      </c>
      <c r="CA498" s="5" t="n">
        <v>11.787</v>
      </c>
      <c r="CB498" s="5" t="n">
        <v>0</v>
      </c>
      <c r="CC498" s="5" t="n">
        <v>72.456</v>
      </c>
      <c r="CD498" s="5" t="n">
        <v>2.281</v>
      </c>
      <c r="CE498" s="5" t="n">
        <v>143.319</v>
      </c>
      <c r="CF498" s="5" t="n">
        <v>254.615</v>
      </c>
      <c r="CG498" s="5" t="n">
        <v>0.18</v>
      </c>
      <c r="CH498" s="5" t="n">
        <v>1</v>
      </c>
      <c r="CI498" s="5" t="n">
        <v>0</v>
      </c>
      <c r="CJ498" s="5" t="n">
        <v>0</v>
      </c>
      <c r="CK498" s="5" t="n">
        <v>0</v>
      </c>
      <c r="CL498" s="5" t="n">
        <v>0</v>
      </c>
      <c r="CM498" s="5" t="n">
        <v>0.109</v>
      </c>
      <c r="CN498" s="5" t="n">
        <v>0</v>
      </c>
      <c r="CO498" s="5" t="n">
        <v>0</v>
      </c>
      <c r="CP498" s="5" t="n">
        <v>0</v>
      </c>
      <c r="CQ498" s="5" t="n">
        <v>1.198</v>
      </c>
      <c r="CR498" s="5" t="n">
        <v>0</v>
      </c>
      <c r="CS498" s="5" t="n">
        <v>4.776</v>
      </c>
      <c r="CT498" s="5" t="n">
        <v>4.753</v>
      </c>
      <c r="CU498" s="5" t="n">
        <v>15.162</v>
      </c>
    </row>
    <row r="499">
      <c r="A499" s="5" t="inlineStr">
        <is>
          <t>MLI2022</t>
        </is>
      </c>
      <c r="B499" s="5" t="inlineStr">
        <is>
          <t>MLI</t>
        </is>
      </c>
      <c r="C499" s="5" t="inlineStr">
        <is>
          <t>MLI</t>
        </is>
      </c>
      <c r="D499" s="5" t="inlineStr">
        <is>
          <t>Mali</t>
        </is>
      </c>
      <c r="E499" s="5" t="n">
        <v>2022</v>
      </c>
      <c r="F499" s="5" t="n">
        <v>0.18</v>
      </c>
      <c r="G499" s="5" t="n">
        <v>11.196</v>
      </c>
      <c r="H499" s="5" t="n">
        <v>1.739</v>
      </c>
      <c r="I499" s="5" t="n">
        <v>0.524</v>
      </c>
      <c r="J499" s="5" t="n">
        <v>11.72</v>
      </c>
      <c r="K499" s="5" t="n">
        <v>0</v>
      </c>
      <c r="L499" s="5" t="n">
        <v>1</v>
      </c>
      <c r="M499" s="5" t="n">
        <v>9.478999999999999</v>
      </c>
      <c r="N499" s="5" t="n">
        <v>3.914</v>
      </c>
      <c r="O499" s="5" t="n">
        <v>0.304</v>
      </c>
      <c r="P499" s="5" t="n">
        <v>9.782999999999999</v>
      </c>
      <c r="Q499" s="5" t="n">
        <v>0</v>
      </c>
      <c r="R499" s="5" t="n">
        <v>1</v>
      </c>
      <c r="S499" s="5" t="n">
        <v>17.893</v>
      </c>
      <c r="T499" s="5" t="n">
        <v>7.408</v>
      </c>
      <c r="U499" s="5" t="n">
        <v>-14.799</v>
      </c>
      <c r="V499" s="5" t="n">
        <v>3.094</v>
      </c>
      <c r="W499" s="5" t="n">
        <v>0</v>
      </c>
      <c r="X499" s="5" t="n">
        <v>0</v>
      </c>
      <c r="Y499" s="5" t="n">
        <v>32.56</v>
      </c>
      <c r="Z499" s="5" t="n">
        <v>4.401</v>
      </c>
      <c r="AA499" s="5" t="n">
        <v>0</v>
      </c>
      <c r="AB499" s="5" t="n">
        <v>32.56</v>
      </c>
      <c r="AC499" s="5" t="n">
        <v>0</v>
      </c>
      <c r="AD499" s="5" t="n">
        <v>1</v>
      </c>
      <c r="AE499" s="5" t="n">
        <v>33.795</v>
      </c>
      <c r="AF499" s="5" t="n">
        <v>7.902</v>
      </c>
      <c r="AG499" s="5" t="n">
        <v>0</v>
      </c>
      <c r="AH499" s="5" t="n">
        <v>33.795</v>
      </c>
      <c r="AI499" s="5" t="n">
        <v>0</v>
      </c>
      <c r="AJ499" s="5" t="n">
        <v>1</v>
      </c>
      <c r="AK499" s="5" t="n">
        <v>41.203</v>
      </c>
      <c r="AL499" s="5" t="n">
        <v>21.945</v>
      </c>
      <c r="AM499" s="5" t="n">
        <v>0</v>
      </c>
      <c r="AN499" s="5" t="n">
        <v>48.62</v>
      </c>
      <c r="AO499" s="5" t="n">
        <v>0.18</v>
      </c>
      <c r="AP499" s="5" t="n">
        <v>1</v>
      </c>
      <c r="AQ499" s="5" t="n">
        <v>0.804</v>
      </c>
      <c r="AR499" s="5" t="n">
        <v>0.115</v>
      </c>
      <c r="AS499" s="5" t="n">
        <v>0.127</v>
      </c>
      <c r="AT499" s="5" t="n">
        <v>1.098</v>
      </c>
      <c r="AU499" s="5" t="n">
        <v>0.18</v>
      </c>
      <c r="AV499" s="5" t="n">
        <v>1</v>
      </c>
      <c r="AW499" s="5" t="n">
        <v>0.9</v>
      </c>
      <c r="AX499" s="5" t="n">
        <v>0.117</v>
      </c>
      <c r="AY499" s="5" t="n">
        <v>-0.091</v>
      </c>
      <c r="AZ499" s="5" t="n">
        <v>0.955</v>
      </c>
      <c r="BA499" s="5" t="n">
        <v>0.18</v>
      </c>
      <c r="BB499" s="5" t="n">
        <v>1</v>
      </c>
      <c r="BC499" s="5" t="n">
        <v>0.5669999999999999</v>
      </c>
      <c r="BD499" s="5" t="n">
        <v>0.117</v>
      </c>
      <c r="BE499" s="5" t="n">
        <v>0.032</v>
      </c>
      <c r="BF499" s="5" t="n">
        <v>0.707</v>
      </c>
      <c r="BG499" s="5" t="n">
        <v>0.18</v>
      </c>
      <c r="BH499" s="5" t="n">
        <v>1</v>
      </c>
      <c r="BI499" s="5" t="n">
        <v>0.573</v>
      </c>
      <c r="BJ499" s="5" t="n">
        <v>0.112</v>
      </c>
      <c r="BK499" s="5" t="n">
        <v>0.649</v>
      </c>
      <c r="BL499" s="5" t="n">
        <v>1.443</v>
      </c>
      <c r="BM499" s="5" t="n">
        <v>0.18</v>
      </c>
      <c r="BN499" s="5" t="n">
        <v>1</v>
      </c>
      <c r="BO499" s="5" t="n">
        <v>0</v>
      </c>
      <c r="BP499" s="5" t="n">
        <v>0</v>
      </c>
      <c r="BQ499" s="5" t="n">
        <v>0.177</v>
      </c>
      <c r="BR499" s="5" t="n">
        <v>0</v>
      </c>
      <c r="BS499" s="5" t="n">
        <v>1</v>
      </c>
      <c r="BT499" s="5" t="n">
        <v>0</v>
      </c>
      <c r="BU499" s="5" t="n">
        <v>0</v>
      </c>
      <c r="BV499" s="5" t="n">
        <v>0.215</v>
      </c>
      <c r="BW499" s="5" t="n">
        <v>0.18</v>
      </c>
      <c r="BX499" s="5" t="n">
        <v>0.833</v>
      </c>
      <c r="BY499" s="5" t="n">
        <v>12.729</v>
      </c>
      <c r="BZ499" s="5" t="n">
        <v>0</v>
      </c>
      <c r="CA499" s="5" t="n">
        <v>12.729</v>
      </c>
      <c r="CB499" s="5" t="n">
        <v>0</v>
      </c>
      <c r="CC499" s="5" t="n">
        <v>90.634</v>
      </c>
      <c r="CD499" s="5" t="n">
        <v>0.6840000000000001</v>
      </c>
      <c r="CE499" s="5" t="n">
        <v>103.785</v>
      </c>
      <c r="CF499" s="5" t="n">
        <v>229.415</v>
      </c>
      <c r="CG499" s="5" t="n">
        <v>0.18</v>
      </c>
      <c r="CH499" s="5" t="n">
        <v>1</v>
      </c>
      <c r="CI499" s="5" t="n">
        <v>0</v>
      </c>
      <c r="CJ499" s="5" t="n">
        <v>0</v>
      </c>
      <c r="CK499" s="5" t="n">
        <v>0</v>
      </c>
      <c r="CL499" s="5" t="n">
        <v>0</v>
      </c>
      <c r="CM499" s="5" t="n">
        <v>0.042</v>
      </c>
      <c r="CN499" s="5" t="n">
        <v>0</v>
      </c>
      <c r="CO499" s="5" t="n">
        <v>0</v>
      </c>
      <c r="CP499" s="5" t="n">
        <v>0</v>
      </c>
      <c r="CQ499" s="5" t="n">
        <v>1.294</v>
      </c>
      <c r="CR499" s="5" t="n">
        <v>0</v>
      </c>
      <c r="CS499" s="5" t="n">
        <v>5.158</v>
      </c>
      <c r="CT499" s="5" t="n">
        <v>10.485</v>
      </c>
      <c r="CU499" s="5" t="n">
        <v>31.326</v>
      </c>
    </row>
    <row r="500">
      <c r="A500" s="5" t="inlineStr">
        <is>
          <t>MLI2023</t>
        </is>
      </c>
      <c r="B500" s="5" t="inlineStr">
        <is>
          <t>MLI</t>
        </is>
      </c>
      <c r="C500" s="5" t="inlineStr">
        <is>
          <t>MLI</t>
        </is>
      </c>
      <c r="D500" s="5" t="inlineStr">
        <is>
          <t>Mali</t>
        </is>
      </c>
      <c r="E500" s="5" t="n">
        <v>2023</v>
      </c>
      <c r="F500" s="5" t="n">
        <v>0.18</v>
      </c>
      <c r="G500" s="5" t="n">
        <v>5.904</v>
      </c>
      <c r="H500" s="5" t="n">
        <v>1.345</v>
      </c>
      <c r="I500" s="5" t="n">
        <v>0.243</v>
      </c>
      <c r="J500" s="5" t="n">
        <v>6.147</v>
      </c>
      <c r="K500" s="5" t="n">
        <v>0</v>
      </c>
      <c r="L500" s="5" t="n">
        <v>1</v>
      </c>
      <c r="M500" s="5" t="n">
        <v>7.685</v>
      </c>
      <c r="N500" s="5" t="n">
        <v>3.811</v>
      </c>
      <c r="O500" s="5" t="n">
        <v>0.201</v>
      </c>
      <c r="P500" s="5" t="n">
        <v>7.886</v>
      </c>
      <c r="Q500" s="5" t="n">
        <v>0</v>
      </c>
      <c r="R500" s="5" t="n">
        <v>1</v>
      </c>
      <c r="S500" s="5" t="n">
        <v>12.575</v>
      </c>
      <c r="T500" s="5" t="n">
        <v>7.714</v>
      </c>
      <c r="U500" s="5" t="n">
        <v>-8.887</v>
      </c>
      <c r="V500" s="5" t="n">
        <v>3.688</v>
      </c>
      <c r="W500" s="5" t="n">
        <v>0</v>
      </c>
      <c r="X500" s="5" t="n">
        <v>0</v>
      </c>
      <c r="Y500" s="5" t="n">
        <v>12.908</v>
      </c>
      <c r="Z500" s="5" t="n">
        <v>1.745</v>
      </c>
      <c r="AA500" s="5" t="n">
        <v>0</v>
      </c>
      <c r="AB500" s="5" t="n">
        <v>12.908</v>
      </c>
      <c r="AC500" s="5" t="n">
        <v>0</v>
      </c>
      <c r="AD500" s="5" t="n">
        <v>1</v>
      </c>
      <c r="AE500" s="5" t="n">
        <v>14.194</v>
      </c>
      <c r="AF500" s="5" t="n">
        <v>3.319</v>
      </c>
      <c r="AG500" s="5" t="n">
        <v>0</v>
      </c>
      <c r="AH500" s="5" t="n">
        <v>14.194</v>
      </c>
      <c r="AI500" s="5" t="n">
        <v>0</v>
      </c>
      <c r="AJ500" s="5" t="n">
        <v>1</v>
      </c>
      <c r="AK500" s="5" t="n">
        <v>21.908</v>
      </c>
      <c r="AL500" s="5" t="n">
        <v>11.668</v>
      </c>
      <c r="AM500" s="5" t="n">
        <v>0</v>
      </c>
      <c r="AN500" s="5" t="n">
        <v>25.851</v>
      </c>
      <c r="AO500" s="5" t="n">
        <v>0.18</v>
      </c>
      <c r="AP500" s="5" t="n">
        <v>1</v>
      </c>
      <c r="AQ500" s="5" t="n">
        <v>0.71</v>
      </c>
      <c r="AR500" s="5" t="n">
        <v>0.12</v>
      </c>
      <c r="AS500" s="5" t="n">
        <v>0.529</v>
      </c>
      <c r="AT500" s="5" t="n">
        <v>1.462</v>
      </c>
      <c r="AU500" s="5" t="n">
        <v>0.18</v>
      </c>
      <c r="AV500" s="5" t="n">
        <v>1</v>
      </c>
      <c r="AW500" s="5" t="n">
        <v>0.743</v>
      </c>
      <c r="AX500" s="5" t="n">
        <v>0.127</v>
      </c>
      <c r="AY500" s="5" t="n">
        <v>0.44</v>
      </c>
      <c r="AZ500" s="5" t="n">
        <v>1.396</v>
      </c>
      <c r="BA500" s="5" t="n">
        <v>0.18</v>
      </c>
      <c r="BB500" s="5" t="n">
        <v>1</v>
      </c>
      <c r="BC500" s="5" t="n">
        <v>0.505</v>
      </c>
      <c r="BD500" s="5" t="n">
        <v>0.121</v>
      </c>
      <c r="BE500" s="5" t="n">
        <v>0.031</v>
      </c>
      <c r="BF500" s="5" t="n">
        <v>0.633</v>
      </c>
      <c r="BG500" s="5" t="n">
        <v>0.18</v>
      </c>
      <c r="BH500" s="5" t="n">
        <v>1</v>
      </c>
      <c r="BI500" s="5" t="n">
        <v>0.543</v>
      </c>
      <c r="BJ500" s="5" t="n">
        <v>0.118</v>
      </c>
      <c r="BK500" s="5" t="n">
        <v>0.544</v>
      </c>
      <c r="BL500" s="5" t="n">
        <v>1.283</v>
      </c>
      <c r="BM500" s="5" t="n">
        <v>0.18</v>
      </c>
      <c r="BN500" s="5" t="n">
        <v>1</v>
      </c>
      <c r="BO500" s="5" t="n">
        <v>0</v>
      </c>
      <c r="BP500" s="5" t="n">
        <v>0</v>
      </c>
      <c r="BQ500" s="5" t="n">
        <v>0.185</v>
      </c>
      <c r="BR500" s="5" t="n">
        <v>0</v>
      </c>
      <c r="BS500" s="5" t="n">
        <v>1</v>
      </c>
      <c r="BT500" s="5" t="n">
        <v>0</v>
      </c>
      <c r="BU500" s="5" t="n">
        <v>0</v>
      </c>
      <c r="BV500" s="5" t="n">
        <v>0.226</v>
      </c>
      <c r="BW500" s="5" t="n">
        <v>0.18</v>
      </c>
      <c r="BX500" s="5" t="n">
        <v>0.833</v>
      </c>
      <c r="BY500" s="5" t="n">
        <v>13.254</v>
      </c>
      <c r="BZ500" s="5" t="n">
        <v>0</v>
      </c>
      <c r="CA500" s="5" t="n">
        <v>13.254</v>
      </c>
      <c r="CB500" s="5" t="n">
        <v>0</v>
      </c>
      <c r="CC500" s="5" t="n">
        <v>77.166</v>
      </c>
      <c r="CD500" s="5" t="n">
        <v>1.868</v>
      </c>
      <c r="CE500" s="5" t="n">
        <v>95.66200000000001</v>
      </c>
      <c r="CF500" s="5" t="n">
        <v>203.937</v>
      </c>
      <c r="CG500" s="5" t="n">
        <v>0.18</v>
      </c>
      <c r="CH500" s="5" t="n">
        <v>1</v>
      </c>
      <c r="CI500" s="5" t="n">
        <v>0</v>
      </c>
      <c r="CJ500" s="5" t="n">
        <v>0</v>
      </c>
      <c r="CK500" s="5" t="n">
        <v>0</v>
      </c>
      <c r="CL500" s="5" t="n">
        <v>0</v>
      </c>
      <c r="CM500" s="5" t="n">
        <v>0.076</v>
      </c>
      <c r="CN500" s="5" t="n">
        <v>0</v>
      </c>
      <c r="CO500" s="5" t="n">
        <v>0</v>
      </c>
      <c r="CP500" s="5" t="n">
        <v>0</v>
      </c>
      <c r="CQ500" s="5" t="n">
        <v>1.348</v>
      </c>
      <c r="CR500" s="5" t="n">
        <v>0</v>
      </c>
      <c r="CS500" s="5" t="n">
        <v>5.37</v>
      </c>
      <c r="CT500" s="5" t="n">
        <v>4.861</v>
      </c>
      <c r="CU500" s="5" t="n">
        <v>11.622</v>
      </c>
    </row>
    <row r="501">
      <c r="A501" s="5" t="inlineStr">
        <is>
          <t>MLI2024</t>
        </is>
      </c>
      <c r="B501" s="5" t="inlineStr">
        <is>
          <t>MLI</t>
        </is>
      </c>
      <c r="C501" s="5" t="inlineStr">
        <is>
          <t>MLI</t>
        </is>
      </c>
      <c r="D501" s="5" t="inlineStr">
        <is>
          <t>Mali</t>
        </is>
      </c>
      <c r="E501" s="5" t="n">
        <v>2024</v>
      </c>
      <c r="F501" s="5" t="n">
        <v>0.18</v>
      </c>
      <c r="G501" s="5" t="n">
        <v>5.362</v>
      </c>
      <c r="H501" s="5" t="n">
        <v>1.358</v>
      </c>
      <c r="I501" s="5" t="n">
        <v>0.213</v>
      </c>
      <c r="J501" s="5" t="n">
        <v>5.575</v>
      </c>
      <c r="K501" s="5" t="n">
        <v>0</v>
      </c>
      <c r="L501" s="5" t="n">
        <v>1</v>
      </c>
      <c r="M501" s="5" t="n">
        <v>6.987</v>
      </c>
      <c r="N501" s="5" t="n">
        <v>3.806</v>
      </c>
      <c r="O501" s="5" t="n">
        <v>0.158</v>
      </c>
      <c r="P501" s="5" t="n">
        <v>7.145</v>
      </c>
      <c r="Q501" s="5" t="n">
        <v>0</v>
      </c>
      <c r="R501" s="5" t="n">
        <v>1</v>
      </c>
      <c r="S501" s="5" t="n">
        <v>12.193</v>
      </c>
      <c r="T501" s="5" t="n">
        <v>7.942</v>
      </c>
      <c r="U501" s="5" t="n">
        <v>-9.286</v>
      </c>
      <c r="V501" s="5" t="n">
        <v>2.907</v>
      </c>
      <c r="W501" s="5" t="n">
        <v>0</v>
      </c>
      <c r="X501" s="5" t="n">
        <v>0</v>
      </c>
      <c r="Y501" s="5" t="n">
        <v>11.492</v>
      </c>
      <c r="Z501" s="5" t="n">
        <v>1.553</v>
      </c>
      <c r="AA501" s="5" t="n">
        <v>0</v>
      </c>
      <c r="AB501" s="5" t="n">
        <v>11.492</v>
      </c>
      <c r="AC501" s="5" t="n">
        <v>0</v>
      </c>
      <c r="AD501" s="5" t="n">
        <v>1</v>
      </c>
      <c r="AE501" s="5" t="n">
        <v>12.815</v>
      </c>
      <c r="AF501" s="5" t="n">
        <v>2.997</v>
      </c>
      <c r="AG501" s="5" t="n">
        <v>0.001</v>
      </c>
      <c r="AH501" s="5" t="n">
        <v>12.816</v>
      </c>
      <c r="AI501" s="5" t="n">
        <v>0</v>
      </c>
      <c r="AJ501" s="5" t="n">
        <v>1</v>
      </c>
      <c r="AK501" s="5" t="n">
        <v>20.757</v>
      </c>
      <c r="AL501" s="5" t="n">
        <v>11.055</v>
      </c>
      <c r="AM501" s="5" t="n">
        <v>0.004</v>
      </c>
      <c r="AN501" s="5" t="n">
        <v>24.498</v>
      </c>
      <c r="AO501" s="5" t="n">
        <v>0.18</v>
      </c>
      <c r="AP501" s="5" t="n">
        <v>1</v>
      </c>
      <c r="AQ501" s="5" t="n">
        <v>0.678</v>
      </c>
      <c r="AR501" s="5" t="n">
        <v>0.123</v>
      </c>
      <c r="AS501" s="5" t="n">
        <v>0.522</v>
      </c>
      <c r="AT501" s="5" t="n">
        <v>1.415</v>
      </c>
      <c r="AU501" s="5" t="n">
        <v>0.18</v>
      </c>
      <c r="AV501" s="5" t="n">
        <v>1</v>
      </c>
      <c r="AW501" s="5" t="n">
        <v>0.6879999999999999</v>
      </c>
      <c r="AX501" s="5" t="n">
        <v>0.126</v>
      </c>
      <c r="AY501" s="5" t="n">
        <v>0.466</v>
      </c>
      <c r="AZ501" s="5" t="n">
        <v>1.362</v>
      </c>
      <c r="BA501" s="5" t="n">
        <v>0.18</v>
      </c>
      <c r="BB501" s="5" t="n">
        <v>1</v>
      </c>
      <c r="BC501" s="5" t="n">
        <v>0.482</v>
      </c>
      <c r="BD501" s="5" t="n">
        <v>0.124</v>
      </c>
      <c r="BE501" s="5" t="n">
        <v>0.032</v>
      </c>
      <c r="BF501" s="5" t="n">
        <v>0.607</v>
      </c>
      <c r="BG501" s="5" t="n">
        <v>0.18</v>
      </c>
      <c r="BH501" s="5" t="n">
        <v>1</v>
      </c>
      <c r="BI501" s="5" t="n">
        <v>0.526</v>
      </c>
      <c r="BJ501" s="5" t="n">
        <v>0.116</v>
      </c>
      <c r="BK501" s="5" t="n">
        <v>0.593</v>
      </c>
      <c r="BL501" s="5" t="n">
        <v>1.321</v>
      </c>
      <c r="BM501" s="5" t="n">
        <v>0.18</v>
      </c>
      <c r="BN501" s="5" t="n">
        <v>1</v>
      </c>
      <c r="BO501" s="5" t="n">
        <v>0</v>
      </c>
      <c r="BP501" s="5" t="n">
        <v>0</v>
      </c>
      <c r="BQ501" s="5" t="n">
        <v>0.171</v>
      </c>
      <c r="BR501" s="5" t="n">
        <v>0</v>
      </c>
      <c r="BS501" s="5" t="n">
        <v>1</v>
      </c>
      <c r="BT501" s="5" t="n">
        <v>0</v>
      </c>
      <c r="BU501" s="5" t="n">
        <v>0</v>
      </c>
      <c r="BV501" s="5" t="n">
        <v>0.236</v>
      </c>
      <c r="BW501" s="5" t="n">
        <v>0.18</v>
      </c>
      <c r="BX501" s="5" t="n">
        <v>0.833</v>
      </c>
      <c r="BY501" s="5" t="n">
        <v>13.646</v>
      </c>
      <c r="BZ501" s="5" t="n">
        <v>0</v>
      </c>
      <c r="CA501" s="5" t="n">
        <v>13.646</v>
      </c>
      <c r="CB501" s="5" t="n">
        <v>0</v>
      </c>
      <c r="CC501" s="5" t="n">
        <v>76.56</v>
      </c>
      <c r="CD501" s="5" t="n">
        <v>1.922</v>
      </c>
      <c r="CE501" s="5" t="n">
        <v>78.998</v>
      </c>
      <c r="CF501" s="5" t="n">
        <v>183.559</v>
      </c>
      <c r="CG501" s="5" t="n">
        <v>0.18</v>
      </c>
      <c r="CH501" s="5" t="n">
        <v>1</v>
      </c>
      <c r="CI501" s="5" t="n">
        <v>0</v>
      </c>
      <c r="CJ501" s="5" t="n">
        <v>0</v>
      </c>
      <c r="CK501" s="5" t="n">
        <v>0</v>
      </c>
      <c r="CL501" s="5" t="n">
        <v>0</v>
      </c>
      <c r="CM501" s="5" t="n">
        <v>0.095</v>
      </c>
      <c r="CN501" s="5" t="n">
        <v>0</v>
      </c>
      <c r="CO501" s="5" t="n">
        <v>0</v>
      </c>
      <c r="CP501" s="5" t="n">
        <v>0</v>
      </c>
      <c r="CQ501" s="5" t="n">
        <v>1.387</v>
      </c>
      <c r="CR501" s="5" t="n">
        <v>0</v>
      </c>
      <c r="CS501" s="5" t="n">
        <v>5.529</v>
      </c>
      <c r="CT501" s="5" t="n">
        <v>4.251</v>
      </c>
      <c r="CU501" s="5" t="n">
        <v>10.168</v>
      </c>
    </row>
    <row r="502">
      <c r="A502" s="5" t="inlineStr">
        <is>
          <t>MLT2021</t>
        </is>
      </c>
      <c r="B502" s="5" t="inlineStr">
        <is>
          <t>MLT</t>
        </is>
      </c>
      <c r="C502" s="5" t="inlineStr">
        <is>
          <t>MLT</t>
        </is>
      </c>
      <c r="D502" s="5" t="inlineStr">
        <is>
          <t>Malta</t>
        </is>
      </c>
      <c r="E502" s="5" t="n">
        <v>2021</v>
      </c>
      <c r="F502" s="5" t="n">
        <v>0.18</v>
      </c>
      <c r="G502" s="5" t="n">
        <v>5.897</v>
      </c>
      <c r="H502" s="5" t="n">
        <v>1.143</v>
      </c>
      <c r="I502" s="5" t="n">
        <v>2.365</v>
      </c>
      <c r="J502" s="5" t="n">
        <v>8.262</v>
      </c>
      <c r="K502" s="5" t="n">
        <v>0</v>
      </c>
      <c r="L502" s="5" t="n">
        <v>1</v>
      </c>
      <c r="M502" s="5" t="n">
        <v>7.964</v>
      </c>
      <c r="N502" s="5" t="n">
        <v>3.43</v>
      </c>
      <c r="O502" s="5" t="n">
        <v>2.41</v>
      </c>
      <c r="P502" s="5" t="n">
        <v>10.375</v>
      </c>
      <c r="Q502" s="5" t="n">
        <v>0</v>
      </c>
      <c r="R502" s="5" t="n">
        <v>1</v>
      </c>
      <c r="S502" s="5" t="n">
        <v>11.613</v>
      </c>
      <c r="T502" s="5" t="n">
        <v>6.86</v>
      </c>
      <c r="U502" s="5" t="n">
        <v>0</v>
      </c>
      <c r="V502" s="5" t="n">
        <v>13.704</v>
      </c>
      <c r="W502" s="5" t="n">
        <v>0.18</v>
      </c>
      <c r="X502" s="5" t="n">
        <v>1</v>
      </c>
      <c r="Y502" s="5" t="n">
        <v>15.305</v>
      </c>
      <c r="Z502" s="5" t="n">
        <v>1.143</v>
      </c>
      <c r="AA502" s="5" t="n">
        <v>1.399</v>
      </c>
      <c r="AB502" s="5" t="n">
        <v>16.705</v>
      </c>
      <c r="AC502" s="5" t="n">
        <v>0</v>
      </c>
      <c r="AD502" s="5" t="n">
        <v>1</v>
      </c>
      <c r="AE502" s="5" t="n">
        <v>16.449</v>
      </c>
      <c r="AF502" s="5" t="n">
        <v>2.287</v>
      </c>
      <c r="AG502" s="5" t="n">
        <v>1.399</v>
      </c>
      <c r="AH502" s="5" t="n">
        <v>17.848</v>
      </c>
      <c r="AI502" s="5" t="n">
        <v>0</v>
      </c>
      <c r="AJ502" s="5" t="n">
        <v>1</v>
      </c>
      <c r="AK502" s="5" t="n">
        <v>23.309</v>
      </c>
      <c r="AL502" s="5" t="n">
        <v>9.147</v>
      </c>
      <c r="AM502" s="5" t="n">
        <v>0</v>
      </c>
      <c r="AN502" s="5" t="n">
        <v>27.504</v>
      </c>
      <c r="AO502" s="5" t="n">
        <v>0.18</v>
      </c>
      <c r="AP502" s="5" t="n">
        <v>1</v>
      </c>
      <c r="AQ502" s="5" t="n">
        <v>0.621</v>
      </c>
      <c r="AR502" s="5" t="n">
        <v>0.114</v>
      </c>
      <c r="AS502" s="5" t="n">
        <v>0.723</v>
      </c>
      <c r="AT502" s="5" t="n">
        <v>1.585</v>
      </c>
      <c r="AU502" s="5" t="n">
        <v>0.18</v>
      </c>
      <c r="AV502" s="5" t="n">
        <v>1</v>
      </c>
      <c r="AW502" s="5" t="n">
        <v>0.593</v>
      </c>
      <c r="AX502" s="5" t="n">
        <v>0.114</v>
      </c>
      <c r="AY502" s="5" t="n">
        <v>0.62</v>
      </c>
      <c r="AZ502" s="5" t="n">
        <v>1.431</v>
      </c>
      <c r="BA502" s="5" t="n">
        <v>0.18</v>
      </c>
      <c r="BB502" s="5" t="n">
        <v>1</v>
      </c>
      <c r="BC502" s="5" t="n">
        <v>0.44</v>
      </c>
      <c r="BD502" s="5" t="n">
        <v>0.114</v>
      </c>
      <c r="BE502" s="5" t="n">
        <v>0.026</v>
      </c>
      <c r="BF502" s="5" t="n">
        <v>0.55</v>
      </c>
      <c r="BG502" s="5" t="n">
        <v>0.18</v>
      </c>
      <c r="BH502" s="5" t="n">
        <v>1</v>
      </c>
      <c r="BI502" s="5" t="n">
        <v>0.5600000000000001</v>
      </c>
      <c r="BJ502" s="5" t="n">
        <v>0.114</v>
      </c>
      <c r="BK502" s="5" t="n">
        <v>0.442</v>
      </c>
      <c r="BL502" s="5" t="n">
        <v>1.183</v>
      </c>
      <c r="BM502" s="5" t="n">
        <v>0.18</v>
      </c>
      <c r="BN502" s="5" t="n">
        <v>1</v>
      </c>
      <c r="BO502" s="5" t="n">
        <v>0</v>
      </c>
      <c r="BP502" s="5" t="n">
        <v>0.002</v>
      </c>
      <c r="BQ502" s="5" t="n">
        <v>0.128</v>
      </c>
      <c r="BR502" s="5" t="n">
        <v>0</v>
      </c>
      <c r="BS502" s="5" t="n">
        <v>1</v>
      </c>
      <c r="BT502" s="5" t="n">
        <v>0</v>
      </c>
      <c r="BU502" s="5" t="n">
        <v>0.002</v>
      </c>
      <c r="BV502" s="5" t="n">
        <v>0.154</v>
      </c>
      <c r="BW502" s="5" t="n">
        <v>0.18</v>
      </c>
      <c r="BX502" s="5" t="n">
        <v>0.667</v>
      </c>
      <c r="BY502" s="5" t="n">
        <v>11.787</v>
      </c>
      <c r="BZ502" s="5" t="n">
        <v>0</v>
      </c>
      <c r="CA502" s="5" t="n">
        <v>11.787</v>
      </c>
      <c r="CB502" s="5" t="n">
        <v>0</v>
      </c>
      <c r="CC502" s="5" t="n">
        <v>81.69499999999999</v>
      </c>
      <c r="CD502" s="5" t="n">
        <v>7.95</v>
      </c>
      <c r="CE502" s="5" t="n">
        <v>87.651</v>
      </c>
      <c r="CF502" s="5" t="n">
        <v>199.829</v>
      </c>
      <c r="CG502" s="5" t="n">
        <v>0.18</v>
      </c>
      <c r="CH502" s="5" t="n">
        <v>1</v>
      </c>
      <c r="CI502" s="5" t="n">
        <v>0</v>
      </c>
      <c r="CJ502" s="5" t="n">
        <v>0</v>
      </c>
      <c r="CK502" s="5" t="n">
        <v>0</v>
      </c>
      <c r="CL502" s="5" t="n">
        <v>0</v>
      </c>
      <c r="CM502" s="5" t="n">
        <v>0</v>
      </c>
      <c r="CN502" s="5" t="n">
        <v>0</v>
      </c>
      <c r="CO502" s="5" t="n">
        <v>0</v>
      </c>
      <c r="CP502" s="5" t="n">
        <v>0</v>
      </c>
      <c r="CQ502" s="5" t="n">
        <v>1.198</v>
      </c>
      <c r="CR502" s="5" t="n">
        <v>0</v>
      </c>
      <c r="CS502" s="5" t="n">
        <v>4.776</v>
      </c>
      <c r="CT502" s="5" t="n">
        <v>4.753</v>
      </c>
      <c r="CU502" s="5" t="n">
        <v>14.162</v>
      </c>
    </row>
    <row r="503">
      <c r="A503" s="5" t="inlineStr">
        <is>
          <t>MLT2022</t>
        </is>
      </c>
      <c r="B503" s="5" t="inlineStr">
        <is>
          <t>MLT</t>
        </is>
      </c>
      <c r="C503" s="5" t="inlineStr">
        <is>
          <t>MLT</t>
        </is>
      </c>
      <c r="D503" s="5" t="inlineStr">
        <is>
          <t>Malta</t>
        </is>
      </c>
      <c r="E503" s="5" t="n">
        <v>2022</v>
      </c>
      <c r="F503" s="5" t="n">
        <v>0.18</v>
      </c>
      <c r="G503" s="5" t="n">
        <v>11.72</v>
      </c>
      <c r="H503" s="5" t="n">
        <v>1.235</v>
      </c>
      <c r="I503" s="5" t="n">
        <v>8.16</v>
      </c>
      <c r="J503" s="5" t="n">
        <v>19.88</v>
      </c>
      <c r="K503" s="5" t="n">
        <v>0</v>
      </c>
      <c r="L503" s="5" t="n">
        <v>1</v>
      </c>
      <c r="M503" s="5" t="n">
        <v>9.782999999999999</v>
      </c>
      <c r="N503" s="5" t="n">
        <v>3.704</v>
      </c>
      <c r="O503" s="5" t="n">
        <v>8.315</v>
      </c>
      <c r="P503" s="5" t="n">
        <v>18.098</v>
      </c>
      <c r="Q503" s="5" t="n">
        <v>0</v>
      </c>
      <c r="R503" s="5" t="n">
        <v>1</v>
      </c>
      <c r="S503" s="5" t="n">
        <v>17.893</v>
      </c>
      <c r="T503" s="5" t="n">
        <v>7.408</v>
      </c>
      <c r="U503" s="5" t="n">
        <v>0.238</v>
      </c>
      <c r="V503" s="5" t="n">
        <v>21.114</v>
      </c>
      <c r="W503" s="5" t="n">
        <v>0.18</v>
      </c>
      <c r="X503" s="5" t="n">
        <v>1</v>
      </c>
      <c r="Y503" s="5" t="n">
        <v>31.56</v>
      </c>
      <c r="Z503" s="5" t="n">
        <v>1.235</v>
      </c>
      <c r="AA503" s="5" t="n">
        <v>4.828</v>
      </c>
      <c r="AB503" s="5" t="n">
        <v>36.388</v>
      </c>
      <c r="AC503" s="5" t="n">
        <v>0</v>
      </c>
      <c r="AD503" s="5" t="n">
        <v>1</v>
      </c>
      <c r="AE503" s="5" t="n">
        <v>32.795</v>
      </c>
      <c r="AF503" s="5" t="n">
        <v>2.469</v>
      </c>
      <c r="AG503" s="5" t="n">
        <v>4.828</v>
      </c>
      <c r="AH503" s="5" t="n">
        <v>37.623</v>
      </c>
      <c r="AI503" s="5" t="n">
        <v>0</v>
      </c>
      <c r="AJ503" s="5" t="n">
        <v>1</v>
      </c>
      <c r="AK503" s="5" t="n">
        <v>40.203</v>
      </c>
      <c r="AL503" s="5" t="n">
        <v>9.878</v>
      </c>
      <c r="AM503" s="5" t="n">
        <v>0.536</v>
      </c>
      <c r="AN503" s="5" t="n">
        <v>47.44</v>
      </c>
      <c r="AO503" s="5" t="n">
        <v>0.18</v>
      </c>
      <c r="AP503" s="5" t="n">
        <v>1</v>
      </c>
      <c r="AQ503" s="5" t="n">
        <v>0.847</v>
      </c>
      <c r="AR503" s="5" t="n">
        <v>0.123</v>
      </c>
      <c r="AS503" s="5" t="n">
        <v>0.349</v>
      </c>
      <c r="AT503" s="5" t="n">
        <v>1.411</v>
      </c>
      <c r="AU503" s="5" t="n">
        <v>0.18</v>
      </c>
      <c r="AV503" s="5" t="n">
        <v>1</v>
      </c>
      <c r="AW503" s="5" t="n">
        <v>0.947</v>
      </c>
      <c r="AX503" s="5" t="n">
        <v>0.123</v>
      </c>
      <c r="AY503" s="5" t="n">
        <v>0.133</v>
      </c>
      <c r="AZ503" s="5" t="n">
        <v>1.274</v>
      </c>
      <c r="BA503" s="5" t="n">
        <v>0.18</v>
      </c>
      <c r="BB503" s="5" t="n">
        <v>1</v>
      </c>
      <c r="BC503" s="5" t="n">
        <v>0.589</v>
      </c>
      <c r="BD503" s="5" t="n">
        <v>0.123</v>
      </c>
      <c r="BE503" s="5" t="n">
        <v>0.038</v>
      </c>
      <c r="BF503" s="5" t="n">
        <v>0.73</v>
      </c>
      <c r="BG503" s="5" t="n">
        <v>0.18</v>
      </c>
      <c r="BH503" s="5" t="n">
        <v>1</v>
      </c>
      <c r="BI503" s="5" t="n">
        <v>0.6889999999999999</v>
      </c>
      <c r="BJ503" s="5" t="n">
        <v>0.123</v>
      </c>
      <c r="BK503" s="5" t="n">
        <v>0.204</v>
      </c>
      <c r="BL503" s="5" t="n">
        <v>1.053</v>
      </c>
      <c r="BM503" s="5" t="n">
        <v>0.18</v>
      </c>
      <c r="BN503" s="5" t="n">
        <v>1</v>
      </c>
      <c r="BO503" s="5" t="n">
        <v>0</v>
      </c>
      <c r="BP503" s="5" t="n">
        <v>0.002</v>
      </c>
      <c r="BQ503" s="5" t="n">
        <v>0.1</v>
      </c>
      <c r="BR503" s="5" t="n">
        <v>0</v>
      </c>
      <c r="BS503" s="5" t="n">
        <v>1</v>
      </c>
      <c r="BT503" s="5" t="n">
        <v>0</v>
      </c>
      <c r="BU503" s="5" t="n">
        <v>0.002</v>
      </c>
      <c r="BV503" s="5" t="n">
        <v>0.136</v>
      </c>
      <c r="BW503" s="5" t="n">
        <v>0.18</v>
      </c>
      <c r="BX503" s="5" t="n">
        <v>0.667</v>
      </c>
      <c r="BY503" s="5" t="n">
        <v>12.729</v>
      </c>
      <c r="BZ503" s="5" t="n">
        <v>0</v>
      </c>
      <c r="CA503" s="5" t="n">
        <v>12.729</v>
      </c>
      <c r="CB503" s="5" t="n">
        <v>0</v>
      </c>
      <c r="CC503" s="5" t="n">
        <v>102.477</v>
      </c>
      <c r="CD503" s="5" t="n">
        <v>7.95</v>
      </c>
      <c r="CE503" s="5" t="n">
        <v>73.83799999999999</v>
      </c>
      <c r="CF503" s="5" t="n">
        <v>208.051</v>
      </c>
      <c r="CG503" s="5" t="n">
        <v>0.18</v>
      </c>
      <c r="CH503" s="5" t="n">
        <v>1</v>
      </c>
      <c r="CI503" s="5" t="n">
        <v>0</v>
      </c>
      <c r="CJ503" s="5" t="n">
        <v>0</v>
      </c>
      <c r="CK503" s="5" t="n">
        <v>0</v>
      </c>
      <c r="CL503" s="5" t="n">
        <v>0</v>
      </c>
      <c r="CM503" s="5" t="n">
        <v>0</v>
      </c>
      <c r="CN503" s="5" t="n">
        <v>0</v>
      </c>
      <c r="CO503" s="5" t="n">
        <v>0</v>
      </c>
      <c r="CP503" s="5" t="n">
        <v>0</v>
      </c>
      <c r="CQ503" s="5" t="n">
        <v>1.294</v>
      </c>
      <c r="CR503" s="5" t="n">
        <v>0</v>
      </c>
      <c r="CS503" s="5" t="n">
        <v>5.158</v>
      </c>
      <c r="CT503" s="5" t="n">
        <v>10.485</v>
      </c>
      <c r="CU503" s="5" t="n">
        <v>30.326</v>
      </c>
    </row>
    <row r="504">
      <c r="A504" s="5" t="inlineStr">
        <is>
          <t>MLT2023</t>
        </is>
      </c>
      <c r="B504" s="5" t="inlineStr">
        <is>
          <t>MLT</t>
        </is>
      </c>
      <c r="C504" s="5" t="inlineStr">
        <is>
          <t>MLT</t>
        </is>
      </c>
      <c r="D504" s="5" t="inlineStr">
        <is>
          <t>Malta</t>
        </is>
      </c>
      <c r="E504" s="5" t="n">
        <v>2023</v>
      </c>
      <c r="F504" s="5" t="n">
        <v>0.18</v>
      </c>
      <c r="G504" s="5" t="n">
        <v>6.147</v>
      </c>
      <c r="H504" s="5" t="n">
        <v>1.286</v>
      </c>
      <c r="I504" s="5" t="n">
        <v>9.457000000000001</v>
      </c>
      <c r="J504" s="5" t="n">
        <v>15.604</v>
      </c>
      <c r="K504" s="5" t="n">
        <v>0</v>
      </c>
      <c r="L504" s="5" t="n">
        <v>1</v>
      </c>
      <c r="M504" s="5" t="n">
        <v>7.886</v>
      </c>
      <c r="N504" s="5" t="n">
        <v>3.857</v>
      </c>
      <c r="O504" s="5" t="n">
        <v>9.635999999999999</v>
      </c>
      <c r="P504" s="5" t="n">
        <v>17.522</v>
      </c>
      <c r="Q504" s="5" t="n">
        <v>0</v>
      </c>
      <c r="R504" s="5" t="n">
        <v>1</v>
      </c>
      <c r="S504" s="5" t="n">
        <v>12.575</v>
      </c>
      <c r="T504" s="5" t="n">
        <v>7.714</v>
      </c>
      <c r="U504" s="5" t="n">
        <v>0.251</v>
      </c>
      <c r="V504" s="5" t="n">
        <v>14.839</v>
      </c>
      <c r="W504" s="5" t="n">
        <v>0.18</v>
      </c>
      <c r="X504" s="5" t="n">
        <v>1</v>
      </c>
      <c r="Y504" s="5" t="n">
        <v>11.908</v>
      </c>
      <c r="Z504" s="5" t="n">
        <v>1.246</v>
      </c>
      <c r="AA504" s="5" t="n">
        <v>5.595</v>
      </c>
      <c r="AB504" s="5" t="n">
        <v>17.503</v>
      </c>
      <c r="AC504" s="5" t="n">
        <v>0</v>
      </c>
      <c r="AD504" s="5" t="n">
        <v>1</v>
      </c>
      <c r="AE504" s="5" t="n">
        <v>13.194</v>
      </c>
      <c r="AF504" s="5" t="n">
        <v>2.493</v>
      </c>
      <c r="AG504" s="5" t="n">
        <v>5.595</v>
      </c>
      <c r="AH504" s="5" t="n">
        <v>18.788</v>
      </c>
      <c r="AI504" s="5" t="n">
        <v>0</v>
      </c>
      <c r="AJ504" s="5" t="n">
        <v>1</v>
      </c>
      <c r="AK504" s="5" t="n">
        <v>20.908</v>
      </c>
      <c r="AL504" s="5" t="n">
        <v>9.972</v>
      </c>
      <c r="AM504" s="5" t="n">
        <v>0.417</v>
      </c>
      <c r="AN504" s="5" t="n">
        <v>24.671</v>
      </c>
      <c r="AO504" s="5" t="n">
        <v>0.18</v>
      </c>
      <c r="AP504" s="5" t="n">
        <v>1</v>
      </c>
      <c r="AQ504" s="5" t="n">
        <v>0.749</v>
      </c>
      <c r="AR504" s="5" t="n">
        <v>0.129</v>
      </c>
      <c r="AS504" s="5" t="n">
        <v>0.479</v>
      </c>
      <c r="AT504" s="5" t="n">
        <v>1.449</v>
      </c>
      <c r="AU504" s="5" t="n">
        <v>0.18</v>
      </c>
      <c r="AV504" s="5" t="n">
        <v>1</v>
      </c>
      <c r="AW504" s="5" t="n">
        <v>0.783</v>
      </c>
      <c r="AX504" s="5" t="n">
        <v>0.129</v>
      </c>
      <c r="AY504" s="5" t="n">
        <v>0.326</v>
      </c>
      <c r="AZ504" s="5" t="n">
        <v>1.308</v>
      </c>
      <c r="BA504" s="5" t="n">
        <v>0.18</v>
      </c>
      <c r="BB504" s="5" t="n">
        <v>1</v>
      </c>
      <c r="BC504" s="5" t="n">
        <v>0.527</v>
      </c>
      <c r="BD504" s="5" t="n">
        <v>0.129</v>
      </c>
      <c r="BE504" s="5" t="n">
        <v>0.041</v>
      </c>
      <c r="BF504" s="5" t="n">
        <v>0.658</v>
      </c>
      <c r="BG504" s="5" t="n">
        <v>0.18</v>
      </c>
      <c r="BH504" s="5" t="n">
        <v>1</v>
      </c>
      <c r="BI504" s="5" t="n">
        <v>0.64</v>
      </c>
      <c r="BJ504" s="5" t="n">
        <v>0.129</v>
      </c>
      <c r="BK504" s="5" t="n">
        <v>0.277</v>
      </c>
      <c r="BL504" s="5" t="n">
        <v>1.081</v>
      </c>
      <c r="BM504" s="5" t="n">
        <v>0.18</v>
      </c>
      <c r="BN504" s="5" t="n">
        <v>1</v>
      </c>
      <c r="BO504" s="5" t="n">
        <v>0</v>
      </c>
      <c r="BP504" s="5" t="n">
        <v>0.002</v>
      </c>
      <c r="BQ504" s="5" t="n">
        <v>0.116</v>
      </c>
      <c r="BR504" s="5" t="n">
        <v>0</v>
      </c>
      <c r="BS504" s="5" t="n">
        <v>1</v>
      </c>
      <c r="BT504" s="5" t="n">
        <v>0</v>
      </c>
      <c r="BU504" s="5" t="n">
        <v>0.002</v>
      </c>
      <c r="BV504" s="5" t="n">
        <v>0.137</v>
      </c>
      <c r="BW504" s="5" t="n">
        <v>0.18</v>
      </c>
      <c r="BX504" s="5" t="n">
        <v>0.667</v>
      </c>
      <c r="BY504" s="5" t="n">
        <v>13.254</v>
      </c>
      <c r="BZ504" s="5" t="n">
        <v>0</v>
      </c>
      <c r="CA504" s="5" t="n">
        <v>13.254</v>
      </c>
      <c r="CB504" s="5" t="n">
        <v>0</v>
      </c>
      <c r="CC504" s="5" t="n">
        <v>87.07899999999999</v>
      </c>
      <c r="CD504" s="5" t="n">
        <v>7.95</v>
      </c>
      <c r="CE504" s="5" t="n">
        <v>98.506</v>
      </c>
      <c r="CF504" s="5" t="n">
        <v>218.991</v>
      </c>
      <c r="CG504" s="5" t="n">
        <v>0.18</v>
      </c>
      <c r="CH504" s="5" t="n">
        <v>1</v>
      </c>
      <c r="CI504" s="5" t="n">
        <v>0</v>
      </c>
      <c r="CJ504" s="5" t="n">
        <v>0</v>
      </c>
      <c r="CK504" s="5" t="n">
        <v>0</v>
      </c>
      <c r="CL504" s="5" t="n">
        <v>0</v>
      </c>
      <c r="CM504" s="5" t="n">
        <v>0</v>
      </c>
      <c r="CN504" s="5" t="n">
        <v>0</v>
      </c>
      <c r="CO504" s="5" t="n">
        <v>0</v>
      </c>
      <c r="CP504" s="5" t="n">
        <v>0</v>
      </c>
      <c r="CQ504" s="5" t="n">
        <v>1.348</v>
      </c>
      <c r="CR504" s="5" t="n">
        <v>0</v>
      </c>
      <c r="CS504" s="5" t="n">
        <v>5.37</v>
      </c>
      <c r="CT504" s="5" t="n">
        <v>4.861</v>
      </c>
      <c r="CU504" s="5" t="n">
        <v>10.622</v>
      </c>
    </row>
    <row r="505">
      <c r="A505" s="5" t="inlineStr">
        <is>
          <t>MLT2024</t>
        </is>
      </c>
      <c r="B505" s="5" t="inlineStr">
        <is>
          <t>MLT</t>
        </is>
      </c>
      <c r="C505" s="5" t="inlineStr">
        <is>
          <t>MLT</t>
        </is>
      </c>
      <c r="D505" s="5" t="inlineStr">
        <is>
          <t>Malta</t>
        </is>
      </c>
      <c r="E505" s="5" t="n">
        <v>2024</v>
      </c>
      <c r="F505" s="5" t="n">
        <v>0.18</v>
      </c>
      <c r="G505" s="5" t="n">
        <v>5.575</v>
      </c>
      <c r="H505" s="5" t="n">
        <v>1.324</v>
      </c>
      <c r="I505" s="5" t="n">
        <v>6.197</v>
      </c>
      <c r="J505" s="5" t="n">
        <v>11.772</v>
      </c>
      <c r="K505" s="5" t="n">
        <v>0</v>
      </c>
      <c r="L505" s="5" t="n">
        <v>1</v>
      </c>
      <c r="M505" s="5" t="n">
        <v>7.124</v>
      </c>
      <c r="N505" s="5" t="n">
        <v>3.971</v>
      </c>
      <c r="O505" s="5" t="n">
        <v>6.315</v>
      </c>
      <c r="P505" s="5" t="n">
        <v>13.439</v>
      </c>
      <c r="Q505" s="5" t="n">
        <v>0</v>
      </c>
      <c r="R505" s="5" t="n">
        <v>1</v>
      </c>
      <c r="S505" s="5" t="n">
        <v>12.193</v>
      </c>
      <c r="T505" s="5" t="n">
        <v>7.942</v>
      </c>
      <c r="U505" s="5" t="n">
        <v>0.299</v>
      </c>
      <c r="V505" s="5" t="n">
        <v>14.388</v>
      </c>
      <c r="W505" s="5" t="n">
        <v>0.18</v>
      </c>
      <c r="X505" s="5" t="n">
        <v>1</v>
      </c>
      <c r="Y505" s="5" t="n">
        <v>10.492</v>
      </c>
      <c r="Z505" s="5" t="n">
        <v>1.283</v>
      </c>
      <c r="AA505" s="5" t="n">
        <v>3.667</v>
      </c>
      <c r="AB505" s="5" t="n">
        <v>14.159</v>
      </c>
      <c r="AC505" s="5" t="n">
        <v>0</v>
      </c>
      <c r="AD505" s="5" t="n">
        <v>1</v>
      </c>
      <c r="AE505" s="5" t="n">
        <v>11.815</v>
      </c>
      <c r="AF505" s="5" t="n">
        <v>2.567</v>
      </c>
      <c r="AG505" s="5" t="n">
        <v>3.667</v>
      </c>
      <c r="AH505" s="5" t="n">
        <v>15.483</v>
      </c>
      <c r="AI505" s="5" t="n">
        <v>0</v>
      </c>
      <c r="AJ505" s="5" t="n">
        <v>1</v>
      </c>
      <c r="AK505" s="5" t="n">
        <v>19.757</v>
      </c>
      <c r="AL505" s="5" t="n">
        <v>10.266</v>
      </c>
      <c r="AM505" s="5" t="n">
        <v>0.484</v>
      </c>
      <c r="AN505" s="5" t="n">
        <v>23.313</v>
      </c>
      <c r="AO505" s="5" t="n">
        <v>0.18</v>
      </c>
      <c r="AP505" s="5" t="n">
        <v>1</v>
      </c>
      <c r="AQ505" s="5" t="n">
        <v>0.72</v>
      </c>
      <c r="AR505" s="5" t="n">
        <v>0.132</v>
      </c>
      <c r="AS505" s="5" t="n">
        <v>0.509</v>
      </c>
      <c r="AT505" s="5" t="n">
        <v>1.45</v>
      </c>
      <c r="AU505" s="5" t="n">
        <v>0.18</v>
      </c>
      <c r="AV505" s="5" t="n">
        <v>1</v>
      </c>
      <c r="AW505" s="5" t="n">
        <v>0.734</v>
      </c>
      <c r="AX505" s="5" t="n">
        <v>0.132</v>
      </c>
      <c r="AY505" s="5" t="n">
        <v>0.376</v>
      </c>
      <c r="AZ505" s="5" t="n">
        <v>1.31</v>
      </c>
      <c r="BA505" s="5" t="n">
        <v>0.18</v>
      </c>
      <c r="BB505" s="5" t="n">
        <v>1</v>
      </c>
      <c r="BC505" s="5" t="n">
        <v>0.51</v>
      </c>
      <c r="BD505" s="5" t="n">
        <v>0.132</v>
      </c>
      <c r="BE505" s="5" t="n">
        <v>0.043</v>
      </c>
      <c r="BF505" s="5" t="n">
        <v>0.638</v>
      </c>
      <c r="BG505" s="5" t="n">
        <v>0.18</v>
      </c>
      <c r="BH505" s="5" t="n">
        <v>1</v>
      </c>
      <c r="BI505" s="5" t="n">
        <v>0.652</v>
      </c>
      <c r="BJ505" s="5" t="n">
        <v>0.132</v>
      </c>
      <c r="BK505" s="5" t="n">
        <v>0.312</v>
      </c>
      <c r="BL505" s="5" t="n">
        <v>1.11</v>
      </c>
      <c r="BM505" s="5" t="n">
        <v>0.18</v>
      </c>
      <c r="BN505" s="5" t="n">
        <v>1</v>
      </c>
      <c r="BO505" s="5" t="n">
        <v>0</v>
      </c>
      <c r="BP505" s="5" t="n">
        <v>0.002</v>
      </c>
      <c r="BQ505" s="5" t="n">
        <v>0.112</v>
      </c>
      <c r="BR505" s="5" t="n">
        <v>0</v>
      </c>
      <c r="BS505" s="5" t="n">
        <v>1</v>
      </c>
      <c r="BT505" s="5" t="n">
        <v>0</v>
      </c>
      <c r="BU505" s="5" t="n">
        <v>0.002</v>
      </c>
      <c r="BV505" s="5" t="n">
        <v>0.139</v>
      </c>
      <c r="BW505" s="5" t="n">
        <v>0.18</v>
      </c>
      <c r="BX505" s="5" t="n">
        <v>0.667</v>
      </c>
      <c r="BY505" s="5" t="n">
        <v>13.646</v>
      </c>
      <c r="BZ505" s="5" t="n">
        <v>0</v>
      </c>
      <c r="CA505" s="5" t="n">
        <v>13.646</v>
      </c>
      <c r="CB505" s="5" t="n">
        <v>0</v>
      </c>
      <c r="CC505" s="5" t="n">
        <v>86.38500000000001</v>
      </c>
      <c r="CD505" s="5" t="n">
        <v>7.95</v>
      </c>
      <c r="CE505" s="5" t="n">
        <v>85.602</v>
      </c>
      <c r="CF505" s="5" t="n">
        <v>202.946</v>
      </c>
      <c r="CG505" s="5" t="n">
        <v>0.18</v>
      </c>
      <c r="CH505" s="5" t="n">
        <v>1</v>
      </c>
      <c r="CI505" s="5" t="n">
        <v>0</v>
      </c>
      <c r="CJ505" s="5" t="n">
        <v>0</v>
      </c>
      <c r="CK505" s="5" t="n">
        <v>0</v>
      </c>
      <c r="CL505" s="5" t="n">
        <v>0</v>
      </c>
      <c r="CM505" s="5" t="n">
        <v>0</v>
      </c>
      <c r="CN505" s="5" t="n">
        <v>0</v>
      </c>
      <c r="CO505" s="5" t="n">
        <v>0</v>
      </c>
      <c r="CP505" s="5" t="n">
        <v>0</v>
      </c>
      <c r="CQ505" s="5" t="n">
        <v>1.387</v>
      </c>
      <c r="CR505" s="5" t="n">
        <v>0</v>
      </c>
      <c r="CS505" s="5" t="n">
        <v>5.529</v>
      </c>
      <c r="CT505" s="5" t="n">
        <v>4.251</v>
      </c>
      <c r="CU505" s="5" t="n">
        <v>9.167999999999999</v>
      </c>
    </row>
    <row r="506">
      <c r="A506" s="5" t="inlineStr">
        <is>
          <t>MHL2021</t>
        </is>
      </c>
      <c r="B506" s="5" t="inlineStr">
        <is>
          <t>MHL</t>
        </is>
      </c>
      <c r="C506" s="5" t="inlineStr">
        <is>
          <t>MHL</t>
        </is>
      </c>
      <c r="D506" s="5" t="inlineStr">
        <is>
          <t>Marshall Islands</t>
        </is>
      </c>
      <c r="E506" s="5" t="n">
        <v>2021</v>
      </c>
      <c r="F506" s="5" t="n">
        <v>0</v>
      </c>
      <c r="G506" s="5" t="n">
        <v>4.747</v>
      </c>
      <c r="H506" s="5" t="n">
        <v>1.143</v>
      </c>
      <c r="I506" s="5" t="n">
        <v>0</v>
      </c>
      <c r="J506" s="5" t="n">
        <v>4.747</v>
      </c>
      <c r="K506" s="5" t="n">
        <v>0</v>
      </c>
      <c r="L506" s="5" t="n">
        <v>1</v>
      </c>
      <c r="M506" s="5" t="n">
        <v>7.964</v>
      </c>
      <c r="N506" s="5" t="n">
        <v>3.43</v>
      </c>
      <c r="O506" s="5" t="n">
        <v>0</v>
      </c>
      <c r="P506" s="5" t="n">
        <v>7.964</v>
      </c>
      <c r="Q506" s="5" t="n">
        <v>0</v>
      </c>
      <c r="R506" s="5" t="n">
        <v>1</v>
      </c>
      <c r="S506" s="5" t="n">
        <v>10.464</v>
      </c>
      <c r="T506" s="5" t="n">
        <v>6.86</v>
      </c>
      <c r="U506" s="5" t="n">
        <v>0</v>
      </c>
      <c r="V506" s="5" t="n">
        <v>10.464</v>
      </c>
      <c r="W506" s="5" t="n">
        <v>0</v>
      </c>
      <c r="X506" s="5" t="n">
        <v>1</v>
      </c>
      <c r="Y506" s="5" t="n">
        <v>10.551</v>
      </c>
      <c r="Z506" s="5" t="n">
        <v>1.302</v>
      </c>
      <c r="AA506" s="5" t="n">
        <v>0</v>
      </c>
      <c r="AB506" s="5" t="n">
        <v>10.551</v>
      </c>
      <c r="AC506" s="5" t="n">
        <v>0</v>
      </c>
      <c r="AD506" s="5" t="n">
        <v>1</v>
      </c>
      <c r="AE506" s="5" t="n">
        <v>11.694</v>
      </c>
      <c r="AF506" s="5" t="n">
        <v>2.549</v>
      </c>
      <c r="AG506" s="5" t="n">
        <v>0</v>
      </c>
      <c r="AH506" s="5" t="n">
        <v>11.694</v>
      </c>
      <c r="AI506" s="5" t="n">
        <v>0</v>
      </c>
      <c r="AJ506" s="5" t="n">
        <v>1</v>
      </c>
      <c r="AK506" s="5" t="n">
        <v>18.554</v>
      </c>
      <c r="AL506" s="5" t="n">
        <v>9.627000000000001</v>
      </c>
      <c r="AM506" s="5" t="n">
        <v>0</v>
      </c>
      <c r="AN506" s="5" t="n">
        <v>18.554</v>
      </c>
      <c r="AO506" s="5" t="n">
        <v>0</v>
      </c>
      <c r="AP506" s="5" t="n">
        <v>1</v>
      </c>
      <c r="AQ506" s="5" t="n">
        <v>0.621</v>
      </c>
      <c r="AR506" s="5" t="n">
        <v>0.114</v>
      </c>
      <c r="AS506" s="5" t="n">
        <v>0</v>
      </c>
      <c r="AT506" s="5" t="n">
        <v>0.621</v>
      </c>
      <c r="AU506" s="5" t="n">
        <v>0</v>
      </c>
      <c r="AV506" s="5" t="n">
        <v>1</v>
      </c>
      <c r="AW506" s="5" t="n">
        <v>0.593</v>
      </c>
      <c r="AX506" s="5" t="n">
        <v>0.114</v>
      </c>
      <c r="AY506" s="5" t="n">
        <v>0</v>
      </c>
      <c r="AZ506" s="5" t="n">
        <v>0.593</v>
      </c>
      <c r="BA506" s="5" t="n">
        <v>0</v>
      </c>
      <c r="BB506" s="5" t="n">
        <v>1</v>
      </c>
      <c r="BC506" s="5" t="n">
        <v>0.44</v>
      </c>
      <c r="BD506" s="5" t="n">
        <v>0.114</v>
      </c>
      <c r="BE506" s="5" t="n">
        <v>0</v>
      </c>
      <c r="BF506" s="5" t="n">
        <v>0.44</v>
      </c>
      <c r="BG506" s="5" t="n">
        <v>0</v>
      </c>
      <c r="BH506" s="5" t="n">
        <v>1</v>
      </c>
      <c r="BI506" s="5" t="n">
        <v>0.5600000000000001</v>
      </c>
      <c r="BJ506" s="5" t="n">
        <v>0.114</v>
      </c>
      <c r="BK506" s="5" t="n">
        <v>0</v>
      </c>
      <c r="BL506" s="5" t="n">
        <v>0.5600000000000001</v>
      </c>
      <c r="BM506" s="5" t="n">
        <v>0</v>
      </c>
      <c r="BN506" s="5" t="n">
        <v>1</v>
      </c>
      <c r="BO506" s="5" t="n">
        <v>0</v>
      </c>
      <c r="BP506" s="5" t="n">
        <v>0</v>
      </c>
      <c r="BQ506" s="5" t="n">
        <v>0</v>
      </c>
      <c r="BR506" s="5" t="n">
        <v>0</v>
      </c>
      <c r="BS506" s="5" t="n">
        <v>1</v>
      </c>
      <c r="BT506" s="5" t="n">
        <v>0</v>
      </c>
      <c r="BU506" s="5" t="n">
        <v>0</v>
      </c>
      <c r="BV506" s="5" t="n">
        <v>0</v>
      </c>
      <c r="BW506" s="5" t="n">
        <v>0</v>
      </c>
      <c r="BX506" s="5" t="n">
        <v>1</v>
      </c>
      <c r="BY506" s="5" t="n">
        <v>11.787</v>
      </c>
      <c r="BZ506" s="5" t="n">
        <v>0</v>
      </c>
      <c r="CA506" s="5" t="n">
        <v>11.787</v>
      </c>
      <c r="CB506" s="5" t="n">
        <v>0</v>
      </c>
      <c r="CC506" s="5" t="n">
        <v>81.69499999999999</v>
      </c>
      <c r="CD506" s="5" t="n">
        <v>7.95</v>
      </c>
      <c r="CE506" s="5" t="n">
        <v>0</v>
      </c>
      <c r="CF506" s="5" t="n">
        <v>81.69499999999999</v>
      </c>
      <c r="CG506" s="5" t="n">
        <v>0</v>
      </c>
      <c r="CH506" s="5" t="n">
        <v>1</v>
      </c>
      <c r="CI506" s="5" t="n">
        <v>0</v>
      </c>
      <c r="CJ506" s="5" t="n">
        <v>0</v>
      </c>
      <c r="CK506" s="5" t="n">
        <v>0</v>
      </c>
      <c r="CL506" s="5" t="n">
        <v>0</v>
      </c>
      <c r="CM506" s="5" t="n">
        <v>0</v>
      </c>
      <c r="CN506" s="5" t="n">
        <v>0</v>
      </c>
      <c r="CO506" s="5" t="n">
        <v>0</v>
      </c>
      <c r="CP506" s="5" t="n">
        <v>0</v>
      </c>
      <c r="CQ506" s="5" t="n">
        <v>1.198</v>
      </c>
      <c r="CR506" s="5" t="n">
        <v>0</v>
      </c>
      <c r="CS506" s="5" t="n">
        <v>4.776</v>
      </c>
      <c r="CT506" s="5" t="n">
        <v>3.604</v>
      </c>
      <c r="CU506" s="5" t="n">
        <v>9.407999999999999</v>
      </c>
    </row>
    <row r="507">
      <c r="A507" s="5" t="inlineStr">
        <is>
          <t>MHL2022</t>
        </is>
      </c>
      <c r="B507" s="5" t="inlineStr">
        <is>
          <t>MHL</t>
        </is>
      </c>
      <c r="C507" s="5" t="inlineStr">
        <is>
          <t>MHL</t>
        </is>
      </c>
      <c r="D507" s="5" t="inlineStr">
        <is>
          <t>Marshall Islands</t>
        </is>
      </c>
      <c r="E507" s="5" t="n">
        <v>2022</v>
      </c>
      <c r="F507" s="5" t="n">
        <v>0</v>
      </c>
      <c r="G507" s="5" t="n">
        <v>8.788</v>
      </c>
      <c r="H507" s="5" t="n">
        <v>1.235</v>
      </c>
      <c r="I507" s="5" t="n">
        <v>0</v>
      </c>
      <c r="J507" s="5" t="n">
        <v>8.788</v>
      </c>
      <c r="K507" s="5" t="n">
        <v>0</v>
      </c>
      <c r="L507" s="5" t="n">
        <v>1</v>
      </c>
      <c r="M507" s="5" t="n">
        <v>9.782999999999999</v>
      </c>
      <c r="N507" s="5" t="n">
        <v>3.704</v>
      </c>
      <c r="O507" s="5" t="n">
        <v>0</v>
      </c>
      <c r="P507" s="5" t="n">
        <v>9.782999999999999</v>
      </c>
      <c r="Q507" s="5" t="n">
        <v>0</v>
      </c>
      <c r="R507" s="5" t="n">
        <v>1</v>
      </c>
      <c r="S507" s="5" t="n">
        <v>14.962</v>
      </c>
      <c r="T507" s="5" t="n">
        <v>7.408</v>
      </c>
      <c r="U507" s="5" t="n">
        <v>0</v>
      </c>
      <c r="V507" s="5" t="n">
        <v>14.962</v>
      </c>
      <c r="W507" s="5" t="n">
        <v>0</v>
      </c>
      <c r="X507" s="5" t="n">
        <v>1</v>
      </c>
      <c r="Y507" s="5" t="n">
        <v>17.332</v>
      </c>
      <c r="Z507" s="5" t="n">
        <v>2.139</v>
      </c>
      <c r="AA507" s="5" t="n">
        <v>0</v>
      </c>
      <c r="AB507" s="5" t="n">
        <v>17.332</v>
      </c>
      <c r="AC507" s="5" t="n">
        <v>0</v>
      </c>
      <c r="AD507" s="5" t="n">
        <v>1</v>
      </c>
      <c r="AE507" s="5" t="n">
        <v>18.566</v>
      </c>
      <c r="AF507" s="5" t="n">
        <v>4.048</v>
      </c>
      <c r="AG507" s="5" t="n">
        <v>0</v>
      </c>
      <c r="AH507" s="5" t="n">
        <v>18.566</v>
      </c>
      <c r="AI507" s="5" t="n">
        <v>0</v>
      </c>
      <c r="AJ507" s="5" t="n">
        <v>1</v>
      </c>
      <c r="AK507" s="5" t="n">
        <v>25.974</v>
      </c>
      <c r="AL507" s="5" t="n">
        <v>13.478</v>
      </c>
      <c r="AM507" s="5" t="n">
        <v>0</v>
      </c>
      <c r="AN507" s="5" t="n">
        <v>25.974</v>
      </c>
      <c r="AO507" s="5" t="n">
        <v>0</v>
      </c>
      <c r="AP507" s="5" t="n">
        <v>1</v>
      </c>
      <c r="AQ507" s="5" t="n">
        <v>0.847</v>
      </c>
      <c r="AR507" s="5" t="n">
        <v>0.123</v>
      </c>
      <c r="AS507" s="5" t="n">
        <v>0</v>
      </c>
      <c r="AT507" s="5" t="n">
        <v>0.847</v>
      </c>
      <c r="AU507" s="5" t="n">
        <v>0</v>
      </c>
      <c r="AV507" s="5" t="n">
        <v>1</v>
      </c>
      <c r="AW507" s="5" t="n">
        <v>0.947</v>
      </c>
      <c r="AX507" s="5" t="n">
        <v>0.123</v>
      </c>
      <c r="AY507" s="5" t="n">
        <v>0</v>
      </c>
      <c r="AZ507" s="5" t="n">
        <v>0.947</v>
      </c>
      <c r="BA507" s="5" t="n">
        <v>0</v>
      </c>
      <c r="BB507" s="5" t="n">
        <v>1</v>
      </c>
      <c r="BC507" s="5" t="n">
        <v>0.589</v>
      </c>
      <c r="BD507" s="5" t="n">
        <v>0.123</v>
      </c>
      <c r="BE507" s="5" t="n">
        <v>0</v>
      </c>
      <c r="BF507" s="5" t="n">
        <v>0.589</v>
      </c>
      <c r="BG507" s="5" t="n">
        <v>0</v>
      </c>
      <c r="BH507" s="5" t="n">
        <v>1</v>
      </c>
      <c r="BI507" s="5" t="n">
        <v>0.6889999999999999</v>
      </c>
      <c r="BJ507" s="5" t="n">
        <v>0.123</v>
      </c>
      <c r="BK507" s="5" t="n">
        <v>0</v>
      </c>
      <c r="BL507" s="5" t="n">
        <v>0.6889999999999999</v>
      </c>
      <c r="BM507" s="5" t="n">
        <v>0</v>
      </c>
      <c r="BN507" s="5" t="n">
        <v>1</v>
      </c>
      <c r="BO507" s="5" t="n">
        <v>0</v>
      </c>
      <c r="BP507" s="5" t="n">
        <v>0</v>
      </c>
      <c r="BQ507" s="5" t="n">
        <v>0</v>
      </c>
      <c r="BR507" s="5" t="n">
        <v>0</v>
      </c>
      <c r="BS507" s="5" t="n">
        <v>1</v>
      </c>
      <c r="BT507" s="5" t="n">
        <v>0</v>
      </c>
      <c r="BU507" s="5" t="n">
        <v>0</v>
      </c>
      <c r="BV507" s="5" t="n">
        <v>0</v>
      </c>
      <c r="BW507" s="5" t="n">
        <v>0</v>
      </c>
      <c r="BX507" s="5" t="n">
        <v>1</v>
      </c>
      <c r="BY507" s="5" t="n">
        <v>12.729</v>
      </c>
      <c r="BZ507" s="5" t="n">
        <v>0</v>
      </c>
      <c r="CA507" s="5" t="n">
        <v>12.729</v>
      </c>
      <c r="CB507" s="5" t="n">
        <v>0</v>
      </c>
      <c r="CC507" s="5" t="n">
        <v>102.477</v>
      </c>
      <c r="CD507" s="5" t="n">
        <v>7.95</v>
      </c>
      <c r="CE507" s="5" t="n">
        <v>0</v>
      </c>
      <c r="CF507" s="5" t="n">
        <v>102.477</v>
      </c>
      <c r="CG507" s="5" t="n">
        <v>0</v>
      </c>
      <c r="CH507" s="5" t="n">
        <v>1</v>
      </c>
      <c r="CI507" s="5" t="n">
        <v>0</v>
      </c>
      <c r="CJ507" s="5" t="n">
        <v>0</v>
      </c>
      <c r="CK507" s="5" t="n">
        <v>0</v>
      </c>
      <c r="CL507" s="5" t="n">
        <v>0</v>
      </c>
      <c r="CM507" s="5" t="n">
        <v>0</v>
      </c>
      <c r="CN507" s="5" t="n">
        <v>0</v>
      </c>
      <c r="CO507" s="5" t="n">
        <v>0</v>
      </c>
      <c r="CP507" s="5" t="n">
        <v>0</v>
      </c>
      <c r="CQ507" s="5" t="n">
        <v>1.294</v>
      </c>
      <c r="CR507" s="5" t="n">
        <v>0</v>
      </c>
      <c r="CS507" s="5" t="n">
        <v>5.158</v>
      </c>
      <c r="CT507" s="5" t="n">
        <v>7.554</v>
      </c>
      <c r="CU507" s="5" t="n">
        <v>16.097</v>
      </c>
    </row>
    <row r="508">
      <c r="A508" s="5" t="inlineStr">
        <is>
          <t>MHL2023</t>
        </is>
      </c>
      <c r="B508" s="5" t="inlineStr">
        <is>
          <t>MHL</t>
        </is>
      </c>
      <c r="C508" s="5" t="inlineStr">
        <is>
          <t>MHL</t>
        </is>
      </c>
      <c r="D508" s="5" t="inlineStr">
        <is>
          <t>Marshall Islands</t>
        </is>
      </c>
      <c r="E508" s="5" t="n">
        <v>2023</v>
      </c>
      <c r="F508" s="5" t="n">
        <v>0</v>
      </c>
      <c r="G508" s="5" t="n">
        <v>5.77</v>
      </c>
      <c r="H508" s="5" t="n">
        <v>1.286</v>
      </c>
      <c r="I508" s="5" t="n">
        <v>0</v>
      </c>
      <c r="J508" s="5" t="n">
        <v>5.77</v>
      </c>
      <c r="K508" s="5" t="n">
        <v>0</v>
      </c>
      <c r="L508" s="5" t="n">
        <v>1</v>
      </c>
      <c r="M508" s="5" t="n">
        <v>7.886</v>
      </c>
      <c r="N508" s="5" t="n">
        <v>3.857</v>
      </c>
      <c r="O508" s="5" t="n">
        <v>0</v>
      </c>
      <c r="P508" s="5" t="n">
        <v>7.886</v>
      </c>
      <c r="Q508" s="5" t="n">
        <v>0</v>
      </c>
      <c r="R508" s="5" t="n">
        <v>1</v>
      </c>
      <c r="S508" s="5" t="n">
        <v>12.198</v>
      </c>
      <c r="T508" s="5" t="n">
        <v>7.714</v>
      </c>
      <c r="U508" s="5" t="n">
        <v>0</v>
      </c>
      <c r="V508" s="5" t="n">
        <v>12.198</v>
      </c>
      <c r="W508" s="5" t="n">
        <v>0</v>
      </c>
      <c r="X508" s="5" t="n">
        <v>1</v>
      </c>
      <c r="Y508" s="5" t="n">
        <v>13.814</v>
      </c>
      <c r="Z508" s="5" t="n">
        <v>1.705</v>
      </c>
      <c r="AA508" s="5" t="n">
        <v>0</v>
      </c>
      <c r="AB508" s="5" t="n">
        <v>13.814</v>
      </c>
      <c r="AC508" s="5" t="n">
        <v>0</v>
      </c>
      <c r="AD508" s="5" t="n">
        <v>1</v>
      </c>
      <c r="AE508" s="5" t="n">
        <v>15.1</v>
      </c>
      <c r="AF508" s="5" t="n">
        <v>3.292</v>
      </c>
      <c r="AG508" s="5" t="n">
        <v>0</v>
      </c>
      <c r="AH508" s="5" t="n">
        <v>15.1</v>
      </c>
      <c r="AI508" s="5" t="n">
        <v>0</v>
      </c>
      <c r="AJ508" s="5" t="n">
        <v>1</v>
      </c>
      <c r="AK508" s="5" t="n">
        <v>22.814</v>
      </c>
      <c r="AL508" s="5" t="n">
        <v>11.838</v>
      </c>
      <c r="AM508" s="5" t="n">
        <v>0</v>
      </c>
      <c r="AN508" s="5" t="n">
        <v>22.814</v>
      </c>
      <c r="AO508" s="5" t="n">
        <v>0</v>
      </c>
      <c r="AP508" s="5" t="n">
        <v>1</v>
      </c>
      <c r="AQ508" s="5" t="n">
        <v>0.749</v>
      </c>
      <c r="AR508" s="5" t="n">
        <v>0.129</v>
      </c>
      <c r="AS508" s="5" t="n">
        <v>0</v>
      </c>
      <c r="AT508" s="5" t="n">
        <v>0.749</v>
      </c>
      <c r="AU508" s="5" t="n">
        <v>0</v>
      </c>
      <c r="AV508" s="5" t="n">
        <v>1</v>
      </c>
      <c r="AW508" s="5" t="n">
        <v>0.783</v>
      </c>
      <c r="AX508" s="5" t="n">
        <v>0.129</v>
      </c>
      <c r="AY508" s="5" t="n">
        <v>0</v>
      </c>
      <c r="AZ508" s="5" t="n">
        <v>0.783</v>
      </c>
      <c r="BA508" s="5" t="n">
        <v>0</v>
      </c>
      <c r="BB508" s="5" t="n">
        <v>1</v>
      </c>
      <c r="BC508" s="5" t="n">
        <v>0.527</v>
      </c>
      <c r="BD508" s="5" t="n">
        <v>0.129</v>
      </c>
      <c r="BE508" s="5" t="n">
        <v>0</v>
      </c>
      <c r="BF508" s="5" t="n">
        <v>0.527</v>
      </c>
      <c r="BG508" s="5" t="n">
        <v>0</v>
      </c>
      <c r="BH508" s="5" t="n">
        <v>1</v>
      </c>
      <c r="BI508" s="5" t="n">
        <v>0.64</v>
      </c>
      <c r="BJ508" s="5" t="n">
        <v>0.129</v>
      </c>
      <c r="BK508" s="5" t="n">
        <v>0</v>
      </c>
      <c r="BL508" s="5" t="n">
        <v>0.64</v>
      </c>
      <c r="BM508" s="5" t="n">
        <v>0</v>
      </c>
      <c r="BN508" s="5" t="n">
        <v>1</v>
      </c>
      <c r="BO508" s="5" t="n">
        <v>0</v>
      </c>
      <c r="BP508" s="5" t="n">
        <v>0</v>
      </c>
      <c r="BQ508" s="5" t="n">
        <v>0</v>
      </c>
      <c r="BR508" s="5" t="n">
        <v>0</v>
      </c>
      <c r="BS508" s="5" t="n">
        <v>1</v>
      </c>
      <c r="BT508" s="5" t="n">
        <v>0</v>
      </c>
      <c r="BU508" s="5" t="n">
        <v>0</v>
      </c>
      <c r="BV508" s="5" t="n">
        <v>0</v>
      </c>
      <c r="BW508" s="5" t="n">
        <v>0</v>
      </c>
      <c r="BX508" s="5" t="n">
        <v>1</v>
      </c>
      <c r="BY508" s="5" t="n">
        <v>13.254</v>
      </c>
      <c r="BZ508" s="5" t="n">
        <v>0</v>
      </c>
      <c r="CA508" s="5" t="n">
        <v>13.254</v>
      </c>
      <c r="CB508" s="5" t="n">
        <v>0</v>
      </c>
      <c r="CC508" s="5" t="n">
        <v>87.07899999999999</v>
      </c>
      <c r="CD508" s="5" t="n">
        <v>7.95</v>
      </c>
      <c r="CE508" s="5" t="n">
        <v>0</v>
      </c>
      <c r="CF508" s="5" t="n">
        <v>87.07899999999999</v>
      </c>
      <c r="CG508" s="5" t="n">
        <v>0</v>
      </c>
      <c r="CH508" s="5" t="n">
        <v>1</v>
      </c>
      <c r="CI508" s="5" t="n">
        <v>0</v>
      </c>
      <c r="CJ508" s="5" t="n">
        <v>0</v>
      </c>
      <c r="CK508" s="5" t="n">
        <v>0</v>
      </c>
      <c r="CL508" s="5" t="n">
        <v>0</v>
      </c>
      <c r="CM508" s="5" t="n">
        <v>0</v>
      </c>
      <c r="CN508" s="5" t="n">
        <v>0</v>
      </c>
      <c r="CO508" s="5" t="n">
        <v>0</v>
      </c>
      <c r="CP508" s="5" t="n">
        <v>0</v>
      </c>
      <c r="CQ508" s="5" t="n">
        <v>1.348</v>
      </c>
      <c r="CR508" s="5" t="n">
        <v>0</v>
      </c>
      <c r="CS508" s="5" t="n">
        <v>5.37</v>
      </c>
      <c r="CT508" s="5" t="n">
        <v>4.484</v>
      </c>
      <c r="CU508" s="5" t="n">
        <v>12.529</v>
      </c>
    </row>
    <row r="509">
      <c r="A509" s="5" t="inlineStr">
        <is>
          <t>MHL2024</t>
        </is>
      </c>
      <c r="B509" s="5" t="inlineStr">
        <is>
          <t>MHL</t>
        </is>
      </c>
      <c r="C509" s="5" t="inlineStr">
        <is>
          <t>MHL</t>
        </is>
      </c>
      <c r="D509" s="5" t="inlineStr">
        <is>
          <t>Marshall Islands</t>
        </is>
      </c>
      <c r="E509" s="5" t="n">
        <v>2024</v>
      </c>
      <c r="F509" s="5" t="n">
        <v>0</v>
      </c>
      <c r="G509" s="5" t="n">
        <v>4.833</v>
      </c>
      <c r="H509" s="5" t="n">
        <v>1.324</v>
      </c>
      <c r="I509" s="5" t="n">
        <v>0</v>
      </c>
      <c r="J509" s="5" t="n">
        <v>4.833</v>
      </c>
      <c r="K509" s="5" t="n">
        <v>0</v>
      </c>
      <c r="L509" s="5" t="n">
        <v>1</v>
      </c>
      <c r="M509" s="5" t="n">
        <v>7.124</v>
      </c>
      <c r="N509" s="5" t="n">
        <v>3.971</v>
      </c>
      <c r="O509" s="5" t="n">
        <v>0</v>
      </c>
      <c r="P509" s="5" t="n">
        <v>7.124</v>
      </c>
      <c r="Q509" s="5" t="n">
        <v>0</v>
      </c>
      <c r="R509" s="5" t="n">
        <v>1</v>
      </c>
      <c r="S509" s="5" t="n">
        <v>11.451</v>
      </c>
      <c r="T509" s="5" t="n">
        <v>7.942</v>
      </c>
      <c r="U509" s="5" t="n">
        <v>0</v>
      </c>
      <c r="V509" s="5" t="n">
        <v>11.451</v>
      </c>
      <c r="W509" s="5" t="n">
        <v>0</v>
      </c>
      <c r="X509" s="5" t="n">
        <v>1</v>
      </c>
      <c r="Y509" s="5" t="n">
        <v>12.219</v>
      </c>
      <c r="Z509" s="5" t="n">
        <v>1.508</v>
      </c>
      <c r="AA509" s="5" t="n">
        <v>0</v>
      </c>
      <c r="AB509" s="5" t="n">
        <v>12.219</v>
      </c>
      <c r="AC509" s="5" t="n">
        <v>0</v>
      </c>
      <c r="AD509" s="5" t="n">
        <v>1</v>
      </c>
      <c r="AE509" s="5" t="n">
        <v>13.543</v>
      </c>
      <c r="AF509" s="5" t="n">
        <v>2.952</v>
      </c>
      <c r="AG509" s="5" t="n">
        <v>0</v>
      </c>
      <c r="AH509" s="5" t="n">
        <v>13.543</v>
      </c>
      <c r="AI509" s="5" t="n">
        <v>0</v>
      </c>
      <c r="AJ509" s="5" t="n">
        <v>1</v>
      </c>
      <c r="AK509" s="5" t="n">
        <v>21.484</v>
      </c>
      <c r="AL509" s="5" t="n">
        <v>11.148</v>
      </c>
      <c r="AM509" s="5" t="n">
        <v>0</v>
      </c>
      <c r="AN509" s="5" t="n">
        <v>21.484</v>
      </c>
      <c r="AO509" s="5" t="n">
        <v>0</v>
      </c>
      <c r="AP509" s="5" t="n">
        <v>1</v>
      </c>
      <c r="AQ509" s="5" t="n">
        <v>0.72</v>
      </c>
      <c r="AR509" s="5" t="n">
        <v>0.132</v>
      </c>
      <c r="AS509" s="5" t="n">
        <v>0</v>
      </c>
      <c r="AT509" s="5" t="n">
        <v>0.72</v>
      </c>
      <c r="AU509" s="5" t="n">
        <v>0</v>
      </c>
      <c r="AV509" s="5" t="n">
        <v>1</v>
      </c>
      <c r="AW509" s="5" t="n">
        <v>0.734</v>
      </c>
      <c r="AX509" s="5" t="n">
        <v>0.132</v>
      </c>
      <c r="AY509" s="5" t="n">
        <v>0</v>
      </c>
      <c r="AZ509" s="5" t="n">
        <v>0.734</v>
      </c>
      <c r="BA509" s="5" t="n">
        <v>0</v>
      </c>
      <c r="BB509" s="5" t="n">
        <v>1</v>
      </c>
      <c r="BC509" s="5" t="n">
        <v>0.51</v>
      </c>
      <c r="BD509" s="5" t="n">
        <v>0.132</v>
      </c>
      <c r="BE509" s="5" t="n">
        <v>0</v>
      </c>
      <c r="BF509" s="5" t="n">
        <v>0.51</v>
      </c>
      <c r="BG509" s="5" t="n">
        <v>0</v>
      </c>
      <c r="BH509" s="5" t="n">
        <v>1</v>
      </c>
      <c r="BI509" s="5" t="n">
        <v>0.652</v>
      </c>
      <c r="BJ509" s="5" t="n">
        <v>0.132</v>
      </c>
      <c r="BK509" s="5" t="n">
        <v>0</v>
      </c>
      <c r="BL509" s="5" t="n">
        <v>0.652</v>
      </c>
      <c r="BM509" s="5" t="n">
        <v>0</v>
      </c>
      <c r="BN509" s="5" t="n">
        <v>1</v>
      </c>
      <c r="BO509" s="5" t="n">
        <v>0</v>
      </c>
      <c r="BP509" s="5" t="n">
        <v>0</v>
      </c>
      <c r="BQ509" s="5" t="n">
        <v>0</v>
      </c>
      <c r="BR509" s="5" t="n">
        <v>0</v>
      </c>
      <c r="BS509" s="5" t="n">
        <v>1</v>
      </c>
      <c r="BT509" s="5" t="n">
        <v>0</v>
      </c>
      <c r="BU509" s="5" t="n">
        <v>0</v>
      </c>
      <c r="BV509" s="5" t="n">
        <v>0</v>
      </c>
      <c r="BW509" s="5" t="n">
        <v>0</v>
      </c>
      <c r="BX509" s="5" t="n">
        <v>1</v>
      </c>
      <c r="BY509" s="5" t="n">
        <v>13.646</v>
      </c>
      <c r="BZ509" s="5" t="n">
        <v>0</v>
      </c>
      <c r="CA509" s="5" t="n">
        <v>13.646</v>
      </c>
      <c r="CB509" s="5" t="n">
        <v>0</v>
      </c>
      <c r="CC509" s="5" t="n">
        <v>86.38500000000001</v>
      </c>
      <c r="CD509" s="5" t="n">
        <v>7.95</v>
      </c>
      <c r="CE509" s="5" t="n">
        <v>0</v>
      </c>
      <c r="CF509" s="5" t="n">
        <v>86.38500000000001</v>
      </c>
      <c r="CG509" s="5" t="n">
        <v>0</v>
      </c>
      <c r="CH509" s="5" t="n">
        <v>1</v>
      </c>
      <c r="CI509" s="5" t="n">
        <v>0</v>
      </c>
      <c r="CJ509" s="5" t="n">
        <v>0</v>
      </c>
      <c r="CK509" s="5" t="n">
        <v>0</v>
      </c>
      <c r="CL509" s="5" t="n">
        <v>0</v>
      </c>
      <c r="CM509" s="5" t="n">
        <v>0</v>
      </c>
      <c r="CN509" s="5" t="n">
        <v>0</v>
      </c>
      <c r="CO509" s="5" t="n">
        <v>0</v>
      </c>
      <c r="CP509" s="5" t="n">
        <v>0</v>
      </c>
      <c r="CQ509" s="5" t="n">
        <v>1.387</v>
      </c>
      <c r="CR509" s="5" t="n">
        <v>0</v>
      </c>
      <c r="CS509" s="5" t="n">
        <v>5.529</v>
      </c>
      <c r="CT509" s="5" t="n">
        <v>3.509</v>
      </c>
      <c r="CU509" s="5" t="n">
        <v>10.896</v>
      </c>
    </row>
    <row r="510">
      <c r="A510" s="5" t="inlineStr">
        <is>
          <t>MRT2021</t>
        </is>
      </c>
      <c r="B510" s="5" t="inlineStr">
        <is>
          <t>MRT</t>
        </is>
      </c>
      <c r="C510" s="5" t="inlineStr">
        <is>
          <t>MRT</t>
        </is>
      </c>
      <c r="D510" s="5" t="inlineStr">
        <is>
          <t>Mauritania</t>
        </is>
      </c>
      <c r="E510" s="5" t="n">
        <v>2021</v>
      </c>
      <c r="F510" s="5" t="n">
        <v>0.16</v>
      </c>
      <c r="G510" s="5" t="n">
        <v>5.897</v>
      </c>
      <c r="H510" s="5" t="n">
        <v>1.143</v>
      </c>
      <c r="I510" s="5" t="n">
        <v>0</v>
      </c>
      <c r="J510" s="5" t="n">
        <v>5.897</v>
      </c>
      <c r="K510" s="5" t="n">
        <v>0</v>
      </c>
      <c r="L510" s="5" t="n">
        <v>1</v>
      </c>
      <c r="M510" s="5" t="n">
        <v>7.964</v>
      </c>
      <c r="N510" s="5" t="n">
        <v>3.43</v>
      </c>
      <c r="O510" s="5" t="n">
        <v>0</v>
      </c>
      <c r="P510" s="5" t="n">
        <v>7.964</v>
      </c>
      <c r="Q510" s="5" t="n">
        <v>0</v>
      </c>
      <c r="R510" s="5" t="n">
        <v>1</v>
      </c>
      <c r="S510" s="5" t="n">
        <v>11.613</v>
      </c>
      <c r="T510" s="5" t="n">
        <v>6.86</v>
      </c>
      <c r="U510" s="5" t="n">
        <v>0</v>
      </c>
      <c r="V510" s="5" t="n">
        <v>13.471</v>
      </c>
      <c r="W510" s="5" t="n">
        <v>0.16</v>
      </c>
      <c r="X510" s="5" t="n">
        <v>1</v>
      </c>
      <c r="Y510" s="5" t="n">
        <v>6.913</v>
      </c>
      <c r="Z510" s="5" t="n">
        <v>0.9340000000000001</v>
      </c>
      <c r="AA510" s="5" t="n">
        <v>0</v>
      </c>
      <c r="AB510" s="5" t="n">
        <v>6.913</v>
      </c>
      <c r="AC510" s="5" t="n">
        <v>0</v>
      </c>
      <c r="AD510" s="5" t="n">
        <v>1</v>
      </c>
      <c r="AE510" s="5" t="n">
        <v>8.055999999999999</v>
      </c>
      <c r="AF510" s="5" t="n">
        <v>1.884</v>
      </c>
      <c r="AG510" s="5" t="n">
        <v>0</v>
      </c>
      <c r="AH510" s="5" t="n">
        <v>8.055999999999999</v>
      </c>
      <c r="AI510" s="5" t="n">
        <v>0</v>
      </c>
      <c r="AJ510" s="5" t="n">
        <v>1</v>
      </c>
      <c r="AK510" s="5" t="n">
        <v>14.916</v>
      </c>
      <c r="AL510" s="5" t="n">
        <v>7.944</v>
      </c>
      <c r="AM510" s="5" t="n">
        <v>0</v>
      </c>
      <c r="AN510" s="5" t="n">
        <v>17.303</v>
      </c>
      <c r="AO510" s="5" t="n">
        <v>0.16</v>
      </c>
      <c r="AP510" s="5" t="n">
        <v>1</v>
      </c>
      <c r="AQ510" s="5" t="n">
        <v>0.619</v>
      </c>
      <c r="AR510" s="5" t="n">
        <v>0.114</v>
      </c>
      <c r="AS510" s="5" t="n">
        <v>0.424</v>
      </c>
      <c r="AT510" s="5" t="n">
        <v>1.21</v>
      </c>
      <c r="AU510" s="5" t="n">
        <v>0.16</v>
      </c>
      <c r="AV510" s="5" t="n">
        <v>1</v>
      </c>
      <c r="AW510" s="5" t="n">
        <v>0.599</v>
      </c>
      <c r="AX510" s="5" t="n">
        <v>0.114</v>
      </c>
      <c r="AY510" s="5" t="n">
        <v>0.32</v>
      </c>
      <c r="AZ510" s="5" t="n">
        <v>1.067</v>
      </c>
      <c r="BA510" s="5" t="n">
        <v>0.16</v>
      </c>
      <c r="BB510" s="5" t="n">
        <v>1</v>
      </c>
      <c r="BC510" s="5" t="n">
        <v>0.439</v>
      </c>
      <c r="BD510" s="5" t="n">
        <v>0.114</v>
      </c>
      <c r="BE510" s="5" t="n">
        <v>-0.099</v>
      </c>
      <c r="BF510" s="5" t="n">
        <v>0.34</v>
      </c>
      <c r="BG510" s="5" t="n">
        <v>0</v>
      </c>
      <c r="BH510" s="5" t="n">
        <v>0</v>
      </c>
      <c r="BI510" s="5" t="n">
        <v>0.505</v>
      </c>
      <c r="BJ510" s="5" t="n">
        <v>0.114</v>
      </c>
      <c r="BK510" s="5" t="n">
        <v>0.659</v>
      </c>
      <c r="BL510" s="5" t="n">
        <v>1.35</v>
      </c>
      <c r="BM510" s="5" t="n">
        <v>0.16</v>
      </c>
      <c r="BN510" s="5" t="n">
        <v>1</v>
      </c>
      <c r="BO510" s="5" t="n">
        <v>0</v>
      </c>
      <c r="BP510" s="5" t="n">
        <v>0</v>
      </c>
      <c r="BQ510" s="5" t="n">
        <v>0.164</v>
      </c>
      <c r="BR510" s="5" t="n">
        <v>0</v>
      </c>
      <c r="BS510" s="5" t="n">
        <v>0.667</v>
      </c>
      <c r="BT510" s="5" t="n">
        <v>0</v>
      </c>
      <c r="BU510" s="5" t="n">
        <v>0</v>
      </c>
      <c r="BV510" s="5" t="n">
        <v>0.164</v>
      </c>
      <c r="BW510" s="5" t="n">
        <v>0</v>
      </c>
      <c r="BX510" s="5" t="n">
        <v>0.667</v>
      </c>
      <c r="BY510" s="5" t="n">
        <v>11.787</v>
      </c>
      <c r="BZ510" s="5" t="n">
        <v>0</v>
      </c>
      <c r="CA510" s="5" t="n">
        <v>11.787</v>
      </c>
      <c r="CB510" s="5" t="n">
        <v>0</v>
      </c>
      <c r="CC510" s="5" t="n">
        <v>78.125</v>
      </c>
      <c r="CD510" s="5" t="n">
        <v>7.95</v>
      </c>
      <c r="CE510" s="5" t="n">
        <v>0</v>
      </c>
      <c r="CF510" s="5" t="n">
        <v>90.625</v>
      </c>
      <c r="CG510" s="5" t="n">
        <v>0.16</v>
      </c>
      <c r="CH510" s="5" t="n">
        <v>1</v>
      </c>
      <c r="CI510" s="5" t="n">
        <v>0</v>
      </c>
      <c r="CJ510" s="5" t="n">
        <v>0</v>
      </c>
      <c r="CK510" s="5" t="n">
        <v>0</v>
      </c>
      <c r="CL510" s="5" t="n">
        <v>0</v>
      </c>
      <c r="CM510" s="5" t="n">
        <v>0</v>
      </c>
      <c r="CN510" s="5" t="n">
        <v>0</v>
      </c>
      <c r="CO510" s="5" t="n">
        <v>0</v>
      </c>
      <c r="CP510" s="5" t="n">
        <v>0</v>
      </c>
      <c r="CQ510" s="5" t="n">
        <v>1.198</v>
      </c>
      <c r="CR510" s="5" t="n">
        <v>0</v>
      </c>
      <c r="CS510" s="5" t="n">
        <v>4.949</v>
      </c>
      <c r="CT510" s="5" t="n">
        <v>4.753</v>
      </c>
      <c r="CU510" s="5" t="n">
        <v>15.162</v>
      </c>
    </row>
    <row r="511">
      <c r="A511" s="5" t="inlineStr">
        <is>
          <t>MRT2022</t>
        </is>
      </c>
      <c r="B511" s="5" t="inlineStr">
        <is>
          <t>MRT</t>
        </is>
      </c>
      <c r="C511" s="5" t="inlineStr">
        <is>
          <t>MRT</t>
        </is>
      </c>
      <c r="D511" s="5" t="inlineStr">
        <is>
          <t>Mauritania</t>
        </is>
      </c>
      <c r="E511" s="5" t="n">
        <v>2022</v>
      </c>
      <c r="F511" s="5" t="n">
        <v>0.16</v>
      </c>
      <c r="G511" s="5" t="n">
        <v>11.72</v>
      </c>
      <c r="H511" s="5" t="n">
        <v>1.235</v>
      </c>
      <c r="I511" s="5" t="n">
        <v>0</v>
      </c>
      <c r="J511" s="5" t="n">
        <v>11.72</v>
      </c>
      <c r="K511" s="5" t="n">
        <v>0</v>
      </c>
      <c r="L511" s="5" t="n">
        <v>1</v>
      </c>
      <c r="M511" s="5" t="n">
        <v>9.782999999999999</v>
      </c>
      <c r="N511" s="5" t="n">
        <v>3.704</v>
      </c>
      <c r="O511" s="5" t="n">
        <v>0</v>
      </c>
      <c r="P511" s="5" t="n">
        <v>9.782999999999999</v>
      </c>
      <c r="Q511" s="5" t="n">
        <v>0</v>
      </c>
      <c r="R511" s="5" t="n">
        <v>1</v>
      </c>
      <c r="S511" s="5" t="n">
        <v>17.893</v>
      </c>
      <c r="T511" s="5" t="n">
        <v>7.408</v>
      </c>
      <c r="U511" s="5" t="n">
        <v>0.212</v>
      </c>
      <c r="V511" s="5" t="n">
        <v>20.756</v>
      </c>
      <c r="W511" s="5" t="n">
        <v>0.16</v>
      </c>
      <c r="X511" s="5" t="n">
        <v>1</v>
      </c>
      <c r="Y511" s="5" t="n">
        <v>6.579</v>
      </c>
      <c r="Z511" s="5" t="n">
        <v>0.889</v>
      </c>
      <c r="AA511" s="5" t="n">
        <v>0</v>
      </c>
      <c r="AB511" s="5" t="n">
        <v>6.579</v>
      </c>
      <c r="AC511" s="5" t="n">
        <v>0</v>
      </c>
      <c r="AD511" s="5" t="n">
        <v>1</v>
      </c>
      <c r="AE511" s="5" t="n">
        <v>7.814</v>
      </c>
      <c r="AF511" s="5" t="n">
        <v>1.827</v>
      </c>
      <c r="AG511" s="5" t="n">
        <v>0</v>
      </c>
      <c r="AH511" s="5" t="n">
        <v>7.814</v>
      </c>
      <c r="AI511" s="5" t="n">
        <v>0</v>
      </c>
      <c r="AJ511" s="5" t="n">
        <v>1</v>
      </c>
      <c r="AK511" s="5" t="n">
        <v>15.222</v>
      </c>
      <c r="AL511" s="5" t="n">
        <v>8.106999999999999</v>
      </c>
      <c r="AM511" s="5" t="n">
        <v>0.18</v>
      </c>
      <c r="AN511" s="5" t="n">
        <v>17.657</v>
      </c>
      <c r="AO511" s="5" t="n">
        <v>0.16</v>
      </c>
      <c r="AP511" s="5" t="n">
        <v>1</v>
      </c>
      <c r="AQ511" s="5" t="n">
        <v>0.861</v>
      </c>
      <c r="AR511" s="5" t="n">
        <v>0.123</v>
      </c>
      <c r="AS511" s="5" t="n">
        <v>0.277</v>
      </c>
      <c r="AT511" s="5" t="n">
        <v>1.321</v>
      </c>
      <c r="AU511" s="5" t="n">
        <v>0.16</v>
      </c>
      <c r="AV511" s="5" t="n">
        <v>1</v>
      </c>
      <c r="AW511" s="5" t="n">
        <v>0.986</v>
      </c>
      <c r="AX511" s="5" t="n">
        <v>0.123</v>
      </c>
      <c r="AY511" s="5" t="n">
        <v>0.018</v>
      </c>
      <c r="AZ511" s="5" t="n">
        <v>1.164</v>
      </c>
      <c r="BA511" s="5" t="n">
        <v>0.16</v>
      </c>
      <c r="BB511" s="5" t="n">
        <v>1</v>
      </c>
      <c r="BC511" s="5" t="n">
        <v>0.598</v>
      </c>
      <c r="BD511" s="5" t="n">
        <v>0.123</v>
      </c>
      <c r="BE511" s="5" t="n">
        <v>-0.272</v>
      </c>
      <c r="BF511" s="5" t="n">
        <v>0.326</v>
      </c>
      <c r="BG511" s="5" t="n">
        <v>0</v>
      </c>
      <c r="BH511" s="5" t="n">
        <v>0</v>
      </c>
      <c r="BI511" s="5" t="n">
        <v>0.612</v>
      </c>
      <c r="BJ511" s="5" t="n">
        <v>0.123</v>
      </c>
      <c r="BK511" s="5" t="n">
        <v>0.505</v>
      </c>
      <c r="BL511" s="5" t="n">
        <v>1.296</v>
      </c>
      <c r="BM511" s="5" t="n">
        <v>0.16</v>
      </c>
      <c r="BN511" s="5" t="n">
        <v>1</v>
      </c>
      <c r="BO511" s="5" t="n">
        <v>0</v>
      </c>
      <c r="BP511" s="5" t="n">
        <v>0</v>
      </c>
      <c r="BQ511" s="5" t="n">
        <v>0.159</v>
      </c>
      <c r="BR511" s="5" t="n">
        <v>0</v>
      </c>
      <c r="BS511" s="5" t="n">
        <v>0.667</v>
      </c>
      <c r="BT511" s="5" t="n">
        <v>0</v>
      </c>
      <c r="BU511" s="5" t="n">
        <v>0</v>
      </c>
      <c r="BV511" s="5" t="n">
        <v>0.159</v>
      </c>
      <c r="BW511" s="5" t="n">
        <v>0</v>
      </c>
      <c r="BX511" s="5" t="n">
        <v>0.667</v>
      </c>
      <c r="BY511" s="5" t="n">
        <v>12.729</v>
      </c>
      <c r="BZ511" s="5" t="n">
        <v>0</v>
      </c>
      <c r="CA511" s="5" t="n">
        <v>12.729</v>
      </c>
      <c r="CB511" s="5" t="n">
        <v>0</v>
      </c>
      <c r="CC511" s="5" t="n">
        <v>97.90000000000001</v>
      </c>
      <c r="CD511" s="5" t="n">
        <v>7.95</v>
      </c>
      <c r="CE511" s="5" t="n">
        <v>1.159</v>
      </c>
      <c r="CF511" s="5" t="n">
        <v>113.564</v>
      </c>
      <c r="CG511" s="5" t="n">
        <v>0.16</v>
      </c>
      <c r="CH511" s="5" t="n">
        <v>1</v>
      </c>
      <c r="CI511" s="5" t="n">
        <v>0</v>
      </c>
      <c r="CJ511" s="5" t="n">
        <v>0</v>
      </c>
      <c r="CK511" s="5" t="n">
        <v>0</v>
      </c>
      <c r="CL511" s="5" t="n">
        <v>0</v>
      </c>
      <c r="CM511" s="5" t="n">
        <v>0</v>
      </c>
      <c r="CN511" s="5" t="n">
        <v>0</v>
      </c>
      <c r="CO511" s="5" t="n">
        <v>0</v>
      </c>
      <c r="CP511" s="5" t="n">
        <v>0</v>
      </c>
      <c r="CQ511" s="5" t="n">
        <v>1.294</v>
      </c>
      <c r="CR511" s="5" t="n">
        <v>0</v>
      </c>
      <c r="CS511" s="5" t="n">
        <v>5.344</v>
      </c>
      <c r="CT511" s="5" t="n">
        <v>10.485</v>
      </c>
      <c r="CU511" s="5" t="n">
        <v>31.326</v>
      </c>
    </row>
    <row r="512">
      <c r="A512" s="5" t="inlineStr">
        <is>
          <t>MRT2023</t>
        </is>
      </c>
      <c r="B512" s="5" t="inlineStr">
        <is>
          <t>MRT</t>
        </is>
      </c>
      <c r="C512" s="5" t="inlineStr">
        <is>
          <t>MRT</t>
        </is>
      </c>
      <c r="D512" s="5" t="inlineStr">
        <is>
          <t>Mauritania</t>
        </is>
      </c>
      <c r="E512" s="5" t="n">
        <v>2023</v>
      </c>
      <c r="F512" s="5" t="n">
        <v>0.16</v>
      </c>
      <c r="G512" s="5" t="n">
        <v>6.147</v>
      </c>
      <c r="H512" s="5" t="n">
        <v>1.286</v>
      </c>
      <c r="I512" s="5" t="n">
        <v>0</v>
      </c>
      <c r="J512" s="5" t="n">
        <v>6.147</v>
      </c>
      <c r="K512" s="5" t="n">
        <v>0</v>
      </c>
      <c r="L512" s="5" t="n">
        <v>1</v>
      </c>
      <c r="M512" s="5" t="n">
        <v>7.886</v>
      </c>
      <c r="N512" s="5" t="n">
        <v>3.857</v>
      </c>
      <c r="O512" s="5" t="n">
        <v>0</v>
      </c>
      <c r="P512" s="5" t="n">
        <v>7.886</v>
      </c>
      <c r="Q512" s="5" t="n">
        <v>0</v>
      </c>
      <c r="R512" s="5" t="n">
        <v>1</v>
      </c>
      <c r="S512" s="5" t="n">
        <v>12.575</v>
      </c>
      <c r="T512" s="5" t="n">
        <v>7.714</v>
      </c>
      <c r="U512" s="5" t="n">
        <v>0.223</v>
      </c>
      <c r="V512" s="5" t="n">
        <v>14.587</v>
      </c>
      <c r="W512" s="5" t="n">
        <v>0.16</v>
      </c>
      <c r="X512" s="5" t="n">
        <v>1</v>
      </c>
      <c r="Y512" s="5" t="n">
        <v>6.85</v>
      </c>
      <c r="Z512" s="5" t="n">
        <v>0.926</v>
      </c>
      <c r="AA512" s="5" t="n">
        <v>0</v>
      </c>
      <c r="AB512" s="5" t="n">
        <v>6.85</v>
      </c>
      <c r="AC512" s="5" t="n">
        <v>0</v>
      </c>
      <c r="AD512" s="5" t="n">
        <v>1</v>
      </c>
      <c r="AE512" s="5" t="n">
        <v>8.135999999999999</v>
      </c>
      <c r="AF512" s="5" t="n">
        <v>1.902</v>
      </c>
      <c r="AG512" s="5" t="n">
        <v>0</v>
      </c>
      <c r="AH512" s="5" t="n">
        <v>8.135999999999999</v>
      </c>
      <c r="AI512" s="5" t="n">
        <v>0</v>
      </c>
      <c r="AJ512" s="5" t="n">
        <v>1</v>
      </c>
      <c r="AK512" s="5" t="n">
        <v>15.85</v>
      </c>
      <c r="AL512" s="5" t="n">
        <v>8.442</v>
      </c>
      <c r="AM512" s="5" t="n">
        <v>0.281</v>
      </c>
      <c r="AN512" s="5" t="n">
        <v>18.386</v>
      </c>
      <c r="AO512" s="5" t="n">
        <v>0.16</v>
      </c>
      <c r="AP512" s="5" t="n">
        <v>1</v>
      </c>
      <c r="AQ512" s="5" t="n">
        <v>0.76</v>
      </c>
      <c r="AR512" s="5" t="n">
        <v>0.129</v>
      </c>
      <c r="AS512" s="5" t="n">
        <v>0.532</v>
      </c>
      <c r="AT512" s="5" t="n">
        <v>1.499</v>
      </c>
      <c r="AU512" s="5" t="n">
        <v>0.16</v>
      </c>
      <c r="AV512" s="5" t="n">
        <v>1</v>
      </c>
      <c r="AW512" s="5" t="n">
        <v>0.8110000000000001</v>
      </c>
      <c r="AX512" s="5" t="n">
        <v>0.129</v>
      </c>
      <c r="AY512" s="5" t="n">
        <v>0.329</v>
      </c>
      <c r="AZ512" s="5" t="n">
        <v>1.323</v>
      </c>
      <c r="BA512" s="5" t="n">
        <v>0.16</v>
      </c>
      <c r="BB512" s="5" t="n">
        <v>1</v>
      </c>
      <c r="BC512" s="5" t="n">
        <v>0.535</v>
      </c>
      <c r="BD512" s="5" t="n">
        <v>0.129</v>
      </c>
      <c r="BE512" s="5" t="n">
        <v>-0.211</v>
      </c>
      <c r="BF512" s="5" t="n">
        <v>0.324</v>
      </c>
      <c r="BG512" s="5" t="n">
        <v>0</v>
      </c>
      <c r="BH512" s="5" t="n">
        <v>0</v>
      </c>
      <c r="BI512" s="5" t="n">
        <v>0.579</v>
      </c>
      <c r="BJ512" s="5" t="n">
        <v>0.129</v>
      </c>
      <c r="BK512" s="5" t="n">
        <v>0.532</v>
      </c>
      <c r="BL512" s="5" t="n">
        <v>1.289</v>
      </c>
      <c r="BM512" s="5" t="n">
        <v>0.16</v>
      </c>
      <c r="BN512" s="5" t="n">
        <v>1</v>
      </c>
      <c r="BO512" s="5" t="n">
        <v>0</v>
      </c>
      <c r="BP512" s="5" t="n">
        <v>0</v>
      </c>
      <c r="BQ512" s="5" t="n">
        <v>0.165</v>
      </c>
      <c r="BR512" s="5" t="n">
        <v>0</v>
      </c>
      <c r="BS512" s="5" t="n">
        <v>0.667</v>
      </c>
      <c r="BT512" s="5" t="n">
        <v>0</v>
      </c>
      <c r="BU512" s="5" t="n">
        <v>0</v>
      </c>
      <c r="BV512" s="5" t="n">
        <v>0.165</v>
      </c>
      <c r="BW512" s="5" t="n">
        <v>0</v>
      </c>
      <c r="BX512" s="5" t="n">
        <v>0.667</v>
      </c>
      <c r="BY512" s="5" t="n">
        <v>13.254</v>
      </c>
      <c r="BZ512" s="5" t="n">
        <v>0</v>
      </c>
      <c r="CA512" s="5" t="n">
        <v>13.254</v>
      </c>
      <c r="CB512" s="5" t="n">
        <v>0</v>
      </c>
      <c r="CC512" s="5" t="n">
        <v>83.248</v>
      </c>
      <c r="CD512" s="5" t="n">
        <v>7.95</v>
      </c>
      <c r="CE512" s="5" t="n">
        <v>1.475</v>
      </c>
      <c r="CF512" s="5" t="n">
        <v>96.568</v>
      </c>
      <c r="CG512" s="5" t="n">
        <v>0.16</v>
      </c>
      <c r="CH512" s="5" t="n">
        <v>1</v>
      </c>
      <c r="CI512" s="5" t="n">
        <v>0</v>
      </c>
      <c r="CJ512" s="5" t="n">
        <v>0</v>
      </c>
      <c r="CK512" s="5" t="n">
        <v>0</v>
      </c>
      <c r="CL512" s="5" t="n">
        <v>0</v>
      </c>
      <c r="CM512" s="5" t="n">
        <v>0</v>
      </c>
      <c r="CN512" s="5" t="n">
        <v>0</v>
      </c>
      <c r="CO512" s="5" t="n">
        <v>0</v>
      </c>
      <c r="CP512" s="5" t="n">
        <v>0</v>
      </c>
      <c r="CQ512" s="5" t="n">
        <v>1.348</v>
      </c>
      <c r="CR512" s="5" t="n">
        <v>0</v>
      </c>
      <c r="CS512" s="5" t="n">
        <v>5.565</v>
      </c>
      <c r="CT512" s="5" t="n">
        <v>4.861</v>
      </c>
      <c r="CU512" s="5" t="n">
        <v>11.622</v>
      </c>
    </row>
    <row r="513">
      <c r="A513" s="5" t="inlineStr">
        <is>
          <t>MRT2024</t>
        </is>
      </c>
      <c r="B513" s="5" t="inlineStr">
        <is>
          <t>MRT</t>
        </is>
      </c>
      <c r="C513" s="5" t="inlineStr">
        <is>
          <t>MRT</t>
        </is>
      </c>
      <c r="D513" s="5" t="inlineStr">
        <is>
          <t>Mauritania</t>
        </is>
      </c>
      <c r="E513" s="5" t="n">
        <v>2024</v>
      </c>
      <c r="F513" s="5" t="n">
        <v>0.16</v>
      </c>
      <c r="G513" s="5" t="n">
        <v>5.575</v>
      </c>
      <c r="H513" s="5" t="n">
        <v>1.324</v>
      </c>
      <c r="I513" s="5" t="n">
        <v>0</v>
      </c>
      <c r="J513" s="5" t="n">
        <v>5.575</v>
      </c>
      <c r="K513" s="5" t="n">
        <v>0</v>
      </c>
      <c r="L513" s="5" t="n">
        <v>1</v>
      </c>
      <c r="M513" s="5" t="n">
        <v>7.124</v>
      </c>
      <c r="N513" s="5" t="n">
        <v>3.971</v>
      </c>
      <c r="O513" s="5" t="n">
        <v>0</v>
      </c>
      <c r="P513" s="5" t="n">
        <v>7.124</v>
      </c>
      <c r="Q513" s="5" t="n">
        <v>0</v>
      </c>
      <c r="R513" s="5" t="n">
        <v>1</v>
      </c>
      <c r="S513" s="5" t="n">
        <v>12.193</v>
      </c>
      <c r="T513" s="5" t="n">
        <v>7.942</v>
      </c>
      <c r="U513" s="5" t="n">
        <v>0.266</v>
      </c>
      <c r="V513" s="5" t="n">
        <v>14.144</v>
      </c>
      <c r="W513" s="5" t="n">
        <v>0.16</v>
      </c>
      <c r="X513" s="5" t="n">
        <v>1</v>
      </c>
      <c r="Y513" s="5" t="n">
        <v>7.053</v>
      </c>
      <c r="Z513" s="5" t="n">
        <v>0.953</v>
      </c>
      <c r="AA513" s="5" t="n">
        <v>0</v>
      </c>
      <c r="AB513" s="5" t="n">
        <v>7.053</v>
      </c>
      <c r="AC513" s="5" t="n">
        <v>0</v>
      </c>
      <c r="AD513" s="5" t="n">
        <v>1</v>
      </c>
      <c r="AE513" s="5" t="n">
        <v>8.375999999999999</v>
      </c>
      <c r="AF513" s="5" t="n">
        <v>1.959</v>
      </c>
      <c r="AG513" s="5" t="n">
        <v>0</v>
      </c>
      <c r="AH513" s="5" t="n">
        <v>8.375999999999999</v>
      </c>
      <c r="AI513" s="5" t="n">
        <v>0</v>
      </c>
      <c r="AJ513" s="5" t="n">
        <v>1</v>
      </c>
      <c r="AK513" s="5" t="n">
        <v>16.318</v>
      </c>
      <c r="AL513" s="5" t="n">
        <v>8.691000000000001</v>
      </c>
      <c r="AM513" s="5" t="n">
        <v>0.356</v>
      </c>
      <c r="AN513" s="5" t="n">
        <v>18.929</v>
      </c>
      <c r="AO513" s="5" t="n">
        <v>0.16</v>
      </c>
      <c r="AP513" s="5" t="n">
        <v>1</v>
      </c>
      <c r="AQ513" s="5" t="n">
        <v>0.724</v>
      </c>
      <c r="AR513" s="5" t="n">
        <v>0.132</v>
      </c>
      <c r="AS513" s="5" t="n">
        <v>0.383</v>
      </c>
      <c r="AT513" s="5" t="n">
        <v>1.285</v>
      </c>
      <c r="AU513" s="5" t="n">
        <v>0.16</v>
      </c>
      <c r="AV513" s="5" t="n">
        <v>1</v>
      </c>
      <c r="AW513" s="5" t="n">
        <v>0.75</v>
      </c>
      <c r="AX513" s="5" t="n">
        <v>0.132</v>
      </c>
      <c r="AY513" s="5" t="n">
        <v>0.286</v>
      </c>
      <c r="AZ513" s="5" t="n">
        <v>1.202</v>
      </c>
      <c r="BA513" s="5" t="n">
        <v>0.16</v>
      </c>
      <c r="BB513" s="5" t="n">
        <v>1</v>
      </c>
      <c r="BC513" s="5" t="n">
        <v>0.513</v>
      </c>
      <c r="BD513" s="5" t="n">
        <v>0.132</v>
      </c>
      <c r="BE513" s="5" t="n">
        <v>-0.194</v>
      </c>
      <c r="BF513" s="5" t="n">
        <v>0.319</v>
      </c>
      <c r="BG513" s="5" t="n">
        <v>0</v>
      </c>
      <c r="BH513" s="5" t="n">
        <v>0</v>
      </c>
      <c r="BI513" s="5" t="n">
        <v>0.591</v>
      </c>
      <c r="BJ513" s="5" t="n">
        <v>0.132</v>
      </c>
      <c r="BK513" s="5" t="n">
        <v>0.544</v>
      </c>
      <c r="BL513" s="5" t="n">
        <v>1.317</v>
      </c>
      <c r="BM513" s="5" t="n">
        <v>0.16</v>
      </c>
      <c r="BN513" s="5" t="n">
        <v>1</v>
      </c>
      <c r="BO513" s="5" t="n">
        <v>0</v>
      </c>
      <c r="BP513" s="5" t="n">
        <v>0</v>
      </c>
      <c r="BQ513" s="5" t="n">
        <v>0.17</v>
      </c>
      <c r="BR513" s="5" t="n">
        <v>0</v>
      </c>
      <c r="BS513" s="5" t="n">
        <v>0.667</v>
      </c>
      <c r="BT513" s="5" t="n">
        <v>0</v>
      </c>
      <c r="BU513" s="5" t="n">
        <v>0</v>
      </c>
      <c r="BV513" s="5" t="n">
        <v>0.17</v>
      </c>
      <c r="BW513" s="5" t="n">
        <v>0</v>
      </c>
      <c r="BX513" s="5" t="n">
        <v>0.667</v>
      </c>
      <c r="BY513" s="5" t="n">
        <v>13.646</v>
      </c>
      <c r="BZ513" s="5" t="n">
        <v>0</v>
      </c>
      <c r="CA513" s="5" t="n">
        <v>13.646</v>
      </c>
      <c r="CB513" s="5" t="n">
        <v>0</v>
      </c>
      <c r="CC513" s="5" t="n">
        <v>82.58799999999999</v>
      </c>
      <c r="CD513" s="5" t="n">
        <v>7.95</v>
      </c>
      <c r="CE513" s="5" t="n">
        <v>1.8</v>
      </c>
      <c r="CF513" s="5" t="n">
        <v>95.80200000000001</v>
      </c>
      <c r="CG513" s="5" t="n">
        <v>0.16</v>
      </c>
      <c r="CH513" s="5" t="n">
        <v>1</v>
      </c>
      <c r="CI513" s="5" t="n">
        <v>0</v>
      </c>
      <c r="CJ513" s="5" t="n">
        <v>0</v>
      </c>
      <c r="CK513" s="5" t="n">
        <v>0</v>
      </c>
      <c r="CL513" s="5" t="n">
        <v>0</v>
      </c>
      <c r="CM513" s="5" t="n">
        <v>0</v>
      </c>
      <c r="CN513" s="5" t="n">
        <v>0</v>
      </c>
      <c r="CO513" s="5" t="n">
        <v>0</v>
      </c>
      <c r="CP513" s="5" t="n">
        <v>0</v>
      </c>
      <c r="CQ513" s="5" t="n">
        <v>1.387</v>
      </c>
      <c r="CR513" s="5" t="n">
        <v>0</v>
      </c>
      <c r="CS513" s="5" t="n">
        <v>5.729</v>
      </c>
      <c r="CT513" s="5" t="n">
        <v>4.251</v>
      </c>
      <c r="CU513" s="5" t="n">
        <v>10.168</v>
      </c>
    </row>
    <row r="514">
      <c r="A514" s="5" t="inlineStr">
        <is>
          <t>MUS2021</t>
        </is>
      </c>
      <c r="B514" s="5" t="inlineStr">
        <is>
          <t>MUS</t>
        </is>
      </c>
      <c r="C514" s="5" t="inlineStr">
        <is>
          <t>MUS</t>
        </is>
      </c>
      <c r="D514" s="5" t="inlineStr">
        <is>
          <t>Mauritius</t>
        </is>
      </c>
      <c r="E514" s="5" t="n">
        <v>2021</v>
      </c>
      <c r="F514" s="5" t="n">
        <v>0.15</v>
      </c>
      <c r="G514" s="5" t="n">
        <v>5.897</v>
      </c>
      <c r="H514" s="5" t="n">
        <v>1.143</v>
      </c>
      <c r="I514" s="5" t="n">
        <v>0</v>
      </c>
      <c r="J514" s="5" t="n">
        <v>5.897</v>
      </c>
      <c r="K514" s="5" t="n">
        <v>0</v>
      </c>
      <c r="L514" s="5" t="n">
        <v>1</v>
      </c>
      <c r="M514" s="5" t="n">
        <v>7.964</v>
      </c>
      <c r="N514" s="5" t="n">
        <v>3.43</v>
      </c>
      <c r="O514" s="5" t="n">
        <v>0.227</v>
      </c>
      <c r="P514" s="5" t="n">
        <v>8.192</v>
      </c>
      <c r="Q514" s="5" t="n">
        <v>0</v>
      </c>
      <c r="R514" s="5" t="n">
        <v>1</v>
      </c>
      <c r="S514" s="5" t="n">
        <v>11.613</v>
      </c>
      <c r="T514" s="5" t="n">
        <v>6.86</v>
      </c>
      <c r="U514" s="5" t="n">
        <v>0</v>
      </c>
      <c r="V514" s="5" t="n">
        <v>13.355</v>
      </c>
      <c r="W514" s="5" t="n">
        <v>0.15</v>
      </c>
      <c r="X514" s="5" t="n">
        <v>1</v>
      </c>
      <c r="Y514" s="5" t="n">
        <v>6.258</v>
      </c>
      <c r="Z514" s="5" t="n">
        <v>0.846</v>
      </c>
      <c r="AA514" s="5" t="n">
        <v>0</v>
      </c>
      <c r="AB514" s="5" t="n">
        <v>6.258</v>
      </c>
      <c r="AC514" s="5" t="n">
        <v>0</v>
      </c>
      <c r="AD514" s="5" t="n">
        <v>1</v>
      </c>
      <c r="AE514" s="5" t="n">
        <v>7.401</v>
      </c>
      <c r="AF514" s="5" t="n">
        <v>1.731</v>
      </c>
      <c r="AG514" s="5" t="n">
        <v>0</v>
      </c>
      <c r="AH514" s="5" t="n">
        <v>7.401</v>
      </c>
      <c r="AI514" s="5" t="n">
        <v>0</v>
      </c>
      <c r="AJ514" s="5" t="n">
        <v>1</v>
      </c>
      <c r="AK514" s="5" t="n">
        <v>14.261</v>
      </c>
      <c r="AL514" s="5" t="n">
        <v>7.595</v>
      </c>
      <c r="AM514" s="5" t="n">
        <v>0</v>
      </c>
      <c r="AN514" s="5" t="n">
        <v>16.401</v>
      </c>
      <c r="AO514" s="5" t="n">
        <v>0.15</v>
      </c>
      <c r="AP514" s="5" t="n">
        <v>1</v>
      </c>
      <c r="AQ514" s="5" t="n">
        <v>0.601</v>
      </c>
      <c r="AR514" s="5" t="n">
        <v>0.11</v>
      </c>
      <c r="AS514" s="5" t="n">
        <v>0.301</v>
      </c>
      <c r="AT514" s="5" t="n">
        <v>1.047</v>
      </c>
      <c r="AU514" s="5" t="n">
        <v>0.16</v>
      </c>
      <c r="AV514" s="5" t="n">
        <v>1</v>
      </c>
      <c r="AW514" s="5" t="n">
        <v>0.586</v>
      </c>
      <c r="AX514" s="5" t="n">
        <v>0.113</v>
      </c>
      <c r="AY514" s="5" t="n">
        <v>0.21</v>
      </c>
      <c r="AZ514" s="5" t="n">
        <v>0.922</v>
      </c>
      <c r="BA514" s="5" t="n">
        <v>0.16</v>
      </c>
      <c r="BB514" s="5" t="n">
        <v>1</v>
      </c>
      <c r="BC514" s="5" t="n">
        <v>0.329</v>
      </c>
      <c r="BD514" s="5" t="n">
        <v>0.08500000000000001</v>
      </c>
      <c r="BE514" s="5" t="n">
        <v>0.005</v>
      </c>
      <c r="BF514" s="5" t="n">
        <v>0.334</v>
      </c>
      <c r="BG514" s="5" t="n">
        <v>0</v>
      </c>
      <c r="BH514" s="5" t="n">
        <v>1</v>
      </c>
      <c r="BI514" s="5" t="n">
        <v>0.885</v>
      </c>
      <c r="BJ514" s="5" t="n">
        <v>0.196</v>
      </c>
      <c r="BK514" s="5" t="n">
        <v>0.122</v>
      </c>
      <c r="BL514" s="5" t="n">
        <v>1.168</v>
      </c>
      <c r="BM514" s="5" t="n">
        <v>0.16</v>
      </c>
      <c r="BN514" s="5" t="n">
        <v>1</v>
      </c>
      <c r="BO514" s="5" t="n">
        <v>0</v>
      </c>
      <c r="BP514" s="5" t="n">
        <v>0</v>
      </c>
      <c r="BQ514" s="5" t="n">
        <v>0.13</v>
      </c>
      <c r="BR514" s="5" t="n">
        <v>0</v>
      </c>
      <c r="BS514" s="5" t="n">
        <v>0.333</v>
      </c>
      <c r="BT514" s="5" t="n">
        <v>0</v>
      </c>
      <c r="BU514" s="5" t="n">
        <v>0</v>
      </c>
      <c r="BV514" s="5" t="n">
        <v>0.145</v>
      </c>
      <c r="BW514" s="5" t="n">
        <v>0.15</v>
      </c>
      <c r="BX514" s="5" t="n">
        <v>0.5</v>
      </c>
      <c r="BY514" s="5" t="n">
        <v>11.787</v>
      </c>
      <c r="BZ514" s="5" t="n">
        <v>0</v>
      </c>
      <c r="CA514" s="5" t="n">
        <v>11.787</v>
      </c>
      <c r="CB514" s="5" t="n">
        <v>0</v>
      </c>
      <c r="CC514" s="5" t="n">
        <v>72.879</v>
      </c>
      <c r="CD514" s="5" t="n">
        <v>2.704</v>
      </c>
      <c r="CE514" s="5" t="n">
        <v>12.966</v>
      </c>
      <c r="CF514" s="5" t="n">
        <v>85.846</v>
      </c>
      <c r="CG514" s="5" t="n">
        <v>0</v>
      </c>
      <c r="CH514" s="5" t="n">
        <v>1</v>
      </c>
      <c r="CI514" s="5" t="n">
        <v>0</v>
      </c>
      <c r="CJ514" s="5" t="n">
        <v>0</v>
      </c>
      <c r="CK514" s="5" t="n">
        <v>0</v>
      </c>
      <c r="CL514" s="5" t="n">
        <v>0</v>
      </c>
      <c r="CM514" s="5" t="n">
        <v>0</v>
      </c>
      <c r="CN514" s="5" t="n">
        <v>0</v>
      </c>
      <c r="CO514" s="5" t="n">
        <v>0</v>
      </c>
      <c r="CP514" s="5" t="n">
        <v>0</v>
      </c>
      <c r="CQ514" s="5" t="n">
        <v>1.198</v>
      </c>
      <c r="CR514" s="5" t="n">
        <v>0</v>
      </c>
      <c r="CS514" s="5" t="n">
        <v>4.776</v>
      </c>
      <c r="CT514" s="5" t="n">
        <v>4.753</v>
      </c>
      <c r="CU514" s="5" t="n">
        <v>15.162</v>
      </c>
    </row>
    <row r="515">
      <c r="A515" s="5" t="inlineStr">
        <is>
          <t>MUS2022</t>
        </is>
      </c>
      <c r="B515" s="5" t="inlineStr">
        <is>
          <t>MUS</t>
        </is>
      </c>
      <c r="C515" s="5" t="inlineStr">
        <is>
          <t>MUS</t>
        </is>
      </c>
      <c r="D515" s="5" t="inlineStr">
        <is>
          <t>Mauritius</t>
        </is>
      </c>
      <c r="E515" s="5" t="n">
        <v>2022</v>
      </c>
      <c r="F515" s="5" t="n">
        <v>0.15</v>
      </c>
      <c r="G515" s="5" t="n">
        <v>11.72</v>
      </c>
      <c r="H515" s="5" t="n">
        <v>1.235</v>
      </c>
      <c r="I515" s="5" t="n">
        <v>0</v>
      </c>
      <c r="J515" s="5" t="n">
        <v>11.72</v>
      </c>
      <c r="K515" s="5" t="n">
        <v>0</v>
      </c>
      <c r="L515" s="5" t="n">
        <v>1</v>
      </c>
      <c r="M515" s="5" t="n">
        <v>9.782999999999999</v>
      </c>
      <c r="N515" s="5" t="n">
        <v>3.704</v>
      </c>
      <c r="O515" s="5" t="n">
        <v>0.245</v>
      </c>
      <c r="P515" s="5" t="n">
        <v>10.028</v>
      </c>
      <c r="Q515" s="5" t="n">
        <v>0</v>
      </c>
      <c r="R515" s="5" t="n">
        <v>1</v>
      </c>
      <c r="S515" s="5" t="n">
        <v>17.893</v>
      </c>
      <c r="T515" s="5" t="n">
        <v>7.408</v>
      </c>
      <c r="U515" s="5" t="n">
        <v>0.199</v>
      </c>
      <c r="V515" s="5" t="n">
        <v>20.577</v>
      </c>
      <c r="W515" s="5" t="n">
        <v>0.15</v>
      </c>
      <c r="X515" s="5" t="n">
        <v>1</v>
      </c>
      <c r="Y515" s="5" t="n">
        <v>6.392</v>
      </c>
      <c r="Z515" s="5" t="n">
        <v>0.864</v>
      </c>
      <c r="AA515" s="5" t="n">
        <v>0</v>
      </c>
      <c r="AB515" s="5" t="n">
        <v>6.392</v>
      </c>
      <c r="AC515" s="5" t="n">
        <v>0</v>
      </c>
      <c r="AD515" s="5" t="n">
        <v>1</v>
      </c>
      <c r="AE515" s="5" t="n">
        <v>7.627</v>
      </c>
      <c r="AF515" s="5" t="n">
        <v>1.783</v>
      </c>
      <c r="AG515" s="5" t="n">
        <v>0</v>
      </c>
      <c r="AH515" s="5" t="n">
        <v>7.627</v>
      </c>
      <c r="AI515" s="5" t="n">
        <v>0</v>
      </c>
      <c r="AJ515" s="5" t="n">
        <v>1</v>
      </c>
      <c r="AK515" s="5" t="n">
        <v>15.035</v>
      </c>
      <c r="AL515" s="5" t="n">
        <v>8.007999999999999</v>
      </c>
      <c r="AM515" s="5" t="n">
        <v>0.167</v>
      </c>
      <c r="AN515" s="5" t="n">
        <v>17.29</v>
      </c>
      <c r="AO515" s="5" t="n">
        <v>0.15</v>
      </c>
      <c r="AP515" s="5" t="n">
        <v>1</v>
      </c>
      <c r="AQ515" s="5" t="n">
        <v>0.526</v>
      </c>
      <c r="AR515" s="5" t="n">
        <v>0.075</v>
      </c>
      <c r="AS515" s="5" t="n">
        <v>0.326</v>
      </c>
      <c r="AT515" s="5" t="n">
        <v>0.988</v>
      </c>
      <c r="AU515" s="5" t="n">
        <v>0.16</v>
      </c>
      <c r="AV515" s="5" t="n">
        <v>1</v>
      </c>
      <c r="AW515" s="5" t="n">
        <v>0.515</v>
      </c>
      <c r="AX515" s="5" t="n">
        <v>0.067</v>
      </c>
      <c r="AY515" s="5" t="n">
        <v>0.235</v>
      </c>
      <c r="AZ515" s="5" t="n">
        <v>0.87</v>
      </c>
      <c r="BA515" s="5" t="n">
        <v>0.16</v>
      </c>
      <c r="BB515" s="5" t="n">
        <v>1</v>
      </c>
      <c r="BC515" s="5" t="n">
        <v>0.309</v>
      </c>
      <c r="BD515" s="5" t="n">
        <v>0.064</v>
      </c>
      <c r="BE515" s="5" t="n">
        <v>0.006</v>
      </c>
      <c r="BF515" s="5" t="n">
        <v>0.315</v>
      </c>
      <c r="BG515" s="5" t="n">
        <v>0</v>
      </c>
      <c r="BH515" s="5" t="n">
        <v>1</v>
      </c>
      <c r="BI515" s="5" t="n">
        <v>0.844</v>
      </c>
      <c r="BJ515" s="5" t="n">
        <v>0.165</v>
      </c>
      <c r="BK515" s="5" t="n">
        <v>0.106</v>
      </c>
      <c r="BL515" s="5" t="n">
        <v>1.102</v>
      </c>
      <c r="BM515" s="5" t="n">
        <v>0.16</v>
      </c>
      <c r="BN515" s="5" t="n">
        <v>1</v>
      </c>
      <c r="BO515" s="5" t="n">
        <v>0</v>
      </c>
      <c r="BP515" s="5" t="n">
        <v>0</v>
      </c>
      <c r="BQ515" s="5" t="n">
        <v>0.122</v>
      </c>
      <c r="BR515" s="5" t="n">
        <v>0</v>
      </c>
      <c r="BS515" s="5" t="n">
        <v>0.333</v>
      </c>
      <c r="BT515" s="5" t="n">
        <v>0</v>
      </c>
      <c r="BU515" s="5" t="n">
        <v>0</v>
      </c>
      <c r="BV515" s="5" t="n">
        <v>0.137</v>
      </c>
      <c r="BW515" s="5" t="n">
        <v>0.15</v>
      </c>
      <c r="BX515" s="5" t="n">
        <v>0.5</v>
      </c>
      <c r="BY515" s="5" t="n">
        <v>12.729</v>
      </c>
      <c r="BZ515" s="5" t="n">
        <v>0</v>
      </c>
      <c r="CA515" s="5" t="n">
        <v>12.729</v>
      </c>
      <c r="CB515" s="5" t="n">
        <v>0</v>
      </c>
      <c r="CC515" s="5" t="n">
        <v>74.241</v>
      </c>
      <c r="CD515" s="5" t="n">
        <v>-15.709</v>
      </c>
      <c r="CE515" s="5" t="n">
        <v>13.531</v>
      </c>
      <c r="CF515" s="5" t="n">
        <v>87.77200000000001</v>
      </c>
      <c r="CG515" s="5" t="n">
        <v>0</v>
      </c>
      <c r="CH515" s="5" t="n">
        <v>1</v>
      </c>
      <c r="CI515" s="5" t="n">
        <v>0</v>
      </c>
      <c r="CJ515" s="5" t="n">
        <v>0</v>
      </c>
      <c r="CK515" s="5" t="n">
        <v>0</v>
      </c>
      <c r="CL515" s="5" t="n">
        <v>0</v>
      </c>
      <c r="CM515" s="5" t="n">
        <v>0</v>
      </c>
      <c r="CN515" s="5" t="n">
        <v>0</v>
      </c>
      <c r="CO515" s="5" t="n">
        <v>0</v>
      </c>
      <c r="CP515" s="5" t="n">
        <v>0</v>
      </c>
      <c r="CQ515" s="5" t="n">
        <v>1.294</v>
      </c>
      <c r="CR515" s="5" t="n">
        <v>0</v>
      </c>
      <c r="CS515" s="5" t="n">
        <v>5.158</v>
      </c>
      <c r="CT515" s="5" t="n">
        <v>10.485</v>
      </c>
      <c r="CU515" s="5" t="n">
        <v>31.326</v>
      </c>
    </row>
    <row r="516">
      <c r="A516" s="5" t="inlineStr">
        <is>
          <t>MUS2023</t>
        </is>
      </c>
      <c r="B516" s="5" t="inlineStr">
        <is>
          <t>MUS</t>
        </is>
      </c>
      <c r="C516" s="5" t="inlineStr">
        <is>
          <t>MUS</t>
        </is>
      </c>
      <c r="D516" s="5" t="inlineStr">
        <is>
          <t>Mauritius</t>
        </is>
      </c>
      <c r="E516" s="5" t="n">
        <v>2023</v>
      </c>
      <c r="F516" s="5" t="n">
        <v>0.15</v>
      </c>
      <c r="G516" s="5" t="n">
        <v>5.882</v>
      </c>
      <c r="H516" s="5" t="n">
        <v>1.245</v>
      </c>
      <c r="I516" s="5" t="n">
        <v>0</v>
      </c>
      <c r="J516" s="5" t="n">
        <v>5.882</v>
      </c>
      <c r="K516" s="5" t="n">
        <v>0</v>
      </c>
      <c r="L516" s="5" t="n">
        <v>1</v>
      </c>
      <c r="M516" s="5" t="n">
        <v>7.592</v>
      </c>
      <c r="N516" s="5" t="n">
        <v>3.734</v>
      </c>
      <c r="O516" s="5" t="n">
        <v>0.255</v>
      </c>
      <c r="P516" s="5" t="n">
        <v>7.848</v>
      </c>
      <c r="Q516" s="5" t="n">
        <v>0</v>
      </c>
      <c r="R516" s="5" t="n">
        <v>1</v>
      </c>
      <c r="S516" s="5" t="n">
        <v>12.105</v>
      </c>
      <c r="T516" s="5" t="n">
        <v>7.468</v>
      </c>
      <c r="U516" s="5" t="n">
        <v>0.201</v>
      </c>
      <c r="V516" s="5" t="n">
        <v>13.921</v>
      </c>
      <c r="W516" s="5" t="n">
        <v>0.15</v>
      </c>
      <c r="X516" s="5" t="n">
        <v>1</v>
      </c>
      <c r="Y516" s="5" t="n">
        <v>6.656</v>
      </c>
      <c r="Z516" s="5" t="n">
        <v>0.9</v>
      </c>
      <c r="AA516" s="5" t="n">
        <v>0</v>
      </c>
      <c r="AB516" s="5" t="n">
        <v>6.656</v>
      </c>
      <c r="AC516" s="5" t="n">
        <v>0</v>
      </c>
      <c r="AD516" s="5" t="n">
        <v>1</v>
      </c>
      <c r="AE516" s="5" t="n">
        <v>7.942</v>
      </c>
      <c r="AF516" s="5" t="n">
        <v>1.857</v>
      </c>
      <c r="AG516" s="5" t="n">
        <v>0</v>
      </c>
      <c r="AH516" s="5" t="n">
        <v>7.942</v>
      </c>
      <c r="AI516" s="5" t="n">
        <v>0</v>
      </c>
      <c r="AJ516" s="5" t="n">
        <v>1</v>
      </c>
      <c r="AK516" s="5" t="n">
        <v>15.656</v>
      </c>
      <c r="AL516" s="5" t="n">
        <v>8.337999999999999</v>
      </c>
      <c r="AM516" s="5" t="n">
        <v>0.26</v>
      </c>
      <c r="AN516" s="5" t="n">
        <v>18.004</v>
      </c>
      <c r="AO516" s="5" t="n">
        <v>0.15</v>
      </c>
      <c r="AP516" s="5" t="n">
        <v>1</v>
      </c>
      <c r="AQ516" s="5" t="n">
        <v>0.743</v>
      </c>
      <c r="AR516" s="5" t="n">
        <v>0.125</v>
      </c>
      <c r="AS516" s="5" t="n">
        <v>0.336</v>
      </c>
      <c r="AT516" s="5" t="n">
        <v>1.251</v>
      </c>
      <c r="AU516" s="5" t="n">
        <v>0.16</v>
      </c>
      <c r="AV516" s="5" t="n">
        <v>1</v>
      </c>
      <c r="AW516" s="5" t="n">
        <v>0.647</v>
      </c>
      <c r="AX516" s="5" t="n">
        <v>0.111</v>
      </c>
      <c r="AY516" s="5" t="n">
        <v>0.305</v>
      </c>
      <c r="AZ516" s="5" t="n">
        <v>1.104</v>
      </c>
      <c r="BA516" s="5" t="n">
        <v>0.16</v>
      </c>
      <c r="BB516" s="5" t="n">
        <v>1</v>
      </c>
      <c r="BC516" s="5" t="n">
        <v>0.302</v>
      </c>
      <c r="BD516" s="5" t="n">
        <v>0.073</v>
      </c>
      <c r="BE516" s="5" t="n">
        <v>0.005</v>
      </c>
      <c r="BF516" s="5" t="n">
        <v>0.308</v>
      </c>
      <c r="BG516" s="5" t="n">
        <v>0</v>
      </c>
      <c r="BH516" s="5" t="n">
        <v>1</v>
      </c>
      <c r="BI516" s="5" t="n">
        <v>0.779</v>
      </c>
      <c r="BJ516" s="5" t="n">
        <v>0.17</v>
      </c>
      <c r="BK516" s="5" t="n">
        <v>0.148</v>
      </c>
      <c r="BL516" s="5" t="n">
        <v>1.076</v>
      </c>
      <c r="BM516" s="5" t="n">
        <v>0.16</v>
      </c>
      <c r="BN516" s="5" t="n">
        <v>1</v>
      </c>
      <c r="BO516" s="5" t="n">
        <v>0</v>
      </c>
      <c r="BP516" s="5" t="n">
        <v>0</v>
      </c>
      <c r="BQ516" s="5" t="n">
        <v>0.128</v>
      </c>
      <c r="BR516" s="5" t="n">
        <v>0</v>
      </c>
      <c r="BS516" s="5" t="n">
        <v>0.333</v>
      </c>
      <c r="BT516" s="5" t="n">
        <v>0</v>
      </c>
      <c r="BU516" s="5" t="n">
        <v>0</v>
      </c>
      <c r="BV516" s="5" t="n">
        <v>0.135</v>
      </c>
      <c r="BW516" s="5" t="n">
        <v>0.15</v>
      </c>
      <c r="BX516" s="5" t="n">
        <v>0.5</v>
      </c>
      <c r="BY516" s="5" t="n">
        <v>13.254</v>
      </c>
      <c r="BZ516" s="5" t="n">
        <v>0</v>
      </c>
      <c r="CA516" s="5" t="n">
        <v>13.254</v>
      </c>
      <c r="CB516" s="5" t="n">
        <v>0</v>
      </c>
      <c r="CC516" s="5" t="n">
        <v>97.506</v>
      </c>
      <c r="CD516" s="5" t="n">
        <v>22.208</v>
      </c>
      <c r="CE516" s="5" t="n">
        <v>15.104</v>
      </c>
      <c r="CF516" s="5" t="n">
        <v>112.61</v>
      </c>
      <c r="CG516" s="5" t="n">
        <v>0</v>
      </c>
      <c r="CH516" s="5" t="n">
        <v>1</v>
      </c>
      <c r="CI516" s="5" t="n">
        <v>0</v>
      </c>
      <c r="CJ516" s="5" t="n">
        <v>0</v>
      </c>
      <c r="CK516" s="5" t="n">
        <v>0</v>
      </c>
      <c r="CL516" s="5" t="n">
        <v>0</v>
      </c>
      <c r="CM516" s="5" t="n">
        <v>0</v>
      </c>
      <c r="CN516" s="5" t="n">
        <v>0</v>
      </c>
      <c r="CO516" s="5" t="n">
        <v>0</v>
      </c>
      <c r="CP516" s="5" t="n">
        <v>0.064</v>
      </c>
      <c r="CQ516" s="5" t="n">
        <v>1.348</v>
      </c>
      <c r="CR516" s="5" t="n">
        <v>0</v>
      </c>
      <c r="CS516" s="5" t="n">
        <v>5.37</v>
      </c>
      <c r="CT516" s="5" t="n">
        <v>4.861</v>
      </c>
      <c r="CU516" s="5" t="n">
        <v>11.622</v>
      </c>
    </row>
    <row r="517">
      <c r="A517" s="5" t="inlineStr">
        <is>
          <t>MUS2024</t>
        </is>
      </c>
      <c r="B517" s="5" t="inlineStr">
        <is>
          <t>MUS</t>
        </is>
      </c>
      <c r="C517" s="5" t="inlineStr">
        <is>
          <t>MUS</t>
        </is>
      </c>
      <c r="D517" s="5" t="inlineStr">
        <is>
          <t>Mauritius</t>
        </is>
      </c>
      <c r="E517" s="5" t="n">
        <v>2024</v>
      </c>
      <c r="F517" s="5" t="n">
        <v>0.15</v>
      </c>
      <c r="G517" s="5" t="n">
        <v>5.35</v>
      </c>
      <c r="H517" s="5" t="n">
        <v>1.281</v>
      </c>
      <c r="I517" s="5" t="n">
        <v>0</v>
      </c>
      <c r="J517" s="5" t="n">
        <v>5.35</v>
      </c>
      <c r="K517" s="5" t="n">
        <v>0</v>
      </c>
      <c r="L517" s="5" t="n">
        <v>1</v>
      </c>
      <c r="M517" s="5" t="n">
        <v>6.884</v>
      </c>
      <c r="N517" s="5" t="n">
        <v>3.844</v>
      </c>
      <c r="O517" s="5" t="n">
        <v>0.263</v>
      </c>
      <c r="P517" s="5" t="n">
        <v>7.147</v>
      </c>
      <c r="Q517" s="5" t="n">
        <v>0</v>
      </c>
      <c r="R517" s="5" t="n">
        <v>1</v>
      </c>
      <c r="S517" s="5" t="n">
        <v>11.757</v>
      </c>
      <c r="T517" s="5" t="n">
        <v>7.689</v>
      </c>
      <c r="U517" s="5" t="n">
        <v>0.24</v>
      </c>
      <c r="V517" s="5" t="n">
        <v>13.521</v>
      </c>
      <c r="W517" s="5" t="n">
        <v>0.15</v>
      </c>
      <c r="X517" s="5" t="n">
        <v>1</v>
      </c>
      <c r="Y517" s="5" t="n">
        <v>3.781</v>
      </c>
      <c r="Z517" s="5" t="n">
        <v>0.511</v>
      </c>
      <c r="AA517" s="5" t="n">
        <v>0</v>
      </c>
      <c r="AB517" s="5" t="n">
        <v>3.781</v>
      </c>
      <c r="AC517" s="5" t="n">
        <v>0</v>
      </c>
      <c r="AD517" s="5" t="n">
        <v>1</v>
      </c>
      <c r="AE517" s="5" t="n">
        <v>5.104</v>
      </c>
      <c r="AF517" s="5" t="n">
        <v>1.194</v>
      </c>
      <c r="AG517" s="5" t="n">
        <v>0</v>
      </c>
      <c r="AH517" s="5" t="n">
        <v>5.104</v>
      </c>
      <c r="AI517" s="5" t="n">
        <v>0</v>
      </c>
      <c r="AJ517" s="5" t="n">
        <v>1</v>
      </c>
      <c r="AK517" s="5" t="n">
        <v>13.046</v>
      </c>
      <c r="AL517" s="5" t="n">
        <v>6.948</v>
      </c>
      <c r="AM517" s="5" t="n">
        <v>0.267</v>
      </c>
      <c r="AN517" s="5" t="n">
        <v>15.003</v>
      </c>
      <c r="AO517" s="5" t="n">
        <v>0.15</v>
      </c>
      <c r="AP517" s="5" t="n">
        <v>1</v>
      </c>
      <c r="AQ517" s="5" t="n">
        <v>0.712</v>
      </c>
      <c r="AR517" s="5" t="n">
        <v>0.129</v>
      </c>
      <c r="AS517" s="5" t="n">
        <v>0.34</v>
      </c>
      <c r="AT517" s="5" t="n">
        <v>1.22</v>
      </c>
      <c r="AU517" s="5" t="n">
        <v>0.16</v>
      </c>
      <c r="AV517" s="5" t="n">
        <v>1</v>
      </c>
      <c r="AW517" s="5" t="n">
        <v>0.648</v>
      </c>
      <c r="AX517" s="5" t="n">
        <v>0.119</v>
      </c>
      <c r="AY517" s="5" t="n">
        <v>0.279</v>
      </c>
      <c r="AZ517" s="5" t="n">
        <v>1.076</v>
      </c>
      <c r="BA517" s="5" t="n">
        <v>0.16</v>
      </c>
      <c r="BB517" s="5" t="n">
        <v>1</v>
      </c>
      <c r="BC517" s="5" t="n">
        <v>0.295</v>
      </c>
      <c r="BD517" s="5" t="n">
        <v>0.076</v>
      </c>
      <c r="BE517" s="5" t="n">
        <v>0.005</v>
      </c>
      <c r="BF517" s="5" t="n">
        <v>0.3</v>
      </c>
      <c r="BG517" s="5" t="n">
        <v>0</v>
      </c>
      <c r="BH517" s="5" t="n">
        <v>1</v>
      </c>
      <c r="BI517" s="5" t="n">
        <v>0.758</v>
      </c>
      <c r="BJ517" s="5" t="n">
        <v>0.167</v>
      </c>
      <c r="BK517" s="5" t="n">
        <v>0.146</v>
      </c>
      <c r="BL517" s="5" t="n">
        <v>1.049</v>
      </c>
      <c r="BM517" s="5" t="n">
        <v>0.16</v>
      </c>
      <c r="BN517" s="5" t="n">
        <v>1</v>
      </c>
      <c r="BO517" s="5" t="n">
        <v>0</v>
      </c>
      <c r="BP517" s="5" t="n">
        <v>0</v>
      </c>
      <c r="BQ517" s="5" t="n">
        <v>0.136</v>
      </c>
      <c r="BR517" s="5" t="n">
        <v>0</v>
      </c>
      <c r="BS517" s="5" t="n">
        <v>0.333</v>
      </c>
      <c r="BT517" s="5" t="n">
        <v>0</v>
      </c>
      <c r="BU517" s="5" t="n">
        <v>0</v>
      </c>
      <c r="BV517" s="5" t="n">
        <v>0.132</v>
      </c>
      <c r="BW517" s="5" t="n">
        <v>0.15</v>
      </c>
      <c r="BX517" s="5" t="n">
        <v>0.5</v>
      </c>
      <c r="BY517" s="5" t="n">
        <v>13.646</v>
      </c>
      <c r="BZ517" s="5" t="n">
        <v>0</v>
      </c>
      <c r="CA517" s="5" t="n">
        <v>13.646</v>
      </c>
      <c r="CB517" s="5" t="n">
        <v>0</v>
      </c>
      <c r="CC517" s="5" t="n">
        <v>100.885</v>
      </c>
      <c r="CD517" s="5" t="n">
        <v>26.247</v>
      </c>
      <c r="CE517" s="5" t="n">
        <v>15.313</v>
      </c>
      <c r="CF517" s="5" t="n">
        <v>116.198</v>
      </c>
      <c r="CG517" s="5" t="n">
        <v>0</v>
      </c>
      <c r="CH517" s="5" t="n">
        <v>1</v>
      </c>
      <c r="CI517" s="5" t="n">
        <v>0</v>
      </c>
      <c r="CJ517" s="5" t="n">
        <v>0</v>
      </c>
      <c r="CK517" s="5" t="n">
        <v>0</v>
      </c>
      <c r="CL517" s="5" t="n">
        <v>0</v>
      </c>
      <c r="CM517" s="5" t="n">
        <v>0</v>
      </c>
      <c r="CN517" s="5" t="n">
        <v>0</v>
      </c>
      <c r="CO517" s="5" t="n">
        <v>0</v>
      </c>
      <c r="CP517" s="5" t="n">
        <v>0.064</v>
      </c>
      <c r="CQ517" s="5" t="n">
        <v>1.387</v>
      </c>
      <c r="CR517" s="5" t="n">
        <v>0</v>
      </c>
      <c r="CS517" s="5" t="n">
        <v>5.529</v>
      </c>
      <c r="CT517" s="5" t="n">
        <v>4.251</v>
      </c>
      <c r="CU517" s="5" t="n">
        <v>10.168</v>
      </c>
    </row>
    <row r="518">
      <c r="A518" s="5" t="inlineStr">
        <is>
          <t>MEX2021</t>
        </is>
      </c>
      <c r="B518" s="5" t="inlineStr">
        <is>
          <t>MEX</t>
        </is>
      </c>
      <c r="C518" s="5" t="inlineStr">
        <is>
          <t>MEX</t>
        </is>
      </c>
      <c r="D518" s="5" t="inlineStr">
        <is>
          <t>Mexico</t>
        </is>
      </c>
      <c r="E518" s="5" t="n">
        <v>2021</v>
      </c>
      <c r="F518" s="5" t="n">
        <v>0.16</v>
      </c>
      <c r="G518" s="5" t="n">
        <v>2.755</v>
      </c>
      <c r="H518" s="5" t="n">
        <v>0.603</v>
      </c>
      <c r="I518" s="5" t="n">
        <v>0.047</v>
      </c>
      <c r="J518" s="5" t="n">
        <v>2.802</v>
      </c>
      <c r="K518" s="5" t="n">
        <v>0</v>
      </c>
      <c r="L518" s="5" t="n">
        <v>1</v>
      </c>
      <c r="M518" s="5" t="n">
        <v>3.178</v>
      </c>
      <c r="N518" s="5" t="n">
        <v>1.44</v>
      </c>
      <c r="O518" s="5" t="n">
        <v>0.049</v>
      </c>
      <c r="P518" s="5" t="n">
        <v>3.227</v>
      </c>
      <c r="Q518" s="5" t="n">
        <v>0</v>
      </c>
      <c r="R518" s="5" t="n">
        <v>1</v>
      </c>
      <c r="S518" s="5" t="n">
        <v>8.807</v>
      </c>
      <c r="T518" s="5" t="n">
        <v>5.482</v>
      </c>
      <c r="U518" s="5" t="n">
        <v>0.047</v>
      </c>
      <c r="V518" s="5" t="n">
        <v>10.27</v>
      </c>
      <c r="W518" s="5" t="n">
        <v>0.16</v>
      </c>
      <c r="X518" s="5" t="n">
        <v>1</v>
      </c>
      <c r="Y518" s="5" t="n">
        <v>5.149</v>
      </c>
      <c r="Z518" s="5" t="n">
        <v>0.569</v>
      </c>
      <c r="AA518" s="5" t="n">
        <v>0.034</v>
      </c>
      <c r="AB518" s="5" t="n">
        <v>5.182</v>
      </c>
      <c r="AC518" s="5" t="n">
        <v>0</v>
      </c>
      <c r="AD518" s="5" t="n">
        <v>1</v>
      </c>
      <c r="AE518" s="5" t="n">
        <v>14.015</v>
      </c>
      <c r="AF518" s="5" t="n">
        <v>2.758</v>
      </c>
      <c r="AG518" s="5" t="n">
        <v>-7.356</v>
      </c>
      <c r="AH518" s="5" t="n">
        <v>6.659</v>
      </c>
      <c r="AI518" s="5" t="n">
        <v>0</v>
      </c>
      <c r="AJ518" s="5" t="n">
        <v>1</v>
      </c>
      <c r="AK518" s="5" t="n">
        <v>19.346</v>
      </c>
      <c r="AL518" s="5" t="n">
        <v>9.494999999999999</v>
      </c>
      <c r="AM518" s="5" t="n">
        <v>-4.052</v>
      </c>
      <c r="AN518" s="5" t="n">
        <v>17.741</v>
      </c>
      <c r="AO518" s="5" t="n">
        <v>0.16</v>
      </c>
      <c r="AP518" s="5" t="n">
        <v>1</v>
      </c>
      <c r="AQ518" s="5" t="n">
        <v>0.649</v>
      </c>
      <c r="AR518" s="5" t="n">
        <v>0.114</v>
      </c>
      <c r="AS518" s="5" t="n">
        <v>0.204</v>
      </c>
      <c r="AT518" s="5" t="n">
        <v>0.99</v>
      </c>
      <c r="AU518" s="5" t="n">
        <v>0.16</v>
      </c>
      <c r="AV518" s="5" t="n">
        <v>1</v>
      </c>
      <c r="AW518" s="5" t="n">
        <v>0.577</v>
      </c>
      <c r="AX518" s="5" t="n">
        <v>0.114</v>
      </c>
      <c r="AY518" s="5" t="n">
        <v>0.335</v>
      </c>
      <c r="AZ518" s="5" t="n">
        <v>1.058</v>
      </c>
      <c r="BA518" s="5" t="n">
        <v>0.16</v>
      </c>
      <c r="BB518" s="5" t="n">
        <v>1</v>
      </c>
      <c r="BC518" s="5" t="n">
        <v>0.458</v>
      </c>
      <c r="BD518" s="5" t="n">
        <v>0.114</v>
      </c>
      <c r="BE518" s="5" t="n">
        <v>0.114</v>
      </c>
      <c r="BF518" s="5" t="n">
        <v>0.663</v>
      </c>
      <c r="BG518" s="5" t="n">
        <v>0.16</v>
      </c>
      <c r="BH518" s="5" t="n">
        <v>1</v>
      </c>
      <c r="BI518" s="5" t="n">
        <v>0.491</v>
      </c>
      <c r="BJ518" s="5" t="n">
        <v>0.114</v>
      </c>
      <c r="BK518" s="5" t="n">
        <v>0.285</v>
      </c>
      <c r="BL518" s="5" t="n">
        <v>0.9</v>
      </c>
      <c r="BM518" s="5" t="n">
        <v>0.16</v>
      </c>
      <c r="BN518" s="5" t="n">
        <v>1</v>
      </c>
      <c r="BO518" s="5" t="n">
        <v>0</v>
      </c>
      <c r="BP518" s="5" t="n">
        <v>-0.007</v>
      </c>
      <c r="BQ518" s="5" t="n">
        <v>0.101</v>
      </c>
      <c r="BR518" s="5" t="n">
        <v>0</v>
      </c>
      <c r="BS518" s="5" t="n">
        <v>1</v>
      </c>
      <c r="BT518" s="5" t="n">
        <v>0</v>
      </c>
      <c r="BU518" s="5" t="n">
        <v>-0.007</v>
      </c>
      <c r="BV518" s="5" t="n">
        <v>0.109</v>
      </c>
      <c r="BW518" s="5" t="n">
        <v>0.16</v>
      </c>
      <c r="BX518" s="5" t="n">
        <v>0.667</v>
      </c>
      <c r="BY518" s="5" t="n">
        <v>11.787</v>
      </c>
      <c r="BZ518" s="5" t="n">
        <v>0</v>
      </c>
      <c r="CA518" s="5" t="n">
        <v>11.787</v>
      </c>
      <c r="CB518" s="5" t="n">
        <v>0</v>
      </c>
      <c r="CC518" s="5" t="n">
        <v>78.125</v>
      </c>
      <c r="CD518" s="5" t="n">
        <v>7.95</v>
      </c>
      <c r="CE518" s="5" t="n">
        <v>-26.724</v>
      </c>
      <c r="CF518" s="5" t="n">
        <v>59.625</v>
      </c>
      <c r="CG518" s="5" t="n">
        <v>0</v>
      </c>
      <c r="CH518" s="5" t="n">
        <v>1</v>
      </c>
      <c r="CI518" s="5" t="n">
        <v>0</v>
      </c>
      <c r="CJ518" s="5" t="n">
        <v>0</v>
      </c>
      <c r="CK518" s="5" t="n">
        <v>0</v>
      </c>
      <c r="CL518" s="5" t="n">
        <v>0</v>
      </c>
      <c r="CM518" s="5" t="n">
        <v>0</v>
      </c>
      <c r="CN518" s="5" t="n">
        <v>1.744</v>
      </c>
      <c r="CO518" s="5" t="n">
        <v>6.028</v>
      </c>
      <c r="CP518" s="5" t="n">
        <v>0</v>
      </c>
      <c r="CQ518" s="5" t="n">
        <v>1.198</v>
      </c>
      <c r="CR518" s="5" t="n">
        <v>0</v>
      </c>
      <c r="CS518" s="5" t="n">
        <v>6.891</v>
      </c>
      <c r="CT518" s="5" t="n">
        <v>4.753</v>
      </c>
      <c r="CU518" s="5" t="n">
        <v>15.983</v>
      </c>
    </row>
    <row r="519">
      <c r="A519" s="5" t="inlineStr">
        <is>
          <t>MEX2022</t>
        </is>
      </c>
      <c r="B519" s="5" t="inlineStr">
        <is>
          <t>MEX</t>
        </is>
      </c>
      <c r="C519" s="5" t="inlineStr">
        <is>
          <t>MEX</t>
        </is>
      </c>
      <c r="D519" s="5" t="inlineStr">
        <is>
          <t>Mexico</t>
        </is>
      </c>
      <c r="E519" s="5" t="n">
        <v>2022</v>
      </c>
      <c r="F519" s="5" t="n">
        <v>0.16</v>
      </c>
      <c r="G519" s="5" t="n">
        <v>6.927</v>
      </c>
      <c r="H519" s="5" t="n">
        <v>1.076</v>
      </c>
      <c r="I519" s="5" t="n">
        <v>0.017</v>
      </c>
      <c r="J519" s="5" t="n">
        <v>6.944</v>
      </c>
      <c r="K519" s="5" t="n">
        <v>0</v>
      </c>
      <c r="L519" s="5" t="n">
        <v>1</v>
      </c>
      <c r="M519" s="5" t="n">
        <v>4.787</v>
      </c>
      <c r="N519" s="5" t="n">
        <v>1.977</v>
      </c>
      <c r="O519" s="5" t="n">
        <v>0.018</v>
      </c>
      <c r="P519" s="5" t="n">
        <v>4.805</v>
      </c>
      <c r="Q519" s="5" t="n">
        <v>0</v>
      </c>
      <c r="R519" s="5" t="n">
        <v>1</v>
      </c>
      <c r="S519" s="5" t="n">
        <v>13.543</v>
      </c>
      <c r="T519" s="5" t="n">
        <v>6.158</v>
      </c>
      <c r="U519" s="5" t="n">
        <v>0.178</v>
      </c>
      <c r="V519" s="5" t="n">
        <v>15.729</v>
      </c>
      <c r="W519" s="5" t="n">
        <v>0.16</v>
      </c>
      <c r="X519" s="5" t="n">
        <v>1</v>
      </c>
      <c r="Y519" s="5" t="n">
        <v>5.125</v>
      </c>
      <c r="Z519" s="5" t="n">
        <v>0.538</v>
      </c>
      <c r="AA519" s="5" t="n">
        <v>0.058</v>
      </c>
      <c r="AB519" s="5" t="n">
        <v>5.184</v>
      </c>
      <c r="AC519" s="5" t="n">
        <v>0</v>
      </c>
      <c r="AD519" s="5" t="n">
        <v>1</v>
      </c>
      <c r="AE519" s="5" t="n">
        <v>27.708</v>
      </c>
      <c r="AF519" s="5" t="n">
        <v>5.137</v>
      </c>
      <c r="AG519" s="5" t="n">
        <v>-19.093</v>
      </c>
      <c r="AH519" s="5" t="n">
        <v>8.615</v>
      </c>
      <c r="AI519" s="5" t="n">
        <v>0</v>
      </c>
      <c r="AJ519" s="5" t="n">
        <v>1</v>
      </c>
      <c r="AK519" s="5" t="n">
        <v>33.587</v>
      </c>
      <c r="AL519" s="5" t="n">
        <v>16.039</v>
      </c>
      <c r="AM519" s="5" t="n">
        <v>-16.538</v>
      </c>
      <c r="AN519" s="5" t="n">
        <v>19.777</v>
      </c>
      <c r="AO519" s="5" t="n">
        <v>0.16</v>
      </c>
      <c r="AP519" s="5" t="n">
        <v>1</v>
      </c>
      <c r="AQ519" s="5" t="n">
        <v>0.896</v>
      </c>
      <c r="AR519" s="5" t="n">
        <v>0.123</v>
      </c>
      <c r="AS519" s="5" t="n">
        <v>0.012</v>
      </c>
      <c r="AT519" s="5" t="n">
        <v>1.053</v>
      </c>
      <c r="AU519" s="5" t="n">
        <v>0.16</v>
      </c>
      <c r="AV519" s="5" t="n">
        <v>1</v>
      </c>
      <c r="AW519" s="5" t="n">
        <v>0.89</v>
      </c>
      <c r="AX519" s="5" t="n">
        <v>0.123</v>
      </c>
      <c r="AY519" s="5" t="n">
        <v>0.083</v>
      </c>
      <c r="AZ519" s="5" t="n">
        <v>1.129</v>
      </c>
      <c r="BA519" s="5" t="n">
        <v>0.16</v>
      </c>
      <c r="BB519" s="5" t="n">
        <v>1</v>
      </c>
      <c r="BC519" s="5" t="n">
        <v>0.62</v>
      </c>
      <c r="BD519" s="5" t="n">
        <v>0.123</v>
      </c>
      <c r="BE519" s="5" t="n">
        <v>-0.028</v>
      </c>
      <c r="BF519" s="5" t="n">
        <v>0.6870000000000001</v>
      </c>
      <c r="BG519" s="5" t="n">
        <v>0.16</v>
      </c>
      <c r="BH519" s="5" t="n">
        <v>1</v>
      </c>
      <c r="BI519" s="5" t="n">
        <v>0.608</v>
      </c>
      <c r="BJ519" s="5" t="n">
        <v>0.123</v>
      </c>
      <c r="BK519" s="5" t="n">
        <v>0.189</v>
      </c>
      <c r="BL519" s="5" t="n">
        <v>0.924</v>
      </c>
      <c r="BM519" s="5" t="n">
        <v>0.16</v>
      </c>
      <c r="BN519" s="5" t="n">
        <v>1</v>
      </c>
      <c r="BO519" s="5" t="n">
        <v>0</v>
      </c>
      <c r="BP519" s="5" t="n">
        <v>-0.011</v>
      </c>
      <c r="BQ519" s="5" t="n">
        <v>0.08599999999999999</v>
      </c>
      <c r="BR519" s="5" t="n">
        <v>0</v>
      </c>
      <c r="BS519" s="5" t="n">
        <v>1</v>
      </c>
      <c r="BT519" s="5" t="n">
        <v>0</v>
      </c>
      <c r="BU519" s="5" t="n">
        <v>-0.011</v>
      </c>
      <c r="BV519" s="5" t="n">
        <v>0.116</v>
      </c>
      <c r="BW519" s="5" t="n">
        <v>0.16</v>
      </c>
      <c r="BX519" s="5" t="n">
        <v>0.667</v>
      </c>
      <c r="BY519" s="5" t="n">
        <v>12.729</v>
      </c>
      <c r="BZ519" s="5" t="n">
        <v>0</v>
      </c>
      <c r="CA519" s="5" t="n">
        <v>12.729</v>
      </c>
      <c r="CB519" s="5" t="n">
        <v>0</v>
      </c>
      <c r="CC519" s="5" t="n">
        <v>97.90000000000001</v>
      </c>
      <c r="CD519" s="5" t="n">
        <v>7.95</v>
      </c>
      <c r="CE519" s="5" t="n">
        <v>-14.562</v>
      </c>
      <c r="CF519" s="5" t="n">
        <v>96.672</v>
      </c>
      <c r="CG519" s="5" t="n">
        <v>0</v>
      </c>
      <c r="CH519" s="5" t="n">
        <v>1</v>
      </c>
      <c r="CI519" s="5" t="n">
        <v>0</v>
      </c>
      <c r="CJ519" s="5" t="n">
        <v>0</v>
      </c>
      <c r="CK519" s="5" t="n">
        <v>0</v>
      </c>
      <c r="CL519" s="5" t="n">
        <v>0</v>
      </c>
      <c r="CM519" s="5" t="n">
        <v>0</v>
      </c>
      <c r="CN519" s="5" t="n">
        <v>2.163</v>
      </c>
      <c r="CO519" s="5" t="n">
        <v>6.73</v>
      </c>
      <c r="CP519" s="5" t="n">
        <v>0</v>
      </c>
      <c r="CQ519" s="5" t="n">
        <v>1.294</v>
      </c>
      <c r="CR519" s="5" t="n">
        <v>0</v>
      </c>
      <c r="CS519" s="5" t="n">
        <v>7.442</v>
      </c>
      <c r="CT519" s="5" t="n">
        <v>10.485</v>
      </c>
      <c r="CU519" s="5" t="n">
        <v>29.494</v>
      </c>
    </row>
    <row r="520">
      <c r="A520" s="5" t="inlineStr">
        <is>
          <t>MEX2023</t>
        </is>
      </c>
      <c r="B520" s="5" t="inlineStr">
        <is>
          <t>MEX</t>
        </is>
      </c>
      <c r="C520" s="5" t="inlineStr">
        <is>
          <t>MEX</t>
        </is>
      </c>
      <c r="D520" s="5" t="inlineStr">
        <is>
          <t>Mexico</t>
        </is>
      </c>
      <c r="E520" s="5" t="n">
        <v>2023</v>
      </c>
      <c r="F520" s="5" t="n">
        <v>0.16</v>
      </c>
      <c r="G520" s="5" t="n">
        <v>3.215</v>
      </c>
      <c r="H520" s="5" t="n">
        <v>0.732</v>
      </c>
      <c r="I520" s="5" t="n">
        <v>0.021</v>
      </c>
      <c r="J520" s="5" t="n">
        <v>3.236</v>
      </c>
      <c r="K520" s="5" t="n">
        <v>0</v>
      </c>
      <c r="L520" s="5" t="n">
        <v>1</v>
      </c>
      <c r="M520" s="5" t="n">
        <v>3.523</v>
      </c>
      <c r="N520" s="5" t="n">
        <v>1.747</v>
      </c>
      <c r="O520" s="5" t="n">
        <v>0.022</v>
      </c>
      <c r="P520" s="5" t="n">
        <v>3.545</v>
      </c>
      <c r="Q520" s="5" t="n">
        <v>0</v>
      </c>
      <c r="R520" s="5" t="n">
        <v>1</v>
      </c>
      <c r="S520" s="5" t="n">
        <v>10.007</v>
      </c>
      <c r="T520" s="5" t="n">
        <v>6.37</v>
      </c>
      <c r="U520" s="5" t="n">
        <v>0.198</v>
      </c>
      <c r="V520" s="5" t="n">
        <v>11.632</v>
      </c>
      <c r="W520" s="5" t="n">
        <v>0.16</v>
      </c>
      <c r="X520" s="5" t="n">
        <v>1</v>
      </c>
      <c r="Y520" s="5" t="n">
        <v>5.575</v>
      </c>
      <c r="Z520" s="5" t="n">
        <v>0.625</v>
      </c>
      <c r="AA520" s="5" t="n">
        <v>0.083</v>
      </c>
      <c r="AB520" s="5" t="n">
        <v>5.659</v>
      </c>
      <c r="AC520" s="5" t="n">
        <v>0</v>
      </c>
      <c r="AD520" s="5" t="n">
        <v>1</v>
      </c>
      <c r="AE520" s="5" t="n">
        <v>9.507999999999999</v>
      </c>
      <c r="AF520" s="5" t="n">
        <v>1.894</v>
      </c>
      <c r="AG520" s="5" t="n">
        <v>-3.056</v>
      </c>
      <c r="AH520" s="5" t="n">
        <v>6.452</v>
      </c>
      <c r="AI520" s="5" t="n">
        <v>0</v>
      </c>
      <c r="AJ520" s="5" t="n">
        <v>1</v>
      </c>
      <c r="AK520" s="5" t="n">
        <v>15.693</v>
      </c>
      <c r="AL520" s="5" t="n">
        <v>7.774</v>
      </c>
      <c r="AM520" s="5" t="n">
        <v>0.774</v>
      </c>
      <c r="AN520" s="5" t="n">
        <v>19.103</v>
      </c>
      <c r="AO520" s="5" t="n">
        <v>0.16</v>
      </c>
      <c r="AP520" s="5" t="n">
        <v>1</v>
      </c>
      <c r="AQ520" s="5" t="n">
        <v>0.791</v>
      </c>
      <c r="AR520" s="5" t="n">
        <v>0.129</v>
      </c>
      <c r="AS520" s="5" t="n">
        <v>0.29</v>
      </c>
      <c r="AT520" s="5" t="n">
        <v>1.253</v>
      </c>
      <c r="AU520" s="5" t="n">
        <v>0.16</v>
      </c>
      <c r="AV520" s="5" t="n">
        <v>1</v>
      </c>
      <c r="AW520" s="5" t="n">
        <v>0.618</v>
      </c>
      <c r="AX520" s="5" t="n">
        <v>0.129</v>
      </c>
      <c r="AY520" s="5" t="n">
        <v>0.528</v>
      </c>
      <c r="AZ520" s="5" t="n">
        <v>1.329</v>
      </c>
      <c r="BA520" s="5" t="n">
        <v>0.16</v>
      </c>
      <c r="BB520" s="5" t="n">
        <v>1</v>
      </c>
      <c r="BC520" s="5" t="n">
        <v>0.554</v>
      </c>
      <c r="BD520" s="5" t="n">
        <v>0.129</v>
      </c>
      <c r="BE520" s="5" t="n">
        <v>-0.093</v>
      </c>
      <c r="BF520" s="5" t="n">
        <v>0.535</v>
      </c>
      <c r="BG520" s="5" t="n">
        <v>0.16</v>
      </c>
      <c r="BH520" s="5" t="n">
        <v>1</v>
      </c>
      <c r="BI520" s="5" t="n">
        <v>0.5570000000000001</v>
      </c>
      <c r="BJ520" s="5" t="n">
        <v>0.129</v>
      </c>
      <c r="BK520" s="5" t="n">
        <v>0.383</v>
      </c>
      <c r="BL520" s="5" t="n">
        <v>1.091</v>
      </c>
      <c r="BM520" s="5" t="n">
        <v>0.16</v>
      </c>
      <c r="BN520" s="5" t="n">
        <v>1</v>
      </c>
      <c r="BO520" s="5" t="n">
        <v>0</v>
      </c>
      <c r="BP520" s="5" t="n">
        <v>-0.002</v>
      </c>
      <c r="BQ520" s="5" t="n">
        <v>0.121</v>
      </c>
      <c r="BR520" s="5" t="n">
        <v>0</v>
      </c>
      <c r="BS520" s="5" t="n">
        <v>1</v>
      </c>
      <c r="BT520" s="5" t="n">
        <v>0</v>
      </c>
      <c r="BU520" s="5" t="n">
        <v>-0.002</v>
      </c>
      <c r="BV520" s="5" t="n">
        <v>0.136</v>
      </c>
      <c r="BW520" s="5" t="n">
        <v>0.16</v>
      </c>
      <c r="BX520" s="5" t="n">
        <v>0.667</v>
      </c>
      <c r="BY520" s="5" t="n">
        <v>13.254</v>
      </c>
      <c r="BZ520" s="5" t="n">
        <v>0</v>
      </c>
      <c r="CA520" s="5" t="n">
        <v>13.254</v>
      </c>
      <c r="CB520" s="5" t="n">
        <v>0</v>
      </c>
      <c r="CC520" s="5" t="n">
        <v>83.248</v>
      </c>
      <c r="CD520" s="5" t="n">
        <v>7.95</v>
      </c>
      <c r="CE520" s="5" t="n">
        <v>15.09</v>
      </c>
      <c r="CF520" s="5" t="n">
        <v>114.072</v>
      </c>
      <c r="CG520" s="5" t="n">
        <v>0</v>
      </c>
      <c r="CH520" s="5" t="n">
        <v>1</v>
      </c>
      <c r="CI520" s="5" t="n">
        <v>0</v>
      </c>
      <c r="CJ520" s="5" t="n">
        <v>0</v>
      </c>
      <c r="CK520" s="5" t="n">
        <v>0</v>
      </c>
      <c r="CL520" s="5" t="n">
        <v>0</v>
      </c>
      <c r="CM520" s="5" t="n">
        <v>0</v>
      </c>
      <c r="CN520" s="5" t="n">
        <v>2.334</v>
      </c>
      <c r="CO520" s="5" t="n">
        <v>7.113</v>
      </c>
      <c r="CP520" s="5" t="n">
        <v>0</v>
      </c>
      <c r="CQ520" s="5" t="n">
        <v>1.348</v>
      </c>
      <c r="CR520" s="5" t="n">
        <v>0</v>
      </c>
      <c r="CS520" s="5" t="n">
        <v>7.749</v>
      </c>
      <c r="CT520" s="5" t="n">
        <v>4.861</v>
      </c>
      <c r="CU520" s="5" t="n">
        <v>11.192</v>
      </c>
    </row>
    <row r="521">
      <c r="A521" s="5" t="inlineStr">
        <is>
          <t>MEX2024</t>
        </is>
      </c>
      <c r="B521" s="5" t="inlineStr">
        <is>
          <t>MEX</t>
        </is>
      </c>
      <c r="C521" s="5" t="inlineStr">
        <is>
          <t>MEX</t>
        </is>
      </c>
      <c r="D521" s="5" t="inlineStr">
        <is>
          <t>Mexico</t>
        </is>
      </c>
      <c r="E521" s="5" t="n">
        <v>2024</v>
      </c>
      <c r="F521" s="5" t="n">
        <v>0.16</v>
      </c>
      <c r="G521" s="5" t="n">
        <v>2.863</v>
      </c>
      <c r="H521" s="5" t="n">
        <v>0.725</v>
      </c>
      <c r="I521" s="5" t="n">
        <v>0.025</v>
      </c>
      <c r="J521" s="5" t="n">
        <v>2.888</v>
      </c>
      <c r="K521" s="5" t="n">
        <v>0</v>
      </c>
      <c r="L521" s="5" t="n">
        <v>1</v>
      </c>
      <c r="M521" s="5" t="n">
        <v>3.06</v>
      </c>
      <c r="N521" s="5" t="n">
        <v>1.667</v>
      </c>
      <c r="O521" s="5" t="n">
        <v>0.026</v>
      </c>
      <c r="P521" s="5" t="n">
        <v>3.085</v>
      </c>
      <c r="Q521" s="5" t="n">
        <v>0</v>
      </c>
      <c r="R521" s="5" t="n">
        <v>1</v>
      </c>
      <c r="S521" s="5" t="n">
        <v>9.811</v>
      </c>
      <c r="T521" s="5" t="n">
        <v>6.558</v>
      </c>
      <c r="U521" s="5" t="n">
        <v>0.239</v>
      </c>
      <c r="V521" s="5" t="n">
        <v>11.41</v>
      </c>
      <c r="W521" s="5" t="n">
        <v>0.16</v>
      </c>
      <c r="X521" s="5" t="n">
        <v>1</v>
      </c>
      <c r="Y521" s="5" t="n">
        <v>4.758</v>
      </c>
      <c r="Z521" s="5" t="n">
        <v>0.601</v>
      </c>
      <c r="AA521" s="5" t="n">
        <v>0.08599999999999999</v>
      </c>
      <c r="AB521" s="5" t="n">
        <v>4.844</v>
      </c>
      <c r="AC521" s="5" t="n">
        <v>0</v>
      </c>
      <c r="AD521" s="5" t="n">
        <v>1</v>
      </c>
      <c r="AE521" s="5" t="n">
        <v>3.757</v>
      </c>
      <c r="AF521" s="5" t="n">
        <v>0.823</v>
      </c>
      <c r="AG521" s="5" t="n">
        <v>0.08599999999999999</v>
      </c>
      <c r="AH521" s="5" t="n">
        <v>3.843</v>
      </c>
      <c r="AI521" s="5" t="n">
        <v>0</v>
      </c>
      <c r="AJ521" s="5" t="n">
        <v>1</v>
      </c>
      <c r="AK521" s="5" t="n">
        <v>10.459</v>
      </c>
      <c r="AL521" s="5" t="n">
        <v>5.32</v>
      </c>
      <c r="AM521" s="5" t="n">
        <v>0</v>
      </c>
      <c r="AN521" s="5" t="n">
        <v>12.132</v>
      </c>
      <c r="AO521" s="5" t="n">
        <v>0.16</v>
      </c>
      <c r="AP521" s="5" t="n">
        <v>1</v>
      </c>
      <c r="AQ521" s="5" t="n">
        <v>0.756</v>
      </c>
      <c r="AR521" s="5" t="n">
        <v>0.132</v>
      </c>
      <c r="AS521" s="5" t="n">
        <v>0.336</v>
      </c>
      <c r="AT521" s="5" t="n">
        <v>1.267</v>
      </c>
      <c r="AU521" s="5" t="n">
        <v>0.16</v>
      </c>
      <c r="AV521" s="5" t="n">
        <v>1</v>
      </c>
      <c r="AW521" s="5" t="n">
        <v>0.655</v>
      </c>
      <c r="AX521" s="5" t="n">
        <v>0.132</v>
      </c>
      <c r="AY521" s="5" t="n">
        <v>0.504</v>
      </c>
      <c r="AZ521" s="5" t="n">
        <v>1.344</v>
      </c>
      <c r="BA521" s="5" t="n">
        <v>0.16</v>
      </c>
      <c r="BB521" s="5" t="n">
        <v>1</v>
      </c>
      <c r="BC521" s="5" t="n">
        <v>0.534</v>
      </c>
      <c r="BD521" s="5" t="n">
        <v>0.132</v>
      </c>
      <c r="BE521" s="5" t="n">
        <v>-0.046</v>
      </c>
      <c r="BF521" s="5" t="n">
        <v>0.5649999999999999</v>
      </c>
      <c r="BG521" s="5" t="n">
        <v>0.16</v>
      </c>
      <c r="BH521" s="5" t="n">
        <v>1</v>
      </c>
      <c r="BI521" s="5" t="n">
        <v>0.5679999999999999</v>
      </c>
      <c r="BJ521" s="5" t="n">
        <v>0.132</v>
      </c>
      <c r="BK521" s="5" t="n">
        <v>0.237</v>
      </c>
      <c r="BL521" s="5" t="n">
        <v>0.9340000000000001</v>
      </c>
      <c r="BM521" s="5" t="n">
        <v>0.16</v>
      </c>
      <c r="BN521" s="5" t="n">
        <v>1</v>
      </c>
      <c r="BO521" s="5" t="n">
        <v>0</v>
      </c>
      <c r="BP521" s="5" t="n">
        <v>-0.002</v>
      </c>
      <c r="BQ521" s="5" t="n">
        <v>0.147</v>
      </c>
      <c r="BR521" s="5" t="n">
        <v>0</v>
      </c>
      <c r="BS521" s="5" t="n">
        <v>1</v>
      </c>
      <c r="BT521" s="5" t="n">
        <v>0</v>
      </c>
      <c r="BU521" s="5" t="n">
        <v>-0.002</v>
      </c>
      <c r="BV521" s="5" t="n">
        <v>0.131</v>
      </c>
      <c r="BW521" s="5" t="n">
        <v>0.16</v>
      </c>
      <c r="BX521" s="5" t="n">
        <v>0.667</v>
      </c>
      <c r="BY521" s="5" t="n">
        <v>13.646</v>
      </c>
      <c r="BZ521" s="5" t="n">
        <v>0</v>
      </c>
      <c r="CA521" s="5" t="n">
        <v>13.646</v>
      </c>
      <c r="CB521" s="5" t="n">
        <v>0</v>
      </c>
      <c r="CC521" s="5" t="n">
        <v>82.58799999999999</v>
      </c>
      <c r="CD521" s="5" t="n">
        <v>7.95</v>
      </c>
      <c r="CE521" s="5" t="n">
        <v>1.588</v>
      </c>
      <c r="CF521" s="5" t="n">
        <v>97.64400000000001</v>
      </c>
      <c r="CG521" s="5" t="n">
        <v>0</v>
      </c>
      <c r="CH521" s="5" t="n">
        <v>1</v>
      </c>
      <c r="CI521" s="5" t="n">
        <v>0</v>
      </c>
      <c r="CJ521" s="5" t="n">
        <v>0</v>
      </c>
      <c r="CK521" s="5" t="n">
        <v>0</v>
      </c>
      <c r="CL521" s="5" t="n">
        <v>0</v>
      </c>
      <c r="CM521" s="5" t="n">
        <v>0</v>
      </c>
      <c r="CN521" s="5" t="n">
        <v>2.582</v>
      </c>
      <c r="CO521" s="5" t="n">
        <v>7.288</v>
      </c>
      <c r="CP521" s="5" t="n">
        <v>0</v>
      </c>
      <c r="CQ521" s="5" t="n">
        <v>1.387</v>
      </c>
      <c r="CR521" s="5" t="n">
        <v>0</v>
      </c>
      <c r="CS521" s="5" t="n">
        <v>7.978</v>
      </c>
      <c r="CT521" s="5" t="n">
        <v>4.251</v>
      </c>
      <c r="CU521" s="5" t="n">
        <v>10.123</v>
      </c>
    </row>
    <row r="522">
      <c r="A522" s="5" t="inlineStr">
        <is>
          <t>FSM2021</t>
        </is>
      </c>
      <c r="B522" s="5" t="inlineStr">
        <is>
          <t>FSM</t>
        </is>
      </c>
      <c r="C522" s="5" t="inlineStr">
        <is>
          <t>FSM</t>
        </is>
      </c>
      <c r="D522" s="5" t="inlineStr">
        <is>
          <t>Micronesia</t>
        </is>
      </c>
      <c r="E522" s="5" t="n">
        <v>2021</v>
      </c>
      <c r="F522" s="5" t="n">
        <v>0</v>
      </c>
      <c r="G522" s="5" t="n">
        <v>4.747</v>
      </c>
      <c r="H522" s="5" t="n">
        <v>1.143</v>
      </c>
      <c r="I522" s="5" t="n">
        <v>0</v>
      </c>
      <c r="J522" s="5" t="n">
        <v>4.747</v>
      </c>
      <c r="K522" s="5" t="n">
        <v>0</v>
      </c>
      <c r="L522" s="5" t="n">
        <v>1</v>
      </c>
      <c r="M522" s="5" t="n">
        <v>7.964</v>
      </c>
      <c r="N522" s="5" t="n">
        <v>3.43</v>
      </c>
      <c r="O522" s="5" t="n">
        <v>0</v>
      </c>
      <c r="P522" s="5" t="n">
        <v>7.964</v>
      </c>
      <c r="Q522" s="5" t="n">
        <v>0</v>
      </c>
      <c r="R522" s="5" t="n">
        <v>1</v>
      </c>
      <c r="S522" s="5" t="n">
        <v>10.464</v>
      </c>
      <c r="T522" s="5" t="n">
        <v>6.86</v>
      </c>
      <c r="U522" s="5" t="n">
        <v>0</v>
      </c>
      <c r="V522" s="5" t="n">
        <v>10.464</v>
      </c>
      <c r="W522" s="5" t="n">
        <v>0</v>
      </c>
      <c r="X522" s="5" t="n">
        <v>1</v>
      </c>
      <c r="Y522" s="5" t="n">
        <v>10.551</v>
      </c>
      <c r="Z522" s="5" t="n">
        <v>1.302</v>
      </c>
      <c r="AA522" s="5" t="n">
        <v>0</v>
      </c>
      <c r="AB522" s="5" t="n">
        <v>10.551</v>
      </c>
      <c r="AC522" s="5" t="n">
        <v>0</v>
      </c>
      <c r="AD522" s="5" t="n">
        <v>1</v>
      </c>
      <c r="AE522" s="5" t="n">
        <v>11.694</v>
      </c>
      <c r="AF522" s="5" t="n">
        <v>2.549</v>
      </c>
      <c r="AG522" s="5" t="n">
        <v>0</v>
      </c>
      <c r="AH522" s="5" t="n">
        <v>11.694</v>
      </c>
      <c r="AI522" s="5" t="n">
        <v>0</v>
      </c>
      <c r="AJ522" s="5" t="n">
        <v>1</v>
      </c>
      <c r="AK522" s="5" t="n">
        <v>18.554</v>
      </c>
      <c r="AL522" s="5" t="n">
        <v>9.627000000000001</v>
      </c>
      <c r="AM522" s="5" t="n">
        <v>0</v>
      </c>
      <c r="AN522" s="5" t="n">
        <v>18.554</v>
      </c>
      <c r="AO522" s="5" t="n">
        <v>0</v>
      </c>
      <c r="AP522" s="5" t="n">
        <v>1</v>
      </c>
      <c r="AQ522" s="5" t="n">
        <v>0.621</v>
      </c>
      <c r="AR522" s="5" t="n">
        <v>0.114</v>
      </c>
      <c r="AS522" s="5" t="n">
        <v>0.726</v>
      </c>
      <c r="AT522" s="5" t="n">
        <v>1.346</v>
      </c>
      <c r="AU522" s="5" t="n">
        <v>0</v>
      </c>
      <c r="AV522" s="5" t="n">
        <v>1</v>
      </c>
      <c r="AW522" s="5" t="n">
        <v>0.593</v>
      </c>
      <c r="AX522" s="5" t="n">
        <v>0.114</v>
      </c>
      <c r="AY522" s="5" t="n">
        <v>0.877</v>
      </c>
      <c r="AZ522" s="5" t="n">
        <v>1.471</v>
      </c>
      <c r="BA522" s="5" t="n">
        <v>0</v>
      </c>
      <c r="BB522" s="5" t="n">
        <v>1</v>
      </c>
      <c r="BC522" s="5" t="n">
        <v>0.44</v>
      </c>
      <c r="BD522" s="5" t="n">
        <v>0.114</v>
      </c>
      <c r="BE522" s="5" t="n">
        <v>0</v>
      </c>
      <c r="BF522" s="5" t="n">
        <v>0.44</v>
      </c>
      <c r="BG522" s="5" t="n">
        <v>0</v>
      </c>
      <c r="BH522" s="5" t="n">
        <v>1</v>
      </c>
      <c r="BI522" s="5" t="n">
        <v>0.5600000000000001</v>
      </c>
      <c r="BJ522" s="5" t="n">
        <v>0.114</v>
      </c>
      <c r="BK522" s="5" t="n">
        <v>0.042</v>
      </c>
      <c r="BL522" s="5" t="n">
        <v>0.603</v>
      </c>
      <c r="BM522" s="5" t="n">
        <v>0</v>
      </c>
      <c r="BN522" s="5" t="n">
        <v>1</v>
      </c>
      <c r="BO522" s="5" t="n">
        <v>0</v>
      </c>
      <c r="BP522" s="5" t="n">
        <v>0</v>
      </c>
      <c r="BQ522" s="5" t="n">
        <v>0.471</v>
      </c>
      <c r="BR522" s="5" t="n">
        <v>0</v>
      </c>
      <c r="BS522" s="5" t="n">
        <v>1</v>
      </c>
      <c r="BT522" s="5" t="n">
        <v>0</v>
      </c>
      <c r="BU522" s="5" t="n">
        <v>0</v>
      </c>
      <c r="BV522" s="5" t="n">
        <v>0.435</v>
      </c>
      <c r="BW522" s="5" t="n">
        <v>0</v>
      </c>
      <c r="BX522" s="5" t="n">
        <v>1</v>
      </c>
      <c r="BY522" s="5" t="n">
        <v>11.787</v>
      </c>
      <c r="BZ522" s="5" t="n">
        <v>0</v>
      </c>
      <c r="CA522" s="5" t="n">
        <v>11.787</v>
      </c>
      <c r="CB522" s="5" t="n">
        <v>0</v>
      </c>
      <c r="CC522" s="5" t="n">
        <v>81.69499999999999</v>
      </c>
      <c r="CD522" s="5" t="n">
        <v>7.95</v>
      </c>
      <c r="CE522" s="5" t="n">
        <v>0</v>
      </c>
      <c r="CF522" s="5" t="n">
        <v>81.69499999999999</v>
      </c>
      <c r="CG522" s="5" t="n">
        <v>0</v>
      </c>
      <c r="CH522" s="5" t="n">
        <v>1</v>
      </c>
      <c r="CI522" s="5" t="n">
        <v>0</v>
      </c>
      <c r="CJ522" s="5" t="n">
        <v>0</v>
      </c>
      <c r="CK522" s="5" t="n">
        <v>0</v>
      </c>
      <c r="CL522" s="5" t="n">
        <v>0</v>
      </c>
      <c r="CM522" s="5" t="n">
        <v>0</v>
      </c>
      <c r="CN522" s="5" t="n">
        <v>0</v>
      </c>
      <c r="CO522" s="5" t="n">
        <v>0</v>
      </c>
      <c r="CP522" s="5" t="n">
        <v>0</v>
      </c>
      <c r="CQ522" s="5" t="n">
        <v>1.198</v>
      </c>
      <c r="CR522" s="5" t="n">
        <v>0</v>
      </c>
      <c r="CS522" s="5" t="n">
        <v>4.776</v>
      </c>
      <c r="CT522" s="5" t="n">
        <v>3.604</v>
      </c>
      <c r="CU522" s="5" t="n">
        <v>9.407999999999999</v>
      </c>
    </row>
    <row r="523">
      <c r="A523" s="5" t="inlineStr">
        <is>
          <t>FSM2022</t>
        </is>
      </c>
      <c r="B523" s="5" t="inlineStr">
        <is>
          <t>FSM</t>
        </is>
      </c>
      <c r="C523" s="5" t="inlineStr">
        <is>
          <t>FSM</t>
        </is>
      </c>
      <c r="D523" s="5" t="inlineStr">
        <is>
          <t>Micronesia</t>
        </is>
      </c>
      <c r="E523" s="5" t="n">
        <v>2022</v>
      </c>
      <c r="F523" s="5" t="n">
        <v>0</v>
      </c>
      <c r="G523" s="5" t="n">
        <v>8.788</v>
      </c>
      <c r="H523" s="5" t="n">
        <v>1.235</v>
      </c>
      <c r="I523" s="5" t="n">
        <v>0</v>
      </c>
      <c r="J523" s="5" t="n">
        <v>8.788</v>
      </c>
      <c r="K523" s="5" t="n">
        <v>0</v>
      </c>
      <c r="L523" s="5" t="n">
        <v>1</v>
      </c>
      <c r="M523" s="5" t="n">
        <v>9.782999999999999</v>
      </c>
      <c r="N523" s="5" t="n">
        <v>3.704</v>
      </c>
      <c r="O523" s="5" t="n">
        <v>0</v>
      </c>
      <c r="P523" s="5" t="n">
        <v>9.782999999999999</v>
      </c>
      <c r="Q523" s="5" t="n">
        <v>0</v>
      </c>
      <c r="R523" s="5" t="n">
        <v>1</v>
      </c>
      <c r="S523" s="5" t="n">
        <v>14.962</v>
      </c>
      <c r="T523" s="5" t="n">
        <v>7.408</v>
      </c>
      <c r="U523" s="5" t="n">
        <v>0</v>
      </c>
      <c r="V523" s="5" t="n">
        <v>14.962</v>
      </c>
      <c r="W523" s="5" t="n">
        <v>0</v>
      </c>
      <c r="X523" s="5" t="n">
        <v>1</v>
      </c>
      <c r="Y523" s="5" t="n">
        <v>17.332</v>
      </c>
      <c r="Z523" s="5" t="n">
        <v>2.139</v>
      </c>
      <c r="AA523" s="5" t="n">
        <v>0</v>
      </c>
      <c r="AB523" s="5" t="n">
        <v>17.332</v>
      </c>
      <c r="AC523" s="5" t="n">
        <v>0</v>
      </c>
      <c r="AD523" s="5" t="n">
        <v>1</v>
      </c>
      <c r="AE523" s="5" t="n">
        <v>18.566</v>
      </c>
      <c r="AF523" s="5" t="n">
        <v>4.048</v>
      </c>
      <c r="AG523" s="5" t="n">
        <v>0</v>
      </c>
      <c r="AH523" s="5" t="n">
        <v>18.566</v>
      </c>
      <c r="AI523" s="5" t="n">
        <v>0</v>
      </c>
      <c r="AJ523" s="5" t="n">
        <v>1</v>
      </c>
      <c r="AK523" s="5" t="n">
        <v>25.974</v>
      </c>
      <c r="AL523" s="5" t="n">
        <v>13.478</v>
      </c>
      <c r="AM523" s="5" t="n">
        <v>0</v>
      </c>
      <c r="AN523" s="5" t="n">
        <v>25.974</v>
      </c>
      <c r="AO523" s="5" t="n">
        <v>0</v>
      </c>
      <c r="AP523" s="5" t="n">
        <v>1</v>
      </c>
      <c r="AQ523" s="5" t="n">
        <v>0.847</v>
      </c>
      <c r="AR523" s="5" t="n">
        <v>0.123</v>
      </c>
      <c r="AS523" s="5" t="n">
        <v>0.784</v>
      </c>
      <c r="AT523" s="5" t="n">
        <v>1.63</v>
      </c>
      <c r="AU523" s="5" t="n">
        <v>0</v>
      </c>
      <c r="AV523" s="5" t="n">
        <v>1</v>
      </c>
      <c r="AW523" s="5" t="n">
        <v>0.947</v>
      </c>
      <c r="AX523" s="5" t="n">
        <v>0.123</v>
      </c>
      <c r="AY523" s="5" t="n">
        <v>0.948</v>
      </c>
      <c r="AZ523" s="5" t="n">
        <v>1.894</v>
      </c>
      <c r="BA523" s="5" t="n">
        <v>0</v>
      </c>
      <c r="BB523" s="5" t="n">
        <v>1</v>
      </c>
      <c r="BC523" s="5" t="n">
        <v>0.589</v>
      </c>
      <c r="BD523" s="5" t="n">
        <v>0.123</v>
      </c>
      <c r="BE523" s="5" t="n">
        <v>0</v>
      </c>
      <c r="BF523" s="5" t="n">
        <v>0.589</v>
      </c>
      <c r="BG523" s="5" t="n">
        <v>0</v>
      </c>
      <c r="BH523" s="5" t="n">
        <v>1</v>
      </c>
      <c r="BI523" s="5" t="n">
        <v>0.6889999999999999</v>
      </c>
      <c r="BJ523" s="5" t="n">
        <v>0.123</v>
      </c>
      <c r="BK523" s="5" t="n">
        <v>0.049</v>
      </c>
      <c r="BL523" s="5" t="n">
        <v>0.738</v>
      </c>
      <c r="BM523" s="5" t="n">
        <v>0</v>
      </c>
      <c r="BN523" s="5" t="n">
        <v>1</v>
      </c>
      <c r="BO523" s="5" t="n">
        <v>0</v>
      </c>
      <c r="BP523" s="5" t="n">
        <v>0</v>
      </c>
      <c r="BQ523" s="5" t="n">
        <v>0.509</v>
      </c>
      <c r="BR523" s="5" t="n">
        <v>0</v>
      </c>
      <c r="BS523" s="5" t="n">
        <v>1</v>
      </c>
      <c r="BT523" s="5" t="n">
        <v>0</v>
      </c>
      <c r="BU523" s="5" t="n">
        <v>0</v>
      </c>
      <c r="BV523" s="5" t="n">
        <v>0.47</v>
      </c>
      <c r="BW523" s="5" t="n">
        <v>0</v>
      </c>
      <c r="BX523" s="5" t="n">
        <v>1</v>
      </c>
      <c r="BY523" s="5" t="n">
        <v>12.729</v>
      </c>
      <c r="BZ523" s="5" t="n">
        <v>0</v>
      </c>
      <c r="CA523" s="5" t="n">
        <v>12.729</v>
      </c>
      <c r="CB523" s="5" t="n">
        <v>0</v>
      </c>
      <c r="CC523" s="5" t="n">
        <v>102.477</v>
      </c>
      <c r="CD523" s="5" t="n">
        <v>7.95</v>
      </c>
      <c r="CE523" s="5" t="n">
        <v>0</v>
      </c>
      <c r="CF523" s="5" t="n">
        <v>102.477</v>
      </c>
      <c r="CG523" s="5" t="n">
        <v>0</v>
      </c>
      <c r="CH523" s="5" t="n">
        <v>1</v>
      </c>
      <c r="CI523" s="5" t="n">
        <v>0</v>
      </c>
      <c r="CJ523" s="5" t="n">
        <v>0</v>
      </c>
      <c r="CK523" s="5" t="n">
        <v>0</v>
      </c>
      <c r="CL523" s="5" t="n">
        <v>0</v>
      </c>
      <c r="CM523" s="5" t="n">
        <v>0</v>
      </c>
      <c r="CN523" s="5" t="n">
        <v>0</v>
      </c>
      <c r="CO523" s="5" t="n">
        <v>0</v>
      </c>
      <c r="CP523" s="5" t="n">
        <v>0</v>
      </c>
      <c r="CQ523" s="5" t="n">
        <v>1.294</v>
      </c>
      <c r="CR523" s="5" t="n">
        <v>0</v>
      </c>
      <c r="CS523" s="5" t="n">
        <v>5.158</v>
      </c>
      <c r="CT523" s="5" t="n">
        <v>7.554</v>
      </c>
      <c r="CU523" s="5" t="n">
        <v>16.097</v>
      </c>
    </row>
    <row r="524">
      <c r="A524" s="5" t="inlineStr">
        <is>
          <t>FSM2023</t>
        </is>
      </c>
      <c r="B524" s="5" t="inlineStr">
        <is>
          <t>FSM</t>
        </is>
      </c>
      <c r="C524" s="5" t="inlineStr">
        <is>
          <t>FSM</t>
        </is>
      </c>
      <c r="D524" s="5" t="inlineStr">
        <is>
          <t>Micronesia</t>
        </is>
      </c>
      <c r="E524" s="5" t="n">
        <v>2023</v>
      </c>
      <c r="F524" s="5" t="n">
        <v>0</v>
      </c>
      <c r="G524" s="5" t="n">
        <v>5.77</v>
      </c>
      <c r="H524" s="5" t="n">
        <v>1.286</v>
      </c>
      <c r="I524" s="5" t="n">
        <v>0</v>
      </c>
      <c r="J524" s="5" t="n">
        <v>5.77</v>
      </c>
      <c r="K524" s="5" t="n">
        <v>0</v>
      </c>
      <c r="L524" s="5" t="n">
        <v>1</v>
      </c>
      <c r="M524" s="5" t="n">
        <v>7.886</v>
      </c>
      <c r="N524" s="5" t="n">
        <v>3.857</v>
      </c>
      <c r="O524" s="5" t="n">
        <v>0</v>
      </c>
      <c r="P524" s="5" t="n">
        <v>7.886</v>
      </c>
      <c r="Q524" s="5" t="n">
        <v>0</v>
      </c>
      <c r="R524" s="5" t="n">
        <v>1</v>
      </c>
      <c r="S524" s="5" t="n">
        <v>12.198</v>
      </c>
      <c r="T524" s="5" t="n">
        <v>7.714</v>
      </c>
      <c r="U524" s="5" t="n">
        <v>0</v>
      </c>
      <c r="V524" s="5" t="n">
        <v>12.198</v>
      </c>
      <c r="W524" s="5" t="n">
        <v>0</v>
      </c>
      <c r="X524" s="5" t="n">
        <v>1</v>
      </c>
      <c r="Y524" s="5" t="n">
        <v>13.814</v>
      </c>
      <c r="Z524" s="5" t="n">
        <v>1.705</v>
      </c>
      <c r="AA524" s="5" t="n">
        <v>0</v>
      </c>
      <c r="AB524" s="5" t="n">
        <v>13.814</v>
      </c>
      <c r="AC524" s="5" t="n">
        <v>0</v>
      </c>
      <c r="AD524" s="5" t="n">
        <v>1</v>
      </c>
      <c r="AE524" s="5" t="n">
        <v>15.1</v>
      </c>
      <c r="AF524" s="5" t="n">
        <v>3.292</v>
      </c>
      <c r="AG524" s="5" t="n">
        <v>0</v>
      </c>
      <c r="AH524" s="5" t="n">
        <v>15.1</v>
      </c>
      <c r="AI524" s="5" t="n">
        <v>0</v>
      </c>
      <c r="AJ524" s="5" t="n">
        <v>1</v>
      </c>
      <c r="AK524" s="5" t="n">
        <v>22.814</v>
      </c>
      <c r="AL524" s="5" t="n">
        <v>11.838</v>
      </c>
      <c r="AM524" s="5" t="n">
        <v>0</v>
      </c>
      <c r="AN524" s="5" t="n">
        <v>22.814</v>
      </c>
      <c r="AO524" s="5" t="n">
        <v>0</v>
      </c>
      <c r="AP524" s="5" t="n">
        <v>1</v>
      </c>
      <c r="AQ524" s="5" t="n">
        <v>0.749</v>
      </c>
      <c r="AR524" s="5" t="n">
        <v>0.129</v>
      </c>
      <c r="AS524" s="5" t="n">
        <v>0.8159999999999999</v>
      </c>
      <c r="AT524" s="5" t="n">
        <v>1.565</v>
      </c>
      <c r="AU524" s="5" t="n">
        <v>0</v>
      </c>
      <c r="AV524" s="5" t="n">
        <v>1</v>
      </c>
      <c r="AW524" s="5" t="n">
        <v>0.783</v>
      </c>
      <c r="AX524" s="5" t="n">
        <v>0.129</v>
      </c>
      <c r="AY524" s="5" t="n">
        <v>0.987</v>
      </c>
      <c r="AZ524" s="5" t="n">
        <v>1.769</v>
      </c>
      <c r="BA524" s="5" t="n">
        <v>0</v>
      </c>
      <c r="BB524" s="5" t="n">
        <v>1</v>
      </c>
      <c r="BC524" s="5" t="n">
        <v>0.527</v>
      </c>
      <c r="BD524" s="5" t="n">
        <v>0.129</v>
      </c>
      <c r="BE524" s="5" t="n">
        <v>0</v>
      </c>
      <c r="BF524" s="5" t="n">
        <v>0.527</v>
      </c>
      <c r="BG524" s="5" t="n">
        <v>0</v>
      </c>
      <c r="BH524" s="5" t="n">
        <v>1</v>
      </c>
      <c r="BI524" s="5" t="n">
        <v>0.64</v>
      </c>
      <c r="BJ524" s="5" t="n">
        <v>0.129</v>
      </c>
      <c r="BK524" s="5" t="n">
        <v>0.048</v>
      </c>
      <c r="BL524" s="5" t="n">
        <v>0.6879999999999999</v>
      </c>
      <c r="BM524" s="5" t="n">
        <v>0</v>
      </c>
      <c r="BN524" s="5" t="n">
        <v>1</v>
      </c>
      <c r="BO524" s="5" t="n">
        <v>0</v>
      </c>
      <c r="BP524" s="5" t="n">
        <v>0</v>
      </c>
      <c r="BQ524" s="5" t="n">
        <v>0.53</v>
      </c>
      <c r="BR524" s="5" t="n">
        <v>0</v>
      </c>
      <c r="BS524" s="5" t="n">
        <v>1</v>
      </c>
      <c r="BT524" s="5" t="n">
        <v>0</v>
      </c>
      <c r="BU524" s="5" t="n">
        <v>0</v>
      </c>
      <c r="BV524" s="5" t="n">
        <v>0.49</v>
      </c>
      <c r="BW524" s="5" t="n">
        <v>0</v>
      </c>
      <c r="BX524" s="5" t="n">
        <v>1</v>
      </c>
      <c r="BY524" s="5" t="n">
        <v>13.254</v>
      </c>
      <c r="BZ524" s="5" t="n">
        <v>0</v>
      </c>
      <c r="CA524" s="5" t="n">
        <v>13.254</v>
      </c>
      <c r="CB524" s="5" t="n">
        <v>0</v>
      </c>
      <c r="CC524" s="5" t="n">
        <v>87.07899999999999</v>
      </c>
      <c r="CD524" s="5" t="n">
        <v>7.95</v>
      </c>
      <c r="CE524" s="5" t="n">
        <v>0</v>
      </c>
      <c r="CF524" s="5" t="n">
        <v>87.07899999999999</v>
      </c>
      <c r="CG524" s="5" t="n">
        <v>0</v>
      </c>
      <c r="CH524" s="5" t="n">
        <v>1</v>
      </c>
      <c r="CI524" s="5" t="n">
        <v>0</v>
      </c>
      <c r="CJ524" s="5" t="n">
        <v>0</v>
      </c>
      <c r="CK524" s="5" t="n">
        <v>0</v>
      </c>
      <c r="CL524" s="5" t="n">
        <v>0</v>
      </c>
      <c r="CM524" s="5" t="n">
        <v>0</v>
      </c>
      <c r="CN524" s="5" t="n">
        <v>0</v>
      </c>
      <c r="CO524" s="5" t="n">
        <v>0</v>
      </c>
      <c r="CP524" s="5" t="n">
        <v>0</v>
      </c>
      <c r="CQ524" s="5" t="n">
        <v>1.348</v>
      </c>
      <c r="CR524" s="5" t="n">
        <v>0</v>
      </c>
      <c r="CS524" s="5" t="n">
        <v>5.37</v>
      </c>
      <c r="CT524" s="5" t="n">
        <v>4.484</v>
      </c>
      <c r="CU524" s="5" t="n">
        <v>12.529</v>
      </c>
    </row>
    <row r="525">
      <c r="A525" s="5" t="inlineStr">
        <is>
          <t>FSM2024</t>
        </is>
      </c>
      <c r="B525" s="5" t="inlineStr">
        <is>
          <t>FSM</t>
        </is>
      </c>
      <c r="C525" s="5" t="inlineStr">
        <is>
          <t>FSM</t>
        </is>
      </c>
      <c r="D525" s="5" t="inlineStr">
        <is>
          <t>Micronesia</t>
        </is>
      </c>
      <c r="E525" s="5" t="n">
        <v>2024</v>
      </c>
      <c r="F525" s="5" t="n">
        <v>0</v>
      </c>
      <c r="G525" s="5" t="n">
        <v>4.833</v>
      </c>
      <c r="H525" s="5" t="n">
        <v>1.324</v>
      </c>
      <c r="I525" s="5" t="n">
        <v>0</v>
      </c>
      <c r="J525" s="5" t="n">
        <v>4.833</v>
      </c>
      <c r="K525" s="5" t="n">
        <v>0</v>
      </c>
      <c r="L525" s="5" t="n">
        <v>1</v>
      </c>
      <c r="M525" s="5" t="n">
        <v>7.124</v>
      </c>
      <c r="N525" s="5" t="n">
        <v>3.971</v>
      </c>
      <c r="O525" s="5" t="n">
        <v>0</v>
      </c>
      <c r="P525" s="5" t="n">
        <v>7.124</v>
      </c>
      <c r="Q525" s="5" t="n">
        <v>0</v>
      </c>
      <c r="R525" s="5" t="n">
        <v>1</v>
      </c>
      <c r="S525" s="5" t="n">
        <v>11.451</v>
      </c>
      <c r="T525" s="5" t="n">
        <v>7.942</v>
      </c>
      <c r="U525" s="5" t="n">
        <v>0</v>
      </c>
      <c r="V525" s="5" t="n">
        <v>11.451</v>
      </c>
      <c r="W525" s="5" t="n">
        <v>0</v>
      </c>
      <c r="X525" s="5" t="n">
        <v>1</v>
      </c>
      <c r="Y525" s="5" t="n">
        <v>12.219</v>
      </c>
      <c r="Z525" s="5" t="n">
        <v>1.508</v>
      </c>
      <c r="AA525" s="5" t="n">
        <v>0</v>
      </c>
      <c r="AB525" s="5" t="n">
        <v>12.219</v>
      </c>
      <c r="AC525" s="5" t="n">
        <v>0</v>
      </c>
      <c r="AD525" s="5" t="n">
        <v>1</v>
      </c>
      <c r="AE525" s="5" t="n">
        <v>13.543</v>
      </c>
      <c r="AF525" s="5" t="n">
        <v>2.952</v>
      </c>
      <c r="AG525" s="5" t="n">
        <v>0</v>
      </c>
      <c r="AH525" s="5" t="n">
        <v>13.543</v>
      </c>
      <c r="AI525" s="5" t="n">
        <v>0</v>
      </c>
      <c r="AJ525" s="5" t="n">
        <v>1</v>
      </c>
      <c r="AK525" s="5" t="n">
        <v>21.484</v>
      </c>
      <c r="AL525" s="5" t="n">
        <v>11.148</v>
      </c>
      <c r="AM525" s="5" t="n">
        <v>0</v>
      </c>
      <c r="AN525" s="5" t="n">
        <v>21.484</v>
      </c>
      <c r="AO525" s="5" t="n">
        <v>0</v>
      </c>
      <c r="AP525" s="5" t="n">
        <v>1</v>
      </c>
      <c r="AQ525" s="5" t="n">
        <v>0.72</v>
      </c>
      <c r="AR525" s="5" t="n">
        <v>0.132</v>
      </c>
      <c r="AS525" s="5" t="n">
        <v>0.84</v>
      </c>
      <c r="AT525" s="5" t="n">
        <v>1.56</v>
      </c>
      <c r="AU525" s="5" t="n">
        <v>0</v>
      </c>
      <c r="AV525" s="5" t="n">
        <v>1</v>
      </c>
      <c r="AW525" s="5" t="n">
        <v>0.734</v>
      </c>
      <c r="AX525" s="5" t="n">
        <v>0.132</v>
      </c>
      <c r="AY525" s="5" t="n">
        <v>1.016</v>
      </c>
      <c r="AZ525" s="5" t="n">
        <v>1.749</v>
      </c>
      <c r="BA525" s="5" t="n">
        <v>0</v>
      </c>
      <c r="BB525" s="5" t="n">
        <v>1</v>
      </c>
      <c r="BC525" s="5" t="n">
        <v>0.51</v>
      </c>
      <c r="BD525" s="5" t="n">
        <v>0.132</v>
      </c>
      <c r="BE525" s="5" t="n">
        <v>0</v>
      </c>
      <c r="BF525" s="5" t="n">
        <v>0.51</v>
      </c>
      <c r="BG525" s="5" t="n">
        <v>0</v>
      </c>
      <c r="BH525" s="5" t="n">
        <v>1</v>
      </c>
      <c r="BI525" s="5" t="n">
        <v>0.652</v>
      </c>
      <c r="BJ525" s="5" t="n">
        <v>0.132</v>
      </c>
      <c r="BK525" s="5" t="n">
        <v>0.049</v>
      </c>
      <c r="BL525" s="5" t="n">
        <v>0.702</v>
      </c>
      <c r="BM525" s="5" t="n">
        <v>0</v>
      </c>
      <c r="BN525" s="5" t="n">
        <v>1</v>
      </c>
      <c r="BO525" s="5" t="n">
        <v>0</v>
      </c>
      <c r="BP525" s="5" t="n">
        <v>0</v>
      </c>
      <c r="BQ525" s="5" t="n">
        <v>0.545</v>
      </c>
      <c r="BR525" s="5" t="n">
        <v>0</v>
      </c>
      <c r="BS525" s="5" t="n">
        <v>1</v>
      </c>
      <c r="BT525" s="5" t="n">
        <v>0</v>
      </c>
      <c r="BU525" s="5" t="n">
        <v>0</v>
      </c>
      <c r="BV525" s="5" t="n">
        <v>0.504</v>
      </c>
      <c r="BW525" s="5" t="n">
        <v>0</v>
      </c>
      <c r="BX525" s="5" t="n">
        <v>1</v>
      </c>
      <c r="BY525" s="5" t="n">
        <v>13.646</v>
      </c>
      <c r="BZ525" s="5" t="n">
        <v>0</v>
      </c>
      <c r="CA525" s="5" t="n">
        <v>13.646</v>
      </c>
      <c r="CB525" s="5" t="n">
        <v>0</v>
      </c>
      <c r="CC525" s="5" t="n">
        <v>86.38500000000001</v>
      </c>
      <c r="CD525" s="5" t="n">
        <v>7.95</v>
      </c>
      <c r="CE525" s="5" t="n">
        <v>0</v>
      </c>
      <c r="CF525" s="5" t="n">
        <v>86.38500000000001</v>
      </c>
      <c r="CG525" s="5" t="n">
        <v>0</v>
      </c>
      <c r="CH525" s="5" t="n">
        <v>1</v>
      </c>
      <c r="CI525" s="5" t="n">
        <v>0</v>
      </c>
      <c r="CJ525" s="5" t="n">
        <v>0</v>
      </c>
      <c r="CK525" s="5" t="n">
        <v>0</v>
      </c>
      <c r="CL525" s="5" t="n">
        <v>0</v>
      </c>
      <c r="CM525" s="5" t="n">
        <v>0</v>
      </c>
      <c r="CN525" s="5" t="n">
        <v>0</v>
      </c>
      <c r="CO525" s="5" t="n">
        <v>0</v>
      </c>
      <c r="CP525" s="5" t="n">
        <v>0</v>
      </c>
      <c r="CQ525" s="5" t="n">
        <v>1.387</v>
      </c>
      <c r="CR525" s="5" t="n">
        <v>0</v>
      </c>
      <c r="CS525" s="5" t="n">
        <v>5.529</v>
      </c>
      <c r="CT525" s="5" t="n">
        <v>3.509</v>
      </c>
      <c r="CU525" s="5" t="n">
        <v>10.896</v>
      </c>
    </row>
    <row r="526">
      <c r="A526" s="5" t="inlineStr">
        <is>
          <t>MDA2021</t>
        </is>
      </c>
      <c r="B526" s="5" t="inlineStr">
        <is>
          <t>MDA</t>
        </is>
      </c>
      <c r="C526" s="5" t="inlineStr">
        <is>
          <t>MDA</t>
        </is>
      </c>
      <c r="D526" s="5" t="inlineStr">
        <is>
          <t>Moldova</t>
        </is>
      </c>
      <c r="E526" s="5" t="n">
        <v>2021</v>
      </c>
      <c r="F526" s="5" t="n">
        <v>0.2</v>
      </c>
      <c r="G526" s="5" t="n">
        <v>4.851</v>
      </c>
      <c r="H526" s="5" t="n">
        <v>1.037</v>
      </c>
      <c r="I526" s="5" t="n">
        <v>0</v>
      </c>
      <c r="J526" s="5" t="n">
        <v>4.851</v>
      </c>
      <c r="K526" s="5" t="n">
        <v>0</v>
      </c>
      <c r="L526" s="5" t="n">
        <v>1</v>
      </c>
      <c r="M526" s="5" t="n">
        <v>7.026</v>
      </c>
      <c r="N526" s="5" t="n">
        <v>3.111</v>
      </c>
      <c r="O526" s="5" t="n">
        <v>0</v>
      </c>
      <c r="P526" s="5" t="n">
        <v>7.026</v>
      </c>
      <c r="Q526" s="5" t="n">
        <v>0</v>
      </c>
      <c r="R526" s="5" t="n">
        <v>1</v>
      </c>
      <c r="S526" s="5" t="n">
        <v>10.036</v>
      </c>
      <c r="T526" s="5" t="n">
        <v>6.223</v>
      </c>
      <c r="U526" s="5" t="n">
        <v>0</v>
      </c>
      <c r="V526" s="5" t="n">
        <v>12.044</v>
      </c>
      <c r="W526" s="5" t="n">
        <v>0.2</v>
      </c>
      <c r="X526" s="5" t="n">
        <v>1</v>
      </c>
      <c r="Y526" s="5" t="n">
        <v>10.315</v>
      </c>
      <c r="Z526" s="5" t="n">
        <v>1.139</v>
      </c>
      <c r="AA526" s="5" t="n">
        <v>-0.163</v>
      </c>
      <c r="AB526" s="5" t="n">
        <v>10.152</v>
      </c>
      <c r="AC526" s="5" t="n">
        <v>0</v>
      </c>
      <c r="AD526" s="5" t="n">
        <v>1</v>
      </c>
      <c r="AE526" s="5" t="n">
        <v>10.579</v>
      </c>
      <c r="AF526" s="5" t="n">
        <v>2.082</v>
      </c>
      <c r="AG526" s="5" t="n">
        <v>-0.115</v>
      </c>
      <c r="AH526" s="5" t="n">
        <v>10.465</v>
      </c>
      <c r="AI526" s="5" t="n">
        <v>0</v>
      </c>
      <c r="AJ526" s="5" t="n">
        <v>1</v>
      </c>
      <c r="AK526" s="5" t="n">
        <v>13.004</v>
      </c>
      <c r="AL526" s="5" t="n">
        <v>6.382</v>
      </c>
      <c r="AM526" s="5" t="n">
        <v>-2.299</v>
      </c>
      <c r="AN526" s="5" t="n">
        <v>11.561</v>
      </c>
      <c r="AO526" s="5" t="n">
        <v>0</v>
      </c>
      <c r="AP526" s="5" t="n">
        <v>1</v>
      </c>
      <c r="AQ526" s="5" t="n">
        <v>0.619</v>
      </c>
      <c r="AR526" s="5" t="n">
        <v>0.114</v>
      </c>
      <c r="AS526" s="5" t="n">
        <v>0.295</v>
      </c>
      <c r="AT526" s="5" t="n">
        <v>1.097</v>
      </c>
      <c r="AU526" s="5" t="n">
        <v>0.2</v>
      </c>
      <c r="AV526" s="5" t="n">
        <v>1</v>
      </c>
      <c r="AW526" s="5" t="n">
        <v>0.599</v>
      </c>
      <c r="AX526" s="5" t="n">
        <v>0.114</v>
      </c>
      <c r="AY526" s="5" t="n">
        <v>0.159</v>
      </c>
      <c r="AZ526" s="5" t="n">
        <v>0.91</v>
      </c>
      <c r="BA526" s="5" t="n">
        <v>0.2</v>
      </c>
      <c r="BB526" s="5" t="n">
        <v>1</v>
      </c>
      <c r="BC526" s="5" t="n">
        <v>0.439</v>
      </c>
      <c r="BD526" s="5" t="n">
        <v>0.114</v>
      </c>
      <c r="BE526" s="5" t="n">
        <v>0.168</v>
      </c>
      <c r="BF526" s="5" t="n">
        <v>0.655</v>
      </c>
      <c r="BG526" s="5" t="n">
        <v>0.08</v>
      </c>
      <c r="BH526" s="5" t="n">
        <v>1</v>
      </c>
      <c r="BI526" s="5" t="n">
        <v>0.505</v>
      </c>
      <c r="BJ526" s="5" t="n">
        <v>0.114</v>
      </c>
      <c r="BK526" s="5" t="n">
        <v>0</v>
      </c>
      <c r="BL526" s="5" t="n">
        <v>0.606</v>
      </c>
      <c r="BM526" s="5" t="n">
        <v>0.2</v>
      </c>
      <c r="BN526" s="5" t="n">
        <v>1</v>
      </c>
      <c r="BO526" s="5" t="n">
        <v>0</v>
      </c>
      <c r="BP526" s="5" t="n">
        <v>0</v>
      </c>
      <c r="BQ526" s="5" t="n">
        <v>0.065</v>
      </c>
      <c r="BR526" s="5" t="n">
        <v>0</v>
      </c>
      <c r="BS526" s="5" t="n">
        <v>1</v>
      </c>
      <c r="BT526" s="5" t="n">
        <v>0</v>
      </c>
      <c r="BU526" s="5" t="n">
        <v>0</v>
      </c>
      <c r="BV526" s="5" t="n">
        <v>0.094</v>
      </c>
      <c r="BW526" s="5" t="n">
        <v>0</v>
      </c>
      <c r="BX526" s="5" t="n">
        <v>1</v>
      </c>
      <c r="BY526" s="5" t="n">
        <v>11.787</v>
      </c>
      <c r="BZ526" s="5" t="n">
        <v>0</v>
      </c>
      <c r="CA526" s="5" t="n">
        <v>11.787</v>
      </c>
      <c r="CB526" s="5" t="n">
        <v>0</v>
      </c>
      <c r="CC526" s="5" t="n">
        <v>78.125</v>
      </c>
      <c r="CD526" s="5" t="n">
        <v>7.95</v>
      </c>
      <c r="CE526" s="5" t="n">
        <v>0</v>
      </c>
      <c r="CF526" s="5" t="n">
        <v>93.75</v>
      </c>
      <c r="CG526" s="5" t="n">
        <v>0.2</v>
      </c>
      <c r="CH526" s="5" t="n">
        <v>1</v>
      </c>
      <c r="CI526" s="5" t="n">
        <v>0</v>
      </c>
      <c r="CJ526" s="5" t="n">
        <v>0</v>
      </c>
      <c r="CK526" s="5" t="n">
        <v>0</v>
      </c>
      <c r="CL526" s="5" t="n">
        <v>0</v>
      </c>
      <c r="CM526" s="5" t="n">
        <v>0</v>
      </c>
      <c r="CN526" s="5" t="n">
        <v>0</v>
      </c>
      <c r="CO526" s="5" t="n">
        <v>0</v>
      </c>
      <c r="CP526" s="5" t="n">
        <v>0.186</v>
      </c>
      <c r="CQ526" s="5" t="n">
        <v>1.198</v>
      </c>
      <c r="CR526" s="5" t="n">
        <v>0</v>
      </c>
      <c r="CS526" s="5" t="n">
        <v>4.776</v>
      </c>
      <c r="CT526" s="5" t="n">
        <v>4.41</v>
      </c>
      <c r="CU526" s="5" t="n">
        <v>22.69</v>
      </c>
    </row>
    <row r="527">
      <c r="A527" s="5" t="inlineStr">
        <is>
          <t>MDA2022</t>
        </is>
      </c>
      <c r="B527" s="5" t="inlineStr">
        <is>
          <t>MDA</t>
        </is>
      </c>
      <c r="C527" s="5" t="inlineStr">
        <is>
          <t>MDA</t>
        </is>
      </c>
      <c r="D527" s="5" t="inlineStr">
        <is>
          <t>Moldova</t>
        </is>
      </c>
      <c r="E527" s="5" t="n">
        <v>2022</v>
      </c>
      <c r="F527" s="5" t="n">
        <v>0.2</v>
      </c>
      <c r="G527" s="5" t="n">
        <v>7.077</v>
      </c>
      <c r="H527" s="5" t="n">
        <v>1.235</v>
      </c>
      <c r="I527" s="5" t="n">
        <v>0</v>
      </c>
      <c r="J527" s="5" t="n">
        <v>7.077</v>
      </c>
      <c r="K527" s="5" t="n">
        <v>0</v>
      </c>
      <c r="L527" s="5" t="n">
        <v>1</v>
      </c>
      <c r="M527" s="5" t="n">
        <v>9.782999999999999</v>
      </c>
      <c r="N527" s="5" t="n">
        <v>3.704</v>
      </c>
      <c r="O527" s="5" t="n">
        <v>0</v>
      </c>
      <c r="P527" s="5" t="n">
        <v>9.782999999999999</v>
      </c>
      <c r="Q527" s="5" t="n">
        <v>0</v>
      </c>
      <c r="R527" s="5" t="n">
        <v>1</v>
      </c>
      <c r="S527" s="5" t="n">
        <v>13.25</v>
      </c>
      <c r="T527" s="5" t="n">
        <v>7.408</v>
      </c>
      <c r="U527" s="5" t="n">
        <v>0.196</v>
      </c>
      <c r="V527" s="5" t="n">
        <v>15.9</v>
      </c>
      <c r="W527" s="5" t="n">
        <v>0.2</v>
      </c>
      <c r="X527" s="5" t="n">
        <v>1</v>
      </c>
      <c r="Y527" s="5" t="n">
        <v>34.875</v>
      </c>
      <c r="Z527" s="5" t="n">
        <v>3.659</v>
      </c>
      <c r="AA527" s="5" t="n">
        <v>0.04</v>
      </c>
      <c r="AB527" s="5" t="n">
        <v>34.914</v>
      </c>
      <c r="AC527" s="5" t="n">
        <v>0</v>
      </c>
      <c r="AD527" s="5" t="n">
        <v>1</v>
      </c>
      <c r="AE527" s="5" t="n">
        <v>35.592</v>
      </c>
      <c r="AF527" s="5" t="n">
        <v>6.598</v>
      </c>
      <c r="AG527" s="5" t="n">
        <v>-0.023</v>
      </c>
      <c r="AH527" s="5" t="n">
        <v>35.569</v>
      </c>
      <c r="AI527" s="5" t="n">
        <v>0</v>
      </c>
      <c r="AJ527" s="5" t="n">
        <v>1</v>
      </c>
      <c r="AK527" s="5" t="n">
        <v>38.086</v>
      </c>
      <c r="AL527" s="5" t="n">
        <v>18.187</v>
      </c>
      <c r="AM527" s="5" t="n">
        <v>-2.101</v>
      </c>
      <c r="AN527" s="5" t="n">
        <v>38.864</v>
      </c>
      <c r="AO527" s="5" t="n">
        <v>0</v>
      </c>
      <c r="AP527" s="5" t="n">
        <v>1</v>
      </c>
      <c r="AQ527" s="5" t="n">
        <v>0.861</v>
      </c>
      <c r="AR527" s="5" t="n">
        <v>0.123</v>
      </c>
      <c r="AS527" s="5" t="n">
        <v>0.296</v>
      </c>
      <c r="AT527" s="5" t="n">
        <v>1.388</v>
      </c>
      <c r="AU527" s="5" t="n">
        <v>0.2</v>
      </c>
      <c r="AV527" s="5" t="n">
        <v>1</v>
      </c>
      <c r="AW527" s="5" t="n">
        <v>0.986</v>
      </c>
      <c r="AX527" s="5" t="n">
        <v>0.123</v>
      </c>
      <c r="AY527" s="5" t="n">
        <v>0.144</v>
      </c>
      <c r="AZ527" s="5" t="n">
        <v>1.356</v>
      </c>
      <c r="BA527" s="5" t="n">
        <v>0.2</v>
      </c>
      <c r="BB527" s="5" t="n">
        <v>1</v>
      </c>
      <c r="BC527" s="5" t="n">
        <v>0.598</v>
      </c>
      <c r="BD527" s="5" t="n">
        <v>0.123</v>
      </c>
      <c r="BE527" s="5" t="n">
        <v>0.179</v>
      </c>
      <c r="BF527" s="5" t="n">
        <v>0.839</v>
      </c>
      <c r="BG527" s="5" t="n">
        <v>0.08</v>
      </c>
      <c r="BH527" s="5" t="n">
        <v>1</v>
      </c>
      <c r="BI527" s="5" t="n">
        <v>0.612</v>
      </c>
      <c r="BJ527" s="5" t="n">
        <v>0.123</v>
      </c>
      <c r="BK527" s="5" t="n">
        <v>0.008999999999999999</v>
      </c>
      <c r="BL527" s="5" t="n">
        <v>0.735</v>
      </c>
      <c r="BM527" s="5" t="n">
        <v>0.2</v>
      </c>
      <c r="BN527" s="5" t="n">
        <v>1</v>
      </c>
      <c r="BO527" s="5" t="n">
        <v>0</v>
      </c>
      <c r="BP527" s="5" t="n">
        <v>0</v>
      </c>
      <c r="BQ527" s="5" t="n">
        <v>0.123</v>
      </c>
      <c r="BR527" s="5" t="n">
        <v>0</v>
      </c>
      <c r="BS527" s="5" t="n">
        <v>1</v>
      </c>
      <c r="BT527" s="5" t="n">
        <v>0</v>
      </c>
      <c r="BU527" s="5" t="n">
        <v>0</v>
      </c>
      <c r="BV527" s="5" t="n">
        <v>0.15</v>
      </c>
      <c r="BW527" s="5" t="n">
        <v>0</v>
      </c>
      <c r="BX527" s="5" t="n">
        <v>1</v>
      </c>
      <c r="BY527" s="5" t="n">
        <v>12.729</v>
      </c>
      <c r="BZ527" s="5" t="n">
        <v>0</v>
      </c>
      <c r="CA527" s="5" t="n">
        <v>12.729</v>
      </c>
      <c r="CB527" s="5" t="n">
        <v>0</v>
      </c>
      <c r="CC527" s="5" t="n">
        <v>97.90000000000001</v>
      </c>
      <c r="CD527" s="5" t="n">
        <v>7.95</v>
      </c>
      <c r="CE527" s="5" t="n">
        <v>1.449</v>
      </c>
      <c r="CF527" s="5" t="n">
        <v>117.48</v>
      </c>
      <c r="CG527" s="5" t="n">
        <v>0.2</v>
      </c>
      <c r="CH527" s="5" t="n">
        <v>1</v>
      </c>
      <c r="CI527" s="5" t="n">
        <v>0</v>
      </c>
      <c r="CJ527" s="5" t="n">
        <v>0</v>
      </c>
      <c r="CK527" s="5" t="n">
        <v>0</v>
      </c>
      <c r="CL527" s="5" t="n">
        <v>0</v>
      </c>
      <c r="CM527" s="5" t="n">
        <v>0</v>
      </c>
      <c r="CN527" s="5" t="n">
        <v>0</v>
      </c>
      <c r="CO527" s="5" t="n">
        <v>0</v>
      </c>
      <c r="CP527" s="5" t="n">
        <v>0</v>
      </c>
      <c r="CQ527" s="5" t="n">
        <v>1.294</v>
      </c>
      <c r="CR527" s="5" t="n">
        <v>0</v>
      </c>
      <c r="CS527" s="5" t="n">
        <v>5.158</v>
      </c>
      <c r="CT527" s="5" t="n">
        <v>5.842</v>
      </c>
      <c r="CU527" s="5" t="n">
        <v>25.012</v>
      </c>
    </row>
    <row r="528">
      <c r="A528" s="5" t="inlineStr">
        <is>
          <t>MDA2023</t>
        </is>
      </c>
      <c r="B528" s="5" t="inlineStr">
        <is>
          <t>MDA</t>
        </is>
      </c>
      <c r="C528" s="5" t="inlineStr">
        <is>
          <t>MDA</t>
        </is>
      </c>
      <c r="D528" s="5" t="inlineStr">
        <is>
          <t>Moldova</t>
        </is>
      </c>
      <c r="E528" s="5" t="n">
        <v>2023</v>
      </c>
      <c r="F528" s="5" t="n">
        <v>0.2</v>
      </c>
      <c r="G528" s="5" t="n">
        <v>4.618</v>
      </c>
      <c r="H528" s="5" t="n">
        <v>1.255</v>
      </c>
      <c r="I528" s="5" t="n">
        <v>0</v>
      </c>
      <c r="J528" s="5" t="n">
        <v>4.618</v>
      </c>
      <c r="K528" s="5" t="n">
        <v>0</v>
      </c>
      <c r="L528" s="5" t="n">
        <v>1</v>
      </c>
      <c r="M528" s="5" t="n">
        <v>7.663</v>
      </c>
      <c r="N528" s="5" t="n">
        <v>3.764</v>
      </c>
      <c r="O528" s="5" t="n">
        <v>0</v>
      </c>
      <c r="P528" s="5" t="n">
        <v>7.663</v>
      </c>
      <c r="Q528" s="5" t="n">
        <v>0</v>
      </c>
      <c r="R528" s="5" t="n">
        <v>1</v>
      </c>
      <c r="S528" s="5" t="n">
        <v>10.89</v>
      </c>
      <c r="T528" s="5" t="n">
        <v>7.527</v>
      </c>
      <c r="U528" s="5" t="n">
        <v>0.241</v>
      </c>
      <c r="V528" s="5" t="n">
        <v>13.068</v>
      </c>
      <c r="W528" s="5" t="n">
        <v>0.2</v>
      </c>
      <c r="X528" s="5" t="n">
        <v>1</v>
      </c>
      <c r="Y528" s="5" t="n">
        <v>39.349</v>
      </c>
      <c r="Z528" s="5" t="n">
        <v>4.408</v>
      </c>
      <c r="AA528" s="5" t="n">
        <v>-0.002</v>
      </c>
      <c r="AB528" s="5" t="n">
        <v>39.347</v>
      </c>
      <c r="AC528" s="5" t="n">
        <v>0</v>
      </c>
      <c r="AD528" s="5" t="n">
        <v>1</v>
      </c>
      <c r="AE528" s="5" t="n">
        <v>40.519</v>
      </c>
      <c r="AF528" s="5" t="n">
        <v>8.07</v>
      </c>
      <c r="AG528" s="5" t="n">
        <v>-0.001</v>
      </c>
      <c r="AH528" s="5" t="n">
        <v>40.518</v>
      </c>
      <c r="AI528" s="5" t="n">
        <v>0</v>
      </c>
      <c r="AJ528" s="5" t="n">
        <v>1</v>
      </c>
      <c r="AK528" s="5" t="n">
        <v>43.54</v>
      </c>
      <c r="AL528" s="5" t="n">
        <v>21.569</v>
      </c>
      <c r="AM528" s="5" t="n">
        <v>-1.995</v>
      </c>
      <c r="AN528" s="5" t="n">
        <v>44.869</v>
      </c>
      <c r="AO528" s="5" t="n">
        <v>0</v>
      </c>
      <c r="AP528" s="5" t="n">
        <v>1</v>
      </c>
      <c r="AQ528" s="5" t="n">
        <v>0.76</v>
      </c>
      <c r="AR528" s="5" t="n">
        <v>0.129</v>
      </c>
      <c r="AS528" s="5" t="n">
        <v>0.358</v>
      </c>
      <c r="AT528" s="5" t="n">
        <v>1.342</v>
      </c>
      <c r="AU528" s="5" t="n">
        <v>0.2</v>
      </c>
      <c r="AV528" s="5" t="n">
        <v>1</v>
      </c>
      <c r="AW528" s="5" t="n">
        <v>0.8110000000000001</v>
      </c>
      <c r="AX528" s="5" t="n">
        <v>0.129</v>
      </c>
      <c r="AY528" s="5" t="n">
        <v>0.18</v>
      </c>
      <c r="AZ528" s="5" t="n">
        <v>1.19</v>
      </c>
      <c r="BA528" s="5" t="n">
        <v>0.2</v>
      </c>
      <c r="BB528" s="5" t="n">
        <v>1</v>
      </c>
      <c r="BC528" s="5" t="n">
        <v>0.535</v>
      </c>
      <c r="BD528" s="5" t="n">
        <v>0.129</v>
      </c>
      <c r="BE528" s="5" t="n">
        <v>0.21</v>
      </c>
      <c r="BF528" s="5" t="n">
        <v>0.804</v>
      </c>
      <c r="BG528" s="5" t="n">
        <v>0.08</v>
      </c>
      <c r="BH528" s="5" t="n">
        <v>1</v>
      </c>
      <c r="BI528" s="5" t="n">
        <v>0.579</v>
      </c>
      <c r="BJ528" s="5" t="n">
        <v>0.129</v>
      </c>
      <c r="BK528" s="5" t="n">
        <v>0.013</v>
      </c>
      <c r="BL528" s="5" t="n">
        <v>0.695</v>
      </c>
      <c r="BM528" s="5" t="n">
        <v>0.2</v>
      </c>
      <c r="BN528" s="5" t="n">
        <v>1</v>
      </c>
      <c r="BO528" s="5" t="n">
        <v>0</v>
      </c>
      <c r="BP528" s="5" t="n">
        <v>0</v>
      </c>
      <c r="BQ528" s="5" t="n">
        <v>0.121</v>
      </c>
      <c r="BR528" s="5" t="n">
        <v>0</v>
      </c>
      <c r="BS528" s="5" t="n">
        <v>1</v>
      </c>
      <c r="BT528" s="5" t="n">
        <v>0</v>
      </c>
      <c r="BU528" s="5" t="n">
        <v>0.002</v>
      </c>
      <c r="BV528" s="5" t="n">
        <v>0.168</v>
      </c>
      <c r="BW528" s="5" t="n">
        <v>0</v>
      </c>
      <c r="BX528" s="5" t="n">
        <v>1</v>
      </c>
      <c r="BY528" s="5" t="n">
        <v>13.254</v>
      </c>
      <c r="BZ528" s="5" t="n">
        <v>0</v>
      </c>
      <c r="CA528" s="5" t="n">
        <v>13.254</v>
      </c>
      <c r="CB528" s="5" t="n">
        <v>0</v>
      </c>
      <c r="CC528" s="5" t="n">
        <v>83.248</v>
      </c>
      <c r="CD528" s="5" t="n">
        <v>7.95</v>
      </c>
      <c r="CE528" s="5" t="n">
        <v>1.843</v>
      </c>
      <c r="CF528" s="5" t="n">
        <v>99.898</v>
      </c>
      <c r="CG528" s="5" t="n">
        <v>0.2</v>
      </c>
      <c r="CH528" s="5" t="n">
        <v>1</v>
      </c>
      <c r="CI528" s="5" t="n">
        <v>0</v>
      </c>
      <c r="CJ528" s="5" t="n">
        <v>0</v>
      </c>
      <c r="CK528" s="5" t="n">
        <v>0</v>
      </c>
      <c r="CL528" s="5" t="n">
        <v>0</v>
      </c>
      <c r="CM528" s="5" t="n">
        <v>0</v>
      </c>
      <c r="CN528" s="5" t="n">
        <v>0</v>
      </c>
      <c r="CO528" s="5" t="n">
        <v>0</v>
      </c>
      <c r="CP528" s="5" t="n">
        <v>0.048</v>
      </c>
      <c r="CQ528" s="5" t="n">
        <v>1.348</v>
      </c>
      <c r="CR528" s="5" t="n">
        <v>0</v>
      </c>
      <c r="CS528" s="5" t="n">
        <v>5.37</v>
      </c>
      <c r="CT528" s="5" t="n">
        <v>3.466</v>
      </c>
      <c r="CU528" s="5" t="n">
        <v>12.34</v>
      </c>
    </row>
    <row r="529">
      <c r="A529" s="5" t="inlineStr">
        <is>
          <t>MDA2024</t>
        </is>
      </c>
      <c r="B529" s="5" t="inlineStr">
        <is>
          <t>MDA</t>
        </is>
      </c>
      <c r="C529" s="5" t="inlineStr">
        <is>
          <t>MDA</t>
        </is>
      </c>
      <c r="D529" s="5" t="inlineStr">
        <is>
          <t>Moldova</t>
        </is>
      </c>
      <c r="E529" s="5" t="n">
        <v>2024</v>
      </c>
      <c r="F529" s="5" t="n">
        <v>0.2</v>
      </c>
      <c r="G529" s="5" t="n">
        <v>4.239</v>
      </c>
      <c r="H529" s="5" t="n">
        <v>1.292</v>
      </c>
      <c r="I529" s="5" t="n">
        <v>0</v>
      </c>
      <c r="J529" s="5" t="n">
        <v>4.239</v>
      </c>
      <c r="K529" s="5" t="n">
        <v>0</v>
      </c>
      <c r="L529" s="5" t="n">
        <v>1</v>
      </c>
      <c r="M529" s="5" t="n">
        <v>6.942</v>
      </c>
      <c r="N529" s="5" t="n">
        <v>3.875</v>
      </c>
      <c r="O529" s="5" t="n">
        <v>0</v>
      </c>
      <c r="P529" s="5" t="n">
        <v>6.942</v>
      </c>
      <c r="Q529" s="5" t="n">
        <v>0</v>
      </c>
      <c r="R529" s="5" t="n">
        <v>1</v>
      </c>
      <c r="S529" s="5" t="n">
        <v>10.697</v>
      </c>
      <c r="T529" s="5" t="n">
        <v>7.749</v>
      </c>
      <c r="U529" s="5" t="n">
        <v>0.291</v>
      </c>
      <c r="V529" s="5" t="n">
        <v>12.836</v>
      </c>
      <c r="W529" s="5" t="n">
        <v>0.2</v>
      </c>
      <c r="X529" s="5" t="n">
        <v>1</v>
      </c>
      <c r="Y529" s="5" t="n">
        <v>20.206</v>
      </c>
      <c r="Z529" s="5" t="n">
        <v>2.551</v>
      </c>
      <c r="AA529" s="5" t="n">
        <v>-0.002</v>
      </c>
      <c r="AB529" s="5" t="n">
        <v>20.204</v>
      </c>
      <c r="AC529" s="5" t="n">
        <v>0</v>
      </c>
      <c r="AD529" s="5" t="n">
        <v>1</v>
      </c>
      <c r="AE529" s="5" t="n">
        <v>22.26</v>
      </c>
      <c r="AF529" s="5" t="n">
        <v>4.876</v>
      </c>
      <c r="AG529" s="5" t="n">
        <v>-0.001</v>
      </c>
      <c r="AH529" s="5" t="n">
        <v>22.259</v>
      </c>
      <c r="AI529" s="5" t="n">
        <v>0</v>
      </c>
      <c r="AJ529" s="5" t="n">
        <v>1</v>
      </c>
      <c r="AK529" s="5" t="n">
        <v>27.474</v>
      </c>
      <c r="AL529" s="5" t="n">
        <v>13.974</v>
      </c>
      <c r="AM529" s="5" t="n">
        <v>-0.584</v>
      </c>
      <c r="AN529" s="5" t="n">
        <v>29.041</v>
      </c>
      <c r="AO529" s="5" t="n">
        <v>0</v>
      </c>
      <c r="AP529" s="5" t="n">
        <v>1</v>
      </c>
      <c r="AQ529" s="5" t="n">
        <v>0.724</v>
      </c>
      <c r="AR529" s="5" t="n">
        <v>0.132</v>
      </c>
      <c r="AS529" s="5" t="n">
        <v>0.41</v>
      </c>
      <c r="AT529" s="5" t="n">
        <v>1.362</v>
      </c>
      <c r="AU529" s="5" t="n">
        <v>0.2</v>
      </c>
      <c r="AV529" s="5" t="n">
        <v>1</v>
      </c>
      <c r="AW529" s="5" t="n">
        <v>0.75</v>
      </c>
      <c r="AX529" s="5" t="n">
        <v>0.132</v>
      </c>
      <c r="AY529" s="5" t="n">
        <v>0.217</v>
      </c>
      <c r="AZ529" s="5" t="n">
        <v>1.161</v>
      </c>
      <c r="BA529" s="5" t="n">
        <v>0.2</v>
      </c>
      <c r="BB529" s="5" t="n">
        <v>1</v>
      </c>
      <c r="BC529" s="5" t="n">
        <v>0.513</v>
      </c>
      <c r="BD529" s="5" t="n">
        <v>0.132</v>
      </c>
      <c r="BE529" s="5" t="n">
        <v>0.212</v>
      </c>
      <c r="BF529" s="5" t="n">
        <v>0.783</v>
      </c>
      <c r="BG529" s="5" t="n">
        <v>0.08</v>
      </c>
      <c r="BH529" s="5" t="n">
        <v>1</v>
      </c>
      <c r="BI529" s="5" t="n">
        <v>0.591</v>
      </c>
      <c r="BJ529" s="5" t="n">
        <v>0.132</v>
      </c>
      <c r="BK529" s="5" t="n">
        <v>0.016</v>
      </c>
      <c r="BL529" s="5" t="n">
        <v>0.71</v>
      </c>
      <c r="BM529" s="5" t="n">
        <v>0.2</v>
      </c>
      <c r="BN529" s="5" t="n">
        <v>1</v>
      </c>
      <c r="BO529" s="5" t="n">
        <v>0</v>
      </c>
      <c r="BP529" s="5" t="n">
        <v>0</v>
      </c>
      <c r="BQ529" s="5" t="n">
        <v>0.095</v>
      </c>
      <c r="BR529" s="5" t="n">
        <v>0</v>
      </c>
      <c r="BS529" s="5" t="n">
        <v>1</v>
      </c>
      <c r="BT529" s="5" t="n">
        <v>0</v>
      </c>
      <c r="BU529" s="5" t="n">
        <v>0.002</v>
      </c>
      <c r="BV529" s="5" t="n">
        <v>0.14</v>
      </c>
      <c r="BW529" s="5" t="n">
        <v>0</v>
      </c>
      <c r="BX529" s="5" t="n">
        <v>1</v>
      </c>
      <c r="BY529" s="5" t="n">
        <v>13.646</v>
      </c>
      <c r="BZ529" s="5" t="n">
        <v>0</v>
      </c>
      <c r="CA529" s="5" t="n">
        <v>13.646</v>
      </c>
      <c r="CB529" s="5" t="n">
        <v>0</v>
      </c>
      <c r="CC529" s="5" t="n">
        <v>82.58799999999999</v>
      </c>
      <c r="CD529" s="5" t="n">
        <v>7.95</v>
      </c>
      <c r="CE529" s="5" t="n">
        <v>2.25</v>
      </c>
      <c r="CF529" s="5" t="n">
        <v>99.10599999999999</v>
      </c>
      <c r="CG529" s="5" t="n">
        <v>0.2</v>
      </c>
      <c r="CH529" s="5" t="n">
        <v>1</v>
      </c>
      <c r="CI529" s="5" t="n">
        <v>0</v>
      </c>
      <c r="CJ529" s="5" t="n">
        <v>0</v>
      </c>
      <c r="CK529" s="5" t="n">
        <v>0</v>
      </c>
      <c r="CL529" s="5" t="n">
        <v>0</v>
      </c>
      <c r="CM529" s="5" t="n">
        <v>0</v>
      </c>
      <c r="CN529" s="5" t="n">
        <v>0</v>
      </c>
      <c r="CO529" s="5" t="n">
        <v>0</v>
      </c>
      <c r="CP529" s="5" t="n">
        <v>0.048</v>
      </c>
      <c r="CQ529" s="5" t="n">
        <v>1.387</v>
      </c>
      <c r="CR529" s="5" t="n">
        <v>0</v>
      </c>
      <c r="CS529" s="5" t="n">
        <v>5.529</v>
      </c>
      <c r="CT529" s="5" t="n">
        <v>3.027</v>
      </c>
      <c r="CU529" s="5" t="n">
        <v>10.432</v>
      </c>
    </row>
    <row r="530">
      <c r="A530" s="5" t="inlineStr">
        <is>
          <t>MCO2021</t>
        </is>
      </c>
      <c r="B530" s="5" t="inlineStr">
        <is>
          <t>MCO</t>
        </is>
      </c>
      <c r="C530" s="5" t="inlineStr">
        <is>
          <t>MCO</t>
        </is>
      </c>
      <c r="D530" s="5" t="inlineStr">
        <is>
          <t>Monaco</t>
        </is>
      </c>
      <c r="E530" s="5" t="n">
        <v>2021</v>
      </c>
      <c r="F530" s="5" t="n">
        <v>0.2</v>
      </c>
      <c r="G530" s="5" t="n">
        <v>5.553</v>
      </c>
      <c r="H530" s="5" t="n">
        <v>1.143</v>
      </c>
      <c r="I530" s="5" t="n">
        <v>0</v>
      </c>
      <c r="J530" s="5" t="n">
        <v>5.553</v>
      </c>
      <c r="K530" s="5" t="n">
        <v>0</v>
      </c>
      <c r="L530" s="5" t="n">
        <v>1</v>
      </c>
      <c r="M530" s="5" t="n">
        <v>7.964</v>
      </c>
      <c r="N530" s="5" t="n">
        <v>3.43</v>
      </c>
      <c r="O530" s="5" t="n">
        <v>0</v>
      </c>
      <c r="P530" s="5" t="n">
        <v>7.964</v>
      </c>
      <c r="Q530" s="5" t="n">
        <v>0</v>
      </c>
      <c r="R530" s="5" t="n">
        <v>1</v>
      </c>
      <c r="S530" s="5" t="n">
        <v>11.27</v>
      </c>
      <c r="T530" s="5" t="n">
        <v>6.86</v>
      </c>
      <c r="U530" s="5" t="n">
        <v>0</v>
      </c>
      <c r="V530" s="5" t="n">
        <v>13.524</v>
      </c>
      <c r="W530" s="5" t="n">
        <v>0.2</v>
      </c>
      <c r="X530" s="5" t="n">
        <v>1</v>
      </c>
      <c r="Y530" s="5" t="n">
        <v>16.305</v>
      </c>
      <c r="Z530" s="5" t="n">
        <v>2.204</v>
      </c>
      <c r="AA530" s="5" t="n">
        <v>0</v>
      </c>
      <c r="AB530" s="5" t="n">
        <v>16.305</v>
      </c>
      <c r="AC530" s="5" t="n">
        <v>0</v>
      </c>
      <c r="AD530" s="5" t="n">
        <v>1</v>
      </c>
      <c r="AE530" s="5" t="n">
        <v>17.449</v>
      </c>
      <c r="AF530" s="5" t="n">
        <v>4.08</v>
      </c>
      <c r="AG530" s="5" t="n">
        <v>0</v>
      </c>
      <c r="AH530" s="5" t="n">
        <v>17.449</v>
      </c>
      <c r="AI530" s="5" t="n">
        <v>0</v>
      </c>
      <c r="AJ530" s="5" t="n">
        <v>1</v>
      </c>
      <c r="AK530" s="5" t="n">
        <v>24.309</v>
      </c>
      <c r="AL530" s="5" t="n">
        <v>12.947</v>
      </c>
      <c r="AM530" s="5" t="n">
        <v>0</v>
      </c>
      <c r="AN530" s="5" t="n">
        <v>29.17</v>
      </c>
      <c r="AO530" s="5" t="n">
        <v>0.2</v>
      </c>
      <c r="AP530" s="5" t="n">
        <v>1</v>
      </c>
      <c r="AQ530" s="5" t="n">
        <v>0.619</v>
      </c>
      <c r="AR530" s="5" t="n">
        <v>0.114</v>
      </c>
      <c r="AS530" s="5" t="n">
        <v>0</v>
      </c>
      <c r="AT530" s="5" t="n">
        <v>0.743</v>
      </c>
      <c r="AU530" s="5" t="n">
        <v>0.2</v>
      </c>
      <c r="AV530" s="5" t="n">
        <v>1</v>
      </c>
      <c r="AW530" s="5" t="n">
        <v>0.599</v>
      </c>
      <c r="AX530" s="5" t="n">
        <v>0.114</v>
      </c>
      <c r="AY530" s="5" t="n">
        <v>0</v>
      </c>
      <c r="AZ530" s="5" t="n">
        <v>0.719</v>
      </c>
      <c r="BA530" s="5" t="n">
        <v>0.2</v>
      </c>
      <c r="BB530" s="5" t="n">
        <v>1</v>
      </c>
      <c r="BC530" s="5" t="n">
        <v>0.439</v>
      </c>
      <c r="BD530" s="5" t="n">
        <v>0.114</v>
      </c>
      <c r="BE530" s="5" t="n">
        <v>0</v>
      </c>
      <c r="BF530" s="5" t="n">
        <v>0.527</v>
      </c>
      <c r="BG530" s="5" t="n">
        <v>0.2</v>
      </c>
      <c r="BH530" s="5" t="n">
        <v>1</v>
      </c>
      <c r="BI530" s="5" t="n">
        <v>0.505</v>
      </c>
      <c r="BJ530" s="5" t="n">
        <v>0.114</v>
      </c>
      <c r="BK530" s="5" t="n">
        <v>0</v>
      </c>
      <c r="BL530" s="5" t="n">
        <v>0.606</v>
      </c>
      <c r="BM530" s="5" t="n">
        <v>0.2</v>
      </c>
      <c r="BN530" s="5" t="n">
        <v>1</v>
      </c>
      <c r="BO530" s="5" t="n">
        <v>0</v>
      </c>
      <c r="BP530" s="5" t="n">
        <v>0</v>
      </c>
      <c r="BQ530" s="5" t="n">
        <v>0</v>
      </c>
      <c r="BR530" s="5" t="n">
        <v>0</v>
      </c>
      <c r="BS530" s="5" t="n">
        <v>1</v>
      </c>
      <c r="BT530" s="5" t="n">
        <v>0</v>
      </c>
      <c r="BU530" s="5" t="n">
        <v>0</v>
      </c>
      <c r="BV530" s="5" t="n">
        <v>0</v>
      </c>
      <c r="BW530" s="5" t="n">
        <v>0.2</v>
      </c>
      <c r="BX530" s="5" t="n">
        <v>1</v>
      </c>
      <c r="BY530" s="5" t="n">
        <v>11.787</v>
      </c>
      <c r="BZ530" s="5" t="n">
        <v>0</v>
      </c>
      <c r="CA530" s="5" t="n">
        <v>11.787</v>
      </c>
      <c r="CB530" s="5" t="n">
        <v>0</v>
      </c>
      <c r="CC530" s="5" t="n">
        <v>78.125</v>
      </c>
      <c r="CD530" s="5" t="n">
        <v>7.95</v>
      </c>
      <c r="CE530" s="5" t="n">
        <v>0</v>
      </c>
      <c r="CF530" s="5" t="n">
        <v>93.75</v>
      </c>
      <c r="CG530" s="5" t="n">
        <v>0.2</v>
      </c>
      <c r="CH530" s="5" t="n">
        <v>1</v>
      </c>
      <c r="CI530" s="5" t="n">
        <v>0</v>
      </c>
      <c r="CJ530" s="5" t="n">
        <v>0</v>
      </c>
      <c r="CK530" s="5" t="n">
        <v>0</v>
      </c>
      <c r="CL530" s="5" t="n">
        <v>0</v>
      </c>
      <c r="CM530" s="5" t="n">
        <v>0</v>
      </c>
      <c r="CN530" s="5" t="n">
        <v>0</v>
      </c>
      <c r="CO530" s="5" t="n">
        <v>0</v>
      </c>
      <c r="CP530" s="5" t="n">
        <v>0</v>
      </c>
      <c r="CQ530" s="5" t="n">
        <v>1.198</v>
      </c>
      <c r="CR530" s="5" t="n">
        <v>0</v>
      </c>
      <c r="CS530" s="5" t="n">
        <v>4.776</v>
      </c>
      <c r="CT530" s="5" t="n">
        <v>4.41</v>
      </c>
      <c r="CU530" s="5" t="n">
        <v>15.162</v>
      </c>
    </row>
    <row r="531">
      <c r="A531" s="5" t="inlineStr">
        <is>
          <t>MCO2022</t>
        </is>
      </c>
      <c r="B531" s="5" t="inlineStr">
        <is>
          <t>MCO</t>
        </is>
      </c>
      <c r="C531" s="5" t="inlineStr">
        <is>
          <t>MCO</t>
        </is>
      </c>
      <c r="D531" s="5" t="inlineStr">
        <is>
          <t>Monaco</t>
        </is>
      </c>
      <c r="E531" s="5" t="n">
        <v>2022</v>
      </c>
      <c r="F531" s="5" t="n">
        <v>0.2</v>
      </c>
      <c r="G531" s="5" t="n">
        <v>7.077</v>
      </c>
      <c r="H531" s="5" t="n">
        <v>1.235</v>
      </c>
      <c r="I531" s="5" t="n">
        <v>0</v>
      </c>
      <c r="J531" s="5" t="n">
        <v>7.077</v>
      </c>
      <c r="K531" s="5" t="n">
        <v>0</v>
      </c>
      <c r="L531" s="5" t="n">
        <v>1</v>
      </c>
      <c r="M531" s="5" t="n">
        <v>9.782999999999999</v>
      </c>
      <c r="N531" s="5" t="n">
        <v>3.704</v>
      </c>
      <c r="O531" s="5" t="n">
        <v>0</v>
      </c>
      <c r="P531" s="5" t="n">
        <v>9.782999999999999</v>
      </c>
      <c r="Q531" s="5" t="n">
        <v>0</v>
      </c>
      <c r="R531" s="5" t="n">
        <v>1</v>
      </c>
      <c r="S531" s="5" t="n">
        <v>13.25</v>
      </c>
      <c r="T531" s="5" t="n">
        <v>7.408</v>
      </c>
      <c r="U531" s="5" t="n">
        <v>0.196</v>
      </c>
      <c r="V531" s="5" t="n">
        <v>15.9</v>
      </c>
      <c r="W531" s="5" t="n">
        <v>0.2</v>
      </c>
      <c r="X531" s="5" t="n">
        <v>1</v>
      </c>
      <c r="Y531" s="5" t="n">
        <v>32.56</v>
      </c>
      <c r="Z531" s="5" t="n">
        <v>4.401</v>
      </c>
      <c r="AA531" s="5" t="n">
        <v>0</v>
      </c>
      <c r="AB531" s="5" t="n">
        <v>32.56</v>
      </c>
      <c r="AC531" s="5" t="n">
        <v>0</v>
      </c>
      <c r="AD531" s="5" t="n">
        <v>1</v>
      </c>
      <c r="AE531" s="5" t="n">
        <v>33.795</v>
      </c>
      <c r="AF531" s="5" t="n">
        <v>7.902</v>
      </c>
      <c r="AG531" s="5" t="n">
        <v>0</v>
      </c>
      <c r="AH531" s="5" t="n">
        <v>33.795</v>
      </c>
      <c r="AI531" s="5" t="n">
        <v>0</v>
      </c>
      <c r="AJ531" s="5" t="n">
        <v>1</v>
      </c>
      <c r="AK531" s="5" t="n">
        <v>41.203</v>
      </c>
      <c r="AL531" s="5" t="n">
        <v>21.945</v>
      </c>
      <c r="AM531" s="5" t="n">
        <v>0.61</v>
      </c>
      <c r="AN531" s="5" t="n">
        <v>49.444</v>
      </c>
      <c r="AO531" s="5" t="n">
        <v>0.2</v>
      </c>
      <c r="AP531" s="5" t="n">
        <v>1</v>
      </c>
      <c r="AQ531" s="5" t="n">
        <v>0.861</v>
      </c>
      <c r="AR531" s="5" t="n">
        <v>0.123</v>
      </c>
      <c r="AS531" s="5" t="n">
        <v>0.013</v>
      </c>
      <c r="AT531" s="5" t="n">
        <v>1.033</v>
      </c>
      <c r="AU531" s="5" t="n">
        <v>0.2</v>
      </c>
      <c r="AV531" s="5" t="n">
        <v>1</v>
      </c>
      <c r="AW531" s="5" t="n">
        <v>0.986</v>
      </c>
      <c r="AX531" s="5" t="n">
        <v>0.123</v>
      </c>
      <c r="AY531" s="5" t="n">
        <v>0.015</v>
      </c>
      <c r="AZ531" s="5" t="n">
        <v>1.183</v>
      </c>
      <c r="BA531" s="5" t="n">
        <v>0.2</v>
      </c>
      <c r="BB531" s="5" t="n">
        <v>1</v>
      </c>
      <c r="BC531" s="5" t="n">
        <v>0.598</v>
      </c>
      <c r="BD531" s="5" t="n">
        <v>0.123</v>
      </c>
      <c r="BE531" s="5" t="n">
        <v>0.008999999999999999</v>
      </c>
      <c r="BF531" s="5" t="n">
        <v>0.717</v>
      </c>
      <c r="BG531" s="5" t="n">
        <v>0.2</v>
      </c>
      <c r="BH531" s="5" t="n">
        <v>1</v>
      </c>
      <c r="BI531" s="5" t="n">
        <v>0.612</v>
      </c>
      <c r="BJ531" s="5" t="n">
        <v>0.123</v>
      </c>
      <c r="BK531" s="5" t="n">
        <v>0.008999999999999999</v>
      </c>
      <c r="BL531" s="5" t="n">
        <v>0.735</v>
      </c>
      <c r="BM531" s="5" t="n">
        <v>0.2</v>
      </c>
      <c r="BN531" s="5" t="n">
        <v>1</v>
      </c>
      <c r="BO531" s="5" t="n">
        <v>0</v>
      </c>
      <c r="BP531" s="5" t="n">
        <v>0</v>
      </c>
      <c r="BQ531" s="5" t="n">
        <v>0</v>
      </c>
      <c r="BR531" s="5" t="n">
        <v>0</v>
      </c>
      <c r="BS531" s="5" t="n">
        <v>1</v>
      </c>
      <c r="BT531" s="5" t="n">
        <v>0</v>
      </c>
      <c r="BU531" s="5" t="n">
        <v>0</v>
      </c>
      <c r="BV531" s="5" t="n">
        <v>0</v>
      </c>
      <c r="BW531" s="5" t="n">
        <v>0.2</v>
      </c>
      <c r="BX531" s="5" t="n">
        <v>1</v>
      </c>
      <c r="BY531" s="5" t="n">
        <v>12.729</v>
      </c>
      <c r="BZ531" s="5" t="n">
        <v>0</v>
      </c>
      <c r="CA531" s="5" t="n">
        <v>12.729</v>
      </c>
      <c r="CB531" s="5" t="n">
        <v>0</v>
      </c>
      <c r="CC531" s="5" t="n">
        <v>97.90000000000001</v>
      </c>
      <c r="CD531" s="5" t="n">
        <v>7.95</v>
      </c>
      <c r="CE531" s="5" t="n">
        <v>1.449</v>
      </c>
      <c r="CF531" s="5" t="n">
        <v>117.48</v>
      </c>
      <c r="CG531" s="5" t="n">
        <v>0.2</v>
      </c>
      <c r="CH531" s="5" t="n">
        <v>1</v>
      </c>
      <c r="CI531" s="5" t="n">
        <v>0</v>
      </c>
      <c r="CJ531" s="5" t="n">
        <v>0</v>
      </c>
      <c r="CK531" s="5" t="n">
        <v>0</v>
      </c>
      <c r="CL531" s="5" t="n">
        <v>0</v>
      </c>
      <c r="CM531" s="5" t="n">
        <v>0</v>
      </c>
      <c r="CN531" s="5" t="n">
        <v>0</v>
      </c>
      <c r="CO531" s="5" t="n">
        <v>0</v>
      </c>
      <c r="CP531" s="5" t="n">
        <v>0</v>
      </c>
      <c r="CQ531" s="5" t="n">
        <v>1.294</v>
      </c>
      <c r="CR531" s="5" t="n">
        <v>0</v>
      </c>
      <c r="CS531" s="5" t="n">
        <v>5.158</v>
      </c>
      <c r="CT531" s="5" t="n">
        <v>5.842</v>
      </c>
      <c r="CU531" s="5" t="n">
        <v>31.326</v>
      </c>
    </row>
    <row r="532">
      <c r="A532" s="5" t="inlineStr">
        <is>
          <t>MCO2023</t>
        </is>
      </c>
      <c r="B532" s="5" t="inlineStr">
        <is>
          <t>MCO</t>
        </is>
      </c>
      <c r="C532" s="5" t="inlineStr">
        <is>
          <t>MCO</t>
        </is>
      </c>
      <c r="D532" s="5" t="inlineStr">
        <is>
          <t>Monaco</t>
        </is>
      </c>
      <c r="E532" s="5" t="n">
        <v>2023</v>
      </c>
      <c r="F532" s="5" t="n">
        <v>0.2</v>
      </c>
      <c r="G532" s="5" t="n">
        <v>4.752</v>
      </c>
      <c r="H532" s="5" t="n">
        <v>1.286</v>
      </c>
      <c r="I532" s="5" t="n">
        <v>0</v>
      </c>
      <c r="J532" s="5" t="n">
        <v>4.752</v>
      </c>
      <c r="K532" s="5" t="n">
        <v>0</v>
      </c>
      <c r="L532" s="5" t="n">
        <v>1</v>
      </c>
      <c r="M532" s="5" t="n">
        <v>7.886</v>
      </c>
      <c r="N532" s="5" t="n">
        <v>3.857</v>
      </c>
      <c r="O532" s="5" t="n">
        <v>0</v>
      </c>
      <c r="P532" s="5" t="n">
        <v>7.886</v>
      </c>
      <c r="Q532" s="5" t="n">
        <v>0</v>
      </c>
      <c r="R532" s="5" t="n">
        <v>1</v>
      </c>
      <c r="S532" s="5" t="n">
        <v>11.18</v>
      </c>
      <c r="T532" s="5" t="n">
        <v>7.714</v>
      </c>
      <c r="U532" s="5" t="n">
        <v>0.248</v>
      </c>
      <c r="V532" s="5" t="n">
        <v>13.416</v>
      </c>
      <c r="W532" s="5" t="n">
        <v>0.2</v>
      </c>
      <c r="X532" s="5" t="n">
        <v>1</v>
      </c>
      <c r="Y532" s="5" t="n">
        <v>12.908</v>
      </c>
      <c r="Z532" s="5" t="n">
        <v>1.745</v>
      </c>
      <c r="AA532" s="5" t="n">
        <v>0</v>
      </c>
      <c r="AB532" s="5" t="n">
        <v>12.908</v>
      </c>
      <c r="AC532" s="5" t="n">
        <v>0</v>
      </c>
      <c r="AD532" s="5" t="n">
        <v>1</v>
      </c>
      <c r="AE532" s="5" t="n">
        <v>14.194</v>
      </c>
      <c r="AF532" s="5" t="n">
        <v>3.319</v>
      </c>
      <c r="AG532" s="5" t="n">
        <v>0</v>
      </c>
      <c r="AH532" s="5" t="n">
        <v>14.194</v>
      </c>
      <c r="AI532" s="5" t="n">
        <v>0</v>
      </c>
      <c r="AJ532" s="5" t="n">
        <v>1</v>
      </c>
      <c r="AK532" s="5" t="n">
        <v>21.908</v>
      </c>
      <c r="AL532" s="5" t="n">
        <v>11.668</v>
      </c>
      <c r="AM532" s="5" t="n">
        <v>0.485</v>
      </c>
      <c r="AN532" s="5" t="n">
        <v>26.289</v>
      </c>
      <c r="AO532" s="5" t="n">
        <v>0.2</v>
      </c>
      <c r="AP532" s="5" t="n">
        <v>1</v>
      </c>
      <c r="AQ532" s="5" t="n">
        <v>0.76</v>
      </c>
      <c r="AR532" s="5" t="n">
        <v>0.129</v>
      </c>
      <c r="AS532" s="5" t="n">
        <v>0.017</v>
      </c>
      <c r="AT532" s="5" t="n">
        <v>0.913</v>
      </c>
      <c r="AU532" s="5" t="n">
        <v>0.2</v>
      </c>
      <c r="AV532" s="5" t="n">
        <v>1</v>
      </c>
      <c r="AW532" s="5" t="n">
        <v>0.8110000000000001</v>
      </c>
      <c r="AX532" s="5" t="n">
        <v>0.129</v>
      </c>
      <c r="AY532" s="5" t="n">
        <v>0.018</v>
      </c>
      <c r="AZ532" s="5" t="n">
        <v>0.974</v>
      </c>
      <c r="BA532" s="5" t="n">
        <v>0.2</v>
      </c>
      <c r="BB532" s="5" t="n">
        <v>1</v>
      </c>
      <c r="BC532" s="5" t="n">
        <v>0.535</v>
      </c>
      <c r="BD532" s="5" t="n">
        <v>0.129</v>
      </c>
      <c r="BE532" s="5" t="n">
        <v>0.012</v>
      </c>
      <c r="BF532" s="5" t="n">
        <v>0.642</v>
      </c>
      <c r="BG532" s="5" t="n">
        <v>0.2</v>
      </c>
      <c r="BH532" s="5" t="n">
        <v>1</v>
      </c>
      <c r="BI532" s="5" t="n">
        <v>0.579</v>
      </c>
      <c r="BJ532" s="5" t="n">
        <v>0.129</v>
      </c>
      <c r="BK532" s="5" t="n">
        <v>0.013</v>
      </c>
      <c r="BL532" s="5" t="n">
        <v>0.695</v>
      </c>
      <c r="BM532" s="5" t="n">
        <v>0.2</v>
      </c>
      <c r="BN532" s="5" t="n">
        <v>1</v>
      </c>
      <c r="BO532" s="5" t="n">
        <v>0</v>
      </c>
      <c r="BP532" s="5" t="n">
        <v>0</v>
      </c>
      <c r="BQ532" s="5" t="n">
        <v>0</v>
      </c>
      <c r="BR532" s="5" t="n">
        <v>0</v>
      </c>
      <c r="BS532" s="5" t="n">
        <v>1</v>
      </c>
      <c r="BT532" s="5" t="n">
        <v>0</v>
      </c>
      <c r="BU532" s="5" t="n">
        <v>0</v>
      </c>
      <c r="BV532" s="5" t="n">
        <v>0</v>
      </c>
      <c r="BW532" s="5" t="n">
        <v>0.2</v>
      </c>
      <c r="BX532" s="5" t="n">
        <v>1</v>
      </c>
      <c r="BY532" s="5" t="n">
        <v>13.254</v>
      </c>
      <c r="BZ532" s="5" t="n">
        <v>0</v>
      </c>
      <c r="CA532" s="5" t="n">
        <v>13.254</v>
      </c>
      <c r="CB532" s="5" t="n">
        <v>0</v>
      </c>
      <c r="CC532" s="5" t="n">
        <v>83.248</v>
      </c>
      <c r="CD532" s="5" t="n">
        <v>7.95</v>
      </c>
      <c r="CE532" s="5" t="n">
        <v>1.843</v>
      </c>
      <c r="CF532" s="5" t="n">
        <v>99.898</v>
      </c>
      <c r="CG532" s="5" t="n">
        <v>0.2</v>
      </c>
      <c r="CH532" s="5" t="n">
        <v>1</v>
      </c>
      <c r="CI532" s="5" t="n">
        <v>0</v>
      </c>
      <c r="CJ532" s="5" t="n">
        <v>0</v>
      </c>
      <c r="CK532" s="5" t="n">
        <v>0</v>
      </c>
      <c r="CL532" s="5" t="n">
        <v>0</v>
      </c>
      <c r="CM532" s="5" t="n">
        <v>0</v>
      </c>
      <c r="CN532" s="5" t="n">
        <v>0</v>
      </c>
      <c r="CO532" s="5" t="n">
        <v>0</v>
      </c>
      <c r="CP532" s="5" t="n">
        <v>0</v>
      </c>
      <c r="CQ532" s="5" t="n">
        <v>1.348</v>
      </c>
      <c r="CR532" s="5" t="n">
        <v>0</v>
      </c>
      <c r="CS532" s="5" t="n">
        <v>5.37</v>
      </c>
      <c r="CT532" s="5" t="n">
        <v>3.466</v>
      </c>
      <c r="CU532" s="5" t="n">
        <v>11.622</v>
      </c>
    </row>
    <row r="533">
      <c r="A533" s="5" t="inlineStr">
        <is>
          <t>MCO2024</t>
        </is>
      </c>
      <c r="B533" s="5" t="inlineStr">
        <is>
          <t>MCO</t>
        </is>
      </c>
      <c r="C533" s="5" t="inlineStr">
        <is>
          <t>MCO</t>
        </is>
      </c>
      <c r="D533" s="5" t="inlineStr">
        <is>
          <t>Monaco</t>
        </is>
      </c>
      <c r="E533" s="5" t="n">
        <v>2024</v>
      </c>
      <c r="F533" s="5" t="n">
        <v>0.2</v>
      </c>
      <c r="G533" s="5" t="n">
        <v>4.351</v>
      </c>
      <c r="H533" s="5" t="n">
        <v>1.324</v>
      </c>
      <c r="I533" s="5" t="n">
        <v>0</v>
      </c>
      <c r="J533" s="5" t="n">
        <v>4.351</v>
      </c>
      <c r="K533" s="5" t="n">
        <v>0</v>
      </c>
      <c r="L533" s="5" t="n">
        <v>1</v>
      </c>
      <c r="M533" s="5" t="n">
        <v>7.124</v>
      </c>
      <c r="N533" s="5" t="n">
        <v>3.971</v>
      </c>
      <c r="O533" s="5" t="n">
        <v>0</v>
      </c>
      <c r="P533" s="5" t="n">
        <v>7.124</v>
      </c>
      <c r="Q533" s="5" t="n">
        <v>0</v>
      </c>
      <c r="R533" s="5" t="n">
        <v>1</v>
      </c>
      <c r="S533" s="5" t="n">
        <v>10.969</v>
      </c>
      <c r="T533" s="5" t="n">
        <v>7.942</v>
      </c>
      <c r="U533" s="5" t="n">
        <v>0.299</v>
      </c>
      <c r="V533" s="5" t="n">
        <v>13.162</v>
      </c>
      <c r="W533" s="5" t="n">
        <v>0.2</v>
      </c>
      <c r="X533" s="5" t="n">
        <v>1</v>
      </c>
      <c r="Y533" s="5" t="n">
        <v>11.492</v>
      </c>
      <c r="Z533" s="5" t="n">
        <v>1.553</v>
      </c>
      <c r="AA533" s="5" t="n">
        <v>0</v>
      </c>
      <c r="AB533" s="5" t="n">
        <v>11.492</v>
      </c>
      <c r="AC533" s="5" t="n">
        <v>0</v>
      </c>
      <c r="AD533" s="5" t="n">
        <v>1</v>
      </c>
      <c r="AE533" s="5" t="n">
        <v>12.815</v>
      </c>
      <c r="AF533" s="5" t="n">
        <v>2.997</v>
      </c>
      <c r="AG533" s="5" t="n">
        <v>0</v>
      </c>
      <c r="AH533" s="5" t="n">
        <v>12.815</v>
      </c>
      <c r="AI533" s="5" t="n">
        <v>0</v>
      </c>
      <c r="AJ533" s="5" t="n">
        <v>1</v>
      </c>
      <c r="AK533" s="5" t="n">
        <v>20.757</v>
      </c>
      <c r="AL533" s="5" t="n">
        <v>11.055</v>
      </c>
      <c r="AM533" s="5" t="n">
        <v>0.5649999999999999</v>
      </c>
      <c r="AN533" s="5" t="n">
        <v>24.909</v>
      </c>
      <c r="AO533" s="5" t="n">
        <v>0.2</v>
      </c>
      <c r="AP533" s="5" t="n">
        <v>1</v>
      </c>
      <c r="AQ533" s="5" t="n">
        <v>0.724</v>
      </c>
      <c r="AR533" s="5" t="n">
        <v>0.132</v>
      </c>
      <c r="AS533" s="5" t="n">
        <v>0.02</v>
      </c>
      <c r="AT533" s="5" t="n">
        <v>0.869</v>
      </c>
      <c r="AU533" s="5" t="n">
        <v>0.2</v>
      </c>
      <c r="AV533" s="5" t="n">
        <v>1</v>
      </c>
      <c r="AW533" s="5" t="n">
        <v>0.75</v>
      </c>
      <c r="AX533" s="5" t="n">
        <v>0.132</v>
      </c>
      <c r="AY533" s="5" t="n">
        <v>0.02</v>
      </c>
      <c r="AZ533" s="5" t="n">
        <v>0.9</v>
      </c>
      <c r="BA533" s="5" t="n">
        <v>0.2</v>
      </c>
      <c r="BB533" s="5" t="n">
        <v>1</v>
      </c>
      <c r="BC533" s="5" t="n">
        <v>0.513</v>
      </c>
      <c r="BD533" s="5" t="n">
        <v>0.132</v>
      </c>
      <c r="BE533" s="5" t="n">
        <v>0.014</v>
      </c>
      <c r="BF533" s="5" t="n">
        <v>0.616</v>
      </c>
      <c r="BG533" s="5" t="n">
        <v>0.2</v>
      </c>
      <c r="BH533" s="5" t="n">
        <v>1</v>
      </c>
      <c r="BI533" s="5" t="n">
        <v>0.591</v>
      </c>
      <c r="BJ533" s="5" t="n">
        <v>0.132</v>
      </c>
      <c r="BK533" s="5" t="n">
        <v>0.016</v>
      </c>
      <c r="BL533" s="5" t="n">
        <v>0.71</v>
      </c>
      <c r="BM533" s="5" t="n">
        <v>0.2</v>
      </c>
      <c r="BN533" s="5" t="n">
        <v>1</v>
      </c>
      <c r="BO533" s="5" t="n">
        <v>0</v>
      </c>
      <c r="BP533" s="5" t="n">
        <v>0</v>
      </c>
      <c r="BQ533" s="5" t="n">
        <v>0</v>
      </c>
      <c r="BR533" s="5" t="n">
        <v>0</v>
      </c>
      <c r="BS533" s="5" t="n">
        <v>1</v>
      </c>
      <c r="BT533" s="5" t="n">
        <v>0</v>
      </c>
      <c r="BU533" s="5" t="n">
        <v>0</v>
      </c>
      <c r="BV533" s="5" t="n">
        <v>0</v>
      </c>
      <c r="BW533" s="5" t="n">
        <v>0.2</v>
      </c>
      <c r="BX533" s="5" t="n">
        <v>1</v>
      </c>
      <c r="BY533" s="5" t="n">
        <v>13.646</v>
      </c>
      <c r="BZ533" s="5" t="n">
        <v>0</v>
      </c>
      <c r="CA533" s="5" t="n">
        <v>13.646</v>
      </c>
      <c r="CB533" s="5" t="n">
        <v>0</v>
      </c>
      <c r="CC533" s="5" t="n">
        <v>82.58799999999999</v>
      </c>
      <c r="CD533" s="5" t="n">
        <v>7.95</v>
      </c>
      <c r="CE533" s="5" t="n">
        <v>2.25</v>
      </c>
      <c r="CF533" s="5" t="n">
        <v>99.10599999999999</v>
      </c>
      <c r="CG533" s="5" t="n">
        <v>0.2</v>
      </c>
      <c r="CH533" s="5" t="n">
        <v>1</v>
      </c>
      <c r="CI533" s="5" t="n">
        <v>0</v>
      </c>
      <c r="CJ533" s="5" t="n">
        <v>0</v>
      </c>
      <c r="CK533" s="5" t="n">
        <v>0</v>
      </c>
      <c r="CL533" s="5" t="n">
        <v>0</v>
      </c>
      <c r="CM533" s="5" t="n">
        <v>0</v>
      </c>
      <c r="CN533" s="5" t="n">
        <v>0</v>
      </c>
      <c r="CO533" s="5" t="n">
        <v>0</v>
      </c>
      <c r="CP533" s="5" t="n">
        <v>0</v>
      </c>
      <c r="CQ533" s="5" t="n">
        <v>1.387</v>
      </c>
      <c r="CR533" s="5" t="n">
        <v>0</v>
      </c>
      <c r="CS533" s="5" t="n">
        <v>5.529</v>
      </c>
      <c r="CT533" s="5" t="n">
        <v>3.027</v>
      </c>
      <c r="CU533" s="5" t="n">
        <v>10.168</v>
      </c>
    </row>
    <row r="534">
      <c r="A534" s="5" t="inlineStr">
        <is>
          <t>MNG2021</t>
        </is>
      </c>
      <c r="B534" s="5" t="inlineStr">
        <is>
          <t>MNG</t>
        </is>
      </c>
      <c r="C534" s="5" t="inlineStr">
        <is>
          <t>MNG</t>
        </is>
      </c>
      <c r="D534" s="5" t="inlineStr">
        <is>
          <t>Mongolia</t>
        </is>
      </c>
      <c r="E534" s="5" t="n">
        <v>2021</v>
      </c>
      <c r="F534" s="5" t="n">
        <v>0.1</v>
      </c>
      <c r="G534" s="5" t="n">
        <v>1.772</v>
      </c>
      <c r="H534" s="5" t="n">
        <v>0.572</v>
      </c>
      <c r="I534" s="5" t="n">
        <v>0</v>
      </c>
      <c r="J534" s="5" t="n">
        <v>1.772</v>
      </c>
      <c r="K534" s="5" t="n">
        <v>0</v>
      </c>
      <c r="L534" s="5" t="n">
        <v>1</v>
      </c>
      <c r="M534" s="5" t="n">
        <v>2.917</v>
      </c>
      <c r="N534" s="5" t="n">
        <v>1.716</v>
      </c>
      <c r="O534" s="5" t="n">
        <v>0</v>
      </c>
      <c r="P534" s="5" t="n">
        <v>2.917</v>
      </c>
      <c r="Q534" s="5" t="n">
        <v>0</v>
      </c>
      <c r="R534" s="5" t="n">
        <v>1</v>
      </c>
      <c r="S534" s="5" t="n">
        <v>4.632</v>
      </c>
      <c r="T534" s="5" t="n">
        <v>3.432</v>
      </c>
      <c r="U534" s="5" t="n">
        <v>0</v>
      </c>
      <c r="V534" s="5" t="n">
        <v>5.096</v>
      </c>
      <c r="W534" s="5" t="n">
        <v>0.1</v>
      </c>
      <c r="X534" s="5" t="n">
        <v>1</v>
      </c>
      <c r="Y534" s="5" t="n">
        <v>10.541</v>
      </c>
      <c r="Z534" s="5" t="n">
        <v>1.301</v>
      </c>
      <c r="AA534" s="5" t="n">
        <v>0</v>
      </c>
      <c r="AB534" s="5" t="n">
        <v>10.541</v>
      </c>
      <c r="AC534" s="5" t="n">
        <v>0</v>
      </c>
      <c r="AD534" s="5" t="n">
        <v>1</v>
      </c>
      <c r="AE534" s="5" t="n">
        <v>11.684</v>
      </c>
      <c r="AF534" s="5" t="n">
        <v>2.547</v>
      </c>
      <c r="AG534" s="5" t="n">
        <v>0</v>
      </c>
      <c r="AH534" s="5" t="n">
        <v>11.684</v>
      </c>
      <c r="AI534" s="5" t="n">
        <v>0</v>
      </c>
      <c r="AJ534" s="5" t="n">
        <v>1</v>
      </c>
      <c r="AK534" s="5" t="n">
        <v>18.544</v>
      </c>
      <c r="AL534" s="5" t="n">
        <v>9.622</v>
      </c>
      <c r="AM534" s="5" t="n">
        <v>0</v>
      </c>
      <c r="AN534" s="5" t="n">
        <v>20.399</v>
      </c>
      <c r="AO534" s="5" t="n">
        <v>0.1</v>
      </c>
      <c r="AP534" s="5" t="n">
        <v>1</v>
      </c>
      <c r="AQ534" s="5" t="n">
        <v>0.621</v>
      </c>
      <c r="AR534" s="5" t="n">
        <v>0.114</v>
      </c>
      <c r="AS534" s="5" t="n">
        <v>-0.066</v>
      </c>
      <c r="AT534" s="5" t="n">
        <v>0.61</v>
      </c>
      <c r="AU534" s="5" t="n">
        <v>0.1</v>
      </c>
      <c r="AV534" s="5" t="n">
        <v>1</v>
      </c>
      <c r="AW534" s="5" t="n">
        <v>0.593</v>
      </c>
      <c r="AX534" s="5" t="n">
        <v>0.114</v>
      </c>
      <c r="AY534" s="5" t="n">
        <v>0.156</v>
      </c>
      <c r="AZ534" s="5" t="n">
        <v>0.824</v>
      </c>
      <c r="BA534" s="5" t="n">
        <v>0.1</v>
      </c>
      <c r="BB534" s="5" t="n">
        <v>1</v>
      </c>
      <c r="BC534" s="5" t="n">
        <v>0.44</v>
      </c>
      <c r="BD534" s="5" t="n">
        <v>0.114</v>
      </c>
      <c r="BE534" s="5" t="n">
        <v>0</v>
      </c>
      <c r="BF534" s="5" t="n">
        <v>0.484</v>
      </c>
      <c r="BG534" s="5" t="n">
        <v>0.1</v>
      </c>
      <c r="BH534" s="5" t="n">
        <v>1</v>
      </c>
      <c r="BI534" s="5" t="n">
        <v>0.5600000000000001</v>
      </c>
      <c r="BJ534" s="5" t="n">
        <v>0.114</v>
      </c>
      <c r="BK534" s="5" t="n">
        <v>0</v>
      </c>
      <c r="BL534" s="5" t="n">
        <v>0.616</v>
      </c>
      <c r="BM534" s="5" t="n">
        <v>0.1</v>
      </c>
      <c r="BN534" s="5" t="n">
        <v>1</v>
      </c>
      <c r="BO534" s="5" t="n">
        <v>0</v>
      </c>
      <c r="BP534" s="5" t="n">
        <v>0</v>
      </c>
      <c r="BQ534" s="5" t="n">
        <v>0.063</v>
      </c>
      <c r="BR534" s="5" t="n">
        <v>0</v>
      </c>
      <c r="BS534" s="5" t="n">
        <v>0.667</v>
      </c>
      <c r="BT534" s="5" t="n">
        <v>0</v>
      </c>
      <c r="BU534" s="5" t="n">
        <v>0</v>
      </c>
      <c r="BV534" s="5" t="n">
        <v>0.047</v>
      </c>
      <c r="BW534" s="5" t="n">
        <v>0</v>
      </c>
      <c r="BX534" s="5" t="n">
        <v>0.667</v>
      </c>
      <c r="BY534" s="5" t="n">
        <v>11.787</v>
      </c>
      <c r="BZ534" s="5" t="n">
        <v>0</v>
      </c>
      <c r="CA534" s="5" t="n">
        <v>11.787</v>
      </c>
      <c r="CB534" s="5" t="n">
        <v>0</v>
      </c>
      <c r="CC534" s="5" t="n">
        <v>81.69499999999999</v>
      </c>
      <c r="CD534" s="5" t="n">
        <v>7.95</v>
      </c>
      <c r="CE534" s="5" t="n">
        <v>0</v>
      </c>
      <c r="CF534" s="5" t="n">
        <v>89.86499999999999</v>
      </c>
      <c r="CG534" s="5" t="n">
        <v>0.1</v>
      </c>
      <c r="CH534" s="5" t="n">
        <v>1</v>
      </c>
      <c r="CI534" s="5" t="n">
        <v>0</v>
      </c>
      <c r="CJ534" s="5" t="n">
        <v>0</v>
      </c>
      <c r="CK534" s="5" t="n">
        <v>0</v>
      </c>
      <c r="CL534" s="5" t="n">
        <v>0</v>
      </c>
      <c r="CM534" s="5" t="n">
        <v>0</v>
      </c>
      <c r="CN534" s="5" t="n">
        <v>0</v>
      </c>
      <c r="CO534" s="5" t="n">
        <v>0</v>
      </c>
      <c r="CP534" s="5" t="n">
        <v>0.999</v>
      </c>
      <c r="CQ534" s="5" t="n">
        <v>1.198</v>
      </c>
      <c r="CR534" s="5" t="n">
        <v>0</v>
      </c>
      <c r="CS534" s="5" t="n">
        <v>4.776</v>
      </c>
      <c r="CT534" s="5" t="n">
        <v>3.604</v>
      </c>
      <c r="CU534" s="5" t="n">
        <v>9.407999999999999</v>
      </c>
    </row>
    <row r="535">
      <c r="A535" s="5" t="inlineStr">
        <is>
          <t>MNG2022</t>
        </is>
      </c>
      <c r="B535" s="5" t="inlineStr">
        <is>
          <t>MNG</t>
        </is>
      </c>
      <c r="C535" s="5" t="inlineStr">
        <is>
          <t>MNG</t>
        </is>
      </c>
      <c r="D535" s="5" t="inlineStr">
        <is>
          <t>Mongolia</t>
        </is>
      </c>
      <c r="E535" s="5" t="n">
        <v>2022</v>
      </c>
      <c r="F535" s="5" t="n">
        <v>0.1</v>
      </c>
      <c r="G535" s="5" t="n">
        <v>1.925</v>
      </c>
      <c r="H535" s="5" t="n">
        <v>0.619</v>
      </c>
      <c r="I535" s="5" t="n">
        <v>0</v>
      </c>
      <c r="J535" s="5" t="n">
        <v>1.925</v>
      </c>
      <c r="K535" s="5" t="n">
        <v>0</v>
      </c>
      <c r="L535" s="5" t="n">
        <v>1</v>
      </c>
      <c r="M535" s="5" t="n">
        <v>3.16</v>
      </c>
      <c r="N535" s="5" t="n">
        <v>1.856</v>
      </c>
      <c r="O535" s="5" t="n">
        <v>0</v>
      </c>
      <c r="P535" s="5" t="n">
        <v>3.16</v>
      </c>
      <c r="Q535" s="5" t="n">
        <v>0</v>
      </c>
      <c r="R535" s="5" t="n">
        <v>1</v>
      </c>
      <c r="S535" s="5" t="n">
        <v>5.019</v>
      </c>
      <c r="T535" s="5" t="n">
        <v>3.712</v>
      </c>
      <c r="U535" s="5" t="n">
        <v>0.037</v>
      </c>
      <c r="V535" s="5" t="n">
        <v>5.52</v>
      </c>
      <c r="W535" s="5" t="n">
        <v>0.1</v>
      </c>
      <c r="X535" s="5" t="n">
        <v>1</v>
      </c>
      <c r="Y535" s="5" t="n">
        <v>17.308</v>
      </c>
      <c r="Z535" s="5" t="n">
        <v>2.136</v>
      </c>
      <c r="AA535" s="5" t="n">
        <v>0</v>
      </c>
      <c r="AB535" s="5" t="n">
        <v>17.308</v>
      </c>
      <c r="AC535" s="5" t="n">
        <v>0</v>
      </c>
      <c r="AD535" s="5" t="n">
        <v>1</v>
      </c>
      <c r="AE535" s="5" t="n">
        <v>18.543</v>
      </c>
      <c r="AF535" s="5" t="n">
        <v>4.043</v>
      </c>
      <c r="AG535" s="5" t="n">
        <v>0</v>
      </c>
      <c r="AH535" s="5" t="n">
        <v>18.543</v>
      </c>
      <c r="AI535" s="5" t="n">
        <v>0</v>
      </c>
      <c r="AJ535" s="5" t="n">
        <v>1</v>
      </c>
      <c r="AK535" s="5" t="n">
        <v>25.951</v>
      </c>
      <c r="AL535" s="5" t="n">
        <v>13.466</v>
      </c>
      <c r="AM535" s="5" t="n">
        <v>0.192</v>
      </c>
      <c r="AN535" s="5" t="n">
        <v>28.546</v>
      </c>
      <c r="AO535" s="5" t="n">
        <v>0.1</v>
      </c>
      <c r="AP535" s="5" t="n">
        <v>1</v>
      </c>
      <c r="AQ535" s="5" t="n">
        <v>0.847</v>
      </c>
      <c r="AR535" s="5" t="n">
        <v>0.123</v>
      </c>
      <c r="AS535" s="5" t="n">
        <v>-0.146</v>
      </c>
      <c r="AT535" s="5" t="n">
        <v>0.771</v>
      </c>
      <c r="AU535" s="5" t="n">
        <v>0.1</v>
      </c>
      <c r="AV535" s="5" t="n">
        <v>1</v>
      </c>
      <c r="AW535" s="5" t="n">
        <v>0.947</v>
      </c>
      <c r="AX535" s="5" t="n">
        <v>0.123</v>
      </c>
      <c r="AY535" s="5" t="n">
        <v>0.077</v>
      </c>
      <c r="AZ535" s="5" t="n">
        <v>1.126</v>
      </c>
      <c r="BA535" s="5" t="n">
        <v>0.1</v>
      </c>
      <c r="BB535" s="5" t="n">
        <v>1</v>
      </c>
      <c r="BC535" s="5" t="n">
        <v>0.589</v>
      </c>
      <c r="BD535" s="5" t="n">
        <v>0.123</v>
      </c>
      <c r="BE535" s="5" t="n">
        <v>0.004</v>
      </c>
      <c r="BF535" s="5" t="n">
        <v>0.647</v>
      </c>
      <c r="BG535" s="5" t="n">
        <v>0.1</v>
      </c>
      <c r="BH535" s="5" t="n">
        <v>1</v>
      </c>
      <c r="BI535" s="5" t="n">
        <v>0.6889999999999999</v>
      </c>
      <c r="BJ535" s="5" t="n">
        <v>0.123</v>
      </c>
      <c r="BK535" s="5" t="n">
        <v>0.005</v>
      </c>
      <c r="BL535" s="5" t="n">
        <v>0.758</v>
      </c>
      <c r="BM535" s="5" t="n">
        <v>0.1</v>
      </c>
      <c r="BN535" s="5" t="n">
        <v>1</v>
      </c>
      <c r="BO535" s="5" t="n">
        <v>0</v>
      </c>
      <c r="BP535" s="5" t="n">
        <v>0</v>
      </c>
      <c r="BQ535" s="5" t="n">
        <v>0.057</v>
      </c>
      <c r="BR535" s="5" t="n">
        <v>0</v>
      </c>
      <c r="BS535" s="5" t="n">
        <v>0.667</v>
      </c>
      <c r="BT535" s="5" t="n">
        <v>0</v>
      </c>
      <c r="BU535" s="5" t="n">
        <v>0</v>
      </c>
      <c r="BV535" s="5" t="n">
        <v>0.043</v>
      </c>
      <c r="BW535" s="5" t="n">
        <v>0</v>
      </c>
      <c r="BX535" s="5" t="n">
        <v>0.667</v>
      </c>
      <c r="BY535" s="5" t="n">
        <v>12.729</v>
      </c>
      <c r="BZ535" s="5" t="n">
        <v>0</v>
      </c>
      <c r="CA535" s="5" t="n">
        <v>12.729</v>
      </c>
      <c r="CB535" s="5" t="n">
        <v>0</v>
      </c>
      <c r="CC535" s="5" t="n">
        <v>102.477</v>
      </c>
      <c r="CD535" s="5" t="n">
        <v>7.95</v>
      </c>
      <c r="CE535" s="5" t="n">
        <v>0.758</v>
      </c>
      <c r="CF535" s="5" t="n">
        <v>112.724</v>
      </c>
      <c r="CG535" s="5" t="n">
        <v>0.1</v>
      </c>
      <c r="CH535" s="5" t="n">
        <v>1</v>
      </c>
      <c r="CI535" s="5" t="n">
        <v>0</v>
      </c>
      <c r="CJ535" s="5" t="n">
        <v>0</v>
      </c>
      <c r="CK535" s="5" t="n">
        <v>0</v>
      </c>
      <c r="CL535" s="5" t="n">
        <v>0</v>
      </c>
      <c r="CM535" s="5" t="n">
        <v>0</v>
      </c>
      <c r="CN535" s="5" t="n">
        <v>0</v>
      </c>
      <c r="CO535" s="5" t="n">
        <v>0</v>
      </c>
      <c r="CP535" s="5" t="n">
        <v>0.998</v>
      </c>
      <c r="CQ535" s="5" t="n">
        <v>1.294</v>
      </c>
      <c r="CR535" s="5" t="n">
        <v>0</v>
      </c>
      <c r="CS535" s="5" t="n">
        <v>5.158</v>
      </c>
      <c r="CT535" s="5" t="n">
        <v>7.554</v>
      </c>
      <c r="CU535" s="5" t="n">
        <v>16.097</v>
      </c>
    </row>
    <row r="536">
      <c r="A536" s="5" t="inlineStr">
        <is>
          <t>MNG2023</t>
        </is>
      </c>
      <c r="B536" s="5" t="inlineStr">
        <is>
          <t>MNG</t>
        </is>
      </c>
      <c r="C536" s="5" t="inlineStr">
        <is>
          <t>MNG</t>
        </is>
      </c>
      <c r="D536" s="5" t="inlineStr">
        <is>
          <t>Mongolia</t>
        </is>
      </c>
      <c r="E536" s="5" t="n">
        <v>2023</v>
      </c>
      <c r="F536" s="5" t="n">
        <v>0.1</v>
      </c>
      <c r="G536" s="5" t="n">
        <v>1.998</v>
      </c>
      <c r="H536" s="5" t="n">
        <v>0.644</v>
      </c>
      <c r="I536" s="5" t="n">
        <v>0</v>
      </c>
      <c r="J536" s="5" t="n">
        <v>1.998</v>
      </c>
      <c r="K536" s="5" t="n">
        <v>0</v>
      </c>
      <c r="L536" s="5" t="n">
        <v>1</v>
      </c>
      <c r="M536" s="5" t="n">
        <v>3.285</v>
      </c>
      <c r="N536" s="5" t="n">
        <v>1.932</v>
      </c>
      <c r="O536" s="5" t="n">
        <v>0</v>
      </c>
      <c r="P536" s="5" t="n">
        <v>3.285</v>
      </c>
      <c r="Q536" s="5" t="n">
        <v>0</v>
      </c>
      <c r="R536" s="5" t="n">
        <v>1</v>
      </c>
      <c r="S536" s="5" t="n">
        <v>5.218</v>
      </c>
      <c r="T536" s="5" t="n">
        <v>3.864</v>
      </c>
      <c r="U536" s="5" t="n">
        <v>0.058</v>
      </c>
      <c r="V536" s="5" t="n">
        <v>5.74</v>
      </c>
      <c r="W536" s="5" t="n">
        <v>0.1</v>
      </c>
      <c r="X536" s="5" t="n">
        <v>1</v>
      </c>
      <c r="Y536" s="5" t="n">
        <v>13.799</v>
      </c>
      <c r="Z536" s="5" t="n">
        <v>1.703</v>
      </c>
      <c r="AA536" s="5" t="n">
        <v>0</v>
      </c>
      <c r="AB536" s="5" t="n">
        <v>13.799</v>
      </c>
      <c r="AC536" s="5" t="n">
        <v>0</v>
      </c>
      <c r="AD536" s="5" t="n">
        <v>1</v>
      </c>
      <c r="AE536" s="5" t="n">
        <v>15.085</v>
      </c>
      <c r="AF536" s="5" t="n">
        <v>3.289</v>
      </c>
      <c r="AG536" s="5" t="n">
        <v>0</v>
      </c>
      <c r="AH536" s="5" t="n">
        <v>15.085</v>
      </c>
      <c r="AI536" s="5" t="n">
        <v>0</v>
      </c>
      <c r="AJ536" s="5" t="n">
        <v>1</v>
      </c>
      <c r="AK536" s="5" t="n">
        <v>22.799</v>
      </c>
      <c r="AL536" s="5" t="n">
        <v>11.83</v>
      </c>
      <c r="AM536" s="5" t="n">
        <v>0.252</v>
      </c>
      <c r="AN536" s="5" t="n">
        <v>25.078</v>
      </c>
      <c r="AO536" s="5" t="n">
        <v>0.1</v>
      </c>
      <c r="AP536" s="5" t="n">
        <v>1</v>
      </c>
      <c r="AQ536" s="5" t="n">
        <v>0.749</v>
      </c>
      <c r="AR536" s="5" t="n">
        <v>0.129</v>
      </c>
      <c r="AS536" s="5" t="n">
        <v>-0.107</v>
      </c>
      <c r="AT536" s="5" t="n">
        <v>0.705</v>
      </c>
      <c r="AU536" s="5" t="n">
        <v>0.1</v>
      </c>
      <c r="AV536" s="5" t="n">
        <v>1</v>
      </c>
      <c r="AW536" s="5" t="n">
        <v>0.783</v>
      </c>
      <c r="AX536" s="5" t="n">
        <v>0.129</v>
      </c>
      <c r="AY536" s="5" t="n">
        <v>0.18</v>
      </c>
      <c r="AZ536" s="5" t="n">
        <v>1.059</v>
      </c>
      <c r="BA536" s="5" t="n">
        <v>0.1</v>
      </c>
      <c r="BB536" s="5" t="n">
        <v>1</v>
      </c>
      <c r="BC536" s="5" t="n">
        <v>0.527</v>
      </c>
      <c r="BD536" s="5" t="n">
        <v>0.129</v>
      </c>
      <c r="BE536" s="5" t="n">
        <v>0.006</v>
      </c>
      <c r="BF536" s="5" t="n">
        <v>0.58</v>
      </c>
      <c r="BG536" s="5" t="n">
        <v>0.1</v>
      </c>
      <c r="BH536" s="5" t="n">
        <v>1</v>
      </c>
      <c r="BI536" s="5" t="n">
        <v>0.64</v>
      </c>
      <c r="BJ536" s="5" t="n">
        <v>0.129</v>
      </c>
      <c r="BK536" s="5" t="n">
        <v>0.007</v>
      </c>
      <c r="BL536" s="5" t="n">
        <v>0.704</v>
      </c>
      <c r="BM536" s="5" t="n">
        <v>0.1</v>
      </c>
      <c r="BN536" s="5" t="n">
        <v>1</v>
      </c>
      <c r="BO536" s="5" t="n">
        <v>0</v>
      </c>
      <c r="BP536" s="5" t="n">
        <v>0</v>
      </c>
      <c r="BQ536" s="5" t="n">
        <v>0.054</v>
      </c>
      <c r="BR536" s="5" t="n">
        <v>0</v>
      </c>
      <c r="BS536" s="5" t="n">
        <v>0.667</v>
      </c>
      <c r="BT536" s="5" t="n">
        <v>0</v>
      </c>
      <c r="BU536" s="5" t="n">
        <v>0</v>
      </c>
      <c r="BV536" s="5" t="n">
        <v>0.04</v>
      </c>
      <c r="BW536" s="5" t="n">
        <v>0</v>
      </c>
      <c r="BX536" s="5" t="n">
        <v>0.667</v>
      </c>
      <c r="BY536" s="5" t="n">
        <v>13.254</v>
      </c>
      <c r="BZ536" s="5" t="n">
        <v>0</v>
      </c>
      <c r="CA536" s="5" t="n">
        <v>13.254</v>
      </c>
      <c r="CB536" s="5" t="n">
        <v>0</v>
      </c>
      <c r="CC536" s="5" t="n">
        <v>87.07899999999999</v>
      </c>
      <c r="CD536" s="5" t="n">
        <v>7.95</v>
      </c>
      <c r="CE536" s="5" t="n">
        <v>0.964</v>
      </c>
      <c r="CF536" s="5" t="n">
        <v>95.78700000000001</v>
      </c>
      <c r="CG536" s="5" t="n">
        <v>0.1</v>
      </c>
      <c r="CH536" s="5" t="n">
        <v>1</v>
      </c>
      <c r="CI536" s="5" t="n">
        <v>0</v>
      </c>
      <c r="CJ536" s="5" t="n">
        <v>0</v>
      </c>
      <c r="CK536" s="5" t="n">
        <v>0</v>
      </c>
      <c r="CL536" s="5" t="n">
        <v>0</v>
      </c>
      <c r="CM536" s="5" t="n">
        <v>0</v>
      </c>
      <c r="CN536" s="5" t="n">
        <v>0</v>
      </c>
      <c r="CO536" s="5" t="n">
        <v>0</v>
      </c>
      <c r="CP536" s="5" t="n">
        <v>0.998</v>
      </c>
      <c r="CQ536" s="5" t="n">
        <v>1.348</v>
      </c>
      <c r="CR536" s="5" t="n">
        <v>0</v>
      </c>
      <c r="CS536" s="5" t="n">
        <v>5.37</v>
      </c>
      <c r="CT536" s="5" t="n">
        <v>4.484</v>
      </c>
      <c r="CU536" s="5" t="n">
        <v>12.529</v>
      </c>
    </row>
    <row r="537">
      <c r="A537" s="5" t="inlineStr">
        <is>
          <t>MNG2024</t>
        </is>
      </c>
      <c r="B537" s="5" t="inlineStr">
        <is>
          <t>MNG</t>
        </is>
      </c>
      <c r="C537" s="5" t="inlineStr">
        <is>
          <t>MNG</t>
        </is>
      </c>
      <c r="D537" s="5" t="inlineStr">
        <is>
          <t>Mongolia</t>
        </is>
      </c>
      <c r="E537" s="5" t="n">
        <v>2024</v>
      </c>
      <c r="F537" s="5" t="n">
        <v>0.1</v>
      </c>
      <c r="G537" s="5" t="n">
        <v>2.054</v>
      </c>
      <c r="H537" s="5" t="n">
        <v>0.663</v>
      </c>
      <c r="I537" s="5" t="n">
        <v>0</v>
      </c>
      <c r="J537" s="5" t="n">
        <v>2.054</v>
      </c>
      <c r="K537" s="5" t="n">
        <v>0</v>
      </c>
      <c r="L537" s="5" t="n">
        <v>1</v>
      </c>
      <c r="M537" s="5" t="n">
        <v>3.38</v>
      </c>
      <c r="N537" s="5" t="n">
        <v>1.989</v>
      </c>
      <c r="O537" s="5" t="n">
        <v>0</v>
      </c>
      <c r="P537" s="5" t="n">
        <v>3.38</v>
      </c>
      <c r="Q537" s="5" t="n">
        <v>0</v>
      </c>
      <c r="R537" s="5" t="n">
        <v>1</v>
      </c>
      <c r="S537" s="5" t="n">
        <v>5.37</v>
      </c>
      <c r="T537" s="5" t="n">
        <v>3.978</v>
      </c>
      <c r="U537" s="5" t="n">
        <v>0.073</v>
      </c>
      <c r="V537" s="5" t="n">
        <v>5.907</v>
      </c>
      <c r="W537" s="5" t="n">
        <v>0.1</v>
      </c>
      <c r="X537" s="5" t="n">
        <v>1</v>
      </c>
      <c r="Y537" s="5" t="n">
        <v>12.208</v>
      </c>
      <c r="Z537" s="5" t="n">
        <v>1.506</v>
      </c>
      <c r="AA537" s="5" t="n">
        <v>0</v>
      </c>
      <c r="AB537" s="5" t="n">
        <v>12.208</v>
      </c>
      <c r="AC537" s="5" t="n">
        <v>0</v>
      </c>
      <c r="AD537" s="5" t="n">
        <v>1</v>
      </c>
      <c r="AE537" s="5" t="n">
        <v>13.531</v>
      </c>
      <c r="AF537" s="5" t="n">
        <v>2.95</v>
      </c>
      <c r="AG537" s="5" t="n">
        <v>0</v>
      </c>
      <c r="AH537" s="5" t="n">
        <v>13.531</v>
      </c>
      <c r="AI537" s="5" t="n">
        <v>0</v>
      </c>
      <c r="AJ537" s="5" t="n">
        <v>1</v>
      </c>
      <c r="AK537" s="5" t="n">
        <v>21.473</v>
      </c>
      <c r="AL537" s="5" t="n">
        <v>11.142</v>
      </c>
      <c r="AM537" s="5" t="n">
        <v>0.292</v>
      </c>
      <c r="AN537" s="5" t="n">
        <v>23.62</v>
      </c>
      <c r="AO537" s="5" t="n">
        <v>0.1</v>
      </c>
      <c r="AP537" s="5" t="n">
        <v>1</v>
      </c>
      <c r="AQ537" s="5" t="n">
        <v>0.72</v>
      </c>
      <c r="AR537" s="5" t="n">
        <v>0.132</v>
      </c>
      <c r="AS537" s="5" t="n">
        <v>-0.064</v>
      </c>
      <c r="AT537" s="5" t="n">
        <v>0.721</v>
      </c>
      <c r="AU537" s="5" t="n">
        <v>0.1</v>
      </c>
      <c r="AV537" s="5" t="n">
        <v>1</v>
      </c>
      <c r="AW537" s="5" t="n">
        <v>0.734</v>
      </c>
      <c r="AX537" s="5" t="n">
        <v>0.132</v>
      </c>
      <c r="AY537" s="5" t="n">
        <v>0.196</v>
      </c>
      <c r="AZ537" s="5" t="n">
        <v>1.023</v>
      </c>
      <c r="BA537" s="5" t="n">
        <v>0.1</v>
      </c>
      <c r="BB537" s="5" t="n">
        <v>1</v>
      </c>
      <c r="BC537" s="5" t="n">
        <v>0.51</v>
      </c>
      <c r="BD537" s="5" t="n">
        <v>0.132</v>
      </c>
      <c r="BE537" s="5" t="n">
        <v>0.007</v>
      </c>
      <c r="BF537" s="5" t="n">
        <v>0.5610000000000001</v>
      </c>
      <c r="BG537" s="5" t="n">
        <v>0.1</v>
      </c>
      <c r="BH537" s="5" t="n">
        <v>1</v>
      </c>
      <c r="BI537" s="5" t="n">
        <v>0.652</v>
      </c>
      <c r="BJ537" s="5" t="n">
        <v>0.132</v>
      </c>
      <c r="BK537" s="5" t="n">
        <v>0.008999999999999999</v>
      </c>
      <c r="BL537" s="5" t="n">
        <v>0.717</v>
      </c>
      <c r="BM537" s="5" t="n">
        <v>0.1</v>
      </c>
      <c r="BN537" s="5" t="n">
        <v>1</v>
      </c>
      <c r="BO537" s="5" t="n">
        <v>0</v>
      </c>
      <c r="BP537" s="5" t="n">
        <v>0</v>
      </c>
      <c r="BQ537" s="5" t="n">
        <v>0.055</v>
      </c>
      <c r="BR537" s="5" t="n">
        <v>0</v>
      </c>
      <c r="BS537" s="5" t="n">
        <v>0.667</v>
      </c>
      <c r="BT537" s="5" t="n">
        <v>0</v>
      </c>
      <c r="BU537" s="5" t="n">
        <v>0</v>
      </c>
      <c r="BV537" s="5" t="n">
        <v>0.041</v>
      </c>
      <c r="BW537" s="5" t="n">
        <v>0</v>
      </c>
      <c r="BX537" s="5" t="n">
        <v>0.667</v>
      </c>
      <c r="BY537" s="5" t="n">
        <v>13.646</v>
      </c>
      <c r="BZ537" s="5" t="n">
        <v>0</v>
      </c>
      <c r="CA537" s="5" t="n">
        <v>13.646</v>
      </c>
      <c r="CB537" s="5" t="n">
        <v>0</v>
      </c>
      <c r="CC537" s="5" t="n">
        <v>86.38500000000001</v>
      </c>
      <c r="CD537" s="5" t="n">
        <v>7.95</v>
      </c>
      <c r="CE537" s="5" t="n">
        <v>1.177</v>
      </c>
      <c r="CF537" s="5" t="n">
        <v>95.024</v>
      </c>
      <c r="CG537" s="5" t="n">
        <v>0.1</v>
      </c>
      <c r="CH537" s="5" t="n">
        <v>1</v>
      </c>
      <c r="CI537" s="5" t="n">
        <v>0</v>
      </c>
      <c r="CJ537" s="5" t="n">
        <v>0</v>
      </c>
      <c r="CK537" s="5" t="n">
        <v>0</v>
      </c>
      <c r="CL537" s="5" t="n">
        <v>0</v>
      </c>
      <c r="CM537" s="5" t="n">
        <v>0</v>
      </c>
      <c r="CN537" s="5" t="n">
        <v>0</v>
      </c>
      <c r="CO537" s="5" t="n">
        <v>0</v>
      </c>
      <c r="CP537" s="5" t="n">
        <v>0.998</v>
      </c>
      <c r="CQ537" s="5" t="n">
        <v>1.387</v>
      </c>
      <c r="CR537" s="5" t="n">
        <v>0</v>
      </c>
      <c r="CS537" s="5" t="n">
        <v>5.529</v>
      </c>
      <c r="CT537" s="5" t="n">
        <v>3.509</v>
      </c>
      <c r="CU537" s="5" t="n">
        <v>10.896</v>
      </c>
    </row>
    <row r="538">
      <c r="A538" s="5" t="inlineStr">
        <is>
          <t>MNE2021</t>
        </is>
      </c>
      <c r="B538" s="5" t="inlineStr">
        <is>
          <t>MNE</t>
        </is>
      </c>
      <c r="C538" s="5" t="inlineStr">
        <is>
          <t>MNE</t>
        </is>
      </c>
      <c r="D538" s="5" t="inlineStr">
        <is>
          <t>Montenegro, Rep. of</t>
        </is>
      </c>
      <c r="E538" s="5" t="n">
        <v>2021</v>
      </c>
      <c r="F538" s="5" t="n">
        <v>0.21</v>
      </c>
      <c r="G538" s="5" t="n">
        <v>1.77</v>
      </c>
      <c r="H538" s="5" t="n">
        <v>0.572</v>
      </c>
      <c r="I538" s="5" t="n">
        <v>0</v>
      </c>
      <c r="J538" s="5" t="n">
        <v>1.77</v>
      </c>
      <c r="K538" s="5" t="n">
        <v>0</v>
      </c>
      <c r="L538" s="5" t="n">
        <v>1</v>
      </c>
      <c r="M538" s="5" t="n">
        <v>2.913</v>
      </c>
      <c r="N538" s="5" t="n">
        <v>1.715</v>
      </c>
      <c r="O538" s="5" t="n">
        <v>0</v>
      </c>
      <c r="P538" s="5" t="n">
        <v>2.913</v>
      </c>
      <c r="Q538" s="5" t="n">
        <v>0</v>
      </c>
      <c r="R538" s="5" t="n">
        <v>1</v>
      </c>
      <c r="S538" s="5" t="n">
        <v>4.628</v>
      </c>
      <c r="T538" s="5" t="n">
        <v>3.43</v>
      </c>
      <c r="U538" s="5" t="n">
        <v>0</v>
      </c>
      <c r="V538" s="5" t="n">
        <v>5.6</v>
      </c>
      <c r="W538" s="5" t="n">
        <v>0.21</v>
      </c>
      <c r="X538" s="5" t="n">
        <v>1</v>
      </c>
      <c r="Y538" s="5" t="n">
        <v>16.305</v>
      </c>
      <c r="Z538" s="5" t="n">
        <v>1.143</v>
      </c>
      <c r="AA538" s="5" t="n">
        <v>0.606</v>
      </c>
      <c r="AB538" s="5" t="n">
        <v>16.912</v>
      </c>
      <c r="AC538" s="5" t="n">
        <v>0</v>
      </c>
      <c r="AD538" s="5" t="n">
        <v>1</v>
      </c>
      <c r="AE538" s="5" t="n">
        <v>17.449</v>
      </c>
      <c r="AF538" s="5" t="n">
        <v>2.287</v>
      </c>
      <c r="AG538" s="5" t="n">
        <v>0.606</v>
      </c>
      <c r="AH538" s="5" t="n">
        <v>18.055</v>
      </c>
      <c r="AI538" s="5" t="n">
        <v>0</v>
      </c>
      <c r="AJ538" s="5" t="n">
        <v>1</v>
      </c>
      <c r="AK538" s="5" t="n">
        <v>24.309</v>
      </c>
      <c r="AL538" s="5" t="n">
        <v>9.147</v>
      </c>
      <c r="AM538" s="5" t="n">
        <v>0</v>
      </c>
      <c r="AN538" s="5" t="n">
        <v>29.413</v>
      </c>
      <c r="AO538" s="5" t="n">
        <v>0.21</v>
      </c>
      <c r="AP538" s="5" t="n">
        <v>1</v>
      </c>
      <c r="AQ538" s="5" t="n">
        <v>0.619</v>
      </c>
      <c r="AR538" s="5" t="n">
        <v>0.114</v>
      </c>
      <c r="AS538" s="5" t="n">
        <v>0.6860000000000001</v>
      </c>
      <c r="AT538" s="5" t="n">
        <v>1.579</v>
      </c>
      <c r="AU538" s="5" t="n">
        <v>0.21</v>
      </c>
      <c r="AV538" s="5" t="n">
        <v>1</v>
      </c>
      <c r="AW538" s="5" t="n">
        <v>0.599</v>
      </c>
      <c r="AX538" s="5" t="n">
        <v>0.114</v>
      </c>
      <c r="AY538" s="5" t="n">
        <v>0.5610000000000001</v>
      </c>
      <c r="AZ538" s="5" t="n">
        <v>1.404</v>
      </c>
      <c r="BA538" s="5" t="n">
        <v>0.21</v>
      </c>
      <c r="BB538" s="5" t="n">
        <v>1</v>
      </c>
      <c r="BC538" s="5" t="n">
        <v>0.439</v>
      </c>
      <c r="BD538" s="5" t="n">
        <v>0.114</v>
      </c>
      <c r="BE538" s="5" t="n">
        <v>0.189</v>
      </c>
      <c r="BF538" s="5" t="n">
        <v>0.76</v>
      </c>
      <c r="BG538" s="5" t="n">
        <v>0.21</v>
      </c>
      <c r="BH538" s="5" t="n">
        <v>1</v>
      </c>
      <c r="BI538" s="5" t="n">
        <v>0.505</v>
      </c>
      <c r="BJ538" s="5" t="n">
        <v>0.114</v>
      </c>
      <c r="BK538" s="5" t="n">
        <v>0</v>
      </c>
      <c r="BL538" s="5" t="n">
        <v>0.611</v>
      </c>
      <c r="BM538" s="5" t="n">
        <v>0.21</v>
      </c>
      <c r="BN538" s="5" t="n">
        <v>1</v>
      </c>
      <c r="BO538" s="5" t="n">
        <v>0</v>
      </c>
      <c r="BP538" s="5" t="n">
        <v>0.01</v>
      </c>
      <c r="BQ538" s="5" t="n">
        <v>0.068</v>
      </c>
      <c r="BR538" s="5" t="n">
        <v>0</v>
      </c>
      <c r="BS538" s="5" t="n">
        <v>1</v>
      </c>
      <c r="BT538" s="5" t="n">
        <v>0</v>
      </c>
      <c r="BU538" s="5" t="n">
        <v>0.005</v>
      </c>
      <c r="BV538" s="5" t="n">
        <v>0.116</v>
      </c>
      <c r="BW538" s="5" t="n">
        <v>0.21</v>
      </c>
      <c r="BX538" s="5" t="n">
        <v>0.5</v>
      </c>
      <c r="BY538" s="5" t="n">
        <v>11.787</v>
      </c>
      <c r="BZ538" s="5" t="n">
        <v>0</v>
      </c>
      <c r="CA538" s="5" t="n">
        <v>11.787</v>
      </c>
      <c r="CB538" s="5" t="n">
        <v>0</v>
      </c>
      <c r="CC538" s="5" t="n">
        <v>78.125</v>
      </c>
      <c r="CD538" s="5" t="n">
        <v>7.95</v>
      </c>
      <c r="CE538" s="5" t="n">
        <v>102.185</v>
      </c>
      <c r="CF538" s="5" t="n">
        <v>218.175</v>
      </c>
      <c r="CG538" s="5" t="n">
        <v>0.21</v>
      </c>
      <c r="CH538" s="5" t="n">
        <v>1</v>
      </c>
      <c r="CI538" s="5" t="n">
        <v>0</v>
      </c>
      <c r="CJ538" s="5" t="n">
        <v>0</v>
      </c>
      <c r="CK538" s="5" t="n">
        <v>0</v>
      </c>
      <c r="CL538" s="5" t="n">
        <v>0</v>
      </c>
      <c r="CM538" s="5" t="n">
        <v>0</v>
      </c>
      <c r="CN538" s="5" t="n">
        <v>0</v>
      </c>
      <c r="CO538" s="5" t="n">
        <v>0</v>
      </c>
      <c r="CP538" s="5" t="n">
        <v>1</v>
      </c>
      <c r="CQ538" s="5" t="n">
        <v>1.198</v>
      </c>
      <c r="CR538" s="5" t="n">
        <v>0</v>
      </c>
      <c r="CS538" s="5" t="n">
        <v>4.776</v>
      </c>
      <c r="CT538" s="5" t="n">
        <v>4.41</v>
      </c>
      <c r="CU538" s="5" t="n">
        <v>15.162</v>
      </c>
    </row>
    <row r="539">
      <c r="A539" s="5" t="inlineStr">
        <is>
          <t>MNE2022</t>
        </is>
      </c>
      <c r="B539" s="5" t="inlineStr">
        <is>
          <t>MNE</t>
        </is>
      </c>
      <c r="C539" s="5" t="inlineStr">
        <is>
          <t>MNE</t>
        </is>
      </c>
      <c r="D539" s="5" t="inlineStr">
        <is>
          <t>Montenegro, Rep. of</t>
        </is>
      </c>
      <c r="E539" s="5" t="n">
        <v>2022</v>
      </c>
      <c r="F539" s="5" t="n">
        <v>0.21</v>
      </c>
      <c r="G539" s="5" t="n">
        <v>1.911</v>
      </c>
      <c r="H539" s="5" t="n">
        <v>0.617</v>
      </c>
      <c r="I539" s="5" t="n">
        <v>0</v>
      </c>
      <c r="J539" s="5" t="n">
        <v>1.911</v>
      </c>
      <c r="K539" s="5" t="n">
        <v>0</v>
      </c>
      <c r="L539" s="5" t="n">
        <v>1</v>
      </c>
      <c r="M539" s="5" t="n">
        <v>3.146</v>
      </c>
      <c r="N539" s="5" t="n">
        <v>1.852</v>
      </c>
      <c r="O539" s="5" t="n">
        <v>0</v>
      </c>
      <c r="P539" s="5" t="n">
        <v>3.146</v>
      </c>
      <c r="Q539" s="5" t="n">
        <v>0</v>
      </c>
      <c r="R539" s="5" t="n">
        <v>1</v>
      </c>
      <c r="S539" s="5" t="n">
        <v>4.998</v>
      </c>
      <c r="T539" s="5" t="n">
        <v>3.704</v>
      </c>
      <c r="U539" s="5" t="n">
        <v>0.078</v>
      </c>
      <c r="V539" s="5" t="n">
        <v>6.048</v>
      </c>
      <c r="W539" s="5" t="n">
        <v>0.21</v>
      </c>
      <c r="X539" s="5" t="n">
        <v>1</v>
      </c>
      <c r="Y539" s="5" t="n">
        <v>32.56</v>
      </c>
      <c r="Z539" s="5" t="n">
        <v>1.235</v>
      </c>
      <c r="AA539" s="5" t="n">
        <v>1.253</v>
      </c>
      <c r="AB539" s="5" t="n">
        <v>33.813</v>
      </c>
      <c r="AC539" s="5" t="n">
        <v>0</v>
      </c>
      <c r="AD539" s="5" t="n">
        <v>1</v>
      </c>
      <c r="AE539" s="5" t="n">
        <v>33.795</v>
      </c>
      <c r="AF539" s="5" t="n">
        <v>2.469</v>
      </c>
      <c r="AG539" s="5" t="n">
        <v>1.253</v>
      </c>
      <c r="AH539" s="5" t="n">
        <v>35.048</v>
      </c>
      <c r="AI539" s="5" t="n">
        <v>0</v>
      </c>
      <c r="AJ539" s="5" t="n">
        <v>1</v>
      </c>
      <c r="AK539" s="5" t="n">
        <v>41.203</v>
      </c>
      <c r="AL539" s="5" t="n">
        <v>9.878</v>
      </c>
      <c r="AM539" s="5" t="n">
        <v>0.64</v>
      </c>
      <c r="AN539" s="5" t="n">
        <v>49.856</v>
      </c>
      <c r="AO539" s="5" t="n">
        <v>0.21</v>
      </c>
      <c r="AP539" s="5" t="n">
        <v>1</v>
      </c>
      <c r="AQ539" s="5" t="n">
        <v>0.861</v>
      </c>
      <c r="AR539" s="5" t="n">
        <v>0.123</v>
      </c>
      <c r="AS539" s="5" t="n">
        <v>0.456</v>
      </c>
      <c r="AT539" s="5" t="n">
        <v>1.593</v>
      </c>
      <c r="AU539" s="5" t="n">
        <v>0.21</v>
      </c>
      <c r="AV539" s="5" t="n">
        <v>1</v>
      </c>
      <c r="AW539" s="5" t="n">
        <v>0.986</v>
      </c>
      <c r="AX539" s="5" t="n">
        <v>0.123</v>
      </c>
      <c r="AY539" s="5" t="n">
        <v>0.38</v>
      </c>
      <c r="AZ539" s="5" t="n">
        <v>1.653</v>
      </c>
      <c r="BA539" s="5" t="n">
        <v>0.21</v>
      </c>
      <c r="BB539" s="5" t="n">
        <v>1</v>
      </c>
      <c r="BC539" s="5" t="n">
        <v>0.598</v>
      </c>
      <c r="BD539" s="5" t="n">
        <v>0.123</v>
      </c>
      <c r="BE539" s="5" t="n">
        <v>0.195</v>
      </c>
      <c r="BF539" s="5" t="n">
        <v>0.944</v>
      </c>
      <c r="BG539" s="5" t="n">
        <v>0.21</v>
      </c>
      <c r="BH539" s="5" t="n">
        <v>1</v>
      </c>
      <c r="BI539" s="5" t="n">
        <v>0.612</v>
      </c>
      <c r="BJ539" s="5" t="n">
        <v>0.123</v>
      </c>
      <c r="BK539" s="5" t="n">
        <v>0.01</v>
      </c>
      <c r="BL539" s="5" t="n">
        <v>0.741</v>
      </c>
      <c r="BM539" s="5" t="n">
        <v>0.21</v>
      </c>
      <c r="BN539" s="5" t="n">
        <v>1</v>
      </c>
      <c r="BO539" s="5" t="n">
        <v>0</v>
      </c>
      <c r="BP539" s="5" t="n">
        <v>0.008999999999999999</v>
      </c>
      <c r="BQ539" s="5" t="n">
        <v>0.064</v>
      </c>
      <c r="BR539" s="5" t="n">
        <v>0</v>
      </c>
      <c r="BS539" s="5" t="n">
        <v>1</v>
      </c>
      <c r="BT539" s="5" t="n">
        <v>0</v>
      </c>
      <c r="BU539" s="5" t="n">
        <v>0.005</v>
      </c>
      <c r="BV539" s="5" t="n">
        <v>0.102</v>
      </c>
      <c r="BW539" s="5" t="n">
        <v>0.21</v>
      </c>
      <c r="BX539" s="5" t="n">
        <v>0.5</v>
      </c>
      <c r="BY539" s="5" t="n">
        <v>12.729</v>
      </c>
      <c r="BZ539" s="5" t="n">
        <v>0</v>
      </c>
      <c r="CA539" s="5" t="n">
        <v>12.729</v>
      </c>
      <c r="CB539" s="5" t="n">
        <v>0</v>
      </c>
      <c r="CC539" s="5" t="n">
        <v>97.90000000000001</v>
      </c>
      <c r="CD539" s="5" t="n">
        <v>7.95</v>
      </c>
      <c r="CE539" s="5" t="n">
        <v>131.354</v>
      </c>
      <c r="CF539" s="5" t="n">
        <v>277.397</v>
      </c>
      <c r="CG539" s="5" t="n">
        <v>0.21</v>
      </c>
      <c r="CH539" s="5" t="n">
        <v>1</v>
      </c>
      <c r="CI539" s="5" t="n">
        <v>0</v>
      </c>
      <c r="CJ539" s="5" t="n">
        <v>0</v>
      </c>
      <c r="CK539" s="5" t="n">
        <v>0</v>
      </c>
      <c r="CL539" s="5" t="n">
        <v>0</v>
      </c>
      <c r="CM539" s="5" t="n">
        <v>0</v>
      </c>
      <c r="CN539" s="5" t="n">
        <v>0</v>
      </c>
      <c r="CO539" s="5" t="n">
        <v>0</v>
      </c>
      <c r="CP539" s="5" t="n">
        <v>1</v>
      </c>
      <c r="CQ539" s="5" t="n">
        <v>1.294</v>
      </c>
      <c r="CR539" s="5" t="n">
        <v>0</v>
      </c>
      <c r="CS539" s="5" t="n">
        <v>5.158</v>
      </c>
      <c r="CT539" s="5" t="n">
        <v>5.842</v>
      </c>
      <c r="CU539" s="5" t="n">
        <v>31.326</v>
      </c>
    </row>
    <row r="540">
      <c r="A540" s="5" t="inlineStr">
        <is>
          <t>MNE2023</t>
        </is>
      </c>
      <c r="B540" s="5" t="inlineStr">
        <is>
          <t>MNE</t>
        </is>
      </c>
      <c r="C540" s="5" t="inlineStr">
        <is>
          <t>MNE</t>
        </is>
      </c>
      <c r="D540" s="5" t="inlineStr">
        <is>
          <t>Montenegro, Rep. of</t>
        </is>
      </c>
      <c r="E540" s="5" t="n">
        <v>2023</v>
      </c>
      <c r="F540" s="5" t="n">
        <v>0.21</v>
      </c>
      <c r="G540" s="5" t="n">
        <v>1.99</v>
      </c>
      <c r="H540" s="5" t="n">
        <v>0.643</v>
      </c>
      <c r="I540" s="5" t="n">
        <v>2.612</v>
      </c>
      <c r="J540" s="5" t="n">
        <v>4.602</v>
      </c>
      <c r="K540" s="5" t="n">
        <v>0</v>
      </c>
      <c r="L540" s="5" t="n">
        <v>1</v>
      </c>
      <c r="M540" s="5" t="n">
        <v>3.276</v>
      </c>
      <c r="N540" s="5" t="n">
        <v>1.928</v>
      </c>
      <c r="O540" s="5" t="n">
        <v>2.595</v>
      </c>
      <c r="P540" s="5" t="n">
        <v>5.871</v>
      </c>
      <c r="Q540" s="5" t="n">
        <v>0</v>
      </c>
      <c r="R540" s="5" t="n">
        <v>1</v>
      </c>
      <c r="S540" s="5" t="n">
        <v>5.205</v>
      </c>
      <c r="T540" s="5" t="n">
        <v>3.857</v>
      </c>
      <c r="U540" s="5" t="n">
        <v>0.121</v>
      </c>
      <c r="V540" s="5" t="n">
        <v>6.297</v>
      </c>
      <c r="W540" s="5" t="n">
        <v>0.21</v>
      </c>
      <c r="X540" s="5" t="n">
        <v>1</v>
      </c>
      <c r="Y540" s="5" t="n">
        <v>12.908</v>
      </c>
      <c r="Z540" s="5" t="n">
        <v>1.286</v>
      </c>
      <c r="AA540" s="5" t="n">
        <v>1.964</v>
      </c>
      <c r="AB540" s="5" t="n">
        <v>14.872</v>
      </c>
      <c r="AC540" s="5" t="n">
        <v>0</v>
      </c>
      <c r="AD540" s="5" t="n">
        <v>1</v>
      </c>
      <c r="AE540" s="5" t="n">
        <v>14.194</v>
      </c>
      <c r="AF540" s="5" t="n">
        <v>2.571</v>
      </c>
      <c r="AG540" s="5" t="n">
        <v>1.964</v>
      </c>
      <c r="AH540" s="5" t="n">
        <v>16.158</v>
      </c>
      <c r="AI540" s="5" t="n">
        <v>0</v>
      </c>
      <c r="AJ540" s="5" t="n">
        <v>1</v>
      </c>
      <c r="AK540" s="5" t="n">
        <v>21.908</v>
      </c>
      <c r="AL540" s="5" t="n">
        <v>10.285</v>
      </c>
      <c r="AM540" s="5" t="n">
        <v>0.509</v>
      </c>
      <c r="AN540" s="5" t="n">
        <v>26.508</v>
      </c>
      <c r="AO540" s="5" t="n">
        <v>0.21</v>
      </c>
      <c r="AP540" s="5" t="n">
        <v>1</v>
      </c>
      <c r="AQ540" s="5" t="n">
        <v>0.76</v>
      </c>
      <c r="AR540" s="5" t="n">
        <v>0.129</v>
      </c>
      <c r="AS540" s="5" t="n">
        <v>0.613</v>
      </c>
      <c r="AT540" s="5" t="n">
        <v>1.662</v>
      </c>
      <c r="AU540" s="5" t="n">
        <v>0.21</v>
      </c>
      <c r="AV540" s="5" t="n">
        <v>1</v>
      </c>
      <c r="AW540" s="5" t="n">
        <v>0.8110000000000001</v>
      </c>
      <c r="AX540" s="5" t="n">
        <v>0.129</v>
      </c>
      <c r="AY540" s="5" t="n">
        <v>0.507</v>
      </c>
      <c r="AZ540" s="5" t="n">
        <v>1.595</v>
      </c>
      <c r="BA540" s="5" t="n">
        <v>0.21</v>
      </c>
      <c r="BB540" s="5" t="n">
        <v>1</v>
      </c>
      <c r="BC540" s="5" t="n">
        <v>0.535</v>
      </c>
      <c r="BD540" s="5" t="n">
        <v>0.129</v>
      </c>
      <c r="BE540" s="5" t="n">
        <v>0.222</v>
      </c>
      <c r="BF540" s="5" t="n">
        <v>0.896</v>
      </c>
      <c r="BG540" s="5" t="n">
        <v>0.21</v>
      </c>
      <c r="BH540" s="5" t="n">
        <v>1</v>
      </c>
      <c r="BI540" s="5" t="n">
        <v>0.579</v>
      </c>
      <c r="BJ540" s="5" t="n">
        <v>0.129</v>
      </c>
      <c r="BK540" s="5" t="n">
        <v>0.013</v>
      </c>
      <c r="BL540" s="5" t="n">
        <v>0.701</v>
      </c>
      <c r="BM540" s="5" t="n">
        <v>0.21</v>
      </c>
      <c r="BN540" s="5" t="n">
        <v>1</v>
      </c>
      <c r="BO540" s="5" t="n">
        <v>0</v>
      </c>
      <c r="BP540" s="5" t="n">
        <v>0.005</v>
      </c>
      <c r="BQ540" s="5" t="n">
        <v>0.059</v>
      </c>
      <c r="BR540" s="5" t="n">
        <v>0</v>
      </c>
      <c r="BS540" s="5" t="n">
        <v>1</v>
      </c>
      <c r="BT540" s="5" t="n">
        <v>0</v>
      </c>
      <c r="BU540" s="5" t="n">
        <v>-0.005</v>
      </c>
      <c r="BV540" s="5" t="n">
        <v>0.105</v>
      </c>
      <c r="BW540" s="5" t="n">
        <v>0.21</v>
      </c>
      <c r="BX540" s="5" t="n">
        <v>0.5</v>
      </c>
      <c r="BY540" s="5" t="n">
        <v>13.254</v>
      </c>
      <c r="BZ540" s="5" t="n">
        <v>0</v>
      </c>
      <c r="CA540" s="5" t="n">
        <v>13.254</v>
      </c>
      <c r="CB540" s="5" t="n">
        <v>0</v>
      </c>
      <c r="CC540" s="5" t="n">
        <v>83.248</v>
      </c>
      <c r="CD540" s="5" t="n">
        <v>7.95</v>
      </c>
      <c r="CE540" s="5" t="n">
        <v>123.229</v>
      </c>
      <c r="CF540" s="5" t="n">
        <v>249.837</v>
      </c>
      <c r="CG540" s="5" t="n">
        <v>0.21</v>
      </c>
      <c r="CH540" s="5" t="n">
        <v>1</v>
      </c>
      <c r="CI540" s="5" t="n">
        <v>0</v>
      </c>
      <c r="CJ540" s="5" t="n">
        <v>0</v>
      </c>
      <c r="CK540" s="5" t="n">
        <v>0</v>
      </c>
      <c r="CL540" s="5" t="n">
        <v>0</v>
      </c>
      <c r="CM540" s="5" t="n">
        <v>0</v>
      </c>
      <c r="CN540" s="5" t="n">
        <v>0</v>
      </c>
      <c r="CO540" s="5" t="n">
        <v>0</v>
      </c>
      <c r="CP540" s="5" t="n">
        <v>1</v>
      </c>
      <c r="CQ540" s="5" t="n">
        <v>1.348</v>
      </c>
      <c r="CR540" s="5" t="n">
        <v>0</v>
      </c>
      <c r="CS540" s="5" t="n">
        <v>5.37</v>
      </c>
      <c r="CT540" s="5" t="n">
        <v>3.466</v>
      </c>
      <c r="CU540" s="5" t="n">
        <v>11.622</v>
      </c>
    </row>
    <row r="541">
      <c r="A541" s="5" t="inlineStr">
        <is>
          <t>MNE2024</t>
        </is>
      </c>
      <c r="B541" s="5" t="inlineStr">
        <is>
          <t>MNE</t>
        </is>
      </c>
      <c r="C541" s="5" t="inlineStr">
        <is>
          <t>MNE</t>
        </is>
      </c>
      <c r="D541" s="5" t="inlineStr">
        <is>
          <t>Montenegro, Rep. of</t>
        </is>
      </c>
      <c r="E541" s="5" t="n">
        <v>2024</v>
      </c>
      <c r="F541" s="5" t="n">
        <v>0.21</v>
      </c>
      <c r="G541" s="5" t="n">
        <v>2.049</v>
      </c>
      <c r="H541" s="5" t="n">
        <v>0.662</v>
      </c>
      <c r="I541" s="5" t="n">
        <v>2.689</v>
      </c>
      <c r="J541" s="5" t="n">
        <v>4.738</v>
      </c>
      <c r="K541" s="5" t="n">
        <v>0</v>
      </c>
      <c r="L541" s="5" t="n">
        <v>1</v>
      </c>
      <c r="M541" s="5" t="n">
        <v>3.373</v>
      </c>
      <c r="N541" s="5" t="n">
        <v>1.985</v>
      </c>
      <c r="O541" s="5" t="n">
        <v>2.671</v>
      </c>
      <c r="P541" s="5" t="n">
        <v>6.044</v>
      </c>
      <c r="Q541" s="5" t="n">
        <v>0</v>
      </c>
      <c r="R541" s="5" t="n">
        <v>1</v>
      </c>
      <c r="S541" s="5" t="n">
        <v>5.358</v>
      </c>
      <c r="T541" s="5" t="n">
        <v>3.971</v>
      </c>
      <c r="U541" s="5" t="n">
        <v>0.153</v>
      </c>
      <c r="V541" s="5" t="n">
        <v>6.483</v>
      </c>
      <c r="W541" s="5" t="n">
        <v>0.21</v>
      </c>
      <c r="X541" s="5" t="n">
        <v>1</v>
      </c>
      <c r="Y541" s="5" t="n">
        <v>11.492</v>
      </c>
      <c r="Z541" s="5" t="n">
        <v>1.324</v>
      </c>
      <c r="AA541" s="5" t="n">
        <v>1.95</v>
      </c>
      <c r="AB541" s="5" t="n">
        <v>13.442</v>
      </c>
      <c r="AC541" s="5" t="n">
        <v>0</v>
      </c>
      <c r="AD541" s="5" t="n">
        <v>1</v>
      </c>
      <c r="AE541" s="5" t="n">
        <v>12.815</v>
      </c>
      <c r="AF541" s="5" t="n">
        <v>2.647</v>
      </c>
      <c r="AG541" s="5" t="n">
        <v>1.95</v>
      </c>
      <c r="AH541" s="5" t="n">
        <v>14.766</v>
      </c>
      <c r="AI541" s="5" t="n">
        <v>0</v>
      </c>
      <c r="AJ541" s="5" t="n">
        <v>1</v>
      </c>
      <c r="AK541" s="5" t="n">
        <v>20.757</v>
      </c>
      <c r="AL541" s="5" t="n">
        <v>10.589</v>
      </c>
      <c r="AM541" s="5" t="n">
        <v>0.594</v>
      </c>
      <c r="AN541" s="5" t="n">
        <v>25.116</v>
      </c>
      <c r="AO541" s="5" t="n">
        <v>0.21</v>
      </c>
      <c r="AP541" s="5" t="n">
        <v>1</v>
      </c>
      <c r="AQ541" s="5" t="n">
        <v>0.724</v>
      </c>
      <c r="AR541" s="5" t="n">
        <v>0.132</v>
      </c>
      <c r="AS541" s="5" t="n">
        <v>0.625</v>
      </c>
      <c r="AT541" s="5" t="n">
        <v>1.632</v>
      </c>
      <c r="AU541" s="5" t="n">
        <v>0.21</v>
      </c>
      <c r="AV541" s="5" t="n">
        <v>1</v>
      </c>
      <c r="AW541" s="5" t="n">
        <v>0.75</v>
      </c>
      <c r="AX541" s="5" t="n">
        <v>0.132</v>
      </c>
      <c r="AY541" s="5" t="n">
        <v>0.511</v>
      </c>
      <c r="AZ541" s="5" t="n">
        <v>1.526</v>
      </c>
      <c r="BA541" s="5" t="n">
        <v>0.21</v>
      </c>
      <c r="BB541" s="5" t="n">
        <v>1</v>
      </c>
      <c r="BC541" s="5" t="n">
        <v>0.513</v>
      </c>
      <c r="BD541" s="5" t="n">
        <v>0.132</v>
      </c>
      <c r="BE541" s="5" t="n">
        <v>0.239</v>
      </c>
      <c r="BF541" s="5" t="n">
        <v>0.884</v>
      </c>
      <c r="BG541" s="5" t="n">
        <v>0.21</v>
      </c>
      <c r="BH541" s="5" t="n">
        <v>1</v>
      </c>
      <c r="BI541" s="5" t="n">
        <v>0.591</v>
      </c>
      <c r="BJ541" s="5" t="n">
        <v>0.132</v>
      </c>
      <c r="BK541" s="5" t="n">
        <v>0.017</v>
      </c>
      <c r="BL541" s="5" t="n">
        <v>0.716</v>
      </c>
      <c r="BM541" s="5" t="n">
        <v>0.21</v>
      </c>
      <c r="BN541" s="5" t="n">
        <v>1</v>
      </c>
      <c r="BO541" s="5" t="n">
        <v>0</v>
      </c>
      <c r="BP541" s="5" t="n">
        <v>0.005</v>
      </c>
      <c r="BQ541" s="5" t="n">
        <v>0.055</v>
      </c>
      <c r="BR541" s="5" t="n">
        <v>0</v>
      </c>
      <c r="BS541" s="5" t="n">
        <v>1</v>
      </c>
      <c r="BT541" s="5" t="n">
        <v>0</v>
      </c>
      <c r="BU541" s="5" t="n">
        <v>-0.008999999999999999</v>
      </c>
      <c r="BV541" s="5" t="n">
        <v>0.107</v>
      </c>
      <c r="BW541" s="5" t="n">
        <v>0.21</v>
      </c>
      <c r="BX541" s="5" t="n">
        <v>0.5</v>
      </c>
      <c r="BY541" s="5" t="n">
        <v>13.646</v>
      </c>
      <c r="BZ541" s="5" t="n">
        <v>0</v>
      </c>
      <c r="CA541" s="5" t="n">
        <v>13.646</v>
      </c>
      <c r="CB541" s="5" t="n">
        <v>0</v>
      </c>
      <c r="CC541" s="5" t="n">
        <v>82.58799999999999</v>
      </c>
      <c r="CD541" s="5" t="n">
        <v>7.95</v>
      </c>
      <c r="CE541" s="5" t="n">
        <v>112.451</v>
      </c>
      <c r="CF541" s="5" t="n">
        <v>235.997</v>
      </c>
      <c r="CG541" s="5" t="n">
        <v>0.21</v>
      </c>
      <c r="CH541" s="5" t="n">
        <v>1</v>
      </c>
      <c r="CI541" s="5" t="n">
        <v>0</v>
      </c>
      <c r="CJ541" s="5" t="n">
        <v>0</v>
      </c>
      <c r="CK541" s="5" t="n">
        <v>0</v>
      </c>
      <c r="CL541" s="5" t="n">
        <v>0</v>
      </c>
      <c r="CM541" s="5" t="n">
        <v>0</v>
      </c>
      <c r="CN541" s="5" t="n">
        <v>0</v>
      </c>
      <c r="CO541" s="5" t="n">
        <v>0</v>
      </c>
      <c r="CP541" s="5" t="n">
        <v>1</v>
      </c>
      <c r="CQ541" s="5" t="n">
        <v>1.387</v>
      </c>
      <c r="CR541" s="5" t="n">
        <v>0</v>
      </c>
      <c r="CS541" s="5" t="n">
        <v>5.529</v>
      </c>
      <c r="CT541" s="5" t="n">
        <v>3.027</v>
      </c>
      <c r="CU541" s="5" t="n">
        <v>10.168</v>
      </c>
    </row>
    <row r="542">
      <c r="A542" s="5" t="inlineStr">
        <is>
          <t>MSR2021</t>
        </is>
      </c>
      <c r="B542" s="5" t="inlineStr">
        <is>
          <t>MSR</t>
        </is>
      </c>
      <c r="C542" s="5" t="inlineStr">
        <is>
          <t>MSR</t>
        </is>
      </c>
      <c r="D542" s="5" t="inlineStr">
        <is>
          <t>Montserrat</t>
        </is>
      </c>
      <c r="E542" s="5" t="n">
        <v>2021</v>
      </c>
      <c r="F542" s="5" t="n">
        <v>0</v>
      </c>
      <c r="G542" s="5" t="n">
        <v>5.897</v>
      </c>
      <c r="H542" s="5" t="n">
        <v>1.143</v>
      </c>
      <c r="I542" s="5" t="n">
        <v>0</v>
      </c>
      <c r="J542" s="5" t="n">
        <v>5.897</v>
      </c>
      <c r="K542" s="5" t="n">
        <v>0</v>
      </c>
      <c r="L542" s="5" t="n">
        <v>1</v>
      </c>
      <c r="M542" s="5" t="n">
        <v>7.964</v>
      </c>
      <c r="N542" s="5" t="n">
        <v>3.43</v>
      </c>
      <c r="O542" s="5" t="n">
        <v>0</v>
      </c>
      <c r="P542" s="5" t="n">
        <v>7.964</v>
      </c>
      <c r="Q542" s="5" t="n">
        <v>0</v>
      </c>
      <c r="R542" s="5" t="n">
        <v>1</v>
      </c>
      <c r="S542" s="5" t="n">
        <v>11.613</v>
      </c>
      <c r="T542" s="5" t="n">
        <v>6.86</v>
      </c>
      <c r="U542" s="5" t="n">
        <v>0</v>
      </c>
      <c r="V542" s="5" t="n">
        <v>11.613</v>
      </c>
      <c r="W542" s="5" t="n">
        <v>0</v>
      </c>
      <c r="X542" s="5" t="n">
        <v>1</v>
      </c>
      <c r="Y542" s="5" t="n">
        <v>5.849</v>
      </c>
      <c r="Z542" s="5" t="n">
        <v>0.787</v>
      </c>
      <c r="AA542" s="5" t="n">
        <v>0</v>
      </c>
      <c r="AB542" s="5" t="n">
        <v>5.849</v>
      </c>
      <c r="AC542" s="5" t="n">
        <v>0</v>
      </c>
      <c r="AD542" s="5" t="n">
        <v>1</v>
      </c>
      <c r="AE542" s="5" t="n">
        <v>6.992</v>
      </c>
      <c r="AF542" s="5" t="n">
        <v>1.637</v>
      </c>
      <c r="AG542" s="5" t="n">
        <v>0</v>
      </c>
      <c r="AH542" s="5" t="n">
        <v>6.992</v>
      </c>
      <c r="AI542" s="5" t="n">
        <v>0</v>
      </c>
      <c r="AJ542" s="5" t="n">
        <v>1</v>
      </c>
      <c r="AK542" s="5" t="n">
        <v>13.852</v>
      </c>
      <c r="AL542" s="5" t="n">
        <v>7.443</v>
      </c>
      <c r="AM542" s="5" t="n">
        <v>0</v>
      </c>
      <c r="AN542" s="5" t="n">
        <v>13.852</v>
      </c>
      <c r="AO542" s="5" t="n">
        <v>0</v>
      </c>
      <c r="AP542" s="5" t="n">
        <v>1</v>
      </c>
      <c r="AQ542" s="5" t="n">
        <v>0.649</v>
      </c>
      <c r="AR542" s="5" t="n">
        <v>0.114</v>
      </c>
      <c r="AS542" s="5" t="n">
        <v>0.896</v>
      </c>
      <c r="AT542" s="5" t="n">
        <v>1.545</v>
      </c>
      <c r="AU542" s="5" t="n">
        <v>0</v>
      </c>
      <c r="AV542" s="5" t="n">
        <v>1</v>
      </c>
      <c r="AW542" s="5" t="n">
        <v>0.577</v>
      </c>
      <c r="AX542" s="5" t="n">
        <v>0.114</v>
      </c>
      <c r="AY542" s="5" t="n">
        <v>0.6870000000000001</v>
      </c>
      <c r="AZ542" s="5" t="n">
        <v>1.264</v>
      </c>
      <c r="BA542" s="5" t="n">
        <v>0</v>
      </c>
      <c r="BB542" s="5" t="n">
        <v>1</v>
      </c>
      <c r="BC542" s="5" t="n">
        <v>0.458</v>
      </c>
      <c r="BD542" s="5" t="n">
        <v>0.114</v>
      </c>
      <c r="BE542" s="5" t="n">
        <v>0.504</v>
      </c>
      <c r="BF542" s="5" t="n">
        <v>0.962</v>
      </c>
      <c r="BG542" s="5" t="n">
        <v>0</v>
      </c>
      <c r="BH542" s="5" t="n">
        <v>1</v>
      </c>
      <c r="BI542" s="5" t="n">
        <v>0.491</v>
      </c>
      <c r="BJ542" s="5" t="n">
        <v>0.114</v>
      </c>
      <c r="BK542" s="5" t="n">
        <v>0</v>
      </c>
      <c r="BL542" s="5" t="n">
        <v>0.491</v>
      </c>
      <c r="BM542" s="5" t="n">
        <v>0</v>
      </c>
      <c r="BN542" s="5" t="n">
        <v>1</v>
      </c>
      <c r="BO542" s="5" t="n">
        <v>0</v>
      </c>
      <c r="BP542" s="5" t="n">
        <v>0</v>
      </c>
      <c r="BQ542" s="5" t="n">
        <v>0</v>
      </c>
      <c r="BR542" s="5" t="n">
        <v>0</v>
      </c>
      <c r="BS542" s="5" t="n">
        <v>1</v>
      </c>
      <c r="BT542" s="5" t="n">
        <v>0</v>
      </c>
      <c r="BU542" s="5" t="n">
        <v>0</v>
      </c>
      <c r="BV542" s="5" t="n">
        <v>0</v>
      </c>
      <c r="BW542" s="5" t="n">
        <v>0</v>
      </c>
      <c r="BX542" s="5" t="n">
        <v>1</v>
      </c>
      <c r="BY542" s="5" t="n">
        <v>11.787</v>
      </c>
      <c r="BZ542" s="5" t="n">
        <v>0</v>
      </c>
      <c r="CA542" s="5" t="n">
        <v>11.787</v>
      </c>
      <c r="CB542" s="5" t="n">
        <v>0</v>
      </c>
      <c r="CC542" s="5" t="n">
        <v>78.125</v>
      </c>
      <c r="CD542" s="5" t="n">
        <v>7.95</v>
      </c>
      <c r="CE542" s="5" t="n">
        <v>0</v>
      </c>
      <c r="CF542" s="5" t="n">
        <v>78.125</v>
      </c>
      <c r="CG542" s="5" t="n">
        <v>0</v>
      </c>
      <c r="CH542" s="5" t="n">
        <v>1</v>
      </c>
      <c r="CI542" s="5" t="n">
        <v>0</v>
      </c>
      <c r="CJ542" s="5" t="n">
        <v>0</v>
      </c>
      <c r="CK542" s="5" t="n">
        <v>0</v>
      </c>
      <c r="CL542" s="5" t="n">
        <v>0</v>
      </c>
      <c r="CM542" s="5" t="n">
        <v>0</v>
      </c>
      <c r="CN542" s="5" t="n">
        <v>0</v>
      </c>
      <c r="CO542" s="5" t="n">
        <v>0</v>
      </c>
      <c r="CP542" s="5" t="n">
        <v>0</v>
      </c>
      <c r="CQ542" s="5" t="n">
        <v>1.198</v>
      </c>
      <c r="CR542" s="5" t="n">
        <v>0</v>
      </c>
      <c r="CS542" s="5" t="n">
        <v>4.776</v>
      </c>
      <c r="CT542" s="5" t="n">
        <v>4.753</v>
      </c>
      <c r="CU542" s="5" t="n">
        <v>15.983</v>
      </c>
    </row>
    <row r="543">
      <c r="A543" s="5" t="inlineStr">
        <is>
          <t>MSR2022</t>
        </is>
      </c>
      <c r="B543" s="5" t="inlineStr">
        <is>
          <t>MSR</t>
        </is>
      </c>
      <c r="C543" s="5" t="inlineStr">
        <is>
          <t>MSR</t>
        </is>
      </c>
      <c r="D543" s="5" t="inlineStr">
        <is>
          <t>Montserrat</t>
        </is>
      </c>
      <c r="E543" s="5" t="n">
        <v>2022</v>
      </c>
      <c r="F543" s="5" t="n">
        <v>0</v>
      </c>
      <c r="G543" s="5" t="n">
        <v>11.72</v>
      </c>
      <c r="H543" s="5" t="n">
        <v>1.235</v>
      </c>
      <c r="I543" s="5" t="n">
        <v>0</v>
      </c>
      <c r="J543" s="5" t="n">
        <v>11.72</v>
      </c>
      <c r="K543" s="5" t="n">
        <v>0</v>
      </c>
      <c r="L543" s="5" t="n">
        <v>1</v>
      </c>
      <c r="M543" s="5" t="n">
        <v>9.782999999999999</v>
      </c>
      <c r="N543" s="5" t="n">
        <v>3.704</v>
      </c>
      <c r="O543" s="5" t="n">
        <v>0</v>
      </c>
      <c r="P543" s="5" t="n">
        <v>9.782999999999999</v>
      </c>
      <c r="Q543" s="5" t="n">
        <v>0</v>
      </c>
      <c r="R543" s="5" t="n">
        <v>1</v>
      </c>
      <c r="S543" s="5" t="n">
        <v>17.893</v>
      </c>
      <c r="T543" s="5" t="n">
        <v>7.408</v>
      </c>
      <c r="U543" s="5" t="n">
        <v>0</v>
      </c>
      <c r="V543" s="5" t="n">
        <v>17.893</v>
      </c>
      <c r="W543" s="5" t="n">
        <v>0</v>
      </c>
      <c r="X543" s="5" t="n">
        <v>1</v>
      </c>
      <c r="Y543" s="5" t="n">
        <v>6.316</v>
      </c>
      <c r="Z543" s="5" t="n">
        <v>0.85</v>
      </c>
      <c r="AA543" s="5" t="n">
        <v>0</v>
      </c>
      <c r="AB543" s="5" t="n">
        <v>6.316</v>
      </c>
      <c r="AC543" s="5" t="n">
        <v>0</v>
      </c>
      <c r="AD543" s="5" t="n">
        <v>1</v>
      </c>
      <c r="AE543" s="5" t="n">
        <v>7.551</v>
      </c>
      <c r="AF543" s="5" t="n">
        <v>1.768</v>
      </c>
      <c r="AG543" s="5" t="n">
        <v>0</v>
      </c>
      <c r="AH543" s="5" t="n">
        <v>7.551</v>
      </c>
      <c r="AI543" s="5" t="n">
        <v>0</v>
      </c>
      <c r="AJ543" s="5" t="n">
        <v>1</v>
      </c>
      <c r="AK543" s="5" t="n">
        <v>14.959</v>
      </c>
      <c r="AL543" s="5" t="n">
        <v>8.038</v>
      </c>
      <c r="AM543" s="5" t="n">
        <v>0</v>
      </c>
      <c r="AN543" s="5" t="n">
        <v>14.959</v>
      </c>
      <c r="AO543" s="5" t="n">
        <v>0</v>
      </c>
      <c r="AP543" s="5" t="n">
        <v>1</v>
      </c>
      <c r="AQ543" s="5" t="n">
        <v>0.896</v>
      </c>
      <c r="AR543" s="5" t="n">
        <v>0.123</v>
      </c>
      <c r="AS543" s="5" t="n">
        <v>0.968</v>
      </c>
      <c r="AT543" s="5" t="n">
        <v>1.864</v>
      </c>
      <c r="AU543" s="5" t="n">
        <v>0</v>
      </c>
      <c r="AV543" s="5" t="n">
        <v>1</v>
      </c>
      <c r="AW543" s="5" t="n">
        <v>0.89</v>
      </c>
      <c r="AX543" s="5" t="n">
        <v>0.123</v>
      </c>
      <c r="AY543" s="5" t="n">
        <v>0.742</v>
      </c>
      <c r="AZ543" s="5" t="n">
        <v>1.632</v>
      </c>
      <c r="BA543" s="5" t="n">
        <v>0</v>
      </c>
      <c r="BB543" s="5" t="n">
        <v>1</v>
      </c>
      <c r="BC543" s="5" t="n">
        <v>0.62</v>
      </c>
      <c r="BD543" s="5" t="n">
        <v>0.123</v>
      </c>
      <c r="BE543" s="5" t="n">
        <v>0.514</v>
      </c>
      <c r="BF543" s="5" t="n">
        <v>1.134</v>
      </c>
      <c r="BG543" s="5" t="n">
        <v>0</v>
      </c>
      <c r="BH543" s="5" t="n">
        <v>1</v>
      </c>
      <c r="BI543" s="5" t="n">
        <v>0.608</v>
      </c>
      <c r="BJ543" s="5" t="n">
        <v>0.123</v>
      </c>
      <c r="BK543" s="5" t="n">
        <v>0</v>
      </c>
      <c r="BL543" s="5" t="n">
        <v>0.608</v>
      </c>
      <c r="BM543" s="5" t="n">
        <v>0</v>
      </c>
      <c r="BN543" s="5" t="n">
        <v>1</v>
      </c>
      <c r="BO543" s="5" t="n">
        <v>0</v>
      </c>
      <c r="BP543" s="5" t="n">
        <v>0</v>
      </c>
      <c r="BQ543" s="5" t="n">
        <v>0</v>
      </c>
      <c r="BR543" s="5" t="n">
        <v>0</v>
      </c>
      <c r="BS543" s="5" t="n">
        <v>1</v>
      </c>
      <c r="BT543" s="5" t="n">
        <v>0</v>
      </c>
      <c r="BU543" s="5" t="n">
        <v>0</v>
      </c>
      <c r="BV543" s="5" t="n">
        <v>0</v>
      </c>
      <c r="BW543" s="5" t="n">
        <v>0</v>
      </c>
      <c r="BX543" s="5" t="n">
        <v>1</v>
      </c>
      <c r="BY543" s="5" t="n">
        <v>12.729</v>
      </c>
      <c r="BZ543" s="5" t="n">
        <v>0</v>
      </c>
      <c r="CA543" s="5" t="n">
        <v>12.729</v>
      </c>
      <c r="CB543" s="5" t="n">
        <v>0</v>
      </c>
      <c r="CC543" s="5" t="n">
        <v>97.90000000000001</v>
      </c>
      <c r="CD543" s="5" t="n">
        <v>7.95</v>
      </c>
      <c r="CE543" s="5" t="n">
        <v>0</v>
      </c>
      <c r="CF543" s="5" t="n">
        <v>97.90000000000001</v>
      </c>
      <c r="CG543" s="5" t="n">
        <v>0</v>
      </c>
      <c r="CH543" s="5" t="n">
        <v>1</v>
      </c>
      <c r="CI543" s="5" t="n">
        <v>0</v>
      </c>
      <c r="CJ543" s="5" t="n">
        <v>0</v>
      </c>
      <c r="CK543" s="5" t="n">
        <v>0</v>
      </c>
      <c r="CL543" s="5" t="n">
        <v>0</v>
      </c>
      <c r="CM543" s="5" t="n">
        <v>0</v>
      </c>
      <c r="CN543" s="5" t="n">
        <v>0</v>
      </c>
      <c r="CO543" s="5" t="n">
        <v>0</v>
      </c>
      <c r="CP543" s="5" t="n">
        <v>0</v>
      </c>
      <c r="CQ543" s="5" t="n">
        <v>1.294</v>
      </c>
      <c r="CR543" s="5" t="n">
        <v>0</v>
      </c>
      <c r="CS543" s="5" t="n">
        <v>5.158</v>
      </c>
      <c r="CT543" s="5" t="n">
        <v>10.485</v>
      </c>
      <c r="CU543" s="5" t="n">
        <v>29.494</v>
      </c>
    </row>
    <row r="544">
      <c r="A544" s="5" t="inlineStr">
        <is>
          <t>MSR2023</t>
        </is>
      </c>
      <c r="B544" s="5" t="inlineStr">
        <is>
          <t>MSR</t>
        </is>
      </c>
      <c r="C544" s="5" t="inlineStr">
        <is>
          <t>MSR</t>
        </is>
      </c>
      <c r="D544" s="5" t="inlineStr">
        <is>
          <t>Montserrat</t>
        </is>
      </c>
      <c r="E544" s="5" t="n">
        <v>2023</v>
      </c>
      <c r="F544" s="5" t="n">
        <v>0</v>
      </c>
      <c r="G544" s="5" t="n">
        <v>6.147</v>
      </c>
      <c r="H544" s="5" t="n">
        <v>1.286</v>
      </c>
      <c r="I544" s="5" t="n">
        <v>0</v>
      </c>
      <c r="J544" s="5" t="n">
        <v>6.147</v>
      </c>
      <c r="K544" s="5" t="n">
        <v>0</v>
      </c>
      <c r="L544" s="5" t="n">
        <v>1</v>
      </c>
      <c r="M544" s="5" t="n">
        <v>7.886</v>
      </c>
      <c r="N544" s="5" t="n">
        <v>3.857</v>
      </c>
      <c r="O544" s="5" t="n">
        <v>0</v>
      </c>
      <c r="P544" s="5" t="n">
        <v>7.886</v>
      </c>
      <c r="Q544" s="5" t="n">
        <v>0</v>
      </c>
      <c r="R544" s="5" t="n">
        <v>1</v>
      </c>
      <c r="S544" s="5" t="n">
        <v>12.575</v>
      </c>
      <c r="T544" s="5" t="n">
        <v>7.714</v>
      </c>
      <c r="U544" s="5" t="n">
        <v>0</v>
      </c>
      <c r="V544" s="5" t="n">
        <v>12.575</v>
      </c>
      <c r="W544" s="5" t="n">
        <v>0</v>
      </c>
      <c r="X544" s="5" t="n">
        <v>1</v>
      </c>
      <c r="Y544" s="5" t="n">
        <v>6.577</v>
      </c>
      <c r="Z544" s="5" t="n">
        <v>0.885</v>
      </c>
      <c r="AA544" s="5" t="n">
        <v>0</v>
      </c>
      <c r="AB544" s="5" t="n">
        <v>6.577</v>
      </c>
      <c r="AC544" s="5" t="n">
        <v>0</v>
      </c>
      <c r="AD544" s="5" t="n">
        <v>1</v>
      </c>
      <c r="AE544" s="5" t="n">
        <v>7.862</v>
      </c>
      <c r="AF544" s="5" t="n">
        <v>1.841</v>
      </c>
      <c r="AG544" s="5" t="n">
        <v>0</v>
      </c>
      <c r="AH544" s="5" t="n">
        <v>7.862</v>
      </c>
      <c r="AI544" s="5" t="n">
        <v>0</v>
      </c>
      <c r="AJ544" s="5" t="n">
        <v>1</v>
      </c>
      <c r="AK544" s="5" t="n">
        <v>15.576</v>
      </c>
      <c r="AL544" s="5" t="n">
        <v>8.369999999999999</v>
      </c>
      <c r="AM544" s="5" t="n">
        <v>0</v>
      </c>
      <c r="AN544" s="5" t="n">
        <v>15.576</v>
      </c>
      <c r="AO544" s="5" t="n">
        <v>0</v>
      </c>
      <c r="AP544" s="5" t="n">
        <v>1</v>
      </c>
      <c r="AQ544" s="5" t="n">
        <v>0.791</v>
      </c>
      <c r="AR544" s="5" t="n">
        <v>0.129</v>
      </c>
      <c r="AS544" s="5" t="n">
        <v>1.007</v>
      </c>
      <c r="AT544" s="5" t="n">
        <v>1.798</v>
      </c>
      <c r="AU544" s="5" t="n">
        <v>0</v>
      </c>
      <c r="AV544" s="5" t="n">
        <v>1</v>
      </c>
      <c r="AW544" s="5" t="n">
        <v>0.618</v>
      </c>
      <c r="AX544" s="5" t="n">
        <v>0.129</v>
      </c>
      <c r="AY544" s="5" t="n">
        <v>0.773</v>
      </c>
      <c r="AZ544" s="5" t="n">
        <v>1.391</v>
      </c>
      <c r="BA544" s="5" t="n">
        <v>0</v>
      </c>
      <c r="BB544" s="5" t="n">
        <v>1</v>
      </c>
      <c r="BC544" s="5" t="n">
        <v>0.554</v>
      </c>
      <c r="BD544" s="5" t="n">
        <v>0.129</v>
      </c>
      <c r="BE544" s="5" t="n">
        <v>0.5570000000000001</v>
      </c>
      <c r="BF544" s="5" t="n">
        <v>1.112</v>
      </c>
      <c r="BG544" s="5" t="n">
        <v>0</v>
      </c>
      <c r="BH544" s="5" t="n">
        <v>1</v>
      </c>
      <c r="BI544" s="5" t="n">
        <v>0.5570000000000001</v>
      </c>
      <c r="BJ544" s="5" t="n">
        <v>0.129</v>
      </c>
      <c r="BK544" s="5" t="n">
        <v>0</v>
      </c>
      <c r="BL544" s="5" t="n">
        <v>0.5570000000000001</v>
      </c>
      <c r="BM544" s="5" t="n">
        <v>0</v>
      </c>
      <c r="BN544" s="5" t="n">
        <v>1</v>
      </c>
      <c r="BO544" s="5" t="n">
        <v>0</v>
      </c>
      <c r="BP544" s="5" t="n">
        <v>0</v>
      </c>
      <c r="BQ544" s="5" t="n">
        <v>0</v>
      </c>
      <c r="BR544" s="5" t="n">
        <v>0</v>
      </c>
      <c r="BS544" s="5" t="n">
        <v>1</v>
      </c>
      <c r="BT544" s="5" t="n">
        <v>0</v>
      </c>
      <c r="BU544" s="5" t="n">
        <v>0</v>
      </c>
      <c r="BV544" s="5" t="n">
        <v>0</v>
      </c>
      <c r="BW544" s="5" t="n">
        <v>0</v>
      </c>
      <c r="BX544" s="5" t="n">
        <v>1</v>
      </c>
      <c r="BY544" s="5" t="n">
        <v>13.254</v>
      </c>
      <c r="BZ544" s="5" t="n">
        <v>0</v>
      </c>
      <c r="CA544" s="5" t="n">
        <v>13.254</v>
      </c>
      <c r="CB544" s="5" t="n">
        <v>0</v>
      </c>
      <c r="CC544" s="5" t="n">
        <v>83.248</v>
      </c>
      <c r="CD544" s="5" t="n">
        <v>7.95</v>
      </c>
      <c r="CE544" s="5" t="n">
        <v>0</v>
      </c>
      <c r="CF544" s="5" t="n">
        <v>83.248</v>
      </c>
      <c r="CG544" s="5" t="n">
        <v>0</v>
      </c>
      <c r="CH544" s="5" t="n">
        <v>1</v>
      </c>
      <c r="CI544" s="5" t="n">
        <v>0</v>
      </c>
      <c r="CJ544" s="5" t="n">
        <v>0</v>
      </c>
      <c r="CK544" s="5" t="n">
        <v>0</v>
      </c>
      <c r="CL544" s="5" t="n">
        <v>0</v>
      </c>
      <c r="CM544" s="5" t="n">
        <v>0</v>
      </c>
      <c r="CN544" s="5" t="n">
        <v>0</v>
      </c>
      <c r="CO544" s="5" t="n">
        <v>0</v>
      </c>
      <c r="CP544" s="5" t="n">
        <v>0</v>
      </c>
      <c r="CQ544" s="5" t="n">
        <v>1.348</v>
      </c>
      <c r="CR544" s="5" t="n">
        <v>0</v>
      </c>
      <c r="CS544" s="5" t="n">
        <v>5.37</v>
      </c>
      <c r="CT544" s="5" t="n">
        <v>4.861</v>
      </c>
      <c r="CU544" s="5" t="n">
        <v>11.192</v>
      </c>
    </row>
    <row r="545">
      <c r="A545" s="5" t="inlineStr">
        <is>
          <t>MSR2024</t>
        </is>
      </c>
      <c r="B545" s="5" t="inlineStr">
        <is>
          <t>MSR</t>
        </is>
      </c>
      <c r="C545" s="5" t="inlineStr">
        <is>
          <t>MSR</t>
        </is>
      </c>
      <c r="D545" s="5" t="inlineStr">
        <is>
          <t>Montserrat</t>
        </is>
      </c>
      <c r="E545" s="5" t="n">
        <v>2024</v>
      </c>
      <c r="F545" s="5" t="n">
        <v>0</v>
      </c>
      <c r="G545" s="5" t="n">
        <v>5.575</v>
      </c>
      <c r="H545" s="5" t="n">
        <v>1.324</v>
      </c>
      <c r="I545" s="5" t="n">
        <v>0</v>
      </c>
      <c r="J545" s="5" t="n">
        <v>5.575</v>
      </c>
      <c r="K545" s="5" t="n">
        <v>0</v>
      </c>
      <c r="L545" s="5" t="n">
        <v>1</v>
      </c>
      <c r="M545" s="5" t="n">
        <v>7.124</v>
      </c>
      <c r="N545" s="5" t="n">
        <v>3.971</v>
      </c>
      <c r="O545" s="5" t="n">
        <v>0</v>
      </c>
      <c r="P545" s="5" t="n">
        <v>7.124</v>
      </c>
      <c r="Q545" s="5" t="n">
        <v>0</v>
      </c>
      <c r="R545" s="5" t="n">
        <v>1</v>
      </c>
      <c r="S545" s="5" t="n">
        <v>12.193</v>
      </c>
      <c r="T545" s="5" t="n">
        <v>7.942</v>
      </c>
      <c r="U545" s="5" t="n">
        <v>0</v>
      </c>
      <c r="V545" s="5" t="n">
        <v>12.193</v>
      </c>
      <c r="W545" s="5" t="n">
        <v>0</v>
      </c>
      <c r="X545" s="5" t="n">
        <v>1</v>
      </c>
      <c r="Y545" s="5" t="n">
        <v>6.771</v>
      </c>
      <c r="Z545" s="5" t="n">
        <v>0.911</v>
      </c>
      <c r="AA545" s="5" t="n">
        <v>0</v>
      </c>
      <c r="AB545" s="5" t="n">
        <v>6.771</v>
      </c>
      <c r="AC545" s="5" t="n">
        <v>0</v>
      </c>
      <c r="AD545" s="5" t="n">
        <v>1</v>
      </c>
      <c r="AE545" s="5" t="n">
        <v>8.095000000000001</v>
      </c>
      <c r="AF545" s="5" t="n">
        <v>1.896</v>
      </c>
      <c r="AG545" s="5" t="n">
        <v>0</v>
      </c>
      <c r="AH545" s="5" t="n">
        <v>8.095000000000001</v>
      </c>
      <c r="AI545" s="5" t="n">
        <v>0</v>
      </c>
      <c r="AJ545" s="5" t="n">
        <v>1</v>
      </c>
      <c r="AK545" s="5" t="n">
        <v>16.036</v>
      </c>
      <c r="AL545" s="5" t="n">
        <v>8.617000000000001</v>
      </c>
      <c r="AM545" s="5" t="n">
        <v>0</v>
      </c>
      <c r="AN545" s="5" t="n">
        <v>16.036</v>
      </c>
      <c r="AO545" s="5" t="n">
        <v>0</v>
      </c>
      <c r="AP545" s="5" t="n">
        <v>1</v>
      </c>
      <c r="AQ545" s="5" t="n">
        <v>0.756</v>
      </c>
      <c r="AR545" s="5" t="n">
        <v>0.132</v>
      </c>
      <c r="AS545" s="5" t="n">
        <v>1.037</v>
      </c>
      <c r="AT545" s="5" t="n">
        <v>1.793</v>
      </c>
      <c r="AU545" s="5" t="n">
        <v>0</v>
      </c>
      <c r="AV545" s="5" t="n">
        <v>1</v>
      </c>
      <c r="AW545" s="5" t="n">
        <v>0.655</v>
      </c>
      <c r="AX545" s="5" t="n">
        <v>0.132</v>
      </c>
      <c r="AY545" s="5" t="n">
        <v>0.796</v>
      </c>
      <c r="AZ545" s="5" t="n">
        <v>1.451</v>
      </c>
      <c r="BA545" s="5" t="n">
        <v>0</v>
      </c>
      <c r="BB545" s="5" t="n">
        <v>1</v>
      </c>
      <c r="BC545" s="5" t="n">
        <v>0.534</v>
      </c>
      <c r="BD545" s="5" t="n">
        <v>0.132</v>
      </c>
      <c r="BE545" s="5" t="n">
        <v>0.583</v>
      </c>
      <c r="BF545" s="5" t="n">
        <v>1.116</v>
      </c>
      <c r="BG545" s="5" t="n">
        <v>0</v>
      </c>
      <c r="BH545" s="5" t="n">
        <v>1</v>
      </c>
      <c r="BI545" s="5" t="n">
        <v>0.5679999999999999</v>
      </c>
      <c r="BJ545" s="5" t="n">
        <v>0.132</v>
      </c>
      <c r="BK545" s="5" t="n">
        <v>0</v>
      </c>
      <c r="BL545" s="5" t="n">
        <v>0.5679999999999999</v>
      </c>
      <c r="BM545" s="5" t="n">
        <v>0</v>
      </c>
      <c r="BN545" s="5" t="n">
        <v>1</v>
      </c>
      <c r="BO545" s="5" t="n">
        <v>0</v>
      </c>
      <c r="BP545" s="5" t="n">
        <v>0</v>
      </c>
      <c r="BQ545" s="5" t="n">
        <v>0</v>
      </c>
      <c r="BR545" s="5" t="n">
        <v>0</v>
      </c>
      <c r="BS545" s="5" t="n">
        <v>1</v>
      </c>
      <c r="BT545" s="5" t="n">
        <v>0</v>
      </c>
      <c r="BU545" s="5" t="n">
        <v>0</v>
      </c>
      <c r="BV545" s="5" t="n">
        <v>0</v>
      </c>
      <c r="BW545" s="5" t="n">
        <v>0</v>
      </c>
      <c r="BX545" s="5" t="n">
        <v>1</v>
      </c>
      <c r="BY545" s="5" t="n">
        <v>13.646</v>
      </c>
      <c r="BZ545" s="5" t="n">
        <v>0</v>
      </c>
      <c r="CA545" s="5" t="n">
        <v>13.646</v>
      </c>
      <c r="CB545" s="5" t="n">
        <v>0</v>
      </c>
      <c r="CC545" s="5" t="n">
        <v>82.58799999999999</v>
      </c>
      <c r="CD545" s="5" t="n">
        <v>7.95</v>
      </c>
      <c r="CE545" s="5" t="n">
        <v>0</v>
      </c>
      <c r="CF545" s="5" t="n">
        <v>82.58799999999999</v>
      </c>
      <c r="CG545" s="5" t="n">
        <v>0</v>
      </c>
      <c r="CH545" s="5" t="n">
        <v>1</v>
      </c>
      <c r="CI545" s="5" t="n">
        <v>0</v>
      </c>
      <c r="CJ545" s="5" t="n">
        <v>0</v>
      </c>
      <c r="CK545" s="5" t="n">
        <v>0</v>
      </c>
      <c r="CL545" s="5" t="n">
        <v>0</v>
      </c>
      <c r="CM545" s="5" t="n">
        <v>0</v>
      </c>
      <c r="CN545" s="5" t="n">
        <v>0</v>
      </c>
      <c r="CO545" s="5" t="n">
        <v>0</v>
      </c>
      <c r="CP545" s="5" t="n">
        <v>0</v>
      </c>
      <c r="CQ545" s="5" t="n">
        <v>1.387</v>
      </c>
      <c r="CR545" s="5" t="n">
        <v>0</v>
      </c>
      <c r="CS545" s="5" t="n">
        <v>5.529</v>
      </c>
      <c r="CT545" s="5" t="n">
        <v>4.251</v>
      </c>
      <c r="CU545" s="5" t="n">
        <v>10.123</v>
      </c>
    </row>
    <row r="546">
      <c r="A546" s="5" t="inlineStr">
        <is>
          <t>MAR2021</t>
        </is>
      </c>
      <c r="B546" s="5" t="inlineStr">
        <is>
          <t>MAR</t>
        </is>
      </c>
      <c r="C546" s="5" t="inlineStr">
        <is>
          <t>MAR</t>
        </is>
      </c>
      <c r="D546" s="5" t="inlineStr">
        <is>
          <t>Morocco</t>
        </is>
      </c>
      <c r="E546" s="5" t="n">
        <v>2021</v>
      </c>
      <c r="F546" s="5" t="n">
        <v>0.2</v>
      </c>
      <c r="G546" s="5" t="n">
        <v>7.191</v>
      </c>
      <c r="H546" s="5" t="n">
        <v>1.573</v>
      </c>
      <c r="I546" s="5" t="n">
        <v>0.119</v>
      </c>
      <c r="J546" s="5" t="n">
        <v>7.31</v>
      </c>
      <c r="K546" s="5" t="n">
        <v>0</v>
      </c>
      <c r="L546" s="5" t="n">
        <v>1</v>
      </c>
      <c r="M546" s="5" t="n">
        <v>7.447</v>
      </c>
      <c r="N546" s="5" t="n">
        <v>3.375</v>
      </c>
      <c r="O546" s="5" t="n">
        <v>0.339</v>
      </c>
      <c r="P546" s="5" t="n">
        <v>7.787</v>
      </c>
      <c r="Q546" s="5" t="n">
        <v>0</v>
      </c>
      <c r="R546" s="5" t="n">
        <v>1</v>
      </c>
      <c r="S546" s="5" t="n">
        <v>11.613</v>
      </c>
      <c r="T546" s="5" t="n">
        <v>6.86</v>
      </c>
      <c r="U546" s="5" t="n">
        <v>0</v>
      </c>
      <c r="V546" s="5" t="n">
        <v>11.613</v>
      </c>
      <c r="W546" s="5" t="n">
        <v>0</v>
      </c>
      <c r="X546" s="5" t="n">
        <v>1</v>
      </c>
      <c r="Y546" s="5" t="n">
        <v>4.568</v>
      </c>
      <c r="Z546" s="5" t="n">
        <v>0.725</v>
      </c>
      <c r="AA546" s="5" t="n">
        <v>0.311</v>
      </c>
      <c r="AB546" s="5" t="n">
        <v>4.879</v>
      </c>
      <c r="AC546" s="5" t="n">
        <v>0</v>
      </c>
      <c r="AD546" s="5" t="n">
        <v>1</v>
      </c>
      <c r="AE546" s="5" t="n">
        <v>5.642</v>
      </c>
      <c r="AF546" s="5" t="n">
        <v>1.509</v>
      </c>
      <c r="AG546" s="5" t="n">
        <v>0.311</v>
      </c>
      <c r="AH546" s="5" t="n">
        <v>5.952</v>
      </c>
      <c r="AI546" s="5" t="n">
        <v>0</v>
      </c>
      <c r="AJ546" s="5" t="n">
        <v>1</v>
      </c>
      <c r="AK546" s="5" t="n">
        <v>12.08</v>
      </c>
      <c r="AL546" s="5" t="n">
        <v>6.925</v>
      </c>
      <c r="AM546" s="5" t="n">
        <v>0</v>
      </c>
      <c r="AN546" s="5" t="n">
        <v>12.08</v>
      </c>
      <c r="AO546" s="5" t="n">
        <v>0</v>
      </c>
      <c r="AP546" s="5" t="n">
        <v>1</v>
      </c>
      <c r="AQ546" s="5" t="n">
        <v>0.621</v>
      </c>
      <c r="AR546" s="5" t="n">
        <v>0.114</v>
      </c>
      <c r="AS546" s="5" t="n">
        <v>0.504</v>
      </c>
      <c r="AT546" s="5" t="n">
        <v>1.237</v>
      </c>
      <c r="AU546" s="5" t="n">
        <v>0.1</v>
      </c>
      <c r="AV546" s="5" t="n">
        <v>1</v>
      </c>
      <c r="AW546" s="5" t="n">
        <v>0.593</v>
      </c>
      <c r="AX546" s="5" t="n">
        <v>0.114</v>
      </c>
      <c r="AY546" s="5" t="n">
        <v>0.351</v>
      </c>
      <c r="AZ546" s="5" t="n">
        <v>1.038</v>
      </c>
      <c r="BA546" s="5" t="n">
        <v>0.1</v>
      </c>
      <c r="BB546" s="5" t="n">
        <v>1</v>
      </c>
      <c r="BC546" s="5" t="n">
        <v>0.44</v>
      </c>
      <c r="BD546" s="5" t="n">
        <v>0.114</v>
      </c>
      <c r="BE546" s="5" t="n">
        <v>-0.251</v>
      </c>
      <c r="BF546" s="5" t="n">
        <v>0.189</v>
      </c>
      <c r="BG546" s="5" t="n">
        <v>0</v>
      </c>
      <c r="BH546" s="5" t="n">
        <v>0</v>
      </c>
      <c r="BI546" s="5" t="n">
        <v>0.5600000000000001</v>
      </c>
      <c r="BJ546" s="5" t="n">
        <v>0.114</v>
      </c>
      <c r="BK546" s="5" t="n">
        <v>0.035</v>
      </c>
      <c r="BL546" s="5" t="n">
        <v>0.595</v>
      </c>
      <c r="BM546" s="5" t="n">
        <v>0</v>
      </c>
      <c r="BN546" s="5" t="n">
        <v>1</v>
      </c>
      <c r="BO546" s="5" t="n">
        <v>0</v>
      </c>
      <c r="BP546" s="5" t="n">
        <v>0</v>
      </c>
      <c r="BQ546" s="5" t="n">
        <v>0.108</v>
      </c>
      <c r="BR546" s="5" t="n">
        <v>0</v>
      </c>
      <c r="BS546" s="5" t="n">
        <v>0.833</v>
      </c>
      <c r="BT546" s="5" t="n">
        <v>0</v>
      </c>
      <c r="BU546" s="5" t="n">
        <v>0</v>
      </c>
      <c r="BV546" s="5" t="n">
        <v>0.1</v>
      </c>
      <c r="BW546" s="5" t="n">
        <v>0</v>
      </c>
      <c r="BX546" s="5" t="n">
        <v>0.833</v>
      </c>
      <c r="BY546" s="5" t="n">
        <v>11.787</v>
      </c>
      <c r="BZ546" s="5" t="n">
        <v>0</v>
      </c>
      <c r="CA546" s="5" t="n">
        <v>11.787</v>
      </c>
      <c r="CB546" s="5" t="n">
        <v>0</v>
      </c>
      <c r="CC546" s="5" t="n">
        <v>81.69499999999999</v>
      </c>
      <c r="CD546" s="5" t="n">
        <v>7.95</v>
      </c>
      <c r="CE546" s="5" t="n">
        <v>-3.099</v>
      </c>
      <c r="CF546" s="5" t="n">
        <v>78.596</v>
      </c>
      <c r="CG546" s="5" t="n">
        <v>0</v>
      </c>
      <c r="CH546" s="5" t="n">
        <v>1</v>
      </c>
      <c r="CI546" s="5" t="n">
        <v>0</v>
      </c>
      <c r="CJ546" s="5" t="n">
        <v>0</v>
      </c>
      <c r="CK546" s="5" t="n">
        <v>0</v>
      </c>
      <c r="CL546" s="5" t="n">
        <v>0</v>
      </c>
      <c r="CM546" s="5" t="n">
        <v>0</v>
      </c>
      <c r="CN546" s="5" t="n">
        <v>0</v>
      </c>
      <c r="CO546" s="5" t="n">
        <v>0</v>
      </c>
      <c r="CP546" s="5" t="n">
        <v>0</v>
      </c>
      <c r="CQ546" s="5" t="n">
        <v>1.198</v>
      </c>
      <c r="CR546" s="5" t="n">
        <v>0.123</v>
      </c>
      <c r="CS546" s="5" t="n">
        <v>5.407</v>
      </c>
      <c r="CT546" s="5" t="n">
        <v>4.753</v>
      </c>
      <c r="CU546" s="5" t="n">
        <v>14.162</v>
      </c>
    </row>
    <row r="547">
      <c r="A547" s="5" t="inlineStr">
        <is>
          <t>MAR2022</t>
        </is>
      </c>
      <c r="B547" s="5" t="inlineStr">
        <is>
          <t>MAR</t>
        </is>
      </c>
      <c r="C547" s="5" t="inlineStr">
        <is>
          <t>MAR</t>
        </is>
      </c>
      <c r="D547" s="5" t="inlineStr">
        <is>
          <t>Morocco</t>
        </is>
      </c>
      <c r="E547" s="5" t="n">
        <v>2022</v>
      </c>
      <c r="F547" s="5" t="n">
        <v>0.2</v>
      </c>
      <c r="G547" s="5" t="n">
        <v>13.009</v>
      </c>
      <c r="H547" s="5" t="n">
        <v>2.02</v>
      </c>
      <c r="I547" s="5" t="n">
        <v>0.262</v>
      </c>
      <c r="J547" s="5" t="n">
        <v>13.271</v>
      </c>
      <c r="K547" s="5" t="n">
        <v>0</v>
      </c>
      <c r="L547" s="5" t="n">
        <v>1</v>
      </c>
      <c r="M547" s="5" t="n">
        <v>9.262</v>
      </c>
      <c r="N547" s="5" t="n">
        <v>3.825</v>
      </c>
      <c r="O547" s="5" t="n">
        <v>0.365</v>
      </c>
      <c r="P547" s="5" t="n">
        <v>9.627000000000001</v>
      </c>
      <c r="Q547" s="5" t="n">
        <v>0</v>
      </c>
      <c r="R547" s="5" t="n">
        <v>1</v>
      </c>
      <c r="S547" s="5" t="n">
        <v>17.886</v>
      </c>
      <c r="T547" s="5" t="n">
        <v>7.406</v>
      </c>
      <c r="U547" s="5" t="n">
        <v>0</v>
      </c>
      <c r="V547" s="5" t="n">
        <v>17.886</v>
      </c>
      <c r="W547" s="5" t="n">
        <v>0</v>
      </c>
      <c r="X547" s="5" t="n">
        <v>1</v>
      </c>
      <c r="Y547" s="5" t="n">
        <v>6.885</v>
      </c>
      <c r="Z547" s="5" t="n">
        <v>1.092</v>
      </c>
      <c r="AA547" s="5" t="n">
        <v>0.526</v>
      </c>
      <c r="AB547" s="5" t="n">
        <v>7.411</v>
      </c>
      <c r="AC547" s="5" t="n">
        <v>0</v>
      </c>
      <c r="AD547" s="5" t="n">
        <v>1</v>
      </c>
      <c r="AE547" s="5" t="n">
        <v>7.931</v>
      </c>
      <c r="AF547" s="5" t="n">
        <v>2.122</v>
      </c>
      <c r="AG547" s="5" t="n">
        <v>0.526</v>
      </c>
      <c r="AH547" s="5" t="n">
        <v>8.457000000000001</v>
      </c>
      <c r="AI547" s="5" t="n">
        <v>0</v>
      </c>
      <c r="AJ547" s="5" t="n">
        <v>1</v>
      </c>
      <c r="AK547" s="5" t="n">
        <v>14.207</v>
      </c>
      <c r="AL547" s="5" t="n">
        <v>8.144</v>
      </c>
      <c r="AM547" s="5" t="n">
        <v>0</v>
      </c>
      <c r="AN547" s="5" t="n">
        <v>14.207</v>
      </c>
      <c r="AO547" s="5" t="n">
        <v>0</v>
      </c>
      <c r="AP547" s="5" t="n">
        <v>1</v>
      </c>
      <c r="AQ547" s="5" t="n">
        <v>0.847</v>
      </c>
      <c r="AR547" s="5" t="n">
        <v>0.123</v>
      </c>
      <c r="AS547" s="5" t="n">
        <v>0.46</v>
      </c>
      <c r="AT547" s="5" t="n">
        <v>1.437</v>
      </c>
      <c r="AU547" s="5" t="n">
        <v>0.1</v>
      </c>
      <c r="AV547" s="5" t="n">
        <v>1</v>
      </c>
      <c r="AW547" s="5" t="n">
        <v>0.947</v>
      </c>
      <c r="AX547" s="5" t="n">
        <v>0.123</v>
      </c>
      <c r="AY547" s="5" t="n">
        <v>0.201</v>
      </c>
      <c r="AZ547" s="5" t="n">
        <v>1.262</v>
      </c>
      <c r="BA547" s="5" t="n">
        <v>0.1</v>
      </c>
      <c r="BB547" s="5" t="n">
        <v>1</v>
      </c>
      <c r="BC547" s="5" t="n">
        <v>0.589</v>
      </c>
      <c r="BD547" s="5" t="n">
        <v>0.123</v>
      </c>
      <c r="BE547" s="5" t="n">
        <v>-0.421</v>
      </c>
      <c r="BF547" s="5" t="n">
        <v>0.167</v>
      </c>
      <c r="BG547" s="5" t="n">
        <v>0</v>
      </c>
      <c r="BH547" s="5" t="n">
        <v>0</v>
      </c>
      <c r="BI547" s="5" t="n">
        <v>0.6889999999999999</v>
      </c>
      <c r="BJ547" s="5" t="n">
        <v>0.123</v>
      </c>
      <c r="BK547" s="5" t="n">
        <v>0.044</v>
      </c>
      <c r="BL547" s="5" t="n">
        <v>0.733</v>
      </c>
      <c r="BM547" s="5" t="n">
        <v>0</v>
      </c>
      <c r="BN547" s="5" t="n">
        <v>1</v>
      </c>
      <c r="BO547" s="5" t="n">
        <v>0</v>
      </c>
      <c r="BP547" s="5" t="n">
        <v>0</v>
      </c>
      <c r="BQ547" s="5" t="n">
        <v>0.1</v>
      </c>
      <c r="BR547" s="5" t="n">
        <v>0</v>
      </c>
      <c r="BS547" s="5" t="n">
        <v>0.833</v>
      </c>
      <c r="BT547" s="5" t="n">
        <v>0</v>
      </c>
      <c r="BU547" s="5" t="n">
        <v>0</v>
      </c>
      <c r="BV547" s="5" t="n">
        <v>0.089</v>
      </c>
      <c r="BW547" s="5" t="n">
        <v>0</v>
      </c>
      <c r="BX547" s="5" t="n">
        <v>0.833</v>
      </c>
      <c r="BY547" s="5" t="n">
        <v>12.729</v>
      </c>
      <c r="BZ547" s="5" t="n">
        <v>0</v>
      </c>
      <c r="CA547" s="5" t="n">
        <v>12.729</v>
      </c>
      <c r="CB547" s="5" t="n">
        <v>0</v>
      </c>
      <c r="CC547" s="5" t="n">
        <v>102.477</v>
      </c>
      <c r="CD547" s="5" t="n">
        <v>7.95</v>
      </c>
      <c r="CE547" s="5" t="n">
        <v>-3.347</v>
      </c>
      <c r="CF547" s="5" t="n">
        <v>99.129</v>
      </c>
      <c r="CG547" s="5" t="n">
        <v>0</v>
      </c>
      <c r="CH547" s="5" t="n">
        <v>1</v>
      </c>
      <c r="CI547" s="5" t="n">
        <v>0</v>
      </c>
      <c r="CJ547" s="5" t="n">
        <v>0</v>
      </c>
      <c r="CK547" s="5" t="n">
        <v>0</v>
      </c>
      <c r="CL547" s="5" t="n">
        <v>0</v>
      </c>
      <c r="CM547" s="5" t="n">
        <v>0</v>
      </c>
      <c r="CN547" s="5" t="n">
        <v>0</v>
      </c>
      <c r="CO547" s="5" t="n">
        <v>0</v>
      </c>
      <c r="CP547" s="5" t="n">
        <v>0</v>
      </c>
      <c r="CQ547" s="5" t="n">
        <v>1.294</v>
      </c>
      <c r="CR547" s="5" t="n">
        <v>0.306</v>
      </c>
      <c r="CS547" s="5" t="n">
        <v>5.839</v>
      </c>
      <c r="CT547" s="5" t="n">
        <v>10.485</v>
      </c>
      <c r="CU547" s="5" t="n">
        <v>30.326</v>
      </c>
    </row>
    <row r="548">
      <c r="A548" s="5" t="inlineStr">
        <is>
          <t>MAR2023</t>
        </is>
      </c>
      <c r="B548" s="5" t="inlineStr">
        <is>
          <t>MAR</t>
        </is>
      </c>
      <c r="C548" s="5" t="inlineStr">
        <is>
          <t>MAR</t>
        </is>
      </c>
      <c r="D548" s="5" t="inlineStr">
        <is>
          <t>Morocco</t>
        </is>
      </c>
      <c r="E548" s="5" t="n">
        <v>2023</v>
      </c>
      <c r="F548" s="5" t="n">
        <v>0.2</v>
      </c>
      <c r="G548" s="5" t="n">
        <v>7.441</v>
      </c>
      <c r="H548" s="5" t="n">
        <v>1.695</v>
      </c>
      <c r="I548" s="5" t="n">
        <v>0.122</v>
      </c>
      <c r="J548" s="5" t="n">
        <v>7.562</v>
      </c>
      <c r="K548" s="5" t="n">
        <v>0</v>
      </c>
      <c r="L548" s="5" t="n">
        <v>1</v>
      </c>
      <c r="M548" s="5" t="n">
        <v>7.369</v>
      </c>
      <c r="N548" s="5" t="n">
        <v>3.655</v>
      </c>
      <c r="O548" s="5" t="n">
        <v>0.301</v>
      </c>
      <c r="P548" s="5" t="n">
        <v>7.67</v>
      </c>
      <c r="Q548" s="5" t="n">
        <v>0</v>
      </c>
      <c r="R548" s="5" t="n">
        <v>1</v>
      </c>
      <c r="S548" s="5" t="n">
        <v>12.575</v>
      </c>
      <c r="T548" s="5" t="n">
        <v>7.714</v>
      </c>
      <c r="U548" s="5" t="n">
        <v>0</v>
      </c>
      <c r="V548" s="5" t="n">
        <v>12.575</v>
      </c>
      <c r="W548" s="5" t="n">
        <v>0</v>
      </c>
      <c r="X548" s="5" t="n">
        <v>1</v>
      </c>
      <c r="Y548" s="5" t="n">
        <v>3.884</v>
      </c>
      <c r="Z548" s="5" t="n">
        <v>0.616</v>
      </c>
      <c r="AA548" s="5" t="n">
        <v>0.252</v>
      </c>
      <c r="AB548" s="5" t="n">
        <v>4.136</v>
      </c>
      <c r="AC548" s="5" t="n">
        <v>0</v>
      </c>
      <c r="AD548" s="5" t="n">
        <v>1</v>
      </c>
      <c r="AE548" s="5" t="n">
        <v>5.137</v>
      </c>
      <c r="AF548" s="5" t="n">
        <v>1.374</v>
      </c>
      <c r="AG548" s="5" t="n">
        <v>0.252</v>
      </c>
      <c r="AH548" s="5" t="n">
        <v>5.389</v>
      </c>
      <c r="AI548" s="5" t="n">
        <v>0</v>
      </c>
      <c r="AJ548" s="5" t="n">
        <v>1</v>
      </c>
      <c r="AK548" s="5" t="n">
        <v>12.653</v>
      </c>
      <c r="AL548" s="5" t="n">
        <v>7.254</v>
      </c>
      <c r="AM548" s="5" t="n">
        <v>0</v>
      </c>
      <c r="AN548" s="5" t="n">
        <v>12.653</v>
      </c>
      <c r="AO548" s="5" t="n">
        <v>0</v>
      </c>
      <c r="AP548" s="5" t="n">
        <v>1</v>
      </c>
      <c r="AQ548" s="5" t="n">
        <v>0.749</v>
      </c>
      <c r="AR548" s="5" t="n">
        <v>0.129</v>
      </c>
      <c r="AS548" s="5" t="n">
        <v>0.574</v>
      </c>
      <c r="AT548" s="5" t="n">
        <v>1.455</v>
      </c>
      <c r="AU548" s="5" t="n">
        <v>0.1</v>
      </c>
      <c r="AV548" s="5" t="n">
        <v>1</v>
      </c>
      <c r="AW548" s="5" t="n">
        <v>0.783</v>
      </c>
      <c r="AX548" s="5" t="n">
        <v>0.129</v>
      </c>
      <c r="AY548" s="5" t="n">
        <v>0.397</v>
      </c>
      <c r="AZ548" s="5" t="n">
        <v>1.297</v>
      </c>
      <c r="BA548" s="5" t="n">
        <v>0.1</v>
      </c>
      <c r="BB548" s="5" t="n">
        <v>1</v>
      </c>
      <c r="BC548" s="5" t="n">
        <v>0.527</v>
      </c>
      <c r="BD548" s="5" t="n">
        <v>0.129</v>
      </c>
      <c r="BE548" s="5" t="n">
        <v>-0.36</v>
      </c>
      <c r="BF548" s="5" t="n">
        <v>0.168</v>
      </c>
      <c r="BG548" s="5" t="n">
        <v>0</v>
      </c>
      <c r="BH548" s="5" t="n">
        <v>0</v>
      </c>
      <c r="BI548" s="5" t="n">
        <v>0.64</v>
      </c>
      <c r="BJ548" s="5" t="n">
        <v>0.129</v>
      </c>
      <c r="BK548" s="5" t="n">
        <v>0.04</v>
      </c>
      <c r="BL548" s="5" t="n">
        <v>0.68</v>
      </c>
      <c r="BM548" s="5" t="n">
        <v>0</v>
      </c>
      <c r="BN548" s="5" t="n">
        <v>1</v>
      </c>
      <c r="BO548" s="5" t="n">
        <v>0</v>
      </c>
      <c r="BP548" s="5" t="n">
        <v>0</v>
      </c>
      <c r="BQ548" s="5" t="n">
        <v>0.1</v>
      </c>
      <c r="BR548" s="5" t="n">
        <v>0</v>
      </c>
      <c r="BS548" s="5" t="n">
        <v>0.833</v>
      </c>
      <c r="BT548" s="5" t="n">
        <v>0</v>
      </c>
      <c r="BU548" s="5" t="n">
        <v>0</v>
      </c>
      <c r="BV548" s="5" t="n">
        <v>0.089</v>
      </c>
      <c r="BW548" s="5" t="n">
        <v>0.14</v>
      </c>
      <c r="BX548" s="5" t="n">
        <v>0.833</v>
      </c>
      <c r="BY548" s="5" t="n">
        <v>13.254</v>
      </c>
      <c r="BZ548" s="5" t="n">
        <v>0</v>
      </c>
      <c r="CA548" s="5" t="n">
        <v>13.254</v>
      </c>
      <c r="CB548" s="5" t="n">
        <v>0</v>
      </c>
      <c r="CC548" s="5" t="n">
        <v>87.07899999999999</v>
      </c>
      <c r="CD548" s="5" t="n">
        <v>7.95</v>
      </c>
      <c r="CE548" s="5" t="n">
        <v>-3.485</v>
      </c>
      <c r="CF548" s="5" t="n">
        <v>83.59399999999999</v>
      </c>
      <c r="CG548" s="5" t="n">
        <v>0</v>
      </c>
      <c r="CH548" s="5" t="n">
        <v>1</v>
      </c>
      <c r="CI548" s="5" t="n">
        <v>0</v>
      </c>
      <c r="CJ548" s="5" t="n">
        <v>0</v>
      </c>
      <c r="CK548" s="5" t="n">
        <v>0</v>
      </c>
      <c r="CL548" s="5" t="n">
        <v>0</v>
      </c>
      <c r="CM548" s="5" t="n">
        <v>0</v>
      </c>
      <c r="CN548" s="5" t="n">
        <v>0</v>
      </c>
      <c r="CO548" s="5" t="n">
        <v>0</v>
      </c>
      <c r="CP548" s="5" t="n">
        <v>0</v>
      </c>
      <c r="CQ548" s="5" t="n">
        <v>1.348</v>
      </c>
      <c r="CR548" s="5" t="n">
        <v>0.051</v>
      </c>
      <c r="CS548" s="5" t="n">
        <v>6.08</v>
      </c>
      <c r="CT548" s="5" t="n">
        <v>4.861</v>
      </c>
      <c r="CU548" s="5" t="n">
        <v>10.622</v>
      </c>
    </row>
    <row r="549">
      <c r="A549" s="5" t="inlineStr">
        <is>
          <t>MAR2024</t>
        </is>
      </c>
      <c r="B549" s="5" t="inlineStr">
        <is>
          <t>MAR</t>
        </is>
      </c>
      <c r="C549" s="5" t="inlineStr">
        <is>
          <t>MAR</t>
        </is>
      </c>
      <c r="D549" s="5" t="inlineStr">
        <is>
          <t>Morocco</t>
        </is>
      </c>
      <c r="E549" s="5" t="n">
        <v>2024</v>
      </c>
      <c r="F549" s="5" t="n">
        <v>0.2</v>
      </c>
      <c r="G549" s="5" t="n">
        <v>6.869</v>
      </c>
      <c r="H549" s="5" t="n">
        <v>1.74</v>
      </c>
      <c r="I549" s="5" t="n">
        <v>0.106</v>
      </c>
      <c r="J549" s="5" t="n">
        <v>6.975</v>
      </c>
      <c r="K549" s="5" t="n">
        <v>0</v>
      </c>
      <c r="L549" s="5" t="n">
        <v>1</v>
      </c>
      <c r="M549" s="5" t="n">
        <v>6.606</v>
      </c>
      <c r="N549" s="5" t="n">
        <v>3.599</v>
      </c>
      <c r="O549" s="5" t="n">
        <v>0.285</v>
      </c>
      <c r="P549" s="5" t="n">
        <v>6.892</v>
      </c>
      <c r="Q549" s="5" t="n">
        <v>0</v>
      </c>
      <c r="R549" s="5" t="n">
        <v>1</v>
      </c>
      <c r="S549" s="5" t="n">
        <v>12.193</v>
      </c>
      <c r="T549" s="5" t="n">
        <v>7.942</v>
      </c>
      <c r="U549" s="5" t="n">
        <v>0</v>
      </c>
      <c r="V549" s="5" t="n">
        <v>12.193</v>
      </c>
      <c r="W549" s="5" t="n">
        <v>0</v>
      </c>
      <c r="X549" s="5" t="n">
        <v>1</v>
      </c>
      <c r="Y549" s="5" t="n">
        <v>3.999</v>
      </c>
      <c r="Z549" s="5" t="n">
        <v>0.634</v>
      </c>
      <c r="AA549" s="5" t="n">
        <v>0.217</v>
      </c>
      <c r="AB549" s="5" t="n">
        <v>4.216</v>
      </c>
      <c r="AC549" s="5" t="n">
        <v>0</v>
      </c>
      <c r="AD549" s="5" t="n">
        <v>1</v>
      </c>
      <c r="AE549" s="5" t="n">
        <v>5.289</v>
      </c>
      <c r="AF549" s="5" t="n">
        <v>1.415</v>
      </c>
      <c r="AG549" s="5" t="n">
        <v>0.217</v>
      </c>
      <c r="AH549" s="5" t="n">
        <v>5.506</v>
      </c>
      <c r="AI549" s="5" t="n">
        <v>0</v>
      </c>
      <c r="AJ549" s="5" t="n">
        <v>1</v>
      </c>
      <c r="AK549" s="5" t="n">
        <v>13.026</v>
      </c>
      <c r="AL549" s="5" t="n">
        <v>7.468</v>
      </c>
      <c r="AM549" s="5" t="n">
        <v>0</v>
      </c>
      <c r="AN549" s="5" t="n">
        <v>13.026</v>
      </c>
      <c r="AO549" s="5" t="n">
        <v>0</v>
      </c>
      <c r="AP549" s="5" t="n">
        <v>1</v>
      </c>
      <c r="AQ549" s="5" t="n">
        <v>0.72</v>
      </c>
      <c r="AR549" s="5" t="n">
        <v>0.132</v>
      </c>
      <c r="AS549" s="5" t="n">
        <v>0.614</v>
      </c>
      <c r="AT549" s="5" t="n">
        <v>1.447</v>
      </c>
      <c r="AU549" s="5" t="n">
        <v>0.1</v>
      </c>
      <c r="AV549" s="5" t="n">
        <v>1</v>
      </c>
      <c r="AW549" s="5" t="n">
        <v>0.734</v>
      </c>
      <c r="AX549" s="5" t="n">
        <v>0.132</v>
      </c>
      <c r="AY549" s="5" t="n">
        <v>0.462</v>
      </c>
      <c r="AZ549" s="5" t="n">
        <v>1.298</v>
      </c>
      <c r="BA549" s="5" t="n">
        <v>0.1</v>
      </c>
      <c r="BB549" s="5" t="n">
        <v>1</v>
      </c>
      <c r="BC549" s="5" t="n">
        <v>0.51</v>
      </c>
      <c r="BD549" s="5" t="n">
        <v>0.132</v>
      </c>
      <c r="BE549" s="5" t="n">
        <v>-0.344</v>
      </c>
      <c r="BF549" s="5" t="n">
        <v>0.166</v>
      </c>
      <c r="BG549" s="5" t="n">
        <v>0</v>
      </c>
      <c r="BH549" s="5" t="n">
        <v>0</v>
      </c>
      <c r="BI549" s="5" t="n">
        <v>0.652</v>
      </c>
      <c r="BJ549" s="5" t="n">
        <v>0.132</v>
      </c>
      <c r="BK549" s="5" t="n">
        <v>0.041</v>
      </c>
      <c r="BL549" s="5" t="n">
        <v>0.6929999999999999</v>
      </c>
      <c r="BM549" s="5" t="n">
        <v>0</v>
      </c>
      <c r="BN549" s="5" t="n">
        <v>1</v>
      </c>
      <c r="BO549" s="5" t="n">
        <v>0</v>
      </c>
      <c r="BP549" s="5" t="n">
        <v>0</v>
      </c>
      <c r="BQ549" s="5" t="n">
        <v>0.099</v>
      </c>
      <c r="BR549" s="5" t="n">
        <v>0</v>
      </c>
      <c r="BS549" s="5" t="n">
        <v>0.833</v>
      </c>
      <c r="BT549" s="5" t="n">
        <v>0</v>
      </c>
      <c r="BU549" s="5" t="n">
        <v>0</v>
      </c>
      <c r="BV549" s="5" t="n">
        <v>0.09</v>
      </c>
      <c r="BW549" s="5" t="n">
        <v>0.16</v>
      </c>
      <c r="BX549" s="5" t="n">
        <v>0.833</v>
      </c>
      <c r="BY549" s="5" t="n">
        <v>13.646</v>
      </c>
      <c r="BZ549" s="5" t="n">
        <v>0</v>
      </c>
      <c r="CA549" s="5" t="n">
        <v>13.646</v>
      </c>
      <c r="CB549" s="5" t="n">
        <v>0</v>
      </c>
      <c r="CC549" s="5" t="n">
        <v>86.38500000000001</v>
      </c>
      <c r="CD549" s="5" t="n">
        <v>7.95</v>
      </c>
      <c r="CE549" s="5" t="n">
        <v>-3.588</v>
      </c>
      <c r="CF549" s="5" t="n">
        <v>82.797</v>
      </c>
      <c r="CG549" s="5" t="n">
        <v>0</v>
      </c>
      <c r="CH549" s="5" t="n">
        <v>1</v>
      </c>
      <c r="CI549" s="5" t="n">
        <v>0</v>
      </c>
      <c r="CJ549" s="5" t="n">
        <v>0</v>
      </c>
      <c r="CK549" s="5" t="n">
        <v>0</v>
      </c>
      <c r="CL549" s="5" t="n">
        <v>0</v>
      </c>
      <c r="CM549" s="5" t="n">
        <v>0</v>
      </c>
      <c r="CN549" s="5" t="n">
        <v>0</v>
      </c>
      <c r="CO549" s="5" t="n">
        <v>0</v>
      </c>
      <c r="CP549" s="5" t="n">
        <v>0</v>
      </c>
      <c r="CQ549" s="5" t="n">
        <v>1.387</v>
      </c>
      <c r="CR549" s="5" t="n">
        <v>0.051</v>
      </c>
      <c r="CS549" s="5" t="n">
        <v>6.26</v>
      </c>
      <c r="CT549" s="5" t="n">
        <v>4.251</v>
      </c>
      <c r="CU549" s="5" t="n">
        <v>9.167999999999999</v>
      </c>
    </row>
    <row r="550">
      <c r="A550" s="5" t="inlineStr">
        <is>
          <t>MOZ2021</t>
        </is>
      </c>
      <c r="B550" s="5" t="inlineStr">
        <is>
          <t>MOZ</t>
        </is>
      </c>
      <c r="C550" s="5" t="inlineStr">
        <is>
          <t>MOZ</t>
        </is>
      </c>
      <c r="D550" s="5" t="inlineStr">
        <is>
          <t>Mozambique</t>
        </is>
      </c>
      <c r="E550" s="5" t="n">
        <v>2021</v>
      </c>
      <c r="F550" s="5" t="n">
        <v>0.17</v>
      </c>
      <c r="G550" s="5" t="n">
        <v>1.77</v>
      </c>
      <c r="H550" s="5" t="n">
        <v>0.572</v>
      </c>
      <c r="I550" s="5" t="n">
        <v>0</v>
      </c>
      <c r="J550" s="5" t="n">
        <v>1.77</v>
      </c>
      <c r="K550" s="5" t="n">
        <v>0</v>
      </c>
      <c r="L550" s="5" t="n">
        <v>1</v>
      </c>
      <c r="M550" s="5" t="n">
        <v>2.913</v>
      </c>
      <c r="N550" s="5" t="n">
        <v>1.715</v>
      </c>
      <c r="O550" s="5" t="n">
        <v>0</v>
      </c>
      <c r="P550" s="5" t="n">
        <v>2.913</v>
      </c>
      <c r="Q550" s="5" t="n">
        <v>0</v>
      </c>
      <c r="R550" s="5" t="n">
        <v>1</v>
      </c>
      <c r="S550" s="5" t="n">
        <v>4.628</v>
      </c>
      <c r="T550" s="5" t="n">
        <v>3.43</v>
      </c>
      <c r="U550" s="5" t="n">
        <v>0</v>
      </c>
      <c r="V550" s="5" t="n">
        <v>5.415</v>
      </c>
      <c r="W550" s="5" t="n">
        <v>0.17</v>
      </c>
      <c r="X550" s="5" t="n">
        <v>1</v>
      </c>
      <c r="Y550" s="5" t="n">
        <v>3.661</v>
      </c>
      <c r="Z550" s="5" t="n">
        <v>0.402</v>
      </c>
      <c r="AA550" s="5" t="n">
        <v>0</v>
      </c>
      <c r="AB550" s="5" t="n">
        <v>3.661</v>
      </c>
      <c r="AC550" s="5" t="n">
        <v>0</v>
      </c>
      <c r="AD550" s="5" t="n">
        <v>1</v>
      </c>
      <c r="AE550" s="5" t="n">
        <v>4.233</v>
      </c>
      <c r="AF550" s="5" t="n">
        <v>0.823</v>
      </c>
      <c r="AG550" s="5" t="n">
        <v>0</v>
      </c>
      <c r="AH550" s="5" t="n">
        <v>4.233</v>
      </c>
      <c r="AI550" s="5" t="n">
        <v>0</v>
      </c>
      <c r="AJ550" s="5" t="n">
        <v>1</v>
      </c>
      <c r="AK550" s="5" t="n">
        <v>7.663</v>
      </c>
      <c r="AL550" s="5" t="n">
        <v>3.615</v>
      </c>
      <c r="AM550" s="5" t="n">
        <v>0</v>
      </c>
      <c r="AN550" s="5" t="n">
        <v>8.965999999999999</v>
      </c>
      <c r="AO550" s="5" t="n">
        <v>0.17</v>
      </c>
      <c r="AP550" s="5" t="n">
        <v>1</v>
      </c>
      <c r="AQ550" s="5" t="n">
        <v>0.619</v>
      </c>
      <c r="AR550" s="5" t="n">
        <v>0.114</v>
      </c>
      <c r="AS550" s="5" t="n">
        <v>0.282</v>
      </c>
      <c r="AT550" s="5" t="n">
        <v>1.055</v>
      </c>
      <c r="AU550" s="5" t="n">
        <v>0.17</v>
      </c>
      <c r="AV550" s="5" t="n">
        <v>1</v>
      </c>
      <c r="AW550" s="5" t="n">
        <v>0.599</v>
      </c>
      <c r="AX550" s="5" t="n">
        <v>0.114</v>
      </c>
      <c r="AY550" s="5" t="n">
        <v>0.206</v>
      </c>
      <c r="AZ550" s="5" t="n">
        <v>0.9429999999999999</v>
      </c>
      <c r="BA550" s="5" t="n">
        <v>0.17</v>
      </c>
      <c r="BB550" s="5" t="n">
        <v>1</v>
      </c>
      <c r="BC550" s="5" t="n">
        <v>0.439</v>
      </c>
      <c r="BD550" s="5" t="n">
        <v>0.114</v>
      </c>
      <c r="BE550" s="5" t="n">
        <v>0.115</v>
      </c>
      <c r="BF550" s="5" t="n">
        <v>0.553</v>
      </c>
      <c r="BG550" s="5" t="n">
        <v>0</v>
      </c>
      <c r="BH550" s="5" t="n">
        <v>1</v>
      </c>
      <c r="BI550" s="5" t="n">
        <v>0.505</v>
      </c>
      <c r="BJ550" s="5" t="n">
        <v>0.114</v>
      </c>
      <c r="BK550" s="5" t="n">
        <v>0.228</v>
      </c>
      <c r="BL550" s="5" t="n">
        <v>0.732</v>
      </c>
      <c r="BM550" s="5" t="n">
        <v>0</v>
      </c>
      <c r="BN550" s="5" t="n">
        <v>1</v>
      </c>
      <c r="BO550" s="5" t="n">
        <v>0</v>
      </c>
      <c r="BP550" s="5" t="n">
        <v>0</v>
      </c>
      <c r="BQ550" s="5" t="n">
        <v>0.08799999999999999</v>
      </c>
      <c r="BR550" s="5" t="n">
        <v>0</v>
      </c>
      <c r="BS550" s="5" t="n">
        <v>0.667</v>
      </c>
      <c r="BT550" s="5" t="n">
        <v>0</v>
      </c>
      <c r="BU550" s="5" t="n">
        <v>0</v>
      </c>
      <c r="BV550" s="5" t="n">
        <v>0.119</v>
      </c>
      <c r="BW550" s="5" t="n">
        <v>0.17</v>
      </c>
      <c r="BX550" s="5" t="n">
        <v>1</v>
      </c>
      <c r="BY550" s="5" t="n">
        <v>11.787</v>
      </c>
      <c r="BZ550" s="5" t="n">
        <v>0</v>
      </c>
      <c r="CA550" s="5" t="n">
        <v>11.787</v>
      </c>
      <c r="CB550" s="5" t="n">
        <v>0</v>
      </c>
      <c r="CC550" s="5" t="n">
        <v>78.125</v>
      </c>
      <c r="CD550" s="5" t="n">
        <v>7.95</v>
      </c>
      <c r="CE550" s="5" t="n">
        <v>13.469</v>
      </c>
      <c r="CF550" s="5" t="n">
        <v>107.165</v>
      </c>
      <c r="CG550" s="5" t="n">
        <v>0.17</v>
      </c>
      <c r="CH550" s="5" t="n">
        <v>1</v>
      </c>
      <c r="CI550" s="5" t="n">
        <v>0</v>
      </c>
      <c r="CJ550" s="5" t="n">
        <v>0</v>
      </c>
      <c r="CK550" s="5" t="n">
        <v>0</v>
      </c>
      <c r="CL550" s="5" t="n">
        <v>0</v>
      </c>
      <c r="CM550" s="5" t="n">
        <v>0</v>
      </c>
      <c r="CN550" s="5" t="n">
        <v>0</v>
      </c>
      <c r="CO550" s="5" t="n">
        <v>0</v>
      </c>
      <c r="CP550" s="5" t="n">
        <v>1</v>
      </c>
      <c r="CQ550" s="5" t="n">
        <v>1.198</v>
      </c>
      <c r="CR550" s="5" t="n">
        <v>1</v>
      </c>
      <c r="CS550" s="5" t="n">
        <v>3.09</v>
      </c>
      <c r="CT550" s="5" t="n">
        <v>4.753</v>
      </c>
      <c r="CU550" s="5" t="n">
        <v>14.129</v>
      </c>
    </row>
    <row r="551">
      <c r="A551" s="5" t="inlineStr">
        <is>
          <t>MOZ2022</t>
        </is>
      </c>
      <c r="B551" s="5" t="inlineStr">
        <is>
          <t>MOZ</t>
        </is>
      </c>
      <c r="C551" s="5" t="inlineStr">
        <is>
          <t>MOZ</t>
        </is>
      </c>
      <c r="D551" s="5" t="inlineStr">
        <is>
          <t>Mozambique</t>
        </is>
      </c>
      <c r="E551" s="5" t="n">
        <v>2022</v>
      </c>
      <c r="F551" s="5" t="n">
        <v>0.17</v>
      </c>
      <c r="G551" s="5" t="n">
        <v>1.911</v>
      </c>
      <c r="H551" s="5" t="n">
        <v>0.617</v>
      </c>
      <c r="I551" s="5" t="n">
        <v>0</v>
      </c>
      <c r="J551" s="5" t="n">
        <v>1.911</v>
      </c>
      <c r="K551" s="5" t="n">
        <v>0</v>
      </c>
      <c r="L551" s="5" t="n">
        <v>1</v>
      </c>
      <c r="M551" s="5" t="n">
        <v>3.146</v>
      </c>
      <c r="N551" s="5" t="n">
        <v>1.852</v>
      </c>
      <c r="O551" s="5" t="n">
        <v>0</v>
      </c>
      <c r="P551" s="5" t="n">
        <v>3.146</v>
      </c>
      <c r="Q551" s="5" t="n">
        <v>0</v>
      </c>
      <c r="R551" s="5" t="n">
        <v>1</v>
      </c>
      <c r="S551" s="5" t="n">
        <v>4.998</v>
      </c>
      <c r="T551" s="5" t="n">
        <v>3.704</v>
      </c>
      <c r="U551" s="5" t="n">
        <v>0.063</v>
      </c>
      <c r="V551" s="5" t="n">
        <v>5.848</v>
      </c>
      <c r="W551" s="5" t="n">
        <v>0.17</v>
      </c>
      <c r="X551" s="5" t="n">
        <v>1</v>
      </c>
      <c r="Y551" s="5" t="n">
        <v>3.954</v>
      </c>
      <c r="Z551" s="5" t="n">
        <v>0.434</v>
      </c>
      <c r="AA551" s="5" t="n">
        <v>0</v>
      </c>
      <c r="AB551" s="5" t="n">
        <v>3.954</v>
      </c>
      <c r="AC551" s="5" t="n">
        <v>0</v>
      </c>
      <c r="AD551" s="5" t="n">
        <v>1</v>
      </c>
      <c r="AE551" s="5" t="n">
        <v>4.571</v>
      </c>
      <c r="AF551" s="5" t="n">
        <v>0.889</v>
      </c>
      <c r="AG551" s="5" t="n">
        <v>0</v>
      </c>
      <c r="AH551" s="5" t="n">
        <v>4.571</v>
      </c>
      <c r="AI551" s="5" t="n">
        <v>0</v>
      </c>
      <c r="AJ551" s="5" t="n">
        <v>1</v>
      </c>
      <c r="AK551" s="5" t="n">
        <v>8.276</v>
      </c>
      <c r="AL551" s="5" t="n">
        <v>3.904</v>
      </c>
      <c r="AM551" s="5" t="n">
        <v>0.104</v>
      </c>
      <c r="AN551" s="5" t="n">
        <v>9.682</v>
      </c>
      <c r="AO551" s="5" t="n">
        <v>0.17</v>
      </c>
      <c r="AP551" s="5" t="n">
        <v>1</v>
      </c>
      <c r="AQ551" s="5" t="n">
        <v>0.861</v>
      </c>
      <c r="AR551" s="5" t="n">
        <v>0.123</v>
      </c>
      <c r="AS551" s="5" t="n">
        <v>0.303</v>
      </c>
      <c r="AT551" s="5" t="n">
        <v>1.362</v>
      </c>
      <c r="AU551" s="5" t="n">
        <v>0.17</v>
      </c>
      <c r="AV551" s="5" t="n">
        <v>1</v>
      </c>
      <c r="AW551" s="5" t="n">
        <v>0.986</v>
      </c>
      <c r="AX551" s="5" t="n">
        <v>0.123</v>
      </c>
      <c r="AY551" s="5" t="n">
        <v>0.191</v>
      </c>
      <c r="AZ551" s="5" t="n">
        <v>1.378</v>
      </c>
      <c r="BA551" s="5" t="n">
        <v>0.17</v>
      </c>
      <c r="BB551" s="5" t="n">
        <v>1</v>
      </c>
      <c r="BC551" s="5" t="n">
        <v>0.598</v>
      </c>
      <c r="BD551" s="5" t="n">
        <v>0.123</v>
      </c>
      <c r="BE551" s="5" t="n">
        <v>0.162</v>
      </c>
      <c r="BF551" s="5" t="n">
        <v>0.759</v>
      </c>
      <c r="BG551" s="5" t="n">
        <v>0</v>
      </c>
      <c r="BH551" s="5" t="n">
        <v>1</v>
      </c>
      <c r="BI551" s="5" t="n">
        <v>0.612</v>
      </c>
      <c r="BJ551" s="5" t="n">
        <v>0.123</v>
      </c>
      <c r="BK551" s="5" t="n">
        <v>0.571</v>
      </c>
      <c r="BL551" s="5" t="n">
        <v>1.184</v>
      </c>
      <c r="BM551" s="5" t="n">
        <v>0</v>
      </c>
      <c r="BN551" s="5" t="n">
        <v>1</v>
      </c>
      <c r="BO551" s="5" t="n">
        <v>0</v>
      </c>
      <c r="BP551" s="5" t="n">
        <v>0</v>
      </c>
      <c r="BQ551" s="5" t="n">
        <v>0.09</v>
      </c>
      <c r="BR551" s="5" t="n">
        <v>0</v>
      </c>
      <c r="BS551" s="5" t="n">
        <v>0.667</v>
      </c>
      <c r="BT551" s="5" t="n">
        <v>0</v>
      </c>
      <c r="BU551" s="5" t="n">
        <v>0</v>
      </c>
      <c r="BV551" s="5" t="n">
        <v>0.094</v>
      </c>
      <c r="BW551" s="5" t="n">
        <v>0.17</v>
      </c>
      <c r="BX551" s="5" t="n">
        <v>1</v>
      </c>
      <c r="BY551" s="5" t="n">
        <v>12.729</v>
      </c>
      <c r="BZ551" s="5" t="n">
        <v>0</v>
      </c>
      <c r="CA551" s="5" t="n">
        <v>12.729</v>
      </c>
      <c r="CB551" s="5" t="n">
        <v>0</v>
      </c>
      <c r="CC551" s="5" t="n">
        <v>97.90000000000001</v>
      </c>
      <c r="CD551" s="5" t="n">
        <v>7.95</v>
      </c>
      <c r="CE551" s="5" t="n">
        <v>60.244</v>
      </c>
      <c r="CF551" s="5" t="n">
        <v>185.028</v>
      </c>
      <c r="CG551" s="5" t="n">
        <v>0.17</v>
      </c>
      <c r="CH551" s="5" t="n">
        <v>1</v>
      </c>
      <c r="CI551" s="5" t="n">
        <v>0</v>
      </c>
      <c r="CJ551" s="5" t="n">
        <v>0</v>
      </c>
      <c r="CK551" s="5" t="n">
        <v>0</v>
      </c>
      <c r="CL551" s="5" t="n">
        <v>0</v>
      </c>
      <c r="CM551" s="5" t="n">
        <v>0</v>
      </c>
      <c r="CN551" s="5" t="n">
        <v>0</v>
      </c>
      <c r="CO551" s="5" t="n">
        <v>0</v>
      </c>
      <c r="CP551" s="5" t="n">
        <v>1</v>
      </c>
      <c r="CQ551" s="5" t="n">
        <v>1.294</v>
      </c>
      <c r="CR551" s="5" t="n">
        <v>1</v>
      </c>
      <c r="CS551" s="5" t="n">
        <v>3.337</v>
      </c>
      <c r="CT551" s="5" t="n">
        <v>10.485</v>
      </c>
      <c r="CU551" s="5" t="n">
        <v>28.059</v>
      </c>
    </row>
    <row r="552">
      <c r="A552" s="5" t="inlineStr">
        <is>
          <t>MOZ2023</t>
        </is>
      </c>
      <c r="B552" s="5" t="inlineStr">
        <is>
          <t>MOZ</t>
        </is>
      </c>
      <c r="C552" s="5" t="inlineStr">
        <is>
          <t>MOZ</t>
        </is>
      </c>
      <c r="D552" s="5" t="inlineStr">
        <is>
          <t>Mozambique</t>
        </is>
      </c>
      <c r="E552" s="5" t="n">
        <v>2023</v>
      </c>
      <c r="F552" s="5" t="n">
        <v>0.17</v>
      </c>
      <c r="G552" s="5" t="n">
        <v>1.99</v>
      </c>
      <c r="H552" s="5" t="n">
        <v>0.643</v>
      </c>
      <c r="I552" s="5" t="n">
        <v>0</v>
      </c>
      <c r="J552" s="5" t="n">
        <v>1.99</v>
      </c>
      <c r="K552" s="5" t="n">
        <v>0</v>
      </c>
      <c r="L552" s="5" t="n">
        <v>1</v>
      </c>
      <c r="M552" s="5" t="n">
        <v>3.276</v>
      </c>
      <c r="N552" s="5" t="n">
        <v>1.928</v>
      </c>
      <c r="O552" s="5" t="n">
        <v>0</v>
      </c>
      <c r="P552" s="5" t="n">
        <v>3.276</v>
      </c>
      <c r="Q552" s="5" t="n">
        <v>0</v>
      </c>
      <c r="R552" s="5" t="n">
        <v>1</v>
      </c>
      <c r="S552" s="5" t="n">
        <v>5.205</v>
      </c>
      <c r="T552" s="5" t="n">
        <v>3.857</v>
      </c>
      <c r="U552" s="5" t="n">
        <v>0.098</v>
      </c>
      <c r="V552" s="5" t="n">
        <v>6.089</v>
      </c>
      <c r="W552" s="5" t="n">
        <v>0.17</v>
      </c>
      <c r="X552" s="5" t="n">
        <v>1</v>
      </c>
      <c r="Y552" s="5" t="n">
        <v>4.117</v>
      </c>
      <c r="Z552" s="5" t="n">
        <v>0.452</v>
      </c>
      <c r="AA552" s="5" t="n">
        <v>0</v>
      </c>
      <c r="AB552" s="5" t="n">
        <v>4.117</v>
      </c>
      <c r="AC552" s="5" t="n">
        <v>0</v>
      </c>
      <c r="AD552" s="5" t="n">
        <v>1</v>
      </c>
      <c r="AE552" s="5" t="n">
        <v>4.76</v>
      </c>
      <c r="AF552" s="5" t="n">
        <v>0.926</v>
      </c>
      <c r="AG552" s="5" t="n">
        <v>0</v>
      </c>
      <c r="AH552" s="5" t="n">
        <v>4.76</v>
      </c>
      <c r="AI552" s="5" t="n">
        <v>0</v>
      </c>
      <c r="AJ552" s="5" t="n">
        <v>1</v>
      </c>
      <c r="AK552" s="5" t="n">
        <v>8.617000000000001</v>
      </c>
      <c r="AL552" s="5" t="n">
        <v>4.065</v>
      </c>
      <c r="AM552" s="5" t="n">
        <v>0.162</v>
      </c>
      <c r="AN552" s="5" t="n">
        <v>10.082</v>
      </c>
      <c r="AO552" s="5" t="n">
        <v>0.17</v>
      </c>
      <c r="AP552" s="5" t="n">
        <v>1</v>
      </c>
      <c r="AQ552" s="5" t="n">
        <v>0.76</v>
      </c>
      <c r="AR552" s="5" t="n">
        <v>0.129</v>
      </c>
      <c r="AS552" s="5" t="n">
        <v>0.393</v>
      </c>
      <c r="AT552" s="5" t="n">
        <v>1.35</v>
      </c>
      <c r="AU552" s="5" t="n">
        <v>0.17</v>
      </c>
      <c r="AV552" s="5" t="n">
        <v>1</v>
      </c>
      <c r="AW552" s="5" t="n">
        <v>0.8110000000000001</v>
      </c>
      <c r="AX552" s="5" t="n">
        <v>0.129</v>
      </c>
      <c r="AY552" s="5" t="n">
        <v>0.409</v>
      </c>
      <c r="AZ552" s="5" t="n">
        <v>1.428</v>
      </c>
      <c r="BA552" s="5" t="n">
        <v>0.17</v>
      </c>
      <c r="BB552" s="5" t="n">
        <v>1</v>
      </c>
      <c r="BC552" s="5" t="n">
        <v>0.535</v>
      </c>
      <c r="BD552" s="5" t="n">
        <v>0.129</v>
      </c>
      <c r="BE552" s="5" t="n">
        <v>0.152</v>
      </c>
      <c r="BF552" s="5" t="n">
        <v>0.6870000000000001</v>
      </c>
      <c r="BG552" s="5" t="n">
        <v>0</v>
      </c>
      <c r="BH552" s="5" t="n">
        <v>1</v>
      </c>
      <c r="BI552" s="5" t="n">
        <v>0.579</v>
      </c>
      <c r="BJ552" s="5" t="n">
        <v>0.129</v>
      </c>
      <c r="BK552" s="5" t="n">
        <v>0.783</v>
      </c>
      <c r="BL552" s="5" t="n">
        <v>1.363</v>
      </c>
      <c r="BM552" s="5" t="n">
        <v>0</v>
      </c>
      <c r="BN552" s="5" t="n">
        <v>1</v>
      </c>
      <c r="BO552" s="5" t="n">
        <v>0</v>
      </c>
      <c r="BP552" s="5" t="n">
        <v>0</v>
      </c>
      <c r="BQ552" s="5" t="n">
        <v>0.09</v>
      </c>
      <c r="BR552" s="5" t="n">
        <v>0</v>
      </c>
      <c r="BS552" s="5" t="n">
        <v>0.667</v>
      </c>
      <c r="BT552" s="5" t="n">
        <v>0</v>
      </c>
      <c r="BU552" s="5" t="n">
        <v>0</v>
      </c>
      <c r="BV552" s="5" t="n">
        <v>0.146</v>
      </c>
      <c r="BW552" s="5" t="n">
        <v>0.17</v>
      </c>
      <c r="BX552" s="5" t="n">
        <v>1</v>
      </c>
      <c r="BY552" s="5" t="n">
        <v>13.254</v>
      </c>
      <c r="BZ552" s="5" t="n">
        <v>0</v>
      </c>
      <c r="CA552" s="5" t="n">
        <v>13.254</v>
      </c>
      <c r="CB552" s="5" t="n">
        <v>0</v>
      </c>
      <c r="CC552" s="5" t="n">
        <v>83.248</v>
      </c>
      <c r="CD552" s="5" t="n">
        <v>7.95</v>
      </c>
      <c r="CE552" s="5" t="n">
        <v>109.708</v>
      </c>
      <c r="CF552" s="5" t="n">
        <v>225.758</v>
      </c>
      <c r="CG552" s="5" t="n">
        <v>0.17</v>
      </c>
      <c r="CH552" s="5" t="n">
        <v>1</v>
      </c>
      <c r="CI552" s="5" t="n">
        <v>0</v>
      </c>
      <c r="CJ552" s="5" t="n">
        <v>0</v>
      </c>
      <c r="CK552" s="5" t="n">
        <v>0</v>
      </c>
      <c r="CL552" s="5" t="n">
        <v>0</v>
      </c>
      <c r="CM552" s="5" t="n">
        <v>0</v>
      </c>
      <c r="CN552" s="5" t="n">
        <v>0</v>
      </c>
      <c r="CO552" s="5" t="n">
        <v>0</v>
      </c>
      <c r="CP552" s="5" t="n">
        <v>1</v>
      </c>
      <c r="CQ552" s="5" t="n">
        <v>1.348</v>
      </c>
      <c r="CR552" s="5" t="n">
        <v>1</v>
      </c>
      <c r="CS552" s="5" t="n">
        <v>3.474</v>
      </c>
      <c r="CT552" s="5" t="n">
        <v>4.861</v>
      </c>
      <c r="CU552" s="5" t="n">
        <v>9.260999999999999</v>
      </c>
    </row>
    <row r="553">
      <c r="A553" s="5" t="inlineStr">
        <is>
          <t>MOZ2024</t>
        </is>
      </c>
      <c r="B553" s="5" t="inlineStr">
        <is>
          <t>MOZ</t>
        </is>
      </c>
      <c r="C553" s="5" t="inlineStr">
        <is>
          <t>MOZ</t>
        </is>
      </c>
      <c r="D553" s="5" t="inlineStr">
        <is>
          <t>Mozambique</t>
        </is>
      </c>
      <c r="E553" s="5" t="n">
        <v>2024</v>
      </c>
      <c r="F553" s="5" t="n">
        <v>0.17</v>
      </c>
      <c r="G553" s="5" t="n">
        <v>2.049</v>
      </c>
      <c r="H553" s="5" t="n">
        <v>0.662</v>
      </c>
      <c r="I553" s="5" t="n">
        <v>0</v>
      </c>
      <c r="J553" s="5" t="n">
        <v>2.049</v>
      </c>
      <c r="K553" s="5" t="n">
        <v>0</v>
      </c>
      <c r="L553" s="5" t="n">
        <v>1</v>
      </c>
      <c r="M553" s="5" t="n">
        <v>3.373</v>
      </c>
      <c r="N553" s="5" t="n">
        <v>1.985</v>
      </c>
      <c r="O553" s="5" t="n">
        <v>0</v>
      </c>
      <c r="P553" s="5" t="n">
        <v>3.373</v>
      </c>
      <c r="Q553" s="5" t="n">
        <v>0</v>
      </c>
      <c r="R553" s="5" t="n">
        <v>1</v>
      </c>
      <c r="S553" s="5" t="n">
        <v>5.358</v>
      </c>
      <c r="T553" s="5" t="n">
        <v>3.971</v>
      </c>
      <c r="U553" s="5" t="n">
        <v>0.124</v>
      </c>
      <c r="V553" s="5" t="n">
        <v>6.269</v>
      </c>
      <c r="W553" s="5" t="n">
        <v>0.17</v>
      </c>
      <c r="X553" s="5" t="n">
        <v>1</v>
      </c>
      <c r="Y553" s="5" t="n">
        <v>4.239</v>
      </c>
      <c r="Z553" s="5" t="n">
        <v>0.465</v>
      </c>
      <c r="AA553" s="5" t="n">
        <v>0</v>
      </c>
      <c r="AB553" s="5" t="n">
        <v>4.239</v>
      </c>
      <c r="AC553" s="5" t="n">
        <v>0</v>
      </c>
      <c r="AD553" s="5" t="n">
        <v>1</v>
      </c>
      <c r="AE553" s="5" t="n">
        <v>4.901</v>
      </c>
      <c r="AF553" s="5" t="n">
        <v>0.953</v>
      </c>
      <c r="AG553" s="5" t="n">
        <v>0</v>
      </c>
      <c r="AH553" s="5" t="n">
        <v>4.901</v>
      </c>
      <c r="AI553" s="5" t="n">
        <v>0</v>
      </c>
      <c r="AJ553" s="5" t="n">
        <v>1</v>
      </c>
      <c r="AK553" s="5" t="n">
        <v>8.871</v>
      </c>
      <c r="AL553" s="5" t="n">
        <v>4.185</v>
      </c>
      <c r="AM553" s="5" t="n">
        <v>0.205</v>
      </c>
      <c r="AN553" s="5" t="n">
        <v>10.38</v>
      </c>
      <c r="AO553" s="5" t="n">
        <v>0.17</v>
      </c>
      <c r="AP553" s="5" t="n">
        <v>1</v>
      </c>
      <c r="AQ553" s="5" t="n">
        <v>0.724</v>
      </c>
      <c r="AR553" s="5" t="n">
        <v>0.132</v>
      </c>
      <c r="AS553" s="5" t="n">
        <v>0.439</v>
      </c>
      <c r="AT553" s="5" t="n">
        <v>1.35</v>
      </c>
      <c r="AU553" s="5" t="n">
        <v>0.16</v>
      </c>
      <c r="AV553" s="5" t="n">
        <v>1</v>
      </c>
      <c r="AW553" s="5" t="n">
        <v>0.75</v>
      </c>
      <c r="AX553" s="5" t="n">
        <v>0.132</v>
      </c>
      <c r="AY553" s="5" t="n">
        <v>0.48</v>
      </c>
      <c r="AZ553" s="5" t="n">
        <v>1.428</v>
      </c>
      <c r="BA553" s="5" t="n">
        <v>0.16</v>
      </c>
      <c r="BB553" s="5" t="n">
        <v>1</v>
      </c>
      <c r="BC553" s="5" t="n">
        <v>0.513</v>
      </c>
      <c r="BD553" s="5" t="n">
        <v>0.132</v>
      </c>
      <c r="BE553" s="5" t="n">
        <v>0.174</v>
      </c>
      <c r="BF553" s="5" t="n">
        <v>0.6870000000000001</v>
      </c>
      <c r="BG553" s="5" t="n">
        <v>0</v>
      </c>
      <c r="BH553" s="5" t="n">
        <v>1</v>
      </c>
      <c r="BI553" s="5" t="n">
        <v>0.591</v>
      </c>
      <c r="BJ553" s="5" t="n">
        <v>0.132</v>
      </c>
      <c r="BK553" s="5" t="n">
        <v>0.771</v>
      </c>
      <c r="BL553" s="5" t="n">
        <v>1.362</v>
      </c>
      <c r="BM553" s="5" t="n">
        <v>0</v>
      </c>
      <c r="BN553" s="5" t="n">
        <v>1</v>
      </c>
      <c r="BO553" s="5" t="n">
        <v>0</v>
      </c>
      <c r="BP553" s="5" t="n">
        <v>0</v>
      </c>
      <c r="BQ553" s="5" t="n">
        <v>0.08500000000000001</v>
      </c>
      <c r="BR553" s="5" t="n">
        <v>0</v>
      </c>
      <c r="BS553" s="5" t="n">
        <v>0.667</v>
      </c>
      <c r="BT553" s="5" t="n">
        <v>0</v>
      </c>
      <c r="BU553" s="5" t="n">
        <v>0</v>
      </c>
      <c r="BV553" s="5" t="n">
        <v>0.109</v>
      </c>
      <c r="BW553" s="5" t="n">
        <v>0.17</v>
      </c>
      <c r="BX553" s="5" t="n">
        <v>1</v>
      </c>
      <c r="BY553" s="5" t="n">
        <v>13.646</v>
      </c>
      <c r="BZ553" s="5" t="n">
        <v>0</v>
      </c>
      <c r="CA553" s="5" t="n">
        <v>13.646</v>
      </c>
      <c r="CB553" s="5" t="n">
        <v>0</v>
      </c>
      <c r="CC553" s="5" t="n">
        <v>82.58799999999999</v>
      </c>
      <c r="CD553" s="5" t="n">
        <v>7.95</v>
      </c>
      <c r="CE553" s="5" t="n">
        <v>111.418</v>
      </c>
      <c r="CF553" s="5" t="n">
        <v>226.986</v>
      </c>
      <c r="CG553" s="5" t="n">
        <v>0.17</v>
      </c>
      <c r="CH553" s="5" t="n">
        <v>1</v>
      </c>
      <c r="CI553" s="5" t="n">
        <v>0</v>
      </c>
      <c r="CJ553" s="5" t="n">
        <v>0</v>
      </c>
      <c r="CK553" s="5" t="n">
        <v>0</v>
      </c>
      <c r="CL553" s="5" t="n">
        <v>0</v>
      </c>
      <c r="CM553" s="5" t="n">
        <v>0</v>
      </c>
      <c r="CN553" s="5" t="n">
        <v>0</v>
      </c>
      <c r="CO553" s="5" t="n">
        <v>0</v>
      </c>
      <c r="CP553" s="5" t="n">
        <v>1</v>
      </c>
      <c r="CQ553" s="5" t="n">
        <v>1.387</v>
      </c>
      <c r="CR553" s="5" t="n">
        <v>1</v>
      </c>
      <c r="CS553" s="5" t="n">
        <v>3.577</v>
      </c>
      <c r="CT553" s="5" t="n">
        <v>4.251</v>
      </c>
      <c r="CU553" s="5" t="n">
        <v>7.598</v>
      </c>
    </row>
    <row r="554">
      <c r="A554" s="5" t="inlineStr">
        <is>
          <t>MMR2021</t>
        </is>
      </c>
      <c r="B554" s="5" t="inlineStr">
        <is>
          <t>MMR</t>
        </is>
      </c>
      <c r="C554" s="5" t="inlineStr">
        <is>
          <t>MMR</t>
        </is>
      </c>
      <c r="D554" s="5" t="inlineStr">
        <is>
          <t>Myanmar</t>
        </is>
      </c>
      <c r="E554" s="5" t="n">
        <v>2021</v>
      </c>
      <c r="F554" s="5" t="n">
        <v>0</v>
      </c>
      <c r="G554" s="5" t="n">
        <v>3.117</v>
      </c>
      <c r="H554" s="5" t="n">
        <v>0.83</v>
      </c>
      <c r="I554" s="5" t="n">
        <v>0</v>
      </c>
      <c r="J554" s="5" t="n">
        <v>3.117</v>
      </c>
      <c r="K554" s="5" t="n">
        <v>0</v>
      </c>
      <c r="L554" s="5" t="n">
        <v>1</v>
      </c>
      <c r="M554" s="5" t="n">
        <v>5.199</v>
      </c>
      <c r="N554" s="5" t="n">
        <v>2.491</v>
      </c>
      <c r="O554" s="5" t="n">
        <v>0</v>
      </c>
      <c r="P554" s="5" t="n">
        <v>5.199</v>
      </c>
      <c r="Q554" s="5" t="n">
        <v>0</v>
      </c>
      <c r="R554" s="5" t="n">
        <v>1</v>
      </c>
      <c r="S554" s="5" t="n">
        <v>7.269</v>
      </c>
      <c r="T554" s="5" t="n">
        <v>4.982</v>
      </c>
      <c r="U554" s="5" t="n">
        <v>0</v>
      </c>
      <c r="V554" s="5" t="n">
        <v>7.269</v>
      </c>
      <c r="W554" s="5" t="n">
        <v>0</v>
      </c>
      <c r="X554" s="5" t="n">
        <v>1</v>
      </c>
      <c r="Y554" s="5" t="n">
        <v>5.305</v>
      </c>
      <c r="Z554" s="5" t="n">
        <v>0.582</v>
      </c>
      <c r="AA554" s="5" t="n">
        <v>0</v>
      </c>
      <c r="AB554" s="5" t="n">
        <v>5.305</v>
      </c>
      <c r="AC554" s="5" t="n">
        <v>0</v>
      </c>
      <c r="AD554" s="5" t="n">
        <v>1</v>
      </c>
      <c r="AE554" s="5" t="n">
        <v>5.877</v>
      </c>
      <c r="AF554" s="5" t="n">
        <v>1.143</v>
      </c>
      <c r="AG554" s="5" t="n">
        <v>0</v>
      </c>
      <c r="AH554" s="5" t="n">
        <v>5.877</v>
      </c>
      <c r="AI554" s="5" t="n">
        <v>0</v>
      </c>
      <c r="AJ554" s="5" t="n">
        <v>1</v>
      </c>
      <c r="AK554" s="5" t="n">
        <v>9.307</v>
      </c>
      <c r="AL554" s="5" t="n">
        <v>4.39</v>
      </c>
      <c r="AM554" s="5" t="n">
        <v>0</v>
      </c>
      <c r="AN554" s="5" t="n">
        <v>9.307</v>
      </c>
      <c r="AO554" s="5" t="n">
        <v>0</v>
      </c>
      <c r="AP554" s="5" t="n">
        <v>1</v>
      </c>
      <c r="AQ554" s="5" t="n">
        <v>0.621</v>
      </c>
      <c r="AR554" s="5" t="n">
        <v>0.114</v>
      </c>
      <c r="AS554" s="5" t="n">
        <v>0.036</v>
      </c>
      <c r="AT554" s="5" t="n">
        <v>0.657</v>
      </c>
      <c r="AU554" s="5" t="n">
        <v>0</v>
      </c>
      <c r="AV554" s="5" t="n">
        <v>1</v>
      </c>
      <c r="AW554" s="5" t="n">
        <v>0.593</v>
      </c>
      <c r="AX554" s="5" t="n">
        <v>0.114</v>
      </c>
      <c r="AY554" s="5" t="n">
        <v>-0.047</v>
      </c>
      <c r="AZ554" s="5" t="n">
        <v>0.546</v>
      </c>
      <c r="BA554" s="5" t="n">
        <v>0</v>
      </c>
      <c r="BB554" s="5" t="n">
        <v>1</v>
      </c>
      <c r="BC554" s="5" t="n">
        <v>0.44</v>
      </c>
      <c r="BD554" s="5" t="n">
        <v>0.114</v>
      </c>
      <c r="BE554" s="5" t="n">
        <v>0</v>
      </c>
      <c r="BF554" s="5" t="n">
        <v>0.44</v>
      </c>
      <c r="BG554" s="5" t="n">
        <v>0</v>
      </c>
      <c r="BH554" s="5" t="n">
        <v>1</v>
      </c>
      <c r="BI554" s="5" t="n">
        <v>0.5600000000000001</v>
      </c>
      <c r="BJ554" s="5" t="n">
        <v>0.114</v>
      </c>
      <c r="BK554" s="5" t="n">
        <v>0</v>
      </c>
      <c r="BL554" s="5" t="n">
        <v>0.5600000000000001</v>
      </c>
      <c r="BM554" s="5" t="n">
        <v>0</v>
      </c>
      <c r="BN554" s="5" t="n">
        <v>1</v>
      </c>
      <c r="BO554" s="5" t="n">
        <v>0</v>
      </c>
      <c r="BP554" s="5" t="n">
        <v>0</v>
      </c>
      <c r="BQ554" s="5" t="n">
        <v>0.081</v>
      </c>
      <c r="BR554" s="5" t="n">
        <v>0</v>
      </c>
      <c r="BS554" s="5" t="n">
        <v>0.833</v>
      </c>
      <c r="BT554" s="5" t="n">
        <v>0</v>
      </c>
      <c r="BU554" s="5" t="n">
        <v>0</v>
      </c>
      <c r="BV554" s="5" t="n">
        <v>0.021</v>
      </c>
      <c r="BW554" s="5" t="n">
        <v>0</v>
      </c>
      <c r="BX554" s="5" t="n">
        <v>0.667</v>
      </c>
      <c r="BY554" s="5" t="n">
        <v>11.787</v>
      </c>
      <c r="BZ554" s="5" t="n">
        <v>0</v>
      </c>
      <c r="CA554" s="5" t="n">
        <v>11.787</v>
      </c>
      <c r="CB554" s="5" t="n">
        <v>0</v>
      </c>
      <c r="CC554" s="5" t="n">
        <v>81.69499999999999</v>
      </c>
      <c r="CD554" s="5" t="n">
        <v>7.95</v>
      </c>
      <c r="CE554" s="5" t="n">
        <v>0</v>
      </c>
      <c r="CF554" s="5" t="n">
        <v>81.69499999999999</v>
      </c>
      <c r="CG554" s="5" t="n">
        <v>0</v>
      </c>
      <c r="CH554" s="5" t="n">
        <v>1</v>
      </c>
      <c r="CI554" s="5" t="n">
        <v>0</v>
      </c>
      <c r="CJ554" s="5" t="n">
        <v>0</v>
      </c>
      <c r="CK554" s="5" t="n">
        <v>0</v>
      </c>
      <c r="CL554" s="5" t="n">
        <v>0</v>
      </c>
      <c r="CM554" s="5" t="n">
        <v>0</v>
      </c>
      <c r="CN554" s="5" t="n">
        <v>0</v>
      </c>
      <c r="CO554" s="5" t="n">
        <v>0</v>
      </c>
      <c r="CP554" s="5" t="n">
        <v>0.548</v>
      </c>
      <c r="CQ554" s="5" t="n">
        <v>1.198</v>
      </c>
      <c r="CR554" s="5" t="n">
        <v>1</v>
      </c>
      <c r="CS554" s="5" t="n">
        <v>4.733</v>
      </c>
      <c r="CT554" s="5" t="n">
        <v>3.604</v>
      </c>
      <c r="CU554" s="5" t="n">
        <v>14.129</v>
      </c>
    </row>
    <row r="555">
      <c r="A555" s="5" t="inlineStr">
        <is>
          <t>MMR2022</t>
        </is>
      </c>
      <c r="B555" s="5" t="inlineStr">
        <is>
          <t>MMR</t>
        </is>
      </c>
      <c r="C555" s="5" t="inlineStr">
        <is>
          <t>MMR</t>
        </is>
      </c>
      <c r="D555" s="5" t="inlineStr">
        <is>
          <t>Myanmar</t>
        </is>
      </c>
      <c r="E555" s="5" t="n">
        <v>2022</v>
      </c>
      <c r="F555" s="5" t="n">
        <v>0</v>
      </c>
      <c r="G555" s="5" t="n">
        <v>1.912</v>
      </c>
      <c r="H555" s="5" t="n">
        <v>0.617</v>
      </c>
      <c r="I555" s="5" t="n">
        <v>0</v>
      </c>
      <c r="J555" s="5" t="n">
        <v>1.912</v>
      </c>
      <c r="K555" s="5" t="n">
        <v>0</v>
      </c>
      <c r="L555" s="5" t="n">
        <v>1</v>
      </c>
      <c r="M555" s="5" t="n">
        <v>3.147</v>
      </c>
      <c r="N555" s="5" t="n">
        <v>1.852</v>
      </c>
      <c r="O555" s="5" t="n">
        <v>0</v>
      </c>
      <c r="P555" s="5" t="n">
        <v>3.147</v>
      </c>
      <c r="Q555" s="5" t="n">
        <v>0</v>
      </c>
      <c r="R555" s="5" t="n">
        <v>1</v>
      </c>
      <c r="S555" s="5" t="n">
        <v>4.999</v>
      </c>
      <c r="T555" s="5" t="n">
        <v>3.704</v>
      </c>
      <c r="U555" s="5" t="n">
        <v>0</v>
      </c>
      <c r="V555" s="5" t="n">
        <v>4.999</v>
      </c>
      <c r="W555" s="5" t="n">
        <v>0</v>
      </c>
      <c r="X555" s="5" t="n">
        <v>1</v>
      </c>
      <c r="Y555" s="5" t="n">
        <v>5.729</v>
      </c>
      <c r="Z555" s="5" t="n">
        <v>0.629</v>
      </c>
      <c r="AA555" s="5" t="n">
        <v>0</v>
      </c>
      <c r="AB555" s="5" t="n">
        <v>5.729</v>
      </c>
      <c r="AC555" s="5" t="n">
        <v>0</v>
      </c>
      <c r="AD555" s="5" t="n">
        <v>1</v>
      </c>
      <c r="AE555" s="5" t="n">
        <v>6.347</v>
      </c>
      <c r="AF555" s="5" t="n">
        <v>1.234</v>
      </c>
      <c r="AG555" s="5" t="n">
        <v>0</v>
      </c>
      <c r="AH555" s="5" t="n">
        <v>6.347</v>
      </c>
      <c r="AI555" s="5" t="n">
        <v>0</v>
      </c>
      <c r="AJ555" s="5" t="n">
        <v>1</v>
      </c>
      <c r="AK555" s="5" t="n">
        <v>10.051</v>
      </c>
      <c r="AL555" s="5" t="n">
        <v>4.741</v>
      </c>
      <c r="AM555" s="5" t="n">
        <v>0</v>
      </c>
      <c r="AN555" s="5" t="n">
        <v>10.051</v>
      </c>
      <c r="AO555" s="5" t="n">
        <v>0</v>
      </c>
      <c r="AP555" s="5" t="n">
        <v>1</v>
      </c>
      <c r="AQ555" s="5" t="n">
        <v>0.847</v>
      </c>
      <c r="AR555" s="5" t="n">
        <v>0.123</v>
      </c>
      <c r="AS555" s="5" t="n">
        <v>0.129</v>
      </c>
      <c r="AT555" s="5" t="n">
        <v>0.975</v>
      </c>
      <c r="AU555" s="5" t="n">
        <v>0</v>
      </c>
      <c r="AV555" s="5" t="n">
        <v>1</v>
      </c>
      <c r="AW555" s="5" t="n">
        <v>0.947</v>
      </c>
      <c r="AX555" s="5" t="n">
        <v>0.123</v>
      </c>
      <c r="AY555" s="5" t="n">
        <v>0.109</v>
      </c>
      <c r="AZ555" s="5" t="n">
        <v>1.056</v>
      </c>
      <c r="BA555" s="5" t="n">
        <v>0</v>
      </c>
      <c r="BB555" s="5" t="n">
        <v>1</v>
      </c>
      <c r="BC555" s="5" t="n">
        <v>0.589</v>
      </c>
      <c r="BD555" s="5" t="n">
        <v>0.123</v>
      </c>
      <c r="BE555" s="5" t="n">
        <v>0</v>
      </c>
      <c r="BF555" s="5" t="n">
        <v>0.589</v>
      </c>
      <c r="BG555" s="5" t="n">
        <v>0</v>
      </c>
      <c r="BH555" s="5" t="n">
        <v>1</v>
      </c>
      <c r="BI555" s="5" t="n">
        <v>0.6889999999999999</v>
      </c>
      <c r="BJ555" s="5" t="n">
        <v>0.123</v>
      </c>
      <c r="BK555" s="5" t="n">
        <v>0</v>
      </c>
      <c r="BL555" s="5" t="n">
        <v>0.6889999999999999</v>
      </c>
      <c r="BM555" s="5" t="n">
        <v>0</v>
      </c>
      <c r="BN555" s="5" t="n">
        <v>1</v>
      </c>
      <c r="BO555" s="5" t="n">
        <v>0</v>
      </c>
      <c r="BP555" s="5" t="n">
        <v>0</v>
      </c>
      <c r="BQ555" s="5" t="n">
        <v>0.07000000000000001</v>
      </c>
      <c r="BR555" s="5" t="n">
        <v>0</v>
      </c>
      <c r="BS555" s="5" t="n">
        <v>0.833</v>
      </c>
      <c r="BT555" s="5" t="n">
        <v>0</v>
      </c>
      <c r="BU555" s="5" t="n">
        <v>0</v>
      </c>
      <c r="BV555" s="5" t="n">
        <v>0.018</v>
      </c>
      <c r="BW555" s="5" t="n">
        <v>0</v>
      </c>
      <c r="BX555" s="5" t="n">
        <v>0.667</v>
      </c>
      <c r="BY555" s="5" t="n">
        <v>12.729</v>
      </c>
      <c r="BZ555" s="5" t="n">
        <v>0</v>
      </c>
      <c r="CA555" s="5" t="n">
        <v>12.729</v>
      </c>
      <c r="CB555" s="5" t="n">
        <v>0</v>
      </c>
      <c r="CC555" s="5" t="n">
        <v>102.477</v>
      </c>
      <c r="CD555" s="5" t="n">
        <v>7.95</v>
      </c>
      <c r="CE555" s="5" t="n">
        <v>0</v>
      </c>
      <c r="CF555" s="5" t="n">
        <v>102.477</v>
      </c>
      <c r="CG555" s="5" t="n">
        <v>0</v>
      </c>
      <c r="CH555" s="5" t="n">
        <v>1</v>
      </c>
      <c r="CI555" s="5" t="n">
        <v>0</v>
      </c>
      <c r="CJ555" s="5" t="n">
        <v>0</v>
      </c>
      <c r="CK555" s="5" t="n">
        <v>0</v>
      </c>
      <c r="CL555" s="5" t="n">
        <v>0</v>
      </c>
      <c r="CM555" s="5" t="n">
        <v>0</v>
      </c>
      <c r="CN555" s="5" t="n">
        <v>0</v>
      </c>
      <c r="CO555" s="5" t="n">
        <v>0</v>
      </c>
      <c r="CP555" s="5" t="n">
        <v>1</v>
      </c>
      <c r="CQ555" s="5" t="n">
        <v>1.294</v>
      </c>
      <c r="CR555" s="5" t="n">
        <v>1</v>
      </c>
      <c r="CS555" s="5" t="n">
        <v>5.112</v>
      </c>
      <c r="CT555" s="5" t="n">
        <v>7.554</v>
      </c>
      <c r="CU555" s="5" t="n">
        <v>28.059</v>
      </c>
    </row>
    <row r="556">
      <c r="A556" s="5" t="inlineStr">
        <is>
          <t>MMR2023</t>
        </is>
      </c>
      <c r="B556" s="5" t="inlineStr">
        <is>
          <t>MMR</t>
        </is>
      </c>
      <c r="C556" s="5" t="inlineStr">
        <is>
          <t>MMR</t>
        </is>
      </c>
      <c r="D556" s="5" t="inlineStr">
        <is>
          <t>Myanmar</t>
        </is>
      </c>
      <c r="E556" s="5" t="n">
        <v>2023</v>
      </c>
      <c r="F556" s="5" t="n">
        <v>0</v>
      </c>
      <c r="G556" s="5" t="n">
        <v>1.99</v>
      </c>
      <c r="H556" s="5" t="n">
        <v>0.643</v>
      </c>
      <c r="I556" s="5" t="n">
        <v>0</v>
      </c>
      <c r="J556" s="5" t="n">
        <v>1.99</v>
      </c>
      <c r="K556" s="5" t="n">
        <v>0</v>
      </c>
      <c r="L556" s="5" t="n">
        <v>1</v>
      </c>
      <c r="M556" s="5" t="n">
        <v>3.276</v>
      </c>
      <c r="N556" s="5" t="n">
        <v>1.928</v>
      </c>
      <c r="O556" s="5" t="n">
        <v>0</v>
      </c>
      <c r="P556" s="5" t="n">
        <v>3.276</v>
      </c>
      <c r="Q556" s="5" t="n">
        <v>0</v>
      </c>
      <c r="R556" s="5" t="n">
        <v>1</v>
      </c>
      <c r="S556" s="5" t="n">
        <v>5.205</v>
      </c>
      <c r="T556" s="5" t="n">
        <v>3.857</v>
      </c>
      <c r="U556" s="5" t="n">
        <v>0</v>
      </c>
      <c r="V556" s="5" t="n">
        <v>5.205</v>
      </c>
      <c r="W556" s="5" t="n">
        <v>0</v>
      </c>
      <c r="X556" s="5" t="n">
        <v>1</v>
      </c>
      <c r="Y556" s="5" t="n">
        <v>5.966</v>
      </c>
      <c r="Z556" s="5" t="n">
        <v>0.655</v>
      </c>
      <c r="AA556" s="5" t="n">
        <v>0</v>
      </c>
      <c r="AB556" s="5" t="n">
        <v>5.966</v>
      </c>
      <c r="AC556" s="5" t="n">
        <v>0</v>
      </c>
      <c r="AD556" s="5" t="n">
        <v>1</v>
      </c>
      <c r="AE556" s="5" t="n">
        <v>6.608</v>
      </c>
      <c r="AF556" s="5" t="n">
        <v>1.285</v>
      </c>
      <c r="AG556" s="5" t="n">
        <v>0</v>
      </c>
      <c r="AH556" s="5" t="n">
        <v>6.608</v>
      </c>
      <c r="AI556" s="5" t="n">
        <v>0</v>
      </c>
      <c r="AJ556" s="5" t="n">
        <v>1</v>
      </c>
      <c r="AK556" s="5" t="n">
        <v>10.465</v>
      </c>
      <c r="AL556" s="5" t="n">
        <v>4.937</v>
      </c>
      <c r="AM556" s="5" t="n">
        <v>0</v>
      </c>
      <c r="AN556" s="5" t="n">
        <v>10.465</v>
      </c>
      <c r="AO556" s="5" t="n">
        <v>0</v>
      </c>
      <c r="AP556" s="5" t="n">
        <v>1</v>
      </c>
      <c r="AQ556" s="5" t="n">
        <v>0.749</v>
      </c>
      <c r="AR556" s="5" t="n">
        <v>0.129</v>
      </c>
      <c r="AS556" s="5" t="n">
        <v>0.581</v>
      </c>
      <c r="AT556" s="5" t="n">
        <v>1.33</v>
      </c>
      <c r="AU556" s="5" t="n">
        <v>0</v>
      </c>
      <c r="AV556" s="5" t="n">
        <v>1</v>
      </c>
      <c r="AW556" s="5" t="n">
        <v>0.783</v>
      </c>
      <c r="AX556" s="5" t="n">
        <v>0.129</v>
      </c>
      <c r="AY556" s="5" t="n">
        <v>0.49</v>
      </c>
      <c r="AZ556" s="5" t="n">
        <v>1.272</v>
      </c>
      <c r="BA556" s="5" t="n">
        <v>0</v>
      </c>
      <c r="BB556" s="5" t="n">
        <v>1</v>
      </c>
      <c r="BC556" s="5" t="n">
        <v>0.527</v>
      </c>
      <c r="BD556" s="5" t="n">
        <v>0.129</v>
      </c>
      <c r="BE556" s="5" t="n">
        <v>0</v>
      </c>
      <c r="BF556" s="5" t="n">
        <v>0.527</v>
      </c>
      <c r="BG556" s="5" t="n">
        <v>0</v>
      </c>
      <c r="BH556" s="5" t="n">
        <v>1</v>
      </c>
      <c r="BI556" s="5" t="n">
        <v>0.64</v>
      </c>
      <c r="BJ556" s="5" t="n">
        <v>0.129</v>
      </c>
      <c r="BK556" s="5" t="n">
        <v>0</v>
      </c>
      <c r="BL556" s="5" t="n">
        <v>0.64</v>
      </c>
      <c r="BM556" s="5" t="n">
        <v>0</v>
      </c>
      <c r="BN556" s="5" t="n">
        <v>1</v>
      </c>
      <c r="BO556" s="5" t="n">
        <v>0</v>
      </c>
      <c r="BP556" s="5" t="n">
        <v>0</v>
      </c>
      <c r="BQ556" s="5" t="n">
        <v>0.064</v>
      </c>
      <c r="BR556" s="5" t="n">
        <v>0</v>
      </c>
      <c r="BS556" s="5" t="n">
        <v>0.833</v>
      </c>
      <c r="BT556" s="5" t="n">
        <v>0</v>
      </c>
      <c r="BU556" s="5" t="n">
        <v>0</v>
      </c>
      <c r="BV556" s="5" t="n">
        <v>0.017</v>
      </c>
      <c r="BW556" s="5" t="n">
        <v>0</v>
      </c>
      <c r="BX556" s="5" t="n">
        <v>0.667</v>
      </c>
      <c r="BY556" s="5" t="n">
        <v>13.254</v>
      </c>
      <c r="BZ556" s="5" t="n">
        <v>0</v>
      </c>
      <c r="CA556" s="5" t="n">
        <v>13.254</v>
      </c>
      <c r="CB556" s="5" t="n">
        <v>0</v>
      </c>
      <c r="CC556" s="5" t="n">
        <v>87.07899999999999</v>
      </c>
      <c r="CD556" s="5" t="n">
        <v>7.95</v>
      </c>
      <c r="CE556" s="5" t="n">
        <v>0</v>
      </c>
      <c r="CF556" s="5" t="n">
        <v>87.07899999999999</v>
      </c>
      <c r="CG556" s="5" t="n">
        <v>0</v>
      </c>
      <c r="CH556" s="5" t="n">
        <v>1</v>
      </c>
      <c r="CI556" s="5" t="n">
        <v>0</v>
      </c>
      <c r="CJ556" s="5" t="n">
        <v>0</v>
      </c>
      <c r="CK556" s="5" t="n">
        <v>0</v>
      </c>
      <c r="CL556" s="5" t="n">
        <v>0</v>
      </c>
      <c r="CM556" s="5" t="n">
        <v>0</v>
      </c>
      <c r="CN556" s="5" t="n">
        <v>0</v>
      </c>
      <c r="CO556" s="5" t="n">
        <v>0</v>
      </c>
      <c r="CP556" s="5" t="n">
        <v>1</v>
      </c>
      <c r="CQ556" s="5" t="n">
        <v>1.348</v>
      </c>
      <c r="CR556" s="5" t="n">
        <v>1</v>
      </c>
      <c r="CS556" s="5" t="n">
        <v>5.323</v>
      </c>
      <c r="CT556" s="5" t="n">
        <v>4.484</v>
      </c>
      <c r="CU556" s="5" t="n">
        <v>9.260999999999999</v>
      </c>
    </row>
    <row r="557">
      <c r="A557" s="5" t="inlineStr">
        <is>
          <t>MMR2024</t>
        </is>
      </c>
      <c r="B557" s="5" t="inlineStr">
        <is>
          <t>MMR</t>
        </is>
      </c>
      <c r="C557" s="5" t="inlineStr">
        <is>
          <t>MMR</t>
        </is>
      </c>
      <c r="D557" s="5" t="inlineStr">
        <is>
          <t>Myanmar</t>
        </is>
      </c>
      <c r="E557" s="5" t="n">
        <v>2024</v>
      </c>
      <c r="F557" s="5" t="n">
        <v>0</v>
      </c>
      <c r="G557" s="5" t="n">
        <v>2.049</v>
      </c>
      <c r="H557" s="5" t="n">
        <v>0.662</v>
      </c>
      <c r="I557" s="5" t="n">
        <v>0</v>
      </c>
      <c r="J557" s="5" t="n">
        <v>2.049</v>
      </c>
      <c r="K557" s="5" t="n">
        <v>0</v>
      </c>
      <c r="L557" s="5" t="n">
        <v>1</v>
      </c>
      <c r="M557" s="5" t="n">
        <v>3.373</v>
      </c>
      <c r="N557" s="5" t="n">
        <v>1.985</v>
      </c>
      <c r="O557" s="5" t="n">
        <v>0</v>
      </c>
      <c r="P557" s="5" t="n">
        <v>3.373</v>
      </c>
      <c r="Q557" s="5" t="n">
        <v>0</v>
      </c>
      <c r="R557" s="5" t="n">
        <v>1</v>
      </c>
      <c r="S557" s="5" t="n">
        <v>5.358</v>
      </c>
      <c r="T557" s="5" t="n">
        <v>3.971</v>
      </c>
      <c r="U557" s="5" t="n">
        <v>0</v>
      </c>
      <c r="V557" s="5" t="n">
        <v>5.358</v>
      </c>
      <c r="W557" s="5" t="n">
        <v>0</v>
      </c>
      <c r="X557" s="5" t="n">
        <v>1</v>
      </c>
      <c r="Y557" s="5" t="n">
        <v>6.142</v>
      </c>
      <c r="Z557" s="5" t="n">
        <v>0.674</v>
      </c>
      <c r="AA557" s="5" t="n">
        <v>0</v>
      </c>
      <c r="AB557" s="5" t="n">
        <v>6.142</v>
      </c>
      <c r="AC557" s="5" t="n">
        <v>0</v>
      </c>
      <c r="AD557" s="5" t="n">
        <v>1</v>
      </c>
      <c r="AE557" s="5" t="n">
        <v>6.804</v>
      </c>
      <c r="AF557" s="5" t="n">
        <v>1.323</v>
      </c>
      <c r="AG557" s="5" t="n">
        <v>0</v>
      </c>
      <c r="AH557" s="5" t="n">
        <v>6.804</v>
      </c>
      <c r="AI557" s="5" t="n">
        <v>0</v>
      </c>
      <c r="AJ557" s="5" t="n">
        <v>1</v>
      </c>
      <c r="AK557" s="5" t="n">
        <v>10.774</v>
      </c>
      <c r="AL557" s="5" t="n">
        <v>5.083</v>
      </c>
      <c r="AM557" s="5" t="n">
        <v>0</v>
      </c>
      <c r="AN557" s="5" t="n">
        <v>10.774</v>
      </c>
      <c r="AO557" s="5" t="n">
        <v>0</v>
      </c>
      <c r="AP557" s="5" t="n">
        <v>1</v>
      </c>
      <c r="AQ557" s="5" t="n">
        <v>0.72</v>
      </c>
      <c r="AR557" s="5" t="n">
        <v>0.132</v>
      </c>
      <c r="AS557" s="5" t="n">
        <v>0.673</v>
      </c>
      <c r="AT557" s="5" t="n">
        <v>1.392</v>
      </c>
      <c r="AU557" s="5" t="n">
        <v>0</v>
      </c>
      <c r="AV557" s="5" t="n">
        <v>1</v>
      </c>
      <c r="AW557" s="5" t="n">
        <v>0.734</v>
      </c>
      <c r="AX557" s="5" t="n">
        <v>0.132</v>
      </c>
      <c r="AY557" s="5" t="n">
        <v>0.377</v>
      </c>
      <c r="AZ557" s="5" t="n">
        <v>1.111</v>
      </c>
      <c r="BA557" s="5" t="n">
        <v>0</v>
      </c>
      <c r="BB557" s="5" t="n">
        <v>1</v>
      </c>
      <c r="BC557" s="5" t="n">
        <v>0.51</v>
      </c>
      <c r="BD557" s="5" t="n">
        <v>0.132</v>
      </c>
      <c r="BE557" s="5" t="n">
        <v>0</v>
      </c>
      <c r="BF557" s="5" t="n">
        <v>0.51</v>
      </c>
      <c r="BG557" s="5" t="n">
        <v>0</v>
      </c>
      <c r="BH557" s="5" t="n">
        <v>1</v>
      </c>
      <c r="BI557" s="5" t="n">
        <v>0.652</v>
      </c>
      <c r="BJ557" s="5" t="n">
        <v>0.132</v>
      </c>
      <c r="BK557" s="5" t="n">
        <v>0</v>
      </c>
      <c r="BL557" s="5" t="n">
        <v>0.652</v>
      </c>
      <c r="BM557" s="5" t="n">
        <v>0</v>
      </c>
      <c r="BN557" s="5" t="n">
        <v>1</v>
      </c>
      <c r="BO557" s="5" t="n">
        <v>0</v>
      </c>
      <c r="BP557" s="5" t="n">
        <v>0</v>
      </c>
      <c r="BQ557" s="5" t="n">
        <v>0.066</v>
      </c>
      <c r="BR557" s="5" t="n">
        <v>0</v>
      </c>
      <c r="BS557" s="5" t="n">
        <v>0.833</v>
      </c>
      <c r="BT557" s="5" t="n">
        <v>0</v>
      </c>
      <c r="BU557" s="5" t="n">
        <v>0</v>
      </c>
      <c r="BV557" s="5" t="n">
        <v>0.017</v>
      </c>
      <c r="BW557" s="5" t="n">
        <v>0</v>
      </c>
      <c r="BX557" s="5" t="n">
        <v>0.667</v>
      </c>
      <c r="BY557" s="5" t="n">
        <v>13.646</v>
      </c>
      <c r="BZ557" s="5" t="n">
        <v>0</v>
      </c>
      <c r="CA557" s="5" t="n">
        <v>13.646</v>
      </c>
      <c r="CB557" s="5" t="n">
        <v>0</v>
      </c>
      <c r="CC557" s="5" t="n">
        <v>86.38500000000001</v>
      </c>
      <c r="CD557" s="5" t="n">
        <v>7.95</v>
      </c>
      <c r="CE557" s="5" t="n">
        <v>0</v>
      </c>
      <c r="CF557" s="5" t="n">
        <v>86.38500000000001</v>
      </c>
      <c r="CG557" s="5" t="n">
        <v>0</v>
      </c>
      <c r="CH557" s="5" t="n">
        <v>1</v>
      </c>
      <c r="CI557" s="5" t="n">
        <v>0</v>
      </c>
      <c r="CJ557" s="5" t="n">
        <v>0</v>
      </c>
      <c r="CK557" s="5" t="n">
        <v>0</v>
      </c>
      <c r="CL557" s="5" t="n">
        <v>0</v>
      </c>
      <c r="CM557" s="5" t="n">
        <v>0</v>
      </c>
      <c r="CN557" s="5" t="n">
        <v>0</v>
      </c>
      <c r="CO557" s="5" t="n">
        <v>0</v>
      </c>
      <c r="CP557" s="5" t="n">
        <v>1</v>
      </c>
      <c r="CQ557" s="5" t="n">
        <v>1.387</v>
      </c>
      <c r="CR557" s="5" t="n">
        <v>1</v>
      </c>
      <c r="CS557" s="5" t="n">
        <v>5.48</v>
      </c>
      <c r="CT557" s="5" t="n">
        <v>3.509</v>
      </c>
      <c r="CU557" s="5" t="n">
        <v>7.598</v>
      </c>
    </row>
    <row r="558">
      <c r="A558" s="5" t="inlineStr">
        <is>
          <t>NAM2021</t>
        </is>
      </c>
      <c r="B558" s="5" t="inlineStr">
        <is>
          <t>NAM</t>
        </is>
      </c>
      <c r="C558" s="5" t="inlineStr">
        <is>
          <t>NAM</t>
        </is>
      </c>
      <c r="D558" s="5" t="inlineStr">
        <is>
          <t>Namibia</t>
        </is>
      </c>
      <c r="E558" s="5" t="n">
        <v>2021</v>
      </c>
      <c r="F558" s="5" t="n">
        <v>0.15</v>
      </c>
      <c r="G558" s="5" t="n">
        <v>5.897</v>
      </c>
      <c r="H558" s="5" t="n">
        <v>1.143</v>
      </c>
      <c r="I558" s="5" t="n">
        <v>0</v>
      </c>
      <c r="J558" s="5" t="n">
        <v>5.897</v>
      </c>
      <c r="K558" s="5" t="n">
        <v>0</v>
      </c>
      <c r="L558" s="5" t="n">
        <v>1</v>
      </c>
      <c r="M558" s="5" t="n">
        <v>7.964</v>
      </c>
      <c r="N558" s="5" t="n">
        <v>3.43</v>
      </c>
      <c r="O558" s="5" t="n">
        <v>0</v>
      </c>
      <c r="P558" s="5" t="n">
        <v>7.964</v>
      </c>
      <c r="Q558" s="5" t="n">
        <v>0</v>
      </c>
      <c r="R558" s="5" t="n">
        <v>1</v>
      </c>
      <c r="S558" s="5" t="n">
        <v>11.613</v>
      </c>
      <c r="T558" s="5" t="n">
        <v>6.86</v>
      </c>
      <c r="U558" s="5" t="n">
        <v>0</v>
      </c>
      <c r="V558" s="5" t="n">
        <v>13.355</v>
      </c>
      <c r="W558" s="5" t="n">
        <v>0.15</v>
      </c>
      <c r="X558" s="5" t="n">
        <v>1</v>
      </c>
      <c r="Y558" s="5" t="n">
        <v>16.268</v>
      </c>
      <c r="Z558" s="5" t="n">
        <v>2.199</v>
      </c>
      <c r="AA558" s="5" t="n">
        <v>0</v>
      </c>
      <c r="AB558" s="5" t="n">
        <v>16.268</v>
      </c>
      <c r="AC558" s="5" t="n">
        <v>0</v>
      </c>
      <c r="AD558" s="5" t="n">
        <v>1</v>
      </c>
      <c r="AE558" s="5" t="n">
        <v>17.411</v>
      </c>
      <c r="AF558" s="5" t="n">
        <v>4.071</v>
      </c>
      <c r="AG558" s="5" t="n">
        <v>0</v>
      </c>
      <c r="AH558" s="5" t="n">
        <v>17.411</v>
      </c>
      <c r="AI558" s="5" t="n">
        <v>0</v>
      </c>
      <c r="AJ558" s="5" t="n">
        <v>1</v>
      </c>
      <c r="AK558" s="5" t="n">
        <v>24.271</v>
      </c>
      <c r="AL558" s="5" t="n">
        <v>12.927</v>
      </c>
      <c r="AM558" s="5" t="n">
        <v>0</v>
      </c>
      <c r="AN558" s="5" t="n">
        <v>27.911</v>
      </c>
      <c r="AO558" s="5" t="n">
        <v>0.15</v>
      </c>
      <c r="AP558" s="5" t="n">
        <v>1</v>
      </c>
      <c r="AQ558" s="5" t="n">
        <v>0.619</v>
      </c>
      <c r="AR558" s="5" t="n">
        <v>0.114</v>
      </c>
      <c r="AS558" s="5" t="n">
        <v>0.171</v>
      </c>
      <c r="AT558" s="5" t="n">
        <v>0.909</v>
      </c>
      <c r="AU558" s="5" t="n">
        <v>0.15</v>
      </c>
      <c r="AV558" s="5" t="n">
        <v>1</v>
      </c>
      <c r="AW558" s="5" t="n">
        <v>0.599</v>
      </c>
      <c r="AX558" s="5" t="n">
        <v>0.114</v>
      </c>
      <c r="AY558" s="5" t="n">
        <v>0.189</v>
      </c>
      <c r="AZ558" s="5" t="n">
        <v>0.907</v>
      </c>
      <c r="BA558" s="5" t="n">
        <v>0.15</v>
      </c>
      <c r="BB558" s="5" t="n">
        <v>1</v>
      </c>
      <c r="BC558" s="5" t="n">
        <v>0.439</v>
      </c>
      <c r="BD558" s="5" t="n">
        <v>0.114</v>
      </c>
      <c r="BE558" s="5" t="n">
        <v>0</v>
      </c>
      <c r="BF558" s="5" t="n">
        <v>0.505</v>
      </c>
      <c r="BG558" s="5" t="n">
        <v>0.15</v>
      </c>
      <c r="BH558" s="5" t="n">
        <v>1</v>
      </c>
      <c r="BI558" s="5" t="n">
        <v>0.505</v>
      </c>
      <c r="BJ558" s="5" t="n">
        <v>0.114</v>
      </c>
      <c r="BK558" s="5" t="n">
        <v>0</v>
      </c>
      <c r="BL558" s="5" t="n">
        <v>0.58</v>
      </c>
      <c r="BM558" s="5" t="n">
        <v>0.15</v>
      </c>
      <c r="BN558" s="5" t="n">
        <v>1</v>
      </c>
      <c r="BO558" s="5" t="n">
        <v>0</v>
      </c>
      <c r="BP558" s="5" t="n">
        <v>0</v>
      </c>
      <c r="BQ558" s="5" t="n">
        <v>0.148</v>
      </c>
      <c r="BR558" s="5" t="n">
        <v>0</v>
      </c>
      <c r="BS558" s="5" t="n">
        <v>0.833</v>
      </c>
      <c r="BT558" s="5" t="n">
        <v>0</v>
      </c>
      <c r="BU558" s="5" t="n">
        <v>0</v>
      </c>
      <c r="BV558" s="5" t="n">
        <v>0.138</v>
      </c>
      <c r="BW558" s="5" t="n">
        <v>0.15</v>
      </c>
      <c r="BX558" s="5" t="n">
        <v>1</v>
      </c>
      <c r="BY558" s="5" t="n">
        <v>11.787</v>
      </c>
      <c r="BZ558" s="5" t="n">
        <v>0</v>
      </c>
      <c r="CA558" s="5" t="n">
        <v>11.787</v>
      </c>
      <c r="CB558" s="5" t="n">
        <v>0</v>
      </c>
      <c r="CC558" s="5" t="n">
        <v>78.125</v>
      </c>
      <c r="CD558" s="5" t="n">
        <v>7.95</v>
      </c>
      <c r="CE558" s="5" t="n">
        <v>0</v>
      </c>
      <c r="CF558" s="5" t="n">
        <v>89.84399999999999</v>
      </c>
      <c r="CG558" s="5" t="n">
        <v>0.15</v>
      </c>
      <c r="CH558" s="5" t="n">
        <v>1</v>
      </c>
      <c r="CI558" s="5" t="n">
        <v>0</v>
      </c>
      <c r="CJ558" s="5" t="n">
        <v>0</v>
      </c>
      <c r="CK558" s="5" t="n">
        <v>0</v>
      </c>
      <c r="CL558" s="5" t="n">
        <v>0</v>
      </c>
      <c r="CM558" s="5" t="n">
        <v>0</v>
      </c>
      <c r="CN558" s="5" t="n">
        <v>0</v>
      </c>
      <c r="CO558" s="5" t="n">
        <v>0</v>
      </c>
      <c r="CP558" s="5" t="n">
        <v>0</v>
      </c>
      <c r="CQ558" s="5" t="n">
        <v>1.198</v>
      </c>
      <c r="CR558" s="5" t="n">
        <v>0</v>
      </c>
      <c r="CS558" s="5" t="n">
        <v>10.295</v>
      </c>
      <c r="CT558" s="5" t="n">
        <v>4.753</v>
      </c>
      <c r="CU558" s="5" t="n">
        <v>15.162</v>
      </c>
    </row>
    <row r="559">
      <c r="A559" s="5" t="inlineStr">
        <is>
          <t>NAM2022</t>
        </is>
      </c>
      <c r="B559" s="5" t="inlineStr">
        <is>
          <t>NAM</t>
        </is>
      </c>
      <c r="C559" s="5" t="inlineStr">
        <is>
          <t>NAM</t>
        </is>
      </c>
      <c r="D559" s="5" t="inlineStr">
        <is>
          <t>Namibia</t>
        </is>
      </c>
      <c r="E559" s="5" t="n">
        <v>2022</v>
      </c>
      <c r="F559" s="5" t="n">
        <v>0.15</v>
      </c>
      <c r="G559" s="5" t="n">
        <v>11.72</v>
      </c>
      <c r="H559" s="5" t="n">
        <v>1.235</v>
      </c>
      <c r="I559" s="5" t="n">
        <v>0</v>
      </c>
      <c r="J559" s="5" t="n">
        <v>11.72</v>
      </c>
      <c r="K559" s="5" t="n">
        <v>0</v>
      </c>
      <c r="L559" s="5" t="n">
        <v>1</v>
      </c>
      <c r="M559" s="5" t="n">
        <v>9.782999999999999</v>
      </c>
      <c r="N559" s="5" t="n">
        <v>3.704</v>
      </c>
      <c r="O559" s="5" t="n">
        <v>0</v>
      </c>
      <c r="P559" s="5" t="n">
        <v>9.782999999999999</v>
      </c>
      <c r="Q559" s="5" t="n">
        <v>0</v>
      </c>
      <c r="R559" s="5" t="n">
        <v>1</v>
      </c>
      <c r="S559" s="5" t="n">
        <v>17.893</v>
      </c>
      <c r="T559" s="5" t="n">
        <v>7.408</v>
      </c>
      <c r="U559" s="5" t="n">
        <v>0.199</v>
      </c>
      <c r="V559" s="5" t="n">
        <v>20.577</v>
      </c>
      <c r="W559" s="5" t="n">
        <v>0.15</v>
      </c>
      <c r="X559" s="5" t="n">
        <v>1</v>
      </c>
      <c r="Y559" s="5" t="n">
        <v>32.398</v>
      </c>
      <c r="Z559" s="5" t="n">
        <v>4.379</v>
      </c>
      <c r="AA559" s="5" t="n">
        <v>0</v>
      </c>
      <c r="AB559" s="5" t="n">
        <v>32.398</v>
      </c>
      <c r="AC559" s="5" t="n">
        <v>0</v>
      </c>
      <c r="AD559" s="5" t="n">
        <v>1</v>
      </c>
      <c r="AE559" s="5" t="n">
        <v>33.633</v>
      </c>
      <c r="AF559" s="5" t="n">
        <v>7.864</v>
      </c>
      <c r="AG559" s="5" t="n">
        <v>0</v>
      </c>
      <c r="AH559" s="5" t="n">
        <v>33.633</v>
      </c>
      <c r="AI559" s="5" t="n">
        <v>0</v>
      </c>
      <c r="AJ559" s="5" t="n">
        <v>1</v>
      </c>
      <c r="AK559" s="5" t="n">
        <v>41.041</v>
      </c>
      <c r="AL559" s="5" t="n">
        <v>21.858</v>
      </c>
      <c r="AM559" s="5" t="n">
        <v>0.456</v>
      </c>
      <c r="AN559" s="5" t="n">
        <v>47.197</v>
      </c>
      <c r="AO559" s="5" t="n">
        <v>0.15</v>
      </c>
      <c r="AP559" s="5" t="n">
        <v>1</v>
      </c>
      <c r="AQ559" s="5" t="n">
        <v>0.861</v>
      </c>
      <c r="AR559" s="5" t="n">
        <v>0.123</v>
      </c>
      <c r="AS559" s="5" t="n">
        <v>0.154</v>
      </c>
      <c r="AT559" s="5" t="n">
        <v>1.167</v>
      </c>
      <c r="AU559" s="5" t="n">
        <v>0.15</v>
      </c>
      <c r="AV559" s="5" t="n">
        <v>1</v>
      </c>
      <c r="AW559" s="5" t="n">
        <v>0.986</v>
      </c>
      <c r="AX559" s="5" t="n">
        <v>0.123</v>
      </c>
      <c r="AY559" s="5" t="n">
        <v>0.105</v>
      </c>
      <c r="AZ559" s="5" t="n">
        <v>1.255</v>
      </c>
      <c r="BA559" s="5" t="n">
        <v>0.15</v>
      </c>
      <c r="BB559" s="5" t="n">
        <v>1</v>
      </c>
      <c r="BC559" s="5" t="n">
        <v>0.598</v>
      </c>
      <c r="BD559" s="5" t="n">
        <v>0.123</v>
      </c>
      <c r="BE559" s="5" t="n">
        <v>0.007</v>
      </c>
      <c r="BF559" s="5" t="n">
        <v>0.6879999999999999</v>
      </c>
      <c r="BG559" s="5" t="n">
        <v>0.15</v>
      </c>
      <c r="BH559" s="5" t="n">
        <v>1</v>
      </c>
      <c r="BI559" s="5" t="n">
        <v>0.612</v>
      </c>
      <c r="BJ559" s="5" t="n">
        <v>0.123</v>
      </c>
      <c r="BK559" s="5" t="n">
        <v>0.007</v>
      </c>
      <c r="BL559" s="5" t="n">
        <v>0.704</v>
      </c>
      <c r="BM559" s="5" t="n">
        <v>0.15</v>
      </c>
      <c r="BN559" s="5" t="n">
        <v>1</v>
      </c>
      <c r="BO559" s="5" t="n">
        <v>0</v>
      </c>
      <c r="BP559" s="5" t="n">
        <v>0</v>
      </c>
      <c r="BQ559" s="5" t="n">
        <v>0.136</v>
      </c>
      <c r="BR559" s="5" t="n">
        <v>0</v>
      </c>
      <c r="BS559" s="5" t="n">
        <v>0.833</v>
      </c>
      <c r="BT559" s="5" t="n">
        <v>0</v>
      </c>
      <c r="BU559" s="5" t="n">
        <v>0</v>
      </c>
      <c r="BV559" s="5" t="n">
        <v>0.127</v>
      </c>
      <c r="BW559" s="5" t="n">
        <v>0.15</v>
      </c>
      <c r="BX559" s="5" t="n">
        <v>1</v>
      </c>
      <c r="BY559" s="5" t="n">
        <v>12.729</v>
      </c>
      <c r="BZ559" s="5" t="n">
        <v>0</v>
      </c>
      <c r="CA559" s="5" t="n">
        <v>12.729</v>
      </c>
      <c r="CB559" s="5" t="n">
        <v>0</v>
      </c>
      <c r="CC559" s="5" t="n">
        <v>97.90000000000001</v>
      </c>
      <c r="CD559" s="5" t="n">
        <v>7.95</v>
      </c>
      <c r="CE559" s="5" t="n">
        <v>1.087</v>
      </c>
      <c r="CF559" s="5" t="n">
        <v>112.585</v>
      </c>
      <c r="CG559" s="5" t="n">
        <v>0.15</v>
      </c>
      <c r="CH559" s="5" t="n">
        <v>1</v>
      </c>
      <c r="CI559" s="5" t="n">
        <v>0</v>
      </c>
      <c r="CJ559" s="5" t="n">
        <v>0</v>
      </c>
      <c r="CK559" s="5" t="n">
        <v>0</v>
      </c>
      <c r="CL559" s="5" t="n">
        <v>0</v>
      </c>
      <c r="CM559" s="5" t="n">
        <v>0</v>
      </c>
      <c r="CN559" s="5" t="n">
        <v>0</v>
      </c>
      <c r="CO559" s="5" t="n">
        <v>0</v>
      </c>
      <c r="CP559" s="5" t="n">
        <v>0</v>
      </c>
      <c r="CQ559" s="5" t="n">
        <v>1.294</v>
      </c>
      <c r="CR559" s="5" t="n">
        <v>0</v>
      </c>
      <c r="CS559" s="5" t="n">
        <v>11.117</v>
      </c>
      <c r="CT559" s="5" t="n">
        <v>10.485</v>
      </c>
      <c r="CU559" s="5" t="n">
        <v>31.326</v>
      </c>
    </row>
    <row r="560">
      <c r="A560" s="5" t="inlineStr">
        <is>
          <t>NAM2023</t>
        </is>
      </c>
      <c r="B560" s="5" t="inlineStr">
        <is>
          <t>NAM</t>
        </is>
      </c>
      <c r="C560" s="5" t="inlineStr">
        <is>
          <t>NAM</t>
        </is>
      </c>
      <c r="D560" s="5" t="inlineStr">
        <is>
          <t>Namibia</t>
        </is>
      </c>
      <c r="E560" s="5" t="n">
        <v>2023</v>
      </c>
      <c r="F560" s="5" t="n">
        <v>0.15</v>
      </c>
      <c r="G560" s="5" t="n">
        <v>6.147</v>
      </c>
      <c r="H560" s="5" t="n">
        <v>1.286</v>
      </c>
      <c r="I560" s="5" t="n">
        <v>0</v>
      </c>
      <c r="J560" s="5" t="n">
        <v>6.147</v>
      </c>
      <c r="K560" s="5" t="n">
        <v>0</v>
      </c>
      <c r="L560" s="5" t="n">
        <v>1</v>
      </c>
      <c r="M560" s="5" t="n">
        <v>7.886</v>
      </c>
      <c r="N560" s="5" t="n">
        <v>3.857</v>
      </c>
      <c r="O560" s="5" t="n">
        <v>0</v>
      </c>
      <c r="P560" s="5" t="n">
        <v>7.886</v>
      </c>
      <c r="Q560" s="5" t="n">
        <v>0</v>
      </c>
      <c r="R560" s="5" t="n">
        <v>1</v>
      </c>
      <c r="S560" s="5" t="n">
        <v>12.575</v>
      </c>
      <c r="T560" s="5" t="n">
        <v>7.714</v>
      </c>
      <c r="U560" s="5" t="n">
        <v>0.209</v>
      </c>
      <c r="V560" s="5" t="n">
        <v>14.461</v>
      </c>
      <c r="W560" s="5" t="n">
        <v>0.15</v>
      </c>
      <c r="X560" s="5" t="n">
        <v>1</v>
      </c>
      <c r="Y560" s="5" t="n">
        <v>12.851</v>
      </c>
      <c r="Z560" s="5" t="n">
        <v>1.737</v>
      </c>
      <c r="AA560" s="5" t="n">
        <v>0</v>
      </c>
      <c r="AB560" s="5" t="n">
        <v>12.851</v>
      </c>
      <c r="AC560" s="5" t="n">
        <v>0</v>
      </c>
      <c r="AD560" s="5" t="n">
        <v>1</v>
      </c>
      <c r="AE560" s="5" t="n">
        <v>14.136</v>
      </c>
      <c r="AF560" s="5" t="n">
        <v>3.306</v>
      </c>
      <c r="AG560" s="5" t="n">
        <v>0</v>
      </c>
      <c r="AH560" s="5" t="n">
        <v>14.136</v>
      </c>
      <c r="AI560" s="5" t="n">
        <v>0</v>
      </c>
      <c r="AJ560" s="5" t="n">
        <v>1</v>
      </c>
      <c r="AK560" s="5" t="n">
        <v>21.85</v>
      </c>
      <c r="AL560" s="5" t="n">
        <v>11.637</v>
      </c>
      <c r="AM560" s="5" t="n">
        <v>0.363</v>
      </c>
      <c r="AN560" s="5" t="n">
        <v>25.128</v>
      </c>
      <c r="AO560" s="5" t="n">
        <v>0.15</v>
      </c>
      <c r="AP560" s="5" t="n">
        <v>1</v>
      </c>
      <c r="AQ560" s="5" t="n">
        <v>0.76</v>
      </c>
      <c r="AR560" s="5" t="n">
        <v>0.129</v>
      </c>
      <c r="AS560" s="5" t="n">
        <v>0.196</v>
      </c>
      <c r="AT560" s="5" t="n">
        <v>1.1</v>
      </c>
      <c r="AU560" s="5" t="n">
        <v>0.15</v>
      </c>
      <c r="AV560" s="5" t="n">
        <v>1</v>
      </c>
      <c r="AW560" s="5" t="n">
        <v>0.8110000000000001</v>
      </c>
      <c r="AX560" s="5" t="n">
        <v>0.129</v>
      </c>
      <c r="AY560" s="5" t="n">
        <v>0.162</v>
      </c>
      <c r="AZ560" s="5" t="n">
        <v>1.12</v>
      </c>
      <c r="BA560" s="5" t="n">
        <v>0.15</v>
      </c>
      <c r="BB560" s="5" t="n">
        <v>1</v>
      </c>
      <c r="BC560" s="5" t="n">
        <v>0.535</v>
      </c>
      <c r="BD560" s="5" t="n">
        <v>0.129</v>
      </c>
      <c r="BE560" s="5" t="n">
        <v>0.008999999999999999</v>
      </c>
      <c r="BF560" s="5" t="n">
        <v>0.615</v>
      </c>
      <c r="BG560" s="5" t="n">
        <v>0.15</v>
      </c>
      <c r="BH560" s="5" t="n">
        <v>1</v>
      </c>
      <c r="BI560" s="5" t="n">
        <v>0.579</v>
      </c>
      <c r="BJ560" s="5" t="n">
        <v>0.129</v>
      </c>
      <c r="BK560" s="5" t="n">
        <v>0.01</v>
      </c>
      <c r="BL560" s="5" t="n">
        <v>0.666</v>
      </c>
      <c r="BM560" s="5" t="n">
        <v>0.15</v>
      </c>
      <c r="BN560" s="5" t="n">
        <v>1</v>
      </c>
      <c r="BO560" s="5" t="n">
        <v>0</v>
      </c>
      <c r="BP560" s="5" t="n">
        <v>0</v>
      </c>
      <c r="BQ560" s="5" t="n">
        <v>0.08699999999999999</v>
      </c>
      <c r="BR560" s="5" t="n">
        <v>0</v>
      </c>
      <c r="BS560" s="5" t="n">
        <v>0.833</v>
      </c>
      <c r="BT560" s="5" t="n">
        <v>0</v>
      </c>
      <c r="BU560" s="5" t="n">
        <v>0</v>
      </c>
      <c r="BV560" s="5" t="n">
        <v>0.131</v>
      </c>
      <c r="BW560" s="5" t="n">
        <v>0.15</v>
      </c>
      <c r="BX560" s="5" t="n">
        <v>1</v>
      </c>
      <c r="BY560" s="5" t="n">
        <v>13.254</v>
      </c>
      <c r="BZ560" s="5" t="n">
        <v>0</v>
      </c>
      <c r="CA560" s="5" t="n">
        <v>13.254</v>
      </c>
      <c r="CB560" s="5" t="n">
        <v>0</v>
      </c>
      <c r="CC560" s="5" t="n">
        <v>83.248</v>
      </c>
      <c r="CD560" s="5" t="n">
        <v>7.95</v>
      </c>
      <c r="CE560" s="5" t="n">
        <v>1.383</v>
      </c>
      <c r="CF560" s="5" t="n">
        <v>95.735</v>
      </c>
      <c r="CG560" s="5" t="n">
        <v>0.15</v>
      </c>
      <c r="CH560" s="5" t="n">
        <v>1</v>
      </c>
      <c r="CI560" s="5" t="n">
        <v>0</v>
      </c>
      <c r="CJ560" s="5" t="n">
        <v>0</v>
      </c>
      <c r="CK560" s="5" t="n">
        <v>0</v>
      </c>
      <c r="CL560" s="5" t="n">
        <v>0</v>
      </c>
      <c r="CM560" s="5" t="n">
        <v>0</v>
      </c>
      <c r="CN560" s="5" t="n">
        <v>0</v>
      </c>
      <c r="CO560" s="5" t="n">
        <v>0</v>
      </c>
      <c r="CP560" s="5" t="n">
        <v>0</v>
      </c>
      <c r="CQ560" s="5" t="n">
        <v>1.348</v>
      </c>
      <c r="CR560" s="5" t="n">
        <v>0</v>
      </c>
      <c r="CS560" s="5" t="n">
        <v>11.576</v>
      </c>
      <c r="CT560" s="5" t="n">
        <v>4.861</v>
      </c>
      <c r="CU560" s="5" t="n">
        <v>11.622</v>
      </c>
    </row>
    <row r="561">
      <c r="A561" s="5" t="inlineStr">
        <is>
          <t>NAM2024</t>
        </is>
      </c>
      <c r="B561" s="5" t="inlineStr">
        <is>
          <t>NAM</t>
        </is>
      </c>
      <c r="C561" s="5" t="inlineStr">
        <is>
          <t>NAM</t>
        </is>
      </c>
      <c r="D561" s="5" t="inlineStr">
        <is>
          <t>Namibia</t>
        </is>
      </c>
      <c r="E561" s="5" t="n">
        <v>2024</v>
      </c>
      <c r="F561" s="5" t="n">
        <v>0.15</v>
      </c>
      <c r="G561" s="5" t="n">
        <v>5.575</v>
      </c>
      <c r="H561" s="5" t="n">
        <v>1.324</v>
      </c>
      <c r="I561" s="5" t="n">
        <v>0</v>
      </c>
      <c r="J561" s="5" t="n">
        <v>5.575</v>
      </c>
      <c r="K561" s="5" t="n">
        <v>0</v>
      </c>
      <c r="L561" s="5" t="n">
        <v>1</v>
      </c>
      <c r="M561" s="5" t="n">
        <v>7.124</v>
      </c>
      <c r="N561" s="5" t="n">
        <v>3.971</v>
      </c>
      <c r="O561" s="5" t="n">
        <v>0</v>
      </c>
      <c r="P561" s="5" t="n">
        <v>7.124</v>
      </c>
      <c r="Q561" s="5" t="n">
        <v>0</v>
      </c>
      <c r="R561" s="5" t="n">
        <v>1</v>
      </c>
      <c r="S561" s="5" t="n">
        <v>12.193</v>
      </c>
      <c r="T561" s="5" t="n">
        <v>7.942</v>
      </c>
      <c r="U561" s="5" t="n">
        <v>0.249</v>
      </c>
      <c r="V561" s="5" t="n">
        <v>14.022</v>
      </c>
      <c r="W561" s="5" t="n">
        <v>0.15</v>
      </c>
      <c r="X561" s="5" t="n">
        <v>1</v>
      </c>
      <c r="Y561" s="5" t="n">
        <v>11.442</v>
      </c>
      <c r="Z561" s="5" t="n">
        <v>1.546</v>
      </c>
      <c r="AA561" s="5" t="n">
        <v>0</v>
      </c>
      <c r="AB561" s="5" t="n">
        <v>11.442</v>
      </c>
      <c r="AC561" s="5" t="n">
        <v>0</v>
      </c>
      <c r="AD561" s="5" t="n">
        <v>1</v>
      </c>
      <c r="AE561" s="5" t="n">
        <v>12.766</v>
      </c>
      <c r="AF561" s="5" t="n">
        <v>2.985</v>
      </c>
      <c r="AG561" s="5" t="n">
        <v>0</v>
      </c>
      <c r="AH561" s="5" t="n">
        <v>12.766</v>
      </c>
      <c r="AI561" s="5" t="n">
        <v>0</v>
      </c>
      <c r="AJ561" s="5" t="n">
        <v>1</v>
      </c>
      <c r="AK561" s="5" t="n">
        <v>20.707</v>
      </c>
      <c r="AL561" s="5" t="n">
        <v>11.029</v>
      </c>
      <c r="AM561" s="5" t="n">
        <v>0.423</v>
      </c>
      <c r="AN561" s="5" t="n">
        <v>23.813</v>
      </c>
      <c r="AO561" s="5" t="n">
        <v>0.15</v>
      </c>
      <c r="AP561" s="5" t="n">
        <v>1</v>
      </c>
      <c r="AQ561" s="5" t="n">
        <v>0.724</v>
      </c>
      <c r="AR561" s="5" t="n">
        <v>0.132</v>
      </c>
      <c r="AS561" s="5" t="n">
        <v>0.291</v>
      </c>
      <c r="AT561" s="5" t="n">
        <v>1.168</v>
      </c>
      <c r="AU561" s="5" t="n">
        <v>0.15</v>
      </c>
      <c r="AV561" s="5" t="n">
        <v>1</v>
      </c>
      <c r="AW561" s="5" t="n">
        <v>0.75</v>
      </c>
      <c r="AX561" s="5" t="n">
        <v>0.132</v>
      </c>
      <c r="AY561" s="5" t="n">
        <v>0.246</v>
      </c>
      <c r="AZ561" s="5" t="n">
        <v>1.146</v>
      </c>
      <c r="BA561" s="5" t="n">
        <v>0.15</v>
      </c>
      <c r="BB561" s="5" t="n">
        <v>1</v>
      </c>
      <c r="BC561" s="5" t="n">
        <v>0.513</v>
      </c>
      <c r="BD561" s="5" t="n">
        <v>0.132</v>
      </c>
      <c r="BE561" s="5" t="n">
        <v>0.01</v>
      </c>
      <c r="BF561" s="5" t="n">
        <v>0.59</v>
      </c>
      <c r="BG561" s="5" t="n">
        <v>0.15</v>
      </c>
      <c r="BH561" s="5" t="n">
        <v>1</v>
      </c>
      <c r="BI561" s="5" t="n">
        <v>0.591</v>
      </c>
      <c r="BJ561" s="5" t="n">
        <v>0.132</v>
      </c>
      <c r="BK561" s="5" t="n">
        <v>0.012</v>
      </c>
      <c r="BL561" s="5" t="n">
        <v>0.68</v>
      </c>
      <c r="BM561" s="5" t="n">
        <v>0.15</v>
      </c>
      <c r="BN561" s="5" t="n">
        <v>1</v>
      </c>
      <c r="BO561" s="5" t="n">
        <v>0</v>
      </c>
      <c r="BP561" s="5" t="n">
        <v>0</v>
      </c>
      <c r="BQ561" s="5" t="n">
        <v>0.089</v>
      </c>
      <c r="BR561" s="5" t="n">
        <v>0</v>
      </c>
      <c r="BS561" s="5" t="n">
        <v>0.833</v>
      </c>
      <c r="BT561" s="5" t="n">
        <v>0</v>
      </c>
      <c r="BU561" s="5" t="n">
        <v>0</v>
      </c>
      <c r="BV561" s="5" t="n">
        <v>0.148</v>
      </c>
      <c r="BW561" s="5" t="n">
        <v>0.15</v>
      </c>
      <c r="BX561" s="5" t="n">
        <v>1</v>
      </c>
      <c r="BY561" s="5" t="n">
        <v>13.646</v>
      </c>
      <c r="BZ561" s="5" t="n">
        <v>0</v>
      </c>
      <c r="CA561" s="5" t="n">
        <v>13.646</v>
      </c>
      <c r="CB561" s="5" t="n">
        <v>0</v>
      </c>
      <c r="CC561" s="5" t="n">
        <v>82.58799999999999</v>
      </c>
      <c r="CD561" s="5" t="n">
        <v>7.95</v>
      </c>
      <c r="CE561" s="5" t="n">
        <v>1.687</v>
      </c>
      <c r="CF561" s="5" t="n">
        <v>94.976</v>
      </c>
      <c r="CG561" s="5" t="n">
        <v>0.15</v>
      </c>
      <c r="CH561" s="5" t="n">
        <v>1</v>
      </c>
      <c r="CI561" s="5" t="n">
        <v>0</v>
      </c>
      <c r="CJ561" s="5" t="n">
        <v>0</v>
      </c>
      <c r="CK561" s="5" t="n">
        <v>0</v>
      </c>
      <c r="CL561" s="5" t="n">
        <v>0</v>
      </c>
      <c r="CM561" s="5" t="n">
        <v>0</v>
      </c>
      <c r="CN561" s="5" t="n">
        <v>0</v>
      </c>
      <c r="CO561" s="5" t="n">
        <v>0</v>
      </c>
      <c r="CP561" s="5" t="n">
        <v>0</v>
      </c>
      <c r="CQ561" s="5" t="n">
        <v>1.387</v>
      </c>
      <c r="CR561" s="5" t="n">
        <v>0</v>
      </c>
      <c r="CS561" s="5" t="n">
        <v>10.168</v>
      </c>
      <c r="CT561" s="5" t="n">
        <v>4.251</v>
      </c>
      <c r="CU561" s="5" t="n">
        <v>10.168</v>
      </c>
    </row>
    <row r="562">
      <c r="A562" s="5" t="inlineStr">
        <is>
          <t>NRU2021</t>
        </is>
      </c>
      <c r="B562" s="5" t="inlineStr">
        <is>
          <t>NRU</t>
        </is>
      </c>
      <c r="C562" s="5" t="inlineStr">
        <is>
          <t>NRU</t>
        </is>
      </c>
      <c r="D562" s="5" t="inlineStr">
        <is>
          <t>Nauru</t>
        </is>
      </c>
      <c r="E562" s="5" t="n">
        <v>2021</v>
      </c>
      <c r="F562" s="5" t="n">
        <v>0</v>
      </c>
      <c r="G562" s="5" t="n">
        <v>4.747</v>
      </c>
      <c r="H562" s="5" t="n">
        <v>1.143</v>
      </c>
      <c r="I562" s="5" t="n">
        <v>0</v>
      </c>
      <c r="J562" s="5" t="n">
        <v>4.747</v>
      </c>
      <c r="K562" s="5" t="n">
        <v>0</v>
      </c>
      <c r="L562" s="5" t="n">
        <v>1</v>
      </c>
      <c r="M562" s="5" t="n">
        <v>7.964</v>
      </c>
      <c r="N562" s="5" t="n">
        <v>3.43</v>
      </c>
      <c r="O562" s="5" t="n">
        <v>0</v>
      </c>
      <c r="P562" s="5" t="n">
        <v>7.964</v>
      </c>
      <c r="Q562" s="5" t="n">
        <v>0</v>
      </c>
      <c r="R562" s="5" t="n">
        <v>1</v>
      </c>
      <c r="S562" s="5" t="n">
        <v>10.464</v>
      </c>
      <c r="T562" s="5" t="n">
        <v>6.86</v>
      </c>
      <c r="U562" s="5" t="n">
        <v>0</v>
      </c>
      <c r="V562" s="5" t="n">
        <v>10.464</v>
      </c>
      <c r="W562" s="5" t="n">
        <v>0</v>
      </c>
      <c r="X562" s="5" t="n">
        <v>1</v>
      </c>
      <c r="Y562" s="5" t="n">
        <v>10.551</v>
      </c>
      <c r="Z562" s="5" t="n">
        <v>1.302</v>
      </c>
      <c r="AA562" s="5" t="n">
        <v>0</v>
      </c>
      <c r="AB562" s="5" t="n">
        <v>10.551</v>
      </c>
      <c r="AC562" s="5" t="n">
        <v>0</v>
      </c>
      <c r="AD562" s="5" t="n">
        <v>1</v>
      </c>
      <c r="AE562" s="5" t="n">
        <v>11.694</v>
      </c>
      <c r="AF562" s="5" t="n">
        <v>2.549</v>
      </c>
      <c r="AG562" s="5" t="n">
        <v>0</v>
      </c>
      <c r="AH562" s="5" t="n">
        <v>11.694</v>
      </c>
      <c r="AI562" s="5" t="n">
        <v>0</v>
      </c>
      <c r="AJ562" s="5" t="n">
        <v>1</v>
      </c>
      <c r="AK562" s="5" t="n">
        <v>18.554</v>
      </c>
      <c r="AL562" s="5" t="n">
        <v>9.627000000000001</v>
      </c>
      <c r="AM562" s="5" t="n">
        <v>0</v>
      </c>
      <c r="AN562" s="5" t="n">
        <v>18.554</v>
      </c>
      <c r="AO562" s="5" t="n">
        <v>0</v>
      </c>
      <c r="AP562" s="5" t="n">
        <v>1</v>
      </c>
      <c r="AQ562" s="5" t="n">
        <v>0.621</v>
      </c>
      <c r="AR562" s="5" t="n">
        <v>0.114</v>
      </c>
      <c r="AS562" s="5" t="n">
        <v>0</v>
      </c>
      <c r="AT562" s="5" t="n">
        <v>0.621</v>
      </c>
      <c r="AU562" s="5" t="n">
        <v>0</v>
      </c>
      <c r="AV562" s="5" t="n">
        <v>1</v>
      </c>
      <c r="AW562" s="5" t="n">
        <v>0.593</v>
      </c>
      <c r="AX562" s="5" t="n">
        <v>0.114</v>
      </c>
      <c r="AY562" s="5" t="n">
        <v>0</v>
      </c>
      <c r="AZ562" s="5" t="n">
        <v>0.593</v>
      </c>
      <c r="BA562" s="5" t="n">
        <v>0</v>
      </c>
      <c r="BB562" s="5" t="n">
        <v>1</v>
      </c>
      <c r="BC562" s="5" t="n">
        <v>0.44</v>
      </c>
      <c r="BD562" s="5" t="n">
        <v>0.114</v>
      </c>
      <c r="BE562" s="5" t="n">
        <v>0</v>
      </c>
      <c r="BF562" s="5" t="n">
        <v>0.44</v>
      </c>
      <c r="BG562" s="5" t="n">
        <v>0</v>
      </c>
      <c r="BH562" s="5" t="n">
        <v>1</v>
      </c>
      <c r="BI562" s="5" t="n">
        <v>0.5600000000000001</v>
      </c>
      <c r="BJ562" s="5" t="n">
        <v>0.114</v>
      </c>
      <c r="BK562" s="5" t="n">
        <v>0</v>
      </c>
      <c r="BL562" s="5" t="n">
        <v>0.5600000000000001</v>
      </c>
      <c r="BM562" s="5" t="n">
        <v>0</v>
      </c>
      <c r="BN562" s="5" t="n">
        <v>1</v>
      </c>
      <c r="BO562" s="5" t="n">
        <v>0</v>
      </c>
      <c r="BP562" s="5" t="n">
        <v>0</v>
      </c>
      <c r="BQ562" s="5" t="n">
        <v>0</v>
      </c>
      <c r="BR562" s="5" t="n">
        <v>0</v>
      </c>
      <c r="BS562" s="5" t="n">
        <v>1</v>
      </c>
      <c r="BT562" s="5" t="n">
        <v>0</v>
      </c>
      <c r="BU562" s="5" t="n">
        <v>0</v>
      </c>
      <c r="BV562" s="5" t="n">
        <v>0</v>
      </c>
      <c r="BW562" s="5" t="n">
        <v>0</v>
      </c>
      <c r="BX562" s="5" t="n">
        <v>1</v>
      </c>
      <c r="BY562" s="5" t="n">
        <v>11.787</v>
      </c>
      <c r="BZ562" s="5" t="n">
        <v>0</v>
      </c>
      <c r="CA562" s="5" t="n">
        <v>11.787</v>
      </c>
      <c r="CB562" s="5" t="n">
        <v>0</v>
      </c>
      <c r="CC562" s="5" t="n">
        <v>81.69499999999999</v>
      </c>
      <c r="CD562" s="5" t="n">
        <v>7.95</v>
      </c>
      <c r="CE562" s="5" t="n">
        <v>0</v>
      </c>
      <c r="CF562" s="5" t="n">
        <v>81.69499999999999</v>
      </c>
      <c r="CG562" s="5" t="n">
        <v>0</v>
      </c>
      <c r="CH562" s="5" t="n">
        <v>1</v>
      </c>
      <c r="CI562" s="5" t="n">
        <v>0</v>
      </c>
      <c r="CJ562" s="5" t="n">
        <v>0</v>
      </c>
      <c r="CK562" s="5" t="n">
        <v>0</v>
      </c>
      <c r="CL562" s="5" t="n">
        <v>0</v>
      </c>
      <c r="CM562" s="5" t="n">
        <v>0</v>
      </c>
      <c r="CN562" s="5" t="n">
        <v>0</v>
      </c>
      <c r="CO562" s="5" t="n">
        <v>0</v>
      </c>
      <c r="CP562" s="5" t="n">
        <v>0</v>
      </c>
      <c r="CQ562" s="5" t="n">
        <v>1.198</v>
      </c>
      <c r="CR562" s="5" t="n">
        <v>0</v>
      </c>
      <c r="CS562" s="5" t="n">
        <v>4.776</v>
      </c>
      <c r="CT562" s="5" t="n">
        <v>3.604</v>
      </c>
      <c r="CU562" s="5" t="n">
        <v>9.407999999999999</v>
      </c>
    </row>
    <row r="563">
      <c r="A563" s="5" t="inlineStr">
        <is>
          <t>NRU2022</t>
        </is>
      </c>
      <c r="B563" s="5" t="inlineStr">
        <is>
          <t>NRU</t>
        </is>
      </c>
      <c r="C563" s="5" t="inlineStr">
        <is>
          <t>NRU</t>
        </is>
      </c>
      <c r="D563" s="5" t="inlineStr">
        <is>
          <t>Nauru</t>
        </is>
      </c>
      <c r="E563" s="5" t="n">
        <v>2022</v>
      </c>
      <c r="F563" s="5" t="n">
        <v>0</v>
      </c>
      <c r="G563" s="5" t="n">
        <v>8.788</v>
      </c>
      <c r="H563" s="5" t="n">
        <v>1.235</v>
      </c>
      <c r="I563" s="5" t="n">
        <v>0</v>
      </c>
      <c r="J563" s="5" t="n">
        <v>8.788</v>
      </c>
      <c r="K563" s="5" t="n">
        <v>0</v>
      </c>
      <c r="L563" s="5" t="n">
        <v>1</v>
      </c>
      <c r="M563" s="5" t="n">
        <v>9.782999999999999</v>
      </c>
      <c r="N563" s="5" t="n">
        <v>3.704</v>
      </c>
      <c r="O563" s="5" t="n">
        <v>0</v>
      </c>
      <c r="P563" s="5" t="n">
        <v>9.782999999999999</v>
      </c>
      <c r="Q563" s="5" t="n">
        <v>0</v>
      </c>
      <c r="R563" s="5" t="n">
        <v>1</v>
      </c>
      <c r="S563" s="5" t="n">
        <v>14.962</v>
      </c>
      <c r="T563" s="5" t="n">
        <v>7.408</v>
      </c>
      <c r="U563" s="5" t="n">
        <v>0</v>
      </c>
      <c r="V563" s="5" t="n">
        <v>14.962</v>
      </c>
      <c r="W563" s="5" t="n">
        <v>0</v>
      </c>
      <c r="X563" s="5" t="n">
        <v>1</v>
      </c>
      <c r="Y563" s="5" t="n">
        <v>17.332</v>
      </c>
      <c r="Z563" s="5" t="n">
        <v>2.139</v>
      </c>
      <c r="AA563" s="5" t="n">
        <v>0</v>
      </c>
      <c r="AB563" s="5" t="n">
        <v>17.332</v>
      </c>
      <c r="AC563" s="5" t="n">
        <v>0</v>
      </c>
      <c r="AD563" s="5" t="n">
        <v>1</v>
      </c>
      <c r="AE563" s="5" t="n">
        <v>18.566</v>
      </c>
      <c r="AF563" s="5" t="n">
        <v>4.048</v>
      </c>
      <c r="AG563" s="5" t="n">
        <v>0</v>
      </c>
      <c r="AH563" s="5" t="n">
        <v>18.566</v>
      </c>
      <c r="AI563" s="5" t="n">
        <v>0</v>
      </c>
      <c r="AJ563" s="5" t="n">
        <v>1</v>
      </c>
      <c r="AK563" s="5" t="n">
        <v>25.974</v>
      </c>
      <c r="AL563" s="5" t="n">
        <v>13.478</v>
      </c>
      <c r="AM563" s="5" t="n">
        <v>0</v>
      </c>
      <c r="AN563" s="5" t="n">
        <v>25.974</v>
      </c>
      <c r="AO563" s="5" t="n">
        <v>0</v>
      </c>
      <c r="AP563" s="5" t="n">
        <v>1</v>
      </c>
      <c r="AQ563" s="5" t="n">
        <v>0.847</v>
      </c>
      <c r="AR563" s="5" t="n">
        <v>0.123</v>
      </c>
      <c r="AS563" s="5" t="n">
        <v>0</v>
      </c>
      <c r="AT563" s="5" t="n">
        <v>0.847</v>
      </c>
      <c r="AU563" s="5" t="n">
        <v>0</v>
      </c>
      <c r="AV563" s="5" t="n">
        <v>1</v>
      </c>
      <c r="AW563" s="5" t="n">
        <v>0.947</v>
      </c>
      <c r="AX563" s="5" t="n">
        <v>0.123</v>
      </c>
      <c r="AY563" s="5" t="n">
        <v>0</v>
      </c>
      <c r="AZ563" s="5" t="n">
        <v>0.947</v>
      </c>
      <c r="BA563" s="5" t="n">
        <v>0</v>
      </c>
      <c r="BB563" s="5" t="n">
        <v>1</v>
      </c>
      <c r="BC563" s="5" t="n">
        <v>0.589</v>
      </c>
      <c r="BD563" s="5" t="n">
        <v>0.123</v>
      </c>
      <c r="BE563" s="5" t="n">
        <v>0</v>
      </c>
      <c r="BF563" s="5" t="n">
        <v>0.589</v>
      </c>
      <c r="BG563" s="5" t="n">
        <v>0</v>
      </c>
      <c r="BH563" s="5" t="n">
        <v>1</v>
      </c>
      <c r="BI563" s="5" t="n">
        <v>0.6889999999999999</v>
      </c>
      <c r="BJ563" s="5" t="n">
        <v>0.123</v>
      </c>
      <c r="BK563" s="5" t="n">
        <v>0</v>
      </c>
      <c r="BL563" s="5" t="n">
        <v>0.6889999999999999</v>
      </c>
      <c r="BM563" s="5" t="n">
        <v>0</v>
      </c>
      <c r="BN563" s="5" t="n">
        <v>1</v>
      </c>
      <c r="BO563" s="5" t="n">
        <v>0</v>
      </c>
      <c r="BP563" s="5" t="n">
        <v>0</v>
      </c>
      <c r="BQ563" s="5" t="n">
        <v>0</v>
      </c>
      <c r="BR563" s="5" t="n">
        <v>0</v>
      </c>
      <c r="BS563" s="5" t="n">
        <v>1</v>
      </c>
      <c r="BT563" s="5" t="n">
        <v>0</v>
      </c>
      <c r="BU563" s="5" t="n">
        <v>0</v>
      </c>
      <c r="BV563" s="5" t="n">
        <v>0</v>
      </c>
      <c r="BW563" s="5" t="n">
        <v>0</v>
      </c>
      <c r="BX563" s="5" t="n">
        <v>1</v>
      </c>
      <c r="BY563" s="5" t="n">
        <v>12.729</v>
      </c>
      <c r="BZ563" s="5" t="n">
        <v>0</v>
      </c>
      <c r="CA563" s="5" t="n">
        <v>12.729</v>
      </c>
      <c r="CB563" s="5" t="n">
        <v>0</v>
      </c>
      <c r="CC563" s="5" t="n">
        <v>102.477</v>
      </c>
      <c r="CD563" s="5" t="n">
        <v>7.95</v>
      </c>
      <c r="CE563" s="5" t="n">
        <v>0</v>
      </c>
      <c r="CF563" s="5" t="n">
        <v>102.477</v>
      </c>
      <c r="CG563" s="5" t="n">
        <v>0</v>
      </c>
      <c r="CH563" s="5" t="n">
        <v>1</v>
      </c>
      <c r="CI563" s="5" t="n">
        <v>0</v>
      </c>
      <c r="CJ563" s="5" t="n">
        <v>0</v>
      </c>
      <c r="CK563" s="5" t="n">
        <v>0</v>
      </c>
      <c r="CL563" s="5" t="n">
        <v>0</v>
      </c>
      <c r="CM563" s="5" t="n">
        <v>0</v>
      </c>
      <c r="CN563" s="5" t="n">
        <v>0</v>
      </c>
      <c r="CO563" s="5" t="n">
        <v>0</v>
      </c>
      <c r="CP563" s="5" t="n">
        <v>0</v>
      </c>
      <c r="CQ563" s="5" t="n">
        <v>1.294</v>
      </c>
      <c r="CR563" s="5" t="n">
        <v>0</v>
      </c>
      <c r="CS563" s="5" t="n">
        <v>5.158</v>
      </c>
      <c r="CT563" s="5" t="n">
        <v>7.554</v>
      </c>
      <c r="CU563" s="5" t="n">
        <v>16.097</v>
      </c>
    </row>
    <row r="564">
      <c r="A564" s="5" t="inlineStr">
        <is>
          <t>NRU2023</t>
        </is>
      </c>
      <c r="B564" s="5" t="inlineStr">
        <is>
          <t>NRU</t>
        </is>
      </c>
      <c r="C564" s="5" t="inlineStr">
        <is>
          <t>NRU</t>
        </is>
      </c>
      <c r="D564" s="5" t="inlineStr">
        <is>
          <t>Nauru</t>
        </is>
      </c>
      <c r="E564" s="5" t="n">
        <v>2023</v>
      </c>
      <c r="F564" s="5" t="n">
        <v>0</v>
      </c>
      <c r="G564" s="5" t="n">
        <v>5.77</v>
      </c>
      <c r="H564" s="5" t="n">
        <v>1.286</v>
      </c>
      <c r="I564" s="5" t="n">
        <v>0</v>
      </c>
      <c r="J564" s="5" t="n">
        <v>5.77</v>
      </c>
      <c r="K564" s="5" t="n">
        <v>0</v>
      </c>
      <c r="L564" s="5" t="n">
        <v>1</v>
      </c>
      <c r="M564" s="5" t="n">
        <v>7.886</v>
      </c>
      <c r="N564" s="5" t="n">
        <v>3.857</v>
      </c>
      <c r="O564" s="5" t="n">
        <v>0</v>
      </c>
      <c r="P564" s="5" t="n">
        <v>7.886</v>
      </c>
      <c r="Q564" s="5" t="n">
        <v>0</v>
      </c>
      <c r="R564" s="5" t="n">
        <v>1</v>
      </c>
      <c r="S564" s="5" t="n">
        <v>12.198</v>
      </c>
      <c r="T564" s="5" t="n">
        <v>7.714</v>
      </c>
      <c r="U564" s="5" t="n">
        <v>0</v>
      </c>
      <c r="V564" s="5" t="n">
        <v>12.198</v>
      </c>
      <c r="W564" s="5" t="n">
        <v>0</v>
      </c>
      <c r="X564" s="5" t="n">
        <v>1</v>
      </c>
      <c r="Y564" s="5" t="n">
        <v>13.814</v>
      </c>
      <c r="Z564" s="5" t="n">
        <v>1.705</v>
      </c>
      <c r="AA564" s="5" t="n">
        <v>0</v>
      </c>
      <c r="AB564" s="5" t="n">
        <v>13.814</v>
      </c>
      <c r="AC564" s="5" t="n">
        <v>0</v>
      </c>
      <c r="AD564" s="5" t="n">
        <v>1</v>
      </c>
      <c r="AE564" s="5" t="n">
        <v>15.1</v>
      </c>
      <c r="AF564" s="5" t="n">
        <v>3.292</v>
      </c>
      <c r="AG564" s="5" t="n">
        <v>0</v>
      </c>
      <c r="AH564" s="5" t="n">
        <v>15.1</v>
      </c>
      <c r="AI564" s="5" t="n">
        <v>0</v>
      </c>
      <c r="AJ564" s="5" t="n">
        <v>1</v>
      </c>
      <c r="AK564" s="5" t="n">
        <v>22.814</v>
      </c>
      <c r="AL564" s="5" t="n">
        <v>11.838</v>
      </c>
      <c r="AM564" s="5" t="n">
        <v>0</v>
      </c>
      <c r="AN564" s="5" t="n">
        <v>22.814</v>
      </c>
      <c r="AO564" s="5" t="n">
        <v>0</v>
      </c>
      <c r="AP564" s="5" t="n">
        <v>1</v>
      </c>
      <c r="AQ564" s="5" t="n">
        <v>0.749</v>
      </c>
      <c r="AR564" s="5" t="n">
        <v>0.129</v>
      </c>
      <c r="AS564" s="5" t="n">
        <v>0</v>
      </c>
      <c r="AT564" s="5" t="n">
        <v>0.749</v>
      </c>
      <c r="AU564" s="5" t="n">
        <v>0</v>
      </c>
      <c r="AV564" s="5" t="n">
        <v>1</v>
      </c>
      <c r="AW564" s="5" t="n">
        <v>0.783</v>
      </c>
      <c r="AX564" s="5" t="n">
        <v>0.129</v>
      </c>
      <c r="AY564" s="5" t="n">
        <v>0</v>
      </c>
      <c r="AZ564" s="5" t="n">
        <v>0.783</v>
      </c>
      <c r="BA564" s="5" t="n">
        <v>0</v>
      </c>
      <c r="BB564" s="5" t="n">
        <v>1</v>
      </c>
      <c r="BC564" s="5" t="n">
        <v>0.527</v>
      </c>
      <c r="BD564" s="5" t="n">
        <v>0.129</v>
      </c>
      <c r="BE564" s="5" t="n">
        <v>0</v>
      </c>
      <c r="BF564" s="5" t="n">
        <v>0.527</v>
      </c>
      <c r="BG564" s="5" t="n">
        <v>0</v>
      </c>
      <c r="BH564" s="5" t="n">
        <v>1</v>
      </c>
      <c r="BI564" s="5" t="n">
        <v>0.64</v>
      </c>
      <c r="BJ564" s="5" t="n">
        <v>0.129</v>
      </c>
      <c r="BK564" s="5" t="n">
        <v>0</v>
      </c>
      <c r="BL564" s="5" t="n">
        <v>0.64</v>
      </c>
      <c r="BM564" s="5" t="n">
        <v>0</v>
      </c>
      <c r="BN564" s="5" t="n">
        <v>1</v>
      </c>
      <c r="BO564" s="5" t="n">
        <v>0</v>
      </c>
      <c r="BP564" s="5" t="n">
        <v>0</v>
      </c>
      <c r="BQ564" s="5" t="n">
        <v>0</v>
      </c>
      <c r="BR564" s="5" t="n">
        <v>0</v>
      </c>
      <c r="BS564" s="5" t="n">
        <v>1</v>
      </c>
      <c r="BT564" s="5" t="n">
        <v>0</v>
      </c>
      <c r="BU564" s="5" t="n">
        <v>0</v>
      </c>
      <c r="BV564" s="5" t="n">
        <v>0</v>
      </c>
      <c r="BW564" s="5" t="n">
        <v>0</v>
      </c>
      <c r="BX564" s="5" t="n">
        <v>1</v>
      </c>
      <c r="BY564" s="5" t="n">
        <v>13.254</v>
      </c>
      <c r="BZ564" s="5" t="n">
        <v>0</v>
      </c>
      <c r="CA564" s="5" t="n">
        <v>13.254</v>
      </c>
      <c r="CB564" s="5" t="n">
        <v>0</v>
      </c>
      <c r="CC564" s="5" t="n">
        <v>87.07899999999999</v>
      </c>
      <c r="CD564" s="5" t="n">
        <v>7.95</v>
      </c>
      <c r="CE564" s="5" t="n">
        <v>0</v>
      </c>
      <c r="CF564" s="5" t="n">
        <v>87.07899999999999</v>
      </c>
      <c r="CG564" s="5" t="n">
        <v>0</v>
      </c>
      <c r="CH564" s="5" t="n">
        <v>1</v>
      </c>
      <c r="CI564" s="5" t="n">
        <v>0</v>
      </c>
      <c r="CJ564" s="5" t="n">
        <v>0</v>
      </c>
      <c r="CK564" s="5" t="n">
        <v>0</v>
      </c>
      <c r="CL564" s="5" t="n">
        <v>0</v>
      </c>
      <c r="CM564" s="5" t="n">
        <v>0</v>
      </c>
      <c r="CN564" s="5" t="n">
        <v>0</v>
      </c>
      <c r="CO564" s="5" t="n">
        <v>0</v>
      </c>
      <c r="CP564" s="5" t="n">
        <v>0</v>
      </c>
      <c r="CQ564" s="5" t="n">
        <v>1.348</v>
      </c>
      <c r="CR564" s="5" t="n">
        <v>0</v>
      </c>
      <c r="CS564" s="5" t="n">
        <v>5.37</v>
      </c>
      <c r="CT564" s="5" t="n">
        <v>4.484</v>
      </c>
      <c r="CU564" s="5" t="n">
        <v>12.529</v>
      </c>
    </row>
    <row r="565">
      <c r="A565" s="5" t="inlineStr">
        <is>
          <t>NRU2024</t>
        </is>
      </c>
      <c r="B565" s="5" t="inlineStr">
        <is>
          <t>NRU</t>
        </is>
      </c>
      <c r="C565" s="5" t="inlineStr">
        <is>
          <t>NRU</t>
        </is>
      </c>
      <c r="D565" s="5" t="inlineStr">
        <is>
          <t>Nauru</t>
        </is>
      </c>
      <c r="E565" s="5" t="n">
        <v>2024</v>
      </c>
      <c r="F565" s="5" t="n">
        <v>0</v>
      </c>
      <c r="G565" s="5" t="n">
        <v>4.833</v>
      </c>
      <c r="H565" s="5" t="n">
        <v>1.324</v>
      </c>
      <c r="I565" s="5" t="n">
        <v>0</v>
      </c>
      <c r="J565" s="5" t="n">
        <v>4.833</v>
      </c>
      <c r="K565" s="5" t="n">
        <v>0</v>
      </c>
      <c r="L565" s="5" t="n">
        <v>1</v>
      </c>
      <c r="M565" s="5" t="n">
        <v>7.124</v>
      </c>
      <c r="N565" s="5" t="n">
        <v>3.971</v>
      </c>
      <c r="O565" s="5" t="n">
        <v>0</v>
      </c>
      <c r="P565" s="5" t="n">
        <v>7.124</v>
      </c>
      <c r="Q565" s="5" t="n">
        <v>0</v>
      </c>
      <c r="R565" s="5" t="n">
        <v>1</v>
      </c>
      <c r="S565" s="5" t="n">
        <v>11.451</v>
      </c>
      <c r="T565" s="5" t="n">
        <v>7.942</v>
      </c>
      <c r="U565" s="5" t="n">
        <v>0</v>
      </c>
      <c r="V565" s="5" t="n">
        <v>11.451</v>
      </c>
      <c r="W565" s="5" t="n">
        <v>0</v>
      </c>
      <c r="X565" s="5" t="n">
        <v>1</v>
      </c>
      <c r="Y565" s="5" t="n">
        <v>12.219</v>
      </c>
      <c r="Z565" s="5" t="n">
        <v>1.508</v>
      </c>
      <c r="AA565" s="5" t="n">
        <v>0</v>
      </c>
      <c r="AB565" s="5" t="n">
        <v>12.219</v>
      </c>
      <c r="AC565" s="5" t="n">
        <v>0</v>
      </c>
      <c r="AD565" s="5" t="n">
        <v>1</v>
      </c>
      <c r="AE565" s="5" t="n">
        <v>13.543</v>
      </c>
      <c r="AF565" s="5" t="n">
        <v>2.952</v>
      </c>
      <c r="AG565" s="5" t="n">
        <v>0</v>
      </c>
      <c r="AH565" s="5" t="n">
        <v>13.543</v>
      </c>
      <c r="AI565" s="5" t="n">
        <v>0</v>
      </c>
      <c r="AJ565" s="5" t="n">
        <v>1</v>
      </c>
      <c r="AK565" s="5" t="n">
        <v>21.484</v>
      </c>
      <c r="AL565" s="5" t="n">
        <v>11.148</v>
      </c>
      <c r="AM565" s="5" t="n">
        <v>0</v>
      </c>
      <c r="AN565" s="5" t="n">
        <v>21.484</v>
      </c>
      <c r="AO565" s="5" t="n">
        <v>0</v>
      </c>
      <c r="AP565" s="5" t="n">
        <v>1</v>
      </c>
      <c r="AQ565" s="5" t="n">
        <v>0.72</v>
      </c>
      <c r="AR565" s="5" t="n">
        <v>0.132</v>
      </c>
      <c r="AS565" s="5" t="n">
        <v>0</v>
      </c>
      <c r="AT565" s="5" t="n">
        <v>0.72</v>
      </c>
      <c r="AU565" s="5" t="n">
        <v>0</v>
      </c>
      <c r="AV565" s="5" t="n">
        <v>1</v>
      </c>
      <c r="AW565" s="5" t="n">
        <v>0.734</v>
      </c>
      <c r="AX565" s="5" t="n">
        <v>0.132</v>
      </c>
      <c r="AY565" s="5" t="n">
        <v>0</v>
      </c>
      <c r="AZ565" s="5" t="n">
        <v>0.734</v>
      </c>
      <c r="BA565" s="5" t="n">
        <v>0</v>
      </c>
      <c r="BB565" s="5" t="n">
        <v>1</v>
      </c>
      <c r="BC565" s="5" t="n">
        <v>0.51</v>
      </c>
      <c r="BD565" s="5" t="n">
        <v>0.132</v>
      </c>
      <c r="BE565" s="5" t="n">
        <v>0</v>
      </c>
      <c r="BF565" s="5" t="n">
        <v>0.51</v>
      </c>
      <c r="BG565" s="5" t="n">
        <v>0</v>
      </c>
      <c r="BH565" s="5" t="n">
        <v>1</v>
      </c>
      <c r="BI565" s="5" t="n">
        <v>0.652</v>
      </c>
      <c r="BJ565" s="5" t="n">
        <v>0.132</v>
      </c>
      <c r="BK565" s="5" t="n">
        <v>0</v>
      </c>
      <c r="BL565" s="5" t="n">
        <v>0.652</v>
      </c>
      <c r="BM565" s="5" t="n">
        <v>0</v>
      </c>
      <c r="BN565" s="5" t="n">
        <v>1</v>
      </c>
      <c r="BO565" s="5" t="n">
        <v>0</v>
      </c>
      <c r="BP565" s="5" t="n">
        <v>0</v>
      </c>
      <c r="BQ565" s="5" t="n">
        <v>0</v>
      </c>
      <c r="BR565" s="5" t="n">
        <v>0</v>
      </c>
      <c r="BS565" s="5" t="n">
        <v>1</v>
      </c>
      <c r="BT565" s="5" t="n">
        <v>0</v>
      </c>
      <c r="BU565" s="5" t="n">
        <v>0</v>
      </c>
      <c r="BV565" s="5" t="n">
        <v>0</v>
      </c>
      <c r="BW565" s="5" t="n">
        <v>0</v>
      </c>
      <c r="BX565" s="5" t="n">
        <v>1</v>
      </c>
      <c r="BY565" s="5" t="n">
        <v>13.646</v>
      </c>
      <c r="BZ565" s="5" t="n">
        <v>0</v>
      </c>
      <c r="CA565" s="5" t="n">
        <v>13.646</v>
      </c>
      <c r="CB565" s="5" t="n">
        <v>0</v>
      </c>
      <c r="CC565" s="5" t="n">
        <v>86.38500000000001</v>
      </c>
      <c r="CD565" s="5" t="n">
        <v>7.95</v>
      </c>
      <c r="CE565" s="5" t="n">
        <v>0</v>
      </c>
      <c r="CF565" s="5" t="n">
        <v>86.38500000000001</v>
      </c>
      <c r="CG565" s="5" t="n">
        <v>0</v>
      </c>
      <c r="CH565" s="5" t="n">
        <v>1</v>
      </c>
      <c r="CI565" s="5" t="n">
        <v>0</v>
      </c>
      <c r="CJ565" s="5" t="n">
        <v>0</v>
      </c>
      <c r="CK565" s="5" t="n">
        <v>0</v>
      </c>
      <c r="CL565" s="5" t="n">
        <v>0</v>
      </c>
      <c r="CM565" s="5" t="n">
        <v>0</v>
      </c>
      <c r="CN565" s="5" t="n">
        <v>0</v>
      </c>
      <c r="CO565" s="5" t="n">
        <v>0</v>
      </c>
      <c r="CP565" s="5" t="n">
        <v>0</v>
      </c>
      <c r="CQ565" s="5" t="n">
        <v>1.387</v>
      </c>
      <c r="CR565" s="5" t="n">
        <v>0</v>
      </c>
      <c r="CS565" s="5" t="n">
        <v>5.529</v>
      </c>
      <c r="CT565" s="5" t="n">
        <v>3.509</v>
      </c>
      <c r="CU565" s="5" t="n">
        <v>10.896</v>
      </c>
    </row>
    <row r="566">
      <c r="A566" s="5" t="inlineStr">
        <is>
          <t>NPL2021</t>
        </is>
      </c>
      <c r="B566" s="5" t="inlineStr">
        <is>
          <t>NPL</t>
        </is>
      </c>
      <c r="C566" s="5" t="inlineStr">
        <is>
          <t>NPL</t>
        </is>
      </c>
      <c r="D566" s="5" t="inlineStr">
        <is>
          <t>Nepal</t>
        </is>
      </c>
      <c r="E566" s="5" t="n">
        <v>2021</v>
      </c>
      <c r="F566" s="5" t="n">
        <v>0.13</v>
      </c>
      <c r="G566" s="5" t="n">
        <v>4.736</v>
      </c>
      <c r="H566" s="5" t="n">
        <v>1.141</v>
      </c>
      <c r="I566" s="5" t="n">
        <v>0</v>
      </c>
      <c r="J566" s="5" t="n">
        <v>4.736</v>
      </c>
      <c r="K566" s="5" t="n">
        <v>0</v>
      </c>
      <c r="L566" s="5" t="n">
        <v>1</v>
      </c>
      <c r="M566" s="5" t="n">
        <v>7.946</v>
      </c>
      <c r="N566" s="5" t="n">
        <v>3.424</v>
      </c>
      <c r="O566" s="5" t="n">
        <v>0</v>
      </c>
      <c r="P566" s="5" t="n">
        <v>7.946</v>
      </c>
      <c r="Q566" s="5" t="n">
        <v>0</v>
      </c>
      <c r="R566" s="5" t="n">
        <v>1</v>
      </c>
      <c r="S566" s="5" t="n">
        <v>10.442</v>
      </c>
      <c r="T566" s="5" t="n">
        <v>6.847</v>
      </c>
      <c r="U566" s="5" t="n">
        <v>0</v>
      </c>
      <c r="V566" s="5" t="n">
        <v>11.8</v>
      </c>
      <c r="W566" s="5" t="n">
        <v>0.13</v>
      </c>
      <c r="X566" s="5" t="n">
        <v>1</v>
      </c>
      <c r="Y566" s="5" t="n">
        <v>5.581</v>
      </c>
      <c r="Z566" s="5" t="n">
        <v>0.652</v>
      </c>
      <c r="AA566" s="5" t="n">
        <v>0</v>
      </c>
      <c r="AB566" s="5" t="n">
        <v>5.581</v>
      </c>
      <c r="AC566" s="5" t="n">
        <v>0</v>
      </c>
      <c r="AD566" s="5" t="n">
        <v>1</v>
      </c>
      <c r="AE566" s="5" t="n">
        <v>6.724</v>
      </c>
      <c r="AF566" s="5" t="n">
        <v>1.39</v>
      </c>
      <c r="AG566" s="5" t="n">
        <v>0</v>
      </c>
      <c r="AH566" s="5" t="n">
        <v>6.724</v>
      </c>
      <c r="AI566" s="5" t="n">
        <v>0</v>
      </c>
      <c r="AJ566" s="5" t="n">
        <v>1</v>
      </c>
      <c r="AK566" s="5" t="n">
        <v>13.584</v>
      </c>
      <c r="AL566" s="5" t="n">
        <v>6.77</v>
      </c>
      <c r="AM566" s="5" t="n">
        <v>0</v>
      </c>
      <c r="AN566" s="5" t="n">
        <v>15.35</v>
      </c>
      <c r="AO566" s="5" t="n">
        <v>0.13</v>
      </c>
      <c r="AP566" s="5" t="n">
        <v>1</v>
      </c>
      <c r="AQ566" s="5" t="n">
        <v>0.621</v>
      </c>
      <c r="AR566" s="5" t="n">
        <v>0.114</v>
      </c>
      <c r="AS566" s="5" t="n">
        <v>0.315</v>
      </c>
      <c r="AT566" s="5" t="n">
        <v>1.057</v>
      </c>
      <c r="AU566" s="5" t="n">
        <v>0.13</v>
      </c>
      <c r="AV566" s="5" t="n">
        <v>1</v>
      </c>
      <c r="AW566" s="5" t="n">
        <v>0.593</v>
      </c>
      <c r="AX566" s="5" t="n">
        <v>0.114</v>
      </c>
      <c r="AY566" s="5" t="n">
        <v>0.219</v>
      </c>
      <c r="AZ566" s="5" t="n">
        <v>0.918</v>
      </c>
      <c r="BA566" s="5" t="n">
        <v>0.13</v>
      </c>
      <c r="BB566" s="5" t="n">
        <v>1</v>
      </c>
      <c r="BC566" s="5" t="n">
        <v>0.44</v>
      </c>
      <c r="BD566" s="5" t="n">
        <v>0.114</v>
      </c>
      <c r="BE566" s="5" t="n">
        <v>0.327</v>
      </c>
      <c r="BF566" s="5" t="n">
        <v>0.867</v>
      </c>
      <c r="BG566" s="5" t="n">
        <v>0.13</v>
      </c>
      <c r="BH566" s="5" t="n">
        <v>1</v>
      </c>
      <c r="BI566" s="5" t="n">
        <v>0.5600000000000001</v>
      </c>
      <c r="BJ566" s="5" t="n">
        <v>0.114</v>
      </c>
      <c r="BK566" s="5" t="n">
        <v>0.363</v>
      </c>
      <c r="BL566" s="5" t="n">
        <v>0.923</v>
      </c>
      <c r="BM566" s="5" t="n">
        <v>0</v>
      </c>
      <c r="BN566" s="5" t="n">
        <v>1</v>
      </c>
      <c r="BO566" s="5" t="n">
        <v>0</v>
      </c>
      <c r="BP566" s="5" t="n">
        <v>0</v>
      </c>
      <c r="BQ566" s="5" t="n">
        <v>0.07099999999999999</v>
      </c>
      <c r="BR566" s="5" t="n">
        <v>0</v>
      </c>
      <c r="BS566" s="5" t="n">
        <v>0.833</v>
      </c>
      <c r="BT566" s="5" t="n">
        <v>0</v>
      </c>
      <c r="BU566" s="5" t="n">
        <v>0</v>
      </c>
      <c r="BV566" s="5" t="n">
        <v>0.08</v>
      </c>
      <c r="BW566" s="5" t="n">
        <v>0</v>
      </c>
      <c r="BX566" s="5" t="n">
        <v>0.833</v>
      </c>
      <c r="BY566" s="5" t="n">
        <v>11.787</v>
      </c>
      <c r="BZ566" s="5" t="n">
        <v>0</v>
      </c>
      <c r="CA566" s="5" t="n">
        <v>11.787</v>
      </c>
      <c r="CB566" s="5" t="n">
        <v>0</v>
      </c>
      <c r="CC566" s="5" t="n">
        <v>81.69499999999999</v>
      </c>
      <c r="CD566" s="5" t="n">
        <v>7.95</v>
      </c>
      <c r="CE566" s="5" t="n">
        <v>46.545</v>
      </c>
      <c r="CF566" s="5" t="n">
        <v>144.912</v>
      </c>
      <c r="CG566" s="5" t="n">
        <v>0.13</v>
      </c>
      <c r="CH566" s="5" t="n">
        <v>1</v>
      </c>
      <c r="CI566" s="5" t="n">
        <v>0</v>
      </c>
      <c r="CJ566" s="5" t="n">
        <v>0</v>
      </c>
      <c r="CK566" s="5" t="n">
        <v>0</v>
      </c>
      <c r="CL566" s="5" t="n">
        <v>0</v>
      </c>
      <c r="CM566" s="5" t="n">
        <v>0</v>
      </c>
      <c r="CN566" s="5" t="n">
        <v>0</v>
      </c>
      <c r="CO566" s="5" t="n">
        <v>0</v>
      </c>
      <c r="CP566" s="5" t="n">
        <v>0.004</v>
      </c>
      <c r="CQ566" s="5" t="n">
        <v>1.198</v>
      </c>
      <c r="CR566" s="5" t="n">
        <v>0</v>
      </c>
      <c r="CS566" s="5" t="n">
        <v>4.776</v>
      </c>
      <c r="CT566" s="5" t="n">
        <v>3.604</v>
      </c>
      <c r="CU566" s="5" t="n">
        <v>16.843</v>
      </c>
    </row>
    <row r="567">
      <c r="A567" s="5" t="inlineStr">
        <is>
          <t>NPL2022</t>
        </is>
      </c>
      <c r="B567" s="5" t="inlineStr">
        <is>
          <t>NPL</t>
        </is>
      </c>
      <c r="C567" s="5" t="inlineStr">
        <is>
          <t>NPL</t>
        </is>
      </c>
      <c r="D567" s="5" t="inlineStr">
        <is>
          <t>Nepal</t>
        </is>
      </c>
      <c r="E567" s="5" t="n">
        <v>2022</v>
      </c>
      <c r="F567" s="5" t="n">
        <v>0.13</v>
      </c>
      <c r="G567" s="5" t="n">
        <v>8.75</v>
      </c>
      <c r="H567" s="5" t="n">
        <v>1.231</v>
      </c>
      <c r="I567" s="5" t="n">
        <v>0</v>
      </c>
      <c r="J567" s="5" t="n">
        <v>8.75</v>
      </c>
      <c r="K567" s="5" t="n">
        <v>0</v>
      </c>
      <c r="L567" s="5" t="n">
        <v>1</v>
      </c>
      <c r="M567" s="5" t="n">
        <v>9.746</v>
      </c>
      <c r="N567" s="5" t="n">
        <v>3.694</v>
      </c>
      <c r="O567" s="5" t="n">
        <v>0</v>
      </c>
      <c r="P567" s="5" t="n">
        <v>9.746</v>
      </c>
      <c r="Q567" s="5" t="n">
        <v>0</v>
      </c>
      <c r="R567" s="5" t="n">
        <v>1</v>
      </c>
      <c r="S567" s="5" t="n">
        <v>14.906</v>
      </c>
      <c r="T567" s="5" t="n">
        <v>7.387</v>
      </c>
      <c r="U567" s="5" t="n">
        <v>0.143</v>
      </c>
      <c r="V567" s="5" t="n">
        <v>16.844</v>
      </c>
      <c r="W567" s="5" t="n">
        <v>0.13</v>
      </c>
      <c r="X567" s="5" t="n">
        <v>1</v>
      </c>
      <c r="Y567" s="5" t="n">
        <v>6.027</v>
      </c>
      <c r="Z567" s="5" t="n">
        <v>0.704</v>
      </c>
      <c r="AA567" s="5" t="n">
        <v>0</v>
      </c>
      <c r="AB567" s="5" t="n">
        <v>6.027</v>
      </c>
      <c r="AC567" s="5" t="n">
        <v>0</v>
      </c>
      <c r="AD567" s="5" t="n">
        <v>1</v>
      </c>
      <c r="AE567" s="5" t="n">
        <v>7.262</v>
      </c>
      <c r="AF567" s="5" t="n">
        <v>1.502</v>
      </c>
      <c r="AG567" s="5" t="n">
        <v>0</v>
      </c>
      <c r="AH567" s="5" t="n">
        <v>7.262</v>
      </c>
      <c r="AI567" s="5" t="n">
        <v>0</v>
      </c>
      <c r="AJ567" s="5" t="n">
        <v>1</v>
      </c>
      <c r="AK567" s="5" t="n">
        <v>14.67</v>
      </c>
      <c r="AL567" s="5" t="n">
        <v>7.311</v>
      </c>
      <c r="AM567" s="5" t="n">
        <v>0.141</v>
      </c>
      <c r="AN567" s="5" t="n">
        <v>16.577</v>
      </c>
      <c r="AO567" s="5" t="n">
        <v>0.13</v>
      </c>
      <c r="AP567" s="5" t="n">
        <v>1</v>
      </c>
      <c r="AQ567" s="5" t="n">
        <v>0.847</v>
      </c>
      <c r="AR567" s="5" t="n">
        <v>0.123</v>
      </c>
      <c r="AS567" s="5" t="n">
        <v>0.349</v>
      </c>
      <c r="AT567" s="5" t="n">
        <v>1.351</v>
      </c>
      <c r="AU567" s="5" t="n">
        <v>0.13</v>
      </c>
      <c r="AV567" s="5" t="n">
        <v>1</v>
      </c>
      <c r="AW567" s="5" t="n">
        <v>0.947</v>
      </c>
      <c r="AX567" s="5" t="n">
        <v>0.123</v>
      </c>
      <c r="AY567" s="5" t="n">
        <v>0.178</v>
      </c>
      <c r="AZ567" s="5" t="n">
        <v>1.271</v>
      </c>
      <c r="BA567" s="5" t="n">
        <v>0.13</v>
      </c>
      <c r="BB567" s="5" t="n">
        <v>1</v>
      </c>
      <c r="BC567" s="5" t="n">
        <v>0.589</v>
      </c>
      <c r="BD567" s="5" t="n">
        <v>0.123</v>
      </c>
      <c r="BE567" s="5" t="n">
        <v>0.231</v>
      </c>
      <c r="BF567" s="5" t="n">
        <v>0.926</v>
      </c>
      <c r="BG567" s="5" t="n">
        <v>0.13</v>
      </c>
      <c r="BH567" s="5" t="n">
        <v>1</v>
      </c>
      <c r="BI567" s="5" t="n">
        <v>0.6889999999999999</v>
      </c>
      <c r="BJ567" s="5" t="n">
        <v>0.123</v>
      </c>
      <c r="BK567" s="5" t="n">
        <v>0.585</v>
      </c>
      <c r="BL567" s="5" t="n">
        <v>1.274</v>
      </c>
      <c r="BM567" s="5" t="n">
        <v>0</v>
      </c>
      <c r="BN567" s="5" t="n">
        <v>1</v>
      </c>
      <c r="BO567" s="5" t="n">
        <v>0</v>
      </c>
      <c r="BP567" s="5" t="n">
        <v>0</v>
      </c>
      <c r="BQ567" s="5" t="n">
        <v>0.073</v>
      </c>
      <c r="BR567" s="5" t="n">
        <v>0</v>
      </c>
      <c r="BS567" s="5" t="n">
        <v>0.833</v>
      </c>
      <c r="BT567" s="5" t="n">
        <v>0</v>
      </c>
      <c r="BU567" s="5" t="n">
        <v>0</v>
      </c>
      <c r="BV567" s="5" t="n">
        <v>0.046</v>
      </c>
      <c r="BW567" s="5" t="n">
        <v>0</v>
      </c>
      <c r="BX567" s="5" t="n">
        <v>0.833</v>
      </c>
      <c r="BY567" s="5" t="n">
        <v>12.729</v>
      </c>
      <c r="BZ567" s="5" t="n">
        <v>0</v>
      </c>
      <c r="CA567" s="5" t="n">
        <v>12.729</v>
      </c>
      <c r="CB567" s="5" t="n">
        <v>0</v>
      </c>
      <c r="CC567" s="5" t="n">
        <v>102.477</v>
      </c>
      <c r="CD567" s="5" t="n">
        <v>7.95</v>
      </c>
      <c r="CE567" s="5" t="n">
        <v>75.86499999999999</v>
      </c>
      <c r="CF567" s="5" t="n">
        <v>201.526</v>
      </c>
      <c r="CG567" s="5" t="n">
        <v>0.13</v>
      </c>
      <c r="CH567" s="5" t="n">
        <v>1</v>
      </c>
      <c r="CI567" s="5" t="n">
        <v>0</v>
      </c>
      <c r="CJ567" s="5" t="n">
        <v>0</v>
      </c>
      <c r="CK567" s="5" t="n">
        <v>0</v>
      </c>
      <c r="CL567" s="5" t="n">
        <v>0</v>
      </c>
      <c r="CM567" s="5" t="n">
        <v>0</v>
      </c>
      <c r="CN567" s="5" t="n">
        <v>0</v>
      </c>
      <c r="CO567" s="5" t="n">
        <v>0</v>
      </c>
      <c r="CP567" s="5" t="n">
        <v>0.006</v>
      </c>
      <c r="CQ567" s="5" t="n">
        <v>1.294</v>
      </c>
      <c r="CR567" s="5" t="n">
        <v>0</v>
      </c>
      <c r="CS567" s="5" t="n">
        <v>5.158</v>
      </c>
      <c r="CT567" s="5" t="n">
        <v>7.554</v>
      </c>
      <c r="CU567" s="5" t="n">
        <v>30.149</v>
      </c>
    </row>
    <row r="568">
      <c r="A568" s="5" t="inlineStr">
        <is>
          <t>NPL2023</t>
        </is>
      </c>
      <c r="B568" s="5" t="inlineStr">
        <is>
          <t>NPL</t>
        </is>
      </c>
      <c r="C568" s="5" t="inlineStr">
        <is>
          <t>NPL</t>
        </is>
      </c>
      <c r="D568" s="5" t="inlineStr">
        <is>
          <t>Nepal</t>
        </is>
      </c>
      <c r="E568" s="5" t="n">
        <v>2023</v>
      </c>
      <c r="F568" s="5" t="n">
        <v>0.13</v>
      </c>
      <c r="G568" s="5" t="n">
        <v>5.749</v>
      </c>
      <c r="H568" s="5" t="n">
        <v>1.282</v>
      </c>
      <c r="I568" s="5" t="n">
        <v>0</v>
      </c>
      <c r="J568" s="5" t="n">
        <v>5.749</v>
      </c>
      <c r="K568" s="5" t="n">
        <v>0</v>
      </c>
      <c r="L568" s="5" t="n">
        <v>1</v>
      </c>
      <c r="M568" s="5" t="n">
        <v>7.861</v>
      </c>
      <c r="N568" s="5" t="n">
        <v>3.846</v>
      </c>
      <c r="O568" s="5" t="n">
        <v>0</v>
      </c>
      <c r="P568" s="5" t="n">
        <v>7.861</v>
      </c>
      <c r="Q568" s="5" t="n">
        <v>0</v>
      </c>
      <c r="R568" s="5" t="n">
        <v>1</v>
      </c>
      <c r="S568" s="5" t="n">
        <v>12.16</v>
      </c>
      <c r="T568" s="5" t="n">
        <v>7.693</v>
      </c>
      <c r="U568" s="5" t="n">
        <v>0.175</v>
      </c>
      <c r="V568" s="5" t="n">
        <v>13.741</v>
      </c>
      <c r="W568" s="5" t="n">
        <v>0.13</v>
      </c>
      <c r="X568" s="5" t="n">
        <v>1</v>
      </c>
      <c r="Y568" s="5" t="n">
        <v>6.276</v>
      </c>
      <c r="Z568" s="5" t="n">
        <v>0.733</v>
      </c>
      <c r="AA568" s="5" t="n">
        <v>0</v>
      </c>
      <c r="AB568" s="5" t="n">
        <v>6.276</v>
      </c>
      <c r="AC568" s="5" t="n">
        <v>0</v>
      </c>
      <c r="AD568" s="5" t="n">
        <v>1</v>
      </c>
      <c r="AE568" s="5" t="n">
        <v>7.561</v>
      </c>
      <c r="AF568" s="5" t="n">
        <v>1.564</v>
      </c>
      <c r="AG568" s="5" t="n">
        <v>0</v>
      </c>
      <c r="AH568" s="5" t="n">
        <v>7.561</v>
      </c>
      <c r="AI568" s="5" t="n">
        <v>0</v>
      </c>
      <c r="AJ568" s="5" t="n">
        <v>1</v>
      </c>
      <c r="AK568" s="5" t="n">
        <v>15.275</v>
      </c>
      <c r="AL568" s="5" t="n">
        <v>7.613</v>
      </c>
      <c r="AM568" s="5" t="n">
        <v>0.22</v>
      </c>
      <c r="AN568" s="5" t="n">
        <v>17.261</v>
      </c>
      <c r="AO568" s="5" t="n">
        <v>0.13</v>
      </c>
      <c r="AP568" s="5" t="n">
        <v>1</v>
      </c>
      <c r="AQ568" s="5" t="n">
        <v>0.749</v>
      </c>
      <c r="AR568" s="5" t="n">
        <v>0.129</v>
      </c>
      <c r="AS568" s="5" t="n">
        <v>0.427</v>
      </c>
      <c r="AT568" s="5" t="n">
        <v>1.329</v>
      </c>
      <c r="AU568" s="5" t="n">
        <v>0.13</v>
      </c>
      <c r="AV568" s="5" t="n">
        <v>1</v>
      </c>
      <c r="AW568" s="5" t="n">
        <v>0.783</v>
      </c>
      <c r="AX568" s="5" t="n">
        <v>0.129</v>
      </c>
      <c r="AY568" s="5" t="n">
        <v>0.328</v>
      </c>
      <c r="AZ568" s="5" t="n">
        <v>1.255</v>
      </c>
      <c r="BA568" s="5" t="n">
        <v>0.13</v>
      </c>
      <c r="BB568" s="5" t="n">
        <v>1</v>
      </c>
      <c r="BC568" s="5" t="n">
        <v>0.527</v>
      </c>
      <c r="BD568" s="5" t="n">
        <v>0.129</v>
      </c>
      <c r="BE568" s="5" t="n">
        <v>0.294</v>
      </c>
      <c r="BF568" s="5" t="n">
        <v>0.928</v>
      </c>
      <c r="BG568" s="5" t="n">
        <v>0.13</v>
      </c>
      <c r="BH568" s="5" t="n">
        <v>1</v>
      </c>
      <c r="BI568" s="5" t="n">
        <v>0.64</v>
      </c>
      <c r="BJ568" s="5" t="n">
        <v>0.129</v>
      </c>
      <c r="BK568" s="5" t="n">
        <v>0.618</v>
      </c>
      <c r="BL568" s="5" t="n">
        <v>1.258</v>
      </c>
      <c r="BM568" s="5" t="n">
        <v>0</v>
      </c>
      <c r="BN568" s="5" t="n">
        <v>1</v>
      </c>
      <c r="BO568" s="5" t="n">
        <v>0</v>
      </c>
      <c r="BP568" s="5" t="n">
        <v>0</v>
      </c>
      <c r="BQ568" s="5" t="n">
        <v>0.063</v>
      </c>
      <c r="BR568" s="5" t="n">
        <v>0</v>
      </c>
      <c r="BS568" s="5" t="n">
        <v>0.833</v>
      </c>
      <c r="BT568" s="5" t="n">
        <v>0</v>
      </c>
      <c r="BU568" s="5" t="n">
        <v>0</v>
      </c>
      <c r="BV568" s="5" t="n">
        <v>0.064</v>
      </c>
      <c r="BW568" s="5" t="n">
        <v>0</v>
      </c>
      <c r="BX568" s="5" t="n">
        <v>0.833</v>
      </c>
      <c r="BY568" s="5" t="n">
        <v>13.254</v>
      </c>
      <c r="BZ568" s="5" t="n">
        <v>0</v>
      </c>
      <c r="CA568" s="5" t="n">
        <v>13.254</v>
      </c>
      <c r="CB568" s="5" t="n">
        <v>0</v>
      </c>
      <c r="CC568" s="5" t="n">
        <v>87.07899999999999</v>
      </c>
      <c r="CD568" s="5" t="n">
        <v>7.95</v>
      </c>
      <c r="CE568" s="5" t="n">
        <v>89.206</v>
      </c>
      <c r="CF568" s="5" t="n">
        <v>199.202</v>
      </c>
      <c r="CG568" s="5" t="n">
        <v>0.13</v>
      </c>
      <c r="CH568" s="5" t="n">
        <v>1</v>
      </c>
      <c r="CI568" s="5" t="n">
        <v>0</v>
      </c>
      <c r="CJ568" s="5" t="n">
        <v>0</v>
      </c>
      <c r="CK568" s="5" t="n">
        <v>0</v>
      </c>
      <c r="CL568" s="5" t="n">
        <v>0</v>
      </c>
      <c r="CM568" s="5" t="n">
        <v>0</v>
      </c>
      <c r="CN568" s="5" t="n">
        <v>0</v>
      </c>
      <c r="CO568" s="5" t="n">
        <v>0</v>
      </c>
      <c r="CP568" s="5" t="n">
        <v>0.006</v>
      </c>
      <c r="CQ568" s="5" t="n">
        <v>1.348</v>
      </c>
      <c r="CR568" s="5" t="n">
        <v>0</v>
      </c>
      <c r="CS568" s="5" t="n">
        <v>5.37</v>
      </c>
      <c r="CT568" s="5" t="n">
        <v>4.484</v>
      </c>
      <c r="CU568" s="5" t="n">
        <v>12.392</v>
      </c>
    </row>
    <row r="569">
      <c r="A569" s="5" t="inlineStr">
        <is>
          <t>NPL2024</t>
        </is>
      </c>
      <c r="B569" s="5" t="inlineStr">
        <is>
          <t>NPL</t>
        </is>
      </c>
      <c r="C569" s="5" t="inlineStr">
        <is>
          <t>NPL</t>
        </is>
      </c>
      <c r="D569" s="5" t="inlineStr">
        <is>
          <t>Nepal</t>
        </is>
      </c>
      <c r="E569" s="5" t="n">
        <v>2024</v>
      </c>
      <c r="F569" s="5" t="n">
        <v>0.13</v>
      </c>
      <c r="G569" s="5" t="n">
        <v>4.817</v>
      </c>
      <c r="H569" s="5" t="n">
        <v>1.32</v>
      </c>
      <c r="I569" s="5" t="n">
        <v>0</v>
      </c>
      <c r="J569" s="5" t="n">
        <v>4.817</v>
      </c>
      <c r="K569" s="5" t="n">
        <v>0</v>
      </c>
      <c r="L569" s="5" t="n">
        <v>1</v>
      </c>
      <c r="M569" s="5" t="n">
        <v>7.103</v>
      </c>
      <c r="N569" s="5" t="n">
        <v>3.96</v>
      </c>
      <c r="O569" s="5" t="n">
        <v>0</v>
      </c>
      <c r="P569" s="5" t="n">
        <v>7.103</v>
      </c>
      <c r="Q569" s="5" t="n">
        <v>0</v>
      </c>
      <c r="R569" s="5" t="n">
        <v>1</v>
      </c>
      <c r="S569" s="5" t="n">
        <v>11.417</v>
      </c>
      <c r="T569" s="5" t="n">
        <v>7.92</v>
      </c>
      <c r="U569" s="5" t="n">
        <v>0.202</v>
      </c>
      <c r="V569" s="5" t="n">
        <v>12.901</v>
      </c>
      <c r="W569" s="5" t="n">
        <v>0.13</v>
      </c>
      <c r="X569" s="5" t="n">
        <v>1</v>
      </c>
      <c r="Y569" s="5" t="n">
        <v>6.461</v>
      </c>
      <c r="Z569" s="5" t="n">
        <v>0.755</v>
      </c>
      <c r="AA569" s="5" t="n">
        <v>0</v>
      </c>
      <c r="AB569" s="5" t="n">
        <v>6.461</v>
      </c>
      <c r="AC569" s="5" t="n">
        <v>0</v>
      </c>
      <c r="AD569" s="5" t="n">
        <v>1</v>
      </c>
      <c r="AE569" s="5" t="n">
        <v>7.785</v>
      </c>
      <c r="AF569" s="5" t="n">
        <v>1.61</v>
      </c>
      <c r="AG569" s="5" t="n">
        <v>0</v>
      </c>
      <c r="AH569" s="5" t="n">
        <v>7.785</v>
      </c>
      <c r="AI569" s="5" t="n">
        <v>0</v>
      </c>
      <c r="AJ569" s="5" t="n">
        <v>1</v>
      </c>
      <c r="AK569" s="5" t="n">
        <v>15.726</v>
      </c>
      <c r="AL569" s="5" t="n">
        <v>7.837</v>
      </c>
      <c r="AM569" s="5" t="n">
        <v>0.278</v>
      </c>
      <c r="AN569" s="5" t="n">
        <v>17.771</v>
      </c>
      <c r="AO569" s="5" t="n">
        <v>0.13</v>
      </c>
      <c r="AP569" s="5" t="n">
        <v>1</v>
      </c>
      <c r="AQ569" s="5" t="n">
        <v>0.72</v>
      </c>
      <c r="AR569" s="5" t="n">
        <v>0.132</v>
      </c>
      <c r="AS569" s="5" t="n">
        <v>0.387</v>
      </c>
      <c r="AT569" s="5" t="n">
        <v>1.251</v>
      </c>
      <c r="AU569" s="5" t="n">
        <v>0.13</v>
      </c>
      <c r="AV569" s="5" t="n">
        <v>1</v>
      </c>
      <c r="AW569" s="5" t="n">
        <v>0.734</v>
      </c>
      <c r="AX569" s="5" t="n">
        <v>0.132</v>
      </c>
      <c r="AY569" s="5" t="n">
        <v>0.301</v>
      </c>
      <c r="AZ569" s="5" t="n">
        <v>1.17</v>
      </c>
      <c r="BA569" s="5" t="n">
        <v>0.13</v>
      </c>
      <c r="BB569" s="5" t="n">
        <v>1</v>
      </c>
      <c r="BC569" s="5" t="n">
        <v>0.51</v>
      </c>
      <c r="BD569" s="5" t="n">
        <v>0.132</v>
      </c>
      <c r="BE569" s="5" t="n">
        <v>0.325</v>
      </c>
      <c r="BF569" s="5" t="n">
        <v>0.944</v>
      </c>
      <c r="BG569" s="5" t="n">
        <v>0.13</v>
      </c>
      <c r="BH569" s="5" t="n">
        <v>1</v>
      </c>
      <c r="BI569" s="5" t="n">
        <v>0.652</v>
      </c>
      <c r="BJ569" s="5" t="n">
        <v>0.132</v>
      </c>
      <c r="BK569" s="5" t="n">
        <v>0.518</v>
      </c>
      <c r="BL569" s="5" t="n">
        <v>1.17</v>
      </c>
      <c r="BM569" s="5" t="n">
        <v>0</v>
      </c>
      <c r="BN569" s="5" t="n">
        <v>1</v>
      </c>
      <c r="BO569" s="5" t="n">
        <v>0</v>
      </c>
      <c r="BP569" s="5" t="n">
        <v>0</v>
      </c>
      <c r="BQ569" s="5" t="n">
        <v>0.068</v>
      </c>
      <c r="BR569" s="5" t="n">
        <v>0</v>
      </c>
      <c r="BS569" s="5" t="n">
        <v>0.833</v>
      </c>
      <c r="BT569" s="5" t="n">
        <v>0</v>
      </c>
      <c r="BU569" s="5" t="n">
        <v>0</v>
      </c>
      <c r="BV569" s="5" t="n">
        <v>0.058</v>
      </c>
      <c r="BW569" s="5" t="n">
        <v>0</v>
      </c>
      <c r="BX569" s="5" t="n">
        <v>0.833</v>
      </c>
      <c r="BY569" s="5" t="n">
        <v>13.646</v>
      </c>
      <c r="BZ569" s="5" t="n">
        <v>0</v>
      </c>
      <c r="CA569" s="5" t="n">
        <v>13.646</v>
      </c>
      <c r="CB569" s="5" t="n">
        <v>0</v>
      </c>
      <c r="CC569" s="5" t="n">
        <v>86.38500000000001</v>
      </c>
      <c r="CD569" s="5" t="n">
        <v>7.95</v>
      </c>
      <c r="CE569" s="5" t="n">
        <v>95.377</v>
      </c>
      <c r="CF569" s="5" t="n">
        <v>201.818</v>
      </c>
      <c r="CG569" s="5" t="n">
        <v>0.13</v>
      </c>
      <c r="CH569" s="5" t="n">
        <v>1</v>
      </c>
      <c r="CI569" s="5" t="n">
        <v>0</v>
      </c>
      <c r="CJ569" s="5" t="n">
        <v>0</v>
      </c>
      <c r="CK569" s="5" t="n">
        <v>0</v>
      </c>
      <c r="CL569" s="5" t="n">
        <v>0</v>
      </c>
      <c r="CM569" s="5" t="n">
        <v>0</v>
      </c>
      <c r="CN569" s="5" t="n">
        <v>0</v>
      </c>
      <c r="CO569" s="5" t="n">
        <v>0</v>
      </c>
      <c r="CP569" s="5" t="n">
        <v>0.006</v>
      </c>
      <c r="CQ569" s="5" t="n">
        <v>1.387</v>
      </c>
      <c r="CR569" s="5" t="n">
        <v>0</v>
      </c>
      <c r="CS569" s="5" t="n">
        <v>5.529</v>
      </c>
      <c r="CT569" s="5" t="n">
        <v>3.509</v>
      </c>
      <c r="CU569" s="5" t="n">
        <v>10.792</v>
      </c>
    </row>
    <row r="570">
      <c r="A570" s="5" t="inlineStr">
        <is>
          <t>NLD2021</t>
        </is>
      </c>
      <c r="B570" s="5" t="inlineStr">
        <is>
          <t>NLD</t>
        </is>
      </c>
      <c r="C570" s="5" t="inlineStr">
        <is>
          <t>NLD</t>
        </is>
      </c>
      <c r="D570" s="5" t="inlineStr">
        <is>
          <t>Netherlands</t>
        </is>
      </c>
      <c r="E570" s="5" t="n">
        <v>2021</v>
      </c>
      <c r="F570" s="5" t="n">
        <v>0.21</v>
      </c>
      <c r="G570" s="5" t="n">
        <v>5.795</v>
      </c>
      <c r="H570" s="5" t="n">
        <v>1.143</v>
      </c>
      <c r="I570" s="5" t="n">
        <v>1.676</v>
      </c>
      <c r="J570" s="5" t="n">
        <v>7.47</v>
      </c>
      <c r="K570" s="5" t="n">
        <v>0</v>
      </c>
      <c r="L570" s="5" t="n">
        <v>1</v>
      </c>
      <c r="M570" s="5" t="n">
        <v>8.943</v>
      </c>
      <c r="N570" s="5" t="n">
        <v>3.43</v>
      </c>
      <c r="O570" s="5" t="n">
        <v>1.76</v>
      </c>
      <c r="P570" s="5" t="n">
        <v>10.704</v>
      </c>
      <c r="Q570" s="5" t="n">
        <v>0</v>
      </c>
      <c r="R570" s="5" t="n">
        <v>1</v>
      </c>
      <c r="S570" s="5" t="n">
        <v>11.511</v>
      </c>
      <c r="T570" s="5" t="n">
        <v>6.86</v>
      </c>
      <c r="U570" s="5" t="n">
        <v>1.068</v>
      </c>
      <c r="V570" s="5" t="n">
        <v>15.221</v>
      </c>
      <c r="W570" s="5" t="n">
        <v>0.21</v>
      </c>
      <c r="X570" s="5" t="n">
        <v>1</v>
      </c>
      <c r="Y570" s="5" t="n">
        <v>17.804</v>
      </c>
      <c r="Z570" s="5" t="n">
        <v>1.967</v>
      </c>
      <c r="AA570" s="5" t="n">
        <v>-2.505</v>
      </c>
      <c r="AB570" s="5" t="n">
        <v>15.299</v>
      </c>
      <c r="AC570" s="5" t="n">
        <v>0</v>
      </c>
      <c r="AD570" s="5" t="n">
        <v>1</v>
      </c>
      <c r="AE570" s="5" t="n">
        <v>17.76</v>
      </c>
      <c r="AF570" s="5" t="n">
        <v>3.495</v>
      </c>
      <c r="AG570" s="5" t="n">
        <v>-2.462</v>
      </c>
      <c r="AH570" s="5" t="n">
        <v>15.299</v>
      </c>
      <c r="AI570" s="5" t="n">
        <v>0</v>
      </c>
      <c r="AJ570" s="5" t="n">
        <v>1</v>
      </c>
      <c r="AK570" s="5" t="n">
        <v>27.505</v>
      </c>
      <c r="AL570" s="5" t="n">
        <v>13.5</v>
      </c>
      <c r="AM570" s="5" t="n">
        <v>0.432</v>
      </c>
      <c r="AN570" s="5" t="n">
        <v>33.804</v>
      </c>
      <c r="AO570" s="5" t="n">
        <v>0.21</v>
      </c>
      <c r="AP570" s="5" t="n">
        <v>1</v>
      </c>
      <c r="AQ570" s="5" t="n">
        <v>0.637</v>
      </c>
      <c r="AR570" s="5" t="n">
        <v>0.114</v>
      </c>
      <c r="AS570" s="5" t="n">
        <v>1.14</v>
      </c>
      <c r="AT570" s="5" t="n">
        <v>2.15</v>
      </c>
      <c r="AU570" s="5" t="n">
        <v>0.21</v>
      </c>
      <c r="AV570" s="5" t="n">
        <v>1</v>
      </c>
      <c r="AW570" s="5" t="n">
        <v>0.599</v>
      </c>
      <c r="AX570" s="5" t="n">
        <v>0.114</v>
      </c>
      <c r="AY570" s="5" t="n">
        <v>0.832</v>
      </c>
      <c r="AZ570" s="5" t="n">
        <v>1.732</v>
      </c>
      <c r="BA570" s="5" t="n">
        <v>0.21</v>
      </c>
      <c r="BB570" s="5" t="n">
        <v>1</v>
      </c>
      <c r="BC570" s="5" t="n">
        <v>0.45</v>
      </c>
      <c r="BD570" s="5" t="n">
        <v>0.114</v>
      </c>
      <c r="BE570" s="5" t="n">
        <v>0.315</v>
      </c>
      <c r="BF570" s="5" t="n">
        <v>0.926</v>
      </c>
      <c r="BG570" s="5" t="n">
        <v>0.21</v>
      </c>
      <c r="BH570" s="5" t="n">
        <v>1</v>
      </c>
      <c r="BI570" s="5" t="n">
        <v>0.505</v>
      </c>
      <c r="BJ570" s="5" t="n">
        <v>0.114</v>
      </c>
      <c r="BK570" s="5" t="n">
        <v>0.75</v>
      </c>
      <c r="BL570" s="5" t="n">
        <v>1.519</v>
      </c>
      <c r="BM570" s="5" t="n">
        <v>0.21</v>
      </c>
      <c r="BN570" s="5" t="n">
        <v>1</v>
      </c>
      <c r="BO570" s="5" t="n">
        <v>0</v>
      </c>
      <c r="BP570" s="5" t="n">
        <v>0.012</v>
      </c>
      <c r="BQ570" s="5" t="n">
        <v>0.1</v>
      </c>
      <c r="BR570" s="5" t="n">
        <v>0</v>
      </c>
      <c r="BS570" s="5" t="n">
        <v>1</v>
      </c>
      <c r="BT570" s="5" t="n">
        <v>0</v>
      </c>
      <c r="BU570" s="5" t="n">
        <v>-0.035</v>
      </c>
      <c r="BV570" s="5" t="n">
        <v>0.161</v>
      </c>
      <c r="BW570" s="5" t="n">
        <v>0.21</v>
      </c>
      <c r="BX570" s="5" t="n">
        <v>1</v>
      </c>
      <c r="BY570" s="5" t="n">
        <v>11.787</v>
      </c>
      <c r="BZ570" s="5" t="n">
        <v>0</v>
      </c>
      <c r="CA570" s="5" t="n">
        <v>11.787</v>
      </c>
      <c r="CB570" s="5" t="n">
        <v>0</v>
      </c>
      <c r="CC570" s="5" t="n">
        <v>73.012</v>
      </c>
      <c r="CD570" s="5" t="n">
        <v>7.95</v>
      </c>
      <c r="CE570" s="5" t="n">
        <v>134.248</v>
      </c>
      <c r="CF570" s="5" t="n">
        <v>250.785</v>
      </c>
      <c r="CG570" s="5" t="n">
        <v>0.21</v>
      </c>
      <c r="CH570" s="5" t="n">
        <v>1</v>
      </c>
      <c r="CI570" s="5" t="n">
        <v>0</v>
      </c>
      <c r="CJ570" s="5" t="n">
        <v>0</v>
      </c>
      <c r="CK570" s="5" t="n">
        <v>0</v>
      </c>
      <c r="CL570" s="5" t="n">
        <v>0</v>
      </c>
      <c r="CM570" s="5" t="n">
        <v>0</v>
      </c>
      <c r="CN570" s="5" t="n">
        <v>0</v>
      </c>
      <c r="CO570" s="5" t="n">
        <v>0</v>
      </c>
      <c r="CP570" s="5" t="n">
        <v>0</v>
      </c>
      <c r="CQ570" s="5" t="n">
        <v>1.198</v>
      </c>
      <c r="CR570" s="5" t="n">
        <v>0</v>
      </c>
      <c r="CS570" s="5" t="n">
        <v>4.446</v>
      </c>
      <c r="CT570" s="5" t="n">
        <v>4.651</v>
      </c>
      <c r="CU570" s="5" t="n">
        <v>15.087</v>
      </c>
    </row>
    <row r="571">
      <c r="A571" s="5" t="inlineStr">
        <is>
          <t>NLD2022</t>
        </is>
      </c>
      <c r="B571" s="5" t="inlineStr">
        <is>
          <t>NLD</t>
        </is>
      </c>
      <c r="C571" s="5" t="inlineStr">
        <is>
          <t>NLD</t>
        </is>
      </c>
      <c r="D571" s="5" t="inlineStr">
        <is>
          <t>Netherlands</t>
        </is>
      </c>
      <c r="E571" s="5" t="n">
        <v>2022</v>
      </c>
      <c r="F571" s="5" t="n">
        <v>0.21</v>
      </c>
      <c r="G571" s="5" t="n">
        <v>12.95</v>
      </c>
      <c r="H571" s="5" t="n">
        <v>1.235</v>
      </c>
      <c r="I571" s="5" t="n">
        <v>8.159000000000001</v>
      </c>
      <c r="J571" s="5" t="n">
        <v>21.109</v>
      </c>
      <c r="K571" s="5" t="n">
        <v>0</v>
      </c>
      <c r="L571" s="5" t="n">
        <v>1</v>
      </c>
      <c r="M571" s="5" t="n">
        <v>15.919</v>
      </c>
      <c r="N571" s="5" t="n">
        <v>3.704</v>
      </c>
      <c r="O571" s="5" t="n">
        <v>8.298</v>
      </c>
      <c r="P571" s="5" t="n">
        <v>24.218</v>
      </c>
      <c r="Q571" s="5" t="n">
        <v>0</v>
      </c>
      <c r="R571" s="5" t="n">
        <v>1</v>
      </c>
      <c r="S571" s="5" t="n">
        <v>19.123</v>
      </c>
      <c r="T571" s="5" t="n">
        <v>7.408</v>
      </c>
      <c r="U571" s="5" t="n">
        <v>1.411</v>
      </c>
      <c r="V571" s="5" t="n">
        <v>24.466</v>
      </c>
      <c r="W571" s="5" t="n">
        <v>0.21</v>
      </c>
      <c r="X571" s="5" t="n">
        <v>1</v>
      </c>
      <c r="Y571" s="5" t="n">
        <v>38.49</v>
      </c>
      <c r="Z571" s="5" t="n">
        <v>4.038</v>
      </c>
      <c r="AA571" s="5" t="n">
        <v>-12.196</v>
      </c>
      <c r="AB571" s="5" t="n">
        <v>26.295</v>
      </c>
      <c r="AC571" s="5" t="n">
        <v>0</v>
      </c>
      <c r="AD571" s="5" t="n">
        <v>1</v>
      </c>
      <c r="AE571" s="5" t="n">
        <v>38.538</v>
      </c>
      <c r="AF571" s="5" t="n">
        <v>7.144</v>
      </c>
      <c r="AG571" s="5" t="n">
        <v>-12.243</v>
      </c>
      <c r="AH571" s="5" t="n">
        <v>26.295</v>
      </c>
      <c r="AI571" s="5" t="n">
        <v>0</v>
      </c>
      <c r="AJ571" s="5" t="n">
        <v>1</v>
      </c>
      <c r="AK571" s="5" t="n">
        <v>48.832</v>
      </c>
      <c r="AL571" s="5" t="n">
        <v>23.319</v>
      </c>
      <c r="AM571" s="5" t="n">
        <v>-10.527</v>
      </c>
      <c r="AN571" s="5" t="n">
        <v>46.348</v>
      </c>
      <c r="AO571" s="5" t="n">
        <v>0.21</v>
      </c>
      <c r="AP571" s="5" t="n">
        <v>1</v>
      </c>
      <c r="AQ571" s="5" t="n">
        <v>0.92</v>
      </c>
      <c r="AR571" s="5" t="n">
        <v>0.123</v>
      </c>
      <c r="AS571" s="5" t="n">
        <v>0.885</v>
      </c>
      <c r="AT571" s="5" t="n">
        <v>2.184</v>
      </c>
      <c r="AU571" s="5" t="n">
        <v>0.21</v>
      </c>
      <c r="AV571" s="5" t="n">
        <v>1</v>
      </c>
      <c r="AW571" s="5" t="n">
        <v>0.986</v>
      </c>
      <c r="AX571" s="5" t="n">
        <v>0.123</v>
      </c>
      <c r="AY571" s="5" t="n">
        <v>0.716</v>
      </c>
      <c r="AZ571" s="5" t="n">
        <v>2.06</v>
      </c>
      <c r="BA571" s="5" t="n">
        <v>0.21</v>
      </c>
      <c r="BB571" s="5" t="n">
        <v>1</v>
      </c>
      <c r="BC571" s="5" t="n">
        <v>0.636</v>
      </c>
      <c r="BD571" s="5" t="n">
        <v>0.123</v>
      </c>
      <c r="BE571" s="5" t="n">
        <v>0.171</v>
      </c>
      <c r="BF571" s="5" t="n">
        <v>0.975</v>
      </c>
      <c r="BG571" s="5" t="n">
        <v>0.21</v>
      </c>
      <c r="BH571" s="5" t="n">
        <v>1</v>
      </c>
      <c r="BI571" s="5" t="n">
        <v>0.612</v>
      </c>
      <c r="BJ571" s="5" t="n">
        <v>0.123</v>
      </c>
      <c r="BK571" s="5" t="n">
        <v>0.995</v>
      </c>
      <c r="BL571" s="5" t="n">
        <v>1.945</v>
      </c>
      <c r="BM571" s="5" t="n">
        <v>0.21</v>
      </c>
      <c r="BN571" s="5" t="n">
        <v>1</v>
      </c>
      <c r="BO571" s="5" t="n">
        <v>0</v>
      </c>
      <c r="BP571" s="5" t="n">
        <v>0.011</v>
      </c>
      <c r="BQ571" s="5" t="n">
        <v>0.169</v>
      </c>
      <c r="BR571" s="5" t="n">
        <v>0</v>
      </c>
      <c r="BS571" s="5" t="n">
        <v>1</v>
      </c>
      <c r="BT571" s="5" t="n">
        <v>0</v>
      </c>
      <c r="BU571" s="5" t="n">
        <v>-0.199</v>
      </c>
      <c r="BV571" s="5" t="n">
        <v>0.095</v>
      </c>
      <c r="BW571" s="5" t="n">
        <v>0.21</v>
      </c>
      <c r="BX571" s="5" t="n">
        <v>1</v>
      </c>
      <c r="BY571" s="5" t="n">
        <v>12.729</v>
      </c>
      <c r="BZ571" s="5" t="n">
        <v>0</v>
      </c>
      <c r="CA571" s="5" t="n">
        <v>12.729</v>
      </c>
      <c r="CB571" s="5" t="n">
        <v>0</v>
      </c>
      <c r="CC571" s="5" t="n">
        <v>90.494</v>
      </c>
      <c r="CD571" s="5" t="n">
        <v>7.95</v>
      </c>
      <c r="CE571" s="5" t="n">
        <v>198.331</v>
      </c>
      <c r="CF571" s="5" t="n">
        <v>349.478</v>
      </c>
      <c r="CG571" s="5" t="n">
        <v>0.21</v>
      </c>
      <c r="CH571" s="5" t="n">
        <v>1</v>
      </c>
      <c r="CI571" s="5" t="n">
        <v>0</v>
      </c>
      <c r="CJ571" s="5" t="n">
        <v>0</v>
      </c>
      <c r="CK571" s="5" t="n">
        <v>0</v>
      </c>
      <c r="CL571" s="5" t="n">
        <v>0</v>
      </c>
      <c r="CM571" s="5" t="n">
        <v>0</v>
      </c>
      <c r="CN571" s="5" t="n">
        <v>0</v>
      </c>
      <c r="CO571" s="5" t="n">
        <v>0</v>
      </c>
      <c r="CP571" s="5" t="n">
        <v>0</v>
      </c>
      <c r="CQ571" s="5" t="n">
        <v>1.294</v>
      </c>
      <c r="CR571" s="5" t="n">
        <v>0</v>
      </c>
      <c r="CS571" s="5" t="n">
        <v>4.801</v>
      </c>
      <c r="CT571" s="5" t="n">
        <v>11.715</v>
      </c>
      <c r="CU571" s="5" t="n">
        <v>35.682</v>
      </c>
    </row>
    <row r="572">
      <c r="A572" s="5" t="inlineStr">
        <is>
          <t>NLD2023</t>
        </is>
      </c>
      <c r="B572" s="5" t="inlineStr">
        <is>
          <t>NLD</t>
        </is>
      </c>
      <c r="C572" s="5" t="inlineStr">
        <is>
          <t>NLD</t>
        </is>
      </c>
      <c r="D572" s="5" t="inlineStr">
        <is>
          <t>Netherlands</t>
        </is>
      </c>
      <c r="E572" s="5" t="n">
        <v>2023</v>
      </c>
      <c r="F572" s="5" t="n">
        <v>0.21</v>
      </c>
      <c r="G572" s="5" t="n">
        <v>7.262</v>
      </c>
      <c r="H572" s="5" t="n">
        <v>1.286</v>
      </c>
      <c r="I572" s="5" t="n">
        <v>9.456</v>
      </c>
      <c r="J572" s="5" t="n">
        <v>16.718</v>
      </c>
      <c r="K572" s="5" t="n">
        <v>0</v>
      </c>
      <c r="L572" s="5" t="n">
        <v>1</v>
      </c>
      <c r="M572" s="5" t="n">
        <v>10.341</v>
      </c>
      <c r="N572" s="5" t="n">
        <v>3.857</v>
      </c>
      <c r="O572" s="5" t="n">
        <v>9.605</v>
      </c>
      <c r="P572" s="5" t="n">
        <v>19.945</v>
      </c>
      <c r="Q572" s="5" t="n">
        <v>0</v>
      </c>
      <c r="R572" s="5" t="n">
        <v>1</v>
      </c>
      <c r="S572" s="5" t="n">
        <v>13.69</v>
      </c>
      <c r="T572" s="5" t="n">
        <v>7.714</v>
      </c>
      <c r="U572" s="5" t="n">
        <v>1.471</v>
      </c>
      <c r="V572" s="5" t="n">
        <v>17.928</v>
      </c>
      <c r="W572" s="5" t="n">
        <v>0.21</v>
      </c>
      <c r="X572" s="5" t="n">
        <v>1</v>
      </c>
      <c r="Y572" s="5" t="n">
        <v>15.112</v>
      </c>
      <c r="Z572" s="5" t="n">
        <v>1.693</v>
      </c>
      <c r="AA572" s="5" t="n">
        <v>13.057</v>
      </c>
      <c r="AB572" s="5" t="n">
        <v>28.169</v>
      </c>
      <c r="AC572" s="5" t="n">
        <v>0</v>
      </c>
      <c r="AD572" s="5" t="n">
        <v>1</v>
      </c>
      <c r="AE572" s="5" t="n">
        <v>15.211</v>
      </c>
      <c r="AF572" s="5" t="n">
        <v>3.029</v>
      </c>
      <c r="AG572" s="5" t="n">
        <v>12.958</v>
      </c>
      <c r="AH572" s="5" t="n">
        <v>28.169</v>
      </c>
      <c r="AI572" s="5" t="n">
        <v>0</v>
      </c>
      <c r="AJ572" s="5" t="n">
        <v>1</v>
      </c>
      <c r="AK572" s="5" t="n">
        <v>25.81</v>
      </c>
      <c r="AL572" s="5" t="n">
        <v>12.786</v>
      </c>
      <c r="AM572" s="5" t="n">
        <v>17.476</v>
      </c>
      <c r="AN572" s="5" t="n">
        <v>52.376</v>
      </c>
      <c r="AO572" s="5" t="n">
        <v>0.21</v>
      </c>
      <c r="AP572" s="5" t="n">
        <v>1</v>
      </c>
      <c r="AQ572" s="5" t="n">
        <v>0.789</v>
      </c>
      <c r="AR572" s="5" t="n">
        <v>0.129</v>
      </c>
      <c r="AS572" s="5" t="n">
        <v>0.929</v>
      </c>
      <c r="AT572" s="5" t="n">
        <v>2.078</v>
      </c>
      <c r="AU572" s="5" t="n">
        <v>0.21</v>
      </c>
      <c r="AV572" s="5" t="n">
        <v>1</v>
      </c>
      <c r="AW572" s="5" t="n">
        <v>0.8110000000000001</v>
      </c>
      <c r="AX572" s="5" t="n">
        <v>0.129</v>
      </c>
      <c r="AY572" s="5" t="n">
        <v>0.721</v>
      </c>
      <c r="AZ572" s="5" t="n">
        <v>1.854</v>
      </c>
      <c r="BA572" s="5" t="n">
        <v>0.21</v>
      </c>
      <c r="BB572" s="5" t="n">
        <v>1</v>
      </c>
      <c r="BC572" s="5" t="n">
        <v>0.553</v>
      </c>
      <c r="BD572" s="5" t="n">
        <v>0.129</v>
      </c>
      <c r="BE572" s="5" t="n">
        <v>0.148</v>
      </c>
      <c r="BF572" s="5" t="n">
        <v>0.848</v>
      </c>
      <c r="BG572" s="5" t="n">
        <v>0.21</v>
      </c>
      <c r="BH572" s="5" t="n">
        <v>1</v>
      </c>
      <c r="BI572" s="5" t="n">
        <v>0.579</v>
      </c>
      <c r="BJ572" s="5" t="n">
        <v>0.129</v>
      </c>
      <c r="BK572" s="5" t="n">
        <v>1.036</v>
      </c>
      <c r="BL572" s="5" t="n">
        <v>1.954</v>
      </c>
      <c r="BM572" s="5" t="n">
        <v>0.21</v>
      </c>
      <c r="BN572" s="5" t="n">
        <v>1</v>
      </c>
      <c r="BO572" s="5" t="n">
        <v>0</v>
      </c>
      <c r="BP572" s="5" t="n">
        <v>0.013</v>
      </c>
      <c r="BQ572" s="5" t="n">
        <v>0.214</v>
      </c>
      <c r="BR572" s="5" t="n">
        <v>0</v>
      </c>
      <c r="BS572" s="5" t="n">
        <v>1</v>
      </c>
      <c r="BT572" s="5" t="n">
        <v>0</v>
      </c>
      <c r="BU572" s="5" t="n">
        <v>-0.102</v>
      </c>
      <c r="BV572" s="5" t="n">
        <v>0.341</v>
      </c>
      <c r="BW572" s="5" t="n">
        <v>0.21</v>
      </c>
      <c r="BX572" s="5" t="n">
        <v>1</v>
      </c>
      <c r="BY572" s="5" t="n">
        <v>13.254</v>
      </c>
      <c r="BZ572" s="5" t="n">
        <v>0</v>
      </c>
      <c r="CA572" s="5" t="n">
        <v>13.254</v>
      </c>
      <c r="CB572" s="5" t="n">
        <v>0</v>
      </c>
      <c r="CC572" s="5" t="n">
        <v>79.035</v>
      </c>
      <c r="CD572" s="5" t="n">
        <v>7.95</v>
      </c>
      <c r="CE572" s="5" t="n">
        <v>230.132</v>
      </c>
      <c r="CF572" s="5" t="n">
        <v>374.092</v>
      </c>
      <c r="CG572" s="5" t="n">
        <v>0.21</v>
      </c>
      <c r="CH572" s="5" t="n">
        <v>1</v>
      </c>
      <c r="CI572" s="5" t="n">
        <v>0</v>
      </c>
      <c r="CJ572" s="5" t="n">
        <v>0</v>
      </c>
      <c r="CK572" s="5" t="n">
        <v>0</v>
      </c>
      <c r="CL572" s="5" t="n">
        <v>0</v>
      </c>
      <c r="CM572" s="5" t="n">
        <v>0</v>
      </c>
      <c r="CN572" s="5" t="n">
        <v>0</v>
      </c>
      <c r="CO572" s="5" t="n">
        <v>0</v>
      </c>
      <c r="CP572" s="5" t="n">
        <v>0</v>
      </c>
      <c r="CQ572" s="5" t="n">
        <v>1.348</v>
      </c>
      <c r="CR572" s="5" t="n">
        <v>0</v>
      </c>
      <c r="CS572" s="5" t="n">
        <v>4.999</v>
      </c>
      <c r="CT572" s="5" t="n">
        <v>5.976</v>
      </c>
      <c r="CU572" s="5" t="n">
        <v>12.253</v>
      </c>
    </row>
    <row r="573">
      <c r="A573" s="5" t="inlineStr">
        <is>
          <t>NLD2024</t>
        </is>
      </c>
      <c r="B573" s="5" t="inlineStr">
        <is>
          <t>NLD</t>
        </is>
      </c>
      <c r="C573" s="5" t="inlineStr">
        <is>
          <t>NLD</t>
        </is>
      </c>
      <c r="D573" s="5" t="inlineStr">
        <is>
          <t>Netherlands</t>
        </is>
      </c>
      <c r="E573" s="5" t="n">
        <v>2024</v>
      </c>
      <c r="F573" s="5" t="n">
        <v>0.21</v>
      </c>
      <c r="G573" s="5" t="n">
        <v>6.635</v>
      </c>
      <c r="H573" s="5" t="n">
        <v>1.324</v>
      </c>
      <c r="I573" s="5" t="n">
        <v>6.197</v>
      </c>
      <c r="J573" s="5" t="n">
        <v>12.833</v>
      </c>
      <c r="K573" s="5" t="n">
        <v>0</v>
      </c>
      <c r="L573" s="5" t="n">
        <v>1</v>
      </c>
      <c r="M573" s="5" t="n">
        <v>9.912000000000001</v>
      </c>
      <c r="N573" s="5" t="n">
        <v>3.971</v>
      </c>
      <c r="O573" s="5" t="n">
        <v>6.318</v>
      </c>
      <c r="P573" s="5" t="n">
        <v>16.231</v>
      </c>
      <c r="Q573" s="5" t="n">
        <v>0</v>
      </c>
      <c r="R573" s="5" t="n">
        <v>1</v>
      </c>
      <c r="S573" s="5" t="n">
        <v>13.253</v>
      </c>
      <c r="T573" s="5" t="n">
        <v>7.942</v>
      </c>
      <c r="U573" s="5" t="n">
        <v>1.572</v>
      </c>
      <c r="V573" s="5" t="n">
        <v>17.44</v>
      </c>
      <c r="W573" s="5" t="n">
        <v>0.21</v>
      </c>
      <c r="X573" s="5" t="n">
        <v>1</v>
      </c>
      <c r="Y573" s="5" t="n">
        <v>12.708</v>
      </c>
      <c r="Z573" s="5" t="n">
        <v>1.605</v>
      </c>
      <c r="AA573" s="5" t="n">
        <v>11.561</v>
      </c>
      <c r="AB573" s="5" t="n">
        <v>24.269</v>
      </c>
      <c r="AC573" s="5" t="n">
        <v>0</v>
      </c>
      <c r="AD573" s="5" t="n">
        <v>1</v>
      </c>
      <c r="AE573" s="5" t="n">
        <v>12.708</v>
      </c>
      <c r="AF573" s="5" t="n">
        <v>2.784</v>
      </c>
      <c r="AG573" s="5" t="n">
        <v>11.561</v>
      </c>
      <c r="AH573" s="5" t="n">
        <v>24.269</v>
      </c>
      <c r="AI573" s="5" t="n">
        <v>0</v>
      </c>
      <c r="AJ573" s="5" t="n">
        <v>1</v>
      </c>
      <c r="AK573" s="5" t="n">
        <v>23.009</v>
      </c>
      <c r="AL573" s="5" t="n">
        <v>11.703</v>
      </c>
      <c r="AM573" s="5" t="n">
        <v>17.943</v>
      </c>
      <c r="AN573" s="5" t="n">
        <v>49.551</v>
      </c>
      <c r="AO573" s="5" t="n">
        <v>0.21</v>
      </c>
      <c r="AP573" s="5" t="n">
        <v>1</v>
      </c>
      <c r="AQ573" s="5" t="n">
        <v>0.751</v>
      </c>
      <c r="AR573" s="5" t="n">
        <v>0.132</v>
      </c>
      <c r="AS573" s="5" t="n">
        <v>1.012</v>
      </c>
      <c r="AT573" s="5" t="n">
        <v>2.132</v>
      </c>
      <c r="AU573" s="5" t="n">
        <v>0.21</v>
      </c>
      <c r="AV573" s="5" t="n">
        <v>1</v>
      </c>
      <c r="AW573" s="5" t="n">
        <v>0.75</v>
      </c>
      <c r="AX573" s="5" t="n">
        <v>0.132</v>
      </c>
      <c r="AY573" s="5" t="n">
        <v>0.793</v>
      </c>
      <c r="AZ573" s="5" t="n">
        <v>1.867</v>
      </c>
      <c r="BA573" s="5" t="n">
        <v>0.21</v>
      </c>
      <c r="BB573" s="5" t="n">
        <v>1</v>
      </c>
      <c r="BC573" s="5" t="n">
        <v>0.53</v>
      </c>
      <c r="BD573" s="5" t="n">
        <v>0.132</v>
      </c>
      <c r="BE573" s="5" t="n">
        <v>0.181</v>
      </c>
      <c r="BF573" s="5" t="n">
        <v>0.86</v>
      </c>
      <c r="BG573" s="5" t="n">
        <v>0.21</v>
      </c>
      <c r="BH573" s="5" t="n">
        <v>1</v>
      </c>
      <c r="BI573" s="5" t="n">
        <v>0.591</v>
      </c>
      <c r="BJ573" s="5" t="n">
        <v>0.132</v>
      </c>
      <c r="BK573" s="5" t="n">
        <v>1.01</v>
      </c>
      <c r="BL573" s="5" t="n">
        <v>1.938</v>
      </c>
      <c r="BM573" s="5" t="n">
        <v>0.21</v>
      </c>
      <c r="BN573" s="5" t="n">
        <v>1</v>
      </c>
      <c r="BO573" s="5" t="n">
        <v>0</v>
      </c>
      <c r="BP573" s="5" t="n">
        <v>0.015</v>
      </c>
      <c r="BQ573" s="5" t="n">
        <v>0.168</v>
      </c>
      <c r="BR573" s="5" t="n">
        <v>0</v>
      </c>
      <c r="BS573" s="5" t="n">
        <v>1</v>
      </c>
      <c r="BT573" s="5" t="n">
        <v>0</v>
      </c>
      <c r="BU573" s="5" t="n">
        <v>-0.078</v>
      </c>
      <c r="BV573" s="5" t="n">
        <v>0.262</v>
      </c>
      <c r="BW573" s="5" t="n">
        <v>0.21</v>
      </c>
      <c r="BX573" s="5" t="n">
        <v>1</v>
      </c>
      <c r="BY573" s="5" t="n">
        <v>13.646</v>
      </c>
      <c r="BZ573" s="5" t="n">
        <v>0</v>
      </c>
      <c r="CA573" s="5" t="n">
        <v>13.646</v>
      </c>
      <c r="CB573" s="5" t="n">
        <v>0</v>
      </c>
      <c r="CC573" s="5" t="n">
        <v>78.41200000000001</v>
      </c>
      <c r="CD573" s="5" t="n">
        <v>7.95</v>
      </c>
      <c r="CE573" s="5" t="n">
        <v>228.151</v>
      </c>
      <c r="CF573" s="5" t="n">
        <v>370.941</v>
      </c>
      <c r="CG573" s="5" t="n">
        <v>0.21</v>
      </c>
      <c r="CH573" s="5" t="n">
        <v>1</v>
      </c>
      <c r="CI573" s="5" t="n">
        <v>0</v>
      </c>
      <c r="CJ573" s="5" t="n">
        <v>0</v>
      </c>
      <c r="CK573" s="5" t="n">
        <v>0</v>
      </c>
      <c r="CL573" s="5" t="n">
        <v>0</v>
      </c>
      <c r="CM573" s="5" t="n">
        <v>0</v>
      </c>
      <c r="CN573" s="5" t="n">
        <v>0</v>
      </c>
      <c r="CO573" s="5" t="n">
        <v>0</v>
      </c>
      <c r="CP573" s="5" t="n">
        <v>0</v>
      </c>
      <c r="CQ573" s="5" t="n">
        <v>1.387</v>
      </c>
      <c r="CR573" s="5" t="n">
        <v>0</v>
      </c>
      <c r="CS573" s="5" t="n">
        <v>5.147</v>
      </c>
      <c r="CT573" s="5" t="n">
        <v>5.312</v>
      </c>
      <c r="CU573" s="5" t="n">
        <v>10.135</v>
      </c>
    </row>
    <row r="574">
      <c r="A574" s="5" t="inlineStr">
        <is>
          <t>NCL2021</t>
        </is>
      </c>
      <c r="B574" s="5" t="inlineStr">
        <is>
          <t>NCL</t>
        </is>
      </c>
      <c r="C574" s="5" t="inlineStr">
        <is>
          <t>NCL</t>
        </is>
      </c>
      <c r="D574" s="5" t="inlineStr">
        <is>
          <t>New Caledonia</t>
        </is>
      </c>
      <c r="E574" s="5" t="n">
        <v>2021</v>
      </c>
      <c r="F574" s="5" t="n">
        <v>0.11</v>
      </c>
      <c r="G574" s="5" t="n">
        <v>4.747</v>
      </c>
      <c r="H574" s="5" t="n">
        <v>1.143</v>
      </c>
      <c r="I574" s="5" t="n">
        <v>0</v>
      </c>
      <c r="J574" s="5" t="n">
        <v>4.747</v>
      </c>
      <c r="K574" s="5" t="n">
        <v>0</v>
      </c>
      <c r="L574" s="5" t="n">
        <v>1</v>
      </c>
      <c r="M574" s="5" t="n">
        <v>7.964</v>
      </c>
      <c r="N574" s="5" t="n">
        <v>3.43</v>
      </c>
      <c r="O574" s="5" t="n">
        <v>0</v>
      </c>
      <c r="P574" s="5" t="n">
        <v>7.964</v>
      </c>
      <c r="Q574" s="5" t="n">
        <v>0</v>
      </c>
      <c r="R574" s="5" t="n">
        <v>1</v>
      </c>
      <c r="S574" s="5" t="n">
        <v>10.464</v>
      </c>
      <c r="T574" s="5" t="n">
        <v>6.86</v>
      </c>
      <c r="U574" s="5" t="n">
        <v>0</v>
      </c>
      <c r="V574" s="5" t="n">
        <v>11.615</v>
      </c>
      <c r="W574" s="5" t="n">
        <v>0.11</v>
      </c>
      <c r="X574" s="5" t="n">
        <v>1</v>
      </c>
      <c r="Y574" s="5" t="n">
        <v>5.626</v>
      </c>
      <c r="Z574" s="5" t="n">
        <v>0.694</v>
      </c>
      <c r="AA574" s="5" t="n">
        <v>0</v>
      </c>
      <c r="AB574" s="5" t="n">
        <v>5.626</v>
      </c>
      <c r="AC574" s="5" t="n">
        <v>0</v>
      </c>
      <c r="AD574" s="5" t="n">
        <v>1</v>
      </c>
      <c r="AE574" s="5" t="n">
        <v>6.769</v>
      </c>
      <c r="AF574" s="5" t="n">
        <v>1.476</v>
      </c>
      <c r="AG574" s="5" t="n">
        <v>0</v>
      </c>
      <c r="AH574" s="5" t="n">
        <v>6.769</v>
      </c>
      <c r="AI574" s="5" t="n">
        <v>0</v>
      </c>
      <c r="AJ574" s="5" t="n">
        <v>1</v>
      </c>
      <c r="AK574" s="5" t="n">
        <v>13.629</v>
      </c>
      <c r="AL574" s="5" t="n">
        <v>7.072</v>
      </c>
      <c r="AM574" s="5" t="n">
        <v>0</v>
      </c>
      <c r="AN574" s="5" t="n">
        <v>15.128</v>
      </c>
      <c r="AO574" s="5" t="n">
        <v>0.11</v>
      </c>
      <c r="AP574" s="5" t="n">
        <v>1</v>
      </c>
      <c r="AQ574" s="5" t="n">
        <v>0.621</v>
      </c>
      <c r="AR574" s="5" t="n">
        <v>0.114</v>
      </c>
      <c r="AS574" s="5" t="n">
        <v>0</v>
      </c>
      <c r="AT574" s="5" t="n">
        <v>0.6889999999999999</v>
      </c>
      <c r="AU574" s="5" t="n">
        <v>0.11</v>
      </c>
      <c r="AV574" s="5" t="n">
        <v>1</v>
      </c>
      <c r="AW574" s="5" t="n">
        <v>0.593</v>
      </c>
      <c r="AX574" s="5" t="n">
        <v>0.114</v>
      </c>
      <c r="AY574" s="5" t="n">
        <v>0</v>
      </c>
      <c r="AZ574" s="5" t="n">
        <v>0.658</v>
      </c>
      <c r="BA574" s="5" t="n">
        <v>0.11</v>
      </c>
      <c r="BB574" s="5" t="n">
        <v>1</v>
      </c>
      <c r="BC574" s="5" t="n">
        <v>0.44</v>
      </c>
      <c r="BD574" s="5" t="n">
        <v>0.114</v>
      </c>
      <c r="BE574" s="5" t="n">
        <v>0</v>
      </c>
      <c r="BF574" s="5" t="n">
        <v>0.488</v>
      </c>
      <c r="BG574" s="5" t="n">
        <v>0.11</v>
      </c>
      <c r="BH574" s="5" t="n">
        <v>1</v>
      </c>
      <c r="BI574" s="5" t="n">
        <v>0.5600000000000001</v>
      </c>
      <c r="BJ574" s="5" t="n">
        <v>0.114</v>
      </c>
      <c r="BK574" s="5" t="n">
        <v>0</v>
      </c>
      <c r="BL574" s="5" t="n">
        <v>0.622</v>
      </c>
      <c r="BM574" s="5" t="n">
        <v>0.11</v>
      </c>
      <c r="BN574" s="5" t="n">
        <v>1</v>
      </c>
      <c r="BO574" s="5" t="n">
        <v>0</v>
      </c>
      <c r="BP574" s="5" t="n">
        <v>0</v>
      </c>
      <c r="BQ574" s="5" t="n">
        <v>0</v>
      </c>
      <c r="BR574" s="5" t="n">
        <v>0</v>
      </c>
      <c r="BS574" s="5" t="n">
        <v>1</v>
      </c>
      <c r="BT574" s="5" t="n">
        <v>0</v>
      </c>
      <c r="BU574" s="5" t="n">
        <v>0</v>
      </c>
      <c r="BV574" s="5" t="n">
        <v>0</v>
      </c>
      <c r="BW574" s="5" t="n">
        <v>0.11</v>
      </c>
      <c r="BX574" s="5" t="n">
        <v>1</v>
      </c>
      <c r="BY574" s="5" t="n">
        <v>11.787</v>
      </c>
      <c r="BZ574" s="5" t="n">
        <v>0</v>
      </c>
      <c r="CA574" s="5" t="n">
        <v>11.787</v>
      </c>
      <c r="CB574" s="5" t="n">
        <v>0</v>
      </c>
      <c r="CC574" s="5" t="n">
        <v>81.69499999999999</v>
      </c>
      <c r="CD574" s="5" t="n">
        <v>7.95</v>
      </c>
      <c r="CE574" s="5" t="n">
        <v>0</v>
      </c>
      <c r="CF574" s="5" t="n">
        <v>90.682</v>
      </c>
      <c r="CG574" s="5" t="n">
        <v>0.11</v>
      </c>
      <c r="CH574" s="5" t="n">
        <v>1</v>
      </c>
      <c r="CI574" s="5" t="n">
        <v>0</v>
      </c>
      <c r="CJ574" s="5" t="n">
        <v>0</v>
      </c>
      <c r="CK574" s="5" t="n">
        <v>0</v>
      </c>
      <c r="CL574" s="5" t="n">
        <v>0</v>
      </c>
      <c r="CM574" s="5" t="n">
        <v>0</v>
      </c>
      <c r="CN574" s="5" t="n">
        <v>0</v>
      </c>
      <c r="CO574" s="5" t="n">
        <v>0</v>
      </c>
      <c r="CP574" s="5" t="n">
        <v>0</v>
      </c>
      <c r="CQ574" s="5" t="n">
        <v>1.198</v>
      </c>
      <c r="CR574" s="5" t="n">
        <v>0</v>
      </c>
      <c r="CS574" s="5" t="n">
        <v>4.776</v>
      </c>
      <c r="CT574" s="5" t="n">
        <v>3.604</v>
      </c>
      <c r="CU574" s="5" t="n">
        <v>9.407999999999999</v>
      </c>
    </row>
    <row r="575">
      <c r="A575" s="5" t="inlineStr">
        <is>
          <t>NCL2022</t>
        </is>
      </c>
      <c r="B575" s="5" t="inlineStr">
        <is>
          <t>NCL</t>
        </is>
      </c>
      <c r="C575" s="5" t="inlineStr">
        <is>
          <t>NCL</t>
        </is>
      </c>
      <c r="D575" s="5" t="inlineStr">
        <is>
          <t>New Caledonia</t>
        </is>
      </c>
      <c r="E575" s="5" t="n">
        <v>2022</v>
      </c>
      <c r="F575" s="5" t="n">
        <v>0.11</v>
      </c>
      <c r="G575" s="5" t="n">
        <v>8.788</v>
      </c>
      <c r="H575" s="5" t="n">
        <v>1.235</v>
      </c>
      <c r="I575" s="5" t="n">
        <v>0</v>
      </c>
      <c r="J575" s="5" t="n">
        <v>8.788</v>
      </c>
      <c r="K575" s="5" t="n">
        <v>0</v>
      </c>
      <c r="L575" s="5" t="n">
        <v>1</v>
      </c>
      <c r="M575" s="5" t="n">
        <v>9.782999999999999</v>
      </c>
      <c r="N575" s="5" t="n">
        <v>3.704</v>
      </c>
      <c r="O575" s="5" t="n">
        <v>0</v>
      </c>
      <c r="P575" s="5" t="n">
        <v>9.782999999999999</v>
      </c>
      <c r="Q575" s="5" t="n">
        <v>0</v>
      </c>
      <c r="R575" s="5" t="n">
        <v>1</v>
      </c>
      <c r="S575" s="5" t="n">
        <v>14.962</v>
      </c>
      <c r="T575" s="5" t="n">
        <v>7.408</v>
      </c>
      <c r="U575" s="5" t="n">
        <v>0.122</v>
      </c>
      <c r="V575" s="5" t="n">
        <v>16.608</v>
      </c>
      <c r="W575" s="5" t="n">
        <v>0.11</v>
      </c>
      <c r="X575" s="5" t="n">
        <v>1</v>
      </c>
      <c r="Y575" s="5" t="n">
        <v>6.599</v>
      </c>
      <c r="Z575" s="5" t="n">
        <v>0.8139999999999999</v>
      </c>
      <c r="AA575" s="5" t="n">
        <v>0</v>
      </c>
      <c r="AB575" s="5" t="n">
        <v>6.599</v>
      </c>
      <c r="AC575" s="5" t="n">
        <v>0</v>
      </c>
      <c r="AD575" s="5" t="n">
        <v>1</v>
      </c>
      <c r="AE575" s="5" t="n">
        <v>7.834</v>
      </c>
      <c r="AF575" s="5" t="n">
        <v>1.708</v>
      </c>
      <c r="AG575" s="5" t="n">
        <v>0</v>
      </c>
      <c r="AH575" s="5" t="n">
        <v>7.834</v>
      </c>
      <c r="AI575" s="5" t="n">
        <v>0</v>
      </c>
      <c r="AJ575" s="5" t="n">
        <v>1</v>
      </c>
      <c r="AK575" s="5" t="n">
        <v>15.242</v>
      </c>
      <c r="AL575" s="5" t="n">
        <v>7.909</v>
      </c>
      <c r="AM575" s="5" t="n">
        <v>0.124</v>
      </c>
      <c r="AN575" s="5" t="n">
        <v>16.919</v>
      </c>
      <c r="AO575" s="5" t="n">
        <v>0.11</v>
      </c>
      <c r="AP575" s="5" t="n">
        <v>1</v>
      </c>
      <c r="AQ575" s="5" t="n">
        <v>0.847</v>
      </c>
      <c r="AR575" s="5" t="n">
        <v>0.123</v>
      </c>
      <c r="AS575" s="5" t="n">
        <v>0.007</v>
      </c>
      <c r="AT575" s="5" t="n">
        <v>0.9399999999999999</v>
      </c>
      <c r="AU575" s="5" t="n">
        <v>0.11</v>
      </c>
      <c r="AV575" s="5" t="n">
        <v>1</v>
      </c>
      <c r="AW575" s="5" t="n">
        <v>0.947</v>
      </c>
      <c r="AX575" s="5" t="n">
        <v>0.123</v>
      </c>
      <c r="AY575" s="5" t="n">
        <v>0.008</v>
      </c>
      <c r="AZ575" s="5" t="n">
        <v>1.051</v>
      </c>
      <c r="BA575" s="5" t="n">
        <v>0.11</v>
      </c>
      <c r="BB575" s="5" t="n">
        <v>1</v>
      </c>
      <c r="BC575" s="5" t="n">
        <v>0.589</v>
      </c>
      <c r="BD575" s="5" t="n">
        <v>0.123</v>
      </c>
      <c r="BE575" s="5" t="n">
        <v>0.005</v>
      </c>
      <c r="BF575" s="5" t="n">
        <v>0.653</v>
      </c>
      <c r="BG575" s="5" t="n">
        <v>0.11</v>
      </c>
      <c r="BH575" s="5" t="n">
        <v>1</v>
      </c>
      <c r="BI575" s="5" t="n">
        <v>0.6889999999999999</v>
      </c>
      <c r="BJ575" s="5" t="n">
        <v>0.123</v>
      </c>
      <c r="BK575" s="5" t="n">
        <v>0.006</v>
      </c>
      <c r="BL575" s="5" t="n">
        <v>0.765</v>
      </c>
      <c r="BM575" s="5" t="n">
        <v>0.11</v>
      </c>
      <c r="BN575" s="5" t="n">
        <v>1</v>
      </c>
      <c r="BO575" s="5" t="n">
        <v>0</v>
      </c>
      <c r="BP575" s="5" t="n">
        <v>0</v>
      </c>
      <c r="BQ575" s="5" t="n">
        <v>0</v>
      </c>
      <c r="BR575" s="5" t="n">
        <v>0</v>
      </c>
      <c r="BS575" s="5" t="n">
        <v>1</v>
      </c>
      <c r="BT575" s="5" t="n">
        <v>0</v>
      </c>
      <c r="BU575" s="5" t="n">
        <v>0</v>
      </c>
      <c r="BV575" s="5" t="n">
        <v>0</v>
      </c>
      <c r="BW575" s="5" t="n">
        <v>0.11</v>
      </c>
      <c r="BX575" s="5" t="n">
        <v>1</v>
      </c>
      <c r="BY575" s="5" t="n">
        <v>12.729</v>
      </c>
      <c r="BZ575" s="5" t="n">
        <v>0</v>
      </c>
      <c r="CA575" s="5" t="n">
        <v>12.729</v>
      </c>
      <c r="CB575" s="5" t="n">
        <v>0</v>
      </c>
      <c r="CC575" s="5" t="n">
        <v>102.477</v>
      </c>
      <c r="CD575" s="5" t="n">
        <v>7.95</v>
      </c>
      <c r="CE575" s="5" t="n">
        <v>0.834</v>
      </c>
      <c r="CF575" s="5" t="n">
        <v>113.749</v>
      </c>
      <c r="CG575" s="5" t="n">
        <v>0.11</v>
      </c>
      <c r="CH575" s="5" t="n">
        <v>1</v>
      </c>
      <c r="CI575" s="5" t="n">
        <v>0</v>
      </c>
      <c r="CJ575" s="5" t="n">
        <v>0</v>
      </c>
      <c r="CK575" s="5" t="n">
        <v>0</v>
      </c>
      <c r="CL575" s="5" t="n">
        <v>0</v>
      </c>
      <c r="CM575" s="5" t="n">
        <v>0</v>
      </c>
      <c r="CN575" s="5" t="n">
        <v>0</v>
      </c>
      <c r="CO575" s="5" t="n">
        <v>0</v>
      </c>
      <c r="CP575" s="5" t="n">
        <v>0</v>
      </c>
      <c r="CQ575" s="5" t="n">
        <v>1.294</v>
      </c>
      <c r="CR575" s="5" t="n">
        <v>0</v>
      </c>
      <c r="CS575" s="5" t="n">
        <v>5.158</v>
      </c>
      <c r="CT575" s="5" t="n">
        <v>7.554</v>
      </c>
      <c r="CU575" s="5" t="n">
        <v>16.097</v>
      </c>
    </row>
    <row r="576">
      <c r="A576" s="5" t="inlineStr">
        <is>
          <t>NCL2023</t>
        </is>
      </c>
      <c r="B576" s="5" t="inlineStr">
        <is>
          <t>NCL</t>
        </is>
      </c>
      <c r="C576" s="5" t="inlineStr">
        <is>
          <t>NCL</t>
        </is>
      </c>
      <c r="D576" s="5" t="inlineStr">
        <is>
          <t>New Caledonia</t>
        </is>
      </c>
      <c r="E576" s="5" t="n">
        <v>2023</v>
      </c>
      <c r="F576" s="5" t="n">
        <v>0.11</v>
      </c>
      <c r="G576" s="5" t="n">
        <v>5.77</v>
      </c>
      <c r="H576" s="5" t="n">
        <v>1.286</v>
      </c>
      <c r="I576" s="5" t="n">
        <v>0</v>
      </c>
      <c r="J576" s="5" t="n">
        <v>5.77</v>
      </c>
      <c r="K576" s="5" t="n">
        <v>0</v>
      </c>
      <c r="L576" s="5" t="n">
        <v>1</v>
      </c>
      <c r="M576" s="5" t="n">
        <v>7.886</v>
      </c>
      <c r="N576" s="5" t="n">
        <v>3.857</v>
      </c>
      <c r="O576" s="5" t="n">
        <v>0</v>
      </c>
      <c r="P576" s="5" t="n">
        <v>7.886</v>
      </c>
      <c r="Q576" s="5" t="n">
        <v>0</v>
      </c>
      <c r="R576" s="5" t="n">
        <v>1</v>
      </c>
      <c r="S576" s="5" t="n">
        <v>12.198</v>
      </c>
      <c r="T576" s="5" t="n">
        <v>7.714</v>
      </c>
      <c r="U576" s="5" t="n">
        <v>0.149</v>
      </c>
      <c r="V576" s="5" t="n">
        <v>13.54</v>
      </c>
      <c r="W576" s="5" t="n">
        <v>0.11</v>
      </c>
      <c r="X576" s="5" t="n">
        <v>1</v>
      </c>
      <c r="Y576" s="5" t="n">
        <v>6.498</v>
      </c>
      <c r="Z576" s="5" t="n">
        <v>0.802</v>
      </c>
      <c r="AA576" s="5" t="n">
        <v>0</v>
      </c>
      <c r="AB576" s="5" t="n">
        <v>6.498</v>
      </c>
      <c r="AC576" s="5" t="n">
        <v>0</v>
      </c>
      <c r="AD576" s="5" t="n">
        <v>1</v>
      </c>
      <c r="AE576" s="5" t="n">
        <v>7.784</v>
      </c>
      <c r="AF576" s="5" t="n">
        <v>1.697</v>
      </c>
      <c r="AG576" s="5" t="n">
        <v>0</v>
      </c>
      <c r="AH576" s="5" t="n">
        <v>7.784</v>
      </c>
      <c r="AI576" s="5" t="n">
        <v>0</v>
      </c>
      <c r="AJ576" s="5" t="n">
        <v>1</v>
      </c>
      <c r="AK576" s="5" t="n">
        <v>15.498</v>
      </c>
      <c r="AL576" s="5" t="n">
        <v>8.042</v>
      </c>
      <c r="AM576" s="5" t="n">
        <v>0.189</v>
      </c>
      <c r="AN576" s="5" t="n">
        <v>17.202</v>
      </c>
      <c r="AO576" s="5" t="n">
        <v>0.11</v>
      </c>
      <c r="AP576" s="5" t="n">
        <v>1</v>
      </c>
      <c r="AQ576" s="5" t="n">
        <v>0.749</v>
      </c>
      <c r="AR576" s="5" t="n">
        <v>0.129</v>
      </c>
      <c r="AS576" s="5" t="n">
        <v>0.008999999999999999</v>
      </c>
      <c r="AT576" s="5" t="n">
        <v>0.831</v>
      </c>
      <c r="AU576" s="5" t="n">
        <v>0.11</v>
      </c>
      <c r="AV576" s="5" t="n">
        <v>1</v>
      </c>
      <c r="AW576" s="5" t="n">
        <v>0.783</v>
      </c>
      <c r="AX576" s="5" t="n">
        <v>0.129</v>
      </c>
      <c r="AY576" s="5" t="n">
        <v>0.01</v>
      </c>
      <c r="AZ576" s="5" t="n">
        <v>0.869</v>
      </c>
      <c r="BA576" s="5" t="n">
        <v>0.11</v>
      </c>
      <c r="BB576" s="5" t="n">
        <v>1</v>
      </c>
      <c r="BC576" s="5" t="n">
        <v>0.527</v>
      </c>
      <c r="BD576" s="5" t="n">
        <v>0.129</v>
      </c>
      <c r="BE576" s="5" t="n">
        <v>0.006</v>
      </c>
      <c r="BF576" s="5" t="n">
        <v>0.585</v>
      </c>
      <c r="BG576" s="5" t="n">
        <v>0.11</v>
      </c>
      <c r="BH576" s="5" t="n">
        <v>1</v>
      </c>
      <c r="BI576" s="5" t="n">
        <v>0.64</v>
      </c>
      <c r="BJ576" s="5" t="n">
        <v>0.129</v>
      </c>
      <c r="BK576" s="5" t="n">
        <v>0.008</v>
      </c>
      <c r="BL576" s="5" t="n">
        <v>0.71</v>
      </c>
      <c r="BM576" s="5" t="n">
        <v>0.11</v>
      </c>
      <c r="BN576" s="5" t="n">
        <v>1</v>
      </c>
      <c r="BO576" s="5" t="n">
        <v>0</v>
      </c>
      <c r="BP576" s="5" t="n">
        <v>0</v>
      </c>
      <c r="BQ576" s="5" t="n">
        <v>0</v>
      </c>
      <c r="BR576" s="5" t="n">
        <v>0</v>
      </c>
      <c r="BS576" s="5" t="n">
        <v>1</v>
      </c>
      <c r="BT576" s="5" t="n">
        <v>0</v>
      </c>
      <c r="BU576" s="5" t="n">
        <v>0</v>
      </c>
      <c r="BV576" s="5" t="n">
        <v>0</v>
      </c>
      <c r="BW576" s="5" t="n">
        <v>0.11</v>
      </c>
      <c r="BX576" s="5" t="n">
        <v>1</v>
      </c>
      <c r="BY576" s="5" t="n">
        <v>13.254</v>
      </c>
      <c r="BZ576" s="5" t="n">
        <v>0</v>
      </c>
      <c r="CA576" s="5" t="n">
        <v>13.254</v>
      </c>
      <c r="CB576" s="5" t="n">
        <v>0</v>
      </c>
      <c r="CC576" s="5" t="n">
        <v>87.07899999999999</v>
      </c>
      <c r="CD576" s="5" t="n">
        <v>7.95</v>
      </c>
      <c r="CE576" s="5" t="n">
        <v>1.061</v>
      </c>
      <c r="CF576" s="5" t="n">
        <v>96.658</v>
      </c>
      <c r="CG576" s="5" t="n">
        <v>0.11</v>
      </c>
      <c r="CH576" s="5" t="n">
        <v>1</v>
      </c>
      <c r="CI576" s="5" t="n">
        <v>0</v>
      </c>
      <c r="CJ576" s="5" t="n">
        <v>0</v>
      </c>
      <c r="CK576" s="5" t="n">
        <v>0</v>
      </c>
      <c r="CL576" s="5" t="n">
        <v>0</v>
      </c>
      <c r="CM576" s="5" t="n">
        <v>0</v>
      </c>
      <c r="CN576" s="5" t="n">
        <v>0</v>
      </c>
      <c r="CO576" s="5" t="n">
        <v>0</v>
      </c>
      <c r="CP576" s="5" t="n">
        <v>0</v>
      </c>
      <c r="CQ576" s="5" t="n">
        <v>1.348</v>
      </c>
      <c r="CR576" s="5" t="n">
        <v>0</v>
      </c>
      <c r="CS576" s="5" t="n">
        <v>5.37</v>
      </c>
      <c r="CT576" s="5" t="n">
        <v>4.484</v>
      </c>
      <c r="CU576" s="5" t="n">
        <v>12.529</v>
      </c>
    </row>
    <row r="577">
      <c r="A577" s="5" t="inlineStr">
        <is>
          <t>NCL2024</t>
        </is>
      </c>
      <c r="B577" s="5" t="inlineStr">
        <is>
          <t>NCL</t>
        </is>
      </c>
      <c r="C577" s="5" t="inlineStr">
        <is>
          <t>NCL</t>
        </is>
      </c>
      <c r="D577" s="5" t="inlineStr">
        <is>
          <t>New Caledonia</t>
        </is>
      </c>
      <c r="E577" s="5" t="n">
        <v>2024</v>
      </c>
      <c r="F577" s="5" t="n">
        <v>0.11</v>
      </c>
      <c r="G577" s="5" t="n">
        <v>4.833</v>
      </c>
      <c r="H577" s="5" t="n">
        <v>1.324</v>
      </c>
      <c r="I577" s="5" t="n">
        <v>0</v>
      </c>
      <c r="J577" s="5" t="n">
        <v>4.833</v>
      </c>
      <c r="K577" s="5" t="n">
        <v>0</v>
      </c>
      <c r="L577" s="5" t="n">
        <v>1</v>
      </c>
      <c r="M577" s="5" t="n">
        <v>7.124</v>
      </c>
      <c r="N577" s="5" t="n">
        <v>3.971</v>
      </c>
      <c r="O577" s="5" t="n">
        <v>0</v>
      </c>
      <c r="P577" s="5" t="n">
        <v>7.124</v>
      </c>
      <c r="Q577" s="5" t="n">
        <v>0</v>
      </c>
      <c r="R577" s="5" t="n">
        <v>1</v>
      </c>
      <c r="S577" s="5" t="n">
        <v>11.451</v>
      </c>
      <c r="T577" s="5" t="n">
        <v>7.942</v>
      </c>
      <c r="U577" s="5" t="n">
        <v>0.172</v>
      </c>
      <c r="V577" s="5" t="n">
        <v>12.71</v>
      </c>
      <c r="W577" s="5" t="n">
        <v>0.11</v>
      </c>
      <c r="X577" s="5" t="n">
        <v>1</v>
      </c>
      <c r="Y577" s="5" t="n">
        <v>6.513</v>
      </c>
      <c r="Z577" s="5" t="n">
        <v>0.804</v>
      </c>
      <c r="AA577" s="5" t="n">
        <v>0</v>
      </c>
      <c r="AB577" s="5" t="n">
        <v>6.513</v>
      </c>
      <c r="AC577" s="5" t="n">
        <v>0</v>
      </c>
      <c r="AD577" s="5" t="n">
        <v>1</v>
      </c>
      <c r="AE577" s="5" t="n">
        <v>7.837</v>
      </c>
      <c r="AF577" s="5" t="n">
        <v>1.708</v>
      </c>
      <c r="AG577" s="5" t="n">
        <v>0</v>
      </c>
      <c r="AH577" s="5" t="n">
        <v>7.837</v>
      </c>
      <c r="AI577" s="5" t="n">
        <v>0</v>
      </c>
      <c r="AJ577" s="5" t="n">
        <v>1</v>
      </c>
      <c r="AK577" s="5" t="n">
        <v>15.778</v>
      </c>
      <c r="AL577" s="5" t="n">
        <v>8.186999999999999</v>
      </c>
      <c r="AM577" s="5" t="n">
        <v>0.236</v>
      </c>
      <c r="AN577" s="5" t="n">
        <v>17.514</v>
      </c>
      <c r="AO577" s="5" t="n">
        <v>0.11</v>
      </c>
      <c r="AP577" s="5" t="n">
        <v>1</v>
      </c>
      <c r="AQ577" s="5" t="n">
        <v>0.72</v>
      </c>
      <c r="AR577" s="5" t="n">
        <v>0.132</v>
      </c>
      <c r="AS577" s="5" t="n">
        <v>0.011</v>
      </c>
      <c r="AT577" s="5" t="n">
        <v>0.799</v>
      </c>
      <c r="AU577" s="5" t="n">
        <v>0.11</v>
      </c>
      <c r="AV577" s="5" t="n">
        <v>1</v>
      </c>
      <c r="AW577" s="5" t="n">
        <v>0.734</v>
      </c>
      <c r="AX577" s="5" t="n">
        <v>0.132</v>
      </c>
      <c r="AY577" s="5" t="n">
        <v>0.011</v>
      </c>
      <c r="AZ577" s="5" t="n">
        <v>0.8139999999999999</v>
      </c>
      <c r="BA577" s="5" t="n">
        <v>0.11</v>
      </c>
      <c r="BB577" s="5" t="n">
        <v>1</v>
      </c>
      <c r="BC577" s="5" t="n">
        <v>0.51</v>
      </c>
      <c r="BD577" s="5" t="n">
        <v>0.132</v>
      </c>
      <c r="BE577" s="5" t="n">
        <v>0.008</v>
      </c>
      <c r="BF577" s="5" t="n">
        <v>0.5659999999999999</v>
      </c>
      <c r="BG577" s="5" t="n">
        <v>0.11</v>
      </c>
      <c r="BH577" s="5" t="n">
        <v>1</v>
      </c>
      <c r="BI577" s="5" t="n">
        <v>0.652</v>
      </c>
      <c r="BJ577" s="5" t="n">
        <v>0.132</v>
      </c>
      <c r="BK577" s="5" t="n">
        <v>0.01</v>
      </c>
      <c r="BL577" s="5" t="n">
        <v>0.724</v>
      </c>
      <c r="BM577" s="5" t="n">
        <v>0.11</v>
      </c>
      <c r="BN577" s="5" t="n">
        <v>1</v>
      </c>
      <c r="BO577" s="5" t="n">
        <v>0</v>
      </c>
      <c r="BP577" s="5" t="n">
        <v>0</v>
      </c>
      <c r="BQ577" s="5" t="n">
        <v>0</v>
      </c>
      <c r="BR577" s="5" t="n">
        <v>0</v>
      </c>
      <c r="BS577" s="5" t="n">
        <v>1</v>
      </c>
      <c r="BT577" s="5" t="n">
        <v>0</v>
      </c>
      <c r="BU577" s="5" t="n">
        <v>0</v>
      </c>
      <c r="BV577" s="5" t="n">
        <v>0</v>
      </c>
      <c r="BW577" s="5" t="n">
        <v>0.11</v>
      </c>
      <c r="BX577" s="5" t="n">
        <v>1</v>
      </c>
      <c r="BY577" s="5" t="n">
        <v>13.646</v>
      </c>
      <c r="BZ577" s="5" t="n">
        <v>0</v>
      </c>
      <c r="CA577" s="5" t="n">
        <v>13.646</v>
      </c>
      <c r="CB577" s="5" t="n">
        <v>0</v>
      </c>
      <c r="CC577" s="5" t="n">
        <v>86.38500000000001</v>
      </c>
      <c r="CD577" s="5" t="n">
        <v>7.95</v>
      </c>
      <c r="CE577" s="5" t="n">
        <v>1.294</v>
      </c>
      <c r="CF577" s="5" t="n">
        <v>95.88800000000001</v>
      </c>
      <c r="CG577" s="5" t="n">
        <v>0.11</v>
      </c>
      <c r="CH577" s="5" t="n">
        <v>1</v>
      </c>
      <c r="CI577" s="5" t="n">
        <v>0</v>
      </c>
      <c r="CJ577" s="5" t="n">
        <v>0</v>
      </c>
      <c r="CK577" s="5" t="n">
        <v>0</v>
      </c>
      <c r="CL577" s="5" t="n">
        <v>0</v>
      </c>
      <c r="CM577" s="5" t="n">
        <v>0</v>
      </c>
      <c r="CN577" s="5" t="n">
        <v>0</v>
      </c>
      <c r="CO577" s="5" t="n">
        <v>0</v>
      </c>
      <c r="CP577" s="5" t="n">
        <v>0</v>
      </c>
      <c r="CQ577" s="5" t="n">
        <v>1.387</v>
      </c>
      <c r="CR577" s="5" t="n">
        <v>0</v>
      </c>
      <c r="CS577" s="5" t="n">
        <v>5.529</v>
      </c>
      <c r="CT577" s="5" t="n">
        <v>3.509</v>
      </c>
      <c r="CU577" s="5" t="n">
        <v>10.896</v>
      </c>
    </row>
    <row r="578">
      <c r="A578" s="5" t="inlineStr">
        <is>
          <t>NZL2021</t>
        </is>
      </c>
      <c r="B578" s="5" t="inlineStr">
        <is>
          <t>NZL</t>
        </is>
      </c>
      <c r="C578" s="5" t="inlineStr">
        <is>
          <t>NZL</t>
        </is>
      </c>
      <c r="D578" s="5" t="inlineStr">
        <is>
          <t>New Zealand</t>
        </is>
      </c>
      <c r="E578" s="5" t="n">
        <v>2021</v>
      </c>
      <c r="F578" s="5" t="n">
        <v>0.15</v>
      </c>
      <c r="G578" s="5" t="n">
        <v>3.496</v>
      </c>
      <c r="H578" s="5" t="n">
        <v>0.903</v>
      </c>
      <c r="I578" s="5" t="n">
        <v>1.873</v>
      </c>
      <c r="J578" s="5" t="n">
        <v>5.369</v>
      </c>
      <c r="K578" s="5" t="n">
        <v>0</v>
      </c>
      <c r="L578" s="5" t="n">
        <v>1</v>
      </c>
      <c r="M578" s="5" t="n">
        <v>5.842</v>
      </c>
      <c r="N578" s="5" t="n">
        <v>2.709</v>
      </c>
      <c r="O578" s="5" t="n">
        <v>1.883</v>
      </c>
      <c r="P578" s="5" t="n">
        <v>7.725</v>
      </c>
      <c r="Q578" s="5" t="n">
        <v>0</v>
      </c>
      <c r="R578" s="5" t="n">
        <v>1</v>
      </c>
      <c r="S578" s="5" t="n">
        <v>8.012</v>
      </c>
      <c r="T578" s="5" t="n">
        <v>5.419</v>
      </c>
      <c r="U578" s="5" t="n">
        <v>1.928</v>
      </c>
      <c r="V578" s="5" t="n">
        <v>11.431</v>
      </c>
      <c r="W578" s="5" t="n">
        <v>0.15</v>
      </c>
      <c r="X578" s="5" t="n">
        <v>1</v>
      </c>
      <c r="Y578" s="5" t="n">
        <v>5.849</v>
      </c>
      <c r="Z578" s="5" t="n">
        <v>0.646</v>
      </c>
      <c r="AA578" s="5" t="n">
        <v>2.404</v>
      </c>
      <c r="AB578" s="5" t="n">
        <v>8.253</v>
      </c>
      <c r="AC578" s="5" t="n">
        <v>0</v>
      </c>
      <c r="AD578" s="5" t="n">
        <v>1</v>
      </c>
      <c r="AE578" s="5" t="n">
        <v>5.779</v>
      </c>
      <c r="AF578" s="5" t="n">
        <v>1.137</v>
      </c>
      <c r="AG578" s="5" t="n">
        <v>2.475</v>
      </c>
      <c r="AH578" s="5" t="n">
        <v>8.253</v>
      </c>
      <c r="AI578" s="5" t="n">
        <v>0</v>
      </c>
      <c r="AJ578" s="5" t="n">
        <v>1</v>
      </c>
      <c r="AK578" s="5" t="n">
        <v>22.175</v>
      </c>
      <c r="AL578" s="5" t="n">
        <v>10.884</v>
      </c>
      <c r="AM578" s="5" t="n">
        <v>1.9</v>
      </c>
      <c r="AN578" s="5" t="n">
        <v>27.686</v>
      </c>
      <c r="AO578" s="5" t="n">
        <v>0.15</v>
      </c>
      <c r="AP578" s="5" t="n">
        <v>1</v>
      </c>
      <c r="AQ578" s="5" t="n">
        <v>0.621</v>
      </c>
      <c r="AR578" s="5" t="n">
        <v>0.114</v>
      </c>
      <c r="AS578" s="5" t="n">
        <v>0.737</v>
      </c>
      <c r="AT578" s="5" t="n">
        <v>1.562</v>
      </c>
      <c r="AU578" s="5" t="n">
        <v>0.15</v>
      </c>
      <c r="AV578" s="5" t="n">
        <v>1</v>
      </c>
      <c r="AW578" s="5" t="n">
        <v>0.593</v>
      </c>
      <c r="AX578" s="5" t="n">
        <v>0.114</v>
      </c>
      <c r="AY578" s="5" t="n">
        <v>0.28</v>
      </c>
      <c r="AZ578" s="5" t="n">
        <v>1.004</v>
      </c>
      <c r="BA578" s="5" t="n">
        <v>0.15</v>
      </c>
      <c r="BB578" s="5" t="n">
        <v>1</v>
      </c>
      <c r="BC578" s="5" t="n">
        <v>0.44</v>
      </c>
      <c r="BD578" s="5" t="n">
        <v>0.114</v>
      </c>
      <c r="BE578" s="5" t="n">
        <v>0.536</v>
      </c>
      <c r="BF578" s="5" t="n">
        <v>1.122</v>
      </c>
      <c r="BG578" s="5" t="n">
        <v>0.15</v>
      </c>
      <c r="BH578" s="5" t="n">
        <v>1</v>
      </c>
      <c r="BI578" s="5" t="n">
        <v>0.5600000000000001</v>
      </c>
      <c r="BJ578" s="5" t="n">
        <v>0.114</v>
      </c>
      <c r="BK578" s="5" t="n">
        <v>-0.023</v>
      </c>
      <c r="BL578" s="5" t="n">
        <v>0.618</v>
      </c>
      <c r="BM578" s="5" t="n">
        <v>0.15</v>
      </c>
      <c r="BN578" s="5" t="n">
        <v>1</v>
      </c>
      <c r="BO578" s="5" t="n">
        <v>0</v>
      </c>
      <c r="BP578" s="5" t="n">
        <v>0.008999999999999999</v>
      </c>
      <c r="BQ578" s="5" t="n">
        <v>0.113</v>
      </c>
      <c r="BR578" s="5" t="n">
        <v>0</v>
      </c>
      <c r="BS578" s="5" t="n">
        <v>1</v>
      </c>
      <c r="BT578" s="5" t="n">
        <v>0</v>
      </c>
      <c r="BU578" s="5" t="n">
        <v>0</v>
      </c>
      <c r="BV578" s="5" t="n">
        <v>0.203</v>
      </c>
      <c r="BW578" s="5" t="n">
        <v>0.15</v>
      </c>
      <c r="BX578" s="5" t="n">
        <v>0.667</v>
      </c>
      <c r="BY578" s="5" t="n">
        <v>11.787</v>
      </c>
      <c r="BZ578" s="5" t="n">
        <v>0</v>
      </c>
      <c r="CA578" s="5" t="n">
        <v>11.787</v>
      </c>
      <c r="CB578" s="5" t="n">
        <v>0</v>
      </c>
      <c r="CC578" s="5" t="n">
        <v>81.69499999999999</v>
      </c>
      <c r="CD578" s="5" t="n">
        <v>7.95</v>
      </c>
      <c r="CE578" s="5" t="n">
        <v>-8.095000000000001</v>
      </c>
      <c r="CF578" s="5" t="n">
        <v>84.64</v>
      </c>
      <c r="CG578" s="5" t="n">
        <v>0</v>
      </c>
      <c r="CH578" s="5" t="n">
        <v>1</v>
      </c>
      <c r="CI578" s="5" t="n">
        <v>0</v>
      </c>
      <c r="CJ578" s="5" t="n">
        <v>0</v>
      </c>
      <c r="CK578" s="5" t="n">
        <v>0</v>
      </c>
      <c r="CL578" s="5" t="n">
        <v>0</v>
      </c>
      <c r="CM578" s="5" t="n">
        <v>0</v>
      </c>
      <c r="CN578" s="5" t="n">
        <v>0</v>
      </c>
      <c r="CO578" s="5" t="n">
        <v>0</v>
      </c>
      <c r="CP578" s="5" t="n">
        <v>0.42</v>
      </c>
      <c r="CQ578" s="5" t="n">
        <v>1.198</v>
      </c>
      <c r="CR578" s="5" t="n">
        <v>0</v>
      </c>
      <c r="CS578" s="5" t="n">
        <v>5.042</v>
      </c>
      <c r="CT578" s="5" t="n">
        <v>3.604</v>
      </c>
      <c r="CU578" s="5" t="n">
        <v>9.407999999999999</v>
      </c>
    </row>
    <row r="579">
      <c r="A579" s="5" t="inlineStr">
        <is>
          <t>NZL2022</t>
        </is>
      </c>
      <c r="B579" s="5" t="inlineStr">
        <is>
          <t>NZL</t>
        </is>
      </c>
      <c r="C579" s="5" t="inlineStr">
        <is>
          <t>NZL</t>
        </is>
      </c>
      <c r="D579" s="5" t="inlineStr">
        <is>
          <t>New Zealand</t>
        </is>
      </c>
      <c r="E579" s="5" t="n">
        <v>2022</v>
      </c>
      <c r="F579" s="5" t="n">
        <v>0.15</v>
      </c>
      <c r="G579" s="5" t="n">
        <v>4.368</v>
      </c>
      <c r="H579" s="5" t="n">
        <v>0.838</v>
      </c>
      <c r="I579" s="5" t="n">
        <v>4.962</v>
      </c>
      <c r="J579" s="5" t="n">
        <v>9.33</v>
      </c>
      <c r="K579" s="5" t="n">
        <v>0</v>
      </c>
      <c r="L579" s="5" t="n">
        <v>1</v>
      </c>
      <c r="M579" s="5" t="n">
        <v>5.517</v>
      </c>
      <c r="N579" s="5" t="n">
        <v>2.514</v>
      </c>
      <c r="O579" s="5" t="n">
        <v>4.989</v>
      </c>
      <c r="P579" s="5" t="n">
        <v>10.506</v>
      </c>
      <c r="Q579" s="5" t="n">
        <v>0</v>
      </c>
      <c r="R579" s="5" t="n">
        <v>1</v>
      </c>
      <c r="S579" s="5" t="n">
        <v>8.558</v>
      </c>
      <c r="T579" s="5" t="n">
        <v>5.027</v>
      </c>
      <c r="U579" s="5" t="n">
        <v>5.26</v>
      </c>
      <c r="V579" s="5" t="n">
        <v>15.716</v>
      </c>
      <c r="W579" s="5" t="n">
        <v>0.15</v>
      </c>
      <c r="X579" s="5" t="n">
        <v>1</v>
      </c>
      <c r="Y579" s="5" t="n">
        <v>12.63</v>
      </c>
      <c r="Z579" s="5" t="n">
        <v>1.325</v>
      </c>
      <c r="AA579" s="5" t="n">
        <v>-1.354</v>
      </c>
      <c r="AB579" s="5" t="n">
        <v>11.276</v>
      </c>
      <c r="AC579" s="5" t="n">
        <v>0</v>
      </c>
      <c r="AD579" s="5" t="n">
        <v>1</v>
      </c>
      <c r="AE579" s="5" t="n">
        <v>12.651</v>
      </c>
      <c r="AF579" s="5" t="n">
        <v>2.345</v>
      </c>
      <c r="AG579" s="5" t="n">
        <v>-1.374</v>
      </c>
      <c r="AH579" s="5" t="n">
        <v>11.276</v>
      </c>
      <c r="AI579" s="5" t="n">
        <v>0</v>
      </c>
      <c r="AJ579" s="5" t="n">
        <v>1</v>
      </c>
      <c r="AK579" s="5" t="n">
        <v>29.595</v>
      </c>
      <c r="AL579" s="5" t="n">
        <v>14.133</v>
      </c>
      <c r="AM579" s="5" t="n">
        <v>-6.076</v>
      </c>
      <c r="AN579" s="5" t="n">
        <v>27.047</v>
      </c>
      <c r="AO579" s="5" t="n">
        <v>0.15</v>
      </c>
      <c r="AP579" s="5" t="n">
        <v>1</v>
      </c>
      <c r="AQ579" s="5" t="n">
        <v>0.847</v>
      </c>
      <c r="AR579" s="5" t="n">
        <v>0.123</v>
      </c>
      <c r="AS579" s="5" t="n">
        <v>0.63</v>
      </c>
      <c r="AT579" s="5" t="n">
        <v>1.699</v>
      </c>
      <c r="AU579" s="5" t="n">
        <v>0.15</v>
      </c>
      <c r="AV579" s="5" t="n">
        <v>1</v>
      </c>
      <c r="AW579" s="5" t="n">
        <v>0.947</v>
      </c>
      <c r="AX579" s="5" t="n">
        <v>0.123</v>
      </c>
      <c r="AY579" s="5" t="n">
        <v>0.347</v>
      </c>
      <c r="AZ579" s="5" t="n">
        <v>1.488</v>
      </c>
      <c r="BA579" s="5" t="n">
        <v>0.15</v>
      </c>
      <c r="BB579" s="5" t="n">
        <v>1</v>
      </c>
      <c r="BC579" s="5" t="n">
        <v>0.589</v>
      </c>
      <c r="BD579" s="5" t="n">
        <v>0.123</v>
      </c>
      <c r="BE579" s="5" t="n">
        <v>0.516</v>
      </c>
      <c r="BF579" s="5" t="n">
        <v>1.27</v>
      </c>
      <c r="BG579" s="5" t="n">
        <v>0.15</v>
      </c>
      <c r="BH579" s="5" t="n">
        <v>1</v>
      </c>
      <c r="BI579" s="5" t="n">
        <v>0.6889999999999999</v>
      </c>
      <c r="BJ579" s="5" t="n">
        <v>0.123</v>
      </c>
      <c r="BK579" s="5" t="n">
        <v>-0.081</v>
      </c>
      <c r="BL579" s="5" t="n">
        <v>0.699</v>
      </c>
      <c r="BM579" s="5" t="n">
        <v>0.15</v>
      </c>
      <c r="BN579" s="5" t="n">
        <v>1</v>
      </c>
      <c r="BO579" s="5" t="n">
        <v>0</v>
      </c>
      <c r="BP579" s="5" t="n">
        <v>0</v>
      </c>
      <c r="BQ579" s="5" t="n">
        <v>0.102</v>
      </c>
      <c r="BR579" s="5" t="n">
        <v>0</v>
      </c>
      <c r="BS579" s="5" t="n">
        <v>1</v>
      </c>
      <c r="BT579" s="5" t="n">
        <v>0</v>
      </c>
      <c r="BU579" s="5" t="n">
        <v>0</v>
      </c>
      <c r="BV579" s="5" t="n">
        <v>0.187</v>
      </c>
      <c r="BW579" s="5" t="n">
        <v>0.15</v>
      </c>
      <c r="BX579" s="5" t="n">
        <v>0.667</v>
      </c>
      <c r="BY579" s="5" t="n">
        <v>12.729</v>
      </c>
      <c r="BZ579" s="5" t="n">
        <v>0</v>
      </c>
      <c r="CA579" s="5" t="n">
        <v>12.729</v>
      </c>
      <c r="CB579" s="5" t="n">
        <v>0</v>
      </c>
      <c r="CC579" s="5" t="n">
        <v>102.477</v>
      </c>
      <c r="CD579" s="5" t="n">
        <v>7.95</v>
      </c>
      <c r="CE579" s="5" t="n">
        <v>-23.306</v>
      </c>
      <c r="CF579" s="5" t="n">
        <v>91.04600000000001</v>
      </c>
      <c r="CG579" s="5" t="n">
        <v>0</v>
      </c>
      <c r="CH579" s="5" t="n">
        <v>1</v>
      </c>
      <c r="CI579" s="5" t="n">
        <v>0</v>
      </c>
      <c r="CJ579" s="5" t="n">
        <v>0</v>
      </c>
      <c r="CK579" s="5" t="n">
        <v>0</v>
      </c>
      <c r="CL579" s="5" t="n">
        <v>0</v>
      </c>
      <c r="CM579" s="5" t="n">
        <v>0</v>
      </c>
      <c r="CN579" s="5" t="n">
        <v>0</v>
      </c>
      <c r="CO579" s="5" t="n">
        <v>0</v>
      </c>
      <c r="CP579" s="5" t="n">
        <v>0.643</v>
      </c>
      <c r="CQ579" s="5" t="n">
        <v>1.294</v>
      </c>
      <c r="CR579" s="5" t="n">
        <v>0</v>
      </c>
      <c r="CS579" s="5" t="n">
        <v>5.445</v>
      </c>
      <c r="CT579" s="5" t="n">
        <v>7.554</v>
      </c>
      <c r="CU579" s="5" t="n">
        <v>16.097</v>
      </c>
    </row>
    <row r="580">
      <c r="A580" s="5" t="inlineStr">
        <is>
          <t>NZL2023</t>
        </is>
      </c>
      <c r="B580" s="5" t="inlineStr">
        <is>
          <t>NZL</t>
        </is>
      </c>
      <c r="C580" s="5" t="inlineStr">
        <is>
          <t>NZL</t>
        </is>
      </c>
      <c r="D580" s="5" t="inlineStr">
        <is>
          <t>New Zealand</t>
        </is>
      </c>
      <c r="E580" s="5" t="n">
        <v>2023</v>
      </c>
      <c r="F580" s="5" t="n">
        <v>0.15</v>
      </c>
      <c r="G580" s="5" t="n">
        <v>2.517</v>
      </c>
      <c r="H580" s="5" t="n">
        <v>0.732</v>
      </c>
      <c r="I580" s="5" t="n">
        <v>3.358</v>
      </c>
      <c r="J580" s="5" t="n">
        <v>5.875</v>
      </c>
      <c r="K580" s="5" t="n">
        <v>0</v>
      </c>
      <c r="L580" s="5" t="n">
        <v>1</v>
      </c>
      <c r="M580" s="5" t="n">
        <v>3.919</v>
      </c>
      <c r="N580" s="5" t="n">
        <v>2.197</v>
      </c>
      <c r="O580" s="5" t="n">
        <v>3.376</v>
      </c>
      <c r="P580" s="5" t="n">
        <v>7.295</v>
      </c>
      <c r="Q580" s="5" t="n">
        <v>0</v>
      </c>
      <c r="R580" s="5" t="n">
        <v>1</v>
      </c>
      <c r="S580" s="5" t="n">
        <v>6.18</v>
      </c>
      <c r="T580" s="5" t="n">
        <v>4.395</v>
      </c>
      <c r="U580" s="5" t="n">
        <v>3.617</v>
      </c>
      <c r="V580" s="5" t="n">
        <v>11.082</v>
      </c>
      <c r="W580" s="5" t="n">
        <v>0.15</v>
      </c>
      <c r="X580" s="5" t="n">
        <v>1</v>
      </c>
      <c r="Y580" s="5" t="n">
        <v>9.112</v>
      </c>
      <c r="Z580" s="5" t="n">
        <v>1.021</v>
      </c>
      <c r="AA580" s="5" t="n">
        <v>0.12</v>
      </c>
      <c r="AB580" s="5" t="n">
        <v>9.231999999999999</v>
      </c>
      <c r="AC580" s="5" t="n">
        <v>0</v>
      </c>
      <c r="AD580" s="5" t="n">
        <v>1</v>
      </c>
      <c r="AE580" s="5" t="n">
        <v>9.183999999999999</v>
      </c>
      <c r="AF580" s="5" t="n">
        <v>1.829</v>
      </c>
      <c r="AG580" s="5" t="n">
        <v>0.048</v>
      </c>
      <c r="AH580" s="5" t="n">
        <v>9.231999999999999</v>
      </c>
      <c r="AI580" s="5" t="n">
        <v>0</v>
      </c>
      <c r="AJ580" s="5" t="n">
        <v>1</v>
      </c>
      <c r="AK580" s="5" t="n">
        <v>26.435</v>
      </c>
      <c r="AL580" s="5" t="n">
        <v>13.095</v>
      </c>
      <c r="AM580" s="5" t="n">
        <v>-1.395</v>
      </c>
      <c r="AN580" s="5" t="n">
        <v>28.795</v>
      </c>
      <c r="AO580" s="5" t="n">
        <v>0.15</v>
      </c>
      <c r="AP580" s="5" t="n">
        <v>1</v>
      </c>
      <c r="AQ580" s="5" t="n">
        <v>0.749</v>
      </c>
      <c r="AR580" s="5" t="n">
        <v>0.129</v>
      </c>
      <c r="AS580" s="5" t="n">
        <v>0.623</v>
      </c>
      <c r="AT580" s="5" t="n">
        <v>1.577</v>
      </c>
      <c r="AU580" s="5" t="n">
        <v>0.15</v>
      </c>
      <c r="AV580" s="5" t="n">
        <v>1</v>
      </c>
      <c r="AW580" s="5" t="n">
        <v>0.783</v>
      </c>
      <c r="AX580" s="5" t="n">
        <v>0.129</v>
      </c>
      <c r="AY580" s="5" t="n">
        <v>0.31</v>
      </c>
      <c r="AZ580" s="5" t="n">
        <v>1.257</v>
      </c>
      <c r="BA580" s="5" t="n">
        <v>0.15</v>
      </c>
      <c r="BB580" s="5" t="n">
        <v>1</v>
      </c>
      <c r="BC580" s="5" t="n">
        <v>0.527</v>
      </c>
      <c r="BD580" s="5" t="n">
        <v>0.129</v>
      </c>
      <c r="BE580" s="5" t="n">
        <v>0.577</v>
      </c>
      <c r="BF580" s="5" t="n">
        <v>1.271</v>
      </c>
      <c r="BG580" s="5" t="n">
        <v>0.15</v>
      </c>
      <c r="BH580" s="5" t="n">
        <v>1</v>
      </c>
      <c r="BI580" s="5" t="n">
        <v>0.64</v>
      </c>
      <c r="BJ580" s="5" t="n">
        <v>0.129</v>
      </c>
      <c r="BK580" s="5" t="n">
        <v>-0.031</v>
      </c>
      <c r="BL580" s="5" t="n">
        <v>0.7</v>
      </c>
      <c r="BM580" s="5" t="n">
        <v>0.15</v>
      </c>
      <c r="BN580" s="5" t="n">
        <v>1</v>
      </c>
      <c r="BO580" s="5" t="n">
        <v>0</v>
      </c>
      <c r="BP580" s="5" t="n">
        <v>0</v>
      </c>
      <c r="BQ580" s="5" t="n">
        <v>0.098</v>
      </c>
      <c r="BR580" s="5" t="n">
        <v>0</v>
      </c>
      <c r="BS580" s="5" t="n">
        <v>1</v>
      </c>
      <c r="BT580" s="5" t="n">
        <v>0</v>
      </c>
      <c r="BU580" s="5" t="n">
        <v>0</v>
      </c>
      <c r="BV580" s="5" t="n">
        <v>0.188</v>
      </c>
      <c r="BW580" s="5" t="n">
        <v>0.15</v>
      </c>
      <c r="BX580" s="5" t="n">
        <v>0.667</v>
      </c>
      <c r="BY580" s="5" t="n">
        <v>13.254</v>
      </c>
      <c r="BZ580" s="5" t="n">
        <v>0</v>
      </c>
      <c r="CA580" s="5" t="n">
        <v>13.254</v>
      </c>
      <c r="CB580" s="5" t="n">
        <v>0</v>
      </c>
      <c r="CC580" s="5" t="n">
        <v>87.07899999999999</v>
      </c>
      <c r="CD580" s="5" t="n">
        <v>7.95</v>
      </c>
      <c r="CE580" s="5" t="n">
        <v>-7.863</v>
      </c>
      <c r="CF580" s="5" t="n">
        <v>91.098</v>
      </c>
      <c r="CG580" s="5" t="n">
        <v>0</v>
      </c>
      <c r="CH580" s="5" t="n">
        <v>1</v>
      </c>
      <c r="CI580" s="5" t="n">
        <v>0</v>
      </c>
      <c r="CJ580" s="5" t="n">
        <v>0</v>
      </c>
      <c r="CK580" s="5" t="n">
        <v>0</v>
      </c>
      <c r="CL580" s="5" t="n">
        <v>0</v>
      </c>
      <c r="CM580" s="5" t="n">
        <v>0</v>
      </c>
      <c r="CN580" s="5" t="n">
        <v>0</v>
      </c>
      <c r="CO580" s="5" t="n">
        <v>0</v>
      </c>
      <c r="CP580" s="5" t="n">
        <v>0.861</v>
      </c>
      <c r="CQ580" s="5" t="n">
        <v>1.348</v>
      </c>
      <c r="CR580" s="5" t="n">
        <v>0</v>
      </c>
      <c r="CS580" s="5" t="n">
        <v>5.669</v>
      </c>
      <c r="CT580" s="5" t="n">
        <v>4.484</v>
      </c>
      <c r="CU580" s="5" t="n">
        <v>12.529</v>
      </c>
    </row>
    <row r="581">
      <c r="A581" s="5" t="inlineStr">
        <is>
          <t>NZL2024</t>
        </is>
      </c>
      <c r="B581" s="5" t="inlineStr">
        <is>
          <t>NZL</t>
        </is>
      </c>
      <c r="C581" s="5" t="inlineStr">
        <is>
          <t>NZL</t>
        </is>
      </c>
      <c r="D581" s="5" t="inlineStr">
        <is>
          <t>New Zealand</t>
        </is>
      </c>
      <c r="E581" s="5" t="n">
        <v>2024</v>
      </c>
      <c r="F581" s="5" t="n">
        <v>0.15</v>
      </c>
      <c r="G581" s="5" t="n">
        <v>2.437</v>
      </c>
      <c r="H581" s="5" t="n">
        <v>0.754</v>
      </c>
      <c r="I581" s="5" t="n">
        <v>3.548</v>
      </c>
      <c r="J581" s="5" t="n">
        <v>5.986</v>
      </c>
      <c r="K581" s="5" t="n">
        <v>0</v>
      </c>
      <c r="L581" s="5" t="n">
        <v>1</v>
      </c>
      <c r="M581" s="5" t="n">
        <v>3.896</v>
      </c>
      <c r="N581" s="5" t="n">
        <v>2.262</v>
      </c>
      <c r="O581" s="5" t="n">
        <v>3.568</v>
      </c>
      <c r="P581" s="5" t="n">
        <v>7.463</v>
      </c>
      <c r="Q581" s="5" t="n">
        <v>0</v>
      </c>
      <c r="R581" s="5" t="n">
        <v>1</v>
      </c>
      <c r="S581" s="5" t="n">
        <v>6.208</v>
      </c>
      <c r="T581" s="5" t="n">
        <v>4.524</v>
      </c>
      <c r="U581" s="5" t="n">
        <v>3.855</v>
      </c>
      <c r="V581" s="5" t="n">
        <v>11.34</v>
      </c>
      <c r="W581" s="5" t="n">
        <v>0.15</v>
      </c>
      <c r="X581" s="5" t="n">
        <v>1</v>
      </c>
      <c r="Y581" s="5" t="n">
        <v>9.395</v>
      </c>
      <c r="Z581" s="5" t="n">
        <v>1.186</v>
      </c>
      <c r="AA581" s="5" t="n">
        <v>2.1</v>
      </c>
      <c r="AB581" s="5" t="n">
        <v>11.495</v>
      </c>
      <c r="AC581" s="5" t="n">
        <v>0</v>
      </c>
      <c r="AD581" s="5" t="n">
        <v>1</v>
      </c>
      <c r="AE581" s="5" t="n">
        <v>9.364000000000001</v>
      </c>
      <c r="AF581" s="5" t="n">
        <v>2.051</v>
      </c>
      <c r="AG581" s="5" t="n">
        <v>2.131</v>
      </c>
      <c r="AH581" s="5" t="n">
        <v>11.495</v>
      </c>
      <c r="AI581" s="5" t="n">
        <v>0</v>
      </c>
      <c r="AJ581" s="5" t="n">
        <v>1</v>
      </c>
      <c r="AK581" s="5" t="n">
        <v>24.008</v>
      </c>
      <c r="AL581" s="5" t="n">
        <v>12.211</v>
      </c>
      <c r="AM581" s="5" t="n">
        <v>0.103</v>
      </c>
      <c r="AN581" s="5" t="n">
        <v>27.728</v>
      </c>
      <c r="AO581" s="5" t="n">
        <v>0.15</v>
      </c>
      <c r="AP581" s="5" t="n">
        <v>1</v>
      </c>
      <c r="AQ581" s="5" t="n">
        <v>0.72</v>
      </c>
      <c r="AR581" s="5" t="n">
        <v>0.132</v>
      </c>
      <c r="AS581" s="5" t="n">
        <v>0.677</v>
      </c>
      <c r="AT581" s="5" t="n">
        <v>1.606</v>
      </c>
      <c r="AU581" s="5" t="n">
        <v>0.15</v>
      </c>
      <c r="AV581" s="5" t="n">
        <v>1</v>
      </c>
      <c r="AW581" s="5" t="n">
        <v>0.734</v>
      </c>
      <c r="AX581" s="5" t="n">
        <v>0.132</v>
      </c>
      <c r="AY581" s="5" t="n">
        <v>0.312</v>
      </c>
      <c r="AZ581" s="5" t="n">
        <v>1.203</v>
      </c>
      <c r="BA581" s="5" t="n">
        <v>0.15</v>
      </c>
      <c r="BB581" s="5" t="n">
        <v>1</v>
      </c>
      <c r="BC581" s="5" t="n">
        <v>0.51</v>
      </c>
      <c r="BD581" s="5" t="n">
        <v>0.132</v>
      </c>
      <c r="BE581" s="5" t="n">
        <v>0.614</v>
      </c>
      <c r="BF581" s="5" t="n">
        <v>1.293</v>
      </c>
      <c r="BG581" s="5" t="n">
        <v>0.15</v>
      </c>
      <c r="BH581" s="5" t="n">
        <v>1</v>
      </c>
      <c r="BI581" s="5" t="n">
        <v>0.652</v>
      </c>
      <c r="BJ581" s="5" t="n">
        <v>0.132</v>
      </c>
      <c r="BK581" s="5" t="n">
        <v>-0.033</v>
      </c>
      <c r="BL581" s="5" t="n">
        <v>0.712</v>
      </c>
      <c r="BM581" s="5" t="n">
        <v>0.15</v>
      </c>
      <c r="BN581" s="5" t="n">
        <v>1</v>
      </c>
      <c r="BO581" s="5" t="n">
        <v>0</v>
      </c>
      <c r="BP581" s="5" t="n">
        <v>0</v>
      </c>
      <c r="BQ581" s="5" t="n">
        <v>0.1</v>
      </c>
      <c r="BR581" s="5" t="n">
        <v>0</v>
      </c>
      <c r="BS581" s="5" t="n">
        <v>1</v>
      </c>
      <c r="BT581" s="5" t="n">
        <v>0</v>
      </c>
      <c r="BU581" s="5" t="n">
        <v>0</v>
      </c>
      <c r="BV581" s="5" t="n">
        <v>0.191</v>
      </c>
      <c r="BW581" s="5" t="n">
        <v>0.15</v>
      </c>
      <c r="BX581" s="5" t="n">
        <v>0.667</v>
      </c>
      <c r="BY581" s="5" t="n">
        <v>13.646</v>
      </c>
      <c r="BZ581" s="5" t="n">
        <v>0</v>
      </c>
      <c r="CA581" s="5" t="n">
        <v>13.646</v>
      </c>
      <c r="CB581" s="5" t="n">
        <v>0</v>
      </c>
      <c r="CC581" s="5" t="n">
        <v>86.38500000000001</v>
      </c>
      <c r="CD581" s="5" t="n">
        <v>7.95</v>
      </c>
      <c r="CE581" s="5" t="n">
        <v>-5.777</v>
      </c>
      <c r="CF581" s="5" t="n">
        <v>92.699</v>
      </c>
      <c r="CG581" s="5" t="n">
        <v>0</v>
      </c>
      <c r="CH581" s="5" t="n">
        <v>1</v>
      </c>
      <c r="CI581" s="5" t="n">
        <v>0</v>
      </c>
      <c r="CJ581" s="5" t="n">
        <v>0</v>
      </c>
      <c r="CK581" s="5" t="n">
        <v>0</v>
      </c>
      <c r="CL581" s="5" t="n">
        <v>0</v>
      </c>
      <c r="CM581" s="5" t="n">
        <v>0</v>
      </c>
      <c r="CN581" s="5" t="n">
        <v>0</v>
      </c>
      <c r="CO581" s="5" t="n">
        <v>0</v>
      </c>
      <c r="CP581" s="5" t="n">
        <v>0.861</v>
      </c>
      <c r="CQ581" s="5" t="n">
        <v>1.387</v>
      </c>
      <c r="CR581" s="5" t="n">
        <v>0</v>
      </c>
      <c r="CS581" s="5" t="n">
        <v>5.837</v>
      </c>
      <c r="CT581" s="5" t="n">
        <v>3.509</v>
      </c>
      <c r="CU581" s="5" t="n">
        <v>10.896</v>
      </c>
    </row>
    <row r="582">
      <c r="A582" s="5" t="inlineStr">
        <is>
          <t>NIC2021</t>
        </is>
      </c>
      <c r="B582" s="5" t="inlineStr">
        <is>
          <t>NIC</t>
        </is>
      </c>
      <c r="C582" s="5" t="inlineStr">
        <is>
          <t>NIC</t>
        </is>
      </c>
      <c r="D582" s="5" t="inlineStr">
        <is>
          <t>Nicaragua</t>
        </is>
      </c>
      <c r="E582" s="5" t="n">
        <v>2021</v>
      </c>
      <c r="F582" s="5" t="n">
        <v>0.15</v>
      </c>
      <c r="G582" s="5" t="n">
        <v>5.897</v>
      </c>
      <c r="H582" s="5" t="n">
        <v>1.143</v>
      </c>
      <c r="I582" s="5" t="n">
        <v>0</v>
      </c>
      <c r="J582" s="5" t="n">
        <v>5.897</v>
      </c>
      <c r="K582" s="5" t="n">
        <v>0</v>
      </c>
      <c r="L582" s="5" t="n">
        <v>1</v>
      </c>
      <c r="M582" s="5" t="n">
        <v>7.964</v>
      </c>
      <c r="N582" s="5" t="n">
        <v>3.43</v>
      </c>
      <c r="O582" s="5" t="n">
        <v>0</v>
      </c>
      <c r="P582" s="5" t="n">
        <v>7.964</v>
      </c>
      <c r="Q582" s="5" t="n">
        <v>0</v>
      </c>
      <c r="R582" s="5" t="n">
        <v>1</v>
      </c>
      <c r="S582" s="5" t="n">
        <v>11.613</v>
      </c>
      <c r="T582" s="5" t="n">
        <v>6.86</v>
      </c>
      <c r="U582" s="5" t="n">
        <v>0</v>
      </c>
      <c r="V582" s="5" t="n">
        <v>13.355</v>
      </c>
      <c r="W582" s="5" t="n">
        <v>0.15</v>
      </c>
      <c r="X582" s="5" t="n">
        <v>1</v>
      </c>
      <c r="Y582" s="5" t="n">
        <v>5.261</v>
      </c>
      <c r="Z582" s="5" t="n">
        <v>0.708</v>
      </c>
      <c r="AA582" s="5" t="n">
        <v>0</v>
      </c>
      <c r="AB582" s="5" t="n">
        <v>5.261</v>
      </c>
      <c r="AC582" s="5" t="n">
        <v>0</v>
      </c>
      <c r="AD582" s="5" t="n">
        <v>1</v>
      </c>
      <c r="AE582" s="5" t="n">
        <v>6.404</v>
      </c>
      <c r="AF582" s="5" t="n">
        <v>1.5</v>
      </c>
      <c r="AG582" s="5" t="n">
        <v>0</v>
      </c>
      <c r="AH582" s="5" t="n">
        <v>6.404</v>
      </c>
      <c r="AI582" s="5" t="n">
        <v>0</v>
      </c>
      <c r="AJ582" s="5" t="n">
        <v>1</v>
      </c>
      <c r="AK582" s="5" t="n">
        <v>13.264</v>
      </c>
      <c r="AL582" s="5" t="n">
        <v>7.127</v>
      </c>
      <c r="AM582" s="5" t="n">
        <v>0</v>
      </c>
      <c r="AN582" s="5" t="n">
        <v>15.253</v>
      </c>
      <c r="AO582" s="5" t="n">
        <v>0.15</v>
      </c>
      <c r="AP582" s="5" t="n">
        <v>1</v>
      </c>
      <c r="AQ582" s="5" t="n">
        <v>0.649</v>
      </c>
      <c r="AR582" s="5" t="n">
        <v>0.114</v>
      </c>
      <c r="AS582" s="5" t="n">
        <v>0.281</v>
      </c>
      <c r="AT582" s="5" t="n">
        <v>1.07</v>
      </c>
      <c r="AU582" s="5" t="n">
        <v>0.15</v>
      </c>
      <c r="AV582" s="5" t="n">
        <v>1</v>
      </c>
      <c r="AW582" s="5" t="n">
        <v>0.577</v>
      </c>
      <c r="AX582" s="5" t="n">
        <v>0.114</v>
      </c>
      <c r="AY582" s="5" t="n">
        <v>0.217</v>
      </c>
      <c r="AZ582" s="5" t="n">
        <v>0.913</v>
      </c>
      <c r="BA582" s="5" t="n">
        <v>0.15</v>
      </c>
      <c r="BB582" s="5" t="n">
        <v>1</v>
      </c>
      <c r="BC582" s="5" t="n">
        <v>0.458</v>
      </c>
      <c r="BD582" s="5" t="n">
        <v>0.114</v>
      </c>
      <c r="BE582" s="5" t="n">
        <v>0.08500000000000001</v>
      </c>
      <c r="BF582" s="5" t="n">
        <v>0.624</v>
      </c>
      <c r="BG582" s="5" t="n">
        <v>0.15</v>
      </c>
      <c r="BH582" s="5" t="n">
        <v>1</v>
      </c>
      <c r="BI582" s="5" t="n">
        <v>0.491</v>
      </c>
      <c r="BJ582" s="5" t="n">
        <v>0.114</v>
      </c>
      <c r="BK582" s="5" t="n">
        <v>0.292</v>
      </c>
      <c r="BL582" s="5" t="n">
        <v>0.901</v>
      </c>
      <c r="BM582" s="5" t="n">
        <v>0.15</v>
      </c>
      <c r="BN582" s="5" t="n">
        <v>1</v>
      </c>
      <c r="BO582" s="5" t="n">
        <v>0</v>
      </c>
      <c r="BP582" s="5" t="n">
        <v>0</v>
      </c>
      <c r="BQ582" s="5" t="n">
        <v>0.179</v>
      </c>
      <c r="BR582" s="5" t="n">
        <v>0</v>
      </c>
      <c r="BS582" s="5" t="n">
        <v>0.667</v>
      </c>
      <c r="BT582" s="5" t="n">
        <v>0</v>
      </c>
      <c r="BU582" s="5" t="n">
        <v>0</v>
      </c>
      <c r="BV582" s="5" t="n">
        <v>0.179</v>
      </c>
      <c r="BW582" s="5" t="n">
        <v>0.15</v>
      </c>
      <c r="BX582" s="5" t="n">
        <v>0.833</v>
      </c>
      <c r="BY582" s="5" t="n">
        <v>11.787</v>
      </c>
      <c r="BZ582" s="5" t="n">
        <v>0</v>
      </c>
      <c r="CA582" s="5" t="n">
        <v>11.787</v>
      </c>
      <c r="CB582" s="5" t="n">
        <v>0</v>
      </c>
      <c r="CC582" s="5" t="n">
        <v>78.125</v>
      </c>
      <c r="CD582" s="5" t="n">
        <v>7.95</v>
      </c>
      <c r="CE582" s="5" t="n">
        <v>1.58</v>
      </c>
      <c r="CF582" s="5" t="n">
        <v>91.66</v>
      </c>
      <c r="CG582" s="5" t="n">
        <v>0.15</v>
      </c>
      <c r="CH582" s="5" t="n">
        <v>1</v>
      </c>
      <c r="CI582" s="5" t="n">
        <v>0</v>
      </c>
      <c r="CJ582" s="5" t="n">
        <v>0</v>
      </c>
      <c r="CK582" s="5" t="n">
        <v>0</v>
      </c>
      <c r="CL582" s="5" t="n">
        <v>0</v>
      </c>
      <c r="CM582" s="5" t="n">
        <v>0</v>
      </c>
      <c r="CN582" s="5" t="n">
        <v>0</v>
      </c>
      <c r="CO582" s="5" t="n">
        <v>0</v>
      </c>
      <c r="CP582" s="5" t="n">
        <v>0</v>
      </c>
      <c r="CQ582" s="5" t="n">
        <v>1.198</v>
      </c>
      <c r="CR582" s="5" t="n">
        <v>0</v>
      </c>
      <c r="CS582" s="5" t="n">
        <v>4.776</v>
      </c>
      <c r="CT582" s="5" t="n">
        <v>4.753</v>
      </c>
      <c r="CU582" s="5" t="n">
        <v>15.983</v>
      </c>
    </row>
    <row r="583">
      <c r="A583" s="5" t="inlineStr">
        <is>
          <t>NIC2022</t>
        </is>
      </c>
      <c r="B583" s="5" t="inlineStr">
        <is>
          <t>NIC</t>
        </is>
      </c>
      <c r="C583" s="5" t="inlineStr">
        <is>
          <t>NIC</t>
        </is>
      </c>
      <c r="D583" s="5" t="inlineStr">
        <is>
          <t>Nicaragua</t>
        </is>
      </c>
      <c r="E583" s="5" t="n">
        <v>2022</v>
      </c>
      <c r="F583" s="5" t="n">
        <v>0.15</v>
      </c>
      <c r="G583" s="5" t="n">
        <v>11.72</v>
      </c>
      <c r="H583" s="5" t="n">
        <v>1.235</v>
      </c>
      <c r="I583" s="5" t="n">
        <v>0</v>
      </c>
      <c r="J583" s="5" t="n">
        <v>11.72</v>
      </c>
      <c r="K583" s="5" t="n">
        <v>0</v>
      </c>
      <c r="L583" s="5" t="n">
        <v>1</v>
      </c>
      <c r="M583" s="5" t="n">
        <v>9.782999999999999</v>
      </c>
      <c r="N583" s="5" t="n">
        <v>3.704</v>
      </c>
      <c r="O583" s="5" t="n">
        <v>0</v>
      </c>
      <c r="P583" s="5" t="n">
        <v>9.782999999999999</v>
      </c>
      <c r="Q583" s="5" t="n">
        <v>0</v>
      </c>
      <c r="R583" s="5" t="n">
        <v>1</v>
      </c>
      <c r="S583" s="5" t="n">
        <v>17.893</v>
      </c>
      <c r="T583" s="5" t="n">
        <v>7.408</v>
      </c>
      <c r="U583" s="5" t="n">
        <v>0.199</v>
      </c>
      <c r="V583" s="5" t="n">
        <v>20.577</v>
      </c>
      <c r="W583" s="5" t="n">
        <v>0.15</v>
      </c>
      <c r="X583" s="5" t="n">
        <v>1</v>
      </c>
      <c r="Y583" s="5" t="n">
        <v>5.681</v>
      </c>
      <c r="Z583" s="5" t="n">
        <v>0.764</v>
      </c>
      <c r="AA583" s="5" t="n">
        <v>0</v>
      </c>
      <c r="AB583" s="5" t="n">
        <v>5.681</v>
      </c>
      <c r="AC583" s="5" t="n">
        <v>0</v>
      </c>
      <c r="AD583" s="5" t="n">
        <v>1</v>
      </c>
      <c r="AE583" s="5" t="n">
        <v>6.916</v>
      </c>
      <c r="AF583" s="5" t="n">
        <v>1.619</v>
      </c>
      <c r="AG583" s="5" t="n">
        <v>0</v>
      </c>
      <c r="AH583" s="5" t="n">
        <v>6.916</v>
      </c>
      <c r="AI583" s="5" t="n">
        <v>0</v>
      </c>
      <c r="AJ583" s="5" t="n">
        <v>1</v>
      </c>
      <c r="AK583" s="5" t="n">
        <v>14.324</v>
      </c>
      <c r="AL583" s="5" t="n">
        <v>7.697</v>
      </c>
      <c r="AM583" s="5" t="n">
        <v>0.159</v>
      </c>
      <c r="AN583" s="5" t="n">
        <v>16.472</v>
      </c>
      <c r="AO583" s="5" t="n">
        <v>0.15</v>
      </c>
      <c r="AP583" s="5" t="n">
        <v>1</v>
      </c>
      <c r="AQ583" s="5" t="n">
        <v>0.896</v>
      </c>
      <c r="AR583" s="5" t="n">
        <v>0.123</v>
      </c>
      <c r="AS583" s="5" t="n">
        <v>0.234</v>
      </c>
      <c r="AT583" s="5" t="n">
        <v>1.3</v>
      </c>
      <c r="AU583" s="5" t="n">
        <v>0.15</v>
      </c>
      <c r="AV583" s="5" t="n">
        <v>1</v>
      </c>
      <c r="AW583" s="5" t="n">
        <v>0.89</v>
      </c>
      <c r="AX583" s="5" t="n">
        <v>0.123</v>
      </c>
      <c r="AY583" s="5" t="n">
        <v>0.134</v>
      </c>
      <c r="AZ583" s="5" t="n">
        <v>1.178</v>
      </c>
      <c r="BA583" s="5" t="n">
        <v>0.15</v>
      </c>
      <c r="BB583" s="5" t="n">
        <v>1</v>
      </c>
      <c r="BC583" s="5" t="n">
        <v>0.62</v>
      </c>
      <c r="BD583" s="5" t="n">
        <v>0.123</v>
      </c>
      <c r="BE583" s="5" t="n">
        <v>-0.044</v>
      </c>
      <c r="BF583" s="5" t="n">
        <v>0.663</v>
      </c>
      <c r="BG583" s="5" t="n">
        <v>0.15</v>
      </c>
      <c r="BH583" s="5" t="n">
        <v>1</v>
      </c>
      <c r="BI583" s="5" t="n">
        <v>0.608</v>
      </c>
      <c r="BJ583" s="5" t="n">
        <v>0.123</v>
      </c>
      <c r="BK583" s="5" t="n">
        <v>0.597</v>
      </c>
      <c r="BL583" s="5" t="n">
        <v>1.386</v>
      </c>
      <c r="BM583" s="5" t="n">
        <v>0.15</v>
      </c>
      <c r="BN583" s="5" t="n">
        <v>1</v>
      </c>
      <c r="BO583" s="5" t="n">
        <v>0</v>
      </c>
      <c r="BP583" s="5" t="n">
        <v>0</v>
      </c>
      <c r="BQ583" s="5" t="n">
        <v>0.179</v>
      </c>
      <c r="BR583" s="5" t="n">
        <v>0</v>
      </c>
      <c r="BS583" s="5" t="n">
        <v>0.667</v>
      </c>
      <c r="BT583" s="5" t="n">
        <v>0</v>
      </c>
      <c r="BU583" s="5" t="n">
        <v>0</v>
      </c>
      <c r="BV583" s="5" t="n">
        <v>0.177</v>
      </c>
      <c r="BW583" s="5" t="n">
        <v>0.15</v>
      </c>
      <c r="BX583" s="5" t="n">
        <v>0.833</v>
      </c>
      <c r="BY583" s="5" t="n">
        <v>12.729</v>
      </c>
      <c r="BZ583" s="5" t="n">
        <v>0</v>
      </c>
      <c r="CA583" s="5" t="n">
        <v>12.729</v>
      </c>
      <c r="CB583" s="5" t="n">
        <v>0</v>
      </c>
      <c r="CC583" s="5" t="n">
        <v>97.90000000000001</v>
      </c>
      <c r="CD583" s="5" t="n">
        <v>7.95</v>
      </c>
      <c r="CE583" s="5" t="n">
        <v>1.027</v>
      </c>
      <c r="CF583" s="5" t="n">
        <v>112.517</v>
      </c>
      <c r="CG583" s="5" t="n">
        <v>0.15</v>
      </c>
      <c r="CH583" s="5" t="n">
        <v>1</v>
      </c>
      <c r="CI583" s="5" t="n">
        <v>0</v>
      </c>
      <c r="CJ583" s="5" t="n">
        <v>0</v>
      </c>
      <c r="CK583" s="5" t="n">
        <v>0</v>
      </c>
      <c r="CL583" s="5" t="n">
        <v>0</v>
      </c>
      <c r="CM583" s="5" t="n">
        <v>0</v>
      </c>
      <c r="CN583" s="5" t="n">
        <v>0</v>
      </c>
      <c r="CO583" s="5" t="n">
        <v>0</v>
      </c>
      <c r="CP583" s="5" t="n">
        <v>0</v>
      </c>
      <c r="CQ583" s="5" t="n">
        <v>1.294</v>
      </c>
      <c r="CR583" s="5" t="n">
        <v>0</v>
      </c>
      <c r="CS583" s="5" t="n">
        <v>5.158</v>
      </c>
      <c r="CT583" s="5" t="n">
        <v>10.485</v>
      </c>
      <c r="CU583" s="5" t="n">
        <v>29.494</v>
      </c>
    </row>
    <row r="584">
      <c r="A584" s="5" t="inlineStr">
        <is>
          <t>NIC2023</t>
        </is>
      </c>
      <c r="B584" s="5" t="inlineStr">
        <is>
          <t>NIC</t>
        </is>
      </c>
      <c r="C584" s="5" t="inlineStr">
        <is>
          <t>NIC</t>
        </is>
      </c>
      <c r="D584" s="5" t="inlineStr">
        <is>
          <t>Nicaragua</t>
        </is>
      </c>
      <c r="E584" s="5" t="n">
        <v>2023</v>
      </c>
      <c r="F584" s="5" t="n">
        <v>0.15</v>
      </c>
      <c r="G584" s="5" t="n">
        <v>6.147</v>
      </c>
      <c r="H584" s="5" t="n">
        <v>1.286</v>
      </c>
      <c r="I584" s="5" t="n">
        <v>0</v>
      </c>
      <c r="J584" s="5" t="n">
        <v>6.147</v>
      </c>
      <c r="K584" s="5" t="n">
        <v>0</v>
      </c>
      <c r="L584" s="5" t="n">
        <v>1</v>
      </c>
      <c r="M584" s="5" t="n">
        <v>7.886</v>
      </c>
      <c r="N584" s="5" t="n">
        <v>3.857</v>
      </c>
      <c r="O584" s="5" t="n">
        <v>0</v>
      </c>
      <c r="P584" s="5" t="n">
        <v>7.886</v>
      </c>
      <c r="Q584" s="5" t="n">
        <v>0</v>
      </c>
      <c r="R584" s="5" t="n">
        <v>1</v>
      </c>
      <c r="S584" s="5" t="n">
        <v>12.575</v>
      </c>
      <c r="T584" s="5" t="n">
        <v>7.714</v>
      </c>
      <c r="U584" s="5" t="n">
        <v>0.209</v>
      </c>
      <c r="V584" s="5" t="n">
        <v>14.461</v>
      </c>
      <c r="W584" s="5" t="n">
        <v>0.15</v>
      </c>
      <c r="X584" s="5" t="n">
        <v>1</v>
      </c>
      <c r="Y584" s="5" t="n">
        <v>5.916</v>
      </c>
      <c r="Z584" s="5" t="n">
        <v>0.796</v>
      </c>
      <c r="AA584" s="5" t="n">
        <v>0</v>
      </c>
      <c r="AB584" s="5" t="n">
        <v>5.916</v>
      </c>
      <c r="AC584" s="5" t="n">
        <v>0</v>
      </c>
      <c r="AD584" s="5" t="n">
        <v>1</v>
      </c>
      <c r="AE584" s="5" t="n">
        <v>7.201</v>
      </c>
      <c r="AF584" s="5" t="n">
        <v>1.686</v>
      </c>
      <c r="AG584" s="5" t="n">
        <v>0</v>
      </c>
      <c r="AH584" s="5" t="n">
        <v>7.201</v>
      </c>
      <c r="AI584" s="5" t="n">
        <v>0</v>
      </c>
      <c r="AJ584" s="5" t="n">
        <v>1</v>
      </c>
      <c r="AK584" s="5" t="n">
        <v>14.915</v>
      </c>
      <c r="AL584" s="5" t="n">
        <v>8.013999999999999</v>
      </c>
      <c r="AM584" s="5" t="n">
        <v>0.248</v>
      </c>
      <c r="AN584" s="5" t="n">
        <v>17.152</v>
      </c>
      <c r="AO584" s="5" t="n">
        <v>0.15</v>
      </c>
      <c r="AP584" s="5" t="n">
        <v>1</v>
      </c>
      <c r="AQ584" s="5" t="n">
        <v>0.791</v>
      </c>
      <c r="AR584" s="5" t="n">
        <v>0.129</v>
      </c>
      <c r="AS584" s="5" t="n">
        <v>0.345</v>
      </c>
      <c r="AT584" s="5" t="n">
        <v>1.306</v>
      </c>
      <c r="AU584" s="5" t="n">
        <v>0.15</v>
      </c>
      <c r="AV584" s="5" t="n">
        <v>1</v>
      </c>
      <c r="AW584" s="5" t="n">
        <v>0.618</v>
      </c>
      <c r="AX584" s="5" t="n">
        <v>0.129</v>
      </c>
      <c r="AY584" s="5" t="n">
        <v>0.423</v>
      </c>
      <c r="AZ584" s="5" t="n">
        <v>1.197</v>
      </c>
      <c r="BA584" s="5" t="n">
        <v>0.15</v>
      </c>
      <c r="BB584" s="5" t="n">
        <v>1</v>
      </c>
      <c r="BC584" s="5" t="n">
        <v>0.554</v>
      </c>
      <c r="BD584" s="5" t="n">
        <v>0.129</v>
      </c>
      <c r="BE584" s="5" t="n">
        <v>0.017</v>
      </c>
      <c r="BF584" s="5" t="n">
        <v>0.657</v>
      </c>
      <c r="BG584" s="5" t="n">
        <v>0.15</v>
      </c>
      <c r="BH584" s="5" t="n">
        <v>1</v>
      </c>
      <c r="BI584" s="5" t="n">
        <v>0.5570000000000001</v>
      </c>
      <c r="BJ584" s="5" t="n">
        <v>0.129</v>
      </c>
      <c r="BK584" s="5" t="n">
        <v>0.651</v>
      </c>
      <c r="BL584" s="5" t="n">
        <v>1.389</v>
      </c>
      <c r="BM584" s="5" t="n">
        <v>0.15</v>
      </c>
      <c r="BN584" s="5" t="n">
        <v>1</v>
      </c>
      <c r="BO584" s="5" t="n">
        <v>0</v>
      </c>
      <c r="BP584" s="5" t="n">
        <v>0</v>
      </c>
      <c r="BQ584" s="5" t="n">
        <v>0.176</v>
      </c>
      <c r="BR584" s="5" t="n">
        <v>0</v>
      </c>
      <c r="BS584" s="5" t="n">
        <v>0.667</v>
      </c>
      <c r="BT584" s="5" t="n">
        <v>0</v>
      </c>
      <c r="BU584" s="5" t="n">
        <v>0</v>
      </c>
      <c r="BV584" s="5" t="n">
        <v>0.174</v>
      </c>
      <c r="BW584" s="5" t="n">
        <v>0.15</v>
      </c>
      <c r="BX584" s="5" t="n">
        <v>0.833</v>
      </c>
      <c r="BY584" s="5" t="n">
        <v>13.254</v>
      </c>
      <c r="BZ584" s="5" t="n">
        <v>0</v>
      </c>
      <c r="CA584" s="5" t="n">
        <v>13.254</v>
      </c>
      <c r="CB584" s="5" t="n">
        <v>0</v>
      </c>
      <c r="CC584" s="5" t="n">
        <v>83.248</v>
      </c>
      <c r="CD584" s="5" t="n">
        <v>7.95</v>
      </c>
      <c r="CE584" s="5" t="n">
        <v>3.799</v>
      </c>
      <c r="CF584" s="5" t="n">
        <v>98.46899999999999</v>
      </c>
      <c r="CG584" s="5" t="n">
        <v>0.15</v>
      </c>
      <c r="CH584" s="5" t="n">
        <v>1</v>
      </c>
      <c r="CI584" s="5" t="n">
        <v>0</v>
      </c>
      <c r="CJ584" s="5" t="n">
        <v>0</v>
      </c>
      <c r="CK584" s="5" t="n">
        <v>0</v>
      </c>
      <c r="CL584" s="5" t="n">
        <v>0</v>
      </c>
      <c r="CM584" s="5" t="n">
        <v>0</v>
      </c>
      <c r="CN584" s="5" t="n">
        <v>0</v>
      </c>
      <c r="CO584" s="5" t="n">
        <v>0</v>
      </c>
      <c r="CP584" s="5" t="n">
        <v>0</v>
      </c>
      <c r="CQ584" s="5" t="n">
        <v>1.348</v>
      </c>
      <c r="CR584" s="5" t="n">
        <v>0</v>
      </c>
      <c r="CS584" s="5" t="n">
        <v>5.37</v>
      </c>
      <c r="CT584" s="5" t="n">
        <v>4.861</v>
      </c>
      <c r="CU584" s="5" t="n">
        <v>11.192</v>
      </c>
    </row>
    <row r="585">
      <c r="A585" s="5" t="inlineStr">
        <is>
          <t>NIC2024</t>
        </is>
      </c>
      <c r="B585" s="5" t="inlineStr">
        <is>
          <t>NIC</t>
        </is>
      </c>
      <c r="C585" s="5" t="inlineStr">
        <is>
          <t>NIC</t>
        </is>
      </c>
      <c r="D585" s="5" t="inlineStr">
        <is>
          <t>Nicaragua</t>
        </is>
      </c>
      <c r="E585" s="5" t="n">
        <v>2024</v>
      </c>
      <c r="F585" s="5" t="n">
        <v>0.15</v>
      </c>
      <c r="G585" s="5" t="n">
        <v>5.575</v>
      </c>
      <c r="H585" s="5" t="n">
        <v>1.324</v>
      </c>
      <c r="I585" s="5" t="n">
        <v>0</v>
      </c>
      <c r="J585" s="5" t="n">
        <v>5.575</v>
      </c>
      <c r="K585" s="5" t="n">
        <v>0</v>
      </c>
      <c r="L585" s="5" t="n">
        <v>1</v>
      </c>
      <c r="M585" s="5" t="n">
        <v>7.124</v>
      </c>
      <c r="N585" s="5" t="n">
        <v>3.971</v>
      </c>
      <c r="O585" s="5" t="n">
        <v>0</v>
      </c>
      <c r="P585" s="5" t="n">
        <v>7.124</v>
      </c>
      <c r="Q585" s="5" t="n">
        <v>0</v>
      </c>
      <c r="R585" s="5" t="n">
        <v>1</v>
      </c>
      <c r="S585" s="5" t="n">
        <v>12.193</v>
      </c>
      <c r="T585" s="5" t="n">
        <v>7.942</v>
      </c>
      <c r="U585" s="5" t="n">
        <v>0.249</v>
      </c>
      <c r="V585" s="5" t="n">
        <v>14.022</v>
      </c>
      <c r="W585" s="5" t="n">
        <v>0.15</v>
      </c>
      <c r="X585" s="5" t="n">
        <v>1</v>
      </c>
      <c r="Y585" s="5" t="n">
        <v>6.09</v>
      </c>
      <c r="Z585" s="5" t="n">
        <v>0.819</v>
      </c>
      <c r="AA585" s="5" t="n">
        <v>0</v>
      </c>
      <c r="AB585" s="5" t="n">
        <v>6.09</v>
      </c>
      <c r="AC585" s="5" t="n">
        <v>0</v>
      </c>
      <c r="AD585" s="5" t="n">
        <v>1</v>
      </c>
      <c r="AE585" s="5" t="n">
        <v>7.414</v>
      </c>
      <c r="AF585" s="5" t="n">
        <v>1.736</v>
      </c>
      <c r="AG585" s="5" t="n">
        <v>0</v>
      </c>
      <c r="AH585" s="5" t="n">
        <v>7.414</v>
      </c>
      <c r="AI585" s="5" t="n">
        <v>0</v>
      </c>
      <c r="AJ585" s="5" t="n">
        <v>1</v>
      </c>
      <c r="AK585" s="5" t="n">
        <v>15.355</v>
      </c>
      <c r="AL585" s="5" t="n">
        <v>8.250999999999999</v>
      </c>
      <c r="AM585" s="5" t="n">
        <v>0.314</v>
      </c>
      <c r="AN585" s="5" t="n">
        <v>17.659</v>
      </c>
      <c r="AO585" s="5" t="n">
        <v>0.15</v>
      </c>
      <c r="AP585" s="5" t="n">
        <v>1</v>
      </c>
      <c r="AQ585" s="5" t="n">
        <v>0.756</v>
      </c>
      <c r="AR585" s="5" t="n">
        <v>0.132</v>
      </c>
      <c r="AS585" s="5" t="n">
        <v>0.381</v>
      </c>
      <c r="AT585" s="5" t="n">
        <v>1.308</v>
      </c>
      <c r="AU585" s="5" t="n">
        <v>0.15</v>
      </c>
      <c r="AV585" s="5" t="n">
        <v>1</v>
      </c>
      <c r="AW585" s="5" t="n">
        <v>0.655</v>
      </c>
      <c r="AX585" s="5" t="n">
        <v>0.132</v>
      </c>
      <c r="AY585" s="5" t="n">
        <v>0.387</v>
      </c>
      <c r="AZ585" s="5" t="n">
        <v>1.199</v>
      </c>
      <c r="BA585" s="5" t="n">
        <v>0.15</v>
      </c>
      <c r="BB585" s="5" t="n">
        <v>1</v>
      </c>
      <c r="BC585" s="5" t="n">
        <v>0.534</v>
      </c>
      <c r="BD585" s="5" t="n">
        <v>0.132</v>
      </c>
      <c r="BE585" s="5" t="n">
        <v>0.036</v>
      </c>
      <c r="BF585" s="5" t="n">
        <v>0.655</v>
      </c>
      <c r="BG585" s="5" t="n">
        <v>0.15</v>
      </c>
      <c r="BH585" s="5" t="n">
        <v>1</v>
      </c>
      <c r="BI585" s="5" t="n">
        <v>0.5679999999999999</v>
      </c>
      <c r="BJ585" s="5" t="n">
        <v>0.132</v>
      </c>
      <c r="BK585" s="5" t="n">
        <v>0.591</v>
      </c>
      <c r="BL585" s="5" t="n">
        <v>1.333</v>
      </c>
      <c r="BM585" s="5" t="n">
        <v>0.15</v>
      </c>
      <c r="BN585" s="5" t="n">
        <v>1</v>
      </c>
      <c r="BO585" s="5" t="n">
        <v>0</v>
      </c>
      <c r="BP585" s="5" t="n">
        <v>0</v>
      </c>
      <c r="BQ585" s="5" t="n">
        <v>0.183</v>
      </c>
      <c r="BR585" s="5" t="n">
        <v>0</v>
      </c>
      <c r="BS585" s="5" t="n">
        <v>0.667</v>
      </c>
      <c r="BT585" s="5" t="n">
        <v>0</v>
      </c>
      <c r="BU585" s="5" t="n">
        <v>0</v>
      </c>
      <c r="BV585" s="5" t="n">
        <v>0.183</v>
      </c>
      <c r="BW585" s="5" t="n">
        <v>0.15</v>
      </c>
      <c r="BX585" s="5" t="n">
        <v>0.833</v>
      </c>
      <c r="BY585" s="5" t="n">
        <v>13.646</v>
      </c>
      <c r="BZ585" s="5" t="n">
        <v>0</v>
      </c>
      <c r="CA585" s="5" t="n">
        <v>13.646</v>
      </c>
      <c r="CB585" s="5" t="n">
        <v>0</v>
      </c>
      <c r="CC585" s="5" t="n">
        <v>82.58799999999999</v>
      </c>
      <c r="CD585" s="5" t="n">
        <v>7.95</v>
      </c>
      <c r="CE585" s="5" t="n">
        <v>4.599</v>
      </c>
      <c r="CF585" s="5" t="n">
        <v>98.258</v>
      </c>
      <c r="CG585" s="5" t="n">
        <v>0.15</v>
      </c>
      <c r="CH585" s="5" t="n">
        <v>1</v>
      </c>
      <c r="CI585" s="5" t="n">
        <v>0</v>
      </c>
      <c r="CJ585" s="5" t="n">
        <v>0</v>
      </c>
      <c r="CK585" s="5" t="n">
        <v>0</v>
      </c>
      <c r="CL585" s="5" t="n">
        <v>0</v>
      </c>
      <c r="CM585" s="5" t="n">
        <v>0</v>
      </c>
      <c r="CN585" s="5" t="n">
        <v>0</v>
      </c>
      <c r="CO585" s="5" t="n">
        <v>0</v>
      </c>
      <c r="CP585" s="5" t="n">
        <v>0</v>
      </c>
      <c r="CQ585" s="5" t="n">
        <v>1.387</v>
      </c>
      <c r="CR585" s="5" t="n">
        <v>0</v>
      </c>
      <c r="CS585" s="5" t="n">
        <v>5.529</v>
      </c>
      <c r="CT585" s="5" t="n">
        <v>4.251</v>
      </c>
      <c r="CU585" s="5" t="n">
        <v>10.123</v>
      </c>
    </row>
    <row r="586">
      <c r="A586" s="5" t="inlineStr">
        <is>
          <t>NER2021</t>
        </is>
      </c>
      <c r="B586" s="5" t="inlineStr">
        <is>
          <t>NER</t>
        </is>
      </c>
      <c r="C586" s="5" t="inlineStr">
        <is>
          <t>NER</t>
        </is>
      </c>
      <c r="D586" s="5" t="inlineStr">
        <is>
          <t>Niger</t>
        </is>
      </c>
      <c r="E586" s="5" t="n">
        <v>2021</v>
      </c>
      <c r="F586" s="5" t="n">
        <v>0.19</v>
      </c>
      <c r="G586" s="5" t="n">
        <v>1.77</v>
      </c>
      <c r="H586" s="5" t="n">
        <v>0.572</v>
      </c>
      <c r="I586" s="5" t="n">
        <v>0</v>
      </c>
      <c r="J586" s="5" t="n">
        <v>1.77</v>
      </c>
      <c r="K586" s="5" t="n">
        <v>0</v>
      </c>
      <c r="L586" s="5" t="n">
        <v>1</v>
      </c>
      <c r="M586" s="5" t="n">
        <v>2.913</v>
      </c>
      <c r="N586" s="5" t="n">
        <v>1.715</v>
      </c>
      <c r="O586" s="5" t="n">
        <v>0</v>
      </c>
      <c r="P586" s="5" t="n">
        <v>2.913</v>
      </c>
      <c r="Q586" s="5" t="n">
        <v>0</v>
      </c>
      <c r="R586" s="5" t="n">
        <v>1</v>
      </c>
      <c r="S586" s="5" t="n">
        <v>4.628</v>
      </c>
      <c r="T586" s="5" t="n">
        <v>3.43</v>
      </c>
      <c r="U586" s="5" t="n">
        <v>0</v>
      </c>
      <c r="V586" s="5" t="n">
        <v>5.508</v>
      </c>
      <c r="W586" s="5" t="n">
        <v>0.19</v>
      </c>
      <c r="X586" s="5" t="n">
        <v>1</v>
      </c>
      <c r="Y586" s="5" t="n">
        <v>5.347</v>
      </c>
      <c r="Z586" s="5" t="n">
        <v>0.393</v>
      </c>
      <c r="AA586" s="5" t="n">
        <v>0</v>
      </c>
      <c r="AB586" s="5" t="n">
        <v>5.347</v>
      </c>
      <c r="AC586" s="5" t="n">
        <v>0</v>
      </c>
      <c r="AD586" s="5" t="n">
        <v>1</v>
      </c>
      <c r="AE586" s="5" t="n">
        <v>5.919</v>
      </c>
      <c r="AF586" s="5" t="n">
        <v>0.8</v>
      </c>
      <c r="AG586" s="5" t="n">
        <v>0</v>
      </c>
      <c r="AH586" s="5" t="n">
        <v>5.919</v>
      </c>
      <c r="AI586" s="5" t="n">
        <v>0</v>
      </c>
      <c r="AJ586" s="5" t="n">
        <v>1</v>
      </c>
      <c r="AK586" s="5" t="n">
        <v>9.349</v>
      </c>
      <c r="AL586" s="5" t="n">
        <v>3.473</v>
      </c>
      <c r="AM586" s="5" t="n">
        <v>0</v>
      </c>
      <c r="AN586" s="5" t="n">
        <v>11.125</v>
      </c>
      <c r="AO586" s="5" t="n">
        <v>0.19</v>
      </c>
      <c r="AP586" s="5" t="n">
        <v>1</v>
      </c>
      <c r="AQ586" s="5" t="n">
        <v>0.619</v>
      </c>
      <c r="AR586" s="5" t="n">
        <v>0.114</v>
      </c>
      <c r="AS586" s="5" t="n">
        <v>0.199</v>
      </c>
      <c r="AT586" s="5" t="n">
        <v>0.974</v>
      </c>
      <c r="AU586" s="5" t="n">
        <v>0.19</v>
      </c>
      <c r="AV586" s="5" t="n">
        <v>1</v>
      </c>
      <c r="AW586" s="5" t="n">
        <v>0.599</v>
      </c>
      <c r="AX586" s="5" t="n">
        <v>0.114</v>
      </c>
      <c r="AY586" s="5" t="n">
        <v>0.367</v>
      </c>
      <c r="AZ586" s="5" t="n">
        <v>1.151</v>
      </c>
      <c r="BA586" s="5" t="n">
        <v>0.19</v>
      </c>
      <c r="BB586" s="5" t="n">
        <v>1</v>
      </c>
      <c r="BC586" s="5" t="n">
        <v>0.439</v>
      </c>
      <c r="BD586" s="5" t="n">
        <v>0.114</v>
      </c>
      <c r="BE586" s="5" t="n">
        <v>-0.2</v>
      </c>
      <c r="BF586" s="5" t="n">
        <v>0.285</v>
      </c>
      <c r="BG586" s="5" t="n">
        <v>0</v>
      </c>
      <c r="BH586" s="5" t="n">
        <v>0</v>
      </c>
      <c r="BI586" s="5" t="n">
        <v>0.505</v>
      </c>
      <c r="BJ586" s="5" t="n">
        <v>0.114</v>
      </c>
      <c r="BK586" s="5" t="n">
        <v>0.247</v>
      </c>
      <c r="BL586" s="5" t="n">
        <v>0.895</v>
      </c>
      <c r="BM586" s="5" t="n">
        <v>0.19</v>
      </c>
      <c r="BN586" s="5" t="n">
        <v>1</v>
      </c>
      <c r="BO586" s="5" t="n">
        <v>0</v>
      </c>
      <c r="BP586" s="5" t="n">
        <v>0</v>
      </c>
      <c r="BQ586" s="5" t="n">
        <v>0.131</v>
      </c>
      <c r="BR586" s="5" t="n">
        <v>0</v>
      </c>
      <c r="BS586" s="5" t="n">
        <v>0.167</v>
      </c>
      <c r="BT586" s="5" t="n">
        <v>0</v>
      </c>
      <c r="BU586" s="5" t="n">
        <v>0</v>
      </c>
      <c r="BV586" s="5" t="n">
        <v>0.155</v>
      </c>
      <c r="BW586" s="5" t="n">
        <v>0.19</v>
      </c>
      <c r="BX586" s="5" t="n">
        <v>0.167</v>
      </c>
      <c r="BY586" s="5" t="n">
        <v>11.787</v>
      </c>
      <c r="BZ586" s="5" t="n">
        <v>0</v>
      </c>
      <c r="CA586" s="5" t="n">
        <v>11.787</v>
      </c>
      <c r="CB586" s="5" t="n">
        <v>0</v>
      </c>
      <c r="CC586" s="5" t="n">
        <v>78.125</v>
      </c>
      <c r="CD586" s="5" t="n">
        <v>7.95</v>
      </c>
      <c r="CE586" s="5" t="n">
        <v>41.386</v>
      </c>
      <c r="CF586" s="5" t="n">
        <v>142.218</v>
      </c>
      <c r="CG586" s="5" t="n">
        <v>0.19</v>
      </c>
      <c r="CH586" s="5" t="n">
        <v>1</v>
      </c>
      <c r="CI586" s="5" t="n">
        <v>0</v>
      </c>
      <c r="CJ586" s="5" t="n">
        <v>0</v>
      </c>
      <c r="CK586" s="5" t="n">
        <v>0</v>
      </c>
      <c r="CL586" s="5" t="n">
        <v>0</v>
      </c>
      <c r="CM586" s="5" t="n">
        <v>0</v>
      </c>
      <c r="CN586" s="5" t="n">
        <v>0</v>
      </c>
      <c r="CO586" s="5" t="n">
        <v>0</v>
      </c>
      <c r="CP586" s="5" t="n">
        <v>1</v>
      </c>
      <c r="CQ586" s="5" t="n">
        <v>1.198</v>
      </c>
      <c r="CR586" s="5" t="n">
        <v>1</v>
      </c>
      <c r="CS586" s="5" t="n">
        <v>4.776</v>
      </c>
      <c r="CT586" s="5" t="n">
        <v>4.753</v>
      </c>
      <c r="CU586" s="5" t="n">
        <v>15.162</v>
      </c>
    </row>
    <row r="587">
      <c r="A587" s="5" t="inlineStr">
        <is>
          <t>NER2022</t>
        </is>
      </c>
      <c r="B587" s="5" t="inlineStr">
        <is>
          <t>NER</t>
        </is>
      </c>
      <c r="C587" s="5" t="inlineStr">
        <is>
          <t>NER</t>
        </is>
      </c>
      <c r="D587" s="5" t="inlineStr">
        <is>
          <t>Niger</t>
        </is>
      </c>
      <c r="E587" s="5" t="n">
        <v>2022</v>
      </c>
      <c r="F587" s="5" t="n">
        <v>0.19</v>
      </c>
      <c r="G587" s="5" t="n">
        <v>1.911</v>
      </c>
      <c r="H587" s="5" t="n">
        <v>0.617</v>
      </c>
      <c r="I587" s="5" t="n">
        <v>0</v>
      </c>
      <c r="J587" s="5" t="n">
        <v>1.911</v>
      </c>
      <c r="K587" s="5" t="n">
        <v>0</v>
      </c>
      <c r="L587" s="5" t="n">
        <v>1</v>
      </c>
      <c r="M587" s="5" t="n">
        <v>3.146</v>
      </c>
      <c r="N587" s="5" t="n">
        <v>1.852</v>
      </c>
      <c r="O587" s="5" t="n">
        <v>0</v>
      </c>
      <c r="P587" s="5" t="n">
        <v>3.146</v>
      </c>
      <c r="Q587" s="5" t="n">
        <v>0</v>
      </c>
      <c r="R587" s="5" t="n">
        <v>1</v>
      </c>
      <c r="S587" s="5" t="n">
        <v>4.998</v>
      </c>
      <c r="T587" s="5" t="n">
        <v>3.704</v>
      </c>
      <c r="U587" s="5" t="n">
        <v>0.07000000000000001</v>
      </c>
      <c r="V587" s="5" t="n">
        <v>5.948</v>
      </c>
      <c r="W587" s="5" t="n">
        <v>0.19</v>
      </c>
      <c r="X587" s="5" t="n">
        <v>1</v>
      </c>
      <c r="Y587" s="5" t="n">
        <v>5.775</v>
      </c>
      <c r="Z587" s="5" t="n">
        <v>0.425</v>
      </c>
      <c r="AA587" s="5" t="n">
        <v>0</v>
      </c>
      <c r="AB587" s="5" t="n">
        <v>5.775</v>
      </c>
      <c r="AC587" s="5" t="n">
        <v>0</v>
      </c>
      <c r="AD587" s="5" t="n">
        <v>1</v>
      </c>
      <c r="AE587" s="5" t="n">
        <v>6.392</v>
      </c>
      <c r="AF587" s="5" t="n">
        <v>0.864</v>
      </c>
      <c r="AG587" s="5" t="n">
        <v>0</v>
      </c>
      <c r="AH587" s="5" t="n">
        <v>6.392</v>
      </c>
      <c r="AI587" s="5" t="n">
        <v>0</v>
      </c>
      <c r="AJ587" s="5" t="n">
        <v>1</v>
      </c>
      <c r="AK587" s="5" t="n">
        <v>10.096</v>
      </c>
      <c r="AL587" s="5" t="n">
        <v>3.751</v>
      </c>
      <c r="AM587" s="5" t="n">
        <v>0.142</v>
      </c>
      <c r="AN587" s="5" t="n">
        <v>12.015</v>
      </c>
      <c r="AO587" s="5" t="n">
        <v>0.19</v>
      </c>
      <c r="AP587" s="5" t="n">
        <v>1</v>
      </c>
      <c r="AQ587" s="5" t="n">
        <v>0.861</v>
      </c>
      <c r="AR587" s="5" t="n">
        <v>0.123</v>
      </c>
      <c r="AS587" s="5" t="n">
        <v>-0.134</v>
      </c>
      <c r="AT587" s="5" t="n">
        <v>0.866</v>
      </c>
      <c r="AU587" s="5" t="n">
        <v>0.19</v>
      </c>
      <c r="AV587" s="5" t="n">
        <v>1</v>
      </c>
      <c r="AW587" s="5" t="n">
        <v>0.986</v>
      </c>
      <c r="AX587" s="5" t="n">
        <v>0.123</v>
      </c>
      <c r="AY587" s="5" t="n">
        <v>-0.127</v>
      </c>
      <c r="AZ587" s="5" t="n">
        <v>1.023</v>
      </c>
      <c r="BA587" s="5" t="n">
        <v>0.19</v>
      </c>
      <c r="BB587" s="5" t="n">
        <v>1</v>
      </c>
      <c r="BC587" s="5" t="n">
        <v>0.598</v>
      </c>
      <c r="BD587" s="5" t="n">
        <v>0.123</v>
      </c>
      <c r="BE587" s="5" t="n">
        <v>-0.385</v>
      </c>
      <c r="BF587" s="5" t="n">
        <v>0.253</v>
      </c>
      <c r="BG587" s="5" t="n">
        <v>0</v>
      </c>
      <c r="BH587" s="5" t="n">
        <v>0</v>
      </c>
      <c r="BI587" s="5" t="n">
        <v>0.612</v>
      </c>
      <c r="BJ587" s="5" t="n">
        <v>0.123</v>
      </c>
      <c r="BK587" s="5" t="n">
        <v>0.057</v>
      </c>
      <c r="BL587" s="5" t="n">
        <v>0.796</v>
      </c>
      <c r="BM587" s="5" t="n">
        <v>0.19</v>
      </c>
      <c r="BN587" s="5" t="n">
        <v>1</v>
      </c>
      <c r="BO587" s="5" t="n">
        <v>0</v>
      </c>
      <c r="BP587" s="5" t="n">
        <v>0</v>
      </c>
      <c r="BQ587" s="5" t="n">
        <v>0.116</v>
      </c>
      <c r="BR587" s="5" t="n">
        <v>0</v>
      </c>
      <c r="BS587" s="5" t="n">
        <v>0.167</v>
      </c>
      <c r="BT587" s="5" t="n">
        <v>0</v>
      </c>
      <c r="BU587" s="5" t="n">
        <v>0</v>
      </c>
      <c r="BV587" s="5" t="n">
        <v>0.138</v>
      </c>
      <c r="BW587" s="5" t="n">
        <v>0.19</v>
      </c>
      <c r="BX587" s="5" t="n">
        <v>0.167</v>
      </c>
      <c r="BY587" s="5" t="n">
        <v>12.729</v>
      </c>
      <c r="BZ587" s="5" t="n">
        <v>0</v>
      </c>
      <c r="CA587" s="5" t="n">
        <v>12.729</v>
      </c>
      <c r="CB587" s="5" t="n">
        <v>0</v>
      </c>
      <c r="CC587" s="5" t="n">
        <v>97.90000000000001</v>
      </c>
      <c r="CD587" s="5" t="n">
        <v>7.95</v>
      </c>
      <c r="CE587" s="5" t="n">
        <v>8.346</v>
      </c>
      <c r="CF587" s="5" t="n">
        <v>126.433</v>
      </c>
      <c r="CG587" s="5" t="n">
        <v>0.19</v>
      </c>
      <c r="CH587" s="5" t="n">
        <v>1</v>
      </c>
      <c r="CI587" s="5" t="n">
        <v>0</v>
      </c>
      <c r="CJ587" s="5" t="n">
        <v>0</v>
      </c>
      <c r="CK587" s="5" t="n">
        <v>0</v>
      </c>
      <c r="CL587" s="5" t="n">
        <v>0</v>
      </c>
      <c r="CM587" s="5" t="n">
        <v>0</v>
      </c>
      <c r="CN587" s="5" t="n">
        <v>0</v>
      </c>
      <c r="CO587" s="5" t="n">
        <v>0</v>
      </c>
      <c r="CP587" s="5" t="n">
        <v>1</v>
      </c>
      <c r="CQ587" s="5" t="n">
        <v>1.294</v>
      </c>
      <c r="CR587" s="5" t="n">
        <v>1</v>
      </c>
      <c r="CS587" s="5" t="n">
        <v>5.158</v>
      </c>
      <c r="CT587" s="5" t="n">
        <v>10.485</v>
      </c>
      <c r="CU587" s="5" t="n">
        <v>31.326</v>
      </c>
    </row>
    <row r="588">
      <c r="A588" s="5" t="inlineStr">
        <is>
          <t>NER2023</t>
        </is>
      </c>
      <c r="B588" s="5" t="inlineStr">
        <is>
          <t>NER</t>
        </is>
      </c>
      <c r="C588" s="5" t="inlineStr">
        <is>
          <t>NER</t>
        </is>
      </c>
      <c r="D588" s="5" t="inlineStr">
        <is>
          <t>Niger</t>
        </is>
      </c>
      <c r="E588" s="5" t="n">
        <v>2023</v>
      </c>
      <c r="F588" s="5" t="n">
        <v>0.19</v>
      </c>
      <c r="G588" s="5" t="n">
        <v>1.99</v>
      </c>
      <c r="H588" s="5" t="n">
        <v>0.643</v>
      </c>
      <c r="I588" s="5" t="n">
        <v>0</v>
      </c>
      <c r="J588" s="5" t="n">
        <v>1.99</v>
      </c>
      <c r="K588" s="5" t="n">
        <v>0</v>
      </c>
      <c r="L588" s="5" t="n">
        <v>1</v>
      </c>
      <c r="M588" s="5" t="n">
        <v>3.276</v>
      </c>
      <c r="N588" s="5" t="n">
        <v>1.928</v>
      </c>
      <c r="O588" s="5" t="n">
        <v>0</v>
      </c>
      <c r="P588" s="5" t="n">
        <v>3.276</v>
      </c>
      <c r="Q588" s="5" t="n">
        <v>0</v>
      </c>
      <c r="R588" s="5" t="n">
        <v>1</v>
      </c>
      <c r="S588" s="5" t="n">
        <v>5.205</v>
      </c>
      <c r="T588" s="5" t="n">
        <v>3.857</v>
      </c>
      <c r="U588" s="5" t="n">
        <v>0.109</v>
      </c>
      <c r="V588" s="5" t="n">
        <v>6.193</v>
      </c>
      <c r="W588" s="5" t="n">
        <v>0.19</v>
      </c>
      <c r="X588" s="5" t="n">
        <v>1</v>
      </c>
      <c r="Y588" s="5" t="n">
        <v>6.013</v>
      </c>
      <c r="Z588" s="5" t="n">
        <v>0.442</v>
      </c>
      <c r="AA588" s="5" t="n">
        <v>0</v>
      </c>
      <c r="AB588" s="5" t="n">
        <v>6.013</v>
      </c>
      <c r="AC588" s="5" t="n">
        <v>0</v>
      </c>
      <c r="AD588" s="5" t="n">
        <v>1</v>
      </c>
      <c r="AE588" s="5" t="n">
        <v>6.656</v>
      </c>
      <c r="AF588" s="5" t="n">
        <v>0.9</v>
      </c>
      <c r="AG588" s="5" t="n">
        <v>0</v>
      </c>
      <c r="AH588" s="5" t="n">
        <v>6.656</v>
      </c>
      <c r="AI588" s="5" t="n">
        <v>0</v>
      </c>
      <c r="AJ588" s="5" t="n">
        <v>1</v>
      </c>
      <c r="AK588" s="5" t="n">
        <v>10.513</v>
      </c>
      <c r="AL588" s="5" t="n">
        <v>3.906</v>
      </c>
      <c r="AM588" s="5" t="n">
        <v>0.221</v>
      </c>
      <c r="AN588" s="5" t="n">
        <v>12.511</v>
      </c>
      <c r="AO588" s="5" t="n">
        <v>0.19</v>
      </c>
      <c r="AP588" s="5" t="n">
        <v>1</v>
      </c>
      <c r="AQ588" s="5" t="n">
        <v>0.76</v>
      </c>
      <c r="AR588" s="5" t="n">
        <v>0.129</v>
      </c>
      <c r="AS588" s="5" t="n">
        <v>-0.037</v>
      </c>
      <c r="AT588" s="5" t="n">
        <v>0.861</v>
      </c>
      <c r="AU588" s="5" t="n">
        <v>0.19</v>
      </c>
      <c r="AV588" s="5" t="n">
        <v>1</v>
      </c>
      <c r="AW588" s="5" t="n">
        <v>0.8110000000000001</v>
      </c>
      <c r="AX588" s="5" t="n">
        <v>0.129</v>
      </c>
      <c r="AY588" s="5" t="n">
        <v>0.06</v>
      </c>
      <c r="AZ588" s="5" t="n">
        <v>1.037</v>
      </c>
      <c r="BA588" s="5" t="n">
        <v>0.19</v>
      </c>
      <c r="BB588" s="5" t="n">
        <v>1</v>
      </c>
      <c r="BC588" s="5" t="n">
        <v>0.535</v>
      </c>
      <c r="BD588" s="5" t="n">
        <v>0.129</v>
      </c>
      <c r="BE588" s="5" t="n">
        <v>-0.316</v>
      </c>
      <c r="BF588" s="5" t="n">
        <v>0.26</v>
      </c>
      <c r="BG588" s="5" t="n">
        <v>0</v>
      </c>
      <c r="BH588" s="5" t="n">
        <v>0</v>
      </c>
      <c r="BI588" s="5" t="n">
        <v>0.579</v>
      </c>
      <c r="BJ588" s="5" t="n">
        <v>0.129</v>
      </c>
      <c r="BK588" s="5" t="n">
        <v>0.109</v>
      </c>
      <c r="BL588" s="5" t="n">
        <v>0.819</v>
      </c>
      <c r="BM588" s="5" t="n">
        <v>0.19</v>
      </c>
      <c r="BN588" s="5" t="n">
        <v>1</v>
      </c>
      <c r="BO588" s="5" t="n">
        <v>0</v>
      </c>
      <c r="BP588" s="5" t="n">
        <v>0</v>
      </c>
      <c r="BQ588" s="5" t="n">
        <v>0.12</v>
      </c>
      <c r="BR588" s="5" t="n">
        <v>0</v>
      </c>
      <c r="BS588" s="5" t="n">
        <v>0.167</v>
      </c>
      <c r="BT588" s="5" t="n">
        <v>0</v>
      </c>
      <c r="BU588" s="5" t="n">
        <v>0</v>
      </c>
      <c r="BV588" s="5" t="n">
        <v>0.142</v>
      </c>
      <c r="BW588" s="5" t="n">
        <v>0.19</v>
      </c>
      <c r="BX588" s="5" t="n">
        <v>0.167</v>
      </c>
      <c r="BY588" s="5" t="n">
        <v>13.254</v>
      </c>
      <c r="BZ588" s="5" t="n">
        <v>0</v>
      </c>
      <c r="CA588" s="5" t="n">
        <v>13.254</v>
      </c>
      <c r="CB588" s="5" t="n">
        <v>0</v>
      </c>
      <c r="CC588" s="5" t="n">
        <v>83.248</v>
      </c>
      <c r="CD588" s="5" t="n">
        <v>7.95</v>
      </c>
      <c r="CE588" s="5" t="n">
        <v>26.009</v>
      </c>
      <c r="CF588" s="5" t="n">
        <v>130.016</v>
      </c>
      <c r="CG588" s="5" t="n">
        <v>0.19</v>
      </c>
      <c r="CH588" s="5" t="n">
        <v>1</v>
      </c>
      <c r="CI588" s="5" t="n">
        <v>0</v>
      </c>
      <c r="CJ588" s="5" t="n">
        <v>0</v>
      </c>
      <c r="CK588" s="5" t="n">
        <v>0</v>
      </c>
      <c r="CL588" s="5" t="n">
        <v>0</v>
      </c>
      <c r="CM588" s="5" t="n">
        <v>0</v>
      </c>
      <c r="CN588" s="5" t="n">
        <v>0</v>
      </c>
      <c r="CO588" s="5" t="n">
        <v>0</v>
      </c>
      <c r="CP588" s="5" t="n">
        <v>1</v>
      </c>
      <c r="CQ588" s="5" t="n">
        <v>1.348</v>
      </c>
      <c r="CR588" s="5" t="n">
        <v>1</v>
      </c>
      <c r="CS588" s="5" t="n">
        <v>5.37</v>
      </c>
      <c r="CT588" s="5" t="n">
        <v>4.861</v>
      </c>
      <c r="CU588" s="5" t="n">
        <v>11.622</v>
      </c>
    </row>
    <row r="589">
      <c r="A589" s="5" t="inlineStr">
        <is>
          <t>NER2024</t>
        </is>
      </c>
      <c r="B589" s="5" t="inlineStr">
        <is>
          <t>NER</t>
        </is>
      </c>
      <c r="C589" s="5" t="inlineStr">
        <is>
          <t>NER</t>
        </is>
      </c>
      <c r="D589" s="5" t="inlineStr">
        <is>
          <t>Niger</t>
        </is>
      </c>
      <c r="E589" s="5" t="n">
        <v>2024</v>
      </c>
      <c r="F589" s="5" t="n">
        <v>0.19</v>
      </c>
      <c r="G589" s="5" t="n">
        <v>2.049</v>
      </c>
      <c r="H589" s="5" t="n">
        <v>0.662</v>
      </c>
      <c r="I589" s="5" t="n">
        <v>0</v>
      </c>
      <c r="J589" s="5" t="n">
        <v>2.049</v>
      </c>
      <c r="K589" s="5" t="n">
        <v>0</v>
      </c>
      <c r="L589" s="5" t="n">
        <v>1</v>
      </c>
      <c r="M589" s="5" t="n">
        <v>3.373</v>
      </c>
      <c r="N589" s="5" t="n">
        <v>1.985</v>
      </c>
      <c r="O589" s="5" t="n">
        <v>0</v>
      </c>
      <c r="P589" s="5" t="n">
        <v>3.373</v>
      </c>
      <c r="Q589" s="5" t="n">
        <v>0</v>
      </c>
      <c r="R589" s="5" t="n">
        <v>1</v>
      </c>
      <c r="S589" s="5" t="n">
        <v>5.358</v>
      </c>
      <c r="T589" s="5" t="n">
        <v>3.971</v>
      </c>
      <c r="U589" s="5" t="n">
        <v>0.139</v>
      </c>
      <c r="V589" s="5" t="n">
        <v>6.376</v>
      </c>
      <c r="W589" s="5" t="n">
        <v>0.19</v>
      </c>
      <c r="X589" s="5" t="n">
        <v>1</v>
      </c>
      <c r="Y589" s="5" t="n">
        <v>6.191</v>
      </c>
      <c r="Z589" s="5" t="n">
        <v>0.455</v>
      </c>
      <c r="AA589" s="5" t="n">
        <v>0</v>
      </c>
      <c r="AB589" s="5" t="n">
        <v>6.191</v>
      </c>
      <c r="AC589" s="5" t="n">
        <v>0</v>
      </c>
      <c r="AD589" s="5" t="n">
        <v>1</v>
      </c>
      <c r="AE589" s="5" t="n">
        <v>6.853</v>
      </c>
      <c r="AF589" s="5" t="n">
        <v>0.926</v>
      </c>
      <c r="AG589" s="5" t="n">
        <v>0</v>
      </c>
      <c r="AH589" s="5" t="n">
        <v>6.853</v>
      </c>
      <c r="AI589" s="5" t="n">
        <v>0</v>
      </c>
      <c r="AJ589" s="5" t="n">
        <v>1</v>
      </c>
      <c r="AK589" s="5" t="n">
        <v>10.823</v>
      </c>
      <c r="AL589" s="5" t="n">
        <v>4.021</v>
      </c>
      <c r="AM589" s="5" t="n">
        <v>0.28</v>
      </c>
      <c r="AN589" s="5" t="n">
        <v>12.88</v>
      </c>
      <c r="AO589" s="5" t="n">
        <v>0.19</v>
      </c>
      <c r="AP589" s="5" t="n">
        <v>1</v>
      </c>
      <c r="AQ589" s="5" t="n">
        <v>0.724</v>
      </c>
      <c r="AR589" s="5" t="n">
        <v>0.132</v>
      </c>
      <c r="AS589" s="5" t="n">
        <v>-0.006</v>
      </c>
      <c r="AT589" s="5" t="n">
        <v>0.855</v>
      </c>
      <c r="AU589" s="5" t="n">
        <v>0.19</v>
      </c>
      <c r="AV589" s="5" t="n">
        <v>1</v>
      </c>
      <c r="AW589" s="5" t="n">
        <v>0.75</v>
      </c>
      <c r="AX589" s="5" t="n">
        <v>0.132</v>
      </c>
      <c r="AY589" s="5" t="n">
        <v>0.261</v>
      </c>
      <c r="AZ589" s="5" t="n">
        <v>1.204</v>
      </c>
      <c r="BA589" s="5" t="n">
        <v>0.19</v>
      </c>
      <c r="BB589" s="5" t="n">
        <v>1</v>
      </c>
      <c r="BC589" s="5" t="n">
        <v>0.513</v>
      </c>
      <c r="BD589" s="5" t="n">
        <v>0.132</v>
      </c>
      <c r="BE589" s="5" t="n">
        <v>-0.294</v>
      </c>
      <c r="BF589" s="5" t="n">
        <v>0.261</v>
      </c>
      <c r="BG589" s="5" t="n">
        <v>0</v>
      </c>
      <c r="BH589" s="5" t="n">
        <v>0</v>
      </c>
      <c r="BI589" s="5" t="n">
        <v>0.591</v>
      </c>
      <c r="BJ589" s="5" t="n">
        <v>0.132</v>
      </c>
      <c r="BK589" s="5" t="n">
        <v>0.134</v>
      </c>
      <c r="BL589" s="5" t="n">
        <v>0.841</v>
      </c>
      <c r="BM589" s="5" t="n">
        <v>0.19</v>
      </c>
      <c r="BN589" s="5" t="n">
        <v>1</v>
      </c>
      <c r="BO589" s="5" t="n">
        <v>0</v>
      </c>
      <c r="BP589" s="5" t="n">
        <v>0</v>
      </c>
      <c r="BQ589" s="5" t="n">
        <v>0.123</v>
      </c>
      <c r="BR589" s="5" t="n">
        <v>0</v>
      </c>
      <c r="BS589" s="5" t="n">
        <v>0.167</v>
      </c>
      <c r="BT589" s="5" t="n">
        <v>0</v>
      </c>
      <c r="BU589" s="5" t="n">
        <v>0</v>
      </c>
      <c r="BV589" s="5" t="n">
        <v>0.146</v>
      </c>
      <c r="BW589" s="5" t="n">
        <v>0.19</v>
      </c>
      <c r="BX589" s="5" t="n">
        <v>0.167</v>
      </c>
      <c r="BY589" s="5" t="n">
        <v>13.646</v>
      </c>
      <c r="BZ589" s="5" t="n">
        <v>0</v>
      </c>
      <c r="CA589" s="5" t="n">
        <v>13.646</v>
      </c>
      <c r="CB589" s="5" t="n">
        <v>0</v>
      </c>
      <c r="CC589" s="5" t="n">
        <v>82.58799999999999</v>
      </c>
      <c r="CD589" s="5" t="n">
        <v>7.95</v>
      </c>
      <c r="CE589" s="5" t="n">
        <v>32.064</v>
      </c>
      <c r="CF589" s="5" t="n">
        <v>132.994</v>
      </c>
      <c r="CG589" s="5" t="n">
        <v>0.19</v>
      </c>
      <c r="CH589" s="5" t="n">
        <v>1</v>
      </c>
      <c r="CI589" s="5" t="n">
        <v>0</v>
      </c>
      <c r="CJ589" s="5" t="n">
        <v>0</v>
      </c>
      <c r="CK589" s="5" t="n">
        <v>0</v>
      </c>
      <c r="CL589" s="5" t="n">
        <v>0</v>
      </c>
      <c r="CM589" s="5" t="n">
        <v>0</v>
      </c>
      <c r="CN589" s="5" t="n">
        <v>0</v>
      </c>
      <c r="CO589" s="5" t="n">
        <v>0</v>
      </c>
      <c r="CP589" s="5" t="n">
        <v>1</v>
      </c>
      <c r="CQ589" s="5" t="n">
        <v>1.387</v>
      </c>
      <c r="CR589" s="5" t="n">
        <v>1</v>
      </c>
      <c r="CS589" s="5" t="n">
        <v>5.529</v>
      </c>
      <c r="CT589" s="5" t="n">
        <v>4.251</v>
      </c>
      <c r="CU589" s="5" t="n">
        <v>10.168</v>
      </c>
    </row>
    <row r="590">
      <c r="A590" s="5" t="inlineStr">
        <is>
          <t>NGA2021</t>
        </is>
      </c>
      <c r="B590" s="5" t="inlineStr">
        <is>
          <t>NGA</t>
        </is>
      </c>
      <c r="C590" s="5" t="inlineStr">
        <is>
          <t>NGA</t>
        </is>
      </c>
      <c r="D590" s="5" t="inlineStr">
        <is>
          <t>Nigeria</t>
        </is>
      </c>
      <c r="E590" s="5" t="n">
        <v>2021</v>
      </c>
      <c r="F590" s="5" t="n">
        <v>0.075</v>
      </c>
      <c r="G590" s="5" t="n">
        <v>1.77</v>
      </c>
      <c r="H590" s="5" t="n">
        <v>0.572</v>
      </c>
      <c r="I590" s="5" t="n">
        <v>0</v>
      </c>
      <c r="J590" s="5" t="n">
        <v>1.77</v>
      </c>
      <c r="K590" s="5" t="n">
        <v>0</v>
      </c>
      <c r="L590" s="5" t="n">
        <v>1</v>
      </c>
      <c r="M590" s="5" t="n">
        <v>2.913</v>
      </c>
      <c r="N590" s="5" t="n">
        <v>1.715</v>
      </c>
      <c r="O590" s="5" t="n">
        <v>0</v>
      </c>
      <c r="P590" s="5" t="n">
        <v>2.913</v>
      </c>
      <c r="Q590" s="5" t="n">
        <v>0</v>
      </c>
      <c r="R590" s="5" t="n">
        <v>1</v>
      </c>
      <c r="S590" s="5" t="n">
        <v>4.628</v>
      </c>
      <c r="T590" s="5" t="n">
        <v>3.43</v>
      </c>
      <c r="U590" s="5" t="n">
        <v>0</v>
      </c>
      <c r="V590" s="5" t="n">
        <v>4.975</v>
      </c>
      <c r="W590" s="5" t="n">
        <v>0.075</v>
      </c>
      <c r="X590" s="5" t="n">
        <v>1</v>
      </c>
      <c r="Y590" s="5" t="n">
        <v>4.26</v>
      </c>
      <c r="Z590" s="5" t="n">
        <v>0.471</v>
      </c>
      <c r="AA590" s="5" t="n">
        <v>0</v>
      </c>
      <c r="AB590" s="5" t="n">
        <v>4.26</v>
      </c>
      <c r="AC590" s="5" t="n">
        <v>0</v>
      </c>
      <c r="AD590" s="5" t="n">
        <v>1</v>
      </c>
      <c r="AE590" s="5" t="n">
        <v>4.467</v>
      </c>
      <c r="AF590" s="5" t="n">
        <v>0.879</v>
      </c>
      <c r="AG590" s="5" t="n">
        <v>0</v>
      </c>
      <c r="AH590" s="5" t="n">
        <v>4.467</v>
      </c>
      <c r="AI590" s="5" t="n">
        <v>0</v>
      </c>
      <c r="AJ590" s="5" t="n">
        <v>1</v>
      </c>
      <c r="AK590" s="5" t="n">
        <v>11.001</v>
      </c>
      <c r="AL590" s="5" t="n">
        <v>5.4</v>
      </c>
      <c r="AM590" s="5" t="n">
        <v>0</v>
      </c>
      <c r="AN590" s="5" t="n">
        <v>11.827</v>
      </c>
      <c r="AO590" s="5" t="n">
        <v>0.075</v>
      </c>
      <c r="AP590" s="5" t="n">
        <v>1</v>
      </c>
      <c r="AQ590" s="5" t="n">
        <v>0.676</v>
      </c>
      <c r="AR590" s="5" t="n">
        <v>0.124</v>
      </c>
      <c r="AS590" s="5" t="n">
        <v>-0.287</v>
      </c>
      <c r="AT590" s="5" t="n">
        <v>0.418</v>
      </c>
      <c r="AU590" s="5" t="n">
        <v>0</v>
      </c>
      <c r="AV590" s="5" t="n">
        <v>0</v>
      </c>
      <c r="AW590" s="5" t="n">
        <v>0.619</v>
      </c>
      <c r="AX590" s="5" t="n">
        <v>0.12</v>
      </c>
      <c r="AY590" s="5" t="n">
        <v>0.012</v>
      </c>
      <c r="AZ590" s="5" t="n">
        <v>0.678</v>
      </c>
      <c r="BA590" s="5" t="n">
        <v>0.075</v>
      </c>
      <c r="BB590" s="5" t="n">
        <v>1</v>
      </c>
      <c r="BC590" s="5" t="n">
        <v>0.434</v>
      </c>
      <c r="BD590" s="5" t="n">
        <v>0.112</v>
      </c>
      <c r="BE590" s="5" t="n">
        <v>0.004</v>
      </c>
      <c r="BF590" s="5" t="n">
        <v>0.471</v>
      </c>
      <c r="BG590" s="5" t="n">
        <v>0.075</v>
      </c>
      <c r="BH590" s="5" t="n">
        <v>1</v>
      </c>
      <c r="BI590" s="5" t="n">
        <v>0.477</v>
      </c>
      <c r="BJ590" s="5" t="n">
        <v>0.105</v>
      </c>
      <c r="BK590" s="5" t="n">
        <v>0.008</v>
      </c>
      <c r="BL590" s="5" t="n">
        <v>0.521</v>
      </c>
      <c r="BM590" s="5" t="n">
        <v>0.075</v>
      </c>
      <c r="BN590" s="5" t="n">
        <v>1</v>
      </c>
      <c r="BO590" s="5" t="n">
        <v>0</v>
      </c>
      <c r="BP590" s="5" t="n">
        <v>-0.016</v>
      </c>
      <c r="BQ590" s="5" t="n">
        <v>0.137</v>
      </c>
      <c r="BR590" s="5" t="n">
        <v>0</v>
      </c>
      <c r="BS590" s="5" t="n">
        <v>0.833</v>
      </c>
      <c r="BT590" s="5" t="n">
        <v>0</v>
      </c>
      <c r="BU590" s="5" t="n">
        <v>-0.016</v>
      </c>
      <c r="BV590" s="5" t="n">
        <v>0.107</v>
      </c>
      <c r="BW590" s="5" t="n">
        <v>0</v>
      </c>
      <c r="BX590" s="5" t="n">
        <v>0.833</v>
      </c>
      <c r="BY590" s="5" t="n">
        <v>11.787</v>
      </c>
      <c r="BZ590" s="5" t="n">
        <v>0</v>
      </c>
      <c r="CA590" s="5" t="n">
        <v>11.787</v>
      </c>
      <c r="CB590" s="5" t="n">
        <v>0</v>
      </c>
      <c r="CC590" s="5" t="n">
        <v>78.125</v>
      </c>
      <c r="CD590" s="5" t="n">
        <v>7.95</v>
      </c>
      <c r="CE590" s="5" t="n">
        <v>67.154</v>
      </c>
      <c r="CF590" s="5" t="n">
        <v>156.175</v>
      </c>
      <c r="CG590" s="5" t="n">
        <v>0.075</v>
      </c>
      <c r="CH590" s="5" t="n">
        <v>1</v>
      </c>
      <c r="CI590" s="5" t="n">
        <v>0</v>
      </c>
      <c r="CJ590" s="5" t="n">
        <v>0</v>
      </c>
      <c r="CK590" s="5" t="n">
        <v>0</v>
      </c>
      <c r="CL590" s="5" t="n">
        <v>0</v>
      </c>
      <c r="CM590" s="5" t="n">
        <v>0</v>
      </c>
      <c r="CN590" s="5" t="n">
        <v>0</v>
      </c>
      <c r="CO590" s="5" t="n">
        <v>0</v>
      </c>
      <c r="CP590" s="5" t="n">
        <v>1</v>
      </c>
      <c r="CQ590" s="5" t="n">
        <v>1.198</v>
      </c>
      <c r="CR590" s="5" t="n">
        <v>0</v>
      </c>
      <c r="CS590" s="5" t="n">
        <v>4.578</v>
      </c>
      <c r="CT590" s="5" t="n">
        <v>4.753</v>
      </c>
      <c r="CU590" s="5" t="n">
        <v>15.629</v>
      </c>
    </row>
    <row r="591">
      <c r="A591" s="5" t="inlineStr">
        <is>
          <t>NGA2022</t>
        </is>
      </c>
      <c r="B591" s="5" t="inlineStr">
        <is>
          <t>NGA</t>
        </is>
      </c>
      <c r="C591" s="5" t="inlineStr">
        <is>
          <t>NGA</t>
        </is>
      </c>
      <c r="D591" s="5" t="inlineStr">
        <is>
          <t>Nigeria</t>
        </is>
      </c>
      <c r="E591" s="5" t="n">
        <v>2022</v>
      </c>
      <c r="F591" s="5" t="n">
        <v>0.075</v>
      </c>
      <c r="G591" s="5" t="n">
        <v>1.911</v>
      </c>
      <c r="H591" s="5" t="n">
        <v>0.617</v>
      </c>
      <c r="I591" s="5" t="n">
        <v>0</v>
      </c>
      <c r="J591" s="5" t="n">
        <v>1.911</v>
      </c>
      <c r="K591" s="5" t="n">
        <v>0</v>
      </c>
      <c r="L591" s="5" t="n">
        <v>1</v>
      </c>
      <c r="M591" s="5" t="n">
        <v>3.146</v>
      </c>
      <c r="N591" s="5" t="n">
        <v>1.852</v>
      </c>
      <c r="O591" s="5" t="n">
        <v>0</v>
      </c>
      <c r="P591" s="5" t="n">
        <v>3.146</v>
      </c>
      <c r="Q591" s="5" t="n">
        <v>0</v>
      </c>
      <c r="R591" s="5" t="n">
        <v>1</v>
      </c>
      <c r="S591" s="5" t="n">
        <v>4.998</v>
      </c>
      <c r="T591" s="5" t="n">
        <v>3.704</v>
      </c>
      <c r="U591" s="5" t="n">
        <v>0.028</v>
      </c>
      <c r="V591" s="5" t="n">
        <v>5.373</v>
      </c>
      <c r="W591" s="5" t="n">
        <v>0.075</v>
      </c>
      <c r="X591" s="5" t="n">
        <v>1</v>
      </c>
      <c r="Y591" s="5" t="n">
        <v>4.351</v>
      </c>
      <c r="Z591" s="5" t="n">
        <v>0.456</v>
      </c>
      <c r="AA591" s="5" t="n">
        <v>0</v>
      </c>
      <c r="AB591" s="5" t="n">
        <v>4.351</v>
      </c>
      <c r="AC591" s="5" t="n">
        <v>0</v>
      </c>
      <c r="AD591" s="5" t="n">
        <v>1</v>
      </c>
      <c r="AE591" s="5" t="n">
        <v>4.649</v>
      </c>
      <c r="AF591" s="5" t="n">
        <v>0.862</v>
      </c>
      <c r="AG591" s="5" t="n">
        <v>0</v>
      </c>
      <c r="AH591" s="5" t="n">
        <v>4.649</v>
      </c>
      <c r="AI591" s="5" t="n">
        <v>0</v>
      </c>
      <c r="AJ591" s="5" t="n">
        <v>1</v>
      </c>
      <c r="AK591" s="5" t="n">
        <v>11.681</v>
      </c>
      <c r="AL591" s="5" t="n">
        <v>5.578</v>
      </c>
      <c r="AM591" s="5" t="n">
        <v>0</v>
      </c>
      <c r="AN591" s="5" t="n">
        <v>12.558</v>
      </c>
      <c r="AO591" s="5" t="n">
        <v>0.075</v>
      </c>
      <c r="AP591" s="5" t="n">
        <v>1</v>
      </c>
      <c r="AQ591" s="5" t="n">
        <v>0.979</v>
      </c>
      <c r="AR591" s="5" t="n">
        <v>0.14</v>
      </c>
      <c r="AS591" s="5" t="n">
        <v>-0.573</v>
      </c>
      <c r="AT591" s="5" t="n">
        <v>0.436</v>
      </c>
      <c r="AU591" s="5" t="n">
        <v>0</v>
      </c>
      <c r="AV591" s="5" t="n">
        <v>0</v>
      </c>
      <c r="AW591" s="5" t="n">
        <v>1.078</v>
      </c>
      <c r="AX591" s="5" t="n">
        <v>0.14</v>
      </c>
      <c r="AY591" s="5" t="n">
        <v>0.018</v>
      </c>
      <c r="AZ591" s="5" t="n">
        <v>1.178</v>
      </c>
      <c r="BA591" s="5" t="n">
        <v>0.075</v>
      </c>
      <c r="BB591" s="5" t="n">
        <v>1</v>
      </c>
      <c r="BC591" s="5" t="n">
        <v>0.526</v>
      </c>
      <c r="BD591" s="5" t="n">
        <v>0.108</v>
      </c>
      <c r="BE591" s="5" t="n">
        <v>0.005</v>
      </c>
      <c r="BF591" s="5" t="n">
        <v>0.571</v>
      </c>
      <c r="BG591" s="5" t="n">
        <v>0.075</v>
      </c>
      <c r="BH591" s="5" t="n">
        <v>1</v>
      </c>
      <c r="BI591" s="5" t="n">
        <v>0.801</v>
      </c>
      <c r="BJ591" s="5" t="n">
        <v>0.156</v>
      </c>
      <c r="BK591" s="5" t="n">
        <v>0.008</v>
      </c>
      <c r="BL591" s="5" t="n">
        <v>0.87</v>
      </c>
      <c r="BM591" s="5" t="n">
        <v>0.075</v>
      </c>
      <c r="BN591" s="5" t="n">
        <v>1</v>
      </c>
      <c r="BO591" s="5" t="n">
        <v>0</v>
      </c>
      <c r="BP591" s="5" t="n">
        <v>-0.016</v>
      </c>
      <c r="BQ591" s="5" t="n">
        <v>0.127</v>
      </c>
      <c r="BR591" s="5" t="n">
        <v>0</v>
      </c>
      <c r="BS591" s="5" t="n">
        <v>0.833</v>
      </c>
      <c r="BT591" s="5" t="n">
        <v>0</v>
      </c>
      <c r="BU591" s="5" t="n">
        <v>-0.016</v>
      </c>
      <c r="BV591" s="5" t="n">
        <v>0.119</v>
      </c>
      <c r="BW591" s="5" t="n">
        <v>0</v>
      </c>
      <c r="BX591" s="5" t="n">
        <v>0.833</v>
      </c>
      <c r="BY591" s="5" t="n">
        <v>12.729</v>
      </c>
      <c r="BZ591" s="5" t="n">
        <v>0</v>
      </c>
      <c r="CA591" s="5" t="n">
        <v>12.729</v>
      </c>
      <c r="CB591" s="5" t="n">
        <v>0</v>
      </c>
      <c r="CC591" s="5" t="n">
        <v>97.90000000000001</v>
      </c>
      <c r="CD591" s="5" t="n">
        <v>7.95</v>
      </c>
      <c r="CE591" s="5" t="n">
        <v>170.073</v>
      </c>
      <c r="CF591" s="5" t="n">
        <v>288.071</v>
      </c>
      <c r="CG591" s="5" t="n">
        <v>0.075</v>
      </c>
      <c r="CH591" s="5" t="n">
        <v>1</v>
      </c>
      <c r="CI591" s="5" t="n">
        <v>0</v>
      </c>
      <c r="CJ591" s="5" t="n">
        <v>0</v>
      </c>
      <c r="CK591" s="5" t="n">
        <v>0</v>
      </c>
      <c r="CL591" s="5" t="n">
        <v>0</v>
      </c>
      <c r="CM591" s="5" t="n">
        <v>0</v>
      </c>
      <c r="CN591" s="5" t="n">
        <v>0</v>
      </c>
      <c r="CO591" s="5" t="n">
        <v>0</v>
      </c>
      <c r="CP591" s="5" t="n">
        <v>1</v>
      </c>
      <c r="CQ591" s="5" t="n">
        <v>1.294</v>
      </c>
      <c r="CR591" s="5" t="n">
        <v>0</v>
      </c>
      <c r="CS591" s="5" t="n">
        <v>4.944</v>
      </c>
      <c r="CT591" s="5" t="n">
        <v>10.485</v>
      </c>
      <c r="CU591" s="5" t="n">
        <v>29.559</v>
      </c>
    </row>
    <row r="592">
      <c r="A592" s="5" t="inlineStr">
        <is>
          <t>NGA2023</t>
        </is>
      </c>
      <c r="B592" s="5" t="inlineStr">
        <is>
          <t>NGA</t>
        </is>
      </c>
      <c r="C592" s="5" t="inlineStr">
        <is>
          <t>NGA</t>
        </is>
      </c>
      <c r="D592" s="5" t="inlineStr">
        <is>
          <t>Nigeria</t>
        </is>
      </c>
      <c r="E592" s="5" t="n">
        <v>2023</v>
      </c>
      <c r="F592" s="5" t="n">
        <v>0.075</v>
      </c>
      <c r="G592" s="5" t="n">
        <v>1.99</v>
      </c>
      <c r="H592" s="5" t="n">
        <v>0.643</v>
      </c>
      <c r="I592" s="5" t="n">
        <v>0</v>
      </c>
      <c r="J592" s="5" t="n">
        <v>1.99</v>
      </c>
      <c r="K592" s="5" t="n">
        <v>0</v>
      </c>
      <c r="L592" s="5" t="n">
        <v>1</v>
      </c>
      <c r="M592" s="5" t="n">
        <v>3.276</v>
      </c>
      <c r="N592" s="5" t="n">
        <v>1.928</v>
      </c>
      <c r="O592" s="5" t="n">
        <v>0</v>
      </c>
      <c r="P592" s="5" t="n">
        <v>3.276</v>
      </c>
      <c r="Q592" s="5" t="n">
        <v>0</v>
      </c>
      <c r="R592" s="5" t="n">
        <v>1</v>
      </c>
      <c r="S592" s="5" t="n">
        <v>5.205</v>
      </c>
      <c r="T592" s="5" t="n">
        <v>3.857</v>
      </c>
      <c r="U592" s="5" t="n">
        <v>0.043</v>
      </c>
      <c r="V592" s="5" t="n">
        <v>5.595</v>
      </c>
      <c r="W592" s="5" t="n">
        <v>0.075</v>
      </c>
      <c r="X592" s="5" t="n">
        <v>1</v>
      </c>
      <c r="Y592" s="5" t="n">
        <v>4.402</v>
      </c>
      <c r="Z592" s="5" t="n">
        <v>0.493</v>
      </c>
      <c r="AA592" s="5" t="n">
        <v>0</v>
      </c>
      <c r="AB592" s="5" t="n">
        <v>4.402</v>
      </c>
      <c r="AC592" s="5" t="n">
        <v>0</v>
      </c>
      <c r="AD592" s="5" t="n">
        <v>1</v>
      </c>
      <c r="AE592" s="5" t="n">
        <v>4.751</v>
      </c>
      <c r="AF592" s="5" t="n">
        <v>0.946</v>
      </c>
      <c r="AG592" s="5" t="n">
        <v>0</v>
      </c>
      <c r="AH592" s="5" t="n">
        <v>4.751</v>
      </c>
      <c r="AI592" s="5" t="n">
        <v>0</v>
      </c>
      <c r="AJ592" s="5" t="n">
        <v>1</v>
      </c>
      <c r="AK592" s="5" t="n">
        <v>12.061</v>
      </c>
      <c r="AL592" s="5" t="n">
        <v>5.975</v>
      </c>
      <c r="AM592" s="5" t="n">
        <v>0</v>
      </c>
      <c r="AN592" s="5" t="n">
        <v>12.965</v>
      </c>
      <c r="AO592" s="5" t="n">
        <v>0.075</v>
      </c>
      <c r="AP592" s="5" t="n">
        <v>1</v>
      </c>
      <c r="AQ592" s="5" t="n">
        <v>0.835</v>
      </c>
      <c r="AR592" s="5" t="n">
        <v>0.141</v>
      </c>
      <c r="AS592" s="5" t="n">
        <v>-0.183</v>
      </c>
      <c r="AT592" s="5" t="n">
        <v>0.702</v>
      </c>
      <c r="AU592" s="5" t="n">
        <v>0</v>
      </c>
      <c r="AV592" s="5" t="n">
        <v>0</v>
      </c>
      <c r="AW592" s="5" t="n">
        <v>0.864</v>
      </c>
      <c r="AX592" s="5" t="n">
        <v>0.148</v>
      </c>
      <c r="AY592" s="5" t="n">
        <v>0.014</v>
      </c>
      <c r="AZ592" s="5" t="n">
        <v>0.945</v>
      </c>
      <c r="BA592" s="5" t="n">
        <v>0.075</v>
      </c>
      <c r="BB592" s="5" t="n">
        <v>1</v>
      </c>
      <c r="BC592" s="5" t="n">
        <v>0.42</v>
      </c>
      <c r="BD592" s="5" t="n">
        <v>0.101</v>
      </c>
      <c r="BE592" s="5" t="n">
        <v>0.004</v>
      </c>
      <c r="BF592" s="5" t="n">
        <v>0.456</v>
      </c>
      <c r="BG592" s="5" t="n">
        <v>0.075</v>
      </c>
      <c r="BH592" s="5" t="n">
        <v>1</v>
      </c>
      <c r="BI592" s="5" t="n">
        <v>0.6830000000000001</v>
      </c>
      <c r="BJ592" s="5" t="n">
        <v>0.149</v>
      </c>
      <c r="BK592" s="5" t="n">
        <v>0.008</v>
      </c>
      <c r="BL592" s="5" t="n">
        <v>0.742</v>
      </c>
      <c r="BM592" s="5" t="n">
        <v>0.075</v>
      </c>
      <c r="BN592" s="5" t="n">
        <v>1</v>
      </c>
      <c r="BO592" s="5" t="n">
        <v>0</v>
      </c>
      <c r="BP592" s="5" t="n">
        <v>-0.016</v>
      </c>
      <c r="BQ592" s="5" t="n">
        <v>0.08400000000000001</v>
      </c>
      <c r="BR592" s="5" t="n">
        <v>0</v>
      </c>
      <c r="BS592" s="5" t="n">
        <v>0.833</v>
      </c>
      <c r="BT592" s="5" t="n">
        <v>0</v>
      </c>
      <c r="BU592" s="5" t="n">
        <v>-0.016</v>
      </c>
      <c r="BV592" s="5" t="n">
        <v>0.078</v>
      </c>
      <c r="BW592" s="5" t="n">
        <v>0</v>
      </c>
      <c r="BX592" s="5" t="n">
        <v>0.833</v>
      </c>
      <c r="BY592" s="5" t="n">
        <v>13.254</v>
      </c>
      <c r="BZ592" s="5" t="n">
        <v>0</v>
      </c>
      <c r="CA592" s="5" t="n">
        <v>13.254</v>
      </c>
      <c r="CB592" s="5" t="n">
        <v>0</v>
      </c>
      <c r="CC592" s="5" t="n">
        <v>83.248</v>
      </c>
      <c r="CD592" s="5" t="n">
        <v>7.95</v>
      </c>
      <c r="CE592" s="5" t="n">
        <v>200.582</v>
      </c>
      <c r="CF592" s="5" t="n">
        <v>305.117</v>
      </c>
      <c r="CG592" s="5" t="n">
        <v>0.075</v>
      </c>
      <c r="CH592" s="5" t="n">
        <v>1</v>
      </c>
      <c r="CI592" s="5" t="n">
        <v>0</v>
      </c>
      <c r="CJ592" s="5" t="n">
        <v>0</v>
      </c>
      <c r="CK592" s="5" t="n">
        <v>0</v>
      </c>
      <c r="CL592" s="5" t="n">
        <v>0</v>
      </c>
      <c r="CM592" s="5" t="n">
        <v>0</v>
      </c>
      <c r="CN592" s="5" t="n">
        <v>0</v>
      </c>
      <c r="CO592" s="5" t="n">
        <v>0</v>
      </c>
      <c r="CP592" s="5" t="n">
        <v>1</v>
      </c>
      <c r="CQ592" s="5" t="n">
        <v>1.348</v>
      </c>
      <c r="CR592" s="5" t="n">
        <v>0</v>
      </c>
      <c r="CS592" s="5" t="n">
        <v>5.148</v>
      </c>
      <c r="CT592" s="5" t="n">
        <v>4.861</v>
      </c>
      <c r="CU592" s="5" t="n">
        <v>10.761</v>
      </c>
    </row>
    <row r="593">
      <c r="A593" s="5" t="inlineStr">
        <is>
          <t>NGA2024</t>
        </is>
      </c>
      <c r="B593" s="5" t="inlineStr">
        <is>
          <t>NGA</t>
        </is>
      </c>
      <c r="C593" s="5" t="inlineStr">
        <is>
          <t>NGA</t>
        </is>
      </c>
      <c r="D593" s="5" t="inlineStr">
        <is>
          <t>Nigeria</t>
        </is>
      </c>
      <c r="E593" s="5" t="n">
        <v>2024</v>
      </c>
      <c r="F593" s="5" t="n">
        <v>0.075</v>
      </c>
      <c r="G593" s="5" t="n">
        <v>2.049</v>
      </c>
      <c r="H593" s="5" t="n">
        <v>0.662</v>
      </c>
      <c r="I593" s="5" t="n">
        <v>0</v>
      </c>
      <c r="J593" s="5" t="n">
        <v>2.049</v>
      </c>
      <c r="K593" s="5" t="n">
        <v>0</v>
      </c>
      <c r="L593" s="5" t="n">
        <v>1</v>
      </c>
      <c r="M593" s="5" t="n">
        <v>3.373</v>
      </c>
      <c r="N593" s="5" t="n">
        <v>1.985</v>
      </c>
      <c r="O593" s="5" t="n">
        <v>0</v>
      </c>
      <c r="P593" s="5" t="n">
        <v>3.373</v>
      </c>
      <c r="Q593" s="5" t="n">
        <v>0</v>
      </c>
      <c r="R593" s="5" t="n">
        <v>1</v>
      </c>
      <c r="S593" s="5" t="n">
        <v>5.358</v>
      </c>
      <c r="T593" s="5" t="n">
        <v>3.971</v>
      </c>
      <c r="U593" s="5" t="n">
        <v>0.055</v>
      </c>
      <c r="V593" s="5" t="n">
        <v>5.76</v>
      </c>
      <c r="W593" s="5" t="n">
        <v>0.075</v>
      </c>
      <c r="X593" s="5" t="n">
        <v>1</v>
      </c>
      <c r="Y593" s="5" t="n">
        <v>4.62</v>
      </c>
      <c r="Z593" s="5" t="n">
        <v>0.583</v>
      </c>
      <c r="AA593" s="5" t="n">
        <v>0</v>
      </c>
      <c r="AB593" s="5" t="n">
        <v>4.62</v>
      </c>
      <c r="AC593" s="5" t="n">
        <v>0</v>
      </c>
      <c r="AD593" s="5" t="n">
        <v>1</v>
      </c>
      <c r="AE593" s="5" t="n">
        <v>5.007</v>
      </c>
      <c r="AF593" s="5" t="n">
        <v>1.097</v>
      </c>
      <c r="AG593" s="5" t="n">
        <v>0</v>
      </c>
      <c r="AH593" s="5" t="n">
        <v>5.007</v>
      </c>
      <c r="AI593" s="5" t="n">
        <v>0</v>
      </c>
      <c r="AJ593" s="5" t="n">
        <v>1</v>
      </c>
      <c r="AK593" s="5" t="n">
        <v>13.449</v>
      </c>
      <c r="AL593" s="5" t="n">
        <v>6.84</v>
      </c>
      <c r="AM593" s="5" t="n">
        <v>0</v>
      </c>
      <c r="AN593" s="5" t="n">
        <v>13.449</v>
      </c>
      <c r="AO593" s="5" t="n">
        <v>0</v>
      </c>
      <c r="AP593" s="5" t="n">
        <v>1</v>
      </c>
      <c r="AQ593" s="5" t="n">
        <v>0.866</v>
      </c>
      <c r="AR593" s="5" t="n">
        <v>0.157</v>
      </c>
      <c r="AS593" s="5" t="n">
        <v>-0.274</v>
      </c>
      <c r="AT593" s="5" t="n">
        <v>0.592</v>
      </c>
      <c r="AU593" s="5" t="n">
        <v>0</v>
      </c>
      <c r="AV593" s="5" t="n">
        <v>0</v>
      </c>
      <c r="AW593" s="5" t="n">
        <v>0.877</v>
      </c>
      <c r="AX593" s="5" t="n">
        <v>0.161</v>
      </c>
      <c r="AY593" s="5" t="n">
        <v>0.013</v>
      </c>
      <c r="AZ593" s="5" t="n">
        <v>0.89</v>
      </c>
      <c r="BA593" s="5" t="n">
        <v>0</v>
      </c>
      <c r="BB593" s="5" t="n">
        <v>1</v>
      </c>
      <c r="BC593" s="5" t="n">
        <v>0.513</v>
      </c>
      <c r="BD593" s="5" t="n">
        <v>0.132</v>
      </c>
      <c r="BE593" s="5" t="n">
        <v>0.004</v>
      </c>
      <c r="BF593" s="5" t="n">
        <v>0.517</v>
      </c>
      <c r="BG593" s="5" t="n">
        <v>0</v>
      </c>
      <c r="BH593" s="5" t="n">
        <v>1</v>
      </c>
      <c r="BI593" s="5" t="n">
        <v>0.714</v>
      </c>
      <c r="BJ593" s="5" t="n">
        <v>0.157</v>
      </c>
      <c r="BK593" s="5" t="n">
        <v>0.008</v>
      </c>
      <c r="BL593" s="5" t="n">
        <v>0.722</v>
      </c>
      <c r="BM593" s="5" t="n">
        <v>0</v>
      </c>
      <c r="BN593" s="5" t="n">
        <v>1</v>
      </c>
      <c r="BO593" s="5" t="n">
        <v>0</v>
      </c>
      <c r="BP593" s="5" t="n">
        <v>-0.016</v>
      </c>
      <c r="BQ593" s="5" t="n">
        <v>0.126</v>
      </c>
      <c r="BR593" s="5" t="n">
        <v>0</v>
      </c>
      <c r="BS593" s="5" t="n">
        <v>0.833</v>
      </c>
      <c r="BT593" s="5" t="n">
        <v>0</v>
      </c>
      <c r="BU593" s="5" t="n">
        <v>-0.016</v>
      </c>
      <c r="BV593" s="5" t="n">
        <v>0.07000000000000001</v>
      </c>
      <c r="BW593" s="5" t="n">
        <v>0</v>
      </c>
      <c r="BX593" s="5" t="n">
        <v>0.833</v>
      </c>
      <c r="BY593" s="5" t="n">
        <v>13.646</v>
      </c>
      <c r="BZ593" s="5" t="n">
        <v>0</v>
      </c>
      <c r="CA593" s="5" t="n">
        <v>13.646</v>
      </c>
      <c r="CB593" s="5" t="n">
        <v>0</v>
      </c>
      <c r="CC593" s="5" t="n">
        <v>82.58799999999999</v>
      </c>
      <c r="CD593" s="5" t="n">
        <v>7.95</v>
      </c>
      <c r="CE593" s="5" t="n">
        <v>210.682</v>
      </c>
      <c r="CF593" s="5" t="n">
        <v>312.077</v>
      </c>
      <c r="CG593" s="5" t="n">
        <v>0.075</v>
      </c>
      <c r="CH593" s="5" t="n">
        <v>1</v>
      </c>
      <c r="CI593" s="5" t="n">
        <v>0</v>
      </c>
      <c r="CJ593" s="5" t="n">
        <v>0</v>
      </c>
      <c r="CK593" s="5" t="n">
        <v>0</v>
      </c>
      <c r="CL593" s="5" t="n">
        <v>0</v>
      </c>
      <c r="CM593" s="5" t="n">
        <v>0</v>
      </c>
      <c r="CN593" s="5" t="n">
        <v>0</v>
      </c>
      <c r="CO593" s="5" t="n">
        <v>0</v>
      </c>
      <c r="CP593" s="5" t="n">
        <v>1</v>
      </c>
      <c r="CQ593" s="5" t="n">
        <v>1.387</v>
      </c>
      <c r="CR593" s="5" t="n">
        <v>0</v>
      </c>
      <c r="CS593" s="5" t="n">
        <v>5.3</v>
      </c>
      <c r="CT593" s="5" t="n">
        <v>4.251</v>
      </c>
      <c r="CU593" s="5" t="n">
        <v>9.098000000000001</v>
      </c>
    </row>
    <row r="594">
      <c r="A594" s="5" t="inlineStr">
        <is>
          <t>MKD2021</t>
        </is>
      </c>
      <c r="B594" s="5" t="inlineStr">
        <is>
          <t>MKD</t>
        </is>
      </c>
      <c r="C594" s="5" t="inlineStr">
        <is>
          <t>MKD</t>
        </is>
      </c>
      <c r="D594" s="5" t="inlineStr">
        <is>
          <t>North Macedonia</t>
        </is>
      </c>
      <c r="E594" s="5" t="n">
        <v>2021</v>
      </c>
      <c r="F594" s="5" t="n">
        <v>0.18</v>
      </c>
      <c r="G594" s="5" t="n">
        <v>2.429</v>
      </c>
      <c r="H594" s="5" t="n">
        <v>0.671</v>
      </c>
      <c r="I594" s="5" t="n">
        <v>0</v>
      </c>
      <c r="J594" s="5" t="n">
        <v>2.429</v>
      </c>
      <c r="K594" s="5" t="n">
        <v>0</v>
      </c>
      <c r="L594" s="5" t="n">
        <v>1</v>
      </c>
      <c r="M594" s="5" t="n">
        <v>3.793</v>
      </c>
      <c r="N594" s="5" t="n">
        <v>2.014</v>
      </c>
      <c r="O594" s="5" t="n">
        <v>0</v>
      </c>
      <c r="P594" s="5" t="n">
        <v>3.793</v>
      </c>
      <c r="Q594" s="5" t="n">
        <v>0</v>
      </c>
      <c r="R594" s="5" t="n">
        <v>1</v>
      </c>
      <c r="S594" s="5" t="n">
        <v>5.785</v>
      </c>
      <c r="T594" s="5" t="n">
        <v>4.027</v>
      </c>
      <c r="U594" s="5" t="n">
        <v>0</v>
      </c>
      <c r="V594" s="5" t="n">
        <v>6.826</v>
      </c>
      <c r="W594" s="5" t="n">
        <v>0.18</v>
      </c>
      <c r="X594" s="5" t="n">
        <v>1</v>
      </c>
      <c r="Y594" s="5" t="n">
        <v>12.393</v>
      </c>
      <c r="Z594" s="5" t="n">
        <v>1.369</v>
      </c>
      <c r="AA594" s="5" t="n">
        <v>-3.434</v>
      </c>
      <c r="AB594" s="5" t="n">
        <v>8.959</v>
      </c>
      <c r="AC594" s="5" t="n">
        <v>0</v>
      </c>
      <c r="AD594" s="5" t="n">
        <v>1</v>
      </c>
      <c r="AE594" s="5" t="n">
        <v>12.35</v>
      </c>
      <c r="AF594" s="5" t="n">
        <v>2.43</v>
      </c>
      <c r="AG594" s="5" t="n">
        <v>-3.391</v>
      </c>
      <c r="AH594" s="5" t="n">
        <v>8.959</v>
      </c>
      <c r="AI594" s="5" t="n">
        <v>0</v>
      </c>
      <c r="AJ594" s="5" t="n">
        <v>1</v>
      </c>
      <c r="AK594" s="5" t="n">
        <v>18.855</v>
      </c>
      <c r="AL594" s="5" t="n">
        <v>9.254</v>
      </c>
      <c r="AM594" s="5" t="n">
        <v>-4.125</v>
      </c>
      <c r="AN594" s="5" t="n">
        <v>17.38</v>
      </c>
      <c r="AO594" s="5" t="n">
        <v>0.18</v>
      </c>
      <c r="AP594" s="5" t="n">
        <v>1</v>
      </c>
      <c r="AQ594" s="5" t="n">
        <v>0.619</v>
      </c>
      <c r="AR594" s="5" t="n">
        <v>0.114</v>
      </c>
      <c r="AS594" s="5" t="n">
        <v>0.511</v>
      </c>
      <c r="AT594" s="5" t="n">
        <v>1.333</v>
      </c>
      <c r="AU594" s="5" t="n">
        <v>0.18</v>
      </c>
      <c r="AV594" s="5" t="n">
        <v>1</v>
      </c>
      <c r="AW594" s="5" t="n">
        <v>0.599</v>
      </c>
      <c r="AX594" s="5" t="n">
        <v>0.114</v>
      </c>
      <c r="AY594" s="5" t="n">
        <v>0.385</v>
      </c>
      <c r="AZ594" s="5" t="n">
        <v>1.162</v>
      </c>
      <c r="BA594" s="5" t="n">
        <v>0.18</v>
      </c>
      <c r="BB594" s="5" t="n">
        <v>1</v>
      </c>
      <c r="BC594" s="5" t="n">
        <v>0.439</v>
      </c>
      <c r="BD594" s="5" t="n">
        <v>0.114</v>
      </c>
      <c r="BE594" s="5" t="n">
        <v>0.145</v>
      </c>
      <c r="BF594" s="5" t="n">
        <v>0.6889999999999999</v>
      </c>
      <c r="BG594" s="5" t="n">
        <v>0.18</v>
      </c>
      <c r="BH594" s="5" t="n">
        <v>1</v>
      </c>
      <c r="BI594" s="5" t="n">
        <v>0.505</v>
      </c>
      <c r="BJ594" s="5" t="n">
        <v>0.114</v>
      </c>
      <c r="BK594" s="5" t="n">
        <v>0</v>
      </c>
      <c r="BL594" s="5" t="n">
        <v>0.596</v>
      </c>
      <c r="BM594" s="5" t="n">
        <v>0.18</v>
      </c>
      <c r="BN594" s="5" t="n">
        <v>1</v>
      </c>
      <c r="BO594" s="5" t="n">
        <v>0</v>
      </c>
      <c r="BP594" s="5" t="n">
        <v>0</v>
      </c>
      <c r="BQ594" s="5" t="n">
        <v>0.099</v>
      </c>
      <c r="BR594" s="5" t="n">
        <v>0</v>
      </c>
      <c r="BS594" s="5" t="n">
        <v>1</v>
      </c>
      <c r="BT594" s="5" t="n">
        <v>0</v>
      </c>
      <c r="BU594" s="5" t="n">
        <v>0</v>
      </c>
      <c r="BV594" s="5" t="n">
        <v>0.099</v>
      </c>
      <c r="BW594" s="5" t="n">
        <v>0.18</v>
      </c>
      <c r="BX594" s="5" t="n">
        <v>0.833</v>
      </c>
      <c r="BY594" s="5" t="n">
        <v>11.787</v>
      </c>
      <c r="BZ594" s="5" t="n">
        <v>0</v>
      </c>
      <c r="CA594" s="5" t="n">
        <v>11.787</v>
      </c>
      <c r="CB594" s="5" t="n">
        <v>0</v>
      </c>
      <c r="CC594" s="5" t="n">
        <v>78.125</v>
      </c>
      <c r="CD594" s="5" t="n">
        <v>7.95</v>
      </c>
      <c r="CE594" s="5" t="n">
        <v>71.649</v>
      </c>
      <c r="CF594" s="5" t="n">
        <v>176.733</v>
      </c>
      <c r="CG594" s="5" t="n">
        <v>0.18</v>
      </c>
      <c r="CH594" s="5" t="n">
        <v>1</v>
      </c>
      <c r="CI594" s="5" t="n">
        <v>0</v>
      </c>
      <c r="CJ594" s="5" t="n">
        <v>0</v>
      </c>
      <c r="CK594" s="5" t="n">
        <v>0</v>
      </c>
      <c r="CL594" s="5" t="n">
        <v>0</v>
      </c>
      <c r="CM594" s="5" t="n">
        <v>0</v>
      </c>
      <c r="CN594" s="5" t="n">
        <v>0</v>
      </c>
      <c r="CO594" s="5" t="n">
        <v>0</v>
      </c>
      <c r="CP594" s="5" t="n">
        <v>0.826</v>
      </c>
      <c r="CQ594" s="5" t="n">
        <v>1.198</v>
      </c>
      <c r="CR594" s="5" t="n">
        <v>0</v>
      </c>
      <c r="CS594" s="5" t="n">
        <v>4.776</v>
      </c>
      <c r="CT594" s="5" t="n">
        <v>4.41</v>
      </c>
      <c r="CU594" s="5" t="n">
        <v>7.753</v>
      </c>
    </row>
    <row r="595">
      <c r="A595" s="5" t="inlineStr">
        <is>
          <t>MKD2022</t>
        </is>
      </c>
      <c r="B595" s="5" t="inlineStr">
        <is>
          <t>MKD</t>
        </is>
      </c>
      <c r="C595" s="5" t="inlineStr">
        <is>
          <t>MKD</t>
        </is>
      </c>
      <c r="D595" s="5" t="inlineStr">
        <is>
          <t>North Macedonia</t>
        </is>
      </c>
      <c r="E595" s="5" t="n">
        <v>2022</v>
      </c>
      <c r="F595" s="5" t="n">
        <v>0.18</v>
      </c>
      <c r="G595" s="5" t="n">
        <v>2.758</v>
      </c>
      <c r="H595" s="5" t="n">
        <v>0.719</v>
      </c>
      <c r="I595" s="5" t="n">
        <v>0</v>
      </c>
      <c r="J595" s="5" t="n">
        <v>2.758</v>
      </c>
      <c r="K595" s="5" t="n">
        <v>0</v>
      </c>
      <c r="L595" s="5" t="n">
        <v>1</v>
      </c>
      <c r="M595" s="5" t="n">
        <v>4.234</v>
      </c>
      <c r="N595" s="5" t="n">
        <v>2.156</v>
      </c>
      <c r="O595" s="5" t="n">
        <v>0</v>
      </c>
      <c r="P595" s="5" t="n">
        <v>4.234</v>
      </c>
      <c r="Q595" s="5" t="n">
        <v>0</v>
      </c>
      <c r="R595" s="5" t="n">
        <v>1</v>
      </c>
      <c r="S595" s="5" t="n">
        <v>6.351</v>
      </c>
      <c r="T595" s="5" t="n">
        <v>4.311</v>
      </c>
      <c r="U595" s="5" t="n">
        <v>0.08500000000000001</v>
      </c>
      <c r="V595" s="5" t="n">
        <v>7.495</v>
      </c>
      <c r="W595" s="5" t="n">
        <v>0.18</v>
      </c>
      <c r="X595" s="5" t="n">
        <v>1</v>
      </c>
      <c r="Y595" s="5" t="n">
        <v>34.673</v>
      </c>
      <c r="Z595" s="5" t="n">
        <v>3.637</v>
      </c>
      <c r="AA595" s="5" t="n">
        <v>-2.016</v>
      </c>
      <c r="AB595" s="5" t="n">
        <v>32.656</v>
      </c>
      <c r="AC595" s="5" t="n">
        <v>0</v>
      </c>
      <c r="AD595" s="5" t="n">
        <v>1</v>
      </c>
      <c r="AE595" s="5" t="n">
        <v>34.721</v>
      </c>
      <c r="AF595" s="5" t="n">
        <v>6.437</v>
      </c>
      <c r="AG595" s="5" t="n">
        <v>-2.064</v>
      </c>
      <c r="AH595" s="5" t="n">
        <v>32.656</v>
      </c>
      <c r="AI595" s="5" t="n">
        <v>0</v>
      </c>
      <c r="AJ595" s="5" t="n">
        <v>1</v>
      </c>
      <c r="AK595" s="5" t="n">
        <v>41.774</v>
      </c>
      <c r="AL595" s="5" t="n">
        <v>19.949</v>
      </c>
      <c r="AM595" s="5" t="n">
        <v>-9.423</v>
      </c>
      <c r="AN595" s="5" t="n">
        <v>38.174</v>
      </c>
      <c r="AO595" s="5" t="n">
        <v>0.18</v>
      </c>
      <c r="AP595" s="5" t="n">
        <v>1</v>
      </c>
      <c r="AQ595" s="5" t="n">
        <v>0.861</v>
      </c>
      <c r="AR595" s="5" t="n">
        <v>0.123</v>
      </c>
      <c r="AS595" s="5" t="n">
        <v>0.414</v>
      </c>
      <c r="AT595" s="5" t="n">
        <v>1.505</v>
      </c>
      <c r="AU595" s="5" t="n">
        <v>0.18</v>
      </c>
      <c r="AV595" s="5" t="n">
        <v>1</v>
      </c>
      <c r="AW595" s="5" t="n">
        <v>0.986</v>
      </c>
      <c r="AX595" s="5" t="n">
        <v>0.123</v>
      </c>
      <c r="AY595" s="5" t="n">
        <v>0.295</v>
      </c>
      <c r="AZ595" s="5" t="n">
        <v>1.512</v>
      </c>
      <c r="BA595" s="5" t="n">
        <v>0.18</v>
      </c>
      <c r="BB595" s="5" t="n">
        <v>1</v>
      </c>
      <c r="BC595" s="5" t="n">
        <v>0.598</v>
      </c>
      <c r="BD595" s="5" t="n">
        <v>0.123</v>
      </c>
      <c r="BE595" s="5" t="n">
        <v>0.114</v>
      </c>
      <c r="BF595" s="5" t="n">
        <v>0.84</v>
      </c>
      <c r="BG595" s="5" t="n">
        <v>0.18</v>
      </c>
      <c r="BH595" s="5" t="n">
        <v>1</v>
      </c>
      <c r="BI595" s="5" t="n">
        <v>0.612</v>
      </c>
      <c r="BJ595" s="5" t="n">
        <v>0.123</v>
      </c>
      <c r="BK595" s="5" t="n">
        <v>0.008</v>
      </c>
      <c r="BL595" s="5" t="n">
        <v>0.723</v>
      </c>
      <c r="BM595" s="5" t="n">
        <v>0.18</v>
      </c>
      <c r="BN595" s="5" t="n">
        <v>1</v>
      </c>
      <c r="BO595" s="5" t="n">
        <v>0</v>
      </c>
      <c r="BP595" s="5" t="n">
        <v>0</v>
      </c>
      <c r="BQ595" s="5" t="n">
        <v>0.27</v>
      </c>
      <c r="BR595" s="5" t="n">
        <v>0</v>
      </c>
      <c r="BS595" s="5" t="n">
        <v>1</v>
      </c>
      <c r="BT595" s="5" t="n">
        <v>0</v>
      </c>
      <c r="BU595" s="5" t="n">
        <v>0</v>
      </c>
      <c r="BV595" s="5" t="n">
        <v>0.104</v>
      </c>
      <c r="BW595" s="5" t="n">
        <v>0.18</v>
      </c>
      <c r="BX595" s="5" t="n">
        <v>0.833</v>
      </c>
      <c r="BY595" s="5" t="n">
        <v>12.729</v>
      </c>
      <c r="BZ595" s="5" t="n">
        <v>0</v>
      </c>
      <c r="CA595" s="5" t="n">
        <v>12.729</v>
      </c>
      <c r="CB595" s="5" t="n">
        <v>0</v>
      </c>
      <c r="CC595" s="5" t="n">
        <v>97.90000000000001</v>
      </c>
      <c r="CD595" s="5" t="n">
        <v>7.95</v>
      </c>
      <c r="CE595" s="5" t="n">
        <v>99.20699999999999</v>
      </c>
      <c r="CF595" s="5" t="n">
        <v>232.586</v>
      </c>
      <c r="CG595" s="5" t="n">
        <v>0.18</v>
      </c>
      <c r="CH595" s="5" t="n">
        <v>1</v>
      </c>
      <c r="CI595" s="5" t="n">
        <v>0</v>
      </c>
      <c r="CJ595" s="5" t="n">
        <v>0</v>
      </c>
      <c r="CK595" s="5" t="n">
        <v>0</v>
      </c>
      <c r="CL595" s="5" t="n">
        <v>0</v>
      </c>
      <c r="CM595" s="5" t="n">
        <v>0</v>
      </c>
      <c r="CN595" s="5" t="n">
        <v>0</v>
      </c>
      <c r="CO595" s="5" t="n">
        <v>0</v>
      </c>
      <c r="CP595" s="5" t="n">
        <v>0.836</v>
      </c>
      <c r="CQ595" s="5" t="n">
        <v>1.294</v>
      </c>
      <c r="CR595" s="5" t="n">
        <v>0</v>
      </c>
      <c r="CS595" s="5" t="n">
        <v>5.158</v>
      </c>
      <c r="CT595" s="5" t="n">
        <v>5.842</v>
      </c>
      <c r="CU595" s="5" t="n">
        <v>29.941</v>
      </c>
    </row>
    <row r="596">
      <c r="A596" s="5" t="inlineStr">
        <is>
          <t>MKD2023</t>
        </is>
      </c>
      <c r="B596" s="5" t="inlineStr">
        <is>
          <t>MKD</t>
        </is>
      </c>
      <c r="C596" s="5" t="inlineStr">
        <is>
          <t>MKD</t>
        </is>
      </c>
      <c r="D596" s="5" t="inlineStr">
        <is>
          <t>North Macedonia</t>
        </is>
      </c>
      <c r="E596" s="5" t="n">
        <v>2023</v>
      </c>
      <c r="F596" s="5" t="n">
        <v>0.18</v>
      </c>
      <c r="G596" s="5" t="n">
        <v>2.76</v>
      </c>
      <c r="H596" s="5" t="n">
        <v>0.822</v>
      </c>
      <c r="I596" s="5" t="n">
        <v>0</v>
      </c>
      <c r="J596" s="5" t="n">
        <v>2.76</v>
      </c>
      <c r="K596" s="5" t="n">
        <v>0</v>
      </c>
      <c r="L596" s="5" t="n">
        <v>1</v>
      </c>
      <c r="M596" s="5" t="n">
        <v>4.561</v>
      </c>
      <c r="N596" s="5" t="n">
        <v>2.466</v>
      </c>
      <c r="O596" s="5" t="n">
        <v>0</v>
      </c>
      <c r="P596" s="5" t="n">
        <v>4.561</v>
      </c>
      <c r="Q596" s="5" t="n">
        <v>0</v>
      </c>
      <c r="R596" s="5" t="n">
        <v>1</v>
      </c>
      <c r="S596" s="5" t="n">
        <v>6.87</v>
      </c>
      <c r="T596" s="5" t="n">
        <v>4.932</v>
      </c>
      <c r="U596" s="5" t="n">
        <v>0.137</v>
      </c>
      <c r="V596" s="5" t="n">
        <v>8.106999999999999</v>
      </c>
      <c r="W596" s="5" t="n">
        <v>0.18</v>
      </c>
      <c r="X596" s="5" t="n">
        <v>1</v>
      </c>
      <c r="Y596" s="5" t="n">
        <v>15.063</v>
      </c>
      <c r="Z596" s="5" t="n">
        <v>1.687</v>
      </c>
      <c r="AA596" s="5" t="n">
        <v>3.549</v>
      </c>
      <c r="AB596" s="5" t="n">
        <v>18.613</v>
      </c>
      <c r="AC596" s="5" t="n">
        <v>0</v>
      </c>
      <c r="AD596" s="5" t="n">
        <v>1</v>
      </c>
      <c r="AE596" s="5" t="n">
        <v>15.162</v>
      </c>
      <c r="AF596" s="5" t="n">
        <v>3.02</v>
      </c>
      <c r="AG596" s="5" t="n">
        <v>3.45</v>
      </c>
      <c r="AH596" s="5" t="n">
        <v>18.613</v>
      </c>
      <c r="AI596" s="5" t="n">
        <v>0</v>
      </c>
      <c r="AJ596" s="5" t="n">
        <v>1</v>
      </c>
      <c r="AK596" s="5" t="n">
        <v>22.521</v>
      </c>
      <c r="AL596" s="5" t="n">
        <v>11.156</v>
      </c>
      <c r="AM596" s="5" t="n">
        <v>2.295</v>
      </c>
      <c r="AN596" s="5" t="n">
        <v>29.283</v>
      </c>
      <c r="AO596" s="5" t="n">
        <v>0.18</v>
      </c>
      <c r="AP596" s="5" t="n">
        <v>1</v>
      </c>
      <c r="AQ596" s="5" t="n">
        <v>0.76</v>
      </c>
      <c r="AR596" s="5" t="n">
        <v>0.129</v>
      </c>
      <c r="AS596" s="5" t="n">
        <v>0.458</v>
      </c>
      <c r="AT596" s="5" t="n">
        <v>1.438</v>
      </c>
      <c r="AU596" s="5" t="n">
        <v>0.18</v>
      </c>
      <c r="AV596" s="5" t="n">
        <v>1</v>
      </c>
      <c r="AW596" s="5" t="n">
        <v>0.8110000000000001</v>
      </c>
      <c r="AX596" s="5" t="n">
        <v>0.129</v>
      </c>
      <c r="AY596" s="5" t="n">
        <v>0.328</v>
      </c>
      <c r="AZ596" s="5" t="n">
        <v>1.345</v>
      </c>
      <c r="BA596" s="5" t="n">
        <v>0.18</v>
      </c>
      <c r="BB596" s="5" t="n">
        <v>1</v>
      </c>
      <c r="BC596" s="5" t="n">
        <v>0.535</v>
      </c>
      <c r="BD596" s="5" t="n">
        <v>0.129</v>
      </c>
      <c r="BE596" s="5" t="n">
        <v>0.139</v>
      </c>
      <c r="BF596" s="5" t="n">
        <v>0.795</v>
      </c>
      <c r="BG596" s="5" t="n">
        <v>0.18</v>
      </c>
      <c r="BH596" s="5" t="n">
        <v>1</v>
      </c>
      <c r="BI596" s="5" t="n">
        <v>0.579</v>
      </c>
      <c r="BJ596" s="5" t="n">
        <v>0.129</v>
      </c>
      <c r="BK596" s="5" t="n">
        <v>0.012</v>
      </c>
      <c r="BL596" s="5" t="n">
        <v>0.6840000000000001</v>
      </c>
      <c r="BM596" s="5" t="n">
        <v>0.18</v>
      </c>
      <c r="BN596" s="5" t="n">
        <v>1</v>
      </c>
      <c r="BO596" s="5" t="n">
        <v>0</v>
      </c>
      <c r="BP596" s="5" t="n">
        <v>0</v>
      </c>
      <c r="BQ596" s="5" t="n">
        <v>0.144</v>
      </c>
      <c r="BR596" s="5" t="n">
        <v>0</v>
      </c>
      <c r="BS596" s="5" t="n">
        <v>1</v>
      </c>
      <c r="BT596" s="5" t="n">
        <v>0</v>
      </c>
      <c r="BU596" s="5" t="n">
        <v>0</v>
      </c>
      <c r="BV596" s="5" t="n">
        <v>0.12</v>
      </c>
      <c r="BW596" s="5" t="n">
        <v>0.18</v>
      </c>
      <c r="BX596" s="5" t="n">
        <v>0.833</v>
      </c>
      <c r="BY596" s="5" t="n">
        <v>13.254</v>
      </c>
      <c r="BZ596" s="5" t="n">
        <v>0</v>
      </c>
      <c r="CA596" s="5" t="n">
        <v>13.254</v>
      </c>
      <c r="CB596" s="5" t="n">
        <v>0</v>
      </c>
      <c r="CC596" s="5" t="n">
        <v>83.248</v>
      </c>
      <c r="CD596" s="5" t="n">
        <v>7.95</v>
      </c>
      <c r="CE596" s="5" t="n">
        <v>95.69199999999999</v>
      </c>
      <c r="CF596" s="5" t="n">
        <v>211.15</v>
      </c>
      <c r="CG596" s="5" t="n">
        <v>0.18</v>
      </c>
      <c r="CH596" s="5" t="n">
        <v>1</v>
      </c>
      <c r="CI596" s="5" t="n">
        <v>0</v>
      </c>
      <c r="CJ596" s="5" t="n">
        <v>0</v>
      </c>
      <c r="CK596" s="5" t="n">
        <v>0</v>
      </c>
      <c r="CL596" s="5" t="n">
        <v>0</v>
      </c>
      <c r="CM596" s="5" t="n">
        <v>0</v>
      </c>
      <c r="CN596" s="5" t="n">
        <v>0</v>
      </c>
      <c r="CO596" s="5" t="n">
        <v>0</v>
      </c>
      <c r="CP596" s="5" t="n">
        <v>0.721</v>
      </c>
      <c r="CQ596" s="5" t="n">
        <v>1.348</v>
      </c>
      <c r="CR596" s="5" t="n">
        <v>0</v>
      </c>
      <c r="CS596" s="5" t="n">
        <v>5.37</v>
      </c>
      <c r="CT596" s="5" t="n">
        <v>3.466</v>
      </c>
      <c r="CU596" s="5" t="n">
        <v>10.281</v>
      </c>
    </row>
    <row r="597">
      <c r="A597" s="5" t="inlineStr">
        <is>
          <t>MKD2024</t>
        </is>
      </c>
      <c r="B597" s="5" t="inlineStr">
        <is>
          <t>MKD</t>
        </is>
      </c>
      <c r="C597" s="5" t="inlineStr">
        <is>
          <t>MKD</t>
        </is>
      </c>
      <c r="D597" s="5" t="inlineStr">
        <is>
          <t>North Macedonia</t>
        </is>
      </c>
      <c r="E597" s="5" t="n">
        <v>2024</v>
      </c>
      <c r="F597" s="5" t="n">
        <v>0.18</v>
      </c>
      <c r="G597" s="5" t="n">
        <v>2.691</v>
      </c>
      <c r="H597" s="5" t="n">
        <v>0.846</v>
      </c>
      <c r="I597" s="5" t="n">
        <v>0</v>
      </c>
      <c r="J597" s="5" t="n">
        <v>2.691</v>
      </c>
      <c r="K597" s="5" t="n">
        <v>0</v>
      </c>
      <c r="L597" s="5" t="n">
        <v>1</v>
      </c>
      <c r="M597" s="5" t="n">
        <v>4.418</v>
      </c>
      <c r="N597" s="5" t="n">
        <v>2.539</v>
      </c>
      <c r="O597" s="5" t="n">
        <v>0</v>
      </c>
      <c r="P597" s="5" t="n">
        <v>4.418</v>
      </c>
      <c r="Q597" s="5" t="n">
        <v>0</v>
      </c>
      <c r="R597" s="5" t="n">
        <v>1</v>
      </c>
      <c r="S597" s="5" t="n">
        <v>6.922</v>
      </c>
      <c r="T597" s="5" t="n">
        <v>5.078</v>
      </c>
      <c r="U597" s="5" t="n">
        <v>0.17</v>
      </c>
      <c r="V597" s="5" t="n">
        <v>8.167999999999999</v>
      </c>
      <c r="W597" s="5" t="n">
        <v>0.18</v>
      </c>
      <c r="X597" s="5" t="n">
        <v>1</v>
      </c>
      <c r="Y597" s="5" t="n">
        <v>14.265</v>
      </c>
      <c r="Z597" s="5" t="n">
        <v>1.801</v>
      </c>
      <c r="AA597" s="5" t="n">
        <v>0.174</v>
      </c>
      <c r="AB597" s="5" t="n">
        <v>14.439</v>
      </c>
      <c r="AC597" s="5" t="n">
        <v>0</v>
      </c>
      <c r="AD597" s="5" t="n">
        <v>1</v>
      </c>
      <c r="AE597" s="5" t="n">
        <v>14.265</v>
      </c>
      <c r="AF597" s="5" t="n">
        <v>3.125</v>
      </c>
      <c r="AG597" s="5" t="n">
        <v>0.174</v>
      </c>
      <c r="AH597" s="5" t="n">
        <v>14.439</v>
      </c>
      <c r="AI597" s="5" t="n">
        <v>0</v>
      </c>
      <c r="AJ597" s="5" t="n">
        <v>1</v>
      </c>
      <c r="AK597" s="5" t="n">
        <v>25.345</v>
      </c>
      <c r="AL597" s="5" t="n">
        <v>12.891</v>
      </c>
      <c r="AM597" s="5" t="n">
        <v>0.174</v>
      </c>
      <c r="AN597" s="5" t="n">
        <v>30.112</v>
      </c>
      <c r="AO597" s="5" t="n">
        <v>0.18</v>
      </c>
      <c r="AP597" s="5" t="n">
        <v>1</v>
      </c>
      <c r="AQ597" s="5" t="n">
        <v>0.724</v>
      </c>
      <c r="AR597" s="5" t="n">
        <v>0.132</v>
      </c>
      <c r="AS597" s="5" t="n">
        <v>0.468</v>
      </c>
      <c r="AT597" s="5" t="n">
        <v>1.406</v>
      </c>
      <c r="AU597" s="5" t="n">
        <v>0.18</v>
      </c>
      <c r="AV597" s="5" t="n">
        <v>1</v>
      </c>
      <c r="AW597" s="5" t="n">
        <v>0.75</v>
      </c>
      <c r="AX597" s="5" t="n">
        <v>0.132</v>
      </c>
      <c r="AY597" s="5" t="n">
        <v>0.34</v>
      </c>
      <c r="AZ597" s="5" t="n">
        <v>1.287</v>
      </c>
      <c r="BA597" s="5" t="n">
        <v>0.18</v>
      </c>
      <c r="BB597" s="5" t="n">
        <v>1</v>
      </c>
      <c r="BC597" s="5" t="n">
        <v>0.513</v>
      </c>
      <c r="BD597" s="5" t="n">
        <v>0.132</v>
      </c>
      <c r="BE597" s="5" t="n">
        <v>0.141</v>
      </c>
      <c r="BF597" s="5" t="n">
        <v>0.771</v>
      </c>
      <c r="BG597" s="5" t="n">
        <v>0.18</v>
      </c>
      <c r="BH597" s="5" t="n">
        <v>1</v>
      </c>
      <c r="BI597" s="5" t="n">
        <v>0.591</v>
      </c>
      <c r="BJ597" s="5" t="n">
        <v>0.132</v>
      </c>
      <c r="BK597" s="5" t="n">
        <v>0.014</v>
      </c>
      <c r="BL597" s="5" t="n">
        <v>0.698</v>
      </c>
      <c r="BM597" s="5" t="n">
        <v>0.18</v>
      </c>
      <c r="BN597" s="5" t="n">
        <v>1</v>
      </c>
      <c r="BO597" s="5" t="n">
        <v>0</v>
      </c>
      <c r="BP597" s="5" t="n">
        <v>0</v>
      </c>
      <c r="BQ597" s="5" t="n">
        <v>0.089</v>
      </c>
      <c r="BR597" s="5" t="n">
        <v>0</v>
      </c>
      <c r="BS597" s="5" t="n">
        <v>1</v>
      </c>
      <c r="BT597" s="5" t="n">
        <v>0</v>
      </c>
      <c r="BU597" s="5" t="n">
        <v>0</v>
      </c>
      <c r="BV597" s="5" t="n">
        <v>0.118</v>
      </c>
      <c r="BW597" s="5" t="n">
        <v>0.18</v>
      </c>
      <c r="BX597" s="5" t="n">
        <v>0.833</v>
      </c>
      <c r="BY597" s="5" t="n">
        <v>13.646</v>
      </c>
      <c r="BZ597" s="5" t="n">
        <v>0</v>
      </c>
      <c r="CA597" s="5" t="n">
        <v>13.646</v>
      </c>
      <c r="CB597" s="5" t="n">
        <v>0</v>
      </c>
      <c r="CC597" s="5" t="n">
        <v>82.58799999999999</v>
      </c>
      <c r="CD597" s="5" t="n">
        <v>7.95</v>
      </c>
      <c r="CE597" s="5" t="n">
        <v>88.624</v>
      </c>
      <c r="CF597" s="5" t="n">
        <v>202.03</v>
      </c>
      <c r="CG597" s="5" t="n">
        <v>0.18</v>
      </c>
      <c r="CH597" s="5" t="n">
        <v>1</v>
      </c>
      <c r="CI597" s="5" t="n">
        <v>0</v>
      </c>
      <c r="CJ597" s="5" t="n">
        <v>0</v>
      </c>
      <c r="CK597" s="5" t="n">
        <v>0</v>
      </c>
      <c r="CL597" s="5" t="n">
        <v>0</v>
      </c>
      <c r="CM597" s="5" t="n">
        <v>0</v>
      </c>
      <c r="CN597" s="5" t="n">
        <v>0</v>
      </c>
      <c r="CO597" s="5" t="n">
        <v>0</v>
      </c>
      <c r="CP597" s="5" t="n">
        <v>0.721</v>
      </c>
      <c r="CQ597" s="5" t="n">
        <v>1.387</v>
      </c>
      <c r="CR597" s="5" t="n">
        <v>0</v>
      </c>
      <c r="CS597" s="5" t="n">
        <v>5.529</v>
      </c>
      <c r="CT597" s="5" t="n">
        <v>3.027</v>
      </c>
      <c r="CU597" s="5" t="n">
        <v>8.691000000000001</v>
      </c>
    </row>
    <row r="598">
      <c r="A598" s="5" t="inlineStr">
        <is>
          <t>MNP2021</t>
        </is>
      </c>
      <c r="B598" s="5" t="inlineStr">
        <is>
          <t>MNP</t>
        </is>
      </c>
      <c r="C598" s="5" t="inlineStr">
        <is>
          <t>MNP</t>
        </is>
      </c>
      <c r="D598" s="5" t="inlineStr">
        <is>
          <t>Northern Mariana Islands</t>
        </is>
      </c>
      <c r="E598" s="5" t="n">
        <v>2021</v>
      </c>
      <c r="F598" s="5" t="n">
        <v>0.05</v>
      </c>
      <c r="G598" s="5" t="n">
        <v>4.747</v>
      </c>
      <c r="H598" s="5" t="n">
        <v>1.143</v>
      </c>
      <c r="I598" s="5" t="n">
        <v>0</v>
      </c>
      <c r="J598" s="5" t="n">
        <v>4.747</v>
      </c>
      <c r="K598" s="5" t="n">
        <v>0</v>
      </c>
      <c r="L598" s="5" t="n">
        <v>1</v>
      </c>
      <c r="M598" s="5" t="n">
        <v>7.964</v>
      </c>
      <c r="N598" s="5" t="n">
        <v>3.43</v>
      </c>
      <c r="O598" s="5" t="n">
        <v>0</v>
      </c>
      <c r="P598" s="5" t="n">
        <v>7.964</v>
      </c>
      <c r="Q598" s="5" t="n">
        <v>0</v>
      </c>
      <c r="R598" s="5" t="n">
        <v>1</v>
      </c>
      <c r="S598" s="5" t="n">
        <v>10.464</v>
      </c>
      <c r="T598" s="5" t="n">
        <v>6.86</v>
      </c>
      <c r="U598" s="5" t="n">
        <v>0</v>
      </c>
      <c r="V598" s="5" t="n">
        <v>10.987</v>
      </c>
      <c r="W598" s="5" t="n">
        <v>0.05</v>
      </c>
      <c r="X598" s="5" t="n">
        <v>1</v>
      </c>
      <c r="Y598" s="5" t="n">
        <v>10.551</v>
      </c>
      <c r="Z598" s="5" t="n">
        <v>1.302</v>
      </c>
      <c r="AA598" s="5" t="n">
        <v>0</v>
      </c>
      <c r="AB598" s="5" t="n">
        <v>10.551</v>
      </c>
      <c r="AC598" s="5" t="n">
        <v>0</v>
      </c>
      <c r="AD598" s="5" t="n">
        <v>1</v>
      </c>
      <c r="AE598" s="5" t="n">
        <v>11.694</v>
      </c>
      <c r="AF598" s="5" t="n">
        <v>2.549</v>
      </c>
      <c r="AG598" s="5" t="n">
        <v>0</v>
      </c>
      <c r="AH598" s="5" t="n">
        <v>11.694</v>
      </c>
      <c r="AI598" s="5" t="n">
        <v>0</v>
      </c>
      <c r="AJ598" s="5" t="n">
        <v>1</v>
      </c>
      <c r="AK598" s="5" t="n">
        <v>18.554</v>
      </c>
      <c r="AL598" s="5" t="n">
        <v>9.627000000000001</v>
      </c>
      <c r="AM598" s="5" t="n">
        <v>0</v>
      </c>
      <c r="AN598" s="5" t="n">
        <v>19.482</v>
      </c>
      <c r="AO598" s="5" t="n">
        <v>0.05</v>
      </c>
      <c r="AP598" s="5" t="n">
        <v>1</v>
      </c>
      <c r="AQ598" s="5" t="n">
        <v>0.621</v>
      </c>
      <c r="AR598" s="5" t="n">
        <v>0.114</v>
      </c>
      <c r="AS598" s="5" t="n">
        <v>0</v>
      </c>
      <c r="AT598" s="5" t="n">
        <v>0.652</v>
      </c>
      <c r="AU598" s="5" t="n">
        <v>0.05</v>
      </c>
      <c r="AV598" s="5" t="n">
        <v>1</v>
      </c>
      <c r="AW598" s="5" t="n">
        <v>0.593</v>
      </c>
      <c r="AX598" s="5" t="n">
        <v>0.114</v>
      </c>
      <c r="AY598" s="5" t="n">
        <v>0</v>
      </c>
      <c r="AZ598" s="5" t="n">
        <v>0.623</v>
      </c>
      <c r="BA598" s="5" t="n">
        <v>0.05</v>
      </c>
      <c r="BB598" s="5" t="n">
        <v>1</v>
      </c>
      <c r="BC598" s="5" t="n">
        <v>0.44</v>
      </c>
      <c r="BD598" s="5" t="n">
        <v>0.114</v>
      </c>
      <c r="BE598" s="5" t="n">
        <v>0</v>
      </c>
      <c r="BF598" s="5" t="n">
        <v>0.462</v>
      </c>
      <c r="BG598" s="5" t="n">
        <v>0.05</v>
      </c>
      <c r="BH598" s="5" t="n">
        <v>1</v>
      </c>
      <c r="BI598" s="5" t="n">
        <v>0.5600000000000001</v>
      </c>
      <c r="BJ598" s="5" t="n">
        <v>0.114</v>
      </c>
      <c r="BK598" s="5" t="n">
        <v>0</v>
      </c>
      <c r="BL598" s="5" t="n">
        <v>0.588</v>
      </c>
      <c r="BM598" s="5" t="n">
        <v>0.05</v>
      </c>
      <c r="BN598" s="5" t="n">
        <v>1</v>
      </c>
      <c r="BO598" s="5" t="n">
        <v>0</v>
      </c>
      <c r="BP598" s="5" t="n">
        <v>0</v>
      </c>
      <c r="BQ598" s="5" t="n">
        <v>0</v>
      </c>
      <c r="BR598" s="5" t="n">
        <v>0</v>
      </c>
      <c r="BS598" s="5" t="n">
        <v>1</v>
      </c>
      <c r="BT598" s="5" t="n">
        <v>0</v>
      </c>
      <c r="BU598" s="5" t="n">
        <v>0</v>
      </c>
      <c r="BV598" s="5" t="n">
        <v>0</v>
      </c>
      <c r="BW598" s="5" t="n">
        <v>0.05</v>
      </c>
      <c r="BX598" s="5" t="n">
        <v>1</v>
      </c>
      <c r="BY598" s="5" t="n">
        <v>11.787</v>
      </c>
      <c r="BZ598" s="5" t="n">
        <v>0</v>
      </c>
      <c r="CA598" s="5" t="n">
        <v>11.787</v>
      </c>
      <c r="CB598" s="5" t="n">
        <v>0</v>
      </c>
      <c r="CC598" s="5" t="n">
        <v>81.69499999999999</v>
      </c>
      <c r="CD598" s="5" t="n">
        <v>7.95</v>
      </c>
      <c r="CE598" s="5" t="n">
        <v>0</v>
      </c>
      <c r="CF598" s="5" t="n">
        <v>85.78</v>
      </c>
      <c r="CG598" s="5" t="n">
        <v>0.05</v>
      </c>
      <c r="CH598" s="5" t="n">
        <v>1</v>
      </c>
      <c r="CI598" s="5" t="n">
        <v>0</v>
      </c>
      <c r="CJ598" s="5" t="n">
        <v>0</v>
      </c>
      <c r="CK598" s="5" t="n">
        <v>0</v>
      </c>
      <c r="CL598" s="5" t="n">
        <v>0</v>
      </c>
      <c r="CM598" s="5" t="n">
        <v>0</v>
      </c>
      <c r="CN598" s="5" t="n">
        <v>0</v>
      </c>
      <c r="CO598" s="5" t="n">
        <v>0</v>
      </c>
      <c r="CP598" s="5" t="n">
        <v>0</v>
      </c>
      <c r="CQ598" s="5" t="n">
        <v>1.198</v>
      </c>
      <c r="CR598" s="5" t="n">
        <v>0</v>
      </c>
      <c r="CS598" s="5" t="n">
        <v>4.776</v>
      </c>
      <c r="CT598" s="5" t="n">
        <v>3.604</v>
      </c>
      <c r="CU598" s="5" t="n">
        <v>9.407999999999999</v>
      </c>
    </row>
    <row r="599">
      <c r="A599" s="5" t="inlineStr">
        <is>
          <t>MNP2022</t>
        </is>
      </c>
      <c r="B599" s="5" t="inlineStr">
        <is>
          <t>MNP</t>
        </is>
      </c>
      <c r="C599" s="5" t="inlineStr">
        <is>
          <t>MNP</t>
        </is>
      </c>
      <c r="D599" s="5" t="inlineStr">
        <is>
          <t>Northern Mariana Islands</t>
        </is>
      </c>
      <c r="E599" s="5" t="n">
        <v>2022</v>
      </c>
      <c r="F599" s="5" t="n">
        <v>0.05</v>
      </c>
      <c r="G599" s="5" t="n">
        <v>8.788</v>
      </c>
      <c r="H599" s="5" t="n">
        <v>1.235</v>
      </c>
      <c r="I599" s="5" t="n">
        <v>0</v>
      </c>
      <c r="J599" s="5" t="n">
        <v>8.788</v>
      </c>
      <c r="K599" s="5" t="n">
        <v>0</v>
      </c>
      <c r="L599" s="5" t="n">
        <v>1</v>
      </c>
      <c r="M599" s="5" t="n">
        <v>9.782999999999999</v>
      </c>
      <c r="N599" s="5" t="n">
        <v>3.704</v>
      </c>
      <c r="O599" s="5" t="n">
        <v>0</v>
      </c>
      <c r="P599" s="5" t="n">
        <v>9.782999999999999</v>
      </c>
      <c r="Q599" s="5" t="n">
        <v>0</v>
      </c>
      <c r="R599" s="5" t="n">
        <v>1</v>
      </c>
      <c r="S599" s="5" t="n">
        <v>14.962</v>
      </c>
      <c r="T599" s="5" t="n">
        <v>7.408</v>
      </c>
      <c r="U599" s="5" t="n">
        <v>0.055</v>
      </c>
      <c r="V599" s="5" t="n">
        <v>15.71</v>
      </c>
      <c r="W599" s="5" t="n">
        <v>0.05</v>
      </c>
      <c r="X599" s="5" t="n">
        <v>1</v>
      </c>
      <c r="Y599" s="5" t="n">
        <v>17.332</v>
      </c>
      <c r="Z599" s="5" t="n">
        <v>2.139</v>
      </c>
      <c r="AA599" s="5" t="n">
        <v>0</v>
      </c>
      <c r="AB599" s="5" t="n">
        <v>17.332</v>
      </c>
      <c r="AC599" s="5" t="n">
        <v>0</v>
      </c>
      <c r="AD599" s="5" t="n">
        <v>1</v>
      </c>
      <c r="AE599" s="5" t="n">
        <v>18.566</v>
      </c>
      <c r="AF599" s="5" t="n">
        <v>4.048</v>
      </c>
      <c r="AG599" s="5" t="n">
        <v>0</v>
      </c>
      <c r="AH599" s="5" t="n">
        <v>18.566</v>
      </c>
      <c r="AI599" s="5" t="n">
        <v>0</v>
      </c>
      <c r="AJ599" s="5" t="n">
        <v>1</v>
      </c>
      <c r="AK599" s="5" t="n">
        <v>25.974</v>
      </c>
      <c r="AL599" s="5" t="n">
        <v>13.478</v>
      </c>
      <c r="AM599" s="5" t="n">
        <v>0.096</v>
      </c>
      <c r="AN599" s="5" t="n">
        <v>27.273</v>
      </c>
      <c r="AO599" s="5" t="n">
        <v>0.05</v>
      </c>
      <c r="AP599" s="5" t="n">
        <v>1</v>
      </c>
      <c r="AQ599" s="5" t="n">
        <v>0.847</v>
      </c>
      <c r="AR599" s="5" t="n">
        <v>0.123</v>
      </c>
      <c r="AS599" s="5" t="n">
        <v>0.003</v>
      </c>
      <c r="AT599" s="5" t="n">
        <v>0.889</v>
      </c>
      <c r="AU599" s="5" t="n">
        <v>0.05</v>
      </c>
      <c r="AV599" s="5" t="n">
        <v>1</v>
      </c>
      <c r="AW599" s="5" t="n">
        <v>0.947</v>
      </c>
      <c r="AX599" s="5" t="n">
        <v>0.123</v>
      </c>
      <c r="AY599" s="5" t="n">
        <v>0.004</v>
      </c>
      <c r="AZ599" s="5" t="n">
        <v>0.994</v>
      </c>
      <c r="BA599" s="5" t="n">
        <v>0.05</v>
      </c>
      <c r="BB599" s="5" t="n">
        <v>1</v>
      </c>
      <c r="BC599" s="5" t="n">
        <v>0.589</v>
      </c>
      <c r="BD599" s="5" t="n">
        <v>0.123</v>
      </c>
      <c r="BE599" s="5" t="n">
        <v>0.002</v>
      </c>
      <c r="BF599" s="5" t="n">
        <v>0.618</v>
      </c>
      <c r="BG599" s="5" t="n">
        <v>0.05</v>
      </c>
      <c r="BH599" s="5" t="n">
        <v>1</v>
      </c>
      <c r="BI599" s="5" t="n">
        <v>0.6889999999999999</v>
      </c>
      <c r="BJ599" s="5" t="n">
        <v>0.123</v>
      </c>
      <c r="BK599" s="5" t="n">
        <v>0.003</v>
      </c>
      <c r="BL599" s="5" t="n">
        <v>0.723</v>
      </c>
      <c r="BM599" s="5" t="n">
        <v>0.05</v>
      </c>
      <c r="BN599" s="5" t="n">
        <v>1</v>
      </c>
      <c r="BO599" s="5" t="n">
        <v>0</v>
      </c>
      <c r="BP599" s="5" t="n">
        <v>0</v>
      </c>
      <c r="BQ599" s="5" t="n">
        <v>0</v>
      </c>
      <c r="BR599" s="5" t="n">
        <v>0</v>
      </c>
      <c r="BS599" s="5" t="n">
        <v>1</v>
      </c>
      <c r="BT599" s="5" t="n">
        <v>0</v>
      </c>
      <c r="BU599" s="5" t="n">
        <v>0</v>
      </c>
      <c r="BV599" s="5" t="n">
        <v>0</v>
      </c>
      <c r="BW599" s="5" t="n">
        <v>0.05</v>
      </c>
      <c r="BX599" s="5" t="n">
        <v>1</v>
      </c>
      <c r="BY599" s="5" t="n">
        <v>12.729</v>
      </c>
      <c r="BZ599" s="5" t="n">
        <v>0</v>
      </c>
      <c r="CA599" s="5" t="n">
        <v>12.729</v>
      </c>
      <c r="CB599" s="5" t="n">
        <v>0</v>
      </c>
      <c r="CC599" s="5" t="n">
        <v>102.477</v>
      </c>
      <c r="CD599" s="5" t="n">
        <v>7.95</v>
      </c>
      <c r="CE599" s="5" t="n">
        <v>0.379</v>
      </c>
      <c r="CF599" s="5" t="n">
        <v>107.6</v>
      </c>
      <c r="CG599" s="5" t="n">
        <v>0.05</v>
      </c>
      <c r="CH599" s="5" t="n">
        <v>1</v>
      </c>
      <c r="CI599" s="5" t="n">
        <v>0</v>
      </c>
      <c r="CJ599" s="5" t="n">
        <v>0</v>
      </c>
      <c r="CK599" s="5" t="n">
        <v>0</v>
      </c>
      <c r="CL599" s="5" t="n">
        <v>0</v>
      </c>
      <c r="CM599" s="5" t="n">
        <v>0</v>
      </c>
      <c r="CN599" s="5" t="n">
        <v>0</v>
      </c>
      <c r="CO599" s="5" t="n">
        <v>0</v>
      </c>
      <c r="CP599" s="5" t="n">
        <v>0</v>
      </c>
      <c r="CQ599" s="5" t="n">
        <v>1.294</v>
      </c>
      <c r="CR599" s="5" t="n">
        <v>0</v>
      </c>
      <c r="CS599" s="5" t="n">
        <v>5.158</v>
      </c>
      <c r="CT599" s="5" t="n">
        <v>7.554</v>
      </c>
      <c r="CU599" s="5" t="n">
        <v>16.097</v>
      </c>
    </row>
    <row r="600">
      <c r="A600" s="5" t="inlineStr">
        <is>
          <t>MNP2023</t>
        </is>
      </c>
      <c r="B600" s="5" t="inlineStr">
        <is>
          <t>MNP</t>
        </is>
      </c>
      <c r="C600" s="5" t="inlineStr">
        <is>
          <t>MNP</t>
        </is>
      </c>
      <c r="D600" s="5" t="inlineStr">
        <is>
          <t>Northern Mariana Islands</t>
        </is>
      </c>
      <c r="E600" s="5" t="n">
        <v>2023</v>
      </c>
      <c r="F600" s="5" t="n">
        <v>0.05</v>
      </c>
      <c r="G600" s="5" t="n">
        <v>5.77</v>
      </c>
      <c r="H600" s="5" t="n">
        <v>1.286</v>
      </c>
      <c r="I600" s="5" t="n">
        <v>0</v>
      </c>
      <c r="J600" s="5" t="n">
        <v>5.77</v>
      </c>
      <c r="K600" s="5" t="n">
        <v>0</v>
      </c>
      <c r="L600" s="5" t="n">
        <v>1</v>
      </c>
      <c r="M600" s="5" t="n">
        <v>7.886</v>
      </c>
      <c r="N600" s="5" t="n">
        <v>3.857</v>
      </c>
      <c r="O600" s="5" t="n">
        <v>0</v>
      </c>
      <c r="P600" s="5" t="n">
        <v>7.886</v>
      </c>
      <c r="Q600" s="5" t="n">
        <v>0</v>
      </c>
      <c r="R600" s="5" t="n">
        <v>1</v>
      </c>
      <c r="S600" s="5" t="n">
        <v>12.198</v>
      </c>
      <c r="T600" s="5" t="n">
        <v>7.714</v>
      </c>
      <c r="U600" s="5" t="n">
        <v>0.068</v>
      </c>
      <c r="V600" s="5" t="n">
        <v>12.808</v>
      </c>
      <c r="W600" s="5" t="n">
        <v>0.05</v>
      </c>
      <c r="X600" s="5" t="n">
        <v>1</v>
      </c>
      <c r="Y600" s="5" t="n">
        <v>13.814</v>
      </c>
      <c r="Z600" s="5" t="n">
        <v>1.705</v>
      </c>
      <c r="AA600" s="5" t="n">
        <v>0</v>
      </c>
      <c r="AB600" s="5" t="n">
        <v>13.814</v>
      </c>
      <c r="AC600" s="5" t="n">
        <v>0</v>
      </c>
      <c r="AD600" s="5" t="n">
        <v>1</v>
      </c>
      <c r="AE600" s="5" t="n">
        <v>15.1</v>
      </c>
      <c r="AF600" s="5" t="n">
        <v>3.292</v>
      </c>
      <c r="AG600" s="5" t="n">
        <v>0</v>
      </c>
      <c r="AH600" s="5" t="n">
        <v>15.1</v>
      </c>
      <c r="AI600" s="5" t="n">
        <v>0</v>
      </c>
      <c r="AJ600" s="5" t="n">
        <v>1</v>
      </c>
      <c r="AK600" s="5" t="n">
        <v>22.814</v>
      </c>
      <c r="AL600" s="5" t="n">
        <v>11.838</v>
      </c>
      <c r="AM600" s="5" t="n">
        <v>0.126</v>
      </c>
      <c r="AN600" s="5" t="n">
        <v>23.955</v>
      </c>
      <c r="AO600" s="5" t="n">
        <v>0.05</v>
      </c>
      <c r="AP600" s="5" t="n">
        <v>1</v>
      </c>
      <c r="AQ600" s="5" t="n">
        <v>0.749</v>
      </c>
      <c r="AR600" s="5" t="n">
        <v>0.129</v>
      </c>
      <c r="AS600" s="5" t="n">
        <v>0.004</v>
      </c>
      <c r="AT600" s="5" t="n">
        <v>0.786</v>
      </c>
      <c r="AU600" s="5" t="n">
        <v>0.05</v>
      </c>
      <c r="AV600" s="5" t="n">
        <v>1</v>
      </c>
      <c r="AW600" s="5" t="n">
        <v>0.783</v>
      </c>
      <c r="AX600" s="5" t="n">
        <v>0.129</v>
      </c>
      <c r="AY600" s="5" t="n">
        <v>0.004</v>
      </c>
      <c r="AZ600" s="5" t="n">
        <v>0.822</v>
      </c>
      <c r="BA600" s="5" t="n">
        <v>0.05</v>
      </c>
      <c r="BB600" s="5" t="n">
        <v>1</v>
      </c>
      <c r="BC600" s="5" t="n">
        <v>0.527</v>
      </c>
      <c r="BD600" s="5" t="n">
        <v>0.129</v>
      </c>
      <c r="BE600" s="5" t="n">
        <v>0.003</v>
      </c>
      <c r="BF600" s="5" t="n">
        <v>0.554</v>
      </c>
      <c r="BG600" s="5" t="n">
        <v>0.05</v>
      </c>
      <c r="BH600" s="5" t="n">
        <v>1</v>
      </c>
      <c r="BI600" s="5" t="n">
        <v>0.64</v>
      </c>
      <c r="BJ600" s="5" t="n">
        <v>0.129</v>
      </c>
      <c r="BK600" s="5" t="n">
        <v>0.004</v>
      </c>
      <c r="BL600" s="5" t="n">
        <v>0.672</v>
      </c>
      <c r="BM600" s="5" t="n">
        <v>0.05</v>
      </c>
      <c r="BN600" s="5" t="n">
        <v>1</v>
      </c>
      <c r="BO600" s="5" t="n">
        <v>0</v>
      </c>
      <c r="BP600" s="5" t="n">
        <v>0</v>
      </c>
      <c r="BQ600" s="5" t="n">
        <v>0</v>
      </c>
      <c r="BR600" s="5" t="n">
        <v>0</v>
      </c>
      <c r="BS600" s="5" t="n">
        <v>1</v>
      </c>
      <c r="BT600" s="5" t="n">
        <v>0</v>
      </c>
      <c r="BU600" s="5" t="n">
        <v>0</v>
      </c>
      <c r="BV600" s="5" t="n">
        <v>0</v>
      </c>
      <c r="BW600" s="5" t="n">
        <v>0.05</v>
      </c>
      <c r="BX600" s="5" t="n">
        <v>1</v>
      </c>
      <c r="BY600" s="5" t="n">
        <v>13.254</v>
      </c>
      <c r="BZ600" s="5" t="n">
        <v>0</v>
      </c>
      <c r="CA600" s="5" t="n">
        <v>13.254</v>
      </c>
      <c r="CB600" s="5" t="n">
        <v>0</v>
      </c>
      <c r="CC600" s="5" t="n">
        <v>87.07899999999999</v>
      </c>
      <c r="CD600" s="5" t="n">
        <v>7.95</v>
      </c>
      <c r="CE600" s="5" t="n">
        <v>0.482</v>
      </c>
      <c r="CF600" s="5" t="n">
        <v>91.43300000000001</v>
      </c>
      <c r="CG600" s="5" t="n">
        <v>0.05</v>
      </c>
      <c r="CH600" s="5" t="n">
        <v>1</v>
      </c>
      <c r="CI600" s="5" t="n">
        <v>0</v>
      </c>
      <c r="CJ600" s="5" t="n">
        <v>0</v>
      </c>
      <c r="CK600" s="5" t="n">
        <v>0</v>
      </c>
      <c r="CL600" s="5" t="n">
        <v>0</v>
      </c>
      <c r="CM600" s="5" t="n">
        <v>0</v>
      </c>
      <c r="CN600" s="5" t="n">
        <v>0</v>
      </c>
      <c r="CO600" s="5" t="n">
        <v>0</v>
      </c>
      <c r="CP600" s="5" t="n">
        <v>0</v>
      </c>
      <c r="CQ600" s="5" t="n">
        <v>1.348</v>
      </c>
      <c r="CR600" s="5" t="n">
        <v>0</v>
      </c>
      <c r="CS600" s="5" t="n">
        <v>5.37</v>
      </c>
      <c r="CT600" s="5" t="n">
        <v>4.484</v>
      </c>
      <c r="CU600" s="5" t="n">
        <v>12.529</v>
      </c>
    </row>
    <row r="601">
      <c r="A601" s="5" t="inlineStr">
        <is>
          <t>MNP2024</t>
        </is>
      </c>
      <c r="B601" s="5" t="inlineStr">
        <is>
          <t>MNP</t>
        </is>
      </c>
      <c r="C601" s="5" t="inlineStr">
        <is>
          <t>MNP</t>
        </is>
      </c>
      <c r="D601" s="5" t="inlineStr">
        <is>
          <t>Northern Mariana Islands</t>
        </is>
      </c>
      <c r="E601" s="5" t="n">
        <v>2024</v>
      </c>
      <c r="F601" s="5" t="n">
        <v>0.05</v>
      </c>
      <c r="G601" s="5" t="n">
        <v>4.833</v>
      </c>
      <c r="H601" s="5" t="n">
        <v>1.324</v>
      </c>
      <c r="I601" s="5" t="n">
        <v>0</v>
      </c>
      <c r="J601" s="5" t="n">
        <v>4.833</v>
      </c>
      <c r="K601" s="5" t="n">
        <v>0</v>
      </c>
      <c r="L601" s="5" t="n">
        <v>1</v>
      </c>
      <c r="M601" s="5" t="n">
        <v>7.124</v>
      </c>
      <c r="N601" s="5" t="n">
        <v>3.971</v>
      </c>
      <c r="O601" s="5" t="n">
        <v>0</v>
      </c>
      <c r="P601" s="5" t="n">
        <v>7.124</v>
      </c>
      <c r="Q601" s="5" t="n">
        <v>0</v>
      </c>
      <c r="R601" s="5" t="n">
        <v>1</v>
      </c>
      <c r="S601" s="5" t="n">
        <v>11.451</v>
      </c>
      <c r="T601" s="5" t="n">
        <v>7.942</v>
      </c>
      <c r="U601" s="5" t="n">
        <v>0.078</v>
      </c>
      <c r="V601" s="5" t="n">
        <v>12.023</v>
      </c>
      <c r="W601" s="5" t="n">
        <v>0.05</v>
      </c>
      <c r="X601" s="5" t="n">
        <v>1</v>
      </c>
      <c r="Y601" s="5" t="n">
        <v>12.219</v>
      </c>
      <c r="Z601" s="5" t="n">
        <v>1.508</v>
      </c>
      <c r="AA601" s="5" t="n">
        <v>0</v>
      </c>
      <c r="AB601" s="5" t="n">
        <v>12.219</v>
      </c>
      <c r="AC601" s="5" t="n">
        <v>0</v>
      </c>
      <c r="AD601" s="5" t="n">
        <v>1</v>
      </c>
      <c r="AE601" s="5" t="n">
        <v>13.543</v>
      </c>
      <c r="AF601" s="5" t="n">
        <v>2.952</v>
      </c>
      <c r="AG601" s="5" t="n">
        <v>0</v>
      </c>
      <c r="AH601" s="5" t="n">
        <v>13.543</v>
      </c>
      <c r="AI601" s="5" t="n">
        <v>0</v>
      </c>
      <c r="AJ601" s="5" t="n">
        <v>1</v>
      </c>
      <c r="AK601" s="5" t="n">
        <v>21.484</v>
      </c>
      <c r="AL601" s="5" t="n">
        <v>11.148</v>
      </c>
      <c r="AM601" s="5" t="n">
        <v>0.146</v>
      </c>
      <c r="AN601" s="5" t="n">
        <v>22.559</v>
      </c>
      <c r="AO601" s="5" t="n">
        <v>0.05</v>
      </c>
      <c r="AP601" s="5" t="n">
        <v>1</v>
      </c>
      <c r="AQ601" s="5" t="n">
        <v>0.72</v>
      </c>
      <c r="AR601" s="5" t="n">
        <v>0.132</v>
      </c>
      <c r="AS601" s="5" t="n">
        <v>0.005</v>
      </c>
      <c r="AT601" s="5" t="n">
        <v>0.756</v>
      </c>
      <c r="AU601" s="5" t="n">
        <v>0.05</v>
      </c>
      <c r="AV601" s="5" t="n">
        <v>1</v>
      </c>
      <c r="AW601" s="5" t="n">
        <v>0.734</v>
      </c>
      <c r="AX601" s="5" t="n">
        <v>0.132</v>
      </c>
      <c r="AY601" s="5" t="n">
        <v>0.005</v>
      </c>
      <c r="AZ601" s="5" t="n">
        <v>0.77</v>
      </c>
      <c r="BA601" s="5" t="n">
        <v>0.05</v>
      </c>
      <c r="BB601" s="5" t="n">
        <v>1</v>
      </c>
      <c r="BC601" s="5" t="n">
        <v>0.51</v>
      </c>
      <c r="BD601" s="5" t="n">
        <v>0.132</v>
      </c>
      <c r="BE601" s="5" t="n">
        <v>0.003</v>
      </c>
      <c r="BF601" s="5" t="n">
        <v>0.536</v>
      </c>
      <c r="BG601" s="5" t="n">
        <v>0.05</v>
      </c>
      <c r="BH601" s="5" t="n">
        <v>1</v>
      </c>
      <c r="BI601" s="5" t="n">
        <v>0.652</v>
      </c>
      <c r="BJ601" s="5" t="n">
        <v>0.132</v>
      </c>
      <c r="BK601" s="5" t="n">
        <v>0.004</v>
      </c>
      <c r="BL601" s="5" t="n">
        <v>0.6850000000000001</v>
      </c>
      <c r="BM601" s="5" t="n">
        <v>0.05</v>
      </c>
      <c r="BN601" s="5" t="n">
        <v>1</v>
      </c>
      <c r="BO601" s="5" t="n">
        <v>0</v>
      </c>
      <c r="BP601" s="5" t="n">
        <v>0</v>
      </c>
      <c r="BQ601" s="5" t="n">
        <v>0</v>
      </c>
      <c r="BR601" s="5" t="n">
        <v>0</v>
      </c>
      <c r="BS601" s="5" t="n">
        <v>1</v>
      </c>
      <c r="BT601" s="5" t="n">
        <v>0</v>
      </c>
      <c r="BU601" s="5" t="n">
        <v>0</v>
      </c>
      <c r="BV601" s="5" t="n">
        <v>0</v>
      </c>
      <c r="BW601" s="5" t="n">
        <v>0.05</v>
      </c>
      <c r="BX601" s="5" t="n">
        <v>1</v>
      </c>
      <c r="BY601" s="5" t="n">
        <v>13.646</v>
      </c>
      <c r="BZ601" s="5" t="n">
        <v>0</v>
      </c>
      <c r="CA601" s="5" t="n">
        <v>13.646</v>
      </c>
      <c r="CB601" s="5" t="n">
        <v>0</v>
      </c>
      <c r="CC601" s="5" t="n">
        <v>86.38500000000001</v>
      </c>
      <c r="CD601" s="5" t="n">
        <v>7.95</v>
      </c>
      <c r="CE601" s="5" t="n">
        <v>0.588</v>
      </c>
      <c r="CF601" s="5" t="n">
        <v>90.705</v>
      </c>
      <c r="CG601" s="5" t="n">
        <v>0.05</v>
      </c>
      <c r="CH601" s="5" t="n">
        <v>1</v>
      </c>
      <c r="CI601" s="5" t="n">
        <v>0</v>
      </c>
      <c r="CJ601" s="5" t="n">
        <v>0</v>
      </c>
      <c r="CK601" s="5" t="n">
        <v>0</v>
      </c>
      <c r="CL601" s="5" t="n">
        <v>0</v>
      </c>
      <c r="CM601" s="5" t="n">
        <v>0</v>
      </c>
      <c r="CN601" s="5" t="n">
        <v>0</v>
      </c>
      <c r="CO601" s="5" t="n">
        <v>0</v>
      </c>
      <c r="CP601" s="5" t="n">
        <v>0</v>
      </c>
      <c r="CQ601" s="5" t="n">
        <v>1.387</v>
      </c>
      <c r="CR601" s="5" t="n">
        <v>0</v>
      </c>
      <c r="CS601" s="5" t="n">
        <v>5.529</v>
      </c>
      <c r="CT601" s="5" t="n">
        <v>3.509</v>
      </c>
      <c r="CU601" s="5" t="n">
        <v>10.896</v>
      </c>
    </row>
    <row r="602">
      <c r="A602" s="5" t="inlineStr">
        <is>
          <t>NOR2021</t>
        </is>
      </c>
      <c r="B602" s="5" t="inlineStr">
        <is>
          <t>NOR</t>
        </is>
      </c>
      <c r="C602" s="5" t="inlineStr">
        <is>
          <t>NOR</t>
        </is>
      </c>
      <c r="D602" s="5" t="inlineStr">
        <is>
          <t>Norway</t>
        </is>
      </c>
      <c r="E602" s="5" t="n">
        <v>2021</v>
      </c>
      <c r="F602" s="5" t="n">
        <v>0.25</v>
      </c>
      <c r="G602" s="5" t="n">
        <v>5.82</v>
      </c>
      <c r="H602" s="5" t="n">
        <v>1.124</v>
      </c>
      <c r="I602" s="5" t="n">
        <v>1.208</v>
      </c>
      <c r="J602" s="5" t="n">
        <v>7.028</v>
      </c>
      <c r="K602" s="5" t="n">
        <v>0</v>
      </c>
      <c r="L602" s="5" t="n">
        <v>1</v>
      </c>
      <c r="M602" s="5" t="n">
        <v>7.793</v>
      </c>
      <c r="N602" s="5" t="n">
        <v>3.372</v>
      </c>
      <c r="O602" s="5" t="n">
        <v>1.226</v>
      </c>
      <c r="P602" s="5" t="n">
        <v>9.019</v>
      </c>
      <c r="Q602" s="5" t="n">
        <v>0</v>
      </c>
      <c r="R602" s="5" t="n">
        <v>1</v>
      </c>
      <c r="S602" s="5" t="n">
        <v>11.44</v>
      </c>
      <c r="T602" s="5" t="n">
        <v>6.744</v>
      </c>
      <c r="U602" s="5" t="n">
        <v>0.514</v>
      </c>
      <c r="V602" s="5" t="n">
        <v>14.943</v>
      </c>
      <c r="W602" s="5" t="n">
        <v>0.25</v>
      </c>
      <c r="X602" s="5" t="n">
        <v>1</v>
      </c>
      <c r="Y602" s="5" t="n">
        <v>3.092</v>
      </c>
      <c r="Z602" s="5" t="n">
        <v>0.248</v>
      </c>
      <c r="AA602" s="5" t="n">
        <v>1.698</v>
      </c>
      <c r="AB602" s="5" t="n">
        <v>4.79</v>
      </c>
      <c r="AC602" s="5" t="n">
        <v>0</v>
      </c>
      <c r="AD602" s="5" t="n">
        <v>1</v>
      </c>
      <c r="AE602" s="5" t="n">
        <v>3.679</v>
      </c>
      <c r="AF602" s="5" t="n">
        <v>0.54</v>
      </c>
      <c r="AG602" s="5" t="n">
        <v>1.698</v>
      </c>
      <c r="AH602" s="5" t="n">
        <v>5.378</v>
      </c>
      <c r="AI602" s="5" t="n">
        <v>0</v>
      </c>
      <c r="AJ602" s="5" t="n">
        <v>1</v>
      </c>
      <c r="AK602" s="5" t="n">
        <v>7.202</v>
      </c>
      <c r="AL602" s="5" t="n">
        <v>2.852</v>
      </c>
      <c r="AM602" s="5" t="n">
        <v>0.984</v>
      </c>
      <c r="AN602" s="5" t="n">
        <v>10.232</v>
      </c>
      <c r="AO602" s="5" t="n">
        <v>0.25</v>
      </c>
      <c r="AP602" s="5" t="n">
        <v>1</v>
      </c>
      <c r="AQ602" s="5" t="n">
        <v>0.619</v>
      </c>
      <c r="AR602" s="5" t="n">
        <v>0.114</v>
      </c>
      <c r="AS602" s="5" t="n">
        <v>1.021</v>
      </c>
      <c r="AT602" s="5" t="n">
        <v>2.05</v>
      </c>
      <c r="AU602" s="5" t="n">
        <v>0.25</v>
      </c>
      <c r="AV602" s="5" t="n">
        <v>1</v>
      </c>
      <c r="AW602" s="5" t="n">
        <v>0.599</v>
      </c>
      <c r="AX602" s="5" t="n">
        <v>0.114</v>
      </c>
      <c r="AY602" s="5" t="n">
        <v>0.882</v>
      </c>
      <c r="AZ602" s="5" t="n">
        <v>1.852</v>
      </c>
      <c r="BA602" s="5" t="n">
        <v>0.25</v>
      </c>
      <c r="BB602" s="5" t="n">
        <v>1</v>
      </c>
      <c r="BC602" s="5" t="n">
        <v>0.439</v>
      </c>
      <c r="BD602" s="5" t="n">
        <v>0.114</v>
      </c>
      <c r="BE602" s="5" t="n">
        <v>0.029</v>
      </c>
      <c r="BF602" s="5" t="n">
        <v>0.585</v>
      </c>
      <c r="BG602" s="5" t="n">
        <v>0.25</v>
      </c>
      <c r="BH602" s="5" t="n">
        <v>1</v>
      </c>
      <c r="BI602" s="5" t="n">
        <v>0.505</v>
      </c>
      <c r="BJ602" s="5" t="n">
        <v>0.114</v>
      </c>
      <c r="BK602" s="5" t="n">
        <v>0.833</v>
      </c>
      <c r="BL602" s="5" t="n">
        <v>1.672</v>
      </c>
      <c r="BM602" s="5" t="n">
        <v>0.25</v>
      </c>
      <c r="BN602" s="5" t="n">
        <v>1</v>
      </c>
      <c r="BO602" s="5" t="n">
        <v>0</v>
      </c>
      <c r="BP602" s="5" t="n">
        <v>0.011</v>
      </c>
      <c r="BQ602" s="5" t="n">
        <v>0.092</v>
      </c>
      <c r="BR602" s="5" t="n">
        <v>0</v>
      </c>
      <c r="BS602" s="5" t="n">
        <v>1</v>
      </c>
      <c r="BT602" s="5" t="n">
        <v>0</v>
      </c>
      <c r="BU602" s="5" t="n">
        <v>0.02</v>
      </c>
      <c r="BV602" s="5" t="n">
        <v>0.238</v>
      </c>
      <c r="BW602" s="5" t="n">
        <v>0.25</v>
      </c>
      <c r="BX602" s="5" t="n">
        <v>1</v>
      </c>
      <c r="BY602" s="5" t="n">
        <v>11.787</v>
      </c>
      <c r="BZ602" s="5" t="n">
        <v>0</v>
      </c>
      <c r="CA602" s="5" t="n">
        <v>11.787</v>
      </c>
      <c r="CB602" s="5" t="n">
        <v>0</v>
      </c>
      <c r="CC602" s="5" t="n">
        <v>78.125</v>
      </c>
      <c r="CD602" s="5" t="n">
        <v>7.95</v>
      </c>
      <c r="CE602" s="5" t="n">
        <v>65.407</v>
      </c>
      <c r="CF602" s="5" t="n">
        <v>179.415</v>
      </c>
      <c r="CG602" s="5" t="n">
        <v>0.25</v>
      </c>
      <c r="CH602" s="5" t="n">
        <v>1</v>
      </c>
      <c r="CI602" s="5" t="n">
        <v>0</v>
      </c>
      <c r="CJ602" s="5" t="n">
        <v>0</v>
      </c>
      <c r="CK602" s="5" t="n">
        <v>0</v>
      </c>
      <c r="CL602" s="5" t="n">
        <v>0</v>
      </c>
      <c r="CM602" s="5" t="n">
        <v>0</v>
      </c>
      <c r="CN602" s="5" t="n">
        <v>0.001</v>
      </c>
      <c r="CO602" s="5" t="n">
        <v>0.001</v>
      </c>
      <c r="CP602" s="5" t="n">
        <v>0.034</v>
      </c>
      <c r="CQ602" s="5" t="n">
        <v>1.198</v>
      </c>
      <c r="CR602" s="5" t="n">
        <v>0.973</v>
      </c>
      <c r="CS602" s="5" t="n">
        <v>2.211</v>
      </c>
      <c r="CT602" s="5" t="n">
        <v>4.819</v>
      </c>
      <c r="CU602" s="5" t="n">
        <v>13.099</v>
      </c>
    </row>
    <row r="603">
      <c r="A603" s="5" t="inlineStr">
        <is>
          <t>NOR2022</t>
        </is>
      </c>
      <c r="B603" s="5" t="inlineStr">
        <is>
          <t>NOR</t>
        </is>
      </c>
      <c r="C603" s="5" t="inlineStr">
        <is>
          <t>NOR</t>
        </is>
      </c>
      <c r="D603" s="5" t="inlineStr">
        <is>
          <t>Norway</t>
        </is>
      </c>
      <c r="E603" s="5" t="n">
        <v>2022</v>
      </c>
      <c r="F603" s="5" t="n">
        <v>0.25</v>
      </c>
      <c r="G603" s="5" t="n">
        <v>12.798</v>
      </c>
      <c r="H603" s="5" t="n">
        <v>1.235</v>
      </c>
      <c r="I603" s="5" t="n">
        <v>8.159000000000001</v>
      </c>
      <c r="J603" s="5" t="n">
        <v>20.957</v>
      </c>
      <c r="K603" s="5" t="n">
        <v>0</v>
      </c>
      <c r="L603" s="5" t="n">
        <v>1</v>
      </c>
      <c r="M603" s="5" t="n">
        <v>9.782999999999999</v>
      </c>
      <c r="N603" s="5" t="n">
        <v>3.704</v>
      </c>
      <c r="O603" s="5" t="n">
        <v>8.284000000000001</v>
      </c>
      <c r="P603" s="5" t="n">
        <v>18.067</v>
      </c>
      <c r="Q603" s="5" t="n">
        <v>0</v>
      </c>
      <c r="R603" s="5" t="n">
        <v>1</v>
      </c>
      <c r="S603" s="5" t="n">
        <v>18.971</v>
      </c>
      <c r="T603" s="5" t="n">
        <v>7.408</v>
      </c>
      <c r="U603" s="5" t="n">
        <v>2.969</v>
      </c>
      <c r="V603" s="5" t="n">
        <v>26.927</v>
      </c>
      <c r="W603" s="5" t="n">
        <v>0.25</v>
      </c>
      <c r="X603" s="5" t="n">
        <v>1</v>
      </c>
      <c r="Y603" s="5" t="n">
        <v>3.365</v>
      </c>
      <c r="Z603" s="5" t="n">
        <v>0.27</v>
      </c>
      <c r="AA603" s="5" t="n">
        <v>7.049</v>
      </c>
      <c r="AB603" s="5" t="n">
        <v>10.414</v>
      </c>
      <c r="AC603" s="5" t="n">
        <v>0</v>
      </c>
      <c r="AD603" s="5" t="n">
        <v>1</v>
      </c>
      <c r="AE603" s="5" t="n">
        <v>3.991</v>
      </c>
      <c r="AF603" s="5" t="n">
        <v>0.586</v>
      </c>
      <c r="AG603" s="5" t="n">
        <v>7.049</v>
      </c>
      <c r="AH603" s="5" t="n">
        <v>11.04</v>
      </c>
      <c r="AI603" s="5" t="n">
        <v>0</v>
      </c>
      <c r="AJ603" s="5" t="n">
        <v>1</v>
      </c>
      <c r="AK603" s="5" t="n">
        <v>7.748</v>
      </c>
      <c r="AL603" s="5" t="n">
        <v>3.068</v>
      </c>
      <c r="AM603" s="5" t="n">
        <v>2.405</v>
      </c>
      <c r="AN603" s="5" t="n">
        <v>12.462</v>
      </c>
      <c r="AO603" s="5" t="n">
        <v>0.25</v>
      </c>
      <c r="AP603" s="5" t="n">
        <v>1</v>
      </c>
      <c r="AQ603" s="5" t="n">
        <v>0.861</v>
      </c>
      <c r="AR603" s="5" t="n">
        <v>0.123</v>
      </c>
      <c r="AS603" s="5" t="n">
        <v>0.991</v>
      </c>
      <c r="AT603" s="5" t="n">
        <v>2.315</v>
      </c>
      <c r="AU603" s="5" t="n">
        <v>0.25</v>
      </c>
      <c r="AV603" s="5" t="n">
        <v>1</v>
      </c>
      <c r="AW603" s="5" t="n">
        <v>0.986</v>
      </c>
      <c r="AX603" s="5" t="n">
        <v>0.123</v>
      </c>
      <c r="AY603" s="5" t="n">
        <v>0.85</v>
      </c>
      <c r="AZ603" s="5" t="n">
        <v>2.296</v>
      </c>
      <c r="BA603" s="5" t="n">
        <v>0.25</v>
      </c>
      <c r="BB603" s="5" t="n">
        <v>1</v>
      </c>
      <c r="BC603" s="5" t="n">
        <v>0.598</v>
      </c>
      <c r="BD603" s="5" t="n">
        <v>0.123</v>
      </c>
      <c r="BE603" s="5" t="n">
        <v>0.078</v>
      </c>
      <c r="BF603" s="5" t="n">
        <v>0.83</v>
      </c>
      <c r="BG603" s="5" t="n">
        <v>0.25</v>
      </c>
      <c r="BH603" s="5" t="n">
        <v>1</v>
      </c>
      <c r="BI603" s="5" t="n">
        <v>0.612</v>
      </c>
      <c r="BJ603" s="5" t="n">
        <v>0.123</v>
      </c>
      <c r="BK603" s="5" t="n">
        <v>0.899</v>
      </c>
      <c r="BL603" s="5" t="n">
        <v>1.889</v>
      </c>
      <c r="BM603" s="5" t="n">
        <v>0.25</v>
      </c>
      <c r="BN603" s="5" t="n">
        <v>1</v>
      </c>
      <c r="BO603" s="5" t="n">
        <v>0</v>
      </c>
      <c r="BP603" s="5" t="n">
        <v>0.01</v>
      </c>
      <c r="BQ603" s="5" t="n">
        <v>0.162</v>
      </c>
      <c r="BR603" s="5" t="n">
        <v>0</v>
      </c>
      <c r="BS603" s="5" t="n">
        <v>1</v>
      </c>
      <c r="BT603" s="5" t="n">
        <v>0</v>
      </c>
      <c r="BU603" s="5" t="n">
        <v>-0.065</v>
      </c>
      <c r="BV603" s="5" t="n">
        <v>0.226</v>
      </c>
      <c r="BW603" s="5" t="n">
        <v>0.25</v>
      </c>
      <c r="BX603" s="5" t="n">
        <v>1</v>
      </c>
      <c r="BY603" s="5" t="n">
        <v>12.729</v>
      </c>
      <c r="BZ603" s="5" t="n">
        <v>0</v>
      </c>
      <c r="CA603" s="5" t="n">
        <v>12.729</v>
      </c>
      <c r="CB603" s="5" t="n">
        <v>0</v>
      </c>
      <c r="CC603" s="5" t="n">
        <v>97.90000000000001</v>
      </c>
      <c r="CD603" s="5" t="n">
        <v>7.95</v>
      </c>
      <c r="CE603" s="5" t="n">
        <v>121.228</v>
      </c>
      <c r="CF603" s="5" t="n">
        <v>273.91</v>
      </c>
      <c r="CG603" s="5" t="n">
        <v>0.25</v>
      </c>
      <c r="CH603" s="5" t="n">
        <v>1</v>
      </c>
      <c r="CI603" s="5" t="n">
        <v>0</v>
      </c>
      <c r="CJ603" s="5" t="n">
        <v>0</v>
      </c>
      <c r="CK603" s="5" t="n">
        <v>0</v>
      </c>
      <c r="CL603" s="5" t="n">
        <v>0</v>
      </c>
      <c r="CM603" s="5" t="n">
        <v>0</v>
      </c>
      <c r="CN603" s="5" t="n">
        <v>0.001</v>
      </c>
      <c r="CO603" s="5" t="n">
        <v>0.001</v>
      </c>
      <c r="CP603" s="5" t="n">
        <v>0</v>
      </c>
      <c r="CQ603" s="5" t="n">
        <v>1.294</v>
      </c>
      <c r="CR603" s="5" t="n">
        <v>0.986</v>
      </c>
      <c r="CS603" s="5" t="n">
        <v>2.388</v>
      </c>
      <c r="CT603" s="5" t="n">
        <v>11.563</v>
      </c>
      <c r="CU603" s="5" t="n">
        <v>26.643</v>
      </c>
    </row>
    <row r="604">
      <c r="A604" s="5" t="inlineStr">
        <is>
          <t>NOR2023</t>
        </is>
      </c>
      <c r="B604" s="5" t="inlineStr">
        <is>
          <t>NOR</t>
        </is>
      </c>
      <c r="C604" s="5" t="inlineStr">
        <is>
          <t>NOR</t>
        </is>
      </c>
      <c r="D604" s="5" t="inlineStr">
        <is>
          <t>Norway</t>
        </is>
      </c>
      <c r="E604" s="5" t="n">
        <v>2023</v>
      </c>
      <c r="F604" s="5" t="n">
        <v>0.25</v>
      </c>
      <c r="G604" s="5" t="n">
        <v>6.174</v>
      </c>
      <c r="H604" s="5" t="n">
        <v>1.254</v>
      </c>
      <c r="I604" s="5" t="n">
        <v>9.456</v>
      </c>
      <c r="J604" s="5" t="n">
        <v>15.63</v>
      </c>
      <c r="K604" s="5" t="n">
        <v>0</v>
      </c>
      <c r="L604" s="5" t="n">
        <v>1</v>
      </c>
      <c r="M604" s="5" t="n">
        <v>7.66</v>
      </c>
      <c r="N604" s="5" t="n">
        <v>3.763</v>
      </c>
      <c r="O604" s="5" t="n">
        <v>9.601000000000001</v>
      </c>
      <c r="P604" s="5" t="n">
        <v>17.261</v>
      </c>
      <c r="Q604" s="5" t="n">
        <v>0</v>
      </c>
      <c r="R604" s="5" t="n">
        <v>1</v>
      </c>
      <c r="S604" s="5" t="n">
        <v>12.445</v>
      </c>
      <c r="T604" s="5" t="n">
        <v>7.525</v>
      </c>
      <c r="U604" s="5" t="n">
        <v>5.099</v>
      </c>
      <c r="V604" s="5" t="n">
        <v>21.338</v>
      </c>
      <c r="W604" s="5" t="n">
        <v>0.25</v>
      </c>
      <c r="X604" s="5" t="n">
        <v>1</v>
      </c>
      <c r="Y604" s="5" t="n">
        <v>3.328</v>
      </c>
      <c r="Z604" s="5" t="n">
        <v>0.267</v>
      </c>
      <c r="AA604" s="5" t="n">
        <v>7.838</v>
      </c>
      <c r="AB604" s="5" t="n">
        <v>11.166</v>
      </c>
      <c r="AC604" s="5" t="n">
        <v>0</v>
      </c>
      <c r="AD604" s="5" t="n">
        <v>1</v>
      </c>
      <c r="AE604" s="5" t="n">
        <v>3.984</v>
      </c>
      <c r="AF604" s="5" t="n">
        <v>0.585</v>
      </c>
      <c r="AG604" s="5" t="n">
        <v>7.838</v>
      </c>
      <c r="AH604" s="5" t="n">
        <v>11.822</v>
      </c>
      <c r="AI604" s="5" t="n">
        <v>0</v>
      </c>
      <c r="AJ604" s="5" t="n">
        <v>1</v>
      </c>
      <c r="AK604" s="5" t="n">
        <v>7.918</v>
      </c>
      <c r="AL604" s="5" t="n">
        <v>3.135</v>
      </c>
      <c r="AM604" s="5" t="n">
        <v>2.524</v>
      </c>
      <c r="AN604" s="5" t="n">
        <v>12.701</v>
      </c>
      <c r="AO604" s="5" t="n">
        <v>0.25</v>
      </c>
      <c r="AP604" s="5" t="n">
        <v>1</v>
      </c>
      <c r="AQ604" s="5" t="n">
        <v>0.76</v>
      </c>
      <c r="AR604" s="5" t="n">
        <v>0.129</v>
      </c>
      <c r="AS604" s="5" t="n">
        <v>0.955</v>
      </c>
      <c r="AT604" s="5" t="n">
        <v>2.144</v>
      </c>
      <c r="AU604" s="5" t="n">
        <v>0.25</v>
      </c>
      <c r="AV604" s="5" t="n">
        <v>1</v>
      </c>
      <c r="AW604" s="5" t="n">
        <v>0.8110000000000001</v>
      </c>
      <c r="AX604" s="5" t="n">
        <v>0.129</v>
      </c>
      <c r="AY604" s="5" t="n">
        <v>0.767</v>
      </c>
      <c r="AZ604" s="5" t="n">
        <v>1.972</v>
      </c>
      <c r="BA604" s="5" t="n">
        <v>0.25</v>
      </c>
      <c r="BB604" s="5" t="n">
        <v>1</v>
      </c>
      <c r="BC604" s="5" t="n">
        <v>0.535</v>
      </c>
      <c r="BD604" s="5" t="n">
        <v>0.129</v>
      </c>
      <c r="BE604" s="5" t="n">
        <v>0.083</v>
      </c>
      <c r="BF604" s="5" t="n">
        <v>0.752</v>
      </c>
      <c r="BG604" s="5" t="n">
        <v>0.25</v>
      </c>
      <c r="BH604" s="5" t="n">
        <v>1</v>
      </c>
      <c r="BI604" s="5" t="n">
        <v>0.579</v>
      </c>
      <c r="BJ604" s="5" t="n">
        <v>0.129</v>
      </c>
      <c r="BK604" s="5" t="n">
        <v>0.912</v>
      </c>
      <c r="BL604" s="5" t="n">
        <v>1.864</v>
      </c>
      <c r="BM604" s="5" t="n">
        <v>0.25</v>
      </c>
      <c r="BN604" s="5" t="n">
        <v>1</v>
      </c>
      <c r="BO604" s="5" t="n">
        <v>0</v>
      </c>
      <c r="BP604" s="5" t="n">
        <v>0.008999999999999999</v>
      </c>
      <c r="BQ604" s="5" t="n">
        <v>0.08599999999999999</v>
      </c>
      <c r="BR604" s="5" t="n">
        <v>0</v>
      </c>
      <c r="BS604" s="5" t="n">
        <v>1</v>
      </c>
      <c r="BT604" s="5" t="n">
        <v>0</v>
      </c>
      <c r="BU604" s="5" t="n">
        <v>-0.005</v>
      </c>
      <c r="BV604" s="5" t="n">
        <v>0.205</v>
      </c>
      <c r="BW604" s="5" t="n">
        <v>0.25</v>
      </c>
      <c r="BX604" s="5" t="n">
        <v>1</v>
      </c>
      <c r="BY604" s="5" t="n">
        <v>13.254</v>
      </c>
      <c r="BZ604" s="5" t="n">
        <v>0</v>
      </c>
      <c r="CA604" s="5" t="n">
        <v>13.254</v>
      </c>
      <c r="CB604" s="5" t="n">
        <v>0</v>
      </c>
      <c r="CC604" s="5" t="n">
        <v>83.248</v>
      </c>
      <c r="CD604" s="5" t="n">
        <v>7.95</v>
      </c>
      <c r="CE604" s="5" t="n">
        <v>112.488</v>
      </c>
      <c r="CF604" s="5" t="n">
        <v>244.67</v>
      </c>
      <c r="CG604" s="5" t="n">
        <v>0.25</v>
      </c>
      <c r="CH604" s="5" t="n">
        <v>1</v>
      </c>
      <c r="CI604" s="5" t="n">
        <v>0</v>
      </c>
      <c r="CJ604" s="5" t="n">
        <v>0</v>
      </c>
      <c r="CK604" s="5" t="n">
        <v>0</v>
      </c>
      <c r="CL604" s="5" t="n">
        <v>0</v>
      </c>
      <c r="CM604" s="5" t="n">
        <v>0</v>
      </c>
      <c r="CN604" s="5" t="n">
        <v>0.001</v>
      </c>
      <c r="CO604" s="5" t="n">
        <v>0.001</v>
      </c>
      <c r="CP604" s="5" t="n">
        <v>0.049</v>
      </c>
      <c r="CQ604" s="5" t="n">
        <v>1.348</v>
      </c>
      <c r="CR604" s="5" t="n">
        <v>0.98</v>
      </c>
      <c r="CS604" s="5" t="n">
        <v>2.487</v>
      </c>
      <c r="CT604" s="5" t="n">
        <v>5.104</v>
      </c>
      <c r="CU604" s="5" t="n">
        <v>11.809</v>
      </c>
    </row>
    <row r="605">
      <c r="A605" s="5" t="inlineStr">
        <is>
          <t>NOR2024</t>
        </is>
      </c>
      <c r="B605" s="5" t="inlineStr">
        <is>
          <t>NOR</t>
        </is>
      </c>
      <c r="C605" s="5" t="inlineStr">
        <is>
          <t>NOR</t>
        </is>
      </c>
      <c r="D605" s="5" t="inlineStr">
        <is>
          <t>Norway</t>
        </is>
      </c>
      <c r="E605" s="5" t="n">
        <v>2024</v>
      </c>
      <c r="F605" s="5" t="n">
        <v>0.25</v>
      </c>
      <c r="G605" s="5" t="n">
        <v>5.604</v>
      </c>
      <c r="H605" s="5" t="n">
        <v>1.291</v>
      </c>
      <c r="I605" s="5" t="n">
        <v>6.197</v>
      </c>
      <c r="J605" s="5" t="n">
        <v>11.801</v>
      </c>
      <c r="K605" s="5" t="n">
        <v>0</v>
      </c>
      <c r="L605" s="5" t="n">
        <v>1</v>
      </c>
      <c r="M605" s="5" t="n">
        <v>6.94</v>
      </c>
      <c r="N605" s="5" t="n">
        <v>3.874</v>
      </c>
      <c r="O605" s="5" t="n">
        <v>6.292</v>
      </c>
      <c r="P605" s="5" t="n">
        <v>13.232</v>
      </c>
      <c r="Q605" s="5" t="n">
        <v>0</v>
      </c>
      <c r="R605" s="5" t="n">
        <v>1</v>
      </c>
      <c r="S605" s="5" t="n">
        <v>12.06</v>
      </c>
      <c r="T605" s="5" t="n">
        <v>7.747</v>
      </c>
      <c r="U605" s="5" t="n">
        <v>5.335</v>
      </c>
      <c r="V605" s="5" t="n">
        <v>21.028</v>
      </c>
      <c r="W605" s="5" t="n">
        <v>0.25</v>
      </c>
      <c r="X605" s="5" t="n">
        <v>1</v>
      </c>
      <c r="Y605" s="5" t="n">
        <v>3.383</v>
      </c>
      <c r="Z605" s="5" t="n">
        <v>0.271</v>
      </c>
      <c r="AA605" s="5" t="n">
        <v>6.301</v>
      </c>
      <c r="AB605" s="5" t="n">
        <v>9.683999999999999</v>
      </c>
      <c r="AC605" s="5" t="n">
        <v>0</v>
      </c>
      <c r="AD605" s="5" t="n">
        <v>1</v>
      </c>
      <c r="AE605" s="5" t="n">
        <v>4.058</v>
      </c>
      <c r="AF605" s="5" t="n">
        <v>0.596</v>
      </c>
      <c r="AG605" s="5" t="n">
        <v>6.301</v>
      </c>
      <c r="AH605" s="5" t="n">
        <v>10.359</v>
      </c>
      <c r="AI605" s="5" t="n">
        <v>0</v>
      </c>
      <c r="AJ605" s="5" t="n">
        <v>1</v>
      </c>
      <c r="AK605" s="5" t="n">
        <v>8.108000000000001</v>
      </c>
      <c r="AL605" s="5" t="n">
        <v>3.211</v>
      </c>
      <c r="AM605" s="5" t="n">
        <v>3</v>
      </c>
      <c r="AN605" s="5" t="n">
        <v>13.428</v>
      </c>
      <c r="AO605" s="5" t="n">
        <v>0.25</v>
      </c>
      <c r="AP605" s="5" t="n">
        <v>1</v>
      </c>
      <c r="AQ605" s="5" t="n">
        <v>0.724</v>
      </c>
      <c r="AR605" s="5" t="n">
        <v>0.132</v>
      </c>
      <c r="AS605" s="5" t="n">
        <v>0.909</v>
      </c>
      <c r="AT605" s="5" t="n">
        <v>2.041</v>
      </c>
      <c r="AU605" s="5" t="n">
        <v>0.25</v>
      </c>
      <c r="AV605" s="5" t="n">
        <v>1</v>
      </c>
      <c r="AW605" s="5" t="n">
        <v>0.75</v>
      </c>
      <c r="AX605" s="5" t="n">
        <v>0.132</v>
      </c>
      <c r="AY605" s="5" t="n">
        <v>0.764</v>
      </c>
      <c r="AZ605" s="5" t="n">
        <v>1.893</v>
      </c>
      <c r="BA605" s="5" t="n">
        <v>0.25</v>
      </c>
      <c r="BB605" s="5" t="n">
        <v>1</v>
      </c>
      <c r="BC605" s="5" t="n">
        <v>0.513</v>
      </c>
      <c r="BD605" s="5" t="n">
        <v>0.132</v>
      </c>
      <c r="BE605" s="5" t="n">
        <v>0.098</v>
      </c>
      <c r="BF605" s="5" t="n">
        <v>0.739</v>
      </c>
      <c r="BG605" s="5" t="n">
        <v>0.25</v>
      </c>
      <c r="BH605" s="5" t="n">
        <v>1</v>
      </c>
      <c r="BI605" s="5" t="n">
        <v>0.591</v>
      </c>
      <c r="BJ605" s="5" t="n">
        <v>0.132</v>
      </c>
      <c r="BK605" s="5" t="n">
        <v>1.019</v>
      </c>
      <c r="BL605" s="5" t="n">
        <v>2.013</v>
      </c>
      <c r="BM605" s="5" t="n">
        <v>0.25</v>
      </c>
      <c r="BN605" s="5" t="n">
        <v>1</v>
      </c>
      <c r="BO605" s="5" t="n">
        <v>0</v>
      </c>
      <c r="BP605" s="5" t="n">
        <v>0.008999999999999999</v>
      </c>
      <c r="BQ605" s="5" t="n">
        <v>0.064</v>
      </c>
      <c r="BR605" s="5" t="n">
        <v>0</v>
      </c>
      <c r="BS605" s="5" t="n">
        <v>1</v>
      </c>
      <c r="BT605" s="5" t="n">
        <v>0</v>
      </c>
      <c r="BU605" s="5" t="n">
        <v>0.008</v>
      </c>
      <c r="BV605" s="5" t="n">
        <v>0.211</v>
      </c>
      <c r="BW605" s="5" t="n">
        <v>0.25</v>
      </c>
      <c r="BX605" s="5" t="n">
        <v>1</v>
      </c>
      <c r="BY605" s="5" t="n">
        <v>13.646</v>
      </c>
      <c r="BZ605" s="5" t="n">
        <v>0</v>
      </c>
      <c r="CA605" s="5" t="n">
        <v>13.646</v>
      </c>
      <c r="CB605" s="5" t="n">
        <v>0</v>
      </c>
      <c r="CC605" s="5" t="n">
        <v>82.58799999999999</v>
      </c>
      <c r="CD605" s="5" t="n">
        <v>7.95</v>
      </c>
      <c r="CE605" s="5" t="n">
        <v>94.55500000000001</v>
      </c>
      <c r="CF605" s="5" t="n">
        <v>221.429</v>
      </c>
      <c r="CG605" s="5" t="n">
        <v>0.25</v>
      </c>
      <c r="CH605" s="5" t="n">
        <v>1</v>
      </c>
      <c r="CI605" s="5" t="n">
        <v>0</v>
      </c>
      <c r="CJ605" s="5" t="n">
        <v>0</v>
      </c>
      <c r="CK605" s="5" t="n">
        <v>0</v>
      </c>
      <c r="CL605" s="5" t="n">
        <v>0</v>
      </c>
      <c r="CM605" s="5" t="n">
        <v>0</v>
      </c>
      <c r="CN605" s="5" t="n">
        <v>0.001</v>
      </c>
      <c r="CO605" s="5" t="n">
        <v>0.001</v>
      </c>
      <c r="CP605" s="5" t="n">
        <v>0.049</v>
      </c>
      <c r="CQ605" s="5" t="n">
        <v>1.387</v>
      </c>
      <c r="CR605" s="5" t="n">
        <v>0.98</v>
      </c>
      <c r="CS605" s="5" t="n">
        <v>2.56</v>
      </c>
      <c r="CT605" s="5" t="n">
        <v>4.463</v>
      </c>
      <c r="CU605" s="5" t="n">
        <v>9.983000000000001</v>
      </c>
    </row>
    <row r="606">
      <c r="A606" s="5" t="inlineStr">
        <is>
          <t>OMN2021</t>
        </is>
      </c>
      <c r="B606" s="5" t="inlineStr">
        <is>
          <t>OMN</t>
        </is>
      </c>
      <c r="C606" s="5" t="inlineStr">
        <is>
          <t>OMN</t>
        </is>
      </c>
      <c r="D606" s="5" t="inlineStr">
        <is>
          <t>Oman</t>
        </is>
      </c>
      <c r="E606" s="5" t="n">
        <v>2021</v>
      </c>
      <c r="F606" s="5" t="n">
        <v>0.05</v>
      </c>
      <c r="G606" s="5" t="n">
        <v>5.897</v>
      </c>
      <c r="H606" s="5" t="n">
        <v>1.143</v>
      </c>
      <c r="I606" s="5" t="n">
        <v>0.238</v>
      </c>
      <c r="J606" s="5" t="n">
        <v>6.134</v>
      </c>
      <c r="K606" s="5" t="n">
        <v>0</v>
      </c>
      <c r="L606" s="5" t="n">
        <v>1</v>
      </c>
      <c r="M606" s="5" t="n">
        <v>7.964</v>
      </c>
      <c r="N606" s="5" t="n">
        <v>3.43</v>
      </c>
      <c r="O606" s="5" t="n">
        <v>0.227</v>
      </c>
      <c r="P606" s="5" t="n">
        <v>8.191000000000001</v>
      </c>
      <c r="Q606" s="5" t="n">
        <v>0</v>
      </c>
      <c r="R606" s="5" t="n">
        <v>1</v>
      </c>
      <c r="S606" s="5" t="n">
        <v>11.613</v>
      </c>
      <c r="T606" s="5" t="n">
        <v>6.86</v>
      </c>
      <c r="U606" s="5" t="n">
        <v>0.238</v>
      </c>
      <c r="V606" s="5" t="n">
        <v>12.444</v>
      </c>
      <c r="W606" s="5" t="n">
        <v>0.05</v>
      </c>
      <c r="X606" s="5" t="n">
        <v>1</v>
      </c>
      <c r="Y606" s="5" t="n">
        <v>5.869</v>
      </c>
      <c r="Z606" s="5" t="n">
        <v>0.6879999999999999</v>
      </c>
      <c r="AA606" s="5" t="n">
        <v>-2.666</v>
      </c>
      <c r="AB606" s="5" t="n">
        <v>3.202</v>
      </c>
      <c r="AC606" s="5" t="n">
        <v>0</v>
      </c>
      <c r="AD606" s="5" t="n">
        <v>0</v>
      </c>
      <c r="AE606" s="5" t="n">
        <v>6.472</v>
      </c>
      <c r="AF606" s="5" t="n">
        <v>1.334</v>
      </c>
      <c r="AG606" s="5" t="n">
        <v>-3.437</v>
      </c>
      <c r="AH606" s="5" t="n">
        <v>3.034</v>
      </c>
      <c r="AI606" s="5" t="n">
        <v>0</v>
      </c>
      <c r="AJ606" s="5" t="n">
        <v>0</v>
      </c>
      <c r="AK606" s="5" t="n">
        <v>10.091</v>
      </c>
      <c r="AL606" s="5" t="n">
        <v>4.936</v>
      </c>
      <c r="AM606" s="5" t="n">
        <v>0.037</v>
      </c>
      <c r="AN606" s="5" t="n">
        <v>10.635</v>
      </c>
      <c r="AO606" s="5" t="n">
        <v>0.05</v>
      </c>
      <c r="AP606" s="5" t="n">
        <v>1</v>
      </c>
      <c r="AQ606" s="5" t="n">
        <v>0.621</v>
      </c>
      <c r="AR606" s="5" t="n">
        <v>0.114</v>
      </c>
      <c r="AS606" s="5" t="n">
        <v>-0.061</v>
      </c>
      <c r="AT606" s="5" t="n">
        <v>0.588</v>
      </c>
      <c r="AU606" s="5" t="n">
        <v>0</v>
      </c>
      <c r="AV606" s="5" t="n">
        <v>0</v>
      </c>
      <c r="AW606" s="5" t="n">
        <v>0.593</v>
      </c>
      <c r="AX606" s="5" t="n">
        <v>0.114</v>
      </c>
      <c r="AY606" s="5" t="n">
        <v>-0.004</v>
      </c>
      <c r="AZ606" s="5" t="n">
        <v>0.619</v>
      </c>
      <c r="BA606" s="5" t="n">
        <v>0.05</v>
      </c>
      <c r="BB606" s="5" t="n">
        <v>1</v>
      </c>
      <c r="BC606" s="5" t="n">
        <v>0.44</v>
      </c>
      <c r="BD606" s="5" t="n">
        <v>0.114</v>
      </c>
      <c r="BE606" s="5" t="n">
        <v>0</v>
      </c>
      <c r="BF606" s="5" t="n">
        <v>0.462</v>
      </c>
      <c r="BG606" s="5" t="n">
        <v>0.05</v>
      </c>
      <c r="BH606" s="5" t="n">
        <v>1</v>
      </c>
      <c r="BI606" s="5" t="n">
        <v>0.5600000000000001</v>
      </c>
      <c r="BJ606" s="5" t="n">
        <v>0.114</v>
      </c>
      <c r="BK606" s="5" t="n">
        <v>0</v>
      </c>
      <c r="BL606" s="5" t="n">
        <v>0.588</v>
      </c>
      <c r="BM606" s="5" t="n">
        <v>0.05</v>
      </c>
      <c r="BN606" s="5" t="n">
        <v>1</v>
      </c>
      <c r="BO606" s="5" t="n">
        <v>0</v>
      </c>
      <c r="BP606" s="5" t="n">
        <v>0</v>
      </c>
      <c r="BQ606" s="5" t="n">
        <v>0.065</v>
      </c>
      <c r="BR606" s="5" t="n">
        <v>0</v>
      </c>
      <c r="BS606" s="5" t="n">
        <v>0.667</v>
      </c>
      <c r="BT606" s="5" t="n">
        <v>0</v>
      </c>
      <c r="BU606" s="5" t="n">
        <v>0</v>
      </c>
      <c r="BV606" s="5" t="n">
        <v>0.052</v>
      </c>
      <c r="BW606" s="5" t="n">
        <v>0.05</v>
      </c>
      <c r="BX606" s="5" t="n">
        <v>0.833</v>
      </c>
      <c r="BY606" s="5" t="n">
        <v>11.787</v>
      </c>
      <c r="BZ606" s="5" t="n">
        <v>0</v>
      </c>
      <c r="CA606" s="5" t="n">
        <v>11.787</v>
      </c>
      <c r="CB606" s="5" t="n">
        <v>0</v>
      </c>
      <c r="CC606" s="5" t="n">
        <v>81.69499999999999</v>
      </c>
      <c r="CD606" s="5" t="n">
        <v>7.95</v>
      </c>
      <c r="CE606" s="5" t="n">
        <v>0</v>
      </c>
      <c r="CF606" s="5" t="n">
        <v>85.78</v>
      </c>
      <c r="CG606" s="5" t="n">
        <v>0.05</v>
      </c>
      <c r="CH606" s="5" t="n">
        <v>1</v>
      </c>
      <c r="CI606" s="5" t="n">
        <v>0</v>
      </c>
      <c r="CJ606" s="5" t="n">
        <v>0</v>
      </c>
      <c r="CK606" s="5" t="n">
        <v>0</v>
      </c>
      <c r="CL606" s="5" t="n">
        <v>0</v>
      </c>
      <c r="CM606" s="5" t="n">
        <v>0</v>
      </c>
      <c r="CN606" s="5" t="n">
        <v>0</v>
      </c>
      <c r="CO606" s="5" t="n">
        <v>0</v>
      </c>
      <c r="CP606" s="5" t="n">
        <v>0</v>
      </c>
      <c r="CQ606" s="5" t="n">
        <v>1.198</v>
      </c>
      <c r="CR606" s="5" t="n">
        <v>0.945</v>
      </c>
      <c r="CS606" s="5" t="n">
        <v>4.908</v>
      </c>
      <c r="CT606" s="5" t="n">
        <v>4.753</v>
      </c>
      <c r="CU606" s="5" t="n">
        <v>14.129</v>
      </c>
    </row>
    <row r="607">
      <c r="A607" s="5" t="inlineStr">
        <is>
          <t>OMN2022</t>
        </is>
      </c>
      <c r="B607" s="5" t="inlineStr">
        <is>
          <t>OMN</t>
        </is>
      </c>
      <c r="C607" s="5" t="inlineStr">
        <is>
          <t>OMN</t>
        </is>
      </c>
      <c r="D607" s="5" t="inlineStr">
        <is>
          <t>Oman</t>
        </is>
      </c>
      <c r="E607" s="5" t="n">
        <v>2022</v>
      </c>
      <c r="F607" s="5" t="n">
        <v>0.05</v>
      </c>
      <c r="G607" s="5" t="n">
        <v>11.72</v>
      </c>
      <c r="H607" s="5" t="n">
        <v>1.235</v>
      </c>
      <c r="I607" s="5" t="n">
        <v>0.5659999999999999</v>
      </c>
      <c r="J607" s="5" t="n">
        <v>12.286</v>
      </c>
      <c r="K607" s="5" t="n">
        <v>0</v>
      </c>
      <c r="L607" s="5" t="n">
        <v>1</v>
      </c>
      <c r="M607" s="5" t="n">
        <v>9.782999999999999</v>
      </c>
      <c r="N607" s="5" t="n">
        <v>3.704</v>
      </c>
      <c r="O607" s="5" t="n">
        <v>0.328</v>
      </c>
      <c r="P607" s="5" t="n">
        <v>10.111</v>
      </c>
      <c r="Q607" s="5" t="n">
        <v>0</v>
      </c>
      <c r="R607" s="5" t="n">
        <v>1</v>
      </c>
      <c r="S607" s="5" t="n">
        <v>17.893</v>
      </c>
      <c r="T607" s="5" t="n">
        <v>7.408</v>
      </c>
      <c r="U607" s="5" t="n">
        <v>0.634</v>
      </c>
      <c r="V607" s="5" t="n">
        <v>19.382</v>
      </c>
      <c r="W607" s="5" t="n">
        <v>0.05</v>
      </c>
      <c r="X607" s="5" t="n">
        <v>1</v>
      </c>
      <c r="Y607" s="5" t="n">
        <v>6.876</v>
      </c>
      <c r="Z607" s="5" t="n">
        <v>0.806</v>
      </c>
      <c r="AA607" s="5" t="n">
        <v>-2.879</v>
      </c>
      <c r="AB607" s="5" t="n">
        <v>3.997</v>
      </c>
      <c r="AC607" s="5" t="n">
        <v>0</v>
      </c>
      <c r="AD607" s="5" t="n">
        <v>0</v>
      </c>
      <c r="AE607" s="5" t="n">
        <v>7.528</v>
      </c>
      <c r="AF607" s="5" t="n">
        <v>1.552</v>
      </c>
      <c r="AG607" s="5" t="n">
        <v>-4.115</v>
      </c>
      <c r="AH607" s="5" t="n">
        <v>3.412</v>
      </c>
      <c r="AI607" s="5" t="n">
        <v>0</v>
      </c>
      <c r="AJ607" s="5" t="n">
        <v>0</v>
      </c>
      <c r="AK607" s="5" t="n">
        <v>11.434</v>
      </c>
      <c r="AL607" s="5" t="n">
        <v>5.593</v>
      </c>
      <c r="AM607" s="5" t="n">
        <v>0.121</v>
      </c>
      <c r="AN607" s="5" t="n">
        <v>12.088</v>
      </c>
      <c r="AO607" s="5" t="n">
        <v>0.05</v>
      </c>
      <c r="AP607" s="5" t="n">
        <v>1</v>
      </c>
      <c r="AQ607" s="5" t="n">
        <v>0.847</v>
      </c>
      <c r="AR607" s="5" t="n">
        <v>0.123</v>
      </c>
      <c r="AS607" s="5" t="n">
        <v>-0.255</v>
      </c>
      <c r="AT607" s="5" t="n">
        <v>0.622</v>
      </c>
      <c r="AU607" s="5" t="n">
        <v>0</v>
      </c>
      <c r="AV607" s="5" t="n">
        <v>0</v>
      </c>
      <c r="AW607" s="5" t="n">
        <v>0.947</v>
      </c>
      <c r="AX607" s="5" t="n">
        <v>0.123</v>
      </c>
      <c r="AY607" s="5" t="n">
        <v>-0.308</v>
      </c>
      <c r="AZ607" s="5" t="n">
        <v>0.671</v>
      </c>
      <c r="BA607" s="5" t="n">
        <v>0.05</v>
      </c>
      <c r="BB607" s="5" t="n">
        <v>1</v>
      </c>
      <c r="BC607" s="5" t="n">
        <v>0.589</v>
      </c>
      <c r="BD607" s="5" t="n">
        <v>0.123</v>
      </c>
      <c r="BE607" s="5" t="n">
        <v>0.002</v>
      </c>
      <c r="BF607" s="5" t="n">
        <v>0.618</v>
      </c>
      <c r="BG607" s="5" t="n">
        <v>0.05</v>
      </c>
      <c r="BH607" s="5" t="n">
        <v>1</v>
      </c>
      <c r="BI607" s="5" t="n">
        <v>0.6889999999999999</v>
      </c>
      <c r="BJ607" s="5" t="n">
        <v>0.123</v>
      </c>
      <c r="BK607" s="5" t="n">
        <v>0.003</v>
      </c>
      <c r="BL607" s="5" t="n">
        <v>0.723</v>
      </c>
      <c r="BM607" s="5" t="n">
        <v>0.05</v>
      </c>
      <c r="BN607" s="5" t="n">
        <v>1</v>
      </c>
      <c r="BO607" s="5" t="n">
        <v>0</v>
      </c>
      <c r="BP607" s="5" t="n">
        <v>0</v>
      </c>
      <c r="BQ607" s="5" t="n">
        <v>0.065</v>
      </c>
      <c r="BR607" s="5" t="n">
        <v>0</v>
      </c>
      <c r="BS607" s="5" t="n">
        <v>0.667</v>
      </c>
      <c r="BT607" s="5" t="n">
        <v>0</v>
      </c>
      <c r="BU607" s="5" t="n">
        <v>0</v>
      </c>
      <c r="BV607" s="5" t="n">
        <v>0.055</v>
      </c>
      <c r="BW607" s="5" t="n">
        <v>0.05</v>
      </c>
      <c r="BX607" s="5" t="n">
        <v>0.833</v>
      </c>
      <c r="BY607" s="5" t="n">
        <v>12.729</v>
      </c>
      <c r="BZ607" s="5" t="n">
        <v>0</v>
      </c>
      <c r="CA607" s="5" t="n">
        <v>12.729</v>
      </c>
      <c r="CB607" s="5" t="n">
        <v>0</v>
      </c>
      <c r="CC607" s="5" t="n">
        <v>102.477</v>
      </c>
      <c r="CD607" s="5" t="n">
        <v>7.95</v>
      </c>
      <c r="CE607" s="5" t="n">
        <v>0.379</v>
      </c>
      <c r="CF607" s="5" t="n">
        <v>107.6</v>
      </c>
      <c r="CG607" s="5" t="n">
        <v>0.05</v>
      </c>
      <c r="CH607" s="5" t="n">
        <v>1</v>
      </c>
      <c r="CI607" s="5" t="n">
        <v>0</v>
      </c>
      <c r="CJ607" s="5" t="n">
        <v>0</v>
      </c>
      <c r="CK607" s="5" t="n">
        <v>0</v>
      </c>
      <c r="CL607" s="5" t="n">
        <v>0</v>
      </c>
      <c r="CM607" s="5" t="n">
        <v>0</v>
      </c>
      <c r="CN607" s="5" t="n">
        <v>0</v>
      </c>
      <c r="CO607" s="5" t="n">
        <v>0</v>
      </c>
      <c r="CP607" s="5" t="n">
        <v>0</v>
      </c>
      <c r="CQ607" s="5" t="n">
        <v>1.294</v>
      </c>
      <c r="CR607" s="5" t="n">
        <v>0.945</v>
      </c>
      <c r="CS607" s="5" t="n">
        <v>5.3</v>
      </c>
      <c r="CT607" s="5" t="n">
        <v>10.485</v>
      </c>
      <c r="CU607" s="5" t="n">
        <v>28.059</v>
      </c>
    </row>
    <row r="608">
      <c r="A608" s="5" t="inlineStr">
        <is>
          <t>OMN2023</t>
        </is>
      </c>
      <c r="B608" s="5" t="inlineStr">
        <is>
          <t>OMN</t>
        </is>
      </c>
      <c r="C608" s="5" t="inlineStr">
        <is>
          <t>OMN</t>
        </is>
      </c>
      <c r="D608" s="5" t="inlineStr">
        <is>
          <t>Oman</t>
        </is>
      </c>
      <c r="E608" s="5" t="n">
        <v>2023</v>
      </c>
      <c r="F608" s="5" t="n">
        <v>0.05</v>
      </c>
      <c r="G608" s="5" t="n">
        <v>6.147</v>
      </c>
      <c r="H608" s="5" t="n">
        <v>1.286</v>
      </c>
      <c r="I608" s="5" t="n">
        <v>0.273</v>
      </c>
      <c r="J608" s="5" t="n">
        <v>6.42</v>
      </c>
      <c r="K608" s="5" t="n">
        <v>0</v>
      </c>
      <c r="L608" s="5" t="n">
        <v>1</v>
      </c>
      <c r="M608" s="5" t="n">
        <v>7.886</v>
      </c>
      <c r="N608" s="5" t="n">
        <v>3.857</v>
      </c>
      <c r="O608" s="5" t="n">
        <v>0.227</v>
      </c>
      <c r="P608" s="5" t="n">
        <v>8.113</v>
      </c>
      <c r="Q608" s="5" t="n">
        <v>0</v>
      </c>
      <c r="R608" s="5" t="n">
        <v>1</v>
      </c>
      <c r="S608" s="5" t="n">
        <v>12.575</v>
      </c>
      <c r="T608" s="5" t="n">
        <v>7.714</v>
      </c>
      <c r="U608" s="5" t="n">
        <v>0.344</v>
      </c>
      <c r="V608" s="5" t="n">
        <v>13.491</v>
      </c>
      <c r="W608" s="5" t="n">
        <v>0.05</v>
      </c>
      <c r="X608" s="5" t="n">
        <v>1</v>
      </c>
      <c r="Y608" s="5" t="n">
        <v>6.442</v>
      </c>
      <c r="Z608" s="5" t="n">
        <v>0.755</v>
      </c>
      <c r="AA608" s="5" t="n">
        <v>-2.421</v>
      </c>
      <c r="AB608" s="5" t="n">
        <v>4.021</v>
      </c>
      <c r="AC608" s="5" t="n">
        <v>0</v>
      </c>
      <c r="AD608" s="5" t="n">
        <v>0</v>
      </c>
      <c r="AE608" s="5" t="n">
        <v>7.128</v>
      </c>
      <c r="AF608" s="5" t="n">
        <v>1.469</v>
      </c>
      <c r="AG608" s="5" t="n">
        <v>-3.716</v>
      </c>
      <c r="AH608" s="5" t="n">
        <v>3.412</v>
      </c>
      <c r="AI608" s="5" t="n">
        <v>0</v>
      </c>
      <c r="AJ608" s="5" t="n">
        <v>0</v>
      </c>
      <c r="AK608" s="5" t="n">
        <v>11.241</v>
      </c>
      <c r="AL608" s="5" t="n">
        <v>5.499</v>
      </c>
      <c r="AM608" s="5" t="n">
        <v>0.095</v>
      </c>
      <c r="AN608" s="5" t="n">
        <v>11.838</v>
      </c>
      <c r="AO608" s="5" t="n">
        <v>0.05</v>
      </c>
      <c r="AP608" s="5" t="n">
        <v>1</v>
      </c>
      <c r="AQ608" s="5" t="n">
        <v>0.749</v>
      </c>
      <c r="AR608" s="5" t="n">
        <v>0.129</v>
      </c>
      <c r="AS608" s="5" t="n">
        <v>-0.157</v>
      </c>
      <c r="AT608" s="5" t="n">
        <v>0.622</v>
      </c>
      <c r="AU608" s="5" t="n">
        <v>0</v>
      </c>
      <c r="AV608" s="5" t="n">
        <v>0</v>
      </c>
      <c r="AW608" s="5" t="n">
        <v>0.783</v>
      </c>
      <c r="AX608" s="5" t="n">
        <v>0.129</v>
      </c>
      <c r="AY608" s="5" t="n">
        <v>-0.143</v>
      </c>
      <c r="AZ608" s="5" t="n">
        <v>0.671</v>
      </c>
      <c r="BA608" s="5" t="n">
        <v>0.05</v>
      </c>
      <c r="BB608" s="5" t="n">
        <v>1</v>
      </c>
      <c r="BC608" s="5" t="n">
        <v>0.527</v>
      </c>
      <c r="BD608" s="5" t="n">
        <v>0.129</v>
      </c>
      <c r="BE608" s="5" t="n">
        <v>0.003</v>
      </c>
      <c r="BF608" s="5" t="n">
        <v>0.554</v>
      </c>
      <c r="BG608" s="5" t="n">
        <v>0.05</v>
      </c>
      <c r="BH608" s="5" t="n">
        <v>1</v>
      </c>
      <c r="BI608" s="5" t="n">
        <v>0.64</v>
      </c>
      <c r="BJ608" s="5" t="n">
        <v>0.129</v>
      </c>
      <c r="BK608" s="5" t="n">
        <v>0.004</v>
      </c>
      <c r="BL608" s="5" t="n">
        <v>0.672</v>
      </c>
      <c r="BM608" s="5" t="n">
        <v>0.05</v>
      </c>
      <c r="BN608" s="5" t="n">
        <v>1</v>
      </c>
      <c r="BO608" s="5" t="n">
        <v>0</v>
      </c>
      <c r="BP608" s="5" t="n">
        <v>0</v>
      </c>
      <c r="BQ608" s="5" t="n">
        <v>0.12</v>
      </c>
      <c r="BR608" s="5" t="n">
        <v>0</v>
      </c>
      <c r="BS608" s="5" t="n">
        <v>0.667</v>
      </c>
      <c r="BT608" s="5" t="n">
        <v>0</v>
      </c>
      <c r="BU608" s="5" t="n">
        <v>0</v>
      </c>
      <c r="BV608" s="5" t="n">
        <v>0.036</v>
      </c>
      <c r="BW608" s="5" t="n">
        <v>0.05</v>
      </c>
      <c r="BX608" s="5" t="n">
        <v>0.833</v>
      </c>
      <c r="BY608" s="5" t="n">
        <v>13.254</v>
      </c>
      <c r="BZ608" s="5" t="n">
        <v>0</v>
      </c>
      <c r="CA608" s="5" t="n">
        <v>13.254</v>
      </c>
      <c r="CB608" s="5" t="n">
        <v>0</v>
      </c>
      <c r="CC608" s="5" t="n">
        <v>87.07899999999999</v>
      </c>
      <c r="CD608" s="5" t="n">
        <v>7.95</v>
      </c>
      <c r="CE608" s="5" t="n">
        <v>0.482</v>
      </c>
      <c r="CF608" s="5" t="n">
        <v>91.43300000000001</v>
      </c>
      <c r="CG608" s="5" t="n">
        <v>0.05</v>
      </c>
      <c r="CH608" s="5" t="n">
        <v>1</v>
      </c>
      <c r="CI608" s="5" t="n">
        <v>0</v>
      </c>
      <c r="CJ608" s="5" t="n">
        <v>0</v>
      </c>
      <c r="CK608" s="5" t="n">
        <v>0</v>
      </c>
      <c r="CL608" s="5" t="n">
        <v>0</v>
      </c>
      <c r="CM608" s="5" t="n">
        <v>0</v>
      </c>
      <c r="CN608" s="5" t="n">
        <v>0</v>
      </c>
      <c r="CO608" s="5" t="n">
        <v>0</v>
      </c>
      <c r="CP608" s="5" t="n">
        <v>0</v>
      </c>
      <c r="CQ608" s="5" t="n">
        <v>1.348</v>
      </c>
      <c r="CR608" s="5" t="n">
        <v>0.9330000000000001</v>
      </c>
      <c r="CS608" s="5" t="n">
        <v>5.519</v>
      </c>
      <c r="CT608" s="5" t="n">
        <v>4.861</v>
      </c>
      <c r="CU608" s="5" t="n">
        <v>9.260999999999999</v>
      </c>
    </row>
    <row r="609">
      <c r="A609" s="5" t="inlineStr">
        <is>
          <t>OMN2024</t>
        </is>
      </c>
      <c r="B609" s="5" t="inlineStr">
        <is>
          <t>OMN</t>
        </is>
      </c>
      <c r="C609" s="5" t="inlineStr">
        <is>
          <t>OMN</t>
        </is>
      </c>
      <c r="D609" s="5" t="inlineStr">
        <is>
          <t>Oman</t>
        </is>
      </c>
      <c r="E609" s="5" t="n">
        <v>2024</v>
      </c>
      <c r="F609" s="5" t="n">
        <v>0.05</v>
      </c>
      <c r="G609" s="5" t="n">
        <v>5.575</v>
      </c>
      <c r="H609" s="5" t="n">
        <v>1.324</v>
      </c>
      <c r="I609" s="5" t="n">
        <v>0.213</v>
      </c>
      <c r="J609" s="5" t="n">
        <v>5.787</v>
      </c>
      <c r="K609" s="5" t="n">
        <v>0</v>
      </c>
      <c r="L609" s="5" t="n">
        <v>1</v>
      </c>
      <c r="M609" s="5" t="n">
        <v>7.124</v>
      </c>
      <c r="N609" s="5" t="n">
        <v>3.971</v>
      </c>
      <c r="O609" s="5" t="n">
        <v>0.158</v>
      </c>
      <c r="P609" s="5" t="n">
        <v>7.281</v>
      </c>
      <c r="Q609" s="5" t="n">
        <v>0</v>
      </c>
      <c r="R609" s="5" t="n">
        <v>1</v>
      </c>
      <c r="S609" s="5" t="n">
        <v>12.193</v>
      </c>
      <c r="T609" s="5" t="n">
        <v>7.942</v>
      </c>
      <c r="U609" s="5" t="n">
        <v>0.297</v>
      </c>
      <c r="V609" s="5" t="n">
        <v>13.026</v>
      </c>
      <c r="W609" s="5" t="n">
        <v>0.05</v>
      </c>
      <c r="X609" s="5" t="n">
        <v>1</v>
      </c>
      <c r="Y609" s="5" t="n">
        <v>6.506</v>
      </c>
      <c r="Z609" s="5" t="n">
        <v>0.762</v>
      </c>
      <c r="AA609" s="5" t="n">
        <v>-2.492</v>
      </c>
      <c r="AB609" s="5" t="n">
        <v>4.014</v>
      </c>
      <c r="AC609" s="5" t="n">
        <v>0</v>
      </c>
      <c r="AD609" s="5" t="n">
        <v>0</v>
      </c>
      <c r="AE609" s="5" t="n">
        <v>7.212</v>
      </c>
      <c r="AF609" s="5" t="n">
        <v>1.487</v>
      </c>
      <c r="AG609" s="5" t="n">
        <v>-3.699</v>
      </c>
      <c r="AH609" s="5" t="n">
        <v>3.513</v>
      </c>
      <c r="AI609" s="5" t="n">
        <v>0</v>
      </c>
      <c r="AJ609" s="5" t="n">
        <v>0</v>
      </c>
      <c r="AK609" s="5" t="n">
        <v>11.447</v>
      </c>
      <c r="AL609" s="5" t="n">
        <v>5.599</v>
      </c>
      <c r="AM609" s="5" t="n">
        <v>0.103</v>
      </c>
      <c r="AN609" s="5" t="n">
        <v>12.046</v>
      </c>
      <c r="AO609" s="5" t="n">
        <v>0.05</v>
      </c>
      <c r="AP609" s="5" t="n">
        <v>1</v>
      </c>
      <c r="AQ609" s="5" t="n">
        <v>0.72</v>
      </c>
      <c r="AR609" s="5" t="n">
        <v>0.132</v>
      </c>
      <c r="AS609" s="5" t="n">
        <v>-0.128</v>
      </c>
      <c r="AT609" s="5" t="n">
        <v>0.622</v>
      </c>
      <c r="AU609" s="5" t="n">
        <v>0</v>
      </c>
      <c r="AV609" s="5" t="n">
        <v>0</v>
      </c>
      <c r="AW609" s="5" t="n">
        <v>0.734</v>
      </c>
      <c r="AX609" s="5" t="n">
        <v>0.132</v>
      </c>
      <c r="AY609" s="5" t="n">
        <v>-0.095</v>
      </c>
      <c r="AZ609" s="5" t="n">
        <v>0.671</v>
      </c>
      <c r="BA609" s="5" t="n">
        <v>0.05</v>
      </c>
      <c r="BB609" s="5" t="n">
        <v>1</v>
      </c>
      <c r="BC609" s="5" t="n">
        <v>0.51</v>
      </c>
      <c r="BD609" s="5" t="n">
        <v>0.132</v>
      </c>
      <c r="BE609" s="5" t="n">
        <v>0.003</v>
      </c>
      <c r="BF609" s="5" t="n">
        <v>0.536</v>
      </c>
      <c r="BG609" s="5" t="n">
        <v>0.05</v>
      </c>
      <c r="BH609" s="5" t="n">
        <v>1</v>
      </c>
      <c r="BI609" s="5" t="n">
        <v>0.652</v>
      </c>
      <c r="BJ609" s="5" t="n">
        <v>0.132</v>
      </c>
      <c r="BK609" s="5" t="n">
        <v>0.004</v>
      </c>
      <c r="BL609" s="5" t="n">
        <v>0.6850000000000001</v>
      </c>
      <c r="BM609" s="5" t="n">
        <v>0.05</v>
      </c>
      <c r="BN609" s="5" t="n">
        <v>1</v>
      </c>
      <c r="BO609" s="5" t="n">
        <v>0</v>
      </c>
      <c r="BP609" s="5" t="n">
        <v>0</v>
      </c>
      <c r="BQ609" s="5" t="n">
        <v>0.09</v>
      </c>
      <c r="BR609" s="5" t="n">
        <v>0</v>
      </c>
      <c r="BS609" s="5" t="n">
        <v>0.667</v>
      </c>
      <c r="BT609" s="5" t="n">
        <v>0</v>
      </c>
      <c r="BU609" s="5" t="n">
        <v>0</v>
      </c>
      <c r="BV609" s="5" t="n">
        <v>0.048</v>
      </c>
      <c r="BW609" s="5" t="n">
        <v>0.05</v>
      </c>
      <c r="BX609" s="5" t="n">
        <v>0.833</v>
      </c>
      <c r="BY609" s="5" t="n">
        <v>13.646</v>
      </c>
      <c r="BZ609" s="5" t="n">
        <v>0</v>
      </c>
      <c r="CA609" s="5" t="n">
        <v>13.646</v>
      </c>
      <c r="CB609" s="5" t="n">
        <v>0</v>
      </c>
      <c r="CC609" s="5" t="n">
        <v>86.38500000000001</v>
      </c>
      <c r="CD609" s="5" t="n">
        <v>7.95</v>
      </c>
      <c r="CE609" s="5" t="n">
        <v>0.588</v>
      </c>
      <c r="CF609" s="5" t="n">
        <v>90.705</v>
      </c>
      <c r="CG609" s="5" t="n">
        <v>0.05</v>
      </c>
      <c r="CH609" s="5" t="n">
        <v>1</v>
      </c>
      <c r="CI609" s="5" t="n">
        <v>0</v>
      </c>
      <c r="CJ609" s="5" t="n">
        <v>0</v>
      </c>
      <c r="CK609" s="5" t="n">
        <v>0</v>
      </c>
      <c r="CL609" s="5" t="n">
        <v>0</v>
      </c>
      <c r="CM609" s="5" t="n">
        <v>0</v>
      </c>
      <c r="CN609" s="5" t="n">
        <v>0</v>
      </c>
      <c r="CO609" s="5" t="n">
        <v>0</v>
      </c>
      <c r="CP609" s="5" t="n">
        <v>0</v>
      </c>
      <c r="CQ609" s="5" t="n">
        <v>1.387</v>
      </c>
      <c r="CR609" s="5" t="n">
        <v>0.9330000000000001</v>
      </c>
      <c r="CS609" s="5" t="n">
        <v>5.681</v>
      </c>
      <c r="CT609" s="5" t="n">
        <v>4.251</v>
      </c>
      <c r="CU609" s="5" t="n">
        <v>7.598</v>
      </c>
    </row>
    <row r="610">
      <c r="A610" s="5" t="inlineStr">
        <is>
          <t>PAK2021</t>
        </is>
      </c>
      <c r="B610" s="5" t="inlineStr">
        <is>
          <t>PAK</t>
        </is>
      </c>
      <c r="C610" s="5" t="inlineStr">
        <is>
          <t>PAK</t>
        </is>
      </c>
      <c r="D610" s="5" t="inlineStr">
        <is>
          <t>Pakistan</t>
        </is>
      </c>
      <c r="E610" s="5" t="n">
        <v>2021</v>
      </c>
      <c r="F610" s="5" t="n">
        <v>0.17</v>
      </c>
      <c r="G610" s="5" t="n">
        <v>4.075</v>
      </c>
      <c r="H610" s="5" t="n">
        <v>1.014</v>
      </c>
      <c r="I610" s="5" t="n">
        <v>0.08400000000000001</v>
      </c>
      <c r="J610" s="5" t="n">
        <v>4.158</v>
      </c>
      <c r="K610" s="5" t="n">
        <v>0</v>
      </c>
      <c r="L610" s="5" t="n">
        <v>1</v>
      </c>
      <c r="M610" s="5" t="n">
        <v>6.823</v>
      </c>
      <c r="N610" s="5" t="n">
        <v>3.042</v>
      </c>
      <c r="O610" s="5" t="n">
        <v>0.105</v>
      </c>
      <c r="P610" s="5" t="n">
        <v>6.928</v>
      </c>
      <c r="Q610" s="5" t="n">
        <v>0</v>
      </c>
      <c r="R610" s="5" t="n">
        <v>1</v>
      </c>
      <c r="S610" s="5" t="n">
        <v>9.145</v>
      </c>
      <c r="T610" s="5" t="n">
        <v>6.085</v>
      </c>
      <c r="U610" s="5" t="n">
        <v>0.08400000000000001</v>
      </c>
      <c r="V610" s="5" t="n">
        <v>10.798</v>
      </c>
      <c r="W610" s="5" t="n">
        <v>0.17</v>
      </c>
      <c r="X610" s="5" t="n">
        <v>1</v>
      </c>
      <c r="Y610" s="5" t="n">
        <v>4.212</v>
      </c>
      <c r="Z610" s="5" t="n">
        <v>0.464</v>
      </c>
      <c r="AA610" s="5" t="n">
        <v>2.346</v>
      </c>
      <c r="AB610" s="5" t="n">
        <v>6.558</v>
      </c>
      <c r="AC610" s="5" t="n">
        <v>0</v>
      </c>
      <c r="AD610" s="5" t="n">
        <v>1</v>
      </c>
      <c r="AE610" s="5" t="n">
        <v>4.963</v>
      </c>
      <c r="AF610" s="5" t="n">
        <v>0.962</v>
      </c>
      <c r="AG610" s="5" t="n">
        <v>1.169</v>
      </c>
      <c r="AH610" s="5" t="n">
        <v>6.132</v>
      </c>
      <c r="AI610" s="5" t="n">
        <v>0</v>
      </c>
      <c r="AJ610" s="5" t="n">
        <v>1</v>
      </c>
      <c r="AK610" s="5" t="n">
        <v>9.471</v>
      </c>
      <c r="AL610" s="5" t="n">
        <v>4.441</v>
      </c>
      <c r="AM610" s="5" t="n">
        <v>-7.979</v>
      </c>
      <c r="AN610" s="5" t="n">
        <v>1.745</v>
      </c>
      <c r="AO610" s="5" t="n">
        <v>0</v>
      </c>
      <c r="AP610" s="5" t="n">
        <v>0</v>
      </c>
      <c r="AQ610" s="5" t="n">
        <v>0.621</v>
      </c>
      <c r="AR610" s="5" t="n">
        <v>0.114</v>
      </c>
      <c r="AS610" s="5" t="n">
        <v>-0.051</v>
      </c>
      <c r="AT610" s="5" t="n">
        <v>0.666</v>
      </c>
      <c r="AU610" s="5" t="n">
        <v>0.17</v>
      </c>
      <c r="AV610" s="5" t="n">
        <v>1</v>
      </c>
      <c r="AW610" s="5" t="n">
        <v>0.593</v>
      </c>
      <c r="AX610" s="5" t="n">
        <v>0.114</v>
      </c>
      <c r="AY610" s="5" t="n">
        <v>-0.012</v>
      </c>
      <c r="AZ610" s="5" t="n">
        <v>0.68</v>
      </c>
      <c r="BA610" s="5" t="n">
        <v>0.17</v>
      </c>
      <c r="BB610" s="5" t="n">
        <v>1</v>
      </c>
      <c r="BC610" s="5" t="n">
        <v>0.44</v>
      </c>
      <c r="BD610" s="5" t="n">
        <v>0.114</v>
      </c>
      <c r="BE610" s="5" t="n">
        <v>0.024</v>
      </c>
      <c r="BF610" s="5" t="n">
        <v>0.543</v>
      </c>
      <c r="BG610" s="5" t="n">
        <v>0.17</v>
      </c>
      <c r="BH610" s="5" t="n">
        <v>1</v>
      </c>
      <c r="BI610" s="5" t="n">
        <v>0.5600000000000001</v>
      </c>
      <c r="BJ610" s="5" t="n">
        <v>0.114</v>
      </c>
      <c r="BK610" s="5" t="n">
        <v>-0.14</v>
      </c>
      <c r="BL610" s="5" t="n">
        <v>0.491</v>
      </c>
      <c r="BM610" s="5" t="n">
        <v>0</v>
      </c>
      <c r="BN610" s="5" t="n">
        <v>0</v>
      </c>
      <c r="BO610" s="5" t="n">
        <v>0</v>
      </c>
      <c r="BP610" s="5" t="n">
        <v>-0.008999999999999999</v>
      </c>
      <c r="BQ610" s="5" t="n">
        <v>0.107</v>
      </c>
      <c r="BR610" s="5" t="n">
        <v>0</v>
      </c>
      <c r="BS610" s="5" t="n">
        <v>1</v>
      </c>
      <c r="BT610" s="5" t="n">
        <v>0</v>
      </c>
      <c r="BU610" s="5" t="n">
        <v>-0.008999999999999999</v>
      </c>
      <c r="BV610" s="5" t="n">
        <v>0.108</v>
      </c>
      <c r="BW610" s="5" t="n">
        <v>0</v>
      </c>
      <c r="BX610" s="5" t="n">
        <v>1</v>
      </c>
      <c r="BY610" s="5" t="n">
        <v>11.787</v>
      </c>
      <c r="BZ610" s="5" t="n">
        <v>0</v>
      </c>
      <c r="CA610" s="5" t="n">
        <v>11.787</v>
      </c>
      <c r="CB610" s="5" t="n">
        <v>0</v>
      </c>
      <c r="CC610" s="5" t="n">
        <v>81.69499999999999</v>
      </c>
      <c r="CD610" s="5" t="n">
        <v>7.95</v>
      </c>
      <c r="CE610" s="5" t="n">
        <v>45.811</v>
      </c>
      <c r="CF610" s="5" t="n">
        <v>149.182</v>
      </c>
      <c r="CG610" s="5" t="n">
        <v>0.17</v>
      </c>
      <c r="CH610" s="5" t="n">
        <v>1</v>
      </c>
      <c r="CI610" s="5" t="n">
        <v>0</v>
      </c>
      <c r="CJ610" s="5" t="n">
        <v>0</v>
      </c>
      <c r="CK610" s="5" t="n">
        <v>0</v>
      </c>
      <c r="CL610" s="5" t="n">
        <v>0</v>
      </c>
      <c r="CM610" s="5" t="n">
        <v>0</v>
      </c>
      <c r="CN610" s="5" t="n">
        <v>0</v>
      </c>
      <c r="CO610" s="5" t="n">
        <v>0</v>
      </c>
      <c r="CP610" s="5" t="n">
        <v>0.226</v>
      </c>
      <c r="CQ610" s="5" t="n">
        <v>1.198</v>
      </c>
      <c r="CR610" s="5" t="n">
        <v>0.6860000000000001</v>
      </c>
      <c r="CS610" s="5" t="n">
        <v>2.13</v>
      </c>
      <c r="CT610" s="5" t="n">
        <v>3.604</v>
      </c>
      <c r="CU610" s="5" t="n">
        <v>6.361</v>
      </c>
    </row>
    <row r="611">
      <c r="A611" s="5" t="inlineStr">
        <is>
          <t>PAK2022</t>
        </is>
      </c>
      <c r="B611" s="5" t="inlineStr">
        <is>
          <t>PAK</t>
        </is>
      </c>
      <c r="C611" s="5" t="inlineStr">
        <is>
          <t>PAK</t>
        </is>
      </c>
      <c r="D611" s="5" t="inlineStr">
        <is>
          <t>Pakistan</t>
        </is>
      </c>
      <c r="E611" s="5" t="n">
        <v>2022</v>
      </c>
      <c r="F611" s="5" t="n">
        <v>0.17</v>
      </c>
      <c r="G611" s="5" t="n">
        <v>7.234</v>
      </c>
      <c r="H611" s="5" t="n">
        <v>1.095</v>
      </c>
      <c r="I611" s="5" t="n">
        <v>0.189</v>
      </c>
      <c r="J611" s="5" t="n">
        <v>7.424</v>
      </c>
      <c r="K611" s="5" t="n">
        <v>0</v>
      </c>
      <c r="L611" s="5" t="n">
        <v>1</v>
      </c>
      <c r="M611" s="5" t="n">
        <v>8.282999999999999</v>
      </c>
      <c r="N611" s="5" t="n">
        <v>3.286</v>
      </c>
      <c r="O611" s="5" t="n">
        <v>0.152</v>
      </c>
      <c r="P611" s="5" t="n">
        <v>8.435</v>
      </c>
      <c r="Q611" s="5" t="n">
        <v>0</v>
      </c>
      <c r="R611" s="5" t="n">
        <v>1</v>
      </c>
      <c r="S611" s="5" t="n">
        <v>12.71</v>
      </c>
      <c r="T611" s="5" t="n">
        <v>6.571</v>
      </c>
      <c r="U611" s="5" t="n">
        <v>0.352</v>
      </c>
      <c r="V611" s="5" t="n">
        <v>15.093</v>
      </c>
      <c r="W611" s="5" t="n">
        <v>0.17</v>
      </c>
      <c r="X611" s="5" t="n">
        <v>1</v>
      </c>
      <c r="Y611" s="5" t="n">
        <v>5.475</v>
      </c>
      <c r="Z611" s="5" t="n">
        <v>0.603</v>
      </c>
      <c r="AA611" s="5" t="n">
        <v>2.534</v>
      </c>
      <c r="AB611" s="5" t="n">
        <v>8.007999999999999</v>
      </c>
      <c r="AC611" s="5" t="n">
        <v>0</v>
      </c>
      <c r="AD611" s="5" t="n">
        <v>1</v>
      </c>
      <c r="AE611" s="5" t="n">
        <v>6.255</v>
      </c>
      <c r="AF611" s="5" t="n">
        <v>1.213</v>
      </c>
      <c r="AG611" s="5" t="n">
        <v>-1.379</v>
      </c>
      <c r="AH611" s="5" t="n">
        <v>4.876</v>
      </c>
      <c r="AI611" s="5" t="n">
        <v>0</v>
      </c>
      <c r="AJ611" s="5" t="n">
        <v>1</v>
      </c>
      <c r="AK611" s="5" t="n">
        <v>10.935</v>
      </c>
      <c r="AL611" s="5" t="n">
        <v>5.127</v>
      </c>
      <c r="AM611" s="5" t="n">
        <v>-9.749000000000001</v>
      </c>
      <c r="AN611" s="5" t="n">
        <v>1.388</v>
      </c>
      <c r="AO611" s="5" t="n">
        <v>0</v>
      </c>
      <c r="AP611" s="5" t="n">
        <v>0</v>
      </c>
      <c r="AQ611" s="5" t="n">
        <v>0.847</v>
      </c>
      <c r="AR611" s="5" t="n">
        <v>0.123</v>
      </c>
      <c r="AS611" s="5" t="n">
        <v>-0.047</v>
      </c>
      <c r="AT611" s="5" t="n">
        <v>0.9360000000000001</v>
      </c>
      <c r="AU611" s="5" t="n">
        <v>0.17</v>
      </c>
      <c r="AV611" s="5" t="n">
        <v>1</v>
      </c>
      <c r="AW611" s="5" t="n">
        <v>0.947</v>
      </c>
      <c r="AX611" s="5" t="n">
        <v>0.123</v>
      </c>
      <c r="AY611" s="5" t="n">
        <v>-0.143</v>
      </c>
      <c r="AZ611" s="5" t="n">
        <v>0.9409999999999999</v>
      </c>
      <c r="BA611" s="5" t="n">
        <v>0.17</v>
      </c>
      <c r="BB611" s="5" t="n">
        <v>1</v>
      </c>
      <c r="BC611" s="5" t="n">
        <v>0.589</v>
      </c>
      <c r="BD611" s="5" t="n">
        <v>0.123</v>
      </c>
      <c r="BE611" s="5" t="n">
        <v>-0.06900000000000001</v>
      </c>
      <c r="BF611" s="5" t="n">
        <v>0.607</v>
      </c>
      <c r="BG611" s="5" t="n">
        <v>0.17</v>
      </c>
      <c r="BH611" s="5" t="n">
        <v>1</v>
      </c>
      <c r="BI611" s="5" t="n">
        <v>0.6889999999999999</v>
      </c>
      <c r="BJ611" s="5" t="n">
        <v>0.123</v>
      </c>
      <c r="BK611" s="5" t="n">
        <v>-0.049</v>
      </c>
      <c r="BL611" s="5" t="n">
        <v>0.749</v>
      </c>
      <c r="BM611" s="5" t="n">
        <v>0</v>
      </c>
      <c r="BN611" s="5" t="n">
        <v>0</v>
      </c>
      <c r="BO611" s="5" t="n">
        <v>0</v>
      </c>
      <c r="BP611" s="5" t="n">
        <v>-0.052</v>
      </c>
      <c r="BQ611" s="5" t="n">
        <v>0.124</v>
      </c>
      <c r="BR611" s="5" t="n">
        <v>0</v>
      </c>
      <c r="BS611" s="5" t="n">
        <v>1</v>
      </c>
      <c r="BT611" s="5" t="n">
        <v>0</v>
      </c>
      <c r="BU611" s="5" t="n">
        <v>-0.052</v>
      </c>
      <c r="BV611" s="5" t="n">
        <v>0.114</v>
      </c>
      <c r="BW611" s="5" t="n">
        <v>0</v>
      </c>
      <c r="BX611" s="5" t="n">
        <v>1</v>
      </c>
      <c r="BY611" s="5" t="n">
        <v>12.729</v>
      </c>
      <c r="BZ611" s="5" t="n">
        <v>0</v>
      </c>
      <c r="CA611" s="5" t="n">
        <v>12.729</v>
      </c>
      <c r="CB611" s="5" t="n">
        <v>0</v>
      </c>
      <c r="CC611" s="5" t="n">
        <v>102.477</v>
      </c>
      <c r="CD611" s="5" t="n">
        <v>7.95</v>
      </c>
      <c r="CE611" s="5" t="n">
        <v>49.287</v>
      </c>
      <c r="CF611" s="5" t="n">
        <v>175.357</v>
      </c>
      <c r="CG611" s="5" t="n">
        <v>0.17</v>
      </c>
      <c r="CH611" s="5" t="n">
        <v>1</v>
      </c>
      <c r="CI611" s="5" t="n">
        <v>0</v>
      </c>
      <c r="CJ611" s="5" t="n">
        <v>0</v>
      </c>
      <c r="CK611" s="5" t="n">
        <v>0</v>
      </c>
      <c r="CL611" s="5" t="n">
        <v>0</v>
      </c>
      <c r="CM611" s="5" t="n">
        <v>0</v>
      </c>
      <c r="CN611" s="5" t="n">
        <v>0</v>
      </c>
      <c r="CO611" s="5" t="n">
        <v>0</v>
      </c>
      <c r="CP611" s="5" t="n">
        <v>0.226</v>
      </c>
      <c r="CQ611" s="5" t="n">
        <v>1.294</v>
      </c>
      <c r="CR611" s="5" t="n">
        <v>0.736</v>
      </c>
      <c r="CS611" s="5" t="n">
        <v>2.3</v>
      </c>
      <c r="CT611" s="5" t="n">
        <v>7.554</v>
      </c>
      <c r="CU611" s="5" t="n">
        <v>11.388</v>
      </c>
    </row>
    <row r="612">
      <c r="A612" s="5" t="inlineStr">
        <is>
          <t>PAK2023</t>
        </is>
      </c>
      <c r="B612" s="5" t="inlineStr">
        <is>
          <t>PAK</t>
        </is>
      </c>
      <c r="C612" s="5" t="inlineStr">
        <is>
          <t>PAK</t>
        </is>
      </c>
      <c r="D612" s="5" t="inlineStr">
        <is>
          <t>Pakistan</t>
        </is>
      </c>
      <c r="E612" s="5" t="n">
        <v>2023</v>
      </c>
      <c r="F612" s="5" t="n">
        <v>0.17</v>
      </c>
      <c r="G612" s="5" t="n">
        <v>4.916</v>
      </c>
      <c r="H612" s="5" t="n">
        <v>1.14</v>
      </c>
      <c r="I612" s="5" t="n">
        <v>0.117</v>
      </c>
      <c r="J612" s="5" t="n">
        <v>5.033</v>
      </c>
      <c r="K612" s="5" t="n">
        <v>0</v>
      </c>
      <c r="L612" s="5" t="n">
        <v>1</v>
      </c>
      <c r="M612" s="5" t="n">
        <v>6.844</v>
      </c>
      <c r="N612" s="5" t="n">
        <v>3.421</v>
      </c>
      <c r="O612" s="5" t="n">
        <v>0.105</v>
      </c>
      <c r="P612" s="5" t="n">
        <v>6.95</v>
      </c>
      <c r="Q612" s="5" t="n">
        <v>0</v>
      </c>
      <c r="R612" s="5" t="n">
        <v>1</v>
      </c>
      <c r="S612" s="5" t="n">
        <v>10.618</v>
      </c>
      <c r="T612" s="5" t="n">
        <v>6.842</v>
      </c>
      <c r="U612" s="5" t="n">
        <v>0.319</v>
      </c>
      <c r="V612" s="5" t="n">
        <v>12.56</v>
      </c>
      <c r="W612" s="5" t="n">
        <v>0.17</v>
      </c>
      <c r="X612" s="5" t="n">
        <v>1</v>
      </c>
      <c r="Y612" s="5" t="n">
        <v>3.79</v>
      </c>
      <c r="Z612" s="5" t="n">
        <v>0.417</v>
      </c>
      <c r="AA612" s="5" t="n">
        <v>2.638</v>
      </c>
      <c r="AB612" s="5" t="n">
        <v>6.429</v>
      </c>
      <c r="AC612" s="5" t="n">
        <v>0</v>
      </c>
      <c r="AD612" s="5" t="n">
        <v>1</v>
      </c>
      <c r="AE612" s="5" t="n">
        <v>4.603</v>
      </c>
      <c r="AF612" s="5" t="n">
        <v>0.892</v>
      </c>
      <c r="AG612" s="5" t="n">
        <v>0.044</v>
      </c>
      <c r="AH612" s="5" t="n">
        <v>4.647</v>
      </c>
      <c r="AI612" s="5" t="n">
        <v>0</v>
      </c>
      <c r="AJ612" s="5" t="n">
        <v>1</v>
      </c>
      <c r="AK612" s="5" t="n">
        <v>9.477</v>
      </c>
      <c r="AL612" s="5" t="n">
        <v>4.444</v>
      </c>
      <c r="AM612" s="5" t="n">
        <v>-8.023</v>
      </c>
      <c r="AN612" s="5" t="n">
        <v>1.701</v>
      </c>
      <c r="AO612" s="5" t="n">
        <v>0</v>
      </c>
      <c r="AP612" s="5" t="n">
        <v>0</v>
      </c>
      <c r="AQ612" s="5" t="n">
        <v>0.749</v>
      </c>
      <c r="AR612" s="5" t="n">
        <v>0.129</v>
      </c>
      <c r="AS612" s="5" t="n">
        <v>-0.032</v>
      </c>
      <c r="AT612" s="5" t="n">
        <v>0.839</v>
      </c>
      <c r="AU612" s="5" t="n">
        <v>0.17</v>
      </c>
      <c r="AV612" s="5" t="n">
        <v>1</v>
      </c>
      <c r="AW612" s="5" t="n">
        <v>0.783</v>
      </c>
      <c r="AX612" s="5" t="n">
        <v>0.129</v>
      </c>
      <c r="AY612" s="5" t="n">
        <v>-0.04</v>
      </c>
      <c r="AZ612" s="5" t="n">
        <v>0.868</v>
      </c>
      <c r="BA612" s="5" t="n">
        <v>0.17</v>
      </c>
      <c r="BB612" s="5" t="n">
        <v>1</v>
      </c>
      <c r="BC612" s="5" t="n">
        <v>0.527</v>
      </c>
      <c r="BD612" s="5" t="n">
        <v>0.129</v>
      </c>
      <c r="BE612" s="5" t="n">
        <v>-0.063</v>
      </c>
      <c r="BF612" s="5" t="n">
        <v>0.543</v>
      </c>
      <c r="BG612" s="5" t="n">
        <v>0.17</v>
      </c>
      <c r="BH612" s="5" t="n">
        <v>1</v>
      </c>
      <c r="BI612" s="5" t="n">
        <v>0.64</v>
      </c>
      <c r="BJ612" s="5" t="n">
        <v>0.129</v>
      </c>
      <c r="BK612" s="5" t="n">
        <v>-0.097</v>
      </c>
      <c r="BL612" s="5" t="n">
        <v>0.634</v>
      </c>
      <c r="BM612" s="5" t="n">
        <v>0</v>
      </c>
      <c r="BN612" s="5" t="n">
        <v>0</v>
      </c>
      <c r="BO612" s="5" t="n">
        <v>0</v>
      </c>
      <c r="BP612" s="5" t="n">
        <v>-0.016</v>
      </c>
      <c r="BQ612" s="5" t="n">
        <v>0.093</v>
      </c>
      <c r="BR612" s="5" t="n">
        <v>0</v>
      </c>
      <c r="BS612" s="5" t="n">
        <v>1</v>
      </c>
      <c r="BT612" s="5" t="n">
        <v>0</v>
      </c>
      <c r="BU612" s="5" t="n">
        <v>-0.016</v>
      </c>
      <c r="BV612" s="5" t="n">
        <v>0.08500000000000001</v>
      </c>
      <c r="BW612" s="5" t="n">
        <v>0</v>
      </c>
      <c r="BX612" s="5" t="n">
        <v>1</v>
      </c>
      <c r="BY612" s="5" t="n">
        <v>13.254</v>
      </c>
      <c r="BZ612" s="5" t="n">
        <v>0</v>
      </c>
      <c r="CA612" s="5" t="n">
        <v>13.254</v>
      </c>
      <c r="CB612" s="5" t="n">
        <v>0</v>
      </c>
      <c r="CC612" s="5" t="n">
        <v>87.07899999999999</v>
      </c>
      <c r="CD612" s="5" t="n">
        <v>7.95</v>
      </c>
      <c r="CE612" s="5" t="n">
        <v>54.831</v>
      </c>
      <c r="CF612" s="5" t="n">
        <v>162.968</v>
      </c>
      <c r="CG612" s="5" t="n">
        <v>0.17</v>
      </c>
      <c r="CH612" s="5" t="n">
        <v>1</v>
      </c>
      <c r="CI612" s="5" t="n">
        <v>0</v>
      </c>
      <c r="CJ612" s="5" t="n">
        <v>0</v>
      </c>
      <c r="CK612" s="5" t="n">
        <v>0</v>
      </c>
      <c r="CL612" s="5" t="n">
        <v>0</v>
      </c>
      <c r="CM612" s="5" t="n">
        <v>0</v>
      </c>
      <c r="CN612" s="5" t="n">
        <v>0</v>
      </c>
      <c r="CO612" s="5" t="n">
        <v>0</v>
      </c>
      <c r="CP612" s="5" t="n">
        <v>0.226</v>
      </c>
      <c r="CQ612" s="5" t="n">
        <v>1.348</v>
      </c>
      <c r="CR612" s="5" t="n">
        <v>0.736</v>
      </c>
      <c r="CS612" s="5" t="n">
        <v>2.395</v>
      </c>
      <c r="CT612" s="5" t="n">
        <v>4.484</v>
      </c>
      <c r="CU612" s="5" t="n">
        <v>4.605</v>
      </c>
    </row>
    <row r="613">
      <c r="A613" s="5" t="inlineStr">
        <is>
          <t>PAK2024</t>
        </is>
      </c>
      <c r="B613" s="5" t="inlineStr">
        <is>
          <t>PAK</t>
        </is>
      </c>
      <c r="C613" s="5" t="inlineStr">
        <is>
          <t>PAK</t>
        </is>
      </c>
      <c r="D613" s="5" t="inlineStr">
        <is>
          <t>Pakistan</t>
        </is>
      </c>
      <c r="E613" s="5" t="n">
        <v>2024</v>
      </c>
      <c r="F613" s="5" t="n">
        <v>0.17</v>
      </c>
      <c r="G613" s="5" t="n">
        <v>4.204</v>
      </c>
      <c r="H613" s="5" t="n">
        <v>1.174</v>
      </c>
      <c r="I613" s="5" t="n">
        <v>0.081</v>
      </c>
      <c r="J613" s="5" t="n">
        <v>4.285</v>
      </c>
      <c r="K613" s="5" t="n">
        <v>0</v>
      </c>
      <c r="L613" s="5" t="n">
        <v>1</v>
      </c>
      <c r="M613" s="5" t="n">
        <v>6.276</v>
      </c>
      <c r="N613" s="5" t="n">
        <v>3.522</v>
      </c>
      <c r="O613" s="5" t="n">
        <v>0.073</v>
      </c>
      <c r="P613" s="5" t="n">
        <v>6.349</v>
      </c>
      <c r="Q613" s="5" t="n">
        <v>0</v>
      </c>
      <c r="R613" s="5" t="n">
        <v>1</v>
      </c>
      <c r="S613" s="5" t="n">
        <v>10.074</v>
      </c>
      <c r="T613" s="5" t="n">
        <v>7.044</v>
      </c>
      <c r="U613" s="5" t="n">
        <v>0.317</v>
      </c>
      <c r="V613" s="5" t="n">
        <v>11.882</v>
      </c>
      <c r="W613" s="5" t="n">
        <v>0.17</v>
      </c>
      <c r="X613" s="5" t="n">
        <v>1</v>
      </c>
      <c r="Y613" s="5" t="n">
        <v>3.708</v>
      </c>
      <c r="Z613" s="5" t="n">
        <v>0.408</v>
      </c>
      <c r="AA613" s="5" t="n">
        <v>2.716</v>
      </c>
      <c r="AB613" s="5" t="n">
        <v>6.424</v>
      </c>
      <c r="AC613" s="5" t="n">
        <v>0</v>
      </c>
      <c r="AD613" s="5" t="n">
        <v>1</v>
      </c>
      <c r="AE613" s="5" t="n">
        <v>4.545</v>
      </c>
      <c r="AF613" s="5" t="n">
        <v>0.881</v>
      </c>
      <c r="AG613" s="5" t="n">
        <v>4.236</v>
      </c>
      <c r="AH613" s="5" t="n">
        <v>8.779999999999999</v>
      </c>
      <c r="AI613" s="5" t="n">
        <v>0</v>
      </c>
      <c r="AJ613" s="5" t="n">
        <v>1</v>
      </c>
      <c r="AK613" s="5" t="n">
        <v>9.563000000000001</v>
      </c>
      <c r="AL613" s="5" t="n">
        <v>4.484</v>
      </c>
      <c r="AM613" s="5" t="n">
        <v>-6.01</v>
      </c>
      <c r="AN613" s="5" t="n">
        <v>4.157</v>
      </c>
      <c r="AO613" s="5" t="n">
        <v>0</v>
      </c>
      <c r="AP613" s="5" t="n">
        <v>0</v>
      </c>
      <c r="AQ613" s="5" t="n">
        <v>0.72</v>
      </c>
      <c r="AR613" s="5" t="n">
        <v>0.132</v>
      </c>
      <c r="AS613" s="5" t="n">
        <v>0.004</v>
      </c>
      <c r="AT613" s="5" t="n">
        <v>0.847</v>
      </c>
      <c r="AU613" s="5" t="n">
        <v>0.17</v>
      </c>
      <c r="AV613" s="5" t="n">
        <v>1</v>
      </c>
      <c r="AW613" s="5" t="n">
        <v>0.734</v>
      </c>
      <c r="AX613" s="5" t="n">
        <v>0.132</v>
      </c>
      <c r="AY613" s="5" t="n">
        <v>-0.015</v>
      </c>
      <c r="AZ613" s="5" t="n">
        <v>0.84</v>
      </c>
      <c r="BA613" s="5" t="n">
        <v>0.17</v>
      </c>
      <c r="BB613" s="5" t="n">
        <v>1</v>
      </c>
      <c r="BC613" s="5" t="n">
        <v>0.51</v>
      </c>
      <c r="BD613" s="5" t="n">
        <v>0.132</v>
      </c>
      <c r="BE613" s="5" t="n">
        <v>-0.028</v>
      </c>
      <c r="BF613" s="5" t="n">
        <v>0.5639999999999999</v>
      </c>
      <c r="BG613" s="5" t="n">
        <v>0.17</v>
      </c>
      <c r="BH613" s="5" t="n">
        <v>1</v>
      </c>
      <c r="BI613" s="5" t="n">
        <v>0.652</v>
      </c>
      <c r="BJ613" s="5" t="n">
        <v>0.132</v>
      </c>
      <c r="BK613" s="5" t="n">
        <v>-0.162</v>
      </c>
      <c r="BL613" s="5" t="n">
        <v>0.573</v>
      </c>
      <c r="BM613" s="5" t="n">
        <v>0</v>
      </c>
      <c r="BN613" s="5" t="n">
        <v>0</v>
      </c>
      <c r="BO613" s="5" t="n">
        <v>0</v>
      </c>
      <c r="BP613" s="5" t="n">
        <v>-0.017</v>
      </c>
      <c r="BQ613" s="5" t="n">
        <v>0.143</v>
      </c>
      <c r="BR613" s="5" t="n">
        <v>0</v>
      </c>
      <c r="BS613" s="5" t="n">
        <v>1</v>
      </c>
      <c r="BT613" s="5" t="n">
        <v>0</v>
      </c>
      <c r="BU613" s="5" t="n">
        <v>-0.017</v>
      </c>
      <c r="BV613" s="5" t="n">
        <v>0.122</v>
      </c>
      <c r="BW613" s="5" t="n">
        <v>0</v>
      </c>
      <c r="BX613" s="5" t="n">
        <v>1</v>
      </c>
      <c r="BY613" s="5" t="n">
        <v>13.646</v>
      </c>
      <c r="BZ613" s="5" t="n">
        <v>0</v>
      </c>
      <c r="CA613" s="5" t="n">
        <v>13.646</v>
      </c>
      <c r="CB613" s="5" t="n">
        <v>0</v>
      </c>
      <c r="CC613" s="5" t="n">
        <v>86.38500000000001</v>
      </c>
      <c r="CD613" s="5" t="n">
        <v>7.95</v>
      </c>
      <c r="CE613" s="5" t="n">
        <v>57.481</v>
      </c>
      <c r="CF613" s="5" t="n">
        <v>164.514</v>
      </c>
      <c r="CG613" s="5" t="n">
        <v>0.17</v>
      </c>
      <c r="CH613" s="5" t="n">
        <v>1</v>
      </c>
      <c r="CI613" s="5" t="n">
        <v>0</v>
      </c>
      <c r="CJ613" s="5" t="n">
        <v>0</v>
      </c>
      <c r="CK613" s="5" t="n">
        <v>0</v>
      </c>
      <c r="CL613" s="5" t="n">
        <v>0</v>
      </c>
      <c r="CM613" s="5" t="n">
        <v>0</v>
      </c>
      <c r="CN613" s="5" t="n">
        <v>0</v>
      </c>
      <c r="CO613" s="5" t="n">
        <v>0</v>
      </c>
      <c r="CP613" s="5" t="n">
        <v>0.226</v>
      </c>
      <c r="CQ613" s="5" t="n">
        <v>1.387</v>
      </c>
      <c r="CR613" s="5" t="n">
        <v>0.736</v>
      </c>
      <c r="CS613" s="5" t="n">
        <v>2.466</v>
      </c>
      <c r="CT613" s="5" t="n">
        <v>3.509</v>
      </c>
      <c r="CU613" s="5" t="n">
        <v>4.004</v>
      </c>
    </row>
    <row r="614">
      <c r="A614" s="5" t="inlineStr">
        <is>
          <t>PLW2021</t>
        </is>
      </c>
      <c r="B614" s="5" t="inlineStr">
        <is>
          <t>PLW</t>
        </is>
      </c>
      <c r="C614" s="5" t="inlineStr">
        <is>
          <t>PLW</t>
        </is>
      </c>
      <c r="D614" s="5" t="inlineStr">
        <is>
          <t>Palau</t>
        </is>
      </c>
      <c r="E614" s="5" t="n">
        <v>2021</v>
      </c>
      <c r="F614" s="5" t="n">
        <v>0</v>
      </c>
      <c r="G614" s="5" t="n">
        <v>4.747</v>
      </c>
      <c r="H614" s="5" t="n">
        <v>1.143</v>
      </c>
      <c r="I614" s="5" t="n">
        <v>0</v>
      </c>
      <c r="J614" s="5" t="n">
        <v>4.747</v>
      </c>
      <c r="K614" s="5" t="n">
        <v>0</v>
      </c>
      <c r="L614" s="5" t="n">
        <v>1</v>
      </c>
      <c r="M614" s="5" t="n">
        <v>7.964</v>
      </c>
      <c r="N614" s="5" t="n">
        <v>3.43</v>
      </c>
      <c r="O614" s="5" t="n">
        <v>0</v>
      </c>
      <c r="P614" s="5" t="n">
        <v>7.964</v>
      </c>
      <c r="Q614" s="5" t="n">
        <v>0</v>
      </c>
      <c r="R614" s="5" t="n">
        <v>1</v>
      </c>
      <c r="S614" s="5" t="n">
        <v>10.464</v>
      </c>
      <c r="T614" s="5" t="n">
        <v>6.86</v>
      </c>
      <c r="U614" s="5" t="n">
        <v>0</v>
      </c>
      <c r="V614" s="5" t="n">
        <v>10.464</v>
      </c>
      <c r="W614" s="5" t="n">
        <v>0</v>
      </c>
      <c r="X614" s="5" t="n">
        <v>1</v>
      </c>
      <c r="Y614" s="5" t="n">
        <v>4.333</v>
      </c>
      <c r="Z614" s="5" t="n">
        <v>0.535</v>
      </c>
      <c r="AA614" s="5" t="n">
        <v>0</v>
      </c>
      <c r="AB614" s="5" t="n">
        <v>4.333</v>
      </c>
      <c r="AC614" s="5" t="n">
        <v>0</v>
      </c>
      <c r="AD614" s="5" t="n">
        <v>1</v>
      </c>
      <c r="AE614" s="5" t="n">
        <v>5.477</v>
      </c>
      <c r="AF614" s="5" t="n">
        <v>1.194</v>
      </c>
      <c r="AG614" s="5" t="n">
        <v>0</v>
      </c>
      <c r="AH614" s="5" t="n">
        <v>5.477</v>
      </c>
      <c r="AI614" s="5" t="n">
        <v>0</v>
      </c>
      <c r="AJ614" s="5" t="n">
        <v>1</v>
      </c>
      <c r="AK614" s="5" t="n">
        <v>12.337</v>
      </c>
      <c r="AL614" s="5" t="n">
        <v>6.401</v>
      </c>
      <c r="AM614" s="5" t="n">
        <v>0</v>
      </c>
      <c r="AN614" s="5" t="n">
        <v>12.337</v>
      </c>
      <c r="AO614" s="5" t="n">
        <v>0</v>
      </c>
      <c r="AP614" s="5" t="n">
        <v>1</v>
      </c>
      <c r="AQ614" s="5" t="n">
        <v>0.621</v>
      </c>
      <c r="AR614" s="5" t="n">
        <v>0.114</v>
      </c>
      <c r="AS614" s="5" t="n">
        <v>0.712</v>
      </c>
      <c r="AT614" s="5" t="n">
        <v>1.332</v>
      </c>
      <c r="AU614" s="5" t="n">
        <v>0</v>
      </c>
      <c r="AV614" s="5" t="n">
        <v>1</v>
      </c>
      <c r="AW614" s="5" t="n">
        <v>0.593</v>
      </c>
      <c r="AX614" s="5" t="n">
        <v>0.114</v>
      </c>
      <c r="AY614" s="5" t="n">
        <v>0.753</v>
      </c>
      <c r="AZ614" s="5" t="n">
        <v>1.346</v>
      </c>
      <c r="BA614" s="5" t="n">
        <v>0</v>
      </c>
      <c r="BB614" s="5" t="n">
        <v>1</v>
      </c>
      <c r="BC614" s="5" t="n">
        <v>0.44</v>
      </c>
      <c r="BD614" s="5" t="n">
        <v>0.114</v>
      </c>
      <c r="BE614" s="5" t="n">
        <v>0.888</v>
      </c>
      <c r="BF614" s="5" t="n">
        <v>1.328</v>
      </c>
      <c r="BG614" s="5" t="n">
        <v>0</v>
      </c>
      <c r="BH614" s="5" t="n">
        <v>1</v>
      </c>
      <c r="BI614" s="5" t="n">
        <v>0.5600000000000001</v>
      </c>
      <c r="BJ614" s="5" t="n">
        <v>0.114</v>
      </c>
      <c r="BK614" s="5" t="n">
        <v>1.65</v>
      </c>
      <c r="BL614" s="5" t="n">
        <v>2.211</v>
      </c>
      <c r="BM614" s="5" t="n">
        <v>0</v>
      </c>
      <c r="BN614" s="5" t="n">
        <v>1</v>
      </c>
      <c r="BO614" s="5" t="n">
        <v>0</v>
      </c>
      <c r="BP614" s="5" t="n">
        <v>0</v>
      </c>
      <c r="BQ614" s="5" t="n">
        <v>0</v>
      </c>
      <c r="BR614" s="5" t="n">
        <v>0</v>
      </c>
      <c r="BS614" s="5" t="n">
        <v>1</v>
      </c>
      <c r="BT614" s="5" t="n">
        <v>0</v>
      </c>
      <c r="BU614" s="5" t="n">
        <v>0</v>
      </c>
      <c r="BV614" s="5" t="n">
        <v>0</v>
      </c>
      <c r="BW614" s="5" t="n">
        <v>0</v>
      </c>
      <c r="BX614" s="5" t="n">
        <v>1</v>
      </c>
      <c r="BY614" s="5" t="n">
        <v>11.787</v>
      </c>
      <c r="BZ614" s="5" t="n">
        <v>0</v>
      </c>
      <c r="CA614" s="5" t="n">
        <v>11.787</v>
      </c>
      <c r="CB614" s="5" t="n">
        <v>0</v>
      </c>
      <c r="CC614" s="5" t="n">
        <v>81.69499999999999</v>
      </c>
      <c r="CD614" s="5" t="n">
        <v>7.95</v>
      </c>
      <c r="CE614" s="5" t="n">
        <v>0</v>
      </c>
      <c r="CF614" s="5" t="n">
        <v>81.69499999999999</v>
      </c>
      <c r="CG614" s="5" t="n">
        <v>0</v>
      </c>
      <c r="CH614" s="5" t="n">
        <v>1</v>
      </c>
      <c r="CI614" s="5" t="n">
        <v>0</v>
      </c>
      <c r="CJ614" s="5" t="n">
        <v>0</v>
      </c>
      <c r="CK614" s="5" t="n">
        <v>0</v>
      </c>
      <c r="CL614" s="5" t="n">
        <v>0</v>
      </c>
      <c r="CM614" s="5" t="n">
        <v>0</v>
      </c>
      <c r="CN614" s="5" t="n">
        <v>0</v>
      </c>
      <c r="CO614" s="5" t="n">
        <v>0</v>
      </c>
      <c r="CP614" s="5" t="n">
        <v>0</v>
      </c>
      <c r="CQ614" s="5" t="n">
        <v>1.198</v>
      </c>
      <c r="CR614" s="5" t="n">
        <v>0</v>
      </c>
      <c r="CS614" s="5" t="n">
        <v>4.776</v>
      </c>
      <c r="CT614" s="5" t="n">
        <v>3.604</v>
      </c>
      <c r="CU614" s="5" t="n">
        <v>9.407999999999999</v>
      </c>
    </row>
    <row r="615">
      <c r="A615" s="5" t="inlineStr">
        <is>
          <t>PLW2022</t>
        </is>
      </c>
      <c r="B615" s="5" t="inlineStr">
        <is>
          <t>PLW</t>
        </is>
      </c>
      <c r="C615" s="5" t="inlineStr">
        <is>
          <t>PLW</t>
        </is>
      </c>
      <c r="D615" s="5" t="inlineStr">
        <is>
          <t>Palau</t>
        </is>
      </c>
      <c r="E615" s="5" t="n">
        <v>2022</v>
      </c>
      <c r="F615" s="5" t="n">
        <v>0</v>
      </c>
      <c r="G615" s="5" t="n">
        <v>8.788</v>
      </c>
      <c r="H615" s="5" t="n">
        <v>1.235</v>
      </c>
      <c r="I615" s="5" t="n">
        <v>0</v>
      </c>
      <c r="J615" s="5" t="n">
        <v>8.788</v>
      </c>
      <c r="K615" s="5" t="n">
        <v>0</v>
      </c>
      <c r="L615" s="5" t="n">
        <v>1</v>
      </c>
      <c r="M615" s="5" t="n">
        <v>9.782999999999999</v>
      </c>
      <c r="N615" s="5" t="n">
        <v>3.704</v>
      </c>
      <c r="O615" s="5" t="n">
        <v>0</v>
      </c>
      <c r="P615" s="5" t="n">
        <v>9.782999999999999</v>
      </c>
      <c r="Q615" s="5" t="n">
        <v>0</v>
      </c>
      <c r="R615" s="5" t="n">
        <v>1</v>
      </c>
      <c r="S615" s="5" t="n">
        <v>14.962</v>
      </c>
      <c r="T615" s="5" t="n">
        <v>7.408</v>
      </c>
      <c r="U615" s="5" t="n">
        <v>0</v>
      </c>
      <c r="V615" s="5" t="n">
        <v>14.962</v>
      </c>
      <c r="W615" s="5" t="n">
        <v>0</v>
      </c>
      <c r="X615" s="5" t="n">
        <v>1</v>
      </c>
      <c r="Y615" s="5" t="n">
        <v>4.68</v>
      </c>
      <c r="Z615" s="5" t="n">
        <v>0.577</v>
      </c>
      <c r="AA615" s="5" t="n">
        <v>0</v>
      </c>
      <c r="AB615" s="5" t="n">
        <v>4.68</v>
      </c>
      <c r="AC615" s="5" t="n">
        <v>0</v>
      </c>
      <c r="AD615" s="5" t="n">
        <v>1</v>
      </c>
      <c r="AE615" s="5" t="n">
        <v>5.914</v>
      </c>
      <c r="AF615" s="5" t="n">
        <v>1.289</v>
      </c>
      <c r="AG615" s="5" t="n">
        <v>0</v>
      </c>
      <c r="AH615" s="5" t="n">
        <v>5.914</v>
      </c>
      <c r="AI615" s="5" t="n">
        <v>0</v>
      </c>
      <c r="AJ615" s="5" t="n">
        <v>1</v>
      </c>
      <c r="AK615" s="5" t="n">
        <v>13.322</v>
      </c>
      <c r="AL615" s="5" t="n">
        <v>6.913</v>
      </c>
      <c r="AM615" s="5" t="n">
        <v>0</v>
      </c>
      <c r="AN615" s="5" t="n">
        <v>13.322</v>
      </c>
      <c r="AO615" s="5" t="n">
        <v>0</v>
      </c>
      <c r="AP615" s="5" t="n">
        <v>1</v>
      </c>
      <c r="AQ615" s="5" t="n">
        <v>0.847</v>
      </c>
      <c r="AR615" s="5" t="n">
        <v>0.123</v>
      </c>
      <c r="AS615" s="5" t="n">
        <v>0.733</v>
      </c>
      <c r="AT615" s="5" t="n">
        <v>1.579</v>
      </c>
      <c r="AU615" s="5" t="n">
        <v>0</v>
      </c>
      <c r="AV615" s="5" t="n">
        <v>1</v>
      </c>
      <c r="AW615" s="5" t="n">
        <v>0.947</v>
      </c>
      <c r="AX615" s="5" t="n">
        <v>0.123</v>
      </c>
      <c r="AY615" s="5" t="n">
        <v>0.8090000000000001</v>
      </c>
      <c r="AZ615" s="5" t="n">
        <v>1.756</v>
      </c>
      <c r="BA615" s="5" t="n">
        <v>0</v>
      </c>
      <c r="BB615" s="5" t="n">
        <v>1</v>
      </c>
      <c r="BC615" s="5" t="n">
        <v>0.589</v>
      </c>
      <c r="BD615" s="5" t="n">
        <v>0.123</v>
      </c>
      <c r="BE615" s="5" t="n">
        <v>0.973</v>
      </c>
      <c r="BF615" s="5" t="n">
        <v>1.561</v>
      </c>
      <c r="BG615" s="5" t="n">
        <v>0</v>
      </c>
      <c r="BH615" s="5" t="n">
        <v>1</v>
      </c>
      <c r="BI615" s="5" t="n">
        <v>0.6889999999999999</v>
      </c>
      <c r="BJ615" s="5" t="n">
        <v>0.123</v>
      </c>
      <c r="BK615" s="5" t="n">
        <v>1.676</v>
      </c>
      <c r="BL615" s="5" t="n">
        <v>2.365</v>
      </c>
      <c r="BM615" s="5" t="n">
        <v>0</v>
      </c>
      <c r="BN615" s="5" t="n">
        <v>1</v>
      </c>
      <c r="BO615" s="5" t="n">
        <v>0</v>
      </c>
      <c r="BP615" s="5" t="n">
        <v>0</v>
      </c>
      <c r="BQ615" s="5" t="n">
        <v>0</v>
      </c>
      <c r="BR615" s="5" t="n">
        <v>0</v>
      </c>
      <c r="BS615" s="5" t="n">
        <v>1</v>
      </c>
      <c r="BT615" s="5" t="n">
        <v>0</v>
      </c>
      <c r="BU615" s="5" t="n">
        <v>0</v>
      </c>
      <c r="BV615" s="5" t="n">
        <v>0</v>
      </c>
      <c r="BW615" s="5" t="n">
        <v>0</v>
      </c>
      <c r="BX615" s="5" t="n">
        <v>1</v>
      </c>
      <c r="BY615" s="5" t="n">
        <v>12.729</v>
      </c>
      <c r="BZ615" s="5" t="n">
        <v>0</v>
      </c>
      <c r="CA615" s="5" t="n">
        <v>12.729</v>
      </c>
      <c r="CB615" s="5" t="n">
        <v>0</v>
      </c>
      <c r="CC615" s="5" t="n">
        <v>102.477</v>
      </c>
      <c r="CD615" s="5" t="n">
        <v>7.95</v>
      </c>
      <c r="CE615" s="5" t="n">
        <v>0</v>
      </c>
      <c r="CF615" s="5" t="n">
        <v>102.477</v>
      </c>
      <c r="CG615" s="5" t="n">
        <v>0</v>
      </c>
      <c r="CH615" s="5" t="n">
        <v>1</v>
      </c>
      <c r="CI615" s="5" t="n">
        <v>0</v>
      </c>
      <c r="CJ615" s="5" t="n">
        <v>0</v>
      </c>
      <c r="CK615" s="5" t="n">
        <v>0</v>
      </c>
      <c r="CL615" s="5" t="n">
        <v>0</v>
      </c>
      <c r="CM615" s="5" t="n">
        <v>0</v>
      </c>
      <c r="CN615" s="5" t="n">
        <v>0</v>
      </c>
      <c r="CO615" s="5" t="n">
        <v>0</v>
      </c>
      <c r="CP615" s="5" t="n">
        <v>0</v>
      </c>
      <c r="CQ615" s="5" t="n">
        <v>1.294</v>
      </c>
      <c r="CR615" s="5" t="n">
        <v>0</v>
      </c>
      <c r="CS615" s="5" t="n">
        <v>5.158</v>
      </c>
      <c r="CT615" s="5" t="n">
        <v>7.554</v>
      </c>
      <c r="CU615" s="5" t="n">
        <v>16.097</v>
      </c>
    </row>
    <row r="616">
      <c r="A616" s="5" t="inlineStr">
        <is>
          <t>PLW2023</t>
        </is>
      </c>
      <c r="B616" s="5" t="inlineStr">
        <is>
          <t>PLW</t>
        </is>
      </c>
      <c r="C616" s="5" t="inlineStr">
        <is>
          <t>PLW</t>
        </is>
      </c>
      <c r="D616" s="5" t="inlineStr">
        <is>
          <t>Palau</t>
        </is>
      </c>
      <c r="E616" s="5" t="n">
        <v>2023</v>
      </c>
      <c r="F616" s="5" t="n">
        <v>0</v>
      </c>
      <c r="G616" s="5" t="n">
        <v>5.77</v>
      </c>
      <c r="H616" s="5" t="n">
        <v>1.286</v>
      </c>
      <c r="I616" s="5" t="n">
        <v>0</v>
      </c>
      <c r="J616" s="5" t="n">
        <v>5.77</v>
      </c>
      <c r="K616" s="5" t="n">
        <v>0</v>
      </c>
      <c r="L616" s="5" t="n">
        <v>1</v>
      </c>
      <c r="M616" s="5" t="n">
        <v>7.886</v>
      </c>
      <c r="N616" s="5" t="n">
        <v>3.857</v>
      </c>
      <c r="O616" s="5" t="n">
        <v>0</v>
      </c>
      <c r="P616" s="5" t="n">
        <v>7.886</v>
      </c>
      <c r="Q616" s="5" t="n">
        <v>0</v>
      </c>
      <c r="R616" s="5" t="n">
        <v>1</v>
      </c>
      <c r="S616" s="5" t="n">
        <v>12.198</v>
      </c>
      <c r="T616" s="5" t="n">
        <v>7.714</v>
      </c>
      <c r="U616" s="5" t="n">
        <v>0</v>
      </c>
      <c r="V616" s="5" t="n">
        <v>12.198</v>
      </c>
      <c r="W616" s="5" t="n">
        <v>0</v>
      </c>
      <c r="X616" s="5" t="n">
        <v>1</v>
      </c>
      <c r="Y616" s="5" t="n">
        <v>4.873</v>
      </c>
      <c r="Z616" s="5" t="n">
        <v>0.601</v>
      </c>
      <c r="AA616" s="5" t="n">
        <v>0</v>
      </c>
      <c r="AB616" s="5" t="n">
        <v>4.873</v>
      </c>
      <c r="AC616" s="5" t="n">
        <v>0</v>
      </c>
      <c r="AD616" s="5" t="n">
        <v>1</v>
      </c>
      <c r="AE616" s="5" t="n">
        <v>6.158</v>
      </c>
      <c r="AF616" s="5" t="n">
        <v>1.343</v>
      </c>
      <c r="AG616" s="5" t="n">
        <v>0</v>
      </c>
      <c r="AH616" s="5" t="n">
        <v>6.158</v>
      </c>
      <c r="AI616" s="5" t="n">
        <v>0</v>
      </c>
      <c r="AJ616" s="5" t="n">
        <v>1</v>
      </c>
      <c r="AK616" s="5" t="n">
        <v>13.872</v>
      </c>
      <c r="AL616" s="5" t="n">
        <v>7.198</v>
      </c>
      <c r="AM616" s="5" t="n">
        <v>0</v>
      </c>
      <c r="AN616" s="5" t="n">
        <v>13.872</v>
      </c>
      <c r="AO616" s="5" t="n">
        <v>0</v>
      </c>
      <c r="AP616" s="5" t="n">
        <v>1</v>
      </c>
      <c r="AQ616" s="5" t="n">
        <v>0.749</v>
      </c>
      <c r="AR616" s="5" t="n">
        <v>0.129</v>
      </c>
      <c r="AS616" s="5" t="n">
        <v>0.802</v>
      </c>
      <c r="AT616" s="5" t="n">
        <v>1.551</v>
      </c>
      <c r="AU616" s="5" t="n">
        <v>0</v>
      </c>
      <c r="AV616" s="5" t="n">
        <v>1</v>
      </c>
      <c r="AW616" s="5" t="n">
        <v>0.783</v>
      </c>
      <c r="AX616" s="5" t="n">
        <v>0.129</v>
      </c>
      <c r="AY616" s="5" t="n">
        <v>0.896</v>
      </c>
      <c r="AZ616" s="5" t="n">
        <v>1.678</v>
      </c>
      <c r="BA616" s="5" t="n">
        <v>0</v>
      </c>
      <c r="BB616" s="5" t="n">
        <v>1</v>
      </c>
      <c r="BC616" s="5" t="n">
        <v>0.527</v>
      </c>
      <c r="BD616" s="5" t="n">
        <v>0.129</v>
      </c>
      <c r="BE616" s="5" t="n">
        <v>1.071</v>
      </c>
      <c r="BF616" s="5" t="n">
        <v>1.599</v>
      </c>
      <c r="BG616" s="5" t="n">
        <v>0</v>
      </c>
      <c r="BH616" s="5" t="n">
        <v>1</v>
      </c>
      <c r="BI616" s="5" t="n">
        <v>0.64</v>
      </c>
      <c r="BJ616" s="5" t="n">
        <v>0.129</v>
      </c>
      <c r="BK616" s="5" t="n">
        <v>1.823</v>
      </c>
      <c r="BL616" s="5" t="n">
        <v>2.463</v>
      </c>
      <c r="BM616" s="5" t="n">
        <v>0</v>
      </c>
      <c r="BN616" s="5" t="n">
        <v>1</v>
      </c>
      <c r="BO616" s="5" t="n">
        <v>0</v>
      </c>
      <c r="BP616" s="5" t="n">
        <v>0</v>
      </c>
      <c r="BQ616" s="5" t="n">
        <v>0</v>
      </c>
      <c r="BR616" s="5" t="n">
        <v>0</v>
      </c>
      <c r="BS616" s="5" t="n">
        <v>1</v>
      </c>
      <c r="BT616" s="5" t="n">
        <v>0</v>
      </c>
      <c r="BU616" s="5" t="n">
        <v>0</v>
      </c>
      <c r="BV616" s="5" t="n">
        <v>0</v>
      </c>
      <c r="BW616" s="5" t="n">
        <v>0</v>
      </c>
      <c r="BX616" s="5" t="n">
        <v>1</v>
      </c>
      <c r="BY616" s="5" t="n">
        <v>13.254</v>
      </c>
      <c r="BZ616" s="5" t="n">
        <v>0</v>
      </c>
      <c r="CA616" s="5" t="n">
        <v>13.254</v>
      </c>
      <c r="CB616" s="5" t="n">
        <v>0</v>
      </c>
      <c r="CC616" s="5" t="n">
        <v>87.07899999999999</v>
      </c>
      <c r="CD616" s="5" t="n">
        <v>7.95</v>
      </c>
      <c r="CE616" s="5" t="n">
        <v>0</v>
      </c>
      <c r="CF616" s="5" t="n">
        <v>87.07899999999999</v>
      </c>
      <c r="CG616" s="5" t="n">
        <v>0</v>
      </c>
      <c r="CH616" s="5" t="n">
        <v>1</v>
      </c>
      <c r="CI616" s="5" t="n">
        <v>0</v>
      </c>
      <c r="CJ616" s="5" t="n">
        <v>0</v>
      </c>
      <c r="CK616" s="5" t="n">
        <v>0</v>
      </c>
      <c r="CL616" s="5" t="n">
        <v>0</v>
      </c>
      <c r="CM616" s="5" t="n">
        <v>0</v>
      </c>
      <c r="CN616" s="5" t="n">
        <v>0</v>
      </c>
      <c r="CO616" s="5" t="n">
        <v>0</v>
      </c>
      <c r="CP616" s="5" t="n">
        <v>0</v>
      </c>
      <c r="CQ616" s="5" t="n">
        <v>1.348</v>
      </c>
      <c r="CR616" s="5" t="n">
        <v>0</v>
      </c>
      <c r="CS616" s="5" t="n">
        <v>5.37</v>
      </c>
      <c r="CT616" s="5" t="n">
        <v>4.484</v>
      </c>
      <c r="CU616" s="5" t="n">
        <v>12.529</v>
      </c>
    </row>
    <row r="617">
      <c r="A617" s="5" t="inlineStr">
        <is>
          <t>PLW2024</t>
        </is>
      </c>
      <c r="B617" s="5" t="inlineStr">
        <is>
          <t>PLW</t>
        </is>
      </c>
      <c r="C617" s="5" t="inlineStr">
        <is>
          <t>PLW</t>
        </is>
      </c>
      <c r="D617" s="5" t="inlineStr">
        <is>
          <t>Palau</t>
        </is>
      </c>
      <c r="E617" s="5" t="n">
        <v>2024</v>
      </c>
      <c r="F617" s="5" t="n">
        <v>0</v>
      </c>
      <c r="G617" s="5" t="n">
        <v>4.833</v>
      </c>
      <c r="H617" s="5" t="n">
        <v>1.324</v>
      </c>
      <c r="I617" s="5" t="n">
        <v>0</v>
      </c>
      <c r="J617" s="5" t="n">
        <v>4.833</v>
      </c>
      <c r="K617" s="5" t="n">
        <v>0</v>
      </c>
      <c r="L617" s="5" t="n">
        <v>1</v>
      </c>
      <c r="M617" s="5" t="n">
        <v>7.124</v>
      </c>
      <c r="N617" s="5" t="n">
        <v>3.971</v>
      </c>
      <c r="O617" s="5" t="n">
        <v>0</v>
      </c>
      <c r="P617" s="5" t="n">
        <v>7.124</v>
      </c>
      <c r="Q617" s="5" t="n">
        <v>0</v>
      </c>
      <c r="R617" s="5" t="n">
        <v>1</v>
      </c>
      <c r="S617" s="5" t="n">
        <v>11.451</v>
      </c>
      <c r="T617" s="5" t="n">
        <v>7.942</v>
      </c>
      <c r="U617" s="5" t="n">
        <v>0</v>
      </c>
      <c r="V617" s="5" t="n">
        <v>11.451</v>
      </c>
      <c r="W617" s="5" t="n">
        <v>0</v>
      </c>
      <c r="X617" s="5" t="n">
        <v>1</v>
      </c>
      <c r="Y617" s="5" t="n">
        <v>5.017</v>
      </c>
      <c r="Z617" s="5" t="n">
        <v>0.619</v>
      </c>
      <c r="AA617" s="5" t="n">
        <v>0</v>
      </c>
      <c r="AB617" s="5" t="n">
        <v>5.017</v>
      </c>
      <c r="AC617" s="5" t="n">
        <v>0</v>
      </c>
      <c r="AD617" s="5" t="n">
        <v>1</v>
      </c>
      <c r="AE617" s="5" t="n">
        <v>6.34</v>
      </c>
      <c r="AF617" s="5" t="n">
        <v>1.382</v>
      </c>
      <c r="AG617" s="5" t="n">
        <v>0</v>
      </c>
      <c r="AH617" s="5" t="n">
        <v>6.34</v>
      </c>
      <c r="AI617" s="5" t="n">
        <v>0</v>
      </c>
      <c r="AJ617" s="5" t="n">
        <v>1</v>
      </c>
      <c r="AK617" s="5" t="n">
        <v>14.282</v>
      </c>
      <c r="AL617" s="5" t="n">
        <v>7.411</v>
      </c>
      <c r="AM617" s="5" t="n">
        <v>0</v>
      </c>
      <c r="AN617" s="5" t="n">
        <v>14.282</v>
      </c>
      <c r="AO617" s="5" t="n">
        <v>0</v>
      </c>
      <c r="AP617" s="5" t="n">
        <v>1</v>
      </c>
      <c r="AQ617" s="5" t="n">
        <v>0.72</v>
      </c>
      <c r="AR617" s="5" t="n">
        <v>0.132</v>
      </c>
      <c r="AS617" s="5" t="n">
        <v>0.841</v>
      </c>
      <c r="AT617" s="5" t="n">
        <v>1.561</v>
      </c>
      <c r="AU617" s="5" t="n">
        <v>0</v>
      </c>
      <c r="AV617" s="5" t="n">
        <v>1</v>
      </c>
      <c r="AW617" s="5" t="n">
        <v>0.734</v>
      </c>
      <c r="AX617" s="5" t="n">
        <v>0.132</v>
      </c>
      <c r="AY617" s="5" t="n">
        <v>0.9409999999999999</v>
      </c>
      <c r="AZ617" s="5" t="n">
        <v>1.675</v>
      </c>
      <c r="BA617" s="5" t="n">
        <v>0</v>
      </c>
      <c r="BB617" s="5" t="n">
        <v>1</v>
      </c>
      <c r="BC617" s="5" t="n">
        <v>0.51</v>
      </c>
      <c r="BD617" s="5" t="n">
        <v>0.132</v>
      </c>
      <c r="BE617" s="5" t="n">
        <v>1.125</v>
      </c>
      <c r="BF617" s="5" t="n">
        <v>1.636</v>
      </c>
      <c r="BG617" s="5" t="n">
        <v>0</v>
      </c>
      <c r="BH617" s="5" t="n">
        <v>1</v>
      </c>
      <c r="BI617" s="5" t="n">
        <v>0.652</v>
      </c>
      <c r="BJ617" s="5" t="n">
        <v>0.132</v>
      </c>
      <c r="BK617" s="5" t="n">
        <v>1.883</v>
      </c>
      <c r="BL617" s="5" t="n">
        <v>2.535</v>
      </c>
      <c r="BM617" s="5" t="n">
        <v>0</v>
      </c>
      <c r="BN617" s="5" t="n">
        <v>1</v>
      </c>
      <c r="BO617" s="5" t="n">
        <v>0</v>
      </c>
      <c r="BP617" s="5" t="n">
        <v>0</v>
      </c>
      <c r="BQ617" s="5" t="n">
        <v>0</v>
      </c>
      <c r="BR617" s="5" t="n">
        <v>0</v>
      </c>
      <c r="BS617" s="5" t="n">
        <v>1</v>
      </c>
      <c r="BT617" s="5" t="n">
        <v>0</v>
      </c>
      <c r="BU617" s="5" t="n">
        <v>0</v>
      </c>
      <c r="BV617" s="5" t="n">
        <v>0</v>
      </c>
      <c r="BW617" s="5" t="n">
        <v>0</v>
      </c>
      <c r="BX617" s="5" t="n">
        <v>1</v>
      </c>
      <c r="BY617" s="5" t="n">
        <v>13.646</v>
      </c>
      <c r="BZ617" s="5" t="n">
        <v>0</v>
      </c>
      <c r="CA617" s="5" t="n">
        <v>13.646</v>
      </c>
      <c r="CB617" s="5" t="n">
        <v>0</v>
      </c>
      <c r="CC617" s="5" t="n">
        <v>86.38500000000001</v>
      </c>
      <c r="CD617" s="5" t="n">
        <v>7.95</v>
      </c>
      <c r="CE617" s="5" t="n">
        <v>0</v>
      </c>
      <c r="CF617" s="5" t="n">
        <v>86.38500000000001</v>
      </c>
      <c r="CG617" s="5" t="n">
        <v>0</v>
      </c>
      <c r="CH617" s="5" t="n">
        <v>1</v>
      </c>
      <c r="CI617" s="5" t="n">
        <v>0</v>
      </c>
      <c r="CJ617" s="5" t="n">
        <v>0</v>
      </c>
      <c r="CK617" s="5" t="n">
        <v>0</v>
      </c>
      <c r="CL617" s="5" t="n">
        <v>0</v>
      </c>
      <c r="CM617" s="5" t="n">
        <v>0</v>
      </c>
      <c r="CN617" s="5" t="n">
        <v>0</v>
      </c>
      <c r="CO617" s="5" t="n">
        <v>0</v>
      </c>
      <c r="CP617" s="5" t="n">
        <v>0</v>
      </c>
      <c r="CQ617" s="5" t="n">
        <v>1.387</v>
      </c>
      <c r="CR617" s="5" t="n">
        <v>0</v>
      </c>
      <c r="CS617" s="5" t="n">
        <v>5.529</v>
      </c>
      <c r="CT617" s="5" t="n">
        <v>3.509</v>
      </c>
      <c r="CU617" s="5" t="n">
        <v>10.896</v>
      </c>
    </row>
    <row r="618">
      <c r="A618" s="5" t="inlineStr">
        <is>
          <t>PAN2021</t>
        </is>
      </c>
      <c r="B618" s="5" t="inlineStr">
        <is>
          <t>PAN</t>
        </is>
      </c>
      <c r="C618" s="5" t="inlineStr">
        <is>
          <t>PAN</t>
        </is>
      </c>
      <c r="D618" s="5" t="inlineStr">
        <is>
          <t>Panama</t>
        </is>
      </c>
      <c r="E618" s="5" t="n">
        <v>2021</v>
      </c>
      <c r="F618" s="5" t="n">
        <v>0.07000000000000001</v>
      </c>
      <c r="G618" s="5" t="n">
        <v>5.897</v>
      </c>
      <c r="H618" s="5" t="n">
        <v>1.143</v>
      </c>
      <c r="I618" s="5" t="n">
        <v>0</v>
      </c>
      <c r="J618" s="5" t="n">
        <v>5.897</v>
      </c>
      <c r="K618" s="5" t="n">
        <v>0</v>
      </c>
      <c r="L618" s="5" t="n">
        <v>1</v>
      </c>
      <c r="M618" s="5" t="n">
        <v>7.964</v>
      </c>
      <c r="N618" s="5" t="n">
        <v>3.43</v>
      </c>
      <c r="O618" s="5" t="n">
        <v>0.227</v>
      </c>
      <c r="P618" s="5" t="n">
        <v>8.191000000000001</v>
      </c>
      <c r="Q618" s="5" t="n">
        <v>0</v>
      </c>
      <c r="R618" s="5" t="n">
        <v>1</v>
      </c>
      <c r="S618" s="5" t="n">
        <v>11.613</v>
      </c>
      <c r="T618" s="5" t="n">
        <v>6.86</v>
      </c>
      <c r="U618" s="5" t="n">
        <v>0</v>
      </c>
      <c r="V618" s="5" t="n">
        <v>12.426</v>
      </c>
      <c r="W618" s="5" t="n">
        <v>0.07000000000000001</v>
      </c>
      <c r="X618" s="5" t="n">
        <v>1</v>
      </c>
      <c r="Y618" s="5" t="n">
        <v>5.919</v>
      </c>
      <c r="Z618" s="5" t="n">
        <v>0.796</v>
      </c>
      <c r="AA618" s="5" t="n">
        <v>0</v>
      </c>
      <c r="AB618" s="5" t="n">
        <v>5.919</v>
      </c>
      <c r="AC618" s="5" t="n">
        <v>0</v>
      </c>
      <c r="AD618" s="5" t="n">
        <v>1</v>
      </c>
      <c r="AE618" s="5" t="n">
        <v>7.062</v>
      </c>
      <c r="AF618" s="5" t="n">
        <v>1.654</v>
      </c>
      <c r="AG618" s="5" t="n">
        <v>0</v>
      </c>
      <c r="AH618" s="5" t="n">
        <v>7.062</v>
      </c>
      <c r="AI618" s="5" t="n">
        <v>0</v>
      </c>
      <c r="AJ618" s="5" t="n">
        <v>1</v>
      </c>
      <c r="AK618" s="5" t="n">
        <v>13.922</v>
      </c>
      <c r="AL618" s="5" t="n">
        <v>7.481</v>
      </c>
      <c r="AM618" s="5" t="n">
        <v>0</v>
      </c>
      <c r="AN618" s="5" t="n">
        <v>14.897</v>
      </c>
      <c r="AO618" s="5" t="n">
        <v>0.07000000000000001</v>
      </c>
      <c r="AP618" s="5" t="n">
        <v>1</v>
      </c>
      <c r="AQ618" s="5" t="n">
        <v>0.649</v>
      </c>
      <c r="AR618" s="5" t="n">
        <v>0.114</v>
      </c>
      <c r="AS618" s="5" t="n">
        <v>0.143</v>
      </c>
      <c r="AT618" s="5" t="n">
        <v>0.847</v>
      </c>
      <c r="AU618" s="5" t="n">
        <v>0.07000000000000001</v>
      </c>
      <c r="AV618" s="5" t="n">
        <v>1</v>
      </c>
      <c r="AW618" s="5" t="n">
        <v>0.577</v>
      </c>
      <c r="AX618" s="5" t="n">
        <v>0.114</v>
      </c>
      <c r="AY618" s="5" t="n">
        <v>0.118</v>
      </c>
      <c r="AZ618" s="5" t="n">
        <v>0.743</v>
      </c>
      <c r="BA618" s="5" t="n">
        <v>0.07000000000000001</v>
      </c>
      <c r="BB618" s="5" t="n">
        <v>1</v>
      </c>
      <c r="BC618" s="5" t="n">
        <v>0.458</v>
      </c>
      <c r="BD618" s="5" t="n">
        <v>0.114</v>
      </c>
      <c r="BE618" s="5" t="n">
        <v>-0.07199999999999999</v>
      </c>
      <c r="BF618" s="5" t="n">
        <v>0.386</v>
      </c>
      <c r="BG618" s="5" t="n">
        <v>0</v>
      </c>
      <c r="BH618" s="5" t="n">
        <v>0</v>
      </c>
      <c r="BI618" s="5" t="n">
        <v>0.491</v>
      </c>
      <c r="BJ618" s="5" t="n">
        <v>0.114</v>
      </c>
      <c r="BK618" s="5" t="n">
        <v>0.07000000000000001</v>
      </c>
      <c r="BL618" s="5" t="n">
        <v>0.6</v>
      </c>
      <c r="BM618" s="5" t="n">
        <v>0.07000000000000001</v>
      </c>
      <c r="BN618" s="5" t="n">
        <v>1</v>
      </c>
      <c r="BO618" s="5" t="n">
        <v>0</v>
      </c>
      <c r="BP618" s="5" t="n">
        <v>0</v>
      </c>
      <c r="BQ618" s="5" t="n">
        <v>0.153</v>
      </c>
      <c r="BR618" s="5" t="n">
        <v>0</v>
      </c>
      <c r="BS618" s="5" t="n">
        <v>1</v>
      </c>
      <c r="BT618" s="5" t="n">
        <v>0</v>
      </c>
      <c r="BU618" s="5" t="n">
        <v>0</v>
      </c>
      <c r="BV618" s="5" t="n">
        <v>0.177</v>
      </c>
      <c r="BW618" s="5" t="n">
        <v>0.07000000000000001</v>
      </c>
      <c r="BX618" s="5" t="n">
        <v>1</v>
      </c>
      <c r="BY618" s="5" t="n">
        <v>11.787</v>
      </c>
      <c r="BZ618" s="5" t="n">
        <v>0</v>
      </c>
      <c r="CA618" s="5" t="n">
        <v>11.787</v>
      </c>
      <c r="CB618" s="5" t="n">
        <v>0</v>
      </c>
      <c r="CC618" s="5" t="n">
        <v>78.125</v>
      </c>
      <c r="CD618" s="5" t="n">
        <v>7.95</v>
      </c>
      <c r="CE618" s="5" t="n">
        <v>-2.731</v>
      </c>
      <c r="CF618" s="5" t="n">
        <v>75.39400000000001</v>
      </c>
      <c r="CG618" s="5" t="n">
        <v>0</v>
      </c>
      <c r="CH618" s="5" t="n">
        <v>1</v>
      </c>
      <c r="CI618" s="5" t="n">
        <v>0</v>
      </c>
      <c r="CJ618" s="5" t="n">
        <v>0</v>
      </c>
      <c r="CK618" s="5" t="n">
        <v>0</v>
      </c>
      <c r="CL618" s="5" t="n">
        <v>0</v>
      </c>
      <c r="CM618" s="5" t="n">
        <v>0</v>
      </c>
      <c r="CN618" s="5" t="n">
        <v>0</v>
      </c>
      <c r="CO618" s="5" t="n">
        <v>0</v>
      </c>
      <c r="CP618" s="5" t="n">
        <v>0</v>
      </c>
      <c r="CQ618" s="5" t="n">
        <v>1.198</v>
      </c>
      <c r="CR618" s="5" t="n">
        <v>0</v>
      </c>
      <c r="CS618" s="5" t="n">
        <v>4.776</v>
      </c>
      <c r="CT618" s="5" t="n">
        <v>4.753</v>
      </c>
      <c r="CU618" s="5" t="n">
        <v>15.983</v>
      </c>
    </row>
    <row r="619">
      <c r="A619" s="5" t="inlineStr">
        <is>
          <t>PAN2022</t>
        </is>
      </c>
      <c r="B619" s="5" t="inlineStr">
        <is>
          <t>PAN</t>
        </is>
      </c>
      <c r="C619" s="5" t="inlineStr">
        <is>
          <t>PAN</t>
        </is>
      </c>
      <c r="D619" s="5" t="inlineStr">
        <is>
          <t>Panama</t>
        </is>
      </c>
      <c r="E619" s="5" t="n">
        <v>2022</v>
      </c>
      <c r="F619" s="5" t="n">
        <v>0.07000000000000001</v>
      </c>
      <c r="G619" s="5" t="n">
        <v>11.72</v>
      </c>
      <c r="H619" s="5" t="n">
        <v>1.235</v>
      </c>
      <c r="I619" s="5" t="n">
        <v>0</v>
      </c>
      <c r="J619" s="5" t="n">
        <v>11.72</v>
      </c>
      <c r="K619" s="5" t="n">
        <v>0</v>
      </c>
      <c r="L619" s="5" t="n">
        <v>1</v>
      </c>
      <c r="M619" s="5" t="n">
        <v>9.782999999999999</v>
      </c>
      <c r="N619" s="5" t="n">
        <v>3.704</v>
      </c>
      <c r="O619" s="5" t="n">
        <v>0.304</v>
      </c>
      <c r="P619" s="5" t="n">
        <v>10.087</v>
      </c>
      <c r="Q619" s="5" t="n">
        <v>0</v>
      </c>
      <c r="R619" s="5" t="n">
        <v>1</v>
      </c>
      <c r="S619" s="5" t="n">
        <v>17.893</v>
      </c>
      <c r="T619" s="5" t="n">
        <v>7.408</v>
      </c>
      <c r="U619" s="5" t="n">
        <v>0.093</v>
      </c>
      <c r="V619" s="5" t="n">
        <v>19.146</v>
      </c>
      <c r="W619" s="5" t="n">
        <v>0.07000000000000001</v>
      </c>
      <c r="X619" s="5" t="n">
        <v>1</v>
      </c>
      <c r="Y619" s="5" t="n">
        <v>6.392</v>
      </c>
      <c r="Z619" s="5" t="n">
        <v>0.86</v>
      </c>
      <c r="AA619" s="5" t="n">
        <v>0</v>
      </c>
      <c r="AB619" s="5" t="n">
        <v>6.392</v>
      </c>
      <c r="AC619" s="5" t="n">
        <v>0</v>
      </c>
      <c r="AD619" s="5" t="n">
        <v>1</v>
      </c>
      <c r="AE619" s="5" t="n">
        <v>7.627</v>
      </c>
      <c r="AF619" s="5" t="n">
        <v>1.786</v>
      </c>
      <c r="AG619" s="5" t="n">
        <v>0</v>
      </c>
      <c r="AH619" s="5" t="n">
        <v>7.627</v>
      </c>
      <c r="AI619" s="5" t="n">
        <v>0</v>
      </c>
      <c r="AJ619" s="5" t="n">
        <v>1</v>
      </c>
      <c r="AK619" s="5" t="n">
        <v>15.035</v>
      </c>
      <c r="AL619" s="5" t="n">
        <v>8.079000000000001</v>
      </c>
      <c r="AM619" s="5" t="n">
        <v>0.078</v>
      </c>
      <c r="AN619" s="5" t="n">
        <v>16.088</v>
      </c>
      <c r="AO619" s="5" t="n">
        <v>0.07000000000000001</v>
      </c>
      <c r="AP619" s="5" t="n">
        <v>1</v>
      </c>
      <c r="AQ619" s="5" t="n">
        <v>0.896</v>
      </c>
      <c r="AR619" s="5" t="n">
        <v>0.123</v>
      </c>
      <c r="AS619" s="5" t="n">
        <v>0.054</v>
      </c>
      <c r="AT619" s="5" t="n">
        <v>1.017</v>
      </c>
      <c r="AU619" s="5" t="n">
        <v>0.07000000000000001</v>
      </c>
      <c r="AV619" s="5" t="n">
        <v>1</v>
      </c>
      <c r="AW619" s="5" t="n">
        <v>0.89</v>
      </c>
      <c r="AX619" s="5" t="n">
        <v>0.123</v>
      </c>
      <c r="AY619" s="5" t="n">
        <v>0.053</v>
      </c>
      <c r="AZ619" s="5" t="n">
        <v>1.009</v>
      </c>
      <c r="BA619" s="5" t="n">
        <v>0.07000000000000001</v>
      </c>
      <c r="BB619" s="5" t="n">
        <v>1</v>
      </c>
      <c r="BC619" s="5" t="n">
        <v>0.62</v>
      </c>
      <c r="BD619" s="5" t="n">
        <v>0.123</v>
      </c>
      <c r="BE619" s="5" t="n">
        <v>-0.078</v>
      </c>
      <c r="BF619" s="5" t="n">
        <v>0.542</v>
      </c>
      <c r="BG619" s="5" t="n">
        <v>0</v>
      </c>
      <c r="BH619" s="5" t="n">
        <v>0</v>
      </c>
      <c r="BI619" s="5" t="n">
        <v>0.608</v>
      </c>
      <c r="BJ619" s="5" t="n">
        <v>0.123</v>
      </c>
      <c r="BK619" s="5" t="n">
        <v>0.074</v>
      </c>
      <c r="BL619" s="5" t="n">
        <v>0.726</v>
      </c>
      <c r="BM619" s="5" t="n">
        <v>0.07000000000000001</v>
      </c>
      <c r="BN619" s="5" t="n">
        <v>1</v>
      </c>
      <c r="BO619" s="5" t="n">
        <v>0</v>
      </c>
      <c r="BP619" s="5" t="n">
        <v>0</v>
      </c>
      <c r="BQ619" s="5" t="n">
        <v>0.169</v>
      </c>
      <c r="BR619" s="5" t="n">
        <v>0</v>
      </c>
      <c r="BS619" s="5" t="n">
        <v>1</v>
      </c>
      <c r="BT619" s="5" t="n">
        <v>0</v>
      </c>
      <c r="BU619" s="5" t="n">
        <v>0</v>
      </c>
      <c r="BV619" s="5" t="n">
        <v>0.205</v>
      </c>
      <c r="BW619" s="5" t="n">
        <v>0.07000000000000001</v>
      </c>
      <c r="BX619" s="5" t="n">
        <v>1</v>
      </c>
      <c r="BY619" s="5" t="n">
        <v>12.729</v>
      </c>
      <c r="BZ619" s="5" t="n">
        <v>0</v>
      </c>
      <c r="CA619" s="5" t="n">
        <v>12.729</v>
      </c>
      <c r="CB619" s="5" t="n">
        <v>0</v>
      </c>
      <c r="CC619" s="5" t="n">
        <v>97.90000000000001</v>
      </c>
      <c r="CD619" s="5" t="n">
        <v>7.95</v>
      </c>
      <c r="CE619" s="5" t="n">
        <v>-2.949</v>
      </c>
      <c r="CF619" s="5" t="n">
        <v>94.95099999999999</v>
      </c>
      <c r="CG619" s="5" t="n">
        <v>0</v>
      </c>
      <c r="CH619" s="5" t="n">
        <v>1</v>
      </c>
      <c r="CI619" s="5" t="n">
        <v>0</v>
      </c>
      <c r="CJ619" s="5" t="n">
        <v>0</v>
      </c>
      <c r="CK619" s="5" t="n">
        <v>0</v>
      </c>
      <c r="CL619" s="5" t="n">
        <v>0</v>
      </c>
      <c r="CM619" s="5" t="n">
        <v>0</v>
      </c>
      <c r="CN619" s="5" t="n">
        <v>0</v>
      </c>
      <c r="CO619" s="5" t="n">
        <v>0</v>
      </c>
      <c r="CP619" s="5" t="n">
        <v>0</v>
      </c>
      <c r="CQ619" s="5" t="n">
        <v>1.294</v>
      </c>
      <c r="CR619" s="5" t="n">
        <v>0</v>
      </c>
      <c r="CS619" s="5" t="n">
        <v>5.158</v>
      </c>
      <c r="CT619" s="5" t="n">
        <v>10.485</v>
      </c>
      <c r="CU619" s="5" t="n">
        <v>29.494</v>
      </c>
    </row>
    <row r="620">
      <c r="A620" s="5" t="inlineStr">
        <is>
          <t>PAN2023</t>
        </is>
      </c>
      <c r="B620" s="5" t="inlineStr">
        <is>
          <t>PAN</t>
        </is>
      </c>
      <c r="C620" s="5" t="inlineStr">
        <is>
          <t>PAN</t>
        </is>
      </c>
      <c r="D620" s="5" t="inlineStr">
        <is>
          <t>Panama</t>
        </is>
      </c>
      <c r="E620" s="5" t="n">
        <v>2023</v>
      </c>
      <c r="F620" s="5" t="n">
        <v>0.07000000000000001</v>
      </c>
      <c r="G620" s="5" t="n">
        <v>6.147</v>
      </c>
      <c r="H620" s="5" t="n">
        <v>1.286</v>
      </c>
      <c r="I620" s="5" t="n">
        <v>0</v>
      </c>
      <c r="J620" s="5" t="n">
        <v>6.147</v>
      </c>
      <c r="K620" s="5" t="n">
        <v>0</v>
      </c>
      <c r="L620" s="5" t="n">
        <v>1</v>
      </c>
      <c r="M620" s="5" t="n">
        <v>7.886</v>
      </c>
      <c r="N620" s="5" t="n">
        <v>3.857</v>
      </c>
      <c r="O620" s="5" t="n">
        <v>0.201</v>
      </c>
      <c r="P620" s="5" t="n">
        <v>8.087999999999999</v>
      </c>
      <c r="Q620" s="5" t="n">
        <v>0</v>
      </c>
      <c r="R620" s="5" t="n">
        <v>1</v>
      </c>
      <c r="S620" s="5" t="n">
        <v>12.575</v>
      </c>
      <c r="T620" s="5" t="n">
        <v>7.714</v>
      </c>
      <c r="U620" s="5" t="n">
        <v>0.097</v>
      </c>
      <c r="V620" s="5" t="n">
        <v>13.455</v>
      </c>
      <c r="W620" s="5" t="n">
        <v>0.07000000000000001</v>
      </c>
      <c r="X620" s="5" t="n">
        <v>1</v>
      </c>
      <c r="Y620" s="5" t="n">
        <v>6.656</v>
      </c>
      <c r="Z620" s="5" t="n">
        <v>0.895</v>
      </c>
      <c r="AA620" s="5" t="n">
        <v>0</v>
      </c>
      <c r="AB620" s="5" t="n">
        <v>6.656</v>
      </c>
      <c r="AC620" s="5" t="n">
        <v>0</v>
      </c>
      <c r="AD620" s="5" t="n">
        <v>1</v>
      </c>
      <c r="AE620" s="5" t="n">
        <v>7.942</v>
      </c>
      <c r="AF620" s="5" t="n">
        <v>1.86</v>
      </c>
      <c r="AG620" s="5" t="n">
        <v>0</v>
      </c>
      <c r="AH620" s="5" t="n">
        <v>7.942</v>
      </c>
      <c r="AI620" s="5" t="n">
        <v>0</v>
      </c>
      <c r="AJ620" s="5" t="n">
        <v>1</v>
      </c>
      <c r="AK620" s="5" t="n">
        <v>15.656</v>
      </c>
      <c r="AL620" s="5" t="n">
        <v>8.412000000000001</v>
      </c>
      <c r="AM620" s="5" t="n">
        <v>0.121</v>
      </c>
      <c r="AN620" s="5" t="n">
        <v>16.752</v>
      </c>
      <c r="AO620" s="5" t="n">
        <v>0.07000000000000001</v>
      </c>
      <c r="AP620" s="5" t="n">
        <v>1</v>
      </c>
      <c r="AQ620" s="5" t="n">
        <v>0.791</v>
      </c>
      <c r="AR620" s="5" t="n">
        <v>0.129</v>
      </c>
      <c r="AS620" s="5" t="n">
        <v>0.103</v>
      </c>
      <c r="AT620" s="5" t="n">
        <v>0.957</v>
      </c>
      <c r="AU620" s="5" t="n">
        <v>0.07000000000000001</v>
      </c>
      <c r="AV620" s="5" t="n">
        <v>1</v>
      </c>
      <c r="AW620" s="5" t="n">
        <v>0.618</v>
      </c>
      <c r="AX620" s="5" t="n">
        <v>0.129</v>
      </c>
      <c r="AY620" s="5" t="n">
        <v>0.256</v>
      </c>
      <c r="AZ620" s="5" t="n">
        <v>0.9350000000000001</v>
      </c>
      <c r="BA620" s="5" t="n">
        <v>0.07000000000000001</v>
      </c>
      <c r="BB620" s="5" t="n">
        <v>1</v>
      </c>
      <c r="BC620" s="5" t="n">
        <v>0.554</v>
      </c>
      <c r="BD620" s="5" t="n">
        <v>0.129</v>
      </c>
      <c r="BE620" s="5" t="n">
        <v>-0.081</v>
      </c>
      <c r="BF620" s="5" t="n">
        <v>0.473</v>
      </c>
      <c r="BG620" s="5" t="n">
        <v>0</v>
      </c>
      <c r="BH620" s="5" t="n">
        <v>0</v>
      </c>
      <c r="BI620" s="5" t="n">
        <v>0.5570000000000001</v>
      </c>
      <c r="BJ620" s="5" t="n">
        <v>0.129</v>
      </c>
      <c r="BK620" s="5" t="n">
        <v>0.083</v>
      </c>
      <c r="BL620" s="5" t="n">
        <v>0.68</v>
      </c>
      <c r="BM620" s="5" t="n">
        <v>0.07000000000000001</v>
      </c>
      <c r="BN620" s="5" t="n">
        <v>1</v>
      </c>
      <c r="BO620" s="5" t="n">
        <v>0</v>
      </c>
      <c r="BP620" s="5" t="n">
        <v>0</v>
      </c>
      <c r="BQ620" s="5" t="n">
        <v>0.21</v>
      </c>
      <c r="BR620" s="5" t="n">
        <v>0</v>
      </c>
      <c r="BS620" s="5" t="n">
        <v>1</v>
      </c>
      <c r="BT620" s="5" t="n">
        <v>0</v>
      </c>
      <c r="BU620" s="5" t="n">
        <v>0</v>
      </c>
      <c r="BV620" s="5" t="n">
        <v>0.193</v>
      </c>
      <c r="BW620" s="5" t="n">
        <v>0.07000000000000001</v>
      </c>
      <c r="BX620" s="5" t="n">
        <v>1</v>
      </c>
      <c r="BY620" s="5" t="n">
        <v>13.254</v>
      </c>
      <c r="BZ620" s="5" t="n">
        <v>0</v>
      </c>
      <c r="CA620" s="5" t="n">
        <v>13.254</v>
      </c>
      <c r="CB620" s="5" t="n">
        <v>0</v>
      </c>
      <c r="CC620" s="5" t="n">
        <v>83.248</v>
      </c>
      <c r="CD620" s="5" t="n">
        <v>7.95</v>
      </c>
      <c r="CE620" s="5" t="n">
        <v>-3.071</v>
      </c>
      <c r="CF620" s="5" t="n">
        <v>80.17700000000001</v>
      </c>
      <c r="CG620" s="5" t="n">
        <v>0</v>
      </c>
      <c r="CH620" s="5" t="n">
        <v>1</v>
      </c>
      <c r="CI620" s="5" t="n">
        <v>0</v>
      </c>
      <c r="CJ620" s="5" t="n">
        <v>0</v>
      </c>
      <c r="CK620" s="5" t="n">
        <v>0</v>
      </c>
      <c r="CL620" s="5" t="n">
        <v>0</v>
      </c>
      <c r="CM620" s="5" t="n">
        <v>0</v>
      </c>
      <c r="CN620" s="5" t="n">
        <v>0</v>
      </c>
      <c r="CO620" s="5" t="n">
        <v>0</v>
      </c>
      <c r="CP620" s="5" t="n">
        <v>0</v>
      </c>
      <c r="CQ620" s="5" t="n">
        <v>1.348</v>
      </c>
      <c r="CR620" s="5" t="n">
        <v>0</v>
      </c>
      <c r="CS620" s="5" t="n">
        <v>5.37</v>
      </c>
      <c r="CT620" s="5" t="n">
        <v>4.861</v>
      </c>
      <c r="CU620" s="5" t="n">
        <v>11.192</v>
      </c>
    </row>
    <row r="621">
      <c r="A621" s="5" t="inlineStr">
        <is>
          <t>PAN2024</t>
        </is>
      </c>
      <c r="B621" s="5" t="inlineStr">
        <is>
          <t>PAN</t>
        </is>
      </c>
      <c r="C621" s="5" t="inlineStr">
        <is>
          <t>PAN</t>
        </is>
      </c>
      <c r="D621" s="5" t="inlineStr">
        <is>
          <t>Panama</t>
        </is>
      </c>
      <c r="E621" s="5" t="n">
        <v>2024</v>
      </c>
      <c r="F621" s="5" t="n">
        <v>0.07000000000000001</v>
      </c>
      <c r="G621" s="5" t="n">
        <v>5.575</v>
      </c>
      <c r="H621" s="5" t="n">
        <v>1.324</v>
      </c>
      <c r="I621" s="5" t="n">
        <v>0</v>
      </c>
      <c r="J621" s="5" t="n">
        <v>5.575</v>
      </c>
      <c r="K621" s="5" t="n">
        <v>0</v>
      </c>
      <c r="L621" s="5" t="n">
        <v>1</v>
      </c>
      <c r="M621" s="5" t="n">
        <v>7.124</v>
      </c>
      <c r="N621" s="5" t="n">
        <v>3.971</v>
      </c>
      <c r="O621" s="5" t="n">
        <v>0.158</v>
      </c>
      <c r="P621" s="5" t="n">
        <v>7.281</v>
      </c>
      <c r="Q621" s="5" t="n">
        <v>0</v>
      </c>
      <c r="R621" s="5" t="n">
        <v>1</v>
      </c>
      <c r="S621" s="5" t="n">
        <v>12.193</v>
      </c>
      <c r="T621" s="5" t="n">
        <v>7.942</v>
      </c>
      <c r="U621" s="5" t="n">
        <v>0.116</v>
      </c>
      <c r="V621" s="5" t="n">
        <v>13.046</v>
      </c>
      <c r="W621" s="5" t="n">
        <v>0.07000000000000001</v>
      </c>
      <c r="X621" s="5" t="n">
        <v>1</v>
      </c>
      <c r="Y621" s="5" t="n">
        <v>6.853</v>
      </c>
      <c r="Z621" s="5" t="n">
        <v>0.922</v>
      </c>
      <c r="AA621" s="5" t="n">
        <v>0</v>
      </c>
      <c r="AB621" s="5" t="n">
        <v>6.853</v>
      </c>
      <c r="AC621" s="5" t="n">
        <v>0</v>
      </c>
      <c r="AD621" s="5" t="n">
        <v>1</v>
      </c>
      <c r="AE621" s="5" t="n">
        <v>8.176</v>
      </c>
      <c r="AF621" s="5" t="n">
        <v>1.915</v>
      </c>
      <c r="AG621" s="5" t="n">
        <v>0</v>
      </c>
      <c r="AH621" s="5" t="n">
        <v>8.176</v>
      </c>
      <c r="AI621" s="5" t="n">
        <v>0</v>
      </c>
      <c r="AJ621" s="5" t="n">
        <v>1</v>
      </c>
      <c r="AK621" s="5" t="n">
        <v>16.118</v>
      </c>
      <c r="AL621" s="5" t="n">
        <v>8.66</v>
      </c>
      <c r="AM621" s="5" t="n">
        <v>0.154</v>
      </c>
      <c r="AN621" s="5" t="n">
        <v>17.246</v>
      </c>
      <c r="AO621" s="5" t="n">
        <v>0.07000000000000001</v>
      </c>
      <c r="AP621" s="5" t="n">
        <v>1</v>
      </c>
      <c r="AQ621" s="5" t="n">
        <v>0.756</v>
      </c>
      <c r="AR621" s="5" t="n">
        <v>0.132</v>
      </c>
      <c r="AS621" s="5" t="n">
        <v>0.121</v>
      </c>
      <c r="AT621" s="5" t="n">
        <v>0.9389999999999999</v>
      </c>
      <c r="AU621" s="5" t="n">
        <v>0.07000000000000001</v>
      </c>
      <c r="AV621" s="5" t="n">
        <v>1</v>
      </c>
      <c r="AW621" s="5" t="n">
        <v>0.655</v>
      </c>
      <c r="AX621" s="5" t="n">
        <v>0.132</v>
      </c>
      <c r="AY621" s="5" t="n">
        <v>0.154</v>
      </c>
      <c r="AZ621" s="5" t="n">
        <v>0.865</v>
      </c>
      <c r="BA621" s="5" t="n">
        <v>0.07000000000000001</v>
      </c>
      <c r="BB621" s="5" t="n">
        <v>1</v>
      </c>
      <c r="BC621" s="5" t="n">
        <v>0.534</v>
      </c>
      <c r="BD621" s="5" t="n">
        <v>0.132</v>
      </c>
      <c r="BE621" s="5" t="n">
        <v>-0.08400000000000001</v>
      </c>
      <c r="BF621" s="5" t="n">
        <v>0.45</v>
      </c>
      <c r="BG621" s="5" t="n">
        <v>0</v>
      </c>
      <c r="BH621" s="5" t="n">
        <v>0</v>
      </c>
      <c r="BI621" s="5" t="n">
        <v>0.5679999999999999</v>
      </c>
      <c r="BJ621" s="5" t="n">
        <v>0.132</v>
      </c>
      <c r="BK621" s="5" t="n">
        <v>0.08699999999999999</v>
      </c>
      <c r="BL621" s="5" t="n">
        <v>0.694</v>
      </c>
      <c r="BM621" s="5" t="n">
        <v>0.07000000000000001</v>
      </c>
      <c r="BN621" s="5" t="n">
        <v>1</v>
      </c>
      <c r="BO621" s="5" t="n">
        <v>0</v>
      </c>
      <c r="BP621" s="5" t="n">
        <v>0</v>
      </c>
      <c r="BQ621" s="5" t="n">
        <v>0.179</v>
      </c>
      <c r="BR621" s="5" t="n">
        <v>0</v>
      </c>
      <c r="BS621" s="5" t="n">
        <v>1</v>
      </c>
      <c r="BT621" s="5" t="n">
        <v>0</v>
      </c>
      <c r="BU621" s="5" t="n">
        <v>0</v>
      </c>
      <c r="BV621" s="5" t="n">
        <v>0.179</v>
      </c>
      <c r="BW621" s="5" t="n">
        <v>0.07000000000000001</v>
      </c>
      <c r="BX621" s="5" t="n">
        <v>1</v>
      </c>
      <c r="BY621" s="5" t="n">
        <v>13.646</v>
      </c>
      <c r="BZ621" s="5" t="n">
        <v>0</v>
      </c>
      <c r="CA621" s="5" t="n">
        <v>13.646</v>
      </c>
      <c r="CB621" s="5" t="n">
        <v>0</v>
      </c>
      <c r="CC621" s="5" t="n">
        <v>82.58799999999999</v>
      </c>
      <c r="CD621" s="5" t="n">
        <v>7.95</v>
      </c>
      <c r="CE621" s="5" t="n">
        <v>-3.161</v>
      </c>
      <c r="CF621" s="5" t="n">
        <v>79.42700000000001</v>
      </c>
      <c r="CG621" s="5" t="n">
        <v>0</v>
      </c>
      <c r="CH621" s="5" t="n">
        <v>1</v>
      </c>
      <c r="CI621" s="5" t="n">
        <v>0</v>
      </c>
      <c r="CJ621" s="5" t="n">
        <v>0</v>
      </c>
      <c r="CK621" s="5" t="n">
        <v>0</v>
      </c>
      <c r="CL621" s="5" t="n">
        <v>0</v>
      </c>
      <c r="CM621" s="5" t="n">
        <v>0</v>
      </c>
      <c r="CN621" s="5" t="n">
        <v>0</v>
      </c>
      <c r="CO621" s="5" t="n">
        <v>0</v>
      </c>
      <c r="CP621" s="5" t="n">
        <v>0</v>
      </c>
      <c r="CQ621" s="5" t="n">
        <v>1.387</v>
      </c>
      <c r="CR621" s="5" t="n">
        <v>0</v>
      </c>
      <c r="CS621" s="5" t="n">
        <v>5.529</v>
      </c>
      <c r="CT621" s="5" t="n">
        <v>4.251</v>
      </c>
      <c r="CU621" s="5" t="n">
        <v>10.123</v>
      </c>
    </row>
    <row r="622">
      <c r="A622" s="5" t="inlineStr">
        <is>
          <t>PNG2021</t>
        </is>
      </c>
      <c r="B622" s="5" t="inlineStr">
        <is>
          <t>PNG</t>
        </is>
      </c>
      <c r="C622" s="5" t="inlineStr">
        <is>
          <t>PNG</t>
        </is>
      </c>
      <c r="D622" s="5" t="inlineStr">
        <is>
          <t>Papua New Guinea</t>
        </is>
      </c>
      <c r="E622" s="5" t="n">
        <v>2021</v>
      </c>
      <c r="F622" s="5" t="n">
        <v>0.1</v>
      </c>
      <c r="G622" s="5" t="n">
        <v>4.747</v>
      </c>
      <c r="H622" s="5" t="n">
        <v>1.143</v>
      </c>
      <c r="I622" s="5" t="n">
        <v>0</v>
      </c>
      <c r="J622" s="5" t="n">
        <v>4.747</v>
      </c>
      <c r="K622" s="5" t="n">
        <v>0</v>
      </c>
      <c r="L622" s="5" t="n">
        <v>1</v>
      </c>
      <c r="M622" s="5" t="n">
        <v>7.964</v>
      </c>
      <c r="N622" s="5" t="n">
        <v>3.43</v>
      </c>
      <c r="O622" s="5" t="n">
        <v>0</v>
      </c>
      <c r="P622" s="5" t="n">
        <v>7.964</v>
      </c>
      <c r="Q622" s="5" t="n">
        <v>0</v>
      </c>
      <c r="R622" s="5" t="n">
        <v>1</v>
      </c>
      <c r="S622" s="5" t="n">
        <v>10.464</v>
      </c>
      <c r="T622" s="5" t="n">
        <v>6.86</v>
      </c>
      <c r="U622" s="5" t="n">
        <v>0</v>
      </c>
      <c r="V622" s="5" t="n">
        <v>11.51</v>
      </c>
      <c r="W622" s="5" t="n">
        <v>0.1</v>
      </c>
      <c r="X622" s="5" t="n">
        <v>1</v>
      </c>
      <c r="Y622" s="5" t="n">
        <v>10.251</v>
      </c>
      <c r="Z622" s="5" t="n">
        <v>1.265</v>
      </c>
      <c r="AA622" s="5" t="n">
        <v>0</v>
      </c>
      <c r="AB622" s="5" t="n">
        <v>10.251</v>
      </c>
      <c r="AC622" s="5" t="n">
        <v>0</v>
      </c>
      <c r="AD622" s="5" t="n">
        <v>1</v>
      </c>
      <c r="AE622" s="5" t="n">
        <v>11.395</v>
      </c>
      <c r="AF622" s="5" t="n">
        <v>2.484</v>
      </c>
      <c r="AG622" s="5" t="n">
        <v>0</v>
      </c>
      <c r="AH622" s="5" t="n">
        <v>11.395</v>
      </c>
      <c r="AI622" s="5" t="n">
        <v>0</v>
      </c>
      <c r="AJ622" s="5" t="n">
        <v>1</v>
      </c>
      <c r="AK622" s="5" t="n">
        <v>18.255</v>
      </c>
      <c r="AL622" s="5" t="n">
        <v>9.472</v>
      </c>
      <c r="AM622" s="5" t="n">
        <v>0</v>
      </c>
      <c r="AN622" s="5" t="n">
        <v>20.08</v>
      </c>
      <c r="AO622" s="5" t="n">
        <v>0.1</v>
      </c>
      <c r="AP622" s="5" t="n">
        <v>1</v>
      </c>
      <c r="AQ622" s="5" t="n">
        <v>0.621</v>
      </c>
      <c r="AR622" s="5" t="n">
        <v>0.114</v>
      </c>
      <c r="AS622" s="5" t="n">
        <v>0.381</v>
      </c>
      <c r="AT622" s="5" t="n">
        <v>1.102</v>
      </c>
      <c r="AU622" s="5" t="n">
        <v>0.1</v>
      </c>
      <c r="AV622" s="5" t="n">
        <v>1</v>
      </c>
      <c r="AW622" s="5" t="n">
        <v>0.593</v>
      </c>
      <c r="AX622" s="5" t="n">
        <v>0.114</v>
      </c>
      <c r="AY622" s="5" t="n">
        <v>0.238</v>
      </c>
      <c r="AZ622" s="5" t="n">
        <v>0.915</v>
      </c>
      <c r="BA622" s="5" t="n">
        <v>0.1</v>
      </c>
      <c r="BB622" s="5" t="n">
        <v>1</v>
      </c>
      <c r="BC622" s="5" t="n">
        <v>0.44</v>
      </c>
      <c r="BD622" s="5" t="n">
        <v>0.114</v>
      </c>
      <c r="BE622" s="5" t="n">
        <v>0</v>
      </c>
      <c r="BF622" s="5" t="n">
        <v>0.484</v>
      </c>
      <c r="BG622" s="5" t="n">
        <v>0.1</v>
      </c>
      <c r="BH622" s="5" t="n">
        <v>1</v>
      </c>
      <c r="BI622" s="5" t="n">
        <v>0.5600000000000001</v>
      </c>
      <c r="BJ622" s="5" t="n">
        <v>0.114</v>
      </c>
      <c r="BK622" s="5" t="n">
        <v>0.164</v>
      </c>
      <c r="BL622" s="5" t="n">
        <v>0.797</v>
      </c>
      <c r="BM622" s="5" t="n">
        <v>0.1</v>
      </c>
      <c r="BN622" s="5" t="n">
        <v>1</v>
      </c>
      <c r="BO622" s="5" t="n">
        <v>0</v>
      </c>
      <c r="BP622" s="5" t="n">
        <v>0</v>
      </c>
      <c r="BQ622" s="5" t="n">
        <v>0.181</v>
      </c>
      <c r="BR622" s="5" t="n">
        <v>0</v>
      </c>
      <c r="BS622" s="5" t="n">
        <v>0.333</v>
      </c>
      <c r="BT622" s="5" t="n">
        <v>0</v>
      </c>
      <c r="BU622" s="5" t="n">
        <v>0</v>
      </c>
      <c r="BV622" s="5" t="n">
        <v>0.253</v>
      </c>
      <c r="BW622" s="5" t="n">
        <v>0.1</v>
      </c>
      <c r="BX622" s="5" t="n">
        <v>0.333</v>
      </c>
      <c r="BY622" s="5" t="n">
        <v>11.787</v>
      </c>
      <c r="BZ622" s="5" t="n">
        <v>0</v>
      </c>
      <c r="CA622" s="5" t="n">
        <v>11.787</v>
      </c>
      <c r="CB622" s="5" t="n">
        <v>0</v>
      </c>
      <c r="CC622" s="5" t="n">
        <v>81.69499999999999</v>
      </c>
      <c r="CD622" s="5" t="n">
        <v>7.95</v>
      </c>
      <c r="CE622" s="5" t="n">
        <v>33.284</v>
      </c>
      <c r="CF622" s="5" t="n">
        <v>126.477</v>
      </c>
      <c r="CG622" s="5" t="n">
        <v>0.1</v>
      </c>
      <c r="CH622" s="5" t="n">
        <v>1</v>
      </c>
      <c r="CI622" s="5" t="n">
        <v>0</v>
      </c>
      <c r="CJ622" s="5" t="n">
        <v>0</v>
      </c>
      <c r="CK622" s="5" t="n">
        <v>0</v>
      </c>
      <c r="CL622" s="5" t="n">
        <v>0</v>
      </c>
      <c r="CM622" s="5" t="n">
        <v>0</v>
      </c>
      <c r="CN622" s="5" t="n">
        <v>0</v>
      </c>
      <c r="CO622" s="5" t="n">
        <v>0</v>
      </c>
      <c r="CP622" s="5" t="n">
        <v>0</v>
      </c>
      <c r="CQ622" s="5" t="n">
        <v>1.198</v>
      </c>
      <c r="CR622" s="5" t="n">
        <v>0</v>
      </c>
      <c r="CS622" s="5" t="n">
        <v>3.279</v>
      </c>
      <c r="CT622" s="5" t="n">
        <v>3.604</v>
      </c>
      <c r="CU622" s="5" t="n">
        <v>9.407999999999999</v>
      </c>
    </row>
    <row r="623">
      <c r="A623" s="5" t="inlineStr">
        <is>
          <t>PNG2022</t>
        </is>
      </c>
      <c r="B623" s="5" t="inlineStr">
        <is>
          <t>PNG</t>
        </is>
      </c>
      <c r="C623" s="5" t="inlineStr">
        <is>
          <t>PNG</t>
        </is>
      </c>
      <c r="D623" s="5" t="inlineStr">
        <is>
          <t>Papua New Guinea</t>
        </is>
      </c>
      <c r="E623" s="5" t="n">
        <v>2022</v>
      </c>
      <c r="F623" s="5" t="n">
        <v>0.1</v>
      </c>
      <c r="G623" s="5" t="n">
        <v>8.788</v>
      </c>
      <c r="H623" s="5" t="n">
        <v>1.235</v>
      </c>
      <c r="I623" s="5" t="n">
        <v>0</v>
      </c>
      <c r="J623" s="5" t="n">
        <v>8.788</v>
      </c>
      <c r="K623" s="5" t="n">
        <v>0</v>
      </c>
      <c r="L623" s="5" t="n">
        <v>1</v>
      </c>
      <c r="M623" s="5" t="n">
        <v>9.782999999999999</v>
      </c>
      <c r="N623" s="5" t="n">
        <v>3.704</v>
      </c>
      <c r="O623" s="5" t="n">
        <v>0</v>
      </c>
      <c r="P623" s="5" t="n">
        <v>9.782999999999999</v>
      </c>
      <c r="Q623" s="5" t="n">
        <v>0</v>
      </c>
      <c r="R623" s="5" t="n">
        <v>1</v>
      </c>
      <c r="S623" s="5" t="n">
        <v>14.962</v>
      </c>
      <c r="T623" s="5" t="n">
        <v>7.408</v>
      </c>
      <c r="U623" s="5" t="n">
        <v>0.111</v>
      </c>
      <c r="V623" s="5" t="n">
        <v>16.458</v>
      </c>
      <c r="W623" s="5" t="n">
        <v>0.1</v>
      </c>
      <c r="X623" s="5" t="n">
        <v>1</v>
      </c>
      <c r="Y623" s="5" t="n">
        <v>16.718</v>
      </c>
      <c r="Z623" s="5" t="n">
        <v>2.063</v>
      </c>
      <c r="AA623" s="5" t="n">
        <v>0</v>
      </c>
      <c r="AB623" s="5" t="n">
        <v>16.718</v>
      </c>
      <c r="AC623" s="5" t="n">
        <v>0</v>
      </c>
      <c r="AD623" s="5" t="n">
        <v>1</v>
      </c>
      <c r="AE623" s="5" t="n">
        <v>17.953</v>
      </c>
      <c r="AF623" s="5" t="n">
        <v>3.914</v>
      </c>
      <c r="AG623" s="5" t="n">
        <v>0</v>
      </c>
      <c r="AH623" s="5" t="n">
        <v>17.953</v>
      </c>
      <c r="AI623" s="5" t="n">
        <v>0</v>
      </c>
      <c r="AJ623" s="5" t="n">
        <v>1</v>
      </c>
      <c r="AK623" s="5" t="n">
        <v>25.361</v>
      </c>
      <c r="AL623" s="5" t="n">
        <v>13.159</v>
      </c>
      <c r="AM623" s="5" t="n">
        <v>0.188</v>
      </c>
      <c r="AN623" s="5" t="n">
        <v>27.897</v>
      </c>
      <c r="AO623" s="5" t="n">
        <v>0.1</v>
      </c>
      <c r="AP623" s="5" t="n">
        <v>1</v>
      </c>
      <c r="AQ623" s="5" t="n">
        <v>0.847</v>
      </c>
      <c r="AR623" s="5" t="n">
        <v>0.123</v>
      </c>
      <c r="AS623" s="5" t="n">
        <v>0.268</v>
      </c>
      <c r="AT623" s="5" t="n">
        <v>1.226</v>
      </c>
      <c r="AU623" s="5" t="n">
        <v>0.1</v>
      </c>
      <c r="AV623" s="5" t="n">
        <v>1</v>
      </c>
      <c r="AW623" s="5" t="n">
        <v>0.947</v>
      </c>
      <c r="AX623" s="5" t="n">
        <v>0.123</v>
      </c>
      <c r="AY623" s="5" t="n">
        <v>0.129</v>
      </c>
      <c r="AZ623" s="5" t="n">
        <v>1.184</v>
      </c>
      <c r="BA623" s="5" t="n">
        <v>0.1</v>
      </c>
      <c r="BB623" s="5" t="n">
        <v>1</v>
      </c>
      <c r="BC623" s="5" t="n">
        <v>0.589</v>
      </c>
      <c r="BD623" s="5" t="n">
        <v>0.123</v>
      </c>
      <c r="BE623" s="5" t="n">
        <v>0.004</v>
      </c>
      <c r="BF623" s="5" t="n">
        <v>0.647</v>
      </c>
      <c r="BG623" s="5" t="n">
        <v>0.1</v>
      </c>
      <c r="BH623" s="5" t="n">
        <v>1</v>
      </c>
      <c r="BI623" s="5" t="n">
        <v>0.6889999999999999</v>
      </c>
      <c r="BJ623" s="5" t="n">
        <v>0.123</v>
      </c>
      <c r="BK623" s="5" t="n">
        <v>0.354</v>
      </c>
      <c r="BL623" s="5" t="n">
        <v>1.148</v>
      </c>
      <c r="BM623" s="5" t="n">
        <v>0.1</v>
      </c>
      <c r="BN623" s="5" t="n">
        <v>1</v>
      </c>
      <c r="BO623" s="5" t="n">
        <v>0</v>
      </c>
      <c r="BP623" s="5" t="n">
        <v>0</v>
      </c>
      <c r="BQ623" s="5" t="n">
        <v>0.181</v>
      </c>
      <c r="BR623" s="5" t="n">
        <v>0</v>
      </c>
      <c r="BS623" s="5" t="n">
        <v>0.333</v>
      </c>
      <c r="BT623" s="5" t="n">
        <v>0</v>
      </c>
      <c r="BU623" s="5" t="n">
        <v>0</v>
      </c>
      <c r="BV623" s="5" t="n">
        <v>0.252</v>
      </c>
      <c r="BW623" s="5" t="n">
        <v>0.1</v>
      </c>
      <c r="BX623" s="5" t="n">
        <v>0.333</v>
      </c>
      <c r="BY623" s="5" t="n">
        <v>12.729</v>
      </c>
      <c r="BZ623" s="5" t="n">
        <v>0</v>
      </c>
      <c r="CA623" s="5" t="n">
        <v>12.729</v>
      </c>
      <c r="CB623" s="5" t="n">
        <v>0</v>
      </c>
      <c r="CC623" s="5" t="n">
        <v>102.477</v>
      </c>
      <c r="CD623" s="5" t="n">
        <v>7.95</v>
      </c>
      <c r="CE623" s="5" t="n">
        <v>63.302</v>
      </c>
      <c r="CF623" s="5" t="n">
        <v>182.356</v>
      </c>
      <c r="CG623" s="5" t="n">
        <v>0.1</v>
      </c>
      <c r="CH623" s="5" t="n">
        <v>1</v>
      </c>
      <c r="CI623" s="5" t="n">
        <v>0</v>
      </c>
      <c r="CJ623" s="5" t="n">
        <v>0</v>
      </c>
      <c r="CK623" s="5" t="n">
        <v>0</v>
      </c>
      <c r="CL623" s="5" t="n">
        <v>0</v>
      </c>
      <c r="CM623" s="5" t="n">
        <v>0</v>
      </c>
      <c r="CN623" s="5" t="n">
        <v>0</v>
      </c>
      <c r="CO623" s="5" t="n">
        <v>0</v>
      </c>
      <c r="CP623" s="5" t="n">
        <v>0</v>
      </c>
      <c r="CQ623" s="5" t="n">
        <v>1.294</v>
      </c>
      <c r="CR623" s="5" t="n">
        <v>0</v>
      </c>
      <c r="CS623" s="5" t="n">
        <v>3.541</v>
      </c>
      <c r="CT623" s="5" t="n">
        <v>7.554</v>
      </c>
      <c r="CU623" s="5" t="n">
        <v>16.097</v>
      </c>
    </row>
    <row r="624">
      <c r="A624" s="5" t="inlineStr">
        <is>
          <t>PNG2023</t>
        </is>
      </c>
      <c r="B624" s="5" t="inlineStr">
        <is>
          <t>PNG</t>
        </is>
      </c>
      <c r="C624" s="5" t="inlineStr">
        <is>
          <t>PNG</t>
        </is>
      </c>
      <c r="D624" s="5" t="inlineStr">
        <is>
          <t>Papua New Guinea</t>
        </is>
      </c>
      <c r="E624" s="5" t="n">
        <v>2023</v>
      </c>
      <c r="F624" s="5" t="n">
        <v>0.1</v>
      </c>
      <c r="G624" s="5" t="n">
        <v>5.77</v>
      </c>
      <c r="H624" s="5" t="n">
        <v>1.286</v>
      </c>
      <c r="I624" s="5" t="n">
        <v>0</v>
      </c>
      <c r="J624" s="5" t="n">
        <v>5.77</v>
      </c>
      <c r="K624" s="5" t="n">
        <v>0</v>
      </c>
      <c r="L624" s="5" t="n">
        <v>1</v>
      </c>
      <c r="M624" s="5" t="n">
        <v>7.886</v>
      </c>
      <c r="N624" s="5" t="n">
        <v>3.857</v>
      </c>
      <c r="O624" s="5" t="n">
        <v>0</v>
      </c>
      <c r="P624" s="5" t="n">
        <v>7.886</v>
      </c>
      <c r="Q624" s="5" t="n">
        <v>0</v>
      </c>
      <c r="R624" s="5" t="n">
        <v>1</v>
      </c>
      <c r="S624" s="5" t="n">
        <v>12.198</v>
      </c>
      <c r="T624" s="5" t="n">
        <v>7.714</v>
      </c>
      <c r="U624" s="5" t="n">
        <v>0.135</v>
      </c>
      <c r="V624" s="5" t="n">
        <v>13.418</v>
      </c>
      <c r="W624" s="5" t="n">
        <v>0.1</v>
      </c>
      <c r="X624" s="5" t="n">
        <v>1</v>
      </c>
      <c r="Y624" s="5" t="n">
        <v>13.382</v>
      </c>
      <c r="Z624" s="5" t="n">
        <v>1.651</v>
      </c>
      <c r="AA624" s="5" t="n">
        <v>0</v>
      </c>
      <c r="AB624" s="5" t="n">
        <v>13.382</v>
      </c>
      <c r="AC624" s="5" t="n">
        <v>0</v>
      </c>
      <c r="AD624" s="5" t="n">
        <v>1</v>
      </c>
      <c r="AE624" s="5" t="n">
        <v>14.668</v>
      </c>
      <c r="AF624" s="5" t="n">
        <v>3.198</v>
      </c>
      <c r="AG624" s="5" t="n">
        <v>0</v>
      </c>
      <c r="AH624" s="5" t="n">
        <v>14.668</v>
      </c>
      <c r="AI624" s="5" t="n">
        <v>0</v>
      </c>
      <c r="AJ624" s="5" t="n">
        <v>1</v>
      </c>
      <c r="AK624" s="5" t="n">
        <v>22.382</v>
      </c>
      <c r="AL624" s="5" t="n">
        <v>11.613</v>
      </c>
      <c r="AM624" s="5" t="n">
        <v>0.248</v>
      </c>
      <c r="AN624" s="5" t="n">
        <v>24.62</v>
      </c>
      <c r="AO624" s="5" t="n">
        <v>0.1</v>
      </c>
      <c r="AP624" s="5" t="n">
        <v>1</v>
      </c>
      <c r="AQ624" s="5" t="n">
        <v>0.749</v>
      </c>
      <c r="AR624" s="5" t="n">
        <v>0.129</v>
      </c>
      <c r="AS624" s="5" t="n">
        <v>0.347</v>
      </c>
      <c r="AT624" s="5" t="n">
        <v>1.206</v>
      </c>
      <c r="AU624" s="5" t="n">
        <v>0.1</v>
      </c>
      <c r="AV624" s="5" t="n">
        <v>1</v>
      </c>
      <c r="AW624" s="5" t="n">
        <v>0.783</v>
      </c>
      <c r="AX624" s="5" t="n">
        <v>0.129</v>
      </c>
      <c r="AY624" s="5" t="n">
        <v>0.29</v>
      </c>
      <c r="AZ624" s="5" t="n">
        <v>1.18</v>
      </c>
      <c r="BA624" s="5" t="n">
        <v>0.1</v>
      </c>
      <c r="BB624" s="5" t="n">
        <v>1</v>
      </c>
      <c r="BC624" s="5" t="n">
        <v>0.527</v>
      </c>
      <c r="BD624" s="5" t="n">
        <v>0.129</v>
      </c>
      <c r="BE624" s="5" t="n">
        <v>0.006</v>
      </c>
      <c r="BF624" s="5" t="n">
        <v>0.58</v>
      </c>
      <c r="BG624" s="5" t="n">
        <v>0.1</v>
      </c>
      <c r="BH624" s="5" t="n">
        <v>1</v>
      </c>
      <c r="BI624" s="5" t="n">
        <v>0.64</v>
      </c>
      <c r="BJ624" s="5" t="n">
        <v>0.129</v>
      </c>
      <c r="BK624" s="5" t="n">
        <v>0.367</v>
      </c>
      <c r="BL624" s="5" t="n">
        <v>1.107</v>
      </c>
      <c r="BM624" s="5" t="n">
        <v>0.1</v>
      </c>
      <c r="BN624" s="5" t="n">
        <v>1</v>
      </c>
      <c r="BO624" s="5" t="n">
        <v>0</v>
      </c>
      <c r="BP624" s="5" t="n">
        <v>0</v>
      </c>
      <c r="BQ624" s="5" t="n">
        <v>0.18</v>
      </c>
      <c r="BR624" s="5" t="n">
        <v>0</v>
      </c>
      <c r="BS624" s="5" t="n">
        <v>0.333</v>
      </c>
      <c r="BT624" s="5" t="n">
        <v>0</v>
      </c>
      <c r="BU624" s="5" t="n">
        <v>0</v>
      </c>
      <c r="BV624" s="5" t="n">
        <v>0.25</v>
      </c>
      <c r="BW624" s="5" t="n">
        <v>0.1</v>
      </c>
      <c r="BX624" s="5" t="n">
        <v>0.333</v>
      </c>
      <c r="BY624" s="5" t="n">
        <v>13.254</v>
      </c>
      <c r="BZ624" s="5" t="n">
        <v>0</v>
      </c>
      <c r="CA624" s="5" t="n">
        <v>13.254</v>
      </c>
      <c r="CB624" s="5" t="n">
        <v>0</v>
      </c>
      <c r="CC624" s="5" t="n">
        <v>87.07899999999999</v>
      </c>
      <c r="CD624" s="5" t="n">
        <v>7.95</v>
      </c>
      <c r="CE624" s="5" t="n">
        <v>73.708</v>
      </c>
      <c r="CF624" s="5" t="n">
        <v>176.866</v>
      </c>
      <c r="CG624" s="5" t="n">
        <v>0.1</v>
      </c>
      <c r="CH624" s="5" t="n">
        <v>1</v>
      </c>
      <c r="CI624" s="5" t="n">
        <v>0</v>
      </c>
      <c r="CJ624" s="5" t="n">
        <v>0</v>
      </c>
      <c r="CK624" s="5" t="n">
        <v>0</v>
      </c>
      <c r="CL624" s="5" t="n">
        <v>0</v>
      </c>
      <c r="CM624" s="5" t="n">
        <v>0</v>
      </c>
      <c r="CN624" s="5" t="n">
        <v>0</v>
      </c>
      <c r="CO624" s="5" t="n">
        <v>0</v>
      </c>
      <c r="CP624" s="5" t="n">
        <v>0</v>
      </c>
      <c r="CQ624" s="5" t="n">
        <v>1.348</v>
      </c>
      <c r="CR624" s="5" t="n">
        <v>0</v>
      </c>
      <c r="CS624" s="5" t="n">
        <v>3.687</v>
      </c>
      <c r="CT624" s="5" t="n">
        <v>4.484</v>
      </c>
      <c r="CU624" s="5" t="n">
        <v>12.529</v>
      </c>
    </row>
    <row r="625">
      <c r="A625" s="5" t="inlineStr">
        <is>
          <t>PNG2024</t>
        </is>
      </c>
      <c r="B625" s="5" t="inlineStr">
        <is>
          <t>PNG</t>
        </is>
      </c>
      <c r="C625" s="5" t="inlineStr">
        <is>
          <t>PNG</t>
        </is>
      </c>
      <c r="D625" s="5" t="inlineStr">
        <is>
          <t>Papua New Guinea</t>
        </is>
      </c>
      <c r="E625" s="5" t="n">
        <v>2024</v>
      </c>
      <c r="F625" s="5" t="n">
        <v>0.1</v>
      </c>
      <c r="G625" s="5" t="n">
        <v>4.833</v>
      </c>
      <c r="H625" s="5" t="n">
        <v>1.324</v>
      </c>
      <c r="I625" s="5" t="n">
        <v>0</v>
      </c>
      <c r="J625" s="5" t="n">
        <v>4.833</v>
      </c>
      <c r="K625" s="5" t="n">
        <v>0</v>
      </c>
      <c r="L625" s="5" t="n">
        <v>1</v>
      </c>
      <c r="M625" s="5" t="n">
        <v>7.124</v>
      </c>
      <c r="N625" s="5" t="n">
        <v>3.971</v>
      </c>
      <c r="O625" s="5" t="n">
        <v>0</v>
      </c>
      <c r="P625" s="5" t="n">
        <v>7.124</v>
      </c>
      <c r="Q625" s="5" t="n">
        <v>0</v>
      </c>
      <c r="R625" s="5" t="n">
        <v>1</v>
      </c>
      <c r="S625" s="5" t="n">
        <v>11.451</v>
      </c>
      <c r="T625" s="5" t="n">
        <v>7.942</v>
      </c>
      <c r="U625" s="5" t="n">
        <v>0.156</v>
      </c>
      <c r="V625" s="5" t="n">
        <v>12.596</v>
      </c>
      <c r="W625" s="5" t="n">
        <v>0.1</v>
      </c>
      <c r="X625" s="5" t="n">
        <v>1</v>
      </c>
      <c r="Y625" s="5" t="n">
        <v>11.872</v>
      </c>
      <c r="Z625" s="5" t="n">
        <v>1.465</v>
      </c>
      <c r="AA625" s="5" t="n">
        <v>0</v>
      </c>
      <c r="AB625" s="5" t="n">
        <v>11.872</v>
      </c>
      <c r="AC625" s="5" t="n">
        <v>0</v>
      </c>
      <c r="AD625" s="5" t="n">
        <v>1</v>
      </c>
      <c r="AE625" s="5" t="n">
        <v>13.196</v>
      </c>
      <c r="AF625" s="5" t="n">
        <v>2.877</v>
      </c>
      <c r="AG625" s="5" t="n">
        <v>0</v>
      </c>
      <c r="AH625" s="5" t="n">
        <v>13.196</v>
      </c>
      <c r="AI625" s="5" t="n">
        <v>0</v>
      </c>
      <c r="AJ625" s="5" t="n">
        <v>1</v>
      </c>
      <c r="AK625" s="5" t="n">
        <v>21.137</v>
      </c>
      <c r="AL625" s="5" t="n">
        <v>10.968</v>
      </c>
      <c r="AM625" s="5" t="n">
        <v>0.288</v>
      </c>
      <c r="AN625" s="5" t="n">
        <v>23.251</v>
      </c>
      <c r="AO625" s="5" t="n">
        <v>0.1</v>
      </c>
      <c r="AP625" s="5" t="n">
        <v>1</v>
      </c>
      <c r="AQ625" s="5" t="n">
        <v>0.72</v>
      </c>
      <c r="AR625" s="5" t="n">
        <v>0.132</v>
      </c>
      <c r="AS625" s="5" t="n">
        <v>0.4</v>
      </c>
      <c r="AT625" s="5" t="n">
        <v>1.231</v>
      </c>
      <c r="AU625" s="5" t="n">
        <v>0.1</v>
      </c>
      <c r="AV625" s="5" t="n">
        <v>1</v>
      </c>
      <c r="AW625" s="5" t="n">
        <v>0.734</v>
      </c>
      <c r="AX625" s="5" t="n">
        <v>0.132</v>
      </c>
      <c r="AY625" s="5" t="n">
        <v>0.286</v>
      </c>
      <c r="AZ625" s="5" t="n">
        <v>1.121</v>
      </c>
      <c r="BA625" s="5" t="n">
        <v>0.1</v>
      </c>
      <c r="BB625" s="5" t="n">
        <v>1</v>
      </c>
      <c r="BC625" s="5" t="n">
        <v>0.51</v>
      </c>
      <c r="BD625" s="5" t="n">
        <v>0.132</v>
      </c>
      <c r="BE625" s="5" t="n">
        <v>0.007</v>
      </c>
      <c r="BF625" s="5" t="n">
        <v>0.5610000000000001</v>
      </c>
      <c r="BG625" s="5" t="n">
        <v>0.1</v>
      </c>
      <c r="BH625" s="5" t="n">
        <v>1</v>
      </c>
      <c r="BI625" s="5" t="n">
        <v>0.652</v>
      </c>
      <c r="BJ625" s="5" t="n">
        <v>0.132</v>
      </c>
      <c r="BK625" s="5" t="n">
        <v>0.274</v>
      </c>
      <c r="BL625" s="5" t="n">
        <v>1.019</v>
      </c>
      <c r="BM625" s="5" t="n">
        <v>0.1</v>
      </c>
      <c r="BN625" s="5" t="n">
        <v>1</v>
      </c>
      <c r="BO625" s="5" t="n">
        <v>0</v>
      </c>
      <c r="BP625" s="5" t="n">
        <v>0</v>
      </c>
      <c r="BQ625" s="5" t="n">
        <v>0.185</v>
      </c>
      <c r="BR625" s="5" t="n">
        <v>0</v>
      </c>
      <c r="BS625" s="5" t="n">
        <v>0.333</v>
      </c>
      <c r="BT625" s="5" t="n">
        <v>0</v>
      </c>
      <c r="BU625" s="5" t="n">
        <v>0</v>
      </c>
      <c r="BV625" s="5" t="n">
        <v>0.258</v>
      </c>
      <c r="BW625" s="5" t="n">
        <v>0.1</v>
      </c>
      <c r="BX625" s="5" t="n">
        <v>0.333</v>
      </c>
      <c r="BY625" s="5" t="n">
        <v>13.646</v>
      </c>
      <c r="BZ625" s="5" t="n">
        <v>0</v>
      </c>
      <c r="CA625" s="5" t="n">
        <v>13.646</v>
      </c>
      <c r="CB625" s="5" t="n">
        <v>0</v>
      </c>
      <c r="CC625" s="5" t="n">
        <v>86.38500000000001</v>
      </c>
      <c r="CD625" s="5" t="n">
        <v>7.95</v>
      </c>
      <c r="CE625" s="5" t="n">
        <v>60.985</v>
      </c>
      <c r="CF625" s="5" t="n">
        <v>162.107</v>
      </c>
      <c r="CG625" s="5" t="n">
        <v>0.1</v>
      </c>
      <c r="CH625" s="5" t="n">
        <v>1</v>
      </c>
      <c r="CI625" s="5" t="n">
        <v>0</v>
      </c>
      <c r="CJ625" s="5" t="n">
        <v>0</v>
      </c>
      <c r="CK625" s="5" t="n">
        <v>0</v>
      </c>
      <c r="CL625" s="5" t="n">
        <v>0</v>
      </c>
      <c r="CM625" s="5" t="n">
        <v>0</v>
      </c>
      <c r="CN625" s="5" t="n">
        <v>0</v>
      </c>
      <c r="CO625" s="5" t="n">
        <v>0</v>
      </c>
      <c r="CP625" s="5" t="n">
        <v>0</v>
      </c>
      <c r="CQ625" s="5" t="n">
        <v>1.387</v>
      </c>
      <c r="CR625" s="5" t="n">
        <v>0</v>
      </c>
      <c r="CS625" s="5" t="n">
        <v>3.796</v>
      </c>
      <c r="CT625" s="5" t="n">
        <v>3.509</v>
      </c>
      <c r="CU625" s="5" t="n">
        <v>10.896</v>
      </c>
    </row>
    <row r="626">
      <c r="A626" s="5" t="inlineStr">
        <is>
          <t>PRY2021</t>
        </is>
      </c>
      <c r="B626" s="5" t="inlineStr">
        <is>
          <t>PRY</t>
        </is>
      </c>
      <c r="C626" s="5" t="inlineStr">
        <is>
          <t>PRY</t>
        </is>
      </c>
      <c r="D626" s="5" t="inlineStr">
        <is>
          <t>Paraguay</t>
        </is>
      </c>
      <c r="E626" s="5" t="n">
        <v>2021</v>
      </c>
      <c r="F626" s="5" t="n">
        <v>0.1</v>
      </c>
      <c r="G626" s="5" t="n">
        <v>5.897</v>
      </c>
      <c r="H626" s="5" t="n">
        <v>1.143</v>
      </c>
      <c r="I626" s="5" t="n">
        <v>0</v>
      </c>
      <c r="J626" s="5" t="n">
        <v>5.897</v>
      </c>
      <c r="K626" s="5" t="n">
        <v>0</v>
      </c>
      <c r="L626" s="5" t="n">
        <v>1</v>
      </c>
      <c r="M626" s="5" t="n">
        <v>7.964</v>
      </c>
      <c r="N626" s="5" t="n">
        <v>3.43</v>
      </c>
      <c r="O626" s="5" t="n">
        <v>0</v>
      </c>
      <c r="P626" s="5" t="n">
        <v>7.964</v>
      </c>
      <c r="Q626" s="5" t="n">
        <v>0</v>
      </c>
      <c r="R626" s="5" t="n">
        <v>1</v>
      </c>
      <c r="S626" s="5" t="n">
        <v>11.613</v>
      </c>
      <c r="T626" s="5" t="n">
        <v>6.86</v>
      </c>
      <c r="U626" s="5" t="n">
        <v>0</v>
      </c>
      <c r="V626" s="5" t="n">
        <v>12.775</v>
      </c>
      <c r="W626" s="5" t="n">
        <v>0.1</v>
      </c>
      <c r="X626" s="5" t="n">
        <v>1</v>
      </c>
      <c r="Y626" s="5" t="n">
        <v>17.127</v>
      </c>
      <c r="Z626" s="5" t="n">
        <v>2.304</v>
      </c>
      <c r="AA626" s="5" t="n">
        <v>0</v>
      </c>
      <c r="AB626" s="5" t="n">
        <v>17.127</v>
      </c>
      <c r="AC626" s="5" t="n">
        <v>0</v>
      </c>
      <c r="AD626" s="5" t="n">
        <v>1</v>
      </c>
      <c r="AE626" s="5" t="n">
        <v>18.27</v>
      </c>
      <c r="AF626" s="5" t="n">
        <v>4.278</v>
      </c>
      <c r="AG626" s="5" t="n">
        <v>0</v>
      </c>
      <c r="AH626" s="5" t="n">
        <v>18.27</v>
      </c>
      <c r="AI626" s="5" t="n">
        <v>0</v>
      </c>
      <c r="AJ626" s="5" t="n">
        <v>1</v>
      </c>
      <c r="AK626" s="5" t="n">
        <v>25.13</v>
      </c>
      <c r="AL626" s="5" t="n">
        <v>13.503</v>
      </c>
      <c r="AM626" s="5" t="n">
        <v>0</v>
      </c>
      <c r="AN626" s="5" t="n">
        <v>27.643</v>
      </c>
      <c r="AO626" s="5" t="n">
        <v>0.1</v>
      </c>
      <c r="AP626" s="5" t="n">
        <v>1</v>
      </c>
      <c r="AQ626" s="5" t="n">
        <v>0.649</v>
      </c>
      <c r="AR626" s="5" t="n">
        <v>0.114</v>
      </c>
      <c r="AS626" s="5" t="n">
        <v>0.237</v>
      </c>
      <c r="AT626" s="5" t="n">
        <v>0.886</v>
      </c>
      <c r="AU626" s="5" t="n">
        <v>0</v>
      </c>
      <c r="AV626" s="5" t="n">
        <v>1</v>
      </c>
      <c r="AW626" s="5" t="n">
        <v>0.577</v>
      </c>
      <c r="AX626" s="5" t="n">
        <v>0.114</v>
      </c>
      <c r="AY626" s="5" t="n">
        <v>0.224</v>
      </c>
      <c r="AZ626" s="5" t="n">
        <v>0.801</v>
      </c>
      <c r="BA626" s="5" t="n">
        <v>0</v>
      </c>
      <c r="BB626" s="5" t="n">
        <v>1</v>
      </c>
      <c r="BC626" s="5" t="n">
        <v>0.458</v>
      </c>
      <c r="BD626" s="5" t="n">
        <v>0.114</v>
      </c>
      <c r="BE626" s="5" t="n">
        <v>0.089</v>
      </c>
      <c r="BF626" s="5" t="n">
        <v>0.547</v>
      </c>
      <c r="BG626" s="5" t="n">
        <v>0</v>
      </c>
      <c r="BH626" s="5" t="n">
        <v>1</v>
      </c>
      <c r="BI626" s="5" t="n">
        <v>0.491</v>
      </c>
      <c r="BJ626" s="5" t="n">
        <v>0.114</v>
      </c>
      <c r="BK626" s="5" t="n">
        <v>0.55</v>
      </c>
      <c r="BL626" s="5" t="n">
        <v>1.041</v>
      </c>
      <c r="BM626" s="5" t="n">
        <v>0</v>
      </c>
      <c r="BN626" s="5" t="n">
        <v>1</v>
      </c>
      <c r="BO626" s="5" t="n">
        <v>0</v>
      </c>
      <c r="BP626" s="5" t="n">
        <v>0</v>
      </c>
      <c r="BQ626" s="5" t="n">
        <v>0.061</v>
      </c>
      <c r="BR626" s="5" t="n">
        <v>0</v>
      </c>
      <c r="BS626" s="5" t="n">
        <v>0.833</v>
      </c>
      <c r="BT626" s="5" t="n">
        <v>0</v>
      </c>
      <c r="BU626" s="5" t="n">
        <v>0</v>
      </c>
      <c r="BV626" s="5" t="n">
        <v>0.057</v>
      </c>
      <c r="BW626" s="5" t="n">
        <v>0.1</v>
      </c>
      <c r="BX626" s="5" t="n">
        <v>0.833</v>
      </c>
      <c r="BY626" s="5" t="n">
        <v>11.787</v>
      </c>
      <c r="BZ626" s="5" t="n">
        <v>0</v>
      </c>
      <c r="CA626" s="5" t="n">
        <v>11.787</v>
      </c>
      <c r="CB626" s="5" t="n">
        <v>0</v>
      </c>
      <c r="CC626" s="5" t="n">
        <v>78.125</v>
      </c>
      <c r="CD626" s="5" t="n">
        <v>7.95</v>
      </c>
      <c r="CE626" s="5" t="n">
        <v>78.56399999999999</v>
      </c>
      <c r="CF626" s="5" t="n">
        <v>172.358</v>
      </c>
      <c r="CG626" s="5" t="n">
        <v>0.1</v>
      </c>
      <c r="CH626" s="5" t="n">
        <v>1</v>
      </c>
      <c r="CI626" s="5" t="n">
        <v>0</v>
      </c>
      <c r="CJ626" s="5" t="n">
        <v>0</v>
      </c>
      <c r="CK626" s="5" t="n">
        <v>0</v>
      </c>
      <c r="CL626" s="5" t="n">
        <v>0</v>
      </c>
      <c r="CM626" s="5" t="n">
        <v>0</v>
      </c>
      <c r="CN626" s="5" t="n">
        <v>0</v>
      </c>
      <c r="CO626" s="5" t="n">
        <v>0</v>
      </c>
      <c r="CP626" s="5" t="n">
        <v>0</v>
      </c>
      <c r="CQ626" s="5" t="n">
        <v>1.198</v>
      </c>
      <c r="CR626" s="5" t="n">
        <v>0</v>
      </c>
      <c r="CS626" s="5" t="n">
        <v>4.776</v>
      </c>
      <c r="CT626" s="5" t="n">
        <v>4.753</v>
      </c>
      <c r="CU626" s="5" t="n">
        <v>15.983</v>
      </c>
    </row>
    <row r="627">
      <c r="A627" s="5" t="inlineStr">
        <is>
          <t>PRY2022</t>
        </is>
      </c>
      <c r="B627" s="5" t="inlineStr">
        <is>
          <t>PRY</t>
        </is>
      </c>
      <c r="C627" s="5" t="inlineStr">
        <is>
          <t>PRY</t>
        </is>
      </c>
      <c r="D627" s="5" t="inlineStr">
        <is>
          <t>Paraguay</t>
        </is>
      </c>
      <c r="E627" s="5" t="n">
        <v>2022</v>
      </c>
      <c r="F627" s="5" t="n">
        <v>0.1</v>
      </c>
      <c r="G627" s="5" t="n">
        <v>11.72</v>
      </c>
      <c r="H627" s="5" t="n">
        <v>1.235</v>
      </c>
      <c r="I627" s="5" t="n">
        <v>0</v>
      </c>
      <c r="J627" s="5" t="n">
        <v>11.72</v>
      </c>
      <c r="K627" s="5" t="n">
        <v>0</v>
      </c>
      <c r="L627" s="5" t="n">
        <v>1</v>
      </c>
      <c r="M627" s="5" t="n">
        <v>9.782999999999999</v>
      </c>
      <c r="N627" s="5" t="n">
        <v>3.704</v>
      </c>
      <c r="O627" s="5" t="n">
        <v>0</v>
      </c>
      <c r="P627" s="5" t="n">
        <v>9.782999999999999</v>
      </c>
      <c r="Q627" s="5" t="n">
        <v>0</v>
      </c>
      <c r="R627" s="5" t="n">
        <v>1</v>
      </c>
      <c r="S627" s="5" t="n">
        <v>17.893</v>
      </c>
      <c r="T627" s="5" t="n">
        <v>7.408</v>
      </c>
      <c r="U627" s="5" t="n">
        <v>0.132</v>
      </c>
      <c r="V627" s="5" t="n">
        <v>19.683</v>
      </c>
      <c r="W627" s="5" t="n">
        <v>0.1</v>
      </c>
      <c r="X627" s="5" t="n">
        <v>1</v>
      </c>
      <c r="Y627" s="5" t="n">
        <v>30.728</v>
      </c>
      <c r="Z627" s="5" t="n">
        <v>4.133</v>
      </c>
      <c r="AA627" s="5" t="n">
        <v>0</v>
      </c>
      <c r="AB627" s="5" t="n">
        <v>30.728</v>
      </c>
      <c r="AC627" s="5" t="n">
        <v>0</v>
      </c>
      <c r="AD627" s="5" t="n">
        <v>1</v>
      </c>
      <c r="AE627" s="5" t="n">
        <v>31.963</v>
      </c>
      <c r="AF627" s="5" t="n">
        <v>7.485</v>
      </c>
      <c r="AG627" s="5" t="n">
        <v>0</v>
      </c>
      <c r="AH627" s="5" t="n">
        <v>31.963</v>
      </c>
      <c r="AI627" s="5" t="n">
        <v>0</v>
      </c>
      <c r="AJ627" s="5" t="n">
        <v>1</v>
      </c>
      <c r="AK627" s="5" t="n">
        <v>39.371</v>
      </c>
      <c r="AL627" s="5" t="n">
        <v>21.155</v>
      </c>
      <c r="AM627" s="5" t="n">
        <v>0.291</v>
      </c>
      <c r="AN627" s="5" t="n">
        <v>43.308</v>
      </c>
      <c r="AO627" s="5" t="n">
        <v>0.1</v>
      </c>
      <c r="AP627" s="5" t="n">
        <v>1</v>
      </c>
      <c r="AQ627" s="5" t="n">
        <v>0.896</v>
      </c>
      <c r="AR627" s="5" t="n">
        <v>0.123</v>
      </c>
      <c r="AS627" s="5" t="n">
        <v>0.211</v>
      </c>
      <c r="AT627" s="5" t="n">
        <v>1.107</v>
      </c>
      <c r="AU627" s="5" t="n">
        <v>0</v>
      </c>
      <c r="AV627" s="5" t="n">
        <v>1</v>
      </c>
      <c r="AW627" s="5" t="n">
        <v>0.89</v>
      </c>
      <c r="AX627" s="5" t="n">
        <v>0.123</v>
      </c>
      <c r="AY627" s="5" t="n">
        <v>0.149</v>
      </c>
      <c r="AZ627" s="5" t="n">
        <v>1.039</v>
      </c>
      <c r="BA627" s="5" t="n">
        <v>0</v>
      </c>
      <c r="BB627" s="5" t="n">
        <v>1</v>
      </c>
      <c r="BC627" s="5" t="n">
        <v>0.62</v>
      </c>
      <c r="BD627" s="5" t="n">
        <v>0.123</v>
      </c>
      <c r="BE627" s="5" t="n">
        <v>0.096</v>
      </c>
      <c r="BF627" s="5" t="n">
        <v>0.716</v>
      </c>
      <c r="BG627" s="5" t="n">
        <v>0</v>
      </c>
      <c r="BH627" s="5" t="n">
        <v>1</v>
      </c>
      <c r="BI627" s="5" t="n">
        <v>0.608</v>
      </c>
      <c r="BJ627" s="5" t="n">
        <v>0.123</v>
      </c>
      <c r="BK627" s="5" t="n">
        <v>0.594</v>
      </c>
      <c r="BL627" s="5" t="n">
        <v>1.201</v>
      </c>
      <c r="BM627" s="5" t="n">
        <v>0</v>
      </c>
      <c r="BN627" s="5" t="n">
        <v>1</v>
      </c>
      <c r="BO627" s="5" t="n">
        <v>0</v>
      </c>
      <c r="BP627" s="5" t="n">
        <v>0</v>
      </c>
      <c r="BQ627" s="5" t="n">
        <v>0.04</v>
      </c>
      <c r="BR627" s="5" t="n">
        <v>0</v>
      </c>
      <c r="BS627" s="5" t="n">
        <v>0.833</v>
      </c>
      <c r="BT627" s="5" t="n">
        <v>0</v>
      </c>
      <c r="BU627" s="5" t="n">
        <v>0</v>
      </c>
      <c r="BV627" s="5" t="n">
        <v>0.034</v>
      </c>
      <c r="BW627" s="5" t="n">
        <v>0.1</v>
      </c>
      <c r="BX627" s="5" t="n">
        <v>0.833</v>
      </c>
      <c r="BY627" s="5" t="n">
        <v>12.729</v>
      </c>
      <c r="BZ627" s="5" t="n">
        <v>0</v>
      </c>
      <c r="CA627" s="5" t="n">
        <v>12.729</v>
      </c>
      <c r="CB627" s="5" t="n">
        <v>0</v>
      </c>
      <c r="CC627" s="5" t="n">
        <v>97.90000000000001</v>
      </c>
      <c r="CD627" s="5" t="n">
        <v>7.95</v>
      </c>
      <c r="CE627" s="5" t="n">
        <v>84.95699999999999</v>
      </c>
      <c r="CF627" s="5" t="n">
        <v>199.665</v>
      </c>
      <c r="CG627" s="5" t="n">
        <v>0.1</v>
      </c>
      <c r="CH627" s="5" t="n">
        <v>1</v>
      </c>
      <c r="CI627" s="5" t="n">
        <v>0</v>
      </c>
      <c r="CJ627" s="5" t="n">
        <v>0</v>
      </c>
      <c r="CK627" s="5" t="n">
        <v>0</v>
      </c>
      <c r="CL627" s="5" t="n">
        <v>0</v>
      </c>
      <c r="CM627" s="5" t="n">
        <v>0</v>
      </c>
      <c r="CN627" s="5" t="n">
        <v>0</v>
      </c>
      <c r="CO627" s="5" t="n">
        <v>0</v>
      </c>
      <c r="CP627" s="5" t="n">
        <v>0</v>
      </c>
      <c r="CQ627" s="5" t="n">
        <v>1.294</v>
      </c>
      <c r="CR627" s="5" t="n">
        <v>0</v>
      </c>
      <c r="CS627" s="5" t="n">
        <v>5.158</v>
      </c>
      <c r="CT627" s="5" t="n">
        <v>10.485</v>
      </c>
      <c r="CU627" s="5" t="n">
        <v>29.494</v>
      </c>
    </row>
    <row r="628">
      <c r="A628" s="5" t="inlineStr">
        <is>
          <t>PRY2023</t>
        </is>
      </c>
      <c r="B628" s="5" t="inlineStr">
        <is>
          <t>PRY</t>
        </is>
      </c>
      <c r="C628" s="5" t="inlineStr">
        <is>
          <t>PRY</t>
        </is>
      </c>
      <c r="D628" s="5" t="inlineStr">
        <is>
          <t>Paraguay</t>
        </is>
      </c>
      <c r="E628" s="5" t="n">
        <v>2023</v>
      </c>
      <c r="F628" s="5" t="n">
        <v>0.1</v>
      </c>
      <c r="G628" s="5" t="n">
        <v>6.147</v>
      </c>
      <c r="H628" s="5" t="n">
        <v>1.286</v>
      </c>
      <c r="I628" s="5" t="n">
        <v>0</v>
      </c>
      <c r="J628" s="5" t="n">
        <v>6.147</v>
      </c>
      <c r="K628" s="5" t="n">
        <v>0</v>
      </c>
      <c r="L628" s="5" t="n">
        <v>1</v>
      </c>
      <c r="M628" s="5" t="n">
        <v>7.886</v>
      </c>
      <c r="N628" s="5" t="n">
        <v>3.857</v>
      </c>
      <c r="O628" s="5" t="n">
        <v>0</v>
      </c>
      <c r="P628" s="5" t="n">
        <v>7.886</v>
      </c>
      <c r="Q628" s="5" t="n">
        <v>0</v>
      </c>
      <c r="R628" s="5" t="n">
        <v>1</v>
      </c>
      <c r="S628" s="5" t="n">
        <v>12.575</v>
      </c>
      <c r="T628" s="5" t="n">
        <v>7.714</v>
      </c>
      <c r="U628" s="5" t="n">
        <v>0.139</v>
      </c>
      <c r="V628" s="5" t="n">
        <v>13.833</v>
      </c>
      <c r="W628" s="5" t="n">
        <v>0.1</v>
      </c>
      <c r="X628" s="5" t="n">
        <v>1</v>
      </c>
      <c r="Y628" s="5" t="n">
        <v>12.478</v>
      </c>
      <c r="Z628" s="5" t="n">
        <v>1.678</v>
      </c>
      <c r="AA628" s="5" t="n">
        <v>0</v>
      </c>
      <c r="AB628" s="5" t="n">
        <v>12.478</v>
      </c>
      <c r="AC628" s="5" t="n">
        <v>0</v>
      </c>
      <c r="AD628" s="5" t="n">
        <v>1</v>
      </c>
      <c r="AE628" s="5" t="n">
        <v>13.763</v>
      </c>
      <c r="AF628" s="5" t="n">
        <v>3.223</v>
      </c>
      <c r="AG628" s="5" t="n">
        <v>0</v>
      </c>
      <c r="AH628" s="5" t="n">
        <v>13.763</v>
      </c>
      <c r="AI628" s="5" t="n">
        <v>0</v>
      </c>
      <c r="AJ628" s="5" t="n">
        <v>1</v>
      </c>
      <c r="AK628" s="5" t="n">
        <v>21.477</v>
      </c>
      <c r="AL628" s="5" t="n">
        <v>11.54</v>
      </c>
      <c r="AM628" s="5" t="n">
        <v>0.238</v>
      </c>
      <c r="AN628" s="5" t="n">
        <v>23.625</v>
      </c>
      <c r="AO628" s="5" t="n">
        <v>0.1</v>
      </c>
      <c r="AP628" s="5" t="n">
        <v>1</v>
      </c>
      <c r="AQ628" s="5" t="n">
        <v>0.791</v>
      </c>
      <c r="AR628" s="5" t="n">
        <v>0.129</v>
      </c>
      <c r="AS628" s="5" t="n">
        <v>0.124</v>
      </c>
      <c r="AT628" s="5" t="n">
        <v>0.915</v>
      </c>
      <c r="AU628" s="5" t="n">
        <v>0</v>
      </c>
      <c r="AV628" s="5" t="n">
        <v>1</v>
      </c>
      <c r="AW628" s="5" t="n">
        <v>0.618</v>
      </c>
      <c r="AX628" s="5" t="n">
        <v>0.129</v>
      </c>
      <c r="AY628" s="5" t="n">
        <v>0.442</v>
      </c>
      <c r="AZ628" s="5" t="n">
        <v>1.06</v>
      </c>
      <c r="BA628" s="5" t="n">
        <v>0</v>
      </c>
      <c r="BB628" s="5" t="n">
        <v>1</v>
      </c>
      <c r="BC628" s="5" t="n">
        <v>0.554</v>
      </c>
      <c r="BD628" s="5" t="n">
        <v>0.129</v>
      </c>
      <c r="BE628" s="5" t="n">
        <v>0.1</v>
      </c>
      <c r="BF628" s="5" t="n">
        <v>0.655</v>
      </c>
      <c r="BG628" s="5" t="n">
        <v>0</v>
      </c>
      <c r="BH628" s="5" t="n">
        <v>1</v>
      </c>
      <c r="BI628" s="5" t="n">
        <v>0.5570000000000001</v>
      </c>
      <c r="BJ628" s="5" t="n">
        <v>0.129</v>
      </c>
      <c r="BK628" s="5" t="n">
        <v>0.618</v>
      </c>
      <c r="BL628" s="5" t="n">
        <v>1.176</v>
      </c>
      <c r="BM628" s="5" t="n">
        <v>0</v>
      </c>
      <c r="BN628" s="5" t="n">
        <v>1</v>
      </c>
      <c r="BO628" s="5" t="n">
        <v>0</v>
      </c>
      <c r="BP628" s="5" t="n">
        <v>0</v>
      </c>
      <c r="BQ628" s="5" t="n">
        <v>0.04</v>
      </c>
      <c r="BR628" s="5" t="n">
        <v>0</v>
      </c>
      <c r="BS628" s="5" t="n">
        <v>0.833</v>
      </c>
      <c r="BT628" s="5" t="n">
        <v>0</v>
      </c>
      <c r="BU628" s="5" t="n">
        <v>0</v>
      </c>
      <c r="BV628" s="5" t="n">
        <v>0.035</v>
      </c>
      <c r="BW628" s="5" t="n">
        <v>0.1</v>
      </c>
      <c r="BX628" s="5" t="n">
        <v>0.833</v>
      </c>
      <c r="BY628" s="5" t="n">
        <v>13.254</v>
      </c>
      <c r="BZ628" s="5" t="n">
        <v>0</v>
      </c>
      <c r="CA628" s="5" t="n">
        <v>13.254</v>
      </c>
      <c r="CB628" s="5" t="n">
        <v>0</v>
      </c>
      <c r="CC628" s="5" t="n">
        <v>83.248</v>
      </c>
      <c r="CD628" s="5" t="n">
        <v>7.95</v>
      </c>
      <c r="CE628" s="5" t="n">
        <v>90.669</v>
      </c>
      <c r="CF628" s="5" t="n">
        <v>189.213</v>
      </c>
      <c r="CG628" s="5" t="n">
        <v>0.1</v>
      </c>
      <c r="CH628" s="5" t="n">
        <v>1</v>
      </c>
      <c r="CI628" s="5" t="n">
        <v>0</v>
      </c>
      <c r="CJ628" s="5" t="n">
        <v>0</v>
      </c>
      <c r="CK628" s="5" t="n">
        <v>0</v>
      </c>
      <c r="CL628" s="5" t="n">
        <v>0</v>
      </c>
      <c r="CM628" s="5" t="n">
        <v>0</v>
      </c>
      <c r="CN628" s="5" t="n">
        <v>0</v>
      </c>
      <c r="CO628" s="5" t="n">
        <v>0</v>
      </c>
      <c r="CP628" s="5" t="n">
        <v>0</v>
      </c>
      <c r="CQ628" s="5" t="n">
        <v>1.348</v>
      </c>
      <c r="CR628" s="5" t="n">
        <v>0</v>
      </c>
      <c r="CS628" s="5" t="n">
        <v>5.37</v>
      </c>
      <c r="CT628" s="5" t="n">
        <v>4.861</v>
      </c>
      <c r="CU628" s="5" t="n">
        <v>11.192</v>
      </c>
    </row>
    <row r="629">
      <c r="A629" s="5" t="inlineStr">
        <is>
          <t>PRY2024</t>
        </is>
      </c>
      <c r="B629" s="5" t="inlineStr">
        <is>
          <t>PRY</t>
        </is>
      </c>
      <c r="C629" s="5" t="inlineStr">
        <is>
          <t>PRY</t>
        </is>
      </c>
      <c r="D629" s="5" t="inlineStr">
        <is>
          <t>Paraguay</t>
        </is>
      </c>
      <c r="E629" s="5" t="n">
        <v>2024</v>
      </c>
      <c r="F629" s="5" t="n">
        <v>0.1</v>
      </c>
      <c r="G629" s="5" t="n">
        <v>5.575</v>
      </c>
      <c r="H629" s="5" t="n">
        <v>1.324</v>
      </c>
      <c r="I629" s="5" t="n">
        <v>0</v>
      </c>
      <c r="J629" s="5" t="n">
        <v>5.575</v>
      </c>
      <c r="K629" s="5" t="n">
        <v>0</v>
      </c>
      <c r="L629" s="5" t="n">
        <v>1</v>
      </c>
      <c r="M629" s="5" t="n">
        <v>7.124</v>
      </c>
      <c r="N629" s="5" t="n">
        <v>3.971</v>
      </c>
      <c r="O629" s="5" t="n">
        <v>0</v>
      </c>
      <c r="P629" s="5" t="n">
        <v>7.124</v>
      </c>
      <c r="Q629" s="5" t="n">
        <v>0</v>
      </c>
      <c r="R629" s="5" t="n">
        <v>1</v>
      </c>
      <c r="S629" s="5" t="n">
        <v>12.193</v>
      </c>
      <c r="T629" s="5" t="n">
        <v>7.942</v>
      </c>
      <c r="U629" s="5" t="n">
        <v>0.166</v>
      </c>
      <c r="V629" s="5" t="n">
        <v>13.412</v>
      </c>
      <c r="W629" s="5" t="n">
        <v>0.1</v>
      </c>
      <c r="X629" s="5" t="n">
        <v>1</v>
      </c>
      <c r="Y629" s="5" t="n">
        <v>11.447</v>
      </c>
      <c r="Z629" s="5" t="n">
        <v>1.54</v>
      </c>
      <c r="AA629" s="5" t="n">
        <v>0</v>
      </c>
      <c r="AB629" s="5" t="n">
        <v>11.447</v>
      </c>
      <c r="AC629" s="5" t="n">
        <v>0</v>
      </c>
      <c r="AD629" s="5" t="n">
        <v>1</v>
      </c>
      <c r="AE629" s="5" t="n">
        <v>12.771</v>
      </c>
      <c r="AF629" s="5" t="n">
        <v>2.991</v>
      </c>
      <c r="AG629" s="5" t="n">
        <v>0</v>
      </c>
      <c r="AH629" s="5" t="n">
        <v>12.771</v>
      </c>
      <c r="AI629" s="5" t="n">
        <v>0</v>
      </c>
      <c r="AJ629" s="5" t="n">
        <v>1</v>
      </c>
      <c r="AK629" s="5" t="n">
        <v>20.712</v>
      </c>
      <c r="AL629" s="5" t="n">
        <v>11.129</v>
      </c>
      <c r="AM629" s="5" t="n">
        <v>0.282</v>
      </c>
      <c r="AN629" s="5" t="n">
        <v>22.784</v>
      </c>
      <c r="AO629" s="5" t="n">
        <v>0.1</v>
      </c>
      <c r="AP629" s="5" t="n">
        <v>1</v>
      </c>
      <c r="AQ629" s="5" t="n">
        <v>0.756</v>
      </c>
      <c r="AR629" s="5" t="n">
        <v>0.132</v>
      </c>
      <c r="AS629" s="5" t="n">
        <v>-0.024</v>
      </c>
      <c r="AT629" s="5" t="n">
        <v>0.732</v>
      </c>
      <c r="AU629" s="5" t="n">
        <v>0</v>
      </c>
      <c r="AV629" s="5" t="n">
        <v>1</v>
      </c>
      <c r="AW629" s="5" t="n">
        <v>0.655</v>
      </c>
      <c r="AX629" s="5" t="n">
        <v>0.132</v>
      </c>
      <c r="AY629" s="5" t="n">
        <v>0.362</v>
      </c>
      <c r="AZ629" s="5" t="n">
        <v>1.017</v>
      </c>
      <c r="BA629" s="5" t="n">
        <v>0</v>
      </c>
      <c r="BB629" s="5" t="n">
        <v>1</v>
      </c>
      <c r="BC629" s="5" t="n">
        <v>0.534</v>
      </c>
      <c r="BD629" s="5" t="n">
        <v>0.132</v>
      </c>
      <c r="BE629" s="5" t="n">
        <v>0.103</v>
      </c>
      <c r="BF629" s="5" t="n">
        <v>0.637</v>
      </c>
      <c r="BG629" s="5" t="n">
        <v>0</v>
      </c>
      <c r="BH629" s="5" t="n">
        <v>1</v>
      </c>
      <c r="BI629" s="5" t="n">
        <v>0.5679999999999999</v>
      </c>
      <c r="BJ629" s="5" t="n">
        <v>0.132</v>
      </c>
      <c r="BK629" s="5" t="n">
        <v>0.637</v>
      </c>
      <c r="BL629" s="5" t="n">
        <v>1.204</v>
      </c>
      <c r="BM629" s="5" t="n">
        <v>0</v>
      </c>
      <c r="BN629" s="5" t="n">
        <v>1</v>
      </c>
      <c r="BO629" s="5" t="n">
        <v>0</v>
      </c>
      <c r="BP629" s="5" t="n">
        <v>0</v>
      </c>
      <c r="BQ629" s="5" t="n">
        <v>0.041</v>
      </c>
      <c r="BR629" s="5" t="n">
        <v>0</v>
      </c>
      <c r="BS629" s="5" t="n">
        <v>0.833</v>
      </c>
      <c r="BT629" s="5" t="n">
        <v>0</v>
      </c>
      <c r="BU629" s="5" t="n">
        <v>0</v>
      </c>
      <c r="BV629" s="5" t="n">
        <v>0.046</v>
      </c>
      <c r="BW629" s="5" t="n">
        <v>0.1</v>
      </c>
      <c r="BX629" s="5" t="n">
        <v>0.833</v>
      </c>
      <c r="BY629" s="5" t="n">
        <v>13.646</v>
      </c>
      <c r="BZ629" s="5" t="n">
        <v>0</v>
      </c>
      <c r="CA629" s="5" t="n">
        <v>13.646</v>
      </c>
      <c r="CB629" s="5" t="n">
        <v>0</v>
      </c>
      <c r="CC629" s="5" t="n">
        <v>82.58799999999999</v>
      </c>
      <c r="CD629" s="5" t="n">
        <v>7.95</v>
      </c>
      <c r="CE629" s="5" t="n">
        <v>94.041</v>
      </c>
      <c r="CF629" s="5" t="n">
        <v>191.681</v>
      </c>
      <c r="CG629" s="5" t="n">
        <v>0.1</v>
      </c>
      <c r="CH629" s="5" t="n">
        <v>1</v>
      </c>
      <c r="CI629" s="5" t="n">
        <v>0</v>
      </c>
      <c r="CJ629" s="5" t="n">
        <v>0</v>
      </c>
      <c r="CK629" s="5" t="n">
        <v>0</v>
      </c>
      <c r="CL629" s="5" t="n">
        <v>0</v>
      </c>
      <c r="CM629" s="5" t="n">
        <v>0</v>
      </c>
      <c r="CN629" s="5" t="n">
        <v>0</v>
      </c>
      <c r="CO629" s="5" t="n">
        <v>0</v>
      </c>
      <c r="CP629" s="5" t="n">
        <v>0</v>
      </c>
      <c r="CQ629" s="5" t="n">
        <v>1.387</v>
      </c>
      <c r="CR629" s="5" t="n">
        <v>0</v>
      </c>
      <c r="CS629" s="5" t="n">
        <v>5.529</v>
      </c>
      <c r="CT629" s="5" t="n">
        <v>4.251</v>
      </c>
      <c r="CU629" s="5" t="n">
        <v>10.123</v>
      </c>
    </row>
    <row r="630">
      <c r="A630" s="5" t="inlineStr">
        <is>
          <t>PER2021</t>
        </is>
      </c>
      <c r="B630" s="5" t="inlineStr">
        <is>
          <t>PER</t>
        </is>
      </c>
      <c r="C630" s="5" t="inlineStr">
        <is>
          <t>PER</t>
        </is>
      </c>
      <c r="D630" s="5" t="inlineStr">
        <is>
          <t>Peru</t>
        </is>
      </c>
      <c r="E630" s="5" t="n">
        <v>2021</v>
      </c>
      <c r="F630" s="5" t="n">
        <v>0.18</v>
      </c>
      <c r="G630" s="5" t="n">
        <v>3.135</v>
      </c>
      <c r="H630" s="5" t="n">
        <v>0.761</v>
      </c>
      <c r="I630" s="5" t="n">
        <v>0.485</v>
      </c>
      <c r="J630" s="5" t="n">
        <v>3.62</v>
      </c>
      <c r="K630" s="5" t="n">
        <v>0</v>
      </c>
      <c r="L630" s="5" t="n">
        <v>1</v>
      </c>
      <c r="M630" s="5" t="n">
        <v>4.584</v>
      </c>
      <c r="N630" s="5" t="n">
        <v>2.282</v>
      </c>
      <c r="O630" s="5" t="n">
        <v>0.451</v>
      </c>
      <c r="P630" s="5" t="n">
        <v>5.035</v>
      </c>
      <c r="Q630" s="5" t="n">
        <v>0</v>
      </c>
      <c r="R630" s="5" t="n">
        <v>1</v>
      </c>
      <c r="S630" s="5" t="n">
        <v>6.938</v>
      </c>
      <c r="T630" s="5" t="n">
        <v>4.564</v>
      </c>
      <c r="U630" s="5" t="n">
        <v>0.485</v>
      </c>
      <c r="V630" s="5" t="n">
        <v>8.76</v>
      </c>
      <c r="W630" s="5" t="n">
        <v>0.18</v>
      </c>
      <c r="X630" s="5" t="n">
        <v>1</v>
      </c>
      <c r="Y630" s="5" t="n">
        <v>4.539</v>
      </c>
      <c r="Z630" s="5" t="n">
        <v>0.498</v>
      </c>
      <c r="AA630" s="5" t="n">
        <v>0</v>
      </c>
      <c r="AB630" s="5" t="n">
        <v>4.539</v>
      </c>
      <c r="AC630" s="5" t="n">
        <v>0</v>
      </c>
      <c r="AD630" s="5" t="n">
        <v>1</v>
      </c>
      <c r="AE630" s="5" t="n">
        <v>5.111</v>
      </c>
      <c r="AF630" s="5" t="n">
        <v>0.994</v>
      </c>
      <c r="AG630" s="5" t="n">
        <v>0</v>
      </c>
      <c r="AH630" s="5" t="n">
        <v>5.111</v>
      </c>
      <c r="AI630" s="5" t="n">
        <v>0</v>
      </c>
      <c r="AJ630" s="5" t="n">
        <v>1</v>
      </c>
      <c r="AK630" s="5" t="n">
        <v>8.541</v>
      </c>
      <c r="AL630" s="5" t="n">
        <v>4.029</v>
      </c>
      <c r="AM630" s="5" t="n">
        <v>0</v>
      </c>
      <c r="AN630" s="5" t="n">
        <v>10.078</v>
      </c>
      <c r="AO630" s="5" t="n">
        <v>0.18</v>
      </c>
      <c r="AP630" s="5" t="n">
        <v>1</v>
      </c>
      <c r="AQ630" s="5" t="n">
        <v>0.649</v>
      </c>
      <c r="AR630" s="5" t="n">
        <v>0.114</v>
      </c>
      <c r="AS630" s="5" t="n">
        <v>0.193</v>
      </c>
      <c r="AT630" s="5" t="n">
        <v>0.993</v>
      </c>
      <c r="AU630" s="5" t="n">
        <v>0.18</v>
      </c>
      <c r="AV630" s="5" t="n">
        <v>1</v>
      </c>
      <c r="AW630" s="5" t="n">
        <v>0.577</v>
      </c>
      <c r="AX630" s="5" t="n">
        <v>0.114</v>
      </c>
      <c r="AY630" s="5" t="n">
        <v>0.256</v>
      </c>
      <c r="AZ630" s="5" t="n">
        <v>0.983</v>
      </c>
      <c r="BA630" s="5" t="n">
        <v>0.18</v>
      </c>
      <c r="BB630" s="5" t="n">
        <v>1</v>
      </c>
      <c r="BC630" s="5" t="n">
        <v>0.458</v>
      </c>
      <c r="BD630" s="5" t="n">
        <v>0.114</v>
      </c>
      <c r="BE630" s="5" t="n">
        <v>0.08599999999999999</v>
      </c>
      <c r="BF630" s="5" t="n">
        <v>0.642</v>
      </c>
      <c r="BG630" s="5" t="n">
        <v>0.18</v>
      </c>
      <c r="BH630" s="5" t="n">
        <v>1</v>
      </c>
      <c r="BI630" s="5" t="n">
        <v>0.491</v>
      </c>
      <c r="BJ630" s="5" t="n">
        <v>0.114</v>
      </c>
      <c r="BK630" s="5" t="n">
        <v>0.336</v>
      </c>
      <c r="BL630" s="5" t="n">
        <v>0.976</v>
      </c>
      <c r="BM630" s="5" t="n">
        <v>0.18</v>
      </c>
      <c r="BN630" s="5" t="n">
        <v>1</v>
      </c>
      <c r="BO630" s="5" t="n">
        <v>0</v>
      </c>
      <c r="BP630" s="5" t="n">
        <v>0</v>
      </c>
      <c r="BQ630" s="5" t="n">
        <v>0.091</v>
      </c>
      <c r="BR630" s="5" t="n">
        <v>0</v>
      </c>
      <c r="BS630" s="5" t="n">
        <v>1</v>
      </c>
      <c r="BT630" s="5" t="n">
        <v>0</v>
      </c>
      <c r="BU630" s="5" t="n">
        <v>0</v>
      </c>
      <c r="BV630" s="5" t="n">
        <v>0.153</v>
      </c>
      <c r="BW630" s="5" t="n">
        <v>0.18</v>
      </c>
      <c r="BX630" s="5" t="n">
        <v>0.833</v>
      </c>
      <c r="BY630" s="5" t="n">
        <v>11.787</v>
      </c>
      <c r="BZ630" s="5" t="n">
        <v>0</v>
      </c>
      <c r="CA630" s="5" t="n">
        <v>11.787</v>
      </c>
      <c r="CB630" s="5" t="n">
        <v>0</v>
      </c>
      <c r="CC630" s="5" t="n">
        <v>78.125</v>
      </c>
      <c r="CD630" s="5" t="n">
        <v>7.95</v>
      </c>
      <c r="CE630" s="5" t="n">
        <v>21.472</v>
      </c>
      <c r="CF630" s="5" t="n">
        <v>117.525</v>
      </c>
      <c r="CG630" s="5" t="n">
        <v>0.18</v>
      </c>
      <c r="CH630" s="5" t="n">
        <v>1</v>
      </c>
      <c r="CI630" s="5" t="n">
        <v>0</v>
      </c>
      <c r="CJ630" s="5" t="n">
        <v>0</v>
      </c>
      <c r="CK630" s="5" t="n">
        <v>0</v>
      </c>
      <c r="CL630" s="5" t="n">
        <v>0</v>
      </c>
      <c r="CM630" s="5" t="n">
        <v>0</v>
      </c>
      <c r="CN630" s="5" t="n">
        <v>0</v>
      </c>
      <c r="CO630" s="5" t="n">
        <v>0</v>
      </c>
      <c r="CP630" s="5" t="n">
        <v>0.669</v>
      </c>
      <c r="CQ630" s="5" t="n">
        <v>1.198</v>
      </c>
      <c r="CR630" s="5" t="n">
        <v>1</v>
      </c>
      <c r="CS630" s="5" t="n">
        <v>3.967</v>
      </c>
      <c r="CT630" s="5" t="n">
        <v>4.753</v>
      </c>
      <c r="CU630" s="5" t="n">
        <v>14.129</v>
      </c>
    </row>
    <row r="631">
      <c r="A631" s="5" t="inlineStr">
        <is>
          <t>PER2022</t>
        </is>
      </c>
      <c r="B631" s="5" t="inlineStr">
        <is>
          <t>PER</t>
        </is>
      </c>
      <c r="C631" s="5" t="inlineStr">
        <is>
          <t>PER</t>
        </is>
      </c>
      <c r="D631" s="5" t="inlineStr">
        <is>
          <t>Peru</t>
        </is>
      </c>
      <c r="E631" s="5" t="n">
        <v>2022</v>
      </c>
      <c r="F631" s="5" t="n">
        <v>0.18</v>
      </c>
      <c r="G631" s="5" t="n">
        <v>6.429</v>
      </c>
      <c r="H631" s="5" t="n">
        <v>0.902</v>
      </c>
      <c r="I631" s="5" t="n">
        <v>0.494</v>
      </c>
      <c r="J631" s="5" t="n">
        <v>6.923</v>
      </c>
      <c r="K631" s="5" t="n">
        <v>0</v>
      </c>
      <c r="L631" s="5" t="n">
        <v>1</v>
      </c>
      <c r="M631" s="5" t="n">
        <v>6.203</v>
      </c>
      <c r="N631" s="5" t="n">
        <v>2.705</v>
      </c>
      <c r="O631" s="5" t="n">
        <v>0.476</v>
      </c>
      <c r="P631" s="5" t="n">
        <v>6.678</v>
      </c>
      <c r="Q631" s="5" t="n">
        <v>0</v>
      </c>
      <c r="R631" s="5" t="n">
        <v>1</v>
      </c>
      <c r="S631" s="5" t="n">
        <v>10.937</v>
      </c>
      <c r="T631" s="5" t="n">
        <v>5.41</v>
      </c>
      <c r="U631" s="5" t="n">
        <v>0.646</v>
      </c>
      <c r="V631" s="5" t="n">
        <v>13.489</v>
      </c>
      <c r="W631" s="5" t="n">
        <v>0.18</v>
      </c>
      <c r="X631" s="5" t="n">
        <v>1</v>
      </c>
      <c r="Y631" s="5" t="n">
        <v>4.902</v>
      </c>
      <c r="Z631" s="5" t="n">
        <v>0.538</v>
      </c>
      <c r="AA631" s="5" t="n">
        <v>0</v>
      </c>
      <c r="AB631" s="5" t="n">
        <v>4.902</v>
      </c>
      <c r="AC631" s="5" t="n">
        <v>0</v>
      </c>
      <c r="AD631" s="5" t="n">
        <v>1</v>
      </c>
      <c r="AE631" s="5" t="n">
        <v>5.519</v>
      </c>
      <c r="AF631" s="5" t="n">
        <v>1.073</v>
      </c>
      <c r="AG631" s="5" t="n">
        <v>0</v>
      </c>
      <c r="AH631" s="5" t="n">
        <v>5.519</v>
      </c>
      <c r="AI631" s="5" t="n">
        <v>0</v>
      </c>
      <c r="AJ631" s="5" t="n">
        <v>1</v>
      </c>
      <c r="AK631" s="5" t="n">
        <v>9.223000000000001</v>
      </c>
      <c r="AL631" s="5" t="n">
        <v>4.351</v>
      </c>
      <c r="AM631" s="5" t="n">
        <v>0.123</v>
      </c>
      <c r="AN631" s="5" t="n">
        <v>10.884</v>
      </c>
      <c r="AO631" s="5" t="n">
        <v>0.18</v>
      </c>
      <c r="AP631" s="5" t="n">
        <v>1</v>
      </c>
      <c r="AQ631" s="5" t="n">
        <v>0.896</v>
      </c>
      <c r="AR631" s="5" t="n">
        <v>0.123</v>
      </c>
      <c r="AS631" s="5" t="n">
        <v>0.234</v>
      </c>
      <c r="AT631" s="5" t="n">
        <v>1.333</v>
      </c>
      <c r="AU631" s="5" t="n">
        <v>0.18</v>
      </c>
      <c r="AV631" s="5" t="n">
        <v>1</v>
      </c>
      <c r="AW631" s="5" t="n">
        <v>0.89</v>
      </c>
      <c r="AX631" s="5" t="n">
        <v>0.123</v>
      </c>
      <c r="AY631" s="5" t="n">
        <v>0.141</v>
      </c>
      <c r="AZ631" s="5" t="n">
        <v>1.217</v>
      </c>
      <c r="BA631" s="5" t="n">
        <v>0.18</v>
      </c>
      <c r="BB631" s="5" t="n">
        <v>1</v>
      </c>
      <c r="BC631" s="5" t="n">
        <v>0.62</v>
      </c>
      <c r="BD631" s="5" t="n">
        <v>0.123</v>
      </c>
      <c r="BE631" s="5" t="n">
        <v>0.033</v>
      </c>
      <c r="BF631" s="5" t="n">
        <v>0.771</v>
      </c>
      <c r="BG631" s="5" t="n">
        <v>0.18</v>
      </c>
      <c r="BH631" s="5" t="n">
        <v>1</v>
      </c>
      <c r="BI631" s="5" t="n">
        <v>0.608</v>
      </c>
      <c r="BJ631" s="5" t="n">
        <v>0.123</v>
      </c>
      <c r="BK631" s="5" t="n">
        <v>0.364</v>
      </c>
      <c r="BL631" s="5" t="n">
        <v>1.131</v>
      </c>
      <c r="BM631" s="5" t="n">
        <v>0.18</v>
      </c>
      <c r="BN631" s="5" t="n">
        <v>1</v>
      </c>
      <c r="BO631" s="5" t="n">
        <v>0</v>
      </c>
      <c r="BP631" s="5" t="n">
        <v>0</v>
      </c>
      <c r="BQ631" s="5" t="n">
        <v>0.045</v>
      </c>
      <c r="BR631" s="5" t="n">
        <v>0</v>
      </c>
      <c r="BS631" s="5" t="n">
        <v>1</v>
      </c>
      <c r="BT631" s="5" t="n">
        <v>0</v>
      </c>
      <c r="BU631" s="5" t="n">
        <v>0</v>
      </c>
      <c r="BV631" s="5" t="n">
        <v>0.233</v>
      </c>
      <c r="BW631" s="5" t="n">
        <v>0.18</v>
      </c>
      <c r="BX631" s="5" t="n">
        <v>0.833</v>
      </c>
      <c r="BY631" s="5" t="n">
        <v>12.729</v>
      </c>
      <c r="BZ631" s="5" t="n">
        <v>0</v>
      </c>
      <c r="CA631" s="5" t="n">
        <v>12.729</v>
      </c>
      <c r="CB631" s="5" t="n">
        <v>0</v>
      </c>
      <c r="CC631" s="5" t="n">
        <v>97.90000000000001</v>
      </c>
      <c r="CD631" s="5" t="n">
        <v>7.95</v>
      </c>
      <c r="CE631" s="5" t="n">
        <v>35.826</v>
      </c>
      <c r="CF631" s="5" t="n">
        <v>157.797</v>
      </c>
      <c r="CG631" s="5" t="n">
        <v>0.18</v>
      </c>
      <c r="CH631" s="5" t="n">
        <v>1</v>
      </c>
      <c r="CI631" s="5" t="n">
        <v>0</v>
      </c>
      <c r="CJ631" s="5" t="n">
        <v>0</v>
      </c>
      <c r="CK631" s="5" t="n">
        <v>0</v>
      </c>
      <c r="CL631" s="5" t="n">
        <v>0</v>
      </c>
      <c r="CM631" s="5" t="n">
        <v>0</v>
      </c>
      <c r="CN631" s="5" t="n">
        <v>0</v>
      </c>
      <c r="CO631" s="5" t="n">
        <v>0</v>
      </c>
      <c r="CP631" s="5" t="n">
        <v>0.539</v>
      </c>
      <c r="CQ631" s="5" t="n">
        <v>1.294</v>
      </c>
      <c r="CR631" s="5" t="n">
        <v>1</v>
      </c>
      <c r="CS631" s="5" t="n">
        <v>4.285</v>
      </c>
      <c r="CT631" s="5" t="n">
        <v>10.485</v>
      </c>
      <c r="CU631" s="5" t="n">
        <v>28.059</v>
      </c>
    </row>
    <row r="632">
      <c r="A632" s="5" t="inlineStr">
        <is>
          <t>PER2023</t>
        </is>
      </c>
      <c r="B632" s="5" t="inlineStr">
        <is>
          <t>PER</t>
        </is>
      </c>
      <c r="C632" s="5" t="inlineStr">
        <is>
          <t>PER</t>
        </is>
      </c>
      <c r="D632" s="5" t="inlineStr">
        <is>
          <t>Peru</t>
        </is>
      </c>
      <c r="E632" s="5" t="n">
        <v>2023</v>
      </c>
      <c r="F632" s="5" t="n">
        <v>0.18</v>
      </c>
      <c r="G632" s="5" t="n">
        <v>3.901</v>
      </c>
      <c r="H632" s="5" t="n">
        <v>0.9379999999999999</v>
      </c>
      <c r="I632" s="5" t="n">
        <v>0.503</v>
      </c>
      <c r="J632" s="5" t="n">
        <v>4.404</v>
      </c>
      <c r="K632" s="5" t="n">
        <v>0</v>
      </c>
      <c r="L632" s="5" t="n">
        <v>1</v>
      </c>
      <c r="M632" s="5" t="n">
        <v>5.396</v>
      </c>
      <c r="N632" s="5" t="n">
        <v>2.815</v>
      </c>
      <c r="O632" s="5" t="n">
        <v>0.5</v>
      </c>
      <c r="P632" s="5" t="n">
        <v>5.896</v>
      </c>
      <c r="Q632" s="5" t="n">
        <v>0</v>
      </c>
      <c r="R632" s="5" t="n">
        <v>1</v>
      </c>
      <c r="S632" s="5" t="n">
        <v>8.593</v>
      </c>
      <c r="T632" s="5" t="n">
        <v>5.63</v>
      </c>
      <c r="U632" s="5" t="n">
        <v>0.6840000000000001</v>
      </c>
      <c r="V632" s="5" t="n">
        <v>10.734</v>
      </c>
      <c r="W632" s="5" t="n">
        <v>0.18</v>
      </c>
      <c r="X632" s="5" t="n">
        <v>1</v>
      </c>
      <c r="Y632" s="5" t="n">
        <v>5.104</v>
      </c>
      <c r="Z632" s="5" t="n">
        <v>0.5600000000000001</v>
      </c>
      <c r="AA632" s="5" t="n">
        <v>0</v>
      </c>
      <c r="AB632" s="5" t="n">
        <v>5.104</v>
      </c>
      <c r="AC632" s="5" t="n">
        <v>0</v>
      </c>
      <c r="AD632" s="5" t="n">
        <v>1</v>
      </c>
      <c r="AE632" s="5" t="n">
        <v>5.747</v>
      </c>
      <c r="AF632" s="5" t="n">
        <v>1.118</v>
      </c>
      <c r="AG632" s="5" t="n">
        <v>0</v>
      </c>
      <c r="AH632" s="5" t="n">
        <v>5.747</v>
      </c>
      <c r="AI632" s="5" t="n">
        <v>0</v>
      </c>
      <c r="AJ632" s="5" t="n">
        <v>1</v>
      </c>
      <c r="AK632" s="5" t="n">
        <v>9.603999999999999</v>
      </c>
      <c r="AL632" s="5" t="n">
        <v>4.53</v>
      </c>
      <c r="AM632" s="5" t="n">
        <v>0.191</v>
      </c>
      <c r="AN632" s="5" t="n">
        <v>11.333</v>
      </c>
      <c r="AO632" s="5" t="n">
        <v>0.18</v>
      </c>
      <c r="AP632" s="5" t="n">
        <v>1</v>
      </c>
      <c r="AQ632" s="5" t="n">
        <v>0.791</v>
      </c>
      <c r="AR632" s="5" t="n">
        <v>0.129</v>
      </c>
      <c r="AS632" s="5" t="n">
        <v>0.23</v>
      </c>
      <c r="AT632" s="5" t="n">
        <v>1.205</v>
      </c>
      <c r="AU632" s="5" t="n">
        <v>0.18</v>
      </c>
      <c r="AV632" s="5" t="n">
        <v>1</v>
      </c>
      <c r="AW632" s="5" t="n">
        <v>0.618</v>
      </c>
      <c r="AX632" s="5" t="n">
        <v>0.129</v>
      </c>
      <c r="AY632" s="5" t="n">
        <v>0.424</v>
      </c>
      <c r="AZ632" s="5" t="n">
        <v>1.23</v>
      </c>
      <c r="BA632" s="5" t="n">
        <v>0.18</v>
      </c>
      <c r="BB632" s="5" t="n">
        <v>1</v>
      </c>
      <c r="BC632" s="5" t="n">
        <v>0.554</v>
      </c>
      <c r="BD632" s="5" t="n">
        <v>0.129</v>
      </c>
      <c r="BE632" s="5" t="n">
        <v>0.035</v>
      </c>
      <c r="BF632" s="5" t="n">
        <v>0.696</v>
      </c>
      <c r="BG632" s="5" t="n">
        <v>0.18</v>
      </c>
      <c r="BH632" s="5" t="n">
        <v>1</v>
      </c>
      <c r="BI632" s="5" t="n">
        <v>0.5570000000000001</v>
      </c>
      <c r="BJ632" s="5" t="n">
        <v>0.129</v>
      </c>
      <c r="BK632" s="5" t="n">
        <v>0.395</v>
      </c>
      <c r="BL632" s="5" t="n">
        <v>1.102</v>
      </c>
      <c r="BM632" s="5" t="n">
        <v>0.18</v>
      </c>
      <c r="BN632" s="5" t="n">
        <v>1</v>
      </c>
      <c r="BO632" s="5" t="n">
        <v>0</v>
      </c>
      <c r="BP632" s="5" t="n">
        <v>0</v>
      </c>
      <c r="BQ632" s="5" t="n">
        <v>0.041</v>
      </c>
      <c r="BR632" s="5" t="n">
        <v>0</v>
      </c>
      <c r="BS632" s="5" t="n">
        <v>1</v>
      </c>
      <c r="BT632" s="5" t="n">
        <v>0</v>
      </c>
      <c r="BU632" s="5" t="n">
        <v>0</v>
      </c>
      <c r="BV632" s="5" t="n">
        <v>0.184</v>
      </c>
      <c r="BW632" s="5" t="n">
        <v>0.18</v>
      </c>
      <c r="BX632" s="5" t="n">
        <v>0.833</v>
      </c>
      <c r="BY632" s="5" t="n">
        <v>13.254</v>
      </c>
      <c r="BZ632" s="5" t="n">
        <v>0</v>
      </c>
      <c r="CA632" s="5" t="n">
        <v>13.254</v>
      </c>
      <c r="CB632" s="5" t="n">
        <v>0</v>
      </c>
      <c r="CC632" s="5" t="n">
        <v>83.248</v>
      </c>
      <c r="CD632" s="5" t="n">
        <v>7.95</v>
      </c>
      <c r="CE632" s="5" t="n">
        <v>40.454</v>
      </c>
      <c r="CF632" s="5" t="n">
        <v>145.968</v>
      </c>
      <c r="CG632" s="5" t="n">
        <v>0.18</v>
      </c>
      <c r="CH632" s="5" t="n">
        <v>1</v>
      </c>
      <c r="CI632" s="5" t="n">
        <v>0</v>
      </c>
      <c r="CJ632" s="5" t="n">
        <v>0</v>
      </c>
      <c r="CK632" s="5" t="n">
        <v>0</v>
      </c>
      <c r="CL632" s="5" t="n">
        <v>0</v>
      </c>
      <c r="CM632" s="5" t="n">
        <v>0</v>
      </c>
      <c r="CN632" s="5" t="n">
        <v>0</v>
      </c>
      <c r="CO632" s="5" t="n">
        <v>0</v>
      </c>
      <c r="CP632" s="5" t="n">
        <v>0.54</v>
      </c>
      <c r="CQ632" s="5" t="n">
        <v>1.348</v>
      </c>
      <c r="CR632" s="5" t="n">
        <v>1</v>
      </c>
      <c r="CS632" s="5" t="n">
        <v>4.461</v>
      </c>
      <c r="CT632" s="5" t="n">
        <v>4.861</v>
      </c>
      <c r="CU632" s="5" t="n">
        <v>9.260999999999999</v>
      </c>
    </row>
    <row r="633">
      <c r="A633" s="5" t="inlineStr">
        <is>
          <t>PER2024</t>
        </is>
      </c>
      <c r="B633" s="5" t="inlineStr">
        <is>
          <t>PER</t>
        </is>
      </c>
      <c r="C633" s="5" t="inlineStr">
        <is>
          <t>PER</t>
        </is>
      </c>
      <c r="D633" s="5" t="inlineStr">
        <is>
          <t>Peru</t>
        </is>
      </c>
      <c r="E633" s="5" t="n">
        <v>2024</v>
      </c>
      <c r="F633" s="5" t="n">
        <v>0.18</v>
      </c>
      <c r="G633" s="5" t="n">
        <v>3.67</v>
      </c>
      <c r="H633" s="5" t="n">
        <v>0.966</v>
      </c>
      <c r="I633" s="5" t="n">
        <v>0.518</v>
      </c>
      <c r="J633" s="5" t="n">
        <v>4.188</v>
      </c>
      <c r="K633" s="5" t="n">
        <v>0</v>
      </c>
      <c r="L633" s="5" t="n">
        <v>1</v>
      </c>
      <c r="M633" s="5" t="n">
        <v>5.097</v>
      </c>
      <c r="N633" s="5" t="n">
        <v>2.898</v>
      </c>
      <c r="O633" s="5" t="n">
        <v>0.515</v>
      </c>
      <c r="P633" s="5" t="n">
        <v>5.612</v>
      </c>
      <c r="Q633" s="5" t="n">
        <v>0</v>
      </c>
      <c r="R633" s="5" t="n">
        <v>1</v>
      </c>
      <c r="S633" s="5" t="n">
        <v>8.500999999999999</v>
      </c>
      <c r="T633" s="5" t="n">
        <v>5.797</v>
      </c>
      <c r="U633" s="5" t="n">
        <v>0.739</v>
      </c>
      <c r="V633" s="5" t="n">
        <v>10.642</v>
      </c>
      <c r="W633" s="5" t="n">
        <v>0.18</v>
      </c>
      <c r="X633" s="5" t="n">
        <v>1</v>
      </c>
      <c r="Y633" s="5" t="n">
        <v>5.255</v>
      </c>
      <c r="Z633" s="5" t="n">
        <v>0.577</v>
      </c>
      <c r="AA633" s="5" t="n">
        <v>0</v>
      </c>
      <c r="AB633" s="5" t="n">
        <v>5.255</v>
      </c>
      <c r="AC633" s="5" t="n">
        <v>0</v>
      </c>
      <c r="AD633" s="5" t="n">
        <v>1</v>
      </c>
      <c r="AE633" s="5" t="n">
        <v>5.917</v>
      </c>
      <c r="AF633" s="5" t="n">
        <v>1.151</v>
      </c>
      <c r="AG633" s="5" t="n">
        <v>0</v>
      </c>
      <c r="AH633" s="5" t="n">
        <v>5.917</v>
      </c>
      <c r="AI633" s="5" t="n">
        <v>0</v>
      </c>
      <c r="AJ633" s="5" t="n">
        <v>1</v>
      </c>
      <c r="AK633" s="5" t="n">
        <v>9.888</v>
      </c>
      <c r="AL633" s="5" t="n">
        <v>4.664</v>
      </c>
      <c r="AM633" s="5" t="n">
        <v>0.242</v>
      </c>
      <c r="AN633" s="5" t="n">
        <v>11.667</v>
      </c>
      <c r="AO633" s="5" t="n">
        <v>0.18</v>
      </c>
      <c r="AP633" s="5" t="n">
        <v>1</v>
      </c>
      <c r="AQ633" s="5" t="n">
        <v>0.756</v>
      </c>
      <c r="AR633" s="5" t="n">
        <v>0.132</v>
      </c>
      <c r="AS633" s="5" t="n">
        <v>0.225</v>
      </c>
      <c r="AT633" s="5" t="n">
        <v>1.157</v>
      </c>
      <c r="AU633" s="5" t="n">
        <v>0.18</v>
      </c>
      <c r="AV633" s="5" t="n">
        <v>1</v>
      </c>
      <c r="AW633" s="5" t="n">
        <v>0.655</v>
      </c>
      <c r="AX633" s="5" t="n">
        <v>0.132</v>
      </c>
      <c r="AY633" s="5" t="n">
        <v>0.366</v>
      </c>
      <c r="AZ633" s="5" t="n">
        <v>1.205</v>
      </c>
      <c r="BA633" s="5" t="n">
        <v>0.18</v>
      </c>
      <c r="BB633" s="5" t="n">
        <v>1</v>
      </c>
      <c r="BC633" s="5" t="n">
        <v>0.534</v>
      </c>
      <c r="BD633" s="5" t="n">
        <v>0.132</v>
      </c>
      <c r="BE633" s="5" t="n">
        <v>0.062</v>
      </c>
      <c r="BF633" s="5" t="n">
        <v>0.702</v>
      </c>
      <c r="BG633" s="5" t="n">
        <v>0.18</v>
      </c>
      <c r="BH633" s="5" t="n">
        <v>1</v>
      </c>
      <c r="BI633" s="5" t="n">
        <v>0.5679999999999999</v>
      </c>
      <c r="BJ633" s="5" t="n">
        <v>0.132</v>
      </c>
      <c r="BK633" s="5" t="n">
        <v>0.412</v>
      </c>
      <c r="BL633" s="5" t="n">
        <v>1.129</v>
      </c>
      <c r="BM633" s="5" t="n">
        <v>0.18</v>
      </c>
      <c r="BN633" s="5" t="n">
        <v>1</v>
      </c>
      <c r="BO633" s="5" t="n">
        <v>0</v>
      </c>
      <c r="BP633" s="5" t="n">
        <v>0</v>
      </c>
      <c r="BQ633" s="5" t="n">
        <v>0.083</v>
      </c>
      <c r="BR633" s="5" t="n">
        <v>0</v>
      </c>
      <c r="BS633" s="5" t="n">
        <v>1</v>
      </c>
      <c r="BT633" s="5" t="n">
        <v>0</v>
      </c>
      <c r="BU633" s="5" t="n">
        <v>0</v>
      </c>
      <c r="BV633" s="5" t="n">
        <v>0.146</v>
      </c>
      <c r="BW633" s="5" t="n">
        <v>0.18</v>
      </c>
      <c r="BX633" s="5" t="n">
        <v>0.833</v>
      </c>
      <c r="BY633" s="5" t="n">
        <v>13.646</v>
      </c>
      <c r="BZ633" s="5" t="n">
        <v>0</v>
      </c>
      <c r="CA633" s="5" t="n">
        <v>13.646</v>
      </c>
      <c r="CB633" s="5" t="n">
        <v>0</v>
      </c>
      <c r="CC633" s="5" t="n">
        <v>82.58799999999999</v>
      </c>
      <c r="CD633" s="5" t="n">
        <v>7.95</v>
      </c>
      <c r="CE633" s="5" t="n">
        <v>42.429</v>
      </c>
      <c r="CF633" s="5" t="n">
        <v>147.52</v>
      </c>
      <c r="CG633" s="5" t="n">
        <v>0.18</v>
      </c>
      <c r="CH633" s="5" t="n">
        <v>1</v>
      </c>
      <c r="CI633" s="5" t="n">
        <v>0</v>
      </c>
      <c r="CJ633" s="5" t="n">
        <v>0</v>
      </c>
      <c r="CK633" s="5" t="n">
        <v>0</v>
      </c>
      <c r="CL633" s="5" t="n">
        <v>0</v>
      </c>
      <c r="CM633" s="5" t="n">
        <v>0</v>
      </c>
      <c r="CN633" s="5" t="n">
        <v>0</v>
      </c>
      <c r="CO633" s="5" t="n">
        <v>0</v>
      </c>
      <c r="CP633" s="5" t="n">
        <v>0.54</v>
      </c>
      <c r="CQ633" s="5" t="n">
        <v>1.387</v>
      </c>
      <c r="CR633" s="5" t="n">
        <v>1</v>
      </c>
      <c r="CS633" s="5" t="n">
        <v>4.593</v>
      </c>
      <c r="CT633" s="5" t="n">
        <v>4.251</v>
      </c>
      <c r="CU633" s="5" t="n">
        <v>7.598</v>
      </c>
    </row>
    <row r="634">
      <c r="A634" s="5" t="inlineStr">
        <is>
          <t>PHL2021</t>
        </is>
      </c>
      <c r="B634" s="5" t="inlineStr">
        <is>
          <t>PHL</t>
        </is>
      </c>
      <c r="C634" s="5" t="inlineStr">
        <is>
          <t>PHL</t>
        </is>
      </c>
      <c r="D634" s="5" t="inlineStr">
        <is>
          <t>Philippines</t>
        </is>
      </c>
      <c r="E634" s="5" t="n">
        <v>2021</v>
      </c>
      <c r="F634" s="5" t="n">
        <v>0.12</v>
      </c>
      <c r="G634" s="5" t="n">
        <v>4.668</v>
      </c>
      <c r="H634" s="5" t="n">
        <v>1.021</v>
      </c>
      <c r="I634" s="5" t="n">
        <v>0.366</v>
      </c>
      <c r="J634" s="5" t="n">
        <v>5.033</v>
      </c>
      <c r="K634" s="5" t="n">
        <v>0</v>
      </c>
      <c r="L634" s="5" t="n">
        <v>1</v>
      </c>
      <c r="M634" s="5" t="n">
        <v>3.11</v>
      </c>
      <c r="N634" s="5" t="n">
        <v>1.41</v>
      </c>
      <c r="O634" s="5" t="n">
        <v>0.179</v>
      </c>
      <c r="P634" s="5" t="n">
        <v>3.289</v>
      </c>
      <c r="Q634" s="5" t="n">
        <v>0</v>
      </c>
      <c r="R634" s="5" t="n">
        <v>1</v>
      </c>
      <c r="S634" s="5" t="n">
        <v>9.896000000000001</v>
      </c>
      <c r="T634" s="5" t="n">
        <v>6.526</v>
      </c>
      <c r="U634" s="5" t="n">
        <v>0</v>
      </c>
      <c r="V634" s="5" t="n">
        <v>11.083</v>
      </c>
      <c r="W634" s="5" t="n">
        <v>0.12</v>
      </c>
      <c r="X634" s="5" t="n">
        <v>1</v>
      </c>
      <c r="Y634" s="5" t="n">
        <v>5.197</v>
      </c>
      <c r="Z634" s="5" t="n">
        <v>0.354</v>
      </c>
      <c r="AA634" s="5" t="n">
        <v>2.12</v>
      </c>
      <c r="AB634" s="5" t="n">
        <v>7.317</v>
      </c>
      <c r="AC634" s="5" t="n">
        <v>0</v>
      </c>
      <c r="AD634" s="5" t="n">
        <v>1</v>
      </c>
      <c r="AE634" s="5" t="n">
        <v>5.769</v>
      </c>
      <c r="AF634" s="5" t="n">
        <v>0.731</v>
      </c>
      <c r="AG634" s="5" t="n">
        <v>3.83</v>
      </c>
      <c r="AH634" s="5" t="n">
        <v>9.599</v>
      </c>
      <c r="AI634" s="5" t="n">
        <v>0</v>
      </c>
      <c r="AJ634" s="5" t="n">
        <v>1</v>
      </c>
      <c r="AK634" s="5" t="n">
        <v>9.199</v>
      </c>
      <c r="AL634" s="5" t="n">
        <v>3.325</v>
      </c>
      <c r="AM634" s="5" t="n">
        <v>0</v>
      </c>
      <c r="AN634" s="5" t="n">
        <v>10.302</v>
      </c>
      <c r="AO634" s="5" t="n">
        <v>0.12</v>
      </c>
      <c r="AP634" s="5" t="n">
        <v>1</v>
      </c>
      <c r="AQ634" s="5" t="n">
        <v>0.805</v>
      </c>
      <c r="AR634" s="5" t="n">
        <v>0.147</v>
      </c>
      <c r="AS634" s="5" t="n">
        <v>0.203</v>
      </c>
      <c r="AT634" s="5" t="n">
        <v>1.129</v>
      </c>
      <c r="AU634" s="5" t="n">
        <v>0.12</v>
      </c>
      <c r="AV634" s="5" t="n">
        <v>1</v>
      </c>
      <c r="AW634" s="5" t="n">
        <v>0.656</v>
      </c>
      <c r="AX634" s="5" t="n">
        <v>0.127</v>
      </c>
      <c r="AY634" s="5" t="n">
        <v>0.122</v>
      </c>
      <c r="AZ634" s="5" t="n">
        <v>0.871</v>
      </c>
      <c r="BA634" s="5" t="n">
        <v>0.12</v>
      </c>
      <c r="BB634" s="5" t="n">
        <v>1</v>
      </c>
      <c r="BC634" s="5" t="n">
        <v>0.679</v>
      </c>
      <c r="BD634" s="5" t="n">
        <v>0.175</v>
      </c>
      <c r="BE634" s="5" t="n">
        <v>0.031</v>
      </c>
      <c r="BF634" s="5" t="n">
        <v>0.795</v>
      </c>
      <c r="BG634" s="5" t="n">
        <v>0.12</v>
      </c>
      <c r="BH634" s="5" t="n">
        <v>1</v>
      </c>
      <c r="BI634" s="5" t="n">
        <v>0.772</v>
      </c>
      <c r="BJ634" s="5" t="n">
        <v>0.171</v>
      </c>
      <c r="BK634" s="5" t="n">
        <v>0.102</v>
      </c>
      <c r="BL634" s="5" t="n">
        <v>0.979</v>
      </c>
      <c r="BM634" s="5" t="n">
        <v>0.12</v>
      </c>
      <c r="BN634" s="5" t="n">
        <v>1</v>
      </c>
      <c r="BO634" s="5" t="n">
        <v>0</v>
      </c>
      <c r="BP634" s="5" t="n">
        <v>0</v>
      </c>
      <c r="BQ634" s="5" t="n">
        <v>0.139</v>
      </c>
      <c r="BR634" s="5" t="n">
        <v>0</v>
      </c>
      <c r="BS634" s="5" t="n">
        <v>1</v>
      </c>
      <c r="BT634" s="5" t="n">
        <v>0</v>
      </c>
      <c r="BU634" s="5" t="n">
        <v>0.001</v>
      </c>
      <c r="BV634" s="5" t="n">
        <v>0.2</v>
      </c>
      <c r="BW634" s="5" t="n">
        <v>0</v>
      </c>
      <c r="BX634" s="5" t="n">
        <v>1</v>
      </c>
      <c r="BY634" s="5" t="n">
        <v>3.307</v>
      </c>
      <c r="BZ634" s="5" t="n">
        <v>0</v>
      </c>
      <c r="CA634" s="5" t="n">
        <v>3.307</v>
      </c>
      <c r="CB634" s="5" t="n">
        <v>0</v>
      </c>
      <c r="CC634" s="5" t="n">
        <v>118.117</v>
      </c>
      <c r="CD634" s="5" t="n">
        <v>44.372</v>
      </c>
      <c r="CE634" s="5" t="n">
        <v>19.369</v>
      </c>
      <c r="CF634" s="5" t="n">
        <v>153.984</v>
      </c>
      <c r="CG634" s="5" t="n">
        <v>0.12</v>
      </c>
      <c r="CH634" s="5" t="n">
        <v>1</v>
      </c>
      <c r="CI634" s="5" t="n">
        <v>0</v>
      </c>
      <c r="CJ634" s="5" t="n">
        <v>0</v>
      </c>
      <c r="CK634" s="5" t="n">
        <v>0</v>
      </c>
      <c r="CL634" s="5" t="n">
        <v>0</v>
      </c>
      <c r="CM634" s="5" t="n">
        <v>0</v>
      </c>
      <c r="CN634" s="5" t="n">
        <v>0</v>
      </c>
      <c r="CO634" s="5" t="n">
        <v>0</v>
      </c>
      <c r="CP634" s="5" t="n">
        <v>0</v>
      </c>
      <c r="CQ634" s="5" t="n">
        <v>1.198</v>
      </c>
      <c r="CR634" s="5" t="n">
        <v>1</v>
      </c>
      <c r="CS634" s="5" t="n">
        <v>4.625</v>
      </c>
      <c r="CT634" s="5" t="n">
        <v>3.604</v>
      </c>
      <c r="CU634" s="5" t="n">
        <v>9.407999999999999</v>
      </c>
    </row>
    <row r="635">
      <c r="A635" s="5" t="inlineStr">
        <is>
          <t>PHL2022</t>
        </is>
      </c>
      <c r="B635" s="5" t="inlineStr">
        <is>
          <t>PHL</t>
        </is>
      </c>
      <c r="C635" s="5" t="inlineStr">
        <is>
          <t>PHL</t>
        </is>
      </c>
      <c r="D635" s="5" t="inlineStr">
        <is>
          <t>Philippines</t>
        </is>
      </c>
      <c r="E635" s="5" t="n">
        <v>2022</v>
      </c>
      <c r="F635" s="5" t="n">
        <v>0.12</v>
      </c>
      <c r="G635" s="5" t="n">
        <v>8.343</v>
      </c>
      <c r="H635" s="5" t="n">
        <v>1.296</v>
      </c>
      <c r="I635" s="5" t="n">
        <v>0.608</v>
      </c>
      <c r="J635" s="5" t="n">
        <v>8.951000000000001</v>
      </c>
      <c r="K635" s="5" t="n">
        <v>0</v>
      </c>
      <c r="L635" s="5" t="n">
        <v>1</v>
      </c>
      <c r="M635" s="5" t="n">
        <v>3.808</v>
      </c>
      <c r="N635" s="5" t="n">
        <v>1.572</v>
      </c>
      <c r="O635" s="5" t="n">
        <v>0.185</v>
      </c>
      <c r="P635" s="5" t="n">
        <v>3.993</v>
      </c>
      <c r="Q635" s="5" t="n">
        <v>0</v>
      </c>
      <c r="R635" s="5" t="n">
        <v>1</v>
      </c>
      <c r="S635" s="5" t="n">
        <v>14.012</v>
      </c>
      <c r="T635" s="5" t="n">
        <v>7.055</v>
      </c>
      <c r="U635" s="5" t="n">
        <v>0.124</v>
      </c>
      <c r="V635" s="5" t="n">
        <v>15.694</v>
      </c>
      <c r="W635" s="5" t="n">
        <v>0.12</v>
      </c>
      <c r="X635" s="5" t="n">
        <v>1</v>
      </c>
      <c r="Y635" s="5" t="n">
        <v>5.612</v>
      </c>
      <c r="Z635" s="5" t="n">
        <v>0.382</v>
      </c>
      <c r="AA635" s="5" t="n">
        <v>2.29</v>
      </c>
      <c r="AB635" s="5" t="n">
        <v>7.902</v>
      </c>
      <c r="AC635" s="5" t="n">
        <v>0</v>
      </c>
      <c r="AD635" s="5" t="n">
        <v>1</v>
      </c>
      <c r="AE635" s="5" t="n">
        <v>6.23</v>
      </c>
      <c r="AF635" s="5" t="n">
        <v>0.79</v>
      </c>
      <c r="AG635" s="5" t="n">
        <v>4.137</v>
      </c>
      <c r="AH635" s="5" t="n">
        <v>10.366</v>
      </c>
      <c r="AI635" s="5" t="n">
        <v>0</v>
      </c>
      <c r="AJ635" s="5" t="n">
        <v>1</v>
      </c>
      <c r="AK635" s="5" t="n">
        <v>9.933999999999999</v>
      </c>
      <c r="AL635" s="5" t="n">
        <v>3.591</v>
      </c>
      <c r="AM635" s="5" t="n">
        <v>0.08799999999999999</v>
      </c>
      <c r="AN635" s="5" t="n">
        <v>11.126</v>
      </c>
      <c r="AO635" s="5" t="n">
        <v>0.12</v>
      </c>
      <c r="AP635" s="5" t="n">
        <v>1</v>
      </c>
      <c r="AQ635" s="5" t="n">
        <v>0.998</v>
      </c>
      <c r="AR635" s="5" t="n">
        <v>0.143</v>
      </c>
      <c r="AS635" s="5" t="n">
        <v>0.184</v>
      </c>
      <c r="AT635" s="5" t="n">
        <v>1.324</v>
      </c>
      <c r="AU635" s="5" t="n">
        <v>0.12</v>
      </c>
      <c r="AV635" s="5" t="n">
        <v>1</v>
      </c>
      <c r="AW635" s="5" t="n">
        <v>1.053</v>
      </c>
      <c r="AX635" s="5" t="n">
        <v>0.137</v>
      </c>
      <c r="AY635" s="5" t="n">
        <v>0.11</v>
      </c>
      <c r="AZ635" s="5" t="n">
        <v>1.303</v>
      </c>
      <c r="BA635" s="5" t="n">
        <v>0.12</v>
      </c>
      <c r="BB635" s="5" t="n">
        <v>1</v>
      </c>
      <c r="BC635" s="5" t="n">
        <v>0.828</v>
      </c>
      <c r="BD635" s="5" t="n">
        <v>0.171</v>
      </c>
      <c r="BE635" s="5" t="n">
        <v>0.036</v>
      </c>
      <c r="BF635" s="5" t="n">
        <v>0.958</v>
      </c>
      <c r="BG635" s="5" t="n">
        <v>0.12</v>
      </c>
      <c r="BH635" s="5" t="n">
        <v>1</v>
      </c>
      <c r="BI635" s="5" t="n">
        <v>1.138</v>
      </c>
      <c r="BJ635" s="5" t="n">
        <v>0.222</v>
      </c>
      <c r="BK635" s="5" t="n">
        <v>0.092</v>
      </c>
      <c r="BL635" s="5" t="n">
        <v>1.378</v>
      </c>
      <c r="BM635" s="5" t="n">
        <v>0.12</v>
      </c>
      <c r="BN635" s="5" t="n">
        <v>1</v>
      </c>
      <c r="BO635" s="5" t="n">
        <v>0</v>
      </c>
      <c r="BP635" s="5" t="n">
        <v>0</v>
      </c>
      <c r="BQ635" s="5" t="n">
        <v>0.141</v>
      </c>
      <c r="BR635" s="5" t="n">
        <v>0</v>
      </c>
      <c r="BS635" s="5" t="n">
        <v>1</v>
      </c>
      <c r="BT635" s="5" t="n">
        <v>0</v>
      </c>
      <c r="BU635" s="5" t="n">
        <v>0.001</v>
      </c>
      <c r="BV635" s="5" t="n">
        <v>0.187</v>
      </c>
      <c r="BW635" s="5" t="n">
        <v>0</v>
      </c>
      <c r="BX635" s="5" t="n">
        <v>1</v>
      </c>
      <c r="BY635" s="5" t="n">
        <v>3.571</v>
      </c>
      <c r="BZ635" s="5" t="n">
        <v>0</v>
      </c>
      <c r="CA635" s="5" t="n">
        <v>3.571</v>
      </c>
      <c r="CB635" s="5" t="n">
        <v>0</v>
      </c>
      <c r="CC635" s="5" t="n">
        <v>174.916</v>
      </c>
      <c r="CD635" s="5" t="n">
        <v>80.39</v>
      </c>
      <c r="CE635" s="5" t="n">
        <v>17.512</v>
      </c>
      <c r="CF635" s="5" t="n">
        <v>215.519</v>
      </c>
      <c r="CG635" s="5" t="n">
        <v>0.12</v>
      </c>
      <c r="CH635" s="5" t="n">
        <v>1</v>
      </c>
      <c r="CI635" s="5" t="n">
        <v>0</v>
      </c>
      <c r="CJ635" s="5" t="n">
        <v>0</v>
      </c>
      <c r="CK635" s="5" t="n">
        <v>0</v>
      </c>
      <c r="CL635" s="5" t="n">
        <v>0</v>
      </c>
      <c r="CM635" s="5" t="n">
        <v>0</v>
      </c>
      <c r="CN635" s="5" t="n">
        <v>0</v>
      </c>
      <c r="CO635" s="5" t="n">
        <v>0</v>
      </c>
      <c r="CP635" s="5" t="n">
        <v>0</v>
      </c>
      <c r="CQ635" s="5" t="n">
        <v>1.294</v>
      </c>
      <c r="CR635" s="5" t="n">
        <v>1</v>
      </c>
      <c r="CS635" s="5" t="n">
        <v>4.995</v>
      </c>
      <c r="CT635" s="5" t="n">
        <v>7.554</v>
      </c>
      <c r="CU635" s="5" t="n">
        <v>16.097</v>
      </c>
    </row>
    <row r="636">
      <c r="A636" s="5" t="inlineStr">
        <is>
          <t>PHL2023</t>
        </is>
      </c>
      <c r="B636" s="5" t="inlineStr">
        <is>
          <t>PHL</t>
        </is>
      </c>
      <c r="C636" s="5" t="inlineStr">
        <is>
          <t>PHL</t>
        </is>
      </c>
      <c r="D636" s="5" t="inlineStr">
        <is>
          <t>Philippines</t>
        </is>
      </c>
      <c r="E636" s="5" t="n">
        <v>2023</v>
      </c>
      <c r="F636" s="5" t="n">
        <v>0.12</v>
      </c>
      <c r="G636" s="5" t="n">
        <v>5.215</v>
      </c>
      <c r="H636" s="5" t="n">
        <v>1.188</v>
      </c>
      <c r="I636" s="5" t="n">
        <v>0.247</v>
      </c>
      <c r="J636" s="5" t="n">
        <v>5.462</v>
      </c>
      <c r="K636" s="5" t="n">
        <v>0</v>
      </c>
      <c r="L636" s="5" t="n">
        <v>1</v>
      </c>
      <c r="M636" s="5" t="n">
        <v>2.894</v>
      </c>
      <c r="N636" s="5" t="n">
        <v>1.435</v>
      </c>
      <c r="O636" s="5" t="n">
        <v>0.154</v>
      </c>
      <c r="P636" s="5" t="n">
        <v>3.048</v>
      </c>
      <c r="Q636" s="5" t="n">
        <v>0</v>
      </c>
      <c r="R636" s="5" t="n">
        <v>1</v>
      </c>
      <c r="S636" s="5" t="n">
        <v>10.783</v>
      </c>
      <c r="T636" s="5" t="n">
        <v>6.933</v>
      </c>
      <c r="U636" s="5" t="n">
        <v>0.143</v>
      </c>
      <c r="V636" s="5" t="n">
        <v>12.076</v>
      </c>
      <c r="W636" s="5" t="n">
        <v>0.12</v>
      </c>
      <c r="X636" s="5" t="n">
        <v>1</v>
      </c>
      <c r="Y636" s="5" t="n">
        <v>5.488</v>
      </c>
      <c r="Z636" s="5" t="n">
        <v>0.373</v>
      </c>
      <c r="AA636" s="5" t="n">
        <v>2.512</v>
      </c>
      <c r="AB636" s="5" t="n">
        <v>8</v>
      </c>
      <c r="AC636" s="5" t="n">
        <v>0</v>
      </c>
      <c r="AD636" s="5" t="n">
        <v>1</v>
      </c>
      <c r="AE636" s="5" t="n">
        <v>6.236</v>
      </c>
      <c r="AF636" s="5" t="n">
        <v>0.791</v>
      </c>
      <c r="AG636" s="5" t="n">
        <v>4.307</v>
      </c>
      <c r="AH636" s="5" t="n">
        <v>10.543</v>
      </c>
      <c r="AI636" s="5" t="n">
        <v>0</v>
      </c>
      <c r="AJ636" s="5" t="n">
        <v>1</v>
      </c>
      <c r="AK636" s="5" t="n">
        <v>10.726</v>
      </c>
      <c r="AL636" s="5" t="n">
        <v>3.878</v>
      </c>
      <c r="AM636" s="5" t="n">
        <v>0.143</v>
      </c>
      <c r="AN636" s="5" t="n">
        <v>12.013</v>
      </c>
      <c r="AO636" s="5" t="n">
        <v>0.12</v>
      </c>
      <c r="AP636" s="5" t="n">
        <v>1</v>
      </c>
      <c r="AQ636" s="5" t="n">
        <v>0.891</v>
      </c>
      <c r="AR636" s="5" t="n">
        <v>0.15</v>
      </c>
      <c r="AS636" s="5" t="n">
        <v>0.18</v>
      </c>
      <c r="AT636" s="5" t="n">
        <v>1.199</v>
      </c>
      <c r="AU636" s="5" t="n">
        <v>0.12</v>
      </c>
      <c r="AV636" s="5" t="n">
        <v>1</v>
      </c>
      <c r="AW636" s="5" t="n">
        <v>0.866</v>
      </c>
      <c r="AX636" s="5" t="n">
        <v>0.148</v>
      </c>
      <c r="AY636" s="5" t="n">
        <v>0.108</v>
      </c>
      <c r="AZ636" s="5" t="n">
        <v>1.091</v>
      </c>
      <c r="BA636" s="5" t="n">
        <v>0.12</v>
      </c>
      <c r="BB636" s="5" t="n">
        <v>1</v>
      </c>
      <c r="BC636" s="5" t="n">
        <v>0.767</v>
      </c>
      <c r="BD636" s="5" t="n">
        <v>0.184</v>
      </c>
      <c r="BE636" s="5" t="n">
        <v>0.038</v>
      </c>
      <c r="BF636" s="5" t="n">
        <v>0.889</v>
      </c>
      <c r="BG636" s="5" t="n">
        <v>0.12</v>
      </c>
      <c r="BH636" s="5" t="n">
        <v>1</v>
      </c>
      <c r="BI636" s="5" t="n">
        <v>1.079</v>
      </c>
      <c r="BJ636" s="5" t="n">
        <v>0.235</v>
      </c>
      <c r="BK636" s="5" t="n">
        <v>0.09</v>
      </c>
      <c r="BL636" s="5" t="n">
        <v>1.309</v>
      </c>
      <c r="BM636" s="5" t="n">
        <v>0.12</v>
      </c>
      <c r="BN636" s="5" t="n">
        <v>1</v>
      </c>
      <c r="BO636" s="5" t="n">
        <v>0</v>
      </c>
      <c r="BP636" s="5" t="n">
        <v>0</v>
      </c>
      <c r="BQ636" s="5" t="n">
        <v>0.164</v>
      </c>
      <c r="BR636" s="5" t="n">
        <v>0</v>
      </c>
      <c r="BS636" s="5" t="n">
        <v>1</v>
      </c>
      <c r="BT636" s="5" t="n">
        <v>0</v>
      </c>
      <c r="BU636" s="5" t="n">
        <v>0.001</v>
      </c>
      <c r="BV636" s="5" t="n">
        <v>0.213</v>
      </c>
      <c r="BW636" s="5" t="n">
        <v>0</v>
      </c>
      <c r="BX636" s="5" t="n">
        <v>1</v>
      </c>
      <c r="BY636" s="5" t="n">
        <v>3.718</v>
      </c>
      <c r="BZ636" s="5" t="n">
        <v>0</v>
      </c>
      <c r="CA636" s="5" t="n">
        <v>3.718</v>
      </c>
      <c r="CB636" s="5" t="n">
        <v>0</v>
      </c>
      <c r="CC636" s="5" t="n">
        <v>168.954</v>
      </c>
      <c r="CD636" s="5" t="n">
        <v>89.825</v>
      </c>
      <c r="CE636" s="5" t="n">
        <v>17.149</v>
      </c>
      <c r="CF636" s="5" t="n">
        <v>208.435</v>
      </c>
      <c r="CG636" s="5" t="n">
        <v>0.12</v>
      </c>
      <c r="CH636" s="5" t="n">
        <v>1</v>
      </c>
      <c r="CI636" s="5" t="n">
        <v>0</v>
      </c>
      <c r="CJ636" s="5" t="n">
        <v>0</v>
      </c>
      <c r="CK636" s="5" t="n">
        <v>0</v>
      </c>
      <c r="CL636" s="5" t="n">
        <v>0</v>
      </c>
      <c r="CM636" s="5" t="n">
        <v>0</v>
      </c>
      <c r="CN636" s="5" t="n">
        <v>0</v>
      </c>
      <c r="CO636" s="5" t="n">
        <v>0</v>
      </c>
      <c r="CP636" s="5" t="n">
        <v>0</v>
      </c>
      <c r="CQ636" s="5" t="n">
        <v>1.348</v>
      </c>
      <c r="CR636" s="5" t="n">
        <v>0.836</v>
      </c>
      <c r="CS636" s="5" t="n">
        <v>5.201</v>
      </c>
      <c r="CT636" s="5" t="n">
        <v>4.484</v>
      </c>
      <c r="CU636" s="5" t="n">
        <v>12.529</v>
      </c>
    </row>
    <row r="637">
      <c r="A637" s="5" t="inlineStr">
        <is>
          <t>PHL2024</t>
        </is>
      </c>
      <c r="B637" s="5" t="inlineStr">
        <is>
          <t>PHL</t>
        </is>
      </c>
      <c r="C637" s="5" t="inlineStr">
        <is>
          <t>PHL</t>
        </is>
      </c>
      <c r="D637" s="5" t="inlineStr">
        <is>
          <t>Philippines</t>
        </is>
      </c>
      <c r="E637" s="5" t="n">
        <v>2024</v>
      </c>
      <c r="F637" s="5" t="n">
        <v>0.12</v>
      </c>
      <c r="G637" s="5" t="n">
        <v>4.479</v>
      </c>
      <c r="H637" s="5" t="n">
        <v>1.135</v>
      </c>
      <c r="I637" s="5" t="n">
        <v>0.224</v>
      </c>
      <c r="J637" s="5" t="n">
        <v>4.703</v>
      </c>
      <c r="K637" s="5" t="n">
        <v>0</v>
      </c>
      <c r="L637" s="5" t="n">
        <v>1</v>
      </c>
      <c r="M637" s="5" t="n">
        <v>2.649</v>
      </c>
      <c r="N637" s="5" t="n">
        <v>1.443</v>
      </c>
      <c r="O637" s="5" t="n">
        <v>0.151</v>
      </c>
      <c r="P637" s="5" t="n">
        <v>2.799</v>
      </c>
      <c r="Q637" s="5" t="n">
        <v>0</v>
      </c>
      <c r="R637" s="5" t="n">
        <v>1</v>
      </c>
      <c r="S637" s="5" t="n">
        <v>10.217</v>
      </c>
      <c r="T637" s="5" t="n">
        <v>7.138</v>
      </c>
      <c r="U637" s="5" t="n">
        <v>0.167</v>
      </c>
      <c r="V637" s="5" t="n">
        <v>11.443</v>
      </c>
      <c r="W637" s="5" t="n">
        <v>0.12</v>
      </c>
      <c r="X637" s="5" t="n">
        <v>1</v>
      </c>
      <c r="Y637" s="5" t="n">
        <v>7.034</v>
      </c>
      <c r="Z637" s="5" t="n">
        <v>0.479</v>
      </c>
      <c r="AA637" s="5" t="n">
        <v>2.088</v>
      </c>
      <c r="AB637" s="5" t="n">
        <v>9.122999999999999</v>
      </c>
      <c r="AC637" s="5" t="n">
        <v>0</v>
      </c>
      <c r="AD637" s="5" t="n">
        <v>1</v>
      </c>
      <c r="AE637" s="5" t="n">
        <v>7.805</v>
      </c>
      <c r="AF637" s="5" t="n">
        <v>0.989</v>
      </c>
      <c r="AG637" s="5" t="n">
        <v>4.435</v>
      </c>
      <c r="AH637" s="5" t="n">
        <v>12.239</v>
      </c>
      <c r="AI637" s="5" t="n">
        <v>0</v>
      </c>
      <c r="AJ637" s="5" t="n">
        <v>1</v>
      </c>
      <c r="AK637" s="5" t="n">
        <v>12.427</v>
      </c>
      <c r="AL637" s="5" t="n">
        <v>4.493</v>
      </c>
      <c r="AM637" s="5" t="n">
        <v>0.203</v>
      </c>
      <c r="AN637" s="5" t="n">
        <v>13.918</v>
      </c>
      <c r="AO637" s="5" t="n">
        <v>0.12</v>
      </c>
      <c r="AP637" s="5" t="n">
        <v>1</v>
      </c>
      <c r="AQ637" s="5" t="n">
        <v>0.839</v>
      </c>
      <c r="AR637" s="5" t="n">
        <v>0.152</v>
      </c>
      <c r="AS637" s="5" t="n">
        <v>0.175</v>
      </c>
      <c r="AT637" s="5" t="n">
        <v>1.135</v>
      </c>
      <c r="AU637" s="5" t="n">
        <v>0.12</v>
      </c>
      <c r="AV637" s="5" t="n">
        <v>1</v>
      </c>
      <c r="AW637" s="5" t="n">
        <v>0.784</v>
      </c>
      <c r="AX637" s="5" t="n">
        <v>0.144</v>
      </c>
      <c r="AY637" s="5" t="n">
        <v>0.105</v>
      </c>
      <c r="AZ637" s="5" t="n">
        <v>0.996</v>
      </c>
      <c r="BA637" s="5" t="n">
        <v>0.12</v>
      </c>
      <c r="BB637" s="5" t="n">
        <v>1</v>
      </c>
      <c r="BC637" s="5" t="n">
        <v>0.749</v>
      </c>
      <c r="BD637" s="5" t="n">
        <v>0.192</v>
      </c>
      <c r="BE637" s="5" t="n">
        <v>0.039</v>
      </c>
      <c r="BF637" s="5" t="n">
        <v>0.869</v>
      </c>
      <c r="BG637" s="5" t="n">
        <v>0.12</v>
      </c>
      <c r="BH637" s="5" t="n">
        <v>1</v>
      </c>
      <c r="BI637" s="5" t="n">
        <v>1.037</v>
      </c>
      <c r="BJ637" s="5" t="n">
        <v>0.228</v>
      </c>
      <c r="BK637" s="5" t="n">
        <v>0.08699999999999999</v>
      </c>
      <c r="BL637" s="5" t="n">
        <v>1.259</v>
      </c>
      <c r="BM637" s="5" t="n">
        <v>0.12</v>
      </c>
      <c r="BN637" s="5" t="n">
        <v>1</v>
      </c>
      <c r="BO637" s="5" t="n">
        <v>0</v>
      </c>
      <c r="BP637" s="5" t="n">
        <v>0</v>
      </c>
      <c r="BQ637" s="5" t="n">
        <v>0.154</v>
      </c>
      <c r="BR637" s="5" t="n">
        <v>0</v>
      </c>
      <c r="BS637" s="5" t="n">
        <v>1</v>
      </c>
      <c r="BT637" s="5" t="n">
        <v>0</v>
      </c>
      <c r="BU637" s="5" t="n">
        <v>0.002</v>
      </c>
      <c r="BV637" s="5" t="n">
        <v>0.202</v>
      </c>
      <c r="BW637" s="5" t="n">
        <v>0</v>
      </c>
      <c r="BX637" s="5" t="n">
        <v>1</v>
      </c>
      <c r="BY637" s="5" t="n">
        <v>3.828</v>
      </c>
      <c r="BZ637" s="5" t="n">
        <v>0</v>
      </c>
      <c r="CA637" s="5" t="n">
        <v>3.828</v>
      </c>
      <c r="CB637" s="5" t="n">
        <v>0</v>
      </c>
      <c r="CC637" s="5" t="n">
        <v>162.963</v>
      </c>
      <c r="CD637" s="5" t="n">
        <v>84.52800000000001</v>
      </c>
      <c r="CE637" s="5" t="n">
        <v>16.652</v>
      </c>
      <c r="CF637" s="5" t="n">
        <v>201.169</v>
      </c>
      <c r="CG637" s="5" t="n">
        <v>0.12</v>
      </c>
      <c r="CH637" s="5" t="n">
        <v>1</v>
      </c>
      <c r="CI637" s="5" t="n">
        <v>0</v>
      </c>
      <c r="CJ637" s="5" t="n">
        <v>0</v>
      </c>
      <c r="CK637" s="5" t="n">
        <v>0</v>
      </c>
      <c r="CL637" s="5" t="n">
        <v>0</v>
      </c>
      <c r="CM637" s="5" t="n">
        <v>0</v>
      </c>
      <c r="CN637" s="5" t="n">
        <v>0</v>
      </c>
      <c r="CO637" s="5" t="n">
        <v>0</v>
      </c>
      <c r="CP637" s="5" t="n">
        <v>0</v>
      </c>
      <c r="CQ637" s="5" t="n">
        <v>1.387</v>
      </c>
      <c r="CR637" s="5" t="n">
        <v>0.836</v>
      </c>
      <c r="CS637" s="5" t="n">
        <v>5.355</v>
      </c>
      <c r="CT637" s="5" t="n">
        <v>3.509</v>
      </c>
      <c r="CU637" s="5" t="n">
        <v>10.896</v>
      </c>
    </row>
    <row r="638">
      <c r="A638" s="5" t="inlineStr">
        <is>
          <t>POL2021</t>
        </is>
      </c>
      <c r="B638" s="5" t="inlineStr">
        <is>
          <t>POL</t>
        </is>
      </c>
      <c r="C638" s="5" t="inlineStr">
        <is>
          <t>POL</t>
        </is>
      </c>
      <c r="D638" s="5" t="inlineStr">
        <is>
          <t>Poland</t>
        </is>
      </c>
      <c r="E638" s="5" t="n">
        <v>2021</v>
      </c>
      <c r="F638" s="5" t="n">
        <v>0.23</v>
      </c>
      <c r="G638" s="5" t="n">
        <v>7.076</v>
      </c>
      <c r="H638" s="5" t="n">
        <v>1.548</v>
      </c>
      <c r="I638" s="5" t="n">
        <v>1.879</v>
      </c>
      <c r="J638" s="5" t="n">
        <v>8.956</v>
      </c>
      <c r="K638" s="5" t="n">
        <v>0</v>
      </c>
      <c r="L638" s="5" t="n">
        <v>1</v>
      </c>
      <c r="M638" s="5" t="n">
        <v>9.444000000000001</v>
      </c>
      <c r="N638" s="5" t="n">
        <v>4.281</v>
      </c>
      <c r="O638" s="5" t="n">
        <v>1.964</v>
      </c>
      <c r="P638" s="5" t="n">
        <v>11.408</v>
      </c>
      <c r="Q638" s="5" t="n">
        <v>0</v>
      </c>
      <c r="R638" s="5" t="n">
        <v>1</v>
      </c>
      <c r="S638" s="5" t="n">
        <v>12.606</v>
      </c>
      <c r="T638" s="5" t="n">
        <v>7.812</v>
      </c>
      <c r="U638" s="5" t="n">
        <v>0.028</v>
      </c>
      <c r="V638" s="5" t="n">
        <v>15.539</v>
      </c>
      <c r="W638" s="5" t="n">
        <v>0.23</v>
      </c>
      <c r="X638" s="5" t="n">
        <v>1</v>
      </c>
      <c r="Y638" s="5" t="n">
        <v>22.447</v>
      </c>
      <c r="Z638" s="5" t="n">
        <v>2.479</v>
      </c>
      <c r="AA638" s="5" t="n">
        <v>-9.981</v>
      </c>
      <c r="AB638" s="5" t="n">
        <v>12.467</v>
      </c>
      <c r="AC638" s="5" t="n">
        <v>0</v>
      </c>
      <c r="AD638" s="5" t="n">
        <v>1</v>
      </c>
      <c r="AE638" s="5" t="n">
        <v>22.477</v>
      </c>
      <c r="AF638" s="5" t="n">
        <v>4.423</v>
      </c>
      <c r="AG638" s="5" t="n">
        <v>-10.01</v>
      </c>
      <c r="AH638" s="5" t="n">
        <v>12.467</v>
      </c>
      <c r="AI638" s="5" t="n">
        <v>0</v>
      </c>
      <c r="AJ638" s="5" t="n">
        <v>1</v>
      </c>
      <c r="AK638" s="5" t="n">
        <v>24.12</v>
      </c>
      <c r="AL638" s="5" t="n">
        <v>11.838</v>
      </c>
      <c r="AM638" s="5" t="n">
        <v>-12.784</v>
      </c>
      <c r="AN638" s="5" t="n">
        <v>13.944</v>
      </c>
      <c r="AO638" s="5" t="n">
        <v>0.23</v>
      </c>
      <c r="AP638" s="5" t="n">
        <v>1</v>
      </c>
      <c r="AQ638" s="5" t="n">
        <v>0.68</v>
      </c>
      <c r="AR638" s="5" t="n">
        <v>0.124</v>
      </c>
      <c r="AS638" s="5" t="n">
        <v>0.474</v>
      </c>
      <c r="AT638" s="5" t="n">
        <v>1.42</v>
      </c>
      <c r="AU638" s="5" t="n">
        <v>0.23</v>
      </c>
      <c r="AV638" s="5" t="n">
        <v>1</v>
      </c>
      <c r="AW638" s="5" t="n">
        <v>0.668</v>
      </c>
      <c r="AX638" s="5" t="n">
        <v>0.129</v>
      </c>
      <c r="AY638" s="5" t="n">
        <v>0.468</v>
      </c>
      <c r="AZ638" s="5" t="n">
        <v>1.397</v>
      </c>
      <c r="BA638" s="5" t="n">
        <v>0.23</v>
      </c>
      <c r="BB638" s="5" t="n">
        <v>1</v>
      </c>
      <c r="BC638" s="5" t="n">
        <v>0.439</v>
      </c>
      <c r="BD638" s="5" t="n">
        <v>0.114</v>
      </c>
      <c r="BE638" s="5" t="n">
        <v>0.126</v>
      </c>
      <c r="BF638" s="5" t="n">
        <v>0.695</v>
      </c>
      <c r="BG638" s="5" t="n">
        <v>0.23</v>
      </c>
      <c r="BH638" s="5" t="n">
        <v>1</v>
      </c>
      <c r="BI638" s="5" t="n">
        <v>0.505</v>
      </c>
      <c r="BJ638" s="5" t="n">
        <v>0.114</v>
      </c>
      <c r="BK638" s="5" t="n">
        <v>-0.018</v>
      </c>
      <c r="BL638" s="5" t="n">
        <v>0.599</v>
      </c>
      <c r="BM638" s="5" t="n">
        <v>0.23</v>
      </c>
      <c r="BN638" s="5" t="n">
        <v>1</v>
      </c>
      <c r="BO638" s="5" t="n">
        <v>0</v>
      </c>
      <c r="BP638" s="5" t="n">
        <v>0.041</v>
      </c>
      <c r="BQ638" s="5" t="n">
        <v>0.107</v>
      </c>
      <c r="BR638" s="5" t="n">
        <v>0</v>
      </c>
      <c r="BS638" s="5" t="n">
        <v>1</v>
      </c>
      <c r="BT638" s="5" t="n">
        <v>0</v>
      </c>
      <c r="BU638" s="5" t="n">
        <v>0.043</v>
      </c>
      <c r="BV638" s="5" t="n">
        <v>0.185</v>
      </c>
      <c r="BW638" s="5" t="n">
        <v>0.23</v>
      </c>
      <c r="BX638" s="5" t="n">
        <v>1</v>
      </c>
      <c r="BY638" s="5" t="n">
        <v>11.787</v>
      </c>
      <c r="BZ638" s="5" t="n">
        <v>0</v>
      </c>
      <c r="CA638" s="5" t="n">
        <v>11.787</v>
      </c>
      <c r="CB638" s="5" t="n">
        <v>0</v>
      </c>
      <c r="CC638" s="5" t="n">
        <v>78.125</v>
      </c>
      <c r="CD638" s="5" t="n">
        <v>7.95</v>
      </c>
      <c r="CE638" s="5" t="n">
        <v>49.868</v>
      </c>
      <c r="CF638" s="5" t="n">
        <v>157.432</v>
      </c>
      <c r="CG638" s="5" t="n">
        <v>0.23</v>
      </c>
      <c r="CH638" s="5" t="n">
        <v>1</v>
      </c>
      <c r="CI638" s="5" t="n">
        <v>0</v>
      </c>
      <c r="CJ638" s="5" t="n">
        <v>0</v>
      </c>
      <c r="CK638" s="5" t="n">
        <v>0</v>
      </c>
      <c r="CL638" s="5" t="n">
        <v>0.8179999999999999</v>
      </c>
      <c r="CM638" s="5" t="n">
        <v>0</v>
      </c>
      <c r="CN638" s="5" t="n">
        <v>0.008999999999999999</v>
      </c>
      <c r="CO638" s="5" t="n">
        <v>0</v>
      </c>
      <c r="CP638" s="5" t="n">
        <v>0</v>
      </c>
      <c r="CQ638" s="5" t="n">
        <v>1.198</v>
      </c>
      <c r="CR638" s="5" t="n">
        <v>0</v>
      </c>
      <c r="CS638" s="5" t="n">
        <v>3.981</v>
      </c>
      <c r="CT638" s="5" t="n">
        <v>3.456</v>
      </c>
      <c r="CU638" s="5" t="n">
        <v>12.489</v>
      </c>
    </row>
    <row r="639">
      <c r="A639" s="5" t="inlineStr">
        <is>
          <t>POL2022</t>
        </is>
      </c>
      <c r="B639" s="5" t="inlineStr">
        <is>
          <t>POL</t>
        </is>
      </c>
      <c r="C639" s="5" t="inlineStr">
        <is>
          <t>POL</t>
        </is>
      </c>
      <c r="D639" s="5" t="inlineStr">
        <is>
          <t>Poland</t>
        </is>
      </c>
      <c r="E639" s="5" t="n">
        <v>2022</v>
      </c>
      <c r="F639" s="5" t="n">
        <v>0.23</v>
      </c>
      <c r="G639" s="5" t="n">
        <v>14.057</v>
      </c>
      <c r="H639" s="5" t="n">
        <v>2.183</v>
      </c>
      <c r="I639" s="5" t="n">
        <v>8.353999999999999</v>
      </c>
      <c r="J639" s="5" t="n">
        <v>22.411</v>
      </c>
      <c r="K639" s="5" t="n">
        <v>0</v>
      </c>
      <c r="L639" s="5" t="n">
        <v>1</v>
      </c>
      <c r="M639" s="5" t="n">
        <v>11.627</v>
      </c>
      <c r="N639" s="5" t="n">
        <v>4.801</v>
      </c>
      <c r="O639" s="5" t="n">
        <v>8.336</v>
      </c>
      <c r="P639" s="5" t="n">
        <v>19.963</v>
      </c>
      <c r="Q639" s="5" t="n">
        <v>0</v>
      </c>
      <c r="R639" s="5" t="n">
        <v>1</v>
      </c>
      <c r="S639" s="5" t="n">
        <v>19.43</v>
      </c>
      <c r="T639" s="5" t="n">
        <v>9.516</v>
      </c>
      <c r="U639" s="5" t="n">
        <v>0.034</v>
      </c>
      <c r="V639" s="5" t="n">
        <v>23.941</v>
      </c>
      <c r="W639" s="5" t="n">
        <v>0.23</v>
      </c>
      <c r="X639" s="5" t="n">
        <v>1</v>
      </c>
      <c r="Y639" s="5" t="n">
        <v>39.508</v>
      </c>
      <c r="Z639" s="5" t="n">
        <v>4.145</v>
      </c>
      <c r="AA639" s="5" t="n">
        <v>-9.605</v>
      </c>
      <c r="AB639" s="5" t="n">
        <v>29.903</v>
      </c>
      <c r="AC639" s="5" t="n">
        <v>0</v>
      </c>
      <c r="AD639" s="5" t="n">
        <v>1</v>
      </c>
      <c r="AE639" s="5" t="n">
        <v>39.629</v>
      </c>
      <c r="AF639" s="5" t="n">
        <v>7.346</v>
      </c>
      <c r="AG639" s="5" t="n">
        <v>-9.725</v>
      </c>
      <c r="AH639" s="5" t="n">
        <v>29.903</v>
      </c>
      <c r="AI639" s="5" t="n">
        <v>0</v>
      </c>
      <c r="AJ639" s="5" t="n">
        <v>1</v>
      </c>
      <c r="AK639" s="5" t="n">
        <v>41.82</v>
      </c>
      <c r="AL639" s="5" t="n">
        <v>19.971</v>
      </c>
      <c r="AM639" s="5" t="n">
        <v>-27.066</v>
      </c>
      <c r="AN639" s="5" t="n">
        <v>16.119</v>
      </c>
      <c r="AO639" s="5" t="n">
        <v>0.093</v>
      </c>
      <c r="AP639" s="5" t="n">
        <v>1</v>
      </c>
      <c r="AQ639" s="5" t="n">
        <v>1.039</v>
      </c>
      <c r="AR639" s="5" t="n">
        <v>0.149</v>
      </c>
      <c r="AS639" s="5" t="n">
        <v>0.33</v>
      </c>
      <c r="AT639" s="5" t="n">
        <v>1.496</v>
      </c>
      <c r="AU639" s="5" t="n">
        <v>0.093</v>
      </c>
      <c r="AV639" s="5" t="n">
        <v>1</v>
      </c>
      <c r="AW639" s="5" t="n">
        <v>1.181</v>
      </c>
      <c r="AX639" s="5" t="n">
        <v>0.153</v>
      </c>
      <c r="AY639" s="5" t="n">
        <v>0.301</v>
      </c>
      <c r="AZ639" s="5" t="n">
        <v>1.619</v>
      </c>
      <c r="BA639" s="5" t="n">
        <v>0.093</v>
      </c>
      <c r="BB639" s="5" t="n">
        <v>1</v>
      </c>
      <c r="BC639" s="5" t="n">
        <v>0.598</v>
      </c>
      <c r="BD639" s="5" t="n">
        <v>0.123</v>
      </c>
      <c r="BE639" s="5" t="n">
        <v>0.07099999999999999</v>
      </c>
      <c r="BF639" s="5" t="n">
        <v>0.731</v>
      </c>
      <c r="BG639" s="5" t="n">
        <v>0.093</v>
      </c>
      <c r="BH639" s="5" t="n">
        <v>1</v>
      </c>
      <c r="BI639" s="5" t="n">
        <v>0.612</v>
      </c>
      <c r="BJ639" s="5" t="n">
        <v>0.123</v>
      </c>
      <c r="BK639" s="5" t="n">
        <v>0.292</v>
      </c>
      <c r="BL639" s="5" t="n">
        <v>1.112</v>
      </c>
      <c r="BM639" s="5" t="n">
        <v>0.23</v>
      </c>
      <c r="BN639" s="5" t="n">
        <v>1</v>
      </c>
      <c r="BO639" s="5" t="n">
        <v>0</v>
      </c>
      <c r="BP639" s="5" t="n">
        <v>0.052</v>
      </c>
      <c r="BQ639" s="5" t="n">
        <v>0.145</v>
      </c>
      <c r="BR639" s="5" t="n">
        <v>0</v>
      </c>
      <c r="BS639" s="5" t="n">
        <v>1</v>
      </c>
      <c r="BT639" s="5" t="n">
        <v>0</v>
      </c>
      <c r="BU639" s="5" t="n">
        <v>0.051</v>
      </c>
      <c r="BV639" s="5" t="n">
        <v>0.162</v>
      </c>
      <c r="BW639" s="5" t="n">
        <v>0.065</v>
      </c>
      <c r="BX639" s="5" t="n">
        <v>1</v>
      </c>
      <c r="BY639" s="5" t="n">
        <v>12.729</v>
      </c>
      <c r="BZ639" s="5" t="n">
        <v>0</v>
      </c>
      <c r="CA639" s="5" t="n">
        <v>12.729</v>
      </c>
      <c r="CB639" s="5" t="n">
        <v>0</v>
      </c>
      <c r="CC639" s="5" t="n">
        <v>97.90000000000001</v>
      </c>
      <c r="CD639" s="5" t="n">
        <v>7.95</v>
      </c>
      <c r="CE639" s="5" t="n">
        <v>124.162</v>
      </c>
      <c r="CF639" s="5" t="n">
        <v>273.136</v>
      </c>
      <c r="CG639" s="5" t="n">
        <v>0.23</v>
      </c>
      <c r="CH639" s="5" t="n">
        <v>1</v>
      </c>
      <c r="CI639" s="5" t="n">
        <v>0</v>
      </c>
      <c r="CJ639" s="5" t="n">
        <v>0</v>
      </c>
      <c r="CK639" s="5" t="n">
        <v>0</v>
      </c>
      <c r="CL639" s="5" t="n">
        <v>0.483</v>
      </c>
      <c r="CM639" s="5" t="n">
        <v>20</v>
      </c>
      <c r="CN639" s="5" t="n">
        <v>0.01</v>
      </c>
      <c r="CO639" s="5" t="n">
        <v>0</v>
      </c>
      <c r="CP639" s="5" t="n">
        <v>0</v>
      </c>
      <c r="CQ639" s="5" t="n">
        <v>1.294</v>
      </c>
      <c r="CR639" s="5" t="n">
        <v>0</v>
      </c>
      <c r="CS639" s="5" t="n">
        <v>4.299</v>
      </c>
      <c r="CT639" s="5" t="n">
        <v>9.295</v>
      </c>
      <c r="CU639" s="5" t="n">
        <v>29.459</v>
      </c>
    </row>
    <row r="640">
      <c r="A640" s="5" t="inlineStr">
        <is>
          <t>POL2023</t>
        </is>
      </c>
      <c r="B640" s="5" t="inlineStr">
        <is>
          <t>POL</t>
        </is>
      </c>
      <c r="C640" s="5" t="inlineStr">
        <is>
          <t>POL</t>
        </is>
      </c>
      <c r="D640" s="5" t="inlineStr">
        <is>
          <t>Poland</t>
        </is>
      </c>
      <c r="E640" s="5" t="n">
        <v>2023</v>
      </c>
      <c r="F640" s="5" t="n">
        <v>0.23</v>
      </c>
      <c r="G640" s="5" t="n">
        <v>7.369</v>
      </c>
      <c r="H640" s="5" t="n">
        <v>1.678</v>
      </c>
      <c r="I640" s="5" t="n">
        <v>9.680999999999999</v>
      </c>
      <c r="J640" s="5" t="n">
        <v>17.05</v>
      </c>
      <c r="K640" s="5" t="n">
        <v>0</v>
      </c>
      <c r="L640" s="5" t="n">
        <v>1</v>
      </c>
      <c r="M640" s="5" t="n">
        <v>9.352</v>
      </c>
      <c r="N640" s="5" t="n">
        <v>4.638</v>
      </c>
      <c r="O640" s="5" t="n">
        <v>9.641</v>
      </c>
      <c r="P640" s="5" t="n">
        <v>18.993</v>
      </c>
      <c r="Q640" s="5" t="n">
        <v>0</v>
      </c>
      <c r="R640" s="5" t="n">
        <v>1</v>
      </c>
      <c r="S640" s="5" t="n">
        <v>13.645</v>
      </c>
      <c r="T640" s="5" t="n">
        <v>8.557</v>
      </c>
      <c r="U640" s="5" t="n">
        <v>0.034</v>
      </c>
      <c r="V640" s="5" t="n">
        <v>16.825</v>
      </c>
      <c r="W640" s="5" t="n">
        <v>0.23</v>
      </c>
      <c r="X640" s="5" t="n">
        <v>1</v>
      </c>
      <c r="Y640" s="5" t="n">
        <v>20.215</v>
      </c>
      <c r="Z640" s="5" t="n">
        <v>2.264</v>
      </c>
      <c r="AA640" s="5" t="n">
        <v>13.865</v>
      </c>
      <c r="AB640" s="5" t="n">
        <v>34.08</v>
      </c>
      <c r="AC640" s="5" t="n">
        <v>0</v>
      </c>
      <c r="AD640" s="5" t="n">
        <v>1</v>
      </c>
      <c r="AE640" s="5" t="n">
        <v>20.387</v>
      </c>
      <c r="AF640" s="5" t="n">
        <v>4.06</v>
      </c>
      <c r="AG640" s="5" t="n">
        <v>13.693</v>
      </c>
      <c r="AH640" s="5" t="n">
        <v>34.08</v>
      </c>
      <c r="AI640" s="5" t="n">
        <v>0</v>
      </c>
      <c r="AJ640" s="5" t="n">
        <v>1</v>
      </c>
      <c r="AK640" s="5" t="n">
        <v>22.885</v>
      </c>
      <c r="AL640" s="5" t="n">
        <v>11.336</v>
      </c>
      <c r="AM640" s="5" t="n">
        <v>-5.636</v>
      </c>
      <c r="AN640" s="5" t="n">
        <v>21.216</v>
      </c>
      <c r="AO640" s="5" t="n">
        <v>0.23</v>
      </c>
      <c r="AP640" s="5" t="n">
        <v>1</v>
      </c>
      <c r="AQ640" s="5" t="n">
        <v>0.8110000000000001</v>
      </c>
      <c r="AR640" s="5" t="n">
        <v>0.137</v>
      </c>
      <c r="AS640" s="5" t="n">
        <v>0.45</v>
      </c>
      <c r="AT640" s="5" t="n">
        <v>1.551</v>
      </c>
      <c r="AU640" s="5" t="n">
        <v>0.23</v>
      </c>
      <c r="AV640" s="5" t="n">
        <v>1</v>
      </c>
      <c r="AW640" s="5" t="n">
        <v>0.865</v>
      </c>
      <c r="AX640" s="5" t="n">
        <v>0.148</v>
      </c>
      <c r="AY640" s="5" t="n">
        <v>0.413</v>
      </c>
      <c r="AZ640" s="5" t="n">
        <v>1.573</v>
      </c>
      <c r="BA640" s="5" t="n">
        <v>0.23</v>
      </c>
      <c r="BB640" s="5" t="n">
        <v>1</v>
      </c>
      <c r="BC640" s="5" t="n">
        <v>0.535</v>
      </c>
      <c r="BD640" s="5" t="n">
        <v>0.129</v>
      </c>
      <c r="BE640" s="5" t="n">
        <v>0.048</v>
      </c>
      <c r="BF640" s="5" t="n">
        <v>0.718</v>
      </c>
      <c r="BG640" s="5" t="n">
        <v>0.23</v>
      </c>
      <c r="BH640" s="5" t="n">
        <v>1</v>
      </c>
      <c r="BI640" s="5" t="n">
        <v>0.579</v>
      </c>
      <c r="BJ640" s="5" t="n">
        <v>0.129</v>
      </c>
      <c r="BK640" s="5" t="n">
        <v>0.226</v>
      </c>
      <c r="BL640" s="5" t="n">
        <v>0.99</v>
      </c>
      <c r="BM640" s="5" t="n">
        <v>0.23</v>
      </c>
      <c r="BN640" s="5" t="n">
        <v>1</v>
      </c>
      <c r="BO640" s="5" t="n">
        <v>0</v>
      </c>
      <c r="BP640" s="5" t="n">
        <v>0.075</v>
      </c>
      <c r="BQ640" s="5" t="n">
        <v>0.216</v>
      </c>
      <c r="BR640" s="5" t="n">
        <v>0</v>
      </c>
      <c r="BS640" s="5" t="n">
        <v>1</v>
      </c>
      <c r="BT640" s="5" t="n">
        <v>0</v>
      </c>
      <c r="BU640" s="5" t="n">
        <v>0.06</v>
      </c>
      <c r="BV640" s="5" t="n">
        <v>0.213</v>
      </c>
      <c r="BW640" s="5" t="n">
        <v>0.23</v>
      </c>
      <c r="BX640" s="5" t="n">
        <v>1</v>
      </c>
      <c r="BY640" s="5" t="n">
        <v>13.254</v>
      </c>
      <c r="BZ640" s="5" t="n">
        <v>0</v>
      </c>
      <c r="CA640" s="5" t="n">
        <v>13.254</v>
      </c>
      <c r="CB640" s="5" t="n">
        <v>0</v>
      </c>
      <c r="CC640" s="5" t="n">
        <v>83.248</v>
      </c>
      <c r="CD640" s="5" t="n">
        <v>7.95</v>
      </c>
      <c r="CE640" s="5" t="n">
        <v>124.29</v>
      </c>
      <c r="CF640" s="5" t="n">
        <v>255.271</v>
      </c>
      <c r="CG640" s="5" t="n">
        <v>0.23</v>
      </c>
      <c r="CH640" s="5" t="n">
        <v>1</v>
      </c>
      <c r="CI640" s="5" t="n">
        <v>0</v>
      </c>
      <c r="CJ640" s="5" t="n">
        <v>0</v>
      </c>
      <c r="CK640" s="5" t="n">
        <v>0</v>
      </c>
      <c r="CL640" s="5" t="n">
        <v>0.503</v>
      </c>
      <c r="CM640" s="5" t="n">
        <v>20.826</v>
      </c>
      <c r="CN640" s="5" t="n">
        <v>0.01</v>
      </c>
      <c r="CO640" s="5" t="n">
        <v>0</v>
      </c>
      <c r="CP640" s="5" t="n">
        <v>0</v>
      </c>
      <c r="CQ640" s="5" t="n">
        <v>1.348</v>
      </c>
      <c r="CR640" s="5" t="n">
        <v>0</v>
      </c>
      <c r="CS640" s="5" t="n">
        <v>4.477</v>
      </c>
      <c r="CT640" s="5" t="n">
        <v>7.086</v>
      </c>
      <c r="CU640" s="5" t="n">
        <v>10.115</v>
      </c>
    </row>
    <row r="641">
      <c r="A641" s="5" t="inlineStr">
        <is>
          <t>POL2024</t>
        </is>
      </c>
      <c r="B641" s="5" t="inlineStr">
        <is>
          <t>POL</t>
        </is>
      </c>
      <c r="C641" s="5" t="inlineStr">
        <is>
          <t>POL</t>
        </is>
      </c>
      <c r="D641" s="5" t="inlineStr">
        <is>
          <t>Poland</t>
        </is>
      </c>
      <c r="E641" s="5" t="n">
        <v>2024</v>
      </c>
      <c r="F641" s="5" t="n">
        <v>0.23</v>
      </c>
      <c r="G641" s="5" t="n">
        <v>6.682</v>
      </c>
      <c r="H641" s="5" t="n">
        <v>1.693</v>
      </c>
      <c r="I641" s="5" t="n">
        <v>6.347</v>
      </c>
      <c r="J641" s="5" t="n">
        <v>13.03</v>
      </c>
      <c r="K641" s="5" t="n">
        <v>0</v>
      </c>
      <c r="L641" s="5" t="n">
        <v>1</v>
      </c>
      <c r="M641" s="5" t="n">
        <v>8.462</v>
      </c>
      <c r="N641" s="5" t="n">
        <v>4.61</v>
      </c>
      <c r="O641" s="5" t="n">
        <v>6.358</v>
      </c>
      <c r="P641" s="5" t="n">
        <v>14.82</v>
      </c>
      <c r="Q641" s="5" t="n">
        <v>0</v>
      </c>
      <c r="R641" s="5" t="n">
        <v>1</v>
      </c>
      <c r="S641" s="5" t="n">
        <v>13.232</v>
      </c>
      <c r="T641" s="5" t="n">
        <v>8.76</v>
      </c>
      <c r="U641" s="5" t="n">
        <v>0.035</v>
      </c>
      <c r="V641" s="5" t="n">
        <v>16.318</v>
      </c>
      <c r="W641" s="5" t="n">
        <v>0.23</v>
      </c>
      <c r="X641" s="5" t="n">
        <v>1</v>
      </c>
      <c r="Y641" s="5" t="n">
        <v>21.212</v>
      </c>
      <c r="Z641" s="5" t="n">
        <v>2.678</v>
      </c>
      <c r="AA641" s="5" t="n">
        <v>4.393</v>
      </c>
      <c r="AB641" s="5" t="n">
        <v>25.605</v>
      </c>
      <c r="AC641" s="5" t="n">
        <v>0</v>
      </c>
      <c r="AD641" s="5" t="n">
        <v>1</v>
      </c>
      <c r="AE641" s="5" t="n">
        <v>21.653</v>
      </c>
      <c r="AF641" s="5" t="n">
        <v>4.743</v>
      </c>
      <c r="AG641" s="5" t="n">
        <v>3.952</v>
      </c>
      <c r="AH641" s="5" t="n">
        <v>25.605</v>
      </c>
      <c r="AI641" s="5" t="n">
        <v>0</v>
      </c>
      <c r="AJ641" s="5" t="n">
        <v>1</v>
      </c>
      <c r="AK641" s="5" t="n">
        <v>23.304</v>
      </c>
      <c r="AL641" s="5" t="n">
        <v>11.853</v>
      </c>
      <c r="AM641" s="5" t="n">
        <v>-4.083</v>
      </c>
      <c r="AN641" s="5" t="n">
        <v>23.641</v>
      </c>
      <c r="AO641" s="5" t="n">
        <v>0.23</v>
      </c>
      <c r="AP641" s="5" t="n">
        <v>1</v>
      </c>
      <c r="AQ641" s="5" t="n">
        <v>0.789</v>
      </c>
      <c r="AR641" s="5" t="n">
        <v>0.143</v>
      </c>
      <c r="AS641" s="5" t="n">
        <v>0.512</v>
      </c>
      <c r="AT641" s="5" t="n">
        <v>1.601</v>
      </c>
      <c r="AU641" s="5" t="n">
        <v>0.23</v>
      </c>
      <c r="AV641" s="5" t="n">
        <v>1</v>
      </c>
      <c r="AW641" s="5" t="n">
        <v>0.822</v>
      </c>
      <c r="AX641" s="5" t="n">
        <v>0.151</v>
      </c>
      <c r="AY641" s="5" t="n">
        <v>0.494</v>
      </c>
      <c r="AZ641" s="5" t="n">
        <v>1.618</v>
      </c>
      <c r="BA641" s="5" t="n">
        <v>0.23</v>
      </c>
      <c r="BB641" s="5" t="n">
        <v>1</v>
      </c>
      <c r="BC641" s="5" t="n">
        <v>0.513</v>
      </c>
      <c r="BD641" s="5" t="n">
        <v>0.132</v>
      </c>
      <c r="BE641" s="5" t="n">
        <v>0.079</v>
      </c>
      <c r="BF641" s="5" t="n">
        <v>0.728</v>
      </c>
      <c r="BG641" s="5" t="n">
        <v>0.23</v>
      </c>
      <c r="BH641" s="5" t="n">
        <v>1</v>
      </c>
      <c r="BI641" s="5" t="n">
        <v>0.591</v>
      </c>
      <c r="BJ641" s="5" t="n">
        <v>0.132</v>
      </c>
      <c r="BK641" s="5" t="n">
        <v>0.191</v>
      </c>
      <c r="BL641" s="5" t="n">
        <v>0.963</v>
      </c>
      <c r="BM641" s="5" t="n">
        <v>0.23</v>
      </c>
      <c r="BN641" s="5" t="n">
        <v>1</v>
      </c>
      <c r="BO641" s="5" t="n">
        <v>0</v>
      </c>
      <c r="BP641" s="5" t="n">
        <v>0.067</v>
      </c>
      <c r="BQ641" s="5" t="n">
        <v>0.182</v>
      </c>
      <c r="BR641" s="5" t="n">
        <v>0</v>
      </c>
      <c r="BS641" s="5" t="n">
        <v>1</v>
      </c>
      <c r="BT641" s="5" t="n">
        <v>0</v>
      </c>
      <c r="BU641" s="5" t="n">
        <v>0.06900000000000001</v>
      </c>
      <c r="BV641" s="5" t="n">
        <v>0.247</v>
      </c>
      <c r="BW641" s="5" t="n">
        <v>0.23</v>
      </c>
      <c r="BX641" s="5" t="n">
        <v>1</v>
      </c>
      <c r="BY641" s="5" t="n">
        <v>13.646</v>
      </c>
      <c r="BZ641" s="5" t="n">
        <v>0</v>
      </c>
      <c r="CA641" s="5" t="n">
        <v>13.646</v>
      </c>
      <c r="CB641" s="5" t="n">
        <v>0</v>
      </c>
      <c r="CC641" s="5" t="n">
        <v>82.58799999999999</v>
      </c>
      <c r="CD641" s="5" t="n">
        <v>7.95</v>
      </c>
      <c r="CE641" s="5" t="n">
        <v>102.469</v>
      </c>
      <c r="CF641" s="5" t="n">
        <v>227.62</v>
      </c>
      <c r="CG641" s="5" t="n">
        <v>0.23</v>
      </c>
      <c r="CH641" s="5" t="n">
        <v>1</v>
      </c>
      <c r="CI641" s="5" t="n">
        <v>0</v>
      </c>
      <c r="CJ641" s="5" t="n">
        <v>0</v>
      </c>
      <c r="CK641" s="5" t="n">
        <v>0</v>
      </c>
      <c r="CL641" s="5" t="n">
        <v>1.8</v>
      </c>
      <c r="CM641" s="5" t="n">
        <v>21.44</v>
      </c>
      <c r="CN641" s="5" t="n">
        <v>0.01</v>
      </c>
      <c r="CO641" s="5" t="n">
        <v>0</v>
      </c>
      <c r="CP641" s="5" t="n">
        <v>0</v>
      </c>
      <c r="CQ641" s="5" t="n">
        <v>1.387</v>
      </c>
      <c r="CR641" s="5" t="n">
        <v>0</v>
      </c>
      <c r="CS641" s="5" t="n">
        <v>4.609</v>
      </c>
      <c r="CT641" s="5" t="n">
        <v>4.705</v>
      </c>
      <c r="CU641" s="5" t="n">
        <v>8.551</v>
      </c>
    </row>
    <row r="642">
      <c r="A642" s="5" t="inlineStr">
        <is>
          <t>PRT2021</t>
        </is>
      </c>
      <c r="B642" s="5" t="inlineStr">
        <is>
          <t>PRT</t>
        </is>
      </c>
      <c r="C642" s="5" t="inlineStr">
        <is>
          <t>PRT</t>
        </is>
      </c>
      <c r="D642" s="5" t="inlineStr">
        <is>
          <t>Portugal</t>
        </is>
      </c>
      <c r="E642" s="5" t="n">
        <v>2021</v>
      </c>
      <c r="F642" s="5" t="n">
        <v>0.23</v>
      </c>
      <c r="G642" s="5" t="n">
        <v>3.432</v>
      </c>
      <c r="H642" s="5" t="n">
        <v>0.751</v>
      </c>
      <c r="I642" s="5" t="n">
        <v>1.422</v>
      </c>
      <c r="J642" s="5" t="n">
        <v>4.854</v>
      </c>
      <c r="K642" s="5" t="n">
        <v>0</v>
      </c>
      <c r="L642" s="5" t="n">
        <v>1</v>
      </c>
      <c r="M642" s="5" t="n">
        <v>6.871</v>
      </c>
      <c r="N642" s="5" t="n">
        <v>3.114</v>
      </c>
      <c r="O642" s="5" t="n">
        <v>2.495</v>
      </c>
      <c r="P642" s="5" t="n">
        <v>9.366</v>
      </c>
      <c r="Q642" s="5" t="n">
        <v>0</v>
      </c>
      <c r="R642" s="5" t="n">
        <v>1</v>
      </c>
      <c r="S642" s="5" t="n">
        <v>5.808</v>
      </c>
      <c r="T642" s="5" t="n">
        <v>3.586</v>
      </c>
      <c r="U642" s="5" t="n">
        <v>1.183</v>
      </c>
      <c r="V642" s="5" t="n">
        <v>8.599</v>
      </c>
      <c r="W642" s="5" t="n">
        <v>0.23</v>
      </c>
      <c r="X642" s="5" t="n">
        <v>1</v>
      </c>
      <c r="Y642" s="5" t="n">
        <v>11.872</v>
      </c>
      <c r="Z642" s="5" t="n">
        <v>1.311</v>
      </c>
      <c r="AA642" s="5" t="n">
        <v>-1.571</v>
      </c>
      <c r="AB642" s="5" t="n">
        <v>10.301</v>
      </c>
      <c r="AC642" s="5" t="n">
        <v>0</v>
      </c>
      <c r="AD642" s="5" t="n">
        <v>1</v>
      </c>
      <c r="AE642" s="5" t="n">
        <v>11.828</v>
      </c>
      <c r="AF642" s="5" t="n">
        <v>2.328</v>
      </c>
      <c r="AG642" s="5" t="n">
        <v>-1.528</v>
      </c>
      <c r="AH642" s="5" t="n">
        <v>10.301</v>
      </c>
      <c r="AI642" s="5" t="n">
        <v>0</v>
      </c>
      <c r="AJ642" s="5" t="n">
        <v>1</v>
      </c>
      <c r="AK642" s="5" t="n">
        <v>21.934</v>
      </c>
      <c r="AL642" s="5" t="n">
        <v>10.765</v>
      </c>
      <c r="AM642" s="5" t="n">
        <v>-1.437</v>
      </c>
      <c r="AN642" s="5" t="n">
        <v>25.21</v>
      </c>
      <c r="AO642" s="5" t="n">
        <v>0.23</v>
      </c>
      <c r="AP642" s="5" t="n">
        <v>1</v>
      </c>
      <c r="AQ642" s="5" t="n">
        <v>0.619</v>
      </c>
      <c r="AR642" s="5" t="n">
        <v>0.114</v>
      </c>
      <c r="AS642" s="5" t="n">
        <v>0.9399999999999999</v>
      </c>
      <c r="AT642" s="5" t="n">
        <v>1.918</v>
      </c>
      <c r="AU642" s="5" t="n">
        <v>0.23</v>
      </c>
      <c r="AV642" s="5" t="n">
        <v>1</v>
      </c>
      <c r="AW642" s="5" t="n">
        <v>0.599</v>
      </c>
      <c r="AX642" s="5" t="n">
        <v>0.114</v>
      </c>
      <c r="AY642" s="5" t="n">
        <v>0.772</v>
      </c>
      <c r="AZ642" s="5" t="n">
        <v>1.687</v>
      </c>
      <c r="BA642" s="5" t="n">
        <v>0.23</v>
      </c>
      <c r="BB642" s="5" t="n">
        <v>1</v>
      </c>
      <c r="BC642" s="5" t="n">
        <v>0.439</v>
      </c>
      <c r="BD642" s="5" t="n">
        <v>0.114</v>
      </c>
      <c r="BE642" s="5" t="n">
        <v>0.258</v>
      </c>
      <c r="BF642" s="5" t="n">
        <v>0.857</v>
      </c>
      <c r="BG642" s="5" t="n">
        <v>0.23</v>
      </c>
      <c r="BH642" s="5" t="n">
        <v>1</v>
      </c>
      <c r="BI642" s="5" t="n">
        <v>0.505</v>
      </c>
      <c r="BJ642" s="5" t="n">
        <v>0.114</v>
      </c>
      <c r="BK642" s="5" t="n">
        <v>0.668</v>
      </c>
      <c r="BL642" s="5" t="n">
        <v>1.442</v>
      </c>
      <c r="BM642" s="5" t="n">
        <v>0.23</v>
      </c>
      <c r="BN642" s="5" t="n">
        <v>1</v>
      </c>
      <c r="BO642" s="5" t="n">
        <v>0</v>
      </c>
      <c r="BP642" s="5" t="n">
        <v>0.028</v>
      </c>
      <c r="BQ642" s="5" t="n">
        <v>0.127</v>
      </c>
      <c r="BR642" s="5" t="n">
        <v>0</v>
      </c>
      <c r="BS642" s="5" t="n">
        <v>1</v>
      </c>
      <c r="BT642" s="5" t="n">
        <v>0</v>
      </c>
      <c r="BU642" s="5" t="n">
        <v>0.074</v>
      </c>
      <c r="BV642" s="5" t="n">
        <v>0.252</v>
      </c>
      <c r="BW642" s="5" t="n">
        <v>0.23</v>
      </c>
      <c r="BX642" s="5" t="n">
        <v>0.667</v>
      </c>
      <c r="BY642" s="5" t="n">
        <v>11.787</v>
      </c>
      <c r="BZ642" s="5" t="n">
        <v>0</v>
      </c>
      <c r="CA642" s="5" t="n">
        <v>11.787</v>
      </c>
      <c r="CB642" s="5" t="n">
        <v>0</v>
      </c>
      <c r="CC642" s="5" t="n">
        <v>78.125</v>
      </c>
      <c r="CD642" s="5" t="n">
        <v>7.95</v>
      </c>
      <c r="CE642" s="5" t="n">
        <v>113.66</v>
      </c>
      <c r="CF642" s="5" t="n">
        <v>235.895</v>
      </c>
      <c r="CG642" s="5" t="n">
        <v>0.23</v>
      </c>
      <c r="CH642" s="5" t="n">
        <v>1</v>
      </c>
      <c r="CI642" s="5" t="n">
        <v>0</v>
      </c>
      <c r="CJ642" s="5" t="n">
        <v>0</v>
      </c>
      <c r="CK642" s="5" t="n">
        <v>0</v>
      </c>
      <c r="CL642" s="5" t="n">
        <v>0</v>
      </c>
      <c r="CM642" s="5" t="n">
        <v>0</v>
      </c>
      <c r="CN642" s="5" t="n">
        <v>0</v>
      </c>
      <c r="CO642" s="5" t="n">
        <v>0</v>
      </c>
      <c r="CP642" s="5" t="n">
        <v>0</v>
      </c>
      <c r="CQ642" s="5" t="n">
        <v>1.198</v>
      </c>
      <c r="CR642" s="5" t="n">
        <v>0</v>
      </c>
      <c r="CS642" s="5" t="n">
        <v>4.776</v>
      </c>
      <c r="CT642" s="5" t="n">
        <v>23.769</v>
      </c>
      <c r="CU642" s="5" t="n">
        <v>8.331</v>
      </c>
    </row>
    <row r="643">
      <c r="A643" s="5" t="inlineStr">
        <is>
          <t>PRT2022</t>
        </is>
      </c>
      <c r="B643" s="5" t="inlineStr">
        <is>
          <t>PRT</t>
        </is>
      </c>
      <c r="C643" s="5" t="inlineStr">
        <is>
          <t>PRT</t>
        </is>
      </c>
      <c r="D643" s="5" t="inlineStr">
        <is>
          <t>Portugal</t>
        </is>
      </c>
      <c r="E643" s="5" t="n">
        <v>2022</v>
      </c>
      <c r="F643" s="5" t="n">
        <v>0.23</v>
      </c>
      <c r="G643" s="5" t="n">
        <v>3.23</v>
      </c>
      <c r="H643" s="5" t="n">
        <v>0.502</v>
      </c>
      <c r="I643" s="5" t="n">
        <v>8.583</v>
      </c>
      <c r="J643" s="5" t="n">
        <v>11.813</v>
      </c>
      <c r="K643" s="5" t="n">
        <v>0</v>
      </c>
      <c r="L643" s="5" t="n">
        <v>1</v>
      </c>
      <c r="M643" s="5" t="n">
        <v>7.063</v>
      </c>
      <c r="N643" s="5" t="n">
        <v>2.917</v>
      </c>
      <c r="O643" s="5" t="n">
        <v>8.829000000000001</v>
      </c>
      <c r="P643" s="5" t="n">
        <v>15.892</v>
      </c>
      <c r="Q643" s="5" t="n">
        <v>0</v>
      </c>
      <c r="R643" s="5" t="n">
        <v>1</v>
      </c>
      <c r="S643" s="5" t="n">
        <v>68.13500000000001</v>
      </c>
      <c r="T643" s="5" t="n">
        <v>7.408</v>
      </c>
      <c r="U643" s="5" t="n">
        <v>2.603</v>
      </c>
      <c r="V643" s="5" t="n">
        <v>85.55200000000001</v>
      </c>
      <c r="W643" s="5" t="n">
        <v>0.23</v>
      </c>
      <c r="X643" s="5" t="n">
        <v>1</v>
      </c>
      <c r="Y643" s="5" t="n">
        <v>24.702</v>
      </c>
      <c r="Z643" s="5" t="n">
        <v>2.591</v>
      </c>
      <c r="AA643" s="5" t="n">
        <v>4.965</v>
      </c>
      <c r="AB643" s="5" t="n">
        <v>29.666</v>
      </c>
      <c r="AC643" s="5" t="n">
        <v>0</v>
      </c>
      <c r="AD643" s="5" t="n">
        <v>1</v>
      </c>
      <c r="AE643" s="5" t="n">
        <v>24.749</v>
      </c>
      <c r="AF643" s="5" t="n">
        <v>4.588</v>
      </c>
      <c r="AG643" s="5" t="n">
        <v>4.917</v>
      </c>
      <c r="AH643" s="5" t="n">
        <v>29.666</v>
      </c>
      <c r="AI643" s="5" t="n">
        <v>0</v>
      </c>
      <c r="AJ643" s="5" t="n">
        <v>1</v>
      </c>
      <c r="AK643" s="5" t="n">
        <v>35.403</v>
      </c>
      <c r="AL643" s="5" t="n">
        <v>16.906</v>
      </c>
      <c r="AM643" s="5" t="n">
        <v>-10.27</v>
      </c>
      <c r="AN643" s="5" t="n">
        <v>30.914</v>
      </c>
      <c r="AO643" s="5" t="n">
        <v>0.23</v>
      </c>
      <c r="AP643" s="5" t="n">
        <v>1</v>
      </c>
      <c r="AQ643" s="5" t="n">
        <v>0.861</v>
      </c>
      <c r="AR643" s="5" t="n">
        <v>0.123</v>
      </c>
      <c r="AS643" s="5" t="n">
        <v>0.72</v>
      </c>
      <c r="AT643" s="5" t="n">
        <v>1.945</v>
      </c>
      <c r="AU643" s="5" t="n">
        <v>0.23</v>
      </c>
      <c r="AV643" s="5" t="n">
        <v>1</v>
      </c>
      <c r="AW643" s="5" t="n">
        <v>0.986</v>
      </c>
      <c r="AX643" s="5" t="n">
        <v>0.123</v>
      </c>
      <c r="AY643" s="5" t="n">
        <v>0.551</v>
      </c>
      <c r="AZ643" s="5" t="n">
        <v>1.891</v>
      </c>
      <c r="BA643" s="5" t="n">
        <v>0.23</v>
      </c>
      <c r="BB643" s="5" t="n">
        <v>1</v>
      </c>
      <c r="BC643" s="5" t="n">
        <v>0.598</v>
      </c>
      <c r="BD643" s="5" t="n">
        <v>0.123</v>
      </c>
      <c r="BE643" s="5" t="n">
        <v>0.168</v>
      </c>
      <c r="BF643" s="5" t="n">
        <v>0.9409999999999999</v>
      </c>
      <c r="BG643" s="5" t="n">
        <v>0.23</v>
      </c>
      <c r="BH643" s="5" t="n">
        <v>1</v>
      </c>
      <c r="BI643" s="5" t="n">
        <v>0.612</v>
      </c>
      <c r="BJ643" s="5" t="n">
        <v>0.123</v>
      </c>
      <c r="BK643" s="5" t="n">
        <v>0.874</v>
      </c>
      <c r="BL643" s="5" t="n">
        <v>1.828</v>
      </c>
      <c r="BM643" s="5" t="n">
        <v>0.23</v>
      </c>
      <c r="BN643" s="5" t="n">
        <v>1</v>
      </c>
      <c r="BO643" s="5" t="n">
        <v>0</v>
      </c>
      <c r="BP643" s="5" t="n">
        <v>-0.028</v>
      </c>
      <c r="BQ643" s="5" t="n">
        <v>0.152</v>
      </c>
      <c r="BR643" s="5" t="n">
        <v>0</v>
      </c>
      <c r="BS643" s="5" t="n">
        <v>1</v>
      </c>
      <c r="BT643" s="5" t="n">
        <v>0</v>
      </c>
      <c r="BU643" s="5" t="n">
        <v>0.002</v>
      </c>
      <c r="BV643" s="5" t="n">
        <v>0.233</v>
      </c>
      <c r="BW643" s="5" t="n">
        <v>0.23</v>
      </c>
      <c r="BX643" s="5" t="n">
        <v>0.667</v>
      </c>
      <c r="BY643" s="5" t="n">
        <v>12.729</v>
      </c>
      <c r="BZ643" s="5" t="n">
        <v>0</v>
      </c>
      <c r="CA643" s="5" t="n">
        <v>12.729</v>
      </c>
      <c r="CB643" s="5" t="n">
        <v>0</v>
      </c>
      <c r="CC643" s="5" t="n">
        <v>97.90000000000001</v>
      </c>
      <c r="CD643" s="5" t="n">
        <v>7.95</v>
      </c>
      <c r="CE643" s="5" t="n">
        <v>171.492</v>
      </c>
      <c r="CF643" s="5" t="n">
        <v>331.352</v>
      </c>
      <c r="CG643" s="5" t="n">
        <v>0.23</v>
      </c>
      <c r="CH643" s="5" t="n">
        <v>1</v>
      </c>
      <c r="CI643" s="5" t="n">
        <v>0</v>
      </c>
      <c r="CJ643" s="5" t="n">
        <v>0</v>
      </c>
      <c r="CK643" s="5" t="n">
        <v>0</v>
      </c>
      <c r="CL643" s="5" t="n">
        <v>0</v>
      </c>
      <c r="CM643" s="5" t="n">
        <v>0</v>
      </c>
      <c r="CN643" s="5" t="n">
        <v>0</v>
      </c>
      <c r="CO643" s="5" t="n">
        <v>0</v>
      </c>
      <c r="CP643" s="5" t="n">
        <v>0</v>
      </c>
      <c r="CQ643" s="5" t="n">
        <v>1.294</v>
      </c>
      <c r="CR643" s="5" t="n">
        <v>0</v>
      </c>
      <c r="CS643" s="5" t="n">
        <v>5.158</v>
      </c>
      <c r="CT643" s="5" t="n">
        <v>60.727</v>
      </c>
      <c r="CU643" s="5" t="n">
        <v>21.07</v>
      </c>
    </row>
    <row r="644">
      <c r="A644" s="5" t="inlineStr">
        <is>
          <t>PRT2023</t>
        </is>
      </c>
      <c r="B644" s="5" t="inlineStr">
        <is>
          <t>PRT</t>
        </is>
      </c>
      <c r="C644" s="5" t="inlineStr">
        <is>
          <t>PRT</t>
        </is>
      </c>
      <c r="D644" s="5" t="inlineStr">
        <is>
          <t>Portugal</t>
        </is>
      </c>
      <c r="E644" s="5" t="n">
        <v>2023</v>
      </c>
      <c r="F644" s="5" t="n">
        <v>0.23</v>
      </c>
      <c r="G644" s="5" t="n">
        <v>4.148</v>
      </c>
      <c r="H644" s="5" t="n">
        <v>0.945</v>
      </c>
      <c r="I644" s="5" t="n">
        <v>9.936999999999999</v>
      </c>
      <c r="J644" s="5" t="n">
        <v>14.084</v>
      </c>
      <c r="K644" s="5" t="n">
        <v>0</v>
      </c>
      <c r="L644" s="5" t="n">
        <v>1</v>
      </c>
      <c r="M644" s="5" t="n">
        <v>9.368</v>
      </c>
      <c r="N644" s="5" t="n">
        <v>4.646</v>
      </c>
      <c r="O644" s="5" t="n">
        <v>9.945</v>
      </c>
      <c r="P644" s="5" t="n">
        <v>19.313</v>
      </c>
      <c r="Q644" s="5" t="n">
        <v>0</v>
      </c>
      <c r="R644" s="5" t="n">
        <v>1</v>
      </c>
      <c r="S644" s="5" t="n">
        <v>30.904</v>
      </c>
      <c r="T644" s="5" t="n">
        <v>6.981</v>
      </c>
      <c r="U644" s="5" t="n">
        <v>2.279</v>
      </c>
      <c r="V644" s="5" t="n">
        <v>39.801</v>
      </c>
      <c r="W644" s="5" t="n">
        <v>0.23</v>
      </c>
      <c r="X644" s="5" t="n">
        <v>1</v>
      </c>
      <c r="Y644" s="5" t="n">
        <v>19.331</v>
      </c>
      <c r="Z644" s="5" t="n">
        <v>2.165</v>
      </c>
      <c r="AA644" s="5" t="n">
        <v>5.348</v>
      </c>
      <c r="AB644" s="5" t="n">
        <v>24.679</v>
      </c>
      <c r="AC644" s="5" t="n">
        <v>0</v>
      </c>
      <c r="AD644" s="5" t="n">
        <v>1</v>
      </c>
      <c r="AE644" s="5" t="n">
        <v>19.43</v>
      </c>
      <c r="AF644" s="5" t="n">
        <v>3.87</v>
      </c>
      <c r="AG644" s="5" t="n">
        <v>5.249</v>
      </c>
      <c r="AH644" s="5" t="n">
        <v>24.679</v>
      </c>
      <c r="AI644" s="5" t="n">
        <v>0</v>
      </c>
      <c r="AJ644" s="5" t="n">
        <v>1</v>
      </c>
      <c r="AK644" s="5" t="n">
        <v>30.389</v>
      </c>
      <c r="AL644" s="5" t="n">
        <v>15.054</v>
      </c>
      <c r="AM644" s="5" t="n">
        <v>3.557</v>
      </c>
      <c r="AN644" s="5" t="n">
        <v>41.754</v>
      </c>
      <c r="AO644" s="5" t="n">
        <v>0.23</v>
      </c>
      <c r="AP644" s="5" t="n">
        <v>1</v>
      </c>
      <c r="AQ644" s="5" t="n">
        <v>0.76</v>
      </c>
      <c r="AR644" s="5" t="n">
        <v>0.129</v>
      </c>
      <c r="AS644" s="5" t="n">
        <v>0.751</v>
      </c>
      <c r="AT644" s="5" t="n">
        <v>1.859</v>
      </c>
      <c r="AU644" s="5" t="n">
        <v>0.23</v>
      </c>
      <c r="AV644" s="5" t="n">
        <v>1</v>
      </c>
      <c r="AW644" s="5" t="n">
        <v>0.8110000000000001</v>
      </c>
      <c r="AX644" s="5" t="n">
        <v>0.129</v>
      </c>
      <c r="AY644" s="5" t="n">
        <v>0.586</v>
      </c>
      <c r="AZ644" s="5" t="n">
        <v>1.719</v>
      </c>
      <c r="BA644" s="5" t="n">
        <v>0.23</v>
      </c>
      <c r="BB644" s="5" t="n">
        <v>1</v>
      </c>
      <c r="BC644" s="5" t="n">
        <v>0.535</v>
      </c>
      <c r="BD644" s="5" t="n">
        <v>0.129</v>
      </c>
      <c r="BE644" s="5" t="n">
        <v>0.186</v>
      </c>
      <c r="BF644" s="5" t="n">
        <v>0.887</v>
      </c>
      <c r="BG644" s="5" t="n">
        <v>0.23</v>
      </c>
      <c r="BH644" s="5" t="n">
        <v>1</v>
      </c>
      <c r="BI644" s="5" t="n">
        <v>0.579</v>
      </c>
      <c r="BJ644" s="5" t="n">
        <v>0.129</v>
      </c>
      <c r="BK644" s="5" t="n">
        <v>0.821</v>
      </c>
      <c r="BL644" s="5" t="n">
        <v>1.722</v>
      </c>
      <c r="BM644" s="5" t="n">
        <v>0.23</v>
      </c>
      <c r="BN644" s="5" t="n">
        <v>1</v>
      </c>
      <c r="BO644" s="5" t="n">
        <v>0</v>
      </c>
      <c r="BP644" s="5" t="n">
        <v>-0.038</v>
      </c>
      <c r="BQ644" s="5" t="n">
        <v>0.094</v>
      </c>
      <c r="BR644" s="5" t="n">
        <v>0</v>
      </c>
      <c r="BS644" s="5" t="n">
        <v>1</v>
      </c>
      <c r="BT644" s="5" t="n">
        <v>0</v>
      </c>
      <c r="BU644" s="5" t="n">
        <v>-0.07099999999999999</v>
      </c>
      <c r="BV644" s="5" t="n">
        <v>0.236</v>
      </c>
      <c r="BW644" s="5" t="n">
        <v>0.23</v>
      </c>
      <c r="BX644" s="5" t="n">
        <v>0.667</v>
      </c>
      <c r="BY644" s="5" t="n">
        <v>13.254</v>
      </c>
      <c r="BZ644" s="5" t="n">
        <v>0</v>
      </c>
      <c r="CA644" s="5" t="n">
        <v>13.254</v>
      </c>
      <c r="CB644" s="5" t="n">
        <v>0</v>
      </c>
      <c r="CC644" s="5" t="n">
        <v>83.248</v>
      </c>
      <c r="CD644" s="5" t="n">
        <v>7.95</v>
      </c>
      <c r="CE644" s="5" t="n">
        <v>177.631</v>
      </c>
      <c r="CF644" s="5" t="n">
        <v>320.881</v>
      </c>
      <c r="CG644" s="5" t="n">
        <v>0.23</v>
      </c>
      <c r="CH644" s="5" t="n">
        <v>1</v>
      </c>
      <c r="CI644" s="5" t="n">
        <v>0</v>
      </c>
      <c r="CJ644" s="5" t="n">
        <v>0</v>
      </c>
      <c r="CK644" s="5" t="n">
        <v>0</v>
      </c>
      <c r="CL644" s="5" t="n">
        <v>0</v>
      </c>
      <c r="CM644" s="5" t="n">
        <v>0</v>
      </c>
      <c r="CN644" s="5" t="n">
        <v>0</v>
      </c>
      <c r="CO644" s="5" t="n">
        <v>0</v>
      </c>
      <c r="CP644" s="5" t="n">
        <v>0</v>
      </c>
      <c r="CQ644" s="5" t="n">
        <v>1.348</v>
      </c>
      <c r="CR644" s="5" t="n">
        <v>0</v>
      </c>
      <c r="CS644" s="5" t="n">
        <v>5.37</v>
      </c>
      <c r="CT644" s="5" t="n">
        <v>29.221</v>
      </c>
      <c r="CU644" s="5" t="n">
        <v>15.648</v>
      </c>
    </row>
    <row r="645">
      <c r="A645" s="5" t="inlineStr">
        <is>
          <t>PRT2024</t>
        </is>
      </c>
      <c r="B645" s="5" t="inlineStr">
        <is>
          <t>PRT</t>
        </is>
      </c>
      <c r="C645" s="5" t="inlineStr">
        <is>
          <t>PRT</t>
        </is>
      </c>
      <c r="D645" s="5" t="inlineStr">
        <is>
          <t>Portugal</t>
        </is>
      </c>
      <c r="E645" s="5" t="n">
        <v>2024</v>
      </c>
      <c r="F645" s="5" t="n">
        <v>0.23</v>
      </c>
      <c r="G645" s="5" t="n">
        <v>4.039</v>
      </c>
      <c r="H645" s="5" t="n">
        <v>1.023</v>
      </c>
      <c r="I645" s="5" t="n">
        <v>6.576</v>
      </c>
      <c r="J645" s="5" t="n">
        <v>10.615</v>
      </c>
      <c r="K645" s="5" t="n">
        <v>0</v>
      </c>
      <c r="L645" s="5" t="n">
        <v>1</v>
      </c>
      <c r="M645" s="5" t="n">
        <v>8.81</v>
      </c>
      <c r="N645" s="5" t="n">
        <v>4.799</v>
      </c>
      <c r="O645" s="5" t="n">
        <v>6.989</v>
      </c>
      <c r="P645" s="5" t="n">
        <v>15.799</v>
      </c>
      <c r="Q645" s="5" t="n">
        <v>0</v>
      </c>
      <c r="R645" s="5" t="n">
        <v>1</v>
      </c>
      <c r="S645" s="5" t="n">
        <v>25.97</v>
      </c>
      <c r="T645" s="5" t="n">
        <v>7.187</v>
      </c>
      <c r="U645" s="5" t="n">
        <v>2.358</v>
      </c>
      <c r="V645" s="5" t="n">
        <v>33.785</v>
      </c>
      <c r="W645" s="5" t="n">
        <v>0.23</v>
      </c>
      <c r="X645" s="5" t="n">
        <v>1</v>
      </c>
      <c r="Y645" s="5" t="n">
        <v>14.363</v>
      </c>
      <c r="Z645" s="5" t="n">
        <v>1.814</v>
      </c>
      <c r="AA645" s="5" t="n">
        <v>4.561</v>
      </c>
      <c r="AB645" s="5" t="n">
        <v>18.924</v>
      </c>
      <c r="AC645" s="5" t="n">
        <v>0</v>
      </c>
      <c r="AD645" s="5" t="n">
        <v>1</v>
      </c>
      <c r="AE645" s="5" t="n">
        <v>14.363</v>
      </c>
      <c r="AF645" s="5" t="n">
        <v>3.146</v>
      </c>
      <c r="AG645" s="5" t="n">
        <v>4.561</v>
      </c>
      <c r="AH645" s="5" t="n">
        <v>18.924</v>
      </c>
      <c r="AI645" s="5" t="n">
        <v>0</v>
      </c>
      <c r="AJ645" s="5" t="n">
        <v>1</v>
      </c>
      <c r="AK645" s="5" t="n">
        <v>26.173</v>
      </c>
      <c r="AL645" s="5" t="n">
        <v>13.312</v>
      </c>
      <c r="AM645" s="5" t="n">
        <v>5.094</v>
      </c>
      <c r="AN645" s="5" t="n">
        <v>38.458</v>
      </c>
      <c r="AO645" s="5" t="n">
        <v>0.23</v>
      </c>
      <c r="AP645" s="5" t="n">
        <v>1</v>
      </c>
      <c r="AQ645" s="5" t="n">
        <v>0.724</v>
      </c>
      <c r="AR645" s="5" t="n">
        <v>0.132</v>
      </c>
      <c r="AS645" s="5" t="n">
        <v>0.786</v>
      </c>
      <c r="AT645" s="5" t="n">
        <v>1.857</v>
      </c>
      <c r="AU645" s="5" t="n">
        <v>0.23</v>
      </c>
      <c r="AV645" s="5" t="n">
        <v>1</v>
      </c>
      <c r="AW645" s="5" t="n">
        <v>0.75</v>
      </c>
      <c r="AX645" s="5" t="n">
        <v>0.132</v>
      </c>
      <c r="AY645" s="5" t="n">
        <v>0.641</v>
      </c>
      <c r="AZ645" s="5" t="n">
        <v>1.711</v>
      </c>
      <c r="BA645" s="5" t="n">
        <v>0.23</v>
      </c>
      <c r="BB645" s="5" t="n">
        <v>1</v>
      </c>
      <c r="BC645" s="5" t="n">
        <v>0.513</v>
      </c>
      <c r="BD645" s="5" t="n">
        <v>0.132</v>
      </c>
      <c r="BE645" s="5" t="n">
        <v>0.238</v>
      </c>
      <c r="BF645" s="5" t="n">
        <v>0.924</v>
      </c>
      <c r="BG645" s="5" t="n">
        <v>0.23</v>
      </c>
      <c r="BH645" s="5" t="n">
        <v>1</v>
      </c>
      <c r="BI645" s="5" t="n">
        <v>0.591</v>
      </c>
      <c r="BJ645" s="5" t="n">
        <v>0.132</v>
      </c>
      <c r="BK645" s="5" t="n">
        <v>0.769</v>
      </c>
      <c r="BL645" s="5" t="n">
        <v>1.673</v>
      </c>
      <c r="BM645" s="5" t="n">
        <v>0.23</v>
      </c>
      <c r="BN645" s="5" t="n">
        <v>1</v>
      </c>
      <c r="BO645" s="5" t="n">
        <v>0</v>
      </c>
      <c r="BP645" s="5" t="n">
        <v>0.008</v>
      </c>
      <c r="BQ645" s="5" t="n">
        <v>0.108</v>
      </c>
      <c r="BR645" s="5" t="n">
        <v>0</v>
      </c>
      <c r="BS645" s="5" t="n">
        <v>1</v>
      </c>
      <c r="BT645" s="5" t="n">
        <v>0</v>
      </c>
      <c r="BU645" s="5" t="n">
        <v>0.041</v>
      </c>
      <c r="BV645" s="5" t="n">
        <v>0.273</v>
      </c>
      <c r="BW645" s="5" t="n">
        <v>0.23</v>
      </c>
      <c r="BX645" s="5" t="n">
        <v>0.667</v>
      </c>
      <c r="BY645" s="5" t="n">
        <v>13.646</v>
      </c>
      <c r="BZ645" s="5" t="n">
        <v>0</v>
      </c>
      <c r="CA645" s="5" t="n">
        <v>13.646</v>
      </c>
      <c r="CB645" s="5" t="n">
        <v>0</v>
      </c>
      <c r="CC645" s="5" t="n">
        <v>82.58799999999999</v>
      </c>
      <c r="CD645" s="5" t="n">
        <v>7.95</v>
      </c>
      <c r="CE645" s="5" t="n">
        <v>166.731</v>
      </c>
      <c r="CF645" s="5" t="n">
        <v>306.663</v>
      </c>
      <c r="CG645" s="5" t="n">
        <v>0.23</v>
      </c>
      <c r="CH645" s="5" t="n">
        <v>1</v>
      </c>
      <c r="CI645" s="5" t="n">
        <v>0</v>
      </c>
      <c r="CJ645" s="5" t="n">
        <v>0</v>
      </c>
      <c r="CK645" s="5" t="n">
        <v>0</v>
      </c>
      <c r="CL645" s="5" t="n">
        <v>0</v>
      </c>
      <c r="CM645" s="5" t="n">
        <v>0</v>
      </c>
      <c r="CN645" s="5" t="n">
        <v>0</v>
      </c>
      <c r="CO645" s="5" t="n">
        <v>0</v>
      </c>
      <c r="CP645" s="5" t="n">
        <v>0</v>
      </c>
      <c r="CQ645" s="5" t="n">
        <v>1.387</v>
      </c>
      <c r="CR645" s="5" t="n">
        <v>0</v>
      </c>
      <c r="CS645" s="5" t="n">
        <v>5.529</v>
      </c>
      <c r="CT645" s="5" t="n">
        <v>22.865</v>
      </c>
      <c r="CU645" s="5" t="n">
        <v>8.265000000000001</v>
      </c>
    </row>
    <row r="646">
      <c r="A646" s="5" t="inlineStr">
        <is>
          <t>PRI2021</t>
        </is>
      </c>
      <c r="B646" s="5" t="inlineStr">
        <is>
          <t>PRI</t>
        </is>
      </c>
      <c r="C646" s="5" t="inlineStr">
        <is>
          <t>PRI</t>
        </is>
      </c>
      <c r="D646" s="5" t="inlineStr">
        <is>
          <t>Puerto Rico</t>
        </is>
      </c>
      <c r="E646" s="5" t="n">
        <v>2021</v>
      </c>
      <c r="F646" s="5" t="n">
        <v>0.115</v>
      </c>
      <c r="G646" s="5" t="n">
        <v>5.897</v>
      </c>
      <c r="H646" s="5" t="n">
        <v>1.143</v>
      </c>
      <c r="I646" s="5" t="n">
        <v>0</v>
      </c>
      <c r="J646" s="5" t="n">
        <v>5.897</v>
      </c>
      <c r="K646" s="5" t="n">
        <v>0</v>
      </c>
      <c r="L646" s="5" t="n">
        <v>1</v>
      </c>
      <c r="M646" s="5" t="n">
        <v>7.964</v>
      </c>
      <c r="N646" s="5" t="n">
        <v>3.43</v>
      </c>
      <c r="O646" s="5" t="n">
        <v>0</v>
      </c>
      <c r="P646" s="5" t="n">
        <v>7.964</v>
      </c>
      <c r="Q646" s="5" t="n">
        <v>0</v>
      </c>
      <c r="R646" s="5" t="n">
        <v>1</v>
      </c>
      <c r="S646" s="5" t="n">
        <v>11.613</v>
      </c>
      <c r="T646" s="5" t="n">
        <v>6.86</v>
      </c>
      <c r="U646" s="5" t="n">
        <v>0</v>
      </c>
      <c r="V646" s="5" t="n">
        <v>12.949</v>
      </c>
      <c r="W646" s="5" t="n">
        <v>0.115</v>
      </c>
      <c r="X646" s="5" t="n">
        <v>1</v>
      </c>
      <c r="Y646" s="5" t="n">
        <v>17.127</v>
      </c>
      <c r="Z646" s="5" t="n">
        <v>2.304</v>
      </c>
      <c r="AA646" s="5" t="n">
        <v>0</v>
      </c>
      <c r="AB646" s="5" t="n">
        <v>17.127</v>
      </c>
      <c r="AC646" s="5" t="n">
        <v>0</v>
      </c>
      <c r="AD646" s="5" t="n">
        <v>1</v>
      </c>
      <c r="AE646" s="5" t="n">
        <v>18.27</v>
      </c>
      <c r="AF646" s="5" t="n">
        <v>4.278</v>
      </c>
      <c r="AG646" s="5" t="n">
        <v>0</v>
      </c>
      <c r="AH646" s="5" t="n">
        <v>18.27</v>
      </c>
      <c r="AI646" s="5" t="n">
        <v>0</v>
      </c>
      <c r="AJ646" s="5" t="n">
        <v>1</v>
      </c>
      <c r="AK646" s="5" t="n">
        <v>25.13</v>
      </c>
      <c r="AL646" s="5" t="n">
        <v>13.503</v>
      </c>
      <c r="AM646" s="5" t="n">
        <v>0</v>
      </c>
      <c r="AN646" s="5" t="n">
        <v>28.02</v>
      </c>
      <c r="AO646" s="5" t="n">
        <v>0.115</v>
      </c>
      <c r="AP646" s="5" t="n">
        <v>1</v>
      </c>
      <c r="AQ646" s="5" t="n">
        <v>0.649</v>
      </c>
      <c r="AR646" s="5" t="n">
        <v>0.114</v>
      </c>
      <c r="AS646" s="5" t="n">
        <v>0.123</v>
      </c>
      <c r="AT646" s="5" t="n">
        <v>0.861</v>
      </c>
      <c r="AU646" s="5" t="n">
        <v>0.115</v>
      </c>
      <c r="AV646" s="5" t="n">
        <v>1</v>
      </c>
      <c r="AW646" s="5" t="n">
        <v>0.577</v>
      </c>
      <c r="AX646" s="5" t="n">
        <v>0.114</v>
      </c>
      <c r="AY646" s="5" t="n">
        <v>0.052</v>
      </c>
      <c r="AZ646" s="5" t="n">
        <v>0.701</v>
      </c>
      <c r="BA646" s="5" t="n">
        <v>0.115</v>
      </c>
      <c r="BB646" s="5" t="n">
        <v>1</v>
      </c>
      <c r="BC646" s="5" t="n">
        <v>0.458</v>
      </c>
      <c r="BD646" s="5" t="n">
        <v>0.114</v>
      </c>
      <c r="BE646" s="5" t="n">
        <v>0</v>
      </c>
      <c r="BF646" s="5" t="n">
        <v>0.511</v>
      </c>
      <c r="BG646" s="5" t="n">
        <v>0.115</v>
      </c>
      <c r="BH646" s="5" t="n">
        <v>1</v>
      </c>
      <c r="BI646" s="5" t="n">
        <v>0.491</v>
      </c>
      <c r="BJ646" s="5" t="n">
        <v>0.114</v>
      </c>
      <c r="BK646" s="5" t="n">
        <v>0</v>
      </c>
      <c r="BL646" s="5" t="n">
        <v>0.548</v>
      </c>
      <c r="BM646" s="5" t="n">
        <v>0.115</v>
      </c>
      <c r="BN646" s="5" t="n">
        <v>1</v>
      </c>
      <c r="BO646" s="5" t="n">
        <v>0</v>
      </c>
      <c r="BP646" s="5" t="n">
        <v>0</v>
      </c>
      <c r="BQ646" s="5" t="n">
        <v>0</v>
      </c>
      <c r="BR646" s="5" t="n">
        <v>0</v>
      </c>
      <c r="BS646" s="5" t="n">
        <v>1</v>
      </c>
      <c r="BT646" s="5" t="n">
        <v>0</v>
      </c>
      <c r="BU646" s="5" t="n">
        <v>0</v>
      </c>
      <c r="BV646" s="5" t="n">
        <v>0</v>
      </c>
      <c r="BW646" s="5" t="n">
        <v>0.115</v>
      </c>
      <c r="BX646" s="5" t="n">
        <v>1</v>
      </c>
      <c r="BY646" s="5" t="n">
        <v>11.787</v>
      </c>
      <c r="BZ646" s="5" t="n">
        <v>0</v>
      </c>
      <c r="CA646" s="5" t="n">
        <v>11.787</v>
      </c>
      <c r="CB646" s="5" t="n">
        <v>0</v>
      </c>
      <c r="CC646" s="5" t="n">
        <v>78.125</v>
      </c>
      <c r="CD646" s="5" t="n">
        <v>7.95</v>
      </c>
      <c r="CE646" s="5" t="n">
        <v>0</v>
      </c>
      <c r="CF646" s="5" t="n">
        <v>87.10899999999999</v>
      </c>
      <c r="CG646" s="5" t="n">
        <v>0.115</v>
      </c>
      <c r="CH646" s="5" t="n">
        <v>1</v>
      </c>
      <c r="CI646" s="5" t="n">
        <v>0</v>
      </c>
      <c r="CJ646" s="5" t="n">
        <v>0</v>
      </c>
      <c r="CK646" s="5" t="n">
        <v>0</v>
      </c>
      <c r="CL646" s="5" t="n">
        <v>0</v>
      </c>
      <c r="CM646" s="5" t="n">
        <v>0</v>
      </c>
      <c r="CN646" s="5" t="n">
        <v>0</v>
      </c>
      <c r="CO646" s="5" t="n">
        <v>0</v>
      </c>
      <c r="CP646" s="5" t="n">
        <v>0</v>
      </c>
      <c r="CQ646" s="5" t="n">
        <v>1.198</v>
      </c>
      <c r="CR646" s="5" t="n">
        <v>0</v>
      </c>
      <c r="CS646" s="5" t="n">
        <v>4.776</v>
      </c>
      <c r="CT646" s="5" t="n">
        <v>4.753</v>
      </c>
      <c r="CU646" s="5" t="n">
        <v>15.983</v>
      </c>
    </row>
    <row r="647">
      <c r="A647" s="5" t="inlineStr">
        <is>
          <t>PRI2022</t>
        </is>
      </c>
      <c r="B647" s="5" t="inlineStr">
        <is>
          <t>PRI</t>
        </is>
      </c>
      <c r="C647" s="5" t="inlineStr">
        <is>
          <t>PRI</t>
        </is>
      </c>
      <c r="D647" s="5" t="inlineStr">
        <is>
          <t>Puerto Rico</t>
        </is>
      </c>
      <c r="E647" s="5" t="n">
        <v>2022</v>
      </c>
      <c r="F647" s="5" t="n">
        <v>0.115</v>
      </c>
      <c r="G647" s="5" t="n">
        <v>11.72</v>
      </c>
      <c r="H647" s="5" t="n">
        <v>1.235</v>
      </c>
      <c r="I647" s="5" t="n">
        <v>0</v>
      </c>
      <c r="J647" s="5" t="n">
        <v>11.72</v>
      </c>
      <c r="K647" s="5" t="n">
        <v>0</v>
      </c>
      <c r="L647" s="5" t="n">
        <v>1</v>
      </c>
      <c r="M647" s="5" t="n">
        <v>9.782999999999999</v>
      </c>
      <c r="N647" s="5" t="n">
        <v>3.704</v>
      </c>
      <c r="O647" s="5" t="n">
        <v>0</v>
      </c>
      <c r="P647" s="5" t="n">
        <v>9.782999999999999</v>
      </c>
      <c r="Q647" s="5" t="n">
        <v>0</v>
      </c>
      <c r="R647" s="5" t="n">
        <v>1</v>
      </c>
      <c r="S647" s="5" t="n">
        <v>17.893</v>
      </c>
      <c r="T647" s="5" t="n">
        <v>7.408</v>
      </c>
      <c r="U647" s="5" t="n">
        <v>0.152</v>
      </c>
      <c r="V647" s="5" t="n">
        <v>19.951</v>
      </c>
      <c r="W647" s="5" t="n">
        <v>0.115</v>
      </c>
      <c r="X647" s="5" t="n">
        <v>1</v>
      </c>
      <c r="Y647" s="5" t="n">
        <v>30.728</v>
      </c>
      <c r="Z647" s="5" t="n">
        <v>4.133</v>
      </c>
      <c r="AA647" s="5" t="n">
        <v>0</v>
      </c>
      <c r="AB647" s="5" t="n">
        <v>30.728</v>
      </c>
      <c r="AC647" s="5" t="n">
        <v>0</v>
      </c>
      <c r="AD647" s="5" t="n">
        <v>1</v>
      </c>
      <c r="AE647" s="5" t="n">
        <v>31.963</v>
      </c>
      <c r="AF647" s="5" t="n">
        <v>7.485</v>
      </c>
      <c r="AG647" s="5" t="n">
        <v>0</v>
      </c>
      <c r="AH647" s="5" t="n">
        <v>31.963</v>
      </c>
      <c r="AI647" s="5" t="n">
        <v>0</v>
      </c>
      <c r="AJ647" s="5" t="n">
        <v>1</v>
      </c>
      <c r="AK647" s="5" t="n">
        <v>39.371</v>
      </c>
      <c r="AL647" s="5" t="n">
        <v>21.155</v>
      </c>
      <c r="AM647" s="5" t="n">
        <v>0.335</v>
      </c>
      <c r="AN647" s="5" t="n">
        <v>43.899</v>
      </c>
      <c r="AO647" s="5" t="n">
        <v>0.115</v>
      </c>
      <c r="AP647" s="5" t="n">
        <v>1</v>
      </c>
      <c r="AQ647" s="5" t="n">
        <v>0.896</v>
      </c>
      <c r="AR647" s="5" t="n">
        <v>0.123</v>
      </c>
      <c r="AS647" s="5" t="n">
        <v>0.14</v>
      </c>
      <c r="AT647" s="5" t="n">
        <v>1.155</v>
      </c>
      <c r="AU647" s="5" t="n">
        <v>0.115</v>
      </c>
      <c r="AV647" s="5" t="n">
        <v>1</v>
      </c>
      <c r="AW647" s="5" t="n">
        <v>0.89</v>
      </c>
      <c r="AX647" s="5" t="n">
        <v>0.123</v>
      </c>
      <c r="AY647" s="5" t="n">
        <v>0.167</v>
      </c>
      <c r="AZ647" s="5" t="n">
        <v>1.179</v>
      </c>
      <c r="BA647" s="5" t="n">
        <v>0.115</v>
      </c>
      <c r="BB647" s="5" t="n">
        <v>1</v>
      </c>
      <c r="BC647" s="5" t="n">
        <v>0.62</v>
      </c>
      <c r="BD647" s="5" t="n">
        <v>0.123</v>
      </c>
      <c r="BE647" s="5" t="n">
        <v>0.005</v>
      </c>
      <c r="BF647" s="5" t="n">
        <v>0.6919999999999999</v>
      </c>
      <c r="BG647" s="5" t="n">
        <v>0.115</v>
      </c>
      <c r="BH647" s="5" t="n">
        <v>1</v>
      </c>
      <c r="BI647" s="5" t="n">
        <v>0.608</v>
      </c>
      <c r="BJ647" s="5" t="n">
        <v>0.123</v>
      </c>
      <c r="BK647" s="5" t="n">
        <v>0.005</v>
      </c>
      <c r="BL647" s="5" t="n">
        <v>0.677</v>
      </c>
      <c r="BM647" s="5" t="n">
        <v>0.115</v>
      </c>
      <c r="BN647" s="5" t="n">
        <v>1</v>
      </c>
      <c r="BO647" s="5" t="n">
        <v>0</v>
      </c>
      <c r="BP647" s="5" t="n">
        <v>0</v>
      </c>
      <c r="BQ647" s="5" t="n">
        <v>0</v>
      </c>
      <c r="BR647" s="5" t="n">
        <v>0</v>
      </c>
      <c r="BS647" s="5" t="n">
        <v>1</v>
      </c>
      <c r="BT647" s="5" t="n">
        <v>0</v>
      </c>
      <c r="BU647" s="5" t="n">
        <v>0</v>
      </c>
      <c r="BV647" s="5" t="n">
        <v>0</v>
      </c>
      <c r="BW647" s="5" t="n">
        <v>0.115</v>
      </c>
      <c r="BX647" s="5" t="n">
        <v>1</v>
      </c>
      <c r="BY647" s="5" t="n">
        <v>12.729</v>
      </c>
      <c r="BZ647" s="5" t="n">
        <v>0</v>
      </c>
      <c r="CA647" s="5" t="n">
        <v>12.729</v>
      </c>
      <c r="CB647" s="5" t="n">
        <v>0</v>
      </c>
      <c r="CC647" s="5" t="n">
        <v>97.90000000000001</v>
      </c>
      <c r="CD647" s="5" t="n">
        <v>7.95</v>
      </c>
      <c r="CE647" s="5" t="n">
        <v>0.833</v>
      </c>
      <c r="CF647" s="5" t="n">
        <v>109.159</v>
      </c>
      <c r="CG647" s="5" t="n">
        <v>0.115</v>
      </c>
      <c r="CH647" s="5" t="n">
        <v>1</v>
      </c>
      <c r="CI647" s="5" t="n">
        <v>0</v>
      </c>
      <c r="CJ647" s="5" t="n">
        <v>0</v>
      </c>
      <c r="CK647" s="5" t="n">
        <v>0</v>
      </c>
      <c r="CL647" s="5" t="n">
        <v>0</v>
      </c>
      <c r="CM647" s="5" t="n">
        <v>0</v>
      </c>
      <c r="CN647" s="5" t="n">
        <v>0</v>
      </c>
      <c r="CO647" s="5" t="n">
        <v>0</v>
      </c>
      <c r="CP647" s="5" t="n">
        <v>0</v>
      </c>
      <c r="CQ647" s="5" t="n">
        <v>1.294</v>
      </c>
      <c r="CR647" s="5" t="n">
        <v>0</v>
      </c>
      <c r="CS647" s="5" t="n">
        <v>5.158</v>
      </c>
      <c r="CT647" s="5" t="n">
        <v>10.485</v>
      </c>
      <c r="CU647" s="5" t="n">
        <v>29.494</v>
      </c>
    </row>
    <row r="648">
      <c r="A648" s="5" t="inlineStr">
        <is>
          <t>PRI2023</t>
        </is>
      </c>
      <c r="B648" s="5" t="inlineStr">
        <is>
          <t>PRI</t>
        </is>
      </c>
      <c r="C648" s="5" t="inlineStr">
        <is>
          <t>PRI</t>
        </is>
      </c>
      <c r="D648" s="5" t="inlineStr">
        <is>
          <t>Puerto Rico</t>
        </is>
      </c>
      <c r="E648" s="5" t="n">
        <v>2023</v>
      </c>
      <c r="F648" s="5" t="n">
        <v>0.115</v>
      </c>
      <c r="G648" s="5" t="n">
        <v>6.147</v>
      </c>
      <c r="H648" s="5" t="n">
        <v>1.286</v>
      </c>
      <c r="I648" s="5" t="n">
        <v>0</v>
      </c>
      <c r="J648" s="5" t="n">
        <v>6.147</v>
      </c>
      <c r="K648" s="5" t="n">
        <v>0</v>
      </c>
      <c r="L648" s="5" t="n">
        <v>1</v>
      </c>
      <c r="M648" s="5" t="n">
        <v>7.886</v>
      </c>
      <c r="N648" s="5" t="n">
        <v>3.857</v>
      </c>
      <c r="O648" s="5" t="n">
        <v>0</v>
      </c>
      <c r="P648" s="5" t="n">
        <v>7.886</v>
      </c>
      <c r="Q648" s="5" t="n">
        <v>0</v>
      </c>
      <c r="R648" s="5" t="n">
        <v>1</v>
      </c>
      <c r="S648" s="5" t="n">
        <v>12.575</v>
      </c>
      <c r="T648" s="5" t="n">
        <v>7.714</v>
      </c>
      <c r="U648" s="5" t="n">
        <v>0.16</v>
      </c>
      <c r="V648" s="5" t="n">
        <v>14.021</v>
      </c>
      <c r="W648" s="5" t="n">
        <v>0.115</v>
      </c>
      <c r="X648" s="5" t="n">
        <v>1</v>
      </c>
      <c r="Y648" s="5" t="n">
        <v>12.478</v>
      </c>
      <c r="Z648" s="5" t="n">
        <v>1.678</v>
      </c>
      <c r="AA648" s="5" t="n">
        <v>0</v>
      </c>
      <c r="AB648" s="5" t="n">
        <v>12.478</v>
      </c>
      <c r="AC648" s="5" t="n">
        <v>0</v>
      </c>
      <c r="AD648" s="5" t="n">
        <v>1</v>
      </c>
      <c r="AE648" s="5" t="n">
        <v>13.763</v>
      </c>
      <c r="AF648" s="5" t="n">
        <v>3.223</v>
      </c>
      <c r="AG648" s="5" t="n">
        <v>0</v>
      </c>
      <c r="AH648" s="5" t="n">
        <v>13.763</v>
      </c>
      <c r="AI648" s="5" t="n">
        <v>0</v>
      </c>
      <c r="AJ648" s="5" t="n">
        <v>1</v>
      </c>
      <c r="AK648" s="5" t="n">
        <v>21.477</v>
      </c>
      <c r="AL648" s="5" t="n">
        <v>11.54</v>
      </c>
      <c r="AM648" s="5" t="n">
        <v>0.273</v>
      </c>
      <c r="AN648" s="5" t="n">
        <v>23.947</v>
      </c>
      <c r="AO648" s="5" t="n">
        <v>0.115</v>
      </c>
      <c r="AP648" s="5" t="n">
        <v>1</v>
      </c>
      <c r="AQ648" s="5" t="n">
        <v>0.791</v>
      </c>
      <c r="AR648" s="5" t="n">
        <v>0.129</v>
      </c>
      <c r="AS648" s="5" t="n">
        <v>0.139</v>
      </c>
      <c r="AT648" s="5" t="n">
        <v>1.037</v>
      </c>
      <c r="AU648" s="5" t="n">
        <v>0.115</v>
      </c>
      <c r="AV648" s="5" t="n">
        <v>1</v>
      </c>
      <c r="AW648" s="5" t="n">
        <v>0.618</v>
      </c>
      <c r="AX648" s="5" t="n">
        <v>0.129</v>
      </c>
      <c r="AY648" s="5" t="n">
        <v>0.264</v>
      </c>
      <c r="AZ648" s="5" t="n">
        <v>0.984</v>
      </c>
      <c r="BA648" s="5" t="n">
        <v>0.115</v>
      </c>
      <c r="BB648" s="5" t="n">
        <v>1</v>
      </c>
      <c r="BC648" s="5" t="n">
        <v>0.554</v>
      </c>
      <c r="BD648" s="5" t="n">
        <v>0.129</v>
      </c>
      <c r="BE648" s="5" t="n">
        <v>0.007</v>
      </c>
      <c r="BF648" s="5" t="n">
        <v>0.618</v>
      </c>
      <c r="BG648" s="5" t="n">
        <v>0.115</v>
      </c>
      <c r="BH648" s="5" t="n">
        <v>1</v>
      </c>
      <c r="BI648" s="5" t="n">
        <v>0.5570000000000001</v>
      </c>
      <c r="BJ648" s="5" t="n">
        <v>0.129</v>
      </c>
      <c r="BK648" s="5" t="n">
        <v>0.007</v>
      </c>
      <c r="BL648" s="5" t="n">
        <v>0.621</v>
      </c>
      <c r="BM648" s="5" t="n">
        <v>0.115</v>
      </c>
      <c r="BN648" s="5" t="n">
        <v>1</v>
      </c>
      <c r="BO648" s="5" t="n">
        <v>0</v>
      </c>
      <c r="BP648" s="5" t="n">
        <v>0</v>
      </c>
      <c r="BQ648" s="5" t="n">
        <v>0</v>
      </c>
      <c r="BR648" s="5" t="n">
        <v>0</v>
      </c>
      <c r="BS648" s="5" t="n">
        <v>1</v>
      </c>
      <c r="BT648" s="5" t="n">
        <v>0</v>
      </c>
      <c r="BU648" s="5" t="n">
        <v>0</v>
      </c>
      <c r="BV648" s="5" t="n">
        <v>0</v>
      </c>
      <c r="BW648" s="5" t="n">
        <v>0.115</v>
      </c>
      <c r="BX648" s="5" t="n">
        <v>1</v>
      </c>
      <c r="BY648" s="5" t="n">
        <v>13.254</v>
      </c>
      <c r="BZ648" s="5" t="n">
        <v>0</v>
      </c>
      <c r="CA648" s="5" t="n">
        <v>13.254</v>
      </c>
      <c r="CB648" s="5" t="n">
        <v>0</v>
      </c>
      <c r="CC648" s="5" t="n">
        <v>83.248</v>
      </c>
      <c r="CD648" s="5" t="n">
        <v>7.95</v>
      </c>
      <c r="CE648" s="5" t="n">
        <v>1.06</v>
      </c>
      <c r="CF648" s="5" t="n">
        <v>92.822</v>
      </c>
      <c r="CG648" s="5" t="n">
        <v>0.115</v>
      </c>
      <c r="CH648" s="5" t="n">
        <v>1</v>
      </c>
      <c r="CI648" s="5" t="n">
        <v>0</v>
      </c>
      <c r="CJ648" s="5" t="n">
        <v>0</v>
      </c>
      <c r="CK648" s="5" t="n">
        <v>0</v>
      </c>
      <c r="CL648" s="5" t="n">
        <v>0</v>
      </c>
      <c r="CM648" s="5" t="n">
        <v>0</v>
      </c>
      <c r="CN648" s="5" t="n">
        <v>0</v>
      </c>
      <c r="CO648" s="5" t="n">
        <v>0</v>
      </c>
      <c r="CP648" s="5" t="n">
        <v>0</v>
      </c>
      <c r="CQ648" s="5" t="n">
        <v>1.348</v>
      </c>
      <c r="CR648" s="5" t="n">
        <v>0</v>
      </c>
      <c r="CS648" s="5" t="n">
        <v>5.37</v>
      </c>
      <c r="CT648" s="5" t="n">
        <v>4.861</v>
      </c>
      <c r="CU648" s="5" t="n">
        <v>11.192</v>
      </c>
    </row>
    <row r="649">
      <c r="A649" s="5" t="inlineStr">
        <is>
          <t>PRI2024</t>
        </is>
      </c>
      <c r="B649" s="5" t="inlineStr">
        <is>
          <t>PRI</t>
        </is>
      </c>
      <c r="C649" s="5" t="inlineStr">
        <is>
          <t>PRI</t>
        </is>
      </c>
      <c r="D649" s="5" t="inlineStr">
        <is>
          <t>Puerto Rico</t>
        </is>
      </c>
      <c r="E649" s="5" t="n">
        <v>2024</v>
      </c>
      <c r="F649" s="5" t="n">
        <v>0.115</v>
      </c>
      <c r="G649" s="5" t="n">
        <v>5.575</v>
      </c>
      <c r="H649" s="5" t="n">
        <v>1.324</v>
      </c>
      <c r="I649" s="5" t="n">
        <v>0</v>
      </c>
      <c r="J649" s="5" t="n">
        <v>5.575</v>
      </c>
      <c r="K649" s="5" t="n">
        <v>0</v>
      </c>
      <c r="L649" s="5" t="n">
        <v>1</v>
      </c>
      <c r="M649" s="5" t="n">
        <v>7.124</v>
      </c>
      <c r="N649" s="5" t="n">
        <v>3.971</v>
      </c>
      <c r="O649" s="5" t="n">
        <v>0</v>
      </c>
      <c r="P649" s="5" t="n">
        <v>7.124</v>
      </c>
      <c r="Q649" s="5" t="n">
        <v>0</v>
      </c>
      <c r="R649" s="5" t="n">
        <v>1</v>
      </c>
      <c r="S649" s="5" t="n">
        <v>12.193</v>
      </c>
      <c r="T649" s="5" t="n">
        <v>7.942</v>
      </c>
      <c r="U649" s="5" t="n">
        <v>0.191</v>
      </c>
      <c r="V649" s="5" t="n">
        <v>13.595</v>
      </c>
      <c r="W649" s="5" t="n">
        <v>0.115</v>
      </c>
      <c r="X649" s="5" t="n">
        <v>1</v>
      </c>
      <c r="Y649" s="5" t="n">
        <v>11.447</v>
      </c>
      <c r="Z649" s="5" t="n">
        <v>1.54</v>
      </c>
      <c r="AA649" s="5" t="n">
        <v>0</v>
      </c>
      <c r="AB649" s="5" t="n">
        <v>11.447</v>
      </c>
      <c r="AC649" s="5" t="n">
        <v>0</v>
      </c>
      <c r="AD649" s="5" t="n">
        <v>1</v>
      </c>
      <c r="AE649" s="5" t="n">
        <v>12.771</v>
      </c>
      <c r="AF649" s="5" t="n">
        <v>2.991</v>
      </c>
      <c r="AG649" s="5" t="n">
        <v>0</v>
      </c>
      <c r="AH649" s="5" t="n">
        <v>12.771</v>
      </c>
      <c r="AI649" s="5" t="n">
        <v>0</v>
      </c>
      <c r="AJ649" s="5" t="n">
        <v>1</v>
      </c>
      <c r="AK649" s="5" t="n">
        <v>20.712</v>
      </c>
      <c r="AL649" s="5" t="n">
        <v>11.129</v>
      </c>
      <c r="AM649" s="5" t="n">
        <v>0.324</v>
      </c>
      <c r="AN649" s="5" t="n">
        <v>23.094</v>
      </c>
      <c r="AO649" s="5" t="n">
        <v>0.115</v>
      </c>
      <c r="AP649" s="5" t="n">
        <v>1</v>
      </c>
      <c r="AQ649" s="5" t="n">
        <v>0.756</v>
      </c>
      <c r="AR649" s="5" t="n">
        <v>0.132</v>
      </c>
      <c r="AS649" s="5" t="n">
        <v>0.141</v>
      </c>
      <c r="AT649" s="5" t="n">
        <v>1</v>
      </c>
      <c r="AU649" s="5" t="n">
        <v>0.115</v>
      </c>
      <c r="AV649" s="5" t="n">
        <v>1</v>
      </c>
      <c r="AW649" s="5" t="n">
        <v>0.655</v>
      </c>
      <c r="AX649" s="5" t="n">
        <v>0.132</v>
      </c>
      <c r="AY649" s="5" t="n">
        <v>0.126</v>
      </c>
      <c r="AZ649" s="5" t="n">
        <v>0.871</v>
      </c>
      <c r="BA649" s="5" t="n">
        <v>0.115</v>
      </c>
      <c r="BB649" s="5" t="n">
        <v>1</v>
      </c>
      <c r="BC649" s="5" t="n">
        <v>0.534</v>
      </c>
      <c r="BD649" s="5" t="n">
        <v>0.132</v>
      </c>
      <c r="BE649" s="5" t="n">
        <v>0.008</v>
      </c>
      <c r="BF649" s="5" t="n">
        <v>0.595</v>
      </c>
      <c r="BG649" s="5" t="n">
        <v>0.115</v>
      </c>
      <c r="BH649" s="5" t="n">
        <v>1</v>
      </c>
      <c r="BI649" s="5" t="n">
        <v>0.5679999999999999</v>
      </c>
      <c r="BJ649" s="5" t="n">
        <v>0.132</v>
      </c>
      <c r="BK649" s="5" t="n">
        <v>0.008999999999999999</v>
      </c>
      <c r="BL649" s="5" t="n">
        <v>0.633</v>
      </c>
      <c r="BM649" s="5" t="n">
        <v>0.115</v>
      </c>
      <c r="BN649" s="5" t="n">
        <v>1</v>
      </c>
      <c r="BO649" s="5" t="n">
        <v>0</v>
      </c>
      <c r="BP649" s="5" t="n">
        <v>0</v>
      </c>
      <c r="BQ649" s="5" t="n">
        <v>0</v>
      </c>
      <c r="BR649" s="5" t="n">
        <v>0</v>
      </c>
      <c r="BS649" s="5" t="n">
        <v>1</v>
      </c>
      <c r="BT649" s="5" t="n">
        <v>0</v>
      </c>
      <c r="BU649" s="5" t="n">
        <v>0</v>
      </c>
      <c r="BV649" s="5" t="n">
        <v>0</v>
      </c>
      <c r="BW649" s="5" t="n">
        <v>0.115</v>
      </c>
      <c r="BX649" s="5" t="n">
        <v>1</v>
      </c>
      <c r="BY649" s="5" t="n">
        <v>13.646</v>
      </c>
      <c r="BZ649" s="5" t="n">
        <v>0</v>
      </c>
      <c r="CA649" s="5" t="n">
        <v>13.646</v>
      </c>
      <c r="CB649" s="5" t="n">
        <v>0</v>
      </c>
      <c r="CC649" s="5" t="n">
        <v>82.58799999999999</v>
      </c>
      <c r="CD649" s="5" t="n">
        <v>7.95</v>
      </c>
      <c r="CE649" s="5" t="n">
        <v>1.294</v>
      </c>
      <c r="CF649" s="5" t="n">
        <v>92.086</v>
      </c>
      <c r="CG649" s="5" t="n">
        <v>0.115</v>
      </c>
      <c r="CH649" s="5" t="n">
        <v>1</v>
      </c>
      <c r="CI649" s="5" t="n">
        <v>0</v>
      </c>
      <c r="CJ649" s="5" t="n">
        <v>0</v>
      </c>
      <c r="CK649" s="5" t="n">
        <v>0</v>
      </c>
      <c r="CL649" s="5" t="n">
        <v>0</v>
      </c>
      <c r="CM649" s="5" t="n">
        <v>0</v>
      </c>
      <c r="CN649" s="5" t="n">
        <v>0</v>
      </c>
      <c r="CO649" s="5" t="n">
        <v>0</v>
      </c>
      <c r="CP649" s="5" t="n">
        <v>0</v>
      </c>
      <c r="CQ649" s="5" t="n">
        <v>1.387</v>
      </c>
      <c r="CR649" s="5" t="n">
        <v>0</v>
      </c>
      <c r="CS649" s="5" t="n">
        <v>5.529</v>
      </c>
      <c r="CT649" s="5" t="n">
        <v>4.251</v>
      </c>
      <c r="CU649" s="5" t="n">
        <v>10.123</v>
      </c>
    </row>
    <row r="650">
      <c r="A650" s="5" t="inlineStr">
        <is>
          <t>QAT2021</t>
        </is>
      </c>
      <c r="B650" s="5" t="inlineStr">
        <is>
          <t>QAT</t>
        </is>
      </c>
      <c r="C650" s="5" t="inlineStr">
        <is>
          <t>QAT</t>
        </is>
      </c>
      <c r="D650" s="5" t="inlineStr">
        <is>
          <t>Qatar</t>
        </is>
      </c>
      <c r="E650" s="5" t="n">
        <v>2021</v>
      </c>
      <c r="F650" s="5" t="n">
        <v>0</v>
      </c>
      <c r="G650" s="5" t="n">
        <v>5.897</v>
      </c>
      <c r="H650" s="5" t="n">
        <v>1.143</v>
      </c>
      <c r="I650" s="5" t="n">
        <v>0.238</v>
      </c>
      <c r="J650" s="5" t="n">
        <v>6.134</v>
      </c>
      <c r="K650" s="5" t="n">
        <v>0</v>
      </c>
      <c r="L650" s="5" t="n">
        <v>1</v>
      </c>
      <c r="M650" s="5" t="n">
        <v>7.964</v>
      </c>
      <c r="N650" s="5" t="n">
        <v>3.43</v>
      </c>
      <c r="O650" s="5" t="n">
        <v>0.227</v>
      </c>
      <c r="P650" s="5" t="n">
        <v>8.191000000000001</v>
      </c>
      <c r="Q650" s="5" t="n">
        <v>0</v>
      </c>
      <c r="R650" s="5" t="n">
        <v>1</v>
      </c>
      <c r="S650" s="5" t="n">
        <v>11.613</v>
      </c>
      <c r="T650" s="5" t="n">
        <v>6.86</v>
      </c>
      <c r="U650" s="5" t="n">
        <v>0.238</v>
      </c>
      <c r="V650" s="5" t="n">
        <v>11.851</v>
      </c>
      <c r="W650" s="5" t="n">
        <v>0</v>
      </c>
      <c r="X650" s="5" t="n">
        <v>1</v>
      </c>
      <c r="Y650" s="5" t="n">
        <v>1.802</v>
      </c>
      <c r="Z650" s="5" t="n">
        <v>0</v>
      </c>
      <c r="AA650" s="5" t="n">
        <v>-0.837</v>
      </c>
      <c r="AB650" s="5" t="n">
        <v>0.965</v>
      </c>
      <c r="AC650" s="5" t="n">
        <v>0</v>
      </c>
      <c r="AD650" s="5" t="n">
        <v>0</v>
      </c>
      <c r="AE650" s="5" t="n">
        <v>1.802</v>
      </c>
      <c r="AF650" s="5" t="n">
        <v>0</v>
      </c>
      <c r="AG650" s="5" t="n">
        <v>-0.837</v>
      </c>
      <c r="AH650" s="5" t="n">
        <v>0.965</v>
      </c>
      <c r="AI650" s="5" t="n">
        <v>0</v>
      </c>
      <c r="AJ650" s="5" t="n">
        <v>0</v>
      </c>
      <c r="AK650" s="5" t="n">
        <v>5.232</v>
      </c>
      <c r="AL650" s="5" t="n">
        <v>1.855</v>
      </c>
      <c r="AM650" s="5" t="n">
        <v>-0.493</v>
      </c>
      <c r="AN650" s="5" t="n">
        <v>4.739</v>
      </c>
      <c r="AO650" s="5" t="n">
        <v>0</v>
      </c>
      <c r="AP650" s="5" t="n">
        <v>1</v>
      </c>
      <c r="AQ650" s="5" t="n">
        <v>0.621</v>
      </c>
      <c r="AR650" s="5" t="n">
        <v>0.114</v>
      </c>
      <c r="AS650" s="5" t="n">
        <v>-0.104</v>
      </c>
      <c r="AT650" s="5" t="n">
        <v>0.516</v>
      </c>
      <c r="AU650" s="5" t="n">
        <v>0</v>
      </c>
      <c r="AV650" s="5" t="n">
        <v>0</v>
      </c>
      <c r="AW650" s="5" t="n">
        <v>0.593</v>
      </c>
      <c r="AX650" s="5" t="n">
        <v>0.114</v>
      </c>
      <c r="AY650" s="5" t="n">
        <v>-0.106</v>
      </c>
      <c r="AZ650" s="5" t="n">
        <v>0.487</v>
      </c>
      <c r="BA650" s="5" t="n">
        <v>0</v>
      </c>
      <c r="BB650" s="5" t="n">
        <v>0</v>
      </c>
      <c r="BC650" s="5" t="n">
        <v>0.44</v>
      </c>
      <c r="BD650" s="5" t="n">
        <v>0.114</v>
      </c>
      <c r="BE650" s="5" t="n">
        <v>0</v>
      </c>
      <c r="BF650" s="5" t="n">
        <v>0.44</v>
      </c>
      <c r="BG650" s="5" t="n">
        <v>0</v>
      </c>
      <c r="BH650" s="5" t="n">
        <v>1</v>
      </c>
      <c r="BI650" s="5" t="n">
        <v>0.5600000000000001</v>
      </c>
      <c r="BJ650" s="5" t="n">
        <v>0.114</v>
      </c>
      <c r="BK650" s="5" t="n">
        <v>0</v>
      </c>
      <c r="BL650" s="5" t="n">
        <v>0.5600000000000001</v>
      </c>
      <c r="BM650" s="5" t="n">
        <v>0</v>
      </c>
      <c r="BN650" s="5" t="n">
        <v>1</v>
      </c>
      <c r="BO650" s="5" t="n">
        <v>0</v>
      </c>
      <c r="BP650" s="5" t="n">
        <v>-0.038</v>
      </c>
      <c r="BQ650" s="5" t="n">
        <v>0.035</v>
      </c>
      <c r="BR650" s="5" t="n">
        <v>0</v>
      </c>
      <c r="BS650" s="5" t="n">
        <v>0.333</v>
      </c>
      <c r="BT650" s="5" t="n">
        <v>0</v>
      </c>
      <c r="BU650" s="5" t="n">
        <v>-0.038</v>
      </c>
      <c r="BV650" s="5" t="n">
        <v>0.038</v>
      </c>
      <c r="BW650" s="5" t="n">
        <v>0</v>
      </c>
      <c r="BX650" s="5" t="n">
        <v>0</v>
      </c>
      <c r="BY650" s="5" t="n">
        <v>11.787</v>
      </c>
      <c r="BZ650" s="5" t="n">
        <v>0</v>
      </c>
      <c r="CA650" s="5" t="n">
        <v>11.787</v>
      </c>
      <c r="CB650" s="5" t="n">
        <v>0</v>
      </c>
      <c r="CC650" s="5" t="n">
        <v>81.69499999999999</v>
      </c>
      <c r="CD650" s="5" t="n">
        <v>7.95</v>
      </c>
      <c r="CE650" s="5" t="n">
        <v>0</v>
      </c>
      <c r="CF650" s="5" t="n">
        <v>81.69499999999999</v>
      </c>
      <c r="CG650" s="5" t="n">
        <v>0</v>
      </c>
      <c r="CH650" s="5" t="n">
        <v>1</v>
      </c>
      <c r="CI650" s="5" t="n">
        <v>0</v>
      </c>
      <c r="CJ650" s="5" t="n">
        <v>0</v>
      </c>
      <c r="CK650" s="5" t="n">
        <v>0</v>
      </c>
      <c r="CL650" s="5" t="n">
        <v>0</v>
      </c>
      <c r="CM650" s="5" t="n">
        <v>0</v>
      </c>
      <c r="CN650" s="5" t="n">
        <v>0</v>
      </c>
      <c r="CO650" s="5" t="n">
        <v>0</v>
      </c>
      <c r="CP650" s="5" t="n">
        <v>0</v>
      </c>
      <c r="CQ650" s="5" t="n">
        <v>1.198</v>
      </c>
      <c r="CR650" s="5" t="n">
        <v>1</v>
      </c>
      <c r="CS650" s="5" t="n">
        <v>1.802</v>
      </c>
      <c r="CT650" s="5" t="n">
        <v>4.753</v>
      </c>
      <c r="CU650" s="5" t="n">
        <v>15.929</v>
      </c>
    </row>
    <row r="651">
      <c r="A651" s="5" t="inlineStr">
        <is>
          <t>QAT2022</t>
        </is>
      </c>
      <c r="B651" s="5" t="inlineStr">
        <is>
          <t>QAT</t>
        </is>
      </c>
      <c r="C651" s="5" t="inlineStr">
        <is>
          <t>QAT</t>
        </is>
      </c>
      <c r="D651" s="5" t="inlineStr">
        <is>
          <t>Qatar</t>
        </is>
      </c>
      <c r="E651" s="5" t="n">
        <v>2022</v>
      </c>
      <c r="F651" s="5" t="n">
        <v>0</v>
      </c>
      <c r="G651" s="5" t="n">
        <v>11.72</v>
      </c>
      <c r="H651" s="5" t="n">
        <v>1.235</v>
      </c>
      <c r="I651" s="5" t="n">
        <v>0.5659999999999999</v>
      </c>
      <c r="J651" s="5" t="n">
        <v>12.286</v>
      </c>
      <c r="K651" s="5" t="n">
        <v>0</v>
      </c>
      <c r="L651" s="5" t="n">
        <v>1</v>
      </c>
      <c r="M651" s="5" t="n">
        <v>9.782999999999999</v>
      </c>
      <c r="N651" s="5" t="n">
        <v>3.704</v>
      </c>
      <c r="O651" s="5" t="n">
        <v>0.328</v>
      </c>
      <c r="P651" s="5" t="n">
        <v>10.111</v>
      </c>
      <c r="Q651" s="5" t="n">
        <v>0</v>
      </c>
      <c r="R651" s="5" t="n">
        <v>1</v>
      </c>
      <c r="S651" s="5" t="n">
        <v>17.893</v>
      </c>
      <c r="T651" s="5" t="n">
        <v>7.408</v>
      </c>
      <c r="U651" s="5" t="n">
        <v>0.5659999999999999</v>
      </c>
      <c r="V651" s="5" t="n">
        <v>18.459</v>
      </c>
      <c r="W651" s="5" t="n">
        <v>0</v>
      </c>
      <c r="X651" s="5" t="n">
        <v>1</v>
      </c>
      <c r="Y651" s="5" t="n">
        <v>1.946</v>
      </c>
      <c r="Z651" s="5" t="n">
        <v>0</v>
      </c>
      <c r="AA651" s="5" t="n">
        <v>-0.904</v>
      </c>
      <c r="AB651" s="5" t="n">
        <v>1.043</v>
      </c>
      <c r="AC651" s="5" t="n">
        <v>0</v>
      </c>
      <c r="AD651" s="5" t="n">
        <v>0</v>
      </c>
      <c r="AE651" s="5" t="n">
        <v>1.946</v>
      </c>
      <c r="AF651" s="5" t="n">
        <v>0</v>
      </c>
      <c r="AG651" s="5" t="n">
        <v>-0.904</v>
      </c>
      <c r="AH651" s="5" t="n">
        <v>1.043</v>
      </c>
      <c r="AI651" s="5" t="n">
        <v>0</v>
      </c>
      <c r="AJ651" s="5" t="n">
        <v>0</v>
      </c>
      <c r="AK651" s="5" t="n">
        <v>5.65</v>
      </c>
      <c r="AL651" s="5" t="n">
        <v>2.003</v>
      </c>
      <c r="AM651" s="5" t="n">
        <v>-0.532</v>
      </c>
      <c r="AN651" s="5" t="n">
        <v>5.118</v>
      </c>
      <c r="AO651" s="5" t="n">
        <v>0</v>
      </c>
      <c r="AP651" s="5" t="n">
        <v>1</v>
      </c>
      <c r="AQ651" s="5" t="n">
        <v>0.847</v>
      </c>
      <c r="AR651" s="5" t="n">
        <v>0.123</v>
      </c>
      <c r="AS651" s="5" t="n">
        <v>-0.27</v>
      </c>
      <c r="AT651" s="5" t="n">
        <v>0.577</v>
      </c>
      <c r="AU651" s="5" t="n">
        <v>0</v>
      </c>
      <c r="AV651" s="5" t="n">
        <v>0</v>
      </c>
      <c r="AW651" s="5" t="n">
        <v>0.947</v>
      </c>
      <c r="AX651" s="5" t="n">
        <v>0.123</v>
      </c>
      <c r="AY651" s="5" t="n">
        <v>-0.384</v>
      </c>
      <c r="AZ651" s="5" t="n">
        <v>0.5629999999999999</v>
      </c>
      <c r="BA651" s="5" t="n">
        <v>0</v>
      </c>
      <c r="BB651" s="5" t="n">
        <v>0</v>
      </c>
      <c r="BC651" s="5" t="n">
        <v>0.589</v>
      </c>
      <c r="BD651" s="5" t="n">
        <v>0.123</v>
      </c>
      <c r="BE651" s="5" t="n">
        <v>0</v>
      </c>
      <c r="BF651" s="5" t="n">
        <v>0.589</v>
      </c>
      <c r="BG651" s="5" t="n">
        <v>0</v>
      </c>
      <c r="BH651" s="5" t="n">
        <v>1</v>
      </c>
      <c r="BI651" s="5" t="n">
        <v>0.6889999999999999</v>
      </c>
      <c r="BJ651" s="5" t="n">
        <v>0.123</v>
      </c>
      <c r="BK651" s="5" t="n">
        <v>0</v>
      </c>
      <c r="BL651" s="5" t="n">
        <v>0.6889999999999999</v>
      </c>
      <c r="BM651" s="5" t="n">
        <v>0</v>
      </c>
      <c r="BN651" s="5" t="n">
        <v>1</v>
      </c>
      <c r="BO651" s="5" t="n">
        <v>0</v>
      </c>
      <c r="BP651" s="5" t="n">
        <v>-0.038</v>
      </c>
      <c r="BQ651" s="5" t="n">
        <v>0.035</v>
      </c>
      <c r="BR651" s="5" t="n">
        <v>0</v>
      </c>
      <c r="BS651" s="5" t="n">
        <v>0.333</v>
      </c>
      <c r="BT651" s="5" t="n">
        <v>0</v>
      </c>
      <c r="BU651" s="5" t="n">
        <v>-0.038</v>
      </c>
      <c r="BV651" s="5" t="n">
        <v>0.038</v>
      </c>
      <c r="BW651" s="5" t="n">
        <v>0</v>
      </c>
      <c r="BX651" s="5" t="n">
        <v>0</v>
      </c>
      <c r="BY651" s="5" t="n">
        <v>12.729</v>
      </c>
      <c r="BZ651" s="5" t="n">
        <v>0</v>
      </c>
      <c r="CA651" s="5" t="n">
        <v>12.729</v>
      </c>
      <c r="CB651" s="5" t="n">
        <v>0</v>
      </c>
      <c r="CC651" s="5" t="n">
        <v>102.477</v>
      </c>
      <c r="CD651" s="5" t="n">
        <v>7.95</v>
      </c>
      <c r="CE651" s="5" t="n">
        <v>0</v>
      </c>
      <c r="CF651" s="5" t="n">
        <v>102.477</v>
      </c>
      <c r="CG651" s="5" t="n">
        <v>0</v>
      </c>
      <c r="CH651" s="5" t="n">
        <v>1</v>
      </c>
      <c r="CI651" s="5" t="n">
        <v>0</v>
      </c>
      <c r="CJ651" s="5" t="n">
        <v>0</v>
      </c>
      <c r="CK651" s="5" t="n">
        <v>0</v>
      </c>
      <c r="CL651" s="5" t="n">
        <v>0</v>
      </c>
      <c r="CM651" s="5" t="n">
        <v>0</v>
      </c>
      <c r="CN651" s="5" t="n">
        <v>0</v>
      </c>
      <c r="CO651" s="5" t="n">
        <v>0</v>
      </c>
      <c r="CP651" s="5" t="n">
        <v>0</v>
      </c>
      <c r="CQ651" s="5" t="n">
        <v>1.294</v>
      </c>
      <c r="CR651" s="5" t="n">
        <v>1</v>
      </c>
      <c r="CS651" s="5" t="n">
        <v>1.946</v>
      </c>
      <c r="CT651" s="5" t="n">
        <v>10.485</v>
      </c>
      <c r="CU651" s="5" t="n">
        <v>29.859</v>
      </c>
    </row>
    <row r="652">
      <c r="A652" s="5" t="inlineStr">
        <is>
          <t>QAT2023</t>
        </is>
      </c>
      <c r="B652" s="5" t="inlineStr">
        <is>
          <t>QAT</t>
        </is>
      </c>
      <c r="C652" s="5" t="inlineStr">
        <is>
          <t>QAT</t>
        </is>
      </c>
      <c r="D652" s="5" t="inlineStr">
        <is>
          <t>Qatar</t>
        </is>
      </c>
      <c r="E652" s="5" t="n">
        <v>2023</v>
      </c>
      <c r="F652" s="5" t="n">
        <v>0</v>
      </c>
      <c r="G652" s="5" t="n">
        <v>6.147</v>
      </c>
      <c r="H652" s="5" t="n">
        <v>1.286</v>
      </c>
      <c r="I652" s="5" t="n">
        <v>0.273</v>
      </c>
      <c r="J652" s="5" t="n">
        <v>6.42</v>
      </c>
      <c r="K652" s="5" t="n">
        <v>0</v>
      </c>
      <c r="L652" s="5" t="n">
        <v>1</v>
      </c>
      <c r="M652" s="5" t="n">
        <v>7.886</v>
      </c>
      <c r="N652" s="5" t="n">
        <v>3.857</v>
      </c>
      <c r="O652" s="5" t="n">
        <v>0.227</v>
      </c>
      <c r="P652" s="5" t="n">
        <v>8.113</v>
      </c>
      <c r="Q652" s="5" t="n">
        <v>0</v>
      </c>
      <c r="R652" s="5" t="n">
        <v>1</v>
      </c>
      <c r="S652" s="5" t="n">
        <v>12.575</v>
      </c>
      <c r="T652" s="5" t="n">
        <v>7.714</v>
      </c>
      <c r="U652" s="5" t="n">
        <v>0.273</v>
      </c>
      <c r="V652" s="5" t="n">
        <v>12.848</v>
      </c>
      <c r="W652" s="5" t="n">
        <v>0</v>
      </c>
      <c r="X652" s="5" t="n">
        <v>1</v>
      </c>
      <c r="Y652" s="5" t="n">
        <v>2.027</v>
      </c>
      <c r="Z652" s="5" t="n">
        <v>0</v>
      </c>
      <c r="AA652" s="5" t="n">
        <v>-0.984</v>
      </c>
      <c r="AB652" s="5" t="n">
        <v>1.043</v>
      </c>
      <c r="AC652" s="5" t="n">
        <v>0</v>
      </c>
      <c r="AD652" s="5" t="n">
        <v>0</v>
      </c>
      <c r="AE652" s="5" t="n">
        <v>2.027</v>
      </c>
      <c r="AF652" s="5" t="n">
        <v>0</v>
      </c>
      <c r="AG652" s="5" t="n">
        <v>-0.984</v>
      </c>
      <c r="AH652" s="5" t="n">
        <v>1.043</v>
      </c>
      <c r="AI652" s="5" t="n">
        <v>0</v>
      </c>
      <c r="AJ652" s="5" t="n">
        <v>0</v>
      </c>
      <c r="AK652" s="5" t="n">
        <v>5.884</v>
      </c>
      <c r="AL652" s="5" t="n">
        <v>2.086</v>
      </c>
      <c r="AM652" s="5" t="n">
        <v>-0.554</v>
      </c>
      <c r="AN652" s="5" t="n">
        <v>5.329</v>
      </c>
      <c r="AO652" s="5" t="n">
        <v>0</v>
      </c>
      <c r="AP652" s="5" t="n">
        <v>1</v>
      </c>
      <c r="AQ652" s="5" t="n">
        <v>0.749</v>
      </c>
      <c r="AR652" s="5" t="n">
        <v>0.129</v>
      </c>
      <c r="AS652" s="5" t="n">
        <v>-0.172</v>
      </c>
      <c r="AT652" s="5" t="n">
        <v>0.577</v>
      </c>
      <c r="AU652" s="5" t="n">
        <v>0</v>
      </c>
      <c r="AV652" s="5" t="n">
        <v>0</v>
      </c>
      <c r="AW652" s="5" t="n">
        <v>0.783</v>
      </c>
      <c r="AX652" s="5" t="n">
        <v>0.129</v>
      </c>
      <c r="AY652" s="5" t="n">
        <v>-0.219</v>
      </c>
      <c r="AZ652" s="5" t="n">
        <v>0.5629999999999999</v>
      </c>
      <c r="BA652" s="5" t="n">
        <v>0</v>
      </c>
      <c r="BB652" s="5" t="n">
        <v>0</v>
      </c>
      <c r="BC652" s="5" t="n">
        <v>0.527</v>
      </c>
      <c r="BD652" s="5" t="n">
        <v>0.129</v>
      </c>
      <c r="BE652" s="5" t="n">
        <v>0</v>
      </c>
      <c r="BF652" s="5" t="n">
        <v>0.527</v>
      </c>
      <c r="BG652" s="5" t="n">
        <v>0</v>
      </c>
      <c r="BH652" s="5" t="n">
        <v>1</v>
      </c>
      <c r="BI652" s="5" t="n">
        <v>0.64</v>
      </c>
      <c r="BJ652" s="5" t="n">
        <v>0.129</v>
      </c>
      <c r="BK652" s="5" t="n">
        <v>0</v>
      </c>
      <c r="BL652" s="5" t="n">
        <v>0.64</v>
      </c>
      <c r="BM652" s="5" t="n">
        <v>0</v>
      </c>
      <c r="BN652" s="5" t="n">
        <v>1</v>
      </c>
      <c r="BO652" s="5" t="n">
        <v>0</v>
      </c>
      <c r="BP652" s="5" t="n">
        <v>-0.038</v>
      </c>
      <c r="BQ652" s="5" t="n">
        <v>0.036</v>
      </c>
      <c r="BR652" s="5" t="n">
        <v>0</v>
      </c>
      <c r="BS652" s="5" t="n">
        <v>0.333</v>
      </c>
      <c r="BT652" s="5" t="n">
        <v>0</v>
      </c>
      <c r="BU652" s="5" t="n">
        <v>-0.038</v>
      </c>
      <c r="BV652" s="5" t="n">
        <v>0.038</v>
      </c>
      <c r="BW652" s="5" t="n">
        <v>0</v>
      </c>
      <c r="BX652" s="5" t="n">
        <v>0</v>
      </c>
      <c r="BY652" s="5" t="n">
        <v>13.254</v>
      </c>
      <c r="BZ652" s="5" t="n">
        <v>0</v>
      </c>
      <c r="CA652" s="5" t="n">
        <v>13.254</v>
      </c>
      <c r="CB652" s="5" t="n">
        <v>0</v>
      </c>
      <c r="CC652" s="5" t="n">
        <v>87.07899999999999</v>
      </c>
      <c r="CD652" s="5" t="n">
        <v>7.95</v>
      </c>
      <c r="CE652" s="5" t="n">
        <v>0</v>
      </c>
      <c r="CF652" s="5" t="n">
        <v>87.07899999999999</v>
      </c>
      <c r="CG652" s="5" t="n">
        <v>0</v>
      </c>
      <c r="CH652" s="5" t="n">
        <v>1</v>
      </c>
      <c r="CI652" s="5" t="n">
        <v>0</v>
      </c>
      <c r="CJ652" s="5" t="n">
        <v>0</v>
      </c>
      <c r="CK652" s="5" t="n">
        <v>0</v>
      </c>
      <c r="CL652" s="5" t="n">
        <v>0</v>
      </c>
      <c r="CM652" s="5" t="n">
        <v>0</v>
      </c>
      <c r="CN652" s="5" t="n">
        <v>0</v>
      </c>
      <c r="CO652" s="5" t="n">
        <v>0</v>
      </c>
      <c r="CP652" s="5" t="n">
        <v>0</v>
      </c>
      <c r="CQ652" s="5" t="n">
        <v>1.348</v>
      </c>
      <c r="CR652" s="5" t="n">
        <v>1</v>
      </c>
      <c r="CS652" s="5" t="n">
        <v>2.027</v>
      </c>
      <c r="CT652" s="5" t="n">
        <v>4.861</v>
      </c>
      <c r="CU652" s="5" t="n">
        <v>11.061</v>
      </c>
    </row>
    <row r="653">
      <c r="A653" s="5" t="inlineStr">
        <is>
          <t>QAT2024</t>
        </is>
      </c>
      <c r="B653" s="5" t="inlineStr">
        <is>
          <t>QAT</t>
        </is>
      </c>
      <c r="C653" s="5" t="inlineStr">
        <is>
          <t>QAT</t>
        </is>
      </c>
      <c r="D653" s="5" t="inlineStr">
        <is>
          <t>Qatar</t>
        </is>
      </c>
      <c r="E653" s="5" t="n">
        <v>2024</v>
      </c>
      <c r="F653" s="5" t="n">
        <v>0</v>
      </c>
      <c r="G653" s="5" t="n">
        <v>5.575</v>
      </c>
      <c r="H653" s="5" t="n">
        <v>1.324</v>
      </c>
      <c r="I653" s="5" t="n">
        <v>0.213</v>
      </c>
      <c r="J653" s="5" t="n">
        <v>5.787</v>
      </c>
      <c r="K653" s="5" t="n">
        <v>0</v>
      </c>
      <c r="L653" s="5" t="n">
        <v>1</v>
      </c>
      <c r="M653" s="5" t="n">
        <v>7.124</v>
      </c>
      <c r="N653" s="5" t="n">
        <v>3.971</v>
      </c>
      <c r="O653" s="5" t="n">
        <v>0.158</v>
      </c>
      <c r="P653" s="5" t="n">
        <v>7.281</v>
      </c>
      <c r="Q653" s="5" t="n">
        <v>0</v>
      </c>
      <c r="R653" s="5" t="n">
        <v>1</v>
      </c>
      <c r="S653" s="5" t="n">
        <v>12.193</v>
      </c>
      <c r="T653" s="5" t="n">
        <v>7.942</v>
      </c>
      <c r="U653" s="5" t="n">
        <v>0.213</v>
      </c>
      <c r="V653" s="5" t="n">
        <v>12.405</v>
      </c>
      <c r="W653" s="5" t="n">
        <v>0</v>
      </c>
      <c r="X653" s="5" t="n">
        <v>1</v>
      </c>
      <c r="Y653" s="5" t="n">
        <v>2.086</v>
      </c>
      <c r="Z653" s="5" t="n">
        <v>0</v>
      </c>
      <c r="AA653" s="5" t="n">
        <v>-1.013</v>
      </c>
      <c r="AB653" s="5" t="n">
        <v>1.073</v>
      </c>
      <c r="AC653" s="5" t="n">
        <v>0</v>
      </c>
      <c r="AD653" s="5" t="n">
        <v>0</v>
      </c>
      <c r="AE653" s="5" t="n">
        <v>2.086</v>
      </c>
      <c r="AF653" s="5" t="n">
        <v>0</v>
      </c>
      <c r="AG653" s="5" t="n">
        <v>-1.013</v>
      </c>
      <c r="AH653" s="5" t="n">
        <v>1.073</v>
      </c>
      <c r="AI653" s="5" t="n">
        <v>0</v>
      </c>
      <c r="AJ653" s="5" t="n">
        <v>0</v>
      </c>
      <c r="AK653" s="5" t="n">
        <v>6.057</v>
      </c>
      <c r="AL653" s="5" t="n">
        <v>2.147</v>
      </c>
      <c r="AM653" s="5" t="n">
        <v>-0.507</v>
      </c>
      <c r="AN653" s="5" t="n">
        <v>5.55</v>
      </c>
      <c r="AO653" s="5" t="n">
        <v>0</v>
      </c>
      <c r="AP653" s="5" t="n">
        <v>1</v>
      </c>
      <c r="AQ653" s="5" t="n">
        <v>0.72</v>
      </c>
      <c r="AR653" s="5" t="n">
        <v>0.132</v>
      </c>
      <c r="AS653" s="5" t="n">
        <v>-0.144</v>
      </c>
      <c r="AT653" s="5" t="n">
        <v>0.576</v>
      </c>
      <c r="AU653" s="5" t="n">
        <v>0</v>
      </c>
      <c r="AV653" s="5" t="n">
        <v>0</v>
      </c>
      <c r="AW653" s="5" t="n">
        <v>0.734</v>
      </c>
      <c r="AX653" s="5" t="n">
        <v>0.132</v>
      </c>
      <c r="AY653" s="5" t="n">
        <v>-0.172</v>
      </c>
      <c r="AZ653" s="5" t="n">
        <v>0.5620000000000001</v>
      </c>
      <c r="BA653" s="5" t="n">
        <v>0</v>
      </c>
      <c r="BB653" s="5" t="n">
        <v>0</v>
      </c>
      <c r="BC653" s="5" t="n">
        <v>0.51</v>
      </c>
      <c r="BD653" s="5" t="n">
        <v>0.132</v>
      </c>
      <c r="BE653" s="5" t="n">
        <v>0</v>
      </c>
      <c r="BF653" s="5" t="n">
        <v>0.51</v>
      </c>
      <c r="BG653" s="5" t="n">
        <v>0</v>
      </c>
      <c r="BH653" s="5" t="n">
        <v>1</v>
      </c>
      <c r="BI653" s="5" t="n">
        <v>0.652</v>
      </c>
      <c r="BJ653" s="5" t="n">
        <v>0.132</v>
      </c>
      <c r="BK653" s="5" t="n">
        <v>0</v>
      </c>
      <c r="BL653" s="5" t="n">
        <v>0.652</v>
      </c>
      <c r="BM653" s="5" t="n">
        <v>0</v>
      </c>
      <c r="BN653" s="5" t="n">
        <v>1</v>
      </c>
      <c r="BO653" s="5" t="n">
        <v>0</v>
      </c>
      <c r="BP653" s="5" t="n">
        <v>-0.039</v>
      </c>
      <c r="BQ653" s="5" t="n">
        <v>0.039</v>
      </c>
      <c r="BR653" s="5" t="n">
        <v>0</v>
      </c>
      <c r="BS653" s="5" t="n">
        <v>0.333</v>
      </c>
      <c r="BT653" s="5" t="n">
        <v>0</v>
      </c>
      <c r="BU653" s="5" t="n">
        <v>-0.039</v>
      </c>
      <c r="BV653" s="5" t="n">
        <v>0.038</v>
      </c>
      <c r="BW653" s="5" t="n">
        <v>0</v>
      </c>
      <c r="BX653" s="5" t="n">
        <v>0</v>
      </c>
      <c r="BY653" s="5" t="n">
        <v>13.646</v>
      </c>
      <c r="BZ653" s="5" t="n">
        <v>0</v>
      </c>
      <c r="CA653" s="5" t="n">
        <v>13.646</v>
      </c>
      <c r="CB653" s="5" t="n">
        <v>0</v>
      </c>
      <c r="CC653" s="5" t="n">
        <v>86.38500000000001</v>
      </c>
      <c r="CD653" s="5" t="n">
        <v>7.95</v>
      </c>
      <c r="CE653" s="5" t="n">
        <v>0</v>
      </c>
      <c r="CF653" s="5" t="n">
        <v>86.38500000000001</v>
      </c>
      <c r="CG653" s="5" t="n">
        <v>0</v>
      </c>
      <c r="CH653" s="5" t="n">
        <v>1</v>
      </c>
      <c r="CI653" s="5" t="n">
        <v>0</v>
      </c>
      <c r="CJ653" s="5" t="n">
        <v>0</v>
      </c>
      <c r="CK653" s="5" t="n">
        <v>0</v>
      </c>
      <c r="CL653" s="5" t="n">
        <v>0</v>
      </c>
      <c r="CM653" s="5" t="n">
        <v>0</v>
      </c>
      <c r="CN653" s="5" t="n">
        <v>0</v>
      </c>
      <c r="CO653" s="5" t="n">
        <v>0</v>
      </c>
      <c r="CP653" s="5" t="n">
        <v>0</v>
      </c>
      <c r="CQ653" s="5" t="n">
        <v>1.387</v>
      </c>
      <c r="CR653" s="5" t="n">
        <v>1</v>
      </c>
      <c r="CS653" s="5" t="n">
        <v>2.086</v>
      </c>
      <c r="CT653" s="5" t="n">
        <v>4.251</v>
      </c>
      <c r="CU653" s="5" t="n">
        <v>9.398</v>
      </c>
    </row>
    <row r="654">
      <c r="A654" s="5" t="inlineStr">
        <is>
          <t>ROU2021</t>
        </is>
      </c>
      <c r="B654" s="5" t="inlineStr">
        <is>
          <t>ROU</t>
        </is>
      </c>
      <c r="C654" s="5" t="inlineStr">
        <is>
          <t>ROU</t>
        </is>
      </c>
      <c r="D654" s="5" t="inlineStr">
        <is>
          <t>Romania</t>
        </is>
      </c>
      <c r="E654" s="5" t="n">
        <v>2021</v>
      </c>
      <c r="F654" s="5" t="n">
        <v>0.19</v>
      </c>
      <c r="G654" s="5" t="n">
        <v>2.657</v>
      </c>
      <c r="H654" s="5" t="n">
        <v>0.709</v>
      </c>
      <c r="I654" s="5" t="n">
        <v>0.8110000000000001</v>
      </c>
      <c r="J654" s="5" t="n">
        <v>3.469</v>
      </c>
      <c r="K654" s="5" t="n">
        <v>0</v>
      </c>
      <c r="L654" s="5" t="n">
        <v>1</v>
      </c>
      <c r="M654" s="5" t="n">
        <v>4.128</v>
      </c>
      <c r="N654" s="5" t="n">
        <v>2.127</v>
      </c>
      <c r="O654" s="5" t="n">
        <v>0.797</v>
      </c>
      <c r="P654" s="5" t="n">
        <v>4.925</v>
      </c>
      <c r="Q654" s="5" t="n">
        <v>0</v>
      </c>
      <c r="R654" s="5" t="n">
        <v>1</v>
      </c>
      <c r="S654" s="5" t="n">
        <v>6.203</v>
      </c>
      <c r="T654" s="5" t="n">
        <v>4.254</v>
      </c>
      <c r="U654" s="5" t="n">
        <v>0.281</v>
      </c>
      <c r="V654" s="5" t="n">
        <v>7.716</v>
      </c>
      <c r="W654" s="5" t="n">
        <v>0.19</v>
      </c>
      <c r="X654" s="5" t="n">
        <v>1</v>
      </c>
      <c r="Y654" s="5" t="n">
        <v>12.354</v>
      </c>
      <c r="Z654" s="5" t="n">
        <v>1.365</v>
      </c>
      <c r="AA654" s="5" t="n">
        <v>-0.743</v>
      </c>
      <c r="AB654" s="5" t="n">
        <v>11.611</v>
      </c>
      <c r="AC654" s="5" t="n">
        <v>0</v>
      </c>
      <c r="AD654" s="5" t="n">
        <v>1</v>
      </c>
      <c r="AE654" s="5" t="n">
        <v>12.31</v>
      </c>
      <c r="AF654" s="5" t="n">
        <v>2.422</v>
      </c>
      <c r="AG654" s="5" t="n">
        <v>-0.699</v>
      </c>
      <c r="AH654" s="5" t="n">
        <v>11.611</v>
      </c>
      <c r="AI654" s="5" t="n">
        <v>0</v>
      </c>
      <c r="AJ654" s="5" t="n">
        <v>1</v>
      </c>
      <c r="AK654" s="5" t="n">
        <v>15.241</v>
      </c>
      <c r="AL654" s="5" t="n">
        <v>7.481</v>
      </c>
      <c r="AM654" s="5" t="n">
        <v>-2.238</v>
      </c>
      <c r="AN654" s="5" t="n">
        <v>13.004</v>
      </c>
      <c r="AO654" s="5" t="n">
        <v>0</v>
      </c>
      <c r="AP654" s="5" t="n">
        <v>1</v>
      </c>
      <c r="AQ654" s="5" t="n">
        <v>0.619</v>
      </c>
      <c r="AR654" s="5" t="n">
        <v>0.114</v>
      </c>
      <c r="AS654" s="5" t="n">
        <v>0.631</v>
      </c>
      <c r="AT654" s="5" t="n">
        <v>1.373</v>
      </c>
      <c r="AU654" s="5" t="n">
        <v>0.098</v>
      </c>
      <c r="AV654" s="5" t="n">
        <v>1</v>
      </c>
      <c r="AW654" s="5" t="n">
        <v>0.599</v>
      </c>
      <c r="AX654" s="5" t="n">
        <v>0.114</v>
      </c>
      <c r="AY654" s="5" t="n">
        <v>0.623</v>
      </c>
      <c r="AZ654" s="5" t="n">
        <v>1.353</v>
      </c>
      <c r="BA654" s="5" t="n">
        <v>0.107</v>
      </c>
      <c r="BB654" s="5" t="n">
        <v>1</v>
      </c>
      <c r="BC654" s="5" t="n">
        <v>0.439</v>
      </c>
      <c r="BD654" s="5" t="n">
        <v>0.114</v>
      </c>
      <c r="BE654" s="5" t="n">
        <v>0.207</v>
      </c>
      <c r="BF654" s="5" t="n">
        <v>0.734</v>
      </c>
      <c r="BG654" s="5" t="n">
        <v>0.137</v>
      </c>
      <c r="BH654" s="5" t="n">
        <v>1</v>
      </c>
      <c r="BI654" s="5" t="n">
        <v>0.505</v>
      </c>
      <c r="BJ654" s="5" t="n">
        <v>0.114</v>
      </c>
      <c r="BK654" s="5" t="n">
        <v>0.442</v>
      </c>
      <c r="BL654" s="5" t="n">
        <v>1.126</v>
      </c>
      <c r="BM654" s="5" t="n">
        <v>0.19</v>
      </c>
      <c r="BN654" s="5" t="n">
        <v>1</v>
      </c>
      <c r="BO654" s="5" t="n">
        <v>0</v>
      </c>
      <c r="BP654" s="5" t="n">
        <v>0.018</v>
      </c>
      <c r="BQ654" s="5" t="n">
        <v>0.128</v>
      </c>
      <c r="BR654" s="5" t="n">
        <v>0</v>
      </c>
      <c r="BS654" s="5" t="n">
        <v>1</v>
      </c>
      <c r="BT654" s="5" t="n">
        <v>0</v>
      </c>
      <c r="BU654" s="5" t="n">
        <v>0.021</v>
      </c>
      <c r="BV654" s="5" t="n">
        <v>0.186</v>
      </c>
      <c r="BW654" s="5" t="n">
        <v>0.19</v>
      </c>
      <c r="BX654" s="5" t="n">
        <v>1</v>
      </c>
      <c r="BY654" s="5" t="n">
        <v>4.634</v>
      </c>
      <c r="BZ654" s="5" t="n">
        <v>0</v>
      </c>
      <c r="CA654" s="5" t="n">
        <v>4.634</v>
      </c>
      <c r="CB654" s="5" t="n">
        <v>0</v>
      </c>
      <c r="CC654" s="5" t="n">
        <v>78.125</v>
      </c>
      <c r="CD654" s="5" t="n">
        <v>7.95</v>
      </c>
      <c r="CE654" s="5" t="n">
        <v>76.261</v>
      </c>
      <c r="CF654" s="5" t="n">
        <v>183.72</v>
      </c>
      <c r="CG654" s="5" t="n">
        <v>0.19</v>
      </c>
      <c r="CH654" s="5" t="n">
        <v>1</v>
      </c>
      <c r="CI654" s="5" t="n">
        <v>0</v>
      </c>
      <c r="CJ654" s="5" t="n">
        <v>0</v>
      </c>
      <c r="CK654" s="5" t="n">
        <v>0</v>
      </c>
      <c r="CL654" s="5" t="n">
        <v>0</v>
      </c>
      <c r="CM654" s="5" t="n">
        <v>0.023</v>
      </c>
      <c r="CN654" s="5" t="n">
        <v>0.292</v>
      </c>
      <c r="CO654" s="5" t="n">
        <v>0</v>
      </c>
      <c r="CP654" s="5" t="n">
        <v>0.76</v>
      </c>
      <c r="CQ654" s="5" t="n">
        <v>1.198</v>
      </c>
      <c r="CR654" s="5" t="n">
        <v>0</v>
      </c>
      <c r="CS654" s="5" t="n">
        <v>1.301</v>
      </c>
      <c r="CT654" s="5" t="n">
        <v>4.318</v>
      </c>
      <c r="CU654" s="5" t="n">
        <v>1.301</v>
      </c>
    </row>
    <row r="655">
      <c r="A655" s="5" t="inlineStr">
        <is>
          <t>ROU2022</t>
        </is>
      </c>
      <c r="B655" s="5" t="inlineStr">
        <is>
          <t>ROU</t>
        </is>
      </c>
      <c r="C655" s="5" t="inlineStr">
        <is>
          <t>ROU</t>
        </is>
      </c>
      <c r="D655" s="5" t="inlineStr">
        <is>
          <t>Romania</t>
        </is>
      </c>
      <c r="E655" s="5" t="n">
        <v>2022</v>
      </c>
      <c r="F655" s="5" t="n">
        <v>0.19</v>
      </c>
      <c r="G655" s="5" t="n">
        <v>4.446</v>
      </c>
      <c r="H655" s="5" t="n">
        <v>0.749</v>
      </c>
      <c r="I655" s="5" t="n">
        <v>8.585000000000001</v>
      </c>
      <c r="J655" s="5" t="n">
        <v>13.031</v>
      </c>
      <c r="K655" s="5" t="n">
        <v>0</v>
      </c>
      <c r="L655" s="5" t="n">
        <v>1</v>
      </c>
      <c r="M655" s="5" t="n">
        <v>4.562</v>
      </c>
      <c r="N655" s="5" t="n">
        <v>2.247</v>
      </c>
      <c r="O655" s="5" t="n">
        <v>8.438000000000001</v>
      </c>
      <c r="P655" s="5" t="n">
        <v>13</v>
      </c>
      <c r="Q655" s="5" t="n">
        <v>0</v>
      </c>
      <c r="R655" s="5" t="n">
        <v>1</v>
      </c>
      <c r="S655" s="5" t="n">
        <v>8.191000000000001</v>
      </c>
      <c r="T655" s="5" t="n">
        <v>4.495</v>
      </c>
      <c r="U655" s="5" t="n">
        <v>0.423</v>
      </c>
      <c r="V655" s="5" t="n">
        <v>10.109</v>
      </c>
      <c r="W655" s="5" t="n">
        <v>0.19</v>
      </c>
      <c r="X655" s="5" t="n">
        <v>1</v>
      </c>
      <c r="Y655" s="5" t="n">
        <v>12.627</v>
      </c>
      <c r="Z655" s="5" t="n">
        <v>1.325</v>
      </c>
      <c r="AA655" s="5" t="n">
        <v>26.05</v>
      </c>
      <c r="AB655" s="5" t="n">
        <v>38.677</v>
      </c>
      <c r="AC655" s="5" t="n">
        <v>0</v>
      </c>
      <c r="AD655" s="5" t="n">
        <v>1</v>
      </c>
      <c r="AE655" s="5" t="n">
        <v>12.675</v>
      </c>
      <c r="AF655" s="5" t="n">
        <v>2.35</v>
      </c>
      <c r="AG655" s="5" t="n">
        <v>26.002</v>
      </c>
      <c r="AH655" s="5" t="n">
        <v>38.677</v>
      </c>
      <c r="AI655" s="5" t="n">
        <v>0</v>
      </c>
      <c r="AJ655" s="5" t="n">
        <v>1</v>
      </c>
      <c r="AK655" s="5" t="n">
        <v>15.823</v>
      </c>
      <c r="AL655" s="5" t="n">
        <v>7.556</v>
      </c>
      <c r="AM655" s="5" t="n">
        <v>11.613</v>
      </c>
      <c r="AN655" s="5" t="n">
        <v>27.436</v>
      </c>
      <c r="AO655" s="5" t="n">
        <v>0</v>
      </c>
      <c r="AP655" s="5" t="n">
        <v>1</v>
      </c>
      <c r="AQ655" s="5" t="n">
        <v>0.861</v>
      </c>
      <c r="AR655" s="5" t="n">
        <v>0.123</v>
      </c>
      <c r="AS655" s="5" t="n">
        <v>0.612</v>
      </c>
      <c r="AT655" s="5" t="n">
        <v>1.617</v>
      </c>
      <c r="AU655" s="5" t="n">
        <v>0.098</v>
      </c>
      <c r="AV655" s="5" t="n">
        <v>1</v>
      </c>
      <c r="AW655" s="5" t="n">
        <v>0.986</v>
      </c>
      <c r="AX655" s="5" t="n">
        <v>0.123</v>
      </c>
      <c r="AY655" s="5" t="n">
        <v>0.603</v>
      </c>
      <c r="AZ655" s="5" t="n">
        <v>1.759</v>
      </c>
      <c r="BA655" s="5" t="n">
        <v>0.107</v>
      </c>
      <c r="BB655" s="5" t="n">
        <v>1</v>
      </c>
      <c r="BC655" s="5" t="n">
        <v>0.598</v>
      </c>
      <c r="BD655" s="5" t="n">
        <v>0.123</v>
      </c>
      <c r="BE655" s="5" t="n">
        <v>0.159</v>
      </c>
      <c r="BF655" s="5" t="n">
        <v>0.86</v>
      </c>
      <c r="BG655" s="5" t="n">
        <v>0.137</v>
      </c>
      <c r="BH655" s="5" t="n">
        <v>1</v>
      </c>
      <c r="BI655" s="5" t="n">
        <v>0.612</v>
      </c>
      <c r="BJ655" s="5" t="n">
        <v>0.123</v>
      </c>
      <c r="BK655" s="5" t="n">
        <v>0.798</v>
      </c>
      <c r="BL655" s="5" t="n">
        <v>1.679</v>
      </c>
      <c r="BM655" s="5" t="n">
        <v>0.19</v>
      </c>
      <c r="BN655" s="5" t="n">
        <v>1</v>
      </c>
      <c r="BO655" s="5" t="n">
        <v>0</v>
      </c>
      <c r="BP655" s="5" t="n">
        <v>0.017</v>
      </c>
      <c r="BQ655" s="5" t="n">
        <v>0.238</v>
      </c>
      <c r="BR655" s="5" t="n">
        <v>0</v>
      </c>
      <c r="BS655" s="5" t="n">
        <v>1</v>
      </c>
      <c r="BT655" s="5" t="n">
        <v>0</v>
      </c>
      <c r="BU655" s="5" t="n">
        <v>0.021</v>
      </c>
      <c r="BV655" s="5" t="n">
        <v>0.304</v>
      </c>
      <c r="BW655" s="5" t="n">
        <v>0.19</v>
      </c>
      <c r="BX655" s="5" t="n">
        <v>1</v>
      </c>
      <c r="BY655" s="5" t="n">
        <v>5.005</v>
      </c>
      <c r="BZ655" s="5" t="n">
        <v>0</v>
      </c>
      <c r="CA655" s="5" t="n">
        <v>5.005</v>
      </c>
      <c r="CB655" s="5" t="n">
        <v>0</v>
      </c>
      <c r="CC655" s="5" t="n">
        <v>97.90000000000001</v>
      </c>
      <c r="CD655" s="5" t="n">
        <v>7.95</v>
      </c>
      <c r="CE655" s="5" t="n">
        <v>161.932</v>
      </c>
      <c r="CF655" s="5" t="n">
        <v>309.2</v>
      </c>
      <c r="CG655" s="5" t="n">
        <v>0.19</v>
      </c>
      <c r="CH655" s="5" t="n">
        <v>1</v>
      </c>
      <c r="CI655" s="5" t="n">
        <v>0</v>
      </c>
      <c r="CJ655" s="5" t="n">
        <v>0</v>
      </c>
      <c r="CK655" s="5" t="n">
        <v>0</v>
      </c>
      <c r="CL655" s="5" t="n">
        <v>0</v>
      </c>
      <c r="CM655" s="5" t="n">
        <v>0.025</v>
      </c>
      <c r="CN655" s="5" t="n">
        <v>0.314</v>
      </c>
      <c r="CO655" s="5" t="n">
        <v>0</v>
      </c>
      <c r="CP655" s="5" t="n">
        <v>0.787</v>
      </c>
      <c r="CQ655" s="5" t="n">
        <v>1.294</v>
      </c>
      <c r="CR655" s="5" t="n">
        <v>0</v>
      </c>
      <c r="CS655" s="5" t="n">
        <v>1.483</v>
      </c>
      <c r="CT655" s="5" t="n">
        <v>12.553</v>
      </c>
      <c r="CU655" s="5" t="n">
        <v>1.483</v>
      </c>
    </row>
    <row r="656">
      <c r="A656" s="5" t="inlineStr">
        <is>
          <t>ROU2023</t>
        </is>
      </c>
      <c r="B656" s="5" t="inlineStr">
        <is>
          <t>ROU</t>
        </is>
      </c>
      <c r="C656" s="5" t="inlineStr">
        <is>
          <t>ROU</t>
        </is>
      </c>
      <c r="D656" s="5" t="inlineStr">
        <is>
          <t>Romania</t>
        </is>
      </c>
      <c r="E656" s="5" t="n">
        <v>2023</v>
      </c>
      <c r="F656" s="5" t="n">
        <v>0.19</v>
      </c>
      <c r="G656" s="5" t="n">
        <v>3.52</v>
      </c>
      <c r="H656" s="5" t="n">
        <v>0.739</v>
      </c>
      <c r="I656" s="5" t="n">
        <v>9.664999999999999</v>
      </c>
      <c r="J656" s="5" t="n">
        <v>13.186</v>
      </c>
      <c r="K656" s="5" t="n">
        <v>0</v>
      </c>
      <c r="L656" s="5" t="n">
        <v>1</v>
      </c>
      <c r="M656" s="5" t="n">
        <v>3.968</v>
      </c>
      <c r="N656" s="5" t="n">
        <v>2.218</v>
      </c>
      <c r="O656" s="5" t="n">
        <v>9.726000000000001</v>
      </c>
      <c r="P656" s="5" t="n">
        <v>13.694</v>
      </c>
      <c r="Q656" s="5" t="n">
        <v>0</v>
      </c>
      <c r="R656" s="5" t="n">
        <v>1</v>
      </c>
      <c r="S656" s="5" t="n">
        <v>7.217</v>
      </c>
      <c r="T656" s="5" t="n">
        <v>4.436</v>
      </c>
      <c r="U656" s="5" t="n">
        <v>0.474</v>
      </c>
      <c r="V656" s="5" t="n">
        <v>8.964</v>
      </c>
      <c r="W656" s="5" t="n">
        <v>0.19</v>
      </c>
      <c r="X656" s="5" t="n">
        <v>1</v>
      </c>
      <c r="Y656" s="5" t="n">
        <v>12.508</v>
      </c>
      <c r="Z656" s="5" t="n">
        <v>1.401</v>
      </c>
      <c r="AA656" s="5" t="n">
        <v>10.124</v>
      </c>
      <c r="AB656" s="5" t="n">
        <v>22.631</v>
      </c>
      <c r="AC656" s="5" t="n">
        <v>0</v>
      </c>
      <c r="AD656" s="5" t="n">
        <v>1</v>
      </c>
      <c r="AE656" s="5" t="n">
        <v>12.607</v>
      </c>
      <c r="AF656" s="5" t="n">
        <v>2.511</v>
      </c>
      <c r="AG656" s="5" t="n">
        <v>10.025</v>
      </c>
      <c r="AH656" s="5" t="n">
        <v>22.631</v>
      </c>
      <c r="AI656" s="5" t="n">
        <v>0</v>
      </c>
      <c r="AJ656" s="5" t="n">
        <v>1</v>
      </c>
      <c r="AK656" s="5" t="n">
        <v>15.9</v>
      </c>
      <c r="AL656" s="5" t="n">
        <v>7.876</v>
      </c>
      <c r="AM656" s="5" t="n">
        <v>0.723</v>
      </c>
      <c r="AN656" s="5" t="n">
        <v>16.623</v>
      </c>
      <c r="AO656" s="5" t="n">
        <v>0</v>
      </c>
      <c r="AP656" s="5" t="n">
        <v>1</v>
      </c>
      <c r="AQ656" s="5" t="n">
        <v>0.76</v>
      </c>
      <c r="AR656" s="5" t="n">
        <v>0.129</v>
      </c>
      <c r="AS656" s="5" t="n">
        <v>0.59</v>
      </c>
      <c r="AT656" s="5" t="n">
        <v>1.483</v>
      </c>
      <c r="AU656" s="5" t="n">
        <v>0.098</v>
      </c>
      <c r="AV656" s="5" t="n">
        <v>1</v>
      </c>
      <c r="AW656" s="5" t="n">
        <v>0.8110000000000001</v>
      </c>
      <c r="AX656" s="5" t="n">
        <v>0.129</v>
      </c>
      <c r="AY656" s="5" t="n">
        <v>0.603</v>
      </c>
      <c r="AZ656" s="5" t="n">
        <v>1.565</v>
      </c>
      <c r="BA656" s="5" t="n">
        <v>0.107</v>
      </c>
      <c r="BB656" s="5" t="n">
        <v>1</v>
      </c>
      <c r="BC656" s="5" t="n">
        <v>0.535</v>
      </c>
      <c r="BD656" s="5" t="n">
        <v>0.129</v>
      </c>
      <c r="BE656" s="5" t="n">
        <v>0.17</v>
      </c>
      <c r="BF656" s="5" t="n">
        <v>0.802</v>
      </c>
      <c r="BG656" s="5" t="n">
        <v>0.137</v>
      </c>
      <c r="BH656" s="5" t="n">
        <v>1</v>
      </c>
      <c r="BI656" s="5" t="n">
        <v>0.579</v>
      </c>
      <c r="BJ656" s="5" t="n">
        <v>0.129</v>
      </c>
      <c r="BK656" s="5" t="n">
        <v>0.647</v>
      </c>
      <c r="BL656" s="5" t="n">
        <v>1.46</v>
      </c>
      <c r="BM656" s="5" t="n">
        <v>0.19</v>
      </c>
      <c r="BN656" s="5" t="n">
        <v>1</v>
      </c>
      <c r="BO656" s="5" t="n">
        <v>0</v>
      </c>
      <c r="BP656" s="5" t="n">
        <v>0.014</v>
      </c>
      <c r="BQ656" s="5" t="n">
        <v>0.173</v>
      </c>
      <c r="BR656" s="5" t="n">
        <v>0</v>
      </c>
      <c r="BS656" s="5" t="n">
        <v>1</v>
      </c>
      <c r="BT656" s="5" t="n">
        <v>0</v>
      </c>
      <c r="BU656" s="5" t="n">
        <v>0.017</v>
      </c>
      <c r="BV656" s="5" t="n">
        <v>0.206</v>
      </c>
      <c r="BW656" s="5" t="n">
        <v>0.19</v>
      </c>
      <c r="BX656" s="5" t="n">
        <v>1</v>
      </c>
      <c r="BY656" s="5" t="n">
        <v>5.211</v>
      </c>
      <c r="BZ656" s="5" t="n">
        <v>0</v>
      </c>
      <c r="CA656" s="5" t="n">
        <v>5.211</v>
      </c>
      <c r="CB656" s="5" t="n">
        <v>0</v>
      </c>
      <c r="CC656" s="5" t="n">
        <v>83.248</v>
      </c>
      <c r="CD656" s="5" t="n">
        <v>7.95</v>
      </c>
      <c r="CE656" s="5" t="n">
        <v>152.661</v>
      </c>
      <c r="CF656" s="5" t="n">
        <v>280.731</v>
      </c>
      <c r="CG656" s="5" t="n">
        <v>0.19</v>
      </c>
      <c r="CH656" s="5" t="n">
        <v>1</v>
      </c>
      <c r="CI656" s="5" t="n">
        <v>0</v>
      </c>
      <c r="CJ656" s="5" t="n">
        <v>0</v>
      </c>
      <c r="CK656" s="5" t="n">
        <v>0</v>
      </c>
      <c r="CL656" s="5" t="n">
        <v>0</v>
      </c>
      <c r="CM656" s="5" t="n">
        <v>0.026</v>
      </c>
      <c r="CN656" s="5" t="n">
        <v>0.328</v>
      </c>
      <c r="CO656" s="5" t="n">
        <v>0</v>
      </c>
      <c r="CP656" s="5" t="n">
        <v>0.85</v>
      </c>
      <c r="CQ656" s="5" t="n">
        <v>1.348</v>
      </c>
      <c r="CR656" s="5" t="n">
        <v>0</v>
      </c>
      <c r="CS656" s="5" t="n">
        <v>1.313</v>
      </c>
      <c r="CT656" s="5" t="n">
        <v>10.896</v>
      </c>
      <c r="CU656" s="5" t="n">
        <v>1.313</v>
      </c>
    </row>
    <row r="657">
      <c r="A657" s="5" t="inlineStr">
        <is>
          <t>ROU2024</t>
        </is>
      </c>
      <c r="B657" s="5" t="inlineStr">
        <is>
          <t>ROU</t>
        </is>
      </c>
      <c r="C657" s="5" t="inlineStr">
        <is>
          <t>ROU</t>
        </is>
      </c>
      <c r="D657" s="5" t="inlineStr">
        <is>
          <t>Romania</t>
        </is>
      </c>
      <c r="E657" s="5" t="n">
        <v>2024</v>
      </c>
      <c r="F657" s="5" t="n">
        <v>0.19</v>
      </c>
      <c r="G657" s="5" t="n">
        <v>3.141</v>
      </c>
      <c r="H657" s="5" t="n">
        <v>0.761</v>
      </c>
      <c r="I657" s="5" t="n">
        <v>6.237</v>
      </c>
      <c r="J657" s="5" t="n">
        <v>9.377000000000001</v>
      </c>
      <c r="K657" s="5" t="n">
        <v>0</v>
      </c>
      <c r="L657" s="5" t="n">
        <v>1</v>
      </c>
      <c r="M657" s="5" t="n">
        <v>3.936</v>
      </c>
      <c r="N657" s="5" t="n">
        <v>2.283</v>
      </c>
      <c r="O657" s="5" t="n">
        <v>6.357</v>
      </c>
      <c r="P657" s="5" t="n">
        <v>10.292</v>
      </c>
      <c r="Q657" s="5" t="n">
        <v>0</v>
      </c>
      <c r="R657" s="5" t="n">
        <v>1</v>
      </c>
      <c r="S657" s="5" t="n">
        <v>6.946</v>
      </c>
      <c r="T657" s="5" t="n">
        <v>4.567</v>
      </c>
      <c r="U657" s="5" t="n">
        <v>0.514</v>
      </c>
      <c r="V657" s="5" t="n">
        <v>8.653</v>
      </c>
      <c r="W657" s="5" t="n">
        <v>0.19</v>
      </c>
      <c r="X657" s="5" t="n">
        <v>1</v>
      </c>
      <c r="Y657" s="5" t="n">
        <v>14.578</v>
      </c>
      <c r="Z657" s="5" t="n">
        <v>1.841</v>
      </c>
      <c r="AA657" s="5" t="n">
        <v>3.912</v>
      </c>
      <c r="AB657" s="5" t="n">
        <v>18.49</v>
      </c>
      <c r="AC657" s="5" t="n">
        <v>0</v>
      </c>
      <c r="AD657" s="5" t="n">
        <v>1</v>
      </c>
      <c r="AE657" s="5" t="n">
        <v>14.578</v>
      </c>
      <c r="AF657" s="5" t="n">
        <v>3.193</v>
      </c>
      <c r="AG657" s="5" t="n">
        <v>3.912</v>
      </c>
      <c r="AH657" s="5" t="n">
        <v>18.49</v>
      </c>
      <c r="AI657" s="5" t="n">
        <v>0</v>
      </c>
      <c r="AJ657" s="5" t="n">
        <v>1</v>
      </c>
      <c r="AK657" s="5" t="n">
        <v>17.969</v>
      </c>
      <c r="AL657" s="5" t="n">
        <v>9.138999999999999</v>
      </c>
      <c r="AM657" s="5" t="n">
        <v>-1.107</v>
      </c>
      <c r="AN657" s="5" t="n">
        <v>16.862</v>
      </c>
      <c r="AO657" s="5" t="n">
        <v>0</v>
      </c>
      <c r="AP657" s="5" t="n">
        <v>1</v>
      </c>
      <c r="AQ657" s="5" t="n">
        <v>0.724</v>
      </c>
      <c r="AR657" s="5" t="n">
        <v>0.132</v>
      </c>
      <c r="AS657" s="5" t="n">
        <v>0.694</v>
      </c>
      <c r="AT657" s="5" t="n">
        <v>1.557</v>
      </c>
      <c r="AU657" s="5" t="n">
        <v>0.098</v>
      </c>
      <c r="AV657" s="5" t="n">
        <v>1</v>
      </c>
      <c r="AW657" s="5" t="n">
        <v>0.75</v>
      </c>
      <c r="AX657" s="5" t="n">
        <v>0.132</v>
      </c>
      <c r="AY657" s="5" t="n">
        <v>0.681</v>
      </c>
      <c r="AZ657" s="5" t="n">
        <v>1.583</v>
      </c>
      <c r="BA657" s="5" t="n">
        <v>0.107</v>
      </c>
      <c r="BB657" s="5" t="n">
        <v>1</v>
      </c>
      <c r="BC657" s="5" t="n">
        <v>0.513</v>
      </c>
      <c r="BD657" s="5" t="n">
        <v>0.132</v>
      </c>
      <c r="BE657" s="5" t="n">
        <v>0.148</v>
      </c>
      <c r="BF657" s="5" t="n">
        <v>0.752</v>
      </c>
      <c r="BG657" s="5" t="n">
        <v>0.137</v>
      </c>
      <c r="BH657" s="5" t="n">
        <v>1</v>
      </c>
      <c r="BI657" s="5" t="n">
        <v>0.591</v>
      </c>
      <c r="BJ657" s="5" t="n">
        <v>0.132</v>
      </c>
      <c r="BK657" s="5" t="n">
        <v>0.7</v>
      </c>
      <c r="BL657" s="5" t="n">
        <v>1.498</v>
      </c>
      <c r="BM657" s="5" t="n">
        <v>0.19</v>
      </c>
      <c r="BN657" s="5" t="n">
        <v>1</v>
      </c>
      <c r="BO657" s="5" t="n">
        <v>0</v>
      </c>
      <c r="BP657" s="5" t="n">
        <v>0.017</v>
      </c>
      <c r="BQ657" s="5" t="n">
        <v>0.167</v>
      </c>
      <c r="BR657" s="5" t="n">
        <v>0</v>
      </c>
      <c r="BS657" s="5" t="n">
        <v>1</v>
      </c>
      <c r="BT657" s="5" t="n">
        <v>0</v>
      </c>
      <c r="BU657" s="5" t="n">
        <v>0.02</v>
      </c>
      <c r="BV657" s="5" t="n">
        <v>0.203</v>
      </c>
      <c r="BW657" s="5" t="n">
        <v>0.19</v>
      </c>
      <c r="BX657" s="5" t="n">
        <v>1</v>
      </c>
      <c r="BY657" s="5" t="n">
        <v>5.365</v>
      </c>
      <c r="BZ657" s="5" t="n">
        <v>0</v>
      </c>
      <c r="CA657" s="5" t="n">
        <v>5.365</v>
      </c>
      <c r="CB657" s="5" t="n">
        <v>0</v>
      </c>
      <c r="CC657" s="5" t="n">
        <v>82.58799999999999</v>
      </c>
      <c r="CD657" s="5" t="n">
        <v>7.95</v>
      </c>
      <c r="CE657" s="5" t="n">
        <v>81.268</v>
      </c>
      <c r="CF657" s="5" t="n">
        <v>194.989</v>
      </c>
      <c r="CG657" s="5" t="n">
        <v>0.19</v>
      </c>
      <c r="CH657" s="5" t="n">
        <v>1</v>
      </c>
      <c r="CI657" s="5" t="n">
        <v>0</v>
      </c>
      <c r="CJ657" s="5" t="n">
        <v>0</v>
      </c>
      <c r="CK657" s="5" t="n">
        <v>0</v>
      </c>
      <c r="CL657" s="5" t="n">
        <v>0</v>
      </c>
      <c r="CM657" s="5" t="n">
        <v>0.027</v>
      </c>
      <c r="CN657" s="5" t="n">
        <v>0.313</v>
      </c>
      <c r="CO657" s="5" t="n">
        <v>0</v>
      </c>
      <c r="CP657" s="5" t="n">
        <v>0.85</v>
      </c>
      <c r="CQ657" s="5" t="n">
        <v>1.387</v>
      </c>
      <c r="CR657" s="5" t="n">
        <v>0</v>
      </c>
      <c r="CS657" s="5" t="n">
        <v>1.569</v>
      </c>
      <c r="CT657" s="5" t="n">
        <v>7.996</v>
      </c>
      <c r="CU657" s="5" t="n">
        <v>1.569</v>
      </c>
    </row>
    <row r="658">
      <c r="A658" s="5" t="inlineStr">
        <is>
          <t>RUS2021</t>
        </is>
      </c>
      <c r="B658" s="5" t="inlineStr">
        <is>
          <t>RUS</t>
        </is>
      </c>
      <c r="C658" s="5" t="inlineStr">
        <is>
          <t>RUS</t>
        </is>
      </c>
      <c r="D658" s="5" t="inlineStr">
        <is>
          <t>Russia</t>
        </is>
      </c>
      <c r="E658" s="5" t="n">
        <v>2021</v>
      </c>
      <c r="F658" s="5" t="n">
        <v>0.2</v>
      </c>
      <c r="G658" s="5" t="n">
        <v>1.501</v>
      </c>
      <c r="H658" s="5" t="n">
        <v>0.328</v>
      </c>
      <c r="I658" s="5" t="n">
        <v>0.008999999999999999</v>
      </c>
      <c r="J658" s="5" t="n">
        <v>1.51</v>
      </c>
      <c r="K658" s="5" t="n">
        <v>0</v>
      </c>
      <c r="L658" s="5" t="n">
        <v>1</v>
      </c>
      <c r="M658" s="5" t="n">
        <v>6.714</v>
      </c>
      <c r="N658" s="5" t="n">
        <v>3.043</v>
      </c>
      <c r="O658" s="5" t="n">
        <v>0.026</v>
      </c>
      <c r="P658" s="5" t="n">
        <v>6.74</v>
      </c>
      <c r="Q658" s="5" t="n">
        <v>0</v>
      </c>
      <c r="R658" s="5" t="n">
        <v>1</v>
      </c>
      <c r="S658" s="5" t="n">
        <v>2.561</v>
      </c>
      <c r="T658" s="5" t="n">
        <v>1.587</v>
      </c>
      <c r="U658" s="5" t="n">
        <v>0.014</v>
      </c>
      <c r="V658" s="5" t="n">
        <v>3.09</v>
      </c>
      <c r="W658" s="5" t="n">
        <v>0.2</v>
      </c>
      <c r="X658" s="5" t="n">
        <v>1</v>
      </c>
      <c r="Y658" s="5" t="n">
        <v>6.678</v>
      </c>
      <c r="Z658" s="5" t="n">
        <v>0</v>
      </c>
      <c r="AA658" s="5" t="n">
        <v>-4.088</v>
      </c>
      <c r="AB658" s="5" t="n">
        <v>2.59</v>
      </c>
      <c r="AC658" s="5" t="n">
        <v>0</v>
      </c>
      <c r="AD658" s="5" t="n">
        <v>1</v>
      </c>
      <c r="AE658" s="5" t="n">
        <v>6.678</v>
      </c>
      <c r="AF658" s="5" t="n">
        <v>0</v>
      </c>
      <c r="AG658" s="5" t="n">
        <v>-4.088</v>
      </c>
      <c r="AH658" s="5" t="n">
        <v>2.59</v>
      </c>
      <c r="AI658" s="5" t="n">
        <v>0</v>
      </c>
      <c r="AJ658" s="5" t="n">
        <v>1</v>
      </c>
      <c r="AK658" s="5" t="n">
        <v>10.16</v>
      </c>
      <c r="AL658" s="5" t="n">
        <v>4.418</v>
      </c>
      <c r="AM658" s="5" t="n">
        <v>-8.385</v>
      </c>
      <c r="AN658" s="5" t="n">
        <v>2.13</v>
      </c>
      <c r="AO658" s="5" t="n">
        <v>0</v>
      </c>
      <c r="AP658" s="5" t="n">
        <v>0</v>
      </c>
      <c r="AQ658" s="5" t="n">
        <v>0.614</v>
      </c>
      <c r="AR658" s="5" t="n">
        <v>0.112</v>
      </c>
      <c r="AS658" s="5" t="n">
        <v>-0.089</v>
      </c>
      <c r="AT658" s="5" t="n">
        <v>0.63</v>
      </c>
      <c r="AU658" s="5" t="n">
        <v>0.2</v>
      </c>
      <c r="AV658" s="5" t="n">
        <v>1</v>
      </c>
      <c r="AW658" s="5" t="n">
        <v>0.626</v>
      </c>
      <c r="AX658" s="5" t="n">
        <v>0.121</v>
      </c>
      <c r="AY658" s="5" t="n">
        <v>-0.008999999999999999</v>
      </c>
      <c r="AZ658" s="5" t="n">
        <v>0.74</v>
      </c>
      <c r="BA658" s="5" t="n">
        <v>0.2</v>
      </c>
      <c r="BB658" s="5" t="n">
        <v>1</v>
      </c>
      <c r="BC658" s="5" t="n">
        <v>0.439</v>
      </c>
      <c r="BD658" s="5" t="n">
        <v>0.114</v>
      </c>
      <c r="BE658" s="5" t="n">
        <v>-0.153</v>
      </c>
      <c r="BF658" s="5" t="n">
        <v>0.343</v>
      </c>
      <c r="BG658" s="5" t="n">
        <v>0</v>
      </c>
      <c r="BH658" s="5" t="n">
        <v>0</v>
      </c>
      <c r="BI658" s="5" t="n">
        <v>0.578</v>
      </c>
      <c r="BJ658" s="5" t="n">
        <v>0.128</v>
      </c>
      <c r="BK658" s="5" t="n">
        <v>-0.019</v>
      </c>
      <c r="BL658" s="5" t="n">
        <v>0.67</v>
      </c>
      <c r="BM658" s="5" t="n">
        <v>0.2</v>
      </c>
      <c r="BN658" s="5" t="n">
        <v>1</v>
      </c>
      <c r="BO658" s="5" t="n">
        <v>0</v>
      </c>
      <c r="BP658" s="5" t="n">
        <v>-0.035</v>
      </c>
      <c r="BQ658" s="5" t="n">
        <v>0.032</v>
      </c>
      <c r="BR658" s="5" t="n">
        <v>0</v>
      </c>
      <c r="BS658" s="5" t="n">
        <v>1</v>
      </c>
      <c r="BT658" s="5" t="n">
        <v>0</v>
      </c>
      <c r="BU658" s="5" t="n">
        <v>-0.035</v>
      </c>
      <c r="BV658" s="5" t="n">
        <v>0.048</v>
      </c>
      <c r="BW658" s="5" t="n">
        <v>0</v>
      </c>
      <c r="BX658" s="5" t="n">
        <v>1</v>
      </c>
      <c r="BY658" s="5" t="n">
        <v>1.431</v>
      </c>
      <c r="BZ658" s="5" t="n">
        <v>0</v>
      </c>
      <c r="CA658" s="5" t="n">
        <v>1.431</v>
      </c>
      <c r="CB658" s="5" t="n">
        <v>0</v>
      </c>
      <c r="CC658" s="5" t="n">
        <v>78.125</v>
      </c>
      <c r="CD658" s="5" t="n">
        <v>7.95</v>
      </c>
      <c r="CE658" s="5" t="n">
        <v>-22.475</v>
      </c>
      <c r="CF658" s="5" t="n">
        <v>66.78</v>
      </c>
      <c r="CG658" s="5" t="n">
        <v>0</v>
      </c>
      <c r="CH658" s="5" t="n">
        <v>1</v>
      </c>
      <c r="CI658" s="5" t="n">
        <v>0</v>
      </c>
      <c r="CJ658" s="5" t="n">
        <v>0</v>
      </c>
      <c r="CK658" s="5" t="n">
        <v>0</v>
      </c>
      <c r="CL658" s="5" t="n">
        <v>0.043</v>
      </c>
      <c r="CM658" s="5" t="n">
        <v>0</v>
      </c>
      <c r="CN658" s="5" t="n">
        <v>1.568</v>
      </c>
      <c r="CO658" s="5" t="n">
        <v>9.936999999999999</v>
      </c>
      <c r="CP658" s="5" t="n">
        <v>0</v>
      </c>
      <c r="CQ658" s="5" t="n">
        <v>1.137</v>
      </c>
      <c r="CR658" s="5" t="n">
        <v>0.985</v>
      </c>
      <c r="CS658" s="5" t="n">
        <v>6.678</v>
      </c>
      <c r="CT658" s="5" t="n">
        <v>3.312</v>
      </c>
      <c r="CU658" s="5" t="n">
        <v>7.249</v>
      </c>
    </row>
    <row r="659">
      <c r="A659" s="5" t="inlineStr">
        <is>
          <t>RUS2022</t>
        </is>
      </c>
      <c r="B659" s="5" t="inlineStr">
        <is>
          <t>RUS</t>
        </is>
      </c>
      <c r="C659" s="5" t="inlineStr">
        <is>
          <t>RUS</t>
        </is>
      </c>
      <c r="D659" s="5" t="inlineStr">
        <is>
          <t>Russia</t>
        </is>
      </c>
      <c r="E659" s="5" t="n">
        <v>2022</v>
      </c>
      <c r="F659" s="5" t="n">
        <v>0.2</v>
      </c>
      <c r="G659" s="5" t="n">
        <v>1.52</v>
      </c>
      <c r="H659" s="5" t="n">
        <v>0.236</v>
      </c>
      <c r="I659" s="5" t="n">
        <v>0.01</v>
      </c>
      <c r="J659" s="5" t="n">
        <v>1.53</v>
      </c>
      <c r="K659" s="5" t="n">
        <v>0</v>
      </c>
      <c r="L659" s="5" t="n">
        <v>1</v>
      </c>
      <c r="M659" s="5" t="n">
        <v>6.298</v>
      </c>
      <c r="N659" s="5" t="n">
        <v>2.601</v>
      </c>
      <c r="O659" s="5" t="n">
        <v>0.032</v>
      </c>
      <c r="P659" s="5" t="n">
        <v>6.33</v>
      </c>
      <c r="Q659" s="5" t="n">
        <v>0</v>
      </c>
      <c r="R659" s="5" t="n">
        <v>1</v>
      </c>
      <c r="S659" s="5" t="n">
        <v>3.075</v>
      </c>
      <c r="T659" s="5" t="n">
        <v>1.506</v>
      </c>
      <c r="U659" s="5" t="n">
        <v>0.017</v>
      </c>
      <c r="V659" s="5" t="n">
        <v>3.71</v>
      </c>
      <c r="W659" s="5" t="n">
        <v>0.2</v>
      </c>
      <c r="X659" s="5" t="n">
        <v>1</v>
      </c>
      <c r="Y659" s="5" t="n">
        <v>7.212</v>
      </c>
      <c r="Z659" s="5" t="n">
        <v>0</v>
      </c>
      <c r="AA659" s="5" t="n">
        <v>-4.202</v>
      </c>
      <c r="AB659" s="5" t="n">
        <v>3.01</v>
      </c>
      <c r="AC659" s="5" t="n">
        <v>0</v>
      </c>
      <c r="AD659" s="5" t="n">
        <v>1</v>
      </c>
      <c r="AE659" s="5" t="n">
        <v>7.212</v>
      </c>
      <c r="AF659" s="5" t="n">
        <v>0</v>
      </c>
      <c r="AG659" s="5" t="n">
        <v>-4.202</v>
      </c>
      <c r="AH659" s="5" t="n">
        <v>3.01</v>
      </c>
      <c r="AI659" s="5" t="n">
        <v>0</v>
      </c>
      <c r="AJ659" s="5" t="n">
        <v>1</v>
      </c>
      <c r="AK659" s="5" t="n">
        <v>10.972</v>
      </c>
      <c r="AL659" s="5" t="n">
        <v>4.771</v>
      </c>
      <c r="AM659" s="5" t="n">
        <v>-9.071999999999999</v>
      </c>
      <c r="AN659" s="5" t="n">
        <v>2.28</v>
      </c>
      <c r="AO659" s="5" t="n">
        <v>0</v>
      </c>
      <c r="AP659" s="5" t="n">
        <v>0</v>
      </c>
      <c r="AQ659" s="5" t="n">
        <v>0.528</v>
      </c>
      <c r="AR659" s="5" t="n">
        <v>0.076</v>
      </c>
      <c r="AS659" s="5" t="n">
        <v>0.031</v>
      </c>
      <c r="AT659" s="5" t="n">
        <v>0.67</v>
      </c>
      <c r="AU659" s="5" t="n">
        <v>0.2</v>
      </c>
      <c r="AV659" s="5" t="n">
        <v>1</v>
      </c>
      <c r="AW659" s="5" t="n">
        <v>0.826</v>
      </c>
      <c r="AX659" s="5" t="n">
        <v>0.107</v>
      </c>
      <c r="AY659" s="5" t="n">
        <v>-0.109</v>
      </c>
      <c r="AZ659" s="5" t="n">
        <v>0.86</v>
      </c>
      <c r="BA659" s="5" t="n">
        <v>0.2</v>
      </c>
      <c r="BB659" s="5" t="n">
        <v>1</v>
      </c>
      <c r="BC659" s="5" t="n">
        <v>0.598</v>
      </c>
      <c r="BD659" s="5" t="n">
        <v>0.123</v>
      </c>
      <c r="BE659" s="5" t="n">
        <v>-0.442</v>
      </c>
      <c r="BF659" s="5" t="n">
        <v>0.187</v>
      </c>
      <c r="BG659" s="5" t="n">
        <v>0</v>
      </c>
      <c r="BH659" s="5" t="n">
        <v>0</v>
      </c>
      <c r="BI659" s="5" t="n">
        <v>0.983</v>
      </c>
      <c r="BJ659" s="5" t="n">
        <v>0.192</v>
      </c>
      <c r="BK659" s="5" t="n">
        <v>-0.25</v>
      </c>
      <c r="BL659" s="5" t="n">
        <v>0.88</v>
      </c>
      <c r="BM659" s="5" t="n">
        <v>0.2</v>
      </c>
      <c r="BN659" s="5" t="n">
        <v>1</v>
      </c>
      <c r="BO659" s="5" t="n">
        <v>0</v>
      </c>
      <c r="BP659" s="5" t="n">
        <v>-0.035</v>
      </c>
      <c r="BQ659" s="5" t="n">
        <v>0.038</v>
      </c>
      <c r="BR659" s="5" t="n">
        <v>0</v>
      </c>
      <c r="BS659" s="5" t="n">
        <v>1</v>
      </c>
      <c r="BT659" s="5" t="n">
        <v>0</v>
      </c>
      <c r="BU659" s="5" t="n">
        <v>-0.035</v>
      </c>
      <c r="BV659" s="5" t="n">
        <v>0.057</v>
      </c>
      <c r="BW659" s="5" t="n">
        <v>0</v>
      </c>
      <c r="BX659" s="5" t="n">
        <v>1</v>
      </c>
      <c r="BY659" s="5" t="n">
        <v>1.545</v>
      </c>
      <c r="BZ659" s="5" t="n">
        <v>0</v>
      </c>
      <c r="CA659" s="5" t="n">
        <v>1.545</v>
      </c>
      <c r="CB659" s="5" t="n">
        <v>0</v>
      </c>
      <c r="CC659" s="5" t="n">
        <v>97.90000000000001</v>
      </c>
      <c r="CD659" s="5" t="n">
        <v>7.95</v>
      </c>
      <c r="CE659" s="5" t="n">
        <v>-68.75</v>
      </c>
      <c r="CF659" s="5" t="n">
        <v>34.98</v>
      </c>
      <c r="CG659" s="5" t="n">
        <v>0</v>
      </c>
      <c r="CH659" s="5" t="n">
        <v>1</v>
      </c>
      <c r="CI659" s="5" t="n">
        <v>0</v>
      </c>
      <c r="CJ659" s="5" t="n">
        <v>0</v>
      </c>
      <c r="CK659" s="5" t="n">
        <v>0</v>
      </c>
      <c r="CL659" s="5" t="n">
        <v>0.046</v>
      </c>
      <c r="CM659" s="5" t="n">
        <v>0</v>
      </c>
      <c r="CN659" s="5" t="n">
        <v>1.468</v>
      </c>
      <c r="CO659" s="5" t="n">
        <v>10.89</v>
      </c>
      <c r="CP659" s="5" t="n">
        <v>0</v>
      </c>
      <c r="CQ659" s="5" t="n">
        <v>1.227</v>
      </c>
      <c r="CR659" s="5" t="n">
        <v>0.985</v>
      </c>
      <c r="CS659" s="5" t="n">
        <v>7.212</v>
      </c>
      <c r="CT659" s="5" t="n">
        <v>4.358</v>
      </c>
      <c r="CU659" s="5" t="n">
        <v>10.577</v>
      </c>
    </row>
    <row r="660">
      <c r="A660" s="5" t="inlineStr">
        <is>
          <t>RUS2023</t>
        </is>
      </c>
      <c r="B660" s="5" t="inlineStr">
        <is>
          <t>RUS</t>
        </is>
      </c>
      <c r="C660" s="5" t="inlineStr">
        <is>
          <t>RUS</t>
        </is>
      </c>
      <c r="D660" s="5" t="inlineStr">
        <is>
          <t>Russia</t>
        </is>
      </c>
      <c r="E660" s="5" t="n">
        <v>2023</v>
      </c>
      <c r="F660" s="5" t="n">
        <v>0.2</v>
      </c>
      <c r="G660" s="5" t="n">
        <v>1.415</v>
      </c>
      <c r="H660" s="5" t="n">
        <v>0.322</v>
      </c>
      <c r="I660" s="5" t="n">
        <v>0.005</v>
      </c>
      <c r="J660" s="5" t="n">
        <v>1.42</v>
      </c>
      <c r="K660" s="5" t="n">
        <v>0</v>
      </c>
      <c r="L660" s="5" t="n">
        <v>1</v>
      </c>
      <c r="M660" s="5" t="n">
        <v>5.905</v>
      </c>
      <c r="N660" s="5" t="n">
        <v>2.929</v>
      </c>
      <c r="O660" s="5" t="n">
        <v>0.015</v>
      </c>
      <c r="P660" s="5" t="n">
        <v>5.92</v>
      </c>
      <c r="Q660" s="5" t="n">
        <v>0</v>
      </c>
      <c r="R660" s="5" t="n">
        <v>1</v>
      </c>
      <c r="S660" s="5" t="n">
        <v>2.442</v>
      </c>
      <c r="T660" s="5" t="n">
        <v>1.531</v>
      </c>
      <c r="U660" s="5" t="n">
        <v>0.008</v>
      </c>
      <c r="V660" s="5" t="n">
        <v>2.94</v>
      </c>
      <c r="W660" s="5" t="n">
        <v>0.2</v>
      </c>
      <c r="X660" s="5" t="n">
        <v>1</v>
      </c>
      <c r="Y660" s="5" t="n">
        <v>2.905</v>
      </c>
      <c r="Z660" s="5" t="n">
        <v>0</v>
      </c>
      <c r="AA660" s="5" t="n">
        <v>-0.485</v>
      </c>
      <c r="AB660" s="5" t="n">
        <v>2.42</v>
      </c>
      <c r="AC660" s="5" t="n">
        <v>0</v>
      </c>
      <c r="AD660" s="5" t="n">
        <v>1</v>
      </c>
      <c r="AE660" s="5" t="n">
        <v>2.905</v>
      </c>
      <c r="AF660" s="5" t="n">
        <v>0</v>
      </c>
      <c r="AG660" s="5" t="n">
        <v>-0.485</v>
      </c>
      <c r="AH660" s="5" t="n">
        <v>2.42</v>
      </c>
      <c r="AI660" s="5" t="n">
        <v>0</v>
      </c>
      <c r="AJ660" s="5" t="n">
        <v>1</v>
      </c>
      <c r="AK660" s="5" t="n">
        <v>6.805</v>
      </c>
      <c r="AL660" s="5" t="n">
        <v>2.959</v>
      </c>
      <c r="AM660" s="5" t="n">
        <v>-5.188</v>
      </c>
      <c r="AN660" s="5" t="n">
        <v>1.94</v>
      </c>
      <c r="AO660" s="5" t="n">
        <v>0</v>
      </c>
      <c r="AP660" s="5" t="n">
        <v>0</v>
      </c>
      <c r="AQ660" s="5" t="n">
        <v>0.626</v>
      </c>
      <c r="AR660" s="5" t="n">
        <v>0.106</v>
      </c>
      <c r="AS660" s="5" t="n">
        <v>-0.16</v>
      </c>
      <c r="AT660" s="5" t="n">
        <v>0.5600000000000001</v>
      </c>
      <c r="AU660" s="5" t="n">
        <v>0.2</v>
      </c>
      <c r="AV660" s="5" t="n">
        <v>1</v>
      </c>
      <c r="AW660" s="5" t="n">
        <v>0.746</v>
      </c>
      <c r="AX660" s="5" t="n">
        <v>0.128</v>
      </c>
      <c r="AY660" s="5" t="n">
        <v>-0.13</v>
      </c>
      <c r="AZ660" s="5" t="n">
        <v>0.74</v>
      </c>
      <c r="BA660" s="5" t="n">
        <v>0.2</v>
      </c>
      <c r="BB660" s="5" t="n">
        <v>1</v>
      </c>
      <c r="BC660" s="5" t="n">
        <v>0.454</v>
      </c>
      <c r="BD660" s="5" t="n">
        <v>0.129</v>
      </c>
      <c r="BE660" s="5" t="n">
        <v>-0.247</v>
      </c>
      <c r="BF660" s="5" t="n">
        <v>0.248</v>
      </c>
      <c r="BG660" s="5" t="n">
        <v>0</v>
      </c>
      <c r="BH660" s="5" t="n">
        <v>0</v>
      </c>
      <c r="BI660" s="5" t="n">
        <v>0.873</v>
      </c>
      <c r="BJ660" s="5" t="n">
        <v>0.19</v>
      </c>
      <c r="BK660" s="5" t="n">
        <v>-0.19</v>
      </c>
      <c r="BL660" s="5" t="n">
        <v>0.82</v>
      </c>
      <c r="BM660" s="5" t="n">
        <v>0.2</v>
      </c>
      <c r="BN660" s="5" t="n">
        <v>1</v>
      </c>
      <c r="BO660" s="5" t="n">
        <v>0</v>
      </c>
      <c r="BP660" s="5" t="n">
        <v>-0.035</v>
      </c>
      <c r="BQ660" s="5" t="n">
        <v>0.03</v>
      </c>
      <c r="BR660" s="5" t="n">
        <v>0</v>
      </c>
      <c r="BS660" s="5" t="n">
        <v>1</v>
      </c>
      <c r="BT660" s="5" t="n">
        <v>0</v>
      </c>
      <c r="BU660" s="5" t="n">
        <v>-0.035</v>
      </c>
      <c r="BV660" s="5" t="n">
        <v>0.045</v>
      </c>
      <c r="BW660" s="5" t="n">
        <v>0</v>
      </c>
      <c r="BX660" s="5" t="n">
        <v>1</v>
      </c>
      <c r="BY660" s="5" t="n">
        <v>1.609</v>
      </c>
      <c r="BZ660" s="5" t="n">
        <v>0</v>
      </c>
      <c r="CA660" s="5" t="n">
        <v>1.609</v>
      </c>
      <c r="CB660" s="5" t="n">
        <v>0</v>
      </c>
      <c r="CC660" s="5" t="n">
        <v>68.188</v>
      </c>
      <c r="CD660" s="5" t="n">
        <v>7.95</v>
      </c>
      <c r="CE660" s="5" t="n">
        <v>-24.463</v>
      </c>
      <c r="CF660" s="5" t="n">
        <v>52.47</v>
      </c>
      <c r="CG660" s="5" t="n">
        <v>0</v>
      </c>
      <c r="CH660" s="5" t="n">
        <v>1</v>
      </c>
      <c r="CI660" s="5" t="n">
        <v>0</v>
      </c>
      <c r="CJ660" s="5" t="n">
        <v>0</v>
      </c>
      <c r="CK660" s="5" t="n">
        <v>0</v>
      </c>
      <c r="CL660" s="5" t="n">
        <v>0.048</v>
      </c>
      <c r="CM660" s="5" t="n">
        <v>0</v>
      </c>
      <c r="CN660" s="5" t="n">
        <v>1.467</v>
      </c>
      <c r="CO660" s="5" t="n">
        <v>11.195</v>
      </c>
      <c r="CP660" s="5" t="n">
        <v>0</v>
      </c>
      <c r="CQ660" s="5" t="n">
        <v>1.278</v>
      </c>
      <c r="CR660" s="5" t="n">
        <v>0.989</v>
      </c>
      <c r="CS660" s="5" t="n">
        <v>2.905</v>
      </c>
      <c r="CT660" s="5" t="n">
        <v>2.138</v>
      </c>
      <c r="CU660" s="5" t="n">
        <v>2.905</v>
      </c>
    </row>
    <row r="661">
      <c r="A661" s="5" t="inlineStr">
        <is>
          <t>RUS2024</t>
        </is>
      </c>
      <c r="B661" s="5" t="inlineStr">
        <is>
          <t>RUS</t>
        </is>
      </c>
      <c r="C661" s="5" t="inlineStr">
        <is>
          <t>RUS</t>
        </is>
      </c>
      <c r="D661" s="5" t="inlineStr">
        <is>
          <t>Russia</t>
        </is>
      </c>
      <c r="E661" s="5" t="n">
        <v>2024</v>
      </c>
      <c r="F661" s="5" t="n">
        <v>0.2</v>
      </c>
      <c r="G661" s="5" t="n">
        <v>1.376</v>
      </c>
      <c r="H661" s="5" t="n">
        <v>0.349</v>
      </c>
      <c r="I661" s="5" t="n">
        <v>0.004</v>
      </c>
      <c r="J661" s="5" t="n">
        <v>1.38</v>
      </c>
      <c r="K661" s="5" t="n">
        <v>0</v>
      </c>
      <c r="L661" s="5" t="n">
        <v>1</v>
      </c>
      <c r="M661" s="5" t="n">
        <v>4.347</v>
      </c>
      <c r="N661" s="5" t="n">
        <v>2.368</v>
      </c>
      <c r="O661" s="5" t="n">
        <v>0.013</v>
      </c>
      <c r="P661" s="5" t="n">
        <v>4.36</v>
      </c>
      <c r="Q661" s="5" t="n">
        <v>0</v>
      </c>
      <c r="R661" s="5" t="n">
        <v>1</v>
      </c>
      <c r="S661" s="5" t="n">
        <v>2.593</v>
      </c>
      <c r="T661" s="5" t="n">
        <v>1.717</v>
      </c>
      <c r="U661" s="5" t="n">
        <v>0.007</v>
      </c>
      <c r="V661" s="5" t="n">
        <v>3.12</v>
      </c>
      <c r="W661" s="5" t="n">
        <v>0.2</v>
      </c>
      <c r="X661" s="5" t="n">
        <v>1</v>
      </c>
      <c r="Y661" s="5" t="n">
        <v>2.456</v>
      </c>
      <c r="Z661" s="5" t="n">
        <v>0</v>
      </c>
      <c r="AA661" s="5" t="n">
        <v>-0.106</v>
      </c>
      <c r="AB661" s="5" t="n">
        <v>2.35</v>
      </c>
      <c r="AC661" s="5" t="n">
        <v>0</v>
      </c>
      <c r="AD661" s="5" t="n">
        <v>1</v>
      </c>
      <c r="AE661" s="5" t="n">
        <v>2.456</v>
      </c>
      <c r="AF661" s="5" t="n">
        <v>0</v>
      </c>
      <c r="AG661" s="5" t="n">
        <v>-0.106</v>
      </c>
      <c r="AH661" s="5" t="n">
        <v>2.35</v>
      </c>
      <c r="AI661" s="5" t="n">
        <v>0</v>
      </c>
      <c r="AJ661" s="5" t="n">
        <v>1</v>
      </c>
      <c r="AK661" s="5" t="n">
        <v>6.471</v>
      </c>
      <c r="AL661" s="5" t="n">
        <v>2.814</v>
      </c>
      <c r="AM661" s="5" t="n">
        <v>-4.879</v>
      </c>
      <c r="AN661" s="5" t="n">
        <v>1.91</v>
      </c>
      <c r="AO661" s="5" t="n">
        <v>0</v>
      </c>
      <c r="AP661" s="5" t="n">
        <v>0</v>
      </c>
      <c r="AQ661" s="5" t="n">
        <v>0.55</v>
      </c>
      <c r="AR661" s="5" t="n">
        <v>0.1</v>
      </c>
      <c r="AS661" s="5" t="n">
        <v>-0.1</v>
      </c>
      <c r="AT661" s="5" t="n">
        <v>0.54</v>
      </c>
      <c r="AU661" s="5" t="n">
        <v>0.2</v>
      </c>
      <c r="AV661" s="5" t="n">
        <v>1</v>
      </c>
      <c r="AW661" s="5" t="n">
        <v>0.655</v>
      </c>
      <c r="AX661" s="5" t="n">
        <v>0.12</v>
      </c>
      <c r="AY661" s="5" t="n">
        <v>-0.08</v>
      </c>
      <c r="AZ661" s="5" t="n">
        <v>0.6899999999999999</v>
      </c>
      <c r="BA661" s="5" t="n">
        <v>0.2</v>
      </c>
      <c r="BB661" s="5" t="n">
        <v>1</v>
      </c>
      <c r="BC661" s="5" t="n">
        <v>0.437</v>
      </c>
      <c r="BD661" s="5" t="n">
        <v>0.132</v>
      </c>
      <c r="BE661" s="5" t="n">
        <v>-0.256</v>
      </c>
      <c r="BF661" s="5" t="n">
        <v>0.217</v>
      </c>
      <c r="BG661" s="5" t="n">
        <v>0</v>
      </c>
      <c r="BH661" s="5" t="n">
        <v>0</v>
      </c>
      <c r="BI661" s="5" t="n">
        <v>0.781</v>
      </c>
      <c r="BJ661" s="5" t="n">
        <v>0.172</v>
      </c>
      <c r="BK661" s="5" t="n">
        <v>-0.14</v>
      </c>
      <c r="BL661" s="5" t="n">
        <v>0.77</v>
      </c>
      <c r="BM661" s="5" t="n">
        <v>0.2</v>
      </c>
      <c r="BN661" s="5" t="n">
        <v>1</v>
      </c>
      <c r="BO661" s="5" t="n">
        <v>0</v>
      </c>
      <c r="BP661" s="5" t="n">
        <v>-0.036</v>
      </c>
      <c r="BQ661" s="5" t="n">
        <v>0.03</v>
      </c>
      <c r="BR661" s="5" t="n">
        <v>0</v>
      </c>
      <c r="BS661" s="5" t="n">
        <v>1</v>
      </c>
      <c r="BT661" s="5" t="n">
        <v>0</v>
      </c>
      <c r="BU661" s="5" t="n">
        <v>-0.036</v>
      </c>
      <c r="BV661" s="5" t="n">
        <v>0.043</v>
      </c>
      <c r="BW661" s="5" t="n">
        <v>0</v>
      </c>
      <c r="BX661" s="5" t="n">
        <v>1</v>
      </c>
      <c r="BY661" s="5" t="n">
        <v>1.657</v>
      </c>
      <c r="BZ661" s="5" t="n">
        <v>0</v>
      </c>
      <c r="CA661" s="5" t="n">
        <v>1.657</v>
      </c>
      <c r="CB661" s="5" t="n">
        <v>0</v>
      </c>
      <c r="CC661" s="5" t="n">
        <v>67.66</v>
      </c>
      <c r="CD661" s="5" t="n">
        <v>7.95</v>
      </c>
      <c r="CE661" s="5" t="n">
        <v>-14.66</v>
      </c>
      <c r="CF661" s="5" t="n">
        <v>63.6</v>
      </c>
      <c r="CG661" s="5" t="n">
        <v>0</v>
      </c>
      <c r="CH661" s="5" t="n">
        <v>1</v>
      </c>
      <c r="CI661" s="5" t="n">
        <v>0</v>
      </c>
      <c r="CJ661" s="5" t="n">
        <v>0</v>
      </c>
      <c r="CK661" s="5" t="n">
        <v>0</v>
      </c>
      <c r="CL661" s="5" t="n">
        <v>0.05</v>
      </c>
      <c r="CM661" s="5" t="n">
        <v>0</v>
      </c>
      <c r="CN661" s="5" t="n">
        <v>1.606</v>
      </c>
      <c r="CO661" s="5" t="n">
        <v>11.462</v>
      </c>
      <c r="CP661" s="5" t="n">
        <v>0</v>
      </c>
      <c r="CQ661" s="5" t="n">
        <v>1.316</v>
      </c>
      <c r="CR661" s="5" t="n">
        <v>0.989</v>
      </c>
      <c r="CS661" s="5" t="n">
        <v>2.456</v>
      </c>
      <c r="CT661" s="5" t="n">
        <v>1.895</v>
      </c>
      <c r="CU661" s="5" t="n">
        <v>2.456</v>
      </c>
    </row>
    <row r="662">
      <c r="A662" s="5" t="inlineStr">
        <is>
          <t>RWA2021</t>
        </is>
      </c>
      <c r="B662" s="5" t="inlineStr">
        <is>
          <t>RWA</t>
        </is>
      </c>
      <c r="C662" s="5" t="inlineStr">
        <is>
          <t>RWA</t>
        </is>
      </c>
      <c r="D662" s="5" t="inlineStr">
        <is>
          <t>Rwanda</t>
        </is>
      </c>
      <c r="E662" s="5" t="n">
        <v>2021</v>
      </c>
      <c r="F662" s="5" t="n">
        <v>0.18</v>
      </c>
      <c r="G662" s="5" t="n">
        <v>2.321</v>
      </c>
      <c r="H662" s="5" t="n">
        <v>0.508</v>
      </c>
      <c r="I662" s="5" t="n">
        <v>0</v>
      </c>
      <c r="J662" s="5" t="n">
        <v>2.321</v>
      </c>
      <c r="K662" s="5" t="n">
        <v>0</v>
      </c>
      <c r="L662" s="5" t="n">
        <v>1</v>
      </c>
      <c r="M662" s="5" t="n">
        <v>1.906</v>
      </c>
      <c r="N662" s="5" t="n">
        <v>0.864</v>
      </c>
      <c r="O662" s="5" t="n">
        <v>0</v>
      </c>
      <c r="P662" s="5" t="n">
        <v>1.906</v>
      </c>
      <c r="Q662" s="5" t="n">
        <v>0</v>
      </c>
      <c r="R662" s="5" t="n">
        <v>1</v>
      </c>
      <c r="S662" s="5" t="n">
        <v>1.733</v>
      </c>
      <c r="T662" s="5" t="n">
        <v>1.074</v>
      </c>
      <c r="U662" s="5" t="n">
        <v>0</v>
      </c>
      <c r="V662" s="5" t="n">
        <v>2.045</v>
      </c>
      <c r="W662" s="5" t="n">
        <v>0.18</v>
      </c>
      <c r="X662" s="5" t="n">
        <v>1</v>
      </c>
      <c r="Y662" s="5" t="n">
        <v>16.287</v>
      </c>
      <c r="Z662" s="5" t="n">
        <v>2.201</v>
      </c>
      <c r="AA662" s="5" t="n">
        <v>-8.888999999999999</v>
      </c>
      <c r="AB662" s="5" t="n">
        <v>7.397</v>
      </c>
      <c r="AC662" s="5" t="n">
        <v>0</v>
      </c>
      <c r="AD662" s="5" t="n">
        <v>0</v>
      </c>
      <c r="AE662" s="5" t="n">
        <v>17.43</v>
      </c>
      <c r="AF662" s="5" t="n">
        <v>4.076</v>
      </c>
      <c r="AG662" s="5" t="n">
        <v>-10.032</v>
      </c>
      <c r="AH662" s="5" t="n">
        <v>7.397</v>
      </c>
      <c r="AI662" s="5" t="n">
        <v>0</v>
      </c>
      <c r="AJ662" s="5" t="n">
        <v>0</v>
      </c>
      <c r="AK662" s="5" t="n">
        <v>24.29</v>
      </c>
      <c r="AL662" s="5" t="n">
        <v>12.937</v>
      </c>
      <c r="AM662" s="5" t="n">
        <v>-15.545</v>
      </c>
      <c r="AN662" s="5" t="n">
        <v>8.744999999999999</v>
      </c>
      <c r="AO662" s="5" t="n">
        <v>0</v>
      </c>
      <c r="AP662" s="5" t="n">
        <v>0</v>
      </c>
      <c r="AQ662" s="5" t="n">
        <v>0.619</v>
      </c>
      <c r="AR662" s="5" t="n">
        <v>0.114</v>
      </c>
      <c r="AS662" s="5" t="n">
        <v>0.266</v>
      </c>
      <c r="AT662" s="5" t="n">
        <v>1.044</v>
      </c>
      <c r="AU662" s="5" t="n">
        <v>0.18</v>
      </c>
      <c r="AV662" s="5" t="n">
        <v>1</v>
      </c>
      <c r="AW662" s="5" t="n">
        <v>0.599</v>
      </c>
      <c r="AX662" s="5" t="n">
        <v>0.114</v>
      </c>
      <c r="AY662" s="5" t="n">
        <v>0.298</v>
      </c>
      <c r="AZ662" s="5" t="n">
        <v>1.058</v>
      </c>
      <c r="BA662" s="5" t="n">
        <v>0.18</v>
      </c>
      <c r="BB662" s="5" t="n">
        <v>1</v>
      </c>
      <c r="BC662" s="5" t="n">
        <v>0.439</v>
      </c>
      <c r="BD662" s="5" t="n">
        <v>0.114</v>
      </c>
      <c r="BE662" s="5" t="n">
        <v>0.102</v>
      </c>
      <c r="BF662" s="5" t="n">
        <v>0.638</v>
      </c>
      <c r="BG662" s="5" t="n">
        <v>0.18</v>
      </c>
      <c r="BH662" s="5" t="n">
        <v>1</v>
      </c>
      <c r="BI662" s="5" t="n">
        <v>0.505</v>
      </c>
      <c r="BJ662" s="5" t="n">
        <v>0.114</v>
      </c>
      <c r="BK662" s="5" t="n">
        <v>0.06</v>
      </c>
      <c r="BL662" s="5" t="n">
        <v>0.666</v>
      </c>
      <c r="BM662" s="5" t="n">
        <v>0.18</v>
      </c>
      <c r="BN662" s="5" t="n">
        <v>1</v>
      </c>
      <c r="BO662" s="5" t="n">
        <v>0</v>
      </c>
      <c r="BP662" s="5" t="n">
        <v>0</v>
      </c>
      <c r="BQ662" s="5" t="n">
        <v>0.094</v>
      </c>
      <c r="BR662" s="5" t="n">
        <v>0</v>
      </c>
      <c r="BS662" s="5" t="n">
        <v>0.667</v>
      </c>
      <c r="BT662" s="5" t="n">
        <v>0</v>
      </c>
      <c r="BU662" s="5" t="n">
        <v>0</v>
      </c>
      <c r="BV662" s="5" t="n">
        <v>0.249</v>
      </c>
      <c r="BW662" s="5" t="n">
        <v>0.18</v>
      </c>
      <c r="BX662" s="5" t="n">
        <v>0.5</v>
      </c>
      <c r="BY662" s="5" t="n">
        <v>13.912</v>
      </c>
      <c r="BZ662" s="5" t="n">
        <v>0</v>
      </c>
      <c r="CA662" s="5" t="n">
        <v>13.912</v>
      </c>
      <c r="CB662" s="5" t="n">
        <v>0</v>
      </c>
      <c r="CC662" s="5" t="n">
        <v>78.125</v>
      </c>
      <c r="CD662" s="5" t="n">
        <v>7.95</v>
      </c>
      <c r="CE662" s="5" t="n">
        <v>18.221</v>
      </c>
      <c r="CF662" s="5" t="n">
        <v>113.689</v>
      </c>
      <c r="CG662" s="5" t="n">
        <v>0.18</v>
      </c>
      <c r="CH662" s="5" t="n">
        <v>1</v>
      </c>
      <c r="CI662" s="5" t="n">
        <v>0</v>
      </c>
      <c r="CJ662" s="5" t="n">
        <v>0</v>
      </c>
      <c r="CK662" s="5" t="n">
        <v>0</v>
      </c>
      <c r="CL662" s="5" t="n">
        <v>0</v>
      </c>
      <c r="CM662" s="5" t="n">
        <v>0</v>
      </c>
      <c r="CN662" s="5" t="n">
        <v>0</v>
      </c>
      <c r="CO662" s="5" t="n">
        <v>0</v>
      </c>
      <c r="CP662" s="5" t="n">
        <v>0</v>
      </c>
      <c r="CQ662" s="5" t="n">
        <v>1.198</v>
      </c>
      <c r="CR662" s="5" t="n">
        <v>0</v>
      </c>
      <c r="CS662" s="5" t="n">
        <v>4.776</v>
      </c>
      <c r="CT662" s="5" t="n">
        <v>4.753</v>
      </c>
      <c r="CU662" s="5" t="n">
        <v>15.162</v>
      </c>
    </row>
    <row r="663">
      <c r="A663" s="5" t="inlineStr">
        <is>
          <t>RWA2022</t>
        </is>
      </c>
      <c r="B663" s="5" t="inlineStr">
        <is>
          <t>RWA</t>
        </is>
      </c>
      <c r="C663" s="5" t="inlineStr">
        <is>
          <t>RWA</t>
        </is>
      </c>
      <c r="D663" s="5" t="inlineStr">
        <is>
          <t>Rwanda</t>
        </is>
      </c>
      <c r="E663" s="5" t="n">
        <v>2022</v>
      </c>
      <c r="F663" s="5" t="n">
        <v>0.18</v>
      </c>
      <c r="G663" s="5" t="n">
        <v>4.196</v>
      </c>
      <c r="H663" s="5" t="n">
        <v>0.652</v>
      </c>
      <c r="I663" s="5" t="n">
        <v>0</v>
      </c>
      <c r="J663" s="5" t="n">
        <v>4.196</v>
      </c>
      <c r="K663" s="5" t="n">
        <v>0</v>
      </c>
      <c r="L663" s="5" t="n">
        <v>1</v>
      </c>
      <c r="M663" s="5" t="n">
        <v>2.049</v>
      </c>
      <c r="N663" s="5" t="n">
        <v>0.846</v>
      </c>
      <c r="O663" s="5" t="n">
        <v>0</v>
      </c>
      <c r="P663" s="5" t="n">
        <v>2.049</v>
      </c>
      <c r="Q663" s="5" t="n">
        <v>0</v>
      </c>
      <c r="R663" s="5" t="n">
        <v>1</v>
      </c>
      <c r="S663" s="5" t="n">
        <v>2.168</v>
      </c>
      <c r="T663" s="5" t="n">
        <v>1.062</v>
      </c>
      <c r="U663" s="5" t="n">
        <v>0.029</v>
      </c>
      <c r="V663" s="5" t="n">
        <v>2.558</v>
      </c>
      <c r="W663" s="5" t="n">
        <v>0.18</v>
      </c>
      <c r="X663" s="5" t="n">
        <v>1</v>
      </c>
      <c r="Y663" s="5" t="n">
        <v>32.517</v>
      </c>
      <c r="Z663" s="5" t="n">
        <v>4.395</v>
      </c>
      <c r="AA663" s="5" t="n">
        <v>-19.662</v>
      </c>
      <c r="AB663" s="5" t="n">
        <v>12.855</v>
      </c>
      <c r="AC663" s="5" t="n">
        <v>0</v>
      </c>
      <c r="AD663" s="5" t="n">
        <v>0</v>
      </c>
      <c r="AE663" s="5" t="n">
        <v>33.751</v>
      </c>
      <c r="AF663" s="5" t="n">
        <v>7.892</v>
      </c>
      <c r="AG663" s="5" t="n">
        <v>-20.896</v>
      </c>
      <c r="AH663" s="5" t="n">
        <v>12.855</v>
      </c>
      <c r="AI663" s="5" t="n">
        <v>0</v>
      </c>
      <c r="AJ663" s="5" t="n">
        <v>0</v>
      </c>
      <c r="AK663" s="5" t="n">
        <v>41.16</v>
      </c>
      <c r="AL663" s="5" t="n">
        <v>21.921</v>
      </c>
      <c r="AM663" s="5" t="n">
        <v>-25.953</v>
      </c>
      <c r="AN663" s="5" t="n">
        <v>15.207</v>
      </c>
      <c r="AO663" s="5" t="n">
        <v>0</v>
      </c>
      <c r="AP663" s="5" t="n">
        <v>0</v>
      </c>
      <c r="AQ663" s="5" t="n">
        <v>0.861</v>
      </c>
      <c r="AR663" s="5" t="n">
        <v>0.123</v>
      </c>
      <c r="AS663" s="5" t="n">
        <v>0.252</v>
      </c>
      <c r="AT663" s="5" t="n">
        <v>1.313</v>
      </c>
      <c r="AU663" s="5" t="n">
        <v>0.18</v>
      </c>
      <c r="AV663" s="5" t="n">
        <v>1</v>
      </c>
      <c r="AW663" s="5" t="n">
        <v>0.986</v>
      </c>
      <c r="AX663" s="5" t="n">
        <v>0.123</v>
      </c>
      <c r="AY663" s="5" t="n">
        <v>0.156</v>
      </c>
      <c r="AZ663" s="5" t="n">
        <v>1.347</v>
      </c>
      <c r="BA663" s="5" t="n">
        <v>0.18</v>
      </c>
      <c r="BB663" s="5" t="n">
        <v>1</v>
      </c>
      <c r="BC663" s="5" t="n">
        <v>0.598</v>
      </c>
      <c r="BD663" s="5" t="n">
        <v>0.123</v>
      </c>
      <c r="BE663" s="5" t="n">
        <v>0.1</v>
      </c>
      <c r="BF663" s="5" t="n">
        <v>0.8129999999999999</v>
      </c>
      <c r="BG663" s="5" t="n">
        <v>0.18</v>
      </c>
      <c r="BH663" s="5" t="n">
        <v>1</v>
      </c>
      <c r="BI663" s="5" t="n">
        <v>0.612</v>
      </c>
      <c r="BJ663" s="5" t="n">
        <v>0.123</v>
      </c>
      <c r="BK663" s="5" t="n">
        <v>0.063</v>
      </c>
      <c r="BL663" s="5" t="n">
        <v>0.787</v>
      </c>
      <c r="BM663" s="5" t="n">
        <v>0.18</v>
      </c>
      <c r="BN663" s="5" t="n">
        <v>1</v>
      </c>
      <c r="BO663" s="5" t="n">
        <v>0</v>
      </c>
      <c r="BP663" s="5" t="n">
        <v>0</v>
      </c>
      <c r="BQ663" s="5" t="n">
        <v>0.103</v>
      </c>
      <c r="BR663" s="5" t="n">
        <v>0</v>
      </c>
      <c r="BS663" s="5" t="n">
        <v>0.667</v>
      </c>
      <c r="BT663" s="5" t="n">
        <v>0</v>
      </c>
      <c r="BU663" s="5" t="n">
        <v>0</v>
      </c>
      <c r="BV663" s="5" t="n">
        <v>0.241</v>
      </c>
      <c r="BW663" s="5" t="n">
        <v>0.18</v>
      </c>
      <c r="BX663" s="5" t="n">
        <v>0.5</v>
      </c>
      <c r="BY663" s="5" t="n">
        <v>15.024</v>
      </c>
      <c r="BZ663" s="5" t="n">
        <v>0</v>
      </c>
      <c r="CA663" s="5" t="n">
        <v>15.024</v>
      </c>
      <c r="CB663" s="5" t="n">
        <v>0</v>
      </c>
      <c r="CC663" s="5" t="n">
        <v>97.90000000000001</v>
      </c>
      <c r="CD663" s="5" t="n">
        <v>7.95</v>
      </c>
      <c r="CE663" s="5" t="n">
        <v>40.098</v>
      </c>
      <c r="CF663" s="5" t="n">
        <v>160.697</v>
      </c>
      <c r="CG663" s="5" t="n">
        <v>0.18</v>
      </c>
      <c r="CH663" s="5" t="n">
        <v>1</v>
      </c>
      <c r="CI663" s="5" t="n">
        <v>0</v>
      </c>
      <c r="CJ663" s="5" t="n">
        <v>0</v>
      </c>
      <c r="CK663" s="5" t="n">
        <v>0</v>
      </c>
      <c r="CL663" s="5" t="n">
        <v>0</v>
      </c>
      <c r="CM663" s="5" t="n">
        <v>0</v>
      </c>
      <c r="CN663" s="5" t="n">
        <v>0</v>
      </c>
      <c r="CO663" s="5" t="n">
        <v>0</v>
      </c>
      <c r="CP663" s="5" t="n">
        <v>0</v>
      </c>
      <c r="CQ663" s="5" t="n">
        <v>1.294</v>
      </c>
      <c r="CR663" s="5" t="n">
        <v>0</v>
      </c>
      <c r="CS663" s="5" t="n">
        <v>5.158</v>
      </c>
      <c r="CT663" s="5" t="n">
        <v>10.485</v>
      </c>
      <c r="CU663" s="5" t="n">
        <v>31.326</v>
      </c>
    </row>
    <row r="664">
      <c r="A664" s="5" t="inlineStr">
        <is>
          <t>RWA2023</t>
        </is>
      </c>
      <c r="B664" s="5" t="inlineStr">
        <is>
          <t>RWA</t>
        </is>
      </c>
      <c r="C664" s="5" t="inlineStr">
        <is>
          <t>RWA</t>
        </is>
      </c>
      <c r="D664" s="5" t="inlineStr">
        <is>
          <t>Rwanda</t>
        </is>
      </c>
      <c r="E664" s="5" t="n">
        <v>2023</v>
      </c>
      <c r="F664" s="5" t="n">
        <v>0.18</v>
      </c>
      <c r="G664" s="5" t="n">
        <v>4.84</v>
      </c>
      <c r="H664" s="5" t="n">
        <v>1.102</v>
      </c>
      <c r="I664" s="5" t="n">
        <v>0</v>
      </c>
      <c r="J664" s="5" t="n">
        <v>4.84</v>
      </c>
      <c r="K664" s="5" t="n">
        <v>0</v>
      </c>
      <c r="L664" s="5" t="n">
        <v>1</v>
      </c>
      <c r="M664" s="5" t="n">
        <v>2.898</v>
      </c>
      <c r="N664" s="5" t="n">
        <v>1.437</v>
      </c>
      <c r="O664" s="5" t="n">
        <v>0</v>
      </c>
      <c r="P664" s="5" t="n">
        <v>2.898</v>
      </c>
      <c r="Q664" s="5" t="n">
        <v>0</v>
      </c>
      <c r="R664" s="5" t="n">
        <v>1</v>
      </c>
      <c r="S664" s="5" t="n">
        <v>2.804</v>
      </c>
      <c r="T664" s="5" t="n">
        <v>1.759</v>
      </c>
      <c r="U664" s="5" t="n">
        <v>0.056</v>
      </c>
      <c r="V664" s="5" t="n">
        <v>3.309</v>
      </c>
      <c r="W664" s="5" t="n">
        <v>0.18</v>
      </c>
      <c r="X664" s="5" t="n">
        <v>1</v>
      </c>
      <c r="Y664" s="5" t="n">
        <v>12.895</v>
      </c>
      <c r="Z664" s="5" t="n">
        <v>1.743</v>
      </c>
      <c r="AA664" s="5" t="n">
        <v>-6.343</v>
      </c>
      <c r="AB664" s="5" t="n">
        <v>6.552</v>
      </c>
      <c r="AC664" s="5" t="n">
        <v>0</v>
      </c>
      <c r="AD664" s="5" t="n">
        <v>0</v>
      </c>
      <c r="AE664" s="5" t="n">
        <v>14.181</v>
      </c>
      <c r="AF664" s="5" t="n">
        <v>3.316</v>
      </c>
      <c r="AG664" s="5" t="n">
        <v>-7.629</v>
      </c>
      <c r="AH664" s="5" t="n">
        <v>6.552</v>
      </c>
      <c r="AI664" s="5" t="n">
        <v>0</v>
      </c>
      <c r="AJ664" s="5" t="n">
        <v>0</v>
      </c>
      <c r="AK664" s="5" t="n">
        <v>21.895</v>
      </c>
      <c r="AL664" s="5" t="n">
        <v>11.661</v>
      </c>
      <c r="AM664" s="5" t="n">
        <v>-14.154</v>
      </c>
      <c r="AN664" s="5" t="n">
        <v>7.741</v>
      </c>
      <c r="AO664" s="5" t="n">
        <v>0</v>
      </c>
      <c r="AP664" s="5" t="n">
        <v>0</v>
      </c>
      <c r="AQ664" s="5" t="n">
        <v>0.76</v>
      </c>
      <c r="AR664" s="5" t="n">
        <v>0.129</v>
      </c>
      <c r="AS664" s="5" t="n">
        <v>0.376</v>
      </c>
      <c r="AT664" s="5" t="n">
        <v>1.341</v>
      </c>
      <c r="AU664" s="5" t="n">
        <v>0.18</v>
      </c>
      <c r="AV664" s="5" t="n">
        <v>1</v>
      </c>
      <c r="AW664" s="5" t="n">
        <v>0.8110000000000001</v>
      </c>
      <c r="AX664" s="5" t="n">
        <v>0.129</v>
      </c>
      <c r="AY664" s="5" t="n">
        <v>0.333</v>
      </c>
      <c r="AZ664" s="5" t="n">
        <v>1.35</v>
      </c>
      <c r="BA664" s="5" t="n">
        <v>0.18</v>
      </c>
      <c r="BB664" s="5" t="n">
        <v>1</v>
      </c>
      <c r="BC664" s="5" t="n">
        <v>0.535</v>
      </c>
      <c r="BD664" s="5" t="n">
        <v>0.129</v>
      </c>
      <c r="BE664" s="5" t="n">
        <v>0.121</v>
      </c>
      <c r="BF664" s="5" t="n">
        <v>0.759</v>
      </c>
      <c r="BG664" s="5" t="n">
        <v>0.18</v>
      </c>
      <c r="BH664" s="5" t="n">
        <v>1</v>
      </c>
      <c r="BI664" s="5" t="n">
        <v>0.579</v>
      </c>
      <c r="BJ664" s="5" t="n">
        <v>0.129</v>
      </c>
      <c r="BK664" s="5" t="n">
        <v>0.078</v>
      </c>
      <c r="BL664" s="5" t="n">
        <v>0.761</v>
      </c>
      <c r="BM664" s="5" t="n">
        <v>0.18</v>
      </c>
      <c r="BN664" s="5" t="n">
        <v>1</v>
      </c>
      <c r="BO664" s="5" t="n">
        <v>0</v>
      </c>
      <c r="BP664" s="5" t="n">
        <v>0</v>
      </c>
      <c r="BQ664" s="5" t="n">
        <v>0.095</v>
      </c>
      <c r="BR664" s="5" t="n">
        <v>0</v>
      </c>
      <c r="BS664" s="5" t="n">
        <v>0.667</v>
      </c>
      <c r="BT664" s="5" t="n">
        <v>0</v>
      </c>
      <c r="BU664" s="5" t="n">
        <v>0</v>
      </c>
      <c r="BV664" s="5" t="n">
        <v>0.215</v>
      </c>
      <c r="BW664" s="5" t="n">
        <v>0.18</v>
      </c>
      <c r="BX664" s="5" t="n">
        <v>0.5</v>
      </c>
      <c r="BY664" s="5" t="n">
        <v>15.644</v>
      </c>
      <c r="BZ664" s="5" t="n">
        <v>0</v>
      </c>
      <c r="CA664" s="5" t="n">
        <v>15.644</v>
      </c>
      <c r="CB664" s="5" t="n">
        <v>0</v>
      </c>
      <c r="CC664" s="5" t="n">
        <v>83.248</v>
      </c>
      <c r="CD664" s="5" t="n">
        <v>7.95</v>
      </c>
      <c r="CE664" s="5" t="n">
        <v>41.036</v>
      </c>
      <c r="CF664" s="5" t="n">
        <v>143.79</v>
      </c>
      <c r="CG664" s="5" t="n">
        <v>0.18</v>
      </c>
      <c r="CH664" s="5" t="n">
        <v>1</v>
      </c>
      <c r="CI664" s="5" t="n">
        <v>0</v>
      </c>
      <c r="CJ664" s="5" t="n">
        <v>0</v>
      </c>
      <c r="CK664" s="5" t="n">
        <v>0</v>
      </c>
      <c r="CL664" s="5" t="n">
        <v>0</v>
      </c>
      <c r="CM664" s="5" t="n">
        <v>0</v>
      </c>
      <c r="CN664" s="5" t="n">
        <v>0</v>
      </c>
      <c r="CO664" s="5" t="n">
        <v>0</v>
      </c>
      <c r="CP664" s="5" t="n">
        <v>0</v>
      </c>
      <c r="CQ664" s="5" t="n">
        <v>1.348</v>
      </c>
      <c r="CR664" s="5" t="n">
        <v>0</v>
      </c>
      <c r="CS664" s="5" t="n">
        <v>5.37</v>
      </c>
      <c r="CT664" s="5" t="n">
        <v>4.861</v>
      </c>
      <c r="CU664" s="5" t="n">
        <v>11.622</v>
      </c>
    </row>
    <row r="665">
      <c r="A665" s="5" t="inlineStr">
        <is>
          <t>RWA2024</t>
        </is>
      </c>
      <c r="B665" s="5" t="inlineStr">
        <is>
          <t>RWA</t>
        </is>
      </c>
      <c r="C665" s="5" t="inlineStr">
        <is>
          <t>RWA</t>
        </is>
      </c>
      <c r="D665" s="5" t="inlineStr">
        <is>
          <t>Rwanda</t>
        </is>
      </c>
      <c r="E665" s="5" t="n">
        <v>2024</v>
      </c>
      <c r="F665" s="5" t="n">
        <v>0.18</v>
      </c>
      <c r="G665" s="5" t="n">
        <v>4.268</v>
      </c>
      <c r="H665" s="5" t="n">
        <v>1.081</v>
      </c>
      <c r="I665" s="5" t="n">
        <v>0</v>
      </c>
      <c r="J665" s="5" t="n">
        <v>4.268</v>
      </c>
      <c r="K665" s="5" t="n">
        <v>0</v>
      </c>
      <c r="L665" s="5" t="n">
        <v>1</v>
      </c>
      <c r="M665" s="5" t="n">
        <v>2.618</v>
      </c>
      <c r="N665" s="5" t="n">
        <v>1.426</v>
      </c>
      <c r="O665" s="5" t="n">
        <v>0</v>
      </c>
      <c r="P665" s="5" t="n">
        <v>2.618</v>
      </c>
      <c r="Q665" s="5" t="n">
        <v>0</v>
      </c>
      <c r="R665" s="5" t="n">
        <v>1</v>
      </c>
      <c r="S665" s="5" t="n">
        <v>2.719</v>
      </c>
      <c r="T665" s="5" t="n">
        <v>1.8</v>
      </c>
      <c r="U665" s="5" t="n">
        <v>0.067</v>
      </c>
      <c r="V665" s="5" t="n">
        <v>3.208</v>
      </c>
      <c r="W665" s="5" t="n">
        <v>0.18</v>
      </c>
      <c r="X665" s="5" t="n">
        <v>1</v>
      </c>
      <c r="Y665" s="5" t="n">
        <v>11.482</v>
      </c>
      <c r="Z665" s="5" t="n">
        <v>1.552</v>
      </c>
      <c r="AA665" s="5" t="n">
        <v>-5.321</v>
      </c>
      <c r="AB665" s="5" t="n">
        <v>6.161</v>
      </c>
      <c r="AC665" s="5" t="n">
        <v>0</v>
      </c>
      <c r="AD665" s="5" t="n">
        <v>0</v>
      </c>
      <c r="AE665" s="5" t="n">
        <v>12.805</v>
      </c>
      <c r="AF665" s="5" t="n">
        <v>2.994</v>
      </c>
      <c r="AG665" s="5" t="n">
        <v>-6.645</v>
      </c>
      <c r="AH665" s="5" t="n">
        <v>6.161</v>
      </c>
      <c r="AI665" s="5" t="n">
        <v>0</v>
      </c>
      <c r="AJ665" s="5" t="n">
        <v>0</v>
      </c>
      <c r="AK665" s="5" t="n">
        <v>20.747</v>
      </c>
      <c r="AL665" s="5" t="n">
        <v>11.05</v>
      </c>
      <c r="AM665" s="5" t="n">
        <v>-13.47</v>
      </c>
      <c r="AN665" s="5" t="n">
        <v>7.277</v>
      </c>
      <c r="AO665" s="5" t="n">
        <v>0</v>
      </c>
      <c r="AP665" s="5" t="n">
        <v>0</v>
      </c>
      <c r="AQ665" s="5" t="n">
        <v>0.724</v>
      </c>
      <c r="AR665" s="5" t="n">
        <v>0.132</v>
      </c>
      <c r="AS665" s="5" t="n">
        <v>0.292</v>
      </c>
      <c r="AT665" s="5" t="n">
        <v>1.199</v>
      </c>
      <c r="AU665" s="5" t="n">
        <v>0.18</v>
      </c>
      <c r="AV665" s="5" t="n">
        <v>1</v>
      </c>
      <c r="AW665" s="5" t="n">
        <v>0.75</v>
      </c>
      <c r="AX665" s="5" t="n">
        <v>0.132</v>
      </c>
      <c r="AY665" s="5" t="n">
        <v>0.307</v>
      </c>
      <c r="AZ665" s="5" t="n">
        <v>1.248</v>
      </c>
      <c r="BA665" s="5" t="n">
        <v>0.18</v>
      </c>
      <c r="BB665" s="5" t="n">
        <v>1</v>
      </c>
      <c r="BC665" s="5" t="n">
        <v>0.513</v>
      </c>
      <c r="BD665" s="5" t="n">
        <v>0.132</v>
      </c>
      <c r="BE665" s="5" t="n">
        <v>0.133</v>
      </c>
      <c r="BF665" s="5" t="n">
        <v>0.744</v>
      </c>
      <c r="BG665" s="5" t="n">
        <v>0.18</v>
      </c>
      <c r="BH665" s="5" t="n">
        <v>1</v>
      </c>
      <c r="BI665" s="5" t="n">
        <v>0.591</v>
      </c>
      <c r="BJ665" s="5" t="n">
        <v>0.132</v>
      </c>
      <c r="BK665" s="5" t="n">
        <v>0.08400000000000001</v>
      </c>
      <c r="BL665" s="5" t="n">
        <v>0.778</v>
      </c>
      <c r="BM665" s="5" t="n">
        <v>0.18</v>
      </c>
      <c r="BN665" s="5" t="n">
        <v>1</v>
      </c>
      <c r="BO665" s="5" t="n">
        <v>0</v>
      </c>
      <c r="BP665" s="5" t="n">
        <v>0</v>
      </c>
      <c r="BQ665" s="5" t="n">
        <v>0.054</v>
      </c>
      <c r="BR665" s="5" t="n">
        <v>0</v>
      </c>
      <c r="BS665" s="5" t="n">
        <v>0.667</v>
      </c>
      <c r="BT665" s="5" t="n">
        <v>0</v>
      </c>
      <c r="BU665" s="5" t="n">
        <v>0</v>
      </c>
      <c r="BV665" s="5" t="n">
        <v>0.165</v>
      </c>
      <c r="BW665" s="5" t="n">
        <v>0.18</v>
      </c>
      <c r="BX665" s="5" t="n">
        <v>0.5</v>
      </c>
      <c r="BY665" s="5" t="n">
        <v>16.106</v>
      </c>
      <c r="BZ665" s="5" t="n">
        <v>0</v>
      </c>
      <c r="CA665" s="5" t="n">
        <v>16.106</v>
      </c>
      <c r="CB665" s="5" t="n">
        <v>0</v>
      </c>
      <c r="CC665" s="5" t="n">
        <v>82.58799999999999</v>
      </c>
      <c r="CD665" s="5" t="n">
        <v>7.95</v>
      </c>
      <c r="CE665" s="5" t="n">
        <v>42.545</v>
      </c>
      <c r="CF665" s="5" t="n">
        <v>144.123</v>
      </c>
      <c r="CG665" s="5" t="n">
        <v>0.18</v>
      </c>
      <c r="CH665" s="5" t="n">
        <v>1</v>
      </c>
      <c r="CI665" s="5" t="n">
        <v>0</v>
      </c>
      <c r="CJ665" s="5" t="n">
        <v>0</v>
      </c>
      <c r="CK665" s="5" t="n">
        <v>0</v>
      </c>
      <c r="CL665" s="5" t="n">
        <v>0</v>
      </c>
      <c r="CM665" s="5" t="n">
        <v>0</v>
      </c>
      <c r="CN665" s="5" t="n">
        <v>0</v>
      </c>
      <c r="CO665" s="5" t="n">
        <v>0</v>
      </c>
      <c r="CP665" s="5" t="n">
        <v>0</v>
      </c>
      <c r="CQ665" s="5" t="n">
        <v>1.387</v>
      </c>
      <c r="CR665" s="5" t="n">
        <v>0</v>
      </c>
      <c r="CS665" s="5" t="n">
        <v>5.529</v>
      </c>
      <c r="CT665" s="5" t="n">
        <v>4.251</v>
      </c>
      <c r="CU665" s="5" t="n">
        <v>10.168</v>
      </c>
    </row>
    <row r="666">
      <c r="A666" s="5" t="inlineStr">
        <is>
          <t>WSM2021</t>
        </is>
      </c>
      <c r="B666" s="5" t="inlineStr">
        <is>
          <t>WSM</t>
        </is>
      </c>
      <c r="C666" s="5" t="inlineStr">
        <is>
          <t>WSM</t>
        </is>
      </c>
      <c r="D666" s="5" t="inlineStr">
        <is>
          <t>Samoa</t>
        </is>
      </c>
      <c r="E666" s="5" t="n">
        <v>2021</v>
      </c>
      <c r="F666" s="5" t="n">
        <v>0.15</v>
      </c>
      <c r="G666" s="5" t="n">
        <v>4.747</v>
      </c>
      <c r="H666" s="5" t="n">
        <v>1.143</v>
      </c>
      <c r="I666" s="5" t="n">
        <v>0</v>
      </c>
      <c r="J666" s="5" t="n">
        <v>4.747</v>
      </c>
      <c r="K666" s="5" t="n">
        <v>0</v>
      </c>
      <c r="L666" s="5" t="n">
        <v>1</v>
      </c>
      <c r="M666" s="5" t="n">
        <v>7.964</v>
      </c>
      <c r="N666" s="5" t="n">
        <v>3.43</v>
      </c>
      <c r="O666" s="5" t="n">
        <v>0</v>
      </c>
      <c r="P666" s="5" t="n">
        <v>7.964</v>
      </c>
      <c r="Q666" s="5" t="n">
        <v>0</v>
      </c>
      <c r="R666" s="5" t="n">
        <v>1</v>
      </c>
      <c r="S666" s="5" t="n">
        <v>10.464</v>
      </c>
      <c r="T666" s="5" t="n">
        <v>6.86</v>
      </c>
      <c r="U666" s="5" t="n">
        <v>0</v>
      </c>
      <c r="V666" s="5" t="n">
        <v>12.034</v>
      </c>
      <c r="W666" s="5" t="n">
        <v>0.15</v>
      </c>
      <c r="X666" s="5" t="n">
        <v>1</v>
      </c>
      <c r="Y666" s="5" t="n">
        <v>9.503</v>
      </c>
      <c r="Z666" s="5" t="n">
        <v>1.173</v>
      </c>
      <c r="AA666" s="5" t="n">
        <v>0</v>
      </c>
      <c r="AB666" s="5" t="n">
        <v>9.503</v>
      </c>
      <c r="AC666" s="5" t="n">
        <v>0</v>
      </c>
      <c r="AD666" s="5" t="n">
        <v>1</v>
      </c>
      <c r="AE666" s="5" t="n">
        <v>10.647</v>
      </c>
      <c r="AF666" s="5" t="n">
        <v>2.321</v>
      </c>
      <c r="AG666" s="5" t="n">
        <v>0</v>
      </c>
      <c r="AH666" s="5" t="n">
        <v>10.647</v>
      </c>
      <c r="AI666" s="5" t="n">
        <v>0</v>
      </c>
      <c r="AJ666" s="5" t="n">
        <v>1</v>
      </c>
      <c r="AK666" s="5" t="n">
        <v>17.507</v>
      </c>
      <c r="AL666" s="5" t="n">
        <v>9.084</v>
      </c>
      <c r="AM666" s="5" t="n">
        <v>0</v>
      </c>
      <c r="AN666" s="5" t="n">
        <v>20.132</v>
      </c>
      <c r="AO666" s="5" t="n">
        <v>0.15</v>
      </c>
      <c r="AP666" s="5" t="n">
        <v>1</v>
      </c>
      <c r="AQ666" s="5" t="n">
        <v>0.621</v>
      </c>
      <c r="AR666" s="5" t="n">
        <v>0.114</v>
      </c>
      <c r="AS666" s="5" t="n">
        <v>0</v>
      </c>
      <c r="AT666" s="5" t="n">
        <v>0.714</v>
      </c>
      <c r="AU666" s="5" t="n">
        <v>0.15</v>
      </c>
      <c r="AV666" s="5" t="n">
        <v>1</v>
      </c>
      <c r="AW666" s="5" t="n">
        <v>0.593</v>
      </c>
      <c r="AX666" s="5" t="n">
        <v>0.114</v>
      </c>
      <c r="AY666" s="5" t="n">
        <v>0</v>
      </c>
      <c r="AZ666" s="5" t="n">
        <v>0.6820000000000001</v>
      </c>
      <c r="BA666" s="5" t="n">
        <v>0.15</v>
      </c>
      <c r="BB666" s="5" t="n">
        <v>1</v>
      </c>
      <c r="BC666" s="5" t="n">
        <v>0.44</v>
      </c>
      <c r="BD666" s="5" t="n">
        <v>0.114</v>
      </c>
      <c r="BE666" s="5" t="n">
        <v>0</v>
      </c>
      <c r="BF666" s="5" t="n">
        <v>0.506</v>
      </c>
      <c r="BG666" s="5" t="n">
        <v>0.15</v>
      </c>
      <c r="BH666" s="5" t="n">
        <v>1</v>
      </c>
      <c r="BI666" s="5" t="n">
        <v>0.5600000000000001</v>
      </c>
      <c r="BJ666" s="5" t="n">
        <v>0.114</v>
      </c>
      <c r="BK666" s="5" t="n">
        <v>0</v>
      </c>
      <c r="BL666" s="5" t="n">
        <v>0.644</v>
      </c>
      <c r="BM666" s="5" t="n">
        <v>0.15</v>
      </c>
      <c r="BN666" s="5" t="n">
        <v>1</v>
      </c>
      <c r="BO666" s="5" t="n">
        <v>0</v>
      </c>
      <c r="BP666" s="5" t="n">
        <v>0</v>
      </c>
      <c r="BQ666" s="5" t="n">
        <v>0</v>
      </c>
      <c r="BR666" s="5" t="n">
        <v>0</v>
      </c>
      <c r="BS666" s="5" t="n">
        <v>1</v>
      </c>
      <c r="BT666" s="5" t="n">
        <v>0</v>
      </c>
      <c r="BU666" s="5" t="n">
        <v>0</v>
      </c>
      <c r="BV666" s="5" t="n">
        <v>0</v>
      </c>
      <c r="BW666" s="5" t="n">
        <v>0.15</v>
      </c>
      <c r="BX666" s="5" t="n">
        <v>1</v>
      </c>
      <c r="BY666" s="5" t="n">
        <v>11.787</v>
      </c>
      <c r="BZ666" s="5" t="n">
        <v>0</v>
      </c>
      <c r="CA666" s="5" t="n">
        <v>11.787</v>
      </c>
      <c r="CB666" s="5" t="n">
        <v>0</v>
      </c>
      <c r="CC666" s="5" t="n">
        <v>81.69499999999999</v>
      </c>
      <c r="CD666" s="5" t="n">
        <v>7.95</v>
      </c>
      <c r="CE666" s="5" t="n">
        <v>0</v>
      </c>
      <c r="CF666" s="5" t="n">
        <v>93.95</v>
      </c>
      <c r="CG666" s="5" t="n">
        <v>0.15</v>
      </c>
      <c r="CH666" s="5" t="n">
        <v>1</v>
      </c>
      <c r="CI666" s="5" t="n">
        <v>0</v>
      </c>
      <c r="CJ666" s="5" t="n">
        <v>0</v>
      </c>
      <c r="CK666" s="5" t="n">
        <v>0</v>
      </c>
      <c r="CL666" s="5" t="n">
        <v>0</v>
      </c>
      <c r="CM666" s="5" t="n">
        <v>0</v>
      </c>
      <c r="CN666" s="5" t="n">
        <v>0</v>
      </c>
      <c r="CO666" s="5" t="n">
        <v>0</v>
      </c>
      <c r="CP666" s="5" t="n">
        <v>0</v>
      </c>
      <c r="CQ666" s="5" t="n">
        <v>1.198</v>
      </c>
      <c r="CR666" s="5" t="n">
        <v>0</v>
      </c>
      <c r="CS666" s="5" t="n">
        <v>4.776</v>
      </c>
      <c r="CT666" s="5" t="n">
        <v>3.604</v>
      </c>
      <c r="CU666" s="5" t="n">
        <v>9.407999999999999</v>
      </c>
    </row>
    <row r="667">
      <c r="A667" s="5" t="inlineStr">
        <is>
          <t>WSM2022</t>
        </is>
      </c>
      <c r="B667" s="5" t="inlineStr">
        <is>
          <t>WSM</t>
        </is>
      </c>
      <c r="C667" s="5" t="inlineStr">
        <is>
          <t>WSM</t>
        </is>
      </c>
      <c r="D667" s="5" t="inlineStr">
        <is>
          <t>Samoa</t>
        </is>
      </c>
      <c r="E667" s="5" t="n">
        <v>2022</v>
      </c>
      <c r="F667" s="5" t="n">
        <v>0.15</v>
      </c>
      <c r="G667" s="5" t="n">
        <v>8.788</v>
      </c>
      <c r="H667" s="5" t="n">
        <v>1.235</v>
      </c>
      <c r="I667" s="5" t="n">
        <v>0</v>
      </c>
      <c r="J667" s="5" t="n">
        <v>8.788</v>
      </c>
      <c r="K667" s="5" t="n">
        <v>0</v>
      </c>
      <c r="L667" s="5" t="n">
        <v>1</v>
      </c>
      <c r="M667" s="5" t="n">
        <v>9.782999999999999</v>
      </c>
      <c r="N667" s="5" t="n">
        <v>3.704</v>
      </c>
      <c r="O667" s="5" t="n">
        <v>0</v>
      </c>
      <c r="P667" s="5" t="n">
        <v>9.782999999999999</v>
      </c>
      <c r="Q667" s="5" t="n">
        <v>0</v>
      </c>
      <c r="R667" s="5" t="n">
        <v>1</v>
      </c>
      <c r="S667" s="5" t="n">
        <v>14.962</v>
      </c>
      <c r="T667" s="5" t="n">
        <v>7.408</v>
      </c>
      <c r="U667" s="5" t="n">
        <v>0.166</v>
      </c>
      <c r="V667" s="5" t="n">
        <v>17.206</v>
      </c>
      <c r="W667" s="5" t="n">
        <v>0.15</v>
      </c>
      <c r="X667" s="5" t="n">
        <v>1</v>
      </c>
      <c r="Y667" s="5" t="n">
        <v>15.491</v>
      </c>
      <c r="Z667" s="5" t="n">
        <v>1.911</v>
      </c>
      <c r="AA667" s="5" t="n">
        <v>0</v>
      </c>
      <c r="AB667" s="5" t="n">
        <v>15.491</v>
      </c>
      <c r="AC667" s="5" t="n">
        <v>0</v>
      </c>
      <c r="AD667" s="5" t="n">
        <v>1</v>
      </c>
      <c r="AE667" s="5" t="n">
        <v>16.726</v>
      </c>
      <c r="AF667" s="5" t="n">
        <v>3.646</v>
      </c>
      <c r="AG667" s="5" t="n">
        <v>0</v>
      </c>
      <c r="AH667" s="5" t="n">
        <v>16.726</v>
      </c>
      <c r="AI667" s="5" t="n">
        <v>0</v>
      </c>
      <c r="AJ667" s="5" t="n">
        <v>1</v>
      </c>
      <c r="AK667" s="5" t="n">
        <v>24.134</v>
      </c>
      <c r="AL667" s="5" t="n">
        <v>12.523</v>
      </c>
      <c r="AM667" s="5" t="n">
        <v>0.268</v>
      </c>
      <c r="AN667" s="5" t="n">
        <v>27.754</v>
      </c>
      <c r="AO667" s="5" t="n">
        <v>0.15</v>
      </c>
      <c r="AP667" s="5" t="n">
        <v>1</v>
      </c>
      <c r="AQ667" s="5" t="n">
        <v>0.847</v>
      </c>
      <c r="AR667" s="5" t="n">
        <v>0.123</v>
      </c>
      <c r="AS667" s="5" t="n">
        <v>0.008999999999999999</v>
      </c>
      <c r="AT667" s="5" t="n">
        <v>0.974</v>
      </c>
      <c r="AU667" s="5" t="n">
        <v>0.15</v>
      </c>
      <c r="AV667" s="5" t="n">
        <v>1</v>
      </c>
      <c r="AW667" s="5" t="n">
        <v>0.947</v>
      </c>
      <c r="AX667" s="5" t="n">
        <v>0.123</v>
      </c>
      <c r="AY667" s="5" t="n">
        <v>0.011</v>
      </c>
      <c r="AZ667" s="5" t="n">
        <v>1.089</v>
      </c>
      <c r="BA667" s="5" t="n">
        <v>0.15</v>
      </c>
      <c r="BB667" s="5" t="n">
        <v>1</v>
      </c>
      <c r="BC667" s="5" t="n">
        <v>0.589</v>
      </c>
      <c r="BD667" s="5" t="n">
        <v>0.123</v>
      </c>
      <c r="BE667" s="5" t="n">
        <v>0.007</v>
      </c>
      <c r="BF667" s="5" t="n">
        <v>0.677</v>
      </c>
      <c r="BG667" s="5" t="n">
        <v>0.15</v>
      </c>
      <c r="BH667" s="5" t="n">
        <v>1</v>
      </c>
      <c r="BI667" s="5" t="n">
        <v>0.6889999999999999</v>
      </c>
      <c r="BJ667" s="5" t="n">
        <v>0.123</v>
      </c>
      <c r="BK667" s="5" t="n">
        <v>0.008</v>
      </c>
      <c r="BL667" s="5" t="n">
        <v>0.792</v>
      </c>
      <c r="BM667" s="5" t="n">
        <v>0.15</v>
      </c>
      <c r="BN667" s="5" t="n">
        <v>1</v>
      </c>
      <c r="BO667" s="5" t="n">
        <v>0</v>
      </c>
      <c r="BP667" s="5" t="n">
        <v>0</v>
      </c>
      <c r="BQ667" s="5" t="n">
        <v>0</v>
      </c>
      <c r="BR667" s="5" t="n">
        <v>0</v>
      </c>
      <c r="BS667" s="5" t="n">
        <v>1</v>
      </c>
      <c r="BT667" s="5" t="n">
        <v>0</v>
      </c>
      <c r="BU667" s="5" t="n">
        <v>0</v>
      </c>
      <c r="BV667" s="5" t="n">
        <v>0</v>
      </c>
      <c r="BW667" s="5" t="n">
        <v>0.15</v>
      </c>
      <c r="BX667" s="5" t="n">
        <v>1</v>
      </c>
      <c r="BY667" s="5" t="n">
        <v>12.729</v>
      </c>
      <c r="BZ667" s="5" t="n">
        <v>0</v>
      </c>
      <c r="CA667" s="5" t="n">
        <v>12.729</v>
      </c>
      <c r="CB667" s="5" t="n">
        <v>0</v>
      </c>
      <c r="CC667" s="5" t="n">
        <v>102.477</v>
      </c>
      <c r="CD667" s="5" t="n">
        <v>7.95</v>
      </c>
      <c r="CE667" s="5" t="n">
        <v>1.138</v>
      </c>
      <c r="CF667" s="5" t="n">
        <v>117.848</v>
      </c>
      <c r="CG667" s="5" t="n">
        <v>0.15</v>
      </c>
      <c r="CH667" s="5" t="n">
        <v>1</v>
      </c>
      <c r="CI667" s="5" t="n">
        <v>0</v>
      </c>
      <c r="CJ667" s="5" t="n">
        <v>0</v>
      </c>
      <c r="CK667" s="5" t="n">
        <v>0</v>
      </c>
      <c r="CL667" s="5" t="n">
        <v>0</v>
      </c>
      <c r="CM667" s="5" t="n">
        <v>0</v>
      </c>
      <c r="CN667" s="5" t="n">
        <v>0</v>
      </c>
      <c r="CO667" s="5" t="n">
        <v>0</v>
      </c>
      <c r="CP667" s="5" t="n">
        <v>0</v>
      </c>
      <c r="CQ667" s="5" t="n">
        <v>1.294</v>
      </c>
      <c r="CR667" s="5" t="n">
        <v>0</v>
      </c>
      <c r="CS667" s="5" t="n">
        <v>5.158</v>
      </c>
      <c r="CT667" s="5" t="n">
        <v>7.554</v>
      </c>
      <c r="CU667" s="5" t="n">
        <v>16.097</v>
      </c>
    </row>
    <row r="668">
      <c r="A668" s="5" t="inlineStr">
        <is>
          <t>WSM2023</t>
        </is>
      </c>
      <c r="B668" s="5" t="inlineStr">
        <is>
          <t>WSM</t>
        </is>
      </c>
      <c r="C668" s="5" t="inlineStr">
        <is>
          <t>WSM</t>
        </is>
      </c>
      <c r="D668" s="5" t="inlineStr">
        <is>
          <t>Samoa</t>
        </is>
      </c>
      <c r="E668" s="5" t="n">
        <v>2023</v>
      </c>
      <c r="F668" s="5" t="n">
        <v>0.15</v>
      </c>
      <c r="G668" s="5" t="n">
        <v>5.77</v>
      </c>
      <c r="H668" s="5" t="n">
        <v>1.286</v>
      </c>
      <c r="I668" s="5" t="n">
        <v>0</v>
      </c>
      <c r="J668" s="5" t="n">
        <v>5.77</v>
      </c>
      <c r="K668" s="5" t="n">
        <v>0</v>
      </c>
      <c r="L668" s="5" t="n">
        <v>1</v>
      </c>
      <c r="M668" s="5" t="n">
        <v>7.886</v>
      </c>
      <c r="N668" s="5" t="n">
        <v>3.857</v>
      </c>
      <c r="O668" s="5" t="n">
        <v>0</v>
      </c>
      <c r="P668" s="5" t="n">
        <v>7.886</v>
      </c>
      <c r="Q668" s="5" t="n">
        <v>0</v>
      </c>
      <c r="R668" s="5" t="n">
        <v>1</v>
      </c>
      <c r="S668" s="5" t="n">
        <v>12.198</v>
      </c>
      <c r="T668" s="5" t="n">
        <v>7.714</v>
      </c>
      <c r="U668" s="5" t="n">
        <v>0.203</v>
      </c>
      <c r="V668" s="5" t="n">
        <v>14.028</v>
      </c>
      <c r="W668" s="5" t="n">
        <v>0.15</v>
      </c>
      <c r="X668" s="5" t="n">
        <v>1</v>
      </c>
      <c r="Y668" s="5" t="n">
        <v>12.479</v>
      </c>
      <c r="Z668" s="5" t="n">
        <v>1.54</v>
      </c>
      <c r="AA668" s="5" t="n">
        <v>0</v>
      </c>
      <c r="AB668" s="5" t="n">
        <v>12.479</v>
      </c>
      <c r="AC668" s="5" t="n">
        <v>0</v>
      </c>
      <c r="AD668" s="5" t="n">
        <v>1</v>
      </c>
      <c r="AE668" s="5" t="n">
        <v>13.764</v>
      </c>
      <c r="AF668" s="5" t="n">
        <v>3.001</v>
      </c>
      <c r="AG668" s="5" t="n">
        <v>0</v>
      </c>
      <c r="AH668" s="5" t="n">
        <v>13.764</v>
      </c>
      <c r="AI668" s="5" t="n">
        <v>0</v>
      </c>
      <c r="AJ668" s="5" t="n">
        <v>1</v>
      </c>
      <c r="AK668" s="5" t="n">
        <v>21.478</v>
      </c>
      <c r="AL668" s="5" t="n">
        <v>11.145</v>
      </c>
      <c r="AM668" s="5" t="n">
        <v>0.357</v>
      </c>
      <c r="AN668" s="5" t="n">
        <v>24.7</v>
      </c>
      <c r="AO668" s="5" t="n">
        <v>0.15</v>
      </c>
      <c r="AP668" s="5" t="n">
        <v>1</v>
      </c>
      <c r="AQ668" s="5" t="n">
        <v>0.749</v>
      </c>
      <c r="AR668" s="5" t="n">
        <v>0.129</v>
      </c>
      <c r="AS668" s="5" t="n">
        <v>0.012</v>
      </c>
      <c r="AT668" s="5" t="n">
        <v>0.861</v>
      </c>
      <c r="AU668" s="5" t="n">
        <v>0.15</v>
      </c>
      <c r="AV668" s="5" t="n">
        <v>1</v>
      </c>
      <c r="AW668" s="5" t="n">
        <v>0.783</v>
      </c>
      <c r="AX668" s="5" t="n">
        <v>0.129</v>
      </c>
      <c r="AY668" s="5" t="n">
        <v>0.013</v>
      </c>
      <c r="AZ668" s="5" t="n">
        <v>0.9</v>
      </c>
      <c r="BA668" s="5" t="n">
        <v>0.15</v>
      </c>
      <c r="BB668" s="5" t="n">
        <v>1</v>
      </c>
      <c r="BC668" s="5" t="n">
        <v>0.527</v>
      </c>
      <c r="BD668" s="5" t="n">
        <v>0.129</v>
      </c>
      <c r="BE668" s="5" t="n">
        <v>0.008999999999999999</v>
      </c>
      <c r="BF668" s="5" t="n">
        <v>0.607</v>
      </c>
      <c r="BG668" s="5" t="n">
        <v>0.15</v>
      </c>
      <c r="BH668" s="5" t="n">
        <v>1</v>
      </c>
      <c r="BI668" s="5" t="n">
        <v>0.64</v>
      </c>
      <c r="BJ668" s="5" t="n">
        <v>0.129</v>
      </c>
      <c r="BK668" s="5" t="n">
        <v>0.011</v>
      </c>
      <c r="BL668" s="5" t="n">
        <v>0.736</v>
      </c>
      <c r="BM668" s="5" t="n">
        <v>0.15</v>
      </c>
      <c r="BN668" s="5" t="n">
        <v>1</v>
      </c>
      <c r="BO668" s="5" t="n">
        <v>0</v>
      </c>
      <c r="BP668" s="5" t="n">
        <v>0</v>
      </c>
      <c r="BQ668" s="5" t="n">
        <v>0</v>
      </c>
      <c r="BR668" s="5" t="n">
        <v>0</v>
      </c>
      <c r="BS668" s="5" t="n">
        <v>1</v>
      </c>
      <c r="BT668" s="5" t="n">
        <v>0</v>
      </c>
      <c r="BU668" s="5" t="n">
        <v>0</v>
      </c>
      <c r="BV668" s="5" t="n">
        <v>0</v>
      </c>
      <c r="BW668" s="5" t="n">
        <v>0.15</v>
      </c>
      <c r="BX668" s="5" t="n">
        <v>1</v>
      </c>
      <c r="BY668" s="5" t="n">
        <v>13.254</v>
      </c>
      <c r="BZ668" s="5" t="n">
        <v>0</v>
      </c>
      <c r="CA668" s="5" t="n">
        <v>13.254</v>
      </c>
      <c r="CB668" s="5" t="n">
        <v>0</v>
      </c>
      <c r="CC668" s="5" t="n">
        <v>87.07899999999999</v>
      </c>
      <c r="CD668" s="5" t="n">
        <v>7.95</v>
      </c>
      <c r="CE668" s="5" t="n">
        <v>1.446</v>
      </c>
      <c r="CF668" s="5" t="n">
        <v>100.141</v>
      </c>
      <c r="CG668" s="5" t="n">
        <v>0.15</v>
      </c>
      <c r="CH668" s="5" t="n">
        <v>1</v>
      </c>
      <c r="CI668" s="5" t="n">
        <v>0</v>
      </c>
      <c r="CJ668" s="5" t="n">
        <v>0</v>
      </c>
      <c r="CK668" s="5" t="n">
        <v>0</v>
      </c>
      <c r="CL668" s="5" t="n">
        <v>0</v>
      </c>
      <c r="CM668" s="5" t="n">
        <v>0</v>
      </c>
      <c r="CN668" s="5" t="n">
        <v>0</v>
      </c>
      <c r="CO668" s="5" t="n">
        <v>0</v>
      </c>
      <c r="CP668" s="5" t="n">
        <v>0</v>
      </c>
      <c r="CQ668" s="5" t="n">
        <v>1.348</v>
      </c>
      <c r="CR668" s="5" t="n">
        <v>0</v>
      </c>
      <c r="CS668" s="5" t="n">
        <v>5.37</v>
      </c>
      <c r="CT668" s="5" t="n">
        <v>4.484</v>
      </c>
      <c r="CU668" s="5" t="n">
        <v>12.529</v>
      </c>
    </row>
    <row r="669">
      <c r="A669" s="5" t="inlineStr">
        <is>
          <t>WSM2024</t>
        </is>
      </c>
      <c r="B669" s="5" t="inlineStr">
        <is>
          <t>WSM</t>
        </is>
      </c>
      <c r="C669" s="5" t="inlineStr">
        <is>
          <t>WSM</t>
        </is>
      </c>
      <c r="D669" s="5" t="inlineStr">
        <is>
          <t>Samoa</t>
        </is>
      </c>
      <c r="E669" s="5" t="n">
        <v>2024</v>
      </c>
      <c r="F669" s="5" t="n">
        <v>0.15</v>
      </c>
      <c r="G669" s="5" t="n">
        <v>4.833</v>
      </c>
      <c r="H669" s="5" t="n">
        <v>1.324</v>
      </c>
      <c r="I669" s="5" t="n">
        <v>0</v>
      </c>
      <c r="J669" s="5" t="n">
        <v>4.833</v>
      </c>
      <c r="K669" s="5" t="n">
        <v>0</v>
      </c>
      <c r="L669" s="5" t="n">
        <v>1</v>
      </c>
      <c r="M669" s="5" t="n">
        <v>7.124</v>
      </c>
      <c r="N669" s="5" t="n">
        <v>3.971</v>
      </c>
      <c r="O669" s="5" t="n">
        <v>0</v>
      </c>
      <c r="P669" s="5" t="n">
        <v>7.124</v>
      </c>
      <c r="Q669" s="5" t="n">
        <v>0</v>
      </c>
      <c r="R669" s="5" t="n">
        <v>1</v>
      </c>
      <c r="S669" s="5" t="n">
        <v>11.451</v>
      </c>
      <c r="T669" s="5" t="n">
        <v>7.942</v>
      </c>
      <c r="U669" s="5" t="n">
        <v>0.234</v>
      </c>
      <c r="V669" s="5" t="n">
        <v>13.168</v>
      </c>
      <c r="W669" s="5" t="n">
        <v>0.15</v>
      </c>
      <c r="X669" s="5" t="n">
        <v>1</v>
      </c>
      <c r="Y669" s="5" t="n">
        <v>11.218</v>
      </c>
      <c r="Z669" s="5" t="n">
        <v>1.384</v>
      </c>
      <c r="AA669" s="5" t="n">
        <v>0</v>
      </c>
      <c r="AB669" s="5" t="n">
        <v>11.218</v>
      </c>
      <c r="AC669" s="5" t="n">
        <v>0</v>
      </c>
      <c r="AD669" s="5" t="n">
        <v>1</v>
      </c>
      <c r="AE669" s="5" t="n">
        <v>12.541</v>
      </c>
      <c r="AF669" s="5" t="n">
        <v>2.734</v>
      </c>
      <c r="AG669" s="5" t="n">
        <v>0</v>
      </c>
      <c r="AH669" s="5" t="n">
        <v>12.541</v>
      </c>
      <c r="AI669" s="5" t="n">
        <v>0</v>
      </c>
      <c r="AJ669" s="5" t="n">
        <v>1</v>
      </c>
      <c r="AK669" s="5" t="n">
        <v>20.483</v>
      </c>
      <c r="AL669" s="5" t="n">
        <v>10.628</v>
      </c>
      <c r="AM669" s="5" t="n">
        <v>0.419</v>
      </c>
      <c r="AN669" s="5" t="n">
        <v>23.555</v>
      </c>
      <c r="AO669" s="5" t="n">
        <v>0.15</v>
      </c>
      <c r="AP669" s="5" t="n">
        <v>1</v>
      </c>
      <c r="AQ669" s="5" t="n">
        <v>0.72</v>
      </c>
      <c r="AR669" s="5" t="n">
        <v>0.132</v>
      </c>
      <c r="AS669" s="5" t="n">
        <v>0.015</v>
      </c>
      <c r="AT669" s="5" t="n">
        <v>0.828</v>
      </c>
      <c r="AU669" s="5" t="n">
        <v>0.15</v>
      </c>
      <c r="AV669" s="5" t="n">
        <v>1</v>
      </c>
      <c r="AW669" s="5" t="n">
        <v>0.734</v>
      </c>
      <c r="AX669" s="5" t="n">
        <v>0.132</v>
      </c>
      <c r="AY669" s="5" t="n">
        <v>0.015</v>
      </c>
      <c r="AZ669" s="5" t="n">
        <v>0.844</v>
      </c>
      <c r="BA669" s="5" t="n">
        <v>0.15</v>
      </c>
      <c r="BB669" s="5" t="n">
        <v>1</v>
      </c>
      <c r="BC669" s="5" t="n">
        <v>0.51</v>
      </c>
      <c r="BD669" s="5" t="n">
        <v>0.132</v>
      </c>
      <c r="BE669" s="5" t="n">
        <v>0.01</v>
      </c>
      <c r="BF669" s="5" t="n">
        <v>0.587</v>
      </c>
      <c r="BG669" s="5" t="n">
        <v>0.15</v>
      </c>
      <c r="BH669" s="5" t="n">
        <v>1</v>
      </c>
      <c r="BI669" s="5" t="n">
        <v>0.652</v>
      </c>
      <c r="BJ669" s="5" t="n">
        <v>0.132</v>
      </c>
      <c r="BK669" s="5" t="n">
        <v>0.013</v>
      </c>
      <c r="BL669" s="5" t="n">
        <v>0.75</v>
      </c>
      <c r="BM669" s="5" t="n">
        <v>0.15</v>
      </c>
      <c r="BN669" s="5" t="n">
        <v>1</v>
      </c>
      <c r="BO669" s="5" t="n">
        <v>0</v>
      </c>
      <c r="BP669" s="5" t="n">
        <v>0</v>
      </c>
      <c r="BQ669" s="5" t="n">
        <v>0</v>
      </c>
      <c r="BR669" s="5" t="n">
        <v>0</v>
      </c>
      <c r="BS669" s="5" t="n">
        <v>1</v>
      </c>
      <c r="BT669" s="5" t="n">
        <v>0</v>
      </c>
      <c r="BU669" s="5" t="n">
        <v>0</v>
      </c>
      <c r="BV669" s="5" t="n">
        <v>0</v>
      </c>
      <c r="BW669" s="5" t="n">
        <v>0.15</v>
      </c>
      <c r="BX669" s="5" t="n">
        <v>1</v>
      </c>
      <c r="BY669" s="5" t="n">
        <v>13.646</v>
      </c>
      <c r="BZ669" s="5" t="n">
        <v>0</v>
      </c>
      <c r="CA669" s="5" t="n">
        <v>13.646</v>
      </c>
      <c r="CB669" s="5" t="n">
        <v>0</v>
      </c>
      <c r="CC669" s="5" t="n">
        <v>86.38500000000001</v>
      </c>
      <c r="CD669" s="5" t="n">
        <v>7.95</v>
      </c>
      <c r="CE669" s="5" t="n">
        <v>1.765</v>
      </c>
      <c r="CF669" s="5" t="n">
        <v>99.343</v>
      </c>
      <c r="CG669" s="5" t="n">
        <v>0.15</v>
      </c>
      <c r="CH669" s="5" t="n">
        <v>1</v>
      </c>
      <c r="CI669" s="5" t="n">
        <v>0</v>
      </c>
      <c r="CJ669" s="5" t="n">
        <v>0</v>
      </c>
      <c r="CK669" s="5" t="n">
        <v>0</v>
      </c>
      <c r="CL669" s="5" t="n">
        <v>0</v>
      </c>
      <c r="CM669" s="5" t="n">
        <v>0</v>
      </c>
      <c r="CN669" s="5" t="n">
        <v>0</v>
      </c>
      <c r="CO669" s="5" t="n">
        <v>0</v>
      </c>
      <c r="CP669" s="5" t="n">
        <v>0</v>
      </c>
      <c r="CQ669" s="5" t="n">
        <v>1.387</v>
      </c>
      <c r="CR669" s="5" t="n">
        <v>0</v>
      </c>
      <c r="CS669" s="5" t="n">
        <v>5.529</v>
      </c>
      <c r="CT669" s="5" t="n">
        <v>3.509</v>
      </c>
      <c r="CU669" s="5" t="n">
        <v>10.896</v>
      </c>
    </row>
    <row r="670">
      <c r="A670" s="5" t="inlineStr">
        <is>
          <t>SMR2021</t>
        </is>
      </c>
      <c r="B670" s="5" t="inlineStr">
        <is>
          <t>SMR</t>
        </is>
      </c>
      <c r="C670" s="5" t="inlineStr">
        <is>
          <t>SMR</t>
        </is>
      </c>
      <c r="D670" s="5" t="inlineStr">
        <is>
          <t>San Marino</t>
        </is>
      </c>
      <c r="E670" s="5" t="n">
        <v>2021</v>
      </c>
      <c r="F670" s="5" t="n">
        <v>0</v>
      </c>
      <c r="G670" s="5" t="n">
        <v>5.553</v>
      </c>
      <c r="H670" s="5" t="n">
        <v>1.143</v>
      </c>
      <c r="I670" s="5" t="n">
        <v>0</v>
      </c>
      <c r="J670" s="5" t="n">
        <v>5.553</v>
      </c>
      <c r="K670" s="5" t="n">
        <v>0</v>
      </c>
      <c r="L670" s="5" t="n">
        <v>1</v>
      </c>
      <c r="M670" s="5" t="n">
        <v>7.964</v>
      </c>
      <c r="N670" s="5" t="n">
        <v>3.43</v>
      </c>
      <c r="O670" s="5" t="n">
        <v>0</v>
      </c>
      <c r="P670" s="5" t="n">
        <v>7.964</v>
      </c>
      <c r="Q670" s="5" t="n">
        <v>0</v>
      </c>
      <c r="R670" s="5" t="n">
        <v>1</v>
      </c>
      <c r="S670" s="5" t="n">
        <v>11.27</v>
      </c>
      <c r="T670" s="5" t="n">
        <v>6.86</v>
      </c>
      <c r="U670" s="5" t="n">
        <v>0</v>
      </c>
      <c r="V670" s="5" t="n">
        <v>11.27</v>
      </c>
      <c r="W670" s="5" t="n">
        <v>0</v>
      </c>
      <c r="X670" s="5" t="n">
        <v>1</v>
      </c>
      <c r="Y670" s="5" t="n">
        <v>16.305</v>
      </c>
      <c r="Z670" s="5" t="n">
        <v>2.204</v>
      </c>
      <c r="AA670" s="5" t="n">
        <v>0</v>
      </c>
      <c r="AB670" s="5" t="n">
        <v>16.305</v>
      </c>
      <c r="AC670" s="5" t="n">
        <v>0</v>
      </c>
      <c r="AD670" s="5" t="n">
        <v>1</v>
      </c>
      <c r="AE670" s="5" t="n">
        <v>17.449</v>
      </c>
      <c r="AF670" s="5" t="n">
        <v>4.08</v>
      </c>
      <c r="AG670" s="5" t="n">
        <v>0</v>
      </c>
      <c r="AH670" s="5" t="n">
        <v>17.449</v>
      </c>
      <c r="AI670" s="5" t="n">
        <v>0</v>
      </c>
      <c r="AJ670" s="5" t="n">
        <v>1</v>
      </c>
      <c r="AK670" s="5" t="n">
        <v>24.309</v>
      </c>
      <c r="AL670" s="5" t="n">
        <v>12.947</v>
      </c>
      <c r="AM670" s="5" t="n">
        <v>0</v>
      </c>
      <c r="AN670" s="5" t="n">
        <v>24.309</v>
      </c>
      <c r="AO670" s="5" t="n">
        <v>0</v>
      </c>
      <c r="AP670" s="5" t="n">
        <v>1</v>
      </c>
      <c r="AQ670" s="5" t="n">
        <v>0.619</v>
      </c>
      <c r="AR670" s="5" t="n">
        <v>0.114</v>
      </c>
      <c r="AS670" s="5" t="n">
        <v>0</v>
      </c>
      <c r="AT670" s="5" t="n">
        <v>0.619</v>
      </c>
      <c r="AU670" s="5" t="n">
        <v>0</v>
      </c>
      <c r="AV670" s="5" t="n">
        <v>1</v>
      </c>
      <c r="AW670" s="5" t="n">
        <v>0.599</v>
      </c>
      <c r="AX670" s="5" t="n">
        <v>0.114</v>
      </c>
      <c r="AY670" s="5" t="n">
        <v>0</v>
      </c>
      <c r="AZ670" s="5" t="n">
        <v>0.599</v>
      </c>
      <c r="BA670" s="5" t="n">
        <v>0</v>
      </c>
      <c r="BB670" s="5" t="n">
        <v>1</v>
      </c>
      <c r="BC670" s="5" t="n">
        <v>0.439</v>
      </c>
      <c r="BD670" s="5" t="n">
        <v>0.114</v>
      </c>
      <c r="BE670" s="5" t="n">
        <v>0</v>
      </c>
      <c r="BF670" s="5" t="n">
        <v>0.439</v>
      </c>
      <c r="BG670" s="5" t="n">
        <v>0</v>
      </c>
      <c r="BH670" s="5" t="n">
        <v>1</v>
      </c>
      <c r="BI670" s="5" t="n">
        <v>0.505</v>
      </c>
      <c r="BJ670" s="5" t="n">
        <v>0.114</v>
      </c>
      <c r="BK670" s="5" t="n">
        <v>0</v>
      </c>
      <c r="BL670" s="5" t="n">
        <v>0.505</v>
      </c>
      <c r="BM670" s="5" t="n">
        <v>0</v>
      </c>
      <c r="BN670" s="5" t="n">
        <v>1</v>
      </c>
      <c r="BO670" s="5" t="n">
        <v>0</v>
      </c>
      <c r="BP670" s="5" t="n">
        <v>0</v>
      </c>
      <c r="BQ670" s="5" t="n">
        <v>0</v>
      </c>
      <c r="BR670" s="5" t="n">
        <v>0</v>
      </c>
      <c r="BS670" s="5" t="n">
        <v>1</v>
      </c>
      <c r="BT670" s="5" t="n">
        <v>0</v>
      </c>
      <c r="BU670" s="5" t="n">
        <v>0</v>
      </c>
      <c r="BV670" s="5" t="n">
        <v>0</v>
      </c>
      <c r="BW670" s="5" t="n">
        <v>0</v>
      </c>
      <c r="BX670" s="5" t="n">
        <v>1</v>
      </c>
      <c r="BY670" s="5" t="n">
        <v>11.787</v>
      </c>
      <c r="BZ670" s="5" t="n">
        <v>0</v>
      </c>
      <c r="CA670" s="5" t="n">
        <v>11.787</v>
      </c>
      <c r="CB670" s="5" t="n">
        <v>0</v>
      </c>
      <c r="CC670" s="5" t="n">
        <v>78.125</v>
      </c>
      <c r="CD670" s="5" t="n">
        <v>7.95</v>
      </c>
      <c r="CE670" s="5" t="n">
        <v>0</v>
      </c>
      <c r="CF670" s="5" t="n">
        <v>78.125</v>
      </c>
      <c r="CG670" s="5" t="n">
        <v>0</v>
      </c>
      <c r="CH670" s="5" t="n">
        <v>1</v>
      </c>
      <c r="CI670" s="5" t="n">
        <v>0</v>
      </c>
      <c r="CJ670" s="5" t="n">
        <v>0</v>
      </c>
      <c r="CK670" s="5" t="n">
        <v>0</v>
      </c>
      <c r="CL670" s="5" t="n">
        <v>0</v>
      </c>
      <c r="CM670" s="5" t="n">
        <v>0</v>
      </c>
      <c r="CN670" s="5" t="n">
        <v>0</v>
      </c>
      <c r="CO670" s="5" t="n">
        <v>0</v>
      </c>
      <c r="CP670" s="5" t="n">
        <v>0</v>
      </c>
      <c r="CQ670" s="5" t="n">
        <v>1.198</v>
      </c>
      <c r="CR670" s="5" t="n">
        <v>0</v>
      </c>
      <c r="CS670" s="5" t="n">
        <v>4.776</v>
      </c>
      <c r="CT670" s="5" t="n">
        <v>4.41</v>
      </c>
      <c r="CU670" s="5" t="n">
        <v>15.162</v>
      </c>
    </row>
    <row r="671">
      <c r="A671" s="5" t="inlineStr">
        <is>
          <t>SMR2022</t>
        </is>
      </c>
      <c r="B671" s="5" t="inlineStr">
        <is>
          <t>SMR</t>
        </is>
      </c>
      <c r="C671" s="5" t="inlineStr">
        <is>
          <t>SMR</t>
        </is>
      </c>
      <c r="D671" s="5" t="inlineStr">
        <is>
          <t>San Marino</t>
        </is>
      </c>
      <c r="E671" s="5" t="n">
        <v>2022</v>
      </c>
      <c r="F671" s="5" t="n">
        <v>0</v>
      </c>
      <c r="G671" s="5" t="n">
        <v>7.077</v>
      </c>
      <c r="H671" s="5" t="n">
        <v>1.235</v>
      </c>
      <c r="I671" s="5" t="n">
        <v>0</v>
      </c>
      <c r="J671" s="5" t="n">
        <v>7.077</v>
      </c>
      <c r="K671" s="5" t="n">
        <v>0</v>
      </c>
      <c r="L671" s="5" t="n">
        <v>1</v>
      </c>
      <c r="M671" s="5" t="n">
        <v>9.782999999999999</v>
      </c>
      <c r="N671" s="5" t="n">
        <v>3.704</v>
      </c>
      <c r="O671" s="5" t="n">
        <v>0</v>
      </c>
      <c r="P671" s="5" t="n">
        <v>9.782999999999999</v>
      </c>
      <c r="Q671" s="5" t="n">
        <v>0</v>
      </c>
      <c r="R671" s="5" t="n">
        <v>1</v>
      </c>
      <c r="S671" s="5" t="n">
        <v>13.25</v>
      </c>
      <c r="T671" s="5" t="n">
        <v>7.408</v>
      </c>
      <c r="U671" s="5" t="n">
        <v>0</v>
      </c>
      <c r="V671" s="5" t="n">
        <v>13.25</v>
      </c>
      <c r="W671" s="5" t="n">
        <v>0</v>
      </c>
      <c r="X671" s="5" t="n">
        <v>1</v>
      </c>
      <c r="Y671" s="5" t="n">
        <v>32.56</v>
      </c>
      <c r="Z671" s="5" t="n">
        <v>4.401</v>
      </c>
      <c r="AA671" s="5" t="n">
        <v>0</v>
      </c>
      <c r="AB671" s="5" t="n">
        <v>32.56</v>
      </c>
      <c r="AC671" s="5" t="n">
        <v>0</v>
      </c>
      <c r="AD671" s="5" t="n">
        <v>1</v>
      </c>
      <c r="AE671" s="5" t="n">
        <v>33.795</v>
      </c>
      <c r="AF671" s="5" t="n">
        <v>7.902</v>
      </c>
      <c r="AG671" s="5" t="n">
        <v>0</v>
      </c>
      <c r="AH671" s="5" t="n">
        <v>33.795</v>
      </c>
      <c r="AI671" s="5" t="n">
        <v>0</v>
      </c>
      <c r="AJ671" s="5" t="n">
        <v>1</v>
      </c>
      <c r="AK671" s="5" t="n">
        <v>41.203</v>
      </c>
      <c r="AL671" s="5" t="n">
        <v>21.945</v>
      </c>
      <c r="AM671" s="5" t="n">
        <v>0</v>
      </c>
      <c r="AN671" s="5" t="n">
        <v>41.203</v>
      </c>
      <c r="AO671" s="5" t="n">
        <v>0</v>
      </c>
      <c r="AP671" s="5" t="n">
        <v>1</v>
      </c>
      <c r="AQ671" s="5" t="n">
        <v>0.861</v>
      </c>
      <c r="AR671" s="5" t="n">
        <v>0.123</v>
      </c>
      <c r="AS671" s="5" t="n">
        <v>0</v>
      </c>
      <c r="AT671" s="5" t="n">
        <v>0.861</v>
      </c>
      <c r="AU671" s="5" t="n">
        <v>0</v>
      </c>
      <c r="AV671" s="5" t="n">
        <v>1</v>
      </c>
      <c r="AW671" s="5" t="n">
        <v>0.986</v>
      </c>
      <c r="AX671" s="5" t="n">
        <v>0.123</v>
      </c>
      <c r="AY671" s="5" t="n">
        <v>0</v>
      </c>
      <c r="AZ671" s="5" t="n">
        <v>0.986</v>
      </c>
      <c r="BA671" s="5" t="n">
        <v>0</v>
      </c>
      <c r="BB671" s="5" t="n">
        <v>1</v>
      </c>
      <c r="BC671" s="5" t="n">
        <v>0.598</v>
      </c>
      <c r="BD671" s="5" t="n">
        <v>0.123</v>
      </c>
      <c r="BE671" s="5" t="n">
        <v>0</v>
      </c>
      <c r="BF671" s="5" t="n">
        <v>0.598</v>
      </c>
      <c r="BG671" s="5" t="n">
        <v>0</v>
      </c>
      <c r="BH671" s="5" t="n">
        <v>1</v>
      </c>
      <c r="BI671" s="5" t="n">
        <v>0.612</v>
      </c>
      <c r="BJ671" s="5" t="n">
        <v>0.123</v>
      </c>
      <c r="BK671" s="5" t="n">
        <v>0</v>
      </c>
      <c r="BL671" s="5" t="n">
        <v>0.612</v>
      </c>
      <c r="BM671" s="5" t="n">
        <v>0</v>
      </c>
      <c r="BN671" s="5" t="n">
        <v>1</v>
      </c>
      <c r="BO671" s="5" t="n">
        <v>0</v>
      </c>
      <c r="BP671" s="5" t="n">
        <v>0</v>
      </c>
      <c r="BQ671" s="5" t="n">
        <v>0</v>
      </c>
      <c r="BR671" s="5" t="n">
        <v>0</v>
      </c>
      <c r="BS671" s="5" t="n">
        <v>1</v>
      </c>
      <c r="BT671" s="5" t="n">
        <v>0</v>
      </c>
      <c r="BU671" s="5" t="n">
        <v>0</v>
      </c>
      <c r="BV671" s="5" t="n">
        <v>0</v>
      </c>
      <c r="BW671" s="5" t="n">
        <v>0</v>
      </c>
      <c r="BX671" s="5" t="n">
        <v>1</v>
      </c>
      <c r="BY671" s="5" t="n">
        <v>12.729</v>
      </c>
      <c r="BZ671" s="5" t="n">
        <v>0</v>
      </c>
      <c r="CA671" s="5" t="n">
        <v>12.729</v>
      </c>
      <c r="CB671" s="5" t="n">
        <v>0</v>
      </c>
      <c r="CC671" s="5" t="n">
        <v>97.90000000000001</v>
      </c>
      <c r="CD671" s="5" t="n">
        <v>7.95</v>
      </c>
      <c r="CE671" s="5" t="n">
        <v>0</v>
      </c>
      <c r="CF671" s="5" t="n">
        <v>97.90000000000001</v>
      </c>
      <c r="CG671" s="5" t="n">
        <v>0</v>
      </c>
      <c r="CH671" s="5" t="n">
        <v>1</v>
      </c>
      <c r="CI671" s="5" t="n">
        <v>0</v>
      </c>
      <c r="CJ671" s="5" t="n">
        <v>0</v>
      </c>
      <c r="CK671" s="5" t="n">
        <v>0</v>
      </c>
      <c r="CL671" s="5" t="n">
        <v>0</v>
      </c>
      <c r="CM671" s="5" t="n">
        <v>0</v>
      </c>
      <c r="CN671" s="5" t="n">
        <v>0</v>
      </c>
      <c r="CO671" s="5" t="n">
        <v>0</v>
      </c>
      <c r="CP671" s="5" t="n">
        <v>0</v>
      </c>
      <c r="CQ671" s="5" t="n">
        <v>1.294</v>
      </c>
      <c r="CR671" s="5" t="n">
        <v>0</v>
      </c>
      <c r="CS671" s="5" t="n">
        <v>5.158</v>
      </c>
      <c r="CT671" s="5" t="n">
        <v>5.842</v>
      </c>
      <c r="CU671" s="5" t="n">
        <v>31.326</v>
      </c>
    </row>
    <row r="672">
      <c r="A672" s="5" t="inlineStr">
        <is>
          <t>SMR2023</t>
        </is>
      </c>
      <c r="B672" s="5" t="inlineStr">
        <is>
          <t>SMR</t>
        </is>
      </c>
      <c r="C672" s="5" t="inlineStr">
        <is>
          <t>SMR</t>
        </is>
      </c>
      <c r="D672" s="5" t="inlineStr">
        <is>
          <t>San Marino</t>
        </is>
      </c>
      <c r="E672" s="5" t="n">
        <v>2023</v>
      </c>
      <c r="F672" s="5" t="n">
        <v>0</v>
      </c>
      <c r="G672" s="5" t="n">
        <v>4.752</v>
      </c>
      <c r="H672" s="5" t="n">
        <v>1.286</v>
      </c>
      <c r="I672" s="5" t="n">
        <v>0</v>
      </c>
      <c r="J672" s="5" t="n">
        <v>4.752</v>
      </c>
      <c r="K672" s="5" t="n">
        <v>0</v>
      </c>
      <c r="L672" s="5" t="n">
        <v>1</v>
      </c>
      <c r="M672" s="5" t="n">
        <v>7.886</v>
      </c>
      <c r="N672" s="5" t="n">
        <v>3.857</v>
      </c>
      <c r="O672" s="5" t="n">
        <v>0</v>
      </c>
      <c r="P672" s="5" t="n">
        <v>7.886</v>
      </c>
      <c r="Q672" s="5" t="n">
        <v>0</v>
      </c>
      <c r="R672" s="5" t="n">
        <v>1</v>
      </c>
      <c r="S672" s="5" t="n">
        <v>11.18</v>
      </c>
      <c r="T672" s="5" t="n">
        <v>7.714</v>
      </c>
      <c r="U672" s="5" t="n">
        <v>0</v>
      </c>
      <c r="V672" s="5" t="n">
        <v>11.18</v>
      </c>
      <c r="W672" s="5" t="n">
        <v>0</v>
      </c>
      <c r="X672" s="5" t="n">
        <v>1</v>
      </c>
      <c r="Y672" s="5" t="n">
        <v>12.908</v>
      </c>
      <c r="Z672" s="5" t="n">
        <v>1.745</v>
      </c>
      <c r="AA672" s="5" t="n">
        <v>0</v>
      </c>
      <c r="AB672" s="5" t="n">
        <v>12.908</v>
      </c>
      <c r="AC672" s="5" t="n">
        <v>0</v>
      </c>
      <c r="AD672" s="5" t="n">
        <v>1</v>
      </c>
      <c r="AE672" s="5" t="n">
        <v>14.194</v>
      </c>
      <c r="AF672" s="5" t="n">
        <v>3.319</v>
      </c>
      <c r="AG672" s="5" t="n">
        <v>0</v>
      </c>
      <c r="AH672" s="5" t="n">
        <v>14.194</v>
      </c>
      <c r="AI672" s="5" t="n">
        <v>0</v>
      </c>
      <c r="AJ672" s="5" t="n">
        <v>1</v>
      </c>
      <c r="AK672" s="5" t="n">
        <v>21.908</v>
      </c>
      <c r="AL672" s="5" t="n">
        <v>11.668</v>
      </c>
      <c r="AM672" s="5" t="n">
        <v>0</v>
      </c>
      <c r="AN672" s="5" t="n">
        <v>21.908</v>
      </c>
      <c r="AO672" s="5" t="n">
        <v>0</v>
      </c>
      <c r="AP672" s="5" t="n">
        <v>1</v>
      </c>
      <c r="AQ672" s="5" t="n">
        <v>0.76</v>
      </c>
      <c r="AR672" s="5" t="n">
        <v>0.129</v>
      </c>
      <c r="AS672" s="5" t="n">
        <v>0</v>
      </c>
      <c r="AT672" s="5" t="n">
        <v>0.76</v>
      </c>
      <c r="AU672" s="5" t="n">
        <v>0</v>
      </c>
      <c r="AV672" s="5" t="n">
        <v>1</v>
      </c>
      <c r="AW672" s="5" t="n">
        <v>0.8110000000000001</v>
      </c>
      <c r="AX672" s="5" t="n">
        <v>0.129</v>
      </c>
      <c r="AY672" s="5" t="n">
        <v>0</v>
      </c>
      <c r="AZ672" s="5" t="n">
        <v>0.8110000000000001</v>
      </c>
      <c r="BA672" s="5" t="n">
        <v>0</v>
      </c>
      <c r="BB672" s="5" t="n">
        <v>1</v>
      </c>
      <c r="BC672" s="5" t="n">
        <v>0.535</v>
      </c>
      <c r="BD672" s="5" t="n">
        <v>0.129</v>
      </c>
      <c r="BE672" s="5" t="n">
        <v>0</v>
      </c>
      <c r="BF672" s="5" t="n">
        <v>0.535</v>
      </c>
      <c r="BG672" s="5" t="n">
        <v>0</v>
      </c>
      <c r="BH672" s="5" t="n">
        <v>1</v>
      </c>
      <c r="BI672" s="5" t="n">
        <v>0.579</v>
      </c>
      <c r="BJ672" s="5" t="n">
        <v>0.129</v>
      </c>
      <c r="BK672" s="5" t="n">
        <v>0</v>
      </c>
      <c r="BL672" s="5" t="n">
        <v>0.579</v>
      </c>
      <c r="BM672" s="5" t="n">
        <v>0</v>
      </c>
      <c r="BN672" s="5" t="n">
        <v>1</v>
      </c>
      <c r="BO672" s="5" t="n">
        <v>0</v>
      </c>
      <c r="BP672" s="5" t="n">
        <v>0</v>
      </c>
      <c r="BQ672" s="5" t="n">
        <v>0</v>
      </c>
      <c r="BR672" s="5" t="n">
        <v>0</v>
      </c>
      <c r="BS672" s="5" t="n">
        <v>1</v>
      </c>
      <c r="BT672" s="5" t="n">
        <v>0</v>
      </c>
      <c r="BU672" s="5" t="n">
        <v>0</v>
      </c>
      <c r="BV672" s="5" t="n">
        <v>0</v>
      </c>
      <c r="BW672" s="5" t="n">
        <v>0</v>
      </c>
      <c r="BX672" s="5" t="n">
        <v>1</v>
      </c>
      <c r="BY672" s="5" t="n">
        <v>13.254</v>
      </c>
      <c r="BZ672" s="5" t="n">
        <v>0</v>
      </c>
      <c r="CA672" s="5" t="n">
        <v>13.254</v>
      </c>
      <c r="CB672" s="5" t="n">
        <v>0</v>
      </c>
      <c r="CC672" s="5" t="n">
        <v>83.248</v>
      </c>
      <c r="CD672" s="5" t="n">
        <v>7.95</v>
      </c>
      <c r="CE672" s="5" t="n">
        <v>0</v>
      </c>
      <c r="CF672" s="5" t="n">
        <v>83.248</v>
      </c>
      <c r="CG672" s="5" t="n">
        <v>0</v>
      </c>
      <c r="CH672" s="5" t="n">
        <v>1</v>
      </c>
      <c r="CI672" s="5" t="n">
        <v>0</v>
      </c>
      <c r="CJ672" s="5" t="n">
        <v>0</v>
      </c>
      <c r="CK672" s="5" t="n">
        <v>0</v>
      </c>
      <c r="CL672" s="5" t="n">
        <v>0</v>
      </c>
      <c r="CM672" s="5" t="n">
        <v>0</v>
      </c>
      <c r="CN672" s="5" t="n">
        <v>0</v>
      </c>
      <c r="CO672" s="5" t="n">
        <v>0</v>
      </c>
      <c r="CP672" s="5" t="n">
        <v>0</v>
      </c>
      <c r="CQ672" s="5" t="n">
        <v>1.348</v>
      </c>
      <c r="CR672" s="5" t="n">
        <v>0</v>
      </c>
      <c r="CS672" s="5" t="n">
        <v>5.37</v>
      </c>
      <c r="CT672" s="5" t="n">
        <v>3.466</v>
      </c>
      <c r="CU672" s="5" t="n">
        <v>11.622</v>
      </c>
    </row>
    <row r="673">
      <c r="A673" s="5" t="inlineStr">
        <is>
          <t>SMR2024</t>
        </is>
      </c>
      <c r="B673" s="5" t="inlineStr">
        <is>
          <t>SMR</t>
        </is>
      </c>
      <c r="C673" s="5" t="inlineStr">
        <is>
          <t>SMR</t>
        </is>
      </c>
      <c r="D673" s="5" t="inlineStr">
        <is>
          <t>San Marino</t>
        </is>
      </c>
      <c r="E673" s="5" t="n">
        <v>2024</v>
      </c>
      <c r="F673" s="5" t="n">
        <v>0</v>
      </c>
      <c r="G673" s="5" t="n">
        <v>4.351</v>
      </c>
      <c r="H673" s="5" t="n">
        <v>1.324</v>
      </c>
      <c r="I673" s="5" t="n">
        <v>0</v>
      </c>
      <c r="J673" s="5" t="n">
        <v>4.351</v>
      </c>
      <c r="K673" s="5" t="n">
        <v>0</v>
      </c>
      <c r="L673" s="5" t="n">
        <v>1</v>
      </c>
      <c r="M673" s="5" t="n">
        <v>7.124</v>
      </c>
      <c r="N673" s="5" t="n">
        <v>3.971</v>
      </c>
      <c r="O673" s="5" t="n">
        <v>0</v>
      </c>
      <c r="P673" s="5" t="n">
        <v>7.124</v>
      </c>
      <c r="Q673" s="5" t="n">
        <v>0</v>
      </c>
      <c r="R673" s="5" t="n">
        <v>1</v>
      </c>
      <c r="S673" s="5" t="n">
        <v>10.969</v>
      </c>
      <c r="T673" s="5" t="n">
        <v>7.942</v>
      </c>
      <c r="U673" s="5" t="n">
        <v>0</v>
      </c>
      <c r="V673" s="5" t="n">
        <v>10.969</v>
      </c>
      <c r="W673" s="5" t="n">
        <v>0</v>
      </c>
      <c r="X673" s="5" t="n">
        <v>1</v>
      </c>
      <c r="Y673" s="5" t="n">
        <v>11.492</v>
      </c>
      <c r="Z673" s="5" t="n">
        <v>1.553</v>
      </c>
      <c r="AA673" s="5" t="n">
        <v>0</v>
      </c>
      <c r="AB673" s="5" t="n">
        <v>11.492</v>
      </c>
      <c r="AC673" s="5" t="n">
        <v>0</v>
      </c>
      <c r="AD673" s="5" t="n">
        <v>1</v>
      </c>
      <c r="AE673" s="5" t="n">
        <v>12.815</v>
      </c>
      <c r="AF673" s="5" t="n">
        <v>2.997</v>
      </c>
      <c r="AG673" s="5" t="n">
        <v>0</v>
      </c>
      <c r="AH673" s="5" t="n">
        <v>12.815</v>
      </c>
      <c r="AI673" s="5" t="n">
        <v>0</v>
      </c>
      <c r="AJ673" s="5" t="n">
        <v>1</v>
      </c>
      <c r="AK673" s="5" t="n">
        <v>20.757</v>
      </c>
      <c r="AL673" s="5" t="n">
        <v>11.055</v>
      </c>
      <c r="AM673" s="5" t="n">
        <v>0</v>
      </c>
      <c r="AN673" s="5" t="n">
        <v>20.757</v>
      </c>
      <c r="AO673" s="5" t="n">
        <v>0</v>
      </c>
      <c r="AP673" s="5" t="n">
        <v>1</v>
      </c>
      <c r="AQ673" s="5" t="n">
        <v>0.724</v>
      </c>
      <c r="AR673" s="5" t="n">
        <v>0.132</v>
      </c>
      <c r="AS673" s="5" t="n">
        <v>0</v>
      </c>
      <c r="AT673" s="5" t="n">
        <v>0.724</v>
      </c>
      <c r="AU673" s="5" t="n">
        <v>0</v>
      </c>
      <c r="AV673" s="5" t="n">
        <v>1</v>
      </c>
      <c r="AW673" s="5" t="n">
        <v>0.75</v>
      </c>
      <c r="AX673" s="5" t="n">
        <v>0.132</v>
      </c>
      <c r="AY673" s="5" t="n">
        <v>0</v>
      </c>
      <c r="AZ673" s="5" t="n">
        <v>0.75</v>
      </c>
      <c r="BA673" s="5" t="n">
        <v>0</v>
      </c>
      <c r="BB673" s="5" t="n">
        <v>1</v>
      </c>
      <c r="BC673" s="5" t="n">
        <v>0.513</v>
      </c>
      <c r="BD673" s="5" t="n">
        <v>0.132</v>
      </c>
      <c r="BE673" s="5" t="n">
        <v>0</v>
      </c>
      <c r="BF673" s="5" t="n">
        <v>0.513</v>
      </c>
      <c r="BG673" s="5" t="n">
        <v>0</v>
      </c>
      <c r="BH673" s="5" t="n">
        <v>1</v>
      </c>
      <c r="BI673" s="5" t="n">
        <v>0.591</v>
      </c>
      <c r="BJ673" s="5" t="n">
        <v>0.132</v>
      </c>
      <c r="BK673" s="5" t="n">
        <v>0</v>
      </c>
      <c r="BL673" s="5" t="n">
        <v>0.591</v>
      </c>
      <c r="BM673" s="5" t="n">
        <v>0</v>
      </c>
      <c r="BN673" s="5" t="n">
        <v>1</v>
      </c>
      <c r="BO673" s="5" t="n">
        <v>0</v>
      </c>
      <c r="BP673" s="5" t="n">
        <v>0</v>
      </c>
      <c r="BQ673" s="5" t="n">
        <v>0</v>
      </c>
      <c r="BR673" s="5" t="n">
        <v>0</v>
      </c>
      <c r="BS673" s="5" t="n">
        <v>1</v>
      </c>
      <c r="BT673" s="5" t="n">
        <v>0</v>
      </c>
      <c r="BU673" s="5" t="n">
        <v>0</v>
      </c>
      <c r="BV673" s="5" t="n">
        <v>0</v>
      </c>
      <c r="BW673" s="5" t="n">
        <v>0</v>
      </c>
      <c r="BX673" s="5" t="n">
        <v>1</v>
      </c>
      <c r="BY673" s="5" t="n">
        <v>13.646</v>
      </c>
      <c r="BZ673" s="5" t="n">
        <v>0</v>
      </c>
      <c r="CA673" s="5" t="n">
        <v>13.646</v>
      </c>
      <c r="CB673" s="5" t="n">
        <v>0</v>
      </c>
      <c r="CC673" s="5" t="n">
        <v>82.58799999999999</v>
      </c>
      <c r="CD673" s="5" t="n">
        <v>7.95</v>
      </c>
      <c r="CE673" s="5" t="n">
        <v>0</v>
      </c>
      <c r="CF673" s="5" t="n">
        <v>82.58799999999999</v>
      </c>
      <c r="CG673" s="5" t="n">
        <v>0</v>
      </c>
      <c r="CH673" s="5" t="n">
        <v>1</v>
      </c>
      <c r="CI673" s="5" t="n">
        <v>0</v>
      </c>
      <c r="CJ673" s="5" t="n">
        <v>0</v>
      </c>
      <c r="CK673" s="5" t="n">
        <v>0</v>
      </c>
      <c r="CL673" s="5" t="n">
        <v>0</v>
      </c>
      <c r="CM673" s="5" t="n">
        <v>0</v>
      </c>
      <c r="CN673" s="5" t="n">
        <v>0</v>
      </c>
      <c r="CO673" s="5" t="n">
        <v>0</v>
      </c>
      <c r="CP673" s="5" t="n">
        <v>0</v>
      </c>
      <c r="CQ673" s="5" t="n">
        <v>1.387</v>
      </c>
      <c r="CR673" s="5" t="n">
        <v>0</v>
      </c>
      <c r="CS673" s="5" t="n">
        <v>5.529</v>
      </c>
      <c r="CT673" s="5" t="n">
        <v>3.027</v>
      </c>
      <c r="CU673" s="5" t="n">
        <v>10.168</v>
      </c>
    </row>
    <row r="674">
      <c r="A674" s="5" t="inlineStr">
        <is>
          <t>SAU2021</t>
        </is>
      </c>
      <c r="B674" s="5" t="inlineStr">
        <is>
          <t>SAU</t>
        </is>
      </c>
      <c r="C674" s="5" t="inlineStr">
        <is>
          <t>SAU</t>
        </is>
      </c>
      <c r="D674" s="5" t="inlineStr">
        <is>
          <t>Saudi Arabia</t>
        </is>
      </c>
      <c r="E674" s="5" t="n">
        <v>2021</v>
      </c>
      <c r="F674" s="5" t="n">
        <v>0.15</v>
      </c>
      <c r="G674" s="5" t="n">
        <v>5.897</v>
      </c>
      <c r="H674" s="5" t="n">
        <v>1.143</v>
      </c>
      <c r="I674" s="5" t="n">
        <v>0.238</v>
      </c>
      <c r="J674" s="5" t="n">
        <v>6.134</v>
      </c>
      <c r="K674" s="5" t="n">
        <v>0</v>
      </c>
      <c r="L674" s="5" t="n">
        <v>1</v>
      </c>
      <c r="M674" s="5" t="n">
        <v>7.964</v>
      </c>
      <c r="N674" s="5" t="n">
        <v>3.43</v>
      </c>
      <c r="O674" s="5" t="n">
        <v>0.227</v>
      </c>
      <c r="P674" s="5" t="n">
        <v>8.191000000000001</v>
      </c>
      <c r="Q674" s="5" t="n">
        <v>0</v>
      </c>
      <c r="R674" s="5" t="n">
        <v>1</v>
      </c>
      <c r="S674" s="5" t="n">
        <v>11.613</v>
      </c>
      <c r="T674" s="5" t="n">
        <v>6.86</v>
      </c>
      <c r="U674" s="5" t="n">
        <v>0.238</v>
      </c>
      <c r="V674" s="5" t="n">
        <v>13.629</v>
      </c>
      <c r="W674" s="5" t="n">
        <v>0.15</v>
      </c>
      <c r="X674" s="5" t="n">
        <v>1</v>
      </c>
      <c r="Y674" s="5" t="n">
        <v>4.013</v>
      </c>
      <c r="Z674" s="5" t="n">
        <v>0.364</v>
      </c>
      <c r="AA674" s="5" t="n">
        <v>-2.553</v>
      </c>
      <c r="AB674" s="5" t="n">
        <v>1.46</v>
      </c>
      <c r="AC674" s="5" t="n">
        <v>0</v>
      </c>
      <c r="AD674" s="5" t="n">
        <v>0</v>
      </c>
      <c r="AE674" s="5" t="n">
        <v>4.584</v>
      </c>
      <c r="AF674" s="5" t="n">
        <v>0.748</v>
      </c>
      <c r="AG674" s="5" t="n">
        <v>-3.355</v>
      </c>
      <c r="AH674" s="5" t="n">
        <v>1.229</v>
      </c>
      <c r="AI674" s="5" t="n">
        <v>0</v>
      </c>
      <c r="AJ674" s="5" t="n">
        <v>0</v>
      </c>
      <c r="AK674" s="5" t="n">
        <v>8.013999999999999</v>
      </c>
      <c r="AL674" s="5" t="n">
        <v>3.369</v>
      </c>
      <c r="AM674" s="5" t="n">
        <v>-3.326</v>
      </c>
      <c r="AN674" s="5" t="n">
        <v>4.689</v>
      </c>
      <c r="AO674" s="5" t="n">
        <v>0</v>
      </c>
      <c r="AP674" s="5" t="n">
        <v>0</v>
      </c>
      <c r="AQ674" s="5" t="n">
        <v>0.621</v>
      </c>
      <c r="AR674" s="5" t="n">
        <v>0.114</v>
      </c>
      <c r="AS674" s="5" t="n">
        <v>-0.11</v>
      </c>
      <c r="AT674" s="5" t="n">
        <v>0.587</v>
      </c>
      <c r="AU674" s="5" t="n">
        <v>0</v>
      </c>
      <c r="AV674" s="5" t="n">
        <v>0</v>
      </c>
      <c r="AW674" s="5" t="n">
        <v>0.593</v>
      </c>
      <c r="AX674" s="5" t="n">
        <v>0.114</v>
      </c>
      <c r="AY674" s="5" t="n">
        <v>-0.473</v>
      </c>
      <c r="AZ674" s="5" t="n">
        <v>0.139</v>
      </c>
      <c r="BA674" s="5" t="n">
        <v>0</v>
      </c>
      <c r="BB674" s="5" t="n">
        <v>0</v>
      </c>
      <c r="BC674" s="5" t="n">
        <v>0.44</v>
      </c>
      <c r="BD674" s="5" t="n">
        <v>0.114</v>
      </c>
      <c r="BE674" s="5" t="n">
        <v>-0.266</v>
      </c>
      <c r="BF674" s="5" t="n">
        <v>0.2</v>
      </c>
      <c r="BG674" s="5" t="n">
        <v>0</v>
      </c>
      <c r="BH674" s="5" t="n">
        <v>0</v>
      </c>
      <c r="BI674" s="5" t="n">
        <v>0.5600000000000001</v>
      </c>
      <c r="BJ674" s="5" t="n">
        <v>0.114</v>
      </c>
      <c r="BK674" s="5" t="n">
        <v>-0.398</v>
      </c>
      <c r="BL674" s="5" t="n">
        <v>0.187</v>
      </c>
      <c r="BM674" s="5" t="n">
        <v>0</v>
      </c>
      <c r="BN674" s="5" t="n">
        <v>0</v>
      </c>
      <c r="BO674" s="5" t="n">
        <v>0</v>
      </c>
      <c r="BP674" s="5" t="n">
        <v>-0.036</v>
      </c>
      <c r="BQ674" s="5" t="n">
        <v>0.048</v>
      </c>
      <c r="BR674" s="5" t="n">
        <v>0</v>
      </c>
      <c r="BS674" s="5" t="n">
        <v>0</v>
      </c>
      <c r="BT674" s="5" t="n">
        <v>0</v>
      </c>
      <c r="BU674" s="5" t="n">
        <v>-0.036</v>
      </c>
      <c r="BV674" s="5" t="n">
        <v>0.048</v>
      </c>
      <c r="BW674" s="5" t="n">
        <v>0</v>
      </c>
      <c r="BX674" s="5" t="n">
        <v>0.333</v>
      </c>
      <c r="BY674" s="5" t="n">
        <v>11.787</v>
      </c>
      <c r="BZ674" s="5" t="n">
        <v>0</v>
      </c>
      <c r="CA674" s="5" t="n">
        <v>11.787</v>
      </c>
      <c r="CB674" s="5" t="n">
        <v>0</v>
      </c>
      <c r="CC674" s="5" t="n">
        <v>81.69499999999999</v>
      </c>
      <c r="CD674" s="5" t="n">
        <v>7.95</v>
      </c>
      <c r="CE674" s="5" t="n">
        <v>-55.887</v>
      </c>
      <c r="CF674" s="5" t="n">
        <v>29.68</v>
      </c>
      <c r="CG674" s="5" t="n">
        <v>0</v>
      </c>
      <c r="CH674" s="5" t="n">
        <v>0</v>
      </c>
      <c r="CI674" s="5" t="n">
        <v>0</v>
      </c>
      <c r="CJ674" s="5" t="n">
        <v>0</v>
      </c>
      <c r="CK674" s="5" t="n">
        <v>0</v>
      </c>
      <c r="CL674" s="5" t="n">
        <v>0</v>
      </c>
      <c r="CM674" s="5" t="n">
        <v>0</v>
      </c>
      <c r="CN674" s="5" t="n">
        <v>0</v>
      </c>
      <c r="CO674" s="5" t="n">
        <v>0</v>
      </c>
      <c r="CP674" s="5" t="n">
        <v>0</v>
      </c>
      <c r="CQ674" s="5" t="n">
        <v>1.198</v>
      </c>
      <c r="CR674" s="5" t="n">
        <v>1</v>
      </c>
      <c r="CS674" s="5" t="n">
        <v>3.441</v>
      </c>
      <c r="CT674" s="5" t="n">
        <v>4.753</v>
      </c>
      <c r="CU674" s="5" t="n">
        <v>14.162</v>
      </c>
    </row>
    <row r="675">
      <c r="A675" s="5" t="inlineStr">
        <is>
          <t>SAU2022</t>
        </is>
      </c>
      <c r="B675" s="5" t="inlineStr">
        <is>
          <t>SAU</t>
        </is>
      </c>
      <c r="C675" s="5" t="inlineStr">
        <is>
          <t>SAU</t>
        </is>
      </c>
      <c r="D675" s="5" t="inlineStr">
        <is>
          <t>Saudi Arabia</t>
        </is>
      </c>
      <c r="E675" s="5" t="n">
        <v>2022</v>
      </c>
      <c r="F675" s="5" t="n">
        <v>0.15</v>
      </c>
      <c r="G675" s="5" t="n">
        <v>11.72</v>
      </c>
      <c r="H675" s="5" t="n">
        <v>1.235</v>
      </c>
      <c r="I675" s="5" t="n">
        <v>0.5659999999999999</v>
      </c>
      <c r="J675" s="5" t="n">
        <v>12.286</v>
      </c>
      <c r="K675" s="5" t="n">
        <v>0</v>
      </c>
      <c r="L675" s="5" t="n">
        <v>1</v>
      </c>
      <c r="M675" s="5" t="n">
        <v>9.782999999999999</v>
      </c>
      <c r="N675" s="5" t="n">
        <v>3.704</v>
      </c>
      <c r="O675" s="5" t="n">
        <v>0.328</v>
      </c>
      <c r="P675" s="5" t="n">
        <v>10.111</v>
      </c>
      <c r="Q675" s="5" t="n">
        <v>0</v>
      </c>
      <c r="R675" s="5" t="n">
        <v>1</v>
      </c>
      <c r="S675" s="5" t="n">
        <v>17.893</v>
      </c>
      <c r="T675" s="5" t="n">
        <v>7.408</v>
      </c>
      <c r="U675" s="5" t="n">
        <v>0.771</v>
      </c>
      <c r="V675" s="5" t="n">
        <v>21.228</v>
      </c>
      <c r="W675" s="5" t="n">
        <v>0.15</v>
      </c>
      <c r="X675" s="5" t="n">
        <v>1</v>
      </c>
      <c r="Y675" s="5" t="n">
        <v>4.334</v>
      </c>
      <c r="Z675" s="5" t="n">
        <v>0.393</v>
      </c>
      <c r="AA675" s="5" t="n">
        <v>-2.88</v>
      </c>
      <c r="AB675" s="5" t="n">
        <v>1.454</v>
      </c>
      <c r="AC675" s="5" t="n">
        <v>0</v>
      </c>
      <c r="AD675" s="5" t="n">
        <v>0</v>
      </c>
      <c r="AE675" s="5" t="n">
        <v>4.951</v>
      </c>
      <c r="AF675" s="5" t="n">
        <v>0.8080000000000001</v>
      </c>
      <c r="AG675" s="5" t="n">
        <v>-3.721</v>
      </c>
      <c r="AH675" s="5" t="n">
        <v>1.229</v>
      </c>
      <c r="AI675" s="5" t="n">
        <v>0</v>
      </c>
      <c r="AJ675" s="5" t="n">
        <v>0</v>
      </c>
      <c r="AK675" s="5" t="n">
        <v>8.654999999999999</v>
      </c>
      <c r="AL675" s="5" t="n">
        <v>3.639</v>
      </c>
      <c r="AM675" s="5" t="n">
        <v>-3.592</v>
      </c>
      <c r="AN675" s="5" t="n">
        <v>5.063</v>
      </c>
      <c r="AO675" s="5" t="n">
        <v>0</v>
      </c>
      <c r="AP675" s="5" t="n">
        <v>0</v>
      </c>
      <c r="AQ675" s="5" t="n">
        <v>0.847</v>
      </c>
      <c r="AR675" s="5" t="n">
        <v>0.123</v>
      </c>
      <c r="AS675" s="5" t="n">
        <v>-0.306</v>
      </c>
      <c r="AT675" s="5" t="n">
        <v>0.621</v>
      </c>
      <c r="AU675" s="5" t="n">
        <v>0</v>
      </c>
      <c r="AV675" s="5" t="n">
        <v>0</v>
      </c>
      <c r="AW675" s="5" t="n">
        <v>0.947</v>
      </c>
      <c r="AX675" s="5" t="n">
        <v>0.123</v>
      </c>
      <c r="AY675" s="5" t="n">
        <v>-0.801</v>
      </c>
      <c r="AZ675" s="5" t="n">
        <v>0.168</v>
      </c>
      <c r="BA675" s="5" t="n">
        <v>0</v>
      </c>
      <c r="BB675" s="5" t="n">
        <v>0</v>
      </c>
      <c r="BC675" s="5" t="n">
        <v>0.589</v>
      </c>
      <c r="BD675" s="5" t="n">
        <v>0.123</v>
      </c>
      <c r="BE675" s="5" t="n">
        <v>-0.394</v>
      </c>
      <c r="BF675" s="5" t="n">
        <v>0.223</v>
      </c>
      <c r="BG675" s="5" t="n">
        <v>0</v>
      </c>
      <c r="BH675" s="5" t="n">
        <v>0</v>
      </c>
      <c r="BI675" s="5" t="n">
        <v>0.6889999999999999</v>
      </c>
      <c r="BJ675" s="5" t="n">
        <v>0.123</v>
      </c>
      <c r="BK675" s="5" t="n">
        <v>-0.512</v>
      </c>
      <c r="BL675" s="5" t="n">
        <v>0.204</v>
      </c>
      <c r="BM675" s="5" t="n">
        <v>0</v>
      </c>
      <c r="BN675" s="5" t="n">
        <v>0</v>
      </c>
      <c r="BO675" s="5" t="n">
        <v>0</v>
      </c>
      <c r="BP675" s="5" t="n">
        <v>-0.036</v>
      </c>
      <c r="BQ675" s="5" t="n">
        <v>0.048</v>
      </c>
      <c r="BR675" s="5" t="n">
        <v>0</v>
      </c>
      <c r="BS675" s="5" t="n">
        <v>0</v>
      </c>
      <c r="BT675" s="5" t="n">
        <v>0</v>
      </c>
      <c r="BU675" s="5" t="n">
        <v>-0.036</v>
      </c>
      <c r="BV675" s="5" t="n">
        <v>0.064</v>
      </c>
      <c r="BW675" s="5" t="n">
        <v>0</v>
      </c>
      <c r="BX675" s="5" t="n">
        <v>0.333</v>
      </c>
      <c r="BY675" s="5" t="n">
        <v>12.729</v>
      </c>
      <c r="BZ675" s="5" t="n">
        <v>0</v>
      </c>
      <c r="CA675" s="5" t="n">
        <v>12.729</v>
      </c>
      <c r="CB675" s="5" t="n">
        <v>0</v>
      </c>
      <c r="CC675" s="5" t="n">
        <v>102.477</v>
      </c>
      <c r="CD675" s="5" t="n">
        <v>7.95</v>
      </c>
      <c r="CE675" s="5" t="n">
        <v>-74.36199999999999</v>
      </c>
      <c r="CF675" s="5" t="n">
        <v>32.331</v>
      </c>
      <c r="CG675" s="5" t="n">
        <v>0</v>
      </c>
      <c r="CH675" s="5" t="n">
        <v>0</v>
      </c>
      <c r="CI675" s="5" t="n">
        <v>0</v>
      </c>
      <c r="CJ675" s="5" t="n">
        <v>0</v>
      </c>
      <c r="CK675" s="5" t="n">
        <v>0</v>
      </c>
      <c r="CL675" s="5" t="n">
        <v>0</v>
      </c>
      <c r="CM675" s="5" t="n">
        <v>0</v>
      </c>
      <c r="CN675" s="5" t="n">
        <v>0</v>
      </c>
      <c r="CO675" s="5" t="n">
        <v>0</v>
      </c>
      <c r="CP675" s="5" t="n">
        <v>0</v>
      </c>
      <c r="CQ675" s="5" t="n">
        <v>1.294</v>
      </c>
      <c r="CR675" s="5" t="n">
        <v>1</v>
      </c>
      <c r="CS675" s="5" t="n">
        <v>3.716</v>
      </c>
      <c r="CT675" s="5" t="n">
        <v>10.485</v>
      </c>
      <c r="CU675" s="5" t="n">
        <v>30.326</v>
      </c>
    </row>
    <row r="676">
      <c r="A676" s="5" t="inlineStr">
        <is>
          <t>SAU2023</t>
        </is>
      </c>
      <c r="B676" s="5" t="inlineStr">
        <is>
          <t>SAU</t>
        </is>
      </c>
      <c r="C676" s="5" t="inlineStr">
        <is>
          <t>SAU</t>
        </is>
      </c>
      <c r="D676" s="5" t="inlineStr">
        <is>
          <t>Saudi Arabia</t>
        </is>
      </c>
      <c r="E676" s="5" t="n">
        <v>2023</v>
      </c>
      <c r="F676" s="5" t="n">
        <v>0.15</v>
      </c>
      <c r="G676" s="5" t="n">
        <v>6.147</v>
      </c>
      <c r="H676" s="5" t="n">
        <v>1.286</v>
      </c>
      <c r="I676" s="5" t="n">
        <v>0.273</v>
      </c>
      <c r="J676" s="5" t="n">
        <v>6.42</v>
      </c>
      <c r="K676" s="5" t="n">
        <v>0</v>
      </c>
      <c r="L676" s="5" t="n">
        <v>1</v>
      </c>
      <c r="M676" s="5" t="n">
        <v>7.886</v>
      </c>
      <c r="N676" s="5" t="n">
        <v>3.857</v>
      </c>
      <c r="O676" s="5" t="n">
        <v>0.227</v>
      </c>
      <c r="P676" s="5" t="n">
        <v>8.113</v>
      </c>
      <c r="Q676" s="5" t="n">
        <v>0</v>
      </c>
      <c r="R676" s="5" t="n">
        <v>1</v>
      </c>
      <c r="S676" s="5" t="n">
        <v>12.575</v>
      </c>
      <c r="T676" s="5" t="n">
        <v>7.714</v>
      </c>
      <c r="U676" s="5" t="n">
        <v>0.487</v>
      </c>
      <c r="V676" s="5" t="n">
        <v>14.776</v>
      </c>
      <c r="W676" s="5" t="n">
        <v>0.15</v>
      </c>
      <c r="X676" s="5" t="n">
        <v>1</v>
      </c>
      <c r="Y676" s="5" t="n">
        <v>4.512</v>
      </c>
      <c r="Z676" s="5" t="n">
        <v>0.409</v>
      </c>
      <c r="AA676" s="5" t="n">
        <v>-3.047</v>
      </c>
      <c r="AB676" s="5" t="n">
        <v>1.466</v>
      </c>
      <c r="AC676" s="5" t="n">
        <v>0</v>
      </c>
      <c r="AD676" s="5" t="n">
        <v>0</v>
      </c>
      <c r="AE676" s="5" t="n">
        <v>5.155</v>
      </c>
      <c r="AF676" s="5" t="n">
        <v>0.841</v>
      </c>
      <c r="AG676" s="5" t="n">
        <v>-3.926</v>
      </c>
      <c r="AH676" s="5" t="n">
        <v>1.229</v>
      </c>
      <c r="AI676" s="5" t="n">
        <v>0</v>
      </c>
      <c r="AJ676" s="5" t="n">
        <v>0</v>
      </c>
      <c r="AK676" s="5" t="n">
        <v>9.012</v>
      </c>
      <c r="AL676" s="5" t="n">
        <v>3.789</v>
      </c>
      <c r="AM676" s="5" t="n">
        <v>-3.74</v>
      </c>
      <c r="AN676" s="5" t="n">
        <v>5.272</v>
      </c>
      <c r="AO676" s="5" t="n">
        <v>0</v>
      </c>
      <c r="AP676" s="5" t="n">
        <v>0</v>
      </c>
      <c r="AQ676" s="5" t="n">
        <v>0.749</v>
      </c>
      <c r="AR676" s="5" t="n">
        <v>0.129</v>
      </c>
      <c r="AS676" s="5" t="n">
        <v>-0.209</v>
      </c>
      <c r="AT676" s="5" t="n">
        <v>0.621</v>
      </c>
      <c r="AU676" s="5" t="n">
        <v>0</v>
      </c>
      <c r="AV676" s="5" t="n">
        <v>0</v>
      </c>
      <c r="AW676" s="5" t="n">
        <v>0.783</v>
      </c>
      <c r="AX676" s="5" t="n">
        <v>0.129</v>
      </c>
      <c r="AY676" s="5" t="n">
        <v>-0.609</v>
      </c>
      <c r="AZ676" s="5" t="n">
        <v>0.2</v>
      </c>
      <c r="BA676" s="5" t="n">
        <v>0</v>
      </c>
      <c r="BB676" s="5" t="n">
        <v>0</v>
      </c>
      <c r="BC676" s="5" t="n">
        <v>0.527</v>
      </c>
      <c r="BD676" s="5" t="n">
        <v>0.129</v>
      </c>
      <c r="BE676" s="5" t="n">
        <v>-0.312</v>
      </c>
      <c r="BF676" s="5" t="n">
        <v>0.248</v>
      </c>
      <c r="BG676" s="5" t="n">
        <v>0</v>
      </c>
      <c r="BH676" s="5" t="n">
        <v>0</v>
      </c>
      <c r="BI676" s="5" t="n">
        <v>0.64</v>
      </c>
      <c r="BJ676" s="5" t="n">
        <v>0.129</v>
      </c>
      <c r="BK676" s="5" t="n">
        <v>-0.436</v>
      </c>
      <c r="BL676" s="5" t="n">
        <v>0.235</v>
      </c>
      <c r="BM676" s="5" t="n">
        <v>0</v>
      </c>
      <c r="BN676" s="5" t="n">
        <v>0</v>
      </c>
      <c r="BO676" s="5" t="n">
        <v>0</v>
      </c>
      <c r="BP676" s="5" t="n">
        <v>-0.036</v>
      </c>
      <c r="BQ676" s="5" t="n">
        <v>0.048</v>
      </c>
      <c r="BR676" s="5" t="n">
        <v>0</v>
      </c>
      <c r="BS676" s="5" t="n">
        <v>0</v>
      </c>
      <c r="BT676" s="5" t="n">
        <v>0</v>
      </c>
      <c r="BU676" s="5" t="n">
        <v>-0.036</v>
      </c>
      <c r="BV676" s="5" t="n">
        <v>0.064</v>
      </c>
      <c r="BW676" s="5" t="n">
        <v>0</v>
      </c>
      <c r="BX676" s="5" t="n">
        <v>0.333</v>
      </c>
      <c r="BY676" s="5" t="n">
        <v>13.254</v>
      </c>
      <c r="BZ676" s="5" t="n">
        <v>0</v>
      </c>
      <c r="CA676" s="5" t="n">
        <v>13.254</v>
      </c>
      <c r="CB676" s="5" t="n">
        <v>0</v>
      </c>
      <c r="CC676" s="5" t="n">
        <v>87.07899999999999</v>
      </c>
      <c r="CD676" s="5" t="n">
        <v>7.95</v>
      </c>
      <c r="CE676" s="5" t="n">
        <v>-54.713</v>
      </c>
      <c r="CF676" s="5" t="n">
        <v>37.221</v>
      </c>
      <c r="CG676" s="5" t="n">
        <v>0</v>
      </c>
      <c r="CH676" s="5" t="n">
        <v>0</v>
      </c>
      <c r="CI676" s="5" t="n">
        <v>0</v>
      </c>
      <c r="CJ676" s="5" t="n">
        <v>0</v>
      </c>
      <c r="CK676" s="5" t="n">
        <v>0</v>
      </c>
      <c r="CL676" s="5" t="n">
        <v>0</v>
      </c>
      <c r="CM676" s="5" t="n">
        <v>0</v>
      </c>
      <c r="CN676" s="5" t="n">
        <v>0</v>
      </c>
      <c r="CO676" s="5" t="n">
        <v>0</v>
      </c>
      <c r="CP676" s="5" t="n">
        <v>0</v>
      </c>
      <c r="CQ676" s="5" t="n">
        <v>1.348</v>
      </c>
      <c r="CR676" s="5" t="n">
        <v>1</v>
      </c>
      <c r="CS676" s="5" t="n">
        <v>3.87</v>
      </c>
      <c r="CT676" s="5" t="n">
        <v>4.861</v>
      </c>
      <c r="CU676" s="5" t="n">
        <v>10.622</v>
      </c>
    </row>
    <row r="677">
      <c r="A677" s="5" t="inlineStr">
        <is>
          <t>SAU2024</t>
        </is>
      </c>
      <c r="B677" s="5" t="inlineStr">
        <is>
          <t>SAU</t>
        </is>
      </c>
      <c r="C677" s="5" t="inlineStr">
        <is>
          <t>SAU</t>
        </is>
      </c>
      <c r="D677" s="5" t="inlineStr">
        <is>
          <t>Saudi Arabia</t>
        </is>
      </c>
      <c r="E677" s="5" t="n">
        <v>2024</v>
      </c>
      <c r="F677" s="5" t="n">
        <v>0.15</v>
      </c>
      <c r="G677" s="5" t="n">
        <v>5.575</v>
      </c>
      <c r="H677" s="5" t="n">
        <v>1.324</v>
      </c>
      <c r="I677" s="5" t="n">
        <v>0.213</v>
      </c>
      <c r="J677" s="5" t="n">
        <v>5.787</v>
      </c>
      <c r="K677" s="5" t="n">
        <v>0</v>
      </c>
      <c r="L677" s="5" t="n">
        <v>1</v>
      </c>
      <c r="M677" s="5" t="n">
        <v>7.124</v>
      </c>
      <c r="N677" s="5" t="n">
        <v>3.971</v>
      </c>
      <c r="O677" s="5" t="n">
        <v>0.158</v>
      </c>
      <c r="P677" s="5" t="n">
        <v>7.281</v>
      </c>
      <c r="Q677" s="5" t="n">
        <v>0</v>
      </c>
      <c r="R677" s="5" t="n">
        <v>1</v>
      </c>
      <c r="S677" s="5" t="n">
        <v>12.193</v>
      </c>
      <c r="T677" s="5" t="n">
        <v>7.942</v>
      </c>
      <c r="U677" s="5" t="n">
        <v>0.466</v>
      </c>
      <c r="V677" s="5" t="n">
        <v>14.266</v>
      </c>
      <c r="W677" s="5" t="n">
        <v>0.15</v>
      </c>
      <c r="X677" s="5" t="n">
        <v>1</v>
      </c>
      <c r="Y677" s="5" t="n">
        <v>4.646</v>
      </c>
      <c r="Z677" s="5" t="n">
        <v>0.421</v>
      </c>
      <c r="AA677" s="5" t="n">
        <v>-3.137</v>
      </c>
      <c r="AB677" s="5" t="n">
        <v>1.509</v>
      </c>
      <c r="AC677" s="5" t="n">
        <v>0</v>
      </c>
      <c r="AD677" s="5" t="n">
        <v>0</v>
      </c>
      <c r="AE677" s="5" t="n">
        <v>5.307</v>
      </c>
      <c r="AF677" s="5" t="n">
        <v>0.866</v>
      </c>
      <c r="AG677" s="5" t="n">
        <v>-4.042</v>
      </c>
      <c r="AH677" s="5" t="n">
        <v>1.266</v>
      </c>
      <c r="AI677" s="5" t="n">
        <v>0</v>
      </c>
      <c r="AJ677" s="5" t="n">
        <v>0</v>
      </c>
      <c r="AK677" s="5" t="n">
        <v>9.278</v>
      </c>
      <c r="AL677" s="5" t="n">
        <v>3.901</v>
      </c>
      <c r="AM677" s="5" t="n">
        <v>-3.969</v>
      </c>
      <c r="AN677" s="5" t="n">
        <v>5.309</v>
      </c>
      <c r="AO677" s="5" t="n">
        <v>0</v>
      </c>
      <c r="AP677" s="5" t="n">
        <v>0</v>
      </c>
      <c r="AQ677" s="5" t="n">
        <v>0.72</v>
      </c>
      <c r="AR677" s="5" t="n">
        <v>0.132</v>
      </c>
      <c r="AS677" s="5" t="n">
        <v>-0.18</v>
      </c>
      <c r="AT677" s="5" t="n">
        <v>0.621</v>
      </c>
      <c r="AU677" s="5" t="n">
        <v>0</v>
      </c>
      <c r="AV677" s="5" t="n">
        <v>0</v>
      </c>
      <c r="AW677" s="5" t="n">
        <v>0.734</v>
      </c>
      <c r="AX677" s="5" t="n">
        <v>0.132</v>
      </c>
      <c r="AY677" s="5" t="n">
        <v>-0.467</v>
      </c>
      <c r="AZ677" s="5" t="n">
        <v>0.307</v>
      </c>
      <c r="BA677" s="5" t="n">
        <v>0</v>
      </c>
      <c r="BB677" s="5" t="n">
        <v>0</v>
      </c>
      <c r="BC677" s="5" t="n">
        <v>0.51</v>
      </c>
      <c r="BD677" s="5" t="n">
        <v>0.132</v>
      </c>
      <c r="BE677" s="5" t="n">
        <v>-0.278</v>
      </c>
      <c r="BF677" s="5" t="n">
        <v>0.267</v>
      </c>
      <c r="BG677" s="5" t="n">
        <v>0</v>
      </c>
      <c r="BH677" s="5" t="n">
        <v>0</v>
      </c>
      <c r="BI677" s="5" t="n">
        <v>0.652</v>
      </c>
      <c r="BJ677" s="5" t="n">
        <v>0.132</v>
      </c>
      <c r="BK677" s="5" t="n">
        <v>-0.382</v>
      </c>
      <c r="BL677" s="5" t="n">
        <v>0.31</v>
      </c>
      <c r="BM677" s="5" t="n">
        <v>0</v>
      </c>
      <c r="BN677" s="5" t="n">
        <v>0</v>
      </c>
      <c r="BO677" s="5" t="n">
        <v>0</v>
      </c>
      <c r="BP677" s="5" t="n">
        <v>-0.037</v>
      </c>
      <c r="BQ677" s="5" t="n">
        <v>0.048</v>
      </c>
      <c r="BR677" s="5" t="n">
        <v>0</v>
      </c>
      <c r="BS677" s="5" t="n">
        <v>0</v>
      </c>
      <c r="BT677" s="5" t="n">
        <v>0</v>
      </c>
      <c r="BU677" s="5" t="n">
        <v>-0.037</v>
      </c>
      <c r="BV677" s="5" t="n">
        <v>0.057</v>
      </c>
      <c r="BW677" s="5" t="n">
        <v>0</v>
      </c>
      <c r="BX677" s="5" t="n">
        <v>0.333</v>
      </c>
      <c r="BY677" s="5" t="n">
        <v>13.646</v>
      </c>
      <c r="BZ677" s="5" t="n">
        <v>0</v>
      </c>
      <c r="CA677" s="5" t="n">
        <v>13.646</v>
      </c>
      <c r="CB677" s="5" t="n">
        <v>0</v>
      </c>
      <c r="CC677" s="5" t="n">
        <v>86.38500000000001</v>
      </c>
      <c r="CD677" s="5" t="n">
        <v>7.95</v>
      </c>
      <c r="CE677" s="5" t="n">
        <v>-37.7</v>
      </c>
      <c r="CF677" s="5" t="n">
        <v>55.988</v>
      </c>
      <c r="CG677" s="5" t="n">
        <v>0</v>
      </c>
      <c r="CH677" s="5" t="n">
        <v>0</v>
      </c>
      <c r="CI677" s="5" t="n">
        <v>0</v>
      </c>
      <c r="CJ677" s="5" t="n">
        <v>0</v>
      </c>
      <c r="CK677" s="5" t="n">
        <v>0</v>
      </c>
      <c r="CL677" s="5" t="n">
        <v>0</v>
      </c>
      <c r="CM677" s="5" t="n">
        <v>0</v>
      </c>
      <c r="CN677" s="5" t="n">
        <v>0</v>
      </c>
      <c r="CO677" s="5" t="n">
        <v>0</v>
      </c>
      <c r="CP677" s="5" t="n">
        <v>0</v>
      </c>
      <c r="CQ677" s="5" t="n">
        <v>1.387</v>
      </c>
      <c r="CR677" s="5" t="n">
        <v>1</v>
      </c>
      <c r="CS677" s="5" t="n">
        <v>3.984</v>
      </c>
      <c r="CT677" s="5" t="n">
        <v>4.251</v>
      </c>
      <c r="CU677" s="5" t="n">
        <v>9.167999999999999</v>
      </c>
    </row>
    <row r="678">
      <c r="A678" s="5" t="inlineStr">
        <is>
          <t>SEN2021</t>
        </is>
      </c>
      <c r="B678" s="5" t="inlineStr">
        <is>
          <t>SEN</t>
        </is>
      </c>
      <c r="C678" s="5" t="inlineStr">
        <is>
          <t>SEN</t>
        </is>
      </c>
      <c r="D678" s="5" t="inlineStr">
        <is>
          <t>Senegal</t>
        </is>
      </c>
      <c r="E678" s="5" t="n">
        <v>2021</v>
      </c>
      <c r="F678" s="5" t="n">
        <v>0.18</v>
      </c>
      <c r="G678" s="5" t="n">
        <v>5.897</v>
      </c>
      <c r="H678" s="5" t="n">
        <v>1.143</v>
      </c>
      <c r="I678" s="5" t="n">
        <v>0</v>
      </c>
      <c r="J678" s="5" t="n">
        <v>5.897</v>
      </c>
      <c r="K678" s="5" t="n">
        <v>0</v>
      </c>
      <c r="L678" s="5" t="n">
        <v>1</v>
      </c>
      <c r="M678" s="5" t="n">
        <v>7.964</v>
      </c>
      <c r="N678" s="5" t="n">
        <v>3.43</v>
      </c>
      <c r="O678" s="5" t="n">
        <v>0</v>
      </c>
      <c r="P678" s="5" t="n">
        <v>7.964</v>
      </c>
      <c r="Q678" s="5" t="n">
        <v>0</v>
      </c>
      <c r="R678" s="5" t="n">
        <v>1</v>
      </c>
      <c r="S678" s="5" t="n">
        <v>11.613</v>
      </c>
      <c r="T678" s="5" t="n">
        <v>6.86</v>
      </c>
      <c r="U678" s="5" t="n">
        <v>0</v>
      </c>
      <c r="V678" s="5" t="n">
        <v>13.704</v>
      </c>
      <c r="W678" s="5" t="n">
        <v>0.18</v>
      </c>
      <c r="X678" s="5" t="n">
        <v>1</v>
      </c>
      <c r="Y678" s="5" t="n">
        <v>4.848</v>
      </c>
      <c r="Z678" s="5" t="n">
        <v>0.356</v>
      </c>
      <c r="AA678" s="5" t="n">
        <v>0</v>
      </c>
      <c r="AB678" s="5" t="n">
        <v>4.848</v>
      </c>
      <c r="AC678" s="5" t="n">
        <v>0</v>
      </c>
      <c r="AD678" s="5" t="n">
        <v>1</v>
      </c>
      <c r="AE678" s="5" t="n">
        <v>5.42</v>
      </c>
      <c r="AF678" s="5" t="n">
        <v>0.733</v>
      </c>
      <c r="AG678" s="5" t="n">
        <v>0</v>
      </c>
      <c r="AH678" s="5" t="n">
        <v>5.42</v>
      </c>
      <c r="AI678" s="5" t="n">
        <v>0</v>
      </c>
      <c r="AJ678" s="5" t="n">
        <v>1</v>
      </c>
      <c r="AK678" s="5" t="n">
        <v>8.85</v>
      </c>
      <c r="AL678" s="5" t="n">
        <v>3.288</v>
      </c>
      <c r="AM678" s="5" t="n">
        <v>0</v>
      </c>
      <c r="AN678" s="5" t="n">
        <v>10.443</v>
      </c>
      <c r="AO678" s="5" t="n">
        <v>0.18</v>
      </c>
      <c r="AP678" s="5" t="n">
        <v>1</v>
      </c>
      <c r="AQ678" s="5" t="n">
        <v>0.619</v>
      </c>
      <c r="AR678" s="5" t="n">
        <v>0.114</v>
      </c>
      <c r="AS678" s="5" t="n">
        <v>0.469</v>
      </c>
      <c r="AT678" s="5" t="n">
        <v>1.284</v>
      </c>
      <c r="AU678" s="5" t="n">
        <v>0.18</v>
      </c>
      <c r="AV678" s="5" t="n">
        <v>1</v>
      </c>
      <c r="AW678" s="5" t="n">
        <v>0.599</v>
      </c>
      <c r="AX678" s="5" t="n">
        <v>0.114</v>
      </c>
      <c r="AY678" s="5" t="n">
        <v>0.401</v>
      </c>
      <c r="AZ678" s="5" t="n">
        <v>1.18</v>
      </c>
      <c r="BA678" s="5" t="n">
        <v>0.18</v>
      </c>
      <c r="BB678" s="5" t="n">
        <v>1</v>
      </c>
      <c r="BC678" s="5" t="n">
        <v>0.439</v>
      </c>
      <c r="BD678" s="5" t="n">
        <v>0.114</v>
      </c>
      <c r="BE678" s="5" t="n">
        <v>0.034</v>
      </c>
      <c r="BF678" s="5" t="n">
        <v>0.5580000000000001</v>
      </c>
      <c r="BG678" s="5" t="n">
        <v>0.18</v>
      </c>
      <c r="BH678" s="5" t="n">
        <v>1</v>
      </c>
      <c r="BI678" s="5" t="n">
        <v>0.505</v>
      </c>
      <c r="BJ678" s="5" t="n">
        <v>0.114</v>
      </c>
      <c r="BK678" s="5" t="n">
        <v>0.122</v>
      </c>
      <c r="BL678" s="5" t="n">
        <v>0.74</v>
      </c>
      <c r="BM678" s="5" t="n">
        <v>0.18</v>
      </c>
      <c r="BN678" s="5" t="n">
        <v>1</v>
      </c>
      <c r="BO678" s="5" t="n">
        <v>0</v>
      </c>
      <c r="BP678" s="5" t="n">
        <v>0</v>
      </c>
      <c r="BQ678" s="5" t="n">
        <v>0.153</v>
      </c>
      <c r="BR678" s="5" t="n">
        <v>0</v>
      </c>
      <c r="BS678" s="5" t="n">
        <v>0.667</v>
      </c>
      <c r="BT678" s="5" t="n">
        <v>0</v>
      </c>
      <c r="BU678" s="5" t="n">
        <v>0</v>
      </c>
      <c r="BV678" s="5" t="n">
        <v>0.207</v>
      </c>
      <c r="BW678" s="5" t="n">
        <v>0.18</v>
      </c>
      <c r="BX678" s="5" t="n">
        <v>0.833</v>
      </c>
      <c r="BY678" s="5" t="n">
        <v>11.787</v>
      </c>
      <c r="BZ678" s="5" t="n">
        <v>0</v>
      </c>
      <c r="CA678" s="5" t="n">
        <v>11.787</v>
      </c>
      <c r="CB678" s="5" t="n">
        <v>0</v>
      </c>
      <c r="CC678" s="5" t="n">
        <v>78.125</v>
      </c>
      <c r="CD678" s="5" t="n">
        <v>7.95</v>
      </c>
      <c r="CE678" s="5" t="n">
        <v>3.819</v>
      </c>
      <c r="CF678" s="5" t="n">
        <v>96.694</v>
      </c>
      <c r="CG678" s="5" t="n">
        <v>0.18</v>
      </c>
      <c r="CH678" s="5" t="n">
        <v>1</v>
      </c>
      <c r="CI678" s="5" t="n">
        <v>0</v>
      </c>
      <c r="CJ678" s="5" t="n">
        <v>0</v>
      </c>
      <c r="CK678" s="5" t="n">
        <v>0</v>
      </c>
      <c r="CL678" s="5" t="n">
        <v>0</v>
      </c>
      <c r="CM678" s="5" t="n">
        <v>0</v>
      </c>
      <c r="CN678" s="5" t="n">
        <v>0</v>
      </c>
      <c r="CO678" s="5" t="n">
        <v>0</v>
      </c>
      <c r="CP678" s="5" t="n">
        <v>0</v>
      </c>
      <c r="CQ678" s="5" t="n">
        <v>1.198</v>
      </c>
      <c r="CR678" s="5" t="n">
        <v>1</v>
      </c>
      <c r="CS678" s="5" t="n">
        <v>4.276</v>
      </c>
      <c r="CT678" s="5" t="n">
        <v>4.753</v>
      </c>
      <c r="CU678" s="5" t="n">
        <v>15.162</v>
      </c>
    </row>
    <row r="679">
      <c r="A679" s="5" t="inlineStr">
        <is>
          <t>SEN2022</t>
        </is>
      </c>
      <c r="B679" s="5" t="inlineStr">
        <is>
          <t>SEN</t>
        </is>
      </c>
      <c r="C679" s="5" t="inlineStr">
        <is>
          <t>SEN</t>
        </is>
      </c>
      <c r="D679" s="5" t="inlineStr">
        <is>
          <t>Senegal</t>
        </is>
      </c>
      <c r="E679" s="5" t="n">
        <v>2022</v>
      </c>
      <c r="F679" s="5" t="n">
        <v>0.18</v>
      </c>
      <c r="G679" s="5" t="n">
        <v>11.72</v>
      </c>
      <c r="H679" s="5" t="n">
        <v>1.235</v>
      </c>
      <c r="I679" s="5" t="n">
        <v>0</v>
      </c>
      <c r="J679" s="5" t="n">
        <v>11.72</v>
      </c>
      <c r="K679" s="5" t="n">
        <v>0</v>
      </c>
      <c r="L679" s="5" t="n">
        <v>1</v>
      </c>
      <c r="M679" s="5" t="n">
        <v>9.782999999999999</v>
      </c>
      <c r="N679" s="5" t="n">
        <v>3.704</v>
      </c>
      <c r="O679" s="5" t="n">
        <v>0</v>
      </c>
      <c r="P679" s="5" t="n">
        <v>9.782999999999999</v>
      </c>
      <c r="Q679" s="5" t="n">
        <v>0</v>
      </c>
      <c r="R679" s="5" t="n">
        <v>1</v>
      </c>
      <c r="S679" s="5" t="n">
        <v>17.893</v>
      </c>
      <c r="T679" s="5" t="n">
        <v>7.408</v>
      </c>
      <c r="U679" s="5" t="n">
        <v>0.238</v>
      </c>
      <c r="V679" s="5" t="n">
        <v>21.114</v>
      </c>
      <c r="W679" s="5" t="n">
        <v>0.18</v>
      </c>
      <c r="X679" s="5" t="n">
        <v>1</v>
      </c>
      <c r="Y679" s="5" t="n">
        <v>5.236</v>
      </c>
      <c r="Z679" s="5" t="n">
        <v>0.385</v>
      </c>
      <c r="AA679" s="5" t="n">
        <v>0</v>
      </c>
      <c r="AB679" s="5" t="n">
        <v>5.236</v>
      </c>
      <c r="AC679" s="5" t="n">
        <v>0</v>
      </c>
      <c r="AD679" s="5" t="n">
        <v>1</v>
      </c>
      <c r="AE679" s="5" t="n">
        <v>5.853</v>
      </c>
      <c r="AF679" s="5" t="n">
        <v>0.791</v>
      </c>
      <c r="AG679" s="5" t="n">
        <v>0</v>
      </c>
      <c r="AH679" s="5" t="n">
        <v>5.853</v>
      </c>
      <c r="AI679" s="5" t="n">
        <v>0</v>
      </c>
      <c r="AJ679" s="5" t="n">
        <v>1</v>
      </c>
      <c r="AK679" s="5" t="n">
        <v>9.557</v>
      </c>
      <c r="AL679" s="5" t="n">
        <v>3.55</v>
      </c>
      <c r="AM679" s="5" t="n">
        <v>0.127</v>
      </c>
      <c r="AN679" s="5" t="n">
        <v>11.277</v>
      </c>
      <c r="AO679" s="5" t="n">
        <v>0.18</v>
      </c>
      <c r="AP679" s="5" t="n">
        <v>1</v>
      </c>
      <c r="AQ679" s="5" t="n">
        <v>0.861</v>
      </c>
      <c r="AR679" s="5" t="n">
        <v>0.123</v>
      </c>
      <c r="AS679" s="5" t="n">
        <v>0.137</v>
      </c>
      <c r="AT679" s="5" t="n">
        <v>1.178</v>
      </c>
      <c r="AU679" s="5" t="n">
        <v>0.18</v>
      </c>
      <c r="AV679" s="5" t="n">
        <v>1</v>
      </c>
      <c r="AW679" s="5" t="n">
        <v>0.986</v>
      </c>
      <c r="AX679" s="5" t="n">
        <v>0.123</v>
      </c>
      <c r="AY679" s="5" t="n">
        <v>-0.096</v>
      </c>
      <c r="AZ679" s="5" t="n">
        <v>1.05</v>
      </c>
      <c r="BA679" s="5" t="n">
        <v>0.18</v>
      </c>
      <c r="BB679" s="5" t="n">
        <v>1</v>
      </c>
      <c r="BC679" s="5" t="n">
        <v>0.598</v>
      </c>
      <c r="BD679" s="5" t="n">
        <v>0.123</v>
      </c>
      <c r="BE679" s="5" t="n">
        <v>0.023</v>
      </c>
      <c r="BF679" s="5" t="n">
        <v>0.732</v>
      </c>
      <c r="BG679" s="5" t="n">
        <v>0.18</v>
      </c>
      <c r="BH679" s="5" t="n">
        <v>1</v>
      </c>
      <c r="BI679" s="5" t="n">
        <v>0.612</v>
      </c>
      <c r="BJ679" s="5" t="n">
        <v>0.123</v>
      </c>
      <c r="BK679" s="5" t="n">
        <v>-0.055</v>
      </c>
      <c r="BL679" s="5" t="n">
        <v>0.658</v>
      </c>
      <c r="BM679" s="5" t="n">
        <v>0.18</v>
      </c>
      <c r="BN679" s="5" t="n">
        <v>1</v>
      </c>
      <c r="BO679" s="5" t="n">
        <v>0</v>
      </c>
      <c r="BP679" s="5" t="n">
        <v>0</v>
      </c>
      <c r="BQ679" s="5" t="n">
        <v>0.136</v>
      </c>
      <c r="BR679" s="5" t="n">
        <v>0</v>
      </c>
      <c r="BS679" s="5" t="n">
        <v>0.667</v>
      </c>
      <c r="BT679" s="5" t="n">
        <v>0</v>
      </c>
      <c r="BU679" s="5" t="n">
        <v>0</v>
      </c>
      <c r="BV679" s="5" t="n">
        <v>0.184</v>
      </c>
      <c r="BW679" s="5" t="n">
        <v>0.18</v>
      </c>
      <c r="BX679" s="5" t="n">
        <v>0.833</v>
      </c>
      <c r="BY679" s="5" t="n">
        <v>12.729</v>
      </c>
      <c r="BZ679" s="5" t="n">
        <v>0</v>
      </c>
      <c r="CA679" s="5" t="n">
        <v>12.729</v>
      </c>
      <c r="CB679" s="5" t="n">
        <v>0</v>
      </c>
      <c r="CC679" s="5" t="n">
        <v>97.90000000000001</v>
      </c>
      <c r="CD679" s="5" t="n">
        <v>7.95</v>
      </c>
      <c r="CE679" s="5" t="n">
        <v>1.37</v>
      </c>
      <c r="CF679" s="5" t="n">
        <v>117.138</v>
      </c>
      <c r="CG679" s="5" t="n">
        <v>0.18</v>
      </c>
      <c r="CH679" s="5" t="n">
        <v>1</v>
      </c>
      <c r="CI679" s="5" t="n">
        <v>0</v>
      </c>
      <c r="CJ679" s="5" t="n">
        <v>0</v>
      </c>
      <c r="CK679" s="5" t="n">
        <v>0</v>
      </c>
      <c r="CL679" s="5" t="n">
        <v>0</v>
      </c>
      <c r="CM679" s="5" t="n">
        <v>0</v>
      </c>
      <c r="CN679" s="5" t="n">
        <v>0</v>
      </c>
      <c r="CO679" s="5" t="n">
        <v>0</v>
      </c>
      <c r="CP679" s="5" t="n">
        <v>0</v>
      </c>
      <c r="CQ679" s="5" t="n">
        <v>1.294</v>
      </c>
      <c r="CR679" s="5" t="n">
        <v>1</v>
      </c>
      <c r="CS679" s="5" t="n">
        <v>4.618</v>
      </c>
      <c r="CT679" s="5" t="n">
        <v>10.485</v>
      </c>
      <c r="CU679" s="5" t="n">
        <v>31.326</v>
      </c>
    </row>
    <row r="680">
      <c r="A680" s="5" t="inlineStr">
        <is>
          <t>SEN2023</t>
        </is>
      </c>
      <c r="B680" s="5" t="inlineStr">
        <is>
          <t>SEN</t>
        </is>
      </c>
      <c r="C680" s="5" t="inlineStr">
        <is>
          <t>SEN</t>
        </is>
      </c>
      <c r="D680" s="5" t="inlineStr">
        <is>
          <t>Senegal</t>
        </is>
      </c>
      <c r="E680" s="5" t="n">
        <v>2023</v>
      </c>
      <c r="F680" s="5" t="n">
        <v>0.18</v>
      </c>
      <c r="G680" s="5" t="n">
        <v>6.147</v>
      </c>
      <c r="H680" s="5" t="n">
        <v>1.286</v>
      </c>
      <c r="I680" s="5" t="n">
        <v>0</v>
      </c>
      <c r="J680" s="5" t="n">
        <v>6.147</v>
      </c>
      <c r="K680" s="5" t="n">
        <v>0</v>
      </c>
      <c r="L680" s="5" t="n">
        <v>1</v>
      </c>
      <c r="M680" s="5" t="n">
        <v>7.886</v>
      </c>
      <c r="N680" s="5" t="n">
        <v>3.857</v>
      </c>
      <c r="O680" s="5" t="n">
        <v>0</v>
      </c>
      <c r="P680" s="5" t="n">
        <v>7.886</v>
      </c>
      <c r="Q680" s="5" t="n">
        <v>0</v>
      </c>
      <c r="R680" s="5" t="n">
        <v>1</v>
      </c>
      <c r="S680" s="5" t="n">
        <v>12.575</v>
      </c>
      <c r="T680" s="5" t="n">
        <v>7.714</v>
      </c>
      <c r="U680" s="5" t="n">
        <v>0.251</v>
      </c>
      <c r="V680" s="5" t="n">
        <v>14.839</v>
      </c>
      <c r="W680" s="5" t="n">
        <v>0.18</v>
      </c>
      <c r="X680" s="5" t="n">
        <v>1</v>
      </c>
      <c r="Y680" s="5" t="n">
        <v>5.452</v>
      </c>
      <c r="Z680" s="5" t="n">
        <v>0.401</v>
      </c>
      <c r="AA680" s="5" t="n">
        <v>0</v>
      </c>
      <c r="AB680" s="5" t="n">
        <v>5.452</v>
      </c>
      <c r="AC680" s="5" t="n">
        <v>0</v>
      </c>
      <c r="AD680" s="5" t="n">
        <v>1</v>
      </c>
      <c r="AE680" s="5" t="n">
        <v>6.095</v>
      </c>
      <c r="AF680" s="5" t="n">
        <v>0.824</v>
      </c>
      <c r="AG680" s="5" t="n">
        <v>0</v>
      </c>
      <c r="AH680" s="5" t="n">
        <v>6.095</v>
      </c>
      <c r="AI680" s="5" t="n">
        <v>0</v>
      </c>
      <c r="AJ680" s="5" t="n">
        <v>1</v>
      </c>
      <c r="AK680" s="5" t="n">
        <v>9.952</v>
      </c>
      <c r="AL680" s="5" t="n">
        <v>3.697</v>
      </c>
      <c r="AM680" s="5" t="n">
        <v>0.198</v>
      </c>
      <c r="AN680" s="5" t="n">
        <v>11.743</v>
      </c>
      <c r="AO680" s="5" t="n">
        <v>0.18</v>
      </c>
      <c r="AP680" s="5" t="n">
        <v>1</v>
      </c>
      <c r="AQ680" s="5" t="n">
        <v>0.76</v>
      </c>
      <c r="AR680" s="5" t="n">
        <v>0.129</v>
      </c>
      <c r="AS680" s="5" t="n">
        <v>0.333</v>
      </c>
      <c r="AT680" s="5" t="n">
        <v>1.29</v>
      </c>
      <c r="AU680" s="5" t="n">
        <v>0.18</v>
      </c>
      <c r="AV680" s="5" t="n">
        <v>1</v>
      </c>
      <c r="AW680" s="5" t="n">
        <v>0.8110000000000001</v>
      </c>
      <c r="AX680" s="5" t="n">
        <v>0.129</v>
      </c>
      <c r="AY680" s="5" t="n">
        <v>0.242</v>
      </c>
      <c r="AZ680" s="5" t="n">
        <v>1.243</v>
      </c>
      <c r="BA680" s="5" t="n">
        <v>0.18</v>
      </c>
      <c r="BB680" s="5" t="n">
        <v>1</v>
      </c>
      <c r="BC680" s="5" t="n">
        <v>0.535</v>
      </c>
      <c r="BD680" s="5" t="n">
        <v>0.129</v>
      </c>
      <c r="BE680" s="5" t="n">
        <v>0</v>
      </c>
      <c r="BF680" s="5" t="n">
        <v>0.631</v>
      </c>
      <c r="BG680" s="5" t="n">
        <v>0.18</v>
      </c>
      <c r="BH680" s="5" t="n">
        <v>1</v>
      </c>
      <c r="BI680" s="5" t="n">
        <v>0.579</v>
      </c>
      <c r="BJ680" s="5" t="n">
        <v>0.129</v>
      </c>
      <c r="BK680" s="5" t="n">
        <v>-0.006</v>
      </c>
      <c r="BL680" s="5" t="n">
        <v>0.676</v>
      </c>
      <c r="BM680" s="5" t="n">
        <v>0.18</v>
      </c>
      <c r="BN680" s="5" t="n">
        <v>1</v>
      </c>
      <c r="BO680" s="5" t="n">
        <v>0</v>
      </c>
      <c r="BP680" s="5" t="n">
        <v>0</v>
      </c>
      <c r="BQ680" s="5" t="n">
        <v>0.13</v>
      </c>
      <c r="BR680" s="5" t="n">
        <v>0</v>
      </c>
      <c r="BS680" s="5" t="n">
        <v>0.667</v>
      </c>
      <c r="BT680" s="5" t="n">
        <v>0</v>
      </c>
      <c r="BU680" s="5" t="n">
        <v>0</v>
      </c>
      <c r="BV680" s="5" t="n">
        <v>0.192</v>
      </c>
      <c r="BW680" s="5" t="n">
        <v>0.18</v>
      </c>
      <c r="BX680" s="5" t="n">
        <v>0.833</v>
      </c>
      <c r="BY680" s="5" t="n">
        <v>13.254</v>
      </c>
      <c r="BZ680" s="5" t="n">
        <v>0</v>
      </c>
      <c r="CA680" s="5" t="n">
        <v>13.254</v>
      </c>
      <c r="CB680" s="5" t="n">
        <v>0</v>
      </c>
      <c r="CC680" s="5" t="n">
        <v>83.248</v>
      </c>
      <c r="CD680" s="5" t="n">
        <v>7.95</v>
      </c>
      <c r="CE680" s="5" t="n">
        <v>18.835</v>
      </c>
      <c r="CF680" s="5" t="n">
        <v>120.458</v>
      </c>
      <c r="CG680" s="5" t="n">
        <v>0.18</v>
      </c>
      <c r="CH680" s="5" t="n">
        <v>1</v>
      </c>
      <c r="CI680" s="5" t="n">
        <v>0</v>
      </c>
      <c r="CJ680" s="5" t="n">
        <v>0</v>
      </c>
      <c r="CK680" s="5" t="n">
        <v>0</v>
      </c>
      <c r="CL680" s="5" t="n">
        <v>0</v>
      </c>
      <c r="CM680" s="5" t="n">
        <v>0</v>
      </c>
      <c r="CN680" s="5" t="n">
        <v>0</v>
      </c>
      <c r="CO680" s="5" t="n">
        <v>0</v>
      </c>
      <c r="CP680" s="5" t="n">
        <v>0</v>
      </c>
      <c r="CQ680" s="5" t="n">
        <v>1.348</v>
      </c>
      <c r="CR680" s="5" t="n">
        <v>1</v>
      </c>
      <c r="CS680" s="5" t="n">
        <v>4.809</v>
      </c>
      <c r="CT680" s="5" t="n">
        <v>4.861</v>
      </c>
      <c r="CU680" s="5" t="n">
        <v>11.622</v>
      </c>
    </row>
    <row r="681">
      <c r="A681" s="5" t="inlineStr">
        <is>
          <t>SEN2024</t>
        </is>
      </c>
      <c r="B681" s="5" t="inlineStr">
        <is>
          <t>SEN</t>
        </is>
      </c>
      <c r="C681" s="5" t="inlineStr">
        <is>
          <t>SEN</t>
        </is>
      </c>
      <c r="D681" s="5" t="inlineStr">
        <is>
          <t>Senegal</t>
        </is>
      </c>
      <c r="E681" s="5" t="n">
        <v>2024</v>
      </c>
      <c r="F681" s="5" t="n">
        <v>0.18</v>
      </c>
      <c r="G681" s="5" t="n">
        <v>5.575</v>
      </c>
      <c r="H681" s="5" t="n">
        <v>1.324</v>
      </c>
      <c r="I681" s="5" t="n">
        <v>0</v>
      </c>
      <c r="J681" s="5" t="n">
        <v>5.575</v>
      </c>
      <c r="K681" s="5" t="n">
        <v>0</v>
      </c>
      <c r="L681" s="5" t="n">
        <v>1</v>
      </c>
      <c r="M681" s="5" t="n">
        <v>7.124</v>
      </c>
      <c r="N681" s="5" t="n">
        <v>3.971</v>
      </c>
      <c r="O681" s="5" t="n">
        <v>0</v>
      </c>
      <c r="P681" s="5" t="n">
        <v>7.124</v>
      </c>
      <c r="Q681" s="5" t="n">
        <v>0</v>
      </c>
      <c r="R681" s="5" t="n">
        <v>1</v>
      </c>
      <c r="S681" s="5" t="n">
        <v>12.193</v>
      </c>
      <c r="T681" s="5" t="n">
        <v>7.942</v>
      </c>
      <c r="U681" s="5" t="n">
        <v>0.299</v>
      </c>
      <c r="V681" s="5" t="n">
        <v>14.388</v>
      </c>
      <c r="W681" s="5" t="n">
        <v>0.18</v>
      </c>
      <c r="X681" s="5" t="n">
        <v>1</v>
      </c>
      <c r="Y681" s="5" t="n">
        <v>5.613</v>
      </c>
      <c r="Z681" s="5" t="n">
        <v>0.413</v>
      </c>
      <c r="AA681" s="5" t="n">
        <v>0</v>
      </c>
      <c r="AB681" s="5" t="n">
        <v>5.613</v>
      </c>
      <c r="AC681" s="5" t="n">
        <v>0</v>
      </c>
      <c r="AD681" s="5" t="n">
        <v>1</v>
      </c>
      <c r="AE681" s="5" t="n">
        <v>6.274</v>
      </c>
      <c r="AF681" s="5" t="n">
        <v>0.848</v>
      </c>
      <c r="AG681" s="5" t="n">
        <v>0</v>
      </c>
      <c r="AH681" s="5" t="n">
        <v>6.274</v>
      </c>
      <c r="AI681" s="5" t="n">
        <v>0</v>
      </c>
      <c r="AJ681" s="5" t="n">
        <v>1</v>
      </c>
      <c r="AK681" s="5" t="n">
        <v>10.245</v>
      </c>
      <c r="AL681" s="5" t="n">
        <v>3.806</v>
      </c>
      <c r="AM681" s="5" t="n">
        <v>0.251</v>
      </c>
      <c r="AN681" s="5" t="n">
        <v>12.089</v>
      </c>
      <c r="AO681" s="5" t="n">
        <v>0.18</v>
      </c>
      <c r="AP681" s="5" t="n">
        <v>1</v>
      </c>
      <c r="AQ681" s="5" t="n">
        <v>0.724</v>
      </c>
      <c r="AR681" s="5" t="n">
        <v>0.132</v>
      </c>
      <c r="AS681" s="5" t="n">
        <v>-0.022</v>
      </c>
      <c r="AT681" s="5" t="n">
        <v>0.829</v>
      </c>
      <c r="AU681" s="5" t="n">
        <v>0.18</v>
      </c>
      <c r="AV681" s="5" t="n">
        <v>1</v>
      </c>
      <c r="AW681" s="5" t="n">
        <v>0.75</v>
      </c>
      <c r="AX681" s="5" t="n">
        <v>0.132</v>
      </c>
      <c r="AY681" s="5" t="n">
        <v>0.304</v>
      </c>
      <c r="AZ681" s="5" t="n">
        <v>1.244</v>
      </c>
      <c r="BA681" s="5" t="n">
        <v>0.18</v>
      </c>
      <c r="BB681" s="5" t="n">
        <v>1</v>
      </c>
      <c r="BC681" s="5" t="n">
        <v>0.513</v>
      </c>
      <c r="BD681" s="5" t="n">
        <v>0.132</v>
      </c>
      <c r="BE681" s="5" t="n">
        <v>0.022</v>
      </c>
      <c r="BF681" s="5" t="n">
        <v>0.631</v>
      </c>
      <c r="BG681" s="5" t="n">
        <v>0.18</v>
      </c>
      <c r="BH681" s="5" t="n">
        <v>1</v>
      </c>
      <c r="BI681" s="5" t="n">
        <v>0.591</v>
      </c>
      <c r="BJ681" s="5" t="n">
        <v>0.132</v>
      </c>
      <c r="BK681" s="5" t="n">
        <v>-0.017</v>
      </c>
      <c r="BL681" s="5" t="n">
        <v>0.677</v>
      </c>
      <c r="BM681" s="5" t="n">
        <v>0.18</v>
      </c>
      <c r="BN681" s="5" t="n">
        <v>1</v>
      </c>
      <c r="BO681" s="5" t="n">
        <v>0</v>
      </c>
      <c r="BP681" s="5" t="n">
        <v>0</v>
      </c>
      <c r="BQ681" s="5" t="n">
        <v>0.164</v>
      </c>
      <c r="BR681" s="5" t="n">
        <v>0</v>
      </c>
      <c r="BS681" s="5" t="n">
        <v>0.667</v>
      </c>
      <c r="BT681" s="5" t="n">
        <v>0</v>
      </c>
      <c r="BU681" s="5" t="n">
        <v>0</v>
      </c>
      <c r="BV681" s="5" t="n">
        <v>0.204</v>
      </c>
      <c r="BW681" s="5" t="n">
        <v>0.18</v>
      </c>
      <c r="BX681" s="5" t="n">
        <v>0.833</v>
      </c>
      <c r="BY681" s="5" t="n">
        <v>13.646</v>
      </c>
      <c r="BZ681" s="5" t="n">
        <v>0</v>
      </c>
      <c r="CA681" s="5" t="n">
        <v>13.646</v>
      </c>
      <c r="CB681" s="5" t="n">
        <v>0</v>
      </c>
      <c r="CC681" s="5" t="n">
        <v>82.58799999999999</v>
      </c>
      <c r="CD681" s="5" t="n">
        <v>7.95</v>
      </c>
      <c r="CE681" s="5" t="n">
        <v>22.803</v>
      </c>
      <c r="CF681" s="5" t="n">
        <v>121.385</v>
      </c>
      <c r="CG681" s="5" t="n">
        <v>0.18</v>
      </c>
      <c r="CH681" s="5" t="n">
        <v>1</v>
      </c>
      <c r="CI681" s="5" t="n">
        <v>0</v>
      </c>
      <c r="CJ681" s="5" t="n">
        <v>0</v>
      </c>
      <c r="CK681" s="5" t="n">
        <v>0</v>
      </c>
      <c r="CL681" s="5" t="n">
        <v>0</v>
      </c>
      <c r="CM681" s="5" t="n">
        <v>0</v>
      </c>
      <c r="CN681" s="5" t="n">
        <v>0</v>
      </c>
      <c r="CO681" s="5" t="n">
        <v>0</v>
      </c>
      <c r="CP681" s="5" t="n">
        <v>0</v>
      </c>
      <c r="CQ681" s="5" t="n">
        <v>1.387</v>
      </c>
      <c r="CR681" s="5" t="n">
        <v>1</v>
      </c>
      <c r="CS681" s="5" t="n">
        <v>4.951</v>
      </c>
      <c r="CT681" s="5" t="n">
        <v>4.251</v>
      </c>
      <c r="CU681" s="5" t="n">
        <v>10.168</v>
      </c>
    </row>
    <row r="682">
      <c r="A682" s="5" t="inlineStr">
        <is>
          <t>SRB2021</t>
        </is>
      </c>
      <c r="B682" s="5" t="inlineStr">
        <is>
          <t>SRB</t>
        </is>
      </c>
      <c r="C682" s="5" t="inlineStr">
        <is>
          <t>SRB</t>
        </is>
      </c>
      <c r="D682" s="5" t="inlineStr">
        <is>
          <t>Serbia</t>
        </is>
      </c>
      <c r="E682" s="5" t="n">
        <v>2021</v>
      </c>
      <c r="F682" s="5" t="n">
        <v>0.2</v>
      </c>
      <c r="G682" s="5" t="n">
        <v>2.135</v>
      </c>
      <c r="H682" s="5" t="n">
        <v>0.627</v>
      </c>
      <c r="I682" s="5" t="n">
        <v>0.004</v>
      </c>
      <c r="J682" s="5" t="n">
        <v>2.14</v>
      </c>
      <c r="K682" s="5" t="n">
        <v>0</v>
      </c>
      <c r="L682" s="5" t="n">
        <v>1</v>
      </c>
      <c r="M682" s="5" t="n">
        <v>3.401</v>
      </c>
      <c r="N682" s="5" t="n">
        <v>1.881</v>
      </c>
      <c r="O682" s="5" t="n">
        <v>0.004</v>
      </c>
      <c r="P682" s="5" t="n">
        <v>3.405</v>
      </c>
      <c r="Q682" s="5" t="n">
        <v>0</v>
      </c>
      <c r="R682" s="5" t="n">
        <v>1</v>
      </c>
      <c r="S682" s="5" t="n">
        <v>6.051</v>
      </c>
      <c r="T682" s="5" t="n">
        <v>3.75</v>
      </c>
      <c r="U682" s="5" t="n">
        <v>0.004</v>
      </c>
      <c r="V682" s="5" t="n">
        <v>7.267</v>
      </c>
      <c r="W682" s="5" t="n">
        <v>0.2</v>
      </c>
      <c r="X682" s="5" t="n">
        <v>1</v>
      </c>
      <c r="Y682" s="5" t="n">
        <v>19.743</v>
      </c>
      <c r="Z682" s="5" t="n">
        <v>2.181</v>
      </c>
      <c r="AA682" s="5" t="n">
        <v>-9.276999999999999</v>
      </c>
      <c r="AB682" s="5" t="n">
        <v>10.466</v>
      </c>
      <c r="AC682" s="5" t="n">
        <v>0</v>
      </c>
      <c r="AD682" s="5" t="n">
        <v>1</v>
      </c>
      <c r="AE682" s="5" t="n">
        <v>19.7</v>
      </c>
      <c r="AF682" s="5" t="n">
        <v>3.877</v>
      </c>
      <c r="AG682" s="5" t="n">
        <v>-9.234</v>
      </c>
      <c r="AH682" s="5" t="n">
        <v>10.466</v>
      </c>
      <c r="AI682" s="5" t="n">
        <v>0</v>
      </c>
      <c r="AJ682" s="5" t="n">
        <v>1</v>
      </c>
      <c r="AK682" s="5" t="n">
        <v>23.335</v>
      </c>
      <c r="AL682" s="5" t="n">
        <v>11.453</v>
      </c>
      <c r="AM682" s="5" t="n">
        <v>-14.036</v>
      </c>
      <c r="AN682" s="5" t="n">
        <v>11.159</v>
      </c>
      <c r="AO682" s="5" t="n">
        <v>0</v>
      </c>
      <c r="AP682" s="5" t="n">
        <v>0</v>
      </c>
      <c r="AQ682" s="5" t="n">
        <v>0.619</v>
      </c>
      <c r="AR682" s="5" t="n">
        <v>0.114</v>
      </c>
      <c r="AS682" s="5" t="n">
        <v>0.655</v>
      </c>
      <c r="AT682" s="5" t="n">
        <v>1.529</v>
      </c>
      <c r="AU682" s="5" t="n">
        <v>0.2</v>
      </c>
      <c r="AV682" s="5" t="n">
        <v>1</v>
      </c>
      <c r="AW682" s="5" t="n">
        <v>0.599</v>
      </c>
      <c r="AX682" s="5" t="n">
        <v>0.114</v>
      </c>
      <c r="AY682" s="5" t="n">
        <v>0.716</v>
      </c>
      <c r="AZ682" s="5" t="n">
        <v>1.579</v>
      </c>
      <c r="BA682" s="5" t="n">
        <v>0.2</v>
      </c>
      <c r="BB682" s="5" t="n">
        <v>1</v>
      </c>
      <c r="BC682" s="5" t="n">
        <v>0.439</v>
      </c>
      <c r="BD682" s="5" t="n">
        <v>0.114</v>
      </c>
      <c r="BE682" s="5" t="n">
        <v>0.271</v>
      </c>
      <c r="BF682" s="5" t="n">
        <v>0.852</v>
      </c>
      <c r="BG682" s="5" t="n">
        <v>0.2</v>
      </c>
      <c r="BH682" s="5" t="n">
        <v>1</v>
      </c>
      <c r="BI682" s="5" t="n">
        <v>0.505</v>
      </c>
      <c r="BJ682" s="5" t="n">
        <v>0.114</v>
      </c>
      <c r="BK682" s="5" t="n">
        <v>0</v>
      </c>
      <c r="BL682" s="5" t="n">
        <v>0.606</v>
      </c>
      <c r="BM682" s="5" t="n">
        <v>0.2</v>
      </c>
      <c r="BN682" s="5" t="n">
        <v>1</v>
      </c>
      <c r="BO682" s="5" t="n">
        <v>0</v>
      </c>
      <c r="BP682" s="5" t="n">
        <v>0.01</v>
      </c>
      <c r="BQ682" s="5" t="n">
        <v>0.08599999999999999</v>
      </c>
      <c r="BR682" s="5" t="n">
        <v>0</v>
      </c>
      <c r="BS682" s="5" t="n">
        <v>1</v>
      </c>
      <c r="BT682" s="5" t="n">
        <v>0</v>
      </c>
      <c r="BU682" s="5" t="n">
        <v>0.01</v>
      </c>
      <c r="BV682" s="5" t="n">
        <v>0.095</v>
      </c>
      <c r="BW682" s="5" t="n">
        <v>0.2</v>
      </c>
      <c r="BX682" s="5" t="n">
        <v>1</v>
      </c>
      <c r="BY682" s="5" t="n">
        <v>11.787</v>
      </c>
      <c r="BZ682" s="5" t="n">
        <v>0</v>
      </c>
      <c r="CA682" s="5" t="n">
        <v>11.787</v>
      </c>
      <c r="CB682" s="5" t="n">
        <v>0</v>
      </c>
      <c r="CC682" s="5" t="n">
        <v>78.125</v>
      </c>
      <c r="CD682" s="5" t="n">
        <v>7.95</v>
      </c>
      <c r="CE682" s="5" t="n">
        <v>0</v>
      </c>
      <c r="CF682" s="5" t="n">
        <v>93.75</v>
      </c>
      <c r="CG682" s="5" t="n">
        <v>0.2</v>
      </c>
      <c r="CH682" s="5" t="n">
        <v>1</v>
      </c>
      <c r="CI682" s="5" t="n">
        <v>0</v>
      </c>
      <c r="CJ682" s="5" t="n">
        <v>0</v>
      </c>
      <c r="CK682" s="5" t="n">
        <v>0</v>
      </c>
      <c r="CL682" s="5" t="n">
        <v>0</v>
      </c>
      <c r="CM682" s="5" t="n">
        <v>0</v>
      </c>
      <c r="CN682" s="5" t="n">
        <v>0</v>
      </c>
      <c r="CO682" s="5" t="n">
        <v>0</v>
      </c>
      <c r="CP682" s="5" t="n">
        <v>0.903</v>
      </c>
      <c r="CQ682" s="5" t="n">
        <v>1.198</v>
      </c>
      <c r="CR682" s="5" t="n">
        <v>0</v>
      </c>
      <c r="CS682" s="5" t="n">
        <v>4.776</v>
      </c>
      <c r="CT682" s="5" t="n">
        <v>4.41</v>
      </c>
      <c r="CU682" s="5" t="n">
        <v>15.162</v>
      </c>
    </row>
    <row r="683">
      <c r="A683" s="5" t="inlineStr">
        <is>
          <t>SRB2022</t>
        </is>
      </c>
      <c r="B683" s="5" t="inlineStr">
        <is>
          <t>SRB</t>
        </is>
      </c>
      <c r="C683" s="5" t="inlineStr">
        <is>
          <t>SRB</t>
        </is>
      </c>
      <c r="D683" s="5" t="inlineStr">
        <is>
          <t>Serbia</t>
        </is>
      </c>
      <c r="E683" s="5" t="n">
        <v>2022</v>
      </c>
      <c r="F683" s="5" t="n">
        <v>0.2</v>
      </c>
      <c r="G683" s="5" t="n">
        <v>2.63</v>
      </c>
      <c r="H683" s="5" t="n">
        <v>0.703</v>
      </c>
      <c r="I683" s="5" t="n">
        <v>0.008</v>
      </c>
      <c r="J683" s="5" t="n">
        <v>2.638</v>
      </c>
      <c r="K683" s="5" t="n">
        <v>0</v>
      </c>
      <c r="L683" s="5" t="n">
        <v>1</v>
      </c>
      <c r="M683" s="5" t="n">
        <v>4.069</v>
      </c>
      <c r="N683" s="5" t="n">
        <v>2.11</v>
      </c>
      <c r="O683" s="5" t="n">
        <v>0.008</v>
      </c>
      <c r="P683" s="5" t="n">
        <v>4.078</v>
      </c>
      <c r="Q683" s="5" t="n">
        <v>0</v>
      </c>
      <c r="R683" s="5" t="n">
        <v>1</v>
      </c>
      <c r="S683" s="5" t="n">
        <v>6.928</v>
      </c>
      <c r="T683" s="5" t="n">
        <v>3.393</v>
      </c>
      <c r="U683" s="5" t="n">
        <v>0.111</v>
      </c>
      <c r="V683" s="5" t="n">
        <v>8.323</v>
      </c>
      <c r="W683" s="5" t="n">
        <v>0.2</v>
      </c>
      <c r="X683" s="5" t="n">
        <v>1</v>
      </c>
      <c r="Y683" s="5" t="n">
        <v>35.999</v>
      </c>
      <c r="Z683" s="5" t="n">
        <v>3.776</v>
      </c>
      <c r="AA683" s="5" t="n">
        <v>-24.578</v>
      </c>
      <c r="AB683" s="5" t="n">
        <v>11.42</v>
      </c>
      <c r="AC683" s="5" t="n">
        <v>0</v>
      </c>
      <c r="AD683" s="5" t="n">
        <v>1</v>
      </c>
      <c r="AE683" s="5" t="n">
        <v>36.046</v>
      </c>
      <c r="AF683" s="5" t="n">
        <v>6.682</v>
      </c>
      <c r="AG683" s="5" t="n">
        <v>-24.626</v>
      </c>
      <c r="AH683" s="5" t="n">
        <v>11.42</v>
      </c>
      <c r="AI683" s="5" t="n">
        <v>0</v>
      </c>
      <c r="AJ683" s="5" t="n">
        <v>1</v>
      </c>
      <c r="AK683" s="5" t="n">
        <v>40.23</v>
      </c>
      <c r="AL683" s="5" t="n">
        <v>19.211</v>
      </c>
      <c r="AM683" s="5" t="n">
        <v>-32.028</v>
      </c>
      <c r="AN683" s="5" t="n">
        <v>9.842000000000001</v>
      </c>
      <c r="AO683" s="5" t="n">
        <v>0</v>
      </c>
      <c r="AP683" s="5" t="n">
        <v>0</v>
      </c>
      <c r="AQ683" s="5" t="n">
        <v>0.861</v>
      </c>
      <c r="AR683" s="5" t="n">
        <v>0.123</v>
      </c>
      <c r="AS683" s="5" t="n">
        <v>0.425</v>
      </c>
      <c r="AT683" s="5" t="n">
        <v>1.543</v>
      </c>
      <c r="AU683" s="5" t="n">
        <v>0.2</v>
      </c>
      <c r="AV683" s="5" t="n">
        <v>1</v>
      </c>
      <c r="AW683" s="5" t="n">
        <v>0.986</v>
      </c>
      <c r="AX683" s="5" t="n">
        <v>0.123</v>
      </c>
      <c r="AY683" s="5" t="n">
        <v>0.437</v>
      </c>
      <c r="AZ683" s="5" t="n">
        <v>1.707</v>
      </c>
      <c r="BA683" s="5" t="n">
        <v>0.2</v>
      </c>
      <c r="BB683" s="5" t="n">
        <v>1</v>
      </c>
      <c r="BC683" s="5" t="n">
        <v>0.598</v>
      </c>
      <c r="BD683" s="5" t="n">
        <v>0.123</v>
      </c>
      <c r="BE683" s="5" t="n">
        <v>0.17</v>
      </c>
      <c r="BF683" s="5" t="n">
        <v>0.921</v>
      </c>
      <c r="BG683" s="5" t="n">
        <v>0.2</v>
      </c>
      <c r="BH683" s="5" t="n">
        <v>1</v>
      </c>
      <c r="BI683" s="5" t="n">
        <v>0.612</v>
      </c>
      <c r="BJ683" s="5" t="n">
        <v>0.123</v>
      </c>
      <c r="BK683" s="5" t="n">
        <v>0.008999999999999999</v>
      </c>
      <c r="BL683" s="5" t="n">
        <v>0.735</v>
      </c>
      <c r="BM683" s="5" t="n">
        <v>0.2</v>
      </c>
      <c r="BN683" s="5" t="n">
        <v>1</v>
      </c>
      <c r="BO683" s="5" t="n">
        <v>0</v>
      </c>
      <c r="BP683" s="5" t="n">
        <v>0.012</v>
      </c>
      <c r="BQ683" s="5" t="n">
        <v>0.093</v>
      </c>
      <c r="BR683" s="5" t="n">
        <v>0</v>
      </c>
      <c r="BS683" s="5" t="n">
        <v>1</v>
      </c>
      <c r="BT683" s="5" t="n">
        <v>0</v>
      </c>
      <c r="BU683" s="5" t="n">
        <v>0.01</v>
      </c>
      <c r="BV683" s="5" t="n">
        <v>0.08799999999999999</v>
      </c>
      <c r="BW683" s="5" t="n">
        <v>0.2</v>
      </c>
      <c r="BX683" s="5" t="n">
        <v>1</v>
      </c>
      <c r="BY683" s="5" t="n">
        <v>12.729</v>
      </c>
      <c r="BZ683" s="5" t="n">
        <v>0</v>
      </c>
      <c r="CA683" s="5" t="n">
        <v>12.729</v>
      </c>
      <c r="CB683" s="5" t="n">
        <v>0</v>
      </c>
      <c r="CC683" s="5" t="n">
        <v>97.90000000000001</v>
      </c>
      <c r="CD683" s="5" t="n">
        <v>7.95</v>
      </c>
      <c r="CE683" s="5" t="n">
        <v>1.449</v>
      </c>
      <c r="CF683" s="5" t="n">
        <v>117.48</v>
      </c>
      <c r="CG683" s="5" t="n">
        <v>0.2</v>
      </c>
      <c r="CH683" s="5" t="n">
        <v>1</v>
      </c>
      <c r="CI683" s="5" t="n">
        <v>0</v>
      </c>
      <c r="CJ683" s="5" t="n">
        <v>0</v>
      </c>
      <c r="CK683" s="5" t="n">
        <v>0</v>
      </c>
      <c r="CL683" s="5" t="n">
        <v>0</v>
      </c>
      <c r="CM683" s="5" t="n">
        <v>0</v>
      </c>
      <c r="CN683" s="5" t="n">
        <v>0</v>
      </c>
      <c r="CO683" s="5" t="n">
        <v>0</v>
      </c>
      <c r="CP683" s="5" t="n">
        <v>0.861</v>
      </c>
      <c r="CQ683" s="5" t="n">
        <v>1.294</v>
      </c>
      <c r="CR683" s="5" t="n">
        <v>0</v>
      </c>
      <c r="CS683" s="5" t="n">
        <v>5.158</v>
      </c>
      <c r="CT683" s="5" t="n">
        <v>5.842</v>
      </c>
      <c r="CU683" s="5" t="n">
        <v>31.326</v>
      </c>
    </row>
    <row r="684">
      <c r="A684" s="5" t="inlineStr">
        <is>
          <t>SRB2023</t>
        </is>
      </c>
      <c r="B684" s="5" t="inlineStr">
        <is>
          <t>SRB</t>
        </is>
      </c>
      <c r="C684" s="5" t="inlineStr">
        <is>
          <t>SRB</t>
        </is>
      </c>
      <c r="D684" s="5" t="inlineStr">
        <is>
          <t>Serbia</t>
        </is>
      </c>
      <c r="E684" s="5" t="n">
        <v>2023</v>
      </c>
      <c r="F684" s="5" t="n">
        <v>0.2</v>
      </c>
      <c r="G684" s="5" t="n">
        <v>2.484</v>
      </c>
      <c r="H684" s="5" t="n">
        <v>0.758</v>
      </c>
      <c r="I684" s="5" t="n">
        <v>0.006</v>
      </c>
      <c r="J684" s="5" t="n">
        <v>2.491</v>
      </c>
      <c r="K684" s="5" t="n">
        <v>0</v>
      </c>
      <c r="L684" s="5" t="n">
        <v>1</v>
      </c>
      <c r="M684" s="5" t="n">
        <v>4.101</v>
      </c>
      <c r="N684" s="5" t="n">
        <v>2.274</v>
      </c>
      <c r="O684" s="5" t="n">
        <v>0.007</v>
      </c>
      <c r="P684" s="5" t="n">
        <v>4.108</v>
      </c>
      <c r="Q684" s="5" t="n">
        <v>0</v>
      </c>
      <c r="R684" s="5" t="n">
        <v>1</v>
      </c>
      <c r="S684" s="5" t="n">
        <v>7.055</v>
      </c>
      <c r="T684" s="5" t="n">
        <v>4.424</v>
      </c>
      <c r="U684" s="5" t="n">
        <v>0.163</v>
      </c>
      <c r="V684" s="5" t="n">
        <v>8.474</v>
      </c>
      <c r="W684" s="5" t="n">
        <v>0.2</v>
      </c>
      <c r="X684" s="5" t="n">
        <v>1</v>
      </c>
      <c r="Y684" s="5" t="n">
        <v>16.346</v>
      </c>
      <c r="Z684" s="5" t="n">
        <v>1.831</v>
      </c>
      <c r="AA684" s="5" t="n">
        <v>-1.576</v>
      </c>
      <c r="AB684" s="5" t="n">
        <v>14.77</v>
      </c>
      <c r="AC684" s="5" t="n">
        <v>0</v>
      </c>
      <c r="AD684" s="5" t="n">
        <v>1</v>
      </c>
      <c r="AE684" s="5" t="n">
        <v>16.445</v>
      </c>
      <c r="AF684" s="5" t="n">
        <v>3.275</v>
      </c>
      <c r="AG684" s="5" t="n">
        <v>-1.675</v>
      </c>
      <c r="AH684" s="5" t="n">
        <v>14.77</v>
      </c>
      <c r="AI684" s="5" t="n">
        <v>0</v>
      </c>
      <c r="AJ684" s="5" t="n">
        <v>1</v>
      </c>
      <c r="AK684" s="5" t="n">
        <v>20.934</v>
      </c>
      <c r="AL684" s="5" t="n">
        <v>10.37</v>
      </c>
      <c r="AM684" s="5" t="n">
        <v>-9.712</v>
      </c>
      <c r="AN684" s="5" t="n">
        <v>13.467</v>
      </c>
      <c r="AO684" s="5" t="n">
        <v>0</v>
      </c>
      <c r="AP684" s="5" t="n">
        <v>0</v>
      </c>
      <c r="AQ684" s="5" t="n">
        <v>0.76</v>
      </c>
      <c r="AR684" s="5" t="n">
        <v>0.129</v>
      </c>
      <c r="AS684" s="5" t="n">
        <v>0.606</v>
      </c>
      <c r="AT684" s="5" t="n">
        <v>1.64</v>
      </c>
      <c r="AU684" s="5" t="n">
        <v>0.2</v>
      </c>
      <c r="AV684" s="5" t="n">
        <v>1</v>
      </c>
      <c r="AW684" s="5" t="n">
        <v>0.8110000000000001</v>
      </c>
      <c r="AX684" s="5" t="n">
        <v>0.129</v>
      </c>
      <c r="AY684" s="5" t="n">
        <v>0.651</v>
      </c>
      <c r="AZ684" s="5" t="n">
        <v>1.755</v>
      </c>
      <c r="BA684" s="5" t="n">
        <v>0.2</v>
      </c>
      <c r="BB684" s="5" t="n">
        <v>1</v>
      </c>
      <c r="BC684" s="5" t="n">
        <v>0.535</v>
      </c>
      <c r="BD684" s="5" t="n">
        <v>0.129</v>
      </c>
      <c r="BE684" s="5" t="n">
        <v>0.199</v>
      </c>
      <c r="BF684" s="5" t="n">
        <v>0.881</v>
      </c>
      <c r="BG684" s="5" t="n">
        <v>0.2</v>
      </c>
      <c r="BH684" s="5" t="n">
        <v>1</v>
      </c>
      <c r="BI684" s="5" t="n">
        <v>0.579</v>
      </c>
      <c r="BJ684" s="5" t="n">
        <v>0.129</v>
      </c>
      <c r="BK684" s="5" t="n">
        <v>0.013</v>
      </c>
      <c r="BL684" s="5" t="n">
        <v>0.695</v>
      </c>
      <c r="BM684" s="5" t="n">
        <v>0.2</v>
      </c>
      <c r="BN684" s="5" t="n">
        <v>1</v>
      </c>
      <c r="BO684" s="5" t="n">
        <v>0</v>
      </c>
      <c r="BP684" s="5" t="n">
        <v>0.018</v>
      </c>
      <c r="BQ684" s="5" t="n">
        <v>0.147</v>
      </c>
      <c r="BR684" s="5" t="n">
        <v>0</v>
      </c>
      <c r="BS684" s="5" t="n">
        <v>1</v>
      </c>
      <c r="BT684" s="5" t="n">
        <v>0</v>
      </c>
      <c r="BU684" s="5" t="n">
        <v>0.013</v>
      </c>
      <c r="BV684" s="5" t="n">
        <v>0.109</v>
      </c>
      <c r="BW684" s="5" t="n">
        <v>0.2</v>
      </c>
      <c r="BX684" s="5" t="n">
        <v>1</v>
      </c>
      <c r="BY684" s="5" t="n">
        <v>13.254</v>
      </c>
      <c r="BZ684" s="5" t="n">
        <v>0</v>
      </c>
      <c r="CA684" s="5" t="n">
        <v>13.254</v>
      </c>
      <c r="CB684" s="5" t="n">
        <v>0</v>
      </c>
      <c r="CC684" s="5" t="n">
        <v>83.248</v>
      </c>
      <c r="CD684" s="5" t="n">
        <v>7.95</v>
      </c>
      <c r="CE684" s="5" t="n">
        <v>1.843</v>
      </c>
      <c r="CF684" s="5" t="n">
        <v>99.898</v>
      </c>
      <c r="CG684" s="5" t="n">
        <v>0.2</v>
      </c>
      <c r="CH684" s="5" t="n">
        <v>1</v>
      </c>
      <c r="CI684" s="5" t="n">
        <v>0</v>
      </c>
      <c r="CJ684" s="5" t="n">
        <v>0</v>
      </c>
      <c r="CK684" s="5" t="n">
        <v>0</v>
      </c>
      <c r="CL684" s="5" t="n">
        <v>0</v>
      </c>
      <c r="CM684" s="5" t="n">
        <v>0</v>
      </c>
      <c r="CN684" s="5" t="n">
        <v>0</v>
      </c>
      <c r="CO684" s="5" t="n">
        <v>0</v>
      </c>
      <c r="CP684" s="5" t="n">
        <v>0.821</v>
      </c>
      <c r="CQ684" s="5" t="n">
        <v>1.348</v>
      </c>
      <c r="CR684" s="5" t="n">
        <v>0</v>
      </c>
      <c r="CS684" s="5" t="n">
        <v>5.37</v>
      </c>
      <c r="CT684" s="5" t="n">
        <v>3.466</v>
      </c>
      <c r="CU684" s="5" t="n">
        <v>11.622</v>
      </c>
    </row>
    <row r="685">
      <c r="A685" s="5" t="inlineStr">
        <is>
          <t>SRB2024</t>
        </is>
      </c>
      <c r="B685" s="5" t="inlineStr">
        <is>
          <t>SRB</t>
        </is>
      </c>
      <c r="C685" s="5" t="inlineStr">
        <is>
          <t>SRB</t>
        </is>
      </c>
      <c r="D685" s="5" t="inlineStr">
        <is>
          <t>Serbia</t>
        </is>
      </c>
      <c r="E685" s="5" t="n">
        <v>2024</v>
      </c>
      <c r="F685" s="5" t="n">
        <v>0.2</v>
      </c>
      <c r="G685" s="5" t="n">
        <v>2.461</v>
      </c>
      <c r="H685" s="5" t="n">
        <v>0.78</v>
      </c>
      <c r="I685" s="5" t="n">
        <v>0.005</v>
      </c>
      <c r="J685" s="5" t="n">
        <v>2.466</v>
      </c>
      <c r="K685" s="5" t="n">
        <v>0</v>
      </c>
      <c r="L685" s="5" t="n">
        <v>1</v>
      </c>
      <c r="M685" s="5" t="n">
        <v>4.044</v>
      </c>
      <c r="N685" s="5" t="n">
        <v>2.341</v>
      </c>
      <c r="O685" s="5" t="n">
        <v>0.006</v>
      </c>
      <c r="P685" s="5" t="n">
        <v>4.049</v>
      </c>
      <c r="Q685" s="5" t="n">
        <v>0</v>
      </c>
      <c r="R685" s="5" t="n">
        <v>1</v>
      </c>
      <c r="S685" s="5" t="n">
        <v>7.144</v>
      </c>
      <c r="T685" s="5" t="n">
        <v>4.729</v>
      </c>
      <c r="U685" s="5" t="n">
        <v>0.2</v>
      </c>
      <c r="V685" s="5" t="n">
        <v>8.579000000000001</v>
      </c>
      <c r="W685" s="5" t="n">
        <v>0.2</v>
      </c>
      <c r="X685" s="5" t="n">
        <v>1</v>
      </c>
      <c r="Y685" s="5" t="n">
        <v>14.922</v>
      </c>
      <c r="Z685" s="5" t="n">
        <v>1.884</v>
      </c>
      <c r="AA685" s="5" t="n">
        <v>0.505</v>
      </c>
      <c r="AB685" s="5" t="n">
        <v>15.427</v>
      </c>
      <c r="AC685" s="5" t="n">
        <v>0</v>
      </c>
      <c r="AD685" s="5" t="n">
        <v>1</v>
      </c>
      <c r="AE685" s="5" t="n">
        <v>14.922</v>
      </c>
      <c r="AF685" s="5" t="n">
        <v>3.269</v>
      </c>
      <c r="AG685" s="5" t="n">
        <v>0.505</v>
      </c>
      <c r="AH685" s="5" t="n">
        <v>15.427</v>
      </c>
      <c r="AI685" s="5" t="n">
        <v>0</v>
      </c>
      <c r="AJ685" s="5" t="n">
        <v>1</v>
      </c>
      <c r="AK685" s="5" t="n">
        <v>18.698</v>
      </c>
      <c r="AL685" s="5" t="n">
        <v>9.51</v>
      </c>
      <c r="AM685" s="5" t="n">
        <v>-6.417</v>
      </c>
      <c r="AN685" s="5" t="n">
        <v>14.737</v>
      </c>
      <c r="AO685" s="5" t="n">
        <v>0</v>
      </c>
      <c r="AP685" s="5" t="n">
        <v>0</v>
      </c>
      <c r="AQ685" s="5" t="n">
        <v>0.724</v>
      </c>
      <c r="AR685" s="5" t="n">
        <v>0.132</v>
      </c>
      <c r="AS685" s="5" t="n">
        <v>0.669</v>
      </c>
      <c r="AT685" s="5" t="n">
        <v>1.672</v>
      </c>
      <c r="AU685" s="5" t="n">
        <v>0.2</v>
      </c>
      <c r="AV685" s="5" t="n">
        <v>1</v>
      </c>
      <c r="AW685" s="5" t="n">
        <v>0.75</v>
      </c>
      <c r="AX685" s="5" t="n">
        <v>0.132</v>
      </c>
      <c r="AY685" s="5" t="n">
        <v>0.745</v>
      </c>
      <c r="AZ685" s="5" t="n">
        <v>1.794</v>
      </c>
      <c r="BA685" s="5" t="n">
        <v>0.2</v>
      </c>
      <c r="BB685" s="5" t="n">
        <v>1</v>
      </c>
      <c r="BC685" s="5" t="n">
        <v>0.513</v>
      </c>
      <c r="BD685" s="5" t="n">
        <v>0.132</v>
      </c>
      <c r="BE685" s="5" t="n">
        <v>0.216</v>
      </c>
      <c r="BF685" s="5" t="n">
        <v>0.875</v>
      </c>
      <c r="BG685" s="5" t="n">
        <v>0.2</v>
      </c>
      <c r="BH685" s="5" t="n">
        <v>1</v>
      </c>
      <c r="BI685" s="5" t="n">
        <v>0.591</v>
      </c>
      <c r="BJ685" s="5" t="n">
        <v>0.132</v>
      </c>
      <c r="BK685" s="5" t="n">
        <v>0.016</v>
      </c>
      <c r="BL685" s="5" t="n">
        <v>0.71</v>
      </c>
      <c r="BM685" s="5" t="n">
        <v>0.2</v>
      </c>
      <c r="BN685" s="5" t="n">
        <v>1</v>
      </c>
      <c r="BO685" s="5" t="n">
        <v>0</v>
      </c>
      <c r="BP685" s="5" t="n">
        <v>0.017</v>
      </c>
      <c r="BQ685" s="5" t="n">
        <v>0.145</v>
      </c>
      <c r="BR685" s="5" t="n">
        <v>0</v>
      </c>
      <c r="BS685" s="5" t="n">
        <v>1</v>
      </c>
      <c r="BT685" s="5" t="n">
        <v>0</v>
      </c>
      <c r="BU685" s="5" t="n">
        <v>0.014</v>
      </c>
      <c r="BV685" s="5" t="n">
        <v>0.119</v>
      </c>
      <c r="BW685" s="5" t="n">
        <v>0.2</v>
      </c>
      <c r="BX685" s="5" t="n">
        <v>1</v>
      </c>
      <c r="BY685" s="5" t="n">
        <v>13.646</v>
      </c>
      <c r="BZ685" s="5" t="n">
        <v>0</v>
      </c>
      <c r="CA685" s="5" t="n">
        <v>13.646</v>
      </c>
      <c r="CB685" s="5" t="n">
        <v>0</v>
      </c>
      <c r="CC685" s="5" t="n">
        <v>82.58799999999999</v>
      </c>
      <c r="CD685" s="5" t="n">
        <v>7.95</v>
      </c>
      <c r="CE685" s="5" t="n">
        <v>2.25</v>
      </c>
      <c r="CF685" s="5" t="n">
        <v>99.10599999999999</v>
      </c>
      <c r="CG685" s="5" t="n">
        <v>0.2</v>
      </c>
      <c r="CH685" s="5" t="n">
        <v>1</v>
      </c>
      <c r="CI685" s="5" t="n">
        <v>0</v>
      </c>
      <c r="CJ685" s="5" t="n">
        <v>0</v>
      </c>
      <c r="CK685" s="5" t="n">
        <v>0</v>
      </c>
      <c r="CL685" s="5" t="n">
        <v>0</v>
      </c>
      <c r="CM685" s="5" t="n">
        <v>0</v>
      </c>
      <c r="CN685" s="5" t="n">
        <v>0</v>
      </c>
      <c r="CO685" s="5" t="n">
        <v>0</v>
      </c>
      <c r="CP685" s="5" t="n">
        <v>0.821</v>
      </c>
      <c r="CQ685" s="5" t="n">
        <v>1.387</v>
      </c>
      <c r="CR685" s="5" t="n">
        <v>0</v>
      </c>
      <c r="CS685" s="5" t="n">
        <v>5.529</v>
      </c>
      <c r="CT685" s="5" t="n">
        <v>3.027</v>
      </c>
      <c r="CU685" s="5" t="n">
        <v>10.168</v>
      </c>
    </row>
    <row r="686">
      <c r="A686" s="5" t="inlineStr">
        <is>
          <t>SYC2021</t>
        </is>
      </c>
      <c r="B686" s="5" t="inlineStr">
        <is>
          <t>SYC</t>
        </is>
      </c>
      <c r="C686" s="5" t="inlineStr">
        <is>
          <t>SYC</t>
        </is>
      </c>
      <c r="D686" s="5" t="inlineStr">
        <is>
          <t>Seychelles</t>
        </is>
      </c>
      <c r="E686" s="5" t="n">
        <v>2021</v>
      </c>
      <c r="F686" s="5" t="n">
        <v>0.15</v>
      </c>
      <c r="G686" s="5" t="n">
        <v>5.897</v>
      </c>
      <c r="H686" s="5" t="n">
        <v>1.143</v>
      </c>
      <c r="I686" s="5" t="n">
        <v>0</v>
      </c>
      <c r="J686" s="5" t="n">
        <v>5.897</v>
      </c>
      <c r="K686" s="5" t="n">
        <v>0</v>
      </c>
      <c r="L686" s="5" t="n">
        <v>1</v>
      </c>
      <c r="M686" s="5" t="n">
        <v>7.964</v>
      </c>
      <c r="N686" s="5" t="n">
        <v>3.43</v>
      </c>
      <c r="O686" s="5" t="n">
        <v>0</v>
      </c>
      <c r="P686" s="5" t="n">
        <v>7.964</v>
      </c>
      <c r="Q686" s="5" t="n">
        <v>0</v>
      </c>
      <c r="R686" s="5" t="n">
        <v>1</v>
      </c>
      <c r="S686" s="5" t="n">
        <v>11.613</v>
      </c>
      <c r="T686" s="5" t="n">
        <v>6.86</v>
      </c>
      <c r="U686" s="5" t="n">
        <v>0</v>
      </c>
      <c r="V686" s="5" t="n">
        <v>13.355</v>
      </c>
      <c r="W686" s="5" t="n">
        <v>0.15</v>
      </c>
      <c r="X686" s="5" t="n">
        <v>1</v>
      </c>
      <c r="Y686" s="5" t="n">
        <v>8.823</v>
      </c>
      <c r="Z686" s="5" t="n">
        <v>1.192</v>
      </c>
      <c r="AA686" s="5" t="n">
        <v>0</v>
      </c>
      <c r="AB686" s="5" t="n">
        <v>8.823</v>
      </c>
      <c r="AC686" s="5" t="n">
        <v>0</v>
      </c>
      <c r="AD686" s="5" t="n">
        <v>1</v>
      </c>
      <c r="AE686" s="5" t="n">
        <v>9.965999999999999</v>
      </c>
      <c r="AF686" s="5" t="n">
        <v>2.33</v>
      </c>
      <c r="AG686" s="5" t="n">
        <v>0</v>
      </c>
      <c r="AH686" s="5" t="n">
        <v>9.965999999999999</v>
      </c>
      <c r="AI686" s="5" t="n">
        <v>0</v>
      </c>
      <c r="AJ686" s="5" t="n">
        <v>1</v>
      </c>
      <c r="AK686" s="5" t="n">
        <v>16.826</v>
      </c>
      <c r="AL686" s="5" t="n">
        <v>8.961</v>
      </c>
      <c r="AM686" s="5" t="n">
        <v>0</v>
      </c>
      <c r="AN686" s="5" t="n">
        <v>19.35</v>
      </c>
      <c r="AO686" s="5" t="n">
        <v>0.15</v>
      </c>
      <c r="AP686" s="5" t="n">
        <v>1</v>
      </c>
      <c r="AQ686" s="5" t="n">
        <v>0.619</v>
      </c>
      <c r="AR686" s="5" t="n">
        <v>0.114</v>
      </c>
      <c r="AS686" s="5" t="n">
        <v>0.446</v>
      </c>
      <c r="AT686" s="5" t="n">
        <v>1.225</v>
      </c>
      <c r="AU686" s="5" t="n">
        <v>0.15</v>
      </c>
      <c r="AV686" s="5" t="n">
        <v>1</v>
      </c>
      <c r="AW686" s="5" t="n">
        <v>0.599</v>
      </c>
      <c r="AX686" s="5" t="n">
        <v>0.114</v>
      </c>
      <c r="AY686" s="5" t="n">
        <v>0.414</v>
      </c>
      <c r="AZ686" s="5" t="n">
        <v>1.165</v>
      </c>
      <c r="BA686" s="5" t="n">
        <v>0.15</v>
      </c>
      <c r="BB686" s="5" t="n">
        <v>1</v>
      </c>
      <c r="BC686" s="5" t="n">
        <v>0.439</v>
      </c>
      <c r="BD686" s="5" t="n">
        <v>0.114</v>
      </c>
      <c r="BE686" s="5" t="n">
        <v>0.022</v>
      </c>
      <c r="BF686" s="5" t="n">
        <v>0.531</v>
      </c>
      <c r="BG686" s="5" t="n">
        <v>0.15</v>
      </c>
      <c r="BH686" s="5" t="n">
        <v>1</v>
      </c>
      <c r="BI686" s="5" t="n">
        <v>0.505</v>
      </c>
      <c r="BJ686" s="5" t="n">
        <v>0.114</v>
      </c>
      <c r="BK686" s="5" t="n">
        <v>0.991</v>
      </c>
      <c r="BL686" s="5" t="n">
        <v>1.72</v>
      </c>
      <c r="BM686" s="5" t="n">
        <v>0.15</v>
      </c>
      <c r="BN686" s="5" t="n">
        <v>1</v>
      </c>
      <c r="BO686" s="5" t="n">
        <v>0</v>
      </c>
      <c r="BP686" s="5" t="n">
        <v>0</v>
      </c>
      <c r="BQ686" s="5" t="n">
        <v>0</v>
      </c>
      <c r="BR686" s="5" t="n">
        <v>0</v>
      </c>
      <c r="BS686" s="5" t="n">
        <v>1</v>
      </c>
      <c r="BT686" s="5" t="n">
        <v>0</v>
      </c>
      <c r="BU686" s="5" t="n">
        <v>0</v>
      </c>
      <c r="BV686" s="5" t="n">
        <v>0</v>
      </c>
      <c r="BW686" s="5" t="n">
        <v>0.15</v>
      </c>
      <c r="BX686" s="5" t="n">
        <v>1</v>
      </c>
      <c r="BY686" s="5" t="n">
        <v>11.787</v>
      </c>
      <c r="BZ686" s="5" t="n">
        <v>0</v>
      </c>
      <c r="CA686" s="5" t="n">
        <v>11.787</v>
      </c>
      <c r="CB686" s="5" t="n">
        <v>0</v>
      </c>
      <c r="CC686" s="5" t="n">
        <v>78.125</v>
      </c>
      <c r="CD686" s="5" t="n">
        <v>7.95</v>
      </c>
      <c r="CE686" s="5" t="n">
        <v>0</v>
      </c>
      <c r="CF686" s="5" t="n">
        <v>89.84399999999999</v>
      </c>
      <c r="CG686" s="5" t="n">
        <v>0.15</v>
      </c>
      <c r="CH686" s="5" t="n">
        <v>1</v>
      </c>
      <c r="CI686" s="5" t="n">
        <v>0</v>
      </c>
      <c r="CJ686" s="5" t="n">
        <v>0</v>
      </c>
      <c r="CK686" s="5" t="n">
        <v>0</v>
      </c>
      <c r="CL686" s="5" t="n">
        <v>0</v>
      </c>
      <c r="CM686" s="5" t="n">
        <v>0</v>
      </c>
      <c r="CN686" s="5" t="n">
        <v>0</v>
      </c>
      <c r="CO686" s="5" t="n">
        <v>0</v>
      </c>
      <c r="CP686" s="5" t="n">
        <v>0</v>
      </c>
      <c r="CQ686" s="5" t="n">
        <v>1.198</v>
      </c>
      <c r="CR686" s="5" t="n">
        <v>0</v>
      </c>
      <c r="CS686" s="5" t="n">
        <v>4.776</v>
      </c>
      <c r="CT686" s="5" t="n">
        <v>4.753</v>
      </c>
      <c r="CU686" s="5" t="n">
        <v>15.162</v>
      </c>
    </row>
    <row r="687">
      <c r="A687" s="5" t="inlineStr">
        <is>
          <t>SYC2022</t>
        </is>
      </c>
      <c r="B687" s="5" t="inlineStr">
        <is>
          <t>SYC</t>
        </is>
      </c>
      <c r="C687" s="5" t="inlineStr">
        <is>
          <t>SYC</t>
        </is>
      </c>
      <c r="D687" s="5" t="inlineStr">
        <is>
          <t>Seychelles</t>
        </is>
      </c>
      <c r="E687" s="5" t="n">
        <v>2022</v>
      </c>
      <c r="F687" s="5" t="n">
        <v>0.15</v>
      </c>
      <c r="G687" s="5" t="n">
        <v>11.72</v>
      </c>
      <c r="H687" s="5" t="n">
        <v>1.235</v>
      </c>
      <c r="I687" s="5" t="n">
        <v>0</v>
      </c>
      <c r="J687" s="5" t="n">
        <v>11.72</v>
      </c>
      <c r="K687" s="5" t="n">
        <v>0</v>
      </c>
      <c r="L687" s="5" t="n">
        <v>1</v>
      </c>
      <c r="M687" s="5" t="n">
        <v>9.782999999999999</v>
      </c>
      <c r="N687" s="5" t="n">
        <v>3.704</v>
      </c>
      <c r="O687" s="5" t="n">
        <v>0</v>
      </c>
      <c r="P687" s="5" t="n">
        <v>9.782999999999999</v>
      </c>
      <c r="Q687" s="5" t="n">
        <v>0</v>
      </c>
      <c r="R687" s="5" t="n">
        <v>1</v>
      </c>
      <c r="S687" s="5" t="n">
        <v>17.893</v>
      </c>
      <c r="T687" s="5" t="n">
        <v>7.408</v>
      </c>
      <c r="U687" s="5" t="n">
        <v>0.199</v>
      </c>
      <c r="V687" s="5" t="n">
        <v>20.577</v>
      </c>
      <c r="W687" s="5" t="n">
        <v>0.15</v>
      </c>
      <c r="X687" s="5" t="n">
        <v>1</v>
      </c>
      <c r="Y687" s="5" t="n">
        <v>13.833</v>
      </c>
      <c r="Z687" s="5" t="n">
        <v>1.87</v>
      </c>
      <c r="AA687" s="5" t="n">
        <v>0</v>
      </c>
      <c r="AB687" s="5" t="n">
        <v>13.833</v>
      </c>
      <c r="AC687" s="5" t="n">
        <v>0</v>
      </c>
      <c r="AD687" s="5" t="n">
        <v>1</v>
      </c>
      <c r="AE687" s="5" t="n">
        <v>15.068</v>
      </c>
      <c r="AF687" s="5" t="n">
        <v>3.523</v>
      </c>
      <c r="AG687" s="5" t="n">
        <v>0</v>
      </c>
      <c r="AH687" s="5" t="n">
        <v>15.068</v>
      </c>
      <c r="AI687" s="5" t="n">
        <v>0</v>
      </c>
      <c r="AJ687" s="5" t="n">
        <v>1</v>
      </c>
      <c r="AK687" s="5" t="n">
        <v>22.476</v>
      </c>
      <c r="AL687" s="5" t="n">
        <v>11.97</v>
      </c>
      <c r="AM687" s="5" t="n">
        <v>0.25</v>
      </c>
      <c r="AN687" s="5" t="n">
        <v>25.847</v>
      </c>
      <c r="AO687" s="5" t="n">
        <v>0.15</v>
      </c>
      <c r="AP687" s="5" t="n">
        <v>1</v>
      </c>
      <c r="AQ687" s="5" t="n">
        <v>0.861</v>
      </c>
      <c r="AR687" s="5" t="n">
        <v>0.123</v>
      </c>
      <c r="AS687" s="5" t="n">
        <v>0.55</v>
      </c>
      <c r="AT687" s="5" t="n">
        <v>1.623</v>
      </c>
      <c r="AU687" s="5" t="n">
        <v>0.15</v>
      </c>
      <c r="AV687" s="5" t="n">
        <v>1</v>
      </c>
      <c r="AW687" s="5" t="n">
        <v>0.986</v>
      </c>
      <c r="AX687" s="5" t="n">
        <v>0.123</v>
      </c>
      <c r="AY687" s="5" t="n">
        <v>0.469</v>
      </c>
      <c r="AZ687" s="5" t="n">
        <v>1.673</v>
      </c>
      <c r="BA687" s="5" t="n">
        <v>0.15</v>
      </c>
      <c r="BB687" s="5" t="n">
        <v>1</v>
      </c>
      <c r="BC687" s="5" t="n">
        <v>0.598</v>
      </c>
      <c r="BD687" s="5" t="n">
        <v>0.123</v>
      </c>
      <c r="BE687" s="5" t="n">
        <v>-0.022</v>
      </c>
      <c r="BF687" s="5" t="n">
        <v>0.662</v>
      </c>
      <c r="BG687" s="5" t="n">
        <v>0.15</v>
      </c>
      <c r="BH687" s="5" t="n">
        <v>1</v>
      </c>
      <c r="BI687" s="5" t="n">
        <v>0.612</v>
      </c>
      <c r="BJ687" s="5" t="n">
        <v>0.123</v>
      </c>
      <c r="BK687" s="5" t="n">
        <v>1.08</v>
      </c>
      <c r="BL687" s="5" t="n">
        <v>1.925</v>
      </c>
      <c r="BM687" s="5" t="n">
        <v>0.15</v>
      </c>
      <c r="BN687" s="5" t="n">
        <v>1</v>
      </c>
      <c r="BO687" s="5" t="n">
        <v>0</v>
      </c>
      <c r="BP687" s="5" t="n">
        <v>0</v>
      </c>
      <c r="BQ687" s="5" t="n">
        <v>0</v>
      </c>
      <c r="BR687" s="5" t="n">
        <v>0</v>
      </c>
      <c r="BS687" s="5" t="n">
        <v>1</v>
      </c>
      <c r="BT687" s="5" t="n">
        <v>0</v>
      </c>
      <c r="BU687" s="5" t="n">
        <v>0</v>
      </c>
      <c r="BV687" s="5" t="n">
        <v>0</v>
      </c>
      <c r="BW687" s="5" t="n">
        <v>0.15</v>
      </c>
      <c r="BX687" s="5" t="n">
        <v>1</v>
      </c>
      <c r="BY687" s="5" t="n">
        <v>12.729</v>
      </c>
      <c r="BZ687" s="5" t="n">
        <v>0</v>
      </c>
      <c r="CA687" s="5" t="n">
        <v>12.729</v>
      </c>
      <c r="CB687" s="5" t="n">
        <v>0</v>
      </c>
      <c r="CC687" s="5" t="n">
        <v>97.90000000000001</v>
      </c>
      <c r="CD687" s="5" t="n">
        <v>7.95</v>
      </c>
      <c r="CE687" s="5" t="n">
        <v>1.087</v>
      </c>
      <c r="CF687" s="5" t="n">
        <v>112.585</v>
      </c>
      <c r="CG687" s="5" t="n">
        <v>0.15</v>
      </c>
      <c r="CH687" s="5" t="n">
        <v>1</v>
      </c>
      <c r="CI687" s="5" t="n">
        <v>0</v>
      </c>
      <c r="CJ687" s="5" t="n">
        <v>0</v>
      </c>
      <c r="CK687" s="5" t="n">
        <v>0</v>
      </c>
      <c r="CL687" s="5" t="n">
        <v>0</v>
      </c>
      <c r="CM687" s="5" t="n">
        <v>0</v>
      </c>
      <c r="CN687" s="5" t="n">
        <v>0</v>
      </c>
      <c r="CO687" s="5" t="n">
        <v>0</v>
      </c>
      <c r="CP687" s="5" t="n">
        <v>0</v>
      </c>
      <c r="CQ687" s="5" t="n">
        <v>1.294</v>
      </c>
      <c r="CR687" s="5" t="n">
        <v>0</v>
      </c>
      <c r="CS687" s="5" t="n">
        <v>5.158</v>
      </c>
      <c r="CT687" s="5" t="n">
        <v>10.485</v>
      </c>
      <c r="CU687" s="5" t="n">
        <v>31.326</v>
      </c>
    </row>
    <row r="688">
      <c r="A688" s="5" t="inlineStr">
        <is>
          <t>SYC2023</t>
        </is>
      </c>
      <c r="B688" s="5" t="inlineStr">
        <is>
          <t>SYC</t>
        </is>
      </c>
      <c r="C688" s="5" t="inlineStr">
        <is>
          <t>SYC</t>
        </is>
      </c>
      <c r="D688" s="5" t="inlineStr">
        <is>
          <t>Seychelles</t>
        </is>
      </c>
      <c r="E688" s="5" t="n">
        <v>2023</v>
      </c>
      <c r="F688" s="5" t="n">
        <v>0.15</v>
      </c>
      <c r="G688" s="5" t="n">
        <v>6.147</v>
      </c>
      <c r="H688" s="5" t="n">
        <v>1.286</v>
      </c>
      <c r="I688" s="5" t="n">
        <v>0</v>
      </c>
      <c r="J688" s="5" t="n">
        <v>6.147</v>
      </c>
      <c r="K688" s="5" t="n">
        <v>0</v>
      </c>
      <c r="L688" s="5" t="n">
        <v>1</v>
      </c>
      <c r="M688" s="5" t="n">
        <v>7.886</v>
      </c>
      <c r="N688" s="5" t="n">
        <v>3.857</v>
      </c>
      <c r="O688" s="5" t="n">
        <v>0</v>
      </c>
      <c r="P688" s="5" t="n">
        <v>7.886</v>
      </c>
      <c r="Q688" s="5" t="n">
        <v>0</v>
      </c>
      <c r="R688" s="5" t="n">
        <v>1</v>
      </c>
      <c r="S688" s="5" t="n">
        <v>12.575</v>
      </c>
      <c r="T688" s="5" t="n">
        <v>7.714</v>
      </c>
      <c r="U688" s="5" t="n">
        <v>0.209</v>
      </c>
      <c r="V688" s="5" t="n">
        <v>14.461</v>
      </c>
      <c r="W688" s="5" t="n">
        <v>0.15</v>
      </c>
      <c r="X688" s="5" t="n">
        <v>1</v>
      </c>
      <c r="Y688" s="5" t="n">
        <v>8.358000000000001</v>
      </c>
      <c r="Z688" s="5" t="n">
        <v>1.13</v>
      </c>
      <c r="AA688" s="5" t="n">
        <v>0</v>
      </c>
      <c r="AB688" s="5" t="n">
        <v>8.358000000000001</v>
      </c>
      <c r="AC688" s="5" t="n">
        <v>0</v>
      </c>
      <c r="AD688" s="5" t="n">
        <v>1</v>
      </c>
      <c r="AE688" s="5" t="n">
        <v>9.644</v>
      </c>
      <c r="AF688" s="5" t="n">
        <v>2.255</v>
      </c>
      <c r="AG688" s="5" t="n">
        <v>0</v>
      </c>
      <c r="AH688" s="5" t="n">
        <v>9.644</v>
      </c>
      <c r="AI688" s="5" t="n">
        <v>0</v>
      </c>
      <c r="AJ688" s="5" t="n">
        <v>1</v>
      </c>
      <c r="AK688" s="5" t="n">
        <v>17.358</v>
      </c>
      <c r="AL688" s="5" t="n">
        <v>9.244999999999999</v>
      </c>
      <c r="AM688" s="5" t="n">
        <v>0.288</v>
      </c>
      <c r="AN688" s="5" t="n">
        <v>19.962</v>
      </c>
      <c r="AO688" s="5" t="n">
        <v>0.15</v>
      </c>
      <c r="AP688" s="5" t="n">
        <v>1</v>
      </c>
      <c r="AQ688" s="5" t="n">
        <v>0.76</v>
      </c>
      <c r="AR688" s="5" t="n">
        <v>0.129</v>
      </c>
      <c r="AS688" s="5" t="n">
        <v>0.548</v>
      </c>
      <c r="AT688" s="5" t="n">
        <v>1.505</v>
      </c>
      <c r="AU688" s="5" t="n">
        <v>0.15</v>
      </c>
      <c r="AV688" s="5" t="n">
        <v>1</v>
      </c>
      <c r="AW688" s="5" t="n">
        <v>0.8110000000000001</v>
      </c>
      <c r="AX688" s="5" t="n">
        <v>0.129</v>
      </c>
      <c r="AY688" s="5" t="n">
        <v>0.538</v>
      </c>
      <c r="AZ688" s="5" t="n">
        <v>1.552</v>
      </c>
      <c r="BA688" s="5" t="n">
        <v>0.15</v>
      </c>
      <c r="BB688" s="5" t="n">
        <v>1</v>
      </c>
      <c r="BC688" s="5" t="n">
        <v>0.535</v>
      </c>
      <c r="BD688" s="5" t="n">
        <v>0.129</v>
      </c>
      <c r="BE688" s="5" t="n">
        <v>0.051</v>
      </c>
      <c r="BF688" s="5" t="n">
        <v>0.674</v>
      </c>
      <c r="BG688" s="5" t="n">
        <v>0.15</v>
      </c>
      <c r="BH688" s="5" t="n">
        <v>1</v>
      </c>
      <c r="BI688" s="5" t="n">
        <v>0.579</v>
      </c>
      <c r="BJ688" s="5" t="n">
        <v>0.129</v>
      </c>
      <c r="BK688" s="5" t="n">
        <v>1.141</v>
      </c>
      <c r="BL688" s="5" t="n">
        <v>1.946</v>
      </c>
      <c r="BM688" s="5" t="n">
        <v>0.15</v>
      </c>
      <c r="BN688" s="5" t="n">
        <v>1</v>
      </c>
      <c r="BO688" s="5" t="n">
        <v>0</v>
      </c>
      <c r="BP688" s="5" t="n">
        <v>0</v>
      </c>
      <c r="BQ688" s="5" t="n">
        <v>0</v>
      </c>
      <c r="BR688" s="5" t="n">
        <v>0</v>
      </c>
      <c r="BS688" s="5" t="n">
        <v>1</v>
      </c>
      <c r="BT688" s="5" t="n">
        <v>0</v>
      </c>
      <c r="BU688" s="5" t="n">
        <v>0</v>
      </c>
      <c r="BV688" s="5" t="n">
        <v>0</v>
      </c>
      <c r="BW688" s="5" t="n">
        <v>0.15</v>
      </c>
      <c r="BX688" s="5" t="n">
        <v>1</v>
      </c>
      <c r="BY688" s="5" t="n">
        <v>13.254</v>
      </c>
      <c r="BZ688" s="5" t="n">
        <v>0</v>
      </c>
      <c r="CA688" s="5" t="n">
        <v>13.254</v>
      </c>
      <c r="CB688" s="5" t="n">
        <v>0</v>
      </c>
      <c r="CC688" s="5" t="n">
        <v>83.248</v>
      </c>
      <c r="CD688" s="5" t="n">
        <v>7.95</v>
      </c>
      <c r="CE688" s="5" t="n">
        <v>1.383</v>
      </c>
      <c r="CF688" s="5" t="n">
        <v>95.735</v>
      </c>
      <c r="CG688" s="5" t="n">
        <v>0.15</v>
      </c>
      <c r="CH688" s="5" t="n">
        <v>1</v>
      </c>
      <c r="CI688" s="5" t="n">
        <v>0</v>
      </c>
      <c r="CJ688" s="5" t="n">
        <v>0</v>
      </c>
      <c r="CK688" s="5" t="n">
        <v>0</v>
      </c>
      <c r="CL688" s="5" t="n">
        <v>0</v>
      </c>
      <c r="CM688" s="5" t="n">
        <v>0</v>
      </c>
      <c r="CN688" s="5" t="n">
        <v>0</v>
      </c>
      <c r="CO688" s="5" t="n">
        <v>0</v>
      </c>
      <c r="CP688" s="5" t="n">
        <v>0</v>
      </c>
      <c r="CQ688" s="5" t="n">
        <v>1.348</v>
      </c>
      <c r="CR688" s="5" t="n">
        <v>0</v>
      </c>
      <c r="CS688" s="5" t="n">
        <v>5.37</v>
      </c>
      <c r="CT688" s="5" t="n">
        <v>4.861</v>
      </c>
      <c r="CU688" s="5" t="n">
        <v>11.622</v>
      </c>
    </row>
    <row r="689">
      <c r="A689" s="5" t="inlineStr">
        <is>
          <t>SYC2024</t>
        </is>
      </c>
      <c r="B689" s="5" t="inlineStr">
        <is>
          <t>SYC</t>
        </is>
      </c>
      <c r="C689" s="5" t="inlineStr">
        <is>
          <t>SYC</t>
        </is>
      </c>
      <c r="D689" s="5" t="inlineStr">
        <is>
          <t>Seychelles</t>
        </is>
      </c>
      <c r="E689" s="5" t="n">
        <v>2024</v>
      </c>
      <c r="F689" s="5" t="n">
        <v>0.15</v>
      </c>
      <c r="G689" s="5" t="n">
        <v>5.575</v>
      </c>
      <c r="H689" s="5" t="n">
        <v>1.324</v>
      </c>
      <c r="I689" s="5" t="n">
        <v>0</v>
      </c>
      <c r="J689" s="5" t="n">
        <v>5.575</v>
      </c>
      <c r="K689" s="5" t="n">
        <v>0</v>
      </c>
      <c r="L689" s="5" t="n">
        <v>1</v>
      </c>
      <c r="M689" s="5" t="n">
        <v>7.124</v>
      </c>
      <c r="N689" s="5" t="n">
        <v>3.971</v>
      </c>
      <c r="O689" s="5" t="n">
        <v>0</v>
      </c>
      <c r="P689" s="5" t="n">
        <v>7.124</v>
      </c>
      <c r="Q689" s="5" t="n">
        <v>0</v>
      </c>
      <c r="R689" s="5" t="n">
        <v>1</v>
      </c>
      <c r="S689" s="5" t="n">
        <v>12.193</v>
      </c>
      <c r="T689" s="5" t="n">
        <v>7.942</v>
      </c>
      <c r="U689" s="5" t="n">
        <v>0.249</v>
      </c>
      <c r="V689" s="5" t="n">
        <v>14.022</v>
      </c>
      <c r="W689" s="5" t="n">
        <v>0.15</v>
      </c>
      <c r="X689" s="5" t="n">
        <v>1</v>
      </c>
      <c r="Y689" s="5" t="n">
        <v>8.087</v>
      </c>
      <c r="Z689" s="5" t="n">
        <v>1.093</v>
      </c>
      <c r="AA689" s="5" t="n">
        <v>0</v>
      </c>
      <c r="AB689" s="5" t="n">
        <v>8.087</v>
      </c>
      <c r="AC689" s="5" t="n">
        <v>0</v>
      </c>
      <c r="AD689" s="5" t="n">
        <v>1</v>
      </c>
      <c r="AE689" s="5" t="n">
        <v>9.411</v>
      </c>
      <c r="AF689" s="5" t="n">
        <v>2.201</v>
      </c>
      <c r="AG689" s="5" t="n">
        <v>0</v>
      </c>
      <c r="AH689" s="5" t="n">
        <v>9.411</v>
      </c>
      <c r="AI689" s="5" t="n">
        <v>0</v>
      </c>
      <c r="AJ689" s="5" t="n">
        <v>1</v>
      </c>
      <c r="AK689" s="5" t="n">
        <v>17.353</v>
      </c>
      <c r="AL689" s="5" t="n">
        <v>9.242000000000001</v>
      </c>
      <c r="AM689" s="5" t="n">
        <v>0.355</v>
      </c>
      <c r="AN689" s="5" t="n">
        <v>19.956</v>
      </c>
      <c r="AO689" s="5" t="n">
        <v>0.15</v>
      </c>
      <c r="AP689" s="5" t="n">
        <v>1</v>
      </c>
      <c r="AQ689" s="5" t="n">
        <v>0.724</v>
      </c>
      <c r="AR689" s="5" t="n">
        <v>0.132</v>
      </c>
      <c r="AS689" s="5" t="n">
        <v>0.542</v>
      </c>
      <c r="AT689" s="5" t="n">
        <v>1.456</v>
      </c>
      <c r="AU689" s="5" t="n">
        <v>0.15</v>
      </c>
      <c r="AV689" s="5" t="n">
        <v>1</v>
      </c>
      <c r="AW689" s="5" t="n">
        <v>0.75</v>
      </c>
      <c r="AX689" s="5" t="n">
        <v>0.132</v>
      </c>
      <c r="AY689" s="5" t="n">
        <v>0.514</v>
      </c>
      <c r="AZ689" s="5" t="n">
        <v>1.454</v>
      </c>
      <c r="BA689" s="5" t="n">
        <v>0.15</v>
      </c>
      <c r="BB689" s="5" t="n">
        <v>1</v>
      </c>
      <c r="BC689" s="5" t="n">
        <v>0.513</v>
      </c>
      <c r="BD689" s="5" t="n">
        <v>0.132</v>
      </c>
      <c r="BE689" s="5" t="n">
        <v>0.053</v>
      </c>
      <c r="BF689" s="5" t="n">
        <v>0.65</v>
      </c>
      <c r="BG689" s="5" t="n">
        <v>0.15</v>
      </c>
      <c r="BH689" s="5" t="n">
        <v>1</v>
      </c>
      <c r="BI689" s="5" t="n">
        <v>0.591</v>
      </c>
      <c r="BJ689" s="5" t="n">
        <v>0.132</v>
      </c>
      <c r="BK689" s="5" t="n">
        <v>1.182</v>
      </c>
      <c r="BL689" s="5" t="n">
        <v>1.999</v>
      </c>
      <c r="BM689" s="5" t="n">
        <v>0.15</v>
      </c>
      <c r="BN689" s="5" t="n">
        <v>1</v>
      </c>
      <c r="BO689" s="5" t="n">
        <v>0</v>
      </c>
      <c r="BP689" s="5" t="n">
        <v>0</v>
      </c>
      <c r="BQ689" s="5" t="n">
        <v>0</v>
      </c>
      <c r="BR689" s="5" t="n">
        <v>0</v>
      </c>
      <c r="BS689" s="5" t="n">
        <v>1</v>
      </c>
      <c r="BT689" s="5" t="n">
        <v>0</v>
      </c>
      <c r="BU689" s="5" t="n">
        <v>0</v>
      </c>
      <c r="BV689" s="5" t="n">
        <v>0</v>
      </c>
      <c r="BW689" s="5" t="n">
        <v>0.15</v>
      </c>
      <c r="BX689" s="5" t="n">
        <v>1</v>
      </c>
      <c r="BY689" s="5" t="n">
        <v>13.646</v>
      </c>
      <c r="BZ689" s="5" t="n">
        <v>0</v>
      </c>
      <c r="CA689" s="5" t="n">
        <v>13.646</v>
      </c>
      <c r="CB689" s="5" t="n">
        <v>0</v>
      </c>
      <c r="CC689" s="5" t="n">
        <v>82.58799999999999</v>
      </c>
      <c r="CD689" s="5" t="n">
        <v>7.95</v>
      </c>
      <c r="CE689" s="5" t="n">
        <v>1.687</v>
      </c>
      <c r="CF689" s="5" t="n">
        <v>94.976</v>
      </c>
      <c r="CG689" s="5" t="n">
        <v>0.15</v>
      </c>
      <c r="CH689" s="5" t="n">
        <v>1</v>
      </c>
      <c r="CI689" s="5" t="n">
        <v>0</v>
      </c>
      <c r="CJ689" s="5" t="n">
        <v>0</v>
      </c>
      <c r="CK689" s="5" t="n">
        <v>0</v>
      </c>
      <c r="CL689" s="5" t="n">
        <v>0</v>
      </c>
      <c r="CM689" s="5" t="n">
        <v>0</v>
      </c>
      <c r="CN689" s="5" t="n">
        <v>0</v>
      </c>
      <c r="CO689" s="5" t="n">
        <v>0</v>
      </c>
      <c r="CP689" s="5" t="n">
        <v>0</v>
      </c>
      <c r="CQ689" s="5" t="n">
        <v>1.387</v>
      </c>
      <c r="CR689" s="5" t="n">
        <v>0</v>
      </c>
      <c r="CS689" s="5" t="n">
        <v>5.529</v>
      </c>
      <c r="CT689" s="5" t="n">
        <v>4.251</v>
      </c>
      <c r="CU689" s="5" t="n">
        <v>10.168</v>
      </c>
    </row>
    <row r="690">
      <c r="A690" s="5" t="inlineStr">
        <is>
          <t>SLE2021</t>
        </is>
      </c>
      <c r="B690" s="5" t="inlineStr">
        <is>
          <t>SLE</t>
        </is>
      </c>
      <c r="C690" s="5" t="inlineStr">
        <is>
          <t>SLE</t>
        </is>
      </c>
      <c r="D690" s="5" t="inlineStr">
        <is>
          <t>Sierra Leone</t>
        </is>
      </c>
      <c r="E690" s="5" t="n">
        <v>2021</v>
      </c>
      <c r="F690" s="5" t="n">
        <v>0.15</v>
      </c>
      <c r="G690" s="5" t="n">
        <v>5.897</v>
      </c>
      <c r="H690" s="5" t="n">
        <v>1.143</v>
      </c>
      <c r="I690" s="5" t="n">
        <v>0</v>
      </c>
      <c r="J690" s="5" t="n">
        <v>5.897</v>
      </c>
      <c r="K690" s="5" t="n">
        <v>0</v>
      </c>
      <c r="L690" s="5" t="n">
        <v>1</v>
      </c>
      <c r="M690" s="5" t="n">
        <v>7.964</v>
      </c>
      <c r="N690" s="5" t="n">
        <v>3.43</v>
      </c>
      <c r="O690" s="5" t="n">
        <v>0</v>
      </c>
      <c r="P690" s="5" t="n">
        <v>7.964</v>
      </c>
      <c r="Q690" s="5" t="n">
        <v>0</v>
      </c>
      <c r="R690" s="5" t="n">
        <v>1</v>
      </c>
      <c r="S690" s="5" t="n">
        <v>11.613</v>
      </c>
      <c r="T690" s="5" t="n">
        <v>6.86</v>
      </c>
      <c r="U690" s="5" t="n">
        <v>0</v>
      </c>
      <c r="V690" s="5" t="n">
        <v>13.355</v>
      </c>
      <c r="W690" s="5" t="n">
        <v>0.15</v>
      </c>
      <c r="X690" s="5" t="n">
        <v>1</v>
      </c>
      <c r="Y690" s="5" t="n">
        <v>16.305</v>
      </c>
      <c r="Z690" s="5" t="n">
        <v>2.204</v>
      </c>
      <c r="AA690" s="5" t="n">
        <v>0</v>
      </c>
      <c r="AB690" s="5" t="n">
        <v>16.305</v>
      </c>
      <c r="AC690" s="5" t="n">
        <v>0</v>
      </c>
      <c r="AD690" s="5" t="n">
        <v>1</v>
      </c>
      <c r="AE690" s="5" t="n">
        <v>17.449</v>
      </c>
      <c r="AF690" s="5" t="n">
        <v>4.08</v>
      </c>
      <c r="AG690" s="5" t="n">
        <v>0</v>
      </c>
      <c r="AH690" s="5" t="n">
        <v>17.449</v>
      </c>
      <c r="AI690" s="5" t="n">
        <v>0</v>
      </c>
      <c r="AJ690" s="5" t="n">
        <v>1</v>
      </c>
      <c r="AK690" s="5" t="n">
        <v>24.309</v>
      </c>
      <c r="AL690" s="5" t="n">
        <v>12.947</v>
      </c>
      <c r="AM690" s="5" t="n">
        <v>0</v>
      </c>
      <c r="AN690" s="5" t="n">
        <v>27.955</v>
      </c>
      <c r="AO690" s="5" t="n">
        <v>0.15</v>
      </c>
      <c r="AP690" s="5" t="n">
        <v>1</v>
      </c>
      <c r="AQ690" s="5" t="n">
        <v>0.525</v>
      </c>
      <c r="AR690" s="5" t="n">
        <v>0.096</v>
      </c>
      <c r="AS690" s="5" t="n">
        <v>0.179</v>
      </c>
      <c r="AT690" s="5" t="n">
        <v>0.704</v>
      </c>
      <c r="AU690" s="5" t="n">
        <v>0</v>
      </c>
      <c r="AV690" s="5" t="n">
        <v>1</v>
      </c>
      <c r="AW690" s="5" t="n">
        <v>1.053</v>
      </c>
      <c r="AX690" s="5" t="n">
        <v>0.204</v>
      </c>
      <c r="AY690" s="5" t="n">
        <v>0.202</v>
      </c>
      <c r="AZ690" s="5" t="n">
        <v>1.256</v>
      </c>
      <c r="BA690" s="5" t="n">
        <v>0</v>
      </c>
      <c r="BB690" s="5" t="n">
        <v>1</v>
      </c>
      <c r="BC690" s="5" t="n">
        <v>0.439</v>
      </c>
      <c r="BD690" s="5" t="n">
        <v>0.114</v>
      </c>
      <c r="BE690" s="5" t="n">
        <v>0</v>
      </c>
      <c r="BF690" s="5" t="n">
        <v>0.505</v>
      </c>
      <c r="BG690" s="5" t="n">
        <v>0.15</v>
      </c>
      <c r="BH690" s="5" t="n">
        <v>1</v>
      </c>
      <c r="BI690" s="5" t="n">
        <v>0.62</v>
      </c>
      <c r="BJ690" s="5" t="n">
        <v>0.137</v>
      </c>
      <c r="BK690" s="5" t="n">
        <v>0.103</v>
      </c>
      <c r="BL690" s="5" t="n">
        <v>0.723</v>
      </c>
      <c r="BM690" s="5" t="n">
        <v>0</v>
      </c>
      <c r="BN690" s="5" t="n">
        <v>1</v>
      </c>
      <c r="BO690" s="5" t="n">
        <v>0</v>
      </c>
      <c r="BP690" s="5" t="n">
        <v>0</v>
      </c>
      <c r="BQ690" s="5" t="n">
        <v>0.31</v>
      </c>
      <c r="BR690" s="5" t="n">
        <v>0</v>
      </c>
      <c r="BS690" s="5" t="n">
        <v>1</v>
      </c>
      <c r="BT690" s="5" t="n">
        <v>0</v>
      </c>
      <c r="BU690" s="5" t="n">
        <v>0</v>
      </c>
      <c r="BV690" s="5" t="n">
        <v>0.128</v>
      </c>
      <c r="BW690" s="5" t="n">
        <v>0.15</v>
      </c>
      <c r="BX690" s="5" t="n">
        <v>1</v>
      </c>
      <c r="BY690" s="5" t="n">
        <v>11.787</v>
      </c>
      <c r="BZ690" s="5" t="n">
        <v>0</v>
      </c>
      <c r="CA690" s="5" t="n">
        <v>11.787</v>
      </c>
      <c r="CB690" s="5" t="n">
        <v>0</v>
      </c>
      <c r="CC690" s="5" t="n">
        <v>87.935</v>
      </c>
      <c r="CD690" s="5" t="n">
        <v>17.76</v>
      </c>
      <c r="CE690" s="5" t="n">
        <v>26.959</v>
      </c>
      <c r="CF690" s="5" t="n">
        <v>114.894</v>
      </c>
      <c r="CG690" s="5" t="n">
        <v>0</v>
      </c>
      <c r="CH690" s="5" t="n">
        <v>1</v>
      </c>
      <c r="CI690" s="5" t="n">
        <v>0</v>
      </c>
      <c r="CJ690" s="5" t="n">
        <v>0</v>
      </c>
      <c r="CK690" s="5" t="n">
        <v>0</v>
      </c>
      <c r="CL690" s="5" t="n">
        <v>0</v>
      </c>
      <c r="CM690" s="5" t="n">
        <v>0</v>
      </c>
      <c r="CN690" s="5" t="n">
        <v>0</v>
      </c>
      <c r="CO690" s="5" t="n">
        <v>0</v>
      </c>
      <c r="CP690" s="5" t="n">
        <v>0</v>
      </c>
      <c r="CQ690" s="5" t="n">
        <v>1.198</v>
      </c>
      <c r="CR690" s="5" t="n">
        <v>0</v>
      </c>
      <c r="CS690" s="5" t="n">
        <v>4.776</v>
      </c>
      <c r="CT690" s="5" t="n">
        <v>4.753</v>
      </c>
      <c r="CU690" s="5" t="n">
        <v>15.162</v>
      </c>
    </row>
    <row r="691">
      <c r="A691" s="5" t="inlineStr">
        <is>
          <t>SLE2022</t>
        </is>
      </c>
      <c r="B691" s="5" t="inlineStr">
        <is>
          <t>SLE</t>
        </is>
      </c>
      <c r="C691" s="5" t="inlineStr">
        <is>
          <t>SLE</t>
        </is>
      </c>
      <c r="D691" s="5" t="inlineStr">
        <is>
          <t>Sierra Leone</t>
        </is>
      </c>
      <c r="E691" s="5" t="n">
        <v>2022</v>
      </c>
      <c r="F691" s="5" t="n">
        <v>0.15</v>
      </c>
      <c r="G691" s="5" t="n">
        <v>11.72</v>
      </c>
      <c r="H691" s="5" t="n">
        <v>1.235</v>
      </c>
      <c r="I691" s="5" t="n">
        <v>0</v>
      </c>
      <c r="J691" s="5" t="n">
        <v>11.72</v>
      </c>
      <c r="K691" s="5" t="n">
        <v>0</v>
      </c>
      <c r="L691" s="5" t="n">
        <v>1</v>
      </c>
      <c r="M691" s="5" t="n">
        <v>9.782999999999999</v>
      </c>
      <c r="N691" s="5" t="n">
        <v>3.704</v>
      </c>
      <c r="O691" s="5" t="n">
        <v>0</v>
      </c>
      <c r="P691" s="5" t="n">
        <v>9.782999999999999</v>
      </c>
      <c r="Q691" s="5" t="n">
        <v>0</v>
      </c>
      <c r="R691" s="5" t="n">
        <v>1</v>
      </c>
      <c r="S691" s="5" t="n">
        <v>17.893</v>
      </c>
      <c r="T691" s="5" t="n">
        <v>7.408</v>
      </c>
      <c r="U691" s="5" t="n">
        <v>0.199</v>
      </c>
      <c r="V691" s="5" t="n">
        <v>20.577</v>
      </c>
      <c r="W691" s="5" t="n">
        <v>0.15</v>
      </c>
      <c r="X691" s="5" t="n">
        <v>1</v>
      </c>
      <c r="Y691" s="5" t="n">
        <v>32.56</v>
      </c>
      <c r="Z691" s="5" t="n">
        <v>4.401</v>
      </c>
      <c r="AA691" s="5" t="n">
        <v>0</v>
      </c>
      <c r="AB691" s="5" t="n">
        <v>32.56</v>
      </c>
      <c r="AC691" s="5" t="n">
        <v>0</v>
      </c>
      <c r="AD691" s="5" t="n">
        <v>1</v>
      </c>
      <c r="AE691" s="5" t="n">
        <v>33.795</v>
      </c>
      <c r="AF691" s="5" t="n">
        <v>7.902</v>
      </c>
      <c r="AG691" s="5" t="n">
        <v>0</v>
      </c>
      <c r="AH691" s="5" t="n">
        <v>33.795</v>
      </c>
      <c r="AI691" s="5" t="n">
        <v>0</v>
      </c>
      <c r="AJ691" s="5" t="n">
        <v>1</v>
      </c>
      <c r="AK691" s="5" t="n">
        <v>41.203</v>
      </c>
      <c r="AL691" s="5" t="n">
        <v>21.945</v>
      </c>
      <c r="AM691" s="5" t="n">
        <v>0.457</v>
      </c>
      <c r="AN691" s="5" t="n">
        <v>47.384</v>
      </c>
      <c r="AO691" s="5" t="n">
        <v>0.15</v>
      </c>
      <c r="AP691" s="5" t="n">
        <v>1</v>
      </c>
      <c r="AQ691" s="5" t="n">
        <v>0.776</v>
      </c>
      <c r="AR691" s="5" t="n">
        <v>0.111</v>
      </c>
      <c r="AS691" s="5" t="n">
        <v>0.284</v>
      </c>
      <c r="AT691" s="5" t="n">
        <v>1.06</v>
      </c>
      <c r="AU691" s="5" t="n">
        <v>0</v>
      </c>
      <c r="AV691" s="5" t="n">
        <v>1</v>
      </c>
      <c r="AW691" s="5" t="n">
        <v>0.975</v>
      </c>
      <c r="AX691" s="5" t="n">
        <v>0.127</v>
      </c>
      <c r="AY691" s="5" t="n">
        <v>0.248</v>
      </c>
      <c r="AZ691" s="5" t="n">
        <v>1.223</v>
      </c>
      <c r="BA691" s="5" t="n">
        <v>0</v>
      </c>
      <c r="BB691" s="5" t="n">
        <v>1</v>
      </c>
      <c r="BC691" s="5" t="n">
        <v>0.598</v>
      </c>
      <c r="BD691" s="5" t="n">
        <v>0.123</v>
      </c>
      <c r="BE691" s="5" t="n">
        <v>0.007</v>
      </c>
      <c r="BF691" s="5" t="n">
        <v>0.6879999999999999</v>
      </c>
      <c r="BG691" s="5" t="n">
        <v>0.15</v>
      </c>
      <c r="BH691" s="5" t="n">
        <v>1</v>
      </c>
      <c r="BI691" s="5" t="n">
        <v>0.928</v>
      </c>
      <c r="BJ691" s="5" t="n">
        <v>0.181</v>
      </c>
      <c r="BK691" s="5" t="n">
        <v>0.155</v>
      </c>
      <c r="BL691" s="5" t="n">
        <v>1.083</v>
      </c>
      <c r="BM691" s="5" t="n">
        <v>0</v>
      </c>
      <c r="BN691" s="5" t="n">
        <v>1</v>
      </c>
      <c r="BO691" s="5" t="n">
        <v>0</v>
      </c>
      <c r="BP691" s="5" t="n">
        <v>0</v>
      </c>
      <c r="BQ691" s="5" t="n">
        <v>0.284</v>
      </c>
      <c r="BR691" s="5" t="n">
        <v>0</v>
      </c>
      <c r="BS691" s="5" t="n">
        <v>1</v>
      </c>
      <c r="BT691" s="5" t="n">
        <v>0</v>
      </c>
      <c r="BU691" s="5" t="n">
        <v>0</v>
      </c>
      <c r="BV691" s="5" t="n">
        <v>0.136</v>
      </c>
      <c r="BW691" s="5" t="n">
        <v>0.15</v>
      </c>
      <c r="BX691" s="5" t="n">
        <v>1</v>
      </c>
      <c r="BY691" s="5" t="n">
        <v>12.729</v>
      </c>
      <c r="BZ691" s="5" t="n">
        <v>0</v>
      </c>
      <c r="CA691" s="5" t="n">
        <v>12.729</v>
      </c>
      <c r="CB691" s="5" t="n">
        <v>0</v>
      </c>
      <c r="CC691" s="5" t="n">
        <v>121.934</v>
      </c>
      <c r="CD691" s="5" t="n">
        <v>31.984</v>
      </c>
      <c r="CE691" s="5" t="n">
        <v>39.589</v>
      </c>
      <c r="CF691" s="5" t="n">
        <v>161.523</v>
      </c>
      <c r="CG691" s="5" t="n">
        <v>0</v>
      </c>
      <c r="CH691" s="5" t="n">
        <v>1</v>
      </c>
      <c r="CI691" s="5" t="n">
        <v>0</v>
      </c>
      <c r="CJ691" s="5" t="n">
        <v>0</v>
      </c>
      <c r="CK691" s="5" t="n">
        <v>0</v>
      </c>
      <c r="CL691" s="5" t="n">
        <v>0</v>
      </c>
      <c r="CM691" s="5" t="n">
        <v>0</v>
      </c>
      <c r="CN691" s="5" t="n">
        <v>0</v>
      </c>
      <c r="CO691" s="5" t="n">
        <v>0</v>
      </c>
      <c r="CP691" s="5" t="n">
        <v>0</v>
      </c>
      <c r="CQ691" s="5" t="n">
        <v>1.294</v>
      </c>
      <c r="CR691" s="5" t="n">
        <v>0</v>
      </c>
      <c r="CS691" s="5" t="n">
        <v>5.158</v>
      </c>
      <c r="CT691" s="5" t="n">
        <v>10.485</v>
      </c>
      <c r="CU691" s="5" t="n">
        <v>31.326</v>
      </c>
    </row>
    <row r="692">
      <c r="A692" s="5" t="inlineStr">
        <is>
          <t>SLE2023</t>
        </is>
      </c>
      <c r="B692" s="5" t="inlineStr">
        <is>
          <t>SLE</t>
        </is>
      </c>
      <c r="C692" s="5" t="inlineStr">
        <is>
          <t>SLE</t>
        </is>
      </c>
      <c r="D692" s="5" t="inlineStr">
        <is>
          <t>Sierra Leone</t>
        </is>
      </c>
      <c r="E692" s="5" t="n">
        <v>2023</v>
      </c>
      <c r="F692" s="5" t="n">
        <v>0.15</v>
      </c>
      <c r="G692" s="5" t="n">
        <v>6.147</v>
      </c>
      <c r="H692" s="5" t="n">
        <v>1.286</v>
      </c>
      <c r="I692" s="5" t="n">
        <v>0</v>
      </c>
      <c r="J692" s="5" t="n">
        <v>6.147</v>
      </c>
      <c r="K692" s="5" t="n">
        <v>0</v>
      </c>
      <c r="L692" s="5" t="n">
        <v>1</v>
      </c>
      <c r="M692" s="5" t="n">
        <v>7.886</v>
      </c>
      <c r="N692" s="5" t="n">
        <v>3.857</v>
      </c>
      <c r="O692" s="5" t="n">
        <v>0</v>
      </c>
      <c r="P692" s="5" t="n">
        <v>7.886</v>
      </c>
      <c r="Q692" s="5" t="n">
        <v>0</v>
      </c>
      <c r="R692" s="5" t="n">
        <v>1</v>
      </c>
      <c r="S692" s="5" t="n">
        <v>12.575</v>
      </c>
      <c r="T692" s="5" t="n">
        <v>7.714</v>
      </c>
      <c r="U692" s="5" t="n">
        <v>0.209</v>
      </c>
      <c r="V692" s="5" t="n">
        <v>14.461</v>
      </c>
      <c r="W692" s="5" t="n">
        <v>0.15</v>
      </c>
      <c r="X692" s="5" t="n">
        <v>1</v>
      </c>
      <c r="Y692" s="5" t="n">
        <v>12.908</v>
      </c>
      <c r="Z692" s="5" t="n">
        <v>1.745</v>
      </c>
      <c r="AA692" s="5" t="n">
        <v>0</v>
      </c>
      <c r="AB692" s="5" t="n">
        <v>12.908</v>
      </c>
      <c r="AC692" s="5" t="n">
        <v>0</v>
      </c>
      <c r="AD692" s="5" t="n">
        <v>1</v>
      </c>
      <c r="AE692" s="5" t="n">
        <v>14.194</v>
      </c>
      <c r="AF692" s="5" t="n">
        <v>3.319</v>
      </c>
      <c r="AG692" s="5" t="n">
        <v>0</v>
      </c>
      <c r="AH692" s="5" t="n">
        <v>14.194</v>
      </c>
      <c r="AI692" s="5" t="n">
        <v>0</v>
      </c>
      <c r="AJ692" s="5" t="n">
        <v>1</v>
      </c>
      <c r="AK692" s="5" t="n">
        <v>21.908</v>
      </c>
      <c r="AL692" s="5" t="n">
        <v>11.668</v>
      </c>
      <c r="AM692" s="5" t="n">
        <v>0.364</v>
      </c>
      <c r="AN692" s="5" t="n">
        <v>25.194</v>
      </c>
      <c r="AO692" s="5" t="n">
        <v>0.15</v>
      </c>
      <c r="AP692" s="5" t="n">
        <v>1</v>
      </c>
      <c r="AQ692" s="5" t="n">
        <v>0.706</v>
      </c>
      <c r="AR692" s="5" t="n">
        <v>0.119</v>
      </c>
      <c r="AS692" s="5" t="n">
        <v>0.265</v>
      </c>
      <c r="AT692" s="5" t="n">
        <v>0.972</v>
      </c>
      <c r="AU692" s="5" t="n">
        <v>0</v>
      </c>
      <c r="AV692" s="5" t="n">
        <v>1</v>
      </c>
      <c r="AW692" s="5" t="n">
        <v>0.925</v>
      </c>
      <c r="AX692" s="5" t="n">
        <v>0.158</v>
      </c>
      <c r="AY692" s="5" t="n">
        <v>0.227</v>
      </c>
      <c r="AZ692" s="5" t="n">
        <v>1.151</v>
      </c>
      <c r="BA692" s="5" t="n">
        <v>0</v>
      </c>
      <c r="BB692" s="5" t="n">
        <v>1</v>
      </c>
      <c r="BC692" s="5" t="n">
        <v>0.535</v>
      </c>
      <c r="BD692" s="5" t="n">
        <v>0.129</v>
      </c>
      <c r="BE692" s="5" t="n">
        <v>0.008999999999999999</v>
      </c>
      <c r="BF692" s="5" t="n">
        <v>0.615</v>
      </c>
      <c r="BG692" s="5" t="n">
        <v>0.15</v>
      </c>
      <c r="BH692" s="5" t="n">
        <v>1</v>
      </c>
      <c r="BI692" s="5" t="n">
        <v>0.838</v>
      </c>
      <c r="BJ692" s="5" t="n">
        <v>0.182</v>
      </c>
      <c r="BK692" s="5" t="n">
        <v>0.146</v>
      </c>
      <c r="BL692" s="5" t="n">
        <v>0.983</v>
      </c>
      <c r="BM692" s="5" t="n">
        <v>0</v>
      </c>
      <c r="BN692" s="5" t="n">
        <v>1</v>
      </c>
      <c r="BO692" s="5" t="n">
        <v>0</v>
      </c>
      <c r="BP692" s="5" t="n">
        <v>0</v>
      </c>
      <c r="BQ692" s="5" t="n">
        <v>0.306</v>
      </c>
      <c r="BR692" s="5" t="n">
        <v>0</v>
      </c>
      <c r="BS692" s="5" t="n">
        <v>1</v>
      </c>
      <c r="BT692" s="5" t="n">
        <v>0</v>
      </c>
      <c r="BU692" s="5" t="n">
        <v>0</v>
      </c>
      <c r="BV692" s="5" t="n">
        <v>0.144</v>
      </c>
      <c r="BW692" s="5" t="n">
        <v>0.15</v>
      </c>
      <c r="BX692" s="5" t="n">
        <v>1</v>
      </c>
      <c r="BY692" s="5" t="n">
        <v>13.254</v>
      </c>
      <c r="BZ692" s="5" t="n">
        <v>0</v>
      </c>
      <c r="CA692" s="5" t="n">
        <v>13.254</v>
      </c>
      <c r="CB692" s="5" t="n">
        <v>0</v>
      </c>
      <c r="CC692" s="5" t="n">
        <v>119.788</v>
      </c>
      <c r="CD692" s="5" t="n">
        <v>44.49</v>
      </c>
      <c r="CE692" s="5" t="n">
        <v>39.215</v>
      </c>
      <c r="CF692" s="5" t="n">
        <v>159.003</v>
      </c>
      <c r="CG692" s="5" t="n">
        <v>0</v>
      </c>
      <c r="CH692" s="5" t="n">
        <v>1</v>
      </c>
      <c r="CI692" s="5" t="n">
        <v>0</v>
      </c>
      <c r="CJ692" s="5" t="n">
        <v>0</v>
      </c>
      <c r="CK692" s="5" t="n">
        <v>0</v>
      </c>
      <c r="CL692" s="5" t="n">
        <v>0</v>
      </c>
      <c r="CM692" s="5" t="n">
        <v>0</v>
      </c>
      <c r="CN692" s="5" t="n">
        <v>0</v>
      </c>
      <c r="CO692" s="5" t="n">
        <v>0</v>
      </c>
      <c r="CP692" s="5" t="n">
        <v>0</v>
      </c>
      <c r="CQ692" s="5" t="n">
        <v>1.348</v>
      </c>
      <c r="CR692" s="5" t="n">
        <v>0</v>
      </c>
      <c r="CS692" s="5" t="n">
        <v>5.37</v>
      </c>
      <c r="CT692" s="5" t="n">
        <v>4.861</v>
      </c>
      <c r="CU692" s="5" t="n">
        <v>11.622</v>
      </c>
    </row>
    <row r="693">
      <c r="A693" s="5" t="inlineStr">
        <is>
          <t>SLE2024</t>
        </is>
      </c>
      <c r="B693" s="5" t="inlineStr">
        <is>
          <t>SLE</t>
        </is>
      </c>
      <c r="C693" s="5" t="inlineStr">
        <is>
          <t>SLE</t>
        </is>
      </c>
      <c r="D693" s="5" t="inlineStr">
        <is>
          <t>Sierra Leone</t>
        </is>
      </c>
      <c r="E693" s="5" t="n">
        <v>2024</v>
      </c>
      <c r="F693" s="5" t="n">
        <v>0.15</v>
      </c>
      <c r="G693" s="5" t="n">
        <v>5.575</v>
      </c>
      <c r="H693" s="5" t="n">
        <v>1.324</v>
      </c>
      <c r="I693" s="5" t="n">
        <v>0</v>
      </c>
      <c r="J693" s="5" t="n">
        <v>5.575</v>
      </c>
      <c r="K693" s="5" t="n">
        <v>0</v>
      </c>
      <c r="L693" s="5" t="n">
        <v>1</v>
      </c>
      <c r="M693" s="5" t="n">
        <v>7.124</v>
      </c>
      <c r="N693" s="5" t="n">
        <v>3.971</v>
      </c>
      <c r="O693" s="5" t="n">
        <v>0</v>
      </c>
      <c r="P693" s="5" t="n">
        <v>7.124</v>
      </c>
      <c r="Q693" s="5" t="n">
        <v>0</v>
      </c>
      <c r="R693" s="5" t="n">
        <v>1</v>
      </c>
      <c r="S693" s="5" t="n">
        <v>12.193</v>
      </c>
      <c r="T693" s="5" t="n">
        <v>7.942</v>
      </c>
      <c r="U693" s="5" t="n">
        <v>0.249</v>
      </c>
      <c r="V693" s="5" t="n">
        <v>14.022</v>
      </c>
      <c r="W693" s="5" t="n">
        <v>0.15</v>
      </c>
      <c r="X693" s="5" t="n">
        <v>1</v>
      </c>
      <c r="Y693" s="5" t="n">
        <v>11.492</v>
      </c>
      <c r="Z693" s="5" t="n">
        <v>1.553</v>
      </c>
      <c r="AA693" s="5" t="n">
        <v>0</v>
      </c>
      <c r="AB693" s="5" t="n">
        <v>11.492</v>
      </c>
      <c r="AC693" s="5" t="n">
        <v>0</v>
      </c>
      <c r="AD693" s="5" t="n">
        <v>1</v>
      </c>
      <c r="AE693" s="5" t="n">
        <v>12.815</v>
      </c>
      <c r="AF693" s="5" t="n">
        <v>2.997</v>
      </c>
      <c r="AG693" s="5" t="n">
        <v>0</v>
      </c>
      <c r="AH693" s="5" t="n">
        <v>12.815</v>
      </c>
      <c r="AI693" s="5" t="n">
        <v>0</v>
      </c>
      <c r="AJ693" s="5" t="n">
        <v>1</v>
      </c>
      <c r="AK693" s="5" t="n">
        <v>20.757</v>
      </c>
      <c r="AL693" s="5" t="n">
        <v>11.055</v>
      </c>
      <c r="AM693" s="5" t="n">
        <v>0.424</v>
      </c>
      <c r="AN693" s="5" t="n">
        <v>23.871</v>
      </c>
      <c r="AO693" s="5" t="n">
        <v>0.15</v>
      </c>
      <c r="AP693" s="5" t="n">
        <v>1</v>
      </c>
      <c r="AQ693" s="5" t="n">
        <v>0.888</v>
      </c>
      <c r="AR693" s="5" t="n">
        <v>0.161</v>
      </c>
      <c r="AS693" s="5" t="n">
        <v>0.323</v>
      </c>
      <c r="AT693" s="5" t="n">
        <v>1.211</v>
      </c>
      <c r="AU693" s="5" t="n">
        <v>0</v>
      </c>
      <c r="AV693" s="5" t="n">
        <v>1</v>
      </c>
      <c r="AW693" s="5" t="n">
        <v>0.982</v>
      </c>
      <c r="AX693" s="5" t="n">
        <v>0.18</v>
      </c>
      <c r="AY693" s="5" t="n">
        <v>0.234</v>
      </c>
      <c r="AZ693" s="5" t="n">
        <v>1.216</v>
      </c>
      <c r="BA693" s="5" t="n">
        <v>0</v>
      </c>
      <c r="BB693" s="5" t="n">
        <v>1</v>
      </c>
      <c r="BC693" s="5" t="n">
        <v>0.513</v>
      </c>
      <c r="BD693" s="5" t="n">
        <v>0.132</v>
      </c>
      <c r="BE693" s="5" t="n">
        <v>0.01</v>
      </c>
      <c r="BF693" s="5" t="n">
        <v>0.59</v>
      </c>
      <c r="BG693" s="5" t="n">
        <v>0.15</v>
      </c>
      <c r="BH693" s="5" t="n">
        <v>1</v>
      </c>
      <c r="BI693" s="5" t="n">
        <v>0.998</v>
      </c>
      <c r="BJ693" s="5" t="n">
        <v>0.219</v>
      </c>
      <c r="BK693" s="5" t="n">
        <v>0.171</v>
      </c>
      <c r="BL693" s="5" t="n">
        <v>1.169</v>
      </c>
      <c r="BM693" s="5" t="n">
        <v>0</v>
      </c>
      <c r="BN693" s="5" t="n">
        <v>1</v>
      </c>
      <c r="BO693" s="5" t="n">
        <v>0</v>
      </c>
      <c r="BP693" s="5" t="n">
        <v>0</v>
      </c>
      <c r="BQ693" s="5" t="n">
        <v>0.43</v>
      </c>
      <c r="BR693" s="5" t="n">
        <v>0</v>
      </c>
      <c r="BS693" s="5" t="n">
        <v>1</v>
      </c>
      <c r="BT693" s="5" t="n">
        <v>0</v>
      </c>
      <c r="BU693" s="5" t="n">
        <v>0</v>
      </c>
      <c r="BV693" s="5" t="n">
        <v>0.213</v>
      </c>
      <c r="BW693" s="5" t="n">
        <v>0.15</v>
      </c>
      <c r="BX693" s="5" t="n">
        <v>1</v>
      </c>
      <c r="BY693" s="5" t="n">
        <v>13.646</v>
      </c>
      <c r="BZ693" s="5" t="n">
        <v>0</v>
      </c>
      <c r="CA693" s="5" t="n">
        <v>13.646</v>
      </c>
      <c r="CB693" s="5" t="n">
        <v>0</v>
      </c>
      <c r="CC693" s="5" t="n">
        <v>138.872</v>
      </c>
      <c r="CD693" s="5" t="n">
        <v>64.23399999999999</v>
      </c>
      <c r="CE693" s="5" t="n">
        <v>45.605</v>
      </c>
      <c r="CF693" s="5" t="n">
        <v>184.477</v>
      </c>
      <c r="CG693" s="5" t="n">
        <v>0</v>
      </c>
      <c r="CH693" s="5" t="n">
        <v>1</v>
      </c>
      <c r="CI693" s="5" t="n">
        <v>0</v>
      </c>
      <c r="CJ693" s="5" t="n">
        <v>0</v>
      </c>
      <c r="CK693" s="5" t="n">
        <v>0</v>
      </c>
      <c r="CL693" s="5" t="n">
        <v>0</v>
      </c>
      <c r="CM693" s="5" t="n">
        <v>0</v>
      </c>
      <c r="CN693" s="5" t="n">
        <v>0</v>
      </c>
      <c r="CO693" s="5" t="n">
        <v>0</v>
      </c>
      <c r="CP693" s="5" t="n">
        <v>0</v>
      </c>
      <c r="CQ693" s="5" t="n">
        <v>1.387</v>
      </c>
      <c r="CR693" s="5" t="n">
        <v>0</v>
      </c>
      <c r="CS693" s="5" t="n">
        <v>5.529</v>
      </c>
      <c r="CT693" s="5" t="n">
        <v>4.251</v>
      </c>
      <c r="CU693" s="5" t="n">
        <v>10.168</v>
      </c>
    </row>
    <row r="694">
      <c r="A694" s="5" t="inlineStr">
        <is>
          <t>SGP2021</t>
        </is>
      </c>
      <c r="B694" s="5" t="inlineStr">
        <is>
          <t>SGP</t>
        </is>
      </c>
      <c r="C694" s="5" t="inlineStr">
        <is>
          <t>SGP</t>
        </is>
      </c>
      <c r="D694" s="5" t="inlineStr">
        <is>
          <t>Singapore</t>
        </is>
      </c>
      <c r="E694" s="5" t="n">
        <v>2021</v>
      </c>
      <c r="F694" s="5" t="n">
        <v>0.07000000000000001</v>
      </c>
      <c r="G694" s="5" t="n">
        <v>4.747</v>
      </c>
      <c r="H694" s="5" t="n">
        <v>1.143</v>
      </c>
      <c r="I694" s="5" t="n">
        <v>0.279</v>
      </c>
      <c r="J694" s="5" t="n">
        <v>5.027</v>
      </c>
      <c r="K694" s="5" t="n">
        <v>0</v>
      </c>
      <c r="L694" s="5" t="n">
        <v>1</v>
      </c>
      <c r="M694" s="5" t="n">
        <v>7.964</v>
      </c>
      <c r="N694" s="5" t="n">
        <v>3.43</v>
      </c>
      <c r="O694" s="5" t="n">
        <v>0.28</v>
      </c>
      <c r="P694" s="5" t="n">
        <v>8.244999999999999</v>
      </c>
      <c r="Q694" s="5" t="n">
        <v>0</v>
      </c>
      <c r="R694" s="5" t="n">
        <v>1</v>
      </c>
      <c r="S694" s="5" t="n">
        <v>10.464</v>
      </c>
      <c r="T694" s="5" t="n">
        <v>6.86</v>
      </c>
      <c r="U694" s="5" t="n">
        <v>0</v>
      </c>
      <c r="V694" s="5" t="n">
        <v>11.196</v>
      </c>
      <c r="W694" s="5" t="n">
        <v>0.07000000000000001</v>
      </c>
      <c r="X694" s="5" t="n">
        <v>1</v>
      </c>
      <c r="Y694" s="5" t="n">
        <v>41.665</v>
      </c>
      <c r="Z694" s="5" t="n">
        <v>4.602</v>
      </c>
      <c r="AA694" s="5" t="n">
        <v>-4.965</v>
      </c>
      <c r="AB694" s="5" t="n">
        <v>36.7</v>
      </c>
      <c r="AC694" s="5" t="n">
        <v>0</v>
      </c>
      <c r="AD694" s="5" t="n">
        <v>1</v>
      </c>
      <c r="AE694" s="5" t="n">
        <v>41.622</v>
      </c>
      <c r="AF694" s="5" t="n">
        <v>8.19</v>
      </c>
      <c r="AG694" s="5" t="n">
        <v>-4.922</v>
      </c>
      <c r="AH694" s="5" t="n">
        <v>36.7</v>
      </c>
      <c r="AI694" s="5" t="n">
        <v>0</v>
      </c>
      <c r="AJ694" s="5" t="n">
        <v>1</v>
      </c>
      <c r="AK694" s="5" t="n">
        <v>45.721</v>
      </c>
      <c r="AL694" s="5" t="n">
        <v>22.44</v>
      </c>
      <c r="AM694" s="5" t="n">
        <v>-8.090999999999999</v>
      </c>
      <c r="AN694" s="5" t="n">
        <v>40.264</v>
      </c>
      <c r="AO694" s="5" t="n">
        <v>0</v>
      </c>
      <c r="AP694" s="5" t="n">
        <v>1</v>
      </c>
      <c r="AQ694" s="5" t="n">
        <v>0.624</v>
      </c>
      <c r="AR694" s="5" t="n">
        <v>0.114</v>
      </c>
      <c r="AS694" s="5" t="n">
        <v>0.997</v>
      </c>
      <c r="AT694" s="5" t="n">
        <v>1.751</v>
      </c>
      <c r="AU694" s="5" t="n">
        <v>0.08</v>
      </c>
      <c r="AV694" s="5" t="n">
        <v>1</v>
      </c>
      <c r="AW694" s="5" t="n">
        <v>0.593</v>
      </c>
      <c r="AX694" s="5" t="n">
        <v>0.114</v>
      </c>
      <c r="AY694" s="5" t="n">
        <v>0.742</v>
      </c>
      <c r="AZ694" s="5" t="n">
        <v>1.428</v>
      </c>
      <c r="BA694" s="5" t="n">
        <v>0.07000000000000001</v>
      </c>
      <c r="BB694" s="5" t="n">
        <v>1</v>
      </c>
      <c r="BC694" s="5" t="n">
        <v>0.442</v>
      </c>
      <c r="BD694" s="5" t="n">
        <v>0.114</v>
      </c>
      <c r="BE694" s="5" t="n">
        <v>0.856</v>
      </c>
      <c r="BF694" s="5" t="n">
        <v>1.389</v>
      </c>
      <c r="BG694" s="5" t="n">
        <v>0.07000000000000001</v>
      </c>
      <c r="BH694" s="5" t="n">
        <v>1</v>
      </c>
      <c r="BI694" s="5" t="n">
        <v>0.583</v>
      </c>
      <c r="BJ694" s="5" t="n">
        <v>0.114</v>
      </c>
      <c r="BK694" s="5" t="n">
        <v>0</v>
      </c>
      <c r="BL694" s="5" t="n">
        <v>0.623</v>
      </c>
      <c r="BM694" s="5" t="n">
        <v>0.07000000000000001</v>
      </c>
      <c r="BN694" s="5" t="n">
        <v>1</v>
      </c>
      <c r="BO694" s="5" t="n">
        <v>0</v>
      </c>
      <c r="BP694" s="5" t="n">
        <v>0</v>
      </c>
      <c r="BQ694" s="5" t="n">
        <v>0.127</v>
      </c>
      <c r="BR694" s="5" t="n">
        <v>0</v>
      </c>
      <c r="BS694" s="5" t="n">
        <v>1</v>
      </c>
      <c r="BT694" s="5" t="n">
        <v>0</v>
      </c>
      <c r="BU694" s="5" t="n">
        <v>0</v>
      </c>
      <c r="BV694" s="5" t="n">
        <v>0.169</v>
      </c>
      <c r="BW694" s="5" t="n">
        <v>0.07000000000000001</v>
      </c>
      <c r="BX694" s="5" t="n">
        <v>1</v>
      </c>
      <c r="BY694" s="5" t="n">
        <v>11.787</v>
      </c>
      <c r="BZ694" s="5" t="n">
        <v>0</v>
      </c>
      <c r="CA694" s="5" t="n">
        <v>11.787</v>
      </c>
      <c r="CB694" s="5" t="n">
        <v>0</v>
      </c>
      <c r="CC694" s="5" t="n">
        <v>73.753</v>
      </c>
      <c r="CD694" s="5" t="n">
        <v>7.95</v>
      </c>
      <c r="CE694" s="5" t="n">
        <v>1.538</v>
      </c>
      <c r="CF694" s="5" t="n">
        <v>80.56100000000001</v>
      </c>
      <c r="CG694" s="5" t="n">
        <v>0.07000000000000001</v>
      </c>
      <c r="CH694" s="5" t="n">
        <v>1</v>
      </c>
      <c r="CI694" s="5" t="n">
        <v>1</v>
      </c>
      <c r="CJ694" s="5" t="n">
        <v>1</v>
      </c>
      <c r="CK694" s="5" t="n">
        <v>0</v>
      </c>
      <c r="CL694" s="5" t="n">
        <v>0</v>
      </c>
      <c r="CM694" s="5" t="n">
        <v>0</v>
      </c>
      <c r="CN694" s="5" t="n">
        <v>0</v>
      </c>
      <c r="CO694" s="5" t="n">
        <v>0</v>
      </c>
      <c r="CP694" s="5" t="n">
        <v>0</v>
      </c>
      <c r="CQ694" s="5" t="n">
        <v>1.198</v>
      </c>
      <c r="CR694" s="5" t="n">
        <v>0</v>
      </c>
      <c r="CS694" s="5" t="n">
        <v>4.776</v>
      </c>
      <c r="CT694" s="5" t="n">
        <v>3.604</v>
      </c>
      <c r="CU694" s="5" t="n">
        <v>9.407999999999999</v>
      </c>
    </row>
    <row r="695">
      <c r="A695" s="5" t="inlineStr">
        <is>
          <t>SGP2022</t>
        </is>
      </c>
      <c r="B695" s="5" t="inlineStr">
        <is>
          <t>SGP</t>
        </is>
      </c>
      <c r="C695" s="5" t="inlineStr">
        <is>
          <t>SGP</t>
        </is>
      </c>
      <c r="D695" s="5" t="inlineStr">
        <is>
          <t>Singapore</t>
        </is>
      </c>
      <c r="E695" s="5" t="n">
        <v>2022</v>
      </c>
      <c r="F695" s="5" t="n">
        <v>0.07000000000000001</v>
      </c>
      <c r="G695" s="5" t="n">
        <v>8.788</v>
      </c>
      <c r="H695" s="5" t="n">
        <v>1.235</v>
      </c>
      <c r="I695" s="5" t="n">
        <v>0.314</v>
      </c>
      <c r="J695" s="5" t="n">
        <v>9.102</v>
      </c>
      <c r="K695" s="5" t="n">
        <v>0</v>
      </c>
      <c r="L695" s="5" t="n">
        <v>1</v>
      </c>
      <c r="M695" s="5" t="n">
        <v>9.782999999999999</v>
      </c>
      <c r="N695" s="5" t="n">
        <v>3.704</v>
      </c>
      <c r="O695" s="5" t="n">
        <v>0.315</v>
      </c>
      <c r="P695" s="5" t="n">
        <v>10.098</v>
      </c>
      <c r="Q695" s="5" t="n">
        <v>0</v>
      </c>
      <c r="R695" s="5" t="n">
        <v>1</v>
      </c>
      <c r="S695" s="5" t="n">
        <v>14.962</v>
      </c>
      <c r="T695" s="5" t="n">
        <v>7.408</v>
      </c>
      <c r="U695" s="5" t="n">
        <v>0.078</v>
      </c>
      <c r="V695" s="5" t="n">
        <v>16.009</v>
      </c>
      <c r="W695" s="5" t="n">
        <v>0.07000000000000001</v>
      </c>
      <c r="X695" s="5" t="n">
        <v>1</v>
      </c>
      <c r="Y695" s="5" t="n">
        <v>48.446</v>
      </c>
      <c r="Z695" s="5" t="n">
        <v>5.082</v>
      </c>
      <c r="AA695" s="5" t="n">
        <v>-4.674</v>
      </c>
      <c r="AB695" s="5" t="n">
        <v>43.772</v>
      </c>
      <c r="AC695" s="5" t="n">
        <v>0</v>
      </c>
      <c r="AD695" s="5" t="n">
        <v>1</v>
      </c>
      <c r="AE695" s="5" t="n">
        <v>48.494</v>
      </c>
      <c r="AF695" s="5" t="n">
        <v>8.99</v>
      </c>
      <c r="AG695" s="5" t="n">
        <v>-4.721</v>
      </c>
      <c r="AH695" s="5" t="n">
        <v>43.772</v>
      </c>
      <c r="AI695" s="5" t="n">
        <v>0</v>
      </c>
      <c r="AJ695" s="5" t="n">
        <v>1</v>
      </c>
      <c r="AK695" s="5" t="n">
        <v>53.141</v>
      </c>
      <c r="AL695" s="5" t="n">
        <v>25.377</v>
      </c>
      <c r="AM695" s="5" t="n">
        <v>-8.965999999999999</v>
      </c>
      <c r="AN695" s="5" t="n">
        <v>47.267</v>
      </c>
      <c r="AO695" s="5" t="n">
        <v>0</v>
      </c>
      <c r="AP695" s="5" t="n">
        <v>1</v>
      </c>
      <c r="AQ695" s="5" t="n">
        <v>0.855</v>
      </c>
      <c r="AR695" s="5" t="n">
        <v>0.123</v>
      </c>
      <c r="AS695" s="5" t="n">
        <v>1.026</v>
      </c>
      <c r="AT695" s="5" t="n">
        <v>2.031</v>
      </c>
      <c r="AU695" s="5" t="n">
        <v>0.08</v>
      </c>
      <c r="AV695" s="5" t="n">
        <v>1</v>
      </c>
      <c r="AW695" s="5" t="n">
        <v>0.947</v>
      </c>
      <c r="AX695" s="5" t="n">
        <v>0.123</v>
      </c>
      <c r="AY695" s="5" t="n">
        <v>0.847</v>
      </c>
      <c r="AZ695" s="5" t="n">
        <v>1.919</v>
      </c>
      <c r="BA695" s="5" t="n">
        <v>0.07000000000000001</v>
      </c>
      <c r="BB695" s="5" t="n">
        <v>1</v>
      </c>
      <c r="BC695" s="5" t="n">
        <v>0.594</v>
      </c>
      <c r="BD695" s="5" t="n">
        <v>0.123</v>
      </c>
      <c r="BE695" s="5" t="n">
        <v>0.924</v>
      </c>
      <c r="BF695" s="5" t="n">
        <v>1.616</v>
      </c>
      <c r="BG695" s="5" t="n">
        <v>0.07000000000000001</v>
      </c>
      <c r="BH695" s="5" t="n">
        <v>1</v>
      </c>
      <c r="BI695" s="5" t="n">
        <v>0.766</v>
      </c>
      <c r="BJ695" s="5" t="n">
        <v>0.123</v>
      </c>
      <c r="BK695" s="5" t="n">
        <v>0.004</v>
      </c>
      <c r="BL695" s="5" t="n">
        <v>0.819</v>
      </c>
      <c r="BM695" s="5" t="n">
        <v>0.07000000000000001</v>
      </c>
      <c r="BN695" s="5" t="n">
        <v>1</v>
      </c>
      <c r="BO695" s="5" t="n">
        <v>0</v>
      </c>
      <c r="BP695" s="5" t="n">
        <v>0</v>
      </c>
      <c r="BQ695" s="5" t="n">
        <v>0.161</v>
      </c>
      <c r="BR695" s="5" t="n">
        <v>0</v>
      </c>
      <c r="BS695" s="5" t="n">
        <v>1</v>
      </c>
      <c r="BT695" s="5" t="n">
        <v>0</v>
      </c>
      <c r="BU695" s="5" t="n">
        <v>0</v>
      </c>
      <c r="BV695" s="5" t="n">
        <v>0.205</v>
      </c>
      <c r="BW695" s="5" t="n">
        <v>0.07000000000000001</v>
      </c>
      <c r="BX695" s="5" t="n">
        <v>1</v>
      </c>
      <c r="BY695" s="5" t="n">
        <v>12.729</v>
      </c>
      <c r="BZ695" s="5" t="n">
        <v>0</v>
      </c>
      <c r="CA695" s="5" t="n">
        <v>12.729</v>
      </c>
      <c r="CB695" s="5" t="n">
        <v>0</v>
      </c>
      <c r="CC695" s="5" t="n">
        <v>89.188</v>
      </c>
      <c r="CD695" s="5" t="n">
        <v>7.95</v>
      </c>
      <c r="CE695" s="5" t="n">
        <v>2.027</v>
      </c>
      <c r="CF695" s="5" t="n">
        <v>97.09699999999999</v>
      </c>
      <c r="CG695" s="5" t="n">
        <v>0.07000000000000001</v>
      </c>
      <c r="CH695" s="5" t="n">
        <v>1</v>
      </c>
      <c r="CI695" s="5" t="n">
        <v>1</v>
      </c>
      <c r="CJ695" s="5" t="n">
        <v>1</v>
      </c>
      <c r="CK695" s="5" t="n">
        <v>0</v>
      </c>
      <c r="CL695" s="5" t="n">
        <v>0</v>
      </c>
      <c r="CM695" s="5" t="n">
        <v>0</v>
      </c>
      <c r="CN695" s="5" t="n">
        <v>0</v>
      </c>
      <c r="CO695" s="5" t="n">
        <v>0</v>
      </c>
      <c r="CP695" s="5" t="n">
        <v>0</v>
      </c>
      <c r="CQ695" s="5" t="n">
        <v>1.294</v>
      </c>
      <c r="CR695" s="5" t="n">
        <v>0</v>
      </c>
      <c r="CS695" s="5" t="n">
        <v>5.158</v>
      </c>
      <c r="CT695" s="5" t="n">
        <v>7.554</v>
      </c>
      <c r="CU695" s="5" t="n">
        <v>16.097</v>
      </c>
    </row>
    <row r="696">
      <c r="A696" s="5" t="inlineStr">
        <is>
          <t>SGP2023</t>
        </is>
      </c>
      <c r="B696" s="5" t="inlineStr">
        <is>
          <t>SGP</t>
        </is>
      </c>
      <c r="C696" s="5" t="inlineStr">
        <is>
          <t>SGP</t>
        </is>
      </c>
      <c r="D696" s="5" t="inlineStr">
        <is>
          <t>Singapore</t>
        </is>
      </c>
      <c r="E696" s="5" t="n">
        <v>2023</v>
      </c>
      <c r="F696" s="5" t="n">
        <v>0.07000000000000001</v>
      </c>
      <c r="G696" s="5" t="n">
        <v>5.77</v>
      </c>
      <c r="H696" s="5" t="n">
        <v>1.286</v>
      </c>
      <c r="I696" s="5" t="n">
        <v>0.334</v>
      </c>
      <c r="J696" s="5" t="n">
        <v>6.104</v>
      </c>
      <c r="K696" s="5" t="n">
        <v>0</v>
      </c>
      <c r="L696" s="5" t="n">
        <v>1</v>
      </c>
      <c r="M696" s="5" t="n">
        <v>7.886</v>
      </c>
      <c r="N696" s="5" t="n">
        <v>3.857</v>
      </c>
      <c r="O696" s="5" t="n">
        <v>0.335</v>
      </c>
      <c r="P696" s="5" t="n">
        <v>8.221</v>
      </c>
      <c r="Q696" s="5" t="n">
        <v>0</v>
      </c>
      <c r="R696" s="5" t="n">
        <v>1</v>
      </c>
      <c r="S696" s="5" t="n">
        <v>12.198</v>
      </c>
      <c r="T696" s="5" t="n">
        <v>7.714</v>
      </c>
      <c r="U696" s="5" t="n">
        <v>0.095</v>
      </c>
      <c r="V696" s="5" t="n">
        <v>13.052</v>
      </c>
      <c r="W696" s="5" t="n">
        <v>0.07000000000000001</v>
      </c>
      <c r="X696" s="5" t="n">
        <v>1</v>
      </c>
      <c r="Y696" s="5" t="n">
        <v>44.928</v>
      </c>
      <c r="Z696" s="5" t="n">
        <v>5.033</v>
      </c>
      <c r="AA696" s="5" t="n">
        <v>0.376</v>
      </c>
      <c r="AB696" s="5" t="n">
        <v>45.304</v>
      </c>
      <c r="AC696" s="5" t="n">
        <v>0</v>
      </c>
      <c r="AD696" s="5" t="n">
        <v>1</v>
      </c>
      <c r="AE696" s="5" t="n">
        <v>45.027</v>
      </c>
      <c r="AF696" s="5" t="n">
        <v>8.968</v>
      </c>
      <c r="AG696" s="5" t="n">
        <v>0.277</v>
      </c>
      <c r="AH696" s="5" t="n">
        <v>45.304</v>
      </c>
      <c r="AI696" s="5" t="n">
        <v>0</v>
      </c>
      <c r="AJ696" s="5" t="n">
        <v>1</v>
      </c>
      <c r="AK696" s="5" t="n">
        <v>49.981</v>
      </c>
      <c r="AL696" s="5" t="n">
        <v>24.759</v>
      </c>
      <c r="AM696" s="5" t="n">
        <v>-4.133</v>
      </c>
      <c r="AN696" s="5" t="n">
        <v>49.057</v>
      </c>
      <c r="AO696" s="5" t="n">
        <v>0</v>
      </c>
      <c r="AP696" s="5" t="n">
        <v>1</v>
      </c>
      <c r="AQ696" s="5" t="n">
        <v>0.752</v>
      </c>
      <c r="AR696" s="5" t="n">
        <v>0.129</v>
      </c>
      <c r="AS696" s="5" t="n">
        <v>1.101</v>
      </c>
      <c r="AT696" s="5" t="n">
        <v>2.001</v>
      </c>
      <c r="AU696" s="5" t="n">
        <v>0.08</v>
      </c>
      <c r="AV696" s="5" t="n">
        <v>1</v>
      </c>
      <c r="AW696" s="5" t="n">
        <v>0.783</v>
      </c>
      <c r="AX696" s="5" t="n">
        <v>0.129</v>
      </c>
      <c r="AY696" s="5" t="n">
        <v>0.925</v>
      </c>
      <c r="AZ696" s="5" t="n">
        <v>1.827</v>
      </c>
      <c r="BA696" s="5" t="n">
        <v>0.07000000000000001</v>
      </c>
      <c r="BB696" s="5" t="n">
        <v>1</v>
      </c>
      <c r="BC696" s="5" t="n">
        <v>0.529</v>
      </c>
      <c r="BD696" s="5" t="n">
        <v>0.129</v>
      </c>
      <c r="BE696" s="5" t="n">
        <v>0.972</v>
      </c>
      <c r="BF696" s="5" t="n">
        <v>1.594</v>
      </c>
      <c r="BG696" s="5" t="n">
        <v>0.07000000000000001</v>
      </c>
      <c r="BH696" s="5" t="n">
        <v>1</v>
      </c>
      <c r="BI696" s="5" t="n">
        <v>0.669</v>
      </c>
      <c r="BJ696" s="5" t="n">
        <v>0.129</v>
      </c>
      <c r="BK696" s="5" t="n">
        <v>0.005</v>
      </c>
      <c r="BL696" s="5" t="n">
        <v>0.715</v>
      </c>
      <c r="BM696" s="5" t="n">
        <v>0.07000000000000001</v>
      </c>
      <c r="BN696" s="5" t="n">
        <v>1</v>
      </c>
      <c r="BO696" s="5" t="n">
        <v>0</v>
      </c>
      <c r="BP696" s="5" t="n">
        <v>0</v>
      </c>
      <c r="BQ696" s="5" t="n">
        <v>0.243</v>
      </c>
      <c r="BR696" s="5" t="n">
        <v>0</v>
      </c>
      <c r="BS696" s="5" t="n">
        <v>1</v>
      </c>
      <c r="BT696" s="5" t="n">
        <v>0</v>
      </c>
      <c r="BU696" s="5" t="n">
        <v>0</v>
      </c>
      <c r="BV696" s="5" t="n">
        <v>0.227</v>
      </c>
      <c r="BW696" s="5" t="n">
        <v>0.07000000000000001</v>
      </c>
      <c r="BX696" s="5" t="n">
        <v>1</v>
      </c>
      <c r="BY696" s="5" t="n">
        <v>13.254</v>
      </c>
      <c r="BZ696" s="5" t="n">
        <v>0</v>
      </c>
      <c r="CA696" s="5" t="n">
        <v>13.254</v>
      </c>
      <c r="CB696" s="5" t="n">
        <v>0</v>
      </c>
      <c r="CC696" s="5" t="n">
        <v>72.967</v>
      </c>
      <c r="CD696" s="5" t="n">
        <v>7.95</v>
      </c>
      <c r="CE696" s="5" t="n">
        <v>2.247</v>
      </c>
      <c r="CF696" s="5" t="n">
        <v>79.86</v>
      </c>
      <c r="CG696" s="5" t="n">
        <v>0.07000000000000001</v>
      </c>
      <c r="CH696" s="5" t="n">
        <v>1</v>
      </c>
      <c r="CI696" s="5" t="n">
        <v>1</v>
      </c>
      <c r="CJ696" s="5" t="n">
        <v>1</v>
      </c>
      <c r="CK696" s="5" t="n">
        <v>0</v>
      </c>
      <c r="CL696" s="5" t="n">
        <v>0</v>
      </c>
      <c r="CM696" s="5" t="n">
        <v>0</v>
      </c>
      <c r="CN696" s="5" t="n">
        <v>0</v>
      </c>
      <c r="CO696" s="5" t="n">
        <v>0</v>
      </c>
      <c r="CP696" s="5" t="n">
        <v>0</v>
      </c>
      <c r="CQ696" s="5" t="n">
        <v>1.348</v>
      </c>
      <c r="CR696" s="5" t="n">
        <v>0</v>
      </c>
      <c r="CS696" s="5" t="n">
        <v>5.37</v>
      </c>
      <c r="CT696" s="5" t="n">
        <v>4.484</v>
      </c>
      <c r="CU696" s="5" t="n">
        <v>12.529</v>
      </c>
    </row>
    <row r="697">
      <c r="A697" s="5" t="inlineStr">
        <is>
          <t>SGP2024</t>
        </is>
      </c>
      <c r="B697" s="5" t="inlineStr">
        <is>
          <t>SGP</t>
        </is>
      </c>
      <c r="C697" s="5" t="inlineStr">
        <is>
          <t>SGP</t>
        </is>
      </c>
      <c r="D697" s="5" t="inlineStr">
        <is>
          <t>Singapore</t>
        </is>
      </c>
      <c r="E697" s="5" t="n">
        <v>2024</v>
      </c>
      <c r="F697" s="5" t="n">
        <v>0.07000000000000001</v>
      </c>
      <c r="G697" s="5" t="n">
        <v>4.833</v>
      </c>
      <c r="H697" s="5" t="n">
        <v>1.324</v>
      </c>
      <c r="I697" s="5" t="n">
        <v>1.689</v>
      </c>
      <c r="J697" s="5" t="n">
        <v>6.522</v>
      </c>
      <c r="K697" s="5" t="n">
        <v>0</v>
      </c>
      <c r="L697" s="5" t="n">
        <v>1</v>
      </c>
      <c r="M697" s="5" t="n">
        <v>7.124</v>
      </c>
      <c r="N697" s="5" t="n">
        <v>3.971</v>
      </c>
      <c r="O697" s="5" t="n">
        <v>1.695</v>
      </c>
      <c r="P697" s="5" t="n">
        <v>8.818</v>
      </c>
      <c r="Q697" s="5" t="n">
        <v>0</v>
      </c>
      <c r="R697" s="5" t="n">
        <v>1</v>
      </c>
      <c r="S697" s="5" t="n">
        <v>11.451</v>
      </c>
      <c r="T697" s="5" t="n">
        <v>7.942</v>
      </c>
      <c r="U697" s="5" t="n">
        <v>0.109</v>
      </c>
      <c r="V697" s="5" t="n">
        <v>12.252</v>
      </c>
      <c r="W697" s="5" t="n">
        <v>0.07000000000000001</v>
      </c>
      <c r="X697" s="5" t="n">
        <v>1</v>
      </c>
      <c r="Y697" s="5" t="n">
        <v>48.488</v>
      </c>
      <c r="Z697" s="5" t="n">
        <v>6.122</v>
      </c>
      <c r="AA697" s="5" t="n">
        <v>0</v>
      </c>
      <c r="AB697" s="5" t="n">
        <v>48.488</v>
      </c>
      <c r="AC697" s="5" t="n">
        <v>0</v>
      </c>
      <c r="AD697" s="5" t="n">
        <v>1</v>
      </c>
      <c r="AE697" s="5" t="n">
        <v>48.488</v>
      </c>
      <c r="AF697" s="5" t="n">
        <v>10.622</v>
      </c>
      <c r="AG697" s="5" t="n">
        <v>0</v>
      </c>
      <c r="AH697" s="5" t="n">
        <v>48.488</v>
      </c>
      <c r="AI697" s="5" t="n">
        <v>0</v>
      </c>
      <c r="AJ697" s="5" t="n">
        <v>1</v>
      </c>
      <c r="AK697" s="5" t="n">
        <v>53.142</v>
      </c>
      <c r="AL697" s="5" t="n">
        <v>27.029</v>
      </c>
      <c r="AM697" s="5" t="n">
        <v>-4.15</v>
      </c>
      <c r="AN697" s="5" t="n">
        <v>52.422</v>
      </c>
      <c r="AO697" s="5" t="n">
        <v>0</v>
      </c>
      <c r="AP697" s="5" t="n">
        <v>1</v>
      </c>
      <c r="AQ697" s="5" t="n">
        <v>0.723</v>
      </c>
      <c r="AR697" s="5" t="n">
        <v>0.132</v>
      </c>
      <c r="AS697" s="5" t="n">
        <v>1.167</v>
      </c>
      <c r="AT697" s="5" t="n">
        <v>2.06</v>
      </c>
      <c r="AU697" s="5" t="n">
        <v>0.09</v>
      </c>
      <c r="AV697" s="5" t="n">
        <v>1</v>
      </c>
      <c r="AW697" s="5" t="n">
        <v>0.734</v>
      </c>
      <c r="AX697" s="5" t="n">
        <v>0.132</v>
      </c>
      <c r="AY697" s="5" t="n">
        <v>1.03</v>
      </c>
      <c r="AZ697" s="5" t="n">
        <v>1.887</v>
      </c>
      <c r="BA697" s="5" t="n">
        <v>0.07000000000000001</v>
      </c>
      <c r="BB697" s="5" t="n">
        <v>1</v>
      </c>
      <c r="BC697" s="5" t="n">
        <v>0.512</v>
      </c>
      <c r="BD697" s="5" t="n">
        <v>0.132</v>
      </c>
      <c r="BE697" s="5" t="n">
        <v>1.005</v>
      </c>
      <c r="BF697" s="5" t="n">
        <v>1.608</v>
      </c>
      <c r="BG697" s="5" t="n">
        <v>0.07000000000000001</v>
      </c>
      <c r="BH697" s="5" t="n">
        <v>1</v>
      </c>
      <c r="BI697" s="5" t="n">
        <v>0.66</v>
      </c>
      <c r="BJ697" s="5" t="n">
        <v>0.132</v>
      </c>
      <c r="BK697" s="5" t="n">
        <v>0.006</v>
      </c>
      <c r="BL697" s="5" t="n">
        <v>0.707</v>
      </c>
      <c r="BM697" s="5" t="n">
        <v>0.07000000000000001</v>
      </c>
      <c r="BN697" s="5" t="n">
        <v>1</v>
      </c>
      <c r="BO697" s="5" t="n">
        <v>0</v>
      </c>
      <c r="BP697" s="5" t="n">
        <v>0</v>
      </c>
      <c r="BQ697" s="5" t="n">
        <v>0.207</v>
      </c>
      <c r="BR697" s="5" t="n">
        <v>0</v>
      </c>
      <c r="BS697" s="5" t="n">
        <v>1</v>
      </c>
      <c r="BT697" s="5" t="n">
        <v>0</v>
      </c>
      <c r="BU697" s="5" t="n">
        <v>0</v>
      </c>
      <c r="BV697" s="5" t="n">
        <v>0.231</v>
      </c>
      <c r="BW697" s="5" t="n">
        <v>0.07000000000000001</v>
      </c>
      <c r="BX697" s="5" t="n">
        <v>1</v>
      </c>
      <c r="BY697" s="5" t="n">
        <v>13.646</v>
      </c>
      <c r="BZ697" s="5" t="n">
        <v>0</v>
      </c>
      <c r="CA697" s="5" t="n">
        <v>13.646</v>
      </c>
      <c r="CB697" s="5" t="n">
        <v>0</v>
      </c>
      <c r="CC697" s="5" t="n">
        <v>71.05</v>
      </c>
      <c r="CD697" s="5" t="n">
        <v>7.95</v>
      </c>
      <c r="CE697" s="5" t="n">
        <v>9.138</v>
      </c>
      <c r="CF697" s="5" t="n">
        <v>84.991</v>
      </c>
      <c r="CG697" s="5" t="n">
        <v>0.07000000000000001</v>
      </c>
      <c r="CH697" s="5" t="n">
        <v>1</v>
      </c>
      <c r="CI697" s="5" t="n">
        <v>1</v>
      </c>
      <c r="CJ697" s="5" t="n">
        <v>1</v>
      </c>
      <c r="CK697" s="5" t="n">
        <v>0</v>
      </c>
      <c r="CL697" s="5" t="n">
        <v>0</v>
      </c>
      <c r="CM697" s="5" t="n">
        <v>0</v>
      </c>
      <c r="CN697" s="5" t="n">
        <v>0</v>
      </c>
      <c r="CO697" s="5" t="n">
        <v>0</v>
      </c>
      <c r="CP697" s="5" t="n">
        <v>0</v>
      </c>
      <c r="CQ697" s="5" t="n">
        <v>1.387</v>
      </c>
      <c r="CR697" s="5" t="n">
        <v>0</v>
      </c>
      <c r="CS697" s="5" t="n">
        <v>5.529</v>
      </c>
      <c r="CT697" s="5" t="n">
        <v>3.509</v>
      </c>
      <c r="CU697" s="5" t="n">
        <v>10.896</v>
      </c>
    </row>
    <row r="698">
      <c r="A698" s="5" t="inlineStr">
        <is>
          <t>SXM2021</t>
        </is>
      </c>
      <c r="B698" s="5" t="inlineStr">
        <is>
          <t>SXM</t>
        </is>
      </c>
      <c r="C698" s="5" t="inlineStr">
        <is>
          <t>SXM</t>
        </is>
      </c>
      <c r="D698" s="5" t="inlineStr">
        <is>
          <t>Sint Maarten (Dutch part)</t>
        </is>
      </c>
      <c r="E698" s="5" t="n">
        <v>2021</v>
      </c>
      <c r="F698" s="5" t="n">
        <v>0.05</v>
      </c>
      <c r="G698" s="5" t="n">
        <v>5.897</v>
      </c>
      <c r="H698" s="5" t="n">
        <v>1.143</v>
      </c>
      <c r="I698" s="5" t="n">
        <v>0</v>
      </c>
      <c r="J698" s="5" t="n">
        <v>5.897</v>
      </c>
      <c r="K698" s="5" t="n">
        <v>0</v>
      </c>
      <c r="L698" s="5" t="n">
        <v>1</v>
      </c>
      <c r="M698" s="5" t="n">
        <v>7.964</v>
      </c>
      <c r="N698" s="5" t="n">
        <v>3.43</v>
      </c>
      <c r="O698" s="5" t="n">
        <v>0</v>
      </c>
      <c r="P698" s="5" t="n">
        <v>7.964</v>
      </c>
      <c r="Q698" s="5" t="n">
        <v>0</v>
      </c>
      <c r="R698" s="5" t="n">
        <v>1</v>
      </c>
      <c r="S698" s="5" t="n">
        <v>11.613</v>
      </c>
      <c r="T698" s="5" t="n">
        <v>6.86</v>
      </c>
      <c r="U698" s="5" t="n">
        <v>0</v>
      </c>
      <c r="V698" s="5" t="n">
        <v>12.194</v>
      </c>
      <c r="W698" s="5" t="n">
        <v>0.05</v>
      </c>
      <c r="X698" s="5" t="n">
        <v>1</v>
      </c>
      <c r="Y698" s="5" t="n">
        <v>17.127</v>
      </c>
      <c r="Z698" s="5" t="n">
        <v>2.304</v>
      </c>
      <c r="AA698" s="5" t="n">
        <v>0</v>
      </c>
      <c r="AB698" s="5" t="n">
        <v>17.127</v>
      </c>
      <c r="AC698" s="5" t="n">
        <v>0</v>
      </c>
      <c r="AD698" s="5" t="n">
        <v>1</v>
      </c>
      <c r="AE698" s="5" t="n">
        <v>18.27</v>
      </c>
      <c r="AF698" s="5" t="n">
        <v>4.278</v>
      </c>
      <c r="AG698" s="5" t="n">
        <v>0</v>
      </c>
      <c r="AH698" s="5" t="n">
        <v>18.27</v>
      </c>
      <c r="AI698" s="5" t="n">
        <v>0</v>
      </c>
      <c r="AJ698" s="5" t="n">
        <v>1</v>
      </c>
      <c r="AK698" s="5" t="n">
        <v>25.13</v>
      </c>
      <c r="AL698" s="5" t="n">
        <v>13.503</v>
      </c>
      <c r="AM698" s="5" t="n">
        <v>0</v>
      </c>
      <c r="AN698" s="5" t="n">
        <v>26.386</v>
      </c>
      <c r="AO698" s="5" t="n">
        <v>0.05</v>
      </c>
      <c r="AP698" s="5" t="n">
        <v>1</v>
      </c>
      <c r="AQ698" s="5" t="n">
        <v>0.649</v>
      </c>
      <c r="AR698" s="5" t="n">
        <v>0.114</v>
      </c>
      <c r="AS698" s="5" t="n">
        <v>0</v>
      </c>
      <c r="AT698" s="5" t="n">
        <v>0.681</v>
      </c>
      <c r="AU698" s="5" t="n">
        <v>0.05</v>
      </c>
      <c r="AV698" s="5" t="n">
        <v>1</v>
      </c>
      <c r="AW698" s="5" t="n">
        <v>0.577</v>
      </c>
      <c r="AX698" s="5" t="n">
        <v>0.114</v>
      </c>
      <c r="AY698" s="5" t="n">
        <v>0</v>
      </c>
      <c r="AZ698" s="5" t="n">
        <v>0.605</v>
      </c>
      <c r="BA698" s="5" t="n">
        <v>0.05</v>
      </c>
      <c r="BB698" s="5" t="n">
        <v>1</v>
      </c>
      <c r="BC698" s="5" t="n">
        <v>0.458</v>
      </c>
      <c r="BD698" s="5" t="n">
        <v>0.114</v>
      </c>
      <c r="BE698" s="5" t="n">
        <v>0</v>
      </c>
      <c r="BF698" s="5" t="n">
        <v>0.481</v>
      </c>
      <c r="BG698" s="5" t="n">
        <v>0.05</v>
      </c>
      <c r="BH698" s="5" t="n">
        <v>1</v>
      </c>
      <c r="BI698" s="5" t="n">
        <v>0.491</v>
      </c>
      <c r="BJ698" s="5" t="n">
        <v>0.114</v>
      </c>
      <c r="BK698" s="5" t="n">
        <v>0</v>
      </c>
      <c r="BL698" s="5" t="n">
        <v>0.516</v>
      </c>
      <c r="BM698" s="5" t="n">
        <v>0.05</v>
      </c>
      <c r="BN698" s="5" t="n">
        <v>1</v>
      </c>
      <c r="BO698" s="5" t="n">
        <v>0</v>
      </c>
      <c r="BP698" s="5" t="n">
        <v>0</v>
      </c>
      <c r="BQ698" s="5" t="n">
        <v>0</v>
      </c>
      <c r="BR698" s="5" t="n">
        <v>0</v>
      </c>
      <c r="BS698" s="5" t="n">
        <v>1</v>
      </c>
      <c r="BT698" s="5" t="n">
        <v>0</v>
      </c>
      <c r="BU698" s="5" t="n">
        <v>0</v>
      </c>
      <c r="BV698" s="5" t="n">
        <v>0</v>
      </c>
      <c r="BW698" s="5" t="n">
        <v>0.05</v>
      </c>
      <c r="BX698" s="5" t="n">
        <v>1</v>
      </c>
      <c r="BY698" s="5" t="n">
        <v>11.787</v>
      </c>
      <c r="BZ698" s="5" t="n">
        <v>0</v>
      </c>
      <c r="CA698" s="5" t="n">
        <v>11.787</v>
      </c>
      <c r="CB698" s="5" t="n">
        <v>0</v>
      </c>
      <c r="CC698" s="5" t="n">
        <v>78.125</v>
      </c>
      <c r="CD698" s="5" t="n">
        <v>7.95</v>
      </c>
      <c r="CE698" s="5" t="n">
        <v>0</v>
      </c>
      <c r="CF698" s="5" t="n">
        <v>82.03100000000001</v>
      </c>
      <c r="CG698" s="5" t="n">
        <v>0.05</v>
      </c>
      <c r="CH698" s="5" t="n">
        <v>1</v>
      </c>
      <c r="CI698" s="5" t="n">
        <v>0</v>
      </c>
      <c r="CJ698" s="5" t="n">
        <v>0</v>
      </c>
      <c r="CK698" s="5" t="n">
        <v>0</v>
      </c>
      <c r="CL698" s="5" t="n">
        <v>0</v>
      </c>
      <c r="CM698" s="5" t="n">
        <v>0</v>
      </c>
      <c r="CN698" s="5" t="n">
        <v>0</v>
      </c>
      <c r="CO698" s="5" t="n">
        <v>0</v>
      </c>
      <c r="CP698" s="5" t="n">
        <v>0</v>
      </c>
      <c r="CQ698" s="5" t="n">
        <v>1.198</v>
      </c>
      <c r="CR698" s="5" t="n">
        <v>0</v>
      </c>
      <c r="CS698" s="5" t="n">
        <v>4.776</v>
      </c>
      <c r="CT698" s="5" t="n">
        <v>4.753</v>
      </c>
      <c r="CU698" s="5" t="n">
        <v>15.983</v>
      </c>
    </row>
    <row r="699">
      <c r="A699" s="5" t="inlineStr">
        <is>
          <t>SXM2022</t>
        </is>
      </c>
      <c r="B699" s="5" t="inlineStr">
        <is>
          <t>SXM</t>
        </is>
      </c>
      <c r="C699" s="5" t="inlineStr">
        <is>
          <t>SXM</t>
        </is>
      </c>
      <c r="D699" s="5" t="inlineStr">
        <is>
          <t>Sint Maarten (Dutch part)</t>
        </is>
      </c>
      <c r="E699" s="5" t="n">
        <v>2022</v>
      </c>
      <c r="F699" s="5" t="n">
        <v>0.05</v>
      </c>
      <c r="G699" s="5" t="n">
        <v>11.72</v>
      </c>
      <c r="H699" s="5" t="n">
        <v>1.235</v>
      </c>
      <c r="I699" s="5" t="n">
        <v>0</v>
      </c>
      <c r="J699" s="5" t="n">
        <v>11.72</v>
      </c>
      <c r="K699" s="5" t="n">
        <v>0</v>
      </c>
      <c r="L699" s="5" t="n">
        <v>1</v>
      </c>
      <c r="M699" s="5" t="n">
        <v>9.782999999999999</v>
      </c>
      <c r="N699" s="5" t="n">
        <v>3.704</v>
      </c>
      <c r="O699" s="5" t="n">
        <v>0</v>
      </c>
      <c r="P699" s="5" t="n">
        <v>9.782999999999999</v>
      </c>
      <c r="Q699" s="5" t="n">
        <v>0</v>
      </c>
      <c r="R699" s="5" t="n">
        <v>1</v>
      </c>
      <c r="S699" s="5" t="n">
        <v>17.893</v>
      </c>
      <c r="T699" s="5" t="n">
        <v>7.408</v>
      </c>
      <c r="U699" s="5" t="n">
        <v>0.066</v>
      </c>
      <c r="V699" s="5" t="n">
        <v>18.788</v>
      </c>
      <c r="W699" s="5" t="n">
        <v>0.05</v>
      </c>
      <c r="X699" s="5" t="n">
        <v>1</v>
      </c>
      <c r="Y699" s="5" t="n">
        <v>30.728</v>
      </c>
      <c r="Z699" s="5" t="n">
        <v>4.133</v>
      </c>
      <c r="AA699" s="5" t="n">
        <v>0</v>
      </c>
      <c r="AB699" s="5" t="n">
        <v>30.728</v>
      </c>
      <c r="AC699" s="5" t="n">
        <v>0</v>
      </c>
      <c r="AD699" s="5" t="n">
        <v>1</v>
      </c>
      <c r="AE699" s="5" t="n">
        <v>31.963</v>
      </c>
      <c r="AF699" s="5" t="n">
        <v>7.485</v>
      </c>
      <c r="AG699" s="5" t="n">
        <v>0</v>
      </c>
      <c r="AH699" s="5" t="n">
        <v>31.963</v>
      </c>
      <c r="AI699" s="5" t="n">
        <v>0</v>
      </c>
      <c r="AJ699" s="5" t="n">
        <v>1</v>
      </c>
      <c r="AK699" s="5" t="n">
        <v>39.371</v>
      </c>
      <c r="AL699" s="5" t="n">
        <v>21.155</v>
      </c>
      <c r="AM699" s="5" t="n">
        <v>0.146</v>
      </c>
      <c r="AN699" s="5" t="n">
        <v>41.34</v>
      </c>
      <c r="AO699" s="5" t="n">
        <v>0.05</v>
      </c>
      <c r="AP699" s="5" t="n">
        <v>1</v>
      </c>
      <c r="AQ699" s="5" t="n">
        <v>0.896</v>
      </c>
      <c r="AR699" s="5" t="n">
        <v>0.123</v>
      </c>
      <c r="AS699" s="5" t="n">
        <v>0.003</v>
      </c>
      <c r="AT699" s="5" t="n">
        <v>0.9409999999999999</v>
      </c>
      <c r="AU699" s="5" t="n">
        <v>0.05</v>
      </c>
      <c r="AV699" s="5" t="n">
        <v>1</v>
      </c>
      <c r="AW699" s="5" t="n">
        <v>0.89</v>
      </c>
      <c r="AX699" s="5" t="n">
        <v>0.123</v>
      </c>
      <c r="AY699" s="5" t="n">
        <v>0.003</v>
      </c>
      <c r="AZ699" s="5" t="n">
        <v>0.9350000000000001</v>
      </c>
      <c r="BA699" s="5" t="n">
        <v>0.05</v>
      </c>
      <c r="BB699" s="5" t="n">
        <v>1</v>
      </c>
      <c r="BC699" s="5" t="n">
        <v>0.62</v>
      </c>
      <c r="BD699" s="5" t="n">
        <v>0.123</v>
      </c>
      <c r="BE699" s="5" t="n">
        <v>0.002</v>
      </c>
      <c r="BF699" s="5" t="n">
        <v>0.651</v>
      </c>
      <c r="BG699" s="5" t="n">
        <v>0.05</v>
      </c>
      <c r="BH699" s="5" t="n">
        <v>1</v>
      </c>
      <c r="BI699" s="5" t="n">
        <v>0.608</v>
      </c>
      <c r="BJ699" s="5" t="n">
        <v>0.123</v>
      </c>
      <c r="BK699" s="5" t="n">
        <v>0.002</v>
      </c>
      <c r="BL699" s="5" t="n">
        <v>0.638</v>
      </c>
      <c r="BM699" s="5" t="n">
        <v>0.05</v>
      </c>
      <c r="BN699" s="5" t="n">
        <v>1</v>
      </c>
      <c r="BO699" s="5" t="n">
        <v>0</v>
      </c>
      <c r="BP699" s="5" t="n">
        <v>0</v>
      </c>
      <c r="BQ699" s="5" t="n">
        <v>0</v>
      </c>
      <c r="BR699" s="5" t="n">
        <v>0</v>
      </c>
      <c r="BS699" s="5" t="n">
        <v>1</v>
      </c>
      <c r="BT699" s="5" t="n">
        <v>0</v>
      </c>
      <c r="BU699" s="5" t="n">
        <v>0</v>
      </c>
      <c r="BV699" s="5" t="n">
        <v>0</v>
      </c>
      <c r="BW699" s="5" t="n">
        <v>0.05</v>
      </c>
      <c r="BX699" s="5" t="n">
        <v>1</v>
      </c>
      <c r="BY699" s="5" t="n">
        <v>12.729</v>
      </c>
      <c r="BZ699" s="5" t="n">
        <v>0</v>
      </c>
      <c r="CA699" s="5" t="n">
        <v>12.729</v>
      </c>
      <c r="CB699" s="5" t="n">
        <v>0</v>
      </c>
      <c r="CC699" s="5" t="n">
        <v>97.90000000000001</v>
      </c>
      <c r="CD699" s="5" t="n">
        <v>7.95</v>
      </c>
      <c r="CE699" s="5" t="n">
        <v>0.362</v>
      </c>
      <c r="CF699" s="5" t="n">
        <v>102.795</v>
      </c>
      <c r="CG699" s="5" t="n">
        <v>0.05</v>
      </c>
      <c r="CH699" s="5" t="n">
        <v>1</v>
      </c>
      <c r="CI699" s="5" t="n">
        <v>0</v>
      </c>
      <c r="CJ699" s="5" t="n">
        <v>0</v>
      </c>
      <c r="CK699" s="5" t="n">
        <v>0</v>
      </c>
      <c r="CL699" s="5" t="n">
        <v>0</v>
      </c>
      <c r="CM699" s="5" t="n">
        <v>0</v>
      </c>
      <c r="CN699" s="5" t="n">
        <v>0</v>
      </c>
      <c r="CO699" s="5" t="n">
        <v>0</v>
      </c>
      <c r="CP699" s="5" t="n">
        <v>0</v>
      </c>
      <c r="CQ699" s="5" t="n">
        <v>1.294</v>
      </c>
      <c r="CR699" s="5" t="n">
        <v>0</v>
      </c>
      <c r="CS699" s="5" t="n">
        <v>5.158</v>
      </c>
      <c r="CT699" s="5" t="n">
        <v>10.485</v>
      </c>
      <c r="CU699" s="5" t="n">
        <v>29.494</v>
      </c>
    </row>
    <row r="700">
      <c r="A700" s="5" t="inlineStr">
        <is>
          <t>SXM2023</t>
        </is>
      </c>
      <c r="B700" s="5" t="inlineStr">
        <is>
          <t>SXM</t>
        </is>
      </c>
      <c r="C700" s="5" t="inlineStr">
        <is>
          <t>SXM</t>
        </is>
      </c>
      <c r="D700" s="5" t="inlineStr">
        <is>
          <t>Sint Maarten (Dutch part)</t>
        </is>
      </c>
      <c r="E700" s="5" t="n">
        <v>2023</v>
      </c>
      <c r="F700" s="5" t="n">
        <v>0.05</v>
      </c>
      <c r="G700" s="5" t="n">
        <v>6.147</v>
      </c>
      <c r="H700" s="5" t="n">
        <v>1.286</v>
      </c>
      <c r="I700" s="5" t="n">
        <v>0</v>
      </c>
      <c r="J700" s="5" t="n">
        <v>6.147</v>
      </c>
      <c r="K700" s="5" t="n">
        <v>0</v>
      </c>
      <c r="L700" s="5" t="n">
        <v>1</v>
      </c>
      <c r="M700" s="5" t="n">
        <v>7.886</v>
      </c>
      <c r="N700" s="5" t="n">
        <v>3.857</v>
      </c>
      <c r="O700" s="5" t="n">
        <v>0</v>
      </c>
      <c r="P700" s="5" t="n">
        <v>7.886</v>
      </c>
      <c r="Q700" s="5" t="n">
        <v>0</v>
      </c>
      <c r="R700" s="5" t="n">
        <v>1</v>
      </c>
      <c r="S700" s="5" t="n">
        <v>12.575</v>
      </c>
      <c r="T700" s="5" t="n">
        <v>7.714</v>
      </c>
      <c r="U700" s="5" t="n">
        <v>0.07000000000000001</v>
      </c>
      <c r="V700" s="5" t="n">
        <v>13.204</v>
      </c>
      <c r="W700" s="5" t="n">
        <v>0.05</v>
      </c>
      <c r="X700" s="5" t="n">
        <v>1</v>
      </c>
      <c r="Y700" s="5" t="n">
        <v>12.478</v>
      </c>
      <c r="Z700" s="5" t="n">
        <v>1.678</v>
      </c>
      <c r="AA700" s="5" t="n">
        <v>0</v>
      </c>
      <c r="AB700" s="5" t="n">
        <v>12.478</v>
      </c>
      <c r="AC700" s="5" t="n">
        <v>0</v>
      </c>
      <c r="AD700" s="5" t="n">
        <v>1</v>
      </c>
      <c r="AE700" s="5" t="n">
        <v>13.763</v>
      </c>
      <c r="AF700" s="5" t="n">
        <v>3.223</v>
      </c>
      <c r="AG700" s="5" t="n">
        <v>0</v>
      </c>
      <c r="AH700" s="5" t="n">
        <v>13.763</v>
      </c>
      <c r="AI700" s="5" t="n">
        <v>0</v>
      </c>
      <c r="AJ700" s="5" t="n">
        <v>1</v>
      </c>
      <c r="AK700" s="5" t="n">
        <v>21.477</v>
      </c>
      <c r="AL700" s="5" t="n">
        <v>11.54</v>
      </c>
      <c r="AM700" s="5" t="n">
        <v>0.119</v>
      </c>
      <c r="AN700" s="5" t="n">
        <v>22.551</v>
      </c>
      <c r="AO700" s="5" t="n">
        <v>0.05</v>
      </c>
      <c r="AP700" s="5" t="n">
        <v>1</v>
      </c>
      <c r="AQ700" s="5" t="n">
        <v>0.791</v>
      </c>
      <c r="AR700" s="5" t="n">
        <v>0.129</v>
      </c>
      <c r="AS700" s="5" t="n">
        <v>0.004</v>
      </c>
      <c r="AT700" s="5" t="n">
        <v>0.83</v>
      </c>
      <c r="AU700" s="5" t="n">
        <v>0.05</v>
      </c>
      <c r="AV700" s="5" t="n">
        <v>1</v>
      </c>
      <c r="AW700" s="5" t="n">
        <v>0.618</v>
      </c>
      <c r="AX700" s="5" t="n">
        <v>0.129</v>
      </c>
      <c r="AY700" s="5" t="n">
        <v>0.003</v>
      </c>
      <c r="AZ700" s="5" t="n">
        <v>0.649</v>
      </c>
      <c r="BA700" s="5" t="n">
        <v>0.05</v>
      </c>
      <c r="BB700" s="5" t="n">
        <v>1</v>
      </c>
      <c r="BC700" s="5" t="n">
        <v>0.554</v>
      </c>
      <c r="BD700" s="5" t="n">
        <v>0.129</v>
      </c>
      <c r="BE700" s="5" t="n">
        <v>0.003</v>
      </c>
      <c r="BF700" s="5" t="n">
        <v>0.582</v>
      </c>
      <c r="BG700" s="5" t="n">
        <v>0.05</v>
      </c>
      <c r="BH700" s="5" t="n">
        <v>1</v>
      </c>
      <c r="BI700" s="5" t="n">
        <v>0.5570000000000001</v>
      </c>
      <c r="BJ700" s="5" t="n">
        <v>0.129</v>
      </c>
      <c r="BK700" s="5" t="n">
        <v>0.003</v>
      </c>
      <c r="BL700" s="5" t="n">
        <v>0.585</v>
      </c>
      <c r="BM700" s="5" t="n">
        <v>0.05</v>
      </c>
      <c r="BN700" s="5" t="n">
        <v>1</v>
      </c>
      <c r="BO700" s="5" t="n">
        <v>0</v>
      </c>
      <c r="BP700" s="5" t="n">
        <v>0</v>
      </c>
      <c r="BQ700" s="5" t="n">
        <v>0</v>
      </c>
      <c r="BR700" s="5" t="n">
        <v>0</v>
      </c>
      <c r="BS700" s="5" t="n">
        <v>1</v>
      </c>
      <c r="BT700" s="5" t="n">
        <v>0</v>
      </c>
      <c r="BU700" s="5" t="n">
        <v>0</v>
      </c>
      <c r="BV700" s="5" t="n">
        <v>0</v>
      </c>
      <c r="BW700" s="5" t="n">
        <v>0.05</v>
      </c>
      <c r="BX700" s="5" t="n">
        <v>1</v>
      </c>
      <c r="BY700" s="5" t="n">
        <v>13.254</v>
      </c>
      <c r="BZ700" s="5" t="n">
        <v>0</v>
      </c>
      <c r="CA700" s="5" t="n">
        <v>13.254</v>
      </c>
      <c r="CB700" s="5" t="n">
        <v>0</v>
      </c>
      <c r="CC700" s="5" t="n">
        <v>83.248</v>
      </c>
      <c r="CD700" s="5" t="n">
        <v>7.95</v>
      </c>
      <c r="CE700" s="5" t="n">
        <v>0.461</v>
      </c>
      <c r="CF700" s="5" t="n">
        <v>87.41</v>
      </c>
      <c r="CG700" s="5" t="n">
        <v>0.05</v>
      </c>
      <c r="CH700" s="5" t="n">
        <v>1</v>
      </c>
      <c r="CI700" s="5" t="n">
        <v>0</v>
      </c>
      <c r="CJ700" s="5" t="n">
        <v>0</v>
      </c>
      <c r="CK700" s="5" t="n">
        <v>0</v>
      </c>
      <c r="CL700" s="5" t="n">
        <v>0</v>
      </c>
      <c r="CM700" s="5" t="n">
        <v>0</v>
      </c>
      <c r="CN700" s="5" t="n">
        <v>0</v>
      </c>
      <c r="CO700" s="5" t="n">
        <v>0</v>
      </c>
      <c r="CP700" s="5" t="n">
        <v>0</v>
      </c>
      <c r="CQ700" s="5" t="n">
        <v>1.348</v>
      </c>
      <c r="CR700" s="5" t="n">
        <v>0</v>
      </c>
      <c r="CS700" s="5" t="n">
        <v>5.37</v>
      </c>
      <c r="CT700" s="5" t="n">
        <v>4.861</v>
      </c>
      <c r="CU700" s="5" t="n">
        <v>11.192</v>
      </c>
    </row>
    <row r="701">
      <c r="A701" s="5" t="inlineStr">
        <is>
          <t>SXM2024</t>
        </is>
      </c>
      <c r="B701" s="5" t="inlineStr">
        <is>
          <t>SXM</t>
        </is>
      </c>
      <c r="C701" s="5" t="inlineStr">
        <is>
          <t>SXM</t>
        </is>
      </c>
      <c r="D701" s="5" t="inlineStr">
        <is>
          <t>Sint Maarten (Dutch part)</t>
        </is>
      </c>
      <c r="E701" s="5" t="n">
        <v>2024</v>
      </c>
      <c r="F701" s="5" t="n">
        <v>0.05</v>
      </c>
      <c r="G701" s="5" t="n">
        <v>5.575</v>
      </c>
      <c r="H701" s="5" t="n">
        <v>1.324</v>
      </c>
      <c r="I701" s="5" t="n">
        <v>0</v>
      </c>
      <c r="J701" s="5" t="n">
        <v>5.575</v>
      </c>
      <c r="K701" s="5" t="n">
        <v>0</v>
      </c>
      <c r="L701" s="5" t="n">
        <v>1</v>
      </c>
      <c r="M701" s="5" t="n">
        <v>7.124</v>
      </c>
      <c r="N701" s="5" t="n">
        <v>3.971</v>
      </c>
      <c r="O701" s="5" t="n">
        <v>0</v>
      </c>
      <c r="P701" s="5" t="n">
        <v>7.124</v>
      </c>
      <c r="Q701" s="5" t="n">
        <v>0</v>
      </c>
      <c r="R701" s="5" t="n">
        <v>1</v>
      </c>
      <c r="S701" s="5" t="n">
        <v>12.193</v>
      </c>
      <c r="T701" s="5" t="n">
        <v>7.942</v>
      </c>
      <c r="U701" s="5" t="n">
        <v>0.083</v>
      </c>
      <c r="V701" s="5" t="n">
        <v>12.802</v>
      </c>
      <c r="W701" s="5" t="n">
        <v>0.05</v>
      </c>
      <c r="X701" s="5" t="n">
        <v>1</v>
      </c>
      <c r="Y701" s="5" t="n">
        <v>11.447</v>
      </c>
      <c r="Z701" s="5" t="n">
        <v>1.54</v>
      </c>
      <c r="AA701" s="5" t="n">
        <v>0</v>
      </c>
      <c r="AB701" s="5" t="n">
        <v>11.447</v>
      </c>
      <c r="AC701" s="5" t="n">
        <v>0</v>
      </c>
      <c r="AD701" s="5" t="n">
        <v>1</v>
      </c>
      <c r="AE701" s="5" t="n">
        <v>12.771</v>
      </c>
      <c r="AF701" s="5" t="n">
        <v>2.991</v>
      </c>
      <c r="AG701" s="5" t="n">
        <v>0</v>
      </c>
      <c r="AH701" s="5" t="n">
        <v>12.771</v>
      </c>
      <c r="AI701" s="5" t="n">
        <v>0</v>
      </c>
      <c r="AJ701" s="5" t="n">
        <v>1</v>
      </c>
      <c r="AK701" s="5" t="n">
        <v>20.712</v>
      </c>
      <c r="AL701" s="5" t="n">
        <v>11.129</v>
      </c>
      <c r="AM701" s="5" t="n">
        <v>0.141</v>
      </c>
      <c r="AN701" s="5" t="n">
        <v>21.748</v>
      </c>
      <c r="AO701" s="5" t="n">
        <v>0.05</v>
      </c>
      <c r="AP701" s="5" t="n">
        <v>1</v>
      </c>
      <c r="AQ701" s="5" t="n">
        <v>0.756</v>
      </c>
      <c r="AR701" s="5" t="n">
        <v>0.132</v>
      </c>
      <c r="AS701" s="5" t="n">
        <v>0.005</v>
      </c>
      <c r="AT701" s="5" t="n">
        <v>0.794</v>
      </c>
      <c r="AU701" s="5" t="n">
        <v>0.05</v>
      </c>
      <c r="AV701" s="5" t="n">
        <v>1</v>
      </c>
      <c r="AW701" s="5" t="n">
        <v>0.655</v>
      </c>
      <c r="AX701" s="5" t="n">
        <v>0.132</v>
      </c>
      <c r="AY701" s="5" t="n">
        <v>0.004</v>
      </c>
      <c r="AZ701" s="5" t="n">
        <v>0.6879999999999999</v>
      </c>
      <c r="BA701" s="5" t="n">
        <v>0.05</v>
      </c>
      <c r="BB701" s="5" t="n">
        <v>1</v>
      </c>
      <c r="BC701" s="5" t="n">
        <v>0.534</v>
      </c>
      <c r="BD701" s="5" t="n">
        <v>0.132</v>
      </c>
      <c r="BE701" s="5" t="n">
        <v>0.004</v>
      </c>
      <c r="BF701" s="5" t="n">
        <v>0.5600000000000001</v>
      </c>
      <c r="BG701" s="5" t="n">
        <v>0.05</v>
      </c>
      <c r="BH701" s="5" t="n">
        <v>1</v>
      </c>
      <c r="BI701" s="5" t="n">
        <v>0.5679999999999999</v>
      </c>
      <c r="BJ701" s="5" t="n">
        <v>0.132</v>
      </c>
      <c r="BK701" s="5" t="n">
        <v>0.004</v>
      </c>
      <c r="BL701" s="5" t="n">
        <v>0.596</v>
      </c>
      <c r="BM701" s="5" t="n">
        <v>0.05</v>
      </c>
      <c r="BN701" s="5" t="n">
        <v>1</v>
      </c>
      <c r="BO701" s="5" t="n">
        <v>0</v>
      </c>
      <c r="BP701" s="5" t="n">
        <v>0</v>
      </c>
      <c r="BQ701" s="5" t="n">
        <v>0</v>
      </c>
      <c r="BR701" s="5" t="n">
        <v>0</v>
      </c>
      <c r="BS701" s="5" t="n">
        <v>1</v>
      </c>
      <c r="BT701" s="5" t="n">
        <v>0</v>
      </c>
      <c r="BU701" s="5" t="n">
        <v>0</v>
      </c>
      <c r="BV701" s="5" t="n">
        <v>0</v>
      </c>
      <c r="BW701" s="5" t="n">
        <v>0.05</v>
      </c>
      <c r="BX701" s="5" t="n">
        <v>1</v>
      </c>
      <c r="BY701" s="5" t="n">
        <v>13.646</v>
      </c>
      <c r="BZ701" s="5" t="n">
        <v>0</v>
      </c>
      <c r="CA701" s="5" t="n">
        <v>13.646</v>
      </c>
      <c r="CB701" s="5" t="n">
        <v>0</v>
      </c>
      <c r="CC701" s="5" t="n">
        <v>82.58799999999999</v>
      </c>
      <c r="CD701" s="5" t="n">
        <v>7.95</v>
      </c>
      <c r="CE701" s="5" t="n">
        <v>0.5620000000000001</v>
      </c>
      <c r="CF701" s="5" t="n">
        <v>86.717</v>
      </c>
      <c r="CG701" s="5" t="n">
        <v>0.05</v>
      </c>
      <c r="CH701" s="5" t="n">
        <v>1</v>
      </c>
      <c r="CI701" s="5" t="n">
        <v>0</v>
      </c>
      <c r="CJ701" s="5" t="n">
        <v>0</v>
      </c>
      <c r="CK701" s="5" t="n">
        <v>0</v>
      </c>
      <c r="CL701" s="5" t="n">
        <v>0</v>
      </c>
      <c r="CM701" s="5" t="n">
        <v>0</v>
      </c>
      <c r="CN701" s="5" t="n">
        <v>0</v>
      </c>
      <c r="CO701" s="5" t="n">
        <v>0</v>
      </c>
      <c r="CP701" s="5" t="n">
        <v>0</v>
      </c>
      <c r="CQ701" s="5" t="n">
        <v>1.387</v>
      </c>
      <c r="CR701" s="5" t="n">
        <v>0</v>
      </c>
      <c r="CS701" s="5" t="n">
        <v>5.529</v>
      </c>
      <c r="CT701" s="5" t="n">
        <v>4.251</v>
      </c>
      <c r="CU701" s="5" t="n">
        <v>10.123</v>
      </c>
    </row>
    <row r="702">
      <c r="A702" s="5" t="inlineStr">
        <is>
          <t>SVK2021</t>
        </is>
      </c>
      <c r="B702" s="5" t="inlineStr">
        <is>
          <t>SVK</t>
        </is>
      </c>
      <c r="C702" s="5" t="inlineStr">
        <is>
          <t>SVK</t>
        </is>
      </c>
      <c r="D702" s="5" t="inlineStr">
        <is>
          <t>Slovak Republic</t>
        </is>
      </c>
      <c r="E702" s="5" t="n">
        <v>2021</v>
      </c>
      <c r="F702" s="5" t="n">
        <v>0.2</v>
      </c>
      <c r="G702" s="5" t="n">
        <v>10.192</v>
      </c>
      <c r="H702" s="5" t="n">
        <v>1.084</v>
      </c>
      <c r="I702" s="5" t="n">
        <v>-7.364</v>
      </c>
      <c r="J702" s="5" t="n">
        <v>2.829</v>
      </c>
      <c r="K702" s="5" t="n">
        <v>0</v>
      </c>
      <c r="L702" s="5" t="n">
        <v>1</v>
      </c>
      <c r="M702" s="5" t="n">
        <v>8.263</v>
      </c>
      <c r="N702" s="5" t="n">
        <v>3.253</v>
      </c>
      <c r="O702" s="5" t="n">
        <v>1.404</v>
      </c>
      <c r="P702" s="5" t="n">
        <v>9.667</v>
      </c>
      <c r="Q702" s="5" t="n">
        <v>0</v>
      </c>
      <c r="R702" s="5" t="n">
        <v>1</v>
      </c>
      <c r="S702" s="5" t="n">
        <v>6.098</v>
      </c>
      <c r="T702" s="5" t="n">
        <v>3.779</v>
      </c>
      <c r="U702" s="5" t="n">
        <v>0.007</v>
      </c>
      <c r="V702" s="5" t="n">
        <v>7.326</v>
      </c>
      <c r="W702" s="5" t="n">
        <v>0.2</v>
      </c>
      <c r="X702" s="5" t="n">
        <v>1</v>
      </c>
      <c r="Y702" s="5" t="n">
        <v>19.366</v>
      </c>
      <c r="Z702" s="5" t="n">
        <v>2.139</v>
      </c>
      <c r="AA702" s="5" t="n">
        <v>-8.664999999999999</v>
      </c>
      <c r="AB702" s="5" t="n">
        <v>10.701</v>
      </c>
      <c r="AC702" s="5" t="n">
        <v>0</v>
      </c>
      <c r="AD702" s="5" t="n">
        <v>1</v>
      </c>
      <c r="AE702" s="5" t="n">
        <v>19.322</v>
      </c>
      <c r="AF702" s="5" t="n">
        <v>3.802</v>
      </c>
      <c r="AG702" s="5" t="n">
        <v>-8.621</v>
      </c>
      <c r="AH702" s="5" t="n">
        <v>10.701</v>
      </c>
      <c r="AI702" s="5" t="n">
        <v>0</v>
      </c>
      <c r="AJ702" s="5" t="n">
        <v>1</v>
      </c>
      <c r="AK702" s="5" t="n">
        <v>21.746</v>
      </c>
      <c r="AL702" s="5" t="n">
        <v>10.673</v>
      </c>
      <c r="AM702" s="5" t="n">
        <v>-10.331</v>
      </c>
      <c r="AN702" s="5" t="n">
        <v>13.697</v>
      </c>
      <c r="AO702" s="5" t="n">
        <v>0</v>
      </c>
      <c r="AP702" s="5" t="n">
        <v>0</v>
      </c>
      <c r="AQ702" s="5" t="n">
        <v>0.619</v>
      </c>
      <c r="AR702" s="5" t="n">
        <v>0.114</v>
      </c>
      <c r="AS702" s="5" t="n">
        <v>0.746</v>
      </c>
      <c r="AT702" s="5" t="n">
        <v>1.638</v>
      </c>
      <c r="AU702" s="5" t="n">
        <v>0.2</v>
      </c>
      <c r="AV702" s="5" t="n">
        <v>1</v>
      </c>
      <c r="AW702" s="5" t="n">
        <v>0.599</v>
      </c>
      <c r="AX702" s="5" t="n">
        <v>0.114</v>
      </c>
      <c r="AY702" s="5" t="n">
        <v>0.621</v>
      </c>
      <c r="AZ702" s="5" t="n">
        <v>1.464</v>
      </c>
      <c r="BA702" s="5" t="n">
        <v>0.2</v>
      </c>
      <c r="BB702" s="5" t="n">
        <v>1</v>
      </c>
      <c r="BC702" s="5" t="n">
        <v>0.439</v>
      </c>
      <c r="BD702" s="5" t="n">
        <v>0.114</v>
      </c>
      <c r="BE702" s="5" t="n">
        <v>0.208</v>
      </c>
      <c r="BF702" s="5" t="n">
        <v>0.777</v>
      </c>
      <c r="BG702" s="5" t="n">
        <v>0.2</v>
      </c>
      <c r="BH702" s="5" t="n">
        <v>1</v>
      </c>
      <c r="BI702" s="5" t="n">
        <v>0.505</v>
      </c>
      <c r="BJ702" s="5" t="n">
        <v>0.114</v>
      </c>
      <c r="BK702" s="5" t="n">
        <v>0.107</v>
      </c>
      <c r="BL702" s="5" t="n">
        <v>0.734</v>
      </c>
      <c r="BM702" s="5" t="n">
        <v>0.2</v>
      </c>
      <c r="BN702" s="5" t="n">
        <v>1</v>
      </c>
      <c r="BO702" s="5" t="n">
        <v>0</v>
      </c>
      <c r="BP702" s="5" t="n">
        <v>0.041</v>
      </c>
      <c r="BQ702" s="5" t="n">
        <v>0.146</v>
      </c>
      <c r="BR702" s="5" t="n">
        <v>0</v>
      </c>
      <c r="BS702" s="5" t="n">
        <v>1</v>
      </c>
      <c r="BT702" s="5" t="n">
        <v>0</v>
      </c>
      <c r="BU702" s="5" t="n">
        <v>0.039</v>
      </c>
      <c r="BV702" s="5" t="n">
        <v>0.195</v>
      </c>
      <c r="BW702" s="5" t="n">
        <v>0.2</v>
      </c>
      <c r="BX702" s="5" t="n">
        <v>0.667</v>
      </c>
      <c r="BY702" s="5" t="n">
        <v>11.787</v>
      </c>
      <c r="BZ702" s="5" t="n">
        <v>0</v>
      </c>
      <c r="CA702" s="5" t="n">
        <v>11.787</v>
      </c>
      <c r="CB702" s="5" t="n">
        <v>0</v>
      </c>
      <c r="CC702" s="5" t="n">
        <v>78.125</v>
      </c>
      <c r="CD702" s="5" t="n">
        <v>7.95</v>
      </c>
      <c r="CE702" s="5" t="n">
        <v>17.499</v>
      </c>
      <c r="CF702" s="5" t="n">
        <v>114.748</v>
      </c>
      <c r="CG702" s="5" t="n">
        <v>0.2</v>
      </c>
      <c r="CH702" s="5" t="n">
        <v>1</v>
      </c>
      <c r="CI702" s="5" t="n">
        <v>0</v>
      </c>
      <c r="CJ702" s="5" t="n">
        <v>0</v>
      </c>
      <c r="CK702" s="5" t="n">
        <v>0</v>
      </c>
      <c r="CL702" s="5" t="n">
        <v>0</v>
      </c>
      <c r="CM702" s="5" t="n">
        <v>0</v>
      </c>
      <c r="CN702" s="5" t="n">
        <v>0</v>
      </c>
      <c r="CO702" s="5" t="n">
        <v>0</v>
      </c>
      <c r="CP702" s="5" t="n">
        <v>0.103</v>
      </c>
      <c r="CQ702" s="5" t="n">
        <v>1.198</v>
      </c>
      <c r="CR702" s="5" t="n">
        <v>0</v>
      </c>
      <c r="CS702" s="5" t="n">
        <v>4.776</v>
      </c>
      <c r="CT702" s="5" t="n">
        <v>5.309</v>
      </c>
      <c r="CU702" s="5" t="n">
        <v>11.629</v>
      </c>
    </row>
    <row r="703">
      <c r="A703" s="5" t="inlineStr">
        <is>
          <t>SVK2022</t>
        </is>
      </c>
      <c r="B703" s="5" t="inlineStr">
        <is>
          <t>SVK</t>
        </is>
      </c>
      <c r="C703" s="5" t="inlineStr">
        <is>
          <t>SVK</t>
        </is>
      </c>
      <c r="D703" s="5" t="inlineStr">
        <is>
          <t>Slovak Republic</t>
        </is>
      </c>
      <c r="E703" s="5" t="n">
        <v>2022</v>
      </c>
      <c r="F703" s="5" t="n">
        <v>0.2</v>
      </c>
      <c r="G703" s="5" t="n">
        <v>17.158</v>
      </c>
      <c r="H703" s="5" t="n">
        <v>1.225</v>
      </c>
      <c r="I703" s="5" t="n">
        <v>1.456</v>
      </c>
      <c r="J703" s="5" t="n">
        <v>18.614</v>
      </c>
      <c r="K703" s="5" t="n">
        <v>0</v>
      </c>
      <c r="L703" s="5" t="n">
        <v>1</v>
      </c>
      <c r="M703" s="5" t="n">
        <v>12.854</v>
      </c>
      <c r="N703" s="5" t="n">
        <v>3.675</v>
      </c>
      <c r="O703" s="5" t="n">
        <v>8.532</v>
      </c>
      <c r="P703" s="5" t="n">
        <v>21.386</v>
      </c>
      <c r="Q703" s="5" t="n">
        <v>0</v>
      </c>
      <c r="R703" s="5" t="n">
        <v>1</v>
      </c>
      <c r="S703" s="5" t="n">
        <v>6.9</v>
      </c>
      <c r="T703" s="5" t="n">
        <v>3.379</v>
      </c>
      <c r="U703" s="5" t="n">
        <v>0.008</v>
      </c>
      <c r="V703" s="5" t="n">
        <v>8.289999999999999</v>
      </c>
      <c r="W703" s="5" t="n">
        <v>0.2</v>
      </c>
      <c r="X703" s="5" t="n">
        <v>1</v>
      </c>
      <c r="Y703" s="5" t="n">
        <v>43.399</v>
      </c>
      <c r="Z703" s="5" t="n">
        <v>4.553</v>
      </c>
      <c r="AA703" s="5" t="n">
        <v>-18.486</v>
      </c>
      <c r="AB703" s="5" t="n">
        <v>24.913</v>
      </c>
      <c r="AC703" s="5" t="n">
        <v>0</v>
      </c>
      <c r="AD703" s="5" t="n">
        <v>1</v>
      </c>
      <c r="AE703" s="5" t="n">
        <v>43.447</v>
      </c>
      <c r="AF703" s="5" t="n">
        <v>8.054</v>
      </c>
      <c r="AG703" s="5" t="n">
        <v>-18.534</v>
      </c>
      <c r="AH703" s="5" t="n">
        <v>24.913</v>
      </c>
      <c r="AI703" s="5" t="n">
        <v>0</v>
      </c>
      <c r="AJ703" s="5" t="n">
        <v>1</v>
      </c>
      <c r="AK703" s="5" t="n">
        <v>46.419</v>
      </c>
      <c r="AL703" s="5" t="n">
        <v>22.167</v>
      </c>
      <c r="AM703" s="5" t="n">
        <v>-34.394</v>
      </c>
      <c r="AN703" s="5" t="n">
        <v>14.429</v>
      </c>
      <c r="AO703" s="5" t="n">
        <v>0</v>
      </c>
      <c r="AP703" s="5" t="n">
        <v>0</v>
      </c>
      <c r="AQ703" s="5" t="n">
        <v>0.861</v>
      </c>
      <c r="AR703" s="5" t="n">
        <v>0.123</v>
      </c>
      <c r="AS703" s="5" t="n">
        <v>0.623</v>
      </c>
      <c r="AT703" s="5" t="n">
        <v>1.78</v>
      </c>
      <c r="AU703" s="5" t="n">
        <v>0.2</v>
      </c>
      <c r="AV703" s="5" t="n">
        <v>1</v>
      </c>
      <c r="AW703" s="5" t="n">
        <v>0.986</v>
      </c>
      <c r="AX703" s="5" t="n">
        <v>0.123</v>
      </c>
      <c r="AY703" s="5" t="n">
        <v>0.52</v>
      </c>
      <c r="AZ703" s="5" t="n">
        <v>1.807</v>
      </c>
      <c r="BA703" s="5" t="n">
        <v>0.2</v>
      </c>
      <c r="BB703" s="5" t="n">
        <v>1</v>
      </c>
      <c r="BC703" s="5" t="n">
        <v>0.598</v>
      </c>
      <c r="BD703" s="5" t="n">
        <v>0.123</v>
      </c>
      <c r="BE703" s="5" t="n">
        <v>0.132</v>
      </c>
      <c r="BF703" s="5" t="n">
        <v>0.876</v>
      </c>
      <c r="BG703" s="5" t="n">
        <v>0.2</v>
      </c>
      <c r="BH703" s="5" t="n">
        <v>1</v>
      </c>
      <c r="BI703" s="5" t="n">
        <v>0.612</v>
      </c>
      <c r="BJ703" s="5" t="n">
        <v>0.123</v>
      </c>
      <c r="BK703" s="5" t="n">
        <v>0.089</v>
      </c>
      <c r="BL703" s="5" t="n">
        <v>0.842</v>
      </c>
      <c r="BM703" s="5" t="n">
        <v>0.2</v>
      </c>
      <c r="BN703" s="5" t="n">
        <v>1</v>
      </c>
      <c r="BO703" s="5" t="n">
        <v>0</v>
      </c>
      <c r="BP703" s="5" t="n">
        <v>0.024</v>
      </c>
      <c r="BQ703" s="5" t="n">
        <v>0.244</v>
      </c>
      <c r="BR703" s="5" t="n">
        <v>0</v>
      </c>
      <c r="BS703" s="5" t="n">
        <v>1</v>
      </c>
      <c r="BT703" s="5" t="n">
        <v>0</v>
      </c>
      <c r="BU703" s="5" t="n">
        <v>0.027</v>
      </c>
      <c r="BV703" s="5" t="n">
        <v>0.194</v>
      </c>
      <c r="BW703" s="5" t="n">
        <v>0.2</v>
      </c>
      <c r="BX703" s="5" t="n">
        <v>0.667</v>
      </c>
      <c r="BY703" s="5" t="n">
        <v>12.729</v>
      </c>
      <c r="BZ703" s="5" t="n">
        <v>0</v>
      </c>
      <c r="CA703" s="5" t="n">
        <v>12.729</v>
      </c>
      <c r="CB703" s="5" t="n">
        <v>0</v>
      </c>
      <c r="CC703" s="5" t="n">
        <v>97.90000000000001</v>
      </c>
      <c r="CD703" s="5" t="n">
        <v>7.95</v>
      </c>
      <c r="CE703" s="5" t="n">
        <v>41.988</v>
      </c>
      <c r="CF703" s="5" t="n">
        <v>167.866</v>
      </c>
      <c r="CG703" s="5" t="n">
        <v>0.2</v>
      </c>
      <c r="CH703" s="5" t="n">
        <v>1</v>
      </c>
      <c r="CI703" s="5" t="n">
        <v>0</v>
      </c>
      <c r="CJ703" s="5" t="n">
        <v>0</v>
      </c>
      <c r="CK703" s="5" t="n">
        <v>0</v>
      </c>
      <c r="CL703" s="5" t="n">
        <v>0</v>
      </c>
      <c r="CM703" s="5" t="n">
        <v>0</v>
      </c>
      <c r="CN703" s="5" t="n">
        <v>0</v>
      </c>
      <c r="CO703" s="5" t="n">
        <v>0</v>
      </c>
      <c r="CP703" s="5" t="n">
        <v>0.016</v>
      </c>
      <c r="CQ703" s="5" t="n">
        <v>1.294</v>
      </c>
      <c r="CR703" s="5" t="n">
        <v>0</v>
      </c>
      <c r="CS703" s="5" t="n">
        <v>5.158</v>
      </c>
      <c r="CT703" s="5" t="n">
        <v>11.532</v>
      </c>
      <c r="CU703" s="5" t="n">
        <v>35.571</v>
      </c>
    </row>
    <row r="704">
      <c r="A704" s="5" t="inlineStr">
        <is>
          <t>SVK2023</t>
        </is>
      </c>
      <c r="B704" s="5" t="inlineStr">
        <is>
          <t>SVK</t>
        </is>
      </c>
      <c r="C704" s="5" t="inlineStr">
        <is>
          <t>SVK</t>
        </is>
      </c>
      <c r="D704" s="5" t="inlineStr">
        <is>
          <t>Slovak Republic</t>
        </is>
      </c>
      <c r="E704" s="5" t="n">
        <v>2023</v>
      </c>
      <c r="F704" s="5" t="n">
        <v>0.2</v>
      </c>
      <c r="G704" s="5" t="n">
        <v>16.327</v>
      </c>
      <c r="H704" s="5" t="n">
        <v>1.228</v>
      </c>
      <c r="I704" s="5" t="n">
        <v>4.507</v>
      </c>
      <c r="J704" s="5" t="n">
        <v>20.834</v>
      </c>
      <c r="K704" s="5" t="n">
        <v>0</v>
      </c>
      <c r="L704" s="5" t="n">
        <v>1</v>
      </c>
      <c r="M704" s="5" t="n">
        <v>10.207</v>
      </c>
      <c r="N704" s="5" t="n">
        <v>3.685</v>
      </c>
      <c r="O704" s="5" t="n">
        <v>9.888</v>
      </c>
      <c r="P704" s="5" t="n">
        <v>20.095</v>
      </c>
      <c r="Q704" s="5" t="n">
        <v>0</v>
      </c>
      <c r="R704" s="5" t="n">
        <v>1</v>
      </c>
      <c r="S704" s="5" t="n">
        <v>9.571</v>
      </c>
      <c r="T704" s="5" t="n">
        <v>6.002</v>
      </c>
      <c r="U704" s="5" t="n">
        <v>0.01</v>
      </c>
      <c r="V704" s="5" t="n">
        <v>11.496</v>
      </c>
      <c r="W704" s="5" t="n">
        <v>0.2</v>
      </c>
      <c r="X704" s="5" t="n">
        <v>1</v>
      </c>
      <c r="Y704" s="5" t="n">
        <v>22.447</v>
      </c>
      <c r="Z704" s="5" t="n">
        <v>2.514</v>
      </c>
      <c r="AA704" s="5" t="n">
        <v>12.29</v>
      </c>
      <c r="AB704" s="5" t="n">
        <v>34.737</v>
      </c>
      <c r="AC704" s="5" t="n">
        <v>0</v>
      </c>
      <c r="AD704" s="5" t="n">
        <v>1</v>
      </c>
      <c r="AE704" s="5" t="n">
        <v>22.545</v>
      </c>
      <c r="AF704" s="5" t="n">
        <v>4.49</v>
      </c>
      <c r="AG704" s="5" t="n">
        <v>12.191</v>
      </c>
      <c r="AH704" s="5" t="n">
        <v>34.737</v>
      </c>
      <c r="AI704" s="5" t="n">
        <v>0</v>
      </c>
      <c r="AJ704" s="5" t="n">
        <v>1</v>
      </c>
      <c r="AK704" s="5" t="n">
        <v>25.823</v>
      </c>
      <c r="AL704" s="5" t="n">
        <v>12.792</v>
      </c>
      <c r="AM704" s="5" t="n">
        <v>-11.04</v>
      </c>
      <c r="AN704" s="5" t="n">
        <v>17.739</v>
      </c>
      <c r="AO704" s="5" t="n">
        <v>0</v>
      </c>
      <c r="AP704" s="5" t="n">
        <v>0</v>
      </c>
      <c r="AQ704" s="5" t="n">
        <v>0.76</v>
      </c>
      <c r="AR704" s="5" t="n">
        <v>0.129</v>
      </c>
      <c r="AS704" s="5" t="n">
        <v>0.674</v>
      </c>
      <c r="AT704" s="5" t="n">
        <v>1.722</v>
      </c>
      <c r="AU704" s="5" t="n">
        <v>0.2</v>
      </c>
      <c r="AV704" s="5" t="n">
        <v>1</v>
      </c>
      <c r="AW704" s="5" t="n">
        <v>0.8110000000000001</v>
      </c>
      <c r="AX704" s="5" t="n">
        <v>0.129</v>
      </c>
      <c r="AY704" s="5" t="n">
        <v>0.588</v>
      </c>
      <c r="AZ704" s="5" t="n">
        <v>1.679</v>
      </c>
      <c r="BA704" s="5" t="n">
        <v>0.2</v>
      </c>
      <c r="BB704" s="5" t="n">
        <v>1</v>
      </c>
      <c r="BC704" s="5" t="n">
        <v>0.535</v>
      </c>
      <c r="BD704" s="5" t="n">
        <v>0.129</v>
      </c>
      <c r="BE704" s="5" t="n">
        <v>0.117</v>
      </c>
      <c r="BF704" s="5" t="n">
        <v>0.783</v>
      </c>
      <c r="BG704" s="5" t="n">
        <v>0.2</v>
      </c>
      <c r="BH704" s="5" t="n">
        <v>1</v>
      </c>
      <c r="BI704" s="5" t="n">
        <v>0.579</v>
      </c>
      <c r="BJ704" s="5" t="n">
        <v>0.129</v>
      </c>
      <c r="BK704" s="5" t="n">
        <v>0.158</v>
      </c>
      <c r="BL704" s="5" t="n">
        <v>0.885</v>
      </c>
      <c r="BM704" s="5" t="n">
        <v>0.2</v>
      </c>
      <c r="BN704" s="5" t="n">
        <v>1</v>
      </c>
      <c r="BO704" s="5" t="n">
        <v>0</v>
      </c>
      <c r="BP704" s="5" t="n">
        <v>0.037</v>
      </c>
      <c r="BQ704" s="5" t="n">
        <v>0.253</v>
      </c>
      <c r="BR704" s="5" t="n">
        <v>0</v>
      </c>
      <c r="BS704" s="5" t="n">
        <v>1</v>
      </c>
      <c r="BT704" s="5" t="n">
        <v>0</v>
      </c>
      <c r="BU704" s="5" t="n">
        <v>0.035</v>
      </c>
      <c r="BV704" s="5" t="n">
        <v>0.207</v>
      </c>
      <c r="BW704" s="5" t="n">
        <v>0.2</v>
      </c>
      <c r="BX704" s="5" t="n">
        <v>0.667</v>
      </c>
      <c r="BY704" s="5" t="n">
        <v>13.254</v>
      </c>
      <c r="BZ704" s="5" t="n">
        <v>0</v>
      </c>
      <c r="CA704" s="5" t="n">
        <v>13.254</v>
      </c>
      <c r="CB704" s="5" t="n">
        <v>0</v>
      </c>
      <c r="CC704" s="5" t="n">
        <v>83.248</v>
      </c>
      <c r="CD704" s="5" t="n">
        <v>7.95</v>
      </c>
      <c r="CE704" s="5" t="n">
        <v>53.745</v>
      </c>
      <c r="CF704" s="5" t="n">
        <v>164.392</v>
      </c>
      <c r="CG704" s="5" t="n">
        <v>0.2</v>
      </c>
      <c r="CH704" s="5" t="n">
        <v>1</v>
      </c>
      <c r="CI704" s="5" t="n">
        <v>0</v>
      </c>
      <c r="CJ704" s="5" t="n">
        <v>0</v>
      </c>
      <c r="CK704" s="5" t="n">
        <v>0</v>
      </c>
      <c r="CL704" s="5" t="n">
        <v>0</v>
      </c>
      <c r="CM704" s="5" t="n">
        <v>0</v>
      </c>
      <c r="CN704" s="5" t="n">
        <v>0</v>
      </c>
      <c r="CO704" s="5" t="n">
        <v>0</v>
      </c>
      <c r="CP704" s="5" t="n">
        <v>0.089</v>
      </c>
      <c r="CQ704" s="5" t="n">
        <v>1.348</v>
      </c>
      <c r="CR704" s="5" t="n">
        <v>0</v>
      </c>
      <c r="CS704" s="5" t="n">
        <v>5.37</v>
      </c>
      <c r="CT704" s="5" t="n">
        <v>11.23</v>
      </c>
      <c r="CU704" s="5" t="n">
        <v>14.568</v>
      </c>
    </row>
    <row r="705">
      <c r="A705" s="5" t="inlineStr">
        <is>
          <t>SVK2024</t>
        </is>
      </c>
      <c r="B705" s="5" t="inlineStr">
        <is>
          <t>SVK</t>
        </is>
      </c>
      <c r="C705" s="5" t="inlineStr">
        <is>
          <t>SVK</t>
        </is>
      </c>
      <c r="D705" s="5" t="inlineStr">
        <is>
          <t>Slovak Republic</t>
        </is>
      </c>
      <c r="E705" s="5" t="n">
        <v>2024</v>
      </c>
      <c r="F705" s="5" t="n">
        <v>0.2</v>
      </c>
      <c r="G705" s="5" t="n">
        <v>14.427</v>
      </c>
      <c r="H705" s="5" t="n">
        <v>1.265</v>
      </c>
      <c r="I705" s="5" t="n">
        <v>1.156</v>
      </c>
      <c r="J705" s="5" t="n">
        <v>15.583</v>
      </c>
      <c r="K705" s="5" t="n">
        <v>0</v>
      </c>
      <c r="L705" s="5" t="n">
        <v>1</v>
      </c>
      <c r="M705" s="5" t="n">
        <v>10.275</v>
      </c>
      <c r="N705" s="5" t="n">
        <v>3.794</v>
      </c>
      <c r="O705" s="5" t="n">
        <v>6.48</v>
      </c>
      <c r="P705" s="5" t="n">
        <v>16.755</v>
      </c>
      <c r="Q705" s="5" t="n">
        <v>0</v>
      </c>
      <c r="R705" s="5" t="n">
        <v>1</v>
      </c>
      <c r="S705" s="5" t="n">
        <v>9.33</v>
      </c>
      <c r="T705" s="5" t="n">
        <v>6.177</v>
      </c>
      <c r="U705" s="5" t="n">
        <v>0.01</v>
      </c>
      <c r="V705" s="5" t="n">
        <v>11.208</v>
      </c>
      <c r="W705" s="5" t="n">
        <v>0.2</v>
      </c>
      <c r="X705" s="5" t="n">
        <v>1</v>
      </c>
      <c r="Y705" s="5" t="n">
        <v>21.08</v>
      </c>
      <c r="Z705" s="5" t="n">
        <v>2.662</v>
      </c>
      <c r="AA705" s="5" t="n">
        <v>4.065</v>
      </c>
      <c r="AB705" s="5" t="n">
        <v>25.144</v>
      </c>
      <c r="AC705" s="5" t="n">
        <v>0</v>
      </c>
      <c r="AD705" s="5" t="n">
        <v>1</v>
      </c>
      <c r="AE705" s="5" t="n">
        <v>21.08</v>
      </c>
      <c r="AF705" s="5" t="n">
        <v>4.618</v>
      </c>
      <c r="AG705" s="5" t="n">
        <v>4.065</v>
      </c>
      <c r="AH705" s="5" t="n">
        <v>25.144</v>
      </c>
      <c r="AI705" s="5" t="n">
        <v>0</v>
      </c>
      <c r="AJ705" s="5" t="n">
        <v>1</v>
      </c>
      <c r="AK705" s="5" t="n">
        <v>21.496</v>
      </c>
      <c r="AL705" s="5" t="n">
        <v>10.933</v>
      </c>
      <c r="AM705" s="5" t="n">
        <v>-6.649</v>
      </c>
      <c r="AN705" s="5" t="n">
        <v>17.815</v>
      </c>
      <c r="AO705" s="5" t="n">
        <v>0</v>
      </c>
      <c r="AP705" s="5" t="n">
        <v>0</v>
      </c>
      <c r="AQ705" s="5" t="n">
        <v>0.724</v>
      </c>
      <c r="AR705" s="5" t="n">
        <v>0.132</v>
      </c>
      <c r="AS705" s="5" t="n">
        <v>0.694</v>
      </c>
      <c r="AT705" s="5" t="n">
        <v>1.702</v>
      </c>
      <c r="AU705" s="5" t="n">
        <v>0.2</v>
      </c>
      <c r="AV705" s="5" t="n">
        <v>1</v>
      </c>
      <c r="AW705" s="5" t="n">
        <v>0.75</v>
      </c>
      <c r="AX705" s="5" t="n">
        <v>0.132</v>
      </c>
      <c r="AY705" s="5" t="n">
        <v>0.603</v>
      </c>
      <c r="AZ705" s="5" t="n">
        <v>1.624</v>
      </c>
      <c r="BA705" s="5" t="n">
        <v>0.2</v>
      </c>
      <c r="BB705" s="5" t="n">
        <v>1</v>
      </c>
      <c r="BC705" s="5" t="n">
        <v>0.513</v>
      </c>
      <c r="BD705" s="5" t="n">
        <v>0.132</v>
      </c>
      <c r="BE705" s="5" t="n">
        <v>0.128</v>
      </c>
      <c r="BF705" s="5" t="n">
        <v>0.77</v>
      </c>
      <c r="BG705" s="5" t="n">
        <v>0.2</v>
      </c>
      <c r="BH705" s="5" t="n">
        <v>1</v>
      </c>
      <c r="BI705" s="5" t="n">
        <v>0.591</v>
      </c>
      <c r="BJ705" s="5" t="n">
        <v>0.132</v>
      </c>
      <c r="BK705" s="5" t="n">
        <v>0.111</v>
      </c>
      <c r="BL705" s="5" t="n">
        <v>0.843</v>
      </c>
      <c r="BM705" s="5" t="n">
        <v>0.2</v>
      </c>
      <c r="BN705" s="5" t="n">
        <v>1</v>
      </c>
      <c r="BO705" s="5" t="n">
        <v>0</v>
      </c>
      <c r="BP705" s="5" t="n">
        <v>0.025</v>
      </c>
      <c r="BQ705" s="5" t="n">
        <v>0.186</v>
      </c>
      <c r="BR705" s="5" t="n">
        <v>0</v>
      </c>
      <c r="BS705" s="5" t="n">
        <v>1</v>
      </c>
      <c r="BT705" s="5" t="n">
        <v>0</v>
      </c>
      <c r="BU705" s="5" t="n">
        <v>0.028</v>
      </c>
      <c r="BV705" s="5" t="n">
        <v>0.194</v>
      </c>
      <c r="BW705" s="5" t="n">
        <v>0.2</v>
      </c>
      <c r="BX705" s="5" t="n">
        <v>0.667</v>
      </c>
      <c r="BY705" s="5" t="n">
        <v>13.646</v>
      </c>
      <c r="BZ705" s="5" t="n">
        <v>0</v>
      </c>
      <c r="CA705" s="5" t="n">
        <v>13.646</v>
      </c>
      <c r="CB705" s="5" t="n">
        <v>0</v>
      </c>
      <c r="CC705" s="5" t="n">
        <v>82.58799999999999</v>
      </c>
      <c r="CD705" s="5" t="n">
        <v>7.95</v>
      </c>
      <c r="CE705" s="5" t="n">
        <v>42.672</v>
      </c>
      <c r="CF705" s="5" t="n">
        <v>150.312</v>
      </c>
      <c r="CG705" s="5" t="n">
        <v>0.2</v>
      </c>
      <c r="CH705" s="5" t="n">
        <v>1</v>
      </c>
      <c r="CI705" s="5" t="n">
        <v>0</v>
      </c>
      <c r="CJ705" s="5" t="n">
        <v>0</v>
      </c>
      <c r="CK705" s="5" t="n">
        <v>0</v>
      </c>
      <c r="CL705" s="5" t="n">
        <v>0</v>
      </c>
      <c r="CM705" s="5" t="n">
        <v>0</v>
      </c>
      <c r="CN705" s="5" t="n">
        <v>0</v>
      </c>
      <c r="CO705" s="5" t="n">
        <v>0</v>
      </c>
      <c r="CP705" s="5" t="n">
        <v>0.089</v>
      </c>
      <c r="CQ705" s="5" t="n">
        <v>1.387</v>
      </c>
      <c r="CR705" s="5" t="n">
        <v>0</v>
      </c>
      <c r="CS705" s="5" t="n">
        <v>5.529</v>
      </c>
      <c r="CT705" s="5" t="n">
        <v>8.946999999999999</v>
      </c>
      <c r="CU705" s="5" t="n">
        <v>10.966</v>
      </c>
    </row>
    <row r="706">
      <c r="A706" s="5" t="inlineStr">
        <is>
          <t>SVN2021</t>
        </is>
      </c>
      <c r="B706" s="5" t="inlineStr">
        <is>
          <t>SVN</t>
        </is>
      </c>
      <c r="C706" s="5" t="inlineStr">
        <is>
          <t>SVN</t>
        </is>
      </c>
      <c r="D706" s="5" t="inlineStr">
        <is>
          <t>Slovenia</t>
        </is>
      </c>
      <c r="E706" s="5" t="n">
        <v>2021</v>
      </c>
      <c r="F706" s="5" t="n">
        <v>0.22</v>
      </c>
      <c r="G706" s="5" t="n">
        <v>2.58</v>
      </c>
      <c r="H706" s="5" t="n">
        <v>0.634</v>
      </c>
      <c r="I706" s="5" t="n">
        <v>1.787</v>
      </c>
      <c r="J706" s="5" t="n">
        <v>4.367</v>
      </c>
      <c r="K706" s="5" t="n">
        <v>0</v>
      </c>
      <c r="L706" s="5" t="n">
        <v>1</v>
      </c>
      <c r="M706" s="5" t="n">
        <v>3.466</v>
      </c>
      <c r="N706" s="5" t="n">
        <v>1.903</v>
      </c>
      <c r="O706" s="5" t="n">
        <v>2.137</v>
      </c>
      <c r="P706" s="5" t="n">
        <v>5.603</v>
      </c>
      <c r="Q706" s="5" t="n">
        <v>0</v>
      </c>
      <c r="R706" s="5" t="n">
        <v>1</v>
      </c>
      <c r="S706" s="5" t="n">
        <v>5.751</v>
      </c>
      <c r="T706" s="5" t="n">
        <v>3.805</v>
      </c>
      <c r="U706" s="5" t="n">
        <v>2.644</v>
      </c>
      <c r="V706" s="5" t="n">
        <v>10.242</v>
      </c>
      <c r="W706" s="5" t="n">
        <v>0.22</v>
      </c>
      <c r="X706" s="5" t="n">
        <v>1</v>
      </c>
      <c r="Y706" s="5" t="n">
        <v>10.622</v>
      </c>
      <c r="Z706" s="5" t="n">
        <v>1.173</v>
      </c>
      <c r="AA706" s="5" t="n">
        <v>3.015</v>
      </c>
      <c r="AB706" s="5" t="n">
        <v>13.637</v>
      </c>
      <c r="AC706" s="5" t="n">
        <v>0</v>
      </c>
      <c r="AD706" s="5" t="n">
        <v>1</v>
      </c>
      <c r="AE706" s="5" t="n">
        <v>10.579</v>
      </c>
      <c r="AF706" s="5" t="n">
        <v>2.082</v>
      </c>
      <c r="AG706" s="5" t="n">
        <v>3.059</v>
      </c>
      <c r="AH706" s="5" t="n">
        <v>13.637</v>
      </c>
      <c r="AI706" s="5" t="n">
        <v>0</v>
      </c>
      <c r="AJ706" s="5" t="n">
        <v>1</v>
      </c>
      <c r="AK706" s="5" t="n">
        <v>15.139</v>
      </c>
      <c r="AL706" s="5" t="n">
        <v>7.43</v>
      </c>
      <c r="AM706" s="5" t="n">
        <v>0.129</v>
      </c>
      <c r="AN706" s="5" t="n">
        <v>18.627</v>
      </c>
      <c r="AO706" s="5" t="n">
        <v>0.22</v>
      </c>
      <c r="AP706" s="5" t="n">
        <v>1</v>
      </c>
      <c r="AQ706" s="5" t="n">
        <v>0.619</v>
      </c>
      <c r="AR706" s="5" t="n">
        <v>0.114</v>
      </c>
      <c r="AS706" s="5" t="n">
        <v>0.5659999999999999</v>
      </c>
      <c r="AT706" s="5" t="n">
        <v>1.446</v>
      </c>
      <c r="AU706" s="5" t="n">
        <v>0.22</v>
      </c>
      <c r="AV706" s="5" t="n">
        <v>1</v>
      </c>
      <c r="AW706" s="5" t="n">
        <v>0.599</v>
      </c>
      <c r="AX706" s="5" t="n">
        <v>0.114</v>
      </c>
      <c r="AY706" s="5" t="n">
        <v>0.638</v>
      </c>
      <c r="AZ706" s="5" t="n">
        <v>1.509</v>
      </c>
      <c r="BA706" s="5" t="n">
        <v>0.22</v>
      </c>
      <c r="BB706" s="5" t="n">
        <v>1</v>
      </c>
      <c r="BC706" s="5" t="n">
        <v>0.439</v>
      </c>
      <c r="BD706" s="5" t="n">
        <v>0.114</v>
      </c>
      <c r="BE706" s="5" t="n">
        <v>0.248</v>
      </c>
      <c r="BF706" s="5" t="n">
        <v>0.838</v>
      </c>
      <c r="BG706" s="5" t="n">
        <v>0.22</v>
      </c>
      <c r="BH706" s="5" t="n">
        <v>1</v>
      </c>
      <c r="BI706" s="5" t="n">
        <v>0.505</v>
      </c>
      <c r="BJ706" s="5" t="n">
        <v>0.114</v>
      </c>
      <c r="BK706" s="5" t="n">
        <v>0.434</v>
      </c>
      <c r="BL706" s="5" t="n">
        <v>1.146</v>
      </c>
      <c r="BM706" s="5" t="n">
        <v>0.22</v>
      </c>
      <c r="BN706" s="5" t="n">
        <v>1</v>
      </c>
      <c r="BO706" s="5" t="n">
        <v>0</v>
      </c>
      <c r="BP706" s="5" t="n">
        <v>0.011</v>
      </c>
      <c r="BQ706" s="5" t="n">
        <v>0.098</v>
      </c>
      <c r="BR706" s="5" t="n">
        <v>0</v>
      </c>
      <c r="BS706" s="5" t="n">
        <v>1</v>
      </c>
      <c r="BT706" s="5" t="n">
        <v>0</v>
      </c>
      <c r="BU706" s="5" t="n">
        <v>0.025</v>
      </c>
      <c r="BV706" s="5" t="n">
        <v>0.199</v>
      </c>
      <c r="BW706" s="5" t="n">
        <v>0.22</v>
      </c>
      <c r="BX706" s="5" t="n">
        <v>1</v>
      </c>
      <c r="BY706" s="5" t="n">
        <v>11.787</v>
      </c>
      <c r="BZ706" s="5" t="n">
        <v>0</v>
      </c>
      <c r="CA706" s="5" t="n">
        <v>11.787</v>
      </c>
      <c r="CB706" s="5" t="n">
        <v>0</v>
      </c>
      <c r="CC706" s="5" t="n">
        <v>78.125</v>
      </c>
      <c r="CD706" s="5" t="n">
        <v>7.95</v>
      </c>
      <c r="CE706" s="5" t="n">
        <v>82.363</v>
      </c>
      <c r="CF706" s="5" t="n">
        <v>195.796</v>
      </c>
      <c r="CG706" s="5" t="n">
        <v>0.22</v>
      </c>
      <c r="CH706" s="5" t="n">
        <v>1</v>
      </c>
      <c r="CI706" s="5" t="n">
        <v>0</v>
      </c>
      <c r="CJ706" s="5" t="n">
        <v>0</v>
      </c>
      <c r="CK706" s="5" t="n">
        <v>0</v>
      </c>
      <c r="CL706" s="5" t="n">
        <v>0</v>
      </c>
      <c r="CM706" s="5" t="n">
        <v>0</v>
      </c>
      <c r="CN706" s="5" t="n">
        <v>0</v>
      </c>
      <c r="CO706" s="5" t="n">
        <v>0</v>
      </c>
      <c r="CP706" s="5" t="n">
        <v>0.891</v>
      </c>
      <c r="CQ706" s="5" t="n">
        <v>1.198</v>
      </c>
      <c r="CR706" s="5" t="n">
        <v>0</v>
      </c>
      <c r="CS706" s="5" t="n">
        <v>4.776</v>
      </c>
      <c r="CT706" s="5" t="n">
        <v>8.026</v>
      </c>
      <c r="CU706" s="5" t="n">
        <v>7.971</v>
      </c>
    </row>
    <row r="707">
      <c r="A707" s="5" t="inlineStr">
        <is>
          <t>SVN2022</t>
        </is>
      </c>
      <c r="B707" s="5" t="inlineStr">
        <is>
          <t>SVN</t>
        </is>
      </c>
      <c r="C707" s="5" t="inlineStr">
        <is>
          <t>SVN</t>
        </is>
      </c>
      <c r="D707" s="5" t="inlineStr">
        <is>
          <t>Slovenia</t>
        </is>
      </c>
      <c r="E707" s="5" t="n">
        <v>2022</v>
      </c>
      <c r="F707" s="5" t="n">
        <v>0.22</v>
      </c>
      <c r="G707" s="5" t="n">
        <v>7.491</v>
      </c>
      <c r="H707" s="5" t="n">
        <v>0.791</v>
      </c>
      <c r="I707" s="5" t="n">
        <v>8.552</v>
      </c>
      <c r="J707" s="5" t="n">
        <v>16.043</v>
      </c>
      <c r="K707" s="5" t="n">
        <v>0</v>
      </c>
      <c r="L707" s="5" t="n">
        <v>1</v>
      </c>
      <c r="M707" s="5" t="n">
        <v>5.014</v>
      </c>
      <c r="N707" s="5" t="n">
        <v>2.373</v>
      </c>
      <c r="O707" s="5" t="n">
        <v>8.77</v>
      </c>
      <c r="P707" s="5" t="n">
        <v>13.784</v>
      </c>
      <c r="Q707" s="5" t="n">
        <v>0</v>
      </c>
      <c r="R707" s="5" t="n">
        <v>1</v>
      </c>
      <c r="S707" s="5" t="n">
        <v>11.447</v>
      </c>
      <c r="T707" s="5" t="n">
        <v>4.746</v>
      </c>
      <c r="U707" s="5" t="n">
        <v>2.983</v>
      </c>
      <c r="V707" s="5" t="n">
        <v>17.323</v>
      </c>
      <c r="W707" s="5" t="n">
        <v>0.22</v>
      </c>
      <c r="X707" s="5" t="n">
        <v>1</v>
      </c>
      <c r="Y707" s="5" t="n">
        <v>28.201</v>
      </c>
      <c r="Z707" s="5" t="n">
        <v>2.958</v>
      </c>
      <c r="AA707" s="5" t="n">
        <v>-1.608</v>
      </c>
      <c r="AB707" s="5" t="n">
        <v>26.593</v>
      </c>
      <c r="AC707" s="5" t="n">
        <v>0</v>
      </c>
      <c r="AD707" s="5" t="n">
        <v>1</v>
      </c>
      <c r="AE707" s="5" t="n">
        <v>28.248</v>
      </c>
      <c r="AF707" s="5" t="n">
        <v>5.237</v>
      </c>
      <c r="AG707" s="5" t="n">
        <v>-1.656</v>
      </c>
      <c r="AH707" s="5" t="n">
        <v>26.593</v>
      </c>
      <c r="AI707" s="5" t="n">
        <v>0</v>
      </c>
      <c r="AJ707" s="5" t="n">
        <v>1</v>
      </c>
      <c r="AK707" s="5" t="n">
        <v>33.174</v>
      </c>
      <c r="AL707" s="5" t="n">
        <v>15.842</v>
      </c>
      <c r="AM707" s="5" t="n">
        <v>-13.604</v>
      </c>
      <c r="AN707" s="5" t="n">
        <v>23.875</v>
      </c>
      <c r="AO707" s="5" t="n">
        <v>0.22</v>
      </c>
      <c r="AP707" s="5" t="n">
        <v>1</v>
      </c>
      <c r="AQ707" s="5" t="n">
        <v>0.861</v>
      </c>
      <c r="AR707" s="5" t="n">
        <v>0.123</v>
      </c>
      <c r="AS707" s="5" t="n">
        <v>0.428</v>
      </c>
      <c r="AT707" s="5" t="n">
        <v>1.573</v>
      </c>
      <c r="AU707" s="5" t="n">
        <v>0.22</v>
      </c>
      <c r="AV707" s="5" t="n">
        <v>1</v>
      </c>
      <c r="AW707" s="5" t="n">
        <v>0.986</v>
      </c>
      <c r="AX707" s="5" t="n">
        <v>0.123</v>
      </c>
      <c r="AY707" s="5" t="n">
        <v>0.427</v>
      </c>
      <c r="AZ707" s="5" t="n">
        <v>1.724</v>
      </c>
      <c r="BA707" s="5" t="n">
        <v>0.22</v>
      </c>
      <c r="BB707" s="5" t="n">
        <v>1</v>
      </c>
      <c r="BC707" s="5" t="n">
        <v>0.598</v>
      </c>
      <c r="BD707" s="5" t="n">
        <v>0.123</v>
      </c>
      <c r="BE707" s="5" t="n">
        <v>0.244</v>
      </c>
      <c r="BF707" s="5" t="n">
        <v>1.027</v>
      </c>
      <c r="BG707" s="5" t="n">
        <v>0.22</v>
      </c>
      <c r="BH707" s="5" t="n">
        <v>1</v>
      </c>
      <c r="BI707" s="5" t="n">
        <v>0.612</v>
      </c>
      <c r="BJ707" s="5" t="n">
        <v>0.123</v>
      </c>
      <c r="BK707" s="5" t="n">
        <v>0.5</v>
      </c>
      <c r="BL707" s="5" t="n">
        <v>1.357</v>
      </c>
      <c r="BM707" s="5" t="n">
        <v>0.22</v>
      </c>
      <c r="BN707" s="5" t="n">
        <v>1</v>
      </c>
      <c r="BO707" s="5" t="n">
        <v>0</v>
      </c>
      <c r="BP707" s="5" t="n">
        <v>0.008</v>
      </c>
      <c r="BQ707" s="5" t="n">
        <v>0.18</v>
      </c>
      <c r="BR707" s="5" t="n">
        <v>0</v>
      </c>
      <c r="BS707" s="5" t="n">
        <v>1</v>
      </c>
      <c r="BT707" s="5" t="n">
        <v>0</v>
      </c>
      <c r="BU707" s="5" t="n">
        <v>0.014</v>
      </c>
      <c r="BV707" s="5" t="n">
        <v>0.176</v>
      </c>
      <c r="BW707" s="5" t="n">
        <v>0.22</v>
      </c>
      <c r="BX707" s="5" t="n">
        <v>1</v>
      </c>
      <c r="BY707" s="5" t="n">
        <v>12.729</v>
      </c>
      <c r="BZ707" s="5" t="n">
        <v>0</v>
      </c>
      <c r="CA707" s="5" t="n">
        <v>12.729</v>
      </c>
      <c r="CB707" s="5" t="n">
        <v>0</v>
      </c>
      <c r="CC707" s="5" t="n">
        <v>97.90000000000001</v>
      </c>
      <c r="CD707" s="5" t="n">
        <v>7.95</v>
      </c>
      <c r="CE707" s="5" t="n">
        <v>117.374</v>
      </c>
      <c r="CF707" s="5" t="n">
        <v>262.634</v>
      </c>
      <c r="CG707" s="5" t="n">
        <v>0.22</v>
      </c>
      <c r="CH707" s="5" t="n">
        <v>1</v>
      </c>
      <c r="CI707" s="5" t="n">
        <v>0</v>
      </c>
      <c r="CJ707" s="5" t="n">
        <v>0</v>
      </c>
      <c r="CK707" s="5" t="n">
        <v>0</v>
      </c>
      <c r="CL707" s="5" t="n">
        <v>0</v>
      </c>
      <c r="CM707" s="5" t="n">
        <v>0</v>
      </c>
      <c r="CN707" s="5" t="n">
        <v>0</v>
      </c>
      <c r="CO707" s="5" t="n">
        <v>0</v>
      </c>
      <c r="CP707" s="5" t="n">
        <v>0.719</v>
      </c>
      <c r="CQ707" s="5" t="n">
        <v>1.294</v>
      </c>
      <c r="CR707" s="5" t="n">
        <v>0</v>
      </c>
      <c r="CS707" s="5" t="n">
        <v>5.158</v>
      </c>
      <c r="CT707" s="5" t="n">
        <v>20.506</v>
      </c>
      <c r="CU707" s="5" t="n">
        <v>25.458</v>
      </c>
    </row>
    <row r="708">
      <c r="A708" s="5" t="inlineStr">
        <is>
          <t>SVN2023</t>
        </is>
      </c>
      <c r="B708" s="5" t="inlineStr">
        <is>
          <t>SVN</t>
        </is>
      </c>
      <c r="C708" s="5" t="inlineStr">
        <is>
          <t>SVN</t>
        </is>
      </c>
      <c r="D708" s="5" t="inlineStr">
        <is>
          <t>Slovenia</t>
        </is>
      </c>
      <c r="E708" s="5" t="n">
        <v>2023</v>
      </c>
      <c r="F708" s="5" t="n">
        <v>0.22</v>
      </c>
      <c r="G708" s="5" t="n">
        <v>4.555</v>
      </c>
      <c r="H708" s="5" t="n">
        <v>0.823</v>
      </c>
      <c r="I708" s="5" t="n">
        <v>9.911</v>
      </c>
      <c r="J708" s="5" t="n">
        <v>14.466</v>
      </c>
      <c r="K708" s="5" t="n">
        <v>0</v>
      </c>
      <c r="L708" s="5" t="n">
        <v>1</v>
      </c>
      <c r="M708" s="5" t="n">
        <v>4.566</v>
      </c>
      <c r="N708" s="5" t="n">
        <v>2.468</v>
      </c>
      <c r="O708" s="5" t="n">
        <v>10.093</v>
      </c>
      <c r="P708" s="5" t="n">
        <v>14.66</v>
      </c>
      <c r="Q708" s="5" t="n">
        <v>0</v>
      </c>
      <c r="R708" s="5" t="n">
        <v>1</v>
      </c>
      <c r="S708" s="5" t="n">
        <v>8.669</v>
      </c>
      <c r="T708" s="5" t="n">
        <v>4.937</v>
      </c>
      <c r="U708" s="5" t="n">
        <v>1.086</v>
      </c>
      <c r="V708" s="5" t="n">
        <v>11.618</v>
      </c>
      <c r="W708" s="5" t="n">
        <v>0.22</v>
      </c>
      <c r="X708" s="5" t="n">
        <v>1</v>
      </c>
      <c r="Y708" s="5" t="n">
        <v>22.754</v>
      </c>
      <c r="Z708" s="5" t="n">
        <v>2.549</v>
      </c>
      <c r="AA708" s="5" t="n">
        <v>5.215</v>
      </c>
      <c r="AB708" s="5" t="n">
        <v>27.969</v>
      </c>
      <c r="AC708" s="5" t="n">
        <v>0</v>
      </c>
      <c r="AD708" s="5" t="n">
        <v>1</v>
      </c>
      <c r="AE708" s="5" t="n">
        <v>22.853</v>
      </c>
      <c r="AF708" s="5" t="n">
        <v>4.551</v>
      </c>
      <c r="AG708" s="5" t="n">
        <v>5.116</v>
      </c>
      <c r="AH708" s="5" t="n">
        <v>27.969</v>
      </c>
      <c r="AI708" s="5" t="n">
        <v>0</v>
      </c>
      <c r="AJ708" s="5" t="n">
        <v>1</v>
      </c>
      <c r="AK708" s="5" t="n">
        <v>27.981</v>
      </c>
      <c r="AL708" s="5" t="n">
        <v>13.861</v>
      </c>
      <c r="AM708" s="5" t="n">
        <v>-2.404</v>
      </c>
      <c r="AN708" s="5" t="n">
        <v>31.203</v>
      </c>
      <c r="AO708" s="5" t="n">
        <v>0.22</v>
      </c>
      <c r="AP708" s="5" t="n">
        <v>1</v>
      </c>
      <c r="AQ708" s="5" t="n">
        <v>0.76</v>
      </c>
      <c r="AR708" s="5" t="n">
        <v>0.129</v>
      </c>
      <c r="AS708" s="5" t="n">
        <v>0.524</v>
      </c>
      <c r="AT708" s="5" t="n">
        <v>1.567</v>
      </c>
      <c r="AU708" s="5" t="n">
        <v>0.22</v>
      </c>
      <c r="AV708" s="5" t="n">
        <v>1</v>
      </c>
      <c r="AW708" s="5" t="n">
        <v>0.8110000000000001</v>
      </c>
      <c r="AX708" s="5" t="n">
        <v>0.129</v>
      </c>
      <c r="AY708" s="5" t="n">
        <v>0.5570000000000001</v>
      </c>
      <c r="AZ708" s="5" t="n">
        <v>1.669</v>
      </c>
      <c r="BA708" s="5" t="n">
        <v>0.22</v>
      </c>
      <c r="BB708" s="5" t="n">
        <v>1</v>
      </c>
      <c r="BC708" s="5" t="n">
        <v>0.535</v>
      </c>
      <c r="BD708" s="5" t="n">
        <v>0.129</v>
      </c>
      <c r="BE708" s="5" t="n">
        <v>0.253</v>
      </c>
      <c r="BF708" s="5" t="n">
        <v>0.961</v>
      </c>
      <c r="BG708" s="5" t="n">
        <v>0.22</v>
      </c>
      <c r="BH708" s="5" t="n">
        <v>1</v>
      </c>
      <c r="BI708" s="5" t="n">
        <v>0.579</v>
      </c>
      <c r="BJ708" s="5" t="n">
        <v>0.129</v>
      </c>
      <c r="BK708" s="5" t="n">
        <v>0.402</v>
      </c>
      <c r="BL708" s="5" t="n">
        <v>1.197</v>
      </c>
      <c r="BM708" s="5" t="n">
        <v>0.22</v>
      </c>
      <c r="BN708" s="5" t="n">
        <v>1</v>
      </c>
      <c r="BO708" s="5" t="n">
        <v>0</v>
      </c>
      <c r="BP708" s="5" t="n">
        <v>0.008</v>
      </c>
      <c r="BQ708" s="5" t="n">
        <v>0.199</v>
      </c>
      <c r="BR708" s="5" t="n">
        <v>0</v>
      </c>
      <c r="BS708" s="5" t="n">
        <v>1</v>
      </c>
      <c r="BT708" s="5" t="n">
        <v>0</v>
      </c>
      <c r="BU708" s="5" t="n">
        <v>0.013</v>
      </c>
      <c r="BV708" s="5" t="n">
        <v>0.218</v>
      </c>
      <c r="BW708" s="5" t="n">
        <v>0.22</v>
      </c>
      <c r="BX708" s="5" t="n">
        <v>1</v>
      </c>
      <c r="BY708" s="5" t="n">
        <v>13.254</v>
      </c>
      <c r="BZ708" s="5" t="n">
        <v>0</v>
      </c>
      <c r="CA708" s="5" t="n">
        <v>13.254</v>
      </c>
      <c r="CB708" s="5" t="n">
        <v>0</v>
      </c>
      <c r="CC708" s="5" t="n">
        <v>83.248</v>
      </c>
      <c r="CD708" s="5" t="n">
        <v>7.95</v>
      </c>
      <c r="CE708" s="5" t="n">
        <v>116.427</v>
      </c>
      <c r="CF708" s="5" t="n">
        <v>243.604</v>
      </c>
      <c r="CG708" s="5" t="n">
        <v>0.22</v>
      </c>
      <c r="CH708" s="5" t="n">
        <v>1</v>
      </c>
      <c r="CI708" s="5" t="n">
        <v>0</v>
      </c>
      <c r="CJ708" s="5" t="n">
        <v>0</v>
      </c>
      <c r="CK708" s="5" t="n">
        <v>0</v>
      </c>
      <c r="CL708" s="5" t="n">
        <v>0</v>
      </c>
      <c r="CM708" s="5" t="n">
        <v>0</v>
      </c>
      <c r="CN708" s="5" t="n">
        <v>0</v>
      </c>
      <c r="CO708" s="5" t="n">
        <v>0</v>
      </c>
      <c r="CP708" s="5" t="n">
        <v>0.72</v>
      </c>
      <c r="CQ708" s="5" t="n">
        <v>1.348</v>
      </c>
      <c r="CR708" s="5" t="n">
        <v>0</v>
      </c>
      <c r="CS708" s="5" t="n">
        <v>5.37</v>
      </c>
      <c r="CT708" s="5" t="n">
        <v>9.867000000000001</v>
      </c>
      <c r="CU708" s="5" t="n">
        <v>19.961</v>
      </c>
    </row>
    <row r="709">
      <c r="A709" s="5" t="inlineStr">
        <is>
          <t>SVN2024</t>
        </is>
      </c>
      <c r="B709" s="5" t="inlineStr">
        <is>
          <t>SVN</t>
        </is>
      </c>
      <c r="C709" s="5" t="inlineStr">
        <is>
          <t>SVN</t>
        </is>
      </c>
      <c r="D709" s="5" t="inlineStr">
        <is>
          <t>Slovenia</t>
        </is>
      </c>
      <c r="E709" s="5" t="n">
        <v>2024</v>
      </c>
      <c r="F709" s="5" t="n">
        <v>0.22</v>
      </c>
      <c r="G709" s="5" t="n">
        <v>4.007</v>
      </c>
      <c r="H709" s="5" t="n">
        <v>0.847</v>
      </c>
      <c r="I709" s="5" t="n">
        <v>6.495</v>
      </c>
      <c r="J709" s="5" t="n">
        <v>10.503</v>
      </c>
      <c r="K709" s="5" t="n">
        <v>0</v>
      </c>
      <c r="L709" s="5" t="n">
        <v>1</v>
      </c>
      <c r="M709" s="5" t="n">
        <v>4.423</v>
      </c>
      <c r="N709" s="5" t="n">
        <v>2.541</v>
      </c>
      <c r="O709" s="5" t="n">
        <v>6.739</v>
      </c>
      <c r="P709" s="5" t="n">
        <v>11.161</v>
      </c>
      <c r="Q709" s="5" t="n">
        <v>0</v>
      </c>
      <c r="R709" s="5" t="n">
        <v>1</v>
      </c>
      <c r="S709" s="5" t="n">
        <v>8.242000000000001</v>
      </c>
      <c r="T709" s="5" t="n">
        <v>5.082</v>
      </c>
      <c r="U709" s="5" t="n">
        <v>3.123</v>
      </c>
      <c r="V709" s="5" t="n">
        <v>13.463</v>
      </c>
      <c r="W709" s="5" t="n">
        <v>0.22</v>
      </c>
      <c r="X709" s="5" t="n">
        <v>1</v>
      </c>
      <c r="Y709" s="5" t="n">
        <v>15.716</v>
      </c>
      <c r="Z709" s="5" t="n">
        <v>1.984</v>
      </c>
      <c r="AA709" s="5" t="n">
        <v>5.339</v>
      </c>
      <c r="AB709" s="5" t="n">
        <v>21.055</v>
      </c>
      <c r="AC709" s="5" t="n">
        <v>0</v>
      </c>
      <c r="AD709" s="5" t="n">
        <v>1</v>
      </c>
      <c r="AE709" s="5" t="n">
        <v>15.716</v>
      </c>
      <c r="AF709" s="5" t="n">
        <v>3.443</v>
      </c>
      <c r="AG709" s="5" t="n">
        <v>5.339</v>
      </c>
      <c r="AH709" s="5" t="n">
        <v>21.055</v>
      </c>
      <c r="AI709" s="5" t="n">
        <v>0</v>
      </c>
      <c r="AJ709" s="5" t="n">
        <v>1</v>
      </c>
      <c r="AK709" s="5" t="n">
        <v>20.995</v>
      </c>
      <c r="AL709" s="5" t="n">
        <v>10.679</v>
      </c>
      <c r="AM709" s="5" t="n">
        <v>2.19</v>
      </c>
      <c r="AN709" s="5" t="n">
        <v>28.286</v>
      </c>
      <c r="AO709" s="5" t="n">
        <v>0.22</v>
      </c>
      <c r="AP709" s="5" t="n">
        <v>1</v>
      </c>
      <c r="AQ709" s="5" t="n">
        <v>0.724</v>
      </c>
      <c r="AR709" s="5" t="n">
        <v>0.132</v>
      </c>
      <c r="AS709" s="5" t="n">
        <v>0.6</v>
      </c>
      <c r="AT709" s="5" t="n">
        <v>1.616</v>
      </c>
      <c r="AU709" s="5" t="n">
        <v>0.22</v>
      </c>
      <c r="AV709" s="5" t="n">
        <v>1</v>
      </c>
      <c r="AW709" s="5" t="n">
        <v>0.75</v>
      </c>
      <c r="AX709" s="5" t="n">
        <v>0.132</v>
      </c>
      <c r="AY709" s="5" t="n">
        <v>0.604</v>
      </c>
      <c r="AZ709" s="5" t="n">
        <v>1.652</v>
      </c>
      <c r="BA709" s="5" t="n">
        <v>0.22</v>
      </c>
      <c r="BB709" s="5" t="n">
        <v>1</v>
      </c>
      <c r="BC709" s="5" t="n">
        <v>0.513</v>
      </c>
      <c r="BD709" s="5" t="n">
        <v>0.132</v>
      </c>
      <c r="BE709" s="5" t="n">
        <v>0.259</v>
      </c>
      <c r="BF709" s="5" t="n">
        <v>0.9409999999999999</v>
      </c>
      <c r="BG709" s="5" t="n">
        <v>0.22</v>
      </c>
      <c r="BH709" s="5" t="n">
        <v>1</v>
      </c>
      <c r="BI709" s="5" t="n">
        <v>0.591</v>
      </c>
      <c r="BJ709" s="5" t="n">
        <v>0.132</v>
      </c>
      <c r="BK709" s="5" t="n">
        <v>0.367</v>
      </c>
      <c r="BL709" s="5" t="n">
        <v>1.169</v>
      </c>
      <c r="BM709" s="5" t="n">
        <v>0.22</v>
      </c>
      <c r="BN709" s="5" t="n">
        <v>1</v>
      </c>
      <c r="BO709" s="5" t="n">
        <v>0</v>
      </c>
      <c r="BP709" s="5" t="n">
        <v>0.008</v>
      </c>
      <c r="BQ709" s="5" t="n">
        <v>0.158</v>
      </c>
      <c r="BR709" s="5" t="n">
        <v>0</v>
      </c>
      <c r="BS709" s="5" t="n">
        <v>1</v>
      </c>
      <c r="BT709" s="5" t="n">
        <v>0</v>
      </c>
      <c r="BU709" s="5" t="n">
        <v>0.003</v>
      </c>
      <c r="BV709" s="5" t="n">
        <v>0.221</v>
      </c>
      <c r="BW709" s="5" t="n">
        <v>0.22</v>
      </c>
      <c r="BX709" s="5" t="n">
        <v>1</v>
      </c>
      <c r="BY709" s="5" t="n">
        <v>13.646</v>
      </c>
      <c r="BZ709" s="5" t="n">
        <v>0</v>
      </c>
      <c r="CA709" s="5" t="n">
        <v>13.646</v>
      </c>
      <c r="CB709" s="5" t="n">
        <v>0</v>
      </c>
      <c r="CC709" s="5" t="n">
        <v>82.58799999999999</v>
      </c>
      <c r="CD709" s="5" t="n">
        <v>7.95</v>
      </c>
      <c r="CE709" s="5" t="n">
        <v>107.233</v>
      </c>
      <c r="CF709" s="5" t="n">
        <v>231.582</v>
      </c>
      <c r="CG709" s="5" t="n">
        <v>0.22</v>
      </c>
      <c r="CH709" s="5" t="n">
        <v>1</v>
      </c>
      <c r="CI709" s="5" t="n">
        <v>0</v>
      </c>
      <c r="CJ709" s="5" t="n">
        <v>0</v>
      </c>
      <c r="CK709" s="5" t="n">
        <v>0</v>
      </c>
      <c r="CL709" s="5" t="n">
        <v>0</v>
      </c>
      <c r="CM709" s="5" t="n">
        <v>0</v>
      </c>
      <c r="CN709" s="5" t="n">
        <v>0</v>
      </c>
      <c r="CO709" s="5" t="n">
        <v>0</v>
      </c>
      <c r="CP709" s="5" t="n">
        <v>0.72</v>
      </c>
      <c r="CQ709" s="5" t="n">
        <v>1.387</v>
      </c>
      <c r="CR709" s="5" t="n">
        <v>0</v>
      </c>
      <c r="CS709" s="5" t="n">
        <v>5.529</v>
      </c>
      <c r="CT709" s="5" t="n">
        <v>7.721</v>
      </c>
      <c r="CU709" s="5" t="n">
        <v>12.028</v>
      </c>
    </row>
    <row r="710">
      <c r="A710" s="5" t="inlineStr">
        <is>
          <t>SLB2021</t>
        </is>
      </c>
      <c r="B710" s="5" t="inlineStr">
        <is>
          <t>SLB</t>
        </is>
      </c>
      <c r="C710" s="5" t="inlineStr">
        <is>
          <t>SLB</t>
        </is>
      </c>
      <c r="D710" s="5" t="inlineStr">
        <is>
          <t>Solomon Islands</t>
        </is>
      </c>
      <c r="E710" s="5" t="n">
        <v>2021</v>
      </c>
      <c r="F710" s="5" t="n">
        <v>0</v>
      </c>
      <c r="G710" s="5" t="n">
        <v>4.747</v>
      </c>
      <c r="H710" s="5" t="n">
        <v>1.143</v>
      </c>
      <c r="I710" s="5" t="n">
        <v>0</v>
      </c>
      <c r="J710" s="5" t="n">
        <v>4.747</v>
      </c>
      <c r="K710" s="5" t="n">
        <v>0</v>
      </c>
      <c r="L710" s="5" t="n">
        <v>1</v>
      </c>
      <c r="M710" s="5" t="n">
        <v>7.964</v>
      </c>
      <c r="N710" s="5" t="n">
        <v>3.43</v>
      </c>
      <c r="O710" s="5" t="n">
        <v>0</v>
      </c>
      <c r="P710" s="5" t="n">
        <v>7.964</v>
      </c>
      <c r="Q710" s="5" t="n">
        <v>0</v>
      </c>
      <c r="R710" s="5" t="n">
        <v>1</v>
      </c>
      <c r="S710" s="5" t="n">
        <v>10.464</v>
      </c>
      <c r="T710" s="5" t="n">
        <v>6.86</v>
      </c>
      <c r="U710" s="5" t="n">
        <v>0</v>
      </c>
      <c r="V710" s="5" t="n">
        <v>10.464</v>
      </c>
      <c r="W710" s="5" t="n">
        <v>0</v>
      </c>
      <c r="X710" s="5" t="n">
        <v>1</v>
      </c>
      <c r="Y710" s="5" t="n">
        <v>5.989</v>
      </c>
      <c r="Z710" s="5" t="n">
        <v>0.739</v>
      </c>
      <c r="AA710" s="5" t="n">
        <v>0</v>
      </c>
      <c r="AB710" s="5" t="n">
        <v>5.989</v>
      </c>
      <c r="AC710" s="5" t="n">
        <v>0</v>
      </c>
      <c r="AD710" s="5" t="n">
        <v>1</v>
      </c>
      <c r="AE710" s="5" t="n">
        <v>7.132</v>
      </c>
      <c r="AF710" s="5" t="n">
        <v>1.555</v>
      </c>
      <c r="AG710" s="5" t="n">
        <v>0</v>
      </c>
      <c r="AH710" s="5" t="n">
        <v>7.132</v>
      </c>
      <c r="AI710" s="5" t="n">
        <v>0</v>
      </c>
      <c r="AJ710" s="5" t="n">
        <v>1</v>
      </c>
      <c r="AK710" s="5" t="n">
        <v>13.992</v>
      </c>
      <c r="AL710" s="5" t="n">
        <v>7.26</v>
      </c>
      <c r="AM710" s="5" t="n">
        <v>0</v>
      </c>
      <c r="AN710" s="5" t="n">
        <v>13.992</v>
      </c>
      <c r="AO710" s="5" t="n">
        <v>0</v>
      </c>
      <c r="AP710" s="5" t="n">
        <v>1</v>
      </c>
      <c r="AQ710" s="5" t="n">
        <v>0.621</v>
      </c>
      <c r="AR710" s="5" t="n">
        <v>0.114</v>
      </c>
      <c r="AS710" s="5" t="n">
        <v>0</v>
      </c>
      <c r="AT710" s="5" t="n">
        <v>0.621</v>
      </c>
      <c r="AU710" s="5" t="n">
        <v>0</v>
      </c>
      <c r="AV710" s="5" t="n">
        <v>1</v>
      </c>
      <c r="AW710" s="5" t="n">
        <v>0.593</v>
      </c>
      <c r="AX710" s="5" t="n">
        <v>0.114</v>
      </c>
      <c r="AY710" s="5" t="n">
        <v>0</v>
      </c>
      <c r="AZ710" s="5" t="n">
        <v>0.593</v>
      </c>
      <c r="BA710" s="5" t="n">
        <v>0</v>
      </c>
      <c r="BB710" s="5" t="n">
        <v>1</v>
      </c>
      <c r="BC710" s="5" t="n">
        <v>0.44</v>
      </c>
      <c r="BD710" s="5" t="n">
        <v>0.114</v>
      </c>
      <c r="BE710" s="5" t="n">
        <v>0</v>
      </c>
      <c r="BF710" s="5" t="n">
        <v>0.44</v>
      </c>
      <c r="BG710" s="5" t="n">
        <v>0</v>
      </c>
      <c r="BH710" s="5" t="n">
        <v>1</v>
      </c>
      <c r="BI710" s="5" t="n">
        <v>0.5600000000000001</v>
      </c>
      <c r="BJ710" s="5" t="n">
        <v>0.114</v>
      </c>
      <c r="BK710" s="5" t="n">
        <v>0</v>
      </c>
      <c r="BL710" s="5" t="n">
        <v>0.5600000000000001</v>
      </c>
      <c r="BM710" s="5" t="n">
        <v>0</v>
      </c>
      <c r="BN710" s="5" t="n">
        <v>1</v>
      </c>
      <c r="BO710" s="5" t="n">
        <v>0</v>
      </c>
      <c r="BP710" s="5" t="n">
        <v>0</v>
      </c>
      <c r="BQ710" s="5" t="n">
        <v>0</v>
      </c>
      <c r="BR710" s="5" t="n">
        <v>0</v>
      </c>
      <c r="BS710" s="5" t="n">
        <v>1</v>
      </c>
      <c r="BT710" s="5" t="n">
        <v>0</v>
      </c>
      <c r="BU710" s="5" t="n">
        <v>0</v>
      </c>
      <c r="BV710" s="5" t="n">
        <v>0</v>
      </c>
      <c r="BW710" s="5" t="n">
        <v>0</v>
      </c>
      <c r="BX710" s="5" t="n">
        <v>1</v>
      </c>
      <c r="BY710" s="5" t="n">
        <v>11.787</v>
      </c>
      <c r="BZ710" s="5" t="n">
        <v>0</v>
      </c>
      <c r="CA710" s="5" t="n">
        <v>11.787</v>
      </c>
      <c r="CB710" s="5" t="n">
        <v>0</v>
      </c>
      <c r="CC710" s="5" t="n">
        <v>81.69499999999999</v>
      </c>
      <c r="CD710" s="5" t="n">
        <v>7.95</v>
      </c>
      <c r="CE710" s="5" t="n">
        <v>0</v>
      </c>
      <c r="CF710" s="5" t="n">
        <v>81.69499999999999</v>
      </c>
      <c r="CG710" s="5" t="n">
        <v>0</v>
      </c>
      <c r="CH710" s="5" t="n">
        <v>1</v>
      </c>
      <c r="CI710" s="5" t="n">
        <v>0</v>
      </c>
      <c r="CJ710" s="5" t="n">
        <v>0</v>
      </c>
      <c r="CK710" s="5" t="n">
        <v>0</v>
      </c>
      <c r="CL710" s="5" t="n">
        <v>0</v>
      </c>
      <c r="CM710" s="5" t="n">
        <v>0</v>
      </c>
      <c r="CN710" s="5" t="n">
        <v>0</v>
      </c>
      <c r="CO710" s="5" t="n">
        <v>0</v>
      </c>
      <c r="CP710" s="5" t="n">
        <v>0</v>
      </c>
      <c r="CQ710" s="5" t="n">
        <v>1.198</v>
      </c>
      <c r="CR710" s="5" t="n">
        <v>0</v>
      </c>
      <c r="CS710" s="5" t="n">
        <v>4.776</v>
      </c>
      <c r="CT710" s="5" t="n">
        <v>3.604</v>
      </c>
      <c r="CU710" s="5" t="n">
        <v>9.407999999999999</v>
      </c>
    </row>
    <row r="711">
      <c r="A711" s="5" t="inlineStr">
        <is>
          <t>SLB2022</t>
        </is>
      </c>
      <c r="B711" s="5" t="inlineStr">
        <is>
          <t>SLB</t>
        </is>
      </c>
      <c r="C711" s="5" t="inlineStr">
        <is>
          <t>SLB</t>
        </is>
      </c>
      <c r="D711" s="5" t="inlineStr">
        <is>
          <t>Solomon Islands</t>
        </is>
      </c>
      <c r="E711" s="5" t="n">
        <v>2022</v>
      </c>
      <c r="F711" s="5" t="n">
        <v>0</v>
      </c>
      <c r="G711" s="5" t="n">
        <v>8.788</v>
      </c>
      <c r="H711" s="5" t="n">
        <v>1.235</v>
      </c>
      <c r="I711" s="5" t="n">
        <v>0</v>
      </c>
      <c r="J711" s="5" t="n">
        <v>8.788</v>
      </c>
      <c r="K711" s="5" t="n">
        <v>0</v>
      </c>
      <c r="L711" s="5" t="n">
        <v>1</v>
      </c>
      <c r="M711" s="5" t="n">
        <v>9.782999999999999</v>
      </c>
      <c r="N711" s="5" t="n">
        <v>3.704</v>
      </c>
      <c r="O711" s="5" t="n">
        <v>0</v>
      </c>
      <c r="P711" s="5" t="n">
        <v>9.782999999999999</v>
      </c>
      <c r="Q711" s="5" t="n">
        <v>0</v>
      </c>
      <c r="R711" s="5" t="n">
        <v>1</v>
      </c>
      <c r="S711" s="5" t="n">
        <v>14.962</v>
      </c>
      <c r="T711" s="5" t="n">
        <v>7.408</v>
      </c>
      <c r="U711" s="5" t="n">
        <v>0</v>
      </c>
      <c r="V711" s="5" t="n">
        <v>14.962</v>
      </c>
      <c r="W711" s="5" t="n">
        <v>0</v>
      </c>
      <c r="X711" s="5" t="n">
        <v>1</v>
      </c>
      <c r="Y711" s="5" t="n">
        <v>6.765</v>
      </c>
      <c r="Z711" s="5" t="n">
        <v>0.835</v>
      </c>
      <c r="AA711" s="5" t="n">
        <v>0</v>
      </c>
      <c r="AB711" s="5" t="n">
        <v>6.765</v>
      </c>
      <c r="AC711" s="5" t="n">
        <v>0</v>
      </c>
      <c r="AD711" s="5" t="n">
        <v>1</v>
      </c>
      <c r="AE711" s="5" t="n">
        <v>7.999</v>
      </c>
      <c r="AF711" s="5" t="n">
        <v>1.744</v>
      </c>
      <c r="AG711" s="5" t="n">
        <v>0</v>
      </c>
      <c r="AH711" s="5" t="n">
        <v>7.999</v>
      </c>
      <c r="AI711" s="5" t="n">
        <v>0</v>
      </c>
      <c r="AJ711" s="5" t="n">
        <v>1</v>
      </c>
      <c r="AK711" s="5" t="n">
        <v>15.407</v>
      </c>
      <c r="AL711" s="5" t="n">
        <v>7.995</v>
      </c>
      <c r="AM711" s="5" t="n">
        <v>0</v>
      </c>
      <c r="AN711" s="5" t="n">
        <v>15.407</v>
      </c>
      <c r="AO711" s="5" t="n">
        <v>0</v>
      </c>
      <c r="AP711" s="5" t="n">
        <v>1</v>
      </c>
      <c r="AQ711" s="5" t="n">
        <v>0.847</v>
      </c>
      <c r="AR711" s="5" t="n">
        <v>0.123</v>
      </c>
      <c r="AS711" s="5" t="n">
        <v>0</v>
      </c>
      <c r="AT711" s="5" t="n">
        <v>0.847</v>
      </c>
      <c r="AU711" s="5" t="n">
        <v>0</v>
      </c>
      <c r="AV711" s="5" t="n">
        <v>1</v>
      </c>
      <c r="AW711" s="5" t="n">
        <v>0.947</v>
      </c>
      <c r="AX711" s="5" t="n">
        <v>0.123</v>
      </c>
      <c r="AY711" s="5" t="n">
        <v>0</v>
      </c>
      <c r="AZ711" s="5" t="n">
        <v>0.947</v>
      </c>
      <c r="BA711" s="5" t="n">
        <v>0</v>
      </c>
      <c r="BB711" s="5" t="n">
        <v>1</v>
      </c>
      <c r="BC711" s="5" t="n">
        <v>0.589</v>
      </c>
      <c r="BD711" s="5" t="n">
        <v>0.123</v>
      </c>
      <c r="BE711" s="5" t="n">
        <v>0</v>
      </c>
      <c r="BF711" s="5" t="n">
        <v>0.589</v>
      </c>
      <c r="BG711" s="5" t="n">
        <v>0</v>
      </c>
      <c r="BH711" s="5" t="n">
        <v>1</v>
      </c>
      <c r="BI711" s="5" t="n">
        <v>0.6889999999999999</v>
      </c>
      <c r="BJ711" s="5" t="n">
        <v>0.123</v>
      </c>
      <c r="BK711" s="5" t="n">
        <v>0</v>
      </c>
      <c r="BL711" s="5" t="n">
        <v>0.6889999999999999</v>
      </c>
      <c r="BM711" s="5" t="n">
        <v>0</v>
      </c>
      <c r="BN711" s="5" t="n">
        <v>1</v>
      </c>
      <c r="BO711" s="5" t="n">
        <v>0</v>
      </c>
      <c r="BP711" s="5" t="n">
        <v>0</v>
      </c>
      <c r="BQ711" s="5" t="n">
        <v>0</v>
      </c>
      <c r="BR711" s="5" t="n">
        <v>0</v>
      </c>
      <c r="BS711" s="5" t="n">
        <v>1</v>
      </c>
      <c r="BT711" s="5" t="n">
        <v>0</v>
      </c>
      <c r="BU711" s="5" t="n">
        <v>0</v>
      </c>
      <c r="BV711" s="5" t="n">
        <v>0</v>
      </c>
      <c r="BW711" s="5" t="n">
        <v>0</v>
      </c>
      <c r="BX711" s="5" t="n">
        <v>1</v>
      </c>
      <c r="BY711" s="5" t="n">
        <v>12.729</v>
      </c>
      <c r="BZ711" s="5" t="n">
        <v>0</v>
      </c>
      <c r="CA711" s="5" t="n">
        <v>12.729</v>
      </c>
      <c r="CB711" s="5" t="n">
        <v>0</v>
      </c>
      <c r="CC711" s="5" t="n">
        <v>102.477</v>
      </c>
      <c r="CD711" s="5" t="n">
        <v>7.95</v>
      </c>
      <c r="CE711" s="5" t="n">
        <v>0</v>
      </c>
      <c r="CF711" s="5" t="n">
        <v>102.477</v>
      </c>
      <c r="CG711" s="5" t="n">
        <v>0</v>
      </c>
      <c r="CH711" s="5" t="n">
        <v>1</v>
      </c>
      <c r="CI711" s="5" t="n">
        <v>0</v>
      </c>
      <c r="CJ711" s="5" t="n">
        <v>0</v>
      </c>
      <c r="CK711" s="5" t="n">
        <v>0</v>
      </c>
      <c r="CL711" s="5" t="n">
        <v>0</v>
      </c>
      <c r="CM711" s="5" t="n">
        <v>0</v>
      </c>
      <c r="CN711" s="5" t="n">
        <v>0</v>
      </c>
      <c r="CO711" s="5" t="n">
        <v>0</v>
      </c>
      <c r="CP711" s="5" t="n">
        <v>0</v>
      </c>
      <c r="CQ711" s="5" t="n">
        <v>1.294</v>
      </c>
      <c r="CR711" s="5" t="n">
        <v>0</v>
      </c>
      <c r="CS711" s="5" t="n">
        <v>5.158</v>
      </c>
      <c r="CT711" s="5" t="n">
        <v>7.554</v>
      </c>
      <c r="CU711" s="5" t="n">
        <v>16.097</v>
      </c>
    </row>
    <row r="712">
      <c r="A712" s="5" t="inlineStr">
        <is>
          <t>SLB2023</t>
        </is>
      </c>
      <c r="B712" s="5" t="inlineStr">
        <is>
          <t>SLB</t>
        </is>
      </c>
      <c r="C712" s="5" t="inlineStr">
        <is>
          <t>SLB</t>
        </is>
      </c>
      <c r="D712" s="5" t="inlineStr">
        <is>
          <t>Solomon Islands</t>
        </is>
      </c>
      <c r="E712" s="5" t="n">
        <v>2023</v>
      </c>
      <c r="F712" s="5" t="n">
        <v>0</v>
      </c>
      <c r="G712" s="5" t="n">
        <v>5.77</v>
      </c>
      <c r="H712" s="5" t="n">
        <v>1.286</v>
      </c>
      <c r="I712" s="5" t="n">
        <v>0</v>
      </c>
      <c r="J712" s="5" t="n">
        <v>5.77</v>
      </c>
      <c r="K712" s="5" t="n">
        <v>0</v>
      </c>
      <c r="L712" s="5" t="n">
        <v>1</v>
      </c>
      <c r="M712" s="5" t="n">
        <v>7.886</v>
      </c>
      <c r="N712" s="5" t="n">
        <v>3.857</v>
      </c>
      <c r="O712" s="5" t="n">
        <v>0</v>
      </c>
      <c r="P712" s="5" t="n">
        <v>7.886</v>
      </c>
      <c r="Q712" s="5" t="n">
        <v>0</v>
      </c>
      <c r="R712" s="5" t="n">
        <v>1</v>
      </c>
      <c r="S712" s="5" t="n">
        <v>12.198</v>
      </c>
      <c r="T712" s="5" t="n">
        <v>7.714</v>
      </c>
      <c r="U712" s="5" t="n">
        <v>0</v>
      </c>
      <c r="V712" s="5" t="n">
        <v>12.198</v>
      </c>
      <c r="W712" s="5" t="n">
        <v>0</v>
      </c>
      <c r="X712" s="5" t="n">
        <v>1</v>
      </c>
      <c r="Y712" s="5" t="n">
        <v>6.832</v>
      </c>
      <c r="Z712" s="5" t="n">
        <v>0.843</v>
      </c>
      <c r="AA712" s="5" t="n">
        <v>0</v>
      </c>
      <c r="AB712" s="5" t="n">
        <v>6.832</v>
      </c>
      <c r="AC712" s="5" t="n">
        <v>0</v>
      </c>
      <c r="AD712" s="5" t="n">
        <v>1</v>
      </c>
      <c r="AE712" s="5" t="n">
        <v>8.118</v>
      </c>
      <c r="AF712" s="5" t="n">
        <v>1.77</v>
      </c>
      <c r="AG712" s="5" t="n">
        <v>0</v>
      </c>
      <c r="AH712" s="5" t="n">
        <v>8.118</v>
      </c>
      <c r="AI712" s="5" t="n">
        <v>0</v>
      </c>
      <c r="AJ712" s="5" t="n">
        <v>1</v>
      </c>
      <c r="AK712" s="5" t="n">
        <v>15.832</v>
      </c>
      <c r="AL712" s="5" t="n">
        <v>8.215</v>
      </c>
      <c r="AM712" s="5" t="n">
        <v>0</v>
      </c>
      <c r="AN712" s="5" t="n">
        <v>15.832</v>
      </c>
      <c r="AO712" s="5" t="n">
        <v>0</v>
      </c>
      <c r="AP712" s="5" t="n">
        <v>1</v>
      </c>
      <c r="AQ712" s="5" t="n">
        <v>0.749</v>
      </c>
      <c r="AR712" s="5" t="n">
        <v>0.129</v>
      </c>
      <c r="AS712" s="5" t="n">
        <v>0</v>
      </c>
      <c r="AT712" s="5" t="n">
        <v>0.749</v>
      </c>
      <c r="AU712" s="5" t="n">
        <v>0</v>
      </c>
      <c r="AV712" s="5" t="n">
        <v>1</v>
      </c>
      <c r="AW712" s="5" t="n">
        <v>0.783</v>
      </c>
      <c r="AX712" s="5" t="n">
        <v>0.129</v>
      </c>
      <c r="AY712" s="5" t="n">
        <v>0</v>
      </c>
      <c r="AZ712" s="5" t="n">
        <v>0.783</v>
      </c>
      <c r="BA712" s="5" t="n">
        <v>0</v>
      </c>
      <c r="BB712" s="5" t="n">
        <v>1</v>
      </c>
      <c r="BC712" s="5" t="n">
        <v>0.527</v>
      </c>
      <c r="BD712" s="5" t="n">
        <v>0.129</v>
      </c>
      <c r="BE712" s="5" t="n">
        <v>0</v>
      </c>
      <c r="BF712" s="5" t="n">
        <v>0.527</v>
      </c>
      <c r="BG712" s="5" t="n">
        <v>0</v>
      </c>
      <c r="BH712" s="5" t="n">
        <v>1</v>
      </c>
      <c r="BI712" s="5" t="n">
        <v>0.64</v>
      </c>
      <c r="BJ712" s="5" t="n">
        <v>0.129</v>
      </c>
      <c r="BK712" s="5" t="n">
        <v>0</v>
      </c>
      <c r="BL712" s="5" t="n">
        <v>0.64</v>
      </c>
      <c r="BM712" s="5" t="n">
        <v>0</v>
      </c>
      <c r="BN712" s="5" t="n">
        <v>1</v>
      </c>
      <c r="BO712" s="5" t="n">
        <v>0</v>
      </c>
      <c r="BP712" s="5" t="n">
        <v>0</v>
      </c>
      <c r="BQ712" s="5" t="n">
        <v>0</v>
      </c>
      <c r="BR712" s="5" t="n">
        <v>0</v>
      </c>
      <c r="BS712" s="5" t="n">
        <v>1</v>
      </c>
      <c r="BT712" s="5" t="n">
        <v>0</v>
      </c>
      <c r="BU712" s="5" t="n">
        <v>0</v>
      </c>
      <c r="BV712" s="5" t="n">
        <v>0</v>
      </c>
      <c r="BW712" s="5" t="n">
        <v>0</v>
      </c>
      <c r="BX712" s="5" t="n">
        <v>1</v>
      </c>
      <c r="BY712" s="5" t="n">
        <v>13.254</v>
      </c>
      <c r="BZ712" s="5" t="n">
        <v>0</v>
      </c>
      <c r="CA712" s="5" t="n">
        <v>13.254</v>
      </c>
      <c r="CB712" s="5" t="n">
        <v>0</v>
      </c>
      <c r="CC712" s="5" t="n">
        <v>87.07899999999999</v>
      </c>
      <c r="CD712" s="5" t="n">
        <v>7.95</v>
      </c>
      <c r="CE712" s="5" t="n">
        <v>0</v>
      </c>
      <c r="CF712" s="5" t="n">
        <v>87.07899999999999</v>
      </c>
      <c r="CG712" s="5" t="n">
        <v>0</v>
      </c>
      <c r="CH712" s="5" t="n">
        <v>1</v>
      </c>
      <c r="CI712" s="5" t="n">
        <v>0</v>
      </c>
      <c r="CJ712" s="5" t="n">
        <v>0</v>
      </c>
      <c r="CK712" s="5" t="n">
        <v>0</v>
      </c>
      <c r="CL712" s="5" t="n">
        <v>0</v>
      </c>
      <c r="CM712" s="5" t="n">
        <v>0</v>
      </c>
      <c r="CN712" s="5" t="n">
        <v>0</v>
      </c>
      <c r="CO712" s="5" t="n">
        <v>0</v>
      </c>
      <c r="CP712" s="5" t="n">
        <v>0</v>
      </c>
      <c r="CQ712" s="5" t="n">
        <v>1.348</v>
      </c>
      <c r="CR712" s="5" t="n">
        <v>0</v>
      </c>
      <c r="CS712" s="5" t="n">
        <v>5.37</v>
      </c>
      <c r="CT712" s="5" t="n">
        <v>4.484</v>
      </c>
      <c r="CU712" s="5" t="n">
        <v>12.529</v>
      </c>
    </row>
    <row r="713">
      <c r="A713" s="5" t="inlineStr">
        <is>
          <t>SLB2024</t>
        </is>
      </c>
      <c r="B713" s="5" t="inlineStr">
        <is>
          <t>SLB</t>
        </is>
      </c>
      <c r="C713" s="5" t="inlineStr">
        <is>
          <t>SLB</t>
        </is>
      </c>
      <c r="D713" s="5" t="inlineStr">
        <is>
          <t>Solomon Islands</t>
        </is>
      </c>
      <c r="E713" s="5" t="n">
        <v>2024</v>
      </c>
      <c r="F713" s="5" t="n">
        <v>0</v>
      </c>
      <c r="G713" s="5" t="n">
        <v>4.833</v>
      </c>
      <c r="H713" s="5" t="n">
        <v>1.324</v>
      </c>
      <c r="I713" s="5" t="n">
        <v>0</v>
      </c>
      <c r="J713" s="5" t="n">
        <v>4.833</v>
      </c>
      <c r="K713" s="5" t="n">
        <v>0</v>
      </c>
      <c r="L713" s="5" t="n">
        <v>1</v>
      </c>
      <c r="M713" s="5" t="n">
        <v>7.124</v>
      </c>
      <c r="N713" s="5" t="n">
        <v>3.971</v>
      </c>
      <c r="O713" s="5" t="n">
        <v>0</v>
      </c>
      <c r="P713" s="5" t="n">
        <v>7.124</v>
      </c>
      <c r="Q713" s="5" t="n">
        <v>0</v>
      </c>
      <c r="R713" s="5" t="n">
        <v>1</v>
      </c>
      <c r="S713" s="5" t="n">
        <v>11.451</v>
      </c>
      <c r="T713" s="5" t="n">
        <v>7.942</v>
      </c>
      <c r="U713" s="5" t="n">
        <v>0</v>
      </c>
      <c r="V713" s="5" t="n">
        <v>11.451</v>
      </c>
      <c r="W713" s="5" t="n">
        <v>0</v>
      </c>
      <c r="X713" s="5" t="n">
        <v>1</v>
      </c>
      <c r="Y713" s="5" t="n">
        <v>6.934</v>
      </c>
      <c r="Z713" s="5" t="n">
        <v>0.856</v>
      </c>
      <c r="AA713" s="5" t="n">
        <v>0</v>
      </c>
      <c r="AB713" s="5" t="n">
        <v>6.934</v>
      </c>
      <c r="AC713" s="5" t="n">
        <v>0</v>
      </c>
      <c r="AD713" s="5" t="n">
        <v>1</v>
      </c>
      <c r="AE713" s="5" t="n">
        <v>8.257</v>
      </c>
      <c r="AF713" s="5" t="n">
        <v>1.8</v>
      </c>
      <c r="AG713" s="5" t="n">
        <v>0</v>
      </c>
      <c r="AH713" s="5" t="n">
        <v>8.257</v>
      </c>
      <c r="AI713" s="5" t="n">
        <v>0</v>
      </c>
      <c r="AJ713" s="5" t="n">
        <v>1</v>
      </c>
      <c r="AK713" s="5" t="n">
        <v>16.199</v>
      </c>
      <c r="AL713" s="5" t="n">
        <v>8.404999999999999</v>
      </c>
      <c r="AM713" s="5" t="n">
        <v>0</v>
      </c>
      <c r="AN713" s="5" t="n">
        <v>16.199</v>
      </c>
      <c r="AO713" s="5" t="n">
        <v>0</v>
      </c>
      <c r="AP713" s="5" t="n">
        <v>1</v>
      </c>
      <c r="AQ713" s="5" t="n">
        <v>0.72</v>
      </c>
      <c r="AR713" s="5" t="n">
        <v>0.132</v>
      </c>
      <c r="AS713" s="5" t="n">
        <v>0</v>
      </c>
      <c r="AT713" s="5" t="n">
        <v>0.72</v>
      </c>
      <c r="AU713" s="5" t="n">
        <v>0</v>
      </c>
      <c r="AV713" s="5" t="n">
        <v>1</v>
      </c>
      <c r="AW713" s="5" t="n">
        <v>0.734</v>
      </c>
      <c r="AX713" s="5" t="n">
        <v>0.132</v>
      </c>
      <c r="AY713" s="5" t="n">
        <v>0</v>
      </c>
      <c r="AZ713" s="5" t="n">
        <v>0.734</v>
      </c>
      <c r="BA713" s="5" t="n">
        <v>0</v>
      </c>
      <c r="BB713" s="5" t="n">
        <v>1</v>
      </c>
      <c r="BC713" s="5" t="n">
        <v>0.51</v>
      </c>
      <c r="BD713" s="5" t="n">
        <v>0.132</v>
      </c>
      <c r="BE713" s="5" t="n">
        <v>0</v>
      </c>
      <c r="BF713" s="5" t="n">
        <v>0.51</v>
      </c>
      <c r="BG713" s="5" t="n">
        <v>0</v>
      </c>
      <c r="BH713" s="5" t="n">
        <v>1</v>
      </c>
      <c r="BI713" s="5" t="n">
        <v>0.652</v>
      </c>
      <c r="BJ713" s="5" t="n">
        <v>0.132</v>
      </c>
      <c r="BK713" s="5" t="n">
        <v>0</v>
      </c>
      <c r="BL713" s="5" t="n">
        <v>0.652</v>
      </c>
      <c r="BM713" s="5" t="n">
        <v>0</v>
      </c>
      <c r="BN713" s="5" t="n">
        <v>1</v>
      </c>
      <c r="BO713" s="5" t="n">
        <v>0</v>
      </c>
      <c r="BP713" s="5" t="n">
        <v>0</v>
      </c>
      <c r="BQ713" s="5" t="n">
        <v>0</v>
      </c>
      <c r="BR713" s="5" t="n">
        <v>0</v>
      </c>
      <c r="BS713" s="5" t="n">
        <v>1</v>
      </c>
      <c r="BT713" s="5" t="n">
        <v>0</v>
      </c>
      <c r="BU713" s="5" t="n">
        <v>0</v>
      </c>
      <c r="BV713" s="5" t="n">
        <v>0</v>
      </c>
      <c r="BW713" s="5" t="n">
        <v>0</v>
      </c>
      <c r="BX713" s="5" t="n">
        <v>1</v>
      </c>
      <c r="BY713" s="5" t="n">
        <v>13.646</v>
      </c>
      <c r="BZ713" s="5" t="n">
        <v>0</v>
      </c>
      <c r="CA713" s="5" t="n">
        <v>13.646</v>
      </c>
      <c r="CB713" s="5" t="n">
        <v>0</v>
      </c>
      <c r="CC713" s="5" t="n">
        <v>86.38500000000001</v>
      </c>
      <c r="CD713" s="5" t="n">
        <v>7.95</v>
      </c>
      <c r="CE713" s="5" t="n">
        <v>0</v>
      </c>
      <c r="CF713" s="5" t="n">
        <v>86.38500000000001</v>
      </c>
      <c r="CG713" s="5" t="n">
        <v>0</v>
      </c>
      <c r="CH713" s="5" t="n">
        <v>1</v>
      </c>
      <c r="CI713" s="5" t="n">
        <v>0</v>
      </c>
      <c r="CJ713" s="5" t="n">
        <v>0</v>
      </c>
      <c r="CK713" s="5" t="n">
        <v>0</v>
      </c>
      <c r="CL713" s="5" t="n">
        <v>0</v>
      </c>
      <c r="CM713" s="5" t="n">
        <v>0</v>
      </c>
      <c r="CN713" s="5" t="n">
        <v>0</v>
      </c>
      <c r="CO713" s="5" t="n">
        <v>0</v>
      </c>
      <c r="CP713" s="5" t="n">
        <v>0</v>
      </c>
      <c r="CQ713" s="5" t="n">
        <v>1.387</v>
      </c>
      <c r="CR713" s="5" t="n">
        <v>0</v>
      </c>
      <c r="CS713" s="5" t="n">
        <v>5.529</v>
      </c>
      <c r="CT713" s="5" t="n">
        <v>3.509</v>
      </c>
      <c r="CU713" s="5" t="n">
        <v>10.896</v>
      </c>
    </row>
    <row r="714">
      <c r="A714" s="5" t="inlineStr">
        <is>
          <t>SOM2021</t>
        </is>
      </c>
      <c r="B714" s="5" t="inlineStr">
        <is>
          <t>SOM</t>
        </is>
      </c>
      <c r="C714" s="5" t="inlineStr">
        <is>
          <t>SOM</t>
        </is>
      </c>
      <c r="D714" s="5" t="inlineStr">
        <is>
          <t>Somalia</t>
        </is>
      </c>
      <c r="E714" s="5" t="n">
        <v>2021</v>
      </c>
      <c r="F714" s="5" t="n">
        <v>0</v>
      </c>
      <c r="G714" s="5" t="n">
        <v>5.897</v>
      </c>
      <c r="H714" s="5" t="n">
        <v>1.143</v>
      </c>
      <c r="I714" s="5" t="n">
        <v>0</v>
      </c>
      <c r="J714" s="5" t="n">
        <v>5.897</v>
      </c>
      <c r="K714" s="5" t="n">
        <v>0</v>
      </c>
      <c r="L714" s="5" t="n">
        <v>1</v>
      </c>
      <c r="M714" s="5" t="n">
        <v>7.964</v>
      </c>
      <c r="N714" s="5" t="n">
        <v>3.43</v>
      </c>
      <c r="O714" s="5" t="n">
        <v>0</v>
      </c>
      <c r="P714" s="5" t="n">
        <v>7.964</v>
      </c>
      <c r="Q714" s="5" t="n">
        <v>0</v>
      </c>
      <c r="R714" s="5" t="n">
        <v>1</v>
      </c>
      <c r="S714" s="5" t="n">
        <v>11.613</v>
      </c>
      <c r="T714" s="5" t="n">
        <v>6.86</v>
      </c>
      <c r="U714" s="5" t="n">
        <v>0</v>
      </c>
      <c r="V714" s="5" t="n">
        <v>11.613</v>
      </c>
      <c r="W714" s="5" t="n">
        <v>0</v>
      </c>
      <c r="X714" s="5" t="n">
        <v>1</v>
      </c>
      <c r="Y714" s="5" t="n">
        <v>16.305</v>
      </c>
      <c r="Z714" s="5" t="n">
        <v>2.204</v>
      </c>
      <c r="AA714" s="5" t="n">
        <v>0</v>
      </c>
      <c r="AB714" s="5" t="n">
        <v>16.305</v>
      </c>
      <c r="AC714" s="5" t="n">
        <v>0</v>
      </c>
      <c r="AD714" s="5" t="n">
        <v>1</v>
      </c>
      <c r="AE714" s="5" t="n">
        <v>17.449</v>
      </c>
      <c r="AF714" s="5" t="n">
        <v>4.08</v>
      </c>
      <c r="AG714" s="5" t="n">
        <v>0</v>
      </c>
      <c r="AH714" s="5" t="n">
        <v>17.449</v>
      </c>
      <c r="AI714" s="5" t="n">
        <v>0</v>
      </c>
      <c r="AJ714" s="5" t="n">
        <v>1</v>
      </c>
      <c r="AK714" s="5" t="n">
        <v>24.309</v>
      </c>
      <c r="AL714" s="5" t="n">
        <v>12.947</v>
      </c>
      <c r="AM714" s="5" t="n">
        <v>0</v>
      </c>
      <c r="AN714" s="5" t="n">
        <v>24.309</v>
      </c>
      <c r="AO714" s="5" t="n">
        <v>0</v>
      </c>
      <c r="AP714" s="5" t="n">
        <v>1</v>
      </c>
      <c r="AQ714" s="5" t="n">
        <v>0.619</v>
      </c>
      <c r="AR714" s="5" t="n">
        <v>0.114</v>
      </c>
      <c r="AS714" s="5" t="n">
        <v>0.287</v>
      </c>
      <c r="AT714" s="5" t="n">
        <v>0.906</v>
      </c>
      <c r="AU714" s="5" t="n">
        <v>0</v>
      </c>
      <c r="AV714" s="5" t="n">
        <v>1</v>
      </c>
      <c r="AW714" s="5" t="n">
        <v>0.599</v>
      </c>
      <c r="AX714" s="5" t="n">
        <v>0.114</v>
      </c>
      <c r="AY714" s="5" t="n">
        <v>0.016</v>
      </c>
      <c r="AZ714" s="5" t="n">
        <v>0.616</v>
      </c>
      <c r="BA714" s="5" t="n">
        <v>0</v>
      </c>
      <c r="BB714" s="5" t="n">
        <v>0</v>
      </c>
      <c r="BC714" s="5" t="n">
        <v>0.439</v>
      </c>
      <c r="BD714" s="5" t="n">
        <v>0.114</v>
      </c>
      <c r="BE714" s="5" t="n">
        <v>0</v>
      </c>
      <c r="BF714" s="5" t="n">
        <v>0.439</v>
      </c>
      <c r="BG714" s="5" t="n">
        <v>0</v>
      </c>
      <c r="BH714" s="5" t="n">
        <v>1</v>
      </c>
      <c r="BI714" s="5" t="n">
        <v>0.505</v>
      </c>
      <c r="BJ714" s="5" t="n">
        <v>0.114</v>
      </c>
      <c r="BK714" s="5" t="n">
        <v>0.531</v>
      </c>
      <c r="BL714" s="5" t="n">
        <v>1.036</v>
      </c>
      <c r="BM714" s="5" t="n">
        <v>0</v>
      </c>
      <c r="BN714" s="5" t="n">
        <v>1</v>
      </c>
      <c r="BO714" s="5" t="n">
        <v>0</v>
      </c>
      <c r="BP714" s="5" t="n">
        <v>0</v>
      </c>
      <c r="BQ714" s="5" t="n">
        <v>0.079</v>
      </c>
      <c r="BR714" s="5" t="n">
        <v>0</v>
      </c>
      <c r="BS714" s="5" t="n">
        <v>0.667</v>
      </c>
      <c r="BT714" s="5" t="n">
        <v>0</v>
      </c>
      <c r="BU714" s="5" t="n">
        <v>0</v>
      </c>
      <c r="BV714" s="5" t="n">
        <v>0.079</v>
      </c>
      <c r="BW714" s="5" t="n">
        <v>0</v>
      </c>
      <c r="BX714" s="5" t="n">
        <v>0.667</v>
      </c>
      <c r="BY714" s="5" t="n">
        <v>11.787</v>
      </c>
      <c r="BZ714" s="5" t="n">
        <v>0</v>
      </c>
      <c r="CA714" s="5" t="n">
        <v>11.787</v>
      </c>
      <c r="CB714" s="5" t="n">
        <v>0</v>
      </c>
      <c r="CC714" s="5" t="n">
        <v>78.125</v>
      </c>
      <c r="CD714" s="5" t="n">
        <v>7.95</v>
      </c>
      <c r="CE714" s="5" t="n">
        <v>0</v>
      </c>
      <c r="CF714" s="5" t="n">
        <v>78.125</v>
      </c>
      <c r="CG714" s="5" t="n">
        <v>0</v>
      </c>
      <c r="CH714" s="5" t="n">
        <v>1</v>
      </c>
      <c r="CI714" s="5" t="n">
        <v>0</v>
      </c>
      <c r="CJ714" s="5" t="n">
        <v>0</v>
      </c>
      <c r="CK714" s="5" t="n">
        <v>0</v>
      </c>
      <c r="CL714" s="5" t="n">
        <v>0</v>
      </c>
      <c r="CM714" s="5" t="n">
        <v>0</v>
      </c>
      <c r="CN714" s="5" t="n">
        <v>0</v>
      </c>
      <c r="CO714" s="5" t="n">
        <v>0</v>
      </c>
      <c r="CP714" s="5" t="n">
        <v>0</v>
      </c>
      <c r="CQ714" s="5" t="n">
        <v>1.198</v>
      </c>
      <c r="CR714" s="5" t="n">
        <v>0</v>
      </c>
      <c r="CS714" s="5" t="n">
        <v>3.908</v>
      </c>
      <c r="CT714" s="5" t="n">
        <v>4.753</v>
      </c>
      <c r="CU714" s="5" t="n">
        <v>15.162</v>
      </c>
    </row>
    <row r="715">
      <c r="A715" s="5" t="inlineStr">
        <is>
          <t>SOM2022</t>
        </is>
      </c>
      <c r="B715" s="5" t="inlineStr">
        <is>
          <t>SOM</t>
        </is>
      </c>
      <c r="C715" s="5" t="inlineStr">
        <is>
          <t>SOM</t>
        </is>
      </c>
      <c r="D715" s="5" t="inlineStr">
        <is>
          <t>Somalia</t>
        </is>
      </c>
      <c r="E715" s="5" t="n">
        <v>2022</v>
      </c>
      <c r="F715" s="5" t="n">
        <v>0</v>
      </c>
      <c r="G715" s="5" t="n">
        <v>11.72</v>
      </c>
      <c r="H715" s="5" t="n">
        <v>1.235</v>
      </c>
      <c r="I715" s="5" t="n">
        <v>0</v>
      </c>
      <c r="J715" s="5" t="n">
        <v>11.72</v>
      </c>
      <c r="K715" s="5" t="n">
        <v>0</v>
      </c>
      <c r="L715" s="5" t="n">
        <v>1</v>
      </c>
      <c r="M715" s="5" t="n">
        <v>9.782999999999999</v>
      </c>
      <c r="N715" s="5" t="n">
        <v>3.704</v>
      </c>
      <c r="O715" s="5" t="n">
        <v>0</v>
      </c>
      <c r="P715" s="5" t="n">
        <v>9.782999999999999</v>
      </c>
      <c r="Q715" s="5" t="n">
        <v>0</v>
      </c>
      <c r="R715" s="5" t="n">
        <v>1</v>
      </c>
      <c r="S715" s="5" t="n">
        <v>17.893</v>
      </c>
      <c r="T715" s="5" t="n">
        <v>7.408</v>
      </c>
      <c r="U715" s="5" t="n">
        <v>0</v>
      </c>
      <c r="V715" s="5" t="n">
        <v>17.893</v>
      </c>
      <c r="W715" s="5" t="n">
        <v>0</v>
      </c>
      <c r="X715" s="5" t="n">
        <v>1</v>
      </c>
      <c r="Y715" s="5" t="n">
        <v>32.56</v>
      </c>
      <c r="Z715" s="5" t="n">
        <v>4.401</v>
      </c>
      <c r="AA715" s="5" t="n">
        <v>0</v>
      </c>
      <c r="AB715" s="5" t="n">
        <v>32.56</v>
      </c>
      <c r="AC715" s="5" t="n">
        <v>0</v>
      </c>
      <c r="AD715" s="5" t="n">
        <v>1</v>
      </c>
      <c r="AE715" s="5" t="n">
        <v>33.795</v>
      </c>
      <c r="AF715" s="5" t="n">
        <v>7.902</v>
      </c>
      <c r="AG715" s="5" t="n">
        <v>0</v>
      </c>
      <c r="AH715" s="5" t="n">
        <v>33.795</v>
      </c>
      <c r="AI715" s="5" t="n">
        <v>0</v>
      </c>
      <c r="AJ715" s="5" t="n">
        <v>1</v>
      </c>
      <c r="AK715" s="5" t="n">
        <v>41.203</v>
      </c>
      <c r="AL715" s="5" t="n">
        <v>21.945</v>
      </c>
      <c r="AM715" s="5" t="n">
        <v>0</v>
      </c>
      <c r="AN715" s="5" t="n">
        <v>41.203</v>
      </c>
      <c r="AO715" s="5" t="n">
        <v>0</v>
      </c>
      <c r="AP715" s="5" t="n">
        <v>1</v>
      </c>
      <c r="AQ715" s="5" t="n">
        <v>0.861</v>
      </c>
      <c r="AR715" s="5" t="n">
        <v>0.123</v>
      </c>
      <c r="AS715" s="5" t="n">
        <v>0.366</v>
      </c>
      <c r="AT715" s="5" t="n">
        <v>1.228</v>
      </c>
      <c r="AU715" s="5" t="n">
        <v>0</v>
      </c>
      <c r="AV715" s="5" t="n">
        <v>1</v>
      </c>
      <c r="AW715" s="5" t="n">
        <v>0.986</v>
      </c>
      <c r="AX715" s="5" t="n">
        <v>0.123</v>
      </c>
      <c r="AY715" s="5" t="n">
        <v>-0.389</v>
      </c>
      <c r="AZ715" s="5" t="n">
        <v>0.598</v>
      </c>
      <c r="BA715" s="5" t="n">
        <v>0</v>
      </c>
      <c r="BB715" s="5" t="n">
        <v>0</v>
      </c>
      <c r="BC715" s="5" t="n">
        <v>0.598</v>
      </c>
      <c r="BD715" s="5" t="n">
        <v>0.123</v>
      </c>
      <c r="BE715" s="5" t="n">
        <v>0</v>
      </c>
      <c r="BF715" s="5" t="n">
        <v>0.598</v>
      </c>
      <c r="BG715" s="5" t="n">
        <v>0</v>
      </c>
      <c r="BH715" s="5" t="n">
        <v>1</v>
      </c>
      <c r="BI715" s="5" t="n">
        <v>0.612</v>
      </c>
      <c r="BJ715" s="5" t="n">
        <v>0.123</v>
      </c>
      <c r="BK715" s="5" t="n">
        <v>0.393</v>
      </c>
      <c r="BL715" s="5" t="n">
        <v>1.005</v>
      </c>
      <c r="BM715" s="5" t="n">
        <v>0</v>
      </c>
      <c r="BN715" s="5" t="n">
        <v>1</v>
      </c>
      <c r="BO715" s="5" t="n">
        <v>0</v>
      </c>
      <c r="BP715" s="5" t="n">
        <v>0</v>
      </c>
      <c r="BQ715" s="5" t="n">
        <v>0.079</v>
      </c>
      <c r="BR715" s="5" t="n">
        <v>0</v>
      </c>
      <c r="BS715" s="5" t="n">
        <v>0.667</v>
      </c>
      <c r="BT715" s="5" t="n">
        <v>0</v>
      </c>
      <c r="BU715" s="5" t="n">
        <v>0</v>
      </c>
      <c r="BV715" s="5" t="n">
        <v>0.079</v>
      </c>
      <c r="BW715" s="5" t="n">
        <v>0</v>
      </c>
      <c r="BX715" s="5" t="n">
        <v>0.667</v>
      </c>
      <c r="BY715" s="5" t="n">
        <v>12.729</v>
      </c>
      <c r="BZ715" s="5" t="n">
        <v>0</v>
      </c>
      <c r="CA715" s="5" t="n">
        <v>12.729</v>
      </c>
      <c r="CB715" s="5" t="n">
        <v>0</v>
      </c>
      <c r="CC715" s="5" t="n">
        <v>97.90000000000001</v>
      </c>
      <c r="CD715" s="5" t="n">
        <v>7.95</v>
      </c>
      <c r="CE715" s="5" t="n">
        <v>0</v>
      </c>
      <c r="CF715" s="5" t="n">
        <v>97.90000000000001</v>
      </c>
      <c r="CG715" s="5" t="n">
        <v>0</v>
      </c>
      <c r="CH715" s="5" t="n">
        <v>1</v>
      </c>
      <c r="CI715" s="5" t="n">
        <v>0</v>
      </c>
      <c r="CJ715" s="5" t="n">
        <v>0</v>
      </c>
      <c r="CK715" s="5" t="n">
        <v>0</v>
      </c>
      <c r="CL715" s="5" t="n">
        <v>0</v>
      </c>
      <c r="CM715" s="5" t="n">
        <v>0</v>
      </c>
      <c r="CN715" s="5" t="n">
        <v>0</v>
      </c>
      <c r="CO715" s="5" t="n">
        <v>0</v>
      </c>
      <c r="CP715" s="5" t="n">
        <v>0</v>
      </c>
      <c r="CQ715" s="5" t="n">
        <v>1.294</v>
      </c>
      <c r="CR715" s="5" t="n">
        <v>0</v>
      </c>
      <c r="CS715" s="5" t="n">
        <v>4.221</v>
      </c>
      <c r="CT715" s="5" t="n">
        <v>10.485</v>
      </c>
      <c r="CU715" s="5" t="n">
        <v>31.326</v>
      </c>
    </row>
    <row r="716">
      <c r="A716" s="5" t="inlineStr">
        <is>
          <t>SOM2023</t>
        </is>
      </c>
      <c r="B716" s="5" t="inlineStr">
        <is>
          <t>SOM</t>
        </is>
      </c>
      <c r="C716" s="5" t="inlineStr">
        <is>
          <t>SOM</t>
        </is>
      </c>
      <c r="D716" s="5" t="inlineStr">
        <is>
          <t>Somalia</t>
        </is>
      </c>
      <c r="E716" s="5" t="n">
        <v>2023</v>
      </c>
      <c r="F716" s="5" t="n">
        <v>0</v>
      </c>
      <c r="G716" s="5" t="n">
        <v>6.147</v>
      </c>
      <c r="H716" s="5" t="n">
        <v>1.286</v>
      </c>
      <c r="I716" s="5" t="n">
        <v>0</v>
      </c>
      <c r="J716" s="5" t="n">
        <v>6.147</v>
      </c>
      <c r="K716" s="5" t="n">
        <v>0</v>
      </c>
      <c r="L716" s="5" t="n">
        <v>1</v>
      </c>
      <c r="M716" s="5" t="n">
        <v>7.886</v>
      </c>
      <c r="N716" s="5" t="n">
        <v>3.857</v>
      </c>
      <c r="O716" s="5" t="n">
        <v>0</v>
      </c>
      <c r="P716" s="5" t="n">
        <v>7.886</v>
      </c>
      <c r="Q716" s="5" t="n">
        <v>0</v>
      </c>
      <c r="R716" s="5" t="n">
        <v>1</v>
      </c>
      <c r="S716" s="5" t="n">
        <v>12.575</v>
      </c>
      <c r="T716" s="5" t="n">
        <v>7.714</v>
      </c>
      <c r="U716" s="5" t="n">
        <v>0</v>
      </c>
      <c r="V716" s="5" t="n">
        <v>12.575</v>
      </c>
      <c r="W716" s="5" t="n">
        <v>0</v>
      </c>
      <c r="X716" s="5" t="n">
        <v>1</v>
      </c>
      <c r="Y716" s="5" t="n">
        <v>12.908</v>
      </c>
      <c r="Z716" s="5" t="n">
        <v>1.745</v>
      </c>
      <c r="AA716" s="5" t="n">
        <v>0</v>
      </c>
      <c r="AB716" s="5" t="n">
        <v>12.908</v>
      </c>
      <c r="AC716" s="5" t="n">
        <v>0</v>
      </c>
      <c r="AD716" s="5" t="n">
        <v>1</v>
      </c>
      <c r="AE716" s="5" t="n">
        <v>14.194</v>
      </c>
      <c r="AF716" s="5" t="n">
        <v>3.319</v>
      </c>
      <c r="AG716" s="5" t="n">
        <v>0</v>
      </c>
      <c r="AH716" s="5" t="n">
        <v>14.194</v>
      </c>
      <c r="AI716" s="5" t="n">
        <v>0</v>
      </c>
      <c r="AJ716" s="5" t="n">
        <v>1</v>
      </c>
      <c r="AK716" s="5" t="n">
        <v>21.908</v>
      </c>
      <c r="AL716" s="5" t="n">
        <v>11.668</v>
      </c>
      <c r="AM716" s="5" t="n">
        <v>0</v>
      </c>
      <c r="AN716" s="5" t="n">
        <v>21.908</v>
      </c>
      <c r="AO716" s="5" t="n">
        <v>0</v>
      </c>
      <c r="AP716" s="5" t="n">
        <v>1</v>
      </c>
      <c r="AQ716" s="5" t="n">
        <v>0.76</v>
      </c>
      <c r="AR716" s="5" t="n">
        <v>0.129</v>
      </c>
      <c r="AS716" s="5" t="n">
        <v>0.437</v>
      </c>
      <c r="AT716" s="5" t="n">
        <v>1.197</v>
      </c>
      <c r="AU716" s="5" t="n">
        <v>0</v>
      </c>
      <c r="AV716" s="5" t="n">
        <v>1</v>
      </c>
      <c r="AW716" s="5" t="n">
        <v>0.8110000000000001</v>
      </c>
      <c r="AX716" s="5" t="n">
        <v>0.129</v>
      </c>
      <c r="AY716" s="5" t="n">
        <v>-0.221</v>
      </c>
      <c r="AZ716" s="5" t="n">
        <v>0.59</v>
      </c>
      <c r="BA716" s="5" t="n">
        <v>0</v>
      </c>
      <c r="BB716" s="5" t="n">
        <v>0</v>
      </c>
      <c r="BC716" s="5" t="n">
        <v>0.535</v>
      </c>
      <c r="BD716" s="5" t="n">
        <v>0.129</v>
      </c>
      <c r="BE716" s="5" t="n">
        <v>0</v>
      </c>
      <c r="BF716" s="5" t="n">
        <v>0.535</v>
      </c>
      <c r="BG716" s="5" t="n">
        <v>0</v>
      </c>
      <c r="BH716" s="5" t="n">
        <v>1</v>
      </c>
      <c r="BI716" s="5" t="n">
        <v>0.579</v>
      </c>
      <c r="BJ716" s="5" t="n">
        <v>0.129</v>
      </c>
      <c r="BK716" s="5" t="n">
        <v>0.413</v>
      </c>
      <c r="BL716" s="5" t="n">
        <v>0.992</v>
      </c>
      <c r="BM716" s="5" t="n">
        <v>0</v>
      </c>
      <c r="BN716" s="5" t="n">
        <v>1</v>
      </c>
      <c r="BO716" s="5" t="n">
        <v>0</v>
      </c>
      <c r="BP716" s="5" t="n">
        <v>0</v>
      </c>
      <c r="BQ716" s="5" t="n">
        <v>0.08</v>
      </c>
      <c r="BR716" s="5" t="n">
        <v>0</v>
      </c>
      <c r="BS716" s="5" t="n">
        <v>0.667</v>
      </c>
      <c r="BT716" s="5" t="n">
        <v>0</v>
      </c>
      <c r="BU716" s="5" t="n">
        <v>0</v>
      </c>
      <c r="BV716" s="5" t="n">
        <v>0.08</v>
      </c>
      <c r="BW716" s="5" t="n">
        <v>0</v>
      </c>
      <c r="BX716" s="5" t="n">
        <v>0.667</v>
      </c>
      <c r="BY716" s="5" t="n">
        <v>13.254</v>
      </c>
      <c r="BZ716" s="5" t="n">
        <v>0</v>
      </c>
      <c r="CA716" s="5" t="n">
        <v>13.254</v>
      </c>
      <c r="CB716" s="5" t="n">
        <v>0</v>
      </c>
      <c r="CC716" s="5" t="n">
        <v>83.248</v>
      </c>
      <c r="CD716" s="5" t="n">
        <v>7.95</v>
      </c>
      <c r="CE716" s="5" t="n">
        <v>0</v>
      </c>
      <c r="CF716" s="5" t="n">
        <v>83.248</v>
      </c>
      <c r="CG716" s="5" t="n">
        <v>0</v>
      </c>
      <c r="CH716" s="5" t="n">
        <v>1</v>
      </c>
      <c r="CI716" s="5" t="n">
        <v>0</v>
      </c>
      <c r="CJ716" s="5" t="n">
        <v>0</v>
      </c>
      <c r="CK716" s="5" t="n">
        <v>0</v>
      </c>
      <c r="CL716" s="5" t="n">
        <v>0</v>
      </c>
      <c r="CM716" s="5" t="n">
        <v>0</v>
      </c>
      <c r="CN716" s="5" t="n">
        <v>0</v>
      </c>
      <c r="CO716" s="5" t="n">
        <v>0</v>
      </c>
      <c r="CP716" s="5" t="n">
        <v>0</v>
      </c>
      <c r="CQ716" s="5" t="n">
        <v>1.348</v>
      </c>
      <c r="CR716" s="5" t="n">
        <v>0</v>
      </c>
      <c r="CS716" s="5" t="n">
        <v>4.395</v>
      </c>
      <c r="CT716" s="5" t="n">
        <v>4.861</v>
      </c>
      <c r="CU716" s="5" t="n">
        <v>11.622</v>
      </c>
    </row>
    <row r="717">
      <c r="A717" s="5" t="inlineStr">
        <is>
          <t>SOM2024</t>
        </is>
      </c>
      <c r="B717" s="5" t="inlineStr">
        <is>
          <t>SOM</t>
        </is>
      </c>
      <c r="C717" s="5" t="inlineStr">
        <is>
          <t>SOM</t>
        </is>
      </c>
      <c r="D717" s="5" t="inlineStr">
        <is>
          <t>Somalia</t>
        </is>
      </c>
      <c r="E717" s="5" t="n">
        <v>2024</v>
      </c>
      <c r="F717" s="5" t="n">
        <v>0</v>
      </c>
      <c r="G717" s="5" t="n">
        <v>5.575</v>
      </c>
      <c r="H717" s="5" t="n">
        <v>1.324</v>
      </c>
      <c r="I717" s="5" t="n">
        <v>0</v>
      </c>
      <c r="J717" s="5" t="n">
        <v>5.575</v>
      </c>
      <c r="K717" s="5" t="n">
        <v>0</v>
      </c>
      <c r="L717" s="5" t="n">
        <v>1</v>
      </c>
      <c r="M717" s="5" t="n">
        <v>7.124</v>
      </c>
      <c r="N717" s="5" t="n">
        <v>3.971</v>
      </c>
      <c r="O717" s="5" t="n">
        <v>0</v>
      </c>
      <c r="P717" s="5" t="n">
        <v>7.124</v>
      </c>
      <c r="Q717" s="5" t="n">
        <v>0</v>
      </c>
      <c r="R717" s="5" t="n">
        <v>1</v>
      </c>
      <c r="S717" s="5" t="n">
        <v>12.193</v>
      </c>
      <c r="T717" s="5" t="n">
        <v>7.942</v>
      </c>
      <c r="U717" s="5" t="n">
        <v>0</v>
      </c>
      <c r="V717" s="5" t="n">
        <v>12.193</v>
      </c>
      <c r="W717" s="5" t="n">
        <v>0</v>
      </c>
      <c r="X717" s="5" t="n">
        <v>1</v>
      </c>
      <c r="Y717" s="5" t="n">
        <v>11.492</v>
      </c>
      <c r="Z717" s="5" t="n">
        <v>1.553</v>
      </c>
      <c r="AA717" s="5" t="n">
        <v>0</v>
      </c>
      <c r="AB717" s="5" t="n">
        <v>11.492</v>
      </c>
      <c r="AC717" s="5" t="n">
        <v>0</v>
      </c>
      <c r="AD717" s="5" t="n">
        <v>1</v>
      </c>
      <c r="AE717" s="5" t="n">
        <v>12.815</v>
      </c>
      <c r="AF717" s="5" t="n">
        <v>2.997</v>
      </c>
      <c r="AG717" s="5" t="n">
        <v>0</v>
      </c>
      <c r="AH717" s="5" t="n">
        <v>12.815</v>
      </c>
      <c r="AI717" s="5" t="n">
        <v>0</v>
      </c>
      <c r="AJ717" s="5" t="n">
        <v>1</v>
      </c>
      <c r="AK717" s="5" t="n">
        <v>20.757</v>
      </c>
      <c r="AL717" s="5" t="n">
        <v>11.055</v>
      </c>
      <c r="AM717" s="5" t="n">
        <v>0</v>
      </c>
      <c r="AN717" s="5" t="n">
        <v>20.757</v>
      </c>
      <c r="AO717" s="5" t="n">
        <v>0</v>
      </c>
      <c r="AP717" s="5" t="n">
        <v>1</v>
      </c>
      <c r="AQ717" s="5" t="n">
        <v>0.724</v>
      </c>
      <c r="AR717" s="5" t="n">
        <v>0.132</v>
      </c>
      <c r="AS717" s="5" t="n">
        <v>0.397</v>
      </c>
      <c r="AT717" s="5" t="n">
        <v>1.121</v>
      </c>
      <c r="AU717" s="5" t="n">
        <v>0</v>
      </c>
      <c r="AV717" s="5" t="n">
        <v>1</v>
      </c>
      <c r="AW717" s="5" t="n">
        <v>0.75</v>
      </c>
      <c r="AX717" s="5" t="n">
        <v>0.132</v>
      </c>
      <c r="AY717" s="5" t="n">
        <v>-0.18</v>
      </c>
      <c r="AZ717" s="5" t="n">
        <v>0.57</v>
      </c>
      <c r="BA717" s="5" t="n">
        <v>0</v>
      </c>
      <c r="BB717" s="5" t="n">
        <v>0</v>
      </c>
      <c r="BC717" s="5" t="n">
        <v>0.513</v>
      </c>
      <c r="BD717" s="5" t="n">
        <v>0.132</v>
      </c>
      <c r="BE717" s="5" t="n">
        <v>0</v>
      </c>
      <c r="BF717" s="5" t="n">
        <v>0.513</v>
      </c>
      <c r="BG717" s="5" t="n">
        <v>0</v>
      </c>
      <c r="BH717" s="5" t="n">
        <v>1</v>
      </c>
      <c r="BI717" s="5" t="n">
        <v>0.591</v>
      </c>
      <c r="BJ717" s="5" t="n">
        <v>0.132</v>
      </c>
      <c r="BK717" s="5" t="n">
        <v>0.368</v>
      </c>
      <c r="BL717" s="5" t="n">
        <v>0.959</v>
      </c>
      <c r="BM717" s="5" t="n">
        <v>0</v>
      </c>
      <c r="BN717" s="5" t="n">
        <v>1</v>
      </c>
      <c r="BO717" s="5" t="n">
        <v>0</v>
      </c>
      <c r="BP717" s="5" t="n">
        <v>0</v>
      </c>
      <c r="BQ717" s="5" t="n">
        <v>0.082</v>
      </c>
      <c r="BR717" s="5" t="n">
        <v>0</v>
      </c>
      <c r="BS717" s="5" t="n">
        <v>0.667</v>
      </c>
      <c r="BT717" s="5" t="n">
        <v>0</v>
      </c>
      <c r="BU717" s="5" t="n">
        <v>0</v>
      </c>
      <c r="BV717" s="5" t="n">
        <v>0.082</v>
      </c>
      <c r="BW717" s="5" t="n">
        <v>0</v>
      </c>
      <c r="BX717" s="5" t="n">
        <v>0.667</v>
      </c>
      <c r="BY717" s="5" t="n">
        <v>13.646</v>
      </c>
      <c r="BZ717" s="5" t="n">
        <v>0</v>
      </c>
      <c r="CA717" s="5" t="n">
        <v>13.646</v>
      </c>
      <c r="CB717" s="5" t="n">
        <v>0</v>
      </c>
      <c r="CC717" s="5" t="n">
        <v>82.58799999999999</v>
      </c>
      <c r="CD717" s="5" t="n">
        <v>7.95</v>
      </c>
      <c r="CE717" s="5" t="n">
        <v>0</v>
      </c>
      <c r="CF717" s="5" t="n">
        <v>82.58799999999999</v>
      </c>
      <c r="CG717" s="5" t="n">
        <v>0</v>
      </c>
      <c r="CH717" s="5" t="n">
        <v>1</v>
      </c>
      <c r="CI717" s="5" t="n">
        <v>0</v>
      </c>
      <c r="CJ717" s="5" t="n">
        <v>0</v>
      </c>
      <c r="CK717" s="5" t="n">
        <v>0</v>
      </c>
      <c r="CL717" s="5" t="n">
        <v>0</v>
      </c>
      <c r="CM717" s="5" t="n">
        <v>0</v>
      </c>
      <c r="CN717" s="5" t="n">
        <v>0</v>
      </c>
      <c r="CO717" s="5" t="n">
        <v>0</v>
      </c>
      <c r="CP717" s="5" t="n">
        <v>0</v>
      </c>
      <c r="CQ717" s="5" t="n">
        <v>1.387</v>
      </c>
      <c r="CR717" s="5" t="n">
        <v>0</v>
      </c>
      <c r="CS717" s="5" t="n">
        <v>4.525</v>
      </c>
      <c r="CT717" s="5" t="n">
        <v>4.251</v>
      </c>
      <c r="CU717" s="5" t="n">
        <v>10.168</v>
      </c>
    </row>
    <row r="718">
      <c r="A718" s="5" t="inlineStr">
        <is>
          <t>ZAF2021</t>
        </is>
      </c>
      <c r="B718" s="5" t="inlineStr">
        <is>
          <t>ZAF</t>
        </is>
      </c>
      <c r="C718" s="5" t="inlineStr">
        <is>
          <t>ZAF</t>
        </is>
      </c>
      <c r="D718" s="5" t="inlineStr">
        <is>
          <t>South Africa</t>
        </is>
      </c>
      <c r="E718" s="5" t="n">
        <v>2021</v>
      </c>
      <c r="F718" s="5" t="n">
        <v>0.15</v>
      </c>
      <c r="G718" s="5" t="n">
        <v>1.909</v>
      </c>
      <c r="H718" s="5" t="n">
        <v>0.583</v>
      </c>
      <c r="I718" s="5" t="n">
        <v>0.492</v>
      </c>
      <c r="J718" s="5" t="n">
        <v>2.401</v>
      </c>
      <c r="K718" s="5" t="n">
        <v>0</v>
      </c>
      <c r="L718" s="5" t="n">
        <v>1</v>
      </c>
      <c r="M718" s="5" t="n">
        <v>1.91</v>
      </c>
      <c r="N718" s="5" t="n">
        <v>0.583</v>
      </c>
      <c r="O718" s="5" t="n">
        <v>0.492</v>
      </c>
      <c r="P718" s="5" t="n">
        <v>2.402</v>
      </c>
      <c r="Q718" s="5" t="n">
        <v>0</v>
      </c>
      <c r="R718" s="5" t="n">
        <v>1</v>
      </c>
      <c r="S718" s="5" t="n">
        <v>4.242</v>
      </c>
      <c r="T718" s="5" t="n">
        <v>2.916</v>
      </c>
      <c r="U718" s="5" t="n">
        <v>0.492</v>
      </c>
      <c r="V718" s="5" t="n">
        <v>5.444</v>
      </c>
      <c r="W718" s="5" t="n">
        <v>0.15</v>
      </c>
      <c r="X718" s="5" t="n">
        <v>1</v>
      </c>
      <c r="Y718" s="5" t="n">
        <v>8.449</v>
      </c>
      <c r="Z718" s="5" t="n">
        <v>1.929</v>
      </c>
      <c r="AA718" s="5" t="n">
        <v>0.291</v>
      </c>
      <c r="AB718" s="5" t="n">
        <v>8.741</v>
      </c>
      <c r="AC718" s="5" t="n">
        <v>0</v>
      </c>
      <c r="AD718" s="5" t="n">
        <v>1</v>
      </c>
      <c r="AE718" s="5" t="n">
        <v>9.59</v>
      </c>
      <c r="AF718" s="5" t="n">
        <v>3.496</v>
      </c>
      <c r="AG718" s="5" t="n">
        <v>0.291</v>
      </c>
      <c r="AH718" s="5" t="n">
        <v>9.881</v>
      </c>
      <c r="AI718" s="5" t="n">
        <v>0</v>
      </c>
      <c r="AJ718" s="5" t="n">
        <v>1</v>
      </c>
      <c r="AK718" s="5" t="n">
        <v>16.434</v>
      </c>
      <c r="AL718" s="5" t="n">
        <v>11.189</v>
      </c>
      <c r="AM718" s="5" t="n">
        <v>0.291</v>
      </c>
      <c r="AN718" s="5" t="n">
        <v>19.234</v>
      </c>
      <c r="AO718" s="5" t="n">
        <v>0.15</v>
      </c>
      <c r="AP718" s="5" t="n">
        <v>1</v>
      </c>
      <c r="AQ718" s="5" t="n">
        <v>0.619</v>
      </c>
      <c r="AR718" s="5" t="n">
        <v>0.114</v>
      </c>
      <c r="AS718" s="5" t="n">
        <v>0.414</v>
      </c>
      <c r="AT718" s="5" t="n">
        <v>1.033</v>
      </c>
      <c r="AU718" s="5" t="n">
        <v>0</v>
      </c>
      <c r="AV718" s="5" t="n">
        <v>1</v>
      </c>
      <c r="AW718" s="5" t="n">
        <v>0.599</v>
      </c>
      <c r="AX718" s="5" t="n">
        <v>0.114</v>
      </c>
      <c r="AY718" s="5" t="n">
        <v>0.301</v>
      </c>
      <c r="AZ718" s="5" t="n">
        <v>0.9</v>
      </c>
      <c r="BA718" s="5" t="n">
        <v>0</v>
      </c>
      <c r="BB718" s="5" t="n">
        <v>1</v>
      </c>
      <c r="BC718" s="5" t="n">
        <v>0.439</v>
      </c>
      <c r="BD718" s="5" t="n">
        <v>0.114</v>
      </c>
      <c r="BE718" s="5" t="n">
        <v>0.398</v>
      </c>
      <c r="BF718" s="5" t="n">
        <v>0.963</v>
      </c>
      <c r="BG718" s="5" t="n">
        <v>0.15</v>
      </c>
      <c r="BH718" s="5" t="n">
        <v>1</v>
      </c>
      <c r="BI718" s="5" t="n">
        <v>0.505</v>
      </c>
      <c r="BJ718" s="5" t="n">
        <v>0.114</v>
      </c>
      <c r="BK718" s="5" t="n">
        <v>-0.061</v>
      </c>
      <c r="BL718" s="5" t="n">
        <v>0.51</v>
      </c>
      <c r="BM718" s="5" t="n">
        <v>0.15</v>
      </c>
      <c r="BN718" s="5" t="n">
        <v>1</v>
      </c>
      <c r="BO718" s="5" t="n">
        <v>0</v>
      </c>
      <c r="BP718" s="5" t="n">
        <v>-0.001</v>
      </c>
      <c r="BQ718" s="5" t="n">
        <v>0.049</v>
      </c>
      <c r="BR718" s="5" t="n">
        <v>0</v>
      </c>
      <c r="BS718" s="5" t="n">
        <v>1</v>
      </c>
      <c r="BT718" s="5" t="n">
        <v>0</v>
      </c>
      <c r="BU718" s="5" t="n">
        <v>-0.001</v>
      </c>
      <c r="BV718" s="5" t="n">
        <v>0.173</v>
      </c>
      <c r="BW718" s="5" t="n">
        <v>0.15</v>
      </c>
      <c r="BX718" s="5" t="n">
        <v>1</v>
      </c>
      <c r="BY718" s="5" t="n">
        <v>11.787</v>
      </c>
      <c r="BZ718" s="5" t="n">
        <v>0</v>
      </c>
      <c r="CA718" s="5" t="n">
        <v>11.787</v>
      </c>
      <c r="CB718" s="5" t="n">
        <v>0</v>
      </c>
      <c r="CC718" s="5" t="n">
        <v>78.125</v>
      </c>
      <c r="CD718" s="5" t="n">
        <v>7.95</v>
      </c>
      <c r="CE718" s="5" t="n">
        <v>7.269</v>
      </c>
      <c r="CF718" s="5" t="n">
        <v>98.203</v>
      </c>
      <c r="CG718" s="5" t="n">
        <v>0.15</v>
      </c>
      <c r="CH718" s="5" t="n">
        <v>1</v>
      </c>
      <c r="CI718" s="5" t="n">
        <v>0</v>
      </c>
      <c r="CJ718" s="5" t="n">
        <v>0</v>
      </c>
      <c r="CK718" s="5" t="n">
        <v>0</v>
      </c>
      <c r="CL718" s="5" t="n">
        <v>0</v>
      </c>
      <c r="CM718" s="5" t="n">
        <v>0</v>
      </c>
      <c r="CN718" s="5" t="n">
        <v>0</v>
      </c>
      <c r="CO718" s="5" t="n">
        <v>0</v>
      </c>
      <c r="CP718" s="5" t="n">
        <v>0.98</v>
      </c>
      <c r="CQ718" s="5" t="n">
        <v>1.25</v>
      </c>
      <c r="CR718" s="5" t="n">
        <v>0.005</v>
      </c>
      <c r="CS718" s="5" t="n">
        <v>7.309</v>
      </c>
      <c r="CT718" s="5" t="n">
        <v>4.998</v>
      </c>
      <c r="CU718" s="5" t="n">
        <v>7.309</v>
      </c>
    </row>
    <row r="719">
      <c r="A719" s="5" t="inlineStr">
        <is>
          <t>ZAF2022</t>
        </is>
      </c>
      <c r="B719" s="5" t="inlineStr">
        <is>
          <t>ZAF</t>
        </is>
      </c>
      <c r="C719" s="5" t="inlineStr">
        <is>
          <t>ZAF</t>
        </is>
      </c>
      <c r="D719" s="5" t="inlineStr">
        <is>
          <t>South Africa</t>
        </is>
      </c>
      <c r="E719" s="5" t="n">
        <v>2022</v>
      </c>
      <c r="F719" s="5" t="n">
        <v>0.15</v>
      </c>
      <c r="G719" s="5" t="n">
        <v>2.11</v>
      </c>
      <c r="H719" s="5" t="n">
        <v>0.626</v>
      </c>
      <c r="I719" s="5" t="n">
        <v>0.742</v>
      </c>
      <c r="J719" s="5" t="n">
        <v>2.852</v>
      </c>
      <c r="K719" s="5" t="n">
        <v>0</v>
      </c>
      <c r="L719" s="5" t="n">
        <v>1</v>
      </c>
      <c r="M719" s="5" t="n">
        <v>2.093</v>
      </c>
      <c r="N719" s="5" t="n">
        <v>0.626</v>
      </c>
      <c r="O719" s="5" t="n">
        <v>0.742</v>
      </c>
      <c r="P719" s="5" t="n">
        <v>2.835</v>
      </c>
      <c r="Q719" s="5" t="n">
        <v>0</v>
      </c>
      <c r="R719" s="5" t="n">
        <v>1</v>
      </c>
      <c r="S719" s="5" t="n">
        <v>4.614</v>
      </c>
      <c r="T719" s="5" t="n">
        <v>3.129</v>
      </c>
      <c r="U719" s="5" t="n">
        <v>0.801</v>
      </c>
      <c r="V719" s="5" t="n">
        <v>6.159</v>
      </c>
      <c r="W719" s="5" t="n">
        <v>0.15</v>
      </c>
      <c r="X719" s="5" t="n">
        <v>1</v>
      </c>
      <c r="Y719" s="5" t="n">
        <v>18.417</v>
      </c>
      <c r="Z719" s="5" t="n">
        <v>4.205</v>
      </c>
      <c r="AA719" s="5" t="n">
        <v>0.439</v>
      </c>
      <c r="AB719" s="5" t="n">
        <v>18.856</v>
      </c>
      <c r="AC719" s="5" t="n">
        <v>0</v>
      </c>
      <c r="AD719" s="5" t="n">
        <v>1</v>
      </c>
      <c r="AE719" s="5" t="n">
        <v>19.65</v>
      </c>
      <c r="AF719" s="5" t="n">
        <v>7.164</v>
      </c>
      <c r="AG719" s="5" t="n">
        <v>0.439</v>
      </c>
      <c r="AH719" s="5" t="n">
        <v>20.089</v>
      </c>
      <c r="AI719" s="5" t="n">
        <v>0</v>
      </c>
      <c r="AJ719" s="5" t="n">
        <v>1</v>
      </c>
      <c r="AK719" s="5" t="n">
        <v>27.046</v>
      </c>
      <c r="AL719" s="5" t="n">
        <v>18.413</v>
      </c>
      <c r="AM719" s="5" t="n">
        <v>0.744</v>
      </c>
      <c r="AN719" s="5" t="n">
        <v>31.608</v>
      </c>
      <c r="AO719" s="5" t="n">
        <v>0.15</v>
      </c>
      <c r="AP719" s="5" t="n">
        <v>1</v>
      </c>
      <c r="AQ719" s="5" t="n">
        <v>0.861</v>
      </c>
      <c r="AR719" s="5" t="n">
        <v>0.123</v>
      </c>
      <c r="AS719" s="5" t="n">
        <v>0.386</v>
      </c>
      <c r="AT719" s="5" t="n">
        <v>1.247</v>
      </c>
      <c r="AU719" s="5" t="n">
        <v>0</v>
      </c>
      <c r="AV719" s="5" t="n">
        <v>1</v>
      </c>
      <c r="AW719" s="5" t="n">
        <v>0.986</v>
      </c>
      <c r="AX719" s="5" t="n">
        <v>0.123</v>
      </c>
      <c r="AY719" s="5" t="n">
        <v>0.235</v>
      </c>
      <c r="AZ719" s="5" t="n">
        <v>1.221</v>
      </c>
      <c r="BA719" s="5" t="n">
        <v>0</v>
      </c>
      <c r="BB719" s="5" t="n">
        <v>1</v>
      </c>
      <c r="BC719" s="5" t="n">
        <v>0.598</v>
      </c>
      <c r="BD719" s="5" t="n">
        <v>0.123</v>
      </c>
      <c r="BE719" s="5" t="n">
        <v>0.425</v>
      </c>
      <c r="BF719" s="5" t="n">
        <v>1.164</v>
      </c>
      <c r="BG719" s="5" t="n">
        <v>0.15</v>
      </c>
      <c r="BH719" s="5" t="n">
        <v>1</v>
      </c>
      <c r="BI719" s="5" t="n">
        <v>0.612</v>
      </c>
      <c r="BJ719" s="5" t="n">
        <v>0.123</v>
      </c>
      <c r="BK719" s="5" t="n">
        <v>0.191</v>
      </c>
      <c r="BL719" s="5" t="n">
        <v>0.924</v>
      </c>
      <c r="BM719" s="5" t="n">
        <v>0.15</v>
      </c>
      <c r="BN719" s="5" t="n">
        <v>1</v>
      </c>
      <c r="BO719" s="5" t="n">
        <v>0</v>
      </c>
      <c r="BP719" s="5" t="n">
        <v>-0.032</v>
      </c>
      <c r="BQ719" s="5" t="n">
        <v>0.049</v>
      </c>
      <c r="BR719" s="5" t="n">
        <v>0</v>
      </c>
      <c r="BS719" s="5" t="n">
        <v>1</v>
      </c>
      <c r="BT719" s="5" t="n">
        <v>0</v>
      </c>
      <c r="BU719" s="5" t="n">
        <v>-0.032</v>
      </c>
      <c r="BV719" s="5" t="n">
        <v>0.17</v>
      </c>
      <c r="BW719" s="5" t="n">
        <v>0.15</v>
      </c>
      <c r="BX719" s="5" t="n">
        <v>1</v>
      </c>
      <c r="BY719" s="5" t="n">
        <v>12.729</v>
      </c>
      <c r="BZ719" s="5" t="n">
        <v>0</v>
      </c>
      <c r="CA719" s="5" t="n">
        <v>12.729</v>
      </c>
      <c r="CB719" s="5" t="n">
        <v>0</v>
      </c>
      <c r="CC719" s="5" t="n">
        <v>97.90000000000001</v>
      </c>
      <c r="CD719" s="5" t="n">
        <v>7.95</v>
      </c>
      <c r="CE719" s="5" t="n">
        <v>10.898</v>
      </c>
      <c r="CF719" s="5" t="n">
        <v>123.743</v>
      </c>
      <c r="CG719" s="5" t="n">
        <v>0.15</v>
      </c>
      <c r="CH719" s="5" t="n">
        <v>1</v>
      </c>
      <c r="CI719" s="5" t="n">
        <v>0</v>
      </c>
      <c r="CJ719" s="5" t="n">
        <v>0</v>
      </c>
      <c r="CK719" s="5" t="n">
        <v>0</v>
      </c>
      <c r="CL719" s="5" t="n">
        <v>0</v>
      </c>
      <c r="CM719" s="5" t="n">
        <v>0</v>
      </c>
      <c r="CN719" s="5" t="n">
        <v>0</v>
      </c>
      <c r="CO719" s="5" t="n">
        <v>0</v>
      </c>
      <c r="CP719" s="5" t="n">
        <v>0.986</v>
      </c>
      <c r="CQ719" s="5" t="n">
        <v>1.35</v>
      </c>
      <c r="CR719" s="5" t="n">
        <v>0.003</v>
      </c>
      <c r="CS719" s="5" t="n">
        <v>8.709</v>
      </c>
      <c r="CT719" s="5" t="n">
        <v>11.066</v>
      </c>
      <c r="CU719" s="5" t="n">
        <v>17.239</v>
      </c>
    </row>
    <row r="720">
      <c r="A720" s="5" t="inlineStr">
        <is>
          <t>ZAF2023</t>
        </is>
      </c>
      <c r="B720" s="5" t="inlineStr">
        <is>
          <t>ZAF</t>
        </is>
      </c>
      <c r="C720" s="5" t="inlineStr">
        <is>
          <t>ZAF</t>
        </is>
      </c>
      <c r="D720" s="5" t="inlineStr">
        <is>
          <t>South Africa</t>
        </is>
      </c>
      <c r="E720" s="5" t="n">
        <v>2023</v>
      </c>
      <c r="F720" s="5" t="n">
        <v>0.15</v>
      </c>
      <c r="G720" s="5" t="n">
        <v>2.123</v>
      </c>
      <c r="H720" s="5" t="n">
        <v>0.653</v>
      </c>
      <c r="I720" s="5" t="n">
        <v>0.701</v>
      </c>
      <c r="J720" s="5" t="n">
        <v>2.824</v>
      </c>
      <c r="K720" s="5" t="n">
        <v>0</v>
      </c>
      <c r="L720" s="5" t="n">
        <v>1</v>
      </c>
      <c r="M720" s="5" t="n">
        <v>2.12</v>
      </c>
      <c r="N720" s="5" t="n">
        <v>0.653</v>
      </c>
      <c r="O720" s="5" t="n">
        <v>0.701</v>
      </c>
      <c r="P720" s="5" t="n">
        <v>2.821</v>
      </c>
      <c r="Q720" s="5" t="n">
        <v>0</v>
      </c>
      <c r="R720" s="5" t="n">
        <v>1</v>
      </c>
      <c r="S720" s="5" t="n">
        <v>4.737</v>
      </c>
      <c r="T720" s="5" t="n">
        <v>3.267</v>
      </c>
      <c r="U720" s="5" t="n">
        <v>0.791</v>
      </c>
      <c r="V720" s="5" t="n">
        <v>6.253</v>
      </c>
      <c r="W720" s="5" t="n">
        <v>0.15</v>
      </c>
      <c r="X720" s="5" t="n">
        <v>1</v>
      </c>
      <c r="Y720" s="5" t="n">
        <v>7.192</v>
      </c>
      <c r="Z720" s="5" t="n">
        <v>1.642</v>
      </c>
      <c r="AA720" s="5" t="n">
        <v>0.414</v>
      </c>
      <c r="AB720" s="5" t="n">
        <v>7.606</v>
      </c>
      <c r="AC720" s="5" t="n">
        <v>0</v>
      </c>
      <c r="AD720" s="5" t="n">
        <v>1</v>
      </c>
      <c r="AE720" s="5" t="n">
        <v>8.476000000000001</v>
      </c>
      <c r="AF720" s="5" t="n">
        <v>3.09</v>
      </c>
      <c r="AG720" s="5" t="n">
        <v>0.414</v>
      </c>
      <c r="AH720" s="5" t="n">
        <v>8.890000000000001</v>
      </c>
      <c r="AI720" s="5" t="n">
        <v>0</v>
      </c>
      <c r="AJ720" s="5" t="n">
        <v>1</v>
      </c>
      <c r="AK720" s="5" t="n">
        <v>16.178</v>
      </c>
      <c r="AL720" s="5" t="n">
        <v>11.014</v>
      </c>
      <c r="AM720" s="5" t="n">
        <v>0.6899999999999999</v>
      </c>
      <c r="AN720" s="5" t="n">
        <v>19.082</v>
      </c>
      <c r="AO720" s="5" t="n">
        <v>0.15</v>
      </c>
      <c r="AP720" s="5" t="n">
        <v>1</v>
      </c>
      <c r="AQ720" s="5" t="n">
        <v>0.76</v>
      </c>
      <c r="AR720" s="5" t="n">
        <v>0.129</v>
      </c>
      <c r="AS720" s="5" t="n">
        <v>0.362</v>
      </c>
      <c r="AT720" s="5" t="n">
        <v>1.123</v>
      </c>
      <c r="AU720" s="5" t="n">
        <v>0</v>
      </c>
      <c r="AV720" s="5" t="n">
        <v>1</v>
      </c>
      <c r="AW720" s="5" t="n">
        <v>0.8110000000000001</v>
      </c>
      <c r="AX720" s="5" t="n">
        <v>0.129</v>
      </c>
      <c r="AY720" s="5" t="n">
        <v>0.231</v>
      </c>
      <c r="AZ720" s="5" t="n">
        <v>1.043</v>
      </c>
      <c r="BA720" s="5" t="n">
        <v>0</v>
      </c>
      <c r="BB720" s="5" t="n">
        <v>1</v>
      </c>
      <c r="BC720" s="5" t="n">
        <v>0.535</v>
      </c>
      <c r="BD720" s="5" t="n">
        <v>0.129</v>
      </c>
      <c r="BE720" s="5" t="n">
        <v>0.459</v>
      </c>
      <c r="BF720" s="5" t="n">
        <v>1.124</v>
      </c>
      <c r="BG720" s="5" t="n">
        <v>0.15</v>
      </c>
      <c r="BH720" s="5" t="n">
        <v>1</v>
      </c>
      <c r="BI720" s="5" t="n">
        <v>0.579</v>
      </c>
      <c r="BJ720" s="5" t="n">
        <v>0.129</v>
      </c>
      <c r="BK720" s="5" t="n">
        <v>0.102</v>
      </c>
      <c r="BL720" s="5" t="n">
        <v>0.783</v>
      </c>
      <c r="BM720" s="5" t="n">
        <v>0.15</v>
      </c>
      <c r="BN720" s="5" t="n">
        <v>1</v>
      </c>
      <c r="BO720" s="5" t="n">
        <v>0</v>
      </c>
      <c r="BP720" s="5" t="n">
        <v>0</v>
      </c>
      <c r="BQ720" s="5" t="n">
        <v>0.035</v>
      </c>
      <c r="BR720" s="5" t="n">
        <v>0</v>
      </c>
      <c r="BS720" s="5" t="n">
        <v>1</v>
      </c>
      <c r="BT720" s="5" t="n">
        <v>0</v>
      </c>
      <c r="BU720" s="5" t="n">
        <v>0</v>
      </c>
      <c r="BV720" s="5" t="n">
        <v>0.154</v>
      </c>
      <c r="BW720" s="5" t="n">
        <v>0.15</v>
      </c>
      <c r="BX720" s="5" t="n">
        <v>1</v>
      </c>
      <c r="BY720" s="5" t="n">
        <v>13.254</v>
      </c>
      <c r="BZ720" s="5" t="n">
        <v>0</v>
      </c>
      <c r="CA720" s="5" t="n">
        <v>13.254</v>
      </c>
      <c r="CB720" s="5" t="n">
        <v>0</v>
      </c>
      <c r="CC720" s="5" t="n">
        <v>83.248</v>
      </c>
      <c r="CD720" s="5" t="n">
        <v>7.95</v>
      </c>
      <c r="CE720" s="5" t="n">
        <v>9.856</v>
      </c>
      <c r="CF720" s="5" t="n">
        <v>105.321</v>
      </c>
      <c r="CG720" s="5" t="n">
        <v>0.15</v>
      </c>
      <c r="CH720" s="5" t="n">
        <v>1</v>
      </c>
      <c r="CI720" s="5" t="n">
        <v>0</v>
      </c>
      <c r="CJ720" s="5" t="n">
        <v>0</v>
      </c>
      <c r="CK720" s="5" t="n">
        <v>0</v>
      </c>
      <c r="CL720" s="5" t="n">
        <v>0</v>
      </c>
      <c r="CM720" s="5" t="n">
        <v>0</v>
      </c>
      <c r="CN720" s="5" t="n">
        <v>0</v>
      </c>
      <c r="CO720" s="5" t="n">
        <v>0</v>
      </c>
      <c r="CP720" s="5" t="n">
        <v>0.983</v>
      </c>
      <c r="CQ720" s="5" t="n">
        <v>1.406</v>
      </c>
      <c r="CR720" s="5" t="n">
        <v>0.003</v>
      </c>
      <c r="CS720" s="5" t="n">
        <v>5.919</v>
      </c>
      <c r="CT720" s="5" t="n">
        <v>5.267</v>
      </c>
      <c r="CU720" s="5" t="n">
        <v>5.919</v>
      </c>
    </row>
    <row r="721">
      <c r="A721" s="5" t="inlineStr">
        <is>
          <t>ZAF2024</t>
        </is>
      </c>
      <c r="B721" s="5" t="inlineStr">
        <is>
          <t>ZAF</t>
        </is>
      </c>
      <c r="C721" s="5" t="inlineStr">
        <is>
          <t>ZAF</t>
        </is>
      </c>
      <c r="D721" s="5" t="inlineStr">
        <is>
          <t>South Africa</t>
        </is>
      </c>
      <c r="E721" s="5" t="n">
        <v>2024</v>
      </c>
      <c r="F721" s="5" t="n">
        <v>0.15</v>
      </c>
      <c r="G721" s="5" t="n">
        <v>2.171</v>
      </c>
      <c r="H721" s="5" t="n">
        <v>0.673</v>
      </c>
      <c r="I721" s="5" t="n">
        <v>0.8159999999999999</v>
      </c>
      <c r="J721" s="5" t="n">
        <v>2.986</v>
      </c>
      <c r="K721" s="5" t="n">
        <v>0</v>
      </c>
      <c r="L721" s="5" t="n">
        <v>1</v>
      </c>
      <c r="M721" s="5" t="n">
        <v>2.167</v>
      </c>
      <c r="N721" s="5" t="n">
        <v>0.673</v>
      </c>
      <c r="O721" s="5" t="n">
        <v>0.8159999999999999</v>
      </c>
      <c r="P721" s="5" t="n">
        <v>2.983</v>
      </c>
      <c r="Q721" s="5" t="n">
        <v>0</v>
      </c>
      <c r="R721" s="5" t="n">
        <v>1</v>
      </c>
      <c r="S721" s="5" t="n">
        <v>4.862</v>
      </c>
      <c r="T721" s="5" t="n">
        <v>3.364</v>
      </c>
      <c r="U721" s="5" t="n">
        <v>0.9320000000000001</v>
      </c>
      <c r="V721" s="5" t="n">
        <v>6.529</v>
      </c>
      <c r="W721" s="5" t="n">
        <v>0.15</v>
      </c>
      <c r="X721" s="5" t="n">
        <v>1</v>
      </c>
      <c r="Y721" s="5" t="n">
        <v>6.32</v>
      </c>
      <c r="Z721" s="5" t="n">
        <v>1.443</v>
      </c>
      <c r="AA721" s="5" t="n">
        <v>0.482</v>
      </c>
      <c r="AB721" s="5" t="n">
        <v>6.802</v>
      </c>
      <c r="AC721" s="5" t="n">
        <v>0</v>
      </c>
      <c r="AD721" s="5" t="n">
        <v>1</v>
      </c>
      <c r="AE721" s="5" t="n">
        <v>7.641</v>
      </c>
      <c r="AF721" s="5" t="n">
        <v>2.786</v>
      </c>
      <c r="AG721" s="5" t="n">
        <v>0.482</v>
      </c>
      <c r="AH721" s="5" t="n">
        <v>8.124000000000001</v>
      </c>
      <c r="AI721" s="5" t="n">
        <v>0</v>
      </c>
      <c r="AJ721" s="5" t="n">
        <v>1</v>
      </c>
      <c r="AK721" s="5" t="n">
        <v>15.572</v>
      </c>
      <c r="AL721" s="5" t="n">
        <v>10.601</v>
      </c>
      <c r="AM721" s="5" t="n">
        <v>0.8100000000000001</v>
      </c>
      <c r="AN721" s="5" t="n">
        <v>18.462</v>
      </c>
      <c r="AO721" s="5" t="n">
        <v>0.15</v>
      </c>
      <c r="AP721" s="5" t="n">
        <v>1</v>
      </c>
      <c r="AQ721" s="5" t="n">
        <v>0.724</v>
      </c>
      <c r="AR721" s="5" t="n">
        <v>0.132</v>
      </c>
      <c r="AS721" s="5" t="n">
        <v>0.402</v>
      </c>
      <c r="AT721" s="5" t="n">
        <v>1.127</v>
      </c>
      <c r="AU721" s="5" t="n">
        <v>0</v>
      </c>
      <c r="AV721" s="5" t="n">
        <v>1</v>
      </c>
      <c r="AW721" s="5" t="n">
        <v>0.75</v>
      </c>
      <c r="AX721" s="5" t="n">
        <v>0.132</v>
      </c>
      <c r="AY721" s="5" t="n">
        <v>0.313</v>
      </c>
      <c r="AZ721" s="5" t="n">
        <v>1.063</v>
      </c>
      <c r="BA721" s="5" t="n">
        <v>0</v>
      </c>
      <c r="BB721" s="5" t="n">
        <v>1</v>
      </c>
      <c r="BC721" s="5" t="n">
        <v>0.513</v>
      </c>
      <c r="BD721" s="5" t="n">
        <v>0.132</v>
      </c>
      <c r="BE721" s="5" t="n">
        <v>0.481</v>
      </c>
      <c r="BF721" s="5" t="n">
        <v>1.12</v>
      </c>
      <c r="BG721" s="5" t="n">
        <v>0.15</v>
      </c>
      <c r="BH721" s="5" t="n">
        <v>1</v>
      </c>
      <c r="BI721" s="5" t="n">
        <v>0.591</v>
      </c>
      <c r="BJ721" s="5" t="n">
        <v>0.132</v>
      </c>
      <c r="BK721" s="5" t="n">
        <v>0.056</v>
      </c>
      <c r="BL721" s="5" t="n">
        <v>0.744</v>
      </c>
      <c r="BM721" s="5" t="n">
        <v>0.15</v>
      </c>
      <c r="BN721" s="5" t="n">
        <v>1</v>
      </c>
      <c r="BO721" s="5" t="n">
        <v>0</v>
      </c>
      <c r="BP721" s="5" t="n">
        <v>0</v>
      </c>
      <c r="BQ721" s="5" t="n">
        <v>0.07000000000000001</v>
      </c>
      <c r="BR721" s="5" t="n">
        <v>0</v>
      </c>
      <c r="BS721" s="5" t="n">
        <v>1</v>
      </c>
      <c r="BT721" s="5" t="n">
        <v>0</v>
      </c>
      <c r="BU721" s="5" t="n">
        <v>0</v>
      </c>
      <c r="BV721" s="5" t="n">
        <v>0.169</v>
      </c>
      <c r="BW721" s="5" t="n">
        <v>0.15</v>
      </c>
      <c r="BX721" s="5" t="n">
        <v>1</v>
      </c>
      <c r="BY721" s="5" t="n">
        <v>13.646</v>
      </c>
      <c r="BZ721" s="5" t="n">
        <v>0</v>
      </c>
      <c r="CA721" s="5" t="n">
        <v>13.646</v>
      </c>
      <c r="CB721" s="5" t="n">
        <v>0</v>
      </c>
      <c r="CC721" s="5" t="n">
        <v>82.58799999999999</v>
      </c>
      <c r="CD721" s="5" t="n">
        <v>7.95</v>
      </c>
      <c r="CE721" s="5" t="n">
        <v>10.717</v>
      </c>
      <c r="CF721" s="5" t="n">
        <v>105.152</v>
      </c>
      <c r="CG721" s="5" t="n">
        <v>0.15</v>
      </c>
      <c r="CH721" s="5" t="n">
        <v>1</v>
      </c>
      <c r="CI721" s="5" t="n">
        <v>0</v>
      </c>
      <c r="CJ721" s="5" t="n">
        <v>0</v>
      </c>
      <c r="CK721" s="5" t="n">
        <v>0</v>
      </c>
      <c r="CL721" s="5" t="n">
        <v>0</v>
      </c>
      <c r="CM721" s="5" t="n">
        <v>0</v>
      </c>
      <c r="CN721" s="5" t="n">
        <v>0</v>
      </c>
      <c r="CO721" s="5" t="n">
        <v>0</v>
      </c>
      <c r="CP721" s="5" t="n">
        <v>0.983</v>
      </c>
      <c r="CQ721" s="5" t="n">
        <v>1.447</v>
      </c>
      <c r="CR721" s="5" t="n">
        <v>0.003</v>
      </c>
      <c r="CS721" s="5" t="n">
        <v>5.004</v>
      </c>
      <c r="CT721" s="5" t="n">
        <v>4.5</v>
      </c>
      <c r="CU721" s="5" t="n">
        <v>5.004</v>
      </c>
    </row>
    <row r="722">
      <c r="A722" s="5" t="inlineStr">
        <is>
          <t>SSD2021</t>
        </is>
      </c>
      <c r="B722" s="5" t="inlineStr">
        <is>
          <t>SSD</t>
        </is>
      </c>
      <c r="C722" s="5" t="inlineStr">
        <is>
          <t>SSD</t>
        </is>
      </c>
      <c r="D722" s="5" t="inlineStr">
        <is>
          <t>South Sudan</t>
        </is>
      </c>
      <c r="E722" s="5" t="n">
        <v>2021</v>
      </c>
      <c r="F722" s="5" t="n">
        <v>0.15</v>
      </c>
      <c r="G722" s="5" t="n">
        <v>5.897</v>
      </c>
      <c r="H722" s="5" t="n">
        <v>1.143</v>
      </c>
      <c r="I722" s="5" t="n">
        <v>0</v>
      </c>
      <c r="J722" s="5" t="n">
        <v>5.897</v>
      </c>
      <c r="K722" s="5" t="n">
        <v>0</v>
      </c>
      <c r="L722" s="5" t="n">
        <v>1</v>
      </c>
      <c r="M722" s="5" t="n">
        <v>7.964</v>
      </c>
      <c r="N722" s="5" t="n">
        <v>3.43</v>
      </c>
      <c r="O722" s="5" t="n">
        <v>0</v>
      </c>
      <c r="P722" s="5" t="n">
        <v>7.964</v>
      </c>
      <c r="Q722" s="5" t="n">
        <v>0</v>
      </c>
      <c r="R722" s="5" t="n">
        <v>1</v>
      </c>
      <c r="S722" s="5" t="n">
        <v>11.613</v>
      </c>
      <c r="T722" s="5" t="n">
        <v>6.86</v>
      </c>
      <c r="U722" s="5" t="n">
        <v>0</v>
      </c>
      <c r="V722" s="5" t="n">
        <v>13.355</v>
      </c>
      <c r="W722" s="5" t="n">
        <v>0.15</v>
      </c>
      <c r="X722" s="5" t="n">
        <v>1</v>
      </c>
      <c r="Y722" s="5" t="n">
        <v>16.305</v>
      </c>
      <c r="Z722" s="5" t="n">
        <v>2.204</v>
      </c>
      <c r="AA722" s="5" t="n">
        <v>0</v>
      </c>
      <c r="AB722" s="5" t="n">
        <v>16.305</v>
      </c>
      <c r="AC722" s="5" t="n">
        <v>0</v>
      </c>
      <c r="AD722" s="5" t="n">
        <v>1</v>
      </c>
      <c r="AE722" s="5" t="n">
        <v>17.449</v>
      </c>
      <c r="AF722" s="5" t="n">
        <v>4.08</v>
      </c>
      <c r="AG722" s="5" t="n">
        <v>0</v>
      </c>
      <c r="AH722" s="5" t="n">
        <v>17.449</v>
      </c>
      <c r="AI722" s="5" t="n">
        <v>0</v>
      </c>
      <c r="AJ722" s="5" t="n">
        <v>1</v>
      </c>
      <c r="AK722" s="5" t="n">
        <v>24.309</v>
      </c>
      <c r="AL722" s="5" t="n">
        <v>12.947</v>
      </c>
      <c r="AM722" s="5" t="n">
        <v>0</v>
      </c>
      <c r="AN722" s="5" t="n">
        <v>27.955</v>
      </c>
      <c r="AO722" s="5" t="n">
        <v>0.15</v>
      </c>
      <c r="AP722" s="5" t="n">
        <v>1</v>
      </c>
      <c r="AQ722" s="5" t="n">
        <v>0.619</v>
      </c>
      <c r="AR722" s="5" t="n">
        <v>0.114</v>
      </c>
      <c r="AS722" s="5" t="n">
        <v>0.748</v>
      </c>
      <c r="AT722" s="5" t="n">
        <v>1.572</v>
      </c>
      <c r="AU722" s="5" t="n">
        <v>0.15</v>
      </c>
      <c r="AV722" s="5" t="n">
        <v>1</v>
      </c>
      <c r="AW722" s="5" t="n">
        <v>0.599</v>
      </c>
      <c r="AX722" s="5" t="n">
        <v>0.114</v>
      </c>
      <c r="AY722" s="5" t="n">
        <v>0.655</v>
      </c>
      <c r="AZ722" s="5" t="n">
        <v>1.443</v>
      </c>
      <c r="BA722" s="5" t="n">
        <v>0.15</v>
      </c>
      <c r="BB722" s="5" t="n">
        <v>1</v>
      </c>
      <c r="BC722" s="5" t="n">
        <v>0.439</v>
      </c>
      <c r="BD722" s="5" t="n">
        <v>0.114</v>
      </c>
      <c r="BE722" s="5" t="n">
        <v>0</v>
      </c>
      <c r="BF722" s="5" t="n">
        <v>0.505</v>
      </c>
      <c r="BG722" s="5" t="n">
        <v>0.15</v>
      </c>
      <c r="BH722" s="5" t="n">
        <v>1</v>
      </c>
      <c r="BI722" s="5" t="n">
        <v>0.505</v>
      </c>
      <c r="BJ722" s="5" t="n">
        <v>0.114</v>
      </c>
      <c r="BK722" s="5" t="n">
        <v>0.826</v>
      </c>
      <c r="BL722" s="5" t="n">
        <v>1.531</v>
      </c>
      <c r="BM722" s="5" t="n">
        <v>0.15</v>
      </c>
      <c r="BN722" s="5" t="n">
        <v>1</v>
      </c>
      <c r="BO722" s="5" t="n">
        <v>0</v>
      </c>
      <c r="BP722" s="5" t="n">
        <v>0</v>
      </c>
      <c r="BQ722" s="5" t="n">
        <v>0</v>
      </c>
      <c r="BR722" s="5" t="n">
        <v>0</v>
      </c>
      <c r="BS722" s="5" t="n">
        <v>1</v>
      </c>
      <c r="BT722" s="5" t="n">
        <v>0</v>
      </c>
      <c r="BU722" s="5" t="n">
        <v>0</v>
      </c>
      <c r="BV722" s="5" t="n">
        <v>0</v>
      </c>
      <c r="BW722" s="5" t="n">
        <v>0.15</v>
      </c>
      <c r="BX722" s="5" t="n">
        <v>1</v>
      </c>
      <c r="BY722" s="5" t="n">
        <v>11.787</v>
      </c>
      <c r="BZ722" s="5" t="n">
        <v>0</v>
      </c>
      <c r="CA722" s="5" t="n">
        <v>11.787</v>
      </c>
      <c r="CB722" s="5" t="n">
        <v>0</v>
      </c>
      <c r="CC722" s="5" t="n">
        <v>78.125</v>
      </c>
      <c r="CD722" s="5" t="n">
        <v>7.95</v>
      </c>
      <c r="CE722" s="5" t="n">
        <v>0</v>
      </c>
      <c r="CF722" s="5" t="n">
        <v>89.84399999999999</v>
      </c>
      <c r="CG722" s="5" t="n">
        <v>0.15</v>
      </c>
      <c r="CH722" s="5" t="n">
        <v>1</v>
      </c>
      <c r="CI722" s="5" t="n">
        <v>0</v>
      </c>
      <c r="CJ722" s="5" t="n">
        <v>0</v>
      </c>
      <c r="CK722" s="5" t="n">
        <v>0</v>
      </c>
      <c r="CL722" s="5" t="n">
        <v>0</v>
      </c>
      <c r="CM722" s="5" t="n">
        <v>0</v>
      </c>
      <c r="CN722" s="5" t="n">
        <v>0</v>
      </c>
      <c r="CO722" s="5" t="n">
        <v>0</v>
      </c>
      <c r="CP722" s="5" t="n">
        <v>0</v>
      </c>
      <c r="CQ722" s="5" t="n">
        <v>1.198</v>
      </c>
      <c r="CR722" s="5" t="n">
        <v>0</v>
      </c>
      <c r="CS722" s="5" t="n">
        <v>4.776</v>
      </c>
      <c r="CT722" s="5" t="n">
        <v>4.753</v>
      </c>
      <c r="CU722" s="5" t="n">
        <v>15.162</v>
      </c>
    </row>
    <row r="723">
      <c r="A723" s="5" t="inlineStr">
        <is>
          <t>SSD2022</t>
        </is>
      </c>
      <c r="B723" s="5" t="inlineStr">
        <is>
          <t>SSD</t>
        </is>
      </c>
      <c r="C723" s="5" t="inlineStr">
        <is>
          <t>SSD</t>
        </is>
      </c>
      <c r="D723" s="5" t="inlineStr">
        <is>
          <t>South Sudan</t>
        </is>
      </c>
      <c r="E723" s="5" t="n">
        <v>2022</v>
      </c>
      <c r="F723" s="5" t="n">
        <v>0.18</v>
      </c>
      <c r="G723" s="5" t="n">
        <v>11.72</v>
      </c>
      <c r="H723" s="5" t="n">
        <v>1.235</v>
      </c>
      <c r="I723" s="5" t="n">
        <v>0</v>
      </c>
      <c r="J723" s="5" t="n">
        <v>11.72</v>
      </c>
      <c r="K723" s="5" t="n">
        <v>0</v>
      </c>
      <c r="L723" s="5" t="n">
        <v>1</v>
      </c>
      <c r="M723" s="5" t="n">
        <v>9.782999999999999</v>
      </c>
      <c r="N723" s="5" t="n">
        <v>3.704</v>
      </c>
      <c r="O723" s="5" t="n">
        <v>0</v>
      </c>
      <c r="P723" s="5" t="n">
        <v>9.782999999999999</v>
      </c>
      <c r="Q723" s="5" t="n">
        <v>0</v>
      </c>
      <c r="R723" s="5" t="n">
        <v>1</v>
      </c>
      <c r="S723" s="5" t="n">
        <v>17.893</v>
      </c>
      <c r="T723" s="5" t="n">
        <v>7.408</v>
      </c>
      <c r="U723" s="5" t="n">
        <v>0.238</v>
      </c>
      <c r="V723" s="5" t="n">
        <v>21.114</v>
      </c>
      <c r="W723" s="5" t="n">
        <v>0.18</v>
      </c>
      <c r="X723" s="5" t="n">
        <v>1</v>
      </c>
      <c r="Y723" s="5" t="n">
        <v>32.56</v>
      </c>
      <c r="Z723" s="5" t="n">
        <v>4.401</v>
      </c>
      <c r="AA723" s="5" t="n">
        <v>0</v>
      </c>
      <c r="AB723" s="5" t="n">
        <v>32.56</v>
      </c>
      <c r="AC723" s="5" t="n">
        <v>0</v>
      </c>
      <c r="AD723" s="5" t="n">
        <v>1</v>
      </c>
      <c r="AE723" s="5" t="n">
        <v>33.795</v>
      </c>
      <c r="AF723" s="5" t="n">
        <v>7.902</v>
      </c>
      <c r="AG723" s="5" t="n">
        <v>0</v>
      </c>
      <c r="AH723" s="5" t="n">
        <v>33.795</v>
      </c>
      <c r="AI723" s="5" t="n">
        <v>0</v>
      </c>
      <c r="AJ723" s="5" t="n">
        <v>1</v>
      </c>
      <c r="AK723" s="5" t="n">
        <v>41.203</v>
      </c>
      <c r="AL723" s="5" t="n">
        <v>21.945</v>
      </c>
      <c r="AM723" s="5" t="n">
        <v>0.549</v>
      </c>
      <c r="AN723" s="5" t="n">
        <v>48.62</v>
      </c>
      <c r="AO723" s="5" t="n">
        <v>0.18</v>
      </c>
      <c r="AP723" s="5" t="n">
        <v>1</v>
      </c>
      <c r="AQ723" s="5" t="n">
        <v>0.861</v>
      </c>
      <c r="AR723" s="5" t="n">
        <v>0.123</v>
      </c>
      <c r="AS723" s="5" t="n">
        <v>0.762</v>
      </c>
      <c r="AT723" s="5" t="n">
        <v>1.89</v>
      </c>
      <c r="AU723" s="5" t="n">
        <v>0.18</v>
      </c>
      <c r="AV723" s="5" t="n">
        <v>1</v>
      </c>
      <c r="AW723" s="5" t="n">
        <v>0.986</v>
      </c>
      <c r="AX723" s="5" t="n">
        <v>0.123</v>
      </c>
      <c r="AY723" s="5" t="n">
        <v>0.643</v>
      </c>
      <c r="AZ723" s="5" t="n">
        <v>1.897</v>
      </c>
      <c r="BA723" s="5" t="n">
        <v>0.18</v>
      </c>
      <c r="BB723" s="5" t="n">
        <v>1</v>
      </c>
      <c r="BC723" s="5" t="n">
        <v>0.598</v>
      </c>
      <c r="BD723" s="5" t="n">
        <v>0.123</v>
      </c>
      <c r="BE723" s="5" t="n">
        <v>0.008</v>
      </c>
      <c r="BF723" s="5" t="n">
        <v>0.705</v>
      </c>
      <c r="BG723" s="5" t="n">
        <v>0.18</v>
      </c>
      <c r="BH723" s="5" t="n">
        <v>1</v>
      </c>
      <c r="BI723" s="5" t="n">
        <v>0.612</v>
      </c>
      <c r="BJ723" s="5" t="n">
        <v>0.123</v>
      </c>
      <c r="BK723" s="5" t="n">
        <v>0.865</v>
      </c>
      <c r="BL723" s="5" t="n">
        <v>1.72</v>
      </c>
      <c r="BM723" s="5" t="n">
        <v>0.18</v>
      </c>
      <c r="BN723" s="5" t="n">
        <v>1</v>
      </c>
      <c r="BO723" s="5" t="n">
        <v>0</v>
      </c>
      <c r="BP723" s="5" t="n">
        <v>0</v>
      </c>
      <c r="BQ723" s="5" t="n">
        <v>0</v>
      </c>
      <c r="BR723" s="5" t="n">
        <v>0</v>
      </c>
      <c r="BS723" s="5" t="n">
        <v>1</v>
      </c>
      <c r="BT723" s="5" t="n">
        <v>0</v>
      </c>
      <c r="BU723" s="5" t="n">
        <v>0</v>
      </c>
      <c r="BV723" s="5" t="n">
        <v>0</v>
      </c>
      <c r="BW723" s="5" t="n">
        <v>0.18</v>
      </c>
      <c r="BX723" s="5" t="n">
        <v>1</v>
      </c>
      <c r="BY723" s="5" t="n">
        <v>12.729</v>
      </c>
      <c r="BZ723" s="5" t="n">
        <v>0</v>
      </c>
      <c r="CA723" s="5" t="n">
        <v>12.729</v>
      </c>
      <c r="CB723" s="5" t="n">
        <v>0</v>
      </c>
      <c r="CC723" s="5" t="n">
        <v>97.90000000000001</v>
      </c>
      <c r="CD723" s="5" t="n">
        <v>7.95</v>
      </c>
      <c r="CE723" s="5" t="n">
        <v>1.304</v>
      </c>
      <c r="CF723" s="5" t="n">
        <v>115.522</v>
      </c>
      <c r="CG723" s="5" t="n">
        <v>0.18</v>
      </c>
      <c r="CH723" s="5" t="n">
        <v>1</v>
      </c>
      <c r="CI723" s="5" t="n">
        <v>0</v>
      </c>
      <c r="CJ723" s="5" t="n">
        <v>0</v>
      </c>
      <c r="CK723" s="5" t="n">
        <v>0</v>
      </c>
      <c r="CL723" s="5" t="n">
        <v>0</v>
      </c>
      <c r="CM723" s="5" t="n">
        <v>0</v>
      </c>
      <c r="CN723" s="5" t="n">
        <v>0</v>
      </c>
      <c r="CO723" s="5" t="n">
        <v>0</v>
      </c>
      <c r="CP723" s="5" t="n">
        <v>0</v>
      </c>
      <c r="CQ723" s="5" t="n">
        <v>1.294</v>
      </c>
      <c r="CR723" s="5" t="n">
        <v>0</v>
      </c>
      <c r="CS723" s="5" t="n">
        <v>5.158</v>
      </c>
      <c r="CT723" s="5" t="n">
        <v>10.485</v>
      </c>
      <c r="CU723" s="5" t="n">
        <v>31.326</v>
      </c>
    </row>
    <row r="724">
      <c r="A724" s="5" t="inlineStr">
        <is>
          <t>SSD2023</t>
        </is>
      </c>
      <c r="B724" s="5" t="inlineStr">
        <is>
          <t>SSD</t>
        </is>
      </c>
      <c r="C724" s="5" t="inlineStr">
        <is>
          <t>SSD</t>
        </is>
      </c>
      <c r="D724" s="5" t="inlineStr">
        <is>
          <t>South Sudan</t>
        </is>
      </c>
      <c r="E724" s="5" t="n">
        <v>2023</v>
      </c>
      <c r="F724" s="5" t="n">
        <v>0.18</v>
      </c>
      <c r="G724" s="5" t="n">
        <v>6.147</v>
      </c>
      <c r="H724" s="5" t="n">
        <v>1.286</v>
      </c>
      <c r="I724" s="5" t="n">
        <v>0</v>
      </c>
      <c r="J724" s="5" t="n">
        <v>6.147</v>
      </c>
      <c r="K724" s="5" t="n">
        <v>0</v>
      </c>
      <c r="L724" s="5" t="n">
        <v>1</v>
      </c>
      <c r="M724" s="5" t="n">
        <v>7.886</v>
      </c>
      <c r="N724" s="5" t="n">
        <v>3.857</v>
      </c>
      <c r="O724" s="5" t="n">
        <v>0</v>
      </c>
      <c r="P724" s="5" t="n">
        <v>7.886</v>
      </c>
      <c r="Q724" s="5" t="n">
        <v>0</v>
      </c>
      <c r="R724" s="5" t="n">
        <v>1</v>
      </c>
      <c r="S724" s="5" t="n">
        <v>12.575</v>
      </c>
      <c r="T724" s="5" t="n">
        <v>7.714</v>
      </c>
      <c r="U724" s="5" t="n">
        <v>0.251</v>
      </c>
      <c r="V724" s="5" t="n">
        <v>14.839</v>
      </c>
      <c r="W724" s="5" t="n">
        <v>0.18</v>
      </c>
      <c r="X724" s="5" t="n">
        <v>1</v>
      </c>
      <c r="Y724" s="5" t="n">
        <v>12.908</v>
      </c>
      <c r="Z724" s="5" t="n">
        <v>1.745</v>
      </c>
      <c r="AA724" s="5" t="n">
        <v>0</v>
      </c>
      <c r="AB724" s="5" t="n">
        <v>12.908</v>
      </c>
      <c r="AC724" s="5" t="n">
        <v>0</v>
      </c>
      <c r="AD724" s="5" t="n">
        <v>1</v>
      </c>
      <c r="AE724" s="5" t="n">
        <v>14.194</v>
      </c>
      <c r="AF724" s="5" t="n">
        <v>3.319</v>
      </c>
      <c r="AG724" s="5" t="n">
        <v>0</v>
      </c>
      <c r="AH724" s="5" t="n">
        <v>14.194</v>
      </c>
      <c r="AI724" s="5" t="n">
        <v>0</v>
      </c>
      <c r="AJ724" s="5" t="n">
        <v>1</v>
      </c>
      <c r="AK724" s="5" t="n">
        <v>21.908</v>
      </c>
      <c r="AL724" s="5" t="n">
        <v>11.668</v>
      </c>
      <c r="AM724" s="5" t="n">
        <v>0.437</v>
      </c>
      <c r="AN724" s="5" t="n">
        <v>25.851</v>
      </c>
      <c r="AO724" s="5" t="n">
        <v>0.18</v>
      </c>
      <c r="AP724" s="5" t="n">
        <v>1</v>
      </c>
      <c r="AQ724" s="5" t="n">
        <v>0.76</v>
      </c>
      <c r="AR724" s="5" t="n">
        <v>0.129</v>
      </c>
      <c r="AS724" s="5" t="n">
        <v>0.823</v>
      </c>
      <c r="AT724" s="5" t="n">
        <v>1.832</v>
      </c>
      <c r="AU724" s="5" t="n">
        <v>0.18</v>
      </c>
      <c r="AV724" s="5" t="n">
        <v>1</v>
      </c>
      <c r="AW724" s="5" t="n">
        <v>0.8110000000000001</v>
      </c>
      <c r="AX724" s="5" t="n">
        <v>0.129</v>
      </c>
      <c r="AY724" s="5" t="n">
        <v>0.71</v>
      </c>
      <c r="AZ724" s="5" t="n">
        <v>1.76</v>
      </c>
      <c r="BA724" s="5" t="n">
        <v>0.18</v>
      </c>
      <c r="BB724" s="5" t="n">
        <v>1</v>
      </c>
      <c r="BC724" s="5" t="n">
        <v>0.535</v>
      </c>
      <c r="BD724" s="5" t="n">
        <v>0.129</v>
      </c>
      <c r="BE724" s="5" t="n">
        <v>0.011</v>
      </c>
      <c r="BF724" s="5" t="n">
        <v>0.631</v>
      </c>
      <c r="BG724" s="5" t="n">
        <v>0.18</v>
      </c>
      <c r="BH724" s="5" t="n">
        <v>1</v>
      </c>
      <c r="BI724" s="5" t="n">
        <v>0.579</v>
      </c>
      <c r="BJ724" s="5" t="n">
        <v>0.129</v>
      </c>
      <c r="BK724" s="5" t="n">
        <v>0.919</v>
      </c>
      <c r="BL724" s="5" t="n">
        <v>1.733</v>
      </c>
      <c r="BM724" s="5" t="n">
        <v>0.18</v>
      </c>
      <c r="BN724" s="5" t="n">
        <v>1</v>
      </c>
      <c r="BO724" s="5" t="n">
        <v>0</v>
      </c>
      <c r="BP724" s="5" t="n">
        <v>0</v>
      </c>
      <c r="BQ724" s="5" t="n">
        <v>0</v>
      </c>
      <c r="BR724" s="5" t="n">
        <v>0</v>
      </c>
      <c r="BS724" s="5" t="n">
        <v>1</v>
      </c>
      <c r="BT724" s="5" t="n">
        <v>0</v>
      </c>
      <c r="BU724" s="5" t="n">
        <v>0</v>
      </c>
      <c r="BV724" s="5" t="n">
        <v>0</v>
      </c>
      <c r="BW724" s="5" t="n">
        <v>0.18</v>
      </c>
      <c r="BX724" s="5" t="n">
        <v>1</v>
      </c>
      <c r="BY724" s="5" t="n">
        <v>13.254</v>
      </c>
      <c r="BZ724" s="5" t="n">
        <v>0</v>
      </c>
      <c r="CA724" s="5" t="n">
        <v>13.254</v>
      </c>
      <c r="CB724" s="5" t="n">
        <v>0</v>
      </c>
      <c r="CC724" s="5" t="n">
        <v>83.248</v>
      </c>
      <c r="CD724" s="5" t="n">
        <v>7.95</v>
      </c>
      <c r="CE724" s="5" t="n">
        <v>1.659</v>
      </c>
      <c r="CF724" s="5" t="n">
        <v>98.233</v>
      </c>
      <c r="CG724" s="5" t="n">
        <v>0.18</v>
      </c>
      <c r="CH724" s="5" t="n">
        <v>1</v>
      </c>
      <c r="CI724" s="5" t="n">
        <v>0</v>
      </c>
      <c r="CJ724" s="5" t="n">
        <v>0</v>
      </c>
      <c r="CK724" s="5" t="n">
        <v>0</v>
      </c>
      <c r="CL724" s="5" t="n">
        <v>0</v>
      </c>
      <c r="CM724" s="5" t="n">
        <v>0</v>
      </c>
      <c r="CN724" s="5" t="n">
        <v>0</v>
      </c>
      <c r="CO724" s="5" t="n">
        <v>0</v>
      </c>
      <c r="CP724" s="5" t="n">
        <v>0</v>
      </c>
      <c r="CQ724" s="5" t="n">
        <v>1.348</v>
      </c>
      <c r="CR724" s="5" t="n">
        <v>0</v>
      </c>
      <c r="CS724" s="5" t="n">
        <v>5.37</v>
      </c>
      <c r="CT724" s="5" t="n">
        <v>4.861</v>
      </c>
      <c r="CU724" s="5" t="n">
        <v>11.622</v>
      </c>
    </row>
    <row r="725">
      <c r="A725" s="5" t="inlineStr">
        <is>
          <t>SSD2024</t>
        </is>
      </c>
      <c r="B725" s="5" t="inlineStr">
        <is>
          <t>SSD</t>
        </is>
      </c>
      <c r="C725" s="5" t="inlineStr">
        <is>
          <t>SSD</t>
        </is>
      </c>
      <c r="D725" s="5" t="inlineStr">
        <is>
          <t>South Sudan</t>
        </is>
      </c>
      <c r="E725" s="5" t="n">
        <v>2024</v>
      </c>
      <c r="F725" s="5" t="n">
        <v>0.18</v>
      </c>
      <c r="G725" s="5" t="n">
        <v>5.575</v>
      </c>
      <c r="H725" s="5" t="n">
        <v>1.324</v>
      </c>
      <c r="I725" s="5" t="n">
        <v>0</v>
      </c>
      <c r="J725" s="5" t="n">
        <v>5.575</v>
      </c>
      <c r="K725" s="5" t="n">
        <v>0</v>
      </c>
      <c r="L725" s="5" t="n">
        <v>1</v>
      </c>
      <c r="M725" s="5" t="n">
        <v>7.124</v>
      </c>
      <c r="N725" s="5" t="n">
        <v>3.971</v>
      </c>
      <c r="O725" s="5" t="n">
        <v>0</v>
      </c>
      <c r="P725" s="5" t="n">
        <v>7.124</v>
      </c>
      <c r="Q725" s="5" t="n">
        <v>0</v>
      </c>
      <c r="R725" s="5" t="n">
        <v>1</v>
      </c>
      <c r="S725" s="5" t="n">
        <v>12.193</v>
      </c>
      <c r="T725" s="5" t="n">
        <v>7.942</v>
      </c>
      <c r="U725" s="5" t="n">
        <v>0.299</v>
      </c>
      <c r="V725" s="5" t="n">
        <v>14.388</v>
      </c>
      <c r="W725" s="5" t="n">
        <v>0.18</v>
      </c>
      <c r="X725" s="5" t="n">
        <v>1</v>
      </c>
      <c r="Y725" s="5" t="n">
        <v>11.492</v>
      </c>
      <c r="Z725" s="5" t="n">
        <v>1.553</v>
      </c>
      <c r="AA725" s="5" t="n">
        <v>0</v>
      </c>
      <c r="AB725" s="5" t="n">
        <v>11.492</v>
      </c>
      <c r="AC725" s="5" t="n">
        <v>0</v>
      </c>
      <c r="AD725" s="5" t="n">
        <v>1</v>
      </c>
      <c r="AE725" s="5" t="n">
        <v>12.815</v>
      </c>
      <c r="AF725" s="5" t="n">
        <v>2.997</v>
      </c>
      <c r="AG725" s="5" t="n">
        <v>0</v>
      </c>
      <c r="AH725" s="5" t="n">
        <v>12.815</v>
      </c>
      <c r="AI725" s="5" t="n">
        <v>0</v>
      </c>
      <c r="AJ725" s="5" t="n">
        <v>1</v>
      </c>
      <c r="AK725" s="5" t="n">
        <v>20.757</v>
      </c>
      <c r="AL725" s="5" t="n">
        <v>11.055</v>
      </c>
      <c r="AM725" s="5" t="n">
        <v>0.509</v>
      </c>
      <c r="AN725" s="5" t="n">
        <v>24.493</v>
      </c>
      <c r="AO725" s="5" t="n">
        <v>0.18</v>
      </c>
      <c r="AP725" s="5" t="n">
        <v>1</v>
      </c>
      <c r="AQ725" s="5" t="n">
        <v>0.724</v>
      </c>
      <c r="AR725" s="5" t="n">
        <v>0.132</v>
      </c>
      <c r="AS725" s="5" t="n">
        <v>0.862</v>
      </c>
      <c r="AT725" s="5" t="n">
        <v>1.827</v>
      </c>
      <c r="AU725" s="5" t="n">
        <v>0.18</v>
      </c>
      <c r="AV725" s="5" t="n">
        <v>1</v>
      </c>
      <c r="AW725" s="5" t="n">
        <v>0.75</v>
      </c>
      <c r="AX725" s="5" t="n">
        <v>0.132</v>
      </c>
      <c r="AY725" s="5" t="n">
        <v>0.749</v>
      </c>
      <c r="AZ725" s="5" t="n">
        <v>1.727</v>
      </c>
      <c r="BA725" s="5" t="n">
        <v>0.18</v>
      </c>
      <c r="BB725" s="5" t="n">
        <v>1</v>
      </c>
      <c r="BC725" s="5" t="n">
        <v>0.513</v>
      </c>
      <c r="BD725" s="5" t="n">
        <v>0.132</v>
      </c>
      <c r="BE725" s="5" t="n">
        <v>0.013</v>
      </c>
      <c r="BF725" s="5" t="n">
        <v>0.605</v>
      </c>
      <c r="BG725" s="5" t="n">
        <v>0.18</v>
      </c>
      <c r="BH725" s="5" t="n">
        <v>1</v>
      </c>
      <c r="BI725" s="5" t="n">
        <v>0.591</v>
      </c>
      <c r="BJ725" s="5" t="n">
        <v>0.132</v>
      </c>
      <c r="BK725" s="5" t="n">
        <v>0.953</v>
      </c>
      <c r="BL725" s="5" t="n">
        <v>1.779</v>
      </c>
      <c r="BM725" s="5" t="n">
        <v>0.18</v>
      </c>
      <c r="BN725" s="5" t="n">
        <v>1</v>
      </c>
      <c r="BO725" s="5" t="n">
        <v>0</v>
      </c>
      <c r="BP725" s="5" t="n">
        <v>0</v>
      </c>
      <c r="BQ725" s="5" t="n">
        <v>0</v>
      </c>
      <c r="BR725" s="5" t="n">
        <v>0</v>
      </c>
      <c r="BS725" s="5" t="n">
        <v>1</v>
      </c>
      <c r="BT725" s="5" t="n">
        <v>0</v>
      </c>
      <c r="BU725" s="5" t="n">
        <v>0</v>
      </c>
      <c r="BV725" s="5" t="n">
        <v>0</v>
      </c>
      <c r="BW725" s="5" t="n">
        <v>0.18</v>
      </c>
      <c r="BX725" s="5" t="n">
        <v>1</v>
      </c>
      <c r="BY725" s="5" t="n">
        <v>13.646</v>
      </c>
      <c r="BZ725" s="5" t="n">
        <v>0</v>
      </c>
      <c r="CA725" s="5" t="n">
        <v>13.646</v>
      </c>
      <c r="CB725" s="5" t="n">
        <v>0</v>
      </c>
      <c r="CC725" s="5" t="n">
        <v>82.58799999999999</v>
      </c>
      <c r="CD725" s="5" t="n">
        <v>7.95</v>
      </c>
      <c r="CE725" s="5" t="n">
        <v>2.025</v>
      </c>
      <c r="CF725" s="5" t="n">
        <v>97.45399999999999</v>
      </c>
      <c r="CG725" s="5" t="n">
        <v>0.18</v>
      </c>
      <c r="CH725" s="5" t="n">
        <v>1</v>
      </c>
      <c r="CI725" s="5" t="n">
        <v>0</v>
      </c>
      <c r="CJ725" s="5" t="n">
        <v>0</v>
      </c>
      <c r="CK725" s="5" t="n">
        <v>0</v>
      </c>
      <c r="CL725" s="5" t="n">
        <v>0</v>
      </c>
      <c r="CM725" s="5" t="n">
        <v>0</v>
      </c>
      <c r="CN725" s="5" t="n">
        <v>0</v>
      </c>
      <c r="CO725" s="5" t="n">
        <v>0</v>
      </c>
      <c r="CP725" s="5" t="n">
        <v>0</v>
      </c>
      <c r="CQ725" s="5" t="n">
        <v>1.387</v>
      </c>
      <c r="CR725" s="5" t="n">
        <v>0</v>
      </c>
      <c r="CS725" s="5" t="n">
        <v>5.529</v>
      </c>
      <c r="CT725" s="5" t="n">
        <v>4.251</v>
      </c>
      <c r="CU725" s="5" t="n">
        <v>10.168</v>
      </c>
    </row>
    <row r="726">
      <c r="A726" s="5" t="inlineStr">
        <is>
          <t>ESP2021</t>
        </is>
      </c>
      <c r="B726" s="5" t="inlineStr">
        <is>
          <t>ESP</t>
        </is>
      </c>
      <c r="C726" s="5" t="inlineStr">
        <is>
          <t>ESP</t>
        </is>
      </c>
      <c r="D726" s="5" t="inlineStr">
        <is>
          <t>Spain</t>
        </is>
      </c>
      <c r="E726" s="5" t="n">
        <v>2021</v>
      </c>
      <c r="F726" s="5" t="n">
        <v>0.21</v>
      </c>
      <c r="G726" s="5" t="n">
        <v>6.437</v>
      </c>
      <c r="H726" s="5" t="n">
        <v>1.143</v>
      </c>
      <c r="I726" s="5" t="n">
        <v>1.538</v>
      </c>
      <c r="J726" s="5" t="n">
        <v>7.975</v>
      </c>
      <c r="K726" s="5" t="n">
        <v>0</v>
      </c>
      <c r="L726" s="5" t="n">
        <v>1</v>
      </c>
      <c r="M726" s="5" t="n">
        <v>9.757</v>
      </c>
      <c r="N726" s="5" t="n">
        <v>3.43</v>
      </c>
      <c r="O726" s="5" t="n">
        <v>1.556</v>
      </c>
      <c r="P726" s="5" t="n">
        <v>11.313</v>
      </c>
      <c r="Q726" s="5" t="n">
        <v>0</v>
      </c>
      <c r="R726" s="5" t="n">
        <v>1</v>
      </c>
      <c r="S726" s="5" t="n">
        <v>12.153</v>
      </c>
      <c r="T726" s="5" t="n">
        <v>6.86</v>
      </c>
      <c r="U726" s="5" t="n">
        <v>0.418</v>
      </c>
      <c r="V726" s="5" t="n">
        <v>15.211</v>
      </c>
      <c r="W726" s="5" t="n">
        <v>0.21</v>
      </c>
      <c r="X726" s="5" t="n">
        <v>1</v>
      </c>
      <c r="Y726" s="5" t="n">
        <v>19.623</v>
      </c>
      <c r="Z726" s="5" t="n">
        <v>2.168</v>
      </c>
      <c r="AA726" s="5" t="n">
        <v>-9.301</v>
      </c>
      <c r="AB726" s="5" t="n">
        <v>10.323</v>
      </c>
      <c r="AC726" s="5" t="n">
        <v>0</v>
      </c>
      <c r="AD726" s="5" t="n">
        <v>1</v>
      </c>
      <c r="AE726" s="5" t="n">
        <v>19.58</v>
      </c>
      <c r="AF726" s="5" t="n">
        <v>3.853</v>
      </c>
      <c r="AG726" s="5" t="n">
        <v>-9.257</v>
      </c>
      <c r="AH726" s="5" t="n">
        <v>10.323</v>
      </c>
      <c r="AI726" s="5" t="n">
        <v>0</v>
      </c>
      <c r="AJ726" s="5" t="n">
        <v>1</v>
      </c>
      <c r="AK726" s="5" t="n">
        <v>28.28</v>
      </c>
      <c r="AL726" s="5" t="n">
        <v>13.88</v>
      </c>
      <c r="AM726" s="5" t="n">
        <v>-4.203</v>
      </c>
      <c r="AN726" s="5" t="n">
        <v>29.132</v>
      </c>
      <c r="AO726" s="5" t="n">
        <v>0.21</v>
      </c>
      <c r="AP726" s="5" t="n">
        <v>1</v>
      </c>
      <c r="AQ726" s="5" t="n">
        <v>0.619</v>
      </c>
      <c r="AR726" s="5" t="n">
        <v>0.114</v>
      </c>
      <c r="AS726" s="5" t="n">
        <v>0.73</v>
      </c>
      <c r="AT726" s="5" t="n">
        <v>1.632</v>
      </c>
      <c r="AU726" s="5" t="n">
        <v>0.21</v>
      </c>
      <c r="AV726" s="5" t="n">
        <v>1</v>
      </c>
      <c r="AW726" s="5" t="n">
        <v>0.599</v>
      </c>
      <c r="AX726" s="5" t="n">
        <v>0.114</v>
      </c>
      <c r="AY726" s="5" t="n">
        <v>0.618</v>
      </c>
      <c r="AZ726" s="5" t="n">
        <v>1.473</v>
      </c>
      <c r="BA726" s="5" t="n">
        <v>0.21</v>
      </c>
      <c r="BB726" s="5" t="n">
        <v>1</v>
      </c>
      <c r="BC726" s="5" t="n">
        <v>0.439</v>
      </c>
      <c r="BD726" s="5" t="n">
        <v>0.114</v>
      </c>
      <c r="BE726" s="5" t="n">
        <v>0.302</v>
      </c>
      <c r="BF726" s="5" t="n">
        <v>0.896</v>
      </c>
      <c r="BG726" s="5" t="n">
        <v>0.21</v>
      </c>
      <c r="BH726" s="5" t="n">
        <v>1</v>
      </c>
      <c r="BI726" s="5" t="n">
        <v>0.505</v>
      </c>
      <c r="BJ726" s="5" t="n">
        <v>0.114</v>
      </c>
      <c r="BK726" s="5" t="n">
        <v>0.205</v>
      </c>
      <c r="BL726" s="5" t="n">
        <v>0.859</v>
      </c>
      <c r="BM726" s="5" t="n">
        <v>0.21</v>
      </c>
      <c r="BN726" s="5" t="n">
        <v>1</v>
      </c>
      <c r="BO726" s="5" t="n">
        <v>0</v>
      </c>
      <c r="BP726" s="5" t="n">
        <v>0.022</v>
      </c>
      <c r="BQ726" s="5" t="n">
        <v>0.125</v>
      </c>
      <c r="BR726" s="5" t="n">
        <v>0</v>
      </c>
      <c r="BS726" s="5" t="n">
        <v>1</v>
      </c>
      <c r="BT726" s="5" t="n">
        <v>0</v>
      </c>
      <c r="BU726" s="5" t="n">
        <v>0.07099999999999999</v>
      </c>
      <c r="BV726" s="5" t="n">
        <v>0.304</v>
      </c>
      <c r="BW726" s="5" t="n">
        <v>0.21</v>
      </c>
      <c r="BX726" s="5" t="n">
        <v>1</v>
      </c>
      <c r="BY726" s="5" t="n">
        <v>11.787</v>
      </c>
      <c r="BZ726" s="5" t="n">
        <v>0</v>
      </c>
      <c r="CA726" s="5" t="n">
        <v>11.787</v>
      </c>
      <c r="CB726" s="5" t="n">
        <v>0</v>
      </c>
      <c r="CC726" s="5" t="n">
        <v>78.125</v>
      </c>
      <c r="CD726" s="5" t="n">
        <v>7.95</v>
      </c>
      <c r="CE726" s="5" t="n">
        <v>41.391</v>
      </c>
      <c r="CF726" s="5" t="n">
        <v>144.614</v>
      </c>
      <c r="CG726" s="5" t="n">
        <v>0.21</v>
      </c>
      <c r="CH726" s="5" t="n">
        <v>1</v>
      </c>
      <c r="CI726" s="5" t="n">
        <v>0</v>
      </c>
      <c r="CJ726" s="5" t="n">
        <v>0</v>
      </c>
      <c r="CK726" s="5" t="n">
        <v>0</v>
      </c>
      <c r="CL726" s="5" t="n">
        <v>0</v>
      </c>
      <c r="CM726" s="5" t="n">
        <v>0.155</v>
      </c>
      <c r="CN726" s="5" t="n">
        <v>0</v>
      </c>
      <c r="CO726" s="5" t="n">
        <v>0</v>
      </c>
      <c r="CP726" s="5" t="n">
        <v>0</v>
      </c>
      <c r="CQ726" s="5" t="n">
        <v>1.198</v>
      </c>
      <c r="CR726" s="5" t="n">
        <v>0</v>
      </c>
      <c r="CS726" s="5" t="n">
        <v>4.776</v>
      </c>
      <c r="CT726" s="5" t="n">
        <v>5.294</v>
      </c>
      <c r="CU726" s="5" t="n">
        <v>15.658</v>
      </c>
    </row>
    <row r="727">
      <c r="A727" s="5" t="inlineStr">
        <is>
          <t>ESP2022</t>
        </is>
      </c>
      <c r="B727" s="5" t="inlineStr">
        <is>
          <t>ESP</t>
        </is>
      </c>
      <c r="C727" s="5" t="inlineStr">
        <is>
          <t>ESP</t>
        </is>
      </c>
      <c r="D727" s="5" t="inlineStr">
        <is>
          <t>Spain</t>
        </is>
      </c>
      <c r="E727" s="5" t="n">
        <v>2022</v>
      </c>
      <c r="F727" s="5" t="n">
        <v>0.21</v>
      </c>
      <c r="G727" s="5" t="n">
        <v>12.249</v>
      </c>
      <c r="H727" s="5" t="n">
        <v>1.235</v>
      </c>
      <c r="I727" s="5" t="n">
        <v>8.206</v>
      </c>
      <c r="J727" s="5" t="n">
        <v>20.455</v>
      </c>
      <c r="K727" s="5" t="n">
        <v>0</v>
      </c>
      <c r="L727" s="5" t="n">
        <v>1</v>
      </c>
      <c r="M727" s="5" t="n">
        <v>13.529</v>
      </c>
      <c r="N727" s="5" t="n">
        <v>3.704</v>
      </c>
      <c r="O727" s="5" t="n">
        <v>8.292</v>
      </c>
      <c r="P727" s="5" t="n">
        <v>21.822</v>
      </c>
      <c r="Q727" s="5" t="n">
        <v>0</v>
      </c>
      <c r="R727" s="5" t="n">
        <v>1</v>
      </c>
      <c r="S727" s="5" t="n">
        <v>18.423</v>
      </c>
      <c r="T727" s="5" t="n">
        <v>7.408</v>
      </c>
      <c r="U727" s="5" t="n">
        <v>0.698</v>
      </c>
      <c r="V727" s="5" t="n">
        <v>22.783</v>
      </c>
      <c r="W727" s="5" t="n">
        <v>0.21</v>
      </c>
      <c r="X727" s="5" t="n">
        <v>1</v>
      </c>
      <c r="Y727" s="5" t="n">
        <v>33.323</v>
      </c>
      <c r="Z727" s="5" t="n">
        <v>3.496</v>
      </c>
      <c r="AA727" s="5" t="n">
        <v>-2.525</v>
      </c>
      <c r="AB727" s="5" t="n">
        <v>30.798</v>
      </c>
      <c r="AC727" s="5" t="n">
        <v>0</v>
      </c>
      <c r="AD727" s="5" t="n">
        <v>1</v>
      </c>
      <c r="AE727" s="5" t="n">
        <v>33.37</v>
      </c>
      <c r="AF727" s="5" t="n">
        <v>6.186</v>
      </c>
      <c r="AG727" s="5" t="n">
        <v>-2.573</v>
      </c>
      <c r="AH727" s="5" t="n">
        <v>30.798</v>
      </c>
      <c r="AI727" s="5" t="n">
        <v>0</v>
      </c>
      <c r="AJ727" s="5" t="n">
        <v>1</v>
      </c>
      <c r="AK727" s="5" t="n">
        <v>42.618</v>
      </c>
      <c r="AL727" s="5" t="n">
        <v>20.352</v>
      </c>
      <c r="AM727" s="5" t="n">
        <v>-12.75</v>
      </c>
      <c r="AN727" s="5" t="n">
        <v>36.14</v>
      </c>
      <c r="AO727" s="5" t="n">
        <v>0.21</v>
      </c>
      <c r="AP727" s="5" t="n">
        <v>1</v>
      </c>
      <c r="AQ727" s="5" t="n">
        <v>0.861</v>
      </c>
      <c r="AR727" s="5" t="n">
        <v>0.123</v>
      </c>
      <c r="AS727" s="5" t="n">
        <v>0.6889999999999999</v>
      </c>
      <c r="AT727" s="5" t="n">
        <v>1.875</v>
      </c>
      <c r="AU727" s="5" t="n">
        <v>0.21</v>
      </c>
      <c r="AV727" s="5" t="n">
        <v>1</v>
      </c>
      <c r="AW727" s="5" t="n">
        <v>0.986</v>
      </c>
      <c r="AX727" s="5" t="n">
        <v>0.123</v>
      </c>
      <c r="AY727" s="5" t="n">
        <v>0.576</v>
      </c>
      <c r="AZ727" s="5" t="n">
        <v>1.89</v>
      </c>
      <c r="BA727" s="5" t="n">
        <v>0.21</v>
      </c>
      <c r="BB727" s="5" t="n">
        <v>1</v>
      </c>
      <c r="BC727" s="5" t="n">
        <v>0.598</v>
      </c>
      <c r="BD727" s="5" t="n">
        <v>0.123</v>
      </c>
      <c r="BE727" s="5" t="n">
        <v>0.266</v>
      </c>
      <c r="BF727" s="5" t="n">
        <v>1.045</v>
      </c>
      <c r="BG727" s="5" t="n">
        <v>0.21</v>
      </c>
      <c r="BH727" s="5" t="n">
        <v>1</v>
      </c>
      <c r="BI727" s="5" t="n">
        <v>0.612</v>
      </c>
      <c r="BJ727" s="5" t="n">
        <v>0.123</v>
      </c>
      <c r="BK727" s="5" t="n">
        <v>0.511</v>
      </c>
      <c r="BL727" s="5" t="n">
        <v>1.359</v>
      </c>
      <c r="BM727" s="5" t="n">
        <v>0.21</v>
      </c>
      <c r="BN727" s="5" t="n">
        <v>1</v>
      </c>
      <c r="BO727" s="5" t="n">
        <v>0</v>
      </c>
      <c r="BP727" s="5" t="n">
        <v>0.014</v>
      </c>
      <c r="BQ727" s="5" t="n">
        <v>0.223</v>
      </c>
      <c r="BR727" s="5" t="n">
        <v>0</v>
      </c>
      <c r="BS727" s="5" t="n">
        <v>1</v>
      </c>
      <c r="BT727" s="5" t="n">
        <v>0</v>
      </c>
      <c r="BU727" s="5" t="n">
        <v>0.025</v>
      </c>
      <c r="BV727" s="5" t="n">
        <v>0.338</v>
      </c>
      <c r="BW727" s="5" t="n">
        <v>0.21</v>
      </c>
      <c r="BX727" s="5" t="n">
        <v>1</v>
      </c>
      <c r="BY727" s="5" t="n">
        <v>12.729</v>
      </c>
      <c r="BZ727" s="5" t="n">
        <v>0</v>
      </c>
      <c r="CA727" s="5" t="n">
        <v>12.729</v>
      </c>
      <c r="CB727" s="5" t="n">
        <v>0</v>
      </c>
      <c r="CC727" s="5" t="n">
        <v>97.90000000000001</v>
      </c>
      <c r="CD727" s="5" t="n">
        <v>7.95</v>
      </c>
      <c r="CE727" s="5" t="n">
        <v>113.713</v>
      </c>
      <c r="CF727" s="5" t="n">
        <v>256.052</v>
      </c>
      <c r="CG727" s="5" t="n">
        <v>0.21</v>
      </c>
      <c r="CH727" s="5" t="n">
        <v>1</v>
      </c>
      <c r="CI727" s="5" t="n">
        <v>0</v>
      </c>
      <c r="CJ727" s="5" t="n">
        <v>0</v>
      </c>
      <c r="CK727" s="5" t="n">
        <v>0</v>
      </c>
      <c r="CL727" s="5" t="n">
        <v>0</v>
      </c>
      <c r="CM727" s="5" t="n">
        <v>0.167</v>
      </c>
      <c r="CN727" s="5" t="n">
        <v>0</v>
      </c>
      <c r="CO727" s="5" t="n">
        <v>0</v>
      </c>
      <c r="CP727" s="5" t="n">
        <v>0</v>
      </c>
      <c r="CQ727" s="5" t="n">
        <v>1.294</v>
      </c>
      <c r="CR727" s="5" t="n">
        <v>0</v>
      </c>
      <c r="CS727" s="5" t="n">
        <v>5.158</v>
      </c>
      <c r="CT727" s="5" t="n">
        <v>11.015</v>
      </c>
      <c r="CU727" s="5" t="n">
        <v>29.266</v>
      </c>
    </row>
    <row r="728">
      <c r="A728" s="5" t="inlineStr">
        <is>
          <t>ESP2023</t>
        </is>
      </c>
      <c r="B728" s="5" t="inlineStr">
        <is>
          <t>ESP</t>
        </is>
      </c>
      <c r="C728" s="5" t="inlineStr">
        <is>
          <t>ESP</t>
        </is>
      </c>
      <c r="D728" s="5" t="inlineStr">
        <is>
          <t>Spain</t>
        </is>
      </c>
      <c r="E728" s="5" t="n">
        <v>2023</v>
      </c>
      <c r="F728" s="5" t="n">
        <v>0.21</v>
      </c>
      <c r="G728" s="5" t="n">
        <v>8.535</v>
      </c>
      <c r="H728" s="5" t="n">
        <v>1.286</v>
      </c>
      <c r="I728" s="5" t="n">
        <v>9.504</v>
      </c>
      <c r="J728" s="5" t="n">
        <v>18.039</v>
      </c>
      <c r="K728" s="5" t="n">
        <v>0</v>
      </c>
      <c r="L728" s="5" t="n">
        <v>1</v>
      </c>
      <c r="M728" s="5" t="n">
        <v>10.851</v>
      </c>
      <c r="N728" s="5" t="n">
        <v>3.857</v>
      </c>
      <c r="O728" s="5" t="n">
        <v>9.603999999999999</v>
      </c>
      <c r="P728" s="5" t="n">
        <v>20.455</v>
      </c>
      <c r="Q728" s="5" t="n">
        <v>0</v>
      </c>
      <c r="R728" s="5" t="n">
        <v>1</v>
      </c>
      <c r="S728" s="5" t="n">
        <v>14.964</v>
      </c>
      <c r="T728" s="5" t="n">
        <v>7.714</v>
      </c>
      <c r="U728" s="5" t="n">
        <v>0.748</v>
      </c>
      <c r="V728" s="5" t="n">
        <v>18.579</v>
      </c>
      <c r="W728" s="5" t="n">
        <v>0.21</v>
      </c>
      <c r="X728" s="5" t="n">
        <v>1</v>
      </c>
      <c r="Y728" s="5" t="n">
        <v>15.827</v>
      </c>
      <c r="Z728" s="5" t="n">
        <v>1.773</v>
      </c>
      <c r="AA728" s="5" t="n">
        <v>8.339</v>
      </c>
      <c r="AB728" s="5" t="n">
        <v>24.166</v>
      </c>
      <c r="AC728" s="5" t="n">
        <v>0</v>
      </c>
      <c r="AD728" s="5" t="n">
        <v>1</v>
      </c>
      <c r="AE728" s="5" t="n">
        <v>15.926</v>
      </c>
      <c r="AF728" s="5" t="n">
        <v>3.172</v>
      </c>
      <c r="AG728" s="5" t="n">
        <v>8.24</v>
      </c>
      <c r="AH728" s="5" t="n">
        <v>24.166</v>
      </c>
      <c r="AI728" s="5" t="n">
        <v>0</v>
      </c>
      <c r="AJ728" s="5" t="n">
        <v>1</v>
      </c>
      <c r="AK728" s="5" t="n">
        <v>25.48</v>
      </c>
      <c r="AL728" s="5" t="n">
        <v>12.622</v>
      </c>
      <c r="AM728" s="5" t="n">
        <v>0.423</v>
      </c>
      <c r="AN728" s="5" t="n">
        <v>31.342</v>
      </c>
      <c r="AO728" s="5" t="n">
        <v>0.21</v>
      </c>
      <c r="AP728" s="5" t="n">
        <v>1</v>
      </c>
      <c r="AQ728" s="5" t="n">
        <v>0.76</v>
      </c>
      <c r="AR728" s="5" t="n">
        <v>0.129</v>
      </c>
      <c r="AS728" s="5" t="n">
        <v>0.702</v>
      </c>
      <c r="AT728" s="5" t="n">
        <v>1.769</v>
      </c>
      <c r="AU728" s="5" t="n">
        <v>0.21</v>
      </c>
      <c r="AV728" s="5" t="n">
        <v>1</v>
      </c>
      <c r="AW728" s="5" t="n">
        <v>0.8110000000000001</v>
      </c>
      <c r="AX728" s="5" t="n">
        <v>0.129</v>
      </c>
      <c r="AY728" s="5" t="n">
        <v>0.584</v>
      </c>
      <c r="AZ728" s="5" t="n">
        <v>1.688</v>
      </c>
      <c r="BA728" s="5" t="n">
        <v>0.21</v>
      </c>
      <c r="BB728" s="5" t="n">
        <v>1</v>
      </c>
      <c r="BC728" s="5" t="n">
        <v>0.535</v>
      </c>
      <c r="BD728" s="5" t="n">
        <v>0.129</v>
      </c>
      <c r="BE728" s="5" t="n">
        <v>0.321</v>
      </c>
      <c r="BF728" s="5" t="n">
        <v>1.036</v>
      </c>
      <c r="BG728" s="5" t="n">
        <v>0.21</v>
      </c>
      <c r="BH728" s="5" t="n">
        <v>1</v>
      </c>
      <c r="BI728" s="5" t="n">
        <v>0.579</v>
      </c>
      <c r="BJ728" s="5" t="n">
        <v>0.129</v>
      </c>
      <c r="BK728" s="5" t="n">
        <v>0.362</v>
      </c>
      <c r="BL728" s="5" t="n">
        <v>1.139</v>
      </c>
      <c r="BM728" s="5" t="n">
        <v>0.21</v>
      </c>
      <c r="BN728" s="5" t="n">
        <v>1</v>
      </c>
      <c r="BO728" s="5" t="n">
        <v>0</v>
      </c>
      <c r="BP728" s="5" t="n">
        <v>0.005</v>
      </c>
      <c r="BQ728" s="5" t="n">
        <v>0.134</v>
      </c>
      <c r="BR728" s="5" t="n">
        <v>0</v>
      </c>
      <c r="BS728" s="5" t="n">
        <v>1</v>
      </c>
      <c r="BT728" s="5" t="n">
        <v>0</v>
      </c>
      <c r="BU728" s="5" t="n">
        <v>0.017</v>
      </c>
      <c r="BV728" s="5" t="n">
        <v>0.26</v>
      </c>
      <c r="BW728" s="5" t="n">
        <v>0.21</v>
      </c>
      <c r="BX728" s="5" t="n">
        <v>1</v>
      </c>
      <c r="BY728" s="5" t="n">
        <v>13.254</v>
      </c>
      <c r="BZ728" s="5" t="n">
        <v>0</v>
      </c>
      <c r="CA728" s="5" t="n">
        <v>13.254</v>
      </c>
      <c r="CB728" s="5" t="n">
        <v>0</v>
      </c>
      <c r="CC728" s="5" t="n">
        <v>83.248</v>
      </c>
      <c r="CD728" s="5" t="n">
        <v>7.95</v>
      </c>
      <c r="CE728" s="5" t="n">
        <v>105.416</v>
      </c>
      <c r="CF728" s="5" t="n">
        <v>228.283</v>
      </c>
      <c r="CG728" s="5" t="n">
        <v>0.21</v>
      </c>
      <c r="CH728" s="5" t="n">
        <v>1</v>
      </c>
      <c r="CI728" s="5" t="n">
        <v>0</v>
      </c>
      <c r="CJ728" s="5" t="n">
        <v>0</v>
      </c>
      <c r="CK728" s="5" t="n">
        <v>0</v>
      </c>
      <c r="CL728" s="5" t="n">
        <v>0</v>
      </c>
      <c r="CM728" s="5" t="n">
        <v>0.174</v>
      </c>
      <c r="CN728" s="5" t="n">
        <v>0</v>
      </c>
      <c r="CO728" s="5" t="n">
        <v>0</v>
      </c>
      <c r="CP728" s="5" t="n">
        <v>0</v>
      </c>
      <c r="CQ728" s="5" t="n">
        <v>1.348</v>
      </c>
      <c r="CR728" s="5" t="n">
        <v>0</v>
      </c>
      <c r="CS728" s="5" t="n">
        <v>5.37</v>
      </c>
      <c r="CT728" s="5" t="n">
        <v>7.25</v>
      </c>
      <c r="CU728" s="5" t="n">
        <v>11.72</v>
      </c>
    </row>
    <row r="729">
      <c r="A729" s="5" t="inlineStr">
        <is>
          <t>ESP2024</t>
        </is>
      </c>
      <c r="B729" s="5" t="inlineStr">
        <is>
          <t>ESP</t>
        </is>
      </c>
      <c r="C729" s="5" t="inlineStr">
        <is>
          <t>ESP</t>
        </is>
      </c>
      <c r="D729" s="5" t="inlineStr">
        <is>
          <t>Spain</t>
        </is>
      </c>
      <c r="E729" s="5" t="n">
        <v>2024</v>
      </c>
      <c r="F729" s="5" t="n">
        <v>0.21</v>
      </c>
      <c r="G729" s="5" t="n">
        <v>7.095</v>
      </c>
      <c r="H729" s="5" t="n">
        <v>1.324</v>
      </c>
      <c r="I729" s="5" t="n">
        <v>6.247</v>
      </c>
      <c r="J729" s="5" t="n">
        <v>13.341</v>
      </c>
      <c r="K729" s="5" t="n">
        <v>0</v>
      </c>
      <c r="L729" s="5" t="n">
        <v>1</v>
      </c>
      <c r="M729" s="5" t="n">
        <v>10.26</v>
      </c>
      <c r="N729" s="5" t="n">
        <v>3.971</v>
      </c>
      <c r="O729" s="5" t="n">
        <v>6.312</v>
      </c>
      <c r="P729" s="5" t="n">
        <v>16.572</v>
      </c>
      <c r="Q729" s="5" t="n">
        <v>0</v>
      </c>
      <c r="R729" s="5" t="n">
        <v>1</v>
      </c>
      <c r="S729" s="5" t="n">
        <v>13.713</v>
      </c>
      <c r="T729" s="5" t="n">
        <v>7.942</v>
      </c>
      <c r="U729" s="5" t="n">
        <v>0.796</v>
      </c>
      <c r="V729" s="5" t="n">
        <v>17.067</v>
      </c>
      <c r="W729" s="5" t="n">
        <v>0.21</v>
      </c>
      <c r="X729" s="5" t="n">
        <v>1</v>
      </c>
      <c r="Y729" s="5" t="n">
        <v>13.578</v>
      </c>
      <c r="Z729" s="5" t="n">
        <v>1.714</v>
      </c>
      <c r="AA729" s="5" t="n">
        <v>4.38</v>
      </c>
      <c r="AB729" s="5" t="n">
        <v>17.958</v>
      </c>
      <c r="AC729" s="5" t="n">
        <v>0</v>
      </c>
      <c r="AD729" s="5" t="n">
        <v>1</v>
      </c>
      <c r="AE729" s="5" t="n">
        <v>13.578</v>
      </c>
      <c r="AF729" s="5" t="n">
        <v>2.974</v>
      </c>
      <c r="AG729" s="5" t="n">
        <v>4.38</v>
      </c>
      <c r="AH729" s="5" t="n">
        <v>17.958</v>
      </c>
      <c r="AI729" s="5" t="n">
        <v>0</v>
      </c>
      <c r="AJ729" s="5" t="n">
        <v>1</v>
      </c>
      <c r="AK729" s="5" t="n">
        <v>20.49</v>
      </c>
      <c r="AL729" s="5" t="n">
        <v>10.422</v>
      </c>
      <c r="AM729" s="5" t="n">
        <v>1.357</v>
      </c>
      <c r="AN729" s="5" t="n">
        <v>26.434</v>
      </c>
      <c r="AO729" s="5" t="n">
        <v>0.21</v>
      </c>
      <c r="AP729" s="5" t="n">
        <v>1</v>
      </c>
      <c r="AQ729" s="5" t="n">
        <v>0.724</v>
      </c>
      <c r="AR729" s="5" t="n">
        <v>0.132</v>
      </c>
      <c r="AS729" s="5" t="n">
        <v>0.6870000000000001</v>
      </c>
      <c r="AT729" s="5" t="n">
        <v>1.708</v>
      </c>
      <c r="AU729" s="5" t="n">
        <v>0.21</v>
      </c>
      <c r="AV729" s="5" t="n">
        <v>1</v>
      </c>
      <c r="AW729" s="5" t="n">
        <v>0.75</v>
      </c>
      <c r="AX729" s="5" t="n">
        <v>0.132</v>
      </c>
      <c r="AY729" s="5" t="n">
        <v>0.5659999999999999</v>
      </c>
      <c r="AZ729" s="5" t="n">
        <v>1.592</v>
      </c>
      <c r="BA729" s="5" t="n">
        <v>0.21</v>
      </c>
      <c r="BB729" s="5" t="n">
        <v>1</v>
      </c>
      <c r="BC729" s="5" t="n">
        <v>0.513</v>
      </c>
      <c r="BD729" s="5" t="n">
        <v>0.132</v>
      </c>
      <c r="BE729" s="5" t="n">
        <v>0.334</v>
      </c>
      <c r="BF729" s="5" t="n">
        <v>1.025</v>
      </c>
      <c r="BG729" s="5" t="n">
        <v>0.21</v>
      </c>
      <c r="BH729" s="5" t="n">
        <v>1</v>
      </c>
      <c r="BI729" s="5" t="n">
        <v>0.591</v>
      </c>
      <c r="BJ729" s="5" t="n">
        <v>0.132</v>
      </c>
      <c r="BK729" s="5" t="n">
        <v>0.279</v>
      </c>
      <c r="BL729" s="5" t="n">
        <v>1.053</v>
      </c>
      <c r="BM729" s="5" t="n">
        <v>0.21</v>
      </c>
      <c r="BN729" s="5" t="n">
        <v>1</v>
      </c>
      <c r="BO729" s="5" t="n">
        <v>0</v>
      </c>
      <c r="BP729" s="5" t="n">
        <v>0.01</v>
      </c>
      <c r="BQ729" s="5" t="n">
        <v>0.116</v>
      </c>
      <c r="BR729" s="5" t="n">
        <v>0</v>
      </c>
      <c r="BS729" s="5" t="n">
        <v>1</v>
      </c>
      <c r="BT729" s="5" t="n">
        <v>0</v>
      </c>
      <c r="BU729" s="5" t="n">
        <v>0.032</v>
      </c>
      <c r="BV729" s="5" t="n">
        <v>0.262</v>
      </c>
      <c r="BW729" s="5" t="n">
        <v>0.21</v>
      </c>
      <c r="BX729" s="5" t="n">
        <v>1</v>
      </c>
      <c r="BY729" s="5" t="n">
        <v>13.646</v>
      </c>
      <c r="BZ729" s="5" t="n">
        <v>0</v>
      </c>
      <c r="CA729" s="5" t="n">
        <v>13.646</v>
      </c>
      <c r="CB729" s="5" t="n">
        <v>0</v>
      </c>
      <c r="CC729" s="5" t="n">
        <v>82.58799999999999</v>
      </c>
      <c r="CD729" s="5" t="n">
        <v>7.95</v>
      </c>
      <c r="CE729" s="5" t="n">
        <v>82.75700000000001</v>
      </c>
      <c r="CF729" s="5" t="n">
        <v>200.067</v>
      </c>
      <c r="CG729" s="5" t="n">
        <v>0.21</v>
      </c>
      <c r="CH729" s="5" t="n">
        <v>1</v>
      </c>
      <c r="CI729" s="5" t="n">
        <v>0</v>
      </c>
      <c r="CJ729" s="5" t="n">
        <v>0</v>
      </c>
      <c r="CK729" s="5" t="n">
        <v>0</v>
      </c>
      <c r="CL729" s="5" t="n">
        <v>0</v>
      </c>
      <c r="CM729" s="5" t="n">
        <v>0.179</v>
      </c>
      <c r="CN729" s="5" t="n">
        <v>0</v>
      </c>
      <c r="CO729" s="5" t="n">
        <v>0</v>
      </c>
      <c r="CP729" s="5" t="n">
        <v>0</v>
      </c>
      <c r="CQ729" s="5" t="n">
        <v>1.387</v>
      </c>
      <c r="CR729" s="5" t="n">
        <v>0</v>
      </c>
      <c r="CS729" s="5" t="n">
        <v>5.529</v>
      </c>
      <c r="CT729" s="5" t="n">
        <v>5.771</v>
      </c>
      <c r="CU729" s="5" t="n">
        <v>9.494999999999999</v>
      </c>
    </row>
    <row r="730">
      <c r="A730" s="5" t="inlineStr">
        <is>
          <t>LKA2021</t>
        </is>
      </c>
      <c r="B730" s="5" t="inlineStr">
        <is>
          <t>LKA</t>
        </is>
      </c>
      <c r="C730" s="5" t="inlineStr">
        <is>
          <t>LKA</t>
        </is>
      </c>
      <c r="D730" s="5" t="inlineStr">
        <is>
          <t>Sri Lanka</t>
        </is>
      </c>
      <c r="E730" s="5" t="n">
        <v>2021</v>
      </c>
      <c r="F730" s="5" t="n">
        <v>0.08</v>
      </c>
      <c r="G730" s="5" t="n">
        <v>4.606</v>
      </c>
      <c r="H730" s="5" t="n">
        <v>1.116</v>
      </c>
      <c r="I730" s="5" t="n">
        <v>0</v>
      </c>
      <c r="J730" s="5" t="n">
        <v>4.606</v>
      </c>
      <c r="K730" s="5" t="n">
        <v>0</v>
      </c>
      <c r="L730" s="5" t="n">
        <v>1</v>
      </c>
      <c r="M730" s="5" t="n">
        <v>7.724</v>
      </c>
      <c r="N730" s="5" t="n">
        <v>3.348</v>
      </c>
      <c r="O730" s="5" t="n">
        <v>0</v>
      </c>
      <c r="P730" s="5" t="n">
        <v>7.724</v>
      </c>
      <c r="Q730" s="5" t="n">
        <v>0</v>
      </c>
      <c r="R730" s="5" t="n">
        <v>1</v>
      </c>
      <c r="S730" s="5" t="n">
        <v>10.187</v>
      </c>
      <c r="T730" s="5" t="n">
        <v>6.697</v>
      </c>
      <c r="U730" s="5" t="n">
        <v>0</v>
      </c>
      <c r="V730" s="5" t="n">
        <v>11.001</v>
      </c>
      <c r="W730" s="5" t="n">
        <v>0.08</v>
      </c>
      <c r="X730" s="5" t="n">
        <v>1</v>
      </c>
      <c r="Y730" s="5" t="n">
        <v>4.783</v>
      </c>
      <c r="Z730" s="5" t="n">
        <v>0.5590000000000001</v>
      </c>
      <c r="AA730" s="5" t="n">
        <v>0</v>
      </c>
      <c r="AB730" s="5" t="n">
        <v>4.783</v>
      </c>
      <c r="AC730" s="5" t="n">
        <v>0</v>
      </c>
      <c r="AD730" s="5" t="n">
        <v>1</v>
      </c>
      <c r="AE730" s="5" t="n">
        <v>5.926</v>
      </c>
      <c r="AF730" s="5" t="n">
        <v>1.225</v>
      </c>
      <c r="AG730" s="5" t="n">
        <v>0</v>
      </c>
      <c r="AH730" s="5" t="n">
        <v>5.926</v>
      </c>
      <c r="AI730" s="5" t="n">
        <v>0</v>
      </c>
      <c r="AJ730" s="5" t="n">
        <v>1</v>
      </c>
      <c r="AK730" s="5" t="n">
        <v>12.786</v>
      </c>
      <c r="AL730" s="5" t="n">
        <v>6.372</v>
      </c>
      <c r="AM730" s="5" t="n">
        <v>0</v>
      </c>
      <c r="AN730" s="5" t="n">
        <v>13.809</v>
      </c>
      <c r="AO730" s="5" t="n">
        <v>0.08</v>
      </c>
      <c r="AP730" s="5" t="n">
        <v>1</v>
      </c>
      <c r="AQ730" s="5" t="n">
        <v>0.621</v>
      </c>
      <c r="AR730" s="5" t="n">
        <v>0.114</v>
      </c>
      <c r="AS730" s="5" t="n">
        <v>0.137</v>
      </c>
      <c r="AT730" s="5" t="n">
        <v>0.758</v>
      </c>
      <c r="AU730" s="5" t="n">
        <v>0</v>
      </c>
      <c r="AV730" s="5" t="n">
        <v>1</v>
      </c>
      <c r="AW730" s="5" t="n">
        <v>0.593</v>
      </c>
      <c r="AX730" s="5" t="n">
        <v>0.114</v>
      </c>
      <c r="AY730" s="5" t="n">
        <v>0.022</v>
      </c>
      <c r="AZ730" s="5" t="n">
        <v>0.615</v>
      </c>
      <c r="BA730" s="5" t="n">
        <v>0</v>
      </c>
      <c r="BB730" s="5" t="n">
        <v>1</v>
      </c>
      <c r="BC730" s="5" t="n">
        <v>0.44</v>
      </c>
      <c r="BD730" s="5" t="n">
        <v>0.114</v>
      </c>
      <c r="BE730" s="5" t="n">
        <v>0</v>
      </c>
      <c r="BF730" s="5" t="n">
        <v>0.475</v>
      </c>
      <c r="BG730" s="5" t="n">
        <v>0.08</v>
      </c>
      <c r="BH730" s="5" t="n">
        <v>1</v>
      </c>
      <c r="BI730" s="5" t="n">
        <v>0.5600000000000001</v>
      </c>
      <c r="BJ730" s="5" t="n">
        <v>0.114</v>
      </c>
      <c r="BK730" s="5" t="n">
        <v>-0.208</v>
      </c>
      <c r="BL730" s="5" t="n">
        <v>0.352</v>
      </c>
      <c r="BM730" s="5" t="n">
        <v>0</v>
      </c>
      <c r="BN730" s="5" t="n">
        <v>1</v>
      </c>
      <c r="BO730" s="5" t="n">
        <v>0</v>
      </c>
      <c r="BP730" s="5" t="n">
        <v>-0.03</v>
      </c>
      <c r="BQ730" s="5" t="n">
        <v>0.074</v>
      </c>
      <c r="BR730" s="5" t="n">
        <v>0</v>
      </c>
      <c r="BS730" s="5" t="n">
        <v>0.833</v>
      </c>
      <c r="BT730" s="5" t="n">
        <v>0</v>
      </c>
      <c r="BU730" s="5" t="n">
        <v>-0.03</v>
      </c>
      <c r="BV730" s="5" t="n">
        <v>0.075</v>
      </c>
      <c r="BW730" s="5" t="n">
        <v>0</v>
      </c>
      <c r="BX730" s="5" t="n">
        <v>0.833</v>
      </c>
      <c r="BY730" s="5" t="n">
        <v>11.787</v>
      </c>
      <c r="BZ730" s="5" t="n">
        <v>0</v>
      </c>
      <c r="CA730" s="5" t="n">
        <v>11.787</v>
      </c>
      <c r="CB730" s="5" t="n">
        <v>0</v>
      </c>
      <c r="CC730" s="5" t="n">
        <v>81.69499999999999</v>
      </c>
      <c r="CD730" s="5" t="n">
        <v>7.95</v>
      </c>
      <c r="CE730" s="5" t="n">
        <v>-15.969</v>
      </c>
      <c r="CF730" s="5" t="n">
        <v>70.985</v>
      </c>
      <c r="CG730" s="5" t="n">
        <v>0.08</v>
      </c>
      <c r="CH730" s="5" t="n">
        <v>1</v>
      </c>
      <c r="CI730" s="5" t="n">
        <v>0</v>
      </c>
      <c r="CJ730" s="5" t="n">
        <v>0</v>
      </c>
      <c r="CK730" s="5" t="n">
        <v>0</v>
      </c>
      <c r="CL730" s="5" t="n">
        <v>0</v>
      </c>
      <c r="CM730" s="5" t="n">
        <v>0</v>
      </c>
      <c r="CN730" s="5" t="n">
        <v>0</v>
      </c>
      <c r="CO730" s="5" t="n">
        <v>0</v>
      </c>
      <c r="CP730" s="5" t="n">
        <v>0.048</v>
      </c>
      <c r="CQ730" s="5" t="n">
        <v>1.198</v>
      </c>
      <c r="CR730" s="5" t="n">
        <v>0</v>
      </c>
      <c r="CS730" s="5" t="n">
        <v>4.776</v>
      </c>
      <c r="CT730" s="5" t="n">
        <v>3.604</v>
      </c>
      <c r="CU730" s="5" t="n">
        <v>16.843</v>
      </c>
    </row>
    <row r="731">
      <c r="A731" s="5" t="inlineStr">
        <is>
          <t>LKA2022</t>
        </is>
      </c>
      <c r="B731" s="5" t="inlineStr">
        <is>
          <t>LKA</t>
        </is>
      </c>
      <c r="C731" s="5" t="inlineStr">
        <is>
          <t>LKA</t>
        </is>
      </c>
      <c r="D731" s="5" t="inlineStr">
        <is>
          <t>Sri Lanka</t>
        </is>
      </c>
      <c r="E731" s="5" t="n">
        <v>2022</v>
      </c>
      <c r="F731" s="5" t="n">
        <v>0.08</v>
      </c>
      <c r="G731" s="5" t="n">
        <v>8.781000000000001</v>
      </c>
      <c r="H731" s="5" t="n">
        <v>1.234</v>
      </c>
      <c r="I731" s="5" t="n">
        <v>0</v>
      </c>
      <c r="J731" s="5" t="n">
        <v>8.781000000000001</v>
      </c>
      <c r="K731" s="5" t="n">
        <v>0</v>
      </c>
      <c r="L731" s="5" t="n">
        <v>1</v>
      </c>
      <c r="M731" s="5" t="n">
        <v>9.775</v>
      </c>
      <c r="N731" s="5" t="n">
        <v>3.702</v>
      </c>
      <c r="O731" s="5" t="n">
        <v>0</v>
      </c>
      <c r="P731" s="5" t="n">
        <v>9.775</v>
      </c>
      <c r="Q731" s="5" t="n">
        <v>0</v>
      </c>
      <c r="R731" s="5" t="n">
        <v>1</v>
      </c>
      <c r="S731" s="5" t="n">
        <v>14.95</v>
      </c>
      <c r="T731" s="5" t="n">
        <v>7.404</v>
      </c>
      <c r="U731" s="5" t="n">
        <v>0.089</v>
      </c>
      <c r="V731" s="5" t="n">
        <v>16.147</v>
      </c>
      <c r="W731" s="5" t="n">
        <v>0.08</v>
      </c>
      <c r="X731" s="5" t="n">
        <v>1</v>
      </c>
      <c r="Y731" s="5" t="n">
        <v>5.165</v>
      </c>
      <c r="Z731" s="5" t="n">
        <v>0.603</v>
      </c>
      <c r="AA731" s="5" t="n">
        <v>0</v>
      </c>
      <c r="AB731" s="5" t="n">
        <v>5.165</v>
      </c>
      <c r="AC731" s="5" t="n">
        <v>0</v>
      </c>
      <c r="AD731" s="5" t="n">
        <v>1</v>
      </c>
      <c r="AE731" s="5" t="n">
        <v>6.4</v>
      </c>
      <c r="AF731" s="5" t="n">
        <v>1.323</v>
      </c>
      <c r="AG731" s="5" t="n">
        <v>0</v>
      </c>
      <c r="AH731" s="5" t="n">
        <v>6.4</v>
      </c>
      <c r="AI731" s="5" t="n">
        <v>0</v>
      </c>
      <c r="AJ731" s="5" t="n">
        <v>1</v>
      </c>
      <c r="AK731" s="5" t="n">
        <v>13.808</v>
      </c>
      <c r="AL731" s="5" t="n">
        <v>6.881</v>
      </c>
      <c r="AM731" s="5" t="n">
        <v>0.082</v>
      </c>
      <c r="AN731" s="5" t="n">
        <v>14.912</v>
      </c>
      <c r="AO731" s="5" t="n">
        <v>0.08</v>
      </c>
      <c r="AP731" s="5" t="n">
        <v>1</v>
      </c>
      <c r="AQ731" s="5" t="n">
        <v>0.847</v>
      </c>
      <c r="AR731" s="5" t="n">
        <v>0.123</v>
      </c>
      <c r="AS731" s="5" t="n">
        <v>0.313</v>
      </c>
      <c r="AT731" s="5" t="n">
        <v>1.16</v>
      </c>
      <c r="AU731" s="5" t="n">
        <v>0</v>
      </c>
      <c r="AV731" s="5" t="n">
        <v>1</v>
      </c>
      <c r="AW731" s="5" t="n">
        <v>0.947</v>
      </c>
      <c r="AX731" s="5" t="n">
        <v>0.123</v>
      </c>
      <c r="AY731" s="5" t="n">
        <v>0.149</v>
      </c>
      <c r="AZ731" s="5" t="n">
        <v>1.096</v>
      </c>
      <c r="BA731" s="5" t="n">
        <v>0</v>
      </c>
      <c r="BB731" s="5" t="n">
        <v>1</v>
      </c>
      <c r="BC731" s="5" t="n">
        <v>0.589</v>
      </c>
      <c r="BD731" s="5" t="n">
        <v>0.123</v>
      </c>
      <c r="BE731" s="5" t="n">
        <v>0.003</v>
      </c>
      <c r="BF731" s="5" t="n">
        <v>0.636</v>
      </c>
      <c r="BG731" s="5" t="n">
        <v>0.08</v>
      </c>
      <c r="BH731" s="5" t="n">
        <v>1</v>
      </c>
      <c r="BI731" s="5" t="n">
        <v>0.6889999999999999</v>
      </c>
      <c r="BJ731" s="5" t="n">
        <v>0.123</v>
      </c>
      <c r="BK731" s="5" t="n">
        <v>-0.095</v>
      </c>
      <c r="BL731" s="5" t="n">
        <v>0.594</v>
      </c>
      <c r="BM731" s="5" t="n">
        <v>0</v>
      </c>
      <c r="BN731" s="5" t="n">
        <v>1</v>
      </c>
      <c r="BO731" s="5" t="n">
        <v>0</v>
      </c>
      <c r="BP731" s="5" t="n">
        <v>-0.099</v>
      </c>
      <c r="BQ731" s="5" t="n">
        <v>0.06900000000000001</v>
      </c>
      <c r="BR731" s="5" t="n">
        <v>0</v>
      </c>
      <c r="BS731" s="5" t="n">
        <v>0.833</v>
      </c>
      <c r="BT731" s="5" t="n">
        <v>0</v>
      </c>
      <c r="BU731" s="5" t="n">
        <v>-0.099</v>
      </c>
      <c r="BV731" s="5" t="n">
        <v>0.075</v>
      </c>
      <c r="BW731" s="5" t="n">
        <v>0</v>
      </c>
      <c r="BX731" s="5" t="n">
        <v>0.833</v>
      </c>
      <c r="BY731" s="5" t="n">
        <v>12.729</v>
      </c>
      <c r="BZ731" s="5" t="n">
        <v>0</v>
      </c>
      <c r="CA731" s="5" t="n">
        <v>12.729</v>
      </c>
      <c r="CB731" s="5" t="n">
        <v>0</v>
      </c>
      <c r="CC731" s="5" t="n">
        <v>102.477</v>
      </c>
      <c r="CD731" s="5" t="n">
        <v>7.95</v>
      </c>
      <c r="CE731" s="5" t="n">
        <v>30.002</v>
      </c>
      <c r="CF731" s="5" t="n">
        <v>143.077</v>
      </c>
      <c r="CG731" s="5" t="n">
        <v>0.08</v>
      </c>
      <c r="CH731" s="5" t="n">
        <v>1</v>
      </c>
      <c r="CI731" s="5" t="n">
        <v>0</v>
      </c>
      <c r="CJ731" s="5" t="n">
        <v>0</v>
      </c>
      <c r="CK731" s="5" t="n">
        <v>0</v>
      </c>
      <c r="CL731" s="5" t="n">
        <v>0</v>
      </c>
      <c r="CM731" s="5" t="n">
        <v>0</v>
      </c>
      <c r="CN731" s="5" t="n">
        <v>0</v>
      </c>
      <c r="CO731" s="5" t="n">
        <v>0</v>
      </c>
      <c r="CP731" s="5" t="n">
        <v>0.001</v>
      </c>
      <c r="CQ731" s="5" t="n">
        <v>1.294</v>
      </c>
      <c r="CR731" s="5" t="n">
        <v>0</v>
      </c>
      <c r="CS731" s="5" t="n">
        <v>5.158</v>
      </c>
      <c r="CT731" s="5" t="n">
        <v>7.554</v>
      </c>
      <c r="CU731" s="5" t="n">
        <v>30.149</v>
      </c>
    </row>
    <row r="732">
      <c r="A732" s="5" t="inlineStr">
        <is>
          <t>LKA2023</t>
        </is>
      </c>
      <c r="B732" s="5" t="inlineStr">
        <is>
          <t>LKA</t>
        </is>
      </c>
      <c r="C732" s="5" t="inlineStr">
        <is>
          <t>LKA</t>
        </is>
      </c>
      <c r="D732" s="5" t="inlineStr">
        <is>
          <t>Sri Lanka</t>
        </is>
      </c>
      <c r="E732" s="5" t="n">
        <v>2023</v>
      </c>
      <c r="F732" s="5" t="n">
        <v>0.08</v>
      </c>
      <c r="G732" s="5" t="n">
        <v>5.641</v>
      </c>
      <c r="H732" s="5" t="n">
        <v>1.264</v>
      </c>
      <c r="I732" s="5" t="n">
        <v>0</v>
      </c>
      <c r="J732" s="5" t="n">
        <v>5.641</v>
      </c>
      <c r="K732" s="5" t="n">
        <v>0</v>
      </c>
      <c r="L732" s="5" t="n">
        <v>1</v>
      </c>
      <c r="M732" s="5" t="n">
        <v>7.729</v>
      </c>
      <c r="N732" s="5" t="n">
        <v>3.791</v>
      </c>
      <c r="O732" s="5" t="n">
        <v>0</v>
      </c>
      <c r="P732" s="5" t="n">
        <v>7.729</v>
      </c>
      <c r="Q732" s="5" t="n">
        <v>0</v>
      </c>
      <c r="R732" s="5" t="n">
        <v>1</v>
      </c>
      <c r="S732" s="5" t="n">
        <v>11.96</v>
      </c>
      <c r="T732" s="5" t="n">
        <v>7.582</v>
      </c>
      <c r="U732" s="5" t="n">
        <v>0.106</v>
      </c>
      <c r="V732" s="5" t="n">
        <v>12.916</v>
      </c>
      <c r="W732" s="5" t="n">
        <v>0.08</v>
      </c>
      <c r="X732" s="5" t="n">
        <v>1</v>
      </c>
      <c r="Y732" s="5" t="n">
        <v>5.378</v>
      </c>
      <c r="Z732" s="5" t="n">
        <v>0.628</v>
      </c>
      <c r="AA732" s="5" t="n">
        <v>0</v>
      </c>
      <c r="AB732" s="5" t="n">
        <v>5.378</v>
      </c>
      <c r="AC732" s="5" t="n">
        <v>0</v>
      </c>
      <c r="AD732" s="5" t="n">
        <v>1</v>
      </c>
      <c r="AE732" s="5" t="n">
        <v>6.664</v>
      </c>
      <c r="AF732" s="5" t="n">
        <v>1.378</v>
      </c>
      <c r="AG732" s="5" t="n">
        <v>0</v>
      </c>
      <c r="AH732" s="5" t="n">
        <v>6.664</v>
      </c>
      <c r="AI732" s="5" t="n">
        <v>0</v>
      </c>
      <c r="AJ732" s="5" t="n">
        <v>1</v>
      </c>
      <c r="AK732" s="5" t="n">
        <v>14.378</v>
      </c>
      <c r="AL732" s="5" t="n">
        <v>7.165</v>
      </c>
      <c r="AM732" s="5" t="n">
        <v>0.127</v>
      </c>
      <c r="AN732" s="5" t="n">
        <v>15.528</v>
      </c>
      <c r="AO732" s="5" t="n">
        <v>0.08</v>
      </c>
      <c r="AP732" s="5" t="n">
        <v>1</v>
      </c>
      <c r="AQ732" s="5" t="n">
        <v>0.749</v>
      </c>
      <c r="AR732" s="5" t="n">
        <v>0.129</v>
      </c>
      <c r="AS732" s="5" t="n">
        <v>0.409</v>
      </c>
      <c r="AT732" s="5" t="n">
        <v>1.158</v>
      </c>
      <c r="AU732" s="5" t="n">
        <v>0</v>
      </c>
      <c r="AV732" s="5" t="n">
        <v>1</v>
      </c>
      <c r="AW732" s="5" t="n">
        <v>0.783</v>
      </c>
      <c r="AX732" s="5" t="n">
        <v>0.129</v>
      </c>
      <c r="AY732" s="5" t="n">
        <v>0.355</v>
      </c>
      <c r="AZ732" s="5" t="n">
        <v>1.138</v>
      </c>
      <c r="BA732" s="5" t="n">
        <v>0</v>
      </c>
      <c r="BB732" s="5" t="n">
        <v>1</v>
      </c>
      <c r="BC732" s="5" t="n">
        <v>0.527</v>
      </c>
      <c r="BD732" s="5" t="n">
        <v>0.129</v>
      </c>
      <c r="BE732" s="5" t="n">
        <v>0.005</v>
      </c>
      <c r="BF732" s="5" t="n">
        <v>0.57</v>
      </c>
      <c r="BG732" s="5" t="n">
        <v>0.08</v>
      </c>
      <c r="BH732" s="5" t="n">
        <v>1</v>
      </c>
      <c r="BI732" s="5" t="n">
        <v>0.64</v>
      </c>
      <c r="BJ732" s="5" t="n">
        <v>0.129</v>
      </c>
      <c r="BK732" s="5" t="n">
        <v>0.168</v>
      </c>
      <c r="BL732" s="5" t="n">
        <v>0.8080000000000001</v>
      </c>
      <c r="BM732" s="5" t="n">
        <v>0</v>
      </c>
      <c r="BN732" s="5" t="n">
        <v>1</v>
      </c>
      <c r="BO732" s="5" t="n">
        <v>0</v>
      </c>
      <c r="BP732" s="5" t="n">
        <v>-0.042</v>
      </c>
      <c r="BQ732" s="5" t="n">
        <v>0.068</v>
      </c>
      <c r="BR732" s="5" t="n">
        <v>0</v>
      </c>
      <c r="BS732" s="5" t="n">
        <v>0.833</v>
      </c>
      <c r="BT732" s="5" t="n">
        <v>0</v>
      </c>
      <c r="BU732" s="5" t="n">
        <v>-0.042</v>
      </c>
      <c r="BV732" s="5" t="n">
        <v>0.074</v>
      </c>
      <c r="BW732" s="5" t="n">
        <v>0</v>
      </c>
      <c r="BX732" s="5" t="n">
        <v>0.833</v>
      </c>
      <c r="BY732" s="5" t="n">
        <v>13.254</v>
      </c>
      <c r="BZ732" s="5" t="n">
        <v>0</v>
      </c>
      <c r="CA732" s="5" t="n">
        <v>13.254</v>
      </c>
      <c r="CB732" s="5" t="n">
        <v>0</v>
      </c>
      <c r="CC732" s="5" t="n">
        <v>87.07899999999999</v>
      </c>
      <c r="CD732" s="5" t="n">
        <v>7.95</v>
      </c>
      <c r="CE732" s="5" t="n">
        <v>15.299</v>
      </c>
      <c r="CF732" s="5" t="n">
        <v>110.568</v>
      </c>
      <c r="CG732" s="5" t="n">
        <v>0.08</v>
      </c>
      <c r="CH732" s="5" t="n">
        <v>1</v>
      </c>
      <c r="CI732" s="5" t="n">
        <v>0</v>
      </c>
      <c r="CJ732" s="5" t="n">
        <v>0</v>
      </c>
      <c r="CK732" s="5" t="n">
        <v>0</v>
      </c>
      <c r="CL732" s="5" t="n">
        <v>0</v>
      </c>
      <c r="CM732" s="5" t="n">
        <v>0</v>
      </c>
      <c r="CN732" s="5" t="n">
        <v>0</v>
      </c>
      <c r="CO732" s="5" t="n">
        <v>0</v>
      </c>
      <c r="CP732" s="5" t="n">
        <v>0.034</v>
      </c>
      <c r="CQ732" s="5" t="n">
        <v>1.348</v>
      </c>
      <c r="CR732" s="5" t="n">
        <v>0</v>
      </c>
      <c r="CS732" s="5" t="n">
        <v>5.37</v>
      </c>
      <c r="CT732" s="5" t="n">
        <v>4.484</v>
      </c>
      <c r="CU732" s="5" t="n">
        <v>12.392</v>
      </c>
    </row>
    <row r="733">
      <c r="A733" s="5" t="inlineStr">
        <is>
          <t>LKA2024</t>
        </is>
      </c>
      <c r="B733" s="5" t="inlineStr">
        <is>
          <t>LKA</t>
        </is>
      </c>
      <c r="C733" s="5" t="inlineStr">
        <is>
          <t>LKA</t>
        </is>
      </c>
      <c r="D733" s="5" t="inlineStr">
        <is>
          <t>Sri Lanka</t>
        </is>
      </c>
      <c r="E733" s="5" t="n">
        <v>2024</v>
      </c>
      <c r="F733" s="5" t="n">
        <v>0.08</v>
      </c>
      <c r="G733" s="5" t="n">
        <v>4.738</v>
      </c>
      <c r="H733" s="5" t="n">
        <v>1.301</v>
      </c>
      <c r="I733" s="5" t="n">
        <v>0</v>
      </c>
      <c r="J733" s="5" t="n">
        <v>4.738</v>
      </c>
      <c r="K733" s="5" t="n">
        <v>0</v>
      </c>
      <c r="L733" s="5" t="n">
        <v>1</v>
      </c>
      <c r="M733" s="5" t="n">
        <v>6.996</v>
      </c>
      <c r="N733" s="5" t="n">
        <v>3.903</v>
      </c>
      <c r="O733" s="5" t="n">
        <v>0</v>
      </c>
      <c r="P733" s="5" t="n">
        <v>6.996</v>
      </c>
      <c r="Q733" s="5" t="n">
        <v>0</v>
      </c>
      <c r="R733" s="5" t="n">
        <v>1</v>
      </c>
      <c r="S733" s="5" t="n">
        <v>11.243</v>
      </c>
      <c r="T733" s="5" t="n">
        <v>7.806</v>
      </c>
      <c r="U733" s="5" t="n">
        <v>0.123</v>
      </c>
      <c r="V733" s="5" t="n">
        <v>12.142</v>
      </c>
      <c r="W733" s="5" t="n">
        <v>0.08</v>
      </c>
      <c r="X733" s="5" t="n">
        <v>1</v>
      </c>
      <c r="Y733" s="5" t="n">
        <v>5.537</v>
      </c>
      <c r="Z733" s="5" t="n">
        <v>0.647</v>
      </c>
      <c r="AA733" s="5" t="n">
        <v>0</v>
      </c>
      <c r="AB733" s="5" t="n">
        <v>5.537</v>
      </c>
      <c r="AC733" s="5" t="n">
        <v>0</v>
      </c>
      <c r="AD733" s="5" t="n">
        <v>1</v>
      </c>
      <c r="AE733" s="5" t="n">
        <v>6.861</v>
      </c>
      <c r="AF733" s="5" t="n">
        <v>1.419</v>
      </c>
      <c r="AG733" s="5" t="n">
        <v>0</v>
      </c>
      <c r="AH733" s="5" t="n">
        <v>6.861</v>
      </c>
      <c r="AI733" s="5" t="n">
        <v>0</v>
      </c>
      <c r="AJ733" s="5" t="n">
        <v>1</v>
      </c>
      <c r="AK733" s="5" t="n">
        <v>14.802</v>
      </c>
      <c r="AL733" s="5" t="n">
        <v>7.377</v>
      </c>
      <c r="AM733" s="5" t="n">
        <v>0.161</v>
      </c>
      <c r="AN733" s="5" t="n">
        <v>15.986</v>
      </c>
      <c r="AO733" s="5" t="n">
        <v>0.08</v>
      </c>
      <c r="AP733" s="5" t="n">
        <v>1</v>
      </c>
      <c r="AQ733" s="5" t="n">
        <v>0.72</v>
      </c>
      <c r="AR733" s="5" t="n">
        <v>0.132</v>
      </c>
      <c r="AS733" s="5" t="n">
        <v>0.463</v>
      </c>
      <c r="AT733" s="5" t="n">
        <v>1.183</v>
      </c>
      <c r="AU733" s="5" t="n">
        <v>0</v>
      </c>
      <c r="AV733" s="5" t="n">
        <v>1</v>
      </c>
      <c r="AW733" s="5" t="n">
        <v>0.734</v>
      </c>
      <c r="AX733" s="5" t="n">
        <v>0.132</v>
      </c>
      <c r="AY733" s="5" t="n">
        <v>0.393</v>
      </c>
      <c r="AZ733" s="5" t="n">
        <v>1.127</v>
      </c>
      <c r="BA733" s="5" t="n">
        <v>0</v>
      </c>
      <c r="BB733" s="5" t="n">
        <v>1</v>
      </c>
      <c r="BC733" s="5" t="n">
        <v>0.51</v>
      </c>
      <c r="BD733" s="5" t="n">
        <v>0.132</v>
      </c>
      <c r="BE733" s="5" t="n">
        <v>0.006</v>
      </c>
      <c r="BF733" s="5" t="n">
        <v>0.551</v>
      </c>
      <c r="BG733" s="5" t="n">
        <v>0.08</v>
      </c>
      <c r="BH733" s="5" t="n">
        <v>1</v>
      </c>
      <c r="BI733" s="5" t="n">
        <v>0.652</v>
      </c>
      <c r="BJ733" s="5" t="n">
        <v>0.132</v>
      </c>
      <c r="BK733" s="5" t="n">
        <v>-0.027</v>
      </c>
      <c r="BL733" s="5" t="n">
        <v>0.625</v>
      </c>
      <c r="BM733" s="5" t="n">
        <v>0</v>
      </c>
      <c r="BN733" s="5" t="n">
        <v>1</v>
      </c>
      <c r="BO733" s="5" t="n">
        <v>0</v>
      </c>
      <c r="BP733" s="5" t="n">
        <v>-0.044</v>
      </c>
      <c r="BQ733" s="5" t="n">
        <v>0.095</v>
      </c>
      <c r="BR733" s="5" t="n">
        <v>0</v>
      </c>
      <c r="BS733" s="5" t="n">
        <v>0.833</v>
      </c>
      <c r="BT733" s="5" t="n">
        <v>0</v>
      </c>
      <c r="BU733" s="5" t="n">
        <v>-0.044</v>
      </c>
      <c r="BV733" s="5" t="n">
        <v>0.094</v>
      </c>
      <c r="BW733" s="5" t="n">
        <v>0</v>
      </c>
      <c r="BX733" s="5" t="n">
        <v>0.833</v>
      </c>
      <c r="BY733" s="5" t="n">
        <v>13.646</v>
      </c>
      <c r="BZ733" s="5" t="n">
        <v>0</v>
      </c>
      <c r="CA733" s="5" t="n">
        <v>13.646</v>
      </c>
      <c r="CB733" s="5" t="n">
        <v>0</v>
      </c>
      <c r="CC733" s="5" t="n">
        <v>86.38500000000001</v>
      </c>
      <c r="CD733" s="5" t="n">
        <v>7.95</v>
      </c>
      <c r="CE733" s="5" t="n">
        <v>3.675</v>
      </c>
      <c r="CF733" s="5" t="n">
        <v>97.26600000000001</v>
      </c>
      <c r="CG733" s="5" t="n">
        <v>0.08</v>
      </c>
      <c r="CH733" s="5" t="n">
        <v>1</v>
      </c>
      <c r="CI733" s="5" t="n">
        <v>0</v>
      </c>
      <c r="CJ733" s="5" t="n">
        <v>0</v>
      </c>
      <c r="CK733" s="5" t="n">
        <v>0</v>
      </c>
      <c r="CL733" s="5" t="n">
        <v>0</v>
      </c>
      <c r="CM733" s="5" t="n">
        <v>0</v>
      </c>
      <c r="CN733" s="5" t="n">
        <v>0</v>
      </c>
      <c r="CO733" s="5" t="n">
        <v>0</v>
      </c>
      <c r="CP733" s="5" t="n">
        <v>0.034</v>
      </c>
      <c r="CQ733" s="5" t="n">
        <v>1.387</v>
      </c>
      <c r="CR733" s="5" t="n">
        <v>0</v>
      </c>
      <c r="CS733" s="5" t="n">
        <v>5.529</v>
      </c>
      <c r="CT733" s="5" t="n">
        <v>3.509</v>
      </c>
      <c r="CU733" s="5" t="n">
        <v>10.792</v>
      </c>
    </row>
    <row r="734">
      <c r="A734" s="5" t="inlineStr">
        <is>
          <t>KNA2021</t>
        </is>
      </c>
      <c r="B734" s="5" t="inlineStr">
        <is>
          <t>KNA</t>
        </is>
      </c>
      <c r="C734" s="5" t="inlineStr">
        <is>
          <t>KNA</t>
        </is>
      </c>
      <c r="D734" s="5" t="inlineStr">
        <is>
          <t>St. Kitts and Nevis</t>
        </is>
      </c>
      <c r="E734" s="5" t="n">
        <v>2021</v>
      </c>
      <c r="F734" s="5" t="n">
        <v>0.17</v>
      </c>
      <c r="G734" s="5" t="n">
        <v>5.897</v>
      </c>
      <c r="H734" s="5" t="n">
        <v>1.143</v>
      </c>
      <c r="I734" s="5" t="n">
        <v>0</v>
      </c>
      <c r="J734" s="5" t="n">
        <v>5.897</v>
      </c>
      <c r="K734" s="5" t="n">
        <v>0</v>
      </c>
      <c r="L734" s="5" t="n">
        <v>1</v>
      </c>
      <c r="M734" s="5" t="n">
        <v>7.964</v>
      </c>
      <c r="N734" s="5" t="n">
        <v>3.43</v>
      </c>
      <c r="O734" s="5" t="n">
        <v>0</v>
      </c>
      <c r="P734" s="5" t="n">
        <v>7.964</v>
      </c>
      <c r="Q734" s="5" t="n">
        <v>0</v>
      </c>
      <c r="R734" s="5" t="n">
        <v>1</v>
      </c>
      <c r="S734" s="5" t="n">
        <v>11.613</v>
      </c>
      <c r="T734" s="5" t="n">
        <v>6.86</v>
      </c>
      <c r="U734" s="5" t="n">
        <v>0</v>
      </c>
      <c r="V734" s="5" t="n">
        <v>13.588</v>
      </c>
      <c r="W734" s="5" t="n">
        <v>0.17</v>
      </c>
      <c r="X734" s="5" t="n">
        <v>1</v>
      </c>
      <c r="Y734" s="5" t="n">
        <v>17.127</v>
      </c>
      <c r="Z734" s="5" t="n">
        <v>2.304</v>
      </c>
      <c r="AA734" s="5" t="n">
        <v>0</v>
      </c>
      <c r="AB734" s="5" t="n">
        <v>17.127</v>
      </c>
      <c r="AC734" s="5" t="n">
        <v>0</v>
      </c>
      <c r="AD734" s="5" t="n">
        <v>1</v>
      </c>
      <c r="AE734" s="5" t="n">
        <v>18.27</v>
      </c>
      <c r="AF734" s="5" t="n">
        <v>4.278</v>
      </c>
      <c r="AG734" s="5" t="n">
        <v>0</v>
      </c>
      <c r="AH734" s="5" t="n">
        <v>18.27</v>
      </c>
      <c r="AI734" s="5" t="n">
        <v>0</v>
      </c>
      <c r="AJ734" s="5" t="n">
        <v>1</v>
      </c>
      <c r="AK734" s="5" t="n">
        <v>25.13</v>
      </c>
      <c r="AL734" s="5" t="n">
        <v>13.503</v>
      </c>
      <c r="AM734" s="5" t="n">
        <v>0</v>
      </c>
      <c r="AN734" s="5" t="n">
        <v>29.402</v>
      </c>
      <c r="AO734" s="5" t="n">
        <v>0.17</v>
      </c>
      <c r="AP734" s="5" t="n">
        <v>1</v>
      </c>
      <c r="AQ734" s="5" t="n">
        <v>0.649</v>
      </c>
      <c r="AR734" s="5" t="n">
        <v>0.114</v>
      </c>
      <c r="AS734" s="5" t="n">
        <v>0</v>
      </c>
      <c r="AT734" s="5" t="n">
        <v>0.759</v>
      </c>
      <c r="AU734" s="5" t="n">
        <v>0.17</v>
      </c>
      <c r="AV734" s="5" t="n">
        <v>1</v>
      </c>
      <c r="AW734" s="5" t="n">
        <v>0.577</v>
      </c>
      <c r="AX734" s="5" t="n">
        <v>0.114</v>
      </c>
      <c r="AY734" s="5" t="n">
        <v>0</v>
      </c>
      <c r="AZ734" s="5" t="n">
        <v>0.675</v>
      </c>
      <c r="BA734" s="5" t="n">
        <v>0.17</v>
      </c>
      <c r="BB734" s="5" t="n">
        <v>1</v>
      </c>
      <c r="BC734" s="5" t="n">
        <v>0.458</v>
      </c>
      <c r="BD734" s="5" t="n">
        <v>0.114</v>
      </c>
      <c r="BE734" s="5" t="n">
        <v>0</v>
      </c>
      <c r="BF734" s="5" t="n">
        <v>0.536</v>
      </c>
      <c r="BG734" s="5" t="n">
        <v>0.17</v>
      </c>
      <c r="BH734" s="5" t="n">
        <v>1</v>
      </c>
      <c r="BI734" s="5" t="n">
        <v>0.491</v>
      </c>
      <c r="BJ734" s="5" t="n">
        <v>0.114</v>
      </c>
      <c r="BK734" s="5" t="n">
        <v>0</v>
      </c>
      <c r="BL734" s="5" t="n">
        <v>0.575</v>
      </c>
      <c r="BM734" s="5" t="n">
        <v>0.17</v>
      </c>
      <c r="BN734" s="5" t="n">
        <v>1</v>
      </c>
      <c r="BO734" s="5" t="n">
        <v>0</v>
      </c>
      <c r="BP734" s="5" t="n">
        <v>0</v>
      </c>
      <c r="BQ734" s="5" t="n">
        <v>0</v>
      </c>
      <c r="BR734" s="5" t="n">
        <v>0</v>
      </c>
      <c r="BS734" s="5" t="n">
        <v>1</v>
      </c>
      <c r="BT734" s="5" t="n">
        <v>0</v>
      </c>
      <c r="BU734" s="5" t="n">
        <v>0</v>
      </c>
      <c r="BV734" s="5" t="n">
        <v>0</v>
      </c>
      <c r="BW734" s="5" t="n">
        <v>0.17</v>
      </c>
      <c r="BX734" s="5" t="n">
        <v>1</v>
      </c>
      <c r="BY734" s="5" t="n">
        <v>11.787</v>
      </c>
      <c r="BZ734" s="5" t="n">
        <v>0</v>
      </c>
      <c r="CA734" s="5" t="n">
        <v>11.787</v>
      </c>
      <c r="CB734" s="5" t="n">
        <v>0</v>
      </c>
      <c r="CC734" s="5" t="n">
        <v>78.125</v>
      </c>
      <c r="CD734" s="5" t="n">
        <v>7.95</v>
      </c>
      <c r="CE734" s="5" t="n">
        <v>0</v>
      </c>
      <c r="CF734" s="5" t="n">
        <v>91.40600000000001</v>
      </c>
      <c r="CG734" s="5" t="n">
        <v>0.17</v>
      </c>
      <c r="CH734" s="5" t="n">
        <v>1</v>
      </c>
      <c r="CI734" s="5" t="n">
        <v>0</v>
      </c>
      <c r="CJ734" s="5" t="n">
        <v>0</v>
      </c>
      <c r="CK734" s="5" t="n">
        <v>0</v>
      </c>
      <c r="CL734" s="5" t="n">
        <v>0</v>
      </c>
      <c r="CM734" s="5" t="n">
        <v>0</v>
      </c>
      <c r="CN734" s="5" t="n">
        <v>0</v>
      </c>
      <c r="CO734" s="5" t="n">
        <v>0</v>
      </c>
      <c r="CP734" s="5" t="n">
        <v>0</v>
      </c>
      <c r="CQ734" s="5" t="n">
        <v>1.198</v>
      </c>
      <c r="CR734" s="5" t="n">
        <v>0</v>
      </c>
      <c r="CS734" s="5" t="n">
        <v>4.776</v>
      </c>
      <c r="CT734" s="5" t="n">
        <v>4.753</v>
      </c>
      <c r="CU734" s="5" t="n">
        <v>15.983</v>
      </c>
    </row>
    <row r="735">
      <c r="A735" s="5" t="inlineStr">
        <is>
          <t>KNA2022</t>
        </is>
      </c>
      <c r="B735" s="5" t="inlineStr">
        <is>
          <t>KNA</t>
        </is>
      </c>
      <c r="C735" s="5" t="inlineStr">
        <is>
          <t>KNA</t>
        </is>
      </c>
      <c r="D735" s="5" t="inlineStr">
        <is>
          <t>St. Kitts and Nevis</t>
        </is>
      </c>
      <c r="E735" s="5" t="n">
        <v>2022</v>
      </c>
      <c r="F735" s="5" t="n">
        <v>0.17</v>
      </c>
      <c r="G735" s="5" t="n">
        <v>11.72</v>
      </c>
      <c r="H735" s="5" t="n">
        <v>1.235</v>
      </c>
      <c r="I735" s="5" t="n">
        <v>0</v>
      </c>
      <c r="J735" s="5" t="n">
        <v>11.72</v>
      </c>
      <c r="K735" s="5" t="n">
        <v>0</v>
      </c>
      <c r="L735" s="5" t="n">
        <v>1</v>
      </c>
      <c r="M735" s="5" t="n">
        <v>9.782999999999999</v>
      </c>
      <c r="N735" s="5" t="n">
        <v>3.704</v>
      </c>
      <c r="O735" s="5" t="n">
        <v>0</v>
      </c>
      <c r="P735" s="5" t="n">
        <v>9.782999999999999</v>
      </c>
      <c r="Q735" s="5" t="n">
        <v>0</v>
      </c>
      <c r="R735" s="5" t="n">
        <v>1</v>
      </c>
      <c r="S735" s="5" t="n">
        <v>17.893</v>
      </c>
      <c r="T735" s="5" t="n">
        <v>7.408</v>
      </c>
      <c r="U735" s="5" t="n">
        <v>0.225</v>
      </c>
      <c r="V735" s="5" t="n">
        <v>20.935</v>
      </c>
      <c r="W735" s="5" t="n">
        <v>0.17</v>
      </c>
      <c r="X735" s="5" t="n">
        <v>1</v>
      </c>
      <c r="Y735" s="5" t="n">
        <v>30.728</v>
      </c>
      <c r="Z735" s="5" t="n">
        <v>4.133</v>
      </c>
      <c r="AA735" s="5" t="n">
        <v>0</v>
      </c>
      <c r="AB735" s="5" t="n">
        <v>30.728</v>
      </c>
      <c r="AC735" s="5" t="n">
        <v>0</v>
      </c>
      <c r="AD735" s="5" t="n">
        <v>1</v>
      </c>
      <c r="AE735" s="5" t="n">
        <v>31.963</v>
      </c>
      <c r="AF735" s="5" t="n">
        <v>7.485</v>
      </c>
      <c r="AG735" s="5" t="n">
        <v>0</v>
      </c>
      <c r="AH735" s="5" t="n">
        <v>31.963</v>
      </c>
      <c r="AI735" s="5" t="n">
        <v>0</v>
      </c>
      <c r="AJ735" s="5" t="n">
        <v>1</v>
      </c>
      <c r="AK735" s="5" t="n">
        <v>39.371</v>
      </c>
      <c r="AL735" s="5" t="n">
        <v>21.155</v>
      </c>
      <c r="AM735" s="5" t="n">
        <v>0.495</v>
      </c>
      <c r="AN735" s="5" t="n">
        <v>46.064</v>
      </c>
      <c r="AO735" s="5" t="n">
        <v>0.17</v>
      </c>
      <c r="AP735" s="5" t="n">
        <v>1</v>
      </c>
      <c r="AQ735" s="5" t="n">
        <v>0.896</v>
      </c>
      <c r="AR735" s="5" t="n">
        <v>0.123</v>
      </c>
      <c r="AS735" s="5" t="n">
        <v>0.011</v>
      </c>
      <c r="AT735" s="5" t="n">
        <v>1.048</v>
      </c>
      <c r="AU735" s="5" t="n">
        <v>0.17</v>
      </c>
      <c r="AV735" s="5" t="n">
        <v>1</v>
      </c>
      <c r="AW735" s="5" t="n">
        <v>0.89</v>
      </c>
      <c r="AX735" s="5" t="n">
        <v>0.123</v>
      </c>
      <c r="AY735" s="5" t="n">
        <v>0.011</v>
      </c>
      <c r="AZ735" s="5" t="n">
        <v>1.041</v>
      </c>
      <c r="BA735" s="5" t="n">
        <v>0.17</v>
      </c>
      <c r="BB735" s="5" t="n">
        <v>1</v>
      </c>
      <c r="BC735" s="5" t="n">
        <v>0.62</v>
      </c>
      <c r="BD735" s="5" t="n">
        <v>0.123</v>
      </c>
      <c r="BE735" s="5" t="n">
        <v>0.008</v>
      </c>
      <c r="BF735" s="5" t="n">
        <v>0.726</v>
      </c>
      <c r="BG735" s="5" t="n">
        <v>0.17</v>
      </c>
      <c r="BH735" s="5" t="n">
        <v>1</v>
      </c>
      <c r="BI735" s="5" t="n">
        <v>0.608</v>
      </c>
      <c r="BJ735" s="5" t="n">
        <v>0.123</v>
      </c>
      <c r="BK735" s="5" t="n">
        <v>0.008</v>
      </c>
      <c r="BL735" s="5" t="n">
        <v>0.711</v>
      </c>
      <c r="BM735" s="5" t="n">
        <v>0.17</v>
      </c>
      <c r="BN735" s="5" t="n">
        <v>1</v>
      </c>
      <c r="BO735" s="5" t="n">
        <v>0</v>
      </c>
      <c r="BP735" s="5" t="n">
        <v>0</v>
      </c>
      <c r="BQ735" s="5" t="n">
        <v>0</v>
      </c>
      <c r="BR735" s="5" t="n">
        <v>0</v>
      </c>
      <c r="BS735" s="5" t="n">
        <v>1</v>
      </c>
      <c r="BT735" s="5" t="n">
        <v>0</v>
      </c>
      <c r="BU735" s="5" t="n">
        <v>0</v>
      </c>
      <c r="BV735" s="5" t="n">
        <v>0</v>
      </c>
      <c r="BW735" s="5" t="n">
        <v>0.17</v>
      </c>
      <c r="BX735" s="5" t="n">
        <v>1</v>
      </c>
      <c r="BY735" s="5" t="n">
        <v>12.729</v>
      </c>
      <c r="BZ735" s="5" t="n">
        <v>0</v>
      </c>
      <c r="CA735" s="5" t="n">
        <v>12.729</v>
      </c>
      <c r="CB735" s="5" t="n">
        <v>0</v>
      </c>
      <c r="CC735" s="5" t="n">
        <v>97.90000000000001</v>
      </c>
      <c r="CD735" s="5" t="n">
        <v>7.95</v>
      </c>
      <c r="CE735" s="5" t="n">
        <v>1.232</v>
      </c>
      <c r="CF735" s="5" t="n">
        <v>114.543</v>
      </c>
      <c r="CG735" s="5" t="n">
        <v>0.17</v>
      </c>
      <c r="CH735" s="5" t="n">
        <v>1</v>
      </c>
      <c r="CI735" s="5" t="n">
        <v>0</v>
      </c>
      <c r="CJ735" s="5" t="n">
        <v>0</v>
      </c>
      <c r="CK735" s="5" t="n">
        <v>0</v>
      </c>
      <c r="CL735" s="5" t="n">
        <v>0</v>
      </c>
      <c r="CM735" s="5" t="n">
        <v>0</v>
      </c>
      <c r="CN735" s="5" t="n">
        <v>0</v>
      </c>
      <c r="CO735" s="5" t="n">
        <v>0</v>
      </c>
      <c r="CP735" s="5" t="n">
        <v>0</v>
      </c>
      <c r="CQ735" s="5" t="n">
        <v>1.294</v>
      </c>
      <c r="CR735" s="5" t="n">
        <v>0</v>
      </c>
      <c r="CS735" s="5" t="n">
        <v>5.158</v>
      </c>
      <c r="CT735" s="5" t="n">
        <v>10.485</v>
      </c>
      <c r="CU735" s="5" t="n">
        <v>29.494</v>
      </c>
    </row>
    <row r="736">
      <c r="A736" s="5" t="inlineStr">
        <is>
          <t>KNA2023</t>
        </is>
      </c>
      <c r="B736" s="5" t="inlineStr">
        <is>
          <t>KNA</t>
        </is>
      </c>
      <c r="C736" s="5" t="inlineStr">
        <is>
          <t>KNA</t>
        </is>
      </c>
      <c r="D736" s="5" t="inlineStr">
        <is>
          <t>St. Kitts and Nevis</t>
        </is>
      </c>
      <c r="E736" s="5" t="n">
        <v>2023</v>
      </c>
      <c r="F736" s="5" t="n">
        <v>0.17</v>
      </c>
      <c r="G736" s="5" t="n">
        <v>6.147</v>
      </c>
      <c r="H736" s="5" t="n">
        <v>1.286</v>
      </c>
      <c r="I736" s="5" t="n">
        <v>0</v>
      </c>
      <c r="J736" s="5" t="n">
        <v>6.147</v>
      </c>
      <c r="K736" s="5" t="n">
        <v>0</v>
      </c>
      <c r="L736" s="5" t="n">
        <v>1</v>
      </c>
      <c r="M736" s="5" t="n">
        <v>7.886</v>
      </c>
      <c r="N736" s="5" t="n">
        <v>3.857</v>
      </c>
      <c r="O736" s="5" t="n">
        <v>0</v>
      </c>
      <c r="P736" s="5" t="n">
        <v>7.886</v>
      </c>
      <c r="Q736" s="5" t="n">
        <v>0</v>
      </c>
      <c r="R736" s="5" t="n">
        <v>1</v>
      </c>
      <c r="S736" s="5" t="n">
        <v>12.575</v>
      </c>
      <c r="T736" s="5" t="n">
        <v>7.714</v>
      </c>
      <c r="U736" s="5" t="n">
        <v>0.237</v>
      </c>
      <c r="V736" s="5" t="n">
        <v>14.713</v>
      </c>
      <c r="W736" s="5" t="n">
        <v>0.17</v>
      </c>
      <c r="X736" s="5" t="n">
        <v>1</v>
      </c>
      <c r="Y736" s="5" t="n">
        <v>12.478</v>
      </c>
      <c r="Z736" s="5" t="n">
        <v>1.678</v>
      </c>
      <c r="AA736" s="5" t="n">
        <v>0</v>
      </c>
      <c r="AB736" s="5" t="n">
        <v>12.478</v>
      </c>
      <c r="AC736" s="5" t="n">
        <v>0</v>
      </c>
      <c r="AD736" s="5" t="n">
        <v>1</v>
      </c>
      <c r="AE736" s="5" t="n">
        <v>13.763</v>
      </c>
      <c r="AF736" s="5" t="n">
        <v>3.223</v>
      </c>
      <c r="AG736" s="5" t="n">
        <v>0</v>
      </c>
      <c r="AH736" s="5" t="n">
        <v>13.763</v>
      </c>
      <c r="AI736" s="5" t="n">
        <v>0</v>
      </c>
      <c r="AJ736" s="5" t="n">
        <v>1</v>
      </c>
      <c r="AK736" s="5" t="n">
        <v>21.477</v>
      </c>
      <c r="AL736" s="5" t="n">
        <v>11.54</v>
      </c>
      <c r="AM736" s="5" t="n">
        <v>0.404</v>
      </c>
      <c r="AN736" s="5" t="n">
        <v>25.129</v>
      </c>
      <c r="AO736" s="5" t="n">
        <v>0.17</v>
      </c>
      <c r="AP736" s="5" t="n">
        <v>1</v>
      </c>
      <c r="AQ736" s="5" t="n">
        <v>0.791</v>
      </c>
      <c r="AR736" s="5" t="n">
        <v>0.129</v>
      </c>
      <c r="AS736" s="5" t="n">
        <v>0.015</v>
      </c>
      <c r="AT736" s="5" t="n">
        <v>0.925</v>
      </c>
      <c r="AU736" s="5" t="n">
        <v>0.17</v>
      </c>
      <c r="AV736" s="5" t="n">
        <v>1</v>
      </c>
      <c r="AW736" s="5" t="n">
        <v>0.618</v>
      </c>
      <c r="AX736" s="5" t="n">
        <v>0.129</v>
      </c>
      <c r="AY736" s="5" t="n">
        <v>0.012</v>
      </c>
      <c r="AZ736" s="5" t="n">
        <v>0.723</v>
      </c>
      <c r="BA736" s="5" t="n">
        <v>0.17</v>
      </c>
      <c r="BB736" s="5" t="n">
        <v>1</v>
      </c>
      <c r="BC736" s="5" t="n">
        <v>0.554</v>
      </c>
      <c r="BD736" s="5" t="n">
        <v>0.129</v>
      </c>
      <c r="BE736" s="5" t="n">
        <v>0.01</v>
      </c>
      <c r="BF736" s="5" t="n">
        <v>0.649</v>
      </c>
      <c r="BG736" s="5" t="n">
        <v>0.17</v>
      </c>
      <c r="BH736" s="5" t="n">
        <v>1</v>
      </c>
      <c r="BI736" s="5" t="n">
        <v>0.5570000000000001</v>
      </c>
      <c r="BJ736" s="5" t="n">
        <v>0.129</v>
      </c>
      <c r="BK736" s="5" t="n">
        <v>0.01</v>
      </c>
      <c r="BL736" s="5" t="n">
        <v>0.652</v>
      </c>
      <c r="BM736" s="5" t="n">
        <v>0.17</v>
      </c>
      <c r="BN736" s="5" t="n">
        <v>1</v>
      </c>
      <c r="BO736" s="5" t="n">
        <v>0</v>
      </c>
      <c r="BP736" s="5" t="n">
        <v>0</v>
      </c>
      <c r="BQ736" s="5" t="n">
        <v>0</v>
      </c>
      <c r="BR736" s="5" t="n">
        <v>0</v>
      </c>
      <c r="BS736" s="5" t="n">
        <v>1</v>
      </c>
      <c r="BT736" s="5" t="n">
        <v>0</v>
      </c>
      <c r="BU736" s="5" t="n">
        <v>0</v>
      </c>
      <c r="BV736" s="5" t="n">
        <v>0</v>
      </c>
      <c r="BW736" s="5" t="n">
        <v>0.17</v>
      </c>
      <c r="BX736" s="5" t="n">
        <v>1</v>
      </c>
      <c r="BY736" s="5" t="n">
        <v>13.254</v>
      </c>
      <c r="BZ736" s="5" t="n">
        <v>0</v>
      </c>
      <c r="CA736" s="5" t="n">
        <v>13.254</v>
      </c>
      <c r="CB736" s="5" t="n">
        <v>0</v>
      </c>
      <c r="CC736" s="5" t="n">
        <v>83.248</v>
      </c>
      <c r="CD736" s="5" t="n">
        <v>7.95</v>
      </c>
      <c r="CE736" s="5" t="n">
        <v>1.567</v>
      </c>
      <c r="CF736" s="5" t="n">
        <v>97.40000000000001</v>
      </c>
      <c r="CG736" s="5" t="n">
        <v>0.17</v>
      </c>
      <c r="CH736" s="5" t="n">
        <v>1</v>
      </c>
      <c r="CI736" s="5" t="n">
        <v>0</v>
      </c>
      <c r="CJ736" s="5" t="n">
        <v>0</v>
      </c>
      <c r="CK736" s="5" t="n">
        <v>0</v>
      </c>
      <c r="CL736" s="5" t="n">
        <v>0</v>
      </c>
      <c r="CM736" s="5" t="n">
        <v>0</v>
      </c>
      <c r="CN736" s="5" t="n">
        <v>0</v>
      </c>
      <c r="CO736" s="5" t="n">
        <v>0</v>
      </c>
      <c r="CP736" s="5" t="n">
        <v>0</v>
      </c>
      <c r="CQ736" s="5" t="n">
        <v>1.348</v>
      </c>
      <c r="CR736" s="5" t="n">
        <v>0</v>
      </c>
      <c r="CS736" s="5" t="n">
        <v>5.37</v>
      </c>
      <c r="CT736" s="5" t="n">
        <v>4.861</v>
      </c>
      <c r="CU736" s="5" t="n">
        <v>11.192</v>
      </c>
    </row>
    <row r="737">
      <c r="A737" s="5" t="inlineStr">
        <is>
          <t>KNA2024</t>
        </is>
      </c>
      <c r="B737" s="5" t="inlineStr">
        <is>
          <t>KNA</t>
        </is>
      </c>
      <c r="C737" s="5" t="inlineStr">
        <is>
          <t>KNA</t>
        </is>
      </c>
      <c r="D737" s="5" t="inlineStr">
        <is>
          <t>St. Kitts and Nevis</t>
        </is>
      </c>
      <c r="E737" s="5" t="n">
        <v>2024</v>
      </c>
      <c r="F737" s="5" t="n">
        <v>0.17</v>
      </c>
      <c r="G737" s="5" t="n">
        <v>5.575</v>
      </c>
      <c r="H737" s="5" t="n">
        <v>1.324</v>
      </c>
      <c r="I737" s="5" t="n">
        <v>0</v>
      </c>
      <c r="J737" s="5" t="n">
        <v>5.575</v>
      </c>
      <c r="K737" s="5" t="n">
        <v>0</v>
      </c>
      <c r="L737" s="5" t="n">
        <v>1</v>
      </c>
      <c r="M737" s="5" t="n">
        <v>7.124</v>
      </c>
      <c r="N737" s="5" t="n">
        <v>3.971</v>
      </c>
      <c r="O737" s="5" t="n">
        <v>0</v>
      </c>
      <c r="P737" s="5" t="n">
        <v>7.124</v>
      </c>
      <c r="Q737" s="5" t="n">
        <v>0</v>
      </c>
      <c r="R737" s="5" t="n">
        <v>1</v>
      </c>
      <c r="S737" s="5" t="n">
        <v>12.193</v>
      </c>
      <c r="T737" s="5" t="n">
        <v>7.942</v>
      </c>
      <c r="U737" s="5" t="n">
        <v>0.282</v>
      </c>
      <c r="V737" s="5" t="n">
        <v>14.266</v>
      </c>
      <c r="W737" s="5" t="n">
        <v>0.17</v>
      </c>
      <c r="X737" s="5" t="n">
        <v>1</v>
      </c>
      <c r="Y737" s="5" t="n">
        <v>11.447</v>
      </c>
      <c r="Z737" s="5" t="n">
        <v>1.54</v>
      </c>
      <c r="AA737" s="5" t="n">
        <v>0</v>
      </c>
      <c r="AB737" s="5" t="n">
        <v>11.447</v>
      </c>
      <c r="AC737" s="5" t="n">
        <v>0</v>
      </c>
      <c r="AD737" s="5" t="n">
        <v>1</v>
      </c>
      <c r="AE737" s="5" t="n">
        <v>12.771</v>
      </c>
      <c r="AF737" s="5" t="n">
        <v>2.991</v>
      </c>
      <c r="AG737" s="5" t="n">
        <v>0</v>
      </c>
      <c r="AH737" s="5" t="n">
        <v>12.771</v>
      </c>
      <c r="AI737" s="5" t="n">
        <v>0</v>
      </c>
      <c r="AJ737" s="5" t="n">
        <v>1</v>
      </c>
      <c r="AK737" s="5" t="n">
        <v>20.712</v>
      </c>
      <c r="AL737" s="5" t="n">
        <v>11.129</v>
      </c>
      <c r="AM737" s="5" t="n">
        <v>0.48</v>
      </c>
      <c r="AN737" s="5" t="n">
        <v>24.233</v>
      </c>
      <c r="AO737" s="5" t="n">
        <v>0.17</v>
      </c>
      <c r="AP737" s="5" t="n">
        <v>1</v>
      </c>
      <c r="AQ737" s="5" t="n">
        <v>0.756</v>
      </c>
      <c r="AR737" s="5" t="n">
        <v>0.132</v>
      </c>
      <c r="AS737" s="5" t="n">
        <v>0.018</v>
      </c>
      <c r="AT737" s="5" t="n">
        <v>0.885</v>
      </c>
      <c r="AU737" s="5" t="n">
        <v>0.17</v>
      </c>
      <c r="AV737" s="5" t="n">
        <v>1</v>
      </c>
      <c r="AW737" s="5" t="n">
        <v>0.655</v>
      </c>
      <c r="AX737" s="5" t="n">
        <v>0.132</v>
      </c>
      <c r="AY737" s="5" t="n">
        <v>0.015</v>
      </c>
      <c r="AZ737" s="5" t="n">
        <v>0.767</v>
      </c>
      <c r="BA737" s="5" t="n">
        <v>0.17</v>
      </c>
      <c r="BB737" s="5" t="n">
        <v>1</v>
      </c>
      <c r="BC737" s="5" t="n">
        <v>0.534</v>
      </c>
      <c r="BD737" s="5" t="n">
        <v>0.132</v>
      </c>
      <c r="BE737" s="5" t="n">
        <v>0.012</v>
      </c>
      <c r="BF737" s="5" t="n">
        <v>0.624</v>
      </c>
      <c r="BG737" s="5" t="n">
        <v>0.17</v>
      </c>
      <c r="BH737" s="5" t="n">
        <v>1</v>
      </c>
      <c r="BI737" s="5" t="n">
        <v>0.5679999999999999</v>
      </c>
      <c r="BJ737" s="5" t="n">
        <v>0.132</v>
      </c>
      <c r="BK737" s="5" t="n">
        <v>0.013</v>
      </c>
      <c r="BL737" s="5" t="n">
        <v>0.664</v>
      </c>
      <c r="BM737" s="5" t="n">
        <v>0.17</v>
      </c>
      <c r="BN737" s="5" t="n">
        <v>1</v>
      </c>
      <c r="BO737" s="5" t="n">
        <v>0</v>
      </c>
      <c r="BP737" s="5" t="n">
        <v>0</v>
      </c>
      <c r="BQ737" s="5" t="n">
        <v>0</v>
      </c>
      <c r="BR737" s="5" t="n">
        <v>0</v>
      </c>
      <c r="BS737" s="5" t="n">
        <v>1</v>
      </c>
      <c r="BT737" s="5" t="n">
        <v>0</v>
      </c>
      <c r="BU737" s="5" t="n">
        <v>0</v>
      </c>
      <c r="BV737" s="5" t="n">
        <v>0</v>
      </c>
      <c r="BW737" s="5" t="n">
        <v>0.17</v>
      </c>
      <c r="BX737" s="5" t="n">
        <v>1</v>
      </c>
      <c r="BY737" s="5" t="n">
        <v>13.646</v>
      </c>
      <c r="BZ737" s="5" t="n">
        <v>0</v>
      </c>
      <c r="CA737" s="5" t="n">
        <v>13.646</v>
      </c>
      <c r="CB737" s="5" t="n">
        <v>0</v>
      </c>
      <c r="CC737" s="5" t="n">
        <v>82.58799999999999</v>
      </c>
      <c r="CD737" s="5" t="n">
        <v>7.95</v>
      </c>
      <c r="CE737" s="5" t="n">
        <v>1.912</v>
      </c>
      <c r="CF737" s="5" t="n">
        <v>96.628</v>
      </c>
      <c r="CG737" s="5" t="n">
        <v>0.17</v>
      </c>
      <c r="CH737" s="5" t="n">
        <v>1</v>
      </c>
      <c r="CI737" s="5" t="n">
        <v>0</v>
      </c>
      <c r="CJ737" s="5" t="n">
        <v>0</v>
      </c>
      <c r="CK737" s="5" t="n">
        <v>0</v>
      </c>
      <c r="CL737" s="5" t="n">
        <v>0</v>
      </c>
      <c r="CM737" s="5" t="n">
        <v>0</v>
      </c>
      <c r="CN737" s="5" t="n">
        <v>0</v>
      </c>
      <c r="CO737" s="5" t="n">
        <v>0</v>
      </c>
      <c r="CP737" s="5" t="n">
        <v>0</v>
      </c>
      <c r="CQ737" s="5" t="n">
        <v>1.387</v>
      </c>
      <c r="CR737" s="5" t="n">
        <v>0</v>
      </c>
      <c r="CS737" s="5" t="n">
        <v>5.529</v>
      </c>
      <c r="CT737" s="5" t="n">
        <v>4.251</v>
      </c>
      <c r="CU737" s="5" t="n">
        <v>10.123</v>
      </c>
    </row>
    <row r="738">
      <c r="A738" s="5" t="inlineStr">
        <is>
          <t>LCA2021</t>
        </is>
      </c>
      <c r="B738" s="5" t="inlineStr">
        <is>
          <t>LCA</t>
        </is>
      </c>
      <c r="C738" s="5" t="inlineStr">
        <is>
          <t>LCA</t>
        </is>
      </c>
      <c r="D738" s="5" t="inlineStr">
        <is>
          <t>St. Lucia</t>
        </is>
      </c>
      <c r="E738" s="5" t="n">
        <v>2021</v>
      </c>
      <c r="F738" s="5" t="n">
        <v>0.125</v>
      </c>
      <c r="G738" s="5" t="n">
        <v>5.897</v>
      </c>
      <c r="H738" s="5" t="n">
        <v>1.143</v>
      </c>
      <c r="I738" s="5" t="n">
        <v>0</v>
      </c>
      <c r="J738" s="5" t="n">
        <v>5.897</v>
      </c>
      <c r="K738" s="5" t="n">
        <v>0</v>
      </c>
      <c r="L738" s="5" t="n">
        <v>1</v>
      </c>
      <c r="M738" s="5" t="n">
        <v>7.964</v>
      </c>
      <c r="N738" s="5" t="n">
        <v>3.43</v>
      </c>
      <c r="O738" s="5" t="n">
        <v>0</v>
      </c>
      <c r="P738" s="5" t="n">
        <v>7.964</v>
      </c>
      <c r="Q738" s="5" t="n">
        <v>0</v>
      </c>
      <c r="R738" s="5" t="n">
        <v>1</v>
      </c>
      <c r="S738" s="5" t="n">
        <v>11.613</v>
      </c>
      <c r="T738" s="5" t="n">
        <v>6.86</v>
      </c>
      <c r="U738" s="5" t="n">
        <v>0</v>
      </c>
      <c r="V738" s="5" t="n">
        <v>13.065</v>
      </c>
      <c r="W738" s="5" t="n">
        <v>0.125</v>
      </c>
      <c r="X738" s="5" t="n">
        <v>1</v>
      </c>
      <c r="Y738" s="5" t="n">
        <v>17.127</v>
      </c>
      <c r="Z738" s="5" t="n">
        <v>2.304</v>
      </c>
      <c r="AA738" s="5" t="n">
        <v>0</v>
      </c>
      <c r="AB738" s="5" t="n">
        <v>17.127</v>
      </c>
      <c r="AC738" s="5" t="n">
        <v>0</v>
      </c>
      <c r="AD738" s="5" t="n">
        <v>1</v>
      </c>
      <c r="AE738" s="5" t="n">
        <v>18.27</v>
      </c>
      <c r="AF738" s="5" t="n">
        <v>4.278</v>
      </c>
      <c r="AG738" s="5" t="n">
        <v>0</v>
      </c>
      <c r="AH738" s="5" t="n">
        <v>18.27</v>
      </c>
      <c r="AI738" s="5" t="n">
        <v>0</v>
      </c>
      <c r="AJ738" s="5" t="n">
        <v>1</v>
      </c>
      <c r="AK738" s="5" t="n">
        <v>25.13</v>
      </c>
      <c r="AL738" s="5" t="n">
        <v>13.503</v>
      </c>
      <c r="AM738" s="5" t="n">
        <v>0</v>
      </c>
      <c r="AN738" s="5" t="n">
        <v>28.271</v>
      </c>
      <c r="AO738" s="5" t="n">
        <v>0.125</v>
      </c>
      <c r="AP738" s="5" t="n">
        <v>1</v>
      </c>
      <c r="AQ738" s="5" t="n">
        <v>0.649</v>
      </c>
      <c r="AR738" s="5" t="n">
        <v>0.114</v>
      </c>
      <c r="AS738" s="5" t="n">
        <v>0.456</v>
      </c>
      <c r="AT738" s="5" t="n">
        <v>1.105</v>
      </c>
      <c r="AU738" s="5" t="n">
        <v>0</v>
      </c>
      <c r="AV738" s="5" t="n">
        <v>1</v>
      </c>
      <c r="AW738" s="5" t="n">
        <v>0.577</v>
      </c>
      <c r="AX738" s="5" t="n">
        <v>0.114</v>
      </c>
      <c r="AY738" s="5" t="n">
        <v>0.439</v>
      </c>
      <c r="AZ738" s="5" t="n">
        <v>1.016</v>
      </c>
      <c r="BA738" s="5" t="n">
        <v>0</v>
      </c>
      <c r="BB738" s="5" t="n">
        <v>1</v>
      </c>
      <c r="BC738" s="5" t="n">
        <v>0.458</v>
      </c>
      <c r="BD738" s="5" t="n">
        <v>0.114</v>
      </c>
      <c r="BE738" s="5" t="n">
        <v>0.282</v>
      </c>
      <c r="BF738" s="5" t="n">
        <v>0.74</v>
      </c>
      <c r="BG738" s="5" t="n">
        <v>0</v>
      </c>
      <c r="BH738" s="5" t="n">
        <v>1</v>
      </c>
      <c r="BI738" s="5" t="n">
        <v>0.491</v>
      </c>
      <c r="BJ738" s="5" t="n">
        <v>0.114</v>
      </c>
      <c r="BK738" s="5" t="n">
        <v>0.187</v>
      </c>
      <c r="BL738" s="5" t="n">
        <v>0.678</v>
      </c>
      <c r="BM738" s="5" t="n">
        <v>0</v>
      </c>
      <c r="BN738" s="5" t="n">
        <v>1</v>
      </c>
      <c r="BO738" s="5" t="n">
        <v>0</v>
      </c>
      <c r="BP738" s="5" t="n">
        <v>0</v>
      </c>
      <c r="BQ738" s="5" t="n">
        <v>0.322</v>
      </c>
      <c r="BR738" s="5" t="n">
        <v>0</v>
      </c>
      <c r="BS738" s="5" t="n">
        <v>1</v>
      </c>
      <c r="BT738" s="5" t="n">
        <v>0</v>
      </c>
      <c r="BU738" s="5" t="n">
        <v>0</v>
      </c>
      <c r="BV738" s="5" t="n">
        <v>0.264</v>
      </c>
      <c r="BW738" s="5" t="n">
        <v>0</v>
      </c>
      <c r="BX738" s="5" t="n">
        <v>1</v>
      </c>
      <c r="BY738" s="5" t="n">
        <v>11.787</v>
      </c>
      <c r="BZ738" s="5" t="n">
        <v>0</v>
      </c>
      <c r="CA738" s="5" t="n">
        <v>11.787</v>
      </c>
      <c r="CB738" s="5" t="n">
        <v>0</v>
      </c>
      <c r="CC738" s="5" t="n">
        <v>78.125</v>
      </c>
      <c r="CD738" s="5" t="n">
        <v>7.95</v>
      </c>
      <c r="CE738" s="5" t="n">
        <v>0</v>
      </c>
      <c r="CF738" s="5" t="n">
        <v>87.89100000000001</v>
      </c>
      <c r="CG738" s="5" t="n">
        <v>0.125</v>
      </c>
      <c r="CH738" s="5" t="n">
        <v>1</v>
      </c>
      <c r="CI738" s="5" t="n">
        <v>0</v>
      </c>
      <c r="CJ738" s="5" t="n">
        <v>0</v>
      </c>
      <c r="CK738" s="5" t="n">
        <v>0</v>
      </c>
      <c r="CL738" s="5" t="n">
        <v>0</v>
      </c>
      <c r="CM738" s="5" t="n">
        <v>0</v>
      </c>
      <c r="CN738" s="5" t="n">
        <v>0</v>
      </c>
      <c r="CO738" s="5" t="n">
        <v>0</v>
      </c>
      <c r="CP738" s="5" t="n">
        <v>0</v>
      </c>
      <c r="CQ738" s="5" t="n">
        <v>1.198</v>
      </c>
      <c r="CR738" s="5" t="n">
        <v>0</v>
      </c>
      <c r="CS738" s="5" t="n">
        <v>4.776</v>
      </c>
      <c r="CT738" s="5" t="n">
        <v>4.753</v>
      </c>
      <c r="CU738" s="5" t="n">
        <v>15.983</v>
      </c>
    </row>
    <row r="739">
      <c r="A739" s="5" t="inlineStr">
        <is>
          <t>LCA2022</t>
        </is>
      </c>
      <c r="B739" s="5" t="inlineStr">
        <is>
          <t>LCA</t>
        </is>
      </c>
      <c r="C739" s="5" t="inlineStr">
        <is>
          <t>LCA</t>
        </is>
      </c>
      <c r="D739" s="5" t="inlineStr">
        <is>
          <t>St. Lucia</t>
        </is>
      </c>
      <c r="E739" s="5" t="n">
        <v>2022</v>
      </c>
      <c r="F739" s="5" t="n">
        <v>0.125</v>
      </c>
      <c r="G739" s="5" t="n">
        <v>11.72</v>
      </c>
      <c r="H739" s="5" t="n">
        <v>1.235</v>
      </c>
      <c r="I739" s="5" t="n">
        <v>0</v>
      </c>
      <c r="J739" s="5" t="n">
        <v>11.72</v>
      </c>
      <c r="K739" s="5" t="n">
        <v>0</v>
      </c>
      <c r="L739" s="5" t="n">
        <v>1</v>
      </c>
      <c r="M739" s="5" t="n">
        <v>9.782999999999999</v>
      </c>
      <c r="N739" s="5" t="n">
        <v>3.704</v>
      </c>
      <c r="O739" s="5" t="n">
        <v>0</v>
      </c>
      <c r="P739" s="5" t="n">
        <v>9.782999999999999</v>
      </c>
      <c r="Q739" s="5" t="n">
        <v>0</v>
      </c>
      <c r="R739" s="5" t="n">
        <v>1</v>
      </c>
      <c r="S739" s="5" t="n">
        <v>17.893</v>
      </c>
      <c r="T739" s="5" t="n">
        <v>7.408</v>
      </c>
      <c r="U739" s="5" t="n">
        <v>0.166</v>
      </c>
      <c r="V739" s="5" t="n">
        <v>20.13</v>
      </c>
      <c r="W739" s="5" t="n">
        <v>0.125</v>
      </c>
      <c r="X739" s="5" t="n">
        <v>1</v>
      </c>
      <c r="Y739" s="5" t="n">
        <v>30.728</v>
      </c>
      <c r="Z739" s="5" t="n">
        <v>4.133</v>
      </c>
      <c r="AA739" s="5" t="n">
        <v>0</v>
      </c>
      <c r="AB739" s="5" t="n">
        <v>30.728</v>
      </c>
      <c r="AC739" s="5" t="n">
        <v>0</v>
      </c>
      <c r="AD739" s="5" t="n">
        <v>1</v>
      </c>
      <c r="AE739" s="5" t="n">
        <v>31.963</v>
      </c>
      <c r="AF739" s="5" t="n">
        <v>7.485</v>
      </c>
      <c r="AG739" s="5" t="n">
        <v>0</v>
      </c>
      <c r="AH739" s="5" t="n">
        <v>31.963</v>
      </c>
      <c r="AI739" s="5" t="n">
        <v>0</v>
      </c>
      <c r="AJ739" s="5" t="n">
        <v>1</v>
      </c>
      <c r="AK739" s="5" t="n">
        <v>39.371</v>
      </c>
      <c r="AL739" s="5" t="n">
        <v>21.155</v>
      </c>
      <c r="AM739" s="5" t="n">
        <v>0.364</v>
      </c>
      <c r="AN739" s="5" t="n">
        <v>44.293</v>
      </c>
      <c r="AO739" s="5" t="n">
        <v>0.125</v>
      </c>
      <c r="AP739" s="5" t="n">
        <v>1</v>
      </c>
      <c r="AQ739" s="5" t="n">
        <v>0.896</v>
      </c>
      <c r="AR739" s="5" t="n">
        <v>0.123</v>
      </c>
      <c r="AS739" s="5" t="n">
        <v>0.445</v>
      </c>
      <c r="AT739" s="5" t="n">
        <v>1.341</v>
      </c>
      <c r="AU739" s="5" t="n">
        <v>0</v>
      </c>
      <c r="AV739" s="5" t="n">
        <v>1</v>
      </c>
      <c r="AW739" s="5" t="n">
        <v>0.89</v>
      </c>
      <c r="AX739" s="5" t="n">
        <v>0.123</v>
      </c>
      <c r="AY739" s="5" t="n">
        <v>0.413</v>
      </c>
      <c r="AZ739" s="5" t="n">
        <v>1.303</v>
      </c>
      <c r="BA739" s="5" t="n">
        <v>0</v>
      </c>
      <c r="BB739" s="5" t="n">
        <v>1</v>
      </c>
      <c r="BC739" s="5" t="n">
        <v>0.62</v>
      </c>
      <c r="BD739" s="5" t="n">
        <v>0.123</v>
      </c>
      <c r="BE739" s="5" t="n">
        <v>0.295</v>
      </c>
      <c r="BF739" s="5" t="n">
        <v>0.915</v>
      </c>
      <c r="BG739" s="5" t="n">
        <v>0</v>
      </c>
      <c r="BH739" s="5" t="n">
        <v>1</v>
      </c>
      <c r="BI739" s="5" t="n">
        <v>0.608</v>
      </c>
      <c r="BJ739" s="5" t="n">
        <v>0.123</v>
      </c>
      <c r="BK739" s="5" t="n">
        <v>0.574</v>
      </c>
      <c r="BL739" s="5" t="n">
        <v>1.181</v>
      </c>
      <c r="BM739" s="5" t="n">
        <v>0</v>
      </c>
      <c r="BN739" s="5" t="n">
        <v>1</v>
      </c>
      <c r="BO739" s="5" t="n">
        <v>0</v>
      </c>
      <c r="BP739" s="5" t="n">
        <v>0</v>
      </c>
      <c r="BQ739" s="5" t="n">
        <v>0.348</v>
      </c>
      <c r="BR739" s="5" t="n">
        <v>0</v>
      </c>
      <c r="BS739" s="5" t="n">
        <v>1</v>
      </c>
      <c r="BT739" s="5" t="n">
        <v>0</v>
      </c>
      <c r="BU739" s="5" t="n">
        <v>0</v>
      </c>
      <c r="BV739" s="5" t="n">
        <v>0.285</v>
      </c>
      <c r="BW739" s="5" t="n">
        <v>0</v>
      </c>
      <c r="BX739" s="5" t="n">
        <v>1</v>
      </c>
      <c r="BY739" s="5" t="n">
        <v>12.729</v>
      </c>
      <c r="BZ739" s="5" t="n">
        <v>0</v>
      </c>
      <c r="CA739" s="5" t="n">
        <v>12.729</v>
      </c>
      <c r="CB739" s="5" t="n">
        <v>0</v>
      </c>
      <c r="CC739" s="5" t="n">
        <v>97.90000000000001</v>
      </c>
      <c r="CD739" s="5" t="n">
        <v>7.95</v>
      </c>
      <c r="CE739" s="5" t="n">
        <v>0.906</v>
      </c>
      <c r="CF739" s="5" t="n">
        <v>110.138</v>
      </c>
      <c r="CG739" s="5" t="n">
        <v>0.125</v>
      </c>
      <c r="CH739" s="5" t="n">
        <v>1</v>
      </c>
      <c r="CI739" s="5" t="n">
        <v>0</v>
      </c>
      <c r="CJ739" s="5" t="n">
        <v>0</v>
      </c>
      <c r="CK739" s="5" t="n">
        <v>0</v>
      </c>
      <c r="CL739" s="5" t="n">
        <v>0</v>
      </c>
      <c r="CM739" s="5" t="n">
        <v>0</v>
      </c>
      <c r="CN739" s="5" t="n">
        <v>0</v>
      </c>
      <c r="CO739" s="5" t="n">
        <v>0</v>
      </c>
      <c r="CP739" s="5" t="n">
        <v>0</v>
      </c>
      <c r="CQ739" s="5" t="n">
        <v>1.294</v>
      </c>
      <c r="CR739" s="5" t="n">
        <v>0</v>
      </c>
      <c r="CS739" s="5" t="n">
        <v>5.158</v>
      </c>
      <c r="CT739" s="5" t="n">
        <v>10.485</v>
      </c>
      <c r="CU739" s="5" t="n">
        <v>29.494</v>
      </c>
    </row>
    <row r="740">
      <c r="A740" s="5" t="inlineStr">
        <is>
          <t>LCA2023</t>
        </is>
      </c>
      <c r="B740" s="5" t="inlineStr">
        <is>
          <t>LCA</t>
        </is>
      </c>
      <c r="C740" s="5" t="inlineStr">
        <is>
          <t>LCA</t>
        </is>
      </c>
      <c r="D740" s="5" t="inlineStr">
        <is>
          <t>St. Lucia</t>
        </is>
      </c>
      <c r="E740" s="5" t="n">
        <v>2023</v>
      </c>
      <c r="F740" s="5" t="n">
        <v>0.125</v>
      </c>
      <c r="G740" s="5" t="n">
        <v>6.147</v>
      </c>
      <c r="H740" s="5" t="n">
        <v>1.286</v>
      </c>
      <c r="I740" s="5" t="n">
        <v>0</v>
      </c>
      <c r="J740" s="5" t="n">
        <v>6.147</v>
      </c>
      <c r="K740" s="5" t="n">
        <v>0</v>
      </c>
      <c r="L740" s="5" t="n">
        <v>1</v>
      </c>
      <c r="M740" s="5" t="n">
        <v>7.886</v>
      </c>
      <c r="N740" s="5" t="n">
        <v>3.857</v>
      </c>
      <c r="O740" s="5" t="n">
        <v>0</v>
      </c>
      <c r="P740" s="5" t="n">
        <v>7.886</v>
      </c>
      <c r="Q740" s="5" t="n">
        <v>0</v>
      </c>
      <c r="R740" s="5" t="n">
        <v>1</v>
      </c>
      <c r="S740" s="5" t="n">
        <v>12.575</v>
      </c>
      <c r="T740" s="5" t="n">
        <v>7.714</v>
      </c>
      <c r="U740" s="5" t="n">
        <v>0.174</v>
      </c>
      <c r="V740" s="5" t="n">
        <v>14.147</v>
      </c>
      <c r="W740" s="5" t="n">
        <v>0.125</v>
      </c>
      <c r="X740" s="5" t="n">
        <v>1</v>
      </c>
      <c r="Y740" s="5" t="n">
        <v>12.478</v>
      </c>
      <c r="Z740" s="5" t="n">
        <v>1.678</v>
      </c>
      <c r="AA740" s="5" t="n">
        <v>0</v>
      </c>
      <c r="AB740" s="5" t="n">
        <v>12.478</v>
      </c>
      <c r="AC740" s="5" t="n">
        <v>0</v>
      </c>
      <c r="AD740" s="5" t="n">
        <v>1</v>
      </c>
      <c r="AE740" s="5" t="n">
        <v>13.763</v>
      </c>
      <c r="AF740" s="5" t="n">
        <v>3.223</v>
      </c>
      <c r="AG740" s="5" t="n">
        <v>0</v>
      </c>
      <c r="AH740" s="5" t="n">
        <v>13.763</v>
      </c>
      <c r="AI740" s="5" t="n">
        <v>0</v>
      </c>
      <c r="AJ740" s="5" t="n">
        <v>1</v>
      </c>
      <c r="AK740" s="5" t="n">
        <v>21.477</v>
      </c>
      <c r="AL740" s="5" t="n">
        <v>11.54</v>
      </c>
      <c r="AM740" s="5" t="n">
        <v>0.297</v>
      </c>
      <c r="AN740" s="5" t="n">
        <v>24.162</v>
      </c>
      <c r="AO740" s="5" t="n">
        <v>0.125</v>
      </c>
      <c r="AP740" s="5" t="n">
        <v>1</v>
      </c>
      <c r="AQ740" s="5" t="n">
        <v>0.791</v>
      </c>
      <c r="AR740" s="5" t="n">
        <v>0.129</v>
      </c>
      <c r="AS740" s="5" t="n">
        <v>0.5629999999999999</v>
      </c>
      <c r="AT740" s="5" t="n">
        <v>1.354</v>
      </c>
      <c r="AU740" s="5" t="n">
        <v>0</v>
      </c>
      <c r="AV740" s="5" t="n">
        <v>1</v>
      </c>
      <c r="AW740" s="5" t="n">
        <v>0.618</v>
      </c>
      <c r="AX740" s="5" t="n">
        <v>0.129</v>
      </c>
      <c r="AY740" s="5" t="n">
        <v>0.678</v>
      </c>
      <c r="AZ740" s="5" t="n">
        <v>1.296</v>
      </c>
      <c r="BA740" s="5" t="n">
        <v>0</v>
      </c>
      <c r="BB740" s="5" t="n">
        <v>1</v>
      </c>
      <c r="BC740" s="5" t="n">
        <v>0.554</v>
      </c>
      <c r="BD740" s="5" t="n">
        <v>0.129</v>
      </c>
      <c r="BE740" s="5" t="n">
        <v>0.314</v>
      </c>
      <c r="BF740" s="5" t="n">
        <v>0.868</v>
      </c>
      <c r="BG740" s="5" t="n">
        <v>0</v>
      </c>
      <c r="BH740" s="5" t="n">
        <v>1</v>
      </c>
      <c r="BI740" s="5" t="n">
        <v>0.5570000000000001</v>
      </c>
      <c r="BJ740" s="5" t="n">
        <v>0.129</v>
      </c>
      <c r="BK740" s="5" t="n">
        <v>0.442</v>
      </c>
      <c r="BL740" s="5" t="n">
        <v>0.999</v>
      </c>
      <c r="BM740" s="5" t="n">
        <v>0</v>
      </c>
      <c r="BN740" s="5" t="n">
        <v>1</v>
      </c>
      <c r="BO740" s="5" t="n">
        <v>0</v>
      </c>
      <c r="BP740" s="5" t="n">
        <v>0</v>
      </c>
      <c r="BQ740" s="5" t="n">
        <v>0.362</v>
      </c>
      <c r="BR740" s="5" t="n">
        <v>0</v>
      </c>
      <c r="BS740" s="5" t="n">
        <v>1</v>
      </c>
      <c r="BT740" s="5" t="n">
        <v>0</v>
      </c>
      <c r="BU740" s="5" t="n">
        <v>0</v>
      </c>
      <c r="BV740" s="5" t="n">
        <v>0.296</v>
      </c>
      <c r="BW740" s="5" t="n">
        <v>0</v>
      </c>
      <c r="BX740" s="5" t="n">
        <v>1</v>
      </c>
      <c r="BY740" s="5" t="n">
        <v>13.254</v>
      </c>
      <c r="BZ740" s="5" t="n">
        <v>0</v>
      </c>
      <c r="CA740" s="5" t="n">
        <v>13.254</v>
      </c>
      <c r="CB740" s="5" t="n">
        <v>0</v>
      </c>
      <c r="CC740" s="5" t="n">
        <v>83.248</v>
      </c>
      <c r="CD740" s="5" t="n">
        <v>7.95</v>
      </c>
      <c r="CE740" s="5" t="n">
        <v>1.152</v>
      </c>
      <c r="CF740" s="5" t="n">
        <v>93.654</v>
      </c>
      <c r="CG740" s="5" t="n">
        <v>0.125</v>
      </c>
      <c r="CH740" s="5" t="n">
        <v>1</v>
      </c>
      <c r="CI740" s="5" t="n">
        <v>0</v>
      </c>
      <c r="CJ740" s="5" t="n">
        <v>0</v>
      </c>
      <c r="CK740" s="5" t="n">
        <v>0</v>
      </c>
      <c r="CL740" s="5" t="n">
        <v>0</v>
      </c>
      <c r="CM740" s="5" t="n">
        <v>0</v>
      </c>
      <c r="CN740" s="5" t="n">
        <v>0</v>
      </c>
      <c r="CO740" s="5" t="n">
        <v>0</v>
      </c>
      <c r="CP740" s="5" t="n">
        <v>0</v>
      </c>
      <c r="CQ740" s="5" t="n">
        <v>1.348</v>
      </c>
      <c r="CR740" s="5" t="n">
        <v>0</v>
      </c>
      <c r="CS740" s="5" t="n">
        <v>5.37</v>
      </c>
      <c r="CT740" s="5" t="n">
        <v>4.861</v>
      </c>
      <c r="CU740" s="5" t="n">
        <v>11.192</v>
      </c>
    </row>
    <row r="741">
      <c r="A741" s="5" t="inlineStr">
        <is>
          <t>LCA2024</t>
        </is>
      </c>
      <c r="B741" s="5" t="inlineStr">
        <is>
          <t>LCA</t>
        </is>
      </c>
      <c r="C741" s="5" t="inlineStr">
        <is>
          <t>LCA</t>
        </is>
      </c>
      <c r="D741" s="5" t="inlineStr">
        <is>
          <t>St. Lucia</t>
        </is>
      </c>
      <c r="E741" s="5" t="n">
        <v>2024</v>
      </c>
      <c r="F741" s="5" t="n">
        <v>0.125</v>
      </c>
      <c r="G741" s="5" t="n">
        <v>5.575</v>
      </c>
      <c r="H741" s="5" t="n">
        <v>1.324</v>
      </c>
      <c r="I741" s="5" t="n">
        <v>0</v>
      </c>
      <c r="J741" s="5" t="n">
        <v>5.575</v>
      </c>
      <c r="K741" s="5" t="n">
        <v>0</v>
      </c>
      <c r="L741" s="5" t="n">
        <v>1</v>
      </c>
      <c r="M741" s="5" t="n">
        <v>7.124</v>
      </c>
      <c r="N741" s="5" t="n">
        <v>3.971</v>
      </c>
      <c r="O741" s="5" t="n">
        <v>0</v>
      </c>
      <c r="P741" s="5" t="n">
        <v>7.124</v>
      </c>
      <c r="Q741" s="5" t="n">
        <v>0</v>
      </c>
      <c r="R741" s="5" t="n">
        <v>1</v>
      </c>
      <c r="S741" s="5" t="n">
        <v>12.193</v>
      </c>
      <c r="T741" s="5" t="n">
        <v>7.942</v>
      </c>
      <c r="U741" s="5" t="n">
        <v>0.208</v>
      </c>
      <c r="V741" s="5" t="n">
        <v>13.717</v>
      </c>
      <c r="W741" s="5" t="n">
        <v>0.125</v>
      </c>
      <c r="X741" s="5" t="n">
        <v>1</v>
      </c>
      <c r="Y741" s="5" t="n">
        <v>11.447</v>
      </c>
      <c r="Z741" s="5" t="n">
        <v>1.54</v>
      </c>
      <c r="AA741" s="5" t="n">
        <v>0</v>
      </c>
      <c r="AB741" s="5" t="n">
        <v>11.447</v>
      </c>
      <c r="AC741" s="5" t="n">
        <v>0</v>
      </c>
      <c r="AD741" s="5" t="n">
        <v>1</v>
      </c>
      <c r="AE741" s="5" t="n">
        <v>12.771</v>
      </c>
      <c r="AF741" s="5" t="n">
        <v>2.991</v>
      </c>
      <c r="AG741" s="5" t="n">
        <v>0</v>
      </c>
      <c r="AH741" s="5" t="n">
        <v>12.771</v>
      </c>
      <c r="AI741" s="5" t="n">
        <v>0</v>
      </c>
      <c r="AJ741" s="5" t="n">
        <v>1</v>
      </c>
      <c r="AK741" s="5" t="n">
        <v>20.712</v>
      </c>
      <c r="AL741" s="5" t="n">
        <v>11.129</v>
      </c>
      <c r="AM741" s="5" t="n">
        <v>0.353</v>
      </c>
      <c r="AN741" s="5" t="n">
        <v>23.301</v>
      </c>
      <c r="AO741" s="5" t="n">
        <v>0.125</v>
      </c>
      <c r="AP741" s="5" t="n">
        <v>1</v>
      </c>
      <c r="AQ741" s="5" t="n">
        <v>0.756</v>
      </c>
      <c r="AR741" s="5" t="n">
        <v>0.132</v>
      </c>
      <c r="AS741" s="5" t="n">
        <v>0.586</v>
      </c>
      <c r="AT741" s="5" t="n">
        <v>1.342</v>
      </c>
      <c r="AU741" s="5" t="n">
        <v>0</v>
      </c>
      <c r="AV741" s="5" t="n">
        <v>1</v>
      </c>
      <c r="AW741" s="5" t="n">
        <v>0.655</v>
      </c>
      <c r="AX741" s="5" t="n">
        <v>0.132</v>
      </c>
      <c r="AY741" s="5" t="n">
        <v>0.643</v>
      </c>
      <c r="AZ741" s="5" t="n">
        <v>1.299</v>
      </c>
      <c r="BA741" s="5" t="n">
        <v>0</v>
      </c>
      <c r="BB741" s="5" t="n">
        <v>1</v>
      </c>
      <c r="BC741" s="5" t="n">
        <v>0.534</v>
      </c>
      <c r="BD741" s="5" t="n">
        <v>0.132</v>
      </c>
      <c r="BE741" s="5" t="n">
        <v>0.326</v>
      </c>
      <c r="BF741" s="5" t="n">
        <v>0.859</v>
      </c>
      <c r="BG741" s="5" t="n">
        <v>0</v>
      </c>
      <c r="BH741" s="5" t="n">
        <v>1</v>
      </c>
      <c r="BI741" s="5" t="n">
        <v>0.5679999999999999</v>
      </c>
      <c r="BJ741" s="5" t="n">
        <v>0.132</v>
      </c>
      <c r="BK741" s="5" t="n">
        <v>0.371</v>
      </c>
      <c r="BL741" s="5" t="n">
        <v>0.9389999999999999</v>
      </c>
      <c r="BM741" s="5" t="n">
        <v>0</v>
      </c>
      <c r="BN741" s="5" t="n">
        <v>1</v>
      </c>
      <c r="BO741" s="5" t="n">
        <v>0</v>
      </c>
      <c r="BP741" s="5" t="n">
        <v>0</v>
      </c>
      <c r="BQ741" s="5" t="n">
        <v>0.373</v>
      </c>
      <c r="BR741" s="5" t="n">
        <v>0</v>
      </c>
      <c r="BS741" s="5" t="n">
        <v>1</v>
      </c>
      <c r="BT741" s="5" t="n">
        <v>0</v>
      </c>
      <c r="BU741" s="5" t="n">
        <v>0</v>
      </c>
      <c r="BV741" s="5" t="n">
        <v>0.305</v>
      </c>
      <c r="BW741" s="5" t="n">
        <v>0</v>
      </c>
      <c r="BX741" s="5" t="n">
        <v>1</v>
      </c>
      <c r="BY741" s="5" t="n">
        <v>13.646</v>
      </c>
      <c r="BZ741" s="5" t="n">
        <v>0</v>
      </c>
      <c r="CA741" s="5" t="n">
        <v>13.646</v>
      </c>
      <c r="CB741" s="5" t="n">
        <v>0</v>
      </c>
      <c r="CC741" s="5" t="n">
        <v>82.58799999999999</v>
      </c>
      <c r="CD741" s="5" t="n">
        <v>7.95</v>
      </c>
      <c r="CE741" s="5" t="n">
        <v>1.406</v>
      </c>
      <c r="CF741" s="5" t="n">
        <v>92.91200000000001</v>
      </c>
      <c r="CG741" s="5" t="n">
        <v>0.125</v>
      </c>
      <c r="CH741" s="5" t="n">
        <v>1</v>
      </c>
      <c r="CI741" s="5" t="n">
        <v>0</v>
      </c>
      <c r="CJ741" s="5" t="n">
        <v>0</v>
      </c>
      <c r="CK741" s="5" t="n">
        <v>0</v>
      </c>
      <c r="CL741" s="5" t="n">
        <v>0</v>
      </c>
      <c r="CM741" s="5" t="n">
        <v>0</v>
      </c>
      <c r="CN741" s="5" t="n">
        <v>0</v>
      </c>
      <c r="CO741" s="5" t="n">
        <v>0</v>
      </c>
      <c r="CP741" s="5" t="n">
        <v>0</v>
      </c>
      <c r="CQ741" s="5" t="n">
        <v>1.387</v>
      </c>
      <c r="CR741" s="5" t="n">
        <v>0</v>
      </c>
      <c r="CS741" s="5" t="n">
        <v>5.529</v>
      </c>
      <c r="CT741" s="5" t="n">
        <v>4.251</v>
      </c>
      <c r="CU741" s="5" t="n">
        <v>10.123</v>
      </c>
    </row>
    <row r="742">
      <c r="A742" s="5" t="inlineStr">
        <is>
          <t>MAF2021</t>
        </is>
      </c>
      <c r="B742" s="5" t="inlineStr">
        <is>
          <t>MAF</t>
        </is>
      </c>
      <c r="C742" s="5" t="inlineStr">
        <is>
          <t>MAF</t>
        </is>
      </c>
      <c r="D742" s="5" t="inlineStr">
        <is>
          <t>St. Martin (French part)</t>
        </is>
      </c>
      <c r="E742" s="5" t="n">
        <v>2021</v>
      </c>
      <c r="F742" s="5" t="n">
        <v>0.05</v>
      </c>
      <c r="G742" s="5" t="n">
        <v>5.897</v>
      </c>
      <c r="H742" s="5" t="n">
        <v>1.143</v>
      </c>
      <c r="I742" s="5" t="n">
        <v>0</v>
      </c>
      <c r="J742" s="5" t="n">
        <v>5.897</v>
      </c>
      <c r="K742" s="5" t="n">
        <v>0</v>
      </c>
      <c r="L742" s="5" t="n">
        <v>1</v>
      </c>
      <c r="M742" s="5" t="n">
        <v>7.964</v>
      </c>
      <c r="N742" s="5" t="n">
        <v>3.43</v>
      </c>
      <c r="O742" s="5" t="n">
        <v>0</v>
      </c>
      <c r="P742" s="5" t="n">
        <v>7.964</v>
      </c>
      <c r="Q742" s="5" t="n">
        <v>0</v>
      </c>
      <c r="R742" s="5" t="n">
        <v>1</v>
      </c>
      <c r="S742" s="5" t="n">
        <v>11.613</v>
      </c>
      <c r="T742" s="5" t="n">
        <v>6.86</v>
      </c>
      <c r="U742" s="5" t="n">
        <v>0</v>
      </c>
      <c r="V742" s="5" t="n">
        <v>12.194</v>
      </c>
      <c r="W742" s="5" t="n">
        <v>0.05</v>
      </c>
      <c r="X742" s="5" t="n">
        <v>1</v>
      </c>
      <c r="Y742" s="5" t="n">
        <v>17.127</v>
      </c>
      <c r="Z742" s="5" t="n">
        <v>2.304</v>
      </c>
      <c r="AA742" s="5" t="n">
        <v>0</v>
      </c>
      <c r="AB742" s="5" t="n">
        <v>17.127</v>
      </c>
      <c r="AC742" s="5" t="n">
        <v>0</v>
      </c>
      <c r="AD742" s="5" t="n">
        <v>1</v>
      </c>
      <c r="AE742" s="5" t="n">
        <v>18.27</v>
      </c>
      <c r="AF742" s="5" t="n">
        <v>4.278</v>
      </c>
      <c r="AG742" s="5" t="n">
        <v>0</v>
      </c>
      <c r="AH742" s="5" t="n">
        <v>18.27</v>
      </c>
      <c r="AI742" s="5" t="n">
        <v>0</v>
      </c>
      <c r="AJ742" s="5" t="n">
        <v>1</v>
      </c>
      <c r="AK742" s="5" t="n">
        <v>25.13</v>
      </c>
      <c r="AL742" s="5" t="n">
        <v>13.503</v>
      </c>
      <c r="AM742" s="5" t="n">
        <v>0</v>
      </c>
      <c r="AN742" s="5" t="n">
        <v>26.386</v>
      </c>
      <c r="AO742" s="5" t="n">
        <v>0.05</v>
      </c>
      <c r="AP742" s="5" t="n">
        <v>1</v>
      </c>
      <c r="AQ742" s="5" t="n">
        <v>0.649</v>
      </c>
      <c r="AR742" s="5" t="n">
        <v>0.114</v>
      </c>
      <c r="AS742" s="5" t="n">
        <v>0</v>
      </c>
      <c r="AT742" s="5" t="n">
        <v>0.681</v>
      </c>
      <c r="AU742" s="5" t="n">
        <v>0.05</v>
      </c>
      <c r="AV742" s="5" t="n">
        <v>1</v>
      </c>
      <c r="AW742" s="5" t="n">
        <v>0.577</v>
      </c>
      <c r="AX742" s="5" t="n">
        <v>0.114</v>
      </c>
      <c r="AY742" s="5" t="n">
        <v>0</v>
      </c>
      <c r="AZ742" s="5" t="n">
        <v>0.605</v>
      </c>
      <c r="BA742" s="5" t="n">
        <v>0.05</v>
      </c>
      <c r="BB742" s="5" t="n">
        <v>1</v>
      </c>
      <c r="BC742" s="5" t="n">
        <v>0.458</v>
      </c>
      <c r="BD742" s="5" t="n">
        <v>0.114</v>
      </c>
      <c r="BE742" s="5" t="n">
        <v>0</v>
      </c>
      <c r="BF742" s="5" t="n">
        <v>0.481</v>
      </c>
      <c r="BG742" s="5" t="n">
        <v>0.05</v>
      </c>
      <c r="BH742" s="5" t="n">
        <v>1</v>
      </c>
      <c r="BI742" s="5" t="n">
        <v>0.491</v>
      </c>
      <c r="BJ742" s="5" t="n">
        <v>0.114</v>
      </c>
      <c r="BK742" s="5" t="n">
        <v>0</v>
      </c>
      <c r="BL742" s="5" t="n">
        <v>0.516</v>
      </c>
      <c r="BM742" s="5" t="n">
        <v>0.05</v>
      </c>
      <c r="BN742" s="5" t="n">
        <v>1</v>
      </c>
      <c r="BO742" s="5" t="n">
        <v>0</v>
      </c>
      <c r="BP742" s="5" t="n">
        <v>0</v>
      </c>
      <c r="BQ742" s="5" t="n">
        <v>0</v>
      </c>
      <c r="BR742" s="5" t="n">
        <v>0</v>
      </c>
      <c r="BS742" s="5" t="n">
        <v>1</v>
      </c>
      <c r="BT742" s="5" t="n">
        <v>0</v>
      </c>
      <c r="BU742" s="5" t="n">
        <v>0</v>
      </c>
      <c r="BV742" s="5" t="n">
        <v>0</v>
      </c>
      <c r="BW742" s="5" t="n">
        <v>0.05</v>
      </c>
      <c r="BX742" s="5" t="n">
        <v>1</v>
      </c>
      <c r="BY742" s="5" t="n">
        <v>11.787</v>
      </c>
      <c r="BZ742" s="5" t="n">
        <v>0</v>
      </c>
      <c r="CA742" s="5" t="n">
        <v>11.787</v>
      </c>
      <c r="CB742" s="5" t="n">
        <v>0</v>
      </c>
      <c r="CC742" s="5" t="n">
        <v>78.125</v>
      </c>
      <c r="CD742" s="5" t="n">
        <v>7.95</v>
      </c>
      <c r="CE742" s="5" t="n">
        <v>0</v>
      </c>
      <c r="CF742" s="5" t="n">
        <v>82.03100000000001</v>
      </c>
      <c r="CG742" s="5" t="n">
        <v>0.05</v>
      </c>
      <c r="CH742" s="5" t="n">
        <v>1</v>
      </c>
      <c r="CI742" s="5" t="n">
        <v>0</v>
      </c>
      <c r="CJ742" s="5" t="n">
        <v>0</v>
      </c>
      <c r="CK742" s="5" t="n">
        <v>0</v>
      </c>
      <c r="CL742" s="5" t="n">
        <v>0</v>
      </c>
      <c r="CM742" s="5" t="n">
        <v>0</v>
      </c>
      <c r="CN742" s="5" t="n">
        <v>0</v>
      </c>
      <c r="CO742" s="5" t="n">
        <v>0</v>
      </c>
      <c r="CP742" s="5" t="n">
        <v>0</v>
      </c>
      <c r="CQ742" s="5" t="n">
        <v>1.198</v>
      </c>
      <c r="CR742" s="5" t="n">
        <v>0</v>
      </c>
      <c r="CS742" s="5" t="n">
        <v>4.776</v>
      </c>
      <c r="CT742" s="5" t="n">
        <v>4.753</v>
      </c>
      <c r="CU742" s="5" t="n">
        <v>15.983</v>
      </c>
    </row>
    <row r="743">
      <c r="A743" s="5" t="inlineStr">
        <is>
          <t>MAF2022</t>
        </is>
      </c>
      <c r="B743" s="5" t="inlineStr">
        <is>
          <t>MAF</t>
        </is>
      </c>
      <c r="C743" s="5" t="inlineStr">
        <is>
          <t>MAF</t>
        </is>
      </c>
      <c r="D743" s="5" t="inlineStr">
        <is>
          <t>St. Martin (French part)</t>
        </is>
      </c>
      <c r="E743" s="5" t="n">
        <v>2022</v>
      </c>
      <c r="F743" s="5" t="n">
        <v>0.05</v>
      </c>
      <c r="G743" s="5" t="n">
        <v>11.72</v>
      </c>
      <c r="H743" s="5" t="n">
        <v>1.235</v>
      </c>
      <c r="I743" s="5" t="n">
        <v>0</v>
      </c>
      <c r="J743" s="5" t="n">
        <v>11.72</v>
      </c>
      <c r="K743" s="5" t="n">
        <v>0</v>
      </c>
      <c r="L743" s="5" t="n">
        <v>1</v>
      </c>
      <c r="M743" s="5" t="n">
        <v>9.782999999999999</v>
      </c>
      <c r="N743" s="5" t="n">
        <v>3.704</v>
      </c>
      <c r="O743" s="5" t="n">
        <v>0</v>
      </c>
      <c r="P743" s="5" t="n">
        <v>9.782999999999999</v>
      </c>
      <c r="Q743" s="5" t="n">
        <v>0</v>
      </c>
      <c r="R743" s="5" t="n">
        <v>1</v>
      </c>
      <c r="S743" s="5" t="n">
        <v>17.893</v>
      </c>
      <c r="T743" s="5" t="n">
        <v>7.408</v>
      </c>
      <c r="U743" s="5" t="n">
        <v>0.066</v>
      </c>
      <c r="V743" s="5" t="n">
        <v>18.788</v>
      </c>
      <c r="W743" s="5" t="n">
        <v>0.05</v>
      </c>
      <c r="X743" s="5" t="n">
        <v>1</v>
      </c>
      <c r="Y743" s="5" t="n">
        <v>30.728</v>
      </c>
      <c r="Z743" s="5" t="n">
        <v>4.133</v>
      </c>
      <c r="AA743" s="5" t="n">
        <v>0</v>
      </c>
      <c r="AB743" s="5" t="n">
        <v>30.728</v>
      </c>
      <c r="AC743" s="5" t="n">
        <v>0</v>
      </c>
      <c r="AD743" s="5" t="n">
        <v>1</v>
      </c>
      <c r="AE743" s="5" t="n">
        <v>31.963</v>
      </c>
      <c r="AF743" s="5" t="n">
        <v>7.485</v>
      </c>
      <c r="AG743" s="5" t="n">
        <v>0</v>
      </c>
      <c r="AH743" s="5" t="n">
        <v>31.963</v>
      </c>
      <c r="AI743" s="5" t="n">
        <v>0</v>
      </c>
      <c r="AJ743" s="5" t="n">
        <v>1</v>
      </c>
      <c r="AK743" s="5" t="n">
        <v>39.371</v>
      </c>
      <c r="AL743" s="5" t="n">
        <v>21.155</v>
      </c>
      <c r="AM743" s="5" t="n">
        <v>0.146</v>
      </c>
      <c r="AN743" s="5" t="n">
        <v>41.34</v>
      </c>
      <c r="AO743" s="5" t="n">
        <v>0.05</v>
      </c>
      <c r="AP743" s="5" t="n">
        <v>1</v>
      </c>
      <c r="AQ743" s="5" t="n">
        <v>0.896</v>
      </c>
      <c r="AR743" s="5" t="n">
        <v>0.123</v>
      </c>
      <c r="AS743" s="5" t="n">
        <v>0.003</v>
      </c>
      <c r="AT743" s="5" t="n">
        <v>0.9409999999999999</v>
      </c>
      <c r="AU743" s="5" t="n">
        <v>0.05</v>
      </c>
      <c r="AV743" s="5" t="n">
        <v>1</v>
      </c>
      <c r="AW743" s="5" t="n">
        <v>0.89</v>
      </c>
      <c r="AX743" s="5" t="n">
        <v>0.123</v>
      </c>
      <c r="AY743" s="5" t="n">
        <v>0.003</v>
      </c>
      <c r="AZ743" s="5" t="n">
        <v>0.9350000000000001</v>
      </c>
      <c r="BA743" s="5" t="n">
        <v>0.05</v>
      </c>
      <c r="BB743" s="5" t="n">
        <v>1</v>
      </c>
      <c r="BC743" s="5" t="n">
        <v>0.62</v>
      </c>
      <c r="BD743" s="5" t="n">
        <v>0.123</v>
      </c>
      <c r="BE743" s="5" t="n">
        <v>0.002</v>
      </c>
      <c r="BF743" s="5" t="n">
        <v>0.651</v>
      </c>
      <c r="BG743" s="5" t="n">
        <v>0.05</v>
      </c>
      <c r="BH743" s="5" t="n">
        <v>1</v>
      </c>
      <c r="BI743" s="5" t="n">
        <v>0.608</v>
      </c>
      <c r="BJ743" s="5" t="n">
        <v>0.123</v>
      </c>
      <c r="BK743" s="5" t="n">
        <v>0.002</v>
      </c>
      <c r="BL743" s="5" t="n">
        <v>0.638</v>
      </c>
      <c r="BM743" s="5" t="n">
        <v>0.05</v>
      </c>
      <c r="BN743" s="5" t="n">
        <v>1</v>
      </c>
      <c r="BO743" s="5" t="n">
        <v>0</v>
      </c>
      <c r="BP743" s="5" t="n">
        <v>0</v>
      </c>
      <c r="BQ743" s="5" t="n">
        <v>0</v>
      </c>
      <c r="BR743" s="5" t="n">
        <v>0</v>
      </c>
      <c r="BS743" s="5" t="n">
        <v>1</v>
      </c>
      <c r="BT743" s="5" t="n">
        <v>0</v>
      </c>
      <c r="BU743" s="5" t="n">
        <v>0</v>
      </c>
      <c r="BV743" s="5" t="n">
        <v>0</v>
      </c>
      <c r="BW743" s="5" t="n">
        <v>0.05</v>
      </c>
      <c r="BX743" s="5" t="n">
        <v>1</v>
      </c>
      <c r="BY743" s="5" t="n">
        <v>12.729</v>
      </c>
      <c r="BZ743" s="5" t="n">
        <v>0</v>
      </c>
      <c r="CA743" s="5" t="n">
        <v>12.729</v>
      </c>
      <c r="CB743" s="5" t="n">
        <v>0</v>
      </c>
      <c r="CC743" s="5" t="n">
        <v>97.90000000000001</v>
      </c>
      <c r="CD743" s="5" t="n">
        <v>7.95</v>
      </c>
      <c r="CE743" s="5" t="n">
        <v>0.362</v>
      </c>
      <c r="CF743" s="5" t="n">
        <v>102.795</v>
      </c>
      <c r="CG743" s="5" t="n">
        <v>0.05</v>
      </c>
      <c r="CH743" s="5" t="n">
        <v>1</v>
      </c>
      <c r="CI743" s="5" t="n">
        <v>0</v>
      </c>
      <c r="CJ743" s="5" t="n">
        <v>0</v>
      </c>
      <c r="CK743" s="5" t="n">
        <v>0</v>
      </c>
      <c r="CL743" s="5" t="n">
        <v>0</v>
      </c>
      <c r="CM743" s="5" t="n">
        <v>0</v>
      </c>
      <c r="CN743" s="5" t="n">
        <v>0</v>
      </c>
      <c r="CO743" s="5" t="n">
        <v>0</v>
      </c>
      <c r="CP743" s="5" t="n">
        <v>0</v>
      </c>
      <c r="CQ743" s="5" t="n">
        <v>1.294</v>
      </c>
      <c r="CR743" s="5" t="n">
        <v>0</v>
      </c>
      <c r="CS743" s="5" t="n">
        <v>5.158</v>
      </c>
      <c r="CT743" s="5" t="n">
        <v>10.485</v>
      </c>
      <c r="CU743" s="5" t="n">
        <v>29.494</v>
      </c>
    </row>
    <row r="744">
      <c r="A744" s="5" t="inlineStr">
        <is>
          <t>MAF2023</t>
        </is>
      </c>
      <c r="B744" s="5" t="inlineStr">
        <is>
          <t>MAF</t>
        </is>
      </c>
      <c r="C744" s="5" t="inlineStr">
        <is>
          <t>MAF</t>
        </is>
      </c>
      <c r="D744" s="5" t="inlineStr">
        <is>
          <t>St. Martin (French part)</t>
        </is>
      </c>
      <c r="E744" s="5" t="n">
        <v>2023</v>
      </c>
      <c r="F744" s="5" t="n">
        <v>0.05</v>
      </c>
      <c r="G744" s="5" t="n">
        <v>6.147</v>
      </c>
      <c r="H744" s="5" t="n">
        <v>1.286</v>
      </c>
      <c r="I744" s="5" t="n">
        <v>0</v>
      </c>
      <c r="J744" s="5" t="n">
        <v>6.147</v>
      </c>
      <c r="K744" s="5" t="n">
        <v>0</v>
      </c>
      <c r="L744" s="5" t="n">
        <v>1</v>
      </c>
      <c r="M744" s="5" t="n">
        <v>7.886</v>
      </c>
      <c r="N744" s="5" t="n">
        <v>3.857</v>
      </c>
      <c r="O744" s="5" t="n">
        <v>0</v>
      </c>
      <c r="P744" s="5" t="n">
        <v>7.886</v>
      </c>
      <c r="Q744" s="5" t="n">
        <v>0</v>
      </c>
      <c r="R744" s="5" t="n">
        <v>1</v>
      </c>
      <c r="S744" s="5" t="n">
        <v>12.575</v>
      </c>
      <c r="T744" s="5" t="n">
        <v>7.714</v>
      </c>
      <c r="U744" s="5" t="n">
        <v>0.07000000000000001</v>
      </c>
      <c r="V744" s="5" t="n">
        <v>13.204</v>
      </c>
      <c r="W744" s="5" t="n">
        <v>0.05</v>
      </c>
      <c r="X744" s="5" t="n">
        <v>1</v>
      </c>
      <c r="Y744" s="5" t="n">
        <v>12.478</v>
      </c>
      <c r="Z744" s="5" t="n">
        <v>1.678</v>
      </c>
      <c r="AA744" s="5" t="n">
        <v>0</v>
      </c>
      <c r="AB744" s="5" t="n">
        <v>12.478</v>
      </c>
      <c r="AC744" s="5" t="n">
        <v>0</v>
      </c>
      <c r="AD744" s="5" t="n">
        <v>1</v>
      </c>
      <c r="AE744" s="5" t="n">
        <v>13.763</v>
      </c>
      <c r="AF744" s="5" t="n">
        <v>3.223</v>
      </c>
      <c r="AG744" s="5" t="n">
        <v>0</v>
      </c>
      <c r="AH744" s="5" t="n">
        <v>13.763</v>
      </c>
      <c r="AI744" s="5" t="n">
        <v>0</v>
      </c>
      <c r="AJ744" s="5" t="n">
        <v>1</v>
      </c>
      <c r="AK744" s="5" t="n">
        <v>21.477</v>
      </c>
      <c r="AL744" s="5" t="n">
        <v>11.54</v>
      </c>
      <c r="AM744" s="5" t="n">
        <v>0.119</v>
      </c>
      <c r="AN744" s="5" t="n">
        <v>22.551</v>
      </c>
      <c r="AO744" s="5" t="n">
        <v>0.05</v>
      </c>
      <c r="AP744" s="5" t="n">
        <v>1</v>
      </c>
      <c r="AQ744" s="5" t="n">
        <v>0.791</v>
      </c>
      <c r="AR744" s="5" t="n">
        <v>0.129</v>
      </c>
      <c r="AS744" s="5" t="n">
        <v>0.004</v>
      </c>
      <c r="AT744" s="5" t="n">
        <v>0.83</v>
      </c>
      <c r="AU744" s="5" t="n">
        <v>0.05</v>
      </c>
      <c r="AV744" s="5" t="n">
        <v>1</v>
      </c>
      <c r="AW744" s="5" t="n">
        <v>0.618</v>
      </c>
      <c r="AX744" s="5" t="n">
        <v>0.129</v>
      </c>
      <c r="AY744" s="5" t="n">
        <v>0.003</v>
      </c>
      <c r="AZ744" s="5" t="n">
        <v>0.649</v>
      </c>
      <c r="BA744" s="5" t="n">
        <v>0.05</v>
      </c>
      <c r="BB744" s="5" t="n">
        <v>1</v>
      </c>
      <c r="BC744" s="5" t="n">
        <v>0.554</v>
      </c>
      <c r="BD744" s="5" t="n">
        <v>0.129</v>
      </c>
      <c r="BE744" s="5" t="n">
        <v>0.003</v>
      </c>
      <c r="BF744" s="5" t="n">
        <v>0.582</v>
      </c>
      <c r="BG744" s="5" t="n">
        <v>0.05</v>
      </c>
      <c r="BH744" s="5" t="n">
        <v>1</v>
      </c>
      <c r="BI744" s="5" t="n">
        <v>0.5570000000000001</v>
      </c>
      <c r="BJ744" s="5" t="n">
        <v>0.129</v>
      </c>
      <c r="BK744" s="5" t="n">
        <v>0.003</v>
      </c>
      <c r="BL744" s="5" t="n">
        <v>0.585</v>
      </c>
      <c r="BM744" s="5" t="n">
        <v>0.05</v>
      </c>
      <c r="BN744" s="5" t="n">
        <v>1</v>
      </c>
      <c r="BO744" s="5" t="n">
        <v>0</v>
      </c>
      <c r="BP744" s="5" t="n">
        <v>0</v>
      </c>
      <c r="BQ744" s="5" t="n">
        <v>0</v>
      </c>
      <c r="BR744" s="5" t="n">
        <v>0</v>
      </c>
      <c r="BS744" s="5" t="n">
        <v>1</v>
      </c>
      <c r="BT744" s="5" t="n">
        <v>0</v>
      </c>
      <c r="BU744" s="5" t="n">
        <v>0</v>
      </c>
      <c r="BV744" s="5" t="n">
        <v>0</v>
      </c>
      <c r="BW744" s="5" t="n">
        <v>0.05</v>
      </c>
      <c r="BX744" s="5" t="n">
        <v>1</v>
      </c>
      <c r="BY744" s="5" t="n">
        <v>13.254</v>
      </c>
      <c r="BZ744" s="5" t="n">
        <v>0</v>
      </c>
      <c r="CA744" s="5" t="n">
        <v>13.254</v>
      </c>
      <c r="CB744" s="5" t="n">
        <v>0</v>
      </c>
      <c r="CC744" s="5" t="n">
        <v>83.248</v>
      </c>
      <c r="CD744" s="5" t="n">
        <v>7.95</v>
      </c>
      <c r="CE744" s="5" t="n">
        <v>0.461</v>
      </c>
      <c r="CF744" s="5" t="n">
        <v>87.41</v>
      </c>
      <c r="CG744" s="5" t="n">
        <v>0.05</v>
      </c>
      <c r="CH744" s="5" t="n">
        <v>1</v>
      </c>
      <c r="CI744" s="5" t="n">
        <v>0</v>
      </c>
      <c r="CJ744" s="5" t="n">
        <v>0</v>
      </c>
      <c r="CK744" s="5" t="n">
        <v>0</v>
      </c>
      <c r="CL744" s="5" t="n">
        <v>0</v>
      </c>
      <c r="CM744" s="5" t="n">
        <v>0</v>
      </c>
      <c r="CN744" s="5" t="n">
        <v>0</v>
      </c>
      <c r="CO744" s="5" t="n">
        <v>0</v>
      </c>
      <c r="CP744" s="5" t="n">
        <v>0</v>
      </c>
      <c r="CQ744" s="5" t="n">
        <v>1.348</v>
      </c>
      <c r="CR744" s="5" t="n">
        <v>0</v>
      </c>
      <c r="CS744" s="5" t="n">
        <v>5.37</v>
      </c>
      <c r="CT744" s="5" t="n">
        <v>4.861</v>
      </c>
      <c r="CU744" s="5" t="n">
        <v>11.192</v>
      </c>
    </row>
    <row r="745">
      <c r="A745" s="5" t="inlineStr">
        <is>
          <t>MAF2024</t>
        </is>
      </c>
      <c r="B745" s="5" t="inlineStr">
        <is>
          <t>MAF</t>
        </is>
      </c>
      <c r="C745" s="5" t="inlineStr">
        <is>
          <t>MAF</t>
        </is>
      </c>
      <c r="D745" s="5" t="inlineStr">
        <is>
          <t>St. Martin (French part)</t>
        </is>
      </c>
      <c r="E745" s="5" t="n">
        <v>2024</v>
      </c>
      <c r="F745" s="5" t="n">
        <v>0.05</v>
      </c>
      <c r="G745" s="5" t="n">
        <v>5.575</v>
      </c>
      <c r="H745" s="5" t="n">
        <v>1.324</v>
      </c>
      <c r="I745" s="5" t="n">
        <v>0</v>
      </c>
      <c r="J745" s="5" t="n">
        <v>5.575</v>
      </c>
      <c r="K745" s="5" t="n">
        <v>0</v>
      </c>
      <c r="L745" s="5" t="n">
        <v>1</v>
      </c>
      <c r="M745" s="5" t="n">
        <v>7.124</v>
      </c>
      <c r="N745" s="5" t="n">
        <v>3.971</v>
      </c>
      <c r="O745" s="5" t="n">
        <v>0</v>
      </c>
      <c r="P745" s="5" t="n">
        <v>7.124</v>
      </c>
      <c r="Q745" s="5" t="n">
        <v>0</v>
      </c>
      <c r="R745" s="5" t="n">
        <v>1</v>
      </c>
      <c r="S745" s="5" t="n">
        <v>12.193</v>
      </c>
      <c r="T745" s="5" t="n">
        <v>7.942</v>
      </c>
      <c r="U745" s="5" t="n">
        <v>0.083</v>
      </c>
      <c r="V745" s="5" t="n">
        <v>12.802</v>
      </c>
      <c r="W745" s="5" t="n">
        <v>0.05</v>
      </c>
      <c r="X745" s="5" t="n">
        <v>1</v>
      </c>
      <c r="Y745" s="5" t="n">
        <v>11.447</v>
      </c>
      <c r="Z745" s="5" t="n">
        <v>1.54</v>
      </c>
      <c r="AA745" s="5" t="n">
        <v>0</v>
      </c>
      <c r="AB745" s="5" t="n">
        <v>11.447</v>
      </c>
      <c r="AC745" s="5" t="n">
        <v>0</v>
      </c>
      <c r="AD745" s="5" t="n">
        <v>1</v>
      </c>
      <c r="AE745" s="5" t="n">
        <v>12.771</v>
      </c>
      <c r="AF745" s="5" t="n">
        <v>2.991</v>
      </c>
      <c r="AG745" s="5" t="n">
        <v>0</v>
      </c>
      <c r="AH745" s="5" t="n">
        <v>12.771</v>
      </c>
      <c r="AI745" s="5" t="n">
        <v>0</v>
      </c>
      <c r="AJ745" s="5" t="n">
        <v>1</v>
      </c>
      <c r="AK745" s="5" t="n">
        <v>20.712</v>
      </c>
      <c r="AL745" s="5" t="n">
        <v>11.129</v>
      </c>
      <c r="AM745" s="5" t="n">
        <v>0.141</v>
      </c>
      <c r="AN745" s="5" t="n">
        <v>21.748</v>
      </c>
      <c r="AO745" s="5" t="n">
        <v>0.05</v>
      </c>
      <c r="AP745" s="5" t="n">
        <v>1</v>
      </c>
      <c r="AQ745" s="5" t="n">
        <v>0.756</v>
      </c>
      <c r="AR745" s="5" t="n">
        <v>0.132</v>
      </c>
      <c r="AS745" s="5" t="n">
        <v>0.005</v>
      </c>
      <c r="AT745" s="5" t="n">
        <v>0.794</v>
      </c>
      <c r="AU745" s="5" t="n">
        <v>0.05</v>
      </c>
      <c r="AV745" s="5" t="n">
        <v>1</v>
      </c>
      <c r="AW745" s="5" t="n">
        <v>0.655</v>
      </c>
      <c r="AX745" s="5" t="n">
        <v>0.132</v>
      </c>
      <c r="AY745" s="5" t="n">
        <v>0.004</v>
      </c>
      <c r="AZ745" s="5" t="n">
        <v>0.6879999999999999</v>
      </c>
      <c r="BA745" s="5" t="n">
        <v>0.05</v>
      </c>
      <c r="BB745" s="5" t="n">
        <v>1</v>
      </c>
      <c r="BC745" s="5" t="n">
        <v>0.534</v>
      </c>
      <c r="BD745" s="5" t="n">
        <v>0.132</v>
      </c>
      <c r="BE745" s="5" t="n">
        <v>0.004</v>
      </c>
      <c r="BF745" s="5" t="n">
        <v>0.5600000000000001</v>
      </c>
      <c r="BG745" s="5" t="n">
        <v>0.05</v>
      </c>
      <c r="BH745" s="5" t="n">
        <v>1</v>
      </c>
      <c r="BI745" s="5" t="n">
        <v>0.5679999999999999</v>
      </c>
      <c r="BJ745" s="5" t="n">
        <v>0.132</v>
      </c>
      <c r="BK745" s="5" t="n">
        <v>0.004</v>
      </c>
      <c r="BL745" s="5" t="n">
        <v>0.596</v>
      </c>
      <c r="BM745" s="5" t="n">
        <v>0.05</v>
      </c>
      <c r="BN745" s="5" t="n">
        <v>1</v>
      </c>
      <c r="BO745" s="5" t="n">
        <v>0</v>
      </c>
      <c r="BP745" s="5" t="n">
        <v>0</v>
      </c>
      <c r="BQ745" s="5" t="n">
        <v>0</v>
      </c>
      <c r="BR745" s="5" t="n">
        <v>0</v>
      </c>
      <c r="BS745" s="5" t="n">
        <v>1</v>
      </c>
      <c r="BT745" s="5" t="n">
        <v>0</v>
      </c>
      <c r="BU745" s="5" t="n">
        <v>0</v>
      </c>
      <c r="BV745" s="5" t="n">
        <v>0</v>
      </c>
      <c r="BW745" s="5" t="n">
        <v>0.05</v>
      </c>
      <c r="BX745" s="5" t="n">
        <v>1</v>
      </c>
      <c r="BY745" s="5" t="n">
        <v>13.646</v>
      </c>
      <c r="BZ745" s="5" t="n">
        <v>0</v>
      </c>
      <c r="CA745" s="5" t="n">
        <v>13.646</v>
      </c>
      <c r="CB745" s="5" t="n">
        <v>0</v>
      </c>
      <c r="CC745" s="5" t="n">
        <v>82.58799999999999</v>
      </c>
      <c r="CD745" s="5" t="n">
        <v>7.95</v>
      </c>
      <c r="CE745" s="5" t="n">
        <v>0.5620000000000001</v>
      </c>
      <c r="CF745" s="5" t="n">
        <v>86.717</v>
      </c>
      <c r="CG745" s="5" t="n">
        <v>0.05</v>
      </c>
      <c r="CH745" s="5" t="n">
        <v>1</v>
      </c>
      <c r="CI745" s="5" t="n">
        <v>0</v>
      </c>
      <c r="CJ745" s="5" t="n">
        <v>0</v>
      </c>
      <c r="CK745" s="5" t="n">
        <v>0</v>
      </c>
      <c r="CL745" s="5" t="n">
        <v>0</v>
      </c>
      <c r="CM745" s="5" t="n">
        <v>0</v>
      </c>
      <c r="CN745" s="5" t="n">
        <v>0</v>
      </c>
      <c r="CO745" s="5" t="n">
        <v>0</v>
      </c>
      <c r="CP745" s="5" t="n">
        <v>0</v>
      </c>
      <c r="CQ745" s="5" t="n">
        <v>1.387</v>
      </c>
      <c r="CR745" s="5" t="n">
        <v>0</v>
      </c>
      <c r="CS745" s="5" t="n">
        <v>5.529</v>
      </c>
      <c r="CT745" s="5" t="n">
        <v>4.251</v>
      </c>
      <c r="CU745" s="5" t="n">
        <v>10.123</v>
      </c>
    </row>
    <row r="746">
      <c r="A746" s="5" t="inlineStr">
        <is>
          <t>VCT2021</t>
        </is>
      </c>
      <c r="B746" s="5" t="inlineStr">
        <is>
          <t>VCT</t>
        </is>
      </c>
      <c r="C746" s="5" t="inlineStr">
        <is>
          <t>VCT</t>
        </is>
      </c>
      <c r="D746" s="5" t="inlineStr">
        <is>
          <t>St. Vincent and the Grenadines</t>
        </is>
      </c>
      <c r="E746" s="5" t="n">
        <v>2021</v>
      </c>
      <c r="F746" s="5" t="n">
        <v>0.16</v>
      </c>
      <c r="G746" s="5" t="n">
        <v>5.897</v>
      </c>
      <c r="H746" s="5" t="n">
        <v>1.143</v>
      </c>
      <c r="I746" s="5" t="n">
        <v>0</v>
      </c>
      <c r="J746" s="5" t="n">
        <v>5.897</v>
      </c>
      <c r="K746" s="5" t="n">
        <v>0</v>
      </c>
      <c r="L746" s="5" t="n">
        <v>1</v>
      </c>
      <c r="M746" s="5" t="n">
        <v>7.964</v>
      </c>
      <c r="N746" s="5" t="n">
        <v>3.43</v>
      </c>
      <c r="O746" s="5" t="n">
        <v>0</v>
      </c>
      <c r="P746" s="5" t="n">
        <v>7.964</v>
      </c>
      <c r="Q746" s="5" t="n">
        <v>0</v>
      </c>
      <c r="R746" s="5" t="n">
        <v>1</v>
      </c>
      <c r="S746" s="5" t="n">
        <v>11.613</v>
      </c>
      <c r="T746" s="5" t="n">
        <v>6.86</v>
      </c>
      <c r="U746" s="5" t="n">
        <v>0</v>
      </c>
      <c r="V746" s="5" t="n">
        <v>13.471</v>
      </c>
      <c r="W746" s="5" t="n">
        <v>0.16</v>
      </c>
      <c r="X746" s="5" t="n">
        <v>1</v>
      </c>
      <c r="Y746" s="5" t="n">
        <v>5.849</v>
      </c>
      <c r="Z746" s="5" t="n">
        <v>0.787</v>
      </c>
      <c r="AA746" s="5" t="n">
        <v>0</v>
      </c>
      <c r="AB746" s="5" t="n">
        <v>5.849</v>
      </c>
      <c r="AC746" s="5" t="n">
        <v>0</v>
      </c>
      <c r="AD746" s="5" t="n">
        <v>1</v>
      </c>
      <c r="AE746" s="5" t="n">
        <v>6.992</v>
      </c>
      <c r="AF746" s="5" t="n">
        <v>1.637</v>
      </c>
      <c r="AG746" s="5" t="n">
        <v>0</v>
      </c>
      <c r="AH746" s="5" t="n">
        <v>6.992</v>
      </c>
      <c r="AI746" s="5" t="n">
        <v>0</v>
      </c>
      <c r="AJ746" s="5" t="n">
        <v>1</v>
      </c>
      <c r="AK746" s="5" t="n">
        <v>13.852</v>
      </c>
      <c r="AL746" s="5" t="n">
        <v>7.443</v>
      </c>
      <c r="AM746" s="5" t="n">
        <v>0</v>
      </c>
      <c r="AN746" s="5" t="n">
        <v>16.068</v>
      </c>
      <c r="AO746" s="5" t="n">
        <v>0.16</v>
      </c>
      <c r="AP746" s="5" t="n">
        <v>1</v>
      </c>
      <c r="AQ746" s="5" t="n">
        <v>0.649</v>
      </c>
      <c r="AR746" s="5" t="n">
        <v>0.114</v>
      </c>
      <c r="AS746" s="5" t="n">
        <v>0</v>
      </c>
      <c r="AT746" s="5" t="n">
        <v>0.753</v>
      </c>
      <c r="AU746" s="5" t="n">
        <v>0.16</v>
      </c>
      <c r="AV746" s="5" t="n">
        <v>1</v>
      </c>
      <c r="AW746" s="5" t="n">
        <v>0.577</v>
      </c>
      <c r="AX746" s="5" t="n">
        <v>0.114</v>
      </c>
      <c r="AY746" s="5" t="n">
        <v>0</v>
      </c>
      <c r="AZ746" s="5" t="n">
        <v>0.669</v>
      </c>
      <c r="BA746" s="5" t="n">
        <v>0.16</v>
      </c>
      <c r="BB746" s="5" t="n">
        <v>1</v>
      </c>
      <c r="BC746" s="5" t="n">
        <v>0.458</v>
      </c>
      <c r="BD746" s="5" t="n">
        <v>0.114</v>
      </c>
      <c r="BE746" s="5" t="n">
        <v>0</v>
      </c>
      <c r="BF746" s="5" t="n">
        <v>0.531</v>
      </c>
      <c r="BG746" s="5" t="n">
        <v>0.16</v>
      </c>
      <c r="BH746" s="5" t="n">
        <v>1</v>
      </c>
      <c r="BI746" s="5" t="n">
        <v>0.491</v>
      </c>
      <c r="BJ746" s="5" t="n">
        <v>0.114</v>
      </c>
      <c r="BK746" s="5" t="n">
        <v>0</v>
      </c>
      <c r="BL746" s="5" t="n">
        <v>0.57</v>
      </c>
      <c r="BM746" s="5" t="n">
        <v>0.16</v>
      </c>
      <c r="BN746" s="5" t="n">
        <v>1</v>
      </c>
      <c r="BO746" s="5" t="n">
        <v>0</v>
      </c>
      <c r="BP746" s="5" t="n">
        <v>0</v>
      </c>
      <c r="BQ746" s="5" t="n">
        <v>0</v>
      </c>
      <c r="BR746" s="5" t="n">
        <v>0</v>
      </c>
      <c r="BS746" s="5" t="n">
        <v>1</v>
      </c>
      <c r="BT746" s="5" t="n">
        <v>0</v>
      </c>
      <c r="BU746" s="5" t="n">
        <v>0</v>
      </c>
      <c r="BV746" s="5" t="n">
        <v>0</v>
      </c>
      <c r="BW746" s="5" t="n">
        <v>0.16</v>
      </c>
      <c r="BX746" s="5" t="n">
        <v>1</v>
      </c>
      <c r="BY746" s="5" t="n">
        <v>11.787</v>
      </c>
      <c r="BZ746" s="5" t="n">
        <v>0</v>
      </c>
      <c r="CA746" s="5" t="n">
        <v>11.787</v>
      </c>
      <c r="CB746" s="5" t="n">
        <v>0</v>
      </c>
      <c r="CC746" s="5" t="n">
        <v>78.125</v>
      </c>
      <c r="CD746" s="5" t="n">
        <v>7.95</v>
      </c>
      <c r="CE746" s="5" t="n">
        <v>0</v>
      </c>
      <c r="CF746" s="5" t="n">
        <v>90.625</v>
      </c>
      <c r="CG746" s="5" t="n">
        <v>0.16</v>
      </c>
      <c r="CH746" s="5" t="n">
        <v>1</v>
      </c>
      <c r="CI746" s="5" t="n">
        <v>0</v>
      </c>
      <c r="CJ746" s="5" t="n">
        <v>0</v>
      </c>
      <c r="CK746" s="5" t="n">
        <v>0</v>
      </c>
      <c r="CL746" s="5" t="n">
        <v>0</v>
      </c>
      <c r="CM746" s="5" t="n">
        <v>0</v>
      </c>
      <c r="CN746" s="5" t="n">
        <v>0</v>
      </c>
      <c r="CO746" s="5" t="n">
        <v>0</v>
      </c>
      <c r="CP746" s="5" t="n">
        <v>0</v>
      </c>
      <c r="CQ746" s="5" t="n">
        <v>1.198</v>
      </c>
      <c r="CR746" s="5" t="n">
        <v>0</v>
      </c>
      <c r="CS746" s="5" t="n">
        <v>4.776</v>
      </c>
      <c r="CT746" s="5" t="n">
        <v>4.753</v>
      </c>
      <c r="CU746" s="5" t="n">
        <v>15.983</v>
      </c>
    </row>
    <row r="747">
      <c r="A747" s="5" t="inlineStr">
        <is>
          <t>VCT2022</t>
        </is>
      </c>
      <c r="B747" s="5" t="inlineStr">
        <is>
          <t>VCT</t>
        </is>
      </c>
      <c r="C747" s="5" t="inlineStr">
        <is>
          <t>VCT</t>
        </is>
      </c>
      <c r="D747" s="5" t="inlineStr">
        <is>
          <t>St. Vincent and the Grenadines</t>
        </is>
      </c>
      <c r="E747" s="5" t="n">
        <v>2022</v>
      </c>
      <c r="F747" s="5" t="n">
        <v>0.16</v>
      </c>
      <c r="G747" s="5" t="n">
        <v>11.72</v>
      </c>
      <c r="H747" s="5" t="n">
        <v>1.235</v>
      </c>
      <c r="I747" s="5" t="n">
        <v>0</v>
      </c>
      <c r="J747" s="5" t="n">
        <v>11.72</v>
      </c>
      <c r="K747" s="5" t="n">
        <v>0</v>
      </c>
      <c r="L747" s="5" t="n">
        <v>1</v>
      </c>
      <c r="M747" s="5" t="n">
        <v>9.782999999999999</v>
      </c>
      <c r="N747" s="5" t="n">
        <v>3.704</v>
      </c>
      <c r="O747" s="5" t="n">
        <v>0</v>
      </c>
      <c r="P747" s="5" t="n">
        <v>9.782999999999999</v>
      </c>
      <c r="Q747" s="5" t="n">
        <v>0</v>
      </c>
      <c r="R747" s="5" t="n">
        <v>1</v>
      </c>
      <c r="S747" s="5" t="n">
        <v>17.893</v>
      </c>
      <c r="T747" s="5" t="n">
        <v>7.408</v>
      </c>
      <c r="U747" s="5" t="n">
        <v>0.212</v>
      </c>
      <c r="V747" s="5" t="n">
        <v>20.756</v>
      </c>
      <c r="W747" s="5" t="n">
        <v>0.16</v>
      </c>
      <c r="X747" s="5" t="n">
        <v>1</v>
      </c>
      <c r="Y747" s="5" t="n">
        <v>6.316</v>
      </c>
      <c r="Z747" s="5" t="n">
        <v>0.85</v>
      </c>
      <c r="AA747" s="5" t="n">
        <v>0</v>
      </c>
      <c r="AB747" s="5" t="n">
        <v>6.316</v>
      </c>
      <c r="AC747" s="5" t="n">
        <v>0</v>
      </c>
      <c r="AD747" s="5" t="n">
        <v>1</v>
      </c>
      <c r="AE747" s="5" t="n">
        <v>7.551</v>
      </c>
      <c r="AF747" s="5" t="n">
        <v>1.768</v>
      </c>
      <c r="AG747" s="5" t="n">
        <v>0</v>
      </c>
      <c r="AH747" s="5" t="n">
        <v>7.551</v>
      </c>
      <c r="AI747" s="5" t="n">
        <v>0</v>
      </c>
      <c r="AJ747" s="5" t="n">
        <v>1</v>
      </c>
      <c r="AK747" s="5" t="n">
        <v>14.959</v>
      </c>
      <c r="AL747" s="5" t="n">
        <v>8.038</v>
      </c>
      <c r="AM747" s="5" t="n">
        <v>0.177</v>
      </c>
      <c r="AN747" s="5" t="n">
        <v>17.352</v>
      </c>
      <c r="AO747" s="5" t="n">
        <v>0.16</v>
      </c>
      <c r="AP747" s="5" t="n">
        <v>1</v>
      </c>
      <c r="AQ747" s="5" t="n">
        <v>0.896</v>
      </c>
      <c r="AR747" s="5" t="n">
        <v>0.123</v>
      </c>
      <c r="AS747" s="5" t="n">
        <v>0.011</v>
      </c>
      <c r="AT747" s="5" t="n">
        <v>1.039</v>
      </c>
      <c r="AU747" s="5" t="n">
        <v>0.16</v>
      </c>
      <c r="AV747" s="5" t="n">
        <v>1</v>
      </c>
      <c r="AW747" s="5" t="n">
        <v>0.89</v>
      </c>
      <c r="AX747" s="5" t="n">
        <v>0.123</v>
      </c>
      <c r="AY747" s="5" t="n">
        <v>0.011</v>
      </c>
      <c r="AZ747" s="5" t="n">
        <v>1.033</v>
      </c>
      <c r="BA747" s="5" t="n">
        <v>0.16</v>
      </c>
      <c r="BB747" s="5" t="n">
        <v>1</v>
      </c>
      <c r="BC747" s="5" t="n">
        <v>0.62</v>
      </c>
      <c r="BD747" s="5" t="n">
        <v>0.123</v>
      </c>
      <c r="BE747" s="5" t="n">
        <v>0.007</v>
      </c>
      <c r="BF747" s="5" t="n">
        <v>0.72</v>
      </c>
      <c r="BG747" s="5" t="n">
        <v>0.16</v>
      </c>
      <c r="BH747" s="5" t="n">
        <v>1</v>
      </c>
      <c r="BI747" s="5" t="n">
        <v>0.608</v>
      </c>
      <c r="BJ747" s="5" t="n">
        <v>0.123</v>
      </c>
      <c r="BK747" s="5" t="n">
        <v>0.007</v>
      </c>
      <c r="BL747" s="5" t="n">
        <v>0.705</v>
      </c>
      <c r="BM747" s="5" t="n">
        <v>0.16</v>
      </c>
      <c r="BN747" s="5" t="n">
        <v>1</v>
      </c>
      <c r="BO747" s="5" t="n">
        <v>0</v>
      </c>
      <c r="BP747" s="5" t="n">
        <v>0</v>
      </c>
      <c r="BQ747" s="5" t="n">
        <v>0</v>
      </c>
      <c r="BR747" s="5" t="n">
        <v>0</v>
      </c>
      <c r="BS747" s="5" t="n">
        <v>1</v>
      </c>
      <c r="BT747" s="5" t="n">
        <v>0</v>
      </c>
      <c r="BU747" s="5" t="n">
        <v>0</v>
      </c>
      <c r="BV747" s="5" t="n">
        <v>0</v>
      </c>
      <c r="BW747" s="5" t="n">
        <v>0.16</v>
      </c>
      <c r="BX747" s="5" t="n">
        <v>1</v>
      </c>
      <c r="BY747" s="5" t="n">
        <v>12.729</v>
      </c>
      <c r="BZ747" s="5" t="n">
        <v>0</v>
      </c>
      <c r="CA747" s="5" t="n">
        <v>12.729</v>
      </c>
      <c r="CB747" s="5" t="n">
        <v>0</v>
      </c>
      <c r="CC747" s="5" t="n">
        <v>97.90000000000001</v>
      </c>
      <c r="CD747" s="5" t="n">
        <v>7.95</v>
      </c>
      <c r="CE747" s="5" t="n">
        <v>1.159</v>
      </c>
      <c r="CF747" s="5" t="n">
        <v>113.564</v>
      </c>
      <c r="CG747" s="5" t="n">
        <v>0.16</v>
      </c>
      <c r="CH747" s="5" t="n">
        <v>1</v>
      </c>
      <c r="CI747" s="5" t="n">
        <v>0</v>
      </c>
      <c r="CJ747" s="5" t="n">
        <v>0</v>
      </c>
      <c r="CK747" s="5" t="n">
        <v>0</v>
      </c>
      <c r="CL747" s="5" t="n">
        <v>0</v>
      </c>
      <c r="CM747" s="5" t="n">
        <v>0</v>
      </c>
      <c r="CN747" s="5" t="n">
        <v>0</v>
      </c>
      <c r="CO747" s="5" t="n">
        <v>0</v>
      </c>
      <c r="CP747" s="5" t="n">
        <v>0</v>
      </c>
      <c r="CQ747" s="5" t="n">
        <v>1.294</v>
      </c>
      <c r="CR747" s="5" t="n">
        <v>0</v>
      </c>
      <c r="CS747" s="5" t="n">
        <v>5.158</v>
      </c>
      <c r="CT747" s="5" t="n">
        <v>10.485</v>
      </c>
      <c r="CU747" s="5" t="n">
        <v>29.494</v>
      </c>
    </row>
    <row r="748">
      <c r="A748" s="5" t="inlineStr">
        <is>
          <t>VCT2023</t>
        </is>
      </c>
      <c r="B748" s="5" t="inlineStr">
        <is>
          <t>VCT</t>
        </is>
      </c>
      <c r="C748" s="5" t="inlineStr">
        <is>
          <t>VCT</t>
        </is>
      </c>
      <c r="D748" s="5" t="inlineStr">
        <is>
          <t>St. Vincent and the Grenadines</t>
        </is>
      </c>
      <c r="E748" s="5" t="n">
        <v>2023</v>
      </c>
      <c r="F748" s="5" t="n">
        <v>0.16</v>
      </c>
      <c r="G748" s="5" t="n">
        <v>6.147</v>
      </c>
      <c r="H748" s="5" t="n">
        <v>1.286</v>
      </c>
      <c r="I748" s="5" t="n">
        <v>0</v>
      </c>
      <c r="J748" s="5" t="n">
        <v>6.147</v>
      </c>
      <c r="K748" s="5" t="n">
        <v>0</v>
      </c>
      <c r="L748" s="5" t="n">
        <v>1</v>
      </c>
      <c r="M748" s="5" t="n">
        <v>7.886</v>
      </c>
      <c r="N748" s="5" t="n">
        <v>3.857</v>
      </c>
      <c r="O748" s="5" t="n">
        <v>0</v>
      </c>
      <c r="P748" s="5" t="n">
        <v>7.886</v>
      </c>
      <c r="Q748" s="5" t="n">
        <v>0</v>
      </c>
      <c r="R748" s="5" t="n">
        <v>1</v>
      </c>
      <c r="S748" s="5" t="n">
        <v>12.575</v>
      </c>
      <c r="T748" s="5" t="n">
        <v>7.714</v>
      </c>
      <c r="U748" s="5" t="n">
        <v>0.223</v>
      </c>
      <c r="V748" s="5" t="n">
        <v>14.587</v>
      </c>
      <c r="W748" s="5" t="n">
        <v>0.16</v>
      </c>
      <c r="X748" s="5" t="n">
        <v>1</v>
      </c>
      <c r="Y748" s="5" t="n">
        <v>6.577</v>
      </c>
      <c r="Z748" s="5" t="n">
        <v>0.885</v>
      </c>
      <c r="AA748" s="5" t="n">
        <v>0</v>
      </c>
      <c r="AB748" s="5" t="n">
        <v>6.577</v>
      </c>
      <c r="AC748" s="5" t="n">
        <v>0</v>
      </c>
      <c r="AD748" s="5" t="n">
        <v>1</v>
      </c>
      <c r="AE748" s="5" t="n">
        <v>7.862</v>
      </c>
      <c r="AF748" s="5" t="n">
        <v>1.841</v>
      </c>
      <c r="AG748" s="5" t="n">
        <v>0</v>
      </c>
      <c r="AH748" s="5" t="n">
        <v>7.862</v>
      </c>
      <c r="AI748" s="5" t="n">
        <v>0</v>
      </c>
      <c r="AJ748" s="5" t="n">
        <v>1</v>
      </c>
      <c r="AK748" s="5" t="n">
        <v>15.576</v>
      </c>
      <c r="AL748" s="5" t="n">
        <v>8.369999999999999</v>
      </c>
      <c r="AM748" s="5" t="n">
        <v>0.276</v>
      </c>
      <c r="AN748" s="5" t="n">
        <v>18.069</v>
      </c>
      <c r="AO748" s="5" t="n">
        <v>0.16</v>
      </c>
      <c r="AP748" s="5" t="n">
        <v>1</v>
      </c>
      <c r="AQ748" s="5" t="n">
        <v>0.791</v>
      </c>
      <c r="AR748" s="5" t="n">
        <v>0.129</v>
      </c>
      <c r="AS748" s="5" t="n">
        <v>0.014</v>
      </c>
      <c r="AT748" s="5" t="n">
        <v>0.917</v>
      </c>
      <c r="AU748" s="5" t="n">
        <v>0.16</v>
      </c>
      <c r="AV748" s="5" t="n">
        <v>1</v>
      </c>
      <c r="AW748" s="5" t="n">
        <v>0.618</v>
      </c>
      <c r="AX748" s="5" t="n">
        <v>0.129</v>
      </c>
      <c r="AY748" s="5" t="n">
        <v>0.011</v>
      </c>
      <c r="AZ748" s="5" t="n">
        <v>0.717</v>
      </c>
      <c r="BA748" s="5" t="n">
        <v>0.16</v>
      </c>
      <c r="BB748" s="5" t="n">
        <v>1</v>
      </c>
      <c r="BC748" s="5" t="n">
        <v>0.554</v>
      </c>
      <c r="BD748" s="5" t="n">
        <v>0.129</v>
      </c>
      <c r="BE748" s="5" t="n">
        <v>0.01</v>
      </c>
      <c r="BF748" s="5" t="n">
        <v>0.643</v>
      </c>
      <c r="BG748" s="5" t="n">
        <v>0.16</v>
      </c>
      <c r="BH748" s="5" t="n">
        <v>1</v>
      </c>
      <c r="BI748" s="5" t="n">
        <v>0.5570000000000001</v>
      </c>
      <c r="BJ748" s="5" t="n">
        <v>0.129</v>
      </c>
      <c r="BK748" s="5" t="n">
        <v>0.01</v>
      </c>
      <c r="BL748" s="5" t="n">
        <v>0.646</v>
      </c>
      <c r="BM748" s="5" t="n">
        <v>0.16</v>
      </c>
      <c r="BN748" s="5" t="n">
        <v>1</v>
      </c>
      <c r="BO748" s="5" t="n">
        <v>0</v>
      </c>
      <c r="BP748" s="5" t="n">
        <v>0</v>
      </c>
      <c r="BQ748" s="5" t="n">
        <v>0</v>
      </c>
      <c r="BR748" s="5" t="n">
        <v>0</v>
      </c>
      <c r="BS748" s="5" t="n">
        <v>1</v>
      </c>
      <c r="BT748" s="5" t="n">
        <v>0</v>
      </c>
      <c r="BU748" s="5" t="n">
        <v>0</v>
      </c>
      <c r="BV748" s="5" t="n">
        <v>0</v>
      </c>
      <c r="BW748" s="5" t="n">
        <v>0.16</v>
      </c>
      <c r="BX748" s="5" t="n">
        <v>1</v>
      </c>
      <c r="BY748" s="5" t="n">
        <v>13.254</v>
      </c>
      <c r="BZ748" s="5" t="n">
        <v>0</v>
      </c>
      <c r="CA748" s="5" t="n">
        <v>13.254</v>
      </c>
      <c r="CB748" s="5" t="n">
        <v>0</v>
      </c>
      <c r="CC748" s="5" t="n">
        <v>83.248</v>
      </c>
      <c r="CD748" s="5" t="n">
        <v>7.95</v>
      </c>
      <c r="CE748" s="5" t="n">
        <v>1.475</v>
      </c>
      <c r="CF748" s="5" t="n">
        <v>96.568</v>
      </c>
      <c r="CG748" s="5" t="n">
        <v>0.16</v>
      </c>
      <c r="CH748" s="5" t="n">
        <v>1</v>
      </c>
      <c r="CI748" s="5" t="n">
        <v>0</v>
      </c>
      <c r="CJ748" s="5" t="n">
        <v>0</v>
      </c>
      <c r="CK748" s="5" t="n">
        <v>0</v>
      </c>
      <c r="CL748" s="5" t="n">
        <v>0</v>
      </c>
      <c r="CM748" s="5" t="n">
        <v>0</v>
      </c>
      <c r="CN748" s="5" t="n">
        <v>0</v>
      </c>
      <c r="CO748" s="5" t="n">
        <v>0</v>
      </c>
      <c r="CP748" s="5" t="n">
        <v>0</v>
      </c>
      <c r="CQ748" s="5" t="n">
        <v>1.348</v>
      </c>
      <c r="CR748" s="5" t="n">
        <v>0</v>
      </c>
      <c r="CS748" s="5" t="n">
        <v>5.37</v>
      </c>
      <c r="CT748" s="5" t="n">
        <v>4.861</v>
      </c>
      <c r="CU748" s="5" t="n">
        <v>11.192</v>
      </c>
    </row>
    <row r="749">
      <c r="A749" s="5" t="inlineStr">
        <is>
          <t>VCT2024</t>
        </is>
      </c>
      <c r="B749" s="5" t="inlineStr">
        <is>
          <t>VCT</t>
        </is>
      </c>
      <c r="C749" s="5" t="inlineStr">
        <is>
          <t>VCT</t>
        </is>
      </c>
      <c r="D749" s="5" t="inlineStr">
        <is>
          <t>St. Vincent and the Grenadines</t>
        </is>
      </c>
      <c r="E749" s="5" t="n">
        <v>2024</v>
      </c>
      <c r="F749" s="5" t="n">
        <v>0.16</v>
      </c>
      <c r="G749" s="5" t="n">
        <v>5.575</v>
      </c>
      <c r="H749" s="5" t="n">
        <v>1.324</v>
      </c>
      <c r="I749" s="5" t="n">
        <v>0</v>
      </c>
      <c r="J749" s="5" t="n">
        <v>5.575</v>
      </c>
      <c r="K749" s="5" t="n">
        <v>0</v>
      </c>
      <c r="L749" s="5" t="n">
        <v>1</v>
      </c>
      <c r="M749" s="5" t="n">
        <v>7.124</v>
      </c>
      <c r="N749" s="5" t="n">
        <v>3.971</v>
      </c>
      <c r="O749" s="5" t="n">
        <v>0</v>
      </c>
      <c r="P749" s="5" t="n">
        <v>7.124</v>
      </c>
      <c r="Q749" s="5" t="n">
        <v>0</v>
      </c>
      <c r="R749" s="5" t="n">
        <v>1</v>
      </c>
      <c r="S749" s="5" t="n">
        <v>12.193</v>
      </c>
      <c r="T749" s="5" t="n">
        <v>7.942</v>
      </c>
      <c r="U749" s="5" t="n">
        <v>0.266</v>
      </c>
      <c r="V749" s="5" t="n">
        <v>14.144</v>
      </c>
      <c r="W749" s="5" t="n">
        <v>0.16</v>
      </c>
      <c r="X749" s="5" t="n">
        <v>1</v>
      </c>
      <c r="Y749" s="5" t="n">
        <v>6.771</v>
      </c>
      <c r="Z749" s="5" t="n">
        <v>0.911</v>
      </c>
      <c r="AA749" s="5" t="n">
        <v>0</v>
      </c>
      <c r="AB749" s="5" t="n">
        <v>6.771</v>
      </c>
      <c r="AC749" s="5" t="n">
        <v>0</v>
      </c>
      <c r="AD749" s="5" t="n">
        <v>1</v>
      </c>
      <c r="AE749" s="5" t="n">
        <v>8.095000000000001</v>
      </c>
      <c r="AF749" s="5" t="n">
        <v>1.896</v>
      </c>
      <c r="AG749" s="5" t="n">
        <v>0</v>
      </c>
      <c r="AH749" s="5" t="n">
        <v>8.095000000000001</v>
      </c>
      <c r="AI749" s="5" t="n">
        <v>0</v>
      </c>
      <c r="AJ749" s="5" t="n">
        <v>1</v>
      </c>
      <c r="AK749" s="5" t="n">
        <v>16.036</v>
      </c>
      <c r="AL749" s="5" t="n">
        <v>8.617000000000001</v>
      </c>
      <c r="AM749" s="5" t="n">
        <v>0.349</v>
      </c>
      <c r="AN749" s="5" t="n">
        <v>18.602</v>
      </c>
      <c r="AO749" s="5" t="n">
        <v>0.16</v>
      </c>
      <c r="AP749" s="5" t="n">
        <v>1</v>
      </c>
      <c r="AQ749" s="5" t="n">
        <v>0.756</v>
      </c>
      <c r="AR749" s="5" t="n">
        <v>0.132</v>
      </c>
      <c r="AS749" s="5" t="n">
        <v>0.016</v>
      </c>
      <c r="AT749" s="5" t="n">
        <v>0.877</v>
      </c>
      <c r="AU749" s="5" t="n">
        <v>0.16</v>
      </c>
      <c r="AV749" s="5" t="n">
        <v>1</v>
      </c>
      <c r="AW749" s="5" t="n">
        <v>0.655</v>
      </c>
      <c r="AX749" s="5" t="n">
        <v>0.132</v>
      </c>
      <c r="AY749" s="5" t="n">
        <v>0.014</v>
      </c>
      <c r="AZ749" s="5" t="n">
        <v>0.76</v>
      </c>
      <c r="BA749" s="5" t="n">
        <v>0.16</v>
      </c>
      <c r="BB749" s="5" t="n">
        <v>1</v>
      </c>
      <c r="BC749" s="5" t="n">
        <v>0.534</v>
      </c>
      <c r="BD749" s="5" t="n">
        <v>0.132</v>
      </c>
      <c r="BE749" s="5" t="n">
        <v>0.012</v>
      </c>
      <c r="BF749" s="5" t="n">
        <v>0.619</v>
      </c>
      <c r="BG749" s="5" t="n">
        <v>0.16</v>
      </c>
      <c r="BH749" s="5" t="n">
        <v>1</v>
      </c>
      <c r="BI749" s="5" t="n">
        <v>0.5679999999999999</v>
      </c>
      <c r="BJ749" s="5" t="n">
        <v>0.132</v>
      </c>
      <c r="BK749" s="5" t="n">
        <v>0.012</v>
      </c>
      <c r="BL749" s="5" t="n">
        <v>0.659</v>
      </c>
      <c r="BM749" s="5" t="n">
        <v>0.16</v>
      </c>
      <c r="BN749" s="5" t="n">
        <v>1</v>
      </c>
      <c r="BO749" s="5" t="n">
        <v>0</v>
      </c>
      <c r="BP749" s="5" t="n">
        <v>0</v>
      </c>
      <c r="BQ749" s="5" t="n">
        <v>0</v>
      </c>
      <c r="BR749" s="5" t="n">
        <v>0</v>
      </c>
      <c r="BS749" s="5" t="n">
        <v>1</v>
      </c>
      <c r="BT749" s="5" t="n">
        <v>0</v>
      </c>
      <c r="BU749" s="5" t="n">
        <v>0</v>
      </c>
      <c r="BV749" s="5" t="n">
        <v>0</v>
      </c>
      <c r="BW749" s="5" t="n">
        <v>0.16</v>
      </c>
      <c r="BX749" s="5" t="n">
        <v>1</v>
      </c>
      <c r="BY749" s="5" t="n">
        <v>13.646</v>
      </c>
      <c r="BZ749" s="5" t="n">
        <v>0</v>
      </c>
      <c r="CA749" s="5" t="n">
        <v>13.646</v>
      </c>
      <c r="CB749" s="5" t="n">
        <v>0</v>
      </c>
      <c r="CC749" s="5" t="n">
        <v>82.58799999999999</v>
      </c>
      <c r="CD749" s="5" t="n">
        <v>7.95</v>
      </c>
      <c r="CE749" s="5" t="n">
        <v>1.8</v>
      </c>
      <c r="CF749" s="5" t="n">
        <v>95.80200000000001</v>
      </c>
      <c r="CG749" s="5" t="n">
        <v>0.16</v>
      </c>
      <c r="CH749" s="5" t="n">
        <v>1</v>
      </c>
      <c r="CI749" s="5" t="n">
        <v>0</v>
      </c>
      <c r="CJ749" s="5" t="n">
        <v>0</v>
      </c>
      <c r="CK749" s="5" t="n">
        <v>0</v>
      </c>
      <c r="CL749" s="5" t="n">
        <v>0</v>
      </c>
      <c r="CM749" s="5" t="n">
        <v>0</v>
      </c>
      <c r="CN749" s="5" t="n">
        <v>0</v>
      </c>
      <c r="CO749" s="5" t="n">
        <v>0</v>
      </c>
      <c r="CP749" s="5" t="n">
        <v>0</v>
      </c>
      <c r="CQ749" s="5" t="n">
        <v>1.387</v>
      </c>
      <c r="CR749" s="5" t="n">
        <v>0</v>
      </c>
      <c r="CS749" s="5" t="n">
        <v>5.529</v>
      </c>
      <c r="CT749" s="5" t="n">
        <v>4.251</v>
      </c>
      <c r="CU749" s="5" t="n">
        <v>10.123</v>
      </c>
    </row>
    <row r="750">
      <c r="A750" s="5" t="inlineStr">
        <is>
          <t>SDN2021</t>
        </is>
      </c>
      <c r="B750" s="5" t="inlineStr">
        <is>
          <t>SDN</t>
        </is>
      </c>
      <c r="C750" s="5" t="inlineStr">
        <is>
          <t>SDN</t>
        </is>
      </c>
      <c r="D750" s="5" t="inlineStr">
        <is>
          <t>Sudan</t>
        </is>
      </c>
      <c r="E750" s="5" t="n">
        <v>2021</v>
      </c>
      <c r="F750" s="5" t="n">
        <v>0.17</v>
      </c>
      <c r="G750" s="5" t="n">
        <v>5.897</v>
      </c>
      <c r="H750" s="5" t="n">
        <v>1.143</v>
      </c>
      <c r="I750" s="5" t="n">
        <v>0</v>
      </c>
      <c r="J750" s="5" t="n">
        <v>5.897</v>
      </c>
      <c r="K750" s="5" t="n">
        <v>0</v>
      </c>
      <c r="L750" s="5" t="n">
        <v>1</v>
      </c>
      <c r="M750" s="5" t="n">
        <v>7.964</v>
      </c>
      <c r="N750" s="5" t="n">
        <v>3.43</v>
      </c>
      <c r="O750" s="5" t="n">
        <v>0</v>
      </c>
      <c r="P750" s="5" t="n">
        <v>7.964</v>
      </c>
      <c r="Q750" s="5" t="n">
        <v>0</v>
      </c>
      <c r="R750" s="5" t="n">
        <v>1</v>
      </c>
      <c r="S750" s="5" t="n">
        <v>11.613</v>
      </c>
      <c r="T750" s="5" t="n">
        <v>6.86</v>
      </c>
      <c r="U750" s="5" t="n">
        <v>0</v>
      </c>
      <c r="V750" s="5" t="n">
        <v>13.588</v>
      </c>
      <c r="W750" s="5" t="n">
        <v>0.17</v>
      </c>
      <c r="X750" s="5" t="n">
        <v>1</v>
      </c>
      <c r="Y750" s="5" t="n">
        <v>15.47</v>
      </c>
      <c r="Z750" s="5" t="n">
        <v>2.091</v>
      </c>
      <c r="AA750" s="5" t="n">
        <v>0</v>
      </c>
      <c r="AB750" s="5" t="n">
        <v>15.47</v>
      </c>
      <c r="AC750" s="5" t="n">
        <v>0</v>
      </c>
      <c r="AD750" s="5" t="n">
        <v>1</v>
      </c>
      <c r="AE750" s="5" t="n">
        <v>16.613</v>
      </c>
      <c r="AF750" s="5" t="n">
        <v>3.885</v>
      </c>
      <c r="AG750" s="5" t="n">
        <v>0</v>
      </c>
      <c r="AH750" s="5" t="n">
        <v>16.613</v>
      </c>
      <c r="AI750" s="5" t="n">
        <v>0</v>
      </c>
      <c r="AJ750" s="5" t="n">
        <v>1</v>
      </c>
      <c r="AK750" s="5" t="n">
        <v>23.473</v>
      </c>
      <c r="AL750" s="5" t="n">
        <v>12.502</v>
      </c>
      <c r="AM750" s="5" t="n">
        <v>0</v>
      </c>
      <c r="AN750" s="5" t="n">
        <v>27.463</v>
      </c>
      <c r="AO750" s="5" t="n">
        <v>0.17</v>
      </c>
      <c r="AP750" s="5" t="n">
        <v>1</v>
      </c>
      <c r="AQ750" s="5" t="n">
        <v>0.619</v>
      </c>
      <c r="AR750" s="5" t="n">
        <v>0.114</v>
      </c>
      <c r="AS750" s="5" t="n">
        <v>-0.474</v>
      </c>
      <c r="AT750" s="5" t="n">
        <v>0.145</v>
      </c>
      <c r="AU750" s="5" t="n">
        <v>0</v>
      </c>
      <c r="AV750" s="5" t="n">
        <v>1</v>
      </c>
      <c r="AW750" s="5" t="n">
        <v>0.599</v>
      </c>
      <c r="AX750" s="5" t="n">
        <v>0.114</v>
      </c>
      <c r="AY750" s="5" t="n">
        <v>-0.504</v>
      </c>
      <c r="AZ750" s="5" t="n">
        <v>0.096</v>
      </c>
      <c r="BA750" s="5" t="n">
        <v>0</v>
      </c>
      <c r="BB750" s="5" t="n">
        <v>1</v>
      </c>
      <c r="BC750" s="5" t="n">
        <v>0.439</v>
      </c>
      <c r="BD750" s="5" t="n">
        <v>0.114</v>
      </c>
      <c r="BE750" s="5" t="n">
        <v>0</v>
      </c>
      <c r="BF750" s="5" t="n">
        <v>0.514</v>
      </c>
      <c r="BG750" s="5" t="n">
        <v>0.17</v>
      </c>
      <c r="BH750" s="5" t="n">
        <v>1</v>
      </c>
      <c r="BI750" s="5" t="n">
        <v>0.505</v>
      </c>
      <c r="BJ750" s="5" t="n">
        <v>0.114</v>
      </c>
      <c r="BK750" s="5" t="n">
        <v>0</v>
      </c>
      <c r="BL750" s="5" t="n">
        <v>0.591</v>
      </c>
      <c r="BM750" s="5" t="n">
        <v>0.17</v>
      </c>
      <c r="BN750" s="5" t="n">
        <v>1</v>
      </c>
      <c r="BO750" s="5" t="n">
        <v>0</v>
      </c>
      <c r="BP750" s="5" t="n">
        <v>0</v>
      </c>
      <c r="BQ750" s="5" t="n">
        <v>0</v>
      </c>
      <c r="BR750" s="5" t="n">
        <v>0</v>
      </c>
      <c r="BS750" s="5" t="n">
        <v>1</v>
      </c>
      <c r="BT750" s="5" t="n">
        <v>0</v>
      </c>
      <c r="BU750" s="5" t="n">
        <v>0</v>
      </c>
      <c r="BV750" s="5" t="n">
        <v>0</v>
      </c>
      <c r="BW750" s="5" t="n">
        <v>0.17</v>
      </c>
      <c r="BX750" s="5" t="n">
        <v>1</v>
      </c>
      <c r="BY750" s="5" t="n">
        <v>11.787</v>
      </c>
      <c r="BZ750" s="5" t="n">
        <v>0</v>
      </c>
      <c r="CA750" s="5" t="n">
        <v>11.787</v>
      </c>
      <c r="CB750" s="5" t="n">
        <v>0</v>
      </c>
      <c r="CC750" s="5" t="n">
        <v>78.125</v>
      </c>
      <c r="CD750" s="5" t="n">
        <v>7.95</v>
      </c>
      <c r="CE750" s="5" t="n">
        <v>0</v>
      </c>
      <c r="CF750" s="5" t="n">
        <v>91.40600000000001</v>
      </c>
      <c r="CG750" s="5" t="n">
        <v>0.17</v>
      </c>
      <c r="CH750" s="5" t="n">
        <v>1</v>
      </c>
      <c r="CI750" s="5" t="n">
        <v>0</v>
      </c>
      <c r="CJ750" s="5" t="n">
        <v>0</v>
      </c>
      <c r="CK750" s="5" t="n">
        <v>0</v>
      </c>
      <c r="CL750" s="5" t="n">
        <v>0</v>
      </c>
      <c r="CM750" s="5" t="n">
        <v>0</v>
      </c>
      <c r="CN750" s="5" t="n">
        <v>0</v>
      </c>
      <c r="CO750" s="5" t="n">
        <v>0</v>
      </c>
      <c r="CP750" s="5" t="n">
        <v>0</v>
      </c>
      <c r="CQ750" s="5" t="n">
        <v>1.198</v>
      </c>
      <c r="CR750" s="5" t="n">
        <v>0</v>
      </c>
      <c r="CS750" s="5" t="n">
        <v>4.776</v>
      </c>
      <c r="CT750" s="5" t="n">
        <v>4.753</v>
      </c>
      <c r="CU750" s="5" t="n">
        <v>15.162</v>
      </c>
    </row>
    <row r="751">
      <c r="A751" s="5" t="inlineStr">
        <is>
          <t>SDN2022</t>
        </is>
      </c>
      <c r="B751" s="5" t="inlineStr">
        <is>
          <t>SDN</t>
        </is>
      </c>
      <c r="C751" s="5" t="inlineStr">
        <is>
          <t>SDN</t>
        </is>
      </c>
      <c r="D751" s="5" t="inlineStr">
        <is>
          <t>Sudan</t>
        </is>
      </c>
      <c r="E751" s="5" t="n">
        <v>2022</v>
      </c>
      <c r="F751" s="5" t="n">
        <v>0.17</v>
      </c>
      <c r="G751" s="5" t="n">
        <v>11.72</v>
      </c>
      <c r="H751" s="5" t="n">
        <v>1.82</v>
      </c>
      <c r="I751" s="5" t="n">
        <v>0</v>
      </c>
      <c r="J751" s="5" t="n">
        <v>11.72</v>
      </c>
      <c r="K751" s="5" t="n">
        <v>0</v>
      </c>
      <c r="L751" s="5" t="n">
        <v>1</v>
      </c>
      <c r="M751" s="5" t="n">
        <v>9.782999999999999</v>
      </c>
      <c r="N751" s="5" t="n">
        <v>4.04</v>
      </c>
      <c r="O751" s="5" t="n">
        <v>0</v>
      </c>
      <c r="P751" s="5" t="n">
        <v>9.782999999999999</v>
      </c>
      <c r="Q751" s="5" t="n">
        <v>0</v>
      </c>
      <c r="R751" s="5" t="n">
        <v>1</v>
      </c>
      <c r="S751" s="5" t="n">
        <v>17.893</v>
      </c>
      <c r="T751" s="5" t="n">
        <v>8.763999999999999</v>
      </c>
      <c r="U751" s="5" t="n">
        <v>0.225</v>
      </c>
      <c r="V751" s="5" t="n">
        <v>20.935</v>
      </c>
      <c r="W751" s="5" t="n">
        <v>0.17</v>
      </c>
      <c r="X751" s="5" t="n">
        <v>1</v>
      </c>
      <c r="Y751" s="5" t="n">
        <v>30.455</v>
      </c>
      <c r="Z751" s="5" t="n">
        <v>3.195</v>
      </c>
      <c r="AA751" s="5" t="n">
        <v>0</v>
      </c>
      <c r="AB751" s="5" t="n">
        <v>30.455</v>
      </c>
      <c r="AC751" s="5" t="n">
        <v>0</v>
      </c>
      <c r="AD751" s="5" t="n">
        <v>1</v>
      </c>
      <c r="AE751" s="5" t="n">
        <v>31.69</v>
      </c>
      <c r="AF751" s="5" t="n">
        <v>5.875</v>
      </c>
      <c r="AG751" s="5" t="n">
        <v>0</v>
      </c>
      <c r="AH751" s="5" t="n">
        <v>31.69</v>
      </c>
      <c r="AI751" s="5" t="n">
        <v>0</v>
      </c>
      <c r="AJ751" s="5" t="n">
        <v>1</v>
      </c>
      <c r="AK751" s="5" t="n">
        <v>39.098</v>
      </c>
      <c r="AL751" s="5" t="n">
        <v>18.671</v>
      </c>
      <c r="AM751" s="5" t="n">
        <v>0.492</v>
      </c>
      <c r="AN751" s="5" t="n">
        <v>45.744</v>
      </c>
      <c r="AO751" s="5" t="n">
        <v>0.17</v>
      </c>
      <c r="AP751" s="5" t="n">
        <v>1</v>
      </c>
      <c r="AQ751" s="5" t="n">
        <v>0.861</v>
      </c>
      <c r="AR751" s="5" t="n">
        <v>0.123</v>
      </c>
      <c r="AS751" s="5" t="n">
        <v>0.146</v>
      </c>
      <c r="AT751" s="5" t="n">
        <v>1.007</v>
      </c>
      <c r="AU751" s="5" t="n">
        <v>0</v>
      </c>
      <c r="AV751" s="5" t="n">
        <v>1</v>
      </c>
      <c r="AW751" s="5" t="n">
        <v>0.986</v>
      </c>
      <c r="AX751" s="5" t="n">
        <v>0.128</v>
      </c>
      <c r="AY751" s="5" t="n">
        <v>0.168</v>
      </c>
      <c r="AZ751" s="5" t="n">
        <v>1.154</v>
      </c>
      <c r="BA751" s="5" t="n">
        <v>0</v>
      </c>
      <c r="BB751" s="5" t="n">
        <v>1</v>
      </c>
      <c r="BC751" s="5" t="n">
        <v>0.598</v>
      </c>
      <c r="BD751" s="5" t="n">
        <v>0.123</v>
      </c>
      <c r="BE751" s="5" t="n">
        <v>0.008</v>
      </c>
      <c r="BF751" s="5" t="n">
        <v>0.699</v>
      </c>
      <c r="BG751" s="5" t="n">
        <v>0.17</v>
      </c>
      <c r="BH751" s="5" t="n">
        <v>1</v>
      </c>
      <c r="BI751" s="5" t="n">
        <v>0.612</v>
      </c>
      <c r="BJ751" s="5" t="n">
        <v>0.119</v>
      </c>
      <c r="BK751" s="5" t="n">
        <v>0.008</v>
      </c>
      <c r="BL751" s="5" t="n">
        <v>0.716</v>
      </c>
      <c r="BM751" s="5" t="n">
        <v>0.17</v>
      </c>
      <c r="BN751" s="5" t="n">
        <v>1</v>
      </c>
      <c r="BO751" s="5" t="n">
        <v>0</v>
      </c>
      <c r="BP751" s="5" t="n">
        <v>0</v>
      </c>
      <c r="BQ751" s="5" t="n">
        <v>0</v>
      </c>
      <c r="BR751" s="5" t="n">
        <v>0</v>
      </c>
      <c r="BS751" s="5" t="n">
        <v>1</v>
      </c>
      <c r="BT751" s="5" t="n">
        <v>0</v>
      </c>
      <c r="BU751" s="5" t="n">
        <v>0</v>
      </c>
      <c r="BV751" s="5" t="n">
        <v>0</v>
      </c>
      <c r="BW751" s="5" t="n">
        <v>0.17</v>
      </c>
      <c r="BX751" s="5" t="n">
        <v>1</v>
      </c>
      <c r="BY751" s="5" t="n">
        <v>12.729</v>
      </c>
      <c r="BZ751" s="5" t="n">
        <v>0</v>
      </c>
      <c r="CA751" s="5" t="n">
        <v>12.729</v>
      </c>
      <c r="CB751" s="5" t="n">
        <v>0</v>
      </c>
      <c r="CC751" s="5" t="n">
        <v>97.90000000000001</v>
      </c>
      <c r="CD751" s="5" t="n">
        <v>7.95</v>
      </c>
      <c r="CE751" s="5" t="n">
        <v>1.232</v>
      </c>
      <c r="CF751" s="5" t="n">
        <v>114.543</v>
      </c>
      <c r="CG751" s="5" t="n">
        <v>0.17</v>
      </c>
      <c r="CH751" s="5" t="n">
        <v>1</v>
      </c>
      <c r="CI751" s="5" t="n">
        <v>1</v>
      </c>
      <c r="CJ751" s="5" t="n">
        <v>1</v>
      </c>
      <c r="CK751" s="5" t="n">
        <v>0</v>
      </c>
      <c r="CL751" s="5" t="n">
        <v>0</v>
      </c>
      <c r="CM751" s="5" t="n">
        <v>0</v>
      </c>
      <c r="CN751" s="5" t="n">
        <v>0</v>
      </c>
      <c r="CO751" s="5" t="n">
        <v>0</v>
      </c>
      <c r="CP751" s="5" t="n">
        <v>0</v>
      </c>
      <c r="CQ751" s="5" t="n">
        <v>1.294</v>
      </c>
      <c r="CR751" s="5" t="n">
        <v>0</v>
      </c>
      <c r="CS751" s="5" t="n">
        <v>5.158</v>
      </c>
      <c r="CT751" s="5" t="n">
        <v>10.485</v>
      </c>
      <c r="CU751" s="5" t="n">
        <v>31.326</v>
      </c>
    </row>
    <row r="752">
      <c r="A752" s="5" t="inlineStr">
        <is>
          <t>SDN2023</t>
        </is>
      </c>
      <c r="B752" s="5" t="inlineStr">
        <is>
          <t>SDN</t>
        </is>
      </c>
      <c r="C752" s="5" t="inlineStr">
        <is>
          <t>SDN</t>
        </is>
      </c>
      <c r="D752" s="5" t="inlineStr">
        <is>
          <t>Sudan</t>
        </is>
      </c>
      <c r="E752" s="5" t="n">
        <v>2023</v>
      </c>
      <c r="F752" s="5" t="n">
        <v>0.17</v>
      </c>
      <c r="G752" s="5" t="n">
        <v>6.147</v>
      </c>
      <c r="H752" s="5" t="n">
        <v>1.4</v>
      </c>
      <c r="I752" s="5" t="n">
        <v>0</v>
      </c>
      <c r="J752" s="5" t="n">
        <v>6.147</v>
      </c>
      <c r="K752" s="5" t="n">
        <v>0</v>
      </c>
      <c r="L752" s="5" t="n">
        <v>1</v>
      </c>
      <c r="M752" s="5" t="n">
        <v>7.886</v>
      </c>
      <c r="N752" s="5" t="n">
        <v>3.911</v>
      </c>
      <c r="O752" s="5" t="n">
        <v>0</v>
      </c>
      <c r="P752" s="5" t="n">
        <v>7.886</v>
      </c>
      <c r="Q752" s="5" t="n">
        <v>0</v>
      </c>
      <c r="R752" s="5" t="n">
        <v>1</v>
      </c>
      <c r="S752" s="5" t="n">
        <v>12.575</v>
      </c>
      <c r="T752" s="5" t="n">
        <v>7.886</v>
      </c>
      <c r="U752" s="5" t="n">
        <v>0.237</v>
      </c>
      <c r="V752" s="5" t="n">
        <v>14.713</v>
      </c>
      <c r="W752" s="5" t="n">
        <v>0.17</v>
      </c>
      <c r="X752" s="5" t="n">
        <v>1</v>
      </c>
      <c r="Y752" s="5" t="n">
        <v>12.405</v>
      </c>
      <c r="Z752" s="5" t="n">
        <v>1.39</v>
      </c>
      <c r="AA752" s="5" t="n">
        <v>0</v>
      </c>
      <c r="AB752" s="5" t="n">
        <v>12.405</v>
      </c>
      <c r="AC752" s="5" t="n">
        <v>0</v>
      </c>
      <c r="AD752" s="5" t="n">
        <v>1</v>
      </c>
      <c r="AE752" s="5" t="n">
        <v>13.691</v>
      </c>
      <c r="AF752" s="5" t="n">
        <v>2.727</v>
      </c>
      <c r="AG752" s="5" t="n">
        <v>0</v>
      </c>
      <c r="AH752" s="5" t="n">
        <v>13.691</v>
      </c>
      <c r="AI752" s="5" t="n">
        <v>0</v>
      </c>
      <c r="AJ752" s="5" t="n">
        <v>1</v>
      </c>
      <c r="AK752" s="5" t="n">
        <v>21.405</v>
      </c>
      <c r="AL752" s="5" t="n">
        <v>10.603</v>
      </c>
      <c r="AM752" s="5" t="n">
        <v>0.403</v>
      </c>
      <c r="AN752" s="5" t="n">
        <v>25.043</v>
      </c>
      <c r="AO752" s="5" t="n">
        <v>0.17</v>
      </c>
      <c r="AP752" s="5" t="n">
        <v>1</v>
      </c>
      <c r="AQ752" s="5" t="n">
        <v>0.76</v>
      </c>
      <c r="AR752" s="5" t="n">
        <v>0.128</v>
      </c>
      <c r="AS752" s="5" t="n">
        <v>0.129</v>
      </c>
      <c r="AT752" s="5" t="n">
        <v>0.89</v>
      </c>
      <c r="AU752" s="5" t="n">
        <v>0</v>
      </c>
      <c r="AV752" s="5" t="n">
        <v>1</v>
      </c>
      <c r="AW752" s="5" t="n">
        <v>0.8110000000000001</v>
      </c>
      <c r="AX752" s="5" t="n">
        <v>0.139</v>
      </c>
      <c r="AY752" s="5" t="n">
        <v>0.138</v>
      </c>
      <c r="AZ752" s="5" t="n">
        <v>0.949</v>
      </c>
      <c r="BA752" s="5" t="n">
        <v>0</v>
      </c>
      <c r="BB752" s="5" t="n">
        <v>1</v>
      </c>
      <c r="BC752" s="5" t="n">
        <v>0.535</v>
      </c>
      <c r="BD752" s="5" t="n">
        <v>0.129</v>
      </c>
      <c r="BE752" s="5" t="n">
        <v>0.01</v>
      </c>
      <c r="BF752" s="5" t="n">
        <v>0.626</v>
      </c>
      <c r="BG752" s="5" t="n">
        <v>0.17</v>
      </c>
      <c r="BH752" s="5" t="n">
        <v>1</v>
      </c>
      <c r="BI752" s="5" t="n">
        <v>0.579</v>
      </c>
      <c r="BJ752" s="5" t="n">
        <v>0.126</v>
      </c>
      <c r="BK752" s="5" t="n">
        <v>0.011</v>
      </c>
      <c r="BL752" s="5" t="n">
        <v>0.678</v>
      </c>
      <c r="BM752" s="5" t="n">
        <v>0.17</v>
      </c>
      <c r="BN752" s="5" t="n">
        <v>1</v>
      </c>
      <c r="BO752" s="5" t="n">
        <v>0</v>
      </c>
      <c r="BP752" s="5" t="n">
        <v>0</v>
      </c>
      <c r="BQ752" s="5" t="n">
        <v>0</v>
      </c>
      <c r="BR752" s="5" t="n">
        <v>0</v>
      </c>
      <c r="BS752" s="5" t="n">
        <v>1</v>
      </c>
      <c r="BT752" s="5" t="n">
        <v>0</v>
      </c>
      <c r="BU752" s="5" t="n">
        <v>0</v>
      </c>
      <c r="BV752" s="5" t="n">
        <v>0</v>
      </c>
      <c r="BW752" s="5" t="n">
        <v>0.17</v>
      </c>
      <c r="BX752" s="5" t="n">
        <v>1</v>
      </c>
      <c r="BY752" s="5" t="n">
        <v>13.254</v>
      </c>
      <c r="BZ752" s="5" t="n">
        <v>0</v>
      </c>
      <c r="CA752" s="5" t="n">
        <v>13.254</v>
      </c>
      <c r="CB752" s="5" t="n">
        <v>0</v>
      </c>
      <c r="CC752" s="5" t="n">
        <v>83.248</v>
      </c>
      <c r="CD752" s="5" t="n">
        <v>7.95</v>
      </c>
      <c r="CE752" s="5" t="n">
        <v>1.567</v>
      </c>
      <c r="CF752" s="5" t="n">
        <v>97.40000000000001</v>
      </c>
      <c r="CG752" s="5" t="n">
        <v>0.17</v>
      </c>
      <c r="CH752" s="5" t="n">
        <v>1</v>
      </c>
      <c r="CI752" s="5" t="n">
        <v>1</v>
      </c>
      <c r="CJ752" s="5" t="n">
        <v>1</v>
      </c>
      <c r="CK752" s="5" t="n">
        <v>0</v>
      </c>
      <c r="CL752" s="5" t="n">
        <v>0</v>
      </c>
      <c r="CM752" s="5" t="n">
        <v>0</v>
      </c>
      <c r="CN752" s="5" t="n">
        <v>0</v>
      </c>
      <c r="CO752" s="5" t="n">
        <v>0</v>
      </c>
      <c r="CP752" s="5" t="n">
        <v>0</v>
      </c>
      <c r="CQ752" s="5" t="n">
        <v>1.348</v>
      </c>
      <c r="CR752" s="5" t="n">
        <v>0</v>
      </c>
      <c r="CS752" s="5" t="n">
        <v>5.37</v>
      </c>
      <c r="CT752" s="5" t="n">
        <v>4.861</v>
      </c>
      <c r="CU752" s="5" t="n">
        <v>11.622</v>
      </c>
    </row>
    <row r="753">
      <c r="A753" s="5" t="inlineStr">
        <is>
          <t>SDN2024</t>
        </is>
      </c>
      <c r="B753" s="5" t="inlineStr">
        <is>
          <t>SDN</t>
        </is>
      </c>
      <c r="C753" s="5" t="inlineStr">
        <is>
          <t>SDN</t>
        </is>
      </c>
      <c r="D753" s="5" t="inlineStr">
        <is>
          <t>Sudan</t>
        </is>
      </c>
      <c r="E753" s="5" t="n">
        <v>2024</v>
      </c>
      <c r="F753" s="5" t="n">
        <v>0.17</v>
      </c>
      <c r="G753" s="5" t="n">
        <v>5.575</v>
      </c>
      <c r="H753" s="5" t="n">
        <v>1.412</v>
      </c>
      <c r="I753" s="5" t="n">
        <v>0</v>
      </c>
      <c r="J753" s="5" t="n">
        <v>5.575</v>
      </c>
      <c r="K753" s="5" t="n">
        <v>0</v>
      </c>
      <c r="L753" s="5" t="n">
        <v>1</v>
      </c>
      <c r="M753" s="5" t="n">
        <v>7.124</v>
      </c>
      <c r="N753" s="5" t="n">
        <v>3.881</v>
      </c>
      <c r="O753" s="5" t="n">
        <v>0</v>
      </c>
      <c r="P753" s="5" t="n">
        <v>7.124</v>
      </c>
      <c r="Q753" s="5" t="n">
        <v>0</v>
      </c>
      <c r="R753" s="5" t="n">
        <v>1</v>
      </c>
      <c r="S753" s="5" t="n">
        <v>12.193</v>
      </c>
      <c r="T753" s="5" t="n">
        <v>8.071999999999999</v>
      </c>
      <c r="U753" s="5" t="n">
        <v>0.282</v>
      </c>
      <c r="V753" s="5" t="n">
        <v>14.266</v>
      </c>
      <c r="W753" s="5" t="n">
        <v>0.17</v>
      </c>
      <c r="X753" s="5" t="n">
        <v>1</v>
      </c>
      <c r="Y753" s="5" t="n">
        <v>11.119</v>
      </c>
      <c r="Z753" s="5" t="n">
        <v>1.404</v>
      </c>
      <c r="AA753" s="5" t="n">
        <v>0</v>
      </c>
      <c r="AB753" s="5" t="n">
        <v>11.119</v>
      </c>
      <c r="AC753" s="5" t="n">
        <v>0</v>
      </c>
      <c r="AD753" s="5" t="n">
        <v>1</v>
      </c>
      <c r="AE753" s="5" t="n">
        <v>12.442</v>
      </c>
      <c r="AF753" s="5" t="n">
        <v>2.726</v>
      </c>
      <c r="AG753" s="5" t="n">
        <v>0</v>
      </c>
      <c r="AH753" s="5" t="n">
        <v>12.442</v>
      </c>
      <c r="AI753" s="5" t="n">
        <v>0</v>
      </c>
      <c r="AJ753" s="5" t="n">
        <v>1</v>
      </c>
      <c r="AK753" s="5" t="n">
        <v>20.384</v>
      </c>
      <c r="AL753" s="5" t="n">
        <v>10.368</v>
      </c>
      <c r="AM753" s="5" t="n">
        <v>0.472</v>
      </c>
      <c r="AN753" s="5" t="n">
        <v>23.849</v>
      </c>
      <c r="AO753" s="5" t="n">
        <v>0.17</v>
      </c>
      <c r="AP753" s="5" t="n">
        <v>1</v>
      </c>
      <c r="AQ753" s="5" t="n">
        <v>0.724</v>
      </c>
      <c r="AR753" s="5" t="n">
        <v>0.132</v>
      </c>
      <c r="AS753" s="5" t="n">
        <v>0.123</v>
      </c>
      <c r="AT753" s="5" t="n">
        <v>0.847</v>
      </c>
      <c r="AU753" s="5" t="n">
        <v>0</v>
      </c>
      <c r="AV753" s="5" t="n">
        <v>1</v>
      </c>
      <c r="AW753" s="5" t="n">
        <v>0.75</v>
      </c>
      <c r="AX753" s="5" t="n">
        <v>0.138</v>
      </c>
      <c r="AY753" s="5" t="n">
        <v>0.128</v>
      </c>
      <c r="AZ753" s="5" t="n">
        <v>0.878</v>
      </c>
      <c r="BA753" s="5" t="n">
        <v>0</v>
      </c>
      <c r="BB753" s="5" t="n">
        <v>1</v>
      </c>
      <c r="BC753" s="5" t="n">
        <v>0.513</v>
      </c>
      <c r="BD753" s="5" t="n">
        <v>0.132</v>
      </c>
      <c r="BE753" s="5" t="n">
        <v>0.012</v>
      </c>
      <c r="BF753" s="5" t="n">
        <v>0.6</v>
      </c>
      <c r="BG753" s="5" t="n">
        <v>0.17</v>
      </c>
      <c r="BH753" s="5" t="n">
        <v>1</v>
      </c>
      <c r="BI753" s="5" t="n">
        <v>0.591</v>
      </c>
      <c r="BJ753" s="5" t="n">
        <v>0.13</v>
      </c>
      <c r="BK753" s="5" t="n">
        <v>0.014</v>
      </c>
      <c r="BL753" s="5" t="n">
        <v>0.6919999999999999</v>
      </c>
      <c r="BM753" s="5" t="n">
        <v>0.17</v>
      </c>
      <c r="BN753" s="5" t="n">
        <v>1</v>
      </c>
      <c r="BO753" s="5" t="n">
        <v>0</v>
      </c>
      <c r="BP753" s="5" t="n">
        <v>0</v>
      </c>
      <c r="BQ753" s="5" t="n">
        <v>0</v>
      </c>
      <c r="BR753" s="5" t="n">
        <v>0</v>
      </c>
      <c r="BS753" s="5" t="n">
        <v>1</v>
      </c>
      <c r="BT753" s="5" t="n">
        <v>0</v>
      </c>
      <c r="BU753" s="5" t="n">
        <v>0</v>
      </c>
      <c r="BV753" s="5" t="n">
        <v>0</v>
      </c>
      <c r="BW753" s="5" t="n">
        <v>0.17</v>
      </c>
      <c r="BX753" s="5" t="n">
        <v>1</v>
      </c>
      <c r="BY753" s="5" t="n">
        <v>13.646</v>
      </c>
      <c r="BZ753" s="5" t="n">
        <v>0</v>
      </c>
      <c r="CA753" s="5" t="n">
        <v>13.646</v>
      </c>
      <c r="CB753" s="5" t="n">
        <v>0</v>
      </c>
      <c r="CC753" s="5" t="n">
        <v>82.58799999999999</v>
      </c>
      <c r="CD753" s="5" t="n">
        <v>7.95</v>
      </c>
      <c r="CE753" s="5" t="n">
        <v>1.912</v>
      </c>
      <c r="CF753" s="5" t="n">
        <v>96.628</v>
      </c>
      <c r="CG753" s="5" t="n">
        <v>0.17</v>
      </c>
      <c r="CH753" s="5" t="n">
        <v>1</v>
      </c>
      <c r="CI753" s="5" t="n">
        <v>1</v>
      </c>
      <c r="CJ753" s="5" t="n">
        <v>1</v>
      </c>
      <c r="CK753" s="5" t="n">
        <v>0</v>
      </c>
      <c r="CL753" s="5" t="n">
        <v>0</v>
      </c>
      <c r="CM753" s="5" t="n">
        <v>0</v>
      </c>
      <c r="CN753" s="5" t="n">
        <v>0</v>
      </c>
      <c r="CO753" s="5" t="n">
        <v>0</v>
      </c>
      <c r="CP753" s="5" t="n">
        <v>0</v>
      </c>
      <c r="CQ753" s="5" t="n">
        <v>1.387</v>
      </c>
      <c r="CR753" s="5" t="n">
        <v>0</v>
      </c>
      <c r="CS753" s="5" t="n">
        <v>5.529</v>
      </c>
      <c r="CT753" s="5" t="n">
        <v>4.251</v>
      </c>
      <c r="CU753" s="5" t="n">
        <v>10.168</v>
      </c>
    </row>
    <row r="754">
      <c r="A754" s="5" t="inlineStr">
        <is>
          <t>SUR2021</t>
        </is>
      </c>
      <c r="B754" s="5" t="inlineStr">
        <is>
          <t>SUR</t>
        </is>
      </c>
      <c r="C754" s="5" t="inlineStr">
        <is>
          <t>SUR</t>
        </is>
      </c>
      <c r="D754" s="5" t="inlineStr">
        <is>
          <t>Suriname</t>
        </is>
      </c>
      <c r="E754" s="5" t="n">
        <v>2021</v>
      </c>
      <c r="F754" s="5" t="n">
        <v>0.1</v>
      </c>
      <c r="G754" s="5" t="n">
        <v>5.897</v>
      </c>
      <c r="H754" s="5" t="n">
        <v>1.143</v>
      </c>
      <c r="I754" s="5" t="n">
        <v>0</v>
      </c>
      <c r="J754" s="5" t="n">
        <v>5.897</v>
      </c>
      <c r="K754" s="5" t="n">
        <v>0</v>
      </c>
      <c r="L754" s="5" t="n">
        <v>1</v>
      </c>
      <c r="M754" s="5" t="n">
        <v>7.964</v>
      </c>
      <c r="N754" s="5" t="n">
        <v>3.43</v>
      </c>
      <c r="O754" s="5" t="n">
        <v>0</v>
      </c>
      <c r="P754" s="5" t="n">
        <v>7.964</v>
      </c>
      <c r="Q754" s="5" t="n">
        <v>0</v>
      </c>
      <c r="R754" s="5" t="n">
        <v>1</v>
      </c>
      <c r="S754" s="5" t="n">
        <v>11.613</v>
      </c>
      <c r="T754" s="5" t="n">
        <v>6.86</v>
      </c>
      <c r="U754" s="5" t="n">
        <v>0</v>
      </c>
      <c r="V754" s="5" t="n">
        <v>12.775</v>
      </c>
      <c r="W754" s="5" t="n">
        <v>0.1</v>
      </c>
      <c r="X754" s="5" t="n">
        <v>1</v>
      </c>
      <c r="Y754" s="5" t="n">
        <v>5.347</v>
      </c>
      <c r="Z754" s="5" t="n">
        <v>0.389</v>
      </c>
      <c r="AA754" s="5" t="n">
        <v>0</v>
      </c>
      <c r="AB754" s="5" t="n">
        <v>5.347</v>
      </c>
      <c r="AC754" s="5" t="n">
        <v>0</v>
      </c>
      <c r="AD754" s="5" t="n">
        <v>1</v>
      </c>
      <c r="AE754" s="5" t="n">
        <v>5.919</v>
      </c>
      <c r="AF754" s="5" t="n">
        <v>0.796</v>
      </c>
      <c r="AG754" s="5" t="n">
        <v>0</v>
      </c>
      <c r="AH754" s="5" t="n">
        <v>5.919</v>
      </c>
      <c r="AI754" s="5" t="n">
        <v>0</v>
      </c>
      <c r="AJ754" s="5" t="n">
        <v>1</v>
      </c>
      <c r="AK754" s="5" t="n">
        <v>9.349</v>
      </c>
      <c r="AL754" s="5" t="n">
        <v>3.497</v>
      </c>
      <c r="AM754" s="5" t="n">
        <v>0</v>
      </c>
      <c r="AN754" s="5" t="n">
        <v>10.284</v>
      </c>
      <c r="AO754" s="5" t="n">
        <v>0.1</v>
      </c>
      <c r="AP754" s="5" t="n">
        <v>1</v>
      </c>
      <c r="AQ754" s="5" t="n">
        <v>0.649</v>
      </c>
      <c r="AR754" s="5" t="n">
        <v>0.114</v>
      </c>
      <c r="AS754" s="5" t="n">
        <v>0.139</v>
      </c>
      <c r="AT754" s="5" t="n">
        <v>0.867</v>
      </c>
      <c r="AU754" s="5" t="n">
        <v>0.1</v>
      </c>
      <c r="AV754" s="5" t="n">
        <v>1</v>
      </c>
      <c r="AW754" s="5" t="n">
        <v>0.577</v>
      </c>
      <c r="AX754" s="5" t="n">
        <v>0.114</v>
      </c>
      <c r="AY754" s="5" t="n">
        <v>0.12</v>
      </c>
      <c r="AZ754" s="5" t="n">
        <v>0.766</v>
      </c>
      <c r="BA754" s="5" t="n">
        <v>0.1</v>
      </c>
      <c r="BB754" s="5" t="n">
        <v>1</v>
      </c>
      <c r="BC754" s="5" t="n">
        <v>0.458</v>
      </c>
      <c r="BD754" s="5" t="n">
        <v>0.114</v>
      </c>
      <c r="BE754" s="5" t="n">
        <v>0</v>
      </c>
      <c r="BF754" s="5" t="n">
        <v>0.504</v>
      </c>
      <c r="BG754" s="5" t="n">
        <v>0.1</v>
      </c>
      <c r="BH754" s="5" t="n">
        <v>1</v>
      </c>
      <c r="BI754" s="5" t="n">
        <v>0.491</v>
      </c>
      <c r="BJ754" s="5" t="n">
        <v>0.114</v>
      </c>
      <c r="BK754" s="5" t="n">
        <v>0</v>
      </c>
      <c r="BL754" s="5" t="n">
        <v>0.54</v>
      </c>
      <c r="BM754" s="5" t="n">
        <v>0.1</v>
      </c>
      <c r="BN754" s="5" t="n">
        <v>1</v>
      </c>
      <c r="BO754" s="5" t="n">
        <v>0</v>
      </c>
      <c r="BP754" s="5" t="n">
        <v>0</v>
      </c>
      <c r="BQ754" s="5" t="n">
        <v>0.06900000000000001</v>
      </c>
      <c r="BR754" s="5" t="n">
        <v>0</v>
      </c>
      <c r="BS754" s="5" t="n">
        <v>1</v>
      </c>
      <c r="BT754" s="5" t="n">
        <v>0</v>
      </c>
      <c r="BU754" s="5" t="n">
        <v>0</v>
      </c>
      <c r="BV754" s="5" t="n">
        <v>0.031</v>
      </c>
      <c r="BW754" s="5" t="n">
        <v>0</v>
      </c>
      <c r="BX754" s="5" t="n">
        <v>1</v>
      </c>
      <c r="BY754" s="5" t="n">
        <v>11.787</v>
      </c>
      <c r="BZ754" s="5" t="n">
        <v>0</v>
      </c>
      <c r="CA754" s="5" t="n">
        <v>11.787</v>
      </c>
      <c r="CB754" s="5" t="n">
        <v>0</v>
      </c>
      <c r="CC754" s="5" t="n">
        <v>78.125</v>
      </c>
      <c r="CD754" s="5" t="n">
        <v>7.95</v>
      </c>
      <c r="CE754" s="5" t="n">
        <v>-5.776</v>
      </c>
      <c r="CF754" s="5" t="n">
        <v>79.584</v>
      </c>
      <c r="CG754" s="5" t="n">
        <v>0.1</v>
      </c>
      <c r="CH754" s="5" t="n">
        <v>1</v>
      </c>
      <c r="CI754" s="5" t="n">
        <v>0</v>
      </c>
      <c r="CJ754" s="5" t="n">
        <v>0</v>
      </c>
      <c r="CK754" s="5" t="n">
        <v>0</v>
      </c>
      <c r="CL754" s="5" t="n">
        <v>0</v>
      </c>
      <c r="CM754" s="5" t="n">
        <v>0</v>
      </c>
      <c r="CN754" s="5" t="n">
        <v>0</v>
      </c>
      <c r="CO754" s="5" t="n">
        <v>0</v>
      </c>
      <c r="CP754" s="5" t="n">
        <v>0</v>
      </c>
      <c r="CQ754" s="5" t="n">
        <v>1.198</v>
      </c>
      <c r="CR754" s="5" t="n">
        <v>1</v>
      </c>
      <c r="CS754" s="5" t="n">
        <v>4.776</v>
      </c>
      <c r="CT754" s="5" t="n">
        <v>4.753</v>
      </c>
      <c r="CU754" s="5" t="n">
        <v>15.983</v>
      </c>
    </row>
    <row r="755">
      <c r="A755" s="5" t="inlineStr">
        <is>
          <t>SUR2022</t>
        </is>
      </c>
      <c r="B755" s="5" t="inlineStr">
        <is>
          <t>SUR</t>
        </is>
      </c>
      <c r="C755" s="5" t="inlineStr">
        <is>
          <t>SUR</t>
        </is>
      </c>
      <c r="D755" s="5" t="inlineStr">
        <is>
          <t>Suriname</t>
        </is>
      </c>
      <c r="E755" s="5" t="n">
        <v>2022</v>
      </c>
      <c r="F755" s="5" t="n">
        <v>0.1</v>
      </c>
      <c r="G755" s="5" t="n">
        <v>11.72</v>
      </c>
      <c r="H755" s="5" t="n">
        <v>1.235</v>
      </c>
      <c r="I755" s="5" t="n">
        <v>0</v>
      </c>
      <c r="J755" s="5" t="n">
        <v>11.72</v>
      </c>
      <c r="K755" s="5" t="n">
        <v>0</v>
      </c>
      <c r="L755" s="5" t="n">
        <v>1</v>
      </c>
      <c r="M755" s="5" t="n">
        <v>9.782999999999999</v>
      </c>
      <c r="N755" s="5" t="n">
        <v>3.704</v>
      </c>
      <c r="O755" s="5" t="n">
        <v>0</v>
      </c>
      <c r="P755" s="5" t="n">
        <v>9.782999999999999</v>
      </c>
      <c r="Q755" s="5" t="n">
        <v>0</v>
      </c>
      <c r="R755" s="5" t="n">
        <v>1</v>
      </c>
      <c r="S755" s="5" t="n">
        <v>17.893</v>
      </c>
      <c r="T755" s="5" t="n">
        <v>7.408</v>
      </c>
      <c r="U755" s="5" t="n">
        <v>0.132</v>
      </c>
      <c r="V755" s="5" t="n">
        <v>19.683</v>
      </c>
      <c r="W755" s="5" t="n">
        <v>0.1</v>
      </c>
      <c r="X755" s="5" t="n">
        <v>1</v>
      </c>
      <c r="Y755" s="5" t="n">
        <v>5.775</v>
      </c>
      <c r="Z755" s="5" t="n">
        <v>0.42</v>
      </c>
      <c r="AA755" s="5" t="n">
        <v>0</v>
      </c>
      <c r="AB755" s="5" t="n">
        <v>5.775</v>
      </c>
      <c r="AC755" s="5" t="n">
        <v>0</v>
      </c>
      <c r="AD755" s="5" t="n">
        <v>1</v>
      </c>
      <c r="AE755" s="5" t="n">
        <v>6.392</v>
      </c>
      <c r="AF755" s="5" t="n">
        <v>0.86</v>
      </c>
      <c r="AG755" s="5" t="n">
        <v>0</v>
      </c>
      <c r="AH755" s="5" t="n">
        <v>6.392</v>
      </c>
      <c r="AI755" s="5" t="n">
        <v>0</v>
      </c>
      <c r="AJ755" s="5" t="n">
        <v>1</v>
      </c>
      <c r="AK755" s="5" t="n">
        <v>10.096</v>
      </c>
      <c r="AL755" s="5" t="n">
        <v>3.776</v>
      </c>
      <c r="AM755" s="5" t="n">
        <v>0.075</v>
      </c>
      <c r="AN755" s="5" t="n">
        <v>11.106</v>
      </c>
      <c r="AO755" s="5" t="n">
        <v>0.1</v>
      </c>
      <c r="AP755" s="5" t="n">
        <v>1</v>
      </c>
      <c r="AQ755" s="5" t="n">
        <v>0.896</v>
      </c>
      <c r="AR755" s="5" t="n">
        <v>0.123</v>
      </c>
      <c r="AS755" s="5" t="n">
        <v>0.039</v>
      </c>
      <c r="AT755" s="5" t="n">
        <v>1.028</v>
      </c>
      <c r="AU755" s="5" t="n">
        <v>0.1</v>
      </c>
      <c r="AV755" s="5" t="n">
        <v>1</v>
      </c>
      <c r="AW755" s="5" t="n">
        <v>0.89</v>
      </c>
      <c r="AX755" s="5" t="n">
        <v>0.123</v>
      </c>
      <c r="AY755" s="5" t="n">
        <v>-0.176</v>
      </c>
      <c r="AZ755" s="5" t="n">
        <v>0.786</v>
      </c>
      <c r="BA755" s="5" t="n">
        <v>0.1</v>
      </c>
      <c r="BB755" s="5" t="n">
        <v>1</v>
      </c>
      <c r="BC755" s="5" t="n">
        <v>0.62</v>
      </c>
      <c r="BD755" s="5" t="n">
        <v>0.123</v>
      </c>
      <c r="BE755" s="5" t="n">
        <v>0.005</v>
      </c>
      <c r="BF755" s="5" t="n">
        <v>0.6820000000000001</v>
      </c>
      <c r="BG755" s="5" t="n">
        <v>0.1</v>
      </c>
      <c r="BH755" s="5" t="n">
        <v>1</v>
      </c>
      <c r="BI755" s="5" t="n">
        <v>0.608</v>
      </c>
      <c r="BJ755" s="5" t="n">
        <v>0.123</v>
      </c>
      <c r="BK755" s="5" t="n">
        <v>0.004</v>
      </c>
      <c r="BL755" s="5" t="n">
        <v>0.668</v>
      </c>
      <c r="BM755" s="5" t="n">
        <v>0.1</v>
      </c>
      <c r="BN755" s="5" t="n">
        <v>1</v>
      </c>
      <c r="BO755" s="5" t="n">
        <v>0</v>
      </c>
      <c r="BP755" s="5" t="n">
        <v>0</v>
      </c>
      <c r="BQ755" s="5" t="n">
        <v>0.074</v>
      </c>
      <c r="BR755" s="5" t="n">
        <v>0</v>
      </c>
      <c r="BS755" s="5" t="n">
        <v>1</v>
      </c>
      <c r="BT755" s="5" t="n">
        <v>0</v>
      </c>
      <c r="BU755" s="5" t="n">
        <v>0</v>
      </c>
      <c r="BV755" s="5" t="n">
        <v>0.032</v>
      </c>
      <c r="BW755" s="5" t="n">
        <v>0</v>
      </c>
      <c r="BX755" s="5" t="n">
        <v>1</v>
      </c>
      <c r="BY755" s="5" t="n">
        <v>12.729</v>
      </c>
      <c r="BZ755" s="5" t="n">
        <v>0</v>
      </c>
      <c r="CA755" s="5" t="n">
        <v>12.729</v>
      </c>
      <c r="CB755" s="5" t="n">
        <v>0</v>
      </c>
      <c r="CC755" s="5" t="n">
        <v>97.90000000000001</v>
      </c>
      <c r="CD755" s="5" t="n">
        <v>7.95</v>
      </c>
      <c r="CE755" s="5" t="n">
        <v>-6.798</v>
      </c>
      <c r="CF755" s="5" t="n">
        <v>99.476</v>
      </c>
      <c r="CG755" s="5" t="n">
        <v>0.1</v>
      </c>
      <c r="CH755" s="5" t="n">
        <v>1</v>
      </c>
      <c r="CI755" s="5" t="n">
        <v>0</v>
      </c>
      <c r="CJ755" s="5" t="n">
        <v>0</v>
      </c>
      <c r="CK755" s="5" t="n">
        <v>0</v>
      </c>
      <c r="CL755" s="5" t="n">
        <v>0</v>
      </c>
      <c r="CM755" s="5" t="n">
        <v>0</v>
      </c>
      <c r="CN755" s="5" t="n">
        <v>0</v>
      </c>
      <c r="CO755" s="5" t="n">
        <v>0</v>
      </c>
      <c r="CP755" s="5" t="n">
        <v>0</v>
      </c>
      <c r="CQ755" s="5" t="n">
        <v>1.294</v>
      </c>
      <c r="CR755" s="5" t="n">
        <v>1</v>
      </c>
      <c r="CS755" s="5" t="n">
        <v>5.158</v>
      </c>
      <c r="CT755" s="5" t="n">
        <v>10.485</v>
      </c>
      <c r="CU755" s="5" t="n">
        <v>29.494</v>
      </c>
    </row>
    <row r="756">
      <c r="A756" s="5" t="inlineStr">
        <is>
          <t>SUR2023</t>
        </is>
      </c>
      <c r="B756" s="5" t="inlineStr">
        <is>
          <t>SUR</t>
        </is>
      </c>
      <c r="C756" s="5" t="inlineStr">
        <is>
          <t>SUR</t>
        </is>
      </c>
      <c r="D756" s="5" t="inlineStr">
        <is>
          <t>Suriname</t>
        </is>
      </c>
      <c r="E756" s="5" t="n">
        <v>2023</v>
      </c>
      <c r="F756" s="5" t="n">
        <v>0.1</v>
      </c>
      <c r="G756" s="5" t="n">
        <v>6.147</v>
      </c>
      <c r="H756" s="5" t="n">
        <v>1.286</v>
      </c>
      <c r="I756" s="5" t="n">
        <v>0</v>
      </c>
      <c r="J756" s="5" t="n">
        <v>6.147</v>
      </c>
      <c r="K756" s="5" t="n">
        <v>0</v>
      </c>
      <c r="L756" s="5" t="n">
        <v>1</v>
      </c>
      <c r="M756" s="5" t="n">
        <v>7.886</v>
      </c>
      <c r="N756" s="5" t="n">
        <v>3.857</v>
      </c>
      <c r="O756" s="5" t="n">
        <v>0</v>
      </c>
      <c r="P756" s="5" t="n">
        <v>7.886</v>
      </c>
      <c r="Q756" s="5" t="n">
        <v>0</v>
      </c>
      <c r="R756" s="5" t="n">
        <v>1</v>
      </c>
      <c r="S756" s="5" t="n">
        <v>12.575</v>
      </c>
      <c r="T756" s="5" t="n">
        <v>7.714</v>
      </c>
      <c r="U756" s="5" t="n">
        <v>0.139</v>
      </c>
      <c r="V756" s="5" t="n">
        <v>13.833</v>
      </c>
      <c r="W756" s="5" t="n">
        <v>0.1</v>
      </c>
      <c r="X756" s="5" t="n">
        <v>1</v>
      </c>
      <c r="Y756" s="5" t="n">
        <v>6.013</v>
      </c>
      <c r="Z756" s="5" t="n">
        <v>0.438</v>
      </c>
      <c r="AA756" s="5" t="n">
        <v>0</v>
      </c>
      <c r="AB756" s="5" t="n">
        <v>6.013</v>
      </c>
      <c r="AC756" s="5" t="n">
        <v>0</v>
      </c>
      <c r="AD756" s="5" t="n">
        <v>1</v>
      </c>
      <c r="AE756" s="5" t="n">
        <v>6.656</v>
      </c>
      <c r="AF756" s="5" t="n">
        <v>0.895</v>
      </c>
      <c r="AG756" s="5" t="n">
        <v>0</v>
      </c>
      <c r="AH756" s="5" t="n">
        <v>6.656</v>
      </c>
      <c r="AI756" s="5" t="n">
        <v>0</v>
      </c>
      <c r="AJ756" s="5" t="n">
        <v>1</v>
      </c>
      <c r="AK756" s="5" t="n">
        <v>10.513</v>
      </c>
      <c r="AL756" s="5" t="n">
        <v>3.932</v>
      </c>
      <c r="AM756" s="5" t="n">
        <v>0.116</v>
      </c>
      <c r="AN756" s="5" t="n">
        <v>11.564</v>
      </c>
      <c r="AO756" s="5" t="n">
        <v>0.1</v>
      </c>
      <c r="AP756" s="5" t="n">
        <v>1</v>
      </c>
      <c r="AQ756" s="5" t="n">
        <v>0.791</v>
      </c>
      <c r="AR756" s="5" t="n">
        <v>0.129</v>
      </c>
      <c r="AS756" s="5" t="n">
        <v>0.263</v>
      </c>
      <c r="AT756" s="5" t="n">
        <v>1.159</v>
      </c>
      <c r="AU756" s="5" t="n">
        <v>0.1</v>
      </c>
      <c r="AV756" s="5" t="n">
        <v>1</v>
      </c>
      <c r="AW756" s="5" t="n">
        <v>0.618</v>
      </c>
      <c r="AX756" s="5" t="n">
        <v>0.129</v>
      </c>
      <c r="AY756" s="5" t="n">
        <v>0.316</v>
      </c>
      <c r="AZ756" s="5" t="n">
        <v>1.027</v>
      </c>
      <c r="BA756" s="5" t="n">
        <v>0.1</v>
      </c>
      <c r="BB756" s="5" t="n">
        <v>1</v>
      </c>
      <c r="BC756" s="5" t="n">
        <v>0.554</v>
      </c>
      <c r="BD756" s="5" t="n">
        <v>0.129</v>
      </c>
      <c r="BE756" s="5" t="n">
        <v>0.006</v>
      </c>
      <c r="BF756" s="5" t="n">
        <v>0.61</v>
      </c>
      <c r="BG756" s="5" t="n">
        <v>0.1</v>
      </c>
      <c r="BH756" s="5" t="n">
        <v>1</v>
      </c>
      <c r="BI756" s="5" t="n">
        <v>0.5570000000000001</v>
      </c>
      <c r="BJ756" s="5" t="n">
        <v>0.129</v>
      </c>
      <c r="BK756" s="5" t="n">
        <v>0.006</v>
      </c>
      <c r="BL756" s="5" t="n">
        <v>0.613</v>
      </c>
      <c r="BM756" s="5" t="n">
        <v>0.1</v>
      </c>
      <c r="BN756" s="5" t="n">
        <v>1</v>
      </c>
      <c r="BO756" s="5" t="n">
        <v>0</v>
      </c>
      <c r="BP756" s="5" t="n">
        <v>0</v>
      </c>
      <c r="BQ756" s="5" t="n">
        <v>0.077</v>
      </c>
      <c r="BR756" s="5" t="n">
        <v>0</v>
      </c>
      <c r="BS756" s="5" t="n">
        <v>1</v>
      </c>
      <c r="BT756" s="5" t="n">
        <v>0</v>
      </c>
      <c r="BU756" s="5" t="n">
        <v>0</v>
      </c>
      <c r="BV756" s="5" t="n">
        <v>0.036</v>
      </c>
      <c r="BW756" s="5" t="n">
        <v>0</v>
      </c>
      <c r="BX756" s="5" t="n">
        <v>1</v>
      </c>
      <c r="BY756" s="5" t="n">
        <v>13.254</v>
      </c>
      <c r="BZ756" s="5" t="n">
        <v>0</v>
      </c>
      <c r="CA756" s="5" t="n">
        <v>13.254</v>
      </c>
      <c r="CB756" s="5" t="n">
        <v>0</v>
      </c>
      <c r="CC756" s="5" t="n">
        <v>83.248</v>
      </c>
      <c r="CD756" s="5" t="n">
        <v>7.95</v>
      </c>
      <c r="CE756" s="5" t="n">
        <v>-5.222</v>
      </c>
      <c r="CF756" s="5" t="n">
        <v>84.889</v>
      </c>
      <c r="CG756" s="5" t="n">
        <v>0.1</v>
      </c>
      <c r="CH756" s="5" t="n">
        <v>1</v>
      </c>
      <c r="CI756" s="5" t="n">
        <v>0</v>
      </c>
      <c r="CJ756" s="5" t="n">
        <v>0</v>
      </c>
      <c r="CK756" s="5" t="n">
        <v>0</v>
      </c>
      <c r="CL756" s="5" t="n">
        <v>0</v>
      </c>
      <c r="CM756" s="5" t="n">
        <v>0</v>
      </c>
      <c r="CN756" s="5" t="n">
        <v>0</v>
      </c>
      <c r="CO756" s="5" t="n">
        <v>0</v>
      </c>
      <c r="CP756" s="5" t="n">
        <v>0</v>
      </c>
      <c r="CQ756" s="5" t="n">
        <v>1.348</v>
      </c>
      <c r="CR756" s="5" t="n">
        <v>1</v>
      </c>
      <c r="CS756" s="5" t="n">
        <v>5.37</v>
      </c>
      <c r="CT756" s="5" t="n">
        <v>4.861</v>
      </c>
      <c r="CU756" s="5" t="n">
        <v>11.192</v>
      </c>
    </row>
    <row r="757">
      <c r="A757" s="5" t="inlineStr">
        <is>
          <t>SUR2024</t>
        </is>
      </c>
      <c r="B757" s="5" t="inlineStr">
        <is>
          <t>SUR</t>
        </is>
      </c>
      <c r="C757" s="5" t="inlineStr">
        <is>
          <t>SUR</t>
        </is>
      </c>
      <c r="D757" s="5" t="inlineStr">
        <is>
          <t>Suriname</t>
        </is>
      </c>
      <c r="E757" s="5" t="n">
        <v>2024</v>
      </c>
      <c r="F757" s="5" t="n">
        <v>0.1</v>
      </c>
      <c r="G757" s="5" t="n">
        <v>5.575</v>
      </c>
      <c r="H757" s="5" t="n">
        <v>1.324</v>
      </c>
      <c r="I757" s="5" t="n">
        <v>0</v>
      </c>
      <c r="J757" s="5" t="n">
        <v>5.575</v>
      </c>
      <c r="K757" s="5" t="n">
        <v>0</v>
      </c>
      <c r="L757" s="5" t="n">
        <v>1</v>
      </c>
      <c r="M757" s="5" t="n">
        <v>7.124</v>
      </c>
      <c r="N757" s="5" t="n">
        <v>3.971</v>
      </c>
      <c r="O757" s="5" t="n">
        <v>0</v>
      </c>
      <c r="P757" s="5" t="n">
        <v>7.124</v>
      </c>
      <c r="Q757" s="5" t="n">
        <v>0</v>
      </c>
      <c r="R757" s="5" t="n">
        <v>1</v>
      </c>
      <c r="S757" s="5" t="n">
        <v>12.193</v>
      </c>
      <c r="T757" s="5" t="n">
        <v>7.942</v>
      </c>
      <c r="U757" s="5" t="n">
        <v>0.166</v>
      </c>
      <c r="V757" s="5" t="n">
        <v>13.412</v>
      </c>
      <c r="W757" s="5" t="n">
        <v>0.1</v>
      </c>
      <c r="X757" s="5" t="n">
        <v>1</v>
      </c>
      <c r="Y757" s="5" t="n">
        <v>6.191</v>
      </c>
      <c r="Z757" s="5" t="n">
        <v>0.451</v>
      </c>
      <c r="AA757" s="5" t="n">
        <v>0</v>
      </c>
      <c r="AB757" s="5" t="n">
        <v>6.191</v>
      </c>
      <c r="AC757" s="5" t="n">
        <v>0</v>
      </c>
      <c r="AD757" s="5" t="n">
        <v>1</v>
      </c>
      <c r="AE757" s="5" t="n">
        <v>6.853</v>
      </c>
      <c r="AF757" s="5" t="n">
        <v>0.922</v>
      </c>
      <c r="AG757" s="5" t="n">
        <v>0</v>
      </c>
      <c r="AH757" s="5" t="n">
        <v>6.853</v>
      </c>
      <c r="AI757" s="5" t="n">
        <v>0</v>
      </c>
      <c r="AJ757" s="5" t="n">
        <v>1</v>
      </c>
      <c r="AK757" s="5" t="n">
        <v>10.823</v>
      </c>
      <c r="AL757" s="5" t="n">
        <v>4.048</v>
      </c>
      <c r="AM757" s="5" t="n">
        <v>0.147</v>
      </c>
      <c r="AN757" s="5" t="n">
        <v>11.906</v>
      </c>
      <c r="AO757" s="5" t="n">
        <v>0.1</v>
      </c>
      <c r="AP757" s="5" t="n">
        <v>1</v>
      </c>
      <c r="AQ757" s="5" t="n">
        <v>0.756</v>
      </c>
      <c r="AR757" s="5" t="n">
        <v>0.132</v>
      </c>
      <c r="AS757" s="5" t="n">
        <v>0.445</v>
      </c>
      <c r="AT757" s="5" t="n">
        <v>1.321</v>
      </c>
      <c r="AU757" s="5" t="n">
        <v>0.1</v>
      </c>
      <c r="AV757" s="5" t="n">
        <v>1</v>
      </c>
      <c r="AW757" s="5" t="n">
        <v>0.655</v>
      </c>
      <c r="AX757" s="5" t="n">
        <v>0.132</v>
      </c>
      <c r="AY757" s="5" t="n">
        <v>0.426</v>
      </c>
      <c r="AZ757" s="5" t="n">
        <v>1.19</v>
      </c>
      <c r="BA757" s="5" t="n">
        <v>0.1</v>
      </c>
      <c r="BB757" s="5" t="n">
        <v>1</v>
      </c>
      <c r="BC757" s="5" t="n">
        <v>0.534</v>
      </c>
      <c r="BD757" s="5" t="n">
        <v>0.132</v>
      </c>
      <c r="BE757" s="5" t="n">
        <v>0.007</v>
      </c>
      <c r="BF757" s="5" t="n">
        <v>0.587</v>
      </c>
      <c r="BG757" s="5" t="n">
        <v>0.1</v>
      </c>
      <c r="BH757" s="5" t="n">
        <v>1</v>
      </c>
      <c r="BI757" s="5" t="n">
        <v>0.5679999999999999</v>
      </c>
      <c r="BJ757" s="5" t="n">
        <v>0.132</v>
      </c>
      <c r="BK757" s="5" t="n">
        <v>0.008</v>
      </c>
      <c r="BL757" s="5" t="n">
        <v>0.625</v>
      </c>
      <c r="BM757" s="5" t="n">
        <v>0.1</v>
      </c>
      <c r="BN757" s="5" t="n">
        <v>1</v>
      </c>
      <c r="BO757" s="5" t="n">
        <v>0</v>
      </c>
      <c r="BP757" s="5" t="n">
        <v>0</v>
      </c>
      <c r="BQ757" s="5" t="n">
        <v>0.079</v>
      </c>
      <c r="BR757" s="5" t="n">
        <v>0</v>
      </c>
      <c r="BS757" s="5" t="n">
        <v>1</v>
      </c>
      <c r="BT757" s="5" t="n">
        <v>0</v>
      </c>
      <c r="BU757" s="5" t="n">
        <v>0</v>
      </c>
      <c r="BV757" s="5" t="n">
        <v>0.073</v>
      </c>
      <c r="BW757" s="5" t="n">
        <v>0</v>
      </c>
      <c r="BX757" s="5" t="n">
        <v>1</v>
      </c>
      <c r="BY757" s="5" t="n">
        <v>13.646</v>
      </c>
      <c r="BZ757" s="5" t="n">
        <v>0</v>
      </c>
      <c r="CA757" s="5" t="n">
        <v>13.646</v>
      </c>
      <c r="CB757" s="5" t="n">
        <v>0</v>
      </c>
      <c r="CC757" s="5" t="n">
        <v>82.58799999999999</v>
      </c>
      <c r="CD757" s="5" t="n">
        <v>7.95</v>
      </c>
      <c r="CE757" s="5" t="n">
        <v>-4.928</v>
      </c>
      <c r="CF757" s="5" t="n">
        <v>84.27800000000001</v>
      </c>
      <c r="CG757" s="5" t="n">
        <v>0.1</v>
      </c>
      <c r="CH757" s="5" t="n">
        <v>1</v>
      </c>
      <c r="CI757" s="5" t="n">
        <v>0</v>
      </c>
      <c r="CJ757" s="5" t="n">
        <v>0</v>
      </c>
      <c r="CK757" s="5" t="n">
        <v>0</v>
      </c>
      <c r="CL757" s="5" t="n">
        <v>0</v>
      </c>
      <c r="CM757" s="5" t="n">
        <v>0</v>
      </c>
      <c r="CN757" s="5" t="n">
        <v>0</v>
      </c>
      <c r="CO757" s="5" t="n">
        <v>0</v>
      </c>
      <c r="CP757" s="5" t="n">
        <v>0</v>
      </c>
      <c r="CQ757" s="5" t="n">
        <v>1.387</v>
      </c>
      <c r="CR757" s="5" t="n">
        <v>1</v>
      </c>
      <c r="CS757" s="5" t="n">
        <v>5.529</v>
      </c>
      <c r="CT757" s="5" t="n">
        <v>4.251</v>
      </c>
      <c r="CU757" s="5" t="n">
        <v>10.123</v>
      </c>
    </row>
    <row r="758">
      <c r="A758" s="5" t="inlineStr">
        <is>
          <t>SWE2021</t>
        </is>
      </c>
      <c r="B758" s="5" t="inlineStr">
        <is>
          <t>SWE</t>
        </is>
      </c>
      <c r="C758" s="5" t="inlineStr">
        <is>
          <t>SWE</t>
        </is>
      </c>
      <c r="D758" s="5" t="inlineStr">
        <is>
          <t>Sweden</t>
        </is>
      </c>
      <c r="E758" s="5" t="n">
        <v>2021</v>
      </c>
      <c r="F758" s="5" t="n">
        <v>0.25</v>
      </c>
      <c r="G758" s="5" t="n">
        <v>7.214</v>
      </c>
      <c r="H758" s="5" t="n">
        <v>1.097</v>
      </c>
      <c r="I758" s="5" t="n">
        <v>0.454</v>
      </c>
      <c r="J758" s="5" t="n">
        <v>7.668</v>
      </c>
      <c r="K758" s="5" t="n">
        <v>0</v>
      </c>
      <c r="L758" s="5" t="n">
        <v>1</v>
      </c>
      <c r="M758" s="5" t="n">
        <v>8.506</v>
      </c>
      <c r="N758" s="5" t="n">
        <v>3.29</v>
      </c>
      <c r="O758" s="5" t="n">
        <v>0.774</v>
      </c>
      <c r="P758" s="5" t="n">
        <v>9.279999999999999</v>
      </c>
      <c r="Q758" s="5" t="n">
        <v>0</v>
      </c>
      <c r="R758" s="5" t="n">
        <v>1</v>
      </c>
      <c r="S758" s="5" t="n">
        <v>12.697</v>
      </c>
      <c r="T758" s="5" t="n">
        <v>6.579</v>
      </c>
      <c r="U758" s="5" t="n">
        <v>11.458</v>
      </c>
      <c r="V758" s="5" t="n">
        <v>30.193</v>
      </c>
      <c r="W758" s="5" t="n">
        <v>0.25</v>
      </c>
      <c r="X758" s="5" t="n">
        <v>1</v>
      </c>
      <c r="Y758" s="5" t="n">
        <v>16.459</v>
      </c>
      <c r="Z758" s="5" t="n">
        <v>1.818</v>
      </c>
      <c r="AA758" s="5" t="n">
        <v>11.814</v>
      </c>
      <c r="AB758" s="5" t="n">
        <v>28.273</v>
      </c>
      <c r="AC758" s="5" t="n">
        <v>0</v>
      </c>
      <c r="AD758" s="5" t="n">
        <v>1</v>
      </c>
      <c r="AE758" s="5" t="n">
        <v>16.416</v>
      </c>
      <c r="AF758" s="5" t="n">
        <v>3.23</v>
      </c>
      <c r="AG758" s="5" t="n">
        <v>11.858</v>
      </c>
      <c r="AH758" s="5" t="n">
        <v>28.273</v>
      </c>
      <c r="AI758" s="5" t="n">
        <v>0</v>
      </c>
      <c r="AJ758" s="5" t="n">
        <v>1</v>
      </c>
      <c r="AK758" s="5" t="n">
        <v>27.803</v>
      </c>
      <c r="AL758" s="5" t="n">
        <v>13.646</v>
      </c>
      <c r="AM758" s="5" t="n">
        <v>18.149</v>
      </c>
      <c r="AN758" s="5" t="n">
        <v>57.441</v>
      </c>
      <c r="AO758" s="5" t="n">
        <v>0.25</v>
      </c>
      <c r="AP758" s="5" t="n">
        <v>1</v>
      </c>
      <c r="AQ758" s="5" t="n">
        <v>0.619</v>
      </c>
      <c r="AR758" s="5" t="n">
        <v>0.114</v>
      </c>
      <c r="AS758" s="5" t="n">
        <v>0.904</v>
      </c>
      <c r="AT758" s="5" t="n">
        <v>1.904</v>
      </c>
      <c r="AU758" s="5" t="n">
        <v>0.25</v>
      </c>
      <c r="AV758" s="5" t="n">
        <v>1</v>
      </c>
      <c r="AW758" s="5" t="n">
        <v>0.599</v>
      </c>
      <c r="AX758" s="5" t="n">
        <v>0.114</v>
      </c>
      <c r="AY758" s="5" t="n">
        <v>0.987</v>
      </c>
      <c r="AZ758" s="5" t="n">
        <v>1.984</v>
      </c>
      <c r="BA758" s="5" t="n">
        <v>0.25</v>
      </c>
      <c r="BB758" s="5" t="n">
        <v>1</v>
      </c>
      <c r="BC758" s="5" t="n">
        <v>0.439</v>
      </c>
      <c r="BD758" s="5" t="n">
        <v>0.114</v>
      </c>
      <c r="BE758" s="5" t="n">
        <v>0.656</v>
      </c>
      <c r="BF758" s="5" t="n">
        <v>1.369</v>
      </c>
      <c r="BG758" s="5" t="n">
        <v>0.25</v>
      </c>
      <c r="BH758" s="5" t="n">
        <v>1</v>
      </c>
      <c r="BI758" s="5" t="n">
        <v>0.505</v>
      </c>
      <c r="BJ758" s="5" t="n">
        <v>0.114</v>
      </c>
      <c r="BK758" s="5" t="n">
        <v>1.099</v>
      </c>
      <c r="BL758" s="5" t="n">
        <v>2.005</v>
      </c>
      <c r="BM758" s="5" t="n">
        <v>0.25</v>
      </c>
      <c r="BN758" s="5" t="n">
        <v>1</v>
      </c>
      <c r="BO758" s="5" t="n">
        <v>0</v>
      </c>
      <c r="BP758" s="5" t="n">
        <v>0.001</v>
      </c>
      <c r="BQ758" s="5" t="n">
        <v>0.079</v>
      </c>
      <c r="BR758" s="5" t="n">
        <v>0</v>
      </c>
      <c r="BS758" s="5" t="n">
        <v>1</v>
      </c>
      <c r="BT758" s="5" t="n">
        <v>0</v>
      </c>
      <c r="BU758" s="5" t="n">
        <v>0.042</v>
      </c>
      <c r="BV758" s="5" t="n">
        <v>0.279</v>
      </c>
      <c r="BW758" s="5" t="n">
        <v>0.25</v>
      </c>
      <c r="BX758" s="5" t="n">
        <v>1</v>
      </c>
      <c r="BY758" s="5" t="n">
        <v>11.787</v>
      </c>
      <c r="BZ758" s="5" t="n">
        <v>0</v>
      </c>
      <c r="CA758" s="5" t="n">
        <v>11.787</v>
      </c>
      <c r="CB758" s="5" t="n">
        <v>0</v>
      </c>
      <c r="CC758" s="5" t="n">
        <v>78.125</v>
      </c>
      <c r="CD758" s="5" t="n">
        <v>7.95</v>
      </c>
      <c r="CE758" s="5" t="n">
        <v>99.11199999999999</v>
      </c>
      <c r="CF758" s="5" t="n">
        <v>221.546</v>
      </c>
      <c r="CG758" s="5" t="n">
        <v>0.25</v>
      </c>
      <c r="CH758" s="5" t="n">
        <v>1</v>
      </c>
      <c r="CI758" s="5" t="n">
        <v>0</v>
      </c>
      <c r="CJ758" s="5" t="n">
        <v>0</v>
      </c>
      <c r="CK758" s="5" t="n">
        <v>0</v>
      </c>
      <c r="CL758" s="5" t="n">
        <v>0</v>
      </c>
      <c r="CM758" s="5" t="n">
        <v>0</v>
      </c>
      <c r="CN758" s="5" t="n">
        <v>0</v>
      </c>
      <c r="CO758" s="5" t="n">
        <v>0</v>
      </c>
      <c r="CP758" s="5" t="n">
        <v>0.082</v>
      </c>
      <c r="CQ758" s="5" t="n">
        <v>1.198</v>
      </c>
      <c r="CR758" s="5" t="n">
        <v>0</v>
      </c>
      <c r="CS758" s="5" t="n">
        <v>4.776</v>
      </c>
      <c r="CT758" s="5" t="n">
        <v>6.555</v>
      </c>
      <c r="CU758" s="5" t="n">
        <v>7.507</v>
      </c>
    </row>
    <row r="759">
      <c r="A759" s="5" t="inlineStr">
        <is>
          <t>SWE2022</t>
        </is>
      </c>
      <c r="B759" s="5" t="inlineStr">
        <is>
          <t>SWE</t>
        </is>
      </c>
      <c r="C759" s="5" t="inlineStr">
        <is>
          <t>SWE</t>
        </is>
      </c>
      <c r="D759" s="5" t="inlineStr">
        <is>
          <t>Sweden</t>
        </is>
      </c>
      <c r="E759" s="5" t="n">
        <v>2022</v>
      </c>
      <c r="F759" s="5" t="n">
        <v>0.25</v>
      </c>
      <c r="G759" s="5" t="n">
        <v>17.95</v>
      </c>
      <c r="H759" s="5" t="n">
        <v>1.235</v>
      </c>
      <c r="I759" s="5" t="n">
        <v>11.97</v>
      </c>
      <c r="J759" s="5" t="n">
        <v>29.92</v>
      </c>
      <c r="K759" s="5" t="n">
        <v>0</v>
      </c>
      <c r="L759" s="5" t="n">
        <v>1</v>
      </c>
      <c r="M759" s="5" t="n">
        <v>13.647</v>
      </c>
      <c r="N759" s="5" t="n">
        <v>3.704</v>
      </c>
      <c r="O759" s="5" t="n">
        <v>8.747999999999999</v>
      </c>
      <c r="P759" s="5" t="n">
        <v>22.395</v>
      </c>
      <c r="Q759" s="5" t="n">
        <v>0</v>
      </c>
      <c r="R759" s="5" t="n">
        <v>1</v>
      </c>
      <c r="S759" s="5" t="n">
        <v>24.123</v>
      </c>
      <c r="T759" s="5" t="n">
        <v>7.408</v>
      </c>
      <c r="U759" s="5" t="n">
        <v>13.305</v>
      </c>
      <c r="V759" s="5" t="n">
        <v>45.935</v>
      </c>
      <c r="W759" s="5" t="n">
        <v>0.25</v>
      </c>
      <c r="X759" s="5" t="n">
        <v>1</v>
      </c>
      <c r="Y759" s="5" t="n">
        <v>43.753</v>
      </c>
      <c r="Z759" s="5" t="n">
        <v>4.59</v>
      </c>
      <c r="AA759" s="5" t="n">
        <v>6.287</v>
      </c>
      <c r="AB759" s="5" t="n">
        <v>50.039</v>
      </c>
      <c r="AC759" s="5" t="n">
        <v>0</v>
      </c>
      <c r="AD759" s="5" t="n">
        <v>1</v>
      </c>
      <c r="AE759" s="5" t="n">
        <v>43.8</v>
      </c>
      <c r="AF759" s="5" t="n">
        <v>8.119999999999999</v>
      </c>
      <c r="AG759" s="5" t="n">
        <v>6.239</v>
      </c>
      <c r="AH759" s="5" t="n">
        <v>50.039</v>
      </c>
      <c r="AI759" s="5" t="n">
        <v>0</v>
      </c>
      <c r="AJ759" s="5" t="n">
        <v>1</v>
      </c>
      <c r="AK759" s="5" t="n">
        <v>55.736</v>
      </c>
      <c r="AL759" s="5" t="n">
        <v>26.616</v>
      </c>
      <c r="AM759" s="5" t="n">
        <v>2.376</v>
      </c>
      <c r="AN759" s="5" t="n">
        <v>72.64</v>
      </c>
      <c r="AO759" s="5" t="n">
        <v>0.25</v>
      </c>
      <c r="AP759" s="5" t="n">
        <v>1</v>
      </c>
      <c r="AQ759" s="5" t="n">
        <v>0.861</v>
      </c>
      <c r="AR759" s="5" t="n">
        <v>0.123</v>
      </c>
      <c r="AS759" s="5" t="n">
        <v>0.772</v>
      </c>
      <c r="AT759" s="5" t="n">
        <v>2.042</v>
      </c>
      <c r="AU759" s="5" t="n">
        <v>0.25</v>
      </c>
      <c r="AV759" s="5" t="n">
        <v>1</v>
      </c>
      <c r="AW759" s="5" t="n">
        <v>0.986</v>
      </c>
      <c r="AX759" s="5" t="n">
        <v>0.123</v>
      </c>
      <c r="AY759" s="5" t="n">
        <v>0.948</v>
      </c>
      <c r="AZ759" s="5" t="n">
        <v>2.417</v>
      </c>
      <c r="BA759" s="5" t="n">
        <v>0.25</v>
      </c>
      <c r="BB759" s="5" t="n">
        <v>1</v>
      </c>
      <c r="BC759" s="5" t="n">
        <v>0.598</v>
      </c>
      <c r="BD759" s="5" t="n">
        <v>0.123</v>
      </c>
      <c r="BE759" s="5" t="n">
        <v>0.452</v>
      </c>
      <c r="BF759" s="5" t="n">
        <v>1.312</v>
      </c>
      <c r="BG759" s="5" t="n">
        <v>0.25</v>
      </c>
      <c r="BH759" s="5" t="n">
        <v>1</v>
      </c>
      <c r="BI759" s="5" t="n">
        <v>0.612</v>
      </c>
      <c r="BJ759" s="5" t="n">
        <v>0.123</v>
      </c>
      <c r="BK759" s="5" t="n">
        <v>0.75</v>
      </c>
      <c r="BL759" s="5" t="n">
        <v>1.702</v>
      </c>
      <c r="BM759" s="5" t="n">
        <v>0.25</v>
      </c>
      <c r="BN759" s="5" t="n">
        <v>1</v>
      </c>
      <c r="BO759" s="5" t="n">
        <v>0</v>
      </c>
      <c r="BP759" s="5" t="n">
        <v>0.001</v>
      </c>
      <c r="BQ759" s="5" t="n">
        <v>0.115</v>
      </c>
      <c r="BR759" s="5" t="n">
        <v>0</v>
      </c>
      <c r="BS759" s="5" t="n">
        <v>1</v>
      </c>
      <c r="BT759" s="5" t="n">
        <v>0</v>
      </c>
      <c r="BU759" s="5" t="n">
        <v>-0.028</v>
      </c>
      <c r="BV759" s="5" t="n">
        <v>0.264</v>
      </c>
      <c r="BW759" s="5" t="n">
        <v>0.25</v>
      </c>
      <c r="BX759" s="5" t="n">
        <v>1</v>
      </c>
      <c r="BY759" s="5" t="n">
        <v>12.729</v>
      </c>
      <c r="BZ759" s="5" t="n">
        <v>0</v>
      </c>
      <c r="CA759" s="5" t="n">
        <v>12.729</v>
      </c>
      <c r="CB759" s="5" t="n">
        <v>0</v>
      </c>
      <c r="CC759" s="5" t="n">
        <v>97.90000000000001</v>
      </c>
      <c r="CD759" s="5" t="n">
        <v>7.95</v>
      </c>
      <c r="CE759" s="5" t="n">
        <v>151.168</v>
      </c>
      <c r="CF759" s="5" t="n">
        <v>311.335</v>
      </c>
      <c r="CG759" s="5" t="n">
        <v>0.25</v>
      </c>
      <c r="CH759" s="5" t="n">
        <v>1</v>
      </c>
      <c r="CI759" s="5" t="n">
        <v>0</v>
      </c>
      <c r="CJ759" s="5" t="n">
        <v>0</v>
      </c>
      <c r="CK759" s="5" t="n">
        <v>0</v>
      </c>
      <c r="CL759" s="5" t="n">
        <v>0</v>
      </c>
      <c r="CM759" s="5" t="n">
        <v>0</v>
      </c>
      <c r="CN759" s="5" t="n">
        <v>0</v>
      </c>
      <c r="CO759" s="5" t="n">
        <v>0</v>
      </c>
      <c r="CP759" s="5" t="n">
        <v>0</v>
      </c>
      <c r="CQ759" s="5" t="n">
        <v>1.294</v>
      </c>
      <c r="CR759" s="5" t="n">
        <v>0</v>
      </c>
      <c r="CS759" s="5" t="n">
        <v>5.158</v>
      </c>
      <c r="CT759" s="5" t="n">
        <v>16.715</v>
      </c>
      <c r="CU759" s="5" t="n">
        <v>34.708</v>
      </c>
    </row>
    <row r="760">
      <c r="A760" s="5" t="inlineStr">
        <is>
          <t>SWE2023</t>
        </is>
      </c>
      <c r="B760" s="5" t="inlineStr">
        <is>
          <t>SWE</t>
        </is>
      </c>
      <c r="C760" s="5" t="inlineStr">
        <is>
          <t>SWE</t>
        </is>
      </c>
      <c r="D760" s="5" t="inlineStr">
        <is>
          <t>Sweden</t>
        </is>
      </c>
      <c r="E760" s="5" t="n">
        <v>2023</v>
      </c>
      <c r="F760" s="5" t="n">
        <v>0.25</v>
      </c>
      <c r="G760" s="5" t="n">
        <v>12.102</v>
      </c>
      <c r="H760" s="5" t="n">
        <v>1.259</v>
      </c>
      <c r="I760" s="5" t="n">
        <v>13.076</v>
      </c>
      <c r="J760" s="5" t="n">
        <v>25.178</v>
      </c>
      <c r="K760" s="5" t="n">
        <v>0</v>
      </c>
      <c r="L760" s="5" t="n">
        <v>1</v>
      </c>
      <c r="M760" s="5" t="n">
        <v>10.303</v>
      </c>
      <c r="N760" s="5" t="n">
        <v>3.778</v>
      </c>
      <c r="O760" s="5" t="n">
        <v>10.245</v>
      </c>
      <c r="P760" s="5" t="n">
        <v>20.549</v>
      </c>
      <c r="Q760" s="5" t="n">
        <v>0</v>
      </c>
      <c r="R760" s="5" t="n">
        <v>1</v>
      </c>
      <c r="S760" s="5" t="n">
        <v>18.398</v>
      </c>
      <c r="T760" s="5" t="n">
        <v>7.555</v>
      </c>
      <c r="U760" s="5" t="n">
        <v>14.429</v>
      </c>
      <c r="V760" s="5" t="n">
        <v>39.928</v>
      </c>
      <c r="W760" s="5" t="n">
        <v>0.25</v>
      </c>
      <c r="X760" s="5" t="n">
        <v>1</v>
      </c>
      <c r="Y760" s="5" t="n">
        <v>24.649</v>
      </c>
      <c r="Z760" s="5" t="n">
        <v>2.761</v>
      </c>
      <c r="AA760" s="5" t="n">
        <v>18.078</v>
      </c>
      <c r="AB760" s="5" t="n">
        <v>42.727</v>
      </c>
      <c r="AC760" s="5" t="n">
        <v>0</v>
      </c>
      <c r="AD760" s="5" t="n">
        <v>1</v>
      </c>
      <c r="AE760" s="5" t="n">
        <v>24.747</v>
      </c>
      <c r="AF760" s="5" t="n">
        <v>4.929</v>
      </c>
      <c r="AG760" s="5" t="n">
        <v>17.98</v>
      </c>
      <c r="AH760" s="5" t="n">
        <v>42.727</v>
      </c>
      <c r="AI760" s="5" t="n">
        <v>0</v>
      </c>
      <c r="AJ760" s="5" t="n">
        <v>1</v>
      </c>
      <c r="AK760" s="5" t="n">
        <v>36.989</v>
      </c>
      <c r="AL760" s="5" t="n">
        <v>18.323</v>
      </c>
      <c r="AM760" s="5" t="n">
        <v>14.182</v>
      </c>
      <c r="AN760" s="5" t="n">
        <v>63.964</v>
      </c>
      <c r="AO760" s="5" t="n">
        <v>0.25</v>
      </c>
      <c r="AP760" s="5" t="n">
        <v>1</v>
      </c>
      <c r="AQ760" s="5" t="n">
        <v>0.76</v>
      </c>
      <c r="AR760" s="5" t="n">
        <v>0.129</v>
      </c>
      <c r="AS760" s="5" t="n">
        <v>0.745</v>
      </c>
      <c r="AT760" s="5" t="n">
        <v>1.881</v>
      </c>
      <c r="AU760" s="5" t="n">
        <v>0.25</v>
      </c>
      <c r="AV760" s="5" t="n">
        <v>1</v>
      </c>
      <c r="AW760" s="5" t="n">
        <v>0.8110000000000001</v>
      </c>
      <c r="AX760" s="5" t="n">
        <v>0.129</v>
      </c>
      <c r="AY760" s="5" t="n">
        <v>0.9389999999999999</v>
      </c>
      <c r="AZ760" s="5" t="n">
        <v>2.188</v>
      </c>
      <c r="BA760" s="5" t="n">
        <v>0.25</v>
      </c>
      <c r="BB760" s="5" t="n">
        <v>1</v>
      </c>
      <c r="BC760" s="5" t="n">
        <v>0.535</v>
      </c>
      <c r="BD760" s="5" t="n">
        <v>0.129</v>
      </c>
      <c r="BE760" s="5" t="n">
        <v>0.478</v>
      </c>
      <c r="BF760" s="5" t="n">
        <v>1.267</v>
      </c>
      <c r="BG760" s="5" t="n">
        <v>0.25</v>
      </c>
      <c r="BH760" s="5" t="n">
        <v>1</v>
      </c>
      <c r="BI760" s="5" t="n">
        <v>0.579</v>
      </c>
      <c r="BJ760" s="5" t="n">
        <v>0.129</v>
      </c>
      <c r="BK760" s="5" t="n">
        <v>0.5610000000000001</v>
      </c>
      <c r="BL760" s="5" t="n">
        <v>1.426</v>
      </c>
      <c r="BM760" s="5" t="n">
        <v>0.25</v>
      </c>
      <c r="BN760" s="5" t="n">
        <v>1</v>
      </c>
      <c r="BO760" s="5" t="n">
        <v>0</v>
      </c>
      <c r="BP760" s="5" t="n">
        <v>0.001</v>
      </c>
      <c r="BQ760" s="5" t="n">
        <v>0.089</v>
      </c>
      <c r="BR760" s="5" t="n">
        <v>0</v>
      </c>
      <c r="BS760" s="5" t="n">
        <v>1</v>
      </c>
      <c r="BT760" s="5" t="n">
        <v>0</v>
      </c>
      <c r="BU760" s="5" t="n">
        <v>0.037</v>
      </c>
      <c r="BV760" s="5" t="n">
        <v>0.262</v>
      </c>
      <c r="BW760" s="5" t="n">
        <v>0.25</v>
      </c>
      <c r="BX760" s="5" t="n">
        <v>1</v>
      </c>
      <c r="BY760" s="5" t="n">
        <v>13.254</v>
      </c>
      <c r="BZ760" s="5" t="n">
        <v>0</v>
      </c>
      <c r="CA760" s="5" t="n">
        <v>13.254</v>
      </c>
      <c r="CB760" s="5" t="n">
        <v>0</v>
      </c>
      <c r="CC760" s="5" t="n">
        <v>83.248</v>
      </c>
      <c r="CD760" s="5" t="n">
        <v>7.95</v>
      </c>
      <c r="CE760" s="5" t="n">
        <v>135.655</v>
      </c>
      <c r="CF760" s="5" t="n">
        <v>273.628</v>
      </c>
      <c r="CG760" s="5" t="n">
        <v>0.25</v>
      </c>
      <c r="CH760" s="5" t="n">
        <v>1</v>
      </c>
      <c r="CI760" s="5" t="n">
        <v>0</v>
      </c>
      <c r="CJ760" s="5" t="n">
        <v>0</v>
      </c>
      <c r="CK760" s="5" t="n">
        <v>0</v>
      </c>
      <c r="CL760" s="5" t="n">
        <v>0</v>
      </c>
      <c r="CM760" s="5" t="n">
        <v>0</v>
      </c>
      <c r="CN760" s="5" t="n">
        <v>0</v>
      </c>
      <c r="CO760" s="5" t="n">
        <v>0</v>
      </c>
      <c r="CP760" s="5" t="n">
        <v>0.041</v>
      </c>
      <c r="CQ760" s="5" t="n">
        <v>1.348</v>
      </c>
      <c r="CR760" s="5" t="n">
        <v>0</v>
      </c>
      <c r="CS760" s="5" t="n">
        <v>5.37</v>
      </c>
      <c r="CT760" s="5" t="n">
        <v>11.25</v>
      </c>
      <c r="CU760" s="5" t="n">
        <v>15.553</v>
      </c>
    </row>
    <row r="761">
      <c r="A761" s="5" t="inlineStr">
        <is>
          <t>SWE2024</t>
        </is>
      </c>
      <c r="B761" s="5" t="inlineStr">
        <is>
          <t>SWE</t>
        </is>
      </c>
      <c r="C761" s="5" t="inlineStr">
        <is>
          <t>SWE</t>
        </is>
      </c>
      <c r="D761" s="5" t="inlineStr">
        <is>
          <t>Sweden</t>
        </is>
      </c>
      <c r="E761" s="5" t="n">
        <v>2024</v>
      </c>
      <c r="F761" s="5" t="n">
        <v>0.25</v>
      </c>
      <c r="G761" s="5" t="n">
        <v>8.964</v>
      </c>
      <c r="H761" s="5" t="n">
        <v>1.296</v>
      </c>
      <c r="I761" s="5" t="n">
        <v>10.859</v>
      </c>
      <c r="J761" s="5" t="n">
        <v>19.823</v>
      </c>
      <c r="K761" s="5" t="n">
        <v>0</v>
      </c>
      <c r="L761" s="5" t="n">
        <v>1</v>
      </c>
      <c r="M761" s="5" t="n">
        <v>10.582</v>
      </c>
      <c r="N761" s="5" t="n">
        <v>3.889</v>
      </c>
      <c r="O761" s="5" t="n">
        <v>6.956</v>
      </c>
      <c r="P761" s="5" t="n">
        <v>17.538</v>
      </c>
      <c r="Q761" s="5" t="n">
        <v>0</v>
      </c>
      <c r="R761" s="5" t="n">
        <v>1</v>
      </c>
      <c r="S761" s="5" t="n">
        <v>15.446</v>
      </c>
      <c r="T761" s="5" t="n">
        <v>7.778</v>
      </c>
      <c r="U761" s="5" t="n">
        <v>15.34</v>
      </c>
      <c r="V761" s="5" t="n">
        <v>37.215</v>
      </c>
      <c r="W761" s="5" t="n">
        <v>0.25</v>
      </c>
      <c r="X761" s="5" t="n">
        <v>1</v>
      </c>
      <c r="Y761" s="5" t="n">
        <v>22.024</v>
      </c>
      <c r="Z761" s="5" t="n">
        <v>2.781</v>
      </c>
      <c r="AA761" s="5" t="n">
        <v>12.965</v>
      </c>
      <c r="AB761" s="5" t="n">
        <v>34.989</v>
      </c>
      <c r="AC761" s="5" t="n">
        <v>0</v>
      </c>
      <c r="AD761" s="5" t="n">
        <v>1</v>
      </c>
      <c r="AE761" s="5" t="n">
        <v>22.024</v>
      </c>
      <c r="AF761" s="5" t="n">
        <v>4.825</v>
      </c>
      <c r="AG761" s="5" t="n">
        <v>12.965</v>
      </c>
      <c r="AH761" s="5" t="n">
        <v>34.989</v>
      </c>
      <c r="AI761" s="5" t="n">
        <v>0</v>
      </c>
      <c r="AJ761" s="5" t="n">
        <v>1</v>
      </c>
      <c r="AK761" s="5" t="n">
        <v>34.633</v>
      </c>
      <c r="AL761" s="5" t="n">
        <v>17.615</v>
      </c>
      <c r="AM761" s="5" t="n">
        <v>9.298</v>
      </c>
      <c r="AN761" s="5" t="n">
        <v>54.913</v>
      </c>
      <c r="AO761" s="5" t="n">
        <v>0.25</v>
      </c>
      <c r="AP761" s="5" t="n">
        <v>1</v>
      </c>
      <c r="AQ761" s="5" t="n">
        <v>0.724</v>
      </c>
      <c r="AR761" s="5" t="n">
        <v>0.132</v>
      </c>
      <c r="AS761" s="5" t="n">
        <v>0.64</v>
      </c>
      <c r="AT761" s="5" t="n">
        <v>1.705</v>
      </c>
      <c r="AU761" s="5" t="n">
        <v>0.25</v>
      </c>
      <c r="AV761" s="5" t="n">
        <v>1</v>
      </c>
      <c r="AW761" s="5" t="n">
        <v>0.75</v>
      </c>
      <c r="AX761" s="5" t="n">
        <v>0.132</v>
      </c>
      <c r="AY761" s="5" t="n">
        <v>0.614</v>
      </c>
      <c r="AZ761" s="5" t="n">
        <v>1.705</v>
      </c>
      <c r="BA761" s="5" t="n">
        <v>0.25</v>
      </c>
      <c r="BB761" s="5" t="n">
        <v>1</v>
      </c>
      <c r="BC761" s="5" t="n">
        <v>0.513</v>
      </c>
      <c r="BD761" s="5" t="n">
        <v>0.132</v>
      </c>
      <c r="BE761" s="5" t="n">
        <v>0.539</v>
      </c>
      <c r="BF761" s="5" t="n">
        <v>1.315</v>
      </c>
      <c r="BG761" s="5" t="n">
        <v>0.25</v>
      </c>
      <c r="BH761" s="5" t="n">
        <v>1</v>
      </c>
      <c r="BI761" s="5" t="n">
        <v>0.591</v>
      </c>
      <c r="BJ761" s="5" t="n">
        <v>0.132</v>
      </c>
      <c r="BK761" s="5" t="n">
        <v>0.419</v>
      </c>
      <c r="BL761" s="5" t="n">
        <v>1.263</v>
      </c>
      <c r="BM761" s="5" t="n">
        <v>0.25</v>
      </c>
      <c r="BN761" s="5" t="n">
        <v>1</v>
      </c>
      <c r="BO761" s="5" t="n">
        <v>0</v>
      </c>
      <c r="BP761" s="5" t="n">
        <v>0.001</v>
      </c>
      <c r="BQ761" s="5" t="n">
        <v>0.07199999999999999</v>
      </c>
      <c r="BR761" s="5" t="n">
        <v>0</v>
      </c>
      <c r="BS761" s="5" t="n">
        <v>1</v>
      </c>
      <c r="BT761" s="5" t="n">
        <v>0</v>
      </c>
      <c r="BU761" s="5" t="n">
        <v>0.041</v>
      </c>
      <c r="BV761" s="5" t="n">
        <v>0.259</v>
      </c>
      <c r="BW761" s="5" t="n">
        <v>0.25</v>
      </c>
      <c r="BX761" s="5" t="n">
        <v>1</v>
      </c>
      <c r="BY761" s="5" t="n">
        <v>13.646</v>
      </c>
      <c r="BZ761" s="5" t="n">
        <v>0</v>
      </c>
      <c r="CA761" s="5" t="n">
        <v>13.646</v>
      </c>
      <c r="CB761" s="5" t="n">
        <v>0</v>
      </c>
      <c r="CC761" s="5" t="n">
        <v>82.58799999999999</v>
      </c>
      <c r="CD761" s="5" t="n">
        <v>7.95</v>
      </c>
      <c r="CE761" s="5" t="n">
        <v>115.913</v>
      </c>
      <c r="CF761" s="5" t="n">
        <v>248.126</v>
      </c>
      <c r="CG761" s="5" t="n">
        <v>0.25</v>
      </c>
      <c r="CH761" s="5" t="n">
        <v>1</v>
      </c>
      <c r="CI761" s="5" t="n">
        <v>0</v>
      </c>
      <c r="CJ761" s="5" t="n">
        <v>0</v>
      </c>
      <c r="CK761" s="5" t="n">
        <v>0</v>
      </c>
      <c r="CL761" s="5" t="n">
        <v>0</v>
      </c>
      <c r="CM761" s="5" t="n">
        <v>0</v>
      </c>
      <c r="CN761" s="5" t="n">
        <v>0</v>
      </c>
      <c r="CO761" s="5" t="n">
        <v>0</v>
      </c>
      <c r="CP761" s="5" t="n">
        <v>0.041</v>
      </c>
      <c r="CQ761" s="5" t="n">
        <v>1.387</v>
      </c>
      <c r="CR761" s="5" t="n">
        <v>0</v>
      </c>
      <c r="CS761" s="5" t="n">
        <v>5.529</v>
      </c>
      <c r="CT761" s="5" t="n">
        <v>7.937</v>
      </c>
      <c r="CU761" s="5" t="n">
        <v>11.8</v>
      </c>
    </row>
    <row r="762">
      <c r="A762" s="5" t="inlineStr">
        <is>
          <t>CHE2021</t>
        </is>
      </c>
      <c r="B762" s="5" t="inlineStr">
        <is>
          <t>CHE</t>
        </is>
      </c>
      <c r="C762" s="5" t="inlineStr">
        <is>
          <t>CHE</t>
        </is>
      </c>
      <c r="D762" s="5" t="inlineStr">
        <is>
          <t>Switzerland</t>
        </is>
      </c>
      <c r="E762" s="5" t="n">
        <v>2021</v>
      </c>
      <c r="F762" s="5" t="n">
        <v>0.077</v>
      </c>
      <c r="G762" s="5" t="n">
        <v>2.702</v>
      </c>
      <c r="H762" s="5" t="n">
        <v>0.591</v>
      </c>
      <c r="I762" s="5" t="n">
        <v>4.24</v>
      </c>
      <c r="J762" s="5" t="n">
        <v>6.941</v>
      </c>
      <c r="K762" s="5" t="n">
        <v>0</v>
      </c>
      <c r="L762" s="5" t="n">
        <v>1</v>
      </c>
      <c r="M762" s="5" t="n">
        <v>7.964</v>
      </c>
      <c r="N762" s="5" t="n">
        <v>3.43</v>
      </c>
      <c r="O762" s="5" t="n">
        <v>-1.023</v>
      </c>
      <c r="P762" s="5" t="n">
        <v>6.941</v>
      </c>
      <c r="Q762" s="5" t="n">
        <v>0</v>
      </c>
      <c r="R762" s="5" t="n">
        <v>1</v>
      </c>
      <c r="S762" s="5" t="n">
        <v>11.679</v>
      </c>
      <c r="T762" s="5" t="n">
        <v>6.86</v>
      </c>
      <c r="U762" s="5" t="n">
        <v>2.755</v>
      </c>
      <c r="V762" s="5" t="n">
        <v>15.545</v>
      </c>
      <c r="W762" s="5" t="n">
        <v>0.077</v>
      </c>
      <c r="X762" s="5" t="n">
        <v>1</v>
      </c>
      <c r="Y762" s="5" t="n">
        <v>37.109</v>
      </c>
      <c r="Z762" s="5" t="n">
        <v>4.099</v>
      </c>
      <c r="AA762" s="5" t="n">
        <v>-16.548</v>
      </c>
      <c r="AB762" s="5" t="n">
        <v>20.561</v>
      </c>
      <c r="AC762" s="5" t="n">
        <v>0</v>
      </c>
      <c r="AD762" s="5" t="n">
        <v>1</v>
      </c>
      <c r="AE762" s="5" t="n">
        <v>37.066</v>
      </c>
      <c r="AF762" s="5" t="n">
        <v>7.294</v>
      </c>
      <c r="AG762" s="5" t="n">
        <v>-16.505</v>
      </c>
      <c r="AH762" s="5" t="n">
        <v>20.561</v>
      </c>
      <c r="AI762" s="5" t="n">
        <v>0</v>
      </c>
      <c r="AJ762" s="5" t="n">
        <v>1</v>
      </c>
      <c r="AK762" s="5" t="n">
        <v>40.75</v>
      </c>
      <c r="AL762" s="5" t="n">
        <v>20</v>
      </c>
      <c r="AM762" s="5" t="n">
        <v>-11.342</v>
      </c>
      <c r="AN762" s="5" t="n">
        <v>31.672</v>
      </c>
      <c r="AO762" s="5" t="n">
        <v>0.077</v>
      </c>
      <c r="AP762" s="5" t="n">
        <v>1</v>
      </c>
      <c r="AQ762" s="5" t="n">
        <v>0.619</v>
      </c>
      <c r="AR762" s="5" t="n">
        <v>0.114</v>
      </c>
      <c r="AS762" s="5" t="n">
        <v>0.98</v>
      </c>
      <c r="AT762" s="5" t="n">
        <v>1.722</v>
      </c>
      <c r="AU762" s="5" t="n">
        <v>0.077</v>
      </c>
      <c r="AV762" s="5" t="n">
        <v>1</v>
      </c>
      <c r="AW762" s="5" t="n">
        <v>0.599</v>
      </c>
      <c r="AX762" s="5" t="n">
        <v>0.114</v>
      </c>
      <c r="AY762" s="5" t="n">
        <v>1.056</v>
      </c>
      <c r="AZ762" s="5" t="n">
        <v>1.783</v>
      </c>
      <c r="BA762" s="5" t="n">
        <v>0.077</v>
      </c>
      <c r="BB762" s="5" t="n">
        <v>1</v>
      </c>
      <c r="BC762" s="5" t="n">
        <v>0.439</v>
      </c>
      <c r="BD762" s="5" t="n">
        <v>0.114</v>
      </c>
      <c r="BE762" s="5" t="n">
        <v>0.526</v>
      </c>
      <c r="BF762" s="5" t="n">
        <v>1.04</v>
      </c>
      <c r="BG762" s="5" t="n">
        <v>0.077</v>
      </c>
      <c r="BH762" s="5" t="n">
        <v>1</v>
      </c>
      <c r="BI762" s="5" t="n">
        <v>0.505</v>
      </c>
      <c r="BJ762" s="5" t="n">
        <v>0.114</v>
      </c>
      <c r="BK762" s="5" t="n">
        <v>0.363</v>
      </c>
      <c r="BL762" s="5" t="n">
        <v>0.9350000000000001</v>
      </c>
      <c r="BM762" s="5" t="n">
        <v>0.077</v>
      </c>
      <c r="BN762" s="5" t="n">
        <v>1</v>
      </c>
      <c r="BO762" s="5" t="n">
        <v>0</v>
      </c>
      <c r="BP762" s="5" t="n">
        <v>0.03</v>
      </c>
      <c r="BQ762" s="5" t="n">
        <v>0.171</v>
      </c>
      <c r="BR762" s="5" t="n">
        <v>0</v>
      </c>
      <c r="BS762" s="5" t="n">
        <v>0.833</v>
      </c>
      <c r="BT762" s="5" t="n">
        <v>0</v>
      </c>
      <c r="BU762" s="5" t="n">
        <v>0.025</v>
      </c>
      <c r="BV762" s="5" t="n">
        <v>0.23</v>
      </c>
      <c r="BW762" s="5" t="n">
        <v>0.077</v>
      </c>
      <c r="BX762" s="5" t="n">
        <v>0.833</v>
      </c>
      <c r="BY762" s="5" t="n">
        <v>11.787</v>
      </c>
      <c r="BZ762" s="5" t="n">
        <v>0</v>
      </c>
      <c r="CA762" s="5" t="n">
        <v>11.787</v>
      </c>
      <c r="CB762" s="5" t="n">
        <v>0</v>
      </c>
      <c r="CC762" s="5" t="n">
        <v>78.125</v>
      </c>
      <c r="CD762" s="5" t="n">
        <v>7.95</v>
      </c>
      <c r="CE762" s="5" t="n">
        <v>-25.812</v>
      </c>
      <c r="CF762" s="5" t="n">
        <v>56.342</v>
      </c>
      <c r="CG762" s="5" t="n">
        <v>0.077</v>
      </c>
      <c r="CH762" s="5" t="n">
        <v>1</v>
      </c>
      <c r="CI762" s="5" t="n">
        <v>0</v>
      </c>
      <c r="CJ762" s="5" t="n">
        <v>0</v>
      </c>
      <c r="CK762" s="5" t="n">
        <v>0</v>
      </c>
      <c r="CL762" s="5" t="n">
        <v>0</v>
      </c>
      <c r="CM762" s="5" t="n">
        <v>0</v>
      </c>
      <c r="CN762" s="5" t="n">
        <v>0</v>
      </c>
      <c r="CO762" s="5" t="n">
        <v>0</v>
      </c>
      <c r="CP762" s="5" t="n">
        <v>0</v>
      </c>
      <c r="CQ762" s="5" t="n">
        <v>1.198</v>
      </c>
      <c r="CR762" s="5" t="n">
        <v>0</v>
      </c>
      <c r="CS762" s="5" t="n">
        <v>4.776</v>
      </c>
      <c r="CT762" s="5" t="n">
        <v>4.819</v>
      </c>
      <c r="CU762" s="5" t="n">
        <v>26.806</v>
      </c>
    </row>
    <row r="763">
      <c r="A763" s="5" t="inlineStr">
        <is>
          <t>CHE2022</t>
        </is>
      </c>
      <c r="B763" s="5" t="inlineStr">
        <is>
          <t>CHE</t>
        </is>
      </c>
      <c r="C763" s="5" t="inlineStr">
        <is>
          <t>CHE</t>
        </is>
      </c>
      <c r="D763" s="5" t="inlineStr">
        <is>
          <t>Switzerland</t>
        </is>
      </c>
      <c r="E763" s="5" t="n">
        <v>2022</v>
      </c>
      <c r="F763" s="5" t="n">
        <v>0.077</v>
      </c>
      <c r="G763" s="5" t="n">
        <v>12.303</v>
      </c>
      <c r="H763" s="5" t="n">
        <v>1.911</v>
      </c>
      <c r="I763" s="5" t="n">
        <v>6.457</v>
      </c>
      <c r="J763" s="5" t="n">
        <v>18.761</v>
      </c>
      <c r="K763" s="5" t="n">
        <v>0</v>
      </c>
      <c r="L763" s="5" t="n">
        <v>1</v>
      </c>
      <c r="M763" s="5" t="n">
        <v>9.782999999999999</v>
      </c>
      <c r="N763" s="5" t="n">
        <v>3.704</v>
      </c>
      <c r="O763" s="5" t="n">
        <v>8.978</v>
      </c>
      <c r="P763" s="5" t="n">
        <v>18.761</v>
      </c>
      <c r="Q763" s="5" t="n">
        <v>0</v>
      </c>
      <c r="R763" s="5" t="n">
        <v>1</v>
      </c>
      <c r="S763" s="5" t="n">
        <v>18.971</v>
      </c>
      <c r="T763" s="5" t="n">
        <v>7.408</v>
      </c>
      <c r="U763" s="5" t="n">
        <v>12.503</v>
      </c>
      <c r="V763" s="5" t="n">
        <v>33.705</v>
      </c>
      <c r="W763" s="5" t="n">
        <v>0.077</v>
      </c>
      <c r="X763" s="5" t="n">
        <v>1</v>
      </c>
      <c r="Y763" s="5" t="n">
        <v>73.622</v>
      </c>
      <c r="Z763" s="5" t="n">
        <v>7.723</v>
      </c>
      <c r="AA763" s="5" t="n">
        <v>-37.234</v>
      </c>
      <c r="AB763" s="5" t="n">
        <v>36.388</v>
      </c>
      <c r="AC763" s="5" t="n">
        <v>0</v>
      </c>
      <c r="AD763" s="5" t="n">
        <v>1</v>
      </c>
      <c r="AE763" s="5" t="n">
        <v>73.67</v>
      </c>
      <c r="AF763" s="5" t="n">
        <v>13.657</v>
      </c>
      <c r="AG763" s="5" t="n">
        <v>-37.282</v>
      </c>
      <c r="AH763" s="5" t="n">
        <v>36.388</v>
      </c>
      <c r="AI763" s="5" t="n">
        <v>0</v>
      </c>
      <c r="AJ763" s="5" t="n">
        <v>1</v>
      </c>
      <c r="AK763" s="5" t="n">
        <v>77.902</v>
      </c>
      <c r="AL763" s="5" t="n">
        <v>37.202</v>
      </c>
      <c r="AM763" s="5" t="n">
        <v>-35.346</v>
      </c>
      <c r="AN763" s="5" t="n">
        <v>45.834</v>
      </c>
      <c r="AO763" s="5" t="n">
        <v>0.077</v>
      </c>
      <c r="AP763" s="5" t="n">
        <v>1</v>
      </c>
      <c r="AQ763" s="5" t="n">
        <v>0.861</v>
      </c>
      <c r="AR763" s="5" t="n">
        <v>0.123</v>
      </c>
      <c r="AS763" s="5" t="n">
        <v>1.039</v>
      </c>
      <c r="AT763" s="5" t="n">
        <v>2.046</v>
      </c>
      <c r="AU763" s="5" t="n">
        <v>0.077</v>
      </c>
      <c r="AV763" s="5" t="n">
        <v>1</v>
      </c>
      <c r="AW763" s="5" t="n">
        <v>0.986</v>
      </c>
      <c r="AX763" s="5" t="n">
        <v>0.123</v>
      </c>
      <c r="AY763" s="5" t="n">
        <v>1.091</v>
      </c>
      <c r="AZ763" s="5" t="n">
        <v>2.237</v>
      </c>
      <c r="BA763" s="5" t="n">
        <v>0.077</v>
      </c>
      <c r="BB763" s="5" t="n">
        <v>1</v>
      </c>
      <c r="BC763" s="5" t="n">
        <v>0.598</v>
      </c>
      <c r="BD763" s="5" t="n">
        <v>0.123</v>
      </c>
      <c r="BE763" s="5" t="n">
        <v>0.517</v>
      </c>
      <c r="BF763" s="5" t="n">
        <v>1.2</v>
      </c>
      <c r="BG763" s="5" t="n">
        <v>0.077</v>
      </c>
      <c r="BH763" s="5" t="n">
        <v>1</v>
      </c>
      <c r="BI763" s="5" t="n">
        <v>0.612</v>
      </c>
      <c r="BJ763" s="5" t="n">
        <v>0.123</v>
      </c>
      <c r="BK763" s="5" t="n">
        <v>0.738</v>
      </c>
      <c r="BL763" s="5" t="n">
        <v>1.454</v>
      </c>
      <c r="BM763" s="5" t="n">
        <v>0.077</v>
      </c>
      <c r="BN763" s="5" t="n">
        <v>1</v>
      </c>
      <c r="BO763" s="5" t="n">
        <v>0</v>
      </c>
      <c r="BP763" s="5" t="n">
        <v>0.029</v>
      </c>
      <c r="BQ763" s="5" t="n">
        <v>0.188</v>
      </c>
      <c r="BR763" s="5" t="n">
        <v>0</v>
      </c>
      <c r="BS763" s="5" t="n">
        <v>0.833</v>
      </c>
      <c r="BT763" s="5" t="n">
        <v>0</v>
      </c>
      <c r="BU763" s="5" t="n">
        <v>0.024</v>
      </c>
      <c r="BV763" s="5" t="n">
        <v>0.246</v>
      </c>
      <c r="BW763" s="5" t="n">
        <v>0.077</v>
      </c>
      <c r="BX763" s="5" t="n">
        <v>0.833</v>
      </c>
      <c r="BY763" s="5" t="n">
        <v>12.729</v>
      </c>
      <c r="BZ763" s="5" t="n">
        <v>0</v>
      </c>
      <c r="CA763" s="5" t="n">
        <v>12.729</v>
      </c>
      <c r="CB763" s="5" t="n">
        <v>0</v>
      </c>
      <c r="CC763" s="5" t="n">
        <v>97.90000000000001</v>
      </c>
      <c r="CD763" s="5" t="n">
        <v>7.95</v>
      </c>
      <c r="CE763" s="5" t="n">
        <v>-25.237</v>
      </c>
      <c r="CF763" s="5" t="n">
        <v>78.258</v>
      </c>
      <c r="CG763" s="5" t="n">
        <v>0.077</v>
      </c>
      <c r="CH763" s="5" t="n">
        <v>1</v>
      </c>
      <c r="CI763" s="5" t="n">
        <v>0</v>
      </c>
      <c r="CJ763" s="5" t="n">
        <v>0</v>
      </c>
      <c r="CK763" s="5" t="n">
        <v>0</v>
      </c>
      <c r="CL763" s="5" t="n">
        <v>0</v>
      </c>
      <c r="CM763" s="5" t="n">
        <v>0</v>
      </c>
      <c r="CN763" s="5" t="n">
        <v>0</v>
      </c>
      <c r="CO763" s="5" t="n">
        <v>0</v>
      </c>
      <c r="CP763" s="5" t="n">
        <v>0</v>
      </c>
      <c r="CQ763" s="5" t="n">
        <v>1.294</v>
      </c>
      <c r="CR763" s="5" t="n">
        <v>0</v>
      </c>
      <c r="CS763" s="5" t="n">
        <v>5.158</v>
      </c>
      <c r="CT763" s="5" t="n">
        <v>11.563</v>
      </c>
      <c r="CU763" s="5" t="n">
        <v>63.228</v>
      </c>
    </row>
    <row r="764">
      <c r="A764" s="5" t="inlineStr">
        <is>
          <t>CHE2023</t>
        </is>
      </c>
      <c r="B764" s="5" t="inlineStr">
        <is>
          <t>CHE</t>
        </is>
      </c>
      <c r="C764" s="5" t="inlineStr">
        <is>
          <t>CHE</t>
        </is>
      </c>
      <c r="D764" s="5" t="inlineStr">
        <is>
          <t>Switzerland</t>
        </is>
      </c>
      <c r="E764" s="5" t="n">
        <v>2023</v>
      </c>
      <c r="F764" s="5" t="n">
        <v>0.077</v>
      </c>
      <c r="G764" s="5" t="n">
        <v>6.64</v>
      </c>
      <c r="H764" s="5" t="n">
        <v>1.512</v>
      </c>
      <c r="I764" s="5" t="n">
        <v>9.534000000000001</v>
      </c>
      <c r="J764" s="5" t="n">
        <v>16.174</v>
      </c>
      <c r="K764" s="5" t="n">
        <v>0</v>
      </c>
      <c r="L764" s="5" t="n">
        <v>1</v>
      </c>
      <c r="M764" s="5" t="n">
        <v>7.886</v>
      </c>
      <c r="N764" s="5" t="n">
        <v>3.857</v>
      </c>
      <c r="O764" s="5" t="n">
        <v>8.288</v>
      </c>
      <c r="P764" s="5" t="n">
        <v>16.174</v>
      </c>
      <c r="Q764" s="5" t="n">
        <v>0</v>
      </c>
      <c r="R764" s="5" t="n">
        <v>1</v>
      </c>
      <c r="S764" s="5" t="n">
        <v>12.818</v>
      </c>
      <c r="T764" s="5" t="n">
        <v>7.714</v>
      </c>
      <c r="U764" s="5" t="n">
        <v>13.099</v>
      </c>
      <c r="V764" s="5" t="n">
        <v>27.676</v>
      </c>
      <c r="W764" s="5" t="n">
        <v>0.077</v>
      </c>
      <c r="X764" s="5" t="n">
        <v>1</v>
      </c>
      <c r="Y764" s="5" t="n">
        <v>47.533</v>
      </c>
      <c r="Z764" s="5" t="n">
        <v>5.324</v>
      </c>
      <c r="AA764" s="5" t="n">
        <v>3.905</v>
      </c>
      <c r="AB764" s="5" t="n">
        <v>51.438</v>
      </c>
      <c r="AC764" s="5" t="n">
        <v>0</v>
      </c>
      <c r="AD764" s="5" t="n">
        <v>1</v>
      </c>
      <c r="AE764" s="5" t="n">
        <v>47.632</v>
      </c>
      <c r="AF764" s="5" t="n">
        <v>9.486000000000001</v>
      </c>
      <c r="AG764" s="5" t="n">
        <v>3.806</v>
      </c>
      <c r="AH764" s="5" t="n">
        <v>51.438</v>
      </c>
      <c r="AI764" s="5" t="n">
        <v>0</v>
      </c>
      <c r="AJ764" s="5" t="n">
        <v>1</v>
      </c>
      <c r="AK764" s="5" t="n">
        <v>52.17</v>
      </c>
      <c r="AL764" s="5" t="n">
        <v>25.844</v>
      </c>
      <c r="AM764" s="5" t="n">
        <v>0.616</v>
      </c>
      <c r="AN764" s="5" t="n">
        <v>56.851</v>
      </c>
      <c r="AO764" s="5" t="n">
        <v>0.077</v>
      </c>
      <c r="AP764" s="5" t="n">
        <v>1</v>
      </c>
      <c r="AQ764" s="5" t="n">
        <v>0.76</v>
      </c>
      <c r="AR764" s="5" t="n">
        <v>0.129</v>
      </c>
      <c r="AS764" s="5" t="n">
        <v>1.132</v>
      </c>
      <c r="AT764" s="5" t="n">
        <v>2.038</v>
      </c>
      <c r="AU764" s="5" t="n">
        <v>0.077</v>
      </c>
      <c r="AV764" s="5" t="n">
        <v>1</v>
      </c>
      <c r="AW764" s="5" t="n">
        <v>0.8110000000000001</v>
      </c>
      <c r="AX764" s="5" t="n">
        <v>0.129</v>
      </c>
      <c r="AY764" s="5" t="n">
        <v>1.233</v>
      </c>
      <c r="AZ764" s="5" t="n">
        <v>2.201</v>
      </c>
      <c r="BA764" s="5" t="n">
        <v>0.077</v>
      </c>
      <c r="BB764" s="5" t="n">
        <v>1</v>
      </c>
      <c r="BC764" s="5" t="n">
        <v>0.535</v>
      </c>
      <c r="BD764" s="5" t="n">
        <v>0.129</v>
      </c>
      <c r="BE764" s="5" t="n">
        <v>0.757</v>
      </c>
      <c r="BF764" s="5" t="n">
        <v>1.391</v>
      </c>
      <c r="BG764" s="5" t="n">
        <v>0.077</v>
      </c>
      <c r="BH764" s="5" t="n">
        <v>1</v>
      </c>
      <c r="BI764" s="5" t="n">
        <v>0.579</v>
      </c>
      <c r="BJ764" s="5" t="n">
        <v>0.129</v>
      </c>
      <c r="BK764" s="5" t="n">
        <v>0.609</v>
      </c>
      <c r="BL764" s="5" t="n">
        <v>1.28</v>
      </c>
      <c r="BM764" s="5" t="n">
        <v>0.077</v>
      </c>
      <c r="BN764" s="5" t="n">
        <v>1</v>
      </c>
      <c r="BO764" s="5" t="n">
        <v>0</v>
      </c>
      <c r="BP764" s="5" t="n">
        <v>0.035</v>
      </c>
      <c r="BQ764" s="5" t="n">
        <v>0.257</v>
      </c>
      <c r="BR764" s="5" t="n">
        <v>0</v>
      </c>
      <c r="BS764" s="5" t="n">
        <v>0.833</v>
      </c>
      <c r="BT764" s="5" t="n">
        <v>0</v>
      </c>
      <c r="BU764" s="5" t="n">
        <v>0.026</v>
      </c>
      <c r="BV764" s="5" t="n">
        <v>0.338</v>
      </c>
      <c r="BW764" s="5" t="n">
        <v>0.077</v>
      </c>
      <c r="BX764" s="5" t="n">
        <v>0.833</v>
      </c>
      <c r="BY764" s="5" t="n">
        <v>13.254</v>
      </c>
      <c r="BZ764" s="5" t="n">
        <v>0</v>
      </c>
      <c r="CA764" s="5" t="n">
        <v>13.254</v>
      </c>
      <c r="CB764" s="5" t="n">
        <v>0</v>
      </c>
      <c r="CC764" s="5" t="n">
        <v>83.248</v>
      </c>
      <c r="CD764" s="5" t="n">
        <v>7.95</v>
      </c>
      <c r="CE764" s="5" t="n">
        <v>6.171</v>
      </c>
      <c r="CF764" s="5" t="n">
        <v>96.30500000000001</v>
      </c>
      <c r="CG764" s="5" t="n">
        <v>0.077</v>
      </c>
      <c r="CH764" s="5" t="n">
        <v>1</v>
      </c>
      <c r="CI764" s="5" t="n">
        <v>0</v>
      </c>
      <c r="CJ764" s="5" t="n">
        <v>0</v>
      </c>
      <c r="CK764" s="5" t="n">
        <v>0</v>
      </c>
      <c r="CL764" s="5" t="n">
        <v>0</v>
      </c>
      <c r="CM764" s="5" t="n">
        <v>0</v>
      </c>
      <c r="CN764" s="5" t="n">
        <v>0</v>
      </c>
      <c r="CO764" s="5" t="n">
        <v>0</v>
      </c>
      <c r="CP764" s="5" t="n">
        <v>0</v>
      </c>
      <c r="CQ764" s="5" t="n">
        <v>1.348</v>
      </c>
      <c r="CR764" s="5" t="n">
        <v>0</v>
      </c>
      <c r="CS764" s="5" t="n">
        <v>5.37</v>
      </c>
      <c r="CT764" s="5" t="n">
        <v>5.104</v>
      </c>
      <c r="CU764" s="5" t="n">
        <v>37.088</v>
      </c>
    </row>
    <row r="765">
      <c r="A765" s="5" t="inlineStr">
        <is>
          <t>CHE2024</t>
        </is>
      </c>
      <c r="B765" s="5" t="inlineStr">
        <is>
          <t>CHE</t>
        </is>
      </c>
      <c r="C765" s="5" t="inlineStr">
        <is>
          <t>CHE</t>
        </is>
      </c>
      <c r="D765" s="5" t="inlineStr">
        <is>
          <t>Switzerland</t>
        </is>
      </c>
      <c r="E765" s="5" t="n">
        <v>2024</v>
      </c>
      <c r="F765" s="5" t="n">
        <v>0.077</v>
      </c>
      <c r="G765" s="5" t="n">
        <v>5.47</v>
      </c>
      <c r="H765" s="5" t="n">
        <v>1.386</v>
      </c>
      <c r="I765" s="5" t="n">
        <v>6.199</v>
      </c>
      <c r="J765" s="5" t="n">
        <v>11.669</v>
      </c>
      <c r="K765" s="5" t="n">
        <v>0</v>
      </c>
      <c r="L765" s="5" t="n">
        <v>1</v>
      </c>
      <c r="M765" s="5" t="n">
        <v>7.124</v>
      </c>
      <c r="N765" s="5" t="n">
        <v>3.971</v>
      </c>
      <c r="O765" s="5" t="n">
        <v>4.546</v>
      </c>
      <c r="P765" s="5" t="n">
        <v>11.669</v>
      </c>
      <c r="Q765" s="5" t="n">
        <v>0</v>
      </c>
      <c r="R765" s="5" t="n">
        <v>1</v>
      </c>
      <c r="S765" s="5" t="n">
        <v>12.405</v>
      </c>
      <c r="T765" s="5" t="n">
        <v>7.942</v>
      </c>
      <c r="U765" s="5" t="n">
        <v>13.657</v>
      </c>
      <c r="V765" s="5" t="n">
        <v>27.778</v>
      </c>
      <c r="W765" s="5" t="n">
        <v>0.077</v>
      </c>
      <c r="X765" s="5" t="n">
        <v>1</v>
      </c>
      <c r="Y765" s="5" t="n">
        <v>40.254</v>
      </c>
      <c r="Z765" s="5" t="n">
        <v>5.083</v>
      </c>
      <c r="AA765" s="5" t="n">
        <v>3.591</v>
      </c>
      <c r="AB765" s="5" t="n">
        <v>43.845</v>
      </c>
      <c r="AC765" s="5" t="n">
        <v>0</v>
      </c>
      <c r="AD765" s="5" t="n">
        <v>1</v>
      </c>
      <c r="AE765" s="5" t="n">
        <v>40.254</v>
      </c>
      <c r="AF765" s="5" t="n">
        <v>8.818</v>
      </c>
      <c r="AG765" s="5" t="n">
        <v>3.591</v>
      </c>
      <c r="AH765" s="5" t="n">
        <v>43.845</v>
      </c>
      <c r="AI765" s="5" t="n">
        <v>0</v>
      </c>
      <c r="AJ765" s="5" t="n">
        <v>1</v>
      </c>
      <c r="AK765" s="5" t="n">
        <v>43.282</v>
      </c>
      <c r="AL765" s="5" t="n">
        <v>22.014</v>
      </c>
      <c r="AM765" s="5" t="n">
        <v>5.992</v>
      </c>
      <c r="AN765" s="5" t="n">
        <v>53.068</v>
      </c>
      <c r="AO765" s="5" t="n">
        <v>0.077</v>
      </c>
      <c r="AP765" s="5" t="n">
        <v>1</v>
      </c>
      <c r="AQ765" s="5" t="n">
        <v>0.724</v>
      </c>
      <c r="AR765" s="5" t="n">
        <v>0.132</v>
      </c>
      <c r="AS765" s="5" t="n">
        <v>1.186</v>
      </c>
      <c r="AT765" s="5" t="n">
        <v>2.057</v>
      </c>
      <c r="AU765" s="5" t="n">
        <v>0.077</v>
      </c>
      <c r="AV765" s="5" t="n">
        <v>1</v>
      </c>
      <c r="AW765" s="5" t="n">
        <v>0.75</v>
      </c>
      <c r="AX765" s="5" t="n">
        <v>0.132</v>
      </c>
      <c r="AY765" s="5" t="n">
        <v>1.265</v>
      </c>
      <c r="AZ765" s="5" t="n">
        <v>2.171</v>
      </c>
      <c r="BA765" s="5" t="n">
        <v>0.077</v>
      </c>
      <c r="BB765" s="5" t="n">
        <v>1</v>
      </c>
      <c r="BC765" s="5" t="n">
        <v>0.513</v>
      </c>
      <c r="BD765" s="5" t="n">
        <v>0.132</v>
      </c>
      <c r="BE765" s="5" t="n">
        <v>0.6870000000000001</v>
      </c>
      <c r="BF765" s="5" t="n">
        <v>1.293</v>
      </c>
      <c r="BG765" s="5" t="n">
        <v>0.077</v>
      </c>
      <c r="BH765" s="5" t="n">
        <v>1</v>
      </c>
      <c r="BI765" s="5" t="n">
        <v>0.591</v>
      </c>
      <c r="BJ765" s="5" t="n">
        <v>0.132</v>
      </c>
      <c r="BK765" s="5" t="n">
        <v>0.55</v>
      </c>
      <c r="BL765" s="5" t="n">
        <v>1.229</v>
      </c>
      <c r="BM765" s="5" t="n">
        <v>0.077</v>
      </c>
      <c r="BN765" s="5" t="n">
        <v>1</v>
      </c>
      <c r="BO765" s="5" t="n">
        <v>0</v>
      </c>
      <c r="BP765" s="5" t="n">
        <v>0.044</v>
      </c>
      <c r="BQ765" s="5" t="n">
        <v>0.315</v>
      </c>
      <c r="BR765" s="5" t="n">
        <v>0</v>
      </c>
      <c r="BS765" s="5" t="n">
        <v>0.833</v>
      </c>
      <c r="BT765" s="5" t="n">
        <v>0</v>
      </c>
      <c r="BU765" s="5" t="n">
        <v>0.027</v>
      </c>
      <c r="BV765" s="5" t="n">
        <v>0.382</v>
      </c>
      <c r="BW765" s="5" t="n">
        <v>0.077</v>
      </c>
      <c r="BX765" s="5" t="n">
        <v>0.833</v>
      </c>
      <c r="BY765" s="5" t="n">
        <v>13.646</v>
      </c>
      <c r="BZ765" s="5" t="n">
        <v>0</v>
      </c>
      <c r="CA765" s="5" t="n">
        <v>13.646</v>
      </c>
      <c r="CB765" s="5" t="n">
        <v>0</v>
      </c>
      <c r="CC765" s="5" t="n">
        <v>82.58799999999999</v>
      </c>
      <c r="CD765" s="5" t="n">
        <v>7.95</v>
      </c>
      <c r="CE765" s="5" t="n">
        <v>-11.844</v>
      </c>
      <c r="CF765" s="5" t="n">
        <v>76.191</v>
      </c>
      <c r="CG765" s="5" t="n">
        <v>0.077</v>
      </c>
      <c r="CH765" s="5" t="n">
        <v>1</v>
      </c>
      <c r="CI765" s="5" t="n">
        <v>0</v>
      </c>
      <c r="CJ765" s="5" t="n">
        <v>0</v>
      </c>
      <c r="CK765" s="5" t="n">
        <v>0</v>
      </c>
      <c r="CL765" s="5" t="n">
        <v>0</v>
      </c>
      <c r="CM765" s="5" t="n">
        <v>0</v>
      </c>
      <c r="CN765" s="5" t="n">
        <v>0</v>
      </c>
      <c r="CO765" s="5" t="n">
        <v>0</v>
      </c>
      <c r="CP765" s="5" t="n">
        <v>0</v>
      </c>
      <c r="CQ765" s="5" t="n">
        <v>1.387</v>
      </c>
      <c r="CR765" s="5" t="n">
        <v>0</v>
      </c>
      <c r="CS765" s="5" t="n">
        <v>5.529</v>
      </c>
      <c r="CT765" s="5" t="n">
        <v>4.463</v>
      </c>
      <c r="CU765" s="5" t="n">
        <v>31.353</v>
      </c>
    </row>
    <row r="766">
      <c r="A766" s="5" t="inlineStr">
        <is>
          <t>SYR2021</t>
        </is>
      </c>
      <c r="B766" s="5" t="inlineStr">
        <is>
          <t>SYR</t>
        </is>
      </c>
      <c r="C766" s="5" t="inlineStr">
        <is>
          <t>SYR</t>
        </is>
      </c>
      <c r="D766" s="5" t="inlineStr">
        <is>
          <t>Syria</t>
        </is>
      </c>
      <c r="E766" s="5" t="n">
        <v>2021</v>
      </c>
      <c r="F766" s="5" t="n">
        <v>0</v>
      </c>
      <c r="G766" s="5" t="n">
        <v>5.897</v>
      </c>
      <c r="H766" s="5" t="n">
        <v>1.143</v>
      </c>
      <c r="I766" s="5" t="n">
        <v>0</v>
      </c>
      <c r="J766" s="5" t="n">
        <v>5.897</v>
      </c>
      <c r="K766" s="5" t="n">
        <v>0</v>
      </c>
      <c r="L766" s="5" t="n">
        <v>1</v>
      </c>
      <c r="M766" s="5" t="n">
        <v>7.964</v>
      </c>
      <c r="N766" s="5" t="n">
        <v>3.43</v>
      </c>
      <c r="O766" s="5" t="n">
        <v>0</v>
      </c>
      <c r="P766" s="5" t="n">
        <v>7.964</v>
      </c>
      <c r="Q766" s="5" t="n">
        <v>0</v>
      </c>
      <c r="R766" s="5" t="n">
        <v>1</v>
      </c>
      <c r="S766" s="5" t="n">
        <v>11.613</v>
      </c>
      <c r="T766" s="5" t="n">
        <v>6.86</v>
      </c>
      <c r="U766" s="5" t="n">
        <v>0</v>
      </c>
      <c r="V766" s="5" t="n">
        <v>11.613</v>
      </c>
      <c r="W766" s="5" t="n">
        <v>0</v>
      </c>
      <c r="X766" s="5" t="n">
        <v>1</v>
      </c>
      <c r="Y766" s="5" t="n">
        <v>5.347</v>
      </c>
      <c r="Z766" s="5" t="n">
        <v>0.484</v>
      </c>
      <c r="AA766" s="5" t="n">
        <v>0</v>
      </c>
      <c r="AB766" s="5" t="n">
        <v>5.347</v>
      </c>
      <c r="AC766" s="5" t="n">
        <v>0</v>
      </c>
      <c r="AD766" s="5" t="n">
        <v>1</v>
      </c>
      <c r="AE766" s="5" t="n">
        <v>5.919</v>
      </c>
      <c r="AF766" s="5" t="n">
        <v>0.966</v>
      </c>
      <c r="AG766" s="5" t="n">
        <v>0</v>
      </c>
      <c r="AH766" s="5" t="n">
        <v>5.919</v>
      </c>
      <c r="AI766" s="5" t="n">
        <v>0</v>
      </c>
      <c r="AJ766" s="5" t="n">
        <v>1</v>
      </c>
      <c r="AK766" s="5" t="n">
        <v>9.349</v>
      </c>
      <c r="AL766" s="5" t="n">
        <v>3.931</v>
      </c>
      <c r="AM766" s="5" t="n">
        <v>0</v>
      </c>
      <c r="AN766" s="5" t="n">
        <v>9.349</v>
      </c>
      <c r="AO766" s="5" t="n">
        <v>0</v>
      </c>
      <c r="AP766" s="5" t="n">
        <v>1</v>
      </c>
      <c r="AQ766" s="5" t="n">
        <v>0.621</v>
      </c>
      <c r="AR766" s="5" t="n">
        <v>0.114</v>
      </c>
      <c r="AS766" s="5" t="n">
        <v>0.127</v>
      </c>
      <c r="AT766" s="5" t="n">
        <v>0.748</v>
      </c>
      <c r="AU766" s="5" t="n">
        <v>0</v>
      </c>
      <c r="AV766" s="5" t="n">
        <v>1</v>
      </c>
      <c r="AW766" s="5" t="n">
        <v>0.593</v>
      </c>
      <c r="AX766" s="5" t="n">
        <v>0.114</v>
      </c>
      <c r="AY766" s="5" t="n">
        <v>0.212</v>
      </c>
      <c r="AZ766" s="5" t="n">
        <v>0.806</v>
      </c>
      <c r="BA766" s="5" t="n">
        <v>0</v>
      </c>
      <c r="BB766" s="5" t="n">
        <v>1</v>
      </c>
      <c r="BC766" s="5" t="n">
        <v>0.44</v>
      </c>
      <c r="BD766" s="5" t="n">
        <v>0.114</v>
      </c>
      <c r="BE766" s="5" t="n">
        <v>-0.338</v>
      </c>
      <c r="BF766" s="5" t="n">
        <v>0.102</v>
      </c>
      <c r="BG766" s="5" t="n">
        <v>0</v>
      </c>
      <c r="BH766" s="5" t="n">
        <v>0</v>
      </c>
      <c r="BI766" s="5" t="n">
        <v>0.5600000000000001</v>
      </c>
      <c r="BJ766" s="5" t="n">
        <v>0.114</v>
      </c>
      <c r="BK766" s="5" t="n">
        <v>0</v>
      </c>
      <c r="BL766" s="5" t="n">
        <v>0.5600000000000001</v>
      </c>
      <c r="BM766" s="5" t="n">
        <v>0</v>
      </c>
      <c r="BN766" s="5" t="n">
        <v>1</v>
      </c>
      <c r="BO766" s="5" t="n">
        <v>0</v>
      </c>
      <c r="BP766" s="5" t="n">
        <v>0</v>
      </c>
      <c r="BQ766" s="5" t="n">
        <v>0.08799999999999999</v>
      </c>
      <c r="BR766" s="5" t="n">
        <v>0</v>
      </c>
      <c r="BS766" s="5" t="n">
        <v>1</v>
      </c>
      <c r="BT766" s="5" t="n">
        <v>0</v>
      </c>
      <c r="BU766" s="5" t="n">
        <v>0</v>
      </c>
      <c r="BV766" s="5" t="n">
        <v>0.031</v>
      </c>
      <c r="BW766" s="5" t="n">
        <v>0</v>
      </c>
      <c r="BX766" s="5" t="n">
        <v>1</v>
      </c>
      <c r="BY766" s="5" t="n">
        <v>11.787</v>
      </c>
      <c r="BZ766" s="5" t="n">
        <v>0</v>
      </c>
      <c r="CA766" s="5" t="n">
        <v>11.787</v>
      </c>
      <c r="CB766" s="5" t="n">
        <v>0</v>
      </c>
      <c r="CC766" s="5" t="n">
        <v>81.69499999999999</v>
      </c>
      <c r="CD766" s="5" t="n">
        <v>7.95</v>
      </c>
      <c r="CE766" s="5" t="n">
        <v>0</v>
      </c>
      <c r="CF766" s="5" t="n">
        <v>81.69499999999999</v>
      </c>
      <c r="CG766" s="5" t="n">
        <v>0</v>
      </c>
      <c r="CH766" s="5" t="n">
        <v>1</v>
      </c>
      <c r="CI766" s="5" t="n">
        <v>0</v>
      </c>
      <c r="CJ766" s="5" t="n">
        <v>0</v>
      </c>
      <c r="CK766" s="5" t="n">
        <v>0</v>
      </c>
      <c r="CL766" s="5" t="n">
        <v>0</v>
      </c>
      <c r="CM766" s="5" t="n">
        <v>0</v>
      </c>
      <c r="CN766" s="5" t="n">
        <v>0</v>
      </c>
      <c r="CO766" s="5" t="n">
        <v>0</v>
      </c>
      <c r="CP766" s="5" t="n">
        <v>0</v>
      </c>
      <c r="CQ766" s="5" t="n">
        <v>1.198</v>
      </c>
      <c r="CR766" s="5" t="n">
        <v>1</v>
      </c>
      <c r="CS766" s="5" t="n">
        <v>4.776</v>
      </c>
      <c r="CT766" s="5" t="n">
        <v>4.753</v>
      </c>
      <c r="CU766" s="5" t="n">
        <v>14.162</v>
      </c>
    </row>
    <row r="767">
      <c r="A767" s="5" t="inlineStr">
        <is>
          <t>SYR2022</t>
        </is>
      </c>
      <c r="B767" s="5" t="inlineStr">
        <is>
          <t>SYR</t>
        </is>
      </c>
      <c r="C767" s="5" t="inlineStr">
        <is>
          <t>SYR</t>
        </is>
      </c>
      <c r="D767" s="5" t="inlineStr">
        <is>
          <t>Syria</t>
        </is>
      </c>
      <c r="E767" s="5" t="n">
        <v>2022</v>
      </c>
      <c r="F767" s="5" t="n">
        <v>0</v>
      </c>
      <c r="G767" s="5" t="n">
        <v>11.72</v>
      </c>
      <c r="H767" s="5" t="n">
        <v>1.235</v>
      </c>
      <c r="I767" s="5" t="n">
        <v>0</v>
      </c>
      <c r="J767" s="5" t="n">
        <v>11.72</v>
      </c>
      <c r="K767" s="5" t="n">
        <v>0</v>
      </c>
      <c r="L767" s="5" t="n">
        <v>1</v>
      </c>
      <c r="M767" s="5" t="n">
        <v>9.782999999999999</v>
      </c>
      <c r="N767" s="5" t="n">
        <v>3.704</v>
      </c>
      <c r="O767" s="5" t="n">
        <v>0</v>
      </c>
      <c r="P767" s="5" t="n">
        <v>9.782999999999999</v>
      </c>
      <c r="Q767" s="5" t="n">
        <v>0</v>
      </c>
      <c r="R767" s="5" t="n">
        <v>1</v>
      </c>
      <c r="S767" s="5" t="n">
        <v>17.893</v>
      </c>
      <c r="T767" s="5" t="n">
        <v>7.408</v>
      </c>
      <c r="U767" s="5" t="n">
        <v>0</v>
      </c>
      <c r="V767" s="5" t="n">
        <v>17.893</v>
      </c>
      <c r="W767" s="5" t="n">
        <v>0</v>
      </c>
      <c r="X767" s="5" t="n">
        <v>1</v>
      </c>
      <c r="Y767" s="5" t="n">
        <v>5.775</v>
      </c>
      <c r="Z767" s="5" t="n">
        <v>0.523</v>
      </c>
      <c r="AA767" s="5" t="n">
        <v>0</v>
      </c>
      <c r="AB767" s="5" t="n">
        <v>5.775</v>
      </c>
      <c r="AC767" s="5" t="n">
        <v>0</v>
      </c>
      <c r="AD767" s="5" t="n">
        <v>1</v>
      </c>
      <c r="AE767" s="5" t="n">
        <v>6.392</v>
      </c>
      <c r="AF767" s="5" t="n">
        <v>1.043</v>
      </c>
      <c r="AG767" s="5" t="n">
        <v>0</v>
      </c>
      <c r="AH767" s="5" t="n">
        <v>6.392</v>
      </c>
      <c r="AI767" s="5" t="n">
        <v>0</v>
      </c>
      <c r="AJ767" s="5" t="n">
        <v>1</v>
      </c>
      <c r="AK767" s="5" t="n">
        <v>10.096</v>
      </c>
      <c r="AL767" s="5" t="n">
        <v>4.245</v>
      </c>
      <c r="AM767" s="5" t="n">
        <v>0</v>
      </c>
      <c r="AN767" s="5" t="n">
        <v>10.096</v>
      </c>
      <c r="AO767" s="5" t="n">
        <v>0</v>
      </c>
      <c r="AP767" s="5" t="n">
        <v>1</v>
      </c>
      <c r="AQ767" s="5" t="n">
        <v>0.847</v>
      </c>
      <c r="AR767" s="5" t="n">
        <v>0.123</v>
      </c>
      <c r="AS767" s="5" t="n">
        <v>0.638</v>
      </c>
      <c r="AT767" s="5" t="n">
        <v>1.484</v>
      </c>
      <c r="AU767" s="5" t="n">
        <v>0</v>
      </c>
      <c r="AV767" s="5" t="n">
        <v>1</v>
      </c>
      <c r="AW767" s="5" t="n">
        <v>0.947</v>
      </c>
      <c r="AX767" s="5" t="n">
        <v>0.123</v>
      </c>
      <c r="AY767" s="5" t="n">
        <v>-0.188</v>
      </c>
      <c r="AZ767" s="5" t="n">
        <v>0.759</v>
      </c>
      <c r="BA767" s="5" t="n">
        <v>0</v>
      </c>
      <c r="BB767" s="5" t="n">
        <v>1</v>
      </c>
      <c r="BC767" s="5" t="n">
        <v>0.589</v>
      </c>
      <c r="BD767" s="5" t="n">
        <v>0.123</v>
      </c>
      <c r="BE767" s="5" t="n">
        <v>-0.538</v>
      </c>
      <c r="BF767" s="5" t="n">
        <v>0.051</v>
      </c>
      <c r="BG767" s="5" t="n">
        <v>0</v>
      </c>
      <c r="BH767" s="5" t="n">
        <v>0</v>
      </c>
      <c r="BI767" s="5" t="n">
        <v>0.6889999999999999</v>
      </c>
      <c r="BJ767" s="5" t="n">
        <v>0.123</v>
      </c>
      <c r="BK767" s="5" t="n">
        <v>0</v>
      </c>
      <c r="BL767" s="5" t="n">
        <v>0.6889999999999999</v>
      </c>
      <c r="BM767" s="5" t="n">
        <v>0</v>
      </c>
      <c r="BN767" s="5" t="n">
        <v>1</v>
      </c>
      <c r="BO767" s="5" t="n">
        <v>0</v>
      </c>
      <c r="BP767" s="5" t="n">
        <v>0</v>
      </c>
      <c r="BQ767" s="5" t="n">
        <v>0.044</v>
      </c>
      <c r="BR767" s="5" t="n">
        <v>0</v>
      </c>
      <c r="BS767" s="5" t="n">
        <v>1</v>
      </c>
      <c r="BT767" s="5" t="n">
        <v>0</v>
      </c>
      <c r="BU767" s="5" t="n">
        <v>0</v>
      </c>
      <c r="BV767" s="5" t="n">
        <v>0.016</v>
      </c>
      <c r="BW767" s="5" t="n">
        <v>0</v>
      </c>
      <c r="BX767" s="5" t="n">
        <v>1</v>
      </c>
      <c r="BY767" s="5" t="n">
        <v>12.729</v>
      </c>
      <c r="BZ767" s="5" t="n">
        <v>0</v>
      </c>
      <c r="CA767" s="5" t="n">
        <v>12.729</v>
      </c>
      <c r="CB767" s="5" t="n">
        <v>0</v>
      </c>
      <c r="CC767" s="5" t="n">
        <v>102.477</v>
      </c>
      <c r="CD767" s="5" t="n">
        <v>7.95</v>
      </c>
      <c r="CE767" s="5" t="n">
        <v>0</v>
      </c>
      <c r="CF767" s="5" t="n">
        <v>102.477</v>
      </c>
      <c r="CG767" s="5" t="n">
        <v>0</v>
      </c>
      <c r="CH767" s="5" t="n">
        <v>1</v>
      </c>
      <c r="CI767" s="5" t="n">
        <v>0</v>
      </c>
      <c r="CJ767" s="5" t="n">
        <v>0</v>
      </c>
      <c r="CK767" s="5" t="n">
        <v>0</v>
      </c>
      <c r="CL767" s="5" t="n">
        <v>0</v>
      </c>
      <c r="CM767" s="5" t="n">
        <v>0</v>
      </c>
      <c r="CN767" s="5" t="n">
        <v>0</v>
      </c>
      <c r="CO767" s="5" t="n">
        <v>0</v>
      </c>
      <c r="CP767" s="5" t="n">
        <v>0</v>
      </c>
      <c r="CQ767" s="5" t="n">
        <v>1.294</v>
      </c>
      <c r="CR767" s="5" t="n">
        <v>1</v>
      </c>
      <c r="CS767" s="5" t="n">
        <v>5.158</v>
      </c>
      <c r="CT767" s="5" t="n">
        <v>10.485</v>
      </c>
      <c r="CU767" s="5" t="n">
        <v>30.326</v>
      </c>
    </row>
    <row r="768">
      <c r="A768" s="5" t="inlineStr">
        <is>
          <t>SYR2023</t>
        </is>
      </c>
      <c r="B768" s="5" t="inlineStr">
        <is>
          <t>SYR</t>
        </is>
      </c>
      <c r="C768" s="5" t="inlineStr">
        <is>
          <t>SYR</t>
        </is>
      </c>
      <c r="D768" s="5" t="inlineStr">
        <is>
          <t>Syria</t>
        </is>
      </c>
      <c r="E768" s="5" t="n">
        <v>2023</v>
      </c>
      <c r="F768" s="5" t="n">
        <v>0</v>
      </c>
      <c r="G768" s="5" t="n">
        <v>6.147</v>
      </c>
      <c r="H768" s="5" t="n">
        <v>1.286</v>
      </c>
      <c r="I768" s="5" t="n">
        <v>0</v>
      </c>
      <c r="J768" s="5" t="n">
        <v>6.147</v>
      </c>
      <c r="K768" s="5" t="n">
        <v>0</v>
      </c>
      <c r="L768" s="5" t="n">
        <v>1</v>
      </c>
      <c r="M768" s="5" t="n">
        <v>7.886</v>
      </c>
      <c r="N768" s="5" t="n">
        <v>3.857</v>
      </c>
      <c r="O768" s="5" t="n">
        <v>0</v>
      </c>
      <c r="P768" s="5" t="n">
        <v>7.886</v>
      </c>
      <c r="Q768" s="5" t="n">
        <v>0</v>
      </c>
      <c r="R768" s="5" t="n">
        <v>1</v>
      </c>
      <c r="S768" s="5" t="n">
        <v>12.575</v>
      </c>
      <c r="T768" s="5" t="n">
        <v>7.714</v>
      </c>
      <c r="U768" s="5" t="n">
        <v>0</v>
      </c>
      <c r="V768" s="5" t="n">
        <v>12.575</v>
      </c>
      <c r="W768" s="5" t="n">
        <v>0</v>
      </c>
      <c r="X768" s="5" t="n">
        <v>1</v>
      </c>
      <c r="Y768" s="5" t="n">
        <v>6.013</v>
      </c>
      <c r="Z768" s="5" t="n">
        <v>0.545</v>
      </c>
      <c r="AA768" s="5" t="n">
        <v>0</v>
      </c>
      <c r="AB768" s="5" t="n">
        <v>6.013</v>
      </c>
      <c r="AC768" s="5" t="n">
        <v>0</v>
      </c>
      <c r="AD768" s="5" t="n">
        <v>1</v>
      </c>
      <c r="AE768" s="5" t="n">
        <v>6.656</v>
      </c>
      <c r="AF768" s="5" t="n">
        <v>1.086</v>
      </c>
      <c r="AG768" s="5" t="n">
        <v>0</v>
      </c>
      <c r="AH768" s="5" t="n">
        <v>6.656</v>
      </c>
      <c r="AI768" s="5" t="n">
        <v>0</v>
      </c>
      <c r="AJ768" s="5" t="n">
        <v>1</v>
      </c>
      <c r="AK768" s="5" t="n">
        <v>10.513</v>
      </c>
      <c r="AL768" s="5" t="n">
        <v>4.42</v>
      </c>
      <c r="AM768" s="5" t="n">
        <v>0</v>
      </c>
      <c r="AN768" s="5" t="n">
        <v>10.513</v>
      </c>
      <c r="AO768" s="5" t="n">
        <v>0</v>
      </c>
      <c r="AP768" s="5" t="n">
        <v>1</v>
      </c>
      <c r="AQ768" s="5" t="n">
        <v>0.749</v>
      </c>
      <c r="AR768" s="5" t="n">
        <v>0.129</v>
      </c>
      <c r="AS768" s="5" t="n">
        <v>0.664</v>
      </c>
      <c r="AT768" s="5" t="n">
        <v>1.413</v>
      </c>
      <c r="AU768" s="5" t="n">
        <v>0</v>
      </c>
      <c r="AV768" s="5" t="n">
        <v>1</v>
      </c>
      <c r="AW768" s="5" t="n">
        <v>0.783</v>
      </c>
      <c r="AX768" s="5" t="n">
        <v>0.129</v>
      </c>
      <c r="AY768" s="5" t="n">
        <v>-0.07199999999999999</v>
      </c>
      <c r="AZ768" s="5" t="n">
        <v>0.711</v>
      </c>
      <c r="BA768" s="5" t="n">
        <v>0</v>
      </c>
      <c r="BB768" s="5" t="n">
        <v>1</v>
      </c>
      <c r="BC768" s="5" t="n">
        <v>0.527</v>
      </c>
      <c r="BD768" s="5" t="n">
        <v>0.129</v>
      </c>
      <c r="BE768" s="5" t="n">
        <v>-0.477</v>
      </c>
      <c r="BF768" s="5" t="n">
        <v>0.05</v>
      </c>
      <c r="BG768" s="5" t="n">
        <v>0</v>
      </c>
      <c r="BH768" s="5" t="n">
        <v>0</v>
      </c>
      <c r="BI768" s="5" t="n">
        <v>0.64</v>
      </c>
      <c r="BJ768" s="5" t="n">
        <v>0.129</v>
      </c>
      <c r="BK768" s="5" t="n">
        <v>0</v>
      </c>
      <c r="BL768" s="5" t="n">
        <v>0.64</v>
      </c>
      <c r="BM768" s="5" t="n">
        <v>0</v>
      </c>
      <c r="BN768" s="5" t="n">
        <v>1</v>
      </c>
      <c r="BO768" s="5" t="n">
        <v>0</v>
      </c>
      <c r="BP768" s="5" t="n">
        <v>0</v>
      </c>
      <c r="BQ768" s="5" t="n">
        <v>0.046</v>
      </c>
      <c r="BR768" s="5" t="n">
        <v>0</v>
      </c>
      <c r="BS768" s="5" t="n">
        <v>1</v>
      </c>
      <c r="BT768" s="5" t="n">
        <v>0</v>
      </c>
      <c r="BU768" s="5" t="n">
        <v>0</v>
      </c>
      <c r="BV768" s="5" t="n">
        <v>0.016</v>
      </c>
      <c r="BW768" s="5" t="n">
        <v>0</v>
      </c>
      <c r="BX768" s="5" t="n">
        <v>1</v>
      </c>
      <c r="BY768" s="5" t="n">
        <v>13.254</v>
      </c>
      <c r="BZ768" s="5" t="n">
        <v>0</v>
      </c>
      <c r="CA768" s="5" t="n">
        <v>13.254</v>
      </c>
      <c r="CB768" s="5" t="n">
        <v>0</v>
      </c>
      <c r="CC768" s="5" t="n">
        <v>87.07899999999999</v>
      </c>
      <c r="CD768" s="5" t="n">
        <v>7.95</v>
      </c>
      <c r="CE768" s="5" t="n">
        <v>0</v>
      </c>
      <c r="CF768" s="5" t="n">
        <v>87.07899999999999</v>
      </c>
      <c r="CG768" s="5" t="n">
        <v>0</v>
      </c>
      <c r="CH768" s="5" t="n">
        <v>1</v>
      </c>
      <c r="CI768" s="5" t="n">
        <v>0</v>
      </c>
      <c r="CJ768" s="5" t="n">
        <v>0</v>
      </c>
      <c r="CK768" s="5" t="n">
        <v>0</v>
      </c>
      <c r="CL768" s="5" t="n">
        <v>0</v>
      </c>
      <c r="CM768" s="5" t="n">
        <v>0</v>
      </c>
      <c r="CN768" s="5" t="n">
        <v>0</v>
      </c>
      <c r="CO768" s="5" t="n">
        <v>0</v>
      </c>
      <c r="CP768" s="5" t="n">
        <v>0</v>
      </c>
      <c r="CQ768" s="5" t="n">
        <v>1.348</v>
      </c>
      <c r="CR768" s="5" t="n">
        <v>1</v>
      </c>
      <c r="CS768" s="5" t="n">
        <v>5.37</v>
      </c>
      <c r="CT768" s="5" t="n">
        <v>4.861</v>
      </c>
      <c r="CU768" s="5" t="n">
        <v>10.622</v>
      </c>
    </row>
    <row r="769">
      <c r="A769" s="5" t="inlineStr">
        <is>
          <t>SYR2024</t>
        </is>
      </c>
      <c r="B769" s="5" t="inlineStr">
        <is>
          <t>SYR</t>
        </is>
      </c>
      <c r="C769" s="5" t="inlineStr">
        <is>
          <t>SYR</t>
        </is>
      </c>
      <c r="D769" s="5" t="inlineStr">
        <is>
          <t>Syria</t>
        </is>
      </c>
      <c r="E769" s="5" t="n">
        <v>2024</v>
      </c>
      <c r="F769" s="5" t="n">
        <v>0</v>
      </c>
      <c r="G769" s="5" t="n">
        <v>5.575</v>
      </c>
      <c r="H769" s="5" t="n">
        <v>1.324</v>
      </c>
      <c r="I769" s="5" t="n">
        <v>0</v>
      </c>
      <c r="J769" s="5" t="n">
        <v>5.575</v>
      </c>
      <c r="K769" s="5" t="n">
        <v>0</v>
      </c>
      <c r="L769" s="5" t="n">
        <v>1</v>
      </c>
      <c r="M769" s="5" t="n">
        <v>7.124</v>
      </c>
      <c r="N769" s="5" t="n">
        <v>3.971</v>
      </c>
      <c r="O769" s="5" t="n">
        <v>0</v>
      </c>
      <c r="P769" s="5" t="n">
        <v>7.124</v>
      </c>
      <c r="Q769" s="5" t="n">
        <v>0</v>
      </c>
      <c r="R769" s="5" t="n">
        <v>1</v>
      </c>
      <c r="S769" s="5" t="n">
        <v>12.193</v>
      </c>
      <c r="T769" s="5" t="n">
        <v>7.942</v>
      </c>
      <c r="U769" s="5" t="n">
        <v>0</v>
      </c>
      <c r="V769" s="5" t="n">
        <v>12.193</v>
      </c>
      <c r="W769" s="5" t="n">
        <v>0</v>
      </c>
      <c r="X769" s="5" t="n">
        <v>1</v>
      </c>
      <c r="Y769" s="5" t="n">
        <v>6.191</v>
      </c>
      <c r="Z769" s="5" t="n">
        <v>0.5610000000000001</v>
      </c>
      <c r="AA769" s="5" t="n">
        <v>0</v>
      </c>
      <c r="AB769" s="5" t="n">
        <v>6.191</v>
      </c>
      <c r="AC769" s="5" t="n">
        <v>0</v>
      </c>
      <c r="AD769" s="5" t="n">
        <v>1</v>
      </c>
      <c r="AE769" s="5" t="n">
        <v>6.853</v>
      </c>
      <c r="AF769" s="5" t="n">
        <v>1.118</v>
      </c>
      <c r="AG769" s="5" t="n">
        <v>0</v>
      </c>
      <c r="AH769" s="5" t="n">
        <v>6.853</v>
      </c>
      <c r="AI769" s="5" t="n">
        <v>0</v>
      </c>
      <c r="AJ769" s="5" t="n">
        <v>1</v>
      </c>
      <c r="AK769" s="5" t="n">
        <v>10.823</v>
      </c>
      <c r="AL769" s="5" t="n">
        <v>4.55</v>
      </c>
      <c r="AM769" s="5" t="n">
        <v>0</v>
      </c>
      <c r="AN769" s="5" t="n">
        <v>10.823</v>
      </c>
      <c r="AO769" s="5" t="n">
        <v>0</v>
      </c>
      <c r="AP769" s="5" t="n">
        <v>1</v>
      </c>
      <c r="AQ769" s="5" t="n">
        <v>0.72</v>
      </c>
      <c r="AR769" s="5" t="n">
        <v>0.132</v>
      </c>
      <c r="AS769" s="5" t="n">
        <v>0.6830000000000001</v>
      </c>
      <c r="AT769" s="5" t="n">
        <v>1.403</v>
      </c>
      <c r="AU769" s="5" t="n">
        <v>0</v>
      </c>
      <c r="AV769" s="5" t="n">
        <v>1</v>
      </c>
      <c r="AW769" s="5" t="n">
        <v>0.734</v>
      </c>
      <c r="AX769" s="5" t="n">
        <v>0.132</v>
      </c>
      <c r="AY769" s="5" t="n">
        <v>-0.03</v>
      </c>
      <c r="AZ769" s="5" t="n">
        <v>0.704</v>
      </c>
      <c r="BA769" s="5" t="n">
        <v>0</v>
      </c>
      <c r="BB769" s="5" t="n">
        <v>1</v>
      </c>
      <c r="BC769" s="5" t="n">
        <v>0.51</v>
      </c>
      <c r="BD769" s="5" t="n">
        <v>0.132</v>
      </c>
      <c r="BE769" s="5" t="n">
        <v>-0.459</v>
      </c>
      <c r="BF769" s="5" t="n">
        <v>0.051</v>
      </c>
      <c r="BG769" s="5" t="n">
        <v>0</v>
      </c>
      <c r="BH769" s="5" t="n">
        <v>0</v>
      </c>
      <c r="BI769" s="5" t="n">
        <v>0.652</v>
      </c>
      <c r="BJ769" s="5" t="n">
        <v>0.132</v>
      </c>
      <c r="BK769" s="5" t="n">
        <v>0</v>
      </c>
      <c r="BL769" s="5" t="n">
        <v>0.652</v>
      </c>
      <c r="BM769" s="5" t="n">
        <v>0</v>
      </c>
      <c r="BN769" s="5" t="n">
        <v>1</v>
      </c>
      <c r="BO769" s="5" t="n">
        <v>0</v>
      </c>
      <c r="BP769" s="5" t="n">
        <v>0</v>
      </c>
      <c r="BQ769" s="5" t="n">
        <v>0.047</v>
      </c>
      <c r="BR769" s="5" t="n">
        <v>0</v>
      </c>
      <c r="BS769" s="5" t="n">
        <v>1</v>
      </c>
      <c r="BT769" s="5" t="n">
        <v>0</v>
      </c>
      <c r="BU769" s="5" t="n">
        <v>0</v>
      </c>
      <c r="BV769" s="5" t="n">
        <v>0.017</v>
      </c>
      <c r="BW769" s="5" t="n">
        <v>0</v>
      </c>
      <c r="BX769" s="5" t="n">
        <v>1</v>
      </c>
      <c r="BY769" s="5" t="n">
        <v>13.646</v>
      </c>
      <c r="BZ769" s="5" t="n">
        <v>0</v>
      </c>
      <c r="CA769" s="5" t="n">
        <v>13.646</v>
      </c>
      <c r="CB769" s="5" t="n">
        <v>0</v>
      </c>
      <c r="CC769" s="5" t="n">
        <v>86.38500000000001</v>
      </c>
      <c r="CD769" s="5" t="n">
        <v>7.95</v>
      </c>
      <c r="CE769" s="5" t="n">
        <v>0</v>
      </c>
      <c r="CF769" s="5" t="n">
        <v>86.38500000000001</v>
      </c>
      <c r="CG769" s="5" t="n">
        <v>0</v>
      </c>
      <c r="CH769" s="5" t="n">
        <v>1</v>
      </c>
      <c r="CI769" s="5" t="n">
        <v>0</v>
      </c>
      <c r="CJ769" s="5" t="n">
        <v>0</v>
      </c>
      <c r="CK769" s="5" t="n">
        <v>0</v>
      </c>
      <c r="CL769" s="5" t="n">
        <v>0</v>
      </c>
      <c r="CM769" s="5" t="n">
        <v>0</v>
      </c>
      <c r="CN769" s="5" t="n">
        <v>0</v>
      </c>
      <c r="CO769" s="5" t="n">
        <v>0</v>
      </c>
      <c r="CP769" s="5" t="n">
        <v>0</v>
      </c>
      <c r="CQ769" s="5" t="n">
        <v>1.387</v>
      </c>
      <c r="CR769" s="5" t="n">
        <v>1</v>
      </c>
      <c r="CS769" s="5" t="n">
        <v>5.529</v>
      </c>
      <c r="CT769" s="5" t="n">
        <v>4.251</v>
      </c>
      <c r="CU769" s="5" t="n">
        <v>9.167999999999999</v>
      </c>
    </row>
    <row r="770">
      <c r="A770" s="5" t="inlineStr">
        <is>
          <t>STP2021</t>
        </is>
      </c>
      <c r="B770" s="5" t="inlineStr">
        <is>
          <t>STP</t>
        </is>
      </c>
      <c r="C770" s="5" t="inlineStr">
        <is>
          <t>STP</t>
        </is>
      </c>
      <c r="D770" s="5" t="inlineStr">
        <is>
          <t>São Tomé and Príncipe</t>
        </is>
      </c>
      <c r="E770" s="5" t="n">
        <v>2021</v>
      </c>
      <c r="F770" s="5" t="n">
        <v>0</v>
      </c>
      <c r="G770" s="5" t="n">
        <v>5.897</v>
      </c>
      <c r="H770" s="5" t="n">
        <v>1.143</v>
      </c>
      <c r="I770" s="5" t="n">
        <v>0</v>
      </c>
      <c r="J770" s="5" t="n">
        <v>5.897</v>
      </c>
      <c r="K770" s="5" t="n">
        <v>0</v>
      </c>
      <c r="L770" s="5" t="n">
        <v>1</v>
      </c>
      <c r="M770" s="5" t="n">
        <v>7.964</v>
      </c>
      <c r="N770" s="5" t="n">
        <v>3.43</v>
      </c>
      <c r="O770" s="5" t="n">
        <v>0</v>
      </c>
      <c r="P770" s="5" t="n">
        <v>7.964</v>
      </c>
      <c r="Q770" s="5" t="n">
        <v>0</v>
      </c>
      <c r="R770" s="5" t="n">
        <v>1</v>
      </c>
      <c r="S770" s="5" t="n">
        <v>11.613</v>
      </c>
      <c r="T770" s="5" t="n">
        <v>6.86</v>
      </c>
      <c r="U770" s="5" t="n">
        <v>0</v>
      </c>
      <c r="V770" s="5" t="n">
        <v>11.613</v>
      </c>
      <c r="W770" s="5" t="n">
        <v>0</v>
      </c>
      <c r="X770" s="5" t="n">
        <v>1</v>
      </c>
      <c r="Y770" s="5" t="n">
        <v>15.393</v>
      </c>
      <c r="Z770" s="5" t="n">
        <v>2.08</v>
      </c>
      <c r="AA770" s="5" t="n">
        <v>0</v>
      </c>
      <c r="AB770" s="5" t="n">
        <v>15.393</v>
      </c>
      <c r="AC770" s="5" t="n">
        <v>0</v>
      </c>
      <c r="AD770" s="5" t="n">
        <v>1</v>
      </c>
      <c r="AE770" s="5" t="n">
        <v>16.536</v>
      </c>
      <c r="AF770" s="5" t="n">
        <v>3.867</v>
      </c>
      <c r="AG770" s="5" t="n">
        <v>0</v>
      </c>
      <c r="AH770" s="5" t="n">
        <v>16.536</v>
      </c>
      <c r="AI770" s="5" t="n">
        <v>0</v>
      </c>
      <c r="AJ770" s="5" t="n">
        <v>1</v>
      </c>
      <c r="AK770" s="5" t="n">
        <v>23.396</v>
      </c>
      <c r="AL770" s="5" t="n">
        <v>12.461</v>
      </c>
      <c r="AM770" s="5" t="n">
        <v>0</v>
      </c>
      <c r="AN770" s="5" t="n">
        <v>23.396</v>
      </c>
      <c r="AO770" s="5" t="n">
        <v>0</v>
      </c>
      <c r="AP770" s="5" t="n">
        <v>1</v>
      </c>
      <c r="AQ770" s="5" t="n">
        <v>0.619</v>
      </c>
      <c r="AR770" s="5" t="n">
        <v>0.114</v>
      </c>
      <c r="AS770" s="5" t="n">
        <v>0.8149999999999999</v>
      </c>
      <c r="AT770" s="5" t="n">
        <v>1.434</v>
      </c>
      <c r="AU770" s="5" t="n">
        <v>0</v>
      </c>
      <c r="AV770" s="5" t="n">
        <v>1</v>
      </c>
      <c r="AW770" s="5" t="n">
        <v>0.599</v>
      </c>
      <c r="AX770" s="5" t="n">
        <v>0.114</v>
      </c>
      <c r="AY770" s="5" t="n">
        <v>0.539</v>
      </c>
      <c r="AZ770" s="5" t="n">
        <v>1.138</v>
      </c>
      <c r="BA770" s="5" t="n">
        <v>0</v>
      </c>
      <c r="BB770" s="5" t="n">
        <v>1</v>
      </c>
      <c r="BC770" s="5" t="n">
        <v>0.439</v>
      </c>
      <c r="BD770" s="5" t="n">
        <v>0.114</v>
      </c>
      <c r="BE770" s="5" t="n">
        <v>0</v>
      </c>
      <c r="BF770" s="5" t="n">
        <v>0.439</v>
      </c>
      <c r="BG770" s="5" t="n">
        <v>0</v>
      </c>
      <c r="BH770" s="5" t="n">
        <v>1</v>
      </c>
      <c r="BI770" s="5" t="n">
        <v>0.505</v>
      </c>
      <c r="BJ770" s="5" t="n">
        <v>0.114</v>
      </c>
      <c r="BK770" s="5" t="n">
        <v>0.238</v>
      </c>
      <c r="BL770" s="5" t="n">
        <v>0.743</v>
      </c>
      <c r="BM770" s="5" t="n">
        <v>0</v>
      </c>
      <c r="BN770" s="5" t="n">
        <v>1</v>
      </c>
      <c r="BO770" s="5" t="n">
        <v>0</v>
      </c>
      <c r="BP770" s="5" t="n">
        <v>0</v>
      </c>
      <c r="BQ770" s="5" t="n">
        <v>0.166</v>
      </c>
      <c r="BR770" s="5" t="n">
        <v>0</v>
      </c>
      <c r="BS770" s="5" t="n">
        <v>0.833</v>
      </c>
      <c r="BT770" s="5" t="n">
        <v>0</v>
      </c>
      <c r="BU770" s="5" t="n">
        <v>0</v>
      </c>
      <c r="BV770" s="5" t="n">
        <v>0.118</v>
      </c>
      <c r="BW770" s="5" t="n">
        <v>0</v>
      </c>
      <c r="BX770" s="5" t="n">
        <v>0.833</v>
      </c>
      <c r="BY770" s="5" t="n">
        <v>11.787</v>
      </c>
      <c r="BZ770" s="5" t="n">
        <v>0</v>
      </c>
      <c r="CA770" s="5" t="n">
        <v>11.787</v>
      </c>
      <c r="CB770" s="5" t="n">
        <v>0</v>
      </c>
      <c r="CC770" s="5" t="n">
        <v>78.125</v>
      </c>
      <c r="CD770" s="5" t="n">
        <v>7.95</v>
      </c>
      <c r="CE770" s="5" t="n">
        <v>0</v>
      </c>
      <c r="CF770" s="5" t="n">
        <v>78.125</v>
      </c>
      <c r="CG770" s="5" t="n">
        <v>0</v>
      </c>
      <c r="CH770" s="5" t="n">
        <v>1</v>
      </c>
      <c r="CI770" s="5" t="n">
        <v>0</v>
      </c>
      <c r="CJ770" s="5" t="n">
        <v>0</v>
      </c>
      <c r="CK770" s="5" t="n">
        <v>0</v>
      </c>
      <c r="CL770" s="5" t="n">
        <v>0</v>
      </c>
      <c r="CM770" s="5" t="n">
        <v>0</v>
      </c>
      <c r="CN770" s="5" t="n">
        <v>0</v>
      </c>
      <c r="CO770" s="5" t="n">
        <v>0</v>
      </c>
      <c r="CP770" s="5" t="n">
        <v>0</v>
      </c>
      <c r="CQ770" s="5" t="n">
        <v>1.198</v>
      </c>
      <c r="CR770" s="5" t="n">
        <v>0</v>
      </c>
      <c r="CS770" s="5" t="n">
        <v>4.776</v>
      </c>
      <c r="CT770" s="5" t="n">
        <v>4.753</v>
      </c>
      <c r="CU770" s="5" t="n">
        <v>15.162</v>
      </c>
    </row>
    <row r="771">
      <c r="A771" s="5" t="inlineStr">
        <is>
          <t>STP2022</t>
        </is>
      </c>
      <c r="B771" s="5" t="inlineStr">
        <is>
          <t>STP</t>
        </is>
      </c>
      <c r="C771" s="5" t="inlineStr">
        <is>
          <t>STP</t>
        </is>
      </c>
      <c r="D771" s="5" t="inlineStr">
        <is>
          <t>São Tomé and Príncipe</t>
        </is>
      </c>
      <c r="E771" s="5" t="n">
        <v>2022</v>
      </c>
      <c r="F771" s="5" t="n">
        <v>0</v>
      </c>
      <c r="G771" s="5" t="n">
        <v>11.72</v>
      </c>
      <c r="H771" s="5" t="n">
        <v>1.235</v>
      </c>
      <c r="I771" s="5" t="n">
        <v>0</v>
      </c>
      <c r="J771" s="5" t="n">
        <v>11.72</v>
      </c>
      <c r="K771" s="5" t="n">
        <v>0</v>
      </c>
      <c r="L771" s="5" t="n">
        <v>1</v>
      </c>
      <c r="M771" s="5" t="n">
        <v>9.782999999999999</v>
      </c>
      <c r="N771" s="5" t="n">
        <v>3.704</v>
      </c>
      <c r="O771" s="5" t="n">
        <v>0</v>
      </c>
      <c r="P771" s="5" t="n">
        <v>9.782999999999999</v>
      </c>
      <c r="Q771" s="5" t="n">
        <v>0</v>
      </c>
      <c r="R771" s="5" t="n">
        <v>1</v>
      </c>
      <c r="S771" s="5" t="n">
        <v>17.893</v>
      </c>
      <c r="T771" s="5" t="n">
        <v>7.408</v>
      </c>
      <c r="U771" s="5" t="n">
        <v>0</v>
      </c>
      <c r="V771" s="5" t="n">
        <v>17.893</v>
      </c>
      <c r="W771" s="5" t="n">
        <v>0</v>
      </c>
      <c r="X771" s="5" t="n">
        <v>1</v>
      </c>
      <c r="Y771" s="5" t="n">
        <v>29.904</v>
      </c>
      <c r="Z771" s="5" t="n">
        <v>4.042</v>
      </c>
      <c r="AA771" s="5" t="n">
        <v>0</v>
      </c>
      <c r="AB771" s="5" t="n">
        <v>29.904</v>
      </c>
      <c r="AC771" s="5" t="n">
        <v>0</v>
      </c>
      <c r="AD771" s="5" t="n">
        <v>1</v>
      </c>
      <c r="AE771" s="5" t="n">
        <v>31.139</v>
      </c>
      <c r="AF771" s="5" t="n">
        <v>7.281</v>
      </c>
      <c r="AG771" s="5" t="n">
        <v>0</v>
      </c>
      <c r="AH771" s="5" t="n">
        <v>31.139</v>
      </c>
      <c r="AI771" s="5" t="n">
        <v>0</v>
      </c>
      <c r="AJ771" s="5" t="n">
        <v>1</v>
      </c>
      <c r="AK771" s="5" t="n">
        <v>38.547</v>
      </c>
      <c r="AL771" s="5" t="n">
        <v>20.53</v>
      </c>
      <c r="AM771" s="5" t="n">
        <v>0</v>
      </c>
      <c r="AN771" s="5" t="n">
        <v>38.547</v>
      </c>
      <c r="AO771" s="5" t="n">
        <v>0</v>
      </c>
      <c r="AP771" s="5" t="n">
        <v>1</v>
      </c>
      <c r="AQ771" s="5" t="n">
        <v>0.861</v>
      </c>
      <c r="AR771" s="5" t="n">
        <v>0.123</v>
      </c>
      <c r="AS771" s="5" t="n">
        <v>0.88</v>
      </c>
      <c r="AT771" s="5" t="n">
        <v>1.741</v>
      </c>
      <c r="AU771" s="5" t="n">
        <v>0</v>
      </c>
      <c r="AV771" s="5" t="n">
        <v>1</v>
      </c>
      <c r="AW771" s="5" t="n">
        <v>0.986</v>
      </c>
      <c r="AX771" s="5" t="n">
        <v>0.123</v>
      </c>
      <c r="AY771" s="5" t="n">
        <v>0.488</v>
      </c>
      <c r="AZ771" s="5" t="n">
        <v>1.475</v>
      </c>
      <c r="BA771" s="5" t="n">
        <v>0</v>
      </c>
      <c r="BB771" s="5" t="n">
        <v>1</v>
      </c>
      <c r="BC771" s="5" t="n">
        <v>0.598</v>
      </c>
      <c r="BD771" s="5" t="n">
        <v>0.123</v>
      </c>
      <c r="BE771" s="5" t="n">
        <v>0</v>
      </c>
      <c r="BF771" s="5" t="n">
        <v>0.598</v>
      </c>
      <c r="BG771" s="5" t="n">
        <v>0</v>
      </c>
      <c r="BH771" s="5" t="n">
        <v>1</v>
      </c>
      <c r="BI771" s="5" t="n">
        <v>0.612</v>
      </c>
      <c r="BJ771" s="5" t="n">
        <v>0.123</v>
      </c>
      <c r="BK771" s="5" t="n">
        <v>0.23</v>
      </c>
      <c r="BL771" s="5" t="n">
        <v>0.843</v>
      </c>
      <c r="BM771" s="5" t="n">
        <v>0</v>
      </c>
      <c r="BN771" s="5" t="n">
        <v>1</v>
      </c>
      <c r="BO771" s="5" t="n">
        <v>0</v>
      </c>
      <c r="BP771" s="5" t="n">
        <v>0</v>
      </c>
      <c r="BQ771" s="5" t="n">
        <v>0.147</v>
      </c>
      <c r="BR771" s="5" t="n">
        <v>0</v>
      </c>
      <c r="BS771" s="5" t="n">
        <v>0.833</v>
      </c>
      <c r="BT771" s="5" t="n">
        <v>0</v>
      </c>
      <c r="BU771" s="5" t="n">
        <v>0</v>
      </c>
      <c r="BV771" s="5" t="n">
        <v>0.105</v>
      </c>
      <c r="BW771" s="5" t="n">
        <v>0</v>
      </c>
      <c r="BX771" s="5" t="n">
        <v>0.833</v>
      </c>
      <c r="BY771" s="5" t="n">
        <v>12.729</v>
      </c>
      <c r="BZ771" s="5" t="n">
        <v>0</v>
      </c>
      <c r="CA771" s="5" t="n">
        <v>12.729</v>
      </c>
      <c r="CB771" s="5" t="n">
        <v>0</v>
      </c>
      <c r="CC771" s="5" t="n">
        <v>97.90000000000001</v>
      </c>
      <c r="CD771" s="5" t="n">
        <v>7.95</v>
      </c>
      <c r="CE771" s="5" t="n">
        <v>0</v>
      </c>
      <c r="CF771" s="5" t="n">
        <v>97.90000000000001</v>
      </c>
      <c r="CG771" s="5" t="n">
        <v>0</v>
      </c>
      <c r="CH771" s="5" t="n">
        <v>1</v>
      </c>
      <c r="CI771" s="5" t="n">
        <v>0</v>
      </c>
      <c r="CJ771" s="5" t="n">
        <v>0</v>
      </c>
      <c r="CK771" s="5" t="n">
        <v>0</v>
      </c>
      <c r="CL771" s="5" t="n">
        <v>0</v>
      </c>
      <c r="CM771" s="5" t="n">
        <v>0</v>
      </c>
      <c r="CN771" s="5" t="n">
        <v>0</v>
      </c>
      <c r="CO771" s="5" t="n">
        <v>0</v>
      </c>
      <c r="CP771" s="5" t="n">
        <v>0</v>
      </c>
      <c r="CQ771" s="5" t="n">
        <v>1.294</v>
      </c>
      <c r="CR771" s="5" t="n">
        <v>0</v>
      </c>
      <c r="CS771" s="5" t="n">
        <v>5.158</v>
      </c>
      <c r="CT771" s="5" t="n">
        <v>10.485</v>
      </c>
      <c r="CU771" s="5" t="n">
        <v>31.326</v>
      </c>
    </row>
    <row r="772">
      <c r="A772" s="5" t="inlineStr">
        <is>
          <t>STP2023</t>
        </is>
      </c>
      <c r="B772" s="5" t="inlineStr">
        <is>
          <t>STP</t>
        </is>
      </c>
      <c r="C772" s="5" t="inlineStr">
        <is>
          <t>STP</t>
        </is>
      </c>
      <c r="D772" s="5" t="inlineStr">
        <is>
          <t>São Tomé and Príncipe</t>
        </is>
      </c>
      <c r="E772" s="5" t="n">
        <v>2023</v>
      </c>
      <c r="F772" s="5" t="n">
        <v>0</v>
      </c>
      <c r="G772" s="5" t="n">
        <v>6.147</v>
      </c>
      <c r="H772" s="5" t="n">
        <v>1.286</v>
      </c>
      <c r="I772" s="5" t="n">
        <v>0</v>
      </c>
      <c r="J772" s="5" t="n">
        <v>6.147</v>
      </c>
      <c r="K772" s="5" t="n">
        <v>0</v>
      </c>
      <c r="L772" s="5" t="n">
        <v>1</v>
      </c>
      <c r="M772" s="5" t="n">
        <v>7.886</v>
      </c>
      <c r="N772" s="5" t="n">
        <v>3.857</v>
      </c>
      <c r="O772" s="5" t="n">
        <v>0</v>
      </c>
      <c r="P772" s="5" t="n">
        <v>7.886</v>
      </c>
      <c r="Q772" s="5" t="n">
        <v>0</v>
      </c>
      <c r="R772" s="5" t="n">
        <v>1</v>
      </c>
      <c r="S772" s="5" t="n">
        <v>12.575</v>
      </c>
      <c r="T772" s="5" t="n">
        <v>7.714</v>
      </c>
      <c r="U772" s="5" t="n">
        <v>0</v>
      </c>
      <c r="V772" s="5" t="n">
        <v>12.575</v>
      </c>
      <c r="W772" s="5" t="n">
        <v>0</v>
      </c>
      <c r="X772" s="5" t="n">
        <v>1</v>
      </c>
      <c r="Y772" s="5" t="n">
        <v>12.273</v>
      </c>
      <c r="Z772" s="5" t="n">
        <v>1.659</v>
      </c>
      <c r="AA772" s="5" t="n">
        <v>0</v>
      </c>
      <c r="AB772" s="5" t="n">
        <v>12.273</v>
      </c>
      <c r="AC772" s="5" t="n">
        <v>0</v>
      </c>
      <c r="AD772" s="5" t="n">
        <v>1</v>
      </c>
      <c r="AE772" s="5" t="n">
        <v>13.559</v>
      </c>
      <c r="AF772" s="5" t="n">
        <v>3.171</v>
      </c>
      <c r="AG772" s="5" t="n">
        <v>0</v>
      </c>
      <c r="AH772" s="5" t="n">
        <v>13.559</v>
      </c>
      <c r="AI772" s="5" t="n">
        <v>0</v>
      </c>
      <c r="AJ772" s="5" t="n">
        <v>1</v>
      </c>
      <c r="AK772" s="5" t="n">
        <v>21.273</v>
      </c>
      <c r="AL772" s="5" t="n">
        <v>11.33</v>
      </c>
      <c r="AM772" s="5" t="n">
        <v>0</v>
      </c>
      <c r="AN772" s="5" t="n">
        <v>21.273</v>
      </c>
      <c r="AO772" s="5" t="n">
        <v>0</v>
      </c>
      <c r="AP772" s="5" t="n">
        <v>1</v>
      </c>
      <c r="AQ772" s="5" t="n">
        <v>0.76</v>
      </c>
      <c r="AR772" s="5" t="n">
        <v>0.129</v>
      </c>
      <c r="AS772" s="5" t="n">
        <v>0.916</v>
      </c>
      <c r="AT772" s="5" t="n">
        <v>1.676</v>
      </c>
      <c r="AU772" s="5" t="n">
        <v>0</v>
      </c>
      <c r="AV772" s="5" t="n">
        <v>1</v>
      </c>
      <c r="AW772" s="5" t="n">
        <v>0.8110000000000001</v>
      </c>
      <c r="AX772" s="5" t="n">
        <v>0.129</v>
      </c>
      <c r="AY772" s="5" t="n">
        <v>0.5679999999999999</v>
      </c>
      <c r="AZ772" s="5" t="n">
        <v>1.38</v>
      </c>
      <c r="BA772" s="5" t="n">
        <v>0</v>
      </c>
      <c r="BB772" s="5" t="n">
        <v>1</v>
      </c>
      <c r="BC772" s="5" t="n">
        <v>0.535</v>
      </c>
      <c r="BD772" s="5" t="n">
        <v>0.129</v>
      </c>
      <c r="BE772" s="5" t="n">
        <v>0</v>
      </c>
      <c r="BF772" s="5" t="n">
        <v>0.535</v>
      </c>
      <c r="BG772" s="5" t="n">
        <v>0</v>
      </c>
      <c r="BH772" s="5" t="n">
        <v>1</v>
      </c>
      <c r="BI772" s="5" t="n">
        <v>0.579</v>
      </c>
      <c r="BJ772" s="5" t="n">
        <v>0.129</v>
      </c>
      <c r="BK772" s="5" t="n">
        <v>0.263</v>
      </c>
      <c r="BL772" s="5" t="n">
        <v>0.842</v>
      </c>
      <c r="BM772" s="5" t="n">
        <v>0</v>
      </c>
      <c r="BN772" s="5" t="n">
        <v>1</v>
      </c>
      <c r="BO772" s="5" t="n">
        <v>0</v>
      </c>
      <c r="BP772" s="5" t="n">
        <v>0</v>
      </c>
      <c r="BQ772" s="5" t="n">
        <v>0.151</v>
      </c>
      <c r="BR772" s="5" t="n">
        <v>0</v>
      </c>
      <c r="BS772" s="5" t="n">
        <v>0.833</v>
      </c>
      <c r="BT772" s="5" t="n">
        <v>0</v>
      </c>
      <c r="BU772" s="5" t="n">
        <v>0</v>
      </c>
      <c r="BV772" s="5" t="n">
        <v>0.108</v>
      </c>
      <c r="BW772" s="5" t="n">
        <v>0</v>
      </c>
      <c r="BX772" s="5" t="n">
        <v>0.833</v>
      </c>
      <c r="BY772" s="5" t="n">
        <v>13.254</v>
      </c>
      <c r="BZ772" s="5" t="n">
        <v>0</v>
      </c>
      <c r="CA772" s="5" t="n">
        <v>13.254</v>
      </c>
      <c r="CB772" s="5" t="n">
        <v>0</v>
      </c>
      <c r="CC772" s="5" t="n">
        <v>83.248</v>
      </c>
      <c r="CD772" s="5" t="n">
        <v>7.95</v>
      </c>
      <c r="CE772" s="5" t="n">
        <v>0</v>
      </c>
      <c r="CF772" s="5" t="n">
        <v>83.248</v>
      </c>
      <c r="CG772" s="5" t="n">
        <v>0</v>
      </c>
      <c r="CH772" s="5" t="n">
        <v>1</v>
      </c>
      <c r="CI772" s="5" t="n">
        <v>0</v>
      </c>
      <c r="CJ772" s="5" t="n">
        <v>0</v>
      </c>
      <c r="CK772" s="5" t="n">
        <v>0</v>
      </c>
      <c r="CL772" s="5" t="n">
        <v>0</v>
      </c>
      <c r="CM772" s="5" t="n">
        <v>0</v>
      </c>
      <c r="CN772" s="5" t="n">
        <v>0</v>
      </c>
      <c r="CO772" s="5" t="n">
        <v>0</v>
      </c>
      <c r="CP772" s="5" t="n">
        <v>0</v>
      </c>
      <c r="CQ772" s="5" t="n">
        <v>1.348</v>
      </c>
      <c r="CR772" s="5" t="n">
        <v>0</v>
      </c>
      <c r="CS772" s="5" t="n">
        <v>5.37</v>
      </c>
      <c r="CT772" s="5" t="n">
        <v>4.861</v>
      </c>
      <c r="CU772" s="5" t="n">
        <v>11.622</v>
      </c>
    </row>
    <row r="773">
      <c r="A773" s="5" t="inlineStr">
        <is>
          <t>STP2024</t>
        </is>
      </c>
      <c r="B773" s="5" t="inlineStr">
        <is>
          <t>STP</t>
        </is>
      </c>
      <c r="C773" s="5" t="inlineStr">
        <is>
          <t>STP</t>
        </is>
      </c>
      <c r="D773" s="5" t="inlineStr">
        <is>
          <t>São Tomé and Príncipe</t>
        </is>
      </c>
      <c r="E773" s="5" t="n">
        <v>2024</v>
      </c>
      <c r="F773" s="5" t="n">
        <v>0</v>
      </c>
      <c r="G773" s="5" t="n">
        <v>5.575</v>
      </c>
      <c r="H773" s="5" t="n">
        <v>1.324</v>
      </c>
      <c r="I773" s="5" t="n">
        <v>0</v>
      </c>
      <c r="J773" s="5" t="n">
        <v>5.575</v>
      </c>
      <c r="K773" s="5" t="n">
        <v>0</v>
      </c>
      <c r="L773" s="5" t="n">
        <v>1</v>
      </c>
      <c r="M773" s="5" t="n">
        <v>7.124</v>
      </c>
      <c r="N773" s="5" t="n">
        <v>3.971</v>
      </c>
      <c r="O773" s="5" t="n">
        <v>0</v>
      </c>
      <c r="P773" s="5" t="n">
        <v>7.124</v>
      </c>
      <c r="Q773" s="5" t="n">
        <v>0</v>
      </c>
      <c r="R773" s="5" t="n">
        <v>1</v>
      </c>
      <c r="S773" s="5" t="n">
        <v>12.193</v>
      </c>
      <c r="T773" s="5" t="n">
        <v>7.942</v>
      </c>
      <c r="U773" s="5" t="n">
        <v>0</v>
      </c>
      <c r="V773" s="5" t="n">
        <v>12.193</v>
      </c>
      <c r="W773" s="5" t="n">
        <v>0</v>
      </c>
      <c r="X773" s="5" t="n">
        <v>1</v>
      </c>
      <c r="Y773" s="5" t="n">
        <v>11.021</v>
      </c>
      <c r="Z773" s="5" t="n">
        <v>1.49</v>
      </c>
      <c r="AA773" s="5" t="n">
        <v>0</v>
      </c>
      <c r="AB773" s="5" t="n">
        <v>11.021</v>
      </c>
      <c r="AC773" s="5" t="n">
        <v>0</v>
      </c>
      <c r="AD773" s="5" t="n">
        <v>1</v>
      </c>
      <c r="AE773" s="5" t="n">
        <v>12.345</v>
      </c>
      <c r="AF773" s="5" t="n">
        <v>2.887</v>
      </c>
      <c r="AG773" s="5" t="n">
        <v>0</v>
      </c>
      <c r="AH773" s="5" t="n">
        <v>12.345</v>
      </c>
      <c r="AI773" s="5" t="n">
        <v>0</v>
      </c>
      <c r="AJ773" s="5" t="n">
        <v>1</v>
      </c>
      <c r="AK773" s="5" t="n">
        <v>20.286</v>
      </c>
      <c r="AL773" s="5" t="n">
        <v>10.804</v>
      </c>
      <c r="AM773" s="5" t="n">
        <v>0</v>
      </c>
      <c r="AN773" s="5" t="n">
        <v>20.286</v>
      </c>
      <c r="AO773" s="5" t="n">
        <v>0</v>
      </c>
      <c r="AP773" s="5" t="n">
        <v>1</v>
      </c>
      <c r="AQ773" s="5" t="n">
        <v>0.724</v>
      </c>
      <c r="AR773" s="5" t="n">
        <v>0.132</v>
      </c>
      <c r="AS773" s="5" t="n">
        <v>0.9429999999999999</v>
      </c>
      <c r="AT773" s="5" t="n">
        <v>1.667</v>
      </c>
      <c r="AU773" s="5" t="n">
        <v>0</v>
      </c>
      <c r="AV773" s="5" t="n">
        <v>1</v>
      </c>
      <c r="AW773" s="5" t="n">
        <v>0.75</v>
      </c>
      <c r="AX773" s="5" t="n">
        <v>0.132</v>
      </c>
      <c r="AY773" s="5" t="n">
        <v>0.608</v>
      </c>
      <c r="AZ773" s="5" t="n">
        <v>1.359</v>
      </c>
      <c r="BA773" s="5" t="n">
        <v>0</v>
      </c>
      <c r="BB773" s="5" t="n">
        <v>1</v>
      </c>
      <c r="BC773" s="5" t="n">
        <v>0.513</v>
      </c>
      <c r="BD773" s="5" t="n">
        <v>0.132</v>
      </c>
      <c r="BE773" s="5" t="n">
        <v>0</v>
      </c>
      <c r="BF773" s="5" t="n">
        <v>0.513</v>
      </c>
      <c r="BG773" s="5" t="n">
        <v>0</v>
      </c>
      <c r="BH773" s="5" t="n">
        <v>1</v>
      </c>
      <c r="BI773" s="5" t="n">
        <v>0.591</v>
      </c>
      <c r="BJ773" s="5" t="n">
        <v>0.132</v>
      </c>
      <c r="BK773" s="5" t="n">
        <v>0.273</v>
      </c>
      <c r="BL773" s="5" t="n">
        <v>0.864</v>
      </c>
      <c r="BM773" s="5" t="n">
        <v>0</v>
      </c>
      <c r="BN773" s="5" t="n">
        <v>1</v>
      </c>
      <c r="BO773" s="5" t="n">
        <v>0</v>
      </c>
      <c r="BP773" s="5" t="n">
        <v>0</v>
      </c>
      <c r="BQ773" s="5" t="n">
        <v>0.151</v>
      </c>
      <c r="BR773" s="5" t="n">
        <v>0</v>
      </c>
      <c r="BS773" s="5" t="n">
        <v>0.833</v>
      </c>
      <c r="BT773" s="5" t="n">
        <v>0</v>
      </c>
      <c r="BU773" s="5" t="n">
        <v>0</v>
      </c>
      <c r="BV773" s="5" t="n">
        <v>0.108</v>
      </c>
      <c r="BW773" s="5" t="n">
        <v>0</v>
      </c>
      <c r="BX773" s="5" t="n">
        <v>0.833</v>
      </c>
      <c r="BY773" s="5" t="n">
        <v>13.646</v>
      </c>
      <c r="BZ773" s="5" t="n">
        <v>0</v>
      </c>
      <c r="CA773" s="5" t="n">
        <v>13.646</v>
      </c>
      <c r="CB773" s="5" t="n">
        <v>0</v>
      </c>
      <c r="CC773" s="5" t="n">
        <v>82.58799999999999</v>
      </c>
      <c r="CD773" s="5" t="n">
        <v>7.95</v>
      </c>
      <c r="CE773" s="5" t="n">
        <v>0</v>
      </c>
      <c r="CF773" s="5" t="n">
        <v>82.58799999999999</v>
      </c>
      <c r="CG773" s="5" t="n">
        <v>0</v>
      </c>
      <c r="CH773" s="5" t="n">
        <v>1</v>
      </c>
      <c r="CI773" s="5" t="n">
        <v>0</v>
      </c>
      <c r="CJ773" s="5" t="n">
        <v>0</v>
      </c>
      <c r="CK773" s="5" t="n">
        <v>0</v>
      </c>
      <c r="CL773" s="5" t="n">
        <v>0</v>
      </c>
      <c r="CM773" s="5" t="n">
        <v>0</v>
      </c>
      <c r="CN773" s="5" t="n">
        <v>0</v>
      </c>
      <c r="CO773" s="5" t="n">
        <v>0</v>
      </c>
      <c r="CP773" s="5" t="n">
        <v>0</v>
      </c>
      <c r="CQ773" s="5" t="n">
        <v>1.387</v>
      </c>
      <c r="CR773" s="5" t="n">
        <v>0</v>
      </c>
      <c r="CS773" s="5" t="n">
        <v>5.529</v>
      </c>
      <c r="CT773" s="5" t="n">
        <v>4.251</v>
      </c>
      <c r="CU773" s="5" t="n">
        <v>10.168</v>
      </c>
    </row>
    <row r="774">
      <c r="A774" s="5" t="inlineStr">
        <is>
          <t>TWN2021</t>
        </is>
      </c>
      <c r="B774" s="5" t="inlineStr">
        <is>
          <t>TWN</t>
        </is>
      </c>
      <c r="C774" s="5" t="inlineStr">
        <is>
          <t>TWN</t>
        </is>
      </c>
      <c r="D774" s="5" t="inlineStr">
        <is>
          <t>Taiwan Province of China</t>
        </is>
      </c>
      <c r="E774" s="5" t="n">
        <v>2021</v>
      </c>
      <c r="F774" s="5" t="n">
        <v>0.05</v>
      </c>
      <c r="G774" s="5" t="n">
        <v>5.74</v>
      </c>
      <c r="H774" s="5" t="n">
        <v>1.143</v>
      </c>
      <c r="I774" s="5" t="n">
        <v>-0.287</v>
      </c>
      <c r="J774" s="5" t="n">
        <v>5.453</v>
      </c>
      <c r="K774" s="5" t="n">
        <v>0</v>
      </c>
      <c r="L774" s="5" t="n">
        <v>1</v>
      </c>
      <c r="M774" s="5" t="n">
        <v>9.509</v>
      </c>
      <c r="N774" s="5" t="n">
        <v>3.43</v>
      </c>
      <c r="O774" s="5" t="n">
        <v>-0.257</v>
      </c>
      <c r="P774" s="5" t="n">
        <v>9.252000000000001</v>
      </c>
      <c r="Q774" s="5" t="n">
        <v>0</v>
      </c>
      <c r="R774" s="5" t="n">
        <v>1</v>
      </c>
      <c r="S774" s="5" t="n">
        <v>11.456</v>
      </c>
      <c r="T774" s="5" t="n">
        <v>6.86</v>
      </c>
      <c r="U774" s="5" t="n">
        <v>-0.287</v>
      </c>
      <c r="V774" s="5" t="n">
        <v>11.728</v>
      </c>
      <c r="W774" s="5" t="n">
        <v>0.05</v>
      </c>
      <c r="X774" s="5" t="n">
        <v>1</v>
      </c>
      <c r="Y774" s="5" t="n">
        <v>13.238</v>
      </c>
      <c r="Z774" s="5" t="n">
        <v>1.462</v>
      </c>
      <c r="AA774" s="5" t="n">
        <v>-5.041</v>
      </c>
      <c r="AB774" s="5" t="n">
        <v>8.196999999999999</v>
      </c>
      <c r="AC774" s="5" t="n">
        <v>0</v>
      </c>
      <c r="AD774" s="5" t="n">
        <v>1</v>
      </c>
      <c r="AE774" s="5" t="n">
        <v>10</v>
      </c>
      <c r="AF774" s="5" t="n">
        <v>1.968</v>
      </c>
      <c r="AG774" s="5" t="n">
        <v>-2.298</v>
      </c>
      <c r="AH774" s="5" t="n">
        <v>7.702</v>
      </c>
      <c r="AI774" s="5" t="n">
        <v>0</v>
      </c>
      <c r="AJ774" s="5" t="n">
        <v>1</v>
      </c>
      <c r="AK774" s="5" t="n">
        <v>14.207</v>
      </c>
      <c r="AL774" s="5" t="n">
        <v>6.973</v>
      </c>
      <c r="AM774" s="5" t="n">
        <v>-5.862</v>
      </c>
      <c r="AN774" s="5" t="n">
        <v>8.762</v>
      </c>
      <c r="AO774" s="5" t="n">
        <v>0</v>
      </c>
      <c r="AP774" s="5" t="n">
        <v>0</v>
      </c>
      <c r="AQ774" s="5" t="n">
        <v>0.621</v>
      </c>
      <c r="AR774" s="5" t="n">
        <v>0.114</v>
      </c>
      <c r="AS774" s="5" t="n">
        <v>0.361</v>
      </c>
      <c r="AT774" s="5" t="n">
        <v>1.03</v>
      </c>
      <c r="AU774" s="5" t="n">
        <v>0.05</v>
      </c>
      <c r="AV774" s="5" t="n">
        <v>1</v>
      </c>
      <c r="AW774" s="5" t="n">
        <v>0.593</v>
      </c>
      <c r="AX774" s="5" t="n">
        <v>0.114</v>
      </c>
      <c r="AY774" s="5" t="n">
        <v>0.249</v>
      </c>
      <c r="AZ774" s="5" t="n">
        <v>0.885</v>
      </c>
      <c r="BA774" s="5" t="n">
        <v>0.05</v>
      </c>
      <c r="BB774" s="5" t="n">
        <v>1</v>
      </c>
      <c r="BC774" s="5" t="n">
        <v>0.44</v>
      </c>
      <c r="BD774" s="5" t="n">
        <v>0.114</v>
      </c>
      <c r="BE774" s="5" t="n">
        <v>0.056</v>
      </c>
      <c r="BF774" s="5" t="n">
        <v>0.521</v>
      </c>
      <c r="BG774" s="5" t="n">
        <v>0.05</v>
      </c>
      <c r="BH774" s="5" t="n">
        <v>0</v>
      </c>
      <c r="BI774" s="5" t="n">
        <v>0.5600000000000001</v>
      </c>
      <c r="BJ774" s="5" t="n">
        <v>0.114</v>
      </c>
      <c r="BK774" s="5" t="n">
        <v>0.5679999999999999</v>
      </c>
      <c r="BL774" s="5" t="n">
        <v>1.184</v>
      </c>
      <c r="BM774" s="5" t="n">
        <v>0.05</v>
      </c>
      <c r="BN774" s="5" t="n">
        <v>1</v>
      </c>
      <c r="BO774" s="5" t="n">
        <v>0</v>
      </c>
      <c r="BP774" s="5" t="n">
        <v>-0.006</v>
      </c>
      <c r="BQ774" s="5" t="n">
        <v>0.091</v>
      </c>
      <c r="BR774" s="5" t="n">
        <v>0</v>
      </c>
      <c r="BS774" s="5" t="n">
        <v>0.667</v>
      </c>
      <c r="BT774" s="5" t="n">
        <v>0</v>
      </c>
      <c r="BU774" s="5" t="n">
        <v>-0.006</v>
      </c>
      <c r="BV774" s="5" t="n">
        <v>0.09</v>
      </c>
      <c r="BW774" s="5" t="n">
        <v>0.05</v>
      </c>
      <c r="BX774" s="5" t="n">
        <v>0.833</v>
      </c>
      <c r="BY774" s="5" t="n">
        <v>11.787</v>
      </c>
      <c r="BZ774" s="5" t="n">
        <v>0</v>
      </c>
      <c r="CA774" s="5" t="n">
        <v>11.787</v>
      </c>
      <c r="CB774" s="5" t="n">
        <v>0</v>
      </c>
      <c r="CC774" s="5" t="n">
        <v>81.69499999999999</v>
      </c>
      <c r="CD774" s="5" t="n">
        <v>7.95</v>
      </c>
      <c r="CE774" s="5" t="n">
        <v>-3.178</v>
      </c>
      <c r="CF774" s="5" t="n">
        <v>82.444</v>
      </c>
      <c r="CG774" s="5" t="n">
        <v>0.05</v>
      </c>
      <c r="CH774" s="5" t="n">
        <v>1</v>
      </c>
      <c r="CI774" s="5" t="n">
        <v>0</v>
      </c>
      <c r="CJ774" s="5" t="n">
        <v>0</v>
      </c>
      <c r="CK774" s="5" t="n">
        <v>0</v>
      </c>
      <c r="CL774" s="5" t="n">
        <v>0</v>
      </c>
      <c r="CM774" s="5" t="n">
        <v>0</v>
      </c>
      <c r="CN774" s="5" t="n">
        <v>0</v>
      </c>
      <c r="CO774" s="5" t="n">
        <v>0</v>
      </c>
      <c r="CP774" s="5" t="n">
        <v>0</v>
      </c>
      <c r="CQ774" s="5" t="n">
        <v>1.198</v>
      </c>
      <c r="CR774" s="5" t="n">
        <v>0</v>
      </c>
      <c r="CS774" s="5" t="n">
        <v>6.576</v>
      </c>
      <c r="CT774" s="5" t="n">
        <v>4.597</v>
      </c>
      <c r="CU774" s="5" t="n">
        <v>12.71</v>
      </c>
    </row>
    <row r="775">
      <c r="A775" s="5" t="inlineStr">
        <is>
          <t>TWN2022</t>
        </is>
      </c>
      <c r="B775" s="5" t="inlineStr">
        <is>
          <t>TWN</t>
        </is>
      </c>
      <c r="C775" s="5" t="inlineStr">
        <is>
          <t>TWN</t>
        </is>
      </c>
      <c r="D775" s="5" t="inlineStr">
        <is>
          <t>Taiwan Province of China</t>
        </is>
      </c>
      <c r="E775" s="5" t="n">
        <v>2022</v>
      </c>
      <c r="F775" s="5" t="n">
        <v>0.05</v>
      </c>
      <c r="G775" s="5" t="n">
        <v>11.661</v>
      </c>
      <c r="H775" s="5" t="n">
        <v>1.235</v>
      </c>
      <c r="I775" s="5" t="n">
        <v>-1.919</v>
      </c>
      <c r="J775" s="5" t="n">
        <v>9.742000000000001</v>
      </c>
      <c r="K775" s="5" t="n">
        <v>0</v>
      </c>
      <c r="L775" s="5" t="n">
        <v>1</v>
      </c>
      <c r="M775" s="5" t="n">
        <v>13.326</v>
      </c>
      <c r="N775" s="5" t="n">
        <v>3.704</v>
      </c>
      <c r="O775" s="5" t="n">
        <v>-1.867</v>
      </c>
      <c r="P775" s="5" t="n">
        <v>11.459</v>
      </c>
      <c r="Q775" s="5" t="n">
        <v>0</v>
      </c>
      <c r="R775" s="5" t="n">
        <v>1</v>
      </c>
      <c r="S775" s="5" t="n">
        <v>17.834</v>
      </c>
      <c r="T775" s="5" t="n">
        <v>7.408</v>
      </c>
      <c r="U775" s="5" t="n">
        <v>-1.86</v>
      </c>
      <c r="V775" s="5" t="n">
        <v>16.711</v>
      </c>
      <c r="W775" s="5" t="n">
        <v>0.05</v>
      </c>
      <c r="X775" s="5" t="n">
        <v>1</v>
      </c>
      <c r="Y775" s="5" t="n">
        <v>22.485</v>
      </c>
      <c r="Z775" s="5" t="n">
        <v>2.359</v>
      </c>
      <c r="AA775" s="5" t="n">
        <v>-7.48</v>
      </c>
      <c r="AB775" s="5" t="n">
        <v>15.005</v>
      </c>
      <c r="AC775" s="5" t="n">
        <v>0</v>
      </c>
      <c r="AD775" s="5" t="n">
        <v>1</v>
      </c>
      <c r="AE775" s="5" t="n">
        <v>19.339</v>
      </c>
      <c r="AF775" s="5" t="n">
        <v>3.585</v>
      </c>
      <c r="AG775" s="5" t="n">
        <v>-11.958</v>
      </c>
      <c r="AH775" s="5" t="n">
        <v>7.381</v>
      </c>
      <c r="AI775" s="5" t="n">
        <v>0</v>
      </c>
      <c r="AJ775" s="5" t="n">
        <v>1</v>
      </c>
      <c r="AK775" s="5" t="n">
        <v>24.094</v>
      </c>
      <c r="AL775" s="5" t="n">
        <v>11.506</v>
      </c>
      <c r="AM775" s="5" t="n">
        <v>-16.115</v>
      </c>
      <c r="AN775" s="5" t="n">
        <v>8.378</v>
      </c>
      <c r="AO775" s="5" t="n">
        <v>0</v>
      </c>
      <c r="AP775" s="5" t="n">
        <v>0</v>
      </c>
      <c r="AQ775" s="5" t="n">
        <v>0.847</v>
      </c>
      <c r="AR775" s="5" t="n">
        <v>0.123</v>
      </c>
      <c r="AS775" s="5" t="n">
        <v>0.15</v>
      </c>
      <c r="AT775" s="5" t="n">
        <v>1.047</v>
      </c>
      <c r="AU775" s="5" t="n">
        <v>0.05</v>
      </c>
      <c r="AV775" s="5" t="n">
        <v>1</v>
      </c>
      <c r="AW775" s="5" t="n">
        <v>0.947</v>
      </c>
      <c r="AX775" s="5" t="n">
        <v>0.123</v>
      </c>
      <c r="AY775" s="5" t="n">
        <v>-0.06900000000000001</v>
      </c>
      <c r="AZ775" s="5" t="n">
        <v>0.921</v>
      </c>
      <c r="BA775" s="5" t="n">
        <v>0.05</v>
      </c>
      <c r="BB775" s="5" t="n">
        <v>1</v>
      </c>
      <c r="BC775" s="5" t="n">
        <v>0.589</v>
      </c>
      <c r="BD775" s="5" t="n">
        <v>0.123</v>
      </c>
      <c r="BE775" s="5" t="n">
        <v>-0.122</v>
      </c>
      <c r="BF775" s="5" t="n">
        <v>0.49</v>
      </c>
      <c r="BG775" s="5" t="n">
        <v>0.05</v>
      </c>
      <c r="BH775" s="5" t="n">
        <v>0</v>
      </c>
      <c r="BI775" s="5" t="n">
        <v>0.6889999999999999</v>
      </c>
      <c r="BJ775" s="5" t="n">
        <v>0.123</v>
      </c>
      <c r="BK775" s="5" t="n">
        <v>0.909</v>
      </c>
      <c r="BL775" s="5" t="n">
        <v>1.678</v>
      </c>
      <c r="BM775" s="5" t="n">
        <v>0.05</v>
      </c>
      <c r="BN775" s="5" t="n">
        <v>1</v>
      </c>
      <c r="BO775" s="5" t="n">
        <v>0</v>
      </c>
      <c r="BP775" s="5" t="n">
        <v>-0.03</v>
      </c>
      <c r="BQ775" s="5" t="n">
        <v>0.091</v>
      </c>
      <c r="BR775" s="5" t="n">
        <v>0</v>
      </c>
      <c r="BS775" s="5" t="n">
        <v>0.667</v>
      </c>
      <c r="BT775" s="5" t="n">
        <v>0</v>
      </c>
      <c r="BU775" s="5" t="n">
        <v>-0.03</v>
      </c>
      <c r="BV775" s="5" t="n">
        <v>0.08599999999999999</v>
      </c>
      <c r="BW775" s="5" t="n">
        <v>0.05</v>
      </c>
      <c r="BX775" s="5" t="n">
        <v>0.833</v>
      </c>
      <c r="BY775" s="5" t="n">
        <v>12.729</v>
      </c>
      <c r="BZ775" s="5" t="n">
        <v>0</v>
      </c>
      <c r="CA775" s="5" t="n">
        <v>12.729</v>
      </c>
      <c r="CB775" s="5" t="n">
        <v>0</v>
      </c>
      <c r="CC775" s="5" t="n">
        <v>102.477</v>
      </c>
      <c r="CD775" s="5" t="n">
        <v>7.95</v>
      </c>
      <c r="CE775" s="5" t="n">
        <v>0.502</v>
      </c>
      <c r="CF775" s="5" t="n">
        <v>108.127</v>
      </c>
      <c r="CG775" s="5" t="n">
        <v>0.05</v>
      </c>
      <c r="CH775" s="5" t="n">
        <v>1</v>
      </c>
      <c r="CI775" s="5" t="n">
        <v>0</v>
      </c>
      <c r="CJ775" s="5" t="n">
        <v>0</v>
      </c>
      <c r="CK775" s="5" t="n">
        <v>0</v>
      </c>
      <c r="CL775" s="5" t="n">
        <v>0</v>
      </c>
      <c r="CM775" s="5" t="n">
        <v>0</v>
      </c>
      <c r="CN775" s="5" t="n">
        <v>0</v>
      </c>
      <c r="CO775" s="5" t="n">
        <v>0</v>
      </c>
      <c r="CP775" s="5" t="n">
        <v>0</v>
      </c>
      <c r="CQ775" s="5" t="n">
        <v>1.294</v>
      </c>
      <c r="CR775" s="5" t="n">
        <v>0</v>
      </c>
      <c r="CS775" s="5" t="n">
        <v>7.101</v>
      </c>
      <c r="CT775" s="5" t="n">
        <v>10.426</v>
      </c>
      <c r="CU775" s="5" t="n">
        <v>21.866</v>
      </c>
    </row>
    <row r="776">
      <c r="A776" s="5" t="inlineStr">
        <is>
          <t>TWN2023</t>
        </is>
      </c>
      <c r="B776" s="5" t="inlineStr">
        <is>
          <t>TWN</t>
        </is>
      </c>
      <c r="C776" s="5" t="inlineStr">
        <is>
          <t>TWN</t>
        </is>
      </c>
      <c r="D776" s="5" t="inlineStr">
        <is>
          <t>Taiwan Province of China</t>
        </is>
      </c>
      <c r="E776" s="5" t="n">
        <v>2023</v>
      </c>
      <c r="F776" s="5" t="n">
        <v>0.05</v>
      </c>
      <c r="G776" s="5" t="n">
        <v>8.884</v>
      </c>
      <c r="H776" s="5" t="n">
        <v>1.272</v>
      </c>
      <c r="I776" s="5" t="n">
        <v>-0.134</v>
      </c>
      <c r="J776" s="5" t="n">
        <v>8.75</v>
      </c>
      <c r="K776" s="5" t="n">
        <v>0</v>
      </c>
      <c r="L776" s="5" t="n">
        <v>1</v>
      </c>
      <c r="M776" s="5" t="n">
        <v>10.507</v>
      </c>
      <c r="N776" s="5" t="n">
        <v>3.817</v>
      </c>
      <c r="O776" s="5" t="n">
        <v>-0.096</v>
      </c>
      <c r="P776" s="5" t="n">
        <v>10.411</v>
      </c>
      <c r="Q776" s="5" t="n">
        <v>0</v>
      </c>
      <c r="R776" s="5" t="n">
        <v>1</v>
      </c>
      <c r="S776" s="5" t="n">
        <v>15.246</v>
      </c>
      <c r="T776" s="5" t="n">
        <v>7.634</v>
      </c>
      <c r="U776" s="5" t="n">
        <v>-0.05</v>
      </c>
      <c r="V776" s="5" t="n">
        <v>15.868</v>
      </c>
      <c r="W776" s="5" t="n">
        <v>0.05</v>
      </c>
      <c r="X776" s="5" t="n">
        <v>1</v>
      </c>
      <c r="Y776" s="5" t="n">
        <v>14.584</v>
      </c>
      <c r="Z776" s="5" t="n">
        <v>1.634</v>
      </c>
      <c r="AA776" s="5" t="n">
        <v>1.219</v>
      </c>
      <c r="AB776" s="5" t="n">
        <v>15.803</v>
      </c>
      <c r="AC776" s="5" t="n">
        <v>0</v>
      </c>
      <c r="AD776" s="5" t="n">
        <v>1</v>
      </c>
      <c r="AE776" s="5" t="n">
        <v>11.489</v>
      </c>
      <c r="AF776" s="5" t="n">
        <v>2.288</v>
      </c>
      <c r="AG776" s="5" t="n">
        <v>-4.428</v>
      </c>
      <c r="AH776" s="5" t="n">
        <v>7.061</v>
      </c>
      <c r="AI776" s="5" t="n">
        <v>0</v>
      </c>
      <c r="AJ776" s="5" t="n">
        <v>1</v>
      </c>
      <c r="AK776" s="5" t="n">
        <v>16.55</v>
      </c>
      <c r="AL776" s="5" t="n">
        <v>8.198</v>
      </c>
      <c r="AM776" s="5" t="n">
        <v>-8.917</v>
      </c>
      <c r="AN776" s="5" t="n">
        <v>8.015000000000001</v>
      </c>
      <c r="AO776" s="5" t="n">
        <v>0</v>
      </c>
      <c r="AP776" s="5" t="n">
        <v>0</v>
      </c>
      <c r="AQ776" s="5" t="n">
        <v>0.749</v>
      </c>
      <c r="AR776" s="5" t="n">
        <v>0.129</v>
      </c>
      <c r="AS776" s="5" t="n">
        <v>0.202</v>
      </c>
      <c r="AT776" s="5" t="n">
        <v>0.999</v>
      </c>
      <c r="AU776" s="5" t="n">
        <v>0.05</v>
      </c>
      <c r="AV776" s="5" t="n">
        <v>1</v>
      </c>
      <c r="AW776" s="5" t="n">
        <v>0.783</v>
      </c>
      <c r="AX776" s="5" t="n">
        <v>0.129</v>
      </c>
      <c r="AY776" s="5" t="n">
        <v>0.065</v>
      </c>
      <c r="AZ776" s="5" t="n">
        <v>0.889</v>
      </c>
      <c r="BA776" s="5" t="n">
        <v>0.05</v>
      </c>
      <c r="BB776" s="5" t="n">
        <v>1</v>
      </c>
      <c r="BC776" s="5" t="n">
        <v>0.527</v>
      </c>
      <c r="BD776" s="5" t="n">
        <v>0.129</v>
      </c>
      <c r="BE776" s="5" t="n">
        <v>-0.081</v>
      </c>
      <c r="BF776" s="5" t="n">
        <v>0.469</v>
      </c>
      <c r="BG776" s="5" t="n">
        <v>0.05</v>
      </c>
      <c r="BH776" s="5" t="n">
        <v>0</v>
      </c>
      <c r="BI776" s="5" t="n">
        <v>0.64</v>
      </c>
      <c r="BJ776" s="5" t="n">
        <v>0.129</v>
      </c>
      <c r="BK776" s="5" t="n">
        <v>0.788</v>
      </c>
      <c r="BL776" s="5" t="n">
        <v>1.499</v>
      </c>
      <c r="BM776" s="5" t="n">
        <v>0.05</v>
      </c>
      <c r="BN776" s="5" t="n">
        <v>1</v>
      </c>
      <c r="BO776" s="5" t="n">
        <v>0</v>
      </c>
      <c r="BP776" s="5" t="n">
        <v>-0.004</v>
      </c>
      <c r="BQ776" s="5" t="n">
        <v>0.102</v>
      </c>
      <c r="BR776" s="5" t="n">
        <v>0</v>
      </c>
      <c r="BS776" s="5" t="n">
        <v>0.667</v>
      </c>
      <c r="BT776" s="5" t="n">
        <v>0</v>
      </c>
      <c r="BU776" s="5" t="n">
        <v>-0.004</v>
      </c>
      <c r="BV776" s="5" t="n">
        <v>0.08400000000000001</v>
      </c>
      <c r="BW776" s="5" t="n">
        <v>0.05</v>
      </c>
      <c r="BX776" s="5" t="n">
        <v>0.833</v>
      </c>
      <c r="BY776" s="5" t="n">
        <v>13.254</v>
      </c>
      <c r="BZ776" s="5" t="n">
        <v>0</v>
      </c>
      <c r="CA776" s="5" t="n">
        <v>13.254</v>
      </c>
      <c r="CB776" s="5" t="n">
        <v>0</v>
      </c>
      <c r="CC776" s="5" t="n">
        <v>87.07899999999999</v>
      </c>
      <c r="CD776" s="5" t="n">
        <v>7.95</v>
      </c>
      <c r="CE776" s="5" t="n">
        <v>7.882</v>
      </c>
      <c r="CF776" s="5" t="n">
        <v>99.70999999999999</v>
      </c>
      <c r="CG776" s="5" t="n">
        <v>0.05</v>
      </c>
      <c r="CH776" s="5" t="n">
        <v>1</v>
      </c>
      <c r="CI776" s="5" t="n">
        <v>0</v>
      </c>
      <c r="CJ776" s="5" t="n">
        <v>0</v>
      </c>
      <c r="CK776" s="5" t="n">
        <v>0</v>
      </c>
      <c r="CL776" s="5" t="n">
        <v>0</v>
      </c>
      <c r="CM776" s="5" t="n">
        <v>0</v>
      </c>
      <c r="CN776" s="5" t="n">
        <v>0</v>
      </c>
      <c r="CO776" s="5" t="n">
        <v>0</v>
      </c>
      <c r="CP776" s="5" t="n">
        <v>0.021</v>
      </c>
      <c r="CQ776" s="5" t="n">
        <v>1.348</v>
      </c>
      <c r="CR776" s="5" t="n">
        <v>0</v>
      </c>
      <c r="CS776" s="5" t="n">
        <v>7.394</v>
      </c>
      <c r="CT776" s="5" t="n">
        <v>7.744</v>
      </c>
      <c r="CU776" s="5" t="n">
        <v>13.914</v>
      </c>
    </row>
    <row r="777">
      <c r="A777" s="5" t="inlineStr">
        <is>
          <t>TWN2024</t>
        </is>
      </c>
      <c r="B777" s="5" t="inlineStr">
        <is>
          <t>TWN</t>
        </is>
      </c>
      <c r="C777" s="5" t="inlineStr">
        <is>
          <t>TWN</t>
        </is>
      </c>
      <c r="D777" s="5" t="inlineStr">
        <is>
          <t>Taiwan Province of China</t>
        </is>
      </c>
      <c r="E777" s="5" t="n">
        <v>2024</v>
      </c>
      <c r="F777" s="5" t="n">
        <v>0.05</v>
      </c>
      <c r="G777" s="5" t="n">
        <v>7.138</v>
      </c>
      <c r="H777" s="5" t="n">
        <v>1.31</v>
      </c>
      <c r="I777" s="5" t="n">
        <v>-0.122</v>
      </c>
      <c r="J777" s="5" t="n">
        <v>7.016</v>
      </c>
      <c r="K777" s="5" t="n">
        <v>0</v>
      </c>
      <c r="L777" s="5" t="n">
        <v>1</v>
      </c>
      <c r="M777" s="5" t="n">
        <v>10.498</v>
      </c>
      <c r="N777" s="5" t="n">
        <v>3.93</v>
      </c>
      <c r="O777" s="5" t="n">
        <v>-0.09</v>
      </c>
      <c r="P777" s="5" t="n">
        <v>10.409</v>
      </c>
      <c r="Q777" s="5" t="n">
        <v>0</v>
      </c>
      <c r="R777" s="5" t="n">
        <v>1</v>
      </c>
      <c r="S777" s="5" t="n">
        <v>13.688</v>
      </c>
      <c r="T777" s="5" t="n">
        <v>7.859</v>
      </c>
      <c r="U777" s="5" t="n">
        <v>-0.03</v>
      </c>
      <c r="V777" s="5" t="n">
        <v>14.243</v>
      </c>
      <c r="W777" s="5" t="n">
        <v>0.05</v>
      </c>
      <c r="X777" s="5" t="n">
        <v>1</v>
      </c>
      <c r="Y777" s="5" t="n">
        <v>12.519</v>
      </c>
      <c r="Z777" s="5" t="n">
        <v>1.581</v>
      </c>
      <c r="AA777" s="5" t="n">
        <v>0.103</v>
      </c>
      <c r="AB777" s="5" t="n">
        <v>12.622</v>
      </c>
      <c r="AC777" s="5" t="n">
        <v>0</v>
      </c>
      <c r="AD777" s="5" t="n">
        <v>1</v>
      </c>
      <c r="AE777" s="5" t="n">
        <v>8.909000000000001</v>
      </c>
      <c r="AF777" s="5" t="n">
        <v>1.952</v>
      </c>
      <c r="AG777" s="5" t="n">
        <v>-0.01</v>
      </c>
      <c r="AH777" s="5" t="n">
        <v>8.898999999999999</v>
      </c>
      <c r="AI777" s="5" t="n">
        <v>0</v>
      </c>
      <c r="AJ777" s="5" t="n">
        <v>1</v>
      </c>
      <c r="AK777" s="5" t="n">
        <v>14.196</v>
      </c>
      <c r="AL777" s="5" t="n">
        <v>7.22</v>
      </c>
      <c r="AM777" s="5" t="n">
        <v>-4.845</v>
      </c>
      <c r="AN777" s="5" t="n">
        <v>9.818</v>
      </c>
      <c r="AO777" s="5" t="n">
        <v>0</v>
      </c>
      <c r="AP777" s="5" t="n">
        <v>0</v>
      </c>
      <c r="AQ777" s="5" t="n">
        <v>0.72</v>
      </c>
      <c r="AR777" s="5" t="n">
        <v>0.132</v>
      </c>
      <c r="AS777" s="5" t="n">
        <v>0.191</v>
      </c>
      <c r="AT777" s="5" t="n">
        <v>0.956</v>
      </c>
      <c r="AU777" s="5" t="n">
        <v>0.05</v>
      </c>
      <c r="AV777" s="5" t="n">
        <v>1</v>
      </c>
      <c r="AW777" s="5" t="n">
        <v>0.734</v>
      </c>
      <c r="AX777" s="5" t="n">
        <v>0.132</v>
      </c>
      <c r="AY777" s="5" t="n">
        <v>0.074</v>
      </c>
      <c r="AZ777" s="5" t="n">
        <v>0.848</v>
      </c>
      <c r="BA777" s="5" t="n">
        <v>0.05</v>
      </c>
      <c r="BB777" s="5" t="n">
        <v>1</v>
      </c>
      <c r="BC777" s="5" t="n">
        <v>0.51</v>
      </c>
      <c r="BD777" s="5" t="n">
        <v>0.132</v>
      </c>
      <c r="BE777" s="5" t="n">
        <v>-0.077</v>
      </c>
      <c r="BF777" s="5" t="n">
        <v>0.455</v>
      </c>
      <c r="BG777" s="5" t="n">
        <v>0.05</v>
      </c>
      <c r="BH777" s="5" t="n">
        <v>0</v>
      </c>
      <c r="BI777" s="5" t="n">
        <v>0.652</v>
      </c>
      <c r="BJ777" s="5" t="n">
        <v>0.132</v>
      </c>
      <c r="BK777" s="5" t="n">
        <v>0.6909999999999999</v>
      </c>
      <c r="BL777" s="5" t="n">
        <v>1.41</v>
      </c>
      <c r="BM777" s="5" t="n">
        <v>0.05</v>
      </c>
      <c r="BN777" s="5" t="n">
        <v>1</v>
      </c>
      <c r="BO777" s="5" t="n">
        <v>0</v>
      </c>
      <c r="BP777" s="5" t="n">
        <v>-0.003</v>
      </c>
      <c r="BQ777" s="5" t="n">
        <v>0.128</v>
      </c>
      <c r="BR777" s="5" t="n">
        <v>0</v>
      </c>
      <c r="BS777" s="5" t="n">
        <v>0.667</v>
      </c>
      <c r="BT777" s="5" t="n">
        <v>0</v>
      </c>
      <c r="BU777" s="5" t="n">
        <v>-0.005</v>
      </c>
      <c r="BV777" s="5" t="n">
        <v>0.08699999999999999</v>
      </c>
      <c r="BW777" s="5" t="n">
        <v>0.05</v>
      </c>
      <c r="BX777" s="5" t="n">
        <v>0.833</v>
      </c>
      <c r="BY777" s="5" t="n">
        <v>13.646</v>
      </c>
      <c r="BZ777" s="5" t="n">
        <v>0</v>
      </c>
      <c r="CA777" s="5" t="n">
        <v>13.646</v>
      </c>
      <c r="CB777" s="5" t="n">
        <v>0</v>
      </c>
      <c r="CC777" s="5" t="n">
        <v>86.38500000000001</v>
      </c>
      <c r="CD777" s="5" t="n">
        <v>7.95</v>
      </c>
      <c r="CE777" s="5" t="n">
        <v>2.875</v>
      </c>
      <c r="CF777" s="5" t="n">
        <v>93.724</v>
      </c>
      <c r="CG777" s="5" t="n">
        <v>0.05</v>
      </c>
      <c r="CH777" s="5" t="n">
        <v>1</v>
      </c>
      <c r="CI777" s="5" t="n">
        <v>0</v>
      </c>
      <c r="CJ777" s="5" t="n">
        <v>0</v>
      </c>
      <c r="CK777" s="5" t="n">
        <v>0</v>
      </c>
      <c r="CL777" s="5" t="n">
        <v>0</v>
      </c>
      <c r="CM777" s="5" t="n">
        <v>0</v>
      </c>
      <c r="CN777" s="5" t="n">
        <v>0</v>
      </c>
      <c r="CO777" s="5" t="n">
        <v>0</v>
      </c>
      <c r="CP777" s="5" t="n">
        <v>0.021</v>
      </c>
      <c r="CQ777" s="5" t="n">
        <v>1.387</v>
      </c>
      <c r="CR777" s="5" t="n">
        <v>0</v>
      </c>
      <c r="CS777" s="5" t="n">
        <v>7.613</v>
      </c>
      <c r="CT777" s="5" t="n">
        <v>5.922</v>
      </c>
      <c r="CU777" s="5" t="n">
        <v>12.217</v>
      </c>
    </row>
    <row r="778">
      <c r="A778" s="5" t="inlineStr">
        <is>
          <t>TJK2021</t>
        </is>
      </c>
      <c r="B778" s="5" t="inlineStr">
        <is>
          <t>TJK</t>
        </is>
      </c>
      <c r="C778" s="5" t="inlineStr">
        <is>
          <t>TJK</t>
        </is>
      </c>
      <c r="D778" s="5" t="inlineStr">
        <is>
          <t>Tajikistan</t>
        </is>
      </c>
      <c r="E778" s="5" t="n">
        <v>2021</v>
      </c>
      <c r="F778" s="5" t="n">
        <v>0.18</v>
      </c>
      <c r="G778" s="5" t="n">
        <v>1.939</v>
      </c>
      <c r="H778" s="5" t="n">
        <v>0.597</v>
      </c>
      <c r="I778" s="5" t="n">
        <v>0</v>
      </c>
      <c r="J778" s="5" t="n">
        <v>1.939</v>
      </c>
      <c r="K778" s="5" t="n">
        <v>0</v>
      </c>
      <c r="L778" s="5" t="n">
        <v>1</v>
      </c>
      <c r="M778" s="5" t="n">
        <v>3.14</v>
      </c>
      <c r="N778" s="5" t="n">
        <v>1.792</v>
      </c>
      <c r="O778" s="5" t="n">
        <v>0</v>
      </c>
      <c r="P778" s="5" t="n">
        <v>3.14</v>
      </c>
      <c r="Q778" s="5" t="n">
        <v>0</v>
      </c>
      <c r="R778" s="5" t="n">
        <v>1</v>
      </c>
      <c r="S778" s="5" t="n">
        <v>4.926</v>
      </c>
      <c r="T778" s="5" t="n">
        <v>3.584</v>
      </c>
      <c r="U778" s="5" t="n">
        <v>-0.422</v>
      </c>
      <c r="V778" s="5" t="n">
        <v>4.503</v>
      </c>
      <c r="W778" s="5" t="n">
        <v>0</v>
      </c>
      <c r="X778" s="5" t="n">
        <v>1</v>
      </c>
      <c r="Y778" s="5" t="n">
        <v>5.856</v>
      </c>
      <c r="Z778" s="5" t="n">
        <v>0.57</v>
      </c>
      <c r="AA778" s="5" t="n">
        <v>0</v>
      </c>
      <c r="AB778" s="5" t="n">
        <v>5.856</v>
      </c>
      <c r="AC778" s="5" t="n">
        <v>0</v>
      </c>
      <c r="AD778" s="5" t="n">
        <v>1</v>
      </c>
      <c r="AE778" s="5" t="n">
        <v>6.998</v>
      </c>
      <c r="AF778" s="5" t="n">
        <v>1.216</v>
      </c>
      <c r="AG778" s="5" t="n">
        <v>0</v>
      </c>
      <c r="AH778" s="5" t="n">
        <v>6.998</v>
      </c>
      <c r="AI778" s="5" t="n">
        <v>0</v>
      </c>
      <c r="AJ778" s="5" t="n">
        <v>1</v>
      </c>
      <c r="AK778" s="5" t="n">
        <v>13.848</v>
      </c>
      <c r="AL778" s="5" t="n">
        <v>6.041</v>
      </c>
      <c r="AM778" s="5" t="n">
        <v>0</v>
      </c>
      <c r="AN778" s="5" t="n">
        <v>16.34</v>
      </c>
      <c r="AO778" s="5" t="n">
        <v>0.18</v>
      </c>
      <c r="AP778" s="5" t="n">
        <v>1</v>
      </c>
      <c r="AQ778" s="5" t="n">
        <v>0.619</v>
      </c>
      <c r="AR778" s="5" t="n">
        <v>0.114</v>
      </c>
      <c r="AS778" s="5" t="n">
        <v>0.044</v>
      </c>
      <c r="AT778" s="5" t="n">
        <v>0.782</v>
      </c>
      <c r="AU778" s="5" t="n">
        <v>0.18</v>
      </c>
      <c r="AV778" s="5" t="n">
        <v>1</v>
      </c>
      <c r="AW778" s="5" t="n">
        <v>0.599</v>
      </c>
      <c r="AX778" s="5" t="n">
        <v>0.114</v>
      </c>
      <c r="AY778" s="5" t="n">
        <v>0.11</v>
      </c>
      <c r="AZ778" s="5" t="n">
        <v>0.837</v>
      </c>
      <c r="BA778" s="5" t="n">
        <v>0.18</v>
      </c>
      <c r="BB778" s="5" t="n">
        <v>1</v>
      </c>
      <c r="BC778" s="5" t="n">
        <v>0.439</v>
      </c>
      <c r="BD778" s="5" t="n">
        <v>0.114</v>
      </c>
      <c r="BE778" s="5" t="n">
        <v>-0.028</v>
      </c>
      <c r="BF778" s="5" t="n">
        <v>0.411</v>
      </c>
      <c r="BG778" s="5" t="n">
        <v>0</v>
      </c>
      <c r="BH778" s="5" t="n">
        <v>1</v>
      </c>
      <c r="BI778" s="5" t="n">
        <v>0.505</v>
      </c>
      <c r="BJ778" s="5" t="n">
        <v>0.114</v>
      </c>
      <c r="BK778" s="5" t="n">
        <v>0.619</v>
      </c>
      <c r="BL778" s="5" t="n">
        <v>1.326</v>
      </c>
      <c r="BM778" s="5" t="n">
        <v>0.18</v>
      </c>
      <c r="BN778" s="5" t="n">
        <v>1</v>
      </c>
      <c r="BO778" s="5" t="n">
        <v>0</v>
      </c>
      <c r="BP778" s="5" t="n">
        <v>0</v>
      </c>
      <c r="BQ778" s="5" t="n">
        <v>0.05</v>
      </c>
      <c r="BR778" s="5" t="n">
        <v>0</v>
      </c>
      <c r="BS778" s="5" t="n">
        <v>0.833</v>
      </c>
      <c r="BT778" s="5" t="n">
        <v>0</v>
      </c>
      <c r="BU778" s="5" t="n">
        <v>0</v>
      </c>
      <c r="BV778" s="5" t="n">
        <v>0.021</v>
      </c>
      <c r="BW778" s="5" t="n">
        <v>0.18</v>
      </c>
      <c r="BX778" s="5" t="n">
        <v>0.833</v>
      </c>
      <c r="BY778" s="5" t="n">
        <v>11.787</v>
      </c>
      <c r="BZ778" s="5" t="n">
        <v>0</v>
      </c>
      <c r="CA778" s="5" t="n">
        <v>11.787</v>
      </c>
      <c r="CB778" s="5" t="n">
        <v>0</v>
      </c>
      <c r="CC778" s="5" t="n">
        <v>78.125</v>
      </c>
      <c r="CD778" s="5" t="n">
        <v>7.95</v>
      </c>
      <c r="CE778" s="5" t="n">
        <v>0</v>
      </c>
      <c r="CF778" s="5" t="n">
        <v>92.188</v>
      </c>
      <c r="CG778" s="5" t="n">
        <v>0.18</v>
      </c>
      <c r="CH778" s="5" t="n">
        <v>1</v>
      </c>
      <c r="CI778" s="5" t="n">
        <v>0</v>
      </c>
      <c r="CJ778" s="5" t="n">
        <v>0</v>
      </c>
      <c r="CK778" s="5" t="n">
        <v>0</v>
      </c>
      <c r="CL778" s="5" t="n">
        <v>0</v>
      </c>
      <c r="CM778" s="5" t="n">
        <v>0</v>
      </c>
      <c r="CN778" s="5" t="n">
        <v>0</v>
      </c>
      <c r="CO778" s="5" t="n">
        <v>0</v>
      </c>
      <c r="CP778" s="5" t="n">
        <v>0.955</v>
      </c>
      <c r="CQ778" s="5" t="n">
        <v>1.198</v>
      </c>
      <c r="CR778" s="5" t="n">
        <v>0.003</v>
      </c>
      <c r="CS778" s="5" t="n">
        <v>4.776</v>
      </c>
      <c r="CT778" s="5" t="n">
        <v>4.41</v>
      </c>
      <c r="CU778" s="5" t="n">
        <v>15.162</v>
      </c>
    </row>
    <row r="779">
      <c r="A779" s="5" t="inlineStr">
        <is>
          <t>TJK2022</t>
        </is>
      </c>
      <c r="B779" s="5" t="inlineStr">
        <is>
          <t>TJK</t>
        </is>
      </c>
      <c r="C779" s="5" t="inlineStr">
        <is>
          <t>TJK</t>
        </is>
      </c>
      <c r="D779" s="5" t="inlineStr">
        <is>
          <t>Tajikistan</t>
        </is>
      </c>
      <c r="E779" s="5" t="n">
        <v>2022</v>
      </c>
      <c r="F779" s="5" t="n">
        <v>0.18</v>
      </c>
      <c r="G779" s="5" t="n">
        <v>2.162</v>
      </c>
      <c r="H779" s="5" t="n">
        <v>0.647</v>
      </c>
      <c r="I779" s="5" t="n">
        <v>0</v>
      </c>
      <c r="J779" s="5" t="n">
        <v>2.162</v>
      </c>
      <c r="K779" s="5" t="n">
        <v>0</v>
      </c>
      <c r="L779" s="5" t="n">
        <v>1</v>
      </c>
      <c r="M779" s="5" t="n">
        <v>3.467</v>
      </c>
      <c r="N779" s="5" t="n">
        <v>1.942</v>
      </c>
      <c r="O779" s="5" t="n">
        <v>0</v>
      </c>
      <c r="P779" s="5" t="n">
        <v>3.467</v>
      </c>
      <c r="Q779" s="5" t="n">
        <v>0</v>
      </c>
      <c r="R779" s="5" t="n">
        <v>1</v>
      </c>
      <c r="S779" s="5" t="n">
        <v>5.398</v>
      </c>
      <c r="T779" s="5" t="n">
        <v>3.883</v>
      </c>
      <c r="U779" s="5" t="n">
        <v>-0.442</v>
      </c>
      <c r="V779" s="5" t="n">
        <v>4.956</v>
      </c>
      <c r="W779" s="5" t="n">
        <v>0</v>
      </c>
      <c r="X779" s="5" t="n">
        <v>1</v>
      </c>
      <c r="Y779" s="5" t="n">
        <v>6.324</v>
      </c>
      <c r="Z779" s="5" t="n">
        <v>0.616</v>
      </c>
      <c r="AA779" s="5" t="n">
        <v>0</v>
      </c>
      <c r="AB779" s="5" t="n">
        <v>6.324</v>
      </c>
      <c r="AC779" s="5" t="n">
        <v>0</v>
      </c>
      <c r="AD779" s="5" t="n">
        <v>1</v>
      </c>
      <c r="AE779" s="5" t="n">
        <v>7.557</v>
      </c>
      <c r="AF779" s="5" t="n">
        <v>1.313</v>
      </c>
      <c r="AG779" s="5" t="n">
        <v>0</v>
      </c>
      <c r="AH779" s="5" t="n">
        <v>7.557</v>
      </c>
      <c r="AI779" s="5" t="n">
        <v>0</v>
      </c>
      <c r="AJ779" s="5" t="n">
        <v>1</v>
      </c>
      <c r="AK779" s="5" t="n">
        <v>14.951</v>
      </c>
      <c r="AL779" s="5" t="n">
        <v>6.522</v>
      </c>
      <c r="AM779" s="5" t="n">
        <v>0.199</v>
      </c>
      <c r="AN779" s="5" t="n">
        <v>17.643</v>
      </c>
      <c r="AO779" s="5" t="n">
        <v>0.18</v>
      </c>
      <c r="AP779" s="5" t="n">
        <v>1</v>
      </c>
      <c r="AQ779" s="5" t="n">
        <v>0.861</v>
      </c>
      <c r="AR779" s="5" t="n">
        <v>0.123</v>
      </c>
      <c r="AS779" s="5" t="n">
        <v>0.03</v>
      </c>
      <c r="AT779" s="5" t="n">
        <v>1.037</v>
      </c>
      <c r="AU779" s="5" t="n">
        <v>0.18</v>
      </c>
      <c r="AV779" s="5" t="n">
        <v>1</v>
      </c>
      <c r="AW779" s="5" t="n">
        <v>0.986</v>
      </c>
      <c r="AX779" s="5" t="n">
        <v>0.123</v>
      </c>
      <c r="AY779" s="5" t="n">
        <v>0.081</v>
      </c>
      <c r="AZ779" s="5" t="n">
        <v>1.243</v>
      </c>
      <c r="BA779" s="5" t="n">
        <v>0.18</v>
      </c>
      <c r="BB779" s="5" t="n">
        <v>1</v>
      </c>
      <c r="BC779" s="5" t="n">
        <v>0.598</v>
      </c>
      <c r="BD779" s="5" t="n">
        <v>0.123</v>
      </c>
      <c r="BE779" s="5" t="n">
        <v>-0.03</v>
      </c>
      <c r="BF779" s="5" t="n">
        <v>0.5679999999999999</v>
      </c>
      <c r="BG779" s="5" t="n">
        <v>0</v>
      </c>
      <c r="BH779" s="5" t="n">
        <v>1</v>
      </c>
      <c r="BI779" s="5" t="n">
        <v>0.612</v>
      </c>
      <c r="BJ779" s="5" t="n">
        <v>0.123</v>
      </c>
      <c r="BK779" s="5" t="n">
        <v>0.675</v>
      </c>
      <c r="BL779" s="5" t="n">
        <v>1.499</v>
      </c>
      <c r="BM779" s="5" t="n">
        <v>0.18</v>
      </c>
      <c r="BN779" s="5" t="n">
        <v>1</v>
      </c>
      <c r="BO779" s="5" t="n">
        <v>0</v>
      </c>
      <c r="BP779" s="5" t="n">
        <v>0</v>
      </c>
      <c r="BQ779" s="5" t="n">
        <v>0.051</v>
      </c>
      <c r="BR779" s="5" t="n">
        <v>0</v>
      </c>
      <c r="BS779" s="5" t="n">
        <v>0.833</v>
      </c>
      <c r="BT779" s="5" t="n">
        <v>0</v>
      </c>
      <c r="BU779" s="5" t="n">
        <v>0</v>
      </c>
      <c r="BV779" s="5" t="n">
        <v>0.021</v>
      </c>
      <c r="BW779" s="5" t="n">
        <v>0.18</v>
      </c>
      <c r="BX779" s="5" t="n">
        <v>0.833</v>
      </c>
      <c r="BY779" s="5" t="n">
        <v>12.729</v>
      </c>
      <c r="BZ779" s="5" t="n">
        <v>0</v>
      </c>
      <c r="CA779" s="5" t="n">
        <v>12.729</v>
      </c>
      <c r="CB779" s="5" t="n">
        <v>0</v>
      </c>
      <c r="CC779" s="5" t="n">
        <v>97.90000000000001</v>
      </c>
      <c r="CD779" s="5" t="n">
        <v>7.95</v>
      </c>
      <c r="CE779" s="5" t="n">
        <v>1.087</v>
      </c>
      <c r="CF779" s="5" t="n">
        <v>112.585</v>
      </c>
      <c r="CG779" s="5" t="n">
        <v>0.15</v>
      </c>
      <c r="CH779" s="5" t="n">
        <v>1</v>
      </c>
      <c r="CI779" s="5" t="n">
        <v>0</v>
      </c>
      <c r="CJ779" s="5" t="n">
        <v>0</v>
      </c>
      <c r="CK779" s="5" t="n">
        <v>0</v>
      </c>
      <c r="CL779" s="5" t="n">
        <v>0</v>
      </c>
      <c r="CM779" s="5" t="n">
        <v>0</v>
      </c>
      <c r="CN779" s="5" t="n">
        <v>0</v>
      </c>
      <c r="CO779" s="5" t="n">
        <v>0</v>
      </c>
      <c r="CP779" s="5" t="n">
        <v>0.952</v>
      </c>
      <c r="CQ779" s="5" t="n">
        <v>1.294</v>
      </c>
      <c r="CR779" s="5" t="n">
        <v>0.004</v>
      </c>
      <c r="CS779" s="5" t="n">
        <v>5.158</v>
      </c>
      <c r="CT779" s="5" t="n">
        <v>5.842</v>
      </c>
      <c r="CU779" s="5" t="n">
        <v>31.326</v>
      </c>
    </row>
    <row r="780">
      <c r="A780" s="5" t="inlineStr">
        <is>
          <t>TJK2023</t>
        </is>
      </c>
      <c r="B780" s="5" t="inlineStr">
        <is>
          <t>TJK</t>
        </is>
      </c>
      <c r="C780" s="5" t="inlineStr">
        <is>
          <t>TJK</t>
        </is>
      </c>
      <c r="D780" s="5" t="inlineStr">
        <is>
          <t>Tajikistan</t>
        </is>
      </c>
      <c r="E780" s="5" t="n">
        <v>2023</v>
      </c>
      <c r="F780" s="5" t="n">
        <v>0.18</v>
      </c>
      <c r="G780" s="5" t="n">
        <v>2.124</v>
      </c>
      <c r="H780" s="5" t="n">
        <v>0.674</v>
      </c>
      <c r="I780" s="5" t="n">
        <v>0</v>
      </c>
      <c r="J780" s="5" t="n">
        <v>2.124</v>
      </c>
      <c r="K780" s="5" t="n">
        <v>0</v>
      </c>
      <c r="L780" s="5" t="n">
        <v>1</v>
      </c>
      <c r="M780" s="5" t="n">
        <v>3.499</v>
      </c>
      <c r="N780" s="5" t="n">
        <v>2.022</v>
      </c>
      <c r="O780" s="5" t="n">
        <v>0</v>
      </c>
      <c r="P780" s="5" t="n">
        <v>3.499</v>
      </c>
      <c r="Q780" s="5" t="n">
        <v>0</v>
      </c>
      <c r="R780" s="5" t="n">
        <v>1</v>
      </c>
      <c r="S780" s="5" t="n">
        <v>5.494</v>
      </c>
      <c r="T780" s="5" t="n">
        <v>4.044</v>
      </c>
      <c r="U780" s="5" t="n">
        <v>-0.483</v>
      </c>
      <c r="V780" s="5" t="n">
        <v>5.011</v>
      </c>
      <c r="W780" s="5" t="n">
        <v>0</v>
      </c>
      <c r="X780" s="5" t="n">
        <v>1</v>
      </c>
      <c r="Y780" s="5" t="n">
        <v>6.585</v>
      </c>
      <c r="Z780" s="5" t="n">
        <v>0.641</v>
      </c>
      <c r="AA780" s="5" t="n">
        <v>0</v>
      </c>
      <c r="AB780" s="5" t="n">
        <v>6.585</v>
      </c>
      <c r="AC780" s="5" t="n">
        <v>0</v>
      </c>
      <c r="AD780" s="5" t="n">
        <v>1</v>
      </c>
      <c r="AE780" s="5" t="n">
        <v>7.869</v>
      </c>
      <c r="AF780" s="5" t="n">
        <v>1.367</v>
      </c>
      <c r="AG780" s="5" t="n">
        <v>0</v>
      </c>
      <c r="AH780" s="5" t="n">
        <v>7.869</v>
      </c>
      <c r="AI780" s="5" t="n">
        <v>0</v>
      </c>
      <c r="AJ780" s="5" t="n">
        <v>1</v>
      </c>
      <c r="AK780" s="5" t="n">
        <v>15.569</v>
      </c>
      <c r="AL780" s="5" t="n">
        <v>6.792</v>
      </c>
      <c r="AM780" s="5" t="n">
        <v>0.31</v>
      </c>
      <c r="AN780" s="5" t="n">
        <v>18.371</v>
      </c>
      <c r="AO780" s="5" t="n">
        <v>0.18</v>
      </c>
      <c r="AP780" s="5" t="n">
        <v>1</v>
      </c>
      <c r="AQ780" s="5" t="n">
        <v>0.76</v>
      </c>
      <c r="AR780" s="5" t="n">
        <v>0.129</v>
      </c>
      <c r="AS780" s="5" t="n">
        <v>0.055</v>
      </c>
      <c r="AT780" s="5" t="n">
        <v>0.944</v>
      </c>
      <c r="AU780" s="5" t="n">
        <v>0.18</v>
      </c>
      <c r="AV780" s="5" t="n">
        <v>1</v>
      </c>
      <c r="AW780" s="5" t="n">
        <v>0.8110000000000001</v>
      </c>
      <c r="AX780" s="5" t="n">
        <v>0.129</v>
      </c>
      <c r="AY780" s="5" t="n">
        <v>0.121</v>
      </c>
      <c r="AZ780" s="5" t="n">
        <v>1.079</v>
      </c>
      <c r="BA780" s="5" t="n">
        <v>0.18</v>
      </c>
      <c r="BB780" s="5" t="n">
        <v>1</v>
      </c>
      <c r="BC780" s="5" t="n">
        <v>0.535</v>
      </c>
      <c r="BD780" s="5" t="n">
        <v>0.129</v>
      </c>
      <c r="BE780" s="5" t="n">
        <v>-0.031</v>
      </c>
      <c r="BF780" s="5" t="n">
        <v>0.504</v>
      </c>
      <c r="BG780" s="5" t="n">
        <v>0</v>
      </c>
      <c r="BH780" s="5" t="n">
        <v>1</v>
      </c>
      <c r="BI780" s="5" t="n">
        <v>0.579</v>
      </c>
      <c r="BJ780" s="5" t="n">
        <v>0.129</v>
      </c>
      <c r="BK780" s="5" t="n">
        <v>0.719</v>
      </c>
      <c r="BL780" s="5" t="n">
        <v>1.502</v>
      </c>
      <c r="BM780" s="5" t="n">
        <v>0.18</v>
      </c>
      <c r="BN780" s="5" t="n">
        <v>1</v>
      </c>
      <c r="BO780" s="5" t="n">
        <v>0</v>
      </c>
      <c r="BP780" s="5" t="n">
        <v>0</v>
      </c>
      <c r="BQ780" s="5" t="n">
        <v>0.059</v>
      </c>
      <c r="BR780" s="5" t="n">
        <v>0</v>
      </c>
      <c r="BS780" s="5" t="n">
        <v>0.833</v>
      </c>
      <c r="BT780" s="5" t="n">
        <v>0</v>
      </c>
      <c r="BU780" s="5" t="n">
        <v>0</v>
      </c>
      <c r="BV780" s="5" t="n">
        <v>0.025</v>
      </c>
      <c r="BW780" s="5" t="n">
        <v>0.18</v>
      </c>
      <c r="BX780" s="5" t="n">
        <v>0.833</v>
      </c>
      <c r="BY780" s="5" t="n">
        <v>13.254</v>
      </c>
      <c r="BZ780" s="5" t="n">
        <v>0</v>
      </c>
      <c r="CA780" s="5" t="n">
        <v>13.254</v>
      </c>
      <c r="CB780" s="5" t="n">
        <v>0</v>
      </c>
      <c r="CC780" s="5" t="n">
        <v>83.248</v>
      </c>
      <c r="CD780" s="5" t="n">
        <v>7.95</v>
      </c>
      <c r="CE780" s="5" t="n">
        <v>1.383</v>
      </c>
      <c r="CF780" s="5" t="n">
        <v>95.735</v>
      </c>
      <c r="CG780" s="5" t="n">
        <v>0.15</v>
      </c>
      <c r="CH780" s="5" t="n">
        <v>1</v>
      </c>
      <c r="CI780" s="5" t="n">
        <v>0</v>
      </c>
      <c r="CJ780" s="5" t="n">
        <v>0</v>
      </c>
      <c r="CK780" s="5" t="n">
        <v>0</v>
      </c>
      <c r="CL780" s="5" t="n">
        <v>0</v>
      </c>
      <c r="CM780" s="5" t="n">
        <v>0</v>
      </c>
      <c r="CN780" s="5" t="n">
        <v>0</v>
      </c>
      <c r="CO780" s="5" t="n">
        <v>0</v>
      </c>
      <c r="CP780" s="5" t="n">
        <v>0.952</v>
      </c>
      <c r="CQ780" s="5" t="n">
        <v>1.348</v>
      </c>
      <c r="CR780" s="5" t="n">
        <v>0.004</v>
      </c>
      <c r="CS780" s="5" t="n">
        <v>5.37</v>
      </c>
      <c r="CT780" s="5" t="n">
        <v>3.466</v>
      </c>
      <c r="CU780" s="5" t="n">
        <v>11.622</v>
      </c>
    </row>
    <row r="781">
      <c r="A781" s="5" t="inlineStr">
        <is>
          <t>TJK2024</t>
        </is>
      </c>
      <c r="B781" s="5" t="inlineStr">
        <is>
          <t>TJK</t>
        </is>
      </c>
      <c r="C781" s="5" t="inlineStr">
        <is>
          <t>TJK</t>
        </is>
      </c>
      <c r="D781" s="5" t="inlineStr">
        <is>
          <t>Tajikistan</t>
        </is>
      </c>
      <c r="E781" s="5" t="n">
        <v>2024</v>
      </c>
      <c r="F781" s="5" t="n">
        <v>0.18</v>
      </c>
      <c r="G781" s="5" t="n">
        <v>2.161</v>
      </c>
      <c r="H781" s="5" t="n">
        <v>0.694</v>
      </c>
      <c r="I781" s="5" t="n">
        <v>0</v>
      </c>
      <c r="J781" s="5" t="n">
        <v>2.161</v>
      </c>
      <c r="K781" s="5" t="n">
        <v>0</v>
      </c>
      <c r="L781" s="5" t="n">
        <v>1</v>
      </c>
      <c r="M781" s="5" t="n">
        <v>3.554</v>
      </c>
      <c r="N781" s="5" t="n">
        <v>2.082</v>
      </c>
      <c r="O781" s="5" t="n">
        <v>0</v>
      </c>
      <c r="P781" s="5" t="n">
        <v>3.554</v>
      </c>
      <c r="Q781" s="5" t="n">
        <v>0</v>
      </c>
      <c r="R781" s="5" t="n">
        <v>1</v>
      </c>
      <c r="S781" s="5" t="n">
        <v>5.63</v>
      </c>
      <c r="T781" s="5" t="n">
        <v>4.163</v>
      </c>
      <c r="U781" s="5" t="n">
        <v>-0.502</v>
      </c>
      <c r="V781" s="5" t="n">
        <v>5.128</v>
      </c>
      <c r="W781" s="5" t="n">
        <v>0</v>
      </c>
      <c r="X781" s="5" t="n">
        <v>1</v>
      </c>
      <c r="Y781" s="5" t="n">
        <v>6.78</v>
      </c>
      <c r="Z781" s="5" t="n">
        <v>0.66</v>
      </c>
      <c r="AA781" s="5" t="n">
        <v>0</v>
      </c>
      <c r="AB781" s="5" t="n">
        <v>6.78</v>
      </c>
      <c r="AC781" s="5" t="n">
        <v>0</v>
      </c>
      <c r="AD781" s="5" t="n">
        <v>1</v>
      </c>
      <c r="AE781" s="5" t="n">
        <v>8.101000000000001</v>
      </c>
      <c r="AF781" s="5" t="n">
        <v>1.407</v>
      </c>
      <c r="AG781" s="5" t="n">
        <v>0</v>
      </c>
      <c r="AH781" s="5" t="n">
        <v>8.101000000000001</v>
      </c>
      <c r="AI781" s="5" t="n">
        <v>0</v>
      </c>
      <c r="AJ781" s="5" t="n">
        <v>1</v>
      </c>
      <c r="AK781" s="5" t="n">
        <v>16.028</v>
      </c>
      <c r="AL781" s="5" t="n">
        <v>6.992</v>
      </c>
      <c r="AM781" s="5" t="n">
        <v>0.393</v>
      </c>
      <c r="AN781" s="5" t="n">
        <v>18.913</v>
      </c>
      <c r="AO781" s="5" t="n">
        <v>0.18</v>
      </c>
      <c r="AP781" s="5" t="n">
        <v>1</v>
      </c>
      <c r="AQ781" s="5" t="n">
        <v>0.724</v>
      </c>
      <c r="AR781" s="5" t="n">
        <v>0.132</v>
      </c>
      <c r="AS781" s="5" t="n">
        <v>0.06900000000000001</v>
      </c>
      <c r="AT781" s="5" t="n">
        <v>0.913</v>
      </c>
      <c r="AU781" s="5" t="n">
        <v>0.18</v>
      </c>
      <c r="AV781" s="5" t="n">
        <v>1</v>
      </c>
      <c r="AW781" s="5" t="n">
        <v>0.75</v>
      </c>
      <c r="AX781" s="5" t="n">
        <v>0.132</v>
      </c>
      <c r="AY781" s="5" t="n">
        <v>0.14</v>
      </c>
      <c r="AZ781" s="5" t="n">
        <v>1.025</v>
      </c>
      <c r="BA781" s="5" t="n">
        <v>0.18</v>
      </c>
      <c r="BB781" s="5" t="n">
        <v>1</v>
      </c>
      <c r="BC781" s="5" t="n">
        <v>0.513</v>
      </c>
      <c r="BD781" s="5" t="n">
        <v>0.132</v>
      </c>
      <c r="BE781" s="5" t="n">
        <v>-0.032</v>
      </c>
      <c r="BF781" s="5" t="n">
        <v>0.481</v>
      </c>
      <c r="BG781" s="5" t="n">
        <v>0</v>
      </c>
      <c r="BH781" s="5" t="n">
        <v>1</v>
      </c>
      <c r="BI781" s="5" t="n">
        <v>0.591</v>
      </c>
      <c r="BJ781" s="5" t="n">
        <v>0.132</v>
      </c>
      <c r="BK781" s="5" t="n">
        <v>0.747</v>
      </c>
      <c r="BL781" s="5" t="n">
        <v>1.542</v>
      </c>
      <c r="BM781" s="5" t="n">
        <v>0.18</v>
      </c>
      <c r="BN781" s="5" t="n">
        <v>1</v>
      </c>
      <c r="BO781" s="5" t="n">
        <v>0</v>
      </c>
      <c r="BP781" s="5" t="n">
        <v>0</v>
      </c>
      <c r="BQ781" s="5" t="n">
        <v>0.061</v>
      </c>
      <c r="BR781" s="5" t="n">
        <v>0</v>
      </c>
      <c r="BS781" s="5" t="n">
        <v>0.833</v>
      </c>
      <c r="BT781" s="5" t="n">
        <v>0</v>
      </c>
      <c r="BU781" s="5" t="n">
        <v>0</v>
      </c>
      <c r="BV781" s="5" t="n">
        <v>0.025</v>
      </c>
      <c r="BW781" s="5" t="n">
        <v>0.18</v>
      </c>
      <c r="BX781" s="5" t="n">
        <v>0.833</v>
      </c>
      <c r="BY781" s="5" t="n">
        <v>13.646</v>
      </c>
      <c r="BZ781" s="5" t="n">
        <v>0</v>
      </c>
      <c r="CA781" s="5" t="n">
        <v>13.646</v>
      </c>
      <c r="CB781" s="5" t="n">
        <v>0</v>
      </c>
      <c r="CC781" s="5" t="n">
        <v>82.58799999999999</v>
      </c>
      <c r="CD781" s="5" t="n">
        <v>7.95</v>
      </c>
      <c r="CE781" s="5" t="n">
        <v>1.687</v>
      </c>
      <c r="CF781" s="5" t="n">
        <v>94.976</v>
      </c>
      <c r="CG781" s="5" t="n">
        <v>0.15</v>
      </c>
      <c r="CH781" s="5" t="n">
        <v>1</v>
      </c>
      <c r="CI781" s="5" t="n">
        <v>0</v>
      </c>
      <c r="CJ781" s="5" t="n">
        <v>0</v>
      </c>
      <c r="CK781" s="5" t="n">
        <v>0</v>
      </c>
      <c r="CL781" s="5" t="n">
        <v>0</v>
      </c>
      <c r="CM781" s="5" t="n">
        <v>0</v>
      </c>
      <c r="CN781" s="5" t="n">
        <v>0</v>
      </c>
      <c r="CO781" s="5" t="n">
        <v>0</v>
      </c>
      <c r="CP781" s="5" t="n">
        <v>0.952</v>
      </c>
      <c r="CQ781" s="5" t="n">
        <v>1.387</v>
      </c>
      <c r="CR781" s="5" t="n">
        <v>0.004</v>
      </c>
      <c r="CS781" s="5" t="n">
        <v>5.529</v>
      </c>
      <c r="CT781" s="5" t="n">
        <v>3.027</v>
      </c>
      <c r="CU781" s="5" t="n">
        <v>10.168</v>
      </c>
    </row>
    <row r="782">
      <c r="A782" s="5" t="inlineStr">
        <is>
          <t>TZA2021</t>
        </is>
      </c>
      <c r="B782" s="5" t="inlineStr">
        <is>
          <t>TZA</t>
        </is>
      </c>
      <c r="C782" s="5" t="inlineStr">
        <is>
          <t>TZA</t>
        </is>
      </c>
      <c r="D782" s="5" t="inlineStr">
        <is>
          <t>Tanzania</t>
        </is>
      </c>
      <c r="E782" s="5" t="n">
        <v>2021</v>
      </c>
      <c r="F782" s="5" t="n">
        <v>0.18</v>
      </c>
      <c r="G782" s="5" t="n">
        <v>1.77</v>
      </c>
      <c r="H782" s="5" t="n">
        <v>0.572</v>
      </c>
      <c r="I782" s="5" t="n">
        <v>0</v>
      </c>
      <c r="J782" s="5" t="n">
        <v>1.77</v>
      </c>
      <c r="K782" s="5" t="n">
        <v>0</v>
      </c>
      <c r="L782" s="5" t="n">
        <v>1</v>
      </c>
      <c r="M782" s="5" t="n">
        <v>2.913</v>
      </c>
      <c r="N782" s="5" t="n">
        <v>1.715</v>
      </c>
      <c r="O782" s="5" t="n">
        <v>0</v>
      </c>
      <c r="P782" s="5" t="n">
        <v>2.913</v>
      </c>
      <c r="Q782" s="5" t="n">
        <v>0</v>
      </c>
      <c r="R782" s="5" t="n">
        <v>1</v>
      </c>
      <c r="S782" s="5" t="n">
        <v>4.628</v>
      </c>
      <c r="T782" s="5" t="n">
        <v>3.43</v>
      </c>
      <c r="U782" s="5" t="n">
        <v>0</v>
      </c>
      <c r="V782" s="5" t="n">
        <v>5.461</v>
      </c>
      <c r="W782" s="5" t="n">
        <v>0.18</v>
      </c>
      <c r="X782" s="5" t="n">
        <v>1</v>
      </c>
      <c r="Y782" s="5" t="n">
        <v>2.092</v>
      </c>
      <c r="Z782" s="5" t="n">
        <v>0.154</v>
      </c>
      <c r="AA782" s="5" t="n">
        <v>7.294</v>
      </c>
      <c r="AB782" s="5" t="n">
        <v>9.385999999999999</v>
      </c>
      <c r="AC782" s="5" t="n">
        <v>0</v>
      </c>
      <c r="AD782" s="5" t="n">
        <v>1</v>
      </c>
      <c r="AE782" s="5" t="n">
        <v>2.664</v>
      </c>
      <c r="AF782" s="5" t="n">
        <v>0.36</v>
      </c>
      <c r="AG782" s="5" t="n">
        <v>6.722</v>
      </c>
      <c r="AH782" s="5" t="n">
        <v>9.385999999999999</v>
      </c>
      <c r="AI782" s="5" t="n">
        <v>0</v>
      </c>
      <c r="AJ782" s="5" t="n">
        <v>1</v>
      </c>
      <c r="AK782" s="5" t="n">
        <v>6.093</v>
      </c>
      <c r="AL782" s="5" t="n">
        <v>2.264</v>
      </c>
      <c r="AM782" s="5" t="n">
        <v>6.221</v>
      </c>
      <c r="AN782" s="5" t="n">
        <v>14.531</v>
      </c>
      <c r="AO782" s="5" t="n">
        <v>0.18</v>
      </c>
      <c r="AP782" s="5" t="n">
        <v>1</v>
      </c>
      <c r="AQ782" s="5" t="n">
        <v>0.619</v>
      </c>
      <c r="AR782" s="5" t="n">
        <v>0.114</v>
      </c>
      <c r="AS782" s="5" t="n">
        <v>0.359</v>
      </c>
      <c r="AT782" s="5" t="n">
        <v>0.978</v>
      </c>
      <c r="AU782" s="5" t="n">
        <v>0</v>
      </c>
      <c r="AV782" s="5" t="n">
        <v>1</v>
      </c>
      <c r="AW782" s="5" t="n">
        <v>0.599</v>
      </c>
      <c r="AX782" s="5" t="n">
        <v>0.114</v>
      </c>
      <c r="AY782" s="5" t="n">
        <v>0.319</v>
      </c>
      <c r="AZ782" s="5" t="n">
        <v>0.918</v>
      </c>
      <c r="BA782" s="5" t="n">
        <v>0</v>
      </c>
      <c r="BB782" s="5" t="n">
        <v>1</v>
      </c>
      <c r="BC782" s="5" t="n">
        <v>0.439</v>
      </c>
      <c r="BD782" s="5" t="n">
        <v>0.114</v>
      </c>
      <c r="BE782" s="5" t="n">
        <v>0</v>
      </c>
      <c r="BF782" s="5" t="n">
        <v>0.518</v>
      </c>
      <c r="BG782" s="5" t="n">
        <v>0.18</v>
      </c>
      <c r="BH782" s="5" t="n">
        <v>1</v>
      </c>
      <c r="BI782" s="5" t="n">
        <v>0.505</v>
      </c>
      <c r="BJ782" s="5" t="n">
        <v>0.114</v>
      </c>
      <c r="BK782" s="5" t="n">
        <v>0.373</v>
      </c>
      <c r="BL782" s="5" t="n">
        <v>0.877</v>
      </c>
      <c r="BM782" s="5" t="n">
        <v>0</v>
      </c>
      <c r="BN782" s="5" t="n">
        <v>1</v>
      </c>
      <c r="BO782" s="5" t="n">
        <v>0</v>
      </c>
      <c r="BP782" s="5" t="n">
        <v>0.015</v>
      </c>
      <c r="BQ782" s="5" t="n">
        <v>0.068</v>
      </c>
      <c r="BR782" s="5" t="n">
        <v>0</v>
      </c>
      <c r="BS782" s="5" t="n">
        <v>0</v>
      </c>
      <c r="BT782" s="5" t="n">
        <v>0</v>
      </c>
      <c r="BU782" s="5" t="n">
        <v>0.022</v>
      </c>
      <c r="BV782" s="5" t="n">
        <v>0.102</v>
      </c>
      <c r="BW782" s="5" t="n">
        <v>0.18</v>
      </c>
      <c r="BX782" s="5" t="n">
        <v>0</v>
      </c>
      <c r="BY782" s="5" t="n">
        <v>11.787</v>
      </c>
      <c r="BZ782" s="5" t="n">
        <v>0</v>
      </c>
      <c r="CA782" s="5" t="n">
        <v>11.787</v>
      </c>
      <c r="CB782" s="5" t="n">
        <v>0</v>
      </c>
      <c r="CC782" s="5" t="n">
        <v>78.125</v>
      </c>
      <c r="CD782" s="5" t="n">
        <v>7.95</v>
      </c>
      <c r="CE782" s="5" t="n">
        <v>41.185</v>
      </c>
      <c r="CF782" s="5" t="n">
        <v>140.786</v>
      </c>
      <c r="CG782" s="5" t="n">
        <v>0.18</v>
      </c>
      <c r="CH782" s="5" t="n">
        <v>1</v>
      </c>
      <c r="CI782" s="5" t="n">
        <v>0</v>
      </c>
      <c r="CJ782" s="5" t="n">
        <v>0</v>
      </c>
      <c r="CK782" s="5" t="n">
        <v>0</v>
      </c>
      <c r="CL782" s="5" t="n">
        <v>0</v>
      </c>
      <c r="CM782" s="5" t="n">
        <v>0</v>
      </c>
      <c r="CN782" s="5" t="n">
        <v>0</v>
      </c>
      <c r="CO782" s="5" t="n">
        <v>0</v>
      </c>
      <c r="CP782" s="5" t="n">
        <v>1</v>
      </c>
      <c r="CQ782" s="5" t="n">
        <v>1.198</v>
      </c>
      <c r="CR782" s="5" t="n">
        <v>1</v>
      </c>
      <c r="CS782" s="5" t="n">
        <v>1.52</v>
      </c>
      <c r="CT782" s="5" t="n">
        <v>4.753</v>
      </c>
      <c r="CU782" s="5" t="n">
        <v>15.162</v>
      </c>
    </row>
    <row r="783">
      <c r="A783" s="5" t="inlineStr">
        <is>
          <t>TZA2022</t>
        </is>
      </c>
      <c r="B783" s="5" t="inlineStr">
        <is>
          <t>TZA</t>
        </is>
      </c>
      <c r="C783" s="5" t="inlineStr">
        <is>
          <t>TZA</t>
        </is>
      </c>
      <c r="D783" s="5" t="inlineStr">
        <is>
          <t>Tanzania</t>
        </is>
      </c>
      <c r="E783" s="5" t="n">
        <v>2022</v>
      </c>
      <c r="F783" s="5" t="n">
        <v>0.18</v>
      </c>
      <c r="G783" s="5" t="n">
        <v>1.911</v>
      </c>
      <c r="H783" s="5" t="n">
        <v>0.617</v>
      </c>
      <c r="I783" s="5" t="n">
        <v>0</v>
      </c>
      <c r="J783" s="5" t="n">
        <v>1.911</v>
      </c>
      <c r="K783" s="5" t="n">
        <v>0</v>
      </c>
      <c r="L783" s="5" t="n">
        <v>1</v>
      </c>
      <c r="M783" s="5" t="n">
        <v>3.146</v>
      </c>
      <c r="N783" s="5" t="n">
        <v>1.852</v>
      </c>
      <c r="O783" s="5" t="n">
        <v>0</v>
      </c>
      <c r="P783" s="5" t="n">
        <v>3.146</v>
      </c>
      <c r="Q783" s="5" t="n">
        <v>0</v>
      </c>
      <c r="R783" s="5" t="n">
        <v>1</v>
      </c>
      <c r="S783" s="5" t="n">
        <v>4.998</v>
      </c>
      <c r="T783" s="5" t="n">
        <v>3.704</v>
      </c>
      <c r="U783" s="5" t="n">
        <v>0.067</v>
      </c>
      <c r="V783" s="5" t="n">
        <v>5.898</v>
      </c>
      <c r="W783" s="5" t="n">
        <v>0.18</v>
      </c>
      <c r="X783" s="5" t="n">
        <v>1</v>
      </c>
      <c r="Y783" s="5" t="n">
        <v>2.259</v>
      </c>
      <c r="Z783" s="5" t="n">
        <v>0.166</v>
      </c>
      <c r="AA783" s="5" t="n">
        <v>13.738</v>
      </c>
      <c r="AB783" s="5" t="n">
        <v>15.997</v>
      </c>
      <c r="AC783" s="5" t="n">
        <v>0</v>
      </c>
      <c r="AD783" s="5" t="n">
        <v>1</v>
      </c>
      <c r="AE783" s="5" t="n">
        <v>2.876</v>
      </c>
      <c r="AF783" s="5" t="n">
        <v>0.389</v>
      </c>
      <c r="AG783" s="5" t="n">
        <v>13.121</v>
      </c>
      <c r="AH783" s="5" t="n">
        <v>15.997</v>
      </c>
      <c r="AI783" s="5" t="n">
        <v>0</v>
      </c>
      <c r="AJ783" s="5" t="n">
        <v>1</v>
      </c>
      <c r="AK783" s="5" t="n">
        <v>6.581</v>
      </c>
      <c r="AL783" s="5" t="n">
        <v>2.445</v>
      </c>
      <c r="AM783" s="5" t="n">
        <v>11.688</v>
      </c>
      <c r="AN783" s="5" t="n">
        <v>21.557</v>
      </c>
      <c r="AO783" s="5" t="n">
        <v>0.18</v>
      </c>
      <c r="AP783" s="5" t="n">
        <v>1</v>
      </c>
      <c r="AQ783" s="5" t="n">
        <v>0.861</v>
      </c>
      <c r="AR783" s="5" t="n">
        <v>0.123</v>
      </c>
      <c r="AS783" s="5" t="n">
        <v>0.267</v>
      </c>
      <c r="AT783" s="5" t="n">
        <v>1.128</v>
      </c>
      <c r="AU783" s="5" t="n">
        <v>0</v>
      </c>
      <c r="AV783" s="5" t="n">
        <v>1</v>
      </c>
      <c r="AW783" s="5" t="n">
        <v>0.986</v>
      </c>
      <c r="AX783" s="5" t="n">
        <v>0.123</v>
      </c>
      <c r="AY783" s="5" t="n">
        <v>0.091</v>
      </c>
      <c r="AZ783" s="5" t="n">
        <v>1.077</v>
      </c>
      <c r="BA783" s="5" t="n">
        <v>0</v>
      </c>
      <c r="BB783" s="5" t="n">
        <v>1</v>
      </c>
      <c r="BC783" s="5" t="n">
        <v>0.598</v>
      </c>
      <c r="BD783" s="5" t="n">
        <v>0.123</v>
      </c>
      <c r="BE783" s="5" t="n">
        <v>0.008</v>
      </c>
      <c r="BF783" s="5" t="n">
        <v>0.705</v>
      </c>
      <c r="BG783" s="5" t="n">
        <v>0.18</v>
      </c>
      <c r="BH783" s="5" t="n">
        <v>1</v>
      </c>
      <c r="BI783" s="5" t="n">
        <v>0.612</v>
      </c>
      <c r="BJ783" s="5" t="n">
        <v>0.123</v>
      </c>
      <c r="BK783" s="5" t="n">
        <v>0.438</v>
      </c>
      <c r="BL783" s="5" t="n">
        <v>1.05</v>
      </c>
      <c r="BM783" s="5" t="n">
        <v>0</v>
      </c>
      <c r="BN783" s="5" t="n">
        <v>1</v>
      </c>
      <c r="BO783" s="5" t="n">
        <v>0</v>
      </c>
      <c r="BP783" s="5" t="n">
        <v>0.015</v>
      </c>
      <c r="BQ783" s="5" t="n">
        <v>0.068</v>
      </c>
      <c r="BR783" s="5" t="n">
        <v>0</v>
      </c>
      <c r="BS783" s="5" t="n">
        <v>0</v>
      </c>
      <c r="BT783" s="5" t="n">
        <v>0</v>
      </c>
      <c r="BU783" s="5" t="n">
        <v>0.022</v>
      </c>
      <c r="BV783" s="5" t="n">
        <v>0.102</v>
      </c>
      <c r="BW783" s="5" t="n">
        <v>0.18</v>
      </c>
      <c r="BX783" s="5" t="n">
        <v>0</v>
      </c>
      <c r="BY783" s="5" t="n">
        <v>12.729</v>
      </c>
      <c r="BZ783" s="5" t="n">
        <v>0</v>
      </c>
      <c r="CA783" s="5" t="n">
        <v>12.729</v>
      </c>
      <c r="CB783" s="5" t="n">
        <v>0</v>
      </c>
      <c r="CC783" s="5" t="n">
        <v>97.90000000000001</v>
      </c>
      <c r="CD783" s="5" t="n">
        <v>7.95</v>
      </c>
      <c r="CE783" s="5" t="n">
        <v>75.864</v>
      </c>
      <c r="CF783" s="5" t="n">
        <v>205.042</v>
      </c>
      <c r="CG783" s="5" t="n">
        <v>0.18</v>
      </c>
      <c r="CH783" s="5" t="n">
        <v>1</v>
      </c>
      <c r="CI783" s="5" t="n">
        <v>0</v>
      </c>
      <c r="CJ783" s="5" t="n">
        <v>0</v>
      </c>
      <c r="CK783" s="5" t="n">
        <v>0</v>
      </c>
      <c r="CL783" s="5" t="n">
        <v>0</v>
      </c>
      <c r="CM783" s="5" t="n">
        <v>0</v>
      </c>
      <c r="CN783" s="5" t="n">
        <v>0</v>
      </c>
      <c r="CO783" s="5" t="n">
        <v>0</v>
      </c>
      <c r="CP783" s="5" t="n">
        <v>1</v>
      </c>
      <c r="CQ783" s="5" t="n">
        <v>1.294</v>
      </c>
      <c r="CR783" s="5" t="n">
        <v>1</v>
      </c>
      <c r="CS783" s="5" t="n">
        <v>1.642</v>
      </c>
      <c r="CT783" s="5" t="n">
        <v>10.485</v>
      </c>
      <c r="CU783" s="5" t="n">
        <v>31.326</v>
      </c>
    </row>
    <row r="784">
      <c r="A784" s="5" t="inlineStr">
        <is>
          <t>TZA2023</t>
        </is>
      </c>
      <c r="B784" s="5" t="inlineStr">
        <is>
          <t>TZA</t>
        </is>
      </c>
      <c r="C784" s="5" t="inlineStr">
        <is>
          <t>TZA</t>
        </is>
      </c>
      <c r="D784" s="5" t="inlineStr">
        <is>
          <t>Tanzania</t>
        </is>
      </c>
      <c r="E784" s="5" t="n">
        <v>2023</v>
      </c>
      <c r="F784" s="5" t="n">
        <v>0.18</v>
      </c>
      <c r="G784" s="5" t="n">
        <v>1.99</v>
      </c>
      <c r="H784" s="5" t="n">
        <v>0.643</v>
      </c>
      <c r="I784" s="5" t="n">
        <v>0</v>
      </c>
      <c r="J784" s="5" t="n">
        <v>1.99</v>
      </c>
      <c r="K784" s="5" t="n">
        <v>0</v>
      </c>
      <c r="L784" s="5" t="n">
        <v>1</v>
      </c>
      <c r="M784" s="5" t="n">
        <v>3.276</v>
      </c>
      <c r="N784" s="5" t="n">
        <v>1.928</v>
      </c>
      <c r="O784" s="5" t="n">
        <v>0</v>
      </c>
      <c r="P784" s="5" t="n">
        <v>3.276</v>
      </c>
      <c r="Q784" s="5" t="n">
        <v>0</v>
      </c>
      <c r="R784" s="5" t="n">
        <v>1</v>
      </c>
      <c r="S784" s="5" t="n">
        <v>5.205</v>
      </c>
      <c r="T784" s="5" t="n">
        <v>3.857</v>
      </c>
      <c r="U784" s="5" t="n">
        <v>0.104</v>
      </c>
      <c r="V784" s="5" t="n">
        <v>6.141</v>
      </c>
      <c r="W784" s="5" t="n">
        <v>0.18</v>
      </c>
      <c r="X784" s="5" t="n">
        <v>1</v>
      </c>
      <c r="Y784" s="5" t="n">
        <v>2.352</v>
      </c>
      <c r="Z784" s="5" t="n">
        <v>0.173</v>
      </c>
      <c r="AA784" s="5" t="n">
        <v>2.122</v>
      </c>
      <c r="AB784" s="5" t="n">
        <v>4.474</v>
      </c>
      <c r="AC784" s="5" t="n">
        <v>0</v>
      </c>
      <c r="AD784" s="5" t="n">
        <v>1</v>
      </c>
      <c r="AE784" s="5" t="n">
        <v>2.995</v>
      </c>
      <c r="AF784" s="5" t="n">
        <v>0.405</v>
      </c>
      <c r="AG784" s="5" t="n">
        <v>4.815</v>
      </c>
      <c r="AH784" s="5" t="n">
        <v>7.81</v>
      </c>
      <c r="AI784" s="5" t="n">
        <v>0</v>
      </c>
      <c r="AJ784" s="5" t="n">
        <v>1</v>
      </c>
      <c r="AK784" s="5" t="n">
        <v>6.852</v>
      </c>
      <c r="AL784" s="5" t="n">
        <v>2.546</v>
      </c>
      <c r="AM784" s="5" t="n">
        <v>4.256</v>
      </c>
      <c r="AN784" s="5" t="n">
        <v>13.107</v>
      </c>
      <c r="AO784" s="5" t="n">
        <v>0.18</v>
      </c>
      <c r="AP784" s="5" t="n">
        <v>1</v>
      </c>
      <c r="AQ784" s="5" t="n">
        <v>0.76</v>
      </c>
      <c r="AR784" s="5" t="n">
        <v>0.129</v>
      </c>
      <c r="AS784" s="5" t="n">
        <v>0.503</v>
      </c>
      <c r="AT784" s="5" t="n">
        <v>1.264</v>
      </c>
      <c r="AU784" s="5" t="n">
        <v>0</v>
      </c>
      <c r="AV784" s="5" t="n">
        <v>1</v>
      </c>
      <c r="AW784" s="5" t="n">
        <v>0.8110000000000001</v>
      </c>
      <c r="AX784" s="5" t="n">
        <v>0.129</v>
      </c>
      <c r="AY784" s="5" t="n">
        <v>0.531</v>
      </c>
      <c r="AZ784" s="5" t="n">
        <v>1.342</v>
      </c>
      <c r="BA784" s="5" t="n">
        <v>0</v>
      </c>
      <c r="BB784" s="5" t="n">
        <v>1</v>
      </c>
      <c r="BC784" s="5" t="n">
        <v>0.535</v>
      </c>
      <c r="BD784" s="5" t="n">
        <v>0.129</v>
      </c>
      <c r="BE784" s="5" t="n">
        <v>0.011</v>
      </c>
      <c r="BF784" s="5" t="n">
        <v>0.631</v>
      </c>
      <c r="BG784" s="5" t="n">
        <v>0.18</v>
      </c>
      <c r="BH784" s="5" t="n">
        <v>1</v>
      </c>
      <c r="BI784" s="5" t="n">
        <v>0.579</v>
      </c>
      <c r="BJ784" s="5" t="n">
        <v>0.129</v>
      </c>
      <c r="BK784" s="5" t="n">
        <v>0.754</v>
      </c>
      <c r="BL784" s="5" t="n">
        <v>1.334</v>
      </c>
      <c r="BM784" s="5" t="n">
        <v>0</v>
      </c>
      <c r="BN784" s="5" t="n">
        <v>1</v>
      </c>
      <c r="BO784" s="5" t="n">
        <v>0</v>
      </c>
      <c r="BP784" s="5" t="n">
        <v>0.014</v>
      </c>
      <c r="BQ784" s="5" t="n">
        <v>0.065</v>
      </c>
      <c r="BR784" s="5" t="n">
        <v>0</v>
      </c>
      <c r="BS784" s="5" t="n">
        <v>0</v>
      </c>
      <c r="BT784" s="5" t="n">
        <v>0</v>
      </c>
      <c r="BU784" s="5" t="n">
        <v>0.022</v>
      </c>
      <c r="BV784" s="5" t="n">
        <v>0.098</v>
      </c>
      <c r="BW784" s="5" t="n">
        <v>0.18</v>
      </c>
      <c r="BX784" s="5" t="n">
        <v>0</v>
      </c>
      <c r="BY784" s="5" t="n">
        <v>13.254</v>
      </c>
      <c r="BZ784" s="5" t="n">
        <v>0</v>
      </c>
      <c r="CA784" s="5" t="n">
        <v>13.254</v>
      </c>
      <c r="CB784" s="5" t="n">
        <v>0</v>
      </c>
      <c r="CC784" s="5" t="n">
        <v>83.248</v>
      </c>
      <c r="CD784" s="5" t="n">
        <v>7.95</v>
      </c>
      <c r="CE784" s="5" t="n">
        <v>85.849</v>
      </c>
      <c r="CF784" s="5" t="n">
        <v>199.534</v>
      </c>
      <c r="CG784" s="5" t="n">
        <v>0.18</v>
      </c>
      <c r="CH784" s="5" t="n">
        <v>1</v>
      </c>
      <c r="CI784" s="5" t="n">
        <v>0</v>
      </c>
      <c r="CJ784" s="5" t="n">
        <v>0</v>
      </c>
      <c r="CK784" s="5" t="n">
        <v>0</v>
      </c>
      <c r="CL784" s="5" t="n">
        <v>0</v>
      </c>
      <c r="CM784" s="5" t="n">
        <v>0</v>
      </c>
      <c r="CN784" s="5" t="n">
        <v>0</v>
      </c>
      <c r="CO784" s="5" t="n">
        <v>0</v>
      </c>
      <c r="CP784" s="5" t="n">
        <v>1</v>
      </c>
      <c r="CQ784" s="5" t="n">
        <v>1.348</v>
      </c>
      <c r="CR784" s="5" t="n">
        <v>1</v>
      </c>
      <c r="CS784" s="5" t="n">
        <v>1.71</v>
      </c>
      <c r="CT784" s="5" t="n">
        <v>4.861</v>
      </c>
      <c r="CU784" s="5" t="n">
        <v>11.622</v>
      </c>
    </row>
    <row r="785">
      <c r="A785" s="5" t="inlineStr">
        <is>
          <t>TZA2024</t>
        </is>
      </c>
      <c r="B785" s="5" t="inlineStr">
        <is>
          <t>TZA</t>
        </is>
      </c>
      <c r="C785" s="5" t="inlineStr">
        <is>
          <t>TZA</t>
        </is>
      </c>
      <c r="D785" s="5" t="inlineStr">
        <is>
          <t>Tanzania</t>
        </is>
      </c>
      <c r="E785" s="5" t="n">
        <v>2024</v>
      </c>
      <c r="F785" s="5" t="n">
        <v>0.18</v>
      </c>
      <c r="G785" s="5" t="n">
        <v>2.049</v>
      </c>
      <c r="H785" s="5" t="n">
        <v>0.662</v>
      </c>
      <c r="I785" s="5" t="n">
        <v>0</v>
      </c>
      <c r="J785" s="5" t="n">
        <v>2.049</v>
      </c>
      <c r="K785" s="5" t="n">
        <v>0</v>
      </c>
      <c r="L785" s="5" t="n">
        <v>1</v>
      </c>
      <c r="M785" s="5" t="n">
        <v>3.373</v>
      </c>
      <c r="N785" s="5" t="n">
        <v>1.985</v>
      </c>
      <c r="O785" s="5" t="n">
        <v>0</v>
      </c>
      <c r="P785" s="5" t="n">
        <v>3.373</v>
      </c>
      <c r="Q785" s="5" t="n">
        <v>0</v>
      </c>
      <c r="R785" s="5" t="n">
        <v>1</v>
      </c>
      <c r="S785" s="5" t="n">
        <v>5.358</v>
      </c>
      <c r="T785" s="5" t="n">
        <v>3.971</v>
      </c>
      <c r="U785" s="5" t="n">
        <v>0.131</v>
      </c>
      <c r="V785" s="5" t="n">
        <v>6.323</v>
      </c>
      <c r="W785" s="5" t="n">
        <v>0.18</v>
      </c>
      <c r="X785" s="5" t="n">
        <v>1</v>
      </c>
      <c r="Y785" s="5" t="n">
        <v>2.422</v>
      </c>
      <c r="Z785" s="5" t="n">
        <v>0.178</v>
      </c>
      <c r="AA785" s="5" t="n">
        <v>2.184</v>
      </c>
      <c r="AB785" s="5" t="n">
        <v>4.606</v>
      </c>
      <c r="AC785" s="5" t="n">
        <v>0</v>
      </c>
      <c r="AD785" s="5" t="n">
        <v>1</v>
      </c>
      <c r="AE785" s="5" t="n">
        <v>3.084</v>
      </c>
      <c r="AF785" s="5" t="n">
        <v>0.417</v>
      </c>
      <c r="AG785" s="5" t="n">
        <v>4.957</v>
      </c>
      <c r="AH785" s="5" t="n">
        <v>8.041</v>
      </c>
      <c r="AI785" s="5" t="n">
        <v>0</v>
      </c>
      <c r="AJ785" s="5" t="n">
        <v>1</v>
      </c>
      <c r="AK785" s="5" t="n">
        <v>7.054</v>
      </c>
      <c r="AL785" s="5" t="n">
        <v>2.621</v>
      </c>
      <c r="AM785" s="5" t="n">
        <v>4.662</v>
      </c>
      <c r="AN785" s="5" t="n">
        <v>13.494</v>
      </c>
      <c r="AO785" s="5" t="n">
        <v>0.18</v>
      </c>
      <c r="AP785" s="5" t="n">
        <v>1</v>
      </c>
      <c r="AQ785" s="5" t="n">
        <v>0.724</v>
      </c>
      <c r="AR785" s="5" t="n">
        <v>0.132</v>
      </c>
      <c r="AS785" s="5" t="n">
        <v>0.494</v>
      </c>
      <c r="AT785" s="5" t="n">
        <v>1.219</v>
      </c>
      <c r="AU785" s="5" t="n">
        <v>0</v>
      </c>
      <c r="AV785" s="5" t="n">
        <v>1</v>
      </c>
      <c r="AW785" s="5" t="n">
        <v>0.75</v>
      </c>
      <c r="AX785" s="5" t="n">
        <v>0.132</v>
      </c>
      <c r="AY785" s="5" t="n">
        <v>0.454</v>
      </c>
      <c r="AZ785" s="5" t="n">
        <v>1.204</v>
      </c>
      <c r="BA785" s="5" t="n">
        <v>0</v>
      </c>
      <c r="BB785" s="5" t="n">
        <v>1</v>
      </c>
      <c r="BC785" s="5" t="n">
        <v>0.513</v>
      </c>
      <c r="BD785" s="5" t="n">
        <v>0.132</v>
      </c>
      <c r="BE785" s="5" t="n">
        <v>0.013</v>
      </c>
      <c r="BF785" s="5" t="n">
        <v>0.605</v>
      </c>
      <c r="BG785" s="5" t="n">
        <v>0.18</v>
      </c>
      <c r="BH785" s="5" t="n">
        <v>1</v>
      </c>
      <c r="BI785" s="5" t="n">
        <v>0.591</v>
      </c>
      <c r="BJ785" s="5" t="n">
        <v>0.132</v>
      </c>
      <c r="BK785" s="5" t="n">
        <v>0.575</v>
      </c>
      <c r="BL785" s="5" t="n">
        <v>1.166</v>
      </c>
      <c r="BM785" s="5" t="n">
        <v>0</v>
      </c>
      <c r="BN785" s="5" t="n">
        <v>1</v>
      </c>
      <c r="BO785" s="5" t="n">
        <v>0</v>
      </c>
      <c r="BP785" s="5" t="n">
        <v>0.013</v>
      </c>
      <c r="BQ785" s="5" t="n">
        <v>0.06</v>
      </c>
      <c r="BR785" s="5" t="n">
        <v>0</v>
      </c>
      <c r="BS785" s="5" t="n">
        <v>0</v>
      </c>
      <c r="BT785" s="5" t="n">
        <v>0</v>
      </c>
      <c r="BU785" s="5" t="n">
        <v>0.02</v>
      </c>
      <c r="BV785" s="5" t="n">
        <v>0.09</v>
      </c>
      <c r="BW785" s="5" t="n">
        <v>0.18</v>
      </c>
      <c r="BX785" s="5" t="n">
        <v>0</v>
      </c>
      <c r="BY785" s="5" t="n">
        <v>13.646</v>
      </c>
      <c r="BZ785" s="5" t="n">
        <v>0</v>
      </c>
      <c r="CA785" s="5" t="n">
        <v>13.646</v>
      </c>
      <c r="CB785" s="5" t="n">
        <v>0</v>
      </c>
      <c r="CC785" s="5" t="n">
        <v>82.58799999999999</v>
      </c>
      <c r="CD785" s="5" t="n">
        <v>7.95</v>
      </c>
      <c r="CE785" s="5" t="n">
        <v>79.34099999999999</v>
      </c>
      <c r="CF785" s="5" t="n">
        <v>191.076</v>
      </c>
      <c r="CG785" s="5" t="n">
        <v>0.18</v>
      </c>
      <c r="CH785" s="5" t="n">
        <v>1</v>
      </c>
      <c r="CI785" s="5" t="n">
        <v>0</v>
      </c>
      <c r="CJ785" s="5" t="n">
        <v>0</v>
      </c>
      <c r="CK785" s="5" t="n">
        <v>0</v>
      </c>
      <c r="CL785" s="5" t="n">
        <v>0</v>
      </c>
      <c r="CM785" s="5" t="n">
        <v>0</v>
      </c>
      <c r="CN785" s="5" t="n">
        <v>0</v>
      </c>
      <c r="CO785" s="5" t="n">
        <v>0</v>
      </c>
      <c r="CP785" s="5" t="n">
        <v>1</v>
      </c>
      <c r="CQ785" s="5" t="n">
        <v>1.387</v>
      </c>
      <c r="CR785" s="5" t="n">
        <v>1</v>
      </c>
      <c r="CS785" s="5" t="n">
        <v>1.76</v>
      </c>
      <c r="CT785" s="5" t="n">
        <v>4.251</v>
      </c>
      <c r="CU785" s="5" t="n">
        <v>10.168</v>
      </c>
    </row>
    <row r="786">
      <c r="A786" s="5" t="inlineStr">
        <is>
          <t>THA2021</t>
        </is>
      </c>
      <c r="B786" s="5" t="inlineStr">
        <is>
          <t>THA</t>
        </is>
      </c>
      <c r="C786" s="5" t="inlineStr">
        <is>
          <t>THA</t>
        </is>
      </c>
      <c r="D786" s="5" t="inlineStr">
        <is>
          <t>Thailand</t>
        </is>
      </c>
      <c r="E786" s="5" t="n">
        <v>2021</v>
      </c>
      <c r="F786" s="5" t="n">
        <v>0.07000000000000001</v>
      </c>
      <c r="G786" s="5" t="n">
        <v>6.669</v>
      </c>
      <c r="H786" s="5" t="n">
        <v>1.143</v>
      </c>
      <c r="I786" s="5" t="n">
        <v>-0.86</v>
      </c>
      <c r="J786" s="5" t="n">
        <v>5.809</v>
      </c>
      <c r="K786" s="5" t="n">
        <v>0</v>
      </c>
      <c r="L786" s="5" t="n">
        <v>1</v>
      </c>
      <c r="M786" s="5" t="n">
        <v>7.964</v>
      </c>
      <c r="N786" s="5" t="n">
        <v>3.43</v>
      </c>
      <c r="O786" s="5" t="n">
        <v>-1.86</v>
      </c>
      <c r="P786" s="5" t="n">
        <v>6.104</v>
      </c>
      <c r="Q786" s="5" t="n">
        <v>0</v>
      </c>
      <c r="R786" s="5" t="n">
        <v>1</v>
      </c>
      <c r="S786" s="5" t="n">
        <v>10.464</v>
      </c>
      <c r="T786" s="5" t="n">
        <v>6.86</v>
      </c>
      <c r="U786" s="5" t="n">
        <v>-1.86</v>
      </c>
      <c r="V786" s="5" t="n">
        <v>9.206</v>
      </c>
      <c r="W786" s="5" t="n">
        <v>0.07000000000000001</v>
      </c>
      <c r="X786" s="5" t="n">
        <v>1</v>
      </c>
      <c r="Y786" s="5" t="n">
        <v>10.907</v>
      </c>
      <c r="Z786" s="5" t="n">
        <v>0.728</v>
      </c>
      <c r="AA786" s="5" t="n">
        <v>0</v>
      </c>
      <c r="AB786" s="5" t="n">
        <v>10.907</v>
      </c>
      <c r="AC786" s="5" t="n">
        <v>0</v>
      </c>
      <c r="AD786" s="5" t="n">
        <v>1</v>
      </c>
      <c r="AE786" s="5" t="n">
        <v>11.676</v>
      </c>
      <c r="AF786" s="5" t="n">
        <v>1.449</v>
      </c>
      <c r="AG786" s="5" t="n">
        <v>0</v>
      </c>
      <c r="AH786" s="5" t="n">
        <v>11.676</v>
      </c>
      <c r="AI786" s="5" t="n">
        <v>0</v>
      </c>
      <c r="AJ786" s="5" t="n">
        <v>1</v>
      </c>
      <c r="AK786" s="5" t="n">
        <v>14.754</v>
      </c>
      <c r="AL786" s="5" t="n">
        <v>7.241</v>
      </c>
      <c r="AM786" s="5" t="n">
        <v>-6.208</v>
      </c>
      <c r="AN786" s="5" t="n">
        <v>9.144</v>
      </c>
      <c r="AO786" s="5" t="n">
        <v>0</v>
      </c>
      <c r="AP786" s="5" t="n">
        <v>0</v>
      </c>
      <c r="AQ786" s="5" t="n">
        <v>0.621</v>
      </c>
      <c r="AR786" s="5" t="n">
        <v>0.114</v>
      </c>
      <c r="AS786" s="5" t="n">
        <v>0.21</v>
      </c>
      <c r="AT786" s="5" t="n">
        <v>0.889</v>
      </c>
      <c r="AU786" s="5" t="n">
        <v>0.07000000000000001</v>
      </c>
      <c r="AV786" s="5" t="n">
        <v>1</v>
      </c>
      <c r="AW786" s="5" t="n">
        <v>0.593</v>
      </c>
      <c r="AX786" s="5" t="n">
        <v>0.114</v>
      </c>
      <c r="AY786" s="5" t="n">
        <v>0.213</v>
      </c>
      <c r="AZ786" s="5" t="n">
        <v>0.862</v>
      </c>
      <c r="BA786" s="5" t="n">
        <v>0.07000000000000001</v>
      </c>
      <c r="BB786" s="5" t="n">
        <v>1</v>
      </c>
      <c r="BC786" s="5" t="n">
        <v>0.421</v>
      </c>
      <c r="BD786" s="5" t="n">
        <v>0.109</v>
      </c>
      <c r="BE786" s="5" t="n">
        <v>-0.123</v>
      </c>
      <c r="BF786" s="5" t="n">
        <v>0.319</v>
      </c>
      <c r="BG786" s="5" t="n">
        <v>0</v>
      </c>
      <c r="BH786" s="5" t="n">
        <v>1</v>
      </c>
      <c r="BI786" s="5" t="n">
        <v>0.5600000000000001</v>
      </c>
      <c r="BJ786" s="5" t="n">
        <v>0.114</v>
      </c>
      <c r="BK786" s="5" t="n">
        <v>-0.109</v>
      </c>
      <c r="BL786" s="5" t="n">
        <v>0.482</v>
      </c>
      <c r="BM786" s="5" t="n">
        <v>0.07000000000000001</v>
      </c>
      <c r="BN786" s="5" t="n">
        <v>1</v>
      </c>
      <c r="BO786" s="5" t="n">
        <v>0</v>
      </c>
      <c r="BP786" s="5" t="n">
        <v>0</v>
      </c>
      <c r="BQ786" s="5" t="n">
        <v>0.094</v>
      </c>
      <c r="BR786" s="5" t="n">
        <v>0</v>
      </c>
      <c r="BS786" s="5" t="n">
        <v>1</v>
      </c>
      <c r="BT786" s="5" t="n">
        <v>0</v>
      </c>
      <c r="BU786" s="5" t="n">
        <v>0</v>
      </c>
      <c r="BV786" s="5" t="n">
        <v>0.118</v>
      </c>
      <c r="BW786" s="5" t="n">
        <v>0.07000000000000001</v>
      </c>
      <c r="BX786" s="5" t="n">
        <v>0.833</v>
      </c>
      <c r="BY786" s="5" t="n">
        <v>11.787</v>
      </c>
      <c r="BZ786" s="5" t="n">
        <v>0</v>
      </c>
      <c r="CA786" s="5" t="n">
        <v>11.787</v>
      </c>
      <c r="CB786" s="5" t="n">
        <v>0</v>
      </c>
      <c r="CC786" s="5" t="n">
        <v>81.69499999999999</v>
      </c>
      <c r="CD786" s="5" t="n">
        <v>7.95</v>
      </c>
      <c r="CE786" s="5" t="n">
        <v>37.903</v>
      </c>
      <c r="CF786" s="5" t="n">
        <v>127.971</v>
      </c>
      <c r="CG786" s="5" t="n">
        <v>0.07000000000000001</v>
      </c>
      <c r="CH786" s="5" t="n">
        <v>1</v>
      </c>
      <c r="CI786" s="5" t="n">
        <v>0</v>
      </c>
      <c r="CJ786" s="5" t="n">
        <v>0</v>
      </c>
      <c r="CK786" s="5" t="n">
        <v>0</v>
      </c>
      <c r="CL786" s="5" t="n">
        <v>0</v>
      </c>
      <c r="CM786" s="5" t="n">
        <v>0</v>
      </c>
      <c r="CN786" s="5" t="n">
        <v>0</v>
      </c>
      <c r="CO786" s="5" t="n">
        <v>0</v>
      </c>
      <c r="CP786" s="5" t="n">
        <v>0</v>
      </c>
      <c r="CQ786" s="5" t="n">
        <v>1.198</v>
      </c>
      <c r="CR786" s="5" t="n">
        <v>0.654</v>
      </c>
      <c r="CS786" s="5" t="n">
        <v>7.139</v>
      </c>
      <c r="CT786" s="5" t="n">
        <v>3.604</v>
      </c>
      <c r="CU786" s="5" t="n">
        <v>20.842</v>
      </c>
    </row>
    <row r="787">
      <c r="A787" s="5" t="inlineStr">
        <is>
          <t>THA2022</t>
        </is>
      </c>
      <c r="B787" s="5" t="inlineStr">
        <is>
          <t>THA</t>
        </is>
      </c>
      <c r="C787" s="5" t="inlineStr">
        <is>
          <t>THA</t>
        </is>
      </c>
      <c r="D787" s="5" t="inlineStr">
        <is>
          <t>Thailand</t>
        </is>
      </c>
      <c r="E787" s="5" t="n">
        <v>2022</v>
      </c>
      <c r="F787" s="5" t="n">
        <v>0.07000000000000001</v>
      </c>
      <c r="G787" s="5" t="n">
        <v>9.582000000000001</v>
      </c>
      <c r="H787" s="5" t="n">
        <v>1.12</v>
      </c>
      <c r="I787" s="5" t="n">
        <v>-0.6889999999999999</v>
      </c>
      <c r="J787" s="5" t="n">
        <v>8.893000000000001</v>
      </c>
      <c r="K787" s="5" t="n">
        <v>0</v>
      </c>
      <c r="L787" s="5" t="n">
        <v>1</v>
      </c>
      <c r="M787" s="5" t="n">
        <v>8.545999999999999</v>
      </c>
      <c r="N787" s="5" t="n">
        <v>3.359</v>
      </c>
      <c r="O787" s="5" t="n">
        <v>-1.769</v>
      </c>
      <c r="P787" s="5" t="n">
        <v>6.777</v>
      </c>
      <c r="Q787" s="5" t="n">
        <v>0</v>
      </c>
      <c r="R787" s="5" t="n">
        <v>1</v>
      </c>
      <c r="S787" s="5" t="n">
        <v>13.105</v>
      </c>
      <c r="T787" s="5" t="n">
        <v>6.718</v>
      </c>
      <c r="U787" s="5" t="n">
        <v>-1.71</v>
      </c>
      <c r="V787" s="5" t="n">
        <v>12.13</v>
      </c>
      <c r="W787" s="5" t="n">
        <v>0.07000000000000001</v>
      </c>
      <c r="X787" s="5" t="n">
        <v>1</v>
      </c>
      <c r="Y787" s="5" t="n">
        <v>17.559</v>
      </c>
      <c r="Z787" s="5" t="n">
        <v>1.172</v>
      </c>
      <c r="AA787" s="5" t="n">
        <v>-3.802</v>
      </c>
      <c r="AB787" s="5" t="n">
        <v>13.757</v>
      </c>
      <c r="AC787" s="5" t="n">
        <v>0</v>
      </c>
      <c r="AD787" s="5" t="n">
        <v>1</v>
      </c>
      <c r="AE787" s="5" t="n">
        <v>18.419</v>
      </c>
      <c r="AF787" s="5" t="n">
        <v>2.286</v>
      </c>
      <c r="AG787" s="5" t="n">
        <v>-3.802</v>
      </c>
      <c r="AH787" s="5" t="n">
        <v>14.617</v>
      </c>
      <c r="AI787" s="5" t="n">
        <v>0</v>
      </c>
      <c r="AJ787" s="5" t="n">
        <v>1</v>
      </c>
      <c r="AK787" s="5" t="n">
        <v>21.86</v>
      </c>
      <c r="AL787" s="5" t="n">
        <v>10.439</v>
      </c>
      <c r="AM787" s="5" t="n">
        <v>-13.276</v>
      </c>
      <c r="AN787" s="5" t="n">
        <v>9.185</v>
      </c>
      <c r="AO787" s="5" t="n">
        <v>0</v>
      </c>
      <c r="AP787" s="5" t="n">
        <v>0</v>
      </c>
      <c r="AQ787" s="5" t="n">
        <v>0.847</v>
      </c>
      <c r="AR787" s="5" t="n">
        <v>0.123</v>
      </c>
      <c r="AS787" s="5" t="n">
        <v>0.156</v>
      </c>
      <c r="AT787" s="5" t="n">
        <v>1.073</v>
      </c>
      <c r="AU787" s="5" t="n">
        <v>0.07000000000000001</v>
      </c>
      <c r="AV787" s="5" t="n">
        <v>1</v>
      </c>
      <c r="AW787" s="5" t="n">
        <v>0.947</v>
      </c>
      <c r="AX787" s="5" t="n">
        <v>0.123</v>
      </c>
      <c r="AY787" s="5" t="n">
        <v>-0.034</v>
      </c>
      <c r="AZ787" s="5" t="n">
        <v>0.977</v>
      </c>
      <c r="BA787" s="5" t="n">
        <v>0.07000000000000001</v>
      </c>
      <c r="BB787" s="5" t="n">
        <v>1</v>
      </c>
      <c r="BC787" s="5" t="n">
        <v>0.473</v>
      </c>
      <c r="BD787" s="5" t="n">
        <v>0.098</v>
      </c>
      <c r="BE787" s="5" t="n">
        <v>-0.155</v>
      </c>
      <c r="BF787" s="5" t="n">
        <v>0.341</v>
      </c>
      <c r="BG787" s="5" t="n">
        <v>0</v>
      </c>
      <c r="BH787" s="5" t="n">
        <v>1</v>
      </c>
      <c r="BI787" s="5" t="n">
        <v>0.6889999999999999</v>
      </c>
      <c r="BJ787" s="5" t="n">
        <v>0.123</v>
      </c>
      <c r="BK787" s="5" t="n">
        <v>0.066</v>
      </c>
      <c r="BL787" s="5" t="n">
        <v>0.8080000000000001</v>
      </c>
      <c r="BM787" s="5" t="n">
        <v>0.07000000000000001</v>
      </c>
      <c r="BN787" s="5" t="n">
        <v>1</v>
      </c>
      <c r="BO787" s="5" t="n">
        <v>0</v>
      </c>
      <c r="BP787" s="5" t="n">
        <v>-0.034</v>
      </c>
      <c r="BQ787" s="5" t="n">
        <v>0.099</v>
      </c>
      <c r="BR787" s="5" t="n">
        <v>0</v>
      </c>
      <c r="BS787" s="5" t="n">
        <v>1</v>
      </c>
      <c r="BT787" s="5" t="n">
        <v>0</v>
      </c>
      <c r="BU787" s="5" t="n">
        <v>-0.034</v>
      </c>
      <c r="BV787" s="5" t="n">
        <v>0.121</v>
      </c>
      <c r="BW787" s="5" t="n">
        <v>0.07000000000000001</v>
      </c>
      <c r="BX787" s="5" t="n">
        <v>0.833</v>
      </c>
      <c r="BY787" s="5" t="n">
        <v>12.729</v>
      </c>
      <c r="BZ787" s="5" t="n">
        <v>0</v>
      </c>
      <c r="CA787" s="5" t="n">
        <v>12.729</v>
      </c>
      <c r="CB787" s="5" t="n">
        <v>0</v>
      </c>
      <c r="CC787" s="5" t="n">
        <v>102.477</v>
      </c>
      <c r="CD787" s="5" t="n">
        <v>7.95</v>
      </c>
      <c r="CE787" s="5" t="n">
        <v>37.759</v>
      </c>
      <c r="CF787" s="5" t="n">
        <v>149.279</v>
      </c>
      <c r="CG787" s="5" t="n">
        <v>0.07000000000000001</v>
      </c>
      <c r="CH787" s="5" t="n">
        <v>1</v>
      </c>
      <c r="CI787" s="5" t="n">
        <v>0</v>
      </c>
      <c r="CJ787" s="5" t="n">
        <v>0</v>
      </c>
      <c r="CK787" s="5" t="n">
        <v>0</v>
      </c>
      <c r="CL787" s="5" t="n">
        <v>0</v>
      </c>
      <c r="CM787" s="5" t="n">
        <v>0</v>
      </c>
      <c r="CN787" s="5" t="n">
        <v>0</v>
      </c>
      <c r="CO787" s="5" t="n">
        <v>0</v>
      </c>
      <c r="CP787" s="5" t="n">
        <v>0.186</v>
      </c>
      <c r="CQ787" s="5" t="n">
        <v>1.294</v>
      </c>
      <c r="CR787" s="5" t="n">
        <v>0.606</v>
      </c>
      <c r="CS787" s="5" t="n">
        <v>7.71</v>
      </c>
      <c r="CT787" s="5" t="n">
        <v>7.554</v>
      </c>
      <c r="CU787" s="5" t="n">
        <v>37.311</v>
      </c>
    </row>
    <row r="788">
      <c r="A788" s="5" t="inlineStr">
        <is>
          <t>THA2023</t>
        </is>
      </c>
      <c r="B788" s="5" t="inlineStr">
        <is>
          <t>THA</t>
        </is>
      </c>
      <c r="C788" s="5" t="inlineStr">
        <is>
          <t>THA</t>
        </is>
      </c>
      <c r="D788" s="5" t="inlineStr">
        <is>
          <t>Thailand</t>
        </is>
      </c>
      <c r="E788" s="5" t="n">
        <v>2023</v>
      </c>
      <c r="F788" s="5" t="n">
        <v>0.07000000000000001</v>
      </c>
      <c r="G788" s="5" t="n">
        <v>7.144</v>
      </c>
      <c r="H788" s="5" t="n">
        <v>1.152</v>
      </c>
      <c r="I788" s="5" t="n">
        <v>0.5600000000000001</v>
      </c>
      <c r="J788" s="5" t="n">
        <v>7.704</v>
      </c>
      <c r="K788" s="5" t="n">
        <v>0</v>
      </c>
      <c r="L788" s="5" t="n">
        <v>1</v>
      </c>
      <c r="M788" s="5" t="n">
        <v>6.926</v>
      </c>
      <c r="N788" s="5" t="n">
        <v>3.455</v>
      </c>
      <c r="O788" s="5" t="n">
        <v>-0.5649999999999999</v>
      </c>
      <c r="P788" s="5" t="n">
        <v>6.362</v>
      </c>
      <c r="Q788" s="5" t="n">
        <v>0</v>
      </c>
      <c r="R788" s="5" t="n">
        <v>1</v>
      </c>
      <c r="S788" s="5" t="n">
        <v>10.742</v>
      </c>
      <c r="T788" s="5" t="n">
        <v>6.911</v>
      </c>
      <c r="U788" s="5" t="n">
        <v>-0.486</v>
      </c>
      <c r="V788" s="5" t="n">
        <v>10.89</v>
      </c>
      <c r="W788" s="5" t="n">
        <v>0.07000000000000001</v>
      </c>
      <c r="X788" s="5" t="n">
        <v>1</v>
      </c>
      <c r="Y788" s="5" t="n">
        <v>11.311</v>
      </c>
      <c r="Z788" s="5" t="n">
        <v>0.755</v>
      </c>
      <c r="AA788" s="5" t="n">
        <v>-0.851</v>
      </c>
      <c r="AB788" s="5" t="n">
        <v>10.459</v>
      </c>
      <c r="AC788" s="5" t="n">
        <v>0</v>
      </c>
      <c r="AD788" s="5" t="n">
        <v>1</v>
      </c>
      <c r="AE788" s="5" t="n">
        <v>12.246</v>
      </c>
      <c r="AF788" s="5" t="n">
        <v>1.52</v>
      </c>
      <c r="AG788" s="5" t="n">
        <v>-0.851</v>
      </c>
      <c r="AH788" s="5" t="n">
        <v>11.395</v>
      </c>
      <c r="AI788" s="5" t="n">
        <v>0</v>
      </c>
      <c r="AJ788" s="5" t="n">
        <v>1</v>
      </c>
      <c r="AK788" s="5" t="n">
        <v>15.99</v>
      </c>
      <c r="AL788" s="5" t="n">
        <v>7.921</v>
      </c>
      <c r="AM788" s="5" t="n">
        <v>-6.148</v>
      </c>
      <c r="AN788" s="5" t="n">
        <v>10.531</v>
      </c>
      <c r="AO788" s="5" t="n">
        <v>0</v>
      </c>
      <c r="AP788" s="5" t="n">
        <v>0</v>
      </c>
      <c r="AQ788" s="5" t="n">
        <v>0.749</v>
      </c>
      <c r="AR788" s="5" t="n">
        <v>0.129</v>
      </c>
      <c r="AS788" s="5" t="n">
        <v>0.23</v>
      </c>
      <c r="AT788" s="5" t="n">
        <v>1.047</v>
      </c>
      <c r="AU788" s="5" t="n">
        <v>0.07000000000000001</v>
      </c>
      <c r="AV788" s="5" t="n">
        <v>1</v>
      </c>
      <c r="AW788" s="5" t="n">
        <v>0.783</v>
      </c>
      <c r="AX788" s="5" t="n">
        <v>0.129</v>
      </c>
      <c r="AY788" s="5" t="n">
        <v>0.107</v>
      </c>
      <c r="AZ788" s="5" t="n">
        <v>0.952</v>
      </c>
      <c r="BA788" s="5" t="n">
        <v>0.07000000000000001</v>
      </c>
      <c r="BB788" s="5" t="n">
        <v>1</v>
      </c>
      <c r="BC788" s="5" t="n">
        <v>0.41</v>
      </c>
      <c r="BD788" s="5" t="n">
        <v>0.098</v>
      </c>
      <c r="BE788" s="5" t="n">
        <v>-0.037</v>
      </c>
      <c r="BF788" s="5" t="n">
        <v>0.399</v>
      </c>
      <c r="BG788" s="5" t="n">
        <v>0</v>
      </c>
      <c r="BH788" s="5" t="n">
        <v>1</v>
      </c>
      <c r="BI788" s="5" t="n">
        <v>0.64</v>
      </c>
      <c r="BJ788" s="5" t="n">
        <v>0.129</v>
      </c>
      <c r="BK788" s="5" t="n">
        <v>-0.012</v>
      </c>
      <c r="BL788" s="5" t="n">
        <v>0.671</v>
      </c>
      <c r="BM788" s="5" t="n">
        <v>0.07000000000000001</v>
      </c>
      <c r="BN788" s="5" t="n">
        <v>1</v>
      </c>
      <c r="BO788" s="5" t="n">
        <v>0</v>
      </c>
      <c r="BP788" s="5" t="n">
        <v>0</v>
      </c>
      <c r="BQ788" s="5" t="n">
        <v>0.116</v>
      </c>
      <c r="BR788" s="5" t="n">
        <v>0</v>
      </c>
      <c r="BS788" s="5" t="n">
        <v>1</v>
      </c>
      <c r="BT788" s="5" t="n">
        <v>0</v>
      </c>
      <c r="BU788" s="5" t="n">
        <v>0</v>
      </c>
      <c r="BV788" s="5" t="n">
        <v>0.133</v>
      </c>
      <c r="BW788" s="5" t="n">
        <v>0.07000000000000001</v>
      </c>
      <c r="BX788" s="5" t="n">
        <v>0.833</v>
      </c>
      <c r="BY788" s="5" t="n">
        <v>13.254</v>
      </c>
      <c r="BZ788" s="5" t="n">
        <v>0</v>
      </c>
      <c r="CA788" s="5" t="n">
        <v>13.254</v>
      </c>
      <c r="CB788" s="5" t="n">
        <v>0</v>
      </c>
      <c r="CC788" s="5" t="n">
        <v>87.07899999999999</v>
      </c>
      <c r="CD788" s="5" t="n">
        <v>7.95</v>
      </c>
      <c r="CE788" s="5" t="n">
        <v>44.946</v>
      </c>
      <c r="CF788" s="5" t="n">
        <v>140.181</v>
      </c>
      <c r="CG788" s="5" t="n">
        <v>0.07000000000000001</v>
      </c>
      <c r="CH788" s="5" t="n">
        <v>1</v>
      </c>
      <c r="CI788" s="5" t="n">
        <v>0</v>
      </c>
      <c r="CJ788" s="5" t="n">
        <v>0</v>
      </c>
      <c r="CK788" s="5" t="n">
        <v>0</v>
      </c>
      <c r="CL788" s="5" t="n">
        <v>0</v>
      </c>
      <c r="CM788" s="5" t="n">
        <v>0</v>
      </c>
      <c r="CN788" s="5" t="n">
        <v>0</v>
      </c>
      <c r="CO788" s="5" t="n">
        <v>0</v>
      </c>
      <c r="CP788" s="5" t="n">
        <v>0.208</v>
      </c>
      <c r="CQ788" s="5" t="n">
        <v>1.348</v>
      </c>
      <c r="CR788" s="5" t="n">
        <v>0.544</v>
      </c>
      <c r="CS788" s="5" t="n">
        <v>8.028</v>
      </c>
      <c r="CT788" s="5" t="n">
        <v>4.484</v>
      </c>
      <c r="CU788" s="5" t="n">
        <v>15.087</v>
      </c>
    </row>
    <row r="789">
      <c r="A789" s="5" t="inlineStr">
        <is>
          <t>THA2024</t>
        </is>
      </c>
      <c r="B789" s="5" t="inlineStr">
        <is>
          <t>THA</t>
        </is>
      </c>
      <c r="C789" s="5" t="inlineStr">
        <is>
          <t>THA</t>
        </is>
      </c>
      <c r="D789" s="5" t="inlineStr">
        <is>
          <t>Thailand</t>
        </is>
      </c>
      <c r="E789" s="5" t="n">
        <v>2024</v>
      </c>
      <c r="F789" s="5" t="n">
        <v>0.07000000000000001</v>
      </c>
      <c r="G789" s="5" t="n">
        <v>6.478</v>
      </c>
      <c r="H789" s="5" t="n">
        <v>1.186</v>
      </c>
      <c r="I789" s="5" t="n">
        <v>0.641</v>
      </c>
      <c r="J789" s="5" t="n">
        <v>7.119</v>
      </c>
      <c r="K789" s="5" t="n">
        <v>0</v>
      </c>
      <c r="L789" s="5" t="n">
        <v>1</v>
      </c>
      <c r="M789" s="5" t="n">
        <v>6.343</v>
      </c>
      <c r="N789" s="5" t="n">
        <v>3.557</v>
      </c>
      <c r="O789" s="5" t="n">
        <v>-0.517</v>
      </c>
      <c r="P789" s="5" t="n">
        <v>5.826</v>
      </c>
      <c r="Q789" s="5" t="n">
        <v>0</v>
      </c>
      <c r="R789" s="5" t="n">
        <v>1</v>
      </c>
      <c r="S789" s="5" t="n">
        <v>10.182</v>
      </c>
      <c r="T789" s="5" t="n">
        <v>7.115</v>
      </c>
      <c r="U789" s="5" t="n">
        <v>-0.425</v>
      </c>
      <c r="V789" s="5" t="n">
        <v>10.342</v>
      </c>
      <c r="W789" s="5" t="n">
        <v>0.07000000000000001</v>
      </c>
      <c r="X789" s="5" t="n">
        <v>1</v>
      </c>
      <c r="Y789" s="5" t="n">
        <v>10.691</v>
      </c>
      <c r="Z789" s="5" t="n">
        <v>0.713</v>
      </c>
      <c r="AA789" s="5" t="n">
        <v>-0.78</v>
      </c>
      <c r="AB789" s="5" t="n">
        <v>9.911</v>
      </c>
      <c r="AC789" s="5" t="n">
        <v>0</v>
      </c>
      <c r="AD789" s="5" t="n">
        <v>1</v>
      </c>
      <c r="AE789" s="5" t="n">
        <v>11.654</v>
      </c>
      <c r="AF789" s="5" t="n">
        <v>1.446</v>
      </c>
      <c r="AG789" s="5" t="n">
        <v>-0.78</v>
      </c>
      <c r="AH789" s="5" t="n">
        <v>10.875</v>
      </c>
      <c r="AI789" s="5" t="n">
        <v>0</v>
      </c>
      <c r="AJ789" s="5" t="n">
        <v>1</v>
      </c>
      <c r="AK789" s="5" t="n">
        <v>14.027</v>
      </c>
      <c r="AL789" s="5" t="n">
        <v>7.134</v>
      </c>
      <c r="AM789" s="5" t="n">
        <v>-4.13</v>
      </c>
      <c r="AN789" s="5" t="n">
        <v>10.589</v>
      </c>
      <c r="AO789" s="5" t="n">
        <v>0</v>
      </c>
      <c r="AP789" s="5" t="n">
        <v>0</v>
      </c>
      <c r="AQ789" s="5" t="n">
        <v>0.72</v>
      </c>
      <c r="AR789" s="5" t="n">
        <v>0.132</v>
      </c>
      <c r="AS789" s="5" t="n">
        <v>0.258</v>
      </c>
      <c r="AT789" s="5" t="n">
        <v>1.046</v>
      </c>
      <c r="AU789" s="5" t="n">
        <v>0.07000000000000001</v>
      </c>
      <c r="AV789" s="5" t="n">
        <v>1</v>
      </c>
      <c r="AW789" s="5" t="n">
        <v>0.734</v>
      </c>
      <c r="AX789" s="5" t="n">
        <v>0.132</v>
      </c>
      <c r="AY789" s="5" t="n">
        <v>0.154</v>
      </c>
      <c r="AZ789" s="5" t="n">
        <v>0.95</v>
      </c>
      <c r="BA789" s="5" t="n">
        <v>0.07000000000000001</v>
      </c>
      <c r="BB789" s="5" t="n">
        <v>1</v>
      </c>
      <c r="BC789" s="5" t="n">
        <v>0.407</v>
      </c>
      <c r="BD789" s="5" t="n">
        <v>0.105</v>
      </c>
      <c r="BE789" s="5" t="n">
        <v>-0.037</v>
      </c>
      <c r="BF789" s="5" t="n">
        <v>0.396</v>
      </c>
      <c r="BG789" s="5" t="n">
        <v>0</v>
      </c>
      <c r="BH789" s="5" t="n">
        <v>1</v>
      </c>
      <c r="BI789" s="5" t="n">
        <v>0.652</v>
      </c>
      <c r="BJ789" s="5" t="n">
        <v>0.132</v>
      </c>
      <c r="BK789" s="5" t="n">
        <v>-0.006</v>
      </c>
      <c r="BL789" s="5" t="n">
        <v>0.6850000000000001</v>
      </c>
      <c r="BM789" s="5" t="n">
        <v>0.07000000000000001</v>
      </c>
      <c r="BN789" s="5" t="n">
        <v>1</v>
      </c>
      <c r="BO789" s="5" t="n">
        <v>0</v>
      </c>
      <c r="BP789" s="5" t="n">
        <v>0</v>
      </c>
      <c r="BQ789" s="5" t="n">
        <v>0.1</v>
      </c>
      <c r="BR789" s="5" t="n">
        <v>0</v>
      </c>
      <c r="BS789" s="5" t="n">
        <v>1</v>
      </c>
      <c r="BT789" s="5" t="n">
        <v>0</v>
      </c>
      <c r="BU789" s="5" t="n">
        <v>0</v>
      </c>
      <c r="BV789" s="5" t="n">
        <v>0.122</v>
      </c>
      <c r="BW789" s="5" t="n">
        <v>0.07000000000000001</v>
      </c>
      <c r="BX789" s="5" t="n">
        <v>0.833</v>
      </c>
      <c r="BY789" s="5" t="n">
        <v>13.646</v>
      </c>
      <c r="BZ789" s="5" t="n">
        <v>0</v>
      </c>
      <c r="CA789" s="5" t="n">
        <v>13.646</v>
      </c>
      <c r="CB789" s="5" t="n">
        <v>0</v>
      </c>
      <c r="CC789" s="5" t="n">
        <v>86.38500000000001</v>
      </c>
      <c r="CD789" s="5" t="n">
        <v>7.95</v>
      </c>
      <c r="CE789" s="5" t="n">
        <v>47.384</v>
      </c>
      <c r="CF789" s="5" t="n">
        <v>141.781</v>
      </c>
      <c r="CG789" s="5" t="n">
        <v>0.07000000000000001</v>
      </c>
      <c r="CH789" s="5" t="n">
        <v>1</v>
      </c>
      <c r="CI789" s="5" t="n">
        <v>0</v>
      </c>
      <c r="CJ789" s="5" t="n">
        <v>0</v>
      </c>
      <c r="CK789" s="5" t="n">
        <v>0</v>
      </c>
      <c r="CL789" s="5" t="n">
        <v>0</v>
      </c>
      <c r="CM789" s="5" t="n">
        <v>0</v>
      </c>
      <c r="CN789" s="5" t="n">
        <v>0</v>
      </c>
      <c r="CO789" s="5" t="n">
        <v>0</v>
      </c>
      <c r="CP789" s="5" t="n">
        <v>0.208</v>
      </c>
      <c r="CQ789" s="5" t="n">
        <v>1.387</v>
      </c>
      <c r="CR789" s="5" t="n">
        <v>0.544</v>
      </c>
      <c r="CS789" s="5" t="n">
        <v>8.265000000000001</v>
      </c>
      <c r="CT789" s="5" t="n">
        <v>3.509</v>
      </c>
      <c r="CU789" s="5" t="n">
        <v>13.12</v>
      </c>
    </row>
    <row r="790">
      <c r="A790" s="5" t="inlineStr">
        <is>
          <t>TLS2021</t>
        </is>
      </c>
      <c r="B790" s="5" t="inlineStr">
        <is>
          <t>TLS</t>
        </is>
      </c>
      <c r="C790" s="5" t="inlineStr">
        <is>
          <t>TLS</t>
        </is>
      </c>
      <c r="D790" s="5" t="inlineStr">
        <is>
          <t>Timor-Leste</t>
        </is>
      </c>
      <c r="E790" s="5" t="n">
        <v>2021</v>
      </c>
      <c r="F790" s="5" t="n">
        <v>0.025</v>
      </c>
      <c r="G790" s="5" t="n">
        <v>4.747</v>
      </c>
      <c r="H790" s="5" t="n">
        <v>1.143</v>
      </c>
      <c r="I790" s="5" t="n">
        <v>0</v>
      </c>
      <c r="J790" s="5" t="n">
        <v>4.747</v>
      </c>
      <c r="K790" s="5" t="n">
        <v>0</v>
      </c>
      <c r="L790" s="5" t="n">
        <v>1</v>
      </c>
      <c r="M790" s="5" t="n">
        <v>7.964</v>
      </c>
      <c r="N790" s="5" t="n">
        <v>3.43</v>
      </c>
      <c r="O790" s="5" t="n">
        <v>0</v>
      </c>
      <c r="P790" s="5" t="n">
        <v>7.964</v>
      </c>
      <c r="Q790" s="5" t="n">
        <v>0</v>
      </c>
      <c r="R790" s="5" t="n">
        <v>1</v>
      </c>
      <c r="S790" s="5" t="n">
        <v>10.464</v>
      </c>
      <c r="T790" s="5" t="n">
        <v>6.86</v>
      </c>
      <c r="U790" s="5" t="n">
        <v>0</v>
      </c>
      <c r="V790" s="5" t="n">
        <v>10.726</v>
      </c>
      <c r="W790" s="5" t="n">
        <v>0.025</v>
      </c>
      <c r="X790" s="5" t="n">
        <v>1</v>
      </c>
      <c r="Y790" s="5" t="n">
        <v>10.535</v>
      </c>
      <c r="Z790" s="5" t="n">
        <v>1.3</v>
      </c>
      <c r="AA790" s="5" t="n">
        <v>0</v>
      </c>
      <c r="AB790" s="5" t="n">
        <v>10.535</v>
      </c>
      <c r="AC790" s="5" t="n">
        <v>0</v>
      </c>
      <c r="AD790" s="5" t="n">
        <v>1</v>
      </c>
      <c r="AE790" s="5" t="n">
        <v>11.678</v>
      </c>
      <c r="AF790" s="5" t="n">
        <v>2.546</v>
      </c>
      <c r="AG790" s="5" t="n">
        <v>0</v>
      </c>
      <c r="AH790" s="5" t="n">
        <v>11.678</v>
      </c>
      <c r="AI790" s="5" t="n">
        <v>0</v>
      </c>
      <c r="AJ790" s="5" t="n">
        <v>1</v>
      </c>
      <c r="AK790" s="5" t="n">
        <v>18.538</v>
      </c>
      <c r="AL790" s="5" t="n">
        <v>9.619</v>
      </c>
      <c r="AM790" s="5" t="n">
        <v>0</v>
      </c>
      <c r="AN790" s="5" t="n">
        <v>19.002</v>
      </c>
      <c r="AO790" s="5" t="n">
        <v>0.025</v>
      </c>
      <c r="AP790" s="5" t="n">
        <v>1</v>
      </c>
      <c r="AQ790" s="5" t="n">
        <v>0.621</v>
      </c>
      <c r="AR790" s="5" t="n">
        <v>0.114</v>
      </c>
      <c r="AS790" s="5" t="n">
        <v>0</v>
      </c>
      <c r="AT790" s="5" t="n">
        <v>0.636</v>
      </c>
      <c r="AU790" s="5" t="n">
        <v>0.025</v>
      </c>
      <c r="AV790" s="5" t="n">
        <v>1</v>
      </c>
      <c r="AW790" s="5" t="n">
        <v>0.593</v>
      </c>
      <c r="AX790" s="5" t="n">
        <v>0.114</v>
      </c>
      <c r="AY790" s="5" t="n">
        <v>0</v>
      </c>
      <c r="AZ790" s="5" t="n">
        <v>0.608</v>
      </c>
      <c r="BA790" s="5" t="n">
        <v>0.025</v>
      </c>
      <c r="BB790" s="5" t="n">
        <v>1</v>
      </c>
      <c r="BC790" s="5" t="n">
        <v>0.44</v>
      </c>
      <c r="BD790" s="5" t="n">
        <v>0.114</v>
      </c>
      <c r="BE790" s="5" t="n">
        <v>0</v>
      </c>
      <c r="BF790" s="5" t="n">
        <v>0.451</v>
      </c>
      <c r="BG790" s="5" t="n">
        <v>0.025</v>
      </c>
      <c r="BH790" s="5" t="n">
        <v>1</v>
      </c>
      <c r="BI790" s="5" t="n">
        <v>0.5600000000000001</v>
      </c>
      <c r="BJ790" s="5" t="n">
        <v>0.114</v>
      </c>
      <c r="BK790" s="5" t="n">
        <v>0</v>
      </c>
      <c r="BL790" s="5" t="n">
        <v>0.574</v>
      </c>
      <c r="BM790" s="5" t="n">
        <v>0.025</v>
      </c>
      <c r="BN790" s="5" t="n">
        <v>1</v>
      </c>
      <c r="BO790" s="5" t="n">
        <v>0</v>
      </c>
      <c r="BP790" s="5" t="n">
        <v>0</v>
      </c>
      <c r="BQ790" s="5" t="n">
        <v>0</v>
      </c>
      <c r="BR790" s="5" t="n">
        <v>0</v>
      </c>
      <c r="BS790" s="5" t="n">
        <v>1</v>
      </c>
      <c r="BT790" s="5" t="n">
        <v>0</v>
      </c>
      <c r="BU790" s="5" t="n">
        <v>0</v>
      </c>
      <c r="BV790" s="5" t="n">
        <v>0</v>
      </c>
      <c r="BW790" s="5" t="n">
        <v>0.025</v>
      </c>
      <c r="BX790" s="5" t="n">
        <v>1</v>
      </c>
      <c r="BY790" s="5" t="n">
        <v>11.787</v>
      </c>
      <c r="BZ790" s="5" t="n">
        <v>0</v>
      </c>
      <c r="CA790" s="5" t="n">
        <v>11.787</v>
      </c>
      <c r="CB790" s="5" t="n">
        <v>0</v>
      </c>
      <c r="CC790" s="5" t="n">
        <v>81.69499999999999</v>
      </c>
      <c r="CD790" s="5" t="n">
        <v>7.95</v>
      </c>
      <c r="CE790" s="5" t="n">
        <v>0</v>
      </c>
      <c r="CF790" s="5" t="n">
        <v>83.738</v>
      </c>
      <c r="CG790" s="5" t="n">
        <v>0.025</v>
      </c>
      <c r="CH790" s="5" t="n">
        <v>1</v>
      </c>
      <c r="CI790" s="5" t="n">
        <v>0</v>
      </c>
      <c r="CJ790" s="5" t="n">
        <v>0</v>
      </c>
      <c r="CK790" s="5" t="n">
        <v>0</v>
      </c>
      <c r="CL790" s="5" t="n">
        <v>0</v>
      </c>
      <c r="CM790" s="5" t="n">
        <v>0</v>
      </c>
      <c r="CN790" s="5" t="n">
        <v>0</v>
      </c>
      <c r="CO790" s="5" t="n">
        <v>0</v>
      </c>
      <c r="CP790" s="5" t="n">
        <v>0</v>
      </c>
      <c r="CQ790" s="5" t="n">
        <v>1.198</v>
      </c>
      <c r="CR790" s="5" t="n">
        <v>0</v>
      </c>
      <c r="CS790" s="5" t="n">
        <v>4.776</v>
      </c>
      <c r="CT790" s="5" t="n">
        <v>3.604</v>
      </c>
      <c r="CU790" s="5" t="n">
        <v>9.407999999999999</v>
      </c>
    </row>
    <row r="791">
      <c r="A791" s="5" t="inlineStr">
        <is>
          <t>TLS2022</t>
        </is>
      </c>
      <c r="B791" s="5" t="inlineStr">
        <is>
          <t>TLS</t>
        </is>
      </c>
      <c r="C791" s="5" t="inlineStr">
        <is>
          <t>TLS</t>
        </is>
      </c>
      <c r="D791" s="5" t="inlineStr">
        <is>
          <t>Timor-Leste</t>
        </is>
      </c>
      <c r="E791" s="5" t="n">
        <v>2022</v>
      </c>
      <c r="F791" s="5" t="n">
        <v>0.025</v>
      </c>
      <c r="G791" s="5" t="n">
        <v>8.788</v>
      </c>
      <c r="H791" s="5" t="n">
        <v>1.235</v>
      </c>
      <c r="I791" s="5" t="n">
        <v>0</v>
      </c>
      <c r="J791" s="5" t="n">
        <v>8.788</v>
      </c>
      <c r="K791" s="5" t="n">
        <v>0</v>
      </c>
      <c r="L791" s="5" t="n">
        <v>1</v>
      </c>
      <c r="M791" s="5" t="n">
        <v>9.782999999999999</v>
      </c>
      <c r="N791" s="5" t="n">
        <v>3.704</v>
      </c>
      <c r="O791" s="5" t="n">
        <v>0</v>
      </c>
      <c r="P791" s="5" t="n">
        <v>9.782999999999999</v>
      </c>
      <c r="Q791" s="5" t="n">
        <v>0</v>
      </c>
      <c r="R791" s="5" t="n">
        <v>1</v>
      </c>
      <c r="S791" s="5" t="n">
        <v>14.962</v>
      </c>
      <c r="T791" s="5" t="n">
        <v>7.408</v>
      </c>
      <c r="U791" s="5" t="n">
        <v>0.028</v>
      </c>
      <c r="V791" s="5" t="n">
        <v>15.336</v>
      </c>
      <c r="W791" s="5" t="n">
        <v>0.025</v>
      </c>
      <c r="X791" s="5" t="n">
        <v>1</v>
      </c>
      <c r="Y791" s="5" t="n">
        <v>8.529</v>
      </c>
      <c r="Z791" s="5" t="n">
        <v>1.052</v>
      </c>
      <c r="AA791" s="5" t="n">
        <v>0</v>
      </c>
      <c r="AB791" s="5" t="n">
        <v>8.529</v>
      </c>
      <c r="AC791" s="5" t="n">
        <v>0</v>
      </c>
      <c r="AD791" s="5" t="n">
        <v>1</v>
      </c>
      <c r="AE791" s="5" t="n">
        <v>9.763</v>
      </c>
      <c r="AF791" s="5" t="n">
        <v>2.128</v>
      </c>
      <c r="AG791" s="5" t="n">
        <v>0</v>
      </c>
      <c r="AH791" s="5" t="n">
        <v>9.763</v>
      </c>
      <c r="AI791" s="5" t="n">
        <v>0</v>
      </c>
      <c r="AJ791" s="5" t="n">
        <v>1</v>
      </c>
      <c r="AK791" s="5" t="n">
        <v>17.171</v>
      </c>
      <c r="AL791" s="5" t="n">
        <v>8.91</v>
      </c>
      <c r="AM791" s="5" t="n">
        <v>0.032</v>
      </c>
      <c r="AN791" s="5" t="n">
        <v>17.601</v>
      </c>
      <c r="AO791" s="5" t="n">
        <v>0.025</v>
      </c>
      <c r="AP791" s="5" t="n">
        <v>1</v>
      </c>
      <c r="AQ791" s="5" t="n">
        <v>0.847</v>
      </c>
      <c r="AR791" s="5" t="n">
        <v>0.123</v>
      </c>
      <c r="AS791" s="5" t="n">
        <v>0.002</v>
      </c>
      <c r="AT791" s="5" t="n">
        <v>0.868</v>
      </c>
      <c r="AU791" s="5" t="n">
        <v>0.025</v>
      </c>
      <c r="AV791" s="5" t="n">
        <v>1</v>
      </c>
      <c r="AW791" s="5" t="n">
        <v>0.947</v>
      </c>
      <c r="AX791" s="5" t="n">
        <v>0.123</v>
      </c>
      <c r="AY791" s="5" t="n">
        <v>0.002</v>
      </c>
      <c r="AZ791" s="5" t="n">
        <v>0.97</v>
      </c>
      <c r="BA791" s="5" t="n">
        <v>0.025</v>
      </c>
      <c r="BB791" s="5" t="n">
        <v>1</v>
      </c>
      <c r="BC791" s="5" t="n">
        <v>0.589</v>
      </c>
      <c r="BD791" s="5" t="n">
        <v>0.123</v>
      </c>
      <c r="BE791" s="5" t="n">
        <v>0.001</v>
      </c>
      <c r="BF791" s="5" t="n">
        <v>0.603</v>
      </c>
      <c r="BG791" s="5" t="n">
        <v>0.025</v>
      </c>
      <c r="BH791" s="5" t="n">
        <v>1</v>
      </c>
      <c r="BI791" s="5" t="n">
        <v>0.6889999999999999</v>
      </c>
      <c r="BJ791" s="5" t="n">
        <v>0.123</v>
      </c>
      <c r="BK791" s="5" t="n">
        <v>0.001</v>
      </c>
      <c r="BL791" s="5" t="n">
        <v>0.706</v>
      </c>
      <c r="BM791" s="5" t="n">
        <v>0.025</v>
      </c>
      <c r="BN791" s="5" t="n">
        <v>1</v>
      </c>
      <c r="BO791" s="5" t="n">
        <v>0</v>
      </c>
      <c r="BP791" s="5" t="n">
        <v>0</v>
      </c>
      <c r="BQ791" s="5" t="n">
        <v>0</v>
      </c>
      <c r="BR791" s="5" t="n">
        <v>0</v>
      </c>
      <c r="BS791" s="5" t="n">
        <v>1</v>
      </c>
      <c r="BT791" s="5" t="n">
        <v>0</v>
      </c>
      <c r="BU791" s="5" t="n">
        <v>0</v>
      </c>
      <c r="BV791" s="5" t="n">
        <v>0</v>
      </c>
      <c r="BW791" s="5" t="n">
        <v>0.025</v>
      </c>
      <c r="BX791" s="5" t="n">
        <v>1</v>
      </c>
      <c r="BY791" s="5" t="n">
        <v>12.729</v>
      </c>
      <c r="BZ791" s="5" t="n">
        <v>0</v>
      </c>
      <c r="CA791" s="5" t="n">
        <v>12.729</v>
      </c>
      <c r="CB791" s="5" t="n">
        <v>0</v>
      </c>
      <c r="CC791" s="5" t="n">
        <v>102.477</v>
      </c>
      <c r="CD791" s="5" t="n">
        <v>7.95</v>
      </c>
      <c r="CE791" s="5" t="n">
        <v>0.19</v>
      </c>
      <c r="CF791" s="5" t="n">
        <v>105.038</v>
      </c>
      <c r="CG791" s="5" t="n">
        <v>0.025</v>
      </c>
      <c r="CH791" s="5" t="n">
        <v>1</v>
      </c>
      <c r="CI791" s="5" t="n">
        <v>0</v>
      </c>
      <c r="CJ791" s="5" t="n">
        <v>0</v>
      </c>
      <c r="CK791" s="5" t="n">
        <v>0</v>
      </c>
      <c r="CL791" s="5" t="n">
        <v>0</v>
      </c>
      <c r="CM791" s="5" t="n">
        <v>0</v>
      </c>
      <c r="CN791" s="5" t="n">
        <v>0</v>
      </c>
      <c r="CO791" s="5" t="n">
        <v>0</v>
      </c>
      <c r="CP791" s="5" t="n">
        <v>0</v>
      </c>
      <c r="CQ791" s="5" t="n">
        <v>1.294</v>
      </c>
      <c r="CR791" s="5" t="n">
        <v>0</v>
      </c>
      <c r="CS791" s="5" t="n">
        <v>5.158</v>
      </c>
      <c r="CT791" s="5" t="n">
        <v>7.554</v>
      </c>
      <c r="CU791" s="5" t="n">
        <v>16.097</v>
      </c>
    </row>
    <row r="792">
      <c r="A792" s="5" t="inlineStr">
        <is>
          <t>TLS2023</t>
        </is>
      </c>
      <c r="B792" s="5" t="inlineStr">
        <is>
          <t>TLS</t>
        </is>
      </c>
      <c r="C792" s="5" t="inlineStr">
        <is>
          <t>TLS</t>
        </is>
      </c>
      <c r="D792" s="5" t="inlineStr">
        <is>
          <t>Timor-Leste</t>
        </is>
      </c>
      <c r="E792" s="5" t="n">
        <v>2023</v>
      </c>
      <c r="F792" s="5" t="n">
        <v>0.025</v>
      </c>
      <c r="G792" s="5" t="n">
        <v>5.77</v>
      </c>
      <c r="H792" s="5" t="n">
        <v>1.286</v>
      </c>
      <c r="I792" s="5" t="n">
        <v>0</v>
      </c>
      <c r="J792" s="5" t="n">
        <v>5.77</v>
      </c>
      <c r="K792" s="5" t="n">
        <v>0</v>
      </c>
      <c r="L792" s="5" t="n">
        <v>1</v>
      </c>
      <c r="M792" s="5" t="n">
        <v>7.886</v>
      </c>
      <c r="N792" s="5" t="n">
        <v>3.857</v>
      </c>
      <c r="O792" s="5" t="n">
        <v>0</v>
      </c>
      <c r="P792" s="5" t="n">
        <v>7.886</v>
      </c>
      <c r="Q792" s="5" t="n">
        <v>0</v>
      </c>
      <c r="R792" s="5" t="n">
        <v>1</v>
      </c>
      <c r="S792" s="5" t="n">
        <v>12.198</v>
      </c>
      <c r="T792" s="5" t="n">
        <v>7.714</v>
      </c>
      <c r="U792" s="5" t="n">
        <v>0.034</v>
      </c>
      <c r="V792" s="5" t="n">
        <v>12.503</v>
      </c>
      <c r="W792" s="5" t="n">
        <v>0.025</v>
      </c>
      <c r="X792" s="5" t="n">
        <v>1</v>
      </c>
      <c r="Y792" s="5" t="n">
        <v>8.093999999999999</v>
      </c>
      <c r="Z792" s="5" t="n">
        <v>0.999</v>
      </c>
      <c r="AA792" s="5" t="n">
        <v>0</v>
      </c>
      <c r="AB792" s="5" t="n">
        <v>8.093999999999999</v>
      </c>
      <c r="AC792" s="5" t="n">
        <v>0</v>
      </c>
      <c r="AD792" s="5" t="n">
        <v>1</v>
      </c>
      <c r="AE792" s="5" t="n">
        <v>9.380000000000001</v>
      </c>
      <c r="AF792" s="5" t="n">
        <v>2.045</v>
      </c>
      <c r="AG792" s="5" t="n">
        <v>0</v>
      </c>
      <c r="AH792" s="5" t="n">
        <v>9.380000000000001</v>
      </c>
      <c r="AI792" s="5" t="n">
        <v>0</v>
      </c>
      <c r="AJ792" s="5" t="n">
        <v>1</v>
      </c>
      <c r="AK792" s="5" t="n">
        <v>17.094</v>
      </c>
      <c r="AL792" s="5" t="n">
        <v>8.869999999999999</v>
      </c>
      <c r="AM792" s="5" t="n">
        <v>0.047</v>
      </c>
      <c r="AN792" s="5" t="n">
        <v>17.521</v>
      </c>
      <c r="AO792" s="5" t="n">
        <v>0.025</v>
      </c>
      <c r="AP792" s="5" t="n">
        <v>1</v>
      </c>
      <c r="AQ792" s="5" t="n">
        <v>0.749</v>
      </c>
      <c r="AR792" s="5" t="n">
        <v>0.129</v>
      </c>
      <c r="AS792" s="5" t="n">
        <v>0.002</v>
      </c>
      <c r="AT792" s="5" t="n">
        <v>0.768</v>
      </c>
      <c r="AU792" s="5" t="n">
        <v>0.025</v>
      </c>
      <c r="AV792" s="5" t="n">
        <v>1</v>
      </c>
      <c r="AW792" s="5" t="n">
        <v>0.783</v>
      </c>
      <c r="AX792" s="5" t="n">
        <v>0.129</v>
      </c>
      <c r="AY792" s="5" t="n">
        <v>0.002</v>
      </c>
      <c r="AZ792" s="5" t="n">
        <v>0.802</v>
      </c>
      <c r="BA792" s="5" t="n">
        <v>0.025</v>
      </c>
      <c r="BB792" s="5" t="n">
        <v>1</v>
      </c>
      <c r="BC792" s="5" t="n">
        <v>0.527</v>
      </c>
      <c r="BD792" s="5" t="n">
        <v>0.129</v>
      </c>
      <c r="BE792" s="5" t="n">
        <v>0.001</v>
      </c>
      <c r="BF792" s="5" t="n">
        <v>0.541</v>
      </c>
      <c r="BG792" s="5" t="n">
        <v>0.025</v>
      </c>
      <c r="BH792" s="5" t="n">
        <v>1</v>
      </c>
      <c r="BI792" s="5" t="n">
        <v>0.64</v>
      </c>
      <c r="BJ792" s="5" t="n">
        <v>0.129</v>
      </c>
      <c r="BK792" s="5" t="n">
        <v>0.002</v>
      </c>
      <c r="BL792" s="5" t="n">
        <v>0.656</v>
      </c>
      <c r="BM792" s="5" t="n">
        <v>0.025</v>
      </c>
      <c r="BN792" s="5" t="n">
        <v>1</v>
      </c>
      <c r="BO792" s="5" t="n">
        <v>0</v>
      </c>
      <c r="BP792" s="5" t="n">
        <v>0</v>
      </c>
      <c r="BQ792" s="5" t="n">
        <v>0</v>
      </c>
      <c r="BR792" s="5" t="n">
        <v>0</v>
      </c>
      <c r="BS792" s="5" t="n">
        <v>1</v>
      </c>
      <c r="BT792" s="5" t="n">
        <v>0</v>
      </c>
      <c r="BU792" s="5" t="n">
        <v>0</v>
      </c>
      <c r="BV792" s="5" t="n">
        <v>0</v>
      </c>
      <c r="BW792" s="5" t="n">
        <v>0.025</v>
      </c>
      <c r="BX792" s="5" t="n">
        <v>1</v>
      </c>
      <c r="BY792" s="5" t="n">
        <v>13.254</v>
      </c>
      <c r="BZ792" s="5" t="n">
        <v>0</v>
      </c>
      <c r="CA792" s="5" t="n">
        <v>13.254</v>
      </c>
      <c r="CB792" s="5" t="n">
        <v>0</v>
      </c>
      <c r="CC792" s="5" t="n">
        <v>87.07899999999999</v>
      </c>
      <c r="CD792" s="5" t="n">
        <v>7.95</v>
      </c>
      <c r="CE792" s="5" t="n">
        <v>0.241</v>
      </c>
      <c r="CF792" s="5" t="n">
        <v>89.256</v>
      </c>
      <c r="CG792" s="5" t="n">
        <v>0.025</v>
      </c>
      <c r="CH792" s="5" t="n">
        <v>1</v>
      </c>
      <c r="CI792" s="5" t="n">
        <v>0</v>
      </c>
      <c r="CJ792" s="5" t="n">
        <v>0</v>
      </c>
      <c r="CK792" s="5" t="n">
        <v>0</v>
      </c>
      <c r="CL792" s="5" t="n">
        <v>0</v>
      </c>
      <c r="CM792" s="5" t="n">
        <v>0</v>
      </c>
      <c r="CN792" s="5" t="n">
        <v>0</v>
      </c>
      <c r="CO792" s="5" t="n">
        <v>0</v>
      </c>
      <c r="CP792" s="5" t="n">
        <v>0</v>
      </c>
      <c r="CQ792" s="5" t="n">
        <v>1.348</v>
      </c>
      <c r="CR792" s="5" t="n">
        <v>0</v>
      </c>
      <c r="CS792" s="5" t="n">
        <v>5.37</v>
      </c>
      <c r="CT792" s="5" t="n">
        <v>4.484</v>
      </c>
      <c r="CU792" s="5" t="n">
        <v>12.529</v>
      </c>
    </row>
    <row r="793">
      <c r="A793" s="5" t="inlineStr">
        <is>
          <t>TLS2024</t>
        </is>
      </c>
      <c r="B793" s="5" t="inlineStr">
        <is>
          <t>TLS</t>
        </is>
      </c>
      <c r="C793" s="5" t="inlineStr">
        <is>
          <t>TLS</t>
        </is>
      </c>
      <c r="D793" s="5" t="inlineStr">
        <is>
          <t>Timor-Leste</t>
        </is>
      </c>
      <c r="E793" s="5" t="n">
        <v>2024</v>
      </c>
      <c r="F793" s="5" t="n">
        <v>0.025</v>
      </c>
      <c r="G793" s="5" t="n">
        <v>4.833</v>
      </c>
      <c r="H793" s="5" t="n">
        <v>1.324</v>
      </c>
      <c r="I793" s="5" t="n">
        <v>0</v>
      </c>
      <c r="J793" s="5" t="n">
        <v>4.833</v>
      </c>
      <c r="K793" s="5" t="n">
        <v>0</v>
      </c>
      <c r="L793" s="5" t="n">
        <v>1</v>
      </c>
      <c r="M793" s="5" t="n">
        <v>7.124</v>
      </c>
      <c r="N793" s="5" t="n">
        <v>3.971</v>
      </c>
      <c r="O793" s="5" t="n">
        <v>0</v>
      </c>
      <c r="P793" s="5" t="n">
        <v>7.124</v>
      </c>
      <c r="Q793" s="5" t="n">
        <v>0</v>
      </c>
      <c r="R793" s="5" t="n">
        <v>1</v>
      </c>
      <c r="S793" s="5" t="n">
        <v>11.451</v>
      </c>
      <c r="T793" s="5" t="n">
        <v>7.942</v>
      </c>
      <c r="U793" s="5" t="n">
        <v>0.039</v>
      </c>
      <c r="V793" s="5" t="n">
        <v>11.737</v>
      </c>
      <c r="W793" s="5" t="n">
        <v>0.025</v>
      </c>
      <c r="X793" s="5" t="n">
        <v>1</v>
      </c>
      <c r="Y793" s="5" t="n">
        <v>7.751</v>
      </c>
      <c r="Z793" s="5" t="n">
        <v>0.956</v>
      </c>
      <c r="AA793" s="5" t="n">
        <v>0</v>
      </c>
      <c r="AB793" s="5" t="n">
        <v>7.751</v>
      </c>
      <c r="AC793" s="5" t="n">
        <v>0</v>
      </c>
      <c r="AD793" s="5" t="n">
        <v>1</v>
      </c>
      <c r="AE793" s="5" t="n">
        <v>9.074999999999999</v>
      </c>
      <c r="AF793" s="5" t="n">
        <v>1.978</v>
      </c>
      <c r="AG793" s="5" t="n">
        <v>0</v>
      </c>
      <c r="AH793" s="5" t="n">
        <v>9.074999999999999</v>
      </c>
      <c r="AI793" s="5" t="n">
        <v>0</v>
      </c>
      <c r="AJ793" s="5" t="n">
        <v>1</v>
      </c>
      <c r="AK793" s="5" t="n">
        <v>17.016</v>
      </c>
      <c r="AL793" s="5" t="n">
        <v>8.829000000000001</v>
      </c>
      <c r="AM793" s="5" t="n">
        <v>0.058</v>
      </c>
      <c r="AN793" s="5" t="n">
        <v>17.442</v>
      </c>
      <c r="AO793" s="5" t="n">
        <v>0.025</v>
      </c>
      <c r="AP793" s="5" t="n">
        <v>1</v>
      </c>
      <c r="AQ793" s="5" t="n">
        <v>0.72</v>
      </c>
      <c r="AR793" s="5" t="n">
        <v>0.132</v>
      </c>
      <c r="AS793" s="5" t="n">
        <v>0.002</v>
      </c>
      <c r="AT793" s="5" t="n">
        <v>0.738</v>
      </c>
      <c r="AU793" s="5" t="n">
        <v>0.025</v>
      </c>
      <c r="AV793" s="5" t="n">
        <v>1</v>
      </c>
      <c r="AW793" s="5" t="n">
        <v>0.734</v>
      </c>
      <c r="AX793" s="5" t="n">
        <v>0.132</v>
      </c>
      <c r="AY793" s="5" t="n">
        <v>0.002</v>
      </c>
      <c r="AZ793" s="5" t="n">
        <v>0.752</v>
      </c>
      <c r="BA793" s="5" t="n">
        <v>0.025</v>
      </c>
      <c r="BB793" s="5" t="n">
        <v>1</v>
      </c>
      <c r="BC793" s="5" t="n">
        <v>0.51</v>
      </c>
      <c r="BD793" s="5" t="n">
        <v>0.132</v>
      </c>
      <c r="BE793" s="5" t="n">
        <v>0.002</v>
      </c>
      <c r="BF793" s="5" t="n">
        <v>0.523</v>
      </c>
      <c r="BG793" s="5" t="n">
        <v>0.025</v>
      </c>
      <c r="BH793" s="5" t="n">
        <v>1</v>
      </c>
      <c r="BI793" s="5" t="n">
        <v>0.652</v>
      </c>
      <c r="BJ793" s="5" t="n">
        <v>0.132</v>
      </c>
      <c r="BK793" s="5" t="n">
        <v>0.002</v>
      </c>
      <c r="BL793" s="5" t="n">
        <v>0.668</v>
      </c>
      <c r="BM793" s="5" t="n">
        <v>0.025</v>
      </c>
      <c r="BN793" s="5" t="n">
        <v>1</v>
      </c>
      <c r="BO793" s="5" t="n">
        <v>0</v>
      </c>
      <c r="BP793" s="5" t="n">
        <v>0</v>
      </c>
      <c r="BQ793" s="5" t="n">
        <v>0</v>
      </c>
      <c r="BR793" s="5" t="n">
        <v>0</v>
      </c>
      <c r="BS793" s="5" t="n">
        <v>1</v>
      </c>
      <c r="BT793" s="5" t="n">
        <v>0</v>
      </c>
      <c r="BU793" s="5" t="n">
        <v>0</v>
      </c>
      <c r="BV793" s="5" t="n">
        <v>0</v>
      </c>
      <c r="BW793" s="5" t="n">
        <v>0.025</v>
      </c>
      <c r="BX793" s="5" t="n">
        <v>1</v>
      </c>
      <c r="BY793" s="5" t="n">
        <v>13.646</v>
      </c>
      <c r="BZ793" s="5" t="n">
        <v>0</v>
      </c>
      <c r="CA793" s="5" t="n">
        <v>13.646</v>
      </c>
      <c r="CB793" s="5" t="n">
        <v>0</v>
      </c>
      <c r="CC793" s="5" t="n">
        <v>86.38500000000001</v>
      </c>
      <c r="CD793" s="5" t="n">
        <v>7.95</v>
      </c>
      <c r="CE793" s="5" t="n">
        <v>0.294</v>
      </c>
      <c r="CF793" s="5" t="n">
        <v>88.545</v>
      </c>
      <c r="CG793" s="5" t="n">
        <v>0.025</v>
      </c>
      <c r="CH793" s="5" t="n">
        <v>1</v>
      </c>
      <c r="CI793" s="5" t="n">
        <v>0</v>
      </c>
      <c r="CJ793" s="5" t="n">
        <v>0</v>
      </c>
      <c r="CK793" s="5" t="n">
        <v>0</v>
      </c>
      <c r="CL793" s="5" t="n">
        <v>0</v>
      </c>
      <c r="CM793" s="5" t="n">
        <v>0</v>
      </c>
      <c r="CN793" s="5" t="n">
        <v>0</v>
      </c>
      <c r="CO793" s="5" t="n">
        <v>0</v>
      </c>
      <c r="CP793" s="5" t="n">
        <v>0</v>
      </c>
      <c r="CQ793" s="5" t="n">
        <v>1.387</v>
      </c>
      <c r="CR793" s="5" t="n">
        <v>0</v>
      </c>
      <c r="CS793" s="5" t="n">
        <v>5.529</v>
      </c>
      <c r="CT793" s="5" t="n">
        <v>3.509</v>
      </c>
      <c r="CU793" s="5" t="n">
        <v>10.896</v>
      </c>
    </row>
    <row r="794">
      <c r="A794" s="5" t="inlineStr">
        <is>
          <t>TGO2021</t>
        </is>
      </c>
      <c r="B794" s="5" t="inlineStr">
        <is>
          <t>TGO</t>
        </is>
      </c>
      <c r="C794" s="5" t="inlineStr">
        <is>
          <t>TGO</t>
        </is>
      </c>
      <c r="D794" s="5" t="inlineStr">
        <is>
          <t>Togo</t>
        </is>
      </c>
      <c r="E794" s="5" t="n">
        <v>2021</v>
      </c>
      <c r="F794" s="5" t="n">
        <v>0.18</v>
      </c>
      <c r="G794" s="5" t="n">
        <v>5.897</v>
      </c>
      <c r="H794" s="5" t="n">
        <v>1.143</v>
      </c>
      <c r="I794" s="5" t="n">
        <v>0</v>
      </c>
      <c r="J794" s="5" t="n">
        <v>5.897</v>
      </c>
      <c r="K794" s="5" t="n">
        <v>0</v>
      </c>
      <c r="L794" s="5" t="n">
        <v>1</v>
      </c>
      <c r="M794" s="5" t="n">
        <v>7.964</v>
      </c>
      <c r="N794" s="5" t="n">
        <v>3.43</v>
      </c>
      <c r="O794" s="5" t="n">
        <v>0</v>
      </c>
      <c r="P794" s="5" t="n">
        <v>7.964</v>
      </c>
      <c r="Q794" s="5" t="n">
        <v>0</v>
      </c>
      <c r="R794" s="5" t="n">
        <v>1</v>
      </c>
      <c r="S794" s="5" t="n">
        <v>11.613</v>
      </c>
      <c r="T794" s="5" t="n">
        <v>6.86</v>
      </c>
      <c r="U794" s="5" t="n">
        <v>-3.887</v>
      </c>
      <c r="V794" s="5" t="n">
        <v>9.117000000000001</v>
      </c>
      <c r="W794" s="5" t="n">
        <v>0</v>
      </c>
      <c r="X794" s="5" t="n">
        <v>0</v>
      </c>
      <c r="Y794" s="5" t="n">
        <v>3.845</v>
      </c>
      <c r="Z794" s="5" t="n">
        <v>0.52</v>
      </c>
      <c r="AA794" s="5" t="n">
        <v>0</v>
      </c>
      <c r="AB794" s="5" t="n">
        <v>3.845</v>
      </c>
      <c r="AC794" s="5" t="n">
        <v>0</v>
      </c>
      <c r="AD794" s="5" t="n">
        <v>1</v>
      </c>
      <c r="AE794" s="5" t="n">
        <v>4.988</v>
      </c>
      <c r="AF794" s="5" t="n">
        <v>1.166</v>
      </c>
      <c r="AG794" s="5" t="n">
        <v>0</v>
      </c>
      <c r="AH794" s="5" t="n">
        <v>4.988</v>
      </c>
      <c r="AI794" s="5" t="n">
        <v>0</v>
      </c>
      <c r="AJ794" s="5" t="n">
        <v>1</v>
      </c>
      <c r="AK794" s="5" t="n">
        <v>11.848</v>
      </c>
      <c r="AL794" s="5" t="n">
        <v>6.31</v>
      </c>
      <c r="AM794" s="5" t="n">
        <v>0</v>
      </c>
      <c r="AN794" s="5" t="n">
        <v>13.981</v>
      </c>
      <c r="AO794" s="5" t="n">
        <v>0.18</v>
      </c>
      <c r="AP794" s="5" t="n">
        <v>1</v>
      </c>
      <c r="AQ794" s="5" t="n">
        <v>0.619</v>
      </c>
      <c r="AR794" s="5" t="n">
        <v>0.114</v>
      </c>
      <c r="AS794" s="5" t="n">
        <v>0.102</v>
      </c>
      <c r="AT794" s="5" t="n">
        <v>0.851</v>
      </c>
      <c r="AU794" s="5" t="n">
        <v>0.18</v>
      </c>
      <c r="AV794" s="5" t="n">
        <v>1</v>
      </c>
      <c r="AW794" s="5" t="n">
        <v>0.599</v>
      </c>
      <c r="AX794" s="5" t="n">
        <v>0.114</v>
      </c>
      <c r="AY794" s="5" t="n">
        <v>0.151</v>
      </c>
      <c r="AZ794" s="5" t="n">
        <v>0.885</v>
      </c>
      <c r="BA794" s="5" t="n">
        <v>0.18</v>
      </c>
      <c r="BB794" s="5" t="n">
        <v>1</v>
      </c>
      <c r="BC794" s="5" t="n">
        <v>0.439</v>
      </c>
      <c r="BD794" s="5" t="n">
        <v>0.114</v>
      </c>
      <c r="BE794" s="5" t="n">
        <v>-0.021</v>
      </c>
      <c r="BF794" s="5" t="n">
        <v>0.494</v>
      </c>
      <c r="BG794" s="5" t="n">
        <v>0.18</v>
      </c>
      <c r="BH794" s="5" t="n">
        <v>1</v>
      </c>
      <c r="BI794" s="5" t="n">
        <v>0.505</v>
      </c>
      <c r="BJ794" s="5" t="n">
        <v>0.114</v>
      </c>
      <c r="BK794" s="5" t="n">
        <v>0.091</v>
      </c>
      <c r="BL794" s="5" t="n">
        <v>0.703</v>
      </c>
      <c r="BM794" s="5" t="n">
        <v>0.18</v>
      </c>
      <c r="BN794" s="5" t="n">
        <v>1</v>
      </c>
      <c r="BO794" s="5" t="n">
        <v>0</v>
      </c>
      <c r="BP794" s="5" t="n">
        <v>0</v>
      </c>
      <c r="BQ794" s="5" t="n">
        <v>0.157</v>
      </c>
      <c r="BR794" s="5" t="n">
        <v>0</v>
      </c>
      <c r="BS794" s="5" t="n">
        <v>0.5</v>
      </c>
      <c r="BT794" s="5" t="n">
        <v>0</v>
      </c>
      <c r="BU794" s="5" t="n">
        <v>0</v>
      </c>
      <c r="BV794" s="5" t="n">
        <v>0.23</v>
      </c>
      <c r="BW794" s="5" t="n">
        <v>0.18</v>
      </c>
      <c r="BX794" s="5" t="n">
        <v>0.333</v>
      </c>
      <c r="BY794" s="5" t="n">
        <v>11.787</v>
      </c>
      <c r="BZ794" s="5" t="n">
        <v>0</v>
      </c>
      <c r="CA794" s="5" t="n">
        <v>11.787</v>
      </c>
      <c r="CB794" s="5" t="n">
        <v>0</v>
      </c>
      <c r="CC794" s="5" t="n">
        <v>78.125</v>
      </c>
      <c r="CD794" s="5" t="n">
        <v>7.95</v>
      </c>
      <c r="CE794" s="5" t="n">
        <v>0</v>
      </c>
      <c r="CF794" s="5" t="n">
        <v>92.188</v>
      </c>
      <c r="CG794" s="5" t="n">
        <v>0.18</v>
      </c>
      <c r="CH794" s="5" t="n">
        <v>1</v>
      </c>
      <c r="CI794" s="5" t="n">
        <v>0</v>
      </c>
      <c r="CJ794" s="5" t="n">
        <v>0</v>
      </c>
      <c r="CK794" s="5" t="n">
        <v>0</v>
      </c>
      <c r="CL794" s="5" t="n">
        <v>0</v>
      </c>
      <c r="CM794" s="5" t="n">
        <v>0</v>
      </c>
      <c r="CN794" s="5" t="n">
        <v>0</v>
      </c>
      <c r="CO794" s="5" t="n">
        <v>0</v>
      </c>
      <c r="CP794" s="5" t="n">
        <v>0</v>
      </c>
      <c r="CQ794" s="5" t="n">
        <v>1.198</v>
      </c>
      <c r="CR794" s="5" t="n">
        <v>0</v>
      </c>
      <c r="CS794" s="5" t="n">
        <v>4.776</v>
      </c>
      <c r="CT794" s="5" t="n">
        <v>4.753</v>
      </c>
      <c r="CU794" s="5" t="n">
        <v>15.162</v>
      </c>
    </row>
    <row r="795">
      <c r="A795" s="5" t="inlineStr">
        <is>
          <t>TGO2022</t>
        </is>
      </c>
      <c r="B795" s="5" t="inlineStr">
        <is>
          <t>TGO</t>
        </is>
      </c>
      <c r="C795" s="5" t="inlineStr">
        <is>
          <t>TGO</t>
        </is>
      </c>
      <c r="D795" s="5" t="inlineStr">
        <is>
          <t>Togo</t>
        </is>
      </c>
      <c r="E795" s="5" t="n">
        <v>2022</v>
      </c>
      <c r="F795" s="5" t="n">
        <v>0.18</v>
      </c>
      <c r="G795" s="5" t="n">
        <v>11.72</v>
      </c>
      <c r="H795" s="5" t="n">
        <v>1.235</v>
      </c>
      <c r="I795" s="5" t="n">
        <v>0</v>
      </c>
      <c r="J795" s="5" t="n">
        <v>11.72</v>
      </c>
      <c r="K795" s="5" t="n">
        <v>0</v>
      </c>
      <c r="L795" s="5" t="n">
        <v>1</v>
      </c>
      <c r="M795" s="5" t="n">
        <v>9.782999999999999</v>
      </c>
      <c r="N795" s="5" t="n">
        <v>3.704</v>
      </c>
      <c r="O795" s="5" t="n">
        <v>0</v>
      </c>
      <c r="P795" s="5" t="n">
        <v>9.782999999999999</v>
      </c>
      <c r="Q795" s="5" t="n">
        <v>0</v>
      </c>
      <c r="R795" s="5" t="n">
        <v>1</v>
      </c>
      <c r="S795" s="5" t="n">
        <v>17.893</v>
      </c>
      <c r="T795" s="5" t="n">
        <v>7.408</v>
      </c>
      <c r="U795" s="5" t="n">
        <v>-8.955</v>
      </c>
      <c r="V795" s="5" t="n">
        <v>10.547</v>
      </c>
      <c r="W795" s="5" t="n">
        <v>0</v>
      </c>
      <c r="X795" s="5" t="n">
        <v>0</v>
      </c>
      <c r="Y795" s="5" t="n">
        <v>4.152</v>
      </c>
      <c r="Z795" s="5" t="n">
        <v>0.5610000000000001</v>
      </c>
      <c r="AA795" s="5" t="n">
        <v>0</v>
      </c>
      <c r="AB795" s="5" t="n">
        <v>4.152</v>
      </c>
      <c r="AC795" s="5" t="n">
        <v>0</v>
      </c>
      <c r="AD795" s="5" t="n">
        <v>1</v>
      </c>
      <c r="AE795" s="5" t="n">
        <v>5.387</v>
      </c>
      <c r="AF795" s="5" t="n">
        <v>1.26</v>
      </c>
      <c r="AG795" s="5" t="n">
        <v>0</v>
      </c>
      <c r="AH795" s="5" t="n">
        <v>5.387</v>
      </c>
      <c r="AI795" s="5" t="n">
        <v>0</v>
      </c>
      <c r="AJ795" s="5" t="n">
        <v>1</v>
      </c>
      <c r="AK795" s="5" t="n">
        <v>12.795</v>
      </c>
      <c r="AL795" s="5" t="n">
        <v>6.815</v>
      </c>
      <c r="AM795" s="5" t="n">
        <v>0.17</v>
      </c>
      <c r="AN795" s="5" t="n">
        <v>15.098</v>
      </c>
      <c r="AO795" s="5" t="n">
        <v>0.18</v>
      </c>
      <c r="AP795" s="5" t="n">
        <v>1</v>
      </c>
      <c r="AQ795" s="5" t="n">
        <v>0.861</v>
      </c>
      <c r="AR795" s="5" t="n">
        <v>0.123</v>
      </c>
      <c r="AS795" s="5" t="n">
        <v>-0.005</v>
      </c>
      <c r="AT795" s="5" t="n">
        <v>1.01</v>
      </c>
      <c r="AU795" s="5" t="n">
        <v>0.18</v>
      </c>
      <c r="AV795" s="5" t="n">
        <v>1</v>
      </c>
      <c r="AW795" s="5" t="n">
        <v>0.986</v>
      </c>
      <c r="AX795" s="5" t="n">
        <v>0.123</v>
      </c>
      <c r="AY795" s="5" t="n">
        <v>-0.014</v>
      </c>
      <c r="AZ795" s="5" t="n">
        <v>1.147</v>
      </c>
      <c r="BA795" s="5" t="n">
        <v>0.18</v>
      </c>
      <c r="BB795" s="5" t="n">
        <v>1</v>
      </c>
      <c r="BC795" s="5" t="n">
        <v>0.598</v>
      </c>
      <c r="BD795" s="5" t="n">
        <v>0.123</v>
      </c>
      <c r="BE795" s="5" t="n">
        <v>-0.134</v>
      </c>
      <c r="BF795" s="5" t="n">
        <v>0.548</v>
      </c>
      <c r="BG795" s="5" t="n">
        <v>0.18</v>
      </c>
      <c r="BH795" s="5" t="n">
        <v>1</v>
      </c>
      <c r="BI795" s="5" t="n">
        <v>0.612</v>
      </c>
      <c r="BJ795" s="5" t="n">
        <v>0.123</v>
      </c>
      <c r="BK795" s="5" t="n">
        <v>0.159</v>
      </c>
      <c r="BL795" s="5" t="n">
        <v>0.91</v>
      </c>
      <c r="BM795" s="5" t="n">
        <v>0.18</v>
      </c>
      <c r="BN795" s="5" t="n">
        <v>1</v>
      </c>
      <c r="BO795" s="5" t="n">
        <v>0</v>
      </c>
      <c r="BP795" s="5" t="n">
        <v>0</v>
      </c>
      <c r="BQ795" s="5" t="n">
        <v>0.14</v>
      </c>
      <c r="BR795" s="5" t="n">
        <v>0</v>
      </c>
      <c r="BS795" s="5" t="n">
        <v>0.5</v>
      </c>
      <c r="BT795" s="5" t="n">
        <v>0</v>
      </c>
      <c r="BU795" s="5" t="n">
        <v>0</v>
      </c>
      <c r="BV795" s="5" t="n">
        <v>0.205</v>
      </c>
      <c r="BW795" s="5" t="n">
        <v>0.18</v>
      </c>
      <c r="BX795" s="5" t="n">
        <v>0.333</v>
      </c>
      <c r="BY795" s="5" t="n">
        <v>12.729</v>
      </c>
      <c r="BZ795" s="5" t="n">
        <v>0</v>
      </c>
      <c r="CA795" s="5" t="n">
        <v>12.729</v>
      </c>
      <c r="CB795" s="5" t="n">
        <v>0</v>
      </c>
      <c r="CC795" s="5" t="n">
        <v>97.90000000000001</v>
      </c>
      <c r="CD795" s="5" t="n">
        <v>7.95</v>
      </c>
      <c r="CE795" s="5" t="n">
        <v>1.304</v>
      </c>
      <c r="CF795" s="5" t="n">
        <v>115.522</v>
      </c>
      <c r="CG795" s="5" t="n">
        <v>0.18</v>
      </c>
      <c r="CH795" s="5" t="n">
        <v>1</v>
      </c>
      <c r="CI795" s="5" t="n">
        <v>0</v>
      </c>
      <c r="CJ795" s="5" t="n">
        <v>0</v>
      </c>
      <c r="CK795" s="5" t="n">
        <v>0</v>
      </c>
      <c r="CL795" s="5" t="n">
        <v>0</v>
      </c>
      <c r="CM795" s="5" t="n">
        <v>0</v>
      </c>
      <c r="CN795" s="5" t="n">
        <v>0</v>
      </c>
      <c r="CO795" s="5" t="n">
        <v>0</v>
      </c>
      <c r="CP795" s="5" t="n">
        <v>0</v>
      </c>
      <c r="CQ795" s="5" t="n">
        <v>1.294</v>
      </c>
      <c r="CR795" s="5" t="n">
        <v>0</v>
      </c>
      <c r="CS795" s="5" t="n">
        <v>5.158</v>
      </c>
      <c r="CT795" s="5" t="n">
        <v>10.485</v>
      </c>
      <c r="CU795" s="5" t="n">
        <v>31.326</v>
      </c>
    </row>
    <row r="796">
      <c r="A796" s="5" t="inlineStr">
        <is>
          <t>TGO2023</t>
        </is>
      </c>
      <c r="B796" s="5" t="inlineStr">
        <is>
          <t>TGO</t>
        </is>
      </c>
      <c r="C796" s="5" t="inlineStr">
        <is>
          <t>TGO</t>
        </is>
      </c>
      <c r="D796" s="5" t="inlineStr">
        <is>
          <t>Togo</t>
        </is>
      </c>
      <c r="E796" s="5" t="n">
        <v>2023</v>
      </c>
      <c r="F796" s="5" t="n">
        <v>0.18</v>
      </c>
      <c r="G796" s="5" t="n">
        <v>6.147</v>
      </c>
      <c r="H796" s="5" t="n">
        <v>1.286</v>
      </c>
      <c r="I796" s="5" t="n">
        <v>0</v>
      </c>
      <c r="J796" s="5" t="n">
        <v>6.147</v>
      </c>
      <c r="K796" s="5" t="n">
        <v>0</v>
      </c>
      <c r="L796" s="5" t="n">
        <v>1</v>
      </c>
      <c r="M796" s="5" t="n">
        <v>7.886</v>
      </c>
      <c r="N796" s="5" t="n">
        <v>3.857</v>
      </c>
      <c r="O796" s="5" t="n">
        <v>0</v>
      </c>
      <c r="P796" s="5" t="n">
        <v>7.886</v>
      </c>
      <c r="Q796" s="5" t="n">
        <v>0</v>
      </c>
      <c r="R796" s="5" t="n">
        <v>1</v>
      </c>
      <c r="S796" s="5" t="n">
        <v>12.575</v>
      </c>
      <c r="T796" s="5" t="n">
        <v>7.714</v>
      </c>
      <c r="U796" s="5" t="n">
        <v>-3.114</v>
      </c>
      <c r="V796" s="5" t="n">
        <v>11.164</v>
      </c>
      <c r="W796" s="5" t="n">
        <v>0</v>
      </c>
      <c r="X796" s="5" t="n">
        <v>0</v>
      </c>
      <c r="Y796" s="5" t="n">
        <v>4.324</v>
      </c>
      <c r="Z796" s="5" t="n">
        <v>0.584</v>
      </c>
      <c r="AA796" s="5" t="n">
        <v>0</v>
      </c>
      <c r="AB796" s="5" t="n">
        <v>4.324</v>
      </c>
      <c r="AC796" s="5" t="n">
        <v>0</v>
      </c>
      <c r="AD796" s="5" t="n">
        <v>1</v>
      </c>
      <c r="AE796" s="5" t="n">
        <v>5.609</v>
      </c>
      <c r="AF796" s="5" t="n">
        <v>1.312</v>
      </c>
      <c r="AG796" s="5" t="n">
        <v>0</v>
      </c>
      <c r="AH796" s="5" t="n">
        <v>5.609</v>
      </c>
      <c r="AI796" s="5" t="n">
        <v>0</v>
      </c>
      <c r="AJ796" s="5" t="n">
        <v>1</v>
      </c>
      <c r="AK796" s="5" t="n">
        <v>13.323</v>
      </c>
      <c r="AL796" s="5" t="n">
        <v>7.096</v>
      </c>
      <c r="AM796" s="5" t="n">
        <v>0.266</v>
      </c>
      <c r="AN796" s="5" t="n">
        <v>15.722</v>
      </c>
      <c r="AO796" s="5" t="n">
        <v>0.18</v>
      </c>
      <c r="AP796" s="5" t="n">
        <v>1</v>
      </c>
      <c r="AQ796" s="5" t="n">
        <v>0.76</v>
      </c>
      <c r="AR796" s="5" t="n">
        <v>0.129</v>
      </c>
      <c r="AS796" s="5" t="n">
        <v>0.218</v>
      </c>
      <c r="AT796" s="5" t="n">
        <v>1.154</v>
      </c>
      <c r="AU796" s="5" t="n">
        <v>0.18</v>
      </c>
      <c r="AV796" s="5" t="n">
        <v>1</v>
      </c>
      <c r="AW796" s="5" t="n">
        <v>0.8110000000000001</v>
      </c>
      <c r="AX796" s="5" t="n">
        <v>0.129</v>
      </c>
      <c r="AY796" s="5" t="n">
        <v>0.306</v>
      </c>
      <c r="AZ796" s="5" t="n">
        <v>1.319</v>
      </c>
      <c r="BA796" s="5" t="n">
        <v>0.18</v>
      </c>
      <c r="BB796" s="5" t="n">
        <v>1</v>
      </c>
      <c r="BC796" s="5" t="n">
        <v>0.535</v>
      </c>
      <c r="BD796" s="5" t="n">
        <v>0.129</v>
      </c>
      <c r="BE796" s="5" t="n">
        <v>0.08599999999999999</v>
      </c>
      <c r="BF796" s="5" t="n">
        <v>0.732</v>
      </c>
      <c r="BG796" s="5" t="n">
        <v>0.18</v>
      </c>
      <c r="BH796" s="5" t="n">
        <v>1</v>
      </c>
      <c r="BI796" s="5" t="n">
        <v>0.579</v>
      </c>
      <c r="BJ796" s="5" t="n">
        <v>0.129</v>
      </c>
      <c r="BK796" s="5" t="n">
        <v>0.329</v>
      </c>
      <c r="BL796" s="5" t="n">
        <v>1.072</v>
      </c>
      <c r="BM796" s="5" t="n">
        <v>0.18</v>
      </c>
      <c r="BN796" s="5" t="n">
        <v>1</v>
      </c>
      <c r="BO796" s="5" t="n">
        <v>0</v>
      </c>
      <c r="BP796" s="5" t="n">
        <v>0</v>
      </c>
      <c r="BQ796" s="5" t="n">
        <v>0.189</v>
      </c>
      <c r="BR796" s="5" t="n">
        <v>0</v>
      </c>
      <c r="BS796" s="5" t="n">
        <v>0.5</v>
      </c>
      <c r="BT796" s="5" t="n">
        <v>0</v>
      </c>
      <c r="BU796" s="5" t="n">
        <v>0</v>
      </c>
      <c r="BV796" s="5" t="n">
        <v>0.211</v>
      </c>
      <c r="BW796" s="5" t="n">
        <v>0.18</v>
      </c>
      <c r="BX796" s="5" t="n">
        <v>0.333</v>
      </c>
      <c r="BY796" s="5" t="n">
        <v>13.254</v>
      </c>
      <c r="BZ796" s="5" t="n">
        <v>0</v>
      </c>
      <c r="CA796" s="5" t="n">
        <v>13.254</v>
      </c>
      <c r="CB796" s="5" t="n">
        <v>0</v>
      </c>
      <c r="CC796" s="5" t="n">
        <v>83.248</v>
      </c>
      <c r="CD796" s="5" t="n">
        <v>7.95</v>
      </c>
      <c r="CE796" s="5" t="n">
        <v>1.659</v>
      </c>
      <c r="CF796" s="5" t="n">
        <v>98.233</v>
      </c>
      <c r="CG796" s="5" t="n">
        <v>0.18</v>
      </c>
      <c r="CH796" s="5" t="n">
        <v>1</v>
      </c>
      <c r="CI796" s="5" t="n">
        <v>0</v>
      </c>
      <c r="CJ796" s="5" t="n">
        <v>0</v>
      </c>
      <c r="CK796" s="5" t="n">
        <v>0</v>
      </c>
      <c r="CL796" s="5" t="n">
        <v>0</v>
      </c>
      <c r="CM796" s="5" t="n">
        <v>0</v>
      </c>
      <c r="CN796" s="5" t="n">
        <v>0</v>
      </c>
      <c r="CO796" s="5" t="n">
        <v>0</v>
      </c>
      <c r="CP796" s="5" t="n">
        <v>0</v>
      </c>
      <c r="CQ796" s="5" t="n">
        <v>1.348</v>
      </c>
      <c r="CR796" s="5" t="n">
        <v>0</v>
      </c>
      <c r="CS796" s="5" t="n">
        <v>5.37</v>
      </c>
      <c r="CT796" s="5" t="n">
        <v>4.861</v>
      </c>
      <c r="CU796" s="5" t="n">
        <v>11.622</v>
      </c>
    </row>
    <row r="797">
      <c r="A797" s="5" t="inlineStr">
        <is>
          <t>TGO2024</t>
        </is>
      </c>
      <c r="B797" s="5" t="inlineStr">
        <is>
          <t>TGO</t>
        </is>
      </c>
      <c r="C797" s="5" t="inlineStr">
        <is>
          <t>TGO</t>
        </is>
      </c>
      <c r="D797" s="5" t="inlineStr">
        <is>
          <t>Togo</t>
        </is>
      </c>
      <c r="E797" s="5" t="n">
        <v>2024</v>
      </c>
      <c r="F797" s="5" t="n">
        <v>0.18</v>
      </c>
      <c r="G797" s="5" t="n">
        <v>5.575</v>
      </c>
      <c r="H797" s="5" t="n">
        <v>1.324</v>
      </c>
      <c r="I797" s="5" t="n">
        <v>0</v>
      </c>
      <c r="J797" s="5" t="n">
        <v>5.575</v>
      </c>
      <c r="K797" s="5" t="n">
        <v>0</v>
      </c>
      <c r="L797" s="5" t="n">
        <v>1</v>
      </c>
      <c r="M797" s="5" t="n">
        <v>7.124</v>
      </c>
      <c r="N797" s="5" t="n">
        <v>3.971</v>
      </c>
      <c r="O797" s="5" t="n">
        <v>0</v>
      </c>
      <c r="P797" s="5" t="n">
        <v>7.124</v>
      </c>
      <c r="Q797" s="5" t="n">
        <v>0</v>
      </c>
      <c r="R797" s="5" t="n">
        <v>1</v>
      </c>
      <c r="S797" s="5" t="n">
        <v>12.193</v>
      </c>
      <c r="T797" s="5" t="n">
        <v>7.942</v>
      </c>
      <c r="U797" s="5" t="n">
        <v>-2.9</v>
      </c>
      <c r="V797" s="5" t="n">
        <v>10.966</v>
      </c>
      <c r="W797" s="5" t="n">
        <v>0</v>
      </c>
      <c r="X797" s="5" t="n">
        <v>0</v>
      </c>
      <c r="Y797" s="5" t="n">
        <v>11.492</v>
      </c>
      <c r="Z797" s="5" t="n">
        <v>1.553</v>
      </c>
      <c r="AA797" s="5" t="n">
        <v>0</v>
      </c>
      <c r="AB797" s="5" t="n">
        <v>11.492</v>
      </c>
      <c r="AC797" s="5" t="n">
        <v>0</v>
      </c>
      <c r="AD797" s="5" t="n">
        <v>1</v>
      </c>
      <c r="AE797" s="5" t="n">
        <v>12.815</v>
      </c>
      <c r="AF797" s="5" t="n">
        <v>2.997</v>
      </c>
      <c r="AG797" s="5" t="n">
        <v>0</v>
      </c>
      <c r="AH797" s="5" t="n">
        <v>12.815</v>
      </c>
      <c r="AI797" s="5" t="n">
        <v>0</v>
      </c>
      <c r="AJ797" s="5" t="n">
        <v>1</v>
      </c>
      <c r="AK797" s="5" t="n">
        <v>20.757</v>
      </c>
      <c r="AL797" s="5" t="n">
        <v>11.055</v>
      </c>
      <c r="AM797" s="5" t="n">
        <v>0.509</v>
      </c>
      <c r="AN797" s="5" t="n">
        <v>24.493</v>
      </c>
      <c r="AO797" s="5" t="n">
        <v>0.18</v>
      </c>
      <c r="AP797" s="5" t="n">
        <v>1</v>
      </c>
      <c r="AQ797" s="5" t="n">
        <v>0.724</v>
      </c>
      <c r="AR797" s="5" t="n">
        <v>0.132</v>
      </c>
      <c r="AS797" s="5" t="n">
        <v>0.252</v>
      </c>
      <c r="AT797" s="5" t="n">
        <v>1.152</v>
      </c>
      <c r="AU797" s="5" t="n">
        <v>0.18</v>
      </c>
      <c r="AV797" s="5" t="n">
        <v>1</v>
      </c>
      <c r="AW797" s="5" t="n">
        <v>0.75</v>
      </c>
      <c r="AX797" s="5" t="n">
        <v>0.132</v>
      </c>
      <c r="AY797" s="5" t="n">
        <v>0.324</v>
      </c>
      <c r="AZ797" s="5" t="n">
        <v>1.267</v>
      </c>
      <c r="BA797" s="5" t="n">
        <v>0.18</v>
      </c>
      <c r="BB797" s="5" t="n">
        <v>1</v>
      </c>
      <c r="BC797" s="5" t="n">
        <v>0.513</v>
      </c>
      <c r="BD797" s="5" t="n">
        <v>0.132</v>
      </c>
      <c r="BE797" s="5" t="n">
        <v>0.08</v>
      </c>
      <c r="BF797" s="5" t="n">
        <v>0.7</v>
      </c>
      <c r="BG797" s="5" t="n">
        <v>0.18</v>
      </c>
      <c r="BH797" s="5" t="n">
        <v>1</v>
      </c>
      <c r="BI797" s="5" t="n">
        <v>0.591</v>
      </c>
      <c r="BJ797" s="5" t="n">
        <v>0.132</v>
      </c>
      <c r="BK797" s="5" t="n">
        <v>0.317</v>
      </c>
      <c r="BL797" s="5" t="n">
        <v>1.072</v>
      </c>
      <c r="BM797" s="5" t="n">
        <v>0.18</v>
      </c>
      <c r="BN797" s="5" t="n">
        <v>1</v>
      </c>
      <c r="BO797" s="5" t="n">
        <v>0</v>
      </c>
      <c r="BP797" s="5" t="n">
        <v>0</v>
      </c>
      <c r="BQ797" s="5" t="n">
        <v>0.152</v>
      </c>
      <c r="BR797" s="5" t="n">
        <v>0</v>
      </c>
      <c r="BS797" s="5" t="n">
        <v>0.5</v>
      </c>
      <c r="BT797" s="5" t="n">
        <v>0</v>
      </c>
      <c r="BU797" s="5" t="n">
        <v>0</v>
      </c>
      <c r="BV797" s="5" t="n">
        <v>0.211</v>
      </c>
      <c r="BW797" s="5" t="n">
        <v>0.18</v>
      </c>
      <c r="BX797" s="5" t="n">
        <v>0.333</v>
      </c>
      <c r="BY797" s="5" t="n">
        <v>13.646</v>
      </c>
      <c r="BZ797" s="5" t="n">
        <v>0</v>
      </c>
      <c r="CA797" s="5" t="n">
        <v>13.646</v>
      </c>
      <c r="CB797" s="5" t="n">
        <v>0</v>
      </c>
      <c r="CC797" s="5" t="n">
        <v>82.58799999999999</v>
      </c>
      <c r="CD797" s="5" t="n">
        <v>7.95</v>
      </c>
      <c r="CE797" s="5" t="n">
        <v>2.025</v>
      </c>
      <c r="CF797" s="5" t="n">
        <v>97.45399999999999</v>
      </c>
      <c r="CG797" s="5" t="n">
        <v>0.18</v>
      </c>
      <c r="CH797" s="5" t="n">
        <v>1</v>
      </c>
      <c r="CI797" s="5" t="n">
        <v>0</v>
      </c>
      <c r="CJ797" s="5" t="n">
        <v>0</v>
      </c>
      <c r="CK797" s="5" t="n">
        <v>0</v>
      </c>
      <c r="CL797" s="5" t="n">
        <v>0</v>
      </c>
      <c r="CM797" s="5" t="n">
        <v>0</v>
      </c>
      <c r="CN797" s="5" t="n">
        <v>0</v>
      </c>
      <c r="CO797" s="5" t="n">
        <v>0</v>
      </c>
      <c r="CP797" s="5" t="n">
        <v>0</v>
      </c>
      <c r="CQ797" s="5" t="n">
        <v>1.387</v>
      </c>
      <c r="CR797" s="5" t="n">
        <v>0</v>
      </c>
      <c r="CS797" s="5" t="n">
        <v>5.529</v>
      </c>
      <c r="CT797" s="5" t="n">
        <v>4.251</v>
      </c>
      <c r="CU797" s="5" t="n">
        <v>10.168</v>
      </c>
    </row>
    <row r="798">
      <c r="A798" s="5" t="inlineStr">
        <is>
          <t>TON2021</t>
        </is>
      </c>
      <c r="B798" s="5" t="inlineStr">
        <is>
          <t>TON</t>
        </is>
      </c>
      <c r="C798" s="5" t="inlineStr">
        <is>
          <t>TON</t>
        </is>
      </c>
      <c r="D798" s="5" t="inlineStr">
        <is>
          <t>Tonga</t>
        </is>
      </c>
      <c r="E798" s="5" t="n">
        <v>2021</v>
      </c>
      <c r="F798" s="5" t="n">
        <v>0.15</v>
      </c>
      <c r="G798" s="5" t="n">
        <v>4.747</v>
      </c>
      <c r="H798" s="5" t="n">
        <v>1.143</v>
      </c>
      <c r="I798" s="5" t="n">
        <v>0</v>
      </c>
      <c r="J798" s="5" t="n">
        <v>4.747</v>
      </c>
      <c r="K798" s="5" t="n">
        <v>0</v>
      </c>
      <c r="L798" s="5" t="n">
        <v>1</v>
      </c>
      <c r="M798" s="5" t="n">
        <v>7.964</v>
      </c>
      <c r="N798" s="5" t="n">
        <v>3.43</v>
      </c>
      <c r="O798" s="5" t="n">
        <v>0</v>
      </c>
      <c r="P798" s="5" t="n">
        <v>7.964</v>
      </c>
      <c r="Q798" s="5" t="n">
        <v>0</v>
      </c>
      <c r="R798" s="5" t="n">
        <v>1</v>
      </c>
      <c r="S798" s="5" t="n">
        <v>10.464</v>
      </c>
      <c r="T798" s="5" t="n">
        <v>6.86</v>
      </c>
      <c r="U798" s="5" t="n">
        <v>0</v>
      </c>
      <c r="V798" s="5" t="n">
        <v>12.034</v>
      </c>
      <c r="W798" s="5" t="n">
        <v>0.15</v>
      </c>
      <c r="X798" s="5" t="n">
        <v>1</v>
      </c>
      <c r="Y798" s="5" t="n">
        <v>5.584</v>
      </c>
      <c r="Z798" s="5" t="n">
        <v>0.6889999999999999</v>
      </c>
      <c r="AA798" s="5" t="n">
        <v>0</v>
      </c>
      <c r="AB798" s="5" t="n">
        <v>5.584</v>
      </c>
      <c r="AC798" s="5" t="n">
        <v>0</v>
      </c>
      <c r="AD798" s="5" t="n">
        <v>1</v>
      </c>
      <c r="AE798" s="5" t="n">
        <v>6.727</v>
      </c>
      <c r="AF798" s="5" t="n">
        <v>1.467</v>
      </c>
      <c r="AG798" s="5" t="n">
        <v>0</v>
      </c>
      <c r="AH798" s="5" t="n">
        <v>6.727</v>
      </c>
      <c r="AI798" s="5" t="n">
        <v>0</v>
      </c>
      <c r="AJ798" s="5" t="n">
        <v>1</v>
      </c>
      <c r="AK798" s="5" t="n">
        <v>13.587</v>
      </c>
      <c r="AL798" s="5" t="n">
        <v>7.05</v>
      </c>
      <c r="AM798" s="5" t="n">
        <v>0</v>
      </c>
      <c r="AN798" s="5" t="n">
        <v>15.625</v>
      </c>
      <c r="AO798" s="5" t="n">
        <v>0.15</v>
      </c>
      <c r="AP798" s="5" t="n">
        <v>1</v>
      </c>
      <c r="AQ798" s="5" t="n">
        <v>0.621</v>
      </c>
      <c r="AR798" s="5" t="n">
        <v>0.114</v>
      </c>
      <c r="AS798" s="5" t="n">
        <v>0</v>
      </c>
      <c r="AT798" s="5" t="n">
        <v>0.714</v>
      </c>
      <c r="AU798" s="5" t="n">
        <v>0.15</v>
      </c>
      <c r="AV798" s="5" t="n">
        <v>1</v>
      </c>
      <c r="AW798" s="5" t="n">
        <v>0.593</v>
      </c>
      <c r="AX798" s="5" t="n">
        <v>0.114</v>
      </c>
      <c r="AY798" s="5" t="n">
        <v>0</v>
      </c>
      <c r="AZ798" s="5" t="n">
        <v>0.6820000000000001</v>
      </c>
      <c r="BA798" s="5" t="n">
        <v>0.15</v>
      </c>
      <c r="BB798" s="5" t="n">
        <v>1</v>
      </c>
      <c r="BC798" s="5" t="n">
        <v>0.44</v>
      </c>
      <c r="BD798" s="5" t="n">
        <v>0.114</v>
      </c>
      <c r="BE798" s="5" t="n">
        <v>0</v>
      </c>
      <c r="BF798" s="5" t="n">
        <v>0.506</v>
      </c>
      <c r="BG798" s="5" t="n">
        <v>0.15</v>
      </c>
      <c r="BH798" s="5" t="n">
        <v>1</v>
      </c>
      <c r="BI798" s="5" t="n">
        <v>0.5600000000000001</v>
      </c>
      <c r="BJ798" s="5" t="n">
        <v>0.114</v>
      </c>
      <c r="BK798" s="5" t="n">
        <v>0</v>
      </c>
      <c r="BL798" s="5" t="n">
        <v>0.644</v>
      </c>
      <c r="BM798" s="5" t="n">
        <v>0.15</v>
      </c>
      <c r="BN798" s="5" t="n">
        <v>1</v>
      </c>
      <c r="BO798" s="5" t="n">
        <v>0</v>
      </c>
      <c r="BP798" s="5" t="n">
        <v>0</v>
      </c>
      <c r="BQ798" s="5" t="n">
        <v>0</v>
      </c>
      <c r="BR798" s="5" t="n">
        <v>0</v>
      </c>
      <c r="BS798" s="5" t="n">
        <v>1</v>
      </c>
      <c r="BT798" s="5" t="n">
        <v>0</v>
      </c>
      <c r="BU798" s="5" t="n">
        <v>0</v>
      </c>
      <c r="BV798" s="5" t="n">
        <v>0</v>
      </c>
      <c r="BW798" s="5" t="n">
        <v>0.15</v>
      </c>
      <c r="BX798" s="5" t="n">
        <v>1</v>
      </c>
      <c r="BY798" s="5" t="n">
        <v>11.787</v>
      </c>
      <c r="BZ798" s="5" t="n">
        <v>0</v>
      </c>
      <c r="CA798" s="5" t="n">
        <v>11.787</v>
      </c>
      <c r="CB798" s="5" t="n">
        <v>0</v>
      </c>
      <c r="CC798" s="5" t="n">
        <v>81.69499999999999</v>
      </c>
      <c r="CD798" s="5" t="n">
        <v>7.95</v>
      </c>
      <c r="CE798" s="5" t="n">
        <v>0</v>
      </c>
      <c r="CF798" s="5" t="n">
        <v>93.95</v>
      </c>
      <c r="CG798" s="5" t="n">
        <v>0.15</v>
      </c>
      <c r="CH798" s="5" t="n">
        <v>1</v>
      </c>
      <c r="CI798" s="5" t="n">
        <v>0</v>
      </c>
      <c r="CJ798" s="5" t="n">
        <v>0</v>
      </c>
      <c r="CK798" s="5" t="n">
        <v>0</v>
      </c>
      <c r="CL798" s="5" t="n">
        <v>0</v>
      </c>
      <c r="CM798" s="5" t="n">
        <v>0</v>
      </c>
      <c r="CN798" s="5" t="n">
        <v>0</v>
      </c>
      <c r="CO798" s="5" t="n">
        <v>0</v>
      </c>
      <c r="CP798" s="5" t="n">
        <v>0</v>
      </c>
      <c r="CQ798" s="5" t="n">
        <v>1.198</v>
      </c>
      <c r="CR798" s="5" t="n">
        <v>0</v>
      </c>
      <c r="CS798" s="5" t="n">
        <v>4.776</v>
      </c>
      <c r="CT798" s="5" t="n">
        <v>3.604</v>
      </c>
      <c r="CU798" s="5" t="n">
        <v>9.407999999999999</v>
      </c>
    </row>
    <row r="799">
      <c r="A799" s="5" t="inlineStr">
        <is>
          <t>TON2022</t>
        </is>
      </c>
      <c r="B799" s="5" t="inlineStr">
        <is>
          <t>TON</t>
        </is>
      </c>
      <c r="C799" s="5" t="inlineStr">
        <is>
          <t>TON</t>
        </is>
      </c>
      <c r="D799" s="5" t="inlineStr">
        <is>
          <t>Tonga</t>
        </is>
      </c>
      <c r="E799" s="5" t="n">
        <v>2022</v>
      </c>
      <c r="F799" s="5" t="n">
        <v>0.15</v>
      </c>
      <c r="G799" s="5" t="n">
        <v>8.788</v>
      </c>
      <c r="H799" s="5" t="n">
        <v>1.235</v>
      </c>
      <c r="I799" s="5" t="n">
        <v>0</v>
      </c>
      <c r="J799" s="5" t="n">
        <v>8.788</v>
      </c>
      <c r="K799" s="5" t="n">
        <v>0</v>
      </c>
      <c r="L799" s="5" t="n">
        <v>1</v>
      </c>
      <c r="M799" s="5" t="n">
        <v>9.782999999999999</v>
      </c>
      <c r="N799" s="5" t="n">
        <v>3.704</v>
      </c>
      <c r="O799" s="5" t="n">
        <v>0</v>
      </c>
      <c r="P799" s="5" t="n">
        <v>9.782999999999999</v>
      </c>
      <c r="Q799" s="5" t="n">
        <v>0</v>
      </c>
      <c r="R799" s="5" t="n">
        <v>1</v>
      </c>
      <c r="S799" s="5" t="n">
        <v>14.962</v>
      </c>
      <c r="T799" s="5" t="n">
        <v>7.408</v>
      </c>
      <c r="U799" s="5" t="n">
        <v>0.166</v>
      </c>
      <c r="V799" s="5" t="n">
        <v>17.206</v>
      </c>
      <c r="W799" s="5" t="n">
        <v>0.15</v>
      </c>
      <c r="X799" s="5" t="n">
        <v>1</v>
      </c>
      <c r="Y799" s="5" t="n">
        <v>6.03</v>
      </c>
      <c r="Z799" s="5" t="n">
        <v>0.744</v>
      </c>
      <c r="AA799" s="5" t="n">
        <v>0</v>
      </c>
      <c r="AB799" s="5" t="n">
        <v>6.03</v>
      </c>
      <c r="AC799" s="5" t="n">
        <v>0</v>
      </c>
      <c r="AD799" s="5" t="n">
        <v>1</v>
      </c>
      <c r="AE799" s="5" t="n">
        <v>7.265</v>
      </c>
      <c r="AF799" s="5" t="n">
        <v>1.584</v>
      </c>
      <c r="AG799" s="5" t="n">
        <v>0</v>
      </c>
      <c r="AH799" s="5" t="n">
        <v>7.265</v>
      </c>
      <c r="AI799" s="5" t="n">
        <v>0</v>
      </c>
      <c r="AJ799" s="5" t="n">
        <v>1</v>
      </c>
      <c r="AK799" s="5" t="n">
        <v>14.673</v>
      </c>
      <c r="AL799" s="5" t="n">
        <v>7.614</v>
      </c>
      <c r="AM799" s="5" t="n">
        <v>0.163</v>
      </c>
      <c r="AN799" s="5" t="n">
        <v>16.874</v>
      </c>
      <c r="AO799" s="5" t="n">
        <v>0.15</v>
      </c>
      <c r="AP799" s="5" t="n">
        <v>1</v>
      </c>
      <c r="AQ799" s="5" t="n">
        <v>0.847</v>
      </c>
      <c r="AR799" s="5" t="n">
        <v>0.123</v>
      </c>
      <c r="AS799" s="5" t="n">
        <v>0.008999999999999999</v>
      </c>
      <c r="AT799" s="5" t="n">
        <v>0.974</v>
      </c>
      <c r="AU799" s="5" t="n">
        <v>0.15</v>
      </c>
      <c r="AV799" s="5" t="n">
        <v>1</v>
      </c>
      <c r="AW799" s="5" t="n">
        <v>0.947</v>
      </c>
      <c r="AX799" s="5" t="n">
        <v>0.123</v>
      </c>
      <c r="AY799" s="5" t="n">
        <v>0.011</v>
      </c>
      <c r="AZ799" s="5" t="n">
        <v>1.089</v>
      </c>
      <c r="BA799" s="5" t="n">
        <v>0.15</v>
      </c>
      <c r="BB799" s="5" t="n">
        <v>1</v>
      </c>
      <c r="BC799" s="5" t="n">
        <v>0.589</v>
      </c>
      <c r="BD799" s="5" t="n">
        <v>0.123</v>
      </c>
      <c r="BE799" s="5" t="n">
        <v>0.007</v>
      </c>
      <c r="BF799" s="5" t="n">
        <v>0.677</v>
      </c>
      <c r="BG799" s="5" t="n">
        <v>0.15</v>
      </c>
      <c r="BH799" s="5" t="n">
        <v>1</v>
      </c>
      <c r="BI799" s="5" t="n">
        <v>0.6889999999999999</v>
      </c>
      <c r="BJ799" s="5" t="n">
        <v>0.123</v>
      </c>
      <c r="BK799" s="5" t="n">
        <v>0.008</v>
      </c>
      <c r="BL799" s="5" t="n">
        <v>0.792</v>
      </c>
      <c r="BM799" s="5" t="n">
        <v>0.15</v>
      </c>
      <c r="BN799" s="5" t="n">
        <v>1</v>
      </c>
      <c r="BO799" s="5" t="n">
        <v>0</v>
      </c>
      <c r="BP799" s="5" t="n">
        <v>0</v>
      </c>
      <c r="BQ799" s="5" t="n">
        <v>0</v>
      </c>
      <c r="BR799" s="5" t="n">
        <v>0</v>
      </c>
      <c r="BS799" s="5" t="n">
        <v>1</v>
      </c>
      <c r="BT799" s="5" t="n">
        <v>0</v>
      </c>
      <c r="BU799" s="5" t="n">
        <v>0</v>
      </c>
      <c r="BV799" s="5" t="n">
        <v>0</v>
      </c>
      <c r="BW799" s="5" t="n">
        <v>0.15</v>
      </c>
      <c r="BX799" s="5" t="n">
        <v>1</v>
      </c>
      <c r="BY799" s="5" t="n">
        <v>12.729</v>
      </c>
      <c r="BZ799" s="5" t="n">
        <v>0</v>
      </c>
      <c r="CA799" s="5" t="n">
        <v>12.729</v>
      </c>
      <c r="CB799" s="5" t="n">
        <v>0</v>
      </c>
      <c r="CC799" s="5" t="n">
        <v>102.477</v>
      </c>
      <c r="CD799" s="5" t="n">
        <v>7.95</v>
      </c>
      <c r="CE799" s="5" t="n">
        <v>1.138</v>
      </c>
      <c r="CF799" s="5" t="n">
        <v>117.848</v>
      </c>
      <c r="CG799" s="5" t="n">
        <v>0.15</v>
      </c>
      <c r="CH799" s="5" t="n">
        <v>1</v>
      </c>
      <c r="CI799" s="5" t="n">
        <v>0</v>
      </c>
      <c r="CJ799" s="5" t="n">
        <v>0</v>
      </c>
      <c r="CK799" s="5" t="n">
        <v>0</v>
      </c>
      <c r="CL799" s="5" t="n">
        <v>0</v>
      </c>
      <c r="CM799" s="5" t="n">
        <v>0</v>
      </c>
      <c r="CN799" s="5" t="n">
        <v>0</v>
      </c>
      <c r="CO799" s="5" t="n">
        <v>0</v>
      </c>
      <c r="CP799" s="5" t="n">
        <v>0</v>
      </c>
      <c r="CQ799" s="5" t="n">
        <v>1.294</v>
      </c>
      <c r="CR799" s="5" t="n">
        <v>0</v>
      </c>
      <c r="CS799" s="5" t="n">
        <v>5.158</v>
      </c>
      <c r="CT799" s="5" t="n">
        <v>7.554</v>
      </c>
      <c r="CU799" s="5" t="n">
        <v>16.097</v>
      </c>
    </row>
    <row r="800">
      <c r="A800" s="5" t="inlineStr">
        <is>
          <t>TON2023</t>
        </is>
      </c>
      <c r="B800" s="5" t="inlineStr">
        <is>
          <t>TON</t>
        </is>
      </c>
      <c r="C800" s="5" t="inlineStr">
        <is>
          <t>TON</t>
        </is>
      </c>
      <c r="D800" s="5" t="inlineStr">
        <is>
          <t>Tonga</t>
        </is>
      </c>
      <c r="E800" s="5" t="n">
        <v>2023</v>
      </c>
      <c r="F800" s="5" t="n">
        <v>0.15</v>
      </c>
      <c r="G800" s="5" t="n">
        <v>5.77</v>
      </c>
      <c r="H800" s="5" t="n">
        <v>1.286</v>
      </c>
      <c r="I800" s="5" t="n">
        <v>0</v>
      </c>
      <c r="J800" s="5" t="n">
        <v>5.77</v>
      </c>
      <c r="K800" s="5" t="n">
        <v>0</v>
      </c>
      <c r="L800" s="5" t="n">
        <v>1</v>
      </c>
      <c r="M800" s="5" t="n">
        <v>7.886</v>
      </c>
      <c r="N800" s="5" t="n">
        <v>3.857</v>
      </c>
      <c r="O800" s="5" t="n">
        <v>0</v>
      </c>
      <c r="P800" s="5" t="n">
        <v>7.886</v>
      </c>
      <c r="Q800" s="5" t="n">
        <v>0</v>
      </c>
      <c r="R800" s="5" t="n">
        <v>1</v>
      </c>
      <c r="S800" s="5" t="n">
        <v>12.198</v>
      </c>
      <c r="T800" s="5" t="n">
        <v>7.714</v>
      </c>
      <c r="U800" s="5" t="n">
        <v>0.203</v>
      </c>
      <c r="V800" s="5" t="n">
        <v>14.028</v>
      </c>
      <c r="W800" s="5" t="n">
        <v>0.15</v>
      </c>
      <c r="X800" s="5" t="n">
        <v>1</v>
      </c>
      <c r="Y800" s="5" t="n">
        <v>6.279</v>
      </c>
      <c r="Z800" s="5" t="n">
        <v>0.775</v>
      </c>
      <c r="AA800" s="5" t="n">
        <v>0</v>
      </c>
      <c r="AB800" s="5" t="n">
        <v>6.279</v>
      </c>
      <c r="AC800" s="5" t="n">
        <v>0</v>
      </c>
      <c r="AD800" s="5" t="n">
        <v>1</v>
      </c>
      <c r="AE800" s="5" t="n">
        <v>7.565</v>
      </c>
      <c r="AF800" s="5" t="n">
        <v>1.649</v>
      </c>
      <c r="AG800" s="5" t="n">
        <v>0</v>
      </c>
      <c r="AH800" s="5" t="n">
        <v>7.565</v>
      </c>
      <c r="AI800" s="5" t="n">
        <v>0</v>
      </c>
      <c r="AJ800" s="5" t="n">
        <v>1</v>
      </c>
      <c r="AK800" s="5" t="n">
        <v>15.279</v>
      </c>
      <c r="AL800" s="5" t="n">
        <v>7.928</v>
      </c>
      <c r="AM800" s="5" t="n">
        <v>0.254</v>
      </c>
      <c r="AN800" s="5" t="n">
        <v>17.571</v>
      </c>
      <c r="AO800" s="5" t="n">
        <v>0.15</v>
      </c>
      <c r="AP800" s="5" t="n">
        <v>1</v>
      </c>
      <c r="AQ800" s="5" t="n">
        <v>0.749</v>
      </c>
      <c r="AR800" s="5" t="n">
        <v>0.129</v>
      </c>
      <c r="AS800" s="5" t="n">
        <v>0.012</v>
      </c>
      <c r="AT800" s="5" t="n">
        <v>0.861</v>
      </c>
      <c r="AU800" s="5" t="n">
        <v>0.15</v>
      </c>
      <c r="AV800" s="5" t="n">
        <v>1</v>
      </c>
      <c r="AW800" s="5" t="n">
        <v>0.783</v>
      </c>
      <c r="AX800" s="5" t="n">
        <v>0.129</v>
      </c>
      <c r="AY800" s="5" t="n">
        <v>0.013</v>
      </c>
      <c r="AZ800" s="5" t="n">
        <v>0.9</v>
      </c>
      <c r="BA800" s="5" t="n">
        <v>0.15</v>
      </c>
      <c r="BB800" s="5" t="n">
        <v>1</v>
      </c>
      <c r="BC800" s="5" t="n">
        <v>0.527</v>
      </c>
      <c r="BD800" s="5" t="n">
        <v>0.129</v>
      </c>
      <c r="BE800" s="5" t="n">
        <v>0.008999999999999999</v>
      </c>
      <c r="BF800" s="5" t="n">
        <v>0.607</v>
      </c>
      <c r="BG800" s="5" t="n">
        <v>0.15</v>
      </c>
      <c r="BH800" s="5" t="n">
        <v>1</v>
      </c>
      <c r="BI800" s="5" t="n">
        <v>0.64</v>
      </c>
      <c r="BJ800" s="5" t="n">
        <v>0.129</v>
      </c>
      <c r="BK800" s="5" t="n">
        <v>0.011</v>
      </c>
      <c r="BL800" s="5" t="n">
        <v>0.736</v>
      </c>
      <c r="BM800" s="5" t="n">
        <v>0.15</v>
      </c>
      <c r="BN800" s="5" t="n">
        <v>1</v>
      </c>
      <c r="BO800" s="5" t="n">
        <v>0</v>
      </c>
      <c r="BP800" s="5" t="n">
        <v>0</v>
      </c>
      <c r="BQ800" s="5" t="n">
        <v>0</v>
      </c>
      <c r="BR800" s="5" t="n">
        <v>0</v>
      </c>
      <c r="BS800" s="5" t="n">
        <v>1</v>
      </c>
      <c r="BT800" s="5" t="n">
        <v>0</v>
      </c>
      <c r="BU800" s="5" t="n">
        <v>0</v>
      </c>
      <c r="BV800" s="5" t="n">
        <v>0</v>
      </c>
      <c r="BW800" s="5" t="n">
        <v>0.15</v>
      </c>
      <c r="BX800" s="5" t="n">
        <v>1</v>
      </c>
      <c r="BY800" s="5" t="n">
        <v>13.254</v>
      </c>
      <c r="BZ800" s="5" t="n">
        <v>0</v>
      </c>
      <c r="CA800" s="5" t="n">
        <v>13.254</v>
      </c>
      <c r="CB800" s="5" t="n">
        <v>0</v>
      </c>
      <c r="CC800" s="5" t="n">
        <v>87.07899999999999</v>
      </c>
      <c r="CD800" s="5" t="n">
        <v>7.95</v>
      </c>
      <c r="CE800" s="5" t="n">
        <v>1.446</v>
      </c>
      <c r="CF800" s="5" t="n">
        <v>100.141</v>
      </c>
      <c r="CG800" s="5" t="n">
        <v>0.15</v>
      </c>
      <c r="CH800" s="5" t="n">
        <v>1</v>
      </c>
      <c r="CI800" s="5" t="n">
        <v>0</v>
      </c>
      <c r="CJ800" s="5" t="n">
        <v>0</v>
      </c>
      <c r="CK800" s="5" t="n">
        <v>0</v>
      </c>
      <c r="CL800" s="5" t="n">
        <v>0</v>
      </c>
      <c r="CM800" s="5" t="n">
        <v>0</v>
      </c>
      <c r="CN800" s="5" t="n">
        <v>0</v>
      </c>
      <c r="CO800" s="5" t="n">
        <v>0</v>
      </c>
      <c r="CP800" s="5" t="n">
        <v>0</v>
      </c>
      <c r="CQ800" s="5" t="n">
        <v>1.348</v>
      </c>
      <c r="CR800" s="5" t="n">
        <v>0</v>
      </c>
      <c r="CS800" s="5" t="n">
        <v>5.37</v>
      </c>
      <c r="CT800" s="5" t="n">
        <v>4.484</v>
      </c>
      <c r="CU800" s="5" t="n">
        <v>12.529</v>
      </c>
    </row>
    <row r="801">
      <c r="A801" s="5" t="inlineStr">
        <is>
          <t>TON2024</t>
        </is>
      </c>
      <c r="B801" s="5" t="inlineStr">
        <is>
          <t>TON</t>
        </is>
      </c>
      <c r="C801" s="5" t="inlineStr">
        <is>
          <t>TON</t>
        </is>
      </c>
      <c r="D801" s="5" t="inlineStr">
        <is>
          <t>Tonga</t>
        </is>
      </c>
      <c r="E801" s="5" t="n">
        <v>2024</v>
      </c>
      <c r="F801" s="5" t="n">
        <v>0.15</v>
      </c>
      <c r="G801" s="5" t="n">
        <v>4.833</v>
      </c>
      <c r="H801" s="5" t="n">
        <v>1.324</v>
      </c>
      <c r="I801" s="5" t="n">
        <v>0</v>
      </c>
      <c r="J801" s="5" t="n">
        <v>4.833</v>
      </c>
      <c r="K801" s="5" t="n">
        <v>0</v>
      </c>
      <c r="L801" s="5" t="n">
        <v>1</v>
      </c>
      <c r="M801" s="5" t="n">
        <v>7.124</v>
      </c>
      <c r="N801" s="5" t="n">
        <v>3.971</v>
      </c>
      <c r="O801" s="5" t="n">
        <v>0</v>
      </c>
      <c r="P801" s="5" t="n">
        <v>7.124</v>
      </c>
      <c r="Q801" s="5" t="n">
        <v>0</v>
      </c>
      <c r="R801" s="5" t="n">
        <v>1</v>
      </c>
      <c r="S801" s="5" t="n">
        <v>11.451</v>
      </c>
      <c r="T801" s="5" t="n">
        <v>7.942</v>
      </c>
      <c r="U801" s="5" t="n">
        <v>0.234</v>
      </c>
      <c r="V801" s="5" t="n">
        <v>13.168</v>
      </c>
      <c r="W801" s="5" t="n">
        <v>0.15</v>
      </c>
      <c r="X801" s="5" t="n">
        <v>1</v>
      </c>
      <c r="Y801" s="5" t="n">
        <v>6.465</v>
      </c>
      <c r="Z801" s="5" t="n">
        <v>0.798</v>
      </c>
      <c r="AA801" s="5" t="n">
        <v>0</v>
      </c>
      <c r="AB801" s="5" t="n">
        <v>6.465</v>
      </c>
      <c r="AC801" s="5" t="n">
        <v>0</v>
      </c>
      <c r="AD801" s="5" t="n">
        <v>1</v>
      </c>
      <c r="AE801" s="5" t="n">
        <v>7.788</v>
      </c>
      <c r="AF801" s="5" t="n">
        <v>1.698</v>
      </c>
      <c r="AG801" s="5" t="n">
        <v>0</v>
      </c>
      <c r="AH801" s="5" t="n">
        <v>7.788</v>
      </c>
      <c r="AI801" s="5" t="n">
        <v>0</v>
      </c>
      <c r="AJ801" s="5" t="n">
        <v>1</v>
      </c>
      <c r="AK801" s="5" t="n">
        <v>15.73</v>
      </c>
      <c r="AL801" s="5" t="n">
        <v>8.162000000000001</v>
      </c>
      <c r="AM801" s="5" t="n">
        <v>0.321</v>
      </c>
      <c r="AN801" s="5" t="n">
        <v>18.09</v>
      </c>
      <c r="AO801" s="5" t="n">
        <v>0.15</v>
      </c>
      <c r="AP801" s="5" t="n">
        <v>1</v>
      </c>
      <c r="AQ801" s="5" t="n">
        <v>0.72</v>
      </c>
      <c r="AR801" s="5" t="n">
        <v>0.132</v>
      </c>
      <c r="AS801" s="5" t="n">
        <v>0.015</v>
      </c>
      <c r="AT801" s="5" t="n">
        <v>0.828</v>
      </c>
      <c r="AU801" s="5" t="n">
        <v>0.15</v>
      </c>
      <c r="AV801" s="5" t="n">
        <v>1</v>
      </c>
      <c r="AW801" s="5" t="n">
        <v>0.734</v>
      </c>
      <c r="AX801" s="5" t="n">
        <v>0.132</v>
      </c>
      <c r="AY801" s="5" t="n">
        <v>0.015</v>
      </c>
      <c r="AZ801" s="5" t="n">
        <v>0.844</v>
      </c>
      <c r="BA801" s="5" t="n">
        <v>0.15</v>
      </c>
      <c r="BB801" s="5" t="n">
        <v>1</v>
      </c>
      <c r="BC801" s="5" t="n">
        <v>0.51</v>
      </c>
      <c r="BD801" s="5" t="n">
        <v>0.132</v>
      </c>
      <c r="BE801" s="5" t="n">
        <v>0.01</v>
      </c>
      <c r="BF801" s="5" t="n">
        <v>0.587</v>
      </c>
      <c r="BG801" s="5" t="n">
        <v>0.15</v>
      </c>
      <c r="BH801" s="5" t="n">
        <v>1</v>
      </c>
      <c r="BI801" s="5" t="n">
        <v>0.652</v>
      </c>
      <c r="BJ801" s="5" t="n">
        <v>0.132</v>
      </c>
      <c r="BK801" s="5" t="n">
        <v>0.013</v>
      </c>
      <c r="BL801" s="5" t="n">
        <v>0.75</v>
      </c>
      <c r="BM801" s="5" t="n">
        <v>0.15</v>
      </c>
      <c r="BN801" s="5" t="n">
        <v>1</v>
      </c>
      <c r="BO801" s="5" t="n">
        <v>0</v>
      </c>
      <c r="BP801" s="5" t="n">
        <v>0</v>
      </c>
      <c r="BQ801" s="5" t="n">
        <v>0</v>
      </c>
      <c r="BR801" s="5" t="n">
        <v>0</v>
      </c>
      <c r="BS801" s="5" t="n">
        <v>1</v>
      </c>
      <c r="BT801" s="5" t="n">
        <v>0</v>
      </c>
      <c r="BU801" s="5" t="n">
        <v>0</v>
      </c>
      <c r="BV801" s="5" t="n">
        <v>0</v>
      </c>
      <c r="BW801" s="5" t="n">
        <v>0.15</v>
      </c>
      <c r="BX801" s="5" t="n">
        <v>1</v>
      </c>
      <c r="BY801" s="5" t="n">
        <v>13.646</v>
      </c>
      <c r="BZ801" s="5" t="n">
        <v>0</v>
      </c>
      <c r="CA801" s="5" t="n">
        <v>13.646</v>
      </c>
      <c r="CB801" s="5" t="n">
        <v>0</v>
      </c>
      <c r="CC801" s="5" t="n">
        <v>86.38500000000001</v>
      </c>
      <c r="CD801" s="5" t="n">
        <v>7.95</v>
      </c>
      <c r="CE801" s="5" t="n">
        <v>1.765</v>
      </c>
      <c r="CF801" s="5" t="n">
        <v>99.343</v>
      </c>
      <c r="CG801" s="5" t="n">
        <v>0.15</v>
      </c>
      <c r="CH801" s="5" t="n">
        <v>1</v>
      </c>
      <c r="CI801" s="5" t="n">
        <v>0</v>
      </c>
      <c r="CJ801" s="5" t="n">
        <v>0</v>
      </c>
      <c r="CK801" s="5" t="n">
        <v>0</v>
      </c>
      <c r="CL801" s="5" t="n">
        <v>0</v>
      </c>
      <c r="CM801" s="5" t="n">
        <v>0</v>
      </c>
      <c r="CN801" s="5" t="n">
        <v>0</v>
      </c>
      <c r="CO801" s="5" t="n">
        <v>0</v>
      </c>
      <c r="CP801" s="5" t="n">
        <v>0</v>
      </c>
      <c r="CQ801" s="5" t="n">
        <v>1.387</v>
      </c>
      <c r="CR801" s="5" t="n">
        <v>0</v>
      </c>
      <c r="CS801" s="5" t="n">
        <v>5.529</v>
      </c>
      <c r="CT801" s="5" t="n">
        <v>3.509</v>
      </c>
      <c r="CU801" s="5" t="n">
        <v>10.896</v>
      </c>
    </row>
    <row r="802">
      <c r="A802" s="5" t="inlineStr">
        <is>
          <t>TTO2021</t>
        </is>
      </c>
      <c r="B802" s="5" t="inlineStr">
        <is>
          <t>TTO</t>
        </is>
      </c>
      <c r="C802" s="5" t="inlineStr">
        <is>
          <t>TTO</t>
        </is>
      </c>
      <c r="D802" s="5" t="inlineStr">
        <is>
          <t>Trinidad and Tobago</t>
        </is>
      </c>
      <c r="E802" s="5" t="n">
        <v>2021</v>
      </c>
      <c r="F802" s="5" t="n">
        <v>0.125</v>
      </c>
      <c r="G802" s="5" t="n">
        <v>5.897</v>
      </c>
      <c r="H802" s="5" t="n">
        <v>1.143</v>
      </c>
      <c r="I802" s="5" t="n">
        <v>0</v>
      </c>
      <c r="J802" s="5" t="n">
        <v>5.897</v>
      </c>
      <c r="K802" s="5" t="n">
        <v>0</v>
      </c>
      <c r="L802" s="5" t="n">
        <v>1</v>
      </c>
      <c r="M802" s="5" t="n">
        <v>7.964</v>
      </c>
      <c r="N802" s="5" t="n">
        <v>3.43</v>
      </c>
      <c r="O802" s="5" t="n">
        <v>0</v>
      </c>
      <c r="P802" s="5" t="n">
        <v>7.964</v>
      </c>
      <c r="Q802" s="5" t="n">
        <v>0</v>
      </c>
      <c r="R802" s="5" t="n">
        <v>1</v>
      </c>
      <c r="S802" s="5" t="n">
        <v>11.613</v>
      </c>
      <c r="T802" s="5" t="n">
        <v>6.86</v>
      </c>
      <c r="U802" s="5" t="n">
        <v>0</v>
      </c>
      <c r="V802" s="5" t="n">
        <v>13.065</v>
      </c>
      <c r="W802" s="5" t="n">
        <v>0.125</v>
      </c>
      <c r="X802" s="5" t="n">
        <v>1</v>
      </c>
      <c r="Y802" s="5" t="n">
        <v>7.417</v>
      </c>
      <c r="Z802" s="5" t="n">
        <v>0.8139999999999999</v>
      </c>
      <c r="AA802" s="5" t="n">
        <v>0</v>
      </c>
      <c r="AB802" s="5" t="n">
        <v>7.417</v>
      </c>
      <c r="AC802" s="5" t="n">
        <v>0</v>
      </c>
      <c r="AD802" s="5" t="n">
        <v>1</v>
      </c>
      <c r="AE802" s="5" t="n">
        <v>7.988</v>
      </c>
      <c r="AF802" s="5" t="n">
        <v>1.553</v>
      </c>
      <c r="AG802" s="5" t="n">
        <v>0</v>
      </c>
      <c r="AH802" s="5" t="n">
        <v>7.988</v>
      </c>
      <c r="AI802" s="5" t="n">
        <v>0</v>
      </c>
      <c r="AJ802" s="5" t="n">
        <v>1</v>
      </c>
      <c r="AK802" s="5" t="n">
        <v>11.418</v>
      </c>
      <c r="AL802" s="5" t="n">
        <v>5.386</v>
      </c>
      <c r="AM802" s="5" t="n">
        <v>0</v>
      </c>
      <c r="AN802" s="5" t="n">
        <v>12.845</v>
      </c>
      <c r="AO802" s="5" t="n">
        <v>0.125</v>
      </c>
      <c r="AP802" s="5" t="n">
        <v>1</v>
      </c>
      <c r="AQ802" s="5" t="n">
        <v>0.649</v>
      </c>
      <c r="AR802" s="5" t="n">
        <v>0.114</v>
      </c>
      <c r="AS802" s="5" t="n">
        <v>-0.25</v>
      </c>
      <c r="AT802" s="5" t="n">
        <v>0.449</v>
      </c>
      <c r="AU802" s="5" t="n">
        <v>0</v>
      </c>
      <c r="AV802" s="5" t="n">
        <v>0</v>
      </c>
      <c r="AW802" s="5" t="n">
        <v>0.577</v>
      </c>
      <c r="AX802" s="5" t="n">
        <v>0.114</v>
      </c>
      <c r="AY802" s="5" t="n">
        <v>-0.133</v>
      </c>
      <c r="AZ802" s="5" t="n">
        <v>0.499</v>
      </c>
      <c r="BA802" s="5" t="n">
        <v>0</v>
      </c>
      <c r="BB802" s="5" t="n">
        <v>1</v>
      </c>
      <c r="BC802" s="5" t="n">
        <v>0.458</v>
      </c>
      <c r="BD802" s="5" t="n">
        <v>0.114</v>
      </c>
      <c r="BE802" s="5" t="n">
        <v>-0.244</v>
      </c>
      <c r="BF802" s="5" t="n">
        <v>0.215</v>
      </c>
      <c r="BG802" s="5" t="n">
        <v>0</v>
      </c>
      <c r="BH802" s="5" t="n">
        <v>0</v>
      </c>
      <c r="BI802" s="5" t="n">
        <v>0.491</v>
      </c>
      <c r="BJ802" s="5" t="n">
        <v>0.114</v>
      </c>
      <c r="BK802" s="5" t="n">
        <v>-0.137</v>
      </c>
      <c r="BL802" s="5" t="n">
        <v>0.354</v>
      </c>
      <c r="BM802" s="5" t="n">
        <v>0</v>
      </c>
      <c r="BN802" s="5" t="n">
        <v>0</v>
      </c>
      <c r="BO802" s="5" t="n">
        <v>0</v>
      </c>
      <c r="BP802" s="5" t="n">
        <v>-0.032</v>
      </c>
      <c r="BQ802" s="5" t="n">
        <v>0.053</v>
      </c>
      <c r="BR802" s="5" t="n">
        <v>0</v>
      </c>
      <c r="BS802" s="5" t="n">
        <v>0</v>
      </c>
      <c r="BT802" s="5" t="n">
        <v>0</v>
      </c>
      <c r="BU802" s="5" t="n">
        <v>-0.032</v>
      </c>
      <c r="BV802" s="5" t="n">
        <v>0.052</v>
      </c>
      <c r="BW802" s="5" t="n">
        <v>0</v>
      </c>
      <c r="BX802" s="5" t="n">
        <v>0.167</v>
      </c>
      <c r="BY802" s="5" t="n">
        <v>11.787</v>
      </c>
      <c r="BZ802" s="5" t="n">
        <v>0</v>
      </c>
      <c r="CA802" s="5" t="n">
        <v>11.787</v>
      </c>
      <c r="CB802" s="5" t="n">
        <v>0</v>
      </c>
      <c r="CC802" s="5" t="n">
        <v>78.125</v>
      </c>
      <c r="CD802" s="5" t="n">
        <v>7.95</v>
      </c>
      <c r="CE802" s="5" t="n">
        <v>-31.153</v>
      </c>
      <c r="CF802" s="5" t="n">
        <v>46.972</v>
      </c>
      <c r="CG802" s="5" t="n">
        <v>0</v>
      </c>
      <c r="CH802" s="5" t="n">
        <v>0</v>
      </c>
      <c r="CI802" s="5" t="n">
        <v>0</v>
      </c>
      <c r="CJ802" s="5" t="n">
        <v>0</v>
      </c>
      <c r="CK802" s="5" t="n">
        <v>0</v>
      </c>
      <c r="CL802" s="5" t="n">
        <v>0</v>
      </c>
      <c r="CM802" s="5" t="n">
        <v>0</v>
      </c>
      <c r="CN802" s="5" t="n">
        <v>0</v>
      </c>
      <c r="CO802" s="5" t="n">
        <v>0</v>
      </c>
      <c r="CP802" s="5" t="n">
        <v>0</v>
      </c>
      <c r="CQ802" s="5" t="n">
        <v>1.198</v>
      </c>
      <c r="CR802" s="5" t="n">
        <v>1</v>
      </c>
      <c r="CS802" s="5" t="n">
        <v>6.845</v>
      </c>
      <c r="CT802" s="5" t="n">
        <v>4.753</v>
      </c>
      <c r="CU802" s="5" t="n">
        <v>14.129</v>
      </c>
    </row>
    <row r="803">
      <c r="A803" s="5" t="inlineStr">
        <is>
          <t>TTO2022</t>
        </is>
      </c>
      <c r="B803" s="5" t="inlineStr">
        <is>
          <t>TTO</t>
        </is>
      </c>
      <c r="C803" s="5" t="inlineStr">
        <is>
          <t>TTO</t>
        </is>
      </c>
      <c r="D803" s="5" t="inlineStr">
        <is>
          <t>Trinidad and Tobago</t>
        </is>
      </c>
      <c r="E803" s="5" t="n">
        <v>2022</v>
      </c>
      <c r="F803" s="5" t="n">
        <v>0.125</v>
      </c>
      <c r="G803" s="5" t="n">
        <v>11.72</v>
      </c>
      <c r="H803" s="5" t="n">
        <v>1.235</v>
      </c>
      <c r="I803" s="5" t="n">
        <v>0</v>
      </c>
      <c r="J803" s="5" t="n">
        <v>11.72</v>
      </c>
      <c r="K803" s="5" t="n">
        <v>0</v>
      </c>
      <c r="L803" s="5" t="n">
        <v>1</v>
      </c>
      <c r="M803" s="5" t="n">
        <v>9.782999999999999</v>
      </c>
      <c r="N803" s="5" t="n">
        <v>3.704</v>
      </c>
      <c r="O803" s="5" t="n">
        <v>0</v>
      </c>
      <c r="P803" s="5" t="n">
        <v>9.782999999999999</v>
      </c>
      <c r="Q803" s="5" t="n">
        <v>0</v>
      </c>
      <c r="R803" s="5" t="n">
        <v>1</v>
      </c>
      <c r="S803" s="5" t="n">
        <v>17.893</v>
      </c>
      <c r="T803" s="5" t="n">
        <v>7.408</v>
      </c>
      <c r="U803" s="5" t="n">
        <v>0.166</v>
      </c>
      <c r="V803" s="5" t="n">
        <v>20.13</v>
      </c>
      <c r="W803" s="5" t="n">
        <v>0.125</v>
      </c>
      <c r="X803" s="5" t="n">
        <v>1</v>
      </c>
      <c r="Y803" s="5" t="n">
        <v>8.009</v>
      </c>
      <c r="Z803" s="5" t="n">
        <v>0.879</v>
      </c>
      <c r="AA803" s="5" t="n">
        <v>0</v>
      </c>
      <c r="AB803" s="5" t="n">
        <v>8.009</v>
      </c>
      <c r="AC803" s="5" t="n">
        <v>0</v>
      </c>
      <c r="AD803" s="5" t="n">
        <v>1</v>
      </c>
      <c r="AE803" s="5" t="n">
        <v>8.627000000000001</v>
      </c>
      <c r="AF803" s="5" t="n">
        <v>1.678</v>
      </c>
      <c r="AG803" s="5" t="n">
        <v>0</v>
      </c>
      <c r="AH803" s="5" t="n">
        <v>8.627000000000001</v>
      </c>
      <c r="AI803" s="5" t="n">
        <v>0</v>
      </c>
      <c r="AJ803" s="5" t="n">
        <v>1</v>
      </c>
      <c r="AK803" s="5" t="n">
        <v>12.331</v>
      </c>
      <c r="AL803" s="5" t="n">
        <v>5.817</v>
      </c>
      <c r="AM803" s="5" t="n">
        <v>0.114</v>
      </c>
      <c r="AN803" s="5" t="n">
        <v>13.872</v>
      </c>
      <c r="AO803" s="5" t="n">
        <v>0.125</v>
      </c>
      <c r="AP803" s="5" t="n">
        <v>1</v>
      </c>
      <c r="AQ803" s="5" t="n">
        <v>0.896</v>
      </c>
      <c r="AR803" s="5" t="n">
        <v>0.123</v>
      </c>
      <c r="AS803" s="5" t="n">
        <v>-0.281</v>
      </c>
      <c r="AT803" s="5" t="n">
        <v>0.6929999999999999</v>
      </c>
      <c r="AU803" s="5" t="n">
        <v>0</v>
      </c>
      <c r="AV803" s="5" t="n">
        <v>0</v>
      </c>
      <c r="AW803" s="5" t="n">
        <v>0.89</v>
      </c>
      <c r="AX803" s="5" t="n">
        <v>0.123</v>
      </c>
      <c r="AY803" s="5" t="n">
        <v>-0.383</v>
      </c>
      <c r="AZ803" s="5" t="n">
        <v>0.57</v>
      </c>
      <c r="BA803" s="5" t="n">
        <v>0</v>
      </c>
      <c r="BB803" s="5" t="n">
        <v>1</v>
      </c>
      <c r="BC803" s="5" t="n">
        <v>0.62</v>
      </c>
      <c r="BD803" s="5" t="n">
        <v>0.123</v>
      </c>
      <c r="BE803" s="5" t="n">
        <v>-0.263</v>
      </c>
      <c r="BF803" s="5" t="n">
        <v>0.357</v>
      </c>
      <c r="BG803" s="5" t="n">
        <v>0</v>
      </c>
      <c r="BH803" s="5" t="n">
        <v>0</v>
      </c>
      <c r="BI803" s="5" t="n">
        <v>0.608</v>
      </c>
      <c r="BJ803" s="5" t="n">
        <v>0.123</v>
      </c>
      <c r="BK803" s="5" t="n">
        <v>-0.148</v>
      </c>
      <c r="BL803" s="5" t="n">
        <v>0.46</v>
      </c>
      <c r="BM803" s="5" t="n">
        <v>0</v>
      </c>
      <c r="BN803" s="5" t="n">
        <v>0</v>
      </c>
      <c r="BO803" s="5" t="n">
        <v>0</v>
      </c>
      <c r="BP803" s="5" t="n">
        <v>-0.032</v>
      </c>
      <c r="BQ803" s="5" t="n">
        <v>0.053</v>
      </c>
      <c r="BR803" s="5" t="n">
        <v>0</v>
      </c>
      <c r="BS803" s="5" t="n">
        <v>0</v>
      </c>
      <c r="BT803" s="5" t="n">
        <v>0</v>
      </c>
      <c r="BU803" s="5" t="n">
        <v>-0.032</v>
      </c>
      <c r="BV803" s="5" t="n">
        <v>0.052</v>
      </c>
      <c r="BW803" s="5" t="n">
        <v>0</v>
      </c>
      <c r="BX803" s="5" t="n">
        <v>0.167</v>
      </c>
      <c r="BY803" s="5" t="n">
        <v>12.729</v>
      </c>
      <c r="BZ803" s="5" t="n">
        <v>0</v>
      </c>
      <c r="CA803" s="5" t="n">
        <v>12.729</v>
      </c>
      <c r="CB803" s="5" t="n">
        <v>0</v>
      </c>
      <c r="CC803" s="5" t="n">
        <v>97.90000000000001</v>
      </c>
      <c r="CD803" s="5" t="n">
        <v>7.95</v>
      </c>
      <c r="CE803" s="5" t="n">
        <v>-33.643</v>
      </c>
      <c r="CF803" s="5" t="n">
        <v>64.25700000000001</v>
      </c>
      <c r="CG803" s="5" t="n">
        <v>0</v>
      </c>
      <c r="CH803" s="5" t="n">
        <v>0</v>
      </c>
      <c r="CI803" s="5" t="n">
        <v>0</v>
      </c>
      <c r="CJ803" s="5" t="n">
        <v>0</v>
      </c>
      <c r="CK803" s="5" t="n">
        <v>0</v>
      </c>
      <c r="CL803" s="5" t="n">
        <v>0</v>
      </c>
      <c r="CM803" s="5" t="n">
        <v>0</v>
      </c>
      <c r="CN803" s="5" t="n">
        <v>0</v>
      </c>
      <c r="CO803" s="5" t="n">
        <v>0</v>
      </c>
      <c r="CP803" s="5" t="n">
        <v>0</v>
      </c>
      <c r="CQ803" s="5" t="n">
        <v>1.294</v>
      </c>
      <c r="CR803" s="5" t="n">
        <v>1</v>
      </c>
      <c r="CS803" s="5" t="n">
        <v>7.392</v>
      </c>
      <c r="CT803" s="5" t="n">
        <v>10.485</v>
      </c>
      <c r="CU803" s="5" t="n">
        <v>28.059</v>
      </c>
    </row>
    <row r="804">
      <c r="A804" s="5" t="inlineStr">
        <is>
          <t>TTO2023</t>
        </is>
      </c>
      <c r="B804" s="5" t="inlineStr">
        <is>
          <t>TTO</t>
        </is>
      </c>
      <c r="C804" s="5" t="inlineStr">
        <is>
          <t>TTO</t>
        </is>
      </c>
      <c r="D804" s="5" t="inlineStr">
        <is>
          <t>Trinidad and Tobago</t>
        </is>
      </c>
      <c r="E804" s="5" t="n">
        <v>2023</v>
      </c>
      <c r="F804" s="5" t="n">
        <v>0.125</v>
      </c>
      <c r="G804" s="5" t="n">
        <v>6.147</v>
      </c>
      <c r="H804" s="5" t="n">
        <v>1.286</v>
      </c>
      <c r="I804" s="5" t="n">
        <v>0</v>
      </c>
      <c r="J804" s="5" t="n">
        <v>6.147</v>
      </c>
      <c r="K804" s="5" t="n">
        <v>0</v>
      </c>
      <c r="L804" s="5" t="n">
        <v>1</v>
      </c>
      <c r="M804" s="5" t="n">
        <v>7.886</v>
      </c>
      <c r="N804" s="5" t="n">
        <v>3.857</v>
      </c>
      <c r="O804" s="5" t="n">
        <v>0</v>
      </c>
      <c r="P804" s="5" t="n">
        <v>7.886</v>
      </c>
      <c r="Q804" s="5" t="n">
        <v>0</v>
      </c>
      <c r="R804" s="5" t="n">
        <v>1</v>
      </c>
      <c r="S804" s="5" t="n">
        <v>12.575</v>
      </c>
      <c r="T804" s="5" t="n">
        <v>7.714</v>
      </c>
      <c r="U804" s="5" t="n">
        <v>0.174</v>
      </c>
      <c r="V804" s="5" t="n">
        <v>14.147</v>
      </c>
      <c r="W804" s="5" t="n">
        <v>0.125</v>
      </c>
      <c r="X804" s="5" t="n">
        <v>1</v>
      </c>
      <c r="Y804" s="5" t="n">
        <v>8.34</v>
      </c>
      <c r="Z804" s="5" t="n">
        <v>0.915</v>
      </c>
      <c r="AA804" s="5" t="n">
        <v>0</v>
      </c>
      <c r="AB804" s="5" t="n">
        <v>8.34</v>
      </c>
      <c r="AC804" s="5" t="n">
        <v>0</v>
      </c>
      <c r="AD804" s="5" t="n">
        <v>1</v>
      </c>
      <c r="AE804" s="5" t="n">
        <v>8.983000000000001</v>
      </c>
      <c r="AF804" s="5" t="n">
        <v>1.747</v>
      </c>
      <c r="AG804" s="5" t="n">
        <v>0</v>
      </c>
      <c r="AH804" s="5" t="n">
        <v>8.983000000000001</v>
      </c>
      <c r="AI804" s="5" t="n">
        <v>0</v>
      </c>
      <c r="AJ804" s="5" t="n">
        <v>1</v>
      </c>
      <c r="AK804" s="5" t="n">
        <v>12.84</v>
      </c>
      <c r="AL804" s="5" t="n">
        <v>6.057</v>
      </c>
      <c r="AM804" s="5" t="n">
        <v>0.178</v>
      </c>
      <c r="AN804" s="5" t="n">
        <v>14.445</v>
      </c>
      <c r="AO804" s="5" t="n">
        <v>0.125</v>
      </c>
      <c r="AP804" s="5" t="n">
        <v>1</v>
      </c>
      <c r="AQ804" s="5" t="n">
        <v>0.791</v>
      </c>
      <c r="AR804" s="5" t="n">
        <v>0.129</v>
      </c>
      <c r="AS804" s="5" t="n">
        <v>-0.196</v>
      </c>
      <c r="AT804" s="5" t="n">
        <v>0.595</v>
      </c>
      <c r="AU804" s="5" t="n">
        <v>0</v>
      </c>
      <c r="AV804" s="5" t="n">
        <v>0</v>
      </c>
      <c r="AW804" s="5" t="n">
        <v>0.618</v>
      </c>
      <c r="AX804" s="5" t="n">
        <v>0.129</v>
      </c>
      <c r="AY804" s="5" t="n">
        <v>-0.042</v>
      </c>
      <c r="AZ804" s="5" t="n">
        <v>0.576</v>
      </c>
      <c r="BA804" s="5" t="n">
        <v>0</v>
      </c>
      <c r="BB804" s="5" t="n">
        <v>1</v>
      </c>
      <c r="BC804" s="5" t="n">
        <v>0.554</v>
      </c>
      <c r="BD804" s="5" t="n">
        <v>0.129</v>
      </c>
      <c r="BE804" s="5" t="n">
        <v>-0.274</v>
      </c>
      <c r="BF804" s="5" t="n">
        <v>0.281</v>
      </c>
      <c r="BG804" s="5" t="n">
        <v>0</v>
      </c>
      <c r="BH804" s="5" t="n">
        <v>0</v>
      </c>
      <c r="BI804" s="5" t="n">
        <v>0.5570000000000001</v>
      </c>
      <c r="BJ804" s="5" t="n">
        <v>0.129</v>
      </c>
      <c r="BK804" s="5" t="n">
        <v>-0.154</v>
      </c>
      <c r="BL804" s="5" t="n">
        <v>0.403</v>
      </c>
      <c r="BM804" s="5" t="n">
        <v>0</v>
      </c>
      <c r="BN804" s="5" t="n">
        <v>0</v>
      </c>
      <c r="BO804" s="5" t="n">
        <v>0</v>
      </c>
      <c r="BP804" s="5" t="n">
        <v>-0.032</v>
      </c>
      <c r="BQ804" s="5" t="n">
        <v>0.053</v>
      </c>
      <c r="BR804" s="5" t="n">
        <v>0</v>
      </c>
      <c r="BS804" s="5" t="n">
        <v>0</v>
      </c>
      <c r="BT804" s="5" t="n">
        <v>0</v>
      </c>
      <c r="BU804" s="5" t="n">
        <v>-0.032</v>
      </c>
      <c r="BV804" s="5" t="n">
        <v>0.052</v>
      </c>
      <c r="BW804" s="5" t="n">
        <v>0</v>
      </c>
      <c r="BX804" s="5" t="n">
        <v>0.167</v>
      </c>
      <c r="BY804" s="5" t="n">
        <v>13.254</v>
      </c>
      <c r="BZ804" s="5" t="n">
        <v>0</v>
      </c>
      <c r="CA804" s="5" t="n">
        <v>13.254</v>
      </c>
      <c r="CB804" s="5" t="n">
        <v>0</v>
      </c>
      <c r="CC804" s="5" t="n">
        <v>83.248</v>
      </c>
      <c r="CD804" s="5" t="n">
        <v>7.95</v>
      </c>
      <c r="CE804" s="5" t="n">
        <v>-35.031</v>
      </c>
      <c r="CF804" s="5" t="n">
        <v>48.217</v>
      </c>
      <c r="CG804" s="5" t="n">
        <v>0</v>
      </c>
      <c r="CH804" s="5" t="n">
        <v>0</v>
      </c>
      <c r="CI804" s="5" t="n">
        <v>0</v>
      </c>
      <c r="CJ804" s="5" t="n">
        <v>0</v>
      </c>
      <c r="CK804" s="5" t="n">
        <v>0</v>
      </c>
      <c r="CL804" s="5" t="n">
        <v>0</v>
      </c>
      <c r="CM804" s="5" t="n">
        <v>0</v>
      </c>
      <c r="CN804" s="5" t="n">
        <v>0</v>
      </c>
      <c r="CO804" s="5" t="n">
        <v>0</v>
      </c>
      <c r="CP804" s="5" t="n">
        <v>0</v>
      </c>
      <c r="CQ804" s="5" t="n">
        <v>1.348</v>
      </c>
      <c r="CR804" s="5" t="n">
        <v>1</v>
      </c>
      <c r="CS804" s="5" t="n">
        <v>7.697</v>
      </c>
      <c r="CT804" s="5" t="n">
        <v>4.861</v>
      </c>
      <c r="CU804" s="5" t="n">
        <v>9.260999999999999</v>
      </c>
    </row>
    <row r="805">
      <c r="A805" s="5" t="inlineStr">
        <is>
          <t>TTO2024</t>
        </is>
      </c>
      <c r="B805" s="5" t="inlineStr">
        <is>
          <t>TTO</t>
        </is>
      </c>
      <c r="C805" s="5" t="inlineStr">
        <is>
          <t>TTO</t>
        </is>
      </c>
      <c r="D805" s="5" t="inlineStr">
        <is>
          <t>Trinidad and Tobago</t>
        </is>
      </c>
      <c r="E805" s="5" t="n">
        <v>2024</v>
      </c>
      <c r="F805" s="5" t="n">
        <v>0.125</v>
      </c>
      <c r="G805" s="5" t="n">
        <v>5.575</v>
      </c>
      <c r="H805" s="5" t="n">
        <v>1.324</v>
      </c>
      <c r="I805" s="5" t="n">
        <v>0</v>
      </c>
      <c r="J805" s="5" t="n">
        <v>5.575</v>
      </c>
      <c r="K805" s="5" t="n">
        <v>0</v>
      </c>
      <c r="L805" s="5" t="n">
        <v>1</v>
      </c>
      <c r="M805" s="5" t="n">
        <v>7.124</v>
      </c>
      <c r="N805" s="5" t="n">
        <v>3.971</v>
      </c>
      <c r="O805" s="5" t="n">
        <v>0</v>
      </c>
      <c r="P805" s="5" t="n">
        <v>7.124</v>
      </c>
      <c r="Q805" s="5" t="n">
        <v>0</v>
      </c>
      <c r="R805" s="5" t="n">
        <v>1</v>
      </c>
      <c r="S805" s="5" t="n">
        <v>12.193</v>
      </c>
      <c r="T805" s="5" t="n">
        <v>7.942</v>
      </c>
      <c r="U805" s="5" t="n">
        <v>0.208</v>
      </c>
      <c r="V805" s="5" t="n">
        <v>13.717</v>
      </c>
      <c r="W805" s="5" t="n">
        <v>0.125</v>
      </c>
      <c r="X805" s="5" t="n">
        <v>1</v>
      </c>
      <c r="Y805" s="5" t="n">
        <v>8.26</v>
      </c>
      <c r="Z805" s="5" t="n">
        <v>0.906</v>
      </c>
      <c r="AA805" s="5" t="n">
        <v>0</v>
      </c>
      <c r="AB805" s="5" t="n">
        <v>8.26</v>
      </c>
      <c r="AC805" s="5" t="n">
        <v>0</v>
      </c>
      <c r="AD805" s="5" t="n">
        <v>1</v>
      </c>
      <c r="AE805" s="5" t="n">
        <v>8.922000000000001</v>
      </c>
      <c r="AF805" s="5" t="n">
        <v>1.735</v>
      </c>
      <c r="AG805" s="5" t="n">
        <v>0</v>
      </c>
      <c r="AH805" s="5" t="n">
        <v>8.922000000000001</v>
      </c>
      <c r="AI805" s="5" t="n">
        <v>0</v>
      </c>
      <c r="AJ805" s="5" t="n">
        <v>1</v>
      </c>
      <c r="AK805" s="5" t="n">
        <v>12.892</v>
      </c>
      <c r="AL805" s="5" t="n">
        <v>6.082</v>
      </c>
      <c r="AM805" s="5" t="n">
        <v>0.22</v>
      </c>
      <c r="AN805" s="5" t="n">
        <v>14.504</v>
      </c>
      <c r="AO805" s="5" t="n">
        <v>0.125</v>
      </c>
      <c r="AP805" s="5" t="n">
        <v>1</v>
      </c>
      <c r="AQ805" s="5" t="n">
        <v>0.756</v>
      </c>
      <c r="AR805" s="5" t="n">
        <v>0.132</v>
      </c>
      <c r="AS805" s="5" t="n">
        <v>-0.195</v>
      </c>
      <c r="AT805" s="5" t="n">
        <v>0.5610000000000001</v>
      </c>
      <c r="AU805" s="5" t="n">
        <v>0</v>
      </c>
      <c r="AV805" s="5" t="n">
        <v>0</v>
      </c>
      <c r="AW805" s="5" t="n">
        <v>0.655</v>
      </c>
      <c r="AX805" s="5" t="n">
        <v>0.132</v>
      </c>
      <c r="AY805" s="5" t="n">
        <v>-0.061</v>
      </c>
      <c r="AZ805" s="5" t="n">
        <v>0.594</v>
      </c>
      <c r="BA805" s="5" t="n">
        <v>0</v>
      </c>
      <c r="BB805" s="5" t="n">
        <v>1</v>
      </c>
      <c r="BC805" s="5" t="n">
        <v>0.534</v>
      </c>
      <c r="BD805" s="5" t="n">
        <v>0.132</v>
      </c>
      <c r="BE805" s="5" t="n">
        <v>-0.282</v>
      </c>
      <c r="BF805" s="5" t="n">
        <v>0.252</v>
      </c>
      <c r="BG805" s="5" t="n">
        <v>0</v>
      </c>
      <c r="BH805" s="5" t="n">
        <v>0</v>
      </c>
      <c r="BI805" s="5" t="n">
        <v>0.5679999999999999</v>
      </c>
      <c r="BJ805" s="5" t="n">
        <v>0.132</v>
      </c>
      <c r="BK805" s="5" t="n">
        <v>-0.158</v>
      </c>
      <c r="BL805" s="5" t="n">
        <v>0.409</v>
      </c>
      <c r="BM805" s="5" t="n">
        <v>0</v>
      </c>
      <c r="BN805" s="5" t="n">
        <v>0</v>
      </c>
      <c r="BO805" s="5" t="n">
        <v>0</v>
      </c>
      <c r="BP805" s="5" t="n">
        <v>-0.033</v>
      </c>
      <c r="BQ805" s="5" t="n">
        <v>0.053</v>
      </c>
      <c r="BR805" s="5" t="n">
        <v>0</v>
      </c>
      <c r="BS805" s="5" t="n">
        <v>0</v>
      </c>
      <c r="BT805" s="5" t="n">
        <v>0</v>
      </c>
      <c r="BU805" s="5" t="n">
        <v>-0.033</v>
      </c>
      <c r="BV805" s="5" t="n">
        <v>0.055</v>
      </c>
      <c r="BW805" s="5" t="n">
        <v>0</v>
      </c>
      <c r="BX805" s="5" t="n">
        <v>0.167</v>
      </c>
      <c r="BY805" s="5" t="n">
        <v>13.646</v>
      </c>
      <c r="BZ805" s="5" t="n">
        <v>0</v>
      </c>
      <c r="CA805" s="5" t="n">
        <v>13.646</v>
      </c>
      <c r="CB805" s="5" t="n">
        <v>0</v>
      </c>
      <c r="CC805" s="5" t="n">
        <v>82.58799999999999</v>
      </c>
      <c r="CD805" s="5" t="n">
        <v>7.95</v>
      </c>
      <c r="CE805" s="5" t="n">
        <v>-36.065</v>
      </c>
      <c r="CF805" s="5" t="n">
        <v>46.523</v>
      </c>
      <c r="CG805" s="5" t="n">
        <v>0</v>
      </c>
      <c r="CH805" s="5" t="n">
        <v>0</v>
      </c>
      <c r="CI805" s="5" t="n">
        <v>0</v>
      </c>
      <c r="CJ805" s="5" t="n">
        <v>0</v>
      </c>
      <c r="CK805" s="5" t="n">
        <v>0</v>
      </c>
      <c r="CL805" s="5" t="n">
        <v>0</v>
      </c>
      <c r="CM805" s="5" t="n">
        <v>0</v>
      </c>
      <c r="CN805" s="5" t="n">
        <v>0</v>
      </c>
      <c r="CO805" s="5" t="n">
        <v>0</v>
      </c>
      <c r="CP805" s="5" t="n">
        <v>0</v>
      </c>
      <c r="CQ805" s="5" t="n">
        <v>1.387</v>
      </c>
      <c r="CR805" s="5" t="n">
        <v>1</v>
      </c>
      <c r="CS805" s="5" t="n">
        <v>7.598</v>
      </c>
      <c r="CT805" s="5" t="n">
        <v>4.251</v>
      </c>
      <c r="CU805" s="5" t="n">
        <v>7.598</v>
      </c>
    </row>
    <row r="806">
      <c r="A806" s="5" t="inlineStr">
        <is>
          <t>TUN2021</t>
        </is>
      </c>
      <c r="B806" s="5" t="inlineStr">
        <is>
          <t>TUN</t>
        </is>
      </c>
      <c r="C806" s="5" t="inlineStr">
        <is>
          <t>TUN</t>
        </is>
      </c>
      <c r="D806" s="5" t="inlineStr">
        <is>
          <t>Tunisia</t>
        </is>
      </c>
      <c r="E806" s="5" t="n">
        <v>2021</v>
      </c>
      <c r="F806" s="5" t="n">
        <v>0.19</v>
      </c>
      <c r="G806" s="5" t="n">
        <v>5.897</v>
      </c>
      <c r="H806" s="5" t="n">
        <v>1.143</v>
      </c>
      <c r="I806" s="5" t="n">
        <v>0</v>
      </c>
      <c r="J806" s="5" t="n">
        <v>5.897</v>
      </c>
      <c r="K806" s="5" t="n">
        <v>0</v>
      </c>
      <c r="L806" s="5" t="n">
        <v>1</v>
      </c>
      <c r="M806" s="5" t="n">
        <v>7.964</v>
      </c>
      <c r="N806" s="5" t="n">
        <v>3.43</v>
      </c>
      <c r="O806" s="5" t="n">
        <v>0</v>
      </c>
      <c r="P806" s="5" t="n">
        <v>7.964</v>
      </c>
      <c r="Q806" s="5" t="n">
        <v>0</v>
      </c>
      <c r="R806" s="5" t="n">
        <v>1</v>
      </c>
      <c r="S806" s="5" t="n">
        <v>11.613</v>
      </c>
      <c r="T806" s="5" t="n">
        <v>6.86</v>
      </c>
      <c r="U806" s="5" t="n">
        <v>0</v>
      </c>
      <c r="V806" s="5" t="n">
        <v>13.82</v>
      </c>
      <c r="W806" s="5" t="n">
        <v>0.19</v>
      </c>
      <c r="X806" s="5" t="n">
        <v>1</v>
      </c>
      <c r="Y806" s="5" t="n">
        <v>6.869</v>
      </c>
      <c r="Z806" s="5" t="n">
        <v>0.913</v>
      </c>
      <c r="AA806" s="5" t="n">
        <v>1.348</v>
      </c>
      <c r="AB806" s="5" t="n">
        <v>8.217000000000001</v>
      </c>
      <c r="AC806" s="5" t="n">
        <v>0</v>
      </c>
      <c r="AD806" s="5" t="n">
        <v>1</v>
      </c>
      <c r="AE806" s="5" t="n">
        <v>7.788</v>
      </c>
      <c r="AF806" s="5" t="n">
        <v>1.788</v>
      </c>
      <c r="AG806" s="5" t="n">
        <v>0.429</v>
      </c>
      <c r="AH806" s="5" t="n">
        <v>8.217000000000001</v>
      </c>
      <c r="AI806" s="5" t="n">
        <v>0</v>
      </c>
      <c r="AJ806" s="5" t="n">
        <v>1</v>
      </c>
      <c r="AK806" s="5" t="n">
        <v>13.299</v>
      </c>
      <c r="AL806" s="5" t="n">
        <v>6.969</v>
      </c>
      <c r="AM806" s="5" t="n">
        <v>-9.521000000000001</v>
      </c>
      <c r="AN806" s="5" t="n">
        <v>4.496</v>
      </c>
      <c r="AO806" s="5" t="n">
        <v>0</v>
      </c>
      <c r="AP806" s="5" t="n">
        <v>0</v>
      </c>
      <c r="AQ806" s="5" t="n">
        <v>0.621</v>
      </c>
      <c r="AR806" s="5" t="n">
        <v>0.114</v>
      </c>
      <c r="AS806" s="5" t="n">
        <v>-0.045</v>
      </c>
      <c r="AT806" s="5" t="n">
        <v>0.6850000000000001</v>
      </c>
      <c r="AU806" s="5" t="n">
        <v>0.19</v>
      </c>
      <c r="AV806" s="5" t="n">
        <v>1</v>
      </c>
      <c r="AW806" s="5" t="n">
        <v>0.593</v>
      </c>
      <c r="AX806" s="5" t="n">
        <v>0.114</v>
      </c>
      <c r="AY806" s="5" t="n">
        <v>-0.103</v>
      </c>
      <c r="AZ806" s="5" t="n">
        <v>0.583</v>
      </c>
      <c r="BA806" s="5" t="n">
        <v>0</v>
      </c>
      <c r="BB806" s="5" t="n">
        <v>1</v>
      </c>
      <c r="BC806" s="5" t="n">
        <v>0.44</v>
      </c>
      <c r="BD806" s="5" t="n">
        <v>0.114</v>
      </c>
      <c r="BE806" s="5" t="n">
        <v>-0.348</v>
      </c>
      <c r="BF806" s="5" t="n">
        <v>0.109</v>
      </c>
      <c r="BG806" s="5" t="n">
        <v>0</v>
      </c>
      <c r="BH806" s="5" t="n">
        <v>0</v>
      </c>
      <c r="BI806" s="5" t="n">
        <v>0.5600000000000001</v>
      </c>
      <c r="BJ806" s="5" t="n">
        <v>0.114</v>
      </c>
      <c r="BK806" s="5" t="n">
        <v>-0.317</v>
      </c>
      <c r="BL806" s="5" t="n">
        <v>0.29</v>
      </c>
      <c r="BM806" s="5" t="n">
        <v>0</v>
      </c>
      <c r="BN806" s="5" t="n">
        <v>0</v>
      </c>
      <c r="BO806" s="5" t="n">
        <v>0</v>
      </c>
      <c r="BP806" s="5" t="n">
        <v>0</v>
      </c>
      <c r="BQ806" s="5" t="n">
        <v>0.097</v>
      </c>
      <c r="BR806" s="5" t="n">
        <v>0</v>
      </c>
      <c r="BS806" s="5" t="n">
        <v>0.667</v>
      </c>
      <c r="BT806" s="5" t="n">
        <v>0</v>
      </c>
      <c r="BU806" s="5" t="n">
        <v>0</v>
      </c>
      <c r="BV806" s="5" t="n">
        <v>0.022</v>
      </c>
      <c r="BW806" s="5" t="n">
        <v>0.19</v>
      </c>
      <c r="BX806" s="5" t="n">
        <v>0.333</v>
      </c>
      <c r="BY806" s="5" t="n">
        <v>11.787</v>
      </c>
      <c r="BZ806" s="5" t="n">
        <v>0</v>
      </c>
      <c r="CA806" s="5" t="n">
        <v>11.787</v>
      </c>
      <c r="CB806" s="5" t="n">
        <v>0</v>
      </c>
      <c r="CC806" s="5" t="n">
        <v>81.69499999999999</v>
      </c>
      <c r="CD806" s="5" t="n">
        <v>7.95</v>
      </c>
      <c r="CE806" s="5" t="n">
        <v>-44.854</v>
      </c>
      <c r="CF806" s="5" t="n">
        <v>43.842</v>
      </c>
      <c r="CG806" s="5" t="n">
        <v>0</v>
      </c>
      <c r="CH806" s="5" t="n">
        <v>0</v>
      </c>
      <c r="CI806" s="5" t="n">
        <v>0</v>
      </c>
      <c r="CJ806" s="5" t="n">
        <v>0</v>
      </c>
      <c r="CK806" s="5" t="n">
        <v>0</v>
      </c>
      <c r="CL806" s="5" t="n">
        <v>0</v>
      </c>
      <c r="CM806" s="5" t="n">
        <v>0</v>
      </c>
      <c r="CN806" s="5" t="n">
        <v>0</v>
      </c>
      <c r="CO806" s="5" t="n">
        <v>0</v>
      </c>
      <c r="CP806" s="5" t="n">
        <v>0</v>
      </c>
      <c r="CQ806" s="5" t="n">
        <v>1.198</v>
      </c>
      <c r="CR806" s="5" t="n">
        <v>0.393</v>
      </c>
      <c r="CS806" s="5" t="n">
        <v>5.951</v>
      </c>
      <c r="CT806" s="5" t="n">
        <v>4.753</v>
      </c>
      <c r="CU806" s="5" t="n">
        <v>14.162</v>
      </c>
    </row>
    <row r="807">
      <c r="A807" s="5" t="inlineStr">
        <is>
          <t>TUN2022</t>
        </is>
      </c>
      <c r="B807" s="5" t="inlineStr">
        <is>
          <t>TUN</t>
        </is>
      </c>
      <c r="C807" s="5" t="inlineStr">
        <is>
          <t>TUN</t>
        </is>
      </c>
      <c r="D807" s="5" t="inlineStr">
        <is>
          <t>Tunisia</t>
        </is>
      </c>
      <c r="E807" s="5" t="n">
        <v>2022</v>
      </c>
      <c r="F807" s="5" t="n">
        <v>0.19</v>
      </c>
      <c r="G807" s="5" t="n">
        <v>11.72</v>
      </c>
      <c r="H807" s="5" t="n">
        <v>1.235</v>
      </c>
      <c r="I807" s="5" t="n">
        <v>0</v>
      </c>
      <c r="J807" s="5" t="n">
        <v>11.72</v>
      </c>
      <c r="K807" s="5" t="n">
        <v>0</v>
      </c>
      <c r="L807" s="5" t="n">
        <v>1</v>
      </c>
      <c r="M807" s="5" t="n">
        <v>9.782999999999999</v>
      </c>
      <c r="N807" s="5" t="n">
        <v>3.704</v>
      </c>
      <c r="O807" s="5" t="n">
        <v>0</v>
      </c>
      <c r="P807" s="5" t="n">
        <v>9.782999999999999</v>
      </c>
      <c r="Q807" s="5" t="n">
        <v>0</v>
      </c>
      <c r="R807" s="5" t="n">
        <v>1</v>
      </c>
      <c r="S807" s="5" t="n">
        <v>17.893</v>
      </c>
      <c r="T807" s="5" t="n">
        <v>7.408</v>
      </c>
      <c r="U807" s="5" t="n">
        <v>0.252</v>
      </c>
      <c r="V807" s="5" t="n">
        <v>21.293</v>
      </c>
      <c r="W807" s="5" t="n">
        <v>0.19</v>
      </c>
      <c r="X807" s="5" t="n">
        <v>1</v>
      </c>
      <c r="Y807" s="5" t="n">
        <v>7.425</v>
      </c>
      <c r="Z807" s="5" t="n">
        <v>0.987</v>
      </c>
      <c r="AA807" s="5" t="n">
        <v>0.741</v>
      </c>
      <c r="AB807" s="5" t="n">
        <v>8.167</v>
      </c>
      <c r="AC807" s="5" t="n">
        <v>0</v>
      </c>
      <c r="AD807" s="5" t="n">
        <v>1</v>
      </c>
      <c r="AE807" s="5" t="n">
        <v>8.423999999999999</v>
      </c>
      <c r="AF807" s="5" t="n">
        <v>1.934</v>
      </c>
      <c r="AG807" s="5" t="n">
        <v>-0.257</v>
      </c>
      <c r="AH807" s="5" t="n">
        <v>8.167</v>
      </c>
      <c r="AI807" s="5" t="n">
        <v>0</v>
      </c>
      <c r="AJ807" s="5" t="n">
        <v>1</v>
      </c>
      <c r="AK807" s="5" t="n">
        <v>14.416</v>
      </c>
      <c r="AL807" s="5" t="n">
        <v>7.554</v>
      </c>
      <c r="AM807" s="5" t="n">
        <v>-10.788</v>
      </c>
      <c r="AN807" s="5" t="n">
        <v>4.318</v>
      </c>
      <c r="AO807" s="5" t="n">
        <v>0</v>
      </c>
      <c r="AP807" s="5" t="n">
        <v>0</v>
      </c>
      <c r="AQ807" s="5" t="n">
        <v>0.847</v>
      </c>
      <c r="AR807" s="5" t="n">
        <v>0.123</v>
      </c>
      <c r="AS807" s="5" t="n">
        <v>-0.257</v>
      </c>
      <c r="AT807" s="5" t="n">
        <v>0.702</v>
      </c>
      <c r="AU807" s="5" t="n">
        <v>0.19</v>
      </c>
      <c r="AV807" s="5" t="n">
        <v>1</v>
      </c>
      <c r="AW807" s="5" t="n">
        <v>0.947</v>
      </c>
      <c r="AX807" s="5" t="n">
        <v>0.123</v>
      </c>
      <c r="AY807" s="5" t="n">
        <v>-0.443</v>
      </c>
      <c r="AZ807" s="5" t="n">
        <v>0.599</v>
      </c>
      <c r="BA807" s="5" t="n">
        <v>0</v>
      </c>
      <c r="BB807" s="5" t="n">
        <v>1</v>
      </c>
      <c r="BC807" s="5" t="n">
        <v>0.589</v>
      </c>
      <c r="BD807" s="5" t="n">
        <v>0.123</v>
      </c>
      <c r="BE807" s="5" t="n">
        <v>-0.495</v>
      </c>
      <c r="BF807" s="5" t="n">
        <v>0.111</v>
      </c>
      <c r="BG807" s="5" t="n">
        <v>0</v>
      </c>
      <c r="BH807" s="5" t="n">
        <v>0</v>
      </c>
      <c r="BI807" s="5" t="n">
        <v>0.6889999999999999</v>
      </c>
      <c r="BJ807" s="5" t="n">
        <v>0.123</v>
      </c>
      <c r="BK807" s="5" t="n">
        <v>-0.457</v>
      </c>
      <c r="BL807" s="5" t="n">
        <v>0.276</v>
      </c>
      <c r="BM807" s="5" t="n">
        <v>0</v>
      </c>
      <c r="BN807" s="5" t="n">
        <v>0</v>
      </c>
      <c r="BO807" s="5" t="n">
        <v>0</v>
      </c>
      <c r="BP807" s="5" t="n">
        <v>0</v>
      </c>
      <c r="BQ807" s="5" t="n">
        <v>0.094</v>
      </c>
      <c r="BR807" s="5" t="n">
        <v>0</v>
      </c>
      <c r="BS807" s="5" t="n">
        <v>0.667</v>
      </c>
      <c r="BT807" s="5" t="n">
        <v>0</v>
      </c>
      <c r="BU807" s="5" t="n">
        <v>0</v>
      </c>
      <c r="BV807" s="5" t="n">
        <v>0.02</v>
      </c>
      <c r="BW807" s="5" t="n">
        <v>0.19</v>
      </c>
      <c r="BX807" s="5" t="n">
        <v>0.333</v>
      </c>
      <c r="BY807" s="5" t="n">
        <v>12.729</v>
      </c>
      <c r="BZ807" s="5" t="n">
        <v>0</v>
      </c>
      <c r="CA807" s="5" t="n">
        <v>12.729</v>
      </c>
      <c r="CB807" s="5" t="n">
        <v>0</v>
      </c>
      <c r="CC807" s="5" t="n">
        <v>102.477</v>
      </c>
      <c r="CD807" s="5" t="n">
        <v>7.95</v>
      </c>
      <c r="CE807" s="5" t="n">
        <v>-63.257</v>
      </c>
      <c r="CF807" s="5" t="n">
        <v>46.672</v>
      </c>
      <c r="CG807" s="5" t="n">
        <v>0</v>
      </c>
      <c r="CH807" s="5" t="n">
        <v>0</v>
      </c>
      <c r="CI807" s="5" t="n">
        <v>0</v>
      </c>
      <c r="CJ807" s="5" t="n">
        <v>0</v>
      </c>
      <c r="CK807" s="5" t="n">
        <v>0</v>
      </c>
      <c r="CL807" s="5" t="n">
        <v>0</v>
      </c>
      <c r="CM807" s="5" t="n">
        <v>0</v>
      </c>
      <c r="CN807" s="5" t="n">
        <v>0</v>
      </c>
      <c r="CO807" s="5" t="n">
        <v>0</v>
      </c>
      <c r="CP807" s="5" t="n">
        <v>0</v>
      </c>
      <c r="CQ807" s="5" t="n">
        <v>1.294</v>
      </c>
      <c r="CR807" s="5" t="n">
        <v>0.382</v>
      </c>
      <c r="CS807" s="5" t="n">
        <v>6.427</v>
      </c>
      <c r="CT807" s="5" t="n">
        <v>10.485</v>
      </c>
      <c r="CU807" s="5" t="n">
        <v>30.326</v>
      </c>
    </row>
    <row r="808">
      <c r="A808" s="5" t="inlineStr">
        <is>
          <t>TUN2023</t>
        </is>
      </c>
      <c r="B808" s="5" t="inlineStr">
        <is>
          <t>TUN</t>
        </is>
      </c>
      <c r="C808" s="5" t="inlineStr">
        <is>
          <t>TUN</t>
        </is>
      </c>
      <c r="D808" s="5" t="inlineStr">
        <is>
          <t>Tunisia</t>
        </is>
      </c>
      <c r="E808" s="5" t="n">
        <v>2023</v>
      </c>
      <c r="F808" s="5" t="n">
        <v>0.19</v>
      </c>
      <c r="G808" s="5" t="n">
        <v>6.147</v>
      </c>
      <c r="H808" s="5" t="n">
        <v>1.286</v>
      </c>
      <c r="I808" s="5" t="n">
        <v>0</v>
      </c>
      <c r="J808" s="5" t="n">
        <v>6.147</v>
      </c>
      <c r="K808" s="5" t="n">
        <v>0</v>
      </c>
      <c r="L808" s="5" t="n">
        <v>1</v>
      </c>
      <c r="M808" s="5" t="n">
        <v>7.886</v>
      </c>
      <c r="N808" s="5" t="n">
        <v>3.857</v>
      </c>
      <c r="O808" s="5" t="n">
        <v>0</v>
      </c>
      <c r="P808" s="5" t="n">
        <v>7.886</v>
      </c>
      <c r="Q808" s="5" t="n">
        <v>0</v>
      </c>
      <c r="R808" s="5" t="n">
        <v>1</v>
      </c>
      <c r="S808" s="5" t="n">
        <v>12.575</v>
      </c>
      <c r="T808" s="5" t="n">
        <v>7.714</v>
      </c>
      <c r="U808" s="5" t="n">
        <v>0.265</v>
      </c>
      <c r="V808" s="5" t="n">
        <v>14.964</v>
      </c>
      <c r="W808" s="5" t="n">
        <v>0.19</v>
      </c>
      <c r="X808" s="5" t="n">
        <v>1</v>
      </c>
      <c r="Y808" s="5" t="n">
        <v>7.747</v>
      </c>
      <c r="Z808" s="5" t="n">
        <v>1.03</v>
      </c>
      <c r="AA808" s="5" t="n">
        <v>0.797</v>
      </c>
      <c r="AB808" s="5" t="n">
        <v>8.544</v>
      </c>
      <c r="AC808" s="5" t="n">
        <v>0</v>
      </c>
      <c r="AD808" s="5" t="n">
        <v>1</v>
      </c>
      <c r="AE808" s="5" t="n">
        <v>8.802</v>
      </c>
      <c r="AF808" s="5" t="n">
        <v>2.021</v>
      </c>
      <c r="AG808" s="5" t="n">
        <v>-0.258</v>
      </c>
      <c r="AH808" s="5" t="n">
        <v>8.544</v>
      </c>
      <c r="AI808" s="5" t="n">
        <v>0</v>
      </c>
      <c r="AJ808" s="5" t="n">
        <v>1</v>
      </c>
      <c r="AK808" s="5" t="n">
        <v>15.132</v>
      </c>
      <c r="AL808" s="5" t="n">
        <v>7.929</v>
      </c>
      <c r="AM808" s="5" t="n">
        <v>-11.666</v>
      </c>
      <c r="AN808" s="5" t="n">
        <v>4.124</v>
      </c>
      <c r="AO808" s="5" t="n">
        <v>0</v>
      </c>
      <c r="AP808" s="5" t="n">
        <v>0</v>
      </c>
      <c r="AQ808" s="5" t="n">
        <v>0.749</v>
      </c>
      <c r="AR808" s="5" t="n">
        <v>0.129</v>
      </c>
      <c r="AS808" s="5" t="n">
        <v>-0.105</v>
      </c>
      <c r="AT808" s="5" t="n">
        <v>0.766</v>
      </c>
      <c r="AU808" s="5" t="n">
        <v>0.19</v>
      </c>
      <c r="AV808" s="5" t="n">
        <v>1</v>
      </c>
      <c r="AW808" s="5" t="n">
        <v>0.783</v>
      </c>
      <c r="AX808" s="5" t="n">
        <v>0.129</v>
      </c>
      <c r="AY808" s="5" t="n">
        <v>-0.228</v>
      </c>
      <c r="AZ808" s="5" t="n">
        <v>0.66</v>
      </c>
      <c r="BA808" s="5" t="n">
        <v>0</v>
      </c>
      <c r="BB808" s="5" t="n">
        <v>1</v>
      </c>
      <c r="BC808" s="5" t="n">
        <v>0.527</v>
      </c>
      <c r="BD808" s="5" t="n">
        <v>0.129</v>
      </c>
      <c r="BE808" s="5" t="n">
        <v>-0.431</v>
      </c>
      <c r="BF808" s="5" t="n">
        <v>0.115</v>
      </c>
      <c r="BG808" s="5" t="n">
        <v>0</v>
      </c>
      <c r="BH808" s="5" t="n">
        <v>0</v>
      </c>
      <c r="BI808" s="5" t="n">
        <v>0.64</v>
      </c>
      <c r="BJ808" s="5" t="n">
        <v>0.129</v>
      </c>
      <c r="BK808" s="5" t="n">
        <v>-0.383</v>
      </c>
      <c r="BL808" s="5" t="n">
        <v>0.306</v>
      </c>
      <c r="BM808" s="5" t="n">
        <v>0</v>
      </c>
      <c r="BN808" s="5" t="n">
        <v>0</v>
      </c>
      <c r="BO808" s="5" t="n">
        <v>0</v>
      </c>
      <c r="BP808" s="5" t="n">
        <v>0</v>
      </c>
      <c r="BQ808" s="5" t="n">
        <v>0.094</v>
      </c>
      <c r="BR808" s="5" t="n">
        <v>0</v>
      </c>
      <c r="BS808" s="5" t="n">
        <v>0.667</v>
      </c>
      <c r="BT808" s="5" t="n">
        <v>0</v>
      </c>
      <c r="BU808" s="5" t="n">
        <v>0</v>
      </c>
      <c r="BV808" s="5" t="n">
        <v>0.02</v>
      </c>
      <c r="BW808" s="5" t="n">
        <v>0.19</v>
      </c>
      <c r="BX808" s="5" t="n">
        <v>0.333</v>
      </c>
      <c r="BY808" s="5" t="n">
        <v>13.254</v>
      </c>
      <c r="BZ808" s="5" t="n">
        <v>0</v>
      </c>
      <c r="CA808" s="5" t="n">
        <v>13.254</v>
      </c>
      <c r="CB808" s="5" t="n">
        <v>0</v>
      </c>
      <c r="CC808" s="5" t="n">
        <v>87.07899999999999</v>
      </c>
      <c r="CD808" s="5" t="n">
        <v>7.95</v>
      </c>
      <c r="CE808" s="5" t="n">
        <v>-45.856</v>
      </c>
      <c r="CF808" s="5" t="n">
        <v>49.056</v>
      </c>
      <c r="CG808" s="5" t="n">
        <v>0</v>
      </c>
      <c r="CH808" s="5" t="n">
        <v>0</v>
      </c>
      <c r="CI808" s="5" t="n">
        <v>0</v>
      </c>
      <c r="CJ808" s="5" t="n">
        <v>0</v>
      </c>
      <c r="CK808" s="5" t="n">
        <v>0</v>
      </c>
      <c r="CL808" s="5" t="n">
        <v>0</v>
      </c>
      <c r="CM808" s="5" t="n">
        <v>0</v>
      </c>
      <c r="CN808" s="5" t="n">
        <v>0</v>
      </c>
      <c r="CO808" s="5" t="n">
        <v>0</v>
      </c>
      <c r="CP808" s="5" t="n">
        <v>0</v>
      </c>
      <c r="CQ808" s="5" t="n">
        <v>1.348</v>
      </c>
      <c r="CR808" s="5" t="n">
        <v>0.359</v>
      </c>
      <c r="CS808" s="5" t="n">
        <v>6.692</v>
      </c>
      <c r="CT808" s="5" t="n">
        <v>4.861</v>
      </c>
      <c r="CU808" s="5" t="n">
        <v>10.622</v>
      </c>
    </row>
    <row r="809">
      <c r="A809" s="5" t="inlineStr">
        <is>
          <t>TUN2024</t>
        </is>
      </c>
      <c r="B809" s="5" t="inlineStr">
        <is>
          <t>TUN</t>
        </is>
      </c>
      <c r="C809" s="5" t="inlineStr">
        <is>
          <t>TUN</t>
        </is>
      </c>
      <c r="D809" s="5" t="inlineStr">
        <is>
          <t>Tunisia</t>
        </is>
      </c>
      <c r="E809" s="5" t="n">
        <v>2024</v>
      </c>
      <c r="F809" s="5" t="n">
        <v>0.19</v>
      </c>
      <c r="G809" s="5" t="n">
        <v>5.575</v>
      </c>
      <c r="H809" s="5" t="n">
        <v>1.324</v>
      </c>
      <c r="I809" s="5" t="n">
        <v>0</v>
      </c>
      <c r="J809" s="5" t="n">
        <v>5.575</v>
      </c>
      <c r="K809" s="5" t="n">
        <v>0</v>
      </c>
      <c r="L809" s="5" t="n">
        <v>1</v>
      </c>
      <c r="M809" s="5" t="n">
        <v>7.124</v>
      </c>
      <c r="N809" s="5" t="n">
        <v>3.971</v>
      </c>
      <c r="O809" s="5" t="n">
        <v>0</v>
      </c>
      <c r="P809" s="5" t="n">
        <v>7.124</v>
      </c>
      <c r="Q809" s="5" t="n">
        <v>0</v>
      </c>
      <c r="R809" s="5" t="n">
        <v>1</v>
      </c>
      <c r="S809" s="5" t="n">
        <v>12.193</v>
      </c>
      <c r="T809" s="5" t="n">
        <v>7.942</v>
      </c>
      <c r="U809" s="5" t="n">
        <v>0.316</v>
      </c>
      <c r="V809" s="5" t="n">
        <v>14.509</v>
      </c>
      <c r="W809" s="5" t="n">
        <v>0.19</v>
      </c>
      <c r="X809" s="5" t="n">
        <v>1</v>
      </c>
      <c r="Y809" s="5" t="n">
        <v>7.975</v>
      </c>
      <c r="Z809" s="5" t="n">
        <v>1.06</v>
      </c>
      <c r="AA809" s="5" t="n">
        <v>0.82</v>
      </c>
      <c r="AB809" s="5" t="n">
        <v>8.795999999999999</v>
      </c>
      <c r="AC809" s="5" t="n">
        <v>0</v>
      </c>
      <c r="AD809" s="5" t="n">
        <v>1</v>
      </c>
      <c r="AE809" s="5" t="n">
        <v>9.061999999999999</v>
      </c>
      <c r="AF809" s="5" t="n">
        <v>2.081</v>
      </c>
      <c r="AG809" s="5" t="n">
        <v>-0.266</v>
      </c>
      <c r="AH809" s="5" t="n">
        <v>8.795999999999999</v>
      </c>
      <c r="AI809" s="5" t="n">
        <v>0</v>
      </c>
      <c r="AJ809" s="5" t="n">
        <v>1</v>
      </c>
      <c r="AK809" s="5" t="n">
        <v>15.579</v>
      </c>
      <c r="AL809" s="5" t="n">
        <v>8.163</v>
      </c>
      <c r="AM809" s="5" t="n">
        <v>-11.333</v>
      </c>
      <c r="AN809" s="5" t="n">
        <v>4.246</v>
      </c>
      <c r="AO809" s="5" t="n">
        <v>0</v>
      </c>
      <c r="AP809" s="5" t="n">
        <v>0</v>
      </c>
      <c r="AQ809" s="5" t="n">
        <v>0.72</v>
      </c>
      <c r="AR809" s="5" t="n">
        <v>0.132</v>
      </c>
      <c r="AS809" s="5" t="n">
        <v>-0.078</v>
      </c>
      <c r="AT809" s="5" t="n">
        <v>0.764</v>
      </c>
      <c r="AU809" s="5" t="n">
        <v>0.19</v>
      </c>
      <c r="AV809" s="5" t="n">
        <v>1</v>
      </c>
      <c r="AW809" s="5" t="n">
        <v>0.734</v>
      </c>
      <c r="AX809" s="5" t="n">
        <v>0.132</v>
      </c>
      <c r="AY809" s="5" t="n">
        <v>-0.178</v>
      </c>
      <c r="AZ809" s="5" t="n">
        <v>0.661</v>
      </c>
      <c r="BA809" s="5" t="n">
        <v>0</v>
      </c>
      <c r="BB809" s="5" t="n">
        <v>1</v>
      </c>
      <c r="BC809" s="5" t="n">
        <v>0.51</v>
      </c>
      <c r="BD809" s="5" t="n">
        <v>0.132</v>
      </c>
      <c r="BE809" s="5" t="n">
        <v>-0.414</v>
      </c>
      <c r="BF809" s="5" t="n">
        <v>0.115</v>
      </c>
      <c r="BG809" s="5" t="n">
        <v>0</v>
      </c>
      <c r="BH809" s="5" t="n">
        <v>0</v>
      </c>
      <c r="BI809" s="5" t="n">
        <v>0.652</v>
      </c>
      <c r="BJ809" s="5" t="n">
        <v>0.132</v>
      </c>
      <c r="BK809" s="5" t="n">
        <v>-0.338</v>
      </c>
      <c r="BL809" s="5" t="n">
        <v>0.314</v>
      </c>
      <c r="BM809" s="5" t="n">
        <v>0</v>
      </c>
      <c r="BN809" s="5" t="n">
        <v>0</v>
      </c>
      <c r="BO809" s="5" t="n">
        <v>0</v>
      </c>
      <c r="BP809" s="5" t="n">
        <v>0</v>
      </c>
      <c r="BQ809" s="5" t="n">
        <v>0.099</v>
      </c>
      <c r="BR809" s="5" t="n">
        <v>0</v>
      </c>
      <c r="BS809" s="5" t="n">
        <v>0.667</v>
      </c>
      <c r="BT809" s="5" t="n">
        <v>0</v>
      </c>
      <c r="BU809" s="5" t="n">
        <v>0</v>
      </c>
      <c r="BV809" s="5" t="n">
        <v>0.018</v>
      </c>
      <c r="BW809" s="5" t="n">
        <v>0.19</v>
      </c>
      <c r="BX809" s="5" t="n">
        <v>0.333</v>
      </c>
      <c r="BY809" s="5" t="n">
        <v>13.646</v>
      </c>
      <c r="BZ809" s="5" t="n">
        <v>0</v>
      </c>
      <c r="CA809" s="5" t="n">
        <v>13.646</v>
      </c>
      <c r="CB809" s="5" t="n">
        <v>0</v>
      </c>
      <c r="CC809" s="5" t="n">
        <v>86.38500000000001</v>
      </c>
      <c r="CD809" s="5" t="n">
        <v>7.95</v>
      </c>
      <c r="CE809" s="5" t="n">
        <v>-54.53</v>
      </c>
      <c r="CF809" s="5" t="n">
        <v>37.908</v>
      </c>
      <c r="CG809" s="5" t="n">
        <v>0</v>
      </c>
      <c r="CH809" s="5" t="n">
        <v>0</v>
      </c>
      <c r="CI809" s="5" t="n">
        <v>0</v>
      </c>
      <c r="CJ809" s="5" t="n">
        <v>0</v>
      </c>
      <c r="CK809" s="5" t="n">
        <v>0</v>
      </c>
      <c r="CL809" s="5" t="n">
        <v>0</v>
      </c>
      <c r="CM809" s="5" t="n">
        <v>0</v>
      </c>
      <c r="CN809" s="5" t="n">
        <v>0</v>
      </c>
      <c r="CO809" s="5" t="n">
        <v>0</v>
      </c>
      <c r="CP809" s="5" t="n">
        <v>0</v>
      </c>
      <c r="CQ809" s="5" t="n">
        <v>1.387</v>
      </c>
      <c r="CR809" s="5" t="n">
        <v>0.359</v>
      </c>
      <c r="CS809" s="5" t="n">
        <v>6.889</v>
      </c>
      <c r="CT809" s="5" t="n">
        <v>4.251</v>
      </c>
      <c r="CU809" s="5" t="n">
        <v>9.167999999999999</v>
      </c>
    </row>
    <row r="810">
      <c r="A810" s="5" t="inlineStr">
        <is>
          <t>TUR2021</t>
        </is>
      </c>
      <c r="B810" s="5" t="inlineStr">
        <is>
          <t>TUR</t>
        </is>
      </c>
      <c r="C810" s="5" t="inlineStr">
        <is>
          <t>TUR</t>
        </is>
      </c>
      <c r="D810" s="5" t="inlineStr">
        <is>
          <t>Turkiye</t>
        </is>
      </c>
      <c r="E810" s="5" t="n">
        <v>2021</v>
      </c>
      <c r="F810" s="5" t="n">
        <v>0.18</v>
      </c>
      <c r="G810" s="5" t="n">
        <v>0.786</v>
      </c>
      <c r="H810" s="5" t="n">
        <v>0.172</v>
      </c>
      <c r="I810" s="5" t="n">
        <v>-0.148</v>
      </c>
      <c r="J810" s="5" t="n">
        <v>0.637</v>
      </c>
      <c r="K810" s="5" t="n">
        <v>0</v>
      </c>
      <c r="L810" s="5" t="n">
        <v>1</v>
      </c>
      <c r="M810" s="5" t="n">
        <v>2.255</v>
      </c>
      <c r="N810" s="5" t="n">
        <v>1.022</v>
      </c>
      <c r="O810" s="5" t="n">
        <v>0</v>
      </c>
      <c r="P810" s="5" t="n">
        <v>2.255</v>
      </c>
      <c r="Q810" s="5" t="n">
        <v>0</v>
      </c>
      <c r="R810" s="5" t="n">
        <v>1</v>
      </c>
      <c r="S810" s="5" t="n">
        <v>3.306</v>
      </c>
      <c r="T810" s="5" t="n">
        <v>2.049</v>
      </c>
      <c r="U810" s="5" t="n">
        <v>-0.755</v>
      </c>
      <c r="V810" s="5" t="n">
        <v>3.01</v>
      </c>
      <c r="W810" s="5" t="n">
        <v>0</v>
      </c>
      <c r="X810" s="5" t="n">
        <v>1</v>
      </c>
      <c r="Y810" s="5" t="n">
        <v>16.094</v>
      </c>
      <c r="Z810" s="5" t="n">
        <v>2.175</v>
      </c>
      <c r="AA810" s="5" t="n">
        <v>-9.529999999999999</v>
      </c>
      <c r="AB810" s="5" t="n">
        <v>6.564</v>
      </c>
      <c r="AC810" s="5" t="n">
        <v>0</v>
      </c>
      <c r="AD810" s="5" t="n">
        <v>1</v>
      </c>
      <c r="AE810" s="5" t="n">
        <v>17.228</v>
      </c>
      <c r="AF810" s="5" t="n">
        <v>4.028</v>
      </c>
      <c r="AG810" s="5" t="n">
        <v>-10.665</v>
      </c>
      <c r="AH810" s="5" t="n">
        <v>6.564</v>
      </c>
      <c r="AI810" s="5" t="n">
        <v>0</v>
      </c>
      <c r="AJ810" s="5" t="n">
        <v>1</v>
      </c>
      <c r="AK810" s="5" t="n">
        <v>21.765</v>
      </c>
      <c r="AL810" s="5" t="n">
        <v>10.682</v>
      </c>
      <c r="AM810" s="5" t="n">
        <v>-16.601</v>
      </c>
      <c r="AN810" s="5" t="n">
        <v>6.094</v>
      </c>
      <c r="AO810" s="5" t="n">
        <v>0</v>
      </c>
      <c r="AP810" s="5" t="n">
        <v>0</v>
      </c>
      <c r="AQ810" s="5" t="n">
        <v>0.619</v>
      </c>
      <c r="AR810" s="5" t="n">
        <v>0.114</v>
      </c>
      <c r="AS810" s="5" t="n">
        <v>0.139</v>
      </c>
      <c r="AT810" s="5" t="n">
        <v>0.895</v>
      </c>
      <c r="AU810" s="5" t="n">
        <v>0.18</v>
      </c>
      <c r="AV810" s="5" t="n">
        <v>1</v>
      </c>
      <c r="AW810" s="5" t="n">
        <v>0.599</v>
      </c>
      <c r="AX810" s="5" t="n">
        <v>0.114</v>
      </c>
      <c r="AY810" s="5" t="n">
        <v>0.117</v>
      </c>
      <c r="AZ810" s="5" t="n">
        <v>0.845</v>
      </c>
      <c r="BA810" s="5" t="n">
        <v>0.18</v>
      </c>
      <c r="BB810" s="5" t="n">
        <v>1</v>
      </c>
      <c r="BC810" s="5" t="n">
        <v>0.439</v>
      </c>
      <c r="BD810" s="5" t="n">
        <v>0.114</v>
      </c>
      <c r="BE810" s="5" t="n">
        <v>0.046</v>
      </c>
      <c r="BF810" s="5" t="n">
        <v>0.572</v>
      </c>
      <c r="BG810" s="5" t="n">
        <v>0.18</v>
      </c>
      <c r="BH810" s="5" t="n">
        <v>1</v>
      </c>
      <c r="BI810" s="5" t="n">
        <v>0.505</v>
      </c>
      <c r="BJ810" s="5" t="n">
        <v>0.114</v>
      </c>
      <c r="BK810" s="5" t="n">
        <v>0.226</v>
      </c>
      <c r="BL810" s="5" t="n">
        <v>0.862</v>
      </c>
      <c r="BM810" s="5" t="n">
        <v>0.18</v>
      </c>
      <c r="BN810" s="5" t="n">
        <v>1</v>
      </c>
      <c r="BO810" s="5" t="n">
        <v>0</v>
      </c>
      <c r="BP810" s="5" t="n">
        <v>0.002</v>
      </c>
      <c r="BQ810" s="5" t="n">
        <v>0.076</v>
      </c>
      <c r="BR810" s="5" t="n">
        <v>0</v>
      </c>
      <c r="BS810" s="5" t="n">
        <v>1</v>
      </c>
      <c r="BT810" s="5" t="n">
        <v>0</v>
      </c>
      <c r="BU810" s="5" t="n">
        <v>0.004</v>
      </c>
      <c r="BV810" s="5" t="n">
        <v>0.096</v>
      </c>
      <c r="BW810" s="5" t="n">
        <v>0.18</v>
      </c>
      <c r="BX810" s="5" t="n">
        <v>1</v>
      </c>
      <c r="BY810" s="5" t="n">
        <v>11.787</v>
      </c>
      <c r="BZ810" s="5" t="n">
        <v>0</v>
      </c>
      <c r="CA810" s="5" t="n">
        <v>11.787</v>
      </c>
      <c r="CB810" s="5" t="n">
        <v>0</v>
      </c>
      <c r="CC810" s="5" t="n">
        <v>78.125</v>
      </c>
      <c r="CD810" s="5" t="n">
        <v>7.95</v>
      </c>
      <c r="CE810" s="5" t="n">
        <v>25.739</v>
      </c>
      <c r="CF810" s="5" t="n">
        <v>122.559</v>
      </c>
      <c r="CG810" s="5" t="n">
        <v>0.18</v>
      </c>
      <c r="CH810" s="5" t="n">
        <v>1</v>
      </c>
      <c r="CI810" s="5" t="n">
        <v>0</v>
      </c>
      <c r="CJ810" s="5" t="n">
        <v>0</v>
      </c>
      <c r="CK810" s="5" t="n">
        <v>0</v>
      </c>
      <c r="CL810" s="5" t="n">
        <v>0.213</v>
      </c>
      <c r="CM810" s="5" t="n">
        <v>0</v>
      </c>
      <c r="CN810" s="5" t="n">
        <v>0.046</v>
      </c>
      <c r="CO810" s="5" t="n">
        <v>0.102</v>
      </c>
      <c r="CP810" s="5" t="n">
        <v>0</v>
      </c>
      <c r="CQ810" s="5" t="n">
        <v>1.198</v>
      </c>
      <c r="CR810" s="5" t="n">
        <v>0</v>
      </c>
      <c r="CS810" s="5" t="n">
        <v>2.456</v>
      </c>
      <c r="CT810" s="5" t="n">
        <v>4.41</v>
      </c>
      <c r="CU810" s="5" t="n">
        <v>15.162</v>
      </c>
    </row>
    <row r="811">
      <c r="A811" s="5" t="inlineStr">
        <is>
          <t>TUR2022</t>
        </is>
      </c>
      <c r="B811" s="5" t="inlineStr">
        <is>
          <t>TUR</t>
        </is>
      </c>
      <c r="C811" s="5" t="inlineStr">
        <is>
          <t>TUR</t>
        </is>
      </c>
      <c r="D811" s="5" t="inlineStr">
        <is>
          <t>Turkiye</t>
        </is>
      </c>
      <c r="E811" s="5" t="n">
        <v>2022</v>
      </c>
      <c r="F811" s="5" t="n">
        <v>0.18</v>
      </c>
      <c r="G811" s="5" t="n">
        <v>0.713</v>
      </c>
      <c r="H811" s="5" t="n">
        <v>0.111</v>
      </c>
      <c r="I811" s="5" t="n">
        <v>-0.09</v>
      </c>
      <c r="J811" s="5" t="n">
        <v>0.623</v>
      </c>
      <c r="K811" s="5" t="n">
        <v>0</v>
      </c>
      <c r="L811" s="5" t="n">
        <v>1</v>
      </c>
      <c r="M811" s="5" t="n">
        <v>2.942</v>
      </c>
      <c r="N811" s="5" t="n">
        <v>1.215</v>
      </c>
      <c r="O811" s="5" t="n">
        <v>0</v>
      </c>
      <c r="P811" s="5" t="n">
        <v>2.942</v>
      </c>
      <c r="Q811" s="5" t="n">
        <v>0</v>
      </c>
      <c r="R811" s="5" t="n">
        <v>1</v>
      </c>
      <c r="S811" s="5" t="n">
        <v>4.042</v>
      </c>
      <c r="T811" s="5" t="n">
        <v>1.98</v>
      </c>
      <c r="U811" s="5" t="n">
        <v>-0.547</v>
      </c>
      <c r="V811" s="5" t="n">
        <v>4.124</v>
      </c>
      <c r="W811" s="5" t="n">
        <v>0</v>
      </c>
      <c r="X811" s="5" t="n">
        <v>1</v>
      </c>
      <c r="Y811" s="5" t="n">
        <v>32.56</v>
      </c>
      <c r="Z811" s="5" t="n">
        <v>4.4</v>
      </c>
      <c r="AA811" s="5" t="n">
        <v>-12.85</v>
      </c>
      <c r="AB811" s="5" t="n">
        <v>19.71</v>
      </c>
      <c r="AC811" s="5" t="n">
        <v>0</v>
      </c>
      <c r="AD811" s="5" t="n">
        <v>1</v>
      </c>
      <c r="AE811" s="5" t="n">
        <v>33.795</v>
      </c>
      <c r="AF811" s="5" t="n">
        <v>7.901</v>
      </c>
      <c r="AG811" s="5" t="n">
        <v>-14.085</v>
      </c>
      <c r="AH811" s="5" t="n">
        <v>19.71</v>
      </c>
      <c r="AI811" s="5" t="n">
        <v>0</v>
      </c>
      <c r="AJ811" s="5" t="n">
        <v>1</v>
      </c>
      <c r="AK811" s="5" t="n">
        <v>38.734</v>
      </c>
      <c r="AL811" s="5" t="n">
        <v>18.497</v>
      </c>
      <c r="AM811" s="5" t="n">
        <v>-33.019</v>
      </c>
      <c r="AN811" s="5" t="n">
        <v>6.743</v>
      </c>
      <c r="AO811" s="5" t="n">
        <v>0</v>
      </c>
      <c r="AP811" s="5" t="n">
        <v>0</v>
      </c>
      <c r="AQ811" s="5" t="n">
        <v>0.861</v>
      </c>
      <c r="AR811" s="5" t="n">
        <v>0.123</v>
      </c>
      <c r="AS811" s="5" t="n">
        <v>0.167</v>
      </c>
      <c r="AT811" s="5" t="n">
        <v>1.213</v>
      </c>
      <c r="AU811" s="5" t="n">
        <v>0.18</v>
      </c>
      <c r="AV811" s="5" t="n">
        <v>1</v>
      </c>
      <c r="AW811" s="5" t="n">
        <v>0.986</v>
      </c>
      <c r="AX811" s="5" t="n">
        <v>0.123</v>
      </c>
      <c r="AY811" s="5" t="n">
        <v>0.16</v>
      </c>
      <c r="AZ811" s="5" t="n">
        <v>1.353</v>
      </c>
      <c r="BA811" s="5" t="n">
        <v>0.18</v>
      </c>
      <c r="BB811" s="5" t="n">
        <v>1</v>
      </c>
      <c r="BC811" s="5" t="n">
        <v>0.598</v>
      </c>
      <c r="BD811" s="5" t="n">
        <v>0.123</v>
      </c>
      <c r="BE811" s="5" t="n">
        <v>-0.049</v>
      </c>
      <c r="BF811" s="5" t="n">
        <v>0.648</v>
      </c>
      <c r="BG811" s="5" t="n">
        <v>0.18</v>
      </c>
      <c r="BH811" s="5" t="n">
        <v>1</v>
      </c>
      <c r="BI811" s="5" t="n">
        <v>0.612</v>
      </c>
      <c r="BJ811" s="5" t="n">
        <v>0.123</v>
      </c>
      <c r="BK811" s="5" t="n">
        <v>0.477</v>
      </c>
      <c r="BL811" s="5" t="n">
        <v>1.285</v>
      </c>
      <c r="BM811" s="5" t="n">
        <v>0.18</v>
      </c>
      <c r="BN811" s="5" t="n">
        <v>1</v>
      </c>
      <c r="BO811" s="5" t="n">
        <v>0</v>
      </c>
      <c r="BP811" s="5" t="n">
        <v>0.001</v>
      </c>
      <c r="BQ811" s="5" t="n">
        <v>0.161</v>
      </c>
      <c r="BR811" s="5" t="n">
        <v>0</v>
      </c>
      <c r="BS811" s="5" t="n">
        <v>1</v>
      </c>
      <c r="BT811" s="5" t="n">
        <v>0</v>
      </c>
      <c r="BU811" s="5" t="n">
        <v>0.003</v>
      </c>
      <c r="BV811" s="5" t="n">
        <v>0.095</v>
      </c>
      <c r="BW811" s="5" t="n">
        <v>0.18</v>
      </c>
      <c r="BX811" s="5" t="n">
        <v>1</v>
      </c>
      <c r="BY811" s="5" t="n">
        <v>12.729</v>
      </c>
      <c r="BZ811" s="5" t="n">
        <v>0</v>
      </c>
      <c r="CA811" s="5" t="n">
        <v>12.729</v>
      </c>
      <c r="CB811" s="5" t="n">
        <v>0</v>
      </c>
      <c r="CC811" s="5" t="n">
        <v>97.90000000000001</v>
      </c>
      <c r="CD811" s="5" t="n">
        <v>7.95</v>
      </c>
      <c r="CE811" s="5" t="n">
        <v>43.515</v>
      </c>
      <c r="CF811" s="5" t="n">
        <v>166.87</v>
      </c>
      <c r="CG811" s="5" t="n">
        <v>0.18</v>
      </c>
      <c r="CH811" s="5" t="n">
        <v>1</v>
      </c>
      <c r="CI811" s="5" t="n">
        <v>0</v>
      </c>
      <c r="CJ811" s="5" t="n">
        <v>0</v>
      </c>
      <c r="CK811" s="5" t="n">
        <v>0</v>
      </c>
      <c r="CL811" s="5" t="n">
        <v>0.231</v>
      </c>
      <c r="CM811" s="5" t="n">
        <v>0</v>
      </c>
      <c r="CN811" s="5" t="n">
        <v>0.049</v>
      </c>
      <c r="CO811" s="5" t="n">
        <v>0.116</v>
      </c>
      <c r="CP811" s="5" t="n">
        <v>0</v>
      </c>
      <c r="CQ811" s="5" t="n">
        <v>1.294</v>
      </c>
      <c r="CR811" s="5" t="n">
        <v>0</v>
      </c>
      <c r="CS811" s="5" t="n">
        <v>2.652</v>
      </c>
      <c r="CT811" s="5" t="n">
        <v>5.842</v>
      </c>
      <c r="CU811" s="5" t="n">
        <v>31.326</v>
      </c>
    </row>
    <row r="812">
      <c r="A812" s="5" t="inlineStr">
        <is>
          <t>TUR2023</t>
        </is>
      </c>
      <c r="B812" s="5" t="inlineStr">
        <is>
          <t>TUR</t>
        </is>
      </c>
      <c r="C812" s="5" t="inlineStr">
        <is>
          <t>TUR</t>
        </is>
      </c>
      <c r="D812" s="5" t="inlineStr">
        <is>
          <t>Turkiye</t>
        </is>
      </c>
      <c r="E812" s="5" t="n">
        <v>2023</v>
      </c>
      <c r="F812" s="5" t="n">
        <v>0.18</v>
      </c>
      <c r="G812" s="5" t="n">
        <v>1.246</v>
      </c>
      <c r="H812" s="5" t="n">
        <v>0.284</v>
      </c>
      <c r="I812" s="5" t="n">
        <v>-0.032</v>
      </c>
      <c r="J812" s="5" t="n">
        <v>1.214</v>
      </c>
      <c r="K812" s="5" t="n">
        <v>0</v>
      </c>
      <c r="L812" s="5" t="n">
        <v>1</v>
      </c>
      <c r="M812" s="5" t="n">
        <v>3.116</v>
      </c>
      <c r="N812" s="5" t="n">
        <v>1.546</v>
      </c>
      <c r="O812" s="5" t="n">
        <v>0</v>
      </c>
      <c r="P812" s="5" t="n">
        <v>3.116</v>
      </c>
      <c r="Q812" s="5" t="n">
        <v>0</v>
      </c>
      <c r="R812" s="5" t="n">
        <v>1</v>
      </c>
      <c r="S812" s="5" t="n">
        <v>3.762</v>
      </c>
      <c r="T812" s="5" t="n">
        <v>2.359</v>
      </c>
      <c r="U812" s="5" t="n">
        <v>-0.34</v>
      </c>
      <c r="V812" s="5" t="n">
        <v>4.038</v>
      </c>
      <c r="W812" s="5" t="n">
        <v>0</v>
      </c>
      <c r="X812" s="5" t="n">
        <v>1</v>
      </c>
      <c r="Y812" s="5" t="n">
        <v>12.908</v>
      </c>
      <c r="Z812" s="5" t="n">
        <v>1.744</v>
      </c>
      <c r="AA812" s="5" t="n">
        <v>-0.051</v>
      </c>
      <c r="AB812" s="5" t="n">
        <v>12.857</v>
      </c>
      <c r="AC812" s="5" t="n">
        <v>0</v>
      </c>
      <c r="AD812" s="5" t="n">
        <v>1</v>
      </c>
      <c r="AE812" s="5" t="n">
        <v>14.194</v>
      </c>
      <c r="AF812" s="5" t="n">
        <v>3.318</v>
      </c>
      <c r="AG812" s="5" t="n">
        <v>-1.336</v>
      </c>
      <c r="AH812" s="5" t="n">
        <v>12.857</v>
      </c>
      <c r="AI812" s="5" t="n">
        <v>0</v>
      </c>
      <c r="AJ812" s="5" t="n">
        <v>1</v>
      </c>
      <c r="AK812" s="5" t="n">
        <v>19.336</v>
      </c>
      <c r="AL812" s="5" t="n">
        <v>9.579000000000001</v>
      </c>
      <c r="AM812" s="5" t="n">
        <v>-14.166</v>
      </c>
      <c r="AN812" s="5" t="n">
        <v>6.101</v>
      </c>
      <c r="AO812" s="5" t="n">
        <v>0</v>
      </c>
      <c r="AP812" s="5" t="n">
        <v>0</v>
      </c>
      <c r="AQ812" s="5" t="n">
        <v>0.76</v>
      </c>
      <c r="AR812" s="5" t="n">
        <v>0.129</v>
      </c>
      <c r="AS812" s="5" t="n">
        <v>0.239</v>
      </c>
      <c r="AT812" s="5" t="n">
        <v>1.179</v>
      </c>
      <c r="AU812" s="5" t="n">
        <v>0.18</v>
      </c>
      <c r="AV812" s="5" t="n">
        <v>1</v>
      </c>
      <c r="AW812" s="5" t="n">
        <v>0.8110000000000001</v>
      </c>
      <c r="AX812" s="5" t="n">
        <v>0.129</v>
      </c>
      <c r="AY812" s="5" t="n">
        <v>0.218</v>
      </c>
      <c r="AZ812" s="5" t="n">
        <v>1.215</v>
      </c>
      <c r="BA812" s="5" t="n">
        <v>0.18</v>
      </c>
      <c r="BB812" s="5" t="n">
        <v>1</v>
      </c>
      <c r="BC812" s="5" t="n">
        <v>0.535</v>
      </c>
      <c r="BD812" s="5" t="n">
        <v>0.129</v>
      </c>
      <c r="BE812" s="5" t="n">
        <v>-0.034</v>
      </c>
      <c r="BF812" s="5" t="n">
        <v>0.591</v>
      </c>
      <c r="BG812" s="5" t="n">
        <v>0.18</v>
      </c>
      <c r="BH812" s="5" t="n">
        <v>1</v>
      </c>
      <c r="BI812" s="5" t="n">
        <v>0.579</v>
      </c>
      <c r="BJ812" s="5" t="n">
        <v>0.129</v>
      </c>
      <c r="BK812" s="5" t="n">
        <v>0.382</v>
      </c>
      <c r="BL812" s="5" t="n">
        <v>1.134</v>
      </c>
      <c r="BM812" s="5" t="n">
        <v>0.18</v>
      </c>
      <c r="BN812" s="5" t="n">
        <v>1</v>
      </c>
      <c r="BO812" s="5" t="n">
        <v>0</v>
      </c>
      <c r="BP812" s="5" t="n">
        <v>0.001</v>
      </c>
      <c r="BQ812" s="5" t="n">
        <v>0.112</v>
      </c>
      <c r="BR812" s="5" t="n">
        <v>0</v>
      </c>
      <c r="BS812" s="5" t="n">
        <v>1</v>
      </c>
      <c r="BT812" s="5" t="n">
        <v>0</v>
      </c>
      <c r="BU812" s="5" t="n">
        <v>0.002</v>
      </c>
      <c r="BV812" s="5" t="n">
        <v>0.076</v>
      </c>
      <c r="BW812" s="5" t="n">
        <v>0.18</v>
      </c>
      <c r="BX812" s="5" t="n">
        <v>1</v>
      </c>
      <c r="BY812" s="5" t="n">
        <v>13.254</v>
      </c>
      <c r="BZ812" s="5" t="n">
        <v>0</v>
      </c>
      <c r="CA812" s="5" t="n">
        <v>13.254</v>
      </c>
      <c r="CB812" s="5" t="n">
        <v>0</v>
      </c>
      <c r="CC812" s="5" t="n">
        <v>83.248</v>
      </c>
      <c r="CD812" s="5" t="n">
        <v>7.95</v>
      </c>
      <c r="CE812" s="5" t="n">
        <v>42.358</v>
      </c>
      <c r="CF812" s="5" t="n">
        <v>149.472</v>
      </c>
      <c r="CG812" s="5" t="n">
        <v>0.19</v>
      </c>
      <c r="CH812" s="5" t="n">
        <v>1</v>
      </c>
      <c r="CI812" s="5" t="n">
        <v>0</v>
      </c>
      <c r="CJ812" s="5" t="n">
        <v>0</v>
      </c>
      <c r="CK812" s="5" t="n">
        <v>0</v>
      </c>
      <c r="CL812" s="5" t="n">
        <v>0.24</v>
      </c>
      <c r="CM812" s="5" t="n">
        <v>0</v>
      </c>
      <c r="CN812" s="5" t="n">
        <v>0.194</v>
      </c>
      <c r="CO812" s="5" t="n">
        <v>0.14</v>
      </c>
      <c r="CP812" s="5" t="n">
        <v>0</v>
      </c>
      <c r="CQ812" s="5" t="n">
        <v>1.348</v>
      </c>
      <c r="CR812" s="5" t="n">
        <v>0</v>
      </c>
      <c r="CS812" s="5" t="n">
        <v>2.762</v>
      </c>
      <c r="CT812" s="5" t="n">
        <v>3.466</v>
      </c>
      <c r="CU812" s="5" t="n">
        <v>11.622</v>
      </c>
    </row>
    <row r="813">
      <c r="A813" s="5" t="inlineStr">
        <is>
          <t>TUR2024</t>
        </is>
      </c>
      <c r="B813" s="5" t="inlineStr">
        <is>
          <t>TUR</t>
        </is>
      </c>
      <c r="C813" s="5" t="inlineStr">
        <is>
          <t>TUR</t>
        </is>
      </c>
      <c r="D813" s="5" t="inlineStr">
        <is>
          <t>Turkiye</t>
        </is>
      </c>
      <c r="E813" s="5" t="n">
        <v>2024</v>
      </c>
      <c r="F813" s="5" t="n">
        <v>0.18</v>
      </c>
      <c r="G813" s="5" t="n">
        <v>1.025</v>
      </c>
      <c r="H813" s="5" t="n">
        <v>0.26</v>
      </c>
      <c r="I813" s="5" t="n">
        <v>-0.081</v>
      </c>
      <c r="J813" s="5" t="n">
        <v>0.944</v>
      </c>
      <c r="K813" s="5" t="n">
        <v>0</v>
      </c>
      <c r="L813" s="5" t="n">
        <v>1</v>
      </c>
      <c r="M813" s="5" t="n">
        <v>3.313</v>
      </c>
      <c r="N813" s="5" t="n">
        <v>1.805</v>
      </c>
      <c r="O813" s="5" t="n">
        <v>0.172</v>
      </c>
      <c r="P813" s="5" t="n">
        <v>3.484</v>
      </c>
      <c r="Q813" s="5" t="n">
        <v>0</v>
      </c>
      <c r="R813" s="5" t="n">
        <v>1</v>
      </c>
      <c r="S813" s="5" t="n">
        <v>4.506</v>
      </c>
      <c r="T813" s="5" t="n">
        <v>2.983</v>
      </c>
      <c r="U813" s="5" t="n">
        <v>-0.877</v>
      </c>
      <c r="V813" s="5" t="n">
        <v>4.282</v>
      </c>
      <c r="W813" s="5" t="n">
        <v>0</v>
      </c>
      <c r="X813" s="5" t="n">
        <v>1</v>
      </c>
      <c r="Y813" s="5" t="n">
        <v>9.196999999999999</v>
      </c>
      <c r="Z813" s="5" t="n">
        <v>1.161</v>
      </c>
      <c r="AA813" s="5" t="n">
        <v>0.262</v>
      </c>
      <c r="AB813" s="5" t="n">
        <v>9.460000000000001</v>
      </c>
      <c r="AC813" s="5" t="n">
        <v>0</v>
      </c>
      <c r="AD813" s="5" t="n">
        <v>1</v>
      </c>
      <c r="AE813" s="5" t="n">
        <v>9.196999999999999</v>
      </c>
      <c r="AF813" s="5" t="n">
        <v>2.015</v>
      </c>
      <c r="AG813" s="5" t="n">
        <v>0.262</v>
      </c>
      <c r="AH813" s="5" t="n">
        <v>9.460000000000001</v>
      </c>
      <c r="AI813" s="5" t="n">
        <v>0</v>
      </c>
      <c r="AJ813" s="5" t="n">
        <v>1</v>
      </c>
      <c r="AK813" s="5" t="n">
        <v>9.548</v>
      </c>
      <c r="AL813" s="5" t="n">
        <v>4.857</v>
      </c>
      <c r="AM813" s="5" t="n">
        <v>-4.764</v>
      </c>
      <c r="AN813" s="5" t="n">
        <v>5.645</v>
      </c>
      <c r="AO813" s="5" t="n">
        <v>0</v>
      </c>
      <c r="AP813" s="5" t="n">
        <v>0</v>
      </c>
      <c r="AQ813" s="5" t="n">
        <v>0.724</v>
      </c>
      <c r="AR813" s="5" t="n">
        <v>0.132</v>
      </c>
      <c r="AS813" s="5" t="n">
        <v>0.364</v>
      </c>
      <c r="AT813" s="5" t="n">
        <v>1.284</v>
      </c>
      <c r="AU813" s="5" t="n">
        <v>0.18</v>
      </c>
      <c r="AV813" s="5" t="n">
        <v>1</v>
      </c>
      <c r="AW813" s="5" t="n">
        <v>0.75</v>
      </c>
      <c r="AX813" s="5" t="n">
        <v>0.132</v>
      </c>
      <c r="AY813" s="5" t="n">
        <v>0.341</v>
      </c>
      <c r="AZ813" s="5" t="n">
        <v>1.287</v>
      </c>
      <c r="BA813" s="5" t="n">
        <v>0.18</v>
      </c>
      <c r="BB813" s="5" t="n">
        <v>1</v>
      </c>
      <c r="BC813" s="5" t="n">
        <v>0.513</v>
      </c>
      <c r="BD813" s="5" t="n">
        <v>0.132</v>
      </c>
      <c r="BE813" s="5" t="n">
        <v>0.078</v>
      </c>
      <c r="BF813" s="5" t="n">
        <v>0.698</v>
      </c>
      <c r="BG813" s="5" t="n">
        <v>0.18</v>
      </c>
      <c r="BH813" s="5" t="n">
        <v>1</v>
      </c>
      <c r="BI813" s="5" t="n">
        <v>0.591</v>
      </c>
      <c r="BJ813" s="5" t="n">
        <v>0.132</v>
      </c>
      <c r="BK813" s="5" t="n">
        <v>0.359</v>
      </c>
      <c r="BL813" s="5" t="n">
        <v>1.122</v>
      </c>
      <c r="BM813" s="5" t="n">
        <v>0.18</v>
      </c>
      <c r="BN813" s="5" t="n">
        <v>1</v>
      </c>
      <c r="BO813" s="5" t="n">
        <v>0</v>
      </c>
      <c r="BP813" s="5" t="n">
        <v>0.001</v>
      </c>
      <c r="BQ813" s="5" t="n">
        <v>0.08799999999999999</v>
      </c>
      <c r="BR813" s="5" t="n">
        <v>0</v>
      </c>
      <c r="BS813" s="5" t="n">
        <v>1</v>
      </c>
      <c r="BT813" s="5" t="n">
        <v>0</v>
      </c>
      <c r="BU813" s="5" t="n">
        <v>0.001</v>
      </c>
      <c r="BV813" s="5" t="n">
        <v>0.06</v>
      </c>
      <c r="BW813" s="5" t="n">
        <v>0.18</v>
      </c>
      <c r="BX813" s="5" t="n">
        <v>1</v>
      </c>
      <c r="BY813" s="5" t="n">
        <v>13.646</v>
      </c>
      <c r="BZ813" s="5" t="n">
        <v>0</v>
      </c>
      <c r="CA813" s="5" t="n">
        <v>13.646</v>
      </c>
      <c r="CB813" s="5" t="n">
        <v>0</v>
      </c>
      <c r="CC813" s="5" t="n">
        <v>82.58799999999999</v>
      </c>
      <c r="CD813" s="5" t="n">
        <v>7.95</v>
      </c>
      <c r="CE813" s="5" t="n">
        <v>41.944</v>
      </c>
      <c r="CF813" s="5" t="n">
        <v>148.193</v>
      </c>
      <c r="CG813" s="5" t="n">
        <v>0.19</v>
      </c>
      <c r="CH813" s="5" t="n">
        <v>1</v>
      </c>
      <c r="CI813" s="5" t="n">
        <v>0</v>
      </c>
      <c r="CJ813" s="5" t="n">
        <v>0</v>
      </c>
      <c r="CK813" s="5" t="n">
        <v>0</v>
      </c>
      <c r="CL813" s="5" t="n">
        <v>0.247</v>
      </c>
      <c r="CM813" s="5" t="n">
        <v>0</v>
      </c>
      <c r="CN813" s="5" t="n">
        <v>0.339</v>
      </c>
      <c r="CO813" s="5" t="n">
        <v>0.156</v>
      </c>
      <c r="CP813" s="5" t="n">
        <v>0</v>
      </c>
      <c r="CQ813" s="5" t="n">
        <v>1.387</v>
      </c>
      <c r="CR813" s="5" t="n">
        <v>0</v>
      </c>
      <c r="CS813" s="5" t="n">
        <v>2.843</v>
      </c>
      <c r="CT813" s="5" t="n">
        <v>3.027</v>
      </c>
      <c r="CU813" s="5" t="n">
        <v>10.168</v>
      </c>
    </row>
    <row r="814">
      <c r="A814" s="5" t="inlineStr">
        <is>
          <t>TKM2021</t>
        </is>
      </c>
      <c r="B814" s="5" t="inlineStr">
        <is>
          <t>TKM</t>
        </is>
      </c>
      <c r="C814" s="5" t="inlineStr">
        <is>
          <t>TKM</t>
        </is>
      </c>
      <c r="D814" s="5" t="inlineStr">
        <is>
          <t>Turkmenistan</t>
        </is>
      </c>
      <c r="E814" s="5" t="n">
        <v>2021</v>
      </c>
      <c r="F814" s="5" t="n">
        <v>0.15</v>
      </c>
      <c r="G814" s="5" t="n">
        <v>5.553</v>
      </c>
      <c r="H814" s="5" t="n">
        <v>1.143</v>
      </c>
      <c r="I814" s="5" t="n">
        <v>0.028</v>
      </c>
      <c r="J814" s="5" t="n">
        <v>5.581</v>
      </c>
      <c r="K814" s="5" t="n">
        <v>0</v>
      </c>
      <c r="L814" s="5" t="n">
        <v>1</v>
      </c>
      <c r="M814" s="5" t="n">
        <v>7.964</v>
      </c>
      <c r="N814" s="5" t="n">
        <v>3.43</v>
      </c>
      <c r="O814" s="5" t="n">
        <v>0.04</v>
      </c>
      <c r="P814" s="5" t="n">
        <v>8.005000000000001</v>
      </c>
      <c r="Q814" s="5" t="n">
        <v>0</v>
      </c>
      <c r="R814" s="5" t="n">
        <v>1</v>
      </c>
      <c r="S814" s="5" t="n">
        <v>11.27</v>
      </c>
      <c r="T814" s="5" t="n">
        <v>6.86</v>
      </c>
      <c r="U814" s="5" t="n">
        <v>0.028</v>
      </c>
      <c r="V814" s="5" t="n">
        <v>12.992</v>
      </c>
      <c r="W814" s="5" t="n">
        <v>0.15</v>
      </c>
      <c r="X814" s="5" t="n">
        <v>1</v>
      </c>
      <c r="Y814" s="5" t="n">
        <v>7.656</v>
      </c>
      <c r="Z814" s="5" t="n">
        <v>0.84</v>
      </c>
      <c r="AA814" s="5" t="n">
        <v>-5.659</v>
      </c>
      <c r="AB814" s="5" t="n">
        <v>1.997</v>
      </c>
      <c r="AC814" s="5" t="n">
        <v>0</v>
      </c>
      <c r="AD814" s="5" t="n">
        <v>0</v>
      </c>
      <c r="AE814" s="5" t="n">
        <v>7.847</v>
      </c>
      <c r="AF814" s="5" t="n">
        <v>1.526</v>
      </c>
      <c r="AG814" s="5" t="n">
        <v>-5.659</v>
      </c>
      <c r="AH814" s="5" t="n">
        <v>2.188</v>
      </c>
      <c r="AI814" s="5" t="n">
        <v>0</v>
      </c>
      <c r="AJ814" s="5" t="n">
        <v>0</v>
      </c>
      <c r="AK814" s="5" t="n">
        <v>6.92</v>
      </c>
      <c r="AL814" s="5" t="n">
        <v>3.264</v>
      </c>
      <c r="AM814" s="5" t="n">
        <v>-4.621</v>
      </c>
      <c r="AN814" s="5" t="n">
        <v>2.299</v>
      </c>
      <c r="AO814" s="5" t="n">
        <v>0</v>
      </c>
      <c r="AP814" s="5" t="n">
        <v>0</v>
      </c>
      <c r="AQ814" s="5" t="n">
        <v>0.619</v>
      </c>
      <c r="AR814" s="5" t="n">
        <v>0.114</v>
      </c>
      <c r="AS814" s="5" t="n">
        <v>-0.285</v>
      </c>
      <c r="AT814" s="5" t="n">
        <v>0.384</v>
      </c>
      <c r="AU814" s="5" t="n">
        <v>0</v>
      </c>
      <c r="AV814" s="5" t="n">
        <v>0</v>
      </c>
      <c r="AW814" s="5" t="n">
        <v>0.599</v>
      </c>
      <c r="AX814" s="5" t="n">
        <v>0.114</v>
      </c>
      <c r="AY814" s="5" t="n">
        <v>-0.273</v>
      </c>
      <c r="AZ814" s="5" t="n">
        <v>0.375</v>
      </c>
      <c r="BA814" s="5" t="n">
        <v>0</v>
      </c>
      <c r="BB814" s="5" t="n">
        <v>0</v>
      </c>
      <c r="BC814" s="5" t="n">
        <v>0.439</v>
      </c>
      <c r="BD814" s="5" t="n">
        <v>0.114</v>
      </c>
      <c r="BE814" s="5" t="n">
        <v>0</v>
      </c>
      <c r="BF814" s="5" t="n">
        <v>0.505</v>
      </c>
      <c r="BG814" s="5" t="n">
        <v>0.15</v>
      </c>
      <c r="BH814" s="5" t="n">
        <v>1</v>
      </c>
      <c r="BI814" s="5" t="n">
        <v>0.505</v>
      </c>
      <c r="BJ814" s="5" t="n">
        <v>0.114</v>
      </c>
      <c r="BK814" s="5" t="n">
        <v>0</v>
      </c>
      <c r="BL814" s="5" t="n">
        <v>0.58</v>
      </c>
      <c r="BM814" s="5" t="n">
        <v>0.15</v>
      </c>
      <c r="BN814" s="5" t="n">
        <v>1</v>
      </c>
      <c r="BO814" s="5" t="n">
        <v>0</v>
      </c>
      <c r="BP814" s="5" t="n">
        <v>-0.073</v>
      </c>
      <c r="BQ814" s="5" t="n">
        <v>0</v>
      </c>
      <c r="BR814" s="5" t="n">
        <v>0</v>
      </c>
      <c r="BS814" s="5" t="n">
        <v>1</v>
      </c>
      <c r="BT814" s="5" t="n">
        <v>0</v>
      </c>
      <c r="BU814" s="5" t="n">
        <v>-0.073</v>
      </c>
      <c r="BV814" s="5" t="n">
        <v>0</v>
      </c>
      <c r="BW814" s="5" t="n">
        <v>0.15</v>
      </c>
      <c r="BX814" s="5" t="n">
        <v>1</v>
      </c>
      <c r="BY814" s="5" t="n">
        <v>11.787</v>
      </c>
      <c r="BZ814" s="5" t="n">
        <v>0</v>
      </c>
      <c r="CA814" s="5" t="n">
        <v>11.787</v>
      </c>
      <c r="CB814" s="5" t="n">
        <v>0</v>
      </c>
      <c r="CC814" s="5" t="n">
        <v>78.125</v>
      </c>
      <c r="CD814" s="5" t="n">
        <v>7.95</v>
      </c>
      <c r="CE814" s="5" t="n">
        <v>0</v>
      </c>
      <c r="CF814" s="5" t="n">
        <v>89.84399999999999</v>
      </c>
      <c r="CG814" s="5" t="n">
        <v>0.15</v>
      </c>
      <c r="CH814" s="5" t="n">
        <v>1</v>
      </c>
      <c r="CI814" s="5" t="n">
        <v>0</v>
      </c>
      <c r="CJ814" s="5" t="n">
        <v>0</v>
      </c>
      <c r="CK814" s="5" t="n">
        <v>0</v>
      </c>
      <c r="CL814" s="5" t="n">
        <v>0</v>
      </c>
      <c r="CM814" s="5" t="n">
        <v>0</v>
      </c>
      <c r="CN814" s="5" t="n">
        <v>0</v>
      </c>
      <c r="CO814" s="5" t="n">
        <v>0</v>
      </c>
      <c r="CP814" s="5" t="n">
        <v>0</v>
      </c>
      <c r="CQ814" s="5" t="n">
        <v>1.198</v>
      </c>
      <c r="CR814" s="5" t="n">
        <v>1</v>
      </c>
      <c r="CS814" s="5" t="n">
        <v>2.347</v>
      </c>
      <c r="CT814" s="5" t="n">
        <v>4.41</v>
      </c>
      <c r="CU814" s="5" t="n">
        <v>14.129</v>
      </c>
    </row>
    <row r="815">
      <c r="A815" s="5" t="inlineStr">
        <is>
          <t>TKM2022</t>
        </is>
      </c>
      <c r="B815" s="5" t="inlineStr">
        <is>
          <t>TKM</t>
        </is>
      </c>
      <c r="C815" s="5" t="inlineStr">
        <is>
          <t>TKM</t>
        </is>
      </c>
      <c r="D815" s="5" t="inlineStr">
        <is>
          <t>Turkmenistan</t>
        </is>
      </c>
      <c r="E815" s="5" t="n">
        <v>2022</v>
      </c>
      <c r="F815" s="5" t="n">
        <v>0.15</v>
      </c>
      <c r="G815" s="5" t="n">
        <v>7.077</v>
      </c>
      <c r="H815" s="5" t="n">
        <v>1.235</v>
      </c>
      <c r="I815" s="5" t="n">
        <v>0.043</v>
      </c>
      <c r="J815" s="5" t="n">
        <v>7.12</v>
      </c>
      <c r="K815" s="5" t="n">
        <v>0</v>
      </c>
      <c r="L815" s="5" t="n">
        <v>1</v>
      </c>
      <c r="M815" s="5" t="n">
        <v>9.782999999999999</v>
      </c>
      <c r="N815" s="5" t="n">
        <v>3.704</v>
      </c>
      <c r="O815" s="5" t="n">
        <v>0.058</v>
      </c>
      <c r="P815" s="5" t="n">
        <v>9.84</v>
      </c>
      <c r="Q815" s="5" t="n">
        <v>0</v>
      </c>
      <c r="R815" s="5" t="n">
        <v>1</v>
      </c>
      <c r="S815" s="5" t="n">
        <v>13.25</v>
      </c>
      <c r="T815" s="5" t="n">
        <v>7.408</v>
      </c>
      <c r="U815" s="5" t="n">
        <v>0.191</v>
      </c>
      <c r="V815" s="5" t="n">
        <v>15.288</v>
      </c>
      <c r="W815" s="5" t="n">
        <v>0.15</v>
      </c>
      <c r="X815" s="5" t="n">
        <v>1</v>
      </c>
      <c r="Y815" s="5" t="n">
        <v>8.268000000000001</v>
      </c>
      <c r="Z815" s="5" t="n">
        <v>0.907</v>
      </c>
      <c r="AA815" s="5" t="n">
        <v>-6.111</v>
      </c>
      <c r="AB815" s="5" t="n">
        <v>2.157</v>
      </c>
      <c r="AC815" s="5" t="n">
        <v>0</v>
      </c>
      <c r="AD815" s="5" t="n">
        <v>0</v>
      </c>
      <c r="AE815" s="5" t="n">
        <v>8.474</v>
      </c>
      <c r="AF815" s="5" t="n">
        <v>1.648</v>
      </c>
      <c r="AG815" s="5" t="n">
        <v>-6.111</v>
      </c>
      <c r="AH815" s="5" t="n">
        <v>2.363</v>
      </c>
      <c r="AI815" s="5" t="n">
        <v>0</v>
      </c>
      <c r="AJ815" s="5" t="n">
        <v>0</v>
      </c>
      <c r="AK815" s="5" t="n">
        <v>7.473</v>
      </c>
      <c r="AL815" s="5" t="n">
        <v>3.525</v>
      </c>
      <c r="AM815" s="5" t="n">
        <v>-4.99</v>
      </c>
      <c r="AN815" s="5" t="n">
        <v>2.483</v>
      </c>
      <c r="AO815" s="5" t="n">
        <v>0</v>
      </c>
      <c r="AP815" s="5" t="n">
        <v>0</v>
      </c>
      <c r="AQ815" s="5" t="n">
        <v>0.861</v>
      </c>
      <c r="AR815" s="5" t="n">
        <v>0.123</v>
      </c>
      <c r="AS815" s="5" t="n">
        <v>-0.47</v>
      </c>
      <c r="AT815" s="5" t="n">
        <v>0.45</v>
      </c>
      <c r="AU815" s="5" t="n">
        <v>0</v>
      </c>
      <c r="AV815" s="5" t="n">
        <v>0</v>
      </c>
      <c r="AW815" s="5" t="n">
        <v>0.986</v>
      </c>
      <c r="AX815" s="5" t="n">
        <v>0.123</v>
      </c>
      <c r="AY815" s="5" t="n">
        <v>-0.652</v>
      </c>
      <c r="AZ815" s="5" t="n">
        <v>0.385</v>
      </c>
      <c r="BA815" s="5" t="n">
        <v>0</v>
      </c>
      <c r="BB815" s="5" t="n">
        <v>0</v>
      </c>
      <c r="BC815" s="5" t="n">
        <v>0.598</v>
      </c>
      <c r="BD815" s="5" t="n">
        <v>0.123</v>
      </c>
      <c r="BE815" s="5" t="n">
        <v>0.007</v>
      </c>
      <c r="BF815" s="5" t="n">
        <v>0.6879999999999999</v>
      </c>
      <c r="BG815" s="5" t="n">
        <v>0.15</v>
      </c>
      <c r="BH815" s="5" t="n">
        <v>1</v>
      </c>
      <c r="BI815" s="5" t="n">
        <v>0.612</v>
      </c>
      <c r="BJ815" s="5" t="n">
        <v>0.123</v>
      </c>
      <c r="BK815" s="5" t="n">
        <v>0.007</v>
      </c>
      <c r="BL815" s="5" t="n">
        <v>0.704</v>
      </c>
      <c r="BM815" s="5" t="n">
        <v>0.15</v>
      </c>
      <c r="BN815" s="5" t="n">
        <v>1</v>
      </c>
      <c r="BO815" s="5" t="n">
        <v>0</v>
      </c>
      <c r="BP815" s="5" t="n">
        <v>-0.073</v>
      </c>
      <c r="BQ815" s="5" t="n">
        <v>0</v>
      </c>
      <c r="BR815" s="5" t="n">
        <v>0</v>
      </c>
      <c r="BS815" s="5" t="n">
        <v>1</v>
      </c>
      <c r="BT815" s="5" t="n">
        <v>0</v>
      </c>
      <c r="BU815" s="5" t="n">
        <v>-0.073</v>
      </c>
      <c r="BV815" s="5" t="n">
        <v>0</v>
      </c>
      <c r="BW815" s="5" t="n">
        <v>0.15</v>
      </c>
      <c r="BX815" s="5" t="n">
        <v>1</v>
      </c>
      <c r="BY815" s="5" t="n">
        <v>12.729</v>
      </c>
      <c r="BZ815" s="5" t="n">
        <v>0</v>
      </c>
      <c r="CA815" s="5" t="n">
        <v>12.729</v>
      </c>
      <c r="CB815" s="5" t="n">
        <v>0</v>
      </c>
      <c r="CC815" s="5" t="n">
        <v>97.90000000000001</v>
      </c>
      <c r="CD815" s="5" t="n">
        <v>7.95</v>
      </c>
      <c r="CE815" s="5" t="n">
        <v>1.087</v>
      </c>
      <c r="CF815" s="5" t="n">
        <v>112.585</v>
      </c>
      <c r="CG815" s="5" t="n">
        <v>0.15</v>
      </c>
      <c r="CH815" s="5" t="n">
        <v>1</v>
      </c>
      <c r="CI815" s="5" t="n">
        <v>0</v>
      </c>
      <c r="CJ815" s="5" t="n">
        <v>0</v>
      </c>
      <c r="CK815" s="5" t="n">
        <v>0</v>
      </c>
      <c r="CL815" s="5" t="n">
        <v>0</v>
      </c>
      <c r="CM815" s="5" t="n">
        <v>0</v>
      </c>
      <c r="CN815" s="5" t="n">
        <v>0</v>
      </c>
      <c r="CO815" s="5" t="n">
        <v>0</v>
      </c>
      <c r="CP815" s="5" t="n">
        <v>0</v>
      </c>
      <c r="CQ815" s="5" t="n">
        <v>1.294</v>
      </c>
      <c r="CR815" s="5" t="n">
        <v>1</v>
      </c>
      <c r="CS815" s="5" t="n">
        <v>2.535</v>
      </c>
      <c r="CT815" s="5" t="n">
        <v>5.842</v>
      </c>
      <c r="CU815" s="5" t="n">
        <v>28.059</v>
      </c>
    </row>
    <row r="816">
      <c r="A816" s="5" t="inlineStr">
        <is>
          <t>TKM2023</t>
        </is>
      </c>
      <c r="B816" s="5" t="inlineStr">
        <is>
          <t>TKM</t>
        </is>
      </c>
      <c r="C816" s="5" t="inlineStr">
        <is>
          <t>TKM</t>
        </is>
      </c>
      <c r="D816" s="5" t="inlineStr">
        <is>
          <t>Turkmenistan</t>
        </is>
      </c>
      <c r="E816" s="5" t="n">
        <v>2023</v>
      </c>
      <c r="F816" s="5" t="n">
        <v>0.15</v>
      </c>
      <c r="G816" s="5" t="n">
        <v>4.752</v>
      </c>
      <c r="H816" s="5" t="n">
        <v>1.286</v>
      </c>
      <c r="I816" s="5" t="n">
        <v>0.027</v>
      </c>
      <c r="J816" s="5" t="n">
        <v>4.778</v>
      </c>
      <c r="K816" s="5" t="n">
        <v>0</v>
      </c>
      <c r="L816" s="5" t="n">
        <v>1</v>
      </c>
      <c r="M816" s="5" t="n">
        <v>7.886</v>
      </c>
      <c r="N816" s="5" t="n">
        <v>3.857</v>
      </c>
      <c r="O816" s="5" t="n">
        <v>0.04</v>
      </c>
      <c r="P816" s="5" t="n">
        <v>7.926</v>
      </c>
      <c r="Q816" s="5" t="n">
        <v>0</v>
      </c>
      <c r="R816" s="5" t="n">
        <v>1</v>
      </c>
      <c r="S816" s="5" t="n">
        <v>11.18</v>
      </c>
      <c r="T816" s="5" t="n">
        <v>7.714</v>
      </c>
      <c r="U816" s="5" t="n">
        <v>0.213</v>
      </c>
      <c r="V816" s="5" t="n">
        <v>12.888</v>
      </c>
      <c r="W816" s="5" t="n">
        <v>0.15</v>
      </c>
      <c r="X816" s="5" t="n">
        <v>1</v>
      </c>
      <c r="Y816" s="5" t="n">
        <v>8.609</v>
      </c>
      <c r="Z816" s="5" t="n">
        <v>0.945</v>
      </c>
      <c r="AA816" s="5" t="n">
        <v>-6.363</v>
      </c>
      <c r="AB816" s="5" t="n">
        <v>2.246</v>
      </c>
      <c r="AC816" s="5" t="n">
        <v>0</v>
      </c>
      <c r="AD816" s="5" t="n">
        <v>0</v>
      </c>
      <c r="AE816" s="5" t="n">
        <v>8.824</v>
      </c>
      <c r="AF816" s="5" t="n">
        <v>1.716</v>
      </c>
      <c r="AG816" s="5" t="n">
        <v>-6.363</v>
      </c>
      <c r="AH816" s="5" t="n">
        <v>2.461</v>
      </c>
      <c r="AI816" s="5" t="n">
        <v>0</v>
      </c>
      <c r="AJ816" s="5" t="n">
        <v>0</v>
      </c>
      <c r="AK816" s="5" t="n">
        <v>7.782</v>
      </c>
      <c r="AL816" s="5" t="n">
        <v>3.671</v>
      </c>
      <c r="AM816" s="5" t="n">
        <v>-5.196</v>
      </c>
      <c r="AN816" s="5" t="n">
        <v>2.586</v>
      </c>
      <c r="AO816" s="5" t="n">
        <v>0</v>
      </c>
      <c r="AP816" s="5" t="n">
        <v>0</v>
      </c>
      <c r="AQ816" s="5" t="n">
        <v>0.76</v>
      </c>
      <c r="AR816" s="5" t="n">
        <v>0.129</v>
      </c>
      <c r="AS816" s="5" t="n">
        <v>-0.292</v>
      </c>
      <c r="AT816" s="5" t="n">
        <v>0.468</v>
      </c>
      <c r="AU816" s="5" t="n">
        <v>0</v>
      </c>
      <c r="AV816" s="5" t="n">
        <v>0</v>
      </c>
      <c r="AW816" s="5" t="n">
        <v>0.8110000000000001</v>
      </c>
      <c r="AX816" s="5" t="n">
        <v>0.129</v>
      </c>
      <c r="AY816" s="5" t="n">
        <v>-0.411</v>
      </c>
      <c r="AZ816" s="5" t="n">
        <v>0.401</v>
      </c>
      <c r="BA816" s="5" t="n">
        <v>0</v>
      </c>
      <c r="BB816" s="5" t="n">
        <v>0</v>
      </c>
      <c r="BC816" s="5" t="n">
        <v>0.535</v>
      </c>
      <c r="BD816" s="5" t="n">
        <v>0.129</v>
      </c>
      <c r="BE816" s="5" t="n">
        <v>0.008999999999999999</v>
      </c>
      <c r="BF816" s="5" t="n">
        <v>0.615</v>
      </c>
      <c r="BG816" s="5" t="n">
        <v>0.15</v>
      </c>
      <c r="BH816" s="5" t="n">
        <v>1</v>
      </c>
      <c r="BI816" s="5" t="n">
        <v>0.579</v>
      </c>
      <c r="BJ816" s="5" t="n">
        <v>0.129</v>
      </c>
      <c r="BK816" s="5" t="n">
        <v>0.01</v>
      </c>
      <c r="BL816" s="5" t="n">
        <v>0.666</v>
      </c>
      <c r="BM816" s="5" t="n">
        <v>0.15</v>
      </c>
      <c r="BN816" s="5" t="n">
        <v>1</v>
      </c>
      <c r="BO816" s="5" t="n">
        <v>0</v>
      </c>
      <c r="BP816" s="5" t="n">
        <v>-0.073</v>
      </c>
      <c r="BQ816" s="5" t="n">
        <v>0</v>
      </c>
      <c r="BR816" s="5" t="n">
        <v>0</v>
      </c>
      <c r="BS816" s="5" t="n">
        <v>1</v>
      </c>
      <c r="BT816" s="5" t="n">
        <v>0</v>
      </c>
      <c r="BU816" s="5" t="n">
        <v>-0.073</v>
      </c>
      <c r="BV816" s="5" t="n">
        <v>0</v>
      </c>
      <c r="BW816" s="5" t="n">
        <v>0.15</v>
      </c>
      <c r="BX816" s="5" t="n">
        <v>1</v>
      </c>
      <c r="BY816" s="5" t="n">
        <v>13.254</v>
      </c>
      <c r="BZ816" s="5" t="n">
        <v>0</v>
      </c>
      <c r="CA816" s="5" t="n">
        <v>13.254</v>
      </c>
      <c r="CB816" s="5" t="n">
        <v>0</v>
      </c>
      <c r="CC816" s="5" t="n">
        <v>83.248</v>
      </c>
      <c r="CD816" s="5" t="n">
        <v>7.95</v>
      </c>
      <c r="CE816" s="5" t="n">
        <v>1.383</v>
      </c>
      <c r="CF816" s="5" t="n">
        <v>95.735</v>
      </c>
      <c r="CG816" s="5" t="n">
        <v>0.15</v>
      </c>
      <c r="CH816" s="5" t="n">
        <v>1</v>
      </c>
      <c r="CI816" s="5" t="n">
        <v>0</v>
      </c>
      <c r="CJ816" s="5" t="n">
        <v>0</v>
      </c>
      <c r="CK816" s="5" t="n">
        <v>0</v>
      </c>
      <c r="CL816" s="5" t="n">
        <v>0</v>
      </c>
      <c r="CM816" s="5" t="n">
        <v>0</v>
      </c>
      <c r="CN816" s="5" t="n">
        <v>0</v>
      </c>
      <c r="CO816" s="5" t="n">
        <v>0</v>
      </c>
      <c r="CP816" s="5" t="n">
        <v>0</v>
      </c>
      <c r="CQ816" s="5" t="n">
        <v>1.348</v>
      </c>
      <c r="CR816" s="5" t="n">
        <v>1</v>
      </c>
      <c r="CS816" s="5" t="n">
        <v>2.639</v>
      </c>
      <c r="CT816" s="5" t="n">
        <v>3.466</v>
      </c>
      <c r="CU816" s="5" t="n">
        <v>9.260999999999999</v>
      </c>
    </row>
    <row r="817">
      <c r="A817" s="5" t="inlineStr">
        <is>
          <t>TKM2024</t>
        </is>
      </c>
      <c r="B817" s="5" t="inlineStr">
        <is>
          <t>TKM</t>
        </is>
      </c>
      <c r="C817" s="5" t="inlineStr">
        <is>
          <t>TKM</t>
        </is>
      </c>
      <c r="D817" s="5" t="inlineStr">
        <is>
          <t>Turkmenistan</t>
        </is>
      </c>
      <c r="E817" s="5" t="n">
        <v>2024</v>
      </c>
      <c r="F817" s="5" t="n">
        <v>0.15</v>
      </c>
      <c r="G817" s="5" t="n">
        <v>4.351</v>
      </c>
      <c r="H817" s="5" t="n">
        <v>1.324</v>
      </c>
      <c r="I817" s="5" t="n">
        <v>0.021</v>
      </c>
      <c r="J817" s="5" t="n">
        <v>4.371</v>
      </c>
      <c r="K817" s="5" t="n">
        <v>0</v>
      </c>
      <c r="L817" s="5" t="n">
        <v>1</v>
      </c>
      <c r="M817" s="5" t="n">
        <v>7.124</v>
      </c>
      <c r="N817" s="5" t="n">
        <v>3.971</v>
      </c>
      <c r="O817" s="5" t="n">
        <v>0.028</v>
      </c>
      <c r="P817" s="5" t="n">
        <v>7.151</v>
      </c>
      <c r="Q817" s="5" t="n">
        <v>0</v>
      </c>
      <c r="R817" s="5" t="n">
        <v>1</v>
      </c>
      <c r="S817" s="5" t="n">
        <v>10.969</v>
      </c>
      <c r="T817" s="5" t="n">
        <v>7.942</v>
      </c>
      <c r="U817" s="5" t="n">
        <v>0.245</v>
      </c>
      <c r="V817" s="5" t="n">
        <v>12.638</v>
      </c>
      <c r="W817" s="5" t="n">
        <v>0.15</v>
      </c>
      <c r="X817" s="5" t="n">
        <v>1</v>
      </c>
      <c r="Y817" s="5" t="n">
        <v>8.864000000000001</v>
      </c>
      <c r="Z817" s="5" t="n">
        <v>0.973</v>
      </c>
      <c r="AA817" s="5" t="n">
        <v>-6.551</v>
      </c>
      <c r="AB817" s="5" t="n">
        <v>2.312</v>
      </c>
      <c r="AC817" s="5" t="n">
        <v>0</v>
      </c>
      <c r="AD817" s="5" t="n">
        <v>0</v>
      </c>
      <c r="AE817" s="5" t="n">
        <v>9.084</v>
      </c>
      <c r="AF817" s="5" t="n">
        <v>1.767</v>
      </c>
      <c r="AG817" s="5" t="n">
        <v>-6.551</v>
      </c>
      <c r="AH817" s="5" t="n">
        <v>2.533</v>
      </c>
      <c r="AI817" s="5" t="n">
        <v>0</v>
      </c>
      <c r="AJ817" s="5" t="n">
        <v>0</v>
      </c>
      <c r="AK817" s="5" t="n">
        <v>8.012</v>
      </c>
      <c r="AL817" s="5" t="n">
        <v>3.779</v>
      </c>
      <c r="AM817" s="5" t="n">
        <v>-5.35</v>
      </c>
      <c r="AN817" s="5" t="n">
        <v>2.662</v>
      </c>
      <c r="AO817" s="5" t="n">
        <v>0</v>
      </c>
      <c r="AP817" s="5" t="n">
        <v>0</v>
      </c>
      <c r="AQ817" s="5" t="n">
        <v>0.724</v>
      </c>
      <c r="AR817" s="5" t="n">
        <v>0.132</v>
      </c>
      <c r="AS817" s="5" t="n">
        <v>-0.242</v>
      </c>
      <c r="AT817" s="5" t="n">
        <v>0.482</v>
      </c>
      <c r="AU817" s="5" t="n">
        <v>0</v>
      </c>
      <c r="AV817" s="5" t="n">
        <v>0</v>
      </c>
      <c r="AW817" s="5" t="n">
        <v>0.75</v>
      </c>
      <c r="AX817" s="5" t="n">
        <v>0.132</v>
      </c>
      <c r="AY817" s="5" t="n">
        <v>-0.338</v>
      </c>
      <c r="AZ817" s="5" t="n">
        <v>0.412</v>
      </c>
      <c r="BA817" s="5" t="n">
        <v>0</v>
      </c>
      <c r="BB817" s="5" t="n">
        <v>0</v>
      </c>
      <c r="BC817" s="5" t="n">
        <v>0.513</v>
      </c>
      <c r="BD817" s="5" t="n">
        <v>0.132</v>
      </c>
      <c r="BE817" s="5" t="n">
        <v>0.01</v>
      </c>
      <c r="BF817" s="5" t="n">
        <v>0.59</v>
      </c>
      <c r="BG817" s="5" t="n">
        <v>0.15</v>
      </c>
      <c r="BH817" s="5" t="n">
        <v>1</v>
      </c>
      <c r="BI817" s="5" t="n">
        <v>0.591</v>
      </c>
      <c r="BJ817" s="5" t="n">
        <v>0.132</v>
      </c>
      <c r="BK817" s="5" t="n">
        <v>0.012</v>
      </c>
      <c r="BL817" s="5" t="n">
        <v>0.68</v>
      </c>
      <c r="BM817" s="5" t="n">
        <v>0.15</v>
      </c>
      <c r="BN817" s="5" t="n">
        <v>1</v>
      </c>
      <c r="BO817" s="5" t="n">
        <v>0</v>
      </c>
      <c r="BP817" s="5" t="n">
        <v>-0.075</v>
      </c>
      <c r="BQ817" s="5" t="n">
        <v>0</v>
      </c>
      <c r="BR817" s="5" t="n">
        <v>0</v>
      </c>
      <c r="BS817" s="5" t="n">
        <v>1</v>
      </c>
      <c r="BT817" s="5" t="n">
        <v>0</v>
      </c>
      <c r="BU817" s="5" t="n">
        <v>-0.075</v>
      </c>
      <c r="BV817" s="5" t="n">
        <v>0</v>
      </c>
      <c r="BW817" s="5" t="n">
        <v>0.15</v>
      </c>
      <c r="BX817" s="5" t="n">
        <v>1</v>
      </c>
      <c r="BY817" s="5" t="n">
        <v>13.646</v>
      </c>
      <c r="BZ817" s="5" t="n">
        <v>0</v>
      </c>
      <c r="CA817" s="5" t="n">
        <v>13.646</v>
      </c>
      <c r="CB817" s="5" t="n">
        <v>0</v>
      </c>
      <c r="CC817" s="5" t="n">
        <v>82.58799999999999</v>
      </c>
      <c r="CD817" s="5" t="n">
        <v>7.95</v>
      </c>
      <c r="CE817" s="5" t="n">
        <v>1.687</v>
      </c>
      <c r="CF817" s="5" t="n">
        <v>94.976</v>
      </c>
      <c r="CG817" s="5" t="n">
        <v>0.15</v>
      </c>
      <c r="CH817" s="5" t="n">
        <v>1</v>
      </c>
      <c r="CI817" s="5" t="n">
        <v>0</v>
      </c>
      <c r="CJ817" s="5" t="n">
        <v>0</v>
      </c>
      <c r="CK817" s="5" t="n">
        <v>0</v>
      </c>
      <c r="CL817" s="5" t="n">
        <v>0</v>
      </c>
      <c r="CM817" s="5" t="n">
        <v>0</v>
      </c>
      <c r="CN817" s="5" t="n">
        <v>0</v>
      </c>
      <c r="CO817" s="5" t="n">
        <v>0</v>
      </c>
      <c r="CP817" s="5" t="n">
        <v>0</v>
      </c>
      <c r="CQ817" s="5" t="n">
        <v>1.387</v>
      </c>
      <c r="CR817" s="5" t="n">
        <v>1</v>
      </c>
      <c r="CS817" s="5" t="n">
        <v>2.717</v>
      </c>
      <c r="CT817" s="5" t="n">
        <v>3.027</v>
      </c>
      <c r="CU817" s="5" t="n">
        <v>7.598</v>
      </c>
    </row>
    <row r="818">
      <c r="A818" s="5" t="inlineStr">
        <is>
          <t>TCA2021</t>
        </is>
      </c>
      <c r="B818" s="5" t="inlineStr">
        <is>
          <t>TCA</t>
        </is>
      </c>
      <c r="C818" s="5" t="inlineStr">
        <is>
          <t>TCA</t>
        </is>
      </c>
      <c r="D818" s="5" t="inlineStr">
        <is>
          <t>Turks and Caicos Islands</t>
        </is>
      </c>
      <c r="E818" s="5" t="n">
        <v>2021</v>
      </c>
      <c r="F818" s="5" t="n">
        <v>0</v>
      </c>
      <c r="G818" s="5" t="n">
        <v>5.897</v>
      </c>
      <c r="H818" s="5" t="n">
        <v>1.143</v>
      </c>
      <c r="I818" s="5" t="n">
        <v>0</v>
      </c>
      <c r="J818" s="5" t="n">
        <v>5.897</v>
      </c>
      <c r="K818" s="5" t="n">
        <v>0</v>
      </c>
      <c r="L818" s="5" t="n">
        <v>1</v>
      </c>
      <c r="M818" s="5" t="n">
        <v>7.964</v>
      </c>
      <c r="N818" s="5" t="n">
        <v>3.43</v>
      </c>
      <c r="O818" s="5" t="n">
        <v>0</v>
      </c>
      <c r="P818" s="5" t="n">
        <v>7.964</v>
      </c>
      <c r="Q818" s="5" t="n">
        <v>0</v>
      </c>
      <c r="R818" s="5" t="n">
        <v>1</v>
      </c>
      <c r="S818" s="5" t="n">
        <v>11.613</v>
      </c>
      <c r="T818" s="5" t="n">
        <v>6.86</v>
      </c>
      <c r="U818" s="5" t="n">
        <v>0</v>
      </c>
      <c r="V818" s="5" t="n">
        <v>11.613</v>
      </c>
      <c r="W818" s="5" t="n">
        <v>0</v>
      </c>
      <c r="X818" s="5" t="n">
        <v>1</v>
      </c>
      <c r="Y818" s="5" t="n">
        <v>17.127</v>
      </c>
      <c r="Z818" s="5" t="n">
        <v>2.304</v>
      </c>
      <c r="AA818" s="5" t="n">
        <v>0</v>
      </c>
      <c r="AB818" s="5" t="n">
        <v>17.127</v>
      </c>
      <c r="AC818" s="5" t="n">
        <v>0</v>
      </c>
      <c r="AD818" s="5" t="n">
        <v>1</v>
      </c>
      <c r="AE818" s="5" t="n">
        <v>18.27</v>
      </c>
      <c r="AF818" s="5" t="n">
        <v>4.278</v>
      </c>
      <c r="AG818" s="5" t="n">
        <v>0</v>
      </c>
      <c r="AH818" s="5" t="n">
        <v>18.27</v>
      </c>
      <c r="AI818" s="5" t="n">
        <v>0</v>
      </c>
      <c r="AJ818" s="5" t="n">
        <v>1</v>
      </c>
      <c r="AK818" s="5" t="n">
        <v>25.13</v>
      </c>
      <c r="AL818" s="5" t="n">
        <v>13.503</v>
      </c>
      <c r="AM818" s="5" t="n">
        <v>0</v>
      </c>
      <c r="AN818" s="5" t="n">
        <v>25.13</v>
      </c>
      <c r="AO818" s="5" t="n">
        <v>0</v>
      </c>
      <c r="AP818" s="5" t="n">
        <v>1</v>
      </c>
      <c r="AQ818" s="5" t="n">
        <v>0.649</v>
      </c>
      <c r="AR818" s="5" t="n">
        <v>0.114</v>
      </c>
      <c r="AS818" s="5" t="n">
        <v>0</v>
      </c>
      <c r="AT818" s="5" t="n">
        <v>0.649</v>
      </c>
      <c r="AU818" s="5" t="n">
        <v>0</v>
      </c>
      <c r="AV818" s="5" t="n">
        <v>1</v>
      </c>
      <c r="AW818" s="5" t="n">
        <v>0.577</v>
      </c>
      <c r="AX818" s="5" t="n">
        <v>0.114</v>
      </c>
      <c r="AY818" s="5" t="n">
        <v>0</v>
      </c>
      <c r="AZ818" s="5" t="n">
        <v>0.577</v>
      </c>
      <c r="BA818" s="5" t="n">
        <v>0</v>
      </c>
      <c r="BB818" s="5" t="n">
        <v>1</v>
      </c>
      <c r="BC818" s="5" t="n">
        <v>0.458</v>
      </c>
      <c r="BD818" s="5" t="n">
        <v>0.114</v>
      </c>
      <c r="BE818" s="5" t="n">
        <v>0</v>
      </c>
      <c r="BF818" s="5" t="n">
        <v>0.458</v>
      </c>
      <c r="BG818" s="5" t="n">
        <v>0</v>
      </c>
      <c r="BH818" s="5" t="n">
        <v>1</v>
      </c>
      <c r="BI818" s="5" t="n">
        <v>0.491</v>
      </c>
      <c r="BJ818" s="5" t="n">
        <v>0.114</v>
      </c>
      <c r="BK818" s="5" t="n">
        <v>0</v>
      </c>
      <c r="BL818" s="5" t="n">
        <v>0.491</v>
      </c>
      <c r="BM818" s="5" t="n">
        <v>0</v>
      </c>
      <c r="BN818" s="5" t="n">
        <v>1</v>
      </c>
      <c r="BO818" s="5" t="n">
        <v>0</v>
      </c>
      <c r="BP818" s="5" t="n">
        <v>0</v>
      </c>
      <c r="BQ818" s="5" t="n">
        <v>0</v>
      </c>
      <c r="BR818" s="5" t="n">
        <v>0</v>
      </c>
      <c r="BS818" s="5" t="n">
        <v>1</v>
      </c>
      <c r="BT818" s="5" t="n">
        <v>0</v>
      </c>
      <c r="BU818" s="5" t="n">
        <v>0</v>
      </c>
      <c r="BV818" s="5" t="n">
        <v>0</v>
      </c>
      <c r="BW818" s="5" t="n">
        <v>0</v>
      </c>
      <c r="BX818" s="5" t="n">
        <v>1</v>
      </c>
      <c r="BY818" s="5" t="n">
        <v>11.787</v>
      </c>
      <c r="BZ818" s="5" t="n">
        <v>0</v>
      </c>
      <c r="CA818" s="5" t="n">
        <v>11.787</v>
      </c>
      <c r="CB818" s="5" t="n">
        <v>0</v>
      </c>
      <c r="CC818" s="5" t="n">
        <v>78.125</v>
      </c>
      <c r="CD818" s="5" t="n">
        <v>7.95</v>
      </c>
      <c r="CE818" s="5" t="n">
        <v>0</v>
      </c>
      <c r="CF818" s="5" t="n">
        <v>78.125</v>
      </c>
      <c r="CG818" s="5" t="n">
        <v>0</v>
      </c>
      <c r="CH818" s="5" t="n">
        <v>1</v>
      </c>
      <c r="CI818" s="5" t="n">
        <v>0</v>
      </c>
      <c r="CJ818" s="5" t="n">
        <v>0</v>
      </c>
      <c r="CK818" s="5" t="n">
        <v>0</v>
      </c>
      <c r="CL818" s="5" t="n">
        <v>0</v>
      </c>
      <c r="CM818" s="5" t="n">
        <v>0</v>
      </c>
      <c r="CN818" s="5" t="n">
        <v>0</v>
      </c>
      <c r="CO818" s="5" t="n">
        <v>0</v>
      </c>
      <c r="CP818" s="5" t="n">
        <v>0</v>
      </c>
      <c r="CQ818" s="5" t="n">
        <v>1.198</v>
      </c>
      <c r="CR818" s="5" t="n">
        <v>0</v>
      </c>
      <c r="CS818" s="5" t="n">
        <v>4.776</v>
      </c>
      <c r="CT818" s="5" t="n">
        <v>4.753</v>
      </c>
      <c r="CU818" s="5" t="n">
        <v>15.983</v>
      </c>
    </row>
    <row r="819">
      <c r="A819" s="5" t="inlineStr">
        <is>
          <t>TCA2022</t>
        </is>
      </c>
      <c r="B819" s="5" t="inlineStr">
        <is>
          <t>TCA</t>
        </is>
      </c>
      <c r="C819" s="5" t="inlineStr">
        <is>
          <t>TCA</t>
        </is>
      </c>
      <c r="D819" s="5" t="inlineStr">
        <is>
          <t>Turks and Caicos Islands</t>
        </is>
      </c>
      <c r="E819" s="5" t="n">
        <v>2022</v>
      </c>
      <c r="F819" s="5" t="n">
        <v>0</v>
      </c>
      <c r="G819" s="5" t="n">
        <v>11.72</v>
      </c>
      <c r="H819" s="5" t="n">
        <v>1.235</v>
      </c>
      <c r="I819" s="5" t="n">
        <v>0</v>
      </c>
      <c r="J819" s="5" t="n">
        <v>11.72</v>
      </c>
      <c r="K819" s="5" t="n">
        <v>0</v>
      </c>
      <c r="L819" s="5" t="n">
        <v>1</v>
      </c>
      <c r="M819" s="5" t="n">
        <v>9.782999999999999</v>
      </c>
      <c r="N819" s="5" t="n">
        <v>3.704</v>
      </c>
      <c r="O819" s="5" t="n">
        <v>0</v>
      </c>
      <c r="P819" s="5" t="n">
        <v>9.782999999999999</v>
      </c>
      <c r="Q819" s="5" t="n">
        <v>0</v>
      </c>
      <c r="R819" s="5" t="n">
        <v>1</v>
      </c>
      <c r="S819" s="5" t="n">
        <v>17.893</v>
      </c>
      <c r="T819" s="5" t="n">
        <v>7.408</v>
      </c>
      <c r="U819" s="5" t="n">
        <v>0</v>
      </c>
      <c r="V819" s="5" t="n">
        <v>17.893</v>
      </c>
      <c r="W819" s="5" t="n">
        <v>0</v>
      </c>
      <c r="X819" s="5" t="n">
        <v>1</v>
      </c>
      <c r="Y819" s="5" t="n">
        <v>30.728</v>
      </c>
      <c r="Z819" s="5" t="n">
        <v>4.133</v>
      </c>
      <c r="AA819" s="5" t="n">
        <v>0</v>
      </c>
      <c r="AB819" s="5" t="n">
        <v>30.728</v>
      </c>
      <c r="AC819" s="5" t="n">
        <v>0</v>
      </c>
      <c r="AD819" s="5" t="n">
        <v>1</v>
      </c>
      <c r="AE819" s="5" t="n">
        <v>31.963</v>
      </c>
      <c r="AF819" s="5" t="n">
        <v>7.485</v>
      </c>
      <c r="AG819" s="5" t="n">
        <v>0</v>
      </c>
      <c r="AH819" s="5" t="n">
        <v>31.963</v>
      </c>
      <c r="AI819" s="5" t="n">
        <v>0</v>
      </c>
      <c r="AJ819" s="5" t="n">
        <v>1</v>
      </c>
      <c r="AK819" s="5" t="n">
        <v>39.371</v>
      </c>
      <c r="AL819" s="5" t="n">
        <v>21.155</v>
      </c>
      <c r="AM819" s="5" t="n">
        <v>0</v>
      </c>
      <c r="AN819" s="5" t="n">
        <v>39.371</v>
      </c>
      <c r="AO819" s="5" t="n">
        <v>0</v>
      </c>
      <c r="AP819" s="5" t="n">
        <v>1</v>
      </c>
      <c r="AQ819" s="5" t="n">
        <v>0.896</v>
      </c>
      <c r="AR819" s="5" t="n">
        <v>0.123</v>
      </c>
      <c r="AS819" s="5" t="n">
        <v>0</v>
      </c>
      <c r="AT819" s="5" t="n">
        <v>0.896</v>
      </c>
      <c r="AU819" s="5" t="n">
        <v>0</v>
      </c>
      <c r="AV819" s="5" t="n">
        <v>1</v>
      </c>
      <c r="AW819" s="5" t="n">
        <v>0.89</v>
      </c>
      <c r="AX819" s="5" t="n">
        <v>0.123</v>
      </c>
      <c r="AY819" s="5" t="n">
        <v>0</v>
      </c>
      <c r="AZ819" s="5" t="n">
        <v>0.89</v>
      </c>
      <c r="BA819" s="5" t="n">
        <v>0</v>
      </c>
      <c r="BB819" s="5" t="n">
        <v>1</v>
      </c>
      <c r="BC819" s="5" t="n">
        <v>0.62</v>
      </c>
      <c r="BD819" s="5" t="n">
        <v>0.123</v>
      </c>
      <c r="BE819" s="5" t="n">
        <v>0</v>
      </c>
      <c r="BF819" s="5" t="n">
        <v>0.62</v>
      </c>
      <c r="BG819" s="5" t="n">
        <v>0</v>
      </c>
      <c r="BH819" s="5" t="n">
        <v>1</v>
      </c>
      <c r="BI819" s="5" t="n">
        <v>0.608</v>
      </c>
      <c r="BJ819" s="5" t="n">
        <v>0.123</v>
      </c>
      <c r="BK819" s="5" t="n">
        <v>0</v>
      </c>
      <c r="BL819" s="5" t="n">
        <v>0.608</v>
      </c>
      <c r="BM819" s="5" t="n">
        <v>0</v>
      </c>
      <c r="BN819" s="5" t="n">
        <v>1</v>
      </c>
      <c r="BO819" s="5" t="n">
        <v>0</v>
      </c>
      <c r="BP819" s="5" t="n">
        <v>0</v>
      </c>
      <c r="BQ819" s="5" t="n">
        <v>0</v>
      </c>
      <c r="BR819" s="5" t="n">
        <v>0</v>
      </c>
      <c r="BS819" s="5" t="n">
        <v>1</v>
      </c>
      <c r="BT819" s="5" t="n">
        <v>0</v>
      </c>
      <c r="BU819" s="5" t="n">
        <v>0</v>
      </c>
      <c r="BV819" s="5" t="n">
        <v>0</v>
      </c>
      <c r="BW819" s="5" t="n">
        <v>0</v>
      </c>
      <c r="BX819" s="5" t="n">
        <v>1</v>
      </c>
      <c r="BY819" s="5" t="n">
        <v>12.729</v>
      </c>
      <c r="BZ819" s="5" t="n">
        <v>0</v>
      </c>
      <c r="CA819" s="5" t="n">
        <v>12.729</v>
      </c>
      <c r="CB819" s="5" t="n">
        <v>0</v>
      </c>
      <c r="CC819" s="5" t="n">
        <v>97.90000000000001</v>
      </c>
      <c r="CD819" s="5" t="n">
        <v>7.95</v>
      </c>
      <c r="CE819" s="5" t="n">
        <v>0</v>
      </c>
      <c r="CF819" s="5" t="n">
        <v>97.90000000000001</v>
      </c>
      <c r="CG819" s="5" t="n">
        <v>0</v>
      </c>
      <c r="CH819" s="5" t="n">
        <v>1</v>
      </c>
      <c r="CI819" s="5" t="n">
        <v>0</v>
      </c>
      <c r="CJ819" s="5" t="n">
        <v>0</v>
      </c>
      <c r="CK819" s="5" t="n">
        <v>0</v>
      </c>
      <c r="CL819" s="5" t="n">
        <v>0</v>
      </c>
      <c r="CM819" s="5" t="n">
        <v>0</v>
      </c>
      <c r="CN819" s="5" t="n">
        <v>0</v>
      </c>
      <c r="CO819" s="5" t="n">
        <v>0</v>
      </c>
      <c r="CP819" s="5" t="n">
        <v>0</v>
      </c>
      <c r="CQ819" s="5" t="n">
        <v>1.294</v>
      </c>
      <c r="CR819" s="5" t="n">
        <v>0</v>
      </c>
      <c r="CS819" s="5" t="n">
        <v>5.158</v>
      </c>
      <c r="CT819" s="5" t="n">
        <v>10.485</v>
      </c>
      <c r="CU819" s="5" t="n">
        <v>29.494</v>
      </c>
    </row>
    <row r="820">
      <c r="A820" s="5" t="inlineStr">
        <is>
          <t>TCA2023</t>
        </is>
      </c>
      <c r="B820" s="5" t="inlineStr">
        <is>
          <t>TCA</t>
        </is>
      </c>
      <c r="C820" s="5" t="inlineStr">
        <is>
          <t>TCA</t>
        </is>
      </c>
      <c r="D820" s="5" t="inlineStr">
        <is>
          <t>Turks and Caicos Islands</t>
        </is>
      </c>
      <c r="E820" s="5" t="n">
        <v>2023</v>
      </c>
      <c r="F820" s="5" t="n">
        <v>0</v>
      </c>
      <c r="G820" s="5" t="n">
        <v>6.147</v>
      </c>
      <c r="H820" s="5" t="n">
        <v>1.286</v>
      </c>
      <c r="I820" s="5" t="n">
        <v>0</v>
      </c>
      <c r="J820" s="5" t="n">
        <v>6.147</v>
      </c>
      <c r="K820" s="5" t="n">
        <v>0</v>
      </c>
      <c r="L820" s="5" t="n">
        <v>1</v>
      </c>
      <c r="M820" s="5" t="n">
        <v>7.886</v>
      </c>
      <c r="N820" s="5" t="n">
        <v>3.857</v>
      </c>
      <c r="O820" s="5" t="n">
        <v>0</v>
      </c>
      <c r="P820" s="5" t="n">
        <v>7.886</v>
      </c>
      <c r="Q820" s="5" t="n">
        <v>0</v>
      </c>
      <c r="R820" s="5" t="n">
        <v>1</v>
      </c>
      <c r="S820" s="5" t="n">
        <v>12.575</v>
      </c>
      <c r="T820" s="5" t="n">
        <v>7.714</v>
      </c>
      <c r="U820" s="5" t="n">
        <v>0</v>
      </c>
      <c r="V820" s="5" t="n">
        <v>12.575</v>
      </c>
      <c r="W820" s="5" t="n">
        <v>0</v>
      </c>
      <c r="X820" s="5" t="n">
        <v>1</v>
      </c>
      <c r="Y820" s="5" t="n">
        <v>12.478</v>
      </c>
      <c r="Z820" s="5" t="n">
        <v>1.678</v>
      </c>
      <c r="AA820" s="5" t="n">
        <v>0</v>
      </c>
      <c r="AB820" s="5" t="n">
        <v>12.478</v>
      </c>
      <c r="AC820" s="5" t="n">
        <v>0</v>
      </c>
      <c r="AD820" s="5" t="n">
        <v>1</v>
      </c>
      <c r="AE820" s="5" t="n">
        <v>13.763</v>
      </c>
      <c r="AF820" s="5" t="n">
        <v>3.223</v>
      </c>
      <c r="AG820" s="5" t="n">
        <v>0</v>
      </c>
      <c r="AH820" s="5" t="n">
        <v>13.763</v>
      </c>
      <c r="AI820" s="5" t="n">
        <v>0</v>
      </c>
      <c r="AJ820" s="5" t="n">
        <v>1</v>
      </c>
      <c r="AK820" s="5" t="n">
        <v>21.477</v>
      </c>
      <c r="AL820" s="5" t="n">
        <v>11.54</v>
      </c>
      <c r="AM820" s="5" t="n">
        <v>0</v>
      </c>
      <c r="AN820" s="5" t="n">
        <v>21.477</v>
      </c>
      <c r="AO820" s="5" t="n">
        <v>0</v>
      </c>
      <c r="AP820" s="5" t="n">
        <v>1</v>
      </c>
      <c r="AQ820" s="5" t="n">
        <v>0.791</v>
      </c>
      <c r="AR820" s="5" t="n">
        <v>0.129</v>
      </c>
      <c r="AS820" s="5" t="n">
        <v>0</v>
      </c>
      <c r="AT820" s="5" t="n">
        <v>0.791</v>
      </c>
      <c r="AU820" s="5" t="n">
        <v>0</v>
      </c>
      <c r="AV820" s="5" t="n">
        <v>1</v>
      </c>
      <c r="AW820" s="5" t="n">
        <v>0.618</v>
      </c>
      <c r="AX820" s="5" t="n">
        <v>0.129</v>
      </c>
      <c r="AY820" s="5" t="n">
        <v>0</v>
      </c>
      <c r="AZ820" s="5" t="n">
        <v>0.618</v>
      </c>
      <c r="BA820" s="5" t="n">
        <v>0</v>
      </c>
      <c r="BB820" s="5" t="n">
        <v>1</v>
      </c>
      <c r="BC820" s="5" t="n">
        <v>0.554</v>
      </c>
      <c r="BD820" s="5" t="n">
        <v>0.129</v>
      </c>
      <c r="BE820" s="5" t="n">
        <v>0</v>
      </c>
      <c r="BF820" s="5" t="n">
        <v>0.554</v>
      </c>
      <c r="BG820" s="5" t="n">
        <v>0</v>
      </c>
      <c r="BH820" s="5" t="n">
        <v>1</v>
      </c>
      <c r="BI820" s="5" t="n">
        <v>0.5570000000000001</v>
      </c>
      <c r="BJ820" s="5" t="n">
        <v>0.129</v>
      </c>
      <c r="BK820" s="5" t="n">
        <v>0</v>
      </c>
      <c r="BL820" s="5" t="n">
        <v>0.5570000000000001</v>
      </c>
      <c r="BM820" s="5" t="n">
        <v>0</v>
      </c>
      <c r="BN820" s="5" t="n">
        <v>1</v>
      </c>
      <c r="BO820" s="5" t="n">
        <v>0</v>
      </c>
      <c r="BP820" s="5" t="n">
        <v>0</v>
      </c>
      <c r="BQ820" s="5" t="n">
        <v>0</v>
      </c>
      <c r="BR820" s="5" t="n">
        <v>0</v>
      </c>
      <c r="BS820" s="5" t="n">
        <v>1</v>
      </c>
      <c r="BT820" s="5" t="n">
        <v>0</v>
      </c>
      <c r="BU820" s="5" t="n">
        <v>0</v>
      </c>
      <c r="BV820" s="5" t="n">
        <v>0</v>
      </c>
      <c r="BW820" s="5" t="n">
        <v>0</v>
      </c>
      <c r="BX820" s="5" t="n">
        <v>1</v>
      </c>
      <c r="BY820" s="5" t="n">
        <v>13.254</v>
      </c>
      <c r="BZ820" s="5" t="n">
        <v>0</v>
      </c>
      <c r="CA820" s="5" t="n">
        <v>13.254</v>
      </c>
      <c r="CB820" s="5" t="n">
        <v>0</v>
      </c>
      <c r="CC820" s="5" t="n">
        <v>83.248</v>
      </c>
      <c r="CD820" s="5" t="n">
        <v>7.95</v>
      </c>
      <c r="CE820" s="5" t="n">
        <v>0</v>
      </c>
      <c r="CF820" s="5" t="n">
        <v>83.248</v>
      </c>
      <c r="CG820" s="5" t="n">
        <v>0</v>
      </c>
      <c r="CH820" s="5" t="n">
        <v>1</v>
      </c>
      <c r="CI820" s="5" t="n">
        <v>0</v>
      </c>
      <c r="CJ820" s="5" t="n">
        <v>0</v>
      </c>
      <c r="CK820" s="5" t="n">
        <v>0</v>
      </c>
      <c r="CL820" s="5" t="n">
        <v>0</v>
      </c>
      <c r="CM820" s="5" t="n">
        <v>0</v>
      </c>
      <c r="CN820" s="5" t="n">
        <v>0</v>
      </c>
      <c r="CO820" s="5" t="n">
        <v>0</v>
      </c>
      <c r="CP820" s="5" t="n">
        <v>0</v>
      </c>
      <c r="CQ820" s="5" t="n">
        <v>1.348</v>
      </c>
      <c r="CR820" s="5" t="n">
        <v>0</v>
      </c>
      <c r="CS820" s="5" t="n">
        <v>5.37</v>
      </c>
      <c r="CT820" s="5" t="n">
        <v>4.861</v>
      </c>
      <c r="CU820" s="5" t="n">
        <v>11.192</v>
      </c>
    </row>
    <row r="821">
      <c r="A821" s="5" t="inlineStr">
        <is>
          <t>TCA2024</t>
        </is>
      </c>
      <c r="B821" s="5" t="inlineStr">
        <is>
          <t>TCA</t>
        </is>
      </c>
      <c r="C821" s="5" t="inlineStr">
        <is>
          <t>TCA</t>
        </is>
      </c>
      <c r="D821" s="5" t="inlineStr">
        <is>
          <t>Turks and Caicos Islands</t>
        </is>
      </c>
      <c r="E821" s="5" t="n">
        <v>2024</v>
      </c>
      <c r="F821" s="5" t="n">
        <v>0</v>
      </c>
      <c r="G821" s="5" t="n">
        <v>5.575</v>
      </c>
      <c r="H821" s="5" t="n">
        <v>1.324</v>
      </c>
      <c r="I821" s="5" t="n">
        <v>0</v>
      </c>
      <c r="J821" s="5" t="n">
        <v>5.575</v>
      </c>
      <c r="K821" s="5" t="n">
        <v>0</v>
      </c>
      <c r="L821" s="5" t="n">
        <v>1</v>
      </c>
      <c r="M821" s="5" t="n">
        <v>7.124</v>
      </c>
      <c r="N821" s="5" t="n">
        <v>3.971</v>
      </c>
      <c r="O821" s="5" t="n">
        <v>0</v>
      </c>
      <c r="P821" s="5" t="n">
        <v>7.124</v>
      </c>
      <c r="Q821" s="5" t="n">
        <v>0</v>
      </c>
      <c r="R821" s="5" t="n">
        <v>1</v>
      </c>
      <c r="S821" s="5" t="n">
        <v>12.193</v>
      </c>
      <c r="T821" s="5" t="n">
        <v>7.942</v>
      </c>
      <c r="U821" s="5" t="n">
        <v>0</v>
      </c>
      <c r="V821" s="5" t="n">
        <v>12.193</v>
      </c>
      <c r="W821" s="5" t="n">
        <v>0</v>
      </c>
      <c r="X821" s="5" t="n">
        <v>1</v>
      </c>
      <c r="Y821" s="5" t="n">
        <v>11.447</v>
      </c>
      <c r="Z821" s="5" t="n">
        <v>1.54</v>
      </c>
      <c r="AA821" s="5" t="n">
        <v>0</v>
      </c>
      <c r="AB821" s="5" t="n">
        <v>11.447</v>
      </c>
      <c r="AC821" s="5" t="n">
        <v>0</v>
      </c>
      <c r="AD821" s="5" t="n">
        <v>1</v>
      </c>
      <c r="AE821" s="5" t="n">
        <v>12.771</v>
      </c>
      <c r="AF821" s="5" t="n">
        <v>2.991</v>
      </c>
      <c r="AG821" s="5" t="n">
        <v>0</v>
      </c>
      <c r="AH821" s="5" t="n">
        <v>12.771</v>
      </c>
      <c r="AI821" s="5" t="n">
        <v>0</v>
      </c>
      <c r="AJ821" s="5" t="n">
        <v>1</v>
      </c>
      <c r="AK821" s="5" t="n">
        <v>20.712</v>
      </c>
      <c r="AL821" s="5" t="n">
        <v>11.129</v>
      </c>
      <c r="AM821" s="5" t="n">
        <v>0</v>
      </c>
      <c r="AN821" s="5" t="n">
        <v>20.712</v>
      </c>
      <c r="AO821" s="5" t="n">
        <v>0</v>
      </c>
      <c r="AP821" s="5" t="n">
        <v>1</v>
      </c>
      <c r="AQ821" s="5" t="n">
        <v>0.756</v>
      </c>
      <c r="AR821" s="5" t="n">
        <v>0.132</v>
      </c>
      <c r="AS821" s="5" t="n">
        <v>0</v>
      </c>
      <c r="AT821" s="5" t="n">
        <v>0.756</v>
      </c>
      <c r="AU821" s="5" t="n">
        <v>0</v>
      </c>
      <c r="AV821" s="5" t="n">
        <v>1</v>
      </c>
      <c r="AW821" s="5" t="n">
        <v>0.655</v>
      </c>
      <c r="AX821" s="5" t="n">
        <v>0.132</v>
      </c>
      <c r="AY821" s="5" t="n">
        <v>0</v>
      </c>
      <c r="AZ821" s="5" t="n">
        <v>0.655</v>
      </c>
      <c r="BA821" s="5" t="n">
        <v>0</v>
      </c>
      <c r="BB821" s="5" t="n">
        <v>1</v>
      </c>
      <c r="BC821" s="5" t="n">
        <v>0.534</v>
      </c>
      <c r="BD821" s="5" t="n">
        <v>0.132</v>
      </c>
      <c r="BE821" s="5" t="n">
        <v>0</v>
      </c>
      <c r="BF821" s="5" t="n">
        <v>0.534</v>
      </c>
      <c r="BG821" s="5" t="n">
        <v>0</v>
      </c>
      <c r="BH821" s="5" t="n">
        <v>1</v>
      </c>
      <c r="BI821" s="5" t="n">
        <v>0.5679999999999999</v>
      </c>
      <c r="BJ821" s="5" t="n">
        <v>0.132</v>
      </c>
      <c r="BK821" s="5" t="n">
        <v>0</v>
      </c>
      <c r="BL821" s="5" t="n">
        <v>0.5679999999999999</v>
      </c>
      <c r="BM821" s="5" t="n">
        <v>0</v>
      </c>
      <c r="BN821" s="5" t="n">
        <v>1</v>
      </c>
      <c r="BO821" s="5" t="n">
        <v>0</v>
      </c>
      <c r="BP821" s="5" t="n">
        <v>0</v>
      </c>
      <c r="BQ821" s="5" t="n">
        <v>0</v>
      </c>
      <c r="BR821" s="5" t="n">
        <v>0</v>
      </c>
      <c r="BS821" s="5" t="n">
        <v>1</v>
      </c>
      <c r="BT821" s="5" t="n">
        <v>0</v>
      </c>
      <c r="BU821" s="5" t="n">
        <v>0</v>
      </c>
      <c r="BV821" s="5" t="n">
        <v>0</v>
      </c>
      <c r="BW821" s="5" t="n">
        <v>0</v>
      </c>
      <c r="BX821" s="5" t="n">
        <v>1</v>
      </c>
      <c r="BY821" s="5" t="n">
        <v>13.646</v>
      </c>
      <c r="BZ821" s="5" t="n">
        <v>0</v>
      </c>
      <c r="CA821" s="5" t="n">
        <v>13.646</v>
      </c>
      <c r="CB821" s="5" t="n">
        <v>0</v>
      </c>
      <c r="CC821" s="5" t="n">
        <v>82.58799999999999</v>
      </c>
      <c r="CD821" s="5" t="n">
        <v>7.95</v>
      </c>
      <c r="CE821" s="5" t="n">
        <v>0</v>
      </c>
      <c r="CF821" s="5" t="n">
        <v>82.58799999999999</v>
      </c>
      <c r="CG821" s="5" t="n">
        <v>0</v>
      </c>
      <c r="CH821" s="5" t="n">
        <v>1</v>
      </c>
      <c r="CI821" s="5" t="n">
        <v>0</v>
      </c>
      <c r="CJ821" s="5" t="n">
        <v>0</v>
      </c>
      <c r="CK821" s="5" t="n">
        <v>0</v>
      </c>
      <c r="CL821" s="5" t="n">
        <v>0</v>
      </c>
      <c r="CM821" s="5" t="n">
        <v>0</v>
      </c>
      <c r="CN821" s="5" t="n">
        <v>0</v>
      </c>
      <c r="CO821" s="5" t="n">
        <v>0</v>
      </c>
      <c r="CP821" s="5" t="n">
        <v>0</v>
      </c>
      <c r="CQ821" s="5" t="n">
        <v>1.387</v>
      </c>
      <c r="CR821" s="5" t="n">
        <v>0</v>
      </c>
      <c r="CS821" s="5" t="n">
        <v>5.529</v>
      </c>
      <c r="CT821" s="5" t="n">
        <v>4.251</v>
      </c>
      <c r="CU821" s="5" t="n">
        <v>10.123</v>
      </c>
    </row>
    <row r="822">
      <c r="A822" s="5" t="inlineStr">
        <is>
          <t>TUV2021</t>
        </is>
      </c>
      <c r="B822" s="5" t="inlineStr">
        <is>
          <t>TUV</t>
        </is>
      </c>
      <c r="C822" s="5" t="inlineStr">
        <is>
          <t>TUV</t>
        </is>
      </c>
      <c r="D822" s="5" t="inlineStr">
        <is>
          <t>Tuvalu</t>
        </is>
      </c>
      <c r="E822" s="5" t="n">
        <v>2021</v>
      </c>
      <c r="F822" s="5" t="n">
        <v>0</v>
      </c>
      <c r="G822" s="5" t="n">
        <v>4.747</v>
      </c>
      <c r="H822" s="5" t="n">
        <v>1.143</v>
      </c>
      <c r="I822" s="5" t="n">
        <v>0</v>
      </c>
      <c r="J822" s="5" t="n">
        <v>4.747</v>
      </c>
      <c r="K822" s="5" t="n">
        <v>0</v>
      </c>
      <c r="L822" s="5" t="n">
        <v>1</v>
      </c>
      <c r="M822" s="5" t="n">
        <v>7.964</v>
      </c>
      <c r="N822" s="5" t="n">
        <v>3.43</v>
      </c>
      <c r="O822" s="5" t="n">
        <v>0</v>
      </c>
      <c r="P822" s="5" t="n">
        <v>7.964</v>
      </c>
      <c r="Q822" s="5" t="n">
        <v>0</v>
      </c>
      <c r="R822" s="5" t="n">
        <v>1</v>
      </c>
      <c r="S822" s="5" t="n">
        <v>10.464</v>
      </c>
      <c r="T822" s="5" t="n">
        <v>6.86</v>
      </c>
      <c r="U822" s="5" t="n">
        <v>0</v>
      </c>
      <c r="V822" s="5" t="n">
        <v>10.464</v>
      </c>
      <c r="W822" s="5" t="n">
        <v>0</v>
      </c>
      <c r="X822" s="5" t="n">
        <v>1</v>
      </c>
      <c r="Y822" s="5" t="n">
        <v>10.551</v>
      </c>
      <c r="Z822" s="5" t="n">
        <v>1.302</v>
      </c>
      <c r="AA822" s="5" t="n">
        <v>0</v>
      </c>
      <c r="AB822" s="5" t="n">
        <v>10.551</v>
      </c>
      <c r="AC822" s="5" t="n">
        <v>0</v>
      </c>
      <c r="AD822" s="5" t="n">
        <v>1</v>
      </c>
      <c r="AE822" s="5" t="n">
        <v>11.694</v>
      </c>
      <c r="AF822" s="5" t="n">
        <v>2.549</v>
      </c>
      <c r="AG822" s="5" t="n">
        <v>0</v>
      </c>
      <c r="AH822" s="5" t="n">
        <v>11.694</v>
      </c>
      <c r="AI822" s="5" t="n">
        <v>0</v>
      </c>
      <c r="AJ822" s="5" t="n">
        <v>1</v>
      </c>
      <c r="AK822" s="5" t="n">
        <v>18.554</v>
      </c>
      <c r="AL822" s="5" t="n">
        <v>9.627000000000001</v>
      </c>
      <c r="AM822" s="5" t="n">
        <v>0</v>
      </c>
      <c r="AN822" s="5" t="n">
        <v>18.554</v>
      </c>
      <c r="AO822" s="5" t="n">
        <v>0</v>
      </c>
      <c r="AP822" s="5" t="n">
        <v>1</v>
      </c>
      <c r="AQ822" s="5" t="n">
        <v>0.621</v>
      </c>
      <c r="AR822" s="5" t="n">
        <v>0.114</v>
      </c>
      <c r="AS822" s="5" t="n">
        <v>0</v>
      </c>
      <c r="AT822" s="5" t="n">
        <v>0.621</v>
      </c>
      <c r="AU822" s="5" t="n">
        <v>0</v>
      </c>
      <c r="AV822" s="5" t="n">
        <v>1</v>
      </c>
      <c r="AW822" s="5" t="n">
        <v>0.593</v>
      </c>
      <c r="AX822" s="5" t="n">
        <v>0.114</v>
      </c>
      <c r="AY822" s="5" t="n">
        <v>0</v>
      </c>
      <c r="AZ822" s="5" t="n">
        <v>0.593</v>
      </c>
      <c r="BA822" s="5" t="n">
        <v>0</v>
      </c>
      <c r="BB822" s="5" t="n">
        <v>1</v>
      </c>
      <c r="BC822" s="5" t="n">
        <v>0.44</v>
      </c>
      <c r="BD822" s="5" t="n">
        <v>0.114</v>
      </c>
      <c r="BE822" s="5" t="n">
        <v>0</v>
      </c>
      <c r="BF822" s="5" t="n">
        <v>0.44</v>
      </c>
      <c r="BG822" s="5" t="n">
        <v>0</v>
      </c>
      <c r="BH822" s="5" t="n">
        <v>1</v>
      </c>
      <c r="BI822" s="5" t="n">
        <v>0.5600000000000001</v>
      </c>
      <c r="BJ822" s="5" t="n">
        <v>0.114</v>
      </c>
      <c r="BK822" s="5" t="n">
        <v>0</v>
      </c>
      <c r="BL822" s="5" t="n">
        <v>0.5600000000000001</v>
      </c>
      <c r="BM822" s="5" t="n">
        <v>0</v>
      </c>
      <c r="BN822" s="5" t="n">
        <v>1</v>
      </c>
      <c r="BO822" s="5" t="n">
        <v>0</v>
      </c>
      <c r="BP822" s="5" t="n">
        <v>0</v>
      </c>
      <c r="BQ822" s="5" t="n">
        <v>0</v>
      </c>
      <c r="BR822" s="5" t="n">
        <v>0</v>
      </c>
      <c r="BS822" s="5" t="n">
        <v>1</v>
      </c>
      <c r="BT822" s="5" t="n">
        <v>0</v>
      </c>
      <c r="BU822" s="5" t="n">
        <v>0</v>
      </c>
      <c r="BV822" s="5" t="n">
        <v>0</v>
      </c>
      <c r="BW822" s="5" t="n">
        <v>0</v>
      </c>
      <c r="BX822" s="5" t="n">
        <v>1</v>
      </c>
      <c r="BY822" s="5" t="n">
        <v>11.787</v>
      </c>
      <c r="BZ822" s="5" t="n">
        <v>0</v>
      </c>
      <c r="CA822" s="5" t="n">
        <v>11.787</v>
      </c>
      <c r="CB822" s="5" t="n">
        <v>0</v>
      </c>
      <c r="CC822" s="5" t="n">
        <v>81.69499999999999</v>
      </c>
      <c r="CD822" s="5" t="n">
        <v>7.95</v>
      </c>
      <c r="CE822" s="5" t="n">
        <v>0</v>
      </c>
      <c r="CF822" s="5" t="n">
        <v>81.69499999999999</v>
      </c>
      <c r="CG822" s="5" t="n">
        <v>0</v>
      </c>
      <c r="CH822" s="5" t="n">
        <v>1</v>
      </c>
      <c r="CI822" s="5" t="n">
        <v>0</v>
      </c>
      <c r="CJ822" s="5" t="n">
        <v>0</v>
      </c>
      <c r="CK822" s="5" t="n">
        <v>0</v>
      </c>
      <c r="CL822" s="5" t="n">
        <v>0</v>
      </c>
      <c r="CM822" s="5" t="n">
        <v>0</v>
      </c>
      <c r="CN822" s="5" t="n">
        <v>0</v>
      </c>
      <c r="CO822" s="5" t="n">
        <v>0</v>
      </c>
      <c r="CP822" s="5" t="n">
        <v>0</v>
      </c>
      <c r="CQ822" s="5" t="n">
        <v>1.198</v>
      </c>
      <c r="CR822" s="5" t="n">
        <v>0</v>
      </c>
      <c r="CS822" s="5" t="n">
        <v>4.776</v>
      </c>
      <c r="CT822" s="5" t="n">
        <v>3.604</v>
      </c>
      <c r="CU822" s="5" t="n">
        <v>9.407999999999999</v>
      </c>
    </row>
    <row r="823">
      <c r="A823" s="5" t="inlineStr">
        <is>
          <t>TUV2022</t>
        </is>
      </c>
      <c r="B823" s="5" t="inlineStr">
        <is>
          <t>TUV</t>
        </is>
      </c>
      <c r="C823" s="5" t="inlineStr">
        <is>
          <t>TUV</t>
        </is>
      </c>
      <c r="D823" s="5" t="inlineStr">
        <is>
          <t>Tuvalu</t>
        </is>
      </c>
      <c r="E823" s="5" t="n">
        <v>2022</v>
      </c>
      <c r="F823" s="5" t="n">
        <v>0</v>
      </c>
      <c r="G823" s="5" t="n">
        <v>8.788</v>
      </c>
      <c r="H823" s="5" t="n">
        <v>1.235</v>
      </c>
      <c r="I823" s="5" t="n">
        <v>0</v>
      </c>
      <c r="J823" s="5" t="n">
        <v>8.788</v>
      </c>
      <c r="K823" s="5" t="n">
        <v>0</v>
      </c>
      <c r="L823" s="5" t="n">
        <v>1</v>
      </c>
      <c r="M823" s="5" t="n">
        <v>9.782999999999999</v>
      </c>
      <c r="N823" s="5" t="n">
        <v>3.704</v>
      </c>
      <c r="O823" s="5" t="n">
        <v>0</v>
      </c>
      <c r="P823" s="5" t="n">
        <v>9.782999999999999</v>
      </c>
      <c r="Q823" s="5" t="n">
        <v>0</v>
      </c>
      <c r="R823" s="5" t="n">
        <v>1</v>
      </c>
      <c r="S823" s="5" t="n">
        <v>14.962</v>
      </c>
      <c r="T823" s="5" t="n">
        <v>7.408</v>
      </c>
      <c r="U823" s="5" t="n">
        <v>0</v>
      </c>
      <c r="V823" s="5" t="n">
        <v>14.962</v>
      </c>
      <c r="W823" s="5" t="n">
        <v>0</v>
      </c>
      <c r="X823" s="5" t="n">
        <v>1</v>
      </c>
      <c r="Y823" s="5" t="n">
        <v>17.332</v>
      </c>
      <c r="Z823" s="5" t="n">
        <v>2.139</v>
      </c>
      <c r="AA823" s="5" t="n">
        <v>0</v>
      </c>
      <c r="AB823" s="5" t="n">
        <v>17.332</v>
      </c>
      <c r="AC823" s="5" t="n">
        <v>0</v>
      </c>
      <c r="AD823" s="5" t="n">
        <v>1</v>
      </c>
      <c r="AE823" s="5" t="n">
        <v>18.566</v>
      </c>
      <c r="AF823" s="5" t="n">
        <v>4.048</v>
      </c>
      <c r="AG823" s="5" t="n">
        <v>0</v>
      </c>
      <c r="AH823" s="5" t="n">
        <v>18.566</v>
      </c>
      <c r="AI823" s="5" t="n">
        <v>0</v>
      </c>
      <c r="AJ823" s="5" t="n">
        <v>1</v>
      </c>
      <c r="AK823" s="5" t="n">
        <v>25.974</v>
      </c>
      <c r="AL823" s="5" t="n">
        <v>13.478</v>
      </c>
      <c r="AM823" s="5" t="n">
        <v>0</v>
      </c>
      <c r="AN823" s="5" t="n">
        <v>25.974</v>
      </c>
      <c r="AO823" s="5" t="n">
        <v>0</v>
      </c>
      <c r="AP823" s="5" t="n">
        <v>1</v>
      </c>
      <c r="AQ823" s="5" t="n">
        <v>0.847</v>
      </c>
      <c r="AR823" s="5" t="n">
        <v>0.123</v>
      </c>
      <c r="AS823" s="5" t="n">
        <v>0</v>
      </c>
      <c r="AT823" s="5" t="n">
        <v>0.847</v>
      </c>
      <c r="AU823" s="5" t="n">
        <v>0</v>
      </c>
      <c r="AV823" s="5" t="n">
        <v>1</v>
      </c>
      <c r="AW823" s="5" t="n">
        <v>0.947</v>
      </c>
      <c r="AX823" s="5" t="n">
        <v>0.123</v>
      </c>
      <c r="AY823" s="5" t="n">
        <v>0</v>
      </c>
      <c r="AZ823" s="5" t="n">
        <v>0.947</v>
      </c>
      <c r="BA823" s="5" t="n">
        <v>0</v>
      </c>
      <c r="BB823" s="5" t="n">
        <v>1</v>
      </c>
      <c r="BC823" s="5" t="n">
        <v>0.589</v>
      </c>
      <c r="BD823" s="5" t="n">
        <v>0.123</v>
      </c>
      <c r="BE823" s="5" t="n">
        <v>0</v>
      </c>
      <c r="BF823" s="5" t="n">
        <v>0.589</v>
      </c>
      <c r="BG823" s="5" t="n">
        <v>0</v>
      </c>
      <c r="BH823" s="5" t="n">
        <v>1</v>
      </c>
      <c r="BI823" s="5" t="n">
        <v>0.6889999999999999</v>
      </c>
      <c r="BJ823" s="5" t="n">
        <v>0.123</v>
      </c>
      <c r="BK823" s="5" t="n">
        <v>0</v>
      </c>
      <c r="BL823" s="5" t="n">
        <v>0.6889999999999999</v>
      </c>
      <c r="BM823" s="5" t="n">
        <v>0</v>
      </c>
      <c r="BN823" s="5" t="n">
        <v>1</v>
      </c>
      <c r="BO823" s="5" t="n">
        <v>0</v>
      </c>
      <c r="BP823" s="5" t="n">
        <v>0</v>
      </c>
      <c r="BQ823" s="5" t="n">
        <v>0</v>
      </c>
      <c r="BR823" s="5" t="n">
        <v>0</v>
      </c>
      <c r="BS823" s="5" t="n">
        <v>1</v>
      </c>
      <c r="BT823" s="5" t="n">
        <v>0</v>
      </c>
      <c r="BU823" s="5" t="n">
        <v>0</v>
      </c>
      <c r="BV823" s="5" t="n">
        <v>0</v>
      </c>
      <c r="BW823" s="5" t="n">
        <v>0</v>
      </c>
      <c r="BX823" s="5" t="n">
        <v>1</v>
      </c>
      <c r="BY823" s="5" t="n">
        <v>12.729</v>
      </c>
      <c r="BZ823" s="5" t="n">
        <v>0</v>
      </c>
      <c r="CA823" s="5" t="n">
        <v>12.729</v>
      </c>
      <c r="CB823" s="5" t="n">
        <v>0</v>
      </c>
      <c r="CC823" s="5" t="n">
        <v>102.477</v>
      </c>
      <c r="CD823" s="5" t="n">
        <v>7.95</v>
      </c>
      <c r="CE823" s="5" t="n">
        <v>0</v>
      </c>
      <c r="CF823" s="5" t="n">
        <v>102.477</v>
      </c>
      <c r="CG823" s="5" t="n">
        <v>0</v>
      </c>
      <c r="CH823" s="5" t="n">
        <v>1</v>
      </c>
      <c r="CI823" s="5" t="n">
        <v>0</v>
      </c>
      <c r="CJ823" s="5" t="n">
        <v>0</v>
      </c>
      <c r="CK823" s="5" t="n">
        <v>0</v>
      </c>
      <c r="CL823" s="5" t="n">
        <v>0</v>
      </c>
      <c r="CM823" s="5" t="n">
        <v>0</v>
      </c>
      <c r="CN823" s="5" t="n">
        <v>0</v>
      </c>
      <c r="CO823" s="5" t="n">
        <v>0</v>
      </c>
      <c r="CP823" s="5" t="n">
        <v>0</v>
      </c>
      <c r="CQ823" s="5" t="n">
        <v>1.294</v>
      </c>
      <c r="CR823" s="5" t="n">
        <v>0</v>
      </c>
      <c r="CS823" s="5" t="n">
        <v>5.158</v>
      </c>
      <c r="CT823" s="5" t="n">
        <v>7.554</v>
      </c>
      <c r="CU823" s="5" t="n">
        <v>16.097</v>
      </c>
    </row>
    <row r="824">
      <c r="A824" s="5" t="inlineStr">
        <is>
          <t>TUV2023</t>
        </is>
      </c>
      <c r="B824" s="5" t="inlineStr">
        <is>
          <t>TUV</t>
        </is>
      </c>
      <c r="C824" s="5" t="inlineStr">
        <is>
          <t>TUV</t>
        </is>
      </c>
      <c r="D824" s="5" t="inlineStr">
        <is>
          <t>Tuvalu</t>
        </is>
      </c>
      <c r="E824" s="5" t="n">
        <v>2023</v>
      </c>
      <c r="F824" s="5" t="n">
        <v>0</v>
      </c>
      <c r="G824" s="5" t="n">
        <v>5.77</v>
      </c>
      <c r="H824" s="5" t="n">
        <v>1.286</v>
      </c>
      <c r="I824" s="5" t="n">
        <v>0</v>
      </c>
      <c r="J824" s="5" t="n">
        <v>5.77</v>
      </c>
      <c r="K824" s="5" t="n">
        <v>0</v>
      </c>
      <c r="L824" s="5" t="n">
        <v>1</v>
      </c>
      <c r="M824" s="5" t="n">
        <v>7.886</v>
      </c>
      <c r="N824" s="5" t="n">
        <v>3.857</v>
      </c>
      <c r="O824" s="5" t="n">
        <v>0</v>
      </c>
      <c r="P824" s="5" t="n">
        <v>7.886</v>
      </c>
      <c r="Q824" s="5" t="n">
        <v>0</v>
      </c>
      <c r="R824" s="5" t="n">
        <v>1</v>
      </c>
      <c r="S824" s="5" t="n">
        <v>12.198</v>
      </c>
      <c r="T824" s="5" t="n">
        <v>7.714</v>
      </c>
      <c r="U824" s="5" t="n">
        <v>0</v>
      </c>
      <c r="V824" s="5" t="n">
        <v>12.198</v>
      </c>
      <c r="W824" s="5" t="n">
        <v>0</v>
      </c>
      <c r="X824" s="5" t="n">
        <v>1</v>
      </c>
      <c r="Y824" s="5" t="n">
        <v>13.814</v>
      </c>
      <c r="Z824" s="5" t="n">
        <v>1.705</v>
      </c>
      <c r="AA824" s="5" t="n">
        <v>0</v>
      </c>
      <c r="AB824" s="5" t="n">
        <v>13.814</v>
      </c>
      <c r="AC824" s="5" t="n">
        <v>0</v>
      </c>
      <c r="AD824" s="5" t="n">
        <v>1</v>
      </c>
      <c r="AE824" s="5" t="n">
        <v>15.1</v>
      </c>
      <c r="AF824" s="5" t="n">
        <v>3.292</v>
      </c>
      <c r="AG824" s="5" t="n">
        <v>0</v>
      </c>
      <c r="AH824" s="5" t="n">
        <v>15.1</v>
      </c>
      <c r="AI824" s="5" t="n">
        <v>0</v>
      </c>
      <c r="AJ824" s="5" t="n">
        <v>1</v>
      </c>
      <c r="AK824" s="5" t="n">
        <v>22.814</v>
      </c>
      <c r="AL824" s="5" t="n">
        <v>11.838</v>
      </c>
      <c r="AM824" s="5" t="n">
        <v>0</v>
      </c>
      <c r="AN824" s="5" t="n">
        <v>22.814</v>
      </c>
      <c r="AO824" s="5" t="n">
        <v>0</v>
      </c>
      <c r="AP824" s="5" t="n">
        <v>1</v>
      </c>
      <c r="AQ824" s="5" t="n">
        <v>0.749</v>
      </c>
      <c r="AR824" s="5" t="n">
        <v>0.129</v>
      </c>
      <c r="AS824" s="5" t="n">
        <v>0</v>
      </c>
      <c r="AT824" s="5" t="n">
        <v>0.749</v>
      </c>
      <c r="AU824" s="5" t="n">
        <v>0</v>
      </c>
      <c r="AV824" s="5" t="n">
        <v>1</v>
      </c>
      <c r="AW824" s="5" t="n">
        <v>0.783</v>
      </c>
      <c r="AX824" s="5" t="n">
        <v>0.129</v>
      </c>
      <c r="AY824" s="5" t="n">
        <v>0</v>
      </c>
      <c r="AZ824" s="5" t="n">
        <v>0.783</v>
      </c>
      <c r="BA824" s="5" t="n">
        <v>0</v>
      </c>
      <c r="BB824" s="5" t="n">
        <v>1</v>
      </c>
      <c r="BC824" s="5" t="n">
        <v>0.527</v>
      </c>
      <c r="BD824" s="5" t="n">
        <v>0.129</v>
      </c>
      <c r="BE824" s="5" t="n">
        <v>0</v>
      </c>
      <c r="BF824" s="5" t="n">
        <v>0.527</v>
      </c>
      <c r="BG824" s="5" t="n">
        <v>0</v>
      </c>
      <c r="BH824" s="5" t="n">
        <v>1</v>
      </c>
      <c r="BI824" s="5" t="n">
        <v>0.64</v>
      </c>
      <c r="BJ824" s="5" t="n">
        <v>0.129</v>
      </c>
      <c r="BK824" s="5" t="n">
        <v>0</v>
      </c>
      <c r="BL824" s="5" t="n">
        <v>0.64</v>
      </c>
      <c r="BM824" s="5" t="n">
        <v>0</v>
      </c>
      <c r="BN824" s="5" t="n">
        <v>1</v>
      </c>
      <c r="BO824" s="5" t="n">
        <v>0</v>
      </c>
      <c r="BP824" s="5" t="n">
        <v>0</v>
      </c>
      <c r="BQ824" s="5" t="n">
        <v>0</v>
      </c>
      <c r="BR824" s="5" t="n">
        <v>0</v>
      </c>
      <c r="BS824" s="5" t="n">
        <v>1</v>
      </c>
      <c r="BT824" s="5" t="n">
        <v>0</v>
      </c>
      <c r="BU824" s="5" t="n">
        <v>0</v>
      </c>
      <c r="BV824" s="5" t="n">
        <v>0</v>
      </c>
      <c r="BW824" s="5" t="n">
        <v>0</v>
      </c>
      <c r="BX824" s="5" t="n">
        <v>1</v>
      </c>
      <c r="BY824" s="5" t="n">
        <v>13.254</v>
      </c>
      <c r="BZ824" s="5" t="n">
        <v>0</v>
      </c>
      <c r="CA824" s="5" t="n">
        <v>13.254</v>
      </c>
      <c r="CB824" s="5" t="n">
        <v>0</v>
      </c>
      <c r="CC824" s="5" t="n">
        <v>87.07899999999999</v>
      </c>
      <c r="CD824" s="5" t="n">
        <v>7.95</v>
      </c>
      <c r="CE824" s="5" t="n">
        <v>0</v>
      </c>
      <c r="CF824" s="5" t="n">
        <v>87.07899999999999</v>
      </c>
      <c r="CG824" s="5" t="n">
        <v>0</v>
      </c>
      <c r="CH824" s="5" t="n">
        <v>1</v>
      </c>
      <c r="CI824" s="5" t="n">
        <v>0</v>
      </c>
      <c r="CJ824" s="5" t="n">
        <v>0</v>
      </c>
      <c r="CK824" s="5" t="n">
        <v>0</v>
      </c>
      <c r="CL824" s="5" t="n">
        <v>0</v>
      </c>
      <c r="CM824" s="5" t="n">
        <v>0</v>
      </c>
      <c r="CN824" s="5" t="n">
        <v>0</v>
      </c>
      <c r="CO824" s="5" t="n">
        <v>0</v>
      </c>
      <c r="CP824" s="5" t="n">
        <v>0</v>
      </c>
      <c r="CQ824" s="5" t="n">
        <v>1.348</v>
      </c>
      <c r="CR824" s="5" t="n">
        <v>0</v>
      </c>
      <c r="CS824" s="5" t="n">
        <v>5.37</v>
      </c>
      <c r="CT824" s="5" t="n">
        <v>4.484</v>
      </c>
      <c r="CU824" s="5" t="n">
        <v>12.529</v>
      </c>
    </row>
    <row r="825">
      <c r="A825" s="5" t="inlineStr">
        <is>
          <t>TUV2024</t>
        </is>
      </c>
      <c r="B825" s="5" t="inlineStr">
        <is>
          <t>TUV</t>
        </is>
      </c>
      <c r="C825" s="5" t="inlineStr">
        <is>
          <t>TUV</t>
        </is>
      </c>
      <c r="D825" s="5" t="inlineStr">
        <is>
          <t>Tuvalu</t>
        </is>
      </c>
      <c r="E825" s="5" t="n">
        <v>2024</v>
      </c>
      <c r="F825" s="5" t="n">
        <v>0</v>
      </c>
      <c r="G825" s="5" t="n">
        <v>4.833</v>
      </c>
      <c r="H825" s="5" t="n">
        <v>1.324</v>
      </c>
      <c r="I825" s="5" t="n">
        <v>0</v>
      </c>
      <c r="J825" s="5" t="n">
        <v>4.833</v>
      </c>
      <c r="K825" s="5" t="n">
        <v>0</v>
      </c>
      <c r="L825" s="5" t="n">
        <v>1</v>
      </c>
      <c r="M825" s="5" t="n">
        <v>7.124</v>
      </c>
      <c r="N825" s="5" t="n">
        <v>3.971</v>
      </c>
      <c r="O825" s="5" t="n">
        <v>0</v>
      </c>
      <c r="P825" s="5" t="n">
        <v>7.124</v>
      </c>
      <c r="Q825" s="5" t="n">
        <v>0</v>
      </c>
      <c r="R825" s="5" t="n">
        <v>1</v>
      </c>
      <c r="S825" s="5" t="n">
        <v>11.451</v>
      </c>
      <c r="T825" s="5" t="n">
        <v>7.942</v>
      </c>
      <c r="U825" s="5" t="n">
        <v>0</v>
      </c>
      <c r="V825" s="5" t="n">
        <v>11.451</v>
      </c>
      <c r="W825" s="5" t="n">
        <v>0</v>
      </c>
      <c r="X825" s="5" t="n">
        <v>1</v>
      </c>
      <c r="Y825" s="5" t="n">
        <v>12.219</v>
      </c>
      <c r="Z825" s="5" t="n">
        <v>1.508</v>
      </c>
      <c r="AA825" s="5" t="n">
        <v>0</v>
      </c>
      <c r="AB825" s="5" t="n">
        <v>12.219</v>
      </c>
      <c r="AC825" s="5" t="n">
        <v>0</v>
      </c>
      <c r="AD825" s="5" t="n">
        <v>1</v>
      </c>
      <c r="AE825" s="5" t="n">
        <v>13.543</v>
      </c>
      <c r="AF825" s="5" t="n">
        <v>2.952</v>
      </c>
      <c r="AG825" s="5" t="n">
        <v>0</v>
      </c>
      <c r="AH825" s="5" t="n">
        <v>13.543</v>
      </c>
      <c r="AI825" s="5" t="n">
        <v>0</v>
      </c>
      <c r="AJ825" s="5" t="n">
        <v>1</v>
      </c>
      <c r="AK825" s="5" t="n">
        <v>21.484</v>
      </c>
      <c r="AL825" s="5" t="n">
        <v>11.148</v>
      </c>
      <c r="AM825" s="5" t="n">
        <v>0</v>
      </c>
      <c r="AN825" s="5" t="n">
        <v>21.484</v>
      </c>
      <c r="AO825" s="5" t="n">
        <v>0</v>
      </c>
      <c r="AP825" s="5" t="n">
        <v>1</v>
      </c>
      <c r="AQ825" s="5" t="n">
        <v>0.72</v>
      </c>
      <c r="AR825" s="5" t="n">
        <v>0.132</v>
      </c>
      <c r="AS825" s="5" t="n">
        <v>0</v>
      </c>
      <c r="AT825" s="5" t="n">
        <v>0.72</v>
      </c>
      <c r="AU825" s="5" t="n">
        <v>0</v>
      </c>
      <c r="AV825" s="5" t="n">
        <v>1</v>
      </c>
      <c r="AW825" s="5" t="n">
        <v>0.734</v>
      </c>
      <c r="AX825" s="5" t="n">
        <v>0.132</v>
      </c>
      <c r="AY825" s="5" t="n">
        <v>0</v>
      </c>
      <c r="AZ825" s="5" t="n">
        <v>0.734</v>
      </c>
      <c r="BA825" s="5" t="n">
        <v>0</v>
      </c>
      <c r="BB825" s="5" t="n">
        <v>1</v>
      </c>
      <c r="BC825" s="5" t="n">
        <v>0.51</v>
      </c>
      <c r="BD825" s="5" t="n">
        <v>0.132</v>
      </c>
      <c r="BE825" s="5" t="n">
        <v>0</v>
      </c>
      <c r="BF825" s="5" t="n">
        <v>0.51</v>
      </c>
      <c r="BG825" s="5" t="n">
        <v>0</v>
      </c>
      <c r="BH825" s="5" t="n">
        <v>1</v>
      </c>
      <c r="BI825" s="5" t="n">
        <v>0.652</v>
      </c>
      <c r="BJ825" s="5" t="n">
        <v>0.132</v>
      </c>
      <c r="BK825" s="5" t="n">
        <v>0</v>
      </c>
      <c r="BL825" s="5" t="n">
        <v>0.652</v>
      </c>
      <c r="BM825" s="5" t="n">
        <v>0</v>
      </c>
      <c r="BN825" s="5" t="n">
        <v>1</v>
      </c>
      <c r="BO825" s="5" t="n">
        <v>0</v>
      </c>
      <c r="BP825" s="5" t="n">
        <v>0</v>
      </c>
      <c r="BQ825" s="5" t="n">
        <v>0</v>
      </c>
      <c r="BR825" s="5" t="n">
        <v>0</v>
      </c>
      <c r="BS825" s="5" t="n">
        <v>1</v>
      </c>
      <c r="BT825" s="5" t="n">
        <v>0</v>
      </c>
      <c r="BU825" s="5" t="n">
        <v>0</v>
      </c>
      <c r="BV825" s="5" t="n">
        <v>0</v>
      </c>
      <c r="BW825" s="5" t="n">
        <v>0</v>
      </c>
      <c r="BX825" s="5" t="n">
        <v>1</v>
      </c>
      <c r="BY825" s="5" t="n">
        <v>13.646</v>
      </c>
      <c r="BZ825" s="5" t="n">
        <v>0</v>
      </c>
      <c r="CA825" s="5" t="n">
        <v>13.646</v>
      </c>
      <c r="CB825" s="5" t="n">
        <v>0</v>
      </c>
      <c r="CC825" s="5" t="n">
        <v>86.38500000000001</v>
      </c>
      <c r="CD825" s="5" t="n">
        <v>7.95</v>
      </c>
      <c r="CE825" s="5" t="n">
        <v>0</v>
      </c>
      <c r="CF825" s="5" t="n">
        <v>86.38500000000001</v>
      </c>
      <c r="CG825" s="5" t="n">
        <v>0</v>
      </c>
      <c r="CH825" s="5" t="n">
        <v>1</v>
      </c>
      <c r="CI825" s="5" t="n">
        <v>0</v>
      </c>
      <c r="CJ825" s="5" t="n">
        <v>0</v>
      </c>
      <c r="CK825" s="5" t="n">
        <v>0</v>
      </c>
      <c r="CL825" s="5" t="n">
        <v>0</v>
      </c>
      <c r="CM825" s="5" t="n">
        <v>0</v>
      </c>
      <c r="CN825" s="5" t="n">
        <v>0</v>
      </c>
      <c r="CO825" s="5" t="n">
        <v>0</v>
      </c>
      <c r="CP825" s="5" t="n">
        <v>0</v>
      </c>
      <c r="CQ825" s="5" t="n">
        <v>1.387</v>
      </c>
      <c r="CR825" s="5" t="n">
        <v>0</v>
      </c>
      <c r="CS825" s="5" t="n">
        <v>5.529</v>
      </c>
      <c r="CT825" s="5" t="n">
        <v>3.509</v>
      </c>
      <c r="CU825" s="5" t="n">
        <v>10.896</v>
      </c>
    </row>
    <row r="826">
      <c r="A826" s="5" t="inlineStr">
        <is>
          <t>UGA2021</t>
        </is>
      </c>
      <c r="B826" s="5" t="inlineStr">
        <is>
          <t>UGA</t>
        </is>
      </c>
      <c r="C826" s="5" t="inlineStr">
        <is>
          <t>UGA</t>
        </is>
      </c>
      <c r="D826" s="5" t="inlineStr">
        <is>
          <t>Uganda</t>
        </is>
      </c>
      <c r="E826" s="5" t="n">
        <v>2021</v>
      </c>
      <c r="F826" s="5" t="n">
        <v>0.18</v>
      </c>
      <c r="G826" s="5" t="n">
        <v>5.897</v>
      </c>
      <c r="H826" s="5" t="n">
        <v>1.143</v>
      </c>
      <c r="I826" s="5" t="n">
        <v>0</v>
      </c>
      <c r="J826" s="5" t="n">
        <v>5.897</v>
      </c>
      <c r="K826" s="5" t="n">
        <v>0</v>
      </c>
      <c r="L826" s="5" t="n">
        <v>1</v>
      </c>
      <c r="M826" s="5" t="n">
        <v>7.964</v>
      </c>
      <c r="N826" s="5" t="n">
        <v>3.43</v>
      </c>
      <c r="O826" s="5" t="n">
        <v>0</v>
      </c>
      <c r="P826" s="5" t="n">
        <v>7.964</v>
      </c>
      <c r="Q826" s="5" t="n">
        <v>0</v>
      </c>
      <c r="R826" s="5" t="n">
        <v>1</v>
      </c>
      <c r="S826" s="5" t="n">
        <v>11.613</v>
      </c>
      <c r="T826" s="5" t="n">
        <v>6.86</v>
      </c>
      <c r="U826" s="5" t="n">
        <v>0</v>
      </c>
      <c r="V826" s="5" t="n">
        <v>13.704</v>
      </c>
      <c r="W826" s="5" t="n">
        <v>0.18</v>
      </c>
      <c r="X826" s="5" t="n">
        <v>1</v>
      </c>
      <c r="Y826" s="5" t="n">
        <v>16.222</v>
      </c>
      <c r="Z826" s="5" t="n">
        <v>2.193</v>
      </c>
      <c r="AA826" s="5" t="n">
        <v>0</v>
      </c>
      <c r="AB826" s="5" t="n">
        <v>16.222</v>
      </c>
      <c r="AC826" s="5" t="n">
        <v>0</v>
      </c>
      <c r="AD826" s="5" t="n">
        <v>1</v>
      </c>
      <c r="AE826" s="5" t="n">
        <v>17.366</v>
      </c>
      <c r="AF826" s="5" t="n">
        <v>4.061</v>
      </c>
      <c r="AG826" s="5" t="n">
        <v>0</v>
      </c>
      <c r="AH826" s="5" t="n">
        <v>17.366</v>
      </c>
      <c r="AI826" s="5" t="n">
        <v>0</v>
      </c>
      <c r="AJ826" s="5" t="n">
        <v>1</v>
      </c>
      <c r="AK826" s="5" t="n">
        <v>24.226</v>
      </c>
      <c r="AL826" s="5" t="n">
        <v>12.902</v>
      </c>
      <c r="AM826" s="5" t="n">
        <v>0</v>
      </c>
      <c r="AN826" s="5" t="n">
        <v>28.586</v>
      </c>
      <c r="AO826" s="5" t="n">
        <v>0.18</v>
      </c>
      <c r="AP826" s="5" t="n">
        <v>1</v>
      </c>
      <c r="AQ826" s="5" t="n">
        <v>0.619</v>
      </c>
      <c r="AR826" s="5" t="n">
        <v>0.114</v>
      </c>
      <c r="AS826" s="5" t="n">
        <v>0.332</v>
      </c>
      <c r="AT826" s="5" t="n">
        <v>1.123</v>
      </c>
      <c r="AU826" s="5" t="n">
        <v>0.18</v>
      </c>
      <c r="AV826" s="5" t="n">
        <v>1</v>
      </c>
      <c r="AW826" s="5" t="n">
        <v>0.599</v>
      </c>
      <c r="AX826" s="5" t="n">
        <v>0.114</v>
      </c>
      <c r="AY826" s="5" t="n">
        <v>0.273</v>
      </c>
      <c r="AZ826" s="5" t="n">
        <v>1.029</v>
      </c>
      <c r="BA826" s="5" t="n">
        <v>0.18</v>
      </c>
      <c r="BB826" s="5" t="n">
        <v>1</v>
      </c>
      <c r="BC826" s="5" t="n">
        <v>0.439</v>
      </c>
      <c r="BD826" s="5" t="n">
        <v>0.114</v>
      </c>
      <c r="BE826" s="5" t="n">
        <v>0</v>
      </c>
      <c r="BF826" s="5" t="n">
        <v>0.518</v>
      </c>
      <c r="BG826" s="5" t="n">
        <v>0.18</v>
      </c>
      <c r="BH826" s="5" t="n">
        <v>1</v>
      </c>
      <c r="BI826" s="5" t="n">
        <v>0.505</v>
      </c>
      <c r="BJ826" s="5" t="n">
        <v>0.114</v>
      </c>
      <c r="BK826" s="5" t="n">
        <v>0.275</v>
      </c>
      <c r="BL826" s="5" t="n">
        <v>0.921</v>
      </c>
      <c r="BM826" s="5" t="n">
        <v>0.18</v>
      </c>
      <c r="BN826" s="5" t="n">
        <v>1</v>
      </c>
      <c r="BO826" s="5" t="n">
        <v>0</v>
      </c>
      <c r="BP826" s="5" t="n">
        <v>0</v>
      </c>
      <c r="BQ826" s="5" t="n">
        <v>0.097</v>
      </c>
      <c r="BR826" s="5" t="n">
        <v>0</v>
      </c>
      <c r="BS826" s="5" t="n">
        <v>0.833</v>
      </c>
      <c r="BT826" s="5" t="n">
        <v>0</v>
      </c>
      <c r="BU826" s="5" t="n">
        <v>0</v>
      </c>
      <c r="BV826" s="5" t="n">
        <v>0.208</v>
      </c>
      <c r="BW826" s="5" t="n">
        <v>0.18</v>
      </c>
      <c r="BX826" s="5" t="n">
        <v>1</v>
      </c>
      <c r="BY826" s="5" t="n">
        <v>11.787</v>
      </c>
      <c r="BZ826" s="5" t="n">
        <v>0</v>
      </c>
      <c r="CA826" s="5" t="n">
        <v>11.787</v>
      </c>
      <c r="CB826" s="5" t="n">
        <v>0</v>
      </c>
      <c r="CC826" s="5" t="n">
        <v>78.125</v>
      </c>
      <c r="CD826" s="5" t="n">
        <v>7.95</v>
      </c>
      <c r="CE826" s="5" t="n">
        <v>38.776</v>
      </c>
      <c r="CF826" s="5" t="n">
        <v>137.943</v>
      </c>
      <c r="CG826" s="5" t="n">
        <v>0.18</v>
      </c>
      <c r="CH826" s="5" t="n">
        <v>1</v>
      </c>
      <c r="CI826" s="5" t="n">
        <v>0</v>
      </c>
      <c r="CJ826" s="5" t="n">
        <v>0</v>
      </c>
      <c r="CK826" s="5" t="n">
        <v>0</v>
      </c>
      <c r="CL826" s="5" t="n">
        <v>0</v>
      </c>
      <c r="CM826" s="5" t="n">
        <v>0</v>
      </c>
      <c r="CN826" s="5" t="n">
        <v>0</v>
      </c>
      <c r="CO826" s="5" t="n">
        <v>0</v>
      </c>
      <c r="CP826" s="5" t="n">
        <v>0</v>
      </c>
      <c r="CQ826" s="5" t="n">
        <v>1.198</v>
      </c>
      <c r="CR826" s="5" t="n">
        <v>0</v>
      </c>
      <c r="CS826" s="5" t="n">
        <v>4.776</v>
      </c>
      <c r="CT826" s="5" t="n">
        <v>4.753</v>
      </c>
      <c r="CU826" s="5" t="n">
        <v>15.162</v>
      </c>
    </row>
    <row r="827">
      <c r="A827" s="5" t="inlineStr">
        <is>
          <t>UGA2022</t>
        </is>
      </c>
      <c r="B827" s="5" t="inlineStr">
        <is>
          <t>UGA</t>
        </is>
      </c>
      <c r="C827" s="5" t="inlineStr">
        <is>
          <t>UGA</t>
        </is>
      </c>
      <c r="D827" s="5" t="inlineStr">
        <is>
          <t>Uganda</t>
        </is>
      </c>
      <c r="E827" s="5" t="n">
        <v>2022</v>
      </c>
      <c r="F827" s="5" t="n">
        <v>0.18</v>
      </c>
      <c r="G827" s="5" t="n">
        <v>11.72</v>
      </c>
      <c r="H827" s="5" t="n">
        <v>1.235</v>
      </c>
      <c r="I827" s="5" t="n">
        <v>0</v>
      </c>
      <c r="J827" s="5" t="n">
        <v>11.72</v>
      </c>
      <c r="K827" s="5" t="n">
        <v>0</v>
      </c>
      <c r="L827" s="5" t="n">
        <v>1</v>
      </c>
      <c r="M827" s="5" t="n">
        <v>9.782999999999999</v>
      </c>
      <c r="N827" s="5" t="n">
        <v>3.704</v>
      </c>
      <c r="O827" s="5" t="n">
        <v>0</v>
      </c>
      <c r="P827" s="5" t="n">
        <v>9.782999999999999</v>
      </c>
      <c r="Q827" s="5" t="n">
        <v>0</v>
      </c>
      <c r="R827" s="5" t="n">
        <v>1</v>
      </c>
      <c r="S827" s="5" t="n">
        <v>17.893</v>
      </c>
      <c r="T827" s="5" t="n">
        <v>7.408</v>
      </c>
      <c r="U827" s="5" t="n">
        <v>0.238</v>
      </c>
      <c r="V827" s="5" t="n">
        <v>21.114</v>
      </c>
      <c r="W827" s="5" t="n">
        <v>0.18</v>
      </c>
      <c r="X827" s="5" t="n">
        <v>1</v>
      </c>
      <c r="Y827" s="5" t="n">
        <v>32.521</v>
      </c>
      <c r="Z827" s="5" t="n">
        <v>4.395</v>
      </c>
      <c r="AA827" s="5" t="n">
        <v>0</v>
      </c>
      <c r="AB827" s="5" t="n">
        <v>32.521</v>
      </c>
      <c r="AC827" s="5" t="n">
        <v>0</v>
      </c>
      <c r="AD827" s="5" t="n">
        <v>1</v>
      </c>
      <c r="AE827" s="5" t="n">
        <v>33.755</v>
      </c>
      <c r="AF827" s="5" t="n">
        <v>7.893</v>
      </c>
      <c r="AG827" s="5" t="n">
        <v>0</v>
      </c>
      <c r="AH827" s="5" t="n">
        <v>33.755</v>
      </c>
      <c r="AI827" s="5" t="n">
        <v>0</v>
      </c>
      <c r="AJ827" s="5" t="n">
        <v>1</v>
      </c>
      <c r="AK827" s="5" t="n">
        <v>41.163</v>
      </c>
      <c r="AL827" s="5" t="n">
        <v>21.923</v>
      </c>
      <c r="AM827" s="5" t="n">
        <v>0.548</v>
      </c>
      <c r="AN827" s="5" t="n">
        <v>48.573</v>
      </c>
      <c r="AO827" s="5" t="n">
        <v>0.18</v>
      </c>
      <c r="AP827" s="5" t="n">
        <v>1</v>
      </c>
      <c r="AQ827" s="5" t="n">
        <v>0.861</v>
      </c>
      <c r="AR827" s="5" t="n">
        <v>0.123</v>
      </c>
      <c r="AS827" s="5" t="n">
        <v>0.386</v>
      </c>
      <c r="AT827" s="5" t="n">
        <v>1.472</v>
      </c>
      <c r="AU827" s="5" t="n">
        <v>0.18</v>
      </c>
      <c r="AV827" s="5" t="n">
        <v>1</v>
      </c>
      <c r="AW827" s="5" t="n">
        <v>0.986</v>
      </c>
      <c r="AX827" s="5" t="n">
        <v>0.123</v>
      </c>
      <c r="AY827" s="5" t="n">
        <v>0.183</v>
      </c>
      <c r="AZ827" s="5" t="n">
        <v>1.38</v>
      </c>
      <c r="BA827" s="5" t="n">
        <v>0.18</v>
      </c>
      <c r="BB827" s="5" t="n">
        <v>1</v>
      </c>
      <c r="BC827" s="5" t="n">
        <v>0.598</v>
      </c>
      <c r="BD827" s="5" t="n">
        <v>0.123</v>
      </c>
      <c r="BE827" s="5" t="n">
        <v>0.008</v>
      </c>
      <c r="BF827" s="5" t="n">
        <v>0.705</v>
      </c>
      <c r="BG827" s="5" t="n">
        <v>0.18</v>
      </c>
      <c r="BH827" s="5" t="n">
        <v>1</v>
      </c>
      <c r="BI827" s="5" t="n">
        <v>0.612</v>
      </c>
      <c r="BJ827" s="5" t="n">
        <v>0.123</v>
      </c>
      <c r="BK827" s="5" t="n">
        <v>0.216</v>
      </c>
      <c r="BL827" s="5" t="n">
        <v>0.977</v>
      </c>
      <c r="BM827" s="5" t="n">
        <v>0.18</v>
      </c>
      <c r="BN827" s="5" t="n">
        <v>1</v>
      </c>
      <c r="BO827" s="5" t="n">
        <v>0</v>
      </c>
      <c r="BP827" s="5" t="n">
        <v>0</v>
      </c>
      <c r="BQ827" s="5" t="n">
        <v>0.102</v>
      </c>
      <c r="BR827" s="5" t="n">
        <v>0</v>
      </c>
      <c r="BS827" s="5" t="n">
        <v>0.833</v>
      </c>
      <c r="BT827" s="5" t="n">
        <v>0</v>
      </c>
      <c r="BU827" s="5" t="n">
        <v>0</v>
      </c>
      <c r="BV827" s="5" t="n">
        <v>0.222</v>
      </c>
      <c r="BW827" s="5" t="n">
        <v>0.18</v>
      </c>
      <c r="BX827" s="5" t="n">
        <v>1</v>
      </c>
      <c r="BY827" s="5" t="n">
        <v>12.729</v>
      </c>
      <c r="BZ827" s="5" t="n">
        <v>0</v>
      </c>
      <c r="CA827" s="5" t="n">
        <v>12.729</v>
      </c>
      <c r="CB827" s="5" t="n">
        <v>0</v>
      </c>
      <c r="CC827" s="5" t="n">
        <v>97.90000000000001</v>
      </c>
      <c r="CD827" s="5" t="n">
        <v>7.95</v>
      </c>
      <c r="CE827" s="5" t="n">
        <v>53.103</v>
      </c>
      <c r="CF827" s="5" t="n">
        <v>178.184</v>
      </c>
      <c r="CG827" s="5" t="n">
        <v>0.18</v>
      </c>
      <c r="CH827" s="5" t="n">
        <v>1</v>
      </c>
      <c r="CI827" s="5" t="n">
        <v>0</v>
      </c>
      <c r="CJ827" s="5" t="n">
        <v>0</v>
      </c>
      <c r="CK827" s="5" t="n">
        <v>0</v>
      </c>
      <c r="CL827" s="5" t="n">
        <v>0</v>
      </c>
      <c r="CM827" s="5" t="n">
        <v>0</v>
      </c>
      <c r="CN827" s="5" t="n">
        <v>0</v>
      </c>
      <c r="CO827" s="5" t="n">
        <v>0</v>
      </c>
      <c r="CP827" s="5" t="n">
        <v>0</v>
      </c>
      <c r="CQ827" s="5" t="n">
        <v>1.294</v>
      </c>
      <c r="CR827" s="5" t="n">
        <v>0</v>
      </c>
      <c r="CS827" s="5" t="n">
        <v>5.158</v>
      </c>
      <c r="CT827" s="5" t="n">
        <v>10.485</v>
      </c>
      <c r="CU827" s="5" t="n">
        <v>31.326</v>
      </c>
    </row>
    <row r="828">
      <c r="A828" s="5" t="inlineStr">
        <is>
          <t>UGA2023</t>
        </is>
      </c>
      <c r="B828" s="5" t="inlineStr">
        <is>
          <t>UGA</t>
        </is>
      </c>
      <c r="C828" s="5" t="inlineStr">
        <is>
          <t>UGA</t>
        </is>
      </c>
      <c r="D828" s="5" t="inlineStr">
        <is>
          <t>Uganda</t>
        </is>
      </c>
      <c r="E828" s="5" t="n">
        <v>2023</v>
      </c>
      <c r="F828" s="5" t="n">
        <v>0.18</v>
      </c>
      <c r="G828" s="5" t="n">
        <v>6.147</v>
      </c>
      <c r="H828" s="5" t="n">
        <v>1.286</v>
      </c>
      <c r="I828" s="5" t="n">
        <v>0</v>
      </c>
      <c r="J828" s="5" t="n">
        <v>6.147</v>
      </c>
      <c r="K828" s="5" t="n">
        <v>0</v>
      </c>
      <c r="L828" s="5" t="n">
        <v>1</v>
      </c>
      <c r="M828" s="5" t="n">
        <v>7.886</v>
      </c>
      <c r="N828" s="5" t="n">
        <v>3.857</v>
      </c>
      <c r="O828" s="5" t="n">
        <v>0</v>
      </c>
      <c r="P828" s="5" t="n">
        <v>7.886</v>
      </c>
      <c r="Q828" s="5" t="n">
        <v>0</v>
      </c>
      <c r="R828" s="5" t="n">
        <v>1</v>
      </c>
      <c r="S828" s="5" t="n">
        <v>12.575</v>
      </c>
      <c r="T828" s="5" t="n">
        <v>7.714</v>
      </c>
      <c r="U828" s="5" t="n">
        <v>0.251</v>
      </c>
      <c r="V828" s="5" t="n">
        <v>14.839</v>
      </c>
      <c r="W828" s="5" t="n">
        <v>0.18</v>
      </c>
      <c r="X828" s="5" t="n">
        <v>1</v>
      </c>
      <c r="Y828" s="5" t="n">
        <v>12.019</v>
      </c>
      <c r="Z828" s="5" t="n">
        <v>1.624</v>
      </c>
      <c r="AA828" s="5" t="n">
        <v>0</v>
      </c>
      <c r="AB828" s="5" t="n">
        <v>12.019</v>
      </c>
      <c r="AC828" s="5" t="n">
        <v>0</v>
      </c>
      <c r="AD828" s="5" t="n">
        <v>1</v>
      </c>
      <c r="AE828" s="5" t="n">
        <v>13.305</v>
      </c>
      <c r="AF828" s="5" t="n">
        <v>3.111</v>
      </c>
      <c r="AG828" s="5" t="n">
        <v>0</v>
      </c>
      <c r="AH828" s="5" t="n">
        <v>13.305</v>
      </c>
      <c r="AI828" s="5" t="n">
        <v>0</v>
      </c>
      <c r="AJ828" s="5" t="n">
        <v>1</v>
      </c>
      <c r="AK828" s="5" t="n">
        <v>21.019</v>
      </c>
      <c r="AL828" s="5" t="n">
        <v>11.194</v>
      </c>
      <c r="AM828" s="5" t="n">
        <v>0.419</v>
      </c>
      <c r="AN828" s="5" t="n">
        <v>24.802</v>
      </c>
      <c r="AO828" s="5" t="n">
        <v>0.18</v>
      </c>
      <c r="AP828" s="5" t="n">
        <v>1</v>
      </c>
      <c r="AQ828" s="5" t="n">
        <v>0.76</v>
      </c>
      <c r="AR828" s="5" t="n">
        <v>0.129</v>
      </c>
      <c r="AS828" s="5" t="n">
        <v>0.458</v>
      </c>
      <c r="AT828" s="5" t="n">
        <v>1.438</v>
      </c>
      <c r="AU828" s="5" t="n">
        <v>0.18</v>
      </c>
      <c r="AV828" s="5" t="n">
        <v>1</v>
      </c>
      <c r="AW828" s="5" t="n">
        <v>0.8110000000000001</v>
      </c>
      <c r="AX828" s="5" t="n">
        <v>0.129</v>
      </c>
      <c r="AY828" s="5" t="n">
        <v>0.292</v>
      </c>
      <c r="AZ828" s="5" t="n">
        <v>1.302</v>
      </c>
      <c r="BA828" s="5" t="n">
        <v>0.18</v>
      </c>
      <c r="BB828" s="5" t="n">
        <v>1</v>
      </c>
      <c r="BC828" s="5" t="n">
        <v>0.535</v>
      </c>
      <c r="BD828" s="5" t="n">
        <v>0.129</v>
      </c>
      <c r="BE828" s="5" t="n">
        <v>0.011</v>
      </c>
      <c r="BF828" s="5" t="n">
        <v>0.631</v>
      </c>
      <c r="BG828" s="5" t="n">
        <v>0.18</v>
      </c>
      <c r="BH828" s="5" t="n">
        <v>1</v>
      </c>
      <c r="BI828" s="5" t="n">
        <v>0.579</v>
      </c>
      <c r="BJ828" s="5" t="n">
        <v>0.129</v>
      </c>
      <c r="BK828" s="5" t="n">
        <v>0.259</v>
      </c>
      <c r="BL828" s="5" t="n">
        <v>0.97</v>
      </c>
      <c r="BM828" s="5" t="n">
        <v>0.18</v>
      </c>
      <c r="BN828" s="5" t="n">
        <v>1</v>
      </c>
      <c r="BO828" s="5" t="n">
        <v>0</v>
      </c>
      <c r="BP828" s="5" t="n">
        <v>0</v>
      </c>
      <c r="BQ828" s="5" t="n">
        <v>0.106</v>
      </c>
      <c r="BR828" s="5" t="n">
        <v>0</v>
      </c>
      <c r="BS828" s="5" t="n">
        <v>0.833</v>
      </c>
      <c r="BT828" s="5" t="n">
        <v>0</v>
      </c>
      <c r="BU828" s="5" t="n">
        <v>0</v>
      </c>
      <c r="BV828" s="5" t="n">
        <v>0.217</v>
      </c>
      <c r="BW828" s="5" t="n">
        <v>0.18</v>
      </c>
      <c r="BX828" s="5" t="n">
        <v>1</v>
      </c>
      <c r="BY828" s="5" t="n">
        <v>13.254</v>
      </c>
      <c r="BZ828" s="5" t="n">
        <v>0</v>
      </c>
      <c r="CA828" s="5" t="n">
        <v>13.254</v>
      </c>
      <c r="CB828" s="5" t="n">
        <v>0</v>
      </c>
      <c r="CC828" s="5" t="n">
        <v>83.248</v>
      </c>
      <c r="CD828" s="5" t="n">
        <v>7.95</v>
      </c>
      <c r="CE828" s="5" t="n">
        <v>65.199</v>
      </c>
      <c r="CF828" s="5" t="n">
        <v>171.745</v>
      </c>
      <c r="CG828" s="5" t="n">
        <v>0.18</v>
      </c>
      <c r="CH828" s="5" t="n">
        <v>1</v>
      </c>
      <c r="CI828" s="5" t="n">
        <v>0</v>
      </c>
      <c r="CJ828" s="5" t="n">
        <v>0</v>
      </c>
      <c r="CK828" s="5" t="n">
        <v>0</v>
      </c>
      <c r="CL828" s="5" t="n">
        <v>0</v>
      </c>
      <c r="CM828" s="5" t="n">
        <v>0</v>
      </c>
      <c r="CN828" s="5" t="n">
        <v>0</v>
      </c>
      <c r="CO828" s="5" t="n">
        <v>0</v>
      </c>
      <c r="CP828" s="5" t="n">
        <v>0</v>
      </c>
      <c r="CQ828" s="5" t="n">
        <v>1.348</v>
      </c>
      <c r="CR828" s="5" t="n">
        <v>0</v>
      </c>
      <c r="CS828" s="5" t="n">
        <v>5.37</v>
      </c>
      <c r="CT828" s="5" t="n">
        <v>4.861</v>
      </c>
      <c r="CU828" s="5" t="n">
        <v>11.622</v>
      </c>
    </row>
    <row r="829">
      <c r="A829" s="5" t="inlineStr">
        <is>
          <t>UGA2024</t>
        </is>
      </c>
      <c r="B829" s="5" t="inlineStr">
        <is>
          <t>UGA</t>
        </is>
      </c>
      <c r="C829" s="5" t="inlineStr">
        <is>
          <t>UGA</t>
        </is>
      </c>
      <c r="D829" s="5" t="inlineStr">
        <is>
          <t>Uganda</t>
        </is>
      </c>
      <c r="E829" s="5" t="n">
        <v>2024</v>
      </c>
      <c r="F829" s="5" t="n">
        <v>0.18</v>
      </c>
      <c r="G829" s="5" t="n">
        <v>5.575</v>
      </c>
      <c r="H829" s="5" t="n">
        <v>1.324</v>
      </c>
      <c r="I829" s="5" t="n">
        <v>0</v>
      </c>
      <c r="J829" s="5" t="n">
        <v>5.575</v>
      </c>
      <c r="K829" s="5" t="n">
        <v>0</v>
      </c>
      <c r="L829" s="5" t="n">
        <v>1</v>
      </c>
      <c r="M829" s="5" t="n">
        <v>7.124</v>
      </c>
      <c r="N829" s="5" t="n">
        <v>3.971</v>
      </c>
      <c r="O829" s="5" t="n">
        <v>0</v>
      </c>
      <c r="P829" s="5" t="n">
        <v>7.124</v>
      </c>
      <c r="Q829" s="5" t="n">
        <v>0</v>
      </c>
      <c r="R829" s="5" t="n">
        <v>1</v>
      </c>
      <c r="S829" s="5" t="n">
        <v>12.193</v>
      </c>
      <c r="T829" s="5" t="n">
        <v>7.942</v>
      </c>
      <c r="U829" s="5" t="n">
        <v>0.299</v>
      </c>
      <c r="V829" s="5" t="n">
        <v>14.388</v>
      </c>
      <c r="W829" s="5" t="n">
        <v>0.18</v>
      </c>
      <c r="X829" s="5" t="n">
        <v>1</v>
      </c>
      <c r="Y829" s="5" t="n">
        <v>10.789</v>
      </c>
      <c r="Z829" s="5" t="n">
        <v>1.458</v>
      </c>
      <c r="AA829" s="5" t="n">
        <v>0</v>
      </c>
      <c r="AB829" s="5" t="n">
        <v>10.789</v>
      </c>
      <c r="AC829" s="5" t="n">
        <v>0</v>
      </c>
      <c r="AD829" s="5" t="n">
        <v>1</v>
      </c>
      <c r="AE829" s="5" t="n">
        <v>12.112</v>
      </c>
      <c r="AF829" s="5" t="n">
        <v>2.832</v>
      </c>
      <c r="AG829" s="5" t="n">
        <v>0</v>
      </c>
      <c r="AH829" s="5" t="n">
        <v>12.112</v>
      </c>
      <c r="AI829" s="5" t="n">
        <v>0</v>
      </c>
      <c r="AJ829" s="5" t="n">
        <v>1</v>
      </c>
      <c r="AK829" s="5" t="n">
        <v>20.054</v>
      </c>
      <c r="AL829" s="5" t="n">
        <v>10.681</v>
      </c>
      <c r="AM829" s="5" t="n">
        <v>0.492</v>
      </c>
      <c r="AN829" s="5" t="n">
        <v>23.664</v>
      </c>
      <c r="AO829" s="5" t="n">
        <v>0.18</v>
      </c>
      <c r="AP829" s="5" t="n">
        <v>1</v>
      </c>
      <c r="AQ829" s="5" t="n">
        <v>0.724</v>
      </c>
      <c r="AR829" s="5" t="n">
        <v>0.132</v>
      </c>
      <c r="AS829" s="5" t="n">
        <v>0.513</v>
      </c>
      <c r="AT829" s="5" t="n">
        <v>1.425</v>
      </c>
      <c r="AU829" s="5" t="n">
        <v>0.18</v>
      </c>
      <c r="AV829" s="5" t="n">
        <v>1</v>
      </c>
      <c r="AW829" s="5" t="n">
        <v>0.75</v>
      </c>
      <c r="AX829" s="5" t="n">
        <v>0.132</v>
      </c>
      <c r="AY829" s="5" t="n">
        <v>0.36</v>
      </c>
      <c r="AZ829" s="5" t="n">
        <v>1.279</v>
      </c>
      <c r="BA829" s="5" t="n">
        <v>0.18</v>
      </c>
      <c r="BB829" s="5" t="n">
        <v>1</v>
      </c>
      <c r="BC829" s="5" t="n">
        <v>0.513</v>
      </c>
      <c r="BD829" s="5" t="n">
        <v>0.132</v>
      </c>
      <c r="BE829" s="5" t="n">
        <v>0.013</v>
      </c>
      <c r="BF829" s="5" t="n">
        <v>0.605</v>
      </c>
      <c r="BG829" s="5" t="n">
        <v>0.18</v>
      </c>
      <c r="BH829" s="5" t="n">
        <v>1</v>
      </c>
      <c r="BI829" s="5" t="n">
        <v>0.591</v>
      </c>
      <c r="BJ829" s="5" t="n">
        <v>0.132</v>
      </c>
      <c r="BK829" s="5" t="n">
        <v>0.272</v>
      </c>
      <c r="BL829" s="5" t="n">
        <v>0.994</v>
      </c>
      <c r="BM829" s="5" t="n">
        <v>0.18</v>
      </c>
      <c r="BN829" s="5" t="n">
        <v>1</v>
      </c>
      <c r="BO829" s="5" t="n">
        <v>0</v>
      </c>
      <c r="BP829" s="5" t="n">
        <v>0</v>
      </c>
      <c r="BQ829" s="5" t="n">
        <v>0.08400000000000001</v>
      </c>
      <c r="BR829" s="5" t="n">
        <v>0</v>
      </c>
      <c r="BS829" s="5" t="n">
        <v>0.833</v>
      </c>
      <c r="BT829" s="5" t="n">
        <v>0</v>
      </c>
      <c r="BU829" s="5" t="n">
        <v>0</v>
      </c>
      <c r="BV829" s="5" t="n">
        <v>0.195</v>
      </c>
      <c r="BW829" s="5" t="n">
        <v>0.18</v>
      </c>
      <c r="BX829" s="5" t="n">
        <v>1</v>
      </c>
      <c r="BY829" s="5" t="n">
        <v>13.646</v>
      </c>
      <c r="BZ829" s="5" t="n">
        <v>0</v>
      </c>
      <c r="CA829" s="5" t="n">
        <v>13.646</v>
      </c>
      <c r="CB829" s="5" t="n">
        <v>0</v>
      </c>
      <c r="CC829" s="5" t="n">
        <v>82.58799999999999</v>
      </c>
      <c r="CD829" s="5" t="n">
        <v>7.95</v>
      </c>
      <c r="CE829" s="5" t="n">
        <v>68.931</v>
      </c>
      <c r="CF829" s="5" t="n">
        <v>174.514</v>
      </c>
      <c r="CG829" s="5" t="n">
        <v>0.18</v>
      </c>
      <c r="CH829" s="5" t="n">
        <v>1</v>
      </c>
      <c r="CI829" s="5" t="n">
        <v>0</v>
      </c>
      <c r="CJ829" s="5" t="n">
        <v>0</v>
      </c>
      <c r="CK829" s="5" t="n">
        <v>0</v>
      </c>
      <c r="CL829" s="5" t="n">
        <v>0</v>
      </c>
      <c r="CM829" s="5" t="n">
        <v>0</v>
      </c>
      <c r="CN829" s="5" t="n">
        <v>0</v>
      </c>
      <c r="CO829" s="5" t="n">
        <v>0</v>
      </c>
      <c r="CP829" s="5" t="n">
        <v>0</v>
      </c>
      <c r="CQ829" s="5" t="n">
        <v>1.387</v>
      </c>
      <c r="CR829" s="5" t="n">
        <v>0</v>
      </c>
      <c r="CS829" s="5" t="n">
        <v>5.529</v>
      </c>
      <c r="CT829" s="5" t="n">
        <v>4.251</v>
      </c>
      <c r="CU829" s="5" t="n">
        <v>10.168</v>
      </c>
    </row>
    <row r="830">
      <c r="A830" s="5" t="inlineStr">
        <is>
          <t>UKR2021</t>
        </is>
      </c>
      <c r="B830" s="5" t="inlineStr">
        <is>
          <t>UKR</t>
        </is>
      </c>
      <c r="C830" s="5" t="inlineStr">
        <is>
          <t>UKR</t>
        </is>
      </c>
      <c r="D830" s="5" t="inlineStr">
        <is>
          <t>Ukraine</t>
        </is>
      </c>
      <c r="E830" s="5" t="n">
        <v>2021</v>
      </c>
      <c r="F830" s="5" t="n">
        <v>0.2</v>
      </c>
      <c r="G830" s="5" t="n">
        <v>4.082</v>
      </c>
      <c r="H830" s="5" t="n">
        <v>0.921</v>
      </c>
      <c r="I830" s="5" t="n">
        <v>0.027</v>
      </c>
      <c r="J830" s="5" t="n">
        <v>4.109</v>
      </c>
      <c r="K830" s="5" t="n">
        <v>0</v>
      </c>
      <c r="L830" s="5" t="n">
        <v>1</v>
      </c>
      <c r="M830" s="5" t="n">
        <v>6</v>
      </c>
      <c r="N830" s="5" t="n">
        <v>2.763</v>
      </c>
      <c r="O830" s="5" t="n">
        <v>0.028</v>
      </c>
      <c r="P830" s="5" t="n">
        <v>6.028</v>
      </c>
      <c r="Q830" s="5" t="n">
        <v>0</v>
      </c>
      <c r="R830" s="5" t="n">
        <v>1</v>
      </c>
      <c r="S830" s="5" t="n">
        <v>8.686999999999999</v>
      </c>
      <c r="T830" s="5" t="n">
        <v>5.526</v>
      </c>
      <c r="U830" s="5" t="n">
        <v>-0.639</v>
      </c>
      <c r="V830" s="5" t="n">
        <v>9.657</v>
      </c>
      <c r="W830" s="5" t="n">
        <v>0.2</v>
      </c>
      <c r="X830" s="5" t="n">
        <v>1</v>
      </c>
      <c r="Y830" s="5" t="n">
        <v>5.302</v>
      </c>
      <c r="Z830" s="5" t="n">
        <v>0.528</v>
      </c>
      <c r="AA830" s="5" t="n">
        <v>1.836</v>
      </c>
      <c r="AB830" s="5" t="n">
        <v>7.138</v>
      </c>
      <c r="AC830" s="5" t="n">
        <v>0</v>
      </c>
      <c r="AD830" s="5" t="n">
        <v>1</v>
      </c>
      <c r="AE830" s="5" t="n">
        <v>6.026</v>
      </c>
      <c r="AF830" s="5" t="n">
        <v>1.072</v>
      </c>
      <c r="AG830" s="5" t="n">
        <v>1.112</v>
      </c>
      <c r="AH830" s="5" t="n">
        <v>7.138</v>
      </c>
      <c r="AI830" s="5" t="n">
        <v>0</v>
      </c>
      <c r="AJ830" s="5" t="n">
        <v>1</v>
      </c>
      <c r="AK830" s="5" t="n">
        <v>10.371</v>
      </c>
      <c r="AL830" s="5" t="n">
        <v>4.636</v>
      </c>
      <c r="AM830" s="5" t="n">
        <v>-2.885</v>
      </c>
      <c r="AN830" s="5" t="n">
        <v>8.984</v>
      </c>
      <c r="AO830" s="5" t="n">
        <v>0</v>
      </c>
      <c r="AP830" s="5" t="n">
        <v>0</v>
      </c>
      <c r="AQ830" s="5" t="n">
        <v>0.619</v>
      </c>
      <c r="AR830" s="5" t="n">
        <v>0.114</v>
      </c>
      <c r="AS830" s="5" t="n">
        <v>0.274</v>
      </c>
      <c r="AT830" s="5" t="n">
        <v>1.072</v>
      </c>
      <c r="AU830" s="5" t="n">
        <v>0.2</v>
      </c>
      <c r="AV830" s="5" t="n">
        <v>1</v>
      </c>
      <c r="AW830" s="5" t="n">
        <v>0.599</v>
      </c>
      <c r="AX830" s="5" t="n">
        <v>0.114</v>
      </c>
      <c r="AY830" s="5" t="n">
        <v>0.26</v>
      </c>
      <c r="AZ830" s="5" t="n">
        <v>1.031</v>
      </c>
      <c r="BA830" s="5" t="n">
        <v>0.2</v>
      </c>
      <c r="BB830" s="5" t="n">
        <v>1</v>
      </c>
      <c r="BC830" s="5" t="n">
        <v>0.439</v>
      </c>
      <c r="BD830" s="5" t="n">
        <v>0.114</v>
      </c>
      <c r="BE830" s="5" t="n">
        <v>0.063</v>
      </c>
      <c r="BF830" s="5" t="n">
        <v>0.602</v>
      </c>
      <c r="BG830" s="5" t="n">
        <v>0.2</v>
      </c>
      <c r="BH830" s="5" t="n">
        <v>1</v>
      </c>
      <c r="BI830" s="5" t="n">
        <v>0.505</v>
      </c>
      <c r="BJ830" s="5" t="n">
        <v>0.114</v>
      </c>
      <c r="BK830" s="5" t="n">
        <v>0</v>
      </c>
      <c r="BL830" s="5" t="n">
        <v>0.606</v>
      </c>
      <c r="BM830" s="5" t="n">
        <v>0.2</v>
      </c>
      <c r="BN830" s="5" t="n">
        <v>1</v>
      </c>
      <c r="BO830" s="5" t="n">
        <v>0</v>
      </c>
      <c r="BP830" s="5" t="n">
        <v>0</v>
      </c>
      <c r="BQ830" s="5" t="n">
        <v>0</v>
      </c>
      <c r="BR830" s="5" t="n">
        <v>0</v>
      </c>
      <c r="BS830" s="5" t="n">
        <v>1</v>
      </c>
      <c r="BT830" s="5" t="n">
        <v>0</v>
      </c>
      <c r="BU830" s="5" t="n">
        <v>-0.032</v>
      </c>
      <c r="BV830" s="5" t="n">
        <v>0.057</v>
      </c>
      <c r="BW830" s="5" t="n">
        <v>0</v>
      </c>
      <c r="BX830" s="5" t="n">
        <v>1</v>
      </c>
      <c r="BY830" s="5" t="n">
        <v>11.787</v>
      </c>
      <c r="BZ830" s="5" t="n">
        <v>0</v>
      </c>
      <c r="CA830" s="5" t="n">
        <v>11.787</v>
      </c>
      <c r="CB830" s="5" t="n">
        <v>0</v>
      </c>
      <c r="CC830" s="5" t="n">
        <v>78.125</v>
      </c>
      <c r="CD830" s="5" t="n">
        <v>7.95</v>
      </c>
      <c r="CE830" s="5" t="n">
        <v>0.751</v>
      </c>
      <c r="CF830" s="5" t="n">
        <v>94.651</v>
      </c>
      <c r="CG830" s="5" t="n">
        <v>0.2</v>
      </c>
      <c r="CH830" s="5" t="n">
        <v>1</v>
      </c>
      <c r="CI830" s="5" t="n">
        <v>0</v>
      </c>
      <c r="CJ830" s="5" t="n">
        <v>0</v>
      </c>
      <c r="CK830" s="5" t="n">
        <v>0</v>
      </c>
      <c r="CL830" s="5" t="n">
        <v>0.18</v>
      </c>
      <c r="CM830" s="5" t="n">
        <v>0</v>
      </c>
      <c r="CN830" s="5" t="n">
        <v>0</v>
      </c>
      <c r="CO830" s="5" t="n">
        <v>0</v>
      </c>
      <c r="CP830" s="5" t="n">
        <v>0.389</v>
      </c>
      <c r="CQ830" s="5" t="n">
        <v>1.198</v>
      </c>
      <c r="CR830" s="5" t="n">
        <v>0.733</v>
      </c>
      <c r="CS830" s="5" t="n">
        <v>4.823</v>
      </c>
      <c r="CT830" s="5" t="n">
        <v>4.41</v>
      </c>
      <c r="CU830" s="5" t="n">
        <v>15.162</v>
      </c>
    </row>
    <row r="831">
      <c r="A831" s="5" t="inlineStr">
        <is>
          <t>UKR2022</t>
        </is>
      </c>
      <c r="B831" s="5" t="inlineStr">
        <is>
          <t>UKR</t>
        </is>
      </c>
      <c r="C831" s="5" t="inlineStr">
        <is>
          <t>UKR</t>
        </is>
      </c>
      <c r="D831" s="5" t="inlineStr">
        <is>
          <t>Ukraine</t>
        </is>
      </c>
      <c r="E831" s="5" t="n">
        <v>2022</v>
      </c>
      <c r="F831" s="5" t="n">
        <v>0.2</v>
      </c>
      <c r="G831" s="5" t="n">
        <v>3.588</v>
      </c>
      <c r="H831" s="5" t="n">
        <v>0.8179999999999999</v>
      </c>
      <c r="I831" s="5" t="n">
        <v>0.083</v>
      </c>
      <c r="J831" s="5" t="n">
        <v>3.671</v>
      </c>
      <c r="K831" s="5" t="n">
        <v>0</v>
      </c>
      <c r="L831" s="5" t="n">
        <v>1</v>
      </c>
      <c r="M831" s="5" t="n">
        <v>5.3</v>
      </c>
      <c r="N831" s="5" t="n">
        <v>2.453</v>
      </c>
      <c r="O831" s="5" t="n">
        <v>0.08400000000000001</v>
      </c>
      <c r="P831" s="5" t="n">
        <v>5.384</v>
      </c>
      <c r="Q831" s="5" t="n">
        <v>0</v>
      </c>
      <c r="R831" s="5" t="n">
        <v>1</v>
      </c>
      <c r="S831" s="5" t="n">
        <v>7.677</v>
      </c>
      <c r="T831" s="5" t="n">
        <v>4.906</v>
      </c>
      <c r="U831" s="5" t="n">
        <v>-0.351</v>
      </c>
      <c r="V831" s="5" t="n">
        <v>8.663</v>
      </c>
      <c r="W831" s="5" t="n">
        <v>0.2</v>
      </c>
      <c r="X831" s="5" t="n">
        <v>1</v>
      </c>
      <c r="Y831" s="5" t="n">
        <v>5.91</v>
      </c>
      <c r="Z831" s="5" t="n">
        <v>0.588</v>
      </c>
      <c r="AA831" s="5" t="n">
        <v>1.843</v>
      </c>
      <c r="AB831" s="5" t="n">
        <v>7.753</v>
      </c>
      <c r="AC831" s="5" t="n">
        <v>0</v>
      </c>
      <c r="AD831" s="5" t="n">
        <v>1</v>
      </c>
      <c r="AE831" s="5" t="n">
        <v>6.632</v>
      </c>
      <c r="AF831" s="5" t="n">
        <v>1.18</v>
      </c>
      <c r="AG831" s="5" t="n">
        <v>9.459</v>
      </c>
      <c r="AH831" s="5" t="n">
        <v>16.09</v>
      </c>
      <c r="AI831" s="5" t="n">
        <v>0</v>
      </c>
      <c r="AJ831" s="5" t="n">
        <v>1</v>
      </c>
      <c r="AK831" s="5" t="n">
        <v>10.964</v>
      </c>
      <c r="AL831" s="5" t="n">
        <v>4.901</v>
      </c>
      <c r="AM831" s="5" t="n">
        <v>-3.614</v>
      </c>
      <c r="AN831" s="5" t="n">
        <v>8.82</v>
      </c>
      <c r="AO831" s="5" t="n">
        <v>0</v>
      </c>
      <c r="AP831" s="5" t="n">
        <v>0</v>
      </c>
      <c r="AQ831" s="5" t="n">
        <v>0.861</v>
      </c>
      <c r="AR831" s="5" t="n">
        <v>0.123</v>
      </c>
      <c r="AS831" s="5" t="n">
        <v>0.275</v>
      </c>
      <c r="AT831" s="5" t="n">
        <v>1.364</v>
      </c>
      <c r="AU831" s="5" t="n">
        <v>0.2</v>
      </c>
      <c r="AV831" s="5" t="n">
        <v>1</v>
      </c>
      <c r="AW831" s="5" t="n">
        <v>0.986</v>
      </c>
      <c r="AX831" s="5" t="n">
        <v>0.123</v>
      </c>
      <c r="AY831" s="5" t="n">
        <v>0.232</v>
      </c>
      <c r="AZ831" s="5" t="n">
        <v>1.462</v>
      </c>
      <c r="BA831" s="5" t="n">
        <v>0.2</v>
      </c>
      <c r="BB831" s="5" t="n">
        <v>1</v>
      </c>
      <c r="BC831" s="5" t="n">
        <v>0.598</v>
      </c>
      <c r="BD831" s="5" t="n">
        <v>0.123</v>
      </c>
      <c r="BE831" s="5" t="n">
        <v>0.124</v>
      </c>
      <c r="BF831" s="5" t="n">
        <v>0.866</v>
      </c>
      <c r="BG831" s="5" t="n">
        <v>0.2</v>
      </c>
      <c r="BH831" s="5" t="n">
        <v>1</v>
      </c>
      <c r="BI831" s="5" t="n">
        <v>0.612</v>
      </c>
      <c r="BJ831" s="5" t="n">
        <v>0.123</v>
      </c>
      <c r="BK831" s="5" t="n">
        <v>0.008999999999999999</v>
      </c>
      <c r="BL831" s="5" t="n">
        <v>0.735</v>
      </c>
      <c r="BM831" s="5" t="n">
        <v>0.2</v>
      </c>
      <c r="BN831" s="5" t="n">
        <v>1</v>
      </c>
      <c r="BO831" s="5" t="n">
        <v>0</v>
      </c>
      <c r="BP831" s="5" t="n">
        <v>-0.007</v>
      </c>
      <c r="BQ831" s="5" t="n">
        <v>0</v>
      </c>
      <c r="BR831" s="5" t="n">
        <v>0</v>
      </c>
      <c r="BS831" s="5" t="n">
        <v>1</v>
      </c>
      <c r="BT831" s="5" t="n">
        <v>0</v>
      </c>
      <c r="BU831" s="5" t="n">
        <v>-0.035</v>
      </c>
      <c r="BV831" s="5" t="n">
        <v>0.049</v>
      </c>
      <c r="BW831" s="5" t="n">
        <v>0</v>
      </c>
      <c r="BX831" s="5" t="n">
        <v>1</v>
      </c>
      <c r="BY831" s="5" t="n">
        <v>12.729</v>
      </c>
      <c r="BZ831" s="5" t="n">
        <v>0</v>
      </c>
      <c r="CA831" s="5" t="n">
        <v>12.729</v>
      </c>
      <c r="CB831" s="5" t="n">
        <v>0</v>
      </c>
      <c r="CC831" s="5" t="n">
        <v>97.90000000000001</v>
      </c>
      <c r="CD831" s="5" t="n">
        <v>7.95</v>
      </c>
      <c r="CE831" s="5" t="n">
        <v>2.647</v>
      </c>
      <c r="CF831" s="5" t="n">
        <v>118.897</v>
      </c>
      <c r="CG831" s="5" t="n">
        <v>0.2</v>
      </c>
      <c r="CH831" s="5" t="n">
        <v>1</v>
      </c>
      <c r="CI831" s="5" t="n">
        <v>0</v>
      </c>
      <c r="CJ831" s="5" t="n">
        <v>0</v>
      </c>
      <c r="CK831" s="5" t="n">
        <v>0</v>
      </c>
      <c r="CL831" s="5" t="n">
        <v>0.195</v>
      </c>
      <c r="CM831" s="5" t="n">
        <v>0</v>
      </c>
      <c r="CN831" s="5" t="n">
        <v>0</v>
      </c>
      <c r="CO831" s="5" t="n">
        <v>0</v>
      </c>
      <c r="CP831" s="5" t="n">
        <v>0.675</v>
      </c>
      <c r="CQ831" s="5" t="n">
        <v>1.294</v>
      </c>
      <c r="CR831" s="5" t="n">
        <v>0.83</v>
      </c>
      <c r="CS831" s="5" t="n">
        <v>5.209</v>
      </c>
      <c r="CT831" s="5" t="n">
        <v>5.842</v>
      </c>
      <c r="CU831" s="5" t="n">
        <v>31.326</v>
      </c>
    </row>
    <row r="832">
      <c r="A832" s="5" t="inlineStr">
        <is>
          <t>UKR2023</t>
        </is>
      </c>
      <c r="B832" s="5" t="inlineStr">
        <is>
          <t>UKR</t>
        </is>
      </c>
      <c r="C832" s="5" t="inlineStr">
        <is>
          <t>UKR</t>
        </is>
      </c>
      <c r="D832" s="5" t="inlineStr">
        <is>
          <t>Ukraine</t>
        </is>
      </c>
      <c r="E832" s="5" t="n">
        <v>2023</v>
      </c>
      <c r="F832" s="5" t="n">
        <v>0.2</v>
      </c>
      <c r="G832" s="5" t="n">
        <v>2.767</v>
      </c>
      <c r="H832" s="5" t="n">
        <v>0.824</v>
      </c>
      <c r="I832" s="5" t="n">
        <v>0.07099999999999999</v>
      </c>
      <c r="J832" s="5" t="n">
        <v>2.838</v>
      </c>
      <c r="K832" s="5" t="n">
        <v>0</v>
      </c>
      <c r="L832" s="5" t="n">
        <v>1</v>
      </c>
      <c r="M832" s="5" t="n">
        <v>4.572</v>
      </c>
      <c r="N832" s="5" t="n">
        <v>2.471</v>
      </c>
      <c r="O832" s="5" t="n">
        <v>0.073</v>
      </c>
      <c r="P832" s="5" t="n">
        <v>4.645</v>
      </c>
      <c r="Q832" s="5" t="n">
        <v>0</v>
      </c>
      <c r="R832" s="5" t="n">
        <v>1</v>
      </c>
      <c r="S832" s="5" t="n">
        <v>6.885</v>
      </c>
      <c r="T832" s="5" t="n">
        <v>4.941</v>
      </c>
      <c r="U832" s="5" t="n">
        <v>-0.196</v>
      </c>
      <c r="V832" s="5" t="n">
        <v>7.852</v>
      </c>
      <c r="W832" s="5" t="n">
        <v>0.2</v>
      </c>
      <c r="X832" s="5" t="n">
        <v>1</v>
      </c>
      <c r="Y832" s="5" t="n">
        <v>5.899</v>
      </c>
      <c r="Z832" s="5" t="n">
        <v>0.587</v>
      </c>
      <c r="AA832" s="5" t="n">
        <v>2.113</v>
      </c>
      <c r="AB832" s="5" t="n">
        <v>8.012</v>
      </c>
      <c r="AC832" s="5" t="n">
        <v>0</v>
      </c>
      <c r="AD832" s="5" t="n">
        <v>1</v>
      </c>
      <c r="AE832" s="5" t="n">
        <v>6.679</v>
      </c>
      <c r="AF832" s="5" t="n">
        <v>1.189</v>
      </c>
      <c r="AG832" s="5" t="n">
        <v>1.127</v>
      </c>
      <c r="AH832" s="5" t="n">
        <v>7.807</v>
      </c>
      <c r="AI832" s="5" t="n">
        <v>0</v>
      </c>
      <c r="AJ832" s="5" t="n">
        <v>1</v>
      </c>
      <c r="AK832" s="5" t="n">
        <v>11.364</v>
      </c>
      <c r="AL832" s="5" t="n">
        <v>5.08</v>
      </c>
      <c r="AM832" s="5" t="n">
        <v>-5.279</v>
      </c>
      <c r="AN832" s="5" t="n">
        <v>7.302</v>
      </c>
      <c r="AO832" s="5" t="n">
        <v>0</v>
      </c>
      <c r="AP832" s="5" t="n">
        <v>0</v>
      </c>
      <c r="AQ832" s="5" t="n">
        <v>0.76</v>
      </c>
      <c r="AR832" s="5" t="n">
        <v>0.129</v>
      </c>
      <c r="AS832" s="5" t="n">
        <v>0.391</v>
      </c>
      <c r="AT832" s="5" t="n">
        <v>1.381</v>
      </c>
      <c r="AU832" s="5" t="n">
        <v>0.2</v>
      </c>
      <c r="AV832" s="5" t="n">
        <v>1</v>
      </c>
      <c r="AW832" s="5" t="n">
        <v>0.8110000000000001</v>
      </c>
      <c r="AX832" s="5" t="n">
        <v>0.129</v>
      </c>
      <c r="AY832" s="5" t="n">
        <v>0.348</v>
      </c>
      <c r="AZ832" s="5" t="n">
        <v>1.392</v>
      </c>
      <c r="BA832" s="5" t="n">
        <v>0.2</v>
      </c>
      <c r="BB832" s="5" t="n">
        <v>1</v>
      </c>
      <c r="BC832" s="5" t="n">
        <v>0.535</v>
      </c>
      <c r="BD832" s="5" t="n">
        <v>0.129</v>
      </c>
      <c r="BE832" s="5" t="n">
        <v>0.05</v>
      </c>
      <c r="BF832" s="5" t="n">
        <v>0.701</v>
      </c>
      <c r="BG832" s="5" t="n">
        <v>0.2</v>
      </c>
      <c r="BH832" s="5" t="n">
        <v>1</v>
      </c>
      <c r="BI832" s="5" t="n">
        <v>0.579</v>
      </c>
      <c r="BJ832" s="5" t="n">
        <v>0.129</v>
      </c>
      <c r="BK832" s="5" t="n">
        <v>0.013</v>
      </c>
      <c r="BL832" s="5" t="n">
        <v>0.695</v>
      </c>
      <c r="BM832" s="5" t="n">
        <v>0.2</v>
      </c>
      <c r="BN832" s="5" t="n">
        <v>1</v>
      </c>
      <c r="BO832" s="5" t="n">
        <v>0</v>
      </c>
      <c r="BP832" s="5" t="n">
        <v>-0.007</v>
      </c>
      <c r="BQ832" s="5" t="n">
        <v>0</v>
      </c>
      <c r="BR832" s="5" t="n">
        <v>0</v>
      </c>
      <c r="BS832" s="5" t="n">
        <v>1</v>
      </c>
      <c r="BT832" s="5" t="n">
        <v>0</v>
      </c>
      <c r="BU832" s="5" t="n">
        <v>-0.035</v>
      </c>
      <c r="BV832" s="5" t="n">
        <v>0.065</v>
      </c>
      <c r="BW832" s="5" t="n">
        <v>0</v>
      </c>
      <c r="BX832" s="5" t="n">
        <v>1</v>
      </c>
      <c r="BY832" s="5" t="n">
        <v>13.254</v>
      </c>
      <c r="BZ832" s="5" t="n">
        <v>0</v>
      </c>
      <c r="CA832" s="5" t="n">
        <v>13.254</v>
      </c>
      <c r="CB832" s="5" t="n">
        <v>0</v>
      </c>
      <c r="CC832" s="5" t="n">
        <v>83.248</v>
      </c>
      <c r="CD832" s="5" t="n">
        <v>7.95</v>
      </c>
      <c r="CE832" s="5" t="n">
        <v>2.897</v>
      </c>
      <c r="CF832" s="5" t="n">
        <v>101.135</v>
      </c>
      <c r="CG832" s="5" t="n">
        <v>0.2</v>
      </c>
      <c r="CH832" s="5" t="n">
        <v>1</v>
      </c>
      <c r="CI832" s="5" t="n">
        <v>0</v>
      </c>
      <c r="CJ832" s="5" t="n">
        <v>0</v>
      </c>
      <c r="CK832" s="5" t="n">
        <v>0</v>
      </c>
      <c r="CL832" s="5" t="n">
        <v>0.203</v>
      </c>
      <c r="CM832" s="5" t="n">
        <v>0</v>
      </c>
      <c r="CN832" s="5" t="n">
        <v>0</v>
      </c>
      <c r="CO832" s="5" t="n">
        <v>0</v>
      </c>
      <c r="CP832" s="5" t="n">
        <v>0.719</v>
      </c>
      <c r="CQ832" s="5" t="n">
        <v>1.348</v>
      </c>
      <c r="CR832" s="5" t="n">
        <v>0.786</v>
      </c>
      <c r="CS832" s="5" t="n">
        <v>5.424</v>
      </c>
      <c r="CT832" s="5" t="n">
        <v>3.466</v>
      </c>
      <c r="CU832" s="5" t="n">
        <v>11.622</v>
      </c>
    </row>
    <row r="833">
      <c r="A833" s="5" t="inlineStr">
        <is>
          <t>UKR2024</t>
        </is>
      </c>
      <c r="B833" s="5" t="inlineStr">
        <is>
          <t>UKR</t>
        </is>
      </c>
      <c r="C833" s="5" t="inlineStr">
        <is>
          <t>UKR</t>
        </is>
      </c>
      <c r="D833" s="5" t="inlineStr">
        <is>
          <t>Ukraine</t>
        </is>
      </c>
      <c r="E833" s="5" t="n">
        <v>2024</v>
      </c>
      <c r="F833" s="5" t="n">
        <v>0.2</v>
      </c>
      <c r="G833" s="5" t="n">
        <v>2.696</v>
      </c>
      <c r="H833" s="5" t="n">
        <v>0.848</v>
      </c>
      <c r="I833" s="5" t="n">
        <v>0.06900000000000001</v>
      </c>
      <c r="J833" s="5" t="n">
        <v>2.765</v>
      </c>
      <c r="K833" s="5" t="n">
        <v>0</v>
      </c>
      <c r="L833" s="5" t="n">
        <v>1</v>
      </c>
      <c r="M833" s="5" t="n">
        <v>4.427</v>
      </c>
      <c r="N833" s="5" t="n">
        <v>2.544</v>
      </c>
      <c r="O833" s="5" t="n">
        <v>0.07000000000000001</v>
      </c>
      <c r="P833" s="5" t="n">
        <v>4.497</v>
      </c>
      <c r="Q833" s="5" t="n">
        <v>0</v>
      </c>
      <c r="R833" s="5" t="n">
        <v>1</v>
      </c>
      <c r="S833" s="5" t="n">
        <v>6.936</v>
      </c>
      <c r="T833" s="5" t="n">
        <v>5.087</v>
      </c>
      <c r="U833" s="5" t="n">
        <v>-0.165</v>
      </c>
      <c r="V833" s="5" t="n">
        <v>7.909</v>
      </c>
      <c r="W833" s="5" t="n">
        <v>0.2</v>
      </c>
      <c r="X833" s="5" t="n">
        <v>1</v>
      </c>
      <c r="Y833" s="5" t="n">
        <v>6.073</v>
      </c>
      <c r="Z833" s="5" t="n">
        <v>0.605</v>
      </c>
      <c r="AA833" s="5" t="n">
        <v>2.175</v>
      </c>
      <c r="AB833" s="5" t="n">
        <v>8.247999999999999</v>
      </c>
      <c r="AC833" s="5" t="n">
        <v>0</v>
      </c>
      <c r="AD833" s="5" t="n">
        <v>1</v>
      </c>
      <c r="AE833" s="5" t="n">
        <v>6.877</v>
      </c>
      <c r="AF833" s="5" t="n">
        <v>1.224</v>
      </c>
      <c r="AG833" s="5" t="n">
        <v>0.39</v>
      </c>
      <c r="AH833" s="5" t="n">
        <v>7.267</v>
      </c>
      <c r="AI833" s="5" t="n">
        <v>0</v>
      </c>
      <c r="AJ833" s="5" t="n">
        <v>1</v>
      </c>
      <c r="AK833" s="5" t="n">
        <v>11.699</v>
      </c>
      <c r="AL833" s="5" t="n">
        <v>5.23</v>
      </c>
      <c r="AM833" s="5" t="n">
        <v>-5.694</v>
      </c>
      <c r="AN833" s="5" t="n">
        <v>7.206</v>
      </c>
      <c r="AO833" s="5" t="n">
        <v>0</v>
      </c>
      <c r="AP833" s="5" t="n">
        <v>0</v>
      </c>
      <c r="AQ833" s="5" t="n">
        <v>0.724</v>
      </c>
      <c r="AR833" s="5" t="n">
        <v>0.132</v>
      </c>
      <c r="AS833" s="5" t="n">
        <v>0.465</v>
      </c>
      <c r="AT833" s="5" t="n">
        <v>1.427</v>
      </c>
      <c r="AU833" s="5" t="n">
        <v>0.2</v>
      </c>
      <c r="AV833" s="5" t="n">
        <v>1</v>
      </c>
      <c r="AW833" s="5" t="n">
        <v>0.75</v>
      </c>
      <c r="AX833" s="5" t="n">
        <v>0.132</v>
      </c>
      <c r="AY833" s="5" t="n">
        <v>0.4</v>
      </c>
      <c r="AZ833" s="5" t="n">
        <v>1.38</v>
      </c>
      <c r="BA833" s="5" t="n">
        <v>0.2</v>
      </c>
      <c r="BB833" s="5" t="n">
        <v>1</v>
      </c>
      <c r="BC833" s="5" t="n">
        <v>0.513</v>
      </c>
      <c r="BD833" s="5" t="n">
        <v>0.132</v>
      </c>
      <c r="BE833" s="5" t="n">
        <v>0.12</v>
      </c>
      <c r="BF833" s="5" t="n">
        <v>0.76</v>
      </c>
      <c r="BG833" s="5" t="n">
        <v>0.2</v>
      </c>
      <c r="BH833" s="5" t="n">
        <v>1</v>
      </c>
      <c r="BI833" s="5" t="n">
        <v>0.591</v>
      </c>
      <c r="BJ833" s="5" t="n">
        <v>0.132</v>
      </c>
      <c r="BK833" s="5" t="n">
        <v>0.016</v>
      </c>
      <c r="BL833" s="5" t="n">
        <v>0.71</v>
      </c>
      <c r="BM833" s="5" t="n">
        <v>0.2</v>
      </c>
      <c r="BN833" s="5" t="n">
        <v>1</v>
      </c>
      <c r="BO833" s="5" t="n">
        <v>0</v>
      </c>
      <c r="BP833" s="5" t="n">
        <v>-0.008</v>
      </c>
      <c r="BQ833" s="5" t="n">
        <v>0</v>
      </c>
      <c r="BR833" s="5" t="n">
        <v>0</v>
      </c>
      <c r="BS833" s="5" t="n">
        <v>1</v>
      </c>
      <c r="BT833" s="5" t="n">
        <v>0</v>
      </c>
      <c r="BU833" s="5" t="n">
        <v>-0.051</v>
      </c>
      <c r="BV833" s="5" t="n">
        <v>0.089</v>
      </c>
      <c r="BW833" s="5" t="n">
        <v>0</v>
      </c>
      <c r="BX833" s="5" t="n">
        <v>1</v>
      </c>
      <c r="BY833" s="5" t="n">
        <v>13.646</v>
      </c>
      <c r="BZ833" s="5" t="n">
        <v>0</v>
      </c>
      <c r="CA833" s="5" t="n">
        <v>13.646</v>
      </c>
      <c r="CB833" s="5" t="n">
        <v>0</v>
      </c>
      <c r="CC833" s="5" t="n">
        <v>82.58799999999999</v>
      </c>
      <c r="CD833" s="5" t="n">
        <v>7.95</v>
      </c>
      <c r="CE833" s="5" t="n">
        <v>3.29</v>
      </c>
      <c r="CF833" s="5" t="n">
        <v>100.32</v>
      </c>
      <c r="CG833" s="5" t="n">
        <v>0.2</v>
      </c>
      <c r="CH833" s="5" t="n">
        <v>1</v>
      </c>
      <c r="CI833" s="5" t="n">
        <v>0</v>
      </c>
      <c r="CJ833" s="5" t="n">
        <v>0</v>
      </c>
      <c r="CK833" s="5" t="n">
        <v>0</v>
      </c>
      <c r="CL833" s="5" t="n">
        <v>0.209</v>
      </c>
      <c r="CM833" s="5" t="n">
        <v>0</v>
      </c>
      <c r="CN833" s="5" t="n">
        <v>0</v>
      </c>
      <c r="CO833" s="5" t="n">
        <v>0</v>
      </c>
      <c r="CP833" s="5" t="n">
        <v>0.719</v>
      </c>
      <c r="CQ833" s="5" t="n">
        <v>1.387</v>
      </c>
      <c r="CR833" s="5" t="n">
        <v>0.786</v>
      </c>
      <c r="CS833" s="5" t="n">
        <v>5.584</v>
      </c>
      <c r="CT833" s="5" t="n">
        <v>3.027</v>
      </c>
      <c r="CU833" s="5" t="n">
        <v>10.168</v>
      </c>
    </row>
    <row r="834">
      <c r="A834" s="5" t="inlineStr">
        <is>
          <t>ARE2021</t>
        </is>
      </c>
      <c r="B834" s="5" t="inlineStr">
        <is>
          <t>ARE</t>
        </is>
      </c>
      <c r="C834" s="5" t="inlineStr">
        <is>
          <t>ARE</t>
        </is>
      </c>
      <c r="D834" s="5" t="inlineStr">
        <is>
          <t>United Arab Emirates</t>
        </is>
      </c>
      <c r="E834" s="5" t="n">
        <v>2021</v>
      </c>
      <c r="F834" s="5" t="n">
        <v>0.05</v>
      </c>
      <c r="G834" s="5" t="n">
        <v>5.897</v>
      </c>
      <c r="H834" s="5" t="n">
        <v>1.143</v>
      </c>
      <c r="I834" s="5" t="n">
        <v>0.238</v>
      </c>
      <c r="J834" s="5" t="n">
        <v>6.134</v>
      </c>
      <c r="K834" s="5" t="n">
        <v>0</v>
      </c>
      <c r="L834" s="5" t="n">
        <v>1</v>
      </c>
      <c r="M834" s="5" t="n">
        <v>7.964</v>
      </c>
      <c r="N834" s="5" t="n">
        <v>3.43</v>
      </c>
      <c r="O834" s="5" t="n">
        <v>0.227</v>
      </c>
      <c r="P834" s="5" t="n">
        <v>8.191000000000001</v>
      </c>
      <c r="Q834" s="5" t="n">
        <v>0</v>
      </c>
      <c r="R834" s="5" t="n">
        <v>1</v>
      </c>
      <c r="S834" s="5" t="n">
        <v>11.613</v>
      </c>
      <c r="T834" s="5" t="n">
        <v>6.86</v>
      </c>
      <c r="U834" s="5" t="n">
        <v>0.238</v>
      </c>
      <c r="V834" s="5" t="n">
        <v>12.444</v>
      </c>
      <c r="W834" s="5" t="n">
        <v>0.05</v>
      </c>
      <c r="X834" s="5" t="n">
        <v>1</v>
      </c>
      <c r="Y834" s="5" t="n">
        <v>6.345</v>
      </c>
      <c r="Z834" s="5" t="n">
        <v>0.718</v>
      </c>
      <c r="AA834" s="5" t="n">
        <v>-2.843</v>
      </c>
      <c r="AB834" s="5" t="n">
        <v>3.501</v>
      </c>
      <c r="AC834" s="5" t="n">
        <v>0</v>
      </c>
      <c r="AD834" s="5" t="n">
        <v>0</v>
      </c>
      <c r="AE834" s="5" t="n">
        <v>7.088</v>
      </c>
      <c r="AF834" s="5" t="n">
        <v>1.412</v>
      </c>
      <c r="AG834" s="5" t="n">
        <v>-4.125</v>
      </c>
      <c r="AH834" s="5" t="n">
        <v>2.963</v>
      </c>
      <c r="AI834" s="5" t="n">
        <v>0</v>
      </c>
      <c r="AJ834" s="5" t="n">
        <v>0</v>
      </c>
      <c r="AK834" s="5" t="n">
        <v>11.55</v>
      </c>
      <c r="AL834" s="5" t="n">
        <v>5.538</v>
      </c>
      <c r="AM834" s="5" t="n">
        <v>-4.43</v>
      </c>
      <c r="AN834" s="5" t="n">
        <v>7.12</v>
      </c>
      <c r="AO834" s="5" t="n">
        <v>0</v>
      </c>
      <c r="AP834" s="5" t="n">
        <v>0</v>
      </c>
      <c r="AQ834" s="5" t="n">
        <v>0.621</v>
      </c>
      <c r="AR834" s="5" t="n">
        <v>0.114</v>
      </c>
      <c r="AS834" s="5" t="n">
        <v>-0.029</v>
      </c>
      <c r="AT834" s="5" t="n">
        <v>0.621</v>
      </c>
      <c r="AU834" s="5" t="n">
        <v>0.05</v>
      </c>
      <c r="AV834" s="5" t="n">
        <v>1</v>
      </c>
      <c r="AW834" s="5" t="n">
        <v>0.593</v>
      </c>
      <c r="AX834" s="5" t="n">
        <v>0.114</v>
      </c>
      <c r="AY834" s="5" t="n">
        <v>0.018</v>
      </c>
      <c r="AZ834" s="5" t="n">
        <v>0.642</v>
      </c>
      <c r="BA834" s="5" t="n">
        <v>0.05</v>
      </c>
      <c r="BB834" s="5" t="n">
        <v>1</v>
      </c>
      <c r="BC834" s="5" t="n">
        <v>0.44</v>
      </c>
      <c r="BD834" s="5" t="n">
        <v>0.114</v>
      </c>
      <c r="BE834" s="5" t="n">
        <v>0</v>
      </c>
      <c r="BF834" s="5" t="n">
        <v>0.462</v>
      </c>
      <c r="BG834" s="5" t="n">
        <v>0.05</v>
      </c>
      <c r="BH834" s="5" t="n">
        <v>1</v>
      </c>
      <c r="BI834" s="5" t="n">
        <v>0.5600000000000001</v>
      </c>
      <c r="BJ834" s="5" t="n">
        <v>0.114</v>
      </c>
      <c r="BK834" s="5" t="n">
        <v>0</v>
      </c>
      <c r="BL834" s="5" t="n">
        <v>0.588</v>
      </c>
      <c r="BM834" s="5" t="n">
        <v>0.05</v>
      </c>
      <c r="BN834" s="5" t="n">
        <v>1</v>
      </c>
      <c r="BO834" s="5" t="n">
        <v>0</v>
      </c>
      <c r="BP834" s="5" t="n">
        <v>-0.017</v>
      </c>
      <c r="BQ834" s="5" t="n">
        <v>0.063</v>
      </c>
      <c r="BR834" s="5" t="n">
        <v>0</v>
      </c>
      <c r="BS834" s="5" t="n">
        <v>0.333</v>
      </c>
      <c r="BT834" s="5" t="n">
        <v>0</v>
      </c>
      <c r="BU834" s="5" t="n">
        <v>-0.017</v>
      </c>
      <c r="BV834" s="5" t="n">
        <v>0.063</v>
      </c>
      <c r="BW834" s="5" t="n">
        <v>0</v>
      </c>
      <c r="BX834" s="5" t="n">
        <v>0.167</v>
      </c>
      <c r="BY834" s="5" t="n">
        <v>11.787</v>
      </c>
      <c r="BZ834" s="5" t="n">
        <v>0</v>
      </c>
      <c r="CA834" s="5" t="n">
        <v>11.787</v>
      </c>
      <c r="CB834" s="5" t="n">
        <v>0</v>
      </c>
      <c r="CC834" s="5" t="n">
        <v>81.69499999999999</v>
      </c>
      <c r="CD834" s="5" t="n">
        <v>7.95</v>
      </c>
      <c r="CE834" s="5" t="n">
        <v>0</v>
      </c>
      <c r="CF834" s="5" t="n">
        <v>85.78</v>
      </c>
      <c r="CG834" s="5" t="n">
        <v>0.05</v>
      </c>
      <c r="CH834" s="5" t="n">
        <v>1</v>
      </c>
      <c r="CI834" s="5" t="n">
        <v>0</v>
      </c>
      <c r="CJ834" s="5" t="n">
        <v>0</v>
      </c>
      <c r="CK834" s="5" t="n">
        <v>0</v>
      </c>
      <c r="CL834" s="5" t="n">
        <v>0</v>
      </c>
      <c r="CM834" s="5" t="n">
        <v>0</v>
      </c>
      <c r="CN834" s="5" t="n">
        <v>0</v>
      </c>
      <c r="CO834" s="5" t="n">
        <v>0</v>
      </c>
      <c r="CP834" s="5" t="n">
        <v>0</v>
      </c>
      <c r="CQ834" s="5" t="n">
        <v>1.198</v>
      </c>
      <c r="CR834" s="5" t="n">
        <v>0.699</v>
      </c>
      <c r="CS834" s="5" t="n">
        <v>3.639</v>
      </c>
      <c r="CT834" s="5" t="n">
        <v>4.753</v>
      </c>
      <c r="CU834" s="5" t="n">
        <v>14.162</v>
      </c>
    </row>
    <row r="835">
      <c r="A835" s="5" t="inlineStr">
        <is>
          <t>ARE2022</t>
        </is>
      </c>
      <c r="B835" s="5" t="inlineStr">
        <is>
          <t>ARE</t>
        </is>
      </c>
      <c r="C835" s="5" t="inlineStr">
        <is>
          <t>ARE</t>
        </is>
      </c>
      <c r="D835" s="5" t="inlineStr">
        <is>
          <t>United Arab Emirates</t>
        </is>
      </c>
      <c r="E835" s="5" t="n">
        <v>2022</v>
      </c>
      <c r="F835" s="5" t="n">
        <v>0.05</v>
      </c>
      <c r="G835" s="5" t="n">
        <v>11.72</v>
      </c>
      <c r="H835" s="5" t="n">
        <v>1.235</v>
      </c>
      <c r="I835" s="5" t="n">
        <v>0.5659999999999999</v>
      </c>
      <c r="J835" s="5" t="n">
        <v>12.286</v>
      </c>
      <c r="K835" s="5" t="n">
        <v>0</v>
      </c>
      <c r="L835" s="5" t="n">
        <v>1</v>
      </c>
      <c r="M835" s="5" t="n">
        <v>9.782999999999999</v>
      </c>
      <c r="N835" s="5" t="n">
        <v>3.704</v>
      </c>
      <c r="O835" s="5" t="n">
        <v>0.328</v>
      </c>
      <c r="P835" s="5" t="n">
        <v>10.111</v>
      </c>
      <c r="Q835" s="5" t="n">
        <v>0</v>
      </c>
      <c r="R835" s="5" t="n">
        <v>1</v>
      </c>
      <c r="S835" s="5" t="n">
        <v>17.893</v>
      </c>
      <c r="T835" s="5" t="n">
        <v>7.408</v>
      </c>
      <c r="U835" s="5" t="n">
        <v>0.634</v>
      </c>
      <c r="V835" s="5" t="n">
        <v>19.382</v>
      </c>
      <c r="W835" s="5" t="n">
        <v>0.05</v>
      </c>
      <c r="X835" s="5" t="n">
        <v>1</v>
      </c>
      <c r="Y835" s="5" t="n">
        <v>6.025</v>
      </c>
      <c r="Z835" s="5" t="n">
        <v>0.6820000000000001</v>
      </c>
      <c r="AA835" s="5" t="n">
        <v>-3.071</v>
      </c>
      <c r="AB835" s="5" t="n">
        <v>2.955</v>
      </c>
      <c r="AC835" s="5" t="n">
        <v>0</v>
      </c>
      <c r="AD835" s="5" t="n">
        <v>0</v>
      </c>
      <c r="AE835" s="5" t="n">
        <v>6.824</v>
      </c>
      <c r="AF835" s="5" t="n">
        <v>1.36</v>
      </c>
      <c r="AG835" s="5" t="n">
        <v>-4.455</v>
      </c>
      <c r="AH835" s="5" t="n">
        <v>2.37</v>
      </c>
      <c r="AI835" s="5" t="n">
        <v>0</v>
      </c>
      <c r="AJ835" s="5" t="n">
        <v>0</v>
      </c>
      <c r="AK835" s="5" t="n">
        <v>11.618</v>
      </c>
      <c r="AL835" s="5" t="n">
        <v>5.571</v>
      </c>
      <c r="AM835" s="5" t="n">
        <v>-4.575</v>
      </c>
      <c r="AN835" s="5" t="n">
        <v>7.043</v>
      </c>
      <c r="AO835" s="5" t="n">
        <v>0</v>
      </c>
      <c r="AP835" s="5" t="n">
        <v>0</v>
      </c>
      <c r="AQ835" s="5" t="n">
        <v>0.847</v>
      </c>
      <c r="AR835" s="5" t="n">
        <v>0.123</v>
      </c>
      <c r="AS835" s="5" t="n">
        <v>0.037</v>
      </c>
      <c r="AT835" s="5" t="n">
        <v>0.927</v>
      </c>
      <c r="AU835" s="5" t="n">
        <v>0.05</v>
      </c>
      <c r="AV835" s="5" t="n">
        <v>1</v>
      </c>
      <c r="AW835" s="5" t="n">
        <v>0.947</v>
      </c>
      <c r="AX835" s="5" t="n">
        <v>0.123</v>
      </c>
      <c r="AY835" s="5" t="n">
        <v>0.031</v>
      </c>
      <c r="AZ835" s="5" t="n">
        <v>1.027</v>
      </c>
      <c r="BA835" s="5" t="n">
        <v>0.05</v>
      </c>
      <c r="BB835" s="5" t="n">
        <v>1</v>
      </c>
      <c r="BC835" s="5" t="n">
        <v>0.589</v>
      </c>
      <c r="BD835" s="5" t="n">
        <v>0.123</v>
      </c>
      <c r="BE835" s="5" t="n">
        <v>0.002</v>
      </c>
      <c r="BF835" s="5" t="n">
        <v>0.618</v>
      </c>
      <c r="BG835" s="5" t="n">
        <v>0.05</v>
      </c>
      <c r="BH835" s="5" t="n">
        <v>1</v>
      </c>
      <c r="BI835" s="5" t="n">
        <v>0.6889999999999999</v>
      </c>
      <c r="BJ835" s="5" t="n">
        <v>0.123</v>
      </c>
      <c r="BK835" s="5" t="n">
        <v>0.003</v>
      </c>
      <c r="BL835" s="5" t="n">
        <v>0.723</v>
      </c>
      <c r="BM835" s="5" t="n">
        <v>0.05</v>
      </c>
      <c r="BN835" s="5" t="n">
        <v>1</v>
      </c>
      <c r="BO835" s="5" t="n">
        <v>0</v>
      </c>
      <c r="BP835" s="5" t="n">
        <v>-0.017</v>
      </c>
      <c r="BQ835" s="5" t="n">
        <v>0.063</v>
      </c>
      <c r="BR835" s="5" t="n">
        <v>0</v>
      </c>
      <c r="BS835" s="5" t="n">
        <v>0.333</v>
      </c>
      <c r="BT835" s="5" t="n">
        <v>0</v>
      </c>
      <c r="BU835" s="5" t="n">
        <v>-0.017</v>
      </c>
      <c r="BV835" s="5" t="n">
        <v>0.063</v>
      </c>
      <c r="BW835" s="5" t="n">
        <v>0</v>
      </c>
      <c r="BX835" s="5" t="n">
        <v>0.167</v>
      </c>
      <c r="BY835" s="5" t="n">
        <v>12.729</v>
      </c>
      <c r="BZ835" s="5" t="n">
        <v>0</v>
      </c>
      <c r="CA835" s="5" t="n">
        <v>12.729</v>
      </c>
      <c r="CB835" s="5" t="n">
        <v>0</v>
      </c>
      <c r="CC835" s="5" t="n">
        <v>102.477</v>
      </c>
      <c r="CD835" s="5" t="n">
        <v>7.95</v>
      </c>
      <c r="CE835" s="5" t="n">
        <v>0.379</v>
      </c>
      <c r="CF835" s="5" t="n">
        <v>107.6</v>
      </c>
      <c r="CG835" s="5" t="n">
        <v>0.05</v>
      </c>
      <c r="CH835" s="5" t="n">
        <v>1</v>
      </c>
      <c r="CI835" s="5" t="n">
        <v>0</v>
      </c>
      <c r="CJ835" s="5" t="n">
        <v>0</v>
      </c>
      <c r="CK835" s="5" t="n">
        <v>0</v>
      </c>
      <c r="CL835" s="5" t="n">
        <v>0</v>
      </c>
      <c r="CM835" s="5" t="n">
        <v>0</v>
      </c>
      <c r="CN835" s="5" t="n">
        <v>0</v>
      </c>
      <c r="CO835" s="5" t="n">
        <v>0</v>
      </c>
      <c r="CP835" s="5" t="n">
        <v>0</v>
      </c>
      <c r="CQ835" s="5" t="n">
        <v>1.294</v>
      </c>
      <c r="CR835" s="5" t="n">
        <v>0.706</v>
      </c>
      <c r="CS835" s="5" t="n">
        <v>3.93</v>
      </c>
      <c r="CT835" s="5" t="n">
        <v>10.485</v>
      </c>
      <c r="CU835" s="5" t="n">
        <v>30.326</v>
      </c>
    </row>
    <row r="836">
      <c r="A836" s="5" t="inlineStr">
        <is>
          <t>ARE2023</t>
        </is>
      </c>
      <c r="B836" s="5" t="inlineStr">
        <is>
          <t>ARE</t>
        </is>
      </c>
      <c r="C836" s="5" t="inlineStr">
        <is>
          <t>ARE</t>
        </is>
      </c>
      <c r="D836" s="5" t="inlineStr">
        <is>
          <t>United Arab Emirates</t>
        </is>
      </c>
      <c r="E836" s="5" t="n">
        <v>2023</v>
      </c>
      <c r="F836" s="5" t="n">
        <v>0.05</v>
      </c>
      <c r="G836" s="5" t="n">
        <v>6.147</v>
      </c>
      <c r="H836" s="5" t="n">
        <v>1.286</v>
      </c>
      <c r="I836" s="5" t="n">
        <v>0.273</v>
      </c>
      <c r="J836" s="5" t="n">
        <v>6.42</v>
      </c>
      <c r="K836" s="5" t="n">
        <v>0</v>
      </c>
      <c r="L836" s="5" t="n">
        <v>1</v>
      </c>
      <c r="M836" s="5" t="n">
        <v>7.886</v>
      </c>
      <c r="N836" s="5" t="n">
        <v>3.857</v>
      </c>
      <c r="O836" s="5" t="n">
        <v>0.227</v>
      </c>
      <c r="P836" s="5" t="n">
        <v>8.113</v>
      </c>
      <c r="Q836" s="5" t="n">
        <v>0</v>
      </c>
      <c r="R836" s="5" t="n">
        <v>1</v>
      </c>
      <c r="S836" s="5" t="n">
        <v>12.575</v>
      </c>
      <c r="T836" s="5" t="n">
        <v>7.714</v>
      </c>
      <c r="U836" s="5" t="n">
        <v>0.344</v>
      </c>
      <c r="V836" s="5" t="n">
        <v>13.491</v>
      </c>
      <c r="W836" s="5" t="n">
        <v>0.05</v>
      </c>
      <c r="X836" s="5" t="n">
        <v>1</v>
      </c>
      <c r="Y836" s="5" t="n">
        <v>6.143</v>
      </c>
      <c r="Z836" s="5" t="n">
        <v>0.695</v>
      </c>
      <c r="AA836" s="5" t="n">
        <v>-2.785</v>
      </c>
      <c r="AB836" s="5" t="n">
        <v>3.358</v>
      </c>
      <c r="AC836" s="5" t="n">
        <v>0</v>
      </c>
      <c r="AD836" s="5" t="n">
        <v>0</v>
      </c>
      <c r="AE836" s="5" t="n">
        <v>6.975</v>
      </c>
      <c r="AF836" s="5" t="n">
        <v>1.39</v>
      </c>
      <c r="AG836" s="5" t="n">
        <v>-4.226</v>
      </c>
      <c r="AH836" s="5" t="n">
        <v>2.749</v>
      </c>
      <c r="AI836" s="5" t="n">
        <v>0</v>
      </c>
      <c r="AJ836" s="5" t="n">
        <v>0</v>
      </c>
      <c r="AK836" s="5" t="n">
        <v>11.962</v>
      </c>
      <c r="AL836" s="5" t="n">
        <v>5.736</v>
      </c>
      <c r="AM836" s="5" t="n">
        <v>-5.097</v>
      </c>
      <c r="AN836" s="5" t="n">
        <v>6.865</v>
      </c>
      <c r="AO836" s="5" t="n">
        <v>0</v>
      </c>
      <c r="AP836" s="5" t="n">
        <v>0</v>
      </c>
      <c r="AQ836" s="5" t="n">
        <v>0.749</v>
      </c>
      <c r="AR836" s="5" t="n">
        <v>0.129</v>
      </c>
      <c r="AS836" s="5" t="n">
        <v>0.022</v>
      </c>
      <c r="AT836" s="5" t="n">
        <v>0.8090000000000001</v>
      </c>
      <c r="AU836" s="5" t="n">
        <v>0.05</v>
      </c>
      <c r="AV836" s="5" t="n">
        <v>1</v>
      </c>
      <c r="AW836" s="5" t="n">
        <v>0.783</v>
      </c>
      <c r="AX836" s="5" t="n">
        <v>0.129</v>
      </c>
      <c r="AY836" s="5" t="n">
        <v>0.031</v>
      </c>
      <c r="AZ836" s="5" t="n">
        <v>0.854</v>
      </c>
      <c r="BA836" s="5" t="n">
        <v>0.05</v>
      </c>
      <c r="BB836" s="5" t="n">
        <v>1</v>
      </c>
      <c r="BC836" s="5" t="n">
        <v>0.527</v>
      </c>
      <c r="BD836" s="5" t="n">
        <v>0.129</v>
      </c>
      <c r="BE836" s="5" t="n">
        <v>0.003</v>
      </c>
      <c r="BF836" s="5" t="n">
        <v>0.554</v>
      </c>
      <c r="BG836" s="5" t="n">
        <v>0.05</v>
      </c>
      <c r="BH836" s="5" t="n">
        <v>1</v>
      </c>
      <c r="BI836" s="5" t="n">
        <v>0.64</v>
      </c>
      <c r="BJ836" s="5" t="n">
        <v>0.129</v>
      </c>
      <c r="BK836" s="5" t="n">
        <v>0.004</v>
      </c>
      <c r="BL836" s="5" t="n">
        <v>0.672</v>
      </c>
      <c r="BM836" s="5" t="n">
        <v>0.05</v>
      </c>
      <c r="BN836" s="5" t="n">
        <v>1</v>
      </c>
      <c r="BO836" s="5" t="n">
        <v>0</v>
      </c>
      <c r="BP836" s="5" t="n">
        <v>-0.017</v>
      </c>
      <c r="BQ836" s="5" t="n">
        <v>0.063</v>
      </c>
      <c r="BR836" s="5" t="n">
        <v>0</v>
      </c>
      <c r="BS836" s="5" t="n">
        <v>0.333</v>
      </c>
      <c r="BT836" s="5" t="n">
        <v>0</v>
      </c>
      <c r="BU836" s="5" t="n">
        <v>-0.017</v>
      </c>
      <c r="BV836" s="5" t="n">
        <v>0.063</v>
      </c>
      <c r="BW836" s="5" t="n">
        <v>0</v>
      </c>
      <c r="BX836" s="5" t="n">
        <v>0.167</v>
      </c>
      <c r="BY836" s="5" t="n">
        <v>13.254</v>
      </c>
      <c r="BZ836" s="5" t="n">
        <v>0</v>
      </c>
      <c r="CA836" s="5" t="n">
        <v>13.254</v>
      </c>
      <c r="CB836" s="5" t="n">
        <v>0</v>
      </c>
      <c r="CC836" s="5" t="n">
        <v>87.07899999999999</v>
      </c>
      <c r="CD836" s="5" t="n">
        <v>7.95</v>
      </c>
      <c r="CE836" s="5" t="n">
        <v>0.482</v>
      </c>
      <c r="CF836" s="5" t="n">
        <v>91.43300000000001</v>
      </c>
      <c r="CG836" s="5" t="n">
        <v>0.05</v>
      </c>
      <c r="CH836" s="5" t="n">
        <v>1</v>
      </c>
      <c r="CI836" s="5" t="n">
        <v>0</v>
      </c>
      <c r="CJ836" s="5" t="n">
        <v>0</v>
      </c>
      <c r="CK836" s="5" t="n">
        <v>0</v>
      </c>
      <c r="CL836" s="5" t="n">
        <v>0</v>
      </c>
      <c r="CM836" s="5" t="n">
        <v>0</v>
      </c>
      <c r="CN836" s="5" t="n">
        <v>0</v>
      </c>
      <c r="CO836" s="5" t="n">
        <v>0</v>
      </c>
      <c r="CP836" s="5" t="n">
        <v>0</v>
      </c>
      <c r="CQ836" s="5" t="n">
        <v>1.348</v>
      </c>
      <c r="CR836" s="5" t="n">
        <v>0.707</v>
      </c>
      <c r="CS836" s="5" t="n">
        <v>4.093</v>
      </c>
      <c r="CT836" s="5" t="n">
        <v>4.861</v>
      </c>
      <c r="CU836" s="5" t="n">
        <v>10.622</v>
      </c>
    </row>
    <row r="837">
      <c r="A837" s="5" t="inlineStr">
        <is>
          <t>ARE2024</t>
        </is>
      </c>
      <c r="B837" s="5" t="inlineStr">
        <is>
          <t>ARE</t>
        </is>
      </c>
      <c r="C837" s="5" t="inlineStr">
        <is>
          <t>ARE</t>
        </is>
      </c>
      <c r="D837" s="5" t="inlineStr">
        <is>
          <t>United Arab Emirates</t>
        </is>
      </c>
      <c r="E837" s="5" t="n">
        <v>2024</v>
      </c>
      <c r="F837" s="5" t="n">
        <v>0.05</v>
      </c>
      <c r="G837" s="5" t="n">
        <v>5.575</v>
      </c>
      <c r="H837" s="5" t="n">
        <v>1.324</v>
      </c>
      <c r="I837" s="5" t="n">
        <v>0.213</v>
      </c>
      <c r="J837" s="5" t="n">
        <v>5.787</v>
      </c>
      <c r="K837" s="5" t="n">
        <v>0</v>
      </c>
      <c r="L837" s="5" t="n">
        <v>1</v>
      </c>
      <c r="M837" s="5" t="n">
        <v>7.124</v>
      </c>
      <c r="N837" s="5" t="n">
        <v>3.971</v>
      </c>
      <c r="O837" s="5" t="n">
        <v>0.158</v>
      </c>
      <c r="P837" s="5" t="n">
        <v>7.281</v>
      </c>
      <c r="Q837" s="5" t="n">
        <v>0</v>
      </c>
      <c r="R837" s="5" t="n">
        <v>1</v>
      </c>
      <c r="S837" s="5" t="n">
        <v>12.193</v>
      </c>
      <c r="T837" s="5" t="n">
        <v>7.942</v>
      </c>
      <c r="U837" s="5" t="n">
        <v>0.297</v>
      </c>
      <c r="V837" s="5" t="n">
        <v>13.026</v>
      </c>
      <c r="W837" s="5" t="n">
        <v>0.05</v>
      </c>
      <c r="X837" s="5" t="n">
        <v>1</v>
      </c>
      <c r="Y837" s="5" t="n">
        <v>5.975</v>
      </c>
      <c r="Z837" s="5" t="n">
        <v>0.676</v>
      </c>
      <c r="AA837" s="5" t="n">
        <v>-2.868</v>
      </c>
      <c r="AB837" s="5" t="n">
        <v>3.108</v>
      </c>
      <c r="AC837" s="5" t="n">
        <v>0</v>
      </c>
      <c r="AD837" s="5" t="n">
        <v>0</v>
      </c>
      <c r="AE837" s="5" t="n">
        <v>6.831</v>
      </c>
      <c r="AF837" s="5" t="n">
        <v>1.361</v>
      </c>
      <c r="AG837" s="5" t="n">
        <v>-4.291</v>
      </c>
      <c r="AH837" s="5" t="n">
        <v>2.54</v>
      </c>
      <c r="AI837" s="5" t="n">
        <v>0</v>
      </c>
      <c r="AJ837" s="5" t="n">
        <v>0</v>
      </c>
      <c r="AK837" s="5" t="n">
        <v>11.966</v>
      </c>
      <c r="AL837" s="5" t="n">
        <v>5.738</v>
      </c>
      <c r="AM837" s="5" t="n">
        <v>-4.904</v>
      </c>
      <c r="AN837" s="5" t="n">
        <v>7.062</v>
      </c>
      <c r="AO837" s="5" t="n">
        <v>0</v>
      </c>
      <c r="AP837" s="5" t="n">
        <v>0</v>
      </c>
      <c r="AQ837" s="5" t="n">
        <v>0.72</v>
      </c>
      <c r="AR837" s="5" t="n">
        <v>0.132</v>
      </c>
      <c r="AS837" s="5" t="n">
        <v>0.013</v>
      </c>
      <c r="AT837" s="5" t="n">
        <v>0.77</v>
      </c>
      <c r="AU837" s="5" t="n">
        <v>0.05</v>
      </c>
      <c r="AV837" s="5" t="n">
        <v>1</v>
      </c>
      <c r="AW837" s="5" t="n">
        <v>0.734</v>
      </c>
      <c r="AX837" s="5" t="n">
        <v>0.132</v>
      </c>
      <c r="AY837" s="5" t="n">
        <v>0.017</v>
      </c>
      <c r="AZ837" s="5" t="n">
        <v>0.788</v>
      </c>
      <c r="BA837" s="5" t="n">
        <v>0.05</v>
      </c>
      <c r="BB837" s="5" t="n">
        <v>1</v>
      </c>
      <c r="BC837" s="5" t="n">
        <v>0.51</v>
      </c>
      <c r="BD837" s="5" t="n">
        <v>0.132</v>
      </c>
      <c r="BE837" s="5" t="n">
        <v>0.003</v>
      </c>
      <c r="BF837" s="5" t="n">
        <v>0.536</v>
      </c>
      <c r="BG837" s="5" t="n">
        <v>0.05</v>
      </c>
      <c r="BH837" s="5" t="n">
        <v>1</v>
      </c>
      <c r="BI837" s="5" t="n">
        <v>0.652</v>
      </c>
      <c r="BJ837" s="5" t="n">
        <v>0.132</v>
      </c>
      <c r="BK837" s="5" t="n">
        <v>0.004</v>
      </c>
      <c r="BL837" s="5" t="n">
        <v>0.6850000000000001</v>
      </c>
      <c r="BM837" s="5" t="n">
        <v>0.05</v>
      </c>
      <c r="BN837" s="5" t="n">
        <v>1</v>
      </c>
      <c r="BO837" s="5" t="n">
        <v>0</v>
      </c>
      <c r="BP837" s="5" t="n">
        <v>-0.018</v>
      </c>
      <c r="BQ837" s="5" t="n">
        <v>0.07099999999999999</v>
      </c>
      <c r="BR837" s="5" t="n">
        <v>0</v>
      </c>
      <c r="BS837" s="5" t="n">
        <v>0.333</v>
      </c>
      <c r="BT837" s="5" t="n">
        <v>0</v>
      </c>
      <c r="BU837" s="5" t="n">
        <v>-0.018</v>
      </c>
      <c r="BV837" s="5" t="n">
        <v>0.062</v>
      </c>
      <c r="BW837" s="5" t="n">
        <v>0</v>
      </c>
      <c r="BX837" s="5" t="n">
        <v>0.167</v>
      </c>
      <c r="BY837" s="5" t="n">
        <v>13.646</v>
      </c>
      <c r="BZ837" s="5" t="n">
        <v>0</v>
      </c>
      <c r="CA837" s="5" t="n">
        <v>13.646</v>
      </c>
      <c r="CB837" s="5" t="n">
        <v>0</v>
      </c>
      <c r="CC837" s="5" t="n">
        <v>86.38500000000001</v>
      </c>
      <c r="CD837" s="5" t="n">
        <v>7.95</v>
      </c>
      <c r="CE837" s="5" t="n">
        <v>0.588</v>
      </c>
      <c r="CF837" s="5" t="n">
        <v>90.705</v>
      </c>
      <c r="CG837" s="5" t="n">
        <v>0.05</v>
      </c>
      <c r="CH837" s="5" t="n">
        <v>1</v>
      </c>
      <c r="CI837" s="5" t="n">
        <v>0</v>
      </c>
      <c r="CJ837" s="5" t="n">
        <v>0</v>
      </c>
      <c r="CK837" s="5" t="n">
        <v>0</v>
      </c>
      <c r="CL837" s="5" t="n">
        <v>0</v>
      </c>
      <c r="CM837" s="5" t="n">
        <v>0</v>
      </c>
      <c r="CN837" s="5" t="n">
        <v>0</v>
      </c>
      <c r="CO837" s="5" t="n">
        <v>0</v>
      </c>
      <c r="CP837" s="5" t="n">
        <v>0</v>
      </c>
      <c r="CQ837" s="5" t="n">
        <v>1.387</v>
      </c>
      <c r="CR837" s="5" t="n">
        <v>0.707</v>
      </c>
      <c r="CS837" s="5" t="n">
        <v>4.213</v>
      </c>
      <c r="CT837" s="5" t="n">
        <v>4.251</v>
      </c>
      <c r="CU837" s="5" t="n">
        <v>9.167999999999999</v>
      </c>
    </row>
    <row r="838">
      <c r="A838" s="5" t="inlineStr">
        <is>
          <t>GBR2021</t>
        </is>
      </c>
      <c r="B838" s="5" t="inlineStr">
        <is>
          <t>GBR</t>
        </is>
      </c>
      <c r="C838" s="5" t="inlineStr">
        <is>
          <t>GBR</t>
        </is>
      </c>
      <c r="D838" s="5" t="inlineStr">
        <is>
          <t>United Kingdom</t>
        </is>
      </c>
      <c r="E838" s="5" t="n">
        <v>2021</v>
      </c>
      <c r="F838" s="5" t="n">
        <v>0.2</v>
      </c>
      <c r="G838" s="5" t="n">
        <v>4.347</v>
      </c>
      <c r="H838" s="5" t="n">
        <v>0.951</v>
      </c>
      <c r="I838" s="5" t="n">
        <v>4.105</v>
      </c>
      <c r="J838" s="5" t="n">
        <v>8.452</v>
      </c>
      <c r="K838" s="5" t="n">
        <v>0</v>
      </c>
      <c r="L838" s="5" t="n">
        <v>1</v>
      </c>
      <c r="M838" s="5" t="n">
        <v>4.719</v>
      </c>
      <c r="N838" s="5" t="n">
        <v>2.139</v>
      </c>
      <c r="O838" s="5" t="n">
        <v>2.239</v>
      </c>
      <c r="P838" s="5" t="n">
        <v>6.958</v>
      </c>
      <c r="Q838" s="5" t="n">
        <v>0</v>
      </c>
      <c r="R838" s="5" t="n">
        <v>1</v>
      </c>
      <c r="S838" s="5" t="n">
        <v>16.992</v>
      </c>
      <c r="T838" s="5" t="n">
        <v>10.53</v>
      </c>
      <c r="U838" s="5" t="n">
        <v>0.095</v>
      </c>
      <c r="V838" s="5" t="n">
        <v>20.504</v>
      </c>
      <c r="W838" s="5" t="n">
        <v>0.2</v>
      </c>
      <c r="X838" s="5" t="n">
        <v>1</v>
      </c>
      <c r="Y838" s="5" t="n">
        <v>25.664</v>
      </c>
      <c r="Z838" s="5" t="n">
        <v>2.835</v>
      </c>
      <c r="AA838" s="5" t="n">
        <v>-10.255</v>
      </c>
      <c r="AB838" s="5" t="n">
        <v>15.409</v>
      </c>
      <c r="AC838" s="5" t="n">
        <v>0</v>
      </c>
      <c r="AD838" s="5" t="n">
        <v>1</v>
      </c>
      <c r="AE838" s="5" t="n">
        <v>20.76</v>
      </c>
      <c r="AF838" s="5" t="n">
        <v>4.085</v>
      </c>
      <c r="AG838" s="5" t="n">
        <v>-7.711</v>
      </c>
      <c r="AH838" s="5" t="n">
        <v>13.049</v>
      </c>
      <c r="AI838" s="5" t="n">
        <v>0</v>
      </c>
      <c r="AJ838" s="5" t="n">
        <v>1</v>
      </c>
      <c r="AK838" s="5" t="n">
        <v>27.865</v>
      </c>
      <c r="AL838" s="5" t="n">
        <v>13.676</v>
      </c>
      <c r="AM838" s="5" t="n">
        <v>-12.644</v>
      </c>
      <c r="AN838" s="5" t="n">
        <v>18.265</v>
      </c>
      <c r="AO838" s="5" t="n">
        <v>0.2</v>
      </c>
      <c r="AP838" s="5" t="n">
        <v>1</v>
      </c>
      <c r="AQ838" s="5" t="n">
        <v>0.619</v>
      </c>
      <c r="AR838" s="5" t="n">
        <v>0.114</v>
      </c>
      <c r="AS838" s="5" t="n">
        <v>0.892</v>
      </c>
      <c r="AT838" s="5" t="n">
        <v>1.813</v>
      </c>
      <c r="AU838" s="5" t="n">
        <v>0.2</v>
      </c>
      <c r="AV838" s="5" t="n">
        <v>1</v>
      </c>
      <c r="AW838" s="5" t="n">
        <v>0.599</v>
      </c>
      <c r="AX838" s="5" t="n">
        <v>0.114</v>
      </c>
      <c r="AY838" s="5" t="n">
        <v>0.944</v>
      </c>
      <c r="AZ838" s="5" t="n">
        <v>1.852</v>
      </c>
      <c r="BA838" s="5" t="n">
        <v>0.2</v>
      </c>
      <c r="BB838" s="5" t="n">
        <v>1</v>
      </c>
      <c r="BC838" s="5" t="n">
        <v>0.439</v>
      </c>
      <c r="BD838" s="5" t="n">
        <v>0.114</v>
      </c>
      <c r="BE838" s="5" t="n">
        <v>0.319</v>
      </c>
      <c r="BF838" s="5" t="n">
        <v>0.909</v>
      </c>
      <c r="BG838" s="5" t="n">
        <v>0.2</v>
      </c>
      <c r="BH838" s="5" t="n">
        <v>1</v>
      </c>
      <c r="BI838" s="5" t="n">
        <v>0.505</v>
      </c>
      <c r="BJ838" s="5" t="n">
        <v>0.114</v>
      </c>
      <c r="BK838" s="5" t="n">
        <v>0.078</v>
      </c>
      <c r="BL838" s="5" t="n">
        <v>0.699</v>
      </c>
      <c r="BM838" s="5" t="n">
        <v>0.2</v>
      </c>
      <c r="BN838" s="5" t="n">
        <v>1</v>
      </c>
      <c r="BO838" s="5" t="n">
        <v>0</v>
      </c>
      <c r="BP838" s="5" t="n">
        <v>0.045</v>
      </c>
      <c r="BQ838" s="5" t="n">
        <v>0.188</v>
      </c>
      <c r="BR838" s="5" t="n">
        <v>0</v>
      </c>
      <c r="BS838" s="5" t="n">
        <v>1</v>
      </c>
      <c r="BT838" s="5" t="n">
        <v>0</v>
      </c>
      <c r="BU838" s="5" t="n">
        <v>0.048</v>
      </c>
      <c r="BV838" s="5" t="n">
        <v>0.291</v>
      </c>
      <c r="BW838" s="5" t="n">
        <v>0.05</v>
      </c>
      <c r="BX838" s="5" t="n">
        <v>1</v>
      </c>
      <c r="BY838" s="5" t="n">
        <v>11.787</v>
      </c>
      <c r="BZ838" s="5" t="n">
        <v>0</v>
      </c>
      <c r="CA838" s="5" t="n">
        <v>11.787</v>
      </c>
      <c r="CB838" s="5" t="n">
        <v>0</v>
      </c>
      <c r="CC838" s="5" t="n">
        <v>78.125</v>
      </c>
      <c r="CD838" s="5" t="n">
        <v>7.95</v>
      </c>
      <c r="CE838" s="5" t="n">
        <v>39.721</v>
      </c>
      <c r="CF838" s="5" t="n">
        <v>141.415</v>
      </c>
      <c r="CG838" s="5" t="n">
        <v>0.2</v>
      </c>
      <c r="CH838" s="5" t="n">
        <v>1</v>
      </c>
      <c r="CI838" s="5" t="n">
        <v>0</v>
      </c>
      <c r="CJ838" s="5" t="n">
        <v>0</v>
      </c>
      <c r="CK838" s="5" t="n">
        <v>0</v>
      </c>
      <c r="CL838" s="5" t="n">
        <v>0</v>
      </c>
      <c r="CM838" s="5" t="n">
        <v>0</v>
      </c>
      <c r="CN838" s="5" t="n">
        <v>0.914</v>
      </c>
      <c r="CO838" s="5" t="n">
        <v>1.816</v>
      </c>
      <c r="CP838" s="5" t="n">
        <v>0</v>
      </c>
      <c r="CQ838" s="5" t="n">
        <v>1.198</v>
      </c>
      <c r="CR838" s="5" t="n">
        <v>0</v>
      </c>
      <c r="CS838" s="5" t="n">
        <v>5.221</v>
      </c>
      <c r="CT838" s="5" t="n">
        <v>7.447</v>
      </c>
      <c r="CU838" s="5" t="n">
        <v>14.931</v>
      </c>
    </row>
    <row r="839">
      <c r="A839" s="5" t="inlineStr">
        <is>
          <t>GBR2022</t>
        </is>
      </c>
      <c r="B839" s="5" t="inlineStr">
        <is>
          <t>GBR</t>
        </is>
      </c>
      <c r="C839" s="5" t="inlineStr">
        <is>
          <t>GBR</t>
        </is>
      </c>
      <c r="D839" s="5" t="inlineStr">
        <is>
          <t>United Kingdom</t>
        </is>
      </c>
      <c r="E839" s="5" t="n">
        <v>2022</v>
      </c>
      <c r="F839" s="5" t="n">
        <v>0.2</v>
      </c>
      <c r="G839" s="5" t="n">
        <v>7.85</v>
      </c>
      <c r="H839" s="5" t="n">
        <v>1.219</v>
      </c>
      <c r="I839" s="5" t="n">
        <v>11.883</v>
      </c>
      <c r="J839" s="5" t="n">
        <v>19.733</v>
      </c>
      <c r="K839" s="5" t="n">
        <v>0</v>
      </c>
      <c r="L839" s="5" t="n">
        <v>1</v>
      </c>
      <c r="M839" s="5" t="n">
        <v>9.981</v>
      </c>
      <c r="N839" s="5" t="n">
        <v>4.121</v>
      </c>
      <c r="O839" s="5" t="n">
        <v>9.68</v>
      </c>
      <c r="P839" s="5" t="n">
        <v>19.661</v>
      </c>
      <c r="Q839" s="5" t="n">
        <v>0</v>
      </c>
      <c r="R839" s="5" t="n">
        <v>1</v>
      </c>
      <c r="S839" s="5" t="n">
        <v>20.41</v>
      </c>
      <c r="T839" s="5" t="n">
        <v>9.996</v>
      </c>
      <c r="U839" s="5" t="n">
        <v>0.108</v>
      </c>
      <c r="V839" s="5" t="n">
        <v>24.622</v>
      </c>
      <c r="W839" s="5" t="n">
        <v>0.2</v>
      </c>
      <c r="X839" s="5" t="n">
        <v>1</v>
      </c>
      <c r="Y839" s="5" t="n">
        <v>35.24</v>
      </c>
      <c r="Z839" s="5" t="n">
        <v>3.697</v>
      </c>
      <c r="AA839" s="5" t="n">
        <v>-5.161</v>
      </c>
      <c r="AB839" s="5" t="n">
        <v>30.078</v>
      </c>
      <c r="AC839" s="5" t="n">
        <v>0</v>
      </c>
      <c r="AD839" s="5" t="n">
        <v>1</v>
      </c>
      <c r="AE839" s="5" t="n">
        <v>30.427</v>
      </c>
      <c r="AF839" s="5" t="n">
        <v>5.641</v>
      </c>
      <c r="AG839" s="5" t="n">
        <v>-6.571</v>
      </c>
      <c r="AH839" s="5" t="n">
        <v>23.856</v>
      </c>
      <c r="AI839" s="5" t="n">
        <v>0</v>
      </c>
      <c r="AJ839" s="5" t="n">
        <v>1</v>
      </c>
      <c r="AK839" s="5" t="n">
        <v>38.08</v>
      </c>
      <c r="AL839" s="5" t="n">
        <v>18.185</v>
      </c>
      <c r="AM839" s="5" t="n">
        <v>-11.196</v>
      </c>
      <c r="AN839" s="5" t="n">
        <v>32.261</v>
      </c>
      <c r="AO839" s="5" t="n">
        <v>0.2</v>
      </c>
      <c r="AP839" s="5" t="n">
        <v>1</v>
      </c>
      <c r="AQ839" s="5" t="n">
        <v>0.861</v>
      </c>
      <c r="AR839" s="5" t="n">
        <v>0.123</v>
      </c>
      <c r="AS839" s="5" t="n">
        <v>0.836</v>
      </c>
      <c r="AT839" s="5" t="n">
        <v>2.037</v>
      </c>
      <c r="AU839" s="5" t="n">
        <v>0.2</v>
      </c>
      <c r="AV839" s="5" t="n">
        <v>1</v>
      </c>
      <c r="AW839" s="5" t="n">
        <v>0.986</v>
      </c>
      <c r="AX839" s="5" t="n">
        <v>0.123</v>
      </c>
      <c r="AY839" s="5" t="n">
        <v>0.853</v>
      </c>
      <c r="AZ839" s="5" t="n">
        <v>2.208</v>
      </c>
      <c r="BA839" s="5" t="n">
        <v>0.2</v>
      </c>
      <c r="BB839" s="5" t="n">
        <v>1</v>
      </c>
      <c r="BC839" s="5" t="n">
        <v>0.598</v>
      </c>
      <c r="BD839" s="5" t="n">
        <v>0.123</v>
      </c>
      <c r="BE839" s="5" t="n">
        <v>0.154</v>
      </c>
      <c r="BF839" s="5" t="n">
        <v>0.902</v>
      </c>
      <c r="BG839" s="5" t="n">
        <v>0.2</v>
      </c>
      <c r="BH839" s="5" t="n">
        <v>1</v>
      </c>
      <c r="BI839" s="5" t="n">
        <v>0.612</v>
      </c>
      <c r="BJ839" s="5" t="n">
        <v>0.123</v>
      </c>
      <c r="BK839" s="5" t="n">
        <v>0.327</v>
      </c>
      <c r="BL839" s="5" t="n">
        <v>1.127</v>
      </c>
      <c r="BM839" s="5" t="n">
        <v>0.2</v>
      </c>
      <c r="BN839" s="5" t="n">
        <v>1</v>
      </c>
      <c r="BO839" s="5" t="n">
        <v>0</v>
      </c>
      <c r="BP839" s="5" t="n">
        <v>0.034</v>
      </c>
      <c r="BQ839" s="5" t="n">
        <v>0.254</v>
      </c>
      <c r="BR839" s="5" t="n">
        <v>0</v>
      </c>
      <c r="BS839" s="5" t="n">
        <v>1</v>
      </c>
      <c r="BT839" s="5" t="n">
        <v>0</v>
      </c>
      <c r="BU839" s="5" t="n">
        <v>0.043</v>
      </c>
      <c r="BV839" s="5" t="n">
        <v>0.415</v>
      </c>
      <c r="BW839" s="5" t="n">
        <v>0.05</v>
      </c>
      <c r="BX839" s="5" t="n">
        <v>1</v>
      </c>
      <c r="BY839" s="5" t="n">
        <v>12.729</v>
      </c>
      <c r="BZ839" s="5" t="n">
        <v>0</v>
      </c>
      <c r="CA839" s="5" t="n">
        <v>12.729</v>
      </c>
      <c r="CB839" s="5" t="n">
        <v>0</v>
      </c>
      <c r="CC839" s="5" t="n">
        <v>97.90000000000001</v>
      </c>
      <c r="CD839" s="5" t="n">
        <v>7.95</v>
      </c>
      <c r="CE839" s="5" t="n">
        <v>95.393</v>
      </c>
      <c r="CF839" s="5" t="n">
        <v>231.952</v>
      </c>
      <c r="CG839" s="5" t="n">
        <v>0.2</v>
      </c>
      <c r="CH839" s="5" t="n">
        <v>1</v>
      </c>
      <c r="CI839" s="5" t="n">
        <v>0</v>
      </c>
      <c r="CJ839" s="5" t="n">
        <v>0</v>
      </c>
      <c r="CK839" s="5" t="n">
        <v>0</v>
      </c>
      <c r="CL839" s="5" t="n">
        <v>0</v>
      </c>
      <c r="CM839" s="5" t="n">
        <v>0</v>
      </c>
      <c r="CN839" s="5" t="n">
        <v>1.12</v>
      </c>
      <c r="CO839" s="5" t="n">
        <v>1.89</v>
      </c>
      <c r="CP839" s="5" t="n">
        <v>0</v>
      </c>
      <c r="CQ839" s="5" t="n">
        <v>1.294</v>
      </c>
      <c r="CR839" s="5" t="n">
        <v>0</v>
      </c>
      <c r="CS839" s="5" t="n">
        <v>5.638</v>
      </c>
      <c r="CT839" s="5" t="n">
        <v>19.027</v>
      </c>
      <c r="CU839" s="5" t="n">
        <v>24.415</v>
      </c>
    </row>
    <row r="840">
      <c r="A840" s="5" t="inlineStr">
        <is>
          <t>GBR2023</t>
        </is>
      </c>
      <c r="B840" s="5" t="inlineStr">
        <is>
          <t>GBR</t>
        </is>
      </c>
      <c r="C840" s="5" t="inlineStr">
        <is>
          <t>GBR</t>
        </is>
      </c>
      <c r="D840" s="5" t="inlineStr">
        <is>
          <t>United Kingdom</t>
        </is>
      </c>
      <c r="E840" s="5" t="n">
        <v>2023</v>
      </c>
      <c r="F840" s="5" t="n">
        <v>0.2</v>
      </c>
      <c r="G840" s="5" t="n">
        <v>12.936</v>
      </c>
      <c r="H840" s="5" t="n">
        <v>2.946</v>
      </c>
      <c r="I840" s="5" t="n">
        <v>11.178</v>
      </c>
      <c r="J840" s="5" t="n">
        <v>24.114</v>
      </c>
      <c r="K840" s="5" t="n">
        <v>0</v>
      </c>
      <c r="L840" s="5" t="n">
        <v>1</v>
      </c>
      <c r="M840" s="5" t="n">
        <v>14.03</v>
      </c>
      <c r="N840" s="5" t="n">
        <v>6.958</v>
      </c>
      <c r="O840" s="5" t="n">
        <v>9.073</v>
      </c>
      <c r="P840" s="5" t="n">
        <v>23.103</v>
      </c>
      <c r="Q840" s="5" t="n">
        <v>0</v>
      </c>
      <c r="R840" s="5" t="n">
        <v>1</v>
      </c>
      <c r="S840" s="5" t="n">
        <v>30.588</v>
      </c>
      <c r="T840" s="5" t="n">
        <v>19.182</v>
      </c>
      <c r="U840" s="5" t="n">
        <v>0.122</v>
      </c>
      <c r="V840" s="5" t="n">
        <v>36.852</v>
      </c>
      <c r="W840" s="5" t="n">
        <v>0.2</v>
      </c>
      <c r="X840" s="5" t="n">
        <v>1</v>
      </c>
      <c r="Y840" s="5" t="n">
        <v>22.551</v>
      </c>
      <c r="Z840" s="5" t="n">
        <v>2.526</v>
      </c>
      <c r="AA840" s="5" t="n">
        <v>9.079000000000001</v>
      </c>
      <c r="AB840" s="5" t="n">
        <v>31.63</v>
      </c>
      <c r="AC840" s="5" t="n">
        <v>0</v>
      </c>
      <c r="AD840" s="5" t="n">
        <v>1</v>
      </c>
      <c r="AE840" s="5" t="n">
        <v>17.789</v>
      </c>
      <c r="AF840" s="5" t="n">
        <v>3.543</v>
      </c>
      <c r="AG840" s="5" t="n">
        <v>7.601</v>
      </c>
      <c r="AH840" s="5" t="n">
        <v>25.39</v>
      </c>
      <c r="AI840" s="5" t="n">
        <v>0</v>
      </c>
      <c r="AJ840" s="5" t="n">
        <v>1</v>
      </c>
      <c r="AK840" s="5" t="n">
        <v>25.748</v>
      </c>
      <c r="AL840" s="5" t="n">
        <v>12.755</v>
      </c>
      <c r="AM840" s="5" t="n">
        <v>2.682</v>
      </c>
      <c r="AN840" s="5" t="n">
        <v>34.116</v>
      </c>
      <c r="AO840" s="5" t="n">
        <v>0.2</v>
      </c>
      <c r="AP840" s="5" t="n">
        <v>1</v>
      </c>
      <c r="AQ840" s="5" t="n">
        <v>0.76</v>
      </c>
      <c r="AR840" s="5" t="n">
        <v>0.129</v>
      </c>
      <c r="AS840" s="5" t="n">
        <v>0.772</v>
      </c>
      <c r="AT840" s="5" t="n">
        <v>1.839</v>
      </c>
      <c r="AU840" s="5" t="n">
        <v>0.2</v>
      </c>
      <c r="AV840" s="5" t="n">
        <v>1</v>
      </c>
      <c r="AW840" s="5" t="n">
        <v>0.8110000000000001</v>
      </c>
      <c r="AX840" s="5" t="n">
        <v>0.129</v>
      </c>
      <c r="AY840" s="5" t="n">
        <v>0.841</v>
      </c>
      <c r="AZ840" s="5" t="n">
        <v>1.983</v>
      </c>
      <c r="BA840" s="5" t="n">
        <v>0.2</v>
      </c>
      <c r="BB840" s="5" t="n">
        <v>1</v>
      </c>
      <c r="BC840" s="5" t="n">
        <v>0.535</v>
      </c>
      <c r="BD840" s="5" t="n">
        <v>0.129</v>
      </c>
      <c r="BE840" s="5" t="n">
        <v>0.264</v>
      </c>
      <c r="BF840" s="5" t="n">
        <v>0.958</v>
      </c>
      <c r="BG840" s="5" t="n">
        <v>0.2</v>
      </c>
      <c r="BH840" s="5" t="n">
        <v>1</v>
      </c>
      <c r="BI840" s="5" t="n">
        <v>0.579</v>
      </c>
      <c r="BJ840" s="5" t="n">
        <v>0.129</v>
      </c>
      <c r="BK840" s="5" t="n">
        <v>0.183</v>
      </c>
      <c r="BL840" s="5" t="n">
        <v>0.915</v>
      </c>
      <c r="BM840" s="5" t="n">
        <v>0.2</v>
      </c>
      <c r="BN840" s="5" t="n">
        <v>1</v>
      </c>
      <c r="BO840" s="5" t="n">
        <v>0</v>
      </c>
      <c r="BP840" s="5" t="n">
        <v>0.037</v>
      </c>
      <c r="BQ840" s="5" t="n">
        <v>0.345</v>
      </c>
      <c r="BR840" s="5" t="n">
        <v>0</v>
      </c>
      <c r="BS840" s="5" t="n">
        <v>1</v>
      </c>
      <c r="BT840" s="5" t="n">
        <v>0</v>
      </c>
      <c r="BU840" s="5" t="n">
        <v>0.07199999999999999</v>
      </c>
      <c r="BV840" s="5" t="n">
        <v>0.433</v>
      </c>
      <c r="BW840" s="5" t="n">
        <v>0.05</v>
      </c>
      <c r="BX840" s="5" t="n">
        <v>1</v>
      </c>
      <c r="BY840" s="5" t="n">
        <v>13.254</v>
      </c>
      <c r="BZ840" s="5" t="n">
        <v>0</v>
      </c>
      <c r="CA840" s="5" t="n">
        <v>13.254</v>
      </c>
      <c r="CB840" s="5" t="n">
        <v>0</v>
      </c>
      <c r="CC840" s="5" t="n">
        <v>83.248</v>
      </c>
      <c r="CD840" s="5" t="n">
        <v>7.95</v>
      </c>
      <c r="CE840" s="5" t="n">
        <v>83.386</v>
      </c>
      <c r="CF840" s="5" t="n">
        <v>199.961</v>
      </c>
      <c r="CG840" s="5" t="n">
        <v>0.2</v>
      </c>
      <c r="CH840" s="5" t="n">
        <v>1</v>
      </c>
      <c r="CI840" s="5" t="n">
        <v>0</v>
      </c>
      <c r="CJ840" s="5" t="n">
        <v>0</v>
      </c>
      <c r="CK840" s="5" t="n">
        <v>0</v>
      </c>
      <c r="CL840" s="5" t="n">
        <v>0</v>
      </c>
      <c r="CM840" s="5" t="n">
        <v>0</v>
      </c>
      <c r="CN840" s="5" t="n">
        <v>0.989</v>
      </c>
      <c r="CO840" s="5" t="n">
        <v>1.703</v>
      </c>
      <c r="CP840" s="5" t="n">
        <v>0</v>
      </c>
      <c r="CQ840" s="5" t="n">
        <v>1.348</v>
      </c>
      <c r="CR840" s="5" t="n">
        <v>0</v>
      </c>
      <c r="CS840" s="5" t="n">
        <v>5.871</v>
      </c>
      <c r="CT840" s="5" t="n">
        <v>9.154999999999999</v>
      </c>
      <c r="CU840" s="5" t="n">
        <v>11.675</v>
      </c>
    </row>
    <row r="841">
      <c r="A841" s="5" t="inlineStr">
        <is>
          <t>GBR2024</t>
        </is>
      </c>
      <c r="B841" s="5" t="inlineStr">
        <is>
          <t>GBR</t>
        </is>
      </c>
      <c r="C841" s="5" t="inlineStr">
        <is>
          <t>GBR</t>
        </is>
      </c>
      <c r="D841" s="5" t="inlineStr">
        <is>
          <t>United Kingdom</t>
        </is>
      </c>
      <c r="E841" s="5" t="n">
        <v>2024</v>
      </c>
      <c r="F841" s="5" t="n">
        <v>0.2</v>
      </c>
      <c r="G841" s="5" t="n">
        <v>13.133</v>
      </c>
      <c r="H841" s="5" t="n">
        <v>3.327</v>
      </c>
      <c r="I841" s="5" t="n">
        <v>7.055</v>
      </c>
      <c r="J841" s="5" t="n">
        <v>20.188</v>
      </c>
      <c r="K841" s="5" t="n">
        <v>0</v>
      </c>
      <c r="L841" s="5" t="n">
        <v>1</v>
      </c>
      <c r="M841" s="5" t="n">
        <v>14.313</v>
      </c>
      <c r="N841" s="5" t="n">
        <v>7.797</v>
      </c>
      <c r="O841" s="5" t="n">
        <v>4.935</v>
      </c>
      <c r="P841" s="5" t="n">
        <v>19.248</v>
      </c>
      <c r="Q841" s="5" t="n">
        <v>0</v>
      </c>
      <c r="R841" s="5" t="n">
        <v>1</v>
      </c>
      <c r="S841" s="5" t="n">
        <v>31.19</v>
      </c>
      <c r="T841" s="5" t="n">
        <v>20.649</v>
      </c>
      <c r="U841" s="5" t="n">
        <v>0.125</v>
      </c>
      <c r="V841" s="5" t="n">
        <v>37.578</v>
      </c>
      <c r="W841" s="5" t="n">
        <v>0.2</v>
      </c>
      <c r="X841" s="5" t="n">
        <v>1</v>
      </c>
      <c r="Y841" s="5" t="n">
        <v>32.277</v>
      </c>
      <c r="Z841" s="5" t="n">
        <v>4.076</v>
      </c>
      <c r="AA841" s="5" t="n">
        <v>2.671</v>
      </c>
      <c r="AB841" s="5" t="n">
        <v>34.948</v>
      </c>
      <c r="AC841" s="5" t="n">
        <v>0</v>
      </c>
      <c r="AD841" s="5" t="n">
        <v>1</v>
      </c>
      <c r="AE841" s="5" t="n">
        <v>19.634</v>
      </c>
      <c r="AF841" s="5" t="n">
        <v>4.301</v>
      </c>
      <c r="AG841" s="5" t="n">
        <v>2.779</v>
      </c>
      <c r="AH841" s="5" t="n">
        <v>22.414</v>
      </c>
      <c r="AI841" s="5" t="n">
        <v>0</v>
      </c>
      <c r="AJ841" s="5" t="n">
        <v>1</v>
      </c>
      <c r="AK841" s="5" t="n">
        <v>27.108</v>
      </c>
      <c r="AL841" s="5" t="n">
        <v>13.788</v>
      </c>
      <c r="AM841" s="5" t="n">
        <v>-5.664</v>
      </c>
      <c r="AN841" s="5" t="n">
        <v>25.733</v>
      </c>
      <c r="AO841" s="5" t="n">
        <v>0.2</v>
      </c>
      <c r="AP841" s="5" t="n">
        <v>1</v>
      </c>
      <c r="AQ841" s="5" t="n">
        <v>0.724</v>
      </c>
      <c r="AR841" s="5" t="n">
        <v>0.132</v>
      </c>
      <c r="AS841" s="5" t="n">
        <v>0.785</v>
      </c>
      <c r="AT841" s="5" t="n">
        <v>1.811</v>
      </c>
      <c r="AU841" s="5" t="n">
        <v>0.2</v>
      </c>
      <c r="AV841" s="5" t="n">
        <v>1</v>
      </c>
      <c r="AW841" s="5" t="n">
        <v>0.75</v>
      </c>
      <c r="AX841" s="5" t="n">
        <v>0.132</v>
      </c>
      <c r="AY841" s="5" t="n">
        <v>0.839</v>
      </c>
      <c r="AZ841" s="5" t="n">
        <v>1.908</v>
      </c>
      <c r="BA841" s="5" t="n">
        <v>0.2</v>
      </c>
      <c r="BB841" s="5" t="n">
        <v>1</v>
      </c>
      <c r="BC841" s="5" t="n">
        <v>0.513</v>
      </c>
      <c r="BD841" s="5" t="n">
        <v>0.132</v>
      </c>
      <c r="BE841" s="5" t="n">
        <v>0.413</v>
      </c>
      <c r="BF841" s="5" t="n">
        <v>1.111</v>
      </c>
      <c r="BG841" s="5" t="n">
        <v>0.2</v>
      </c>
      <c r="BH841" s="5" t="n">
        <v>1</v>
      </c>
      <c r="BI841" s="5" t="n">
        <v>0.591</v>
      </c>
      <c r="BJ841" s="5" t="n">
        <v>0.132</v>
      </c>
      <c r="BK841" s="5" t="n">
        <v>0.114</v>
      </c>
      <c r="BL841" s="5" t="n">
        <v>0.846</v>
      </c>
      <c r="BM841" s="5" t="n">
        <v>0.2</v>
      </c>
      <c r="BN841" s="5" t="n">
        <v>1</v>
      </c>
      <c r="BO841" s="5" t="n">
        <v>0</v>
      </c>
      <c r="BP841" s="5" t="n">
        <v>0.044</v>
      </c>
      <c r="BQ841" s="5" t="n">
        <v>0.338</v>
      </c>
      <c r="BR841" s="5" t="n">
        <v>0</v>
      </c>
      <c r="BS841" s="5" t="n">
        <v>1</v>
      </c>
      <c r="BT841" s="5" t="n">
        <v>0</v>
      </c>
      <c r="BU841" s="5" t="n">
        <v>0.053</v>
      </c>
      <c r="BV841" s="5" t="n">
        <v>0.384</v>
      </c>
      <c r="BW841" s="5" t="n">
        <v>0.05</v>
      </c>
      <c r="BX841" s="5" t="n">
        <v>1</v>
      </c>
      <c r="BY841" s="5" t="n">
        <v>13.646</v>
      </c>
      <c r="BZ841" s="5" t="n">
        <v>0</v>
      </c>
      <c r="CA841" s="5" t="n">
        <v>13.646</v>
      </c>
      <c r="CB841" s="5" t="n">
        <v>0</v>
      </c>
      <c r="CC841" s="5" t="n">
        <v>82.58799999999999</v>
      </c>
      <c r="CD841" s="5" t="n">
        <v>7.95</v>
      </c>
      <c r="CE841" s="5" t="n">
        <v>61.413</v>
      </c>
      <c r="CF841" s="5" t="n">
        <v>172.801</v>
      </c>
      <c r="CG841" s="5" t="n">
        <v>0.2</v>
      </c>
      <c r="CH841" s="5" t="n">
        <v>1</v>
      </c>
      <c r="CI841" s="5" t="n">
        <v>0</v>
      </c>
      <c r="CJ841" s="5" t="n">
        <v>0</v>
      </c>
      <c r="CK841" s="5" t="n">
        <v>0</v>
      </c>
      <c r="CL841" s="5" t="n">
        <v>0</v>
      </c>
      <c r="CM841" s="5" t="n">
        <v>0</v>
      </c>
      <c r="CN841" s="5" t="n">
        <v>0.985</v>
      </c>
      <c r="CO841" s="5" t="n">
        <v>1.796</v>
      </c>
      <c r="CP841" s="5" t="n">
        <v>0</v>
      </c>
      <c r="CQ841" s="5" t="n">
        <v>1.387</v>
      </c>
      <c r="CR841" s="5" t="n">
        <v>0</v>
      </c>
      <c r="CS841" s="5" t="n">
        <v>6.044</v>
      </c>
      <c r="CT841" s="5" t="n">
        <v>7.164</v>
      </c>
      <c r="CU841" s="5" t="n">
        <v>10.029</v>
      </c>
    </row>
    <row r="842">
      <c r="A842" s="5" t="inlineStr">
        <is>
          <t>USA2021</t>
        </is>
      </c>
      <c r="B842" s="5" t="inlineStr">
        <is>
          <t>USA</t>
        </is>
      </c>
      <c r="C842" s="5" t="inlineStr">
        <is>
          <t>USA</t>
        </is>
      </c>
      <c r="D842" s="5" t="inlineStr">
        <is>
          <t>United States</t>
        </is>
      </c>
      <c r="E842" s="5" t="n">
        <v>2021</v>
      </c>
      <c r="F842" s="5" t="n">
        <v>0.07000000000000001</v>
      </c>
      <c r="G842" s="5" t="n">
        <v>1.586</v>
      </c>
      <c r="H842" s="5" t="n">
        <v>0.347</v>
      </c>
      <c r="I842" s="5" t="n">
        <v>0.187</v>
      </c>
      <c r="J842" s="5" t="n">
        <v>1.774</v>
      </c>
      <c r="K842" s="5" t="n">
        <v>0</v>
      </c>
      <c r="L842" s="5" t="n">
        <v>1</v>
      </c>
      <c r="M842" s="5" t="n">
        <v>2.349</v>
      </c>
      <c r="N842" s="5" t="n">
        <v>1.065</v>
      </c>
      <c r="O842" s="5" t="n">
        <v>0.113</v>
      </c>
      <c r="P842" s="5" t="n">
        <v>2.462</v>
      </c>
      <c r="Q842" s="5" t="n">
        <v>0</v>
      </c>
      <c r="R842" s="5" t="n">
        <v>1</v>
      </c>
      <c r="S842" s="5" t="n">
        <v>4.852</v>
      </c>
      <c r="T842" s="5" t="n">
        <v>3.468</v>
      </c>
      <c r="U842" s="5" t="n">
        <v>0.08699999999999999</v>
      </c>
      <c r="V842" s="5" t="n">
        <v>5.284</v>
      </c>
      <c r="W842" s="5" t="n">
        <v>0.07000000000000001</v>
      </c>
      <c r="X842" s="5" t="n">
        <v>1</v>
      </c>
      <c r="Y842" s="5" t="n">
        <v>4.712</v>
      </c>
      <c r="Z842" s="5" t="n">
        <v>0.521</v>
      </c>
      <c r="AA842" s="5" t="n">
        <v>0.11</v>
      </c>
      <c r="AB842" s="5" t="n">
        <v>4.822</v>
      </c>
      <c r="AC842" s="5" t="n">
        <v>0</v>
      </c>
      <c r="AD842" s="5" t="n">
        <v>1</v>
      </c>
      <c r="AE842" s="5" t="n">
        <v>8.75</v>
      </c>
      <c r="AF842" s="5" t="n">
        <v>1.722</v>
      </c>
      <c r="AG842" s="5" t="n">
        <v>0.062</v>
      </c>
      <c r="AH842" s="5" t="n">
        <v>8.811999999999999</v>
      </c>
      <c r="AI842" s="5" t="n">
        <v>0</v>
      </c>
      <c r="AJ842" s="5" t="n">
        <v>1</v>
      </c>
      <c r="AK842" s="5" t="n">
        <v>11.64</v>
      </c>
      <c r="AL842" s="5" t="n">
        <v>5.713</v>
      </c>
      <c r="AM842" s="5" t="n">
        <v>-1.191</v>
      </c>
      <c r="AN842" s="5" t="n">
        <v>11.181</v>
      </c>
      <c r="AO842" s="5" t="n">
        <v>0</v>
      </c>
      <c r="AP842" s="5" t="n">
        <v>1</v>
      </c>
      <c r="AQ842" s="5" t="n">
        <v>0.6840000000000001</v>
      </c>
      <c r="AR842" s="5" t="n">
        <v>0.114</v>
      </c>
      <c r="AS842" s="5" t="n">
        <v>0.146</v>
      </c>
      <c r="AT842" s="5" t="n">
        <v>0.888</v>
      </c>
      <c r="AU842" s="5" t="n">
        <v>0.07000000000000001</v>
      </c>
      <c r="AV842" s="5" t="n">
        <v>1</v>
      </c>
      <c r="AW842" s="5" t="n">
        <v>0.577</v>
      </c>
      <c r="AX842" s="5" t="n">
        <v>0.114</v>
      </c>
      <c r="AY842" s="5" t="n">
        <v>0.216</v>
      </c>
      <c r="AZ842" s="5" t="n">
        <v>0.848</v>
      </c>
      <c r="BA842" s="5" t="n">
        <v>0.07000000000000001</v>
      </c>
      <c r="BB842" s="5" t="n">
        <v>1</v>
      </c>
      <c r="BC842" s="5" t="n">
        <v>0.48</v>
      </c>
      <c r="BD842" s="5" t="n">
        <v>0.114</v>
      </c>
      <c r="BE842" s="5" t="n">
        <v>0.002</v>
      </c>
      <c r="BF842" s="5" t="n">
        <v>0.516</v>
      </c>
      <c r="BG842" s="5" t="n">
        <v>0.07000000000000001</v>
      </c>
      <c r="BH842" s="5" t="n">
        <v>1</v>
      </c>
      <c r="BI842" s="5" t="n">
        <v>0.5590000000000001</v>
      </c>
      <c r="BJ842" s="5" t="n">
        <v>0.114</v>
      </c>
      <c r="BK842" s="5" t="n">
        <v>0.218</v>
      </c>
      <c r="BL842" s="5" t="n">
        <v>0.831</v>
      </c>
      <c r="BM842" s="5" t="n">
        <v>0.07000000000000001</v>
      </c>
      <c r="BN842" s="5" t="n">
        <v>1</v>
      </c>
      <c r="BO842" s="5" t="n">
        <v>0</v>
      </c>
      <c r="BP842" s="5" t="n">
        <v>0.003</v>
      </c>
      <c r="BQ842" s="5" t="n">
        <v>0.116</v>
      </c>
      <c r="BR842" s="5" t="n">
        <v>0</v>
      </c>
      <c r="BS842" s="5" t="n">
        <v>1</v>
      </c>
      <c r="BT842" s="5" t="n">
        <v>0</v>
      </c>
      <c r="BU842" s="5" t="n">
        <v>-0.003</v>
      </c>
      <c r="BV842" s="5" t="n">
        <v>0.156</v>
      </c>
      <c r="BW842" s="5" t="n">
        <v>0.07000000000000001</v>
      </c>
      <c r="BX842" s="5" t="n">
        <v>1</v>
      </c>
      <c r="BY842" s="5" t="n">
        <v>11.787</v>
      </c>
      <c r="BZ842" s="5" t="n">
        <v>0</v>
      </c>
      <c r="CA842" s="5" t="n">
        <v>11.787</v>
      </c>
      <c r="CB842" s="5" t="n">
        <v>0</v>
      </c>
      <c r="CC842" s="5" t="n">
        <v>67.79000000000001</v>
      </c>
      <c r="CD842" s="5" t="n">
        <v>7.95</v>
      </c>
      <c r="CE842" s="5" t="n">
        <v>10.466</v>
      </c>
      <c r="CF842" s="5" t="n">
        <v>83.73399999999999</v>
      </c>
      <c r="CG842" s="5" t="n">
        <v>0.07000000000000001</v>
      </c>
      <c r="CH842" s="5" t="n">
        <v>1</v>
      </c>
      <c r="CI842" s="5" t="n">
        <v>0</v>
      </c>
      <c r="CJ842" s="5" t="n">
        <v>0</v>
      </c>
      <c r="CK842" s="5" t="n">
        <v>0</v>
      </c>
      <c r="CL842" s="5" t="n">
        <v>0.229</v>
      </c>
      <c r="CM842" s="5" t="n">
        <v>0</v>
      </c>
      <c r="CN842" s="5" t="n">
        <v>1.013</v>
      </c>
      <c r="CO842" s="5" t="n">
        <v>1.649</v>
      </c>
      <c r="CP842" s="5" t="n">
        <v>0</v>
      </c>
      <c r="CQ842" s="5" t="n">
        <v>1.364</v>
      </c>
      <c r="CR842" s="5" t="n">
        <v>0</v>
      </c>
      <c r="CS842" s="5" t="n">
        <v>3.624</v>
      </c>
      <c r="CT842" s="5" t="n">
        <v>3.136</v>
      </c>
      <c r="CU842" s="5" t="n">
        <v>3.624</v>
      </c>
    </row>
    <row r="843">
      <c r="A843" s="5" t="inlineStr">
        <is>
          <t>USA2022</t>
        </is>
      </c>
      <c r="B843" s="5" t="inlineStr">
        <is>
          <t>USA</t>
        </is>
      </c>
      <c r="C843" s="5" t="inlineStr">
        <is>
          <t>USA</t>
        </is>
      </c>
      <c r="D843" s="5" t="inlineStr">
        <is>
          <t>United States</t>
        </is>
      </c>
      <c r="E843" s="5" t="n">
        <v>2022</v>
      </c>
      <c r="F843" s="5" t="n">
        <v>0.07000000000000001</v>
      </c>
      <c r="G843" s="5" t="n">
        <v>1.892</v>
      </c>
      <c r="H843" s="5" t="n">
        <v>0.294</v>
      </c>
      <c r="I843" s="5" t="n">
        <v>0.217</v>
      </c>
      <c r="J843" s="5" t="n">
        <v>2.109</v>
      </c>
      <c r="K843" s="5" t="n">
        <v>0</v>
      </c>
      <c r="L843" s="5" t="n">
        <v>1</v>
      </c>
      <c r="M843" s="5" t="n">
        <v>2.833</v>
      </c>
      <c r="N843" s="5" t="n">
        <v>1.17</v>
      </c>
      <c r="O843" s="5" t="n">
        <v>0.2</v>
      </c>
      <c r="P843" s="5" t="n">
        <v>3.033</v>
      </c>
      <c r="Q843" s="5" t="n">
        <v>0</v>
      </c>
      <c r="R843" s="5" t="n">
        <v>1</v>
      </c>
      <c r="S843" s="5" t="n">
        <v>5.296</v>
      </c>
      <c r="T843" s="5" t="n">
        <v>3.756</v>
      </c>
      <c r="U843" s="5" t="n">
        <v>0.183</v>
      </c>
      <c r="V843" s="5" t="n">
        <v>5.833</v>
      </c>
      <c r="W843" s="5" t="n">
        <v>0.07000000000000001</v>
      </c>
      <c r="X843" s="5" t="n">
        <v>1</v>
      </c>
      <c r="Y843" s="5" t="n">
        <v>6.835</v>
      </c>
      <c r="Z843" s="5" t="n">
        <v>0.717</v>
      </c>
      <c r="AA843" s="5" t="n">
        <v>0.127</v>
      </c>
      <c r="AB843" s="5" t="n">
        <v>6.962</v>
      </c>
      <c r="AC843" s="5" t="n">
        <v>0</v>
      </c>
      <c r="AD843" s="5" t="n">
        <v>1</v>
      </c>
      <c r="AE843" s="5" t="n">
        <v>12.431</v>
      </c>
      <c r="AF843" s="5" t="n">
        <v>2.304</v>
      </c>
      <c r="AG843" s="5" t="n">
        <v>0.109</v>
      </c>
      <c r="AH843" s="5" t="n">
        <v>12.54</v>
      </c>
      <c r="AI843" s="5" t="n">
        <v>0</v>
      </c>
      <c r="AJ843" s="5" t="n">
        <v>1</v>
      </c>
      <c r="AK843" s="5" t="n">
        <v>15.546</v>
      </c>
      <c r="AL843" s="5" t="n">
        <v>7.424</v>
      </c>
      <c r="AM843" s="5" t="n">
        <v>-1.527</v>
      </c>
      <c r="AN843" s="5" t="n">
        <v>15</v>
      </c>
      <c r="AO843" s="5" t="n">
        <v>0</v>
      </c>
      <c r="AP843" s="5" t="n">
        <v>1</v>
      </c>
      <c r="AQ843" s="5" t="n">
        <v>0.9370000000000001</v>
      </c>
      <c r="AR843" s="5" t="n">
        <v>0.123</v>
      </c>
      <c r="AS843" s="5" t="n">
        <v>0.111</v>
      </c>
      <c r="AT843" s="5" t="n">
        <v>1.121</v>
      </c>
      <c r="AU843" s="5" t="n">
        <v>0.07000000000000001</v>
      </c>
      <c r="AV843" s="5" t="n">
        <v>1</v>
      </c>
      <c r="AW843" s="5" t="n">
        <v>0.89</v>
      </c>
      <c r="AX843" s="5" t="n">
        <v>0.123</v>
      </c>
      <c r="AY843" s="5" t="n">
        <v>0.334</v>
      </c>
      <c r="AZ843" s="5" t="n">
        <v>1.31</v>
      </c>
      <c r="BA843" s="5" t="n">
        <v>0.07000000000000001</v>
      </c>
      <c r="BB843" s="5" t="n">
        <v>1</v>
      </c>
      <c r="BC843" s="5" t="n">
        <v>0.646</v>
      </c>
      <c r="BD843" s="5" t="n">
        <v>0.123</v>
      </c>
      <c r="BE843" s="5" t="n">
        <v>0.007</v>
      </c>
      <c r="BF843" s="5" t="n">
        <v>0.695</v>
      </c>
      <c r="BG843" s="5" t="n">
        <v>0.07000000000000001</v>
      </c>
      <c r="BH843" s="5" t="n">
        <v>1</v>
      </c>
      <c r="BI843" s="5" t="n">
        <v>0.8</v>
      </c>
      <c r="BJ843" s="5" t="n">
        <v>0.123</v>
      </c>
      <c r="BK843" s="5" t="n">
        <v>0.414</v>
      </c>
      <c r="BL843" s="5" t="n">
        <v>1.299</v>
      </c>
      <c r="BM843" s="5" t="n">
        <v>0.07000000000000001</v>
      </c>
      <c r="BN843" s="5" t="n">
        <v>1</v>
      </c>
      <c r="BO843" s="5" t="n">
        <v>0</v>
      </c>
      <c r="BP843" s="5" t="n">
        <v>0.003</v>
      </c>
      <c r="BQ843" s="5" t="n">
        <v>0.14</v>
      </c>
      <c r="BR843" s="5" t="n">
        <v>0</v>
      </c>
      <c r="BS843" s="5" t="n">
        <v>1</v>
      </c>
      <c r="BT843" s="5" t="n">
        <v>0</v>
      </c>
      <c r="BU843" s="5" t="n">
        <v>-0.004</v>
      </c>
      <c r="BV843" s="5" t="n">
        <v>0.173</v>
      </c>
      <c r="BW843" s="5" t="n">
        <v>0.07000000000000001</v>
      </c>
      <c r="BX843" s="5" t="n">
        <v>1</v>
      </c>
      <c r="BY843" s="5" t="n">
        <v>12.729</v>
      </c>
      <c r="BZ843" s="5" t="n">
        <v>0</v>
      </c>
      <c r="CA843" s="5" t="n">
        <v>12.729</v>
      </c>
      <c r="CB843" s="5" t="n">
        <v>0</v>
      </c>
      <c r="CC843" s="5" t="n">
        <v>84.79000000000001</v>
      </c>
      <c r="CD843" s="5" t="n">
        <v>7.95</v>
      </c>
      <c r="CE843" s="5" t="n">
        <v>27.65</v>
      </c>
      <c r="CF843" s="5" t="n">
        <v>120.311</v>
      </c>
      <c r="CG843" s="5" t="n">
        <v>0.07000000000000001</v>
      </c>
      <c r="CH843" s="5" t="n">
        <v>1</v>
      </c>
      <c r="CI843" s="5" t="n">
        <v>0</v>
      </c>
      <c r="CJ843" s="5" t="n">
        <v>0</v>
      </c>
      <c r="CK843" s="5" t="n">
        <v>0</v>
      </c>
      <c r="CL843" s="5" t="n">
        <v>0.248</v>
      </c>
      <c r="CM843" s="5" t="n">
        <v>0</v>
      </c>
      <c r="CN843" s="5" t="n">
        <v>1.151</v>
      </c>
      <c r="CO843" s="5" t="n">
        <v>1.902</v>
      </c>
      <c r="CP843" s="5" t="n">
        <v>0</v>
      </c>
      <c r="CQ843" s="5" t="n">
        <v>1.473</v>
      </c>
      <c r="CR843" s="5" t="n">
        <v>0</v>
      </c>
      <c r="CS843" s="5" t="n">
        <v>6.122</v>
      </c>
      <c r="CT843" s="5" t="n">
        <v>6.323</v>
      </c>
      <c r="CU843" s="5" t="n">
        <v>6.122</v>
      </c>
    </row>
    <row r="844">
      <c r="A844" s="5" t="inlineStr">
        <is>
          <t>USA2023</t>
        </is>
      </c>
      <c r="B844" s="5" t="inlineStr">
        <is>
          <t>USA</t>
        </is>
      </c>
      <c r="C844" s="5" t="inlineStr">
        <is>
          <t>USA</t>
        </is>
      </c>
      <c r="D844" s="5" t="inlineStr">
        <is>
          <t>United States</t>
        </is>
      </c>
      <c r="E844" s="5" t="n">
        <v>2023</v>
      </c>
      <c r="F844" s="5" t="n">
        <v>0.07000000000000001</v>
      </c>
      <c r="G844" s="5" t="n">
        <v>2.008</v>
      </c>
      <c r="H844" s="5" t="n">
        <v>0.457</v>
      </c>
      <c r="I844" s="5" t="n">
        <v>0.246</v>
      </c>
      <c r="J844" s="5" t="n">
        <v>2.254</v>
      </c>
      <c r="K844" s="5" t="n">
        <v>0</v>
      </c>
      <c r="L844" s="5" t="n">
        <v>1</v>
      </c>
      <c r="M844" s="5" t="n">
        <v>3.383</v>
      </c>
      <c r="N844" s="5" t="n">
        <v>1.678</v>
      </c>
      <c r="O844" s="5" t="n">
        <v>0.288</v>
      </c>
      <c r="P844" s="5" t="n">
        <v>3.671</v>
      </c>
      <c r="Q844" s="5" t="n">
        <v>0</v>
      </c>
      <c r="R844" s="5" t="n">
        <v>1</v>
      </c>
      <c r="S844" s="5" t="n">
        <v>5.451</v>
      </c>
      <c r="T844" s="5" t="n">
        <v>3.894</v>
      </c>
      <c r="U844" s="5" t="n">
        <v>0.268</v>
      </c>
      <c r="V844" s="5" t="n">
        <v>6.072</v>
      </c>
      <c r="W844" s="5" t="n">
        <v>0.07000000000000001</v>
      </c>
      <c r="X844" s="5" t="n">
        <v>1</v>
      </c>
      <c r="Y844" s="5" t="n">
        <v>3.187</v>
      </c>
      <c r="Z844" s="5" t="n">
        <v>0.357</v>
      </c>
      <c r="AA844" s="5" t="n">
        <v>0.144</v>
      </c>
      <c r="AB844" s="5" t="n">
        <v>3.331</v>
      </c>
      <c r="AC844" s="5" t="n">
        <v>0</v>
      </c>
      <c r="AD844" s="5" t="n">
        <v>1</v>
      </c>
      <c r="AE844" s="5" t="n">
        <v>9.375</v>
      </c>
      <c r="AF844" s="5" t="n">
        <v>1.867</v>
      </c>
      <c r="AG844" s="5" t="n">
        <v>0.156</v>
      </c>
      <c r="AH844" s="5" t="n">
        <v>9.531000000000001</v>
      </c>
      <c r="AI844" s="5" t="n">
        <v>0</v>
      </c>
      <c r="AJ844" s="5" t="n">
        <v>1</v>
      </c>
      <c r="AK844" s="5" t="n">
        <v>12.623</v>
      </c>
      <c r="AL844" s="5" t="n">
        <v>6.253</v>
      </c>
      <c r="AM844" s="5" t="n">
        <v>-1.265</v>
      </c>
      <c r="AN844" s="5" t="n">
        <v>12.153</v>
      </c>
      <c r="AO844" s="5" t="n">
        <v>0</v>
      </c>
      <c r="AP844" s="5" t="n">
        <v>1</v>
      </c>
      <c r="AQ844" s="5" t="n">
        <v>0.8139999999999999</v>
      </c>
      <c r="AR844" s="5" t="n">
        <v>0.129</v>
      </c>
      <c r="AS844" s="5" t="n">
        <v>0.13</v>
      </c>
      <c r="AT844" s="5" t="n">
        <v>1.01</v>
      </c>
      <c r="AU844" s="5" t="n">
        <v>0.07000000000000001</v>
      </c>
      <c r="AV844" s="5" t="n">
        <v>1</v>
      </c>
      <c r="AW844" s="5" t="n">
        <v>0.618</v>
      </c>
      <c r="AX844" s="5" t="n">
        <v>0.129</v>
      </c>
      <c r="AY844" s="5" t="n">
        <v>0.422</v>
      </c>
      <c r="AZ844" s="5" t="n">
        <v>1.113</v>
      </c>
      <c r="BA844" s="5" t="n">
        <v>0.07000000000000001</v>
      </c>
      <c r="BB844" s="5" t="n">
        <v>1</v>
      </c>
      <c r="BC844" s="5" t="n">
        <v>0.569</v>
      </c>
      <c r="BD844" s="5" t="n">
        <v>0.129</v>
      </c>
      <c r="BE844" s="5" t="n">
        <v>0.008999999999999999</v>
      </c>
      <c r="BF844" s="5" t="n">
        <v>0.614</v>
      </c>
      <c r="BG844" s="5" t="n">
        <v>0.07000000000000001</v>
      </c>
      <c r="BH844" s="5" t="n">
        <v>1</v>
      </c>
      <c r="BI844" s="5" t="n">
        <v>0.697</v>
      </c>
      <c r="BJ844" s="5" t="n">
        <v>0.129</v>
      </c>
      <c r="BK844" s="5" t="n">
        <v>0.321</v>
      </c>
      <c r="BL844" s="5" t="n">
        <v>1.089</v>
      </c>
      <c r="BM844" s="5" t="n">
        <v>0.07000000000000001</v>
      </c>
      <c r="BN844" s="5" t="n">
        <v>1</v>
      </c>
      <c r="BO844" s="5" t="n">
        <v>0</v>
      </c>
      <c r="BP844" s="5" t="n">
        <v>0.003</v>
      </c>
      <c r="BQ844" s="5" t="n">
        <v>0.144</v>
      </c>
      <c r="BR844" s="5" t="n">
        <v>0</v>
      </c>
      <c r="BS844" s="5" t="n">
        <v>1</v>
      </c>
      <c r="BT844" s="5" t="n">
        <v>0</v>
      </c>
      <c r="BU844" s="5" t="n">
        <v>-0.004</v>
      </c>
      <c r="BV844" s="5" t="n">
        <v>0.169</v>
      </c>
      <c r="BW844" s="5" t="n">
        <v>0.07000000000000001</v>
      </c>
      <c r="BX844" s="5" t="n">
        <v>1</v>
      </c>
      <c r="BY844" s="5" t="n">
        <v>13.254</v>
      </c>
      <c r="BZ844" s="5" t="n">
        <v>0</v>
      </c>
      <c r="CA844" s="5" t="n">
        <v>13.254</v>
      </c>
      <c r="CB844" s="5" t="n">
        <v>0</v>
      </c>
      <c r="CC844" s="5" t="n">
        <v>68.569</v>
      </c>
      <c r="CD844" s="5" t="n">
        <v>7.95</v>
      </c>
      <c r="CE844" s="5" t="n">
        <v>41.73</v>
      </c>
      <c r="CF844" s="5" t="n">
        <v>118.02</v>
      </c>
      <c r="CG844" s="5" t="n">
        <v>0.07000000000000001</v>
      </c>
      <c r="CH844" s="5" t="n">
        <v>1</v>
      </c>
      <c r="CI844" s="5" t="n">
        <v>0</v>
      </c>
      <c r="CJ844" s="5" t="n">
        <v>0</v>
      </c>
      <c r="CK844" s="5" t="n">
        <v>0</v>
      </c>
      <c r="CL844" s="5" t="n">
        <v>0.258</v>
      </c>
      <c r="CM844" s="5" t="n">
        <v>0</v>
      </c>
      <c r="CN844" s="5" t="n">
        <v>1.25</v>
      </c>
      <c r="CO844" s="5" t="n">
        <v>2.124</v>
      </c>
      <c r="CP844" s="5" t="n">
        <v>0</v>
      </c>
      <c r="CQ844" s="5" t="n">
        <v>1.534</v>
      </c>
      <c r="CR844" s="5" t="n">
        <v>0</v>
      </c>
      <c r="CS844" s="5" t="n">
        <v>2.445</v>
      </c>
      <c r="CT844" s="5" t="n">
        <v>3.961</v>
      </c>
      <c r="CU844" s="5" t="n">
        <v>2.445</v>
      </c>
    </row>
    <row r="845">
      <c r="A845" s="5" t="inlineStr">
        <is>
          <t>USA2024</t>
        </is>
      </c>
      <c r="B845" s="5" t="inlineStr">
        <is>
          <t>USA</t>
        </is>
      </c>
      <c r="C845" s="5" t="inlineStr">
        <is>
          <t>USA</t>
        </is>
      </c>
      <c r="D845" s="5" t="inlineStr">
        <is>
          <t>United States</t>
        </is>
      </c>
      <c r="E845" s="5" t="n">
        <v>2024</v>
      </c>
      <c r="F845" s="5" t="n">
        <v>0.07000000000000001</v>
      </c>
      <c r="G845" s="5" t="n">
        <v>1.746</v>
      </c>
      <c r="H845" s="5" t="n">
        <v>0.442</v>
      </c>
      <c r="I845" s="5" t="n">
        <v>0.253</v>
      </c>
      <c r="J845" s="5" t="n">
        <v>1.999</v>
      </c>
      <c r="K845" s="5" t="n">
        <v>0</v>
      </c>
      <c r="L845" s="5" t="n">
        <v>1</v>
      </c>
      <c r="M845" s="5" t="n">
        <v>2.845</v>
      </c>
      <c r="N845" s="5" t="n">
        <v>1.55</v>
      </c>
      <c r="O845" s="5" t="n">
        <v>0.297</v>
      </c>
      <c r="P845" s="5" t="n">
        <v>3.141</v>
      </c>
      <c r="Q845" s="5" t="n">
        <v>0</v>
      </c>
      <c r="R845" s="5" t="n">
        <v>1</v>
      </c>
      <c r="S845" s="5" t="n">
        <v>5.618</v>
      </c>
      <c r="T845" s="5" t="n">
        <v>4.009</v>
      </c>
      <c r="U845" s="5" t="n">
        <v>0.286</v>
      </c>
      <c r="V845" s="5" t="n">
        <v>6.258</v>
      </c>
      <c r="W845" s="5" t="n">
        <v>0.07000000000000001</v>
      </c>
      <c r="X845" s="5" t="n">
        <v>1</v>
      </c>
      <c r="Y845" s="5" t="n">
        <v>2.492</v>
      </c>
      <c r="Z845" s="5" t="n">
        <v>0.315</v>
      </c>
      <c r="AA845" s="5" t="n">
        <v>0.148</v>
      </c>
      <c r="AB845" s="5" t="n">
        <v>2.64</v>
      </c>
      <c r="AC845" s="5" t="n">
        <v>0</v>
      </c>
      <c r="AD845" s="5" t="n">
        <v>1</v>
      </c>
      <c r="AE845" s="5" t="n">
        <v>8.52</v>
      </c>
      <c r="AF845" s="5" t="n">
        <v>1.866</v>
      </c>
      <c r="AG845" s="5" t="n">
        <v>0.161</v>
      </c>
      <c r="AH845" s="5" t="n">
        <v>8.680999999999999</v>
      </c>
      <c r="AI845" s="5" t="n">
        <v>0</v>
      </c>
      <c r="AJ845" s="5" t="n">
        <v>1</v>
      </c>
      <c r="AK845" s="5" t="n">
        <v>11.864</v>
      </c>
      <c r="AL845" s="5" t="n">
        <v>6.034</v>
      </c>
      <c r="AM845" s="5" t="n">
        <v>-1.285</v>
      </c>
      <c r="AN845" s="5" t="n">
        <v>11.319</v>
      </c>
      <c r="AO845" s="5" t="n">
        <v>0</v>
      </c>
      <c r="AP845" s="5" t="n">
        <v>1</v>
      </c>
      <c r="AQ845" s="5" t="n">
        <v>0.75</v>
      </c>
      <c r="AR845" s="5" t="n">
        <v>0.132</v>
      </c>
      <c r="AS845" s="5" t="n">
        <v>0.148</v>
      </c>
      <c r="AT845" s="5" t="n">
        <v>0.96</v>
      </c>
      <c r="AU845" s="5" t="n">
        <v>0.07000000000000001</v>
      </c>
      <c r="AV845" s="5" t="n">
        <v>1</v>
      </c>
      <c r="AW845" s="5" t="n">
        <v>0.655</v>
      </c>
      <c r="AX845" s="5" t="n">
        <v>0.132</v>
      </c>
      <c r="AY845" s="5" t="n">
        <v>0.275</v>
      </c>
      <c r="AZ845" s="5" t="n">
        <v>0.995</v>
      </c>
      <c r="BA845" s="5" t="n">
        <v>0.07000000000000001</v>
      </c>
      <c r="BB845" s="5" t="n">
        <v>1</v>
      </c>
      <c r="BC845" s="5" t="n">
        <v>0.529</v>
      </c>
      <c r="BD845" s="5" t="n">
        <v>0.132</v>
      </c>
      <c r="BE845" s="5" t="n">
        <v>0.01</v>
      </c>
      <c r="BF845" s="5" t="n">
        <v>0.572</v>
      </c>
      <c r="BG845" s="5" t="n">
        <v>0.07000000000000001</v>
      </c>
      <c r="BH845" s="5" t="n">
        <v>1</v>
      </c>
      <c r="BI845" s="5" t="n">
        <v>0.666</v>
      </c>
      <c r="BJ845" s="5" t="n">
        <v>0.132</v>
      </c>
      <c r="BK845" s="5" t="n">
        <v>0.284</v>
      </c>
      <c r="BL845" s="5" t="n">
        <v>1.016</v>
      </c>
      <c r="BM845" s="5" t="n">
        <v>0.07000000000000001</v>
      </c>
      <c r="BN845" s="5" t="n">
        <v>1</v>
      </c>
      <c r="BO845" s="5" t="n">
        <v>0</v>
      </c>
      <c r="BP845" s="5" t="n">
        <v>0.003</v>
      </c>
      <c r="BQ845" s="5" t="n">
        <v>0.149</v>
      </c>
      <c r="BR845" s="5" t="n">
        <v>0</v>
      </c>
      <c r="BS845" s="5" t="n">
        <v>1</v>
      </c>
      <c r="BT845" s="5" t="n">
        <v>0</v>
      </c>
      <c r="BU845" s="5" t="n">
        <v>-0.004</v>
      </c>
      <c r="BV845" s="5" t="n">
        <v>0.187</v>
      </c>
      <c r="BW845" s="5" t="n">
        <v>0.07000000000000001</v>
      </c>
      <c r="BX845" s="5" t="n">
        <v>1</v>
      </c>
      <c r="BY845" s="5" t="n">
        <v>13.646</v>
      </c>
      <c r="BZ845" s="5" t="n">
        <v>0</v>
      </c>
      <c r="CA845" s="5" t="n">
        <v>13.646</v>
      </c>
      <c r="CB845" s="5" t="n">
        <v>0</v>
      </c>
      <c r="CC845" s="5" t="n">
        <v>66.652</v>
      </c>
      <c r="CD845" s="5" t="n">
        <v>7.95</v>
      </c>
      <c r="CE845" s="5" t="n">
        <v>35.22</v>
      </c>
      <c r="CF845" s="5" t="n">
        <v>109.003</v>
      </c>
      <c r="CG845" s="5" t="n">
        <v>0.07000000000000001</v>
      </c>
      <c r="CH845" s="5" t="n">
        <v>1</v>
      </c>
      <c r="CI845" s="5" t="n">
        <v>0</v>
      </c>
      <c r="CJ845" s="5" t="n">
        <v>0</v>
      </c>
      <c r="CK845" s="5" t="n">
        <v>0</v>
      </c>
      <c r="CL845" s="5" t="n">
        <v>0.266</v>
      </c>
      <c r="CM845" s="5" t="n">
        <v>0</v>
      </c>
      <c r="CN845" s="5" t="n">
        <v>1.28</v>
      </c>
      <c r="CO845" s="5" t="n">
        <v>2.256</v>
      </c>
      <c r="CP845" s="5" t="n">
        <v>0</v>
      </c>
      <c r="CQ845" s="5" t="n">
        <v>1.579</v>
      </c>
      <c r="CR845" s="5" t="n">
        <v>0</v>
      </c>
      <c r="CS845" s="5" t="n">
        <v>2.211</v>
      </c>
      <c r="CT845" s="5" t="n">
        <v>4.658</v>
      </c>
      <c r="CU845" s="5" t="n">
        <v>2.211</v>
      </c>
    </row>
    <row r="846">
      <c r="A846" s="5" t="inlineStr">
        <is>
          <t>URY2021</t>
        </is>
      </c>
      <c r="B846" s="5" t="inlineStr">
        <is>
          <t>URY</t>
        </is>
      </c>
      <c r="C846" s="5" t="inlineStr">
        <is>
          <t>URY</t>
        </is>
      </c>
      <c r="D846" s="5" t="inlineStr">
        <is>
          <t>Uruguay</t>
        </is>
      </c>
      <c r="E846" s="5" t="n">
        <v>2021</v>
      </c>
      <c r="F846" s="5" t="n">
        <v>0.22</v>
      </c>
      <c r="G846" s="5" t="n">
        <v>5.897</v>
      </c>
      <c r="H846" s="5" t="n">
        <v>1.143</v>
      </c>
      <c r="I846" s="5" t="n">
        <v>0</v>
      </c>
      <c r="J846" s="5" t="n">
        <v>5.897</v>
      </c>
      <c r="K846" s="5" t="n">
        <v>0</v>
      </c>
      <c r="L846" s="5" t="n">
        <v>1</v>
      </c>
      <c r="M846" s="5" t="n">
        <v>7.964</v>
      </c>
      <c r="N846" s="5" t="n">
        <v>3.43</v>
      </c>
      <c r="O846" s="5" t="n">
        <v>0</v>
      </c>
      <c r="P846" s="5" t="n">
        <v>7.964</v>
      </c>
      <c r="Q846" s="5" t="n">
        <v>0</v>
      </c>
      <c r="R846" s="5" t="n">
        <v>1</v>
      </c>
      <c r="S846" s="5" t="n">
        <v>11.613</v>
      </c>
      <c r="T846" s="5" t="n">
        <v>6.86</v>
      </c>
      <c r="U846" s="5" t="n">
        <v>0</v>
      </c>
      <c r="V846" s="5" t="n">
        <v>14.168</v>
      </c>
      <c r="W846" s="5" t="n">
        <v>0.22</v>
      </c>
      <c r="X846" s="5" t="n">
        <v>1</v>
      </c>
      <c r="Y846" s="5" t="n">
        <v>5.919</v>
      </c>
      <c r="Z846" s="5" t="n">
        <v>0.796</v>
      </c>
      <c r="AA846" s="5" t="n">
        <v>17.006</v>
      </c>
      <c r="AB846" s="5" t="n">
        <v>22.925</v>
      </c>
      <c r="AC846" s="5" t="n">
        <v>0</v>
      </c>
      <c r="AD846" s="5" t="n">
        <v>1</v>
      </c>
      <c r="AE846" s="5" t="n">
        <v>7.062</v>
      </c>
      <c r="AF846" s="5" t="n">
        <v>1.654</v>
      </c>
      <c r="AG846" s="5" t="n">
        <v>15.862</v>
      </c>
      <c r="AH846" s="5" t="n">
        <v>22.925</v>
      </c>
      <c r="AI846" s="5" t="n">
        <v>0</v>
      </c>
      <c r="AJ846" s="5" t="n">
        <v>1</v>
      </c>
      <c r="AK846" s="5" t="n">
        <v>13.922</v>
      </c>
      <c r="AL846" s="5" t="n">
        <v>7.481</v>
      </c>
      <c r="AM846" s="5" t="n">
        <v>15.412</v>
      </c>
      <c r="AN846" s="5" t="n">
        <v>35.788</v>
      </c>
      <c r="AO846" s="5" t="n">
        <v>0.22</v>
      </c>
      <c r="AP846" s="5" t="n">
        <v>1</v>
      </c>
      <c r="AQ846" s="5" t="n">
        <v>0.649</v>
      </c>
      <c r="AR846" s="5" t="n">
        <v>0.114</v>
      </c>
      <c r="AS846" s="5" t="n">
        <v>0.836</v>
      </c>
      <c r="AT846" s="5" t="n">
        <v>1.485</v>
      </c>
      <c r="AU846" s="5" t="n">
        <v>0</v>
      </c>
      <c r="AV846" s="5" t="n">
        <v>1</v>
      </c>
      <c r="AW846" s="5" t="n">
        <v>0.577</v>
      </c>
      <c r="AX846" s="5" t="n">
        <v>0.114</v>
      </c>
      <c r="AY846" s="5" t="n">
        <v>0.277</v>
      </c>
      <c r="AZ846" s="5" t="n">
        <v>1.041</v>
      </c>
      <c r="BA846" s="5" t="n">
        <v>0.22</v>
      </c>
      <c r="BB846" s="5" t="n">
        <v>1</v>
      </c>
      <c r="BC846" s="5" t="n">
        <v>0.458</v>
      </c>
      <c r="BD846" s="5" t="n">
        <v>0.114</v>
      </c>
      <c r="BE846" s="5" t="n">
        <v>0.057</v>
      </c>
      <c r="BF846" s="5" t="n">
        <v>0.629</v>
      </c>
      <c r="BG846" s="5" t="n">
        <v>0.22</v>
      </c>
      <c r="BH846" s="5" t="n">
        <v>1</v>
      </c>
      <c r="BI846" s="5" t="n">
        <v>0.491</v>
      </c>
      <c r="BJ846" s="5" t="n">
        <v>0.114</v>
      </c>
      <c r="BK846" s="5" t="n">
        <v>0.495</v>
      </c>
      <c r="BL846" s="5" t="n">
        <v>0.986</v>
      </c>
      <c r="BM846" s="5" t="n">
        <v>0</v>
      </c>
      <c r="BN846" s="5" t="n">
        <v>1</v>
      </c>
      <c r="BO846" s="5" t="n">
        <v>0</v>
      </c>
      <c r="BP846" s="5" t="n">
        <v>0</v>
      </c>
      <c r="BQ846" s="5" t="n">
        <v>0.127</v>
      </c>
      <c r="BR846" s="5" t="n">
        <v>0</v>
      </c>
      <c r="BS846" s="5" t="n">
        <v>1</v>
      </c>
      <c r="BT846" s="5" t="n">
        <v>0</v>
      </c>
      <c r="BU846" s="5" t="n">
        <v>0</v>
      </c>
      <c r="BV846" s="5" t="n">
        <v>0.174</v>
      </c>
      <c r="BW846" s="5" t="n">
        <v>0.22</v>
      </c>
      <c r="BX846" s="5" t="n">
        <v>1</v>
      </c>
      <c r="BY846" s="5" t="n">
        <v>11.787</v>
      </c>
      <c r="BZ846" s="5" t="n">
        <v>0</v>
      </c>
      <c r="CA846" s="5" t="n">
        <v>11.787</v>
      </c>
      <c r="CB846" s="5" t="n">
        <v>0</v>
      </c>
      <c r="CC846" s="5" t="n">
        <v>78.125</v>
      </c>
      <c r="CD846" s="5" t="n">
        <v>7.95</v>
      </c>
      <c r="CE846" s="5" t="n">
        <v>-4.62</v>
      </c>
      <c r="CF846" s="5" t="n">
        <v>89.676</v>
      </c>
      <c r="CG846" s="5" t="n">
        <v>0.22</v>
      </c>
      <c r="CH846" s="5" t="n">
        <v>1</v>
      </c>
      <c r="CI846" s="5" t="n">
        <v>0</v>
      </c>
      <c r="CJ846" s="5" t="n">
        <v>0</v>
      </c>
      <c r="CK846" s="5" t="n">
        <v>0</v>
      </c>
      <c r="CL846" s="5" t="n">
        <v>0</v>
      </c>
      <c r="CM846" s="5" t="n">
        <v>0</v>
      </c>
      <c r="CN846" s="5" t="n">
        <v>0</v>
      </c>
      <c r="CO846" s="5" t="n">
        <v>0</v>
      </c>
      <c r="CP846" s="5" t="n">
        <v>0</v>
      </c>
      <c r="CQ846" s="5" t="n">
        <v>1.198</v>
      </c>
      <c r="CR846" s="5" t="n">
        <v>0</v>
      </c>
      <c r="CS846" s="5" t="n">
        <v>4.776</v>
      </c>
      <c r="CT846" s="5" t="n">
        <v>4.753</v>
      </c>
      <c r="CU846" s="5" t="n">
        <v>15.983</v>
      </c>
    </row>
    <row r="847">
      <c r="A847" s="5" t="inlineStr">
        <is>
          <t>URY2022</t>
        </is>
      </c>
      <c r="B847" s="5" t="inlineStr">
        <is>
          <t>URY</t>
        </is>
      </c>
      <c r="C847" s="5" t="inlineStr">
        <is>
          <t>URY</t>
        </is>
      </c>
      <c r="D847" s="5" t="inlineStr">
        <is>
          <t>Uruguay</t>
        </is>
      </c>
      <c r="E847" s="5" t="n">
        <v>2022</v>
      </c>
      <c r="F847" s="5" t="n">
        <v>0.22</v>
      </c>
      <c r="G847" s="5" t="n">
        <v>11.72</v>
      </c>
      <c r="H847" s="5" t="n">
        <v>1.235</v>
      </c>
      <c r="I847" s="5" t="n">
        <v>0</v>
      </c>
      <c r="J847" s="5" t="n">
        <v>11.72</v>
      </c>
      <c r="K847" s="5" t="n">
        <v>0</v>
      </c>
      <c r="L847" s="5" t="n">
        <v>1</v>
      </c>
      <c r="M847" s="5" t="n">
        <v>9.782999999999999</v>
      </c>
      <c r="N847" s="5" t="n">
        <v>3.704</v>
      </c>
      <c r="O847" s="5" t="n">
        <v>0</v>
      </c>
      <c r="P847" s="5" t="n">
        <v>9.782999999999999</v>
      </c>
      <c r="Q847" s="5" t="n">
        <v>0</v>
      </c>
      <c r="R847" s="5" t="n">
        <v>1</v>
      </c>
      <c r="S847" s="5" t="n">
        <v>17.893</v>
      </c>
      <c r="T847" s="5" t="n">
        <v>7.408</v>
      </c>
      <c r="U847" s="5" t="n">
        <v>0.291</v>
      </c>
      <c r="V847" s="5" t="n">
        <v>21.83</v>
      </c>
      <c r="W847" s="5" t="n">
        <v>0.22</v>
      </c>
      <c r="X847" s="5" t="n">
        <v>1</v>
      </c>
      <c r="Y847" s="5" t="n">
        <v>6.392</v>
      </c>
      <c r="Z847" s="5" t="n">
        <v>0.86</v>
      </c>
      <c r="AA847" s="5" t="n">
        <v>18.365</v>
      </c>
      <c r="AB847" s="5" t="n">
        <v>24.757</v>
      </c>
      <c r="AC847" s="5" t="n">
        <v>0</v>
      </c>
      <c r="AD847" s="5" t="n">
        <v>1</v>
      </c>
      <c r="AE847" s="5" t="n">
        <v>7.627</v>
      </c>
      <c r="AF847" s="5" t="n">
        <v>1.786</v>
      </c>
      <c r="AG847" s="5" t="n">
        <v>17.13</v>
      </c>
      <c r="AH847" s="5" t="n">
        <v>24.757</v>
      </c>
      <c r="AI847" s="5" t="n">
        <v>0</v>
      </c>
      <c r="AJ847" s="5" t="n">
        <v>1</v>
      </c>
      <c r="AK847" s="5" t="n">
        <v>15.035</v>
      </c>
      <c r="AL847" s="5" t="n">
        <v>8.079000000000001</v>
      </c>
      <c r="AM847" s="5" t="n">
        <v>17.16</v>
      </c>
      <c r="AN847" s="5" t="n">
        <v>38.649</v>
      </c>
      <c r="AO847" s="5" t="n">
        <v>0.22</v>
      </c>
      <c r="AP847" s="5" t="n">
        <v>1</v>
      </c>
      <c r="AQ847" s="5" t="n">
        <v>0.896</v>
      </c>
      <c r="AR847" s="5" t="n">
        <v>0.123</v>
      </c>
      <c r="AS847" s="5" t="n">
        <v>0.885</v>
      </c>
      <c r="AT847" s="5" t="n">
        <v>1.781</v>
      </c>
      <c r="AU847" s="5" t="n">
        <v>0</v>
      </c>
      <c r="AV847" s="5" t="n">
        <v>1</v>
      </c>
      <c r="AW847" s="5" t="n">
        <v>0.89</v>
      </c>
      <c r="AX847" s="5" t="n">
        <v>0.123</v>
      </c>
      <c r="AY847" s="5" t="n">
        <v>0.19</v>
      </c>
      <c r="AZ847" s="5" t="n">
        <v>1.318</v>
      </c>
      <c r="BA847" s="5" t="n">
        <v>0.22</v>
      </c>
      <c r="BB847" s="5" t="n">
        <v>1</v>
      </c>
      <c r="BC847" s="5" t="n">
        <v>0.62</v>
      </c>
      <c r="BD847" s="5" t="n">
        <v>0.123</v>
      </c>
      <c r="BE847" s="5" t="n">
        <v>-0.021</v>
      </c>
      <c r="BF847" s="5" t="n">
        <v>0.731</v>
      </c>
      <c r="BG847" s="5" t="n">
        <v>0.22</v>
      </c>
      <c r="BH847" s="5" t="n">
        <v>1</v>
      </c>
      <c r="BI847" s="5" t="n">
        <v>0.608</v>
      </c>
      <c r="BJ847" s="5" t="n">
        <v>0.123</v>
      </c>
      <c r="BK847" s="5" t="n">
        <v>0.575</v>
      </c>
      <c r="BL847" s="5" t="n">
        <v>1.183</v>
      </c>
      <c r="BM847" s="5" t="n">
        <v>0</v>
      </c>
      <c r="BN847" s="5" t="n">
        <v>1</v>
      </c>
      <c r="BO847" s="5" t="n">
        <v>0</v>
      </c>
      <c r="BP847" s="5" t="n">
        <v>0</v>
      </c>
      <c r="BQ847" s="5" t="n">
        <v>0.14</v>
      </c>
      <c r="BR847" s="5" t="n">
        <v>0</v>
      </c>
      <c r="BS847" s="5" t="n">
        <v>1</v>
      </c>
      <c r="BT847" s="5" t="n">
        <v>0</v>
      </c>
      <c r="BU847" s="5" t="n">
        <v>0</v>
      </c>
      <c r="BV847" s="5" t="n">
        <v>0.191</v>
      </c>
      <c r="BW847" s="5" t="n">
        <v>0.22</v>
      </c>
      <c r="BX847" s="5" t="n">
        <v>1</v>
      </c>
      <c r="BY847" s="5" t="n">
        <v>12.729</v>
      </c>
      <c r="BZ847" s="5" t="n">
        <v>0</v>
      </c>
      <c r="CA847" s="5" t="n">
        <v>12.729</v>
      </c>
      <c r="CB847" s="5" t="n">
        <v>0</v>
      </c>
      <c r="CC847" s="5" t="n">
        <v>97.90000000000001</v>
      </c>
      <c r="CD847" s="5" t="n">
        <v>7.95</v>
      </c>
      <c r="CE847" s="5" t="n">
        <v>-6.28</v>
      </c>
      <c r="CF847" s="5" t="n">
        <v>111.777</v>
      </c>
      <c r="CG847" s="5" t="n">
        <v>0.22</v>
      </c>
      <c r="CH847" s="5" t="n">
        <v>1</v>
      </c>
      <c r="CI847" s="5" t="n">
        <v>0</v>
      </c>
      <c r="CJ847" s="5" t="n">
        <v>0</v>
      </c>
      <c r="CK847" s="5" t="n">
        <v>0</v>
      </c>
      <c r="CL847" s="5" t="n">
        <v>0</v>
      </c>
      <c r="CM847" s="5" t="n">
        <v>0</v>
      </c>
      <c r="CN847" s="5" t="n">
        <v>0</v>
      </c>
      <c r="CO847" s="5" t="n">
        <v>0</v>
      </c>
      <c r="CP847" s="5" t="n">
        <v>0</v>
      </c>
      <c r="CQ847" s="5" t="n">
        <v>1.294</v>
      </c>
      <c r="CR847" s="5" t="n">
        <v>0</v>
      </c>
      <c r="CS847" s="5" t="n">
        <v>5.158</v>
      </c>
      <c r="CT847" s="5" t="n">
        <v>10.485</v>
      </c>
      <c r="CU847" s="5" t="n">
        <v>29.494</v>
      </c>
    </row>
    <row r="848">
      <c r="A848" s="5" t="inlineStr">
        <is>
          <t>URY2023</t>
        </is>
      </c>
      <c r="B848" s="5" t="inlineStr">
        <is>
          <t>URY</t>
        </is>
      </c>
      <c r="C848" s="5" t="inlineStr">
        <is>
          <t>URY</t>
        </is>
      </c>
      <c r="D848" s="5" t="inlineStr">
        <is>
          <t>Uruguay</t>
        </is>
      </c>
      <c r="E848" s="5" t="n">
        <v>2023</v>
      </c>
      <c r="F848" s="5" t="n">
        <v>0.22</v>
      </c>
      <c r="G848" s="5" t="n">
        <v>5.067</v>
      </c>
      <c r="H848" s="5" t="n">
        <v>1.119</v>
      </c>
      <c r="I848" s="5" t="n">
        <v>0</v>
      </c>
      <c r="J848" s="5" t="n">
        <v>5.067</v>
      </c>
      <c r="K848" s="5" t="n">
        <v>0</v>
      </c>
      <c r="L848" s="5" t="n">
        <v>1</v>
      </c>
      <c r="M848" s="5" t="n">
        <v>6.689</v>
      </c>
      <c r="N848" s="5" t="n">
        <v>3.356</v>
      </c>
      <c r="O848" s="5" t="n">
        <v>0</v>
      </c>
      <c r="P848" s="5" t="n">
        <v>6.689</v>
      </c>
      <c r="Q848" s="5" t="n">
        <v>0</v>
      </c>
      <c r="R848" s="5" t="n">
        <v>1</v>
      </c>
      <c r="S848" s="5" t="n">
        <v>10.661</v>
      </c>
      <c r="T848" s="5" t="n">
        <v>6.712</v>
      </c>
      <c r="U848" s="5" t="n">
        <v>0.26</v>
      </c>
      <c r="V848" s="5" t="n">
        <v>13.006</v>
      </c>
      <c r="W848" s="5" t="n">
        <v>0.22</v>
      </c>
      <c r="X848" s="5" t="n">
        <v>1</v>
      </c>
      <c r="Y848" s="5" t="n">
        <v>6.656</v>
      </c>
      <c r="Z848" s="5" t="n">
        <v>0.895</v>
      </c>
      <c r="AA848" s="5" t="n">
        <v>19.123</v>
      </c>
      <c r="AB848" s="5" t="n">
        <v>25.779</v>
      </c>
      <c r="AC848" s="5" t="n">
        <v>0</v>
      </c>
      <c r="AD848" s="5" t="n">
        <v>1</v>
      </c>
      <c r="AE848" s="5" t="n">
        <v>7.942</v>
      </c>
      <c r="AF848" s="5" t="n">
        <v>1.86</v>
      </c>
      <c r="AG848" s="5" t="n">
        <v>17.837</v>
      </c>
      <c r="AH848" s="5" t="n">
        <v>25.779</v>
      </c>
      <c r="AI848" s="5" t="n">
        <v>0</v>
      </c>
      <c r="AJ848" s="5" t="n">
        <v>1</v>
      </c>
      <c r="AK848" s="5" t="n">
        <v>15.656</v>
      </c>
      <c r="AL848" s="5" t="n">
        <v>8.412000000000001</v>
      </c>
      <c r="AM848" s="5" t="n">
        <v>18.135</v>
      </c>
      <c r="AN848" s="5" t="n">
        <v>40.244</v>
      </c>
      <c r="AO848" s="5" t="n">
        <v>0.22</v>
      </c>
      <c r="AP848" s="5" t="n">
        <v>1</v>
      </c>
      <c r="AQ848" s="5" t="n">
        <v>0.791</v>
      </c>
      <c r="AR848" s="5" t="n">
        <v>0.129</v>
      </c>
      <c r="AS848" s="5" t="n">
        <v>1.077</v>
      </c>
      <c r="AT848" s="5" t="n">
        <v>1.868</v>
      </c>
      <c r="AU848" s="5" t="n">
        <v>0</v>
      </c>
      <c r="AV848" s="5" t="n">
        <v>1</v>
      </c>
      <c r="AW848" s="5" t="n">
        <v>0.618</v>
      </c>
      <c r="AX848" s="5" t="n">
        <v>0.129</v>
      </c>
      <c r="AY848" s="5" t="n">
        <v>0.544</v>
      </c>
      <c r="AZ848" s="5" t="n">
        <v>1.418</v>
      </c>
      <c r="BA848" s="5" t="n">
        <v>0.22</v>
      </c>
      <c r="BB848" s="5" t="n">
        <v>1</v>
      </c>
      <c r="BC848" s="5" t="n">
        <v>0.554</v>
      </c>
      <c r="BD848" s="5" t="n">
        <v>0.129</v>
      </c>
      <c r="BE848" s="5" t="n">
        <v>0.251</v>
      </c>
      <c r="BF848" s="5" t="n">
        <v>0.983</v>
      </c>
      <c r="BG848" s="5" t="n">
        <v>0.22</v>
      </c>
      <c r="BH848" s="5" t="n">
        <v>1</v>
      </c>
      <c r="BI848" s="5" t="n">
        <v>0.5570000000000001</v>
      </c>
      <c r="BJ848" s="5" t="n">
        <v>0.129</v>
      </c>
      <c r="BK848" s="5" t="n">
        <v>0.88</v>
      </c>
      <c r="BL848" s="5" t="n">
        <v>1.437</v>
      </c>
      <c r="BM848" s="5" t="n">
        <v>0</v>
      </c>
      <c r="BN848" s="5" t="n">
        <v>1</v>
      </c>
      <c r="BO848" s="5" t="n">
        <v>0</v>
      </c>
      <c r="BP848" s="5" t="n">
        <v>0</v>
      </c>
      <c r="BQ848" s="5" t="n">
        <v>0.155</v>
      </c>
      <c r="BR848" s="5" t="n">
        <v>0</v>
      </c>
      <c r="BS848" s="5" t="n">
        <v>1</v>
      </c>
      <c r="BT848" s="5" t="n">
        <v>0</v>
      </c>
      <c r="BU848" s="5" t="n">
        <v>0</v>
      </c>
      <c r="BV848" s="5" t="n">
        <v>0.219</v>
      </c>
      <c r="BW848" s="5" t="n">
        <v>0.22</v>
      </c>
      <c r="BX848" s="5" t="n">
        <v>1</v>
      </c>
      <c r="BY848" s="5" t="n">
        <v>13.254</v>
      </c>
      <c r="BZ848" s="5" t="n">
        <v>0</v>
      </c>
      <c r="CA848" s="5" t="n">
        <v>13.254</v>
      </c>
      <c r="CB848" s="5" t="n">
        <v>0</v>
      </c>
      <c r="CC848" s="5" t="n">
        <v>83.248</v>
      </c>
      <c r="CD848" s="5" t="n">
        <v>7.95</v>
      </c>
      <c r="CE848" s="5" t="n">
        <v>15.681</v>
      </c>
      <c r="CF848" s="5" t="n">
        <v>120.693</v>
      </c>
      <c r="CG848" s="5" t="n">
        <v>0.22</v>
      </c>
      <c r="CH848" s="5" t="n">
        <v>1</v>
      </c>
      <c r="CI848" s="5" t="n">
        <v>0</v>
      </c>
      <c r="CJ848" s="5" t="n">
        <v>0</v>
      </c>
      <c r="CK848" s="5" t="n">
        <v>0</v>
      </c>
      <c r="CL848" s="5" t="n">
        <v>0</v>
      </c>
      <c r="CM848" s="5" t="n">
        <v>0</v>
      </c>
      <c r="CN848" s="5" t="n">
        <v>0</v>
      </c>
      <c r="CO848" s="5" t="n">
        <v>0</v>
      </c>
      <c r="CP848" s="5" t="n">
        <v>0.26</v>
      </c>
      <c r="CQ848" s="5" t="n">
        <v>1.348</v>
      </c>
      <c r="CR848" s="5" t="n">
        <v>0</v>
      </c>
      <c r="CS848" s="5" t="n">
        <v>5.37</v>
      </c>
      <c r="CT848" s="5" t="n">
        <v>4.861</v>
      </c>
      <c r="CU848" s="5" t="n">
        <v>11.192</v>
      </c>
    </row>
    <row r="849">
      <c r="A849" s="5" t="inlineStr">
        <is>
          <t>URY2024</t>
        </is>
      </c>
      <c r="B849" s="5" t="inlineStr">
        <is>
          <t>URY</t>
        </is>
      </c>
      <c r="C849" s="5" t="inlineStr">
        <is>
          <t>URY</t>
        </is>
      </c>
      <c r="D849" s="5" t="inlineStr">
        <is>
          <t>Uruguay</t>
        </is>
      </c>
      <c r="E849" s="5" t="n">
        <v>2024</v>
      </c>
      <c r="F849" s="5" t="n">
        <v>0.22</v>
      </c>
      <c r="G849" s="5" t="n">
        <v>4.659</v>
      </c>
      <c r="H849" s="5" t="n">
        <v>1.152</v>
      </c>
      <c r="I849" s="5" t="n">
        <v>0</v>
      </c>
      <c r="J849" s="5" t="n">
        <v>4.659</v>
      </c>
      <c r="K849" s="5" t="n">
        <v>0</v>
      </c>
      <c r="L849" s="5" t="n">
        <v>1</v>
      </c>
      <c r="M849" s="5" t="n">
        <v>6.149</v>
      </c>
      <c r="N849" s="5" t="n">
        <v>3.455</v>
      </c>
      <c r="O849" s="5" t="n">
        <v>0</v>
      </c>
      <c r="P849" s="5" t="n">
        <v>6.149</v>
      </c>
      <c r="Q849" s="5" t="n">
        <v>0</v>
      </c>
      <c r="R849" s="5" t="n">
        <v>1</v>
      </c>
      <c r="S849" s="5" t="n">
        <v>10.418</v>
      </c>
      <c r="T849" s="5" t="n">
        <v>6.91</v>
      </c>
      <c r="U849" s="5" t="n">
        <v>0.312</v>
      </c>
      <c r="V849" s="5" t="n">
        <v>12.71</v>
      </c>
      <c r="W849" s="5" t="n">
        <v>0.22</v>
      </c>
      <c r="X849" s="5" t="n">
        <v>1</v>
      </c>
      <c r="Y849" s="5" t="n">
        <v>6.853</v>
      </c>
      <c r="Z849" s="5" t="n">
        <v>0.922</v>
      </c>
      <c r="AA849" s="5" t="n">
        <v>19.687</v>
      </c>
      <c r="AB849" s="5" t="n">
        <v>26.54</v>
      </c>
      <c r="AC849" s="5" t="n">
        <v>0</v>
      </c>
      <c r="AD849" s="5" t="n">
        <v>1</v>
      </c>
      <c r="AE849" s="5" t="n">
        <v>8.176</v>
      </c>
      <c r="AF849" s="5" t="n">
        <v>1.915</v>
      </c>
      <c r="AG849" s="5" t="n">
        <v>18.364</v>
      </c>
      <c r="AH849" s="5" t="n">
        <v>26.54</v>
      </c>
      <c r="AI849" s="5" t="n">
        <v>0</v>
      </c>
      <c r="AJ849" s="5" t="n">
        <v>1</v>
      </c>
      <c r="AK849" s="5" t="n">
        <v>16.118</v>
      </c>
      <c r="AL849" s="5" t="n">
        <v>8.66</v>
      </c>
      <c r="AM849" s="5" t="n">
        <v>18.861</v>
      </c>
      <c r="AN849" s="5" t="n">
        <v>41.432</v>
      </c>
      <c r="AO849" s="5" t="n">
        <v>0.22</v>
      </c>
      <c r="AP849" s="5" t="n">
        <v>1</v>
      </c>
      <c r="AQ849" s="5" t="n">
        <v>0.756</v>
      </c>
      <c r="AR849" s="5" t="n">
        <v>0.132</v>
      </c>
      <c r="AS849" s="5" t="n">
        <v>1.136</v>
      </c>
      <c r="AT849" s="5" t="n">
        <v>1.892</v>
      </c>
      <c r="AU849" s="5" t="n">
        <v>0</v>
      </c>
      <c r="AV849" s="5" t="n">
        <v>1</v>
      </c>
      <c r="AW849" s="5" t="n">
        <v>0.655</v>
      </c>
      <c r="AX849" s="5" t="n">
        <v>0.132</v>
      </c>
      <c r="AY849" s="5" t="n">
        <v>0.379</v>
      </c>
      <c r="AZ849" s="5" t="n">
        <v>1.262</v>
      </c>
      <c r="BA849" s="5" t="n">
        <v>0.22</v>
      </c>
      <c r="BB849" s="5" t="n">
        <v>1</v>
      </c>
      <c r="BC849" s="5" t="n">
        <v>0.534</v>
      </c>
      <c r="BD849" s="5" t="n">
        <v>0.132</v>
      </c>
      <c r="BE849" s="5" t="n">
        <v>0.316</v>
      </c>
      <c r="BF849" s="5" t="n">
        <v>1.037</v>
      </c>
      <c r="BG849" s="5" t="n">
        <v>0.22</v>
      </c>
      <c r="BH849" s="5" t="n">
        <v>1</v>
      </c>
      <c r="BI849" s="5" t="n">
        <v>0.5679999999999999</v>
      </c>
      <c r="BJ849" s="5" t="n">
        <v>0.132</v>
      </c>
      <c r="BK849" s="5" t="n">
        <v>0.8120000000000001</v>
      </c>
      <c r="BL849" s="5" t="n">
        <v>1.38</v>
      </c>
      <c r="BM849" s="5" t="n">
        <v>0</v>
      </c>
      <c r="BN849" s="5" t="n">
        <v>1</v>
      </c>
      <c r="BO849" s="5" t="n">
        <v>0</v>
      </c>
      <c r="BP849" s="5" t="n">
        <v>0</v>
      </c>
      <c r="BQ849" s="5" t="n">
        <v>0.153</v>
      </c>
      <c r="BR849" s="5" t="n">
        <v>0</v>
      </c>
      <c r="BS849" s="5" t="n">
        <v>1</v>
      </c>
      <c r="BT849" s="5" t="n">
        <v>0</v>
      </c>
      <c r="BU849" s="5" t="n">
        <v>0</v>
      </c>
      <c r="BV849" s="5" t="n">
        <v>0.228</v>
      </c>
      <c r="BW849" s="5" t="n">
        <v>0.22</v>
      </c>
      <c r="BX849" s="5" t="n">
        <v>1</v>
      </c>
      <c r="BY849" s="5" t="n">
        <v>13.646</v>
      </c>
      <c r="BZ849" s="5" t="n">
        <v>0</v>
      </c>
      <c r="CA849" s="5" t="n">
        <v>13.646</v>
      </c>
      <c r="CB849" s="5" t="n">
        <v>0</v>
      </c>
      <c r="CC849" s="5" t="n">
        <v>82.58799999999999</v>
      </c>
      <c r="CD849" s="5" t="n">
        <v>7.95</v>
      </c>
      <c r="CE849" s="5" t="n">
        <v>13.137</v>
      </c>
      <c r="CF849" s="5" t="n">
        <v>116.785</v>
      </c>
      <c r="CG849" s="5" t="n">
        <v>0.22</v>
      </c>
      <c r="CH849" s="5" t="n">
        <v>1</v>
      </c>
      <c r="CI849" s="5" t="n">
        <v>0</v>
      </c>
      <c r="CJ849" s="5" t="n">
        <v>0</v>
      </c>
      <c r="CK849" s="5" t="n">
        <v>0</v>
      </c>
      <c r="CL849" s="5" t="n">
        <v>0</v>
      </c>
      <c r="CM849" s="5" t="n">
        <v>0</v>
      </c>
      <c r="CN849" s="5" t="n">
        <v>0</v>
      </c>
      <c r="CO849" s="5" t="n">
        <v>0</v>
      </c>
      <c r="CP849" s="5" t="n">
        <v>0.26</v>
      </c>
      <c r="CQ849" s="5" t="n">
        <v>1.387</v>
      </c>
      <c r="CR849" s="5" t="n">
        <v>0</v>
      </c>
      <c r="CS849" s="5" t="n">
        <v>5.529</v>
      </c>
      <c r="CT849" s="5" t="n">
        <v>4.251</v>
      </c>
      <c r="CU849" s="5" t="n">
        <v>10.123</v>
      </c>
    </row>
    <row r="850">
      <c r="A850" s="5" t="inlineStr">
        <is>
          <t>UZB2021</t>
        </is>
      </c>
      <c r="B850" s="5" t="inlineStr">
        <is>
          <t>UZB</t>
        </is>
      </c>
      <c r="C850" s="5" t="inlineStr">
        <is>
          <t>UZB</t>
        </is>
      </c>
      <c r="D850" s="5" t="inlineStr">
        <is>
          <t>Uzbekistan</t>
        </is>
      </c>
      <c r="E850" s="5" t="n">
        <v>2021</v>
      </c>
      <c r="F850" s="5" t="n">
        <v>0.2</v>
      </c>
      <c r="G850" s="5" t="n">
        <v>3.136</v>
      </c>
      <c r="H850" s="5" t="n">
        <v>0.778</v>
      </c>
      <c r="I850" s="5" t="n">
        <v>0.01</v>
      </c>
      <c r="J850" s="5" t="n">
        <v>3.146</v>
      </c>
      <c r="K850" s="5" t="n">
        <v>0</v>
      </c>
      <c r="L850" s="5" t="n">
        <v>1</v>
      </c>
      <c r="M850" s="5" t="n">
        <v>4.737</v>
      </c>
      <c r="N850" s="5" t="n">
        <v>2.334</v>
      </c>
      <c r="O850" s="5" t="n">
        <v>0.015</v>
      </c>
      <c r="P850" s="5" t="n">
        <v>4.752</v>
      </c>
      <c r="Q850" s="5" t="n">
        <v>0</v>
      </c>
      <c r="R850" s="5" t="n">
        <v>1</v>
      </c>
      <c r="S850" s="5" t="n">
        <v>7.026</v>
      </c>
      <c r="T850" s="5" t="n">
        <v>4.668</v>
      </c>
      <c r="U850" s="5" t="n">
        <v>0.01</v>
      </c>
      <c r="V850" s="5" t="n">
        <v>8.444000000000001</v>
      </c>
      <c r="W850" s="5" t="n">
        <v>0.2</v>
      </c>
      <c r="X850" s="5" t="n">
        <v>1</v>
      </c>
      <c r="Y850" s="5" t="n">
        <v>13.661</v>
      </c>
      <c r="Z850" s="5" t="n">
        <v>1.513</v>
      </c>
      <c r="AA850" s="5" t="n">
        <v>-4.056</v>
      </c>
      <c r="AB850" s="5" t="n">
        <v>9.605</v>
      </c>
      <c r="AC850" s="5" t="n">
        <v>0</v>
      </c>
      <c r="AD850" s="5" t="n">
        <v>0</v>
      </c>
      <c r="AE850" s="5" t="n">
        <v>13.05</v>
      </c>
      <c r="AF850" s="5" t="n">
        <v>2.56</v>
      </c>
      <c r="AG850" s="5" t="n">
        <v>-4.056</v>
      </c>
      <c r="AH850" s="5" t="n">
        <v>8.994</v>
      </c>
      <c r="AI850" s="5" t="n">
        <v>0</v>
      </c>
      <c r="AJ850" s="5" t="n">
        <v>0</v>
      </c>
      <c r="AK850" s="5" t="n">
        <v>9.384</v>
      </c>
      <c r="AL850" s="5" t="n">
        <v>4.455</v>
      </c>
      <c r="AM850" s="5" t="n">
        <v>-8.596</v>
      </c>
      <c r="AN850" s="5" t="n">
        <v>0.945</v>
      </c>
      <c r="AO850" s="5" t="n">
        <v>0</v>
      </c>
      <c r="AP850" s="5" t="n">
        <v>0</v>
      </c>
      <c r="AQ850" s="5" t="n">
        <v>0.619</v>
      </c>
      <c r="AR850" s="5" t="n">
        <v>0.114</v>
      </c>
      <c r="AS850" s="5" t="n">
        <v>0.041</v>
      </c>
      <c r="AT850" s="5" t="n">
        <v>0.792</v>
      </c>
      <c r="AU850" s="5" t="n">
        <v>0.2</v>
      </c>
      <c r="AV850" s="5" t="n">
        <v>1</v>
      </c>
      <c r="AW850" s="5" t="n">
        <v>0.599</v>
      </c>
      <c r="AX850" s="5" t="n">
        <v>0.114</v>
      </c>
      <c r="AY850" s="5" t="n">
        <v>0.005</v>
      </c>
      <c r="AZ850" s="5" t="n">
        <v>0.725</v>
      </c>
      <c r="BA850" s="5" t="n">
        <v>0.2</v>
      </c>
      <c r="BB850" s="5" t="n">
        <v>1</v>
      </c>
      <c r="BC850" s="5" t="n">
        <v>0.439</v>
      </c>
      <c r="BD850" s="5" t="n">
        <v>0.114</v>
      </c>
      <c r="BE850" s="5" t="n">
        <v>0</v>
      </c>
      <c r="BF850" s="5" t="n">
        <v>0.527</v>
      </c>
      <c r="BG850" s="5" t="n">
        <v>0.2</v>
      </c>
      <c r="BH850" s="5" t="n">
        <v>1</v>
      </c>
      <c r="BI850" s="5" t="n">
        <v>0.505</v>
      </c>
      <c r="BJ850" s="5" t="n">
        <v>0.114</v>
      </c>
      <c r="BK850" s="5" t="n">
        <v>0</v>
      </c>
      <c r="BL850" s="5" t="n">
        <v>0.606</v>
      </c>
      <c r="BM850" s="5" t="n">
        <v>0.2</v>
      </c>
      <c r="BN850" s="5" t="n">
        <v>1</v>
      </c>
      <c r="BO850" s="5" t="n">
        <v>0</v>
      </c>
      <c r="BP850" s="5" t="n">
        <v>-0.037</v>
      </c>
      <c r="BQ850" s="5" t="n">
        <v>0.042</v>
      </c>
      <c r="BR850" s="5" t="n">
        <v>0</v>
      </c>
      <c r="BS850" s="5" t="n">
        <v>0.333</v>
      </c>
      <c r="BT850" s="5" t="n">
        <v>0</v>
      </c>
      <c r="BU850" s="5" t="n">
        <v>-0.037</v>
      </c>
      <c r="BV850" s="5" t="n">
        <v>0.028</v>
      </c>
      <c r="BW850" s="5" t="n">
        <v>0</v>
      </c>
      <c r="BX850" s="5" t="n">
        <v>0.333</v>
      </c>
      <c r="BY850" s="5" t="n">
        <v>11.787</v>
      </c>
      <c r="BZ850" s="5" t="n">
        <v>0</v>
      </c>
      <c r="CA850" s="5" t="n">
        <v>11.787</v>
      </c>
      <c r="CB850" s="5" t="n">
        <v>0</v>
      </c>
      <c r="CC850" s="5" t="n">
        <v>78.125</v>
      </c>
      <c r="CD850" s="5" t="n">
        <v>7.95</v>
      </c>
      <c r="CE850" s="5" t="n">
        <v>0</v>
      </c>
      <c r="CF850" s="5" t="n">
        <v>93.75</v>
      </c>
      <c r="CG850" s="5" t="n">
        <v>0.2</v>
      </c>
      <c r="CH850" s="5" t="n">
        <v>1</v>
      </c>
      <c r="CI850" s="5" t="n">
        <v>0</v>
      </c>
      <c r="CJ850" s="5" t="n">
        <v>0</v>
      </c>
      <c r="CK850" s="5" t="n">
        <v>0</v>
      </c>
      <c r="CL850" s="5" t="n">
        <v>0</v>
      </c>
      <c r="CM850" s="5" t="n">
        <v>0</v>
      </c>
      <c r="CN850" s="5" t="n">
        <v>0</v>
      </c>
      <c r="CO850" s="5" t="n">
        <v>0</v>
      </c>
      <c r="CP850" s="5" t="n">
        <v>0.639</v>
      </c>
      <c r="CQ850" s="5" t="n">
        <v>1.198</v>
      </c>
      <c r="CR850" s="5" t="n">
        <v>0.956</v>
      </c>
      <c r="CS850" s="5" t="n">
        <v>4.715</v>
      </c>
      <c r="CT850" s="5" t="n">
        <v>4.41</v>
      </c>
      <c r="CU850" s="5" t="n">
        <v>14.129</v>
      </c>
    </row>
    <row r="851">
      <c r="A851" s="5" t="inlineStr">
        <is>
          <t>UZB2022</t>
        </is>
      </c>
      <c r="B851" s="5" t="inlineStr">
        <is>
          <t>UZB</t>
        </is>
      </c>
      <c r="C851" s="5" t="inlineStr">
        <is>
          <t>UZB</t>
        </is>
      </c>
      <c r="D851" s="5" t="inlineStr">
        <is>
          <t>Uzbekistan</t>
        </is>
      </c>
      <c r="E851" s="5" t="n">
        <v>2022</v>
      </c>
      <c r="F851" s="5" t="n">
        <v>0.2</v>
      </c>
      <c r="G851" s="5" t="n">
        <v>3.709</v>
      </c>
      <c r="H851" s="5" t="n">
        <v>0.832</v>
      </c>
      <c r="I851" s="5" t="n">
        <v>0.015</v>
      </c>
      <c r="J851" s="5" t="n">
        <v>3.724</v>
      </c>
      <c r="K851" s="5" t="n">
        <v>0</v>
      </c>
      <c r="L851" s="5" t="n">
        <v>1</v>
      </c>
      <c r="M851" s="5" t="n">
        <v>5.456</v>
      </c>
      <c r="N851" s="5" t="n">
        <v>2.497</v>
      </c>
      <c r="O851" s="5" t="n">
        <v>0.02</v>
      </c>
      <c r="P851" s="5" t="n">
        <v>5.476</v>
      </c>
      <c r="Q851" s="5" t="n">
        <v>0</v>
      </c>
      <c r="R851" s="5" t="n">
        <v>1</v>
      </c>
      <c r="S851" s="5" t="n">
        <v>7.87</v>
      </c>
      <c r="T851" s="5" t="n">
        <v>4.993</v>
      </c>
      <c r="U851" s="5" t="n">
        <v>0.132</v>
      </c>
      <c r="V851" s="5" t="n">
        <v>9.462</v>
      </c>
      <c r="W851" s="5" t="n">
        <v>0.2</v>
      </c>
      <c r="X851" s="5" t="n">
        <v>1</v>
      </c>
      <c r="Y851" s="5" t="n">
        <v>14.752</v>
      </c>
      <c r="Z851" s="5" t="n">
        <v>1.634</v>
      </c>
      <c r="AA851" s="5" t="n">
        <v>-4.374</v>
      </c>
      <c r="AB851" s="5" t="n">
        <v>10.378</v>
      </c>
      <c r="AC851" s="5" t="n">
        <v>0</v>
      </c>
      <c r="AD851" s="5" t="n">
        <v>0</v>
      </c>
      <c r="AE851" s="5" t="n">
        <v>14.092</v>
      </c>
      <c r="AF851" s="5" t="n">
        <v>2.764</v>
      </c>
      <c r="AG851" s="5" t="n">
        <v>-4.374</v>
      </c>
      <c r="AH851" s="5" t="n">
        <v>9.718</v>
      </c>
      <c r="AI851" s="5" t="n">
        <v>0</v>
      </c>
      <c r="AJ851" s="5" t="n">
        <v>0</v>
      </c>
      <c r="AK851" s="5" t="n">
        <v>10.135</v>
      </c>
      <c r="AL851" s="5" t="n">
        <v>4.811</v>
      </c>
      <c r="AM851" s="5" t="n">
        <v>-9.378</v>
      </c>
      <c r="AN851" s="5" t="n">
        <v>0.908</v>
      </c>
      <c r="AO851" s="5" t="n">
        <v>0</v>
      </c>
      <c r="AP851" s="5" t="n">
        <v>0</v>
      </c>
      <c r="AQ851" s="5" t="n">
        <v>0.861</v>
      </c>
      <c r="AR851" s="5" t="n">
        <v>0.123</v>
      </c>
      <c r="AS851" s="5" t="n">
        <v>-0.062</v>
      </c>
      <c r="AT851" s="5" t="n">
        <v>0.959</v>
      </c>
      <c r="AU851" s="5" t="n">
        <v>0.2</v>
      </c>
      <c r="AV851" s="5" t="n">
        <v>1</v>
      </c>
      <c r="AW851" s="5" t="n">
        <v>0.986</v>
      </c>
      <c r="AX851" s="5" t="n">
        <v>0.123</v>
      </c>
      <c r="AY851" s="5" t="n">
        <v>-0.108</v>
      </c>
      <c r="AZ851" s="5" t="n">
        <v>1.054</v>
      </c>
      <c r="BA851" s="5" t="n">
        <v>0.2</v>
      </c>
      <c r="BB851" s="5" t="n">
        <v>1</v>
      </c>
      <c r="BC851" s="5" t="n">
        <v>0.598</v>
      </c>
      <c r="BD851" s="5" t="n">
        <v>0.123</v>
      </c>
      <c r="BE851" s="5" t="n">
        <v>0.008999999999999999</v>
      </c>
      <c r="BF851" s="5" t="n">
        <v>0.717</v>
      </c>
      <c r="BG851" s="5" t="n">
        <v>0.2</v>
      </c>
      <c r="BH851" s="5" t="n">
        <v>1</v>
      </c>
      <c r="BI851" s="5" t="n">
        <v>0.612</v>
      </c>
      <c r="BJ851" s="5" t="n">
        <v>0.123</v>
      </c>
      <c r="BK851" s="5" t="n">
        <v>0.008999999999999999</v>
      </c>
      <c r="BL851" s="5" t="n">
        <v>0.735</v>
      </c>
      <c r="BM851" s="5" t="n">
        <v>0.2</v>
      </c>
      <c r="BN851" s="5" t="n">
        <v>1</v>
      </c>
      <c r="BO851" s="5" t="n">
        <v>0</v>
      </c>
      <c r="BP851" s="5" t="n">
        <v>-0.037</v>
      </c>
      <c r="BQ851" s="5" t="n">
        <v>0.041</v>
      </c>
      <c r="BR851" s="5" t="n">
        <v>0</v>
      </c>
      <c r="BS851" s="5" t="n">
        <v>0.333</v>
      </c>
      <c r="BT851" s="5" t="n">
        <v>0</v>
      </c>
      <c r="BU851" s="5" t="n">
        <v>-0.037</v>
      </c>
      <c r="BV851" s="5" t="n">
        <v>0.027</v>
      </c>
      <c r="BW851" s="5" t="n">
        <v>0</v>
      </c>
      <c r="BX851" s="5" t="n">
        <v>0.333</v>
      </c>
      <c r="BY851" s="5" t="n">
        <v>12.729</v>
      </c>
      <c r="BZ851" s="5" t="n">
        <v>0</v>
      </c>
      <c r="CA851" s="5" t="n">
        <v>12.729</v>
      </c>
      <c r="CB851" s="5" t="n">
        <v>0</v>
      </c>
      <c r="CC851" s="5" t="n">
        <v>97.90000000000001</v>
      </c>
      <c r="CD851" s="5" t="n">
        <v>7.95</v>
      </c>
      <c r="CE851" s="5" t="n">
        <v>1.449</v>
      </c>
      <c r="CF851" s="5" t="n">
        <v>117.48</v>
      </c>
      <c r="CG851" s="5" t="n">
        <v>0.2</v>
      </c>
      <c r="CH851" s="5" t="n">
        <v>1</v>
      </c>
      <c r="CI851" s="5" t="n">
        <v>0</v>
      </c>
      <c r="CJ851" s="5" t="n">
        <v>0</v>
      </c>
      <c r="CK851" s="5" t="n">
        <v>0</v>
      </c>
      <c r="CL851" s="5" t="n">
        <v>0</v>
      </c>
      <c r="CM851" s="5" t="n">
        <v>0</v>
      </c>
      <c r="CN851" s="5" t="n">
        <v>0</v>
      </c>
      <c r="CO851" s="5" t="n">
        <v>0</v>
      </c>
      <c r="CP851" s="5" t="n">
        <v>0.652</v>
      </c>
      <c r="CQ851" s="5" t="n">
        <v>1.294</v>
      </c>
      <c r="CR851" s="5" t="n">
        <v>0.956</v>
      </c>
      <c r="CS851" s="5" t="n">
        <v>5.091</v>
      </c>
      <c r="CT851" s="5" t="n">
        <v>5.842</v>
      </c>
      <c r="CU851" s="5" t="n">
        <v>28.059</v>
      </c>
    </row>
    <row r="852">
      <c r="A852" s="5" t="inlineStr">
        <is>
          <t>UZB2023</t>
        </is>
      </c>
      <c r="B852" s="5" t="inlineStr">
        <is>
          <t>UZB</t>
        </is>
      </c>
      <c r="C852" s="5" t="inlineStr">
        <is>
          <t>UZB</t>
        </is>
      </c>
      <c r="D852" s="5" t="inlineStr">
        <is>
          <t>Uzbekistan</t>
        </is>
      </c>
      <c r="E852" s="5" t="n">
        <v>2023</v>
      </c>
      <c r="F852" s="5" t="n">
        <v>0.2</v>
      </c>
      <c r="G852" s="5" t="n">
        <v>2.871</v>
      </c>
      <c r="H852" s="5" t="n">
        <v>0.848</v>
      </c>
      <c r="I852" s="5" t="n">
        <v>0.008999999999999999</v>
      </c>
      <c r="J852" s="5" t="n">
        <v>2.88</v>
      </c>
      <c r="K852" s="5" t="n">
        <v>0</v>
      </c>
      <c r="L852" s="5" t="n">
        <v>1</v>
      </c>
      <c r="M852" s="5" t="n">
        <v>4.746</v>
      </c>
      <c r="N852" s="5" t="n">
        <v>2.544</v>
      </c>
      <c r="O852" s="5" t="n">
        <v>0.013</v>
      </c>
      <c r="P852" s="5" t="n">
        <v>4.759</v>
      </c>
      <c r="Q852" s="5" t="n">
        <v>0</v>
      </c>
      <c r="R852" s="5" t="n">
        <v>1</v>
      </c>
      <c r="S852" s="5" t="n">
        <v>7.11</v>
      </c>
      <c r="T852" s="5" t="n">
        <v>5.087</v>
      </c>
      <c r="U852" s="5" t="n">
        <v>0.166</v>
      </c>
      <c r="V852" s="5" t="n">
        <v>8.542999999999999</v>
      </c>
      <c r="W852" s="5" t="n">
        <v>0.2</v>
      </c>
      <c r="X852" s="5" t="n">
        <v>1</v>
      </c>
      <c r="Y852" s="5" t="n">
        <v>15.342</v>
      </c>
      <c r="Z852" s="5" t="n">
        <v>1.699</v>
      </c>
      <c r="AA852" s="5" t="n">
        <v>-4.563</v>
      </c>
      <c r="AB852" s="5" t="n">
        <v>10.779</v>
      </c>
      <c r="AC852" s="5" t="n">
        <v>0</v>
      </c>
      <c r="AD852" s="5" t="n">
        <v>0</v>
      </c>
      <c r="AE852" s="5" t="n">
        <v>14.663</v>
      </c>
      <c r="AF852" s="5" t="n">
        <v>2.877</v>
      </c>
      <c r="AG852" s="5" t="n">
        <v>-4.563</v>
      </c>
      <c r="AH852" s="5" t="n">
        <v>10.1</v>
      </c>
      <c r="AI852" s="5" t="n">
        <v>0</v>
      </c>
      <c r="AJ852" s="5" t="n">
        <v>0</v>
      </c>
      <c r="AK852" s="5" t="n">
        <v>10.563</v>
      </c>
      <c r="AL852" s="5" t="n">
        <v>5.014</v>
      </c>
      <c r="AM852" s="5" t="n">
        <v>-9.851000000000001</v>
      </c>
      <c r="AN852" s="5" t="n">
        <v>0.855</v>
      </c>
      <c r="AO852" s="5" t="n">
        <v>0</v>
      </c>
      <c r="AP852" s="5" t="n">
        <v>0</v>
      </c>
      <c r="AQ852" s="5" t="n">
        <v>0.76</v>
      </c>
      <c r="AR852" s="5" t="n">
        <v>0.129</v>
      </c>
      <c r="AS852" s="5" t="n">
        <v>0.016</v>
      </c>
      <c r="AT852" s="5" t="n">
        <v>0.931</v>
      </c>
      <c r="AU852" s="5" t="n">
        <v>0.2</v>
      </c>
      <c r="AV852" s="5" t="n">
        <v>1</v>
      </c>
      <c r="AW852" s="5" t="n">
        <v>0.8110000000000001</v>
      </c>
      <c r="AX852" s="5" t="n">
        <v>0.129</v>
      </c>
      <c r="AY852" s="5" t="n">
        <v>0.003</v>
      </c>
      <c r="AZ852" s="5" t="n">
        <v>0.978</v>
      </c>
      <c r="BA852" s="5" t="n">
        <v>0.2</v>
      </c>
      <c r="BB852" s="5" t="n">
        <v>1</v>
      </c>
      <c r="BC852" s="5" t="n">
        <v>0.535</v>
      </c>
      <c r="BD852" s="5" t="n">
        <v>0.129</v>
      </c>
      <c r="BE852" s="5" t="n">
        <v>0.012</v>
      </c>
      <c r="BF852" s="5" t="n">
        <v>0.642</v>
      </c>
      <c r="BG852" s="5" t="n">
        <v>0.2</v>
      </c>
      <c r="BH852" s="5" t="n">
        <v>1</v>
      </c>
      <c r="BI852" s="5" t="n">
        <v>0.579</v>
      </c>
      <c r="BJ852" s="5" t="n">
        <v>0.129</v>
      </c>
      <c r="BK852" s="5" t="n">
        <v>0.013</v>
      </c>
      <c r="BL852" s="5" t="n">
        <v>0.695</v>
      </c>
      <c r="BM852" s="5" t="n">
        <v>0.2</v>
      </c>
      <c r="BN852" s="5" t="n">
        <v>1</v>
      </c>
      <c r="BO852" s="5" t="n">
        <v>0</v>
      </c>
      <c r="BP852" s="5" t="n">
        <v>-0.037</v>
      </c>
      <c r="BQ852" s="5" t="n">
        <v>0.038</v>
      </c>
      <c r="BR852" s="5" t="n">
        <v>0</v>
      </c>
      <c r="BS852" s="5" t="n">
        <v>0.333</v>
      </c>
      <c r="BT852" s="5" t="n">
        <v>0</v>
      </c>
      <c r="BU852" s="5" t="n">
        <v>-0.037</v>
      </c>
      <c r="BV852" s="5" t="n">
        <v>0.025</v>
      </c>
      <c r="BW852" s="5" t="n">
        <v>0</v>
      </c>
      <c r="BX852" s="5" t="n">
        <v>0.333</v>
      </c>
      <c r="BY852" s="5" t="n">
        <v>13.254</v>
      </c>
      <c r="BZ852" s="5" t="n">
        <v>0</v>
      </c>
      <c r="CA852" s="5" t="n">
        <v>13.254</v>
      </c>
      <c r="CB852" s="5" t="n">
        <v>0</v>
      </c>
      <c r="CC852" s="5" t="n">
        <v>83.248</v>
      </c>
      <c r="CD852" s="5" t="n">
        <v>7.95</v>
      </c>
      <c r="CE852" s="5" t="n">
        <v>1.843</v>
      </c>
      <c r="CF852" s="5" t="n">
        <v>99.898</v>
      </c>
      <c r="CG852" s="5" t="n">
        <v>0.2</v>
      </c>
      <c r="CH852" s="5" t="n">
        <v>1</v>
      </c>
      <c r="CI852" s="5" t="n">
        <v>0</v>
      </c>
      <c r="CJ852" s="5" t="n">
        <v>0</v>
      </c>
      <c r="CK852" s="5" t="n">
        <v>0</v>
      </c>
      <c r="CL852" s="5" t="n">
        <v>0</v>
      </c>
      <c r="CM852" s="5" t="n">
        <v>0</v>
      </c>
      <c r="CN852" s="5" t="n">
        <v>0</v>
      </c>
      <c r="CO852" s="5" t="n">
        <v>0</v>
      </c>
      <c r="CP852" s="5" t="n">
        <v>0.681</v>
      </c>
      <c r="CQ852" s="5" t="n">
        <v>1.348</v>
      </c>
      <c r="CR852" s="5" t="n">
        <v>0.952</v>
      </c>
      <c r="CS852" s="5" t="n">
        <v>5.302</v>
      </c>
      <c r="CT852" s="5" t="n">
        <v>3.466</v>
      </c>
      <c r="CU852" s="5" t="n">
        <v>9.260999999999999</v>
      </c>
    </row>
    <row r="853">
      <c r="A853" s="5" t="inlineStr">
        <is>
          <t>UZB2024</t>
        </is>
      </c>
      <c r="B853" s="5" t="inlineStr">
        <is>
          <t>UZB</t>
        </is>
      </c>
      <c r="C853" s="5" t="inlineStr">
        <is>
          <t>UZB</t>
        </is>
      </c>
      <c r="D853" s="5" t="inlineStr">
        <is>
          <t>Uzbekistan</t>
        </is>
      </c>
      <c r="E853" s="5" t="n">
        <v>2024</v>
      </c>
      <c r="F853" s="5" t="n">
        <v>0.2</v>
      </c>
      <c r="G853" s="5" t="n">
        <v>2.783</v>
      </c>
      <c r="H853" s="5" t="n">
        <v>0.873</v>
      </c>
      <c r="I853" s="5" t="n">
        <v>0.007</v>
      </c>
      <c r="J853" s="5" t="n">
        <v>2.79</v>
      </c>
      <c r="K853" s="5" t="n">
        <v>0</v>
      </c>
      <c r="L853" s="5" t="n">
        <v>1</v>
      </c>
      <c r="M853" s="5" t="n">
        <v>4.569</v>
      </c>
      <c r="N853" s="5" t="n">
        <v>2.619</v>
      </c>
      <c r="O853" s="5" t="n">
        <v>0.008999999999999999</v>
      </c>
      <c r="P853" s="5" t="n">
        <v>4.578</v>
      </c>
      <c r="Q853" s="5" t="n">
        <v>0</v>
      </c>
      <c r="R853" s="5" t="n">
        <v>1</v>
      </c>
      <c r="S853" s="5" t="n">
        <v>7.147</v>
      </c>
      <c r="T853" s="5" t="n">
        <v>5.237</v>
      </c>
      <c r="U853" s="5" t="n">
        <v>0.202</v>
      </c>
      <c r="V853" s="5" t="n">
        <v>8.585000000000001</v>
      </c>
      <c r="W853" s="5" t="n">
        <v>0.2</v>
      </c>
      <c r="X853" s="5" t="n">
        <v>1</v>
      </c>
      <c r="Y853" s="5" t="n">
        <v>15.773</v>
      </c>
      <c r="Z853" s="5" t="n">
        <v>1.747</v>
      </c>
      <c r="AA853" s="5" t="n">
        <v>-4.178</v>
      </c>
      <c r="AB853" s="5" t="n">
        <v>11.595</v>
      </c>
      <c r="AC853" s="5" t="n">
        <v>0</v>
      </c>
      <c r="AD853" s="5" t="n">
        <v>0</v>
      </c>
      <c r="AE853" s="5" t="n">
        <v>15.077</v>
      </c>
      <c r="AF853" s="5" t="n">
        <v>2.958</v>
      </c>
      <c r="AG853" s="5" t="n">
        <v>-4.178</v>
      </c>
      <c r="AH853" s="5" t="n">
        <v>10.899</v>
      </c>
      <c r="AI853" s="5" t="n">
        <v>0</v>
      </c>
      <c r="AJ853" s="5" t="n">
        <v>0</v>
      </c>
      <c r="AK853" s="5" t="n">
        <v>10.867</v>
      </c>
      <c r="AL853" s="5" t="n">
        <v>5.159</v>
      </c>
      <c r="AM853" s="5" t="n">
        <v>-10.128</v>
      </c>
      <c r="AN853" s="5" t="n">
        <v>0.887</v>
      </c>
      <c r="AO853" s="5" t="n">
        <v>0</v>
      </c>
      <c r="AP853" s="5" t="n">
        <v>0</v>
      </c>
      <c r="AQ853" s="5" t="n">
        <v>0.724</v>
      </c>
      <c r="AR853" s="5" t="n">
        <v>0.132</v>
      </c>
      <c r="AS853" s="5" t="n">
        <v>-0.054</v>
      </c>
      <c r="AT853" s="5" t="n">
        <v>0.804</v>
      </c>
      <c r="AU853" s="5" t="n">
        <v>0.2</v>
      </c>
      <c r="AV853" s="5" t="n">
        <v>1</v>
      </c>
      <c r="AW853" s="5" t="n">
        <v>0.75</v>
      </c>
      <c r="AX853" s="5" t="n">
        <v>0.132</v>
      </c>
      <c r="AY853" s="5" t="n">
        <v>0.032</v>
      </c>
      <c r="AZ853" s="5" t="n">
        <v>0.9389999999999999</v>
      </c>
      <c r="BA853" s="5" t="n">
        <v>0.2</v>
      </c>
      <c r="BB853" s="5" t="n">
        <v>1</v>
      </c>
      <c r="BC853" s="5" t="n">
        <v>0.513</v>
      </c>
      <c r="BD853" s="5" t="n">
        <v>0.132</v>
      </c>
      <c r="BE853" s="5" t="n">
        <v>0.014</v>
      </c>
      <c r="BF853" s="5" t="n">
        <v>0.616</v>
      </c>
      <c r="BG853" s="5" t="n">
        <v>0.2</v>
      </c>
      <c r="BH853" s="5" t="n">
        <v>1</v>
      </c>
      <c r="BI853" s="5" t="n">
        <v>0.591</v>
      </c>
      <c r="BJ853" s="5" t="n">
        <v>0.132</v>
      </c>
      <c r="BK853" s="5" t="n">
        <v>0.016</v>
      </c>
      <c r="BL853" s="5" t="n">
        <v>0.71</v>
      </c>
      <c r="BM853" s="5" t="n">
        <v>0.2</v>
      </c>
      <c r="BN853" s="5" t="n">
        <v>1</v>
      </c>
      <c r="BO853" s="5" t="n">
        <v>0</v>
      </c>
      <c r="BP853" s="5" t="n">
        <v>-0.038</v>
      </c>
      <c r="BQ853" s="5" t="n">
        <v>0.065</v>
      </c>
      <c r="BR853" s="5" t="n">
        <v>0</v>
      </c>
      <c r="BS853" s="5" t="n">
        <v>0.333</v>
      </c>
      <c r="BT853" s="5" t="n">
        <v>0</v>
      </c>
      <c r="BU853" s="5" t="n">
        <v>-0.038</v>
      </c>
      <c r="BV853" s="5" t="n">
        <v>0.034</v>
      </c>
      <c r="BW853" s="5" t="n">
        <v>0</v>
      </c>
      <c r="BX853" s="5" t="n">
        <v>0.333</v>
      </c>
      <c r="BY853" s="5" t="n">
        <v>13.646</v>
      </c>
      <c r="BZ853" s="5" t="n">
        <v>0</v>
      </c>
      <c r="CA853" s="5" t="n">
        <v>13.646</v>
      </c>
      <c r="CB853" s="5" t="n">
        <v>0</v>
      </c>
      <c r="CC853" s="5" t="n">
        <v>82.58799999999999</v>
      </c>
      <c r="CD853" s="5" t="n">
        <v>7.95</v>
      </c>
      <c r="CE853" s="5" t="n">
        <v>2.25</v>
      </c>
      <c r="CF853" s="5" t="n">
        <v>99.10599999999999</v>
      </c>
      <c r="CG853" s="5" t="n">
        <v>0.2</v>
      </c>
      <c r="CH853" s="5" t="n">
        <v>1</v>
      </c>
      <c r="CI853" s="5" t="n">
        <v>0</v>
      </c>
      <c r="CJ853" s="5" t="n">
        <v>0</v>
      </c>
      <c r="CK853" s="5" t="n">
        <v>0</v>
      </c>
      <c r="CL853" s="5" t="n">
        <v>0</v>
      </c>
      <c r="CM853" s="5" t="n">
        <v>0</v>
      </c>
      <c r="CN853" s="5" t="n">
        <v>0</v>
      </c>
      <c r="CO853" s="5" t="n">
        <v>0</v>
      </c>
      <c r="CP853" s="5" t="n">
        <v>0.681</v>
      </c>
      <c r="CQ853" s="5" t="n">
        <v>1.387</v>
      </c>
      <c r="CR853" s="5" t="n">
        <v>0.952</v>
      </c>
      <c r="CS853" s="5" t="n">
        <v>5.458</v>
      </c>
      <c r="CT853" s="5" t="n">
        <v>3.027</v>
      </c>
      <c r="CU853" s="5" t="n">
        <v>7.598</v>
      </c>
    </row>
    <row r="854">
      <c r="A854" s="5" t="inlineStr">
        <is>
          <t>VUT2021</t>
        </is>
      </c>
      <c r="B854" s="5" t="inlineStr">
        <is>
          <t>VUT</t>
        </is>
      </c>
      <c r="C854" s="5" t="inlineStr">
        <is>
          <t>VUT</t>
        </is>
      </c>
      <c r="D854" s="5" t="inlineStr">
        <is>
          <t>Vanuatu</t>
        </is>
      </c>
      <c r="E854" s="5" t="n">
        <v>2021</v>
      </c>
      <c r="F854" s="5" t="n">
        <v>0.15</v>
      </c>
      <c r="G854" s="5" t="n">
        <v>4.747</v>
      </c>
      <c r="H854" s="5" t="n">
        <v>1.143</v>
      </c>
      <c r="I854" s="5" t="n">
        <v>0</v>
      </c>
      <c r="J854" s="5" t="n">
        <v>4.747</v>
      </c>
      <c r="K854" s="5" t="n">
        <v>0</v>
      </c>
      <c r="L854" s="5" t="n">
        <v>1</v>
      </c>
      <c r="M854" s="5" t="n">
        <v>7.964</v>
      </c>
      <c r="N854" s="5" t="n">
        <v>3.43</v>
      </c>
      <c r="O854" s="5" t="n">
        <v>0</v>
      </c>
      <c r="P854" s="5" t="n">
        <v>7.964</v>
      </c>
      <c r="Q854" s="5" t="n">
        <v>0</v>
      </c>
      <c r="R854" s="5" t="n">
        <v>1</v>
      </c>
      <c r="S854" s="5" t="n">
        <v>10.464</v>
      </c>
      <c r="T854" s="5" t="n">
        <v>6.86</v>
      </c>
      <c r="U854" s="5" t="n">
        <v>0</v>
      </c>
      <c r="V854" s="5" t="n">
        <v>12.034</v>
      </c>
      <c r="W854" s="5" t="n">
        <v>0.15</v>
      </c>
      <c r="X854" s="5" t="n">
        <v>1</v>
      </c>
      <c r="Y854" s="5" t="n">
        <v>10.551</v>
      </c>
      <c r="Z854" s="5" t="n">
        <v>1.302</v>
      </c>
      <c r="AA854" s="5" t="n">
        <v>0</v>
      </c>
      <c r="AB854" s="5" t="n">
        <v>10.551</v>
      </c>
      <c r="AC854" s="5" t="n">
        <v>0</v>
      </c>
      <c r="AD854" s="5" t="n">
        <v>1</v>
      </c>
      <c r="AE854" s="5" t="n">
        <v>11.694</v>
      </c>
      <c r="AF854" s="5" t="n">
        <v>2.549</v>
      </c>
      <c r="AG854" s="5" t="n">
        <v>0</v>
      </c>
      <c r="AH854" s="5" t="n">
        <v>11.694</v>
      </c>
      <c r="AI854" s="5" t="n">
        <v>0</v>
      </c>
      <c r="AJ854" s="5" t="n">
        <v>1</v>
      </c>
      <c r="AK854" s="5" t="n">
        <v>18.554</v>
      </c>
      <c r="AL854" s="5" t="n">
        <v>9.627000000000001</v>
      </c>
      <c r="AM854" s="5" t="n">
        <v>0</v>
      </c>
      <c r="AN854" s="5" t="n">
        <v>21.337</v>
      </c>
      <c r="AO854" s="5" t="n">
        <v>0.15</v>
      </c>
      <c r="AP854" s="5" t="n">
        <v>1</v>
      </c>
      <c r="AQ854" s="5" t="n">
        <v>0.621</v>
      </c>
      <c r="AR854" s="5" t="n">
        <v>0.114</v>
      </c>
      <c r="AS854" s="5" t="n">
        <v>0.404</v>
      </c>
      <c r="AT854" s="5" t="n">
        <v>1.179</v>
      </c>
      <c r="AU854" s="5" t="n">
        <v>0.15</v>
      </c>
      <c r="AV854" s="5" t="n">
        <v>1</v>
      </c>
      <c r="AW854" s="5" t="n">
        <v>0.593</v>
      </c>
      <c r="AX854" s="5" t="n">
        <v>0.114</v>
      </c>
      <c r="AY854" s="5" t="n">
        <v>0.456</v>
      </c>
      <c r="AZ854" s="5" t="n">
        <v>1.206</v>
      </c>
      <c r="BA854" s="5" t="n">
        <v>0.15</v>
      </c>
      <c r="BB854" s="5" t="n">
        <v>1</v>
      </c>
      <c r="BC854" s="5" t="n">
        <v>0.44</v>
      </c>
      <c r="BD854" s="5" t="n">
        <v>0.114</v>
      </c>
      <c r="BE854" s="5" t="n">
        <v>0</v>
      </c>
      <c r="BF854" s="5" t="n">
        <v>0.506</v>
      </c>
      <c r="BG854" s="5" t="n">
        <v>0.15</v>
      </c>
      <c r="BH854" s="5" t="n">
        <v>1</v>
      </c>
      <c r="BI854" s="5" t="n">
        <v>0.5600000000000001</v>
      </c>
      <c r="BJ854" s="5" t="n">
        <v>0.114</v>
      </c>
      <c r="BK854" s="5" t="n">
        <v>0</v>
      </c>
      <c r="BL854" s="5" t="n">
        <v>0.644</v>
      </c>
      <c r="BM854" s="5" t="n">
        <v>0.15</v>
      </c>
      <c r="BN854" s="5" t="n">
        <v>1</v>
      </c>
      <c r="BO854" s="5" t="n">
        <v>0</v>
      </c>
      <c r="BP854" s="5" t="n">
        <v>0</v>
      </c>
      <c r="BQ854" s="5" t="n">
        <v>0</v>
      </c>
      <c r="BR854" s="5" t="n">
        <v>0</v>
      </c>
      <c r="BS854" s="5" t="n">
        <v>1</v>
      </c>
      <c r="BT854" s="5" t="n">
        <v>0</v>
      </c>
      <c r="BU854" s="5" t="n">
        <v>0</v>
      </c>
      <c r="BV854" s="5" t="n">
        <v>0</v>
      </c>
      <c r="BW854" s="5" t="n">
        <v>0.15</v>
      </c>
      <c r="BX854" s="5" t="n">
        <v>1</v>
      </c>
      <c r="BY854" s="5" t="n">
        <v>11.787</v>
      </c>
      <c r="BZ854" s="5" t="n">
        <v>0</v>
      </c>
      <c r="CA854" s="5" t="n">
        <v>11.787</v>
      </c>
      <c r="CB854" s="5" t="n">
        <v>0</v>
      </c>
      <c r="CC854" s="5" t="n">
        <v>81.69499999999999</v>
      </c>
      <c r="CD854" s="5" t="n">
        <v>7.95</v>
      </c>
      <c r="CE854" s="5" t="n">
        <v>0</v>
      </c>
      <c r="CF854" s="5" t="n">
        <v>93.95</v>
      </c>
      <c r="CG854" s="5" t="n">
        <v>0.15</v>
      </c>
      <c r="CH854" s="5" t="n">
        <v>1</v>
      </c>
      <c r="CI854" s="5" t="n">
        <v>0</v>
      </c>
      <c r="CJ854" s="5" t="n">
        <v>0</v>
      </c>
      <c r="CK854" s="5" t="n">
        <v>0</v>
      </c>
      <c r="CL854" s="5" t="n">
        <v>0</v>
      </c>
      <c r="CM854" s="5" t="n">
        <v>0</v>
      </c>
      <c r="CN854" s="5" t="n">
        <v>0</v>
      </c>
      <c r="CO854" s="5" t="n">
        <v>0</v>
      </c>
      <c r="CP854" s="5" t="n">
        <v>0</v>
      </c>
      <c r="CQ854" s="5" t="n">
        <v>1.198</v>
      </c>
      <c r="CR854" s="5" t="n">
        <v>0</v>
      </c>
      <c r="CS854" s="5" t="n">
        <v>4.776</v>
      </c>
      <c r="CT854" s="5" t="n">
        <v>3.604</v>
      </c>
      <c r="CU854" s="5" t="n">
        <v>9.407999999999999</v>
      </c>
    </row>
    <row r="855">
      <c r="A855" s="5" t="inlineStr">
        <is>
          <t>VUT2022</t>
        </is>
      </c>
      <c r="B855" s="5" t="inlineStr">
        <is>
          <t>VUT</t>
        </is>
      </c>
      <c r="C855" s="5" t="inlineStr">
        <is>
          <t>VUT</t>
        </is>
      </c>
      <c r="D855" s="5" t="inlineStr">
        <is>
          <t>Vanuatu</t>
        </is>
      </c>
      <c r="E855" s="5" t="n">
        <v>2022</v>
      </c>
      <c r="F855" s="5" t="n">
        <v>0.15</v>
      </c>
      <c r="G855" s="5" t="n">
        <v>8.788</v>
      </c>
      <c r="H855" s="5" t="n">
        <v>1.235</v>
      </c>
      <c r="I855" s="5" t="n">
        <v>0</v>
      </c>
      <c r="J855" s="5" t="n">
        <v>8.788</v>
      </c>
      <c r="K855" s="5" t="n">
        <v>0</v>
      </c>
      <c r="L855" s="5" t="n">
        <v>1</v>
      </c>
      <c r="M855" s="5" t="n">
        <v>9.782999999999999</v>
      </c>
      <c r="N855" s="5" t="n">
        <v>3.704</v>
      </c>
      <c r="O855" s="5" t="n">
        <v>0</v>
      </c>
      <c r="P855" s="5" t="n">
        <v>9.782999999999999</v>
      </c>
      <c r="Q855" s="5" t="n">
        <v>0</v>
      </c>
      <c r="R855" s="5" t="n">
        <v>1</v>
      </c>
      <c r="S855" s="5" t="n">
        <v>14.962</v>
      </c>
      <c r="T855" s="5" t="n">
        <v>7.408</v>
      </c>
      <c r="U855" s="5" t="n">
        <v>0.166</v>
      </c>
      <c r="V855" s="5" t="n">
        <v>17.206</v>
      </c>
      <c r="W855" s="5" t="n">
        <v>0.15</v>
      </c>
      <c r="X855" s="5" t="n">
        <v>1</v>
      </c>
      <c r="Y855" s="5" t="n">
        <v>17.332</v>
      </c>
      <c r="Z855" s="5" t="n">
        <v>2.139</v>
      </c>
      <c r="AA855" s="5" t="n">
        <v>0</v>
      </c>
      <c r="AB855" s="5" t="n">
        <v>17.332</v>
      </c>
      <c r="AC855" s="5" t="n">
        <v>0</v>
      </c>
      <c r="AD855" s="5" t="n">
        <v>1</v>
      </c>
      <c r="AE855" s="5" t="n">
        <v>18.566</v>
      </c>
      <c r="AF855" s="5" t="n">
        <v>4.048</v>
      </c>
      <c r="AG855" s="5" t="n">
        <v>0</v>
      </c>
      <c r="AH855" s="5" t="n">
        <v>18.566</v>
      </c>
      <c r="AI855" s="5" t="n">
        <v>0</v>
      </c>
      <c r="AJ855" s="5" t="n">
        <v>1</v>
      </c>
      <c r="AK855" s="5" t="n">
        <v>25.974</v>
      </c>
      <c r="AL855" s="5" t="n">
        <v>13.478</v>
      </c>
      <c r="AM855" s="5" t="n">
        <v>0.288</v>
      </c>
      <c r="AN855" s="5" t="n">
        <v>29.871</v>
      </c>
      <c r="AO855" s="5" t="n">
        <v>0.15</v>
      </c>
      <c r="AP855" s="5" t="n">
        <v>1</v>
      </c>
      <c r="AQ855" s="5" t="n">
        <v>0.847</v>
      </c>
      <c r="AR855" s="5" t="n">
        <v>0.123</v>
      </c>
      <c r="AS855" s="5" t="n">
        <v>0.457</v>
      </c>
      <c r="AT855" s="5" t="n">
        <v>1.5</v>
      </c>
      <c r="AU855" s="5" t="n">
        <v>0.15</v>
      </c>
      <c r="AV855" s="5" t="n">
        <v>1</v>
      </c>
      <c r="AW855" s="5" t="n">
        <v>0.947</v>
      </c>
      <c r="AX855" s="5" t="n">
        <v>0.123</v>
      </c>
      <c r="AY855" s="5" t="n">
        <v>0.433</v>
      </c>
      <c r="AZ855" s="5" t="n">
        <v>1.586</v>
      </c>
      <c r="BA855" s="5" t="n">
        <v>0.15</v>
      </c>
      <c r="BB855" s="5" t="n">
        <v>1</v>
      </c>
      <c r="BC855" s="5" t="n">
        <v>0.589</v>
      </c>
      <c r="BD855" s="5" t="n">
        <v>0.123</v>
      </c>
      <c r="BE855" s="5" t="n">
        <v>0.007</v>
      </c>
      <c r="BF855" s="5" t="n">
        <v>0.677</v>
      </c>
      <c r="BG855" s="5" t="n">
        <v>0.15</v>
      </c>
      <c r="BH855" s="5" t="n">
        <v>1</v>
      </c>
      <c r="BI855" s="5" t="n">
        <v>0.6889999999999999</v>
      </c>
      <c r="BJ855" s="5" t="n">
        <v>0.123</v>
      </c>
      <c r="BK855" s="5" t="n">
        <v>0.008</v>
      </c>
      <c r="BL855" s="5" t="n">
        <v>0.792</v>
      </c>
      <c r="BM855" s="5" t="n">
        <v>0.15</v>
      </c>
      <c r="BN855" s="5" t="n">
        <v>1</v>
      </c>
      <c r="BO855" s="5" t="n">
        <v>0</v>
      </c>
      <c r="BP855" s="5" t="n">
        <v>0</v>
      </c>
      <c r="BQ855" s="5" t="n">
        <v>0</v>
      </c>
      <c r="BR855" s="5" t="n">
        <v>0</v>
      </c>
      <c r="BS855" s="5" t="n">
        <v>1</v>
      </c>
      <c r="BT855" s="5" t="n">
        <v>0</v>
      </c>
      <c r="BU855" s="5" t="n">
        <v>0</v>
      </c>
      <c r="BV855" s="5" t="n">
        <v>0</v>
      </c>
      <c r="BW855" s="5" t="n">
        <v>0.15</v>
      </c>
      <c r="BX855" s="5" t="n">
        <v>1</v>
      </c>
      <c r="BY855" s="5" t="n">
        <v>12.729</v>
      </c>
      <c r="BZ855" s="5" t="n">
        <v>0</v>
      </c>
      <c r="CA855" s="5" t="n">
        <v>12.729</v>
      </c>
      <c r="CB855" s="5" t="n">
        <v>0</v>
      </c>
      <c r="CC855" s="5" t="n">
        <v>102.477</v>
      </c>
      <c r="CD855" s="5" t="n">
        <v>7.95</v>
      </c>
      <c r="CE855" s="5" t="n">
        <v>1.138</v>
      </c>
      <c r="CF855" s="5" t="n">
        <v>117.848</v>
      </c>
      <c r="CG855" s="5" t="n">
        <v>0.15</v>
      </c>
      <c r="CH855" s="5" t="n">
        <v>1</v>
      </c>
      <c r="CI855" s="5" t="n">
        <v>0</v>
      </c>
      <c r="CJ855" s="5" t="n">
        <v>0</v>
      </c>
      <c r="CK855" s="5" t="n">
        <v>0</v>
      </c>
      <c r="CL855" s="5" t="n">
        <v>0</v>
      </c>
      <c r="CM855" s="5" t="n">
        <v>0</v>
      </c>
      <c r="CN855" s="5" t="n">
        <v>0</v>
      </c>
      <c r="CO855" s="5" t="n">
        <v>0</v>
      </c>
      <c r="CP855" s="5" t="n">
        <v>0</v>
      </c>
      <c r="CQ855" s="5" t="n">
        <v>1.294</v>
      </c>
      <c r="CR855" s="5" t="n">
        <v>0</v>
      </c>
      <c r="CS855" s="5" t="n">
        <v>5.158</v>
      </c>
      <c r="CT855" s="5" t="n">
        <v>7.554</v>
      </c>
      <c r="CU855" s="5" t="n">
        <v>16.097</v>
      </c>
    </row>
    <row r="856">
      <c r="A856" s="5" t="inlineStr">
        <is>
          <t>VUT2023</t>
        </is>
      </c>
      <c r="B856" s="5" t="inlineStr">
        <is>
          <t>VUT</t>
        </is>
      </c>
      <c r="C856" s="5" t="inlineStr">
        <is>
          <t>VUT</t>
        </is>
      </c>
      <c r="D856" s="5" t="inlineStr">
        <is>
          <t>Vanuatu</t>
        </is>
      </c>
      <c r="E856" s="5" t="n">
        <v>2023</v>
      </c>
      <c r="F856" s="5" t="n">
        <v>0.15</v>
      </c>
      <c r="G856" s="5" t="n">
        <v>5.77</v>
      </c>
      <c r="H856" s="5" t="n">
        <v>1.286</v>
      </c>
      <c r="I856" s="5" t="n">
        <v>0</v>
      </c>
      <c r="J856" s="5" t="n">
        <v>5.77</v>
      </c>
      <c r="K856" s="5" t="n">
        <v>0</v>
      </c>
      <c r="L856" s="5" t="n">
        <v>1</v>
      </c>
      <c r="M856" s="5" t="n">
        <v>7.886</v>
      </c>
      <c r="N856" s="5" t="n">
        <v>3.857</v>
      </c>
      <c r="O856" s="5" t="n">
        <v>0</v>
      </c>
      <c r="P856" s="5" t="n">
        <v>7.886</v>
      </c>
      <c r="Q856" s="5" t="n">
        <v>0</v>
      </c>
      <c r="R856" s="5" t="n">
        <v>1</v>
      </c>
      <c r="S856" s="5" t="n">
        <v>12.198</v>
      </c>
      <c r="T856" s="5" t="n">
        <v>7.714</v>
      </c>
      <c r="U856" s="5" t="n">
        <v>0.203</v>
      </c>
      <c r="V856" s="5" t="n">
        <v>14.028</v>
      </c>
      <c r="W856" s="5" t="n">
        <v>0.15</v>
      </c>
      <c r="X856" s="5" t="n">
        <v>1</v>
      </c>
      <c r="Y856" s="5" t="n">
        <v>13.814</v>
      </c>
      <c r="Z856" s="5" t="n">
        <v>1.705</v>
      </c>
      <c r="AA856" s="5" t="n">
        <v>0</v>
      </c>
      <c r="AB856" s="5" t="n">
        <v>13.814</v>
      </c>
      <c r="AC856" s="5" t="n">
        <v>0</v>
      </c>
      <c r="AD856" s="5" t="n">
        <v>1</v>
      </c>
      <c r="AE856" s="5" t="n">
        <v>15.1</v>
      </c>
      <c r="AF856" s="5" t="n">
        <v>3.292</v>
      </c>
      <c r="AG856" s="5" t="n">
        <v>0</v>
      </c>
      <c r="AH856" s="5" t="n">
        <v>15.1</v>
      </c>
      <c r="AI856" s="5" t="n">
        <v>0</v>
      </c>
      <c r="AJ856" s="5" t="n">
        <v>1</v>
      </c>
      <c r="AK856" s="5" t="n">
        <v>22.814</v>
      </c>
      <c r="AL856" s="5" t="n">
        <v>11.838</v>
      </c>
      <c r="AM856" s="5" t="n">
        <v>0.379</v>
      </c>
      <c r="AN856" s="5" t="n">
        <v>26.236</v>
      </c>
      <c r="AO856" s="5" t="n">
        <v>0.15</v>
      </c>
      <c r="AP856" s="5" t="n">
        <v>1</v>
      </c>
      <c r="AQ856" s="5" t="n">
        <v>0.749</v>
      </c>
      <c r="AR856" s="5" t="n">
        <v>0.129</v>
      </c>
      <c r="AS856" s="5" t="n">
        <v>0.675</v>
      </c>
      <c r="AT856" s="5" t="n">
        <v>1.637</v>
      </c>
      <c r="AU856" s="5" t="n">
        <v>0.15</v>
      </c>
      <c r="AV856" s="5" t="n">
        <v>1</v>
      </c>
      <c r="AW856" s="5" t="n">
        <v>0.783</v>
      </c>
      <c r="AX856" s="5" t="n">
        <v>0.129</v>
      </c>
      <c r="AY856" s="5" t="n">
        <v>0.714</v>
      </c>
      <c r="AZ856" s="5" t="n">
        <v>1.721</v>
      </c>
      <c r="BA856" s="5" t="n">
        <v>0.15</v>
      </c>
      <c r="BB856" s="5" t="n">
        <v>1</v>
      </c>
      <c r="BC856" s="5" t="n">
        <v>0.527</v>
      </c>
      <c r="BD856" s="5" t="n">
        <v>0.129</v>
      </c>
      <c r="BE856" s="5" t="n">
        <v>0.008999999999999999</v>
      </c>
      <c r="BF856" s="5" t="n">
        <v>0.607</v>
      </c>
      <c r="BG856" s="5" t="n">
        <v>0.15</v>
      </c>
      <c r="BH856" s="5" t="n">
        <v>1</v>
      </c>
      <c r="BI856" s="5" t="n">
        <v>0.64</v>
      </c>
      <c r="BJ856" s="5" t="n">
        <v>0.129</v>
      </c>
      <c r="BK856" s="5" t="n">
        <v>0.011</v>
      </c>
      <c r="BL856" s="5" t="n">
        <v>0.736</v>
      </c>
      <c r="BM856" s="5" t="n">
        <v>0.15</v>
      </c>
      <c r="BN856" s="5" t="n">
        <v>1</v>
      </c>
      <c r="BO856" s="5" t="n">
        <v>0</v>
      </c>
      <c r="BP856" s="5" t="n">
        <v>0</v>
      </c>
      <c r="BQ856" s="5" t="n">
        <v>0</v>
      </c>
      <c r="BR856" s="5" t="n">
        <v>0</v>
      </c>
      <c r="BS856" s="5" t="n">
        <v>1</v>
      </c>
      <c r="BT856" s="5" t="n">
        <v>0</v>
      </c>
      <c r="BU856" s="5" t="n">
        <v>0</v>
      </c>
      <c r="BV856" s="5" t="n">
        <v>0</v>
      </c>
      <c r="BW856" s="5" t="n">
        <v>0.15</v>
      </c>
      <c r="BX856" s="5" t="n">
        <v>1</v>
      </c>
      <c r="BY856" s="5" t="n">
        <v>13.254</v>
      </c>
      <c r="BZ856" s="5" t="n">
        <v>0</v>
      </c>
      <c r="CA856" s="5" t="n">
        <v>13.254</v>
      </c>
      <c r="CB856" s="5" t="n">
        <v>0</v>
      </c>
      <c r="CC856" s="5" t="n">
        <v>87.07899999999999</v>
      </c>
      <c r="CD856" s="5" t="n">
        <v>7.95</v>
      </c>
      <c r="CE856" s="5" t="n">
        <v>1.446</v>
      </c>
      <c r="CF856" s="5" t="n">
        <v>100.141</v>
      </c>
      <c r="CG856" s="5" t="n">
        <v>0.15</v>
      </c>
      <c r="CH856" s="5" t="n">
        <v>1</v>
      </c>
      <c r="CI856" s="5" t="n">
        <v>0</v>
      </c>
      <c r="CJ856" s="5" t="n">
        <v>0</v>
      </c>
      <c r="CK856" s="5" t="n">
        <v>0</v>
      </c>
      <c r="CL856" s="5" t="n">
        <v>0</v>
      </c>
      <c r="CM856" s="5" t="n">
        <v>0</v>
      </c>
      <c r="CN856" s="5" t="n">
        <v>0</v>
      </c>
      <c r="CO856" s="5" t="n">
        <v>0</v>
      </c>
      <c r="CP856" s="5" t="n">
        <v>0</v>
      </c>
      <c r="CQ856" s="5" t="n">
        <v>1.348</v>
      </c>
      <c r="CR856" s="5" t="n">
        <v>0</v>
      </c>
      <c r="CS856" s="5" t="n">
        <v>5.37</v>
      </c>
      <c r="CT856" s="5" t="n">
        <v>4.484</v>
      </c>
      <c r="CU856" s="5" t="n">
        <v>12.529</v>
      </c>
    </row>
    <row r="857">
      <c r="A857" s="5" t="inlineStr">
        <is>
          <t>VUT2024</t>
        </is>
      </c>
      <c r="B857" s="5" t="inlineStr">
        <is>
          <t>VUT</t>
        </is>
      </c>
      <c r="C857" s="5" t="inlineStr">
        <is>
          <t>VUT</t>
        </is>
      </c>
      <c r="D857" s="5" t="inlineStr">
        <is>
          <t>Vanuatu</t>
        </is>
      </c>
      <c r="E857" s="5" t="n">
        <v>2024</v>
      </c>
      <c r="F857" s="5" t="n">
        <v>0.15</v>
      </c>
      <c r="G857" s="5" t="n">
        <v>4.833</v>
      </c>
      <c r="H857" s="5" t="n">
        <v>1.324</v>
      </c>
      <c r="I857" s="5" t="n">
        <v>0</v>
      </c>
      <c r="J857" s="5" t="n">
        <v>4.833</v>
      </c>
      <c r="K857" s="5" t="n">
        <v>0</v>
      </c>
      <c r="L857" s="5" t="n">
        <v>1</v>
      </c>
      <c r="M857" s="5" t="n">
        <v>7.124</v>
      </c>
      <c r="N857" s="5" t="n">
        <v>3.971</v>
      </c>
      <c r="O857" s="5" t="n">
        <v>0</v>
      </c>
      <c r="P857" s="5" t="n">
        <v>7.124</v>
      </c>
      <c r="Q857" s="5" t="n">
        <v>0</v>
      </c>
      <c r="R857" s="5" t="n">
        <v>1</v>
      </c>
      <c r="S857" s="5" t="n">
        <v>11.451</v>
      </c>
      <c r="T857" s="5" t="n">
        <v>7.942</v>
      </c>
      <c r="U857" s="5" t="n">
        <v>0.234</v>
      </c>
      <c r="V857" s="5" t="n">
        <v>13.168</v>
      </c>
      <c r="W857" s="5" t="n">
        <v>0.15</v>
      </c>
      <c r="X857" s="5" t="n">
        <v>1</v>
      </c>
      <c r="Y857" s="5" t="n">
        <v>12.219</v>
      </c>
      <c r="Z857" s="5" t="n">
        <v>1.508</v>
      </c>
      <c r="AA857" s="5" t="n">
        <v>0</v>
      </c>
      <c r="AB857" s="5" t="n">
        <v>12.219</v>
      </c>
      <c r="AC857" s="5" t="n">
        <v>0</v>
      </c>
      <c r="AD857" s="5" t="n">
        <v>1</v>
      </c>
      <c r="AE857" s="5" t="n">
        <v>13.543</v>
      </c>
      <c r="AF857" s="5" t="n">
        <v>2.952</v>
      </c>
      <c r="AG857" s="5" t="n">
        <v>0</v>
      </c>
      <c r="AH857" s="5" t="n">
        <v>13.543</v>
      </c>
      <c r="AI857" s="5" t="n">
        <v>0</v>
      </c>
      <c r="AJ857" s="5" t="n">
        <v>1</v>
      </c>
      <c r="AK857" s="5" t="n">
        <v>21.484</v>
      </c>
      <c r="AL857" s="5" t="n">
        <v>11.148</v>
      </c>
      <c r="AM857" s="5" t="n">
        <v>0.439</v>
      </c>
      <c r="AN857" s="5" t="n">
        <v>24.707</v>
      </c>
      <c r="AO857" s="5" t="n">
        <v>0.15</v>
      </c>
      <c r="AP857" s="5" t="n">
        <v>1</v>
      </c>
      <c r="AQ857" s="5" t="n">
        <v>0.72</v>
      </c>
      <c r="AR857" s="5" t="n">
        <v>0.132</v>
      </c>
      <c r="AS857" s="5" t="n">
        <v>0.616</v>
      </c>
      <c r="AT857" s="5" t="n">
        <v>1.536</v>
      </c>
      <c r="AU857" s="5" t="n">
        <v>0.15</v>
      </c>
      <c r="AV857" s="5" t="n">
        <v>1</v>
      </c>
      <c r="AW857" s="5" t="n">
        <v>0.734</v>
      </c>
      <c r="AX857" s="5" t="n">
        <v>0.132</v>
      </c>
      <c r="AY857" s="5" t="n">
        <v>0.595</v>
      </c>
      <c r="AZ857" s="5" t="n">
        <v>1.528</v>
      </c>
      <c r="BA857" s="5" t="n">
        <v>0.15</v>
      </c>
      <c r="BB857" s="5" t="n">
        <v>1</v>
      </c>
      <c r="BC857" s="5" t="n">
        <v>0.51</v>
      </c>
      <c r="BD857" s="5" t="n">
        <v>0.132</v>
      </c>
      <c r="BE857" s="5" t="n">
        <v>0.01</v>
      </c>
      <c r="BF857" s="5" t="n">
        <v>0.587</v>
      </c>
      <c r="BG857" s="5" t="n">
        <v>0.15</v>
      </c>
      <c r="BH857" s="5" t="n">
        <v>1</v>
      </c>
      <c r="BI857" s="5" t="n">
        <v>0.652</v>
      </c>
      <c r="BJ857" s="5" t="n">
        <v>0.132</v>
      </c>
      <c r="BK857" s="5" t="n">
        <v>0.013</v>
      </c>
      <c r="BL857" s="5" t="n">
        <v>0.75</v>
      </c>
      <c r="BM857" s="5" t="n">
        <v>0.15</v>
      </c>
      <c r="BN857" s="5" t="n">
        <v>1</v>
      </c>
      <c r="BO857" s="5" t="n">
        <v>0</v>
      </c>
      <c r="BP857" s="5" t="n">
        <v>0</v>
      </c>
      <c r="BQ857" s="5" t="n">
        <v>0</v>
      </c>
      <c r="BR857" s="5" t="n">
        <v>0</v>
      </c>
      <c r="BS857" s="5" t="n">
        <v>1</v>
      </c>
      <c r="BT857" s="5" t="n">
        <v>0</v>
      </c>
      <c r="BU857" s="5" t="n">
        <v>0</v>
      </c>
      <c r="BV857" s="5" t="n">
        <v>0</v>
      </c>
      <c r="BW857" s="5" t="n">
        <v>0.15</v>
      </c>
      <c r="BX857" s="5" t="n">
        <v>1</v>
      </c>
      <c r="BY857" s="5" t="n">
        <v>13.646</v>
      </c>
      <c r="BZ857" s="5" t="n">
        <v>0</v>
      </c>
      <c r="CA857" s="5" t="n">
        <v>13.646</v>
      </c>
      <c r="CB857" s="5" t="n">
        <v>0</v>
      </c>
      <c r="CC857" s="5" t="n">
        <v>86.38500000000001</v>
      </c>
      <c r="CD857" s="5" t="n">
        <v>7.95</v>
      </c>
      <c r="CE857" s="5" t="n">
        <v>1.765</v>
      </c>
      <c r="CF857" s="5" t="n">
        <v>99.343</v>
      </c>
      <c r="CG857" s="5" t="n">
        <v>0.15</v>
      </c>
      <c r="CH857" s="5" t="n">
        <v>1</v>
      </c>
      <c r="CI857" s="5" t="n">
        <v>0</v>
      </c>
      <c r="CJ857" s="5" t="n">
        <v>0</v>
      </c>
      <c r="CK857" s="5" t="n">
        <v>0</v>
      </c>
      <c r="CL857" s="5" t="n">
        <v>0</v>
      </c>
      <c r="CM857" s="5" t="n">
        <v>0</v>
      </c>
      <c r="CN857" s="5" t="n">
        <v>0</v>
      </c>
      <c r="CO857" s="5" t="n">
        <v>0</v>
      </c>
      <c r="CP857" s="5" t="n">
        <v>0</v>
      </c>
      <c r="CQ857" s="5" t="n">
        <v>1.387</v>
      </c>
      <c r="CR857" s="5" t="n">
        <v>0</v>
      </c>
      <c r="CS857" s="5" t="n">
        <v>5.529</v>
      </c>
      <c r="CT857" s="5" t="n">
        <v>3.509</v>
      </c>
      <c r="CU857" s="5" t="n">
        <v>10.896</v>
      </c>
    </row>
    <row r="858">
      <c r="A858" s="5" t="inlineStr">
        <is>
          <t>VEN2021</t>
        </is>
      </c>
      <c r="B858" s="5" t="inlineStr">
        <is>
          <t>VEN</t>
        </is>
      </c>
      <c r="C858" s="5" t="inlineStr">
        <is>
          <t>VEN</t>
        </is>
      </c>
      <c r="D858" s="5" t="inlineStr">
        <is>
          <t>Venezuela</t>
        </is>
      </c>
      <c r="E858" s="5" t="n">
        <v>2021</v>
      </c>
      <c r="F858" s="5" t="n">
        <v>0.16</v>
      </c>
      <c r="G858" s="5" t="n">
        <v>1.77</v>
      </c>
      <c r="H858" s="5" t="n">
        <v>0.572</v>
      </c>
      <c r="I858" s="5" t="n">
        <v>0</v>
      </c>
      <c r="J858" s="5" t="n">
        <v>1.77</v>
      </c>
      <c r="K858" s="5" t="n">
        <v>0</v>
      </c>
      <c r="L858" s="5" t="n">
        <v>1</v>
      </c>
      <c r="M858" s="5" t="n">
        <v>2.913</v>
      </c>
      <c r="N858" s="5" t="n">
        <v>1.715</v>
      </c>
      <c r="O858" s="5" t="n">
        <v>0</v>
      </c>
      <c r="P858" s="5" t="n">
        <v>2.913</v>
      </c>
      <c r="Q858" s="5" t="n">
        <v>0</v>
      </c>
      <c r="R858" s="5" t="n">
        <v>1</v>
      </c>
      <c r="S858" s="5" t="n">
        <v>4.628</v>
      </c>
      <c r="T858" s="5" t="n">
        <v>3.43</v>
      </c>
      <c r="U858" s="5" t="n">
        <v>0</v>
      </c>
      <c r="V858" s="5" t="n">
        <v>5.369</v>
      </c>
      <c r="W858" s="5" t="n">
        <v>0.16</v>
      </c>
      <c r="X858" s="5" t="n">
        <v>1</v>
      </c>
      <c r="Y858" s="5" t="n">
        <v>6.395</v>
      </c>
      <c r="Z858" s="5" t="n">
        <v>0.469</v>
      </c>
      <c r="AA858" s="5" t="n">
        <v>-1.675</v>
      </c>
      <c r="AB858" s="5" t="n">
        <v>4.72</v>
      </c>
      <c r="AC858" s="5" t="n">
        <v>0</v>
      </c>
      <c r="AD858" s="5" t="n">
        <v>0</v>
      </c>
      <c r="AE858" s="5" t="n">
        <v>6.966</v>
      </c>
      <c r="AF858" s="5" t="n">
        <v>0.944</v>
      </c>
      <c r="AG858" s="5" t="n">
        <v>-1.675</v>
      </c>
      <c r="AH858" s="5" t="n">
        <v>5.292</v>
      </c>
      <c r="AI858" s="5" t="n">
        <v>0</v>
      </c>
      <c r="AJ858" s="5" t="n">
        <v>0</v>
      </c>
      <c r="AK858" s="5" t="n">
        <v>10.396</v>
      </c>
      <c r="AL858" s="5" t="n">
        <v>3.907</v>
      </c>
      <c r="AM858" s="5" t="n">
        <v>-0.011</v>
      </c>
      <c r="AN858" s="5" t="n">
        <v>10.385</v>
      </c>
      <c r="AO858" s="5" t="n">
        <v>0</v>
      </c>
      <c r="AP858" s="5" t="n">
        <v>1</v>
      </c>
      <c r="AQ858" s="5" t="n">
        <v>0.649</v>
      </c>
      <c r="AR858" s="5" t="n">
        <v>0.114</v>
      </c>
      <c r="AS858" s="5" t="n">
        <v>-0.64</v>
      </c>
      <c r="AT858" s="5" t="n">
        <v>0.01</v>
      </c>
      <c r="AU858" s="5" t="n">
        <v>0</v>
      </c>
      <c r="AV858" s="5" t="n">
        <v>0</v>
      </c>
      <c r="AW858" s="5" t="n">
        <v>0.577</v>
      </c>
      <c r="AX858" s="5" t="n">
        <v>0.114</v>
      </c>
      <c r="AY858" s="5" t="n">
        <v>-0.5669999999999999</v>
      </c>
      <c r="AZ858" s="5" t="n">
        <v>0.01</v>
      </c>
      <c r="BA858" s="5" t="n">
        <v>0</v>
      </c>
      <c r="BB858" s="5" t="n">
        <v>0</v>
      </c>
      <c r="BC858" s="5" t="n">
        <v>0.458</v>
      </c>
      <c r="BD858" s="5" t="n">
        <v>0.114</v>
      </c>
      <c r="BE858" s="5" t="n">
        <v>-0.431</v>
      </c>
      <c r="BF858" s="5" t="n">
        <v>0.032</v>
      </c>
      <c r="BG858" s="5" t="n">
        <v>0</v>
      </c>
      <c r="BH858" s="5" t="n">
        <v>0</v>
      </c>
      <c r="BI858" s="5" t="n">
        <v>0.491</v>
      </c>
      <c r="BJ858" s="5" t="n">
        <v>0.114</v>
      </c>
      <c r="BK858" s="5" t="n">
        <v>0.095</v>
      </c>
      <c r="BL858" s="5" t="n">
        <v>0.68</v>
      </c>
      <c r="BM858" s="5" t="n">
        <v>0.16</v>
      </c>
      <c r="BN858" s="5" t="n">
        <v>1</v>
      </c>
      <c r="BO858" s="5" t="n">
        <v>0</v>
      </c>
      <c r="BP858" s="5" t="n">
        <v>-0.081</v>
      </c>
      <c r="BQ858" s="5" t="n">
        <v>0.119</v>
      </c>
      <c r="BR858" s="5" t="n">
        <v>0</v>
      </c>
      <c r="BS858" s="5" t="n">
        <v>1</v>
      </c>
      <c r="BT858" s="5" t="n">
        <v>0</v>
      </c>
      <c r="BU858" s="5" t="n">
        <v>-0.081</v>
      </c>
      <c r="BV858" s="5" t="n">
        <v>0.045</v>
      </c>
      <c r="BW858" s="5" t="n">
        <v>0</v>
      </c>
      <c r="BX858" s="5" t="n">
        <v>0.833</v>
      </c>
      <c r="BY858" s="5" t="n">
        <v>11.787</v>
      </c>
      <c r="BZ858" s="5" t="n">
        <v>0</v>
      </c>
      <c r="CA858" s="5" t="n">
        <v>11.787</v>
      </c>
      <c r="CB858" s="5" t="n">
        <v>0</v>
      </c>
      <c r="CC858" s="5" t="n">
        <v>78.125</v>
      </c>
      <c r="CD858" s="5" t="n">
        <v>7.95</v>
      </c>
      <c r="CE858" s="5" t="n">
        <v>0</v>
      </c>
      <c r="CF858" s="5" t="n">
        <v>90.625</v>
      </c>
      <c r="CG858" s="5" t="n">
        <v>0.16</v>
      </c>
      <c r="CH858" s="5" t="n">
        <v>1</v>
      </c>
      <c r="CI858" s="5" t="n">
        <v>0</v>
      </c>
      <c r="CJ858" s="5" t="n">
        <v>0</v>
      </c>
      <c r="CK858" s="5" t="n">
        <v>0</v>
      </c>
      <c r="CL858" s="5" t="n">
        <v>0</v>
      </c>
      <c r="CM858" s="5" t="n">
        <v>0</v>
      </c>
      <c r="CN858" s="5" t="n">
        <v>0</v>
      </c>
      <c r="CO858" s="5" t="n">
        <v>0</v>
      </c>
      <c r="CP858" s="5" t="n">
        <v>1</v>
      </c>
      <c r="CQ858" s="5" t="n">
        <v>1.198</v>
      </c>
      <c r="CR858" s="5" t="n">
        <v>1</v>
      </c>
      <c r="CS858" s="5" t="n">
        <v>5.823</v>
      </c>
      <c r="CT858" s="5" t="n">
        <v>4.753</v>
      </c>
      <c r="CU858" s="5" t="n">
        <v>15.983</v>
      </c>
    </row>
    <row r="859">
      <c r="A859" s="5" t="inlineStr">
        <is>
          <t>VEN2022</t>
        </is>
      </c>
      <c r="B859" s="5" t="inlineStr">
        <is>
          <t>VEN</t>
        </is>
      </c>
      <c r="C859" s="5" t="inlineStr">
        <is>
          <t>VEN</t>
        </is>
      </c>
      <c r="D859" s="5" t="inlineStr">
        <is>
          <t>Venezuela</t>
        </is>
      </c>
      <c r="E859" s="5" t="n">
        <v>2022</v>
      </c>
      <c r="F859" s="5" t="n">
        <v>0.16</v>
      </c>
      <c r="G859" s="5" t="n">
        <v>1.911</v>
      </c>
      <c r="H859" s="5" t="n">
        <v>0.617</v>
      </c>
      <c r="I859" s="5" t="n">
        <v>0</v>
      </c>
      <c r="J859" s="5" t="n">
        <v>1.911</v>
      </c>
      <c r="K859" s="5" t="n">
        <v>0</v>
      </c>
      <c r="L859" s="5" t="n">
        <v>1</v>
      </c>
      <c r="M859" s="5" t="n">
        <v>3.146</v>
      </c>
      <c r="N859" s="5" t="n">
        <v>1.852</v>
      </c>
      <c r="O859" s="5" t="n">
        <v>0</v>
      </c>
      <c r="P859" s="5" t="n">
        <v>3.146</v>
      </c>
      <c r="Q859" s="5" t="n">
        <v>0</v>
      </c>
      <c r="R859" s="5" t="n">
        <v>1</v>
      </c>
      <c r="S859" s="5" t="n">
        <v>4.998</v>
      </c>
      <c r="T859" s="5" t="n">
        <v>3.704</v>
      </c>
      <c r="U859" s="5" t="n">
        <v>0.059</v>
      </c>
      <c r="V859" s="5" t="n">
        <v>5.798</v>
      </c>
      <c r="W859" s="5" t="n">
        <v>0.16</v>
      </c>
      <c r="X859" s="5" t="n">
        <v>1</v>
      </c>
      <c r="Y859" s="5" t="n">
        <v>6.906</v>
      </c>
      <c r="Z859" s="5" t="n">
        <v>0.506</v>
      </c>
      <c r="AA859" s="5" t="n">
        <v>-1.808</v>
      </c>
      <c r="AB859" s="5" t="n">
        <v>5.097</v>
      </c>
      <c r="AC859" s="5" t="n">
        <v>0</v>
      </c>
      <c r="AD859" s="5" t="n">
        <v>0</v>
      </c>
      <c r="AE859" s="5" t="n">
        <v>7.523</v>
      </c>
      <c r="AF859" s="5" t="n">
        <v>1.019</v>
      </c>
      <c r="AG859" s="5" t="n">
        <v>-1.808</v>
      </c>
      <c r="AH859" s="5" t="n">
        <v>5.715</v>
      </c>
      <c r="AI859" s="5" t="n">
        <v>0</v>
      </c>
      <c r="AJ859" s="5" t="n">
        <v>0</v>
      </c>
      <c r="AK859" s="5" t="n">
        <v>11.227</v>
      </c>
      <c r="AL859" s="5" t="n">
        <v>4.22</v>
      </c>
      <c r="AM859" s="5" t="n">
        <v>-0.012</v>
      </c>
      <c r="AN859" s="5" t="n">
        <v>11.215</v>
      </c>
      <c r="AO859" s="5" t="n">
        <v>0</v>
      </c>
      <c r="AP859" s="5" t="n">
        <v>1</v>
      </c>
      <c r="AQ859" s="5" t="n">
        <v>0.896</v>
      </c>
      <c r="AR859" s="5" t="n">
        <v>0.123</v>
      </c>
      <c r="AS859" s="5" t="n">
        <v>-0.876</v>
      </c>
      <c r="AT859" s="5" t="n">
        <v>0.023</v>
      </c>
      <c r="AU859" s="5" t="n">
        <v>0</v>
      </c>
      <c r="AV859" s="5" t="n">
        <v>0</v>
      </c>
      <c r="AW859" s="5" t="n">
        <v>0.89</v>
      </c>
      <c r="AX859" s="5" t="n">
        <v>0.123</v>
      </c>
      <c r="AY859" s="5" t="n">
        <v>-0.872</v>
      </c>
      <c r="AZ859" s="5" t="n">
        <v>0.021</v>
      </c>
      <c r="BA859" s="5" t="n">
        <v>0</v>
      </c>
      <c r="BB859" s="5" t="n">
        <v>0</v>
      </c>
      <c r="BC859" s="5" t="n">
        <v>0.62</v>
      </c>
      <c r="BD859" s="5" t="n">
        <v>0.123</v>
      </c>
      <c r="BE859" s="5" t="n">
        <v>-0.569</v>
      </c>
      <c r="BF859" s="5" t="n">
        <v>0.06</v>
      </c>
      <c r="BG859" s="5" t="n">
        <v>0</v>
      </c>
      <c r="BH859" s="5" t="n">
        <v>0</v>
      </c>
      <c r="BI859" s="5" t="n">
        <v>0.608</v>
      </c>
      <c r="BJ859" s="5" t="n">
        <v>0.123</v>
      </c>
      <c r="BK859" s="5" t="n">
        <v>0.101</v>
      </c>
      <c r="BL859" s="5" t="n">
        <v>0.8120000000000001</v>
      </c>
      <c r="BM859" s="5" t="n">
        <v>0.16</v>
      </c>
      <c r="BN859" s="5" t="n">
        <v>1</v>
      </c>
      <c r="BO859" s="5" t="n">
        <v>0</v>
      </c>
      <c r="BP859" s="5" t="n">
        <v>-0.081</v>
      </c>
      <c r="BQ859" s="5" t="n">
        <v>0.132</v>
      </c>
      <c r="BR859" s="5" t="n">
        <v>0</v>
      </c>
      <c r="BS859" s="5" t="n">
        <v>1</v>
      </c>
      <c r="BT859" s="5" t="n">
        <v>0</v>
      </c>
      <c r="BU859" s="5" t="n">
        <v>-0.081</v>
      </c>
      <c r="BV859" s="5" t="n">
        <v>0.046</v>
      </c>
      <c r="BW859" s="5" t="n">
        <v>0</v>
      </c>
      <c r="BX859" s="5" t="n">
        <v>0.833</v>
      </c>
      <c r="BY859" s="5" t="n">
        <v>12.729</v>
      </c>
      <c r="BZ859" s="5" t="n">
        <v>0</v>
      </c>
      <c r="CA859" s="5" t="n">
        <v>12.729</v>
      </c>
      <c r="CB859" s="5" t="n">
        <v>0</v>
      </c>
      <c r="CC859" s="5" t="n">
        <v>97.90000000000001</v>
      </c>
      <c r="CD859" s="5" t="n">
        <v>7.95</v>
      </c>
      <c r="CE859" s="5" t="n">
        <v>1.159</v>
      </c>
      <c r="CF859" s="5" t="n">
        <v>113.564</v>
      </c>
      <c r="CG859" s="5" t="n">
        <v>0.16</v>
      </c>
      <c r="CH859" s="5" t="n">
        <v>1</v>
      </c>
      <c r="CI859" s="5" t="n">
        <v>0</v>
      </c>
      <c r="CJ859" s="5" t="n">
        <v>0</v>
      </c>
      <c r="CK859" s="5" t="n">
        <v>0</v>
      </c>
      <c r="CL859" s="5" t="n">
        <v>0</v>
      </c>
      <c r="CM859" s="5" t="n">
        <v>0</v>
      </c>
      <c r="CN859" s="5" t="n">
        <v>0</v>
      </c>
      <c r="CO859" s="5" t="n">
        <v>0</v>
      </c>
      <c r="CP859" s="5" t="n">
        <v>1</v>
      </c>
      <c r="CQ859" s="5" t="n">
        <v>1.294</v>
      </c>
      <c r="CR859" s="5" t="n">
        <v>1</v>
      </c>
      <c r="CS859" s="5" t="n">
        <v>6.288</v>
      </c>
      <c r="CT859" s="5" t="n">
        <v>10.485</v>
      </c>
      <c r="CU859" s="5" t="n">
        <v>29.494</v>
      </c>
    </row>
    <row r="860">
      <c r="A860" s="5" t="inlineStr">
        <is>
          <t>VEN2023</t>
        </is>
      </c>
      <c r="B860" s="5" t="inlineStr">
        <is>
          <t>VEN</t>
        </is>
      </c>
      <c r="C860" s="5" t="inlineStr">
        <is>
          <t>VEN</t>
        </is>
      </c>
      <c r="D860" s="5" t="inlineStr">
        <is>
          <t>Venezuela</t>
        </is>
      </c>
      <c r="E860" s="5" t="n">
        <v>2023</v>
      </c>
      <c r="F860" s="5" t="n">
        <v>0.16</v>
      </c>
      <c r="G860" s="5" t="n">
        <v>1.99</v>
      </c>
      <c r="H860" s="5" t="n">
        <v>0.643</v>
      </c>
      <c r="I860" s="5" t="n">
        <v>0</v>
      </c>
      <c r="J860" s="5" t="n">
        <v>1.99</v>
      </c>
      <c r="K860" s="5" t="n">
        <v>0</v>
      </c>
      <c r="L860" s="5" t="n">
        <v>1</v>
      </c>
      <c r="M860" s="5" t="n">
        <v>3.276</v>
      </c>
      <c r="N860" s="5" t="n">
        <v>1.928</v>
      </c>
      <c r="O860" s="5" t="n">
        <v>0</v>
      </c>
      <c r="P860" s="5" t="n">
        <v>3.276</v>
      </c>
      <c r="Q860" s="5" t="n">
        <v>0</v>
      </c>
      <c r="R860" s="5" t="n">
        <v>1</v>
      </c>
      <c r="S860" s="5" t="n">
        <v>5.205</v>
      </c>
      <c r="T860" s="5" t="n">
        <v>3.857</v>
      </c>
      <c r="U860" s="5" t="n">
        <v>0.092</v>
      </c>
      <c r="V860" s="5" t="n">
        <v>6.037</v>
      </c>
      <c r="W860" s="5" t="n">
        <v>0.16</v>
      </c>
      <c r="X860" s="5" t="n">
        <v>1</v>
      </c>
      <c r="Y860" s="5" t="n">
        <v>7.191</v>
      </c>
      <c r="Z860" s="5" t="n">
        <v>0.527</v>
      </c>
      <c r="AA860" s="5" t="n">
        <v>-1.883</v>
      </c>
      <c r="AB860" s="5" t="n">
        <v>5.308</v>
      </c>
      <c r="AC860" s="5" t="n">
        <v>0</v>
      </c>
      <c r="AD860" s="5" t="n">
        <v>0</v>
      </c>
      <c r="AE860" s="5" t="n">
        <v>7.834</v>
      </c>
      <c r="AF860" s="5" t="n">
        <v>1.061</v>
      </c>
      <c r="AG860" s="5" t="n">
        <v>-1.883</v>
      </c>
      <c r="AH860" s="5" t="n">
        <v>5.951</v>
      </c>
      <c r="AI860" s="5" t="n">
        <v>0</v>
      </c>
      <c r="AJ860" s="5" t="n">
        <v>0</v>
      </c>
      <c r="AK860" s="5" t="n">
        <v>11.691</v>
      </c>
      <c r="AL860" s="5" t="n">
        <v>4.394</v>
      </c>
      <c r="AM860" s="5" t="n">
        <v>-0.013</v>
      </c>
      <c r="AN860" s="5" t="n">
        <v>11.678</v>
      </c>
      <c r="AO860" s="5" t="n">
        <v>0</v>
      </c>
      <c r="AP860" s="5" t="n">
        <v>1</v>
      </c>
      <c r="AQ860" s="5" t="n">
        <v>0.791</v>
      </c>
      <c r="AR860" s="5" t="n">
        <v>0.129</v>
      </c>
      <c r="AS860" s="5" t="n">
        <v>-0.767</v>
      </c>
      <c r="AT860" s="5" t="n">
        <v>0.024</v>
      </c>
      <c r="AU860" s="5" t="n">
        <v>0</v>
      </c>
      <c r="AV860" s="5" t="n">
        <v>0</v>
      </c>
      <c r="AW860" s="5" t="n">
        <v>0.618</v>
      </c>
      <c r="AX860" s="5" t="n">
        <v>0.129</v>
      </c>
      <c r="AY860" s="5" t="n">
        <v>-0.609</v>
      </c>
      <c r="AZ860" s="5" t="n">
        <v>0.01</v>
      </c>
      <c r="BA860" s="5" t="n">
        <v>0</v>
      </c>
      <c r="BB860" s="5" t="n">
        <v>0</v>
      </c>
      <c r="BC860" s="5" t="n">
        <v>0.554</v>
      </c>
      <c r="BD860" s="5" t="n">
        <v>0.129</v>
      </c>
      <c r="BE860" s="5" t="n">
        <v>-0.492</v>
      </c>
      <c r="BF860" s="5" t="n">
        <v>0.062</v>
      </c>
      <c r="BG860" s="5" t="n">
        <v>0</v>
      </c>
      <c r="BH860" s="5" t="n">
        <v>0</v>
      </c>
      <c r="BI860" s="5" t="n">
        <v>0.5570000000000001</v>
      </c>
      <c r="BJ860" s="5" t="n">
        <v>0.129</v>
      </c>
      <c r="BK860" s="5" t="n">
        <v>0.118</v>
      </c>
      <c r="BL860" s="5" t="n">
        <v>0.77</v>
      </c>
      <c r="BM860" s="5" t="n">
        <v>0.16</v>
      </c>
      <c r="BN860" s="5" t="n">
        <v>1</v>
      </c>
      <c r="BO860" s="5" t="n">
        <v>0</v>
      </c>
      <c r="BP860" s="5" t="n">
        <v>-0.081</v>
      </c>
      <c r="BQ860" s="5" t="n">
        <v>0.237</v>
      </c>
      <c r="BR860" s="5" t="n">
        <v>0</v>
      </c>
      <c r="BS860" s="5" t="n">
        <v>1</v>
      </c>
      <c r="BT860" s="5" t="n">
        <v>0</v>
      </c>
      <c r="BU860" s="5" t="n">
        <v>-0.081</v>
      </c>
      <c r="BV860" s="5" t="n">
        <v>0.032</v>
      </c>
      <c r="BW860" s="5" t="n">
        <v>0</v>
      </c>
      <c r="BX860" s="5" t="n">
        <v>0.833</v>
      </c>
      <c r="BY860" s="5" t="n">
        <v>13.254</v>
      </c>
      <c r="BZ860" s="5" t="n">
        <v>0</v>
      </c>
      <c r="CA860" s="5" t="n">
        <v>13.254</v>
      </c>
      <c r="CB860" s="5" t="n">
        <v>0</v>
      </c>
      <c r="CC860" s="5" t="n">
        <v>83.248</v>
      </c>
      <c r="CD860" s="5" t="n">
        <v>7.95</v>
      </c>
      <c r="CE860" s="5" t="n">
        <v>1.475</v>
      </c>
      <c r="CF860" s="5" t="n">
        <v>96.568</v>
      </c>
      <c r="CG860" s="5" t="n">
        <v>0.16</v>
      </c>
      <c r="CH860" s="5" t="n">
        <v>1</v>
      </c>
      <c r="CI860" s="5" t="n">
        <v>0</v>
      </c>
      <c r="CJ860" s="5" t="n">
        <v>0</v>
      </c>
      <c r="CK860" s="5" t="n">
        <v>0</v>
      </c>
      <c r="CL860" s="5" t="n">
        <v>0</v>
      </c>
      <c r="CM860" s="5" t="n">
        <v>0</v>
      </c>
      <c r="CN860" s="5" t="n">
        <v>0</v>
      </c>
      <c r="CO860" s="5" t="n">
        <v>0</v>
      </c>
      <c r="CP860" s="5" t="n">
        <v>1</v>
      </c>
      <c r="CQ860" s="5" t="n">
        <v>1.348</v>
      </c>
      <c r="CR860" s="5" t="n">
        <v>1</v>
      </c>
      <c r="CS860" s="5" t="n">
        <v>6.548</v>
      </c>
      <c r="CT860" s="5" t="n">
        <v>4.861</v>
      </c>
      <c r="CU860" s="5" t="n">
        <v>11.192</v>
      </c>
    </row>
    <row r="861">
      <c r="A861" s="5" t="inlineStr">
        <is>
          <t>VEN2024</t>
        </is>
      </c>
      <c r="B861" s="5" t="inlineStr">
        <is>
          <t>VEN</t>
        </is>
      </c>
      <c r="C861" s="5" t="inlineStr">
        <is>
          <t>VEN</t>
        </is>
      </c>
      <c r="D861" s="5" t="inlineStr">
        <is>
          <t>Venezuela</t>
        </is>
      </c>
      <c r="E861" s="5" t="n">
        <v>2024</v>
      </c>
      <c r="F861" s="5" t="n">
        <v>0.16</v>
      </c>
      <c r="G861" s="5" t="n">
        <v>2.049</v>
      </c>
      <c r="H861" s="5" t="n">
        <v>0.662</v>
      </c>
      <c r="I861" s="5" t="n">
        <v>0</v>
      </c>
      <c r="J861" s="5" t="n">
        <v>2.049</v>
      </c>
      <c r="K861" s="5" t="n">
        <v>0</v>
      </c>
      <c r="L861" s="5" t="n">
        <v>1</v>
      </c>
      <c r="M861" s="5" t="n">
        <v>3.373</v>
      </c>
      <c r="N861" s="5" t="n">
        <v>1.985</v>
      </c>
      <c r="O861" s="5" t="n">
        <v>0</v>
      </c>
      <c r="P861" s="5" t="n">
        <v>3.373</v>
      </c>
      <c r="Q861" s="5" t="n">
        <v>0</v>
      </c>
      <c r="R861" s="5" t="n">
        <v>1</v>
      </c>
      <c r="S861" s="5" t="n">
        <v>5.358</v>
      </c>
      <c r="T861" s="5" t="n">
        <v>3.971</v>
      </c>
      <c r="U861" s="5" t="n">
        <v>0.117</v>
      </c>
      <c r="V861" s="5" t="n">
        <v>6.215</v>
      </c>
      <c r="W861" s="5" t="n">
        <v>0.16</v>
      </c>
      <c r="X861" s="5" t="n">
        <v>1</v>
      </c>
      <c r="Y861" s="5" t="n">
        <v>7.403</v>
      </c>
      <c r="Z861" s="5" t="n">
        <v>0.543</v>
      </c>
      <c r="AA861" s="5" t="n">
        <v>-1.724</v>
      </c>
      <c r="AB861" s="5" t="n">
        <v>5.679</v>
      </c>
      <c r="AC861" s="5" t="n">
        <v>0</v>
      </c>
      <c r="AD861" s="5" t="n">
        <v>0</v>
      </c>
      <c r="AE861" s="5" t="n">
        <v>8.065</v>
      </c>
      <c r="AF861" s="5" t="n">
        <v>1.092</v>
      </c>
      <c r="AG861" s="5" t="n">
        <v>-1.724</v>
      </c>
      <c r="AH861" s="5" t="n">
        <v>6.341</v>
      </c>
      <c r="AI861" s="5" t="n">
        <v>0</v>
      </c>
      <c r="AJ861" s="5" t="n">
        <v>0</v>
      </c>
      <c r="AK861" s="5" t="n">
        <v>12.036</v>
      </c>
      <c r="AL861" s="5" t="n">
        <v>4.523</v>
      </c>
      <c r="AM861" s="5" t="n">
        <v>-0.074</v>
      </c>
      <c r="AN861" s="5" t="n">
        <v>11.962</v>
      </c>
      <c r="AO861" s="5" t="n">
        <v>0</v>
      </c>
      <c r="AP861" s="5" t="n">
        <v>1</v>
      </c>
      <c r="AQ861" s="5" t="n">
        <v>0.756</v>
      </c>
      <c r="AR861" s="5" t="n">
        <v>0.132</v>
      </c>
      <c r="AS861" s="5" t="n">
        <v>-0.731</v>
      </c>
      <c r="AT861" s="5" t="n">
        <v>0.025</v>
      </c>
      <c r="AU861" s="5" t="n">
        <v>0</v>
      </c>
      <c r="AV861" s="5" t="n">
        <v>0</v>
      </c>
      <c r="AW861" s="5" t="n">
        <v>0.655</v>
      </c>
      <c r="AX861" s="5" t="n">
        <v>0.132</v>
      </c>
      <c r="AY861" s="5" t="n">
        <v>-0.646</v>
      </c>
      <c r="AZ861" s="5" t="n">
        <v>0.01</v>
      </c>
      <c r="BA861" s="5" t="n">
        <v>0</v>
      </c>
      <c r="BB861" s="5" t="n">
        <v>0</v>
      </c>
      <c r="BC861" s="5" t="n">
        <v>0.534</v>
      </c>
      <c r="BD861" s="5" t="n">
        <v>0.132</v>
      </c>
      <c r="BE861" s="5" t="n">
        <v>-0.469</v>
      </c>
      <c r="BF861" s="5" t="n">
        <v>0.064</v>
      </c>
      <c r="BG861" s="5" t="n">
        <v>0</v>
      </c>
      <c r="BH861" s="5" t="n">
        <v>0</v>
      </c>
      <c r="BI861" s="5" t="n">
        <v>0.5679999999999999</v>
      </c>
      <c r="BJ861" s="5" t="n">
        <v>0.132</v>
      </c>
      <c r="BK861" s="5" t="n">
        <v>0.125</v>
      </c>
      <c r="BL861" s="5" t="n">
        <v>0.787</v>
      </c>
      <c r="BM861" s="5" t="n">
        <v>0.16</v>
      </c>
      <c r="BN861" s="5" t="n">
        <v>1</v>
      </c>
      <c r="BO861" s="5" t="n">
        <v>0</v>
      </c>
      <c r="BP861" s="5" t="n">
        <v>-0.08400000000000001</v>
      </c>
      <c r="BQ861" s="5" t="n">
        <v>0.244</v>
      </c>
      <c r="BR861" s="5" t="n">
        <v>0</v>
      </c>
      <c r="BS861" s="5" t="n">
        <v>1</v>
      </c>
      <c r="BT861" s="5" t="n">
        <v>0</v>
      </c>
      <c r="BU861" s="5" t="n">
        <v>-0.08400000000000001</v>
      </c>
      <c r="BV861" s="5" t="n">
        <v>0.033</v>
      </c>
      <c r="BW861" s="5" t="n">
        <v>0</v>
      </c>
      <c r="BX861" s="5" t="n">
        <v>0.833</v>
      </c>
      <c r="BY861" s="5" t="n">
        <v>13.646</v>
      </c>
      <c r="BZ861" s="5" t="n">
        <v>0</v>
      </c>
      <c r="CA861" s="5" t="n">
        <v>13.646</v>
      </c>
      <c r="CB861" s="5" t="n">
        <v>0</v>
      </c>
      <c r="CC861" s="5" t="n">
        <v>82.58799999999999</v>
      </c>
      <c r="CD861" s="5" t="n">
        <v>7.95</v>
      </c>
      <c r="CE861" s="5" t="n">
        <v>1.8</v>
      </c>
      <c r="CF861" s="5" t="n">
        <v>95.80200000000001</v>
      </c>
      <c r="CG861" s="5" t="n">
        <v>0.16</v>
      </c>
      <c r="CH861" s="5" t="n">
        <v>1</v>
      </c>
      <c r="CI861" s="5" t="n">
        <v>0</v>
      </c>
      <c r="CJ861" s="5" t="n">
        <v>0</v>
      </c>
      <c r="CK861" s="5" t="n">
        <v>0</v>
      </c>
      <c r="CL861" s="5" t="n">
        <v>0</v>
      </c>
      <c r="CM861" s="5" t="n">
        <v>0</v>
      </c>
      <c r="CN861" s="5" t="n">
        <v>0</v>
      </c>
      <c r="CO861" s="5" t="n">
        <v>0</v>
      </c>
      <c r="CP861" s="5" t="n">
        <v>1</v>
      </c>
      <c r="CQ861" s="5" t="n">
        <v>1.387</v>
      </c>
      <c r="CR861" s="5" t="n">
        <v>1</v>
      </c>
      <c r="CS861" s="5" t="n">
        <v>6.741</v>
      </c>
      <c r="CT861" s="5" t="n">
        <v>4.251</v>
      </c>
      <c r="CU861" s="5" t="n">
        <v>10.123</v>
      </c>
    </row>
    <row r="862">
      <c r="A862" s="5" t="inlineStr">
        <is>
          <t>VNM2021</t>
        </is>
      </c>
      <c r="B862" s="5" t="inlineStr">
        <is>
          <t>VNM</t>
        </is>
      </c>
      <c r="C862" s="5" t="inlineStr">
        <is>
          <t>VNM</t>
        </is>
      </c>
      <c r="D862" s="5" t="inlineStr">
        <is>
          <t>Vietnam</t>
        </is>
      </c>
      <c r="E862" s="5" t="n">
        <v>2021</v>
      </c>
      <c r="F862" s="5" t="n">
        <v>0.1</v>
      </c>
      <c r="G862" s="5" t="n">
        <v>6.151</v>
      </c>
      <c r="H862" s="5" t="n">
        <v>0.804</v>
      </c>
      <c r="I862" s="5" t="n">
        <v>-0.127</v>
      </c>
      <c r="J862" s="5" t="n">
        <v>6.024</v>
      </c>
      <c r="K862" s="5" t="n">
        <v>0</v>
      </c>
      <c r="L862" s="5" t="n">
        <v>1</v>
      </c>
      <c r="M862" s="5" t="n">
        <v>7.086</v>
      </c>
      <c r="N862" s="5" t="n">
        <v>2.412</v>
      </c>
      <c r="O862" s="5" t="n">
        <v>-0.119</v>
      </c>
      <c r="P862" s="5" t="n">
        <v>6.967</v>
      </c>
      <c r="Q862" s="5" t="n">
        <v>0</v>
      </c>
      <c r="R862" s="5" t="n">
        <v>1</v>
      </c>
      <c r="S862" s="5" t="n">
        <v>7.001</v>
      </c>
      <c r="T862" s="5" t="n">
        <v>4.825</v>
      </c>
      <c r="U862" s="5" t="n">
        <v>-1.127</v>
      </c>
      <c r="V862" s="5" t="n">
        <v>6.462</v>
      </c>
      <c r="W862" s="5" t="n">
        <v>0.1</v>
      </c>
      <c r="X862" s="5" t="n">
        <v>1</v>
      </c>
      <c r="Y862" s="5" t="n">
        <v>3.937</v>
      </c>
      <c r="Z862" s="5" t="n">
        <v>0.26</v>
      </c>
      <c r="AA862" s="5" t="n">
        <v>-0.073</v>
      </c>
      <c r="AB862" s="5" t="n">
        <v>3.863</v>
      </c>
      <c r="AC862" s="5" t="n">
        <v>0</v>
      </c>
      <c r="AD862" s="5" t="n">
        <v>1</v>
      </c>
      <c r="AE862" s="5" t="n">
        <v>4.508</v>
      </c>
      <c r="AF862" s="5" t="n">
        <v>0.556</v>
      </c>
      <c r="AG862" s="5" t="n">
        <v>-0.073</v>
      </c>
      <c r="AH862" s="5" t="n">
        <v>4.435</v>
      </c>
      <c r="AI862" s="5" t="n">
        <v>0</v>
      </c>
      <c r="AJ862" s="5" t="n">
        <v>1</v>
      </c>
      <c r="AK862" s="5" t="n">
        <v>7.938</v>
      </c>
      <c r="AL862" s="5" t="n">
        <v>2.815</v>
      </c>
      <c r="AM862" s="5" t="n">
        <v>-0.067</v>
      </c>
      <c r="AN862" s="5" t="n">
        <v>8.659000000000001</v>
      </c>
      <c r="AO862" s="5" t="n">
        <v>0.1</v>
      </c>
      <c r="AP862" s="5" t="n">
        <v>1</v>
      </c>
      <c r="AQ862" s="5" t="n">
        <v>0.621</v>
      </c>
      <c r="AR862" s="5" t="n">
        <v>0.114</v>
      </c>
      <c r="AS862" s="5" t="n">
        <v>0.052</v>
      </c>
      <c r="AT862" s="5" t="n">
        <v>0.74</v>
      </c>
      <c r="AU862" s="5" t="n">
        <v>0.1</v>
      </c>
      <c r="AV862" s="5" t="n">
        <v>1</v>
      </c>
      <c r="AW862" s="5" t="n">
        <v>0.593</v>
      </c>
      <c r="AX862" s="5" t="n">
        <v>0.114</v>
      </c>
      <c r="AY862" s="5" t="n">
        <v>-0.057</v>
      </c>
      <c r="AZ862" s="5" t="n">
        <v>0.59</v>
      </c>
      <c r="BA862" s="5" t="n">
        <v>0.1</v>
      </c>
      <c r="BB862" s="5" t="n">
        <v>1</v>
      </c>
      <c r="BC862" s="5" t="n">
        <v>0.44</v>
      </c>
      <c r="BD862" s="5" t="n">
        <v>0.114</v>
      </c>
      <c r="BE862" s="5" t="n">
        <v>0.226</v>
      </c>
      <c r="BF862" s="5" t="n">
        <v>0.732</v>
      </c>
      <c r="BG862" s="5" t="n">
        <v>0.1</v>
      </c>
      <c r="BH862" s="5" t="n">
        <v>1</v>
      </c>
      <c r="BI862" s="5" t="n">
        <v>0.5600000000000001</v>
      </c>
      <c r="BJ862" s="5" t="n">
        <v>0.114</v>
      </c>
      <c r="BK862" s="5" t="n">
        <v>-0.06</v>
      </c>
      <c r="BL862" s="5" t="n">
        <v>0.55</v>
      </c>
      <c r="BM862" s="5" t="n">
        <v>0.1</v>
      </c>
      <c r="BN862" s="5" t="n">
        <v>1</v>
      </c>
      <c r="BO862" s="5" t="n">
        <v>0</v>
      </c>
      <c r="BP862" s="5" t="n">
        <v>-0.016</v>
      </c>
      <c r="BQ862" s="5" t="n">
        <v>0.081</v>
      </c>
      <c r="BR862" s="5" t="n">
        <v>0</v>
      </c>
      <c r="BS862" s="5" t="n">
        <v>0.833</v>
      </c>
      <c r="BT862" s="5" t="n">
        <v>0</v>
      </c>
      <c r="BU862" s="5" t="n">
        <v>-0.016</v>
      </c>
      <c r="BV862" s="5" t="n">
        <v>0.1</v>
      </c>
      <c r="BW862" s="5" t="n">
        <v>0</v>
      </c>
      <c r="BX862" s="5" t="n">
        <v>0.833</v>
      </c>
      <c r="BY862" s="5" t="n">
        <v>11.787</v>
      </c>
      <c r="BZ862" s="5" t="n">
        <v>0</v>
      </c>
      <c r="CA862" s="5" t="n">
        <v>11.787</v>
      </c>
      <c r="CB862" s="5" t="n">
        <v>0</v>
      </c>
      <c r="CC862" s="5" t="n">
        <v>81.69499999999999</v>
      </c>
      <c r="CD862" s="5" t="n">
        <v>7.95</v>
      </c>
      <c r="CE862" s="5" t="n">
        <v>-0.963</v>
      </c>
      <c r="CF862" s="5" t="n">
        <v>88.806</v>
      </c>
      <c r="CG862" s="5" t="n">
        <v>0.1</v>
      </c>
      <c r="CH862" s="5" t="n">
        <v>1</v>
      </c>
      <c r="CI862" s="5" t="n">
        <v>0</v>
      </c>
      <c r="CJ862" s="5" t="n">
        <v>0</v>
      </c>
      <c r="CK862" s="5" t="n">
        <v>0</v>
      </c>
      <c r="CL862" s="5" t="n">
        <v>0</v>
      </c>
      <c r="CM862" s="5" t="n">
        <v>0</v>
      </c>
      <c r="CN862" s="5" t="n">
        <v>0</v>
      </c>
      <c r="CO862" s="5" t="n">
        <v>0</v>
      </c>
      <c r="CP862" s="5" t="n">
        <v>0.593</v>
      </c>
      <c r="CQ862" s="5" t="n">
        <v>1.198</v>
      </c>
      <c r="CR862" s="5" t="n">
        <v>1</v>
      </c>
      <c r="CS862" s="5" t="n">
        <v>3.365</v>
      </c>
      <c r="CT862" s="5" t="n">
        <v>3.604</v>
      </c>
      <c r="CU862" s="5" t="n">
        <v>9.407999999999999</v>
      </c>
    </row>
    <row r="863">
      <c r="A863" s="5" t="inlineStr">
        <is>
          <t>VNM2022</t>
        </is>
      </c>
      <c r="B863" s="5" t="inlineStr">
        <is>
          <t>VNM</t>
        </is>
      </c>
      <c r="C863" s="5" t="inlineStr">
        <is>
          <t>VNM</t>
        </is>
      </c>
      <c r="D863" s="5" t="inlineStr">
        <is>
          <t>Vietnam</t>
        </is>
      </c>
      <c r="E863" s="5" t="n">
        <v>2022</v>
      </c>
      <c r="F863" s="5" t="n">
        <v>0.1</v>
      </c>
      <c r="G863" s="5" t="n">
        <v>7.846</v>
      </c>
      <c r="H863" s="5" t="n">
        <v>0.843</v>
      </c>
      <c r="I863" s="5" t="n">
        <v>-5.687</v>
      </c>
      <c r="J863" s="5" t="n">
        <v>2.16</v>
      </c>
      <c r="K863" s="5" t="n">
        <v>0</v>
      </c>
      <c r="L863" s="5" t="n">
        <v>1</v>
      </c>
      <c r="M863" s="5" t="n">
        <v>7.858</v>
      </c>
      <c r="N863" s="5" t="n">
        <v>2.528</v>
      </c>
      <c r="O863" s="5" t="n">
        <v>-5.698</v>
      </c>
      <c r="P863" s="5" t="n">
        <v>2.16</v>
      </c>
      <c r="Q863" s="5" t="n">
        <v>0</v>
      </c>
      <c r="R863" s="5" t="n">
        <v>1</v>
      </c>
      <c r="S863" s="5" t="n">
        <v>8.637</v>
      </c>
      <c r="T863" s="5" t="n">
        <v>5.057</v>
      </c>
      <c r="U863" s="5" t="n">
        <v>-6.753</v>
      </c>
      <c r="V863" s="5" t="n">
        <v>2.057</v>
      </c>
      <c r="W863" s="5" t="n">
        <v>0.1</v>
      </c>
      <c r="X863" s="5" t="n">
        <v>1</v>
      </c>
      <c r="Y863" s="5" t="n">
        <v>4.251</v>
      </c>
      <c r="Z863" s="5" t="n">
        <v>0.281</v>
      </c>
      <c r="AA863" s="5" t="n">
        <v>-0.079</v>
      </c>
      <c r="AB863" s="5" t="n">
        <v>4.172</v>
      </c>
      <c r="AC863" s="5" t="n">
        <v>0</v>
      </c>
      <c r="AD863" s="5" t="n">
        <v>1</v>
      </c>
      <c r="AE863" s="5" t="n">
        <v>4.869</v>
      </c>
      <c r="AF863" s="5" t="n">
        <v>0.601</v>
      </c>
      <c r="AG863" s="5" t="n">
        <v>-0.079</v>
      </c>
      <c r="AH863" s="5" t="n">
        <v>4.79</v>
      </c>
      <c r="AI863" s="5" t="n">
        <v>0</v>
      </c>
      <c r="AJ863" s="5" t="n">
        <v>1</v>
      </c>
      <c r="AK863" s="5" t="n">
        <v>8.573</v>
      </c>
      <c r="AL863" s="5" t="n">
        <v>3.04</v>
      </c>
      <c r="AM863" s="5" t="n">
        <v>-0.008999999999999999</v>
      </c>
      <c r="AN863" s="5" t="n">
        <v>9.351000000000001</v>
      </c>
      <c r="AO863" s="5" t="n">
        <v>0.1</v>
      </c>
      <c r="AP863" s="5" t="n">
        <v>1</v>
      </c>
      <c r="AQ863" s="5" t="n">
        <v>0.847</v>
      </c>
      <c r="AR863" s="5" t="n">
        <v>0.123</v>
      </c>
      <c r="AS863" s="5" t="n">
        <v>0.017</v>
      </c>
      <c r="AT863" s="5" t="n">
        <v>0.95</v>
      </c>
      <c r="AU863" s="5" t="n">
        <v>0.1</v>
      </c>
      <c r="AV863" s="5" t="n">
        <v>1</v>
      </c>
      <c r="AW863" s="5" t="n">
        <v>0.947</v>
      </c>
      <c r="AX863" s="5" t="n">
        <v>0.123</v>
      </c>
      <c r="AY863" s="5" t="n">
        <v>-0.119</v>
      </c>
      <c r="AZ863" s="5" t="n">
        <v>0.91</v>
      </c>
      <c r="BA863" s="5" t="n">
        <v>0.1</v>
      </c>
      <c r="BB863" s="5" t="n">
        <v>1</v>
      </c>
      <c r="BC863" s="5" t="n">
        <v>0.589</v>
      </c>
      <c r="BD863" s="5" t="n">
        <v>0.123</v>
      </c>
      <c r="BE863" s="5" t="n">
        <v>0.197</v>
      </c>
      <c r="BF863" s="5" t="n">
        <v>0.857</v>
      </c>
      <c r="BG863" s="5" t="n">
        <v>0.1</v>
      </c>
      <c r="BH863" s="5" t="n">
        <v>1</v>
      </c>
      <c r="BI863" s="5" t="n">
        <v>0.6889999999999999</v>
      </c>
      <c r="BJ863" s="5" t="n">
        <v>0.123</v>
      </c>
      <c r="BK863" s="5" t="n">
        <v>0.111</v>
      </c>
      <c r="BL863" s="5" t="n">
        <v>0.88</v>
      </c>
      <c r="BM863" s="5" t="n">
        <v>0.1</v>
      </c>
      <c r="BN863" s="5" t="n">
        <v>1</v>
      </c>
      <c r="BO863" s="5" t="n">
        <v>0</v>
      </c>
      <c r="BP863" s="5" t="n">
        <v>-0.016</v>
      </c>
      <c r="BQ863" s="5" t="n">
        <v>0.079</v>
      </c>
      <c r="BR863" s="5" t="n">
        <v>0</v>
      </c>
      <c r="BS863" s="5" t="n">
        <v>0.833</v>
      </c>
      <c r="BT863" s="5" t="n">
        <v>0</v>
      </c>
      <c r="BU863" s="5" t="n">
        <v>-0.016</v>
      </c>
      <c r="BV863" s="5" t="n">
        <v>0.098</v>
      </c>
      <c r="BW863" s="5" t="n">
        <v>0</v>
      </c>
      <c r="BX863" s="5" t="n">
        <v>0.833</v>
      </c>
      <c r="BY863" s="5" t="n">
        <v>12.729</v>
      </c>
      <c r="BZ863" s="5" t="n">
        <v>0</v>
      </c>
      <c r="CA863" s="5" t="n">
        <v>12.729</v>
      </c>
      <c r="CB863" s="5" t="n">
        <v>0</v>
      </c>
      <c r="CC863" s="5" t="n">
        <v>102.477</v>
      </c>
      <c r="CD863" s="5" t="n">
        <v>7.95</v>
      </c>
      <c r="CE863" s="5" t="n">
        <v>-6.959</v>
      </c>
      <c r="CF863" s="5" t="n">
        <v>105.07</v>
      </c>
      <c r="CG863" s="5" t="n">
        <v>0.1</v>
      </c>
      <c r="CH863" s="5" t="n">
        <v>1</v>
      </c>
      <c r="CI863" s="5" t="n">
        <v>0</v>
      </c>
      <c r="CJ863" s="5" t="n">
        <v>0</v>
      </c>
      <c r="CK863" s="5" t="n">
        <v>0</v>
      </c>
      <c r="CL863" s="5" t="n">
        <v>0</v>
      </c>
      <c r="CM863" s="5" t="n">
        <v>0</v>
      </c>
      <c r="CN863" s="5" t="n">
        <v>0</v>
      </c>
      <c r="CO863" s="5" t="n">
        <v>0</v>
      </c>
      <c r="CP863" s="5" t="n">
        <v>0.635</v>
      </c>
      <c r="CQ863" s="5" t="n">
        <v>1.294</v>
      </c>
      <c r="CR863" s="5" t="n">
        <v>1</v>
      </c>
      <c r="CS863" s="5" t="n">
        <v>3.634</v>
      </c>
      <c r="CT863" s="5" t="n">
        <v>7.554</v>
      </c>
      <c r="CU863" s="5" t="n">
        <v>16.097</v>
      </c>
    </row>
    <row r="864">
      <c r="A864" s="5" t="inlineStr">
        <is>
          <t>VNM2023</t>
        </is>
      </c>
      <c r="B864" s="5" t="inlineStr">
        <is>
          <t>VNM</t>
        </is>
      </c>
      <c r="C864" s="5" t="inlineStr">
        <is>
          <t>VNM</t>
        </is>
      </c>
      <c r="D864" s="5" t="inlineStr">
        <is>
          <t>Vietnam</t>
        </is>
      </c>
      <c r="E864" s="5" t="n">
        <v>2023</v>
      </c>
      <c r="F864" s="5" t="n">
        <v>0.1</v>
      </c>
      <c r="G864" s="5" t="n">
        <v>6.983</v>
      </c>
      <c r="H864" s="5" t="n">
        <v>0.886</v>
      </c>
      <c r="I864" s="5" t="n">
        <v>1.163</v>
      </c>
      <c r="J864" s="5" t="n">
        <v>8.146000000000001</v>
      </c>
      <c r="K864" s="5" t="n">
        <v>0</v>
      </c>
      <c r="L864" s="5" t="n">
        <v>1</v>
      </c>
      <c r="M864" s="5" t="n">
        <v>7.4</v>
      </c>
      <c r="N864" s="5" t="n">
        <v>2.657</v>
      </c>
      <c r="O864" s="5" t="n">
        <v>1.159</v>
      </c>
      <c r="P864" s="5" t="n">
        <v>8.558999999999999</v>
      </c>
      <c r="Q864" s="5" t="n">
        <v>0</v>
      </c>
      <c r="R864" s="5" t="n">
        <v>1</v>
      </c>
      <c r="S864" s="5" t="n">
        <v>7.846</v>
      </c>
      <c r="T864" s="5" t="n">
        <v>5.314</v>
      </c>
      <c r="U864" s="5" t="n">
        <v>0.125</v>
      </c>
      <c r="V864" s="5" t="n">
        <v>8.672000000000001</v>
      </c>
      <c r="W864" s="5" t="n">
        <v>0.1</v>
      </c>
      <c r="X864" s="5" t="n">
        <v>1</v>
      </c>
      <c r="Y864" s="5" t="n">
        <v>4.427</v>
      </c>
      <c r="Z864" s="5" t="n">
        <v>0.293</v>
      </c>
      <c r="AA864" s="5" t="n">
        <v>-0.082</v>
      </c>
      <c r="AB864" s="5" t="n">
        <v>4.344</v>
      </c>
      <c r="AC864" s="5" t="n">
        <v>0</v>
      </c>
      <c r="AD864" s="5" t="n">
        <v>1</v>
      </c>
      <c r="AE864" s="5" t="n">
        <v>5.07</v>
      </c>
      <c r="AF864" s="5" t="n">
        <v>0.626</v>
      </c>
      <c r="AG864" s="5" t="n">
        <v>-0.082</v>
      </c>
      <c r="AH864" s="5" t="n">
        <v>4.987</v>
      </c>
      <c r="AI864" s="5" t="n">
        <v>0</v>
      </c>
      <c r="AJ864" s="5" t="n">
        <v>1</v>
      </c>
      <c r="AK864" s="5" t="n">
        <v>8.927</v>
      </c>
      <c r="AL864" s="5" t="n">
        <v>3.166</v>
      </c>
      <c r="AM864" s="5" t="n">
        <v>0.023</v>
      </c>
      <c r="AN864" s="5" t="n">
        <v>9.737</v>
      </c>
      <c r="AO864" s="5" t="n">
        <v>0.1</v>
      </c>
      <c r="AP864" s="5" t="n">
        <v>1</v>
      </c>
      <c r="AQ864" s="5" t="n">
        <v>0.749</v>
      </c>
      <c r="AR864" s="5" t="n">
        <v>0.129</v>
      </c>
      <c r="AS864" s="5" t="n">
        <v>0.015</v>
      </c>
      <c r="AT864" s="5" t="n">
        <v>0.84</v>
      </c>
      <c r="AU864" s="5" t="n">
        <v>0.1</v>
      </c>
      <c r="AV864" s="5" t="n">
        <v>1</v>
      </c>
      <c r="AW864" s="5" t="n">
        <v>0.783</v>
      </c>
      <c r="AX864" s="5" t="n">
        <v>0.129</v>
      </c>
      <c r="AY864" s="5" t="n">
        <v>-0.073</v>
      </c>
      <c r="AZ864" s="5" t="n">
        <v>0.78</v>
      </c>
      <c r="BA864" s="5" t="n">
        <v>0.1</v>
      </c>
      <c r="BB864" s="5" t="n">
        <v>1</v>
      </c>
      <c r="BC864" s="5" t="n">
        <v>0.527</v>
      </c>
      <c r="BD864" s="5" t="n">
        <v>0.129</v>
      </c>
      <c r="BE864" s="5" t="n">
        <v>0.247</v>
      </c>
      <c r="BF864" s="5" t="n">
        <v>0.843</v>
      </c>
      <c r="BG864" s="5" t="n">
        <v>0.1</v>
      </c>
      <c r="BH864" s="5" t="n">
        <v>1</v>
      </c>
      <c r="BI864" s="5" t="n">
        <v>0.64</v>
      </c>
      <c r="BJ864" s="5" t="n">
        <v>0.129</v>
      </c>
      <c r="BK864" s="5" t="n">
        <v>0.079</v>
      </c>
      <c r="BL864" s="5" t="n">
        <v>0.79</v>
      </c>
      <c r="BM864" s="5" t="n">
        <v>0.1</v>
      </c>
      <c r="BN864" s="5" t="n">
        <v>1</v>
      </c>
      <c r="BO864" s="5" t="n">
        <v>0</v>
      </c>
      <c r="BP864" s="5" t="n">
        <v>-0.016</v>
      </c>
      <c r="BQ864" s="5" t="n">
        <v>0.082</v>
      </c>
      <c r="BR864" s="5" t="n">
        <v>0</v>
      </c>
      <c r="BS864" s="5" t="n">
        <v>0.833</v>
      </c>
      <c r="BT864" s="5" t="n">
        <v>0</v>
      </c>
      <c r="BU864" s="5" t="n">
        <v>-0.016</v>
      </c>
      <c r="BV864" s="5" t="n">
        <v>0.101</v>
      </c>
      <c r="BW864" s="5" t="n">
        <v>0</v>
      </c>
      <c r="BX864" s="5" t="n">
        <v>0.833</v>
      </c>
      <c r="BY864" s="5" t="n">
        <v>13.254</v>
      </c>
      <c r="BZ864" s="5" t="n">
        <v>0</v>
      </c>
      <c r="CA864" s="5" t="n">
        <v>13.254</v>
      </c>
      <c r="CB864" s="5" t="n">
        <v>0</v>
      </c>
      <c r="CC864" s="5" t="n">
        <v>87.07899999999999</v>
      </c>
      <c r="CD864" s="5" t="n">
        <v>7.95</v>
      </c>
      <c r="CE864" s="5" t="n">
        <v>-5.573</v>
      </c>
      <c r="CF864" s="5" t="n">
        <v>89.657</v>
      </c>
      <c r="CG864" s="5" t="n">
        <v>0.1</v>
      </c>
      <c r="CH864" s="5" t="n">
        <v>1</v>
      </c>
      <c r="CI864" s="5" t="n">
        <v>0</v>
      </c>
      <c r="CJ864" s="5" t="n">
        <v>0</v>
      </c>
      <c r="CK864" s="5" t="n">
        <v>0</v>
      </c>
      <c r="CL864" s="5" t="n">
        <v>0</v>
      </c>
      <c r="CM864" s="5" t="n">
        <v>0</v>
      </c>
      <c r="CN864" s="5" t="n">
        <v>0</v>
      </c>
      <c r="CO864" s="5" t="n">
        <v>0</v>
      </c>
      <c r="CP864" s="5" t="n">
        <v>0.622</v>
      </c>
      <c r="CQ864" s="5" t="n">
        <v>1.348</v>
      </c>
      <c r="CR864" s="5" t="n">
        <v>1</v>
      </c>
      <c r="CS864" s="5" t="n">
        <v>3.784</v>
      </c>
      <c r="CT864" s="5" t="n">
        <v>4.484</v>
      </c>
      <c r="CU864" s="5" t="n">
        <v>12.529</v>
      </c>
    </row>
    <row r="865">
      <c r="A865" s="5" t="inlineStr">
        <is>
          <t>VNM2024</t>
        </is>
      </c>
      <c r="B865" s="5" t="inlineStr">
        <is>
          <t>VNM</t>
        </is>
      </c>
      <c r="C865" s="5" t="inlineStr">
        <is>
          <t>VNM</t>
        </is>
      </c>
      <c r="D865" s="5" t="inlineStr">
        <is>
          <t>Vietnam</t>
        </is>
      </c>
      <c r="E865" s="5" t="n">
        <v>2024</v>
      </c>
      <c r="F865" s="5" t="n">
        <v>0.1</v>
      </c>
      <c r="G865" s="5" t="n">
        <v>6.771</v>
      </c>
      <c r="H865" s="5" t="n">
        <v>0.912</v>
      </c>
      <c r="I865" s="5" t="n">
        <v>1.184</v>
      </c>
      <c r="J865" s="5" t="n">
        <v>7.955</v>
      </c>
      <c r="K865" s="5" t="n">
        <v>0</v>
      </c>
      <c r="L865" s="5" t="n">
        <v>1</v>
      </c>
      <c r="M865" s="5" t="n">
        <v>7.243</v>
      </c>
      <c r="N865" s="5" t="n">
        <v>2.735</v>
      </c>
      <c r="O865" s="5" t="n">
        <v>1.182</v>
      </c>
      <c r="P865" s="5" t="n">
        <v>8.423999999999999</v>
      </c>
      <c r="Q865" s="5" t="n">
        <v>0</v>
      </c>
      <c r="R865" s="5" t="n">
        <v>1</v>
      </c>
      <c r="S865" s="5" t="n">
        <v>7.659</v>
      </c>
      <c r="T865" s="5" t="n">
        <v>5.471</v>
      </c>
      <c r="U865" s="5" t="n">
        <v>0.131</v>
      </c>
      <c r="V865" s="5" t="n">
        <v>8.454000000000001</v>
      </c>
      <c r="W865" s="5" t="n">
        <v>0.1</v>
      </c>
      <c r="X865" s="5" t="n">
        <v>1</v>
      </c>
      <c r="Y865" s="5" t="n">
        <v>4.558</v>
      </c>
      <c r="Z865" s="5" t="n">
        <v>0.301</v>
      </c>
      <c r="AA865" s="5" t="n">
        <v>-0.075</v>
      </c>
      <c r="AB865" s="5" t="n">
        <v>4.482</v>
      </c>
      <c r="AC865" s="5" t="n">
        <v>0</v>
      </c>
      <c r="AD865" s="5" t="n">
        <v>1</v>
      </c>
      <c r="AE865" s="5" t="n">
        <v>5.219</v>
      </c>
      <c r="AF865" s="5" t="n">
        <v>0.644</v>
      </c>
      <c r="AG865" s="5" t="n">
        <v>-0.075</v>
      </c>
      <c r="AH865" s="5" t="n">
        <v>5.144</v>
      </c>
      <c r="AI865" s="5" t="n">
        <v>0</v>
      </c>
      <c r="AJ865" s="5" t="n">
        <v>1</v>
      </c>
      <c r="AK865" s="5" t="n">
        <v>9.19</v>
      </c>
      <c r="AL865" s="5" t="n">
        <v>3.259</v>
      </c>
      <c r="AM865" s="5" t="n">
        <v>0.049</v>
      </c>
      <c r="AN865" s="5" t="n">
        <v>10.026</v>
      </c>
      <c r="AO865" s="5" t="n">
        <v>0.1</v>
      </c>
      <c r="AP865" s="5" t="n">
        <v>1</v>
      </c>
      <c r="AQ865" s="5" t="n">
        <v>0.72</v>
      </c>
      <c r="AR865" s="5" t="n">
        <v>0.132</v>
      </c>
      <c r="AS865" s="5" t="n">
        <v>0.016</v>
      </c>
      <c r="AT865" s="5" t="n">
        <v>0.8100000000000001</v>
      </c>
      <c r="AU865" s="5" t="n">
        <v>0.1</v>
      </c>
      <c r="AV865" s="5" t="n">
        <v>1</v>
      </c>
      <c r="AW865" s="5" t="n">
        <v>0.734</v>
      </c>
      <c r="AX865" s="5" t="n">
        <v>0.132</v>
      </c>
      <c r="AY865" s="5" t="n">
        <v>-0.052</v>
      </c>
      <c r="AZ865" s="5" t="n">
        <v>0.75</v>
      </c>
      <c r="BA865" s="5" t="n">
        <v>0.1</v>
      </c>
      <c r="BB865" s="5" t="n">
        <v>1</v>
      </c>
      <c r="BC865" s="5" t="n">
        <v>0.51</v>
      </c>
      <c r="BD865" s="5" t="n">
        <v>0.132</v>
      </c>
      <c r="BE865" s="5" t="n">
        <v>0.272</v>
      </c>
      <c r="BF865" s="5" t="n">
        <v>0.849</v>
      </c>
      <c r="BG865" s="5" t="n">
        <v>0.1</v>
      </c>
      <c r="BH865" s="5" t="n">
        <v>1</v>
      </c>
      <c r="BI865" s="5" t="n">
        <v>0.652</v>
      </c>
      <c r="BJ865" s="5" t="n">
        <v>0.132</v>
      </c>
      <c r="BK865" s="5" t="n">
        <v>0.03</v>
      </c>
      <c r="BL865" s="5" t="n">
        <v>0.75</v>
      </c>
      <c r="BM865" s="5" t="n">
        <v>0.1</v>
      </c>
      <c r="BN865" s="5" t="n">
        <v>1</v>
      </c>
      <c r="BO865" s="5" t="n">
        <v>0</v>
      </c>
      <c r="BP865" s="5" t="n">
        <v>-0.016</v>
      </c>
      <c r="BQ865" s="5" t="n">
        <v>0.083</v>
      </c>
      <c r="BR865" s="5" t="n">
        <v>0</v>
      </c>
      <c r="BS865" s="5" t="n">
        <v>0.833</v>
      </c>
      <c r="BT865" s="5" t="n">
        <v>0</v>
      </c>
      <c r="BU865" s="5" t="n">
        <v>-0.016</v>
      </c>
      <c r="BV865" s="5" t="n">
        <v>0.103</v>
      </c>
      <c r="BW865" s="5" t="n">
        <v>0</v>
      </c>
      <c r="BX865" s="5" t="n">
        <v>0.833</v>
      </c>
      <c r="BY865" s="5" t="n">
        <v>13.646</v>
      </c>
      <c r="BZ865" s="5" t="n">
        <v>0</v>
      </c>
      <c r="CA865" s="5" t="n">
        <v>13.646</v>
      </c>
      <c r="CB865" s="5" t="n">
        <v>0</v>
      </c>
      <c r="CC865" s="5" t="n">
        <v>86.38500000000001</v>
      </c>
      <c r="CD865" s="5" t="n">
        <v>7.95</v>
      </c>
      <c r="CE865" s="5" t="n">
        <v>-5.647</v>
      </c>
      <c r="CF865" s="5" t="n">
        <v>88.813</v>
      </c>
      <c r="CG865" s="5" t="n">
        <v>0.1</v>
      </c>
      <c r="CH865" s="5" t="n">
        <v>1</v>
      </c>
      <c r="CI865" s="5" t="n">
        <v>0</v>
      </c>
      <c r="CJ865" s="5" t="n">
        <v>0</v>
      </c>
      <c r="CK865" s="5" t="n">
        <v>0</v>
      </c>
      <c r="CL865" s="5" t="n">
        <v>0</v>
      </c>
      <c r="CM865" s="5" t="n">
        <v>0</v>
      </c>
      <c r="CN865" s="5" t="n">
        <v>0</v>
      </c>
      <c r="CO865" s="5" t="n">
        <v>0</v>
      </c>
      <c r="CP865" s="5" t="n">
        <v>0.622</v>
      </c>
      <c r="CQ865" s="5" t="n">
        <v>1.387</v>
      </c>
      <c r="CR865" s="5" t="n">
        <v>1</v>
      </c>
      <c r="CS865" s="5" t="n">
        <v>3.896</v>
      </c>
      <c r="CT865" s="5" t="n">
        <v>3.509</v>
      </c>
      <c r="CU865" s="5" t="n">
        <v>10.896</v>
      </c>
    </row>
    <row r="866">
      <c r="A866" s="5" t="inlineStr">
        <is>
          <t>VIR2021</t>
        </is>
      </c>
      <c r="B866" s="5" t="inlineStr">
        <is>
          <t>VIR</t>
        </is>
      </c>
      <c r="C866" s="5" t="inlineStr">
        <is>
          <t>VIR</t>
        </is>
      </c>
      <c r="D866" s="5" t="inlineStr">
        <is>
          <t>Virgin Islands (U.S.)</t>
        </is>
      </c>
      <c r="E866" s="5" t="n">
        <v>2021</v>
      </c>
      <c r="F866" s="5" t="n">
        <v>0.055</v>
      </c>
      <c r="G866" s="5" t="n">
        <v>5.897</v>
      </c>
      <c r="H866" s="5" t="n">
        <v>1.143</v>
      </c>
      <c r="I866" s="5" t="n">
        <v>0</v>
      </c>
      <c r="J866" s="5" t="n">
        <v>5.897</v>
      </c>
      <c r="K866" s="5" t="n">
        <v>0</v>
      </c>
      <c r="L866" s="5" t="n">
        <v>1</v>
      </c>
      <c r="M866" s="5" t="n">
        <v>7.964</v>
      </c>
      <c r="N866" s="5" t="n">
        <v>3.43</v>
      </c>
      <c r="O866" s="5" t="n">
        <v>0</v>
      </c>
      <c r="P866" s="5" t="n">
        <v>7.964</v>
      </c>
      <c r="Q866" s="5" t="n">
        <v>0</v>
      </c>
      <c r="R866" s="5" t="n">
        <v>1</v>
      </c>
      <c r="S866" s="5" t="n">
        <v>11.613</v>
      </c>
      <c r="T866" s="5" t="n">
        <v>6.86</v>
      </c>
      <c r="U866" s="5" t="n">
        <v>0</v>
      </c>
      <c r="V866" s="5" t="n">
        <v>12.252</v>
      </c>
      <c r="W866" s="5" t="n">
        <v>0.055</v>
      </c>
      <c r="X866" s="5" t="n">
        <v>1</v>
      </c>
      <c r="Y866" s="5" t="n">
        <v>17.127</v>
      </c>
      <c r="Z866" s="5" t="n">
        <v>2.304</v>
      </c>
      <c r="AA866" s="5" t="n">
        <v>0</v>
      </c>
      <c r="AB866" s="5" t="n">
        <v>17.127</v>
      </c>
      <c r="AC866" s="5" t="n">
        <v>0</v>
      </c>
      <c r="AD866" s="5" t="n">
        <v>1</v>
      </c>
      <c r="AE866" s="5" t="n">
        <v>18.27</v>
      </c>
      <c r="AF866" s="5" t="n">
        <v>4.278</v>
      </c>
      <c r="AG866" s="5" t="n">
        <v>0</v>
      </c>
      <c r="AH866" s="5" t="n">
        <v>18.27</v>
      </c>
      <c r="AI866" s="5" t="n">
        <v>0</v>
      </c>
      <c r="AJ866" s="5" t="n">
        <v>1</v>
      </c>
      <c r="AK866" s="5" t="n">
        <v>25.13</v>
      </c>
      <c r="AL866" s="5" t="n">
        <v>13.503</v>
      </c>
      <c r="AM866" s="5" t="n">
        <v>0</v>
      </c>
      <c r="AN866" s="5" t="n">
        <v>26.512</v>
      </c>
      <c r="AO866" s="5" t="n">
        <v>0.055</v>
      </c>
      <c r="AP866" s="5" t="n">
        <v>1</v>
      </c>
      <c r="AQ866" s="5" t="n">
        <v>0.649</v>
      </c>
      <c r="AR866" s="5" t="n">
        <v>0.114</v>
      </c>
      <c r="AS866" s="5" t="n">
        <v>0</v>
      </c>
      <c r="AT866" s="5" t="n">
        <v>0.6850000000000001</v>
      </c>
      <c r="AU866" s="5" t="n">
        <v>0.055</v>
      </c>
      <c r="AV866" s="5" t="n">
        <v>1</v>
      </c>
      <c r="AW866" s="5" t="n">
        <v>0.577</v>
      </c>
      <c r="AX866" s="5" t="n">
        <v>0.114</v>
      </c>
      <c r="AY866" s="5" t="n">
        <v>0</v>
      </c>
      <c r="AZ866" s="5" t="n">
        <v>0.608</v>
      </c>
      <c r="BA866" s="5" t="n">
        <v>0.055</v>
      </c>
      <c r="BB866" s="5" t="n">
        <v>1</v>
      </c>
      <c r="BC866" s="5" t="n">
        <v>0.458</v>
      </c>
      <c r="BD866" s="5" t="n">
        <v>0.114</v>
      </c>
      <c r="BE866" s="5" t="n">
        <v>0</v>
      </c>
      <c r="BF866" s="5" t="n">
        <v>0.483</v>
      </c>
      <c r="BG866" s="5" t="n">
        <v>0.055</v>
      </c>
      <c r="BH866" s="5" t="n">
        <v>1</v>
      </c>
      <c r="BI866" s="5" t="n">
        <v>0.491</v>
      </c>
      <c r="BJ866" s="5" t="n">
        <v>0.114</v>
      </c>
      <c r="BK866" s="5" t="n">
        <v>0</v>
      </c>
      <c r="BL866" s="5" t="n">
        <v>0.518</v>
      </c>
      <c r="BM866" s="5" t="n">
        <v>0.055</v>
      </c>
      <c r="BN866" s="5" t="n">
        <v>1</v>
      </c>
      <c r="BO866" s="5" t="n">
        <v>0</v>
      </c>
      <c r="BP866" s="5" t="n">
        <v>0</v>
      </c>
      <c r="BQ866" s="5" t="n">
        <v>0</v>
      </c>
      <c r="BR866" s="5" t="n">
        <v>0</v>
      </c>
      <c r="BS866" s="5" t="n">
        <v>1</v>
      </c>
      <c r="BT866" s="5" t="n">
        <v>0</v>
      </c>
      <c r="BU866" s="5" t="n">
        <v>0</v>
      </c>
      <c r="BV866" s="5" t="n">
        <v>0</v>
      </c>
      <c r="BW866" s="5" t="n">
        <v>0.055</v>
      </c>
      <c r="BX866" s="5" t="n">
        <v>1</v>
      </c>
      <c r="BY866" s="5" t="n">
        <v>11.787</v>
      </c>
      <c r="BZ866" s="5" t="n">
        <v>0</v>
      </c>
      <c r="CA866" s="5" t="n">
        <v>11.787</v>
      </c>
      <c r="CB866" s="5" t="n">
        <v>0</v>
      </c>
      <c r="CC866" s="5" t="n">
        <v>78.125</v>
      </c>
      <c r="CD866" s="5" t="n">
        <v>7.95</v>
      </c>
      <c r="CE866" s="5" t="n">
        <v>0</v>
      </c>
      <c r="CF866" s="5" t="n">
        <v>82.422</v>
      </c>
      <c r="CG866" s="5" t="n">
        <v>0.055</v>
      </c>
      <c r="CH866" s="5" t="n">
        <v>1</v>
      </c>
      <c r="CI866" s="5" t="n">
        <v>0</v>
      </c>
      <c r="CJ866" s="5" t="n">
        <v>0</v>
      </c>
      <c r="CK866" s="5" t="n">
        <v>0</v>
      </c>
      <c r="CL866" s="5" t="n">
        <v>0</v>
      </c>
      <c r="CM866" s="5" t="n">
        <v>0</v>
      </c>
      <c r="CN866" s="5" t="n">
        <v>0</v>
      </c>
      <c r="CO866" s="5" t="n">
        <v>0</v>
      </c>
      <c r="CP866" s="5" t="n">
        <v>0</v>
      </c>
      <c r="CQ866" s="5" t="n">
        <v>1.198</v>
      </c>
      <c r="CR866" s="5" t="n">
        <v>0</v>
      </c>
      <c r="CS866" s="5" t="n">
        <v>4.776</v>
      </c>
      <c r="CT866" s="5" t="n">
        <v>4.753</v>
      </c>
      <c r="CU866" s="5" t="n">
        <v>15.983</v>
      </c>
    </row>
    <row r="867">
      <c r="A867" s="5" t="inlineStr">
        <is>
          <t>VIR2022</t>
        </is>
      </c>
      <c r="B867" s="5" t="inlineStr">
        <is>
          <t>VIR</t>
        </is>
      </c>
      <c r="C867" s="5" t="inlineStr">
        <is>
          <t>VIR</t>
        </is>
      </c>
      <c r="D867" s="5" t="inlineStr">
        <is>
          <t>Virgin Islands (U.S.)</t>
        </is>
      </c>
      <c r="E867" s="5" t="n">
        <v>2022</v>
      </c>
      <c r="F867" s="5" t="n">
        <v>0.055</v>
      </c>
      <c r="G867" s="5" t="n">
        <v>11.72</v>
      </c>
      <c r="H867" s="5" t="n">
        <v>1.235</v>
      </c>
      <c r="I867" s="5" t="n">
        <v>0</v>
      </c>
      <c r="J867" s="5" t="n">
        <v>11.72</v>
      </c>
      <c r="K867" s="5" t="n">
        <v>0</v>
      </c>
      <c r="L867" s="5" t="n">
        <v>1</v>
      </c>
      <c r="M867" s="5" t="n">
        <v>9.782999999999999</v>
      </c>
      <c r="N867" s="5" t="n">
        <v>3.704</v>
      </c>
      <c r="O867" s="5" t="n">
        <v>0</v>
      </c>
      <c r="P867" s="5" t="n">
        <v>9.782999999999999</v>
      </c>
      <c r="Q867" s="5" t="n">
        <v>0</v>
      </c>
      <c r="R867" s="5" t="n">
        <v>1</v>
      </c>
      <c r="S867" s="5" t="n">
        <v>17.893</v>
      </c>
      <c r="T867" s="5" t="n">
        <v>7.408</v>
      </c>
      <c r="U867" s="5" t="n">
        <v>0.073</v>
      </c>
      <c r="V867" s="5" t="n">
        <v>18.877</v>
      </c>
      <c r="W867" s="5" t="n">
        <v>0.055</v>
      </c>
      <c r="X867" s="5" t="n">
        <v>1</v>
      </c>
      <c r="Y867" s="5" t="n">
        <v>30.728</v>
      </c>
      <c r="Z867" s="5" t="n">
        <v>4.133</v>
      </c>
      <c r="AA867" s="5" t="n">
        <v>0</v>
      </c>
      <c r="AB867" s="5" t="n">
        <v>30.728</v>
      </c>
      <c r="AC867" s="5" t="n">
        <v>0</v>
      </c>
      <c r="AD867" s="5" t="n">
        <v>1</v>
      </c>
      <c r="AE867" s="5" t="n">
        <v>31.963</v>
      </c>
      <c r="AF867" s="5" t="n">
        <v>7.485</v>
      </c>
      <c r="AG867" s="5" t="n">
        <v>0</v>
      </c>
      <c r="AH867" s="5" t="n">
        <v>31.963</v>
      </c>
      <c r="AI867" s="5" t="n">
        <v>0</v>
      </c>
      <c r="AJ867" s="5" t="n">
        <v>1</v>
      </c>
      <c r="AK867" s="5" t="n">
        <v>39.371</v>
      </c>
      <c r="AL867" s="5" t="n">
        <v>21.155</v>
      </c>
      <c r="AM867" s="5" t="n">
        <v>0.16</v>
      </c>
      <c r="AN867" s="5" t="n">
        <v>41.537</v>
      </c>
      <c r="AO867" s="5" t="n">
        <v>0.055</v>
      </c>
      <c r="AP867" s="5" t="n">
        <v>1</v>
      </c>
      <c r="AQ867" s="5" t="n">
        <v>0.896</v>
      </c>
      <c r="AR867" s="5" t="n">
        <v>0.123</v>
      </c>
      <c r="AS867" s="5" t="n">
        <v>0.004</v>
      </c>
      <c r="AT867" s="5" t="n">
        <v>0.945</v>
      </c>
      <c r="AU867" s="5" t="n">
        <v>0.055</v>
      </c>
      <c r="AV867" s="5" t="n">
        <v>1</v>
      </c>
      <c r="AW867" s="5" t="n">
        <v>0.89</v>
      </c>
      <c r="AX867" s="5" t="n">
        <v>0.123</v>
      </c>
      <c r="AY867" s="5" t="n">
        <v>0.004</v>
      </c>
      <c r="AZ867" s="5" t="n">
        <v>0.9389999999999999</v>
      </c>
      <c r="BA867" s="5" t="n">
        <v>0.055</v>
      </c>
      <c r="BB867" s="5" t="n">
        <v>1</v>
      </c>
      <c r="BC867" s="5" t="n">
        <v>0.62</v>
      </c>
      <c r="BD867" s="5" t="n">
        <v>0.123</v>
      </c>
      <c r="BE867" s="5" t="n">
        <v>0.003</v>
      </c>
      <c r="BF867" s="5" t="n">
        <v>0.654</v>
      </c>
      <c r="BG867" s="5" t="n">
        <v>0.055</v>
      </c>
      <c r="BH867" s="5" t="n">
        <v>1</v>
      </c>
      <c r="BI867" s="5" t="n">
        <v>0.608</v>
      </c>
      <c r="BJ867" s="5" t="n">
        <v>0.123</v>
      </c>
      <c r="BK867" s="5" t="n">
        <v>0.002</v>
      </c>
      <c r="BL867" s="5" t="n">
        <v>0.641</v>
      </c>
      <c r="BM867" s="5" t="n">
        <v>0.055</v>
      </c>
      <c r="BN867" s="5" t="n">
        <v>1</v>
      </c>
      <c r="BO867" s="5" t="n">
        <v>0</v>
      </c>
      <c r="BP867" s="5" t="n">
        <v>0</v>
      </c>
      <c r="BQ867" s="5" t="n">
        <v>0</v>
      </c>
      <c r="BR867" s="5" t="n">
        <v>0</v>
      </c>
      <c r="BS867" s="5" t="n">
        <v>1</v>
      </c>
      <c r="BT867" s="5" t="n">
        <v>0</v>
      </c>
      <c r="BU867" s="5" t="n">
        <v>0</v>
      </c>
      <c r="BV867" s="5" t="n">
        <v>0</v>
      </c>
      <c r="BW867" s="5" t="n">
        <v>0.055</v>
      </c>
      <c r="BX867" s="5" t="n">
        <v>1</v>
      </c>
      <c r="BY867" s="5" t="n">
        <v>12.729</v>
      </c>
      <c r="BZ867" s="5" t="n">
        <v>0</v>
      </c>
      <c r="CA867" s="5" t="n">
        <v>12.729</v>
      </c>
      <c r="CB867" s="5" t="n">
        <v>0</v>
      </c>
      <c r="CC867" s="5" t="n">
        <v>97.90000000000001</v>
      </c>
      <c r="CD867" s="5" t="n">
        <v>7.95</v>
      </c>
      <c r="CE867" s="5" t="n">
        <v>0.399</v>
      </c>
      <c r="CF867" s="5" t="n">
        <v>103.285</v>
      </c>
      <c r="CG867" s="5" t="n">
        <v>0.055</v>
      </c>
      <c r="CH867" s="5" t="n">
        <v>1</v>
      </c>
      <c r="CI867" s="5" t="n">
        <v>0</v>
      </c>
      <c r="CJ867" s="5" t="n">
        <v>0</v>
      </c>
      <c r="CK867" s="5" t="n">
        <v>0</v>
      </c>
      <c r="CL867" s="5" t="n">
        <v>0</v>
      </c>
      <c r="CM867" s="5" t="n">
        <v>0</v>
      </c>
      <c r="CN867" s="5" t="n">
        <v>0</v>
      </c>
      <c r="CO867" s="5" t="n">
        <v>0</v>
      </c>
      <c r="CP867" s="5" t="n">
        <v>0</v>
      </c>
      <c r="CQ867" s="5" t="n">
        <v>1.294</v>
      </c>
      <c r="CR867" s="5" t="n">
        <v>0</v>
      </c>
      <c r="CS867" s="5" t="n">
        <v>5.158</v>
      </c>
      <c r="CT867" s="5" t="n">
        <v>10.485</v>
      </c>
      <c r="CU867" s="5" t="n">
        <v>29.494</v>
      </c>
    </row>
    <row r="868">
      <c r="A868" s="5" t="inlineStr">
        <is>
          <t>VIR2023</t>
        </is>
      </c>
      <c r="B868" s="5" t="inlineStr">
        <is>
          <t>VIR</t>
        </is>
      </c>
      <c r="C868" s="5" t="inlineStr">
        <is>
          <t>VIR</t>
        </is>
      </c>
      <c r="D868" s="5" t="inlineStr">
        <is>
          <t>Virgin Islands (U.S.)</t>
        </is>
      </c>
      <c r="E868" s="5" t="n">
        <v>2023</v>
      </c>
      <c r="F868" s="5" t="n">
        <v>0.055</v>
      </c>
      <c r="G868" s="5" t="n">
        <v>6.147</v>
      </c>
      <c r="H868" s="5" t="n">
        <v>1.286</v>
      </c>
      <c r="I868" s="5" t="n">
        <v>0</v>
      </c>
      <c r="J868" s="5" t="n">
        <v>6.147</v>
      </c>
      <c r="K868" s="5" t="n">
        <v>0</v>
      </c>
      <c r="L868" s="5" t="n">
        <v>1</v>
      </c>
      <c r="M868" s="5" t="n">
        <v>7.886</v>
      </c>
      <c r="N868" s="5" t="n">
        <v>3.857</v>
      </c>
      <c r="O868" s="5" t="n">
        <v>0</v>
      </c>
      <c r="P868" s="5" t="n">
        <v>7.886</v>
      </c>
      <c r="Q868" s="5" t="n">
        <v>0</v>
      </c>
      <c r="R868" s="5" t="n">
        <v>1</v>
      </c>
      <c r="S868" s="5" t="n">
        <v>12.575</v>
      </c>
      <c r="T868" s="5" t="n">
        <v>7.714</v>
      </c>
      <c r="U868" s="5" t="n">
        <v>0.077</v>
      </c>
      <c r="V868" s="5" t="n">
        <v>13.267</v>
      </c>
      <c r="W868" s="5" t="n">
        <v>0.055</v>
      </c>
      <c r="X868" s="5" t="n">
        <v>1</v>
      </c>
      <c r="Y868" s="5" t="n">
        <v>12.478</v>
      </c>
      <c r="Z868" s="5" t="n">
        <v>1.678</v>
      </c>
      <c r="AA868" s="5" t="n">
        <v>0</v>
      </c>
      <c r="AB868" s="5" t="n">
        <v>12.478</v>
      </c>
      <c r="AC868" s="5" t="n">
        <v>0</v>
      </c>
      <c r="AD868" s="5" t="n">
        <v>1</v>
      </c>
      <c r="AE868" s="5" t="n">
        <v>13.763</v>
      </c>
      <c r="AF868" s="5" t="n">
        <v>3.223</v>
      </c>
      <c r="AG868" s="5" t="n">
        <v>0</v>
      </c>
      <c r="AH868" s="5" t="n">
        <v>13.763</v>
      </c>
      <c r="AI868" s="5" t="n">
        <v>0</v>
      </c>
      <c r="AJ868" s="5" t="n">
        <v>1</v>
      </c>
      <c r="AK868" s="5" t="n">
        <v>21.477</v>
      </c>
      <c r="AL868" s="5" t="n">
        <v>11.54</v>
      </c>
      <c r="AM868" s="5" t="n">
        <v>0.131</v>
      </c>
      <c r="AN868" s="5" t="n">
        <v>22.659</v>
      </c>
      <c r="AO868" s="5" t="n">
        <v>0.055</v>
      </c>
      <c r="AP868" s="5" t="n">
        <v>1</v>
      </c>
      <c r="AQ868" s="5" t="n">
        <v>0.791</v>
      </c>
      <c r="AR868" s="5" t="n">
        <v>0.129</v>
      </c>
      <c r="AS868" s="5" t="n">
        <v>0.005</v>
      </c>
      <c r="AT868" s="5" t="n">
        <v>0.834</v>
      </c>
      <c r="AU868" s="5" t="n">
        <v>0.055</v>
      </c>
      <c r="AV868" s="5" t="n">
        <v>1</v>
      </c>
      <c r="AW868" s="5" t="n">
        <v>0.618</v>
      </c>
      <c r="AX868" s="5" t="n">
        <v>0.129</v>
      </c>
      <c r="AY868" s="5" t="n">
        <v>0.004</v>
      </c>
      <c r="AZ868" s="5" t="n">
        <v>0.652</v>
      </c>
      <c r="BA868" s="5" t="n">
        <v>0.055</v>
      </c>
      <c r="BB868" s="5" t="n">
        <v>1</v>
      </c>
      <c r="BC868" s="5" t="n">
        <v>0.554</v>
      </c>
      <c r="BD868" s="5" t="n">
        <v>0.129</v>
      </c>
      <c r="BE868" s="5" t="n">
        <v>0.003</v>
      </c>
      <c r="BF868" s="5" t="n">
        <v>0.585</v>
      </c>
      <c r="BG868" s="5" t="n">
        <v>0.055</v>
      </c>
      <c r="BH868" s="5" t="n">
        <v>1</v>
      </c>
      <c r="BI868" s="5" t="n">
        <v>0.5570000000000001</v>
      </c>
      <c r="BJ868" s="5" t="n">
        <v>0.129</v>
      </c>
      <c r="BK868" s="5" t="n">
        <v>0.003</v>
      </c>
      <c r="BL868" s="5" t="n">
        <v>0.588</v>
      </c>
      <c r="BM868" s="5" t="n">
        <v>0.055</v>
      </c>
      <c r="BN868" s="5" t="n">
        <v>1</v>
      </c>
      <c r="BO868" s="5" t="n">
        <v>0</v>
      </c>
      <c r="BP868" s="5" t="n">
        <v>0</v>
      </c>
      <c r="BQ868" s="5" t="n">
        <v>0</v>
      </c>
      <c r="BR868" s="5" t="n">
        <v>0</v>
      </c>
      <c r="BS868" s="5" t="n">
        <v>1</v>
      </c>
      <c r="BT868" s="5" t="n">
        <v>0</v>
      </c>
      <c r="BU868" s="5" t="n">
        <v>0</v>
      </c>
      <c r="BV868" s="5" t="n">
        <v>0</v>
      </c>
      <c r="BW868" s="5" t="n">
        <v>0.055</v>
      </c>
      <c r="BX868" s="5" t="n">
        <v>1</v>
      </c>
      <c r="BY868" s="5" t="n">
        <v>13.254</v>
      </c>
      <c r="BZ868" s="5" t="n">
        <v>0</v>
      </c>
      <c r="CA868" s="5" t="n">
        <v>13.254</v>
      </c>
      <c r="CB868" s="5" t="n">
        <v>0</v>
      </c>
      <c r="CC868" s="5" t="n">
        <v>83.248</v>
      </c>
      <c r="CD868" s="5" t="n">
        <v>7.95</v>
      </c>
      <c r="CE868" s="5" t="n">
        <v>0.507</v>
      </c>
      <c r="CF868" s="5" t="n">
        <v>87.827</v>
      </c>
      <c r="CG868" s="5" t="n">
        <v>0.055</v>
      </c>
      <c r="CH868" s="5" t="n">
        <v>1</v>
      </c>
      <c r="CI868" s="5" t="n">
        <v>0</v>
      </c>
      <c r="CJ868" s="5" t="n">
        <v>0</v>
      </c>
      <c r="CK868" s="5" t="n">
        <v>0</v>
      </c>
      <c r="CL868" s="5" t="n">
        <v>0</v>
      </c>
      <c r="CM868" s="5" t="n">
        <v>0</v>
      </c>
      <c r="CN868" s="5" t="n">
        <v>0</v>
      </c>
      <c r="CO868" s="5" t="n">
        <v>0</v>
      </c>
      <c r="CP868" s="5" t="n">
        <v>0</v>
      </c>
      <c r="CQ868" s="5" t="n">
        <v>1.348</v>
      </c>
      <c r="CR868" s="5" t="n">
        <v>0</v>
      </c>
      <c r="CS868" s="5" t="n">
        <v>5.37</v>
      </c>
      <c r="CT868" s="5" t="n">
        <v>4.861</v>
      </c>
      <c r="CU868" s="5" t="n">
        <v>11.192</v>
      </c>
    </row>
    <row r="869">
      <c r="A869" s="5" t="inlineStr">
        <is>
          <t>VIR2024</t>
        </is>
      </c>
      <c r="B869" s="5" t="inlineStr">
        <is>
          <t>VIR</t>
        </is>
      </c>
      <c r="C869" s="5" t="inlineStr">
        <is>
          <t>VIR</t>
        </is>
      </c>
      <c r="D869" s="5" t="inlineStr">
        <is>
          <t>Virgin Islands (U.S.)</t>
        </is>
      </c>
      <c r="E869" s="5" t="n">
        <v>2024</v>
      </c>
      <c r="F869" s="5" t="n">
        <v>0.055</v>
      </c>
      <c r="G869" s="5" t="n">
        <v>5.575</v>
      </c>
      <c r="H869" s="5" t="n">
        <v>1.324</v>
      </c>
      <c r="I869" s="5" t="n">
        <v>0</v>
      </c>
      <c r="J869" s="5" t="n">
        <v>5.575</v>
      </c>
      <c r="K869" s="5" t="n">
        <v>0</v>
      </c>
      <c r="L869" s="5" t="n">
        <v>1</v>
      </c>
      <c r="M869" s="5" t="n">
        <v>7.124</v>
      </c>
      <c r="N869" s="5" t="n">
        <v>3.971</v>
      </c>
      <c r="O869" s="5" t="n">
        <v>0</v>
      </c>
      <c r="P869" s="5" t="n">
        <v>7.124</v>
      </c>
      <c r="Q869" s="5" t="n">
        <v>0</v>
      </c>
      <c r="R869" s="5" t="n">
        <v>1</v>
      </c>
      <c r="S869" s="5" t="n">
        <v>12.193</v>
      </c>
      <c r="T869" s="5" t="n">
        <v>7.942</v>
      </c>
      <c r="U869" s="5" t="n">
        <v>0.091</v>
      </c>
      <c r="V869" s="5" t="n">
        <v>12.863</v>
      </c>
      <c r="W869" s="5" t="n">
        <v>0.055</v>
      </c>
      <c r="X869" s="5" t="n">
        <v>1</v>
      </c>
      <c r="Y869" s="5" t="n">
        <v>11.447</v>
      </c>
      <c r="Z869" s="5" t="n">
        <v>1.54</v>
      </c>
      <c r="AA869" s="5" t="n">
        <v>0</v>
      </c>
      <c r="AB869" s="5" t="n">
        <v>11.447</v>
      </c>
      <c r="AC869" s="5" t="n">
        <v>0</v>
      </c>
      <c r="AD869" s="5" t="n">
        <v>1</v>
      </c>
      <c r="AE869" s="5" t="n">
        <v>12.771</v>
      </c>
      <c r="AF869" s="5" t="n">
        <v>2.991</v>
      </c>
      <c r="AG869" s="5" t="n">
        <v>0</v>
      </c>
      <c r="AH869" s="5" t="n">
        <v>12.771</v>
      </c>
      <c r="AI869" s="5" t="n">
        <v>0</v>
      </c>
      <c r="AJ869" s="5" t="n">
        <v>1</v>
      </c>
      <c r="AK869" s="5" t="n">
        <v>20.712</v>
      </c>
      <c r="AL869" s="5" t="n">
        <v>11.129</v>
      </c>
      <c r="AM869" s="5" t="n">
        <v>0.155</v>
      </c>
      <c r="AN869" s="5" t="n">
        <v>21.852</v>
      </c>
      <c r="AO869" s="5" t="n">
        <v>0.055</v>
      </c>
      <c r="AP869" s="5" t="n">
        <v>1</v>
      </c>
      <c r="AQ869" s="5" t="n">
        <v>0.756</v>
      </c>
      <c r="AR869" s="5" t="n">
        <v>0.132</v>
      </c>
      <c r="AS869" s="5" t="n">
        <v>0.006</v>
      </c>
      <c r="AT869" s="5" t="n">
        <v>0.798</v>
      </c>
      <c r="AU869" s="5" t="n">
        <v>0.055</v>
      </c>
      <c r="AV869" s="5" t="n">
        <v>1</v>
      </c>
      <c r="AW869" s="5" t="n">
        <v>0.655</v>
      </c>
      <c r="AX869" s="5" t="n">
        <v>0.132</v>
      </c>
      <c r="AY869" s="5" t="n">
        <v>0.005</v>
      </c>
      <c r="AZ869" s="5" t="n">
        <v>0.6909999999999999</v>
      </c>
      <c r="BA869" s="5" t="n">
        <v>0.055</v>
      </c>
      <c r="BB869" s="5" t="n">
        <v>1</v>
      </c>
      <c r="BC869" s="5" t="n">
        <v>0.534</v>
      </c>
      <c r="BD869" s="5" t="n">
        <v>0.132</v>
      </c>
      <c r="BE869" s="5" t="n">
        <v>0.004</v>
      </c>
      <c r="BF869" s="5" t="n">
        <v>0.5629999999999999</v>
      </c>
      <c r="BG869" s="5" t="n">
        <v>0.055</v>
      </c>
      <c r="BH869" s="5" t="n">
        <v>1</v>
      </c>
      <c r="BI869" s="5" t="n">
        <v>0.5679999999999999</v>
      </c>
      <c r="BJ869" s="5" t="n">
        <v>0.132</v>
      </c>
      <c r="BK869" s="5" t="n">
        <v>0.004</v>
      </c>
      <c r="BL869" s="5" t="n">
        <v>0.599</v>
      </c>
      <c r="BM869" s="5" t="n">
        <v>0.055</v>
      </c>
      <c r="BN869" s="5" t="n">
        <v>1</v>
      </c>
      <c r="BO869" s="5" t="n">
        <v>0</v>
      </c>
      <c r="BP869" s="5" t="n">
        <v>0</v>
      </c>
      <c r="BQ869" s="5" t="n">
        <v>0</v>
      </c>
      <c r="BR869" s="5" t="n">
        <v>0</v>
      </c>
      <c r="BS869" s="5" t="n">
        <v>1</v>
      </c>
      <c r="BT869" s="5" t="n">
        <v>0</v>
      </c>
      <c r="BU869" s="5" t="n">
        <v>0</v>
      </c>
      <c r="BV869" s="5" t="n">
        <v>0</v>
      </c>
      <c r="BW869" s="5" t="n">
        <v>0.055</v>
      </c>
      <c r="BX869" s="5" t="n">
        <v>1</v>
      </c>
      <c r="BY869" s="5" t="n">
        <v>13.646</v>
      </c>
      <c r="BZ869" s="5" t="n">
        <v>0</v>
      </c>
      <c r="CA869" s="5" t="n">
        <v>13.646</v>
      </c>
      <c r="CB869" s="5" t="n">
        <v>0</v>
      </c>
      <c r="CC869" s="5" t="n">
        <v>82.58799999999999</v>
      </c>
      <c r="CD869" s="5" t="n">
        <v>7.95</v>
      </c>
      <c r="CE869" s="5" t="n">
        <v>0.619</v>
      </c>
      <c r="CF869" s="5" t="n">
        <v>87.13</v>
      </c>
      <c r="CG869" s="5" t="n">
        <v>0.055</v>
      </c>
      <c r="CH869" s="5" t="n">
        <v>1</v>
      </c>
      <c r="CI869" s="5" t="n">
        <v>0</v>
      </c>
      <c r="CJ869" s="5" t="n">
        <v>0</v>
      </c>
      <c r="CK869" s="5" t="n">
        <v>0</v>
      </c>
      <c r="CL869" s="5" t="n">
        <v>0</v>
      </c>
      <c r="CM869" s="5" t="n">
        <v>0</v>
      </c>
      <c r="CN869" s="5" t="n">
        <v>0</v>
      </c>
      <c r="CO869" s="5" t="n">
        <v>0</v>
      </c>
      <c r="CP869" s="5" t="n">
        <v>0</v>
      </c>
      <c r="CQ869" s="5" t="n">
        <v>1.387</v>
      </c>
      <c r="CR869" s="5" t="n">
        <v>0</v>
      </c>
      <c r="CS869" s="5" t="n">
        <v>5.529</v>
      </c>
      <c r="CT869" s="5" t="n">
        <v>4.251</v>
      </c>
      <c r="CU869" s="5" t="n">
        <v>10.123</v>
      </c>
    </row>
    <row r="870">
      <c r="A870" s="5" t="inlineStr">
        <is>
          <t>PSE2021</t>
        </is>
      </c>
      <c r="B870" s="5" t="inlineStr">
        <is>
          <t>PSE</t>
        </is>
      </c>
      <c r="C870" s="5" t="inlineStr">
        <is>
          <t>PSE</t>
        </is>
      </c>
      <c r="D870" s="5" t="inlineStr">
        <is>
          <t>West Bank and Gaza</t>
        </is>
      </c>
      <c r="E870" s="5" t="n">
        <v>2021</v>
      </c>
      <c r="F870" s="5" t="n">
        <v>0.16</v>
      </c>
      <c r="G870" s="5" t="n">
        <v>5.897</v>
      </c>
      <c r="H870" s="5" t="n">
        <v>1.143</v>
      </c>
      <c r="I870" s="5" t="n">
        <v>0</v>
      </c>
      <c r="J870" s="5" t="n">
        <v>5.897</v>
      </c>
      <c r="K870" s="5" t="n">
        <v>0</v>
      </c>
      <c r="L870" s="5" t="n">
        <v>1</v>
      </c>
      <c r="M870" s="5" t="n">
        <v>7.964</v>
      </c>
      <c r="N870" s="5" t="n">
        <v>3.43</v>
      </c>
      <c r="O870" s="5" t="n">
        <v>0</v>
      </c>
      <c r="P870" s="5" t="n">
        <v>7.964</v>
      </c>
      <c r="Q870" s="5" t="n">
        <v>0</v>
      </c>
      <c r="R870" s="5" t="n">
        <v>1</v>
      </c>
      <c r="S870" s="5" t="n">
        <v>11.613</v>
      </c>
      <c r="T870" s="5" t="n">
        <v>6.86</v>
      </c>
      <c r="U870" s="5" t="n">
        <v>0</v>
      </c>
      <c r="V870" s="5" t="n">
        <v>13.471</v>
      </c>
      <c r="W870" s="5" t="n">
        <v>0.16</v>
      </c>
      <c r="X870" s="5" t="n">
        <v>1</v>
      </c>
      <c r="Y870" s="5" t="n">
        <v>15.299</v>
      </c>
      <c r="Z870" s="5" t="n">
        <v>2.496</v>
      </c>
      <c r="AA870" s="5" t="n">
        <v>0</v>
      </c>
      <c r="AB870" s="5" t="n">
        <v>15.299</v>
      </c>
      <c r="AC870" s="5" t="n">
        <v>0</v>
      </c>
      <c r="AD870" s="5" t="n">
        <v>1</v>
      </c>
      <c r="AE870" s="5" t="n">
        <v>16.442</v>
      </c>
      <c r="AF870" s="5" t="n">
        <v>4.506</v>
      </c>
      <c r="AG870" s="5" t="n">
        <v>0</v>
      </c>
      <c r="AH870" s="5" t="n">
        <v>16.442</v>
      </c>
      <c r="AI870" s="5" t="n">
        <v>0</v>
      </c>
      <c r="AJ870" s="5" t="n">
        <v>1</v>
      </c>
      <c r="AK870" s="5" t="n">
        <v>23.302</v>
      </c>
      <c r="AL870" s="5" t="n">
        <v>13.551</v>
      </c>
      <c r="AM870" s="5" t="n">
        <v>0</v>
      </c>
      <c r="AN870" s="5" t="n">
        <v>27.03</v>
      </c>
      <c r="AO870" s="5" t="n">
        <v>0.16</v>
      </c>
      <c r="AP870" s="5" t="n">
        <v>1</v>
      </c>
      <c r="AQ870" s="5" t="n">
        <v>0.621</v>
      </c>
      <c r="AR870" s="5" t="n">
        <v>0.114</v>
      </c>
      <c r="AS870" s="5" t="n">
        <v>0</v>
      </c>
      <c r="AT870" s="5" t="n">
        <v>0.72</v>
      </c>
      <c r="AU870" s="5" t="n">
        <v>0.16</v>
      </c>
      <c r="AV870" s="5" t="n">
        <v>1</v>
      </c>
      <c r="AW870" s="5" t="n">
        <v>0.593</v>
      </c>
      <c r="AX870" s="5" t="n">
        <v>0.114</v>
      </c>
      <c r="AY870" s="5" t="n">
        <v>0.798</v>
      </c>
      <c r="AZ870" s="5" t="n">
        <v>1.614</v>
      </c>
      <c r="BA870" s="5" t="n">
        <v>0.16</v>
      </c>
      <c r="BB870" s="5" t="n">
        <v>1</v>
      </c>
      <c r="BC870" s="5" t="n">
        <v>0.44</v>
      </c>
      <c r="BD870" s="5" t="n">
        <v>0.114</v>
      </c>
      <c r="BE870" s="5" t="n">
        <v>0</v>
      </c>
      <c r="BF870" s="5" t="n">
        <v>0.51</v>
      </c>
      <c r="BG870" s="5" t="n">
        <v>0.16</v>
      </c>
      <c r="BH870" s="5" t="n">
        <v>1</v>
      </c>
      <c r="BI870" s="5" t="n">
        <v>0.5600000000000001</v>
      </c>
      <c r="BJ870" s="5" t="n">
        <v>0.114</v>
      </c>
      <c r="BK870" s="5" t="n">
        <v>0</v>
      </c>
      <c r="BL870" s="5" t="n">
        <v>0.65</v>
      </c>
      <c r="BM870" s="5" t="n">
        <v>0.16</v>
      </c>
      <c r="BN870" s="5" t="n">
        <v>1</v>
      </c>
      <c r="BO870" s="5" t="n">
        <v>0</v>
      </c>
      <c r="BP870" s="5" t="n">
        <v>0</v>
      </c>
      <c r="BQ870" s="5" t="n">
        <v>0</v>
      </c>
      <c r="BR870" s="5" t="n">
        <v>0</v>
      </c>
      <c r="BS870" s="5" t="n">
        <v>1</v>
      </c>
      <c r="BT870" s="5" t="n">
        <v>0</v>
      </c>
      <c r="BU870" s="5" t="n">
        <v>0</v>
      </c>
      <c r="BV870" s="5" t="n">
        <v>0</v>
      </c>
      <c r="BW870" s="5" t="n">
        <v>0.16</v>
      </c>
      <c r="BX870" s="5" t="n">
        <v>1</v>
      </c>
      <c r="BY870" s="5" t="n">
        <v>11.787</v>
      </c>
      <c r="BZ870" s="5" t="n">
        <v>0</v>
      </c>
      <c r="CA870" s="5" t="n">
        <v>11.787</v>
      </c>
      <c r="CB870" s="5" t="n">
        <v>0</v>
      </c>
      <c r="CC870" s="5" t="n">
        <v>81.69499999999999</v>
      </c>
      <c r="CD870" s="5" t="n">
        <v>7.95</v>
      </c>
      <c r="CE870" s="5" t="n">
        <v>0</v>
      </c>
      <c r="CF870" s="5" t="n">
        <v>94.767</v>
      </c>
      <c r="CG870" s="5" t="n">
        <v>0.16</v>
      </c>
      <c r="CH870" s="5" t="n">
        <v>1</v>
      </c>
      <c r="CI870" s="5" t="n">
        <v>0</v>
      </c>
      <c r="CJ870" s="5" t="n">
        <v>0</v>
      </c>
      <c r="CK870" s="5" t="n">
        <v>0</v>
      </c>
      <c r="CL870" s="5" t="n">
        <v>0</v>
      </c>
      <c r="CM870" s="5" t="n">
        <v>0</v>
      </c>
      <c r="CN870" s="5" t="n">
        <v>0</v>
      </c>
      <c r="CO870" s="5" t="n">
        <v>0</v>
      </c>
      <c r="CP870" s="5" t="n">
        <v>0</v>
      </c>
      <c r="CQ870" s="5" t="n">
        <v>1.198</v>
      </c>
      <c r="CR870" s="5" t="n">
        <v>0</v>
      </c>
      <c r="CS870" s="5" t="n">
        <v>4.776</v>
      </c>
      <c r="CT870" s="5" t="n">
        <v>4.753</v>
      </c>
      <c r="CU870" s="5" t="n">
        <v>14.162</v>
      </c>
    </row>
    <row r="871">
      <c r="A871" s="5" t="inlineStr">
        <is>
          <t>PSE2022</t>
        </is>
      </c>
      <c r="B871" s="5" t="inlineStr">
        <is>
          <t>PSE</t>
        </is>
      </c>
      <c r="C871" s="5" t="inlineStr">
        <is>
          <t>PSE</t>
        </is>
      </c>
      <c r="D871" s="5" t="inlineStr">
        <is>
          <t>West Bank and Gaza</t>
        </is>
      </c>
      <c r="E871" s="5" t="n">
        <v>2022</v>
      </c>
      <c r="F871" s="5" t="n">
        <v>0.16</v>
      </c>
      <c r="G871" s="5" t="n">
        <v>11.72</v>
      </c>
      <c r="H871" s="5" t="n">
        <v>1.235</v>
      </c>
      <c r="I871" s="5" t="n">
        <v>0</v>
      </c>
      <c r="J871" s="5" t="n">
        <v>11.72</v>
      </c>
      <c r="K871" s="5" t="n">
        <v>0</v>
      </c>
      <c r="L871" s="5" t="n">
        <v>1</v>
      </c>
      <c r="M871" s="5" t="n">
        <v>9.782999999999999</v>
      </c>
      <c r="N871" s="5" t="n">
        <v>3.704</v>
      </c>
      <c r="O871" s="5" t="n">
        <v>0</v>
      </c>
      <c r="P871" s="5" t="n">
        <v>9.782999999999999</v>
      </c>
      <c r="Q871" s="5" t="n">
        <v>0</v>
      </c>
      <c r="R871" s="5" t="n">
        <v>1</v>
      </c>
      <c r="S871" s="5" t="n">
        <v>17.893</v>
      </c>
      <c r="T871" s="5" t="n">
        <v>7.408</v>
      </c>
      <c r="U871" s="5" t="n">
        <v>0.212</v>
      </c>
      <c r="V871" s="5" t="n">
        <v>20.756</v>
      </c>
      <c r="W871" s="5" t="n">
        <v>0.16</v>
      </c>
      <c r="X871" s="5" t="n">
        <v>1</v>
      </c>
      <c r="Y871" s="5" t="n">
        <v>31.56</v>
      </c>
      <c r="Z871" s="5" t="n">
        <v>5.148</v>
      </c>
      <c r="AA871" s="5" t="n">
        <v>0</v>
      </c>
      <c r="AB871" s="5" t="n">
        <v>31.56</v>
      </c>
      <c r="AC871" s="5" t="n">
        <v>0</v>
      </c>
      <c r="AD871" s="5" t="n">
        <v>1</v>
      </c>
      <c r="AE871" s="5" t="n">
        <v>32.795</v>
      </c>
      <c r="AF871" s="5" t="n">
        <v>8.988</v>
      </c>
      <c r="AG871" s="5" t="n">
        <v>0</v>
      </c>
      <c r="AH871" s="5" t="n">
        <v>32.795</v>
      </c>
      <c r="AI871" s="5" t="n">
        <v>0</v>
      </c>
      <c r="AJ871" s="5" t="n">
        <v>1</v>
      </c>
      <c r="AK871" s="5" t="n">
        <v>40.203</v>
      </c>
      <c r="AL871" s="5" t="n">
        <v>23.38</v>
      </c>
      <c r="AM871" s="5" t="n">
        <v>0.476</v>
      </c>
      <c r="AN871" s="5" t="n">
        <v>46.635</v>
      </c>
      <c r="AO871" s="5" t="n">
        <v>0.16</v>
      </c>
      <c r="AP871" s="5" t="n">
        <v>1</v>
      </c>
      <c r="AQ871" s="5" t="n">
        <v>0.847</v>
      </c>
      <c r="AR871" s="5" t="n">
        <v>0.123</v>
      </c>
      <c r="AS871" s="5" t="n">
        <v>0.01</v>
      </c>
      <c r="AT871" s="5" t="n">
        <v>0.982</v>
      </c>
      <c r="AU871" s="5" t="n">
        <v>0.16</v>
      </c>
      <c r="AV871" s="5" t="n">
        <v>1</v>
      </c>
      <c r="AW871" s="5" t="n">
        <v>0.947</v>
      </c>
      <c r="AX871" s="5" t="n">
        <v>0.123</v>
      </c>
      <c r="AY871" s="5" t="n">
        <v>0.581</v>
      </c>
      <c r="AZ871" s="5" t="n">
        <v>1.772</v>
      </c>
      <c r="BA871" s="5" t="n">
        <v>0.16</v>
      </c>
      <c r="BB871" s="5" t="n">
        <v>1</v>
      </c>
      <c r="BC871" s="5" t="n">
        <v>0.589</v>
      </c>
      <c r="BD871" s="5" t="n">
        <v>0.123</v>
      </c>
      <c r="BE871" s="5" t="n">
        <v>0.007</v>
      </c>
      <c r="BF871" s="5" t="n">
        <v>0.6830000000000001</v>
      </c>
      <c r="BG871" s="5" t="n">
        <v>0.16</v>
      </c>
      <c r="BH871" s="5" t="n">
        <v>1</v>
      </c>
      <c r="BI871" s="5" t="n">
        <v>0.6889999999999999</v>
      </c>
      <c r="BJ871" s="5" t="n">
        <v>0.123</v>
      </c>
      <c r="BK871" s="5" t="n">
        <v>0.008</v>
      </c>
      <c r="BL871" s="5" t="n">
        <v>0.799</v>
      </c>
      <c r="BM871" s="5" t="n">
        <v>0.16</v>
      </c>
      <c r="BN871" s="5" t="n">
        <v>1</v>
      </c>
      <c r="BO871" s="5" t="n">
        <v>0</v>
      </c>
      <c r="BP871" s="5" t="n">
        <v>0</v>
      </c>
      <c r="BQ871" s="5" t="n">
        <v>0</v>
      </c>
      <c r="BR871" s="5" t="n">
        <v>0</v>
      </c>
      <c r="BS871" s="5" t="n">
        <v>1</v>
      </c>
      <c r="BT871" s="5" t="n">
        <v>0</v>
      </c>
      <c r="BU871" s="5" t="n">
        <v>0</v>
      </c>
      <c r="BV871" s="5" t="n">
        <v>0</v>
      </c>
      <c r="BW871" s="5" t="n">
        <v>0.16</v>
      </c>
      <c r="BX871" s="5" t="n">
        <v>1</v>
      </c>
      <c r="BY871" s="5" t="n">
        <v>12.729</v>
      </c>
      <c r="BZ871" s="5" t="n">
        <v>0</v>
      </c>
      <c r="CA871" s="5" t="n">
        <v>12.729</v>
      </c>
      <c r="CB871" s="5" t="n">
        <v>0</v>
      </c>
      <c r="CC871" s="5" t="n">
        <v>102.477</v>
      </c>
      <c r="CD871" s="5" t="n">
        <v>7.95</v>
      </c>
      <c r="CE871" s="5" t="n">
        <v>1.213</v>
      </c>
      <c r="CF871" s="5" t="n">
        <v>118.873</v>
      </c>
      <c r="CG871" s="5" t="n">
        <v>0.16</v>
      </c>
      <c r="CH871" s="5" t="n">
        <v>1</v>
      </c>
      <c r="CI871" s="5" t="n">
        <v>0</v>
      </c>
      <c r="CJ871" s="5" t="n">
        <v>0</v>
      </c>
      <c r="CK871" s="5" t="n">
        <v>0</v>
      </c>
      <c r="CL871" s="5" t="n">
        <v>0</v>
      </c>
      <c r="CM871" s="5" t="n">
        <v>0</v>
      </c>
      <c r="CN871" s="5" t="n">
        <v>0</v>
      </c>
      <c r="CO871" s="5" t="n">
        <v>0</v>
      </c>
      <c r="CP871" s="5" t="n">
        <v>0</v>
      </c>
      <c r="CQ871" s="5" t="n">
        <v>1.294</v>
      </c>
      <c r="CR871" s="5" t="n">
        <v>0</v>
      </c>
      <c r="CS871" s="5" t="n">
        <v>5.158</v>
      </c>
      <c r="CT871" s="5" t="n">
        <v>10.485</v>
      </c>
      <c r="CU871" s="5" t="n">
        <v>30.326</v>
      </c>
    </row>
    <row r="872">
      <c r="A872" s="5" t="inlineStr">
        <is>
          <t>PSE2023</t>
        </is>
      </c>
      <c r="B872" s="5" t="inlineStr">
        <is>
          <t>PSE</t>
        </is>
      </c>
      <c r="C872" s="5" t="inlineStr">
        <is>
          <t>PSE</t>
        </is>
      </c>
      <c r="D872" s="5" t="inlineStr">
        <is>
          <t>West Bank and Gaza</t>
        </is>
      </c>
      <c r="E872" s="5" t="n">
        <v>2023</v>
      </c>
      <c r="F872" s="5" t="n">
        <v>0.16</v>
      </c>
      <c r="G872" s="5" t="n">
        <v>6.147</v>
      </c>
      <c r="H872" s="5" t="n">
        <v>1.286</v>
      </c>
      <c r="I872" s="5" t="n">
        <v>0</v>
      </c>
      <c r="J872" s="5" t="n">
        <v>6.147</v>
      </c>
      <c r="K872" s="5" t="n">
        <v>0</v>
      </c>
      <c r="L872" s="5" t="n">
        <v>1</v>
      </c>
      <c r="M872" s="5" t="n">
        <v>7.886</v>
      </c>
      <c r="N872" s="5" t="n">
        <v>3.857</v>
      </c>
      <c r="O872" s="5" t="n">
        <v>0</v>
      </c>
      <c r="P872" s="5" t="n">
        <v>7.886</v>
      </c>
      <c r="Q872" s="5" t="n">
        <v>0</v>
      </c>
      <c r="R872" s="5" t="n">
        <v>1</v>
      </c>
      <c r="S872" s="5" t="n">
        <v>12.575</v>
      </c>
      <c r="T872" s="5" t="n">
        <v>7.714</v>
      </c>
      <c r="U872" s="5" t="n">
        <v>0.223</v>
      </c>
      <c r="V872" s="5" t="n">
        <v>14.587</v>
      </c>
      <c r="W872" s="5" t="n">
        <v>0.16</v>
      </c>
      <c r="X872" s="5" t="n">
        <v>1</v>
      </c>
      <c r="Y872" s="5" t="n">
        <v>11.897</v>
      </c>
      <c r="Z872" s="5" t="n">
        <v>1.941</v>
      </c>
      <c r="AA872" s="5" t="n">
        <v>0</v>
      </c>
      <c r="AB872" s="5" t="n">
        <v>11.897</v>
      </c>
      <c r="AC872" s="5" t="n">
        <v>0</v>
      </c>
      <c r="AD872" s="5" t="n">
        <v>1</v>
      </c>
      <c r="AE872" s="5" t="n">
        <v>13.183</v>
      </c>
      <c r="AF872" s="5" t="n">
        <v>3.613</v>
      </c>
      <c r="AG872" s="5" t="n">
        <v>0</v>
      </c>
      <c r="AH872" s="5" t="n">
        <v>13.183</v>
      </c>
      <c r="AI872" s="5" t="n">
        <v>0</v>
      </c>
      <c r="AJ872" s="5" t="n">
        <v>1</v>
      </c>
      <c r="AK872" s="5" t="n">
        <v>20.897</v>
      </c>
      <c r="AL872" s="5" t="n">
        <v>12.153</v>
      </c>
      <c r="AM872" s="5" t="n">
        <v>0.37</v>
      </c>
      <c r="AN872" s="5" t="n">
        <v>24.24</v>
      </c>
      <c r="AO872" s="5" t="n">
        <v>0.16</v>
      </c>
      <c r="AP872" s="5" t="n">
        <v>1</v>
      </c>
      <c r="AQ872" s="5" t="n">
        <v>0.749</v>
      </c>
      <c r="AR872" s="5" t="n">
        <v>0.129</v>
      </c>
      <c r="AS872" s="5" t="n">
        <v>0.013</v>
      </c>
      <c r="AT872" s="5" t="n">
        <v>0.869</v>
      </c>
      <c r="AU872" s="5" t="n">
        <v>0.16</v>
      </c>
      <c r="AV872" s="5" t="n">
        <v>1</v>
      </c>
      <c r="AW872" s="5" t="n">
        <v>0.783</v>
      </c>
      <c r="AX872" s="5" t="n">
        <v>0.129</v>
      </c>
      <c r="AY872" s="5" t="n">
        <v>0.665</v>
      </c>
      <c r="AZ872" s="5" t="n">
        <v>1.68</v>
      </c>
      <c r="BA872" s="5" t="n">
        <v>0.16</v>
      </c>
      <c r="BB872" s="5" t="n">
        <v>1</v>
      </c>
      <c r="BC872" s="5" t="n">
        <v>0.527</v>
      </c>
      <c r="BD872" s="5" t="n">
        <v>0.129</v>
      </c>
      <c r="BE872" s="5" t="n">
        <v>0.008999999999999999</v>
      </c>
      <c r="BF872" s="5" t="n">
        <v>0.612</v>
      </c>
      <c r="BG872" s="5" t="n">
        <v>0.16</v>
      </c>
      <c r="BH872" s="5" t="n">
        <v>1</v>
      </c>
      <c r="BI872" s="5" t="n">
        <v>0.64</v>
      </c>
      <c r="BJ872" s="5" t="n">
        <v>0.129</v>
      </c>
      <c r="BK872" s="5" t="n">
        <v>0.011</v>
      </c>
      <c r="BL872" s="5" t="n">
        <v>0.742</v>
      </c>
      <c r="BM872" s="5" t="n">
        <v>0.16</v>
      </c>
      <c r="BN872" s="5" t="n">
        <v>1</v>
      </c>
      <c r="BO872" s="5" t="n">
        <v>0</v>
      </c>
      <c r="BP872" s="5" t="n">
        <v>0</v>
      </c>
      <c r="BQ872" s="5" t="n">
        <v>0</v>
      </c>
      <c r="BR872" s="5" t="n">
        <v>0</v>
      </c>
      <c r="BS872" s="5" t="n">
        <v>1</v>
      </c>
      <c r="BT872" s="5" t="n">
        <v>0</v>
      </c>
      <c r="BU872" s="5" t="n">
        <v>0</v>
      </c>
      <c r="BV872" s="5" t="n">
        <v>0</v>
      </c>
      <c r="BW872" s="5" t="n">
        <v>0.16</v>
      </c>
      <c r="BX872" s="5" t="n">
        <v>1</v>
      </c>
      <c r="BY872" s="5" t="n">
        <v>13.254</v>
      </c>
      <c r="BZ872" s="5" t="n">
        <v>0</v>
      </c>
      <c r="CA872" s="5" t="n">
        <v>13.254</v>
      </c>
      <c r="CB872" s="5" t="n">
        <v>0</v>
      </c>
      <c r="CC872" s="5" t="n">
        <v>87.07899999999999</v>
      </c>
      <c r="CD872" s="5" t="n">
        <v>7.95</v>
      </c>
      <c r="CE872" s="5" t="n">
        <v>1.543</v>
      </c>
      <c r="CF872" s="5" t="n">
        <v>101.012</v>
      </c>
      <c r="CG872" s="5" t="n">
        <v>0.16</v>
      </c>
      <c r="CH872" s="5" t="n">
        <v>1</v>
      </c>
      <c r="CI872" s="5" t="n">
        <v>0</v>
      </c>
      <c r="CJ872" s="5" t="n">
        <v>0</v>
      </c>
      <c r="CK872" s="5" t="n">
        <v>0</v>
      </c>
      <c r="CL872" s="5" t="n">
        <v>0</v>
      </c>
      <c r="CM872" s="5" t="n">
        <v>0</v>
      </c>
      <c r="CN872" s="5" t="n">
        <v>0</v>
      </c>
      <c r="CO872" s="5" t="n">
        <v>0</v>
      </c>
      <c r="CP872" s="5" t="n">
        <v>0</v>
      </c>
      <c r="CQ872" s="5" t="n">
        <v>1.348</v>
      </c>
      <c r="CR872" s="5" t="n">
        <v>0</v>
      </c>
      <c r="CS872" s="5" t="n">
        <v>5.37</v>
      </c>
      <c r="CT872" s="5" t="n">
        <v>4.861</v>
      </c>
      <c r="CU872" s="5" t="n">
        <v>10.622</v>
      </c>
    </row>
    <row r="873">
      <c r="A873" s="5" t="inlineStr">
        <is>
          <t>PSE2024</t>
        </is>
      </c>
      <c r="B873" s="5" t="inlineStr">
        <is>
          <t>PSE</t>
        </is>
      </c>
      <c r="C873" s="5" t="inlineStr">
        <is>
          <t>PSE</t>
        </is>
      </c>
      <c r="D873" s="5" t="inlineStr">
        <is>
          <t>West Bank and Gaza</t>
        </is>
      </c>
      <c r="E873" s="5" t="n">
        <v>2024</v>
      </c>
      <c r="F873" s="5" t="n">
        <v>0.16</v>
      </c>
      <c r="G873" s="5" t="n">
        <v>5.575</v>
      </c>
      <c r="H873" s="5" t="n">
        <v>1.324</v>
      </c>
      <c r="I873" s="5" t="n">
        <v>0</v>
      </c>
      <c r="J873" s="5" t="n">
        <v>5.575</v>
      </c>
      <c r="K873" s="5" t="n">
        <v>0</v>
      </c>
      <c r="L873" s="5" t="n">
        <v>1</v>
      </c>
      <c r="M873" s="5" t="n">
        <v>7.124</v>
      </c>
      <c r="N873" s="5" t="n">
        <v>3.971</v>
      </c>
      <c r="O873" s="5" t="n">
        <v>0</v>
      </c>
      <c r="P873" s="5" t="n">
        <v>7.124</v>
      </c>
      <c r="Q873" s="5" t="n">
        <v>0</v>
      </c>
      <c r="R873" s="5" t="n">
        <v>1</v>
      </c>
      <c r="S873" s="5" t="n">
        <v>12.193</v>
      </c>
      <c r="T873" s="5" t="n">
        <v>7.942</v>
      </c>
      <c r="U873" s="5" t="n">
        <v>0.266</v>
      </c>
      <c r="V873" s="5" t="n">
        <v>14.144</v>
      </c>
      <c r="W873" s="5" t="n">
        <v>0.16</v>
      </c>
      <c r="X873" s="5" t="n">
        <v>1</v>
      </c>
      <c r="Y873" s="5" t="n">
        <v>10.483</v>
      </c>
      <c r="Z873" s="5" t="n">
        <v>1.71</v>
      </c>
      <c r="AA873" s="5" t="n">
        <v>0</v>
      </c>
      <c r="AB873" s="5" t="n">
        <v>10.483</v>
      </c>
      <c r="AC873" s="5" t="n">
        <v>0</v>
      </c>
      <c r="AD873" s="5" t="n">
        <v>1</v>
      </c>
      <c r="AE873" s="5" t="n">
        <v>11.807</v>
      </c>
      <c r="AF873" s="5" t="n">
        <v>3.236</v>
      </c>
      <c r="AG873" s="5" t="n">
        <v>0</v>
      </c>
      <c r="AH873" s="5" t="n">
        <v>11.807</v>
      </c>
      <c r="AI873" s="5" t="n">
        <v>0</v>
      </c>
      <c r="AJ873" s="5" t="n">
        <v>1</v>
      </c>
      <c r="AK873" s="5" t="n">
        <v>19.748</v>
      </c>
      <c r="AL873" s="5" t="n">
        <v>11.485</v>
      </c>
      <c r="AM873" s="5" t="n">
        <v>0.43</v>
      </c>
      <c r="AN873" s="5" t="n">
        <v>22.908</v>
      </c>
      <c r="AO873" s="5" t="n">
        <v>0.16</v>
      </c>
      <c r="AP873" s="5" t="n">
        <v>1</v>
      </c>
      <c r="AQ873" s="5" t="n">
        <v>0.72</v>
      </c>
      <c r="AR873" s="5" t="n">
        <v>0.132</v>
      </c>
      <c r="AS873" s="5" t="n">
        <v>0.016</v>
      </c>
      <c r="AT873" s="5" t="n">
        <v>0.835</v>
      </c>
      <c r="AU873" s="5" t="n">
        <v>0.16</v>
      </c>
      <c r="AV873" s="5" t="n">
        <v>1</v>
      </c>
      <c r="AW873" s="5" t="n">
        <v>0.734</v>
      </c>
      <c r="AX873" s="5" t="n">
        <v>0.132</v>
      </c>
      <c r="AY873" s="5" t="n">
        <v>0.72</v>
      </c>
      <c r="AZ873" s="5" t="n">
        <v>1.686</v>
      </c>
      <c r="BA873" s="5" t="n">
        <v>0.16</v>
      </c>
      <c r="BB873" s="5" t="n">
        <v>1</v>
      </c>
      <c r="BC873" s="5" t="n">
        <v>0.51</v>
      </c>
      <c r="BD873" s="5" t="n">
        <v>0.132</v>
      </c>
      <c r="BE873" s="5" t="n">
        <v>0.011</v>
      </c>
      <c r="BF873" s="5" t="n">
        <v>0.592</v>
      </c>
      <c r="BG873" s="5" t="n">
        <v>0.16</v>
      </c>
      <c r="BH873" s="5" t="n">
        <v>1</v>
      </c>
      <c r="BI873" s="5" t="n">
        <v>0.652</v>
      </c>
      <c r="BJ873" s="5" t="n">
        <v>0.132</v>
      </c>
      <c r="BK873" s="5" t="n">
        <v>0.014</v>
      </c>
      <c r="BL873" s="5" t="n">
        <v>0.757</v>
      </c>
      <c r="BM873" s="5" t="n">
        <v>0.16</v>
      </c>
      <c r="BN873" s="5" t="n">
        <v>1</v>
      </c>
      <c r="BO873" s="5" t="n">
        <v>0</v>
      </c>
      <c r="BP873" s="5" t="n">
        <v>0</v>
      </c>
      <c r="BQ873" s="5" t="n">
        <v>0</v>
      </c>
      <c r="BR873" s="5" t="n">
        <v>0</v>
      </c>
      <c r="BS873" s="5" t="n">
        <v>1</v>
      </c>
      <c r="BT873" s="5" t="n">
        <v>0</v>
      </c>
      <c r="BU873" s="5" t="n">
        <v>0</v>
      </c>
      <c r="BV873" s="5" t="n">
        <v>0</v>
      </c>
      <c r="BW873" s="5" t="n">
        <v>0.16</v>
      </c>
      <c r="BX873" s="5" t="n">
        <v>1</v>
      </c>
      <c r="BY873" s="5" t="n">
        <v>13.646</v>
      </c>
      <c r="BZ873" s="5" t="n">
        <v>0</v>
      </c>
      <c r="CA873" s="5" t="n">
        <v>13.646</v>
      </c>
      <c r="CB873" s="5" t="n">
        <v>0</v>
      </c>
      <c r="CC873" s="5" t="n">
        <v>86.38500000000001</v>
      </c>
      <c r="CD873" s="5" t="n">
        <v>7.95</v>
      </c>
      <c r="CE873" s="5" t="n">
        <v>1.883</v>
      </c>
      <c r="CF873" s="5" t="n">
        <v>100.207</v>
      </c>
      <c r="CG873" s="5" t="n">
        <v>0.16</v>
      </c>
      <c r="CH873" s="5" t="n">
        <v>1</v>
      </c>
      <c r="CI873" s="5" t="n">
        <v>0</v>
      </c>
      <c r="CJ873" s="5" t="n">
        <v>0</v>
      </c>
      <c r="CK873" s="5" t="n">
        <v>0</v>
      </c>
      <c r="CL873" s="5" t="n">
        <v>0</v>
      </c>
      <c r="CM873" s="5" t="n">
        <v>0</v>
      </c>
      <c r="CN873" s="5" t="n">
        <v>0</v>
      </c>
      <c r="CO873" s="5" t="n">
        <v>0</v>
      </c>
      <c r="CP873" s="5" t="n">
        <v>0</v>
      </c>
      <c r="CQ873" s="5" t="n">
        <v>1.387</v>
      </c>
      <c r="CR873" s="5" t="n">
        <v>0</v>
      </c>
      <c r="CS873" s="5" t="n">
        <v>5.529</v>
      </c>
      <c r="CT873" s="5" t="n">
        <v>4.251</v>
      </c>
      <c r="CU873" s="5" t="n">
        <v>9.167999999999999</v>
      </c>
    </row>
    <row r="874">
      <c r="A874" s="5" t="inlineStr">
        <is>
          <t>YEM2021</t>
        </is>
      </c>
      <c r="B874" s="5" t="inlineStr">
        <is>
          <t>YEM</t>
        </is>
      </c>
      <c r="C874" s="5" t="inlineStr">
        <is>
          <t>YEM</t>
        </is>
      </c>
      <c r="D874" s="5" t="inlineStr">
        <is>
          <t>Yemen</t>
        </is>
      </c>
      <c r="E874" s="5" t="n">
        <v>2021</v>
      </c>
      <c r="F874" s="5" t="n">
        <v>0.05</v>
      </c>
      <c r="G874" s="5" t="n">
        <v>5.897</v>
      </c>
      <c r="H874" s="5" t="n">
        <v>1.143</v>
      </c>
      <c r="I874" s="5" t="n">
        <v>0</v>
      </c>
      <c r="J874" s="5" t="n">
        <v>5.897</v>
      </c>
      <c r="K874" s="5" t="n">
        <v>0</v>
      </c>
      <c r="L874" s="5" t="n">
        <v>1</v>
      </c>
      <c r="M874" s="5" t="n">
        <v>7.964</v>
      </c>
      <c r="N874" s="5" t="n">
        <v>3.43</v>
      </c>
      <c r="O874" s="5" t="n">
        <v>0</v>
      </c>
      <c r="P874" s="5" t="n">
        <v>7.964</v>
      </c>
      <c r="Q874" s="5" t="n">
        <v>0</v>
      </c>
      <c r="R874" s="5" t="n">
        <v>1</v>
      </c>
      <c r="S874" s="5" t="n">
        <v>11.613</v>
      </c>
      <c r="T874" s="5" t="n">
        <v>6.86</v>
      </c>
      <c r="U874" s="5" t="n">
        <v>0</v>
      </c>
      <c r="V874" s="5" t="n">
        <v>12.194</v>
      </c>
      <c r="W874" s="5" t="n">
        <v>0.05</v>
      </c>
      <c r="X874" s="5" t="n">
        <v>1</v>
      </c>
      <c r="Y874" s="5" t="n">
        <v>5.456</v>
      </c>
      <c r="Z874" s="5" t="n">
        <v>0.599</v>
      </c>
      <c r="AA874" s="5" t="n">
        <v>0</v>
      </c>
      <c r="AB874" s="5" t="n">
        <v>5.456</v>
      </c>
      <c r="AC874" s="5" t="n">
        <v>0</v>
      </c>
      <c r="AD874" s="5" t="n">
        <v>1</v>
      </c>
      <c r="AE874" s="5" t="n">
        <v>6.028</v>
      </c>
      <c r="AF874" s="5" t="n">
        <v>1.172</v>
      </c>
      <c r="AG874" s="5" t="n">
        <v>0</v>
      </c>
      <c r="AH874" s="5" t="n">
        <v>6.028</v>
      </c>
      <c r="AI874" s="5" t="n">
        <v>0</v>
      </c>
      <c r="AJ874" s="5" t="n">
        <v>1</v>
      </c>
      <c r="AK874" s="5" t="n">
        <v>9.458</v>
      </c>
      <c r="AL874" s="5" t="n">
        <v>4.461</v>
      </c>
      <c r="AM874" s="5" t="n">
        <v>0</v>
      </c>
      <c r="AN874" s="5" t="n">
        <v>9.93</v>
      </c>
      <c r="AO874" s="5" t="n">
        <v>0.05</v>
      </c>
      <c r="AP874" s="5" t="n">
        <v>1</v>
      </c>
      <c r="AQ874" s="5" t="n">
        <v>0.621</v>
      </c>
      <c r="AR874" s="5" t="n">
        <v>0.114</v>
      </c>
      <c r="AS874" s="5" t="n">
        <v>0.25</v>
      </c>
      <c r="AT874" s="5" t="n">
        <v>0.914</v>
      </c>
      <c r="AU874" s="5" t="n">
        <v>0.05</v>
      </c>
      <c r="AV874" s="5" t="n">
        <v>1</v>
      </c>
      <c r="AW874" s="5" t="n">
        <v>0.593</v>
      </c>
      <c r="AX874" s="5" t="n">
        <v>0.114</v>
      </c>
      <c r="AY874" s="5" t="n">
        <v>0.179</v>
      </c>
      <c r="AZ874" s="5" t="n">
        <v>0.8110000000000001</v>
      </c>
      <c r="BA874" s="5" t="n">
        <v>0.05</v>
      </c>
      <c r="BB874" s="5" t="n">
        <v>1</v>
      </c>
      <c r="BC874" s="5" t="n">
        <v>0.44</v>
      </c>
      <c r="BD874" s="5" t="n">
        <v>0.114</v>
      </c>
      <c r="BE874" s="5" t="n">
        <v>0</v>
      </c>
      <c r="BF874" s="5" t="n">
        <v>0.462</v>
      </c>
      <c r="BG874" s="5" t="n">
        <v>0.05</v>
      </c>
      <c r="BH874" s="5" t="n">
        <v>1</v>
      </c>
      <c r="BI874" s="5" t="n">
        <v>0.5600000000000001</v>
      </c>
      <c r="BJ874" s="5" t="n">
        <v>0.114</v>
      </c>
      <c r="BK874" s="5" t="n">
        <v>0</v>
      </c>
      <c r="BL874" s="5" t="n">
        <v>0.588</v>
      </c>
      <c r="BM874" s="5" t="n">
        <v>0.05</v>
      </c>
      <c r="BN874" s="5" t="n">
        <v>1</v>
      </c>
      <c r="BO874" s="5" t="n">
        <v>0</v>
      </c>
      <c r="BP874" s="5" t="n">
        <v>0</v>
      </c>
      <c r="BQ874" s="5" t="n">
        <v>0</v>
      </c>
      <c r="BR874" s="5" t="n">
        <v>0</v>
      </c>
      <c r="BS874" s="5" t="n">
        <v>1</v>
      </c>
      <c r="BT874" s="5" t="n">
        <v>0</v>
      </c>
      <c r="BU874" s="5" t="n">
        <v>0</v>
      </c>
      <c r="BV874" s="5" t="n">
        <v>0</v>
      </c>
      <c r="BW874" s="5" t="n">
        <v>0.05</v>
      </c>
      <c r="BX874" s="5" t="n">
        <v>1</v>
      </c>
      <c r="BY874" s="5" t="n">
        <v>11.787</v>
      </c>
      <c r="BZ874" s="5" t="n">
        <v>0</v>
      </c>
      <c r="CA874" s="5" t="n">
        <v>11.787</v>
      </c>
      <c r="CB874" s="5" t="n">
        <v>0</v>
      </c>
      <c r="CC874" s="5" t="n">
        <v>81.69499999999999</v>
      </c>
      <c r="CD874" s="5" t="n">
        <v>7.95</v>
      </c>
      <c r="CE874" s="5" t="n">
        <v>0</v>
      </c>
      <c r="CF874" s="5" t="n">
        <v>85.78</v>
      </c>
      <c r="CG874" s="5" t="n">
        <v>0.05</v>
      </c>
      <c r="CH874" s="5" t="n">
        <v>1</v>
      </c>
      <c r="CI874" s="5" t="n">
        <v>0</v>
      </c>
      <c r="CJ874" s="5" t="n">
        <v>0</v>
      </c>
      <c r="CK874" s="5" t="n">
        <v>0</v>
      </c>
      <c r="CL874" s="5" t="n">
        <v>0</v>
      </c>
      <c r="CM874" s="5" t="n">
        <v>0</v>
      </c>
      <c r="CN874" s="5" t="n">
        <v>0</v>
      </c>
      <c r="CO874" s="5" t="n">
        <v>0</v>
      </c>
      <c r="CP874" s="5" t="n">
        <v>0</v>
      </c>
      <c r="CQ874" s="5" t="n">
        <v>1.198</v>
      </c>
      <c r="CR874" s="5" t="n">
        <v>1</v>
      </c>
      <c r="CS874" s="5" t="n">
        <v>4.884</v>
      </c>
      <c r="CT874" s="5" t="n">
        <v>4.753</v>
      </c>
      <c r="CU874" s="5" t="n">
        <v>14.129</v>
      </c>
    </row>
    <row r="875">
      <c r="A875" s="5" t="inlineStr">
        <is>
          <t>YEM2022</t>
        </is>
      </c>
      <c r="B875" s="5" t="inlineStr">
        <is>
          <t>YEM</t>
        </is>
      </c>
      <c r="C875" s="5" t="inlineStr">
        <is>
          <t>YEM</t>
        </is>
      </c>
      <c r="D875" s="5" t="inlineStr">
        <is>
          <t>Yemen</t>
        </is>
      </c>
      <c r="E875" s="5" t="n">
        <v>2022</v>
      </c>
      <c r="F875" s="5" t="n">
        <v>0.05</v>
      </c>
      <c r="G875" s="5" t="n">
        <v>11.72</v>
      </c>
      <c r="H875" s="5" t="n">
        <v>1.235</v>
      </c>
      <c r="I875" s="5" t="n">
        <v>0</v>
      </c>
      <c r="J875" s="5" t="n">
        <v>11.72</v>
      </c>
      <c r="K875" s="5" t="n">
        <v>0</v>
      </c>
      <c r="L875" s="5" t="n">
        <v>1</v>
      </c>
      <c r="M875" s="5" t="n">
        <v>9.782999999999999</v>
      </c>
      <c r="N875" s="5" t="n">
        <v>3.704</v>
      </c>
      <c r="O875" s="5" t="n">
        <v>0</v>
      </c>
      <c r="P875" s="5" t="n">
        <v>9.782999999999999</v>
      </c>
      <c r="Q875" s="5" t="n">
        <v>0</v>
      </c>
      <c r="R875" s="5" t="n">
        <v>1</v>
      </c>
      <c r="S875" s="5" t="n">
        <v>17.893</v>
      </c>
      <c r="T875" s="5" t="n">
        <v>7.408</v>
      </c>
      <c r="U875" s="5" t="n">
        <v>0.066</v>
      </c>
      <c r="V875" s="5" t="n">
        <v>18.788</v>
      </c>
      <c r="W875" s="5" t="n">
        <v>0.05</v>
      </c>
      <c r="X875" s="5" t="n">
        <v>1</v>
      </c>
      <c r="Y875" s="5" t="n">
        <v>5.892</v>
      </c>
      <c r="Z875" s="5" t="n">
        <v>0.647</v>
      </c>
      <c r="AA875" s="5" t="n">
        <v>0</v>
      </c>
      <c r="AB875" s="5" t="n">
        <v>5.892</v>
      </c>
      <c r="AC875" s="5" t="n">
        <v>0</v>
      </c>
      <c r="AD875" s="5" t="n">
        <v>1</v>
      </c>
      <c r="AE875" s="5" t="n">
        <v>6.509</v>
      </c>
      <c r="AF875" s="5" t="n">
        <v>1.266</v>
      </c>
      <c r="AG875" s="5" t="n">
        <v>0</v>
      </c>
      <c r="AH875" s="5" t="n">
        <v>6.509</v>
      </c>
      <c r="AI875" s="5" t="n">
        <v>0</v>
      </c>
      <c r="AJ875" s="5" t="n">
        <v>1</v>
      </c>
      <c r="AK875" s="5" t="n">
        <v>10.213</v>
      </c>
      <c r="AL875" s="5" t="n">
        <v>4.818</v>
      </c>
      <c r="AM875" s="5" t="n">
        <v>0.038</v>
      </c>
      <c r="AN875" s="5" t="n">
        <v>10.724</v>
      </c>
      <c r="AO875" s="5" t="n">
        <v>0.05</v>
      </c>
      <c r="AP875" s="5" t="n">
        <v>1</v>
      </c>
      <c r="AQ875" s="5" t="n">
        <v>0.847</v>
      </c>
      <c r="AR875" s="5" t="n">
        <v>0.123</v>
      </c>
      <c r="AS875" s="5" t="n">
        <v>0.266</v>
      </c>
      <c r="AT875" s="5" t="n">
        <v>1.164</v>
      </c>
      <c r="AU875" s="5" t="n">
        <v>0.05</v>
      </c>
      <c r="AV875" s="5" t="n">
        <v>1</v>
      </c>
      <c r="AW875" s="5" t="n">
        <v>0.947</v>
      </c>
      <c r="AX875" s="5" t="n">
        <v>0.123</v>
      </c>
      <c r="AY875" s="5" t="n">
        <v>0.183</v>
      </c>
      <c r="AZ875" s="5" t="n">
        <v>1.182</v>
      </c>
      <c r="BA875" s="5" t="n">
        <v>0.05</v>
      </c>
      <c r="BB875" s="5" t="n">
        <v>1</v>
      </c>
      <c r="BC875" s="5" t="n">
        <v>0.589</v>
      </c>
      <c r="BD875" s="5" t="n">
        <v>0.123</v>
      </c>
      <c r="BE875" s="5" t="n">
        <v>0.002</v>
      </c>
      <c r="BF875" s="5" t="n">
        <v>0.618</v>
      </c>
      <c r="BG875" s="5" t="n">
        <v>0.05</v>
      </c>
      <c r="BH875" s="5" t="n">
        <v>1</v>
      </c>
      <c r="BI875" s="5" t="n">
        <v>0.6889999999999999</v>
      </c>
      <c r="BJ875" s="5" t="n">
        <v>0.123</v>
      </c>
      <c r="BK875" s="5" t="n">
        <v>0.003</v>
      </c>
      <c r="BL875" s="5" t="n">
        <v>0.723</v>
      </c>
      <c r="BM875" s="5" t="n">
        <v>0.05</v>
      </c>
      <c r="BN875" s="5" t="n">
        <v>1</v>
      </c>
      <c r="BO875" s="5" t="n">
        <v>0</v>
      </c>
      <c r="BP875" s="5" t="n">
        <v>0</v>
      </c>
      <c r="BQ875" s="5" t="n">
        <v>0</v>
      </c>
      <c r="BR875" s="5" t="n">
        <v>0</v>
      </c>
      <c r="BS875" s="5" t="n">
        <v>1</v>
      </c>
      <c r="BT875" s="5" t="n">
        <v>0</v>
      </c>
      <c r="BU875" s="5" t="n">
        <v>0</v>
      </c>
      <c r="BV875" s="5" t="n">
        <v>0</v>
      </c>
      <c r="BW875" s="5" t="n">
        <v>0.05</v>
      </c>
      <c r="BX875" s="5" t="n">
        <v>1</v>
      </c>
      <c r="BY875" s="5" t="n">
        <v>12.729</v>
      </c>
      <c r="BZ875" s="5" t="n">
        <v>0</v>
      </c>
      <c r="CA875" s="5" t="n">
        <v>12.729</v>
      </c>
      <c r="CB875" s="5" t="n">
        <v>0</v>
      </c>
      <c r="CC875" s="5" t="n">
        <v>102.477</v>
      </c>
      <c r="CD875" s="5" t="n">
        <v>7.95</v>
      </c>
      <c r="CE875" s="5" t="n">
        <v>0.379</v>
      </c>
      <c r="CF875" s="5" t="n">
        <v>107.6</v>
      </c>
      <c r="CG875" s="5" t="n">
        <v>0.05</v>
      </c>
      <c r="CH875" s="5" t="n">
        <v>1</v>
      </c>
      <c r="CI875" s="5" t="n">
        <v>0</v>
      </c>
      <c r="CJ875" s="5" t="n">
        <v>0</v>
      </c>
      <c r="CK875" s="5" t="n">
        <v>0</v>
      </c>
      <c r="CL875" s="5" t="n">
        <v>0</v>
      </c>
      <c r="CM875" s="5" t="n">
        <v>0</v>
      </c>
      <c r="CN875" s="5" t="n">
        <v>0</v>
      </c>
      <c r="CO875" s="5" t="n">
        <v>0</v>
      </c>
      <c r="CP875" s="5" t="n">
        <v>0</v>
      </c>
      <c r="CQ875" s="5" t="n">
        <v>1.294</v>
      </c>
      <c r="CR875" s="5" t="n">
        <v>1</v>
      </c>
      <c r="CS875" s="5" t="n">
        <v>5.275</v>
      </c>
      <c r="CT875" s="5" t="n">
        <v>10.485</v>
      </c>
      <c r="CU875" s="5" t="n">
        <v>28.059</v>
      </c>
    </row>
    <row r="876">
      <c r="A876" s="5" t="inlineStr">
        <is>
          <t>YEM2023</t>
        </is>
      </c>
      <c r="B876" s="5" t="inlineStr">
        <is>
          <t>YEM</t>
        </is>
      </c>
      <c r="C876" s="5" t="inlineStr">
        <is>
          <t>YEM</t>
        </is>
      </c>
      <c r="D876" s="5" t="inlineStr">
        <is>
          <t>Yemen</t>
        </is>
      </c>
      <c r="E876" s="5" t="n">
        <v>2023</v>
      </c>
      <c r="F876" s="5" t="n">
        <v>0.05</v>
      </c>
      <c r="G876" s="5" t="n">
        <v>6.147</v>
      </c>
      <c r="H876" s="5" t="n">
        <v>1.286</v>
      </c>
      <c r="I876" s="5" t="n">
        <v>0</v>
      </c>
      <c r="J876" s="5" t="n">
        <v>6.147</v>
      </c>
      <c r="K876" s="5" t="n">
        <v>0</v>
      </c>
      <c r="L876" s="5" t="n">
        <v>1</v>
      </c>
      <c r="M876" s="5" t="n">
        <v>7.886</v>
      </c>
      <c r="N876" s="5" t="n">
        <v>3.857</v>
      </c>
      <c r="O876" s="5" t="n">
        <v>0</v>
      </c>
      <c r="P876" s="5" t="n">
        <v>7.886</v>
      </c>
      <c r="Q876" s="5" t="n">
        <v>0</v>
      </c>
      <c r="R876" s="5" t="n">
        <v>1</v>
      </c>
      <c r="S876" s="5" t="n">
        <v>12.575</v>
      </c>
      <c r="T876" s="5" t="n">
        <v>7.714</v>
      </c>
      <c r="U876" s="5" t="n">
        <v>0.07000000000000001</v>
      </c>
      <c r="V876" s="5" t="n">
        <v>13.204</v>
      </c>
      <c r="W876" s="5" t="n">
        <v>0.05</v>
      </c>
      <c r="X876" s="5" t="n">
        <v>1</v>
      </c>
      <c r="Y876" s="5" t="n">
        <v>6.135</v>
      </c>
      <c r="Z876" s="5" t="n">
        <v>0.673</v>
      </c>
      <c r="AA876" s="5" t="n">
        <v>0</v>
      </c>
      <c r="AB876" s="5" t="n">
        <v>6.135</v>
      </c>
      <c r="AC876" s="5" t="n">
        <v>0</v>
      </c>
      <c r="AD876" s="5" t="n">
        <v>1</v>
      </c>
      <c r="AE876" s="5" t="n">
        <v>6.778</v>
      </c>
      <c r="AF876" s="5" t="n">
        <v>1.318</v>
      </c>
      <c r="AG876" s="5" t="n">
        <v>0</v>
      </c>
      <c r="AH876" s="5" t="n">
        <v>6.778</v>
      </c>
      <c r="AI876" s="5" t="n">
        <v>0</v>
      </c>
      <c r="AJ876" s="5" t="n">
        <v>1</v>
      </c>
      <c r="AK876" s="5" t="n">
        <v>10.635</v>
      </c>
      <c r="AL876" s="5" t="n">
        <v>5.017</v>
      </c>
      <c r="AM876" s="5" t="n">
        <v>0.059</v>
      </c>
      <c r="AN876" s="5" t="n">
        <v>11.167</v>
      </c>
      <c r="AO876" s="5" t="n">
        <v>0.05</v>
      </c>
      <c r="AP876" s="5" t="n">
        <v>1</v>
      </c>
      <c r="AQ876" s="5" t="n">
        <v>0.749</v>
      </c>
      <c r="AR876" s="5" t="n">
        <v>0.129</v>
      </c>
      <c r="AS876" s="5" t="n">
        <v>0.285</v>
      </c>
      <c r="AT876" s="5" t="n">
        <v>1.079</v>
      </c>
      <c r="AU876" s="5" t="n">
        <v>0.05</v>
      </c>
      <c r="AV876" s="5" t="n">
        <v>1</v>
      </c>
      <c r="AW876" s="5" t="n">
        <v>0.783</v>
      </c>
      <c r="AX876" s="5" t="n">
        <v>0.129</v>
      </c>
      <c r="AY876" s="5" t="n">
        <v>0.202</v>
      </c>
      <c r="AZ876" s="5" t="n">
        <v>1.028</v>
      </c>
      <c r="BA876" s="5" t="n">
        <v>0.05</v>
      </c>
      <c r="BB876" s="5" t="n">
        <v>1</v>
      </c>
      <c r="BC876" s="5" t="n">
        <v>0.527</v>
      </c>
      <c r="BD876" s="5" t="n">
        <v>0.129</v>
      </c>
      <c r="BE876" s="5" t="n">
        <v>0.003</v>
      </c>
      <c r="BF876" s="5" t="n">
        <v>0.554</v>
      </c>
      <c r="BG876" s="5" t="n">
        <v>0.05</v>
      </c>
      <c r="BH876" s="5" t="n">
        <v>1</v>
      </c>
      <c r="BI876" s="5" t="n">
        <v>0.64</v>
      </c>
      <c r="BJ876" s="5" t="n">
        <v>0.129</v>
      </c>
      <c r="BK876" s="5" t="n">
        <v>0.004</v>
      </c>
      <c r="BL876" s="5" t="n">
        <v>0.672</v>
      </c>
      <c r="BM876" s="5" t="n">
        <v>0.05</v>
      </c>
      <c r="BN876" s="5" t="n">
        <v>1</v>
      </c>
      <c r="BO876" s="5" t="n">
        <v>0</v>
      </c>
      <c r="BP876" s="5" t="n">
        <v>0</v>
      </c>
      <c r="BQ876" s="5" t="n">
        <v>0</v>
      </c>
      <c r="BR876" s="5" t="n">
        <v>0</v>
      </c>
      <c r="BS876" s="5" t="n">
        <v>1</v>
      </c>
      <c r="BT876" s="5" t="n">
        <v>0</v>
      </c>
      <c r="BU876" s="5" t="n">
        <v>0</v>
      </c>
      <c r="BV876" s="5" t="n">
        <v>0</v>
      </c>
      <c r="BW876" s="5" t="n">
        <v>0.05</v>
      </c>
      <c r="BX876" s="5" t="n">
        <v>1</v>
      </c>
      <c r="BY876" s="5" t="n">
        <v>13.254</v>
      </c>
      <c r="BZ876" s="5" t="n">
        <v>0</v>
      </c>
      <c r="CA876" s="5" t="n">
        <v>13.254</v>
      </c>
      <c r="CB876" s="5" t="n">
        <v>0</v>
      </c>
      <c r="CC876" s="5" t="n">
        <v>87.07899999999999</v>
      </c>
      <c r="CD876" s="5" t="n">
        <v>7.95</v>
      </c>
      <c r="CE876" s="5" t="n">
        <v>0.482</v>
      </c>
      <c r="CF876" s="5" t="n">
        <v>91.43300000000001</v>
      </c>
      <c r="CG876" s="5" t="n">
        <v>0.05</v>
      </c>
      <c r="CH876" s="5" t="n">
        <v>1</v>
      </c>
      <c r="CI876" s="5" t="n">
        <v>0</v>
      </c>
      <c r="CJ876" s="5" t="n">
        <v>0</v>
      </c>
      <c r="CK876" s="5" t="n">
        <v>0</v>
      </c>
      <c r="CL876" s="5" t="n">
        <v>0</v>
      </c>
      <c r="CM876" s="5" t="n">
        <v>0</v>
      </c>
      <c r="CN876" s="5" t="n">
        <v>0</v>
      </c>
      <c r="CO876" s="5" t="n">
        <v>0</v>
      </c>
      <c r="CP876" s="5" t="n">
        <v>0</v>
      </c>
      <c r="CQ876" s="5" t="n">
        <v>1.348</v>
      </c>
      <c r="CR876" s="5" t="n">
        <v>1</v>
      </c>
      <c r="CS876" s="5" t="n">
        <v>5.492</v>
      </c>
      <c r="CT876" s="5" t="n">
        <v>4.861</v>
      </c>
      <c r="CU876" s="5" t="n">
        <v>9.260999999999999</v>
      </c>
    </row>
    <row r="877">
      <c r="A877" s="5" t="inlineStr">
        <is>
          <t>YEM2024</t>
        </is>
      </c>
      <c r="B877" s="5" t="inlineStr">
        <is>
          <t>YEM</t>
        </is>
      </c>
      <c r="C877" s="5" t="inlineStr">
        <is>
          <t>YEM</t>
        </is>
      </c>
      <c r="D877" s="5" t="inlineStr">
        <is>
          <t>Yemen</t>
        </is>
      </c>
      <c r="E877" s="5" t="n">
        <v>2024</v>
      </c>
      <c r="F877" s="5" t="n">
        <v>0.05</v>
      </c>
      <c r="G877" s="5" t="n">
        <v>5.575</v>
      </c>
      <c r="H877" s="5" t="n">
        <v>1.324</v>
      </c>
      <c r="I877" s="5" t="n">
        <v>0</v>
      </c>
      <c r="J877" s="5" t="n">
        <v>5.575</v>
      </c>
      <c r="K877" s="5" t="n">
        <v>0</v>
      </c>
      <c r="L877" s="5" t="n">
        <v>1</v>
      </c>
      <c r="M877" s="5" t="n">
        <v>7.124</v>
      </c>
      <c r="N877" s="5" t="n">
        <v>3.971</v>
      </c>
      <c r="O877" s="5" t="n">
        <v>0</v>
      </c>
      <c r="P877" s="5" t="n">
        <v>7.124</v>
      </c>
      <c r="Q877" s="5" t="n">
        <v>0</v>
      </c>
      <c r="R877" s="5" t="n">
        <v>1</v>
      </c>
      <c r="S877" s="5" t="n">
        <v>12.193</v>
      </c>
      <c r="T877" s="5" t="n">
        <v>7.942</v>
      </c>
      <c r="U877" s="5" t="n">
        <v>0.083</v>
      </c>
      <c r="V877" s="5" t="n">
        <v>12.802</v>
      </c>
      <c r="W877" s="5" t="n">
        <v>0.05</v>
      </c>
      <c r="X877" s="5" t="n">
        <v>1</v>
      </c>
      <c r="Y877" s="5" t="n">
        <v>6.316</v>
      </c>
      <c r="Z877" s="5" t="n">
        <v>0.6929999999999999</v>
      </c>
      <c r="AA877" s="5" t="n">
        <v>0</v>
      </c>
      <c r="AB877" s="5" t="n">
        <v>6.316</v>
      </c>
      <c r="AC877" s="5" t="n">
        <v>0</v>
      </c>
      <c r="AD877" s="5" t="n">
        <v>1</v>
      </c>
      <c r="AE877" s="5" t="n">
        <v>6.978</v>
      </c>
      <c r="AF877" s="5" t="n">
        <v>1.357</v>
      </c>
      <c r="AG877" s="5" t="n">
        <v>0</v>
      </c>
      <c r="AH877" s="5" t="n">
        <v>6.978</v>
      </c>
      <c r="AI877" s="5" t="n">
        <v>0</v>
      </c>
      <c r="AJ877" s="5" t="n">
        <v>1</v>
      </c>
      <c r="AK877" s="5" t="n">
        <v>10.949</v>
      </c>
      <c r="AL877" s="5" t="n">
        <v>5.165</v>
      </c>
      <c r="AM877" s="5" t="n">
        <v>0.075</v>
      </c>
      <c r="AN877" s="5" t="n">
        <v>11.496</v>
      </c>
      <c r="AO877" s="5" t="n">
        <v>0.05</v>
      </c>
      <c r="AP877" s="5" t="n">
        <v>1</v>
      </c>
      <c r="AQ877" s="5" t="n">
        <v>0.72</v>
      </c>
      <c r="AR877" s="5" t="n">
        <v>0.132</v>
      </c>
      <c r="AS877" s="5" t="n">
        <v>0.297</v>
      </c>
      <c r="AT877" s="5" t="n">
        <v>1.06</v>
      </c>
      <c r="AU877" s="5" t="n">
        <v>0.05</v>
      </c>
      <c r="AV877" s="5" t="n">
        <v>1</v>
      </c>
      <c r="AW877" s="5" t="n">
        <v>0.734</v>
      </c>
      <c r="AX877" s="5" t="n">
        <v>0.132</v>
      </c>
      <c r="AY877" s="5" t="n">
        <v>0.212</v>
      </c>
      <c r="AZ877" s="5" t="n">
        <v>0.986</v>
      </c>
      <c r="BA877" s="5" t="n">
        <v>0.05</v>
      </c>
      <c r="BB877" s="5" t="n">
        <v>1</v>
      </c>
      <c r="BC877" s="5" t="n">
        <v>0.51</v>
      </c>
      <c r="BD877" s="5" t="n">
        <v>0.132</v>
      </c>
      <c r="BE877" s="5" t="n">
        <v>0.003</v>
      </c>
      <c r="BF877" s="5" t="n">
        <v>0.536</v>
      </c>
      <c r="BG877" s="5" t="n">
        <v>0.05</v>
      </c>
      <c r="BH877" s="5" t="n">
        <v>1</v>
      </c>
      <c r="BI877" s="5" t="n">
        <v>0.652</v>
      </c>
      <c r="BJ877" s="5" t="n">
        <v>0.132</v>
      </c>
      <c r="BK877" s="5" t="n">
        <v>0.004</v>
      </c>
      <c r="BL877" s="5" t="n">
        <v>0.6850000000000001</v>
      </c>
      <c r="BM877" s="5" t="n">
        <v>0.05</v>
      </c>
      <c r="BN877" s="5" t="n">
        <v>1</v>
      </c>
      <c r="BO877" s="5" t="n">
        <v>0</v>
      </c>
      <c r="BP877" s="5" t="n">
        <v>0</v>
      </c>
      <c r="BQ877" s="5" t="n">
        <v>0</v>
      </c>
      <c r="BR877" s="5" t="n">
        <v>0</v>
      </c>
      <c r="BS877" s="5" t="n">
        <v>1</v>
      </c>
      <c r="BT877" s="5" t="n">
        <v>0</v>
      </c>
      <c r="BU877" s="5" t="n">
        <v>0</v>
      </c>
      <c r="BV877" s="5" t="n">
        <v>0</v>
      </c>
      <c r="BW877" s="5" t="n">
        <v>0.05</v>
      </c>
      <c r="BX877" s="5" t="n">
        <v>1</v>
      </c>
      <c r="BY877" s="5" t="n">
        <v>13.646</v>
      </c>
      <c r="BZ877" s="5" t="n">
        <v>0</v>
      </c>
      <c r="CA877" s="5" t="n">
        <v>13.646</v>
      </c>
      <c r="CB877" s="5" t="n">
        <v>0</v>
      </c>
      <c r="CC877" s="5" t="n">
        <v>86.38500000000001</v>
      </c>
      <c r="CD877" s="5" t="n">
        <v>7.95</v>
      </c>
      <c r="CE877" s="5" t="n">
        <v>0.588</v>
      </c>
      <c r="CF877" s="5" t="n">
        <v>90.705</v>
      </c>
      <c r="CG877" s="5" t="n">
        <v>0.05</v>
      </c>
      <c r="CH877" s="5" t="n">
        <v>1</v>
      </c>
      <c r="CI877" s="5" t="n">
        <v>0</v>
      </c>
      <c r="CJ877" s="5" t="n">
        <v>0</v>
      </c>
      <c r="CK877" s="5" t="n">
        <v>0</v>
      </c>
      <c r="CL877" s="5" t="n">
        <v>0</v>
      </c>
      <c r="CM877" s="5" t="n">
        <v>0</v>
      </c>
      <c r="CN877" s="5" t="n">
        <v>0</v>
      </c>
      <c r="CO877" s="5" t="n">
        <v>0</v>
      </c>
      <c r="CP877" s="5" t="n">
        <v>0</v>
      </c>
      <c r="CQ877" s="5" t="n">
        <v>1.387</v>
      </c>
      <c r="CR877" s="5" t="n">
        <v>1</v>
      </c>
      <c r="CS877" s="5" t="n">
        <v>5.654</v>
      </c>
      <c r="CT877" s="5" t="n">
        <v>4.251</v>
      </c>
      <c r="CU877" s="5" t="n">
        <v>7.598</v>
      </c>
    </row>
    <row r="878">
      <c r="A878" s="5" t="inlineStr">
        <is>
          <t>ZMB2021</t>
        </is>
      </c>
      <c r="B878" s="5" t="inlineStr">
        <is>
          <t>ZMB</t>
        </is>
      </c>
      <c r="C878" s="5" t="inlineStr">
        <is>
          <t>ZMB</t>
        </is>
      </c>
      <c r="D878" s="5" t="inlineStr">
        <is>
          <t>Zambia</t>
        </is>
      </c>
      <c r="E878" s="5" t="n">
        <v>2021</v>
      </c>
      <c r="F878" s="5" t="n">
        <v>0.16</v>
      </c>
      <c r="G878" s="5" t="n">
        <v>2.093</v>
      </c>
      <c r="H878" s="5" t="n">
        <v>0.616</v>
      </c>
      <c r="I878" s="5" t="n">
        <v>0.169</v>
      </c>
      <c r="J878" s="5" t="n">
        <v>2.261</v>
      </c>
      <c r="K878" s="5" t="n">
        <v>0</v>
      </c>
      <c r="L878" s="5" t="n">
        <v>1</v>
      </c>
      <c r="M878" s="5" t="n">
        <v>3.308</v>
      </c>
      <c r="N878" s="5" t="n">
        <v>1.849</v>
      </c>
      <c r="O878" s="5" t="n">
        <v>0.166</v>
      </c>
      <c r="P878" s="5" t="n">
        <v>3.474</v>
      </c>
      <c r="Q878" s="5" t="n">
        <v>0</v>
      </c>
      <c r="R878" s="5" t="n">
        <v>1</v>
      </c>
      <c r="S878" s="5" t="n">
        <v>5.174</v>
      </c>
      <c r="T878" s="5" t="n">
        <v>3.698</v>
      </c>
      <c r="U878" s="5" t="n">
        <v>0</v>
      </c>
      <c r="V878" s="5" t="n">
        <v>6.002</v>
      </c>
      <c r="W878" s="5" t="n">
        <v>0.16</v>
      </c>
      <c r="X878" s="5" t="n">
        <v>1</v>
      </c>
      <c r="Y878" s="5" t="n">
        <v>16.166</v>
      </c>
      <c r="Z878" s="5" t="n">
        <v>2.185</v>
      </c>
      <c r="AA878" s="5" t="n">
        <v>0</v>
      </c>
      <c r="AB878" s="5" t="n">
        <v>16.166</v>
      </c>
      <c r="AC878" s="5" t="n">
        <v>0</v>
      </c>
      <c r="AD878" s="5" t="n">
        <v>1</v>
      </c>
      <c r="AE878" s="5" t="n">
        <v>17.31</v>
      </c>
      <c r="AF878" s="5" t="n">
        <v>4.047</v>
      </c>
      <c r="AG878" s="5" t="n">
        <v>0</v>
      </c>
      <c r="AH878" s="5" t="n">
        <v>17.31</v>
      </c>
      <c r="AI878" s="5" t="n">
        <v>0</v>
      </c>
      <c r="AJ878" s="5" t="n">
        <v>1</v>
      </c>
      <c r="AK878" s="5" t="n">
        <v>24.169</v>
      </c>
      <c r="AL878" s="5" t="n">
        <v>12.872</v>
      </c>
      <c r="AM878" s="5" t="n">
        <v>0</v>
      </c>
      <c r="AN878" s="5" t="n">
        <v>28.036</v>
      </c>
      <c r="AO878" s="5" t="n">
        <v>0.16</v>
      </c>
      <c r="AP878" s="5" t="n">
        <v>1</v>
      </c>
      <c r="AQ878" s="5" t="n">
        <v>0.619</v>
      </c>
      <c r="AR878" s="5" t="n">
        <v>0.114</v>
      </c>
      <c r="AS878" s="5" t="n">
        <v>0.276</v>
      </c>
      <c r="AT878" s="5" t="n">
        <v>0.895</v>
      </c>
      <c r="AU878" s="5" t="n">
        <v>0</v>
      </c>
      <c r="AV878" s="5" t="n">
        <v>1</v>
      </c>
      <c r="AW878" s="5" t="n">
        <v>0.599</v>
      </c>
      <c r="AX878" s="5" t="n">
        <v>0.114</v>
      </c>
      <c r="AY878" s="5" t="n">
        <v>0.198</v>
      </c>
      <c r="AZ878" s="5" t="n">
        <v>0.798</v>
      </c>
      <c r="BA878" s="5" t="n">
        <v>0</v>
      </c>
      <c r="BB878" s="5" t="n">
        <v>1</v>
      </c>
      <c r="BC878" s="5" t="n">
        <v>0.439</v>
      </c>
      <c r="BD878" s="5" t="n">
        <v>0.114</v>
      </c>
      <c r="BE878" s="5" t="n">
        <v>0.075</v>
      </c>
      <c r="BF878" s="5" t="n">
        <v>0.596</v>
      </c>
      <c r="BG878" s="5" t="n">
        <v>0.16</v>
      </c>
      <c r="BH878" s="5" t="n">
        <v>1</v>
      </c>
      <c r="BI878" s="5" t="n">
        <v>0.505</v>
      </c>
      <c r="BJ878" s="5" t="n">
        <v>0.114</v>
      </c>
      <c r="BK878" s="5" t="n">
        <v>0.264</v>
      </c>
      <c r="BL878" s="5" t="n">
        <v>0.769</v>
      </c>
      <c r="BM878" s="5" t="n">
        <v>0</v>
      </c>
      <c r="BN878" s="5" t="n">
        <v>1</v>
      </c>
      <c r="BO878" s="5" t="n">
        <v>0</v>
      </c>
      <c r="BP878" s="5" t="n">
        <v>0</v>
      </c>
      <c r="BQ878" s="5" t="n">
        <v>0.093</v>
      </c>
      <c r="BR878" s="5" t="n">
        <v>0</v>
      </c>
      <c r="BS878" s="5" t="n">
        <v>0.833</v>
      </c>
      <c r="BT878" s="5" t="n">
        <v>0</v>
      </c>
      <c r="BU878" s="5" t="n">
        <v>0</v>
      </c>
      <c r="BV878" s="5" t="n">
        <v>0.055</v>
      </c>
      <c r="BW878" s="5" t="n">
        <v>0.16</v>
      </c>
      <c r="BX878" s="5" t="n">
        <v>1</v>
      </c>
      <c r="BY878" s="5" t="n">
        <v>11.787</v>
      </c>
      <c r="BZ878" s="5" t="n">
        <v>0</v>
      </c>
      <c r="CA878" s="5" t="n">
        <v>11.787</v>
      </c>
      <c r="CB878" s="5" t="n">
        <v>0</v>
      </c>
      <c r="CC878" s="5" t="n">
        <v>78.125</v>
      </c>
      <c r="CD878" s="5" t="n">
        <v>7.95</v>
      </c>
      <c r="CE878" s="5" t="n">
        <v>27.252</v>
      </c>
      <c r="CF878" s="5" t="n">
        <v>122.238</v>
      </c>
      <c r="CG878" s="5" t="n">
        <v>0.16</v>
      </c>
      <c r="CH878" s="5" t="n">
        <v>1</v>
      </c>
      <c r="CI878" s="5" t="n">
        <v>0</v>
      </c>
      <c r="CJ878" s="5" t="n">
        <v>0</v>
      </c>
      <c r="CK878" s="5" t="n">
        <v>0</v>
      </c>
      <c r="CL878" s="5" t="n">
        <v>0</v>
      </c>
      <c r="CM878" s="5" t="n">
        <v>0</v>
      </c>
      <c r="CN878" s="5" t="n">
        <v>0</v>
      </c>
      <c r="CO878" s="5" t="n">
        <v>0</v>
      </c>
      <c r="CP878" s="5" t="n">
        <v>0.922</v>
      </c>
      <c r="CQ878" s="5" t="n">
        <v>1.198</v>
      </c>
      <c r="CR878" s="5" t="n">
        <v>0</v>
      </c>
      <c r="CS878" s="5" t="n">
        <v>4.776</v>
      </c>
      <c r="CT878" s="5" t="n">
        <v>4.753</v>
      </c>
      <c r="CU878" s="5" t="n">
        <v>15.162</v>
      </c>
    </row>
    <row r="879">
      <c r="A879" s="5" t="inlineStr">
        <is>
          <t>ZMB2022</t>
        </is>
      </c>
      <c r="B879" s="5" t="inlineStr">
        <is>
          <t>ZMB</t>
        </is>
      </c>
      <c r="C879" s="5" t="inlineStr">
        <is>
          <t>ZMB</t>
        </is>
      </c>
      <c r="D879" s="5" t="inlineStr">
        <is>
          <t>Zambia</t>
        </is>
      </c>
      <c r="E879" s="5" t="n">
        <v>2022</v>
      </c>
      <c r="F879" s="5" t="n">
        <v>0.16</v>
      </c>
      <c r="G879" s="5" t="n">
        <v>2.711</v>
      </c>
      <c r="H879" s="5" t="n">
        <v>0.668</v>
      </c>
      <c r="I879" s="5" t="n">
        <v>0.25</v>
      </c>
      <c r="J879" s="5" t="n">
        <v>2.961</v>
      </c>
      <c r="K879" s="5" t="n">
        <v>0</v>
      </c>
      <c r="L879" s="5" t="n">
        <v>1</v>
      </c>
      <c r="M879" s="5" t="n">
        <v>3.687</v>
      </c>
      <c r="N879" s="5" t="n">
        <v>2.003</v>
      </c>
      <c r="O879" s="5" t="n">
        <v>0.196</v>
      </c>
      <c r="P879" s="5" t="n">
        <v>3.883</v>
      </c>
      <c r="Q879" s="5" t="n">
        <v>0</v>
      </c>
      <c r="R879" s="5" t="n">
        <v>1</v>
      </c>
      <c r="S879" s="5" t="n">
        <v>6.049</v>
      </c>
      <c r="T879" s="5" t="n">
        <v>4.006</v>
      </c>
      <c r="U879" s="5" t="n">
        <v>0.07199999999999999</v>
      </c>
      <c r="V879" s="5" t="n">
        <v>7.017</v>
      </c>
      <c r="W879" s="5" t="n">
        <v>0.16</v>
      </c>
      <c r="X879" s="5" t="n">
        <v>1</v>
      </c>
      <c r="Y879" s="5" t="n">
        <v>32.248</v>
      </c>
      <c r="Z879" s="5" t="n">
        <v>4.359</v>
      </c>
      <c r="AA879" s="5" t="n">
        <v>0</v>
      </c>
      <c r="AB879" s="5" t="n">
        <v>32.248</v>
      </c>
      <c r="AC879" s="5" t="n">
        <v>0</v>
      </c>
      <c r="AD879" s="5" t="n">
        <v>1</v>
      </c>
      <c r="AE879" s="5" t="n">
        <v>33.483</v>
      </c>
      <c r="AF879" s="5" t="n">
        <v>7.829</v>
      </c>
      <c r="AG879" s="5" t="n">
        <v>0</v>
      </c>
      <c r="AH879" s="5" t="n">
        <v>33.483</v>
      </c>
      <c r="AI879" s="5" t="n">
        <v>0</v>
      </c>
      <c r="AJ879" s="5" t="n">
        <v>1</v>
      </c>
      <c r="AK879" s="5" t="n">
        <v>40.891</v>
      </c>
      <c r="AL879" s="5" t="n">
        <v>21.778</v>
      </c>
      <c r="AM879" s="5" t="n">
        <v>0.484</v>
      </c>
      <c r="AN879" s="5" t="n">
        <v>47.434</v>
      </c>
      <c r="AO879" s="5" t="n">
        <v>0.16</v>
      </c>
      <c r="AP879" s="5" t="n">
        <v>1</v>
      </c>
      <c r="AQ879" s="5" t="n">
        <v>0.861</v>
      </c>
      <c r="AR879" s="5" t="n">
        <v>0.123</v>
      </c>
      <c r="AS879" s="5" t="n">
        <v>0.339</v>
      </c>
      <c r="AT879" s="5" t="n">
        <v>1.392</v>
      </c>
      <c r="AU879" s="5" t="n">
        <v>0.16</v>
      </c>
      <c r="AV879" s="5" t="n">
        <v>1</v>
      </c>
      <c r="AW879" s="5" t="n">
        <v>0.986</v>
      </c>
      <c r="AX879" s="5" t="n">
        <v>0.123</v>
      </c>
      <c r="AY879" s="5" t="n">
        <v>0.265</v>
      </c>
      <c r="AZ879" s="5" t="n">
        <v>1.452</v>
      </c>
      <c r="BA879" s="5" t="n">
        <v>0.16</v>
      </c>
      <c r="BB879" s="5" t="n">
        <v>1</v>
      </c>
      <c r="BC879" s="5" t="n">
        <v>0.598</v>
      </c>
      <c r="BD879" s="5" t="n">
        <v>0.123</v>
      </c>
      <c r="BE879" s="5" t="n">
        <v>0.107</v>
      </c>
      <c r="BF879" s="5" t="n">
        <v>0.8080000000000001</v>
      </c>
      <c r="BG879" s="5" t="n">
        <v>0.16</v>
      </c>
      <c r="BH879" s="5" t="n">
        <v>1</v>
      </c>
      <c r="BI879" s="5" t="n">
        <v>0.612</v>
      </c>
      <c r="BJ879" s="5" t="n">
        <v>0.123</v>
      </c>
      <c r="BK879" s="5" t="n">
        <v>0.3</v>
      </c>
      <c r="BL879" s="5" t="n">
        <v>1.059</v>
      </c>
      <c r="BM879" s="5" t="n">
        <v>0.16</v>
      </c>
      <c r="BN879" s="5" t="n">
        <v>1</v>
      </c>
      <c r="BO879" s="5" t="n">
        <v>0</v>
      </c>
      <c r="BP879" s="5" t="n">
        <v>0</v>
      </c>
      <c r="BQ879" s="5" t="n">
        <v>0.062</v>
      </c>
      <c r="BR879" s="5" t="n">
        <v>0</v>
      </c>
      <c r="BS879" s="5" t="n">
        <v>0.833</v>
      </c>
      <c r="BT879" s="5" t="n">
        <v>0</v>
      </c>
      <c r="BU879" s="5" t="n">
        <v>0</v>
      </c>
      <c r="BV879" s="5" t="n">
        <v>0.052</v>
      </c>
      <c r="BW879" s="5" t="n">
        <v>0.16</v>
      </c>
      <c r="BX879" s="5" t="n">
        <v>1</v>
      </c>
      <c r="BY879" s="5" t="n">
        <v>12.729</v>
      </c>
      <c r="BZ879" s="5" t="n">
        <v>0</v>
      </c>
      <c r="CA879" s="5" t="n">
        <v>12.729</v>
      </c>
      <c r="CB879" s="5" t="n">
        <v>0</v>
      </c>
      <c r="CC879" s="5" t="n">
        <v>97.90000000000001</v>
      </c>
      <c r="CD879" s="5" t="n">
        <v>7.95</v>
      </c>
      <c r="CE879" s="5" t="n">
        <v>47.961</v>
      </c>
      <c r="CF879" s="5" t="n">
        <v>169.198</v>
      </c>
      <c r="CG879" s="5" t="n">
        <v>0.16</v>
      </c>
      <c r="CH879" s="5" t="n">
        <v>1</v>
      </c>
      <c r="CI879" s="5" t="n">
        <v>0</v>
      </c>
      <c r="CJ879" s="5" t="n">
        <v>0</v>
      </c>
      <c r="CK879" s="5" t="n">
        <v>0</v>
      </c>
      <c r="CL879" s="5" t="n">
        <v>0</v>
      </c>
      <c r="CM879" s="5" t="n">
        <v>0</v>
      </c>
      <c r="CN879" s="5" t="n">
        <v>0</v>
      </c>
      <c r="CO879" s="5" t="n">
        <v>0</v>
      </c>
      <c r="CP879" s="5" t="n">
        <v>0.918</v>
      </c>
      <c r="CQ879" s="5" t="n">
        <v>1.294</v>
      </c>
      <c r="CR879" s="5" t="n">
        <v>0</v>
      </c>
      <c r="CS879" s="5" t="n">
        <v>5.158</v>
      </c>
      <c r="CT879" s="5" t="n">
        <v>10.485</v>
      </c>
      <c r="CU879" s="5" t="n">
        <v>31.326</v>
      </c>
    </row>
    <row r="880">
      <c r="A880" s="5" t="inlineStr">
        <is>
          <t>ZMB2023</t>
        </is>
      </c>
      <c r="B880" s="5" t="inlineStr">
        <is>
          <t>ZMB</t>
        </is>
      </c>
      <c r="C880" s="5" t="inlineStr">
        <is>
          <t>ZMB</t>
        </is>
      </c>
      <c r="D880" s="5" t="inlineStr">
        <is>
          <t>Zambia</t>
        </is>
      </c>
      <c r="E880" s="5" t="n">
        <v>2023</v>
      </c>
      <c r="F880" s="5" t="n">
        <v>0.16</v>
      </c>
      <c r="G880" s="5" t="n">
        <v>2.428</v>
      </c>
      <c r="H880" s="5" t="n">
        <v>0.71</v>
      </c>
      <c r="I880" s="5" t="n">
        <v>0.204</v>
      </c>
      <c r="J880" s="5" t="n">
        <v>2.631</v>
      </c>
      <c r="K880" s="5" t="n">
        <v>0</v>
      </c>
      <c r="L880" s="5" t="n">
        <v>1</v>
      </c>
      <c r="M880" s="5" t="n">
        <v>3.761</v>
      </c>
      <c r="N880" s="5" t="n">
        <v>2.131</v>
      </c>
      <c r="O880" s="5" t="n">
        <v>0.19</v>
      </c>
      <c r="P880" s="5" t="n">
        <v>3.951</v>
      </c>
      <c r="Q880" s="5" t="n">
        <v>0</v>
      </c>
      <c r="R880" s="5" t="n">
        <v>1</v>
      </c>
      <c r="S880" s="5" t="n">
        <v>5.98</v>
      </c>
      <c r="T880" s="5" t="n">
        <v>4.263</v>
      </c>
      <c r="U880" s="5" t="n">
        <v>0.106</v>
      </c>
      <c r="V880" s="5" t="n">
        <v>6.936</v>
      </c>
      <c r="W880" s="5" t="n">
        <v>0.16</v>
      </c>
      <c r="X880" s="5" t="n">
        <v>1</v>
      </c>
      <c r="Y880" s="5" t="n">
        <v>9.936999999999999</v>
      </c>
      <c r="Z880" s="5" t="n">
        <v>1.343</v>
      </c>
      <c r="AA880" s="5" t="n">
        <v>0</v>
      </c>
      <c r="AB880" s="5" t="n">
        <v>9.936999999999999</v>
      </c>
      <c r="AC880" s="5" t="n">
        <v>0</v>
      </c>
      <c r="AD880" s="5" t="n">
        <v>1</v>
      </c>
      <c r="AE880" s="5" t="n">
        <v>11.222</v>
      </c>
      <c r="AF880" s="5" t="n">
        <v>2.624</v>
      </c>
      <c r="AG880" s="5" t="n">
        <v>0</v>
      </c>
      <c r="AH880" s="5" t="n">
        <v>11.222</v>
      </c>
      <c r="AI880" s="5" t="n">
        <v>0</v>
      </c>
      <c r="AJ880" s="5" t="n">
        <v>1</v>
      </c>
      <c r="AK880" s="5" t="n">
        <v>18.936</v>
      </c>
      <c r="AL880" s="5" t="n">
        <v>10.085</v>
      </c>
      <c r="AM880" s="5" t="n">
        <v>0.335</v>
      </c>
      <c r="AN880" s="5" t="n">
        <v>21.966</v>
      </c>
      <c r="AO880" s="5" t="n">
        <v>0.16</v>
      </c>
      <c r="AP880" s="5" t="n">
        <v>1</v>
      </c>
      <c r="AQ880" s="5" t="n">
        <v>0.76</v>
      </c>
      <c r="AR880" s="5" t="n">
        <v>0.129</v>
      </c>
      <c r="AS880" s="5" t="n">
        <v>0.412</v>
      </c>
      <c r="AT880" s="5" t="n">
        <v>1.36</v>
      </c>
      <c r="AU880" s="5" t="n">
        <v>0.16</v>
      </c>
      <c r="AV880" s="5" t="n">
        <v>1</v>
      </c>
      <c r="AW880" s="5" t="n">
        <v>0.8110000000000001</v>
      </c>
      <c r="AX880" s="5" t="n">
        <v>0.129</v>
      </c>
      <c r="AY880" s="5" t="n">
        <v>0.325</v>
      </c>
      <c r="AZ880" s="5" t="n">
        <v>1.318</v>
      </c>
      <c r="BA880" s="5" t="n">
        <v>0.16</v>
      </c>
      <c r="BB880" s="5" t="n">
        <v>1</v>
      </c>
      <c r="BC880" s="5" t="n">
        <v>0.535</v>
      </c>
      <c r="BD880" s="5" t="n">
        <v>0.129</v>
      </c>
      <c r="BE880" s="5" t="n">
        <v>0.101</v>
      </c>
      <c r="BF880" s="5" t="n">
        <v>0.725</v>
      </c>
      <c r="BG880" s="5" t="n">
        <v>0.16</v>
      </c>
      <c r="BH880" s="5" t="n">
        <v>1</v>
      </c>
      <c r="BI880" s="5" t="n">
        <v>0.579</v>
      </c>
      <c r="BJ880" s="5" t="n">
        <v>0.129</v>
      </c>
      <c r="BK880" s="5" t="n">
        <v>0.301</v>
      </c>
      <c r="BL880" s="5" t="n">
        <v>1.022</v>
      </c>
      <c r="BM880" s="5" t="n">
        <v>0.16</v>
      </c>
      <c r="BN880" s="5" t="n">
        <v>1</v>
      </c>
      <c r="BO880" s="5" t="n">
        <v>0</v>
      </c>
      <c r="BP880" s="5" t="n">
        <v>0</v>
      </c>
      <c r="BQ880" s="5" t="n">
        <v>0.06900000000000001</v>
      </c>
      <c r="BR880" s="5" t="n">
        <v>0</v>
      </c>
      <c r="BS880" s="5" t="n">
        <v>0.833</v>
      </c>
      <c r="BT880" s="5" t="n">
        <v>0</v>
      </c>
      <c r="BU880" s="5" t="n">
        <v>0</v>
      </c>
      <c r="BV880" s="5" t="n">
        <v>0.054</v>
      </c>
      <c r="BW880" s="5" t="n">
        <v>0.16</v>
      </c>
      <c r="BX880" s="5" t="n">
        <v>1</v>
      </c>
      <c r="BY880" s="5" t="n">
        <v>13.254</v>
      </c>
      <c r="BZ880" s="5" t="n">
        <v>0</v>
      </c>
      <c r="CA880" s="5" t="n">
        <v>13.254</v>
      </c>
      <c r="CB880" s="5" t="n">
        <v>0</v>
      </c>
      <c r="CC880" s="5" t="n">
        <v>83.248</v>
      </c>
      <c r="CD880" s="5" t="n">
        <v>7.95</v>
      </c>
      <c r="CE880" s="5" t="n">
        <v>56.954</v>
      </c>
      <c r="CF880" s="5" t="n">
        <v>162.634</v>
      </c>
      <c r="CG880" s="5" t="n">
        <v>0.16</v>
      </c>
      <c r="CH880" s="5" t="n">
        <v>1</v>
      </c>
      <c r="CI880" s="5" t="n">
        <v>0</v>
      </c>
      <c r="CJ880" s="5" t="n">
        <v>0</v>
      </c>
      <c r="CK880" s="5" t="n">
        <v>0</v>
      </c>
      <c r="CL880" s="5" t="n">
        <v>0</v>
      </c>
      <c r="CM880" s="5" t="n">
        <v>0</v>
      </c>
      <c r="CN880" s="5" t="n">
        <v>0</v>
      </c>
      <c r="CO880" s="5" t="n">
        <v>0</v>
      </c>
      <c r="CP880" s="5" t="n">
        <v>0.895</v>
      </c>
      <c r="CQ880" s="5" t="n">
        <v>1.348</v>
      </c>
      <c r="CR880" s="5" t="n">
        <v>0</v>
      </c>
      <c r="CS880" s="5" t="n">
        <v>5.37</v>
      </c>
      <c r="CT880" s="5" t="n">
        <v>4.861</v>
      </c>
      <c r="CU880" s="5" t="n">
        <v>11.622</v>
      </c>
    </row>
    <row r="881">
      <c r="A881" s="5" t="inlineStr">
        <is>
          <t>ZMB2024</t>
        </is>
      </c>
      <c r="B881" s="5" t="inlineStr">
        <is>
          <t>ZMB</t>
        </is>
      </c>
      <c r="C881" s="5" t="inlineStr">
        <is>
          <t>ZMB</t>
        </is>
      </c>
      <c r="D881" s="5" t="inlineStr">
        <is>
          <t>Zambia</t>
        </is>
      </c>
      <c r="E881" s="5" t="n">
        <v>2024</v>
      </c>
      <c r="F881" s="5" t="n">
        <v>0.16</v>
      </c>
      <c r="G881" s="5" t="n">
        <v>2.42</v>
      </c>
      <c r="H881" s="5" t="n">
        <v>0.731</v>
      </c>
      <c r="I881" s="5" t="n">
        <v>0.198</v>
      </c>
      <c r="J881" s="5" t="n">
        <v>2.618</v>
      </c>
      <c r="K881" s="5" t="n">
        <v>0</v>
      </c>
      <c r="L881" s="5" t="n">
        <v>1</v>
      </c>
      <c r="M881" s="5" t="n">
        <v>3.767</v>
      </c>
      <c r="N881" s="5" t="n">
        <v>2.194</v>
      </c>
      <c r="O881" s="5" t="n">
        <v>0.18</v>
      </c>
      <c r="P881" s="5" t="n">
        <v>3.948</v>
      </c>
      <c r="Q881" s="5" t="n">
        <v>0</v>
      </c>
      <c r="R881" s="5" t="n">
        <v>1</v>
      </c>
      <c r="S881" s="5" t="n">
        <v>6.077</v>
      </c>
      <c r="T881" s="5" t="n">
        <v>4.388</v>
      </c>
      <c r="U881" s="5" t="n">
        <v>0.132</v>
      </c>
      <c r="V881" s="5" t="n">
        <v>7.049</v>
      </c>
      <c r="W881" s="5" t="n">
        <v>0.16</v>
      </c>
      <c r="X881" s="5" t="n">
        <v>1</v>
      </c>
      <c r="Y881" s="5" t="n">
        <v>9.287000000000001</v>
      </c>
      <c r="Z881" s="5" t="n">
        <v>1.255</v>
      </c>
      <c r="AA881" s="5" t="n">
        <v>0</v>
      </c>
      <c r="AB881" s="5" t="n">
        <v>9.287000000000001</v>
      </c>
      <c r="AC881" s="5" t="n">
        <v>0</v>
      </c>
      <c r="AD881" s="5" t="n">
        <v>1</v>
      </c>
      <c r="AE881" s="5" t="n">
        <v>10.611</v>
      </c>
      <c r="AF881" s="5" t="n">
        <v>2.481</v>
      </c>
      <c r="AG881" s="5" t="n">
        <v>0</v>
      </c>
      <c r="AH881" s="5" t="n">
        <v>10.611</v>
      </c>
      <c r="AI881" s="5" t="n">
        <v>0</v>
      </c>
      <c r="AJ881" s="5" t="n">
        <v>1</v>
      </c>
      <c r="AK881" s="5" t="n">
        <v>18.552</v>
      </c>
      <c r="AL881" s="5" t="n">
        <v>9.881</v>
      </c>
      <c r="AM881" s="5" t="n">
        <v>0.404</v>
      </c>
      <c r="AN881" s="5" t="n">
        <v>21.521</v>
      </c>
      <c r="AO881" s="5" t="n">
        <v>0.16</v>
      </c>
      <c r="AP881" s="5" t="n">
        <v>1</v>
      </c>
      <c r="AQ881" s="5" t="n">
        <v>0.724</v>
      </c>
      <c r="AR881" s="5" t="n">
        <v>0.132</v>
      </c>
      <c r="AS881" s="5" t="n">
        <v>0.36</v>
      </c>
      <c r="AT881" s="5" t="n">
        <v>1.258</v>
      </c>
      <c r="AU881" s="5" t="n">
        <v>0.16</v>
      </c>
      <c r="AV881" s="5" t="n">
        <v>1</v>
      </c>
      <c r="AW881" s="5" t="n">
        <v>0.75</v>
      </c>
      <c r="AX881" s="5" t="n">
        <v>0.132</v>
      </c>
      <c r="AY881" s="5" t="n">
        <v>0.242</v>
      </c>
      <c r="AZ881" s="5" t="n">
        <v>1.151</v>
      </c>
      <c r="BA881" s="5" t="n">
        <v>0.16</v>
      </c>
      <c r="BB881" s="5" t="n">
        <v>1</v>
      </c>
      <c r="BC881" s="5" t="n">
        <v>0.513</v>
      </c>
      <c r="BD881" s="5" t="n">
        <v>0.132</v>
      </c>
      <c r="BE881" s="5" t="n">
        <v>0.1</v>
      </c>
      <c r="BF881" s="5" t="n">
        <v>0.696</v>
      </c>
      <c r="BG881" s="5" t="n">
        <v>0.16</v>
      </c>
      <c r="BH881" s="5" t="n">
        <v>1</v>
      </c>
      <c r="BI881" s="5" t="n">
        <v>0.591</v>
      </c>
      <c r="BJ881" s="5" t="n">
        <v>0.132</v>
      </c>
      <c r="BK881" s="5" t="n">
        <v>0.242</v>
      </c>
      <c r="BL881" s="5" t="n">
        <v>0.967</v>
      </c>
      <c r="BM881" s="5" t="n">
        <v>0.16</v>
      </c>
      <c r="BN881" s="5" t="n">
        <v>1</v>
      </c>
      <c r="BO881" s="5" t="n">
        <v>0</v>
      </c>
      <c r="BP881" s="5" t="n">
        <v>0</v>
      </c>
      <c r="BQ881" s="5" t="n">
        <v>0.065</v>
      </c>
      <c r="BR881" s="5" t="n">
        <v>0</v>
      </c>
      <c r="BS881" s="5" t="n">
        <v>0.833</v>
      </c>
      <c r="BT881" s="5" t="n">
        <v>0</v>
      </c>
      <c r="BU881" s="5" t="n">
        <v>0</v>
      </c>
      <c r="BV881" s="5" t="n">
        <v>0.049</v>
      </c>
      <c r="BW881" s="5" t="n">
        <v>0.16</v>
      </c>
      <c r="BX881" s="5" t="n">
        <v>1</v>
      </c>
      <c r="BY881" s="5" t="n">
        <v>13.646</v>
      </c>
      <c r="BZ881" s="5" t="n">
        <v>0</v>
      </c>
      <c r="CA881" s="5" t="n">
        <v>13.646</v>
      </c>
      <c r="CB881" s="5" t="n">
        <v>0</v>
      </c>
      <c r="CC881" s="5" t="n">
        <v>82.58799999999999</v>
      </c>
      <c r="CD881" s="5" t="n">
        <v>7.95</v>
      </c>
      <c r="CE881" s="5" t="n">
        <v>49.614</v>
      </c>
      <c r="CF881" s="5" t="n">
        <v>153.355</v>
      </c>
      <c r="CG881" s="5" t="n">
        <v>0.16</v>
      </c>
      <c r="CH881" s="5" t="n">
        <v>1</v>
      </c>
      <c r="CI881" s="5" t="n">
        <v>0</v>
      </c>
      <c r="CJ881" s="5" t="n">
        <v>0</v>
      </c>
      <c r="CK881" s="5" t="n">
        <v>0</v>
      </c>
      <c r="CL881" s="5" t="n">
        <v>0</v>
      </c>
      <c r="CM881" s="5" t="n">
        <v>0</v>
      </c>
      <c r="CN881" s="5" t="n">
        <v>0</v>
      </c>
      <c r="CO881" s="5" t="n">
        <v>0</v>
      </c>
      <c r="CP881" s="5" t="n">
        <v>0.895</v>
      </c>
      <c r="CQ881" s="5" t="n">
        <v>1.387</v>
      </c>
      <c r="CR881" s="5" t="n">
        <v>0</v>
      </c>
      <c r="CS881" s="5" t="n">
        <v>5.529</v>
      </c>
      <c r="CT881" s="5" t="n">
        <v>4.251</v>
      </c>
      <c r="CU881" s="5" t="n">
        <v>10.168</v>
      </c>
    </row>
    <row r="882">
      <c r="A882" s="5" t="inlineStr">
        <is>
          <t>ZWE2021</t>
        </is>
      </c>
      <c r="B882" s="5" t="inlineStr">
        <is>
          <t>ZWE</t>
        </is>
      </c>
      <c r="C882" s="5" t="inlineStr">
        <is>
          <t>ZWE</t>
        </is>
      </c>
      <c r="D882" s="5" t="inlineStr">
        <is>
          <t>Zimbabwe</t>
        </is>
      </c>
      <c r="E882" s="5" t="n">
        <v>2021</v>
      </c>
      <c r="F882" s="5" t="n">
        <v>0.145</v>
      </c>
      <c r="G882" s="5" t="n">
        <v>1.775</v>
      </c>
      <c r="H882" s="5" t="n">
        <v>0.572</v>
      </c>
      <c r="I882" s="5" t="n">
        <v>0</v>
      </c>
      <c r="J882" s="5" t="n">
        <v>1.775</v>
      </c>
      <c r="K882" s="5" t="n">
        <v>0</v>
      </c>
      <c r="L882" s="5" t="n">
        <v>1</v>
      </c>
      <c r="M882" s="5" t="n">
        <v>2.919</v>
      </c>
      <c r="N882" s="5" t="n">
        <v>1.717</v>
      </c>
      <c r="O882" s="5" t="n">
        <v>0</v>
      </c>
      <c r="P882" s="5" t="n">
        <v>2.919</v>
      </c>
      <c r="Q882" s="5" t="n">
        <v>0</v>
      </c>
      <c r="R882" s="5" t="n">
        <v>1</v>
      </c>
      <c r="S882" s="5" t="n">
        <v>4.636</v>
      </c>
      <c r="T882" s="5" t="n">
        <v>3.434</v>
      </c>
      <c r="U882" s="5" t="n">
        <v>0</v>
      </c>
      <c r="V882" s="5" t="n">
        <v>5.309</v>
      </c>
      <c r="W882" s="5" t="n">
        <v>0.145</v>
      </c>
      <c r="X882" s="5" t="n">
        <v>1</v>
      </c>
      <c r="Y882" s="5" t="n">
        <v>16.248</v>
      </c>
      <c r="Z882" s="5" t="n">
        <v>2.196</v>
      </c>
      <c r="AA882" s="5" t="n">
        <v>0</v>
      </c>
      <c r="AB882" s="5" t="n">
        <v>16.248</v>
      </c>
      <c r="AC882" s="5" t="n">
        <v>0</v>
      </c>
      <c r="AD882" s="5" t="n">
        <v>1</v>
      </c>
      <c r="AE882" s="5" t="n">
        <v>17.391</v>
      </c>
      <c r="AF882" s="5" t="n">
        <v>4.067</v>
      </c>
      <c r="AG882" s="5" t="n">
        <v>0</v>
      </c>
      <c r="AH882" s="5" t="n">
        <v>17.391</v>
      </c>
      <c r="AI882" s="5" t="n">
        <v>0</v>
      </c>
      <c r="AJ882" s="5" t="n">
        <v>1</v>
      </c>
      <c r="AK882" s="5" t="n">
        <v>24.251</v>
      </c>
      <c r="AL882" s="5" t="n">
        <v>12.916</v>
      </c>
      <c r="AM882" s="5" t="n">
        <v>0</v>
      </c>
      <c r="AN882" s="5" t="n">
        <v>27.767</v>
      </c>
      <c r="AO882" s="5" t="n">
        <v>0.145</v>
      </c>
      <c r="AP882" s="5" t="n">
        <v>1</v>
      </c>
      <c r="AQ882" s="5" t="n">
        <v>0.619</v>
      </c>
      <c r="AR882" s="5" t="n">
        <v>0.114</v>
      </c>
      <c r="AS882" s="5" t="n">
        <v>0.534</v>
      </c>
      <c r="AT882" s="5" t="n">
        <v>1.32</v>
      </c>
      <c r="AU882" s="5" t="n">
        <v>0</v>
      </c>
      <c r="AV882" s="5" t="n">
        <v>0</v>
      </c>
      <c r="AW882" s="5" t="n">
        <v>0.599</v>
      </c>
      <c r="AX882" s="5" t="n">
        <v>0.114</v>
      </c>
      <c r="AY882" s="5" t="n">
        <v>0.541</v>
      </c>
      <c r="AZ882" s="5" t="n">
        <v>1.305</v>
      </c>
      <c r="BA882" s="5" t="n">
        <v>0</v>
      </c>
      <c r="BB882" s="5" t="n">
        <v>0</v>
      </c>
      <c r="BC882" s="5" t="n">
        <v>0.439</v>
      </c>
      <c r="BD882" s="5" t="n">
        <v>0.114</v>
      </c>
      <c r="BE882" s="5" t="n">
        <v>0</v>
      </c>
      <c r="BF882" s="5" t="n">
        <v>0.503</v>
      </c>
      <c r="BG882" s="5" t="n">
        <v>0.145</v>
      </c>
      <c r="BH882" s="5" t="n">
        <v>1</v>
      </c>
      <c r="BI882" s="5" t="n">
        <v>0.505</v>
      </c>
      <c r="BJ882" s="5" t="n">
        <v>0.114</v>
      </c>
      <c r="BK882" s="5" t="n">
        <v>-0.495</v>
      </c>
      <c r="BL882" s="5" t="n">
        <v>0.01</v>
      </c>
      <c r="BM882" s="5" t="n">
        <v>0</v>
      </c>
      <c r="BN882" s="5" t="n">
        <v>0</v>
      </c>
      <c r="BO882" s="5" t="n">
        <v>0</v>
      </c>
      <c r="BP882" s="5" t="n">
        <v>0</v>
      </c>
      <c r="BQ882" s="5" t="n">
        <v>0.113</v>
      </c>
      <c r="BR882" s="5" t="n">
        <v>0</v>
      </c>
      <c r="BS882" s="5" t="n">
        <v>0.667</v>
      </c>
      <c r="BT882" s="5" t="n">
        <v>0</v>
      </c>
      <c r="BU882" s="5" t="n">
        <v>0</v>
      </c>
      <c r="BV882" s="5" t="n">
        <v>0.119</v>
      </c>
      <c r="BW882" s="5" t="n">
        <v>0.145</v>
      </c>
      <c r="BX882" s="5" t="n">
        <v>0.667</v>
      </c>
      <c r="BY882" s="5" t="n">
        <v>11.787</v>
      </c>
      <c r="BZ882" s="5" t="n">
        <v>0</v>
      </c>
      <c r="CA882" s="5" t="n">
        <v>11.787</v>
      </c>
      <c r="CB882" s="5" t="n">
        <v>0</v>
      </c>
      <c r="CC882" s="5" t="n">
        <v>78.125</v>
      </c>
      <c r="CD882" s="5" t="n">
        <v>7.95</v>
      </c>
      <c r="CE882" s="5" t="n">
        <v>0</v>
      </c>
      <c r="CF882" s="5" t="n">
        <v>89.453</v>
      </c>
      <c r="CG882" s="5" t="n">
        <v>0.145</v>
      </c>
      <c r="CH882" s="5" t="n">
        <v>1</v>
      </c>
      <c r="CI882" s="5" t="n">
        <v>0</v>
      </c>
      <c r="CJ882" s="5" t="n">
        <v>0</v>
      </c>
      <c r="CK882" s="5" t="n">
        <v>0</v>
      </c>
      <c r="CL882" s="5" t="n">
        <v>0</v>
      </c>
      <c r="CM882" s="5" t="n">
        <v>0</v>
      </c>
      <c r="CN882" s="5" t="n">
        <v>0</v>
      </c>
      <c r="CO882" s="5" t="n">
        <v>0</v>
      </c>
      <c r="CP882" s="5" t="n">
        <v>0.999</v>
      </c>
      <c r="CQ882" s="5" t="n">
        <v>1.198</v>
      </c>
      <c r="CR882" s="5" t="n">
        <v>0</v>
      </c>
      <c r="CS882" s="5" t="n">
        <v>4.776</v>
      </c>
      <c r="CT882" s="5" t="n">
        <v>4.753</v>
      </c>
      <c r="CU882" s="5" t="n">
        <v>15.162</v>
      </c>
    </row>
    <row r="883">
      <c r="A883" s="5" t="inlineStr">
        <is>
          <t>ZWE2022</t>
        </is>
      </c>
      <c r="B883" s="5" t="inlineStr">
        <is>
          <t>ZWE</t>
        </is>
      </c>
      <c r="C883" s="5" t="inlineStr">
        <is>
          <t>ZWE</t>
        </is>
      </c>
      <c r="D883" s="5" t="inlineStr">
        <is>
          <t>Zimbabwe</t>
        </is>
      </c>
      <c r="E883" s="5" t="n">
        <v>2022</v>
      </c>
      <c r="F883" s="5" t="n">
        <v>0.145</v>
      </c>
      <c r="G883" s="5" t="n">
        <v>1.918</v>
      </c>
      <c r="H883" s="5" t="n">
        <v>0.618</v>
      </c>
      <c r="I883" s="5" t="n">
        <v>0</v>
      </c>
      <c r="J883" s="5" t="n">
        <v>1.918</v>
      </c>
      <c r="K883" s="5" t="n">
        <v>0</v>
      </c>
      <c r="L883" s="5" t="n">
        <v>1</v>
      </c>
      <c r="M883" s="5" t="n">
        <v>3.151</v>
      </c>
      <c r="N883" s="5" t="n">
        <v>1.853</v>
      </c>
      <c r="O883" s="5" t="n">
        <v>0</v>
      </c>
      <c r="P883" s="5" t="n">
        <v>3.151</v>
      </c>
      <c r="Q883" s="5" t="n">
        <v>0</v>
      </c>
      <c r="R883" s="5" t="n">
        <v>1</v>
      </c>
      <c r="S883" s="5" t="n">
        <v>5.007</v>
      </c>
      <c r="T883" s="5" t="n">
        <v>3.707</v>
      </c>
      <c r="U883" s="5" t="n">
        <v>0.054</v>
      </c>
      <c r="V883" s="5" t="n">
        <v>5.733</v>
      </c>
      <c r="W883" s="5" t="n">
        <v>0.145</v>
      </c>
      <c r="X883" s="5" t="n">
        <v>1</v>
      </c>
      <c r="Y883" s="5" t="n">
        <v>32.431</v>
      </c>
      <c r="Z883" s="5" t="n">
        <v>4.383</v>
      </c>
      <c r="AA883" s="5" t="n">
        <v>0</v>
      </c>
      <c r="AB883" s="5" t="n">
        <v>32.431</v>
      </c>
      <c r="AC883" s="5" t="n">
        <v>0</v>
      </c>
      <c r="AD883" s="5" t="n">
        <v>1</v>
      </c>
      <c r="AE883" s="5" t="n">
        <v>33.666</v>
      </c>
      <c r="AF883" s="5" t="n">
        <v>7.872</v>
      </c>
      <c r="AG883" s="5" t="n">
        <v>0</v>
      </c>
      <c r="AH883" s="5" t="n">
        <v>33.666</v>
      </c>
      <c r="AI883" s="5" t="n">
        <v>0</v>
      </c>
      <c r="AJ883" s="5" t="n">
        <v>1</v>
      </c>
      <c r="AK883" s="5" t="n">
        <v>41.074</v>
      </c>
      <c r="AL883" s="5" t="n">
        <v>21.876</v>
      </c>
      <c r="AM883" s="5" t="n">
        <v>0.441</v>
      </c>
      <c r="AN883" s="5" t="n">
        <v>47.03</v>
      </c>
      <c r="AO883" s="5" t="n">
        <v>0.145</v>
      </c>
      <c r="AP883" s="5" t="n">
        <v>1</v>
      </c>
      <c r="AQ883" s="5" t="n">
        <v>0.861</v>
      </c>
      <c r="AR883" s="5" t="n">
        <v>0.123</v>
      </c>
      <c r="AS883" s="5" t="n">
        <v>0.475</v>
      </c>
      <c r="AT883" s="5" t="n">
        <v>1.529</v>
      </c>
      <c r="AU883" s="5" t="n">
        <v>0</v>
      </c>
      <c r="AV883" s="5" t="n">
        <v>0</v>
      </c>
      <c r="AW883" s="5" t="n">
        <v>0.986</v>
      </c>
      <c r="AX883" s="5" t="n">
        <v>0.123</v>
      </c>
      <c r="AY883" s="5" t="n">
        <v>0.463</v>
      </c>
      <c r="AZ883" s="5" t="n">
        <v>1.66</v>
      </c>
      <c r="BA883" s="5" t="n">
        <v>0</v>
      </c>
      <c r="BB883" s="5" t="n">
        <v>0</v>
      </c>
      <c r="BC883" s="5" t="n">
        <v>0.598</v>
      </c>
      <c r="BD883" s="5" t="n">
        <v>0.123</v>
      </c>
      <c r="BE883" s="5" t="n">
        <v>0.006</v>
      </c>
      <c r="BF883" s="5" t="n">
        <v>0.6850000000000001</v>
      </c>
      <c r="BG883" s="5" t="n">
        <v>0.145</v>
      </c>
      <c r="BH883" s="5" t="n">
        <v>1</v>
      </c>
      <c r="BI883" s="5" t="n">
        <v>0.612</v>
      </c>
      <c r="BJ883" s="5" t="n">
        <v>0.123</v>
      </c>
      <c r="BK883" s="5" t="n">
        <v>-0.572</v>
      </c>
      <c r="BL883" s="5" t="n">
        <v>0.041</v>
      </c>
      <c r="BM883" s="5" t="n">
        <v>0</v>
      </c>
      <c r="BN883" s="5" t="n">
        <v>0</v>
      </c>
      <c r="BO883" s="5" t="n">
        <v>0</v>
      </c>
      <c r="BP883" s="5" t="n">
        <v>0</v>
      </c>
      <c r="BQ883" s="5" t="n">
        <v>0.106</v>
      </c>
      <c r="BR883" s="5" t="n">
        <v>0</v>
      </c>
      <c r="BS883" s="5" t="n">
        <v>0.667</v>
      </c>
      <c r="BT883" s="5" t="n">
        <v>0</v>
      </c>
      <c r="BU883" s="5" t="n">
        <v>0</v>
      </c>
      <c r="BV883" s="5" t="n">
        <v>0.106</v>
      </c>
      <c r="BW883" s="5" t="n">
        <v>0.145</v>
      </c>
      <c r="BX883" s="5" t="n">
        <v>0.667</v>
      </c>
      <c r="BY883" s="5" t="n">
        <v>12.729</v>
      </c>
      <c r="BZ883" s="5" t="n">
        <v>0</v>
      </c>
      <c r="CA883" s="5" t="n">
        <v>12.729</v>
      </c>
      <c r="CB883" s="5" t="n">
        <v>0</v>
      </c>
      <c r="CC883" s="5" t="n">
        <v>97.90000000000001</v>
      </c>
      <c r="CD883" s="5" t="n">
        <v>7.95</v>
      </c>
      <c r="CE883" s="5" t="n">
        <v>1.051</v>
      </c>
      <c r="CF883" s="5" t="n">
        <v>112.095</v>
      </c>
      <c r="CG883" s="5" t="n">
        <v>0.145</v>
      </c>
      <c r="CH883" s="5" t="n">
        <v>1</v>
      </c>
      <c r="CI883" s="5" t="n">
        <v>0</v>
      </c>
      <c r="CJ883" s="5" t="n">
        <v>0</v>
      </c>
      <c r="CK883" s="5" t="n">
        <v>0</v>
      </c>
      <c r="CL883" s="5" t="n">
        <v>0</v>
      </c>
      <c r="CM883" s="5" t="n">
        <v>0</v>
      </c>
      <c r="CN883" s="5" t="n">
        <v>0</v>
      </c>
      <c r="CO883" s="5" t="n">
        <v>0</v>
      </c>
      <c r="CP883" s="5" t="n">
        <v>0.999</v>
      </c>
      <c r="CQ883" s="5" t="n">
        <v>1.294</v>
      </c>
      <c r="CR883" s="5" t="n">
        <v>0</v>
      </c>
      <c r="CS883" s="5" t="n">
        <v>5.158</v>
      </c>
      <c r="CT883" s="5" t="n">
        <v>10.485</v>
      </c>
      <c r="CU883" s="5" t="n">
        <v>31.326</v>
      </c>
    </row>
    <row r="884">
      <c r="A884" s="5" t="inlineStr">
        <is>
          <t>ZWE2023</t>
        </is>
      </c>
      <c r="B884" s="5" t="inlineStr">
        <is>
          <t>ZWE</t>
        </is>
      </c>
      <c r="C884" s="5" t="inlineStr">
        <is>
          <t>ZWE</t>
        </is>
      </c>
      <c r="D884" s="5" t="inlineStr">
        <is>
          <t>Zimbabwe</t>
        </is>
      </c>
      <c r="E884" s="5" t="n">
        <v>2023</v>
      </c>
      <c r="F884" s="5" t="n">
        <v>0.145</v>
      </c>
      <c r="G884" s="5" t="n">
        <v>1.992</v>
      </c>
      <c r="H884" s="5" t="n">
        <v>0.643</v>
      </c>
      <c r="I884" s="5" t="n">
        <v>0</v>
      </c>
      <c r="J884" s="5" t="n">
        <v>1.992</v>
      </c>
      <c r="K884" s="5" t="n">
        <v>0</v>
      </c>
      <c r="L884" s="5" t="n">
        <v>1</v>
      </c>
      <c r="M884" s="5" t="n">
        <v>3.278</v>
      </c>
      <c r="N884" s="5" t="n">
        <v>1.929</v>
      </c>
      <c r="O884" s="5" t="n">
        <v>0</v>
      </c>
      <c r="P884" s="5" t="n">
        <v>3.278</v>
      </c>
      <c r="Q884" s="5" t="n">
        <v>0</v>
      </c>
      <c r="R884" s="5" t="n">
        <v>1</v>
      </c>
      <c r="S884" s="5" t="n">
        <v>5.208</v>
      </c>
      <c r="T884" s="5" t="n">
        <v>3.859</v>
      </c>
      <c r="U884" s="5" t="n">
        <v>0.08400000000000001</v>
      </c>
      <c r="V884" s="5" t="n">
        <v>5.963</v>
      </c>
      <c r="W884" s="5" t="n">
        <v>0.145</v>
      </c>
      <c r="X884" s="5" t="n">
        <v>1</v>
      </c>
      <c r="Y884" s="5" t="n">
        <v>12.868</v>
      </c>
      <c r="Z884" s="5" t="n">
        <v>1.739</v>
      </c>
      <c r="AA884" s="5" t="n">
        <v>0</v>
      </c>
      <c r="AB884" s="5" t="n">
        <v>12.868</v>
      </c>
      <c r="AC884" s="5" t="n">
        <v>0</v>
      </c>
      <c r="AD884" s="5" t="n">
        <v>1</v>
      </c>
      <c r="AE884" s="5" t="n">
        <v>14.153</v>
      </c>
      <c r="AF884" s="5" t="n">
        <v>3.309</v>
      </c>
      <c r="AG884" s="5" t="n">
        <v>0</v>
      </c>
      <c r="AH884" s="5" t="n">
        <v>14.153</v>
      </c>
      <c r="AI884" s="5" t="n">
        <v>0</v>
      </c>
      <c r="AJ884" s="5" t="n">
        <v>1</v>
      </c>
      <c r="AK884" s="5" t="n">
        <v>21.867</v>
      </c>
      <c r="AL884" s="5" t="n">
        <v>11.646</v>
      </c>
      <c r="AM884" s="5" t="n">
        <v>0.351</v>
      </c>
      <c r="AN884" s="5" t="n">
        <v>25.038</v>
      </c>
      <c r="AO884" s="5" t="n">
        <v>0.145</v>
      </c>
      <c r="AP884" s="5" t="n">
        <v>1</v>
      </c>
      <c r="AQ884" s="5" t="n">
        <v>0.76</v>
      </c>
      <c r="AR884" s="5" t="n">
        <v>0.129</v>
      </c>
      <c r="AS884" s="5" t="n">
        <v>-0.383</v>
      </c>
      <c r="AT884" s="5" t="n">
        <v>0.432</v>
      </c>
      <c r="AU884" s="5" t="n">
        <v>0</v>
      </c>
      <c r="AV884" s="5" t="n">
        <v>0</v>
      </c>
      <c r="AW884" s="5" t="n">
        <v>0.8110000000000001</v>
      </c>
      <c r="AX884" s="5" t="n">
        <v>0.129</v>
      </c>
      <c r="AY884" s="5" t="n">
        <v>-0.417</v>
      </c>
      <c r="AZ884" s="5" t="n">
        <v>0.451</v>
      </c>
      <c r="BA884" s="5" t="n">
        <v>0</v>
      </c>
      <c r="BB884" s="5" t="n">
        <v>0</v>
      </c>
      <c r="BC884" s="5" t="n">
        <v>0.535</v>
      </c>
      <c r="BD884" s="5" t="n">
        <v>0.129</v>
      </c>
      <c r="BE884" s="5" t="n">
        <v>0.008999999999999999</v>
      </c>
      <c r="BF884" s="5" t="n">
        <v>0.613</v>
      </c>
      <c r="BG884" s="5" t="n">
        <v>0.145</v>
      </c>
      <c r="BH884" s="5" t="n">
        <v>1</v>
      </c>
      <c r="BI884" s="5" t="n">
        <v>0.579</v>
      </c>
      <c r="BJ884" s="5" t="n">
        <v>0.129</v>
      </c>
      <c r="BK884" s="5" t="n">
        <v>-0.569</v>
      </c>
      <c r="BL884" s="5" t="n">
        <v>0.01</v>
      </c>
      <c r="BM884" s="5" t="n">
        <v>0</v>
      </c>
      <c r="BN884" s="5" t="n">
        <v>0</v>
      </c>
      <c r="BO884" s="5" t="n">
        <v>0</v>
      </c>
      <c r="BP884" s="5" t="n">
        <v>0</v>
      </c>
      <c r="BQ884" s="5" t="n">
        <v>0.106</v>
      </c>
      <c r="BR884" s="5" t="n">
        <v>0</v>
      </c>
      <c r="BS884" s="5" t="n">
        <v>0.667</v>
      </c>
      <c r="BT884" s="5" t="n">
        <v>0</v>
      </c>
      <c r="BU884" s="5" t="n">
        <v>0</v>
      </c>
      <c r="BV884" s="5" t="n">
        <v>0.106</v>
      </c>
      <c r="BW884" s="5" t="n">
        <v>0.145</v>
      </c>
      <c r="BX884" s="5" t="n">
        <v>0.667</v>
      </c>
      <c r="BY884" s="5" t="n">
        <v>13.254</v>
      </c>
      <c r="BZ884" s="5" t="n">
        <v>0</v>
      </c>
      <c r="CA884" s="5" t="n">
        <v>13.254</v>
      </c>
      <c r="CB884" s="5" t="n">
        <v>0</v>
      </c>
      <c r="CC884" s="5" t="n">
        <v>83.248</v>
      </c>
      <c r="CD884" s="5" t="n">
        <v>7.95</v>
      </c>
      <c r="CE884" s="5" t="n">
        <v>1.336</v>
      </c>
      <c r="CF884" s="5" t="n">
        <v>95.319</v>
      </c>
      <c r="CG884" s="5" t="n">
        <v>0.145</v>
      </c>
      <c r="CH884" s="5" t="n">
        <v>1</v>
      </c>
      <c r="CI884" s="5" t="n">
        <v>0</v>
      </c>
      <c r="CJ884" s="5" t="n">
        <v>0</v>
      </c>
      <c r="CK884" s="5" t="n">
        <v>0</v>
      </c>
      <c r="CL884" s="5" t="n">
        <v>0</v>
      </c>
      <c r="CM884" s="5" t="n">
        <v>0</v>
      </c>
      <c r="CN884" s="5" t="n">
        <v>0</v>
      </c>
      <c r="CO884" s="5" t="n">
        <v>0</v>
      </c>
      <c r="CP884" s="5" t="n">
        <v>1</v>
      </c>
      <c r="CQ884" s="5" t="n">
        <v>1.348</v>
      </c>
      <c r="CR884" s="5" t="n">
        <v>0</v>
      </c>
      <c r="CS884" s="5" t="n">
        <v>5.37</v>
      </c>
      <c r="CT884" s="5" t="n">
        <v>4.861</v>
      </c>
      <c r="CU884" s="5" t="n">
        <v>11.622</v>
      </c>
    </row>
    <row r="885">
      <c r="A885" s="5" t="inlineStr">
        <is>
          <t>ZWE2024</t>
        </is>
      </c>
      <c r="B885" s="5" t="inlineStr">
        <is>
          <t>ZWE</t>
        </is>
      </c>
      <c r="C885" s="5" t="inlineStr">
        <is>
          <t>ZWE</t>
        </is>
      </c>
      <c r="D885" s="5" t="inlineStr">
        <is>
          <t>Zimbabwe</t>
        </is>
      </c>
      <c r="E885" s="5" t="n">
        <v>2024</v>
      </c>
      <c r="F885" s="5" t="n">
        <v>0.145</v>
      </c>
      <c r="G885" s="5" t="n">
        <v>2.051</v>
      </c>
      <c r="H885" s="5" t="n">
        <v>0.662</v>
      </c>
      <c r="I885" s="5" t="n">
        <v>0</v>
      </c>
      <c r="J885" s="5" t="n">
        <v>2.051</v>
      </c>
      <c r="K885" s="5" t="n">
        <v>0</v>
      </c>
      <c r="L885" s="5" t="n">
        <v>1</v>
      </c>
      <c r="M885" s="5" t="n">
        <v>3.374</v>
      </c>
      <c r="N885" s="5" t="n">
        <v>1.986</v>
      </c>
      <c r="O885" s="5" t="n">
        <v>0</v>
      </c>
      <c r="P885" s="5" t="n">
        <v>3.374</v>
      </c>
      <c r="Q885" s="5" t="n">
        <v>0</v>
      </c>
      <c r="R885" s="5" t="n">
        <v>1</v>
      </c>
      <c r="S885" s="5" t="n">
        <v>5.361</v>
      </c>
      <c r="T885" s="5" t="n">
        <v>3.973</v>
      </c>
      <c r="U885" s="5" t="n">
        <v>0.106</v>
      </c>
      <c r="V885" s="5" t="n">
        <v>6.139</v>
      </c>
      <c r="W885" s="5" t="n">
        <v>0.145</v>
      </c>
      <c r="X885" s="5" t="n">
        <v>1</v>
      </c>
      <c r="Y885" s="5" t="n">
        <v>11.458</v>
      </c>
      <c r="Z885" s="5" t="n">
        <v>1.549</v>
      </c>
      <c r="AA885" s="5" t="n">
        <v>0</v>
      </c>
      <c r="AB885" s="5" t="n">
        <v>11.458</v>
      </c>
      <c r="AC885" s="5" t="n">
        <v>0</v>
      </c>
      <c r="AD885" s="5" t="n">
        <v>1</v>
      </c>
      <c r="AE885" s="5" t="n">
        <v>12.782</v>
      </c>
      <c r="AF885" s="5" t="n">
        <v>2.989</v>
      </c>
      <c r="AG885" s="5" t="n">
        <v>0</v>
      </c>
      <c r="AH885" s="5" t="n">
        <v>12.782</v>
      </c>
      <c r="AI885" s="5" t="n">
        <v>0</v>
      </c>
      <c r="AJ885" s="5" t="n">
        <v>1</v>
      </c>
      <c r="AK885" s="5" t="n">
        <v>20.724</v>
      </c>
      <c r="AL885" s="5" t="n">
        <v>11.037</v>
      </c>
      <c r="AM885" s="5" t="n">
        <v>0.409</v>
      </c>
      <c r="AN885" s="5" t="n">
        <v>23.728</v>
      </c>
      <c r="AO885" s="5" t="n">
        <v>0.145</v>
      </c>
      <c r="AP885" s="5" t="n">
        <v>1</v>
      </c>
      <c r="AQ885" s="5" t="n">
        <v>0.724</v>
      </c>
      <c r="AR885" s="5" t="n">
        <v>0.132</v>
      </c>
      <c r="AS885" s="5" t="n">
        <v>-0.301</v>
      </c>
      <c r="AT885" s="5" t="n">
        <v>0.485</v>
      </c>
      <c r="AU885" s="5" t="n">
        <v>0</v>
      </c>
      <c r="AV885" s="5" t="n">
        <v>0</v>
      </c>
      <c r="AW885" s="5" t="n">
        <v>0.75</v>
      </c>
      <c r="AX885" s="5" t="n">
        <v>0.132</v>
      </c>
      <c r="AY885" s="5" t="n">
        <v>-0.318</v>
      </c>
      <c r="AZ885" s="5" t="n">
        <v>0.495</v>
      </c>
      <c r="BA885" s="5" t="n">
        <v>0</v>
      </c>
      <c r="BB885" s="5" t="n">
        <v>0</v>
      </c>
      <c r="BC885" s="5" t="n">
        <v>0.513</v>
      </c>
      <c r="BD885" s="5" t="n">
        <v>0.132</v>
      </c>
      <c r="BE885" s="5" t="n">
        <v>0.01</v>
      </c>
      <c r="BF885" s="5" t="n">
        <v>0.587</v>
      </c>
      <c r="BG885" s="5" t="n">
        <v>0.145</v>
      </c>
      <c r="BH885" s="5" t="n">
        <v>1</v>
      </c>
      <c r="BI885" s="5" t="n">
        <v>0.591</v>
      </c>
      <c r="BJ885" s="5" t="n">
        <v>0.132</v>
      </c>
      <c r="BK885" s="5" t="n">
        <v>-0.581</v>
      </c>
      <c r="BL885" s="5" t="n">
        <v>0.01</v>
      </c>
      <c r="BM885" s="5" t="n">
        <v>0</v>
      </c>
      <c r="BN885" s="5" t="n">
        <v>0</v>
      </c>
      <c r="BO885" s="5" t="n">
        <v>0</v>
      </c>
      <c r="BP885" s="5" t="n">
        <v>0</v>
      </c>
      <c r="BQ885" s="5" t="n">
        <v>0.109</v>
      </c>
      <c r="BR885" s="5" t="n">
        <v>0</v>
      </c>
      <c r="BS885" s="5" t="n">
        <v>0.667</v>
      </c>
      <c r="BT885" s="5" t="n">
        <v>0</v>
      </c>
      <c r="BU885" s="5" t="n">
        <v>0</v>
      </c>
      <c r="BV885" s="5" t="n">
        <v>0.078</v>
      </c>
      <c r="BW885" s="5" t="n">
        <v>0.145</v>
      </c>
      <c r="BX885" s="5" t="n">
        <v>0.667</v>
      </c>
      <c r="BY885" s="5" t="n">
        <v>13.646</v>
      </c>
      <c r="BZ885" s="5" t="n">
        <v>0</v>
      </c>
      <c r="CA885" s="5" t="n">
        <v>13.646</v>
      </c>
      <c r="CB885" s="5" t="n">
        <v>0</v>
      </c>
      <c r="CC885" s="5" t="n">
        <v>82.58799999999999</v>
      </c>
      <c r="CD885" s="5" t="n">
        <v>7.95</v>
      </c>
      <c r="CE885" s="5" t="n">
        <v>1.631</v>
      </c>
      <c r="CF885" s="5" t="n">
        <v>94.563</v>
      </c>
      <c r="CG885" s="5" t="n">
        <v>0.145</v>
      </c>
      <c r="CH885" s="5" t="n">
        <v>1</v>
      </c>
      <c r="CI885" s="5" t="n">
        <v>0</v>
      </c>
      <c r="CJ885" s="5" t="n">
        <v>0</v>
      </c>
      <c r="CK885" s="5" t="n">
        <v>0</v>
      </c>
      <c r="CL885" s="5" t="n">
        <v>0</v>
      </c>
      <c r="CM885" s="5" t="n">
        <v>0</v>
      </c>
      <c r="CN885" s="5" t="n">
        <v>0</v>
      </c>
      <c r="CO885" s="5" t="n">
        <v>0</v>
      </c>
      <c r="CP885" s="5" t="n">
        <v>1</v>
      </c>
      <c r="CQ885" s="5" t="n">
        <v>1.387</v>
      </c>
      <c r="CR885" s="5" t="n">
        <v>0</v>
      </c>
      <c r="CS885" s="5" t="n">
        <v>5.529</v>
      </c>
      <c r="CT885" s="5" t="n">
        <v>4.251</v>
      </c>
      <c r="CU885" s="5" t="n">
        <v>10.168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583-602 via kernel v1.6 Data_Energy (Egypt only so far)</t>
        </is>
      </c>
    </row>
    <row r="2">
      <c r="A2" s="1" t="inlineStr">
        <is>
          <t>Base-year energy use by subsector and fuel (ktoe)</t>
        </is>
      </c>
      <c r="B2" s="2" t="n"/>
      <c r="C2" s="2" t="n"/>
      <c r="D2" s="2" t="n"/>
      <c r="E2" s="2" t="n"/>
      <c r="F2" s="2" t="n"/>
      <c r="G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year</t>
        </is>
      </c>
      <c r="D3" s="8" t="inlineStr">
        <is>
          <t>subsector</t>
        </is>
      </c>
      <c r="E3" s="8" t="inlineStr">
        <is>
          <t>fuel</t>
        </is>
      </c>
      <c r="F3" s="8" t="inlineStr">
        <is>
          <t>ktoe</t>
        </is>
      </c>
      <c r="G3" s="8" t="inlineStr">
        <is>
          <t>source</t>
        </is>
      </c>
    </row>
    <row r="4">
      <c r="A4" s="5" t="inlineStr">
        <is>
          <t>EGY|2022|rod|coa</t>
        </is>
      </c>
      <c r="B4" s="5" t="inlineStr">
        <is>
          <t>EGY</t>
        </is>
      </c>
      <c r="C4" s="5" t="n">
        <v>2022</v>
      </c>
      <c r="D4" s="5" t="inlineStr">
        <is>
          <t>rod</t>
        </is>
      </c>
      <c r="E4" s="5" t="inlineStr">
        <is>
          <t>coa</t>
        </is>
      </c>
      <c r="F4" s="5" t="n">
        <v>0</v>
      </c>
      <c r="G4" s="5" t="inlineStr">
        <is>
          <t>Kernel v1.6 Data_Energy = legacy Mitigation rows 583-602</t>
        </is>
      </c>
    </row>
    <row r="5">
      <c r="A5" s="5" t="inlineStr">
        <is>
          <t>EGY|2022|ral|coa</t>
        </is>
      </c>
      <c r="B5" s="5" t="inlineStr">
        <is>
          <t>EGY</t>
        </is>
      </c>
      <c r="C5" s="5" t="n">
        <v>2022</v>
      </c>
      <c r="D5" s="5" t="inlineStr">
        <is>
          <t>ral</t>
        </is>
      </c>
      <c r="E5" s="5" t="inlineStr">
        <is>
          <t>coa</t>
        </is>
      </c>
      <c r="F5" s="5" t="n">
        <v>0</v>
      </c>
      <c r="G5" s="5" t="inlineStr">
        <is>
          <t>Kernel v1.6 Data_Energy = legacy Mitigation rows 583-602</t>
        </is>
      </c>
    </row>
    <row r="6">
      <c r="A6" s="5" t="inlineStr">
        <is>
          <t>EGY|2022|avi|coa</t>
        </is>
      </c>
      <c r="B6" s="5" t="inlineStr">
        <is>
          <t>EGY</t>
        </is>
      </c>
      <c r="C6" s="5" t="n">
        <v>2022</v>
      </c>
      <c r="D6" s="5" t="inlineStr">
        <is>
          <t>avi</t>
        </is>
      </c>
      <c r="E6" s="5" t="inlineStr">
        <is>
          <t>coa</t>
        </is>
      </c>
      <c r="F6" s="5" t="n">
        <v>0</v>
      </c>
      <c r="G6" s="5" t="inlineStr">
        <is>
          <t>Kernel v1.6 Data_Energy = legacy Mitigation rows 583-602</t>
        </is>
      </c>
    </row>
    <row r="7">
      <c r="A7" s="5" t="inlineStr">
        <is>
          <t>EGY|2022|nav|coa</t>
        </is>
      </c>
      <c r="B7" s="5" t="inlineStr">
        <is>
          <t>EGY</t>
        </is>
      </c>
      <c r="C7" s="5" t="n">
        <v>2022</v>
      </c>
      <c r="D7" s="5" t="inlineStr">
        <is>
          <t>nav</t>
        </is>
      </c>
      <c r="E7" s="5" t="inlineStr">
        <is>
          <t>coa</t>
        </is>
      </c>
      <c r="F7" s="5" t="n">
        <v>0</v>
      </c>
      <c r="G7" s="5" t="inlineStr">
        <is>
          <t>Kernel v1.6 Data_Energy = legacy Mitigation rows 583-602</t>
        </is>
      </c>
    </row>
    <row r="8">
      <c r="A8" s="5" t="inlineStr">
        <is>
          <t>EGY|2022|res|coa</t>
        </is>
      </c>
      <c r="B8" s="5" t="inlineStr">
        <is>
          <t>EGY</t>
        </is>
      </c>
      <c r="C8" s="5" t="n">
        <v>2022</v>
      </c>
      <c r="D8" s="5" t="inlineStr">
        <is>
          <t>res</t>
        </is>
      </c>
      <c r="E8" s="5" t="inlineStr">
        <is>
          <t>coa</t>
        </is>
      </c>
      <c r="F8" s="5" t="n">
        <v>1.67290731426795</v>
      </c>
      <c r="G8" s="5" t="inlineStr">
        <is>
          <t>Kernel v1.6 Data_Energy = legacy Mitigation rows 583-602</t>
        </is>
      </c>
    </row>
    <row r="9">
      <c r="A9" s="5" t="inlineStr">
        <is>
          <t>EGY|2022|foo|coa</t>
        </is>
      </c>
      <c r="B9" s="5" t="inlineStr">
        <is>
          <t>EGY</t>
        </is>
      </c>
      <c r="C9" s="5" t="n">
        <v>2022</v>
      </c>
      <c r="D9" s="5" t="inlineStr">
        <is>
          <t>foo</t>
        </is>
      </c>
      <c r="E9" s="5" t="inlineStr">
        <is>
          <t>coa</t>
        </is>
      </c>
      <c r="F9" s="5" t="n">
        <v>0</v>
      </c>
      <c r="G9" s="5" t="inlineStr">
        <is>
          <t>Kernel v1.6 Data_Energy = legacy Mitigation rows 583-602</t>
        </is>
      </c>
    </row>
    <row r="10">
      <c r="A10" s="5" t="inlineStr">
        <is>
          <t>EGY|2022|srv|coa</t>
        </is>
      </c>
      <c r="B10" s="5" t="inlineStr">
        <is>
          <t>EGY</t>
        </is>
      </c>
      <c r="C10" s="5" t="n">
        <v>2022</v>
      </c>
      <c r="D10" s="5" t="inlineStr">
        <is>
          <t>srv</t>
        </is>
      </c>
      <c r="E10" s="5" t="inlineStr">
        <is>
          <t>coa</t>
        </is>
      </c>
      <c r="F10" s="5" t="n">
        <v>0</v>
      </c>
      <c r="G10" s="5" t="inlineStr">
        <is>
          <t>Kernel v1.6 Data_Energy = legacy Mitigation rows 583-602</t>
        </is>
      </c>
    </row>
    <row r="11">
      <c r="A11" s="5" t="inlineStr">
        <is>
          <t>EGY|2022|mch|coa</t>
        </is>
      </c>
      <c r="B11" s="5" t="inlineStr">
        <is>
          <t>EGY</t>
        </is>
      </c>
      <c r="C11" s="5" t="n">
        <v>2022</v>
      </c>
      <c r="D11" s="5" t="inlineStr">
        <is>
          <t>mch</t>
        </is>
      </c>
      <c r="E11" s="5" t="inlineStr">
        <is>
          <t>coa</t>
        </is>
      </c>
      <c r="F11" s="5" t="n">
        <v>0</v>
      </c>
      <c r="G11" s="5" t="inlineStr">
        <is>
          <t>Kernel v1.6 Data_Energy = legacy Mitigation rows 583-602</t>
        </is>
      </c>
    </row>
    <row r="12">
      <c r="A12" s="5" t="inlineStr">
        <is>
          <t>EGY|2022|irn|coa</t>
        </is>
      </c>
      <c r="B12" s="5" t="inlineStr">
        <is>
          <t>EGY</t>
        </is>
      </c>
      <c r="C12" s="5" t="n">
        <v>2022</v>
      </c>
      <c r="D12" s="5" t="inlineStr">
        <is>
          <t>irn</t>
        </is>
      </c>
      <c r="E12" s="5" t="inlineStr">
        <is>
          <t>coa</t>
        </is>
      </c>
      <c r="F12" s="5" t="n">
        <v>232.657354770131</v>
      </c>
      <c r="G12" s="5" t="inlineStr">
        <is>
          <t>Kernel v1.6 Data_Energy = legacy Mitigation rows 583-602</t>
        </is>
      </c>
    </row>
    <row r="13">
      <c r="A13" s="5" t="inlineStr">
        <is>
          <t>EGY|2022|nfm|coa</t>
        </is>
      </c>
      <c r="B13" s="5" t="inlineStr">
        <is>
          <t>EGY</t>
        </is>
      </c>
      <c r="C13" s="5" t="n">
        <v>2022</v>
      </c>
      <c r="D13" s="5" t="inlineStr">
        <is>
          <t>nfm</t>
        </is>
      </c>
      <c r="E13" s="5" t="inlineStr">
        <is>
          <t>coa</t>
        </is>
      </c>
      <c r="F13" s="5" t="n">
        <v>0</v>
      </c>
      <c r="G13" s="5" t="inlineStr">
        <is>
          <t>Kernel v1.6 Data_Energy = legacy Mitigation rows 583-602</t>
        </is>
      </c>
    </row>
    <row r="14">
      <c r="A14" s="5" t="inlineStr">
        <is>
          <t>EGY|2022|mac|coa</t>
        </is>
      </c>
      <c r="B14" s="5" t="inlineStr">
        <is>
          <t>EGY</t>
        </is>
      </c>
      <c r="C14" s="5" t="n">
        <v>2022</v>
      </c>
      <c r="D14" s="5" t="inlineStr">
        <is>
          <t>mac</t>
        </is>
      </c>
      <c r="E14" s="5" t="inlineStr">
        <is>
          <t>coa</t>
        </is>
      </c>
      <c r="F14" s="5" t="n">
        <v>0</v>
      </c>
      <c r="G14" s="5" t="inlineStr">
        <is>
          <t>Kernel v1.6 Data_Energy = legacy Mitigation rows 583-602</t>
        </is>
      </c>
    </row>
    <row r="15">
      <c r="A15" s="5" t="inlineStr">
        <is>
          <t>EGY|2022|cem|coa</t>
        </is>
      </c>
      <c r="B15" s="5" t="inlineStr">
        <is>
          <t>EGY</t>
        </is>
      </c>
      <c r="C15" s="5" t="n">
        <v>2022</v>
      </c>
      <c r="D15" s="5" t="inlineStr">
        <is>
          <t>cem</t>
        </is>
      </c>
      <c r="E15" s="5" t="inlineStr">
        <is>
          <t>coa</t>
        </is>
      </c>
      <c r="F15" s="5" t="n">
        <v>1463.05522446279</v>
      </c>
      <c r="G15" s="5" t="inlineStr">
        <is>
          <t>Kernel v1.6 Data_Energy = legacy Mitigation rows 583-602</t>
        </is>
      </c>
    </row>
    <row r="16">
      <c r="A16" s="5" t="inlineStr">
        <is>
          <t>EGY|2022|omn|coa</t>
        </is>
      </c>
      <c r="B16" s="5" t="inlineStr">
        <is>
          <t>EGY</t>
        </is>
      </c>
      <c r="C16" s="5" t="n">
        <v>2022</v>
      </c>
      <c r="D16" s="5" t="inlineStr">
        <is>
          <t>omn</t>
        </is>
      </c>
      <c r="E16" s="5" t="inlineStr">
        <is>
          <t>coa</t>
        </is>
      </c>
      <c r="F16" s="5" t="n">
        <v>0</v>
      </c>
      <c r="G16" s="5" t="inlineStr">
        <is>
          <t>Kernel v1.6 Data_Energy = legacy Mitigation rows 583-602</t>
        </is>
      </c>
    </row>
    <row r="17">
      <c r="A17" s="5" t="inlineStr">
        <is>
          <t>EGY|2022|cst|coa</t>
        </is>
      </c>
      <c r="B17" s="5" t="inlineStr">
        <is>
          <t>EGY</t>
        </is>
      </c>
      <c r="C17" s="5" t="n">
        <v>2022</v>
      </c>
      <c r="D17" s="5" t="inlineStr">
        <is>
          <t>cst</t>
        </is>
      </c>
      <c r="E17" s="5" t="inlineStr">
        <is>
          <t>coa</t>
        </is>
      </c>
      <c r="F17" s="5" t="n">
        <v>0</v>
      </c>
      <c r="G17" s="5" t="inlineStr">
        <is>
          <t>Kernel v1.6 Data_Energy = legacy Mitigation rows 583-602</t>
        </is>
      </c>
    </row>
    <row r="18">
      <c r="A18" s="5" t="inlineStr">
        <is>
          <t>EGY|2022|ftr|coa</t>
        </is>
      </c>
      <c r="B18" s="5" t="inlineStr">
        <is>
          <t>EGY</t>
        </is>
      </c>
      <c r="C18" s="5" t="n">
        <v>2022</v>
      </c>
      <c r="D18" s="5" t="inlineStr">
        <is>
          <t>ftr</t>
        </is>
      </c>
      <c r="E18" s="5" t="inlineStr">
        <is>
          <t>coa</t>
        </is>
      </c>
      <c r="F18" s="5" t="n">
        <v>0</v>
      </c>
      <c r="G18" s="5" t="inlineStr">
        <is>
          <t>Kernel v1.6 Data_Energy = legacy Mitigation rows 583-602</t>
        </is>
      </c>
    </row>
    <row r="19">
      <c r="A19" s="5" t="inlineStr">
        <is>
          <t>EGY|2022|oen|coa</t>
        </is>
      </c>
      <c r="B19" s="5" t="inlineStr">
        <is>
          <t>EGY</t>
        </is>
      </c>
      <c r="C19" s="5" t="n">
        <v>2022</v>
      </c>
      <c r="D19" s="5" t="inlineStr">
        <is>
          <t>oen</t>
        </is>
      </c>
      <c r="E19" s="5" t="inlineStr">
        <is>
          <t>coa</t>
        </is>
      </c>
      <c r="F19" s="5" t="n">
        <v>0</v>
      </c>
      <c r="G19" s="5" t="inlineStr">
        <is>
          <t>Kernel v1.6 Data_Energy = legacy Mitigation rows 583-602</t>
        </is>
      </c>
    </row>
    <row r="20">
      <c r="A20" s="5" t="inlineStr">
        <is>
          <t>EGY|2022|rod|nga</t>
        </is>
      </c>
      <c r="B20" s="5" t="inlineStr">
        <is>
          <t>EGY</t>
        </is>
      </c>
      <c r="C20" s="5" t="n">
        <v>2022</v>
      </c>
      <c r="D20" s="5" t="inlineStr">
        <is>
          <t>rod</t>
        </is>
      </c>
      <c r="E20" s="5" t="inlineStr">
        <is>
          <t>nga</t>
        </is>
      </c>
      <c r="F20" s="5" t="n">
        <v>541.703992516236</v>
      </c>
      <c r="G20" s="5" t="inlineStr">
        <is>
          <t>Kernel v1.6 Data_Energy = legacy Mitigation rows 583-602</t>
        </is>
      </c>
    </row>
    <row r="21">
      <c r="A21" s="5" t="inlineStr">
        <is>
          <t>EGY|2022|ral|nga</t>
        </is>
      </c>
      <c r="B21" s="5" t="inlineStr">
        <is>
          <t>EGY</t>
        </is>
      </c>
      <c r="C21" s="5" t="n">
        <v>2022</v>
      </c>
      <c r="D21" s="5" t="inlineStr">
        <is>
          <t>ral</t>
        </is>
      </c>
      <c r="E21" s="5" t="inlineStr">
        <is>
          <t>nga</t>
        </is>
      </c>
      <c r="F21" s="5" t="n">
        <v>0</v>
      </c>
      <c r="G21" s="5" t="inlineStr">
        <is>
          <t>Kernel v1.6 Data_Energy = legacy Mitigation rows 583-602</t>
        </is>
      </c>
    </row>
    <row r="22">
      <c r="A22" s="5" t="inlineStr">
        <is>
          <t>EGY|2022|avi|nga</t>
        </is>
      </c>
      <c r="B22" s="5" t="inlineStr">
        <is>
          <t>EGY</t>
        </is>
      </c>
      <c r="C22" s="5" t="n">
        <v>2022</v>
      </c>
      <c r="D22" s="5" t="inlineStr">
        <is>
          <t>avi</t>
        </is>
      </c>
      <c r="E22" s="5" t="inlineStr">
        <is>
          <t>nga</t>
        </is>
      </c>
      <c r="F22" s="5" t="n">
        <v>0</v>
      </c>
      <c r="G22" s="5" t="inlineStr">
        <is>
          <t>Kernel v1.6 Data_Energy = legacy Mitigation rows 583-602</t>
        </is>
      </c>
    </row>
    <row r="23">
      <c r="A23" s="5" t="inlineStr">
        <is>
          <t>EGY|2022|nav|nga</t>
        </is>
      </c>
      <c r="B23" s="5" t="inlineStr">
        <is>
          <t>EGY</t>
        </is>
      </c>
      <c r="C23" s="5" t="n">
        <v>2022</v>
      </c>
      <c r="D23" s="5" t="inlineStr">
        <is>
          <t>nav</t>
        </is>
      </c>
      <c r="E23" s="5" t="inlineStr">
        <is>
          <t>nga</t>
        </is>
      </c>
      <c r="F23" s="5" t="n">
        <v>0</v>
      </c>
      <c r="G23" s="5" t="inlineStr">
        <is>
          <t>Kernel v1.6 Data_Energy = legacy Mitigation rows 583-602</t>
        </is>
      </c>
    </row>
    <row r="24">
      <c r="A24" s="5" t="inlineStr">
        <is>
          <t>EGY|2022|res|nga</t>
        </is>
      </c>
      <c r="B24" s="5" t="inlineStr">
        <is>
          <t>EGY</t>
        </is>
      </c>
      <c r="C24" s="5" t="n">
        <v>2022</v>
      </c>
      <c r="D24" s="5" t="inlineStr">
        <is>
          <t>res</t>
        </is>
      </c>
      <c r="E24" s="5" t="inlineStr">
        <is>
          <t>nga</t>
        </is>
      </c>
      <c r="F24" s="5" t="n">
        <v>2035.46041977272</v>
      </c>
      <c r="G24" s="5" t="inlineStr">
        <is>
          <t>Kernel v1.6 Data_Energy = legacy Mitigation rows 583-602</t>
        </is>
      </c>
    </row>
    <row r="25">
      <c r="A25" s="5" t="inlineStr">
        <is>
          <t>EGY|2022|foo|nga</t>
        </is>
      </c>
      <c r="B25" s="5" t="inlineStr">
        <is>
          <t>EGY</t>
        </is>
      </c>
      <c r="C25" s="5" t="n">
        <v>2022</v>
      </c>
      <c r="D25" s="5" t="inlineStr">
        <is>
          <t>foo</t>
        </is>
      </c>
      <c r="E25" s="5" t="inlineStr">
        <is>
          <t>nga</t>
        </is>
      </c>
      <c r="F25" s="5" t="n">
        <v>0</v>
      </c>
      <c r="G25" s="5" t="inlineStr">
        <is>
          <t>Kernel v1.6 Data_Energy = legacy Mitigation rows 583-602</t>
        </is>
      </c>
    </row>
    <row r="26">
      <c r="A26" s="5" t="inlineStr">
        <is>
          <t>EGY|2022|srv|nga</t>
        </is>
      </c>
      <c r="B26" s="5" t="inlineStr">
        <is>
          <t>EGY</t>
        </is>
      </c>
      <c r="C26" s="5" t="n">
        <v>2022</v>
      </c>
      <c r="D26" s="5" t="inlineStr">
        <is>
          <t>srv</t>
        </is>
      </c>
      <c r="E26" s="5" t="inlineStr">
        <is>
          <t>nga</t>
        </is>
      </c>
      <c r="F26" s="5" t="n">
        <v>0</v>
      </c>
      <c r="G26" s="5" t="inlineStr">
        <is>
          <t>Kernel v1.6 Data_Energy = legacy Mitigation rows 583-602</t>
        </is>
      </c>
    </row>
    <row r="27">
      <c r="A27" s="5" t="inlineStr">
        <is>
          <t>EGY|2022|mch|nga</t>
        </is>
      </c>
      <c r="B27" s="5" t="inlineStr">
        <is>
          <t>EGY</t>
        </is>
      </c>
      <c r="C27" s="5" t="n">
        <v>2022</v>
      </c>
      <c r="D27" s="5" t="inlineStr">
        <is>
          <t>mch</t>
        </is>
      </c>
      <c r="E27" s="5" t="inlineStr">
        <is>
          <t>nga</t>
        </is>
      </c>
      <c r="F27" s="5" t="n">
        <v>0</v>
      </c>
      <c r="G27" s="5" t="inlineStr">
        <is>
          <t>Kernel v1.6 Data_Energy = legacy Mitigation rows 583-602</t>
        </is>
      </c>
    </row>
    <row r="28">
      <c r="A28" s="5" t="inlineStr">
        <is>
          <t>EGY|2022|irn|nga</t>
        </is>
      </c>
      <c r="B28" s="5" t="inlineStr">
        <is>
          <t>EGY</t>
        </is>
      </c>
      <c r="C28" s="5" t="n">
        <v>2022</v>
      </c>
      <c r="D28" s="5" t="inlineStr">
        <is>
          <t>irn</t>
        </is>
      </c>
      <c r="E28" s="5" t="inlineStr">
        <is>
          <t>nga</t>
        </is>
      </c>
      <c r="F28" s="5" t="n">
        <v>1669.05671904213</v>
      </c>
      <c r="G28" s="5" t="inlineStr">
        <is>
          <t>Kernel v1.6 Data_Energy = legacy Mitigation rows 583-602</t>
        </is>
      </c>
    </row>
    <row r="29">
      <c r="A29" s="5" t="inlineStr">
        <is>
          <t>EGY|2022|nfm|nga</t>
        </is>
      </c>
      <c r="B29" s="5" t="inlineStr">
        <is>
          <t>EGY</t>
        </is>
      </c>
      <c r="C29" s="5" t="n">
        <v>2022</v>
      </c>
      <c r="D29" s="5" t="inlineStr">
        <is>
          <t>nfm</t>
        </is>
      </c>
      <c r="E29" s="5" t="inlineStr">
        <is>
          <t>nga</t>
        </is>
      </c>
      <c r="F29" s="5" t="n">
        <v>0</v>
      </c>
      <c r="G29" s="5" t="inlineStr">
        <is>
          <t>Kernel v1.6 Data_Energy = legacy Mitigation rows 583-602</t>
        </is>
      </c>
    </row>
    <row r="30">
      <c r="A30" s="5" t="inlineStr">
        <is>
          <t>EGY|2022|mac|nga</t>
        </is>
      </c>
      <c r="B30" s="5" t="inlineStr">
        <is>
          <t>EGY</t>
        </is>
      </c>
      <c r="C30" s="5" t="n">
        <v>2022</v>
      </c>
      <c r="D30" s="5" t="inlineStr">
        <is>
          <t>mac</t>
        </is>
      </c>
      <c r="E30" s="5" t="inlineStr">
        <is>
          <t>nga</t>
        </is>
      </c>
      <c r="F30" s="5" t="n">
        <v>0</v>
      </c>
      <c r="G30" s="5" t="inlineStr">
        <is>
          <t>Kernel v1.6 Data_Energy = legacy Mitigation rows 583-602</t>
        </is>
      </c>
    </row>
    <row r="31">
      <c r="A31" s="5" t="inlineStr">
        <is>
          <t>EGY|2022|cem|nga</t>
        </is>
      </c>
      <c r="B31" s="5" t="inlineStr">
        <is>
          <t>EGY</t>
        </is>
      </c>
      <c r="C31" s="5" t="n">
        <v>2022</v>
      </c>
      <c r="D31" s="5" t="inlineStr">
        <is>
          <t>cem</t>
        </is>
      </c>
      <c r="E31" s="5" t="inlineStr">
        <is>
          <t>nga</t>
        </is>
      </c>
      <c r="F31" s="5" t="n">
        <v>1747.39153476208</v>
      </c>
      <c r="G31" s="5" t="inlineStr">
        <is>
          <t>Kernel v1.6 Data_Energy = legacy Mitigation rows 583-602</t>
        </is>
      </c>
    </row>
    <row r="32">
      <c r="A32" s="5" t="inlineStr">
        <is>
          <t>EGY|2022|omn|nga</t>
        </is>
      </c>
      <c r="B32" s="5" t="inlineStr">
        <is>
          <t>EGY</t>
        </is>
      </c>
      <c r="C32" s="5" t="n">
        <v>2022</v>
      </c>
      <c r="D32" s="5" t="inlineStr">
        <is>
          <t>omn</t>
        </is>
      </c>
      <c r="E32" s="5" t="inlineStr">
        <is>
          <t>nga</t>
        </is>
      </c>
      <c r="F32" s="5" t="n">
        <v>960.1300372147859</v>
      </c>
      <c r="G32" s="5" t="inlineStr">
        <is>
          <t>Kernel v1.6 Data_Energy = legacy Mitigation rows 583-602</t>
        </is>
      </c>
    </row>
    <row r="33">
      <c r="A33" s="5" t="inlineStr">
        <is>
          <t>EGY|2022|cst|nga</t>
        </is>
      </c>
      <c r="B33" s="5" t="inlineStr">
        <is>
          <t>EGY</t>
        </is>
      </c>
      <c r="C33" s="5" t="n">
        <v>2022</v>
      </c>
      <c r="D33" s="5" t="inlineStr">
        <is>
          <t>cst</t>
        </is>
      </c>
      <c r="E33" s="5" t="inlineStr">
        <is>
          <t>nga</t>
        </is>
      </c>
      <c r="F33" s="5" t="n">
        <v>0</v>
      </c>
      <c r="G33" s="5" t="inlineStr">
        <is>
          <t>Kernel v1.6 Data_Energy = legacy Mitigation rows 583-602</t>
        </is>
      </c>
    </row>
    <row r="34">
      <c r="A34" s="5" t="inlineStr">
        <is>
          <t>EGY|2022|ftr|nga</t>
        </is>
      </c>
      <c r="B34" s="5" t="inlineStr">
        <is>
          <t>EGY</t>
        </is>
      </c>
      <c r="C34" s="5" t="n">
        <v>2022</v>
      </c>
      <c r="D34" s="5" t="inlineStr">
        <is>
          <t>ftr</t>
        </is>
      </c>
      <c r="E34" s="5" t="inlineStr">
        <is>
          <t>nga</t>
        </is>
      </c>
      <c r="F34" s="5" t="n">
        <v>7454.00582946635</v>
      </c>
      <c r="G34" s="5" t="inlineStr">
        <is>
          <t>Kernel v1.6 Data_Energy = legacy Mitigation rows 583-602</t>
        </is>
      </c>
    </row>
    <row r="35">
      <c r="A35" s="5" t="inlineStr">
        <is>
          <t>EGY|2022|oen|nga</t>
        </is>
      </c>
      <c r="B35" s="5" t="inlineStr">
        <is>
          <t>EGY</t>
        </is>
      </c>
      <c r="C35" s="5" t="n">
        <v>2022</v>
      </c>
      <c r="D35" s="5" t="inlineStr">
        <is>
          <t>oen</t>
        </is>
      </c>
      <c r="E35" s="5" t="inlineStr">
        <is>
          <t>nga</t>
        </is>
      </c>
      <c r="F35" s="5" t="n">
        <v>0</v>
      </c>
      <c r="G35" s="5" t="inlineStr">
        <is>
          <t>Kernel v1.6 Data_Energy = legacy Mitigation rows 583-602</t>
        </is>
      </c>
    </row>
    <row r="36">
      <c r="A36" s="5" t="inlineStr">
        <is>
          <t>EGY|2022|rod|oop</t>
        </is>
      </c>
      <c r="B36" s="5" t="inlineStr">
        <is>
          <t>EGY</t>
        </is>
      </c>
      <c r="C36" s="5" t="n">
        <v>2022</v>
      </c>
      <c r="D36" s="5" t="inlineStr">
        <is>
          <t>rod</t>
        </is>
      </c>
      <c r="E36" s="5" t="inlineStr">
        <is>
          <t>oop</t>
        </is>
      </c>
      <c r="F36" s="5" t="n">
        <v>0</v>
      </c>
      <c r="G36" s="5" t="inlineStr">
        <is>
          <t>Kernel v1.6 Data_Energy = legacy Mitigation rows 583-602</t>
        </is>
      </c>
    </row>
    <row r="37">
      <c r="A37" s="5" t="inlineStr">
        <is>
          <t>EGY|2022|ral|oop</t>
        </is>
      </c>
      <c r="B37" s="5" t="inlineStr">
        <is>
          <t>EGY</t>
        </is>
      </c>
      <c r="C37" s="5" t="n">
        <v>2022</v>
      </c>
      <c r="D37" s="5" t="inlineStr">
        <is>
          <t>ral</t>
        </is>
      </c>
      <c r="E37" s="5" t="inlineStr">
        <is>
          <t>oop</t>
        </is>
      </c>
      <c r="F37" s="5" t="n">
        <v>0</v>
      </c>
      <c r="G37" s="5" t="inlineStr">
        <is>
          <t>Kernel v1.6 Data_Energy = legacy Mitigation rows 583-602</t>
        </is>
      </c>
    </row>
    <row r="38">
      <c r="A38" s="5" t="inlineStr">
        <is>
          <t>EGY|2022|avi|oop</t>
        </is>
      </c>
      <c r="B38" s="5" t="inlineStr">
        <is>
          <t>EGY</t>
        </is>
      </c>
      <c r="C38" s="5" t="n">
        <v>2022</v>
      </c>
      <c r="D38" s="5" t="inlineStr">
        <is>
          <t>avi</t>
        </is>
      </c>
      <c r="E38" s="5" t="inlineStr">
        <is>
          <t>oop</t>
        </is>
      </c>
      <c r="F38" s="5" t="n">
        <v>0</v>
      </c>
      <c r="G38" s="5" t="inlineStr">
        <is>
          <t>Kernel v1.6 Data_Energy = legacy Mitigation rows 583-602</t>
        </is>
      </c>
    </row>
    <row r="39">
      <c r="A39" s="5" t="inlineStr">
        <is>
          <t>EGY|2022|nav|oop</t>
        </is>
      </c>
      <c r="B39" s="5" t="inlineStr">
        <is>
          <t>EGY</t>
        </is>
      </c>
      <c r="C39" s="5" t="n">
        <v>2022</v>
      </c>
      <c r="D39" s="5" t="inlineStr">
        <is>
          <t>nav</t>
        </is>
      </c>
      <c r="E39" s="5" t="inlineStr">
        <is>
          <t>oop</t>
        </is>
      </c>
      <c r="F39" s="5" t="n">
        <v>290.709497169709</v>
      </c>
      <c r="G39" s="5" t="inlineStr">
        <is>
          <t>Kernel v1.6 Data_Energy = legacy Mitigation rows 583-602</t>
        </is>
      </c>
    </row>
    <row r="40">
      <c r="A40" s="5" t="inlineStr">
        <is>
          <t>EGY|2022|res|oop</t>
        </is>
      </c>
      <c r="B40" s="5" t="inlineStr">
        <is>
          <t>EGY</t>
        </is>
      </c>
      <c r="C40" s="5" t="n">
        <v>2022</v>
      </c>
      <c r="D40" s="5" t="inlineStr">
        <is>
          <t>res</t>
        </is>
      </c>
      <c r="E40" s="5" t="inlineStr">
        <is>
          <t>oop</t>
        </is>
      </c>
      <c r="F40" s="5" t="n">
        <v>0</v>
      </c>
      <c r="G40" s="5" t="inlineStr">
        <is>
          <t>Kernel v1.6 Data_Energy = legacy Mitigation rows 583-602</t>
        </is>
      </c>
    </row>
    <row r="41">
      <c r="A41" s="5" t="inlineStr">
        <is>
          <t>EGY|2022|foo|oop</t>
        </is>
      </c>
      <c r="B41" s="5" t="inlineStr">
        <is>
          <t>EGY</t>
        </is>
      </c>
      <c r="C41" s="5" t="n">
        <v>2022</v>
      </c>
      <c r="D41" s="5" t="inlineStr">
        <is>
          <t>foo</t>
        </is>
      </c>
      <c r="E41" s="5" t="inlineStr">
        <is>
          <t>oop</t>
        </is>
      </c>
      <c r="F41" s="5" t="n">
        <v>0</v>
      </c>
      <c r="G41" s="5" t="inlineStr">
        <is>
          <t>Kernel v1.6 Data_Energy = legacy Mitigation rows 583-602</t>
        </is>
      </c>
    </row>
    <row r="42">
      <c r="A42" s="5" t="inlineStr">
        <is>
          <t>EGY|2022|srv|oop</t>
        </is>
      </c>
      <c r="B42" s="5" t="inlineStr">
        <is>
          <t>EGY</t>
        </is>
      </c>
      <c r="C42" s="5" t="n">
        <v>2022</v>
      </c>
      <c r="D42" s="5" t="inlineStr">
        <is>
          <t>srv</t>
        </is>
      </c>
      <c r="E42" s="5" t="inlineStr">
        <is>
          <t>oop</t>
        </is>
      </c>
      <c r="F42" s="5" t="n">
        <v>0</v>
      </c>
      <c r="G42" s="5" t="inlineStr">
        <is>
          <t>Kernel v1.6 Data_Energy = legacy Mitigation rows 583-602</t>
        </is>
      </c>
    </row>
    <row r="43">
      <c r="A43" s="5" t="inlineStr">
        <is>
          <t>EGY|2022|mch|oop</t>
        </is>
      </c>
      <c r="B43" s="5" t="inlineStr">
        <is>
          <t>EGY</t>
        </is>
      </c>
      <c r="C43" s="5" t="n">
        <v>2022</v>
      </c>
      <c r="D43" s="5" t="inlineStr">
        <is>
          <t>mch</t>
        </is>
      </c>
      <c r="E43" s="5" t="inlineStr">
        <is>
          <t>oop</t>
        </is>
      </c>
      <c r="F43" s="5" t="n">
        <v>0</v>
      </c>
      <c r="G43" s="5" t="inlineStr">
        <is>
          <t>Kernel v1.6 Data_Energy = legacy Mitigation rows 583-602</t>
        </is>
      </c>
    </row>
    <row r="44">
      <c r="A44" s="5" t="inlineStr">
        <is>
          <t>EGY|2022|irn|oop</t>
        </is>
      </c>
      <c r="B44" s="5" t="inlineStr">
        <is>
          <t>EGY</t>
        </is>
      </c>
      <c r="C44" s="5" t="n">
        <v>2022</v>
      </c>
      <c r="D44" s="5" t="inlineStr">
        <is>
          <t>irn</t>
        </is>
      </c>
      <c r="E44" s="5" t="inlineStr">
        <is>
          <t>oop</t>
        </is>
      </c>
      <c r="F44" s="5" t="n">
        <v>0</v>
      </c>
      <c r="G44" s="5" t="inlineStr">
        <is>
          <t>Kernel v1.6 Data_Energy = legacy Mitigation rows 583-602</t>
        </is>
      </c>
    </row>
    <row r="45">
      <c r="A45" s="5" t="inlineStr">
        <is>
          <t>EGY|2022|nfm|oop</t>
        </is>
      </c>
      <c r="B45" s="5" t="inlineStr">
        <is>
          <t>EGY</t>
        </is>
      </c>
      <c r="C45" s="5" t="n">
        <v>2022</v>
      </c>
      <c r="D45" s="5" t="inlineStr">
        <is>
          <t>nfm</t>
        </is>
      </c>
      <c r="E45" s="5" t="inlineStr">
        <is>
          <t>oop</t>
        </is>
      </c>
      <c r="F45" s="5" t="n">
        <v>0</v>
      </c>
      <c r="G45" s="5" t="inlineStr">
        <is>
          <t>Kernel v1.6 Data_Energy = legacy Mitigation rows 583-602</t>
        </is>
      </c>
    </row>
    <row r="46">
      <c r="A46" s="5" t="inlineStr">
        <is>
          <t>EGY|2022|mac|oop</t>
        </is>
      </c>
      <c r="B46" s="5" t="inlineStr">
        <is>
          <t>EGY</t>
        </is>
      </c>
      <c r="C46" s="5" t="n">
        <v>2022</v>
      </c>
      <c r="D46" s="5" t="inlineStr">
        <is>
          <t>mac</t>
        </is>
      </c>
      <c r="E46" s="5" t="inlineStr">
        <is>
          <t>oop</t>
        </is>
      </c>
      <c r="F46" s="5" t="n">
        <v>0</v>
      </c>
      <c r="G46" s="5" t="inlineStr">
        <is>
          <t>Kernel v1.6 Data_Energy = legacy Mitigation rows 583-602</t>
        </is>
      </c>
    </row>
    <row r="47">
      <c r="A47" s="5" t="inlineStr">
        <is>
          <t>EGY|2022|cem|oop</t>
        </is>
      </c>
      <c r="B47" s="5" t="inlineStr">
        <is>
          <t>EGY</t>
        </is>
      </c>
      <c r="C47" s="5" t="n">
        <v>2022</v>
      </c>
      <c r="D47" s="5" t="inlineStr">
        <is>
          <t>cem</t>
        </is>
      </c>
      <c r="E47" s="5" t="inlineStr">
        <is>
          <t>oop</t>
        </is>
      </c>
      <c r="F47" s="5" t="n">
        <v>0</v>
      </c>
      <c r="G47" s="5" t="inlineStr">
        <is>
          <t>Kernel v1.6 Data_Energy = legacy Mitigation rows 583-602</t>
        </is>
      </c>
    </row>
    <row r="48">
      <c r="A48" s="5" t="inlineStr">
        <is>
          <t>EGY|2022|omn|oop</t>
        </is>
      </c>
      <c r="B48" s="5" t="inlineStr">
        <is>
          <t>EGY</t>
        </is>
      </c>
      <c r="C48" s="5" t="n">
        <v>2022</v>
      </c>
      <c r="D48" s="5" t="inlineStr">
        <is>
          <t>omn</t>
        </is>
      </c>
      <c r="E48" s="5" t="inlineStr">
        <is>
          <t>oop</t>
        </is>
      </c>
      <c r="F48" s="5" t="n">
        <v>2347.52754403714</v>
      </c>
      <c r="G48" s="5" t="inlineStr">
        <is>
          <t>Kernel v1.6 Data_Energy = legacy Mitigation rows 583-602</t>
        </is>
      </c>
    </row>
    <row r="49">
      <c r="A49" s="5" t="inlineStr">
        <is>
          <t>EGY|2022|cst|oop</t>
        </is>
      </c>
      <c r="B49" s="5" t="inlineStr">
        <is>
          <t>EGY</t>
        </is>
      </c>
      <c r="C49" s="5" t="n">
        <v>2022</v>
      </c>
      <c r="D49" s="5" t="inlineStr">
        <is>
          <t>cst</t>
        </is>
      </c>
      <c r="E49" s="5" t="inlineStr">
        <is>
          <t>oop</t>
        </is>
      </c>
      <c r="F49" s="5" t="n">
        <v>0</v>
      </c>
      <c r="G49" s="5" t="inlineStr">
        <is>
          <t>Kernel v1.6 Data_Energy = legacy Mitigation rows 583-602</t>
        </is>
      </c>
    </row>
    <row r="50">
      <c r="A50" s="5" t="inlineStr">
        <is>
          <t>EGY|2022|ftr|oop</t>
        </is>
      </c>
      <c r="B50" s="5" t="inlineStr">
        <is>
          <t>EGY</t>
        </is>
      </c>
      <c r="C50" s="5" t="n">
        <v>2022</v>
      </c>
      <c r="D50" s="5" t="inlineStr">
        <is>
          <t>ftr</t>
        </is>
      </c>
      <c r="E50" s="5" t="inlineStr">
        <is>
          <t>oop</t>
        </is>
      </c>
      <c r="F50" s="5" t="n">
        <v>293.099212219656</v>
      </c>
      <c r="G50" s="5" t="inlineStr">
        <is>
          <t>Kernel v1.6 Data_Energy = legacy Mitigation rows 583-602</t>
        </is>
      </c>
    </row>
    <row r="51">
      <c r="A51" s="5" t="inlineStr">
        <is>
          <t>EGY|2022|oen|oop</t>
        </is>
      </c>
      <c r="B51" s="5" t="inlineStr">
        <is>
          <t>EGY</t>
        </is>
      </c>
      <c r="C51" s="5" t="n">
        <v>2022</v>
      </c>
      <c r="D51" s="5" t="inlineStr">
        <is>
          <t>oen</t>
        </is>
      </c>
      <c r="E51" s="5" t="inlineStr">
        <is>
          <t>oop</t>
        </is>
      </c>
      <c r="F51" s="5" t="n">
        <v>100.678839675172</v>
      </c>
      <c r="G51" s="5" t="inlineStr">
        <is>
          <t>Kernel v1.6 Data_Energy = legacy Mitigation rows 583-602</t>
        </is>
      </c>
    </row>
    <row r="52">
      <c r="A52" s="5" t="inlineStr">
        <is>
          <t>EGY|2022|rod|gso</t>
        </is>
      </c>
      <c r="B52" s="5" t="inlineStr">
        <is>
          <t>EGY</t>
        </is>
      </c>
      <c r="C52" s="5" t="n">
        <v>2022</v>
      </c>
      <c r="D52" s="5" t="inlineStr">
        <is>
          <t>rod</t>
        </is>
      </c>
      <c r="E52" s="5" t="inlineStr">
        <is>
          <t>gso</t>
        </is>
      </c>
      <c r="F52" s="5" t="n">
        <v>7577.29644334562</v>
      </c>
      <c r="G52" s="5" t="inlineStr">
        <is>
          <t>Kernel v1.6 Data_Energy = legacy Mitigation rows 583-602</t>
        </is>
      </c>
    </row>
    <row r="53">
      <c r="A53" s="5" t="inlineStr">
        <is>
          <t>EGY|2022|ral|gso</t>
        </is>
      </c>
      <c r="B53" s="5" t="inlineStr">
        <is>
          <t>EGY</t>
        </is>
      </c>
      <c r="C53" s="5" t="n">
        <v>2022</v>
      </c>
      <c r="D53" s="5" t="inlineStr">
        <is>
          <t>ral</t>
        </is>
      </c>
      <c r="E53" s="5" t="inlineStr">
        <is>
          <t>gso</t>
        </is>
      </c>
      <c r="F53" s="5" t="n">
        <v>0</v>
      </c>
      <c r="G53" s="5" t="inlineStr">
        <is>
          <t>Kernel v1.6 Data_Energy = legacy Mitigation rows 583-602</t>
        </is>
      </c>
    </row>
    <row r="54">
      <c r="A54" s="5" t="inlineStr">
        <is>
          <t>EGY|2022|avi|gso</t>
        </is>
      </c>
      <c r="B54" s="5" t="inlineStr">
        <is>
          <t>EGY</t>
        </is>
      </c>
      <c r="C54" s="5" t="n">
        <v>2022</v>
      </c>
      <c r="D54" s="5" t="inlineStr">
        <is>
          <t>avi</t>
        </is>
      </c>
      <c r="E54" s="5" t="inlineStr">
        <is>
          <t>gso</t>
        </is>
      </c>
      <c r="F54" s="5" t="n">
        <v>0</v>
      </c>
      <c r="G54" s="5" t="inlineStr">
        <is>
          <t>Kernel v1.6 Data_Energy = legacy Mitigation rows 583-602</t>
        </is>
      </c>
    </row>
    <row r="55">
      <c r="A55" s="5" t="inlineStr">
        <is>
          <t>EGY|2022|nav|gso</t>
        </is>
      </c>
      <c r="B55" s="5" t="inlineStr">
        <is>
          <t>EGY</t>
        </is>
      </c>
      <c r="C55" s="5" t="n">
        <v>2022</v>
      </c>
      <c r="D55" s="5" t="inlineStr">
        <is>
          <t>nav</t>
        </is>
      </c>
      <c r="E55" s="5" t="inlineStr">
        <is>
          <t>gso</t>
        </is>
      </c>
      <c r="F55" s="5" t="n">
        <v>0</v>
      </c>
      <c r="G55" s="5" t="inlineStr">
        <is>
          <t>Kernel v1.6 Data_Energy = legacy Mitigation rows 583-602</t>
        </is>
      </c>
    </row>
    <row r="56">
      <c r="A56" s="5" t="inlineStr">
        <is>
          <t>EGY|2022|res|gso</t>
        </is>
      </c>
      <c r="B56" s="5" t="inlineStr">
        <is>
          <t>EGY</t>
        </is>
      </c>
      <c r="C56" s="5" t="n">
        <v>2022</v>
      </c>
      <c r="D56" s="5" t="inlineStr">
        <is>
          <t>res</t>
        </is>
      </c>
      <c r="E56" s="5" t="inlineStr">
        <is>
          <t>gso</t>
        </is>
      </c>
      <c r="F56" s="5" t="n">
        <v>0</v>
      </c>
      <c r="G56" s="5" t="inlineStr">
        <is>
          <t>Kernel v1.6 Data_Energy = legacy Mitigation rows 583-602</t>
        </is>
      </c>
    </row>
    <row r="57">
      <c r="A57" s="5" t="inlineStr">
        <is>
          <t>EGY|2022|foo|gso</t>
        </is>
      </c>
      <c r="B57" s="5" t="inlineStr">
        <is>
          <t>EGY</t>
        </is>
      </c>
      <c r="C57" s="5" t="n">
        <v>2022</v>
      </c>
      <c r="D57" s="5" t="inlineStr">
        <is>
          <t>foo</t>
        </is>
      </c>
      <c r="E57" s="5" t="inlineStr">
        <is>
          <t>gso</t>
        </is>
      </c>
      <c r="F57" s="5" t="n">
        <v>0</v>
      </c>
      <c r="G57" s="5" t="inlineStr">
        <is>
          <t>Kernel v1.6 Data_Energy = legacy Mitigation rows 583-602</t>
        </is>
      </c>
    </row>
    <row r="58">
      <c r="A58" s="5" t="inlineStr">
        <is>
          <t>EGY|2022|srv|gso</t>
        </is>
      </c>
      <c r="B58" s="5" t="inlineStr">
        <is>
          <t>EGY</t>
        </is>
      </c>
      <c r="C58" s="5" t="n">
        <v>2022</v>
      </c>
      <c r="D58" s="5" t="inlineStr">
        <is>
          <t>srv</t>
        </is>
      </c>
      <c r="E58" s="5" t="inlineStr">
        <is>
          <t>gso</t>
        </is>
      </c>
      <c r="F58" s="5" t="n">
        <v>0</v>
      </c>
      <c r="G58" s="5" t="inlineStr">
        <is>
          <t>Kernel v1.6 Data_Energy = legacy Mitigation rows 583-602</t>
        </is>
      </c>
    </row>
    <row r="59">
      <c r="A59" s="5" t="inlineStr">
        <is>
          <t>EGY|2022|mch|gso</t>
        </is>
      </c>
      <c r="B59" s="5" t="inlineStr">
        <is>
          <t>EGY</t>
        </is>
      </c>
      <c r="C59" s="5" t="n">
        <v>2022</v>
      </c>
      <c r="D59" s="5" t="inlineStr">
        <is>
          <t>mch</t>
        </is>
      </c>
      <c r="E59" s="5" t="inlineStr">
        <is>
          <t>gso</t>
        </is>
      </c>
      <c r="F59" s="5" t="n">
        <v>0</v>
      </c>
      <c r="G59" s="5" t="inlineStr">
        <is>
          <t>Kernel v1.6 Data_Energy = legacy Mitigation rows 583-602</t>
        </is>
      </c>
    </row>
    <row r="60">
      <c r="A60" s="5" t="inlineStr">
        <is>
          <t>EGY|2022|irn|gso</t>
        </is>
      </c>
      <c r="B60" s="5" t="inlineStr">
        <is>
          <t>EGY</t>
        </is>
      </c>
      <c r="C60" s="5" t="n">
        <v>2022</v>
      </c>
      <c r="D60" s="5" t="inlineStr">
        <is>
          <t>irn</t>
        </is>
      </c>
      <c r="E60" s="5" t="inlineStr">
        <is>
          <t>gso</t>
        </is>
      </c>
      <c r="F60" s="5" t="n">
        <v>0</v>
      </c>
      <c r="G60" s="5" t="inlineStr">
        <is>
          <t>Kernel v1.6 Data_Energy = legacy Mitigation rows 583-602</t>
        </is>
      </c>
    </row>
    <row r="61">
      <c r="A61" s="5" t="inlineStr">
        <is>
          <t>EGY|2022|nfm|gso</t>
        </is>
      </c>
      <c r="B61" s="5" t="inlineStr">
        <is>
          <t>EGY</t>
        </is>
      </c>
      <c r="C61" s="5" t="n">
        <v>2022</v>
      </c>
      <c r="D61" s="5" t="inlineStr">
        <is>
          <t>nfm</t>
        </is>
      </c>
      <c r="E61" s="5" t="inlineStr">
        <is>
          <t>gso</t>
        </is>
      </c>
      <c r="F61" s="5" t="n">
        <v>0</v>
      </c>
      <c r="G61" s="5" t="inlineStr">
        <is>
          <t>Kernel v1.6 Data_Energy = legacy Mitigation rows 583-602</t>
        </is>
      </c>
    </row>
    <row r="62">
      <c r="A62" s="5" t="inlineStr">
        <is>
          <t>EGY|2022|mac|gso</t>
        </is>
      </c>
      <c r="B62" s="5" t="inlineStr">
        <is>
          <t>EGY</t>
        </is>
      </c>
      <c r="C62" s="5" t="n">
        <v>2022</v>
      </c>
      <c r="D62" s="5" t="inlineStr">
        <is>
          <t>mac</t>
        </is>
      </c>
      <c r="E62" s="5" t="inlineStr">
        <is>
          <t>gso</t>
        </is>
      </c>
      <c r="F62" s="5" t="n">
        <v>0</v>
      </c>
      <c r="G62" s="5" t="inlineStr">
        <is>
          <t>Kernel v1.6 Data_Energy = legacy Mitigation rows 583-602</t>
        </is>
      </c>
    </row>
    <row r="63">
      <c r="A63" s="5" t="inlineStr">
        <is>
          <t>EGY|2022|cem|gso</t>
        </is>
      </c>
      <c r="B63" s="5" t="inlineStr">
        <is>
          <t>EGY</t>
        </is>
      </c>
      <c r="C63" s="5" t="n">
        <v>2022</v>
      </c>
      <c r="D63" s="5" t="inlineStr">
        <is>
          <t>cem</t>
        </is>
      </c>
      <c r="E63" s="5" t="inlineStr">
        <is>
          <t>gso</t>
        </is>
      </c>
      <c r="F63" s="5" t="n">
        <v>0</v>
      </c>
      <c r="G63" s="5" t="inlineStr">
        <is>
          <t>Kernel v1.6 Data_Energy = legacy Mitigation rows 583-602</t>
        </is>
      </c>
    </row>
    <row r="64">
      <c r="A64" s="5" t="inlineStr">
        <is>
          <t>EGY|2022|omn|gso</t>
        </is>
      </c>
      <c r="B64" s="5" t="inlineStr">
        <is>
          <t>EGY</t>
        </is>
      </c>
      <c r="C64" s="5" t="n">
        <v>2022</v>
      </c>
      <c r="D64" s="5" t="inlineStr">
        <is>
          <t>omn</t>
        </is>
      </c>
      <c r="E64" s="5" t="inlineStr">
        <is>
          <t>gso</t>
        </is>
      </c>
      <c r="F64" s="5" t="n">
        <v>0</v>
      </c>
      <c r="G64" s="5" t="inlineStr">
        <is>
          <t>Kernel v1.6 Data_Energy = legacy Mitigation rows 583-602</t>
        </is>
      </c>
    </row>
    <row r="65">
      <c r="A65" s="5" t="inlineStr">
        <is>
          <t>EGY|2022|cst|gso</t>
        </is>
      </c>
      <c r="B65" s="5" t="inlineStr">
        <is>
          <t>EGY</t>
        </is>
      </c>
      <c r="C65" s="5" t="n">
        <v>2022</v>
      </c>
      <c r="D65" s="5" t="inlineStr">
        <is>
          <t>cst</t>
        </is>
      </c>
      <c r="E65" s="5" t="inlineStr">
        <is>
          <t>gso</t>
        </is>
      </c>
      <c r="F65" s="5" t="n">
        <v>0</v>
      </c>
      <c r="G65" s="5" t="inlineStr">
        <is>
          <t>Kernel v1.6 Data_Energy = legacy Mitigation rows 583-602</t>
        </is>
      </c>
    </row>
    <row r="66">
      <c r="A66" s="5" t="inlineStr">
        <is>
          <t>EGY|2022|ftr|gso</t>
        </is>
      </c>
      <c r="B66" s="5" t="inlineStr">
        <is>
          <t>EGY</t>
        </is>
      </c>
      <c r="C66" s="5" t="n">
        <v>2022</v>
      </c>
      <c r="D66" s="5" t="inlineStr">
        <is>
          <t>ftr</t>
        </is>
      </c>
      <c r="E66" s="5" t="inlineStr">
        <is>
          <t>gso</t>
        </is>
      </c>
      <c r="F66" s="5" t="n">
        <v>0</v>
      </c>
      <c r="G66" s="5" t="inlineStr">
        <is>
          <t>Kernel v1.6 Data_Energy = legacy Mitigation rows 583-602</t>
        </is>
      </c>
    </row>
    <row r="67">
      <c r="A67" s="5" t="inlineStr">
        <is>
          <t>EGY|2022|oen|gso</t>
        </is>
      </c>
      <c r="B67" s="5" t="inlineStr">
        <is>
          <t>EGY</t>
        </is>
      </c>
      <c r="C67" s="5" t="n">
        <v>2022</v>
      </c>
      <c r="D67" s="5" t="inlineStr">
        <is>
          <t>oen</t>
        </is>
      </c>
      <c r="E67" s="5" t="inlineStr">
        <is>
          <t>gso</t>
        </is>
      </c>
      <c r="F67" s="5" t="n">
        <v>0</v>
      </c>
      <c r="G67" s="5" t="inlineStr">
        <is>
          <t>Kernel v1.6 Data_Energy = legacy Mitigation rows 583-602</t>
        </is>
      </c>
    </row>
    <row r="68">
      <c r="A68" s="5" t="inlineStr">
        <is>
          <t>EGY|2022|rod|die</t>
        </is>
      </c>
      <c r="B68" s="5" t="inlineStr">
        <is>
          <t>EGY</t>
        </is>
      </c>
      <c r="C68" s="5" t="n">
        <v>2022</v>
      </c>
      <c r="D68" s="5" t="inlineStr">
        <is>
          <t>rod</t>
        </is>
      </c>
      <c r="E68" s="5" t="inlineStr">
        <is>
          <t>die</t>
        </is>
      </c>
      <c r="F68" s="5" t="n">
        <v>10207.6320601434</v>
      </c>
      <c r="G68" s="5" t="inlineStr">
        <is>
          <t>Kernel v1.6 Data_Energy = legacy Mitigation rows 583-602</t>
        </is>
      </c>
    </row>
    <row r="69">
      <c r="A69" s="5" t="inlineStr">
        <is>
          <t>EGY|2022|ral|die</t>
        </is>
      </c>
      <c r="B69" s="5" t="inlineStr">
        <is>
          <t>EGY</t>
        </is>
      </c>
      <c r="C69" s="5" t="n">
        <v>2022</v>
      </c>
      <c r="D69" s="5" t="inlineStr">
        <is>
          <t>ral</t>
        </is>
      </c>
      <c r="E69" s="5" t="inlineStr">
        <is>
          <t>die</t>
        </is>
      </c>
      <c r="F69" s="5" t="n">
        <v>0</v>
      </c>
      <c r="G69" s="5" t="inlineStr">
        <is>
          <t>Kernel v1.6 Data_Energy = legacy Mitigation rows 583-602</t>
        </is>
      </c>
    </row>
    <row r="70">
      <c r="A70" s="5" t="inlineStr">
        <is>
          <t>EGY|2022|avi|die</t>
        </is>
      </c>
      <c r="B70" s="5" t="inlineStr">
        <is>
          <t>EGY</t>
        </is>
      </c>
      <c r="C70" s="5" t="n">
        <v>2022</v>
      </c>
      <c r="D70" s="5" t="inlineStr">
        <is>
          <t>avi</t>
        </is>
      </c>
      <c r="E70" s="5" t="inlineStr">
        <is>
          <t>die</t>
        </is>
      </c>
      <c r="F70" s="5" t="n">
        <v>0</v>
      </c>
      <c r="G70" s="5" t="inlineStr">
        <is>
          <t>Kernel v1.6 Data_Energy = legacy Mitigation rows 583-602</t>
        </is>
      </c>
    </row>
    <row r="71">
      <c r="A71" s="5" t="inlineStr">
        <is>
          <t>EGY|2022|nav|die</t>
        </is>
      </c>
      <c r="B71" s="5" t="inlineStr">
        <is>
          <t>EGY</t>
        </is>
      </c>
      <c r="C71" s="5" t="n">
        <v>2022</v>
      </c>
      <c r="D71" s="5" t="inlineStr">
        <is>
          <t>nav</t>
        </is>
      </c>
      <c r="E71" s="5" t="inlineStr">
        <is>
          <t>die</t>
        </is>
      </c>
      <c r="F71" s="5" t="n">
        <v>0</v>
      </c>
      <c r="G71" s="5" t="inlineStr">
        <is>
          <t>Kernel v1.6 Data_Energy = legacy Mitigation rows 583-602</t>
        </is>
      </c>
    </row>
    <row r="72">
      <c r="A72" s="5" t="inlineStr">
        <is>
          <t>EGY|2022|res|die</t>
        </is>
      </c>
      <c r="B72" s="5" t="inlineStr">
        <is>
          <t>EGY</t>
        </is>
      </c>
      <c r="C72" s="5" t="n">
        <v>2022</v>
      </c>
      <c r="D72" s="5" t="inlineStr">
        <is>
          <t>res</t>
        </is>
      </c>
      <c r="E72" s="5" t="inlineStr">
        <is>
          <t>die</t>
        </is>
      </c>
      <c r="F72" s="5" t="n">
        <v>0</v>
      </c>
      <c r="G72" s="5" t="inlineStr">
        <is>
          <t>Kernel v1.6 Data_Energy = legacy Mitigation rows 583-602</t>
        </is>
      </c>
    </row>
    <row r="73">
      <c r="A73" s="5" t="inlineStr">
        <is>
          <t>EGY|2022|foo|die</t>
        </is>
      </c>
      <c r="B73" s="5" t="inlineStr">
        <is>
          <t>EGY</t>
        </is>
      </c>
      <c r="C73" s="5" t="n">
        <v>2022</v>
      </c>
      <c r="D73" s="5" t="inlineStr">
        <is>
          <t>foo</t>
        </is>
      </c>
      <c r="E73" s="5" t="inlineStr">
        <is>
          <t>die</t>
        </is>
      </c>
      <c r="F73" s="5" t="n">
        <v>927.0217281782579</v>
      </c>
      <c r="G73" s="5" t="inlineStr">
        <is>
          <t>Kernel v1.6 Data_Energy = legacy Mitigation rows 583-602</t>
        </is>
      </c>
    </row>
    <row r="74">
      <c r="A74" s="5" t="inlineStr">
        <is>
          <t>EGY|2022|srv|die</t>
        </is>
      </c>
      <c r="B74" s="5" t="inlineStr">
        <is>
          <t>EGY</t>
        </is>
      </c>
      <c r="C74" s="5" t="n">
        <v>2022</v>
      </c>
      <c r="D74" s="5" t="inlineStr">
        <is>
          <t>srv</t>
        </is>
      </c>
      <c r="E74" s="5" t="inlineStr">
        <is>
          <t>die</t>
        </is>
      </c>
      <c r="F74" s="5" t="n">
        <v>0</v>
      </c>
      <c r="G74" s="5" t="inlineStr">
        <is>
          <t>Kernel v1.6 Data_Energy = legacy Mitigation rows 583-602</t>
        </is>
      </c>
    </row>
    <row r="75">
      <c r="A75" s="5" t="inlineStr">
        <is>
          <t>EGY|2022|mch|die</t>
        </is>
      </c>
      <c r="B75" s="5" t="inlineStr">
        <is>
          <t>EGY</t>
        </is>
      </c>
      <c r="C75" s="5" t="n">
        <v>2022</v>
      </c>
      <c r="D75" s="5" t="inlineStr">
        <is>
          <t>mch</t>
        </is>
      </c>
      <c r="E75" s="5" t="inlineStr">
        <is>
          <t>die</t>
        </is>
      </c>
      <c r="F75" s="5" t="n">
        <v>0</v>
      </c>
      <c r="G75" s="5" t="inlineStr">
        <is>
          <t>Kernel v1.6 Data_Energy = legacy Mitigation rows 583-602</t>
        </is>
      </c>
    </row>
    <row r="76">
      <c r="A76" s="5" t="inlineStr">
        <is>
          <t>EGY|2022|irn|die</t>
        </is>
      </c>
      <c r="B76" s="5" t="inlineStr">
        <is>
          <t>EGY</t>
        </is>
      </c>
      <c r="C76" s="5" t="n">
        <v>2022</v>
      </c>
      <c r="D76" s="5" t="inlineStr">
        <is>
          <t>irn</t>
        </is>
      </c>
      <c r="E76" s="5" t="inlineStr">
        <is>
          <t>die</t>
        </is>
      </c>
      <c r="F76" s="5" t="n">
        <v>0</v>
      </c>
      <c r="G76" s="5" t="inlineStr">
        <is>
          <t>Kernel v1.6 Data_Energy = legacy Mitigation rows 583-602</t>
        </is>
      </c>
    </row>
    <row r="77">
      <c r="A77" s="5" t="inlineStr">
        <is>
          <t>EGY|2022|nfm|die</t>
        </is>
      </c>
      <c r="B77" s="5" t="inlineStr">
        <is>
          <t>EGY</t>
        </is>
      </c>
      <c r="C77" s="5" t="n">
        <v>2022</v>
      </c>
      <c r="D77" s="5" t="inlineStr">
        <is>
          <t>nfm</t>
        </is>
      </c>
      <c r="E77" s="5" t="inlineStr">
        <is>
          <t>die</t>
        </is>
      </c>
      <c r="F77" s="5" t="n">
        <v>0</v>
      </c>
      <c r="G77" s="5" t="inlineStr">
        <is>
          <t>Kernel v1.6 Data_Energy = legacy Mitigation rows 583-602</t>
        </is>
      </c>
    </row>
    <row r="78">
      <c r="A78" s="5" t="inlineStr">
        <is>
          <t>EGY|2022|mac|die</t>
        </is>
      </c>
      <c r="B78" s="5" t="inlineStr">
        <is>
          <t>EGY</t>
        </is>
      </c>
      <c r="C78" s="5" t="n">
        <v>2022</v>
      </c>
      <c r="D78" s="5" t="inlineStr">
        <is>
          <t>mac</t>
        </is>
      </c>
      <c r="E78" s="5" t="inlineStr">
        <is>
          <t>die</t>
        </is>
      </c>
      <c r="F78" s="5" t="n">
        <v>0</v>
      </c>
      <c r="G78" s="5" t="inlineStr">
        <is>
          <t>Kernel v1.6 Data_Energy = legacy Mitigation rows 583-602</t>
        </is>
      </c>
    </row>
    <row r="79">
      <c r="A79" s="5" t="inlineStr">
        <is>
          <t>EGY|2022|cem|die</t>
        </is>
      </c>
      <c r="B79" s="5" t="inlineStr">
        <is>
          <t>EGY</t>
        </is>
      </c>
      <c r="C79" s="5" t="n">
        <v>2022</v>
      </c>
      <c r="D79" s="5" t="inlineStr">
        <is>
          <t>cem</t>
        </is>
      </c>
      <c r="E79" s="5" t="inlineStr">
        <is>
          <t>die</t>
        </is>
      </c>
      <c r="F79" s="5" t="n">
        <v>0</v>
      </c>
      <c r="G79" s="5" t="inlineStr">
        <is>
          <t>Kernel v1.6 Data_Energy = legacy Mitigation rows 583-602</t>
        </is>
      </c>
    </row>
    <row r="80">
      <c r="A80" s="5" t="inlineStr">
        <is>
          <t>EGY|2022|omn|die</t>
        </is>
      </c>
      <c r="B80" s="5" t="inlineStr">
        <is>
          <t>EGY</t>
        </is>
      </c>
      <c r="C80" s="5" t="n">
        <v>2022</v>
      </c>
      <c r="D80" s="5" t="inlineStr">
        <is>
          <t>omn</t>
        </is>
      </c>
      <c r="E80" s="5" t="inlineStr">
        <is>
          <t>die</t>
        </is>
      </c>
      <c r="F80" s="5" t="n">
        <v>3819.23416175079</v>
      </c>
      <c r="G80" s="5" t="inlineStr">
        <is>
          <t>Kernel v1.6 Data_Energy = legacy Mitigation rows 583-602</t>
        </is>
      </c>
    </row>
    <row r="81">
      <c r="A81" s="5" t="inlineStr">
        <is>
          <t>EGY|2022|cst|die</t>
        </is>
      </c>
      <c r="B81" s="5" t="inlineStr">
        <is>
          <t>EGY</t>
        </is>
      </c>
      <c r="C81" s="5" t="n">
        <v>2022</v>
      </c>
      <c r="D81" s="5" t="inlineStr">
        <is>
          <t>cst</t>
        </is>
      </c>
      <c r="E81" s="5" t="inlineStr">
        <is>
          <t>die</t>
        </is>
      </c>
      <c r="F81" s="5" t="n">
        <v>0</v>
      </c>
      <c r="G81" s="5" t="inlineStr">
        <is>
          <t>Kernel v1.6 Data_Energy = legacy Mitigation rows 583-602</t>
        </is>
      </c>
    </row>
    <row r="82">
      <c r="A82" s="5" t="inlineStr">
        <is>
          <t>EGY|2022|ftr|die</t>
        </is>
      </c>
      <c r="B82" s="5" t="inlineStr">
        <is>
          <t>EGY</t>
        </is>
      </c>
      <c r="C82" s="5" t="n">
        <v>2022</v>
      </c>
      <c r="D82" s="5" t="inlineStr">
        <is>
          <t>ftr</t>
        </is>
      </c>
      <c r="E82" s="5" t="inlineStr">
        <is>
          <t>die</t>
        </is>
      </c>
      <c r="F82" s="5" t="n">
        <v>824.800093567561</v>
      </c>
      <c r="G82" s="5" t="inlineStr">
        <is>
          <t>Kernel v1.6 Data_Energy = legacy Mitigation rows 583-602</t>
        </is>
      </c>
    </row>
    <row r="83">
      <c r="A83" s="5" t="inlineStr">
        <is>
          <t>EGY|2022|oen|die</t>
        </is>
      </c>
      <c r="B83" s="5" t="inlineStr">
        <is>
          <t>EGY</t>
        </is>
      </c>
      <c r="C83" s="5" t="n">
        <v>2022</v>
      </c>
      <c r="D83" s="5" t="inlineStr">
        <is>
          <t>oen</t>
        </is>
      </c>
      <c r="E83" s="5" t="inlineStr">
        <is>
          <t>die</t>
        </is>
      </c>
      <c r="F83" s="5" t="n">
        <v>0</v>
      </c>
      <c r="G83" s="5" t="inlineStr">
        <is>
          <t>Kernel v1.6 Data_Energy = legacy Mitigation rows 583-602</t>
        </is>
      </c>
    </row>
    <row r="84">
      <c r="A84" s="5" t="inlineStr">
        <is>
          <t>EGY|2022|rod|ker</t>
        </is>
      </c>
      <c r="B84" s="5" t="inlineStr">
        <is>
          <t>EGY</t>
        </is>
      </c>
      <c r="C84" s="5" t="n">
        <v>2022</v>
      </c>
      <c r="D84" s="5" t="inlineStr">
        <is>
          <t>rod</t>
        </is>
      </c>
      <c r="E84" s="5" t="inlineStr">
        <is>
          <t>ker</t>
        </is>
      </c>
      <c r="F84" s="5" t="n">
        <v>0</v>
      </c>
      <c r="G84" s="5" t="inlineStr">
        <is>
          <t>Kernel v1.6 Data_Energy = legacy Mitigation rows 583-602</t>
        </is>
      </c>
    </row>
    <row r="85">
      <c r="A85" s="5" t="inlineStr">
        <is>
          <t>EGY|2022|ral|ker</t>
        </is>
      </c>
      <c r="B85" s="5" t="inlineStr">
        <is>
          <t>EGY</t>
        </is>
      </c>
      <c r="C85" s="5" t="n">
        <v>2022</v>
      </c>
      <c r="D85" s="5" t="inlineStr">
        <is>
          <t>ral</t>
        </is>
      </c>
      <c r="E85" s="5" t="inlineStr">
        <is>
          <t>ker</t>
        </is>
      </c>
      <c r="F85" s="5" t="n">
        <v>0</v>
      </c>
      <c r="G85" s="5" t="inlineStr">
        <is>
          <t>Kernel v1.6 Data_Energy = legacy Mitigation rows 583-602</t>
        </is>
      </c>
    </row>
    <row r="86">
      <c r="A86" s="5" t="inlineStr">
        <is>
          <t>EGY|2022|avi|ker</t>
        </is>
      </c>
      <c r="B86" s="5" t="inlineStr">
        <is>
          <t>EGY</t>
        </is>
      </c>
      <c r="C86" s="5" t="n">
        <v>2022</v>
      </c>
      <c r="D86" s="5" t="inlineStr">
        <is>
          <t>avi</t>
        </is>
      </c>
      <c r="E86" s="5" t="inlineStr">
        <is>
          <t>ker</t>
        </is>
      </c>
      <c r="F86" s="5" t="n">
        <v>0</v>
      </c>
      <c r="G86" s="5" t="inlineStr">
        <is>
          <t>Kernel v1.6 Data_Energy = legacy Mitigation rows 583-602</t>
        </is>
      </c>
    </row>
    <row r="87">
      <c r="A87" s="5" t="inlineStr">
        <is>
          <t>EGY|2022|nav|ker</t>
        </is>
      </c>
      <c r="B87" s="5" t="inlineStr">
        <is>
          <t>EGY</t>
        </is>
      </c>
      <c r="C87" s="5" t="n">
        <v>2022</v>
      </c>
      <c r="D87" s="5" t="inlineStr">
        <is>
          <t>nav</t>
        </is>
      </c>
      <c r="E87" s="5" t="inlineStr">
        <is>
          <t>ker</t>
        </is>
      </c>
      <c r="F87" s="5" t="n">
        <v>0</v>
      </c>
      <c r="G87" s="5" t="inlineStr">
        <is>
          <t>Kernel v1.6 Data_Energy = legacy Mitigation rows 583-602</t>
        </is>
      </c>
    </row>
    <row r="88">
      <c r="A88" s="5" t="inlineStr">
        <is>
          <t>EGY|2022|res|ker</t>
        </is>
      </c>
      <c r="B88" s="5" t="inlineStr">
        <is>
          <t>EGY</t>
        </is>
      </c>
      <c r="C88" s="5" t="n">
        <v>2022</v>
      </c>
      <c r="D88" s="5" t="inlineStr">
        <is>
          <t>res</t>
        </is>
      </c>
      <c r="E88" s="5" t="inlineStr">
        <is>
          <t>ker</t>
        </is>
      </c>
      <c r="F88" s="5" t="n">
        <v>2.76900540691173</v>
      </c>
      <c r="G88" s="5" t="inlineStr">
        <is>
          <t>Kernel v1.6 Data_Energy = legacy Mitigation rows 583-602</t>
        </is>
      </c>
    </row>
    <row r="89">
      <c r="A89" s="5" t="inlineStr">
        <is>
          <t>EGY|2022|foo|ker</t>
        </is>
      </c>
      <c r="B89" s="5" t="inlineStr">
        <is>
          <t>EGY</t>
        </is>
      </c>
      <c r="C89" s="5" t="n">
        <v>2022</v>
      </c>
      <c r="D89" s="5" t="inlineStr">
        <is>
          <t>foo</t>
        </is>
      </c>
      <c r="E89" s="5" t="inlineStr">
        <is>
          <t>ker</t>
        </is>
      </c>
      <c r="F89" s="5" t="n">
        <v>0.344296494287579</v>
      </c>
      <c r="G89" s="5" t="inlineStr">
        <is>
          <t>Kernel v1.6 Data_Energy = legacy Mitigation rows 583-602</t>
        </is>
      </c>
    </row>
    <row r="90">
      <c r="A90" s="5" t="inlineStr">
        <is>
          <t>EGY|2022|srv|ker</t>
        </is>
      </c>
      <c r="B90" s="5" t="inlineStr">
        <is>
          <t>EGY</t>
        </is>
      </c>
      <c r="C90" s="5" t="n">
        <v>2022</v>
      </c>
      <c r="D90" s="5" t="inlineStr">
        <is>
          <t>srv</t>
        </is>
      </c>
      <c r="E90" s="5" t="inlineStr">
        <is>
          <t>ker</t>
        </is>
      </c>
      <c r="F90" s="5" t="n">
        <v>0</v>
      </c>
      <c r="G90" s="5" t="inlineStr">
        <is>
          <t>Kernel v1.6 Data_Energy = legacy Mitigation rows 583-602</t>
        </is>
      </c>
    </row>
    <row r="91">
      <c r="A91" s="5" t="inlineStr">
        <is>
          <t>EGY|2022|mch|ker</t>
        </is>
      </c>
      <c r="B91" s="5" t="inlineStr">
        <is>
          <t>EGY</t>
        </is>
      </c>
      <c r="C91" s="5" t="n">
        <v>2022</v>
      </c>
      <c r="D91" s="5" t="inlineStr">
        <is>
          <t>mch</t>
        </is>
      </c>
      <c r="E91" s="5" t="inlineStr">
        <is>
          <t>ker</t>
        </is>
      </c>
      <c r="F91" s="5" t="n">
        <v>0</v>
      </c>
      <c r="G91" s="5" t="inlineStr">
        <is>
          <t>Kernel v1.6 Data_Energy = legacy Mitigation rows 583-602</t>
        </is>
      </c>
    </row>
    <row r="92">
      <c r="A92" s="5" t="inlineStr">
        <is>
          <t>EGY|2022|irn|ker</t>
        </is>
      </c>
      <c r="B92" s="5" t="inlineStr">
        <is>
          <t>EGY</t>
        </is>
      </c>
      <c r="C92" s="5" t="n">
        <v>2022</v>
      </c>
      <c r="D92" s="5" t="inlineStr">
        <is>
          <t>irn</t>
        </is>
      </c>
      <c r="E92" s="5" t="inlineStr">
        <is>
          <t>ker</t>
        </is>
      </c>
      <c r="F92" s="5" t="n">
        <v>0</v>
      </c>
      <c r="G92" s="5" t="inlineStr">
        <is>
          <t>Kernel v1.6 Data_Energy = legacy Mitigation rows 583-602</t>
        </is>
      </c>
    </row>
    <row r="93">
      <c r="A93" s="5" t="inlineStr">
        <is>
          <t>EGY|2022|nfm|ker</t>
        </is>
      </c>
      <c r="B93" s="5" t="inlineStr">
        <is>
          <t>EGY</t>
        </is>
      </c>
      <c r="C93" s="5" t="n">
        <v>2022</v>
      </c>
      <c r="D93" s="5" t="inlineStr">
        <is>
          <t>nfm</t>
        </is>
      </c>
      <c r="E93" s="5" t="inlineStr">
        <is>
          <t>ker</t>
        </is>
      </c>
      <c r="F93" s="5" t="n">
        <v>0</v>
      </c>
      <c r="G93" s="5" t="inlineStr">
        <is>
          <t>Kernel v1.6 Data_Energy = legacy Mitigation rows 583-602</t>
        </is>
      </c>
    </row>
    <row r="94">
      <c r="A94" s="5" t="inlineStr">
        <is>
          <t>EGY|2022|mac|ker</t>
        </is>
      </c>
      <c r="B94" s="5" t="inlineStr">
        <is>
          <t>EGY</t>
        </is>
      </c>
      <c r="C94" s="5" t="n">
        <v>2022</v>
      </c>
      <c r="D94" s="5" t="inlineStr">
        <is>
          <t>mac</t>
        </is>
      </c>
      <c r="E94" s="5" t="inlineStr">
        <is>
          <t>ker</t>
        </is>
      </c>
      <c r="F94" s="5" t="n">
        <v>0</v>
      </c>
      <c r="G94" s="5" t="inlineStr">
        <is>
          <t>Kernel v1.6 Data_Energy = legacy Mitigation rows 583-602</t>
        </is>
      </c>
    </row>
    <row r="95">
      <c r="A95" s="5" t="inlineStr">
        <is>
          <t>EGY|2022|cem|ker</t>
        </is>
      </c>
      <c r="B95" s="5" t="inlineStr">
        <is>
          <t>EGY</t>
        </is>
      </c>
      <c r="C95" s="5" t="n">
        <v>2022</v>
      </c>
      <c r="D95" s="5" t="inlineStr">
        <is>
          <t>cem</t>
        </is>
      </c>
      <c r="E95" s="5" t="inlineStr">
        <is>
          <t>ker</t>
        </is>
      </c>
      <c r="F95" s="5" t="n">
        <v>0</v>
      </c>
      <c r="G95" s="5" t="inlineStr">
        <is>
          <t>Kernel v1.6 Data_Energy = legacy Mitigation rows 583-602</t>
        </is>
      </c>
    </row>
    <row r="96">
      <c r="A96" s="5" t="inlineStr">
        <is>
          <t>EGY|2022|omn|ker</t>
        </is>
      </c>
      <c r="B96" s="5" t="inlineStr">
        <is>
          <t>EGY</t>
        </is>
      </c>
      <c r="C96" s="5" t="n">
        <v>2022</v>
      </c>
      <c r="D96" s="5" t="inlineStr">
        <is>
          <t>omn</t>
        </is>
      </c>
      <c r="E96" s="5" t="inlineStr">
        <is>
          <t>ker</t>
        </is>
      </c>
      <c r="F96" s="5" t="n">
        <v>4.38372614857524</v>
      </c>
      <c r="G96" s="5" t="inlineStr">
        <is>
          <t>Kernel v1.6 Data_Energy = legacy Mitigation rows 583-602</t>
        </is>
      </c>
    </row>
    <row r="97">
      <c r="A97" s="5" t="inlineStr">
        <is>
          <t>EGY|2022|cst|ker</t>
        </is>
      </c>
      <c r="B97" s="5" t="inlineStr">
        <is>
          <t>EGY</t>
        </is>
      </c>
      <c r="C97" s="5" t="n">
        <v>2022</v>
      </c>
      <c r="D97" s="5" t="inlineStr">
        <is>
          <t>cst</t>
        </is>
      </c>
      <c r="E97" s="5" t="inlineStr">
        <is>
          <t>ker</t>
        </is>
      </c>
      <c r="F97" s="5" t="n">
        <v>0</v>
      </c>
      <c r="G97" s="5" t="inlineStr">
        <is>
          <t>Kernel v1.6 Data_Energy = legacy Mitigation rows 583-602</t>
        </is>
      </c>
    </row>
    <row r="98">
      <c r="A98" s="5" t="inlineStr">
        <is>
          <t>EGY|2022|ftr|ker</t>
        </is>
      </c>
      <c r="B98" s="5" t="inlineStr">
        <is>
          <t>EGY</t>
        </is>
      </c>
      <c r="C98" s="5" t="n">
        <v>2022</v>
      </c>
      <c r="D98" s="5" t="inlineStr">
        <is>
          <t>ftr</t>
        </is>
      </c>
      <c r="E98" s="5" t="inlineStr">
        <is>
          <t>ker</t>
        </is>
      </c>
      <c r="F98" s="5" t="n">
        <v>0</v>
      </c>
      <c r="G98" s="5" t="inlineStr">
        <is>
          <t>Kernel v1.6 Data_Energy = legacy Mitigation rows 583-602</t>
        </is>
      </c>
    </row>
    <row r="99">
      <c r="A99" s="5" t="inlineStr">
        <is>
          <t>EGY|2022|oen|ker</t>
        </is>
      </c>
      <c r="B99" s="5" t="inlineStr">
        <is>
          <t>EGY</t>
        </is>
      </c>
      <c r="C99" s="5" t="n">
        <v>2022</v>
      </c>
      <c r="D99" s="5" t="inlineStr">
        <is>
          <t>oen</t>
        </is>
      </c>
      <c r="E99" s="5" t="inlineStr">
        <is>
          <t>ker</t>
        </is>
      </c>
      <c r="F99" s="5" t="n">
        <v>0</v>
      </c>
      <c r="G99" s="5" t="inlineStr">
        <is>
          <t>Kernel v1.6 Data_Energy = legacy Mitigation rows 583-602</t>
        </is>
      </c>
    </row>
    <row r="100">
      <c r="A100" s="5" t="inlineStr">
        <is>
          <t>EGY|2022|rod|lpg</t>
        </is>
      </c>
      <c r="B100" s="5" t="inlineStr">
        <is>
          <t>EGY</t>
        </is>
      </c>
      <c r="C100" s="5" t="n">
        <v>2022</v>
      </c>
      <c r="D100" s="5" t="inlineStr">
        <is>
          <t>rod</t>
        </is>
      </c>
      <c r="E100" s="5" t="inlineStr">
        <is>
          <t>lpg</t>
        </is>
      </c>
      <c r="F100" s="5" t="n">
        <v>0</v>
      </c>
      <c r="G100" s="5" t="inlineStr">
        <is>
          <t>Kernel v1.6 Data_Energy = legacy Mitigation rows 583-602</t>
        </is>
      </c>
    </row>
    <row r="101">
      <c r="A101" s="5" t="inlineStr">
        <is>
          <t>EGY|2022|ral|lpg</t>
        </is>
      </c>
      <c r="B101" s="5" t="inlineStr">
        <is>
          <t>EGY</t>
        </is>
      </c>
      <c r="C101" s="5" t="n">
        <v>2022</v>
      </c>
      <c r="D101" s="5" t="inlineStr">
        <is>
          <t>ral</t>
        </is>
      </c>
      <c r="E101" s="5" t="inlineStr">
        <is>
          <t>lpg</t>
        </is>
      </c>
      <c r="F101" s="5" t="n">
        <v>0</v>
      </c>
      <c r="G101" s="5" t="inlineStr">
        <is>
          <t>Kernel v1.6 Data_Energy = legacy Mitigation rows 583-602</t>
        </is>
      </c>
    </row>
    <row r="102">
      <c r="A102" s="5" t="inlineStr">
        <is>
          <t>EGY|2022|avi|lpg</t>
        </is>
      </c>
      <c r="B102" s="5" t="inlineStr">
        <is>
          <t>EGY</t>
        </is>
      </c>
      <c r="C102" s="5" t="n">
        <v>2022</v>
      </c>
      <c r="D102" s="5" t="inlineStr">
        <is>
          <t>avi</t>
        </is>
      </c>
      <c r="E102" s="5" t="inlineStr">
        <is>
          <t>lpg</t>
        </is>
      </c>
      <c r="F102" s="5" t="n">
        <v>0</v>
      </c>
      <c r="G102" s="5" t="inlineStr">
        <is>
          <t>Kernel v1.6 Data_Energy = legacy Mitigation rows 583-602</t>
        </is>
      </c>
    </row>
    <row r="103">
      <c r="A103" s="5" t="inlineStr">
        <is>
          <t>EGY|2022|nav|lpg</t>
        </is>
      </c>
      <c r="B103" s="5" t="inlineStr">
        <is>
          <t>EGY</t>
        </is>
      </c>
      <c r="C103" s="5" t="n">
        <v>2022</v>
      </c>
      <c r="D103" s="5" t="inlineStr">
        <is>
          <t>nav</t>
        </is>
      </c>
      <c r="E103" s="5" t="inlineStr">
        <is>
          <t>lpg</t>
        </is>
      </c>
      <c r="F103" s="5" t="n">
        <v>0</v>
      </c>
      <c r="G103" s="5" t="inlineStr">
        <is>
          <t>Kernel v1.6 Data_Energy = legacy Mitigation rows 583-602</t>
        </is>
      </c>
    </row>
    <row r="104">
      <c r="A104" s="5" t="inlineStr">
        <is>
          <t>EGY|2022|res|lpg</t>
        </is>
      </c>
      <c r="B104" s="5" t="inlineStr">
        <is>
          <t>EGY</t>
        </is>
      </c>
      <c r="C104" s="5" t="n">
        <v>2022</v>
      </c>
      <c r="D104" s="5" t="inlineStr">
        <is>
          <t>res</t>
        </is>
      </c>
      <c r="E104" s="5" t="inlineStr">
        <is>
          <t>lpg</t>
        </is>
      </c>
      <c r="F104" s="5" t="n">
        <v>3182.2559195641</v>
      </c>
      <c r="G104" s="5" t="inlineStr">
        <is>
          <t>Kernel v1.6 Data_Energy = legacy Mitigation rows 583-602</t>
        </is>
      </c>
    </row>
    <row r="105">
      <c r="A105" s="5" t="inlineStr">
        <is>
          <t>EGY|2022|foo|lpg</t>
        </is>
      </c>
      <c r="B105" s="5" t="inlineStr">
        <is>
          <t>EGY</t>
        </is>
      </c>
      <c r="C105" s="5" t="n">
        <v>2022</v>
      </c>
      <c r="D105" s="5" t="inlineStr">
        <is>
          <t>foo</t>
        </is>
      </c>
      <c r="E105" s="5" t="inlineStr">
        <is>
          <t>lpg</t>
        </is>
      </c>
      <c r="F105" s="5" t="n">
        <v>0</v>
      </c>
      <c r="G105" s="5" t="inlineStr">
        <is>
          <t>Kernel v1.6 Data_Energy = legacy Mitigation rows 583-602</t>
        </is>
      </c>
    </row>
    <row r="106">
      <c r="A106" s="5" t="inlineStr">
        <is>
          <t>EGY|2022|srv|lpg</t>
        </is>
      </c>
      <c r="B106" s="5" t="inlineStr">
        <is>
          <t>EGY</t>
        </is>
      </c>
      <c r="C106" s="5" t="n">
        <v>2022</v>
      </c>
      <c r="D106" s="5" t="inlineStr">
        <is>
          <t>srv</t>
        </is>
      </c>
      <c r="E106" s="5" t="inlineStr">
        <is>
          <t>lpg</t>
        </is>
      </c>
      <c r="F106" s="5" t="n">
        <v>0</v>
      </c>
      <c r="G106" s="5" t="inlineStr">
        <is>
          <t>Kernel v1.6 Data_Energy = legacy Mitigation rows 583-602</t>
        </is>
      </c>
    </row>
    <row r="107">
      <c r="A107" s="5" t="inlineStr">
        <is>
          <t>EGY|2022|mch|lpg</t>
        </is>
      </c>
      <c r="B107" s="5" t="inlineStr">
        <is>
          <t>EGY</t>
        </is>
      </c>
      <c r="C107" s="5" t="n">
        <v>2022</v>
      </c>
      <c r="D107" s="5" t="inlineStr">
        <is>
          <t>mch</t>
        </is>
      </c>
      <c r="E107" s="5" t="inlineStr">
        <is>
          <t>lpg</t>
        </is>
      </c>
      <c r="F107" s="5" t="n">
        <v>0</v>
      </c>
      <c r="G107" s="5" t="inlineStr">
        <is>
          <t>Kernel v1.6 Data_Energy = legacy Mitigation rows 583-602</t>
        </is>
      </c>
    </row>
    <row r="108">
      <c r="A108" s="5" t="inlineStr">
        <is>
          <t>EGY|2022|irn|lpg</t>
        </is>
      </c>
      <c r="B108" s="5" t="inlineStr">
        <is>
          <t>EGY</t>
        </is>
      </c>
      <c r="C108" s="5" t="n">
        <v>2022</v>
      </c>
      <c r="D108" s="5" t="inlineStr">
        <is>
          <t>irn</t>
        </is>
      </c>
      <c r="E108" s="5" t="inlineStr">
        <is>
          <t>lpg</t>
        </is>
      </c>
      <c r="F108" s="5" t="n">
        <v>0</v>
      </c>
      <c r="G108" s="5" t="inlineStr">
        <is>
          <t>Kernel v1.6 Data_Energy = legacy Mitigation rows 583-602</t>
        </is>
      </c>
    </row>
    <row r="109">
      <c r="A109" s="5" t="inlineStr">
        <is>
          <t>EGY|2022|nfm|lpg</t>
        </is>
      </c>
      <c r="B109" s="5" t="inlineStr">
        <is>
          <t>EGY</t>
        </is>
      </c>
      <c r="C109" s="5" t="n">
        <v>2022</v>
      </c>
      <c r="D109" s="5" t="inlineStr">
        <is>
          <t>nfm</t>
        </is>
      </c>
      <c r="E109" s="5" t="inlineStr">
        <is>
          <t>lpg</t>
        </is>
      </c>
      <c r="F109" s="5" t="n">
        <v>0</v>
      </c>
      <c r="G109" s="5" t="inlineStr">
        <is>
          <t>Kernel v1.6 Data_Energy = legacy Mitigation rows 583-602</t>
        </is>
      </c>
    </row>
    <row r="110">
      <c r="A110" s="5" t="inlineStr">
        <is>
          <t>EGY|2022|mac|lpg</t>
        </is>
      </c>
      <c r="B110" s="5" t="inlineStr">
        <is>
          <t>EGY</t>
        </is>
      </c>
      <c r="C110" s="5" t="n">
        <v>2022</v>
      </c>
      <c r="D110" s="5" t="inlineStr">
        <is>
          <t>mac</t>
        </is>
      </c>
      <c r="E110" s="5" t="inlineStr">
        <is>
          <t>lpg</t>
        </is>
      </c>
      <c r="F110" s="5" t="n">
        <v>0</v>
      </c>
      <c r="G110" s="5" t="inlineStr">
        <is>
          <t>Kernel v1.6 Data_Energy = legacy Mitigation rows 583-602</t>
        </is>
      </c>
    </row>
    <row r="111">
      <c r="A111" s="5" t="inlineStr">
        <is>
          <t>EGY|2022|cem|lpg</t>
        </is>
      </c>
      <c r="B111" s="5" t="inlineStr">
        <is>
          <t>EGY</t>
        </is>
      </c>
      <c r="C111" s="5" t="n">
        <v>2022</v>
      </c>
      <c r="D111" s="5" t="inlineStr">
        <is>
          <t>cem</t>
        </is>
      </c>
      <c r="E111" s="5" t="inlineStr">
        <is>
          <t>lpg</t>
        </is>
      </c>
      <c r="F111" s="5" t="n">
        <v>0</v>
      </c>
      <c r="G111" s="5" t="inlineStr">
        <is>
          <t>Kernel v1.6 Data_Energy = legacy Mitigation rows 583-602</t>
        </is>
      </c>
    </row>
    <row r="112">
      <c r="A112" s="5" t="inlineStr">
        <is>
          <t>EGY|2022|omn|lpg</t>
        </is>
      </c>
      <c r="B112" s="5" t="inlineStr">
        <is>
          <t>EGY</t>
        </is>
      </c>
      <c r="C112" s="5" t="n">
        <v>2022</v>
      </c>
      <c r="D112" s="5" t="inlineStr">
        <is>
          <t>omn</t>
        </is>
      </c>
      <c r="E112" s="5" t="inlineStr">
        <is>
          <t>lpg</t>
        </is>
      </c>
      <c r="F112" s="5" t="n">
        <v>17.4320828436885</v>
      </c>
      <c r="G112" s="5" t="inlineStr">
        <is>
          <t>Kernel v1.6 Data_Energy = legacy Mitigation rows 583-602</t>
        </is>
      </c>
    </row>
    <row r="113">
      <c r="A113" s="5" t="inlineStr">
        <is>
          <t>EGY|2022|cst|lpg</t>
        </is>
      </c>
      <c r="B113" s="5" t="inlineStr">
        <is>
          <t>EGY</t>
        </is>
      </c>
      <c r="C113" s="5" t="n">
        <v>2022</v>
      </c>
      <c r="D113" s="5" t="inlineStr">
        <is>
          <t>cst</t>
        </is>
      </c>
      <c r="E113" s="5" t="inlineStr">
        <is>
          <t>lpg</t>
        </is>
      </c>
      <c r="F113" s="5" t="n">
        <v>0</v>
      </c>
      <c r="G113" s="5" t="inlineStr">
        <is>
          <t>Kernel v1.6 Data_Energy = legacy Mitigation rows 583-602</t>
        </is>
      </c>
    </row>
    <row r="114">
      <c r="A114" s="5" t="inlineStr">
        <is>
          <t>EGY|2022|ftr|lpg</t>
        </is>
      </c>
      <c r="B114" s="5" t="inlineStr">
        <is>
          <t>EGY</t>
        </is>
      </c>
      <c r="C114" s="5" t="n">
        <v>2022</v>
      </c>
      <c r="D114" s="5" t="inlineStr">
        <is>
          <t>ftr</t>
        </is>
      </c>
      <c r="E114" s="5" t="inlineStr">
        <is>
          <t>lpg</t>
        </is>
      </c>
      <c r="F114" s="5" t="n">
        <v>2465.7623559049</v>
      </c>
      <c r="G114" s="5" t="inlineStr">
        <is>
          <t>Kernel v1.6 Data_Energy = legacy Mitigation rows 583-602</t>
        </is>
      </c>
    </row>
    <row r="115">
      <c r="A115" s="5" t="inlineStr">
        <is>
          <t>EGY|2022|oen|lpg</t>
        </is>
      </c>
      <c r="B115" s="5" t="inlineStr">
        <is>
          <t>EGY</t>
        </is>
      </c>
      <c r="C115" s="5" t="n">
        <v>2022</v>
      </c>
      <c r="D115" s="5" t="inlineStr">
        <is>
          <t>oen</t>
        </is>
      </c>
      <c r="E115" s="5" t="inlineStr">
        <is>
          <t>lpg</t>
        </is>
      </c>
      <c r="F115" s="5" t="n">
        <v>0</v>
      </c>
      <c r="G115" s="5" t="inlineStr">
        <is>
          <t>Kernel v1.6 Data_Energy = legacy Mitigation rows 583-602</t>
        </is>
      </c>
    </row>
    <row r="116">
      <c r="A116" s="5" t="inlineStr">
        <is>
          <t>EGY|2022|rod|bio</t>
        </is>
      </c>
      <c r="B116" s="5" t="inlineStr">
        <is>
          <t>EGY</t>
        </is>
      </c>
      <c r="C116" s="5" t="n">
        <v>2022</v>
      </c>
      <c r="D116" s="5" t="inlineStr">
        <is>
          <t>rod</t>
        </is>
      </c>
      <c r="E116" s="5" t="inlineStr">
        <is>
          <t>bio</t>
        </is>
      </c>
      <c r="F116" s="5" t="n">
        <v>0</v>
      </c>
      <c r="G116" s="5" t="inlineStr">
        <is>
          <t>Kernel v1.6 Data_Energy = legacy Mitigation rows 583-602</t>
        </is>
      </c>
    </row>
    <row r="117">
      <c r="A117" s="5" t="inlineStr">
        <is>
          <t>EGY|2022|ral|bio</t>
        </is>
      </c>
      <c r="B117" s="5" t="inlineStr">
        <is>
          <t>EGY</t>
        </is>
      </c>
      <c r="C117" s="5" t="n">
        <v>2022</v>
      </c>
      <c r="D117" s="5" t="inlineStr">
        <is>
          <t>ral</t>
        </is>
      </c>
      <c r="E117" s="5" t="inlineStr">
        <is>
          <t>bio</t>
        </is>
      </c>
      <c r="F117" s="5" t="n">
        <v>0</v>
      </c>
      <c r="G117" s="5" t="inlineStr">
        <is>
          <t>Kernel v1.6 Data_Energy = legacy Mitigation rows 583-602</t>
        </is>
      </c>
    </row>
    <row r="118">
      <c r="A118" s="5" t="inlineStr">
        <is>
          <t>EGY|2022|avi|bio</t>
        </is>
      </c>
      <c r="B118" s="5" t="inlineStr">
        <is>
          <t>EGY</t>
        </is>
      </c>
      <c r="C118" s="5" t="n">
        <v>2022</v>
      </c>
      <c r="D118" s="5" t="inlineStr">
        <is>
          <t>avi</t>
        </is>
      </c>
      <c r="E118" s="5" t="inlineStr">
        <is>
          <t>bio</t>
        </is>
      </c>
      <c r="F118" s="5" t="n">
        <v>0</v>
      </c>
      <c r="G118" s="5" t="inlineStr">
        <is>
          <t>Kernel v1.6 Data_Energy = legacy Mitigation rows 583-602</t>
        </is>
      </c>
    </row>
    <row r="119">
      <c r="A119" s="5" t="inlineStr">
        <is>
          <t>EGY|2022|nav|bio</t>
        </is>
      </c>
      <c r="B119" s="5" t="inlineStr">
        <is>
          <t>EGY</t>
        </is>
      </c>
      <c r="C119" s="5" t="n">
        <v>2022</v>
      </c>
      <c r="D119" s="5" t="inlineStr">
        <is>
          <t>nav</t>
        </is>
      </c>
      <c r="E119" s="5" t="inlineStr">
        <is>
          <t>bio</t>
        </is>
      </c>
      <c r="F119" s="5" t="n">
        <v>0</v>
      </c>
      <c r="G119" s="5" t="inlineStr">
        <is>
          <t>Kernel v1.6 Data_Energy = legacy Mitigation rows 583-602</t>
        </is>
      </c>
    </row>
    <row r="120">
      <c r="A120" s="5" t="inlineStr">
        <is>
          <t>EGY|2022|res|bio</t>
        </is>
      </c>
      <c r="B120" s="5" t="inlineStr">
        <is>
          <t>EGY</t>
        </is>
      </c>
      <c r="C120" s="5" t="n">
        <v>2022</v>
      </c>
      <c r="D120" s="5" t="inlineStr">
        <is>
          <t>res</t>
        </is>
      </c>
      <c r="E120" s="5" t="inlineStr">
        <is>
          <t>bio</t>
        </is>
      </c>
      <c r="F120" s="5" t="n">
        <v>1579.83074407564</v>
      </c>
      <c r="G120" s="5" t="inlineStr">
        <is>
          <t>Kernel v1.6 Data_Energy = legacy Mitigation rows 583-602</t>
        </is>
      </c>
    </row>
    <row r="121">
      <c r="A121" s="5" t="inlineStr">
        <is>
          <t>EGY|2022|foo|bio</t>
        </is>
      </c>
      <c r="B121" s="5" t="inlineStr">
        <is>
          <t>EGY</t>
        </is>
      </c>
      <c r="C121" s="5" t="n">
        <v>2022</v>
      </c>
      <c r="D121" s="5" t="inlineStr">
        <is>
          <t>foo</t>
        </is>
      </c>
      <c r="E121" s="5" t="inlineStr">
        <is>
          <t>bio</t>
        </is>
      </c>
      <c r="F121" s="5" t="n">
        <v>0</v>
      </c>
      <c r="G121" s="5" t="inlineStr">
        <is>
          <t>Kernel v1.6 Data_Energy = legacy Mitigation rows 583-602</t>
        </is>
      </c>
    </row>
    <row r="122">
      <c r="A122" s="5" t="inlineStr">
        <is>
          <t>EGY|2022|srv|bio</t>
        </is>
      </c>
      <c r="B122" s="5" t="inlineStr">
        <is>
          <t>EGY</t>
        </is>
      </c>
      <c r="C122" s="5" t="n">
        <v>2022</v>
      </c>
      <c r="D122" s="5" t="inlineStr">
        <is>
          <t>srv</t>
        </is>
      </c>
      <c r="E122" s="5" t="inlineStr">
        <is>
          <t>bio</t>
        </is>
      </c>
      <c r="F122" s="5" t="n">
        <v>0</v>
      </c>
      <c r="G122" s="5" t="inlineStr">
        <is>
          <t>Kernel v1.6 Data_Energy = legacy Mitigation rows 583-602</t>
        </is>
      </c>
    </row>
    <row r="123">
      <c r="A123" s="5" t="inlineStr">
        <is>
          <t>EGY|2022|mch|bio</t>
        </is>
      </c>
      <c r="B123" s="5" t="inlineStr">
        <is>
          <t>EGY</t>
        </is>
      </c>
      <c r="C123" s="5" t="n">
        <v>2022</v>
      </c>
      <c r="D123" s="5" t="inlineStr">
        <is>
          <t>mch</t>
        </is>
      </c>
      <c r="E123" s="5" t="inlineStr">
        <is>
          <t>bio</t>
        </is>
      </c>
      <c r="F123" s="5" t="n">
        <v>0</v>
      </c>
      <c r="G123" s="5" t="inlineStr">
        <is>
          <t>Kernel v1.6 Data_Energy = legacy Mitigation rows 583-602</t>
        </is>
      </c>
    </row>
    <row r="124">
      <c r="A124" s="5" t="inlineStr">
        <is>
          <t>EGY|2022|irn|bio</t>
        </is>
      </c>
      <c r="B124" s="5" t="inlineStr">
        <is>
          <t>EGY</t>
        </is>
      </c>
      <c r="C124" s="5" t="n">
        <v>2022</v>
      </c>
      <c r="D124" s="5" t="inlineStr">
        <is>
          <t>irn</t>
        </is>
      </c>
      <c r="E124" s="5" t="inlineStr">
        <is>
          <t>bio</t>
        </is>
      </c>
      <c r="F124" s="5" t="n">
        <v>0</v>
      </c>
      <c r="G124" s="5" t="inlineStr">
        <is>
          <t>Kernel v1.6 Data_Energy = legacy Mitigation rows 583-602</t>
        </is>
      </c>
    </row>
    <row r="125">
      <c r="A125" s="5" t="inlineStr">
        <is>
          <t>EGY|2022|nfm|bio</t>
        </is>
      </c>
      <c r="B125" s="5" t="inlineStr">
        <is>
          <t>EGY</t>
        </is>
      </c>
      <c r="C125" s="5" t="n">
        <v>2022</v>
      </c>
      <c r="D125" s="5" t="inlineStr">
        <is>
          <t>nfm</t>
        </is>
      </c>
      <c r="E125" s="5" t="inlineStr">
        <is>
          <t>bio</t>
        </is>
      </c>
      <c r="F125" s="5" t="n">
        <v>0</v>
      </c>
      <c r="G125" s="5" t="inlineStr">
        <is>
          <t>Kernel v1.6 Data_Energy = legacy Mitigation rows 583-602</t>
        </is>
      </c>
    </row>
    <row r="126">
      <c r="A126" s="5" t="inlineStr">
        <is>
          <t>EGY|2022|mac|bio</t>
        </is>
      </c>
      <c r="B126" s="5" t="inlineStr">
        <is>
          <t>EGY</t>
        </is>
      </c>
      <c r="C126" s="5" t="n">
        <v>2022</v>
      </c>
      <c r="D126" s="5" t="inlineStr">
        <is>
          <t>mac</t>
        </is>
      </c>
      <c r="E126" s="5" t="inlineStr">
        <is>
          <t>bio</t>
        </is>
      </c>
      <c r="F126" s="5" t="n">
        <v>0</v>
      </c>
      <c r="G126" s="5" t="inlineStr">
        <is>
          <t>Kernel v1.6 Data_Energy = legacy Mitigation rows 583-602</t>
        </is>
      </c>
    </row>
    <row r="127">
      <c r="A127" s="5" t="inlineStr">
        <is>
          <t>EGY|2022|cem|bio</t>
        </is>
      </c>
      <c r="B127" s="5" t="inlineStr">
        <is>
          <t>EGY</t>
        </is>
      </c>
      <c r="C127" s="5" t="n">
        <v>2022</v>
      </c>
      <c r="D127" s="5" t="inlineStr">
        <is>
          <t>cem</t>
        </is>
      </c>
      <c r="E127" s="5" t="inlineStr">
        <is>
          <t>bio</t>
        </is>
      </c>
      <c r="F127" s="5" t="n">
        <v>0</v>
      </c>
      <c r="G127" s="5" t="inlineStr">
        <is>
          <t>Kernel v1.6 Data_Energy = legacy Mitigation rows 583-602</t>
        </is>
      </c>
    </row>
    <row r="128">
      <c r="A128" s="5" t="inlineStr">
        <is>
          <t>EGY|2022|omn|bio</t>
        </is>
      </c>
      <c r="B128" s="5" t="inlineStr">
        <is>
          <t>EGY</t>
        </is>
      </c>
      <c r="C128" s="5" t="n">
        <v>2022</v>
      </c>
      <c r="D128" s="5" t="inlineStr">
        <is>
          <t>omn</t>
        </is>
      </c>
      <c r="E128" s="5" t="inlineStr">
        <is>
          <t>bio</t>
        </is>
      </c>
      <c r="F128" s="5" t="n">
        <v>0</v>
      </c>
      <c r="G128" s="5" t="inlineStr">
        <is>
          <t>Kernel v1.6 Data_Energy = legacy Mitigation rows 583-602</t>
        </is>
      </c>
    </row>
    <row r="129">
      <c r="A129" s="5" t="inlineStr">
        <is>
          <t>EGY|2022|cst|bio</t>
        </is>
      </c>
      <c r="B129" s="5" t="inlineStr">
        <is>
          <t>EGY</t>
        </is>
      </c>
      <c r="C129" s="5" t="n">
        <v>2022</v>
      </c>
      <c r="D129" s="5" t="inlineStr">
        <is>
          <t>cst</t>
        </is>
      </c>
      <c r="E129" s="5" t="inlineStr">
        <is>
          <t>bio</t>
        </is>
      </c>
      <c r="F129" s="5" t="n">
        <v>0</v>
      </c>
      <c r="G129" s="5" t="inlineStr">
        <is>
          <t>Kernel v1.6 Data_Energy = legacy Mitigation rows 583-602</t>
        </is>
      </c>
    </row>
    <row r="130">
      <c r="A130" s="5" t="inlineStr">
        <is>
          <t>EGY|2022|ftr|bio</t>
        </is>
      </c>
      <c r="B130" s="5" t="inlineStr">
        <is>
          <t>EGY</t>
        </is>
      </c>
      <c r="C130" s="5" t="n">
        <v>2022</v>
      </c>
      <c r="D130" s="5" t="inlineStr">
        <is>
          <t>ftr</t>
        </is>
      </c>
      <c r="E130" s="5" t="inlineStr">
        <is>
          <t>bio</t>
        </is>
      </c>
      <c r="F130" s="5" t="n">
        <v>0</v>
      </c>
      <c r="G130" s="5" t="inlineStr">
        <is>
          <t>Kernel v1.6 Data_Energy = legacy Mitigation rows 583-602</t>
        </is>
      </c>
    </row>
    <row r="131">
      <c r="A131" s="5" t="inlineStr">
        <is>
          <t>EGY|2022|oen|bio</t>
        </is>
      </c>
      <c r="B131" s="5" t="inlineStr">
        <is>
          <t>EGY</t>
        </is>
      </c>
      <c r="C131" s="5" t="n">
        <v>2022</v>
      </c>
      <c r="D131" s="5" t="inlineStr">
        <is>
          <t>oen</t>
        </is>
      </c>
      <c r="E131" s="5" t="inlineStr">
        <is>
          <t>bio</t>
        </is>
      </c>
      <c r="F131" s="5" t="n">
        <v>0</v>
      </c>
      <c r="G131" s="5" t="inlineStr">
        <is>
          <t>Kernel v1.6 Data_Energy = legacy Mitigation rows 583-602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 2446 via kernel v1.6 Data_Macro (Egypt only so far)</t>
        </is>
      </c>
    </row>
    <row r="2">
      <c r="A2" s="1" t="inlineStr">
        <is>
          <t>Macro series by country (real GDP growth)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variable</t>
        </is>
      </c>
      <c r="D3" s="8" t="inlineStr">
        <is>
          <t>unit</t>
        </is>
      </c>
      <c r="E3" s="8" t="inlineStr">
        <is>
          <t>source</t>
        </is>
      </c>
      <c r="F3" s="8" t="n">
        <v>2021</v>
      </c>
      <c r="G3" s="8" t="n">
        <v>2022</v>
      </c>
      <c r="H3" s="8" t="n">
        <v>2023</v>
      </c>
      <c r="I3" s="8" t="n">
        <v>2024</v>
      </c>
      <c r="J3" s="8" t="n">
        <v>2025</v>
      </c>
      <c r="K3" s="8" t="n">
        <v>2026</v>
      </c>
      <c r="L3" s="8" t="n">
        <v>2027</v>
      </c>
      <c r="M3" s="8" t="n">
        <v>2028</v>
      </c>
      <c r="N3" s="8" t="n">
        <v>2029</v>
      </c>
      <c r="O3" s="8" t="n">
        <v>2030</v>
      </c>
      <c r="P3" s="8" t="n">
        <v>2031</v>
      </c>
      <c r="Q3" s="8" t="n">
        <v>2032</v>
      </c>
      <c r="R3" s="8" t="n">
        <v>2033</v>
      </c>
      <c r="S3" s="8" t="n">
        <v>2034</v>
      </c>
      <c r="T3" s="8" t="n">
        <v>2035</v>
      </c>
      <c r="U3" s="8" t="n">
        <v>2036</v>
      </c>
      <c r="V3" s="8" t="n">
        <v>2037</v>
      </c>
      <c r="W3" s="8" t="n">
        <v>2038</v>
      </c>
      <c r="X3" s="8" t="n">
        <v>2039</v>
      </c>
      <c r="Y3" s="8" t="n">
        <v>2040</v>
      </c>
      <c r="Z3" s="8" t="n">
        <v>2041</v>
      </c>
      <c r="AA3" s="8" t="n">
        <v>2042</v>
      </c>
      <c r="AB3" s="8" t="n">
        <v>2043</v>
      </c>
      <c r="AC3" s="8" t="n">
        <v>2044</v>
      </c>
      <c r="AD3" s="8" t="n">
        <v>2045</v>
      </c>
    </row>
    <row r="4">
      <c r="A4" s="5" t="inlineStr">
        <is>
          <t>EGY|gdp_growth</t>
        </is>
      </c>
      <c r="B4" s="5" t="inlineStr">
        <is>
          <t>EGY</t>
        </is>
      </c>
      <c r="C4" s="5" t="inlineStr">
        <is>
          <t>Real GDP growth</t>
        </is>
      </c>
      <c r="D4" s="5" t="inlineStr">
        <is>
          <t>fraction</t>
        </is>
      </c>
      <c r="E4" s="5" t="inlineStr">
        <is>
          <t>Kernel v1.6 Data_Macro egy.mit.gdp.pos.pct.1 = legacy Mitigation row 2446</t>
        </is>
      </c>
      <c r="F4" s="5" t="n"/>
      <c r="G4" s="5" t="n">
        <v>0.06651345</v>
      </c>
      <c r="H4" s="5" t="n">
        <v>0.03760281</v>
      </c>
      <c r="I4" s="5" t="n">
        <v>0.02398801</v>
      </c>
      <c r="J4" s="5" t="n">
        <v>0.04392387</v>
      </c>
      <c r="K4" s="5" t="n">
        <v>0.04239706</v>
      </c>
      <c r="L4" s="5" t="n">
        <v>0.04829218</v>
      </c>
      <c r="M4" s="5" t="n">
        <v>0.05535316</v>
      </c>
      <c r="N4" s="5" t="n">
        <v>0.05226606</v>
      </c>
      <c r="O4" s="5" t="n">
        <v>0.04841877</v>
      </c>
      <c r="P4" s="5" t="n">
        <v>0.04788736</v>
      </c>
      <c r="Q4" s="5" t="n">
        <v>0.04735595</v>
      </c>
      <c r="R4" s="5" t="n">
        <v>0.04682454</v>
      </c>
      <c r="S4" s="5" t="n">
        <v>0.04629313</v>
      </c>
      <c r="T4" s="5" t="n">
        <v>0.04576172</v>
      </c>
      <c r="U4" s="5" t="n">
        <v>0.04523031</v>
      </c>
      <c r="V4" s="5" t="n">
        <v>0.0446989</v>
      </c>
      <c r="W4" s="5" t="n">
        <v>0.04416749</v>
      </c>
      <c r="X4" s="5" t="n">
        <v>0.04363608</v>
      </c>
      <c r="Y4" s="5" t="n">
        <v>0.04310467</v>
      </c>
      <c r="Z4" s="5" t="n">
        <v>0.04257326</v>
      </c>
      <c r="AA4" s="5" t="n"/>
      <c r="AB4" s="5" t="n"/>
      <c r="AC4" s="5" t="n"/>
      <c r="AD4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Source: legacy Mitigation rows 980-1009 (Egypt only so far; no inventory adjustment)</t>
        </is>
      </c>
    </row>
    <row r="2">
      <c r="A2" s="1" t="inlineStr">
        <is>
          <t>Fuel CO2 emission factors, IIASA (tCO2/GJ), by country, fuel and EF sector</t>
        </is>
      </c>
      <c r="B2" s="2" t="n"/>
      <c r="C2" s="2" t="n"/>
      <c r="D2" s="2" t="n"/>
      <c r="E2" s="2" t="n"/>
      <c r="F2" s="2" t="n"/>
    </row>
    <row r="3">
      <c r="A3" s="8" t="inlineStr">
        <is>
          <t>key</t>
        </is>
      </c>
      <c r="B3" s="8" t="inlineStr">
        <is>
          <t>country</t>
        </is>
      </c>
      <c r="C3" s="8" t="inlineStr">
        <is>
          <t>fuel</t>
        </is>
      </c>
      <c r="D3" s="8" t="inlineStr">
        <is>
          <t>ef_sector</t>
        </is>
      </c>
      <c r="E3" s="8" t="inlineStr">
        <is>
          <t>ef_tco2_per_gj</t>
        </is>
      </c>
      <c r="F3" s="8" t="inlineStr">
        <is>
          <t>source</t>
        </is>
      </c>
    </row>
    <row r="4">
      <c r="A4" s="5" t="inlineStr">
        <is>
          <t>EGY|coa|pow</t>
        </is>
      </c>
      <c r="B4" s="5" t="inlineStr">
        <is>
          <t>EGY</t>
        </is>
      </c>
      <c r="C4" s="5" t="inlineStr">
        <is>
          <t>coa</t>
        </is>
      </c>
      <c r="D4" s="5" t="inlineStr">
        <is>
          <t>pow</t>
        </is>
      </c>
      <c r="E4" s="5" t="n">
        <v>0.094308</v>
      </c>
      <c r="F4" s="5" t="inlineStr">
        <is>
          <t>Mitigation row 980 (egy.mit.ef.coa.pow)</t>
        </is>
      </c>
    </row>
    <row r="5">
      <c r="A5" s="5" t="inlineStr">
        <is>
          <t>EGY|nga|pow</t>
        </is>
      </c>
      <c r="B5" s="5" t="inlineStr">
        <is>
          <t>EGY</t>
        </is>
      </c>
      <c r="C5" s="5" t="inlineStr">
        <is>
          <t>nga</t>
        </is>
      </c>
      <c r="D5" s="5" t="inlineStr">
        <is>
          <t>pow</t>
        </is>
      </c>
      <c r="E5" s="5" t="n">
        <v>0.0558</v>
      </c>
      <c r="F5" s="5" t="inlineStr">
        <is>
          <t>Mitigation row 981 (egy.mit.ef.nga.pow)</t>
        </is>
      </c>
    </row>
    <row r="6">
      <c r="A6" s="5" t="inlineStr">
        <is>
          <t>EGY|gso|pow</t>
        </is>
      </c>
      <c r="B6" s="5" t="inlineStr">
        <is>
          <t>EGY</t>
        </is>
      </c>
      <c r="C6" s="5" t="inlineStr">
        <is>
          <t>gso</t>
        </is>
      </c>
      <c r="D6" s="5" t="inlineStr">
        <is>
          <t>pow</t>
        </is>
      </c>
      <c r="E6" s="5" t="n">
        <v>0.06859999999999999</v>
      </c>
      <c r="F6" s="5" t="inlineStr">
        <is>
          <t>Mitigation row 982 (egy.mit.ef.gso.pow)</t>
        </is>
      </c>
    </row>
    <row r="7">
      <c r="A7" s="5" t="inlineStr">
        <is>
          <t>EGY|die|pow</t>
        </is>
      </c>
      <c r="B7" s="5" t="inlineStr">
        <is>
          <t>EGY</t>
        </is>
      </c>
      <c r="C7" s="5" t="inlineStr">
        <is>
          <t>die</t>
        </is>
      </c>
      <c r="D7" s="5" t="inlineStr">
        <is>
          <t>pow</t>
        </is>
      </c>
      <c r="E7" s="5" t="n">
        <v>0.07340000000000001</v>
      </c>
      <c r="F7" s="5" t="inlineStr">
        <is>
          <t>Mitigation row 983 (egy.mit.ef.die.pow)</t>
        </is>
      </c>
    </row>
    <row r="8">
      <c r="A8" s="5" t="inlineStr">
        <is>
          <t>EGY|lpg|pow</t>
        </is>
      </c>
      <c r="B8" s="5" t="inlineStr">
        <is>
          <t>EGY</t>
        </is>
      </c>
      <c r="C8" s="5" t="inlineStr">
        <is>
          <t>lpg</t>
        </is>
      </c>
      <c r="D8" s="5" t="inlineStr">
        <is>
          <t>pow</t>
        </is>
      </c>
      <c r="E8" s="5" t="n">
        <v>0.06859999999999999</v>
      </c>
      <c r="F8" s="5" t="inlineStr">
        <is>
          <t>Mitigation row 984 (egy.mit.ef.lpg.pow)</t>
        </is>
      </c>
    </row>
    <row r="9">
      <c r="A9" s="5" t="inlineStr">
        <is>
          <t>EGY|ker|pow</t>
        </is>
      </c>
      <c r="B9" s="5" t="inlineStr">
        <is>
          <t>EGY</t>
        </is>
      </c>
      <c r="C9" s="5" t="inlineStr">
        <is>
          <t>ker</t>
        </is>
      </c>
      <c r="D9" s="5" t="inlineStr">
        <is>
          <t>pow</t>
        </is>
      </c>
      <c r="E9" s="5" t="n">
        <v>0.068555</v>
      </c>
      <c r="F9" s="5" t="inlineStr">
        <is>
          <t>Mitigation row 985 (egy.mit.ef.ker.pow)</t>
        </is>
      </c>
    </row>
    <row r="10">
      <c r="A10" s="5" t="inlineStr">
        <is>
          <t>EGY|oop|pow</t>
        </is>
      </c>
      <c r="B10" s="5" t="inlineStr">
        <is>
          <t>EGY</t>
        </is>
      </c>
      <c r="C10" s="5" t="inlineStr">
        <is>
          <t>oop</t>
        </is>
      </c>
      <c r="D10" s="5" t="inlineStr">
        <is>
          <t>pow</t>
        </is>
      </c>
      <c r="E10" s="5" t="n">
        <v>0.0767</v>
      </c>
      <c r="F10" s="5" t="inlineStr">
        <is>
          <t>Mitigation row 986 (egy.mit.ef.oop.pow)</t>
        </is>
      </c>
    </row>
    <row r="11">
      <c r="A11" s="5" t="inlineStr">
        <is>
          <t>EGY|coa|rod</t>
        </is>
      </c>
      <c r="B11" s="5" t="inlineStr">
        <is>
          <t>EGY</t>
        </is>
      </c>
      <c r="C11" s="5" t="inlineStr">
        <is>
          <t>coa</t>
        </is>
      </c>
      <c r="D11" s="5" t="inlineStr">
        <is>
          <t>rod</t>
        </is>
      </c>
      <c r="E11" s="5" t="n">
        <v>0.094308</v>
      </c>
      <c r="F11" s="5" t="inlineStr">
        <is>
          <t>Mitigation row 987 (egy.mit.ef.coa.rod)</t>
        </is>
      </c>
    </row>
    <row r="12">
      <c r="A12" s="5" t="inlineStr">
        <is>
          <t>EGY|nga|rod</t>
        </is>
      </c>
      <c r="B12" s="5" t="inlineStr">
        <is>
          <t>EGY</t>
        </is>
      </c>
      <c r="C12" s="5" t="inlineStr">
        <is>
          <t>nga</t>
        </is>
      </c>
      <c r="D12" s="5" t="inlineStr">
        <is>
          <t>rod</t>
        </is>
      </c>
      <c r="E12" s="5" t="n">
        <v>0.0558</v>
      </c>
      <c r="F12" s="5" t="inlineStr">
        <is>
          <t>Mitigation row 988 (egy.mit.ef.nga.rod)</t>
        </is>
      </c>
    </row>
    <row r="13">
      <c r="A13" s="5" t="inlineStr">
        <is>
          <t>EGY|gso|rod</t>
        </is>
      </c>
      <c r="B13" s="5" t="inlineStr">
        <is>
          <t>EGY</t>
        </is>
      </c>
      <c r="C13" s="5" t="inlineStr">
        <is>
          <t>gso</t>
        </is>
      </c>
      <c r="D13" s="5" t="inlineStr">
        <is>
          <t>rod</t>
        </is>
      </c>
      <c r="E13" s="5" t="n">
        <v>0.066178</v>
      </c>
      <c r="F13" s="5" t="inlineStr">
        <is>
          <t>Mitigation row 989 (egy.mit.ef.gso.rod)</t>
        </is>
      </c>
    </row>
    <row r="14">
      <c r="A14" s="5" t="inlineStr">
        <is>
          <t>EGY|die|rod</t>
        </is>
      </c>
      <c r="B14" s="5" t="inlineStr">
        <is>
          <t>EGY</t>
        </is>
      </c>
      <c r="C14" s="5" t="inlineStr">
        <is>
          <t>die</t>
        </is>
      </c>
      <c r="D14" s="5" t="inlineStr">
        <is>
          <t>rod</t>
        </is>
      </c>
      <c r="E14" s="5" t="n">
        <v>0.070809</v>
      </c>
      <c r="F14" s="5" t="inlineStr">
        <is>
          <t>Mitigation row 990 (egy.mit.ef.die.rod)</t>
        </is>
      </c>
    </row>
    <row r="15">
      <c r="A15" s="5" t="inlineStr">
        <is>
          <t>EGY|lpg|rod</t>
        </is>
      </c>
      <c r="B15" s="5" t="inlineStr">
        <is>
          <t>EGY</t>
        </is>
      </c>
      <c r="C15" s="5" t="inlineStr">
        <is>
          <t>lpg</t>
        </is>
      </c>
      <c r="D15" s="5" t="inlineStr">
        <is>
          <t>rod</t>
        </is>
      </c>
      <c r="E15" s="5" t="n">
        <v>0.06859999999999999</v>
      </c>
      <c r="F15" s="5" t="inlineStr">
        <is>
          <t>Mitigation row 991 (egy.mit.ef.lpg.rod)</t>
        </is>
      </c>
    </row>
    <row r="16">
      <c r="A16" s="5" t="inlineStr">
        <is>
          <t>EGY|ker|rod</t>
        </is>
      </c>
      <c r="B16" s="5" t="inlineStr">
        <is>
          <t>EGY</t>
        </is>
      </c>
      <c r="C16" s="5" t="inlineStr">
        <is>
          <t>ker</t>
        </is>
      </c>
      <c r="D16" s="5" t="inlineStr">
        <is>
          <t>rod</t>
        </is>
      </c>
      <c r="E16" s="5" t="n">
        <v>0.068555</v>
      </c>
      <c r="F16" s="5" t="inlineStr">
        <is>
          <t>Mitigation row 992 (egy.mit.ef.ker.rod)</t>
        </is>
      </c>
    </row>
    <row r="17">
      <c r="A17" s="5" t="inlineStr">
        <is>
          <t>EGY|oop|rod</t>
        </is>
      </c>
      <c r="B17" s="5" t="inlineStr">
        <is>
          <t>EGY</t>
        </is>
      </c>
      <c r="C17" s="5" t="inlineStr">
        <is>
          <t>oop</t>
        </is>
      </c>
      <c r="D17" s="5" t="inlineStr">
        <is>
          <t>rod</t>
        </is>
      </c>
      <c r="E17" s="5" t="n">
        <v>0.070809</v>
      </c>
      <c r="F17" s="5" t="inlineStr">
        <is>
          <t>Mitigation row 993 (egy.mit.ef.oop.rod)</t>
        </is>
      </c>
    </row>
    <row r="18">
      <c r="A18" s="5" t="inlineStr">
        <is>
          <t>EGY|coa|res</t>
        </is>
      </c>
      <c r="B18" s="5" t="inlineStr">
        <is>
          <t>EGY</t>
        </is>
      </c>
      <c r="C18" s="5" t="inlineStr">
        <is>
          <t>coa</t>
        </is>
      </c>
      <c r="D18" s="5" t="inlineStr">
        <is>
          <t>res</t>
        </is>
      </c>
      <c r="E18" s="5" t="n">
        <v>0.09429999999999999</v>
      </c>
      <c r="F18" s="5" t="inlineStr">
        <is>
          <t>Mitigation row 994 (egy.mit.ef.coa.res)</t>
        </is>
      </c>
    </row>
    <row r="19">
      <c r="A19" s="5" t="inlineStr">
        <is>
          <t>EGY|nga|res</t>
        </is>
      </c>
      <c r="B19" s="5" t="inlineStr">
        <is>
          <t>EGY</t>
        </is>
      </c>
      <c r="C19" s="5" t="inlineStr">
        <is>
          <t>nga</t>
        </is>
      </c>
      <c r="D19" s="5" t="inlineStr">
        <is>
          <t>res</t>
        </is>
      </c>
      <c r="E19" s="5" t="n">
        <v>0.0558</v>
      </c>
      <c r="F19" s="5" t="inlineStr">
        <is>
          <t>Mitigation row 995 (egy.mit.ef.nga.res)</t>
        </is>
      </c>
    </row>
    <row r="20">
      <c r="A20" s="5" t="inlineStr">
        <is>
          <t>EGY|gso|res</t>
        </is>
      </c>
      <c r="B20" s="5" t="inlineStr">
        <is>
          <t>EGY</t>
        </is>
      </c>
      <c r="C20" s="5" t="inlineStr">
        <is>
          <t>gso</t>
        </is>
      </c>
      <c r="D20" s="5" t="inlineStr">
        <is>
          <t>res</t>
        </is>
      </c>
      <c r="E20" s="5" t="n">
        <v>0.068555</v>
      </c>
      <c r="F20" s="5" t="inlineStr">
        <is>
          <t>Mitigation row 996 (egy.mit.ef.gso.res)</t>
        </is>
      </c>
    </row>
    <row r="21">
      <c r="A21" s="5" t="inlineStr">
        <is>
          <t>EGY|die|res</t>
        </is>
      </c>
      <c r="B21" s="5" t="inlineStr">
        <is>
          <t>EGY</t>
        </is>
      </c>
      <c r="C21" s="5" t="inlineStr">
        <is>
          <t>die</t>
        </is>
      </c>
      <c r="D21" s="5" t="inlineStr">
        <is>
          <t>res</t>
        </is>
      </c>
      <c r="E21" s="5" t="n">
        <v>0.07340000000000001</v>
      </c>
      <c r="F21" s="5" t="inlineStr">
        <is>
          <t>Mitigation row 997 (egy.mit.ef.die.res)</t>
        </is>
      </c>
    </row>
    <row r="22">
      <c r="A22" s="5" t="inlineStr">
        <is>
          <t>EGY|lpg|res</t>
        </is>
      </c>
      <c r="B22" s="5" t="inlineStr">
        <is>
          <t>EGY</t>
        </is>
      </c>
      <c r="C22" s="5" t="inlineStr">
        <is>
          <t>lpg</t>
        </is>
      </c>
      <c r="D22" s="5" t="inlineStr">
        <is>
          <t>res</t>
        </is>
      </c>
      <c r="E22" s="5" t="n">
        <v>0.06859999999999999</v>
      </c>
      <c r="F22" s="5" t="inlineStr">
        <is>
          <t>Mitigation row 998 (egy.mit.ef.lpg.res)</t>
        </is>
      </c>
    </row>
    <row r="23">
      <c r="A23" s="5" t="inlineStr">
        <is>
          <t>EGY|ker|res</t>
        </is>
      </c>
      <c r="B23" s="5" t="inlineStr">
        <is>
          <t>EGY</t>
        </is>
      </c>
      <c r="C23" s="5" t="inlineStr">
        <is>
          <t>ker</t>
        </is>
      </c>
      <c r="D23" s="5" t="inlineStr">
        <is>
          <t>res</t>
        </is>
      </c>
      <c r="E23" s="5" t="n">
        <v>0.068555</v>
      </c>
      <c r="F23" s="5" t="inlineStr">
        <is>
          <t>Mitigation row 999 (egy.mit.ef.ker.res)</t>
        </is>
      </c>
    </row>
    <row r="24">
      <c r="A24" s="5" t="inlineStr">
        <is>
          <t>EGY|oop|res</t>
        </is>
      </c>
      <c r="B24" s="5" t="inlineStr">
        <is>
          <t>EGY</t>
        </is>
      </c>
      <c r="C24" s="5" t="inlineStr">
        <is>
          <t>oop</t>
        </is>
      </c>
      <c r="D24" s="5" t="inlineStr">
        <is>
          <t>res</t>
        </is>
      </c>
      <c r="E24" s="5" t="n">
        <v>0.0767</v>
      </c>
      <c r="F24" s="5" t="inlineStr">
        <is>
          <t>Mitigation row 1000 (egy.mit.ef.oop.res)</t>
        </is>
      </c>
    </row>
    <row r="25">
      <c r="A25" s="5" t="inlineStr">
        <is>
          <t>EGY|coa|ind</t>
        </is>
      </c>
      <c r="B25" s="5" t="inlineStr">
        <is>
          <t>EGY</t>
        </is>
      </c>
      <c r="C25" s="5" t="inlineStr">
        <is>
          <t>coa</t>
        </is>
      </c>
      <c r="D25" s="5" t="inlineStr">
        <is>
          <t>ind</t>
        </is>
      </c>
      <c r="E25" s="5" t="n">
        <v>0.1</v>
      </c>
      <c r="F25" s="5" t="inlineStr">
        <is>
          <t>Mitigation row 1001 (egy.mit.ef.coa.ind)</t>
        </is>
      </c>
    </row>
    <row r="26">
      <c r="A26" s="5" t="inlineStr">
        <is>
          <t>EGY|nga|ind</t>
        </is>
      </c>
      <c r="B26" s="5" t="inlineStr">
        <is>
          <t>EGY</t>
        </is>
      </c>
      <c r="C26" s="5" t="inlineStr">
        <is>
          <t>nga</t>
        </is>
      </c>
      <c r="D26" s="5" t="inlineStr">
        <is>
          <t>ind</t>
        </is>
      </c>
      <c r="E26" s="5" t="n">
        <v>0.0558</v>
      </c>
      <c r="F26" s="5" t="inlineStr">
        <is>
          <t>Mitigation row 1002 (egy.mit.ef.nga.ind)</t>
        </is>
      </c>
    </row>
    <row r="27">
      <c r="A27" s="5" t="inlineStr">
        <is>
          <t>EGY|gso|ind</t>
        </is>
      </c>
      <c r="B27" s="5" t="inlineStr">
        <is>
          <t>EGY</t>
        </is>
      </c>
      <c r="C27" s="5" t="inlineStr">
        <is>
          <t>gso</t>
        </is>
      </c>
      <c r="D27" s="5" t="inlineStr">
        <is>
          <t>ind</t>
        </is>
      </c>
      <c r="E27" s="5" t="n">
        <v>0.06779300000000001</v>
      </c>
      <c r="F27" s="5" t="inlineStr">
        <is>
          <t>Mitigation row 1003 (egy.mit.ef.gso.ind)</t>
        </is>
      </c>
    </row>
    <row r="28">
      <c r="A28" s="5" t="inlineStr">
        <is>
          <t>EGY|die|ind</t>
        </is>
      </c>
      <c r="B28" s="5" t="inlineStr">
        <is>
          <t>EGY</t>
        </is>
      </c>
      <c r="C28" s="5" t="inlineStr">
        <is>
          <t>die</t>
        </is>
      </c>
      <c r="D28" s="5" t="inlineStr">
        <is>
          <t>ind</t>
        </is>
      </c>
      <c r="E28" s="5" t="n">
        <v>0.07184499999999999</v>
      </c>
      <c r="F28" s="5" t="inlineStr">
        <is>
          <t>Mitigation row 1004 (egy.mit.ef.die.ind)</t>
        </is>
      </c>
    </row>
    <row r="29">
      <c r="A29" s="5" t="inlineStr">
        <is>
          <t>EGY|lpg|ind</t>
        </is>
      </c>
      <c r="B29" s="5" t="inlineStr">
        <is>
          <t>EGY</t>
        </is>
      </c>
      <c r="C29" s="5" t="inlineStr">
        <is>
          <t>lpg</t>
        </is>
      </c>
      <c r="D29" s="5" t="inlineStr">
        <is>
          <t>ind</t>
        </is>
      </c>
      <c r="E29" s="5" t="n">
        <v>0.06859999999999999</v>
      </c>
      <c r="F29" s="5" t="inlineStr">
        <is>
          <t>Mitigation row 1005 (egy.mit.ef.lpg.ind)</t>
        </is>
      </c>
    </row>
    <row r="30">
      <c r="A30" s="5" t="inlineStr">
        <is>
          <t>EGY|ker|ind</t>
        </is>
      </c>
      <c r="B30" s="5" t="inlineStr">
        <is>
          <t>EGY</t>
        </is>
      </c>
      <c r="C30" s="5" t="inlineStr">
        <is>
          <t>ker</t>
        </is>
      </c>
      <c r="D30" s="5" t="inlineStr">
        <is>
          <t>ind</t>
        </is>
      </c>
      <c r="E30" s="5" t="n">
        <v>0.06779300000000001</v>
      </c>
      <c r="F30" s="5" t="inlineStr">
        <is>
          <t>Mitigation row 1006 (egy.mit.ef.ker.ind)</t>
        </is>
      </c>
    </row>
    <row r="31">
      <c r="A31" s="5" t="inlineStr">
        <is>
          <t>EGY|oop|ind</t>
        </is>
      </c>
      <c r="B31" s="5" t="inlineStr">
        <is>
          <t>EGY</t>
        </is>
      </c>
      <c r="C31" s="5" t="inlineStr">
        <is>
          <t>oop</t>
        </is>
      </c>
      <c r="D31" s="5" t="inlineStr">
        <is>
          <t>ind</t>
        </is>
      </c>
      <c r="E31" s="5" t="n">
        <v>0.0767</v>
      </c>
      <c r="F31" s="5" t="inlineStr">
        <is>
          <t>Mitigation row 1007 (egy.mit.ef.oop.ind)</t>
        </is>
      </c>
    </row>
    <row r="32">
      <c r="A32" s="5" t="inlineStr">
        <is>
          <t>EGY|bio|pow</t>
        </is>
      </c>
      <c r="B32" s="5" t="inlineStr">
        <is>
          <t>EGY</t>
        </is>
      </c>
      <c r="C32" s="5" t="inlineStr">
        <is>
          <t>bio</t>
        </is>
      </c>
      <c r="D32" s="5" t="inlineStr">
        <is>
          <t>pow</t>
        </is>
      </c>
      <c r="E32" s="5" t="n">
        <v>0</v>
      </c>
      <c r="F32" s="5" t="inlineStr">
        <is>
          <t>Mitigation row 1009 (egy.mit.ef.bio.all)</t>
        </is>
      </c>
    </row>
    <row r="33">
      <c r="A33" s="5" t="inlineStr">
        <is>
          <t>EGY|bio|rod</t>
        </is>
      </c>
      <c r="B33" s="5" t="inlineStr">
        <is>
          <t>EGY</t>
        </is>
      </c>
      <c r="C33" s="5" t="inlineStr">
        <is>
          <t>bio</t>
        </is>
      </c>
      <c r="D33" s="5" t="inlineStr">
        <is>
          <t>rod</t>
        </is>
      </c>
      <c r="E33" s="5" t="n">
        <v>0</v>
      </c>
      <c r="F33" s="5" t="inlineStr">
        <is>
          <t>Mitigation row 1009 (egy.mit.ef.bio.all)</t>
        </is>
      </c>
    </row>
    <row r="34">
      <c r="A34" s="5" t="inlineStr">
        <is>
          <t>EGY|bio|res</t>
        </is>
      </c>
      <c r="B34" s="5" t="inlineStr">
        <is>
          <t>EGY</t>
        </is>
      </c>
      <c r="C34" s="5" t="inlineStr">
        <is>
          <t>bio</t>
        </is>
      </c>
      <c r="D34" s="5" t="inlineStr">
        <is>
          <t>res</t>
        </is>
      </c>
      <c r="E34" s="5" t="n">
        <v>0</v>
      </c>
      <c r="F34" s="5" t="inlineStr">
        <is>
          <t>Mitigation row 1009 (egy.mit.ef.bio.all)</t>
        </is>
      </c>
    </row>
    <row r="35">
      <c r="A35" s="5" t="inlineStr">
        <is>
          <t>EGY|bio|ind</t>
        </is>
      </c>
      <c r="B35" s="5" t="inlineStr">
        <is>
          <t>EGY</t>
        </is>
      </c>
      <c r="C35" s="5" t="inlineStr">
        <is>
          <t>bio</t>
        </is>
      </c>
      <c r="D35" s="5" t="inlineStr">
        <is>
          <t>ind</t>
        </is>
      </c>
      <c r="E35" s="5" t="n">
        <v>0</v>
      </c>
      <c r="F35" s="5" t="inlineStr">
        <is>
          <t>Mitigation row 1009 (egy.mit.ef.bio.all)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2026-10-08T19:06:31Z</dcterms:created>
  <dcterms:modified xmlns:dcterms="http://purl.org/dc/terms/" xmlns:xsi="http://www.w3.org/2001/XMLSchema-instance" xsi:type="dcterms:W3CDTF">2026-10-08T19:06:35Z</dcterms:modified>
</cp:coreProperties>
</file>